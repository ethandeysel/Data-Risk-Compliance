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Query" sheetId="2" state="visible" r:id="rId2"/>
    <sheet xmlns:r="http://schemas.openxmlformats.org/officeDocument/2006/relationships" name="Data Transfer" sheetId="3" state="visible" r:id="rId3"/>
    <sheet xmlns:r="http://schemas.openxmlformats.org/officeDocument/2006/relationships" name="Compliance Database" sheetId="4" state="visible" r:id="rId4"/>
    <sheet xmlns:r="http://schemas.openxmlformats.org/officeDocument/2006/relationships" name="Acts" sheetId="5" state="visible" r:id="rId5"/>
    <sheet xmlns:r="http://schemas.openxmlformats.org/officeDocument/2006/relationships" name="Regulators" sheetId="6" state="visible" r:id="rId6"/>
    <sheet xmlns:r="http://schemas.openxmlformats.org/officeDocument/2006/relationships" name="Topics" sheetId="7" state="visible" r:id="rId7"/>
    <sheet xmlns:r="http://schemas.openxmlformats.org/officeDocument/2006/relationships" name="Lists" sheetId="8" state="hidden" r:id="rId8"/>
    <sheet xmlns:r="http://schemas.openxmlformats.org/officeDocument/2006/relationships" name="Engine" sheetId="9" state="hidden" r:id="rId9"/>
    <sheet xmlns:r="http://schemas.openxmlformats.org/officeDocument/2006/relationships" name="Transfer Engine" sheetId="10" state="hidden"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1"/>
    </font>
    <font>
      <color rgb="000563C1"/>
      <u val="single"/>
    </font>
    <font>
      <b val="1"/>
      <color rgb="00FFFFFF"/>
      <sz val="16"/>
    </font>
    <font>
      <i val="1"/>
    </font>
    <font>
      <b val="1"/>
    </font>
    <font>
      <b val="1"/>
      <sz val="13"/>
    </font>
  </fonts>
  <fills count="4">
    <fill>
      <patternFill/>
    </fill>
    <fill>
      <patternFill patternType="gray125"/>
    </fill>
    <fill>
      <patternFill patternType="solid">
        <fgColor rgb="00D9EAD3"/>
      </patternFill>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3" fillId="3"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wrapText="1"/>
    </xf>
    <xf numFmtId="0" fontId="4" fillId="0" borderId="0" pivotButton="0" quotePrefix="0" xfId="0"/>
    <xf numFmtId="0" fontId="0" fillId="2"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ComplianceTable" displayName="ComplianceTable" ref="A1:O1369" headerRowCount="1">
  <autoFilter ref="A1:O1369"/>
  <tableColumns count="15">
    <tableColumn id="1" name="Country"/>
    <tableColumn id="2" name="Act"/>
    <tableColumn id="3" name="Section"/>
    <tableColumn id="4" name="Heading"/>
    <tableColumn id="5" name="Pages"/>
    <tableColumn id="6" name="Financial Relevance"/>
    <tableColumn id="7" name="Confidence"/>
    <tableColumn id="8" name="Topics"/>
    <tableColumn id="9" name="Data Types"/>
    <tableColumn id="10" name="Authority"/>
    <tableColumn id="11" name="Summary"/>
    <tableColumn id="12" name="DTIA Summary"/>
    <tableColumn id="13" name="Requirements"/>
    <tableColumn id="14" name="Source Quote"/>
    <tableColumn id="15" name="Source"/>
  </tableColumns>
  <tableStyleInfo name="TableStyleMedium2" showFirstColumn="0" showLastColumn="0" showRowStripes="1" showColumnStripes="0"/>
</table>
</file>

<file path=xl/tables/table2.xml><?xml version="1.0" encoding="utf-8"?>
<table xmlns="http://schemas.openxmlformats.org/spreadsheetml/2006/main" id="2" name="ActsTable" displayName="ActsTable" ref="A1:F38" headerRowCount="1">
  <autoFilter ref="A1:F38"/>
  <tableColumns count="6">
    <tableColumn id="1" name="Country"/>
    <tableColumn id="2" name="Act"/>
    <tableColumn id="3" name="Sections"/>
    <tableColumn id="4" name="Regulators"/>
    <tableColumn id="5" name="Topics"/>
    <tableColumn id="6" name="Financial Relevance"/>
  </tableColumns>
  <tableStyleInfo name="TableStyleMedium2" showFirstColumn="0" showLastColumn="0" showRowStripes="1" showColumnStripes="0"/>
</table>
</file>

<file path=xl/tables/table3.xml><?xml version="1.0" encoding="utf-8"?>
<table xmlns="http://schemas.openxmlformats.org/spreadsheetml/2006/main" id="3" name="RegulatorTable" displayName="RegulatorTable" ref="A1:C44" headerRowCount="1">
  <autoFilter ref="A1:C44"/>
  <tableColumns count="3">
    <tableColumn id="1" name="Authority"/>
    <tableColumn id="2" name="Countries"/>
    <tableColumn id="3" name="Acts"/>
  </tableColumns>
  <tableStyleInfo name="TableStyleMedium2" showFirstColumn="0" showLastColumn="0" showRowStripes="1" showColumnStripes="0"/>
</table>
</file>

<file path=xl/tables/table4.xml><?xml version="1.0" encoding="utf-8"?>
<table xmlns="http://schemas.openxmlformats.org/spreadsheetml/2006/main" id="4" name="TopicTable" displayName="TopicTable" ref="A1:B28" headerRowCount="1">
  <autoFilter ref="A1:B28"/>
  <tableColumns count="2">
    <tableColumn id="1" name="Topic"/>
    <tableColumn id="2" name="Se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github.com/ethandeysel/Data-Risk-Compliance/blob/main/data/acts/Australia/C2004A01182%20%28Australia%20-%20Row%2025%29.pdf" TargetMode="External" Id="rId1"/><Relationship Type="http://schemas.openxmlformats.org/officeDocument/2006/relationships/hyperlink" Target="https://github.com/ethandeysel/Data-Risk-Compliance/blob/main/data/acts/Australia/C2004C01271-1%20%28Australia%20-%20Row%207%29.pdf" TargetMode="External" Id="rId2"/><Relationship Type="http://schemas.openxmlformats.org/officeDocument/2006/relationships/hyperlink" Target="https://github.com/ethandeysel/Data-Risk-Compliance/blob/main/data/acts/Australia/C2012C00866%20%28Australia%20-%20Row%2012%29.pdf" TargetMode="External" Id="rId3"/><Relationship Type="http://schemas.openxmlformats.org/officeDocument/2006/relationships/hyperlink" Target="https://github.com/ethandeysel/Data-Risk-Compliance/blob/main/data/acts/Australia/C2012C00866%20%28Australia%20-%20Row%2012%29.pdf" TargetMode="External" Id="rId4"/><Relationship Type="http://schemas.openxmlformats.org/officeDocument/2006/relationships/hyperlink" Target="https://github.com/ethandeysel/Data-Risk-Compliance/blob/main/data/acts/Australia/C2012C00866%20%28Australia%20-%20Row%2012%29.pdf" TargetMode="External" Id="rId5"/><Relationship Type="http://schemas.openxmlformats.org/officeDocument/2006/relationships/hyperlink" Target="https://github.com/ethandeysel/Data-Risk-Compliance/blob/main/data/acts/Australia/C2012C00866%20%28Australia%20-%20Row%2012%29.pdf" TargetMode="External" Id="rId6"/><Relationship Type="http://schemas.openxmlformats.org/officeDocument/2006/relationships/hyperlink" Target="https://github.com/ethandeysel/Data-Risk-Compliance/blob/main/data/acts/Australia/C2012C00866%20%28Australia%20-%20Row%2012%29.pdf" TargetMode="External" Id="rId7"/><Relationship Type="http://schemas.openxmlformats.org/officeDocument/2006/relationships/hyperlink" Target="https://github.com/ethandeysel/Data-Risk-Compliance/blob/main/data/acts/Australia/C2012C00866%20%28Australia%20-%20Row%2012%29.pdf" TargetMode="External" Id="rId8"/><Relationship Type="http://schemas.openxmlformats.org/officeDocument/2006/relationships/hyperlink" Target="https://github.com/ethandeysel/Data-Risk-Compliance/blob/main/data/acts/Australia/C2012C00866%20%28Australia%20-%20Row%2012%29.pdf" TargetMode="External" Id="rId9"/><Relationship Type="http://schemas.openxmlformats.org/officeDocument/2006/relationships/hyperlink" Target="https://github.com/ethandeysel/Data-Risk-Compliance/blob/main/data/acts/Australia/C2012C00866%20%28Australia%20-%20Row%2012%29.pdf" TargetMode="External" Id="rId10"/><Relationship Type="http://schemas.openxmlformats.org/officeDocument/2006/relationships/hyperlink" Target="https://github.com/ethandeysel/Data-Risk-Compliance/blob/main/data/acts/Australia/C2012C00866%20%28Australia%20-%20Row%2012%29.pdf" TargetMode="External" Id="rId11"/><Relationship Type="http://schemas.openxmlformats.org/officeDocument/2006/relationships/hyperlink" Target="https://github.com/ethandeysel/Data-Risk-Compliance/blob/main/data/acts/Australia/C2012C00866%20%28Australia%20-%20Row%2012%29.pdf" TargetMode="External" Id="rId12"/><Relationship Type="http://schemas.openxmlformats.org/officeDocument/2006/relationships/hyperlink" Target="https://github.com/ethandeysel/Data-Risk-Compliance/blob/main/data/acts/Australia/C2012C00866%20%28Australia%20-%20Row%2012%29.pdf" TargetMode="External" Id="rId13"/><Relationship Type="http://schemas.openxmlformats.org/officeDocument/2006/relationships/hyperlink" Target="https://github.com/ethandeysel/Data-Risk-Compliance/blob/main/data/acts/Australia/C2012C00866%20%28Australia%20-%20Row%2012%29.pdf" TargetMode="External" Id="rId14"/><Relationship Type="http://schemas.openxmlformats.org/officeDocument/2006/relationships/hyperlink" Target="https://github.com/ethandeysel/Data-Risk-Compliance/blob/main/data/acts/Australia/C2012C00866%20%28Australia%20-%20Row%2012%29.pdf" TargetMode="External" Id="rId15"/><Relationship Type="http://schemas.openxmlformats.org/officeDocument/2006/relationships/hyperlink" Target="https://github.com/ethandeysel/Data-Risk-Compliance/blob/main/data/acts/Australia/C2012C00866%20%28Australia%20-%20Row%2012%29.pdf" TargetMode="External" Id="rId16"/><Relationship Type="http://schemas.openxmlformats.org/officeDocument/2006/relationships/hyperlink" Target="https://github.com/ethandeysel/Data-Risk-Compliance/blob/main/data/acts/Australia/C2012C00866%20%28Australia%20-%20Row%2012%29.pdf" TargetMode="External" Id="rId17"/><Relationship Type="http://schemas.openxmlformats.org/officeDocument/2006/relationships/hyperlink" Target="https://github.com/ethandeysel/Data-Risk-Compliance/blob/main/data/acts/Australia/C2012C00866%20%28Australia%20-%20Row%2012%29.pdf" TargetMode="External" Id="rId18"/><Relationship Type="http://schemas.openxmlformats.org/officeDocument/2006/relationships/hyperlink" Target="https://github.com/ethandeysel/Data-Risk-Compliance/blob/main/data/acts/Australia/C2012C00866%20%28Australia%20-%20Row%2012%29.pdf" TargetMode="External" Id="rId19"/><Relationship Type="http://schemas.openxmlformats.org/officeDocument/2006/relationships/hyperlink" Target="https://github.com/ethandeysel/Data-Risk-Compliance/blob/main/data/acts/Australia/C2012C00866%20%28Australia%20-%20Row%2012%29.pdf" TargetMode="External" Id="rId20"/><Relationship Type="http://schemas.openxmlformats.org/officeDocument/2006/relationships/hyperlink" Target="https://github.com/ethandeysel/Data-Risk-Compliance/blob/main/data/acts/Australia/C2012C00866%20%28Australia%20-%20Row%2012%29.pdf" TargetMode="External" Id="rId21"/><Relationship Type="http://schemas.openxmlformats.org/officeDocument/2006/relationships/hyperlink" Target="https://github.com/ethandeysel/Data-Risk-Compliance/blob/main/data/acts/Australia/C2012C00866%20%28Australia%20-%20Row%2012%29.pdf" TargetMode="External" Id="rId22"/><Relationship Type="http://schemas.openxmlformats.org/officeDocument/2006/relationships/hyperlink" Target="https://github.com/ethandeysel/Data-Risk-Compliance/blob/main/data/acts/Australia/C2012C00866%20%28Australia%20-%20Row%2012%29.pdf" TargetMode="External" Id="rId23"/><Relationship Type="http://schemas.openxmlformats.org/officeDocument/2006/relationships/hyperlink" Target="https://github.com/ethandeysel/Data-Risk-Compliance/blob/main/data/acts/Australia/C2012C00866%20%28Australia%20-%20Row%2012%29.pdf" TargetMode="External" Id="rId24"/><Relationship Type="http://schemas.openxmlformats.org/officeDocument/2006/relationships/hyperlink" Target="https://github.com/ethandeysel/Data-Risk-Compliance/blob/main/data/acts/Australia/C2012C00866%20%28Australia%20-%20Row%2012%29.pdf" TargetMode="External" Id="rId25"/><Relationship Type="http://schemas.openxmlformats.org/officeDocument/2006/relationships/hyperlink" Target="https://github.com/ethandeysel/Data-Risk-Compliance/blob/main/data/acts/Australia/C2012C00866%20%28Australia%20-%20Row%2012%29.pdf" TargetMode="External" Id="rId26"/><Relationship Type="http://schemas.openxmlformats.org/officeDocument/2006/relationships/hyperlink" Target="https://github.com/ethandeysel/Data-Risk-Compliance/blob/main/data/acts/Australia/C2012C00866%20%28Australia%20-%20Row%2012%29.pdf" TargetMode="External" Id="rId27"/><Relationship Type="http://schemas.openxmlformats.org/officeDocument/2006/relationships/hyperlink" Target="https://github.com/ethandeysel/Data-Risk-Compliance/blob/main/data/acts/Australia/C2012C00866%20%28Australia%20-%20Row%2012%29.pdf" TargetMode="External" Id="rId28"/><Relationship Type="http://schemas.openxmlformats.org/officeDocument/2006/relationships/hyperlink" Target="https://github.com/ethandeysel/Data-Risk-Compliance/blob/main/data/acts/Australia/C2012C00866%20%28Australia%20-%20Row%2012%29.pdf" TargetMode="External" Id="rId29"/><Relationship Type="http://schemas.openxmlformats.org/officeDocument/2006/relationships/hyperlink" Target="https://github.com/ethandeysel/Data-Risk-Compliance/blob/main/data/acts/Australia/C2012C00866%20%28Australia%20-%20Row%2012%29.pdf" TargetMode="External" Id="rId30"/><Relationship Type="http://schemas.openxmlformats.org/officeDocument/2006/relationships/hyperlink" Target="https://github.com/ethandeysel/Data-Risk-Compliance/blob/main/data/acts/Australia/C2012C00866%20%28Australia%20-%20Row%2012%29.pdf" TargetMode="External" Id="rId31"/><Relationship Type="http://schemas.openxmlformats.org/officeDocument/2006/relationships/hyperlink" Target="https://github.com/ethandeysel/Data-Risk-Compliance/blob/main/data/acts/Australia/C2012C00866%20%28Australia%20-%20Row%2012%29.pdf" TargetMode="External" Id="rId32"/><Relationship Type="http://schemas.openxmlformats.org/officeDocument/2006/relationships/hyperlink" Target="https://github.com/ethandeysel/Data-Risk-Compliance/blob/main/data/acts/Australia/C2012C00866%20%28Australia%20-%20Row%2012%29.pdf" TargetMode="External" Id="rId33"/><Relationship Type="http://schemas.openxmlformats.org/officeDocument/2006/relationships/hyperlink" Target="https://github.com/ethandeysel/Data-Risk-Compliance/blob/main/data/acts/Australia/C2012C00866%20%28Australia%20-%20Row%2012%29.pdf" TargetMode="External" Id="rId34"/><Relationship Type="http://schemas.openxmlformats.org/officeDocument/2006/relationships/hyperlink" Target="https://github.com/ethandeysel/Data-Risk-Compliance/blob/main/data/acts/Australia/C2012C00866%20%28Australia%20-%20Row%2012%29.pdf" TargetMode="External" Id="rId35"/><Relationship Type="http://schemas.openxmlformats.org/officeDocument/2006/relationships/hyperlink" Target="https://github.com/ethandeysel/Data-Risk-Compliance/blob/main/data/acts/Australia/C2012C00866%20%28Australia%20-%20Row%2012%29.pdf" TargetMode="External" Id="rId36"/><Relationship Type="http://schemas.openxmlformats.org/officeDocument/2006/relationships/hyperlink" Target="https://github.com/ethandeysel/Data-Risk-Compliance/blob/main/data/acts/Australia/C2012C00866%20%28Australia%20-%20Row%2012%29.pdf" TargetMode="External" Id="rId37"/><Relationship Type="http://schemas.openxmlformats.org/officeDocument/2006/relationships/hyperlink" Target="https://github.com/ethandeysel/Data-Risk-Compliance/blob/main/data/acts/Australia/C2012C00866%20%28Australia%20-%20Row%2012%29.pdf" TargetMode="External" Id="rId38"/><Relationship Type="http://schemas.openxmlformats.org/officeDocument/2006/relationships/hyperlink" Target="https://github.com/ethandeysel/Data-Risk-Compliance/blob/main/data/acts/Australia/C2012C00866%20%28Australia%20-%20Row%2012%29.pdf" TargetMode="External" Id="rId39"/><Relationship Type="http://schemas.openxmlformats.org/officeDocument/2006/relationships/hyperlink" Target="https://github.com/ethandeysel/Data-Risk-Compliance/blob/main/data/acts/Australia/C2012C00866%20%28Australia%20-%20Row%2012%29.pdf" TargetMode="External" Id="rId40"/><Relationship Type="http://schemas.openxmlformats.org/officeDocument/2006/relationships/hyperlink" Target="https://github.com/ethandeysel/Data-Risk-Compliance/blob/main/data/acts/Australia/C2016C00614%20%28Australia%20-%20Row%2023%29.pdf" TargetMode="External" Id="rId41"/><Relationship Type="http://schemas.openxmlformats.org/officeDocument/2006/relationships/hyperlink" Target="https://github.com/ethandeysel/Data-Risk-Compliance/blob/main/data/acts/Australia/C2016C00614%20%28Australia%20-%20Row%2023%29.pdf" TargetMode="External" Id="rId42"/><Relationship Type="http://schemas.openxmlformats.org/officeDocument/2006/relationships/hyperlink" Target="https://github.com/ethandeysel/Data-Risk-Compliance/blob/main/data/acts/Australia/C2016C00614%20%28Australia%20-%20Row%2023%29.pdf" TargetMode="External" Id="rId43"/><Relationship Type="http://schemas.openxmlformats.org/officeDocument/2006/relationships/hyperlink" Target="https://github.com/ethandeysel/Data-Risk-Compliance/blob/main/data/acts/Australia/C2016C00614%20%28Australia%20-%20Row%2023%29.pdf" TargetMode="External" Id="rId44"/><Relationship Type="http://schemas.openxmlformats.org/officeDocument/2006/relationships/hyperlink" Target="https://github.com/ethandeysel/Data-Risk-Compliance/blob/main/data/acts/Australia/C2016C00614%20%28Australia%20-%20Row%2023%29.pdf" TargetMode="External" Id="rId45"/><Relationship Type="http://schemas.openxmlformats.org/officeDocument/2006/relationships/hyperlink" Target="https://github.com/ethandeysel/Data-Risk-Compliance/blob/main/data/acts/Australia/C2016C00614%20%28Australia%20-%20Row%2023%29.pdf" TargetMode="External" Id="rId46"/><Relationship Type="http://schemas.openxmlformats.org/officeDocument/2006/relationships/hyperlink" Target="https://github.com/ethandeysel/Data-Risk-Compliance/blob/main/data/acts/Australia/C2016C00614%20%28Australia%20-%20Row%2023%29.pdf" TargetMode="External" Id="rId47"/><Relationship Type="http://schemas.openxmlformats.org/officeDocument/2006/relationships/hyperlink" Target="https://github.com/ethandeysel/Data-Risk-Compliance/blob/main/data/acts/Australia/C2016C00614%20%28Australia%20-%20Row%2023%29.pdf" TargetMode="External" Id="rId48"/><Relationship Type="http://schemas.openxmlformats.org/officeDocument/2006/relationships/hyperlink" Target="https://github.com/ethandeysel/Data-Risk-Compliance/blob/main/data/acts/Australia/C2016C00614%20%28Australia%20-%20Row%2023%29.pdf" TargetMode="External" Id="rId49"/><Relationship Type="http://schemas.openxmlformats.org/officeDocument/2006/relationships/hyperlink" Target="https://github.com/ethandeysel/Data-Risk-Compliance/blob/main/data/acts/Australia/C2016C00614%20%28Australia%20-%20Row%2023%29.pdf" TargetMode="External" Id="rId50"/><Relationship Type="http://schemas.openxmlformats.org/officeDocument/2006/relationships/hyperlink" Target="https://github.com/ethandeysel/Data-Risk-Compliance/blob/main/data/acts/Australia/C2016C00614%20%28Australia%20-%20Row%2023%29.pdf" TargetMode="External" Id="rId51"/><Relationship Type="http://schemas.openxmlformats.org/officeDocument/2006/relationships/hyperlink" Target="https://github.com/ethandeysel/Data-Risk-Compliance/blob/main/data/acts/Australia/C2016C00614%20%28Australia%20-%20Row%2023%29.pdf" TargetMode="External" Id="rId52"/><Relationship Type="http://schemas.openxmlformats.org/officeDocument/2006/relationships/hyperlink" Target="https://github.com/ethandeysel/Data-Risk-Compliance/blob/main/data/acts/Australia/C2026C00227%20%28Australia%20-%20Row%2016%29.pdf" TargetMode="External" Id="rId53"/><Relationship Type="http://schemas.openxmlformats.org/officeDocument/2006/relationships/hyperlink" Target="https://github.com/ethandeysel/Data-Risk-Compliance/blob/main/data/acts/Australia/C2026C00227%20%28Australia%20-%20Row%2016%29.pdf" TargetMode="External" Id="rId54"/><Relationship Type="http://schemas.openxmlformats.org/officeDocument/2006/relationships/hyperlink" Target="https://github.com/ethandeysel/Data-Risk-Compliance/blob/main/data/acts/Australia/C2026C00227%20%28Australia%20-%20Row%2016%29.pdf" TargetMode="External" Id="rId55"/><Relationship Type="http://schemas.openxmlformats.org/officeDocument/2006/relationships/hyperlink" Target="https://github.com/ethandeysel/Data-Risk-Compliance/blob/main/data/acts/Australia/C2026C00227%20%28Australia%20-%20Row%2016%29.pdf" TargetMode="External" Id="rId56"/><Relationship Type="http://schemas.openxmlformats.org/officeDocument/2006/relationships/hyperlink" Target="https://github.com/ethandeysel/Data-Risk-Compliance/blob/main/data/acts/Australia/C2026C00227%20%28Australia%20-%20Row%2016%29.pdf" TargetMode="External" Id="rId57"/><Relationship Type="http://schemas.openxmlformats.org/officeDocument/2006/relationships/hyperlink" Target="https://github.com/ethandeysel/Data-Risk-Compliance/blob/main/data/acts/Australia/C2026C00227%20%28Australia%20-%20Row%2016%29.pdf" TargetMode="External" Id="rId58"/><Relationship Type="http://schemas.openxmlformats.org/officeDocument/2006/relationships/hyperlink" Target="https://github.com/ethandeysel/Data-Risk-Compliance/blob/main/data/acts/Australia/C2026C00227%20%28Australia%20-%20Row%2016%29.pdf" TargetMode="External" Id="rId59"/><Relationship Type="http://schemas.openxmlformats.org/officeDocument/2006/relationships/hyperlink" Target="https://github.com/ethandeysel/Data-Risk-Compliance/blob/main/data/acts/Australia/C2026C00227%20%28Australia%20-%20Row%2016%29.pdf" TargetMode="External" Id="rId60"/><Relationship Type="http://schemas.openxmlformats.org/officeDocument/2006/relationships/hyperlink" Target="https://github.com/ethandeysel/Data-Risk-Compliance/blob/main/data/acts/Australia/C2026C00227%20%28Australia%20-%20Row%2016%29.pdf" TargetMode="External" Id="rId61"/><Relationship Type="http://schemas.openxmlformats.org/officeDocument/2006/relationships/hyperlink" Target="https://github.com/ethandeysel/Data-Risk-Compliance/blob/main/data/acts/Australia/C2026C00227%20%28Australia%20-%20Row%2016%29.pdf" TargetMode="External" Id="rId62"/><Relationship Type="http://schemas.openxmlformats.org/officeDocument/2006/relationships/hyperlink" Target="https://github.com/ethandeysel/Data-Risk-Compliance/blob/main/data/acts/Australia/C2026C00227%20%28Australia%20-%20Row%2016%29.pdf" TargetMode="External" Id="rId63"/><Relationship Type="http://schemas.openxmlformats.org/officeDocument/2006/relationships/hyperlink" Target="https://github.com/ethandeysel/Data-Risk-Compliance/blob/main/data/acts/Australia/C2026C00227%20%28Australia%20-%20Row%2016%29.pdf" TargetMode="External" Id="rId64"/><Relationship Type="http://schemas.openxmlformats.org/officeDocument/2006/relationships/hyperlink" Target="https://github.com/ethandeysel/Data-Risk-Compliance/blob/main/data/acts/Australia/C2026C00227%20%28Australia%20-%20Row%2016%29.pdf" TargetMode="External" Id="rId65"/><Relationship Type="http://schemas.openxmlformats.org/officeDocument/2006/relationships/hyperlink" Target="https://github.com/ethandeysel/Data-Risk-Compliance/blob/main/data/acts/Australia/C2026C00227%20%28Australia%20-%20Row%2016%29.pdf" TargetMode="External" Id="rId66"/><Relationship Type="http://schemas.openxmlformats.org/officeDocument/2006/relationships/hyperlink" Target="https://github.com/ethandeysel/Data-Risk-Compliance/blob/main/data/acts/Australia/C2026C00227%20%28Australia%20-%20Row%2016%29.pdf" TargetMode="External" Id="rId67"/><Relationship Type="http://schemas.openxmlformats.org/officeDocument/2006/relationships/hyperlink" Target="https://github.com/ethandeysel/Data-Risk-Compliance/blob/main/data/acts/Australia/C2026C00227%20%28Australia%20-%20Row%2016%29.pdf" TargetMode="External" Id="rId68"/><Relationship Type="http://schemas.openxmlformats.org/officeDocument/2006/relationships/hyperlink" Target="https://github.com/ethandeysel/Data-Risk-Compliance/blob/main/data/acts/Australia/C2026C00227%20%28Australia%20-%20Row%2016%29.pdf" TargetMode="External" Id="rId69"/><Relationship Type="http://schemas.openxmlformats.org/officeDocument/2006/relationships/hyperlink" Target="https://github.com/ethandeysel/Data-Risk-Compliance/blob/main/data/acts/Australia/C2026C00227%20%28Australia%20-%20Row%2016%29.pdf" TargetMode="External" Id="rId70"/><Relationship Type="http://schemas.openxmlformats.org/officeDocument/2006/relationships/hyperlink" Target="https://github.com/ethandeysel/Data-Risk-Compliance/blob/main/data/acts/Australia/C2026C00227%20%28Australia%20-%20Row%2016%29.pdf" TargetMode="External" Id="rId71"/><Relationship Type="http://schemas.openxmlformats.org/officeDocument/2006/relationships/hyperlink" Target="https://github.com/ethandeysel/Data-Risk-Compliance/blob/main/data/acts/Australia/C2026C00227-1%20%28Australia%20-%20Row%2021%29.pdf" TargetMode="External" Id="rId72"/><Relationship Type="http://schemas.openxmlformats.org/officeDocument/2006/relationships/hyperlink" Target="https://github.com/ethandeysel/Data-Risk-Compliance/blob/main/data/acts/Australia/C2026C00227-1%20%28Australia%20-%20Row%2021%29.pdf" TargetMode="External" Id="rId73"/><Relationship Type="http://schemas.openxmlformats.org/officeDocument/2006/relationships/hyperlink" Target="https://github.com/ethandeysel/Data-Risk-Compliance/blob/main/data/acts/Australia/C2026C00227-1%20%28Australia%20-%20Row%2021%29.pdf" TargetMode="External" Id="rId74"/><Relationship Type="http://schemas.openxmlformats.org/officeDocument/2006/relationships/hyperlink" Target="https://github.com/ethandeysel/Data-Risk-Compliance/blob/main/data/acts/Australia/C2026C00227-1%20%28Australia%20-%20Row%2021%29.pdf" TargetMode="External" Id="rId75"/><Relationship Type="http://schemas.openxmlformats.org/officeDocument/2006/relationships/hyperlink" Target="https://github.com/ethandeysel/Data-Risk-Compliance/blob/main/data/acts/Australia/C2026C00227-1%20%28Australia%20-%20Row%2021%29.pdf" TargetMode="External" Id="rId76"/><Relationship Type="http://schemas.openxmlformats.org/officeDocument/2006/relationships/hyperlink" Target="https://github.com/ethandeysel/Data-Risk-Compliance/blob/main/data/acts/Australia/C2026C00227-1%20%28Australia%20-%20Row%2021%29.pdf" TargetMode="External" Id="rId77"/><Relationship Type="http://schemas.openxmlformats.org/officeDocument/2006/relationships/hyperlink" Target="https://github.com/ethandeysel/Data-Risk-Compliance/blob/main/data/acts/Australia/C2026C00227-1%20%28Australia%20-%20Row%2021%29.pdf" TargetMode="External" Id="rId78"/><Relationship Type="http://schemas.openxmlformats.org/officeDocument/2006/relationships/hyperlink" Target="https://github.com/ethandeysel/Data-Risk-Compliance/blob/main/data/acts/Australia/C2026C00227-1%20%28Australia%20-%20Row%2021%29.pdf" TargetMode="External" Id="rId79"/><Relationship Type="http://schemas.openxmlformats.org/officeDocument/2006/relationships/hyperlink" Target="https://github.com/ethandeysel/Data-Risk-Compliance/blob/main/data/acts/Australia/C2026C00227-1%20%28Australia%20-%20Row%2021%29.pdf" TargetMode="External" Id="rId80"/><Relationship Type="http://schemas.openxmlformats.org/officeDocument/2006/relationships/hyperlink" Target="https://github.com/ethandeysel/Data-Risk-Compliance/blob/main/data/acts/Australia/C2026C00227-1%20%28Australia%20-%20Row%2021%29.pdf" TargetMode="External" Id="rId81"/><Relationship Type="http://schemas.openxmlformats.org/officeDocument/2006/relationships/hyperlink" Target="https://github.com/ethandeysel/Data-Risk-Compliance/blob/main/data/acts/Australia/C2026C00227-1%20%28Australia%20-%20Row%2021%29.pdf" TargetMode="External" Id="rId82"/><Relationship Type="http://schemas.openxmlformats.org/officeDocument/2006/relationships/hyperlink" Target="https://github.com/ethandeysel/Data-Risk-Compliance/blob/main/data/acts/Australia/C2026C00227-1%20%28Australia%20-%20Row%2021%29.pdf" TargetMode="External" Id="rId83"/><Relationship Type="http://schemas.openxmlformats.org/officeDocument/2006/relationships/hyperlink" Target="https://github.com/ethandeysel/Data-Risk-Compliance/blob/main/data/acts/Australia/C2026C00227-1%20%28Australia%20-%20Row%2021%29.pdf" TargetMode="External" Id="rId84"/><Relationship Type="http://schemas.openxmlformats.org/officeDocument/2006/relationships/hyperlink" Target="https://github.com/ethandeysel/Data-Risk-Compliance/blob/main/data/acts/Australia/C2026C00227-1%20%28Australia%20-%20Row%2021%29.pdf" TargetMode="External" Id="rId85"/><Relationship Type="http://schemas.openxmlformats.org/officeDocument/2006/relationships/hyperlink" Target="https://github.com/ethandeysel/Data-Risk-Compliance/blob/main/data/acts/Australia/C2026C00227-1%20%28Australia%20-%20Row%2021%29.pdf" TargetMode="External" Id="rId86"/><Relationship Type="http://schemas.openxmlformats.org/officeDocument/2006/relationships/hyperlink" Target="https://github.com/ethandeysel/Data-Risk-Compliance/blob/main/data/acts/Australia/C2026C00227-1%20%28Australia%20-%20Row%2021%29.pdf" TargetMode="External" Id="rId87"/><Relationship Type="http://schemas.openxmlformats.org/officeDocument/2006/relationships/hyperlink" Target="https://github.com/ethandeysel/Data-Risk-Compliance/blob/main/data/acts/Australia/C2026C00227-1%20%28Australia%20-%20Row%2021%29.pdf" TargetMode="External" Id="rId88"/><Relationship Type="http://schemas.openxmlformats.org/officeDocument/2006/relationships/hyperlink" Target="https://github.com/ethandeysel/Data-Risk-Compliance/blob/main/data/acts/Australia/C2026C00227-1%20%28Australia%20-%20Row%2021%29.pdf" TargetMode="External" Id="rId89"/><Relationship Type="http://schemas.openxmlformats.org/officeDocument/2006/relationships/hyperlink" Target="https://github.com/ethandeysel/Data-Risk-Compliance/blob/main/data/acts/Australia/C2026C00227-1%20%28Australia%20-%20Row%2021%29.pdf" TargetMode="External" Id="rId90"/><Relationship Type="http://schemas.openxmlformats.org/officeDocument/2006/relationships/hyperlink" Target="https://github.com/ethandeysel/Data-Risk-Compliance/blob/main/data/acts/Australia/Essential%20Eight%20explained%20%28November%202023%29%20%28Australia%20-%20Row%2011%29.pdf" TargetMode="External" Id="rId91"/><Relationship Type="http://schemas.openxmlformats.org/officeDocument/2006/relationships/hyperlink" Target="https://github.com/ethandeysel/Data-Risk-Compliance/blob/main/data/acts/Australia/Essential%20Eight%20explained%20%28November%202023%29%20%28Australia%20-%20Row%2011%29.pdf" TargetMode="External" Id="rId92"/><Relationship Type="http://schemas.openxmlformats.org/officeDocument/2006/relationships/hyperlink" Target="https://github.com/ethandeysel/Data-Risk-Compliance/blob/main/data/acts/Australia/Essential%20Eight%20explained%20%28November%202023%29%20%28Australia%20-%20Row%2011%29.pdf" TargetMode="External" Id="rId93"/><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4"/><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5"/><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6"/><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7"/><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8"/><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99"/><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0"/><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1"/><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2"/><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3"/><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4"/><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5"/><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6"/><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7"/><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8"/><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09"/><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10"/><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11"/><Relationship Type="http://schemas.openxmlformats.org/officeDocument/2006/relationships/hyperlink" Target="https://github.com/ethandeysel/Data-Risk-Compliance/blob/main/data/acts/Australia/Prudential%20Standard%20-%20CPS%20230%20Operational%20Risk%20Management%20-%20clean%20%28Australia%20-%20Row%203%29.pdf" TargetMode="External" Id="rId112"/><Relationship Type="http://schemas.openxmlformats.org/officeDocument/2006/relationships/hyperlink" Target="https://github.com/ethandeysel/Data-Risk-Compliance/blob/main/data/acts/Australia/Prudential-Practice-Guide-CPG-235-Managing-Data-Risk_1%20%28Australia%20-%20Row%204%29.pdf" TargetMode="External" Id="rId113"/><Relationship Type="http://schemas.openxmlformats.org/officeDocument/2006/relationships/hyperlink" Target="https://github.com/ethandeysel/Data-Risk-Compliance/blob/main/data/acts/Australia/Prudential-Practice-Guide-CPG-235-Managing-Data-Risk_1%20%28Australia%20-%20Row%204%29.pdf" TargetMode="External" Id="rId114"/><Relationship Type="http://schemas.openxmlformats.org/officeDocument/2006/relationships/hyperlink" Target="https://github.com/ethandeysel/Data-Risk-Compliance/blob/main/data/acts/Australia/Prudential-Practice-Guide-CPG-235-Managing-Data-Risk_1%20%28Australia%20-%20Row%204%29.pdf" TargetMode="External" Id="rId115"/><Relationship Type="http://schemas.openxmlformats.org/officeDocument/2006/relationships/hyperlink" Target="https://github.com/ethandeysel/Data-Risk-Compliance/blob/main/data/acts/Australia/Prudential-Practice-Guide-CPG-235-Managing-Data-Risk_1%20%28Australia%20-%20Row%204%29.pdf" TargetMode="External" Id="rId116"/><Relationship Type="http://schemas.openxmlformats.org/officeDocument/2006/relationships/hyperlink" Target="https://github.com/ethandeysel/Data-Risk-Compliance/blob/main/data/acts/Australia/Prudential-Practice-Guide-CPG-235-Managing-Data-Risk_1%20%28Australia%20-%20Row%204%29.pdf" TargetMode="External" Id="rId117"/><Relationship Type="http://schemas.openxmlformats.org/officeDocument/2006/relationships/hyperlink" Target="https://github.com/ethandeysel/Data-Risk-Compliance/blob/main/data/acts/Australia/Prudential-Practice-Guide-CPG-235-Managing-Data-Risk_1%20%28Australia%20-%20Row%204%29.pdf" TargetMode="External" Id="rId118"/><Relationship Type="http://schemas.openxmlformats.org/officeDocument/2006/relationships/hyperlink" Target="https://github.com/ethandeysel/Data-Risk-Compliance/blob/main/data/acts/Australia/Prudential-Practice-Guide-CPG-235-Managing-Data-Risk_1%20%28Australia%20-%20Row%204%29.pdf" TargetMode="External" Id="rId119"/><Relationship Type="http://schemas.openxmlformats.org/officeDocument/2006/relationships/hyperlink" Target="https://github.com/ethandeysel/Data-Risk-Compliance/blob/main/data/acts/Australia/Prudential-Practice-Guide-CPG-235-Managing-Data-Risk_1%20%28Australia%20-%20Row%204%29.pdf" TargetMode="External" Id="rId120"/><Relationship Type="http://schemas.openxmlformats.org/officeDocument/2006/relationships/hyperlink" Target="https://github.com/ethandeysel/Data-Risk-Compliance/blob/main/data/acts/Australia/Prudential-Practice-Guide-CPG-235-Managing-Data-Risk_1%20%28Australia%20-%20Row%204%29.pdf" TargetMode="External" Id="rId121"/><Relationship Type="http://schemas.openxmlformats.org/officeDocument/2006/relationships/hyperlink" Target="https://github.com/ethandeysel/Data-Risk-Compliance/blob/main/data/acts/Australia/Prudential-Practice-Guide-CPG-235-Managing-Data-Risk_1%20%28Australia%20-%20Row%204%29.pdf" TargetMode="External" Id="rId122"/><Relationship Type="http://schemas.openxmlformats.org/officeDocument/2006/relationships/hyperlink" Target="https://github.com/ethandeysel/Data-Risk-Compliance/blob/main/data/acts/Australia/Prudential-Practice-Guide-CPG-235-Managing-Data-Risk_1%20%28Australia%20-%20Row%204%29.pdf" TargetMode="External" Id="rId123"/><Relationship Type="http://schemas.openxmlformats.org/officeDocument/2006/relationships/hyperlink" Target="https://github.com/ethandeysel/Data-Risk-Compliance/blob/main/data/acts/Australia/Prudential-Practice-Guide-CPG-235-Managing-Data-Risk_1%20%28Australia%20-%20Row%204%29.pdf" TargetMode="External" Id="rId124"/><Relationship Type="http://schemas.openxmlformats.org/officeDocument/2006/relationships/hyperlink" Target="https://github.com/ethandeysel/Data-Risk-Compliance/blob/main/data/acts/Australia/Prudential-Practice-Guide-CPG-235-Managing-Data-Risk_1%20%28Australia%20-%20Row%204%29.pdf" TargetMode="External" Id="rId125"/><Relationship Type="http://schemas.openxmlformats.org/officeDocument/2006/relationships/hyperlink" Target="https://github.com/ethandeysel/Data-Risk-Compliance/blob/main/data/acts/Australia/Prudential-Practice-Guide-CPG-235-Managing-Data-Risk_1%20%28Australia%20-%20Row%204%29.pdf" TargetMode="External" Id="rId126"/><Relationship Type="http://schemas.openxmlformats.org/officeDocument/2006/relationships/hyperlink" Target="https://github.com/ethandeysel/Data-Risk-Compliance/blob/main/data/acts/Australia/Prudential-Practice-Guide-CPG-235-Managing-Data-Risk_1%20%28Australia%20-%20Row%204%29.pdf" TargetMode="External" Id="rId127"/><Relationship Type="http://schemas.openxmlformats.org/officeDocument/2006/relationships/hyperlink" Target="https://github.com/ethandeysel/Data-Risk-Compliance/blob/main/data/acts/Australia/Prudential-Practice-Guide-CPG-235-Managing-Data-Risk_1%20%28Australia%20-%20Row%204%29.pdf" TargetMode="External" Id="rId128"/><Relationship Type="http://schemas.openxmlformats.org/officeDocument/2006/relationships/hyperlink" Target="https://github.com/ethandeysel/Data-Risk-Compliance/blob/main/data/acts/Australia/Prudential-Practice-Guide-CPG-235-Managing-Data-Risk_1%20%28Australia%20-%20Row%204%29.pdf" TargetMode="External" Id="rId129"/><Relationship Type="http://schemas.openxmlformats.org/officeDocument/2006/relationships/hyperlink" Target="https://github.com/ethandeysel/Data-Risk-Compliance/blob/main/data/acts/Australia/Prudential-Practice-Guide-CPG-235-Managing-Data-Risk_1%20%28Australia%20-%20Row%204%29.pdf" TargetMode="External" Id="rId130"/><Relationship Type="http://schemas.openxmlformats.org/officeDocument/2006/relationships/hyperlink" Target="https://github.com/ethandeysel/Data-Risk-Compliance/blob/main/data/acts/Australia/Prudential-Practice-Guide-CPG-235-Managing-Data-Risk_1%20%28Australia%20-%20Row%204%29.pdf" TargetMode="External" Id="rId131"/><Relationship Type="http://schemas.openxmlformats.org/officeDocument/2006/relationships/hyperlink" Target="https://github.com/ethandeysel/Data-Risk-Compliance/blob/main/data/acts/Australia/Prudential-Practice-Guide-CPG-235-Managing-Data-Risk_1%20%28Australia%20-%20Row%204%29.pdf" TargetMode="External" Id="rId132"/><Relationship Type="http://schemas.openxmlformats.org/officeDocument/2006/relationships/hyperlink" Target="https://github.com/ethandeysel/Data-Risk-Compliance/blob/main/data/acts/Australia/Prudential-Practice-Guide-CPG-235-Managing-Data-Risk_1%20%28Australia%20-%20Row%204%29.pdf" TargetMode="External" Id="rId133"/><Relationship Type="http://schemas.openxmlformats.org/officeDocument/2006/relationships/hyperlink" Target="https://github.com/ethandeysel/Data-Risk-Compliance/blob/main/data/acts/Australia/Prudential-Practice-Guide-CPG-235-Managing-Data-Risk_1%20%28Australia%20-%20Row%204%29.pdf" TargetMode="External" Id="rId134"/><Relationship Type="http://schemas.openxmlformats.org/officeDocument/2006/relationships/hyperlink" Target="https://github.com/ethandeysel/Data-Risk-Compliance/blob/main/data/acts/Australia/Prudential-Practice-Guide-CPG-235-Managing-Data-Risk_1%20%28Australia%20-%20Row%204%29.pdf" TargetMode="External" Id="rId135"/><Relationship Type="http://schemas.openxmlformats.org/officeDocument/2006/relationships/hyperlink" Target="https://github.com/ethandeysel/Data-Risk-Compliance/blob/main/data/acts/Australia/Prudential-Practice-Guide-CPG-235-Managing-Data-Risk_1%20%28Australia%20-%20Row%204%29.pdf" TargetMode="External" Id="rId136"/><Relationship Type="http://schemas.openxmlformats.org/officeDocument/2006/relationships/hyperlink" Target="https://github.com/ethandeysel/Data-Risk-Compliance/blob/main/data/acts/Australia/Prudential-Practice-Guide-CPG-235-Managing-Data-Risk_1%20%28Australia%20-%20Row%204%29.pdf" TargetMode="External" Id="rId137"/><Relationship Type="http://schemas.openxmlformats.org/officeDocument/2006/relationships/hyperlink" Target="https://github.com/ethandeysel/Data-Risk-Compliance/blob/main/data/acts/Australia/Prudential-Practice-Guide-CPG-235-Managing-Data-Risk_1%20%28Australia%20-%20Row%204%29.pdf" TargetMode="External" Id="rId138"/><Relationship Type="http://schemas.openxmlformats.org/officeDocument/2006/relationships/hyperlink" Target="https://github.com/ethandeysel/Data-Risk-Compliance/blob/main/data/acts/Australia/Prudential-Practice-Guide-CPG-235-Managing-Data-Risk_1%20%28Australia%20-%20Row%204%29.pdf" TargetMode="External" Id="rId139"/><Relationship Type="http://schemas.openxmlformats.org/officeDocument/2006/relationships/hyperlink" Target="https://github.com/ethandeysel/Data-Risk-Compliance/blob/main/data/acts/Australia/Prudential-Practice-Guide-CPG-235-Managing-Data-Risk_1%20%28Australia%20-%20Row%204%29.pdf" TargetMode="External" Id="rId140"/><Relationship Type="http://schemas.openxmlformats.org/officeDocument/2006/relationships/hyperlink" Target="https://github.com/ethandeysel/Data-Risk-Compliance/blob/main/data/acts/Australia/Prudential-Practice-Guide-CPG-235-Managing-Data-Risk_1%20%28Australia%20-%20Row%204%29.pdf" TargetMode="External" Id="rId141"/><Relationship Type="http://schemas.openxmlformats.org/officeDocument/2006/relationships/hyperlink" Target="https://github.com/ethandeysel/Data-Risk-Compliance/blob/main/data/acts/Australia/Prudential-Practice-Guide-CPG-235-Managing-Data-Risk_1%20%28Australia%20-%20Row%204%29.pdf" TargetMode="External" Id="rId142"/><Relationship Type="http://schemas.openxmlformats.org/officeDocument/2006/relationships/hyperlink" Target="https://github.com/ethandeysel/Data-Risk-Compliance/blob/main/data/acts/Australia/Prudential-Practice-Guide-CPG-235-Managing-Data-Risk_1%20%28Australia%20-%20Row%204%29.pdf" TargetMode="External" Id="rId143"/><Relationship Type="http://schemas.openxmlformats.org/officeDocument/2006/relationships/hyperlink" Target="https://github.com/ethandeysel/Data-Risk-Compliance/blob/main/data/acts/Australia/Prudential-Practice-Guide-CPG-235-Managing-Data-Risk_1%20%28Australia%20-%20Row%204%29.pdf" TargetMode="External" Id="rId144"/><Relationship Type="http://schemas.openxmlformats.org/officeDocument/2006/relationships/hyperlink" Target="https://github.com/ethandeysel/Data-Risk-Compliance/blob/main/data/acts/Australia/Prudential-Practice-Guide-CPG-235-Managing-Data-Risk_1%20%28Australia%20-%20Row%204%29.pdf" TargetMode="External" Id="rId145"/><Relationship Type="http://schemas.openxmlformats.org/officeDocument/2006/relationships/hyperlink" Target="https://github.com/ethandeysel/Data-Risk-Compliance/blob/main/data/acts/Australia/Prudential-Practice-Guide-CPG-235-Managing-Data-Risk_1%20%28Australia%20-%20Row%204%29.pdf" TargetMode="External" Id="rId146"/><Relationship Type="http://schemas.openxmlformats.org/officeDocument/2006/relationships/hyperlink" Target="https://github.com/ethandeysel/Data-Risk-Compliance/blob/main/data/acts/Australia/Prudential-Practice-Guide-CPG-235-Managing-Data-Risk_1%20%28Australia%20-%20Row%204%29.pdf" TargetMode="External" Id="rId147"/><Relationship Type="http://schemas.openxmlformats.org/officeDocument/2006/relationships/hyperlink" Target="https://github.com/ethandeysel/Data-Risk-Compliance/blob/main/data/acts/Australia/Prudential-Practice-Guide-CPG-235-Managing-Data-Risk_1%20%28Australia%20-%20Row%204%29.pdf" TargetMode="External" Id="rId148"/><Relationship Type="http://schemas.openxmlformats.org/officeDocument/2006/relationships/hyperlink" Target="https://github.com/ethandeysel/Data-Risk-Compliance/blob/main/data/acts/Australia/Prudential-Practice-Guide-CPG-235-Managing-Data-Risk_1%20%28Australia%20-%20Row%204%29.pdf" TargetMode="External" Id="rId149"/><Relationship Type="http://schemas.openxmlformats.org/officeDocument/2006/relationships/hyperlink" Target="https://github.com/ethandeysel/Data-Risk-Compliance/blob/main/data/acts/Australia/Prudential-Standard-CPS-232-Business-Continuity-Management-%28July-2017%29%20%28Australia%20-%20Row%205%29.pdf" TargetMode="External" Id="rId150"/><Relationship Type="http://schemas.openxmlformats.org/officeDocument/2006/relationships/hyperlink" Target="https://github.com/ethandeysel/Data-Risk-Compliance/blob/main/data/acts/Australia/Prudential-Standard-CPS-232-Business-Continuity-Management-%28July-2017%29%20%28Australia%20-%20Row%205%29.pdf" TargetMode="External" Id="rId151"/><Relationship Type="http://schemas.openxmlformats.org/officeDocument/2006/relationships/hyperlink" Target="https://github.com/ethandeysel/Data-Risk-Compliance/blob/main/data/acts/Australia/Prudential-Standard-CPS-232-Business-Continuity-Management-%28July-2017%29%20%28Australia%20-%20Row%205%29.pdf" TargetMode="External" Id="rId152"/><Relationship Type="http://schemas.openxmlformats.org/officeDocument/2006/relationships/hyperlink" Target="https://github.com/ethandeysel/Data-Risk-Compliance/blob/main/data/acts/Australia/Prudential-Standard-CPS-232-Business-Continuity-Management-%28July-2017%29%20%28Australia%20-%20Row%205%29.pdf" TargetMode="External" Id="rId153"/><Relationship Type="http://schemas.openxmlformats.org/officeDocument/2006/relationships/hyperlink" Target="https://github.com/ethandeysel/Data-Risk-Compliance/blob/main/data/acts/Australia/Prudential-Standard-CPS-232-Business-Continuity-Management-%28July-2017%29%20%28Australia%20-%20Row%205%29.pdf" TargetMode="External" Id="rId154"/><Relationship Type="http://schemas.openxmlformats.org/officeDocument/2006/relationships/hyperlink" Target="https://github.com/ethandeysel/Data-Risk-Compliance/blob/main/data/acts/Australia/Prudential-Standard-CPS-232-Business-Continuity-Management-%28July-2017%29%20%28Australia%20-%20Row%205%29.pdf" TargetMode="External" Id="rId155"/><Relationship Type="http://schemas.openxmlformats.org/officeDocument/2006/relationships/hyperlink" Target="https://github.com/ethandeysel/Data-Risk-Compliance/blob/main/data/acts/Australia/Prudential-Standard-CPS-232-Business-Continuity-Management-%28July-2017%29%20%28Australia%20-%20Row%205%29.pdf" TargetMode="External" Id="rId156"/><Relationship Type="http://schemas.openxmlformats.org/officeDocument/2006/relationships/hyperlink" Target="https://github.com/ethandeysel/Data-Risk-Compliance/blob/main/data/acts/Australia/Prudential-Standard-CPS-232-Business-Continuity-Management-%28July-2017%29%20%28Australia%20-%20Row%205%29.pdf" TargetMode="External" Id="rId157"/><Relationship Type="http://schemas.openxmlformats.org/officeDocument/2006/relationships/hyperlink" Target="https://github.com/ethandeysel/Data-Risk-Compliance/blob/main/data/acts/Australia/Prudential-Standard-CPS-232-Business-Continuity-Management-%28July-2017%29%20%28Australia%20-%20Row%205%29.pdf" TargetMode="External" Id="rId158"/><Relationship Type="http://schemas.openxmlformats.org/officeDocument/2006/relationships/hyperlink" Target="https://github.com/ethandeysel/Data-Risk-Compliance/blob/main/data/acts/Australia/Prudential-Standard-CPS-232-Business-Continuity-Management-%28July-2017%29%20%28Australia%20-%20Row%205%29.pdf" TargetMode="External" Id="rId159"/><Relationship Type="http://schemas.openxmlformats.org/officeDocument/2006/relationships/hyperlink" Target="https://github.com/ethandeysel/Data-Risk-Compliance/blob/main/data/acts/Australia/Prudential-Standard-CPS-232-Business-Continuity-Management-%28July-2017%29%20%28Australia%20-%20Row%205%29.pdf" TargetMode="External" Id="rId160"/><Relationship Type="http://schemas.openxmlformats.org/officeDocument/2006/relationships/hyperlink" Target="https://github.com/ethandeysel/Data-Risk-Compliance/blob/main/data/acts/Australia/Statutory%20tort%20for%20serious%20invasions%20of%20privacy%20_%20OAIC%20%28Australia%20-%20Row%2024%29.pdf" TargetMode="External" Id="rId161"/><Relationship Type="http://schemas.openxmlformats.org/officeDocument/2006/relationships/hyperlink" Target="https://github.com/ethandeysel/Data-Risk-Compliance/blob/main/data/acts/Australia/Statutory%20tort%20for%20serious%20invasions%20of%20privacy%20_%20OAIC%20%28Australia%20-%20Row%2024%29.pdf" TargetMode="External" Id="rId162"/><Relationship Type="http://schemas.openxmlformats.org/officeDocument/2006/relationships/hyperlink" Target="https://github.com/ethandeysel/Data-Risk-Compliance/blob/main/data/acts/Australia/Statutory%20tort%20for%20serious%20invasions%20of%20privacy%20_%20OAIC%20%28Australia%20-%20Row%2024%29.pdf" TargetMode="External" Id="rId163"/><Relationship Type="http://schemas.openxmlformats.org/officeDocument/2006/relationships/hyperlink" Target="https://github.com/ethandeysel/Data-Risk-Compliance/blob/main/data/acts/Australia/Statutory%20tort%20for%20serious%20invasions%20of%20privacy%20_%20OAIC%20%28Australia%20-%20Row%2024%29.pdf" TargetMode="External" Id="rId164"/><Relationship Type="http://schemas.openxmlformats.org/officeDocument/2006/relationships/hyperlink" Target="https://github.com/ethandeysel/Data-Risk-Compliance/blob/main/data/acts/Australia/Statutory%20tort%20for%20serious%20invasions%20of%20privacy%20_%20OAIC%20%28Australia%20-%20Row%2024%29.pdf" TargetMode="External" Id="rId165"/><Relationship Type="http://schemas.openxmlformats.org/officeDocument/2006/relationships/hyperlink" Target="https://github.com/ethandeysel/Data-Risk-Compliance/blob/main/data/acts/Australia/cps_234_july_2019_for_public_release%20%28Australia%20-%20Row%206%29.pdf" TargetMode="External" Id="rId166"/><Relationship Type="http://schemas.openxmlformats.org/officeDocument/2006/relationships/hyperlink" Target="https://github.com/ethandeysel/Data-Risk-Compliance/blob/main/data/acts/Australia/cps_234_july_2019_for_public_release%20%28Australia%20-%20Row%206%29.pdf" TargetMode="External" Id="rId167"/><Relationship Type="http://schemas.openxmlformats.org/officeDocument/2006/relationships/hyperlink" Target="https://github.com/ethandeysel/Data-Risk-Compliance/blob/main/data/acts/Australia/cps_234_july_2019_for_public_release%20%28Australia%20-%20Row%206%29.pdf" TargetMode="External" Id="rId168"/><Relationship Type="http://schemas.openxmlformats.org/officeDocument/2006/relationships/hyperlink" Target="https://github.com/ethandeysel/Data-Risk-Compliance/blob/main/data/acts/Australia/cps_234_july_2019_for_public_release%20%28Australia%20-%20Row%206%29.pdf" TargetMode="External" Id="rId169"/><Relationship Type="http://schemas.openxmlformats.org/officeDocument/2006/relationships/hyperlink" Target="https://github.com/ethandeysel/Data-Risk-Compliance/blob/main/data/acts/Australia/cps_234_july_2019_for_public_release%20%28Australia%20-%20Row%206%29.pdf" TargetMode="External" Id="rId170"/><Relationship Type="http://schemas.openxmlformats.org/officeDocument/2006/relationships/hyperlink" Target="https://github.com/ethandeysel/Data-Risk-Compliance/blob/main/data/acts/Australia/cps_234_july_2019_for_public_release%20%28Australia%20-%20Row%206%29.pdf" TargetMode="External" Id="rId171"/><Relationship Type="http://schemas.openxmlformats.org/officeDocument/2006/relationships/hyperlink" Target="https://github.com/ethandeysel/Data-Risk-Compliance/blob/main/data/acts/Australia/cps_234_july_2019_for_public_release%20%28Australia%20-%20Row%206%29.pdf" TargetMode="External" Id="rId172"/><Relationship Type="http://schemas.openxmlformats.org/officeDocument/2006/relationships/hyperlink" Target="https://github.com/ethandeysel/Data-Risk-Compliance/blob/main/data/acts/Australia/cps_234_july_2019_for_public_release%20%28Australia%20-%20Row%206%29.pdf" TargetMode="External" Id="rId173"/><Relationship Type="http://schemas.openxmlformats.org/officeDocument/2006/relationships/hyperlink" Target="https://github.com/ethandeysel/Data-Risk-Compliance/blob/main/data/acts/Australia/cps_234_july_2019_for_public_release%20%28Australia%20-%20Row%206%29.pdf" TargetMode="External" Id="rId174"/><Relationship Type="http://schemas.openxmlformats.org/officeDocument/2006/relationships/hyperlink" Target="https://github.com/ethandeysel/Data-Risk-Compliance/blob/main/data/acts/Australia/cps_234_july_2019_for_public_release%20%28Australia%20-%20Row%206%29.pdf" TargetMode="External" Id="rId175"/><Relationship Type="http://schemas.openxmlformats.org/officeDocument/2006/relationships/hyperlink" Target="https://github.com/ethandeysel/Data-Risk-Compliance/blob/main/data/acts/Australia/cps_234_july_2019_for_public_release%20%28Australia%20-%20Row%206%29.pdf" TargetMode="External" Id="rId176"/><Relationship Type="http://schemas.openxmlformats.org/officeDocument/2006/relationships/hyperlink" Target="https://github.com/ethandeysel/Data-Risk-Compliance/blob/main/data/acts/Australia/cps_234_july_2019_for_public_release%20%28Australia%20-%20Row%206%29.pdf" TargetMode="External" Id="rId177"/><Relationship Type="http://schemas.openxmlformats.org/officeDocument/2006/relationships/hyperlink" Target="https://github.com/ethandeysel/Data-Risk-Compliance/blob/main/data/acts/Australia/cps_234_july_2019_for_public_release%20%28Australia%20-%20Row%206%29.pdf" TargetMode="External" Id="rId178"/><Relationship Type="http://schemas.openxmlformats.org/officeDocument/2006/relationships/hyperlink" Target="https://github.com/ethandeysel/Data-Risk-Compliance/blob/main/data/acts/Australia/cps_234_july_2019_for_public_release%20%28Australia%20-%20Row%206%29.pdf" TargetMode="External" Id="rId179"/><Relationship Type="http://schemas.openxmlformats.org/officeDocument/2006/relationships/hyperlink" Target="https://github.com/ethandeysel/Data-Risk-Compliance/blob/main/data/acts/Australia/cps_234_july_2019_for_public_release%20%28Australia%20-%20Row%206%29.pdf" TargetMode="External" Id="rId180"/><Relationship Type="http://schemas.openxmlformats.org/officeDocument/2006/relationships/hyperlink" Target="https://github.com/ethandeysel/Data-Risk-Compliance/blob/main/data/acts/Australia/cps_234_july_2019_for_public_release%20%28Australia%20-%20Row%206%29.pdf" TargetMode="External" Id="rId181"/><Relationship Type="http://schemas.openxmlformats.org/officeDocument/2006/relationships/hyperlink" Target="https://github.com/ethandeysel/Data-Risk-Compliance/blob/main/data/acts/Australia/cps_234_july_2019_for_public_release%20%28Australia%20-%20Row%206%29.pdf" TargetMode="External" Id="rId182"/><Relationship Type="http://schemas.openxmlformats.org/officeDocument/2006/relationships/hyperlink" Target="https://github.com/ethandeysel/Data-Risk-Compliance/blob/main/data/acts/Australia/cps_234_july_2019_for_public_release%20%28Australia%20-%20Row%206%29.pdf" TargetMode="External" Id="rId183"/><Relationship Type="http://schemas.openxmlformats.org/officeDocument/2006/relationships/hyperlink" Target="https://github.com/ethandeysel/Data-Risk-Compliance/blob/main/data/acts/Australia/cps_234_july_2019_for_public_release%20%28Australia%20-%20Row%206%29.pdf" TargetMode="External" Id="rId184"/><Relationship Type="http://schemas.openxmlformats.org/officeDocument/2006/relationships/hyperlink" Target="https://github.com/ethandeysel/Data-Risk-Compliance/blob/main/data/acts/Australia/cps_234_july_2019_for_public_release%20%28Australia%20-%20Row%206%29.pdf" TargetMode="External" Id="rId185"/><Relationship Type="http://schemas.openxmlformats.org/officeDocument/2006/relationships/hyperlink" Target="https://github.com/ethandeysel/Data-Risk-Compliance/blob/main/data/acts/Australia/cps_234_july_2019_for_public_release%20%28Australia%20-%20Row%206%29.pdf" TargetMode="External" Id="rId186"/><Relationship Type="http://schemas.openxmlformats.org/officeDocument/2006/relationships/hyperlink" Target="https://github.com/ethandeysel/Data-Risk-Compliance/blob/main/data/acts/Australia/cps_234_july_2019_for_public_release%20%28Australia%20-%20Row%206%29.pdf" TargetMode="External" Id="rId187"/><Relationship Type="http://schemas.openxmlformats.org/officeDocument/2006/relationships/hyperlink" Target="https://github.com/ethandeysel/Data-Risk-Compliance/blob/main/data/acts/Australia/cps_234_july_2019_for_public_release%20%28Australia%20-%20Row%206%29.pdf" TargetMode="External" Id="rId188"/><Relationship Type="http://schemas.openxmlformats.org/officeDocument/2006/relationships/hyperlink" Target="https://github.com/ethandeysel/Data-Risk-Compliance/blob/main/data/acts/Australia/cps_234_july_2019_for_public_release%20%28Australia%20-%20Row%206%29.pdf" TargetMode="External" Id="rId189"/><Relationship Type="http://schemas.openxmlformats.org/officeDocument/2006/relationships/hyperlink" Target="https://github.com/ethandeysel/Data-Risk-Compliance/blob/main/data/acts/Australia/cps_234_july_2019_for_public_release%20%28Australia%20-%20Row%206%29.pdf" TargetMode="External" Id="rId190"/><Relationship Type="http://schemas.openxmlformats.org/officeDocument/2006/relationships/hyperlink" Target="https://github.com/ethandeysel/Data-Risk-Compliance/blob/main/data/acts/Australia/cps_234_july_2019_for_public_release%20%28Australia%20-%20Row%206%29.pdf" TargetMode="External" Id="rId191"/><Relationship Type="http://schemas.openxmlformats.org/officeDocument/2006/relationships/hyperlink" Target="https://github.com/ethandeysel/Data-Risk-Compliance/blob/main/data/acts/Australia/cps_234_july_2019_for_public_release%20%28Australia%20-%20Row%206%29.pdf" TargetMode="External" Id="rId192"/><Relationship Type="http://schemas.openxmlformats.org/officeDocument/2006/relationships/hyperlink" Target="https://github.com/ethandeysel/Data-Risk-Compliance/blob/main/data/acts/Australia/cps_234_july_2019_for_public_release%20%28Australia%20-%20Row%206%29.pdf" TargetMode="External" Id="rId193"/><Relationship Type="http://schemas.openxmlformats.org/officeDocument/2006/relationships/hyperlink" Target="https://github.com/ethandeysel/Data-Risk-Compliance/blob/main/data/acts/Australia/cps_234_july_2019_for_public_release%20%28Australia%20-%20Row%206%29.pdf" TargetMode="External" Id="rId194"/><Relationship Type="http://schemas.openxmlformats.org/officeDocument/2006/relationships/hyperlink" Target="https://github.com/ethandeysel/Data-Risk-Compliance/blob/main/data/acts/Australia/cps_234_july_2019_for_public_release%20%28Australia%20-%20Row%206%29.pdf" TargetMode="External" Id="rId195"/><Relationship Type="http://schemas.openxmlformats.org/officeDocument/2006/relationships/hyperlink" Target="https://github.com/ethandeysel/Data-Risk-Compliance/blob/main/data/acts/Australia/cps_234_july_2019_for_public_release%20%28Australia%20-%20Row%206%29.pdf" TargetMode="External" Id="rId196"/><Relationship Type="http://schemas.openxmlformats.org/officeDocument/2006/relationships/hyperlink" Target="https://github.com/ethandeysel/Data-Risk-Compliance/blob/main/data/acts/Australia/cps_234_july_2019_for_public_release%20%28Australia%20-%20Row%206%29.pdf" TargetMode="External" Id="rId197"/><Relationship Type="http://schemas.openxmlformats.org/officeDocument/2006/relationships/hyperlink" Target="https://github.com/ethandeysel/Data-Risk-Compliance/blob/main/data/acts/Australia/rg255-published-30-august-2016-20220328%20%28Australia%20-%20Row%209%29.pdf" TargetMode="External" Id="rId198"/><Relationship Type="http://schemas.openxmlformats.org/officeDocument/2006/relationships/hyperlink" Target="https://github.com/ethandeysel/Data-Risk-Compliance/blob/main/data/acts/Australia/rg255-published-30-august-2016-20220328%20%28Australia%20-%20Row%209%29.pdf" TargetMode="External" Id="rId199"/><Relationship Type="http://schemas.openxmlformats.org/officeDocument/2006/relationships/hyperlink" Target="https://github.com/ethandeysel/Data-Risk-Compliance/blob/main/data/acts/Australia/rg255-published-30-august-2016-20220328%20%28Australia%20-%20Row%209%29.pdf" TargetMode="External" Id="rId200"/><Relationship Type="http://schemas.openxmlformats.org/officeDocument/2006/relationships/hyperlink" Target="https://github.com/ethandeysel/Data-Risk-Compliance/blob/main/data/acts/Australia/rg255-published-30-august-2016-20220328%20%28Australia%20-%20Row%209%29.pdf" TargetMode="External" Id="rId201"/><Relationship Type="http://schemas.openxmlformats.org/officeDocument/2006/relationships/hyperlink" Target="https://github.com/ethandeysel/Data-Risk-Compliance/blob/main/data/acts/Australia/rg255-published-30-august-2016-20220328%20%28Australia%20-%20Row%209%29.pdf" TargetMode="External" Id="rId202"/><Relationship Type="http://schemas.openxmlformats.org/officeDocument/2006/relationships/hyperlink" Target="https://github.com/ethandeysel/Data-Risk-Compliance/blob/main/data/acts/Australia/rg255-published-30-august-2016-20220328%20%28Australia%20-%20Row%209%29.pdf" TargetMode="External" Id="rId203"/><Relationship Type="http://schemas.openxmlformats.org/officeDocument/2006/relationships/hyperlink" Target="https://github.com/ethandeysel/Data-Risk-Compliance/blob/main/data/acts/Australia/rg255-published-30-august-2016-20220328%20%28Australia%20-%20Row%209%29.pdf" TargetMode="External" Id="rId204"/><Relationship Type="http://schemas.openxmlformats.org/officeDocument/2006/relationships/hyperlink" Target="https://github.com/ethandeysel/Data-Risk-Compliance/blob/main/data/acts/Australia/rg255-published-30-august-2016-20220328%20%28Australia%20-%20Row%209%29.pdf" TargetMode="External" Id="rId205"/><Relationship Type="http://schemas.openxmlformats.org/officeDocument/2006/relationships/hyperlink" Target="https://github.com/ethandeysel/Data-Risk-Compliance/blob/main/data/acts/Australia/rg255-published-30-august-2016-20220328%20%28Australia%20-%20Row%209%29.pdf" TargetMode="External" Id="rId206"/><Relationship Type="http://schemas.openxmlformats.org/officeDocument/2006/relationships/hyperlink" Target="https://github.com/ethandeysel/Data-Risk-Compliance/blob/main/data/acts/Australia/rg255-published-30-august-2016-20220328%20%28Australia%20-%20Row%209%29.pdf" TargetMode="External" Id="rId207"/><Relationship Type="http://schemas.openxmlformats.org/officeDocument/2006/relationships/hyperlink" Target="https://github.com/ethandeysel/Data-Risk-Compliance/blob/main/data/acts/Australia/rg255-published-30-august-2016-20220328%20%28Australia%20-%20Row%209%29.pdf" TargetMode="External" Id="rId208"/><Relationship Type="http://schemas.openxmlformats.org/officeDocument/2006/relationships/hyperlink" Target="https://github.com/ethandeysel/Data-Risk-Compliance/blob/main/data/acts/Australia/rg255-published-30-august-2016-20220328%20%28Australia%20-%20Row%209%29.pdf" TargetMode="External" Id="rId209"/><Relationship Type="http://schemas.openxmlformats.org/officeDocument/2006/relationships/hyperlink" Target="https://github.com/ethandeysel/Data-Risk-Compliance/blob/main/data/acts/Australia/rg255-published-30-august-2016-20220328%20%28Australia%20-%20Row%209%29.pdf" TargetMode="External" Id="rId210"/><Relationship Type="http://schemas.openxmlformats.org/officeDocument/2006/relationships/hyperlink" Target="https://github.com/ethandeysel/Data-Risk-Compliance/blob/main/data/acts/Australia/rg255-published-30-august-2016-20220328%20%28Australia%20-%20Row%209%29.pdf" TargetMode="External" Id="rId211"/><Relationship Type="http://schemas.openxmlformats.org/officeDocument/2006/relationships/hyperlink" Target="https://github.com/ethandeysel/Data-Risk-Compliance/blob/main/data/acts/Australia/rg255-published-30-august-2016-20220328%20%28Australia%20-%20Row%209%29.pdf" TargetMode="External" Id="rId212"/><Relationship Type="http://schemas.openxmlformats.org/officeDocument/2006/relationships/hyperlink" Target="https://github.com/ethandeysel/Data-Risk-Compliance/blob/main/data/acts/Australia/rg255-published-30-august-2016-20220328%20%28Australia%20-%20Row%209%29.pdf" TargetMode="External" Id="rId213"/><Relationship Type="http://schemas.openxmlformats.org/officeDocument/2006/relationships/hyperlink" Target="https://github.com/ethandeysel/Data-Risk-Compliance/blob/main/data/acts/Australia/rg255-published-30-august-2016-20220328%20%28Australia%20-%20Row%209%29.pdf" TargetMode="External" Id="rId214"/><Relationship Type="http://schemas.openxmlformats.org/officeDocument/2006/relationships/hyperlink" Target="https://github.com/ethandeysel/Data-Risk-Compliance/blob/main/data/acts/Australia/rg255-published-30-august-2016-20220328%20%28Australia%20-%20Row%209%29.pdf" TargetMode="External" Id="rId215"/><Relationship Type="http://schemas.openxmlformats.org/officeDocument/2006/relationships/hyperlink" Target="https://github.com/ethandeysel/Data-Risk-Compliance/blob/main/data/acts/Australia/rg255-published-30-august-2016-20220328%20%28Australia%20-%20Row%209%29.pdf" TargetMode="External" Id="rId216"/><Relationship Type="http://schemas.openxmlformats.org/officeDocument/2006/relationships/hyperlink" Target="https://github.com/ethandeysel/Data-Risk-Compliance/blob/main/data/acts/Australia/rg255-published-30-august-2016-20220328%20%28Australia%20-%20Row%209%29.pdf" TargetMode="External" Id="rId217"/><Relationship Type="http://schemas.openxmlformats.org/officeDocument/2006/relationships/hyperlink" Target="https://github.com/ethandeysel/Data-Risk-Compliance/blob/main/data/acts/Australia/rg255-published-30-august-2016-20220328%20%28Australia%20-%20Row%209%29.pdf" TargetMode="External" Id="rId218"/><Relationship Type="http://schemas.openxmlformats.org/officeDocument/2006/relationships/hyperlink" Target="https://github.com/ethandeysel/Data-Risk-Compliance/blob/main/data/acts/Australia/rg255-published-30-august-2016-20220328%20%28Australia%20-%20Row%209%29.pdf" TargetMode="External" Id="rId219"/><Relationship Type="http://schemas.openxmlformats.org/officeDocument/2006/relationships/hyperlink" Target="https://github.com/ethandeysel/Data-Risk-Compliance/blob/main/data/acts/Australia/rg255-published-30-august-2016-20220328%20%28Australia%20-%20Row%209%29.pdf" TargetMode="External" Id="rId220"/><Relationship Type="http://schemas.openxmlformats.org/officeDocument/2006/relationships/hyperlink" Target="https://github.com/ethandeysel/Data-Risk-Compliance/blob/main/data/acts/Australia/rg255-published-30-august-2016-20220328%20%28Australia%20-%20Row%209%29.pdf" TargetMode="External" Id="rId221"/><Relationship Type="http://schemas.openxmlformats.org/officeDocument/2006/relationships/hyperlink" Target="https://github.com/ethandeysel/Data-Risk-Compliance/blob/main/data/acts/Australia/rg255-published-30-august-2016-20220328%20%28Australia%20-%20Row%209%29.pdf" TargetMode="External" Id="rId222"/><Relationship Type="http://schemas.openxmlformats.org/officeDocument/2006/relationships/hyperlink" Target="https://github.com/ethandeysel/Data-Risk-Compliance/blob/main/data/acts/Australia/rg255-published-30-august-2016-20220328%20%28Australia%20-%20Row%209%29.pdf" TargetMode="External" Id="rId223"/><Relationship Type="http://schemas.openxmlformats.org/officeDocument/2006/relationships/hyperlink" Target="https://github.com/ethandeysel/Data-Risk-Compliance/blob/main/data/acts/Australia/rg255-published-30-august-2016-20220328%20%28Australia%20-%20Row%209%29.pdf" TargetMode="External" Id="rId224"/><Relationship Type="http://schemas.openxmlformats.org/officeDocument/2006/relationships/hyperlink" Target="https://github.com/ethandeysel/Data-Risk-Compliance/blob/main/data/acts/Australia/rg255-published-30-august-2016-20220328%20%28Australia%20-%20Row%209%29.pdf" TargetMode="External" Id="rId225"/><Relationship Type="http://schemas.openxmlformats.org/officeDocument/2006/relationships/hyperlink" Target="https://github.com/ethandeysel/Data-Risk-Compliance/blob/main/data/acts/Australia/rg255-published-30-august-2016-20220328%20%28Australia%20-%20Row%209%29.pdf" TargetMode="External" Id="rId226"/><Relationship Type="http://schemas.openxmlformats.org/officeDocument/2006/relationships/hyperlink" Target="https://github.com/ethandeysel/Data-Risk-Compliance/blob/main/data/acts/Australia/rg255-published-30-august-2016-20220328%20%28Australia%20-%20Row%209%29.pdf" TargetMode="External" Id="rId227"/><Relationship Type="http://schemas.openxmlformats.org/officeDocument/2006/relationships/hyperlink" Target="https://github.com/ethandeysel/Data-Risk-Compliance/blob/main/data/acts/Australia/rg255-published-30-august-2016-20220328%20%28Australia%20-%20Row%209%29.pdf" TargetMode="External" Id="rId228"/><Relationship Type="http://schemas.openxmlformats.org/officeDocument/2006/relationships/hyperlink" Target="https://github.com/ethandeysel/Data-Risk-Compliance/blob/main/data/acts/Australia/rg255-published-30-august-2016-20220328%20%28Australia%20-%20Row%209%29.pdf" TargetMode="External" Id="rId229"/><Relationship Type="http://schemas.openxmlformats.org/officeDocument/2006/relationships/hyperlink" Target="https://github.com/ethandeysel/Data-Risk-Compliance/blob/main/data/acts/Australia/rg255-published-30-august-2016-20220328%20%28Australia%20-%20Row%209%29.pdf" TargetMode="External" Id="rId230"/><Relationship Type="http://schemas.openxmlformats.org/officeDocument/2006/relationships/hyperlink" Target="https://github.com/ethandeysel/Data-Risk-Compliance/blob/main/data/acts/Australia/rg255-published-30-august-2016-20220328%20%28Australia%20-%20Row%209%29.pdf" TargetMode="External" Id="rId231"/><Relationship Type="http://schemas.openxmlformats.org/officeDocument/2006/relationships/hyperlink" Target="https://github.com/ethandeysel/Data-Risk-Compliance/blob/main/data/acts/Australia/rg255-published-30-august-2016-20220328%20%28Australia%20-%20Row%209%29.pdf" TargetMode="External" Id="rId232"/><Relationship Type="http://schemas.openxmlformats.org/officeDocument/2006/relationships/hyperlink" Target="https://github.com/ethandeysel/Data-Risk-Compliance/blob/main/data/acts/Australia/rg255-published-30-august-2016-20220328%20%28Australia%20-%20Row%209%29.pdf" TargetMode="External" Id="rId233"/><Relationship Type="http://schemas.openxmlformats.org/officeDocument/2006/relationships/hyperlink" Target="https://github.com/ethandeysel/Data-Risk-Compliance/blob/main/data/acts/Australia/rg255-published-30-august-2016-20220328%20%28Australia%20-%20Row%209%29.pdf" TargetMode="External" Id="rId234"/><Relationship Type="http://schemas.openxmlformats.org/officeDocument/2006/relationships/hyperlink" Target="https://github.com/ethandeysel/Data-Risk-Compliance/blob/main/data/acts/Australia/rg255-published-30-august-2016-20220328%20%28Australia%20-%20Row%209%29.pdf" TargetMode="External" Id="rId235"/><Relationship Type="http://schemas.openxmlformats.org/officeDocument/2006/relationships/hyperlink" Target="https://github.com/ethandeysel/Data-Risk-Compliance/blob/main/data/acts/Australia/rg255-published-30-august-2016-20220328%20%28Australia%20-%20Row%209%29.pdf" TargetMode="External" Id="rId236"/><Relationship Type="http://schemas.openxmlformats.org/officeDocument/2006/relationships/hyperlink" Target="https://github.com/ethandeysel/Data-Risk-Compliance/blob/main/data/acts/Australia/rg255-published-30-august-2016-20220328%20%28Australia%20-%20Row%209%29.pdf" TargetMode="External" Id="rId237"/><Relationship Type="http://schemas.openxmlformats.org/officeDocument/2006/relationships/hyperlink" Target="https://github.com/ethandeysel/Data-Risk-Compliance/blob/main/data/acts/GDPR/CELEX_32002L0058_EN_TXT%20%28GDPR%20Row%207%29.pdf" TargetMode="External" Id="rId238"/><Relationship Type="http://schemas.openxmlformats.org/officeDocument/2006/relationships/hyperlink" Target="https://github.com/ethandeysel/Data-Risk-Compliance/blob/main/data/acts/GDPR/CELEX_32002L0058_EN_TXT%20%28GDPR%20Row%207%29.pdf" TargetMode="External" Id="rId239"/><Relationship Type="http://schemas.openxmlformats.org/officeDocument/2006/relationships/hyperlink" Target="https://github.com/ethandeysel/Data-Risk-Compliance/blob/main/data/acts/GDPR/CELEX_32002L0058_EN_TXT%20%28GDPR%20Row%207%29.pdf" TargetMode="External" Id="rId240"/><Relationship Type="http://schemas.openxmlformats.org/officeDocument/2006/relationships/hyperlink" Target="https://github.com/ethandeysel/Data-Risk-Compliance/blob/main/data/acts/GDPR/CELEX_32002L0058_EN_TXT%20%28GDPR%20Row%207%29.pdf" TargetMode="External" Id="rId241"/><Relationship Type="http://schemas.openxmlformats.org/officeDocument/2006/relationships/hyperlink" Target="https://github.com/ethandeysel/Data-Risk-Compliance/blob/main/data/acts/GDPR/CELEX_32002L0058_EN_TXT%20%28GDPR%20Row%207%29.pdf" TargetMode="External" Id="rId242"/><Relationship Type="http://schemas.openxmlformats.org/officeDocument/2006/relationships/hyperlink" Target="https://github.com/ethandeysel/Data-Risk-Compliance/blob/main/data/acts/GDPR/CELEX_32002L0058_EN_TXT%20%28GDPR%20Row%207%29.pdf" TargetMode="External" Id="rId243"/><Relationship Type="http://schemas.openxmlformats.org/officeDocument/2006/relationships/hyperlink" Target="https://github.com/ethandeysel/Data-Risk-Compliance/blob/main/data/acts/GDPR/CELEX_32002L0058_EN_TXT%20%28GDPR%20Row%207%29.pdf" TargetMode="External" Id="rId244"/><Relationship Type="http://schemas.openxmlformats.org/officeDocument/2006/relationships/hyperlink" Target="https://github.com/ethandeysel/Data-Risk-Compliance/blob/main/data/acts/GDPR/CELEX_32002L0058_EN_TXT%20%28GDPR%20Row%207%29.pdf" TargetMode="External" Id="rId245"/><Relationship Type="http://schemas.openxmlformats.org/officeDocument/2006/relationships/hyperlink" Target="https://github.com/ethandeysel/Data-Risk-Compliance/blob/main/data/acts/GDPR/CELEX_32002L0058_EN_TXT%20%28GDPR%20Row%207%29.pdf" TargetMode="External" Id="rId246"/><Relationship Type="http://schemas.openxmlformats.org/officeDocument/2006/relationships/hyperlink" Target="https://github.com/ethandeysel/Data-Risk-Compliance/blob/main/data/acts/GDPR/CELEX_32002L0058_EN_TXT%20%28GDPR%20Row%207%29.pdf" TargetMode="External" Id="rId247"/><Relationship Type="http://schemas.openxmlformats.org/officeDocument/2006/relationships/hyperlink" Target="https://github.com/ethandeysel/Data-Risk-Compliance/blob/main/data/acts/GDPR/CELEX_32002L0058_EN_TXT%20%28GDPR%20Row%207%29.pdf" TargetMode="External" Id="rId248"/><Relationship Type="http://schemas.openxmlformats.org/officeDocument/2006/relationships/hyperlink" Target="https://github.com/ethandeysel/Data-Risk-Compliance/blob/main/data/acts/GDPR/CELEX_32002L0058_EN_TXT%20%28GDPR%20Row%207%29.pdf" TargetMode="External" Id="rId249"/><Relationship Type="http://schemas.openxmlformats.org/officeDocument/2006/relationships/hyperlink" Target="https://github.com/ethandeysel/Data-Risk-Compliance/blob/main/data/acts/GDPR/CELEX_32002L0058_EN_TXT%20%28GDPR%20Row%207%29.pdf" TargetMode="External" Id="rId250"/><Relationship Type="http://schemas.openxmlformats.org/officeDocument/2006/relationships/hyperlink" Target="https://github.com/ethandeysel/Data-Risk-Compliance/blob/main/data/acts/GDPR/CELEX_32002L0058_EN_TXT%20%28GDPR%20Row%207%29.pdf" TargetMode="External" Id="rId251"/><Relationship Type="http://schemas.openxmlformats.org/officeDocument/2006/relationships/hyperlink" Target="https://github.com/ethandeysel/Data-Risk-Compliance/blob/main/data/acts/GDPR/CELEX_32002L0058_EN_TXT%20%28GDPR%20Row%207%29.pdf" TargetMode="External" Id="rId252"/><Relationship Type="http://schemas.openxmlformats.org/officeDocument/2006/relationships/hyperlink" Target="https://github.com/ethandeysel/Data-Risk-Compliance/blob/main/data/acts/GDPR/CELEX_32002L0058_EN_TXT%20%28GDPR%20Row%207%29.pdf" TargetMode="External" Id="rId253"/><Relationship Type="http://schemas.openxmlformats.org/officeDocument/2006/relationships/hyperlink" Target="https://github.com/ethandeysel/Data-Risk-Compliance/blob/main/data/acts/GDPR/CELEX_32002L0058_EN_TXT%20%28GDPR%20Row%207%29.pdf" TargetMode="External" Id="rId254"/><Relationship Type="http://schemas.openxmlformats.org/officeDocument/2006/relationships/hyperlink" Target="https://github.com/ethandeysel/Data-Risk-Compliance/blob/main/data/acts/GDPR/CELEX_32002L0058_EN_TXT%20%28GDPR%20Row%207%29.pdf" TargetMode="External" Id="rId255"/><Relationship Type="http://schemas.openxmlformats.org/officeDocument/2006/relationships/hyperlink" Target="https://github.com/ethandeysel/Data-Risk-Compliance/blob/main/data/acts/GDPR/CELEX_32002L0058_EN_TXT%20%28GDPR%20Row%207%29.pdf" TargetMode="External" Id="rId256"/><Relationship Type="http://schemas.openxmlformats.org/officeDocument/2006/relationships/hyperlink" Target="https://github.com/ethandeysel/Data-Risk-Compliance/blob/main/data/acts/GDPR/CELEX_32002L0058_EN_TXT%20%28GDPR%20Row%207%29.pdf" TargetMode="External" Id="rId257"/><Relationship Type="http://schemas.openxmlformats.org/officeDocument/2006/relationships/hyperlink" Target="https://github.com/ethandeysel/Data-Risk-Compliance/blob/main/data/acts/GDPR/CELEX_32015L2366_EN_TXT%20%28GDPR%20-%20Row%2018%29.pdf" TargetMode="External" Id="rId258"/><Relationship Type="http://schemas.openxmlformats.org/officeDocument/2006/relationships/hyperlink" Target="https://github.com/ethandeysel/Data-Risk-Compliance/blob/main/data/acts/GDPR/CELEX_32015L2366_EN_TXT%20%28GDPR%20-%20Row%2018%29.pdf" TargetMode="External" Id="rId259"/><Relationship Type="http://schemas.openxmlformats.org/officeDocument/2006/relationships/hyperlink" Target="https://github.com/ethandeysel/Data-Risk-Compliance/blob/main/data/acts/GDPR/CELEX_32015L2366_EN_TXT%20%28GDPR%20-%20Row%2018%29.pdf" TargetMode="External" Id="rId260"/><Relationship Type="http://schemas.openxmlformats.org/officeDocument/2006/relationships/hyperlink" Target="https://github.com/ethandeysel/Data-Risk-Compliance/blob/main/data/acts/GDPR/CELEX_32015L2366_EN_TXT%20%28GDPR%20-%20Row%2018%29.pdf" TargetMode="External" Id="rId261"/><Relationship Type="http://schemas.openxmlformats.org/officeDocument/2006/relationships/hyperlink" Target="https://github.com/ethandeysel/Data-Risk-Compliance/blob/main/data/acts/GDPR/CELEX_32015L2366_EN_TXT%20%28GDPR%20-%20Row%2018%29.pdf" TargetMode="External" Id="rId262"/><Relationship Type="http://schemas.openxmlformats.org/officeDocument/2006/relationships/hyperlink" Target="https://github.com/ethandeysel/Data-Risk-Compliance/blob/main/data/acts/GDPR/CELEX_32015L2366_EN_TXT%20%28GDPR%20-%20Row%2018%29.pdf" TargetMode="External" Id="rId263"/><Relationship Type="http://schemas.openxmlformats.org/officeDocument/2006/relationships/hyperlink" Target="https://github.com/ethandeysel/Data-Risk-Compliance/blob/main/data/acts/GDPR/CELEX_32015L2366_EN_TXT%20%28GDPR%20-%20Row%2018%29.pdf" TargetMode="External" Id="rId264"/><Relationship Type="http://schemas.openxmlformats.org/officeDocument/2006/relationships/hyperlink" Target="https://github.com/ethandeysel/Data-Risk-Compliance/blob/main/data/acts/GDPR/CELEX_32015L2366_EN_TXT%20%28GDPR%20-%20Row%2018%29.pdf" TargetMode="External" Id="rId265"/><Relationship Type="http://schemas.openxmlformats.org/officeDocument/2006/relationships/hyperlink" Target="https://github.com/ethandeysel/Data-Risk-Compliance/blob/main/data/acts/GDPR/CELEX_32015L2366_EN_TXT%20%28GDPR%20-%20Row%2018%29.pdf" TargetMode="External" Id="rId266"/><Relationship Type="http://schemas.openxmlformats.org/officeDocument/2006/relationships/hyperlink" Target="https://github.com/ethandeysel/Data-Risk-Compliance/blob/main/data/acts/GDPR/CELEX_32015L2366_EN_TXT%20%28GDPR%20-%20Row%2018%29.pdf" TargetMode="External" Id="rId267"/><Relationship Type="http://schemas.openxmlformats.org/officeDocument/2006/relationships/hyperlink" Target="https://github.com/ethandeysel/Data-Risk-Compliance/blob/main/data/acts/GDPR/CELEX_32015L2366_EN_TXT%20%28GDPR%20-%20Row%2018%29.pdf" TargetMode="External" Id="rId268"/><Relationship Type="http://schemas.openxmlformats.org/officeDocument/2006/relationships/hyperlink" Target="https://github.com/ethandeysel/Data-Risk-Compliance/blob/main/data/acts/GDPR/CELEX_32015L2366_EN_TXT%20%28GDPR%20-%20Row%2018%29.pdf" TargetMode="External" Id="rId269"/><Relationship Type="http://schemas.openxmlformats.org/officeDocument/2006/relationships/hyperlink" Target="https://github.com/ethandeysel/Data-Risk-Compliance/blob/main/data/acts/GDPR/CELEX_32015L2366_EN_TXT%20%28GDPR%20-%20Row%2018%29.pdf" TargetMode="External" Id="rId270"/><Relationship Type="http://schemas.openxmlformats.org/officeDocument/2006/relationships/hyperlink" Target="https://github.com/ethandeysel/Data-Risk-Compliance/blob/main/data/acts/GDPR/CELEX_32015L2366_EN_TXT%20%28GDPR%20-%20Row%2018%29.pdf" TargetMode="External" Id="rId271"/><Relationship Type="http://schemas.openxmlformats.org/officeDocument/2006/relationships/hyperlink" Target="https://github.com/ethandeysel/Data-Risk-Compliance/blob/main/data/acts/GDPR/CELEX_32015L2366_EN_TXT%20%28GDPR%20-%20Row%2018%29.pdf" TargetMode="External" Id="rId272"/><Relationship Type="http://schemas.openxmlformats.org/officeDocument/2006/relationships/hyperlink" Target="https://github.com/ethandeysel/Data-Risk-Compliance/blob/main/data/acts/GDPR/CELEX_32015L2366_EN_TXT%20%28GDPR%20-%20Row%2018%29.pdf" TargetMode="External" Id="rId273"/><Relationship Type="http://schemas.openxmlformats.org/officeDocument/2006/relationships/hyperlink" Target="https://github.com/ethandeysel/Data-Risk-Compliance/blob/main/data/acts/GDPR/CELEX_32015L2366_EN_TXT%20%28GDPR%20-%20Row%2018%29.pdf" TargetMode="External" Id="rId274"/><Relationship Type="http://schemas.openxmlformats.org/officeDocument/2006/relationships/hyperlink" Target="https://github.com/ethandeysel/Data-Risk-Compliance/blob/main/data/acts/GDPR/CELEX_32015L2366_EN_TXT%20%28GDPR%20-%20Row%2018%29.pdf" TargetMode="External" Id="rId275"/><Relationship Type="http://schemas.openxmlformats.org/officeDocument/2006/relationships/hyperlink" Target="https://github.com/ethandeysel/Data-Risk-Compliance/blob/main/data/acts/GDPR/CELEX_32015L2366_EN_TXT%20%28GDPR%20-%20Row%2018%29.pdf" TargetMode="External" Id="rId276"/><Relationship Type="http://schemas.openxmlformats.org/officeDocument/2006/relationships/hyperlink" Target="https://github.com/ethandeysel/Data-Risk-Compliance/blob/main/data/acts/GDPR/CELEX_32015L2366_EN_TXT%20%28GDPR%20-%20Row%2018%29.pdf" TargetMode="External" Id="rId277"/><Relationship Type="http://schemas.openxmlformats.org/officeDocument/2006/relationships/hyperlink" Target="https://github.com/ethandeysel/Data-Risk-Compliance/blob/main/data/acts/GDPR/CELEX_32015L2366_EN_TXT%20%28GDPR%20-%20Row%2018%29.pdf" TargetMode="External" Id="rId278"/><Relationship Type="http://schemas.openxmlformats.org/officeDocument/2006/relationships/hyperlink" Target="https://github.com/ethandeysel/Data-Risk-Compliance/blob/main/data/acts/GDPR/CELEX_32015L2366_EN_TXT%20%28GDPR%20-%20Row%2018%29.pdf" TargetMode="External" Id="rId279"/><Relationship Type="http://schemas.openxmlformats.org/officeDocument/2006/relationships/hyperlink" Target="https://github.com/ethandeysel/Data-Risk-Compliance/blob/main/data/acts/GDPR/CELEX_32015L2366_EN_TXT%20%28GDPR%20-%20Row%2018%29.pdf" TargetMode="External" Id="rId280"/><Relationship Type="http://schemas.openxmlformats.org/officeDocument/2006/relationships/hyperlink" Target="https://github.com/ethandeysel/Data-Risk-Compliance/blob/main/data/acts/GDPR/CELEX_32015L2366_EN_TXT%20%28GDPR%20-%20Row%2018%29.pdf" TargetMode="External" Id="rId281"/><Relationship Type="http://schemas.openxmlformats.org/officeDocument/2006/relationships/hyperlink" Target="https://github.com/ethandeysel/Data-Risk-Compliance/blob/main/data/acts/GDPR/CELEX_32015L2366_EN_TXT%20%28GDPR%20-%20Row%2018%29.pdf" TargetMode="External" Id="rId282"/><Relationship Type="http://schemas.openxmlformats.org/officeDocument/2006/relationships/hyperlink" Target="https://github.com/ethandeysel/Data-Risk-Compliance/blob/main/data/acts/GDPR/CELEX_32015L2366_EN_TXT%20%28GDPR%20-%20Row%2018%29.pdf" TargetMode="External" Id="rId283"/><Relationship Type="http://schemas.openxmlformats.org/officeDocument/2006/relationships/hyperlink" Target="https://github.com/ethandeysel/Data-Risk-Compliance/blob/main/data/acts/GDPR/CELEX_32015L2366_EN_TXT%20%28GDPR%20-%20Row%2018%29.pdf" TargetMode="External" Id="rId284"/><Relationship Type="http://schemas.openxmlformats.org/officeDocument/2006/relationships/hyperlink" Target="https://github.com/ethandeysel/Data-Risk-Compliance/blob/main/data/acts/GDPR/CELEX_32015L2366_EN_TXT%20%28GDPR%20-%20Row%2018%29.pdf" TargetMode="External" Id="rId285"/><Relationship Type="http://schemas.openxmlformats.org/officeDocument/2006/relationships/hyperlink" Target="https://github.com/ethandeysel/Data-Risk-Compliance/blob/main/data/acts/GDPR/CELEX_32015L2366_EN_TXT%20%28GDPR%20-%20Row%2018%29.pdf" TargetMode="External" Id="rId286"/><Relationship Type="http://schemas.openxmlformats.org/officeDocument/2006/relationships/hyperlink" Target="https://github.com/ethandeysel/Data-Risk-Compliance/blob/main/data/acts/GDPR/CELEX_32015L2366_EN_TXT%20%28GDPR%20-%20Row%2018%29.pdf" TargetMode="External" Id="rId287"/><Relationship Type="http://schemas.openxmlformats.org/officeDocument/2006/relationships/hyperlink" Target="https://github.com/ethandeysel/Data-Risk-Compliance/blob/main/data/acts/GDPR/CELEX_32015L2366_EN_TXT%20%28GDPR%20-%20Row%2018%29.pdf" TargetMode="External" Id="rId288"/><Relationship Type="http://schemas.openxmlformats.org/officeDocument/2006/relationships/hyperlink" Target="https://github.com/ethandeysel/Data-Risk-Compliance/blob/main/data/acts/GDPR/CELEX_32015L2366_EN_TXT%20%28GDPR%20-%20Row%2018%29.pdf" TargetMode="External" Id="rId289"/><Relationship Type="http://schemas.openxmlformats.org/officeDocument/2006/relationships/hyperlink" Target="https://github.com/ethandeysel/Data-Risk-Compliance/blob/main/data/acts/GDPR/CELEX_32015L2366_EN_TXT%20%28GDPR%20-%20Row%2018%29.pdf" TargetMode="External" Id="rId290"/><Relationship Type="http://schemas.openxmlformats.org/officeDocument/2006/relationships/hyperlink" Target="https://github.com/ethandeysel/Data-Risk-Compliance/blob/main/data/acts/GDPR/CELEX_32015L2366_EN_TXT%20%28GDPR%20-%20Row%2018%29.pdf" TargetMode="External" Id="rId291"/><Relationship Type="http://schemas.openxmlformats.org/officeDocument/2006/relationships/hyperlink" Target="https://github.com/ethandeysel/Data-Risk-Compliance/blob/main/data/acts/GDPR/CELEX_32015L2366_EN_TXT%20%28GDPR%20-%20Row%2018%29.pdf" TargetMode="External" Id="rId292"/><Relationship Type="http://schemas.openxmlformats.org/officeDocument/2006/relationships/hyperlink" Target="https://github.com/ethandeysel/Data-Risk-Compliance/blob/main/data/acts/GDPR/CELEX_32015L2366_EN_TXT%20%28GDPR%20-%20Row%2018%29.pdf" TargetMode="External" Id="rId293"/><Relationship Type="http://schemas.openxmlformats.org/officeDocument/2006/relationships/hyperlink" Target="https://github.com/ethandeysel/Data-Risk-Compliance/blob/main/data/acts/GDPR/CELEX_32015L2366_EN_TXT%20%28GDPR%20-%20Row%2018%29.pdf" TargetMode="External" Id="rId294"/><Relationship Type="http://schemas.openxmlformats.org/officeDocument/2006/relationships/hyperlink" Target="https://github.com/ethandeysel/Data-Risk-Compliance/blob/main/data/acts/GDPR/CELEX_32015L2366_EN_TXT%20%28GDPR%20-%20Row%2018%29.pdf" TargetMode="External" Id="rId295"/><Relationship Type="http://schemas.openxmlformats.org/officeDocument/2006/relationships/hyperlink" Target="https://github.com/ethandeysel/Data-Risk-Compliance/blob/main/data/acts/GDPR/CELEX_32015L2366_EN_TXT%20%28GDPR%20-%20Row%2018%29.pdf" TargetMode="External" Id="rId296"/><Relationship Type="http://schemas.openxmlformats.org/officeDocument/2006/relationships/hyperlink" Target="https://github.com/ethandeysel/Data-Risk-Compliance/blob/main/data/acts/GDPR/CELEX_32015L2366_EN_TXT%20%28GDPR%20-%20Row%2018%29.pdf" TargetMode="External" Id="rId297"/><Relationship Type="http://schemas.openxmlformats.org/officeDocument/2006/relationships/hyperlink" Target="https://github.com/ethandeysel/Data-Risk-Compliance/blob/main/data/acts/GDPR/CELEX_32015L2366_EN_TXT%20%28GDPR%20-%20Row%2018%29.pdf" TargetMode="External" Id="rId298"/><Relationship Type="http://schemas.openxmlformats.org/officeDocument/2006/relationships/hyperlink" Target="https://github.com/ethandeysel/Data-Risk-Compliance/blob/main/data/acts/GDPR/CELEX_32015L2366_EN_TXT%20%28GDPR%20-%20Row%2018%29.pdf" TargetMode="External" Id="rId299"/><Relationship Type="http://schemas.openxmlformats.org/officeDocument/2006/relationships/hyperlink" Target="https://github.com/ethandeysel/Data-Risk-Compliance/blob/main/data/acts/GDPR/CELEX_32015L2366_EN_TXT%20%28GDPR%20-%20Row%2018%29.pdf" TargetMode="External" Id="rId300"/><Relationship Type="http://schemas.openxmlformats.org/officeDocument/2006/relationships/hyperlink" Target="https://github.com/ethandeysel/Data-Risk-Compliance/blob/main/data/acts/GDPR/CELEX_32015L2366_EN_TXT%20%28GDPR%20-%20Row%2018%29.pdf" TargetMode="External" Id="rId301"/><Relationship Type="http://schemas.openxmlformats.org/officeDocument/2006/relationships/hyperlink" Target="https://github.com/ethandeysel/Data-Risk-Compliance/blob/main/data/acts/GDPR/CELEX_32015L2366_EN_TXT%20%28GDPR%20-%20Row%2018%29.pdf" TargetMode="External" Id="rId302"/><Relationship Type="http://schemas.openxmlformats.org/officeDocument/2006/relationships/hyperlink" Target="https://github.com/ethandeysel/Data-Risk-Compliance/blob/main/data/acts/GDPR/CELEX_32015L2366_EN_TXT%20%28GDPR%20-%20Row%2018%29.pdf" TargetMode="External" Id="rId303"/><Relationship Type="http://schemas.openxmlformats.org/officeDocument/2006/relationships/hyperlink" Target="https://github.com/ethandeysel/Data-Risk-Compliance/blob/main/data/acts/GDPR/CELEX_32015L2366_EN_TXT%20%28GDPR%20-%20Row%2018%29.pdf" TargetMode="External" Id="rId304"/><Relationship Type="http://schemas.openxmlformats.org/officeDocument/2006/relationships/hyperlink" Target="https://github.com/ethandeysel/Data-Risk-Compliance/blob/main/data/acts/GDPR/CELEX_32015L2366_EN_TXT%20%28GDPR%20-%20Row%2018%29.pdf" TargetMode="External" Id="rId305"/><Relationship Type="http://schemas.openxmlformats.org/officeDocument/2006/relationships/hyperlink" Target="https://github.com/ethandeysel/Data-Risk-Compliance/blob/main/data/acts/GDPR/CELEX_32015L2366_EN_TXT%20%28GDPR%20-%20Row%2018%29.pdf" TargetMode="External" Id="rId306"/><Relationship Type="http://schemas.openxmlformats.org/officeDocument/2006/relationships/hyperlink" Target="https://github.com/ethandeysel/Data-Risk-Compliance/blob/main/data/acts/GDPR/CELEX_32015L2366_EN_TXT%20%28GDPR%20-%20Row%2018%29.pdf" TargetMode="External" Id="rId307"/><Relationship Type="http://schemas.openxmlformats.org/officeDocument/2006/relationships/hyperlink" Target="https://github.com/ethandeysel/Data-Risk-Compliance/blob/main/data/acts/GDPR/CELEX_32015L2366_EN_TXT%20%28GDPR%20-%20Row%2018%29.pdf" TargetMode="External" Id="rId308"/><Relationship Type="http://schemas.openxmlformats.org/officeDocument/2006/relationships/hyperlink" Target="https://github.com/ethandeysel/Data-Risk-Compliance/blob/main/data/acts/GDPR/CELEX_32015L2366_EN_TXT%20%28GDPR%20-%20Row%2018%29.pdf" TargetMode="External" Id="rId309"/><Relationship Type="http://schemas.openxmlformats.org/officeDocument/2006/relationships/hyperlink" Target="https://github.com/ethandeysel/Data-Risk-Compliance/blob/main/data/acts/GDPR/CELEX_32015L2366_EN_TXT%20%28GDPR%20-%20Row%2018%29.pdf" TargetMode="External" Id="rId310"/><Relationship Type="http://schemas.openxmlformats.org/officeDocument/2006/relationships/hyperlink" Target="https://github.com/ethandeysel/Data-Risk-Compliance/blob/main/data/acts/GDPR/CELEX_32015L2366_EN_TXT%20%28GDPR%20-%20Row%2018%29.pdf" TargetMode="External" Id="rId311"/><Relationship Type="http://schemas.openxmlformats.org/officeDocument/2006/relationships/hyperlink" Target="https://github.com/ethandeysel/Data-Risk-Compliance/blob/main/data/acts/GDPR/CELEX_32015L2366_EN_TXT%20%28GDPR%20-%20Row%2018%29.pdf" TargetMode="External" Id="rId312"/><Relationship Type="http://schemas.openxmlformats.org/officeDocument/2006/relationships/hyperlink" Target="https://github.com/ethandeysel/Data-Risk-Compliance/blob/main/data/acts/GDPR/CELEX_32015L2366_EN_TXT%20%28GDPR%20-%20Row%2018%29.pdf" TargetMode="External" Id="rId313"/><Relationship Type="http://schemas.openxmlformats.org/officeDocument/2006/relationships/hyperlink" Target="https://github.com/ethandeysel/Data-Risk-Compliance/blob/main/data/acts/GDPR/CELEX_32015L2366_EN_TXT%20%28GDPR%20-%20Row%2018%29.pdf" TargetMode="External" Id="rId314"/><Relationship Type="http://schemas.openxmlformats.org/officeDocument/2006/relationships/hyperlink" Target="https://github.com/ethandeysel/Data-Risk-Compliance/blob/main/data/acts/GDPR/CELEX_32015L2366_EN_TXT%20%28GDPR%20-%20Row%2018%29.pdf" TargetMode="External" Id="rId315"/><Relationship Type="http://schemas.openxmlformats.org/officeDocument/2006/relationships/hyperlink" Target="https://github.com/ethandeysel/Data-Risk-Compliance/blob/main/data/acts/GDPR/CELEX_32015L2366_EN_TXT%20%28GDPR%20-%20Row%2018%29.pdf" TargetMode="External" Id="rId316"/><Relationship Type="http://schemas.openxmlformats.org/officeDocument/2006/relationships/hyperlink" Target="https://github.com/ethandeysel/Data-Risk-Compliance/blob/main/data/acts/GDPR/CELEX_32015L2366_EN_TXT%20%28GDPR%20-%20Row%2018%29.pdf" TargetMode="External" Id="rId317"/><Relationship Type="http://schemas.openxmlformats.org/officeDocument/2006/relationships/hyperlink" Target="https://github.com/ethandeysel/Data-Risk-Compliance/blob/main/data/acts/GDPR/CELEX_32015L2366_EN_TXT%20%28GDPR%20-%20Row%2018%29.pdf" TargetMode="External" Id="rId318"/><Relationship Type="http://schemas.openxmlformats.org/officeDocument/2006/relationships/hyperlink" Target="https://github.com/ethandeysel/Data-Risk-Compliance/blob/main/data/acts/GDPR/CELEX_32015L2366_EN_TXT%20%28GDPR%20-%20Row%2018%29.pdf" TargetMode="External" Id="rId319"/><Relationship Type="http://schemas.openxmlformats.org/officeDocument/2006/relationships/hyperlink" Target="https://github.com/ethandeysel/Data-Risk-Compliance/blob/main/data/acts/GDPR/CELEX_32015L2366_EN_TXT%20%28GDPR%20-%20Row%2018%29.pdf" TargetMode="External" Id="rId320"/><Relationship Type="http://schemas.openxmlformats.org/officeDocument/2006/relationships/hyperlink" Target="https://github.com/ethandeysel/Data-Risk-Compliance/blob/main/data/acts/GDPR/CELEX_32015L2366_EN_TXT%20%28GDPR%20-%20Row%2018%29.pdf" TargetMode="External" Id="rId321"/><Relationship Type="http://schemas.openxmlformats.org/officeDocument/2006/relationships/hyperlink" Target="https://github.com/ethandeysel/Data-Risk-Compliance/blob/main/data/acts/GDPR/CELEX_32015L2366_EN_TXT%20%28GDPR%20-%20Row%2018%29.pdf" TargetMode="External" Id="rId322"/><Relationship Type="http://schemas.openxmlformats.org/officeDocument/2006/relationships/hyperlink" Target="https://github.com/ethandeysel/Data-Risk-Compliance/blob/main/data/acts/GDPR/CELEX_32015L2366_EN_TXT%20%28GDPR%20-%20Row%2018%29.pdf" TargetMode="External" Id="rId323"/><Relationship Type="http://schemas.openxmlformats.org/officeDocument/2006/relationships/hyperlink" Target="https://github.com/ethandeysel/Data-Risk-Compliance/blob/main/data/acts/GDPR/CELEX_32015L2366_EN_TXT%20%28GDPR%20-%20Row%2018%29.pdf" TargetMode="External" Id="rId324"/><Relationship Type="http://schemas.openxmlformats.org/officeDocument/2006/relationships/hyperlink" Target="https://github.com/ethandeysel/Data-Risk-Compliance/blob/main/data/acts/GDPR/CELEX_32015L2366_EN_TXT%20%28GDPR%20-%20Row%2018%29.pdf" TargetMode="External" Id="rId325"/><Relationship Type="http://schemas.openxmlformats.org/officeDocument/2006/relationships/hyperlink" Target="https://github.com/ethandeysel/Data-Risk-Compliance/blob/main/data/acts/GDPR/CELEX_32015L2366_EN_TXT%20%28GDPR%20-%20Row%2018%29.pdf" TargetMode="External" Id="rId326"/><Relationship Type="http://schemas.openxmlformats.org/officeDocument/2006/relationships/hyperlink" Target="https://github.com/ethandeysel/Data-Risk-Compliance/blob/main/data/acts/GDPR/CELEX_32015L2366_EN_TXT%20%28GDPR%20-%20Row%2018%29.pdf" TargetMode="External" Id="rId327"/><Relationship Type="http://schemas.openxmlformats.org/officeDocument/2006/relationships/hyperlink" Target="https://github.com/ethandeysel/Data-Risk-Compliance/blob/main/data/acts/GDPR/CELEX_32015L2366_EN_TXT%20%28GDPR%20-%20Row%2018%29.pdf" TargetMode="External" Id="rId328"/><Relationship Type="http://schemas.openxmlformats.org/officeDocument/2006/relationships/hyperlink" Target="https://github.com/ethandeysel/Data-Risk-Compliance/blob/main/data/acts/GDPR/CELEX_32015L2366_EN_TXT%20%28GDPR%20-%20Row%2018%29.pdf" TargetMode="External" Id="rId329"/><Relationship Type="http://schemas.openxmlformats.org/officeDocument/2006/relationships/hyperlink" Target="https://github.com/ethandeysel/Data-Risk-Compliance/blob/main/data/acts/GDPR/CELEX_32015L2366_EN_TXT%20%28GDPR%20-%20Row%2018%29.pdf" TargetMode="External" Id="rId330"/><Relationship Type="http://schemas.openxmlformats.org/officeDocument/2006/relationships/hyperlink" Target="https://github.com/ethandeysel/Data-Risk-Compliance/blob/main/data/acts/GDPR/CELEX_32015L2366_EN_TXT%20%28GDPR%20-%20Row%2018%29.pdf" TargetMode="External" Id="rId331"/><Relationship Type="http://schemas.openxmlformats.org/officeDocument/2006/relationships/hyperlink" Target="https://github.com/ethandeysel/Data-Risk-Compliance/blob/main/data/acts/GDPR/CELEX_32015L2366_EN_TXT%20%28GDPR%20-%20Row%2018%29.pdf" TargetMode="External" Id="rId332"/><Relationship Type="http://schemas.openxmlformats.org/officeDocument/2006/relationships/hyperlink" Target="https://github.com/ethandeysel/Data-Risk-Compliance/blob/main/data/acts/GDPR/CELEX_32015L2366_EN_TXT%20%28GDPR%20-%20Row%2018%29.pdf" TargetMode="External" Id="rId333"/><Relationship Type="http://schemas.openxmlformats.org/officeDocument/2006/relationships/hyperlink" Target="https://github.com/ethandeysel/Data-Risk-Compliance/blob/main/data/acts/GDPR/CELEX_32015L2366_EN_TXT%20%28GDPR%20-%20Row%2018%29.pdf" TargetMode="External" Id="rId334"/><Relationship Type="http://schemas.openxmlformats.org/officeDocument/2006/relationships/hyperlink" Target="https://github.com/ethandeysel/Data-Risk-Compliance/blob/main/data/acts/GDPR/CELEX_32015L2366_EN_TXT%20%28GDPR%20-%20Row%2018%29.pdf" TargetMode="External" Id="rId335"/><Relationship Type="http://schemas.openxmlformats.org/officeDocument/2006/relationships/hyperlink" Target="https://github.com/ethandeysel/Data-Risk-Compliance/blob/main/data/acts/GDPR/CELEX_32015L2366_EN_TXT%20%28GDPR%20-%20Row%2018%29.pdf" TargetMode="External" Id="rId336"/><Relationship Type="http://schemas.openxmlformats.org/officeDocument/2006/relationships/hyperlink" Target="https://github.com/ethandeysel/Data-Risk-Compliance/blob/main/data/acts/GDPR/CELEX_32015L2366_EN_TXT%20%28GDPR%20-%20Row%2018%29.pdf" TargetMode="External" Id="rId337"/><Relationship Type="http://schemas.openxmlformats.org/officeDocument/2006/relationships/hyperlink" Target="https://github.com/ethandeysel/Data-Risk-Compliance/blob/main/data/acts/GDPR/CELEX_32015L2366_EN_TXT%20%28GDPR%20-%20Row%2018%29.pdf" TargetMode="External" Id="rId338"/><Relationship Type="http://schemas.openxmlformats.org/officeDocument/2006/relationships/hyperlink" Target="https://github.com/ethandeysel/Data-Risk-Compliance/blob/main/data/acts/GDPR/CELEX_32015L2366_EN_TXT%20%28GDPR%20-%20Row%2018%29.pdf" TargetMode="External" Id="rId339"/><Relationship Type="http://schemas.openxmlformats.org/officeDocument/2006/relationships/hyperlink" Target="https://github.com/ethandeysel/Data-Risk-Compliance/blob/main/data/acts/GDPR/CELEX_32015L2366_EN_TXT%20%28GDPR%20-%20Row%2018%29.pdf" TargetMode="External" Id="rId340"/><Relationship Type="http://schemas.openxmlformats.org/officeDocument/2006/relationships/hyperlink" Target="https://github.com/ethandeysel/Data-Risk-Compliance/blob/main/data/acts/GDPR/CELEX_32015L2366_EN_TXT%20%28GDPR%20-%20Row%2018%29.pdf" TargetMode="External" Id="rId341"/><Relationship Type="http://schemas.openxmlformats.org/officeDocument/2006/relationships/hyperlink" Target="https://github.com/ethandeysel/Data-Risk-Compliance/blob/main/data/acts/GDPR/CELEX_32015L2366_EN_TXT%20%28GDPR%20-%20Row%2018%29.pdf" TargetMode="External" Id="rId342"/><Relationship Type="http://schemas.openxmlformats.org/officeDocument/2006/relationships/hyperlink" Target="https://github.com/ethandeysel/Data-Risk-Compliance/blob/main/data/acts/GDPR/CELEX_32015L2366_EN_TXT%20%28GDPR%20-%20Row%2018%29.pdf" TargetMode="External" Id="rId343"/><Relationship Type="http://schemas.openxmlformats.org/officeDocument/2006/relationships/hyperlink" Target="https://github.com/ethandeysel/Data-Risk-Compliance/blob/main/data/acts/GDPR/CELEX_32015L2366_EN_TXT%20%28GDPR%20-%20Row%2018%29.pdf" TargetMode="External" Id="rId344"/><Relationship Type="http://schemas.openxmlformats.org/officeDocument/2006/relationships/hyperlink" Target="https://github.com/ethandeysel/Data-Risk-Compliance/blob/main/data/acts/GDPR/CELEX_32015L2366_EN_TXT%20%28GDPR%20-%20Row%2018%29.pdf" TargetMode="External" Id="rId345"/><Relationship Type="http://schemas.openxmlformats.org/officeDocument/2006/relationships/hyperlink" Target="https://github.com/ethandeysel/Data-Risk-Compliance/blob/main/data/acts/GDPR/CELEX_32015L2366_EN_TXT%20%28GDPR%20-%20Row%2018%29.pdf" TargetMode="External" Id="rId346"/><Relationship Type="http://schemas.openxmlformats.org/officeDocument/2006/relationships/hyperlink" Target="https://github.com/ethandeysel/Data-Risk-Compliance/blob/main/data/acts/GDPR/CELEX_32015L2366_EN_TXT%20%28GDPR%20-%20Row%2018%29.pdf" TargetMode="External" Id="rId347"/><Relationship Type="http://schemas.openxmlformats.org/officeDocument/2006/relationships/hyperlink" Target="https://github.com/ethandeysel/Data-Risk-Compliance/blob/main/data/acts/GDPR/CELEX_32015L2366_EN_TXT%20%28GDPR%20-%20Row%2018%29.pdf" TargetMode="External" Id="rId348"/><Relationship Type="http://schemas.openxmlformats.org/officeDocument/2006/relationships/hyperlink" Target="https://github.com/ethandeysel/Data-Risk-Compliance/blob/main/data/acts/GDPR/CELEX_32015L2366_EN_TXT%20%28GDPR%20-%20Row%2018%29.pdf" TargetMode="External" Id="rId349"/><Relationship Type="http://schemas.openxmlformats.org/officeDocument/2006/relationships/hyperlink" Target="https://github.com/ethandeysel/Data-Risk-Compliance/blob/main/data/acts/GDPR/CELEX_32015L2366_EN_TXT%20%28GDPR%20-%20Row%2018%29.pdf" TargetMode="External" Id="rId350"/><Relationship Type="http://schemas.openxmlformats.org/officeDocument/2006/relationships/hyperlink" Target="https://github.com/ethandeysel/Data-Risk-Compliance/blob/main/data/acts/GDPR/CELEX_32015L2366_EN_TXT%20%28GDPR%20-%20Row%2018%29.pdf" TargetMode="External" Id="rId351"/><Relationship Type="http://schemas.openxmlformats.org/officeDocument/2006/relationships/hyperlink" Target="https://github.com/ethandeysel/Data-Risk-Compliance/blob/main/data/acts/GDPR/CELEX_32015L2366_EN_TXT%20%28GDPR%20-%20Row%2018%29.pdf" TargetMode="External" Id="rId352"/><Relationship Type="http://schemas.openxmlformats.org/officeDocument/2006/relationships/hyperlink" Target="https://github.com/ethandeysel/Data-Risk-Compliance/blob/main/data/acts/GDPR/CELEX_32015L2366_EN_TXT%20%28GDPR%20-%20Row%2018%29.pdf" TargetMode="External" Id="rId353"/><Relationship Type="http://schemas.openxmlformats.org/officeDocument/2006/relationships/hyperlink" Target="https://github.com/ethandeysel/Data-Risk-Compliance/blob/main/data/acts/GDPR/CELEX_32015L2366_EN_TXT%20%28GDPR%20-%20Row%2018%29.pdf" TargetMode="External" Id="rId354"/><Relationship Type="http://schemas.openxmlformats.org/officeDocument/2006/relationships/hyperlink" Target="https://github.com/ethandeysel/Data-Risk-Compliance/blob/main/data/acts/GDPR/CELEX_32015L2366_EN_TXT%20%28GDPR%20-%20Row%2018%29.pdf" TargetMode="External" Id="rId355"/><Relationship Type="http://schemas.openxmlformats.org/officeDocument/2006/relationships/hyperlink" Target="https://github.com/ethandeysel/Data-Risk-Compliance/blob/main/data/acts/GDPR/CELEX_32015L2366_EN_TXT%20%28GDPR%20-%20Row%2018%29.pdf" TargetMode="External" Id="rId356"/><Relationship Type="http://schemas.openxmlformats.org/officeDocument/2006/relationships/hyperlink" Target="https://github.com/ethandeysel/Data-Risk-Compliance/blob/main/data/acts/GDPR/CELEX_32015L2366_EN_TXT%20%28GDPR%20-%20Row%2018%29.pdf" TargetMode="External" Id="rId357"/><Relationship Type="http://schemas.openxmlformats.org/officeDocument/2006/relationships/hyperlink" Target="https://github.com/ethandeysel/Data-Risk-Compliance/blob/main/data/acts/GDPR/CELEX_32015L2366_EN_TXT%20%28GDPR%20-%20Row%2018%29.pdf" TargetMode="External" Id="rId358"/><Relationship Type="http://schemas.openxmlformats.org/officeDocument/2006/relationships/hyperlink" Target="https://github.com/ethandeysel/Data-Risk-Compliance/blob/main/data/acts/GDPR/CELEX_32015L2366_EN_TXT%20%28GDPR%20-%20Row%2018%29.pdf" TargetMode="External" Id="rId359"/><Relationship Type="http://schemas.openxmlformats.org/officeDocument/2006/relationships/hyperlink" Target="https://github.com/ethandeysel/Data-Risk-Compliance/blob/main/data/acts/GDPR/CELEX_32015L2366_EN_TXT%20%28GDPR%20-%20Row%2018%29.pdf" TargetMode="External" Id="rId360"/><Relationship Type="http://schemas.openxmlformats.org/officeDocument/2006/relationships/hyperlink" Target="https://github.com/ethandeysel/Data-Risk-Compliance/blob/main/data/acts/GDPR/CELEX_32015L2366_EN_TXT%20%28GDPR%20-%20Row%2018%29.pdf" TargetMode="External" Id="rId361"/><Relationship Type="http://schemas.openxmlformats.org/officeDocument/2006/relationships/hyperlink" Target="https://github.com/ethandeysel/Data-Risk-Compliance/blob/main/data/acts/GDPR/CELEX_32015L2366_EN_TXT%20%28GDPR%20-%20Row%2018%29.pdf" TargetMode="External" Id="rId362"/><Relationship Type="http://schemas.openxmlformats.org/officeDocument/2006/relationships/hyperlink" Target="https://github.com/ethandeysel/Data-Risk-Compliance/blob/main/data/acts/GDPR/CELEX_32015L2366_EN_TXT%20%28GDPR%20-%20Row%2018%29.pdf" TargetMode="External" Id="rId363"/><Relationship Type="http://schemas.openxmlformats.org/officeDocument/2006/relationships/hyperlink" Target="https://github.com/ethandeysel/Data-Risk-Compliance/blob/main/data/acts/GDPR/CELEX_32015L2366_EN_TXT%20%28GDPR%20-%20Row%2018%29.pdf" TargetMode="External" Id="rId364"/><Relationship Type="http://schemas.openxmlformats.org/officeDocument/2006/relationships/hyperlink" Target="https://github.com/ethandeysel/Data-Risk-Compliance/blob/main/data/acts/GDPR/CELEX_32015L2366_EN_TXT%20%28GDPR%20-%20Row%2018%29.pdf" TargetMode="External" Id="rId365"/><Relationship Type="http://schemas.openxmlformats.org/officeDocument/2006/relationships/hyperlink" Target="https://github.com/ethandeysel/Data-Risk-Compliance/blob/main/data/acts/GDPR/CELEX_32015L2366_EN_TXT%20%28GDPR%20-%20Row%2018%29.pdf" TargetMode="External" Id="rId366"/><Relationship Type="http://schemas.openxmlformats.org/officeDocument/2006/relationships/hyperlink" Target="https://github.com/ethandeysel/Data-Risk-Compliance/blob/main/data/acts/GDPR/CELEX_32018L1673_EN_TXT%20%28GDPR%20-%20Row%202%29.pdf" TargetMode="External" Id="rId367"/><Relationship Type="http://schemas.openxmlformats.org/officeDocument/2006/relationships/hyperlink" Target="https://github.com/ethandeysel/Data-Risk-Compliance/blob/main/data/acts/GDPR/CELEX_32018L1673_EN_TXT%20%28GDPR%20-%20Row%202%29.pdf" TargetMode="External" Id="rId368"/><Relationship Type="http://schemas.openxmlformats.org/officeDocument/2006/relationships/hyperlink" Target="https://github.com/ethandeysel/Data-Risk-Compliance/blob/main/data/acts/GDPR/CELEX_32018L1673_EN_TXT%20%28GDPR%20-%20Row%202%29.pdf" TargetMode="External" Id="rId369"/><Relationship Type="http://schemas.openxmlformats.org/officeDocument/2006/relationships/hyperlink" Target="https://github.com/ethandeysel/Data-Risk-Compliance/blob/main/data/acts/GDPR/CELEX_32018L1673_EN_TXT%20%28GDPR%20-%20Row%202%29.pdf" TargetMode="External" Id="rId370"/><Relationship Type="http://schemas.openxmlformats.org/officeDocument/2006/relationships/hyperlink" Target="https://github.com/ethandeysel/Data-Risk-Compliance/blob/main/data/acts/GDPR/CELEX_32018L1673_EN_TXT%20%28GDPR%20-%20Row%202%29.pdf" TargetMode="External" Id="rId371"/><Relationship Type="http://schemas.openxmlformats.org/officeDocument/2006/relationships/hyperlink" Target="https://github.com/ethandeysel/Data-Risk-Compliance/blob/main/data/acts/GDPR/CELEX_32018L1673_EN_TXT%20%28GDPR%20-%20Row%202%29.pdf" TargetMode="External" Id="rId372"/><Relationship Type="http://schemas.openxmlformats.org/officeDocument/2006/relationships/hyperlink" Target="https://github.com/ethandeysel/Data-Risk-Compliance/blob/main/data/acts/GDPR/CELEX_32018L1673_EN_TXT%20%28GDPR%20-%20Row%202%29.pdf" TargetMode="External" Id="rId373"/><Relationship Type="http://schemas.openxmlformats.org/officeDocument/2006/relationships/hyperlink" Target="https://github.com/ethandeysel/Data-Risk-Compliance/blob/main/data/acts/GDPR/CELEX_32018L1673_EN_TXT%20%28GDPR%20-%20Row%202%29.pdf" TargetMode="External" Id="rId374"/><Relationship Type="http://schemas.openxmlformats.org/officeDocument/2006/relationships/hyperlink" Target="https://github.com/ethandeysel/Data-Risk-Compliance/blob/main/data/acts/GDPR/CELEX_32018L1673_EN_TXT%20%28GDPR%20-%20Row%202%29.pdf" TargetMode="External" Id="rId375"/><Relationship Type="http://schemas.openxmlformats.org/officeDocument/2006/relationships/hyperlink" Target="https://github.com/ethandeysel/Data-Risk-Compliance/blob/main/data/acts/GDPR/CELEX_32018L1673_EN_TXT%20%28GDPR%20-%20Row%202%29.pdf" TargetMode="External" Id="rId376"/><Relationship Type="http://schemas.openxmlformats.org/officeDocument/2006/relationships/hyperlink" Target="https://github.com/ethandeysel/Data-Risk-Compliance/blob/main/data/acts/GDPR/CELEX_32018L1673_EN_TXT%20%28GDPR%20-%20Row%202%29.pdf" TargetMode="External" Id="rId377"/><Relationship Type="http://schemas.openxmlformats.org/officeDocument/2006/relationships/hyperlink" Target="https://github.com/ethandeysel/Data-Risk-Compliance/blob/main/data/acts/GDPR/CELEX_32018L1673_EN_TXT%20%28GDPR%20-%20Row%202%29.pdf" TargetMode="External" Id="rId378"/><Relationship Type="http://schemas.openxmlformats.org/officeDocument/2006/relationships/hyperlink" Target="https://github.com/ethandeysel/Data-Risk-Compliance/blob/main/data/acts/GDPR/CELEX_32018L1673_EN_TXT%20%28GDPR%20-%20Row%202%29.pdf" TargetMode="External" Id="rId379"/><Relationship Type="http://schemas.openxmlformats.org/officeDocument/2006/relationships/hyperlink" Target="https://github.com/ethandeysel/Data-Risk-Compliance/blob/main/data/acts/GDPR/CELEX_32018L1673_EN_TXT%20%28GDPR%20-%20Row%202%29.pdf" TargetMode="External" Id="rId380"/><Relationship Type="http://schemas.openxmlformats.org/officeDocument/2006/relationships/hyperlink" Target="https://github.com/ethandeysel/Data-Risk-Compliance/blob/main/data/acts/GDPR/CELEX_32018L1673_EN_TXT%20%28GDPR%20-%20Row%202%29.pdf" TargetMode="External" Id="rId381"/><Relationship Type="http://schemas.openxmlformats.org/officeDocument/2006/relationships/hyperlink" Target="https://github.com/ethandeysel/Data-Risk-Compliance/blob/main/data/acts/GDPR/CELEX_32018L1673_EN_TXT%20%28GDPR%20-%20Row%202%29.pdf" TargetMode="External" Id="rId382"/><Relationship Type="http://schemas.openxmlformats.org/officeDocument/2006/relationships/hyperlink" Target="https://github.com/ethandeysel/Data-Risk-Compliance/blob/main/data/acts/GDPR/CELEX_32018L1673_EN_TXT%20%28GDPR%20-%20Row%202%29.pdf" TargetMode="External" Id="rId383"/><Relationship Type="http://schemas.openxmlformats.org/officeDocument/2006/relationships/hyperlink" Target="https://github.com/ethandeysel/Data-Risk-Compliance/blob/main/data/acts/GDPR/CELEX_32018L1673_EN_TXT%20%28GDPR%20-%20Row%202%29.pdf" TargetMode="External" Id="rId384"/><Relationship Type="http://schemas.openxmlformats.org/officeDocument/2006/relationships/hyperlink" Target="https://github.com/ethandeysel/Data-Risk-Compliance/blob/main/data/acts/GDPR/CELEX_32018L1673_EN_TXT%20%28GDPR%20-%20Row%202%29.pdf" TargetMode="External" Id="rId385"/><Relationship Type="http://schemas.openxmlformats.org/officeDocument/2006/relationships/hyperlink" Target="https://github.com/ethandeysel/Data-Risk-Compliance/blob/main/data/acts/GDPR/CELEX_32018L1673_EN_TXT%20%28GDPR%20-%20Row%202%29.pdf" TargetMode="External" Id="rId386"/><Relationship Type="http://schemas.openxmlformats.org/officeDocument/2006/relationships/hyperlink" Target="https://github.com/ethandeysel/Data-Risk-Compliance/blob/main/data/acts/GDPR/CELEX_32022L2555_EN_TXT%20%28GDPR%20-%20Row%2017%29.pdf" TargetMode="External" Id="rId387"/><Relationship Type="http://schemas.openxmlformats.org/officeDocument/2006/relationships/hyperlink" Target="https://github.com/ethandeysel/Data-Risk-Compliance/blob/main/data/acts/GDPR/CELEX_32022L2555_EN_TXT%20%28GDPR%20-%20Row%2017%29.pdf" TargetMode="External" Id="rId388"/><Relationship Type="http://schemas.openxmlformats.org/officeDocument/2006/relationships/hyperlink" Target="https://github.com/ethandeysel/Data-Risk-Compliance/blob/main/data/acts/GDPR/CELEX_32022L2555_EN_TXT%20%28GDPR%20-%20Row%2017%29.pdf" TargetMode="External" Id="rId389"/><Relationship Type="http://schemas.openxmlformats.org/officeDocument/2006/relationships/hyperlink" Target="https://github.com/ethandeysel/Data-Risk-Compliance/blob/main/data/acts/GDPR/CELEX_32022L2555_EN_TXT%20%28GDPR%20-%20Row%2017%29.pdf" TargetMode="External" Id="rId390"/><Relationship Type="http://schemas.openxmlformats.org/officeDocument/2006/relationships/hyperlink" Target="https://github.com/ethandeysel/Data-Risk-Compliance/blob/main/data/acts/GDPR/CELEX_32022L2555_EN_TXT%20%28GDPR%20-%20Row%2017%29.pdf" TargetMode="External" Id="rId391"/><Relationship Type="http://schemas.openxmlformats.org/officeDocument/2006/relationships/hyperlink" Target="https://github.com/ethandeysel/Data-Risk-Compliance/blob/main/data/acts/GDPR/CELEX_32022L2555_EN_TXT%20%28GDPR%20-%20Row%2017%29.pdf" TargetMode="External" Id="rId392"/><Relationship Type="http://schemas.openxmlformats.org/officeDocument/2006/relationships/hyperlink" Target="https://github.com/ethandeysel/Data-Risk-Compliance/blob/main/data/acts/GDPR/CELEX_32022L2555_EN_TXT%20%28GDPR%20-%20Row%2017%29.pdf" TargetMode="External" Id="rId393"/><Relationship Type="http://schemas.openxmlformats.org/officeDocument/2006/relationships/hyperlink" Target="https://github.com/ethandeysel/Data-Risk-Compliance/blob/main/data/acts/GDPR/CELEX_32022L2555_EN_TXT%20%28GDPR%20-%20Row%2017%29.pdf" TargetMode="External" Id="rId394"/><Relationship Type="http://schemas.openxmlformats.org/officeDocument/2006/relationships/hyperlink" Target="https://github.com/ethandeysel/Data-Risk-Compliance/blob/main/data/acts/GDPR/CELEX_32022L2555_EN_TXT%20%28GDPR%20-%20Row%2017%29.pdf" TargetMode="External" Id="rId395"/><Relationship Type="http://schemas.openxmlformats.org/officeDocument/2006/relationships/hyperlink" Target="https://github.com/ethandeysel/Data-Risk-Compliance/blob/main/data/acts/GDPR/CELEX_32022L2555_EN_TXT%20%28GDPR%20-%20Row%2017%29.pdf" TargetMode="External" Id="rId396"/><Relationship Type="http://schemas.openxmlformats.org/officeDocument/2006/relationships/hyperlink" Target="https://github.com/ethandeysel/Data-Risk-Compliance/blob/main/data/acts/GDPR/CELEX_32022L2555_EN_TXT%20%28GDPR%20-%20Row%2017%29.pdf" TargetMode="External" Id="rId397"/><Relationship Type="http://schemas.openxmlformats.org/officeDocument/2006/relationships/hyperlink" Target="https://github.com/ethandeysel/Data-Risk-Compliance/blob/main/data/acts/GDPR/CELEX_32022L2555_EN_TXT%20%28GDPR%20-%20Row%2017%29.pdf" TargetMode="External" Id="rId398"/><Relationship Type="http://schemas.openxmlformats.org/officeDocument/2006/relationships/hyperlink" Target="https://github.com/ethandeysel/Data-Risk-Compliance/blob/main/data/acts/GDPR/CELEX_32022L2555_EN_TXT%20%28GDPR%20-%20Row%2017%29.pdf" TargetMode="External" Id="rId399"/><Relationship Type="http://schemas.openxmlformats.org/officeDocument/2006/relationships/hyperlink" Target="https://github.com/ethandeysel/Data-Risk-Compliance/blob/main/data/acts/GDPR/CELEX_32022L2555_EN_TXT%20%28GDPR%20-%20Row%2017%29.pdf" TargetMode="External" Id="rId400"/><Relationship Type="http://schemas.openxmlformats.org/officeDocument/2006/relationships/hyperlink" Target="https://github.com/ethandeysel/Data-Risk-Compliance/blob/main/data/acts/GDPR/CELEX_32022L2555_EN_TXT%20%28GDPR%20-%20Row%2017%29.pdf" TargetMode="External" Id="rId401"/><Relationship Type="http://schemas.openxmlformats.org/officeDocument/2006/relationships/hyperlink" Target="https://github.com/ethandeysel/Data-Risk-Compliance/blob/main/data/acts/GDPR/CELEX_32022L2555_EN_TXT%20%28GDPR%20-%20Row%2017%29.pdf" TargetMode="External" Id="rId402"/><Relationship Type="http://schemas.openxmlformats.org/officeDocument/2006/relationships/hyperlink" Target="https://github.com/ethandeysel/Data-Risk-Compliance/blob/main/data/acts/GDPR/CELEX_32022L2555_EN_TXT%20%28GDPR%20-%20Row%2017%29.pdf" TargetMode="External" Id="rId403"/><Relationship Type="http://schemas.openxmlformats.org/officeDocument/2006/relationships/hyperlink" Target="https://github.com/ethandeysel/Data-Risk-Compliance/blob/main/data/acts/GDPR/CELEX_32022L2555_EN_TXT%20%28GDPR%20-%20Row%2017%29.pdf" TargetMode="External" Id="rId404"/><Relationship Type="http://schemas.openxmlformats.org/officeDocument/2006/relationships/hyperlink" Target="https://github.com/ethandeysel/Data-Risk-Compliance/blob/main/data/acts/GDPR/CELEX_32022L2555_EN_TXT%20%28GDPR%20-%20Row%2017%29.pdf" TargetMode="External" Id="rId405"/><Relationship Type="http://schemas.openxmlformats.org/officeDocument/2006/relationships/hyperlink" Target="https://github.com/ethandeysel/Data-Risk-Compliance/blob/main/data/acts/GDPR/CELEX_32022L2555_EN_TXT%20%28GDPR%20-%20Row%2017%29.pdf" TargetMode="External" Id="rId406"/><Relationship Type="http://schemas.openxmlformats.org/officeDocument/2006/relationships/hyperlink" Target="https://github.com/ethandeysel/Data-Risk-Compliance/blob/main/data/acts/GDPR/CELEX_32022L2555_EN_TXT%20%28GDPR%20-%20Row%2017%29.pdf" TargetMode="External" Id="rId407"/><Relationship Type="http://schemas.openxmlformats.org/officeDocument/2006/relationships/hyperlink" Target="https://github.com/ethandeysel/Data-Risk-Compliance/blob/main/data/acts/GDPR/CELEX_32022L2555_EN_TXT%20%28GDPR%20-%20Row%2017%29.pdf" TargetMode="External" Id="rId408"/><Relationship Type="http://schemas.openxmlformats.org/officeDocument/2006/relationships/hyperlink" Target="https://github.com/ethandeysel/Data-Risk-Compliance/blob/main/data/acts/GDPR/CELEX_32022L2555_EN_TXT%20%28GDPR%20-%20Row%2017%29.pdf" TargetMode="External" Id="rId409"/><Relationship Type="http://schemas.openxmlformats.org/officeDocument/2006/relationships/hyperlink" Target="https://github.com/ethandeysel/Data-Risk-Compliance/blob/main/data/acts/GDPR/CELEX_32022L2555_EN_TXT%20%28GDPR%20-%20Row%2017%29.pdf" TargetMode="External" Id="rId410"/><Relationship Type="http://schemas.openxmlformats.org/officeDocument/2006/relationships/hyperlink" Target="https://github.com/ethandeysel/Data-Risk-Compliance/blob/main/data/acts/GDPR/CELEX_32022L2555_EN_TXT%20%28GDPR%20-%20Row%2017%29.pdf" TargetMode="External" Id="rId411"/><Relationship Type="http://schemas.openxmlformats.org/officeDocument/2006/relationships/hyperlink" Target="https://github.com/ethandeysel/Data-Risk-Compliance/blob/main/data/acts/GDPR/CELEX_32022L2555_EN_TXT%20%28GDPR%20-%20Row%2017%29.pdf" TargetMode="External" Id="rId412"/><Relationship Type="http://schemas.openxmlformats.org/officeDocument/2006/relationships/hyperlink" Target="https://github.com/ethandeysel/Data-Risk-Compliance/blob/main/data/acts/GDPR/CELEX_32022L2555_EN_TXT%20%28GDPR%20-%20Row%2017%29.pdf" TargetMode="External" Id="rId413"/><Relationship Type="http://schemas.openxmlformats.org/officeDocument/2006/relationships/hyperlink" Target="https://github.com/ethandeysel/Data-Risk-Compliance/blob/main/data/acts/GDPR/CELEX_32022L2555_EN_TXT%20%28GDPR%20-%20Row%2017%29.pdf" TargetMode="External" Id="rId414"/><Relationship Type="http://schemas.openxmlformats.org/officeDocument/2006/relationships/hyperlink" Target="https://github.com/ethandeysel/Data-Risk-Compliance/blob/main/data/acts/GDPR/CELEX_32022L2555_EN_TXT%20%28GDPR%20-%20Row%2017%29.pdf" TargetMode="External" Id="rId415"/><Relationship Type="http://schemas.openxmlformats.org/officeDocument/2006/relationships/hyperlink" Target="https://github.com/ethandeysel/Data-Risk-Compliance/blob/main/data/acts/GDPR/CELEX_32022L2555_EN_TXT%20%28GDPR%20-%20Row%2017%29.pdf" TargetMode="External" Id="rId416"/><Relationship Type="http://schemas.openxmlformats.org/officeDocument/2006/relationships/hyperlink" Target="https://github.com/ethandeysel/Data-Risk-Compliance/blob/main/data/acts/GDPR/CELEX_32022L2555_EN_TXT%20%28GDPR%20-%20Row%2017%29.pdf" TargetMode="External" Id="rId417"/><Relationship Type="http://schemas.openxmlformats.org/officeDocument/2006/relationships/hyperlink" Target="https://github.com/ethandeysel/Data-Risk-Compliance/blob/main/data/acts/GDPR/CELEX_32022L2555_EN_TXT%20%28GDPR%20-%20Row%2017%29.pdf" TargetMode="External" Id="rId418"/><Relationship Type="http://schemas.openxmlformats.org/officeDocument/2006/relationships/hyperlink" Target="https://github.com/ethandeysel/Data-Risk-Compliance/blob/main/data/acts/GDPR/CELEX_32022L2555_EN_TXT%20%28GDPR%20-%20Row%2017%29.pdf" TargetMode="External" Id="rId419"/><Relationship Type="http://schemas.openxmlformats.org/officeDocument/2006/relationships/hyperlink" Target="https://github.com/ethandeysel/Data-Risk-Compliance/blob/main/data/acts/GDPR/CELEX_32022L2555_EN_TXT%20%28GDPR%20-%20Row%2017%29.pdf" TargetMode="External" Id="rId420"/><Relationship Type="http://schemas.openxmlformats.org/officeDocument/2006/relationships/hyperlink" Target="https://github.com/ethandeysel/Data-Risk-Compliance/blob/main/data/acts/GDPR/CELEX_32022L2555_EN_TXT%20%28GDPR%20-%20Row%2017%29.pdf" TargetMode="External" Id="rId421"/><Relationship Type="http://schemas.openxmlformats.org/officeDocument/2006/relationships/hyperlink" Target="https://github.com/ethandeysel/Data-Risk-Compliance/blob/main/data/acts/GDPR/CELEX_32022L2555_EN_TXT%20%28GDPR%20-%20Row%2017%29.pdf" TargetMode="External" Id="rId422"/><Relationship Type="http://schemas.openxmlformats.org/officeDocument/2006/relationships/hyperlink" Target="https://github.com/ethandeysel/Data-Risk-Compliance/blob/main/data/acts/GDPR/CELEX_32022L2555_EN_TXT%20%28GDPR%20-%20Row%2017%29.pdf" TargetMode="External" Id="rId423"/><Relationship Type="http://schemas.openxmlformats.org/officeDocument/2006/relationships/hyperlink" Target="https://github.com/ethandeysel/Data-Risk-Compliance/blob/main/data/acts/GDPR/CELEX_32022L2555_EN_TXT%20%28GDPR%20-%20Row%2017%29.pdf" TargetMode="External" Id="rId424"/><Relationship Type="http://schemas.openxmlformats.org/officeDocument/2006/relationships/hyperlink" Target="https://github.com/ethandeysel/Data-Risk-Compliance/blob/main/data/acts/GDPR/CELEX_32022L2555_EN_TXT%20%28GDPR%20-%20Row%2017%29.pdf" TargetMode="External" Id="rId425"/><Relationship Type="http://schemas.openxmlformats.org/officeDocument/2006/relationships/hyperlink" Target="https://github.com/ethandeysel/Data-Risk-Compliance/blob/main/data/acts/GDPR/CELEX_32022L2555_EN_TXT%20%28GDPR%20-%20Row%2017%29.pdf" TargetMode="External" Id="rId426"/><Relationship Type="http://schemas.openxmlformats.org/officeDocument/2006/relationships/hyperlink" Target="https://github.com/ethandeysel/Data-Risk-Compliance/blob/main/data/acts/GDPR/CELEX_32022L2555_EN_TXT%20%28GDPR%20-%20Row%2017%29.pdf" TargetMode="External" Id="rId427"/><Relationship Type="http://schemas.openxmlformats.org/officeDocument/2006/relationships/hyperlink" Target="https://github.com/ethandeysel/Data-Risk-Compliance/blob/main/data/acts/GDPR/CELEX_32022L2555_EN_TXT%20%28GDPR%20-%20Row%2017%29.pdf" TargetMode="External" Id="rId428"/><Relationship Type="http://schemas.openxmlformats.org/officeDocument/2006/relationships/hyperlink" Target="https://github.com/ethandeysel/Data-Risk-Compliance/blob/main/data/acts/GDPR/CELEX_32022L2555_EN_TXT%20%28GDPR%20-%20Row%2017%29.pdf" TargetMode="External" Id="rId429"/><Relationship Type="http://schemas.openxmlformats.org/officeDocument/2006/relationships/hyperlink" Target="https://github.com/ethandeysel/Data-Risk-Compliance/blob/main/data/acts/GDPR/CELEX_32022L2555_EN_TXT%20%28GDPR%20-%20Row%2017%29.pdf" TargetMode="External" Id="rId430"/><Relationship Type="http://schemas.openxmlformats.org/officeDocument/2006/relationships/hyperlink" Target="https://github.com/ethandeysel/Data-Risk-Compliance/blob/main/data/acts/GDPR/CELEX_32022L2555_EN_TXT%20%28GDPR%20-%20Row%2017%29.pdf" TargetMode="External" Id="rId431"/><Relationship Type="http://schemas.openxmlformats.org/officeDocument/2006/relationships/hyperlink" Target="https://github.com/ethandeysel/Data-Risk-Compliance/blob/main/data/acts/GDPR/CELEX_32022L2555_EN_TXT%20%28GDPR%20-%20Row%2017%29.pdf" TargetMode="External" Id="rId432"/><Relationship Type="http://schemas.openxmlformats.org/officeDocument/2006/relationships/hyperlink" Target="https://github.com/ethandeysel/Data-Risk-Compliance/blob/main/data/acts/GDPR/CELEX_32022L2555_EN_TXT%20%28GDPR%20-%20Row%2017%29.pdf" TargetMode="External" Id="rId433"/><Relationship Type="http://schemas.openxmlformats.org/officeDocument/2006/relationships/hyperlink" Target="https://github.com/ethandeysel/Data-Risk-Compliance/blob/main/data/acts/GDPR/CELEX_32022L2555_EN_TXT%20%28GDPR%20-%20Row%2017%29.pdf" TargetMode="External" Id="rId434"/><Relationship Type="http://schemas.openxmlformats.org/officeDocument/2006/relationships/hyperlink" Target="https://github.com/ethandeysel/Data-Risk-Compliance/blob/main/data/acts/GDPR/CELEX_32022L2555_EN_TXT%20%28GDPR%20-%20Row%2017%29.pdf" TargetMode="External" Id="rId435"/><Relationship Type="http://schemas.openxmlformats.org/officeDocument/2006/relationships/hyperlink" Target="https://github.com/ethandeysel/Data-Risk-Compliance/blob/main/data/acts/GDPR/CELEX_32022L2555_EN_TXT%20%28GDPR%20-%20Row%2017%29.pdf" TargetMode="External" Id="rId436"/><Relationship Type="http://schemas.openxmlformats.org/officeDocument/2006/relationships/hyperlink" Target="https://github.com/ethandeysel/Data-Risk-Compliance/blob/main/data/acts/GDPR/CELEX_32022L2555_EN_TXT%20%28GDPR%20-%20Row%2017%29.pdf" TargetMode="External" Id="rId437"/><Relationship Type="http://schemas.openxmlformats.org/officeDocument/2006/relationships/hyperlink" Target="https://github.com/ethandeysel/Data-Risk-Compliance/blob/main/data/acts/GDPR/CELEX_32022L2555_EN_TXT%20%28GDPR%20-%20Row%2017%29.pdf" TargetMode="External" Id="rId438"/><Relationship Type="http://schemas.openxmlformats.org/officeDocument/2006/relationships/hyperlink" Target="https://github.com/ethandeysel/Data-Risk-Compliance/blob/main/data/acts/GDPR/CELEX_32022L2555_EN_TXT%20%28GDPR%20-%20Row%2017%29.pdf" TargetMode="External" Id="rId439"/><Relationship Type="http://schemas.openxmlformats.org/officeDocument/2006/relationships/hyperlink" Target="https://github.com/ethandeysel/Data-Risk-Compliance/blob/main/data/acts/GDPR/CELEX_32022L2555_EN_TXT%20%28GDPR%20-%20Row%2017%29.pdf" TargetMode="External" Id="rId440"/><Relationship Type="http://schemas.openxmlformats.org/officeDocument/2006/relationships/hyperlink" Target="https://github.com/ethandeysel/Data-Risk-Compliance/blob/main/data/acts/GDPR/CELEX_32022L2555_EN_TXT%20%28GDPR%20-%20Row%2017%29.pdf" TargetMode="External" Id="rId441"/><Relationship Type="http://schemas.openxmlformats.org/officeDocument/2006/relationships/hyperlink" Target="https://github.com/ethandeysel/Data-Risk-Compliance/blob/main/data/acts/GDPR/CELEX_32022L2555_EN_TXT%20%28GDPR%20-%20Row%2017%29.pdf" TargetMode="External" Id="rId442"/><Relationship Type="http://schemas.openxmlformats.org/officeDocument/2006/relationships/hyperlink" Target="https://github.com/ethandeysel/Data-Risk-Compliance/blob/main/data/acts/GDPR/CELEX_32022L2555_EN_TXT%20%28GDPR%20-%20Row%2017%29.pdf" TargetMode="External" Id="rId443"/><Relationship Type="http://schemas.openxmlformats.org/officeDocument/2006/relationships/hyperlink" Target="https://github.com/ethandeysel/Data-Risk-Compliance/blob/main/data/acts/GDPR/CELEX_32022L2555_EN_TXT%20%28GDPR%20-%20Row%2017%29.pdf" TargetMode="External" Id="rId444"/><Relationship Type="http://schemas.openxmlformats.org/officeDocument/2006/relationships/hyperlink" Target="https://github.com/ethandeysel/Data-Risk-Compliance/blob/main/data/acts/GDPR/CELEX_32022L2555_EN_TXT%20%28GDPR%20-%20Row%2017%29.pdf" TargetMode="External" Id="rId445"/><Relationship Type="http://schemas.openxmlformats.org/officeDocument/2006/relationships/hyperlink" Target="https://github.com/ethandeysel/Data-Risk-Compliance/blob/main/data/acts/GDPR/CELEX_32022L2555_EN_TXT%20%28GDPR%20-%20Row%2017%29.pdf" TargetMode="External" Id="rId446"/><Relationship Type="http://schemas.openxmlformats.org/officeDocument/2006/relationships/hyperlink" Target="https://github.com/ethandeysel/Data-Risk-Compliance/blob/main/data/acts/GDPR/CELEX_32022L2555_EN_TXT%20%28GDPR%20-%20Row%2017%29.pdf" TargetMode="External" Id="rId447"/><Relationship Type="http://schemas.openxmlformats.org/officeDocument/2006/relationships/hyperlink" Target="https://github.com/ethandeysel/Data-Risk-Compliance/blob/main/data/acts/GDPR/CELEX_32022L2555_EN_TXT%20%28GDPR%20-%20Row%2017%29.pdf" TargetMode="External" Id="rId448"/><Relationship Type="http://schemas.openxmlformats.org/officeDocument/2006/relationships/hyperlink" Target="https://github.com/ethandeysel/Data-Risk-Compliance/blob/main/data/acts/GDPR/CELEX_32022L2555_EN_TXT%20%28GDPR%20-%20Row%2017%29.pdf" TargetMode="External" Id="rId449"/><Relationship Type="http://schemas.openxmlformats.org/officeDocument/2006/relationships/hyperlink" Target="https://github.com/ethandeysel/Data-Risk-Compliance/blob/main/data/acts/GDPR/CELEX_32022L2555_EN_TXT%20%28GDPR%20-%20Row%2017%29.pdf" TargetMode="External" Id="rId450"/><Relationship Type="http://schemas.openxmlformats.org/officeDocument/2006/relationships/hyperlink" Target="https://github.com/ethandeysel/Data-Risk-Compliance/blob/main/data/acts/GDPR/CELEX_32022L2555_EN_TXT%20%28GDPR%20-%20Row%2017%29.pdf" TargetMode="External" Id="rId451"/><Relationship Type="http://schemas.openxmlformats.org/officeDocument/2006/relationships/hyperlink" Target="https://github.com/ethandeysel/Data-Risk-Compliance/blob/main/data/acts/GDPR/CELEX_32022L2555_EN_TXT%20%28GDPR%20-%20Row%2017%29.pdf" TargetMode="External" Id="rId452"/><Relationship Type="http://schemas.openxmlformats.org/officeDocument/2006/relationships/hyperlink" Target="https://github.com/ethandeysel/Data-Risk-Compliance/blob/main/data/acts/GDPR/CELEX_32022L2555_EN_TXT%20%28GDPR%20-%20Row%2017%29.pdf" TargetMode="External" Id="rId453"/><Relationship Type="http://schemas.openxmlformats.org/officeDocument/2006/relationships/hyperlink" Target="https://github.com/ethandeysel/Data-Risk-Compliance/blob/main/data/acts/GDPR/CELEX_32022L2555_EN_TXT%20%28GDPR%20-%20Row%2017%29.pdf" TargetMode="External" Id="rId454"/><Relationship Type="http://schemas.openxmlformats.org/officeDocument/2006/relationships/hyperlink" Target="https://github.com/ethandeysel/Data-Risk-Compliance/blob/main/data/acts/GDPR/CELEX_32022L2555_EN_TXT%20%28GDPR%20-%20Row%2017%29.pdf" TargetMode="External" Id="rId455"/><Relationship Type="http://schemas.openxmlformats.org/officeDocument/2006/relationships/hyperlink" Target="https://github.com/ethandeysel/Data-Risk-Compliance/blob/main/data/acts/GDPR/CELEX_32022L2555_EN_TXT%20%28GDPR%20-%20Row%2017%29.pdf" TargetMode="External" Id="rId456"/><Relationship Type="http://schemas.openxmlformats.org/officeDocument/2006/relationships/hyperlink" Target="https://github.com/ethandeysel/Data-Risk-Compliance/blob/main/data/acts/GDPR/CELEX_32022L2555_EN_TXT%20%28GDPR%20-%20Row%2017%29.pdf" TargetMode="External" Id="rId457"/><Relationship Type="http://schemas.openxmlformats.org/officeDocument/2006/relationships/hyperlink" Target="https://github.com/ethandeysel/Data-Risk-Compliance/blob/main/data/acts/GDPR/CELEX_32022L2555_EN_TXT%20%28GDPR%20-%20Row%2017%29.pdf" TargetMode="External" Id="rId458"/><Relationship Type="http://schemas.openxmlformats.org/officeDocument/2006/relationships/hyperlink" Target="https://github.com/ethandeysel/Data-Risk-Compliance/blob/main/data/acts/GDPR/CELEX_32022L2555_EN_TXT%20%28GDPR%20-%20Row%2017%29.pdf" TargetMode="External" Id="rId459"/><Relationship Type="http://schemas.openxmlformats.org/officeDocument/2006/relationships/hyperlink" Target="https://github.com/ethandeysel/Data-Risk-Compliance/blob/main/data/acts/GDPR/CELEX_32022L2555_EN_TXT%20%28GDPR%20-%20Row%2017%29.pdf" TargetMode="External" Id="rId460"/><Relationship Type="http://schemas.openxmlformats.org/officeDocument/2006/relationships/hyperlink" Target="https://github.com/ethandeysel/Data-Risk-Compliance/blob/main/data/acts/GDPR/CELEX_32022L2555_EN_TXT%20%28GDPR%20-%20Row%2017%29.pdf" TargetMode="External" Id="rId461"/><Relationship Type="http://schemas.openxmlformats.org/officeDocument/2006/relationships/hyperlink" Target="https://github.com/ethandeysel/Data-Risk-Compliance/blob/main/data/acts/GDPR/CELEX_32022L2555_EN_TXT%20%28GDPR%20-%20Row%2017%29.pdf" TargetMode="External" Id="rId462"/><Relationship Type="http://schemas.openxmlformats.org/officeDocument/2006/relationships/hyperlink" Target="https://github.com/ethandeysel/Data-Risk-Compliance/blob/main/data/acts/GDPR/CELEX_32022L2555_EN_TXT%20%28GDPR%20-%20Row%2017%29.pdf" TargetMode="External" Id="rId463"/><Relationship Type="http://schemas.openxmlformats.org/officeDocument/2006/relationships/hyperlink" Target="https://github.com/ethandeysel/Data-Risk-Compliance/blob/main/data/acts/GDPR/CELEX_32022L2555_EN_TXT%20%28GDPR%20-%20Row%2017%29.pdf" TargetMode="External" Id="rId464"/><Relationship Type="http://schemas.openxmlformats.org/officeDocument/2006/relationships/hyperlink" Target="https://github.com/ethandeysel/Data-Risk-Compliance/blob/main/data/acts/GDPR/CELEX_32022L2555_EN_TXT%20%28GDPR%20-%20Row%2017%29.pdf" TargetMode="External" Id="rId465"/><Relationship Type="http://schemas.openxmlformats.org/officeDocument/2006/relationships/hyperlink" Target="https://github.com/ethandeysel/Data-Risk-Compliance/blob/main/data/acts/GDPR/CELEX_32022L2555_EN_TXT%20%28GDPR%20-%20Row%2017%29.pdf" TargetMode="External" Id="rId466"/><Relationship Type="http://schemas.openxmlformats.org/officeDocument/2006/relationships/hyperlink" Target="https://github.com/ethandeysel/Data-Risk-Compliance/blob/main/data/acts/GDPR/CELEX_32022L2555_EN_TXT%20%28GDPR%20-%20Row%2017%29.pdf" TargetMode="External" Id="rId467"/><Relationship Type="http://schemas.openxmlformats.org/officeDocument/2006/relationships/hyperlink" Target="https://github.com/ethandeysel/Data-Risk-Compliance/blob/main/data/acts/GDPR/CELEX_32022L2555_EN_TXT%20%28GDPR%20-%20Row%2017%29.pdf" TargetMode="External" Id="rId468"/><Relationship Type="http://schemas.openxmlformats.org/officeDocument/2006/relationships/hyperlink" Target="https://github.com/ethandeysel/Data-Risk-Compliance/blob/main/data/acts/GDPR/CELEX_32022L2555_EN_TXT%20%28GDPR%20-%20Row%2017%29.pdf" TargetMode="External" Id="rId469"/><Relationship Type="http://schemas.openxmlformats.org/officeDocument/2006/relationships/hyperlink" Target="https://github.com/ethandeysel/Data-Risk-Compliance/blob/main/data/acts/GDPR/CELEX_32022L2555_EN_TXT%20%28GDPR%20-%20Row%2017%29.pdf" TargetMode="External" Id="rId470"/><Relationship Type="http://schemas.openxmlformats.org/officeDocument/2006/relationships/hyperlink" Target="https://github.com/ethandeysel/Data-Risk-Compliance/blob/main/data/acts/GDPR/CELEX_32022L2555_EN_TXT%20%28GDPR%20-%20Row%2017%29.pdf" TargetMode="External" Id="rId471"/><Relationship Type="http://schemas.openxmlformats.org/officeDocument/2006/relationships/hyperlink" Target="https://github.com/ethandeysel/Data-Risk-Compliance/blob/main/data/acts/GDPR/CELEX_32022L2555_EN_TXT%20%28GDPR%20-%20Row%2017%29.pdf" TargetMode="External" Id="rId472"/><Relationship Type="http://schemas.openxmlformats.org/officeDocument/2006/relationships/hyperlink" Target="https://github.com/ethandeysel/Data-Risk-Compliance/blob/main/data/acts/GDPR/CELEX_32022L2555_EN_TXT%20%28GDPR%20-%20Row%2017%29.pdf" TargetMode="External" Id="rId473"/><Relationship Type="http://schemas.openxmlformats.org/officeDocument/2006/relationships/hyperlink" Target="https://github.com/ethandeysel/Data-Risk-Compliance/blob/main/data/acts/GDPR/CELEX_32022L2555_EN_TXT%20%28GDPR%20-%20Row%2017%29.pdf" TargetMode="External" Id="rId474"/><Relationship Type="http://schemas.openxmlformats.org/officeDocument/2006/relationships/hyperlink" Target="https://github.com/ethandeysel/Data-Risk-Compliance/blob/main/data/acts/GDPR/CELEX_32022L2555_EN_TXT%20%28GDPR%20-%20Row%2017%29.pdf" TargetMode="External" Id="rId475"/><Relationship Type="http://schemas.openxmlformats.org/officeDocument/2006/relationships/hyperlink" Target="https://github.com/ethandeysel/Data-Risk-Compliance/blob/main/data/acts/GDPR/CELEX_32022L2555_EN_TXT%20%28GDPR%20-%20Row%2017%29.pdf" TargetMode="External" Id="rId476"/><Relationship Type="http://schemas.openxmlformats.org/officeDocument/2006/relationships/hyperlink" Target="https://github.com/ethandeysel/Data-Risk-Compliance/blob/main/data/acts/GDPR/CELEX_32022L2555_EN_TXT%20%28GDPR%20-%20Row%2017%29.pdf" TargetMode="External" Id="rId477"/><Relationship Type="http://schemas.openxmlformats.org/officeDocument/2006/relationships/hyperlink" Target="https://github.com/ethandeysel/Data-Risk-Compliance/blob/main/data/acts/GDPR/CELEX_32022L2555_EN_TXT%20%28GDPR%20-%20Row%2017%29.pdf" TargetMode="External" Id="rId478"/><Relationship Type="http://schemas.openxmlformats.org/officeDocument/2006/relationships/hyperlink" Target="https://github.com/ethandeysel/Data-Risk-Compliance/blob/main/data/acts/GDPR/CELEX_32022L2555_EN_TXT%20%28GDPR%20-%20Row%2017%29.pdf" TargetMode="External" Id="rId479"/><Relationship Type="http://schemas.openxmlformats.org/officeDocument/2006/relationships/hyperlink" Target="https://github.com/ethandeysel/Data-Risk-Compliance/blob/main/data/acts/GDPR/CELEX_32022L2555_EN_TXT%20%28GDPR%20-%20Row%2017%29.pdf" TargetMode="External" Id="rId480"/><Relationship Type="http://schemas.openxmlformats.org/officeDocument/2006/relationships/hyperlink" Target="https://github.com/ethandeysel/Data-Risk-Compliance/blob/main/data/acts/GDPR/CELEX_32022L2555_EN_TXT%20%28GDPR%20-%20Row%2017%29.pdf" TargetMode="External" Id="rId481"/><Relationship Type="http://schemas.openxmlformats.org/officeDocument/2006/relationships/hyperlink" Target="https://github.com/ethandeysel/Data-Risk-Compliance/blob/main/data/acts/GDPR/CELEX_32022L2555_EN_TXT%20%28GDPR%20-%20Row%2017%29.pdf" TargetMode="External" Id="rId482"/><Relationship Type="http://schemas.openxmlformats.org/officeDocument/2006/relationships/hyperlink" Target="https://github.com/ethandeysel/Data-Risk-Compliance/blob/main/data/acts/GDPR/CELEX_32022L2555_EN_TXT%20%28GDPR%20-%20Row%2017%29.pdf" TargetMode="External" Id="rId483"/><Relationship Type="http://schemas.openxmlformats.org/officeDocument/2006/relationships/hyperlink" Target="https://github.com/ethandeysel/Data-Risk-Compliance/blob/main/data/acts/GDPR/CELEX_32022L2555_EN_TXT%20%28GDPR%20-%20Row%2017%29.pdf" TargetMode="External" Id="rId484"/><Relationship Type="http://schemas.openxmlformats.org/officeDocument/2006/relationships/hyperlink" Target="https://github.com/ethandeysel/Data-Risk-Compliance/blob/main/data/acts/GDPR/CELEX_32022L2555_EN_TXT%20%28GDPR%20-%20Row%2017%29.pdf" TargetMode="External" Id="rId485"/><Relationship Type="http://schemas.openxmlformats.org/officeDocument/2006/relationships/hyperlink" Target="https://github.com/ethandeysel/Data-Risk-Compliance/blob/main/data/acts/GDPR/CELEX_32022L2555_EN_TXT%20%28GDPR%20-%20Row%2017%29.pdf" TargetMode="External" Id="rId486"/><Relationship Type="http://schemas.openxmlformats.org/officeDocument/2006/relationships/hyperlink" Target="https://github.com/ethandeysel/Data-Risk-Compliance/blob/main/data/acts/GDPR/CELEX_32022L2555_EN_TXT%20%28GDPR%20-%20Row%2017%29.pdf" TargetMode="External" Id="rId487"/><Relationship Type="http://schemas.openxmlformats.org/officeDocument/2006/relationships/hyperlink" Target="https://github.com/ethandeysel/Data-Risk-Compliance/blob/main/data/acts/GDPR/CELEX_32022L2555_EN_TXT%20%28GDPR%20-%20Row%2017%29.pdf" TargetMode="External" Id="rId488"/><Relationship Type="http://schemas.openxmlformats.org/officeDocument/2006/relationships/hyperlink" Target="https://github.com/ethandeysel/Data-Risk-Compliance/blob/main/data/acts/GDPR/CELEX_32022L2555_EN_TXT%20%28GDPR%20-%20Row%2017%29.pdf" TargetMode="External" Id="rId489"/><Relationship Type="http://schemas.openxmlformats.org/officeDocument/2006/relationships/hyperlink" Target="https://github.com/ethandeysel/Data-Risk-Compliance/blob/main/data/acts/GDPR/CELEX_32022L2555_EN_TXT%20%28GDPR%20-%20Row%2017%29.pdf" TargetMode="External" Id="rId490"/><Relationship Type="http://schemas.openxmlformats.org/officeDocument/2006/relationships/hyperlink" Target="https://github.com/ethandeysel/Data-Risk-Compliance/blob/main/data/acts/GDPR/CELEX_32022L2555_EN_TXT%20%28GDPR%20-%20Row%2017%29.pdf" TargetMode="External" Id="rId491"/><Relationship Type="http://schemas.openxmlformats.org/officeDocument/2006/relationships/hyperlink" Target="https://github.com/ethandeysel/Data-Risk-Compliance/blob/main/data/acts/GDPR/CELEX_32022L2555_EN_TXT%20%28GDPR%20-%20Row%2017%29.pdf" TargetMode="External" Id="rId492"/><Relationship Type="http://schemas.openxmlformats.org/officeDocument/2006/relationships/hyperlink" Target="https://github.com/ethandeysel/Data-Risk-Compliance/blob/main/data/acts/GDPR/CELEX_32022L2555_EN_TXT%20%28GDPR%20-%20Row%2017%29.pdf" TargetMode="External" Id="rId493"/><Relationship Type="http://schemas.openxmlformats.org/officeDocument/2006/relationships/hyperlink" Target="https://github.com/ethandeysel/Data-Risk-Compliance/blob/main/data/acts/GDPR/CELEX_32022L2555_EN_TXT%20%28GDPR%20-%20Row%2017%29.pdf" TargetMode="External" Id="rId494"/><Relationship Type="http://schemas.openxmlformats.org/officeDocument/2006/relationships/hyperlink" Target="https://github.com/ethandeysel/Data-Risk-Compliance/blob/main/data/acts/GDPR/CELEX_32022L2555_EN_TXT%20%28GDPR%20-%20Row%2017%29.pdf" TargetMode="External" Id="rId495"/><Relationship Type="http://schemas.openxmlformats.org/officeDocument/2006/relationships/hyperlink" Target="https://github.com/ethandeysel/Data-Risk-Compliance/blob/main/data/acts/GDPR/CELEX_32022L2555_EN_TXT%20%28GDPR%20-%20Row%2017%29.pdf" TargetMode="External" Id="rId496"/><Relationship Type="http://schemas.openxmlformats.org/officeDocument/2006/relationships/hyperlink" Target="https://github.com/ethandeysel/Data-Risk-Compliance/blob/main/data/acts/GDPR/CELEX_32022L2555_EN_TXT%20%28GDPR%20-%20Row%2017%29.pdf" TargetMode="External" Id="rId497"/><Relationship Type="http://schemas.openxmlformats.org/officeDocument/2006/relationships/hyperlink" Target="https://github.com/ethandeysel/Data-Risk-Compliance/blob/main/data/acts/GDPR/CELEX_32022L2555_EN_TXT%20%28GDPR%20-%20Row%2017%29.pdf" TargetMode="External" Id="rId498"/><Relationship Type="http://schemas.openxmlformats.org/officeDocument/2006/relationships/hyperlink" Target="https://github.com/ethandeysel/Data-Risk-Compliance/blob/main/data/acts/GDPR/CELEX_32022L2555_EN_TXT%20%28GDPR%20-%20Row%2017%29.pdf" TargetMode="External" Id="rId499"/><Relationship Type="http://schemas.openxmlformats.org/officeDocument/2006/relationships/hyperlink" Target="https://github.com/ethandeysel/Data-Risk-Compliance/blob/main/data/acts/GDPR/CELEX_32022L2555_EN_TXT%20%28GDPR%20-%20Row%2017%29.pdf" TargetMode="External" Id="rId500"/><Relationship Type="http://schemas.openxmlformats.org/officeDocument/2006/relationships/hyperlink" Target="https://github.com/ethandeysel/Data-Risk-Compliance/blob/main/data/acts/GDPR/CELEX_32022L2555_EN_TXT%20%28GDPR%20-%20Row%2017%29.pdf" TargetMode="External" Id="rId501"/><Relationship Type="http://schemas.openxmlformats.org/officeDocument/2006/relationships/hyperlink" Target="https://github.com/ethandeysel/Data-Risk-Compliance/blob/main/data/acts/GDPR/CELEX_32022L2555_EN_TXT%20%28GDPR%20-%20Row%2017%29.pdf" TargetMode="External" Id="rId502"/><Relationship Type="http://schemas.openxmlformats.org/officeDocument/2006/relationships/hyperlink" Target="https://github.com/ethandeysel/Data-Risk-Compliance/blob/main/data/acts/GDPR/CELEX_32022L2555_EN_TXT%20%28GDPR%20-%20Row%2017%29.pdf" TargetMode="External" Id="rId503"/><Relationship Type="http://schemas.openxmlformats.org/officeDocument/2006/relationships/hyperlink" Target="https://github.com/ethandeysel/Data-Risk-Compliance/blob/main/data/acts/GDPR/CELEX_32022L2555_EN_TXT%20%28GDPR%20-%20Row%2017%29.pdf" TargetMode="External" Id="rId504"/><Relationship Type="http://schemas.openxmlformats.org/officeDocument/2006/relationships/hyperlink" Target="https://github.com/ethandeysel/Data-Risk-Compliance/blob/main/data/acts/GDPR/CELEX_32022L2555_EN_TXT%20%28GDPR%20-%20Row%2017%29.pdf" TargetMode="External" Id="rId505"/><Relationship Type="http://schemas.openxmlformats.org/officeDocument/2006/relationships/hyperlink" Target="https://github.com/ethandeysel/Data-Risk-Compliance/blob/main/data/acts/GDPR/CELEX_32022L2555_EN_TXT%20%28GDPR%20-%20Row%2017%29.pdf" TargetMode="External" Id="rId506"/><Relationship Type="http://schemas.openxmlformats.org/officeDocument/2006/relationships/hyperlink" Target="https://github.com/ethandeysel/Data-Risk-Compliance/blob/main/data/acts/GDPR/CELEX_32022L2555_EN_TXT%20%28GDPR%20-%20Row%2017%29.pdf" TargetMode="External" Id="rId507"/><Relationship Type="http://schemas.openxmlformats.org/officeDocument/2006/relationships/hyperlink" Target="https://github.com/ethandeysel/Data-Risk-Compliance/blob/main/data/acts/GDPR/CELEX_32022L2555_EN_TXT%20%28GDPR%20-%20Row%2017%29.pdf" TargetMode="External" Id="rId508"/><Relationship Type="http://schemas.openxmlformats.org/officeDocument/2006/relationships/hyperlink" Target="https://github.com/ethandeysel/Data-Risk-Compliance/blob/main/data/acts/GDPR/CELEX_32022L2555_EN_TXT%20%28GDPR%20-%20Row%2017%29.pdf" TargetMode="External" Id="rId509"/><Relationship Type="http://schemas.openxmlformats.org/officeDocument/2006/relationships/hyperlink" Target="https://github.com/ethandeysel/Data-Risk-Compliance/blob/main/data/acts/GDPR/CELEX_32022L2555_EN_TXT%20%28GDPR%20-%20Row%2017%29.pdf" TargetMode="External" Id="rId510"/><Relationship Type="http://schemas.openxmlformats.org/officeDocument/2006/relationships/hyperlink" Target="https://github.com/ethandeysel/Data-Risk-Compliance/blob/main/data/acts/GDPR/CELEX_32022L2555_EN_TXT%20%28GDPR%20-%20Row%2017%29.pdf" TargetMode="External" Id="rId511"/><Relationship Type="http://schemas.openxmlformats.org/officeDocument/2006/relationships/hyperlink" Target="https://github.com/ethandeysel/Data-Risk-Compliance/blob/main/data/acts/GDPR/CELEX_32022L2555_EN_TXT%20%28GDPR%20-%20Row%2017%29.pdf" TargetMode="External" Id="rId512"/><Relationship Type="http://schemas.openxmlformats.org/officeDocument/2006/relationships/hyperlink" Target="https://github.com/ethandeysel/Data-Risk-Compliance/blob/main/data/acts/GDPR/CELEX_32022L2555_EN_TXT%20%28GDPR%20-%20Row%2017%29.pdf" TargetMode="External" Id="rId513"/><Relationship Type="http://schemas.openxmlformats.org/officeDocument/2006/relationships/hyperlink" Target="https://github.com/ethandeysel/Data-Risk-Compliance/blob/main/data/acts/GDPR/CELEX_32022L2555_EN_TXT%20%28GDPR%20-%20Row%2017%29.pdf" TargetMode="External" Id="rId514"/><Relationship Type="http://schemas.openxmlformats.org/officeDocument/2006/relationships/hyperlink" Target="https://github.com/ethandeysel/Data-Risk-Compliance/blob/main/data/acts/GDPR/CELEX_32022L2555_EN_TXT%20%28GDPR%20-%20Row%2017%29.pdf" TargetMode="External" Id="rId515"/><Relationship Type="http://schemas.openxmlformats.org/officeDocument/2006/relationships/hyperlink" Target="https://github.com/ethandeysel/Data-Risk-Compliance/blob/main/data/acts/GDPR/CELEX_32022L2555_EN_TXT%20%28GDPR%20-%20Row%2017%29.pdf" TargetMode="External" Id="rId516"/><Relationship Type="http://schemas.openxmlformats.org/officeDocument/2006/relationships/hyperlink" Target="https://github.com/ethandeysel/Data-Risk-Compliance/blob/main/data/acts/GDPR/CELEX_32022L2555_EN_TXT%20%28GDPR%20-%20Row%2017%29.pdf" TargetMode="External" Id="rId517"/><Relationship Type="http://schemas.openxmlformats.org/officeDocument/2006/relationships/hyperlink" Target="https://github.com/ethandeysel/Data-Risk-Compliance/blob/main/data/acts/GDPR/CELEX_32022L2555_EN_TXT%20%28GDPR%20-%20Row%2017%29.pdf" TargetMode="External" Id="rId518"/><Relationship Type="http://schemas.openxmlformats.org/officeDocument/2006/relationships/hyperlink" Target="https://github.com/ethandeysel/Data-Risk-Compliance/blob/main/data/acts/GDPR/CELEX_32022L2555_EN_TXT%20%28GDPR%20-%20Row%2017%29.pdf" TargetMode="External" Id="rId519"/><Relationship Type="http://schemas.openxmlformats.org/officeDocument/2006/relationships/hyperlink" Target="https://github.com/ethandeysel/Data-Risk-Compliance/blob/main/data/acts/GDPR/CELEX_32022L2555_EN_TXT%20%28GDPR%20-%20Row%2017%29.pdf" TargetMode="External" Id="rId520"/><Relationship Type="http://schemas.openxmlformats.org/officeDocument/2006/relationships/hyperlink" Target="https://github.com/ethandeysel/Data-Risk-Compliance/blob/main/data/acts/GDPR/CELEX_32022L2555_EN_TXT%20%28GDPR%20-%20Row%2017%29.pdf" TargetMode="External" Id="rId521"/><Relationship Type="http://schemas.openxmlformats.org/officeDocument/2006/relationships/hyperlink" Target="https://github.com/ethandeysel/Data-Risk-Compliance/blob/main/data/acts/GDPR/CELEX_32022L2555_EN_TXT%20%28GDPR%20-%20Row%2017%29.pdf" TargetMode="External" Id="rId522"/><Relationship Type="http://schemas.openxmlformats.org/officeDocument/2006/relationships/hyperlink" Target="https://github.com/ethandeysel/Data-Risk-Compliance/blob/main/data/acts/GDPR/CELEX_32022L2555_EN_TXT%20%28GDPR%20-%20Row%2017%29.pdf" TargetMode="External" Id="rId523"/><Relationship Type="http://schemas.openxmlformats.org/officeDocument/2006/relationships/hyperlink" Target="https://github.com/ethandeysel/Data-Risk-Compliance/blob/main/data/acts/GDPR/CELEX_32022L2555_EN_TXT%20%28GDPR%20-%20Row%2017%29.pdf" TargetMode="External" Id="rId524"/><Relationship Type="http://schemas.openxmlformats.org/officeDocument/2006/relationships/hyperlink" Target="https://github.com/ethandeysel/Data-Risk-Compliance/blob/main/data/acts/GDPR/CELEX_32022L2555_EN_TXT%20%28GDPR%20-%20Row%2017%29.pdf" TargetMode="External" Id="rId525"/><Relationship Type="http://schemas.openxmlformats.org/officeDocument/2006/relationships/hyperlink" Target="https://github.com/ethandeysel/Data-Risk-Compliance/blob/main/data/acts/GDPR/CELEX_32022L2555_EN_TXT%20%28GDPR%20-%20Row%2017%29.pdf" TargetMode="External" Id="rId526"/><Relationship Type="http://schemas.openxmlformats.org/officeDocument/2006/relationships/hyperlink" Target="https://github.com/ethandeysel/Data-Risk-Compliance/blob/main/data/acts/GDPR/CELEX_32022L2555_EN_TXT%20%28GDPR%20-%20Row%2017%29.pdf" TargetMode="External" Id="rId527"/><Relationship Type="http://schemas.openxmlformats.org/officeDocument/2006/relationships/hyperlink" Target="https://github.com/ethandeysel/Data-Risk-Compliance/blob/main/data/acts/GDPR/CELEX_32022L2555_EN_TXT%20%28GDPR%20-%20Row%2017%29.pdf" TargetMode="External" Id="rId528"/><Relationship Type="http://schemas.openxmlformats.org/officeDocument/2006/relationships/hyperlink" Target="https://github.com/ethandeysel/Data-Risk-Compliance/blob/main/data/acts/GDPR/CELEX_32022L2555_EN_TXT%20%28GDPR%20-%20Row%2017%29.pdf" TargetMode="External" Id="rId529"/><Relationship Type="http://schemas.openxmlformats.org/officeDocument/2006/relationships/hyperlink" Target="https://github.com/ethandeysel/Data-Risk-Compliance/blob/main/data/acts/GDPR/CELEX_32022L2555_EN_TXT%20%28GDPR%20-%20Row%2017%29.pdf" TargetMode="External" Id="rId530"/><Relationship Type="http://schemas.openxmlformats.org/officeDocument/2006/relationships/hyperlink" Target="https://github.com/ethandeysel/Data-Risk-Compliance/blob/main/data/acts/GDPR/CELEX_32022L2555_EN_TXT%20%28GDPR%20-%20Row%2017%29.pdf" TargetMode="External" Id="rId531"/><Relationship Type="http://schemas.openxmlformats.org/officeDocument/2006/relationships/hyperlink" Target="https://github.com/ethandeysel/Data-Risk-Compliance/blob/main/data/acts/GDPR/CELEX_32022L2555_EN_TXT%20%28GDPR%20-%20Row%2017%29.pdf" TargetMode="External" Id="rId532"/><Relationship Type="http://schemas.openxmlformats.org/officeDocument/2006/relationships/hyperlink" Target="https://github.com/ethandeysel/Data-Risk-Compliance/blob/main/data/acts/GDPR/CELEX_32022L2555_EN_TXT%20%28GDPR%20-%20Row%2017%29.pdf" TargetMode="External" Id="rId533"/><Relationship Type="http://schemas.openxmlformats.org/officeDocument/2006/relationships/hyperlink" Target="https://github.com/ethandeysel/Data-Risk-Compliance/blob/main/data/acts/GDPR/CELEX_32022L2555_EN_TXT%20%28GDPR%20-%20Row%2017%29.pdf" TargetMode="External" Id="rId534"/><Relationship Type="http://schemas.openxmlformats.org/officeDocument/2006/relationships/hyperlink" Target="https://github.com/ethandeysel/Data-Risk-Compliance/blob/main/data/acts/GDPR/CELEX_32022L2555_EN_TXT%20%28GDPR%20-%20Row%2017%29.pdf" TargetMode="External" Id="rId535"/><Relationship Type="http://schemas.openxmlformats.org/officeDocument/2006/relationships/hyperlink" Target="https://github.com/ethandeysel/Data-Risk-Compliance/blob/main/data/acts/GDPR/CELEX_32022L2555_EN_TXT%20%28GDPR%20-%20Row%2017%29.pdf" TargetMode="External" Id="rId536"/><Relationship Type="http://schemas.openxmlformats.org/officeDocument/2006/relationships/hyperlink" Target="https://github.com/ethandeysel/Data-Risk-Compliance/blob/main/data/acts/GDPR/CELEX_32022L2555_EN_TXT%20%28GDPR%20-%20Row%2017%29.pdf" TargetMode="External" Id="rId537"/><Relationship Type="http://schemas.openxmlformats.org/officeDocument/2006/relationships/hyperlink" Target="https://github.com/ethandeysel/Data-Risk-Compliance/blob/main/data/acts/GDPR/CELEX_32022L2555_EN_TXT%20%28GDPR%20-%20Row%2017%29.pdf" TargetMode="External" Id="rId538"/><Relationship Type="http://schemas.openxmlformats.org/officeDocument/2006/relationships/hyperlink" Target="https://github.com/ethandeysel/Data-Risk-Compliance/blob/main/data/acts/GDPR/CELEX_32022L2555_EN_TXT%20%28GDPR%20-%20Row%2017%29.pdf" TargetMode="External" Id="rId539"/><Relationship Type="http://schemas.openxmlformats.org/officeDocument/2006/relationships/hyperlink" Target="https://github.com/ethandeysel/Data-Risk-Compliance/blob/main/data/acts/GDPR/CELEX_32022L2555_EN_TXT%20%28GDPR%20-%20Row%2017%29.pdf" TargetMode="External" Id="rId540"/><Relationship Type="http://schemas.openxmlformats.org/officeDocument/2006/relationships/hyperlink" Target="https://github.com/ethandeysel/Data-Risk-Compliance/blob/main/data/acts/GDPR/CELEX_32022L2555_EN_TXT%20%28GDPR%20-%20Row%2017%29.pdf" TargetMode="External" Id="rId541"/><Relationship Type="http://schemas.openxmlformats.org/officeDocument/2006/relationships/hyperlink" Target="https://github.com/ethandeysel/Data-Risk-Compliance/blob/main/data/acts/GDPR/CELEX_32022L2555_EN_TXT%20%28GDPR%20-%20Row%2017%29.pdf" TargetMode="External" Id="rId542"/><Relationship Type="http://schemas.openxmlformats.org/officeDocument/2006/relationships/hyperlink" Target="https://github.com/ethandeysel/Data-Risk-Compliance/blob/main/data/acts/GDPR/CELEX_32022L2555_EN_TXT%20%28GDPR%20-%20Row%2017%29.pdf" TargetMode="External" Id="rId543"/><Relationship Type="http://schemas.openxmlformats.org/officeDocument/2006/relationships/hyperlink" Target="https://github.com/ethandeysel/Data-Risk-Compliance/blob/main/data/acts/GDPR/CELEX_32022L2555_EN_TXT%20%28GDPR%20-%20Row%2017%29.pdf" TargetMode="External" Id="rId544"/><Relationship Type="http://schemas.openxmlformats.org/officeDocument/2006/relationships/hyperlink" Target="https://github.com/ethandeysel/Data-Risk-Compliance/blob/main/data/acts/GDPR/CELEX_32022L2555_EN_TXT%20%28GDPR%20-%20Row%2017%29.pdf" TargetMode="External" Id="rId545"/><Relationship Type="http://schemas.openxmlformats.org/officeDocument/2006/relationships/hyperlink" Target="https://github.com/ethandeysel/Data-Risk-Compliance/blob/main/data/acts/GDPR/CELEX_32022L2555_EN_TXT%20%28GDPR%20-%20Row%2017%29.pdf" TargetMode="External" Id="rId546"/><Relationship Type="http://schemas.openxmlformats.org/officeDocument/2006/relationships/hyperlink" Target="https://github.com/ethandeysel/Data-Risk-Compliance/blob/main/data/acts/GDPR/CELEX_32022L2555_EN_TXT%20%28GDPR%20-%20Row%2017%29.pdf" TargetMode="External" Id="rId547"/><Relationship Type="http://schemas.openxmlformats.org/officeDocument/2006/relationships/hyperlink" Target="https://github.com/ethandeysel/Data-Risk-Compliance/blob/main/data/acts/GDPR/CELEX_32022L2555_EN_TXT%20%28GDPR%20-%20Row%2017%29.pdf" TargetMode="External" Id="rId548"/><Relationship Type="http://schemas.openxmlformats.org/officeDocument/2006/relationships/hyperlink" Target="https://github.com/ethandeysel/Data-Risk-Compliance/blob/main/data/acts/GDPR/CELEX_32022L2555_EN_TXT%20%28GDPR%20-%20Row%2017%29.pdf" TargetMode="External" Id="rId549"/><Relationship Type="http://schemas.openxmlformats.org/officeDocument/2006/relationships/hyperlink" Target="https://github.com/ethandeysel/Data-Risk-Compliance/blob/main/data/acts/GDPR/CELEX_32022L2555_EN_TXT%20%28GDPR%20-%20Row%2017%29.pdf" TargetMode="External" Id="rId550"/><Relationship Type="http://schemas.openxmlformats.org/officeDocument/2006/relationships/hyperlink" Target="https://github.com/ethandeysel/Data-Risk-Compliance/blob/main/data/acts/GDPR/CELEX_32022L2555_EN_TXT%20%28GDPR%20-%20Row%2017%29.pdf" TargetMode="External" Id="rId551"/><Relationship Type="http://schemas.openxmlformats.org/officeDocument/2006/relationships/hyperlink" Target="https://github.com/ethandeysel/Data-Risk-Compliance/blob/main/data/acts/GDPR/CELEX_32022L2555_EN_TXT%20%28GDPR%20-%20Row%2017%29.pdf" TargetMode="External" Id="rId552"/><Relationship Type="http://schemas.openxmlformats.org/officeDocument/2006/relationships/hyperlink" Target="https://github.com/ethandeysel/Data-Risk-Compliance/blob/main/data/acts/GDPR/CELEX_32022L2555_EN_TXT%20%28GDPR%20-%20Row%2017%29.pdf" TargetMode="External" Id="rId553"/><Relationship Type="http://schemas.openxmlformats.org/officeDocument/2006/relationships/hyperlink" Target="https://github.com/ethandeysel/Data-Risk-Compliance/blob/main/data/acts/GDPR/CELEX_32022L2555_EN_TXT%20%28GDPR%20-%20Row%2017%29.pdf" TargetMode="External" Id="rId554"/><Relationship Type="http://schemas.openxmlformats.org/officeDocument/2006/relationships/hyperlink" Target="https://github.com/ethandeysel/Data-Risk-Compliance/blob/main/data/acts/GDPR/CELEX_32022L2555_EN_TXT%20%28GDPR%20-%20Row%2017%29.pdf" TargetMode="External" Id="rId555"/><Relationship Type="http://schemas.openxmlformats.org/officeDocument/2006/relationships/hyperlink" Target="https://github.com/ethandeysel/Data-Risk-Compliance/blob/main/data/acts/GDPR/CELEX_32022L2555_EN_TXT%20%28GDPR%20-%20Row%2017%29.pdf" TargetMode="External" Id="rId556"/><Relationship Type="http://schemas.openxmlformats.org/officeDocument/2006/relationships/hyperlink" Target="https://github.com/ethandeysel/Data-Risk-Compliance/blob/main/data/acts/GDPR/CELEX_32022L2555_EN_TXT%20%28GDPR%20-%20Row%2017%29.pdf" TargetMode="External" Id="rId557"/><Relationship Type="http://schemas.openxmlformats.org/officeDocument/2006/relationships/hyperlink" Target="https://github.com/ethandeysel/Data-Risk-Compliance/blob/main/data/acts/GDPR/CELEX_32022L2555_EN_TXT%20%28GDPR%20-%20Row%2017%29.pdf" TargetMode="External" Id="rId558"/><Relationship Type="http://schemas.openxmlformats.org/officeDocument/2006/relationships/hyperlink" Target="https://github.com/ethandeysel/Data-Risk-Compliance/blob/main/data/acts/GDPR/CELEX_32022L2555_EN_TXT%20%28GDPR%20-%20Row%2017%29.pdf" TargetMode="External" Id="rId559"/><Relationship Type="http://schemas.openxmlformats.org/officeDocument/2006/relationships/hyperlink" Target="https://github.com/ethandeysel/Data-Risk-Compliance/blob/main/data/acts/GDPR/CELEX_32022L2555_EN_TXT%20%28GDPR%20-%20Row%2017%29.pdf" TargetMode="External" Id="rId560"/><Relationship Type="http://schemas.openxmlformats.org/officeDocument/2006/relationships/hyperlink" Target="https://github.com/ethandeysel/Data-Risk-Compliance/blob/main/data/acts/GDPR/CELEX_32022L2555_EN_TXT%20%28GDPR%20-%20Row%2017%29.pdf" TargetMode="External" Id="rId561"/><Relationship Type="http://schemas.openxmlformats.org/officeDocument/2006/relationships/hyperlink" Target="https://github.com/ethandeysel/Data-Risk-Compliance/blob/main/data/acts/GDPR/CELEX_32022L2555_EN_TXT%20%28GDPR%20-%20Row%2017%29.pdf" TargetMode="External" Id="rId562"/><Relationship Type="http://schemas.openxmlformats.org/officeDocument/2006/relationships/hyperlink" Target="https://github.com/ethandeysel/Data-Risk-Compliance/blob/main/data/acts/GDPR/CELEX_32022L2555_EN_TXT%20%28GDPR%20-%20Row%2017%29.pdf" TargetMode="External" Id="rId563"/><Relationship Type="http://schemas.openxmlformats.org/officeDocument/2006/relationships/hyperlink" Target="https://github.com/ethandeysel/Data-Risk-Compliance/blob/main/data/acts/GDPR/CELEX_32022L2555_EN_TXT%20%28GDPR%20-%20Row%2017%29.pdf" TargetMode="External" Id="rId564"/><Relationship Type="http://schemas.openxmlformats.org/officeDocument/2006/relationships/hyperlink" Target="https://github.com/ethandeysel/Data-Risk-Compliance/blob/main/data/acts/GDPR/CELEX_32022L2555_EN_TXT%20%28GDPR%20-%20Row%2017%29.pdf" TargetMode="External" Id="rId565"/><Relationship Type="http://schemas.openxmlformats.org/officeDocument/2006/relationships/hyperlink" Target="https://github.com/ethandeysel/Data-Risk-Compliance/blob/main/data/acts/GDPR/CELEX_32022R0868_EN_TXT%20%28GDPR%20-%20Row%2012%29.pdf" TargetMode="External" Id="rId566"/><Relationship Type="http://schemas.openxmlformats.org/officeDocument/2006/relationships/hyperlink" Target="https://github.com/ethandeysel/Data-Risk-Compliance/blob/main/data/acts/GDPR/CELEX_32022R0868_EN_TXT%20%28GDPR%20-%20Row%2012%29.pdf" TargetMode="External" Id="rId567"/><Relationship Type="http://schemas.openxmlformats.org/officeDocument/2006/relationships/hyperlink" Target="https://github.com/ethandeysel/Data-Risk-Compliance/blob/main/data/acts/GDPR/CELEX_32022R0868_EN_TXT%20%28GDPR%20-%20Row%2012%29.pdf" TargetMode="External" Id="rId568"/><Relationship Type="http://schemas.openxmlformats.org/officeDocument/2006/relationships/hyperlink" Target="https://github.com/ethandeysel/Data-Risk-Compliance/blob/main/data/acts/GDPR/CELEX_32022R0868_EN_TXT%20%28GDPR%20-%20Row%2012%29.pdf" TargetMode="External" Id="rId569"/><Relationship Type="http://schemas.openxmlformats.org/officeDocument/2006/relationships/hyperlink" Target="https://github.com/ethandeysel/Data-Risk-Compliance/blob/main/data/acts/GDPR/CELEX_32022R0868_EN_TXT%20%28GDPR%20-%20Row%2012%29.pdf" TargetMode="External" Id="rId570"/><Relationship Type="http://schemas.openxmlformats.org/officeDocument/2006/relationships/hyperlink" Target="https://github.com/ethandeysel/Data-Risk-Compliance/blob/main/data/acts/GDPR/CELEX_32022R0868_EN_TXT%20%28GDPR%20-%20Row%2012%29.pdf" TargetMode="External" Id="rId571"/><Relationship Type="http://schemas.openxmlformats.org/officeDocument/2006/relationships/hyperlink" Target="https://github.com/ethandeysel/Data-Risk-Compliance/blob/main/data/acts/GDPR/CELEX_32022R0868_EN_TXT%20%28GDPR%20-%20Row%2012%29.pdf" TargetMode="External" Id="rId572"/><Relationship Type="http://schemas.openxmlformats.org/officeDocument/2006/relationships/hyperlink" Target="https://github.com/ethandeysel/Data-Risk-Compliance/blob/main/data/acts/GDPR/CELEX_32022R0868_EN_TXT%20%28GDPR%20-%20Row%2012%29.pdf" TargetMode="External" Id="rId573"/><Relationship Type="http://schemas.openxmlformats.org/officeDocument/2006/relationships/hyperlink" Target="https://github.com/ethandeysel/Data-Risk-Compliance/blob/main/data/acts/GDPR/CELEX_32022R0868_EN_TXT%20%28GDPR%20-%20Row%2012%29.pdf" TargetMode="External" Id="rId574"/><Relationship Type="http://schemas.openxmlformats.org/officeDocument/2006/relationships/hyperlink" Target="https://github.com/ethandeysel/Data-Risk-Compliance/blob/main/data/acts/GDPR/CELEX_32022R0868_EN_TXT%20%28GDPR%20-%20Row%2012%29.pdf" TargetMode="External" Id="rId575"/><Relationship Type="http://schemas.openxmlformats.org/officeDocument/2006/relationships/hyperlink" Target="https://github.com/ethandeysel/Data-Risk-Compliance/blob/main/data/acts/GDPR/CELEX_32022R0868_EN_TXT%20%28GDPR%20-%20Row%2012%29.pdf" TargetMode="External" Id="rId576"/><Relationship Type="http://schemas.openxmlformats.org/officeDocument/2006/relationships/hyperlink" Target="https://github.com/ethandeysel/Data-Risk-Compliance/blob/main/data/acts/GDPR/CELEX_32022R0868_EN_TXT%20%28GDPR%20-%20Row%2012%29.pdf" TargetMode="External" Id="rId577"/><Relationship Type="http://schemas.openxmlformats.org/officeDocument/2006/relationships/hyperlink" Target="https://github.com/ethandeysel/Data-Risk-Compliance/blob/main/data/acts/GDPR/CELEX_32022R0868_EN_TXT%20%28GDPR%20-%20Row%2012%29.pdf" TargetMode="External" Id="rId578"/><Relationship Type="http://schemas.openxmlformats.org/officeDocument/2006/relationships/hyperlink" Target="https://github.com/ethandeysel/Data-Risk-Compliance/blob/main/data/acts/GDPR/CELEX_32022R0868_EN_TXT%20%28GDPR%20-%20Row%2012%29.pdf" TargetMode="External" Id="rId579"/><Relationship Type="http://schemas.openxmlformats.org/officeDocument/2006/relationships/hyperlink" Target="https://github.com/ethandeysel/Data-Risk-Compliance/blob/main/data/acts/GDPR/CELEX_32022R0868_EN_TXT%20%28GDPR%20-%20Row%2012%29.pdf" TargetMode="External" Id="rId580"/><Relationship Type="http://schemas.openxmlformats.org/officeDocument/2006/relationships/hyperlink" Target="https://github.com/ethandeysel/Data-Risk-Compliance/blob/main/data/acts/GDPR/CELEX_32022R0868_EN_TXT%20%28GDPR%20-%20Row%2012%29.pdf" TargetMode="External" Id="rId581"/><Relationship Type="http://schemas.openxmlformats.org/officeDocument/2006/relationships/hyperlink" Target="https://github.com/ethandeysel/Data-Risk-Compliance/blob/main/data/acts/GDPR/CELEX_32022R0868_EN_TXT%20%28GDPR%20-%20Row%2012%29.pdf" TargetMode="External" Id="rId582"/><Relationship Type="http://schemas.openxmlformats.org/officeDocument/2006/relationships/hyperlink" Target="https://github.com/ethandeysel/Data-Risk-Compliance/blob/main/data/acts/GDPR/CELEX_32022R0868_EN_TXT%20%28GDPR%20-%20Row%2012%29.pdf" TargetMode="External" Id="rId583"/><Relationship Type="http://schemas.openxmlformats.org/officeDocument/2006/relationships/hyperlink" Target="https://github.com/ethandeysel/Data-Risk-Compliance/blob/main/data/acts/GDPR/CELEX_32022R0868_EN_TXT%20%28GDPR%20-%20Row%2012%29.pdf" TargetMode="External" Id="rId584"/><Relationship Type="http://schemas.openxmlformats.org/officeDocument/2006/relationships/hyperlink" Target="https://github.com/ethandeysel/Data-Risk-Compliance/blob/main/data/acts/GDPR/CELEX_32022R0868_EN_TXT%20%28GDPR%20-%20Row%2012%29.pdf" TargetMode="External" Id="rId585"/><Relationship Type="http://schemas.openxmlformats.org/officeDocument/2006/relationships/hyperlink" Target="https://github.com/ethandeysel/Data-Risk-Compliance/blob/main/data/acts/GDPR/CELEX_32022R0868_EN_TXT%20%28GDPR%20-%20Row%2012%29.pdf" TargetMode="External" Id="rId586"/><Relationship Type="http://schemas.openxmlformats.org/officeDocument/2006/relationships/hyperlink" Target="https://github.com/ethandeysel/Data-Risk-Compliance/blob/main/data/acts/GDPR/CELEX_32022R0868_EN_TXT%20%28GDPR%20-%20Row%2012%29.pdf" TargetMode="External" Id="rId587"/><Relationship Type="http://schemas.openxmlformats.org/officeDocument/2006/relationships/hyperlink" Target="https://github.com/ethandeysel/Data-Risk-Compliance/blob/main/data/acts/GDPR/CELEX_32022R0868_EN_TXT%20%28GDPR%20-%20Row%2012%29.pdf" TargetMode="External" Id="rId588"/><Relationship Type="http://schemas.openxmlformats.org/officeDocument/2006/relationships/hyperlink" Target="https://github.com/ethandeysel/Data-Risk-Compliance/blob/main/data/acts/GDPR/CELEX_32022R0868_EN_TXT%20%28GDPR%20-%20Row%2012%29.pdf" TargetMode="External" Id="rId589"/><Relationship Type="http://schemas.openxmlformats.org/officeDocument/2006/relationships/hyperlink" Target="https://github.com/ethandeysel/Data-Risk-Compliance/blob/main/data/acts/GDPR/CELEX_32022R0868_EN_TXT%20%28GDPR%20-%20Row%2012%29.pdf" TargetMode="External" Id="rId590"/><Relationship Type="http://schemas.openxmlformats.org/officeDocument/2006/relationships/hyperlink" Target="https://github.com/ethandeysel/Data-Risk-Compliance/blob/main/data/acts/GDPR/CELEX_32022R0868_EN_TXT%20%28GDPR%20-%20Row%2012%29.pdf" TargetMode="External" Id="rId591"/><Relationship Type="http://schemas.openxmlformats.org/officeDocument/2006/relationships/hyperlink" Target="https://github.com/ethandeysel/Data-Risk-Compliance/blob/main/data/acts/GDPR/CELEX_32022R0868_EN_TXT%20%28GDPR%20-%20Row%2012%29.pdf" TargetMode="External" Id="rId592"/><Relationship Type="http://schemas.openxmlformats.org/officeDocument/2006/relationships/hyperlink" Target="https://github.com/ethandeysel/Data-Risk-Compliance/blob/main/data/acts/GDPR/CELEX_32022R0868_EN_TXT%20%28GDPR%20-%20Row%2012%29.pdf" TargetMode="External" Id="rId593"/><Relationship Type="http://schemas.openxmlformats.org/officeDocument/2006/relationships/hyperlink" Target="https://github.com/ethandeysel/Data-Risk-Compliance/blob/main/data/acts/GDPR/CELEX_32022R0868_EN_TXT%20%28GDPR%20-%20Row%2012%29.pdf" TargetMode="External" Id="rId594"/><Relationship Type="http://schemas.openxmlformats.org/officeDocument/2006/relationships/hyperlink" Target="https://github.com/ethandeysel/Data-Risk-Compliance/blob/main/data/acts/GDPR/CELEX_32022R0868_EN_TXT%20%28GDPR%20-%20Row%2012%29.pdf" TargetMode="External" Id="rId595"/><Relationship Type="http://schemas.openxmlformats.org/officeDocument/2006/relationships/hyperlink" Target="https://github.com/ethandeysel/Data-Risk-Compliance/blob/main/data/acts/GDPR/CELEX_32022R0868_EN_TXT%20%28GDPR%20-%20Row%2012%29.pdf" TargetMode="External" Id="rId596"/><Relationship Type="http://schemas.openxmlformats.org/officeDocument/2006/relationships/hyperlink" Target="https://github.com/ethandeysel/Data-Risk-Compliance/blob/main/data/acts/GDPR/CELEX_32022R0868_EN_TXT%20%28GDPR%20-%20Row%2012%29.pdf" TargetMode="External" Id="rId597"/><Relationship Type="http://schemas.openxmlformats.org/officeDocument/2006/relationships/hyperlink" Target="https://github.com/ethandeysel/Data-Risk-Compliance/blob/main/data/acts/GDPR/CELEX_32022R0868_EN_TXT%20%28GDPR%20-%20Row%2012%29.pdf" TargetMode="External" Id="rId598"/><Relationship Type="http://schemas.openxmlformats.org/officeDocument/2006/relationships/hyperlink" Target="https://github.com/ethandeysel/Data-Risk-Compliance/blob/main/data/acts/GDPR/CELEX_32022R0868_EN_TXT%20%28GDPR%20-%20Row%2012%29.pdf" TargetMode="External" Id="rId599"/><Relationship Type="http://schemas.openxmlformats.org/officeDocument/2006/relationships/hyperlink" Target="https://github.com/ethandeysel/Data-Risk-Compliance/blob/main/data/acts/GDPR/CELEX_32022R0868_EN_TXT%20%28GDPR%20-%20Row%2012%29.pdf" TargetMode="External" Id="rId600"/><Relationship Type="http://schemas.openxmlformats.org/officeDocument/2006/relationships/hyperlink" Target="https://github.com/ethandeysel/Data-Risk-Compliance/blob/main/data/acts/GDPR/CELEX_32022R0868_EN_TXT%20%28GDPR%20-%20Row%2012%29.pdf" TargetMode="External" Id="rId601"/><Relationship Type="http://schemas.openxmlformats.org/officeDocument/2006/relationships/hyperlink" Target="https://github.com/ethandeysel/Data-Risk-Compliance/blob/main/data/acts/GDPR/CELEX_32022R0868_EN_TXT%20%28GDPR%20-%20Row%2012%29.pdf" TargetMode="External" Id="rId602"/><Relationship Type="http://schemas.openxmlformats.org/officeDocument/2006/relationships/hyperlink" Target="https://github.com/ethandeysel/Data-Risk-Compliance/blob/main/data/acts/GDPR/CELEX_32022R0868_EN_TXT%20%28GDPR%20-%20Row%2012%29.pdf" TargetMode="External" Id="rId603"/><Relationship Type="http://schemas.openxmlformats.org/officeDocument/2006/relationships/hyperlink" Target="https://github.com/ethandeysel/Data-Risk-Compliance/blob/main/data/acts/GDPR/CELEX_32022R0868_EN_TXT%20%28GDPR%20-%20Row%2012%29.pdf" TargetMode="External" Id="rId604"/><Relationship Type="http://schemas.openxmlformats.org/officeDocument/2006/relationships/hyperlink" Target="https://github.com/ethandeysel/Data-Risk-Compliance/blob/main/data/acts/GDPR/CELEX_32022R0868_EN_TXT%20%28GDPR%20-%20Row%2012%29.pdf" TargetMode="External" Id="rId605"/><Relationship Type="http://schemas.openxmlformats.org/officeDocument/2006/relationships/hyperlink" Target="https://github.com/ethandeysel/Data-Risk-Compliance/blob/main/data/acts/GDPR/CELEX_32022R0868_EN_TXT%20%28GDPR%20-%20Row%2012%29.pdf" TargetMode="External" Id="rId606"/><Relationship Type="http://schemas.openxmlformats.org/officeDocument/2006/relationships/hyperlink" Target="https://github.com/ethandeysel/Data-Risk-Compliance/blob/main/data/acts/GDPR/CELEX_32022R0868_EN_TXT%20%28GDPR%20-%20Row%2012%29.pdf" TargetMode="External" Id="rId607"/><Relationship Type="http://schemas.openxmlformats.org/officeDocument/2006/relationships/hyperlink" Target="https://github.com/ethandeysel/Data-Risk-Compliance/blob/main/data/acts/GDPR/CELEX_32022R0868_EN_TXT%20%28GDPR%20-%20Row%2012%29.pdf" TargetMode="External" Id="rId608"/><Relationship Type="http://schemas.openxmlformats.org/officeDocument/2006/relationships/hyperlink" Target="https://github.com/ethandeysel/Data-Risk-Compliance/blob/main/data/acts/GDPR/CELEX_32022R0868_EN_TXT%20%28GDPR%20-%20Row%2012%29.pdf" TargetMode="External" Id="rId609"/><Relationship Type="http://schemas.openxmlformats.org/officeDocument/2006/relationships/hyperlink" Target="https://github.com/ethandeysel/Data-Risk-Compliance/blob/main/data/acts/GDPR/CELEX_32022R0868_EN_TXT%20%28GDPR%20-%20Row%2012%29.pdf" TargetMode="External" Id="rId610"/><Relationship Type="http://schemas.openxmlformats.org/officeDocument/2006/relationships/hyperlink" Target="https://github.com/ethandeysel/Data-Risk-Compliance/blob/main/data/acts/GDPR/CELEX_32022R0868_EN_TXT%20%28GDPR%20-%20Row%2012%29.pdf" TargetMode="External" Id="rId611"/><Relationship Type="http://schemas.openxmlformats.org/officeDocument/2006/relationships/hyperlink" Target="https://github.com/ethandeysel/Data-Risk-Compliance/blob/main/data/acts/GDPR/CELEX_32022R0868_EN_TXT%20%28GDPR%20-%20Row%2012%29.pdf" TargetMode="External" Id="rId612"/><Relationship Type="http://schemas.openxmlformats.org/officeDocument/2006/relationships/hyperlink" Target="https://github.com/ethandeysel/Data-Risk-Compliance/blob/main/data/acts/GDPR/CELEX_32022R0868_EN_TXT%20%28GDPR%20-%20Row%2012%29.pdf" TargetMode="External" Id="rId613"/><Relationship Type="http://schemas.openxmlformats.org/officeDocument/2006/relationships/hyperlink" Target="https://github.com/ethandeysel/Data-Risk-Compliance/blob/main/data/acts/GDPR/CELEX_32022R0868_EN_TXT%20%28GDPR%20-%20Row%2012%29.pdf" TargetMode="External" Id="rId614"/><Relationship Type="http://schemas.openxmlformats.org/officeDocument/2006/relationships/hyperlink" Target="https://github.com/ethandeysel/Data-Risk-Compliance/blob/main/data/acts/GDPR/CELEX_32022R0868_EN_TXT%20%28GDPR%20-%20Row%2012%29.pdf" TargetMode="External" Id="rId615"/><Relationship Type="http://schemas.openxmlformats.org/officeDocument/2006/relationships/hyperlink" Target="https://github.com/ethandeysel/Data-Risk-Compliance/blob/main/data/acts/GDPR/CELEX_32022R0868_EN_TXT%20%28GDPR%20-%20Row%2012%29.pdf" TargetMode="External" Id="rId616"/><Relationship Type="http://schemas.openxmlformats.org/officeDocument/2006/relationships/hyperlink" Target="https://github.com/ethandeysel/Data-Risk-Compliance/blob/main/data/acts/GDPR/CELEX_32022R0868_EN_TXT%20%28GDPR%20-%20Row%2012%29.pdf" TargetMode="External" Id="rId617"/><Relationship Type="http://schemas.openxmlformats.org/officeDocument/2006/relationships/hyperlink" Target="https://github.com/ethandeysel/Data-Risk-Compliance/blob/main/data/acts/GDPR/CELEX_32022R0868_EN_TXT%20%28GDPR%20-%20Row%2012%29.pdf" TargetMode="External" Id="rId618"/><Relationship Type="http://schemas.openxmlformats.org/officeDocument/2006/relationships/hyperlink" Target="https://github.com/ethandeysel/Data-Risk-Compliance/blob/main/data/acts/GDPR/CELEX_32022R0868_EN_TXT%20%28GDPR%20-%20Row%2012%29.pdf" TargetMode="External" Id="rId619"/><Relationship Type="http://schemas.openxmlformats.org/officeDocument/2006/relationships/hyperlink" Target="https://github.com/ethandeysel/Data-Risk-Compliance/blob/main/data/acts/GDPR/CELEX_32022R0868_EN_TXT%20%28GDPR%20-%20Row%2012%29.pdf" TargetMode="External" Id="rId620"/><Relationship Type="http://schemas.openxmlformats.org/officeDocument/2006/relationships/hyperlink" Target="https://github.com/ethandeysel/Data-Risk-Compliance/blob/main/data/acts/GDPR/CELEX_32022R0868_EN_TXT%20%28GDPR%20-%20Row%2012%29.pdf" TargetMode="External" Id="rId621"/><Relationship Type="http://schemas.openxmlformats.org/officeDocument/2006/relationships/hyperlink" Target="https://github.com/ethandeysel/Data-Risk-Compliance/blob/main/data/acts/GDPR/CELEX_32022R0868_EN_TXT%20%28GDPR%20-%20Row%2012%29.pdf" TargetMode="External" Id="rId622"/><Relationship Type="http://schemas.openxmlformats.org/officeDocument/2006/relationships/hyperlink" Target="https://github.com/ethandeysel/Data-Risk-Compliance/blob/main/data/acts/GDPR/CELEX_32022R0868_EN_TXT%20%28GDPR%20-%20Row%2012%29.pdf" TargetMode="External" Id="rId623"/><Relationship Type="http://schemas.openxmlformats.org/officeDocument/2006/relationships/hyperlink" Target="https://github.com/ethandeysel/Data-Risk-Compliance/blob/main/data/acts/GDPR/CELEX_32022R0868_EN_TXT%20%28GDPR%20-%20Row%2012%29.pdf" TargetMode="External" Id="rId624"/><Relationship Type="http://schemas.openxmlformats.org/officeDocument/2006/relationships/hyperlink" Target="https://github.com/ethandeysel/Data-Risk-Compliance/blob/main/data/acts/GDPR/CELEX_32022R0868_EN_TXT%20%28GDPR%20-%20Row%2012%29.pdf" TargetMode="External" Id="rId625"/><Relationship Type="http://schemas.openxmlformats.org/officeDocument/2006/relationships/hyperlink" Target="https://github.com/ethandeysel/Data-Risk-Compliance/blob/main/data/acts/GDPR/CELEX_32022R0868_EN_TXT%20%28GDPR%20-%20Row%2012%29.pdf" TargetMode="External" Id="rId626"/><Relationship Type="http://schemas.openxmlformats.org/officeDocument/2006/relationships/hyperlink" Target="https://github.com/ethandeysel/Data-Risk-Compliance/blob/main/data/acts/GDPR/CELEX_32022R0868_EN_TXT%20%28GDPR%20-%20Row%2012%29.pdf" TargetMode="External" Id="rId627"/><Relationship Type="http://schemas.openxmlformats.org/officeDocument/2006/relationships/hyperlink" Target="https://github.com/ethandeysel/Data-Risk-Compliance/blob/main/data/acts/GDPR/CELEX_32022R0868_EN_TXT%20%28GDPR%20-%20Row%2012%29.pdf" TargetMode="External" Id="rId628"/><Relationship Type="http://schemas.openxmlformats.org/officeDocument/2006/relationships/hyperlink" Target="https://github.com/ethandeysel/Data-Risk-Compliance/blob/main/data/acts/GDPR/CELEX_32022R0868_EN_TXT%20%28GDPR%20-%20Row%2012%29.pdf" TargetMode="External" Id="rId629"/><Relationship Type="http://schemas.openxmlformats.org/officeDocument/2006/relationships/hyperlink" Target="https://github.com/ethandeysel/Data-Risk-Compliance/blob/main/data/acts/GDPR/CELEX_32022R0868_EN_TXT%20%28GDPR%20-%20Row%2012%29.pdf" TargetMode="External" Id="rId630"/><Relationship Type="http://schemas.openxmlformats.org/officeDocument/2006/relationships/hyperlink" Target="https://github.com/ethandeysel/Data-Risk-Compliance/blob/main/data/acts/GDPR/CELEX_32022R0868_EN_TXT%20%28GDPR%20-%20Row%2012%29.pdf" TargetMode="External" Id="rId631"/><Relationship Type="http://schemas.openxmlformats.org/officeDocument/2006/relationships/hyperlink" Target="https://github.com/ethandeysel/Data-Risk-Compliance/blob/main/data/acts/GDPR/CELEX_32022R0868_EN_TXT%20%28GDPR%20-%20Row%2012%29.pdf" TargetMode="External" Id="rId632"/><Relationship Type="http://schemas.openxmlformats.org/officeDocument/2006/relationships/hyperlink" Target="https://github.com/ethandeysel/Data-Risk-Compliance/blob/main/data/acts/GDPR/CELEX_32022R0868_EN_TXT%20%28GDPR%20-%20Row%2012%29.pdf" TargetMode="External" Id="rId633"/><Relationship Type="http://schemas.openxmlformats.org/officeDocument/2006/relationships/hyperlink" Target="https://github.com/ethandeysel/Data-Risk-Compliance/blob/main/data/acts/GDPR/CELEX_32022R0868_EN_TXT%20%28GDPR%20-%20Row%2012%29.pdf" TargetMode="External" Id="rId634"/><Relationship Type="http://schemas.openxmlformats.org/officeDocument/2006/relationships/hyperlink" Target="https://github.com/ethandeysel/Data-Risk-Compliance/blob/main/data/acts/GDPR/CELEX_32022R0868_EN_TXT%20%28GDPR%20-%20Row%2012%29.pdf" TargetMode="External" Id="rId635"/><Relationship Type="http://schemas.openxmlformats.org/officeDocument/2006/relationships/hyperlink" Target="https://github.com/ethandeysel/Data-Risk-Compliance/blob/main/data/acts/GDPR/CELEX_32022R0868_EN_TXT%20%28GDPR%20-%20Row%2012%29.pdf" TargetMode="External" Id="rId636"/><Relationship Type="http://schemas.openxmlformats.org/officeDocument/2006/relationships/hyperlink" Target="https://github.com/ethandeysel/Data-Risk-Compliance/blob/main/data/acts/GDPR/CELEX_32022R0868_EN_TXT%20%28GDPR%20-%20Row%2012%29.pdf" TargetMode="External" Id="rId637"/><Relationship Type="http://schemas.openxmlformats.org/officeDocument/2006/relationships/hyperlink" Target="https://github.com/ethandeysel/Data-Risk-Compliance/blob/main/data/acts/GDPR/CELEX_32022R0868_EN_TXT%20%28GDPR%20-%20Row%2012%29.pdf" TargetMode="External" Id="rId638"/><Relationship Type="http://schemas.openxmlformats.org/officeDocument/2006/relationships/hyperlink" Target="https://github.com/ethandeysel/Data-Risk-Compliance/blob/main/data/acts/GDPR/CELEX_32022R0868_EN_TXT%20%28GDPR%20-%20Row%2012%29.pdf" TargetMode="External" Id="rId639"/><Relationship Type="http://schemas.openxmlformats.org/officeDocument/2006/relationships/hyperlink" Target="https://github.com/ethandeysel/Data-Risk-Compliance/blob/main/data/acts/GDPR/CELEX_32022R0868_EN_TXT%20%28GDPR%20-%20Row%2012%29.pdf" TargetMode="External" Id="rId640"/><Relationship Type="http://schemas.openxmlformats.org/officeDocument/2006/relationships/hyperlink" Target="https://github.com/ethandeysel/Data-Risk-Compliance/blob/main/data/acts/GDPR/CELEX_32022R0868_EN_TXT%20%28GDPR%20-%20Row%2012%29.pdf" TargetMode="External" Id="rId641"/><Relationship Type="http://schemas.openxmlformats.org/officeDocument/2006/relationships/hyperlink" Target="https://github.com/ethandeysel/Data-Risk-Compliance/blob/main/data/acts/GDPR/CELEX_32022R0868_EN_TXT%20%28GDPR%20-%20Row%2012%29.pdf" TargetMode="External" Id="rId642"/><Relationship Type="http://schemas.openxmlformats.org/officeDocument/2006/relationships/hyperlink" Target="https://github.com/ethandeysel/Data-Risk-Compliance/blob/main/data/acts/GDPR/CELEX_32022R0868_EN_TXT%20%28GDPR%20-%20Row%2012%29.pdf" TargetMode="External" Id="rId643"/><Relationship Type="http://schemas.openxmlformats.org/officeDocument/2006/relationships/hyperlink" Target="https://github.com/ethandeysel/Data-Risk-Compliance/blob/main/data/acts/GDPR/CELEX_32022R0868_EN_TXT%20%28GDPR%20-%20Row%2012%29.pdf" TargetMode="External" Id="rId644"/><Relationship Type="http://schemas.openxmlformats.org/officeDocument/2006/relationships/hyperlink" Target="https://github.com/ethandeysel/Data-Risk-Compliance/blob/main/data/acts/GDPR/CELEX_32022R0868_EN_TXT%20%28GDPR%20-%20Row%2012%29.pdf" TargetMode="External" Id="rId645"/><Relationship Type="http://schemas.openxmlformats.org/officeDocument/2006/relationships/hyperlink" Target="https://github.com/ethandeysel/Data-Risk-Compliance/blob/main/data/acts/GDPR/CELEX_32022R0868_EN_TXT%20%28GDPR%20-%20Row%2012%29.pdf" TargetMode="External" Id="rId646"/><Relationship Type="http://schemas.openxmlformats.org/officeDocument/2006/relationships/hyperlink" Target="https://github.com/ethandeysel/Data-Risk-Compliance/blob/main/data/acts/GDPR/CELEX_32022R0868_EN_TXT%20%28GDPR%20-%20Row%2012%29.pdf" TargetMode="External" Id="rId647"/><Relationship Type="http://schemas.openxmlformats.org/officeDocument/2006/relationships/hyperlink" Target="https://github.com/ethandeysel/Data-Risk-Compliance/blob/main/data/acts/GDPR/CELEX_32022R0868_EN_TXT%20%28GDPR%20-%20Row%2012%29.pdf" TargetMode="External" Id="rId648"/><Relationship Type="http://schemas.openxmlformats.org/officeDocument/2006/relationships/hyperlink" Target="https://github.com/ethandeysel/Data-Risk-Compliance/blob/main/data/acts/GDPR/CELEX_32022R0868_EN_TXT%20%28GDPR%20-%20Row%2012%29.pdf" TargetMode="External" Id="rId649"/><Relationship Type="http://schemas.openxmlformats.org/officeDocument/2006/relationships/hyperlink" Target="https://github.com/ethandeysel/Data-Risk-Compliance/blob/main/data/acts/GDPR/CELEX_32022R0868_EN_TXT%20%28GDPR%20-%20Row%2012%29.pdf" TargetMode="External" Id="rId650"/><Relationship Type="http://schemas.openxmlformats.org/officeDocument/2006/relationships/hyperlink" Target="https://github.com/ethandeysel/Data-Risk-Compliance/blob/main/data/acts/GDPR/CELEX_32022R0868_EN_TXT%20%28GDPR%20-%20Row%2012%29.pdf" TargetMode="External" Id="rId651"/><Relationship Type="http://schemas.openxmlformats.org/officeDocument/2006/relationships/hyperlink" Target="https://github.com/ethandeysel/Data-Risk-Compliance/blob/main/data/acts/GDPR/CELEX_32022R0868_EN_TXT%20%28GDPR%20-%20Row%2012%29.pdf" TargetMode="External" Id="rId652"/><Relationship Type="http://schemas.openxmlformats.org/officeDocument/2006/relationships/hyperlink" Target="https://github.com/ethandeysel/Data-Risk-Compliance/blob/main/data/acts/GDPR/CELEX_32022R0868_EN_TXT%20%28GDPR%20-%20Row%2012%29.pdf" TargetMode="External" Id="rId653"/><Relationship Type="http://schemas.openxmlformats.org/officeDocument/2006/relationships/hyperlink" Target="https://github.com/ethandeysel/Data-Risk-Compliance/blob/main/data/acts/GDPR/CELEX_32022R0868_EN_TXT%20%28GDPR%20-%20Row%2012%29.pdf" TargetMode="External" Id="rId654"/><Relationship Type="http://schemas.openxmlformats.org/officeDocument/2006/relationships/hyperlink" Target="https://github.com/ethandeysel/Data-Risk-Compliance/blob/main/data/acts/GDPR/CELEX_32022R0868_EN_TXT%20%28GDPR%20-%20Row%2012%29.pdf" TargetMode="External" Id="rId655"/><Relationship Type="http://schemas.openxmlformats.org/officeDocument/2006/relationships/hyperlink" Target="https://github.com/ethandeysel/Data-Risk-Compliance/blob/main/data/acts/GDPR/CELEX_32022R0868_EN_TXT%20%28GDPR%20-%20Row%2012%29.pdf" TargetMode="External" Id="rId656"/><Relationship Type="http://schemas.openxmlformats.org/officeDocument/2006/relationships/hyperlink" Target="https://github.com/ethandeysel/Data-Risk-Compliance/blob/main/data/acts/GDPR/CELEX_32022R0868_EN_TXT%20%28GDPR%20-%20Row%2012%29.pdf" TargetMode="External" Id="rId657"/><Relationship Type="http://schemas.openxmlformats.org/officeDocument/2006/relationships/hyperlink" Target="https://github.com/ethandeysel/Data-Risk-Compliance/blob/main/data/acts/GDPR/CELEX_32022R0868_EN_TXT%20%28GDPR%20-%20Row%2012%29.pdf" TargetMode="External" Id="rId658"/><Relationship Type="http://schemas.openxmlformats.org/officeDocument/2006/relationships/hyperlink" Target="https://github.com/ethandeysel/Data-Risk-Compliance/blob/main/data/acts/GDPR/CELEX_32022R0868_EN_TXT%20%28GDPR%20-%20Row%2012%29.pdf" TargetMode="External" Id="rId659"/><Relationship Type="http://schemas.openxmlformats.org/officeDocument/2006/relationships/hyperlink" Target="https://github.com/ethandeysel/Data-Risk-Compliance/blob/main/data/acts/GDPR/CELEX_32022R0868_EN_TXT%20%28GDPR%20-%20Row%2012%29.pdf" TargetMode="External" Id="rId660"/><Relationship Type="http://schemas.openxmlformats.org/officeDocument/2006/relationships/hyperlink" Target="https://github.com/ethandeysel/Data-Risk-Compliance/blob/main/data/acts/GDPR/CELEX_32022R0868_EN_TXT%20%28GDPR%20-%20Row%2012%29.pdf" TargetMode="External" Id="rId661"/><Relationship Type="http://schemas.openxmlformats.org/officeDocument/2006/relationships/hyperlink" Target="https://github.com/ethandeysel/Data-Risk-Compliance/blob/main/data/acts/GDPR/CELEX_32022R0868_EN_TXT%20%28GDPR%20-%20Row%2012%29.pdf" TargetMode="External" Id="rId662"/><Relationship Type="http://schemas.openxmlformats.org/officeDocument/2006/relationships/hyperlink" Target="https://github.com/ethandeysel/Data-Risk-Compliance/blob/main/data/acts/GDPR/CELEX_32022R0868_EN_TXT%20%28GDPR%20-%20Row%2012%29.pdf" TargetMode="External" Id="rId663"/><Relationship Type="http://schemas.openxmlformats.org/officeDocument/2006/relationships/hyperlink" Target="https://github.com/ethandeysel/Data-Risk-Compliance/blob/main/data/acts/GDPR/CELEX_32022R0868_EN_TXT%20%28GDPR%20-%20Row%2012%29.pdf" TargetMode="External" Id="rId664"/><Relationship Type="http://schemas.openxmlformats.org/officeDocument/2006/relationships/hyperlink" Target="https://github.com/ethandeysel/Data-Risk-Compliance/blob/main/data/acts/GDPR/CELEX_32022R0868_EN_TXT%20%28GDPR%20-%20Row%2012%29.pdf" TargetMode="External" Id="rId665"/><Relationship Type="http://schemas.openxmlformats.org/officeDocument/2006/relationships/hyperlink" Target="https://github.com/ethandeysel/Data-Risk-Compliance/blob/main/data/acts/GDPR/CELEX_32022R0868_EN_TXT%20%28GDPR%20-%20Row%2012%29.pdf" TargetMode="External" Id="rId666"/><Relationship Type="http://schemas.openxmlformats.org/officeDocument/2006/relationships/hyperlink" Target="https://github.com/ethandeysel/Data-Risk-Compliance/blob/main/data/acts/GDPR/CELEX_32022R0868_EN_TXT%20%28GDPR%20-%20Row%2012%29.pdf" TargetMode="External" Id="rId667"/><Relationship Type="http://schemas.openxmlformats.org/officeDocument/2006/relationships/hyperlink" Target="https://github.com/ethandeysel/Data-Risk-Compliance/blob/main/data/acts/GDPR/CELEX_32022R0868_EN_TXT%20%28GDPR%20-%20Row%2012%29.pdf" TargetMode="External" Id="rId668"/><Relationship Type="http://schemas.openxmlformats.org/officeDocument/2006/relationships/hyperlink" Target="https://github.com/ethandeysel/Data-Risk-Compliance/blob/main/data/acts/GDPR/CELEX_32022R0868_EN_TXT%20%28GDPR%20-%20Row%2012%29.pdf" TargetMode="External" Id="rId669"/><Relationship Type="http://schemas.openxmlformats.org/officeDocument/2006/relationships/hyperlink" Target="https://github.com/ethandeysel/Data-Risk-Compliance/blob/main/data/acts/GDPR/CELEX_32022R0868_EN_TXT%20%28GDPR%20-%20Row%2012%29.pdf" TargetMode="External" Id="rId670"/><Relationship Type="http://schemas.openxmlformats.org/officeDocument/2006/relationships/hyperlink" Target="https://github.com/ethandeysel/Data-Risk-Compliance/blob/main/data/acts/GDPR/CELEX_32022R0868_EN_TXT%20%28GDPR%20-%20Row%2012%29.pdf" TargetMode="External" Id="rId671"/><Relationship Type="http://schemas.openxmlformats.org/officeDocument/2006/relationships/hyperlink" Target="https://github.com/ethandeysel/Data-Risk-Compliance/blob/main/data/acts/GDPR/CELEX_32022R0868_EN_TXT%20%28GDPR%20-%20Row%2012%29.pdf" TargetMode="External" Id="rId672"/><Relationship Type="http://schemas.openxmlformats.org/officeDocument/2006/relationships/hyperlink" Target="https://github.com/ethandeysel/Data-Risk-Compliance/blob/main/data/acts/GDPR/CELEX_32022R0868_EN_TXT%20%28GDPR%20-%20Row%2012%29.pdf" TargetMode="External" Id="rId673"/><Relationship Type="http://schemas.openxmlformats.org/officeDocument/2006/relationships/hyperlink" Target="https://github.com/ethandeysel/Data-Risk-Compliance/blob/main/data/acts/GDPR/CELEX_32022R0868_EN_TXT%20%28GDPR%20-%20Row%2012%29.pdf" TargetMode="External" Id="rId674"/><Relationship Type="http://schemas.openxmlformats.org/officeDocument/2006/relationships/hyperlink" Target="https://github.com/ethandeysel/Data-Risk-Compliance/blob/main/data/acts/GDPR/CELEX_32022R0868_EN_TXT%20%28GDPR%20-%20Row%2012%29.pdf" TargetMode="External" Id="rId675"/><Relationship Type="http://schemas.openxmlformats.org/officeDocument/2006/relationships/hyperlink" Target="https://github.com/ethandeysel/Data-Risk-Compliance/blob/main/data/acts/GDPR/CELEX_32022R0868_EN_TXT%20%28GDPR%20-%20Row%2012%29.pdf" TargetMode="External" Id="rId676"/><Relationship Type="http://schemas.openxmlformats.org/officeDocument/2006/relationships/hyperlink" Target="https://github.com/ethandeysel/Data-Risk-Compliance/blob/main/data/acts/GDPR/CELEX_32022R0868_EN_TXT%20%28GDPR%20-%20Row%2012%29.pdf" TargetMode="External" Id="rId677"/><Relationship Type="http://schemas.openxmlformats.org/officeDocument/2006/relationships/hyperlink" Target="https://github.com/ethandeysel/Data-Risk-Compliance/blob/main/data/acts/GDPR/CELEX_32022R0868_EN_TXT%20%28GDPR%20-%20Row%2012%29.pdf" TargetMode="External" Id="rId678"/><Relationship Type="http://schemas.openxmlformats.org/officeDocument/2006/relationships/hyperlink" Target="https://github.com/ethandeysel/Data-Risk-Compliance/blob/main/data/acts/GDPR/CELEX_32022R0868_EN_TXT%20%28GDPR%20-%20Row%2012%29.pdf" TargetMode="External" Id="rId679"/><Relationship Type="http://schemas.openxmlformats.org/officeDocument/2006/relationships/hyperlink" Target="https://github.com/ethandeysel/Data-Risk-Compliance/blob/main/data/acts/GDPR/CELEX_32022R0868_EN_TXT%20%28GDPR%20-%20Row%2012%29.pdf" TargetMode="External" Id="rId680"/><Relationship Type="http://schemas.openxmlformats.org/officeDocument/2006/relationships/hyperlink" Target="https://github.com/ethandeysel/Data-Risk-Compliance/blob/main/data/acts/GDPR/CELEX_32022R0868_EN_TXT%20%28GDPR%20-%20Row%2012%29.pdf" TargetMode="External" Id="rId681"/><Relationship Type="http://schemas.openxmlformats.org/officeDocument/2006/relationships/hyperlink" Target="https://github.com/ethandeysel/Data-Risk-Compliance/blob/main/data/acts/GDPR/CELEX_32022R0868_EN_TXT%20%28GDPR%20-%20Row%2012%29.pdf" TargetMode="External" Id="rId682"/><Relationship Type="http://schemas.openxmlformats.org/officeDocument/2006/relationships/hyperlink" Target="https://github.com/ethandeysel/Data-Risk-Compliance/blob/main/data/acts/GDPR/CELEX_32022R0868_EN_TXT%20%28GDPR%20-%20Row%2012%29.pdf" TargetMode="External" Id="rId683"/><Relationship Type="http://schemas.openxmlformats.org/officeDocument/2006/relationships/hyperlink" Target="https://github.com/ethandeysel/Data-Risk-Compliance/blob/main/data/acts/GDPR/CELEX_32022R0868_EN_TXT%20%28GDPR%20-%20Row%2012%29.pdf" TargetMode="External" Id="rId684"/><Relationship Type="http://schemas.openxmlformats.org/officeDocument/2006/relationships/hyperlink" Target="https://github.com/ethandeysel/Data-Risk-Compliance/blob/main/data/acts/GDPR/CELEX_32022R0868_EN_TXT%20%28GDPR%20-%20Row%2012%29.pdf" TargetMode="External" Id="rId685"/><Relationship Type="http://schemas.openxmlformats.org/officeDocument/2006/relationships/hyperlink" Target="https://github.com/ethandeysel/Data-Risk-Compliance/blob/main/data/acts/GDPR/CELEX_32022R0868_EN_TXT%20%28GDPR%20-%20Row%2012%29.pdf" TargetMode="External" Id="rId686"/><Relationship Type="http://schemas.openxmlformats.org/officeDocument/2006/relationships/hyperlink" Target="https://github.com/ethandeysel/Data-Risk-Compliance/blob/main/data/acts/GDPR/CELEX_32022R0868_EN_TXT%20%28GDPR%20-%20Row%2012%29.pdf" TargetMode="External" Id="rId687"/><Relationship Type="http://schemas.openxmlformats.org/officeDocument/2006/relationships/hyperlink" Target="https://github.com/ethandeysel/Data-Risk-Compliance/blob/main/data/acts/GDPR/CELEX_32022R0868_EN_TXT%20%28GDPR%20-%20Row%2012%29.pdf" TargetMode="External" Id="rId688"/><Relationship Type="http://schemas.openxmlformats.org/officeDocument/2006/relationships/hyperlink" Target="https://github.com/ethandeysel/Data-Risk-Compliance/blob/main/data/acts/GDPR/CELEX_32022R0868_EN_TXT%20%28GDPR%20-%20Row%2012%29.pdf" TargetMode="External" Id="rId689"/><Relationship Type="http://schemas.openxmlformats.org/officeDocument/2006/relationships/hyperlink" Target="https://github.com/ethandeysel/Data-Risk-Compliance/blob/main/data/acts/GDPR/CELEX_32022R0868_EN_TXT%20%28GDPR%20-%20Row%2012%29.pdf" TargetMode="External" Id="rId690"/><Relationship Type="http://schemas.openxmlformats.org/officeDocument/2006/relationships/hyperlink" Target="https://github.com/ethandeysel/Data-Risk-Compliance/blob/main/data/acts/GDPR/CELEX_32022R0868_EN_TXT%20%28GDPR%20-%20Row%2012%29.pdf" TargetMode="External" Id="rId691"/><Relationship Type="http://schemas.openxmlformats.org/officeDocument/2006/relationships/hyperlink" Target="https://github.com/ethandeysel/Data-Risk-Compliance/blob/main/data/acts/GDPR/CELEX_32022R0868_EN_TXT%20%28GDPR%20-%20Row%2012%29.pdf" TargetMode="External" Id="rId692"/><Relationship Type="http://schemas.openxmlformats.org/officeDocument/2006/relationships/hyperlink" Target="https://github.com/ethandeysel/Data-Risk-Compliance/blob/main/data/acts/GDPR/CELEX_32022R0868_EN_TXT%20%28GDPR%20-%20Row%2012%29.pdf" TargetMode="External" Id="rId693"/><Relationship Type="http://schemas.openxmlformats.org/officeDocument/2006/relationships/hyperlink" Target="https://github.com/ethandeysel/Data-Risk-Compliance/blob/main/data/acts/GDPR/CELEX_52023PC0360_EN_TXT%20%28GDPR%20-%20Row%2013%29.pdf" TargetMode="External" Id="rId694"/><Relationship Type="http://schemas.openxmlformats.org/officeDocument/2006/relationships/hyperlink" Target="https://github.com/ethandeysel/Data-Risk-Compliance/blob/main/data/acts/GDPR/CELEX_52023PC0360_EN_TXT%20%28GDPR%20-%20Row%2013%29.pdf" TargetMode="External" Id="rId695"/><Relationship Type="http://schemas.openxmlformats.org/officeDocument/2006/relationships/hyperlink" Target="https://github.com/ethandeysel/Data-Risk-Compliance/blob/main/data/acts/GDPR/CELEX_52023PC0360_EN_TXT%20%28GDPR%20-%20Row%2013%29.pdf" TargetMode="External" Id="rId696"/><Relationship Type="http://schemas.openxmlformats.org/officeDocument/2006/relationships/hyperlink" Target="https://github.com/ethandeysel/Data-Risk-Compliance/blob/main/data/acts/GDPR/CELEX_52023PC0360_EN_TXT%20%28GDPR%20-%20Row%2013%29.pdf" TargetMode="External" Id="rId697"/><Relationship Type="http://schemas.openxmlformats.org/officeDocument/2006/relationships/hyperlink" Target="https://github.com/ethandeysel/Data-Risk-Compliance/blob/main/data/acts/GDPR/CELEX_52023PC0360_EN_TXT%20%28GDPR%20-%20Row%2013%29.pdf" TargetMode="External" Id="rId698"/><Relationship Type="http://schemas.openxmlformats.org/officeDocument/2006/relationships/hyperlink" Target="https://github.com/ethandeysel/Data-Risk-Compliance/blob/main/data/acts/GDPR/CELEX_52023PC0360_EN_TXT%20%28GDPR%20-%20Row%2013%29.pdf" TargetMode="External" Id="rId699"/><Relationship Type="http://schemas.openxmlformats.org/officeDocument/2006/relationships/hyperlink" Target="https://github.com/ethandeysel/Data-Risk-Compliance/blob/main/data/acts/GDPR/CELEX_52023PC0360_EN_TXT%20%28GDPR%20-%20Row%2013%29.pdf" TargetMode="External" Id="rId700"/><Relationship Type="http://schemas.openxmlformats.org/officeDocument/2006/relationships/hyperlink" Target="https://github.com/ethandeysel/Data-Risk-Compliance/blob/main/data/acts/GDPR/CELEX_52023PC0360_EN_TXT%20%28GDPR%20-%20Row%2013%29.pdf" TargetMode="External" Id="rId701"/><Relationship Type="http://schemas.openxmlformats.org/officeDocument/2006/relationships/hyperlink" Target="https://github.com/ethandeysel/Data-Risk-Compliance/blob/main/data/acts/GDPR/CELEX_52023PC0360_EN_TXT%20%28GDPR%20-%20Row%2013%29.pdf" TargetMode="External" Id="rId702"/><Relationship Type="http://schemas.openxmlformats.org/officeDocument/2006/relationships/hyperlink" Target="https://github.com/ethandeysel/Data-Risk-Compliance/blob/main/data/acts/GDPR/CELEX_52023PC0360_EN_TXT%20%28GDPR%20-%20Row%2013%29.pdf" TargetMode="External" Id="rId703"/><Relationship Type="http://schemas.openxmlformats.org/officeDocument/2006/relationships/hyperlink" Target="https://github.com/ethandeysel/Data-Risk-Compliance/blob/main/data/acts/GDPR/CELEX_52023PC0360_EN_TXT%20%28GDPR%20-%20Row%2013%29.pdf" TargetMode="External" Id="rId704"/><Relationship Type="http://schemas.openxmlformats.org/officeDocument/2006/relationships/hyperlink" Target="https://github.com/ethandeysel/Data-Risk-Compliance/blob/main/data/acts/GDPR/CELEX_52023PC0360_EN_TXT%20%28GDPR%20-%20Row%2013%29.pdf" TargetMode="External" Id="rId705"/><Relationship Type="http://schemas.openxmlformats.org/officeDocument/2006/relationships/hyperlink" Target="https://github.com/ethandeysel/Data-Risk-Compliance/blob/main/data/acts/GDPR/CELEX_52023PC0360_EN_TXT%20%28GDPR%20-%20Row%2013%29.pdf" TargetMode="External" Id="rId706"/><Relationship Type="http://schemas.openxmlformats.org/officeDocument/2006/relationships/hyperlink" Target="https://github.com/ethandeysel/Data-Risk-Compliance/blob/main/data/acts/GDPR/CELEX_52023PC0360_EN_TXT%20%28GDPR%20-%20Row%2013%29.pdf" TargetMode="External" Id="rId707"/><Relationship Type="http://schemas.openxmlformats.org/officeDocument/2006/relationships/hyperlink" Target="https://github.com/ethandeysel/Data-Risk-Compliance/blob/main/data/acts/GDPR/CELEX_52023PC0360_EN_TXT%20%28GDPR%20-%20Row%2013%29.pdf" TargetMode="External" Id="rId708"/><Relationship Type="http://schemas.openxmlformats.org/officeDocument/2006/relationships/hyperlink" Target="https://github.com/ethandeysel/Data-Risk-Compliance/blob/main/data/acts/GDPR/CELEX_52023PC0360_EN_TXT%20%28GDPR%20-%20Row%2013%29.pdf" TargetMode="External" Id="rId709"/><Relationship Type="http://schemas.openxmlformats.org/officeDocument/2006/relationships/hyperlink" Target="https://github.com/ethandeysel/Data-Risk-Compliance/blob/main/data/acts/GDPR/CELEX_52023PC0360_EN_TXT%20%28GDPR%20-%20Row%2013%29.pdf" TargetMode="External" Id="rId710"/><Relationship Type="http://schemas.openxmlformats.org/officeDocument/2006/relationships/hyperlink" Target="https://github.com/ethandeysel/Data-Risk-Compliance/blob/main/data/acts/GDPR/CELEX_52023PC0360_EN_TXT%20%28GDPR%20-%20Row%2013%29.pdf" TargetMode="External" Id="rId711"/><Relationship Type="http://schemas.openxmlformats.org/officeDocument/2006/relationships/hyperlink" Target="https://github.com/ethandeysel/Data-Risk-Compliance/blob/main/data/acts/GDPR/CELEX_52023PC0360_EN_TXT%20%28GDPR%20-%20Row%2013%29.pdf" TargetMode="External" Id="rId712"/><Relationship Type="http://schemas.openxmlformats.org/officeDocument/2006/relationships/hyperlink" Target="https://github.com/ethandeysel/Data-Risk-Compliance/blob/main/data/acts/GDPR/CELEX_52023PC0360_EN_TXT%20%28GDPR%20-%20Row%2013%29.pdf" TargetMode="External" Id="rId713"/><Relationship Type="http://schemas.openxmlformats.org/officeDocument/2006/relationships/hyperlink" Target="https://github.com/ethandeysel/Data-Risk-Compliance/blob/main/data/acts/GDPR/CELEX_52023PC0360_EN_TXT%20%28GDPR%20-%20Row%2013%29.pdf" TargetMode="External" Id="rId714"/><Relationship Type="http://schemas.openxmlformats.org/officeDocument/2006/relationships/hyperlink" Target="https://github.com/ethandeysel/Data-Risk-Compliance/blob/main/data/acts/GDPR/CELEX_52023PC0360_EN_TXT%20%28GDPR%20-%20Row%2013%29.pdf" TargetMode="External" Id="rId715"/><Relationship Type="http://schemas.openxmlformats.org/officeDocument/2006/relationships/hyperlink" Target="https://github.com/ethandeysel/Data-Risk-Compliance/blob/main/data/acts/GDPR/CELEX_52023PC0360_EN_TXT%20%28GDPR%20-%20Row%2013%29.pdf" TargetMode="External" Id="rId716"/><Relationship Type="http://schemas.openxmlformats.org/officeDocument/2006/relationships/hyperlink" Target="https://github.com/ethandeysel/Data-Risk-Compliance/blob/main/data/acts/GDPR/CELEX_52023PC0360_EN_TXT%20%28GDPR%20-%20Row%2013%29.pdf" TargetMode="External" Id="rId717"/><Relationship Type="http://schemas.openxmlformats.org/officeDocument/2006/relationships/hyperlink" Target="https://github.com/ethandeysel/Data-Risk-Compliance/blob/main/data/acts/GDPR/CELEX_52023PC0360_EN_TXT%20%28GDPR%20-%20Row%2013%29.pdf" TargetMode="External" Id="rId718"/><Relationship Type="http://schemas.openxmlformats.org/officeDocument/2006/relationships/hyperlink" Target="https://github.com/ethandeysel/Data-Risk-Compliance/blob/main/data/acts/GDPR/CELEX_52023PC0360_EN_TXT%20%28GDPR%20-%20Row%2013%29.pdf" TargetMode="External" Id="rId719"/><Relationship Type="http://schemas.openxmlformats.org/officeDocument/2006/relationships/hyperlink" Target="https://github.com/ethandeysel/Data-Risk-Compliance/blob/main/data/acts/GDPR/CELEX_52023PC0360_EN_TXT%20%28GDPR%20-%20Row%2013%29.pdf" TargetMode="External" Id="rId720"/><Relationship Type="http://schemas.openxmlformats.org/officeDocument/2006/relationships/hyperlink" Target="https://github.com/ethandeysel/Data-Risk-Compliance/blob/main/data/acts/GDPR/CELEX_52023PC0360_EN_TXT%20%28GDPR%20-%20Row%2013%29.pdf" TargetMode="External" Id="rId721"/><Relationship Type="http://schemas.openxmlformats.org/officeDocument/2006/relationships/hyperlink" Target="https://github.com/ethandeysel/Data-Risk-Compliance/blob/main/data/acts/GDPR/CELEX_52023PC0360_EN_TXT%20%28GDPR%20-%20Row%2013%29.pdf" TargetMode="External" Id="rId722"/><Relationship Type="http://schemas.openxmlformats.org/officeDocument/2006/relationships/hyperlink" Target="https://github.com/ethandeysel/Data-Risk-Compliance/blob/main/data/acts/GDPR/CELEX_52023PC0360_EN_TXT%20%28GDPR%20-%20Row%2013%29.pdf" TargetMode="External" Id="rId723"/><Relationship Type="http://schemas.openxmlformats.org/officeDocument/2006/relationships/hyperlink" Target="https://github.com/ethandeysel/Data-Risk-Compliance/blob/main/data/acts/GDPR/CELEX_52023PC0360_EN_TXT%20%28GDPR%20-%20Row%2013%29.pdf" TargetMode="External" Id="rId724"/><Relationship Type="http://schemas.openxmlformats.org/officeDocument/2006/relationships/hyperlink" Target="https://github.com/ethandeysel/Data-Risk-Compliance/blob/main/data/acts/GDPR/CELEX_52023PC0360_EN_TXT%20%28GDPR%20-%20Row%2013%29.pdf" TargetMode="External" Id="rId725"/><Relationship Type="http://schemas.openxmlformats.org/officeDocument/2006/relationships/hyperlink" Target="https://github.com/ethandeysel/Data-Risk-Compliance/blob/main/data/acts/GDPR/CELEX_52023PC0360_EN_TXT%20%28GDPR%20-%20Row%2013%29.pdf" TargetMode="External" Id="rId726"/><Relationship Type="http://schemas.openxmlformats.org/officeDocument/2006/relationships/hyperlink" Target="https://github.com/ethandeysel/Data-Risk-Compliance/blob/main/data/acts/GDPR/CELEX_52023PC0360_EN_TXT%20%28GDPR%20-%20Row%2013%29.pdf" TargetMode="External" Id="rId727"/><Relationship Type="http://schemas.openxmlformats.org/officeDocument/2006/relationships/hyperlink" Target="https://github.com/ethandeysel/Data-Risk-Compliance/blob/main/data/acts/GDPR/CELEX_52023PC0360_EN_TXT%20%28GDPR%20-%20Row%2013%29.pdf" TargetMode="External" Id="rId728"/><Relationship Type="http://schemas.openxmlformats.org/officeDocument/2006/relationships/hyperlink" Target="https://github.com/ethandeysel/Data-Risk-Compliance/blob/main/data/acts/GDPR/CELEX_52023PC0360_EN_TXT%20%28GDPR%20-%20Row%2013%29.pdf" TargetMode="External" Id="rId729"/><Relationship Type="http://schemas.openxmlformats.org/officeDocument/2006/relationships/hyperlink" Target="https://github.com/ethandeysel/Data-Risk-Compliance/blob/main/data/acts/GDPR/CELEX_52023PC0360_EN_TXT%20%28GDPR%20-%20Row%2013%29.pdf" TargetMode="External" Id="rId730"/><Relationship Type="http://schemas.openxmlformats.org/officeDocument/2006/relationships/hyperlink" Target="https://github.com/ethandeysel/Data-Risk-Compliance/blob/main/data/acts/GDPR/CELEX_52023PC0360_EN_TXT%20%28GDPR%20-%20Row%2013%29.pdf" TargetMode="External" Id="rId731"/><Relationship Type="http://schemas.openxmlformats.org/officeDocument/2006/relationships/hyperlink" Target="https://github.com/ethandeysel/Data-Risk-Compliance/blob/main/data/acts/GDPR/CELEX_52023PC0360_EN_TXT%20%28GDPR%20-%20Row%2013%29.pdf" TargetMode="External" Id="rId732"/><Relationship Type="http://schemas.openxmlformats.org/officeDocument/2006/relationships/hyperlink" Target="https://github.com/ethandeysel/Data-Risk-Compliance/blob/main/data/acts/GDPR/CELEX_52023PC0360_EN_TXT%20%28GDPR%20-%20Row%2013%29.pdf" TargetMode="External" Id="rId733"/><Relationship Type="http://schemas.openxmlformats.org/officeDocument/2006/relationships/hyperlink" Target="https://github.com/ethandeysel/Data-Risk-Compliance/blob/main/data/acts/GDPR/CELEX_52023PC0360_EN_TXT%20%28GDPR%20-%20Row%2013%29.pdf" TargetMode="External" Id="rId734"/><Relationship Type="http://schemas.openxmlformats.org/officeDocument/2006/relationships/hyperlink" Target="https://github.com/ethandeysel/Data-Risk-Compliance/blob/main/data/acts/GDPR/CELEX_52023PC0360_EN_TXT%20%28GDPR%20-%20Row%2013%29.pdf" TargetMode="External" Id="rId735"/><Relationship Type="http://schemas.openxmlformats.org/officeDocument/2006/relationships/hyperlink" Target="https://github.com/ethandeysel/Data-Risk-Compliance/blob/main/data/acts/GDPR/CELEX_52023PC0360_EN_TXT%20%28GDPR%20-%20Row%2013%29.pdf" TargetMode="External" Id="rId736"/><Relationship Type="http://schemas.openxmlformats.org/officeDocument/2006/relationships/hyperlink" Target="https://github.com/ethandeysel/Data-Risk-Compliance/blob/main/data/acts/GDPR/CELEX_52023PC0360_EN_TXT%20%28GDPR%20-%20Row%2013%29.pdf" TargetMode="External" Id="rId737"/><Relationship Type="http://schemas.openxmlformats.org/officeDocument/2006/relationships/hyperlink" Target="https://github.com/ethandeysel/Data-Risk-Compliance/blob/main/data/acts/GDPR/CELEX_52023PC0360_EN_TXT%20%28GDPR%20-%20Row%2013%29.pdf" TargetMode="External" Id="rId738"/><Relationship Type="http://schemas.openxmlformats.org/officeDocument/2006/relationships/hyperlink" Target="https://github.com/ethandeysel/Data-Risk-Compliance/blob/main/data/acts/GDPR/CELEX_52023PC0360_EN_TXT%20%28GDPR%20-%20Row%2013%29.pdf" TargetMode="External" Id="rId739"/><Relationship Type="http://schemas.openxmlformats.org/officeDocument/2006/relationships/hyperlink" Target="https://github.com/ethandeysel/Data-Risk-Compliance/blob/main/data/acts/GDPR/CELEX_52023PC0360_EN_TXT%20%28GDPR%20-%20Row%2013%29.pdf" TargetMode="External" Id="rId740"/><Relationship Type="http://schemas.openxmlformats.org/officeDocument/2006/relationships/hyperlink" Target="https://github.com/ethandeysel/Data-Risk-Compliance/blob/main/data/acts/GDPR/CELEX_52023PC0360_EN_TXT%20%28GDPR%20-%20Row%2013%29.pdf" TargetMode="External" Id="rId741"/><Relationship Type="http://schemas.openxmlformats.org/officeDocument/2006/relationships/hyperlink" Target="https://github.com/ethandeysel/Data-Risk-Compliance/blob/main/data/acts/GDPR/CELEX_52023PC0360_EN_TXT%20%28GDPR%20-%20Row%2013%29.pdf" TargetMode="External" Id="rId742"/><Relationship Type="http://schemas.openxmlformats.org/officeDocument/2006/relationships/hyperlink" Target="https://github.com/ethandeysel/Data-Risk-Compliance/blob/main/data/acts/GDPR/CELEX_52023PC0360_EN_TXT%20%28GDPR%20-%20Row%2013%29.pdf" TargetMode="External" Id="rId743"/><Relationship Type="http://schemas.openxmlformats.org/officeDocument/2006/relationships/hyperlink" Target="https://github.com/ethandeysel/Data-Risk-Compliance/blob/main/data/acts/GDPR/CELEX_52023PC0360_EN_TXT%20%28GDPR%20-%20Row%2013%29.pdf" TargetMode="External" Id="rId744"/><Relationship Type="http://schemas.openxmlformats.org/officeDocument/2006/relationships/hyperlink" Target="https://github.com/ethandeysel/Data-Risk-Compliance/blob/main/data/acts/GDPR/CELEX_52023PC0360_EN_TXT%20%28GDPR%20-%20Row%2013%29.pdf" TargetMode="External" Id="rId745"/><Relationship Type="http://schemas.openxmlformats.org/officeDocument/2006/relationships/hyperlink" Target="https://github.com/ethandeysel/Data-Risk-Compliance/blob/main/data/acts/GDPR/CELEX_52023PC0360_EN_TXT%20%28GDPR%20-%20Row%2013%29.pdf" TargetMode="External" Id="rId746"/><Relationship Type="http://schemas.openxmlformats.org/officeDocument/2006/relationships/hyperlink" Target="https://github.com/ethandeysel/Data-Risk-Compliance/blob/main/data/acts/GDPR/CELEX_52023PC0360_EN_TXT%20%28GDPR%20-%20Row%2013%29.pdf" TargetMode="External" Id="rId747"/><Relationship Type="http://schemas.openxmlformats.org/officeDocument/2006/relationships/hyperlink" Target="https://github.com/ethandeysel/Data-Risk-Compliance/blob/main/data/acts/GDPR/CELEX_52023PC0360_EN_TXT%20%28GDPR%20-%20Row%2013%29.pdf" TargetMode="External" Id="rId748"/><Relationship Type="http://schemas.openxmlformats.org/officeDocument/2006/relationships/hyperlink" Target="https://github.com/ethandeysel/Data-Risk-Compliance/blob/main/data/acts/GDPR/CELEX_52023PC0360_EN_TXT%20%28GDPR%20-%20Row%2013%29.pdf" TargetMode="External" Id="rId749"/><Relationship Type="http://schemas.openxmlformats.org/officeDocument/2006/relationships/hyperlink" Target="https://github.com/ethandeysel/Data-Risk-Compliance/blob/main/data/acts/GDPR/CELEX_52023PC0360_EN_TXT%20%28GDPR%20-%20Row%2013%29.pdf" TargetMode="External" Id="rId750"/><Relationship Type="http://schemas.openxmlformats.org/officeDocument/2006/relationships/hyperlink" Target="https://github.com/ethandeysel/Data-Risk-Compliance/blob/main/data/acts/GDPR/CELEX_52023PC0360_EN_TXT%20%28GDPR%20-%20Row%2013%29.pdf" TargetMode="External" Id="rId751"/><Relationship Type="http://schemas.openxmlformats.org/officeDocument/2006/relationships/hyperlink" Target="https://github.com/ethandeysel/Data-Risk-Compliance/blob/main/data/acts/GDPR/CELEX_52023PC0360_EN_TXT%20%28GDPR%20-%20Row%2013%29.pdf" TargetMode="External" Id="rId752"/><Relationship Type="http://schemas.openxmlformats.org/officeDocument/2006/relationships/hyperlink" Target="https://github.com/ethandeysel/Data-Risk-Compliance/blob/main/data/acts/GDPR/CELEX_52023PC0360_EN_TXT%20%28GDPR%20-%20Row%2013%29.pdf" TargetMode="External" Id="rId753"/><Relationship Type="http://schemas.openxmlformats.org/officeDocument/2006/relationships/hyperlink" Target="https://github.com/ethandeysel/Data-Risk-Compliance/blob/main/data/acts/GDPR/CELEX_52023PC0360_EN_TXT%20%28GDPR%20-%20Row%2013%29.pdf" TargetMode="External" Id="rId754"/><Relationship Type="http://schemas.openxmlformats.org/officeDocument/2006/relationships/hyperlink" Target="https://github.com/ethandeysel/Data-Risk-Compliance/blob/main/data/acts/GDPR/CELEX_52023PC0360_EN_TXT%20%28GDPR%20-%20Row%2013%29.pdf" TargetMode="External" Id="rId755"/><Relationship Type="http://schemas.openxmlformats.org/officeDocument/2006/relationships/hyperlink" Target="https://github.com/ethandeysel/Data-Risk-Compliance/blob/main/data/acts/GDPR/CELEX_52023PC0360_EN_TXT%20%28GDPR%20-%20Row%2013%29.pdf" TargetMode="External" Id="rId756"/><Relationship Type="http://schemas.openxmlformats.org/officeDocument/2006/relationships/hyperlink" Target="https://github.com/ethandeysel/Data-Risk-Compliance/blob/main/data/acts/GDPR/CELEX_52023PC0360_EN_TXT%20%28GDPR%20-%20Row%2013%29.pdf" TargetMode="External" Id="rId757"/><Relationship Type="http://schemas.openxmlformats.org/officeDocument/2006/relationships/hyperlink" Target="https://github.com/ethandeysel/Data-Risk-Compliance/blob/main/data/acts/GDPR/CELEX_52023PC0360_EN_TXT%20%28GDPR%20-%20Row%2013%29.pdf" TargetMode="External" Id="rId758"/><Relationship Type="http://schemas.openxmlformats.org/officeDocument/2006/relationships/hyperlink" Target="https://github.com/ethandeysel/Data-Risk-Compliance/blob/main/data/acts/GDPR/CELEX_52023PC0360_EN_TXT%20%28GDPR%20-%20Row%2013%29.pdf" TargetMode="External" Id="rId759"/><Relationship Type="http://schemas.openxmlformats.org/officeDocument/2006/relationships/hyperlink" Target="https://github.com/ethandeysel/Data-Risk-Compliance/blob/main/data/acts/GDPR/CELEX_52023PC0360_EN_TXT%20%28GDPR%20-%20Row%2013%29.pdf" TargetMode="External" Id="rId760"/><Relationship Type="http://schemas.openxmlformats.org/officeDocument/2006/relationships/hyperlink" Target="https://github.com/ethandeysel/Data-Risk-Compliance/blob/main/data/acts/GDPR/CELEX_52023PC0360_EN_TXT%20%28GDPR%20-%20Row%2013%29.pdf" TargetMode="External" Id="rId761"/><Relationship Type="http://schemas.openxmlformats.org/officeDocument/2006/relationships/hyperlink" Target="https://github.com/ethandeysel/Data-Risk-Compliance/blob/main/data/acts/GDPR/CELEX_52023PC0360_EN_TXT%20%28GDPR%20-%20Row%2013%29.pdf" TargetMode="External" Id="rId762"/><Relationship Type="http://schemas.openxmlformats.org/officeDocument/2006/relationships/hyperlink" Target="https://github.com/ethandeysel/Data-Risk-Compliance/blob/main/data/acts/GDPR/CELEX_52023PC0360_EN_TXT%20%28GDPR%20-%20Row%2013%29.pdf" TargetMode="External" Id="rId763"/><Relationship Type="http://schemas.openxmlformats.org/officeDocument/2006/relationships/hyperlink" Target="https://github.com/ethandeysel/Data-Risk-Compliance/blob/main/data/acts/GDPR/CELEX_52023PC0360_EN_TXT%20%28GDPR%20-%20Row%2013%29.pdf" TargetMode="External" Id="rId764"/><Relationship Type="http://schemas.openxmlformats.org/officeDocument/2006/relationships/hyperlink" Target="https://github.com/ethandeysel/Data-Risk-Compliance/blob/main/data/acts/GDPR/CELEX_52023PC0360_EN_TXT%20%28GDPR%20-%20Row%2013%29.pdf" TargetMode="External" Id="rId765"/><Relationship Type="http://schemas.openxmlformats.org/officeDocument/2006/relationships/hyperlink" Target="https://github.com/ethandeysel/Data-Risk-Compliance/blob/main/data/acts/GDPR/CELEX_52023PC0360_EN_TXT%20%28GDPR%20-%20Row%2013%29.pdf" TargetMode="External" Id="rId766"/><Relationship Type="http://schemas.openxmlformats.org/officeDocument/2006/relationships/hyperlink" Target="https://github.com/ethandeysel/Data-Risk-Compliance/blob/main/data/acts/GDPR/CELEX_52023PC0360_EN_TXT%20%28GDPR%20-%20Row%2013%29.pdf" TargetMode="External" Id="rId767"/><Relationship Type="http://schemas.openxmlformats.org/officeDocument/2006/relationships/hyperlink" Target="https://github.com/ethandeysel/Data-Risk-Compliance/blob/main/data/acts/GDPR/CELEX_52023PC0360_EN_TXT%20%28GDPR%20-%20Row%2013%29.pdf" TargetMode="External" Id="rId768"/><Relationship Type="http://schemas.openxmlformats.org/officeDocument/2006/relationships/hyperlink" Target="https://github.com/ethandeysel/Data-Risk-Compliance/blob/main/data/acts/GDPR/CELEX_52023PC0360_EN_TXT%20%28GDPR%20-%20Row%2013%29.pdf" TargetMode="External" Id="rId769"/><Relationship Type="http://schemas.openxmlformats.org/officeDocument/2006/relationships/hyperlink" Target="https://github.com/ethandeysel/Data-Risk-Compliance/blob/main/data/acts/GDPR/CELEX_52023PC0360_EN_TXT%20%28GDPR%20-%20Row%2013%29.pdf" TargetMode="External" Id="rId770"/><Relationship Type="http://schemas.openxmlformats.org/officeDocument/2006/relationships/hyperlink" Target="https://github.com/ethandeysel/Data-Risk-Compliance/blob/main/data/acts/GDPR/CELEX_52023PC0360_EN_TXT%20%28GDPR%20-%20Row%2013%29.pdf" TargetMode="External" Id="rId771"/><Relationship Type="http://schemas.openxmlformats.org/officeDocument/2006/relationships/hyperlink" Target="https://github.com/ethandeysel/Data-Risk-Compliance/blob/main/data/acts/GDPR/CELEX_52023PC0360_EN_TXT%20%28GDPR%20-%20Row%2013%29.pdf" TargetMode="External" Id="rId772"/><Relationship Type="http://schemas.openxmlformats.org/officeDocument/2006/relationships/hyperlink" Target="https://github.com/ethandeysel/Data-Risk-Compliance/blob/main/data/acts/GDPR/CELEX_52023PC0360_EN_TXT%20%28GDPR%20-%20Row%2013%29.pdf" TargetMode="External" Id="rId773"/><Relationship Type="http://schemas.openxmlformats.org/officeDocument/2006/relationships/hyperlink" Target="https://github.com/ethandeysel/Data-Risk-Compliance/blob/main/data/acts/GDPR/CELEX_52023PC0360_EN_TXT%20%28GDPR%20-%20Row%2013%29.pdf" TargetMode="External" Id="rId774"/><Relationship Type="http://schemas.openxmlformats.org/officeDocument/2006/relationships/hyperlink" Target="https://github.com/ethandeysel/Data-Risk-Compliance/blob/main/data/acts/GDPR/CELEX_52023PC0360_EN_TXT%20%28GDPR%20-%20Row%2013%29.pdf" TargetMode="External" Id="rId775"/><Relationship Type="http://schemas.openxmlformats.org/officeDocument/2006/relationships/hyperlink" Target="https://github.com/ethandeysel/Data-Risk-Compliance/blob/main/data/acts/GDPR/CELEX_52023PC0360_EN_TXT%20%28GDPR%20-%20Row%2013%29.pdf" TargetMode="External" Id="rId776"/><Relationship Type="http://schemas.openxmlformats.org/officeDocument/2006/relationships/hyperlink" Target="https://github.com/ethandeysel/Data-Risk-Compliance/blob/main/data/acts/GDPR/CELEX_52023PC0360_EN_TXT%20%28GDPR%20-%20Row%2013%29.pdf" TargetMode="External" Id="rId777"/><Relationship Type="http://schemas.openxmlformats.org/officeDocument/2006/relationships/hyperlink" Target="https://github.com/ethandeysel/Data-Risk-Compliance/blob/main/data/acts/GDPR/CELEX_52023PC0360_EN_TXT%20%28GDPR%20-%20Row%2013%29.pdf" TargetMode="External" Id="rId778"/><Relationship Type="http://schemas.openxmlformats.org/officeDocument/2006/relationships/hyperlink" Target="https://github.com/ethandeysel/Data-Risk-Compliance/blob/main/data/acts/GDPR/CELEX_52023PC0360_EN_TXT%20%28GDPR%20-%20Row%2013%29.pdf" TargetMode="External" Id="rId779"/><Relationship Type="http://schemas.openxmlformats.org/officeDocument/2006/relationships/hyperlink" Target="https://github.com/ethandeysel/Data-Risk-Compliance/blob/main/data/acts/GDPR/CELEX_52023PC0360_EN_TXT%20%28GDPR%20-%20Row%2013%29.pdf" TargetMode="External" Id="rId780"/><Relationship Type="http://schemas.openxmlformats.org/officeDocument/2006/relationships/hyperlink" Target="https://github.com/ethandeysel/Data-Risk-Compliance/blob/main/data/acts/GDPR/CELEX_52023PC0360_EN_TXT%20%28GDPR%20-%20Row%2013%29.pdf" TargetMode="External" Id="rId781"/><Relationship Type="http://schemas.openxmlformats.org/officeDocument/2006/relationships/hyperlink" Target="https://github.com/ethandeysel/Data-Risk-Compliance/blob/main/data/acts/GDPR/CELEX_52023PC0360_EN_TXT%20%28GDPR%20-%20Row%2013%29.pdf" TargetMode="External" Id="rId782"/><Relationship Type="http://schemas.openxmlformats.org/officeDocument/2006/relationships/hyperlink" Target="https://github.com/ethandeysel/Data-Risk-Compliance/blob/main/data/acts/GDPR/CELEX_52023PC0360_EN_TXT%20%28GDPR%20-%20Row%2013%29.pdf" TargetMode="External" Id="rId783"/><Relationship Type="http://schemas.openxmlformats.org/officeDocument/2006/relationships/hyperlink" Target="https://github.com/ethandeysel/Data-Risk-Compliance/blob/main/data/acts/GDPR/CELEX_52023PC0360_EN_TXT%20%28GDPR%20-%20Row%2013%29.pdf" TargetMode="External" Id="rId784"/><Relationship Type="http://schemas.openxmlformats.org/officeDocument/2006/relationships/hyperlink" Target="https://github.com/ethandeysel/Data-Risk-Compliance/blob/main/data/acts/GDPR/CELEX_52023PC0360_EN_TXT%20%28GDPR%20-%20Row%2013%29.pdf" TargetMode="External" Id="rId785"/><Relationship Type="http://schemas.openxmlformats.org/officeDocument/2006/relationships/hyperlink" Target="https://github.com/ethandeysel/Data-Risk-Compliance/blob/main/data/acts/GDPR/CELEX_52023PC0360_EN_TXT%20%28GDPR%20-%20Row%2013%29.pdf" TargetMode="External" Id="rId786"/><Relationship Type="http://schemas.openxmlformats.org/officeDocument/2006/relationships/hyperlink" Target="https://github.com/ethandeysel/Data-Risk-Compliance/blob/main/data/acts/GDPR/CELEX_52023PC0360_EN_TXT%20%28GDPR%20-%20Row%2013%29.pdf" TargetMode="External" Id="rId787"/><Relationship Type="http://schemas.openxmlformats.org/officeDocument/2006/relationships/hyperlink" Target="https://github.com/ethandeysel/Data-Risk-Compliance/blob/main/data/acts/GDPR/CELEX_52023PC0360_EN_TXT%20%28GDPR%20-%20Row%2013%29.pdf" TargetMode="External" Id="rId788"/><Relationship Type="http://schemas.openxmlformats.org/officeDocument/2006/relationships/hyperlink" Target="https://github.com/ethandeysel/Data-Risk-Compliance/blob/main/data/acts/GDPR/Final%20report%20on%20amending%20GLs%20on%20ICT%20risk%20and%20security%20%28GDPR%20-%20Row%204%29.pdf" TargetMode="External" Id="rId789"/><Relationship Type="http://schemas.openxmlformats.org/officeDocument/2006/relationships/hyperlink" Target="https://github.com/ethandeysel/Data-Risk-Compliance/blob/main/data/acts/GDPR/Final%20report%20on%20amending%20GLs%20on%20ICT%20risk%20and%20security%20%28GDPR%20-%20Row%204%29.pdf" TargetMode="External" Id="rId790"/><Relationship Type="http://schemas.openxmlformats.org/officeDocument/2006/relationships/hyperlink" Target="https://github.com/ethandeysel/Data-Risk-Compliance/blob/main/data/acts/GDPR/Final%20report%20on%20amending%20GLs%20on%20ICT%20risk%20and%20security%20%28GDPR%20-%20Row%204%29.pdf" TargetMode="External" Id="rId791"/><Relationship Type="http://schemas.openxmlformats.org/officeDocument/2006/relationships/hyperlink" Target="https://github.com/ethandeysel/Data-Risk-Compliance/blob/main/data/acts/GDPR/Final%20report%20on%20amending%20GLs%20on%20ICT%20risk%20and%20security%20%28GDPR%20-%20Row%204%29.pdf" TargetMode="External" Id="rId792"/><Relationship Type="http://schemas.openxmlformats.org/officeDocument/2006/relationships/hyperlink" Target="https://github.com/ethandeysel/Data-Risk-Compliance/blob/main/data/acts/GDPR/Final%20report%20on%20amending%20GLs%20on%20ICT%20risk%20and%20security%20%28GDPR%20-%20Row%204%29.pdf" TargetMode="External" Id="rId793"/><Relationship Type="http://schemas.openxmlformats.org/officeDocument/2006/relationships/hyperlink" Target="https://github.com/ethandeysel/Data-Risk-Compliance/blob/main/data/acts/GDPR/Final%20report%20on%20amending%20GLs%20on%20ICT%20risk%20and%20security%20%28GDPR%20-%20Row%204%29.pdf" TargetMode="External" Id="rId794"/><Relationship Type="http://schemas.openxmlformats.org/officeDocument/2006/relationships/hyperlink" Target="https://github.com/ethandeysel/Data-Risk-Compliance/blob/main/data/acts/GDPR/Final%20report%20on%20amending%20GLs%20on%20ICT%20risk%20and%20security%20%28GDPR%20-%20Row%204%29.pdf" TargetMode="External" Id="rId795"/><Relationship Type="http://schemas.openxmlformats.org/officeDocument/2006/relationships/hyperlink" Target="https://github.com/ethandeysel/Data-Risk-Compliance/blob/main/data/acts/GDPR/Final%20report%20on%20amending%20GLs%20on%20ICT%20risk%20and%20security%20%28GDPR%20-%20Row%204%29.pdf" TargetMode="External" Id="rId796"/><Relationship Type="http://schemas.openxmlformats.org/officeDocument/2006/relationships/hyperlink" Target="https://github.com/ethandeysel/Data-Risk-Compliance/blob/main/data/acts/GDPR/Final%20report%20on%20amending%20GLs%20on%20ICT%20risk%20and%20security%20%28GDPR%20-%20Row%204%29.pdf" TargetMode="External" Id="rId797"/><Relationship Type="http://schemas.openxmlformats.org/officeDocument/2006/relationships/hyperlink" Target="https://github.com/ethandeysel/Data-Risk-Compliance/blob/main/data/acts/GDPR/Final%20report%20on%20amending%20GLs%20on%20ICT%20risk%20and%20security%20%28GDPR%20-%20Row%204%29.pdf" TargetMode="External" Id="rId798"/><Relationship Type="http://schemas.openxmlformats.org/officeDocument/2006/relationships/hyperlink" Target="https://github.com/ethandeysel/Data-Risk-Compliance/blob/main/data/acts/GDPR/Final%20report%20on%20amending%20GLs%20on%20ICT%20risk%20and%20security%20%28GDPR%20-%20Row%204%29.pdf" TargetMode="External" Id="rId799"/><Relationship Type="http://schemas.openxmlformats.org/officeDocument/2006/relationships/hyperlink" Target="https://github.com/ethandeysel/Data-Risk-Compliance/blob/main/data/acts/GDPR/Final%20report%20on%20amending%20GLs%20on%20ICT%20risk%20and%20security%20%28GDPR%20-%20Row%204%29.pdf" TargetMode="External" Id="rId800"/><Relationship Type="http://schemas.openxmlformats.org/officeDocument/2006/relationships/hyperlink" Target="https://github.com/ethandeysel/Data-Risk-Compliance/blob/main/data/acts/GDPR/Final%20report%20on%20amending%20GLs%20on%20ICT%20risk%20and%20security%20%28GDPR%20-%20Row%204%29.pdf" TargetMode="External" Id="rId801"/><Relationship Type="http://schemas.openxmlformats.org/officeDocument/2006/relationships/hyperlink" Target="https://github.com/ethandeysel/Data-Risk-Compliance/blob/main/data/acts/GDPR/Final%20report%20on%20amending%20GLs%20on%20ICT%20risk%20and%20security%20%28GDPR%20-%20Row%204%29.pdf" TargetMode="External" Id="rId802"/><Relationship Type="http://schemas.openxmlformats.org/officeDocument/2006/relationships/hyperlink" Target="https://github.com/ethandeysel/Data-Risk-Compliance/blob/main/data/acts/GDPR/Final%20report%20on%20amending%20GLs%20on%20ICT%20risk%20and%20security%20%28GDPR%20-%20Row%204%29.pdf" TargetMode="External" Id="rId803"/><Relationship Type="http://schemas.openxmlformats.org/officeDocument/2006/relationships/hyperlink" Target="https://github.com/ethandeysel/Data-Risk-Compliance/blob/main/data/acts/GDPR/Final%20report%20on%20amending%20GLs%20on%20ICT%20risk%20and%20security%20%28GDPR%20-%20Row%204%29.pdf" TargetMode="External" Id="rId804"/><Relationship Type="http://schemas.openxmlformats.org/officeDocument/2006/relationships/hyperlink" Target="https://github.com/ethandeysel/Data-Risk-Compliance/blob/main/data/acts/GDPR/Final%20report%20on%20amending%20GLs%20on%20ICT%20risk%20and%20security%20%28GDPR%20-%20Row%204%29.pdf" TargetMode="External" Id="rId805"/><Relationship Type="http://schemas.openxmlformats.org/officeDocument/2006/relationships/hyperlink" Target="https://github.com/ethandeysel/Data-Risk-Compliance/blob/main/data/acts/GDPR/Final%20report%20on%20amending%20GLs%20on%20ICT%20risk%20and%20security%20%28GDPR%20-%20Row%204%29.pdf" TargetMode="External" Id="rId806"/><Relationship Type="http://schemas.openxmlformats.org/officeDocument/2006/relationships/hyperlink" Target="https://github.com/ethandeysel/Data-Risk-Compliance/blob/main/data/acts/GDPR/Final%20report%20on%20amending%20GLs%20on%20ICT%20risk%20and%20security%20%28GDPR%20-%20Row%204%29.pdf" TargetMode="External" Id="rId807"/><Relationship Type="http://schemas.openxmlformats.org/officeDocument/2006/relationships/hyperlink" Target="https://github.com/ethandeysel/Data-Risk-Compliance/blob/main/data/acts/GDPR/OJ_L_202302854_EN_TXT%20%28GDPR%20-%20Row%2011%29.pdf" TargetMode="External" Id="rId808"/><Relationship Type="http://schemas.openxmlformats.org/officeDocument/2006/relationships/hyperlink" Target="https://github.com/ethandeysel/Data-Risk-Compliance/blob/main/data/acts/GDPR/OJ_L_202302854_EN_TXT%20%28GDPR%20-%20Row%2011%29.pdf" TargetMode="External" Id="rId809"/><Relationship Type="http://schemas.openxmlformats.org/officeDocument/2006/relationships/hyperlink" Target="https://github.com/ethandeysel/Data-Risk-Compliance/blob/main/data/acts/GDPR/OJ_L_202302854_EN_TXT%20%28GDPR%20-%20Row%2011%29.pdf" TargetMode="External" Id="rId810"/><Relationship Type="http://schemas.openxmlformats.org/officeDocument/2006/relationships/hyperlink" Target="https://github.com/ethandeysel/Data-Risk-Compliance/blob/main/data/acts/GDPR/OJ_L_202302854_EN_TXT%20%28GDPR%20-%20Row%2011%29.pdf" TargetMode="External" Id="rId811"/><Relationship Type="http://schemas.openxmlformats.org/officeDocument/2006/relationships/hyperlink" Target="https://github.com/ethandeysel/Data-Risk-Compliance/blob/main/data/acts/GDPR/OJ_L_202302854_EN_TXT%20%28GDPR%20-%20Row%2011%29.pdf" TargetMode="External" Id="rId812"/><Relationship Type="http://schemas.openxmlformats.org/officeDocument/2006/relationships/hyperlink" Target="https://github.com/ethandeysel/Data-Risk-Compliance/blob/main/data/acts/GDPR/OJ_L_202302854_EN_TXT%20%28GDPR%20-%20Row%2011%29.pdf" TargetMode="External" Id="rId813"/><Relationship Type="http://schemas.openxmlformats.org/officeDocument/2006/relationships/hyperlink" Target="https://github.com/ethandeysel/Data-Risk-Compliance/blob/main/data/acts/GDPR/OJ_L_202302854_EN_TXT%20%28GDPR%20-%20Row%2011%29.pdf" TargetMode="External" Id="rId814"/><Relationship Type="http://schemas.openxmlformats.org/officeDocument/2006/relationships/hyperlink" Target="https://github.com/ethandeysel/Data-Risk-Compliance/blob/main/data/acts/GDPR/OJ_L_202302854_EN_TXT%20%28GDPR%20-%20Row%2011%29.pdf" TargetMode="External" Id="rId815"/><Relationship Type="http://schemas.openxmlformats.org/officeDocument/2006/relationships/hyperlink" Target="https://github.com/ethandeysel/Data-Risk-Compliance/blob/main/data/acts/GDPR/OJ_L_202302854_EN_TXT%20%28GDPR%20-%20Row%2011%29.pdf" TargetMode="External" Id="rId816"/><Relationship Type="http://schemas.openxmlformats.org/officeDocument/2006/relationships/hyperlink" Target="https://github.com/ethandeysel/Data-Risk-Compliance/blob/main/data/acts/GDPR/OJ_L_202302854_EN_TXT%20%28GDPR%20-%20Row%2011%29.pdf" TargetMode="External" Id="rId817"/><Relationship Type="http://schemas.openxmlformats.org/officeDocument/2006/relationships/hyperlink" Target="https://github.com/ethandeysel/Data-Risk-Compliance/blob/main/data/acts/GDPR/OJ_L_202302854_EN_TXT%20%28GDPR%20-%20Row%2011%29.pdf" TargetMode="External" Id="rId818"/><Relationship Type="http://schemas.openxmlformats.org/officeDocument/2006/relationships/hyperlink" Target="https://github.com/ethandeysel/Data-Risk-Compliance/blob/main/data/acts/GDPR/OJ_L_202302854_EN_TXT%20%28GDPR%20-%20Row%2011%29.pdf" TargetMode="External" Id="rId819"/><Relationship Type="http://schemas.openxmlformats.org/officeDocument/2006/relationships/hyperlink" Target="https://github.com/ethandeysel/Data-Risk-Compliance/blob/main/data/acts/GDPR/OJ_L_202302854_EN_TXT%20%28GDPR%20-%20Row%2011%29.pdf" TargetMode="External" Id="rId820"/><Relationship Type="http://schemas.openxmlformats.org/officeDocument/2006/relationships/hyperlink" Target="https://github.com/ethandeysel/Data-Risk-Compliance/blob/main/data/acts/GDPR/OJ_L_202302854_EN_TXT%20%28GDPR%20-%20Row%2011%29.pdf" TargetMode="External" Id="rId821"/><Relationship Type="http://schemas.openxmlformats.org/officeDocument/2006/relationships/hyperlink" Target="https://github.com/ethandeysel/Data-Risk-Compliance/blob/main/data/acts/GDPR/OJ_L_202302854_EN_TXT%20%28GDPR%20-%20Row%2011%29.pdf" TargetMode="External" Id="rId822"/><Relationship Type="http://schemas.openxmlformats.org/officeDocument/2006/relationships/hyperlink" Target="https://github.com/ethandeysel/Data-Risk-Compliance/blob/main/data/acts/GDPR/OJ_L_202302854_EN_TXT%20%28GDPR%20-%20Row%2011%29.pdf" TargetMode="External" Id="rId823"/><Relationship Type="http://schemas.openxmlformats.org/officeDocument/2006/relationships/hyperlink" Target="https://github.com/ethandeysel/Data-Risk-Compliance/blob/main/data/acts/GDPR/OJ_L_202302854_EN_TXT%20%28GDPR%20-%20Row%2011%29.pdf" TargetMode="External" Id="rId824"/><Relationship Type="http://schemas.openxmlformats.org/officeDocument/2006/relationships/hyperlink" Target="https://github.com/ethandeysel/Data-Risk-Compliance/blob/main/data/acts/GDPR/OJ_L_202302854_EN_TXT%20%28GDPR%20-%20Row%2011%29.pdf" TargetMode="External" Id="rId825"/><Relationship Type="http://schemas.openxmlformats.org/officeDocument/2006/relationships/hyperlink" Target="https://github.com/ethandeysel/Data-Risk-Compliance/blob/main/data/acts/GDPR/OJ_L_202302854_EN_TXT%20%28GDPR%20-%20Row%2011%29.pdf" TargetMode="External" Id="rId826"/><Relationship Type="http://schemas.openxmlformats.org/officeDocument/2006/relationships/hyperlink" Target="https://github.com/ethandeysel/Data-Risk-Compliance/blob/main/data/acts/GDPR/OJ_L_202302854_EN_TXT%20%28GDPR%20-%20Row%2011%29.pdf" TargetMode="External" Id="rId827"/><Relationship Type="http://schemas.openxmlformats.org/officeDocument/2006/relationships/hyperlink" Target="https://github.com/ethandeysel/Data-Risk-Compliance/blob/main/data/acts/GDPR/OJ_L_202302854_EN_TXT%20%28GDPR%20-%20Row%2011%29.pdf" TargetMode="External" Id="rId828"/><Relationship Type="http://schemas.openxmlformats.org/officeDocument/2006/relationships/hyperlink" Target="https://github.com/ethandeysel/Data-Risk-Compliance/blob/main/data/acts/GDPR/OJ_L_202302854_EN_TXT%20%28GDPR%20-%20Row%2011%29.pdf" TargetMode="External" Id="rId829"/><Relationship Type="http://schemas.openxmlformats.org/officeDocument/2006/relationships/hyperlink" Target="https://github.com/ethandeysel/Data-Risk-Compliance/blob/main/data/acts/GDPR/OJ_L_202302854_EN_TXT%20%28GDPR%20-%20Row%2011%29.pdf" TargetMode="External" Id="rId830"/><Relationship Type="http://schemas.openxmlformats.org/officeDocument/2006/relationships/hyperlink" Target="https://github.com/ethandeysel/Data-Risk-Compliance/blob/main/data/acts/GDPR/OJ_L_202302854_EN_TXT%20%28GDPR%20-%20Row%2011%29.pdf" TargetMode="External" Id="rId831"/><Relationship Type="http://schemas.openxmlformats.org/officeDocument/2006/relationships/hyperlink" Target="https://github.com/ethandeysel/Data-Risk-Compliance/blob/main/data/acts/GDPR/OJ_L_202302854_EN_TXT%20%28GDPR%20-%20Row%2011%29.pdf" TargetMode="External" Id="rId832"/><Relationship Type="http://schemas.openxmlformats.org/officeDocument/2006/relationships/hyperlink" Target="https://github.com/ethandeysel/Data-Risk-Compliance/blob/main/data/acts/GDPR/OJ_L_202302854_EN_TXT%20%28GDPR%20-%20Row%2011%29.pdf" TargetMode="External" Id="rId833"/><Relationship Type="http://schemas.openxmlformats.org/officeDocument/2006/relationships/hyperlink" Target="https://github.com/ethandeysel/Data-Risk-Compliance/blob/main/data/acts/GDPR/OJ_L_202302854_EN_TXT%20%28GDPR%20-%20Row%2011%29.pdf" TargetMode="External" Id="rId834"/><Relationship Type="http://schemas.openxmlformats.org/officeDocument/2006/relationships/hyperlink" Target="https://github.com/ethandeysel/Data-Risk-Compliance/blob/main/data/acts/GDPR/OJ_L_202302854_EN_TXT%20%28GDPR%20-%20Row%2011%29.pdf" TargetMode="External" Id="rId835"/><Relationship Type="http://schemas.openxmlformats.org/officeDocument/2006/relationships/hyperlink" Target="https://github.com/ethandeysel/Data-Risk-Compliance/blob/main/data/acts/GDPR/OJ_L_202302854_EN_TXT%20%28GDPR%20-%20Row%2011%29.pdf" TargetMode="External" Id="rId836"/><Relationship Type="http://schemas.openxmlformats.org/officeDocument/2006/relationships/hyperlink" Target="https://github.com/ethandeysel/Data-Risk-Compliance/blob/main/data/acts/GDPR/OJ_L_202302854_EN_TXT%20%28GDPR%20-%20Row%2011%29.pdf" TargetMode="External" Id="rId837"/><Relationship Type="http://schemas.openxmlformats.org/officeDocument/2006/relationships/hyperlink" Target="https://github.com/ethandeysel/Data-Risk-Compliance/blob/main/data/acts/GDPR/OJ_L_202302854_EN_TXT%20%28GDPR%20-%20Row%2011%29.pdf" TargetMode="External" Id="rId838"/><Relationship Type="http://schemas.openxmlformats.org/officeDocument/2006/relationships/hyperlink" Target="https://github.com/ethandeysel/Data-Risk-Compliance/blob/main/data/acts/GDPR/OJ_L_202302854_EN_TXT%20%28GDPR%20-%20Row%2011%29.pdf" TargetMode="External" Id="rId839"/><Relationship Type="http://schemas.openxmlformats.org/officeDocument/2006/relationships/hyperlink" Target="https://github.com/ethandeysel/Data-Risk-Compliance/blob/main/data/acts/GDPR/OJ_L_202302854_EN_TXT%20%28GDPR%20-%20Row%2011%29.pdf" TargetMode="External" Id="rId840"/><Relationship Type="http://schemas.openxmlformats.org/officeDocument/2006/relationships/hyperlink" Target="https://github.com/ethandeysel/Data-Risk-Compliance/blob/main/data/acts/GDPR/OJ_L_202302854_EN_TXT%20%28GDPR%20-%20Row%2011%29.pdf" TargetMode="External" Id="rId841"/><Relationship Type="http://schemas.openxmlformats.org/officeDocument/2006/relationships/hyperlink" Target="https://github.com/ethandeysel/Data-Risk-Compliance/blob/main/data/acts/GDPR/OJ_L_202302854_EN_TXT%20%28GDPR%20-%20Row%2011%29.pdf" TargetMode="External" Id="rId842"/><Relationship Type="http://schemas.openxmlformats.org/officeDocument/2006/relationships/hyperlink" Target="https://github.com/ethandeysel/Data-Risk-Compliance/blob/main/data/acts/GDPR/OJ_L_202302854_EN_TXT%20%28GDPR%20-%20Row%2011%29.pdf" TargetMode="External" Id="rId843"/><Relationship Type="http://schemas.openxmlformats.org/officeDocument/2006/relationships/hyperlink" Target="https://github.com/ethandeysel/Data-Risk-Compliance/blob/main/data/acts/GDPR/OJ_L_202302854_EN_TXT%20%28GDPR%20-%20Row%2011%29.pdf" TargetMode="External" Id="rId844"/><Relationship Type="http://schemas.openxmlformats.org/officeDocument/2006/relationships/hyperlink" Target="https://github.com/ethandeysel/Data-Risk-Compliance/blob/main/data/acts/GDPR/OJ_L_202302854_EN_TXT%20%28GDPR%20-%20Row%2011%29.pdf" TargetMode="External" Id="rId845"/><Relationship Type="http://schemas.openxmlformats.org/officeDocument/2006/relationships/hyperlink" Target="https://github.com/ethandeysel/Data-Risk-Compliance/blob/main/data/acts/GDPR/OJ_L_202302854_EN_TXT%20%28GDPR%20-%20Row%2011%29.pdf" TargetMode="External" Id="rId846"/><Relationship Type="http://schemas.openxmlformats.org/officeDocument/2006/relationships/hyperlink" Target="https://github.com/ethandeysel/Data-Risk-Compliance/blob/main/data/acts/GDPR/OJ_L_202302854_EN_TXT%20%28GDPR%20-%20Row%2011%29.pdf" TargetMode="External" Id="rId847"/><Relationship Type="http://schemas.openxmlformats.org/officeDocument/2006/relationships/hyperlink" Target="https://github.com/ethandeysel/Data-Risk-Compliance/blob/main/data/acts/GDPR/OJ_L_202302854_EN_TXT%20%28GDPR%20-%20Row%2011%29.pdf" TargetMode="External" Id="rId848"/><Relationship Type="http://schemas.openxmlformats.org/officeDocument/2006/relationships/hyperlink" Target="https://github.com/ethandeysel/Data-Risk-Compliance/blob/main/data/acts/GDPR/OJ_L_202302854_EN_TXT%20%28GDPR%20-%20Row%2011%29.pdf" TargetMode="External" Id="rId849"/><Relationship Type="http://schemas.openxmlformats.org/officeDocument/2006/relationships/hyperlink" Target="https://github.com/ethandeysel/Data-Risk-Compliance/blob/main/data/acts/GDPR/OJ_L_202302854_EN_TXT%20%28GDPR%20-%20Row%2011%29.pdf" TargetMode="External" Id="rId850"/><Relationship Type="http://schemas.openxmlformats.org/officeDocument/2006/relationships/hyperlink" Target="https://github.com/ethandeysel/Data-Risk-Compliance/blob/main/data/acts/GDPR/OJ_L_202302854_EN_TXT%20%28GDPR%20-%20Row%2011%29.pdf" TargetMode="External" Id="rId851"/><Relationship Type="http://schemas.openxmlformats.org/officeDocument/2006/relationships/hyperlink" Target="https://github.com/ethandeysel/Data-Risk-Compliance/blob/main/data/acts/GDPR/OJ_L_202302854_EN_TXT%20%28GDPR%20-%20Row%2011%29.pdf" TargetMode="External" Id="rId852"/><Relationship Type="http://schemas.openxmlformats.org/officeDocument/2006/relationships/hyperlink" Target="https://github.com/ethandeysel/Data-Risk-Compliance/blob/main/data/acts/GDPR/OJ_L_202302854_EN_TXT%20%28GDPR%20-%20Row%2011%29.pdf" TargetMode="External" Id="rId853"/><Relationship Type="http://schemas.openxmlformats.org/officeDocument/2006/relationships/hyperlink" Target="https://github.com/ethandeysel/Data-Risk-Compliance/blob/main/data/acts/GDPR/OJ_L_202302854_EN_TXT%20%28GDPR%20-%20Row%2011%29.pdf" TargetMode="External" Id="rId854"/><Relationship Type="http://schemas.openxmlformats.org/officeDocument/2006/relationships/hyperlink" Target="https://github.com/ethandeysel/Data-Risk-Compliance/blob/main/data/acts/GDPR/OJ_L_202302854_EN_TXT%20%28GDPR%20-%20Row%2011%29.pdf" TargetMode="External" Id="rId855"/><Relationship Type="http://schemas.openxmlformats.org/officeDocument/2006/relationships/hyperlink" Target="https://github.com/ethandeysel/Data-Risk-Compliance/blob/main/data/acts/GDPR/OJ_L_202302854_EN_TXT%20%28GDPR%20-%20Row%2011%29.pdf" TargetMode="External" Id="rId856"/><Relationship Type="http://schemas.openxmlformats.org/officeDocument/2006/relationships/hyperlink" Target="https://github.com/ethandeysel/Data-Risk-Compliance/blob/main/data/acts/GDPR/OJ_L_202302854_EN_TXT%20%28GDPR%20-%20Row%2011%29.pdf" TargetMode="External" Id="rId857"/><Relationship Type="http://schemas.openxmlformats.org/officeDocument/2006/relationships/hyperlink" Target="https://github.com/ethandeysel/Data-Risk-Compliance/blob/main/data/acts/GDPR/OJ_L_202302854_EN_TXT%20%28GDPR%20-%20Row%2011%29.pdf" TargetMode="External" Id="rId858"/><Relationship Type="http://schemas.openxmlformats.org/officeDocument/2006/relationships/hyperlink" Target="https://github.com/ethandeysel/Data-Risk-Compliance/blob/main/data/acts/GDPR/OJ_L_202302854_EN_TXT%20%28GDPR%20-%20Row%2011%29.pdf" TargetMode="External" Id="rId859"/><Relationship Type="http://schemas.openxmlformats.org/officeDocument/2006/relationships/hyperlink" Target="https://github.com/ethandeysel/Data-Risk-Compliance/blob/main/data/acts/GDPR/OJ_L_202302854_EN_TXT%20%28GDPR%20-%20Row%2011%29.pdf" TargetMode="External" Id="rId860"/><Relationship Type="http://schemas.openxmlformats.org/officeDocument/2006/relationships/hyperlink" Target="https://github.com/ethandeysel/Data-Risk-Compliance/blob/main/data/acts/GDPR/OJ_L_202302854_EN_TXT%20%28GDPR%20-%20Row%2011%29.pdf" TargetMode="External" Id="rId861"/><Relationship Type="http://schemas.openxmlformats.org/officeDocument/2006/relationships/hyperlink" Target="https://github.com/ethandeysel/Data-Risk-Compliance/blob/main/data/acts/GDPR/OJ_L_202302854_EN_TXT%20%28GDPR%20-%20Row%2011%29.pdf" TargetMode="External" Id="rId862"/><Relationship Type="http://schemas.openxmlformats.org/officeDocument/2006/relationships/hyperlink" Target="https://github.com/ethandeysel/Data-Risk-Compliance/blob/main/data/acts/GDPR/OJ_L_202302854_EN_TXT%20%28GDPR%20-%20Row%2011%29.pdf" TargetMode="External" Id="rId863"/><Relationship Type="http://schemas.openxmlformats.org/officeDocument/2006/relationships/hyperlink" Target="https://github.com/ethandeysel/Data-Risk-Compliance/blob/main/data/acts/GDPR/OJ_L_202302854_EN_TXT%20%28GDPR%20-%20Row%2011%29.pdf" TargetMode="External" Id="rId864"/><Relationship Type="http://schemas.openxmlformats.org/officeDocument/2006/relationships/hyperlink" Target="https://github.com/ethandeysel/Data-Risk-Compliance/blob/main/data/acts/GDPR/OJ_L_202302854_EN_TXT%20%28GDPR%20-%20Row%2011%29.pdf" TargetMode="External" Id="rId865"/><Relationship Type="http://schemas.openxmlformats.org/officeDocument/2006/relationships/hyperlink" Target="https://github.com/ethandeysel/Data-Risk-Compliance/blob/main/data/acts/GDPR/OJ_L_202302854_EN_TXT%20%28GDPR%20-%20Row%2011%29.pdf" TargetMode="External" Id="rId866"/><Relationship Type="http://schemas.openxmlformats.org/officeDocument/2006/relationships/hyperlink" Target="https://github.com/ethandeysel/Data-Risk-Compliance/blob/main/data/acts/GDPR/OJ_L_202302854_EN_TXT%20%28GDPR%20-%20Row%2011%29.pdf" TargetMode="External" Id="rId867"/><Relationship Type="http://schemas.openxmlformats.org/officeDocument/2006/relationships/hyperlink" Target="https://github.com/ethandeysel/Data-Risk-Compliance/blob/main/data/acts/GDPR/OJ_L_202302854_EN_TXT%20%28GDPR%20-%20Row%2011%29.pdf" TargetMode="External" Id="rId868"/><Relationship Type="http://schemas.openxmlformats.org/officeDocument/2006/relationships/hyperlink" Target="https://github.com/ethandeysel/Data-Risk-Compliance/blob/main/data/acts/GDPR/OJ_L_202302854_EN_TXT%20%28GDPR%20-%20Row%2011%29.pdf" TargetMode="External" Id="rId869"/><Relationship Type="http://schemas.openxmlformats.org/officeDocument/2006/relationships/hyperlink" Target="https://github.com/ethandeysel/Data-Risk-Compliance/blob/main/data/acts/GDPR/OJ_L_202302854_EN_TXT%20%28GDPR%20-%20Row%2011%29.pdf" TargetMode="External" Id="rId870"/><Relationship Type="http://schemas.openxmlformats.org/officeDocument/2006/relationships/hyperlink" Target="https://github.com/ethandeysel/Data-Risk-Compliance/blob/main/data/acts/GDPR/OJ_L_202302854_EN_TXT%20%28GDPR%20-%20Row%2011%29.pdf" TargetMode="External" Id="rId871"/><Relationship Type="http://schemas.openxmlformats.org/officeDocument/2006/relationships/hyperlink" Target="https://github.com/ethandeysel/Data-Risk-Compliance/blob/main/data/acts/GDPR/OJ_L_202302854_EN_TXT%20%28GDPR%20-%20Row%2011%29.pdf" TargetMode="External" Id="rId872"/><Relationship Type="http://schemas.openxmlformats.org/officeDocument/2006/relationships/hyperlink" Target="https://github.com/ethandeysel/Data-Risk-Compliance/blob/main/data/acts/GDPR/OJ_L_202302854_EN_TXT%20%28GDPR%20-%20Row%2011%29.pdf" TargetMode="External" Id="rId873"/><Relationship Type="http://schemas.openxmlformats.org/officeDocument/2006/relationships/hyperlink" Target="https://github.com/ethandeysel/Data-Risk-Compliance/blob/main/data/acts/GDPR/OJ_L_202302854_EN_TXT%20%28GDPR%20-%20Row%2011%29.pdf" TargetMode="External" Id="rId874"/><Relationship Type="http://schemas.openxmlformats.org/officeDocument/2006/relationships/hyperlink" Target="https://github.com/ethandeysel/Data-Risk-Compliance/blob/main/data/acts/GDPR/OJ_L_202302854_EN_TXT%20%28GDPR%20-%20Row%2011%29.pdf" TargetMode="External" Id="rId875"/><Relationship Type="http://schemas.openxmlformats.org/officeDocument/2006/relationships/hyperlink" Target="https://github.com/ethandeysel/Data-Risk-Compliance/blob/main/data/acts/GDPR/OJ_L_202302854_EN_TXT%20%28GDPR%20-%20Row%2011%29.pdf" TargetMode="External" Id="rId876"/><Relationship Type="http://schemas.openxmlformats.org/officeDocument/2006/relationships/hyperlink" Target="https://github.com/ethandeysel/Data-Risk-Compliance/blob/main/data/acts/GDPR/OJ_L_202302854_EN_TXT%20%28GDPR%20-%20Row%2011%29.pdf" TargetMode="External" Id="rId877"/><Relationship Type="http://schemas.openxmlformats.org/officeDocument/2006/relationships/hyperlink" Target="https://github.com/ethandeysel/Data-Risk-Compliance/blob/main/data/acts/GDPR/OJ_L_202302854_EN_TXT%20%28GDPR%20-%20Row%2011%29.pdf" TargetMode="External" Id="rId878"/><Relationship Type="http://schemas.openxmlformats.org/officeDocument/2006/relationships/hyperlink" Target="https://github.com/ethandeysel/Data-Risk-Compliance/blob/main/data/acts/GDPR/OJ_L_202302854_EN_TXT%20%28GDPR%20-%20Row%2011%29.pdf" TargetMode="External" Id="rId879"/><Relationship Type="http://schemas.openxmlformats.org/officeDocument/2006/relationships/hyperlink" Target="https://github.com/ethandeysel/Data-Risk-Compliance/blob/main/data/acts/GDPR/OJ_L_202302854_EN_TXT%20%28GDPR%20-%20Row%2011%29.pdf" TargetMode="External" Id="rId880"/><Relationship Type="http://schemas.openxmlformats.org/officeDocument/2006/relationships/hyperlink" Target="https://github.com/ethandeysel/Data-Risk-Compliance/blob/main/data/acts/GDPR/OJ_L_202302854_EN_TXT%20%28GDPR%20-%20Row%2011%29.pdf" TargetMode="External" Id="rId881"/><Relationship Type="http://schemas.openxmlformats.org/officeDocument/2006/relationships/hyperlink" Target="https://github.com/ethandeysel/Data-Risk-Compliance/blob/main/data/acts/GDPR/OJ_L_202302854_EN_TXT%20%28GDPR%20-%20Row%2011%29.pdf" TargetMode="External" Id="rId882"/><Relationship Type="http://schemas.openxmlformats.org/officeDocument/2006/relationships/hyperlink" Target="https://github.com/ethandeysel/Data-Risk-Compliance/blob/main/data/acts/GDPR/OJ_L_202302854_EN_TXT%20%28GDPR%20-%20Row%2011%29.pdf" TargetMode="External" Id="rId883"/><Relationship Type="http://schemas.openxmlformats.org/officeDocument/2006/relationships/hyperlink" Target="https://github.com/ethandeysel/Data-Risk-Compliance/blob/main/data/acts/GDPR/OJ_L_202302854_EN_TXT%20%28GDPR%20-%20Row%2011%29.pdf" TargetMode="External" Id="rId884"/><Relationship Type="http://schemas.openxmlformats.org/officeDocument/2006/relationships/hyperlink" Target="https://github.com/ethandeysel/Data-Risk-Compliance/blob/main/data/acts/GDPR/OJ_L_202302854_EN_TXT%20%28GDPR%20-%20Row%2011%29.pdf" TargetMode="External" Id="rId885"/><Relationship Type="http://schemas.openxmlformats.org/officeDocument/2006/relationships/hyperlink" Target="https://github.com/ethandeysel/Data-Risk-Compliance/blob/main/data/acts/GDPR/OJ_L_202302854_EN_TXT%20%28GDPR%20-%20Row%2011%29.pdf" TargetMode="External" Id="rId886"/><Relationship Type="http://schemas.openxmlformats.org/officeDocument/2006/relationships/hyperlink" Target="https://github.com/ethandeysel/Data-Risk-Compliance/blob/main/data/acts/GDPR/OJ_L_202302854_EN_TXT%20%28GDPR%20-%20Row%2011%29.pdf" TargetMode="External" Id="rId887"/><Relationship Type="http://schemas.openxmlformats.org/officeDocument/2006/relationships/hyperlink" Target="https://github.com/ethandeysel/Data-Risk-Compliance/blob/main/data/acts/GDPR/OJ_L_202302854_EN_TXT%20%28GDPR%20-%20Row%2011%29.pdf" TargetMode="External" Id="rId888"/><Relationship Type="http://schemas.openxmlformats.org/officeDocument/2006/relationships/hyperlink" Target="https://github.com/ethandeysel/Data-Risk-Compliance/blob/main/data/acts/GDPR/OJ_L_202302854_EN_TXT%20%28GDPR%20-%20Row%2011%29.pdf" TargetMode="External" Id="rId889"/><Relationship Type="http://schemas.openxmlformats.org/officeDocument/2006/relationships/hyperlink" Target="https://github.com/ethandeysel/Data-Risk-Compliance/blob/main/data/acts/GDPR/OJ_L_202302854_EN_TXT%20%28GDPR%20-%20Row%2011%29.pdf" TargetMode="External" Id="rId890"/><Relationship Type="http://schemas.openxmlformats.org/officeDocument/2006/relationships/hyperlink" Target="https://github.com/ethandeysel/Data-Risk-Compliance/blob/main/data/acts/GDPR/OJ_L_202302854_EN_TXT%20%28GDPR%20-%20Row%2011%29.pdf" TargetMode="External" Id="rId891"/><Relationship Type="http://schemas.openxmlformats.org/officeDocument/2006/relationships/hyperlink" Target="https://github.com/ethandeysel/Data-Risk-Compliance/blob/main/data/acts/GDPR/OJ_L_202302854_EN_TXT%20%28GDPR%20-%20Row%2011%29.pdf" TargetMode="External" Id="rId892"/><Relationship Type="http://schemas.openxmlformats.org/officeDocument/2006/relationships/hyperlink" Target="https://github.com/ethandeysel/Data-Risk-Compliance/blob/main/data/acts/GDPR/OJ_L_202302854_EN_TXT%20%28GDPR%20-%20Row%2011%29.pdf" TargetMode="External" Id="rId893"/><Relationship Type="http://schemas.openxmlformats.org/officeDocument/2006/relationships/hyperlink" Target="https://github.com/ethandeysel/Data-Risk-Compliance/blob/main/data/acts/GDPR/OJ_L_202302854_EN_TXT%20%28GDPR%20-%20Row%2011%29.pdf" TargetMode="External" Id="rId894"/><Relationship Type="http://schemas.openxmlformats.org/officeDocument/2006/relationships/hyperlink" Target="https://github.com/ethandeysel/Data-Risk-Compliance/blob/main/data/acts/GDPR/OJ_L_202302854_EN_TXT%20%28GDPR%20-%20Row%2011%29.pdf" TargetMode="External" Id="rId895"/><Relationship Type="http://schemas.openxmlformats.org/officeDocument/2006/relationships/hyperlink" Target="https://github.com/ethandeysel/Data-Risk-Compliance/blob/main/data/acts/GDPR/OJ_L_202302854_EN_TXT%20%28GDPR%20-%20Row%2011%29.pdf" TargetMode="External" Id="rId896"/><Relationship Type="http://schemas.openxmlformats.org/officeDocument/2006/relationships/hyperlink" Target="https://github.com/ethandeysel/Data-Risk-Compliance/blob/main/data/acts/GDPR/OJ_L_202302854_EN_TXT%20%28GDPR%20-%20Row%2011%29.pdf" TargetMode="External" Id="rId897"/><Relationship Type="http://schemas.openxmlformats.org/officeDocument/2006/relationships/hyperlink" Target="https://github.com/ethandeysel/Data-Risk-Compliance/blob/main/data/acts/GDPR/OJ_L_202302854_EN_TXT%20%28GDPR%20-%20Row%2011%29.pdf" TargetMode="External" Id="rId898"/><Relationship Type="http://schemas.openxmlformats.org/officeDocument/2006/relationships/hyperlink" Target="https://github.com/ethandeysel/Data-Risk-Compliance/blob/main/data/acts/GDPR/OJ_L_202302854_EN_TXT%20%28GDPR%20-%20Row%2011%29.pdf" TargetMode="External" Id="rId899"/><Relationship Type="http://schemas.openxmlformats.org/officeDocument/2006/relationships/hyperlink" Target="https://github.com/ethandeysel/Data-Risk-Compliance/blob/main/data/acts/GDPR/OJ_L_202302854_EN_TXT%20%28GDPR%20-%20Row%2011%29.pdf" TargetMode="External" Id="rId900"/><Relationship Type="http://schemas.openxmlformats.org/officeDocument/2006/relationships/hyperlink" Target="https://github.com/ethandeysel/Data-Risk-Compliance/blob/main/data/acts/GDPR/OJ_L_202302854_EN_TXT%20%28GDPR%20-%20Row%2011%29.pdf" TargetMode="External" Id="rId901"/><Relationship Type="http://schemas.openxmlformats.org/officeDocument/2006/relationships/hyperlink" Target="https://github.com/ethandeysel/Data-Risk-Compliance/blob/main/data/acts/GDPR/OJ_L_202302854_EN_TXT%20%28GDPR%20-%20Row%2011%29.pdf" TargetMode="External" Id="rId902"/><Relationship Type="http://schemas.openxmlformats.org/officeDocument/2006/relationships/hyperlink" Target="https://github.com/ethandeysel/Data-Risk-Compliance/blob/main/data/acts/GDPR/OJ_L_202401689_EN_TXT%20%28GDPR%20-%20Row%209%29.pdf" TargetMode="External" Id="rId903"/><Relationship Type="http://schemas.openxmlformats.org/officeDocument/2006/relationships/hyperlink" Target="https://github.com/ethandeysel/Data-Risk-Compliance/blob/main/data/acts/GDPR/OJ_L_202401689_EN_TXT%20%28GDPR%20-%20Row%209%29.pdf" TargetMode="External" Id="rId904"/><Relationship Type="http://schemas.openxmlformats.org/officeDocument/2006/relationships/hyperlink" Target="https://github.com/ethandeysel/Data-Risk-Compliance/blob/main/data/acts/GDPR/OJ_L_202401689_EN_TXT%20%28GDPR%20-%20Row%209%29.pdf" TargetMode="External" Id="rId905"/><Relationship Type="http://schemas.openxmlformats.org/officeDocument/2006/relationships/hyperlink" Target="https://github.com/ethandeysel/Data-Risk-Compliance/blob/main/data/acts/GDPR/OJ_L_202401689_EN_TXT%20%28GDPR%20-%20Row%209%29.pdf" TargetMode="External" Id="rId906"/><Relationship Type="http://schemas.openxmlformats.org/officeDocument/2006/relationships/hyperlink" Target="https://github.com/ethandeysel/Data-Risk-Compliance/blob/main/data/acts/GDPR/OJ_L_202401689_EN_TXT%20%28GDPR%20-%20Row%209%29.pdf" TargetMode="External" Id="rId907"/><Relationship Type="http://schemas.openxmlformats.org/officeDocument/2006/relationships/hyperlink" Target="https://github.com/ethandeysel/Data-Risk-Compliance/blob/main/data/acts/GDPR/OJ_L_202401689_EN_TXT%20%28GDPR%20-%20Row%209%29.pdf" TargetMode="External" Id="rId908"/><Relationship Type="http://schemas.openxmlformats.org/officeDocument/2006/relationships/hyperlink" Target="https://github.com/ethandeysel/Data-Risk-Compliance/blob/main/data/acts/GDPR/OJ_L_202401689_EN_TXT%20%28GDPR%20-%20Row%209%29.pdf" TargetMode="External" Id="rId909"/><Relationship Type="http://schemas.openxmlformats.org/officeDocument/2006/relationships/hyperlink" Target="https://github.com/ethandeysel/Data-Risk-Compliance/blob/main/data/acts/GDPR/OJ_L_202401689_EN_TXT%20%28GDPR%20-%20Row%209%29.pdf" TargetMode="External" Id="rId910"/><Relationship Type="http://schemas.openxmlformats.org/officeDocument/2006/relationships/hyperlink" Target="https://github.com/ethandeysel/Data-Risk-Compliance/blob/main/data/acts/GDPR/OJ_L_202401689_EN_TXT%20%28GDPR%20-%20Row%209%29.pdf" TargetMode="External" Id="rId911"/><Relationship Type="http://schemas.openxmlformats.org/officeDocument/2006/relationships/hyperlink" Target="https://github.com/ethandeysel/Data-Risk-Compliance/blob/main/data/acts/GDPR/OJ_L_202401689_EN_TXT%20%28GDPR%20-%20Row%209%29.pdf" TargetMode="External" Id="rId912"/><Relationship Type="http://schemas.openxmlformats.org/officeDocument/2006/relationships/hyperlink" Target="https://github.com/ethandeysel/Data-Risk-Compliance/blob/main/data/acts/GDPR/OJ_L_202401689_EN_TXT%20%28GDPR%20-%20Row%209%29.pdf" TargetMode="External" Id="rId913"/><Relationship Type="http://schemas.openxmlformats.org/officeDocument/2006/relationships/hyperlink" Target="https://github.com/ethandeysel/Data-Risk-Compliance/blob/main/data/acts/GDPR/OJ_L_202401689_EN_TXT%20%28GDPR%20-%20Row%209%29.pdf" TargetMode="External" Id="rId914"/><Relationship Type="http://schemas.openxmlformats.org/officeDocument/2006/relationships/hyperlink" Target="https://github.com/ethandeysel/Data-Risk-Compliance/blob/main/data/acts/GDPR/OJ_L_202401689_EN_TXT%20%28GDPR%20-%20Row%209%29.pdf" TargetMode="External" Id="rId915"/><Relationship Type="http://schemas.openxmlformats.org/officeDocument/2006/relationships/hyperlink" Target="https://github.com/ethandeysel/Data-Risk-Compliance/blob/main/data/acts/GDPR/OJ_L_202401689_EN_TXT%20%28GDPR%20-%20Row%209%29.pdf" TargetMode="External" Id="rId916"/><Relationship Type="http://schemas.openxmlformats.org/officeDocument/2006/relationships/hyperlink" Target="https://github.com/ethandeysel/Data-Risk-Compliance/blob/main/data/acts/GDPR/OJ_L_202401689_EN_TXT%20%28GDPR%20-%20Row%209%29.pdf" TargetMode="External" Id="rId917"/><Relationship Type="http://schemas.openxmlformats.org/officeDocument/2006/relationships/hyperlink" Target="https://github.com/ethandeysel/Data-Risk-Compliance/blob/main/data/acts/GDPR/OJ_L_202401689_EN_TXT%20%28GDPR%20-%20Row%209%29.pdf" TargetMode="External" Id="rId918"/><Relationship Type="http://schemas.openxmlformats.org/officeDocument/2006/relationships/hyperlink" Target="https://github.com/ethandeysel/Data-Risk-Compliance/blob/main/data/acts/GDPR/OJ_L_202401689_EN_TXT%20%28GDPR%20-%20Row%209%29.pdf" TargetMode="External" Id="rId919"/><Relationship Type="http://schemas.openxmlformats.org/officeDocument/2006/relationships/hyperlink" Target="https://github.com/ethandeysel/Data-Risk-Compliance/blob/main/data/acts/GDPR/OJ_L_202401689_EN_TXT%20%28GDPR%20-%20Row%209%29.pdf" TargetMode="External" Id="rId920"/><Relationship Type="http://schemas.openxmlformats.org/officeDocument/2006/relationships/hyperlink" Target="https://github.com/ethandeysel/Data-Risk-Compliance/blob/main/data/acts/GDPR/OJ_L_202401689_EN_TXT%20%28GDPR%20-%20Row%209%29.pdf" TargetMode="External" Id="rId921"/><Relationship Type="http://schemas.openxmlformats.org/officeDocument/2006/relationships/hyperlink" Target="https://github.com/ethandeysel/Data-Risk-Compliance/blob/main/data/acts/GDPR/OJ_L_202401689_EN_TXT%20%28GDPR%20-%20Row%209%29.pdf" TargetMode="External" Id="rId922"/><Relationship Type="http://schemas.openxmlformats.org/officeDocument/2006/relationships/hyperlink" Target="https://github.com/ethandeysel/Data-Risk-Compliance/blob/main/data/acts/GDPR/OJ_L_202401689_EN_TXT%20%28GDPR%20-%20Row%209%29.pdf" TargetMode="External" Id="rId923"/><Relationship Type="http://schemas.openxmlformats.org/officeDocument/2006/relationships/hyperlink" Target="https://github.com/ethandeysel/Data-Risk-Compliance/blob/main/data/acts/GDPR/OJ_L_202401689_EN_TXT%20%28GDPR%20-%20Row%209%29.pdf" TargetMode="External" Id="rId924"/><Relationship Type="http://schemas.openxmlformats.org/officeDocument/2006/relationships/hyperlink" Target="https://github.com/ethandeysel/Data-Risk-Compliance/blob/main/data/acts/GDPR/OJ_L_202401689_EN_TXT%20%28GDPR%20-%20Row%209%29.pdf" TargetMode="External" Id="rId925"/><Relationship Type="http://schemas.openxmlformats.org/officeDocument/2006/relationships/hyperlink" Target="https://github.com/ethandeysel/Data-Risk-Compliance/blob/main/data/acts/GDPR/OJ_L_202401689_EN_TXT%20%28GDPR%20-%20Row%209%29.pdf" TargetMode="External" Id="rId926"/><Relationship Type="http://schemas.openxmlformats.org/officeDocument/2006/relationships/hyperlink" Target="https://github.com/ethandeysel/Data-Risk-Compliance/blob/main/data/acts/GDPR/OJ_L_202401689_EN_TXT%20%28GDPR%20-%20Row%209%29.pdf" TargetMode="External" Id="rId927"/><Relationship Type="http://schemas.openxmlformats.org/officeDocument/2006/relationships/hyperlink" Target="https://github.com/ethandeysel/Data-Risk-Compliance/blob/main/data/acts/GDPR/OJ_L_202401689_EN_TXT%20%28GDPR%20-%20Row%209%29.pdf" TargetMode="External" Id="rId928"/><Relationship Type="http://schemas.openxmlformats.org/officeDocument/2006/relationships/hyperlink" Target="https://github.com/ethandeysel/Data-Risk-Compliance/blob/main/data/acts/GDPR/OJ_L_202401689_EN_TXT%20%28GDPR%20-%20Row%209%29.pdf" TargetMode="External" Id="rId929"/><Relationship Type="http://schemas.openxmlformats.org/officeDocument/2006/relationships/hyperlink" Target="https://github.com/ethandeysel/Data-Risk-Compliance/blob/main/data/acts/GDPR/OJ_L_202401689_EN_TXT%20%28GDPR%20-%20Row%209%29.pdf" TargetMode="External" Id="rId930"/><Relationship Type="http://schemas.openxmlformats.org/officeDocument/2006/relationships/hyperlink" Target="https://github.com/ethandeysel/Data-Risk-Compliance/blob/main/data/acts/GDPR/OJ_L_202401689_EN_TXT%20%28GDPR%20-%20Row%209%29.pdf" TargetMode="External" Id="rId931"/><Relationship Type="http://schemas.openxmlformats.org/officeDocument/2006/relationships/hyperlink" Target="https://github.com/ethandeysel/Data-Risk-Compliance/blob/main/data/acts/GDPR/OJ_L_202401689_EN_TXT%20%28GDPR%20-%20Row%209%29.pdf" TargetMode="External" Id="rId932"/><Relationship Type="http://schemas.openxmlformats.org/officeDocument/2006/relationships/hyperlink" Target="https://github.com/ethandeysel/Data-Risk-Compliance/blob/main/data/acts/GDPR/OJ_L_202401689_EN_TXT%20%28GDPR%20-%20Row%209%29.pdf" TargetMode="External" Id="rId933"/><Relationship Type="http://schemas.openxmlformats.org/officeDocument/2006/relationships/hyperlink" Target="https://github.com/ethandeysel/Data-Risk-Compliance/blob/main/data/acts/GDPR/OJ_L_202401689_EN_TXT%20%28GDPR%20-%20Row%209%29.pdf" TargetMode="External" Id="rId934"/><Relationship Type="http://schemas.openxmlformats.org/officeDocument/2006/relationships/hyperlink" Target="https://github.com/ethandeysel/Data-Risk-Compliance/blob/main/data/acts/GDPR/OJ_L_202401689_EN_TXT%20%28GDPR%20-%20Row%209%29.pdf" TargetMode="External" Id="rId935"/><Relationship Type="http://schemas.openxmlformats.org/officeDocument/2006/relationships/hyperlink" Target="https://github.com/ethandeysel/Data-Risk-Compliance/blob/main/data/acts/GDPR/OJ_L_202401689_EN_TXT%20%28GDPR%20-%20Row%209%29.pdf" TargetMode="External" Id="rId936"/><Relationship Type="http://schemas.openxmlformats.org/officeDocument/2006/relationships/hyperlink" Target="https://github.com/ethandeysel/Data-Risk-Compliance/blob/main/data/acts/GDPR/OJ_L_202401689_EN_TXT%20%28GDPR%20-%20Row%209%29.pdf" TargetMode="External" Id="rId937"/><Relationship Type="http://schemas.openxmlformats.org/officeDocument/2006/relationships/hyperlink" Target="https://github.com/ethandeysel/Data-Risk-Compliance/blob/main/data/acts/GDPR/OJ_L_202401689_EN_TXT%20%28GDPR%20-%20Row%209%29.pdf" TargetMode="External" Id="rId938"/><Relationship Type="http://schemas.openxmlformats.org/officeDocument/2006/relationships/hyperlink" Target="https://github.com/ethandeysel/Data-Risk-Compliance/blob/main/data/acts/GDPR/OJ_L_202401689_EN_TXT%20%28GDPR%20-%20Row%209%29.pdf" TargetMode="External" Id="rId939"/><Relationship Type="http://schemas.openxmlformats.org/officeDocument/2006/relationships/hyperlink" Target="https://github.com/ethandeysel/Data-Risk-Compliance/blob/main/data/acts/GDPR/OJ_L_202401689_EN_TXT%20%28GDPR%20-%20Row%209%29.pdf" TargetMode="External" Id="rId940"/><Relationship Type="http://schemas.openxmlformats.org/officeDocument/2006/relationships/hyperlink" Target="https://github.com/ethandeysel/Data-Risk-Compliance/blob/main/data/acts/GDPR/OJ_L_202401689_EN_TXT%20%28GDPR%20-%20Row%209%29.pdf" TargetMode="External" Id="rId941"/><Relationship Type="http://schemas.openxmlformats.org/officeDocument/2006/relationships/hyperlink" Target="https://github.com/ethandeysel/Data-Risk-Compliance/blob/main/data/acts/GDPR/OJ_L_202401689_EN_TXT%20%28GDPR%20-%20Row%209%29.pdf" TargetMode="External" Id="rId942"/><Relationship Type="http://schemas.openxmlformats.org/officeDocument/2006/relationships/hyperlink" Target="https://github.com/ethandeysel/Data-Risk-Compliance/blob/main/data/acts/GDPR/OJ_L_202401689_EN_TXT%20%28GDPR%20-%20Row%209%29.pdf" TargetMode="External" Id="rId943"/><Relationship Type="http://schemas.openxmlformats.org/officeDocument/2006/relationships/hyperlink" Target="https://github.com/ethandeysel/Data-Risk-Compliance/blob/main/data/acts/GDPR/OJ_L_202401689_EN_TXT%20%28GDPR%20-%20Row%209%29.pdf" TargetMode="External" Id="rId944"/><Relationship Type="http://schemas.openxmlformats.org/officeDocument/2006/relationships/hyperlink" Target="https://github.com/ethandeysel/Data-Risk-Compliance/blob/main/data/acts/GDPR/OJ_L_202401689_EN_TXT%20%28GDPR%20-%20Row%209%29.pdf" TargetMode="External" Id="rId945"/><Relationship Type="http://schemas.openxmlformats.org/officeDocument/2006/relationships/hyperlink" Target="https://github.com/ethandeysel/Data-Risk-Compliance/blob/main/data/acts/GDPR/OJ_L_202401689_EN_TXT%20%28GDPR%20-%20Row%209%29.pdf" TargetMode="External" Id="rId946"/><Relationship Type="http://schemas.openxmlformats.org/officeDocument/2006/relationships/hyperlink" Target="https://github.com/ethandeysel/Data-Risk-Compliance/blob/main/data/acts/GDPR/OJ_L_202401689_EN_TXT%20%28GDPR%20-%20Row%209%29.pdf" TargetMode="External" Id="rId947"/><Relationship Type="http://schemas.openxmlformats.org/officeDocument/2006/relationships/hyperlink" Target="https://github.com/ethandeysel/Data-Risk-Compliance/blob/main/data/acts/GDPR/OJ_L_202401689_EN_TXT%20%28GDPR%20-%20Row%209%29.pdf" TargetMode="External" Id="rId948"/><Relationship Type="http://schemas.openxmlformats.org/officeDocument/2006/relationships/hyperlink" Target="https://github.com/ethandeysel/Data-Risk-Compliance/blob/main/data/acts/GDPR/OJ_L_202401689_EN_TXT%20%28GDPR%20-%20Row%209%29.pdf" TargetMode="External" Id="rId949"/><Relationship Type="http://schemas.openxmlformats.org/officeDocument/2006/relationships/hyperlink" Target="https://github.com/ethandeysel/Data-Risk-Compliance/blob/main/data/acts/GDPR/OJ_L_202401689_EN_TXT%20%28GDPR%20-%20Row%209%29.pdf" TargetMode="External" Id="rId950"/><Relationship Type="http://schemas.openxmlformats.org/officeDocument/2006/relationships/hyperlink" Target="https://github.com/ethandeysel/Data-Risk-Compliance/blob/main/data/acts/GDPR/OJ_L_202401689_EN_TXT%20%28GDPR%20-%20Row%209%29.pdf" TargetMode="External" Id="rId951"/><Relationship Type="http://schemas.openxmlformats.org/officeDocument/2006/relationships/hyperlink" Target="https://github.com/ethandeysel/Data-Risk-Compliance/blob/main/data/acts/GDPR/OJ_L_202401689_EN_TXT%20%28GDPR%20-%20Row%209%29.pdf" TargetMode="External" Id="rId952"/><Relationship Type="http://schemas.openxmlformats.org/officeDocument/2006/relationships/hyperlink" Target="https://github.com/ethandeysel/Data-Risk-Compliance/blob/main/data/acts/GDPR/OJ_L_202401689_EN_TXT%20%28GDPR%20-%20Row%209%29.pdf" TargetMode="External" Id="rId953"/><Relationship Type="http://schemas.openxmlformats.org/officeDocument/2006/relationships/hyperlink" Target="https://github.com/ethandeysel/Data-Risk-Compliance/blob/main/data/acts/GDPR/OJ_L_202401689_EN_TXT%20%28GDPR%20-%20Row%209%29.pdf" TargetMode="External" Id="rId954"/><Relationship Type="http://schemas.openxmlformats.org/officeDocument/2006/relationships/hyperlink" Target="https://github.com/ethandeysel/Data-Risk-Compliance/blob/main/data/acts/GDPR/OJ_L_202401689_EN_TXT%20%28GDPR%20-%20Row%209%29.pdf" TargetMode="External" Id="rId955"/><Relationship Type="http://schemas.openxmlformats.org/officeDocument/2006/relationships/hyperlink" Target="https://github.com/ethandeysel/Data-Risk-Compliance/blob/main/data/acts/GDPR/OJ_L_202401689_EN_TXT%20%28GDPR%20-%20Row%209%29.pdf" TargetMode="External" Id="rId956"/><Relationship Type="http://schemas.openxmlformats.org/officeDocument/2006/relationships/hyperlink" Target="https://github.com/ethandeysel/Data-Risk-Compliance/blob/main/data/acts/GDPR/OJ_L_202401689_EN_TXT%20%28GDPR%20-%20Row%209%29.pdf" TargetMode="External" Id="rId957"/><Relationship Type="http://schemas.openxmlformats.org/officeDocument/2006/relationships/hyperlink" Target="https://github.com/ethandeysel/Data-Risk-Compliance/blob/main/data/acts/GDPR/OJ_L_202401689_EN_TXT%20%28GDPR%20-%20Row%209%29.pdf" TargetMode="External" Id="rId958"/><Relationship Type="http://schemas.openxmlformats.org/officeDocument/2006/relationships/hyperlink" Target="https://github.com/ethandeysel/Data-Risk-Compliance/blob/main/data/acts/GDPR/OJ_L_202401689_EN_TXT%20%28GDPR%20-%20Row%209%29.pdf" TargetMode="External" Id="rId959"/><Relationship Type="http://schemas.openxmlformats.org/officeDocument/2006/relationships/hyperlink" Target="https://github.com/ethandeysel/Data-Risk-Compliance/blob/main/data/acts/GDPR/OJ_L_202401689_EN_TXT%20%28GDPR%20-%20Row%209%29.pdf" TargetMode="External" Id="rId960"/><Relationship Type="http://schemas.openxmlformats.org/officeDocument/2006/relationships/hyperlink" Target="https://github.com/ethandeysel/Data-Risk-Compliance/blob/main/data/acts/GDPR/OJ_L_202401689_EN_TXT%20%28GDPR%20-%20Row%209%29.pdf" TargetMode="External" Id="rId961"/><Relationship Type="http://schemas.openxmlformats.org/officeDocument/2006/relationships/hyperlink" Target="https://github.com/ethandeysel/Data-Risk-Compliance/blob/main/data/acts/GDPR/OJ_L_202401689_EN_TXT%20%28GDPR%20-%20Row%209%29.pdf" TargetMode="External" Id="rId962"/><Relationship Type="http://schemas.openxmlformats.org/officeDocument/2006/relationships/hyperlink" Target="https://github.com/ethandeysel/Data-Risk-Compliance/blob/main/data/acts/GDPR/OJ_L_202401689_EN_TXT%20%28GDPR%20-%20Row%209%29.pdf" TargetMode="External" Id="rId963"/><Relationship Type="http://schemas.openxmlformats.org/officeDocument/2006/relationships/hyperlink" Target="https://github.com/ethandeysel/Data-Risk-Compliance/blob/main/data/acts/GDPR/OJ_L_202401689_EN_TXT%20%28GDPR%20-%20Row%209%29.pdf" TargetMode="External" Id="rId964"/><Relationship Type="http://schemas.openxmlformats.org/officeDocument/2006/relationships/hyperlink" Target="https://github.com/ethandeysel/Data-Risk-Compliance/blob/main/data/acts/GDPR/OJ_L_202401689_EN_TXT%20%28GDPR%20-%20Row%209%29.pdf" TargetMode="External" Id="rId965"/><Relationship Type="http://schemas.openxmlformats.org/officeDocument/2006/relationships/hyperlink" Target="https://github.com/ethandeysel/Data-Risk-Compliance/blob/main/data/acts/GDPR/OJ_L_202401689_EN_TXT%20%28GDPR%20-%20Row%209%29.pdf" TargetMode="External" Id="rId966"/><Relationship Type="http://schemas.openxmlformats.org/officeDocument/2006/relationships/hyperlink" Target="https://github.com/ethandeysel/Data-Risk-Compliance/blob/main/data/acts/GDPR/OJ_L_202401689_EN_TXT%20%28GDPR%20-%20Row%209%29.pdf" TargetMode="External" Id="rId967"/><Relationship Type="http://schemas.openxmlformats.org/officeDocument/2006/relationships/hyperlink" Target="https://github.com/ethandeysel/Data-Risk-Compliance/blob/main/data/acts/GDPR/OJ_L_202401689_EN_TXT%20%28GDPR%20-%20Row%209%29.pdf" TargetMode="External" Id="rId968"/><Relationship Type="http://schemas.openxmlformats.org/officeDocument/2006/relationships/hyperlink" Target="https://github.com/ethandeysel/Data-Risk-Compliance/blob/main/data/acts/GDPR/OJ_L_202401689_EN_TXT%20%28GDPR%20-%20Row%209%29.pdf" TargetMode="External" Id="rId969"/><Relationship Type="http://schemas.openxmlformats.org/officeDocument/2006/relationships/hyperlink" Target="https://github.com/ethandeysel/Data-Risk-Compliance/blob/main/data/acts/GDPR/OJ_L_202401689_EN_TXT%20%28GDPR%20-%20Row%209%29.pdf" TargetMode="External" Id="rId970"/><Relationship Type="http://schemas.openxmlformats.org/officeDocument/2006/relationships/hyperlink" Target="https://github.com/ethandeysel/Data-Risk-Compliance/blob/main/data/acts/GDPR/OJ_L_202401689_EN_TXT%20%28GDPR%20-%20Row%209%29.pdf" TargetMode="External" Id="rId971"/><Relationship Type="http://schemas.openxmlformats.org/officeDocument/2006/relationships/hyperlink" Target="https://github.com/ethandeysel/Data-Risk-Compliance/blob/main/data/acts/GDPR/OJ_L_202401689_EN_TXT%20%28GDPR%20-%20Row%209%29.pdf" TargetMode="External" Id="rId972"/><Relationship Type="http://schemas.openxmlformats.org/officeDocument/2006/relationships/hyperlink" Target="https://github.com/ethandeysel/Data-Risk-Compliance/blob/main/data/acts/GDPR/OJ_L_202401689_EN_TXT%20%28GDPR%20-%20Row%209%29.pdf" TargetMode="External" Id="rId973"/><Relationship Type="http://schemas.openxmlformats.org/officeDocument/2006/relationships/hyperlink" Target="https://github.com/ethandeysel/Data-Risk-Compliance/blob/main/data/acts/GDPR/OJ_L_202401689_EN_TXT%20%28GDPR%20-%20Row%209%29.pdf" TargetMode="External" Id="rId974"/><Relationship Type="http://schemas.openxmlformats.org/officeDocument/2006/relationships/hyperlink" Target="https://github.com/ethandeysel/Data-Risk-Compliance/blob/main/data/acts/GDPR/OJ_L_202401689_EN_TXT%20%28GDPR%20-%20Row%209%29.pdf" TargetMode="External" Id="rId975"/><Relationship Type="http://schemas.openxmlformats.org/officeDocument/2006/relationships/hyperlink" Target="https://github.com/ethandeysel/Data-Risk-Compliance/blob/main/data/acts/GDPR/OJ_L_202401689_EN_TXT%20%28GDPR%20-%20Row%209%29.pdf" TargetMode="External" Id="rId976"/><Relationship Type="http://schemas.openxmlformats.org/officeDocument/2006/relationships/hyperlink" Target="https://github.com/ethandeysel/Data-Risk-Compliance/blob/main/data/acts/GDPR/OJ_L_202401689_EN_TXT%20%28GDPR%20-%20Row%209%29.pdf" TargetMode="External" Id="rId977"/><Relationship Type="http://schemas.openxmlformats.org/officeDocument/2006/relationships/hyperlink" Target="https://github.com/ethandeysel/Data-Risk-Compliance/blob/main/data/acts/GDPR/OJ_L_202401689_EN_TXT%20%28GDPR%20-%20Row%209%29.pdf" TargetMode="External" Id="rId978"/><Relationship Type="http://schemas.openxmlformats.org/officeDocument/2006/relationships/hyperlink" Target="https://github.com/ethandeysel/Data-Risk-Compliance/blob/main/data/acts/GDPR/OJ_L_202401689_EN_TXT%20%28GDPR%20-%20Row%209%29.pdf" TargetMode="External" Id="rId979"/><Relationship Type="http://schemas.openxmlformats.org/officeDocument/2006/relationships/hyperlink" Target="https://github.com/ethandeysel/Data-Risk-Compliance/blob/main/data/acts/GDPR/OJ_L_202401689_EN_TXT%20%28GDPR%20-%20Row%209%29.pdf" TargetMode="External" Id="rId980"/><Relationship Type="http://schemas.openxmlformats.org/officeDocument/2006/relationships/hyperlink" Target="https://github.com/ethandeysel/Data-Risk-Compliance/blob/main/data/acts/GDPR/OJ_L_202401689_EN_TXT%20%28GDPR%20-%20Row%209%29.pdf" TargetMode="External" Id="rId981"/><Relationship Type="http://schemas.openxmlformats.org/officeDocument/2006/relationships/hyperlink" Target="https://github.com/ethandeysel/Data-Risk-Compliance/blob/main/data/acts/GDPR/OJ_L_202401689_EN_TXT%20%28GDPR%20-%20Row%209%29.pdf" TargetMode="External" Id="rId982"/><Relationship Type="http://schemas.openxmlformats.org/officeDocument/2006/relationships/hyperlink" Target="https://github.com/ethandeysel/Data-Risk-Compliance/blob/main/data/acts/GDPR/OJ_L_202401689_EN_TXT%20%28GDPR%20-%20Row%209%29.pdf" TargetMode="External" Id="rId983"/><Relationship Type="http://schemas.openxmlformats.org/officeDocument/2006/relationships/hyperlink" Target="https://github.com/ethandeysel/Data-Risk-Compliance/blob/main/data/acts/GDPR/OJ_L_202401689_EN_TXT%20%28GDPR%20-%20Row%209%29.pdf" TargetMode="External" Id="rId984"/><Relationship Type="http://schemas.openxmlformats.org/officeDocument/2006/relationships/hyperlink" Target="https://github.com/ethandeysel/Data-Risk-Compliance/blob/main/data/acts/GDPR/OJ_L_202401689_EN_TXT%20%28GDPR%20-%20Row%209%29.pdf" TargetMode="External" Id="rId985"/><Relationship Type="http://schemas.openxmlformats.org/officeDocument/2006/relationships/hyperlink" Target="https://github.com/ethandeysel/Data-Risk-Compliance/blob/main/data/acts/GDPR/OJ_L_202401689_EN_TXT%20%28GDPR%20-%20Row%209%29.pdf" TargetMode="External" Id="rId986"/><Relationship Type="http://schemas.openxmlformats.org/officeDocument/2006/relationships/hyperlink" Target="https://github.com/ethandeysel/Data-Risk-Compliance/blob/main/data/acts/GDPR/OJ_L_202401689_EN_TXT%20%28GDPR%20-%20Row%209%29.pdf" TargetMode="External" Id="rId987"/><Relationship Type="http://schemas.openxmlformats.org/officeDocument/2006/relationships/hyperlink" Target="https://github.com/ethandeysel/Data-Risk-Compliance/blob/main/data/acts/GDPR/OJ_L_202401689_EN_TXT%20%28GDPR%20-%20Row%209%29.pdf" TargetMode="External" Id="rId988"/><Relationship Type="http://schemas.openxmlformats.org/officeDocument/2006/relationships/hyperlink" Target="https://github.com/ethandeysel/Data-Risk-Compliance/blob/main/data/acts/GDPR/OJ_L_202401689_EN_TXT%20%28GDPR%20-%20Row%209%29.pdf" TargetMode="External" Id="rId989"/><Relationship Type="http://schemas.openxmlformats.org/officeDocument/2006/relationships/hyperlink" Target="https://github.com/ethandeysel/Data-Risk-Compliance/blob/main/data/acts/GDPR/OJ_L_202401689_EN_TXT%20%28GDPR%20-%20Row%209%29.pdf" TargetMode="External" Id="rId990"/><Relationship Type="http://schemas.openxmlformats.org/officeDocument/2006/relationships/hyperlink" Target="https://github.com/ethandeysel/Data-Risk-Compliance/blob/main/data/acts/GDPR/OJ_L_202401689_EN_TXT%20%28GDPR%20-%20Row%209%29.pdf" TargetMode="External" Id="rId991"/><Relationship Type="http://schemas.openxmlformats.org/officeDocument/2006/relationships/hyperlink" Target="https://github.com/ethandeysel/Data-Risk-Compliance/blob/main/data/acts/GDPR/OJ_L_202401689_EN_TXT%20%28GDPR%20-%20Row%209%29.pdf" TargetMode="External" Id="rId992"/><Relationship Type="http://schemas.openxmlformats.org/officeDocument/2006/relationships/hyperlink" Target="https://github.com/ethandeysel/Data-Risk-Compliance/blob/main/data/acts/GDPR/OJ_L_202401689_EN_TXT%20%28GDPR%20-%20Row%209%29.pdf" TargetMode="External" Id="rId993"/><Relationship Type="http://schemas.openxmlformats.org/officeDocument/2006/relationships/hyperlink" Target="https://github.com/ethandeysel/Data-Risk-Compliance/blob/main/data/acts/GDPR/OJ_L_202401689_EN_TXT%20%28GDPR%20-%20Row%209%29.pdf" TargetMode="External" Id="rId994"/><Relationship Type="http://schemas.openxmlformats.org/officeDocument/2006/relationships/hyperlink" Target="https://github.com/ethandeysel/Data-Risk-Compliance/blob/main/data/acts/GDPR/OJ_L_202401689_EN_TXT%20%28GDPR%20-%20Row%209%29.pdf" TargetMode="External" Id="rId995"/><Relationship Type="http://schemas.openxmlformats.org/officeDocument/2006/relationships/hyperlink" Target="https://github.com/ethandeysel/Data-Risk-Compliance/blob/main/data/acts/GDPR/OJ_L_202401689_EN_TXT%20%28GDPR%20-%20Row%209%29.pdf" TargetMode="External" Id="rId996"/><Relationship Type="http://schemas.openxmlformats.org/officeDocument/2006/relationships/hyperlink" Target="https://github.com/ethandeysel/Data-Risk-Compliance/blob/main/data/acts/GDPR/OJ_L_202401689_EN_TXT%20%28GDPR%20-%20Row%209%29.pdf" TargetMode="External" Id="rId997"/><Relationship Type="http://schemas.openxmlformats.org/officeDocument/2006/relationships/hyperlink" Target="https://github.com/ethandeysel/Data-Risk-Compliance/blob/main/data/acts/GDPR/OJ_L_202401689_EN_TXT%20%28GDPR%20-%20Row%209%29.pdf" TargetMode="External" Id="rId998"/><Relationship Type="http://schemas.openxmlformats.org/officeDocument/2006/relationships/hyperlink" Target="https://github.com/ethandeysel/Data-Risk-Compliance/blob/main/data/acts/GDPR/OJ_L_202401689_EN_TXT%20%28GDPR%20-%20Row%209%29.pdf" TargetMode="External" Id="rId999"/><Relationship Type="http://schemas.openxmlformats.org/officeDocument/2006/relationships/hyperlink" Target="https://github.com/ethandeysel/Data-Risk-Compliance/blob/main/data/acts/GDPR/OJ_L_202401689_EN_TXT%20%28GDPR%20-%20Row%209%29.pdf" TargetMode="External" Id="rId1000"/><Relationship Type="http://schemas.openxmlformats.org/officeDocument/2006/relationships/hyperlink" Target="https://github.com/ethandeysel/Data-Risk-Compliance/blob/main/data/acts/GDPR/OJ_L_202401689_EN_TXT%20%28GDPR%20-%20Row%209%29.pdf" TargetMode="External" Id="rId1001"/><Relationship Type="http://schemas.openxmlformats.org/officeDocument/2006/relationships/hyperlink" Target="https://github.com/ethandeysel/Data-Risk-Compliance/blob/main/data/acts/GDPR/OJ_L_202401689_EN_TXT%20%28GDPR%20-%20Row%209%29.pdf" TargetMode="External" Id="rId1002"/><Relationship Type="http://schemas.openxmlformats.org/officeDocument/2006/relationships/hyperlink" Target="https://github.com/ethandeysel/Data-Risk-Compliance/blob/main/data/acts/GDPR/OJ_L_202401689_EN_TXT%20%28GDPR%20-%20Row%209%29.pdf" TargetMode="External" Id="rId1003"/><Relationship Type="http://schemas.openxmlformats.org/officeDocument/2006/relationships/hyperlink" Target="https://github.com/ethandeysel/Data-Risk-Compliance/blob/main/data/acts/GDPR/OJ_L_202401689_EN_TXT%20%28GDPR%20-%20Row%209%29.pdf" TargetMode="External" Id="rId1004"/><Relationship Type="http://schemas.openxmlformats.org/officeDocument/2006/relationships/hyperlink" Target="https://github.com/ethandeysel/Data-Risk-Compliance/blob/main/data/acts/GDPR/OJ_L_202401689_EN_TXT%20%28GDPR%20-%20Row%209%29.pdf" TargetMode="External" Id="rId1005"/><Relationship Type="http://schemas.openxmlformats.org/officeDocument/2006/relationships/hyperlink" Target="https://github.com/ethandeysel/Data-Risk-Compliance/blob/main/data/acts/GDPR/OJ_L_202401689_EN_TXT%20%28GDPR%20-%20Row%209%29.pdf" TargetMode="External" Id="rId1006"/><Relationship Type="http://schemas.openxmlformats.org/officeDocument/2006/relationships/hyperlink" Target="https://github.com/ethandeysel/Data-Risk-Compliance/blob/main/data/acts/GDPR/OJ_L_202401689_EN_TXT%20%28GDPR%20-%20Row%209%29.pdf" TargetMode="External" Id="rId1007"/><Relationship Type="http://schemas.openxmlformats.org/officeDocument/2006/relationships/hyperlink" Target="https://github.com/ethandeysel/Data-Risk-Compliance/blob/main/data/acts/GDPR/OJ_L_202401689_EN_TXT%20%28GDPR%20-%20Row%209%29.pdf" TargetMode="External" Id="rId1008"/><Relationship Type="http://schemas.openxmlformats.org/officeDocument/2006/relationships/hyperlink" Target="https://github.com/ethandeysel/Data-Risk-Compliance/blob/main/data/acts/GDPR/OJ_L_202401689_EN_TXT%20%28GDPR%20-%20Row%209%29.pdf" TargetMode="External" Id="rId1009"/><Relationship Type="http://schemas.openxmlformats.org/officeDocument/2006/relationships/hyperlink" Target="https://github.com/ethandeysel/Data-Risk-Compliance/blob/main/data/acts/GDPR/OJ_L_202401689_EN_TXT%20%28GDPR%20-%20Row%209%29.pdf" TargetMode="External" Id="rId1010"/><Relationship Type="http://schemas.openxmlformats.org/officeDocument/2006/relationships/hyperlink" Target="https://github.com/ethandeysel/Data-Risk-Compliance/blob/main/data/acts/GDPR/OJ_L_202401689_EN_TXT%20%28GDPR%20-%20Row%209%29.pdf" TargetMode="External" Id="rId1011"/><Relationship Type="http://schemas.openxmlformats.org/officeDocument/2006/relationships/hyperlink" Target="https://github.com/ethandeysel/Data-Risk-Compliance/blob/main/data/acts/GDPR/OJ_L_202401689_EN_TXT%20%28GDPR%20-%20Row%209%29.pdf" TargetMode="External" Id="rId1012"/><Relationship Type="http://schemas.openxmlformats.org/officeDocument/2006/relationships/hyperlink" Target="https://github.com/ethandeysel/Data-Risk-Compliance/blob/main/data/acts/GDPR/OJ_L_202401689_EN_TXT%20%28GDPR%20-%20Row%209%29.pdf" TargetMode="External" Id="rId1013"/><Relationship Type="http://schemas.openxmlformats.org/officeDocument/2006/relationships/hyperlink" Target="https://github.com/ethandeysel/Data-Risk-Compliance/blob/main/data/acts/GDPR/OJ_L_202401689_EN_TXT%20%28GDPR%20-%20Row%209%29.pdf" TargetMode="External" Id="rId1014"/><Relationship Type="http://schemas.openxmlformats.org/officeDocument/2006/relationships/hyperlink" Target="https://github.com/ethandeysel/Data-Risk-Compliance/blob/main/data/acts/GDPR/OJ_L_202401689_EN_TXT%20%28GDPR%20-%20Row%209%29.pdf" TargetMode="External" Id="rId1015"/><Relationship Type="http://schemas.openxmlformats.org/officeDocument/2006/relationships/hyperlink" Target="https://github.com/ethandeysel/Data-Risk-Compliance/blob/main/data/acts/GDPR/OJ_L_202401689_EN_TXT%20%28GDPR%20-%20Row%209%29.pdf" TargetMode="External" Id="rId1016"/><Relationship Type="http://schemas.openxmlformats.org/officeDocument/2006/relationships/hyperlink" Target="https://github.com/ethandeysel/Data-Risk-Compliance/blob/main/data/acts/GDPR/OJ_L_202401689_EN_TXT%20%28GDPR%20-%20Row%209%29.pdf" TargetMode="External" Id="rId1017"/><Relationship Type="http://schemas.openxmlformats.org/officeDocument/2006/relationships/hyperlink" Target="https://github.com/ethandeysel/Data-Risk-Compliance/blob/main/data/acts/GDPR/OJ_L_202401689_EN_TXT%20%28GDPR%20-%20Row%209%29.pdf" TargetMode="External" Id="rId1018"/><Relationship Type="http://schemas.openxmlformats.org/officeDocument/2006/relationships/hyperlink" Target="https://github.com/ethandeysel/Data-Risk-Compliance/blob/main/data/acts/GDPR/OJ_L_202401689_EN_TXT%20%28GDPR%20-%20Row%209%29.pdf" TargetMode="External" Id="rId1019"/><Relationship Type="http://schemas.openxmlformats.org/officeDocument/2006/relationships/hyperlink" Target="https://github.com/ethandeysel/Data-Risk-Compliance/blob/main/data/acts/GDPR/OJ_L_202401689_EN_TXT%20%28GDPR%20-%20Row%209%29.pdf" TargetMode="External" Id="rId1020"/><Relationship Type="http://schemas.openxmlformats.org/officeDocument/2006/relationships/hyperlink" Target="https://github.com/ethandeysel/Data-Risk-Compliance/blob/main/data/acts/GDPR/OJ_L_202401689_EN_TXT%20%28GDPR%20-%20Row%209%29.pdf" TargetMode="External" Id="rId1021"/><Relationship Type="http://schemas.openxmlformats.org/officeDocument/2006/relationships/hyperlink" Target="https://github.com/ethandeysel/Data-Risk-Compliance/blob/main/data/acts/GDPR/OJ_L_202401689_EN_TXT%20%28GDPR%20-%20Row%209%29.pdf" TargetMode="External" Id="rId1022"/><Relationship Type="http://schemas.openxmlformats.org/officeDocument/2006/relationships/hyperlink" Target="https://github.com/ethandeysel/Data-Risk-Compliance/blob/main/data/acts/GDPR/OJ_L_202401689_EN_TXT%20%28GDPR%20-%20Row%209%29.pdf" TargetMode="External" Id="rId1023"/><Relationship Type="http://schemas.openxmlformats.org/officeDocument/2006/relationships/hyperlink" Target="https://github.com/ethandeysel/Data-Risk-Compliance/blob/main/data/acts/GDPR/OJ_L_202401689_EN_TXT%20%28GDPR%20-%20Row%209%29.pdf" TargetMode="External" Id="rId1024"/><Relationship Type="http://schemas.openxmlformats.org/officeDocument/2006/relationships/hyperlink" Target="https://github.com/ethandeysel/Data-Risk-Compliance/blob/main/data/acts/GDPR/OJ_L_202401689_EN_TXT%20%28GDPR%20-%20Row%209%29.pdf" TargetMode="External" Id="rId1025"/><Relationship Type="http://schemas.openxmlformats.org/officeDocument/2006/relationships/hyperlink" Target="https://github.com/ethandeysel/Data-Risk-Compliance/blob/main/data/acts/GDPR/OJ_L_202401689_EN_TXT%20%28GDPR%20-%20Row%209%29.pdf" TargetMode="External" Id="rId1026"/><Relationship Type="http://schemas.openxmlformats.org/officeDocument/2006/relationships/hyperlink" Target="https://github.com/ethandeysel/Data-Risk-Compliance/blob/main/data/acts/GDPR/OJ_L_202401689_EN_TXT%20%28GDPR%20-%20Row%209%29.pdf" TargetMode="External" Id="rId1027"/><Relationship Type="http://schemas.openxmlformats.org/officeDocument/2006/relationships/hyperlink" Target="https://github.com/ethandeysel/Data-Risk-Compliance/blob/main/data/acts/GDPR/OJ_L_202401689_EN_TXT%20%28GDPR%20-%20Row%209%29.pdf" TargetMode="External" Id="rId1028"/><Relationship Type="http://schemas.openxmlformats.org/officeDocument/2006/relationships/hyperlink" Target="https://github.com/ethandeysel/Data-Risk-Compliance/blob/main/data/acts/GDPR/OJ_L_202401689_EN_TXT%20%28GDPR%20-%20Row%209%29.pdf" TargetMode="External" Id="rId1029"/><Relationship Type="http://schemas.openxmlformats.org/officeDocument/2006/relationships/hyperlink" Target="https://github.com/ethandeysel/Data-Risk-Compliance/blob/main/data/acts/GDPR/OJ_L_202401689_EN_TXT%20%28GDPR%20-%20Row%209%29.pdf" TargetMode="External" Id="rId1030"/><Relationship Type="http://schemas.openxmlformats.org/officeDocument/2006/relationships/hyperlink" Target="https://github.com/ethandeysel/Data-Risk-Compliance/blob/main/data/acts/GDPR/OJ_L_202401689_EN_TXT%20%28GDPR%20-%20Row%209%29.pdf" TargetMode="External" Id="rId1031"/><Relationship Type="http://schemas.openxmlformats.org/officeDocument/2006/relationships/hyperlink" Target="https://github.com/ethandeysel/Data-Risk-Compliance/blob/main/data/acts/GDPR/OJ_L_202401689_EN_TXT%20%28GDPR%20-%20Row%209%29.pdf" TargetMode="External" Id="rId1032"/><Relationship Type="http://schemas.openxmlformats.org/officeDocument/2006/relationships/hyperlink" Target="https://github.com/ethandeysel/Data-Risk-Compliance/blob/main/data/acts/GDPR/OJ_L_202401689_EN_TXT%20%28GDPR%20-%20Row%209%29.pdf" TargetMode="External" Id="rId1033"/><Relationship Type="http://schemas.openxmlformats.org/officeDocument/2006/relationships/hyperlink" Target="https://github.com/ethandeysel/Data-Risk-Compliance/blob/main/data/acts/GDPR/OJ_L_202401689_EN_TXT%20%28GDPR%20-%20Row%209%29.pdf" TargetMode="External" Id="rId1034"/><Relationship Type="http://schemas.openxmlformats.org/officeDocument/2006/relationships/hyperlink" Target="https://github.com/ethandeysel/Data-Risk-Compliance/blob/main/data/acts/GDPR/OJ_L_202401689_EN_TXT%20%28GDPR%20-%20Row%209%29.pdf" TargetMode="External" Id="rId1035"/><Relationship Type="http://schemas.openxmlformats.org/officeDocument/2006/relationships/hyperlink" Target="https://github.com/ethandeysel/Data-Risk-Compliance/blob/main/data/acts/GDPR/OJ_L_202401689_EN_TXT%20%28GDPR%20-%20Row%209%29.pdf" TargetMode="External" Id="rId1036"/><Relationship Type="http://schemas.openxmlformats.org/officeDocument/2006/relationships/hyperlink" Target="https://github.com/ethandeysel/Data-Risk-Compliance/blob/main/data/acts/GDPR/OJ_L_202401689_EN_TXT%20%28GDPR%20-%20Row%209%29.pdf" TargetMode="External" Id="rId1037"/><Relationship Type="http://schemas.openxmlformats.org/officeDocument/2006/relationships/hyperlink" Target="https://github.com/ethandeysel/Data-Risk-Compliance/blob/main/data/acts/GDPR/OJ_L_202401689_EN_TXT%20%28GDPR%20-%20Row%209%29.pdf" TargetMode="External" Id="rId1038"/><Relationship Type="http://schemas.openxmlformats.org/officeDocument/2006/relationships/hyperlink" Target="https://github.com/ethandeysel/Data-Risk-Compliance/blob/main/data/acts/GDPR/OJ_L_202401689_EN_TXT%20%28GDPR%20-%20Row%209%29.pdf" TargetMode="External" Id="rId1039"/><Relationship Type="http://schemas.openxmlformats.org/officeDocument/2006/relationships/hyperlink" Target="https://github.com/ethandeysel/Data-Risk-Compliance/blob/main/data/acts/GDPR/OJ_L_202401689_EN_TXT%20%28GDPR%20-%20Row%209%29.pdf" TargetMode="External" Id="rId1040"/><Relationship Type="http://schemas.openxmlformats.org/officeDocument/2006/relationships/hyperlink" Target="https://github.com/ethandeysel/Data-Risk-Compliance/blob/main/data/acts/GDPR/OJ_L_202401689_EN_TXT%20%28GDPR%20-%20Row%209%29.pdf" TargetMode="External" Id="rId1041"/><Relationship Type="http://schemas.openxmlformats.org/officeDocument/2006/relationships/hyperlink" Target="https://github.com/ethandeysel/Data-Risk-Compliance/blob/main/data/acts/GDPR/OJ_L_202401689_EN_TXT%20%28GDPR%20-%20Row%209%29.pdf" TargetMode="External" Id="rId1042"/><Relationship Type="http://schemas.openxmlformats.org/officeDocument/2006/relationships/hyperlink" Target="https://github.com/ethandeysel/Data-Risk-Compliance/blob/main/data/acts/GDPR/OJ_L_202401689_EN_TXT%20%28GDPR%20-%20Row%209%29.pdf" TargetMode="External" Id="rId1043"/><Relationship Type="http://schemas.openxmlformats.org/officeDocument/2006/relationships/hyperlink" Target="https://github.com/ethandeysel/Data-Risk-Compliance/blob/main/data/acts/GDPR/OJ_L_202401689_EN_TXT%20%28GDPR%20-%20Row%209%29.pdf" TargetMode="External" Id="rId1044"/><Relationship Type="http://schemas.openxmlformats.org/officeDocument/2006/relationships/hyperlink" Target="https://github.com/ethandeysel/Data-Risk-Compliance/blob/main/data/acts/GDPR/OJ_L_202401689_EN_TXT%20%28GDPR%20-%20Row%209%29.pdf" TargetMode="External" Id="rId1045"/><Relationship Type="http://schemas.openxmlformats.org/officeDocument/2006/relationships/hyperlink" Target="https://github.com/ethandeysel/Data-Risk-Compliance/blob/main/data/acts/GDPR/OJ_L_202401689_EN_TXT%20%28GDPR%20-%20Row%209%29.pdf" TargetMode="External" Id="rId1046"/><Relationship Type="http://schemas.openxmlformats.org/officeDocument/2006/relationships/hyperlink" Target="https://github.com/ethandeysel/Data-Risk-Compliance/blob/main/data/acts/GDPR/OJ_L_202401689_EN_TXT%20%28GDPR%20-%20Row%209%29.pdf" TargetMode="External" Id="rId1047"/><Relationship Type="http://schemas.openxmlformats.org/officeDocument/2006/relationships/hyperlink" Target="https://github.com/ethandeysel/Data-Risk-Compliance/blob/main/data/acts/GDPR/OJ_L_202401689_EN_TXT%20%28GDPR%20-%20Row%209%29.pdf" TargetMode="External" Id="rId1048"/><Relationship Type="http://schemas.openxmlformats.org/officeDocument/2006/relationships/hyperlink" Target="https://github.com/ethandeysel/Data-Risk-Compliance/blob/main/data/acts/GDPR/OJ_L_202401689_EN_TXT%20%28GDPR%20-%20Row%209%29.pdf" TargetMode="External" Id="rId1049"/><Relationship Type="http://schemas.openxmlformats.org/officeDocument/2006/relationships/hyperlink" Target="https://github.com/ethandeysel/Data-Risk-Compliance/blob/main/data/acts/GDPR/OJ_L_202401689_EN_TXT%20%28GDPR%20-%20Row%209%29.pdf" TargetMode="External" Id="rId1050"/><Relationship Type="http://schemas.openxmlformats.org/officeDocument/2006/relationships/hyperlink" Target="https://github.com/ethandeysel/Data-Risk-Compliance/blob/main/data/acts/GDPR/OJ_L_202401689_EN_TXT%20%28GDPR%20-%20Row%209%29.pdf" TargetMode="External" Id="rId1051"/><Relationship Type="http://schemas.openxmlformats.org/officeDocument/2006/relationships/hyperlink" Target="https://github.com/ethandeysel/Data-Risk-Compliance/blob/main/data/acts/GDPR/OJ_L_202401689_EN_TXT%20%28GDPR%20-%20Row%209%29.pdf" TargetMode="External" Id="rId1052"/><Relationship Type="http://schemas.openxmlformats.org/officeDocument/2006/relationships/hyperlink" Target="https://github.com/ethandeysel/Data-Risk-Compliance/blob/main/data/acts/GDPR/OJ_L_202401689_EN_TXT%20%28GDPR%20-%20Row%209%29.pdf" TargetMode="External" Id="rId1053"/><Relationship Type="http://schemas.openxmlformats.org/officeDocument/2006/relationships/hyperlink" Target="https://github.com/ethandeysel/Data-Risk-Compliance/blob/main/data/acts/GDPR/OJ_L_202401689_EN_TXT%20%28GDPR%20-%20Row%209%29.pdf" TargetMode="External" Id="rId1054"/><Relationship Type="http://schemas.openxmlformats.org/officeDocument/2006/relationships/hyperlink" Target="https://github.com/ethandeysel/Data-Risk-Compliance/blob/main/data/acts/GDPR/OJ_L_202401689_EN_TXT%20%28GDPR%20-%20Row%209%29.pdf" TargetMode="External" Id="rId1055"/><Relationship Type="http://schemas.openxmlformats.org/officeDocument/2006/relationships/hyperlink" Target="https://github.com/ethandeysel/Data-Risk-Compliance/blob/main/data/acts/GDPR/OJ_L_202401689_EN_TXT%20%28GDPR%20-%20Row%209%29.pdf" TargetMode="External" Id="rId1056"/><Relationship Type="http://schemas.openxmlformats.org/officeDocument/2006/relationships/hyperlink" Target="https://github.com/ethandeysel/Data-Risk-Compliance/blob/main/data/acts/GDPR/OJ_L_202401689_EN_TXT%20%28GDPR%20-%20Row%209%29.pdf" TargetMode="External" Id="rId1057"/><Relationship Type="http://schemas.openxmlformats.org/officeDocument/2006/relationships/hyperlink" Target="https://github.com/ethandeysel/Data-Risk-Compliance/blob/main/data/acts/GDPR/OJ_L_202401689_EN_TXT%20%28GDPR%20-%20Row%209%29.pdf" TargetMode="External" Id="rId1058"/><Relationship Type="http://schemas.openxmlformats.org/officeDocument/2006/relationships/hyperlink" Target="https://github.com/ethandeysel/Data-Risk-Compliance/blob/main/data/acts/GDPR/OJ_L_202401689_EN_TXT%20%28GDPR%20-%20Row%209%29.pdf" TargetMode="External" Id="rId1059"/><Relationship Type="http://schemas.openxmlformats.org/officeDocument/2006/relationships/hyperlink" Target="https://github.com/ethandeysel/Data-Risk-Compliance/blob/main/data/acts/GDPR/OJ_L_202401689_EN_TXT%20%28GDPR%20-%20Row%209%29.pdf" TargetMode="External" Id="rId1060"/><Relationship Type="http://schemas.openxmlformats.org/officeDocument/2006/relationships/hyperlink" Target="https://github.com/ethandeysel/Data-Risk-Compliance/blob/main/data/acts/GDPR/OJ_L_202401689_EN_TXT%20%28GDPR%20-%20Row%209%29.pdf" TargetMode="External" Id="rId1061"/><Relationship Type="http://schemas.openxmlformats.org/officeDocument/2006/relationships/hyperlink" Target="https://github.com/ethandeysel/Data-Risk-Compliance/blob/main/data/acts/GDPR/OJ_L_202401689_EN_TXT%20%28GDPR%20-%20Row%209%29.pdf" TargetMode="External" Id="rId1062"/><Relationship Type="http://schemas.openxmlformats.org/officeDocument/2006/relationships/hyperlink" Target="https://github.com/ethandeysel/Data-Risk-Compliance/blob/main/data/acts/GDPR/OJ_L_202401689_EN_TXT%20%28GDPR%20-%20Row%209%29.pdf" TargetMode="External" Id="rId1063"/><Relationship Type="http://schemas.openxmlformats.org/officeDocument/2006/relationships/hyperlink" Target="https://github.com/ethandeysel/Data-Risk-Compliance/blob/main/data/acts/GDPR/OJ_L_202401689_EN_TXT%20%28GDPR%20-%20Row%209%29.pdf" TargetMode="External" Id="rId1064"/><Relationship Type="http://schemas.openxmlformats.org/officeDocument/2006/relationships/hyperlink" Target="https://github.com/ethandeysel/Data-Risk-Compliance/blob/main/data/acts/GDPR/OJ_L_202401689_EN_TXT%20%28GDPR%20-%20Row%209%29.pdf" TargetMode="External" Id="rId1065"/><Relationship Type="http://schemas.openxmlformats.org/officeDocument/2006/relationships/hyperlink" Target="https://github.com/ethandeysel/Data-Risk-Compliance/blob/main/data/acts/GDPR/OJ_L_202401689_EN_TXT%20%28GDPR%20-%20Row%209%29.pdf" TargetMode="External" Id="rId1066"/><Relationship Type="http://schemas.openxmlformats.org/officeDocument/2006/relationships/hyperlink" Target="https://github.com/ethandeysel/Data-Risk-Compliance/blob/main/data/acts/GDPR/OJ_L_202401689_EN_TXT%20%28GDPR%20-%20Row%209%29.pdf" TargetMode="External" Id="rId1067"/><Relationship Type="http://schemas.openxmlformats.org/officeDocument/2006/relationships/hyperlink" Target="https://github.com/ethandeysel/Data-Risk-Compliance/blob/main/data/acts/GDPR/OJ_L_202401689_EN_TXT%20%28GDPR%20-%20Row%209%29.pdf" TargetMode="External" Id="rId1068"/><Relationship Type="http://schemas.openxmlformats.org/officeDocument/2006/relationships/hyperlink" Target="https://github.com/ethandeysel/Data-Risk-Compliance/blob/main/data/acts/GDPR/OJ_L_202401689_EN_TXT%20%28GDPR%20-%20Row%209%29.pdf" TargetMode="External" Id="rId1069"/><Relationship Type="http://schemas.openxmlformats.org/officeDocument/2006/relationships/hyperlink" Target="https://github.com/ethandeysel/Data-Risk-Compliance/blob/main/data/acts/GDPR/esma_cloud_guidelines%20%28GDPR%20-%20Row%208%29.pdf" TargetMode="External" Id="rId1070"/><Relationship Type="http://schemas.openxmlformats.org/officeDocument/2006/relationships/hyperlink" Target="https://github.com/ethandeysel/Data-Risk-Compliance/blob/main/data/acts/GDPR/esma_cloud_guidelines%20%28GDPR%20-%20Row%208%29.pdf" TargetMode="External" Id="rId1071"/><Relationship Type="http://schemas.openxmlformats.org/officeDocument/2006/relationships/hyperlink" Target="https://github.com/ethandeysel/Data-Risk-Compliance/blob/main/data/acts/GDPR/esma_cloud_guidelines%20%28GDPR%20-%20Row%208%29.pdf" TargetMode="External" Id="rId1072"/><Relationship Type="http://schemas.openxmlformats.org/officeDocument/2006/relationships/hyperlink" Target="https://github.com/ethandeysel/Data-Risk-Compliance/blob/main/data/acts/GDPR/esma_cloud_guidelines%20%28GDPR%20-%20Row%208%29.pdf" TargetMode="External" Id="rId1073"/><Relationship Type="http://schemas.openxmlformats.org/officeDocument/2006/relationships/hyperlink" Target="https://github.com/ethandeysel/Data-Risk-Compliance/blob/main/data/acts/GDPR/esma_cloud_guidelines%20%28GDPR%20-%20Row%208%29.pdf" TargetMode="External" Id="rId1074"/><Relationship Type="http://schemas.openxmlformats.org/officeDocument/2006/relationships/hyperlink" Target="https://github.com/ethandeysel/Data-Risk-Compliance/blob/main/data/acts/GDPR/esma_cloud_guidelines%20%28GDPR%20-%20Row%208%29.pdf" TargetMode="External" Id="rId1075"/><Relationship Type="http://schemas.openxmlformats.org/officeDocument/2006/relationships/hyperlink" Target="https://github.com/ethandeysel/Data-Risk-Compliance/blob/main/data/acts/GDPR/esma_cloud_guidelines%20%28GDPR%20-%20Row%208%29.pdf" TargetMode="External" Id="rId1076"/><Relationship Type="http://schemas.openxmlformats.org/officeDocument/2006/relationships/hyperlink" Target="https://github.com/ethandeysel/Data-Risk-Compliance/blob/main/data/acts/GDPR/esma_cloud_guidelines%20%28GDPR%20-%20Row%208%29.pdf" TargetMode="External" Id="rId1077"/><Relationship Type="http://schemas.openxmlformats.org/officeDocument/2006/relationships/hyperlink" Target="https://github.com/ethandeysel/Data-Risk-Compliance/blob/main/data/acts/GDPR/esma_cloud_guidelines%20%28GDPR%20-%20Row%208%29.pdf" TargetMode="External" Id="rId1078"/><Relationship Type="http://schemas.openxmlformats.org/officeDocument/2006/relationships/hyperlink" Target="https://github.com/ethandeysel/Data-Risk-Compliance/blob/main/data/acts/GDPR/esma_cloud_guidelines%20%28GDPR%20-%20Row%208%29.pdf" TargetMode="External" Id="rId1079"/><Relationship Type="http://schemas.openxmlformats.org/officeDocument/2006/relationships/hyperlink" Target="https://github.com/ethandeysel/Data-Risk-Compliance/blob/main/data/acts/GDPR/esma_cloud_guidelines%20%28GDPR%20-%20Row%208%29.pdf" TargetMode="External" Id="rId1080"/><Relationship Type="http://schemas.openxmlformats.org/officeDocument/2006/relationships/hyperlink" Target="https://github.com/ethandeysel/Data-Risk-Compliance/blob/main/data/acts/GDPR/esma_cloud_guidelines%20%28GDPR%20-%20Row%208%29.pdf" TargetMode="External" Id="rId1081"/><Relationship Type="http://schemas.openxmlformats.org/officeDocument/2006/relationships/hyperlink" Target="https://github.com/ethandeysel/Data-Risk-Compliance/blob/main/data/acts/GDPR/esma_cloud_guidelines%20%28GDPR%20-%20Row%208%29.pdf" TargetMode="External" Id="rId1082"/><Relationship Type="http://schemas.openxmlformats.org/officeDocument/2006/relationships/hyperlink" Target="https://github.com/ethandeysel/Data-Risk-Compliance/blob/main/data/acts/GDPR/esma_cloud_guidelines%20%28GDPR%20-%20Row%208%29.pdf" TargetMode="External" Id="rId1083"/><Relationship Type="http://schemas.openxmlformats.org/officeDocument/2006/relationships/hyperlink" Target="https://github.com/ethandeysel/Data-Risk-Compliance/blob/main/data/acts/GDPR/esma_cloud_guidelines%20%28GDPR%20-%20Row%208%29.pdf" TargetMode="External" Id="rId1084"/><Relationship Type="http://schemas.openxmlformats.org/officeDocument/2006/relationships/hyperlink" Target="https://github.com/ethandeysel/Data-Risk-Compliance/blob/main/data/acts/GDPR/esma_cloud_guidelines%20%28GDPR%20-%20Row%208%29.pdf" TargetMode="External" Id="rId1085"/><Relationship Type="http://schemas.openxmlformats.org/officeDocument/2006/relationships/hyperlink" Target="https://github.com/ethandeysel/Data-Risk-Compliance/blob/main/data/acts/GDPR/esma_cloud_guidelines%20%28GDPR%20-%20Row%208%29.pdf" TargetMode="External" Id="rId1086"/><Relationship Type="http://schemas.openxmlformats.org/officeDocument/2006/relationships/hyperlink" Target="https://github.com/ethandeysel/Data-Risk-Compliance/blob/main/data/acts/GDPR/esma_cloud_guidelines%20%28GDPR%20-%20Row%208%29.pdf" TargetMode="External" Id="rId1087"/><Relationship Type="http://schemas.openxmlformats.org/officeDocument/2006/relationships/hyperlink" Target="https://github.com/ethandeysel/Data-Risk-Compliance/blob/main/data/acts/GDPR/esma_cloud_guidelines%20%28GDPR%20-%20Row%208%29.pdf" TargetMode="External" Id="rId1088"/><Relationship Type="http://schemas.openxmlformats.org/officeDocument/2006/relationships/hyperlink" Target="https://github.com/ethandeysel/Data-Risk-Compliance/blob/main/data/acts/GDPR/esma_cloud_guidelines%20%28GDPR%20-%20Row%208%29.pdf" TargetMode="External" Id="rId1089"/><Relationship Type="http://schemas.openxmlformats.org/officeDocument/2006/relationships/hyperlink" Target="https://github.com/ethandeysel/Data-Risk-Compliance/blob/main/data/acts/GDPR/esma_cloud_guidelines%20%28GDPR%20-%20Row%208%29.pdf" TargetMode="External" Id="rId1090"/><Relationship Type="http://schemas.openxmlformats.org/officeDocument/2006/relationships/hyperlink" Target="https://github.com/ethandeysel/Data-Risk-Compliance/blob/main/data/acts/GDPR/esma_cloud_guidelines%20%28GDPR%20-%20Row%208%29.pdf" TargetMode="External" Id="rId1091"/><Relationship Type="http://schemas.openxmlformats.org/officeDocument/2006/relationships/hyperlink" Target="https://github.com/ethandeysel/Data-Risk-Compliance/blob/main/data/acts/GDPR/esma_cloud_guidelines%20%28GDPR%20-%20Row%208%29.pdf" TargetMode="External" Id="rId1092"/><Relationship Type="http://schemas.openxmlformats.org/officeDocument/2006/relationships/hyperlink" Target="https://github.com/ethandeysel/Data-Risk-Compliance/blob/main/data/acts/GDPR/esma_cloud_guidelines%20%28GDPR%20-%20Row%208%29.pdf" TargetMode="External" Id="rId1093"/><Relationship Type="http://schemas.openxmlformats.org/officeDocument/2006/relationships/hyperlink" Target="https://github.com/ethandeysel/Data-Risk-Compliance/blob/main/data/acts/GDPR/esma_cloud_guidelines%20%28GDPR%20-%20Row%208%29.pdf" TargetMode="External" Id="rId1094"/><Relationship Type="http://schemas.openxmlformats.org/officeDocument/2006/relationships/hyperlink" Target="https://github.com/ethandeysel/Data-Risk-Compliance/blob/main/data/acts/GDPR/esma_cloud_guidelines%20%28GDPR%20-%20Row%208%29.pdf" TargetMode="External" Id="rId1095"/><Relationship Type="http://schemas.openxmlformats.org/officeDocument/2006/relationships/hyperlink" Target="https://github.com/ethandeysel/Data-Risk-Compliance/blob/main/data/acts/GDPR/esma_cloud_guidelines%20%28GDPR%20-%20Row%208%29.pdf" TargetMode="External" Id="rId1096"/><Relationship Type="http://schemas.openxmlformats.org/officeDocument/2006/relationships/hyperlink" Target="https://github.com/ethandeysel/Data-Risk-Compliance/blob/main/data/acts/GDPR/esma_cloud_guidelines%20%28GDPR%20-%20Row%208%29.pdf" TargetMode="External" Id="rId1097"/><Relationship Type="http://schemas.openxmlformats.org/officeDocument/2006/relationships/hyperlink" Target="https://github.com/ethandeysel/Data-Risk-Compliance/blob/main/data/acts/GDPR/esma_cloud_guidelines%20%28GDPR%20-%20Row%208%29.pdf" TargetMode="External" Id="rId1098"/><Relationship Type="http://schemas.openxmlformats.org/officeDocument/2006/relationships/hyperlink" Target="https://github.com/ethandeysel/Data-Risk-Compliance/blob/main/data/acts/GDPR/esma_cloud_guidelines%20%28GDPR%20-%20Row%208%29.pdf" TargetMode="External" Id="rId1099"/><Relationship Type="http://schemas.openxmlformats.org/officeDocument/2006/relationships/hyperlink" Target="https://github.com/ethandeysel/Data-Risk-Compliance/blob/main/data/acts/GDPR/esma_cloud_guidelines%20%28GDPR%20-%20Row%208%29.pdf" TargetMode="External" Id="rId1100"/><Relationship Type="http://schemas.openxmlformats.org/officeDocument/2006/relationships/hyperlink" Target="https://github.com/ethandeysel/Data-Risk-Compliance/blob/main/data/acts/GDPR/esma_cloud_guidelines%20%28GDPR%20-%20Row%208%29.pdf" TargetMode="External" Id="rId1101"/><Relationship Type="http://schemas.openxmlformats.org/officeDocument/2006/relationships/hyperlink" Target="https://github.com/ethandeysel/Data-Risk-Compliance/blob/main/data/acts/GDPR/esma_cloud_guidelines%20%28GDPR%20-%20Row%208%29.pdf" TargetMode="External" Id="rId1102"/><Relationship Type="http://schemas.openxmlformats.org/officeDocument/2006/relationships/hyperlink" Target="https://github.com/ethandeysel/Data-Risk-Compliance/blob/main/data/acts/GDPR/esma_cloud_guidelines%20%28GDPR%20-%20Row%208%29.pdf" TargetMode="External" Id="rId1103"/><Relationship Type="http://schemas.openxmlformats.org/officeDocument/2006/relationships/hyperlink" Target="https://github.com/ethandeysel/Data-Risk-Compliance/blob/main/data/acts/GDPR/esma_cloud_guidelines%20%28GDPR%20-%20Row%208%29.pdf" TargetMode="External" Id="rId1104"/><Relationship Type="http://schemas.openxmlformats.org/officeDocument/2006/relationships/hyperlink" Target="https://github.com/ethandeysel/Data-Risk-Compliance/blob/main/data/acts/GDPR/esma_cloud_guidelines%20%28GDPR%20-%20Row%208%29.pdf" TargetMode="External" Id="rId1105"/><Relationship Type="http://schemas.openxmlformats.org/officeDocument/2006/relationships/hyperlink" Target="https://github.com/ethandeysel/Data-Risk-Compliance/blob/main/data/acts/GDPR/esma_cloud_guidelines%20%28GDPR%20-%20Row%208%29.pdf" TargetMode="External" Id="rId1106"/><Relationship Type="http://schemas.openxmlformats.org/officeDocument/2006/relationships/hyperlink" Target="https://github.com/ethandeysel/Data-Risk-Compliance/blob/main/data/acts/GDPR/esma_cloud_guidelines%20%28GDPR%20-%20Row%208%29.pdf" TargetMode="External" Id="rId1107"/><Relationship Type="http://schemas.openxmlformats.org/officeDocument/2006/relationships/hyperlink" Target="https://github.com/ethandeysel/Data-Risk-Compliance/blob/main/data/acts/GDPR/esma_cloud_guidelines%20%28GDPR%20-%20Row%208%29.pdf" TargetMode="External" Id="rId1108"/><Relationship Type="http://schemas.openxmlformats.org/officeDocument/2006/relationships/hyperlink" Target="https://github.com/ethandeysel/Data-Risk-Compliance/blob/main/data/acts/GDPR/esma_cloud_guidelines%20%28GDPR%20-%20Row%208%29.pdf" TargetMode="External" Id="rId1109"/><Relationship Type="http://schemas.openxmlformats.org/officeDocument/2006/relationships/hyperlink" Target="https://github.com/ethandeysel/Data-Risk-Compliance/blob/main/data/acts/GDPR/esma_cloud_guidelines%20%28GDPR%20-%20Row%208%29.pdf" TargetMode="External" Id="rId1110"/><Relationship Type="http://schemas.openxmlformats.org/officeDocument/2006/relationships/hyperlink" Target="https://github.com/ethandeysel/Data-Risk-Compliance/blob/main/data/acts/GDPR/esma_cloud_guidelines%20%28GDPR%20-%20Row%208%29.pdf" TargetMode="External" Id="rId1111"/><Relationship Type="http://schemas.openxmlformats.org/officeDocument/2006/relationships/hyperlink" Target="https://github.com/ethandeysel/Data-Risk-Compliance/blob/main/data/acts/GDPR/esma_cloud_guidelines%20%28GDPR%20-%20Row%208%29.pdf" TargetMode="External" Id="rId1112"/><Relationship Type="http://schemas.openxmlformats.org/officeDocument/2006/relationships/hyperlink" Target="https://github.com/ethandeysel/Data-Risk-Compliance/blob/main/data/acts/GDPR/esma_cloud_guidelines%20%28GDPR%20-%20Row%208%29.pdf" TargetMode="External" Id="rId1113"/><Relationship Type="http://schemas.openxmlformats.org/officeDocument/2006/relationships/hyperlink" Target="https://github.com/ethandeysel/Data-Risk-Compliance/blob/main/data/acts/GDPR/esma_cloud_guidelines%20%28GDPR%20-%20Row%208%29.pdf" TargetMode="External" Id="rId1114"/><Relationship Type="http://schemas.openxmlformats.org/officeDocument/2006/relationships/hyperlink" Target="https://github.com/ethandeysel/Data-Risk-Compliance/blob/main/data/acts/GDPR/esma_cloud_guidelines%20%28GDPR%20-%20Row%208%29.pdf" TargetMode="External" Id="rId1115"/><Relationship Type="http://schemas.openxmlformats.org/officeDocument/2006/relationships/hyperlink" Target="https://github.com/ethandeysel/Data-Risk-Compliance/blob/main/data/acts/India/Guidelines%20on%20Information%20and%20Cyber%20Security%20%28India%20-%20Row%208%29.pdf" TargetMode="External" Id="rId1116"/><Relationship Type="http://schemas.openxmlformats.org/officeDocument/2006/relationships/hyperlink" Target="https://github.com/ethandeysel/Data-Risk-Compliance/blob/main/data/acts/India/Guidelines%20on%20Information%20and%20Cyber%20Security%20%28India%20-%20Row%208%29.pdf" TargetMode="External" Id="rId1117"/><Relationship Type="http://schemas.openxmlformats.org/officeDocument/2006/relationships/hyperlink" Target="https://github.com/ethandeysel/Data-Risk-Compliance/blob/main/data/acts/India/NT75589AC4A988D446CA94182886F6D8EADD%20%28India%20-%20Row%2013%29%20PROVISIONALLY.pdf" TargetMode="External" Id="rId1118"/><Relationship Type="http://schemas.openxmlformats.org/officeDocument/2006/relationships/hyperlink" Target="https://github.com/ethandeysel/Data-Risk-Compliance/blob/main/data/acts/India/Payment%20and%20Settlement%20Systems%20Act%2C%202007%20%28India%20-%20Row%2011%29.pdf" TargetMode="External" Id="rId1119"/><Relationship Type="http://schemas.openxmlformats.org/officeDocument/2006/relationships/hyperlink" Target="https://github.com/ethandeysel/Data-Risk-Compliance/blob/main/data/acts/India/Payment%20and%20Settlement%20Systems%20Act%2C%202007%20%28India%20-%20Row%2011%29.pdf" TargetMode="External" Id="rId1120"/><Relationship Type="http://schemas.openxmlformats.org/officeDocument/2006/relationships/hyperlink" Target="https://github.com/ethandeysel/Data-Risk-Compliance/blob/main/data/acts/India/Payment%20and%20Settlement%20Systems%20Act%2C%202007%20%28India%20-%20Row%2011%29.pdf" TargetMode="External" Id="rId1121"/><Relationship Type="http://schemas.openxmlformats.org/officeDocument/2006/relationships/hyperlink" Target="https://github.com/ethandeysel/Data-Risk-Compliance/blob/main/data/acts/India/Payment%20and%20Settlement%20Systems%20Act%2C%202007%20%28India%20-%20Row%2011%29.pdf" TargetMode="External" Id="rId1122"/><Relationship Type="http://schemas.openxmlformats.org/officeDocument/2006/relationships/hyperlink" Target="https://github.com/ethandeysel/Data-Risk-Compliance/blob/main/data/acts/India/Payment%20and%20Settlement%20Systems%20Act%2C%202007%20%28India%20-%20Row%2011%29.pdf" TargetMode="External" Id="rId1123"/><Relationship Type="http://schemas.openxmlformats.org/officeDocument/2006/relationships/hyperlink" Target="https://github.com/ethandeysel/Data-Risk-Compliance/blob/main/data/acts/India/Payment%20and%20Settlement%20Systems%20Act%2C%202007%20%28India%20-%20Row%2011%29.pdf" TargetMode="External" Id="rId1124"/><Relationship Type="http://schemas.openxmlformats.org/officeDocument/2006/relationships/hyperlink" Target="https://github.com/ethandeysel/Data-Risk-Compliance/blob/main/data/acts/India/Payment%20and%20Settlement%20Systems%20Act%2C%202007%20%28India%20-%20Row%2011%29.pdf" TargetMode="External" Id="rId1125"/><Relationship Type="http://schemas.openxmlformats.org/officeDocument/2006/relationships/hyperlink" Target="https://github.com/ethandeysel/Data-Risk-Compliance/blob/main/data/acts/India/Payment%20and%20Settlement%20Systems%20Act%2C%202007%20%28India%20-%20Row%2011%29.pdf" TargetMode="External" Id="rId1126"/><Relationship Type="http://schemas.openxmlformats.org/officeDocument/2006/relationships/hyperlink" Target="https://github.com/ethandeysel/Data-Risk-Compliance/blob/main/data/acts/India/Payment%20and%20Settlement%20Systems%20Act%2C%202007%20%28India%20-%20Row%2011%29.pdf" TargetMode="External" Id="rId1127"/><Relationship Type="http://schemas.openxmlformats.org/officeDocument/2006/relationships/hyperlink" Target="https://github.com/ethandeysel/Data-Risk-Compliance/blob/main/data/acts/India/Payment%20and%20Settlement%20Systems%20Act%2C%202007%20%28India%20-%20Row%2011%29.pdf" TargetMode="External" Id="rId1128"/><Relationship Type="http://schemas.openxmlformats.org/officeDocument/2006/relationships/hyperlink" Target="https://github.com/ethandeysel/Data-Risk-Compliance/blob/main/data/acts/India/Payment%20and%20Settlement%20Systems%20Act%2C%202007%20%28India%20-%20Row%2011%29.pdf" TargetMode="External" Id="rId1129"/><Relationship Type="http://schemas.openxmlformats.org/officeDocument/2006/relationships/hyperlink" Target="https://github.com/ethandeysel/Data-Risk-Compliance/blob/main/data/acts/India/Payment%20and%20Settlement%20Systems%20Act%2C%202007%20%28India%20-%20Row%2011%29.pdf" TargetMode="External" Id="rId1130"/><Relationship Type="http://schemas.openxmlformats.org/officeDocument/2006/relationships/hyperlink" Target="https://github.com/ethandeysel/Data-Risk-Compliance/blob/main/data/acts/India/Payment%20and%20Settlement%20Systems%20Act%2C%202007%20%28India%20-%20Row%2011%29.pdf" TargetMode="External" Id="rId1131"/><Relationship Type="http://schemas.openxmlformats.org/officeDocument/2006/relationships/hyperlink" Target="https://github.com/ethandeysel/Data-Risk-Compliance/blob/main/data/acts/India/Payment%20and%20Settlement%20Systems%20Act%2C%202007%20%28India%20-%20Row%2011%29.pdf" TargetMode="External" Id="rId1132"/><Relationship Type="http://schemas.openxmlformats.org/officeDocument/2006/relationships/hyperlink" Target="https://github.com/ethandeysel/Data-Risk-Compliance/blob/main/data/acts/India/Payment%20and%20Settlement%20Systems%20Act%2C%202007%20%28India%20-%20Row%2011%29.pdf" TargetMode="External" Id="rId1133"/><Relationship Type="http://schemas.openxmlformats.org/officeDocument/2006/relationships/hyperlink" Target="https://github.com/ethandeysel/Data-Risk-Compliance/blob/main/data/acts/India/Payment%20and%20Settlement%20Systems%20Act%2C%202007%20%28India%20-%20Row%2011%29.pdf" TargetMode="External" Id="rId1134"/><Relationship Type="http://schemas.openxmlformats.org/officeDocument/2006/relationships/hyperlink" Target="https://github.com/ethandeysel/Data-Risk-Compliance/blob/main/data/acts/India/Payment%20and%20Settlement%20Systems%20Act%2C%202007%20%28India%20-%20Row%2011%29.pdf" TargetMode="External" Id="rId1135"/><Relationship Type="http://schemas.openxmlformats.org/officeDocument/2006/relationships/hyperlink" Target="https://github.com/ethandeysel/Data-Risk-Compliance/blob/main/data/acts/India/Payment%20and%20Settlement%20Systems%20Act%2C%202007%20%28India%20-%20Row%2011%29.pdf" TargetMode="External" Id="rId1136"/><Relationship Type="http://schemas.openxmlformats.org/officeDocument/2006/relationships/hyperlink" Target="https://github.com/ethandeysel/Data-Risk-Compliance/blob/main/data/acts/India/Payment%20and%20Settlement%20Systems%20Act%2C%202007%20%28India%20-%20Row%2011%29.pdf" TargetMode="External" Id="rId1137"/><Relationship Type="http://schemas.openxmlformats.org/officeDocument/2006/relationships/hyperlink" Target="https://github.com/ethandeysel/Data-Risk-Compliance/blob/main/data/acts/India/Payment%20and%20Settlement%20Systems%20Act%2C%202007%20%28India%20-%20Row%2011%29.pdf" TargetMode="External" Id="rId1138"/><Relationship Type="http://schemas.openxmlformats.org/officeDocument/2006/relationships/hyperlink" Target="https://github.com/ethandeysel/Data-Risk-Compliance/blob/main/data/acts/India/Payment%20and%20Settlement%20Systems%20Act%2C%202007%20%28India%20-%20Row%2011%29.pdf" TargetMode="External" Id="rId1139"/><Relationship Type="http://schemas.openxmlformats.org/officeDocument/2006/relationships/hyperlink" Target="https://github.com/ethandeysel/Data-Risk-Compliance/blob/main/data/acts/India/Payment%20and%20Settlement%20Systems%20Act%2C%202007%20%28India%20-%20Row%2011%29.pdf" TargetMode="External" Id="rId1140"/><Relationship Type="http://schemas.openxmlformats.org/officeDocument/2006/relationships/hyperlink" Target="https://github.com/ethandeysel/Data-Risk-Compliance/blob/main/data/acts/India/Payment%20and%20Settlement%20Systems%20Act%2C%202007%20%28India%20-%20Row%2011%29.pdf" TargetMode="External" Id="rId1141"/><Relationship Type="http://schemas.openxmlformats.org/officeDocument/2006/relationships/hyperlink" Target="https://github.com/ethandeysel/Data-Risk-Compliance/blob/main/data/acts/India/Payment%20and%20Settlement%20Systems%20Act%2C%202007%20%28India%20-%20Row%2011%29.pdf" TargetMode="External" Id="rId1142"/><Relationship Type="http://schemas.openxmlformats.org/officeDocument/2006/relationships/hyperlink" Target="https://github.com/ethandeysel/Data-Risk-Compliance/blob/main/data/acts/India/Payment%20and%20Settlement%20Systems%20Act%2C%202007%20%28India%20-%20Row%2011%29.pdf" TargetMode="External" Id="rId1143"/><Relationship Type="http://schemas.openxmlformats.org/officeDocument/2006/relationships/hyperlink" Target="https://github.com/ethandeysel/Data-Risk-Compliance/blob/main/data/acts/India/Payment%20and%20Settlement%20Systems%20Act%2C%202007%20%28India%20-%20Row%2011%29.pdf" TargetMode="External" Id="rId1144"/><Relationship Type="http://schemas.openxmlformats.org/officeDocument/2006/relationships/hyperlink" Target="https://github.com/ethandeysel/Data-Risk-Compliance/blob/main/data/acts/India/Payment%20and%20Settlement%20Systems%20Act%2C%202007%20%28India%20-%20Row%2011%29.pdf" TargetMode="External" Id="rId1145"/><Relationship Type="http://schemas.openxmlformats.org/officeDocument/2006/relationships/hyperlink" Target="https://github.com/ethandeysel/Data-Risk-Compliance/blob/main/data/acts/India/Payment%20and%20Settlement%20Systems%20Act%2C%202007%20%28India%20-%20Row%2011%29.pdf" TargetMode="External" Id="rId1146"/><Relationship Type="http://schemas.openxmlformats.org/officeDocument/2006/relationships/hyperlink" Target="https://github.com/ethandeysel/Data-Risk-Compliance/blob/main/data/acts/India/Payment%20and%20Settlement%20Systems%20Act%2C%202007%20%28India%20-%20Row%2011%29.pdf" TargetMode="External" Id="rId1147"/><Relationship Type="http://schemas.openxmlformats.org/officeDocument/2006/relationships/hyperlink" Target="https://github.com/ethandeysel/Data-Risk-Compliance/blob/main/data/acts/India/Payment%20and%20Settlement%20Systems%20Act%2C%202007%20%28India%20-%20Row%2011%29.pdf" TargetMode="External" Id="rId1148"/><Relationship Type="http://schemas.openxmlformats.org/officeDocument/2006/relationships/hyperlink" Target="https://github.com/ethandeysel/Data-Risk-Compliance/blob/main/data/acts/India/Payment%20and%20Settlement%20Systems%20Act%2C%202007%20%28India%20-%20Row%2011%29.pdf" TargetMode="External" Id="rId1149"/><Relationship Type="http://schemas.openxmlformats.org/officeDocument/2006/relationships/hyperlink" Target="https://github.com/ethandeysel/Data-Risk-Compliance/blob/main/data/acts/India/Payment%20and%20Settlement%20Systems%20Act%2C%202007%20%28India%20-%20Row%2011%29.pdf" TargetMode="External" Id="rId1150"/><Relationship Type="http://schemas.openxmlformats.org/officeDocument/2006/relationships/hyperlink" Target="https://github.com/ethandeysel/Data-Risk-Compliance/blob/main/data/acts/India/Payment%20and%20Settlement%20Systems%20Act%2C%202007%20%28India%20-%20Row%2011%29.pdf" TargetMode="External" Id="rId1151"/><Relationship Type="http://schemas.openxmlformats.org/officeDocument/2006/relationships/hyperlink" Target="https://github.com/ethandeysel/Data-Risk-Compliance/blob/main/data/acts/India/Payment%20and%20Settlement%20Systems%20Act%2C%202007%20%28India%20-%20Row%2011%29.pdf" TargetMode="External" Id="rId1152"/><Relationship Type="http://schemas.openxmlformats.org/officeDocument/2006/relationships/hyperlink" Target="https://github.com/ethandeysel/Data-Risk-Compliance/blob/main/data/acts/India/Payment%20and%20Settlement%20Systems%20Act%2C%202007%20%28India%20-%20Row%2011%29.pdf" TargetMode="External" Id="rId1153"/><Relationship Type="http://schemas.openxmlformats.org/officeDocument/2006/relationships/hyperlink" Target="https://github.com/ethandeysel/Data-Risk-Compliance/blob/main/data/acts/India/Payment%20and%20Settlement%20Systems%20Act%2C%202007%20%28India%20-%20Row%2011%29.pdf" TargetMode="External" Id="rId1154"/><Relationship Type="http://schemas.openxmlformats.org/officeDocument/2006/relationships/hyperlink" Target="https://github.com/ethandeysel/Data-Risk-Compliance/blob/main/data/acts/India/Payment%20and%20Settlement%20Systems%20Act%2C%202007%20%28India%20-%20Row%2011%29.pdf" TargetMode="External" Id="rId1155"/><Relationship Type="http://schemas.openxmlformats.org/officeDocument/2006/relationships/hyperlink" Target="https://github.com/ethandeysel/Data-Risk-Compliance/blob/main/data/acts/India/Payment%20and%20Settlement%20Systems%20Act%2C%202007%20%28India%20-%20Row%2011%29.pdf" TargetMode="External" Id="rId1156"/><Relationship Type="http://schemas.openxmlformats.org/officeDocument/2006/relationships/hyperlink" Target="https://github.com/ethandeysel/Data-Risk-Compliance/blob/main/data/acts/India/Payment%20and%20Settlement%20Systems%20Act%2C%202007%20%28India%20-%20Row%2011%29.pdf" TargetMode="External" Id="rId1157"/><Relationship Type="http://schemas.openxmlformats.org/officeDocument/2006/relationships/hyperlink" Target="https://github.com/ethandeysel/Data-Risk-Compliance/blob/main/data/acts/India/Payment%20and%20Settlement%20Systems%20Act%2C%202007%20%28India%20-%20Row%2011%29.pdf" TargetMode="External" Id="rId1158"/><Relationship Type="http://schemas.openxmlformats.org/officeDocument/2006/relationships/hyperlink" Target="https://github.com/ethandeysel/Data-Risk-Compliance/blob/main/data/acts/India/Payment%20and%20Settlement%20Systems%20Act%2C%202007%20%28India%20-%20Row%2011%29.pdf" TargetMode="External" Id="rId1159"/><Relationship Type="http://schemas.openxmlformats.org/officeDocument/2006/relationships/hyperlink" Target="https://github.com/ethandeysel/Data-Risk-Compliance/blob/main/data/acts/India/Payment%20and%20Settlement%20Systems%20Act%2C%202007%20%28India%20-%20Row%2011%29.pdf" TargetMode="External" Id="rId1160"/><Relationship Type="http://schemas.openxmlformats.org/officeDocument/2006/relationships/hyperlink" Target="https://github.com/ethandeysel/Data-Risk-Compliance/blob/main/data/acts/India/Payment%20and%20Settlement%20Systems%20Act%2C%202007%20%28India%20-%20Row%2011%29.pdf" TargetMode="External" Id="rId1161"/><Relationship Type="http://schemas.openxmlformats.org/officeDocument/2006/relationships/hyperlink" Target="https://github.com/ethandeysel/Data-Risk-Compliance/blob/main/data/acts/India/Payment%20and%20Settlement%20Systems%20Act%2C%202007%20%28India%20-%20Row%2011%29.pdf" TargetMode="External" Id="rId1162"/><Relationship Type="http://schemas.openxmlformats.org/officeDocument/2006/relationships/hyperlink" Target="https://github.com/ethandeysel/Data-Risk-Compliance/blob/main/data/acts/India/Payment%20and%20Settlement%20Systems%20Act%2C%202007%20%28India%20-%20Row%2011%29.pdf" TargetMode="External" Id="rId1163"/><Relationship Type="http://schemas.openxmlformats.org/officeDocument/2006/relationships/hyperlink" Target="https://github.com/ethandeysel/Data-Risk-Compliance/blob/main/data/acts/India/Payment%20and%20Settlement%20Systems%20Act%2C%202007%20%28India%20-%20Row%2011%29.pdf" TargetMode="External" Id="rId1164"/><Relationship Type="http://schemas.openxmlformats.org/officeDocument/2006/relationships/hyperlink" Target="https://github.com/ethandeysel/Data-Risk-Compliance/blob/main/data/acts/India/Payment%20and%20Settlement%20Systems%20Act%2C%202007%20%28India%20-%20Row%2011%29.pdf" TargetMode="External" Id="rId1165"/><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66"/><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67"/><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68"/><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69"/><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0"/><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1"/><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2"/><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3"/><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4"/><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5"/><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6"/><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7"/><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8"/><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79"/><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0"/><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1"/><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2"/><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3"/><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4"/><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5"/><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6"/><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7"/><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8"/><Relationship Type="http://schemas.openxmlformats.org/officeDocument/2006/relationships/hyperlink" Target="https://github.com/ethandeysel/Data-Risk-Compliance/blob/main/data/acts/India/RBI%20Digital%20Lending%20Directions%202025%20Digital%20Lending%20Guidelines%202022%20%28India%20-%20Row%2014%29.pdf" TargetMode="External" Id="rId1189"/><Relationship Type="http://schemas.openxmlformats.org/officeDocument/2006/relationships/hyperlink" Target="https://github.com/ethandeysel/Data-Risk-Compliance/blob/main/data/acts/India/RBI%20Master%20Direction%20on%20Information%20Technology%20Framework%20for%20NBFC%20Sector%20%282017%29%20%28India%20-%20Row%2015%29.pdf" TargetMode="External" Id="rId1190"/><Relationship Type="http://schemas.openxmlformats.org/officeDocument/2006/relationships/hyperlink" Target="https://github.com/ethandeysel/Data-Risk-Compliance/blob/main/data/acts/India/RBI%20Master%20Direction%20on%20Information%20Technology%20Framework%20for%20NBFC%20Sector%20%282017%29%20%28India%20-%20Row%2015%29.pdf" TargetMode="External" Id="rId1191"/><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2"/><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3"/><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4"/><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5"/><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6"/><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7"/><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8"/><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199"/><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0"/><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1"/><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2"/><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3"/><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4"/><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5"/><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6"/><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7"/><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8"/><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09"/><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0"/><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1"/><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2"/><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3"/><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4"/><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5"/><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6"/><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7"/><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8"/><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19"/><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0"/><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1"/><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2"/><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3"/><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4"/><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5"/><Relationship Type="http://schemas.openxmlformats.org/officeDocument/2006/relationships/hyperlink" Target="https://github.com/ethandeysel/Data-Risk-Compliance/blob/main/data/acts/India/RBI%20Master%20Direction%20on%20Outsourcing%20of%20IT%20Services%20%28MDS%20on%20IT%20Outsourcing%2C%202023%29%20%28India%20-%20Row%2016%29.pdf" TargetMode="External" Id="rId1226"/><Relationship Type="http://schemas.openxmlformats.org/officeDocument/2006/relationships/hyperlink" Target="https://github.com/ethandeysel/Data-Risk-Compliance/blob/main/data/acts/India/RBI%20Payment%20Data%20Localisation%20Requirement%20%28India%20-%20Row%2017%29.pdf" TargetMode="External" Id="rId1227"/><Relationship Type="http://schemas.openxmlformats.org/officeDocument/2006/relationships/hyperlink" Target="https://github.com/ethandeysel/Data-Risk-Compliance/blob/main/data/acts/India/RBI%20Payment%20Data%20Localisation%20Requirement%20%28India%20-%20Row%2017%29.pdf" TargetMode="External" Id="rId1228"/><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29"/><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0"/><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1"/><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2"/><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3"/><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4"/><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5"/><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6"/><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7"/><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8"/><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39"/><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0"/><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1"/><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2"/><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3"/><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4"/><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5"/><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6"/><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7"/><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8"/><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49"/><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0"/><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1"/><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2"/><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3"/><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4"/><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5"/><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6"/><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7"/><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8"/><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59"/><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60"/><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61"/><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62"/><Relationship Type="http://schemas.openxmlformats.org/officeDocument/2006/relationships/hyperlink" Target="https://github.com/ethandeysel/Data-Risk-Compliance/blob/main/data/acts/India/Reserve%20Bank%20of%20India%20%E2%80%93%20IT%20Governance%20and%20Cybersecurity%20Regulatory%20Framework%20%28including%20Master%20Directions%20and%20Cyber%20Security%20Framework%29%20%28India%20-%20Row%2018%29.pdf" TargetMode="External" Id="rId1263"/><Relationship Type="http://schemas.openxmlformats.org/officeDocument/2006/relationships/hyperlink" Target="https://github.com/ethandeysel/Data-Risk-Compliance/blob/main/data/acts/India/SEBI%20Master%20Circular%20for%20Alternative%20Investment%20Funds%20%28India%20-%20Row%2025%29.pdf" TargetMode="External" Id="rId1264"/><Relationship Type="http://schemas.openxmlformats.org/officeDocument/2006/relationships/hyperlink" Target="https://github.com/ethandeysel/Data-Risk-Compliance/blob/main/data/acts/India/SEBI%20Master%20Circular%20for%20Alternative%20Investment%20Funds%20%28India%20-%20Row%2025%29.pdf" TargetMode="External" Id="rId1265"/><Relationship Type="http://schemas.openxmlformats.org/officeDocument/2006/relationships/hyperlink" Target="https://github.com/ethandeysel/Data-Risk-Compliance/blob/main/data/acts/India/SEBI%20Master%20Circular%20for%20Alternative%20Investment%20Funds%20%28India%20-%20Row%2025%29.pdf" TargetMode="External" Id="rId1266"/><Relationship Type="http://schemas.openxmlformats.org/officeDocument/2006/relationships/hyperlink" Target="https://github.com/ethandeysel/Data-Risk-Compliance/blob/main/data/acts/India/SEBI%20Master%20Circular%20for%20Alternative%20Investment%20Funds%20%28India%20-%20Row%2025%29.pdf" TargetMode="External" Id="rId1267"/><Relationship Type="http://schemas.openxmlformats.org/officeDocument/2006/relationships/hyperlink" Target="https://github.com/ethandeysel/Data-Risk-Compliance/blob/main/data/acts/India/SEBI%20Master%20Circular%20for%20Alternative%20Investment%20Funds%20%28India%20-%20Row%2025%29.pdf" TargetMode="External" Id="rId1268"/><Relationship Type="http://schemas.openxmlformats.org/officeDocument/2006/relationships/hyperlink" Target="https://github.com/ethandeysel/Data-Risk-Compliance/blob/main/data/acts/India/SEBI%20Master%20Circular%20for%20Alternative%20Investment%20Funds%20%28India%20-%20Row%2025%29.pdf" TargetMode="External" Id="rId1269"/><Relationship Type="http://schemas.openxmlformats.org/officeDocument/2006/relationships/hyperlink" Target="https://github.com/ethandeysel/Data-Risk-Compliance/blob/main/data/acts/India/SEBI%20Master%20Circular%20for%20Alternative%20Investment%20Funds%20%28India%20-%20Row%2025%29.pdf" TargetMode="External" Id="rId1270"/><Relationship Type="http://schemas.openxmlformats.org/officeDocument/2006/relationships/hyperlink" Target="https://github.com/ethandeysel/Data-Risk-Compliance/blob/main/data/acts/India/SEBI%20Master%20Circular%20for%20Alternative%20Investment%20Funds%20%28India%20-%20Row%2025%29.pdf" TargetMode="External" Id="rId1271"/><Relationship Type="http://schemas.openxmlformats.org/officeDocument/2006/relationships/hyperlink" Target="https://github.com/ethandeysel/Data-Risk-Compliance/blob/main/data/acts/India/SEBI%20Master%20Circular%20for%20Alternative%20Investment%20Funds%20%28India%20-%20Row%2025%29.pdf" TargetMode="External" Id="rId1272"/><Relationship Type="http://schemas.openxmlformats.org/officeDocument/2006/relationships/hyperlink" Target="https://github.com/ethandeysel/Data-Risk-Compliance/blob/main/data/acts/India/SEBI%20Master%20Circular%20for%20Alternative%20Investment%20Funds%20%28India%20-%20Row%2025%29.pdf" TargetMode="External" Id="rId1273"/><Relationship Type="http://schemas.openxmlformats.org/officeDocument/2006/relationships/hyperlink" Target="https://github.com/ethandeysel/Data-Risk-Compliance/blob/main/data/acts/India/SEBI%20Master%20Circular%20for%20Alternative%20Investment%20Funds%20%28India%20-%20Row%2025%29.pdf" TargetMode="External" Id="rId1274"/><Relationship Type="http://schemas.openxmlformats.org/officeDocument/2006/relationships/hyperlink" Target="https://github.com/ethandeysel/Data-Risk-Compliance/blob/main/data/acts/India/SEBI%20Master%20Circular%20for%20Alternative%20Investment%20Funds%20%28India%20-%20Row%2025%29.pdf" TargetMode="External" Id="rId1275"/><Relationship Type="http://schemas.openxmlformats.org/officeDocument/2006/relationships/hyperlink" Target="https://github.com/ethandeysel/Data-Risk-Compliance/blob/main/data/acts/India/SEBI%20Master%20Circular%20for%20Alternative%20Investment%20Funds%20%28India%20-%20Row%2025%29.pdf" TargetMode="External" Id="rId1276"/><Relationship Type="http://schemas.openxmlformats.org/officeDocument/2006/relationships/hyperlink" Target="https://github.com/ethandeysel/Data-Risk-Compliance/blob/main/data/acts/India/SEBI%20Master%20Circular%20for%20Alternative%20Investment%20Funds%20%28India%20-%20Row%2025%29.pdf" TargetMode="External" Id="rId1277"/><Relationship Type="http://schemas.openxmlformats.org/officeDocument/2006/relationships/hyperlink" Target="https://github.com/ethandeysel/Data-Risk-Compliance/blob/main/data/acts/India/SEBI%20Master%20Circular%20for%20Alternative%20Investment%20Funds%20%28India%20-%20Row%2025%29.pdf" TargetMode="External" Id="rId1278"/><Relationship Type="http://schemas.openxmlformats.org/officeDocument/2006/relationships/hyperlink" Target="https://github.com/ethandeysel/Data-Risk-Compliance/blob/main/data/acts/India/SEBI%20Master%20Circular%20for%20Alternative%20Investment%20Funds%20%28India%20-%20Row%2025%29.pdf" TargetMode="External" Id="rId1279"/><Relationship Type="http://schemas.openxmlformats.org/officeDocument/2006/relationships/hyperlink" Target="https://github.com/ethandeysel/Data-Risk-Compliance/blob/main/data/acts/India/SEBI%20Master%20Circular%20for%20Alternative%20Investment%20Funds%20%28India%20-%20Row%2025%29.pdf" TargetMode="External" Id="rId1280"/><Relationship Type="http://schemas.openxmlformats.org/officeDocument/2006/relationships/hyperlink" Target="https://github.com/ethandeysel/Data-Risk-Compliance/blob/main/data/acts/India/SEBI%20Master%20Circular%20for%20Alternative%20Investment%20Funds%20%28India%20-%20Row%2025%29.pdf" TargetMode="External" Id="rId1281"/><Relationship Type="http://schemas.openxmlformats.org/officeDocument/2006/relationships/hyperlink" Target="https://github.com/ethandeysel/Data-Risk-Compliance/blob/main/data/acts/India/SEBI%20Master%20Circular%20for%20Alternative%20Investment%20Funds%20%28India%20-%20Row%2025%29.pdf" TargetMode="External" Id="rId1282"/><Relationship Type="http://schemas.openxmlformats.org/officeDocument/2006/relationships/hyperlink" Target="https://github.com/ethandeysel/Data-Risk-Compliance/blob/main/data/acts/India/SEBI%20Master%20Circular%20for%20Alternative%20Investment%20Funds%20%28India%20-%20Row%2025%29.pdf" TargetMode="External" Id="rId1283"/><Relationship Type="http://schemas.openxmlformats.org/officeDocument/2006/relationships/hyperlink" Target="https://github.com/ethandeysel/Data-Risk-Compliance/blob/main/data/acts/India/SEBI%20Master%20Circular%20for%20Alternative%20Investment%20Funds%20%28India%20-%20Row%2025%29.pdf" TargetMode="External" Id="rId1284"/><Relationship Type="http://schemas.openxmlformats.org/officeDocument/2006/relationships/hyperlink" Target="https://github.com/ethandeysel/Data-Risk-Compliance/blob/main/data/acts/India/SEBI%20Master%20Circular%20for%20Alternative%20Investment%20Funds%20%28India%20-%20Row%2025%29.pdf" TargetMode="External" Id="rId1285"/><Relationship Type="http://schemas.openxmlformats.org/officeDocument/2006/relationships/hyperlink" Target="https://github.com/ethandeysel/Data-Risk-Compliance/blob/main/data/acts/India/SEBI%20Master%20Circular%20for%20Alternative%20Investment%20Funds%20%28India%20-%20Row%2025%29.pdf" TargetMode="External" Id="rId1286"/><Relationship Type="http://schemas.openxmlformats.org/officeDocument/2006/relationships/hyperlink" Target="https://github.com/ethandeysel/Data-Risk-Compliance/blob/main/data/acts/India/SEBI%20Master%20Circular%20for%20Alternative%20Investment%20Funds%20%28India%20-%20Row%2025%29.pdf" TargetMode="External" Id="rId1287"/><Relationship Type="http://schemas.openxmlformats.org/officeDocument/2006/relationships/hyperlink" Target="https://github.com/ethandeysel/Data-Risk-Compliance/blob/main/data/acts/India/SEBI%20Master%20Circular%20for%20Alternative%20Investment%20Funds%20%28India%20-%20Row%2025%29.pdf" TargetMode="External" Id="rId1288"/><Relationship Type="http://schemas.openxmlformats.org/officeDocument/2006/relationships/hyperlink" Target="https://github.com/ethandeysel/Data-Risk-Compliance/blob/main/data/acts/India/SEBI%20Master%20Circular%20for%20Alternative%20Investment%20Funds%20%28India%20-%20Row%2025%29.pdf" TargetMode="External" Id="rId1289"/><Relationship Type="http://schemas.openxmlformats.org/officeDocument/2006/relationships/hyperlink" Target="https://github.com/ethandeysel/Data-Risk-Compliance/blob/main/data/acts/India/SEBI%20Master%20Circular%20for%20Alternative%20Investment%20Funds%20%28India%20-%20Row%2025%29.pdf" TargetMode="External" Id="rId1290"/><Relationship Type="http://schemas.openxmlformats.org/officeDocument/2006/relationships/hyperlink" Target="https://github.com/ethandeysel/Data-Risk-Compliance/blob/main/data/acts/India/SEBI%20Master%20Circular%20for%20Alternative%20Investment%20Funds%20%28India%20-%20Row%2025%29.pdf" TargetMode="External" Id="rId1291"/><Relationship Type="http://schemas.openxmlformats.org/officeDocument/2006/relationships/hyperlink" Target="https://github.com/ethandeysel/Data-Risk-Compliance/blob/main/data/acts/India/SEBI%20Master%20Circular%20for%20Alternative%20Investment%20Funds%20%28India%20-%20Row%2025%29.pdf" TargetMode="External" Id="rId1292"/><Relationship Type="http://schemas.openxmlformats.org/officeDocument/2006/relationships/hyperlink" Target="https://github.com/ethandeysel/Data-Risk-Compliance/blob/main/data/acts/India/SEBI%20Master%20Circular%20for%20Alternative%20Investment%20Funds%20%28India%20-%20Row%2025%29.pdf" TargetMode="External" Id="rId1293"/><Relationship Type="http://schemas.openxmlformats.org/officeDocument/2006/relationships/hyperlink" Target="https://github.com/ethandeysel/Data-Risk-Compliance/blob/main/data/acts/India/SEBI%20Master%20Circular%20for%20Alternative%20Investment%20Funds%20%28India%20-%20Row%2025%29.pdf" TargetMode="External" Id="rId1294"/><Relationship Type="http://schemas.openxmlformats.org/officeDocument/2006/relationships/hyperlink" Target="https://github.com/ethandeysel/Data-Risk-Compliance/blob/main/data/acts/India/SEBI%20Master%20Circular%20for%20Alternative%20Investment%20Funds%20%28India%20-%20Row%2025%29.pdf" TargetMode="External" Id="rId1295"/><Relationship Type="http://schemas.openxmlformats.org/officeDocument/2006/relationships/hyperlink" Target="https://github.com/ethandeysel/Data-Risk-Compliance/blob/main/data/acts/India/SEBI%20Master%20Circular%20for%20Alternative%20Investment%20Funds%20%28India%20-%20Row%2025%29.pdf" TargetMode="External" Id="rId1296"/><Relationship Type="http://schemas.openxmlformats.org/officeDocument/2006/relationships/hyperlink" Target="https://github.com/ethandeysel/Data-Risk-Compliance/blob/main/data/acts/India/SEBI%20Master%20Circular%20for%20Alternative%20Investment%20Funds%20%28India%20-%20Row%2025%29.pdf" TargetMode="External" Id="rId1297"/><Relationship Type="http://schemas.openxmlformats.org/officeDocument/2006/relationships/hyperlink" Target="https://github.com/ethandeysel/Data-Risk-Compliance/blob/main/data/acts/India/SEBI%20Master%20Circular%20for%20Alternative%20Investment%20Funds%20%28India%20-%20Row%2025%29.pdf" TargetMode="External" Id="rId1298"/><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299"/><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0"/><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1"/><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2"/><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3"/><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4"/><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5"/><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6"/><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7"/><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8"/><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09"/><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0"/><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1"/><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2"/><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3"/><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4"/><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5"/><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6"/><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7"/><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8"/><Relationship Type="http://schemas.openxmlformats.org/officeDocument/2006/relationships/hyperlink" Target="https://github.com/ethandeysel/Data-Risk-Compliance/blob/main/data/acts/India/guidelines-on-cyber-security-and-cyber-resilience-for-regulated-entities-in-ifscs-1-10032025064412%20%28India%20-%20Row%205%29.pdf" TargetMode="External" Id="rId1319"/><Relationship Type="http://schemas.openxmlformats.org/officeDocument/2006/relationships/hyperlink" Target="https://github.com/ethandeysel/Data-Risk-Compliance/blob/main/data/acts/Kenya/GUIDANCE-NOTE-ON-CYBERSECURITY-FOR-THE-BANKING-SECTOR.pdf" TargetMode="External" Id="rId1320"/><Relationship Type="http://schemas.openxmlformats.org/officeDocument/2006/relationships/hyperlink" Target="https://github.com/ethandeysel/Data-Risk-Compliance/blob/main/data/acts/Kenya/GUIDANCE-NOTE-ON-CYBERSECURITY-FOR-THE-BANKING-SECTOR.pdf" TargetMode="External" Id="rId1321"/><Relationship Type="http://schemas.openxmlformats.org/officeDocument/2006/relationships/hyperlink" Target="https://github.com/ethandeysel/Data-Risk-Compliance/blob/main/data/acts/Kenya/GUIDANCE-NOTE-ON-CYBERSECURITY-FOR-THE-BANKING-SECTOR.pdf" TargetMode="External" Id="rId1322"/><Relationship Type="http://schemas.openxmlformats.org/officeDocument/2006/relationships/hyperlink" Target="https://github.com/ethandeysel/Data-Risk-Compliance/blob/main/data/acts/Kenya/GUIDANCE-NOTE-ON-CYBERSECURITY-FOR-THE-BANKING-SECTOR.pdf" TargetMode="External" Id="rId1323"/><Relationship Type="http://schemas.openxmlformats.org/officeDocument/2006/relationships/hyperlink" Target="https://github.com/ethandeysel/Data-Risk-Compliance/blob/main/data/acts/Kenya/GuidelinesonCybersecurityforPSPs%20%28Kenya%20-%20Row19%29.pdf" TargetMode="External" Id="rId1324"/><Relationship Type="http://schemas.openxmlformats.org/officeDocument/2006/relationships/hyperlink" Target="https://github.com/ethandeysel/Data-Risk-Compliance/blob/main/data/acts/Kenya/GuidelinesonCybersecurityforPSPs%20%28Kenya%20-%20Row19%29.pdf" TargetMode="External" Id="rId1325"/><Relationship Type="http://schemas.openxmlformats.org/officeDocument/2006/relationships/hyperlink" Target="https://github.com/ethandeysel/Data-Risk-Compliance/blob/main/data/acts/Kenya/GuidelinesonCybersecurityforPSPs%20%28Kenya%20-%20Row19%29.pdf" TargetMode="External" Id="rId1326"/><Relationship Type="http://schemas.openxmlformats.org/officeDocument/2006/relationships/hyperlink" Target="https://github.com/ethandeysel/Data-Risk-Compliance/blob/main/data/acts/Kenya/GuidelinesonCybersecurityforPSPs%20%28Kenya%20-%20Row19%29.pdf" TargetMode="External" Id="rId1327"/><Relationship Type="http://schemas.openxmlformats.org/officeDocument/2006/relationships/hyperlink" Target="https://github.com/ethandeysel/Data-Risk-Compliance/blob/main/data/acts/Kenya/GuidelinesonCybersecurityforPSPs%20%28Kenya%20-%20Row19%29.pdf" TargetMode="External" Id="rId1328"/><Relationship Type="http://schemas.openxmlformats.org/officeDocument/2006/relationships/hyperlink" Target="https://github.com/ethandeysel/Data-Risk-Compliance/blob/main/data/acts/Kenya/GuidelinesonCybersecurityforPSPs%20%28Kenya%20-%20Row19%29.pdf" TargetMode="External" Id="rId1329"/><Relationship Type="http://schemas.openxmlformats.org/officeDocument/2006/relationships/hyperlink" Target="https://github.com/ethandeysel/Data-Risk-Compliance/blob/main/data/acts/Kenya/GuidelinesonCybersecurityforPSPs%20%28Kenya%20-%20Row19%29.pdf" TargetMode="External" Id="rId1330"/><Relationship Type="http://schemas.openxmlformats.org/officeDocument/2006/relationships/hyperlink" Target="https://github.com/ethandeysel/Data-Risk-Compliance/blob/main/data/acts/Kenya/THE-DATA-PROTECTION-COMPLAINTS-HANDLING-AND-ENFORCEMENT%20%28Kenya%20-%20Row%2015%29.pdf" TargetMode="External" Id="rId1331"/><Relationship Type="http://schemas.openxmlformats.org/officeDocument/2006/relationships/hyperlink" Target="https://github.com/ethandeysel/Data-Risk-Compliance/blob/main/data/acts/Kenya/THE-DATA-PROTECTION-COMPLAINTS-HANDLING-AND-ENFORCEMENT%20%28Kenya%20-%20Row%2015%29.pdf" TargetMode="External" Id="rId1332"/><Relationship Type="http://schemas.openxmlformats.org/officeDocument/2006/relationships/hyperlink" Target="https://github.com/ethandeysel/Data-Risk-Compliance/blob/main/data/acts/Kenya/THE-DATA-PROTECTION-COMPLAINTS-HANDLING-AND-ENFORCEMENT%20%28Kenya%20-%20Row%2015%29.pdf" TargetMode="External" Id="rId1333"/><Relationship Type="http://schemas.openxmlformats.org/officeDocument/2006/relationships/hyperlink" Target="https://github.com/ethandeysel/Data-Risk-Compliance/blob/main/data/acts/Kenya/THE-DATA-PROTECTION-COMPLAINTS-HANDLING-AND-ENFORCEMENT%20%28Kenya%20-%20Row%2015%29.pdf" TargetMode="External" Id="rId1334"/><Relationship Type="http://schemas.openxmlformats.org/officeDocument/2006/relationships/hyperlink" Target="https://github.com/ethandeysel/Data-Risk-Compliance/blob/main/data/acts/Kenya/THE-DATA-PROTECTION-COMPLAINTS-HANDLING-AND-ENFORCEMENT%20%28Kenya%20-%20Row%2015%29.pdf" TargetMode="External" Id="rId1335"/><Relationship Type="http://schemas.openxmlformats.org/officeDocument/2006/relationships/hyperlink" Target="https://github.com/ethandeysel/Data-Risk-Compliance/blob/main/data/acts/Kenya/THE-DATA-PROTECTION-COMPLAINTS-HANDLING-AND-ENFORCEMENT%20%28Kenya%20-%20Row%2015%29.pdf" TargetMode="External" Id="rId1336"/><Relationship Type="http://schemas.openxmlformats.org/officeDocument/2006/relationships/hyperlink" Target="https://github.com/ethandeysel/Data-Risk-Compliance/blob/main/data/acts/Kenya/THE-DATA-PROTECTION-COMPLAINTS-HANDLING-AND-ENFORCEMENT%20%28Kenya%20-%20Row%2015%29.pdf" TargetMode="External" Id="rId1337"/><Relationship Type="http://schemas.openxmlformats.org/officeDocument/2006/relationships/hyperlink" Target="https://github.com/ethandeysel/Data-Risk-Compliance/blob/main/data/acts/Kenya/THE-DATA-PROTECTION-COMPLAINTS-HANDLING-AND-ENFORCEMENT%20%28Kenya%20-%20Row%2015%29.pdf" TargetMode="External" Id="rId1338"/><Relationship Type="http://schemas.openxmlformats.org/officeDocument/2006/relationships/hyperlink" Target="https://github.com/ethandeysel/Data-Risk-Compliance/blob/main/data/acts/Kenya/THE-DATA-PROTECTION-COMPLAINTS-HANDLING-AND-ENFORCEMENT%20%28Kenya%20-%20Row%2015%29.pdf" TargetMode="External" Id="rId1339"/><Relationship Type="http://schemas.openxmlformats.org/officeDocument/2006/relationships/hyperlink" Target="https://github.com/ethandeysel/Data-Risk-Compliance/blob/main/data/acts/Kenya/THE-DATA-PROTECTION-COMPLAINTS-HANDLING-AND-ENFORCEMENT%20%28Kenya%20-%20Row%2015%29.pdf" TargetMode="External" Id="rId1340"/><Relationship Type="http://schemas.openxmlformats.org/officeDocument/2006/relationships/hyperlink" Target="https://github.com/ethandeysel/Data-Risk-Compliance/blob/main/data/acts/Kenya/THE-DATA-PROTECTION-COMPLAINTS-HANDLING-AND-ENFORCEMENT%20%28Kenya%20-%20Row%2015%29.pdf" TargetMode="External" Id="rId1341"/><Relationship Type="http://schemas.openxmlformats.org/officeDocument/2006/relationships/hyperlink" Target="https://github.com/ethandeysel/Data-Risk-Compliance/blob/main/data/acts/Kenya/THE-DATA-PROTECTION-COMPLAINTS-HANDLING-AND-ENFORCEMENT%20%28Kenya%20-%20Row%2015%29.pdf" TargetMode="External" Id="rId1342"/><Relationship Type="http://schemas.openxmlformats.org/officeDocument/2006/relationships/hyperlink" Target="https://github.com/ethandeysel/Data-Risk-Compliance/blob/main/data/acts/Kenya/THE-DATA-PROTECTION-COMPLAINTS-HANDLING-AND-ENFORCEMENT%20%28Kenya%20-%20Row%2015%29.pdf" TargetMode="External" Id="rId1343"/><Relationship Type="http://schemas.openxmlformats.org/officeDocument/2006/relationships/hyperlink" Target="https://github.com/ethandeysel/Data-Risk-Compliance/blob/main/data/acts/Kenya/THE-DATA-PROTECTION-COMPLAINTS-HANDLING-AND-ENFORCEMENT%20%28Kenya%20-%20Row%2015%29.pdf" TargetMode="External" Id="rId1344"/><Relationship Type="http://schemas.openxmlformats.org/officeDocument/2006/relationships/hyperlink" Target="https://github.com/ethandeysel/Data-Risk-Compliance/blob/main/data/acts/Kenya/THE-DATA-PROTECTION-COMPLAINTS-HANDLING-AND-ENFORCEMENT%20%28Kenya%20-%20Row%2015%29.pdf" TargetMode="External" Id="rId1345"/><Relationship Type="http://schemas.openxmlformats.org/officeDocument/2006/relationships/hyperlink" Target="https://github.com/ethandeysel/Data-Risk-Compliance/blob/main/data/acts/Kenya/THE-DATA-PROTECTION-COMPLAINTS-HANDLING-AND-ENFORCEMENT%20%28Kenya%20-%20Row%2015%29.pdf" TargetMode="External" Id="rId1346"/><Relationship Type="http://schemas.openxmlformats.org/officeDocument/2006/relationships/hyperlink" Target="https://github.com/ethandeysel/Data-Risk-Compliance/blob/main/data/acts/Kenya/THE-DATA-PROTECTION-COMPLAINTS-HANDLING-AND-ENFORCEMENT%20%28Kenya%20-%20Row%2015%29.pdf" TargetMode="External" Id="rId1347"/><Relationship Type="http://schemas.openxmlformats.org/officeDocument/2006/relationships/hyperlink" Target="https://github.com/ethandeysel/Data-Risk-Compliance/blob/main/data/acts/Kenya/THE-DATA-PROTECTION-COMPLAINTS-HANDLING-AND-ENFORCEMENT%20%28Kenya%20-%20Row%2015%29.pdf" TargetMode="External" Id="rId1348"/><Relationship Type="http://schemas.openxmlformats.org/officeDocument/2006/relationships/hyperlink" Target="https://github.com/ethandeysel/Data-Risk-Compliance/blob/main/data/acts/Kenya/THE-DATA-PROTECTION-COMPLAINTS-HANDLING-AND-ENFORCEMENT%20%28Kenya%20-%20Row%2015%29.pdf" TargetMode="External" Id="rId1349"/><Relationship Type="http://schemas.openxmlformats.org/officeDocument/2006/relationships/hyperlink" Target="https://github.com/ethandeysel/Data-Risk-Compliance/blob/main/data/acts/Kenya/THE-DATA-PROTECTION-COMPLAINTS-HANDLING-AND-ENFORCEMENT%20%28Kenya%20-%20Row%2015%29.pdf" TargetMode="External" Id="rId1350"/><Relationship Type="http://schemas.openxmlformats.org/officeDocument/2006/relationships/hyperlink" Target="https://github.com/ethandeysel/Data-Risk-Compliance/blob/main/data/acts/Kenya/THE-DATA-PROTECTION-COMPLAINTS-HANDLING-AND-ENFORCEMENT%20%28Kenya%20-%20Row%2015%29.pdf" TargetMode="External" Id="rId1351"/><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2"/><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3"/><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4"/><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5"/><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6"/><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7"/><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8"/><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59"/><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0"/><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1"/><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2"/><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3"/><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4"/><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5"/><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6"/><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7"/><Relationship Type="http://schemas.openxmlformats.org/officeDocument/2006/relationships/hyperlink" Target="https://github.com/ethandeysel/Data-Risk-Compliance/blob/main/data/acts/Kenya/THE-DATA-PROTECTION-REGISTRATION-OF-DATA-CONTROLLERS-AND-DATA-PROCESSORS-REGULATIONS-2021%20%28Kenya%20%3D%20row17%29.pdf" TargetMode="External" Id="rId1368"/><Relationship Type="http://schemas.openxmlformats.org/officeDocument/2006/relationships/table" Target="/xl/tables/table1.xml" Id="rId1369"/></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6" customWidth="1" min="1" max="1"/>
    <col width="14" customWidth="1" min="2" max="2"/>
  </cols>
  <sheetData>
    <row r="1">
      <c r="A1" s="1" t="inlineStr">
        <is>
          <t>DTIA Compliance Knowledge Base</t>
        </is>
      </c>
    </row>
    <row r="3">
      <c r="A3" s="2" t="inlineStr">
        <is>
          <t>Countries</t>
        </is>
      </c>
      <c r="B3" t="n">
        <v>4</v>
      </c>
    </row>
    <row r="4">
      <c r="A4" s="2" t="inlineStr">
        <is>
          <t>Acts</t>
        </is>
      </c>
      <c r="B4" t="n">
        <v>37</v>
      </c>
    </row>
    <row r="5">
      <c r="A5" s="2" t="inlineStr">
        <is>
          <t>Regulators</t>
        </is>
      </c>
      <c r="B5" t="n">
        <v>43</v>
      </c>
    </row>
    <row r="6">
      <c r="A6" s="2" t="inlineStr">
        <is>
          <t>Topics</t>
        </is>
      </c>
      <c r="B6" t="n">
        <v>27</v>
      </c>
    </row>
    <row r="7">
      <c r="A7" s="2" t="inlineStr">
        <is>
          <t>Compliance sections</t>
        </is>
      </c>
      <c r="B7" t="n">
        <v>1368</v>
      </c>
    </row>
    <row r="10">
      <c r="A10" s="3" t="inlineStr">
        <is>
          <t>How to use</t>
        </is>
      </c>
    </row>
    <row r="11">
      <c r="A11" s="4" t="inlineStr">
        <is>
          <t>1. Open the Query sheet.</t>
        </is>
      </c>
    </row>
    <row r="12">
      <c r="A12" s="4" t="inlineStr">
        <is>
          <t>2. Pick a Country, Category, Topic, Data Type, Financial Relevance or Authority — or type a keyword.</t>
        </is>
      </c>
    </row>
    <row r="13">
      <c r="A13" s="4" t="inlineStr">
        <is>
          <t>3. Matching sections appear below, each with its Act and page reference for the source document.</t>
        </is>
      </c>
    </row>
    <row r="14">
      <c r="A14" s="4" t="inlineStr">
        <is>
          <t>4. The Data Transfer sheet answers cross-border questions: pick two countries and see every relevant act/section from either side of the transfer.</t>
        </is>
      </c>
    </row>
    <row r="15">
      <c r="A15" s="4" t="inlineStr">
        <is>
          <t>5. The Compliance Database sheet holds every extracted section; Acts / Regulators / Topics summarise them.</t>
        </is>
      </c>
    </row>
  </sheetData>
  <mergeCells count="6">
    <mergeCell ref="A13:C13"/>
    <mergeCell ref="A11:C11"/>
    <mergeCell ref="A1:C1"/>
    <mergeCell ref="A14:C14"/>
    <mergeCell ref="A12:C1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81"/>
  <sheetViews>
    <sheetView showGridLines="0" workbookViewId="0">
      <pane ySplit="13" topLeftCell="A14" activePane="bottomLeft" state="frozen"/>
      <selection pane="bottomLeft" activeCell="A1" sqref="A1"/>
    </sheetView>
  </sheetViews>
  <sheetFormatPr baseColWidth="8" defaultRowHeight="15"/>
  <cols>
    <col width="16" customWidth="1" min="1" max="1"/>
    <col width="18" customWidth="1" min="2" max="2"/>
    <col width="18" customWidth="1" min="3" max="3"/>
    <col width="45" customWidth="1" min="4" max="4"/>
    <col width="18" customWidth="1" min="5" max="5"/>
    <col width="18" customWidth="1" min="6" max="6"/>
    <col width="18" customWidth="1" min="7" max="7"/>
    <col width="45" customWidth="1" min="8" max="8"/>
    <col width="45" customWidth="1" min="9" max="9"/>
    <col width="18" customWidth="1" min="10" max="10"/>
    <col width="45" customWidth="1" min="11" max="11"/>
    <col width="45" customWidth="1" min="12" max="12"/>
    <col width="100" customWidth="1" min="13" max="13"/>
    <col width="45" customWidth="1" min="14" max="14"/>
    <col width="18" customWidth="1" min="15" max="15"/>
  </cols>
  <sheetData>
    <row r="1">
      <c r="A1" s="1" t="inlineStr">
        <is>
          <t>DTIA Query Engine</t>
        </is>
      </c>
    </row>
    <row r="3">
      <c r="A3" s="5" t="inlineStr">
        <is>
          <t>Choose filters (leave as 'All' to ignore), then read the results below.</t>
        </is>
      </c>
    </row>
    <row r="4">
      <c r="A4" s="2" t="inlineStr">
        <is>
          <t>Country</t>
        </is>
      </c>
      <c r="B4" s="6" t="inlineStr">
        <is>
          <t>All</t>
        </is>
      </c>
    </row>
    <row r="5">
      <c r="A5" s="2" t="inlineStr">
        <is>
          <t>Topic</t>
        </is>
      </c>
      <c r="B5" s="6" t="inlineStr">
        <is>
          <t>All</t>
        </is>
      </c>
    </row>
    <row r="6">
      <c r="A6" s="2" t="inlineStr">
        <is>
          <t>Data Type</t>
        </is>
      </c>
      <c r="B6" s="6" t="inlineStr">
        <is>
          <t>All</t>
        </is>
      </c>
    </row>
    <row r="7">
      <c r="A7" s="2" t="inlineStr">
        <is>
          <t>Financial Relevance</t>
        </is>
      </c>
      <c r="B7" s="6" t="inlineStr">
        <is>
          <t>All</t>
        </is>
      </c>
    </row>
    <row r="8">
      <c r="A8" s="2" t="inlineStr">
        <is>
          <t>Authority</t>
        </is>
      </c>
      <c r="B8" s="6" t="inlineStr">
        <is>
          <t>All</t>
        </is>
      </c>
    </row>
    <row r="9">
      <c r="A9" s="2" t="inlineStr">
        <is>
          <t>Keyword (free text)</t>
        </is>
      </c>
      <c r="B9" s="6" t="inlineStr"/>
    </row>
    <row r="12">
      <c r="A12" s="2" t="inlineStr">
        <is>
          <t>Matching sections (of 1368 total):</t>
        </is>
      </c>
      <c r="C12" s="2">
        <f>Engine!$D$1</f>
        <v/>
      </c>
    </row>
    <row r="13">
      <c r="A13" s="7" t="inlineStr">
        <is>
          <t>Country</t>
        </is>
      </c>
      <c r="B13" s="7" t="inlineStr">
        <is>
          <t>Act</t>
        </is>
      </c>
      <c r="C13" s="7" t="inlineStr">
        <is>
          <t>Section</t>
        </is>
      </c>
      <c r="D13" s="7" t="inlineStr">
        <is>
          <t>Heading</t>
        </is>
      </c>
      <c r="E13" s="7" t="inlineStr">
        <is>
          <t>Pages</t>
        </is>
      </c>
      <c r="F13" s="7" t="inlineStr">
        <is>
          <t>Financial Relevance</t>
        </is>
      </c>
      <c r="G13" s="7" t="inlineStr">
        <is>
          <t>Confidence</t>
        </is>
      </c>
      <c r="H13" s="7" t="inlineStr">
        <is>
          <t>Topics</t>
        </is>
      </c>
      <c r="I13" s="7" t="inlineStr">
        <is>
          <t>Data Types</t>
        </is>
      </c>
      <c r="J13" s="7" t="inlineStr">
        <is>
          <t>Authority</t>
        </is>
      </c>
      <c r="K13" s="7" t="inlineStr">
        <is>
          <t>Summary</t>
        </is>
      </c>
      <c r="L13" s="7" t="inlineStr">
        <is>
          <t>DTIA Summary</t>
        </is>
      </c>
      <c r="M13" s="7" t="inlineStr">
        <is>
          <t>Requirements</t>
        </is>
      </c>
      <c r="N13" s="7" t="inlineStr">
        <is>
          <t>Source Quote</t>
        </is>
      </c>
      <c r="O13" s="7" t="inlineStr">
        <is>
          <t>Source</t>
        </is>
      </c>
    </row>
    <row r="14" ht="188" customHeight="1">
      <c r="A14" s="8">
        <f>IF(ISNA(MATCH(1,Engine!$C$2:$C$1369,0)),"",INDEX('Compliance Database'!$A$2:$A$1369,MATCH(1,Engine!$C$2:$C$1369,0)))</f>
        <v/>
      </c>
      <c r="B14" s="8">
        <f>IF(ISNA(MATCH(1,Engine!$C$2:$C$1369,0)),"",INDEX('Compliance Database'!$B$2:$B$1369,MATCH(1,Engine!$C$2:$C$1369,0)))</f>
        <v/>
      </c>
      <c r="C14" s="8">
        <f>IF(ISNA(MATCH(1,Engine!$C$2:$C$1369,0)),"",INDEX('Compliance Database'!$C$2:$C$1369,MATCH(1,Engine!$C$2:$C$1369,0)))</f>
        <v/>
      </c>
      <c r="D14" s="9">
        <f>IF(ISNA(MATCH(1,Engine!$C$2:$C$1369,0)),"",INDEX('Compliance Database'!$D$2:$D$1369,MATCH(1,Engine!$C$2:$C$1369,0)))</f>
        <v/>
      </c>
      <c r="E14" s="8">
        <f>IF(ISNA(MATCH(1,Engine!$C$2:$C$1369,0)),"",INDEX('Compliance Database'!$E$2:$E$1369,MATCH(1,Engine!$C$2:$C$1369,0)))</f>
        <v/>
      </c>
      <c r="F14" s="8">
        <f>IF(ISNA(MATCH(1,Engine!$C$2:$C$1369,0)),"",INDEX('Compliance Database'!$F$2:$F$1369,MATCH(1,Engine!$C$2:$C$1369,0)))</f>
        <v/>
      </c>
      <c r="G14" s="8">
        <f>IF(ISNA(MATCH(1,Engine!$C$2:$C$1369,0)),"",INDEX('Compliance Database'!$G$2:$G$1369,MATCH(1,Engine!$C$2:$C$1369,0)))</f>
        <v/>
      </c>
      <c r="H14" s="9">
        <f>IF(ISNA(MATCH(1,Engine!$C$2:$C$1369,0)),"",INDEX('Compliance Database'!$H$2:$H$1369,MATCH(1,Engine!$C$2:$C$1369,0)))</f>
        <v/>
      </c>
      <c r="I14" s="9">
        <f>IF(ISNA(MATCH(1,Engine!$C$2:$C$1369,0)),"",INDEX('Compliance Database'!$I$2:$I$1369,MATCH(1,Engine!$C$2:$C$1369,0)))</f>
        <v/>
      </c>
      <c r="J14" s="8">
        <f>IF(ISNA(MATCH(1,Engine!$C$2:$C$1369,0)),"",INDEX('Compliance Database'!$J$2:$J$1369,MATCH(1,Engine!$C$2:$C$1369,0)))</f>
        <v/>
      </c>
      <c r="K14" s="9">
        <f>IF(ISNA(MATCH(1,Engine!$C$2:$C$1369,0)),"",INDEX('Compliance Database'!$K$2:$K$1369,MATCH(1,Engine!$C$2:$C$1369,0)))</f>
        <v/>
      </c>
      <c r="L14" s="9">
        <f>IF(ISNA(MATCH(1,Engine!$C$2:$C$1369,0)),"",INDEX('Compliance Database'!$L$2:$L$1369,MATCH(1,Engine!$C$2:$C$1369,0)))</f>
        <v/>
      </c>
      <c r="M14" s="9">
        <f>IF(ISNA(MATCH(1,Engine!$C$2:$C$1369,0)),"",INDEX('Compliance Database'!$M$2:$M$1369,MATCH(1,Engine!$C$2:$C$1369,0)))</f>
        <v/>
      </c>
      <c r="N14" s="9">
        <f>IF(ISNA(MATCH(1,Engine!$C$2:$C$1369,0)),"",INDEX('Compliance Database'!$N$2:$N$1369,MATCH(1,Engine!$C$2:$C$1369,0)))</f>
        <v/>
      </c>
      <c r="O14" s="8">
        <f>IF(ISNA(MATCH(1,Engine!$C$2:$C$1369,0)),"",HYPERLINK(INDEX('Compliance Database'!$O$2:$O$1369,MATCH(1,Engine!$C$2:$C$1369,0)),"Open PDF"))</f>
        <v/>
      </c>
    </row>
    <row r="15" ht="188" customHeight="1">
      <c r="A15" s="8">
        <f>IF(ISNA(MATCH(2,Engine!$C$2:$C$1369,0)),"",INDEX('Compliance Database'!$A$2:$A$1369,MATCH(2,Engine!$C$2:$C$1369,0)))</f>
        <v/>
      </c>
      <c r="B15" s="8">
        <f>IF(ISNA(MATCH(2,Engine!$C$2:$C$1369,0)),"",INDEX('Compliance Database'!$B$2:$B$1369,MATCH(2,Engine!$C$2:$C$1369,0)))</f>
        <v/>
      </c>
      <c r="C15" s="8">
        <f>IF(ISNA(MATCH(2,Engine!$C$2:$C$1369,0)),"",INDEX('Compliance Database'!$C$2:$C$1369,MATCH(2,Engine!$C$2:$C$1369,0)))</f>
        <v/>
      </c>
      <c r="D15" s="9">
        <f>IF(ISNA(MATCH(2,Engine!$C$2:$C$1369,0)),"",INDEX('Compliance Database'!$D$2:$D$1369,MATCH(2,Engine!$C$2:$C$1369,0)))</f>
        <v/>
      </c>
      <c r="E15" s="8">
        <f>IF(ISNA(MATCH(2,Engine!$C$2:$C$1369,0)),"",INDEX('Compliance Database'!$E$2:$E$1369,MATCH(2,Engine!$C$2:$C$1369,0)))</f>
        <v/>
      </c>
      <c r="F15" s="8">
        <f>IF(ISNA(MATCH(2,Engine!$C$2:$C$1369,0)),"",INDEX('Compliance Database'!$F$2:$F$1369,MATCH(2,Engine!$C$2:$C$1369,0)))</f>
        <v/>
      </c>
      <c r="G15" s="8">
        <f>IF(ISNA(MATCH(2,Engine!$C$2:$C$1369,0)),"",INDEX('Compliance Database'!$G$2:$G$1369,MATCH(2,Engine!$C$2:$C$1369,0)))</f>
        <v/>
      </c>
      <c r="H15" s="9">
        <f>IF(ISNA(MATCH(2,Engine!$C$2:$C$1369,0)),"",INDEX('Compliance Database'!$H$2:$H$1369,MATCH(2,Engine!$C$2:$C$1369,0)))</f>
        <v/>
      </c>
      <c r="I15" s="9">
        <f>IF(ISNA(MATCH(2,Engine!$C$2:$C$1369,0)),"",INDEX('Compliance Database'!$I$2:$I$1369,MATCH(2,Engine!$C$2:$C$1369,0)))</f>
        <v/>
      </c>
      <c r="J15" s="8">
        <f>IF(ISNA(MATCH(2,Engine!$C$2:$C$1369,0)),"",INDEX('Compliance Database'!$J$2:$J$1369,MATCH(2,Engine!$C$2:$C$1369,0)))</f>
        <v/>
      </c>
      <c r="K15" s="9">
        <f>IF(ISNA(MATCH(2,Engine!$C$2:$C$1369,0)),"",INDEX('Compliance Database'!$K$2:$K$1369,MATCH(2,Engine!$C$2:$C$1369,0)))</f>
        <v/>
      </c>
      <c r="L15" s="9">
        <f>IF(ISNA(MATCH(2,Engine!$C$2:$C$1369,0)),"",INDEX('Compliance Database'!$L$2:$L$1369,MATCH(2,Engine!$C$2:$C$1369,0)))</f>
        <v/>
      </c>
      <c r="M15" s="9">
        <f>IF(ISNA(MATCH(2,Engine!$C$2:$C$1369,0)),"",INDEX('Compliance Database'!$M$2:$M$1369,MATCH(2,Engine!$C$2:$C$1369,0)))</f>
        <v/>
      </c>
      <c r="N15" s="9">
        <f>IF(ISNA(MATCH(2,Engine!$C$2:$C$1369,0)),"",INDEX('Compliance Database'!$N$2:$N$1369,MATCH(2,Engine!$C$2:$C$1369,0)))</f>
        <v/>
      </c>
      <c r="O15" s="8">
        <f>IF(ISNA(MATCH(2,Engine!$C$2:$C$1369,0)),"",HYPERLINK(INDEX('Compliance Database'!$O$2:$O$1369,MATCH(2,Engine!$C$2:$C$1369,0)),"Open PDF"))</f>
        <v/>
      </c>
    </row>
    <row r="16" ht="188" customHeight="1">
      <c r="A16" s="8">
        <f>IF(ISNA(MATCH(3,Engine!$C$2:$C$1369,0)),"",INDEX('Compliance Database'!$A$2:$A$1369,MATCH(3,Engine!$C$2:$C$1369,0)))</f>
        <v/>
      </c>
      <c r="B16" s="8">
        <f>IF(ISNA(MATCH(3,Engine!$C$2:$C$1369,0)),"",INDEX('Compliance Database'!$B$2:$B$1369,MATCH(3,Engine!$C$2:$C$1369,0)))</f>
        <v/>
      </c>
      <c r="C16" s="8">
        <f>IF(ISNA(MATCH(3,Engine!$C$2:$C$1369,0)),"",INDEX('Compliance Database'!$C$2:$C$1369,MATCH(3,Engine!$C$2:$C$1369,0)))</f>
        <v/>
      </c>
      <c r="D16" s="9">
        <f>IF(ISNA(MATCH(3,Engine!$C$2:$C$1369,0)),"",INDEX('Compliance Database'!$D$2:$D$1369,MATCH(3,Engine!$C$2:$C$1369,0)))</f>
        <v/>
      </c>
      <c r="E16" s="8">
        <f>IF(ISNA(MATCH(3,Engine!$C$2:$C$1369,0)),"",INDEX('Compliance Database'!$E$2:$E$1369,MATCH(3,Engine!$C$2:$C$1369,0)))</f>
        <v/>
      </c>
      <c r="F16" s="8">
        <f>IF(ISNA(MATCH(3,Engine!$C$2:$C$1369,0)),"",INDEX('Compliance Database'!$F$2:$F$1369,MATCH(3,Engine!$C$2:$C$1369,0)))</f>
        <v/>
      </c>
      <c r="G16" s="8">
        <f>IF(ISNA(MATCH(3,Engine!$C$2:$C$1369,0)),"",INDEX('Compliance Database'!$G$2:$G$1369,MATCH(3,Engine!$C$2:$C$1369,0)))</f>
        <v/>
      </c>
      <c r="H16" s="9">
        <f>IF(ISNA(MATCH(3,Engine!$C$2:$C$1369,0)),"",INDEX('Compliance Database'!$H$2:$H$1369,MATCH(3,Engine!$C$2:$C$1369,0)))</f>
        <v/>
      </c>
      <c r="I16" s="9">
        <f>IF(ISNA(MATCH(3,Engine!$C$2:$C$1369,0)),"",INDEX('Compliance Database'!$I$2:$I$1369,MATCH(3,Engine!$C$2:$C$1369,0)))</f>
        <v/>
      </c>
      <c r="J16" s="8">
        <f>IF(ISNA(MATCH(3,Engine!$C$2:$C$1369,0)),"",INDEX('Compliance Database'!$J$2:$J$1369,MATCH(3,Engine!$C$2:$C$1369,0)))</f>
        <v/>
      </c>
      <c r="K16" s="9">
        <f>IF(ISNA(MATCH(3,Engine!$C$2:$C$1369,0)),"",INDEX('Compliance Database'!$K$2:$K$1369,MATCH(3,Engine!$C$2:$C$1369,0)))</f>
        <v/>
      </c>
      <c r="L16" s="9">
        <f>IF(ISNA(MATCH(3,Engine!$C$2:$C$1369,0)),"",INDEX('Compliance Database'!$L$2:$L$1369,MATCH(3,Engine!$C$2:$C$1369,0)))</f>
        <v/>
      </c>
      <c r="M16" s="9">
        <f>IF(ISNA(MATCH(3,Engine!$C$2:$C$1369,0)),"",INDEX('Compliance Database'!$M$2:$M$1369,MATCH(3,Engine!$C$2:$C$1369,0)))</f>
        <v/>
      </c>
      <c r="N16" s="9">
        <f>IF(ISNA(MATCH(3,Engine!$C$2:$C$1369,0)),"",INDEX('Compliance Database'!$N$2:$N$1369,MATCH(3,Engine!$C$2:$C$1369,0)))</f>
        <v/>
      </c>
      <c r="O16" s="8">
        <f>IF(ISNA(MATCH(3,Engine!$C$2:$C$1369,0)),"",HYPERLINK(INDEX('Compliance Database'!$O$2:$O$1369,MATCH(3,Engine!$C$2:$C$1369,0)),"Open PDF"))</f>
        <v/>
      </c>
    </row>
    <row r="17" ht="188" customHeight="1">
      <c r="A17" s="8">
        <f>IF(ISNA(MATCH(4,Engine!$C$2:$C$1369,0)),"",INDEX('Compliance Database'!$A$2:$A$1369,MATCH(4,Engine!$C$2:$C$1369,0)))</f>
        <v/>
      </c>
      <c r="B17" s="8">
        <f>IF(ISNA(MATCH(4,Engine!$C$2:$C$1369,0)),"",INDEX('Compliance Database'!$B$2:$B$1369,MATCH(4,Engine!$C$2:$C$1369,0)))</f>
        <v/>
      </c>
      <c r="C17" s="8">
        <f>IF(ISNA(MATCH(4,Engine!$C$2:$C$1369,0)),"",INDEX('Compliance Database'!$C$2:$C$1369,MATCH(4,Engine!$C$2:$C$1369,0)))</f>
        <v/>
      </c>
      <c r="D17" s="9">
        <f>IF(ISNA(MATCH(4,Engine!$C$2:$C$1369,0)),"",INDEX('Compliance Database'!$D$2:$D$1369,MATCH(4,Engine!$C$2:$C$1369,0)))</f>
        <v/>
      </c>
      <c r="E17" s="8">
        <f>IF(ISNA(MATCH(4,Engine!$C$2:$C$1369,0)),"",INDEX('Compliance Database'!$E$2:$E$1369,MATCH(4,Engine!$C$2:$C$1369,0)))</f>
        <v/>
      </c>
      <c r="F17" s="8">
        <f>IF(ISNA(MATCH(4,Engine!$C$2:$C$1369,0)),"",INDEX('Compliance Database'!$F$2:$F$1369,MATCH(4,Engine!$C$2:$C$1369,0)))</f>
        <v/>
      </c>
      <c r="G17" s="8">
        <f>IF(ISNA(MATCH(4,Engine!$C$2:$C$1369,0)),"",INDEX('Compliance Database'!$G$2:$G$1369,MATCH(4,Engine!$C$2:$C$1369,0)))</f>
        <v/>
      </c>
      <c r="H17" s="9">
        <f>IF(ISNA(MATCH(4,Engine!$C$2:$C$1369,0)),"",INDEX('Compliance Database'!$H$2:$H$1369,MATCH(4,Engine!$C$2:$C$1369,0)))</f>
        <v/>
      </c>
      <c r="I17" s="9">
        <f>IF(ISNA(MATCH(4,Engine!$C$2:$C$1369,0)),"",INDEX('Compliance Database'!$I$2:$I$1369,MATCH(4,Engine!$C$2:$C$1369,0)))</f>
        <v/>
      </c>
      <c r="J17" s="8">
        <f>IF(ISNA(MATCH(4,Engine!$C$2:$C$1369,0)),"",INDEX('Compliance Database'!$J$2:$J$1369,MATCH(4,Engine!$C$2:$C$1369,0)))</f>
        <v/>
      </c>
      <c r="K17" s="9">
        <f>IF(ISNA(MATCH(4,Engine!$C$2:$C$1369,0)),"",INDEX('Compliance Database'!$K$2:$K$1369,MATCH(4,Engine!$C$2:$C$1369,0)))</f>
        <v/>
      </c>
      <c r="L17" s="9">
        <f>IF(ISNA(MATCH(4,Engine!$C$2:$C$1369,0)),"",INDEX('Compliance Database'!$L$2:$L$1369,MATCH(4,Engine!$C$2:$C$1369,0)))</f>
        <v/>
      </c>
      <c r="M17" s="9">
        <f>IF(ISNA(MATCH(4,Engine!$C$2:$C$1369,0)),"",INDEX('Compliance Database'!$M$2:$M$1369,MATCH(4,Engine!$C$2:$C$1369,0)))</f>
        <v/>
      </c>
      <c r="N17" s="9">
        <f>IF(ISNA(MATCH(4,Engine!$C$2:$C$1369,0)),"",INDEX('Compliance Database'!$N$2:$N$1369,MATCH(4,Engine!$C$2:$C$1369,0)))</f>
        <v/>
      </c>
      <c r="O17" s="8">
        <f>IF(ISNA(MATCH(4,Engine!$C$2:$C$1369,0)),"",HYPERLINK(INDEX('Compliance Database'!$O$2:$O$1369,MATCH(4,Engine!$C$2:$C$1369,0)),"Open PDF"))</f>
        <v/>
      </c>
    </row>
    <row r="18" ht="188" customHeight="1">
      <c r="A18" s="8">
        <f>IF(ISNA(MATCH(5,Engine!$C$2:$C$1369,0)),"",INDEX('Compliance Database'!$A$2:$A$1369,MATCH(5,Engine!$C$2:$C$1369,0)))</f>
        <v/>
      </c>
      <c r="B18" s="8">
        <f>IF(ISNA(MATCH(5,Engine!$C$2:$C$1369,0)),"",INDEX('Compliance Database'!$B$2:$B$1369,MATCH(5,Engine!$C$2:$C$1369,0)))</f>
        <v/>
      </c>
      <c r="C18" s="8">
        <f>IF(ISNA(MATCH(5,Engine!$C$2:$C$1369,0)),"",INDEX('Compliance Database'!$C$2:$C$1369,MATCH(5,Engine!$C$2:$C$1369,0)))</f>
        <v/>
      </c>
      <c r="D18" s="9">
        <f>IF(ISNA(MATCH(5,Engine!$C$2:$C$1369,0)),"",INDEX('Compliance Database'!$D$2:$D$1369,MATCH(5,Engine!$C$2:$C$1369,0)))</f>
        <v/>
      </c>
      <c r="E18" s="8">
        <f>IF(ISNA(MATCH(5,Engine!$C$2:$C$1369,0)),"",INDEX('Compliance Database'!$E$2:$E$1369,MATCH(5,Engine!$C$2:$C$1369,0)))</f>
        <v/>
      </c>
      <c r="F18" s="8">
        <f>IF(ISNA(MATCH(5,Engine!$C$2:$C$1369,0)),"",INDEX('Compliance Database'!$F$2:$F$1369,MATCH(5,Engine!$C$2:$C$1369,0)))</f>
        <v/>
      </c>
      <c r="G18" s="8">
        <f>IF(ISNA(MATCH(5,Engine!$C$2:$C$1369,0)),"",INDEX('Compliance Database'!$G$2:$G$1369,MATCH(5,Engine!$C$2:$C$1369,0)))</f>
        <v/>
      </c>
      <c r="H18" s="9">
        <f>IF(ISNA(MATCH(5,Engine!$C$2:$C$1369,0)),"",INDEX('Compliance Database'!$H$2:$H$1369,MATCH(5,Engine!$C$2:$C$1369,0)))</f>
        <v/>
      </c>
      <c r="I18" s="9">
        <f>IF(ISNA(MATCH(5,Engine!$C$2:$C$1369,0)),"",INDEX('Compliance Database'!$I$2:$I$1369,MATCH(5,Engine!$C$2:$C$1369,0)))</f>
        <v/>
      </c>
      <c r="J18" s="8">
        <f>IF(ISNA(MATCH(5,Engine!$C$2:$C$1369,0)),"",INDEX('Compliance Database'!$J$2:$J$1369,MATCH(5,Engine!$C$2:$C$1369,0)))</f>
        <v/>
      </c>
      <c r="K18" s="9">
        <f>IF(ISNA(MATCH(5,Engine!$C$2:$C$1369,0)),"",INDEX('Compliance Database'!$K$2:$K$1369,MATCH(5,Engine!$C$2:$C$1369,0)))</f>
        <v/>
      </c>
      <c r="L18" s="9">
        <f>IF(ISNA(MATCH(5,Engine!$C$2:$C$1369,0)),"",INDEX('Compliance Database'!$L$2:$L$1369,MATCH(5,Engine!$C$2:$C$1369,0)))</f>
        <v/>
      </c>
      <c r="M18" s="9">
        <f>IF(ISNA(MATCH(5,Engine!$C$2:$C$1369,0)),"",INDEX('Compliance Database'!$M$2:$M$1369,MATCH(5,Engine!$C$2:$C$1369,0)))</f>
        <v/>
      </c>
      <c r="N18" s="9">
        <f>IF(ISNA(MATCH(5,Engine!$C$2:$C$1369,0)),"",INDEX('Compliance Database'!$N$2:$N$1369,MATCH(5,Engine!$C$2:$C$1369,0)))</f>
        <v/>
      </c>
      <c r="O18" s="8">
        <f>IF(ISNA(MATCH(5,Engine!$C$2:$C$1369,0)),"",HYPERLINK(INDEX('Compliance Database'!$O$2:$O$1369,MATCH(5,Engine!$C$2:$C$1369,0)),"Open PDF"))</f>
        <v/>
      </c>
    </row>
    <row r="19" ht="188" customHeight="1">
      <c r="A19" s="8">
        <f>IF(ISNA(MATCH(6,Engine!$C$2:$C$1369,0)),"",INDEX('Compliance Database'!$A$2:$A$1369,MATCH(6,Engine!$C$2:$C$1369,0)))</f>
        <v/>
      </c>
      <c r="B19" s="8">
        <f>IF(ISNA(MATCH(6,Engine!$C$2:$C$1369,0)),"",INDEX('Compliance Database'!$B$2:$B$1369,MATCH(6,Engine!$C$2:$C$1369,0)))</f>
        <v/>
      </c>
      <c r="C19" s="8">
        <f>IF(ISNA(MATCH(6,Engine!$C$2:$C$1369,0)),"",INDEX('Compliance Database'!$C$2:$C$1369,MATCH(6,Engine!$C$2:$C$1369,0)))</f>
        <v/>
      </c>
      <c r="D19" s="9">
        <f>IF(ISNA(MATCH(6,Engine!$C$2:$C$1369,0)),"",INDEX('Compliance Database'!$D$2:$D$1369,MATCH(6,Engine!$C$2:$C$1369,0)))</f>
        <v/>
      </c>
      <c r="E19" s="8">
        <f>IF(ISNA(MATCH(6,Engine!$C$2:$C$1369,0)),"",INDEX('Compliance Database'!$E$2:$E$1369,MATCH(6,Engine!$C$2:$C$1369,0)))</f>
        <v/>
      </c>
      <c r="F19" s="8">
        <f>IF(ISNA(MATCH(6,Engine!$C$2:$C$1369,0)),"",INDEX('Compliance Database'!$F$2:$F$1369,MATCH(6,Engine!$C$2:$C$1369,0)))</f>
        <v/>
      </c>
      <c r="G19" s="8">
        <f>IF(ISNA(MATCH(6,Engine!$C$2:$C$1369,0)),"",INDEX('Compliance Database'!$G$2:$G$1369,MATCH(6,Engine!$C$2:$C$1369,0)))</f>
        <v/>
      </c>
      <c r="H19" s="9">
        <f>IF(ISNA(MATCH(6,Engine!$C$2:$C$1369,0)),"",INDEX('Compliance Database'!$H$2:$H$1369,MATCH(6,Engine!$C$2:$C$1369,0)))</f>
        <v/>
      </c>
      <c r="I19" s="9">
        <f>IF(ISNA(MATCH(6,Engine!$C$2:$C$1369,0)),"",INDEX('Compliance Database'!$I$2:$I$1369,MATCH(6,Engine!$C$2:$C$1369,0)))</f>
        <v/>
      </c>
      <c r="J19" s="8">
        <f>IF(ISNA(MATCH(6,Engine!$C$2:$C$1369,0)),"",INDEX('Compliance Database'!$J$2:$J$1369,MATCH(6,Engine!$C$2:$C$1369,0)))</f>
        <v/>
      </c>
      <c r="K19" s="9">
        <f>IF(ISNA(MATCH(6,Engine!$C$2:$C$1369,0)),"",INDEX('Compliance Database'!$K$2:$K$1369,MATCH(6,Engine!$C$2:$C$1369,0)))</f>
        <v/>
      </c>
      <c r="L19" s="9">
        <f>IF(ISNA(MATCH(6,Engine!$C$2:$C$1369,0)),"",INDEX('Compliance Database'!$L$2:$L$1369,MATCH(6,Engine!$C$2:$C$1369,0)))</f>
        <v/>
      </c>
      <c r="M19" s="9">
        <f>IF(ISNA(MATCH(6,Engine!$C$2:$C$1369,0)),"",INDEX('Compliance Database'!$M$2:$M$1369,MATCH(6,Engine!$C$2:$C$1369,0)))</f>
        <v/>
      </c>
      <c r="N19" s="9">
        <f>IF(ISNA(MATCH(6,Engine!$C$2:$C$1369,0)),"",INDEX('Compliance Database'!$N$2:$N$1369,MATCH(6,Engine!$C$2:$C$1369,0)))</f>
        <v/>
      </c>
      <c r="O19" s="8">
        <f>IF(ISNA(MATCH(6,Engine!$C$2:$C$1369,0)),"",HYPERLINK(INDEX('Compliance Database'!$O$2:$O$1369,MATCH(6,Engine!$C$2:$C$1369,0)),"Open PDF"))</f>
        <v/>
      </c>
    </row>
    <row r="20" ht="188" customHeight="1">
      <c r="A20" s="8">
        <f>IF(ISNA(MATCH(7,Engine!$C$2:$C$1369,0)),"",INDEX('Compliance Database'!$A$2:$A$1369,MATCH(7,Engine!$C$2:$C$1369,0)))</f>
        <v/>
      </c>
      <c r="B20" s="8">
        <f>IF(ISNA(MATCH(7,Engine!$C$2:$C$1369,0)),"",INDEX('Compliance Database'!$B$2:$B$1369,MATCH(7,Engine!$C$2:$C$1369,0)))</f>
        <v/>
      </c>
      <c r="C20" s="8">
        <f>IF(ISNA(MATCH(7,Engine!$C$2:$C$1369,0)),"",INDEX('Compliance Database'!$C$2:$C$1369,MATCH(7,Engine!$C$2:$C$1369,0)))</f>
        <v/>
      </c>
      <c r="D20" s="9">
        <f>IF(ISNA(MATCH(7,Engine!$C$2:$C$1369,0)),"",INDEX('Compliance Database'!$D$2:$D$1369,MATCH(7,Engine!$C$2:$C$1369,0)))</f>
        <v/>
      </c>
      <c r="E20" s="8">
        <f>IF(ISNA(MATCH(7,Engine!$C$2:$C$1369,0)),"",INDEX('Compliance Database'!$E$2:$E$1369,MATCH(7,Engine!$C$2:$C$1369,0)))</f>
        <v/>
      </c>
      <c r="F20" s="8">
        <f>IF(ISNA(MATCH(7,Engine!$C$2:$C$1369,0)),"",INDEX('Compliance Database'!$F$2:$F$1369,MATCH(7,Engine!$C$2:$C$1369,0)))</f>
        <v/>
      </c>
      <c r="G20" s="8">
        <f>IF(ISNA(MATCH(7,Engine!$C$2:$C$1369,0)),"",INDEX('Compliance Database'!$G$2:$G$1369,MATCH(7,Engine!$C$2:$C$1369,0)))</f>
        <v/>
      </c>
      <c r="H20" s="9">
        <f>IF(ISNA(MATCH(7,Engine!$C$2:$C$1369,0)),"",INDEX('Compliance Database'!$H$2:$H$1369,MATCH(7,Engine!$C$2:$C$1369,0)))</f>
        <v/>
      </c>
      <c r="I20" s="9">
        <f>IF(ISNA(MATCH(7,Engine!$C$2:$C$1369,0)),"",INDEX('Compliance Database'!$I$2:$I$1369,MATCH(7,Engine!$C$2:$C$1369,0)))</f>
        <v/>
      </c>
      <c r="J20" s="8">
        <f>IF(ISNA(MATCH(7,Engine!$C$2:$C$1369,0)),"",INDEX('Compliance Database'!$J$2:$J$1369,MATCH(7,Engine!$C$2:$C$1369,0)))</f>
        <v/>
      </c>
      <c r="K20" s="9">
        <f>IF(ISNA(MATCH(7,Engine!$C$2:$C$1369,0)),"",INDEX('Compliance Database'!$K$2:$K$1369,MATCH(7,Engine!$C$2:$C$1369,0)))</f>
        <v/>
      </c>
      <c r="L20" s="9">
        <f>IF(ISNA(MATCH(7,Engine!$C$2:$C$1369,0)),"",INDEX('Compliance Database'!$L$2:$L$1369,MATCH(7,Engine!$C$2:$C$1369,0)))</f>
        <v/>
      </c>
      <c r="M20" s="9">
        <f>IF(ISNA(MATCH(7,Engine!$C$2:$C$1369,0)),"",INDEX('Compliance Database'!$M$2:$M$1369,MATCH(7,Engine!$C$2:$C$1369,0)))</f>
        <v/>
      </c>
      <c r="N20" s="9">
        <f>IF(ISNA(MATCH(7,Engine!$C$2:$C$1369,0)),"",INDEX('Compliance Database'!$N$2:$N$1369,MATCH(7,Engine!$C$2:$C$1369,0)))</f>
        <v/>
      </c>
      <c r="O20" s="8">
        <f>IF(ISNA(MATCH(7,Engine!$C$2:$C$1369,0)),"",HYPERLINK(INDEX('Compliance Database'!$O$2:$O$1369,MATCH(7,Engine!$C$2:$C$1369,0)),"Open PDF"))</f>
        <v/>
      </c>
    </row>
    <row r="21" ht="188" customHeight="1">
      <c r="A21" s="8">
        <f>IF(ISNA(MATCH(8,Engine!$C$2:$C$1369,0)),"",INDEX('Compliance Database'!$A$2:$A$1369,MATCH(8,Engine!$C$2:$C$1369,0)))</f>
        <v/>
      </c>
      <c r="B21" s="8">
        <f>IF(ISNA(MATCH(8,Engine!$C$2:$C$1369,0)),"",INDEX('Compliance Database'!$B$2:$B$1369,MATCH(8,Engine!$C$2:$C$1369,0)))</f>
        <v/>
      </c>
      <c r="C21" s="8">
        <f>IF(ISNA(MATCH(8,Engine!$C$2:$C$1369,0)),"",INDEX('Compliance Database'!$C$2:$C$1369,MATCH(8,Engine!$C$2:$C$1369,0)))</f>
        <v/>
      </c>
      <c r="D21" s="9">
        <f>IF(ISNA(MATCH(8,Engine!$C$2:$C$1369,0)),"",INDEX('Compliance Database'!$D$2:$D$1369,MATCH(8,Engine!$C$2:$C$1369,0)))</f>
        <v/>
      </c>
      <c r="E21" s="8">
        <f>IF(ISNA(MATCH(8,Engine!$C$2:$C$1369,0)),"",INDEX('Compliance Database'!$E$2:$E$1369,MATCH(8,Engine!$C$2:$C$1369,0)))</f>
        <v/>
      </c>
      <c r="F21" s="8">
        <f>IF(ISNA(MATCH(8,Engine!$C$2:$C$1369,0)),"",INDEX('Compliance Database'!$F$2:$F$1369,MATCH(8,Engine!$C$2:$C$1369,0)))</f>
        <v/>
      </c>
      <c r="G21" s="8">
        <f>IF(ISNA(MATCH(8,Engine!$C$2:$C$1369,0)),"",INDEX('Compliance Database'!$G$2:$G$1369,MATCH(8,Engine!$C$2:$C$1369,0)))</f>
        <v/>
      </c>
      <c r="H21" s="9">
        <f>IF(ISNA(MATCH(8,Engine!$C$2:$C$1369,0)),"",INDEX('Compliance Database'!$H$2:$H$1369,MATCH(8,Engine!$C$2:$C$1369,0)))</f>
        <v/>
      </c>
      <c r="I21" s="9">
        <f>IF(ISNA(MATCH(8,Engine!$C$2:$C$1369,0)),"",INDEX('Compliance Database'!$I$2:$I$1369,MATCH(8,Engine!$C$2:$C$1369,0)))</f>
        <v/>
      </c>
      <c r="J21" s="8">
        <f>IF(ISNA(MATCH(8,Engine!$C$2:$C$1369,0)),"",INDEX('Compliance Database'!$J$2:$J$1369,MATCH(8,Engine!$C$2:$C$1369,0)))</f>
        <v/>
      </c>
      <c r="K21" s="9">
        <f>IF(ISNA(MATCH(8,Engine!$C$2:$C$1369,0)),"",INDEX('Compliance Database'!$K$2:$K$1369,MATCH(8,Engine!$C$2:$C$1369,0)))</f>
        <v/>
      </c>
      <c r="L21" s="9">
        <f>IF(ISNA(MATCH(8,Engine!$C$2:$C$1369,0)),"",INDEX('Compliance Database'!$L$2:$L$1369,MATCH(8,Engine!$C$2:$C$1369,0)))</f>
        <v/>
      </c>
      <c r="M21" s="9">
        <f>IF(ISNA(MATCH(8,Engine!$C$2:$C$1369,0)),"",INDEX('Compliance Database'!$M$2:$M$1369,MATCH(8,Engine!$C$2:$C$1369,0)))</f>
        <v/>
      </c>
      <c r="N21" s="9">
        <f>IF(ISNA(MATCH(8,Engine!$C$2:$C$1369,0)),"",INDEX('Compliance Database'!$N$2:$N$1369,MATCH(8,Engine!$C$2:$C$1369,0)))</f>
        <v/>
      </c>
      <c r="O21" s="8">
        <f>IF(ISNA(MATCH(8,Engine!$C$2:$C$1369,0)),"",HYPERLINK(INDEX('Compliance Database'!$O$2:$O$1369,MATCH(8,Engine!$C$2:$C$1369,0)),"Open PDF"))</f>
        <v/>
      </c>
    </row>
    <row r="22" ht="188" customHeight="1">
      <c r="A22" s="8">
        <f>IF(ISNA(MATCH(9,Engine!$C$2:$C$1369,0)),"",INDEX('Compliance Database'!$A$2:$A$1369,MATCH(9,Engine!$C$2:$C$1369,0)))</f>
        <v/>
      </c>
      <c r="B22" s="8">
        <f>IF(ISNA(MATCH(9,Engine!$C$2:$C$1369,0)),"",INDEX('Compliance Database'!$B$2:$B$1369,MATCH(9,Engine!$C$2:$C$1369,0)))</f>
        <v/>
      </c>
      <c r="C22" s="8">
        <f>IF(ISNA(MATCH(9,Engine!$C$2:$C$1369,0)),"",INDEX('Compliance Database'!$C$2:$C$1369,MATCH(9,Engine!$C$2:$C$1369,0)))</f>
        <v/>
      </c>
      <c r="D22" s="9">
        <f>IF(ISNA(MATCH(9,Engine!$C$2:$C$1369,0)),"",INDEX('Compliance Database'!$D$2:$D$1369,MATCH(9,Engine!$C$2:$C$1369,0)))</f>
        <v/>
      </c>
      <c r="E22" s="8">
        <f>IF(ISNA(MATCH(9,Engine!$C$2:$C$1369,0)),"",INDEX('Compliance Database'!$E$2:$E$1369,MATCH(9,Engine!$C$2:$C$1369,0)))</f>
        <v/>
      </c>
      <c r="F22" s="8">
        <f>IF(ISNA(MATCH(9,Engine!$C$2:$C$1369,0)),"",INDEX('Compliance Database'!$F$2:$F$1369,MATCH(9,Engine!$C$2:$C$1369,0)))</f>
        <v/>
      </c>
      <c r="G22" s="8">
        <f>IF(ISNA(MATCH(9,Engine!$C$2:$C$1369,0)),"",INDEX('Compliance Database'!$G$2:$G$1369,MATCH(9,Engine!$C$2:$C$1369,0)))</f>
        <v/>
      </c>
      <c r="H22" s="9">
        <f>IF(ISNA(MATCH(9,Engine!$C$2:$C$1369,0)),"",INDEX('Compliance Database'!$H$2:$H$1369,MATCH(9,Engine!$C$2:$C$1369,0)))</f>
        <v/>
      </c>
      <c r="I22" s="9">
        <f>IF(ISNA(MATCH(9,Engine!$C$2:$C$1369,0)),"",INDEX('Compliance Database'!$I$2:$I$1369,MATCH(9,Engine!$C$2:$C$1369,0)))</f>
        <v/>
      </c>
      <c r="J22" s="8">
        <f>IF(ISNA(MATCH(9,Engine!$C$2:$C$1369,0)),"",INDEX('Compliance Database'!$J$2:$J$1369,MATCH(9,Engine!$C$2:$C$1369,0)))</f>
        <v/>
      </c>
      <c r="K22" s="9">
        <f>IF(ISNA(MATCH(9,Engine!$C$2:$C$1369,0)),"",INDEX('Compliance Database'!$K$2:$K$1369,MATCH(9,Engine!$C$2:$C$1369,0)))</f>
        <v/>
      </c>
      <c r="L22" s="9">
        <f>IF(ISNA(MATCH(9,Engine!$C$2:$C$1369,0)),"",INDEX('Compliance Database'!$L$2:$L$1369,MATCH(9,Engine!$C$2:$C$1369,0)))</f>
        <v/>
      </c>
      <c r="M22" s="9">
        <f>IF(ISNA(MATCH(9,Engine!$C$2:$C$1369,0)),"",INDEX('Compliance Database'!$M$2:$M$1369,MATCH(9,Engine!$C$2:$C$1369,0)))</f>
        <v/>
      </c>
      <c r="N22" s="9">
        <f>IF(ISNA(MATCH(9,Engine!$C$2:$C$1369,0)),"",INDEX('Compliance Database'!$N$2:$N$1369,MATCH(9,Engine!$C$2:$C$1369,0)))</f>
        <v/>
      </c>
      <c r="O22" s="8">
        <f>IF(ISNA(MATCH(9,Engine!$C$2:$C$1369,0)),"",HYPERLINK(INDEX('Compliance Database'!$O$2:$O$1369,MATCH(9,Engine!$C$2:$C$1369,0)),"Open PDF"))</f>
        <v/>
      </c>
    </row>
    <row r="23" ht="188" customHeight="1">
      <c r="A23" s="8">
        <f>IF(ISNA(MATCH(10,Engine!$C$2:$C$1369,0)),"",INDEX('Compliance Database'!$A$2:$A$1369,MATCH(10,Engine!$C$2:$C$1369,0)))</f>
        <v/>
      </c>
      <c r="B23" s="8">
        <f>IF(ISNA(MATCH(10,Engine!$C$2:$C$1369,0)),"",INDEX('Compliance Database'!$B$2:$B$1369,MATCH(10,Engine!$C$2:$C$1369,0)))</f>
        <v/>
      </c>
      <c r="C23" s="8">
        <f>IF(ISNA(MATCH(10,Engine!$C$2:$C$1369,0)),"",INDEX('Compliance Database'!$C$2:$C$1369,MATCH(10,Engine!$C$2:$C$1369,0)))</f>
        <v/>
      </c>
      <c r="D23" s="9">
        <f>IF(ISNA(MATCH(10,Engine!$C$2:$C$1369,0)),"",INDEX('Compliance Database'!$D$2:$D$1369,MATCH(10,Engine!$C$2:$C$1369,0)))</f>
        <v/>
      </c>
      <c r="E23" s="8">
        <f>IF(ISNA(MATCH(10,Engine!$C$2:$C$1369,0)),"",INDEX('Compliance Database'!$E$2:$E$1369,MATCH(10,Engine!$C$2:$C$1369,0)))</f>
        <v/>
      </c>
      <c r="F23" s="8">
        <f>IF(ISNA(MATCH(10,Engine!$C$2:$C$1369,0)),"",INDEX('Compliance Database'!$F$2:$F$1369,MATCH(10,Engine!$C$2:$C$1369,0)))</f>
        <v/>
      </c>
      <c r="G23" s="8">
        <f>IF(ISNA(MATCH(10,Engine!$C$2:$C$1369,0)),"",INDEX('Compliance Database'!$G$2:$G$1369,MATCH(10,Engine!$C$2:$C$1369,0)))</f>
        <v/>
      </c>
      <c r="H23" s="9">
        <f>IF(ISNA(MATCH(10,Engine!$C$2:$C$1369,0)),"",INDEX('Compliance Database'!$H$2:$H$1369,MATCH(10,Engine!$C$2:$C$1369,0)))</f>
        <v/>
      </c>
      <c r="I23" s="9">
        <f>IF(ISNA(MATCH(10,Engine!$C$2:$C$1369,0)),"",INDEX('Compliance Database'!$I$2:$I$1369,MATCH(10,Engine!$C$2:$C$1369,0)))</f>
        <v/>
      </c>
      <c r="J23" s="8">
        <f>IF(ISNA(MATCH(10,Engine!$C$2:$C$1369,0)),"",INDEX('Compliance Database'!$J$2:$J$1369,MATCH(10,Engine!$C$2:$C$1369,0)))</f>
        <v/>
      </c>
      <c r="K23" s="9">
        <f>IF(ISNA(MATCH(10,Engine!$C$2:$C$1369,0)),"",INDEX('Compliance Database'!$K$2:$K$1369,MATCH(10,Engine!$C$2:$C$1369,0)))</f>
        <v/>
      </c>
      <c r="L23" s="9">
        <f>IF(ISNA(MATCH(10,Engine!$C$2:$C$1369,0)),"",INDEX('Compliance Database'!$L$2:$L$1369,MATCH(10,Engine!$C$2:$C$1369,0)))</f>
        <v/>
      </c>
      <c r="M23" s="9">
        <f>IF(ISNA(MATCH(10,Engine!$C$2:$C$1369,0)),"",INDEX('Compliance Database'!$M$2:$M$1369,MATCH(10,Engine!$C$2:$C$1369,0)))</f>
        <v/>
      </c>
      <c r="N23" s="9">
        <f>IF(ISNA(MATCH(10,Engine!$C$2:$C$1369,0)),"",INDEX('Compliance Database'!$N$2:$N$1369,MATCH(10,Engine!$C$2:$C$1369,0)))</f>
        <v/>
      </c>
      <c r="O23" s="8">
        <f>IF(ISNA(MATCH(10,Engine!$C$2:$C$1369,0)),"",HYPERLINK(INDEX('Compliance Database'!$O$2:$O$1369,MATCH(10,Engine!$C$2:$C$1369,0)),"Open PDF"))</f>
        <v/>
      </c>
    </row>
    <row r="24" ht="188" customHeight="1">
      <c r="A24" s="8">
        <f>IF(ISNA(MATCH(11,Engine!$C$2:$C$1369,0)),"",INDEX('Compliance Database'!$A$2:$A$1369,MATCH(11,Engine!$C$2:$C$1369,0)))</f>
        <v/>
      </c>
      <c r="B24" s="8">
        <f>IF(ISNA(MATCH(11,Engine!$C$2:$C$1369,0)),"",INDEX('Compliance Database'!$B$2:$B$1369,MATCH(11,Engine!$C$2:$C$1369,0)))</f>
        <v/>
      </c>
      <c r="C24" s="8">
        <f>IF(ISNA(MATCH(11,Engine!$C$2:$C$1369,0)),"",INDEX('Compliance Database'!$C$2:$C$1369,MATCH(11,Engine!$C$2:$C$1369,0)))</f>
        <v/>
      </c>
      <c r="D24" s="9">
        <f>IF(ISNA(MATCH(11,Engine!$C$2:$C$1369,0)),"",INDEX('Compliance Database'!$D$2:$D$1369,MATCH(11,Engine!$C$2:$C$1369,0)))</f>
        <v/>
      </c>
      <c r="E24" s="8">
        <f>IF(ISNA(MATCH(11,Engine!$C$2:$C$1369,0)),"",INDEX('Compliance Database'!$E$2:$E$1369,MATCH(11,Engine!$C$2:$C$1369,0)))</f>
        <v/>
      </c>
      <c r="F24" s="8">
        <f>IF(ISNA(MATCH(11,Engine!$C$2:$C$1369,0)),"",INDEX('Compliance Database'!$F$2:$F$1369,MATCH(11,Engine!$C$2:$C$1369,0)))</f>
        <v/>
      </c>
      <c r="G24" s="8">
        <f>IF(ISNA(MATCH(11,Engine!$C$2:$C$1369,0)),"",INDEX('Compliance Database'!$G$2:$G$1369,MATCH(11,Engine!$C$2:$C$1369,0)))</f>
        <v/>
      </c>
      <c r="H24" s="9">
        <f>IF(ISNA(MATCH(11,Engine!$C$2:$C$1369,0)),"",INDEX('Compliance Database'!$H$2:$H$1369,MATCH(11,Engine!$C$2:$C$1369,0)))</f>
        <v/>
      </c>
      <c r="I24" s="9">
        <f>IF(ISNA(MATCH(11,Engine!$C$2:$C$1369,0)),"",INDEX('Compliance Database'!$I$2:$I$1369,MATCH(11,Engine!$C$2:$C$1369,0)))</f>
        <v/>
      </c>
      <c r="J24" s="8">
        <f>IF(ISNA(MATCH(11,Engine!$C$2:$C$1369,0)),"",INDEX('Compliance Database'!$J$2:$J$1369,MATCH(11,Engine!$C$2:$C$1369,0)))</f>
        <v/>
      </c>
      <c r="K24" s="9">
        <f>IF(ISNA(MATCH(11,Engine!$C$2:$C$1369,0)),"",INDEX('Compliance Database'!$K$2:$K$1369,MATCH(11,Engine!$C$2:$C$1369,0)))</f>
        <v/>
      </c>
      <c r="L24" s="9">
        <f>IF(ISNA(MATCH(11,Engine!$C$2:$C$1369,0)),"",INDEX('Compliance Database'!$L$2:$L$1369,MATCH(11,Engine!$C$2:$C$1369,0)))</f>
        <v/>
      </c>
      <c r="M24" s="9">
        <f>IF(ISNA(MATCH(11,Engine!$C$2:$C$1369,0)),"",INDEX('Compliance Database'!$M$2:$M$1369,MATCH(11,Engine!$C$2:$C$1369,0)))</f>
        <v/>
      </c>
      <c r="N24" s="9">
        <f>IF(ISNA(MATCH(11,Engine!$C$2:$C$1369,0)),"",INDEX('Compliance Database'!$N$2:$N$1369,MATCH(11,Engine!$C$2:$C$1369,0)))</f>
        <v/>
      </c>
      <c r="O24" s="8">
        <f>IF(ISNA(MATCH(11,Engine!$C$2:$C$1369,0)),"",HYPERLINK(INDEX('Compliance Database'!$O$2:$O$1369,MATCH(11,Engine!$C$2:$C$1369,0)),"Open PDF"))</f>
        <v/>
      </c>
    </row>
    <row r="25" ht="188" customHeight="1">
      <c r="A25" s="8">
        <f>IF(ISNA(MATCH(12,Engine!$C$2:$C$1369,0)),"",INDEX('Compliance Database'!$A$2:$A$1369,MATCH(12,Engine!$C$2:$C$1369,0)))</f>
        <v/>
      </c>
      <c r="B25" s="8">
        <f>IF(ISNA(MATCH(12,Engine!$C$2:$C$1369,0)),"",INDEX('Compliance Database'!$B$2:$B$1369,MATCH(12,Engine!$C$2:$C$1369,0)))</f>
        <v/>
      </c>
      <c r="C25" s="8">
        <f>IF(ISNA(MATCH(12,Engine!$C$2:$C$1369,0)),"",INDEX('Compliance Database'!$C$2:$C$1369,MATCH(12,Engine!$C$2:$C$1369,0)))</f>
        <v/>
      </c>
      <c r="D25" s="9">
        <f>IF(ISNA(MATCH(12,Engine!$C$2:$C$1369,0)),"",INDEX('Compliance Database'!$D$2:$D$1369,MATCH(12,Engine!$C$2:$C$1369,0)))</f>
        <v/>
      </c>
      <c r="E25" s="8">
        <f>IF(ISNA(MATCH(12,Engine!$C$2:$C$1369,0)),"",INDEX('Compliance Database'!$E$2:$E$1369,MATCH(12,Engine!$C$2:$C$1369,0)))</f>
        <v/>
      </c>
      <c r="F25" s="8">
        <f>IF(ISNA(MATCH(12,Engine!$C$2:$C$1369,0)),"",INDEX('Compliance Database'!$F$2:$F$1369,MATCH(12,Engine!$C$2:$C$1369,0)))</f>
        <v/>
      </c>
      <c r="G25" s="8">
        <f>IF(ISNA(MATCH(12,Engine!$C$2:$C$1369,0)),"",INDEX('Compliance Database'!$G$2:$G$1369,MATCH(12,Engine!$C$2:$C$1369,0)))</f>
        <v/>
      </c>
      <c r="H25" s="9">
        <f>IF(ISNA(MATCH(12,Engine!$C$2:$C$1369,0)),"",INDEX('Compliance Database'!$H$2:$H$1369,MATCH(12,Engine!$C$2:$C$1369,0)))</f>
        <v/>
      </c>
      <c r="I25" s="9">
        <f>IF(ISNA(MATCH(12,Engine!$C$2:$C$1369,0)),"",INDEX('Compliance Database'!$I$2:$I$1369,MATCH(12,Engine!$C$2:$C$1369,0)))</f>
        <v/>
      </c>
      <c r="J25" s="8">
        <f>IF(ISNA(MATCH(12,Engine!$C$2:$C$1369,0)),"",INDEX('Compliance Database'!$J$2:$J$1369,MATCH(12,Engine!$C$2:$C$1369,0)))</f>
        <v/>
      </c>
      <c r="K25" s="9">
        <f>IF(ISNA(MATCH(12,Engine!$C$2:$C$1369,0)),"",INDEX('Compliance Database'!$K$2:$K$1369,MATCH(12,Engine!$C$2:$C$1369,0)))</f>
        <v/>
      </c>
      <c r="L25" s="9">
        <f>IF(ISNA(MATCH(12,Engine!$C$2:$C$1369,0)),"",INDEX('Compliance Database'!$L$2:$L$1369,MATCH(12,Engine!$C$2:$C$1369,0)))</f>
        <v/>
      </c>
      <c r="M25" s="9">
        <f>IF(ISNA(MATCH(12,Engine!$C$2:$C$1369,0)),"",INDEX('Compliance Database'!$M$2:$M$1369,MATCH(12,Engine!$C$2:$C$1369,0)))</f>
        <v/>
      </c>
      <c r="N25" s="9">
        <f>IF(ISNA(MATCH(12,Engine!$C$2:$C$1369,0)),"",INDEX('Compliance Database'!$N$2:$N$1369,MATCH(12,Engine!$C$2:$C$1369,0)))</f>
        <v/>
      </c>
      <c r="O25" s="8">
        <f>IF(ISNA(MATCH(12,Engine!$C$2:$C$1369,0)),"",HYPERLINK(INDEX('Compliance Database'!$O$2:$O$1369,MATCH(12,Engine!$C$2:$C$1369,0)),"Open PDF"))</f>
        <v/>
      </c>
    </row>
    <row r="26" ht="188" customHeight="1">
      <c r="A26" s="8">
        <f>IF(ISNA(MATCH(13,Engine!$C$2:$C$1369,0)),"",INDEX('Compliance Database'!$A$2:$A$1369,MATCH(13,Engine!$C$2:$C$1369,0)))</f>
        <v/>
      </c>
      <c r="B26" s="8">
        <f>IF(ISNA(MATCH(13,Engine!$C$2:$C$1369,0)),"",INDEX('Compliance Database'!$B$2:$B$1369,MATCH(13,Engine!$C$2:$C$1369,0)))</f>
        <v/>
      </c>
      <c r="C26" s="8">
        <f>IF(ISNA(MATCH(13,Engine!$C$2:$C$1369,0)),"",INDEX('Compliance Database'!$C$2:$C$1369,MATCH(13,Engine!$C$2:$C$1369,0)))</f>
        <v/>
      </c>
      <c r="D26" s="9">
        <f>IF(ISNA(MATCH(13,Engine!$C$2:$C$1369,0)),"",INDEX('Compliance Database'!$D$2:$D$1369,MATCH(13,Engine!$C$2:$C$1369,0)))</f>
        <v/>
      </c>
      <c r="E26" s="8">
        <f>IF(ISNA(MATCH(13,Engine!$C$2:$C$1369,0)),"",INDEX('Compliance Database'!$E$2:$E$1369,MATCH(13,Engine!$C$2:$C$1369,0)))</f>
        <v/>
      </c>
      <c r="F26" s="8">
        <f>IF(ISNA(MATCH(13,Engine!$C$2:$C$1369,0)),"",INDEX('Compliance Database'!$F$2:$F$1369,MATCH(13,Engine!$C$2:$C$1369,0)))</f>
        <v/>
      </c>
      <c r="G26" s="8">
        <f>IF(ISNA(MATCH(13,Engine!$C$2:$C$1369,0)),"",INDEX('Compliance Database'!$G$2:$G$1369,MATCH(13,Engine!$C$2:$C$1369,0)))</f>
        <v/>
      </c>
      <c r="H26" s="9">
        <f>IF(ISNA(MATCH(13,Engine!$C$2:$C$1369,0)),"",INDEX('Compliance Database'!$H$2:$H$1369,MATCH(13,Engine!$C$2:$C$1369,0)))</f>
        <v/>
      </c>
      <c r="I26" s="9">
        <f>IF(ISNA(MATCH(13,Engine!$C$2:$C$1369,0)),"",INDEX('Compliance Database'!$I$2:$I$1369,MATCH(13,Engine!$C$2:$C$1369,0)))</f>
        <v/>
      </c>
      <c r="J26" s="8">
        <f>IF(ISNA(MATCH(13,Engine!$C$2:$C$1369,0)),"",INDEX('Compliance Database'!$J$2:$J$1369,MATCH(13,Engine!$C$2:$C$1369,0)))</f>
        <v/>
      </c>
      <c r="K26" s="9">
        <f>IF(ISNA(MATCH(13,Engine!$C$2:$C$1369,0)),"",INDEX('Compliance Database'!$K$2:$K$1369,MATCH(13,Engine!$C$2:$C$1369,0)))</f>
        <v/>
      </c>
      <c r="L26" s="9">
        <f>IF(ISNA(MATCH(13,Engine!$C$2:$C$1369,0)),"",INDEX('Compliance Database'!$L$2:$L$1369,MATCH(13,Engine!$C$2:$C$1369,0)))</f>
        <v/>
      </c>
      <c r="M26" s="9">
        <f>IF(ISNA(MATCH(13,Engine!$C$2:$C$1369,0)),"",INDEX('Compliance Database'!$M$2:$M$1369,MATCH(13,Engine!$C$2:$C$1369,0)))</f>
        <v/>
      </c>
      <c r="N26" s="9">
        <f>IF(ISNA(MATCH(13,Engine!$C$2:$C$1369,0)),"",INDEX('Compliance Database'!$N$2:$N$1369,MATCH(13,Engine!$C$2:$C$1369,0)))</f>
        <v/>
      </c>
      <c r="O26" s="8">
        <f>IF(ISNA(MATCH(13,Engine!$C$2:$C$1369,0)),"",HYPERLINK(INDEX('Compliance Database'!$O$2:$O$1369,MATCH(13,Engine!$C$2:$C$1369,0)),"Open PDF"))</f>
        <v/>
      </c>
    </row>
    <row r="27" ht="188" customHeight="1">
      <c r="A27" s="8">
        <f>IF(ISNA(MATCH(14,Engine!$C$2:$C$1369,0)),"",INDEX('Compliance Database'!$A$2:$A$1369,MATCH(14,Engine!$C$2:$C$1369,0)))</f>
        <v/>
      </c>
      <c r="B27" s="8">
        <f>IF(ISNA(MATCH(14,Engine!$C$2:$C$1369,0)),"",INDEX('Compliance Database'!$B$2:$B$1369,MATCH(14,Engine!$C$2:$C$1369,0)))</f>
        <v/>
      </c>
      <c r="C27" s="8">
        <f>IF(ISNA(MATCH(14,Engine!$C$2:$C$1369,0)),"",INDEX('Compliance Database'!$C$2:$C$1369,MATCH(14,Engine!$C$2:$C$1369,0)))</f>
        <v/>
      </c>
      <c r="D27" s="9">
        <f>IF(ISNA(MATCH(14,Engine!$C$2:$C$1369,0)),"",INDEX('Compliance Database'!$D$2:$D$1369,MATCH(14,Engine!$C$2:$C$1369,0)))</f>
        <v/>
      </c>
      <c r="E27" s="8">
        <f>IF(ISNA(MATCH(14,Engine!$C$2:$C$1369,0)),"",INDEX('Compliance Database'!$E$2:$E$1369,MATCH(14,Engine!$C$2:$C$1369,0)))</f>
        <v/>
      </c>
      <c r="F27" s="8">
        <f>IF(ISNA(MATCH(14,Engine!$C$2:$C$1369,0)),"",INDEX('Compliance Database'!$F$2:$F$1369,MATCH(14,Engine!$C$2:$C$1369,0)))</f>
        <v/>
      </c>
      <c r="G27" s="8">
        <f>IF(ISNA(MATCH(14,Engine!$C$2:$C$1369,0)),"",INDEX('Compliance Database'!$G$2:$G$1369,MATCH(14,Engine!$C$2:$C$1369,0)))</f>
        <v/>
      </c>
      <c r="H27" s="9">
        <f>IF(ISNA(MATCH(14,Engine!$C$2:$C$1369,0)),"",INDEX('Compliance Database'!$H$2:$H$1369,MATCH(14,Engine!$C$2:$C$1369,0)))</f>
        <v/>
      </c>
      <c r="I27" s="9">
        <f>IF(ISNA(MATCH(14,Engine!$C$2:$C$1369,0)),"",INDEX('Compliance Database'!$I$2:$I$1369,MATCH(14,Engine!$C$2:$C$1369,0)))</f>
        <v/>
      </c>
      <c r="J27" s="8">
        <f>IF(ISNA(MATCH(14,Engine!$C$2:$C$1369,0)),"",INDEX('Compliance Database'!$J$2:$J$1369,MATCH(14,Engine!$C$2:$C$1369,0)))</f>
        <v/>
      </c>
      <c r="K27" s="9">
        <f>IF(ISNA(MATCH(14,Engine!$C$2:$C$1369,0)),"",INDEX('Compliance Database'!$K$2:$K$1369,MATCH(14,Engine!$C$2:$C$1369,0)))</f>
        <v/>
      </c>
      <c r="L27" s="9">
        <f>IF(ISNA(MATCH(14,Engine!$C$2:$C$1369,0)),"",INDEX('Compliance Database'!$L$2:$L$1369,MATCH(14,Engine!$C$2:$C$1369,0)))</f>
        <v/>
      </c>
      <c r="M27" s="9">
        <f>IF(ISNA(MATCH(14,Engine!$C$2:$C$1369,0)),"",INDEX('Compliance Database'!$M$2:$M$1369,MATCH(14,Engine!$C$2:$C$1369,0)))</f>
        <v/>
      </c>
      <c r="N27" s="9">
        <f>IF(ISNA(MATCH(14,Engine!$C$2:$C$1369,0)),"",INDEX('Compliance Database'!$N$2:$N$1369,MATCH(14,Engine!$C$2:$C$1369,0)))</f>
        <v/>
      </c>
      <c r="O27" s="8">
        <f>IF(ISNA(MATCH(14,Engine!$C$2:$C$1369,0)),"",HYPERLINK(INDEX('Compliance Database'!$O$2:$O$1369,MATCH(14,Engine!$C$2:$C$1369,0)),"Open PDF"))</f>
        <v/>
      </c>
    </row>
    <row r="28" ht="188" customHeight="1">
      <c r="A28" s="8">
        <f>IF(ISNA(MATCH(15,Engine!$C$2:$C$1369,0)),"",INDEX('Compliance Database'!$A$2:$A$1369,MATCH(15,Engine!$C$2:$C$1369,0)))</f>
        <v/>
      </c>
      <c r="B28" s="8">
        <f>IF(ISNA(MATCH(15,Engine!$C$2:$C$1369,0)),"",INDEX('Compliance Database'!$B$2:$B$1369,MATCH(15,Engine!$C$2:$C$1369,0)))</f>
        <v/>
      </c>
      <c r="C28" s="8">
        <f>IF(ISNA(MATCH(15,Engine!$C$2:$C$1369,0)),"",INDEX('Compliance Database'!$C$2:$C$1369,MATCH(15,Engine!$C$2:$C$1369,0)))</f>
        <v/>
      </c>
      <c r="D28" s="9">
        <f>IF(ISNA(MATCH(15,Engine!$C$2:$C$1369,0)),"",INDEX('Compliance Database'!$D$2:$D$1369,MATCH(15,Engine!$C$2:$C$1369,0)))</f>
        <v/>
      </c>
      <c r="E28" s="8">
        <f>IF(ISNA(MATCH(15,Engine!$C$2:$C$1369,0)),"",INDEX('Compliance Database'!$E$2:$E$1369,MATCH(15,Engine!$C$2:$C$1369,0)))</f>
        <v/>
      </c>
      <c r="F28" s="8">
        <f>IF(ISNA(MATCH(15,Engine!$C$2:$C$1369,0)),"",INDEX('Compliance Database'!$F$2:$F$1369,MATCH(15,Engine!$C$2:$C$1369,0)))</f>
        <v/>
      </c>
      <c r="G28" s="8">
        <f>IF(ISNA(MATCH(15,Engine!$C$2:$C$1369,0)),"",INDEX('Compliance Database'!$G$2:$G$1369,MATCH(15,Engine!$C$2:$C$1369,0)))</f>
        <v/>
      </c>
      <c r="H28" s="9">
        <f>IF(ISNA(MATCH(15,Engine!$C$2:$C$1369,0)),"",INDEX('Compliance Database'!$H$2:$H$1369,MATCH(15,Engine!$C$2:$C$1369,0)))</f>
        <v/>
      </c>
      <c r="I28" s="9">
        <f>IF(ISNA(MATCH(15,Engine!$C$2:$C$1369,0)),"",INDEX('Compliance Database'!$I$2:$I$1369,MATCH(15,Engine!$C$2:$C$1369,0)))</f>
        <v/>
      </c>
      <c r="J28" s="8">
        <f>IF(ISNA(MATCH(15,Engine!$C$2:$C$1369,0)),"",INDEX('Compliance Database'!$J$2:$J$1369,MATCH(15,Engine!$C$2:$C$1369,0)))</f>
        <v/>
      </c>
      <c r="K28" s="9">
        <f>IF(ISNA(MATCH(15,Engine!$C$2:$C$1369,0)),"",INDEX('Compliance Database'!$K$2:$K$1369,MATCH(15,Engine!$C$2:$C$1369,0)))</f>
        <v/>
      </c>
      <c r="L28" s="9">
        <f>IF(ISNA(MATCH(15,Engine!$C$2:$C$1369,0)),"",INDEX('Compliance Database'!$L$2:$L$1369,MATCH(15,Engine!$C$2:$C$1369,0)))</f>
        <v/>
      </c>
      <c r="M28" s="9">
        <f>IF(ISNA(MATCH(15,Engine!$C$2:$C$1369,0)),"",INDEX('Compliance Database'!$M$2:$M$1369,MATCH(15,Engine!$C$2:$C$1369,0)))</f>
        <v/>
      </c>
      <c r="N28" s="9">
        <f>IF(ISNA(MATCH(15,Engine!$C$2:$C$1369,0)),"",INDEX('Compliance Database'!$N$2:$N$1369,MATCH(15,Engine!$C$2:$C$1369,0)))</f>
        <v/>
      </c>
      <c r="O28" s="8">
        <f>IF(ISNA(MATCH(15,Engine!$C$2:$C$1369,0)),"",HYPERLINK(INDEX('Compliance Database'!$O$2:$O$1369,MATCH(15,Engine!$C$2:$C$1369,0)),"Open PDF"))</f>
        <v/>
      </c>
    </row>
    <row r="29" ht="188" customHeight="1">
      <c r="A29" s="8">
        <f>IF(ISNA(MATCH(16,Engine!$C$2:$C$1369,0)),"",INDEX('Compliance Database'!$A$2:$A$1369,MATCH(16,Engine!$C$2:$C$1369,0)))</f>
        <v/>
      </c>
      <c r="B29" s="8">
        <f>IF(ISNA(MATCH(16,Engine!$C$2:$C$1369,0)),"",INDEX('Compliance Database'!$B$2:$B$1369,MATCH(16,Engine!$C$2:$C$1369,0)))</f>
        <v/>
      </c>
      <c r="C29" s="8">
        <f>IF(ISNA(MATCH(16,Engine!$C$2:$C$1369,0)),"",INDEX('Compliance Database'!$C$2:$C$1369,MATCH(16,Engine!$C$2:$C$1369,0)))</f>
        <v/>
      </c>
      <c r="D29" s="9">
        <f>IF(ISNA(MATCH(16,Engine!$C$2:$C$1369,0)),"",INDEX('Compliance Database'!$D$2:$D$1369,MATCH(16,Engine!$C$2:$C$1369,0)))</f>
        <v/>
      </c>
      <c r="E29" s="8">
        <f>IF(ISNA(MATCH(16,Engine!$C$2:$C$1369,0)),"",INDEX('Compliance Database'!$E$2:$E$1369,MATCH(16,Engine!$C$2:$C$1369,0)))</f>
        <v/>
      </c>
      <c r="F29" s="8">
        <f>IF(ISNA(MATCH(16,Engine!$C$2:$C$1369,0)),"",INDEX('Compliance Database'!$F$2:$F$1369,MATCH(16,Engine!$C$2:$C$1369,0)))</f>
        <v/>
      </c>
      <c r="G29" s="8">
        <f>IF(ISNA(MATCH(16,Engine!$C$2:$C$1369,0)),"",INDEX('Compliance Database'!$G$2:$G$1369,MATCH(16,Engine!$C$2:$C$1369,0)))</f>
        <v/>
      </c>
      <c r="H29" s="9">
        <f>IF(ISNA(MATCH(16,Engine!$C$2:$C$1369,0)),"",INDEX('Compliance Database'!$H$2:$H$1369,MATCH(16,Engine!$C$2:$C$1369,0)))</f>
        <v/>
      </c>
      <c r="I29" s="9">
        <f>IF(ISNA(MATCH(16,Engine!$C$2:$C$1369,0)),"",INDEX('Compliance Database'!$I$2:$I$1369,MATCH(16,Engine!$C$2:$C$1369,0)))</f>
        <v/>
      </c>
      <c r="J29" s="8">
        <f>IF(ISNA(MATCH(16,Engine!$C$2:$C$1369,0)),"",INDEX('Compliance Database'!$J$2:$J$1369,MATCH(16,Engine!$C$2:$C$1369,0)))</f>
        <v/>
      </c>
      <c r="K29" s="9">
        <f>IF(ISNA(MATCH(16,Engine!$C$2:$C$1369,0)),"",INDEX('Compliance Database'!$K$2:$K$1369,MATCH(16,Engine!$C$2:$C$1369,0)))</f>
        <v/>
      </c>
      <c r="L29" s="9">
        <f>IF(ISNA(MATCH(16,Engine!$C$2:$C$1369,0)),"",INDEX('Compliance Database'!$L$2:$L$1369,MATCH(16,Engine!$C$2:$C$1369,0)))</f>
        <v/>
      </c>
      <c r="M29" s="9">
        <f>IF(ISNA(MATCH(16,Engine!$C$2:$C$1369,0)),"",INDEX('Compliance Database'!$M$2:$M$1369,MATCH(16,Engine!$C$2:$C$1369,0)))</f>
        <v/>
      </c>
      <c r="N29" s="9">
        <f>IF(ISNA(MATCH(16,Engine!$C$2:$C$1369,0)),"",INDEX('Compliance Database'!$N$2:$N$1369,MATCH(16,Engine!$C$2:$C$1369,0)))</f>
        <v/>
      </c>
      <c r="O29" s="8">
        <f>IF(ISNA(MATCH(16,Engine!$C$2:$C$1369,0)),"",HYPERLINK(INDEX('Compliance Database'!$O$2:$O$1369,MATCH(16,Engine!$C$2:$C$1369,0)),"Open PDF"))</f>
        <v/>
      </c>
    </row>
    <row r="30" ht="188" customHeight="1">
      <c r="A30" s="8">
        <f>IF(ISNA(MATCH(17,Engine!$C$2:$C$1369,0)),"",INDEX('Compliance Database'!$A$2:$A$1369,MATCH(17,Engine!$C$2:$C$1369,0)))</f>
        <v/>
      </c>
      <c r="B30" s="8">
        <f>IF(ISNA(MATCH(17,Engine!$C$2:$C$1369,0)),"",INDEX('Compliance Database'!$B$2:$B$1369,MATCH(17,Engine!$C$2:$C$1369,0)))</f>
        <v/>
      </c>
      <c r="C30" s="8">
        <f>IF(ISNA(MATCH(17,Engine!$C$2:$C$1369,0)),"",INDEX('Compliance Database'!$C$2:$C$1369,MATCH(17,Engine!$C$2:$C$1369,0)))</f>
        <v/>
      </c>
      <c r="D30" s="9">
        <f>IF(ISNA(MATCH(17,Engine!$C$2:$C$1369,0)),"",INDEX('Compliance Database'!$D$2:$D$1369,MATCH(17,Engine!$C$2:$C$1369,0)))</f>
        <v/>
      </c>
      <c r="E30" s="8">
        <f>IF(ISNA(MATCH(17,Engine!$C$2:$C$1369,0)),"",INDEX('Compliance Database'!$E$2:$E$1369,MATCH(17,Engine!$C$2:$C$1369,0)))</f>
        <v/>
      </c>
      <c r="F30" s="8">
        <f>IF(ISNA(MATCH(17,Engine!$C$2:$C$1369,0)),"",INDEX('Compliance Database'!$F$2:$F$1369,MATCH(17,Engine!$C$2:$C$1369,0)))</f>
        <v/>
      </c>
      <c r="G30" s="8">
        <f>IF(ISNA(MATCH(17,Engine!$C$2:$C$1369,0)),"",INDEX('Compliance Database'!$G$2:$G$1369,MATCH(17,Engine!$C$2:$C$1369,0)))</f>
        <v/>
      </c>
      <c r="H30" s="9">
        <f>IF(ISNA(MATCH(17,Engine!$C$2:$C$1369,0)),"",INDEX('Compliance Database'!$H$2:$H$1369,MATCH(17,Engine!$C$2:$C$1369,0)))</f>
        <v/>
      </c>
      <c r="I30" s="9">
        <f>IF(ISNA(MATCH(17,Engine!$C$2:$C$1369,0)),"",INDEX('Compliance Database'!$I$2:$I$1369,MATCH(17,Engine!$C$2:$C$1369,0)))</f>
        <v/>
      </c>
      <c r="J30" s="8">
        <f>IF(ISNA(MATCH(17,Engine!$C$2:$C$1369,0)),"",INDEX('Compliance Database'!$J$2:$J$1369,MATCH(17,Engine!$C$2:$C$1369,0)))</f>
        <v/>
      </c>
      <c r="K30" s="9">
        <f>IF(ISNA(MATCH(17,Engine!$C$2:$C$1369,0)),"",INDEX('Compliance Database'!$K$2:$K$1369,MATCH(17,Engine!$C$2:$C$1369,0)))</f>
        <v/>
      </c>
      <c r="L30" s="9">
        <f>IF(ISNA(MATCH(17,Engine!$C$2:$C$1369,0)),"",INDEX('Compliance Database'!$L$2:$L$1369,MATCH(17,Engine!$C$2:$C$1369,0)))</f>
        <v/>
      </c>
      <c r="M30" s="9">
        <f>IF(ISNA(MATCH(17,Engine!$C$2:$C$1369,0)),"",INDEX('Compliance Database'!$M$2:$M$1369,MATCH(17,Engine!$C$2:$C$1369,0)))</f>
        <v/>
      </c>
      <c r="N30" s="9">
        <f>IF(ISNA(MATCH(17,Engine!$C$2:$C$1369,0)),"",INDEX('Compliance Database'!$N$2:$N$1369,MATCH(17,Engine!$C$2:$C$1369,0)))</f>
        <v/>
      </c>
      <c r="O30" s="8">
        <f>IF(ISNA(MATCH(17,Engine!$C$2:$C$1369,0)),"",HYPERLINK(INDEX('Compliance Database'!$O$2:$O$1369,MATCH(17,Engine!$C$2:$C$1369,0)),"Open PDF"))</f>
        <v/>
      </c>
    </row>
    <row r="31" ht="188" customHeight="1">
      <c r="A31" s="8">
        <f>IF(ISNA(MATCH(18,Engine!$C$2:$C$1369,0)),"",INDEX('Compliance Database'!$A$2:$A$1369,MATCH(18,Engine!$C$2:$C$1369,0)))</f>
        <v/>
      </c>
      <c r="B31" s="8">
        <f>IF(ISNA(MATCH(18,Engine!$C$2:$C$1369,0)),"",INDEX('Compliance Database'!$B$2:$B$1369,MATCH(18,Engine!$C$2:$C$1369,0)))</f>
        <v/>
      </c>
      <c r="C31" s="8">
        <f>IF(ISNA(MATCH(18,Engine!$C$2:$C$1369,0)),"",INDEX('Compliance Database'!$C$2:$C$1369,MATCH(18,Engine!$C$2:$C$1369,0)))</f>
        <v/>
      </c>
      <c r="D31" s="9">
        <f>IF(ISNA(MATCH(18,Engine!$C$2:$C$1369,0)),"",INDEX('Compliance Database'!$D$2:$D$1369,MATCH(18,Engine!$C$2:$C$1369,0)))</f>
        <v/>
      </c>
      <c r="E31" s="8">
        <f>IF(ISNA(MATCH(18,Engine!$C$2:$C$1369,0)),"",INDEX('Compliance Database'!$E$2:$E$1369,MATCH(18,Engine!$C$2:$C$1369,0)))</f>
        <v/>
      </c>
      <c r="F31" s="8">
        <f>IF(ISNA(MATCH(18,Engine!$C$2:$C$1369,0)),"",INDEX('Compliance Database'!$F$2:$F$1369,MATCH(18,Engine!$C$2:$C$1369,0)))</f>
        <v/>
      </c>
      <c r="G31" s="8">
        <f>IF(ISNA(MATCH(18,Engine!$C$2:$C$1369,0)),"",INDEX('Compliance Database'!$G$2:$G$1369,MATCH(18,Engine!$C$2:$C$1369,0)))</f>
        <v/>
      </c>
      <c r="H31" s="9">
        <f>IF(ISNA(MATCH(18,Engine!$C$2:$C$1369,0)),"",INDEX('Compliance Database'!$H$2:$H$1369,MATCH(18,Engine!$C$2:$C$1369,0)))</f>
        <v/>
      </c>
      <c r="I31" s="9">
        <f>IF(ISNA(MATCH(18,Engine!$C$2:$C$1369,0)),"",INDEX('Compliance Database'!$I$2:$I$1369,MATCH(18,Engine!$C$2:$C$1369,0)))</f>
        <v/>
      </c>
      <c r="J31" s="8">
        <f>IF(ISNA(MATCH(18,Engine!$C$2:$C$1369,0)),"",INDEX('Compliance Database'!$J$2:$J$1369,MATCH(18,Engine!$C$2:$C$1369,0)))</f>
        <v/>
      </c>
      <c r="K31" s="9">
        <f>IF(ISNA(MATCH(18,Engine!$C$2:$C$1369,0)),"",INDEX('Compliance Database'!$K$2:$K$1369,MATCH(18,Engine!$C$2:$C$1369,0)))</f>
        <v/>
      </c>
      <c r="L31" s="9">
        <f>IF(ISNA(MATCH(18,Engine!$C$2:$C$1369,0)),"",INDEX('Compliance Database'!$L$2:$L$1369,MATCH(18,Engine!$C$2:$C$1369,0)))</f>
        <v/>
      </c>
      <c r="M31" s="9">
        <f>IF(ISNA(MATCH(18,Engine!$C$2:$C$1369,0)),"",INDEX('Compliance Database'!$M$2:$M$1369,MATCH(18,Engine!$C$2:$C$1369,0)))</f>
        <v/>
      </c>
      <c r="N31" s="9">
        <f>IF(ISNA(MATCH(18,Engine!$C$2:$C$1369,0)),"",INDEX('Compliance Database'!$N$2:$N$1369,MATCH(18,Engine!$C$2:$C$1369,0)))</f>
        <v/>
      </c>
      <c r="O31" s="8">
        <f>IF(ISNA(MATCH(18,Engine!$C$2:$C$1369,0)),"",HYPERLINK(INDEX('Compliance Database'!$O$2:$O$1369,MATCH(18,Engine!$C$2:$C$1369,0)),"Open PDF"))</f>
        <v/>
      </c>
    </row>
    <row r="32" ht="188" customHeight="1">
      <c r="A32" s="8">
        <f>IF(ISNA(MATCH(19,Engine!$C$2:$C$1369,0)),"",INDEX('Compliance Database'!$A$2:$A$1369,MATCH(19,Engine!$C$2:$C$1369,0)))</f>
        <v/>
      </c>
      <c r="B32" s="8">
        <f>IF(ISNA(MATCH(19,Engine!$C$2:$C$1369,0)),"",INDEX('Compliance Database'!$B$2:$B$1369,MATCH(19,Engine!$C$2:$C$1369,0)))</f>
        <v/>
      </c>
      <c r="C32" s="8">
        <f>IF(ISNA(MATCH(19,Engine!$C$2:$C$1369,0)),"",INDEX('Compliance Database'!$C$2:$C$1369,MATCH(19,Engine!$C$2:$C$1369,0)))</f>
        <v/>
      </c>
      <c r="D32" s="9">
        <f>IF(ISNA(MATCH(19,Engine!$C$2:$C$1369,0)),"",INDEX('Compliance Database'!$D$2:$D$1369,MATCH(19,Engine!$C$2:$C$1369,0)))</f>
        <v/>
      </c>
      <c r="E32" s="8">
        <f>IF(ISNA(MATCH(19,Engine!$C$2:$C$1369,0)),"",INDEX('Compliance Database'!$E$2:$E$1369,MATCH(19,Engine!$C$2:$C$1369,0)))</f>
        <v/>
      </c>
      <c r="F32" s="8">
        <f>IF(ISNA(MATCH(19,Engine!$C$2:$C$1369,0)),"",INDEX('Compliance Database'!$F$2:$F$1369,MATCH(19,Engine!$C$2:$C$1369,0)))</f>
        <v/>
      </c>
      <c r="G32" s="8">
        <f>IF(ISNA(MATCH(19,Engine!$C$2:$C$1369,0)),"",INDEX('Compliance Database'!$G$2:$G$1369,MATCH(19,Engine!$C$2:$C$1369,0)))</f>
        <v/>
      </c>
      <c r="H32" s="9">
        <f>IF(ISNA(MATCH(19,Engine!$C$2:$C$1369,0)),"",INDEX('Compliance Database'!$H$2:$H$1369,MATCH(19,Engine!$C$2:$C$1369,0)))</f>
        <v/>
      </c>
      <c r="I32" s="9">
        <f>IF(ISNA(MATCH(19,Engine!$C$2:$C$1369,0)),"",INDEX('Compliance Database'!$I$2:$I$1369,MATCH(19,Engine!$C$2:$C$1369,0)))</f>
        <v/>
      </c>
      <c r="J32" s="8">
        <f>IF(ISNA(MATCH(19,Engine!$C$2:$C$1369,0)),"",INDEX('Compliance Database'!$J$2:$J$1369,MATCH(19,Engine!$C$2:$C$1369,0)))</f>
        <v/>
      </c>
      <c r="K32" s="9">
        <f>IF(ISNA(MATCH(19,Engine!$C$2:$C$1369,0)),"",INDEX('Compliance Database'!$K$2:$K$1369,MATCH(19,Engine!$C$2:$C$1369,0)))</f>
        <v/>
      </c>
      <c r="L32" s="9">
        <f>IF(ISNA(MATCH(19,Engine!$C$2:$C$1369,0)),"",INDEX('Compliance Database'!$L$2:$L$1369,MATCH(19,Engine!$C$2:$C$1369,0)))</f>
        <v/>
      </c>
      <c r="M32" s="9">
        <f>IF(ISNA(MATCH(19,Engine!$C$2:$C$1369,0)),"",INDEX('Compliance Database'!$M$2:$M$1369,MATCH(19,Engine!$C$2:$C$1369,0)))</f>
        <v/>
      </c>
      <c r="N32" s="9">
        <f>IF(ISNA(MATCH(19,Engine!$C$2:$C$1369,0)),"",INDEX('Compliance Database'!$N$2:$N$1369,MATCH(19,Engine!$C$2:$C$1369,0)))</f>
        <v/>
      </c>
      <c r="O32" s="8">
        <f>IF(ISNA(MATCH(19,Engine!$C$2:$C$1369,0)),"",HYPERLINK(INDEX('Compliance Database'!$O$2:$O$1369,MATCH(19,Engine!$C$2:$C$1369,0)),"Open PDF"))</f>
        <v/>
      </c>
    </row>
    <row r="33" ht="188" customHeight="1">
      <c r="A33" s="8">
        <f>IF(ISNA(MATCH(20,Engine!$C$2:$C$1369,0)),"",INDEX('Compliance Database'!$A$2:$A$1369,MATCH(20,Engine!$C$2:$C$1369,0)))</f>
        <v/>
      </c>
      <c r="B33" s="8">
        <f>IF(ISNA(MATCH(20,Engine!$C$2:$C$1369,0)),"",INDEX('Compliance Database'!$B$2:$B$1369,MATCH(20,Engine!$C$2:$C$1369,0)))</f>
        <v/>
      </c>
      <c r="C33" s="8">
        <f>IF(ISNA(MATCH(20,Engine!$C$2:$C$1369,0)),"",INDEX('Compliance Database'!$C$2:$C$1369,MATCH(20,Engine!$C$2:$C$1369,0)))</f>
        <v/>
      </c>
      <c r="D33" s="9">
        <f>IF(ISNA(MATCH(20,Engine!$C$2:$C$1369,0)),"",INDEX('Compliance Database'!$D$2:$D$1369,MATCH(20,Engine!$C$2:$C$1369,0)))</f>
        <v/>
      </c>
      <c r="E33" s="8">
        <f>IF(ISNA(MATCH(20,Engine!$C$2:$C$1369,0)),"",INDEX('Compliance Database'!$E$2:$E$1369,MATCH(20,Engine!$C$2:$C$1369,0)))</f>
        <v/>
      </c>
      <c r="F33" s="8">
        <f>IF(ISNA(MATCH(20,Engine!$C$2:$C$1369,0)),"",INDEX('Compliance Database'!$F$2:$F$1369,MATCH(20,Engine!$C$2:$C$1369,0)))</f>
        <v/>
      </c>
      <c r="G33" s="8">
        <f>IF(ISNA(MATCH(20,Engine!$C$2:$C$1369,0)),"",INDEX('Compliance Database'!$G$2:$G$1369,MATCH(20,Engine!$C$2:$C$1369,0)))</f>
        <v/>
      </c>
      <c r="H33" s="9">
        <f>IF(ISNA(MATCH(20,Engine!$C$2:$C$1369,0)),"",INDEX('Compliance Database'!$H$2:$H$1369,MATCH(20,Engine!$C$2:$C$1369,0)))</f>
        <v/>
      </c>
      <c r="I33" s="9">
        <f>IF(ISNA(MATCH(20,Engine!$C$2:$C$1369,0)),"",INDEX('Compliance Database'!$I$2:$I$1369,MATCH(20,Engine!$C$2:$C$1369,0)))</f>
        <v/>
      </c>
      <c r="J33" s="8">
        <f>IF(ISNA(MATCH(20,Engine!$C$2:$C$1369,0)),"",INDEX('Compliance Database'!$J$2:$J$1369,MATCH(20,Engine!$C$2:$C$1369,0)))</f>
        <v/>
      </c>
      <c r="K33" s="9">
        <f>IF(ISNA(MATCH(20,Engine!$C$2:$C$1369,0)),"",INDEX('Compliance Database'!$K$2:$K$1369,MATCH(20,Engine!$C$2:$C$1369,0)))</f>
        <v/>
      </c>
      <c r="L33" s="9">
        <f>IF(ISNA(MATCH(20,Engine!$C$2:$C$1369,0)),"",INDEX('Compliance Database'!$L$2:$L$1369,MATCH(20,Engine!$C$2:$C$1369,0)))</f>
        <v/>
      </c>
      <c r="M33" s="9">
        <f>IF(ISNA(MATCH(20,Engine!$C$2:$C$1369,0)),"",INDEX('Compliance Database'!$M$2:$M$1369,MATCH(20,Engine!$C$2:$C$1369,0)))</f>
        <v/>
      </c>
      <c r="N33" s="9">
        <f>IF(ISNA(MATCH(20,Engine!$C$2:$C$1369,0)),"",INDEX('Compliance Database'!$N$2:$N$1369,MATCH(20,Engine!$C$2:$C$1369,0)))</f>
        <v/>
      </c>
      <c r="O33" s="8">
        <f>IF(ISNA(MATCH(20,Engine!$C$2:$C$1369,0)),"",HYPERLINK(INDEX('Compliance Database'!$O$2:$O$1369,MATCH(20,Engine!$C$2:$C$1369,0)),"Open PDF"))</f>
        <v/>
      </c>
    </row>
    <row r="34" ht="188" customHeight="1">
      <c r="A34" s="8">
        <f>IF(ISNA(MATCH(21,Engine!$C$2:$C$1369,0)),"",INDEX('Compliance Database'!$A$2:$A$1369,MATCH(21,Engine!$C$2:$C$1369,0)))</f>
        <v/>
      </c>
      <c r="B34" s="8">
        <f>IF(ISNA(MATCH(21,Engine!$C$2:$C$1369,0)),"",INDEX('Compliance Database'!$B$2:$B$1369,MATCH(21,Engine!$C$2:$C$1369,0)))</f>
        <v/>
      </c>
      <c r="C34" s="8">
        <f>IF(ISNA(MATCH(21,Engine!$C$2:$C$1369,0)),"",INDEX('Compliance Database'!$C$2:$C$1369,MATCH(21,Engine!$C$2:$C$1369,0)))</f>
        <v/>
      </c>
      <c r="D34" s="9">
        <f>IF(ISNA(MATCH(21,Engine!$C$2:$C$1369,0)),"",INDEX('Compliance Database'!$D$2:$D$1369,MATCH(21,Engine!$C$2:$C$1369,0)))</f>
        <v/>
      </c>
      <c r="E34" s="8">
        <f>IF(ISNA(MATCH(21,Engine!$C$2:$C$1369,0)),"",INDEX('Compliance Database'!$E$2:$E$1369,MATCH(21,Engine!$C$2:$C$1369,0)))</f>
        <v/>
      </c>
      <c r="F34" s="8">
        <f>IF(ISNA(MATCH(21,Engine!$C$2:$C$1369,0)),"",INDEX('Compliance Database'!$F$2:$F$1369,MATCH(21,Engine!$C$2:$C$1369,0)))</f>
        <v/>
      </c>
      <c r="G34" s="8">
        <f>IF(ISNA(MATCH(21,Engine!$C$2:$C$1369,0)),"",INDEX('Compliance Database'!$G$2:$G$1369,MATCH(21,Engine!$C$2:$C$1369,0)))</f>
        <v/>
      </c>
      <c r="H34" s="9">
        <f>IF(ISNA(MATCH(21,Engine!$C$2:$C$1369,0)),"",INDEX('Compliance Database'!$H$2:$H$1369,MATCH(21,Engine!$C$2:$C$1369,0)))</f>
        <v/>
      </c>
      <c r="I34" s="9">
        <f>IF(ISNA(MATCH(21,Engine!$C$2:$C$1369,0)),"",INDEX('Compliance Database'!$I$2:$I$1369,MATCH(21,Engine!$C$2:$C$1369,0)))</f>
        <v/>
      </c>
      <c r="J34" s="8">
        <f>IF(ISNA(MATCH(21,Engine!$C$2:$C$1369,0)),"",INDEX('Compliance Database'!$J$2:$J$1369,MATCH(21,Engine!$C$2:$C$1369,0)))</f>
        <v/>
      </c>
      <c r="K34" s="9">
        <f>IF(ISNA(MATCH(21,Engine!$C$2:$C$1369,0)),"",INDEX('Compliance Database'!$K$2:$K$1369,MATCH(21,Engine!$C$2:$C$1369,0)))</f>
        <v/>
      </c>
      <c r="L34" s="9">
        <f>IF(ISNA(MATCH(21,Engine!$C$2:$C$1369,0)),"",INDEX('Compliance Database'!$L$2:$L$1369,MATCH(21,Engine!$C$2:$C$1369,0)))</f>
        <v/>
      </c>
      <c r="M34" s="9">
        <f>IF(ISNA(MATCH(21,Engine!$C$2:$C$1369,0)),"",INDEX('Compliance Database'!$M$2:$M$1369,MATCH(21,Engine!$C$2:$C$1369,0)))</f>
        <v/>
      </c>
      <c r="N34" s="9">
        <f>IF(ISNA(MATCH(21,Engine!$C$2:$C$1369,0)),"",INDEX('Compliance Database'!$N$2:$N$1369,MATCH(21,Engine!$C$2:$C$1369,0)))</f>
        <v/>
      </c>
      <c r="O34" s="8">
        <f>IF(ISNA(MATCH(21,Engine!$C$2:$C$1369,0)),"",HYPERLINK(INDEX('Compliance Database'!$O$2:$O$1369,MATCH(21,Engine!$C$2:$C$1369,0)),"Open PDF"))</f>
        <v/>
      </c>
    </row>
    <row r="35" ht="188" customHeight="1">
      <c r="A35" s="8">
        <f>IF(ISNA(MATCH(22,Engine!$C$2:$C$1369,0)),"",INDEX('Compliance Database'!$A$2:$A$1369,MATCH(22,Engine!$C$2:$C$1369,0)))</f>
        <v/>
      </c>
      <c r="B35" s="8">
        <f>IF(ISNA(MATCH(22,Engine!$C$2:$C$1369,0)),"",INDEX('Compliance Database'!$B$2:$B$1369,MATCH(22,Engine!$C$2:$C$1369,0)))</f>
        <v/>
      </c>
      <c r="C35" s="8">
        <f>IF(ISNA(MATCH(22,Engine!$C$2:$C$1369,0)),"",INDEX('Compliance Database'!$C$2:$C$1369,MATCH(22,Engine!$C$2:$C$1369,0)))</f>
        <v/>
      </c>
      <c r="D35" s="9">
        <f>IF(ISNA(MATCH(22,Engine!$C$2:$C$1369,0)),"",INDEX('Compliance Database'!$D$2:$D$1369,MATCH(22,Engine!$C$2:$C$1369,0)))</f>
        <v/>
      </c>
      <c r="E35" s="8">
        <f>IF(ISNA(MATCH(22,Engine!$C$2:$C$1369,0)),"",INDEX('Compliance Database'!$E$2:$E$1369,MATCH(22,Engine!$C$2:$C$1369,0)))</f>
        <v/>
      </c>
      <c r="F35" s="8">
        <f>IF(ISNA(MATCH(22,Engine!$C$2:$C$1369,0)),"",INDEX('Compliance Database'!$F$2:$F$1369,MATCH(22,Engine!$C$2:$C$1369,0)))</f>
        <v/>
      </c>
      <c r="G35" s="8">
        <f>IF(ISNA(MATCH(22,Engine!$C$2:$C$1369,0)),"",INDEX('Compliance Database'!$G$2:$G$1369,MATCH(22,Engine!$C$2:$C$1369,0)))</f>
        <v/>
      </c>
      <c r="H35" s="9">
        <f>IF(ISNA(MATCH(22,Engine!$C$2:$C$1369,0)),"",INDEX('Compliance Database'!$H$2:$H$1369,MATCH(22,Engine!$C$2:$C$1369,0)))</f>
        <v/>
      </c>
      <c r="I35" s="9">
        <f>IF(ISNA(MATCH(22,Engine!$C$2:$C$1369,0)),"",INDEX('Compliance Database'!$I$2:$I$1369,MATCH(22,Engine!$C$2:$C$1369,0)))</f>
        <v/>
      </c>
      <c r="J35" s="8">
        <f>IF(ISNA(MATCH(22,Engine!$C$2:$C$1369,0)),"",INDEX('Compliance Database'!$J$2:$J$1369,MATCH(22,Engine!$C$2:$C$1369,0)))</f>
        <v/>
      </c>
      <c r="K35" s="9">
        <f>IF(ISNA(MATCH(22,Engine!$C$2:$C$1369,0)),"",INDEX('Compliance Database'!$K$2:$K$1369,MATCH(22,Engine!$C$2:$C$1369,0)))</f>
        <v/>
      </c>
      <c r="L35" s="9">
        <f>IF(ISNA(MATCH(22,Engine!$C$2:$C$1369,0)),"",INDEX('Compliance Database'!$L$2:$L$1369,MATCH(22,Engine!$C$2:$C$1369,0)))</f>
        <v/>
      </c>
      <c r="M35" s="9">
        <f>IF(ISNA(MATCH(22,Engine!$C$2:$C$1369,0)),"",INDEX('Compliance Database'!$M$2:$M$1369,MATCH(22,Engine!$C$2:$C$1369,0)))</f>
        <v/>
      </c>
      <c r="N35" s="9">
        <f>IF(ISNA(MATCH(22,Engine!$C$2:$C$1369,0)),"",INDEX('Compliance Database'!$N$2:$N$1369,MATCH(22,Engine!$C$2:$C$1369,0)))</f>
        <v/>
      </c>
      <c r="O35" s="8">
        <f>IF(ISNA(MATCH(22,Engine!$C$2:$C$1369,0)),"",HYPERLINK(INDEX('Compliance Database'!$O$2:$O$1369,MATCH(22,Engine!$C$2:$C$1369,0)),"Open PDF"))</f>
        <v/>
      </c>
    </row>
    <row r="36" ht="188" customHeight="1">
      <c r="A36" s="8">
        <f>IF(ISNA(MATCH(23,Engine!$C$2:$C$1369,0)),"",INDEX('Compliance Database'!$A$2:$A$1369,MATCH(23,Engine!$C$2:$C$1369,0)))</f>
        <v/>
      </c>
      <c r="B36" s="8">
        <f>IF(ISNA(MATCH(23,Engine!$C$2:$C$1369,0)),"",INDEX('Compliance Database'!$B$2:$B$1369,MATCH(23,Engine!$C$2:$C$1369,0)))</f>
        <v/>
      </c>
      <c r="C36" s="8">
        <f>IF(ISNA(MATCH(23,Engine!$C$2:$C$1369,0)),"",INDEX('Compliance Database'!$C$2:$C$1369,MATCH(23,Engine!$C$2:$C$1369,0)))</f>
        <v/>
      </c>
      <c r="D36" s="9">
        <f>IF(ISNA(MATCH(23,Engine!$C$2:$C$1369,0)),"",INDEX('Compliance Database'!$D$2:$D$1369,MATCH(23,Engine!$C$2:$C$1369,0)))</f>
        <v/>
      </c>
      <c r="E36" s="8">
        <f>IF(ISNA(MATCH(23,Engine!$C$2:$C$1369,0)),"",INDEX('Compliance Database'!$E$2:$E$1369,MATCH(23,Engine!$C$2:$C$1369,0)))</f>
        <v/>
      </c>
      <c r="F36" s="8">
        <f>IF(ISNA(MATCH(23,Engine!$C$2:$C$1369,0)),"",INDEX('Compliance Database'!$F$2:$F$1369,MATCH(23,Engine!$C$2:$C$1369,0)))</f>
        <v/>
      </c>
      <c r="G36" s="8">
        <f>IF(ISNA(MATCH(23,Engine!$C$2:$C$1369,0)),"",INDEX('Compliance Database'!$G$2:$G$1369,MATCH(23,Engine!$C$2:$C$1369,0)))</f>
        <v/>
      </c>
      <c r="H36" s="9">
        <f>IF(ISNA(MATCH(23,Engine!$C$2:$C$1369,0)),"",INDEX('Compliance Database'!$H$2:$H$1369,MATCH(23,Engine!$C$2:$C$1369,0)))</f>
        <v/>
      </c>
      <c r="I36" s="9">
        <f>IF(ISNA(MATCH(23,Engine!$C$2:$C$1369,0)),"",INDEX('Compliance Database'!$I$2:$I$1369,MATCH(23,Engine!$C$2:$C$1369,0)))</f>
        <v/>
      </c>
      <c r="J36" s="8">
        <f>IF(ISNA(MATCH(23,Engine!$C$2:$C$1369,0)),"",INDEX('Compliance Database'!$J$2:$J$1369,MATCH(23,Engine!$C$2:$C$1369,0)))</f>
        <v/>
      </c>
      <c r="K36" s="9">
        <f>IF(ISNA(MATCH(23,Engine!$C$2:$C$1369,0)),"",INDEX('Compliance Database'!$K$2:$K$1369,MATCH(23,Engine!$C$2:$C$1369,0)))</f>
        <v/>
      </c>
      <c r="L36" s="9">
        <f>IF(ISNA(MATCH(23,Engine!$C$2:$C$1369,0)),"",INDEX('Compliance Database'!$L$2:$L$1369,MATCH(23,Engine!$C$2:$C$1369,0)))</f>
        <v/>
      </c>
      <c r="M36" s="9">
        <f>IF(ISNA(MATCH(23,Engine!$C$2:$C$1369,0)),"",INDEX('Compliance Database'!$M$2:$M$1369,MATCH(23,Engine!$C$2:$C$1369,0)))</f>
        <v/>
      </c>
      <c r="N36" s="9">
        <f>IF(ISNA(MATCH(23,Engine!$C$2:$C$1369,0)),"",INDEX('Compliance Database'!$N$2:$N$1369,MATCH(23,Engine!$C$2:$C$1369,0)))</f>
        <v/>
      </c>
      <c r="O36" s="8">
        <f>IF(ISNA(MATCH(23,Engine!$C$2:$C$1369,0)),"",HYPERLINK(INDEX('Compliance Database'!$O$2:$O$1369,MATCH(23,Engine!$C$2:$C$1369,0)),"Open PDF"))</f>
        <v/>
      </c>
    </row>
    <row r="37" ht="188" customHeight="1">
      <c r="A37" s="8">
        <f>IF(ISNA(MATCH(24,Engine!$C$2:$C$1369,0)),"",INDEX('Compliance Database'!$A$2:$A$1369,MATCH(24,Engine!$C$2:$C$1369,0)))</f>
        <v/>
      </c>
      <c r="B37" s="8">
        <f>IF(ISNA(MATCH(24,Engine!$C$2:$C$1369,0)),"",INDEX('Compliance Database'!$B$2:$B$1369,MATCH(24,Engine!$C$2:$C$1369,0)))</f>
        <v/>
      </c>
      <c r="C37" s="8">
        <f>IF(ISNA(MATCH(24,Engine!$C$2:$C$1369,0)),"",INDEX('Compliance Database'!$C$2:$C$1369,MATCH(24,Engine!$C$2:$C$1369,0)))</f>
        <v/>
      </c>
      <c r="D37" s="9">
        <f>IF(ISNA(MATCH(24,Engine!$C$2:$C$1369,0)),"",INDEX('Compliance Database'!$D$2:$D$1369,MATCH(24,Engine!$C$2:$C$1369,0)))</f>
        <v/>
      </c>
      <c r="E37" s="8">
        <f>IF(ISNA(MATCH(24,Engine!$C$2:$C$1369,0)),"",INDEX('Compliance Database'!$E$2:$E$1369,MATCH(24,Engine!$C$2:$C$1369,0)))</f>
        <v/>
      </c>
      <c r="F37" s="8">
        <f>IF(ISNA(MATCH(24,Engine!$C$2:$C$1369,0)),"",INDEX('Compliance Database'!$F$2:$F$1369,MATCH(24,Engine!$C$2:$C$1369,0)))</f>
        <v/>
      </c>
      <c r="G37" s="8">
        <f>IF(ISNA(MATCH(24,Engine!$C$2:$C$1369,0)),"",INDEX('Compliance Database'!$G$2:$G$1369,MATCH(24,Engine!$C$2:$C$1369,0)))</f>
        <v/>
      </c>
      <c r="H37" s="9">
        <f>IF(ISNA(MATCH(24,Engine!$C$2:$C$1369,0)),"",INDEX('Compliance Database'!$H$2:$H$1369,MATCH(24,Engine!$C$2:$C$1369,0)))</f>
        <v/>
      </c>
      <c r="I37" s="9">
        <f>IF(ISNA(MATCH(24,Engine!$C$2:$C$1369,0)),"",INDEX('Compliance Database'!$I$2:$I$1369,MATCH(24,Engine!$C$2:$C$1369,0)))</f>
        <v/>
      </c>
      <c r="J37" s="8">
        <f>IF(ISNA(MATCH(24,Engine!$C$2:$C$1369,0)),"",INDEX('Compliance Database'!$J$2:$J$1369,MATCH(24,Engine!$C$2:$C$1369,0)))</f>
        <v/>
      </c>
      <c r="K37" s="9">
        <f>IF(ISNA(MATCH(24,Engine!$C$2:$C$1369,0)),"",INDEX('Compliance Database'!$K$2:$K$1369,MATCH(24,Engine!$C$2:$C$1369,0)))</f>
        <v/>
      </c>
      <c r="L37" s="9">
        <f>IF(ISNA(MATCH(24,Engine!$C$2:$C$1369,0)),"",INDEX('Compliance Database'!$L$2:$L$1369,MATCH(24,Engine!$C$2:$C$1369,0)))</f>
        <v/>
      </c>
      <c r="M37" s="9">
        <f>IF(ISNA(MATCH(24,Engine!$C$2:$C$1369,0)),"",INDEX('Compliance Database'!$M$2:$M$1369,MATCH(24,Engine!$C$2:$C$1369,0)))</f>
        <v/>
      </c>
      <c r="N37" s="9">
        <f>IF(ISNA(MATCH(24,Engine!$C$2:$C$1369,0)),"",INDEX('Compliance Database'!$N$2:$N$1369,MATCH(24,Engine!$C$2:$C$1369,0)))</f>
        <v/>
      </c>
      <c r="O37" s="8">
        <f>IF(ISNA(MATCH(24,Engine!$C$2:$C$1369,0)),"",HYPERLINK(INDEX('Compliance Database'!$O$2:$O$1369,MATCH(24,Engine!$C$2:$C$1369,0)),"Open PDF"))</f>
        <v/>
      </c>
    </row>
    <row r="38" ht="188" customHeight="1">
      <c r="A38" s="8">
        <f>IF(ISNA(MATCH(25,Engine!$C$2:$C$1369,0)),"",INDEX('Compliance Database'!$A$2:$A$1369,MATCH(25,Engine!$C$2:$C$1369,0)))</f>
        <v/>
      </c>
      <c r="B38" s="8">
        <f>IF(ISNA(MATCH(25,Engine!$C$2:$C$1369,0)),"",INDEX('Compliance Database'!$B$2:$B$1369,MATCH(25,Engine!$C$2:$C$1369,0)))</f>
        <v/>
      </c>
      <c r="C38" s="8">
        <f>IF(ISNA(MATCH(25,Engine!$C$2:$C$1369,0)),"",INDEX('Compliance Database'!$C$2:$C$1369,MATCH(25,Engine!$C$2:$C$1369,0)))</f>
        <v/>
      </c>
      <c r="D38" s="9">
        <f>IF(ISNA(MATCH(25,Engine!$C$2:$C$1369,0)),"",INDEX('Compliance Database'!$D$2:$D$1369,MATCH(25,Engine!$C$2:$C$1369,0)))</f>
        <v/>
      </c>
      <c r="E38" s="8">
        <f>IF(ISNA(MATCH(25,Engine!$C$2:$C$1369,0)),"",INDEX('Compliance Database'!$E$2:$E$1369,MATCH(25,Engine!$C$2:$C$1369,0)))</f>
        <v/>
      </c>
      <c r="F38" s="8">
        <f>IF(ISNA(MATCH(25,Engine!$C$2:$C$1369,0)),"",INDEX('Compliance Database'!$F$2:$F$1369,MATCH(25,Engine!$C$2:$C$1369,0)))</f>
        <v/>
      </c>
      <c r="G38" s="8">
        <f>IF(ISNA(MATCH(25,Engine!$C$2:$C$1369,0)),"",INDEX('Compliance Database'!$G$2:$G$1369,MATCH(25,Engine!$C$2:$C$1369,0)))</f>
        <v/>
      </c>
      <c r="H38" s="9">
        <f>IF(ISNA(MATCH(25,Engine!$C$2:$C$1369,0)),"",INDEX('Compliance Database'!$H$2:$H$1369,MATCH(25,Engine!$C$2:$C$1369,0)))</f>
        <v/>
      </c>
      <c r="I38" s="9">
        <f>IF(ISNA(MATCH(25,Engine!$C$2:$C$1369,0)),"",INDEX('Compliance Database'!$I$2:$I$1369,MATCH(25,Engine!$C$2:$C$1369,0)))</f>
        <v/>
      </c>
      <c r="J38" s="8">
        <f>IF(ISNA(MATCH(25,Engine!$C$2:$C$1369,0)),"",INDEX('Compliance Database'!$J$2:$J$1369,MATCH(25,Engine!$C$2:$C$1369,0)))</f>
        <v/>
      </c>
      <c r="K38" s="9">
        <f>IF(ISNA(MATCH(25,Engine!$C$2:$C$1369,0)),"",INDEX('Compliance Database'!$K$2:$K$1369,MATCH(25,Engine!$C$2:$C$1369,0)))</f>
        <v/>
      </c>
      <c r="L38" s="9">
        <f>IF(ISNA(MATCH(25,Engine!$C$2:$C$1369,0)),"",INDEX('Compliance Database'!$L$2:$L$1369,MATCH(25,Engine!$C$2:$C$1369,0)))</f>
        <v/>
      </c>
      <c r="M38" s="9">
        <f>IF(ISNA(MATCH(25,Engine!$C$2:$C$1369,0)),"",INDEX('Compliance Database'!$M$2:$M$1369,MATCH(25,Engine!$C$2:$C$1369,0)))</f>
        <v/>
      </c>
      <c r="N38" s="9">
        <f>IF(ISNA(MATCH(25,Engine!$C$2:$C$1369,0)),"",INDEX('Compliance Database'!$N$2:$N$1369,MATCH(25,Engine!$C$2:$C$1369,0)))</f>
        <v/>
      </c>
      <c r="O38" s="8">
        <f>IF(ISNA(MATCH(25,Engine!$C$2:$C$1369,0)),"",HYPERLINK(INDEX('Compliance Database'!$O$2:$O$1369,MATCH(25,Engine!$C$2:$C$1369,0)),"Open PDF"))</f>
        <v/>
      </c>
    </row>
    <row r="39" ht="188" customHeight="1">
      <c r="A39" s="8">
        <f>IF(ISNA(MATCH(26,Engine!$C$2:$C$1369,0)),"",INDEX('Compliance Database'!$A$2:$A$1369,MATCH(26,Engine!$C$2:$C$1369,0)))</f>
        <v/>
      </c>
      <c r="B39" s="8">
        <f>IF(ISNA(MATCH(26,Engine!$C$2:$C$1369,0)),"",INDEX('Compliance Database'!$B$2:$B$1369,MATCH(26,Engine!$C$2:$C$1369,0)))</f>
        <v/>
      </c>
      <c r="C39" s="8">
        <f>IF(ISNA(MATCH(26,Engine!$C$2:$C$1369,0)),"",INDEX('Compliance Database'!$C$2:$C$1369,MATCH(26,Engine!$C$2:$C$1369,0)))</f>
        <v/>
      </c>
      <c r="D39" s="9">
        <f>IF(ISNA(MATCH(26,Engine!$C$2:$C$1369,0)),"",INDEX('Compliance Database'!$D$2:$D$1369,MATCH(26,Engine!$C$2:$C$1369,0)))</f>
        <v/>
      </c>
      <c r="E39" s="8">
        <f>IF(ISNA(MATCH(26,Engine!$C$2:$C$1369,0)),"",INDEX('Compliance Database'!$E$2:$E$1369,MATCH(26,Engine!$C$2:$C$1369,0)))</f>
        <v/>
      </c>
      <c r="F39" s="8">
        <f>IF(ISNA(MATCH(26,Engine!$C$2:$C$1369,0)),"",INDEX('Compliance Database'!$F$2:$F$1369,MATCH(26,Engine!$C$2:$C$1369,0)))</f>
        <v/>
      </c>
      <c r="G39" s="8">
        <f>IF(ISNA(MATCH(26,Engine!$C$2:$C$1369,0)),"",INDEX('Compliance Database'!$G$2:$G$1369,MATCH(26,Engine!$C$2:$C$1369,0)))</f>
        <v/>
      </c>
      <c r="H39" s="9">
        <f>IF(ISNA(MATCH(26,Engine!$C$2:$C$1369,0)),"",INDEX('Compliance Database'!$H$2:$H$1369,MATCH(26,Engine!$C$2:$C$1369,0)))</f>
        <v/>
      </c>
      <c r="I39" s="9">
        <f>IF(ISNA(MATCH(26,Engine!$C$2:$C$1369,0)),"",INDEX('Compliance Database'!$I$2:$I$1369,MATCH(26,Engine!$C$2:$C$1369,0)))</f>
        <v/>
      </c>
      <c r="J39" s="8">
        <f>IF(ISNA(MATCH(26,Engine!$C$2:$C$1369,0)),"",INDEX('Compliance Database'!$J$2:$J$1369,MATCH(26,Engine!$C$2:$C$1369,0)))</f>
        <v/>
      </c>
      <c r="K39" s="9">
        <f>IF(ISNA(MATCH(26,Engine!$C$2:$C$1369,0)),"",INDEX('Compliance Database'!$K$2:$K$1369,MATCH(26,Engine!$C$2:$C$1369,0)))</f>
        <v/>
      </c>
      <c r="L39" s="9">
        <f>IF(ISNA(MATCH(26,Engine!$C$2:$C$1369,0)),"",INDEX('Compliance Database'!$L$2:$L$1369,MATCH(26,Engine!$C$2:$C$1369,0)))</f>
        <v/>
      </c>
      <c r="M39" s="9">
        <f>IF(ISNA(MATCH(26,Engine!$C$2:$C$1369,0)),"",INDEX('Compliance Database'!$M$2:$M$1369,MATCH(26,Engine!$C$2:$C$1369,0)))</f>
        <v/>
      </c>
      <c r="N39" s="9">
        <f>IF(ISNA(MATCH(26,Engine!$C$2:$C$1369,0)),"",INDEX('Compliance Database'!$N$2:$N$1369,MATCH(26,Engine!$C$2:$C$1369,0)))</f>
        <v/>
      </c>
      <c r="O39" s="8">
        <f>IF(ISNA(MATCH(26,Engine!$C$2:$C$1369,0)),"",HYPERLINK(INDEX('Compliance Database'!$O$2:$O$1369,MATCH(26,Engine!$C$2:$C$1369,0)),"Open PDF"))</f>
        <v/>
      </c>
    </row>
    <row r="40" ht="188" customHeight="1">
      <c r="A40" s="8">
        <f>IF(ISNA(MATCH(27,Engine!$C$2:$C$1369,0)),"",INDEX('Compliance Database'!$A$2:$A$1369,MATCH(27,Engine!$C$2:$C$1369,0)))</f>
        <v/>
      </c>
      <c r="B40" s="8">
        <f>IF(ISNA(MATCH(27,Engine!$C$2:$C$1369,0)),"",INDEX('Compliance Database'!$B$2:$B$1369,MATCH(27,Engine!$C$2:$C$1369,0)))</f>
        <v/>
      </c>
      <c r="C40" s="8">
        <f>IF(ISNA(MATCH(27,Engine!$C$2:$C$1369,0)),"",INDEX('Compliance Database'!$C$2:$C$1369,MATCH(27,Engine!$C$2:$C$1369,0)))</f>
        <v/>
      </c>
      <c r="D40" s="9">
        <f>IF(ISNA(MATCH(27,Engine!$C$2:$C$1369,0)),"",INDEX('Compliance Database'!$D$2:$D$1369,MATCH(27,Engine!$C$2:$C$1369,0)))</f>
        <v/>
      </c>
      <c r="E40" s="8">
        <f>IF(ISNA(MATCH(27,Engine!$C$2:$C$1369,0)),"",INDEX('Compliance Database'!$E$2:$E$1369,MATCH(27,Engine!$C$2:$C$1369,0)))</f>
        <v/>
      </c>
      <c r="F40" s="8">
        <f>IF(ISNA(MATCH(27,Engine!$C$2:$C$1369,0)),"",INDEX('Compliance Database'!$F$2:$F$1369,MATCH(27,Engine!$C$2:$C$1369,0)))</f>
        <v/>
      </c>
      <c r="G40" s="8">
        <f>IF(ISNA(MATCH(27,Engine!$C$2:$C$1369,0)),"",INDEX('Compliance Database'!$G$2:$G$1369,MATCH(27,Engine!$C$2:$C$1369,0)))</f>
        <v/>
      </c>
      <c r="H40" s="9">
        <f>IF(ISNA(MATCH(27,Engine!$C$2:$C$1369,0)),"",INDEX('Compliance Database'!$H$2:$H$1369,MATCH(27,Engine!$C$2:$C$1369,0)))</f>
        <v/>
      </c>
      <c r="I40" s="9">
        <f>IF(ISNA(MATCH(27,Engine!$C$2:$C$1369,0)),"",INDEX('Compliance Database'!$I$2:$I$1369,MATCH(27,Engine!$C$2:$C$1369,0)))</f>
        <v/>
      </c>
      <c r="J40" s="8">
        <f>IF(ISNA(MATCH(27,Engine!$C$2:$C$1369,0)),"",INDEX('Compliance Database'!$J$2:$J$1369,MATCH(27,Engine!$C$2:$C$1369,0)))</f>
        <v/>
      </c>
      <c r="K40" s="9">
        <f>IF(ISNA(MATCH(27,Engine!$C$2:$C$1369,0)),"",INDEX('Compliance Database'!$K$2:$K$1369,MATCH(27,Engine!$C$2:$C$1369,0)))</f>
        <v/>
      </c>
      <c r="L40" s="9">
        <f>IF(ISNA(MATCH(27,Engine!$C$2:$C$1369,0)),"",INDEX('Compliance Database'!$L$2:$L$1369,MATCH(27,Engine!$C$2:$C$1369,0)))</f>
        <v/>
      </c>
      <c r="M40" s="9">
        <f>IF(ISNA(MATCH(27,Engine!$C$2:$C$1369,0)),"",INDEX('Compliance Database'!$M$2:$M$1369,MATCH(27,Engine!$C$2:$C$1369,0)))</f>
        <v/>
      </c>
      <c r="N40" s="9">
        <f>IF(ISNA(MATCH(27,Engine!$C$2:$C$1369,0)),"",INDEX('Compliance Database'!$N$2:$N$1369,MATCH(27,Engine!$C$2:$C$1369,0)))</f>
        <v/>
      </c>
      <c r="O40" s="8">
        <f>IF(ISNA(MATCH(27,Engine!$C$2:$C$1369,0)),"",HYPERLINK(INDEX('Compliance Database'!$O$2:$O$1369,MATCH(27,Engine!$C$2:$C$1369,0)),"Open PDF"))</f>
        <v/>
      </c>
    </row>
    <row r="41" ht="188" customHeight="1">
      <c r="A41" s="8">
        <f>IF(ISNA(MATCH(28,Engine!$C$2:$C$1369,0)),"",INDEX('Compliance Database'!$A$2:$A$1369,MATCH(28,Engine!$C$2:$C$1369,0)))</f>
        <v/>
      </c>
      <c r="B41" s="8">
        <f>IF(ISNA(MATCH(28,Engine!$C$2:$C$1369,0)),"",INDEX('Compliance Database'!$B$2:$B$1369,MATCH(28,Engine!$C$2:$C$1369,0)))</f>
        <v/>
      </c>
      <c r="C41" s="8">
        <f>IF(ISNA(MATCH(28,Engine!$C$2:$C$1369,0)),"",INDEX('Compliance Database'!$C$2:$C$1369,MATCH(28,Engine!$C$2:$C$1369,0)))</f>
        <v/>
      </c>
      <c r="D41" s="9">
        <f>IF(ISNA(MATCH(28,Engine!$C$2:$C$1369,0)),"",INDEX('Compliance Database'!$D$2:$D$1369,MATCH(28,Engine!$C$2:$C$1369,0)))</f>
        <v/>
      </c>
      <c r="E41" s="8">
        <f>IF(ISNA(MATCH(28,Engine!$C$2:$C$1369,0)),"",INDEX('Compliance Database'!$E$2:$E$1369,MATCH(28,Engine!$C$2:$C$1369,0)))</f>
        <v/>
      </c>
      <c r="F41" s="8">
        <f>IF(ISNA(MATCH(28,Engine!$C$2:$C$1369,0)),"",INDEX('Compliance Database'!$F$2:$F$1369,MATCH(28,Engine!$C$2:$C$1369,0)))</f>
        <v/>
      </c>
      <c r="G41" s="8">
        <f>IF(ISNA(MATCH(28,Engine!$C$2:$C$1369,0)),"",INDEX('Compliance Database'!$G$2:$G$1369,MATCH(28,Engine!$C$2:$C$1369,0)))</f>
        <v/>
      </c>
      <c r="H41" s="9">
        <f>IF(ISNA(MATCH(28,Engine!$C$2:$C$1369,0)),"",INDEX('Compliance Database'!$H$2:$H$1369,MATCH(28,Engine!$C$2:$C$1369,0)))</f>
        <v/>
      </c>
      <c r="I41" s="9">
        <f>IF(ISNA(MATCH(28,Engine!$C$2:$C$1369,0)),"",INDEX('Compliance Database'!$I$2:$I$1369,MATCH(28,Engine!$C$2:$C$1369,0)))</f>
        <v/>
      </c>
      <c r="J41" s="8">
        <f>IF(ISNA(MATCH(28,Engine!$C$2:$C$1369,0)),"",INDEX('Compliance Database'!$J$2:$J$1369,MATCH(28,Engine!$C$2:$C$1369,0)))</f>
        <v/>
      </c>
      <c r="K41" s="9">
        <f>IF(ISNA(MATCH(28,Engine!$C$2:$C$1369,0)),"",INDEX('Compliance Database'!$K$2:$K$1369,MATCH(28,Engine!$C$2:$C$1369,0)))</f>
        <v/>
      </c>
      <c r="L41" s="9">
        <f>IF(ISNA(MATCH(28,Engine!$C$2:$C$1369,0)),"",INDEX('Compliance Database'!$L$2:$L$1369,MATCH(28,Engine!$C$2:$C$1369,0)))</f>
        <v/>
      </c>
      <c r="M41" s="9">
        <f>IF(ISNA(MATCH(28,Engine!$C$2:$C$1369,0)),"",INDEX('Compliance Database'!$M$2:$M$1369,MATCH(28,Engine!$C$2:$C$1369,0)))</f>
        <v/>
      </c>
      <c r="N41" s="9">
        <f>IF(ISNA(MATCH(28,Engine!$C$2:$C$1369,0)),"",INDEX('Compliance Database'!$N$2:$N$1369,MATCH(28,Engine!$C$2:$C$1369,0)))</f>
        <v/>
      </c>
      <c r="O41" s="8">
        <f>IF(ISNA(MATCH(28,Engine!$C$2:$C$1369,0)),"",HYPERLINK(INDEX('Compliance Database'!$O$2:$O$1369,MATCH(28,Engine!$C$2:$C$1369,0)),"Open PDF"))</f>
        <v/>
      </c>
    </row>
    <row r="42" ht="188" customHeight="1">
      <c r="A42" s="8">
        <f>IF(ISNA(MATCH(29,Engine!$C$2:$C$1369,0)),"",INDEX('Compliance Database'!$A$2:$A$1369,MATCH(29,Engine!$C$2:$C$1369,0)))</f>
        <v/>
      </c>
      <c r="B42" s="8">
        <f>IF(ISNA(MATCH(29,Engine!$C$2:$C$1369,0)),"",INDEX('Compliance Database'!$B$2:$B$1369,MATCH(29,Engine!$C$2:$C$1369,0)))</f>
        <v/>
      </c>
      <c r="C42" s="8">
        <f>IF(ISNA(MATCH(29,Engine!$C$2:$C$1369,0)),"",INDEX('Compliance Database'!$C$2:$C$1369,MATCH(29,Engine!$C$2:$C$1369,0)))</f>
        <v/>
      </c>
      <c r="D42" s="9">
        <f>IF(ISNA(MATCH(29,Engine!$C$2:$C$1369,0)),"",INDEX('Compliance Database'!$D$2:$D$1369,MATCH(29,Engine!$C$2:$C$1369,0)))</f>
        <v/>
      </c>
      <c r="E42" s="8">
        <f>IF(ISNA(MATCH(29,Engine!$C$2:$C$1369,0)),"",INDEX('Compliance Database'!$E$2:$E$1369,MATCH(29,Engine!$C$2:$C$1369,0)))</f>
        <v/>
      </c>
      <c r="F42" s="8">
        <f>IF(ISNA(MATCH(29,Engine!$C$2:$C$1369,0)),"",INDEX('Compliance Database'!$F$2:$F$1369,MATCH(29,Engine!$C$2:$C$1369,0)))</f>
        <v/>
      </c>
      <c r="G42" s="8">
        <f>IF(ISNA(MATCH(29,Engine!$C$2:$C$1369,0)),"",INDEX('Compliance Database'!$G$2:$G$1369,MATCH(29,Engine!$C$2:$C$1369,0)))</f>
        <v/>
      </c>
      <c r="H42" s="9">
        <f>IF(ISNA(MATCH(29,Engine!$C$2:$C$1369,0)),"",INDEX('Compliance Database'!$H$2:$H$1369,MATCH(29,Engine!$C$2:$C$1369,0)))</f>
        <v/>
      </c>
      <c r="I42" s="9">
        <f>IF(ISNA(MATCH(29,Engine!$C$2:$C$1369,0)),"",INDEX('Compliance Database'!$I$2:$I$1369,MATCH(29,Engine!$C$2:$C$1369,0)))</f>
        <v/>
      </c>
      <c r="J42" s="8">
        <f>IF(ISNA(MATCH(29,Engine!$C$2:$C$1369,0)),"",INDEX('Compliance Database'!$J$2:$J$1369,MATCH(29,Engine!$C$2:$C$1369,0)))</f>
        <v/>
      </c>
      <c r="K42" s="9">
        <f>IF(ISNA(MATCH(29,Engine!$C$2:$C$1369,0)),"",INDEX('Compliance Database'!$K$2:$K$1369,MATCH(29,Engine!$C$2:$C$1369,0)))</f>
        <v/>
      </c>
      <c r="L42" s="9">
        <f>IF(ISNA(MATCH(29,Engine!$C$2:$C$1369,0)),"",INDEX('Compliance Database'!$L$2:$L$1369,MATCH(29,Engine!$C$2:$C$1369,0)))</f>
        <v/>
      </c>
      <c r="M42" s="9">
        <f>IF(ISNA(MATCH(29,Engine!$C$2:$C$1369,0)),"",INDEX('Compliance Database'!$M$2:$M$1369,MATCH(29,Engine!$C$2:$C$1369,0)))</f>
        <v/>
      </c>
      <c r="N42" s="9">
        <f>IF(ISNA(MATCH(29,Engine!$C$2:$C$1369,0)),"",INDEX('Compliance Database'!$N$2:$N$1369,MATCH(29,Engine!$C$2:$C$1369,0)))</f>
        <v/>
      </c>
      <c r="O42" s="8">
        <f>IF(ISNA(MATCH(29,Engine!$C$2:$C$1369,0)),"",HYPERLINK(INDEX('Compliance Database'!$O$2:$O$1369,MATCH(29,Engine!$C$2:$C$1369,0)),"Open PDF"))</f>
        <v/>
      </c>
    </row>
    <row r="43" ht="188" customHeight="1">
      <c r="A43" s="8">
        <f>IF(ISNA(MATCH(30,Engine!$C$2:$C$1369,0)),"",INDEX('Compliance Database'!$A$2:$A$1369,MATCH(30,Engine!$C$2:$C$1369,0)))</f>
        <v/>
      </c>
      <c r="B43" s="8">
        <f>IF(ISNA(MATCH(30,Engine!$C$2:$C$1369,0)),"",INDEX('Compliance Database'!$B$2:$B$1369,MATCH(30,Engine!$C$2:$C$1369,0)))</f>
        <v/>
      </c>
      <c r="C43" s="8">
        <f>IF(ISNA(MATCH(30,Engine!$C$2:$C$1369,0)),"",INDEX('Compliance Database'!$C$2:$C$1369,MATCH(30,Engine!$C$2:$C$1369,0)))</f>
        <v/>
      </c>
      <c r="D43" s="9">
        <f>IF(ISNA(MATCH(30,Engine!$C$2:$C$1369,0)),"",INDEX('Compliance Database'!$D$2:$D$1369,MATCH(30,Engine!$C$2:$C$1369,0)))</f>
        <v/>
      </c>
      <c r="E43" s="8">
        <f>IF(ISNA(MATCH(30,Engine!$C$2:$C$1369,0)),"",INDEX('Compliance Database'!$E$2:$E$1369,MATCH(30,Engine!$C$2:$C$1369,0)))</f>
        <v/>
      </c>
      <c r="F43" s="8">
        <f>IF(ISNA(MATCH(30,Engine!$C$2:$C$1369,0)),"",INDEX('Compliance Database'!$F$2:$F$1369,MATCH(30,Engine!$C$2:$C$1369,0)))</f>
        <v/>
      </c>
      <c r="G43" s="8">
        <f>IF(ISNA(MATCH(30,Engine!$C$2:$C$1369,0)),"",INDEX('Compliance Database'!$G$2:$G$1369,MATCH(30,Engine!$C$2:$C$1369,0)))</f>
        <v/>
      </c>
      <c r="H43" s="9">
        <f>IF(ISNA(MATCH(30,Engine!$C$2:$C$1369,0)),"",INDEX('Compliance Database'!$H$2:$H$1369,MATCH(30,Engine!$C$2:$C$1369,0)))</f>
        <v/>
      </c>
      <c r="I43" s="9">
        <f>IF(ISNA(MATCH(30,Engine!$C$2:$C$1369,0)),"",INDEX('Compliance Database'!$I$2:$I$1369,MATCH(30,Engine!$C$2:$C$1369,0)))</f>
        <v/>
      </c>
      <c r="J43" s="8">
        <f>IF(ISNA(MATCH(30,Engine!$C$2:$C$1369,0)),"",INDEX('Compliance Database'!$J$2:$J$1369,MATCH(30,Engine!$C$2:$C$1369,0)))</f>
        <v/>
      </c>
      <c r="K43" s="9">
        <f>IF(ISNA(MATCH(30,Engine!$C$2:$C$1369,0)),"",INDEX('Compliance Database'!$K$2:$K$1369,MATCH(30,Engine!$C$2:$C$1369,0)))</f>
        <v/>
      </c>
      <c r="L43" s="9">
        <f>IF(ISNA(MATCH(30,Engine!$C$2:$C$1369,0)),"",INDEX('Compliance Database'!$L$2:$L$1369,MATCH(30,Engine!$C$2:$C$1369,0)))</f>
        <v/>
      </c>
      <c r="M43" s="9">
        <f>IF(ISNA(MATCH(30,Engine!$C$2:$C$1369,0)),"",INDEX('Compliance Database'!$M$2:$M$1369,MATCH(30,Engine!$C$2:$C$1369,0)))</f>
        <v/>
      </c>
      <c r="N43" s="9">
        <f>IF(ISNA(MATCH(30,Engine!$C$2:$C$1369,0)),"",INDEX('Compliance Database'!$N$2:$N$1369,MATCH(30,Engine!$C$2:$C$1369,0)))</f>
        <v/>
      </c>
      <c r="O43" s="8">
        <f>IF(ISNA(MATCH(30,Engine!$C$2:$C$1369,0)),"",HYPERLINK(INDEX('Compliance Database'!$O$2:$O$1369,MATCH(30,Engine!$C$2:$C$1369,0)),"Open PDF"))</f>
        <v/>
      </c>
    </row>
    <row r="44" ht="188" customHeight="1">
      <c r="A44" s="8">
        <f>IF(ISNA(MATCH(31,Engine!$C$2:$C$1369,0)),"",INDEX('Compliance Database'!$A$2:$A$1369,MATCH(31,Engine!$C$2:$C$1369,0)))</f>
        <v/>
      </c>
      <c r="B44" s="8">
        <f>IF(ISNA(MATCH(31,Engine!$C$2:$C$1369,0)),"",INDEX('Compliance Database'!$B$2:$B$1369,MATCH(31,Engine!$C$2:$C$1369,0)))</f>
        <v/>
      </c>
      <c r="C44" s="8">
        <f>IF(ISNA(MATCH(31,Engine!$C$2:$C$1369,0)),"",INDEX('Compliance Database'!$C$2:$C$1369,MATCH(31,Engine!$C$2:$C$1369,0)))</f>
        <v/>
      </c>
      <c r="D44" s="9">
        <f>IF(ISNA(MATCH(31,Engine!$C$2:$C$1369,0)),"",INDEX('Compliance Database'!$D$2:$D$1369,MATCH(31,Engine!$C$2:$C$1369,0)))</f>
        <v/>
      </c>
      <c r="E44" s="8">
        <f>IF(ISNA(MATCH(31,Engine!$C$2:$C$1369,0)),"",INDEX('Compliance Database'!$E$2:$E$1369,MATCH(31,Engine!$C$2:$C$1369,0)))</f>
        <v/>
      </c>
      <c r="F44" s="8">
        <f>IF(ISNA(MATCH(31,Engine!$C$2:$C$1369,0)),"",INDEX('Compliance Database'!$F$2:$F$1369,MATCH(31,Engine!$C$2:$C$1369,0)))</f>
        <v/>
      </c>
      <c r="G44" s="8">
        <f>IF(ISNA(MATCH(31,Engine!$C$2:$C$1369,0)),"",INDEX('Compliance Database'!$G$2:$G$1369,MATCH(31,Engine!$C$2:$C$1369,0)))</f>
        <v/>
      </c>
      <c r="H44" s="9">
        <f>IF(ISNA(MATCH(31,Engine!$C$2:$C$1369,0)),"",INDEX('Compliance Database'!$H$2:$H$1369,MATCH(31,Engine!$C$2:$C$1369,0)))</f>
        <v/>
      </c>
      <c r="I44" s="9">
        <f>IF(ISNA(MATCH(31,Engine!$C$2:$C$1369,0)),"",INDEX('Compliance Database'!$I$2:$I$1369,MATCH(31,Engine!$C$2:$C$1369,0)))</f>
        <v/>
      </c>
      <c r="J44" s="8">
        <f>IF(ISNA(MATCH(31,Engine!$C$2:$C$1369,0)),"",INDEX('Compliance Database'!$J$2:$J$1369,MATCH(31,Engine!$C$2:$C$1369,0)))</f>
        <v/>
      </c>
      <c r="K44" s="9">
        <f>IF(ISNA(MATCH(31,Engine!$C$2:$C$1369,0)),"",INDEX('Compliance Database'!$K$2:$K$1369,MATCH(31,Engine!$C$2:$C$1369,0)))</f>
        <v/>
      </c>
      <c r="L44" s="9">
        <f>IF(ISNA(MATCH(31,Engine!$C$2:$C$1369,0)),"",INDEX('Compliance Database'!$L$2:$L$1369,MATCH(31,Engine!$C$2:$C$1369,0)))</f>
        <v/>
      </c>
      <c r="M44" s="9">
        <f>IF(ISNA(MATCH(31,Engine!$C$2:$C$1369,0)),"",INDEX('Compliance Database'!$M$2:$M$1369,MATCH(31,Engine!$C$2:$C$1369,0)))</f>
        <v/>
      </c>
      <c r="N44" s="9">
        <f>IF(ISNA(MATCH(31,Engine!$C$2:$C$1369,0)),"",INDEX('Compliance Database'!$N$2:$N$1369,MATCH(31,Engine!$C$2:$C$1369,0)))</f>
        <v/>
      </c>
      <c r="O44" s="8">
        <f>IF(ISNA(MATCH(31,Engine!$C$2:$C$1369,0)),"",HYPERLINK(INDEX('Compliance Database'!$O$2:$O$1369,MATCH(31,Engine!$C$2:$C$1369,0)),"Open PDF"))</f>
        <v/>
      </c>
    </row>
    <row r="45" ht="188" customHeight="1">
      <c r="A45" s="8">
        <f>IF(ISNA(MATCH(32,Engine!$C$2:$C$1369,0)),"",INDEX('Compliance Database'!$A$2:$A$1369,MATCH(32,Engine!$C$2:$C$1369,0)))</f>
        <v/>
      </c>
      <c r="B45" s="8">
        <f>IF(ISNA(MATCH(32,Engine!$C$2:$C$1369,0)),"",INDEX('Compliance Database'!$B$2:$B$1369,MATCH(32,Engine!$C$2:$C$1369,0)))</f>
        <v/>
      </c>
      <c r="C45" s="8">
        <f>IF(ISNA(MATCH(32,Engine!$C$2:$C$1369,0)),"",INDEX('Compliance Database'!$C$2:$C$1369,MATCH(32,Engine!$C$2:$C$1369,0)))</f>
        <v/>
      </c>
      <c r="D45" s="9">
        <f>IF(ISNA(MATCH(32,Engine!$C$2:$C$1369,0)),"",INDEX('Compliance Database'!$D$2:$D$1369,MATCH(32,Engine!$C$2:$C$1369,0)))</f>
        <v/>
      </c>
      <c r="E45" s="8">
        <f>IF(ISNA(MATCH(32,Engine!$C$2:$C$1369,0)),"",INDEX('Compliance Database'!$E$2:$E$1369,MATCH(32,Engine!$C$2:$C$1369,0)))</f>
        <v/>
      </c>
      <c r="F45" s="8">
        <f>IF(ISNA(MATCH(32,Engine!$C$2:$C$1369,0)),"",INDEX('Compliance Database'!$F$2:$F$1369,MATCH(32,Engine!$C$2:$C$1369,0)))</f>
        <v/>
      </c>
      <c r="G45" s="8">
        <f>IF(ISNA(MATCH(32,Engine!$C$2:$C$1369,0)),"",INDEX('Compliance Database'!$G$2:$G$1369,MATCH(32,Engine!$C$2:$C$1369,0)))</f>
        <v/>
      </c>
      <c r="H45" s="9">
        <f>IF(ISNA(MATCH(32,Engine!$C$2:$C$1369,0)),"",INDEX('Compliance Database'!$H$2:$H$1369,MATCH(32,Engine!$C$2:$C$1369,0)))</f>
        <v/>
      </c>
      <c r="I45" s="9">
        <f>IF(ISNA(MATCH(32,Engine!$C$2:$C$1369,0)),"",INDEX('Compliance Database'!$I$2:$I$1369,MATCH(32,Engine!$C$2:$C$1369,0)))</f>
        <v/>
      </c>
      <c r="J45" s="8">
        <f>IF(ISNA(MATCH(32,Engine!$C$2:$C$1369,0)),"",INDEX('Compliance Database'!$J$2:$J$1369,MATCH(32,Engine!$C$2:$C$1369,0)))</f>
        <v/>
      </c>
      <c r="K45" s="9">
        <f>IF(ISNA(MATCH(32,Engine!$C$2:$C$1369,0)),"",INDEX('Compliance Database'!$K$2:$K$1369,MATCH(32,Engine!$C$2:$C$1369,0)))</f>
        <v/>
      </c>
      <c r="L45" s="9">
        <f>IF(ISNA(MATCH(32,Engine!$C$2:$C$1369,0)),"",INDEX('Compliance Database'!$L$2:$L$1369,MATCH(32,Engine!$C$2:$C$1369,0)))</f>
        <v/>
      </c>
      <c r="M45" s="9">
        <f>IF(ISNA(MATCH(32,Engine!$C$2:$C$1369,0)),"",INDEX('Compliance Database'!$M$2:$M$1369,MATCH(32,Engine!$C$2:$C$1369,0)))</f>
        <v/>
      </c>
      <c r="N45" s="9">
        <f>IF(ISNA(MATCH(32,Engine!$C$2:$C$1369,0)),"",INDEX('Compliance Database'!$N$2:$N$1369,MATCH(32,Engine!$C$2:$C$1369,0)))</f>
        <v/>
      </c>
      <c r="O45" s="8">
        <f>IF(ISNA(MATCH(32,Engine!$C$2:$C$1369,0)),"",HYPERLINK(INDEX('Compliance Database'!$O$2:$O$1369,MATCH(32,Engine!$C$2:$C$1369,0)),"Open PDF"))</f>
        <v/>
      </c>
    </row>
    <row r="46" ht="188" customHeight="1">
      <c r="A46" s="8">
        <f>IF(ISNA(MATCH(33,Engine!$C$2:$C$1369,0)),"",INDEX('Compliance Database'!$A$2:$A$1369,MATCH(33,Engine!$C$2:$C$1369,0)))</f>
        <v/>
      </c>
      <c r="B46" s="8">
        <f>IF(ISNA(MATCH(33,Engine!$C$2:$C$1369,0)),"",INDEX('Compliance Database'!$B$2:$B$1369,MATCH(33,Engine!$C$2:$C$1369,0)))</f>
        <v/>
      </c>
      <c r="C46" s="8">
        <f>IF(ISNA(MATCH(33,Engine!$C$2:$C$1369,0)),"",INDEX('Compliance Database'!$C$2:$C$1369,MATCH(33,Engine!$C$2:$C$1369,0)))</f>
        <v/>
      </c>
      <c r="D46" s="9">
        <f>IF(ISNA(MATCH(33,Engine!$C$2:$C$1369,0)),"",INDEX('Compliance Database'!$D$2:$D$1369,MATCH(33,Engine!$C$2:$C$1369,0)))</f>
        <v/>
      </c>
      <c r="E46" s="8">
        <f>IF(ISNA(MATCH(33,Engine!$C$2:$C$1369,0)),"",INDEX('Compliance Database'!$E$2:$E$1369,MATCH(33,Engine!$C$2:$C$1369,0)))</f>
        <v/>
      </c>
      <c r="F46" s="8">
        <f>IF(ISNA(MATCH(33,Engine!$C$2:$C$1369,0)),"",INDEX('Compliance Database'!$F$2:$F$1369,MATCH(33,Engine!$C$2:$C$1369,0)))</f>
        <v/>
      </c>
      <c r="G46" s="8">
        <f>IF(ISNA(MATCH(33,Engine!$C$2:$C$1369,0)),"",INDEX('Compliance Database'!$G$2:$G$1369,MATCH(33,Engine!$C$2:$C$1369,0)))</f>
        <v/>
      </c>
      <c r="H46" s="9">
        <f>IF(ISNA(MATCH(33,Engine!$C$2:$C$1369,0)),"",INDEX('Compliance Database'!$H$2:$H$1369,MATCH(33,Engine!$C$2:$C$1369,0)))</f>
        <v/>
      </c>
      <c r="I46" s="9">
        <f>IF(ISNA(MATCH(33,Engine!$C$2:$C$1369,0)),"",INDEX('Compliance Database'!$I$2:$I$1369,MATCH(33,Engine!$C$2:$C$1369,0)))</f>
        <v/>
      </c>
      <c r="J46" s="8">
        <f>IF(ISNA(MATCH(33,Engine!$C$2:$C$1369,0)),"",INDEX('Compliance Database'!$J$2:$J$1369,MATCH(33,Engine!$C$2:$C$1369,0)))</f>
        <v/>
      </c>
      <c r="K46" s="9">
        <f>IF(ISNA(MATCH(33,Engine!$C$2:$C$1369,0)),"",INDEX('Compliance Database'!$K$2:$K$1369,MATCH(33,Engine!$C$2:$C$1369,0)))</f>
        <v/>
      </c>
      <c r="L46" s="9">
        <f>IF(ISNA(MATCH(33,Engine!$C$2:$C$1369,0)),"",INDEX('Compliance Database'!$L$2:$L$1369,MATCH(33,Engine!$C$2:$C$1369,0)))</f>
        <v/>
      </c>
      <c r="M46" s="9">
        <f>IF(ISNA(MATCH(33,Engine!$C$2:$C$1369,0)),"",INDEX('Compliance Database'!$M$2:$M$1369,MATCH(33,Engine!$C$2:$C$1369,0)))</f>
        <v/>
      </c>
      <c r="N46" s="9">
        <f>IF(ISNA(MATCH(33,Engine!$C$2:$C$1369,0)),"",INDEX('Compliance Database'!$N$2:$N$1369,MATCH(33,Engine!$C$2:$C$1369,0)))</f>
        <v/>
      </c>
      <c r="O46" s="8">
        <f>IF(ISNA(MATCH(33,Engine!$C$2:$C$1369,0)),"",HYPERLINK(INDEX('Compliance Database'!$O$2:$O$1369,MATCH(33,Engine!$C$2:$C$1369,0)),"Open PDF"))</f>
        <v/>
      </c>
    </row>
    <row r="47" ht="188" customHeight="1">
      <c r="A47" s="8">
        <f>IF(ISNA(MATCH(34,Engine!$C$2:$C$1369,0)),"",INDEX('Compliance Database'!$A$2:$A$1369,MATCH(34,Engine!$C$2:$C$1369,0)))</f>
        <v/>
      </c>
      <c r="B47" s="8">
        <f>IF(ISNA(MATCH(34,Engine!$C$2:$C$1369,0)),"",INDEX('Compliance Database'!$B$2:$B$1369,MATCH(34,Engine!$C$2:$C$1369,0)))</f>
        <v/>
      </c>
      <c r="C47" s="8">
        <f>IF(ISNA(MATCH(34,Engine!$C$2:$C$1369,0)),"",INDEX('Compliance Database'!$C$2:$C$1369,MATCH(34,Engine!$C$2:$C$1369,0)))</f>
        <v/>
      </c>
      <c r="D47" s="9">
        <f>IF(ISNA(MATCH(34,Engine!$C$2:$C$1369,0)),"",INDEX('Compliance Database'!$D$2:$D$1369,MATCH(34,Engine!$C$2:$C$1369,0)))</f>
        <v/>
      </c>
      <c r="E47" s="8">
        <f>IF(ISNA(MATCH(34,Engine!$C$2:$C$1369,0)),"",INDEX('Compliance Database'!$E$2:$E$1369,MATCH(34,Engine!$C$2:$C$1369,0)))</f>
        <v/>
      </c>
      <c r="F47" s="8">
        <f>IF(ISNA(MATCH(34,Engine!$C$2:$C$1369,0)),"",INDEX('Compliance Database'!$F$2:$F$1369,MATCH(34,Engine!$C$2:$C$1369,0)))</f>
        <v/>
      </c>
      <c r="G47" s="8">
        <f>IF(ISNA(MATCH(34,Engine!$C$2:$C$1369,0)),"",INDEX('Compliance Database'!$G$2:$G$1369,MATCH(34,Engine!$C$2:$C$1369,0)))</f>
        <v/>
      </c>
      <c r="H47" s="9">
        <f>IF(ISNA(MATCH(34,Engine!$C$2:$C$1369,0)),"",INDEX('Compliance Database'!$H$2:$H$1369,MATCH(34,Engine!$C$2:$C$1369,0)))</f>
        <v/>
      </c>
      <c r="I47" s="9">
        <f>IF(ISNA(MATCH(34,Engine!$C$2:$C$1369,0)),"",INDEX('Compliance Database'!$I$2:$I$1369,MATCH(34,Engine!$C$2:$C$1369,0)))</f>
        <v/>
      </c>
      <c r="J47" s="8">
        <f>IF(ISNA(MATCH(34,Engine!$C$2:$C$1369,0)),"",INDEX('Compliance Database'!$J$2:$J$1369,MATCH(34,Engine!$C$2:$C$1369,0)))</f>
        <v/>
      </c>
      <c r="K47" s="9">
        <f>IF(ISNA(MATCH(34,Engine!$C$2:$C$1369,0)),"",INDEX('Compliance Database'!$K$2:$K$1369,MATCH(34,Engine!$C$2:$C$1369,0)))</f>
        <v/>
      </c>
      <c r="L47" s="9">
        <f>IF(ISNA(MATCH(34,Engine!$C$2:$C$1369,0)),"",INDEX('Compliance Database'!$L$2:$L$1369,MATCH(34,Engine!$C$2:$C$1369,0)))</f>
        <v/>
      </c>
      <c r="M47" s="9">
        <f>IF(ISNA(MATCH(34,Engine!$C$2:$C$1369,0)),"",INDEX('Compliance Database'!$M$2:$M$1369,MATCH(34,Engine!$C$2:$C$1369,0)))</f>
        <v/>
      </c>
      <c r="N47" s="9">
        <f>IF(ISNA(MATCH(34,Engine!$C$2:$C$1369,0)),"",INDEX('Compliance Database'!$N$2:$N$1369,MATCH(34,Engine!$C$2:$C$1369,0)))</f>
        <v/>
      </c>
      <c r="O47" s="8">
        <f>IF(ISNA(MATCH(34,Engine!$C$2:$C$1369,0)),"",HYPERLINK(INDEX('Compliance Database'!$O$2:$O$1369,MATCH(34,Engine!$C$2:$C$1369,0)),"Open PDF"))</f>
        <v/>
      </c>
    </row>
    <row r="48" ht="188" customHeight="1">
      <c r="A48" s="8">
        <f>IF(ISNA(MATCH(35,Engine!$C$2:$C$1369,0)),"",INDEX('Compliance Database'!$A$2:$A$1369,MATCH(35,Engine!$C$2:$C$1369,0)))</f>
        <v/>
      </c>
      <c r="B48" s="8">
        <f>IF(ISNA(MATCH(35,Engine!$C$2:$C$1369,0)),"",INDEX('Compliance Database'!$B$2:$B$1369,MATCH(35,Engine!$C$2:$C$1369,0)))</f>
        <v/>
      </c>
      <c r="C48" s="8">
        <f>IF(ISNA(MATCH(35,Engine!$C$2:$C$1369,0)),"",INDEX('Compliance Database'!$C$2:$C$1369,MATCH(35,Engine!$C$2:$C$1369,0)))</f>
        <v/>
      </c>
      <c r="D48" s="9">
        <f>IF(ISNA(MATCH(35,Engine!$C$2:$C$1369,0)),"",INDEX('Compliance Database'!$D$2:$D$1369,MATCH(35,Engine!$C$2:$C$1369,0)))</f>
        <v/>
      </c>
      <c r="E48" s="8">
        <f>IF(ISNA(MATCH(35,Engine!$C$2:$C$1369,0)),"",INDEX('Compliance Database'!$E$2:$E$1369,MATCH(35,Engine!$C$2:$C$1369,0)))</f>
        <v/>
      </c>
      <c r="F48" s="8">
        <f>IF(ISNA(MATCH(35,Engine!$C$2:$C$1369,0)),"",INDEX('Compliance Database'!$F$2:$F$1369,MATCH(35,Engine!$C$2:$C$1369,0)))</f>
        <v/>
      </c>
      <c r="G48" s="8">
        <f>IF(ISNA(MATCH(35,Engine!$C$2:$C$1369,0)),"",INDEX('Compliance Database'!$G$2:$G$1369,MATCH(35,Engine!$C$2:$C$1369,0)))</f>
        <v/>
      </c>
      <c r="H48" s="9">
        <f>IF(ISNA(MATCH(35,Engine!$C$2:$C$1369,0)),"",INDEX('Compliance Database'!$H$2:$H$1369,MATCH(35,Engine!$C$2:$C$1369,0)))</f>
        <v/>
      </c>
      <c r="I48" s="9">
        <f>IF(ISNA(MATCH(35,Engine!$C$2:$C$1369,0)),"",INDEX('Compliance Database'!$I$2:$I$1369,MATCH(35,Engine!$C$2:$C$1369,0)))</f>
        <v/>
      </c>
      <c r="J48" s="8">
        <f>IF(ISNA(MATCH(35,Engine!$C$2:$C$1369,0)),"",INDEX('Compliance Database'!$J$2:$J$1369,MATCH(35,Engine!$C$2:$C$1369,0)))</f>
        <v/>
      </c>
      <c r="K48" s="9">
        <f>IF(ISNA(MATCH(35,Engine!$C$2:$C$1369,0)),"",INDEX('Compliance Database'!$K$2:$K$1369,MATCH(35,Engine!$C$2:$C$1369,0)))</f>
        <v/>
      </c>
      <c r="L48" s="9">
        <f>IF(ISNA(MATCH(35,Engine!$C$2:$C$1369,0)),"",INDEX('Compliance Database'!$L$2:$L$1369,MATCH(35,Engine!$C$2:$C$1369,0)))</f>
        <v/>
      </c>
      <c r="M48" s="9">
        <f>IF(ISNA(MATCH(35,Engine!$C$2:$C$1369,0)),"",INDEX('Compliance Database'!$M$2:$M$1369,MATCH(35,Engine!$C$2:$C$1369,0)))</f>
        <v/>
      </c>
      <c r="N48" s="9">
        <f>IF(ISNA(MATCH(35,Engine!$C$2:$C$1369,0)),"",INDEX('Compliance Database'!$N$2:$N$1369,MATCH(35,Engine!$C$2:$C$1369,0)))</f>
        <v/>
      </c>
      <c r="O48" s="8">
        <f>IF(ISNA(MATCH(35,Engine!$C$2:$C$1369,0)),"",HYPERLINK(INDEX('Compliance Database'!$O$2:$O$1369,MATCH(35,Engine!$C$2:$C$1369,0)),"Open PDF"))</f>
        <v/>
      </c>
    </row>
    <row r="49" ht="188" customHeight="1">
      <c r="A49" s="8">
        <f>IF(ISNA(MATCH(36,Engine!$C$2:$C$1369,0)),"",INDEX('Compliance Database'!$A$2:$A$1369,MATCH(36,Engine!$C$2:$C$1369,0)))</f>
        <v/>
      </c>
      <c r="B49" s="8">
        <f>IF(ISNA(MATCH(36,Engine!$C$2:$C$1369,0)),"",INDEX('Compliance Database'!$B$2:$B$1369,MATCH(36,Engine!$C$2:$C$1369,0)))</f>
        <v/>
      </c>
      <c r="C49" s="8">
        <f>IF(ISNA(MATCH(36,Engine!$C$2:$C$1369,0)),"",INDEX('Compliance Database'!$C$2:$C$1369,MATCH(36,Engine!$C$2:$C$1369,0)))</f>
        <v/>
      </c>
      <c r="D49" s="9">
        <f>IF(ISNA(MATCH(36,Engine!$C$2:$C$1369,0)),"",INDEX('Compliance Database'!$D$2:$D$1369,MATCH(36,Engine!$C$2:$C$1369,0)))</f>
        <v/>
      </c>
      <c r="E49" s="8">
        <f>IF(ISNA(MATCH(36,Engine!$C$2:$C$1369,0)),"",INDEX('Compliance Database'!$E$2:$E$1369,MATCH(36,Engine!$C$2:$C$1369,0)))</f>
        <v/>
      </c>
      <c r="F49" s="8">
        <f>IF(ISNA(MATCH(36,Engine!$C$2:$C$1369,0)),"",INDEX('Compliance Database'!$F$2:$F$1369,MATCH(36,Engine!$C$2:$C$1369,0)))</f>
        <v/>
      </c>
      <c r="G49" s="8">
        <f>IF(ISNA(MATCH(36,Engine!$C$2:$C$1369,0)),"",INDEX('Compliance Database'!$G$2:$G$1369,MATCH(36,Engine!$C$2:$C$1369,0)))</f>
        <v/>
      </c>
      <c r="H49" s="9">
        <f>IF(ISNA(MATCH(36,Engine!$C$2:$C$1369,0)),"",INDEX('Compliance Database'!$H$2:$H$1369,MATCH(36,Engine!$C$2:$C$1369,0)))</f>
        <v/>
      </c>
      <c r="I49" s="9">
        <f>IF(ISNA(MATCH(36,Engine!$C$2:$C$1369,0)),"",INDEX('Compliance Database'!$I$2:$I$1369,MATCH(36,Engine!$C$2:$C$1369,0)))</f>
        <v/>
      </c>
      <c r="J49" s="8">
        <f>IF(ISNA(MATCH(36,Engine!$C$2:$C$1369,0)),"",INDEX('Compliance Database'!$J$2:$J$1369,MATCH(36,Engine!$C$2:$C$1369,0)))</f>
        <v/>
      </c>
      <c r="K49" s="9">
        <f>IF(ISNA(MATCH(36,Engine!$C$2:$C$1369,0)),"",INDEX('Compliance Database'!$K$2:$K$1369,MATCH(36,Engine!$C$2:$C$1369,0)))</f>
        <v/>
      </c>
      <c r="L49" s="9">
        <f>IF(ISNA(MATCH(36,Engine!$C$2:$C$1369,0)),"",INDEX('Compliance Database'!$L$2:$L$1369,MATCH(36,Engine!$C$2:$C$1369,0)))</f>
        <v/>
      </c>
      <c r="M49" s="9">
        <f>IF(ISNA(MATCH(36,Engine!$C$2:$C$1369,0)),"",INDEX('Compliance Database'!$M$2:$M$1369,MATCH(36,Engine!$C$2:$C$1369,0)))</f>
        <v/>
      </c>
      <c r="N49" s="9">
        <f>IF(ISNA(MATCH(36,Engine!$C$2:$C$1369,0)),"",INDEX('Compliance Database'!$N$2:$N$1369,MATCH(36,Engine!$C$2:$C$1369,0)))</f>
        <v/>
      </c>
      <c r="O49" s="8">
        <f>IF(ISNA(MATCH(36,Engine!$C$2:$C$1369,0)),"",HYPERLINK(INDEX('Compliance Database'!$O$2:$O$1369,MATCH(36,Engine!$C$2:$C$1369,0)),"Open PDF"))</f>
        <v/>
      </c>
    </row>
    <row r="50" ht="188" customHeight="1">
      <c r="A50" s="8">
        <f>IF(ISNA(MATCH(37,Engine!$C$2:$C$1369,0)),"",INDEX('Compliance Database'!$A$2:$A$1369,MATCH(37,Engine!$C$2:$C$1369,0)))</f>
        <v/>
      </c>
      <c r="B50" s="8">
        <f>IF(ISNA(MATCH(37,Engine!$C$2:$C$1369,0)),"",INDEX('Compliance Database'!$B$2:$B$1369,MATCH(37,Engine!$C$2:$C$1369,0)))</f>
        <v/>
      </c>
      <c r="C50" s="8">
        <f>IF(ISNA(MATCH(37,Engine!$C$2:$C$1369,0)),"",INDEX('Compliance Database'!$C$2:$C$1369,MATCH(37,Engine!$C$2:$C$1369,0)))</f>
        <v/>
      </c>
      <c r="D50" s="9">
        <f>IF(ISNA(MATCH(37,Engine!$C$2:$C$1369,0)),"",INDEX('Compliance Database'!$D$2:$D$1369,MATCH(37,Engine!$C$2:$C$1369,0)))</f>
        <v/>
      </c>
      <c r="E50" s="8">
        <f>IF(ISNA(MATCH(37,Engine!$C$2:$C$1369,0)),"",INDEX('Compliance Database'!$E$2:$E$1369,MATCH(37,Engine!$C$2:$C$1369,0)))</f>
        <v/>
      </c>
      <c r="F50" s="8">
        <f>IF(ISNA(MATCH(37,Engine!$C$2:$C$1369,0)),"",INDEX('Compliance Database'!$F$2:$F$1369,MATCH(37,Engine!$C$2:$C$1369,0)))</f>
        <v/>
      </c>
      <c r="G50" s="8">
        <f>IF(ISNA(MATCH(37,Engine!$C$2:$C$1369,0)),"",INDEX('Compliance Database'!$G$2:$G$1369,MATCH(37,Engine!$C$2:$C$1369,0)))</f>
        <v/>
      </c>
      <c r="H50" s="9">
        <f>IF(ISNA(MATCH(37,Engine!$C$2:$C$1369,0)),"",INDEX('Compliance Database'!$H$2:$H$1369,MATCH(37,Engine!$C$2:$C$1369,0)))</f>
        <v/>
      </c>
      <c r="I50" s="9">
        <f>IF(ISNA(MATCH(37,Engine!$C$2:$C$1369,0)),"",INDEX('Compliance Database'!$I$2:$I$1369,MATCH(37,Engine!$C$2:$C$1369,0)))</f>
        <v/>
      </c>
      <c r="J50" s="8">
        <f>IF(ISNA(MATCH(37,Engine!$C$2:$C$1369,0)),"",INDEX('Compliance Database'!$J$2:$J$1369,MATCH(37,Engine!$C$2:$C$1369,0)))</f>
        <v/>
      </c>
      <c r="K50" s="9">
        <f>IF(ISNA(MATCH(37,Engine!$C$2:$C$1369,0)),"",INDEX('Compliance Database'!$K$2:$K$1369,MATCH(37,Engine!$C$2:$C$1369,0)))</f>
        <v/>
      </c>
      <c r="L50" s="9">
        <f>IF(ISNA(MATCH(37,Engine!$C$2:$C$1369,0)),"",INDEX('Compliance Database'!$L$2:$L$1369,MATCH(37,Engine!$C$2:$C$1369,0)))</f>
        <v/>
      </c>
      <c r="M50" s="9">
        <f>IF(ISNA(MATCH(37,Engine!$C$2:$C$1369,0)),"",INDEX('Compliance Database'!$M$2:$M$1369,MATCH(37,Engine!$C$2:$C$1369,0)))</f>
        <v/>
      </c>
      <c r="N50" s="9">
        <f>IF(ISNA(MATCH(37,Engine!$C$2:$C$1369,0)),"",INDEX('Compliance Database'!$N$2:$N$1369,MATCH(37,Engine!$C$2:$C$1369,0)))</f>
        <v/>
      </c>
      <c r="O50" s="8">
        <f>IF(ISNA(MATCH(37,Engine!$C$2:$C$1369,0)),"",HYPERLINK(INDEX('Compliance Database'!$O$2:$O$1369,MATCH(37,Engine!$C$2:$C$1369,0)),"Open PDF"))</f>
        <v/>
      </c>
    </row>
    <row r="51" ht="188" customHeight="1">
      <c r="A51" s="8">
        <f>IF(ISNA(MATCH(38,Engine!$C$2:$C$1369,0)),"",INDEX('Compliance Database'!$A$2:$A$1369,MATCH(38,Engine!$C$2:$C$1369,0)))</f>
        <v/>
      </c>
      <c r="B51" s="8">
        <f>IF(ISNA(MATCH(38,Engine!$C$2:$C$1369,0)),"",INDEX('Compliance Database'!$B$2:$B$1369,MATCH(38,Engine!$C$2:$C$1369,0)))</f>
        <v/>
      </c>
      <c r="C51" s="8">
        <f>IF(ISNA(MATCH(38,Engine!$C$2:$C$1369,0)),"",INDEX('Compliance Database'!$C$2:$C$1369,MATCH(38,Engine!$C$2:$C$1369,0)))</f>
        <v/>
      </c>
      <c r="D51" s="9">
        <f>IF(ISNA(MATCH(38,Engine!$C$2:$C$1369,0)),"",INDEX('Compliance Database'!$D$2:$D$1369,MATCH(38,Engine!$C$2:$C$1369,0)))</f>
        <v/>
      </c>
      <c r="E51" s="8">
        <f>IF(ISNA(MATCH(38,Engine!$C$2:$C$1369,0)),"",INDEX('Compliance Database'!$E$2:$E$1369,MATCH(38,Engine!$C$2:$C$1369,0)))</f>
        <v/>
      </c>
      <c r="F51" s="8">
        <f>IF(ISNA(MATCH(38,Engine!$C$2:$C$1369,0)),"",INDEX('Compliance Database'!$F$2:$F$1369,MATCH(38,Engine!$C$2:$C$1369,0)))</f>
        <v/>
      </c>
      <c r="G51" s="8">
        <f>IF(ISNA(MATCH(38,Engine!$C$2:$C$1369,0)),"",INDEX('Compliance Database'!$G$2:$G$1369,MATCH(38,Engine!$C$2:$C$1369,0)))</f>
        <v/>
      </c>
      <c r="H51" s="9">
        <f>IF(ISNA(MATCH(38,Engine!$C$2:$C$1369,0)),"",INDEX('Compliance Database'!$H$2:$H$1369,MATCH(38,Engine!$C$2:$C$1369,0)))</f>
        <v/>
      </c>
      <c r="I51" s="9">
        <f>IF(ISNA(MATCH(38,Engine!$C$2:$C$1369,0)),"",INDEX('Compliance Database'!$I$2:$I$1369,MATCH(38,Engine!$C$2:$C$1369,0)))</f>
        <v/>
      </c>
      <c r="J51" s="8">
        <f>IF(ISNA(MATCH(38,Engine!$C$2:$C$1369,0)),"",INDEX('Compliance Database'!$J$2:$J$1369,MATCH(38,Engine!$C$2:$C$1369,0)))</f>
        <v/>
      </c>
      <c r="K51" s="9">
        <f>IF(ISNA(MATCH(38,Engine!$C$2:$C$1369,0)),"",INDEX('Compliance Database'!$K$2:$K$1369,MATCH(38,Engine!$C$2:$C$1369,0)))</f>
        <v/>
      </c>
      <c r="L51" s="9">
        <f>IF(ISNA(MATCH(38,Engine!$C$2:$C$1369,0)),"",INDEX('Compliance Database'!$L$2:$L$1369,MATCH(38,Engine!$C$2:$C$1369,0)))</f>
        <v/>
      </c>
      <c r="M51" s="9">
        <f>IF(ISNA(MATCH(38,Engine!$C$2:$C$1369,0)),"",INDEX('Compliance Database'!$M$2:$M$1369,MATCH(38,Engine!$C$2:$C$1369,0)))</f>
        <v/>
      </c>
      <c r="N51" s="9">
        <f>IF(ISNA(MATCH(38,Engine!$C$2:$C$1369,0)),"",INDEX('Compliance Database'!$N$2:$N$1369,MATCH(38,Engine!$C$2:$C$1369,0)))</f>
        <v/>
      </c>
      <c r="O51" s="8">
        <f>IF(ISNA(MATCH(38,Engine!$C$2:$C$1369,0)),"",HYPERLINK(INDEX('Compliance Database'!$O$2:$O$1369,MATCH(38,Engine!$C$2:$C$1369,0)),"Open PDF"))</f>
        <v/>
      </c>
    </row>
    <row r="52" ht="188" customHeight="1">
      <c r="A52" s="8">
        <f>IF(ISNA(MATCH(39,Engine!$C$2:$C$1369,0)),"",INDEX('Compliance Database'!$A$2:$A$1369,MATCH(39,Engine!$C$2:$C$1369,0)))</f>
        <v/>
      </c>
      <c r="B52" s="8">
        <f>IF(ISNA(MATCH(39,Engine!$C$2:$C$1369,0)),"",INDEX('Compliance Database'!$B$2:$B$1369,MATCH(39,Engine!$C$2:$C$1369,0)))</f>
        <v/>
      </c>
      <c r="C52" s="8">
        <f>IF(ISNA(MATCH(39,Engine!$C$2:$C$1369,0)),"",INDEX('Compliance Database'!$C$2:$C$1369,MATCH(39,Engine!$C$2:$C$1369,0)))</f>
        <v/>
      </c>
      <c r="D52" s="9">
        <f>IF(ISNA(MATCH(39,Engine!$C$2:$C$1369,0)),"",INDEX('Compliance Database'!$D$2:$D$1369,MATCH(39,Engine!$C$2:$C$1369,0)))</f>
        <v/>
      </c>
      <c r="E52" s="8">
        <f>IF(ISNA(MATCH(39,Engine!$C$2:$C$1369,0)),"",INDEX('Compliance Database'!$E$2:$E$1369,MATCH(39,Engine!$C$2:$C$1369,0)))</f>
        <v/>
      </c>
      <c r="F52" s="8">
        <f>IF(ISNA(MATCH(39,Engine!$C$2:$C$1369,0)),"",INDEX('Compliance Database'!$F$2:$F$1369,MATCH(39,Engine!$C$2:$C$1369,0)))</f>
        <v/>
      </c>
      <c r="G52" s="8">
        <f>IF(ISNA(MATCH(39,Engine!$C$2:$C$1369,0)),"",INDEX('Compliance Database'!$G$2:$G$1369,MATCH(39,Engine!$C$2:$C$1369,0)))</f>
        <v/>
      </c>
      <c r="H52" s="9">
        <f>IF(ISNA(MATCH(39,Engine!$C$2:$C$1369,0)),"",INDEX('Compliance Database'!$H$2:$H$1369,MATCH(39,Engine!$C$2:$C$1369,0)))</f>
        <v/>
      </c>
      <c r="I52" s="9">
        <f>IF(ISNA(MATCH(39,Engine!$C$2:$C$1369,0)),"",INDEX('Compliance Database'!$I$2:$I$1369,MATCH(39,Engine!$C$2:$C$1369,0)))</f>
        <v/>
      </c>
      <c r="J52" s="8">
        <f>IF(ISNA(MATCH(39,Engine!$C$2:$C$1369,0)),"",INDEX('Compliance Database'!$J$2:$J$1369,MATCH(39,Engine!$C$2:$C$1369,0)))</f>
        <v/>
      </c>
      <c r="K52" s="9">
        <f>IF(ISNA(MATCH(39,Engine!$C$2:$C$1369,0)),"",INDEX('Compliance Database'!$K$2:$K$1369,MATCH(39,Engine!$C$2:$C$1369,0)))</f>
        <v/>
      </c>
      <c r="L52" s="9">
        <f>IF(ISNA(MATCH(39,Engine!$C$2:$C$1369,0)),"",INDEX('Compliance Database'!$L$2:$L$1369,MATCH(39,Engine!$C$2:$C$1369,0)))</f>
        <v/>
      </c>
      <c r="M52" s="9">
        <f>IF(ISNA(MATCH(39,Engine!$C$2:$C$1369,0)),"",INDEX('Compliance Database'!$M$2:$M$1369,MATCH(39,Engine!$C$2:$C$1369,0)))</f>
        <v/>
      </c>
      <c r="N52" s="9">
        <f>IF(ISNA(MATCH(39,Engine!$C$2:$C$1369,0)),"",INDEX('Compliance Database'!$N$2:$N$1369,MATCH(39,Engine!$C$2:$C$1369,0)))</f>
        <v/>
      </c>
      <c r="O52" s="8">
        <f>IF(ISNA(MATCH(39,Engine!$C$2:$C$1369,0)),"",HYPERLINK(INDEX('Compliance Database'!$O$2:$O$1369,MATCH(39,Engine!$C$2:$C$1369,0)),"Open PDF"))</f>
        <v/>
      </c>
    </row>
    <row r="53" ht="188" customHeight="1">
      <c r="A53" s="8">
        <f>IF(ISNA(MATCH(40,Engine!$C$2:$C$1369,0)),"",INDEX('Compliance Database'!$A$2:$A$1369,MATCH(40,Engine!$C$2:$C$1369,0)))</f>
        <v/>
      </c>
      <c r="B53" s="8">
        <f>IF(ISNA(MATCH(40,Engine!$C$2:$C$1369,0)),"",INDEX('Compliance Database'!$B$2:$B$1369,MATCH(40,Engine!$C$2:$C$1369,0)))</f>
        <v/>
      </c>
      <c r="C53" s="8">
        <f>IF(ISNA(MATCH(40,Engine!$C$2:$C$1369,0)),"",INDEX('Compliance Database'!$C$2:$C$1369,MATCH(40,Engine!$C$2:$C$1369,0)))</f>
        <v/>
      </c>
      <c r="D53" s="9">
        <f>IF(ISNA(MATCH(40,Engine!$C$2:$C$1369,0)),"",INDEX('Compliance Database'!$D$2:$D$1369,MATCH(40,Engine!$C$2:$C$1369,0)))</f>
        <v/>
      </c>
      <c r="E53" s="8">
        <f>IF(ISNA(MATCH(40,Engine!$C$2:$C$1369,0)),"",INDEX('Compliance Database'!$E$2:$E$1369,MATCH(40,Engine!$C$2:$C$1369,0)))</f>
        <v/>
      </c>
      <c r="F53" s="8">
        <f>IF(ISNA(MATCH(40,Engine!$C$2:$C$1369,0)),"",INDEX('Compliance Database'!$F$2:$F$1369,MATCH(40,Engine!$C$2:$C$1369,0)))</f>
        <v/>
      </c>
      <c r="G53" s="8">
        <f>IF(ISNA(MATCH(40,Engine!$C$2:$C$1369,0)),"",INDEX('Compliance Database'!$G$2:$G$1369,MATCH(40,Engine!$C$2:$C$1369,0)))</f>
        <v/>
      </c>
      <c r="H53" s="9">
        <f>IF(ISNA(MATCH(40,Engine!$C$2:$C$1369,0)),"",INDEX('Compliance Database'!$H$2:$H$1369,MATCH(40,Engine!$C$2:$C$1369,0)))</f>
        <v/>
      </c>
      <c r="I53" s="9">
        <f>IF(ISNA(MATCH(40,Engine!$C$2:$C$1369,0)),"",INDEX('Compliance Database'!$I$2:$I$1369,MATCH(40,Engine!$C$2:$C$1369,0)))</f>
        <v/>
      </c>
      <c r="J53" s="8">
        <f>IF(ISNA(MATCH(40,Engine!$C$2:$C$1369,0)),"",INDEX('Compliance Database'!$J$2:$J$1369,MATCH(40,Engine!$C$2:$C$1369,0)))</f>
        <v/>
      </c>
      <c r="K53" s="9">
        <f>IF(ISNA(MATCH(40,Engine!$C$2:$C$1369,0)),"",INDEX('Compliance Database'!$K$2:$K$1369,MATCH(40,Engine!$C$2:$C$1369,0)))</f>
        <v/>
      </c>
      <c r="L53" s="9">
        <f>IF(ISNA(MATCH(40,Engine!$C$2:$C$1369,0)),"",INDEX('Compliance Database'!$L$2:$L$1369,MATCH(40,Engine!$C$2:$C$1369,0)))</f>
        <v/>
      </c>
      <c r="M53" s="9">
        <f>IF(ISNA(MATCH(40,Engine!$C$2:$C$1369,0)),"",INDEX('Compliance Database'!$M$2:$M$1369,MATCH(40,Engine!$C$2:$C$1369,0)))</f>
        <v/>
      </c>
      <c r="N53" s="9">
        <f>IF(ISNA(MATCH(40,Engine!$C$2:$C$1369,0)),"",INDEX('Compliance Database'!$N$2:$N$1369,MATCH(40,Engine!$C$2:$C$1369,0)))</f>
        <v/>
      </c>
      <c r="O53" s="8">
        <f>IF(ISNA(MATCH(40,Engine!$C$2:$C$1369,0)),"",HYPERLINK(INDEX('Compliance Database'!$O$2:$O$1369,MATCH(40,Engine!$C$2:$C$1369,0)),"Open PDF"))</f>
        <v/>
      </c>
    </row>
    <row r="54" ht="188" customHeight="1">
      <c r="A54" s="8">
        <f>IF(ISNA(MATCH(41,Engine!$C$2:$C$1369,0)),"",INDEX('Compliance Database'!$A$2:$A$1369,MATCH(41,Engine!$C$2:$C$1369,0)))</f>
        <v/>
      </c>
      <c r="B54" s="8">
        <f>IF(ISNA(MATCH(41,Engine!$C$2:$C$1369,0)),"",INDEX('Compliance Database'!$B$2:$B$1369,MATCH(41,Engine!$C$2:$C$1369,0)))</f>
        <v/>
      </c>
      <c r="C54" s="8">
        <f>IF(ISNA(MATCH(41,Engine!$C$2:$C$1369,0)),"",INDEX('Compliance Database'!$C$2:$C$1369,MATCH(41,Engine!$C$2:$C$1369,0)))</f>
        <v/>
      </c>
      <c r="D54" s="9">
        <f>IF(ISNA(MATCH(41,Engine!$C$2:$C$1369,0)),"",INDEX('Compliance Database'!$D$2:$D$1369,MATCH(41,Engine!$C$2:$C$1369,0)))</f>
        <v/>
      </c>
      <c r="E54" s="8">
        <f>IF(ISNA(MATCH(41,Engine!$C$2:$C$1369,0)),"",INDEX('Compliance Database'!$E$2:$E$1369,MATCH(41,Engine!$C$2:$C$1369,0)))</f>
        <v/>
      </c>
      <c r="F54" s="8">
        <f>IF(ISNA(MATCH(41,Engine!$C$2:$C$1369,0)),"",INDEX('Compliance Database'!$F$2:$F$1369,MATCH(41,Engine!$C$2:$C$1369,0)))</f>
        <v/>
      </c>
      <c r="G54" s="8">
        <f>IF(ISNA(MATCH(41,Engine!$C$2:$C$1369,0)),"",INDEX('Compliance Database'!$G$2:$G$1369,MATCH(41,Engine!$C$2:$C$1369,0)))</f>
        <v/>
      </c>
      <c r="H54" s="9">
        <f>IF(ISNA(MATCH(41,Engine!$C$2:$C$1369,0)),"",INDEX('Compliance Database'!$H$2:$H$1369,MATCH(41,Engine!$C$2:$C$1369,0)))</f>
        <v/>
      </c>
      <c r="I54" s="9">
        <f>IF(ISNA(MATCH(41,Engine!$C$2:$C$1369,0)),"",INDEX('Compliance Database'!$I$2:$I$1369,MATCH(41,Engine!$C$2:$C$1369,0)))</f>
        <v/>
      </c>
      <c r="J54" s="8">
        <f>IF(ISNA(MATCH(41,Engine!$C$2:$C$1369,0)),"",INDEX('Compliance Database'!$J$2:$J$1369,MATCH(41,Engine!$C$2:$C$1369,0)))</f>
        <v/>
      </c>
      <c r="K54" s="9">
        <f>IF(ISNA(MATCH(41,Engine!$C$2:$C$1369,0)),"",INDEX('Compliance Database'!$K$2:$K$1369,MATCH(41,Engine!$C$2:$C$1369,0)))</f>
        <v/>
      </c>
      <c r="L54" s="9">
        <f>IF(ISNA(MATCH(41,Engine!$C$2:$C$1369,0)),"",INDEX('Compliance Database'!$L$2:$L$1369,MATCH(41,Engine!$C$2:$C$1369,0)))</f>
        <v/>
      </c>
      <c r="M54" s="9">
        <f>IF(ISNA(MATCH(41,Engine!$C$2:$C$1369,0)),"",INDEX('Compliance Database'!$M$2:$M$1369,MATCH(41,Engine!$C$2:$C$1369,0)))</f>
        <v/>
      </c>
      <c r="N54" s="9">
        <f>IF(ISNA(MATCH(41,Engine!$C$2:$C$1369,0)),"",INDEX('Compliance Database'!$N$2:$N$1369,MATCH(41,Engine!$C$2:$C$1369,0)))</f>
        <v/>
      </c>
      <c r="O54" s="8">
        <f>IF(ISNA(MATCH(41,Engine!$C$2:$C$1369,0)),"",HYPERLINK(INDEX('Compliance Database'!$O$2:$O$1369,MATCH(41,Engine!$C$2:$C$1369,0)),"Open PDF"))</f>
        <v/>
      </c>
    </row>
    <row r="55" ht="188" customHeight="1">
      <c r="A55" s="8">
        <f>IF(ISNA(MATCH(42,Engine!$C$2:$C$1369,0)),"",INDEX('Compliance Database'!$A$2:$A$1369,MATCH(42,Engine!$C$2:$C$1369,0)))</f>
        <v/>
      </c>
      <c r="B55" s="8">
        <f>IF(ISNA(MATCH(42,Engine!$C$2:$C$1369,0)),"",INDEX('Compliance Database'!$B$2:$B$1369,MATCH(42,Engine!$C$2:$C$1369,0)))</f>
        <v/>
      </c>
      <c r="C55" s="8">
        <f>IF(ISNA(MATCH(42,Engine!$C$2:$C$1369,0)),"",INDEX('Compliance Database'!$C$2:$C$1369,MATCH(42,Engine!$C$2:$C$1369,0)))</f>
        <v/>
      </c>
      <c r="D55" s="9">
        <f>IF(ISNA(MATCH(42,Engine!$C$2:$C$1369,0)),"",INDEX('Compliance Database'!$D$2:$D$1369,MATCH(42,Engine!$C$2:$C$1369,0)))</f>
        <v/>
      </c>
      <c r="E55" s="8">
        <f>IF(ISNA(MATCH(42,Engine!$C$2:$C$1369,0)),"",INDEX('Compliance Database'!$E$2:$E$1369,MATCH(42,Engine!$C$2:$C$1369,0)))</f>
        <v/>
      </c>
      <c r="F55" s="8">
        <f>IF(ISNA(MATCH(42,Engine!$C$2:$C$1369,0)),"",INDEX('Compliance Database'!$F$2:$F$1369,MATCH(42,Engine!$C$2:$C$1369,0)))</f>
        <v/>
      </c>
      <c r="G55" s="8">
        <f>IF(ISNA(MATCH(42,Engine!$C$2:$C$1369,0)),"",INDEX('Compliance Database'!$G$2:$G$1369,MATCH(42,Engine!$C$2:$C$1369,0)))</f>
        <v/>
      </c>
      <c r="H55" s="9">
        <f>IF(ISNA(MATCH(42,Engine!$C$2:$C$1369,0)),"",INDEX('Compliance Database'!$H$2:$H$1369,MATCH(42,Engine!$C$2:$C$1369,0)))</f>
        <v/>
      </c>
      <c r="I55" s="9">
        <f>IF(ISNA(MATCH(42,Engine!$C$2:$C$1369,0)),"",INDEX('Compliance Database'!$I$2:$I$1369,MATCH(42,Engine!$C$2:$C$1369,0)))</f>
        <v/>
      </c>
      <c r="J55" s="8">
        <f>IF(ISNA(MATCH(42,Engine!$C$2:$C$1369,0)),"",INDEX('Compliance Database'!$J$2:$J$1369,MATCH(42,Engine!$C$2:$C$1369,0)))</f>
        <v/>
      </c>
      <c r="K55" s="9">
        <f>IF(ISNA(MATCH(42,Engine!$C$2:$C$1369,0)),"",INDEX('Compliance Database'!$K$2:$K$1369,MATCH(42,Engine!$C$2:$C$1369,0)))</f>
        <v/>
      </c>
      <c r="L55" s="9">
        <f>IF(ISNA(MATCH(42,Engine!$C$2:$C$1369,0)),"",INDEX('Compliance Database'!$L$2:$L$1369,MATCH(42,Engine!$C$2:$C$1369,0)))</f>
        <v/>
      </c>
      <c r="M55" s="9">
        <f>IF(ISNA(MATCH(42,Engine!$C$2:$C$1369,0)),"",INDEX('Compliance Database'!$M$2:$M$1369,MATCH(42,Engine!$C$2:$C$1369,0)))</f>
        <v/>
      </c>
      <c r="N55" s="9">
        <f>IF(ISNA(MATCH(42,Engine!$C$2:$C$1369,0)),"",INDEX('Compliance Database'!$N$2:$N$1369,MATCH(42,Engine!$C$2:$C$1369,0)))</f>
        <v/>
      </c>
      <c r="O55" s="8">
        <f>IF(ISNA(MATCH(42,Engine!$C$2:$C$1369,0)),"",HYPERLINK(INDEX('Compliance Database'!$O$2:$O$1369,MATCH(42,Engine!$C$2:$C$1369,0)),"Open PDF"))</f>
        <v/>
      </c>
    </row>
    <row r="56" ht="188" customHeight="1">
      <c r="A56" s="8">
        <f>IF(ISNA(MATCH(43,Engine!$C$2:$C$1369,0)),"",INDEX('Compliance Database'!$A$2:$A$1369,MATCH(43,Engine!$C$2:$C$1369,0)))</f>
        <v/>
      </c>
      <c r="B56" s="8">
        <f>IF(ISNA(MATCH(43,Engine!$C$2:$C$1369,0)),"",INDEX('Compliance Database'!$B$2:$B$1369,MATCH(43,Engine!$C$2:$C$1369,0)))</f>
        <v/>
      </c>
      <c r="C56" s="8">
        <f>IF(ISNA(MATCH(43,Engine!$C$2:$C$1369,0)),"",INDEX('Compliance Database'!$C$2:$C$1369,MATCH(43,Engine!$C$2:$C$1369,0)))</f>
        <v/>
      </c>
      <c r="D56" s="9">
        <f>IF(ISNA(MATCH(43,Engine!$C$2:$C$1369,0)),"",INDEX('Compliance Database'!$D$2:$D$1369,MATCH(43,Engine!$C$2:$C$1369,0)))</f>
        <v/>
      </c>
      <c r="E56" s="8">
        <f>IF(ISNA(MATCH(43,Engine!$C$2:$C$1369,0)),"",INDEX('Compliance Database'!$E$2:$E$1369,MATCH(43,Engine!$C$2:$C$1369,0)))</f>
        <v/>
      </c>
      <c r="F56" s="8">
        <f>IF(ISNA(MATCH(43,Engine!$C$2:$C$1369,0)),"",INDEX('Compliance Database'!$F$2:$F$1369,MATCH(43,Engine!$C$2:$C$1369,0)))</f>
        <v/>
      </c>
      <c r="G56" s="8">
        <f>IF(ISNA(MATCH(43,Engine!$C$2:$C$1369,0)),"",INDEX('Compliance Database'!$G$2:$G$1369,MATCH(43,Engine!$C$2:$C$1369,0)))</f>
        <v/>
      </c>
      <c r="H56" s="9">
        <f>IF(ISNA(MATCH(43,Engine!$C$2:$C$1369,0)),"",INDEX('Compliance Database'!$H$2:$H$1369,MATCH(43,Engine!$C$2:$C$1369,0)))</f>
        <v/>
      </c>
      <c r="I56" s="9">
        <f>IF(ISNA(MATCH(43,Engine!$C$2:$C$1369,0)),"",INDEX('Compliance Database'!$I$2:$I$1369,MATCH(43,Engine!$C$2:$C$1369,0)))</f>
        <v/>
      </c>
      <c r="J56" s="8">
        <f>IF(ISNA(MATCH(43,Engine!$C$2:$C$1369,0)),"",INDEX('Compliance Database'!$J$2:$J$1369,MATCH(43,Engine!$C$2:$C$1369,0)))</f>
        <v/>
      </c>
      <c r="K56" s="9">
        <f>IF(ISNA(MATCH(43,Engine!$C$2:$C$1369,0)),"",INDEX('Compliance Database'!$K$2:$K$1369,MATCH(43,Engine!$C$2:$C$1369,0)))</f>
        <v/>
      </c>
      <c r="L56" s="9">
        <f>IF(ISNA(MATCH(43,Engine!$C$2:$C$1369,0)),"",INDEX('Compliance Database'!$L$2:$L$1369,MATCH(43,Engine!$C$2:$C$1369,0)))</f>
        <v/>
      </c>
      <c r="M56" s="9">
        <f>IF(ISNA(MATCH(43,Engine!$C$2:$C$1369,0)),"",INDEX('Compliance Database'!$M$2:$M$1369,MATCH(43,Engine!$C$2:$C$1369,0)))</f>
        <v/>
      </c>
      <c r="N56" s="9">
        <f>IF(ISNA(MATCH(43,Engine!$C$2:$C$1369,0)),"",INDEX('Compliance Database'!$N$2:$N$1369,MATCH(43,Engine!$C$2:$C$1369,0)))</f>
        <v/>
      </c>
      <c r="O56" s="8">
        <f>IF(ISNA(MATCH(43,Engine!$C$2:$C$1369,0)),"",HYPERLINK(INDEX('Compliance Database'!$O$2:$O$1369,MATCH(43,Engine!$C$2:$C$1369,0)),"Open PDF"))</f>
        <v/>
      </c>
    </row>
    <row r="57" ht="188" customHeight="1">
      <c r="A57" s="8">
        <f>IF(ISNA(MATCH(44,Engine!$C$2:$C$1369,0)),"",INDEX('Compliance Database'!$A$2:$A$1369,MATCH(44,Engine!$C$2:$C$1369,0)))</f>
        <v/>
      </c>
      <c r="B57" s="8">
        <f>IF(ISNA(MATCH(44,Engine!$C$2:$C$1369,0)),"",INDEX('Compliance Database'!$B$2:$B$1369,MATCH(44,Engine!$C$2:$C$1369,0)))</f>
        <v/>
      </c>
      <c r="C57" s="8">
        <f>IF(ISNA(MATCH(44,Engine!$C$2:$C$1369,0)),"",INDEX('Compliance Database'!$C$2:$C$1369,MATCH(44,Engine!$C$2:$C$1369,0)))</f>
        <v/>
      </c>
      <c r="D57" s="9">
        <f>IF(ISNA(MATCH(44,Engine!$C$2:$C$1369,0)),"",INDEX('Compliance Database'!$D$2:$D$1369,MATCH(44,Engine!$C$2:$C$1369,0)))</f>
        <v/>
      </c>
      <c r="E57" s="8">
        <f>IF(ISNA(MATCH(44,Engine!$C$2:$C$1369,0)),"",INDEX('Compliance Database'!$E$2:$E$1369,MATCH(44,Engine!$C$2:$C$1369,0)))</f>
        <v/>
      </c>
      <c r="F57" s="8">
        <f>IF(ISNA(MATCH(44,Engine!$C$2:$C$1369,0)),"",INDEX('Compliance Database'!$F$2:$F$1369,MATCH(44,Engine!$C$2:$C$1369,0)))</f>
        <v/>
      </c>
      <c r="G57" s="8">
        <f>IF(ISNA(MATCH(44,Engine!$C$2:$C$1369,0)),"",INDEX('Compliance Database'!$G$2:$G$1369,MATCH(44,Engine!$C$2:$C$1369,0)))</f>
        <v/>
      </c>
      <c r="H57" s="9">
        <f>IF(ISNA(MATCH(44,Engine!$C$2:$C$1369,0)),"",INDEX('Compliance Database'!$H$2:$H$1369,MATCH(44,Engine!$C$2:$C$1369,0)))</f>
        <v/>
      </c>
      <c r="I57" s="9">
        <f>IF(ISNA(MATCH(44,Engine!$C$2:$C$1369,0)),"",INDEX('Compliance Database'!$I$2:$I$1369,MATCH(44,Engine!$C$2:$C$1369,0)))</f>
        <v/>
      </c>
      <c r="J57" s="8">
        <f>IF(ISNA(MATCH(44,Engine!$C$2:$C$1369,0)),"",INDEX('Compliance Database'!$J$2:$J$1369,MATCH(44,Engine!$C$2:$C$1369,0)))</f>
        <v/>
      </c>
      <c r="K57" s="9">
        <f>IF(ISNA(MATCH(44,Engine!$C$2:$C$1369,0)),"",INDEX('Compliance Database'!$K$2:$K$1369,MATCH(44,Engine!$C$2:$C$1369,0)))</f>
        <v/>
      </c>
      <c r="L57" s="9">
        <f>IF(ISNA(MATCH(44,Engine!$C$2:$C$1369,0)),"",INDEX('Compliance Database'!$L$2:$L$1369,MATCH(44,Engine!$C$2:$C$1369,0)))</f>
        <v/>
      </c>
      <c r="M57" s="9">
        <f>IF(ISNA(MATCH(44,Engine!$C$2:$C$1369,0)),"",INDEX('Compliance Database'!$M$2:$M$1369,MATCH(44,Engine!$C$2:$C$1369,0)))</f>
        <v/>
      </c>
      <c r="N57" s="9">
        <f>IF(ISNA(MATCH(44,Engine!$C$2:$C$1369,0)),"",INDEX('Compliance Database'!$N$2:$N$1369,MATCH(44,Engine!$C$2:$C$1369,0)))</f>
        <v/>
      </c>
      <c r="O57" s="8">
        <f>IF(ISNA(MATCH(44,Engine!$C$2:$C$1369,0)),"",HYPERLINK(INDEX('Compliance Database'!$O$2:$O$1369,MATCH(44,Engine!$C$2:$C$1369,0)),"Open PDF"))</f>
        <v/>
      </c>
    </row>
    <row r="58" ht="188" customHeight="1">
      <c r="A58" s="8">
        <f>IF(ISNA(MATCH(45,Engine!$C$2:$C$1369,0)),"",INDEX('Compliance Database'!$A$2:$A$1369,MATCH(45,Engine!$C$2:$C$1369,0)))</f>
        <v/>
      </c>
      <c r="B58" s="8">
        <f>IF(ISNA(MATCH(45,Engine!$C$2:$C$1369,0)),"",INDEX('Compliance Database'!$B$2:$B$1369,MATCH(45,Engine!$C$2:$C$1369,0)))</f>
        <v/>
      </c>
      <c r="C58" s="8">
        <f>IF(ISNA(MATCH(45,Engine!$C$2:$C$1369,0)),"",INDEX('Compliance Database'!$C$2:$C$1369,MATCH(45,Engine!$C$2:$C$1369,0)))</f>
        <v/>
      </c>
      <c r="D58" s="9">
        <f>IF(ISNA(MATCH(45,Engine!$C$2:$C$1369,0)),"",INDEX('Compliance Database'!$D$2:$D$1369,MATCH(45,Engine!$C$2:$C$1369,0)))</f>
        <v/>
      </c>
      <c r="E58" s="8">
        <f>IF(ISNA(MATCH(45,Engine!$C$2:$C$1369,0)),"",INDEX('Compliance Database'!$E$2:$E$1369,MATCH(45,Engine!$C$2:$C$1369,0)))</f>
        <v/>
      </c>
      <c r="F58" s="8">
        <f>IF(ISNA(MATCH(45,Engine!$C$2:$C$1369,0)),"",INDEX('Compliance Database'!$F$2:$F$1369,MATCH(45,Engine!$C$2:$C$1369,0)))</f>
        <v/>
      </c>
      <c r="G58" s="8">
        <f>IF(ISNA(MATCH(45,Engine!$C$2:$C$1369,0)),"",INDEX('Compliance Database'!$G$2:$G$1369,MATCH(45,Engine!$C$2:$C$1369,0)))</f>
        <v/>
      </c>
      <c r="H58" s="9">
        <f>IF(ISNA(MATCH(45,Engine!$C$2:$C$1369,0)),"",INDEX('Compliance Database'!$H$2:$H$1369,MATCH(45,Engine!$C$2:$C$1369,0)))</f>
        <v/>
      </c>
      <c r="I58" s="9">
        <f>IF(ISNA(MATCH(45,Engine!$C$2:$C$1369,0)),"",INDEX('Compliance Database'!$I$2:$I$1369,MATCH(45,Engine!$C$2:$C$1369,0)))</f>
        <v/>
      </c>
      <c r="J58" s="8">
        <f>IF(ISNA(MATCH(45,Engine!$C$2:$C$1369,0)),"",INDEX('Compliance Database'!$J$2:$J$1369,MATCH(45,Engine!$C$2:$C$1369,0)))</f>
        <v/>
      </c>
      <c r="K58" s="9">
        <f>IF(ISNA(MATCH(45,Engine!$C$2:$C$1369,0)),"",INDEX('Compliance Database'!$K$2:$K$1369,MATCH(45,Engine!$C$2:$C$1369,0)))</f>
        <v/>
      </c>
      <c r="L58" s="9">
        <f>IF(ISNA(MATCH(45,Engine!$C$2:$C$1369,0)),"",INDEX('Compliance Database'!$L$2:$L$1369,MATCH(45,Engine!$C$2:$C$1369,0)))</f>
        <v/>
      </c>
      <c r="M58" s="9">
        <f>IF(ISNA(MATCH(45,Engine!$C$2:$C$1369,0)),"",INDEX('Compliance Database'!$M$2:$M$1369,MATCH(45,Engine!$C$2:$C$1369,0)))</f>
        <v/>
      </c>
      <c r="N58" s="9">
        <f>IF(ISNA(MATCH(45,Engine!$C$2:$C$1369,0)),"",INDEX('Compliance Database'!$N$2:$N$1369,MATCH(45,Engine!$C$2:$C$1369,0)))</f>
        <v/>
      </c>
      <c r="O58" s="8">
        <f>IF(ISNA(MATCH(45,Engine!$C$2:$C$1369,0)),"",HYPERLINK(INDEX('Compliance Database'!$O$2:$O$1369,MATCH(45,Engine!$C$2:$C$1369,0)),"Open PDF"))</f>
        <v/>
      </c>
    </row>
    <row r="59" ht="188" customHeight="1">
      <c r="A59" s="8">
        <f>IF(ISNA(MATCH(46,Engine!$C$2:$C$1369,0)),"",INDEX('Compliance Database'!$A$2:$A$1369,MATCH(46,Engine!$C$2:$C$1369,0)))</f>
        <v/>
      </c>
      <c r="B59" s="8">
        <f>IF(ISNA(MATCH(46,Engine!$C$2:$C$1369,0)),"",INDEX('Compliance Database'!$B$2:$B$1369,MATCH(46,Engine!$C$2:$C$1369,0)))</f>
        <v/>
      </c>
      <c r="C59" s="8">
        <f>IF(ISNA(MATCH(46,Engine!$C$2:$C$1369,0)),"",INDEX('Compliance Database'!$C$2:$C$1369,MATCH(46,Engine!$C$2:$C$1369,0)))</f>
        <v/>
      </c>
      <c r="D59" s="9">
        <f>IF(ISNA(MATCH(46,Engine!$C$2:$C$1369,0)),"",INDEX('Compliance Database'!$D$2:$D$1369,MATCH(46,Engine!$C$2:$C$1369,0)))</f>
        <v/>
      </c>
      <c r="E59" s="8">
        <f>IF(ISNA(MATCH(46,Engine!$C$2:$C$1369,0)),"",INDEX('Compliance Database'!$E$2:$E$1369,MATCH(46,Engine!$C$2:$C$1369,0)))</f>
        <v/>
      </c>
      <c r="F59" s="8">
        <f>IF(ISNA(MATCH(46,Engine!$C$2:$C$1369,0)),"",INDEX('Compliance Database'!$F$2:$F$1369,MATCH(46,Engine!$C$2:$C$1369,0)))</f>
        <v/>
      </c>
      <c r="G59" s="8">
        <f>IF(ISNA(MATCH(46,Engine!$C$2:$C$1369,0)),"",INDEX('Compliance Database'!$G$2:$G$1369,MATCH(46,Engine!$C$2:$C$1369,0)))</f>
        <v/>
      </c>
      <c r="H59" s="9">
        <f>IF(ISNA(MATCH(46,Engine!$C$2:$C$1369,0)),"",INDEX('Compliance Database'!$H$2:$H$1369,MATCH(46,Engine!$C$2:$C$1369,0)))</f>
        <v/>
      </c>
      <c r="I59" s="9">
        <f>IF(ISNA(MATCH(46,Engine!$C$2:$C$1369,0)),"",INDEX('Compliance Database'!$I$2:$I$1369,MATCH(46,Engine!$C$2:$C$1369,0)))</f>
        <v/>
      </c>
      <c r="J59" s="8">
        <f>IF(ISNA(MATCH(46,Engine!$C$2:$C$1369,0)),"",INDEX('Compliance Database'!$J$2:$J$1369,MATCH(46,Engine!$C$2:$C$1369,0)))</f>
        <v/>
      </c>
      <c r="K59" s="9">
        <f>IF(ISNA(MATCH(46,Engine!$C$2:$C$1369,0)),"",INDEX('Compliance Database'!$K$2:$K$1369,MATCH(46,Engine!$C$2:$C$1369,0)))</f>
        <v/>
      </c>
      <c r="L59" s="9">
        <f>IF(ISNA(MATCH(46,Engine!$C$2:$C$1369,0)),"",INDEX('Compliance Database'!$L$2:$L$1369,MATCH(46,Engine!$C$2:$C$1369,0)))</f>
        <v/>
      </c>
      <c r="M59" s="9">
        <f>IF(ISNA(MATCH(46,Engine!$C$2:$C$1369,0)),"",INDEX('Compliance Database'!$M$2:$M$1369,MATCH(46,Engine!$C$2:$C$1369,0)))</f>
        <v/>
      </c>
      <c r="N59" s="9">
        <f>IF(ISNA(MATCH(46,Engine!$C$2:$C$1369,0)),"",INDEX('Compliance Database'!$N$2:$N$1369,MATCH(46,Engine!$C$2:$C$1369,0)))</f>
        <v/>
      </c>
      <c r="O59" s="8">
        <f>IF(ISNA(MATCH(46,Engine!$C$2:$C$1369,0)),"",HYPERLINK(INDEX('Compliance Database'!$O$2:$O$1369,MATCH(46,Engine!$C$2:$C$1369,0)),"Open PDF"))</f>
        <v/>
      </c>
    </row>
    <row r="60" ht="188" customHeight="1">
      <c r="A60" s="8">
        <f>IF(ISNA(MATCH(47,Engine!$C$2:$C$1369,0)),"",INDEX('Compliance Database'!$A$2:$A$1369,MATCH(47,Engine!$C$2:$C$1369,0)))</f>
        <v/>
      </c>
      <c r="B60" s="8">
        <f>IF(ISNA(MATCH(47,Engine!$C$2:$C$1369,0)),"",INDEX('Compliance Database'!$B$2:$B$1369,MATCH(47,Engine!$C$2:$C$1369,0)))</f>
        <v/>
      </c>
      <c r="C60" s="8">
        <f>IF(ISNA(MATCH(47,Engine!$C$2:$C$1369,0)),"",INDEX('Compliance Database'!$C$2:$C$1369,MATCH(47,Engine!$C$2:$C$1369,0)))</f>
        <v/>
      </c>
      <c r="D60" s="9">
        <f>IF(ISNA(MATCH(47,Engine!$C$2:$C$1369,0)),"",INDEX('Compliance Database'!$D$2:$D$1369,MATCH(47,Engine!$C$2:$C$1369,0)))</f>
        <v/>
      </c>
      <c r="E60" s="8">
        <f>IF(ISNA(MATCH(47,Engine!$C$2:$C$1369,0)),"",INDEX('Compliance Database'!$E$2:$E$1369,MATCH(47,Engine!$C$2:$C$1369,0)))</f>
        <v/>
      </c>
      <c r="F60" s="8">
        <f>IF(ISNA(MATCH(47,Engine!$C$2:$C$1369,0)),"",INDEX('Compliance Database'!$F$2:$F$1369,MATCH(47,Engine!$C$2:$C$1369,0)))</f>
        <v/>
      </c>
      <c r="G60" s="8">
        <f>IF(ISNA(MATCH(47,Engine!$C$2:$C$1369,0)),"",INDEX('Compliance Database'!$G$2:$G$1369,MATCH(47,Engine!$C$2:$C$1369,0)))</f>
        <v/>
      </c>
      <c r="H60" s="9">
        <f>IF(ISNA(MATCH(47,Engine!$C$2:$C$1369,0)),"",INDEX('Compliance Database'!$H$2:$H$1369,MATCH(47,Engine!$C$2:$C$1369,0)))</f>
        <v/>
      </c>
      <c r="I60" s="9">
        <f>IF(ISNA(MATCH(47,Engine!$C$2:$C$1369,0)),"",INDEX('Compliance Database'!$I$2:$I$1369,MATCH(47,Engine!$C$2:$C$1369,0)))</f>
        <v/>
      </c>
      <c r="J60" s="8">
        <f>IF(ISNA(MATCH(47,Engine!$C$2:$C$1369,0)),"",INDEX('Compliance Database'!$J$2:$J$1369,MATCH(47,Engine!$C$2:$C$1369,0)))</f>
        <v/>
      </c>
      <c r="K60" s="9">
        <f>IF(ISNA(MATCH(47,Engine!$C$2:$C$1369,0)),"",INDEX('Compliance Database'!$K$2:$K$1369,MATCH(47,Engine!$C$2:$C$1369,0)))</f>
        <v/>
      </c>
      <c r="L60" s="9">
        <f>IF(ISNA(MATCH(47,Engine!$C$2:$C$1369,0)),"",INDEX('Compliance Database'!$L$2:$L$1369,MATCH(47,Engine!$C$2:$C$1369,0)))</f>
        <v/>
      </c>
      <c r="M60" s="9">
        <f>IF(ISNA(MATCH(47,Engine!$C$2:$C$1369,0)),"",INDEX('Compliance Database'!$M$2:$M$1369,MATCH(47,Engine!$C$2:$C$1369,0)))</f>
        <v/>
      </c>
      <c r="N60" s="9">
        <f>IF(ISNA(MATCH(47,Engine!$C$2:$C$1369,0)),"",INDEX('Compliance Database'!$N$2:$N$1369,MATCH(47,Engine!$C$2:$C$1369,0)))</f>
        <v/>
      </c>
      <c r="O60" s="8">
        <f>IF(ISNA(MATCH(47,Engine!$C$2:$C$1369,0)),"",HYPERLINK(INDEX('Compliance Database'!$O$2:$O$1369,MATCH(47,Engine!$C$2:$C$1369,0)),"Open PDF"))</f>
        <v/>
      </c>
    </row>
    <row r="61" ht="188" customHeight="1">
      <c r="A61" s="8">
        <f>IF(ISNA(MATCH(48,Engine!$C$2:$C$1369,0)),"",INDEX('Compliance Database'!$A$2:$A$1369,MATCH(48,Engine!$C$2:$C$1369,0)))</f>
        <v/>
      </c>
      <c r="B61" s="8">
        <f>IF(ISNA(MATCH(48,Engine!$C$2:$C$1369,0)),"",INDEX('Compliance Database'!$B$2:$B$1369,MATCH(48,Engine!$C$2:$C$1369,0)))</f>
        <v/>
      </c>
      <c r="C61" s="8">
        <f>IF(ISNA(MATCH(48,Engine!$C$2:$C$1369,0)),"",INDEX('Compliance Database'!$C$2:$C$1369,MATCH(48,Engine!$C$2:$C$1369,0)))</f>
        <v/>
      </c>
      <c r="D61" s="9">
        <f>IF(ISNA(MATCH(48,Engine!$C$2:$C$1369,0)),"",INDEX('Compliance Database'!$D$2:$D$1369,MATCH(48,Engine!$C$2:$C$1369,0)))</f>
        <v/>
      </c>
      <c r="E61" s="8">
        <f>IF(ISNA(MATCH(48,Engine!$C$2:$C$1369,0)),"",INDEX('Compliance Database'!$E$2:$E$1369,MATCH(48,Engine!$C$2:$C$1369,0)))</f>
        <v/>
      </c>
      <c r="F61" s="8">
        <f>IF(ISNA(MATCH(48,Engine!$C$2:$C$1369,0)),"",INDEX('Compliance Database'!$F$2:$F$1369,MATCH(48,Engine!$C$2:$C$1369,0)))</f>
        <v/>
      </c>
      <c r="G61" s="8">
        <f>IF(ISNA(MATCH(48,Engine!$C$2:$C$1369,0)),"",INDEX('Compliance Database'!$G$2:$G$1369,MATCH(48,Engine!$C$2:$C$1369,0)))</f>
        <v/>
      </c>
      <c r="H61" s="9">
        <f>IF(ISNA(MATCH(48,Engine!$C$2:$C$1369,0)),"",INDEX('Compliance Database'!$H$2:$H$1369,MATCH(48,Engine!$C$2:$C$1369,0)))</f>
        <v/>
      </c>
      <c r="I61" s="9">
        <f>IF(ISNA(MATCH(48,Engine!$C$2:$C$1369,0)),"",INDEX('Compliance Database'!$I$2:$I$1369,MATCH(48,Engine!$C$2:$C$1369,0)))</f>
        <v/>
      </c>
      <c r="J61" s="8">
        <f>IF(ISNA(MATCH(48,Engine!$C$2:$C$1369,0)),"",INDEX('Compliance Database'!$J$2:$J$1369,MATCH(48,Engine!$C$2:$C$1369,0)))</f>
        <v/>
      </c>
      <c r="K61" s="9">
        <f>IF(ISNA(MATCH(48,Engine!$C$2:$C$1369,0)),"",INDEX('Compliance Database'!$K$2:$K$1369,MATCH(48,Engine!$C$2:$C$1369,0)))</f>
        <v/>
      </c>
      <c r="L61" s="9">
        <f>IF(ISNA(MATCH(48,Engine!$C$2:$C$1369,0)),"",INDEX('Compliance Database'!$L$2:$L$1369,MATCH(48,Engine!$C$2:$C$1369,0)))</f>
        <v/>
      </c>
      <c r="M61" s="9">
        <f>IF(ISNA(MATCH(48,Engine!$C$2:$C$1369,0)),"",INDEX('Compliance Database'!$M$2:$M$1369,MATCH(48,Engine!$C$2:$C$1369,0)))</f>
        <v/>
      </c>
      <c r="N61" s="9">
        <f>IF(ISNA(MATCH(48,Engine!$C$2:$C$1369,0)),"",INDEX('Compliance Database'!$N$2:$N$1369,MATCH(48,Engine!$C$2:$C$1369,0)))</f>
        <v/>
      </c>
      <c r="O61" s="8">
        <f>IF(ISNA(MATCH(48,Engine!$C$2:$C$1369,0)),"",HYPERLINK(INDEX('Compliance Database'!$O$2:$O$1369,MATCH(48,Engine!$C$2:$C$1369,0)),"Open PDF"))</f>
        <v/>
      </c>
    </row>
    <row r="62" ht="188" customHeight="1">
      <c r="A62" s="8">
        <f>IF(ISNA(MATCH(49,Engine!$C$2:$C$1369,0)),"",INDEX('Compliance Database'!$A$2:$A$1369,MATCH(49,Engine!$C$2:$C$1369,0)))</f>
        <v/>
      </c>
      <c r="B62" s="8">
        <f>IF(ISNA(MATCH(49,Engine!$C$2:$C$1369,0)),"",INDEX('Compliance Database'!$B$2:$B$1369,MATCH(49,Engine!$C$2:$C$1369,0)))</f>
        <v/>
      </c>
      <c r="C62" s="8">
        <f>IF(ISNA(MATCH(49,Engine!$C$2:$C$1369,0)),"",INDEX('Compliance Database'!$C$2:$C$1369,MATCH(49,Engine!$C$2:$C$1369,0)))</f>
        <v/>
      </c>
      <c r="D62" s="9">
        <f>IF(ISNA(MATCH(49,Engine!$C$2:$C$1369,0)),"",INDEX('Compliance Database'!$D$2:$D$1369,MATCH(49,Engine!$C$2:$C$1369,0)))</f>
        <v/>
      </c>
      <c r="E62" s="8">
        <f>IF(ISNA(MATCH(49,Engine!$C$2:$C$1369,0)),"",INDEX('Compliance Database'!$E$2:$E$1369,MATCH(49,Engine!$C$2:$C$1369,0)))</f>
        <v/>
      </c>
      <c r="F62" s="8">
        <f>IF(ISNA(MATCH(49,Engine!$C$2:$C$1369,0)),"",INDEX('Compliance Database'!$F$2:$F$1369,MATCH(49,Engine!$C$2:$C$1369,0)))</f>
        <v/>
      </c>
      <c r="G62" s="8">
        <f>IF(ISNA(MATCH(49,Engine!$C$2:$C$1369,0)),"",INDEX('Compliance Database'!$G$2:$G$1369,MATCH(49,Engine!$C$2:$C$1369,0)))</f>
        <v/>
      </c>
      <c r="H62" s="9">
        <f>IF(ISNA(MATCH(49,Engine!$C$2:$C$1369,0)),"",INDEX('Compliance Database'!$H$2:$H$1369,MATCH(49,Engine!$C$2:$C$1369,0)))</f>
        <v/>
      </c>
      <c r="I62" s="9">
        <f>IF(ISNA(MATCH(49,Engine!$C$2:$C$1369,0)),"",INDEX('Compliance Database'!$I$2:$I$1369,MATCH(49,Engine!$C$2:$C$1369,0)))</f>
        <v/>
      </c>
      <c r="J62" s="8">
        <f>IF(ISNA(MATCH(49,Engine!$C$2:$C$1369,0)),"",INDEX('Compliance Database'!$J$2:$J$1369,MATCH(49,Engine!$C$2:$C$1369,0)))</f>
        <v/>
      </c>
      <c r="K62" s="9">
        <f>IF(ISNA(MATCH(49,Engine!$C$2:$C$1369,0)),"",INDEX('Compliance Database'!$K$2:$K$1369,MATCH(49,Engine!$C$2:$C$1369,0)))</f>
        <v/>
      </c>
      <c r="L62" s="9">
        <f>IF(ISNA(MATCH(49,Engine!$C$2:$C$1369,0)),"",INDEX('Compliance Database'!$L$2:$L$1369,MATCH(49,Engine!$C$2:$C$1369,0)))</f>
        <v/>
      </c>
      <c r="M62" s="9">
        <f>IF(ISNA(MATCH(49,Engine!$C$2:$C$1369,0)),"",INDEX('Compliance Database'!$M$2:$M$1369,MATCH(49,Engine!$C$2:$C$1369,0)))</f>
        <v/>
      </c>
      <c r="N62" s="9">
        <f>IF(ISNA(MATCH(49,Engine!$C$2:$C$1369,0)),"",INDEX('Compliance Database'!$N$2:$N$1369,MATCH(49,Engine!$C$2:$C$1369,0)))</f>
        <v/>
      </c>
      <c r="O62" s="8">
        <f>IF(ISNA(MATCH(49,Engine!$C$2:$C$1369,0)),"",HYPERLINK(INDEX('Compliance Database'!$O$2:$O$1369,MATCH(49,Engine!$C$2:$C$1369,0)),"Open PDF"))</f>
        <v/>
      </c>
    </row>
    <row r="63" ht="188" customHeight="1">
      <c r="A63" s="8">
        <f>IF(ISNA(MATCH(50,Engine!$C$2:$C$1369,0)),"",INDEX('Compliance Database'!$A$2:$A$1369,MATCH(50,Engine!$C$2:$C$1369,0)))</f>
        <v/>
      </c>
      <c r="B63" s="8">
        <f>IF(ISNA(MATCH(50,Engine!$C$2:$C$1369,0)),"",INDEX('Compliance Database'!$B$2:$B$1369,MATCH(50,Engine!$C$2:$C$1369,0)))</f>
        <v/>
      </c>
      <c r="C63" s="8">
        <f>IF(ISNA(MATCH(50,Engine!$C$2:$C$1369,0)),"",INDEX('Compliance Database'!$C$2:$C$1369,MATCH(50,Engine!$C$2:$C$1369,0)))</f>
        <v/>
      </c>
      <c r="D63" s="9">
        <f>IF(ISNA(MATCH(50,Engine!$C$2:$C$1369,0)),"",INDEX('Compliance Database'!$D$2:$D$1369,MATCH(50,Engine!$C$2:$C$1369,0)))</f>
        <v/>
      </c>
      <c r="E63" s="8">
        <f>IF(ISNA(MATCH(50,Engine!$C$2:$C$1369,0)),"",INDEX('Compliance Database'!$E$2:$E$1369,MATCH(50,Engine!$C$2:$C$1369,0)))</f>
        <v/>
      </c>
      <c r="F63" s="8">
        <f>IF(ISNA(MATCH(50,Engine!$C$2:$C$1369,0)),"",INDEX('Compliance Database'!$F$2:$F$1369,MATCH(50,Engine!$C$2:$C$1369,0)))</f>
        <v/>
      </c>
      <c r="G63" s="8">
        <f>IF(ISNA(MATCH(50,Engine!$C$2:$C$1369,0)),"",INDEX('Compliance Database'!$G$2:$G$1369,MATCH(50,Engine!$C$2:$C$1369,0)))</f>
        <v/>
      </c>
      <c r="H63" s="9">
        <f>IF(ISNA(MATCH(50,Engine!$C$2:$C$1369,0)),"",INDEX('Compliance Database'!$H$2:$H$1369,MATCH(50,Engine!$C$2:$C$1369,0)))</f>
        <v/>
      </c>
      <c r="I63" s="9">
        <f>IF(ISNA(MATCH(50,Engine!$C$2:$C$1369,0)),"",INDEX('Compliance Database'!$I$2:$I$1369,MATCH(50,Engine!$C$2:$C$1369,0)))</f>
        <v/>
      </c>
      <c r="J63" s="8">
        <f>IF(ISNA(MATCH(50,Engine!$C$2:$C$1369,0)),"",INDEX('Compliance Database'!$J$2:$J$1369,MATCH(50,Engine!$C$2:$C$1369,0)))</f>
        <v/>
      </c>
      <c r="K63" s="9">
        <f>IF(ISNA(MATCH(50,Engine!$C$2:$C$1369,0)),"",INDEX('Compliance Database'!$K$2:$K$1369,MATCH(50,Engine!$C$2:$C$1369,0)))</f>
        <v/>
      </c>
      <c r="L63" s="9">
        <f>IF(ISNA(MATCH(50,Engine!$C$2:$C$1369,0)),"",INDEX('Compliance Database'!$L$2:$L$1369,MATCH(50,Engine!$C$2:$C$1369,0)))</f>
        <v/>
      </c>
      <c r="M63" s="9">
        <f>IF(ISNA(MATCH(50,Engine!$C$2:$C$1369,0)),"",INDEX('Compliance Database'!$M$2:$M$1369,MATCH(50,Engine!$C$2:$C$1369,0)))</f>
        <v/>
      </c>
      <c r="N63" s="9">
        <f>IF(ISNA(MATCH(50,Engine!$C$2:$C$1369,0)),"",INDEX('Compliance Database'!$N$2:$N$1369,MATCH(50,Engine!$C$2:$C$1369,0)))</f>
        <v/>
      </c>
      <c r="O63" s="8">
        <f>IF(ISNA(MATCH(50,Engine!$C$2:$C$1369,0)),"",HYPERLINK(INDEX('Compliance Database'!$O$2:$O$1369,MATCH(50,Engine!$C$2:$C$1369,0)),"Open PDF"))</f>
        <v/>
      </c>
    </row>
    <row r="64" ht="188" customHeight="1">
      <c r="A64" s="8">
        <f>IF(ISNA(MATCH(51,Engine!$C$2:$C$1369,0)),"",INDEX('Compliance Database'!$A$2:$A$1369,MATCH(51,Engine!$C$2:$C$1369,0)))</f>
        <v/>
      </c>
      <c r="B64" s="8">
        <f>IF(ISNA(MATCH(51,Engine!$C$2:$C$1369,0)),"",INDEX('Compliance Database'!$B$2:$B$1369,MATCH(51,Engine!$C$2:$C$1369,0)))</f>
        <v/>
      </c>
      <c r="C64" s="8">
        <f>IF(ISNA(MATCH(51,Engine!$C$2:$C$1369,0)),"",INDEX('Compliance Database'!$C$2:$C$1369,MATCH(51,Engine!$C$2:$C$1369,0)))</f>
        <v/>
      </c>
      <c r="D64" s="9">
        <f>IF(ISNA(MATCH(51,Engine!$C$2:$C$1369,0)),"",INDEX('Compliance Database'!$D$2:$D$1369,MATCH(51,Engine!$C$2:$C$1369,0)))</f>
        <v/>
      </c>
      <c r="E64" s="8">
        <f>IF(ISNA(MATCH(51,Engine!$C$2:$C$1369,0)),"",INDEX('Compliance Database'!$E$2:$E$1369,MATCH(51,Engine!$C$2:$C$1369,0)))</f>
        <v/>
      </c>
      <c r="F64" s="8">
        <f>IF(ISNA(MATCH(51,Engine!$C$2:$C$1369,0)),"",INDEX('Compliance Database'!$F$2:$F$1369,MATCH(51,Engine!$C$2:$C$1369,0)))</f>
        <v/>
      </c>
      <c r="G64" s="8">
        <f>IF(ISNA(MATCH(51,Engine!$C$2:$C$1369,0)),"",INDEX('Compliance Database'!$G$2:$G$1369,MATCH(51,Engine!$C$2:$C$1369,0)))</f>
        <v/>
      </c>
      <c r="H64" s="9">
        <f>IF(ISNA(MATCH(51,Engine!$C$2:$C$1369,0)),"",INDEX('Compliance Database'!$H$2:$H$1369,MATCH(51,Engine!$C$2:$C$1369,0)))</f>
        <v/>
      </c>
      <c r="I64" s="9">
        <f>IF(ISNA(MATCH(51,Engine!$C$2:$C$1369,0)),"",INDEX('Compliance Database'!$I$2:$I$1369,MATCH(51,Engine!$C$2:$C$1369,0)))</f>
        <v/>
      </c>
      <c r="J64" s="8">
        <f>IF(ISNA(MATCH(51,Engine!$C$2:$C$1369,0)),"",INDEX('Compliance Database'!$J$2:$J$1369,MATCH(51,Engine!$C$2:$C$1369,0)))</f>
        <v/>
      </c>
      <c r="K64" s="9">
        <f>IF(ISNA(MATCH(51,Engine!$C$2:$C$1369,0)),"",INDEX('Compliance Database'!$K$2:$K$1369,MATCH(51,Engine!$C$2:$C$1369,0)))</f>
        <v/>
      </c>
      <c r="L64" s="9">
        <f>IF(ISNA(MATCH(51,Engine!$C$2:$C$1369,0)),"",INDEX('Compliance Database'!$L$2:$L$1369,MATCH(51,Engine!$C$2:$C$1369,0)))</f>
        <v/>
      </c>
      <c r="M64" s="9">
        <f>IF(ISNA(MATCH(51,Engine!$C$2:$C$1369,0)),"",INDEX('Compliance Database'!$M$2:$M$1369,MATCH(51,Engine!$C$2:$C$1369,0)))</f>
        <v/>
      </c>
      <c r="N64" s="9">
        <f>IF(ISNA(MATCH(51,Engine!$C$2:$C$1369,0)),"",INDEX('Compliance Database'!$N$2:$N$1369,MATCH(51,Engine!$C$2:$C$1369,0)))</f>
        <v/>
      </c>
      <c r="O64" s="8">
        <f>IF(ISNA(MATCH(51,Engine!$C$2:$C$1369,0)),"",HYPERLINK(INDEX('Compliance Database'!$O$2:$O$1369,MATCH(51,Engine!$C$2:$C$1369,0)),"Open PDF"))</f>
        <v/>
      </c>
    </row>
    <row r="65" ht="188" customHeight="1">
      <c r="A65" s="8">
        <f>IF(ISNA(MATCH(52,Engine!$C$2:$C$1369,0)),"",INDEX('Compliance Database'!$A$2:$A$1369,MATCH(52,Engine!$C$2:$C$1369,0)))</f>
        <v/>
      </c>
      <c r="B65" s="8">
        <f>IF(ISNA(MATCH(52,Engine!$C$2:$C$1369,0)),"",INDEX('Compliance Database'!$B$2:$B$1369,MATCH(52,Engine!$C$2:$C$1369,0)))</f>
        <v/>
      </c>
      <c r="C65" s="8">
        <f>IF(ISNA(MATCH(52,Engine!$C$2:$C$1369,0)),"",INDEX('Compliance Database'!$C$2:$C$1369,MATCH(52,Engine!$C$2:$C$1369,0)))</f>
        <v/>
      </c>
      <c r="D65" s="9">
        <f>IF(ISNA(MATCH(52,Engine!$C$2:$C$1369,0)),"",INDEX('Compliance Database'!$D$2:$D$1369,MATCH(52,Engine!$C$2:$C$1369,0)))</f>
        <v/>
      </c>
      <c r="E65" s="8">
        <f>IF(ISNA(MATCH(52,Engine!$C$2:$C$1369,0)),"",INDEX('Compliance Database'!$E$2:$E$1369,MATCH(52,Engine!$C$2:$C$1369,0)))</f>
        <v/>
      </c>
      <c r="F65" s="8">
        <f>IF(ISNA(MATCH(52,Engine!$C$2:$C$1369,0)),"",INDEX('Compliance Database'!$F$2:$F$1369,MATCH(52,Engine!$C$2:$C$1369,0)))</f>
        <v/>
      </c>
      <c r="G65" s="8">
        <f>IF(ISNA(MATCH(52,Engine!$C$2:$C$1369,0)),"",INDEX('Compliance Database'!$G$2:$G$1369,MATCH(52,Engine!$C$2:$C$1369,0)))</f>
        <v/>
      </c>
      <c r="H65" s="9">
        <f>IF(ISNA(MATCH(52,Engine!$C$2:$C$1369,0)),"",INDEX('Compliance Database'!$H$2:$H$1369,MATCH(52,Engine!$C$2:$C$1369,0)))</f>
        <v/>
      </c>
      <c r="I65" s="9">
        <f>IF(ISNA(MATCH(52,Engine!$C$2:$C$1369,0)),"",INDEX('Compliance Database'!$I$2:$I$1369,MATCH(52,Engine!$C$2:$C$1369,0)))</f>
        <v/>
      </c>
      <c r="J65" s="8">
        <f>IF(ISNA(MATCH(52,Engine!$C$2:$C$1369,0)),"",INDEX('Compliance Database'!$J$2:$J$1369,MATCH(52,Engine!$C$2:$C$1369,0)))</f>
        <v/>
      </c>
      <c r="K65" s="9">
        <f>IF(ISNA(MATCH(52,Engine!$C$2:$C$1369,0)),"",INDEX('Compliance Database'!$K$2:$K$1369,MATCH(52,Engine!$C$2:$C$1369,0)))</f>
        <v/>
      </c>
      <c r="L65" s="9">
        <f>IF(ISNA(MATCH(52,Engine!$C$2:$C$1369,0)),"",INDEX('Compliance Database'!$L$2:$L$1369,MATCH(52,Engine!$C$2:$C$1369,0)))</f>
        <v/>
      </c>
      <c r="M65" s="9">
        <f>IF(ISNA(MATCH(52,Engine!$C$2:$C$1369,0)),"",INDEX('Compliance Database'!$M$2:$M$1369,MATCH(52,Engine!$C$2:$C$1369,0)))</f>
        <v/>
      </c>
      <c r="N65" s="9">
        <f>IF(ISNA(MATCH(52,Engine!$C$2:$C$1369,0)),"",INDEX('Compliance Database'!$N$2:$N$1369,MATCH(52,Engine!$C$2:$C$1369,0)))</f>
        <v/>
      </c>
      <c r="O65" s="8">
        <f>IF(ISNA(MATCH(52,Engine!$C$2:$C$1369,0)),"",HYPERLINK(INDEX('Compliance Database'!$O$2:$O$1369,MATCH(52,Engine!$C$2:$C$1369,0)),"Open PDF"))</f>
        <v/>
      </c>
    </row>
    <row r="66" ht="188" customHeight="1">
      <c r="A66" s="8">
        <f>IF(ISNA(MATCH(53,Engine!$C$2:$C$1369,0)),"",INDEX('Compliance Database'!$A$2:$A$1369,MATCH(53,Engine!$C$2:$C$1369,0)))</f>
        <v/>
      </c>
      <c r="B66" s="8">
        <f>IF(ISNA(MATCH(53,Engine!$C$2:$C$1369,0)),"",INDEX('Compliance Database'!$B$2:$B$1369,MATCH(53,Engine!$C$2:$C$1369,0)))</f>
        <v/>
      </c>
      <c r="C66" s="8">
        <f>IF(ISNA(MATCH(53,Engine!$C$2:$C$1369,0)),"",INDEX('Compliance Database'!$C$2:$C$1369,MATCH(53,Engine!$C$2:$C$1369,0)))</f>
        <v/>
      </c>
      <c r="D66" s="9">
        <f>IF(ISNA(MATCH(53,Engine!$C$2:$C$1369,0)),"",INDEX('Compliance Database'!$D$2:$D$1369,MATCH(53,Engine!$C$2:$C$1369,0)))</f>
        <v/>
      </c>
      <c r="E66" s="8">
        <f>IF(ISNA(MATCH(53,Engine!$C$2:$C$1369,0)),"",INDEX('Compliance Database'!$E$2:$E$1369,MATCH(53,Engine!$C$2:$C$1369,0)))</f>
        <v/>
      </c>
      <c r="F66" s="8">
        <f>IF(ISNA(MATCH(53,Engine!$C$2:$C$1369,0)),"",INDEX('Compliance Database'!$F$2:$F$1369,MATCH(53,Engine!$C$2:$C$1369,0)))</f>
        <v/>
      </c>
      <c r="G66" s="8">
        <f>IF(ISNA(MATCH(53,Engine!$C$2:$C$1369,0)),"",INDEX('Compliance Database'!$G$2:$G$1369,MATCH(53,Engine!$C$2:$C$1369,0)))</f>
        <v/>
      </c>
      <c r="H66" s="9">
        <f>IF(ISNA(MATCH(53,Engine!$C$2:$C$1369,0)),"",INDEX('Compliance Database'!$H$2:$H$1369,MATCH(53,Engine!$C$2:$C$1369,0)))</f>
        <v/>
      </c>
      <c r="I66" s="9">
        <f>IF(ISNA(MATCH(53,Engine!$C$2:$C$1369,0)),"",INDEX('Compliance Database'!$I$2:$I$1369,MATCH(53,Engine!$C$2:$C$1369,0)))</f>
        <v/>
      </c>
      <c r="J66" s="8">
        <f>IF(ISNA(MATCH(53,Engine!$C$2:$C$1369,0)),"",INDEX('Compliance Database'!$J$2:$J$1369,MATCH(53,Engine!$C$2:$C$1369,0)))</f>
        <v/>
      </c>
      <c r="K66" s="9">
        <f>IF(ISNA(MATCH(53,Engine!$C$2:$C$1369,0)),"",INDEX('Compliance Database'!$K$2:$K$1369,MATCH(53,Engine!$C$2:$C$1369,0)))</f>
        <v/>
      </c>
      <c r="L66" s="9">
        <f>IF(ISNA(MATCH(53,Engine!$C$2:$C$1369,0)),"",INDEX('Compliance Database'!$L$2:$L$1369,MATCH(53,Engine!$C$2:$C$1369,0)))</f>
        <v/>
      </c>
      <c r="M66" s="9">
        <f>IF(ISNA(MATCH(53,Engine!$C$2:$C$1369,0)),"",INDEX('Compliance Database'!$M$2:$M$1369,MATCH(53,Engine!$C$2:$C$1369,0)))</f>
        <v/>
      </c>
      <c r="N66" s="9">
        <f>IF(ISNA(MATCH(53,Engine!$C$2:$C$1369,0)),"",INDEX('Compliance Database'!$N$2:$N$1369,MATCH(53,Engine!$C$2:$C$1369,0)))</f>
        <v/>
      </c>
      <c r="O66" s="8">
        <f>IF(ISNA(MATCH(53,Engine!$C$2:$C$1369,0)),"",HYPERLINK(INDEX('Compliance Database'!$O$2:$O$1369,MATCH(53,Engine!$C$2:$C$1369,0)),"Open PDF"))</f>
        <v/>
      </c>
    </row>
    <row r="67" ht="188" customHeight="1">
      <c r="A67" s="8">
        <f>IF(ISNA(MATCH(54,Engine!$C$2:$C$1369,0)),"",INDEX('Compliance Database'!$A$2:$A$1369,MATCH(54,Engine!$C$2:$C$1369,0)))</f>
        <v/>
      </c>
      <c r="B67" s="8">
        <f>IF(ISNA(MATCH(54,Engine!$C$2:$C$1369,0)),"",INDEX('Compliance Database'!$B$2:$B$1369,MATCH(54,Engine!$C$2:$C$1369,0)))</f>
        <v/>
      </c>
      <c r="C67" s="8">
        <f>IF(ISNA(MATCH(54,Engine!$C$2:$C$1369,0)),"",INDEX('Compliance Database'!$C$2:$C$1369,MATCH(54,Engine!$C$2:$C$1369,0)))</f>
        <v/>
      </c>
      <c r="D67" s="9">
        <f>IF(ISNA(MATCH(54,Engine!$C$2:$C$1369,0)),"",INDEX('Compliance Database'!$D$2:$D$1369,MATCH(54,Engine!$C$2:$C$1369,0)))</f>
        <v/>
      </c>
      <c r="E67" s="8">
        <f>IF(ISNA(MATCH(54,Engine!$C$2:$C$1369,0)),"",INDEX('Compliance Database'!$E$2:$E$1369,MATCH(54,Engine!$C$2:$C$1369,0)))</f>
        <v/>
      </c>
      <c r="F67" s="8">
        <f>IF(ISNA(MATCH(54,Engine!$C$2:$C$1369,0)),"",INDEX('Compliance Database'!$F$2:$F$1369,MATCH(54,Engine!$C$2:$C$1369,0)))</f>
        <v/>
      </c>
      <c r="G67" s="8">
        <f>IF(ISNA(MATCH(54,Engine!$C$2:$C$1369,0)),"",INDEX('Compliance Database'!$G$2:$G$1369,MATCH(54,Engine!$C$2:$C$1369,0)))</f>
        <v/>
      </c>
      <c r="H67" s="9">
        <f>IF(ISNA(MATCH(54,Engine!$C$2:$C$1369,0)),"",INDEX('Compliance Database'!$H$2:$H$1369,MATCH(54,Engine!$C$2:$C$1369,0)))</f>
        <v/>
      </c>
      <c r="I67" s="9">
        <f>IF(ISNA(MATCH(54,Engine!$C$2:$C$1369,0)),"",INDEX('Compliance Database'!$I$2:$I$1369,MATCH(54,Engine!$C$2:$C$1369,0)))</f>
        <v/>
      </c>
      <c r="J67" s="8">
        <f>IF(ISNA(MATCH(54,Engine!$C$2:$C$1369,0)),"",INDEX('Compliance Database'!$J$2:$J$1369,MATCH(54,Engine!$C$2:$C$1369,0)))</f>
        <v/>
      </c>
      <c r="K67" s="9">
        <f>IF(ISNA(MATCH(54,Engine!$C$2:$C$1369,0)),"",INDEX('Compliance Database'!$K$2:$K$1369,MATCH(54,Engine!$C$2:$C$1369,0)))</f>
        <v/>
      </c>
      <c r="L67" s="9">
        <f>IF(ISNA(MATCH(54,Engine!$C$2:$C$1369,0)),"",INDEX('Compliance Database'!$L$2:$L$1369,MATCH(54,Engine!$C$2:$C$1369,0)))</f>
        <v/>
      </c>
      <c r="M67" s="9">
        <f>IF(ISNA(MATCH(54,Engine!$C$2:$C$1369,0)),"",INDEX('Compliance Database'!$M$2:$M$1369,MATCH(54,Engine!$C$2:$C$1369,0)))</f>
        <v/>
      </c>
      <c r="N67" s="9">
        <f>IF(ISNA(MATCH(54,Engine!$C$2:$C$1369,0)),"",INDEX('Compliance Database'!$N$2:$N$1369,MATCH(54,Engine!$C$2:$C$1369,0)))</f>
        <v/>
      </c>
      <c r="O67" s="8">
        <f>IF(ISNA(MATCH(54,Engine!$C$2:$C$1369,0)),"",HYPERLINK(INDEX('Compliance Database'!$O$2:$O$1369,MATCH(54,Engine!$C$2:$C$1369,0)),"Open PDF"))</f>
        <v/>
      </c>
    </row>
    <row r="68" ht="188" customHeight="1">
      <c r="A68" s="8">
        <f>IF(ISNA(MATCH(55,Engine!$C$2:$C$1369,0)),"",INDEX('Compliance Database'!$A$2:$A$1369,MATCH(55,Engine!$C$2:$C$1369,0)))</f>
        <v/>
      </c>
      <c r="B68" s="8">
        <f>IF(ISNA(MATCH(55,Engine!$C$2:$C$1369,0)),"",INDEX('Compliance Database'!$B$2:$B$1369,MATCH(55,Engine!$C$2:$C$1369,0)))</f>
        <v/>
      </c>
      <c r="C68" s="8">
        <f>IF(ISNA(MATCH(55,Engine!$C$2:$C$1369,0)),"",INDEX('Compliance Database'!$C$2:$C$1369,MATCH(55,Engine!$C$2:$C$1369,0)))</f>
        <v/>
      </c>
      <c r="D68" s="9">
        <f>IF(ISNA(MATCH(55,Engine!$C$2:$C$1369,0)),"",INDEX('Compliance Database'!$D$2:$D$1369,MATCH(55,Engine!$C$2:$C$1369,0)))</f>
        <v/>
      </c>
      <c r="E68" s="8">
        <f>IF(ISNA(MATCH(55,Engine!$C$2:$C$1369,0)),"",INDEX('Compliance Database'!$E$2:$E$1369,MATCH(55,Engine!$C$2:$C$1369,0)))</f>
        <v/>
      </c>
      <c r="F68" s="8">
        <f>IF(ISNA(MATCH(55,Engine!$C$2:$C$1369,0)),"",INDEX('Compliance Database'!$F$2:$F$1369,MATCH(55,Engine!$C$2:$C$1369,0)))</f>
        <v/>
      </c>
      <c r="G68" s="8">
        <f>IF(ISNA(MATCH(55,Engine!$C$2:$C$1369,0)),"",INDEX('Compliance Database'!$G$2:$G$1369,MATCH(55,Engine!$C$2:$C$1369,0)))</f>
        <v/>
      </c>
      <c r="H68" s="9">
        <f>IF(ISNA(MATCH(55,Engine!$C$2:$C$1369,0)),"",INDEX('Compliance Database'!$H$2:$H$1369,MATCH(55,Engine!$C$2:$C$1369,0)))</f>
        <v/>
      </c>
      <c r="I68" s="9">
        <f>IF(ISNA(MATCH(55,Engine!$C$2:$C$1369,0)),"",INDEX('Compliance Database'!$I$2:$I$1369,MATCH(55,Engine!$C$2:$C$1369,0)))</f>
        <v/>
      </c>
      <c r="J68" s="8">
        <f>IF(ISNA(MATCH(55,Engine!$C$2:$C$1369,0)),"",INDEX('Compliance Database'!$J$2:$J$1369,MATCH(55,Engine!$C$2:$C$1369,0)))</f>
        <v/>
      </c>
      <c r="K68" s="9">
        <f>IF(ISNA(MATCH(55,Engine!$C$2:$C$1369,0)),"",INDEX('Compliance Database'!$K$2:$K$1369,MATCH(55,Engine!$C$2:$C$1369,0)))</f>
        <v/>
      </c>
      <c r="L68" s="9">
        <f>IF(ISNA(MATCH(55,Engine!$C$2:$C$1369,0)),"",INDEX('Compliance Database'!$L$2:$L$1369,MATCH(55,Engine!$C$2:$C$1369,0)))</f>
        <v/>
      </c>
      <c r="M68" s="9">
        <f>IF(ISNA(MATCH(55,Engine!$C$2:$C$1369,0)),"",INDEX('Compliance Database'!$M$2:$M$1369,MATCH(55,Engine!$C$2:$C$1369,0)))</f>
        <v/>
      </c>
      <c r="N68" s="9">
        <f>IF(ISNA(MATCH(55,Engine!$C$2:$C$1369,0)),"",INDEX('Compliance Database'!$N$2:$N$1369,MATCH(55,Engine!$C$2:$C$1369,0)))</f>
        <v/>
      </c>
      <c r="O68" s="8">
        <f>IF(ISNA(MATCH(55,Engine!$C$2:$C$1369,0)),"",HYPERLINK(INDEX('Compliance Database'!$O$2:$O$1369,MATCH(55,Engine!$C$2:$C$1369,0)),"Open PDF"))</f>
        <v/>
      </c>
    </row>
    <row r="69" ht="188" customHeight="1">
      <c r="A69" s="8">
        <f>IF(ISNA(MATCH(56,Engine!$C$2:$C$1369,0)),"",INDEX('Compliance Database'!$A$2:$A$1369,MATCH(56,Engine!$C$2:$C$1369,0)))</f>
        <v/>
      </c>
      <c r="B69" s="8">
        <f>IF(ISNA(MATCH(56,Engine!$C$2:$C$1369,0)),"",INDEX('Compliance Database'!$B$2:$B$1369,MATCH(56,Engine!$C$2:$C$1369,0)))</f>
        <v/>
      </c>
      <c r="C69" s="8">
        <f>IF(ISNA(MATCH(56,Engine!$C$2:$C$1369,0)),"",INDEX('Compliance Database'!$C$2:$C$1369,MATCH(56,Engine!$C$2:$C$1369,0)))</f>
        <v/>
      </c>
      <c r="D69" s="9">
        <f>IF(ISNA(MATCH(56,Engine!$C$2:$C$1369,0)),"",INDEX('Compliance Database'!$D$2:$D$1369,MATCH(56,Engine!$C$2:$C$1369,0)))</f>
        <v/>
      </c>
      <c r="E69" s="8">
        <f>IF(ISNA(MATCH(56,Engine!$C$2:$C$1369,0)),"",INDEX('Compliance Database'!$E$2:$E$1369,MATCH(56,Engine!$C$2:$C$1369,0)))</f>
        <v/>
      </c>
      <c r="F69" s="8">
        <f>IF(ISNA(MATCH(56,Engine!$C$2:$C$1369,0)),"",INDEX('Compliance Database'!$F$2:$F$1369,MATCH(56,Engine!$C$2:$C$1369,0)))</f>
        <v/>
      </c>
      <c r="G69" s="8">
        <f>IF(ISNA(MATCH(56,Engine!$C$2:$C$1369,0)),"",INDEX('Compliance Database'!$G$2:$G$1369,MATCH(56,Engine!$C$2:$C$1369,0)))</f>
        <v/>
      </c>
      <c r="H69" s="9">
        <f>IF(ISNA(MATCH(56,Engine!$C$2:$C$1369,0)),"",INDEX('Compliance Database'!$H$2:$H$1369,MATCH(56,Engine!$C$2:$C$1369,0)))</f>
        <v/>
      </c>
      <c r="I69" s="9">
        <f>IF(ISNA(MATCH(56,Engine!$C$2:$C$1369,0)),"",INDEX('Compliance Database'!$I$2:$I$1369,MATCH(56,Engine!$C$2:$C$1369,0)))</f>
        <v/>
      </c>
      <c r="J69" s="8">
        <f>IF(ISNA(MATCH(56,Engine!$C$2:$C$1369,0)),"",INDEX('Compliance Database'!$J$2:$J$1369,MATCH(56,Engine!$C$2:$C$1369,0)))</f>
        <v/>
      </c>
      <c r="K69" s="9">
        <f>IF(ISNA(MATCH(56,Engine!$C$2:$C$1369,0)),"",INDEX('Compliance Database'!$K$2:$K$1369,MATCH(56,Engine!$C$2:$C$1369,0)))</f>
        <v/>
      </c>
      <c r="L69" s="9">
        <f>IF(ISNA(MATCH(56,Engine!$C$2:$C$1369,0)),"",INDEX('Compliance Database'!$L$2:$L$1369,MATCH(56,Engine!$C$2:$C$1369,0)))</f>
        <v/>
      </c>
      <c r="M69" s="9">
        <f>IF(ISNA(MATCH(56,Engine!$C$2:$C$1369,0)),"",INDEX('Compliance Database'!$M$2:$M$1369,MATCH(56,Engine!$C$2:$C$1369,0)))</f>
        <v/>
      </c>
      <c r="N69" s="9">
        <f>IF(ISNA(MATCH(56,Engine!$C$2:$C$1369,0)),"",INDEX('Compliance Database'!$N$2:$N$1369,MATCH(56,Engine!$C$2:$C$1369,0)))</f>
        <v/>
      </c>
      <c r="O69" s="8">
        <f>IF(ISNA(MATCH(56,Engine!$C$2:$C$1369,0)),"",HYPERLINK(INDEX('Compliance Database'!$O$2:$O$1369,MATCH(56,Engine!$C$2:$C$1369,0)),"Open PDF"))</f>
        <v/>
      </c>
    </row>
    <row r="70" ht="188" customHeight="1">
      <c r="A70" s="8">
        <f>IF(ISNA(MATCH(57,Engine!$C$2:$C$1369,0)),"",INDEX('Compliance Database'!$A$2:$A$1369,MATCH(57,Engine!$C$2:$C$1369,0)))</f>
        <v/>
      </c>
      <c r="B70" s="8">
        <f>IF(ISNA(MATCH(57,Engine!$C$2:$C$1369,0)),"",INDEX('Compliance Database'!$B$2:$B$1369,MATCH(57,Engine!$C$2:$C$1369,0)))</f>
        <v/>
      </c>
      <c r="C70" s="8">
        <f>IF(ISNA(MATCH(57,Engine!$C$2:$C$1369,0)),"",INDEX('Compliance Database'!$C$2:$C$1369,MATCH(57,Engine!$C$2:$C$1369,0)))</f>
        <v/>
      </c>
      <c r="D70" s="9">
        <f>IF(ISNA(MATCH(57,Engine!$C$2:$C$1369,0)),"",INDEX('Compliance Database'!$D$2:$D$1369,MATCH(57,Engine!$C$2:$C$1369,0)))</f>
        <v/>
      </c>
      <c r="E70" s="8">
        <f>IF(ISNA(MATCH(57,Engine!$C$2:$C$1369,0)),"",INDEX('Compliance Database'!$E$2:$E$1369,MATCH(57,Engine!$C$2:$C$1369,0)))</f>
        <v/>
      </c>
      <c r="F70" s="8">
        <f>IF(ISNA(MATCH(57,Engine!$C$2:$C$1369,0)),"",INDEX('Compliance Database'!$F$2:$F$1369,MATCH(57,Engine!$C$2:$C$1369,0)))</f>
        <v/>
      </c>
      <c r="G70" s="8">
        <f>IF(ISNA(MATCH(57,Engine!$C$2:$C$1369,0)),"",INDEX('Compliance Database'!$G$2:$G$1369,MATCH(57,Engine!$C$2:$C$1369,0)))</f>
        <v/>
      </c>
      <c r="H70" s="9">
        <f>IF(ISNA(MATCH(57,Engine!$C$2:$C$1369,0)),"",INDEX('Compliance Database'!$H$2:$H$1369,MATCH(57,Engine!$C$2:$C$1369,0)))</f>
        <v/>
      </c>
      <c r="I70" s="9">
        <f>IF(ISNA(MATCH(57,Engine!$C$2:$C$1369,0)),"",INDEX('Compliance Database'!$I$2:$I$1369,MATCH(57,Engine!$C$2:$C$1369,0)))</f>
        <v/>
      </c>
      <c r="J70" s="8">
        <f>IF(ISNA(MATCH(57,Engine!$C$2:$C$1369,0)),"",INDEX('Compliance Database'!$J$2:$J$1369,MATCH(57,Engine!$C$2:$C$1369,0)))</f>
        <v/>
      </c>
      <c r="K70" s="9">
        <f>IF(ISNA(MATCH(57,Engine!$C$2:$C$1369,0)),"",INDEX('Compliance Database'!$K$2:$K$1369,MATCH(57,Engine!$C$2:$C$1369,0)))</f>
        <v/>
      </c>
      <c r="L70" s="9">
        <f>IF(ISNA(MATCH(57,Engine!$C$2:$C$1369,0)),"",INDEX('Compliance Database'!$L$2:$L$1369,MATCH(57,Engine!$C$2:$C$1369,0)))</f>
        <v/>
      </c>
      <c r="M70" s="9">
        <f>IF(ISNA(MATCH(57,Engine!$C$2:$C$1369,0)),"",INDEX('Compliance Database'!$M$2:$M$1369,MATCH(57,Engine!$C$2:$C$1369,0)))</f>
        <v/>
      </c>
      <c r="N70" s="9">
        <f>IF(ISNA(MATCH(57,Engine!$C$2:$C$1369,0)),"",INDEX('Compliance Database'!$N$2:$N$1369,MATCH(57,Engine!$C$2:$C$1369,0)))</f>
        <v/>
      </c>
      <c r="O70" s="8">
        <f>IF(ISNA(MATCH(57,Engine!$C$2:$C$1369,0)),"",HYPERLINK(INDEX('Compliance Database'!$O$2:$O$1369,MATCH(57,Engine!$C$2:$C$1369,0)),"Open PDF"))</f>
        <v/>
      </c>
    </row>
    <row r="71" ht="188" customHeight="1">
      <c r="A71" s="8">
        <f>IF(ISNA(MATCH(58,Engine!$C$2:$C$1369,0)),"",INDEX('Compliance Database'!$A$2:$A$1369,MATCH(58,Engine!$C$2:$C$1369,0)))</f>
        <v/>
      </c>
      <c r="B71" s="8">
        <f>IF(ISNA(MATCH(58,Engine!$C$2:$C$1369,0)),"",INDEX('Compliance Database'!$B$2:$B$1369,MATCH(58,Engine!$C$2:$C$1369,0)))</f>
        <v/>
      </c>
      <c r="C71" s="8">
        <f>IF(ISNA(MATCH(58,Engine!$C$2:$C$1369,0)),"",INDEX('Compliance Database'!$C$2:$C$1369,MATCH(58,Engine!$C$2:$C$1369,0)))</f>
        <v/>
      </c>
      <c r="D71" s="9">
        <f>IF(ISNA(MATCH(58,Engine!$C$2:$C$1369,0)),"",INDEX('Compliance Database'!$D$2:$D$1369,MATCH(58,Engine!$C$2:$C$1369,0)))</f>
        <v/>
      </c>
      <c r="E71" s="8">
        <f>IF(ISNA(MATCH(58,Engine!$C$2:$C$1369,0)),"",INDEX('Compliance Database'!$E$2:$E$1369,MATCH(58,Engine!$C$2:$C$1369,0)))</f>
        <v/>
      </c>
      <c r="F71" s="8">
        <f>IF(ISNA(MATCH(58,Engine!$C$2:$C$1369,0)),"",INDEX('Compliance Database'!$F$2:$F$1369,MATCH(58,Engine!$C$2:$C$1369,0)))</f>
        <v/>
      </c>
      <c r="G71" s="8">
        <f>IF(ISNA(MATCH(58,Engine!$C$2:$C$1369,0)),"",INDEX('Compliance Database'!$G$2:$G$1369,MATCH(58,Engine!$C$2:$C$1369,0)))</f>
        <v/>
      </c>
      <c r="H71" s="9">
        <f>IF(ISNA(MATCH(58,Engine!$C$2:$C$1369,0)),"",INDEX('Compliance Database'!$H$2:$H$1369,MATCH(58,Engine!$C$2:$C$1369,0)))</f>
        <v/>
      </c>
      <c r="I71" s="9">
        <f>IF(ISNA(MATCH(58,Engine!$C$2:$C$1369,0)),"",INDEX('Compliance Database'!$I$2:$I$1369,MATCH(58,Engine!$C$2:$C$1369,0)))</f>
        <v/>
      </c>
      <c r="J71" s="8">
        <f>IF(ISNA(MATCH(58,Engine!$C$2:$C$1369,0)),"",INDEX('Compliance Database'!$J$2:$J$1369,MATCH(58,Engine!$C$2:$C$1369,0)))</f>
        <v/>
      </c>
      <c r="K71" s="9">
        <f>IF(ISNA(MATCH(58,Engine!$C$2:$C$1369,0)),"",INDEX('Compliance Database'!$K$2:$K$1369,MATCH(58,Engine!$C$2:$C$1369,0)))</f>
        <v/>
      </c>
      <c r="L71" s="9">
        <f>IF(ISNA(MATCH(58,Engine!$C$2:$C$1369,0)),"",INDEX('Compliance Database'!$L$2:$L$1369,MATCH(58,Engine!$C$2:$C$1369,0)))</f>
        <v/>
      </c>
      <c r="M71" s="9">
        <f>IF(ISNA(MATCH(58,Engine!$C$2:$C$1369,0)),"",INDEX('Compliance Database'!$M$2:$M$1369,MATCH(58,Engine!$C$2:$C$1369,0)))</f>
        <v/>
      </c>
      <c r="N71" s="9">
        <f>IF(ISNA(MATCH(58,Engine!$C$2:$C$1369,0)),"",INDEX('Compliance Database'!$N$2:$N$1369,MATCH(58,Engine!$C$2:$C$1369,0)))</f>
        <v/>
      </c>
      <c r="O71" s="8">
        <f>IF(ISNA(MATCH(58,Engine!$C$2:$C$1369,0)),"",HYPERLINK(INDEX('Compliance Database'!$O$2:$O$1369,MATCH(58,Engine!$C$2:$C$1369,0)),"Open PDF"))</f>
        <v/>
      </c>
    </row>
    <row r="72" ht="188" customHeight="1">
      <c r="A72" s="8">
        <f>IF(ISNA(MATCH(59,Engine!$C$2:$C$1369,0)),"",INDEX('Compliance Database'!$A$2:$A$1369,MATCH(59,Engine!$C$2:$C$1369,0)))</f>
        <v/>
      </c>
      <c r="B72" s="8">
        <f>IF(ISNA(MATCH(59,Engine!$C$2:$C$1369,0)),"",INDEX('Compliance Database'!$B$2:$B$1369,MATCH(59,Engine!$C$2:$C$1369,0)))</f>
        <v/>
      </c>
      <c r="C72" s="8">
        <f>IF(ISNA(MATCH(59,Engine!$C$2:$C$1369,0)),"",INDEX('Compliance Database'!$C$2:$C$1369,MATCH(59,Engine!$C$2:$C$1369,0)))</f>
        <v/>
      </c>
      <c r="D72" s="9">
        <f>IF(ISNA(MATCH(59,Engine!$C$2:$C$1369,0)),"",INDEX('Compliance Database'!$D$2:$D$1369,MATCH(59,Engine!$C$2:$C$1369,0)))</f>
        <v/>
      </c>
      <c r="E72" s="8">
        <f>IF(ISNA(MATCH(59,Engine!$C$2:$C$1369,0)),"",INDEX('Compliance Database'!$E$2:$E$1369,MATCH(59,Engine!$C$2:$C$1369,0)))</f>
        <v/>
      </c>
      <c r="F72" s="8">
        <f>IF(ISNA(MATCH(59,Engine!$C$2:$C$1369,0)),"",INDEX('Compliance Database'!$F$2:$F$1369,MATCH(59,Engine!$C$2:$C$1369,0)))</f>
        <v/>
      </c>
      <c r="G72" s="8">
        <f>IF(ISNA(MATCH(59,Engine!$C$2:$C$1369,0)),"",INDEX('Compliance Database'!$G$2:$G$1369,MATCH(59,Engine!$C$2:$C$1369,0)))</f>
        <v/>
      </c>
      <c r="H72" s="9">
        <f>IF(ISNA(MATCH(59,Engine!$C$2:$C$1369,0)),"",INDEX('Compliance Database'!$H$2:$H$1369,MATCH(59,Engine!$C$2:$C$1369,0)))</f>
        <v/>
      </c>
      <c r="I72" s="9">
        <f>IF(ISNA(MATCH(59,Engine!$C$2:$C$1369,0)),"",INDEX('Compliance Database'!$I$2:$I$1369,MATCH(59,Engine!$C$2:$C$1369,0)))</f>
        <v/>
      </c>
      <c r="J72" s="8">
        <f>IF(ISNA(MATCH(59,Engine!$C$2:$C$1369,0)),"",INDEX('Compliance Database'!$J$2:$J$1369,MATCH(59,Engine!$C$2:$C$1369,0)))</f>
        <v/>
      </c>
      <c r="K72" s="9">
        <f>IF(ISNA(MATCH(59,Engine!$C$2:$C$1369,0)),"",INDEX('Compliance Database'!$K$2:$K$1369,MATCH(59,Engine!$C$2:$C$1369,0)))</f>
        <v/>
      </c>
      <c r="L72" s="9">
        <f>IF(ISNA(MATCH(59,Engine!$C$2:$C$1369,0)),"",INDEX('Compliance Database'!$L$2:$L$1369,MATCH(59,Engine!$C$2:$C$1369,0)))</f>
        <v/>
      </c>
      <c r="M72" s="9">
        <f>IF(ISNA(MATCH(59,Engine!$C$2:$C$1369,0)),"",INDEX('Compliance Database'!$M$2:$M$1369,MATCH(59,Engine!$C$2:$C$1369,0)))</f>
        <v/>
      </c>
      <c r="N72" s="9">
        <f>IF(ISNA(MATCH(59,Engine!$C$2:$C$1369,0)),"",INDEX('Compliance Database'!$N$2:$N$1369,MATCH(59,Engine!$C$2:$C$1369,0)))</f>
        <v/>
      </c>
      <c r="O72" s="8">
        <f>IF(ISNA(MATCH(59,Engine!$C$2:$C$1369,0)),"",HYPERLINK(INDEX('Compliance Database'!$O$2:$O$1369,MATCH(59,Engine!$C$2:$C$1369,0)),"Open PDF"))</f>
        <v/>
      </c>
    </row>
    <row r="73" ht="188" customHeight="1">
      <c r="A73" s="8">
        <f>IF(ISNA(MATCH(60,Engine!$C$2:$C$1369,0)),"",INDEX('Compliance Database'!$A$2:$A$1369,MATCH(60,Engine!$C$2:$C$1369,0)))</f>
        <v/>
      </c>
      <c r="B73" s="8">
        <f>IF(ISNA(MATCH(60,Engine!$C$2:$C$1369,0)),"",INDEX('Compliance Database'!$B$2:$B$1369,MATCH(60,Engine!$C$2:$C$1369,0)))</f>
        <v/>
      </c>
      <c r="C73" s="8">
        <f>IF(ISNA(MATCH(60,Engine!$C$2:$C$1369,0)),"",INDEX('Compliance Database'!$C$2:$C$1369,MATCH(60,Engine!$C$2:$C$1369,0)))</f>
        <v/>
      </c>
      <c r="D73" s="9">
        <f>IF(ISNA(MATCH(60,Engine!$C$2:$C$1369,0)),"",INDEX('Compliance Database'!$D$2:$D$1369,MATCH(60,Engine!$C$2:$C$1369,0)))</f>
        <v/>
      </c>
      <c r="E73" s="8">
        <f>IF(ISNA(MATCH(60,Engine!$C$2:$C$1369,0)),"",INDEX('Compliance Database'!$E$2:$E$1369,MATCH(60,Engine!$C$2:$C$1369,0)))</f>
        <v/>
      </c>
      <c r="F73" s="8">
        <f>IF(ISNA(MATCH(60,Engine!$C$2:$C$1369,0)),"",INDEX('Compliance Database'!$F$2:$F$1369,MATCH(60,Engine!$C$2:$C$1369,0)))</f>
        <v/>
      </c>
      <c r="G73" s="8">
        <f>IF(ISNA(MATCH(60,Engine!$C$2:$C$1369,0)),"",INDEX('Compliance Database'!$G$2:$G$1369,MATCH(60,Engine!$C$2:$C$1369,0)))</f>
        <v/>
      </c>
      <c r="H73" s="9">
        <f>IF(ISNA(MATCH(60,Engine!$C$2:$C$1369,0)),"",INDEX('Compliance Database'!$H$2:$H$1369,MATCH(60,Engine!$C$2:$C$1369,0)))</f>
        <v/>
      </c>
      <c r="I73" s="9">
        <f>IF(ISNA(MATCH(60,Engine!$C$2:$C$1369,0)),"",INDEX('Compliance Database'!$I$2:$I$1369,MATCH(60,Engine!$C$2:$C$1369,0)))</f>
        <v/>
      </c>
      <c r="J73" s="8">
        <f>IF(ISNA(MATCH(60,Engine!$C$2:$C$1369,0)),"",INDEX('Compliance Database'!$J$2:$J$1369,MATCH(60,Engine!$C$2:$C$1369,0)))</f>
        <v/>
      </c>
      <c r="K73" s="9">
        <f>IF(ISNA(MATCH(60,Engine!$C$2:$C$1369,0)),"",INDEX('Compliance Database'!$K$2:$K$1369,MATCH(60,Engine!$C$2:$C$1369,0)))</f>
        <v/>
      </c>
      <c r="L73" s="9">
        <f>IF(ISNA(MATCH(60,Engine!$C$2:$C$1369,0)),"",INDEX('Compliance Database'!$L$2:$L$1369,MATCH(60,Engine!$C$2:$C$1369,0)))</f>
        <v/>
      </c>
      <c r="M73" s="9">
        <f>IF(ISNA(MATCH(60,Engine!$C$2:$C$1369,0)),"",INDEX('Compliance Database'!$M$2:$M$1369,MATCH(60,Engine!$C$2:$C$1369,0)))</f>
        <v/>
      </c>
      <c r="N73" s="9">
        <f>IF(ISNA(MATCH(60,Engine!$C$2:$C$1369,0)),"",INDEX('Compliance Database'!$N$2:$N$1369,MATCH(60,Engine!$C$2:$C$1369,0)))</f>
        <v/>
      </c>
      <c r="O73" s="8">
        <f>IF(ISNA(MATCH(60,Engine!$C$2:$C$1369,0)),"",HYPERLINK(INDEX('Compliance Database'!$O$2:$O$1369,MATCH(60,Engine!$C$2:$C$1369,0)),"Open PDF"))</f>
        <v/>
      </c>
    </row>
    <row r="74" ht="188" customHeight="1">
      <c r="A74" s="8">
        <f>IF(ISNA(MATCH(61,Engine!$C$2:$C$1369,0)),"",INDEX('Compliance Database'!$A$2:$A$1369,MATCH(61,Engine!$C$2:$C$1369,0)))</f>
        <v/>
      </c>
      <c r="B74" s="8">
        <f>IF(ISNA(MATCH(61,Engine!$C$2:$C$1369,0)),"",INDEX('Compliance Database'!$B$2:$B$1369,MATCH(61,Engine!$C$2:$C$1369,0)))</f>
        <v/>
      </c>
      <c r="C74" s="8">
        <f>IF(ISNA(MATCH(61,Engine!$C$2:$C$1369,0)),"",INDEX('Compliance Database'!$C$2:$C$1369,MATCH(61,Engine!$C$2:$C$1369,0)))</f>
        <v/>
      </c>
      <c r="D74" s="9">
        <f>IF(ISNA(MATCH(61,Engine!$C$2:$C$1369,0)),"",INDEX('Compliance Database'!$D$2:$D$1369,MATCH(61,Engine!$C$2:$C$1369,0)))</f>
        <v/>
      </c>
      <c r="E74" s="8">
        <f>IF(ISNA(MATCH(61,Engine!$C$2:$C$1369,0)),"",INDEX('Compliance Database'!$E$2:$E$1369,MATCH(61,Engine!$C$2:$C$1369,0)))</f>
        <v/>
      </c>
      <c r="F74" s="8">
        <f>IF(ISNA(MATCH(61,Engine!$C$2:$C$1369,0)),"",INDEX('Compliance Database'!$F$2:$F$1369,MATCH(61,Engine!$C$2:$C$1369,0)))</f>
        <v/>
      </c>
      <c r="G74" s="8">
        <f>IF(ISNA(MATCH(61,Engine!$C$2:$C$1369,0)),"",INDEX('Compliance Database'!$G$2:$G$1369,MATCH(61,Engine!$C$2:$C$1369,0)))</f>
        <v/>
      </c>
      <c r="H74" s="9">
        <f>IF(ISNA(MATCH(61,Engine!$C$2:$C$1369,0)),"",INDEX('Compliance Database'!$H$2:$H$1369,MATCH(61,Engine!$C$2:$C$1369,0)))</f>
        <v/>
      </c>
      <c r="I74" s="9">
        <f>IF(ISNA(MATCH(61,Engine!$C$2:$C$1369,0)),"",INDEX('Compliance Database'!$I$2:$I$1369,MATCH(61,Engine!$C$2:$C$1369,0)))</f>
        <v/>
      </c>
      <c r="J74" s="8">
        <f>IF(ISNA(MATCH(61,Engine!$C$2:$C$1369,0)),"",INDEX('Compliance Database'!$J$2:$J$1369,MATCH(61,Engine!$C$2:$C$1369,0)))</f>
        <v/>
      </c>
      <c r="K74" s="9">
        <f>IF(ISNA(MATCH(61,Engine!$C$2:$C$1369,0)),"",INDEX('Compliance Database'!$K$2:$K$1369,MATCH(61,Engine!$C$2:$C$1369,0)))</f>
        <v/>
      </c>
      <c r="L74" s="9">
        <f>IF(ISNA(MATCH(61,Engine!$C$2:$C$1369,0)),"",INDEX('Compliance Database'!$L$2:$L$1369,MATCH(61,Engine!$C$2:$C$1369,0)))</f>
        <v/>
      </c>
      <c r="M74" s="9">
        <f>IF(ISNA(MATCH(61,Engine!$C$2:$C$1369,0)),"",INDEX('Compliance Database'!$M$2:$M$1369,MATCH(61,Engine!$C$2:$C$1369,0)))</f>
        <v/>
      </c>
      <c r="N74" s="9">
        <f>IF(ISNA(MATCH(61,Engine!$C$2:$C$1369,0)),"",INDEX('Compliance Database'!$N$2:$N$1369,MATCH(61,Engine!$C$2:$C$1369,0)))</f>
        <v/>
      </c>
      <c r="O74" s="8">
        <f>IF(ISNA(MATCH(61,Engine!$C$2:$C$1369,0)),"",HYPERLINK(INDEX('Compliance Database'!$O$2:$O$1369,MATCH(61,Engine!$C$2:$C$1369,0)),"Open PDF"))</f>
        <v/>
      </c>
    </row>
    <row r="75" ht="188" customHeight="1">
      <c r="A75" s="8">
        <f>IF(ISNA(MATCH(62,Engine!$C$2:$C$1369,0)),"",INDEX('Compliance Database'!$A$2:$A$1369,MATCH(62,Engine!$C$2:$C$1369,0)))</f>
        <v/>
      </c>
      <c r="B75" s="8">
        <f>IF(ISNA(MATCH(62,Engine!$C$2:$C$1369,0)),"",INDEX('Compliance Database'!$B$2:$B$1369,MATCH(62,Engine!$C$2:$C$1369,0)))</f>
        <v/>
      </c>
      <c r="C75" s="8">
        <f>IF(ISNA(MATCH(62,Engine!$C$2:$C$1369,0)),"",INDEX('Compliance Database'!$C$2:$C$1369,MATCH(62,Engine!$C$2:$C$1369,0)))</f>
        <v/>
      </c>
      <c r="D75" s="9">
        <f>IF(ISNA(MATCH(62,Engine!$C$2:$C$1369,0)),"",INDEX('Compliance Database'!$D$2:$D$1369,MATCH(62,Engine!$C$2:$C$1369,0)))</f>
        <v/>
      </c>
      <c r="E75" s="8">
        <f>IF(ISNA(MATCH(62,Engine!$C$2:$C$1369,0)),"",INDEX('Compliance Database'!$E$2:$E$1369,MATCH(62,Engine!$C$2:$C$1369,0)))</f>
        <v/>
      </c>
      <c r="F75" s="8">
        <f>IF(ISNA(MATCH(62,Engine!$C$2:$C$1369,0)),"",INDEX('Compliance Database'!$F$2:$F$1369,MATCH(62,Engine!$C$2:$C$1369,0)))</f>
        <v/>
      </c>
      <c r="G75" s="8">
        <f>IF(ISNA(MATCH(62,Engine!$C$2:$C$1369,0)),"",INDEX('Compliance Database'!$G$2:$G$1369,MATCH(62,Engine!$C$2:$C$1369,0)))</f>
        <v/>
      </c>
      <c r="H75" s="9">
        <f>IF(ISNA(MATCH(62,Engine!$C$2:$C$1369,0)),"",INDEX('Compliance Database'!$H$2:$H$1369,MATCH(62,Engine!$C$2:$C$1369,0)))</f>
        <v/>
      </c>
      <c r="I75" s="9">
        <f>IF(ISNA(MATCH(62,Engine!$C$2:$C$1369,0)),"",INDEX('Compliance Database'!$I$2:$I$1369,MATCH(62,Engine!$C$2:$C$1369,0)))</f>
        <v/>
      </c>
      <c r="J75" s="8">
        <f>IF(ISNA(MATCH(62,Engine!$C$2:$C$1369,0)),"",INDEX('Compliance Database'!$J$2:$J$1369,MATCH(62,Engine!$C$2:$C$1369,0)))</f>
        <v/>
      </c>
      <c r="K75" s="9">
        <f>IF(ISNA(MATCH(62,Engine!$C$2:$C$1369,0)),"",INDEX('Compliance Database'!$K$2:$K$1369,MATCH(62,Engine!$C$2:$C$1369,0)))</f>
        <v/>
      </c>
      <c r="L75" s="9">
        <f>IF(ISNA(MATCH(62,Engine!$C$2:$C$1369,0)),"",INDEX('Compliance Database'!$L$2:$L$1369,MATCH(62,Engine!$C$2:$C$1369,0)))</f>
        <v/>
      </c>
      <c r="M75" s="9">
        <f>IF(ISNA(MATCH(62,Engine!$C$2:$C$1369,0)),"",INDEX('Compliance Database'!$M$2:$M$1369,MATCH(62,Engine!$C$2:$C$1369,0)))</f>
        <v/>
      </c>
      <c r="N75" s="9">
        <f>IF(ISNA(MATCH(62,Engine!$C$2:$C$1369,0)),"",INDEX('Compliance Database'!$N$2:$N$1369,MATCH(62,Engine!$C$2:$C$1369,0)))</f>
        <v/>
      </c>
      <c r="O75" s="8">
        <f>IF(ISNA(MATCH(62,Engine!$C$2:$C$1369,0)),"",HYPERLINK(INDEX('Compliance Database'!$O$2:$O$1369,MATCH(62,Engine!$C$2:$C$1369,0)),"Open PDF"))</f>
        <v/>
      </c>
    </row>
    <row r="76" ht="188" customHeight="1">
      <c r="A76" s="8">
        <f>IF(ISNA(MATCH(63,Engine!$C$2:$C$1369,0)),"",INDEX('Compliance Database'!$A$2:$A$1369,MATCH(63,Engine!$C$2:$C$1369,0)))</f>
        <v/>
      </c>
      <c r="B76" s="8">
        <f>IF(ISNA(MATCH(63,Engine!$C$2:$C$1369,0)),"",INDEX('Compliance Database'!$B$2:$B$1369,MATCH(63,Engine!$C$2:$C$1369,0)))</f>
        <v/>
      </c>
      <c r="C76" s="8">
        <f>IF(ISNA(MATCH(63,Engine!$C$2:$C$1369,0)),"",INDEX('Compliance Database'!$C$2:$C$1369,MATCH(63,Engine!$C$2:$C$1369,0)))</f>
        <v/>
      </c>
      <c r="D76" s="9">
        <f>IF(ISNA(MATCH(63,Engine!$C$2:$C$1369,0)),"",INDEX('Compliance Database'!$D$2:$D$1369,MATCH(63,Engine!$C$2:$C$1369,0)))</f>
        <v/>
      </c>
      <c r="E76" s="8">
        <f>IF(ISNA(MATCH(63,Engine!$C$2:$C$1369,0)),"",INDEX('Compliance Database'!$E$2:$E$1369,MATCH(63,Engine!$C$2:$C$1369,0)))</f>
        <v/>
      </c>
      <c r="F76" s="8">
        <f>IF(ISNA(MATCH(63,Engine!$C$2:$C$1369,0)),"",INDEX('Compliance Database'!$F$2:$F$1369,MATCH(63,Engine!$C$2:$C$1369,0)))</f>
        <v/>
      </c>
      <c r="G76" s="8">
        <f>IF(ISNA(MATCH(63,Engine!$C$2:$C$1369,0)),"",INDEX('Compliance Database'!$G$2:$G$1369,MATCH(63,Engine!$C$2:$C$1369,0)))</f>
        <v/>
      </c>
      <c r="H76" s="9">
        <f>IF(ISNA(MATCH(63,Engine!$C$2:$C$1369,0)),"",INDEX('Compliance Database'!$H$2:$H$1369,MATCH(63,Engine!$C$2:$C$1369,0)))</f>
        <v/>
      </c>
      <c r="I76" s="9">
        <f>IF(ISNA(MATCH(63,Engine!$C$2:$C$1369,0)),"",INDEX('Compliance Database'!$I$2:$I$1369,MATCH(63,Engine!$C$2:$C$1369,0)))</f>
        <v/>
      </c>
      <c r="J76" s="8">
        <f>IF(ISNA(MATCH(63,Engine!$C$2:$C$1369,0)),"",INDEX('Compliance Database'!$J$2:$J$1369,MATCH(63,Engine!$C$2:$C$1369,0)))</f>
        <v/>
      </c>
      <c r="K76" s="9">
        <f>IF(ISNA(MATCH(63,Engine!$C$2:$C$1369,0)),"",INDEX('Compliance Database'!$K$2:$K$1369,MATCH(63,Engine!$C$2:$C$1369,0)))</f>
        <v/>
      </c>
      <c r="L76" s="9">
        <f>IF(ISNA(MATCH(63,Engine!$C$2:$C$1369,0)),"",INDEX('Compliance Database'!$L$2:$L$1369,MATCH(63,Engine!$C$2:$C$1369,0)))</f>
        <v/>
      </c>
      <c r="M76" s="9">
        <f>IF(ISNA(MATCH(63,Engine!$C$2:$C$1369,0)),"",INDEX('Compliance Database'!$M$2:$M$1369,MATCH(63,Engine!$C$2:$C$1369,0)))</f>
        <v/>
      </c>
      <c r="N76" s="9">
        <f>IF(ISNA(MATCH(63,Engine!$C$2:$C$1369,0)),"",INDEX('Compliance Database'!$N$2:$N$1369,MATCH(63,Engine!$C$2:$C$1369,0)))</f>
        <v/>
      </c>
      <c r="O76" s="8">
        <f>IF(ISNA(MATCH(63,Engine!$C$2:$C$1369,0)),"",HYPERLINK(INDEX('Compliance Database'!$O$2:$O$1369,MATCH(63,Engine!$C$2:$C$1369,0)),"Open PDF"))</f>
        <v/>
      </c>
    </row>
    <row r="77" ht="188" customHeight="1">
      <c r="A77" s="8">
        <f>IF(ISNA(MATCH(64,Engine!$C$2:$C$1369,0)),"",INDEX('Compliance Database'!$A$2:$A$1369,MATCH(64,Engine!$C$2:$C$1369,0)))</f>
        <v/>
      </c>
      <c r="B77" s="8">
        <f>IF(ISNA(MATCH(64,Engine!$C$2:$C$1369,0)),"",INDEX('Compliance Database'!$B$2:$B$1369,MATCH(64,Engine!$C$2:$C$1369,0)))</f>
        <v/>
      </c>
      <c r="C77" s="8">
        <f>IF(ISNA(MATCH(64,Engine!$C$2:$C$1369,0)),"",INDEX('Compliance Database'!$C$2:$C$1369,MATCH(64,Engine!$C$2:$C$1369,0)))</f>
        <v/>
      </c>
      <c r="D77" s="9">
        <f>IF(ISNA(MATCH(64,Engine!$C$2:$C$1369,0)),"",INDEX('Compliance Database'!$D$2:$D$1369,MATCH(64,Engine!$C$2:$C$1369,0)))</f>
        <v/>
      </c>
      <c r="E77" s="8">
        <f>IF(ISNA(MATCH(64,Engine!$C$2:$C$1369,0)),"",INDEX('Compliance Database'!$E$2:$E$1369,MATCH(64,Engine!$C$2:$C$1369,0)))</f>
        <v/>
      </c>
      <c r="F77" s="8">
        <f>IF(ISNA(MATCH(64,Engine!$C$2:$C$1369,0)),"",INDEX('Compliance Database'!$F$2:$F$1369,MATCH(64,Engine!$C$2:$C$1369,0)))</f>
        <v/>
      </c>
      <c r="G77" s="8">
        <f>IF(ISNA(MATCH(64,Engine!$C$2:$C$1369,0)),"",INDEX('Compliance Database'!$G$2:$G$1369,MATCH(64,Engine!$C$2:$C$1369,0)))</f>
        <v/>
      </c>
      <c r="H77" s="9">
        <f>IF(ISNA(MATCH(64,Engine!$C$2:$C$1369,0)),"",INDEX('Compliance Database'!$H$2:$H$1369,MATCH(64,Engine!$C$2:$C$1369,0)))</f>
        <v/>
      </c>
      <c r="I77" s="9">
        <f>IF(ISNA(MATCH(64,Engine!$C$2:$C$1369,0)),"",INDEX('Compliance Database'!$I$2:$I$1369,MATCH(64,Engine!$C$2:$C$1369,0)))</f>
        <v/>
      </c>
      <c r="J77" s="8">
        <f>IF(ISNA(MATCH(64,Engine!$C$2:$C$1369,0)),"",INDEX('Compliance Database'!$J$2:$J$1369,MATCH(64,Engine!$C$2:$C$1369,0)))</f>
        <v/>
      </c>
      <c r="K77" s="9">
        <f>IF(ISNA(MATCH(64,Engine!$C$2:$C$1369,0)),"",INDEX('Compliance Database'!$K$2:$K$1369,MATCH(64,Engine!$C$2:$C$1369,0)))</f>
        <v/>
      </c>
      <c r="L77" s="9">
        <f>IF(ISNA(MATCH(64,Engine!$C$2:$C$1369,0)),"",INDEX('Compliance Database'!$L$2:$L$1369,MATCH(64,Engine!$C$2:$C$1369,0)))</f>
        <v/>
      </c>
      <c r="M77" s="9">
        <f>IF(ISNA(MATCH(64,Engine!$C$2:$C$1369,0)),"",INDEX('Compliance Database'!$M$2:$M$1369,MATCH(64,Engine!$C$2:$C$1369,0)))</f>
        <v/>
      </c>
      <c r="N77" s="9">
        <f>IF(ISNA(MATCH(64,Engine!$C$2:$C$1369,0)),"",INDEX('Compliance Database'!$N$2:$N$1369,MATCH(64,Engine!$C$2:$C$1369,0)))</f>
        <v/>
      </c>
      <c r="O77" s="8">
        <f>IF(ISNA(MATCH(64,Engine!$C$2:$C$1369,0)),"",HYPERLINK(INDEX('Compliance Database'!$O$2:$O$1369,MATCH(64,Engine!$C$2:$C$1369,0)),"Open PDF"))</f>
        <v/>
      </c>
    </row>
    <row r="78" ht="188" customHeight="1">
      <c r="A78" s="8">
        <f>IF(ISNA(MATCH(65,Engine!$C$2:$C$1369,0)),"",INDEX('Compliance Database'!$A$2:$A$1369,MATCH(65,Engine!$C$2:$C$1369,0)))</f>
        <v/>
      </c>
      <c r="B78" s="8">
        <f>IF(ISNA(MATCH(65,Engine!$C$2:$C$1369,0)),"",INDEX('Compliance Database'!$B$2:$B$1369,MATCH(65,Engine!$C$2:$C$1369,0)))</f>
        <v/>
      </c>
      <c r="C78" s="8">
        <f>IF(ISNA(MATCH(65,Engine!$C$2:$C$1369,0)),"",INDEX('Compliance Database'!$C$2:$C$1369,MATCH(65,Engine!$C$2:$C$1369,0)))</f>
        <v/>
      </c>
      <c r="D78" s="9">
        <f>IF(ISNA(MATCH(65,Engine!$C$2:$C$1369,0)),"",INDEX('Compliance Database'!$D$2:$D$1369,MATCH(65,Engine!$C$2:$C$1369,0)))</f>
        <v/>
      </c>
      <c r="E78" s="8">
        <f>IF(ISNA(MATCH(65,Engine!$C$2:$C$1369,0)),"",INDEX('Compliance Database'!$E$2:$E$1369,MATCH(65,Engine!$C$2:$C$1369,0)))</f>
        <v/>
      </c>
      <c r="F78" s="8">
        <f>IF(ISNA(MATCH(65,Engine!$C$2:$C$1369,0)),"",INDEX('Compliance Database'!$F$2:$F$1369,MATCH(65,Engine!$C$2:$C$1369,0)))</f>
        <v/>
      </c>
      <c r="G78" s="8">
        <f>IF(ISNA(MATCH(65,Engine!$C$2:$C$1369,0)),"",INDEX('Compliance Database'!$G$2:$G$1369,MATCH(65,Engine!$C$2:$C$1369,0)))</f>
        <v/>
      </c>
      <c r="H78" s="9">
        <f>IF(ISNA(MATCH(65,Engine!$C$2:$C$1369,0)),"",INDEX('Compliance Database'!$H$2:$H$1369,MATCH(65,Engine!$C$2:$C$1369,0)))</f>
        <v/>
      </c>
      <c r="I78" s="9">
        <f>IF(ISNA(MATCH(65,Engine!$C$2:$C$1369,0)),"",INDEX('Compliance Database'!$I$2:$I$1369,MATCH(65,Engine!$C$2:$C$1369,0)))</f>
        <v/>
      </c>
      <c r="J78" s="8">
        <f>IF(ISNA(MATCH(65,Engine!$C$2:$C$1369,0)),"",INDEX('Compliance Database'!$J$2:$J$1369,MATCH(65,Engine!$C$2:$C$1369,0)))</f>
        <v/>
      </c>
      <c r="K78" s="9">
        <f>IF(ISNA(MATCH(65,Engine!$C$2:$C$1369,0)),"",INDEX('Compliance Database'!$K$2:$K$1369,MATCH(65,Engine!$C$2:$C$1369,0)))</f>
        <v/>
      </c>
      <c r="L78" s="9">
        <f>IF(ISNA(MATCH(65,Engine!$C$2:$C$1369,0)),"",INDEX('Compliance Database'!$L$2:$L$1369,MATCH(65,Engine!$C$2:$C$1369,0)))</f>
        <v/>
      </c>
      <c r="M78" s="9">
        <f>IF(ISNA(MATCH(65,Engine!$C$2:$C$1369,0)),"",INDEX('Compliance Database'!$M$2:$M$1369,MATCH(65,Engine!$C$2:$C$1369,0)))</f>
        <v/>
      </c>
      <c r="N78" s="9">
        <f>IF(ISNA(MATCH(65,Engine!$C$2:$C$1369,0)),"",INDEX('Compliance Database'!$N$2:$N$1369,MATCH(65,Engine!$C$2:$C$1369,0)))</f>
        <v/>
      </c>
      <c r="O78" s="8">
        <f>IF(ISNA(MATCH(65,Engine!$C$2:$C$1369,0)),"",HYPERLINK(INDEX('Compliance Database'!$O$2:$O$1369,MATCH(65,Engine!$C$2:$C$1369,0)),"Open PDF"))</f>
        <v/>
      </c>
    </row>
    <row r="79" ht="188" customHeight="1">
      <c r="A79" s="8">
        <f>IF(ISNA(MATCH(66,Engine!$C$2:$C$1369,0)),"",INDEX('Compliance Database'!$A$2:$A$1369,MATCH(66,Engine!$C$2:$C$1369,0)))</f>
        <v/>
      </c>
      <c r="B79" s="8">
        <f>IF(ISNA(MATCH(66,Engine!$C$2:$C$1369,0)),"",INDEX('Compliance Database'!$B$2:$B$1369,MATCH(66,Engine!$C$2:$C$1369,0)))</f>
        <v/>
      </c>
      <c r="C79" s="8">
        <f>IF(ISNA(MATCH(66,Engine!$C$2:$C$1369,0)),"",INDEX('Compliance Database'!$C$2:$C$1369,MATCH(66,Engine!$C$2:$C$1369,0)))</f>
        <v/>
      </c>
      <c r="D79" s="9">
        <f>IF(ISNA(MATCH(66,Engine!$C$2:$C$1369,0)),"",INDEX('Compliance Database'!$D$2:$D$1369,MATCH(66,Engine!$C$2:$C$1369,0)))</f>
        <v/>
      </c>
      <c r="E79" s="8">
        <f>IF(ISNA(MATCH(66,Engine!$C$2:$C$1369,0)),"",INDEX('Compliance Database'!$E$2:$E$1369,MATCH(66,Engine!$C$2:$C$1369,0)))</f>
        <v/>
      </c>
      <c r="F79" s="8">
        <f>IF(ISNA(MATCH(66,Engine!$C$2:$C$1369,0)),"",INDEX('Compliance Database'!$F$2:$F$1369,MATCH(66,Engine!$C$2:$C$1369,0)))</f>
        <v/>
      </c>
      <c r="G79" s="8">
        <f>IF(ISNA(MATCH(66,Engine!$C$2:$C$1369,0)),"",INDEX('Compliance Database'!$G$2:$G$1369,MATCH(66,Engine!$C$2:$C$1369,0)))</f>
        <v/>
      </c>
      <c r="H79" s="9">
        <f>IF(ISNA(MATCH(66,Engine!$C$2:$C$1369,0)),"",INDEX('Compliance Database'!$H$2:$H$1369,MATCH(66,Engine!$C$2:$C$1369,0)))</f>
        <v/>
      </c>
      <c r="I79" s="9">
        <f>IF(ISNA(MATCH(66,Engine!$C$2:$C$1369,0)),"",INDEX('Compliance Database'!$I$2:$I$1369,MATCH(66,Engine!$C$2:$C$1369,0)))</f>
        <v/>
      </c>
      <c r="J79" s="8">
        <f>IF(ISNA(MATCH(66,Engine!$C$2:$C$1369,0)),"",INDEX('Compliance Database'!$J$2:$J$1369,MATCH(66,Engine!$C$2:$C$1369,0)))</f>
        <v/>
      </c>
      <c r="K79" s="9">
        <f>IF(ISNA(MATCH(66,Engine!$C$2:$C$1369,0)),"",INDEX('Compliance Database'!$K$2:$K$1369,MATCH(66,Engine!$C$2:$C$1369,0)))</f>
        <v/>
      </c>
      <c r="L79" s="9">
        <f>IF(ISNA(MATCH(66,Engine!$C$2:$C$1369,0)),"",INDEX('Compliance Database'!$L$2:$L$1369,MATCH(66,Engine!$C$2:$C$1369,0)))</f>
        <v/>
      </c>
      <c r="M79" s="9">
        <f>IF(ISNA(MATCH(66,Engine!$C$2:$C$1369,0)),"",INDEX('Compliance Database'!$M$2:$M$1369,MATCH(66,Engine!$C$2:$C$1369,0)))</f>
        <v/>
      </c>
      <c r="N79" s="9">
        <f>IF(ISNA(MATCH(66,Engine!$C$2:$C$1369,0)),"",INDEX('Compliance Database'!$N$2:$N$1369,MATCH(66,Engine!$C$2:$C$1369,0)))</f>
        <v/>
      </c>
      <c r="O79" s="8">
        <f>IF(ISNA(MATCH(66,Engine!$C$2:$C$1369,0)),"",HYPERLINK(INDEX('Compliance Database'!$O$2:$O$1369,MATCH(66,Engine!$C$2:$C$1369,0)),"Open PDF"))</f>
        <v/>
      </c>
    </row>
    <row r="80" ht="188" customHeight="1">
      <c r="A80" s="8">
        <f>IF(ISNA(MATCH(67,Engine!$C$2:$C$1369,0)),"",INDEX('Compliance Database'!$A$2:$A$1369,MATCH(67,Engine!$C$2:$C$1369,0)))</f>
        <v/>
      </c>
      <c r="B80" s="8">
        <f>IF(ISNA(MATCH(67,Engine!$C$2:$C$1369,0)),"",INDEX('Compliance Database'!$B$2:$B$1369,MATCH(67,Engine!$C$2:$C$1369,0)))</f>
        <v/>
      </c>
      <c r="C80" s="8">
        <f>IF(ISNA(MATCH(67,Engine!$C$2:$C$1369,0)),"",INDEX('Compliance Database'!$C$2:$C$1369,MATCH(67,Engine!$C$2:$C$1369,0)))</f>
        <v/>
      </c>
      <c r="D80" s="9">
        <f>IF(ISNA(MATCH(67,Engine!$C$2:$C$1369,0)),"",INDEX('Compliance Database'!$D$2:$D$1369,MATCH(67,Engine!$C$2:$C$1369,0)))</f>
        <v/>
      </c>
      <c r="E80" s="8">
        <f>IF(ISNA(MATCH(67,Engine!$C$2:$C$1369,0)),"",INDEX('Compliance Database'!$E$2:$E$1369,MATCH(67,Engine!$C$2:$C$1369,0)))</f>
        <v/>
      </c>
      <c r="F80" s="8">
        <f>IF(ISNA(MATCH(67,Engine!$C$2:$C$1369,0)),"",INDEX('Compliance Database'!$F$2:$F$1369,MATCH(67,Engine!$C$2:$C$1369,0)))</f>
        <v/>
      </c>
      <c r="G80" s="8">
        <f>IF(ISNA(MATCH(67,Engine!$C$2:$C$1369,0)),"",INDEX('Compliance Database'!$G$2:$G$1369,MATCH(67,Engine!$C$2:$C$1369,0)))</f>
        <v/>
      </c>
      <c r="H80" s="9">
        <f>IF(ISNA(MATCH(67,Engine!$C$2:$C$1369,0)),"",INDEX('Compliance Database'!$H$2:$H$1369,MATCH(67,Engine!$C$2:$C$1369,0)))</f>
        <v/>
      </c>
      <c r="I80" s="9">
        <f>IF(ISNA(MATCH(67,Engine!$C$2:$C$1369,0)),"",INDEX('Compliance Database'!$I$2:$I$1369,MATCH(67,Engine!$C$2:$C$1369,0)))</f>
        <v/>
      </c>
      <c r="J80" s="8">
        <f>IF(ISNA(MATCH(67,Engine!$C$2:$C$1369,0)),"",INDEX('Compliance Database'!$J$2:$J$1369,MATCH(67,Engine!$C$2:$C$1369,0)))</f>
        <v/>
      </c>
      <c r="K80" s="9">
        <f>IF(ISNA(MATCH(67,Engine!$C$2:$C$1369,0)),"",INDEX('Compliance Database'!$K$2:$K$1369,MATCH(67,Engine!$C$2:$C$1369,0)))</f>
        <v/>
      </c>
      <c r="L80" s="9">
        <f>IF(ISNA(MATCH(67,Engine!$C$2:$C$1369,0)),"",INDEX('Compliance Database'!$L$2:$L$1369,MATCH(67,Engine!$C$2:$C$1369,0)))</f>
        <v/>
      </c>
      <c r="M80" s="9">
        <f>IF(ISNA(MATCH(67,Engine!$C$2:$C$1369,0)),"",INDEX('Compliance Database'!$M$2:$M$1369,MATCH(67,Engine!$C$2:$C$1369,0)))</f>
        <v/>
      </c>
      <c r="N80" s="9">
        <f>IF(ISNA(MATCH(67,Engine!$C$2:$C$1369,0)),"",INDEX('Compliance Database'!$N$2:$N$1369,MATCH(67,Engine!$C$2:$C$1369,0)))</f>
        <v/>
      </c>
      <c r="O80" s="8">
        <f>IF(ISNA(MATCH(67,Engine!$C$2:$C$1369,0)),"",HYPERLINK(INDEX('Compliance Database'!$O$2:$O$1369,MATCH(67,Engine!$C$2:$C$1369,0)),"Open PDF"))</f>
        <v/>
      </c>
    </row>
    <row r="81" ht="188" customHeight="1">
      <c r="A81" s="8">
        <f>IF(ISNA(MATCH(68,Engine!$C$2:$C$1369,0)),"",INDEX('Compliance Database'!$A$2:$A$1369,MATCH(68,Engine!$C$2:$C$1369,0)))</f>
        <v/>
      </c>
      <c r="B81" s="8">
        <f>IF(ISNA(MATCH(68,Engine!$C$2:$C$1369,0)),"",INDEX('Compliance Database'!$B$2:$B$1369,MATCH(68,Engine!$C$2:$C$1369,0)))</f>
        <v/>
      </c>
      <c r="C81" s="8">
        <f>IF(ISNA(MATCH(68,Engine!$C$2:$C$1369,0)),"",INDEX('Compliance Database'!$C$2:$C$1369,MATCH(68,Engine!$C$2:$C$1369,0)))</f>
        <v/>
      </c>
      <c r="D81" s="9">
        <f>IF(ISNA(MATCH(68,Engine!$C$2:$C$1369,0)),"",INDEX('Compliance Database'!$D$2:$D$1369,MATCH(68,Engine!$C$2:$C$1369,0)))</f>
        <v/>
      </c>
      <c r="E81" s="8">
        <f>IF(ISNA(MATCH(68,Engine!$C$2:$C$1369,0)),"",INDEX('Compliance Database'!$E$2:$E$1369,MATCH(68,Engine!$C$2:$C$1369,0)))</f>
        <v/>
      </c>
      <c r="F81" s="8">
        <f>IF(ISNA(MATCH(68,Engine!$C$2:$C$1369,0)),"",INDEX('Compliance Database'!$F$2:$F$1369,MATCH(68,Engine!$C$2:$C$1369,0)))</f>
        <v/>
      </c>
      <c r="G81" s="8">
        <f>IF(ISNA(MATCH(68,Engine!$C$2:$C$1369,0)),"",INDEX('Compliance Database'!$G$2:$G$1369,MATCH(68,Engine!$C$2:$C$1369,0)))</f>
        <v/>
      </c>
      <c r="H81" s="9">
        <f>IF(ISNA(MATCH(68,Engine!$C$2:$C$1369,0)),"",INDEX('Compliance Database'!$H$2:$H$1369,MATCH(68,Engine!$C$2:$C$1369,0)))</f>
        <v/>
      </c>
      <c r="I81" s="9">
        <f>IF(ISNA(MATCH(68,Engine!$C$2:$C$1369,0)),"",INDEX('Compliance Database'!$I$2:$I$1369,MATCH(68,Engine!$C$2:$C$1369,0)))</f>
        <v/>
      </c>
      <c r="J81" s="8">
        <f>IF(ISNA(MATCH(68,Engine!$C$2:$C$1369,0)),"",INDEX('Compliance Database'!$J$2:$J$1369,MATCH(68,Engine!$C$2:$C$1369,0)))</f>
        <v/>
      </c>
      <c r="K81" s="9">
        <f>IF(ISNA(MATCH(68,Engine!$C$2:$C$1369,0)),"",INDEX('Compliance Database'!$K$2:$K$1369,MATCH(68,Engine!$C$2:$C$1369,0)))</f>
        <v/>
      </c>
      <c r="L81" s="9">
        <f>IF(ISNA(MATCH(68,Engine!$C$2:$C$1369,0)),"",INDEX('Compliance Database'!$L$2:$L$1369,MATCH(68,Engine!$C$2:$C$1369,0)))</f>
        <v/>
      </c>
      <c r="M81" s="9">
        <f>IF(ISNA(MATCH(68,Engine!$C$2:$C$1369,0)),"",INDEX('Compliance Database'!$M$2:$M$1369,MATCH(68,Engine!$C$2:$C$1369,0)))</f>
        <v/>
      </c>
      <c r="N81" s="9">
        <f>IF(ISNA(MATCH(68,Engine!$C$2:$C$1369,0)),"",INDEX('Compliance Database'!$N$2:$N$1369,MATCH(68,Engine!$C$2:$C$1369,0)))</f>
        <v/>
      </c>
      <c r="O81" s="8">
        <f>IF(ISNA(MATCH(68,Engine!$C$2:$C$1369,0)),"",HYPERLINK(INDEX('Compliance Database'!$O$2:$O$1369,MATCH(68,Engine!$C$2:$C$1369,0)),"Open PDF"))</f>
        <v/>
      </c>
    </row>
    <row r="82" ht="188" customHeight="1">
      <c r="A82" s="8">
        <f>IF(ISNA(MATCH(69,Engine!$C$2:$C$1369,0)),"",INDEX('Compliance Database'!$A$2:$A$1369,MATCH(69,Engine!$C$2:$C$1369,0)))</f>
        <v/>
      </c>
      <c r="B82" s="8">
        <f>IF(ISNA(MATCH(69,Engine!$C$2:$C$1369,0)),"",INDEX('Compliance Database'!$B$2:$B$1369,MATCH(69,Engine!$C$2:$C$1369,0)))</f>
        <v/>
      </c>
      <c r="C82" s="8">
        <f>IF(ISNA(MATCH(69,Engine!$C$2:$C$1369,0)),"",INDEX('Compliance Database'!$C$2:$C$1369,MATCH(69,Engine!$C$2:$C$1369,0)))</f>
        <v/>
      </c>
      <c r="D82" s="9">
        <f>IF(ISNA(MATCH(69,Engine!$C$2:$C$1369,0)),"",INDEX('Compliance Database'!$D$2:$D$1369,MATCH(69,Engine!$C$2:$C$1369,0)))</f>
        <v/>
      </c>
      <c r="E82" s="8">
        <f>IF(ISNA(MATCH(69,Engine!$C$2:$C$1369,0)),"",INDEX('Compliance Database'!$E$2:$E$1369,MATCH(69,Engine!$C$2:$C$1369,0)))</f>
        <v/>
      </c>
      <c r="F82" s="8">
        <f>IF(ISNA(MATCH(69,Engine!$C$2:$C$1369,0)),"",INDEX('Compliance Database'!$F$2:$F$1369,MATCH(69,Engine!$C$2:$C$1369,0)))</f>
        <v/>
      </c>
      <c r="G82" s="8">
        <f>IF(ISNA(MATCH(69,Engine!$C$2:$C$1369,0)),"",INDEX('Compliance Database'!$G$2:$G$1369,MATCH(69,Engine!$C$2:$C$1369,0)))</f>
        <v/>
      </c>
      <c r="H82" s="9">
        <f>IF(ISNA(MATCH(69,Engine!$C$2:$C$1369,0)),"",INDEX('Compliance Database'!$H$2:$H$1369,MATCH(69,Engine!$C$2:$C$1369,0)))</f>
        <v/>
      </c>
      <c r="I82" s="9">
        <f>IF(ISNA(MATCH(69,Engine!$C$2:$C$1369,0)),"",INDEX('Compliance Database'!$I$2:$I$1369,MATCH(69,Engine!$C$2:$C$1369,0)))</f>
        <v/>
      </c>
      <c r="J82" s="8">
        <f>IF(ISNA(MATCH(69,Engine!$C$2:$C$1369,0)),"",INDEX('Compliance Database'!$J$2:$J$1369,MATCH(69,Engine!$C$2:$C$1369,0)))</f>
        <v/>
      </c>
      <c r="K82" s="9">
        <f>IF(ISNA(MATCH(69,Engine!$C$2:$C$1369,0)),"",INDEX('Compliance Database'!$K$2:$K$1369,MATCH(69,Engine!$C$2:$C$1369,0)))</f>
        <v/>
      </c>
      <c r="L82" s="9">
        <f>IF(ISNA(MATCH(69,Engine!$C$2:$C$1369,0)),"",INDEX('Compliance Database'!$L$2:$L$1369,MATCH(69,Engine!$C$2:$C$1369,0)))</f>
        <v/>
      </c>
      <c r="M82" s="9">
        <f>IF(ISNA(MATCH(69,Engine!$C$2:$C$1369,0)),"",INDEX('Compliance Database'!$M$2:$M$1369,MATCH(69,Engine!$C$2:$C$1369,0)))</f>
        <v/>
      </c>
      <c r="N82" s="9">
        <f>IF(ISNA(MATCH(69,Engine!$C$2:$C$1369,0)),"",INDEX('Compliance Database'!$N$2:$N$1369,MATCH(69,Engine!$C$2:$C$1369,0)))</f>
        <v/>
      </c>
      <c r="O82" s="8">
        <f>IF(ISNA(MATCH(69,Engine!$C$2:$C$1369,0)),"",HYPERLINK(INDEX('Compliance Database'!$O$2:$O$1369,MATCH(69,Engine!$C$2:$C$1369,0)),"Open PDF"))</f>
        <v/>
      </c>
    </row>
    <row r="83" ht="188" customHeight="1">
      <c r="A83" s="8">
        <f>IF(ISNA(MATCH(70,Engine!$C$2:$C$1369,0)),"",INDEX('Compliance Database'!$A$2:$A$1369,MATCH(70,Engine!$C$2:$C$1369,0)))</f>
        <v/>
      </c>
      <c r="B83" s="8">
        <f>IF(ISNA(MATCH(70,Engine!$C$2:$C$1369,0)),"",INDEX('Compliance Database'!$B$2:$B$1369,MATCH(70,Engine!$C$2:$C$1369,0)))</f>
        <v/>
      </c>
      <c r="C83" s="8">
        <f>IF(ISNA(MATCH(70,Engine!$C$2:$C$1369,0)),"",INDEX('Compliance Database'!$C$2:$C$1369,MATCH(70,Engine!$C$2:$C$1369,0)))</f>
        <v/>
      </c>
      <c r="D83" s="9">
        <f>IF(ISNA(MATCH(70,Engine!$C$2:$C$1369,0)),"",INDEX('Compliance Database'!$D$2:$D$1369,MATCH(70,Engine!$C$2:$C$1369,0)))</f>
        <v/>
      </c>
      <c r="E83" s="8">
        <f>IF(ISNA(MATCH(70,Engine!$C$2:$C$1369,0)),"",INDEX('Compliance Database'!$E$2:$E$1369,MATCH(70,Engine!$C$2:$C$1369,0)))</f>
        <v/>
      </c>
      <c r="F83" s="8">
        <f>IF(ISNA(MATCH(70,Engine!$C$2:$C$1369,0)),"",INDEX('Compliance Database'!$F$2:$F$1369,MATCH(70,Engine!$C$2:$C$1369,0)))</f>
        <v/>
      </c>
      <c r="G83" s="8">
        <f>IF(ISNA(MATCH(70,Engine!$C$2:$C$1369,0)),"",INDEX('Compliance Database'!$G$2:$G$1369,MATCH(70,Engine!$C$2:$C$1369,0)))</f>
        <v/>
      </c>
      <c r="H83" s="9">
        <f>IF(ISNA(MATCH(70,Engine!$C$2:$C$1369,0)),"",INDEX('Compliance Database'!$H$2:$H$1369,MATCH(70,Engine!$C$2:$C$1369,0)))</f>
        <v/>
      </c>
      <c r="I83" s="9">
        <f>IF(ISNA(MATCH(70,Engine!$C$2:$C$1369,0)),"",INDEX('Compliance Database'!$I$2:$I$1369,MATCH(70,Engine!$C$2:$C$1369,0)))</f>
        <v/>
      </c>
      <c r="J83" s="8">
        <f>IF(ISNA(MATCH(70,Engine!$C$2:$C$1369,0)),"",INDEX('Compliance Database'!$J$2:$J$1369,MATCH(70,Engine!$C$2:$C$1369,0)))</f>
        <v/>
      </c>
      <c r="K83" s="9">
        <f>IF(ISNA(MATCH(70,Engine!$C$2:$C$1369,0)),"",INDEX('Compliance Database'!$K$2:$K$1369,MATCH(70,Engine!$C$2:$C$1369,0)))</f>
        <v/>
      </c>
      <c r="L83" s="9">
        <f>IF(ISNA(MATCH(70,Engine!$C$2:$C$1369,0)),"",INDEX('Compliance Database'!$L$2:$L$1369,MATCH(70,Engine!$C$2:$C$1369,0)))</f>
        <v/>
      </c>
      <c r="M83" s="9">
        <f>IF(ISNA(MATCH(70,Engine!$C$2:$C$1369,0)),"",INDEX('Compliance Database'!$M$2:$M$1369,MATCH(70,Engine!$C$2:$C$1369,0)))</f>
        <v/>
      </c>
      <c r="N83" s="9">
        <f>IF(ISNA(MATCH(70,Engine!$C$2:$C$1369,0)),"",INDEX('Compliance Database'!$N$2:$N$1369,MATCH(70,Engine!$C$2:$C$1369,0)))</f>
        <v/>
      </c>
      <c r="O83" s="8">
        <f>IF(ISNA(MATCH(70,Engine!$C$2:$C$1369,0)),"",HYPERLINK(INDEX('Compliance Database'!$O$2:$O$1369,MATCH(70,Engine!$C$2:$C$1369,0)),"Open PDF"))</f>
        <v/>
      </c>
    </row>
    <row r="84" ht="188" customHeight="1">
      <c r="A84" s="8">
        <f>IF(ISNA(MATCH(71,Engine!$C$2:$C$1369,0)),"",INDEX('Compliance Database'!$A$2:$A$1369,MATCH(71,Engine!$C$2:$C$1369,0)))</f>
        <v/>
      </c>
      <c r="B84" s="8">
        <f>IF(ISNA(MATCH(71,Engine!$C$2:$C$1369,0)),"",INDEX('Compliance Database'!$B$2:$B$1369,MATCH(71,Engine!$C$2:$C$1369,0)))</f>
        <v/>
      </c>
      <c r="C84" s="8">
        <f>IF(ISNA(MATCH(71,Engine!$C$2:$C$1369,0)),"",INDEX('Compliance Database'!$C$2:$C$1369,MATCH(71,Engine!$C$2:$C$1369,0)))</f>
        <v/>
      </c>
      <c r="D84" s="9">
        <f>IF(ISNA(MATCH(71,Engine!$C$2:$C$1369,0)),"",INDEX('Compliance Database'!$D$2:$D$1369,MATCH(71,Engine!$C$2:$C$1369,0)))</f>
        <v/>
      </c>
      <c r="E84" s="8">
        <f>IF(ISNA(MATCH(71,Engine!$C$2:$C$1369,0)),"",INDEX('Compliance Database'!$E$2:$E$1369,MATCH(71,Engine!$C$2:$C$1369,0)))</f>
        <v/>
      </c>
      <c r="F84" s="8">
        <f>IF(ISNA(MATCH(71,Engine!$C$2:$C$1369,0)),"",INDEX('Compliance Database'!$F$2:$F$1369,MATCH(71,Engine!$C$2:$C$1369,0)))</f>
        <v/>
      </c>
      <c r="G84" s="8">
        <f>IF(ISNA(MATCH(71,Engine!$C$2:$C$1369,0)),"",INDEX('Compliance Database'!$G$2:$G$1369,MATCH(71,Engine!$C$2:$C$1369,0)))</f>
        <v/>
      </c>
      <c r="H84" s="9">
        <f>IF(ISNA(MATCH(71,Engine!$C$2:$C$1369,0)),"",INDEX('Compliance Database'!$H$2:$H$1369,MATCH(71,Engine!$C$2:$C$1369,0)))</f>
        <v/>
      </c>
      <c r="I84" s="9">
        <f>IF(ISNA(MATCH(71,Engine!$C$2:$C$1369,0)),"",INDEX('Compliance Database'!$I$2:$I$1369,MATCH(71,Engine!$C$2:$C$1369,0)))</f>
        <v/>
      </c>
      <c r="J84" s="8">
        <f>IF(ISNA(MATCH(71,Engine!$C$2:$C$1369,0)),"",INDEX('Compliance Database'!$J$2:$J$1369,MATCH(71,Engine!$C$2:$C$1369,0)))</f>
        <v/>
      </c>
      <c r="K84" s="9">
        <f>IF(ISNA(MATCH(71,Engine!$C$2:$C$1369,0)),"",INDEX('Compliance Database'!$K$2:$K$1369,MATCH(71,Engine!$C$2:$C$1369,0)))</f>
        <v/>
      </c>
      <c r="L84" s="9">
        <f>IF(ISNA(MATCH(71,Engine!$C$2:$C$1369,0)),"",INDEX('Compliance Database'!$L$2:$L$1369,MATCH(71,Engine!$C$2:$C$1369,0)))</f>
        <v/>
      </c>
      <c r="M84" s="9">
        <f>IF(ISNA(MATCH(71,Engine!$C$2:$C$1369,0)),"",INDEX('Compliance Database'!$M$2:$M$1369,MATCH(71,Engine!$C$2:$C$1369,0)))</f>
        <v/>
      </c>
      <c r="N84" s="9">
        <f>IF(ISNA(MATCH(71,Engine!$C$2:$C$1369,0)),"",INDEX('Compliance Database'!$N$2:$N$1369,MATCH(71,Engine!$C$2:$C$1369,0)))</f>
        <v/>
      </c>
      <c r="O84" s="8">
        <f>IF(ISNA(MATCH(71,Engine!$C$2:$C$1369,0)),"",HYPERLINK(INDEX('Compliance Database'!$O$2:$O$1369,MATCH(71,Engine!$C$2:$C$1369,0)),"Open PDF"))</f>
        <v/>
      </c>
    </row>
    <row r="85" ht="188" customHeight="1">
      <c r="A85" s="8">
        <f>IF(ISNA(MATCH(72,Engine!$C$2:$C$1369,0)),"",INDEX('Compliance Database'!$A$2:$A$1369,MATCH(72,Engine!$C$2:$C$1369,0)))</f>
        <v/>
      </c>
      <c r="B85" s="8">
        <f>IF(ISNA(MATCH(72,Engine!$C$2:$C$1369,0)),"",INDEX('Compliance Database'!$B$2:$B$1369,MATCH(72,Engine!$C$2:$C$1369,0)))</f>
        <v/>
      </c>
      <c r="C85" s="8">
        <f>IF(ISNA(MATCH(72,Engine!$C$2:$C$1369,0)),"",INDEX('Compliance Database'!$C$2:$C$1369,MATCH(72,Engine!$C$2:$C$1369,0)))</f>
        <v/>
      </c>
      <c r="D85" s="9">
        <f>IF(ISNA(MATCH(72,Engine!$C$2:$C$1369,0)),"",INDEX('Compliance Database'!$D$2:$D$1369,MATCH(72,Engine!$C$2:$C$1369,0)))</f>
        <v/>
      </c>
      <c r="E85" s="8">
        <f>IF(ISNA(MATCH(72,Engine!$C$2:$C$1369,0)),"",INDEX('Compliance Database'!$E$2:$E$1369,MATCH(72,Engine!$C$2:$C$1369,0)))</f>
        <v/>
      </c>
      <c r="F85" s="8">
        <f>IF(ISNA(MATCH(72,Engine!$C$2:$C$1369,0)),"",INDEX('Compliance Database'!$F$2:$F$1369,MATCH(72,Engine!$C$2:$C$1369,0)))</f>
        <v/>
      </c>
      <c r="G85" s="8">
        <f>IF(ISNA(MATCH(72,Engine!$C$2:$C$1369,0)),"",INDEX('Compliance Database'!$G$2:$G$1369,MATCH(72,Engine!$C$2:$C$1369,0)))</f>
        <v/>
      </c>
      <c r="H85" s="9">
        <f>IF(ISNA(MATCH(72,Engine!$C$2:$C$1369,0)),"",INDEX('Compliance Database'!$H$2:$H$1369,MATCH(72,Engine!$C$2:$C$1369,0)))</f>
        <v/>
      </c>
      <c r="I85" s="9">
        <f>IF(ISNA(MATCH(72,Engine!$C$2:$C$1369,0)),"",INDEX('Compliance Database'!$I$2:$I$1369,MATCH(72,Engine!$C$2:$C$1369,0)))</f>
        <v/>
      </c>
      <c r="J85" s="8">
        <f>IF(ISNA(MATCH(72,Engine!$C$2:$C$1369,0)),"",INDEX('Compliance Database'!$J$2:$J$1369,MATCH(72,Engine!$C$2:$C$1369,0)))</f>
        <v/>
      </c>
      <c r="K85" s="9">
        <f>IF(ISNA(MATCH(72,Engine!$C$2:$C$1369,0)),"",INDEX('Compliance Database'!$K$2:$K$1369,MATCH(72,Engine!$C$2:$C$1369,0)))</f>
        <v/>
      </c>
      <c r="L85" s="9">
        <f>IF(ISNA(MATCH(72,Engine!$C$2:$C$1369,0)),"",INDEX('Compliance Database'!$L$2:$L$1369,MATCH(72,Engine!$C$2:$C$1369,0)))</f>
        <v/>
      </c>
      <c r="M85" s="9">
        <f>IF(ISNA(MATCH(72,Engine!$C$2:$C$1369,0)),"",INDEX('Compliance Database'!$M$2:$M$1369,MATCH(72,Engine!$C$2:$C$1369,0)))</f>
        <v/>
      </c>
      <c r="N85" s="9">
        <f>IF(ISNA(MATCH(72,Engine!$C$2:$C$1369,0)),"",INDEX('Compliance Database'!$N$2:$N$1369,MATCH(72,Engine!$C$2:$C$1369,0)))</f>
        <v/>
      </c>
      <c r="O85" s="8">
        <f>IF(ISNA(MATCH(72,Engine!$C$2:$C$1369,0)),"",HYPERLINK(INDEX('Compliance Database'!$O$2:$O$1369,MATCH(72,Engine!$C$2:$C$1369,0)),"Open PDF"))</f>
        <v/>
      </c>
    </row>
    <row r="86" ht="188" customHeight="1">
      <c r="A86" s="8">
        <f>IF(ISNA(MATCH(73,Engine!$C$2:$C$1369,0)),"",INDEX('Compliance Database'!$A$2:$A$1369,MATCH(73,Engine!$C$2:$C$1369,0)))</f>
        <v/>
      </c>
      <c r="B86" s="8">
        <f>IF(ISNA(MATCH(73,Engine!$C$2:$C$1369,0)),"",INDEX('Compliance Database'!$B$2:$B$1369,MATCH(73,Engine!$C$2:$C$1369,0)))</f>
        <v/>
      </c>
      <c r="C86" s="8">
        <f>IF(ISNA(MATCH(73,Engine!$C$2:$C$1369,0)),"",INDEX('Compliance Database'!$C$2:$C$1369,MATCH(73,Engine!$C$2:$C$1369,0)))</f>
        <v/>
      </c>
      <c r="D86" s="9">
        <f>IF(ISNA(MATCH(73,Engine!$C$2:$C$1369,0)),"",INDEX('Compliance Database'!$D$2:$D$1369,MATCH(73,Engine!$C$2:$C$1369,0)))</f>
        <v/>
      </c>
      <c r="E86" s="8">
        <f>IF(ISNA(MATCH(73,Engine!$C$2:$C$1369,0)),"",INDEX('Compliance Database'!$E$2:$E$1369,MATCH(73,Engine!$C$2:$C$1369,0)))</f>
        <v/>
      </c>
      <c r="F86" s="8">
        <f>IF(ISNA(MATCH(73,Engine!$C$2:$C$1369,0)),"",INDEX('Compliance Database'!$F$2:$F$1369,MATCH(73,Engine!$C$2:$C$1369,0)))</f>
        <v/>
      </c>
      <c r="G86" s="8">
        <f>IF(ISNA(MATCH(73,Engine!$C$2:$C$1369,0)),"",INDEX('Compliance Database'!$G$2:$G$1369,MATCH(73,Engine!$C$2:$C$1369,0)))</f>
        <v/>
      </c>
      <c r="H86" s="9">
        <f>IF(ISNA(MATCH(73,Engine!$C$2:$C$1369,0)),"",INDEX('Compliance Database'!$H$2:$H$1369,MATCH(73,Engine!$C$2:$C$1369,0)))</f>
        <v/>
      </c>
      <c r="I86" s="9">
        <f>IF(ISNA(MATCH(73,Engine!$C$2:$C$1369,0)),"",INDEX('Compliance Database'!$I$2:$I$1369,MATCH(73,Engine!$C$2:$C$1369,0)))</f>
        <v/>
      </c>
      <c r="J86" s="8">
        <f>IF(ISNA(MATCH(73,Engine!$C$2:$C$1369,0)),"",INDEX('Compliance Database'!$J$2:$J$1369,MATCH(73,Engine!$C$2:$C$1369,0)))</f>
        <v/>
      </c>
      <c r="K86" s="9">
        <f>IF(ISNA(MATCH(73,Engine!$C$2:$C$1369,0)),"",INDEX('Compliance Database'!$K$2:$K$1369,MATCH(73,Engine!$C$2:$C$1369,0)))</f>
        <v/>
      </c>
      <c r="L86" s="9">
        <f>IF(ISNA(MATCH(73,Engine!$C$2:$C$1369,0)),"",INDEX('Compliance Database'!$L$2:$L$1369,MATCH(73,Engine!$C$2:$C$1369,0)))</f>
        <v/>
      </c>
      <c r="M86" s="9">
        <f>IF(ISNA(MATCH(73,Engine!$C$2:$C$1369,0)),"",INDEX('Compliance Database'!$M$2:$M$1369,MATCH(73,Engine!$C$2:$C$1369,0)))</f>
        <v/>
      </c>
      <c r="N86" s="9">
        <f>IF(ISNA(MATCH(73,Engine!$C$2:$C$1369,0)),"",INDEX('Compliance Database'!$N$2:$N$1369,MATCH(73,Engine!$C$2:$C$1369,0)))</f>
        <v/>
      </c>
      <c r="O86" s="8">
        <f>IF(ISNA(MATCH(73,Engine!$C$2:$C$1369,0)),"",HYPERLINK(INDEX('Compliance Database'!$O$2:$O$1369,MATCH(73,Engine!$C$2:$C$1369,0)),"Open PDF"))</f>
        <v/>
      </c>
    </row>
    <row r="87" ht="188" customHeight="1">
      <c r="A87" s="8">
        <f>IF(ISNA(MATCH(74,Engine!$C$2:$C$1369,0)),"",INDEX('Compliance Database'!$A$2:$A$1369,MATCH(74,Engine!$C$2:$C$1369,0)))</f>
        <v/>
      </c>
      <c r="B87" s="8">
        <f>IF(ISNA(MATCH(74,Engine!$C$2:$C$1369,0)),"",INDEX('Compliance Database'!$B$2:$B$1369,MATCH(74,Engine!$C$2:$C$1369,0)))</f>
        <v/>
      </c>
      <c r="C87" s="8">
        <f>IF(ISNA(MATCH(74,Engine!$C$2:$C$1369,0)),"",INDEX('Compliance Database'!$C$2:$C$1369,MATCH(74,Engine!$C$2:$C$1369,0)))</f>
        <v/>
      </c>
      <c r="D87" s="9">
        <f>IF(ISNA(MATCH(74,Engine!$C$2:$C$1369,0)),"",INDEX('Compliance Database'!$D$2:$D$1369,MATCH(74,Engine!$C$2:$C$1369,0)))</f>
        <v/>
      </c>
      <c r="E87" s="8">
        <f>IF(ISNA(MATCH(74,Engine!$C$2:$C$1369,0)),"",INDEX('Compliance Database'!$E$2:$E$1369,MATCH(74,Engine!$C$2:$C$1369,0)))</f>
        <v/>
      </c>
      <c r="F87" s="8">
        <f>IF(ISNA(MATCH(74,Engine!$C$2:$C$1369,0)),"",INDEX('Compliance Database'!$F$2:$F$1369,MATCH(74,Engine!$C$2:$C$1369,0)))</f>
        <v/>
      </c>
      <c r="G87" s="8">
        <f>IF(ISNA(MATCH(74,Engine!$C$2:$C$1369,0)),"",INDEX('Compliance Database'!$G$2:$G$1369,MATCH(74,Engine!$C$2:$C$1369,0)))</f>
        <v/>
      </c>
      <c r="H87" s="9">
        <f>IF(ISNA(MATCH(74,Engine!$C$2:$C$1369,0)),"",INDEX('Compliance Database'!$H$2:$H$1369,MATCH(74,Engine!$C$2:$C$1369,0)))</f>
        <v/>
      </c>
      <c r="I87" s="9">
        <f>IF(ISNA(MATCH(74,Engine!$C$2:$C$1369,0)),"",INDEX('Compliance Database'!$I$2:$I$1369,MATCH(74,Engine!$C$2:$C$1369,0)))</f>
        <v/>
      </c>
      <c r="J87" s="8">
        <f>IF(ISNA(MATCH(74,Engine!$C$2:$C$1369,0)),"",INDEX('Compliance Database'!$J$2:$J$1369,MATCH(74,Engine!$C$2:$C$1369,0)))</f>
        <v/>
      </c>
      <c r="K87" s="9">
        <f>IF(ISNA(MATCH(74,Engine!$C$2:$C$1369,0)),"",INDEX('Compliance Database'!$K$2:$K$1369,MATCH(74,Engine!$C$2:$C$1369,0)))</f>
        <v/>
      </c>
      <c r="L87" s="9">
        <f>IF(ISNA(MATCH(74,Engine!$C$2:$C$1369,0)),"",INDEX('Compliance Database'!$L$2:$L$1369,MATCH(74,Engine!$C$2:$C$1369,0)))</f>
        <v/>
      </c>
      <c r="M87" s="9">
        <f>IF(ISNA(MATCH(74,Engine!$C$2:$C$1369,0)),"",INDEX('Compliance Database'!$M$2:$M$1369,MATCH(74,Engine!$C$2:$C$1369,0)))</f>
        <v/>
      </c>
      <c r="N87" s="9">
        <f>IF(ISNA(MATCH(74,Engine!$C$2:$C$1369,0)),"",INDEX('Compliance Database'!$N$2:$N$1369,MATCH(74,Engine!$C$2:$C$1369,0)))</f>
        <v/>
      </c>
      <c r="O87" s="8">
        <f>IF(ISNA(MATCH(74,Engine!$C$2:$C$1369,0)),"",HYPERLINK(INDEX('Compliance Database'!$O$2:$O$1369,MATCH(74,Engine!$C$2:$C$1369,0)),"Open PDF"))</f>
        <v/>
      </c>
    </row>
    <row r="88" ht="188" customHeight="1">
      <c r="A88" s="8">
        <f>IF(ISNA(MATCH(75,Engine!$C$2:$C$1369,0)),"",INDEX('Compliance Database'!$A$2:$A$1369,MATCH(75,Engine!$C$2:$C$1369,0)))</f>
        <v/>
      </c>
      <c r="B88" s="8">
        <f>IF(ISNA(MATCH(75,Engine!$C$2:$C$1369,0)),"",INDEX('Compliance Database'!$B$2:$B$1369,MATCH(75,Engine!$C$2:$C$1369,0)))</f>
        <v/>
      </c>
      <c r="C88" s="8">
        <f>IF(ISNA(MATCH(75,Engine!$C$2:$C$1369,0)),"",INDEX('Compliance Database'!$C$2:$C$1369,MATCH(75,Engine!$C$2:$C$1369,0)))</f>
        <v/>
      </c>
      <c r="D88" s="9">
        <f>IF(ISNA(MATCH(75,Engine!$C$2:$C$1369,0)),"",INDEX('Compliance Database'!$D$2:$D$1369,MATCH(75,Engine!$C$2:$C$1369,0)))</f>
        <v/>
      </c>
      <c r="E88" s="8">
        <f>IF(ISNA(MATCH(75,Engine!$C$2:$C$1369,0)),"",INDEX('Compliance Database'!$E$2:$E$1369,MATCH(75,Engine!$C$2:$C$1369,0)))</f>
        <v/>
      </c>
      <c r="F88" s="8">
        <f>IF(ISNA(MATCH(75,Engine!$C$2:$C$1369,0)),"",INDEX('Compliance Database'!$F$2:$F$1369,MATCH(75,Engine!$C$2:$C$1369,0)))</f>
        <v/>
      </c>
      <c r="G88" s="8">
        <f>IF(ISNA(MATCH(75,Engine!$C$2:$C$1369,0)),"",INDEX('Compliance Database'!$G$2:$G$1369,MATCH(75,Engine!$C$2:$C$1369,0)))</f>
        <v/>
      </c>
      <c r="H88" s="9">
        <f>IF(ISNA(MATCH(75,Engine!$C$2:$C$1369,0)),"",INDEX('Compliance Database'!$H$2:$H$1369,MATCH(75,Engine!$C$2:$C$1369,0)))</f>
        <v/>
      </c>
      <c r="I88" s="9">
        <f>IF(ISNA(MATCH(75,Engine!$C$2:$C$1369,0)),"",INDEX('Compliance Database'!$I$2:$I$1369,MATCH(75,Engine!$C$2:$C$1369,0)))</f>
        <v/>
      </c>
      <c r="J88" s="8">
        <f>IF(ISNA(MATCH(75,Engine!$C$2:$C$1369,0)),"",INDEX('Compliance Database'!$J$2:$J$1369,MATCH(75,Engine!$C$2:$C$1369,0)))</f>
        <v/>
      </c>
      <c r="K88" s="9">
        <f>IF(ISNA(MATCH(75,Engine!$C$2:$C$1369,0)),"",INDEX('Compliance Database'!$K$2:$K$1369,MATCH(75,Engine!$C$2:$C$1369,0)))</f>
        <v/>
      </c>
      <c r="L88" s="9">
        <f>IF(ISNA(MATCH(75,Engine!$C$2:$C$1369,0)),"",INDEX('Compliance Database'!$L$2:$L$1369,MATCH(75,Engine!$C$2:$C$1369,0)))</f>
        <v/>
      </c>
      <c r="M88" s="9">
        <f>IF(ISNA(MATCH(75,Engine!$C$2:$C$1369,0)),"",INDEX('Compliance Database'!$M$2:$M$1369,MATCH(75,Engine!$C$2:$C$1369,0)))</f>
        <v/>
      </c>
      <c r="N88" s="9">
        <f>IF(ISNA(MATCH(75,Engine!$C$2:$C$1369,0)),"",INDEX('Compliance Database'!$N$2:$N$1369,MATCH(75,Engine!$C$2:$C$1369,0)))</f>
        <v/>
      </c>
      <c r="O88" s="8">
        <f>IF(ISNA(MATCH(75,Engine!$C$2:$C$1369,0)),"",HYPERLINK(INDEX('Compliance Database'!$O$2:$O$1369,MATCH(75,Engine!$C$2:$C$1369,0)),"Open PDF"))</f>
        <v/>
      </c>
    </row>
    <row r="89" ht="188" customHeight="1">
      <c r="A89" s="8">
        <f>IF(ISNA(MATCH(76,Engine!$C$2:$C$1369,0)),"",INDEX('Compliance Database'!$A$2:$A$1369,MATCH(76,Engine!$C$2:$C$1369,0)))</f>
        <v/>
      </c>
      <c r="B89" s="8">
        <f>IF(ISNA(MATCH(76,Engine!$C$2:$C$1369,0)),"",INDEX('Compliance Database'!$B$2:$B$1369,MATCH(76,Engine!$C$2:$C$1369,0)))</f>
        <v/>
      </c>
      <c r="C89" s="8">
        <f>IF(ISNA(MATCH(76,Engine!$C$2:$C$1369,0)),"",INDEX('Compliance Database'!$C$2:$C$1369,MATCH(76,Engine!$C$2:$C$1369,0)))</f>
        <v/>
      </c>
      <c r="D89" s="9">
        <f>IF(ISNA(MATCH(76,Engine!$C$2:$C$1369,0)),"",INDEX('Compliance Database'!$D$2:$D$1369,MATCH(76,Engine!$C$2:$C$1369,0)))</f>
        <v/>
      </c>
      <c r="E89" s="8">
        <f>IF(ISNA(MATCH(76,Engine!$C$2:$C$1369,0)),"",INDEX('Compliance Database'!$E$2:$E$1369,MATCH(76,Engine!$C$2:$C$1369,0)))</f>
        <v/>
      </c>
      <c r="F89" s="8">
        <f>IF(ISNA(MATCH(76,Engine!$C$2:$C$1369,0)),"",INDEX('Compliance Database'!$F$2:$F$1369,MATCH(76,Engine!$C$2:$C$1369,0)))</f>
        <v/>
      </c>
      <c r="G89" s="8">
        <f>IF(ISNA(MATCH(76,Engine!$C$2:$C$1369,0)),"",INDEX('Compliance Database'!$G$2:$G$1369,MATCH(76,Engine!$C$2:$C$1369,0)))</f>
        <v/>
      </c>
      <c r="H89" s="9">
        <f>IF(ISNA(MATCH(76,Engine!$C$2:$C$1369,0)),"",INDEX('Compliance Database'!$H$2:$H$1369,MATCH(76,Engine!$C$2:$C$1369,0)))</f>
        <v/>
      </c>
      <c r="I89" s="9">
        <f>IF(ISNA(MATCH(76,Engine!$C$2:$C$1369,0)),"",INDEX('Compliance Database'!$I$2:$I$1369,MATCH(76,Engine!$C$2:$C$1369,0)))</f>
        <v/>
      </c>
      <c r="J89" s="8">
        <f>IF(ISNA(MATCH(76,Engine!$C$2:$C$1369,0)),"",INDEX('Compliance Database'!$J$2:$J$1369,MATCH(76,Engine!$C$2:$C$1369,0)))</f>
        <v/>
      </c>
      <c r="K89" s="9">
        <f>IF(ISNA(MATCH(76,Engine!$C$2:$C$1369,0)),"",INDEX('Compliance Database'!$K$2:$K$1369,MATCH(76,Engine!$C$2:$C$1369,0)))</f>
        <v/>
      </c>
      <c r="L89" s="9">
        <f>IF(ISNA(MATCH(76,Engine!$C$2:$C$1369,0)),"",INDEX('Compliance Database'!$L$2:$L$1369,MATCH(76,Engine!$C$2:$C$1369,0)))</f>
        <v/>
      </c>
      <c r="M89" s="9">
        <f>IF(ISNA(MATCH(76,Engine!$C$2:$C$1369,0)),"",INDEX('Compliance Database'!$M$2:$M$1369,MATCH(76,Engine!$C$2:$C$1369,0)))</f>
        <v/>
      </c>
      <c r="N89" s="9">
        <f>IF(ISNA(MATCH(76,Engine!$C$2:$C$1369,0)),"",INDEX('Compliance Database'!$N$2:$N$1369,MATCH(76,Engine!$C$2:$C$1369,0)))</f>
        <v/>
      </c>
      <c r="O89" s="8">
        <f>IF(ISNA(MATCH(76,Engine!$C$2:$C$1369,0)),"",HYPERLINK(INDEX('Compliance Database'!$O$2:$O$1369,MATCH(76,Engine!$C$2:$C$1369,0)),"Open PDF"))</f>
        <v/>
      </c>
    </row>
    <row r="90" ht="188" customHeight="1">
      <c r="A90" s="8">
        <f>IF(ISNA(MATCH(77,Engine!$C$2:$C$1369,0)),"",INDEX('Compliance Database'!$A$2:$A$1369,MATCH(77,Engine!$C$2:$C$1369,0)))</f>
        <v/>
      </c>
      <c r="B90" s="8">
        <f>IF(ISNA(MATCH(77,Engine!$C$2:$C$1369,0)),"",INDEX('Compliance Database'!$B$2:$B$1369,MATCH(77,Engine!$C$2:$C$1369,0)))</f>
        <v/>
      </c>
      <c r="C90" s="8">
        <f>IF(ISNA(MATCH(77,Engine!$C$2:$C$1369,0)),"",INDEX('Compliance Database'!$C$2:$C$1369,MATCH(77,Engine!$C$2:$C$1369,0)))</f>
        <v/>
      </c>
      <c r="D90" s="9">
        <f>IF(ISNA(MATCH(77,Engine!$C$2:$C$1369,0)),"",INDEX('Compliance Database'!$D$2:$D$1369,MATCH(77,Engine!$C$2:$C$1369,0)))</f>
        <v/>
      </c>
      <c r="E90" s="8">
        <f>IF(ISNA(MATCH(77,Engine!$C$2:$C$1369,0)),"",INDEX('Compliance Database'!$E$2:$E$1369,MATCH(77,Engine!$C$2:$C$1369,0)))</f>
        <v/>
      </c>
      <c r="F90" s="8">
        <f>IF(ISNA(MATCH(77,Engine!$C$2:$C$1369,0)),"",INDEX('Compliance Database'!$F$2:$F$1369,MATCH(77,Engine!$C$2:$C$1369,0)))</f>
        <v/>
      </c>
      <c r="G90" s="8">
        <f>IF(ISNA(MATCH(77,Engine!$C$2:$C$1369,0)),"",INDEX('Compliance Database'!$G$2:$G$1369,MATCH(77,Engine!$C$2:$C$1369,0)))</f>
        <v/>
      </c>
      <c r="H90" s="9">
        <f>IF(ISNA(MATCH(77,Engine!$C$2:$C$1369,0)),"",INDEX('Compliance Database'!$H$2:$H$1369,MATCH(77,Engine!$C$2:$C$1369,0)))</f>
        <v/>
      </c>
      <c r="I90" s="9">
        <f>IF(ISNA(MATCH(77,Engine!$C$2:$C$1369,0)),"",INDEX('Compliance Database'!$I$2:$I$1369,MATCH(77,Engine!$C$2:$C$1369,0)))</f>
        <v/>
      </c>
      <c r="J90" s="8">
        <f>IF(ISNA(MATCH(77,Engine!$C$2:$C$1369,0)),"",INDEX('Compliance Database'!$J$2:$J$1369,MATCH(77,Engine!$C$2:$C$1369,0)))</f>
        <v/>
      </c>
      <c r="K90" s="9">
        <f>IF(ISNA(MATCH(77,Engine!$C$2:$C$1369,0)),"",INDEX('Compliance Database'!$K$2:$K$1369,MATCH(77,Engine!$C$2:$C$1369,0)))</f>
        <v/>
      </c>
      <c r="L90" s="9">
        <f>IF(ISNA(MATCH(77,Engine!$C$2:$C$1369,0)),"",INDEX('Compliance Database'!$L$2:$L$1369,MATCH(77,Engine!$C$2:$C$1369,0)))</f>
        <v/>
      </c>
      <c r="M90" s="9">
        <f>IF(ISNA(MATCH(77,Engine!$C$2:$C$1369,0)),"",INDEX('Compliance Database'!$M$2:$M$1369,MATCH(77,Engine!$C$2:$C$1369,0)))</f>
        <v/>
      </c>
      <c r="N90" s="9">
        <f>IF(ISNA(MATCH(77,Engine!$C$2:$C$1369,0)),"",INDEX('Compliance Database'!$N$2:$N$1369,MATCH(77,Engine!$C$2:$C$1369,0)))</f>
        <v/>
      </c>
      <c r="O90" s="8">
        <f>IF(ISNA(MATCH(77,Engine!$C$2:$C$1369,0)),"",HYPERLINK(INDEX('Compliance Database'!$O$2:$O$1369,MATCH(77,Engine!$C$2:$C$1369,0)),"Open PDF"))</f>
        <v/>
      </c>
    </row>
    <row r="91" ht="188" customHeight="1">
      <c r="A91" s="8">
        <f>IF(ISNA(MATCH(78,Engine!$C$2:$C$1369,0)),"",INDEX('Compliance Database'!$A$2:$A$1369,MATCH(78,Engine!$C$2:$C$1369,0)))</f>
        <v/>
      </c>
      <c r="B91" s="8">
        <f>IF(ISNA(MATCH(78,Engine!$C$2:$C$1369,0)),"",INDEX('Compliance Database'!$B$2:$B$1369,MATCH(78,Engine!$C$2:$C$1369,0)))</f>
        <v/>
      </c>
      <c r="C91" s="8">
        <f>IF(ISNA(MATCH(78,Engine!$C$2:$C$1369,0)),"",INDEX('Compliance Database'!$C$2:$C$1369,MATCH(78,Engine!$C$2:$C$1369,0)))</f>
        <v/>
      </c>
      <c r="D91" s="9">
        <f>IF(ISNA(MATCH(78,Engine!$C$2:$C$1369,0)),"",INDEX('Compliance Database'!$D$2:$D$1369,MATCH(78,Engine!$C$2:$C$1369,0)))</f>
        <v/>
      </c>
      <c r="E91" s="8">
        <f>IF(ISNA(MATCH(78,Engine!$C$2:$C$1369,0)),"",INDEX('Compliance Database'!$E$2:$E$1369,MATCH(78,Engine!$C$2:$C$1369,0)))</f>
        <v/>
      </c>
      <c r="F91" s="8">
        <f>IF(ISNA(MATCH(78,Engine!$C$2:$C$1369,0)),"",INDEX('Compliance Database'!$F$2:$F$1369,MATCH(78,Engine!$C$2:$C$1369,0)))</f>
        <v/>
      </c>
      <c r="G91" s="8">
        <f>IF(ISNA(MATCH(78,Engine!$C$2:$C$1369,0)),"",INDEX('Compliance Database'!$G$2:$G$1369,MATCH(78,Engine!$C$2:$C$1369,0)))</f>
        <v/>
      </c>
      <c r="H91" s="9">
        <f>IF(ISNA(MATCH(78,Engine!$C$2:$C$1369,0)),"",INDEX('Compliance Database'!$H$2:$H$1369,MATCH(78,Engine!$C$2:$C$1369,0)))</f>
        <v/>
      </c>
      <c r="I91" s="9">
        <f>IF(ISNA(MATCH(78,Engine!$C$2:$C$1369,0)),"",INDEX('Compliance Database'!$I$2:$I$1369,MATCH(78,Engine!$C$2:$C$1369,0)))</f>
        <v/>
      </c>
      <c r="J91" s="8">
        <f>IF(ISNA(MATCH(78,Engine!$C$2:$C$1369,0)),"",INDEX('Compliance Database'!$J$2:$J$1369,MATCH(78,Engine!$C$2:$C$1369,0)))</f>
        <v/>
      </c>
      <c r="K91" s="9">
        <f>IF(ISNA(MATCH(78,Engine!$C$2:$C$1369,0)),"",INDEX('Compliance Database'!$K$2:$K$1369,MATCH(78,Engine!$C$2:$C$1369,0)))</f>
        <v/>
      </c>
      <c r="L91" s="9">
        <f>IF(ISNA(MATCH(78,Engine!$C$2:$C$1369,0)),"",INDEX('Compliance Database'!$L$2:$L$1369,MATCH(78,Engine!$C$2:$C$1369,0)))</f>
        <v/>
      </c>
      <c r="M91" s="9">
        <f>IF(ISNA(MATCH(78,Engine!$C$2:$C$1369,0)),"",INDEX('Compliance Database'!$M$2:$M$1369,MATCH(78,Engine!$C$2:$C$1369,0)))</f>
        <v/>
      </c>
      <c r="N91" s="9">
        <f>IF(ISNA(MATCH(78,Engine!$C$2:$C$1369,0)),"",INDEX('Compliance Database'!$N$2:$N$1369,MATCH(78,Engine!$C$2:$C$1369,0)))</f>
        <v/>
      </c>
      <c r="O91" s="8">
        <f>IF(ISNA(MATCH(78,Engine!$C$2:$C$1369,0)),"",HYPERLINK(INDEX('Compliance Database'!$O$2:$O$1369,MATCH(78,Engine!$C$2:$C$1369,0)),"Open PDF"))</f>
        <v/>
      </c>
    </row>
    <row r="92" ht="188" customHeight="1">
      <c r="A92" s="8">
        <f>IF(ISNA(MATCH(79,Engine!$C$2:$C$1369,0)),"",INDEX('Compliance Database'!$A$2:$A$1369,MATCH(79,Engine!$C$2:$C$1369,0)))</f>
        <v/>
      </c>
      <c r="B92" s="8">
        <f>IF(ISNA(MATCH(79,Engine!$C$2:$C$1369,0)),"",INDEX('Compliance Database'!$B$2:$B$1369,MATCH(79,Engine!$C$2:$C$1369,0)))</f>
        <v/>
      </c>
      <c r="C92" s="8">
        <f>IF(ISNA(MATCH(79,Engine!$C$2:$C$1369,0)),"",INDEX('Compliance Database'!$C$2:$C$1369,MATCH(79,Engine!$C$2:$C$1369,0)))</f>
        <v/>
      </c>
      <c r="D92" s="9">
        <f>IF(ISNA(MATCH(79,Engine!$C$2:$C$1369,0)),"",INDEX('Compliance Database'!$D$2:$D$1369,MATCH(79,Engine!$C$2:$C$1369,0)))</f>
        <v/>
      </c>
      <c r="E92" s="8">
        <f>IF(ISNA(MATCH(79,Engine!$C$2:$C$1369,0)),"",INDEX('Compliance Database'!$E$2:$E$1369,MATCH(79,Engine!$C$2:$C$1369,0)))</f>
        <v/>
      </c>
      <c r="F92" s="8">
        <f>IF(ISNA(MATCH(79,Engine!$C$2:$C$1369,0)),"",INDEX('Compliance Database'!$F$2:$F$1369,MATCH(79,Engine!$C$2:$C$1369,0)))</f>
        <v/>
      </c>
      <c r="G92" s="8">
        <f>IF(ISNA(MATCH(79,Engine!$C$2:$C$1369,0)),"",INDEX('Compliance Database'!$G$2:$G$1369,MATCH(79,Engine!$C$2:$C$1369,0)))</f>
        <v/>
      </c>
      <c r="H92" s="9">
        <f>IF(ISNA(MATCH(79,Engine!$C$2:$C$1369,0)),"",INDEX('Compliance Database'!$H$2:$H$1369,MATCH(79,Engine!$C$2:$C$1369,0)))</f>
        <v/>
      </c>
      <c r="I92" s="9">
        <f>IF(ISNA(MATCH(79,Engine!$C$2:$C$1369,0)),"",INDEX('Compliance Database'!$I$2:$I$1369,MATCH(79,Engine!$C$2:$C$1369,0)))</f>
        <v/>
      </c>
      <c r="J92" s="8">
        <f>IF(ISNA(MATCH(79,Engine!$C$2:$C$1369,0)),"",INDEX('Compliance Database'!$J$2:$J$1369,MATCH(79,Engine!$C$2:$C$1369,0)))</f>
        <v/>
      </c>
      <c r="K92" s="9">
        <f>IF(ISNA(MATCH(79,Engine!$C$2:$C$1369,0)),"",INDEX('Compliance Database'!$K$2:$K$1369,MATCH(79,Engine!$C$2:$C$1369,0)))</f>
        <v/>
      </c>
      <c r="L92" s="9">
        <f>IF(ISNA(MATCH(79,Engine!$C$2:$C$1369,0)),"",INDEX('Compliance Database'!$L$2:$L$1369,MATCH(79,Engine!$C$2:$C$1369,0)))</f>
        <v/>
      </c>
      <c r="M92" s="9">
        <f>IF(ISNA(MATCH(79,Engine!$C$2:$C$1369,0)),"",INDEX('Compliance Database'!$M$2:$M$1369,MATCH(79,Engine!$C$2:$C$1369,0)))</f>
        <v/>
      </c>
      <c r="N92" s="9">
        <f>IF(ISNA(MATCH(79,Engine!$C$2:$C$1369,0)),"",INDEX('Compliance Database'!$N$2:$N$1369,MATCH(79,Engine!$C$2:$C$1369,0)))</f>
        <v/>
      </c>
      <c r="O92" s="8">
        <f>IF(ISNA(MATCH(79,Engine!$C$2:$C$1369,0)),"",HYPERLINK(INDEX('Compliance Database'!$O$2:$O$1369,MATCH(79,Engine!$C$2:$C$1369,0)),"Open PDF"))</f>
        <v/>
      </c>
    </row>
    <row r="93" ht="188" customHeight="1">
      <c r="A93" s="8">
        <f>IF(ISNA(MATCH(80,Engine!$C$2:$C$1369,0)),"",INDEX('Compliance Database'!$A$2:$A$1369,MATCH(80,Engine!$C$2:$C$1369,0)))</f>
        <v/>
      </c>
      <c r="B93" s="8">
        <f>IF(ISNA(MATCH(80,Engine!$C$2:$C$1369,0)),"",INDEX('Compliance Database'!$B$2:$B$1369,MATCH(80,Engine!$C$2:$C$1369,0)))</f>
        <v/>
      </c>
      <c r="C93" s="8">
        <f>IF(ISNA(MATCH(80,Engine!$C$2:$C$1369,0)),"",INDEX('Compliance Database'!$C$2:$C$1369,MATCH(80,Engine!$C$2:$C$1369,0)))</f>
        <v/>
      </c>
      <c r="D93" s="9">
        <f>IF(ISNA(MATCH(80,Engine!$C$2:$C$1369,0)),"",INDEX('Compliance Database'!$D$2:$D$1369,MATCH(80,Engine!$C$2:$C$1369,0)))</f>
        <v/>
      </c>
      <c r="E93" s="8">
        <f>IF(ISNA(MATCH(80,Engine!$C$2:$C$1369,0)),"",INDEX('Compliance Database'!$E$2:$E$1369,MATCH(80,Engine!$C$2:$C$1369,0)))</f>
        <v/>
      </c>
      <c r="F93" s="8">
        <f>IF(ISNA(MATCH(80,Engine!$C$2:$C$1369,0)),"",INDEX('Compliance Database'!$F$2:$F$1369,MATCH(80,Engine!$C$2:$C$1369,0)))</f>
        <v/>
      </c>
      <c r="G93" s="8">
        <f>IF(ISNA(MATCH(80,Engine!$C$2:$C$1369,0)),"",INDEX('Compliance Database'!$G$2:$G$1369,MATCH(80,Engine!$C$2:$C$1369,0)))</f>
        <v/>
      </c>
      <c r="H93" s="9">
        <f>IF(ISNA(MATCH(80,Engine!$C$2:$C$1369,0)),"",INDEX('Compliance Database'!$H$2:$H$1369,MATCH(80,Engine!$C$2:$C$1369,0)))</f>
        <v/>
      </c>
      <c r="I93" s="9">
        <f>IF(ISNA(MATCH(80,Engine!$C$2:$C$1369,0)),"",INDEX('Compliance Database'!$I$2:$I$1369,MATCH(80,Engine!$C$2:$C$1369,0)))</f>
        <v/>
      </c>
      <c r="J93" s="8">
        <f>IF(ISNA(MATCH(80,Engine!$C$2:$C$1369,0)),"",INDEX('Compliance Database'!$J$2:$J$1369,MATCH(80,Engine!$C$2:$C$1369,0)))</f>
        <v/>
      </c>
      <c r="K93" s="9">
        <f>IF(ISNA(MATCH(80,Engine!$C$2:$C$1369,0)),"",INDEX('Compliance Database'!$K$2:$K$1369,MATCH(80,Engine!$C$2:$C$1369,0)))</f>
        <v/>
      </c>
      <c r="L93" s="9">
        <f>IF(ISNA(MATCH(80,Engine!$C$2:$C$1369,0)),"",INDEX('Compliance Database'!$L$2:$L$1369,MATCH(80,Engine!$C$2:$C$1369,0)))</f>
        <v/>
      </c>
      <c r="M93" s="9">
        <f>IF(ISNA(MATCH(80,Engine!$C$2:$C$1369,0)),"",INDEX('Compliance Database'!$M$2:$M$1369,MATCH(80,Engine!$C$2:$C$1369,0)))</f>
        <v/>
      </c>
      <c r="N93" s="9">
        <f>IF(ISNA(MATCH(80,Engine!$C$2:$C$1369,0)),"",INDEX('Compliance Database'!$N$2:$N$1369,MATCH(80,Engine!$C$2:$C$1369,0)))</f>
        <v/>
      </c>
      <c r="O93" s="8">
        <f>IF(ISNA(MATCH(80,Engine!$C$2:$C$1369,0)),"",HYPERLINK(INDEX('Compliance Database'!$O$2:$O$1369,MATCH(80,Engine!$C$2:$C$1369,0)),"Open PDF"))</f>
        <v/>
      </c>
    </row>
    <row r="94" ht="188" customHeight="1">
      <c r="A94" s="8">
        <f>IF(ISNA(MATCH(81,Engine!$C$2:$C$1369,0)),"",INDEX('Compliance Database'!$A$2:$A$1369,MATCH(81,Engine!$C$2:$C$1369,0)))</f>
        <v/>
      </c>
      <c r="B94" s="8">
        <f>IF(ISNA(MATCH(81,Engine!$C$2:$C$1369,0)),"",INDEX('Compliance Database'!$B$2:$B$1369,MATCH(81,Engine!$C$2:$C$1369,0)))</f>
        <v/>
      </c>
      <c r="C94" s="8">
        <f>IF(ISNA(MATCH(81,Engine!$C$2:$C$1369,0)),"",INDEX('Compliance Database'!$C$2:$C$1369,MATCH(81,Engine!$C$2:$C$1369,0)))</f>
        <v/>
      </c>
      <c r="D94" s="9">
        <f>IF(ISNA(MATCH(81,Engine!$C$2:$C$1369,0)),"",INDEX('Compliance Database'!$D$2:$D$1369,MATCH(81,Engine!$C$2:$C$1369,0)))</f>
        <v/>
      </c>
      <c r="E94" s="8">
        <f>IF(ISNA(MATCH(81,Engine!$C$2:$C$1369,0)),"",INDEX('Compliance Database'!$E$2:$E$1369,MATCH(81,Engine!$C$2:$C$1369,0)))</f>
        <v/>
      </c>
      <c r="F94" s="8">
        <f>IF(ISNA(MATCH(81,Engine!$C$2:$C$1369,0)),"",INDEX('Compliance Database'!$F$2:$F$1369,MATCH(81,Engine!$C$2:$C$1369,0)))</f>
        <v/>
      </c>
      <c r="G94" s="8">
        <f>IF(ISNA(MATCH(81,Engine!$C$2:$C$1369,0)),"",INDEX('Compliance Database'!$G$2:$G$1369,MATCH(81,Engine!$C$2:$C$1369,0)))</f>
        <v/>
      </c>
      <c r="H94" s="9">
        <f>IF(ISNA(MATCH(81,Engine!$C$2:$C$1369,0)),"",INDEX('Compliance Database'!$H$2:$H$1369,MATCH(81,Engine!$C$2:$C$1369,0)))</f>
        <v/>
      </c>
      <c r="I94" s="9">
        <f>IF(ISNA(MATCH(81,Engine!$C$2:$C$1369,0)),"",INDEX('Compliance Database'!$I$2:$I$1369,MATCH(81,Engine!$C$2:$C$1369,0)))</f>
        <v/>
      </c>
      <c r="J94" s="8">
        <f>IF(ISNA(MATCH(81,Engine!$C$2:$C$1369,0)),"",INDEX('Compliance Database'!$J$2:$J$1369,MATCH(81,Engine!$C$2:$C$1369,0)))</f>
        <v/>
      </c>
      <c r="K94" s="9">
        <f>IF(ISNA(MATCH(81,Engine!$C$2:$C$1369,0)),"",INDEX('Compliance Database'!$K$2:$K$1369,MATCH(81,Engine!$C$2:$C$1369,0)))</f>
        <v/>
      </c>
      <c r="L94" s="9">
        <f>IF(ISNA(MATCH(81,Engine!$C$2:$C$1369,0)),"",INDEX('Compliance Database'!$L$2:$L$1369,MATCH(81,Engine!$C$2:$C$1369,0)))</f>
        <v/>
      </c>
      <c r="M94" s="9">
        <f>IF(ISNA(MATCH(81,Engine!$C$2:$C$1369,0)),"",INDEX('Compliance Database'!$M$2:$M$1369,MATCH(81,Engine!$C$2:$C$1369,0)))</f>
        <v/>
      </c>
      <c r="N94" s="9">
        <f>IF(ISNA(MATCH(81,Engine!$C$2:$C$1369,0)),"",INDEX('Compliance Database'!$N$2:$N$1369,MATCH(81,Engine!$C$2:$C$1369,0)))</f>
        <v/>
      </c>
      <c r="O94" s="8">
        <f>IF(ISNA(MATCH(81,Engine!$C$2:$C$1369,0)),"",HYPERLINK(INDEX('Compliance Database'!$O$2:$O$1369,MATCH(81,Engine!$C$2:$C$1369,0)),"Open PDF"))</f>
        <v/>
      </c>
    </row>
    <row r="95" ht="188" customHeight="1">
      <c r="A95" s="8">
        <f>IF(ISNA(MATCH(82,Engine!$C$2:$C$1369,0)),"",INDEX('Compliance Database'!$A$2:$A$1369,MATCH(82,Engine!$C$2:$C$1369,0)))</f>
        <v/>
      </c>
      <c r="B95" s="8">
        <f>IF(ISNA(MATCH(82,Engine!$C$2:$C$1369,0)),"",INDEX('Compliance Database'!$B$2:$B$1369,MATCH(82,Engine!$C$2:$C$1369,0)))</f>
        <v/>
      </c>
      <c r="C95" s="8">
        <f>IF(ISNA(MATCH(82,Engine!$C$2:$C$1369,0)),"",INDEX('Compliance Database'!$C$2:$C$1369,MATCH(82,Engine!$C$2:$C$1369,0)))</f>
        <v/>
      </c>
      <c r="D95" s="9">
        <f>IF(ISNA(MATCH(82,Engine!$C$2:$C$1369,0)),"",INDEX('Compliance Database'!$D$2:$D$1369,MATCH(82,Engine!$C$2:$C$1369,0)))</f>
        <v/>
      </c>
      <c r="E95" s="8">
        <f>IF(ISNA(MATCH(82,Engine!$C$2:$C$1369,0)),"",INDEX('Compliance Database'!$E$2:$E$1369,MATCH(82,Engine!$C$2:$C$1369,0)))</f>
        <v/>
      </c>
      <c r="F95" s="8">
        <f>IF(ISNA(MATCH(82,Engine!$C$2:$C$1369,0)),"",INDEX('Compliance Database'!$F$2:$F$1369,MATCH(82,Engine!$C$2:$C$1369,0)))</f>
        <v/>
      </c>
      <c r="G95" s="8">
        <f>IF(ISNA(MATCH(82,Engine!$C$2:$C$1369,0)),"",INDEX('Compliance Database'!$G$2:$G$1369,MATCH(82,Engine!$C$2:$C$1369,0)))</f>
        <v/>
      </c>
      <c r="H95" s="9">
        <f>IF(ISNA(MATCH(82,Engine!$C$2:$C$1369,0)),"",INDEX('Compliance Database'!$H$2:$H$1369,MATCH(82,Engine!$C$2:$C$1369,0)))</f>
        <v/>
      </c>
      <c r="I95" s="9">
        <f>IF(ISNA(MATCH(82,Engine!$C$2:$C$1369,0)),"",INDEX('Compliance Database'!$I$2:$I$1369,MATCH(82,Engine!$C$2:$C$1369,0)))</f>
        <v/>
      </c>
      <c r="J95" s="8">
        <f>IF(ISNA(MATCH(82,Engine!$C$2:$C$1369,0)),"",INDEX('Compliance Database'!$J$2:$J$1369,MATCH(82,Engine!$C$2:$C$1369,0)))</f>
        <v/>
      </c>
      <c r="K95" s="9">
        <f>IF(ISNA(MATCH(82,Engine!$C$2:$C$1369,0)),"",INDEX('Compliance Database'!$K$2:$K$1369,MATCH(82,Engine!$C$2:$C$1369,0)))</f>
        <v/>
      </c>
      <c r="L95" s="9">
        <f>IF(ISNA(MATCH(82,Engine!$C$2:$C$1369,0)),"",INDEX('Compliance Database'!$L$2:$L$1369,MATCH(82,Engine!$C$2:$C$1369,0)))</f>
        <v/>
      </c>
      <c r="M95" s="9">
        <f>IF(ISNA(MATCH(82,Engine!$C$2:$C$1369,0)),"",INDEX('Compliance Database'!$M$2:$M$1369,MATCH(82,Engine!$C$2:$C$1369,0)))</f>
        <v/>
      </c>
      <c r="N95" s="9">
        <f>IF(ISNA(MATCH(82,Engine!$C$2:$C$1369,0)),"",INDEX('Compliance Database'!$N$2:$N$1369,MATCH(82,Engine!$C$2:$C$1369,0)))</f>
        <v/>
      </c>
      <c r="O95" s="8">
        <f>IF(ISNA(MATCH(82,Engine!$C$2:$C$1369,0)),"",HYPERLINK(INDEX('Compliance Database'!$O$2:$O$1369,MATCH(82,Engine!$C$2:$C$1369,0)),"Open PDF"))</f>
        <v/>
      </c>
    </row>
    <row r="96" ht="188" customHeight="1">
      <c r="A96" s="8">
        <f>IF(ISNA(MATCH(83,Engine!$C$2:$C$1369,0)),"",INDEX('Compliance Database'!$A$2:$A$1369,MATCH(83,Engine!$C$2:$C$1369,0)))</f>
        <v/>
      </c>
      <c r="B96" s="8">
        <f>IF(ISNA(MATCH(83,Engine!$C$2:$C$1369,0)),"",INDEX('Compliance Database'!$B$2:$B$1369,MATCH(83,Engine!$C$2:$C$1369,0)))</f>
        <v/>
      </c>
      <c r="C96" s="8">
        <f>IF(ISNA(MATCH(83,Engine!$C$2:$C$1369,0)),"",INDEX('Compliance Database'!$C$2:$C$1369,MATCH(83,Engine!$C$2:$C$1369,0)))</f>
        <v/>
      </c>
      <c r="D96" s="9">
        <f>IF(ISNA(MATCH(83,Engine!$C$2:$C$1369,0)),"",INDEX('Compliance Database'!$D$2:$D$1369,MATCH(83,Engine!$C$2:$C$1369,0)))</f>
        <v/>
      </c>
      <c r="E96" s="8">
        <f>IF(ISNA(MATCH(83,Engine!$C$2:$C$1369,0)),"",INDEX('Compliance Database'!$E$2:$E$1369,MATCH(83,Engine!$C$2:$C$1369,0)))</f>
        <v/>
      </c>
      <c r="F96" s="8">
        <f>IF(ISNA(MATCH(83,Engine!$C$2:$C$1369,0)),"",INDEX('Compliance Database'!$F$2:$F$1369,MATCH(83,Engine!$C$2:$C$1369,0)))</f>
        <v/>
      </c>
      <c r="G96" s="8">
        <f>IF(ISNA(MATCH(83,Engine!$C$2:$C$1369,0)),"",INDEX('Compliance Database'!$G$2:$G$1369,MATCH(83,Engine!$C$2:$C$1369,0)))</f>
        <v/>
      </c>
      <c r="H96" s="9">
        <f>IF(ISNA(MATCH(83,Engine!$C$2:$C$1369,0)),"",INDEX('Compliance Database'!$H$2:$H$1369,MATCH(83,Engine!$C$2:$C$1369,0)))</f>
        <v/>
      </c>
      <c r="I96" s="9">
        <f>IF(ISNA(MATCH(83,Engine!$C$2:$C$1369,0)),"",INDEX('Compliance Database'!$I$2:$I$1369,MATCH(83,Engine!$C$2:$C$1369,0)))</f>
        <v/>
      </c>
      <c r="J96" s="8">
        <f>IF(ISNA(MATCH(83,Engine!$C$2:$C$1369,0)),"",INDEX('Compliance Database'!$J$2:$J$1369,MATCH(83,Engine!$C$2:$C$1369,0)))</f>
        <v/>
      </c>
      <c r="K96" s="9">
        <f>IF(ISNA(MATCH(83,Engine!$C$2:$C$1369,0)),"",INDEX('Compliance Database'!$K$2:$K$1369,MATCH(83,Engine!$C$2:$C$1369,0)))</f>
        <v/>
      </c>
      <c r="L96" s="9">
        <f>IF(ISNA(MATCH(83,Engine!$C$2:$C$1369,0)),"",INDEX('Compliance Database'!$L$2:$L$1369,MATCH(83,Engine!$C$2:$C$1369,0)))</f>
        <v/>
      </c>
      <c r="M96" s="9">
        <f>IF(ISNA(MATCH(83,Engine!$C$2:$C$1369,0)),"",INDEX('Compliance Database'!$M$2:$M$1369,MATCH(83,Engine!$C$2:$C$1369,0)))</f>
        <v/>
      </c>
      <c r="N96" s="9">
        <f>IF(ISNA(MATCH(83,Engine!$C$2:$C$1369,0)),"",INDEX('Compliance Database'!$N$2:$N$1369,MATCH(83,Engine!$C$2:$C$1369,0)))</f>
        <v/>
      </c>
      <c r="O96" s="8">
        <f>IF(ISNA(MATCH(83,Engine!$C$2:$C$1369,0)),"",HYPERLINK(INDEX('Compliance Database'!$O$2:$O$1369,MATCH(83,Engine!$C$2:$C$1369,0)),"Open PDF"))</f>
        <v/>
      </c>
    </row>
    <row r="97" ht="188" customHeight="1">
      <c r="A97" s="8">
        <f>IF(ISNA(MATCH(84,Engine!$C$2:$C$1369,0)),"",INDEX('Compliance Database'!$A$2:$A$1369,MATCH(84,Engine!$C$2:$C$1369,0)))</f>
        <v/>
      </c>
      <c r="B97" s="8">
        <f>IF(ISNA(MATCH(84,Engine!$C$2:$C$1369,0)),"",INDEX('Compliance Database'!$B$2:$B$1369,MATCH(84,Engine!$C$2:$C$1369,0)))</f>
        <v/>
      </c>
      <c r="C97" s="8">
        <f>IF(ISNA(MATCH(84,Engine!$C$2:$C$1369,0)),"",INDEX('Compliance Database'!$C$2:$C$1369,MATCH(84,Engine!$C$2:$C$1369,0)))</f>
        <v/>
      </c>
      <c r="D97" s="9">
        <f>IF(ISNA(MATCH(84,Engine!$C$2:$C$1369,0)),"",INDEX('Compliance Database'!$D$2:$D$1369,MATCH(84,Engine!$C$2:$C$1369,0)))</f>
        <v/>
      </c>
      <c r="E97" s="8">
        <f>IF(ISNA(MATCH(84,Engine!$C$2:$C$1369,0)),"",INDEX('Compliance Database'!$E$2:$E$1369,MATCH(84,Engine!$C$2:$C$1369,0)))</f>
        <v/>
      </c>
      <c r="F97" s="8">
        <f>IF(ISNA(MATCH(84,Engine!$C$2:$C$1369,0)),"",INDEX('Compliance Database'!$F$2:$F$1369,MATCH(84,Engine!$C$2:$C$1369,0)))</f>
        <v/>
      </c>
      <c r="G97" s="8">
        <f>IF(ISNA(MATCH(84,Engine!$C$2:$C$1369,0)),"",INDEX('Compliance Database'!$G$2:$G$1369,MATCH(84,Engine!$C$2:$C$1369,0)))</f>
        <v/>
      </c>
      <c r="H97" s="9">
        <f>IF(ISNA(MATCH(84,Engine!$C$2:$C$1369,0)),"",INDEX('Compliance Database'!$H$2:$H$1369,MATCH(84,Engine!$C$2:$C$1369,0)))</f>
        <v/>
      </c>
      <c r="I97" s="9">
        <f>IF(ISNA(MATCH(84,Engine!$C$2:$C$1369,0)),"",INDEX('Compliance Database'!$I$2:$I$1369,MATCH(84,Engine!$C$2:$C$1369,0)))</f>
        <v/>
      </c>
      <c r="J97" s="8">
        <f>IF(ISNA(MATCH(84,Engine!$C$2:$C$1369,0)),"",INDEX('Compliance Database'!$J$2:$J$1369,MATCH(84,Engine!$C$2:$C$1369,0)))</f>
        <v/>
      </c>
      <c r="K97" s="9">
        <f>IF(ISNA(MATCH(84,Engine!$C$2:$C$1369,0)),"",INDEX('Compliance Database'!$K$2:$K$1369,MATCH(84,Engine!$C$2:$C$1369,0)))</f>
        <v/>
      </c>
      <c r="L97" s="9">
        <f>IF(ISNA(MATCH(84,Engine!$C$2:$C$1369,0)),"",INDEX('Compliance Database'!$L$2:$L$1369,MATCH(84,Engine!$C$2:$C$1369,0)))</f>
        <v/>
      </c>
      <c r="M97" s="9">
        <f>IF(ISNA(MATCH(84,Engine!$C$2:$C$1369,0)),"",INDEX('Compliance Database'!$M$2:$M$1369,MATCH(84,Engine!$C$2:$C$1369,0)))</f>
        <v/>
      </c>
      <c r="N97" s="9">
        <f>IF(ISNA(MATCH(84,Engine!$C$2:$C$1369,0)),"",INDEX('Compliance Database'!$N$2:$N$1369,MATCH(84,Engine!$C$2:$C$1369,0)))</f>
        <v/>
      </c>
      <c r="O97" s="8">
        <f>IF(ISNA(MATCH(84,Engine!$C$2:$C$1369,0)),"",HYPERLINK(INDEX('Compliance Database'!$O$2:$O$1369,MATCH(84,Engine!$C$2:$C$1369,0)),"Open PDF"))</f>
        <v/>
      </c>
    </row>
    <row r="98" ht="188" customHeight="1">
      <c r="A98" s="8">
        <f>IF(ISNA(MATCH(85,Engine!$C$2:$C$1369,0)),"",INDEX('Compliance Database'!$A$2:$A$1369,MATCH(85,Engine!$C$2:$C$1369,0)))</f>
        <v/>
      </c>
      <c r="B98" s="8">
        <f>IF(ISNA(MATCH(85,Engine!$C$2:$C$1369,0)),"",INDEX('Compliance Database'!$B$2:$B$1369,MATCH(85,Engine!$C$2:$C$1369,0)))</f>
        <v/>
      </c>
      <c r="C98" s="8">
        <f>IF(ISNA(MATCH(85,Engine!$C$2:$C$1369,0)),"",INDEX('Compliance Database'!$C$2:$C$1369,MATCH(85,Engine!$C$2:$C$1369,0)))</f>
        <v/>
      </c>
      <c r="D98" s="9">
        <f>IF(ISNA(MATCH(85,Engine!$C$2:$C$1369,0)),"",INDEX('Compliance Database'!$D$2:$D$1369,MATCH(85,Engine!$C$2:$C$1369,0)))</f>
        <v/>
      </c>
      <c r="E98" s="8">
        <f>IF(ISNA(MATCH(85,Engine!$C$2:$C$1369,0)),"",INDEX('Compliance Database'!$E$2:$E$1369,MATCH(85,Engine!$C$2:$C$1369,0)))</f>
        <v/>
      </c>
      <c r="F98" s="8">
        <f>IF(ISNA(MATCH(85,Engine!$C$2:$C$1369,0)),"",INDEX('Compliance Database'!$F$2:$F$1369,MATCH(85,Engine!$C$2:$C$1369,0)))</f>
        <v/>
      </c>
      <c r="G98" s="8">
        <f>IF(ISNA(MATCH(85,Engine!$C$2:$C$1369,0)),"",INDEX('Compliance Database'!$G$2:$G$1369,MATCH(85,Engine!$C$2:$C$1369,0)))</f>
        <v/>
      </c>
      <c r="H98" s="9">
        <f>IF(ISNA(MATCH(85,Engine!$C$2:$C$1369,0)),"",INDEX('Compliance Database'!$H$2:$H$1369,MATCH(85,Engine!$C$2:$C$1369,0)))</f>
        <v/>
      </c>
      <c r="I98" s="9">
        <f>IF(ISNA(MATCH(85,Engine!$C$2:$C$1369,0)),"",INDEX('Compliance Database'!$I$2:$I$1369,MATCH(85,Engine!$C$2:$C$1369,0)))</f>
        <v/>
      </c>
      <c r="J98" s="8">
        <f>IF(ISNA(MATCH(85,Engine!$C$2:$C$1369,0)),"",INDEX('Compliance Database'!$J$2:$J$1369,MATCH(85,Engine!$C$2:$C$1369,0)))</f>
        <v/>
      </c>
      <c r="K98" s="9">
        <f>IF(ISNA(MATCH(85,Engine!$C$2:$C$1369,0)),"",INDEX('Compliance Database'!$K$2:$K$1369,MATCH(85,Engine!$C$2:$C$1369,0)))</f>
        <v/>
      </c>
      <c r="L98" s="9">
        <f>IF(ISNA(MATCH(85,Engine!$C$2:$C$1369,0)),"",INDEX('Compliance Database'!$L$2:$L$1369,MATCH(85,Engine!$C$2:$C$1369,0)))</f>
        <v/>
      </c>
      <c r="M98" s="9">
        <f>IF(ISNA(MATCH(85,Engine!$C$2:$C$1369,0)),"",INDEX('Compliance Database'!$M$2:$M$1369,MATCH(85,Engine!$C$2:$C$1369,0)))</f>
        <v/>
      </c>
      <c r="N98" s="9">
        <f>IF(ISNA(MATCH(85,Engine!$C$2:$C$1369,0)),"",INDEX('Compliance Database'!$N$2:$N$1369,MATCH(85,Engine!$C$2:$C$1369,0)))</f>
        <v/>
      </c>
      <c r="O98" s="8">
        <f>IF(ISNA(MATCH(85,Engine!$C$2:$C$1369,0)),"",HYPERLINK(INDEX('Compliance Database'!$O$2:$O$1369,MATCH(85,Engine!$C$2:$C$1369,0)),"Open PDF"))</f>
        <v/>
      </c>
    </row>
    <row r="99" ht="188" customHeight="1">
      <c r="A99" s="8">
        <f>IF(ISNA(MATCH(86,Engine!$C$2:$C$1369,0)),"",INDEX('Compliance Database'!$A$2:$A$1369,MATCH(86,Engine!$C$2:$C$1369,0)))</f>
        <v/>
      </c>
      <c r="B99" s="8">
        <f>IF(ISNA(MATCH(86,Engine!$C$2:$C$1369,0)),"",INDEX('Compliance Database'!$B$2:$B$1369,MATCH(86,Engine!$C$2:$C$1369,0)))</f>
        <v/>
      </c>
      <c r="C99" s="8">
        <f>IF(ISNA(MATCH(86,Engine!$C$2:$C$1369,0)),"",INDEX('Compliance Database'!$C$2:$C$1369,MATCH(86,Engine!$C$2:$C$1369,0)))</f>
        <v/>
      </c>
      <c r="D99" s="9">
        <f>IF(ISNA(MATCH(86,Engine!$C$2:$C$1369,0)),"",INDEX('Compliance Database'!$D$2:$D$1369,MATCH(86,Engine!$C$2:$C$1369,0)))</f>
        <v/>
      </c>
      <c r="E99" s="8">
        <f>IF(ISNA(MATCH(86,Engine!$C$2:$C$1369,0)),"",INDEX('Compliance Database'!$E$2:$E$1369,MATCH(86,Engine!$C$2:$C$1369,0)))</f>
        <v/>
      </c>
      <c r="F99" s="8">
        <f>IF(ISNA(MATCH(86,Engine!$C$2:$C$1369,0)),"",INDEX('Compliance Database'!$F$2:$F$1369,MATCH(86,Engine!$C$2:$C$1369,0)))</f>
        <v/>
      </c>
      <c r="G99" s="8">
        <f>IF(ISNA(MATCH(86,Engine!$C$2:$C$1369,0)),"",INDEX('Compliance Database'!$G$2:$G$1369,MATCH(86,Engine!$C$2:$C$1369,0)))</f>
        <v/>
      </c>
      <c r="H99" s="9">
        <f>IF(ISNA(MATCH(86,Engine!$C$2:$C$1369,0)),"",INDEX('Compliance Database'!$H$2:$H$1369,MATCH(86,Engine!$C$2:$C$1369,0)))</f>
        <v/>
      </c>
      <c r="I99" s="9">
        <f>IF(ISNA(MATCH(86,Engine!$C$2:$C$1369,0)),"",INDEX('Compliance Database'!$I$2:$I$1369,MATCH(86,Engine!$C$2:$C$1369,0)))</f>
        <v/>
      </c>
      <c r="J99" s="8">
        <f>IF(ISNA(MATCH(86,Engine!$C$2:$C$1369,0)),"",INDEX('Compliance Database'!$J$2:$J$1369,MATCH(86,Engine!$C$2:$C$1369,0)))</f>
        <v/>
      </c>
      <c r="K99" s="9">
        <f>IF(ISNA(MATCH(86,Engine!$C$2:$C$1369,0)),"",INDEX('Compliance Database'!$K$2:$K$1369,MATCH(86,Engine!$C$2:$C$1369,0)))</f>
        <v/>
      </c>
      <c r="L99" s="9">
        <f>IF(ISNA(MATCH(86,Engine!$C$2:$C$1369,0)),"",INDEX('Compliance Database'!$L$2:$L$1369,MATCH(86,Engine!$C$2:$C$1369,0)))</f>
        <v/>
      </c>
      <c r="M99" s="9">
        <f>IF(ISNA(MATCH(86,Engine!$C$2:$C$1369,0)),"",INDEX('Compliance Database'!$M$2:$M$1369,MATCH(86,Engine!$C$2:$C$1369,0)))</f>
        <v/>
      </c>
      <c r="N99" s="9">
        <f>IF(ISNA(MATCH(86,Engine!$C$2:$C$1369,0)),"",INDEX('Compliance Database'!$N$2:$N$1369,MATCH(86,Engine!$C$2:$C$1369,0)))</f>
        <v/>
      </c>
      <c r="O99" s="8">
        <f>IF(ISNA(MATCH(86,Engine!$C$2:$C$1369,0)),"",HYPERLINK(INDEX('Compliance Database'!$O$2:$O$1369,MATCH(86,Engine!$C$2:$C$1369,0)),"Open PDF"))</f>
        <v/>
      </c>
    </row>
    <row r="100" ht="188" customHeight="1">
      <c r="A100" s="8">
        <f>IF(ISNA(MATCH(87,Engine!$C$2:$C$1369,0)),"",INDEX('Compliance Database'!$A$2:$A$1369,MATCH(87,Engine!$C$2:$C$1369,0)))</f>
        <v/>
      </c>
      <c r="B100" s="8">
        <f>IF(ISNA(MATCH(87,Engine!$C$2:$C$1369,0)),"",INDEX('Compliance Database'!$B$2:$B$1369,MATCH(87,Engine!$C$2:$C$1369,0)))</f>
        <v/>
      </c>
      <c r="C100" s="8">
        <f>IF(ISNA(MATCH(87,Engine!$C$2:$C$1369,0)),"",INDEX('Compliance Database'!$C$2:$C$1369,MATCH(87,Engine!$C$2:$C$1369,0)))</f>
        <v/>
      </c>
      <c r="D100" s="9">
        <f>IF(ISNA(MATCH(87,Engine!$C$2:$C$1369,0)),"",INDEX('Compliance Database'!$D$2:$D$1369,MATCH(87,Engine!$C$2:$C$1369,0)))</f>
        <v/>
      </c>
      <c r="E100" s="8">
        <f>IF(ISNA(MATCH(87,Engine!$C$2:$C$1369,0)),"",INDEX('Compliance Database'!$E$2:$E$1369,MATCH(87,Engine!$C$2:$C$1369,0)))</f>
        <v/>
      </c>
      <c r="F100" s="8">
        <f>IF(ISNA(MATCH(87,Engine!$C$2:$C$1369,0)),"",INDEX('Compliance Database'!$F$2:$F$1369,MATCH(87,Engine!$C$2:$C$1369,0)))</f>
        <v/>
      </c>
      <c r="G100" s="8">
        <f>IF(ISNA(MATCH(87,Engine!$C$2:$C$1369,0)),"",INDEX('Compliance Database'!$G$2:$G$1369,MATCH(87,Engine!$C$2:$C$1369,0)))</f>
        <v/>
      </c>
      <c r="H100" s="9">
        <f>IF(ISNA(MATCH(87,Engine!$C$2:$C$1369,0)),"",INDEX('Compliance Database'!$H$2:$H$1369,MATCH(87,Engine!$C$2:$C$1369,0)))</f>
        <v/>
      </c>
      <c r="I100" s="9">
        <f>IF(ISNA(MATCH(87,Engine!$C$2:$C$1369,0)),"",INDEX('Compliance Database'!$I$2:$I$1369,MATCH(87,Engine!$C$2:$C$1369,0)))</f>
        <v/>
      </c>
      <c r="J100" s="8">
        <f>IF(ISNA(MATCH(87,Engine!$C$2:$C$1369,0)),"",INDEX('Compliance Database'!$J$2:$J$1369,MATCH(87,Engine!$C$2:$C$1369,0)))</f>
        <v/>
      </c>
      <c r="K100" s="9">
        <f>IF(ISNA(MATCH(87,Engine!$C$2:$C$1369,0)),"",INDEX('Compliance Database'!$K$2:$K$1369,MATCH(87,Engine!$C$2:$C$1369,0)))</f>
        <v/>
      </c>
      <c r="L100" s="9">
        <f>IF(ISNA(MATCH(87,Engine!$C$2:$C$1369,0)),"",INDEX('Compliance Database'!$L$2:$L$1369,MATCH(87,Engine!$C$2:$C$1369,0)))</f>
        <v/>
      </c>
      <c r="M100" s="9">
        <f>IF(ISNA(MATCH(87,Engine!$C$2:$C$1369,0)),"",INDEX('Compliance Database'!$M$2:$M$1369,MATCH(87,Engine!$C$2:$C$1369,0)))</f>
        <v/>
      </c>
      <c r="N100" s="9">
        <f>IF(ISNA(MATCH(87,Engine!$C$2:$C$1369,0)),"",INDEX('Compliance Database'!$N$2:$N$1369,MATCH(87,Engine!$C$2:$C$1369,0)))</f>
        <v/>
      </c>
      <c r="O100" s="8">
        <f>IF(ISNA(MATCH(87,Engine!$C$2:$C$1369,0)),"",HYPERLINK(INDEX('Compliance Database'!$O$2:$O$1369,MATCH(87,Engine!$C$2:$C$1369,0)),"Open PDF"))</f>
        <v/>
      </c>
    </row>
    <row r="101" ht="188" customHeight="1">
      <c r="A101" s="8">
        <f>IF(ISNA(MATCH(88,Engine!$C$2:$C$1369,0)),"",INDEX('Compliance Database'!$A$2:$A$1369,MATCH(88,Engine!$C$2:$C$1369,0)))</f>
        <v/>
      </c>
      <c r="B101" s="8">
        <f>IF(ISNA(MATCH(88,Engine!$C$2:$C$1369,0)),"",INDEX('Compliance Database'!$B$2:$B$1369,MATCH(88,Engine!$C$2:$C$1369,0)))</f>
        <v/>
      </c>
      <c r="C101" s="8">
        <f>IF(ISNA(MATCH(88,Engine!$C$2:$C$1369,0)),"",INDEX('Compliance Database'!$C$2:$C$1369,MATCH(88,Engine!$C$2:$C$1369,0)))</f>
        <v/>
      </c>
      <c r="D101" s="9">
        <f>IF(ISNA(MATCH(88,Engine!$C$2:$C$1369,0)),"",INDEX('Compliance Database'!$D$2:$D$1369,MATCH(88,Engine!$C$2:$C$1369,0)))</f>
        <v/>
      </c>
      <c r="E101" s="8">
        <f>IF(ISNA(MATCH(88,Engine!$C$2:$C$1369,0)),"",INDEX('Compliance Database'!$E$2:$E$1369,MATCH(88,Engine!$C$2:$C$1369,0)))</f>
        <v/>
      </c>
      <c r="F101" s="8">
        <f>IF(ISNA(MATCH(88,Engine!$C$2:$C$1369,0)),"",INDEX('Compliance Database'!$F$2:$F$1369,MATCH(88,Engine!$C$2:$C$1369,0)))</f>
        <v/>
      </c>
      <c r="G101" s="8">
        <f>IF(ISNA(MATCH(88,Engine!$C$2:$C$1369,0)),"",INDEX('Compliance Database'!$G$2:$G$1369,MATCH(88,Engine!$C$2:$C$1369,0)))</f>
        <v/>
      </c>
      <c r="H101" s="9">
        <f>IF(ISNA(MATCH(88,Engine!$C$2:$C$1369,0)),"",INDEX('Compliance Database'!$H$2:$H$1369,MATCH(88,Engine!$C$2:$C$1369,0)))</f>
        <v/>
      </c>
      <c r="I101" s="9">
        <f>IF(ISNA(MATCH(88,Engine!$C$2:$C$1369,0)),"",INDEX('Compliance Database'!$I$2:$I$1369,MATCH(88,Engine!$C$2:$C$1369,0)))</f>
        <v/>
      </c>
      <c r="J101" s="8">
        <f>IF(ISNA(MATCH(88,Engine!$C$2:$C$1369,0)),"",INDEX('Compliance Database'!$J$2:$J$1369,MATCH(88,Engine!$C$2:$C$1369,0)))</f>
        <v/>
      </c>
      <c r="K101" s="9">
        <f>IF(ISNA(MATCH(88,Engine!$C$2:$C$1369,0)),"",INDEX('Compliance Database'!$K$2:$K$1369,MATCH(88,Engine!$C$2:$C$1369,0)))</f>
        <v/>
      </c>
      <c r="L101" s="9">
        <f>IF(ISNA(MATCH(88,Engine!$C$2:$C$1369,0)),"",INDEX('Compliance Database'!$L$2:$L$1369,MATCH(88,Engine!$C$2:$C$1369,0)))</f>
        <v/>
      </c>
      <c r="M101" s="9">
        <f>IF(ISNA(MATCH(88,Engine!$C$2:$C$1369,0)),"",INDEX('Compliance Database'!$M$2:$M$1369,MATCH(88,Engine!$C$2:$C$1369,0)))</f>
        <v/>
      </c>
      <c r="N101" s="9">
        <f>IF(ISNA(MATCH(88,Engine!$C$2:$C$1369,0)),"",INDEX('Compliance Database'!$N$2:$N$1369,MATCH(88,Engine!$C$2:$C$1369,0)))</f>
        <v/>
      </c>
      <c r="O101" s="8">
        <f>IF(ISNA(MATCH(88,Engine!$C$2:$C$1369,0)),"",HYPERLINK(INDEX('Compliance Database'!$O$2:$O$1369,MATCH(88,Engine!$C$2:$C$1369,0)),"Open PDF"))</f>
        <v/>
      </c>
    </row>
    <row r="102" ht="188" customHeight="1">
      <c r="A102" s="8">
        <f>IF(ISNA(MATCH(89,Engine!$C$2:$C$1369,0)),"",INDEX('Compliance Database'!$A$2:$A$1369,MATCH(89,Engine!$C$2:$C$1369,0)))</f>
        <v/>
      </c>
      <c r="B102" s="8">
        <f>IF(ISNA(MATCH(89,Engine!$C$2:$C$1369,0)),"",INDEX('Compliance Database'!$B$2:$B$1369,MATCH(89,Engine!$C$2:$C$1369,0)))</f>
        <v/>
      </c>
      <c r="C102" s="8">
        <f>IF(ISNA(MATCH(89,Engine!$C$2:$C$1369,0)),"",INDEX('Compliance Database'!$C$2:$C$1369,MATCH(89,Engine!$C$2:$C$1369,0)))</f>
        <v/>
      </c>
      <c r="D102" s="9">
        <f>IF(ISNA(MATCH(89,Engine!$C$2:$C$1369,0)),"",INDEX('Compliance Database'!$D$2:$D$1369,MATCH(89,Engine!$C$2:$C$1369,0)))</f>
        <v/>
      </c>
      <c r="E102" s="8">
        <f>IF(ISNA(MATCH(89,Engine!$C$2:$C$1369,0)),"",INDEX('Compliance Database'!$E$2:$E$1369,MATCH(89,Engine!$C$2:$C$1369,0)))</f>
        <v/>
      </c>
      <c r="F102" s="8">
        <f>IF(ISNA(MATCH(89,Engine!$C$2:$C$1369,0)),"",INDEX('Compliance Database'!$F$2:$F$1369,MATCH(89,Engine!$C$2:$C$1369,0)))</f>
        <v/>
      </c>
      <c r="G102" s="8">
        <f>IF(ISNA(MATCH(89,Engine!$C$2:$C$1369,0)),"",INDEX('Compliance Database'!$G$2:$G$1369,MATCH(89,Engine!$C$2:$C$1369,0)))</f>
        <v/>
      </c>
      <c r="H102" s="9">
        <f>IF(ISNA(MATCH(89,Engine!$C$2:$C$1369,0)),"",INDEX('Compliance Database'!$H$2:$H$1369,MATCH(89,Engine!$C$2:$C$1369,0)))</f>
        <v/>
      </c>
      <c r="I102" s="9">
        <f>IF(ISNA(MATCH(89,Engine!$C$2:$C$1369,0)),"",INDEX('Compliance Database'!$I$2:$I$1369,MATCH(89,Engine!$C$2:$C$1369,0)))</f>
        <v/>
      </c>
      <c r="J102" s="8">
        <f>IF(ISNA(MATCH(89,Engine!$C$2:$C$1369,0)),"",INDEX('Compliance Database'!$J$2:$J$1369,MATCH(89,Engine!$C$2:$C$1369,0)))</f>
        <v/>
      </c>
      <c r="K102" s="9">
        <f>IF(ISNA(MATCH(89,Engine!$C$2:$C$1369,0)),"",INDEX('Compliance Database'!$K$2:$K$1369,MATCH(89,Engine!$C$2:$C$1369,0)))</f>
        <v/>
      </c>
      <c r="L102" s="9">
        <f>IF(ISNA(MATCH(89,Engine!$C$2:$C$1369,0)),"",INDEX('Compliance Database'!$L$2:$L$1369,MATCH(89,Engine!$C$2:$C$1369,0)))</f>
        <v/>
      </c>
      <c r="M102" s="9">
        <f>IF(ISNA(MATCH(89,Engine!$C$2:$C$1369,0)),"",INDEX('Compliance Database'!$M$2:$M$1369,MATCH(89,Engine!$C$2:$C$1369,0)))</f>
        <v/>
      </c>
      <c r="N102" s="9">
        <f>IF(ISNA(MATCH(89,Engine!$C$2:$C$1369,0)),"",INDEX('Compliance Database'!$N$2:$N$1369,MATCH(89,Engine!$C$2:$C$1369,0)))</f>
        <v/>
      </c>
      <c r="O102" s="8">
        <f>IF(ISNA(MATCH(89,Engine!$C$2:$C$1369,0)),"",HYPERLINK(INDEX('Compliance Database'!$O$2:$O$1369,MATCH(89,Engine!$C$2:$C$1369,0)),"Open PDF"))</f>
        <v/>
      </c>
    </row>
    <row r="103" ht="188" customHeight="1">
      <c r="A103" s="8">
        <f>IF(ISNA(MATCH(90,Engine!$C$2:$C$1369,0)),"",INDEX('Compliance Database'!$A$2:$A$1369,MATCH(90,Engine!$C$2:$C$1369,0)))</f>
        <v/>
      </c>
      <c r="B103" s="8">
        <f>IF(ISNA(MATCH(90,Engine!$C$2:$C$1369,0)),"",INDEX('Compliance Database'!$B$2:$B$1369,MATCH(90,Engine!$C$2:$C$1369,0)))</f>
        <v/>
      </c>
      <c r="C103" s="8">
        <f>IF(ISNA(MATCH(90,Engine!$C$2:$C$1369,0)),"",INDEX('Compliance Database'!$C$2:$C$1369,MATCH(90,Engine!$C$2:$C$1369,0)))</f>
        <v/>
      </c>
      <c r="D103" s="9">
        <f>IF(ISNA(MATCH(90,Engine!$C$2:$C$1369,0)),"",INDEX('Compliance Database'!$D$2:$D$1369,MATCH(90,Engine!$C$2:$C$1369,0)))</f>
        <v/>
      </c>
      <c r="E103" s="8">
        <f>IF(ISNA(MATCH(90,Engine!$C$2:$C$1369,0)),"",INDEX('Compliance Database'!$E$2:$E$1369,MATCH(90,Engine!$C$2:$C$1369,0)))</f>
        <v/>
      </c>
      <c r="F103" s="8">
        <f>IF(ISNA(MATCH(90,Engine!$C$2:$C$1369,0)),"",INDEX('Compliance Database'!$F$2:$F$1369,MATCH(90,Engine!$C$2:$C$1369,0)))</f>
        <v/>
      </c>
      <c r="G103" s="8">
        <f>IF(ISNA(MATCH(90,Engine!$C$2:$C$1369,0)),"",INDEX('Compliance Database'!$G$2:$G$1369,MATCH(90,Engine!$C$2:$C$1369,0)))</f>
        <v/>
      </c>
      <c r="H103" s="9">
        <f>IF(ISNA(MATCH(90,Engine!$C$2:$C$1369,0)),"",INDEX('Compliance Database'!$H$2:$H$1369,MATCH(90,Engine!$C$2:$C$1369,0)))</f>
        <v/>
      </c>
      <c r="I103" s="9">
        <f>IF(ISNA(MATCH(90,Engine!$C$2:$C$1369,0)),"",INDEX('Compliance Database'!$I$2:$I$1369,MATCH(90,Engine!$C$2:$C$1369,0)))</f>
        <v/>
      </c>
      <c r="J103" s="8">
        <f>IF(ISNA(MATCH(90,Engine!$C$2:$C$1369,0)),"",INDEX('Compliance Database'!$J$2:$J$1369,MATCH(90,Engine!$C$2:$C$1369,0)))</f>
        <v/>
      </c>
      <c r="K103" s="9">
        <f>IF(ISNA(MATCH(90,Engine!$C$2:$C$1369,0)),"",INDEX('Compliance Database'!$K$2:$K$1369,MATCH(90,Engine!$C$2:$C$1369,0)))</f>
        <v/>
      </c>
      <c r="L103" s="9">
        <f>IF(ISNA(MATCH(90,Engine!$C$2:$C$1369,0)),"",INDEX('Compliance Database'!$L$2:$L$1369,MATCH(90,Engine!$C$2:$C$1369,0)))</f>
        <v/>
      </c>
      <c r="M103" s="9">
        <f>IF(ISNA(MATCH(90,Engine!$C$2:$C$1369,0)),"",INDEX('Compliance Database'!$M$2:$M$1369,MATCH(90,Engine!$C$2:$C$1369,0)))</f>
        <v/>
      </c>
      <c r="N103" s="9">
        <f>IF(ISNA(MATCH(90,Engine!$C$2:$C$1369,0)),"",INDEX('Compliance Database'!$N$2:$N$1369,MATCH(90,Engine!$C$2:$C$1369,0)))</f>
        <v/>
      </c>
      <c r="O103" s="8">
        <f>IF(ISNA(MATCH(90,Engine!$C$2:$C$1369,0)),"",HYPERLINK(INDEX('Compliance Database'!$O$2:$O$1369,MATCH(90,Engine!$C$2:$C$1369,0)),"Open PDF"))</f>
        <v/>
      </c>
    </row>
    <row r="104" ht="188" customHeight="1">
      <c r="A104" s="8">
        <f>IF(ISNA(MATCH(91,Engine!$C$2:$C$1369,0)),"",INDEX('Compliance Database'!$A$2:$A$1369,MATCH(91,Engine!$C$2:$C$1369,0)))</f>
        <v/>
      </c>
      <c r="B104" s="8">
        <f>IF(ISNA(MATCH(91,Engine!$C$2:$C$1369,0)),"",INDEX('Compliance Database'!$B$2:$B$1369,MATCH(91,Engine!$C$2:$C$1369,0)))</f>
        <v/>
      </c>
      <c r="C104" s="8">
        <f>IF(ISNA(MATCH(91,Engine!$C$2:$C$1369,0)),"",INDEX('Compliance Database'!$C$2:$C$1369,MATCH(91,Engine!$C$2:$C$1369,0)))</f>
        <v/>
      </c>
      <c r="D104" s="9">
        <f>IF(ISNA(MATCH(91,Engine!$C$2:$C$1369,0)),"",INDEX('Compliance Database'!$D$2:$D$1369,MATCH(91,Engine!$C$2:$C$1369,0)))</f>
        <v/>
      </c>
      <c r="E104" s="8">
        <f>IF(ISNA(MATCH(91,Engine!$C$2:$C$1369,0)),"",INDEX('Compliance Database'!$E$2:$E$1369,MATCH(91,Engine!$C$2:$C$1369,0)))</f>
        <v/>
      </c>
      <c r="F104" s="8">
        <f>IF(ISNA(MATCH(91,Engine!$C$2:$C$1369,0)),"",INDEX('Compliance Database'!$F$2:$F$1369,MATCH(91,Engine!$C$2:$C$1369,0)))</f>
        <v/>
      </c>
      <c r="G104" s="8">
        <f>IF(ISNA(MATCH(91,Engine!$C$2:$C$1369,0)),"",INDEX('Compliance Database'!$G$2:$G$1369,MATCH(91,Engine!$C$2:$C$1369,0)))</f>
        <v/>
      </c>
      <c r="H104" s="9">
        <f>IF(ISNA(MATCH(91,Engine!$C$2:$C$1369,0)),"",INDEX('Compliance Database'!$H$2:$H$1369,MATCH(91,Engine!$C$2:$C$1369,0)))</f>
        <v/>
      </c>
      <c r="I104" s="9">
        <f>IF(ISNA(MATCH(91,Engine!$C$2:$C$1369,0)),"",INDEX('Compliance Database'!$I$2:$I$1369,MATCH(91,Engine!$C$2:$C$1369,0)))</f>
        <v/>
      </c>
      <c r="J104" s="8">
        <f>IF(ISNA(MATCH(91,Engine!$C$2:$C$1369,0)),"",INDEX('Compliance Database'!$J$2:$J$1369,MATCH(91,Engine!$C$2:$C$1369,0)))</f>
        <v/>
      </c>
      <c r="K104" s="9">
        <f>IF(ISNA(MATCH(91,Engine!$C$2:$C$1369,0)),"",INDEX('Compliance Database'!$K$2:$K$1369,MATCH(91,Engine!$C$2:$C$1369,0)))</f>
        <v/>
      </c>
      <c r="L104" s="9">
        <f>IF(ISNA(MATCH(91,Engine!$C$2:$C$1369,0)),"",INDEX('Compliance Database'!$L$2:$L$1369,MATCH(91,Engine!$C$2:$C$1369,0)))</f>
        <v/>
      </c>
      <c r="M104" s="9">
        <f>IF(ISNA(MATCH(91,Engine!$C$2:$C$1369,0)),"",INDEX('Compliance Database'!$M$2:$M$1369,MATCH(91,Engine!$C$2:$C$1369,0)))</f>
        <v/>
      </c>
      <c r="N104" s="9">
        <f>IF(ISNA(MATCH(91,Engine!$C$2:$C$1369,0)),"",INDEX('Compliance Database'!$N$2:$N$1369,MATCH(91,Engine!$C$2:$C$1369,0)))</f>
        <v/>
      </c>
      <c r="O104" s="8">
        <f>IF(ISNA(MATCH(91,Engine!$C$2:$C$1369,0)),"",HYPERLINK(INDEX('Compliance Database'!$O$2:$O$1369,MATCH(91,Engine!$C$2:$C$1369,0)),"Open PDF"))</f>
        <v/>
      </c>
    </row>
    <row r="105" ht="188" customHeight="1">
      <c r="A105" s="8">
        <f>IF(ISNA(MATCH(92,Engine!$C$2:$C$1369,0)),"",INDEX('Compliance Database'!$A$2:$A$1369,MATCH(92,Engine!$C$2:$C$1369,0)))</f>
        <v/>
      </c>
      <c r="B105" s="8">
        <f>IF(ISNA(MATCH(92,Engine!$C$2:$C$1369,0)),"",INDEX('Compliance Database'!$B$2:$B$1369,MATCH(92,Engine!$C$2:$C$1369,0)))</f>
        <v/>
      </c>
      <c r="C105" s="8">
        <f>IF(ISNA(MATCH(92,Engine!$C$2:$C$1369,0)),"",INDEX('Compliance Database'!$C$2:$C$1369,MATCH(92,Engine!$C$2:$C$1369,0)))</f>
        <v/>
      </c>
      <c r="D105" s="9">
        <f>IF(ISNA(MATCH(92,Engine!$C$2:$C$1369,0)),"",INDEX('Compliance Database'!$D$2:$D$1369,MATCH(92,Engine!$C$2:$C$1369,0)))</f>
        <v/>
      </c>
      <c r="E105" s="8">
        <f>IF(ISNA(MATCH(92,Engine!$C$2:$C$1369,0)),"",INDEX('Compliance Database'!$E$2:$E$1369,MATCH(92,Engine!$C$2:$C$1369,0)))</f>
        <v/>
      </c>
      <c r="F105" s="8">
        <f>IF(ISNA(MATCH(92,Engine!$C$2:$C$1369,0)),"",INDEX('Compliance Database'!$F$2:$F$1369,MATCH(92,Engine!$C$2:$C$1369,0)))</f>
        <v/>
      </c>
      <c r="G105" s="8">
        <f>IF(ISNA(MATCH(92,Engine!$C$2:$C$1369,0)),"",INDEX('Compliance Database'!$G$2:$G$1369,MATCH(92,Engine!$C$2:$C$1369,0)))</f>
        <v/>
      </c>
      <c r="H105" s="9">
        <f>IF(ISNA(MATCH(92,Engine!$C$2:$C$1369,0)),"",INDEX('Compliance Database'!$H$2:$H$1369,MATCH(92,Engine!$C$2:$C$1369,0)))</f>
        <v/>
      </c>
      <c r="I105" s="9">
        <f>IF(ISNA(MATCH(92,Engine!$C$2:$C$1369,0)),"",INDEX('Compliance Database'!$I$2:$I$1369,MATCH(92,Engine!$C$2:$C$1369,0)))</f>
        <v/>
      </c>
      <c r="J105" s="8">
        <f>IF(ISNA(MATCH(92,Engine!$C$2:$C$1369,0)),"",INDEX('Compliance Database'!$J$2:$J$1369,MATCH(92,Engine!$C$2:$C$1369,0)))</f>
        <v/>
      </c>
      <c r="K105" s="9">
        <f>IF(ISNA(MATCH(92,Engine!$C$2:$C$1369,0)),"",INDEX('Compliance Database'!$K$2:$K$1369,MATCH(92,Engine!$C$2:$C$1369,0)))</f>
        <v/>
      </c>
      <c r="L105" s="9">
        <f>IF(ISNA(MATCH(92,Engine!$C$2:$C$1369,0)),"",INDEX('Compliance Database'!$L$2:$L$1369,MATCH(92,Engine!$C$2:$C$1369,0)))</f>
        <v/>
      </c>
      <c r="M105" s="9">
        <f>IF(ISNA(MATCH(92,Engine!$C$2:$C$1369,0)),"",INDEX('Compliance Database'!$M$2:$M$1369,MATCH(92,Engine!$C$2:$C$1369,0)))</f>
        <v/>
      </c>
      <c r="N105" s="9">
        <f>IF(ISNA(MATCH(92,Engine!$C$2:$C$1369,0)),"",INDEX('Compliance Database'!$N$2:$N$1369,MATCH(92,Engine!$C$2:$C$1369,0)))</f>
        <v/>
      </c>
      <c r="O105" s="8">
        <f>IF(ISNA(MATCH(92,Engine!$C$2:$C$1369,0)),"",HYPERLINK(INDEX('Compliance Database'!$O$2:$O$1369,MATCH(92,Engine!$C$2:$C$1369,0)),"Open PDF"))</f>
        <v/>
      </c>
    </row>
    <row r="106" ht="188" customHeight="1">
      <c r="A106" s="8">
        <f>IF(ISNA(MATCH(93,Engine!$C$2:$C$1369,0)),"",INDEX('Compliance Database'!$A$2:$A$1369,MATCH(93,Engine!$C$2:$C$1369,0)))</f>
        <v/>
      </c>
      <c r="B106" s="8">
        <f>IF(ISNA(MATCH(93,Engine!$C$2:$C$1369,0)),"",INDEX('Compliance Database'!$B$2:$B$1369,MATCH(93,Engine!$C$2:$C$1369,0)))</f>
        <v/>
      </c>
      <c r="C106" s="8">
        <f>IF(ISNA(MATCH(93,Engine!$C$2:$C$1369,0)),"",INDEX('Compliance Database'!$C$2:$C$1369,MATCH(93,Engine!$C$2:$C$1369,0)))</f>
        <v/>
      </c>
      <c r="D106" s="9">
        <f>IF(ISNA(MATCH(93,Engine!$C$2:$C$1369,0)),"",INDEX('Compliance Database'!$D$2:$D$1369,MATCH(93,Engine!$C$2:$C$1369,0)))</f>
        <v/>
      </c>
      <c r="E106" s="8">
        <f>IF(ISNA(MATCH(93,Engine!$C$2:$C$1369,0)),"",INDEX('Compliance Database'!$E$2:$E$1369,MATCH(93,Engine!$C$2:$C$1369,0)))</f>
        <v/>
      </c>
      <c r="F106" s="8">
        <f>IF(ISNA(MATCH(93,Engine!$C$2:$C$1369,0)),"",INDEX('Compliance Database'!$F$2:$F$1369,MATCH(93,Engine!$C$2:$C$1369,0)))</f>
        <v/>
      </c>
      <c r="G106" s="8">
        <f>IF(ISNA(MATCH(93,Engine!$C$2:$C$1369,0)),"",INDEX('Compliance Database'!$G$2:$G$1369,MATCH(93,Engine!$C$2:$C$1369,0)))</f>
        <v/>
      </c>
      <c r="H106" s="9">
        <f>IF(ISNA(MATCH(93,Engine!$C$2:$C$1369,0)),"",INDEX('Compliance Database'!$H$2:$H$1369,MATCH(93,Engine!$C$2:$C$1369,0)))</f>
        <v/>
      </c>
      <c r="I106" s="9">
        <f>IF(ISNA(MATCH(93,Engine!$C$2:$C$1369,0)),"",INDEX('Compliance Database'!$I$2:$I$1369,MATCH(93,Engine!$C$2:$C$1369,0)))</f>
        <v/>
      </c>
      <c r="J106" s="8">
        <f>IF(ISNA(MATCH(93,Engine!$C$2:$C$1369,0)),"",INDEX('Compliance Database'!$J$2:$J$1369,MATCH(93,Engine!$C$2:$C$1369,0)))</f>
        <v/>
      </c>
      <c r="K106" s="9">
        <f>IF(ISNA(MATCH(93,Engine!$C$2:$C$1369,0)),"",INDEX('Compliance Database'!$K$2:$K$1369,MATCH(93,Engine!$C$2:$C$1369,0)))</f>
        <v/>
      </c>
      <c r="L106" s="9">
        <f>IF(ISNA(MATCH(93,Engine!$C$2:$C$1369,0)),"",INDEX('Compliance Database'!$L$2:$L$1369,MATCH(93,Engine!$C$2:$C$1369,0)))</f>
        <v/>
      </c>
      <c r="M106" s="9">
        <f>IF(ISNA(MATCH(93,Engine!$C$2:$C$1369,0)),"",INDEX('Compliance Database'!$M$2:$M$1369,MATCH(93,Engine!$C$2:$C$1369,0)))</f>
        <v/>
      </c>
      <c r="N106" s="9">
        <f>IF(ISNA(MATCH(93,Engine!$C$2:$C$1369,0)),"",INDEX('Compliance Database'!$N$2:$N$1369,MATCH(93,Engine!$C$2:$C$1369,0)))</f>
        <v/>
      </c>
      <c r="O106" s="8">
        <f>IF(ISNA(MATCH(93,Engine!$C$2:$C$1369,0)),"",HYPERLINK(INDEX('Compliance Database'!$O$2:$O$1369,MATCH(93,Engine!$C$2:$C$1369,0)),"Open PDF"))</f>
        <v/>
      </c>
    </row>
    <row r="107" ht="188" customHeight="1">
      <c r="A107" s="8">
        <f>IF(ISNA(MATCH(94,Engine!$C$2:$C$1369,0)),"",INDEX('Compliance Database'!$A$2:$A$1369,MATCH(94,Engine!$C$2:$C$1369,0)))</f>
        <v/>
      </c>
      <c r="B107" s="8">
        <f>IF(ISNA(MATCH(94,Engine!$C$2:$C$1369,0)),"",INDEX('Compliance Database'!$B$2:$B$1369,MATCH(94,Engine!$C$2:$C$1369,0)))</f>
        <v/>
      </c>
      <c r="C107" s="8">
        <f>IF(ISNA(MATCH(94,Engine!$C$2:$C$1369,0)),"",INDEX('Compliance Database'!$C$2:$C$1369,MATCH(94,Engine!$C$2:$C$1369,0)))</f>
        <v/>
      </c>
      <c r="D107" s="9">
        <f>IF(ISNA(MATCH(94,Engine!$C$2:$C$1369,0)),"",INDEX('Compliance Database'!$D$2:$D$1369,MATCH(94,Engine!$C$2:$C$1369,0)))</f>
        <v/>
      </c>
      <c r="E107" s="8">
        <f>IF(ISNA(MATCH(94,Engine!$C$2:$C$1369,0)),"",INDEX('Compliance Database'!$E$2:$E$1369,MATCH(94,Engine!$C$2:$C$1369,0)))</f>
        <v/>
      </c>
      <c r="F107" s="8">
        <f>IF(ISNA(MATCH(94,Engine!$C$2:$C$1369,0)),"",INDEX('Compliance Database'!$F$2:$F$1369,MATCH(94,Engine!$C$2:$C$1369,0)))</f>
        <v/>
      </c>
      <c r="G107" s="8">
        <f>IF(ISNA(MATCH(94,Engine!$C$2:$C$1369,0)),"",INDEX('Compliance Database'!$G$2:$G$1369,MATCH(94,Engine!$C$2:$C$1369,0)))</f>
        <v/>
      </c>
      <c r="H107" s="9">
        <f>IF(ISNA(MATCH(94,Engine!$C$2:$C$1369,0)),"",INDEX('Compliance Database'!$H$2:$H$1369,MATCH(94,Engine!$C$2:$C$1369,0)))</f>
        <v/>
      </c>
      <c r="I107" s="9">
        <f>IF(ISNA(MATCH(94,Engine!$C$2:$C$1369,0)),"",INDEX('Compliance Database'!$I$2:$I$1369,MATCH(94,Engine!$C$2:$C$1369,0)))</f>
        <v/>
      </c>
      <c r="J107" s="8">
        <f>IF(ISNA(MATCH(94,Engine!$C$2:$C$1369,0)),"",INDEX('Compliance Database'!$J$2:$J$1369,MATCH(94,Engine!$C$2:$C$1369,0)))</f>
        <v/>
      </c>
      <c r="K107" s="9">
        <f>IF(ISNA(MATCH(94,Engine!$C$2:$C$1369,0)),"",INDEX('Compliance Database'!$K$2:$K$1369,MATCH(94,Engine!$C$2:$C$1369,0)))</f>
        <v/>
      </c>
      <c r="L107" s="9">
        <f>IF(ISNA(MATCH(94,Engine!$C$2:$C$1369,0)),"",INDEX('Compliance Database'!$L$2:$L$1369,MATCH(94,Engine!$C$2:$C$1369,0)))</f>
        <v/>
      </c>
      <c r="M107" s="9">
        <f>IF(ISNA(MATCH(94,Engine!$C$2:$C$1369,0)),"",INDEX('Compliance Database'!$M$2:$M$1369,MATCH(94,Engine!$C$2:$C$1369,0)))</f>
        <v/>
      </c>
      <c r="N107" s="9">
        <f>IF(ISNA(MATCH(94,Engine!$C$2:$C$1369,0)),"",INDEX('Compliance Database'!$N$2:$N$1369,MATCH(94,Engine!$C$2:$C$1369,0)))</f>
        <v/>
      </c>
      <c r="O107" s="8">
        <f>IF(ISNA(MATCH(94,Engine!$C$2:$C$1369,0)),"",HYPERLINK(INDEX('Compliance Database'!$O$2:$O$1369,MATCH(94,Engine!$C$2:$C$1369,0)),"Open PDF"))</f>
        <v/>
      </c>
    </row>
    <row r="108" ht="188" customHeight="1">
      <c r="A108" s="8">
        <f>IF(ISNA(MATCH(95,Engine!$C$2:$C$1369,0)),"",INDEX('Compliance Database'!$A$2:$A$1369,MATCH(95,Engine!$C$2:$C$1369,0)))</f>
        <v/>
      </c>
      <c r="B108" s="8">
        <f>IF(ISNA(MATCH(95,Engine!$C$2:$C$1369,0)),"",INDEX('Compliance Database'!$B$2:$B$1369,MATCH(95,Engine!$C$2:$C$1369,0)))</f>
        <v/>
      </c>
      <c r="C108" s="8">
        <f>IF(ISNA(MATCH(95,Engine!$C$2:$C$1369,0)),"",INDEX('Compliance Database'!$C$2:$C$1369,MATCH(95,Engine!$C$2:$C$1369,0)))</f>
        <v/>
      </c>
      <c r="D108" s="9">
        <f>IF(ISNA(MATCH(95,Engine!$C$2:$C$1369,0)),"",INDEX('Compliance Database'!$D$2:$D$1369,MATCH(95,Engine!$C$2:$C$1369,0)))</f>
        <v/>
      </c>
      <c r="E108" s="8">
        <f>IF(ISNA(MATCH(95,Engine!$C$2:$C$1369,0)),"",INDEX('Compliance Database'!$E$2:$E$1369,MATCH(95,Engine!$C$2:$C$1369,0)))</f>
        <v/>
      </c>
      <c r="F108" s="8">
        <f>IF(ISNA(MATCH(95,Engine!$C$2:$C$1369,0)),"",INDEX('Compliance Database'!$F$2:$F$1369,MATCH(95,Engine!$C$2:$C$1369,0)))</f>
        <v/>
      </c>
      <c r="G108" s="8">
        <f>IF(ISNA(MATCH(95,Engine!$C$2:$C$1369,0)),"",INDEX('Compliance Database'!$G$2:$G$1369,MATCH(95,Engine!$C$2:$C$1369,0)))</f>
        <v/>
      </c>
      <c r="H108" s="9">
        <f>IF(ISNA(MATCH(95,Engine!$C$2:$C$1369,0)),"",INDEX('Compliance Database'!$H$2:$H$1369,MATCH(95,Engine!$C$2:$C$1369,0)))</f>
        <v/>
      </c>
      <c r="I108" s="9">
        <f>IF(ISNA(MATCH(95,Engine!$C$2:$C$1369,0)),"",INDEX('Compliance Database'!$I$2:$I$1369,MATCH(95,Engine!$C$2:$C$1369,0)))</f>
        <v/>
      </c>
      <c r="J108" s="8">
        <f>IF(ISNA(MATCH(95,Engine!$C$2:$C$1369,0)),"",INDEX('Compliance Database'!$J$2:$J$1369,MATCH(95,Engine!$C$2:$C$1369,0)))</f>
        <v/>
      </c>
      <c r="K108" s="9">
        <f>IF(ISNA(MATCH(95,Engine!$C$2:$C$1369,0)),"",INDEX('Compliance Database'!$K$2:$K$1369,MATCH(95,Engine!$C$2:$C$1369,0)))</f>
        <v/>
      </c>
      <c r="L108" s="9">
        <f>IF(ISNA(MATCH(95,Engine!$C$2:$C$1369,0)),"",INDEX('Compliance Database'!$L$2:$L$1369,MATCH(95,Engine!$C$2:$C$1369,0)))</f>
        <v/>
      </c>
      <c r="M108" s="9">
        <f>IF(ISNA(MATCH(95,Engine!$C$2:$C$1369,0)),"",INDEX('Compliance Database'!$M$2:$M$1369,MATCH(95,Engine!$C$2:$C$1369,0)))</f>
        <v/>
      </c>
      <c r="N108" s="9">
        <f>IF(ISNA(MATCH(95,Engine!$C$2:$C$1369,0)),"",INDEX('Compliance Database'!$N$2:$N$1369,MATCH(95,Engine!$C$2:$C$1369,0)))</f>
        <v/>
      </c>
      <c r="O108" s="8">
        <f>IF(ISNA(MATCH(95,Engine!$C$2:$C$1369,0)),"",HYPERLINK(INDEX('Compliance Database'!$O$2:$O$1369,MATCH(95,Engine!$C$2:$C$1369,0)),"Open PDF"))</f>
        <v/>
      </c>
    </row>
    <row r="109" ht="188" customHeight="1">
      <c r="A109" s="8">
        <f>IF(ISNA(MATCH(96,Engine!$C$2:$C$1369,0)),"",INDEX('Compliance Database'!$A$2:$A$1369,MATCH(96,Engine!$C$2:$C$1369,0)))</f>
        <v/>
      </c>
      <c r="B109" s="8">
        <f>IF(ISNA(MATCH(96,Engine!$C$2:$C$1369,0)),"",INDEX('Compliance Database'!$B$2:$B$1369,MATCH(96,Engine!$C$2:$C$1369,0)))</f>
        <v/>
      </c>
      <c r="C109" s="8">
        <f>IF(ISNA(MATCH(96,Engine!$C$2:$C$1369,0)),"",INDEX('Compliance Database'!$C$2:$C$1369,MATCH(96,Engine!$C$2:$C$1369,0)))</f>
        <v/>
      </c>
      <c r="D109" s="9">
        <f>IF(ISNA(MATCH(96,Engine!$C$2:$C$1369,0)),"",INDEX('Compliance Database'!$D$2:$D$1369,MATCH(96,Engine!$C$2:$C$1369,0)))</f>
        <v/>
      </c>
      <c r="E109" s="8">
        <f>IF(ISNA(MATCH(96,Engine!$C$2:$C$1369,0)),"",INDEX('Compliance Database'!$E$2:$E$1369,MATCH(96,Engine!$C$2:$C$1369,0)))</f>
        <v/>
      </c>
      <c r="F109" s="8">
        <f>IF(ISNA(MATCH(96,Engine!$C$2:$C$1369,0)),"",INDEX('Compliance Database'!$F$2:$F$1369,MATCH(96,Engine!$C$2:$C$1369,0)))</f>
        <v/>
      </c>
      <c r="G109" s="8">
        <f>IF(ISNA(MATCH(96,Engine!$C$2:$C$1369,0)),"",INDEX('Compliance Database'!$G$2:$G$1369,MATCH(96,Engine!$C$2:$C$1369,0)))</f>
        <v/>
      </c>
      <c r="H109" s="9">
        <f>IF(ISNA(MATCH(96,Engine!$C$2:$C$1369,0)),"",INDEX('Compliance Database'!$H$2:$H$1369,MATCH(96,Engine!$C$2:$C$1369,0)))</f>
        <v/>
      </c>
      <c r="I109" s="9">
        <f>IF(ISNA(MATCH(96,Engine!$C$2:$C$1369,0)),"",INDEX('Compliance Database'!$I$2:$I$1369,MATCH(96,Engine!$C$2:$C$1369,0)))</f>
        <v/>
      </c>
      <c r="J109" s="8">
        <f>IF(ISNA(MATCH(96,Engine!$C$2:$C$1369,0)),"",INDEX('Compliance Database'!$J$2:$J$1369,MATCH(96,Engine!$C$2:$C$1369,0)))</f>
        <v/>
      </c>
      <c r="K109" s="9">
        <f>IF(ISNA(MATCH(96,Engine!$C$2:$C$1369,0)),"",INDEX('Compliance Database'!$K$2:$K$1369,MATCH(96,Engine!$C$2:$C$1369,0)))</f>
        <v/>
      </c>
      <c r="L109" s="9">
        <f>IF(ISNA(MATCH(96,Engine!$C$2:$C$1369,0)),"",INDEX('Compliance Database'!$L$2:$L$1369,MATCH(96,Engine!$C$2:$C$1369,0)))</f>
        <v/>
      </c>
      <c r="M109" s="9">
        <f>IF(ISNA(MATCH(96,Engine!$C$2:$C$1369,0)),"",INDEX('Compliance Database'!$M$2:$M$1369,MATCH(96,Engine!$C$2:$C$1369,0)))</f>
        <v/>
      </c>
      <c r="N109" s="9">
        <f>IF(ISNA(MATCH(96,Engine!$C$2:$C$1369,0)),"",INDEX('Compliance Database'!$N$2:$N$1369,MATCH(96,Engine!$C$2:$C$1369,0)))</f>
        <v/>
      </c>
      <c r="O109" s="8">
        <f>IF(ISNA(MATCH(96,Engine!$C$2:$C$1369,0)),"",HYPERLINK(INDEX('Compliance Database'!$O$2:$O$1369,MATCH(96,Engine!$C$2:$C$1369,0)),"Open PDF"))</f>
        <v/>
      </c>
    </row>
    <row r="110" ht="188" customHeight="1">
      <c r="A110" s="8">
        <f>IF(ISNA(MATCH(97,Engine!$C$2:$C$1369,0)),"",INDEX('Compliance Database'!$A$2:$A$1369,MATCH(97,Engine!$C$2:$C$1369,0)))</f>
        <v/>
      </c>
      <c r="B110" s="8">
        <f>IF(ISNA(MATCH(97,Engine!$C$2:$C$1369,0)),"",INDEX('Compliance Database'!$B$2:$B$1369,MATCH(97,Engine!$C$2:$C$1369,0)))</f>
        <v/>
      </c>
      <c r="C110" s="8">
        <f>IF(ISNA(MATCH(97,Engine!$C$2:$C$1369,0)),"",INDEX('Compliance Database'!$C$2:$C$1369,MATCH(97,Engine!$C$2:$C$1369,0)))</f>
        <v/>
      </c>
      <c r="D110" s="9">
        <f>IF(ISNA(MATCH(97,Engine!$C$2:$C$1369,0)),"",INDEX('Compliance Database'!$D$2:$D$1369,MATCH(97,Engine!$C$2:$C$1369,0)))</f>
        <v/>
      </c>
      <c r="E110" s="8">
        <f>IF(ISNA(MATCH(97,Engine!$C$2:$C$1369,0)),"",INDEX('Compliance Database'!$E$2:$E$1369,MATCH(97,Engine!$C$2:$C$1369,0)))</f>
        <v/>
      </c>
      <c r="F110" s="8">
        <f>IF(ISNA(MATCH(97,Engine!$C$2:$C$1369,0)),"",INDEX('Compliance Database'!$F$2:$F$1369,MATCH(97,Engine!$C$2:$C$1369,0)))</f>
        <v/>
      </c>
      <c r="G110" s="8">
        <f>IF(ISNA(MATCH(97,Engine!$C$2:$C$1369,0)),"",INDEX('Compliance Database'!$G$2:$G$1369,MATCH(97,Engine!$C$2:$C$1369,0)))</f>
        <v/>
      </c>
      <c r="H110" s="9">
        <f>IF(ISNA(MATCH(97,Engine!$C$2:$C$1369,0)),"",INDEX('Compliance Database'!$H$2:$H$1369,MATCH(97,Engine!$C$2:$C$1369,0)))</f>
        <v/>
      </c>
      <c r="I110" s="9">
        <f>IF(ISNA(MATCH(97,Engine!$C$2:$C$1369,0)),"",INDEX('Compliance Database'!$I$2:$I$1369,MATCH(97,Engine!$C$2:$C$1369,0)))</f>
        <v/>
      </c>
      <c r="J110" s="8">
        <f>IF(ISNA(MATCH(97,Engine!$C$2:$C$1369,0)),"",INDEX('Compliance Database'!$J$2:$J$1369,MATCH(97,Engine!$C$2:$C$1369,0)))</f>
        <v/>
      </c>
      <c r="K110" s="9">
        <f>IF(ISNA(MATCH(97,Engine!$C$2:$C$1369,0)),"",INDEX('Compliance Database'!$K$2:$K$1369,MATCH(97,Engine!$C$2:$C$1369,0)))</f>
        <v/>
      </c>
      <c r="L110" s="9">
        <f>IF(ISNA(MATCH(97,Engine!$C$2:$C$1369,0)),"",INDEX('Compliance Database'!$L$2:$L$1369,MATCH(97,Engine!$C$2:$C$1369,0)))</f>
        <v/>
      </c>
      <c r="M110" s="9">
        <f>IF(ISNA(MATCH(97,Engine!$C$2:$C$1369,0)),"",INDEX('Compliance Database'!$M$2:$M$1369,MATCH(97,Engine!$C$2:$C$1369,0)))</f>
        <v/>
      </c>
      <c r="N110" s="9">
        <f>IF(ISNA(MATCH(97,Engine!$C$2:$C$1369,0)),"",INDEX('Compliance Database'!$N$2:$N$1369,MATCH(97,Engine!$C$2:$C$1369,0)))</f>
        <v/>
      </c>
      <c r="O110" s="8">
        <f>IF(ISNA(MATCH(97,Engine!$C$2:$C$1369,0)),"",HYPERLINK(INDEX('Compliance Database'!$O$2:$O$1369,MATCH(97,Engine!$C$2:$C$1369,0)),"Open PDF"))</f>
        <v/>
      </c>
    </row>
    <row r="111" ht="188" customHeight="1">
      <c r="A111" s="8">
        <f>IF(ISNA(MATCH(98,Engine!$C$2:$C$1369,0)),"",INDEX('Compliance Database'!$A$2:$A$1369,MATCH(98,Engine!$C$2:$C$1369,0)))</f>
        <v/>
      </c>
      <c r="B111" s="8">
        <f>IF(ISNA(MATCH(98,Engine!$C$2:$C$1369,0)),"",INDEX('Compliance Database'!$B$2:$B$1369,MATCH(98,Engine!$C$2:$C$1369,0)))</f>
        <v/>
      </c>
      <c r="C111" s="8">
        <f>IF(ISNA(MATCH(98,Engine!$C$2:$C$1369,0)),"",INDEX('Compliance Database'!$C$2:$C$1369,MATCH(98,Engine!$C$2:$C$1369,0)))</f>
        <v/>
      </c>
      <c r="D111" s="9">
        <f>IF(ISNA(MATCH(98,Engine!$C$2:$C$1369,0)),"",INDEX('Compliance Database'!$D$2:$D$1369,MATCH(98,Engine!$C$2:$C$1369,0)))</f>
        <v/>
      </c>
      <c r="E111" s="8">
        <f>IF(ISNA(MATCH(98,Engine!$C$2:$C$1369,0)),"",INDEX('Compliance Database'!$E$2:$E$1369,MATCH(98,Engine!$C$2:$C$1369,0)))</f>
        <v/>
      </c>
      <c r="F111" s="8">
        <f>IF(ISNA(MATCH(98,Engine!$C$2:$C$1369,0)),"",INDEX('Compliance Database'!$F$2:$F$1369,MATCH(98,Engine!$C$2:$C$1369,0)))</f>
        <v/>
      </c>
      <c r="G111" s="8">
        <f>IF(ISNA(MATCH(98,Engine!$C$2:$C$1369,0)),"",INDEX('Compliance Database'!$G$2:$G$1369,MATCH(98,Engine!$C$2:$C$1369,0)))</f>
        <v/>
      </c>
      <c r="H111" s="9">
        <f>IF(ISNA(MATCH(98,Engine!$C$2:$C$1369,0)),"",INDEX('Compliance Database'!$H$2:$H$1369,MATCH(98,Engine!$C$2:$C$1369,0)))</f>
        <v/>
      </c>
      <c r="I111" s="9">
        <f>IF(ISNA(MATCH(98,Engine!$C$2:$C$1369,0)),"",INDEX('Compliance Database'!$I$2:$I$1369,MATCH(98,Engine!$C$2:$C$1369,0)))</f>
        <v/>
      </c>
      <c r="J111" s="8">
        <f>IF(ISNA(MATCH(98,Engine!$C$2:$C$1369,0)),"",INDEX('Compliance Database'!$J$2:$J$1369,MATCH(98,Engine!$C$2:$C$1369,0)))</f>
        <v/>
      </c>
      <c r="K111" s="9">
        <f>IF(ISNA(MATCH(98,Engine!$C$2:$C$1369,0)),"",INDEX('Compliance Database'!$K$2:$K$1369,MATCH(98,Engine!$C$2:$C$1369,0)))</f>
        <v/>
      </c>
      <c r="L111" s="9">
        <f>IF(ISNA(MATCH(98,Engine!$C$2:$C$1369,0)),"",INDEX('Compliance Database'!$L$2:$L$1369,MATCH(98,Engine!$C$2:$C$1369,0)))</f>
        <v/>
      </c>
      <c r="M111" s="9">
        <f>IF(ISNA(MATCH(98,Engine!$C$2:$C$1369,0)),"",INDEX('Compliance Database'!$M$2:$M$1369,MATCH(98,Engine!$C$2:$C$1369,0)))</f>
        <v/>
      </c>
      <c r="N111" s="9">
        <f>IF(ISNA(MATCH(98,Engine!$C$2:$C$1369,0)),"",INDEX('Compliance Database'!$N$2:$N$1369,MATCH(98,Engine!$C$2:$C$1369,0)))</f>
        <v/>
      </c>
      <c r="O111" s="8">
        <f>IF(ISNA(MATCH(98,Engine!$C$2:$C$1369,0)),"",HYPERLINK(INDEX('Compliance Database'!$O$2:$O$1369,MATCH(98,Engine!$C$2:$C$1369,0)),"Open PDF"))</f>
        <v/>
      </c>
    </row>
    <row r="112" ht="188" customHeight="1">
      <c r="A112" s="8">
        <f>IF(ISNA(MATCH(99,Engine!$C$2:$C$1369,0)),"",INDEX('Compliance Database'!$A$2:$A$1369,MATCH(99,Engine!$C$2:$C$1369,0)))</f>
        <v/>
      </c>
      <c r="B112" s="8">
        <f>IF(ISNA(MATCH(99,Engine!$C$2:$C$1369,0)),"",INDEX('Compliance Database'!$B$2:$B$1369,MATCH(99,Engine!$C$2:$C$1369,0)))</f>
        <v/>
      </c>
      <c r="C112" s="8">
        <f>IF(ISNA(MATCH(99,Engine!$C$2:$C$1369,0)),"",INDEX('Compliance Database'!$C$2:$C$1369,MATCH(99,Engine!$C$2:$C$1369,0)))</f>
        <v/>
      </c>
      <c r="D112" s="9">
        <f>IF(ISNA(MATCH(99,Engine!$C$2:$C$1369,0)),"",INDEX('Compliance Database'!$D$2:$D$1369,MATCH(99,Engine!$C$2:$C$1369,0)))</f>
        <v/>
      </c>
      <c r="E112" s="8">
        <f>IF(ISNA(MATCH(99,Engine!$C$2:$C$1369,0)),"",INDEX('Compliance Database'!$E$2:$E$1369,MATCH(99,Engine!$C$2:$C$1369,0)))</f>
        <v/>
      </c>
      <c r="F112" s="8">
        <f>IF(ISNA(MATCH(99,Engine!$C$2:$C$1369,0)),"",INDEX('Compliance Database'!$F$2:$F$1369,MATCH(99,Engine!$C$2:$C$1369,0)))</f>
        <v/>
      </c>
      <c r="G112" s="8">
        <f>IF(ISNA(MATCH(99,Engine!$C$2:$C$1369,0)),"",INDEX('Compliance Database'!$G$2:$G$1369,MATCH(99,Engine!$C$2:$C$1369,0)))</f>
        <v/>
      </c>
      <c r="H112" s="9">
        <f>IF(ISNA(MATCH(99,Engine!$C$2:$C$1369,0)),"",INDEX('Compliance Database'!$H$2:$H$1369,MATCH(99,Engine!$C$2:$C$1369,0)))</f>
        <v/>
      </c>
      <c r="I112" s="9">
        <f>IF(ISNA(MATCH(99,Engine!$C$2:$C$1369,0)),"",INDEX('Compliance Database'!$I$2:$I$1369,MATCH(99,Engine!$C$2:$C$1369,0)))</f>
        <v/>
      </c>
      <c r="J112" s="8">
        <f>IF(ISNA(MATCH(99,Engine!$C$2:$C$1369,0)),"",INDEX('Compliance Database'!$J$2:$J$1369,MATCH(99,Engine!$C$2:$C$1369,0)))</f>
        <v/>
      </c>
      <c r="K112" s="9">
        <f>IF(ISNA(MATCH(99,Engine!$C$2:$C$1369,0)),"",INDEX('Compliance Database'!$K$2:$K$1369,MATCH(99,Engine!$C$2:$C$1369,0)))</f>
        <v/>
      </c>
      <c r="L112" s="9">
        <f>IF(ISNA(MATCH(99,Engine!$C$2:$C$1369,0)),"",INDEX('Compliance Database'!$L$2:$L$1369,MATCH(99,Engine!$C$2:$C$1369,0)))</f>
        <v/>
      </c>
      <c r="M112" s="9">
        <f>IF(ISNA(MATCH(99,Engine!$C$2:$C$1369,0)),"",INDEX('Compliance Database'!$M$2:$M$1369,MATCH(99,Engine!$C$2:$C$1369,0)))</f>
        <v/>
      </c>
      <c r="N112" s="9">
        <f>IF(ISNA(MATCH(99,Engine!$C$2:$C$1369,0)),"",INDEX('Compliance Database'!$N$2:$N$1369,MATCH(99,Engine!$C$2:$C$1369,0)))</f>
        <v/>
      </c>
      <c r="O112" s="8">
        <f>IF(ISNA(MATCH(99,Engine!$C$2:$C$1369,0)),"",HYPERLINK(INDEX('Compliance Database'!$O$2:$O$1369,MATCH(99,Engine!$C$2:$C$1369,0)),"Open PDF"))</f>
        <v/>
      </c>
    </row>
    <row r="113" ht="188" customHeight="1">
      <c r="A113" s="8">
        <f>IF(ISNA(MATCH(100,Engine!$C$2:$C$1369,0)),"",INDEX('Compliance Database'!$A$2:$A$1369,MATCH(100,Engine!$C$2:$C$1369,0)))</f>
        <v/>
      </c>
      <c r="B113" s="8">
        <f>IF(ISNA(MATCH(100,Engine!$C$2:$C$1369,0)),"",INDEX('Compliance Database'!$B$2:$B$1369,MATCH(100,Engine!$C$2:$C$1369,0)))</f>
        <v/>
      </c>
      <c r="C113" s="8">
        <f>IF(ISNA(MATCH(100,Engine!$C$2:$C$1369,0)),"",INDEX('Compliance Database'!$C$2:$C$1369,MATCH(100,Engine!$C$2:$C$1369,0)))</f>
        <v/>
      </c>
      <c r="D113" s="9">
        <f>IF(ISNA(MATCH(100,Engine!$C$2:$C$1369,0)),"",INDEX('Compliance Database'!$D$2:$D$1369,MATCH(100,Engine!$C$2:$C$1369,0)))</f>
        <v/>
      </c>
      <c r="E113" s="8">
        <f>IF(ISNA(MATCH(100,Engine!$C$2:$C$1369,0)),"",INDEX('Compliance Database'!$E$2:$E$1369,MATCH(100,Engine!$C$2:$C$1369,0)))</f>
        <v/>
      </c>
      <c r="F113" s="8">
        <f>IF(ISNA(MATCH(100,Engine!$C$2:$C$1369,0)),"",INDEX('Compliance Database'!$F$2:$F$1369,MATCH(100,Engine!$C$2:$C$1369,0)))</f>
        <v/>
      </c>
      <c r="G113" s="8">
        <f>IF(ISNA(MATCH(100,Engine!$C$2:$C$1369,0)),"",INDEX('Compliance Database'!$G$2:$G$1369,MATCH(100,Engine!$C$2:$C$1369,0)))</f>
        <v/>
      </c>
      <c r="H113" s="9">
        <f>IF(ISNA(MATCH(100,Engine!$C$2:$C$1369,0)),"",INDEX('Compliance Database'!$H$2:$H$1369,MATCH(100,Engine!$C$2:$C$1369,0)))</f>
        <v/>
      </c>
      <c r="I113" s="9">
        <f>IF(ISNA(MATCH(100,Engine!$C$2:$C$1369,0)),"",INDEX('Compliance Database'!$I$2:$I$1369,MATCH(100,Engine!$C$2:$C$1369,0)))</f>
        <v/>
      </c>
      <c r="J113" s="8">
        <f>IF(ISNA(MATCH(100,Engine!$C$2:$C$1369,0)),"",INDEX('Compliance Database'!$J$2:$J$1369,MATCH(100,Engine!$C$2:$C$1369,0)))</f>
        <v/>
      </c>
      <c r="K113" s="9">
        <f>IF(ISNA(MATCH(100,Engine!$C$2:$C$1369,0)),"",INDEX('Compliance Database'!$K$2:$K$1369,MATCH(100,Engine!$C$2:$C$1369,0)))</f>
        <v/>
      </c>
      <c r="L113" s="9">
        <f>IF(ISNA(MATCH(100,Engine!$C$2:$C$1369,0)),"",INDEX('Compliance Database'!$L$2:$L$1369,MATCH(100,Engine!$C$2:$C$1369,0)))</f>
        <v/>
      </c>
      <c r="M113" s="9">
        <f>IF(ISNA(MATCH(100,Engine!$C$2:$C$1369,0)),"",INDEX('Compliance Database'!$M$2:$M$1369,MATCH(100,Engine!$C$2:$C$1369,0)))</f>
        <v/>
      </c>
      <c r="N113" s="9">
        <f>IF(ISNA(MATCH(100,Engine!$C$2:$C$1369,0)),"",INDEX('Compliance Database'!$N$2:$N$1369,MATCH(100,Engine!$C$2:$C$1369,0)))</f>
        <v/>
      </c>
      <c r="O113" s="8">
        <f>IF(ISNA(MATCH(100,Engine!$C$2:$C$1369,0)),"",HYPERLINK(INDEX('Compliance Database'!$O$2:$O$1369,MATCH(100,Engine!$C$2:$C$1369,0)),"Open PDF"))</f>
        <v/>
      </c>
    </row>
    <row r="114" ht="188" customHeight="1">
      <c r="A114" s="8">
        <f>IF(ISNA(MATCH(101,Engine!$C$2:$C$1369,0)),"",INDEX('Compliance Database'!$A$2:$A$1369,MATCH(101,Engine!$C$2:$C$1369,0)))</f>
        <v/>
      </c>
      <c r="B114" s="8">
        <f>IF(ISNA(MATCH(101,Engine!$C$2:$C$1369,0)),"",INDEX('Compliance Database'!$B$2:$B$1369,MATCH(101,Engine!$C$2:$C$1369,0)))</f>
        <v/>
      </c>
      <c r="C114" s="8">
        <f>IF(ISNA(MATCH(101,Engine!$C$2:$C$1369,0)),"",INDEX('Compliance Database'!$C$2:$C$1369,MATCH(101,Engine!$C$2:$C$1369,0)))</f>
        <v/>
      </c>
      <c r="D114" s="9">
        <f>IF(ISNA(MATCH(101,Engine!$C$2:$C$1369,0)),"",INDEX('Compliance Database'!$D$2:$D$1369,MATCH(101,Engine!$C$2:$C$1369,0)))</f>
        <v/>
      </c>
      <c r="E114" s="8">
        <f>IF(ISNA(MATCH(101,Engine!$C$2:$C$1369,0)),"",INDEX('Compliance Database'!$E$2:$E$1369,MATCH(101,Engine!$C$2:$C$1369,0)))</f>
        <v/>
      </c>
      <c r="F114" s="8">
        <f>IF(ISNA(MATCH(101,Engine!$C$2:$C$1369,0)),"",INDEX('Compliance Database'!$F$2:$F$1369,MATCH(101,Engine!$C$2:$C$1369,0)))</f>
        <v/>
      </c>
      <c r="G114" s="8">
        <f>IF(ISNA(MATCH(101,Engine!$C$2:$C$1369,0)),"",INDEX('Compliance Database'!$G$2:$G$1369,MATCH(101,Engine!$C$2:$C$1369,0)))</f>
        <v/>
      </c>
      <c r="H114" s="9">
        <f>IF(ISNA(MATCH(101,Engine!$C$2:$C$1369,0)),"",INDEX('Compliance Database'!$H$2:$H$1369,MATCH(101,Engine!$C$2:$C$1369,0)))</f>
        <v/>
      </c>
      <c r="I114" s="9">
        <f>IF(ISNA(MATCH(101,Engine!$C$2:$C$1369,0)),"",INDEX('Compliance Database'!$I$2:$I$1369,MATCH(101,Engine!$C$2:$C$1369,0)))</f>
        <v/>
      </c>
      <c r="J114" s="8">
        <f>IF(ISNA(MATCH(101,Engine!$C$2:$C$1369,0)),"",INDEX('Compliance Database'!$J$2:$J$1369,MATCH(101,Engine!$C$2:$C$1369,0)))</f>
        <v/>
      </c>
      <c r="K114" s="9">
        <f>IF(ISNA(MATCH(101,Engine!$C$2:$C$1369,0)),"",INDEX('Compliance Database'!$K$2:$K$1369,MATCH(101,Engine!$C$2:$C$1369,0)))</f>
        <v/>
      </c>
      <c r="L114" s="9">
        <f>IF(ISNA(MATCH(101,Engine!$C$2:$C$1369,0)),"",INDEX('Compliance Database'!$L$2:$L$1369,MATCH(101,Engine!$C$2:$C$1369,0)))</f>
        <v/>
      </c>
      <c r="M114" s="9">
        <f>IF(ISNA(MATCH(101,Engine!$C$2:$C$1369,0)),"",INDEX('Compliance Database'!$M$2:$M$1369,MATCH(101,Engine!$C$2:$C$1369,0)))</f>
        <v/>
      </c>
      <c r="N114" s="9">
        <f>IF(ISNA(MATCH(101,Engine!$C$2:$C$1369,0)),"",INDEX('Compliance Database'!$N$2:$N$1369,MATCH(101,Engine!$C$2:$C$1369,0)))</f>
        <v/>
      </c>
      <c r="O114" s="8">
        <f>IF(ISNA(MATCH(101,Engine!$C$2:$C$1369,0)),"",HYPERLINK(INDEX('Compliance Database'!$O$2:$O$1369,MATCH(101,Engine!$C$2:$C$1369,0)),"Open PDF"))</f>
        <v/>
      </c>
    </row>
    <row r="115" ht="188" customHeight="1">
      <c r="A115" s="8">
        <f>IF(ISNA(MATCH(102,Engine!$C$2:$C$1369,0)),"",INDEX('Compliance Database'!$A$2:$A$1369,MATCH(102,Engine!$C$2:$C$1369,0)))</f>
        <v/>
      </c>
      <c r="B115" s="8">
        <f>IF(ISNA(MATCH(102,Engine!$C$2:$C$1369,0)),"",INDEX('Compliance Database'!$B$2:$B$1369,MATCH(102,Engine!$C$2:$C$1369,0)))</f>
        <v/>
      </c>
      <c r="C115" s="8">
        <f>IF(ISNA(MATCH(102,Engine!$C$2:$C$1369,0)),"",INDEX('Compliance Database'!$C$2:$C$1369,MATCH(102,Engine!$C$2:$C$1369,0)))</f>
        <v/>
      </c>
      <c r="D115" s="9">
        <f>IF(ISNA(MATCH(102,Engine!$C$2:$C$1369,0)),"",INDEX('Compliance Database'!$D$2:$D$1369,MATCH(102,Engine!$C$2:$C$1369,0)))</f>
        <v/>
      </c>
      <c r="E115" s="8">
        <f>IF(ISNA(MATCH(102,Engine!$C$2:$C$1369,0)),"",INDEX('Compliance Database'!$E$2:$E$1369,MATCH(102,Engine!$C$2:$C$1369,0)))</f>
        <v/>
      </c>
      <c r="F115" s="8">
        <f>IF(ISNA(MATCH(102,Engine!$C$2:$C$1369,0)),"",INDEX('Compliance Database'!$F$2:$F$1369,MATCH(102,Engine!$C$2:$C$1369,0)))</f>
        <v/>
      </c>
      <c r="G115" s="8">
        <f>IF(ISNA(MATCH(102,Engine!$C$2:$C$1369,0)),"",INDEX('Compliance Database'!$G$2:$G$1369,MATCH(102,Engine!$C$2:$C$1369,0)))</f>
        <v/>
      </c>
      <c r="H115" s="9">
        <f>IF(ISNA(MATCH(102,Engine!$C$2:$C$1369,0)),"",INDEX('Compliance Database'!$H$2:$H$1369,MATCH(102,Engine!$C$2:$C$1369,0)))</f>
        <v/>
      </c>
      <c r="I115" s="9">
        <f>IF(ISNA(MATCH(102,Engine!$C$2:$C$1369,0)),"",INDEX('Compliance Database'!$I$2:$I$1369,MATCH(102,Engine!$C$2:$C$1369,0)))</f>
        <v/>
      </c>
      <c r="J115" s="8">
        <f>IF(ISNA(MATCH(102,Engine!$C$2:$C$1369,0)),"",INDEX('Compliance Database'!$J$2:$J$1369,MATCH(102,Engine!$C$2:$C$1369,0)))</f>
        <v/>
      </c>
      <c r="K115" s="9">
        <f>IF(ISNA(MATCH(102,Engine!$C$2:$C$1369,0)),"",INDEX('Compliance Database'!$K$2:$K$1369,MATCH(102,Engine!$C$2:$C$1369,0)))</f>
        <v/>
      </c>
      <c r="L115" s="9">
        <f>IF(ISNA(MATCH(102,Engine!$C$2:$C$1369,0)),"",INDEX('Compliance Database'!$L$2:$L$1369,MATCH(102,Engine!$C$2:$C$1369,0)))</f>
        <v/>
      </c>
      <c r="M115" s="9">
        <f>IF(ISNA(MATCH(102,Engine!$C$2:$C$1369,0)),"",INDEX('Compliance Database'!$M$2:$M$1369,MATCH(102,Engine!$C$2:$C$1369,0)))</f>
        <v/>
      </c>
      <c r="N115" s="9">
        <f>IF(ISNA(MATCH(102,Engine!$C$2:$C$1369,0)),"",INDEX('Compliance Database'!$N$2:$N$1369,MATCH(102,Engine!$C$2:$C$1369,0)))</f>
        <v/>
      </c>
      <c r="O115" s="8">
        <f>IF(ISNA(MATCH(102,Engine!$C$2:$C$1369,0)),"",HYPERLINK(INDEX('Compliance Database'!$O$2:$O$1369,MATCH(102,Engine!$C$2:$C$1369,0)),"Open PDF"))</f>
        <v/>
      </c>
    </row>
    <row r="116" ht="188" customHeight="1">
      <c r="A116" s="8">
        <f>IF(ISNA(MATCH(103,Engine!$C$2:$C$1369,0)),"",INDEX('Compliance Database'!$A$2:$A$1369,MATCH(103,Engine!$C$2:$C$1369,0)))</f>
        <v/>
      </c>
      <c r="B116" s="8">
        <f>IF(ISNA(MATCH(103,Engine!$C$2:$C$1369,0)),"",INDEX('Compliance Database'!$B$2:$B$1369,MATCH(103,Engine!$C$2:$C$1369,0)))</f>
        <v/>
      </c>
      <c r="C116" s="8">
        <f>IF(ISNA(MATCH(103,Engine!$C$2:$C$1369,0)),"",INDEX('Compliance Database'!$C$2:$C$1369,MATCH(103,Engine!$C$2:$C$1369,0)))</f>
        <v/>
      </c>
      <c r="D116" s="9">
        <f>IF(ISNA(MATCH(103,Engine!$C$2:$C$1369,0)),"",INDEX('Compliance Database'!$D$2:$D$1369,MATCH(103,Engine!$C$2:$C$1369,0)))</f>
        <v/>
      </c>
      <c r="E116" s="8">
        <f>IF(ISNA(MATCH(103,Engine!$C$2:$C$1369,0)),"",INDEX('Compliance Database'!$E$2:$E$1369,MATCH(103,Engine!$C$2:$C$1369,0)))</f>
        <v/>
      </c>
      <c r="F116" s="8">
        <f>IF(ISNA(MATCH(103,Engine!$C$2:$C$1369,0)),"",INDEX('Compliance Database'!$F$2:$F$1369,MATCH(103,Engine!$C$2:$C$1369,0)))</f>
        <v/>
      </c>
      <c r="G116" s="8">
        <f>IF(ISNA(MATCH(103,Engine!$C$2:$C$1369,0)),"",INDEX('Compliance Database'!$G$2:$G$1369,MATCH(103,Engine!$C$2:$C$1369,0)))</f>
        <v/>
      </c>
      <c r="H116" s="9">
        <f>IF(ISNA(MATCH(103,Engine!$C$2:$C$1369,0)),"",INDEX('Compliance Database'!$H$2:$H$1369,MATCH(103,Engine!$C$2:$C$1369,0)))</f>
        <v/>
      </c>
      <c r="I116" s="9">
        <f>IF(ISNA(MATCH(103,Engine!$C$2:$C$1369,0)),"",INDEX('Compliance Database'!$I$2:$I$1369,MATCH(103,Engine!$C$2:$C$1369,0)))</f>
        <v/>
      </c>
      <c r="J116" s="8">
        <f>IF(ISNA(MATCH(103,Engine!$C$2:$C$1369,0)),"",INDEX('Compliance Database'!$J$2:$J$1369,MATCH(103,Engine!$C$2:$C$1369,0)))</f>
        <v/>
      </c>
      <c r="K116" s="9">
        <f>IF(ISNA(MATCH(103,Engine!$C$2:$C$1369,0)),"",INDEX('Compliance Database'!$K$2:$K$1369,MATCH(103,Engine!$C$2:$C$1369,0)))</f>
        <v/>
      </c>
      <c r="L116" s="9">
        <f>IF(ISNA(MATCH(103,Engine!$C$2:$C$1369,0)),"",INDEX('Compliance Database'!$L$2:$L$1369,MATCH(103,Engine!$C$2:$C$1369,0)))</f>
        <v/>
      </c>
      <c r="M116" s="9">
        <f>IF(ISNA(MATCH(103,Engine!$C$2:$C$1369,0)),"",INDEX('Compliance Database'!$M$2:$M$1369,MATCH(103,Engine!$C$2:$C$1369,0)))</f>
        <v/>
      </c>
      <c r="N116" s="9">
        <f>IF(ISNA(MATCH(103,Engine!$C$2:$C$1369,0)),"",INDEX('Compliance Database'!$N$2:$N$1369,MATCH(103,Engine!$C$2:$C$1369,0)))</f>
        <v/>
      </c>
      <c r="O116" s="8">
        <f>IF(ISNA(MATCH(103,Engine!$C$2:$C$1369,0)),"",HYPERLINK(INDEX('Compliance Database'!$O$2:$O$1369,MATCH(103,Engine!$C$2:$C$1369,0)),"Open PDF"))</f>
        <v/>
      </c>
    </row>
    <row r="117" ht="188" customHeight="1">
      <c r="A117" s="8">
        <f>IF(ISNA(MATCH(104,Engine!$C$2:$C$1369,0)),"",INDEX('Compliance Database'!$A$2:$A$1369,MATCH(104,Engine!$C$2:$C$1369,0)))</f>
        <v/>
      </c>
      <c r="B117" s="8">
        <f>IF(ISNA(MATCH(104,Engine!$C$2:$C$1369,0)),"",INDEX('Compliance Database'!$B$2:$B$1369,MATCH(104,Engine!$C$2:$C$1369,0)))</f>
        <v/>
      </c>
      <c r="C117" s="8">
        <f>IF(ISNA(MATCH(104,Engine!$C$2:$C$1369,0)),"",INDEX('Compliance Database'!$C$2:$C$1369,MATCH(104,Engine!$C$2:$C$1369,0)))</f>
        <v/>
      </c>
      <c r="D117" s="9">
        <f>IF(ISNA(MATCH(104,Engine!$C$2:$C$1369,0)),"",INDEX('Compliance Database'!$D$2:$D$1369,MATCH(104,Engine!$C$2:$C$1369,0)))</f>
        <v/>
      </c>
      <c r="E117" s="8">
        <f>IF(ISNA(MATCH(104,Engine!$C$2:$C$1369,0)),"",INDEX('Compliance Database'!$E$2:$E$1369,MATCH(104,Engine!$C$2:$C$1369,0)))</f>
        <v/>
      </c>
      <c r="F117" s="8">
        <f>IF(ISNA(MATCH(104,Engine!$C$2:$C$1369,0)),"",INDEX('Compliance Database'!$F$2:$F$1369,MATCH(104,Engine!$C$2:$C$1369,0)))</f>
        <v/>
      </c>
      <c r="G117" s="8">
        <f>IF(ISNA(MATCH(104,Engine!$C$2:$C$1369,0)),"",INDEX('Compliance Database'!$G$2:$G$1369,MATCH(104,Engine!$C$2:$C$1369,0)))</f>
        <v/>
      </c>
      <c r="H117" s="9">
        <f>IF(ISNA(MATCH(104,Engine!$C$2:$C$1369,0)),"",INDEX('Compliance Database'!$H$2:$H$1369,MATCH(104,Engine!$C$2:$C$1369,0)))</f>
        <v/>
      </c>
      <c r="I117" s="9">
        <f>IF(ISNA(MATCH(104,Engine!$C$2:$C$1369,0)),"",INDEX('Compliance Database'!$I$2:$I$1369,MATCH(104,Engine!$C$2:$C$1369,0)))</f>
        <v/>
      </c>
      <c r="J117" s="8">
        <f>IF(ISNA(MATCH(104,Engine!$C$2:$C$1369,0)),"",INDEX('Compliance Database'!$J$2:$J$1369,MATCH(104,Engine!$C$2:$C$1369,0)))</f>
        <v/>
      </c>
      <c r="K117" s="9">
        <f>IF(ISNA(MATCH(104,Engine!$C$2:$C$1369,0)),"",INDEX('Compliance Database'!$K$2:$K$1369,MATCH(104,Engine!$C$2:$C$1369,0)))</f>
        <v/>
      </c>
      <c r="L117" s="9">
        <f>IF(ISNA(MATCH(104,Engine!$C$2:$C$1369,0)),"",INDEX('Compliance Database'!$L$2:$L$1369,MATCH(104,Engine!$C$2:$C$1369,0)))</f>
        <v/>
      </c>
      <c r="M117" s="9">
        <f>IF(ISNA(MATCH(104,Engine!$C$2:$C$1369,0)),"",INDEX('Compliance Database'!$M$2:$M$1369,MATCH(104,Engine!$C$2:$C$1369,0)))</f>
        <v/>
      </c>
      <c r="N117" s="9">
        <f>IF(ISNA(MATCH(104,Engine!$C$2:$C$1369,0)),"",INDEX('Compliance Database'!$N$2:$N$1369,MATCH(104,Engine!$C$2:$C$1369,0)))</f>
        <v/>
      </c>
      <c r="O117" s="8">
        <f>IF(ISNA(MATCH(104,Engine!$C$2:$C$1369,0)),"",HYPERLINK(INDEX('Compliance Database'!$O$2:$O$1369,MATCH(104,Engine!$C$2:$C$1369,0)),"Open PDF"))</f>
        <v/>
      </c>
    </row>
    <row r="118" ht="188" customHeight="1">
      <c r="A118" s="8">
        <f>IF(ISNA(MATCH(105,Engine!$C$2:$C$1369,0)),"",INDEX('Compliance Database'!$A$2:$A$1369,MATCH(105,Engine!$C$2:$C$1369,0)))</f>
        <v/>
      </c>
      <c r="B118" s="8">
        <f>IF(ISNA(MATCH(105,Engine!$C$2:$C$1369,0)),"",INDEX('Compliance Database'!$B$2:$B$1369,MATCH(105,Engine!$C$2:$C$1369,0)))</f>
        <v/>
      </c>
      <c r="C118" s="8">
        <f>IF(ISNA(MATCH(105,Engine!$C$2:$C$1369,0)),"",INDEX('Compliance Database'!$C$2:$C$1369,MATCH(105,Engine!$C$2:$C$1369,0)))</f>
        <v/>
      </c>
      <c r="D118" s="9">
        <f>IF(ISNA(MATCH(105,Engine!$C$2:$C$1369,0)),"",INDEX('Compliance Database'!$D$2:$D$1369,MATCH(105,Engine!$C$2:$C$1369,0)))</f>
        <v/>
      </c>
      <c r="E118" s="8">
        <f>IF(ISNA(MATCH(105,Engine!$C$2:$C$1369,0)),"",INDEX('Compliance Database'!$E$2:$E$1369,MATCH(105,Engine!$C$2:$C$1369,0)))</f>
        <v/>
      </c>
      <c r="F118" s="8">
        <f>IF(ISNA(MATCH(105,Engine!$C$2:$C$1369,0)),"",INDEX('Compliance Database'!$F$2:$F$1369,MATCH(105,Engine!$C$2:$C$1369,0)))</f>
        <v/>
      </c>
      <c r="G118" s="8">
        <f>IF(ISNA(MATCH(105,Engine!$C$2:$C$1369,0)),"",INDEX('Compliance Database'!$G$2:$G$1369,MATCH(105,Engine!$C$2:$C$1369,0)))</f>
        <v/>
      </c>
      <c r="H118" s="9">
        <f>IF(ISNA(MATCH(105,Engine!$C$2:$C$1369,0)),"",INDEX('Compliance Database'!$H$2:$H$1369,MATCH(105,Engine!$C$2:$C$1369,0)))</f>
        <v/>
      </c>
      <c r="I118" s="9">
        <f>IF(ISNA(MATCH(105,Engine!$C$2:$C$1369,0)),"",INDEX('Compliance Database'!$I$2:$I$1369,MATCH(105,Engine!$C$2:$C$1369,0)))</f>
        <v/>
      </c>
      <c r="J118" s="8">
        <f>IF(ISNA(MATCH(105,Engine!$C$2:$C$1369,0)),"",INDEX('Compliance Database'!$J$2:$J$1369,MATCH(105,Engine!$C$2:$C$1369,0)))</f>
        <v/>
      </c>
      <c r="K118" s="9">
        <f>IF(ISNA(MATCH(105,Engine!$C$2:$C$1369,0)),"",INDEX('Compliance Database'!$K$2:$K$1369,MATCH(105,Engine!$C$2:$C$1369,0)))</f>
        <v/>
      </c>
      <c r="L118" s="9">
        <f>IF(ISNA(MATCH(105,Engine!$C$2:$C$1369,0)),"",INDEX('Compliance Database'!$L$2:$L$1369,MATCH(105,Engine!$C$2:$C$1369,0)))</f>
        <v/>
      </c>
      <c r="M118" s="9">
        <f>IF(ISNA(MATCH(105,Engine!$C$2:$C$1369,0)),"",INDEX('Compliance Database'!$M$2:$M$1369,MATCH(105,Engine!$C$2:$C$1369,0)))</f>
        <v/>
      </c>
      <c r="N118" s="9">
        <f>IF(ISNA(MATCH(105,Engine!$C$2:$C$1369,0)),"",INDEX('Compliance Database'!$N$2:$N$1369,MATCH(105,Engine!$C$2:$C$1369,0)))</f>
        <v/>
      </c>
      <c r="O118" s="8">
        <f>IF(ISNA(MATCH(105,Engine!$C$2:$C$1369,0)),"",HYPERLINK(INDEX('Compliance Database'!$O$2:$O$1369,MATCH(105,Engine!$C$2:$C$1369,0)),"Open PDF"))</f>
        <v/>
      </c>
    </row>
    <row r="119" ht="188" customHeight="1">
      <c r="A119" s="8">
        <f>IF(ISNA(MATCH(106,Engine!$C$2:$C$1369,0)),"",INDEX('Compliance Database'!$A$2:$A$1369,MATCH(106,Engine!$C$2:$C$1369,0)))</f>
        <v/>
      </c>
      <c r="B119" s="8">
        <f>IF(ISNA(MATCH(106,Engine!$C$2:$C$1369,0)),"",INDEX('Compliance Database'!$B$2:$B$1369,MATCH(106,Engine!$C$2:$C$1369,0)))</f>
        <v/>
      </c>
      <c r="C119" s="8">
        <f>IF(ISNA(MATCH(106,Engine!$C$2:$C$1369,0)),"",INDEX('Compliance Database'!$C$2:$C$1369,MATCH(106,Engine!$C$2:$C$1369,0)))</f>
        <v/>
      </c>
      <c r="D119" s="9">
        <f>IF(ISNA(MATCH(106,Engine!$C$2:$C$1369,0)),"",INDEX('Compliance Database'!$D$2:$D$1369,MATCH(106,Engine!$C$2:$C$1369,0)))</f>
        <v/>
      </c>
      <c r="E119" s="8">
        <f>IF(ISNA(MATCH(106,Engine!$C$2:$C$1369,0)),"",INDEX('Compliance Database'!$E$2:$E$1369,MATCH(106,Engine!$C$2:$C$1369,0)))</f>
        <v/>
      </c>
      <c r="F119" s="8">
        <f>IF(ISNA(MATCH(106,Engine!$C$2:$C$1369,0)),"",INDEX('Compliance Database'!$F$2:$F$1369,MATCH(106,Engine!$C$2:$C$1369,0)))</f>
        <v/>
      </c>
      <c r="G119" s="8">
        <f>IF(ISNA(MATCH(106,Engine!$C$2:$C$1369,0)),"",INDEX('Compliance Database'!$G$2:$G$1369,MATCH(106,Engine!$C$2:$C$1369,0)))</f>
        <v/>
      </c>
      <c r="H119" s="9">
        <f>IF(ISNA(MATCH(106,Engine!$C$2:$C$1369,0)),"",INDEX('Compliance Database'!$H$2:$H$1369,MATCH(106,Engine!$C$2:$C$1369,0)))</f>
        <v/>
      </c>
      <c r="I119" s="9">
        <f>IF(ISNA(MATCH(106,Engine!$C$2:$C$1369,0)),"",INDEX('Compliance Database'!$I$2:$I$1369,MATCH(106,Engine!$C$2:$C$1369,0)))</f>
        <v/>
      </c>
      <c r="J119" s="8">
        <f>IF(ISNA(MATCH(106,Engine!$C$2:$C$1369,0)),"",INDEX('Compliance Database'!$J$2:$J$1369,MATCH(106,Engine!$C$2:$C$1369,0)))</f>
        <v/>
      </c>
      <c r="K119" s="9">
        <f>IF(ISNA(MATCH(106,Engine!$C$2:$C$1369,0)),"",INDEX('Compliance Database'!$K$2:$K$1369,MATCH(106,Engine!$C$2:$C$1369,0)))</f>
        <v/>
      </c>
      <c r="L119" s="9">
        <f>IF(ISNA(MATCH(106,Engine!$C$2:$C$1369,0)),"",INDEX('Compliance Database'!$L$2:$L$1369,MATCH(106,Engine!$C$2:$C$1369,0)))</f>
        <v/>
      </c>
      <c r="M119" s="9">
        <f>IF(ISNA(MATCH(106,Engine!$C$2:$C$1369,0)),"",INDEX('Compliance Database'!$M$2:$M$1369,MATCH(106,Engine!$C$2:$C$1369,0)))</f>
        <v/>
      </c>
      <c r="N119" s="9">
        <f>IF(ISNA(MATCH(106,Engine!$C$2:$C$1369,0)),"",INDEX('Compliance Database'!$N$2:$N$1369,MATCH(106,Engine!$C$2:$C$1369,0)))</f>
        <v/>
      </c>
      <c r="O119" s="8">
        <f>IF(ISNA(MATCH(106,Engine!$C$2:$C$1369,0)),"",HYPERLINK(INDEX('Compliance Database'!$O$2:$O$1369,MATCH(106,Engine!$C$2:$C$1369,0)),"Open PDF"))</f>
        <v/>
      </c>
    </row>
    <row r="120" ht="188" customHeight="1">
      <c r="A120" s="8">
        <f>IF(ISNA(MATCH(107,Engine!$C$2:$C$1369,0)),"",INDEX('Compliance Database'!$A$2:$A$1369,MATCH(107,Engine!$C$2:$C$1369,0)))</f>
        <v/>
      </c>
      <c r="B120" s="8">
        <f>IF(ISNA(MATCH(107,Engine!$C$2:$C$1369,0)),"",INDEX('Compliance Database'!$B$2:$B$1369,MATCH(107,Engine!$C$2:$C$1369,0)))</f>
        <v/>
      </c>
      <c r="C120" s="8">
        <f>IF(ISNA(MATCH(107,Engine!$C$2:$C$1369,0)),"",INDEX('Compliance Database'!$C$2:$C$1369,MATCH(107,Engine!$C$2:$C$1369,0)))</f>
        <v/>
      </c>
      <c r="D120" s="9">
        <f>IF(ISNA(MATCH(107,Engine!$C$2:$C$1369,0)),"",INDEX('Compliance Database'!$D$2:$D$1369,MATCH(107,Engine!$C$2:$C$1369,0)))</f>
        <v/>
      </c>
      <c r="E120" s="8">
        <f>IF(ISNA(MATCH(107,Engine!$C$2:$C$1369,0)),"",INDEX('Compliance Database'!$E$2:$E$1369,MATCH(107,Engine!$C$2:$C$1369,0)))</f>
        <v/>
      </c>
      <c r="F120" s="8">
        <f>IF(ISNA(MATCH(107,Engine!$C$2:$C$1369,0)),"",INDEX('Compliance Database'!$F$2:$F$1369,MATCH(107,Engine!$C$2:$C$1369,0)))</f>
        <v/>
      </c>
      <c r="G120" s="8">
        <f>IF(ISNA(MATCH(107,Engine!$C$2:$C$1369,0)),"",INDEX('Compliance Database'!$G$2:$G$1369,MATCH(107,Engine!$C$2:$C$1369,0)))</f>
        <v/>
      </c>
      <c r="H120" s="9">
        <f>IF(ISNA(MATCH(107,Engine!$C$2:$C$1369,0)),"",INDEX('Compliance Database'!$H$2:$H$1369,MATCH(107,Engine!$C$2:$C$1369,0)))</f>
        <v/>
      </c>
      <c r="I120" s="9">
        <f>IF(ISNA(MATCH(107,Engine!$C$2:$C$1369,0)),"",INDEX('Compliance Database'!$I$2:$I$1369,MATCH(107,Engine!$C$2:$C$1369,0)))</f>
        <v/>
      </c>
      <c r="J120" s="8">
        <f>IF(ISNA(MATCH(107,Engine!$C$2:$C$1369,0)),"",INDEX('Compliance Database'!$J$2:$J$1369,MATCH(107,Engine!$C$2:$C$1369,0)))</f>
        <v/>
      </c>
      <c r="K120" s="9">
        <f>IF(ISNA(MATCH(107,Engine!$C$2:$C$1369,0)),"",INDEX('Compliance Database'!$K$2:$K$1369,MATCH(107,Engine!$C$2:$C$1369,0)))</f>
        <v/>
      </c>
      <c r="L120" s="9">
        <f>IF(ISNA(MATCH(107,Engine!$C$2:$C$1369,0)),"",INDEX('Compliance Database'!$L$2:$L$1369,MATCH(107,Engine!$C$2:$C$1369,0)))</f>
        <v/>
      </c>
      <c r="M120" s="9">
        <f>IF(ISNA(MATCH(107,Engine!$C$2:$C$1369,0)),"",INDEX('Compliance Database'!$M$2:$M$1369,MATCH(107,Engine!$C$2:$C$1369,0)))</f>
        <v/>
      </c>
      <c r="N120" s="9">
        <f>IF(ISNA(MATCH(107,Engine!$C$2:$C$1369,0)),"",INDEX('Compliance Database'!$N$2:$N$1369,MATCH(107,Engine!$C$2:$C$1369,0)))</f>
        <v/>
      </c>
      <c r="O120" s="8">
        <f>IF(ISNA(MATCH(107,Engine!$C$2:$C$1369,0)),"",HYPERLINK(INDEX('Compliance Database'!$O$2:$O$1369,MATCH(107,Engine!$C$2:$C$1369,0)),"Open PDF"))</f>
        <v/>
      </c>
    </row>
    <row r="121" ht="188" customHeight="1">
      <c r="A121" s="8">
        <f>IF(ISNA(MATCH(108,Engine!$C$2:$C$1369,0)),"",INDEX('Compliance Database'!$A$2:$A$1369,MATCH(108,Engine!$C$2:$C$1369,0)))</f>
        <v/>
      </c>
      <c r="B121" s="8">
        <f>IF(ISNA(MATCH(108,Engine!$C$2:$C$1369,0)),"",INDEX('Compliance Database'!$B$2:$B$1369,MATCH(108,Engine!$C$2:$C$1369,0)))</f>
        <v/>
      </c>
      <c r="C121" s="8">
        <f>IF(ISNA(MATCH(108,Engine!$C$2:$C$1369,0)),"",INDEX('Compliance Database'!$C$2:$C$1369,MATCH(108,Engine!$C$2:$C$1369,0)))</f>
        <v/>
      </c>
      <c r="D121" s="9">
        <f>IF(ISNA(MATCH(108,Engine!$C$2:$C$1369,0)),"",INDEX('Compliance Database'!$D$2:$D$1369,MATCH(108,Engine!$C$2:$C$1369,0)))</f>
        <v/>
      </c>
      <c r="E121" s="8">
        <f>IF(ISNA(MATCH(108,Engine!$C$2:$C$1369,0)),"",INDEX('Compliance Database'!$E$2:$E$1369,MATCH(108,Engine!$C$2:$C$1369,0)))</f>
        <v/>
      </c>
      <c r="F121" s="8">
        <f>IF(ISNA(MATCH(108,Engine!$C$2:$C$1369,0)),"",INDEX('Compliance Database'!$F$2:$F$1369,MATCH(108,Engine!$C$2:$C$1369,0)))</f>
        <v/>
      </c>
      <c r="G121" s="8">
        <f>IF(ISNA(MATCH(108,Engine!$C$2:$C$1369,0)),"",INDEX('Compliance Database'!$G$2:$G$1369,MATCH(108,Engine!$C$2:$C$1369,0)))</f>
        <v/>
      </c>
      <c r="H121" s="9">
        <f>IF(ISNA(MATCH(108,Engine!$C$2:$C$1369,0)),"",INDEX('Compliance Database'!$H$2:$H$1369,MATCH(108,Engine!$C$2:$C$1369,0)))</f>
        <v/>
      </c>
      <c r="I121" s="9">
        <f>IF(ISNA(MATCH(108,Engine!$C$2:$C$1369,0)),"",INDEX('Compliance Database'!$I$2:$I$1369,MATCH(108,Engine!$C$2:$C$1369,0)))</f>
        <v/>
      </c>
      <c r="J121" s="8">
        <f>IF(ISNA(MATCH(108,Engine!$C$2:$C$1369,0)),"",INDEX('Compliance Database'!$J$2:$J$1369,MATCH(108,Engine!$C$2:$C$1369,0)))</f>
        <v/>
      </c>
      <c r="K121" s="9">
        <f>IF(ISNA(MATCH(108,Engine!$C$2:$C$1369,0)),"",INDEX('Compliance Database'!$K$2:$K$1369,MATCH(108,Engine!$C$2:$C$1369,0)))</f>
        <v/>
      </c>
      <c r="L121" s="9">
        <f>IF(ISNA(MATCH(108,Engine!$C$2:$C$1369,0)),"",INDEX('Compliance Database'!$L$2:$L$1369,MATCH(108,Engine!$C$2:$C$1369,0)))</f>
        <v/>
      </c>
      <c r="M121" s="9">
        <f>IF(ISNA(MATCH(108,Engine!$C$2:$C$1369,0)),"",INDEX('Compliance Database'!$M$2:$M$1369,MATCH(108,Engine!$C$2:$C$1369,0)))</f>
        <v/>
      </c>
      <c r="N121" s="9">
        <f>IF(ISNA(MATCH(108,Engine!$C$2:$C$1369,0)),"",INDEX('Compliance Database'!$N$2:$N$1369,MATCH(108,Engine!$C$2:$C$1369,0)))</f>
        <v/>
      </c>
      <c r="O121" s="8">
        <f>IF(ISNA(MATCH(108,Engine!$C$2:$C$1369,0)),"",HYPERLINK(INDEX('Compliance Database'!$O$2:$O$1369,MATCH(108,Engine!$C$2:$C$1369,0)),"Open PDF"))</f>
        <v/>
      </c>
    </row>
    <row r="122" ht="188" customHeight="1">
      <c r="A122" s="8">
        <f>IF(ISNA(MATCH(109,Engine!$C$2:$C$1369,0)),"",INDEX('Compliance Database'!$A$2:$A$1369,MATCH(109,Engine!$C$2:$C$1369,0)))</f>
        <v/>
      </c>
      <c r="B122" s="8">
        <f>IF(ISNA(MATCH(109,Engine!$C$2:$C$1369,0)),"",INDEX('Compliance Database'!$B$2:$B$1369,MATCH(109,Engine!$C$2:$C$1369,0)))</f>
        <v/>
      </c>
      <c r="C122" s="8">
        <f>IF(ISNA(MATCH(109,Engine!$C$2:$C$1369,0)),"",INDEX('Compliance Database'!$C$2:$C$1369,MATCH(109,Engine!$C$2:$C$1369,0)))</f>
        <v/>
      </c>
      <c r="D122" s="9">
        <f>IF(ISNA(MATCH(109,Engine!$C$2:$C$1369,0)),"",INDEX('Compliance Database'!$D$2:$D$1369,MATCH(109,Engine!$C$2:$C$1369,0)))</f>
        <v/>
      </c>
      <c r="E122" s="8">
        <f>IF(ISNA(MATCH(109,Engine!$C$2:$C$1369,0)),"",INDEX('Compliance Database'!$E$2:$E$1369,MATCH(109,Engine!$C$2:$C$1369,0)))</f>
        <v/>
      </c>
      <c r="F122" s="8">
        <f>IF(ISNA(MATCH(109,Engine!$C$2:$C$1369,0)),"",INDEX('Compliance Database'!$F$2:$F$1369,MATCH(109,Engine!$C$2:$C$1369,0)))</f>
        <v/>
      </c>
      <c r="G122" s="8">
        <f>IF(ISNA(MATCH(109,Engine!$C$2:$C$1369,0)),"",INDEX('Compliance Database'!$G$2:$G$1369,MATCH(109,Engine!$C$2:$C$1369,0)))</f>
        <v/>
      </c>
      <c r="H122" s="9">
        <f>IF(ISNA(MATCH(109,Engine!$C$2:$C$1369,0)),"",INDEX('Compliance Database'!$H$2:$H$1369,MATCH(109,Engine!$C$2:$C$1369,0)))</f>
        <v/>
      </c>
      <c r="I122" s="9">
        <f>IF(ISNA(MATCH(109,Engine!$C$2:$C$1369,0)),"",INDEX('Compliance Database'!$I$2:$I$1369,MATCH(109,Engine!$C$2:$C$1369,0)))</f>
        <v/>
      </c>
      <c r="J122" s="8">
        <f>IF(ISNA(MATCH(109,Engine!$C$2:$C$1369,0)),"",INDEX('Compliance Database'!$J$2:$J$1369,MATCH(109,Engine!$C$2:$C$1369,0)))</f>
        <v/>
      </c>
      <c r="K122" s="9">
        <f>IF(ISNA(MATCH(109,Engine!$C$2:$C$1369,0)),"",INDEX('Compliance Database'!$K$2:$K$1369,MATCH(109,Engine!$C$2:$C$1369,0)))</f>
        <v/>
      </c>
      <c r="L122" s="9">
        <f>IF(ISNA(MATCH(109,Engine!$C$2:$C$1369,0)),"",INDEX('Compliance Database'!$L$2:$L$1369,MATCH(109,Engine!$C$2:$C$1369,0)))</f>
        <v/>
      </c>
      <c r="M122" s="9">
        <f>IF(ISNA(MATCH(109,Engine!$C$2:$C$1369,0)),"",INDEX('Compliance Database'!$M$2:$M$1369,MATCH(109,Engine!$C$2:$C$1369,0)))</f>
        <v/>
      </c>
      <c r="N122" s="9">
        <f>IF(ISNA(MATCH(109,Engine!$C$2:$C$1369,0)),"",INDEX('Compliance Database'!$N$2:$N$1369,MATCH(109,Engine!$C$2:$C$1369,0)))</f>
        <v/>
      </c>
      <c r="O122" s="8">
        <f>IF(ISNA(MATCH(109,Engine!$C$2:$C$1369,0)),"",HYPERLINK(INDEX('Compliance Database'!$O$2:$O$1369,MATCH(109,Engine!$C$2:$C$1369,0)),"Open PDF"))</f>
        <v/>
      </c>
    </row>
    <row r="123" ht="188" customHeight="1">
      <c r="A123" s="8">
        <f>IF(ISNA(MATCH(110,Engine!$C$2:$C$1369,0)),"",INDEX('Compliance Database'!$A$2:$A$1369,MATCH(110,Engine!$C$2:$C$1369,0)))</f>
        <v/>
      </c>
      <c r="B123" s="8">
        <f>IF(ISNA(MATCH(110,Engine!$C$2:$C$1369,0)),"",INDEX('Compliance Database'!$B$2:$B$1369,MATCH(110,Engine!$C$2:$C$1369,0)))</f>
        <v/>
      </c>
      <c r="C123" s="8">
        <f>IF(ISNA(MATCH(110,Engine!$C$2:$C$1369,0)),"",INDEX('Compliance Database'!$C$2:$C$1369,MATCH(110,Engine!$C$2:$C$1369,0)))</f>
        <v/>
      </c>
      <c r="D123" s="9">
        <f>IF(ISNA(MATCH(110,Engine!$C$2:$C$1369,0)),"",INDEX('Compliance Database'!$D$2:$D$1369,MATCH(110,Engine!$C$2:$C$1369,0)))</f>
        <v/>
      </c>
      <c r="E123" s="8">
        <f>IF(ISNA(MATCH(110,Engine!$C$2:$C$1369,0)),"",INDEX('Compliance Database'!$E$2:$E$1369,MATCH(110,Engine!$C$2:$C$1369,0)))</f>
        <v/>
      </c>
      <c r="F123" s="8">
        <f>IF(ISNA(MATCH(110,Engine!$C$2:$C$1369,0)),"",INDEX('Compliance Database'!$F$2:$F$1369,MATCH(110,Engine!$C$2:$C$1369,0)))</f>
        <v/>
      </c>
      <c r="G123" s="8">
        <f>IF(ISNA(MATCH(110,Engine!$C$2:$C$1369,0)),"",INDEX('Compliance Database'!$G$2:$G$1369,MATCH(110,Engine!$C$2:$C$1369,0)))</f>
        <v/>
      </c>
      <c r="H123" s="9">
        <f>IF(ISNA(MATCH(110,Engine!$C$2:$C$1369,0)),"",INDEX('Compliance Database'!$H$2:$H$1369,MATCH(110,Engine!$C$2:$C$1369,0)))</f>
        <v/>
      </c>
      <c r="I123" s="9">
        <f>IF(ISNA(MATCH(110,Engine!$C$2:$C$1369,0)),"",INDEX('Compliance Database'!$I$2:$I$1369,MATCH(110,Engine!$C$2:$C$1369,0)))</f>
        <v/>
      </c>
      <c r="J123" s="8">
        <f>IF(ISNA(MATCH(110,Engine!$C$2:$C$1369,0)),"",INDEX('Compliance Database'!$J$2:$J$1369,MATCH(110,Engine!$C$2:$C$1369,0)))</f>
        <v/>
      </c>
      <c r="K123" s="9">
        <f>IF(ISNA(MATCH(110,Engine!$C$2:$C$1369,0)),"",INDEX('Compliance Database'!$K$2:$K$1369,MATCH(110,Engine!$C$2:$C$1369,0)))</f>
        <v/>
      </c>
      <c r="L123" s="9">
        <f>IF(ISNA(MATCH(110,Engine!$C$2:$C$1369,0)),"",INDEX('Compliance Database'!$L$2:$L$1369,MATCH(110,Engine!$C$2:$C$1369,0)))</f>
        <v/>
      </c>
      <c r="M123" s="9">
        <f>IF(ISNA(MATCH(110,Engine!$C$2:$C$1369,0)),"",INDEX('Compliance Database'!$M$2:$M$1369,MATCH(110,Engine!$C$2:$C$1369,0)))</f>
        <v/>
      </c>
      <c r="N123" s="9">
        <f>IF(ISNA(MATCH(110,Engine!$C$2:$C$1369,0)),"",INDEX('Compliance Database'!$N$2:$N$1369,MATCH(110,Engine!$C$2:$C$1369,0)))</f>
        <v/>
      </c>
      <c r="O123" s="8">
        <f>IF(ISNA(MATCH(110,Engine!$C$2:$C$1369,0)),"",HYPERLINK(INDEX('Compliance Database'!$O$2:$O$1369,MATCH(110,Engine!$C$2:$C$1369,0)),"Open PDF"))</f>
        <v/>
      </c>
    </row>
    <row r="124" ht="188" customHeight="1">
      <c r="A124" s="8">
        <f>IF(ISNA(MATCH(111,Engine!$C$2:$C$1369,0)),"",INDEX('Compliance Database'!$A$2:$A$1369,MATCH(111,Engine!$C$2:$C$1369,0)))</f>
        <v/>
      </c>
      <c r="B124" s="8">
        <f>IF(ISNA(MATCH(111,Engine!$C$2:$C$1369,0)),"",INDEX('Compliance Database'!$B$2:$B$1369,MATCH(111,Engine!$C$2:$C$1369,0)))</f>
        <v/>
      </c>
      <c r="C124" s="8">
        <f>IF(ISNA(MATCH(111,Engine!$C$2:$C$1369,0)),"",INDEX('Compliance Database'!$C$2:$C$1369,MATCH(111,Engine!$C$2:$C$1369,0)))</f>
        <v/>
      </c>
      <c r="D124" s="9">
        <f>IF(ISNA(MATCH(111,Engine!$C$2:$C$1369,0)),"",INDEX('Compliance Database'!$D$2:$D$1369,MATCH(111,Engine!$C$2:$C$1369,0)))</f>
        <v/>
      </c>
      <c r="E124" s="8">
        <f>IF(ISNA(MATCH(111,Engine!$C$2:$C$1369,0)),"",INDEX('Compliance Database'!$E$2:$E$1369,MATCH(111,Engine!$C$2:$C$1369,0)))</f>
        <v/>
      </c>
      <c r="F124" s="8">
        <f>IF(ISNA(MATCH(111,Engine!$C$2:$C$1369,0)),"",INDEX('Compliance Database'!$F$2:$F$1369,MATCH(111,Engine!$C$2:$C$1369,0)))</f>
        <v/>
      </c>
      <c r="G124" s="8">
        <f>IF(ISNA(MATCH(111,Engine!$C$2:$C$1369,0)),"",INDEX('Compliance Database'!$G$2:$G$1369,MATCH(111,Engine!$C$2:$C$1369,0)))</f>
        <v/>
      </c>
      <c r="H124" s="9">
        <f>IF(ISNA(MATCH(111,Engine!$C$2:$C$1369,0)),"",INDEX('Compliance Database'!$H$2:$H$1369,MATCH(111,Engine!$C$2:$C$1369,0)))</f>
        <v/>
      </c>
      <c r="I124" s="9">
        <f>IF(ISNA(MATCH(111,Engine!$C$2:$C$1369,0)),"",INDEX('Compliance Database'!$I$2:$I$1369,MATCH(111,Engine!$C$2:$C$1369,0)))</f>
        <v/>
      </c>
      <c r="J124" s="8">
        <f>IF(ISNA(MATCH(111,Engine!$C$2:$C$1369,0)),"",INDEX('Compliance Database'!$J$2:$J$1369,MATCH(111,Engine!$C$2:$C$1369,0)))</f>
        <v/>
      </c>
      <c r="K124" s="9">
        <f>IF(ISNA(MATCH(111,Engine!$C$2:$C$1369,0)),"",INDEX('Compliance Database'!$K$2:$K$1369,MATCH(111,Engine!$C$2:$C$1369,0)))</f>
        <v/>
      </c>
      <c r="L124" s="9">
        <f>IF(ISNA(MATCH(111,Engine!$C$2:$C$1369,0)),"",INDEX('Compliance Database'!$L$2:$L$1369,MATCH(111,Engine!$C$2:$C$1369,0)))</f>
        <v/>
      </c>
      <c r="M124" s="9">
        <f>IF(ISNA(MATCH(111,Engine!$C$2:$C$1369,0)),"",INDEX('Compliance Database'!$M$2:$M$1369,MATCH(111,Engine!$C$2:$C$1369,0)))</f>
        <v/>
      </c>
      <c r="N124" s="9">
        <f>IF(ISNA(MATCH(111,Engine!$C$2:$C$1369,0)),"",INDEX('Compliance Database'!$N$2:$N$1369,MATCH(111,Engine!$C$2:$C$1369,0)))</f>
        <v/>
      </c>
      <c r="O124" s="8">
        <f>IF(ISNA(MATCH(111,Engine!$C$2:$C$1369,0)),"",HYPERLINK(INDEX('Compliance Database'!$O$2:$O$1369,MATCH(111,Engine!$C$2:$C$1369,0)),"Open PDF"))</f>
        <v/>
      </c>
    </row>
    <row r="125" ht="188" customHeight="1">
      <c r="A125" s="8">
        <f>IF(ISNA(MATCH(112,Engine!$C$2:$C$1369,0)),"",INDEX('Compliance Database'!$A$2:$A$1369,MATCH(112,Engine!$C$2:$C$1369,0)))</f>
        <v/>
      </c>
      <c r="B125" s="8">
        <f>IF(ISNA(MATCH(112,Engine!$C$2:$C$1369,0)),"",INDEX('Compliance Database'!$B$2:$B$1369,MATCH(112,Engine!$C$2:$C$1369,0)))</f>
        <v/>
      </c>
      <c r="C125" s="8">
        <f>IF(ISNA(MATCH(112,Engine!$C$2:$C$1369,0)),"",INDEX('Compliance Database'!$C$2:$C$1369,MATCH(112,Engine!$C$2:$C$1369,0)))</f>
        <v/>
      </c>
      <c r="D125" s="9">
        <f>IF(ISNA(MATCH(112,Engine!$C$2:$C$1369,0)),"",INDEX('Compliance Database'!$D$2:$D$1369,MATCH(112,Engine!$C$2:$C$1369,0)))</f>
        <v/>
      </c>
      <c r="E125" s="8">
        <f>IF(ISNA(MATCH(112,Engine!$C$2:$C$1369,0)),"",INDEX('Compliance Database'!$E$2:$E$1369,MATCH(112,Engine!$C$2:$C$1369,0)))</f>
        <v/>
      </c>
      <c r="F125" s="8">
        <f>IF(ISNA(MATCH(112,Engine!$C$2:$C$1369,0)),"",INDEX('Compliance Database'!$F$2:$F$1369,MATCH(112,Engine!$C$2:$C$1369,0)))</f>
        <v/>
      </c>
      <c r="G125" s="8">
        <f>IF(ISNA(MATCH(112,Engine!$C$2:$C$1369,0)),"",INDEX('Compliance Database'!$G$2:$G$1369,MATCH(112,Engine!$C$2:$C$1369,0)))</f>
        <v/>
      </c>
      <c r="H125" s="9">
        <f>IF(ISNA(MATCH(112,Engine!$C$2:$C$1369,0)),"",INDEX('Compliance Database'!$H$2:$H$1369,MATCH(112,Engine!$C$2:$C$1369,0)))</f>
        <v/>
      </c>
      <c r="I125" s="9">
        <f>IF(ISNA(MATCH(112,Engine!$C$2:$C$1369,0)),"",INDEX('Compliance Database'!$I$2:$I$1369,MATCH(112,Engine!$C$2:$C$1369,0)))</f>
        <v/>
      </c>
      <c r="J125" s="8">
        <f>IF(ISNA(MATCH(112,Engine!$C$2:$C$1369,0)),"",INDEX('Compliance Database'!$J$2:$J$1369,MATCH(112,Engine!$C$2:$C$1369,0)))</f>
        <v/>
      </c>
      <c r="K125" s="9">
        <f>IF(ISNA(MATCH(112,Engine!$C$2:$C$1369,0)),"",INDEX('Compliance Database'!$K$2:$K$1369,MATCH(112,Engine!$C$2:$C$1369,0)))</f>
        <v/>
      </c>
      <c r="L125" s="9">
        <f>IF(ISNA(MATCH(112,Engine!$C$2:$C$1369,0)),"",INDEX('Compliance Database'!$L$2:$L$1369,MATCH(112,Engine!$C$2:$C$1369,0)))</f>
        <v/>
      </c>
      <c r="M125" s="9">
        <f>IF(ISNA(MATCH(112,Engine!$C$2:$C$1369,0)),"",INDEX('Compliance Database'!$M$2:$M$1369,MATCH(112,Engine!$C$2:$C$1369,0)))</f>
        <v/>
      </c>
      <c r="N125" s="9">
        <f>IF(ISNA(MATCH(112,Engine!$C$2:$C$1369,0)),"",INDEX('Compliance Database'!$N$2:$N$1369,MATCH(112,Engine!$C$2:$C$1369,0)))</f>
        <v/>
      </c>
      <c r="O125" s="8">
        <f>IF(ISNA(MATCH(112,Engine!$C$2:$C$1369,0)),"",HYPERLINK(INDEX('Compliance Database'!$O$2:$O$1369,MATCH(112,Engine!$C$2:$C$1369,0)),"Open PDF"))</f>
        <v/>
      </c>
    </row>
    <row r="126" ht="188" customHeight="1">
      <c r="A126" s="8">
        <f>IF(ISNA(MATCH(113,Engine!$C$2:$C$1369,0)),"",INDEX('Compliance Database'!$A$2:$A$1369,MATCH(113,Engine!$C$2:$C$1369,0)))</f>
        <v/>
      </c>
      <c r="B126" s="8">
        <f>IF(ISNA(MATCH(113,Engine!$C$2:$C$1369,0)),"",INDEX('Compliance Database'!$B$2:$B$1369,MATCH(113,Engine!$C$2:$C$1369,0)))</f>
        <v/>
      </c>
      <c r="C126" s="8">
        <f>IF(ISNA(MATCH(113,Engine!$C$2:$C$1369,0)),"",INDEX('Compliance Database'!$C$2:$C$1369,MATCH(113,Engine!$C$2:$C$1369,0)))</f>
        <v/>
      </c>
      <c r="D126" s="9">
        <f>IF(ISNA(MATCH(113,Engine!$C$2:$C$1369,0)),"",INDEX('Compliance Database'!$D$2:$D$1369,MATCH(113,Engine!$C$2:$C$1369,0)))</f>
        <v/>
      </c>
      <c r="E126" s="8">
        <f>IF(ISNA(MATCH(113,Engine!$C$2:$C$1369,0)),"",INDEX('Compliance Database'!$E$2:$E$1369,MATCH(113,Engine!$C$2:$C$1369,0)))</f>
        <v/>
      </c>
      <c r="F126" s="8">
        <f>IF(ISNA(MATCH(113,Engine!$C$2:$C$1369,0)),"",INDEX('Compliance Database'!$F$2:$F$1369,MATCH(113,Engine!$C$2:$C$1369,0)))</f>
        <v/>
      </c>
      <c r="G126" s="8">
        <f>IF(ISNA(MATCH(113,Engine!$C$2:$C$1369,0)),"",INDEX('Compliance Database'!$G$2:$G$1369,MATCH(113,Engine!$C$2:$C$1369,0)))</f>
        <v/>
      </c>
      <c r="H126" s="9">
        <f>IF(ISNA(MATCH(113,Engine!$C$2:$C$1369,0)),"",INDEX('Compliance Database'!$H$2:$H$1369,MATCH(113,Engine!$C$2:$C$1369,0)))</f>
        <v/>
      </c>
      <c r="I126" s="9">
        <f>IF(ISNA(MATCH(113,Engine!$C$2:$C$1369,0)),"",INDEX('Compliance Database'!$I$2:$I$1369,MATCH(113,Engine!$C$2:$C$1369,0)))</f>
        <v/>
      </c>
      <c r="J126" s="8">
        <f>IF(ISNA(MATCH(113,Engine!$C$2:$C$1369,0)),"",INDEX('Compliance Database'!$J$2:$J$1369,MATCH(113,Engine!$C$2:$C$1369,0)))</f>
        <v/>
      </c>
      <c r="K126" s="9">
        <f>IF(ISNA(MATCH(113,Engine!$C$2:$C$1369,0)),"",INDEX('Compliance Database'!$K$2:$K$1369,MATCH(113,Engine!$C$2:$C$1369,0)))</f>
        <v/>
      </c>
      <c r="L126" s="9">
        <f>IF(ISNA(MATCH(113,Engine!$C$2:$C$1369,0)),"",INDEX('Compliance Database'!$L$2:$L$1369,MATCH(113,Engine!$C$2:$C$1369,0)))</f>
        <v/>
      </c>
      <c r="M126" s="9">
        <f>IF(ISNA(MATCH(113,Engine!$C$2:$C$1369,0)),"",INDEX('Compliance Database'!$M$2:$M$1369,MATCH(113,Engine!$C$2:$C$1369,0)))</f>
        <v/>
      </c>
      <c r="N126" s="9">
        <f>IF(ISNA(MATCH(113,Engine!$C$2:$C$1369,0)),"",INDEX('Compliance Database'!$N$2:$N$1369,MATCH(113,Engine!$C$2:$C$1369,0)))</f>
        <v/>
      </c>
      <c r="O126" s="8">
        <f>IF(ISNA(MATCH(113,Engine!$C$2:$C$1369,0)),"",HYPERLINK(INDEX('Compliance Database'!$O$2:$O$1369,MATCH(113,Engine!$C$2:$C$1369,0)),"Open PDF"))</f>
        <v/>
      </c>
    </row>
    <row r="127" ht="188" customHeight="1">
      <c r="A127" s="8">
        <f>IF(ISNA(MATCH(114,Engine!$C$2:$C$1369,0)),"",INDEX('Compliance Database'!$A$2:$A$1369,MATCH(114,Engine!$C$2:$C$1369,0)))</f>
        <v/>
      </c>
      <c r="B127" s="8">
        <f>IF(ISNA(MATCH(114,Engine!$C$2:$C$1369,0)),"",INDEX('Compliance Database'!$B$2:$B$1369,MATCH(114,Engine!$C$2:$C$1369,0)))</f>
        <v/>
      </c>
      <c r="C127" s="8">
        <f>IF(ISNA(MATCH(114,Engine!$C$2:$C$1369,0)),"",INDEX('Compliance Database'!$C$2:$C$1369,MATCH(114,Engine!$C$2:$C$1369,0)))</f>
        <v/>
      </c>
      <c r="D127" s="9">
        <f>IF(ISNA(MATCH(114,Engine!$C$2:$C$1369,0)),"",INDEX('Compliance Database'!$D$2:$D$1369,MATCH(114,Engine!$C$2:$C$1369,0)))</f>
        <v/>
      </c>
      <c r="E127" s="8">
        <f>IF(ISNA(MATCH(114,Engine!$C$2:$C$1369,0)),"",INDEX('Compliance Database'!$E$2:$E$1369,MATCH(114,Engine!$C$2:$C$1369,0)))</f>
        <v/>
      </c>
      <c r="F127" s="8">
        <f>IF(ISNA(MATCH(114,Engine!$C$2:$C$1369,0)),"",INDEX('Compliance Database'!$F$2:$F$1369,MATCH(114,Engine!$C$2:$C$1369,0)))</f>
        <v/>
      </c>
      <c r="G127" s="8">
        <f>IF(ISNA(MATCH(114,Engine!$C$2:$C$1369,0)),"",INDEX('Compliance Database'!$G$2:$G$1369,MATCH(114,Engine!$C$2:$C$1369,0)))</f>
        <v/>
      </c>
      <c r="H127" s="9">
        <f>IF(ISNA(MATCH(114,Engine!$C$2:$C$1369,0)),"",INDEX('Compliance Database'!$H$2:$H$1369,MATCH(114,Engine!$C$2:$C$1369,0)))</f>
        <v/>
      </c>
      <c r="I127" s="9">
        <f>IF(ISNA(MATCH(114,Engine!$C$2:$C$1369,0)),"",INDEX('Compliance Database'!$I$2:$I$1369,MATCH(114,Engine!$C$2:$C$1369,0)))</f>
        <v/>
      </c>
      <c r="J127" s="8">
        <f>IF(ISNA(MATCH(114,Engine!$C$2:$C$1369,0)),"",INDEX('Compliance Database'!$J$2:$J$1369,MATCH(114,Engine!$C$2:$C$1369,0)))</f>
        <v/>
      </c>
      <c r="K127" s="9">
        <f>IF(ISNA(MATCH(114,Engine!$C$2:$C$1369,0)),"",INDEX('Compliance Database'!$K$2:$K$1369,MATCH(114,Engine!$C$2:$C$1369,0)))</f>
        <v/>
      </c>
      <c r="L127" s="9">
        <f>IF(ISNA(MATCH(114,Engine!$C$2:$C$1369,0)),"",INDEX('Compliance Database'!$L$2:$L$1369,MATCH(114,Engine!$C$2:$C$1369,0)))</f>
        <v/>
      </c>
      <c r="M127" s="9">
        <f>IF(ISNA(MATCH(114,Engine!$C$2:$C$1369,0)),"",INDEX('Compliance Database'!$M$2:$M$1369,MATCH(114,Engine!$C$2:$C$1369,0)))</f>
        <v/>
      </c>
      <c r="N127" s="9">
        <f>IF(ISNA(MATCH(114,Engine!$C$2:$C$1369,0)),"",INDEX('Compliance Database'!$N$2:$N$1369,MATCH(114,Engine!$C$2:$C$1369,0)))</f>
        <v/>
      </c>
      <c r="O127" s="8">
        <f>IF(ISNA(MATCH(114,Engine!$C$2:$C$1369,0)),"",HYPERLINK(INDEX('Compliance Database'!$O$2:$O$1369,MATCH(114,Engine!$C$2:$C$1369,0)),"Open PDF"))</f>
        <v/>
      </c>
    </row>
    <row r="128" ht="188" customHeight="1">
      <c r="A128" s="8">
        <f>IF(ISNA(MATCH(115,Engine!$C$2:$C$1369,0)),"",INDEX('Compliance Database'!$A$2:$A$1369,MATCH(115,Engine!$C$2:$C$1369,0)))</f>
        <v/>
      </c>
      <c r="B128" s="8">
        <f>IF(ISNA(MATCH(115,Engine!$C$2:$C$1369,0)),"",INDEX('Compliance Database'!$B$2:$B$1369,MATCH(115,Engine!$C$2:$C$1369,0)))</f>
        <v/>
      </c>
      <c r="C128" s="8">
        <f>IF(ISNA(MATCH(115,Engine!$C$2:$C$1369,0)),"",INDEX('Compliance Database'!$C$2:$C$1369,MATCH(115,Engine!$C$2:$C$1369,0)))</f>
        <v/>
      </c>
      <c r="D128" s="9">
        <f>IF(ISNA(MATCH(115,Engine!$C$2:$C$1369,0)),"",INDEX('Compliance Database'!$D$2:$D$1369,MATCH(115,Engine!$C$2:$C$1369,0)))</f>
        <v/>
      </c>
      <c r="E128" s="8">
        <f>IF(ISNA(MATCH(115,Engine!$C$2:$C$1369,0)),"",INDEX('Compliance Database'!$E$2:$E$1369,MATCH(115,Engine!$C$2:$C$1369,0)))</f>
        <v/>
      </c>
      <c r="F128" s="8">
        <f>IF(ISNA(MATCH(115,Engine!$C$2:$C$1369,0)),"",INDEX('Compliance Database'!$F$2:$F$1369,MATCH(115,Engine!$C$2:$C$1369,0)))</f>
        <v/>
      </c>
      <c r="G128" s="8">
        <f>IF(ISNA(MATCH(115,Engine!$C$2:$C$1369,0)),"",INDEX('Compliance Database'!$G$2:$G$1369,MATCH(115,Engine!$C$2:$C$1369,0)))</f>
        <v/>
      </c>
      <c r="H128" s="9">
        <f>IF(ISNA(MATCH(115,Engine!$C$2:$C$1369,0)),"",INDEX('Compliance Database'!$H$2:$H$1369,MATCH(115,Engine!$C$2:$C$1369,0)))</f>
        <v/>
      </c>
      <c r="I128" s="9">
        <f>IF(ISNA(MATCH(115,Engine!$C$2:$C$1369,0)),"",INDEX('Compliance Database'!$I$2:$I$1369,MATCH(115,Engine!$C$2:$C$1369,0)))</f>
        <v/>
      </c>
      <c r="J128" s="8">
        <f>IF(ISNA(MATCH(115,Engine!$C$2:$C$1369,0)),"",INDEX('Compliance Database'!$J$2:$J$1369,MATCH(115,Engine!$C$2:$C$1369,0)))</f>
        <v/>
      </c>
      <c r="K128" s="9">
        <f>IF(ISNA(MATCH(115,Engine!$C$2:$C$1369,0)),"",INDEX('Compliance Database'!$K$2:$K$1369,MATCH(115,Engine!$C$2:$C$1369,0)))</f>
        <v/>
      </c>
      <c r="L128" s="9">
        <f>IF(ISNA(MATCH(115,Engine!$C$2:$C$1369,0)),"",INDEX('Compliance Database'!$L$2:$L$1369,MATCH(115,Engine!$C$2:$C$1369,0)))</f>
        <v/>
      </c>
      <c r="M128" s="9">
        <f>IF(ISNA(MATCH(115,Engine!$C$2:$C$1369,0)),"",INDEX('Compliance Database'!$M$2:$M$1369,MATCH(115,Engine!$C$2:$C$1369,0)))</f>
        <v/>
      </c>
      <c r="N128" s="9">
        <f>IF(ISNA(MATCH(115,Engine!$C$2:$C$1369,0)),"",INDEX('Compliance Database'!$N$2:$N$1369,MATCH(115,Engine!$C$2:$C$1369,0)))</f>
        <v/>
      </c>
      <c r="O128" s="8">
        <f>IF(ISNA(MATCH(115,Engine!$C$2:$C$1369,0)),"",HYPERLINK(INDEX('Compliance Database'!$O$2:$O$1369,MATCH(115,Engine!$C$2:$C$1369,0)),"Open PDF"))</f>
        <v/>
      </c>
    </row>
    <row r="129" ht="188" customHeight="1">
      <c r="A129" s="8">
        <f>IF(ISNA(MATCH(116,Engine!$C$2:$C$1369,0)),"",INDEX('Compliance Database'!$A$2:$A$1369,MATCH(116,Engine!$C$2:$C$1369,0)))</f>
        <v/>
      </c>
      <c r="B129" s="8">
        <f>IF(ISNA(MATCH(116,Engine!$C$2:$C$1369,0)),"",INDEX('Compliance Database'!$B$2:$B$1369,MATCH(116,Engine!$C$2:$C$1369,0)))</f>
        <v/>
      </c>
      <c r="C129" s="8">
        <f>IF(ISNA(MATCH(116,Engine!$C$2:$C$1369,0)),"",INDEX('Compliance Database'!$C$2:$C$1369,MATCH(116,Engine!$C$2:$C$1369,0)))</f>
        <v/>
      </c>
      <c r="D129" s="9">
        <f>IF(ISNA(MATCH(116,Engine!$C$2:$C$1369,0)),"",INDEX('Compliance Database'!$D$2:$D$1369,MATCH(116,Engine!$C$2:$C$1369,0)))</f>
        <v/>
      </c>
      <c r="E129" s="8">
        <f>IF(ISNA(MATCH(116,Engine!$C$2:$C$1369,0)),"",INDEX('Compliance Database'!$E$2:$E$1369,MATCH(116,Engine!$C$2:$C$1369,0)))</f>
        <v/>
      </c>
      <c r="F129" s="8">
        <f>IF(ISNA(MATCH(116,Engine!$C$2:$C$1369,0)),"",INDEX('Compliance Database'!$F$2:$F$1369,MATCH(116,Engine!$C$2:$C$1369,0)))</f>
        <v/>
      </c>
      <c r="G129" s="8">
        <f>IF(ISNA(MATCH(116,Engine!$C$2:$C$1369,0)),"",INDEX('Compliance Database'!$G$2:$G$1369,MATCH(116,Engine!$C$2:$C$1369,0)))</f>
        <v/>
      </c>
      <c r="H129" s="9">
        <f>IF(ISNA(MATCH(116,Engine!$C$2:$C$1369,0)),"",INDEX('Compliance Database'!$H$2:$H$1369,MATCH(116,Engine!$C$2:$C$1369,0)))</f>
        <v/>
      </c>
      <c r="I129" s="9">
        <f>IF(ISNA(MATCH(116,Engine!$C$2:$C$1369,0)),"",INDEX('Compliance Database'!$I$2:$I$1369,MATCH(116,Engine!$C$2:$C$1369,0)))</f>
        <v/>
      </c>
      <c r="J129" s="8">
        <f>IF(ISNA(MATCH(116,Engine!$C$2:$C$1369,0)),"",INDEX('Compliance Database'!$J$2:$J$1369,MATCH(116,Engine!$C$2:$C$1369,0)))</f>
        <v/>
      </c>
      <c r="K129" s="9">
        <f>IF(ISNA(MATCH(116,Engine!$C$2:$C$1369,0)),"",INDEX('Compliance Database'!$K$2:$K$1369,MATCH(116,Engine!$C$2:$C$1369,0)))</f>
        <v/>
      </c>
      <c r="L129" s="9">
        <f>IF(ISNA(MATCH(116,Engine!$C$2:$C$1369,0)),"",INDEX('Compliance Database'!$L$2:$L$1369,MATCH(116,Engine!$C$2:$C$1369,0)))</f>
        <v/>
      </c>
      <c r="M129" s="9">
        <f>IF(ISNA(MATCH(116,Engine!$C$2:$C$1369,0)),"",INDEX('Compliance Database'!$M$2:$M$1369,MATCH(116,Engine!$C$2:$C$1369,0)))</f>
        <v/>
      </c>
      <c r="N129" s="9">
        <f>IF(ISNA(MATCH(116,Engine!$C$2:$C$1369,0)),"",INDEX('Compliance Database'!$N$2:$N$1369,MATCH(116,Engine!$C$2:$C$1369,0)))</f>
        <v/>
      </c>
      <c r="O129" s="8">
        <f>IF(ISNA(MATCH(116,Engine!$C$2:$C$1369,0)),"",HYPERLINK(INDEX('Compliance Database'!$O$2:$O$1369,MATCH(116,Engine!$C$2:$C$1369,0)),"Open PDF"))</f>
        <v/>
      </c>
    </row>
    <row r="130" ht="188" customHeight="1">
      <c r="A130" s="8">
        <f>IF(ISNA(MATCH(117,Engine!$C$2:$C$1369,0)),"",INDEX('Compliance Database'!$A$2:$A$1369,MATCH(117,Engine!$C$2:$C$1369,0)))</f>
        <v/>
      </c>
      <c r="B130" s="8">
        <f>IF(ISNA(MATCH(117,Engine!$C$2:$C$1369,0)),"",INDEX('Compliance Database'!$B$2:$B$1369,MATCH(117,Engine!$C$2:$C$1369,0)))</f>
        <v/>
      </c>
      <c r="C130" s="8">
        <f>IF(ISNA(MATCH(117,Engine!$C$2:$C$1369,0)),"",INDEX('Compliance Database'!$C$2:$C$1369,MATCH(117,Engine!$C$2:$C$1369,0)))</f>
        <v/>
      </c>
      <c r="D130" s="9">
        <f>IF(ISNA(MATCH(117,Engine!$C$2:$C$1369,0)),"",INDEX('Compliance Database'!$D$2:$D$1369,MATCH(117,Engine!$C$2:$C$1369,0)))</f>
        <v/>
      </c>
      <c r="E130" s="8">
        <f>IF(ISNA(MATCH(117,Engine!$C$2:$C$1369,0)),"",INDEX('Compliance Database'!$E$2:$E$1369,MATCH(117,Engine!$C$2:$C$1369,0)))</f>
        <v/>
      </c>
      <c r="F130" s="8">
        <f>IF(ISNA(MATCH(117,Engine!$C$2:$C$1369,0)),"",INDEX('Compliance Database'!$F$2:$F$1369,MATCH(117,Engine!$C$2:$C$1369,0)))</f>
        <v/>
      </c>
      <c r="G130" s="8">
        <f>IF(ISNA(MATCH(117,Engine!$C$2:$C$1369,0)),"",INDEX('Compliance Database'!$G$2:$G$1369,MATCH(117,Engine!$C$2:$C$1369,0)))</f>
        <v/>
      </c>
      <c r="H130" s="9">
        <f>IF(ISNA(MATCH(117,Engine!$C$2:$C$1369,0)),"",INDEX('Compliance Database'!$H$2:$H$1369,MATCH(117,Engine!$C$2:$C$1369,0)))</f>
        <v/>
      </c>
      <c r="I130" s="9">
        <f>IF(ISNA(MATCH(117,Engine!$C$2:$C$1369,0)),"",INDEX('Compliance Database'!$I$2:$I$1369,MATCH(117,Engine!$C$2:$C$1369,0)))</f>
        <v/>
      </c>
      <c r="J130" s="8">
        <f>IF(ISNA(MATCH(117,Engine!$C$2:$C$1369,0)),"",INDEX('Compliance Database'!$J$2:$J$1369,MATCH(117,Engine!$C$2:$C$1369,0)))</f>
        <v/>
      </c>
      <c r="K130" s="9">
        <f>IF(ISNA(MATCH(117,Engine!$C$2:$C$1369,0)),"",INDEX('Compliance Database'!$K$2:$K$1369,MATCH(117,Engine!$C$2:$C$1369,0)))</f>
        <v/>
      </c>
      <c r="L130" s="9">
        <f>IF(ISNA(MATCH(117,Engine!$C$2:$C$1369,0)),"",INDEX('Compliance Database'!$L$2:$L$1369,MATCH(117,Engine!$C$2:$C$1369,0)))</f>
        <v/>
      </c>
      <c r="M130" s="9">
        <f>IF(ISNA(MATCH(117,Engine!$C$2:$C$1369,0)),"",INDEX('Compliance Database'!$M$2:$M$1369,MATCH(117,Engine!$C$2:$C$1369,0)))</f>
        <v/>
      </c>
      <c r="N130" s="9">
        <f>IF(ISNA(MATCH(117,Engine!$C$2:$C$1369,0)),"",INDEX('Compliance Database'!$N$2:$N$1369,MATCH(117,Engine!$C$2:$C$1369,0)))</f>
        <v/>
      </c>
      <c r="O130" s="8">
        <f>IF(ISNA(MATCH(117,Engine!$C$2:$C$1369,0)),"",HYPERLINK(INDEX('Compliance Database'!$O$2:$O$1369,MATCH(117,Engine!$C$2:$C$1369,0)),"Open PDF"))</f>
        <v/>
      </c>
    </row>
    <row r="131" ht="188" customHeight="1">
      <c r="A131" s="8">
        <f>IF(ISNA(MATCH(118,Engine!$C$2:$C$1369,0)),"",INDEX('Compliance Database'!$A$2:$A$1369,MATCH(118,Engine!$C$2:$C$1369,0)))</f>
        <v/>
      </c>
      <c r="B131" s="8">
        <f>IF(ISNA(MATCH(118,Engine!$C$2:$C$1369,0)),"",INDEX('Compliance Database'!$B$2:$B$1369,MATCH(118,Engine!$C$2:$C$1369,0)))</f>
        <v/>
      </c>
      <c r="C131" s="8">
        <f>IF(ISNA(MATCH(118,Engine!$C$2:$C$1369,0)),"",INDEX('Compliance Database'!$C$2:$C$1369,MATCH(118,Engine!$C$2:$C$1369,0)))</f>
        <v/>
      </c>
      <c r="D131" s="9">
        <f>IF(ISNA(MATCH(118,Engine!$C$2:$C$1369,0)),"",INDEX('Compliance Database'!$D$2:$D$1369,MATCH(118,Engine!$C$2:$C$1369,0)))</f>
        <v/>
      </c>
      <c r="E131" s="8">
        <f>IF(ISNA(MATCH(118,Engine!$C$2:$C$1369,0)),"",INDEX('Compliance Database'!$E$2:$E$1369,MATCH(118,Engine!$C$2:$C$1369,0)))</f>
        <v/>
      </c>
      <c r="F131" s="8">
        <f>IF(ISNA(MATCH(118,Engine!$C$2:$C$1369,0)),"",INDEX('Compliance Database'!$F$2:$F$1369,MATCH(118,Engine!$C$2:$C$1369,0)))</f>
        <v/>
      </c>
      <c r="G131" s="8">
        <f>IF(ISNA(MATCH(118,Engine!$C$2:$C$1369,0)),"",INDEX('Compliance Database'!$G$2:$G$1369,MATCH(118,Engine!$C$2:$C$1369,0)))</f>
        <v/>
      </c>
      <c r="H131" s="9">
        <f>IF(ISNA(MATCH(118,Engine!$C$2:$C$1369,0)),"",INDEX('Compliance Database'!$H$2:$H$1369,MATCH(118,Engine!$C$2:$C$1369,0)))</f>
        <v/>
      </c>
      <c r="I131" s="9">
        <f>IF(ISNA(MATCH(118,Engine!$C$2:$C$1369,0)),"",INDEX('Compliance Database'!$I$2:$I$1369,MATCH(118,Engine!$C$2:$C$1369,0)))</f>
        <v/>
      </c>
      <c r="J131" s="8">
        <f>IF(ISNA(MATCH(118,Engine!$C$2:$C$1369,0)),"",INDEX('Compliance Database'!$J$2:$J$1369,MATCH(118,Engine!$C$2:$C$1369,0)))</f>
        <v/>
      </c>
      <c r="K131" s="9">
        <f>IF(ISNA(MATCH(118,Engine!$C$2:$C$1369,0)),"",INDEX('Compliance Database'!$K$2:$K$1369,MATCH(118,Engine!$C$2:$C$1369,0)))</f>
        <v/>
      </c>
      <c r="L131" s="9">
        <f>IF(ISNA(MATCH(118,Engine!$C$2:$C$1369,0)),"",INDEX('Compliance Database'!$L$2:$L$1369,MATCH(118,Engine!$C$2:$C$1369,0)))</f>
        <v/>
      </c>
      <c r="M131" s="9">
        <f>IF(ISNA(MATCH(118,Engine!$C$2:$C$1369,0)),"",INDEX('Compliance Database'!$M$2:$M$1369,MATCH(118,Engine!$C$2:$C$1369,0)))</f>
        <v/>
      </c>
      <c r="N131" s="9">
        <f>IF(ISNA(MATCH(118,Engine!$C$2:$C$1369,0)),"",INDEX('Compliance Database'!$N$2:$N$1369,MATCH(118,Engine!$C$2:$C$1369,0)))</f>
        <v/>
      </c>
      <c r="O131" s="8">
        <f>IF(ISNA(MATCH(118,Engine!$C$2:$C$1369,0)),"",HYPERLINK(INDEX('Compliance Database'!$O$2:$O$1369,MATCH(118,Engine!$C$2:$C$1369,0)),"Open PDF"))</f>
        <v/>
      </c>
    </row>
    <row r="132" ht="188" customHeight="1">
      <c r="A132" s="8">
        <f>IF(ISNA(MATCH(119,Engine!$C$2:$C$1369,0)),"",INDEX('Compliance Database'!$A$2:$A$1369,MATCH(119,Engine!$C$2:$C$1369,0)))</f>
        <v/>
      </c>
      <c r="B132" s="8">
        <f>IF(ISNA(MATCH(119,Engine!$C$2:$C$1369,0)),"",INDEX('Compliance Database'!$B$2:$B$1369,MATCH(119,Engine!$C$2:$C$1369,0)))</f>
        <v/>
      </c>
      <c r="C132" s="8">
        <f>IF(ISNA(MATCH(119,Engine!$C$2:$C$1369,0)),"",INDEX('Compliance Database'!$C$2:$C$1369,MATCH(119,Engine!$C$2:$C$1369,0)))</f>
        <v/>
      </c>
      <c r="D132" s="9">
        <f>IF(ISNA(MATCH(119,Engine!$C$2:$C$1369,0)),"",INDEX('Compliance Database'!$D$2:$D$1369,MATCH(119,Engine!$C$2:$C$1369,0)))</f>
        <v/>
      </c>
      <c r="E132" s="8">
        <f>IF(ISNA(MATCH(119,Engine!$C$2:$C$1369,0)),"",INDEX('Compliance Database'!$E$2:$E$1369,MATCH(119,Engine!$C$2:$C$1369,0)))</f>
        <v/>
      </c>
      <c r="F132" s="8">
        <f>IF(ISNA(MATCH(119,Engine!$C$2:$C$1369,0)),"",INDEX('Compliance Database'!$F$2:$F$1369,MATCH(119,Engine!$C$2:$C$1369,0)))</f>
        <v/>
      </c>
      <c r="G132" s="8">
        <f>IF(ISNA(MATCH(119,Engine!$C$2:$C$1369,0)),"",INDEX('Compliance Database'!$G$2:$G$1369,MATCH(119,Engine!$C$2:$C$1369,0)))</f>
        <v/>
      </c>
      <c r="H132" s="9">
        <f>IF(ISNA(MATCH(119,Engine!$C$2:$C$1369,0)),"",INDEX('Compliance Database'!$H$2:$H$1369,MATCH(119,Engine!$C$2:$C$1369,0)))</f>
        <v/>
      </c>
      <c r="I132" s="9">
        <f>IF(ISNA(MATCH(119,Engine!$C$2:$C$1369,0)),"",INDEX('Compliance Database'!$I$2:$I$1369,MATCH(119,Engine!$C$2:$C$1369,0)))</f>
        <v/>
      </c>
      <c r="J132" s="8">
        <f>IF(ISNA(MATCH(119,Engine!$C$2:$C$1369,0)),"",INDEX('Compliance Database'!$J$2:$J$1369,MATCH(119,Engine!$C$2:$C$1369,0)))</f>
        <v/>
      </c>
      <c r="K132" s="9">
        <f>IF(ISNA(MATCH(119,Engine!$C$2:$C$1369,0)),"",INDEX('Compliance Database'!$K$2:$K$1369,MATCH(119,Engine!$C$2:$C$1369,0)))</f>
        <v/>
      </c>
      <c r="L132" s="9">
        <f>IF(ISNA(MATCH(119,Engine!$C$2:$C$1369,0)),"",INDEX('Compliance Database'!$L$2:$L$1369,MATCH(119,Engine!$C$2:$C$1369,0)))</f>
        <v/>
      </c>
      <c r="M132" s="9">
        <f>IF(ISNA(MATCH(119,Engine!$C$2:$C$1369,0)),"",INDEX('Compliance Database'!$M$2:$M$1369,MATCH(119,Engine!$C$2:$C$1369,0)))</f>
        <v/>
      </c>
      <c r="N132" s="9">
        <f>IF(ISNA(MATCH(119,Engine!$C$2:$C$1369,0)),"",INDEX('Compliance Database'!$N$2:$N$1369,MATCH(119,Engine!$C$2:$C$1369,0)))</f>
        <v/>
      </c>
      <c r="O132" s="8">
        <f>IF(ISNA(MATCH(119,Engine!$C$2:$C$1369,0)),"",HYPERLINK(INDEX('Compliance Database'!$O$2:$O$1369,MATCH(119,Engine!$C$2:$C$1369,0)),"Open PDF"))</f>
        <v/>
      </c>
    </row>
    <row r="133" ht="188" customHeight="1">
      <c r="A133" s="8">
        <f>IF(ISNA(MATCH(120,Engine!$C$2:$C$1369,0)),"",INDEX('Compliance Database'!$A$2:$A$1369,MATCH(120,Engine!$C$2:$C$1369,0)))</f>
        <v/>
      </c>
      <c r="B133" s="8">
        <f>IF(ISNA(MATCH(120,Engine!$C$2:$C$1369,0)),"",INDEX('Compliance Database'!$B$2:$B$1369,MATCH(120,Engine!$C$2:$C$1369,0)))</f>
        <v/>
      </c>
      <c r="C133" s="8">
        <f>IF(ISNA(MATCH(120,Engine!$C$2:$C$1369,0)),"",INDEX('Compliance Database'!$C$2:$C$1369,MATCH(120,Engine!$C$2:$C$1369,0)))</f>
        <v/>
      </c>
      <c r="D133" s="9">
        <f>IF(ISNA(MATCH(120,Engine!$C$2:$C$1369,0)),"",INDEX('Compliance Database'!$D$2:$D$1369,MATCH(120,Engine!$C$2:$C$1369,0)))</f>
        <v/>
      </c>
      <c r="E133" s="8">
        <f>IF(ISNA(MATCH(120,Engine!$C$2:$C$1369,0)),"",INDEX('Compliance Database'!$E$2:$E$1369,MATCH(120,Engine!$C$2:$C$1369,0)))</f>
        <v/>
      </c>
      <c r="F133" s="8">
        <f>IF(ISNA(MATCH(120,Engine!$C$2:$C$1369,0)),"",INDEX('Compliance Database'!$F$2:$F$1369,MATCH(120,Engine!$C$2:$C$1369,0)))</f>
        <v/>
      </c>
      <c r="G133" s="8">
        <f>IF(ISNA(MATCH(120,Engine!$C$2:$C$1369,0)),"",INDEX('Compliance Database'!$G$2:$G$1369,MATCH(120,Engine!$C$2:$C$1369,0)))</f>
        <v/>
      </c>
      <c r="H133" s="9">
        <f>IF(ISNA(MATCH(120,Engine!$C$2:$C$1369,0)),"",INDEX('Compliance Database'!$H$2:$H$1369,MATCH(120,Engine!$C$2:$C$1369,0)))</f>
        <v/>
      </c>
      <c r="I133" s="9">
        <f>IF(ISNA(MATCH(120,Engine!$C$2:$C$1369,0)),"",INDEX('Compliance Database'!$I$2:$I$1369,MATCH(120,Engine!$C$2:$C$1369,0)))</f>
        <v/>
      </c>
      <c r="J133" s="8">
        <f>IF(ISNA(MATCH(120,Engine!$C$2:$C$1369,0)),"",INDEX('Compliance Database'!$J$2:$J$1369,MATCH(120,Engine!$C$2:$C$1369,0)))</f>
        <v/>
      </c>
      <c r="K133" s="9">
        <f>IF(ISNA(MATCH(120,Engine!$C$2:$C$1369,0)),"",INDEX('Compliance Database'!$K$2:$K$1369,MATCH(120,Engine!$C$2:$C$1369,0)))</f>
        <v/>
      </c>
      <c r="L133" s="9">
        <f>IF(ISNA(MATCH(120,Engine!$C$2:$C$1369,0)),"",INDEX('Compliance Database'!$L$2:$L$1369,MATCH(120,Engine!$C$2:$C$1369,0)))</f>
        <v/>
      </c>
      <c r="M133" s="9">
        <f>IF(ISNA(MATCH(120,Engine!$C$2:$C$1369,0)),"",INDEX('Compliance Database'!$M$2:$M$1369,MATCH(120,Engine!$C$2:$C$1369,0)))</f>
        <v/>
      </c>
      <c r="N133" s="9">
        <f>IF(ISNA(MATCH(120,Engine!$C$2:$C$1369,0)),"",INDEX('Compliance Database'!$N$2:$N$1369,MATCH(120,Engine!$C$2:$C$1369,0)))</f>
        <v/>
      </c>
      <c r="O133" s="8">
        <f>IF(ISNA(MATCH(120,Engine!$C$2:$C$1369,0)),"",HYPERLINK(INDEX('Compliance Database'!$O$2:$O$1369,MATCH(120,Engine!$C$2:$C$1369,0)),"Open PDF"))</f>
        <v/>
      </c>
    </row>
    <row r="134" ht="188" customHeight="1">
      <c r="A134" s="8">
        <f>IF(ISNA(MATCH(121,Engine!$C$2:$C$1369,0)),"",INDEX('Compliance Database'!$A$2:$A$1369,MATCH(121,Engine!$C$2:$C$1369,0)))</f>
        <v/>
      </c>
      <c r="B134" s="8">
        <f>IF(ISNA(MATCH(121,Engine!$C$2:$C$1369,0)),"",INDEX('Compliance Database'!$B$2:$B$1369,MATCH(121,Engine!$C$2:$C$1369,0)))</f>
        <v/>
      </c>
      <c r="C134" s="8">
        <f>IF(ISNA(MATCH(121,Engine!$C$2:$C$1369,0)),"",INDEX('Compliance Database'!$C$2:$C$1369,MATCH(121,Engine!$C$2:$C$1369,0)))</f>
        <v/>
      </c>
      <c r="D134" s="9">
        <f>IF(ISNA(MATCH(121,Engine!$C$2:$C$1369,0)),"",INDEX('Compliance Database'!$D$2:$D$1369,MATCH(121,Engine!$C$2:$C$1369,0)))</f>
        <v/>
      </c>
      <c r="E134" s="8">
        <f>IF(ISNA(MATCH(121,Engine!$C$2:$C$1369,0)),"",INDEX('Compliance Database'!$E$2:$E$1369,MATCH(121,Engine!$C$2:$C$1369,0)))</f>
        <v/>
      </c>
      <c r="F134" s="8">
        <f>IF(ISNA(MATCH(121,Engine!$C$2:$C$1369,0)),"",INDEX('Compliance Database'!$F$2:$F$1369,MATCH(121,Engine!$C$2:$C$1369,0)))</f>
        <v/>
      </c>
      <c r="G134" s="8">
        <f>IF(ISNA(MATCH(121,Engine!$C$2:$C$1369,0)),"",INDEX('Compliance Database'!$G$2:$G$1369,MATCH(121,Engine!$C$2:$C$1369,0)))</f>
        <v/>
      </c>
      <c r="H134" s="9">
        <f>IF(ISNA(MATCH(121,Engine!$C$2:$C$1369,0)),"",INDEX('Compliance Database'!$H$2:$H$1369,MATCH(121,Engine!$C$2:$C$1369,0)))</f>
        <v/>
      </c>
      <c r="I134" s="9">
        <f>IF(ISNA(MATCH(121,Engine!$C$2:$C$1369,0)),"",INDEX('Compliance Database'!$I$2:$I$1369,MATCH(121,Engine!$C$2:$C$1369,0)))</f>
        <v/>
      </c>
      <c r="J134" s="8">
        <f>IF(ISNA(MATCH(121,Engine!$C$2:$C$1369,0)),"",INDEX('Compliance Database'!$J$2:$J$1369,MATCH(121,Engine!$C$2:$C$1369,0)))</f>
        <v/>
      </c>
      <c r="K134" s="9">
        <f>IF(ISNA(MATCH(121,Engine!$C$2:$C$1369,0)),"",INDEX('Compliance Database'!$K$2:$K$1369,MATCH(121,Engine!$C$2:$C$1369,0)))</f>
        <v/>
      </c>
      <c r="L134" s="9">
        <f>IF(ISNA(MATCH(121,Engine!$C$2:$C$1369,0)),"",INDEX('Compliance Database'!$L$2:$L$1369,MATCH(121,Engine!$C$2:$C$1369,0)))</f>
        <v/>
      </c>
      <c r="M134" s="9">
        <f>IF(ISNA(MATCH(121,Engine!$C$2:$C$1369,0)),"",INDEX('Compliance Database'!$M$2:$M$1369,MATCH(121,Engine!$C$2:$C$1369,0)))</f>
        <v/>
      </c>
      <c r="N134" s="9">
        <f>IF(ISNA(MATCH(121,Engine!$C$2:$C$1369,0)),"",INDEX('Compliance Database'!$N$2:$N$1369,MATCH(121,Engine!$C$2:$C$1369,0)))</f>
        <v/>
      </c>
      <c r="O134" s="8">
        <f>IF(ISNA(MATCH(121,Engine!$C$2:$C$1369,0)),"",HYPERLINK(INDEX('Compliance Database'!$O$2:$O$1369,MATCH(121,Engine!$C$2:$C$1369,0)),"Open PDF"))</f>
        <v/>
      </c>
    </row>
    <row r="135" ht="188" customHeight="1">
      <c r="A135" s="8">
        <f>IF(ISNA(MATCH(122,Engine!$C$2:$C$1369,0)),"",INDEX('Compliance Database'!$A$2:$A$1369,MATCH(122,Engine!$C$2:$C$1369,0)))</f>
        <v/>
      </c>
      <c r="B135" s="8">
        <f>IF(ISNA(MATCH(122,Engine!$C$2:$C$1369,0)),"",INDEX('Compliance Database'!$B$2:$B$1369,MATCH(122,Engine!$C$2:$C$1369,0)))</f>
        <v/>
      </c>
      <c r="C135" s="8">
        <f>IF(ISNA(MATCH(122,Engine!$C$2:$C$1369,0)),"",INDEX('Compliance Database'!$C$2:$C$1369,MATCH(122,Engine!$C$2:$C$1369,0)))</f>
        <v/>
      </c>
      <c r="D135" s="9">
        <f>IF(ISNA(MATCH(122,Engine!$C$2:$C$1369,0)),"",INDEX('Compliance Database'!$D$2:$D$1369,MATCH(122,Engine!$C$2:$C$1369,0)))</f>
        <v/>
      </c>
      <c r="E135" s="8">
        <f>IF(ISNA(MATCH(122,Engine!$C$2:$C$1369,0)),"",INDEX('Compliance Database'!$E$2:$E$1369,MATCH(122,Engine!$C$2:$C$1369,0)))</f>
        <v/>
      </c>
      <c r="F135" s="8">
        <f>IF(ISNA(MATCH(122,Engine!$C$2:$C$1369,0)),"",INDEX('Compliance Database'!$F$2:$F$1369,MATCH(122,Engine!$C$2:$C$1369,0)))</f>
        <v/>
      </c>
      <c r="G135" s="8">
        <f>IF(ISNA(MATCH(122,Engine!$C$2:$C$1369,0)),"",INDEX('Compliance Database'!$G$2:$G$1369,MATCH(122,Engine!$C$2:$C$1369,0)))</f>
        <v/>
      </c>
      <c r="H135" s="9">
        <f>IF(ISNA(MATCH(122,Engine!$C$2:$C$1369,0)),"",INDEX('Compliance Database'!$H$2:$H$1369,MATCH(122,Engine!$C$2:$C$1369,0)))</f>
        <v/>
      </c>
      <c r="I135" s="9">
        <f>IF(ISNA(MATCH(122,Engine!$C$2:$C$1369,0)),"",INDEX('Compliance Database'!$I$2:$I$1369,MATCH(122,Engine!$C$2:$C$1369,0)))</f>
        <v/>
      </c>
      <c r="J135" s="8">
        <f>IF(ISNA(MATCH(122,Engine!$C$2:$C$1369,0)),"",INDEX('Compliance Database'!$J$2:$J$1369,MATCH(122,Engine!$C$2:$C$1369,0)))</f>
        <v/>
      </c>
      <c r="K135" s="9">
        <f>IF(ISNA(MATCH(122,Engine!$C$2:$C$1369,0)),"",INDEX('Compliance Database'!$K$2:$K$1369,MATCH(122,Engine!$C$2:$C$1369,0)))</f>
        <v/>
      </c>
      <c r="L135" s="9">
        <f>IF(ISNA(MATCH(122,Engine!$C$2:$C$1369,0)),"",INDEX('Compliance Database'!$L$2:$L$1369,MATCH(122,Engine!$C$2:$C$1369,0)))</f>
        <v/>
      </c>
      <c r="M135" s="9">
        <f>IF(ISNA(MATCH(122,Engine!$C$2:$C$1369,0)),"",INDEX('Compliance Database'!$M$2:$M$1369,MATCH(122,Engine!$C$2:$C$1369,0)))</f>
        <v/>
      </c>
      <c r="N135" s="9">
        <f>IF(ISNA(MATCH(122,Engine!$C$2:$C$1369,0)),"",INDEX('Compliance Database'!$N$2:$N$1369,MATCH(122,Engine!$C$2:$C$1369,0)))</f>
        <v/>
      </c>
      <c r="O135" s="8">
        <f>IF(ISNA(MATCH(122,Engine!$C$2:$C$1369,0)),"",HYPERLINK(INDEX('Compliance Database'!$O$2:$O$1369,MATCH(122,Engine!$C$2:$C$1369,0)),"Open PDF"))</f>
        <v/>
      </c>
    </row>
    <row r="136" ht="188" customHeight="1">
      <c r="A136" s="8">
        <f>IF(ISNA(MATCH(123,Engine!$C$2:$C$1369,0)),"",INDEX('Compliance Database'!$A$2:$A$1369,MATCH(123,Engine!$C$2:$C$1369,0)))</f>
        <v/>
      </c>
      <c r="B136" s="8">
        <f>IF(ISNA(MATCH(123,Engine!$C$2:$C$1369,0)),"",INDEX('Compliance Database'!$B$2:$B$1369,MATCH(123,Engine!$C$2:$C$1369,0)))</f>
        <v/>
      </c>
      <c r="C136" s="8">
        <f>IF(ISNA(MATCH(123,Engine!$C$2:$C$1369,0)),"",INDEX('Compliance Database'!$C$2:$C$1369,MATCH(123,Engine!$C$2:$C$1369,0)))</f>
        <v/>
      </c>
      <c r="D136" s="9">
        <f>IF(ISNA(MATCH(123,Engine!$C$2:$C$1369,0)),"",INDEX('Compliance Database'!$D$2:$D$1369,MATCH(123,Engine!$C$2:$C$1369,0)))</f>
        <v/>
      </c>
      <c r="E136" s="8">
        <f>IF(ISNA(MATCH(123,Engine!$C$2:$C$1369,0)),"",INDEX('Compliance Database'!$E$2:$E$1369,MATCH(123,Engine!$C$2:$C$1369,0)))</f>
        <v/>
      </c>
      <c r="F136" s="8">
        <f>IF(ISNA(MATCH(123,Engine!$C$2:$C$1369,0)),"",INDEX('Compliance Database'!$F$2:$F$1369,MATCH(123,Engine!$C$2:$C$1369,0)))</f>
        <v/>
      </c>
      <c r="G136" s="8">
        <f>IF(ISNA(MATCH(123,Engine!$C$2:$C$1369,0)),"",INDEX('Compliance Database'!$G$2:$G$1369,MATCH(123,Engine!$C$2:$C$1369,0)))</f>
        <v/>
      </c>
      <c r="H136" s="9">
        <f>IF(ISNA(MATCH(123,Engine!$C$2:$C$1369,0)),"",INDEX('Compliance Database'!$H$2:$H$1369,MATCH(123,Engine!$C$2:$C$1369,0)))</f>
        <v/>
      </c>
      <c r="I136" s="9">
        <f>IF(ISNA(MATCH(123,Engine!$C$2:$C$1369,0)),"",INDEX('Compliance Database'!$I$2:$I$1369,MATCH(123,Engine!$C$2:$C$1369,0)))</f>
        <v/>
      </c>
      <c r="J136" s="8">
        <f>IF(ISNA(MATCH(123,Engine!$C$2:$C$1369,0)),"",INDEX('Compliance Database'!$J$2:$J$1369,MATCH(123,Engine!$C$2:$C$1369,0)))</f>
        <v/>
      </c>
      <c r="K136" s="9">
        <f>IF(ISNA(MATCH(123,Engine!$C$2:$C$1369,0)),"",INDEX('Compliance Database'!$K$2:$K$1369,MATCH(123,Engine!$C$2:$C$1369,0)))</f>
        <v/>
      </c>
      <c r="L136" s="9">
        <f>IF(ISNA(MATCH(123,Engine!$C$2:$C$1369,0)),"",INDEX('Compliance Database'!$L$2:$L$1369,MATCH(123,Engine!$C$2:$C$1369,0)))</f>
        <v/>
      </c>
      <c r="M136" s="9">
        <f>IF(ISNA(MATCH(123,Engine!$C$2:$C$1369,0)),"",INDEX('Compliance Database'!$M$2:$M$1369,MATCH(123,Engine!$C$2:$C$1369,0)))</f>
        <v/>
      </c>
      <c r="N136" s="9">
        <f>IF(ISNA(MATCH(123,Engine!$C$2:$C$1369,0)),"",INDEX('Compliance Database'!$N$2:$N$1369,MATCH(123,Engine!$C$2:$C$1369,0)))</f>
        <v/>
      </c>
      <c r="O136" s="8">
        <f>IF(ISNA(MATCH(123,Engine!$C$2:$C$1369,0)),"",HYPERLINK(INDEX('Compliance Database'!$O$2:$O$1369,MATCH(123,Engine!$C$2:$C$1369,0)),"Open PDF"))</f>
        <v/>
      </c>
    </row>
    <row r="137" ht="188" customHeight="1">
      <c r="A137" s="8">
        <f>IF(ISNA(MATCH(124,Engine!$C$2:$C$1369,0)),"",INDEX('Compliance Database'!$A$2:$A$1369,MATCH(124,Engine!$C$2:$C$1369,0)))</f>
        <v/>
      </c>
      <c r="B137" s="8">
        <f>IF(ISNA(MATCH(124,Engine!$C$2:$C$1369,0)),"",INDEX('Compliance Database'!$B$2:$B$1369,MATCH(124,Engine!$C$2:$C$1369,0)))</f>
        <v/>
      </c>
      <c r="C137" s="8">
        <f>IF(ISNA(MATCH(124,Engine!$C$2:$C$1369,0)),"",INDEX('Compliance Database'!$C$2:$C$1369,MATCH(124,Engine!$C$2:$C$1369,0)))</f>
        <v/>
      </c>
      <c r="D137" s="9">
        <f>IF(ISNA(MATCH(124,Engine!$C$2:$C$1369,0)),"",INDEX('Compliance Database'!$D$2:$D$1369,MATCH(124,Engine!$C$2:$C$1369,0)))</f>
        <v/>
      </c>
      <c r="E137" s="8">
        <f>IF(ISNA(MATCH(124,Engine!$C$2:$C$1369,0)),"",INDEX('Compliance Database'!$E$2:$E$1369,MATCH(124,Engine!$C$2:$C$1369,0)))</f>
        <v/>
      </c>
      <c r="F137" s="8">
        <f>IF(ISNA(MATCH(124,Engine!$C$2:$C$1369,0)),"",INDEX('Compliance Database'!$F$2:$F$1369,MATCH(124,Engine!$C$2:$C$1369,0)))</f>
        <v/>
      </c>
      <c r="G137" s="8">
        <f>IF(ISNA(MATCH(124,Engine!$C$2:$C$1369,0)),"",INDEX('Compliance Database'!$G$2:$G$1369,MATCH(124,Engine!$C$2:$C$1369,0)))</f>
        <v/>
      </c>
      <c r="H137" s="9">
        <f>IF(ISNA(MATCH(124,Engine!$C$2:$C$1369,0)),"",INDEX('Compliance Database'!$H$2:$H$1369,MATCH(124,Engine!$C$2:$C$1369,0)))</f>
        <v/>
      </c>
      <c r="I137" s="9">
        <f>IF(ISNA(MATCH(124,Engine!$C$2:$C$1369,0)),"",INDEX('Compliance Database'!$I$2:$I$1369,MATCH(124,Engine!$C$2:$C$1369,0)))</f>
        <v/>
      </c>
      <c r="J137" s="8">
        <f>IF(ISNA(MATCH(124,Engine!$C$2:$C$1369,0)),"",INDEX('Compliance Database'!$J$2:$J$1369,MATCH(124,Engine!$C$2:$C$1369,0)))</f>
        <v/>
      </c>
      <c r="K137" s="9">
        <f>IF(ISNA(MATCH(124,Engine!$C$2:$C$1369,0)),"",INDEX('Compliance Database'!$K$2:$K$1369,MATCH(124,Engine!$C$2:$C$1369,0)))</f>
        <v/>
      </c>
      <c r="L137" s="9">
        <f>IF(ISNA(MATCH(124,Engine!$C$2:$C$1369,0)),"",INDEX('Compliance Database'!$L$2:$L$1369,MATCH(124,Engine!$C$2:$C$1369,0)))</f>
        <v/>
      </c>
      <c r="M137" s="9">
        <f>IF(ISNA(MATCH(124,Engine!$C$2:$C$1369,0)),"",INDEX('Compliance Database'!$M$2:$M$1369,MATCH(124,Engine!$C$2:$C$1369,0)))</f>
        <v/>
      </c>
      <c r="N137" s="9">
        <f>IF(ISNA(MATCH(124,Engine!$C$2:$C$1369,0)),"",INDEX('Compliance Database'!$N$2:$N$1369,MATCH(124,Engine!$C$2:$C$1369,0)))</f>
        <v/>
      </c>
      <c r="O137" s="8">
        <f>IF(ISNA(MATCH(124,Engine!$C$2:$C$1369,0)),"",HYPERLINK(INDEX('Compliance Database'!$O$2:$O$1369,MATCH(124,Engine!$C$2:$C$1369,0)),"Open PDF"))</f>
        <v/>
      </c>
    </row>
    <row r="138" ht="188" customHeight="1">
      <c r="A138" s="8">
        <f>IF(ISNA(MATCH(125,Engine!$C$2:$C$1369,0)),"",INDEX('Compliance Database'!$A$2:$A$1369,MATCH(125,Engine!$C$2:$C$1369,0)))</f>
        <v/>
      </c>
      <c r="B138" s="8">
        <f>IF(ISNA(MATCH(125,Engine!$C$2:$C$1369,0)),"",INDEX('Compliance Database'!$B$2:$B$1369,MATCH(125,Engine!$C$2:$C$1369,0)))</f>
        <v/>
      </c>
      <c r="C138" s="8">
        <f>IF(ISNA(MATCH(125,Engine!$C$2:$C$1369,0)),"",INDEX('Compliance Database'!$C$2:$C$1369,MATCH(125,Engine!$C$2:$C$1369,0)))</f>
        <v/>
      </c>
      <c r="D138" s="9">
        <f>IF(ISNA(MATCH(125,Engine!$C$2:$C$1369,0)),"",INDEX('Compliance Database'!$D$2:$D$1369,MATCH(125,Engine!$C$2:$C$1369,0)))</f>
        <v/>
      </c>
      <c r="E138" s="8">
        <f>IF(ISNA(MATCH(125,Engine!$C$2:$C$1369,0)),"",INDEX('Compliance Database'!$E$2:$E$1369,MATCH(125,Engine!$C$2:$C$1369,0)))</f>
        <v/>
      </c>
      <c r="F138" s="8">
        <f>IF(ISNA(MATCH(125,Engine!$C$2:$C$1369,0)),"",INDEX('Compliance Database'!$F$2:$F$1369,MATCH(125,Engine!$C$2:$C$1369,0)))</f>
        <v/>
      </c>
      <c r="G138" s="8">
        <f>IF(ISNA(MATCH(125,Engine!$C$2:$C$1369,0)),"",INDEX('Compliance Database'!$G$2:$G$1369,MATCH(125,Engine!$C$2:$C$1369,0)))</f>
        <v/>
      </c>
      <c r="H138" s="9">
        <f>IF(ISNA(MATCH(125,Engine!$C$2:$C$1369,0)),"",INDEX('Compliance Database'!$H$2:$H$1369,MATCH(125,Engine!$C$2:$C$1369,0)))</f>
        <v/>
      </c>
      <c r="I138" s="9">
        <f>IF(ISNA(MATCH(125,Engine!$C$2:$C$1369,0)),"",INDEX('Compliance Database'!$I$2:$I$1369,MATCH(125,Engine!$C$2:$C$1369,0)))</f>
        <v/>
      </c>
      <c r="J138" s="8">
        <f>IF(ISNA(MATCH(125,Engine!$C$2:$C$1369,0)),"",INDEX('Compliance Database'!$J$2:$J$1369,MATCH(125,Engine!$C$2:$C$1369,0)))</f>
        <v/>
      </c>
      <c r="K138" s="9">
        <f>IF(ISNA(MATCH(125,Engine!$C$2:$C$1369,0)),"",INDEX('Compliance Database'!$K$2:$K$1369,MATCH(125,Engine!$C$2:$C$1369,0)))</f>
        <v/>
      </c>
      <c r="L138" s="9">
        <f>IF(ISNA(MATCH(125,Engine!$C$2:$C$1369,0)),"",INDEX('Compliance Database'!$L$2:$L$1369,MATCH(125,Engine!$C$2:$C$1369,0)))</f>
        <v/>
      </c>
      <c r="M138" s="9">
        <f>IF(ISNA(MATCH(125,Engine!$C$2:$C$1369,0)),"",INDEX('Compliance Database'!$M$2:$M$1369,MATCH(125,Engine!$C$2:$C$1369,0)))</f>
        <v/>
      </c>
      <c r="N138" s="9">
        <f>IF(ISNA(MATCH(125,Engine!$C$2:$C$1369,0)),"",INDEX('Compliance Database'!$N$2:$N$1369,MATCH(125,Engine!$C$2:$C$1369,0)))</f>
        <v/>
      </c>
      <c r="O138" s="8">
        <f>IF(ISNA(MATCH(125,Engine!$C$2:$C$1369,0)),"",HYPERLINK(INDEX('Compliance Database'!$O$2:$O$1369,MATCH(125,Engine!$C$2:$C$1369,0)),"Open PDF"))</f>
        <v/>
      </c>
    </row>
    <row r="139" ht="188" customHeight="1">
      <c r="A139" s="8">
        <f>IF(ISNA(MATCH(126,Engine!$C$2:$C$1369,0)),"",INDEX('Compliance Database'!$A$2:$A$1369,MATCH(126,Engine!$C$2:$C$1369,0)))</f>
        <v/>
      </c>
      <c r="B139" s="8">
        <f>IF(ISNA(MATCH(126,Engine!$C$2:$C$1369,0)),"",INDEX('Compliance Database'!$B$2:$B$1369,MATCH(126,Engine!$C$2:$C$1369,0)))</f>
        <v/>
      </c>
      <c r="C139" s="8">
        <f>IF(ISNA(MATCH(126,Engine!$C$2:$C$1369,0)),"",INDEX('Compliance Database'!$C$2:$C$1369,MATCH(126,Engine!$C$2:$C$1369,0)))</f>
        <v/>
      </c>
      <c r="D139" s="9">
        <f>IF(ISNA(MATCH(126,Engine!$C$2:$C$1369,0)),"",INDEX('Compliance Database'!$D$2:$D$1369,MATCH(126,Engine!$C$2:$C$1369,0)))</f>
        <v/>
      </c>
      <c r="E139" s="8">
        <f>IF(ISNA(MATCH(126,Engine!$C$2:$C$1369,0)),"",INDEX('Compliance Database'!$E$2:$E$1369,MATCH(126,Engine!$C$2:$C$1369,0)))</f>
        <v/>
      </c>
      <c r="F139" s="8">
        <f>IF(ISNA(MATCH(126,Engine!$C$2:$C$1369,0)),"",INDEX('Compliance Database'!$F$2:$F$1369,MATCH(126,Engine!$C$2:$C$1369,0)))</f>
        <v/>
      </c>
      <c r="G139" s="8">
        <f>IF(ISNA(MATCH(126,Engine!$C$2:$C$1369,0)),"",INDEX('Compliance Database'!$G$2:$G$1369,MATCH(126,Engine!$C$2:$C$1369,0)))</f>
        <v/>
      </c>
      <c r="H139" s="9">
        <f>IF(ISNA(MATCH(126,Engine!$C$2:$C$1369,0)),"",INDEX('Compliance Database'!$H$2:$H$1369,MATCH(126,Engine!$C$2:$C$1369,0)))</f>
        <v/>
      </c>
      <c r="I139" s="9">
        <f>IF(ISNA(MATCH(126,Engine!$C$2:$C$1369,0)),"",INDEX('Compliance Database'!$I$2:$I$1369,MATCH(126,Engine!$C$2:$C$1369,0)))</f>
        <v/>
      </c>
      <c r="J139" s="8">
        <f>IF(ISNA(MATCH(126,Engine!$C$2:$C$1369,0)),"",INDEX('Compliance Database'!$J$2:$J$1369,MATCH(126,Engine!$C$2:$C$1369,0)))</f>
        <v/>
      </c>
      <c r="K139" s="9">
        <f>IF(ISNA(MATCH(126,Engine!$C$2:$C$1369,0)),"",INDEX('Compliance Database'!$K$2:$K$1369,MATCH(126,Engine!$C$2:$C$1369,0)))</f>
        <v/>
      </c>
      <c r="L139" s="9">
        <f>IF(ISNA(MATCH(126,Engine!$C$2:$C$1369,0)),"",INDEX('Compliance Database'!$L$2:$L$1369,MATCH(126,Engine!$C$2:$C$1369,0)))</f>
        <v/>
      </c>
      <c r="M139" s="9">
        <f>IF(ISNA(MATCH(126,Engine!$C$2:$C$1369,0)),"",INDEX('Compliance Database'!$M$2:$M$1369,MATCH(126,Engine!$C$2:$C$1369,0)))</f>
        <v/>
      </c>
      <c r="N139" s="9">
        <f>IF(ISNA(MATCH(126,Engine!$C$2:$C$1369,0)),"",INDEX('Compliance Database'!$N$2:$N$1369,MATCH(126,Engine!$C$2:$C$1369,0)))</f>
        <v/>
      </c>
      <c r="O139" s="8">
        <f>IF(ISNA(MATCH(126,Engine!$C$2:$C$1369,0)),"",HYPERLINK(INDEX('Compliance Database'!$O$2:$O$1369,MATCH(126,Engine!$C$2:$C$1369,0)),"Open PDF"))</f>
        <v/>
      </c>
    </row>
    <row r="140" ht="188" customHeight="1">
      <c r="A140" s="8">
        <f>IF(ISNA(MATCH(127,Engine!$C$2:$C$1369,0)),"",INDEX('Compliance Database'!$A$2:$A$1369,MATCH(127,Engine!$C$2:$C$1369,0)))</f>
        <v/>
      </c>
      <c r="B140" s="8">
        <f>IF(ISNA(MATCH(127,Engine!$C$2:$C$1369,0)),"",INDEX('Compliance Database'!$B$2:$B$1369,MATCH(127,Engine!$C$2:$C$1369,0)))</f>
        <v/>
      </c>
      <c r="C140" s="8">
        <f>IF(ISNA(MATCH(127,Engine!$C$2:$C$1369,0)),"",INDEX('Compliance Database'!$C$2:$C$1369,MATCH(127,Engine!$C$2:$C$1369,0)))</f>
        <v/>
      </c>
      <c r="D140" s="9">
        <f>IF(ISNA(MATCH(127,Engine!$C$2:$C$1369,0)),"",INDEX('Compliance Database'!$D$2:$D$1369,MATCH(127,Engine!$C$2:$C$1369,0)))</f>
        <v/>
      </c>
      <c r="E140" s="8">
        <f>IF(ISNA(MATCH(127,Engine!$C$2:$C$1369,0)),"",INDEX('Compliance Database'!$E$2:$E$1369,MATCH(127,Engine!$C$2:$C$1369,0)))</f>
        <v/>
      </c>
      <c r="F140" s="8">
        <f>IF(ISNA(MATCH(127,Engine!$C$2:$C$1369,0)),"",INDEX('Compliance Database'!$F$2:$F$1369,MATCH(127,Engine!$C$2:$C$1369,0)))</f>
        <v/>
      </c>
      <c r="G140" s="8">
        <f>IF(ISNA(MATCH(127,Engine!$C$2:$C$1369,0)),"",INDEX('Compliance Database'!$G$2:$G$1369,MATCH(127,Engine!$C$2:$C$1369,0)))</f>
        <v/>
      </c>
      <c r="H140" s="9">
        <f>IF(ISNA(MATCH(127,Engine!$C$2:$C$1369,0)),"",INDEX('Compliance Database'!$H$2:$H$1369,MATCH(127,Engine!$C$2:$C$1369,0)))</f>
        <v/>
      </c>
      <c r="I140" s="9">
        <f>IF(ISNA(MATCH(127,Engine!$C$2:$C$1369,0)),"",INDEX('Compliance Database'!$I$2:$I$1369,MATCH(127,Engine!$C$2:$C$1369,0)))</f>
        <v/>
      </c>
      <c r="J140" s="8">
        <f>IF(ISNA(MATCH(127,Engine!$C$2:$C$1369,0)),"",INDEX('Compliance Database'!$J$2:$J$1369,MATCH(127,Engine!$C$2:$C$1369,0)))</f>
        <v/>
      </c>
      <c r="K140" s="9">
        <f>IF(ISNA(MATCH(127,Engine!$C$2:$C$1369,0)),"",INDEX('Compliance Database'!$K$2:$K$1369,MATCH(127,Engine!$C$2:$C$1369,0)))</f>
        <v/>
      </c>
      <c r="L140" s="9">
        <f>IF(ISNA(MATCH(127,Engine!$C$2:$C$1369,0)),"",INDEX('Compliance Database'!$L$2:$L$1369,MATCH(127,Engine!$C$2:$C$1369,0)))</f>
        <v/>
      </c>
      <c r="M140" s="9">
        <f>IF(ISNA(MATCH(127,Engine!$C$2:$C$1369,0)),"",INDEX('Compliance Database'!$M$2:$M$1369,MATCH(127,Engine!$C$2:$C$1369,0)))</f>
        <v/>
      </c>
      <c r="N140" s="9">
        <f>IF(ISNA(MATCH(127,Engine!$C$2:$C$1369,0)),"",INDEX('Compliance Database'!$N$2:$N$1369,MATCH(127,Engine!$C$2:$C$1369,0)))</f>
        <v/>
      </c>
      <c r="O140" s="8">
        <f>IF(ISNA(MATCH(127,Engine!$C$2:$C$1369,0)),"",HYPERLINK(INDEX('Compliance Database'!$O$2:$O$1369,MATCH(127,Engine!$C$2:$C$1369,0)),"Open PDF"))</f>
        <v/>
      </c>
    </row>
    <row r="141" ht="188" customHeight="1">
      <c r="A141" s="8">
        <f>IF(ISNA(MATCH(128,Engine!$C$2:$C$1369,0)),"",INDEX('Compliance Database'!$A$2:$A$1369,MATCH(128,Engine!$C$2:$C$1369,0)))</f>
        <v/>
      </c>
      <c r="B141" s="8">
        <f>IF(ISNA(MATCH(128,Engine!$C$2:$C$1369,0)),"",INDEX('Compliance Database'!$B$2:$B$1369,MATCH(128,Engine!$C$2:$C$1369,0)))</f>
        <v/>
      </c>
      <c r="C141" s="8">
        <f>IF(ISNA(MATCH(128,Engine!$C$2:$C$1369,0)),"",INDEX('Compliance Database'!$C$2:$C$1369,MATCH(128,Engine!$C$2:$C$1369,0)))</f>
        <v/>
      </c>
      <c r="D141" s="9">
        <f>IF(ISNA(MATCH(128,Engine!$C$2:$C$1369,0)),"",INDEX('Compliance Database'!$D$2:$D$1369,MATCH(128,Engine!$C$2:$C$1369,0)))</f>
        <v/>
      </c>
      <c r="E141" s="8">
        <f>IF(ISNA(MATCH(128,Engine!$C$2:$C$1369,0)),"",INDEX('Compliance Database'!$E$2:$E$1369,MATCH(128,Engine!$C$2:$C$1369,0)))</f>
        <v/>
      </c>
      <c r="F141" s="8">
        <f>IF(ISNA(MATCH(128,Engine!$C$2:$C$1369,0)),"",INDEX('Compliance Database'!$F$2:$F$1369,MATCH(128,Engine!$C$2:$C$1369,0)))</f>
        <v/>
      </c>
      <c r="G141" s="8">
        <f>IF(ISNA(MATCH(128,Engine!$C$2:$C$1369,0)),"",INDEX('Compliance Database'!$G$2:$G$1369,MATCH(128,Engine!$C$2:$C$1369,0)))</f>
        <v/>
      </c>
      <c r="H141" s="9">
        <f>IF(ISNA(MATCH(128,Engine!$C$2:$C$1369,0)),"",INDEX('Compliance Database'!$H$2:$H$1369,MATCH(128,Engine!$C$2:$C$1369,0)))</f>
        <v/>
      </c>
      <c r="I141" s="9">
        <f>IF(ISNA(MATCH(128,Engine!$C$2:$C$1369,0)),"",INDEX('Compliance Database'!$I$2:$I$1369,MATCH(128,Engine!$C$2:$C$1369,0)))</f>
        <v/>
      </c>
      <c r="J141" s="8">
        <f>IF(ISNA(MATCH(128,Engine!$C$2:$C$1369,0)),"",INDEX('Compliance Database'!$J$2:$J$1369,MATCH(128,Engine!$C$2:$C$1369,0)))</f>
        <v/>
      </c>
      <c r="K141" s="9">
        <f>IF(ISNA(MATCH(128,Engine!$C$2:$C$1369,0)),"",INDEX('Compliance Database'!$K$2:$K$1369,MATCH(128,Engine!$C$2:$C$1369,0)))</f>
        <v/>
      </c>
      <c r="L141" s="9">
        <f>IF(ISNA(MATCH(128,Engine!$C$2:$C$1369,0)),"",INDEX('Compliance Database'!$L$2:$L$1369,MATCH(128,Engine!$C$2:$C$1369,0)))</f>
        <v/>
      </c>
      <c r="M141" s="9">
        <f>IF(ISNA(MATCH(128,Engine!$C$2:$C$1369,0)),"",INDEX('Compliance Database'!$M$2:$M$1369,MATCH(128,Engine!$C$2:$C$1369,0)))</f>
        <v/>
      </c>
      <c r="N141" s="9">
        <f>IF(ISNA(MATCH(128,Engine!$C$2:$C$1369,0)),"",INDEX('Compliance Database'!$N$2:$N$1369,MATCH(128,Engine!$C$2:$C$1369,0)))</f>
        <v/>
      </c>
      <c r="O141" s="8">
        <f>IF(ISNA(MATCH(128,Engine!$C$2:$C$1369,0)),"",HYPERLINK(INDEX('Compliance Database'!$O$2:$O$1369,MATCH(128,Engine!$C$2:$C$1369,0)),"Open PDF"))</f>
        <v/>
      </c>
    </row>
    <row r="142" ht="188" customHeight="1">
      <c r="A142" s="8">
        <f>IF(ISNA(MATCH(129,Engine!$C$2:$C$1369,0)),"",INDEX('Compliance Database'!$A$2:$A$1369,MATCH(129,Engine!$C$2:$C$1369,0)))</f>
        <v/>
      </c>
      <c r="B142" s="8">
        <f>IF(ISNA(MATCH(129,Engine!$C$2:$C$1369,0)),"",INDEX('Compliance Database'!$B$2:$B$1369,MATCH(129,Engine!$C$2:$C$1369,0)))</f>
        <v/>
      </c>
      <c r="C142" s="8">
        <f>IF(ISNA(MATCH(129,Engine!$C$2:$C$1369,0)),"",INDEX('Compliance Database'!$C$2:$C$1369,MATCH(129,Engine!$C$2:$C$1369,0)))</f>
        <v/>
      </c>
      <c r="D142" s="9">
        <f>IF(ISNA(MATCH(129,Engine!$C$2:$C$1369,0)),"",INDEX('Compliance Database'!$D$2:$D$1369,MATCH(129,Engine!$C$2:$C$1369,0)))</f>
        <v/>
      </c>
      <c r="E142" s="8">
        <f>IF(ISNA(MATCH(129,Engine!$C$2:$C$1369,0)),"",INDEX('Compliance Database'!$E$2:$E$1369,MATCH(129,Engine!$C$2:$C$1369,0)))</f>
        <v/>
      </c>
      <c r="F142" s="8">
        <f>IF(ISNA(MATCH(129,Engine!$C$2:$C$1369,0)),"",INDEX('Compliance Database'!$F$2:$F$1369,MATCH(129,Engine!$C$2:$C$1369,0)))</f>
        <v/>
      </c>
      <c r="G142" s="8">
        <f>IF(ISNA(MATCH(129,Engine!$C$2:$C$1369,0)),"",INDEX('Compliance Database'!$G$2:$G$1369,MATCH(129,Engine!$C$2:$C$1369,0)))</f>
        <v/>
      </c>
      <c r="H142" s="9">
        <f>IF(ISNA(MATCH(129,Engine!$C$2:$C$1369,0)),"",INDEX('Compliance Database'!$H$2:$H$1369,MATCH(129,Engine!$C$2:$C$1369,0)))</f>
        <v/>
      </c>
      <c r="I142" s="9">
        <f>IF(ISNA(MATCH(129,Engine!$C$2:$C$1369,0)),"",INDEX('Compliance Database'!$I$2:$I$1369,MATCH(129,Engine!$C$2:$C$1369,0)))</f>
        <v/>
      </c>
      <c r="J142" s="8">
        <f>IF(ISNA(MATCH(129,Engine!$C$2:$C$1369,0)),"",INDEX('Compliance Database'!$J$2:$J$1369,MATCH(129,Engine!$C$2:$C$1369,0)))</f>
        <v/>
      </c>
      <c r="K142" s="9">
        <f>IF(ISNA(MATCH(129,Engine!$C$2:$C$1369,0)),"",INDEX('Compliance Database'!$K$2:$K$1369,MATCH(129,Engine!$C$2:$C$1369,0)))</f>
        <v/>
      </c>
      <c r="L142" s="9">
        <f>IF(ISNA(MATCH(129,Engine!$C$2:$C$1369,0)),"",INDEX('Compliance Database'!$L$2:$L$1369,MATCH(129,Engine!$C$2:$C$1369,0)))</f>
        <v/>
      </c>
      <c r="M142" s="9">
        <f>IF(ISNA(MATCH(129,Engine!$C$2:$C$1369,0)),"",INDEX('Compliance Database'!$M$2:$M$1369,MATCH(129,Engine!$C$2:$C$1369,0)))</f>
        <v/>
      </c>
      <c r="N142" s="9">
        <f>IF(ISNA(MATCH(129,Engine!$C$2:$C$1369,0)),"",INDEX('Compliance Database'!$N$2:$N$1369,MATCH(129,Engine!$C$2:$C$1369,0)))</f>
        <v/>
      </c>
      <c r="O142" s="8">
        <f>IF(ISNA(MATCH(129,Engine!$C$2:$C$1369,0)),"",HYPERLINK(INDEX('Compliance Database'!$O$2:$O$1369,MATCH(129,Engine!$C$2:$C$1369,0)),"Open PDF"))</f>
        <v/>
      </c>
    </row>
    <row r="143" ht="188" customHeight="1">
      <c r="A143" s="8">
        <f>IF(ISNA(MATCH(130,Engine!$C$2:$C$1369,0)),"",INDEX('Compliance Database'!$A$2:$A$1369,MATCH(130,Engine!$C$2:$C$1369,0)))</f>
        <v/>
      </c>
      <c r="B143" s="8">
        <f>IF(ISNA(MATCH(130,Engine!$C$2:$C$1369,0)),"",INDEX('Compliance Database'!$B$2:$B$1369,MATCH(130,Engine!$C$2:$C$1369,0)))</f>
        <v/>
      </c>
      <c r="C143" s="8">
        <f>IF(ISNA(MATCH(130,Engine!$C$2:$C$1369,0)),"",INDEX('Compliance Database'!$C$2:$C$1369,MATCH(130,Engine!$C$2:$C$1369,0)))</f>
        <v/>
      </c>
      <c r="D143" s="9">
        <f>IF(ISNA(MATCH(130,Engine!$C$2:$C$1369,0)),"",INDEX('Compliance Database'!$D$2:$D$1369,MATCH(130,Engine!$C$2:$C$1369,0)))</f>
        <v/>
      </c>
      <c r="E143" s="8">
        <f>IF(ISNA(MATCH(130,Engine!$C$2:$C$1369,0)),"",INDEX('Compliance Database'!$E$2:$E$1369,MATCH(130,Engine!$C$2:$C$1369,0)))</f>
        <v/>
      </c>
      <c r="F143" s="8">
        <f>IF(ISNA(MATCH(130,Engine!$C$2:$C$1369,0)),"",INDEX('Compliance Database'!$F$2:$F$1369,MATCH(130,Engine!$C$2:$C$1369,0)))</f>
        <v/>
      </c>
      <c r="G143" s="8">
        <f>IF(ISNA(MATCH(130,Engine!$C$2:$C$1369,0)),"",INDEX('Compliance Database'!$G$2:$G$1369,MATCH(130,Engine!$C$2:$C$1369,0)))</f>
        <v/>
      </c>
      <c r="H143" s="9">
        <f>IF(ISNA(MATCH(130,Engine!$C$2:$C$1369,0)),"",INDEX('Compliance Database'!$H$2:$H$1369,MATCH(130,Engine!$C$2:$C$1369,0)))</f>
        <v/>
      </c>
      <c r="I143" s="9">
        <f>IF(ISNA(MATCH(130,Engine!$C$2:$C$1369,0)),"",INDEX('Compliance Database'!$I$2:$I$1369,MATCH(130,Engine!$C$2:$C$1369,0)))</f>
        <v/>
      </c>
      <c r="J143" s="8">
        <f>IF(ISNA(MATCH(130,Engine!$C$2:$C$1369,0)),"",INDEX('Compliance Database'!$J$2:$J$1369,MATCH(130,Engine!$C$2:$C$1369,0)))</f>
        <v/>
      </c>
      <c r="K143" s="9">
        <f>IF(ISNA(MATCH(130,Engine!$C$2:$C$1369,0)),"",INDEX('Compliance Database'!$K$2:$K$1369,MATCH(130,Engine!$C$2:$C$1369,0)))</f>
        <v/>
      </c>
      <c r="L143" s="9">
        <f>IF(ISNA(MATCH(130,Engine!$C$2:$C$1369,0)),"",INDEX('Compliance Database'!$L$2:$L$1369,MATCH(130,Engine!$C$2:$C$1369,0)))</f>
        <v/>
      </c>
      <c r="M143" s="9">
        <f>IF(ISNA(MATCH(130,Engine!$C$2:$C$1369,0)),"",INDEX('Compliance Database'!$M$2:$M$1369,MATCH(130,Engine!$C$2:$C$1369,0)))</f>
        <v/>
      </c>
      <c r="N143" s="9">
        <f>IF(ISNA(MATCH(130,Engine!$C$2:$C$1369,0)),"",INDEX('Compliance Database'!$N$2:$N$1369,MATCH(130,Engine!$C$2:$C$1369,0)))</f>
        <v/>
      </c>
      <c r="O143" s="8">
        <f>IF(ISNA(MATCH(130,Engine!$C$2:$C$1369,0)),"",HYPERLINK(INDEX('Compliance Database'!$O$2:$O$1369,MATCH(130,Engine!$C$2:$C$1369,0)),"Open PDF"))</f>
        <v/>
      </c>
    </row>
    <row r="144" ht="188" customHeight="1">
      <c r="A144" s="8">
        <f>IF(ISNA(MATCH(131,Engine!$C$2:$C$1369,0)),"",INDEX('Compliance Database'!$A$2:$A$1369,MATCH(131,Engine!$C$2:$C$1369,0)))</f>
        <v/>
      </c>
      <c r="B144" s="8">
        <f>IF(ISNA(MATCH(131,Engine!$C$2:$C$1369,0)),"",INDEX('Compliance Database'!$B$2:$B$1369,MATCH(131,Engine!$C$2:$C$1369,0)))</f>
        <v/>
      </c>
      <c r="C144" s="8">
        <f>IF(ISNA(MATCH(131,Engine!$C$2:$C$1369,0)),"",INDEX('Compliance Database'!$C$2:$C$1369,MATCH(131,Engine!$C$2:$C$1369,0)))</f>
        <v/>
      </c>
      <c r="D144" s="9">
        <f>IF(ISNA(MATCH(131,Engine!$C$2:$C$1369,0)),"",INDEX('Compliance Database'!$D$2:$D$1369,MATCH(131,Engine!$C$2:$C$1369,0)))</f>
        <v/>
      </c>
      <c r="E144" s="8">
        <f>IF(ISNA(MATCH(131,Engine!$C$2:$C$1369,0)),"",INDEX('Compliance Database'!$E$2:$E$1369,MATCH(131,Engine!$C$2:$C$1369,0)))</f>
        <v/>
      </c>
      <c r="F144" s="8">
        <f>IF(ISNA(MATCH(131,Engine!$C$2:$C$1369,0)),"",INDEX('Compliance Database'!$F$2:$F$1369,MATCH(131,Engine!$C$2:$C$1369,0)))</f>
        <v/>
      </c>
      <c r="G144" s="8">
        <f>IF(ISNA(MATCH(131,Engine!$C$2:$C$1369,0)),"",INDEX('Compliance Database'!$G$2:$G$1369,MATCH(131,Engine!$C$2:$C$1369,0)))</f>
        <v/>
      </c>
      <c r="H144" s="9">
        <f>IF(ISNA(MATCH(131,Engine!$C$2:$C$1369,0)),"",INDEX('Compliance Database'!$H$2:$H$1369,MATCH(131,Engine!$C$2:$C$1369,0)))</f>
        <v/>
      </c>
      <c r="I144" s="9">
        <f>IF(ISNA(MATCH(131,Engine!$C$2:$C$1369,0)),"",INDEX('Compliance Database'!$I$2:$I$1369,MATCH(131,Engine!$C$2:$C$1369,0)))</f>
        <v/>
      </c>
      <c r="J144" s="8">
        <f>IF(ISNA(MATCH(131,Engine!$C$2:$C$1369,0)),"",INDEX('Compliance Database'!$J$2:$J$1369,MATCH(131,Engine!$C$2:$C$1369,0)))</f>
        <v/>
      </c>
      <c r="K144" s="9">
        <f>IF(ISNA(MATCH(131,Engine!$C$2:$C$1369,0)),"",INDEX('Compliance Database'!$K$2:$K$1369,MATCH(131,Engine!$C$2:$C$1369,0)))</f>
        <v/>
      </c>
      <c r="L144" s="9">
        <f>IF(ISNA(MATCH(131,Engine!$C$2:$C$1369,0)),"",INDEX('Compliance Database'!$L$2:$L$1369,MATCH(131,Engine!$C$2:$C$1369,0)))</f>
        <v/>
      </c>
      <c r="M144" s="9">
        <f>IF(ISNA(MATCH(131,Engine!$C$2:$C$1369,0)),"",INDEX('Compliance Database'!$M$2:$M$1369,MATCH(131,Engine!$C$2:$C$1369,0)))</f>
        <v/>
      </c>
      <c r="N144" s="9">
        <f>IF(ISNA(MATCH(131,Engine!$C$2:$C$1369,0)),"",INDEX('Compliance Database'!$N$2:$N$1369,MATCH(131,Engine!$C$2:$C$1369,0)))</f>
        <v/>
      </c>
      <c r="O144" s="8">
        <f>IF(ISNA(MATCH(131,Engine!$C$2:$C$1369,0)),"",HYPERLINK(INDEX('Compliance Database'!$O$2:$O$1369,MATCH(131,Engine!$C$2:$C$1369,0)),"Open PDF"))</f>
        <v/>
      </c>
    </row>
    <row r="145" ht="188" customHeight="1">
      <c r="A145" s="8">
        <f>IF(ISNA(MATCH(132,Engine!$C$2:$C$1369,0)),"",INDEX('Compliance Database'!$A$2:$A$1369,MATCH(132,Engine!$C$2:$C$1369,0)))</f>
        <v/>
      </c>
      <c r="B145" s="8">
        <f>IF(ISNA(MATCH(132,Engine!$C$2:$C$1369,0)),"",INDEX('Compliance Database'!$B$2:$B$1369,MATCH(132,Engine!$C$2:$C$1369,0)))</f>
        <v/>
      </c>
      <c r="C145" s="8">
        <f>IF(ISNA(MATCH(132,Engine!$C$2:$C$1369,0)),"",INDEX('Compliance Database'!$C$2:$C$1369,MATCH(132,Engine!$C$2:$C$1369,0)))</f>
        <v/>
      </c>
      <c r="D145" s="9">
        <f>IF(ISNA(MATCH(132,Engine!$C$2:$C$1369,0)),"",INDEX('Compliance Database'!$D$2:$D$1369,MATCH(132,Engine!$C$2:$C$1369,0)))</f>
        <v/>
      </c>
      <c r="E145" s="8">
        <f>IF(ISNA(MATCH(132,Engine!$C$2:$C$1369,0)),"",INDEX('Compliance Database'!$E$2:$E$1369,MATCH(132,Engine!$C$2:$C$1369,0)))</f>
        <v/>
      </c>
      <c r="F145" s="8">
        <f>IF(ISNA(MATCH(132,Engine!$C$2:$C$1369,0)),"",INDEX('Compliance Database'!$F$2:$F$1369,MATCH(132,Engine!$C$2:$C$1369,0)))</f>
        <v/>
      </c>
      <c r="G145" s="8">
        <f>IF(ISNA(MATCH(132,Engine!$C$2:$C$1369,0)),"",INDEX('Compliance Database'!$G$2:$G$1369,MATCH(132,Engine!$C$2:$C$1369,0)))</f>
        <v/>
      </c>
      <c r="H145" s="9">
        <f>IF(ISNA(MATCH(132,Engine!$C$2:$C$1369,0)),"",INDEX('Compliance Database'!$H$2:$H$1369,MATCH(132,Engine!$C$2:$C$1369,0)))</f>
        <v/>
      </c>
      <c r="I145" s="9">
        <f>IF(ISNA(MATCH(132,Engine!$C$2:$C$1369,0)),"",INDEX('Compliance Database'!$I$2:$I$1369,MATCH(132,Engine!$C$2:$C$1369,0)))</f>
        <v/>
      </c>
      <c r="J145" s="8">
        <f>IF(ISNA(MATCH(132,Engine!$C$2:$C$1369,0)),"",INDEX('Compliance Database'!$J$2:$J$1369,MATCH(132,Engine!$C$2:$C$1369,0)))</f>
        <v/>
      </c>
      <c r="K145" s="9">
        <f>IF(ISNA(MATCH(132,Engine!$C$2:$C$1369,0)),"",INDEX('Compliance Database'!$K$2:$K$1369,MATCH(132,Engine!$C$2:$C$1369,0)))</f>
        <v/>
      </c>
      <c r="L145" s="9">
        <f>IF(ISNA(MATCH(132,Engine!$C$2:$C$1369,0)),"",INDEX('Compliance Database'!$L$2:$L$1369,MATCH(132,Engine!$C$2:$C$1369,0)))</f>
        <v/>
      </c>
      <c r="M145" s="9">
        <f>IF(ISNA(MATCH(132,Engine!$C$2:$C$1369,0)),"",INDEX('Compliance Database'!$M$2:$M$1369,MATCH(132,Engine!$C$2:$C$1369,0)))</f>
        <v/>
      </c>
      <c r="N145" s="9">
        <f>IF(ISNA(MATCH(132,Engine!$C$2:$C$1369,0)),"",INDEX('Compliance Database'!$N$2:$N$1369,MATCH(132,Engine!$C$2:$C$1369,0)))</f>
        <v/>
      </c>
      <c r="O145" s="8">
        <f>IF(ISNA(MATCH(132,Engine!$C$2:$C$1369,0)),"",HYPERLINK(INDEX('Compliance Database'!$O$2:$O$1369,MATCH(132,Engine!$C$2:$C$1369,0)),"Open PDF"))</f>
        <v/>
      </c>
    </row>
    <row r="146" ht="188" customHeight="1">
      <c r="A146" s="8">
        <f>IF(ISNA(MATCH(133,Engine!$C$2:$C$1369,0)),"",INDEX('Compliance Database'!$A$2:$A$1369,MATCH(133,Engine!$C$2:$C$1369,0)))</f>
        <v/>
      </c>
      <c r="B146" s="8">
        <f>IF(ISNA(MATCH(133,Engine!$C$2:$C$1369,0)),"",INDEX('Compliance Database'!$B$2:$B$1369,MATCH(133,Engine!$C$2:$C$1369,0)))</f>
        <v/>
      </c>
      <c r="C146" s="8">
        <f>IF(ISNA(MATCH(133,Engine!$C$2:$C$1369,0)),"",INDEX('Compliance Database'!$C$2:$C$1369,MATCH(133,Engine!$C$2:$C$1369,0)))</f>
        <v/>
      </c>
      <c r="D146" s="9">
        <f>IF(ISNA(MATCH(133,Engine!$C$2:$C$1369,0)),"",INDEX('Compliance Database'!$D$2:$D$1369,MATCH(133,Engine!$C$2:$C$1369,0)))</f>
        <v/>
      </c>
      <c r="E146" s="8">
        <f>IF(ISNA(MATCH(133,Engine!$C$2:$C$1369,0)),"",INDEX('Compliance Database'!$E$2:$E$1369,MATCH(133,Engine!$C$2:$C$1369,0)))</f>
        <v/>
      </c>
      <c r="F146" s="8">
        <f>IF(ISNA(MATCH(133,Engine!$C$2:$C$1369,0)),"",INDEX('Compliance Database'!$F$2:$F$1369,MATCH(133,Engine!$C$2:$C$1369,0)))</f>
        <v/>
      </c>
      <c r="G146" s="8">
        <f>IF(ISNA(MATCH(133,Engine!$C$2:$C$1369,0)),"",INDEX('Compliance Database'!$G$2:$G$1369,MATCH(133,Engine!$C$2:$C$1369,0)))</f>
        <v/>
      </c>
      <c r="H146" s="9">
        <f>IF(ISNA(MATCH(133,Engine!$C$2:$C$1369,0)),"",INDEX('Compliance Database'!$H$2:$H$1369,MATCH(133,Engine!$C$2:$C$1369,0)))</f>
        <v/>
      </c>
      <c r="I146" s="9">
        <f>IF(ISNA(MATCH(133,Engine!$C$2:$C$1369,0)),"",INDEX('Compliance Database'!$I$2:$I$1369,MATCH(133,Engine!$C$2:$C$1369,0)))</f>
        <v/>
      </c>
      <c r="J146" s="8">
        <f>IF(ISNA(MATCH(133,Engine!$C$2:$C$1369,0)),"",INDEX('Compliance Database'!$J$2:$J$1369,MATCH(133,Engine!$C$2:$C$1369,0)))</f>
        <v/>
      </c>
      <c r="K146" s="9">
        <f>IF(ISNA(MATCH(133,Engine!$C$2:$C$1369,0)),"",INDEX('Compliance Database'!$K$2:$K$1369,MATCH(133,Engine!$C$2:$C$1369,0)))</f>
        <v/>
      </c>
      <c r="L146" s="9">
        <f>IF(ISNA(MATCH(133,Engine!$C$2:$C$1369,0)),"",INDEX('Compliance Database'!$L$2:$L$1369,MATCH(133,Engine!$C$2:$C$1369,0)))</f>
        <v/>
      </c>
      <c r="M146" s="9">
        <f>IF(ISNA(MATCH(133,Engine!$C$2:$C$1369,0)),"",INDEX('Compliance Database'!$M$2:$M$1369,MATCH(133,Engine!$C$2:$C$1369,0)))</f>
        <v/>
      </c>
      <c r="N146" s="9">
        <f>IF(ISNA(MATCH(133,Engine!$C$2:$C$1369,0)),"",INDEX('Compliance Database'!$N$2:$N$1369,MATCH(133,Engine!$C$2:$C$1369,0)))</f>
        <v/>
      </c>
      <c r="O146" s="8">
        <f>IF(ISNA(MATCH(133,Engine!$C$2:$C$1369,0)),"",HYPERLINK(INDEX('Compliance Database'!$O$2:$O$1369,MATCH(133,Engine!$C$2:$C$1369,0)),"Open PDF"))</f>
        <v/>
      </c>
    </row>
    <row r="147" ht="188" customHeight="1">
      <c r="A147" s="8">
        <f>IF(ISNA(MATCH(134,Engine!$C$2:$C$1369,0)),"",INDEX('Compliance Database'!$A$2:$A$1369,MATCH(134,Engine!$C$2:$C$1369,0)))</f>
        <v/>
      </c>
      <c r="B147" s="8">
        <f>IF(ISNA(MATCH(134,Engine!$C$2:$C$1369,0)),"",INDEX('Compliance Database'!$B$2:$B$1369,MATCH(134,Engine!$C$2:$C$1369,0)))</f>
        <v/>
      </c>
      <c r="C147" s="8">
        <f>IF(ISNA(MATCH(134,Engine!$C$2:$C$1369,0)),"",INDEX('Compliance Database'!$C$2:$C$1369,MATCH(134,Engine!$C$2:$C$1369,0)))</f>
        <v/>
      </c>
      <c r="D147" s="9">
        <f>IF(ISNA(MATCH(134,Engine!$C$2:$C$1369,0)),"",INDEX('Compliance Database'!$D$2:$D$1369,MATCH(134,Engine!$C$2:$C$1369,0)))</f>
        <v/>
      </c>
      <c r="E147" s="8">
        <f>IF(ISNA(MATCH(134,Engine!$C$2:$C$1369,0)),"",INDEX('Compliance Database'!$E$2:$E$1369,MATCH(134,Engine!$C$2:$C$1369,0)))</f>
        <v/>
      </c>
      <c r="F147" s="8">
        <f>IF(ISNA(MATCH(134,Engine!$C$2:$C$1369,0)),"",INDEX('Compliance Database'!$F$2:$F$1369,MATCH(134,Engine!$C$2:$C$1369,0)))</f>
        <v/>
      </c>
      <c r="G147" s="8">
        <f>IF(ISNA(MATCH(134,Engine!$C$2:$C$1369,0)),"",INDEX('Compliance Database'!$G$2:$G$1369,MATCH(134,Engine!$C$2:$C$1369,0)))</f>
        <v/>
      </c>
      <c r="H147" s="9">
        <f>IF(ISNA(MATCH(134,Engine!$C$2:$C$1369,0)),"",INDEX('Compliance Database'!$H$2:$H$1369,MATCH(134,Engine!$C$2:$C$1369,0)))</f>
        <v/>
      </c>
      <c r="I147" s="9">
        <f>IF(ISNA(MATCH(134,Engine!$C$2:$C$1369,0)),"",INDEX('Compliance Database'!$I$2:$I$1369,MATCH(134,Engine!$C$2:$C$1369,0)))</f>
        <v/>
      </c>
      <c r="J147" s="8">
        <f>IF(ISNA(MATCH(134,Engine!$C$2:$C$1369,0)),"",INDEX('Compliance Database'!$J$2:$J$1369,MATCH(134,Engine!$C$2:$C$1369,0)))</f>
        <v/>
      </c>
      <c r="K147" s="9">
        <f>IF(ISNA(MATCH(134,Engine!$C$2:$C$1369,0)),"",INDEX('Compliance Database'!$K$2:$K$1369,MATCH(134,Engine!$C$2:$C$1369,0)))</f>
        <v/>
      </c>
      <c r="L147" s="9">
        <f>IF(ISNA(MATCH(134,Engine!$C$2:$C$1369,0)),"",INDEX('Compliance Database'!$L$2:$L$1369,MATCH(134,Engine!$C$2:$C$1369,0)))</f>
        <v/>
      </c>
      <c r="M147" s="9">
        <f>IF(ISNA(MATCH(134,Engine!$C$2:$C$1369,0)),"",INDEX('Compliance Database'!$M$2:$M$1369,MATCH(134,Engine!$C$2:$C$1369,0)))</f>
        <v/>
      </c>
      <c r="N147" s="9">
        <f>IF(ISNA(MATCH(134,Engine!$C$2:$C$1369,0)),"",INDEX('Compliance Database'!$N$2:$N$1369,MATCH(134,Engine!$C$2:$C$1369,0)))</f>
        <v/>
      </c>
      <c r="O147" s="8">
        <f>IF(ISNA(MATCH(134,Engine!$C$2:$C$1369,0)),"",HYPERLINK(INDEX('Compliance Database'!$O$2:$O$1369,MATCH(134,Engine!$C$2:$C$1369,0)),"Open PDF"))</f>
        <v/>
      </c>
    </row>
    <row r="148" ht="188" customHeight="1">
      <c r="A148" s="8">
        <f>IF(ISNA(MATCH(135,Engine!$C$2:$C$1369,0)),"",INDEX('Compliance Database'!$A$2:$A$1369,MATCH(135,Engine!$C$2:$C$1369,0)))</f>
        <v/>
      </c>
      <c r="B148" s="8">
        <f>IF(ISNA(MATCH(135,Engine!$C$2:$C$1369,0)),"",INDEX('Compliance Database'!$B$2:$B$1369,MATCH(135,Engine!$C$2:$C$1369,0)))</f>
        <v/>
      </c>
      <c r="C148" s="8">
        <f>IF(ISNA(MATCH(135,Engine!$C$2:$C$1369,0)),"",INDEX('Compliance Database'!$C$2:$C$1369,MATCH(135,Engine!$C$2:$C$1369,0)))</f>
        <v/>
      </c>
      <c r="D148" s="9">
        <f>IF(ISNA(MATCH(135,Engine!$C$2:$C$1369,0)),"",INDEX('Compliance Database'!$D$2:$D$1369,MATCH(135,Engine!$C$2:$C$1369,0)))</f>
        <v/>
      </c>
      <c r="E148" s="8">
        <f>IF(ISNA(MATCH(135,Engine!$C$2:$C$1369,0)),"",INDEX('Compliance Database'!$E$2:$E$1369,MATCH(135,Engine!$C$2:$C$1369,0)))</f>
        <v/>
      </c>
      <c r="F148" s="8">
        <f>IF(ISNA(MATCH(135,Engine!$C$2:$C$1369,0)),"",INDEX('Compliance Database'!$F$2:$F$1369,MATCH(135,Engine!$C$2:$C$1369,0)))</f>
        <v/>
      </c>
      <c r="G148" s="8">
        <f>IF(ISNA(MATCH(135,Engine!$C$2:$C$1369,0)),"",INDEX('Compliance Database'!$G$2:$G$1369,MATCH(135,Engine!$C$2:$C$1369,0)))</f>
        <v/>
      </c>
      <c r="H148" s="9">
        <f>IF(ISNA(MATCH(135,Engine!$C$2:$C$1369,0)),"",INDEX('Compliance Database'!$H$2:$H$1369,MATCH(135,Engine!$C$2:$C$1369,0)))</f>
        <v/>
      </c>
      <c r="I148" s="9">
        <f>IF(ISNA(MATCH(135,Engine!$C$2:$C$1369,0)),"",INDEX('Compliance Database'!$I$2:$I$1369,MATCH(135,Engine!$C$2:$C$1369,0)))</f>
        <v/>
      </c>
      <c r="J148" s="8">
        <f>IF(ISNA(MATCH(135,Engine!$C$2:$C$1369,0)),"",INDEX('Compliance Database'!$J$2:$J$1369,MATCH(135,Engine!$C$2:$C$1369,0)))</f>
        <v/>
      </c>
      <c r="K148" s="9">
        <f>IF(ISNA(MATCH(135,Engine!$C$2:$C$1369,0)),"",INDEX('Compliance Database'!$K$2:$K$1369,MATCH(135,Engine!$C$2:$C$1369,0)))</f>
        <v/>
      </c>
      <c r="L148" s="9">
        <f>IF(ISNA(MATCH(135,Engine!$C$2:$C$1369,0)),"",INDEX('Compliance Database'!$L$2:$L$1369,MATCH(135,Engine!$C$2:$C$1369,0)))</f>
        <v/>
      </c>
      <c r="M148" s="9">
        <f>IF(ISNA(MATCH(135,Engine!$C$2:$C$1369,0)),"",INDEX('Compliance Database'!$M$2:$M$1369,MATCH(135,Engine!$C$2:$C$1369,0)))</f>
        <v/>
      </c>
      <c r="N148" s="9">
        <f>IF(ISNA(MATCH(135,Engine!$C$2:$C$1369,0)),"",INDEX('Compliance Database'!$N$2:$N$1369,MATCH(135,Engine!$C$2:$C$1369,0)))</f>
        <v/>
      </c>
      <c r="O148" s="8">
        <f>IF(ISNA(MATCH(135,Engine!$C$2:$C$1369,0)),"",HYPERLINK(INDEX('Compliance Database'!$O$2:$O$1369,MATCH(135,Engine!$C$2:$C$1369,0)),"Open PDF"))</f>
        <v/>
      </c>
    </row>
    <row r="149" ht="188" customHeight="1">
      <c r="A149" s="8">
        <f>IF(ISNA(MATCH(136,Engine!$C$2:$C$1369,0)),"",INDEX('Compliance Database'!$A$2:$A$1369,MATCH(136,Engine!$C$2:$C$1369,0)))</f>
        <v/>
      </c>
      <c r="B149" s="8">
        <f>IF(ISNA(MATCH(136,Engine!$C$2:$C$1369,0)),"",INDEX('Compliance Database'!$B$2:$B$1369,MATCH(136,Engine!$C$2:$C$1369,0)))</f>
        <v/>
      </c>
      <c r="C149" s="8">
        <f>IF(ISNA(MATCH(136,Engine!$C$2:$C$1369,0)),"",INDEX('Compliance Database'!$C$2:$C$1369,MATCH(136,Engine!$C$2:$C$1369,0)))</f>
        <v/>
      </c>
      <c r="D149" s="9">
        <f>IF(ISNA(MATCH(136,Engine!$C$2:$C$1369,0)),"",INDEX('Compliance Database'!$D$2:$D$1369,MATCH(136,Engine!$C$2:$C$1369,0)))</f>
        <v/>
      </c>
      <c r="E149" s="8">
        <f>IF(ISNA(MATCH(136,Engine!$C$2:$C$1369,0)),"",INDEX('Compliance Database'!$E$2:$E$1369,MATCH(136,Engine!$C$2:$C$1369,0)))</f>
        <v/>
      </c>
      <c r="F149" s="8">
        <f>IF(ISNA(MATCH(136,Engine!$C$2:$C$1369,0)),"",INDEX('Compliance Database'!$F$2:$F$1369,MATCH(136,Engine!$C$2:$C$1369,0)))</f>
        <v/>
      </c>
      <c r="G149" s="8">
        <f>IF(ISNA(MATCH(136,Engine!$C$2:$C$1369,0)),"",INDEX('Compliance Database'!$G$2:$G$1369,MATCH(136,Engine!$C$2:$C$1369,0)))</f>
        <v/>
      </c>
      <c r="H149" s="9">
        <f>IF(ISNA(MATCH(136,Engine!$C$2:$C$1369,0)),"",INDEX('Compliance Database'!$H$2:$H$1369,MATCH(136,Engine!$C$2:$C$1369,0)))</f>
        <v/>
      </c>
      <c r="I149" s="9">
        <f>IF(ISNA(MATCH(136,Engine!$C$2:$C$1369,0)),"",INDEX('Compliance Database'!$I$2:$I$1369,MATCH(136,Engine!$C$2:$C$1369,0)))</f>
        <v/>
      </c>
      <c r="J149" s="8">
        <f>IF(ISNA(MATCH(136,Engine!$C$2:$C$1369,0)),"",INDEX('Compliance Database'!$J$2:$J$1369,MATCH(136,Engine!$C$2:$C$1369,0)))</f>
        <v/>
      </c>
      <c r="K149" s="9">
        <f>IF(ISNA(MATCH(136,Engine!$C$2:$C$1369,0)),"",INDEX('Compliance Database'!$K$2:$K$1369,MATCH(136,Engine!$C$2:$C$1369,0)))</f>
        <v/>
      </c>
      <c r="L149" s="9">
        <f>IF(ISNA(MATCH(136,Engine!$C$2:$C$1369,0)),"",INDEX('Compliance Database'!$L$2:$L$1369,MATCH(136,Engine!$C$2:$C$1369,0)))</f>
        <v/>
      </c>
      <c r="M149" s="9">
        <f>IF(ISNA(MATCH(136,Engine!$C$2:$C$1369,0)),"",INDEX('Compliance Database'!$M$2:$M$1369,MATCH(136,Engine!$C$2:$C$1369,0)))</f>
        <v/>
      </c>
      <c r="N149" s="9">
        <f>IF(ISNA(MATCH(136,Engine!$C$2:$C$1369,0)),"",INDEX('Compliance Database'!$N$2:$N$1369,MATCH(136,Engine!$C$2:$C$1369,0)))</f>
        <v/>
      </c>
      <c r="O149" s="8">
        <f>IF(ISNA(MATCH(136,Engine!$C$2:$C$1369,0)),"",HYPERLINK(INDEX('Compliance Database'!$O$2:$O$1369,MATCH(136,Engine!$C$2:$C$1369,0)),"Open PDF"))</f>
        <v/>
      </c>
    </row>
    <row r="150" ht="188" customHeight="1">
      <c r="A150" s="8">
        <f>IF(ISNA(MATCH(137,Engine!$C$2:$C$1369,0)),"",INDEX('Compliance Database'!$A$2:$A$1369,MATCH(137,Engine!$C$2:$C$1369,0)))</f>
        <v/>
      </c>
      <c r="B150" s="8">
        <f>IF(ISNA(MATCH(137,Engine!$C$2:$C$1369,0)),"",INDEX('Compliance Database'!$B$2:$B$1369,MATCH(137,Engine!$C$2:$C$1369,0)))</f>
        <v/>
      </c>
      <c r="C150" s="8">
        <f>IF(ISNA(MATCH(137,Engine!$C$2:$C$1369,0)),"",INDEX('Compliance Database'!$C$2:$C$1369,MATCH(137,Engine!$C$2:$C$1369,0)))</f>
        <v/>
      </c>
      <c r="D150" s="9">
        <f>IF(ISNA(MATCH(137,Engine!$C$2:$C$1369,0)),"",INDEX('Compliance Database'!$D$2:$D$1369,MATCH(137,Engine!$C$2:$C$1369,0)))</f>
        <v/>
      </c>
      <c r="E150" s="8">
        <f>IF(ISNA(MATCH(137,Engine!$C$2:$C$1369,0)),"",INDEX('Compliance Database'!$E$2:$E$1369,MATCH(137,Engine!$C$2:$C$1369,0)))</f>
        <v/>
      </c>
      <c r="F150" s="8">
        <f>IF(ISNA(MATCH(137,Engine!$C$2:$C$1369,0)),"",INDEX('Compliance Database'!$F$2:$F$1369,MATCH(137,Engine!$C$2:$C$1369,0)))</f>
        <v/>
      </c>
      <c r="G150" s="8">
        <f>IF(ISNA(MATCH(137,Engine!$C$2:$C$1369,0)),"",INDEX('Compliance Database'!$G$2:$G$1369,MATCH(137,Engine!$C$2:$C$1369,0)))</f>
        <v/>
      </c>
      <c r="H150" s="9">
        <f>IF(ISNA(MATCH(137,Engine!$C$2:$C$1369,0)),"",INDEX('Compliance Database'!$H$2:$H$1369,MATCH(137,Engine!$C$2:$C$1369,0)))</f>
        <v/>
      </c>
      <c r="I150" s="9">
        <f>IF(ISNA(MATCH(137,Engine!$C$2:$C$1369,0)),"",INDEX('Compliance Database'!$I$2:$I$1369,MATCH(137,Engine!$C$2:$C$1369,0)))</f>
        <v/>
      </c>
      <c r="J150" s="8">
        <f>IF(ISNA(MATCH(137,Engine!$C$2:$C$1369,0)),"",INDEX('Compliance Database'!$J$2:$J$1369,MATCH(137,Engine!$C$2:$C$1369,0)))</f>
        <v/>
      </c>
      <c r="K150" s="9">
        <f>IF(ISNA(MATCH(137,Engine!$C$2:$C$1369,0)),"",INDEX('Compliance Database'!$K$2:$K$1369,MATCH(137,Engine!$C$2:$C$1369,0)))</f>
        <v/>
      </c>
      <c r="L150" s="9">
        <f>IF(ISNA(MATCH(137,Engine!$C$2:$C$1369,0)),"",INDEX('Compliance Database'!$L$2:$L$1369,MATCH(137,Engine!$C$2:$C$1369,0)))</f>
        <v/>
      </c>
      <c r="M150" s="9">
        <f>IF(ISNA(MATCH(137,Engine!$C$2:$C$1369,0)),"",INDEX('Compliance Database'!$M$2:$M$1369,MATCH(137,Engine!$C$2:$C$1369,0)))</f>
        <v/>
      </c>
      <c r="N150" s="9">
        <f>IF(ISNA(MATCH(137,Engine!$C$2:$C$1369,0)),"",INDEX('Compliance Database'!$N$2:$N$1369,MATCH(137,Engine!$C$2:$C$1369,0)))</f>
        <v/>
      </c>
      <c r="O150" s="8">
        <f>IF(ISNA(MATCH(137,Engine!$C$2:$C$1369,0)),"",HYPERLINK(INDEX('Compliance Database'!$O$2:$O$1369,MATCH(137,Engine!$C$2:$C$1369,0)),"Open PDF"))</f>
        <v/>
      </c>
    </row>
    <row r="151" ht="188" customHeight="1">
      <c r="A151" s="8">
        <f>IF(ISNA(MATCH(138,Engine!$C$2:$C$1369,0)),"",INDEX('Compliance Database'!$A$2:$A$1369,MATCH(138,Engine!$C$2:$C$1369,0)))</f>
        <v/>
      </c>
      <c r="B151" s="8">
        <f>IF(ISNA(MATCH(138,Engine!$C$2:$C$1369,0)),"",INDEX('Compliance Database'!$B$2:$B$1369,MATCH(138,Engine!$C$2:$C$1369,0)))</f>
        <v/>
      </c>
      <c r="C151" s="8">
        <f>IF(ISNA(MATCH(138,Engine!$C$2:$C$1369,0)),"",INDEX('Compliance Database'!$C$2:$C$1369,MATCH(138,Engine!$C$2:$C$1369,0)))</f>
        <v/>
      </c>
      <c r="D151" s="9">
        <f>IF(ISNA(MATCH(138,Engine!$C$2:$C$1369,0)),"",INDEX('Compliance Database'!$D$2:$D$1369,MATCH(138,Engine!$C$2:$C$1369,0)))</f>
        <v/>
      </c>
      <c r="E151" s="8">
        <f>IF(ISNA(MATCH(138,Engine!$C$2:$C$1369,0)),"",INDEX('Compliance Database'!$E$2:$E$1369,MATCH(138,Engine!$C$2:$C$1369,0)))</f>
        <v/>
      </c>
      <c r="F151" s="8">
        <f>IF(ISNA(MATCH(138,Engine!$C$2:$C$1369,0)),"",INDEX('Compliance Database'!$F$2:$F$1369,MATCH(138,Engine!$C$2:$C$1369,0)))</f>
        <v/>
      </c>
      <c r="G151" s="8">
        <f>IF(ISNA(MATCH(138,Engine!$C$2:$C$1369,0)),"",INDEX('Compliance Database'!$G$2:$G$1369,MATCH(138,Engine!$C$2:$C$1369,0)))</f>
        <v/>
      </c>
      <c r="H151" s="9">
        <f>IF(ISNA(MATCH(138,Engine!$C$2:$C$1369,0)),"",INDEX('Compliance Database'!$H$2:$H$1369,MATCH(138,Engine!$C$2:$C$1369,0)))</f>
        <v/>
      </c>
      <c r="I151" s="9">
        <f>IF(ISNA(MATCH(138,Engine!$C$2:$C$1369,0)),"",INDEX('Compliance Database'!$I$2:$I$1369,MATCH(138,Engine!$C$2:$C$1369,0)))</f>
        <v/>
      </c>
      <c r="J151" s="8">
        <f>IF(ISNA(MATCH(138,Engine!$C$2:$C$1369,0)),"",INDEX('Compliance Database'!$J$2:$J$1369,MATCH(138,Engine!$C$2:$C$1369,0)))</f>
        <v/>
      </c>
      <c r="K151" s="9">
        <f>IF(ISNA(MATCH(138,Engine!$C$2:$C$1369,0)),"",INDEX('Compliance Database'!$K$2:$K$1369,MATCH(138,Engine!$C$2:$C$1369,0)))</f>
        <v/>
      </c>
      <c r="L151" s="9">
        <f>IF(ISNA(MATCH(138,Engine!$C$2:$C$1369,0)),"",INDEX('Compliance Database'!$L$2:$L$1369,MATCH(138,Engine!$C$2:$C$1369,0)))</f>
        <v/>
      </c>
      <c r="M151" s="9">
        <f>IF(ISNA(MATCH(138,Engine!$C$2:$C$1369,0)),"",INDEX('Compliance Database'!$M$2:$M$1369,MATCH(138,Engine!$C$2:$C$1369,0)))</f>
        <v/>
      </c>
      <c r="N151" s="9">
        <f>IF(ISNA(MATCH(138,Engine!$C$2:$C$1369,0)),"",INDEX('Compliance Database'!$N$2:$N$1369,MATCH(138,Engine!$C$2:$C$1369,0)))</f>
        <v/>
      </c>
      <c r="O151" s="8">
        <f>IF(ISNA(MATCH(138,Engine!$C$2:$C$1369,0)),"",HYPERLINK(INDEX('Compliance Database'!$O$2:$O$1369,MATCH(138,Engine!$C$2:$C$1369,0)),"Open PDF"))</f>
        <v/>
      </c>
    </row>
    <row r="152" ht="188" customHeight="1">
      <c r="A152" s="8">
        <f>IF(ISNA(MATCH(139,Engine!$C$2:$C$1369,0)),"",INDEX('Compliance Database'!$A$2:$A$1369,MATCH(139,Engine!$C$2:$C$1369,0)))</f>
        <v/>
      </c>
      <c r="B152" s="8">
        <f>IF(ISNA(MATCH(139,Engine!$C$2:$C$1369,0)),"",INDEX('Compliance Database'!$B$2:$B$1369,MATCH(139,Engine!$C$2:$C$1369,0)))</f>
        <v/>
      </c>
      <c r="C152" s="8">
        <f>IF(ISNA(MATCH(139,Engine!$C$2:$C$1369,0)),"",INDEX('Compliance Database'!$C$2:$C$1369,MATCH(139,Engine!$C$2:$C$1369,0)))</f>
        <v/>
      </c>
      <c r="D152" s="9">
        <f>IF(ISNA(MATCH(139,Engine!$C$2:$C$1369,0)),"",INDEX('Compliance Database'!$D$2:$D$1369,MATCH(139,Engine!$C$2:$C$1369,0)))</f>
        <v/>
      </c>
      <c r="E152" s="8">
        <f>IF(ISNA(MATCH(139,Engine!$C$2:$C$1369,0)),"",INDEX('Compliance Database'!$E$2:$E$1369,MATCH(139,Engine!$C$2:$C$1369,0)))</f>
        <v/>
      </c>
      <c r="F152" s="8">
        <f>IF(ISNA(MATCH(139,Engine!$C$2:$C$1369,0)),"",INDEX('Compliance Database'!$F$2:$F$1369,MATCH(139,Engine!$C$2:$C$1369,0)))</f>
        <v/>
      </c>
      <c r="G152" s="8">
        <f>IF(ISNA(MATCH(139,Engine!$C$2:$C$1369,0)),"",INDEX('Compliance Database'!$G$2:$G$1369,MATCH(139,Engine!$C$2:$C$1369,0)))</f>
        <v/>
      </c>
      <c r="H152" s="9">
        <f>IF(ISNA(MATCH(139,Engine!$C$2:$C$1369,0)),"",INDEX('Compliance Database'!$H$2:$H$1369,MATCH(139,Engine!$C$2:$C$1369,0)))</f>
        <v/>
      </c>
      <c r="I152" s="9">
        <f>IF(ISNA(MATCH(139,Engine!$C$2:$C$1369,0)),"",INDEX('Compliance Database'!$I$2:$I$1369,MATCH(139,Engine!$C$2:$C$1369,0)))</f>
        <v/>
      </c>
      <c r="J152" s="8">
        <f>IF(ISNA(MATCH(139,Engine!$C$2:$C$1369,0)),"",INDEX('Compliance Database'!$J$2:$J$1369,MATCH(139,Engine!$C$2:$C$1369,0)))</f>
        <v/>
      </c>
      <c r="K152" s="9">
        <f>IF(ISNA(MATCH(139,Engine!$C$2:$C$1369,0)),"",INDEX('Compliance Database'!$K$2:$K$1369,MATCH(139,Engine!$C$2:$C$1369,0)))</f>
        <v/>
      </c>
      <c r="L152" s="9">
        <f>IF(ISNA(MATCH(139,Engine!$C$2:$C$1369,0)),"",INDEX('Compliance Database'!$L$2:$L$1369,MATCH(139,Engine!$C$2:$C$1369,0)))</f>
        <v/>
      </c>
      <c r="M152" s="9">
        <f>IF(ISNA(MATCH(139,Engine!$C$2:$C$1369,0)),"",INDEX('Compliance Database'!$M$2:$M$1369,MATCH(139,Engine!$C$2:$C$1369,0)))</f>
        <v/>
      </c>
      <c r="N152" s="9">
        <f>IF(ISNA(MATCH(139,Engine!$C$2:$C$1369,0)),"",INDEX('Compliance Database'!$N$2:$N$1369,MATCH(139,Engine!$C$2:$C$1369,0)))</f>
        <v/>
      </c>
      <c r="O152" s="8">
        <f>IF(ISNA(MATCH(139,Engine!$C$2:$C$1369,0)),"",HYPERLINK(INDEX('Compliance Database'!$O$2:$O$1369,MATCH(139,Engine!$C$2:$C$1369,0)),"Open PDF"))</f>
        <v/>
      </c>
    </row>
    <row r="153" ht="188" customHeight="1">
      <c r="A153" s="8">
        <f>IF(ISNA(MATCH(140,Engine!$C$2:$C$1369,0)),"",INDEX('Compliance Database'!$A$2:$A$1369,MATCH(140,Engine!$C$2:$C$1369,0)))</f>
        <v/>
      </c>
      <c r="B153" s="8">
        <f>IF(ISNA(MATCH(140,Engine!$C$2:$C$1369,0)),"",INDEX('Compliance Database'!$B$2:$B$1369,MATCH(140,Engine!$C$2:$C$1369,0)))</f>
        <v/>
      </c>
      <c r="C153" s="8">
        <f>IF(ISNA(MATCH(140,Engine!$C$2:$C$1369,0)),"",INDEX('Compliance Database'!$C$2:$C$1369,MATCH(140,Engine!$C$2:$C$1369,0)))</f>
        <v/>
      </c>
      <c r="D153" s="9">
        <f>IF(ISNA(MATCH(140,Engine!$C$2:$C$1369,0)),"",INDEX('Compliance Database'!$D$2:$D$1369,MATCH(140,Engine!$C$2:$C$1369,0)))</f>
        <v/>
      </c>
      <c r="E153" s="8">
        <f>IF(ISNA(MATCH(140,Engine!$C$2:$C$1369,0)),"",INDEX('Compliance Database'!$E$2:$E$1369,MATCH(140,Engine!$C$2:$C$1369,0)))</f>
        <v/>
      </c>
      <c r="F153" s="8">
        <f>IF(ISNA(MATCH(140,Engine!$C$2:$C$1369,0)),"",INDEX('Compliance Database'!$F$2:$F$1369,MATCH(140,Engine!$C$2:$C$1369,0)))</f>
        <v/>
      </c>
      <c r="G153" s="8">
        <f>IF(ISNA(MATCH(140,Engine!$C$2:$C$1369,0)),"",INDEX('Compliance Database'!$G$2:$G$1369,MATCH(140,Engine!$C$2:$C$1369,0)))</f>
        <v/>
      </c>
      <c r="H153" s="9">
        <f>IF(ISNA(MATCH(140,Engine!$C$2:$C$1369,0)),"",INDEX('Compliance Database'!$H$2:$H$1369,MATCH(140,Engine!$C$2:$C$1369,0)))</f>
        <v/>
      </c>
      <c r="I153" s="9">
        <f>IF(ISNA(MATCH(140,Engine!$C$2:$C$1369,0)),"",INDEX('Compliance Database'!$I$2:$I$1369,MATCH(140,Engine!$C$2:$C$1369,0)))</f>
        <v/>
      </c>
      <c r="J153" s="8">
        <f>IF(ISNA(MATCH(140,Engine!$C$2:$C$1369,0)),"",INDEX('Compliance Database'!$J$2:$J$1369,MATCH(140,Engine!$C$2:$C$1369,0)))</f>
        <v/>
      </c>
      <c r="K153" s="9">
        <f>IF(ISNA(MATCH(140,Engine!$C$2:$C$1369,0)),"",INDEX('Compliance Database'!$K$2:$K$1369,MATCH(140,Engine!$C$2:$C$1369,0)))</f>
        <v/>
      </c>
      <c r="L153" s="9">
        <f>IF(ISNA(MATCH(140,Engine!$C$2:$C$1369,0)),"",INDEX('Compliance Database'!$L$2:$L$1369,MATCH(140,Engine!$C$2:$C$1369,0)))</f>
        <v/>
      </c>
      <c r="M153" s="9">
        <f>IF(ISNA(MATCH(140,Engine!$C$2:$C$1369,0)),"",INDEX('Compliance Database'!$M$2:$M$1369,MATCH(140,Engine!$C$2:$C$1369,0)))</f>
        <v/>
      </c>
      <c r="N153" s="9">
        <f>IF(ISNA(MATCH(140,Engine!$C$2:$C$1369,0)),"",INDEX('Compliance Database'!$N$2:$N$1369,MATCH(140,Engine!$C$2:$C$1369,0)))</f>
        <v/>
      </c>
      <c r="O153" s="8">
        <f>IF(ISNA(MATCH(140,Engine!$C$2:$C$1369,0)),"",HYPERLINK(INDEX('Compliance Database'!$O$2:$O$1369,MATCH(140,Engine!$C$2:$C$1369,0)),"Open PDF"))</f>
        <v/>
      </c>
    </row>
    <row r="154" ht="188" customHeight="1">
      <c r="A154" s="8">
        <f>IF(ISNA(MATCH(141,Engine!$C$2:$C$1369,0)),"",INDEX('Compliance Database'!$A$2:$A$1369,MATCH(141,Engine!$C$2:$C$1369,0)))</f>
        <v/>
      </c>
      <c r="B154" s="8">
        <f>IF(ISNA(MATCH(141,Engine!$C$2:$C$1369,0)),"",INDEX('Compliance Database'!$B$2:$B$1369,MATCH(141,Engine!$C$2:$C$1369,0)))</f>
        <v/>
      </c>
      <c r="C154" s="8">
        <f>IF(ISNA(MATCH(141,Engine!$C$2:$C$1369,0)),"",INDEX('Compliance Database'!$C$2:$C$1369,MATCH(141,Engine!$C$2:$C$1369,0)))</f>
        <v/>
      </c>
      <c r="D154" s="9">
        <f>IF(ISNA(MATCH(141,Engine!$C$2:$C$1369,0)),"",INDEX('Compliance Database'!$D$2:$D$1369,MATCH(141,Engine!$C$2:$C$1369,0)))</f>
        <v/>
      </c>
      <c r="E154" s="8">
        <f>IF(ISNA(MATCH(141,Engine!$C$2:$C$1369,0)),"",INDEX('Compliance Database'!$E$2:$E$1369,MATCH(141,Engine!$C$2:$C$1369,0)))</f>
        <v/>
      </c>
      <c r="F154" s="8">
        <f>IF(ISNA(MATCH(141,Engine!$C$2:$C$1369,0)),"",INDEX('Compliance Database'!$F$2:$F$1369,MATCH(141,Engine!$C$2:$C$1369,0)))</f>
        <v/>
      </c>
      <c r="G154" s="8">
        <f>IF(ISNA(MATCH(141,Engine!$C$2:$C$1369,0)),"",INDEX('Compliance Database'!$G$2:$G$1369,MATCH(141,Engine!$C$2:$C$1369,0)))</f>
        <v/>
      </c>
      <c r="H154" s="9">
        <f>IF(ISNA(MATCH(141,Engine!$C$2:$C$1369,0)),"",INDEX('Compliance Database'!$H$2:$H$1369,MATCH(141,Engine!$C$2:$C$1369,0)))</f>
        <v/>
      </c>
      <c r="I154" s="9">
        <f>IF(ISNA(MATCH(141,Engine!$C$2:$C$1369,0)),"",INDEX('Compliance Database'!$I$2:$I$1369,MATCH(141,Engine!$C$2:$C$1369,0)))</f>
        <v/>
      </c>
      <c r="J154" s="8">
        <f>IF(ISNA(MATCH(141,Engine!$C$2:$C$1369,0)),"",INDEX('Compliance Database'!$J$2:$J$1369,MATCH(141,Engine!$C$2:$C$1369,0)))</f>
        <v/>
      </c>
      <c r="K154" s="9">
        <f>IF(ISNA(MATCH(141,Engine!$C$2:$C$1369,0)),"",INDEX('Compliance Database'!$K$2:$K$1369,MATCH(141,Engine!$C$2:$C$1369,0)))</f>
        <v/>
      </c>
      <c r="L154" s="9">
        <f>IF(ISNA(MATCH(141,Engine!$C$2:$C$1369,0)),"",INDEX('Compliance Database'!$L$2:$L$1369,MATCH(141,Engine!$C$2:$C$1369,0)))</f>
        <v/>
      </c>
      <c r="M154" s="9">
        <f>IF(ISNA(MATCH(141,Engine!$C$2:$C$1369,0)),"",INDEX('Compliance Database'!$M$2:$M$1369,MATCH(141,Engine!$C$2:$C$1369,0)))</f>
        <v/>
      </c>
      <c r="N154" s="9">
        <f>IF(ISNA(MATCH(141,Engine!$C$2:$C$1369,0)),"",INDEX('Compliance Database'!$N$2:$N$1369,MATCH(141,Engine!$C$2:$C$1369,0)))</f>
        <v/>
      </c>
      <c r="O154" s="8">
        <f>IF(ISNA(MATCH(141,Engine!$C$2:$C$1369,0)),"",HYPERLINK(INDEX('Compliance Database'!$O$2:$O$1369,MATCH(141,Engine!$C$2:$C$1369,0)),"Open PDF"))</f>
        <v/>
      </c>
    </row>
    <row r="155" ht="188" customHeight="1">
      <c r="A155" s="8">
        <f>IF(ISNA(MATCH(142,Engine!$C$2:$C$1369,0)),"",INDEX('Compliance Database'!$A$2:$A$1369,MATCH(142,Engine!$C$2:$C$1369,0)))</f>
        <v/>
      </c>
      <c r="B155" s="8">
        <f>IF(ISNA(MATCH(142,Engine!$C$2:$C$1369,0)),"",INDEX('Compliance Database'!$B$2:$B$1369,MATCH(142,Engine!$C$2:$C$1369,0)))</f>
        <v/>
      </c>
      <c r="C155" s="8">
        <f>IF(ISNA(MATCH(142,Engine!$C$2:$C$1369,0)),"",INDEX('Compliance Database'!$C$2:$C$1369,MATCH(142,Engine!$C$2:$C$1369,0)))</f>
        <v/>
      </c>
      <c r="D155" s="9">
        <f>IF(ISNA(MATCH(142,Engine!$C$2:$C$1369,0)),"",INDEX('Compliance Database'!$D$2:$D$1369,MATCH(142,Engine!$C$2:$C$1369,0)))</f>
        <v/>
      </c>
      <c r="E155" s="8">
        <f>IF(ISNA(MATCH(142,Engine!$C$2:$C$1369,0)),"",INDEX('Compliance Database'!$E$2:$E$1369,MATCH(142,Engine!$C$2:$C$1369,0)))</f>
        <v/>
      </c>
      <c r="F155" s="8">
        <f>IF(ISNA(MATCH(142,Engine!$C$2:$C$1369,0)),"",INDEX('Compliance Database'!$F$2:$F$1369,MATCH(142,Engine!$C$2:$C$1369,0)))</f>
        <v/>
      </c>
      <c r="G155" s="8">
        <f>IF(ISNA(MATCH(142,Engine!$C$2:$C$1369,0)),"",INDEX('Compliance Database'!$G$2:$G$1369,MATCH(142,Engine!$C$2:$C$1369,0)))</f>
        <v/>
      </c>
      <c r="H155" s="9">
        <f>IF(ISNA(MATCH(142,Engine!$C$2:$C$1369,0)),"",INDEX('Compliance Database'!$H$2:$H$1369,MATCH(142,Engine!$C$2:$C$1369,0)))</f>
        <v/>
      </c>
      <c r="I155" s="9">
        <f>IF(ISNA(MATCH(142,Engine!$C$2:$C$1369,0)),"",INDEX('Compliance Database'!$I$2:$I$1369,MATCH(142,Engine!$C$2:$C$1369,0)))</f>
        <v/>
      </c>
      <c r="J155" s="8">
        <f>IF(ISNA(MATCH(142,Engine!$C$2:$C$1369,0)),"",INDEX('Compliance Database'!$J$2:$J$1369,MATCH(142,Engine!$C$2:$C$1369,0)))</f>
        <v/>
      </c>
      <c r="K155" s="9">
        <f>IF(ISNA(MATCH(142,Engine!$C$2:$C$1369,0)),"",INDEX('Compliance Database'!$K$2:$K$1369,MATCH(142,Engine!$C$2:$C$1369,0)))</f>
        <v/>
      </c>
      <c r="L155" s="9">
        <f>IF(ISNA(MATCH(142,Engine!$C$2:$C$1369,0)),"",INDEX('Compliance Database'!$L$2:$L$1369,MATCH(142,Engine!$C$2:$C$1369,0)))</f>
        <v/>
      </c>
      <c r="M155" s="9">
        <f>IF(ISNA(MATCH(142,Engine!$C$2:$C$1369,0)),"",INDEX('Compliance Database'!$M$2:$M$1369,MATCH(142,Engine!$C$2:$C$1369,0)))</f>
        <v/>
      </c>
      <c r="N155" s="9">
        <f>IF(ISNA(MATCH(142,Engine!$C$2:$C$1369,0)),"",INDEX('Compliance Database'!$N$2:$N$1369,MATCH(142,Engine!$C$2:$C$1369,0)))</f>
        <v/>
      </c>
      <c r="O155" s="8">
        <f>IF(ISNA(MATCH(142,Engine!$C$2:$C$1369,0)),"",HYPERLINK(INDEX('Compliance Database'!$O$2:$O$1369,MATCH(142,Engine!$C$2:$C$1369,0)),"Open PDF"))</f>
        <v/>
      </c>
    </row>
    <row r="156" ht="188" customHeight="1">
      <c r="A156" s="8">
        <f>IF(ISNA(MATCH(143,Engine!$C$2:$C$1369,0)),"",INDEX('Compliance Database'!$A$2:$A$1369,MATCH(143,Engine!$C$2:$C$1369,0)))</f>
        <v/>
      </c>
      <c r="B156" s="8">
        <f>IF(ISNA(MATCH(143,Engine!$C$2:$C$1369,0)),"",INDEX('Compliance Database'!$B$2:$B$1369,MATCH(143,Engine!$C$2:$C$1369,0)))</f>
        <v/>
      </c>
      <c r="C156" s="8">
        <f>IF(ISNA(MATCH(143,Engine!$C$2:$C$1369,0)),"",INDEX('Compliance Database'!$C$2:$C$1369,MATCH(143,Engine!$C$2:$C$1369,0)))</f>
        <v/>
      </c>
      <c r="D156" s="9">
        <f>IF(ISNA(MATCH(143,Engine!$C$2:$C$1369,0)),"",INDEX('Compliance Database'!$D$2:$D$1369,MATCH(143,Engine!$C$2:$C$1369,0)))</f>
        <v/>
      </c>
      <c r="E156" s="8">
        <f>IF(ISNA(MATCH(143,Engine!$C$2:$C$1369,0)),"",INDEX('Compliance Database'!$E$2:$E$1369,MATCH(143,Engine!$C$2:$C$1369,0)))</f>
        <v/>
      </c>
      <c r="F156" s="8">
        <f>IF(ISNA(MATCH(143,Engine!$C$2:$C$1369,0)),"",INDEX('Compliance Database'!$F$2:$F$1369,MATCH(143,Engine!$C$2:$C$1369,0)))</f>
        <v/>
      </c>
      <c r="G156" s="8">
        <f>IF(ISNA(MATCH(143,Engine!$C$2:$C$1369,0)),"",INDEX('Compliance Database'!$G$2:$G$1369,MATCH(143,Engine!$C$2:$C$1369,0)))</f>
        <v/>
      </c>
      <c r="H156" s="9">
        <f>IF(ISNA(MATCH(143,Engine!$C$2:$C$1369,0)),"",INDEX('Compliance Database'!$H$2:$H$1369,MATCH(143,Engine!$C$2:$C$1369,0)))</f>
        <v/>
      </c>
      <c r="I156" s="9">
        <f>IF(ISNA(MATCH(143,Engine!$C$2:$C$1369,0)),"",INDEX('Compliance Database'!$I$2:$I$1369,MATCH(143,Engine!$C$2:$C$1369,0)))</f>
        <v/>
      </c>
      <c r="J156" s="8">
        <f>IF(ISNA(MATCH(143,Engine!$C$2:$C$1369,0)),"",INDEX('Compliance Database'!$J$2:$J$1369,MATCH(143,Engine!$C$2:$C$1369,0)))</f>
        <v/>
      </c>
      <c r="K156" s="9">
        <f>IF(ISNA(MATCH(143,Engine!$C$2:$C$1369,0)),"",INDEX('Compliance Database'!$K$2:$K$1369,MATCH(143,Engine!$C$2:$C$1369,0)))</f>
        <v/>
      </c>
      <c r="L156" s="9">
        <f>IF(ISNA(MATCH(143,Engine!$C$2:$C$1369,0)),"",INDEX('Compliance Database'!$L$2:$L$1369,MATCH(143,Engine!$C$2:$C$1369,0)))</f>
        <v/>
      </c>
      <c r="M156" s="9">
        <f>IF(ISNA(MATCH(143,Engine!$C$2:$C$1369,0)),"",INDEX('Compliance Database'!$M$2:$M$1369,MATCH(143,Engine!$C$2:$C$1369,0)))</f>
        <v/>
      </c>
      <c r="N156" s="9">
        <f>IF(ISNA(MATCH(143,Engine!$C$2:$C$1369,0)),"",INDEX('Compliance Database'!$N$2:$N$1369,MATCH(143,Engine!$C$2:$C$1369,0)))</f>
        <v/>
      </c>
      <c r="O156" s="8">
        <f>IF(ISNA(MATCH(143,Engine!$C$2:$C$1369,0)),"",HYPERLINK(INDEX('Compliance Database'!$O$2:$O$1369,MATCH(143,Engine!$C$2:$C$1369,0)),"Open PDF"))</f>
        <v/>
      </c>
    </row>
    <row r="157" ht="188" customHeight="1">
      <c r="A157" s="8">
        <f>IF(ISNA(MATCH(144,Engine!$C$2:$C$1369,0)),"",INDEX('Compliance Database'!$A$2:$A$1369,MATCH(144,Engine!$C$2:$C$1369,0)))</f>
        <v/>
      </c>
      <c r="B157" s="8">
        <f>IF(ISNA(MATCH(144,Engine!$C$2:$C$1369,0)),"",INDEX('Compliance Database'!$B$2:$B$1369,MATCH(144,Engine!$C$2:$C$1369,0)))</f>
        <v/>
      </c>
      <c r="C157" s="8">
        <f>IF(ISNA(MATCH(144,Engine!$C$2:$C$1369,0)),"",INDEX('Compliance Database'!$C$2:$C$1369,MATCH(144,Engine!$C$2:$C$1369,0)))</f>
        <v/>
      </c>
      <c r="D157" s="9">
        <f>IF(ISNA(MATCH(144,Engine!$C$2:$C$1369,0)),"",INDEX('Compliance Database'!$D$2:$D$1369,MATCH(144,Engine!$C$2:$C$1369,0)))</f>
        <v/>
      </c>
      <c r="E157" s="8">
        <f>IF(ISNA(MATCH(144,Engine!$C$2:$C$1369,0)),"",INDEX('Compliance Database'!$E$2:$E$1369,MATCH(144,Engine!$C$2:$C$1369,0)))</f>
        <v/>
      </c>
      <c r="F157" s="8">
        <f>IF(ISNA(MATCH(144,Engine!$C$2:$C$1369,0)),"",INDEX('Compliance Database'!$F$2:$F$1369,MATCH(144,Engine!$C$2:$C$1369,0)))</f>
        <v/>
      </c>
      <c r="G157" s="8">
        <f>IF(ISNA(MATCH(144,Engine!$C$2:$C$1369,0)),"",INDEX('Compliance Database'!$G$2:$G$1369,MATCH(144,Engine!$C$2:$C$1369,0)))</f>
        <v/>
      </c>
      <c r="H157" s="9">
        <f>IF(ISNA(MATCH(144,Engine!$C$2:$C$1369,0)),"",INDEX('Compliance Database'!$H$2:$H$1369,MATCH(144,Engine!$C$2:$C$1369,0)))</f>
        <v/>
      </c>
      <c r="I157" s="9">
        <f>IF(ISNA(MATCH(144,Engine!$C$2:$C$1369,0)),"",INDEX('Compliance Database'!$I$2:$I$1369,MATCH(144,Engine!$C$2:$C$1369,0)))</f>
        <v/>
      </c>
      <c r="J157" s="8">
        <f>IF(ISNA(MATCH(144,Engine!$C$2:$C$1369,0)),"",INDEX('Compliance Database'!$J$2:$J$1369,MATCH(144,Engine!$C$2:$C$1369,0)))</f>
        <v/>
      </c>
      <c r="K157" s="9">
        <f>IF(ISNA(MATCH(144,Engine!$C$2:$C$1369,0)),"",INDEX('Compliance Database'!$K$2:$K$1369,MATCH(144,Engine!$C$2:$C$1369,0)))</f>
        <v/>
      </c>
      <c r="L157" s="9">
        <f>IF(ISNA(MATCH(144,Engine!$C$2:$C$1369,0)),"",INDEX('Compliance Database'!$L$2:$L$1369,MATCH(144,Engine!$C$2:$C$1369,0)))</f>
        <v/>
      </c>
      <c r="M157" s="9">
        <f>IF(ISNA(MATCH(144,Engine!$C$2:$C$1369,0)),"",INDEX('Compliance Database'!$M$2:$M$1369,MATCH(144,Engine!$C$2:$C$1369,0)))</f>
        <v/>
      </c>
      <c r="N157" s="9">
        <f>IF(ISNA(MATCH(144,Engine!$C$2:$C$1369,0)),"",INDEX('Compliance Database'!$N$2:$N$1369,MATCH(144,Engine!$C$2:$C$1369,0)))</f>
        <v/>
      </c>
      <c r="O157" s="8">
        <f>IF(ISNA(MATCH(144,Engine!$C$2:$C$1369,0)),"",HYPERLINK(INDEX('Compliance Database'!$O$2:$O$1369,MATCH(144,Engine!$C$2:$C$1369,0)),"Open PDF"))</f>
        <v/>
      </c>
    </row>
    <row r="158" ht="188" customHeight="1">
      <c r="A158" s="8">
        <f>IF(ISNA(MATCH(145,Engine!$C$2:$C$1369,0)),"",INDEX('Compliance Database'!$A$2:$A$1369,MATCH(145,Engine!$C$2:$C$1369,0)))</f>
        <v/>
      </c>
      <c r="B158" s="8">
        <f>IF(ISNA(MATCH(145,Engine!$C$2:$C$1369,0)),"",INDEX('Compliance Database'!$B$2:$B$1369,MATCH(145,Engine!$C$2:$C$1369,0)))</f>
        <v/>
      </c>
      <c r="C158" s="8">
        <f>IF(ISNA(MATCH(145,Engine!$C$2:$C$1369,0)),"",INDEX('Compliance Database'!$C$2:$C$1369,MATCH(145,Engine!$C$2:$C$1369,0)))</f>
        <v/>
      </c>
      <c r="D158" s="9">
        <f>IF(ISNA(MATCH(145,Engine!$C$2:$C$1369,0)),"",INDEX('Compliance Database'!$D$2:$D$1369,MATCH(145,Engine!$C$2:$C$1369,0)))</f>
        <v/>
      </c>
      <c r="E158" s="8">
        <f>IF(ISNA(MATCH(145,Engine!$C$2:$C$1369,0)),"",INDEX('Compliance Database'!$E$2:$E$1369,MATCH(145,Engine!$C$2:$C$1369,0)))</f>
        <v/>
      </c>
      <c r="F158" s="8">
        <f>IF(ISNA(MATCH(145,Engine!$C$2:$C$1369,0)),"",INDEX('Compliance Database'!$F$2:$F$1369,MATCH(145,Engine!$C$2:$C$1369,0)))</f>
        <v/>
      </c>
      <c r="G158" s="8">
        <f>IF(ISNA(MATCH(145,Engine!$C$2:$C$1369,0)),"",INDEX('Compliance Database'!$G$2:$G$1369,MATCH(145,Engine!$C$2:$C$1369,0)))</f>
        <v/>
      </c>
      <c r="H158" s="9">
        <f>IF(ISNA(MATCH(145,Engine!$C$2:$C$1369,0)),"",INDEX('Compliance Database'!$H$2:$H$1369,MATCH(145,Engine!$C$2:$C$1369,0)))</f>
        <v/>
      </c>
      <c r="I158" s="9">
        <f>IF(ISNA(MATCH(145,Engine!$C$2:$C$1369,0)),"",INDEX('Compliance Database'!$I$2:$I$1369,MATCH(145,Engine!$C$2:$C$1369,0)))</f>
        <v/>
      </c>
      <c r="J158" s="8">
        <f>IF(ISNA(MATCH(145,Engine!$C$2:$C$1369,0)),"",INDEX('Compliance Database'!$J$2:$J$1369,MATCH(145,Engine!$C$2:$C$1369,0)))</f>
        <v/>
      </c>
      <c r="K158" s="9">
        <f>IF(ISNA(MATCH(145,Engine!$C$2:$C$1369,0)),"",INDEX('Compliance Database'!$K$2:$K$1369,MATCH(145,Engine!$C$2:$C$1369,0)))</f>
        <v/>
      </c>
      <c r="L158" s="9">
        <f>IF(ISNA(MATCH(145,Engine!$C$2:$C$1369,0)),"",INDEX('Compliance Database'!$L$2:$L$1369,MATCH(145,Engine!$C$2:$C$1369,0)))</f>
        <v/>
      </c>
      <c r="M158" s="9">
        <f>IF(ISNA(MATCH(145,Engine!$C$2:$C$1369,0)),"",INDEX('Compliance Database'!$M$2:$M$1369,MATCH(145,Engine!$C$2:$C$1369,0)))</f>
        <v/>
      </c>
      <c r="N158" s="9">
        <f>IF(ISNA(MATCH(145,Engine!$C$2:$C$1369,0)),"",INDEX('Compliance Database'!$N$2:$N$1369,MATCH(145,Engine!$C$2:$C$1369,0)))</f>
        <v/>
      </c>
      <c r="O158" s="8">
        <f>IF(ISNA(MATCH(145,Engine!$C$2:$C$1369,0)),"",HYPERLINK(INDEX('Compliance Database'!$O$2:$O$1369,MATCH(145,Engine!$C$2:$C$1369,0)),"Open PDF"))</f>
        <v/>
      </c>
    </row>
    <row r="159" ht="188" customHeight="1">
      <c r="A159" s="8">
        <f>IF(ISNA(MATCH(146,Engine!$C$2:$C$1369,0)),"",INDEX('Compliance Database'!$A$2:$A$1369,MATCH(146,Engine!$C$2:$C$1369,0)))</f>
        <v/>
      </c>
      <c r="B159" s="8">
        <f>IF(ISNA(MATCH(146,Engine!$C$2:$C$1369,0)),"",INDEX('Compliance Database'!$B$2:$B$1369,MATCH(146,Engine!$C$2:$C$1369,0)))</f>
        <v/>
      </c>
      <c r="C159" s="8">
        <f>IF(ISNA(MATCH(146,Engine!$C$2:$C$1369,0)),"",INDEX('Compliance Database'!$C$2:$C$1369,MATCH(146,Engine!$C$2:$C$1369,0)))</f>
        <v/>
      </c>
      <c r="D159" s="9">
        <f>IF(ISNA(MATCH(146,Engine!$C$2:$C$1369,0)),"",INDEX('Compliance Database'!$D$2:$D$1369,MATCH(146,Engine!$C$2:$C$1369,0)))</f>
        <v/>
      </c>
      <c r="E159" s="8">
        <f>IF(ISNA(MATCH(146,Engine!$C$2:$C$1369,0)),"",INDEX('Compliance Database'!$E$2:$E$1369,MATCH(146,Engine!$C$2:$C$1369,0)))</f>
        <v/>
      </c>
      <c r="F159" s="8">
        <f>IF(ISNA(MATCH(146,Engine!$C$2:$C$1369,0)),"",INDEX('Compliance Database'!$F$2:$F$1369,MATCH(146,Engine!$C$2:$C$1369,0)))</f>
        <v/>
      </c>
      <c r="G159" s="8">
        <f>IF(ISNA(MATCH(146,Engine!$C$2:$C$1369,0)),"",INDEX('Compliance Database'!$G$2:$G$1369,MATCH(146,Engine!$C$2:$C$1369,0)))</f>
        <v/>
      </c>
      <c r="H159" s="9">
        <f>IF(ISNA(MATCH(146,Engine!$C$2:$C$1369,0)),"",INDEX('Compliance Database'!$H$2:$H$1369,MATCH(146,Engine!$C$2:$C$1369,0)))</f>
        <v/>
      </c>
      <c r="I159" s="9">
        <f>IF(ISNA(MATCH(146,Engine!$C$2:$C$1369,0)),"",INDEX('Compliance Database'!$I$2:$I$1369,MATCH(146,Engine!$C$2:$C$1369,0)))</f>
        <v/>
      </c>
      <c r="J159" s="8">
        <f>IF(ISNA(MATCH(146,Engine!$C$2:$C$1369,0)),"",INDEX('Compliance Database'!$J$2:$J$1369,MATCH(146,Engine!$C$2:$C$1369,0)))</f>
        <v/>
      </c>
      <c r="K159" s="9">
        <f>IF(ISNA(MATCH(146,Engine!$C$2:$C$1369,0)),"",INDEX('Compliance Database'!$K$2:$K$1369,MATCH(146,Engine!$C$2:$C$1369,0)))</f>
        <v/>
      </c>
      <c r="L159" s="9">
        <f>IF(ISNA(MATCH(146,Engine!$C$2:$C$1369,0)),"",INDEX('Compliance Database'!$L$2:$L$1369,MATCH(146,Engine!$C$2:$C$1369,0)))</f>
        <v/>
      </c>
      <c r="M159" s="9">
        <f>IF(ISNA(MATCH(146,Engine!$C$2:$C$1369,0)),"",INDEX('Compliance Database'!$M$2:$M$1369,MATCH(146,Engine!$C$2:$C$1369,0)))</f>
        <v/>
      </c>
      <c r="N159" s="9">
        <f>IF(ISNA(MATCH(146,Engine!$C$2:$C$1369,0)),"",INDEX('Compliance Database'!$N$2:$N$1369,MATCH(146,Engine!$C$2:$C$1369,0)))</f>
        <v/>
      </c>
      <c r="O159" s="8">
        <f>IF(ISNA(MATCH(146,Engine!$C$2:$C$1369,0)),"",HYPERLINK(INDEX('Compliance Database'!$O$2:$O$1369,MATCH(146,Engine!$C$2:$C$1369,0)),"Open PDF"))</f>
        <v/>
      </c>
    </row>
    <row r="160" ht="188" customHeight="1">
      <c r="A160" s="8">
        <f>IF(ISNA(MATCH(147,Engine!$C$2:$C$1369,0)),"",INDEX('Compliance Database'!$A$2:$A$1369,MATCH(147,Engine!$C$2:$C$1369,0)))</f>
        <v/>
      </c>
      <c r="B160" s="8">
        <f>IF(ISNA(MATCH(147,Engine!$C$2:$C$1369,0)),"",INDEX('Compliance Database'!$B$2:$B$1369,MATCH(147,Engine!$C$2:$C$1369,0)))</f>
        <v/>
      </c>
      <c r="C160" s="8">
        <f>IF(ISNA(MATCH(147,Engine!$C$2:$C$1369,0)),"",INDEX('Compliance Database'!$C$2:$C$1369,MATCH(147,Engine!$C$2:$C$1369,0)))</f>
        <v/>
      </c>
      <c r="D160" s="9">
        <f>IF(ISNA(MATCH(147,Engine!$C$2:$C$1369,0)),"",INDEX('Compliance Database'!$D$2:$D$1369,MATCH(147,Engine!$C$2:$C$1369,0)))</f>
        <v/>
      </c>
      <c r="E160" s="8">
        <f>IF(ISNA(MATCH(147,Engine!$C$2:$C$1369,0)),"",INDEX('Compliance Database'!$E$2:$E$1369,MATCH(147,Engine!$C$2:$C$1369,0)))</f>
        <v/>
      </c>
      <c r="F160" s="8">
        <f>IF(ISNA(MATCH(147,Engine!$C$2:$C$1369,0)),"",INDEX('Compliance Database'!$F$2:$F$1369,MATCH(147,Engine!$C$2:$C$1369,0)))</f>
        <v/>
      </c>
      <c r="G160" s="8">
        <f>IF(ISNA(MATCH(147,Engine!$C$2:$C$1369,0)),"",INDEX('Compliance Database'!$G$2:$G$1369,MATCH(147,Engine!$C$2:$C$1369,0)))</f>
        <v/>
      </c>
      <c r="H160" s="9">
        <f>IF(ISNA(MATCH(147,Engine!$C$2:$C$1369,0)),"",INDEX('Compliance Database'!$H$2:$H$1369,MATCH(147,Engine!$C$2:$C$1369,0)))</f>
        <v/>
      </c>
      <c r="I160" s="9">
        <f>IF(ISNA(MATCH(147,Engine!$C$2:$C$1369,0)),"",INDEX('Compliance Database'!$I$2:$I$1369,MATCH(147,Engine!$C$2:$C$1369,0)))</f>
        <v/>
      </c>
      <c r="J160" s="8">
        <f>IF(ISNA(MATCH(147,Engine!$C$2:$C$1369,0)),"",INDEX('Compliance Database'!$J$2:$J$1369,MATCH(147,Engine!$C$2:$C$1369,0)))</f>
        <v/>
      </c>
      <c r="K160" s="9">
        <f>IF(ISNA(MATCH(147,Engine!$C$2:$C$1369,0)),"",INDEX('Compliance Database'!$K$2:$K$1369,MATCH(147,Engine!$C$2:$C$1369,0)))</f>
        <v/>
      </c>
      <c r="L160" s="9">
        <f>IF(ISNA(MATCH(147,Engine!$C$2:$C$1369,0)),"",INDEX('Compliance Database'!$L$2:$L$1369,MATCH(147,Engine!$C$2:$C$1369,0)))</f>
        <v/>
      </c>
      <c r="M160" s="9">
        <f>IF(ISNA(MATCH(147,Engine!$C$2:$C$1369,0)),"",INDEX('Compliance Database'!$M$2:$M$1369,MATCH(147,Engine!$C$2:$C$1369,0)))</f>
        <v/>
      </c>
      <c r="N160" s="9">
        <f>IF(ISNA(MATCH(147,Engine!$C$2:$C$1369,0)),"",INDEX('Compliance Database'!$N$2:$N$1369,MATCH(147,Engine!$C$2:$C$1369,0)))</f>
        <v/>
      </c>
      <c r="O160" s="8">
        <f>IF(ISNA(MATCH(147,Engine!$C$2:$C$1369,0)),"",HYPERLINK(INDEX('Compliance Database'!$O$2:$O$1369,MATCH(147,Engine!$C$2:$C$1369,0)),"Open PDF"))</f>
        <v/>
      </c>
    </row>
    <row r="161" ht="188" customHeight="1">
      <c r="A161" s="8">
        <f>IF(ISNA(MATCH(148,Engine!$C$2:$C$1369,0)),"",INDEX('Compliance Database'!$A$2:$A$1369,MATCH(148,Engine!$C$2:$C$1369,0)))</f>
        <v/>
      </c>
      <c r="B161" s="8">
        <f>IF(ISNA(MATCH(148,Engine!$C$2:$C$1369,0)),"",INDEX('Compliance Database'!$B$2:$B$1369,MATCH(148,Engine!$C$2:$C$1369,0)))</f>
        <v/>
      </c>
      <c r="C161" s="8">
        <f>IF(ISNA(MATCH(148,Engine!$C$2:$C$1369,0)),"",INDEX('Compliance Database'!$C$2:$C$1369,MATCH(148,Engine!$C$2:$C$1369,0)))</f>
        <v/>
      </c>
      <c r="D161" s="9">
        <f>IF(ISNA(MATCH(148,Engine!$C$2:$C$1369,0)),"",INDEX('Compliance Database'!$D$2:$D$1369,MATCH(148,Engine!$C$2:$C$1369,0)))</f>
        <v/>
      </c>
      <c r="E161" s="8">
        <f>IF(ISNA(MATCH(148,Engine!$C$2:$C$1369,0)),"",INDEX('Compliance Database'!$E$2:$E$1369,MATCH(148,Engine!$C$2:$C$1369,0)))</f>
        <v/>
      </c>
      <c r="F161" s="8">
        <f>IF(ISNA(MATCH(148,Engine!$C$2:$C$1369,0)),"",INDEX('Compliance Database'!$F$2:$F$1369,MATCH(148,Engine!$C$2:$C$1369,0)))</f>
        <v/>
      </c>
      <c r="G161" s="8">
        <f>IF(ISNA(MATCH(148,Engine!$C$2:$C$1369,0)),"",INDEX('Compliance Database'!$G$2:$G$1369,MATCH(148,Engine!$C$2:$C$1369,0)))</f>
        <v/>
      </c>
      <c r="H161" s="9">
        <f>IF(ISNA(MATCH(148,Engine!$C$2:$C$1369,0)),"",INDEX('Compliance Database'!$H$2:$H$1369,MATCH(148,Engine!$C$2:$C$1369,0)))</f>
        <v/>
      </c>
      <c r="I161" s="9">
        <f>IF(ISNA(MATCH(148,Engine!$C$2:$C$1369,0)),"",INDEX('Compliance Database'!$I$2:$I$1369,MATCH(148,Engine!$C$2:$C$1369,0)))</f>
        <v/>
      </c>
      <c r="J161" s="8">
        <f>IF(ISNA(MATCH(148,Engine!$C$2:$C$1369,0)),"",INDEX('Compliance Database'!$J$2:$J$1369,MATCH(148,Engine!$C$2:$C$1369,0)))</f>
        <v/>
      </c>
      <c r="K161" s="9">
        <f>IF(ISNA(MATCH(148,Engine!$C$2:$C$1369,0)),"",INDEX('Compliance Database'!$K$2:$K$1369,MATCH(148,Engine!$C$2:$C$1369,0)))</f>
        <v/>
      </c>
      <c r="L161" s="9">
        <f>IF(ISNA(MATCH(148,Engine!$C$2:$C$1369,0)),"",INDEX('Compliance Database'!$L$2:$L$1369,MATCH(148,Engine!$C$2:$C$1369,0)))</f>
        <v/>
      </c>
      <c r="M161" s="9">
        <f>IF(ISNA(MATCH(148,Engine!$C$2:$C$1369,0)),"",INDEX('Compliance Database'!$M$2:$M$1369,MATCH(148,Engine!$C$2:$C$1369,0)))</f>
        <v/>
      </c>
      <c r="N161" s="9">
        <f>IF(ISNA(MATCH(148,Engine!$C$2:$C$1369,0)),"",INDEX('Compliance Database'!$N$2:$N$1369,MATCH(148,Engine!$C$2:$C$1369,0)))</f>
        <v/>
      </c>
      <c r="O161" s="8">
        <f>IF(ISNA(MATCH(148,Engine!$C$2:$C$1369,0)),"",HYPERLINK(INDEX('Compliance Database'!$O$2:$O$1369,MATCH(148,Engine!$C$2:$C$1369,0)),"Open PDF"))</f>
        <v/>
      </c>
    </row>
    <row r="162" ht="188" customHeight="1">
      <c r="A162" s="8">
        <f>IF(ISNA(MATCH(149,Engine!$C$2:$C$1369,0)),"",INDEX('Compliance Database'!$A$2:$A$1369,MATCH(149,Engine!$C$2:$C$1369,0)))</f>
        <v/>
      </c>
      <c r="B162" s="8">
        <f>IF(ISNA(MATCH(149,Engine!$C$2:$C$1369,0)),"",INDEX('Compliance Database'!$B$2:$B$1369,MATCH(149,Engine!$C$2:$C$1369,0)))</f>
        <v/>
      </c>
      <c r="C162" s="8">
        <f>IF(ISNA(MATCH(149,Engine!$C$2:$C$1369,0)),"",INDEX('Compliance Database'!$C$2:$C$1369,MATCH(149,Engine!$C$2:$C$1369,0)))</f>
        <v/>
      </c>
      <c r="D162" s="9">
        <f>IF(ISNA(MATCH(149,Engine!$C$2:$C$1369,0)),"",INDEX('Compliance Database'!$D$2:$D$1369,MATCH(149,Engine!$C$2:$C$1369,0)))</f>
        <v/>
      </c>
      <c r="E162" s="8">
        <f>IF(ISNA(MATCH(149,Engine!$C$2:$C$1369,0)),"",INDEX('Compliance Database'!$E$2:$E$1369,MATCH(149,Engine!$C$2:$C$1369,0)))</f>
        <v/>
      </c>
      <c r="F162" s="8">
        <f>IF(ISNA(MATCH(149,Engine!$C$2:$C$1369,0)),"",INDEX('Compliance Database'!$F$2:$F$1369,MATCH(149,Engine!$C$2:$C$1369,0)))</f>
        <v/>
      </c>
      <c r="G162" s="8">
        <f>IF(ISNA(MATCH(149,Engine!$C$2:$C$1369,0)),"",INDEX('Compliance Database'!$G$2:$G$1369,MATCH(149,Engine!$C$2:$C$1369,0)))</f>
        <v/>
      </c>
      <c r="H162" s="9">
        <f>IF(ISNA(MATCH(149,Engine!$C$2:$C$1369,0)),"",INDEX('Compliance Database'!$H$2:$H$1369,MATCH(149,Engine!$C$2:$C$1369,0)))</f>
        <v/>
      </c>
      <c r="I162" s="9">
        <f>IF(ISNA(MATCH(149,Engine!$C$2:$C$1369,0)),"",INDEX('Compliance Database'!$I$2:$I$1369,MATCH(149,Engine!$C$2:$C$1369,0)))</f>
        <v/>
      </c>
      <c r="J162" s="8">
        <f>IF(ISNA(MATCH(149,Engine!$C$2:$C$1369,0)),"",INDEX('Compliance Database'!$J$2:$J$1369,MATCH(149,Engine!$C$2:$C$1369,0)))</f>
        <v/>
      </c>
      <c r="K162" s="9">
        <f>IF(ISNA(MATCH(149,Engine!$C$2:$C$1369,0)),"",INDEX('Compliance Database'!$K$2:$K$1369,MATCH(149,Engine!$C$2:$C$1369,0)))</f>
        <v/>
      </c>
      <c r="L162" s="9">
        <f>IF(ISNA(MATCH(149,Engine!$C$2:$C$1369,0)),"",INDEX('Compliance Database'!$L$2:$L$1369,MATCH(149,Engine!$C$2:$C$1369,0)))</f>
        <v/>
      </c>
      <c r="M162" s="9">
        <f>IF(ISNA(MATCH(149,Engine!$C$2:$C$1369,0)),"",INDEX('Compliance Database'!$M$2:$M$1369,MATCH(149,Engine!$C$2:$C$1369,0)))</f>
        <v/>
      </c>
      <c r="N162" s="9">
        <f>IF(ISNA(MATCH(149,Engine!$C$2:$C$1369,0)),"",INDEX('Compliance Database'!$N$2:$N$1369,MATCH(149,Engine!$C$2:$C$1369,0)))</f>
        <v/>
      </c>
      <c r="O162" s="8">
        <f>IF(ISNA(MATCH(149,Engine!$C$2:$C$1369,0)),"",HYPERLINK(INDEX('Compliance Database'!$O$2:$O$1369,MATCH(149,Engine!$C$2:$C$1369,0)),"Open PDF"))</f>
        <v/>
      </c>
    </row>
    <row r="163" ht="188" customHeight="1">
      <c r="A163" s="8">
        <f>IF(ISNA(MATCH(150,Engine!$C$2:$C$1369,0)),"",INDEX('Compliance Database'!$A$2:$A$1369,MATCH(150,Engine!$C$2:$C$1369,0)))</f>
        <v/>
      </c>
      <c r="B163" s="8">
        <f>IF(ISNA(MATCH(150,Engine!$C$2:$C$1369,0)),"",INDEX('Compliance Database'!$B$2:$B$1369,MATCH(150,Engine!$C$2:$C$1369,0)))</f>
        <v/>
      </c>
      <c r="C163" s="8">
        <f>IF(ISNA(MATCH(150,Engine!$C$2:$C$1369,0)),"",INDEX('Compliance Database'!$C$2:$C$1369,MATCH(150,Engine!$C$2:$C$1369,0)))</f>
        <v/>
      </c>
      <c r="D163" s="9">
        <f>IF(ISNA(MATCH(150,Engine!$C$2:$C$1369,0)),"",INDEX('Compliance Database'!$D$2:$D$1369,MATCH(150,Engine!$C$2:$C$1369,0)))</f>
        <v/>
      </c>
      <c r="E163" s="8">
        <f>IF(ISNA(MATCH(150,Engine!$C$2:$C$1369,0)),"",INDEX('Compliance Database'!$E$2:$E$1369,MATCH(150,Engine!$C$2:$C$1369,0)))</f>
        <v/>
      </c>
      <c r="F163" s="8">
        <f>IF(ISNA(MATCH(150,Engine!$C$2:$C$1369,0)),"",INDEX('Compliance Database'!$F$2:$F$1369,MATCH(150,Engine!$C$2:$C$1369,0)))</f>
        <v/>
      </c>
      <c r="G163" s="8">
        <f>IF(ISNA(MATCH(150,Engine!$C$2:$C$1369,0)),"",INDEX('Compliance Database'!$G$2:$G$1369,MATCH(150,Engine!$C$2:$C$1369,0)))</f>
        <v/>
      </c>
      <c r="H163" s="9">
        <f>IF(ISNA(MATCH(150,Engine!$C$2:$C$1369,0)),"",INDEX('Compliance Database'!$H$2:$H$1369,MATCH(150,Engine!$C$2:$C$1369,0)))</f>
        <v/>
      </c>
      <c r="I163" s="9">
        <f>IF(ISNA(MATCH(150,Engine!$C$2:$C$1369,0)),"",INDEX('Compliance Database'!$I$2:$I$1369,MATCH(150,Engine!$C$2:$C$1369,0)))</f>
        <v/>
      </c>
      <c r="J163" s="8">
        <f>IF(ISNA(MATCH(150,Engine!$C$2:$C$1369,0)),"",INDEX('Compliance Database'!$J$2:$J$1369,MATCH(150,Engine!$C$2:$C$1369,0)))</f>
        <v/>
      </c>
      <c r="K163" s="9">
        <f>IF(ISNA(MATCH(150,Engine!$C$2:$C$1369,0)),"",INDEX('Compliance Database'!$K$2:$K$1369,MATCH(150,Engine!$C$2:$C$1369,0)))</f>
        <v/>
      </c>
      <c r="L163" s="9">
        <f>IF(ISNA(MATCH(150,Engine!$C$2:$C$1369,0)),"",INDEX('Compliance Database'!$L$2:$L$1369,MATCH(150,Engine!$C$2:$C$1369,0)))</f>
        <v/>
      </c>
      <c r="M163" s="9">
        <f>IF(ISNA(MATCH(150,Engine!$C$2:$C$1369,0)),"",INDEX('Compliance Database'!$M$2:$M$1369,MATCH(150,Engine!$C$2:$C$1369,0)))</f>
        <v/>
      </c>
      <c r="N163" s="9">
        <f>IF(ISNA(MATCH(150,Engine!$C$2:$C$1369,0)),"",INDEX('Compliance Database'!$N$2:$N$1369,MATCH(150,Engine!$C$2:$C$1369,0)))</f>
        <v/>
      </c>
      <c r="O163" s="8">
        <f>IF(ISNA(MATCH(150,Engine!$C$2:$C$1369,0)),"",HYPERLINK(INDEX('Compliance Database'!$O$2:$O$1369,MATCH(150,Engine!$C$2:$C$1369,0)),"Open PDF"))</f>
        <v/>
      </c>
    </row>
    <row r="164" ht="188" customHeight="1">
      <c r="A164" s="8">
        <f>IF(ISNA(MATCH(151,Engine!$C$2:$C$1369,0)),"",INDEX('Compliance Database'!$A$2:$A$1369,MATCH(151,Engine!$C$2:$C$1369,0)))</f>
        <v/>
      </c>
      <c r="B164" s="8">
        <f>IF(ISNA(MATCH(151,Engine!$C$2:$C$1369,0)),"",INDEX('Compliance Database'!$B$2:$B$1369,MATCH(151,Engine!$C$2:$C$1369,0)))</f>
        <v/>
      </c>
      <c r="C164" s="8">
        <f>IF(ISNA(MATCH(151,Engine!$C$2:$C$1369,0)),"",INDEX('Compliance Database'!$C$2:$C$1369,MATCH(151,Engine!$C$2:$C$1369,0)))</f>
        <v/>
      </c>
      <c r="D164" s="9">
        <f>IF(ISNA(MATCH(151,Engine!$C$2:$C$1369,0)),"",INDEX('Compliance Database'!$D$2:$D$1369,MATCH(151,Engine!$C$2:$C$1369,0)))</f>
        <v/>
      </c>
      <c r="E164" s="8">
        <f>IF(ISNA(MATCH(151,Engine!$C$2:$C$1369,0)),"",INDEX('Compliance Database'!$E$2:$E$1369,MATCH(151,Engine!$C$2:$C$1369,0)))</f>
        <v/>
      </c>
      <c r="F164" s="8">
        <f>IF(ISNA(MATCH(151,Engine!$C$2:$C$1369,0)),"",INDEX('Compliance Database'!$F$2:$F$1369,MATCH(151,Engine!$C$2:$C$1369,0)))</f>
        <v/>
      </c>
      <c r="G164" s="8">
        <f>IF(ISNA(MATCH(151,Engine!$C$2:$C$1369,0)),"",INDEX('Compliance Database'!$G$2:$G$1369,MATCH(151,Engine!$C$2:$C$1369,0)))</f>
        <v/>
      </c>
      <c r="H164" s="9">
        <f>IF(ISNA(MATCH(151,Engine!$C$2:$C$1369,0)),"",INDEX('Compliance Database'!$H$2:$H$1369,MATCH(151,Engine!$C$2:$C$1369,0)))</f>
        <v/>
      </c>
      <c r="I164" s="9">
        <f>IF(ISNA(MATCH(151,Engine!$C$2:$C$1369,0)),"",INDEX('Compliance Database'!$I$2:$I$1369,MATCH(151,Engine!$C$2:$C$1369,0)))</f>
        <v/>
      </c>
      <c r="J164" s="8">
        <f>IF(ISNA(MATCH(151,Engine!$C$2:$C$1369,0)),"",INDEX('Compliance Database'!$J$2:$J$1369,MATCH(151,Engine!$C$2:$C$1369,0)))</f>
        <v/>
      </c>
      <c r="K164" s="9">
        <f>IF(ISNA(MATCH(151,Engine!$C$2:$C$1369,0)),"",INDEX('Compliance Database'!$K$2:$K$1369,MATCH(151,Engine!$C$2:$C$1369,0)))</f>
        <v/>
      </c>
      <c r="L164" s="9">
        <f>IF(ISNA(MATCH(151,Engine!$C$2:$C$1369,0)),"",INDEX('Compliance Database'!$L$2:$L$1369,MATCH(151,Engine!$C$2:$C$1369,0)))</f>
        <v/>
      </c>
      <c r="M164" s="9">
        <f>IF(ISNA(MATCH(151,Engine!$C$2:$C$1369,0)),"",INDEX('Compliance Database'!$M$2:$M$1369,MATCH(151,Engine!$C$2:$C$1369,0)))</f>
        <v/>
      </c>
      <c r="N164" s="9">
        <f>IF(ISNA(MATCH(151,Engine!$C$2:$C$1369,0)),"",INDEX('Compliance Database'!$N$2:$N$1369,MATCH(151,Engine!$C$2:$C$1369,0)))</f>
        <v/>
      </c>
      <c r="O164" s="8">
        <f>IF(ISNA(MATCH(151,Engine!$C$2:$C$1369,0)),"",HYPERLINK(INDEX('Compliance Database'!$O$2:$O$1369,MATCH(151,Engine!$C$2:$C$1369,0)),"Open PDF"))</f>
        <v/>
      </c>
    </row>
    <row r="165" ht="188" customHeight="1">
      <c r="A165" s="8">
        <f>IF(ISNA(MATCH(152,Engine!$C$2:$C$1369,0)),"",INDEX('Compliance Database'!$A$2:$A$1369,MATCH(152,Engine!$C$2:$C$1369,0)))</f>
        <v/>
      </c>
      <c r="B165" s="8">
        <f>IF(ISNA(MATCH(152,Engine!$C$2:$C$1369,0)),"",INDEX('Compliance Database'!$B$2:$B$1369,MATCH(152,Engine!$C$2:$C$1369,0)))</f>
        <v/>
      </c>
      <c r="C165" s="8">
        <f>IF(ISNA(MATCH(152,Engine!$C$2:$C$1369,0)),"",INDEX('Compliance Database'!$C$2:$C$1369,MATCH(152,Engine!$C$2:$C$1369,0)))</f>
        <v/>
      </c>
      <c r="D165" s="9">
        <f>IF(ISNA(MATCH(152,Engine!$C$2:$C$1369,0)),"",INDEX('Compliance Database'!$D$2:$D$1369,MATCH(152,Engine!$C$2:$C$1369,0)))</f>
        <v/>
      </c>
      <c r="E165" s="8">
        <f>IF(ISNA(MATCH(152,Engine!$C$2:$C$1369,0)),"",INDEX('Compliance Database'!$E$2:$E$1369,MATCH(152,Engine!$C$2:$C$1369,0)))</f>
        <v/>
      </c>
      <c r="F165" s="8">
        <f>IF(ISNA(MATCH(152,Engine!$C$2:$C$1369,0)),"",INDEX('Compliance Database'!$F$2:$F$1369,MATCH(152,Engine!$C$2:$C$1369,0)))</f>
        <v/>
      </c>
      <c r="G165" s="8">
        <f>IF(ISNA(MATCH(152,Engine!$C$2:$C$1369,0)),"",INDEX('Compliance Database'!$G$2:$G$1369,MATCH(152,Engine!$C$2:$C$1369,0)))</f>
        <v/>
      </c>
      <c r="H165" s="9">
        <f>IF(ISNA(MATCH(152,Engine!$C$2:$C$1369,0)),"",INDEX('Compliance Database'!$H$2:$H$1369,MATCH(152,Engine!$C$2:$C$1369,0)))</f>
        <v/>
      </c>
      <c r="I165" s="9">
        <f>IF(ISNA(MATCH(152,Engine!$C$2:$C$1369,0)),"",INDEX('Compliance Database'!$I$2:$I$1369,MATCH(152,Engine!$C$2:$C$1369,0)))</f>
        <v/>
      </c>
      <c r="J165" s="8">
        <f>IF(ISNA(MATCH(152,Engine!$C$2:$C$1369,0)),"",INDEX('Compliance Database'!$J$2:$J$1369,MATCH(152,Engine!$C$2:$C$1369,0)))</f>
        <v/>
      </c>
      <c r="K165" s="9">
        <f>IF(ISNA(MATCH(152,Engine!$C$2:$C$1369,0)),"",INDEX('Compliance Database'!$K$2:$K$1369,MATCH(152,Engine!$C$2:$C$1369,0)))</f>
        <v/>
      </c>
      <c r="L165" s="9">
        <f>IF(ISNA(MATCH(152,Engine!$C$2:$C$1369,0)),"",INDEX('Compliance Database'!$L$2:$L$1369,MATCH(152,Engine!$C$2:$C$1369,0)))</f>
        <v/>
      </c>
      <c r="M165" s="9">
        <f>IF(ISNA(MATCH(152,Engine!$C$2:$C$1369,0)),"",INDEX('Compliance Database'!$M$2:$M$1369,MATCH(152,Engine!$C$2:$C$1369,0)))</f>
        <v/>
      </c>
      <c r="N165" s="9">
        <f>IF(ISNA(MATCH(152,Engine!$C$2:$C$1369,0)),"",INDEX('Compliance Database'!$N$2:$N$1369,MATCH(152,Engine!$C$2:$C$1369,0)))</f>
        <v/>
      </c>
      <c r="O165" s="8">
        <f>IF(ISNA(MATCH(152,Engine!$C$2:$C$1369,0)),"",HYPERLINK(INDEX('Compliance Database'!$O$2:$O$1369,MATCH(152,Engine!$C$2:$C$1369,0)),"Open PDF"))</f>
        <v/>
      </c>
    </row>
    <row r="166" ht="188" customHeight="1">
      <c r="A166" s="8">
        <f>IF(ISNA(MATCH(153,Engine!$C$2:$C$1369,0)),"",INDEX('Compliance Database'!$A$2:$A$1369,MATCH(153,Engine!$C$2:$C$1369,0)))</f>
        <v/>
      </c>
      <c r="B166" s="8">
        <f>IF(ISNA(MATCH(153,Engine!$C$2:$C$1369,0)),"",INDEX('Compliance Database'!$B$2:$B$1369,MATCH(153,Engine!$C$2:$C$1369,0)))</f>
        <v/>
      </c>
      <c r="C166" s="8">
        <f>IF(ISNA(MATCH(153,Engine!$C$2:$C$1369,0)),"",INDEX('Compliance Database'!$C$2:$C$1369,MATCH(153,Engine!$C$2:$C$1369,0)))</f>
        <v/>
      </c>
      <c r="D166" s="9">
        <f>IF(ISNA(MATCH(153,Engine!$C$2:$C$1369,0)),"",INDEX('Compliance Database'!$D$2:$D$1369,MATCH(153,Engine!$C$2:$C$1369,0)))</f>
        <v/>
      </c>
      <c r="E166" s="8">
        <f>IF(ISNA(MATCH(153,Engine!$C$2:$C$1369,0)),"",INDEX('Compliance Database'!$E$2:$E$1369,MATCH(153,Engine!$C$2:$C$1369,0)))</f>
        <v/>
      </c>
      <c r="F166" s="8">
        <f>IF(ISNA(MATCH(153,Engine!$C$2:$C$1369,0)),"",INDEX('Compliance Database'!$F$2:$F$1369,MATCH(153,Engine!$C$2:$C$1369,0)))</f>
        <v/>
      </c>
      <c r="G166" s="8">
        <f>IF(ISNA(MATCH(153,Engine!$C$2:$C$1369,0)),"",INDEX('Compliance Database'!$G$2:$G$1369,MATCH(153,Engine!$C$2:$C$1369,0)))</f>
        <v/>
      </c>
      <c r="H166" s="9">
        <f>IF(ISNA(MATCH(153,Engine!$C$2:$C$1369,0)),"",INDEX('Compliance Database'!$H$2:$H$1369,MATCH(153,Engine!$C$2:$C$1369,0)))</f>
        <v/>
      </c>
      <c r="I166" s="9">
        <f>IF(ISNA(MATCH(153,Engine!$C$2:$C$1369,0)),"",INDEX('Compliance Database'!$I$2:$I$1369,MATCH(153,Engine!$C$2:$C$1369,0)))</f>
        <v/>
      </c>
      <c r="J166" s="8">
        <f>IF(ISNA(MATCH(153,Engine!$C$2:$C$1369,0)),"",INDEX('Compliance Database'!$J$2:$J$1369,MATCH(153,Engine!$C$2:$C$1369,0)))</f>
        <v/>
      </c>
      <c r="K166" s="9">
        <f>IF(ISNA(MATCH(153,Engine!$C$2:$C$1369,0)),"",INDEX('Compliance Database'!$K$2:$K$1369,MATCH(153,Engine!$C$2:$C$1369,0)))</f>
        <v/>
      </c>
      <c r="L166" s="9">
        <f>IF(ISNA(MATCH(153,Engine!$C$2:$C$1369,0)),"",INDEX('Compliance Database'!$L$2:$L$1369,MATCH(153,Engine!$C$2:$C$1369,0)))</f>
        <v/>
      </c>
      <c r="M166" s="9">
        <f>IF(ISNA(MATCH(153,Engine!$C$2:$C$1369,0)),"",INDEX('Compliance Database'!$M$2:$M$1369,MATCH(153,Engine!$C$2:$C$1369,0)))</f>
        <v/>
      </c>
      <c r="N166" s="9">
        <f>IF(ISNA(MATCH(153,Engine!$C$2:$C$1369,0)),"",INDEX('Compliance Database'!$N$2:$N$1369,MATCH(153,Engine!$C$2:$C$1369,0)))</f>
        <v/>
      </c>
      <c r="O166" s="8">
        <f>IF(ISNA(MATCH(153,Engine!$C$2:$C$1369,0)),"",HYPERLINK(INDEX('Compliance Database'!$O$2:$O$1369,MATCH(153,Engine!$C$2:$C$1369,0)),"Open PDF"))</f>
        <v/>
      </c>
    </row>
    <row r="167" ht="188" customHeight="1">
      <c r="A167" s="8">
        <f>IF(ISNA(MATCH(154,Engine!$C$2:$C$1369,0)),"",INDEX('Compliance Database'!$A$2:$A$1369,MATCH(154,Engine!$C$2:$C$1369,0)))</f>
        <v/>
      </c>
      <c r="B167" s="8">
        <f>IF(ISNA(MATCH(154,Engine!$C$2:$C$1369,0)),"",INDEX('Compliance Database'!$B$2:$B$1369,MATCH(154,Engine!$C$2:$C$1369,0)))</f>
        <v/>
      </c>
      <c r="C167" s="8">
        <f>IF(ISNA(MATCH(154,Engine!$C$2:$C$1369,0)),"",INDEX('Compliance Database'!$C$2:$C$1369,MATCH(154,Engine!$C$2:$C$1369,0)))</f>
        <v/>
      </c>
      <c r="D167" s="9">
        <f>IF(ISNA(MATCH(154,Engine!$C$2:$C$1369,0)),"",INDEX('Compliance Database'!$D$2:$D$1369,MATCH(154,Engine!$C$2:$C$1369,0)))</f>
        <v/>
      </c>
      <c r="E167" s="8">
        <f>IF(ISNA(MATCH(154,Engine!$C$2:$C$1369,0)),"",INDEX('Compliance Database'!$E$2:$E$1369,MATCH(154,Engine!$C$2:$C$1369,0)))</f>
        <v/>
      </c>
      <c r="F167" s="8">
        <f>IF(ISNA(MATCH(154,Engine!$C$2:$C$1369,0)),"",INDEX('Compliance Database'!$F$2:$F$1369,MATCH(154,Engine!$C$2:$C$1369,0)))</f>
        <v/>
      </c>
      <c r="G167" s="8">
        <f>IF(ISNA(MATCH(154,Engine!$C$2:$C$1369,0)),"",INDEX('Compliance Database'!$G$2:$G$1369,MATCH(154,Engine!$C$2:$C$1369,0)))</f>
        <v/>
      </c>
      <c r="H167" s="9">
        <f>IF(ISNA(MATCH(154,Engine!$C$2:$C$1369,0)),"",INDEX('Compliance Database'!$H$2:$H$1369,MATCH(154,Engine!$C$2:$C$1369,0)))</f>
        <v/>
      </c>
      <c r="I167" s="9">
        <f>IF(ISNA(MATCH(154,Engine!$C$2:$C$1369,0)),"",INDEX('Compliance Database'!$I$2:$I$1369,MATCH(154,Engine!$C$2:$C$1369,0)))</f>
        <v/>
      </c>
      <c r="J167" s="8">
        <f>IF(ISNA(MATCH(154,Engine!$C$2:$C$1369,0)),"",INDEX('Compliance Database'!$J$2:$J$1369,MATCH(154,Engine!$C$2:$C$1369,0)))</f>
        <v/>
      </c>
      <c r="K167" s="9">
        <f>IF(ISNA(MATCH(154,Engine!$C$2:$C$1369,0)),"",INDEX('Compliance Database'!$K$2:$K$1369,MATCH(154,Engine!$C$2:$C$1369,0)))</f>
        <v/>
      </c>
      <c r="L167" s="9">
        <f>IF(ISNA(MATCH(154,Engine!$C$2:$C$1369,0)),"",INDEX('Compliance Database'!$L$2:$L$1369,MATCH(154,Engine!$C$2:$C$1369,0)))</f>
        <v/>
      </c>
      <c r="M167" s="9">
        <f>IF(ISNA(MATCH(154,Engine!$C$2:$C$1369,0)),"",INDEX('Compliance Database'!$M$2:$M$1369,MATCH(154,Engine!$C$2:$C$1369,0)))</f>
        <v/>
      </c>
      <c r="N167" s="9">
        <f>IF(ISNA(MATCH(154,Engine!$C$2:$C$1369,0)),"",INDEX('Compliance Database'!$N$2:$N$1369,MATCH(154,Engine!$C$2:$C$1369,0)))</f>
        <v/>
      </c>
      <c r="O167" s="8">
        <f>IF(ISNA(MATCH(154,Engine!$C$2:$C$1369,0)),"",HYPERLINK(INDEX('Compliance Database'!$O$2:$O$1369,MATCH(154,Engine!$C$2:$C$1369,0)),"Open PDF"))</f>
        <v/>
      </c>
    </row>
    <row r="168" ht="188" customHeight="1">
      <c r="A168" s="8">
        <f>IF(ISNA(MATCH(155,Engine!$C$2:$C$1369,0)),"",INDEX('Compliance Database'!$A$2:$A$1369,MATCH(155,Engine!$C$2:$C$1369,0)))</f>
        <v/>
      </c>
      <c r="B168" s="8">
        <f>IF(ISNA(MATCH(155,Engine!$C$2:$C$1369,0)),"",INDEX('Compliance Database'!$B$2:$B$1369,MATCH(155,Engine!$C$2:$C$1369,0)))</f>
        <v/>
      </c>
      <c r="C168" s="8">
        <f>IF(ISNA(MATCH(155,Engine!$C$2:$C$1369,0)),"",INDEX('Compliance Database'!$C$2:$C$1369,MATCH(155,Engine!$C$2:$C$1369,0)))</f>
        <v/>
      </c>
      <c r="D168" s="9">
        <f>IF(ISNA(MATCH(155,Engine!$C$2:$C$1369,0)),"",INDEX('Compliance Database'!$D$2:$D$1369,MATCH(155,Engine!$C$2:$C$1369,0)))</f>
        <v/>
      </c>
      <c r="E168" s="8">
        <f>IF(ISNA(MATCH(155,Engine!$C$2:$C$1369,0)),"",INDEX('Compliance Database'!$E$2:$E$1369,MATCH(155,Engine!$C$2:$C$1369,0)))</f>
        <v/>
      </c>
      <c r="F168" s="8">
        <f>IF(ISNA(MATCH(155,Engine!$C$2:$C$1369,0)),"",INDEX('Compliance Database'!$F$2:$F$1369,MATCH(155,Engine!$C$2:$C$1369,0)))</f>
        <v/>
      </c>
      <c r="G168" s="8">
        <f>IF(ISNA(MATCH(155,Engine!$C$2:$C$1369,0)),"",INDEX('Compliance Database'!$G$2:$G$1369,MATCH(155,Engine!$C$2:$C$1369,0)))</f>
        <v/>
      </c>
      <c r="H168" s="9">
        <f>IF(ISNA(MATCH(155,Engine!$C$2:$C$1369,0)),"",INDEX('Compliance Database'!$H$2:$H$1369,MATCH(155,Engine!$C$2:$C$1369,0)))</f>
        <v/>
      </c>
      <c r="I168" s="9">
        <f>IF(ISNA(MATCH(155,Engine!$C$2:$C$1369,0)),"",INDEX('Compliance Database'!$I$2:$I$1369,MATCH(155,Engine!$C$2:$C$1369,0)))</f>
        <v/>
      </c>
      <c r="J168" s="8">
        <f>IF(ISNA(MATCH(155,Engine!$C$2:$C$1369,0)),"",INDEX('Compliance Database'!$J$2:$J$1369,MATCH(155,Engine!$C$2:$C$1369,0)))</f>
        <v/>
      </c>
      <c r="K168" s="9">
        <f>IF(ISNA(MATCH(155,Engine!$C$2:$C$1369,0)),"",INDEX('Compliance Database'!$K$2:$K$1369,MATCH(155,Engine!$C$2:$C$1369,0)))</f>
        <v/>
      </c>
      <c r="L168" s="9">
        <f>IF(ISNA(MATCH(155,Engine!$C$2:$C$1369,0)),"",INDEX('Compliance Database'!$L$2:$L$1369,MATCH(155,Engine!$C$2:$C$1369,0)))</f>
        <v/>
      </c>
      <c r="M168" s="9">
        <f>IF(ISNA(MATCH(155,Engine!$C$2:$C$1369,0)),"",INDEX('Compliance Database'!$M$2:$M$1369,MATCH(155,Engine!$C$2:$C$1369,0)))</f>
        <v/>
      </c>
      <c r="N168" s="9">
        <f>IF(ISNA(MATCH(155,Engine!$C$2:$C$1369,0)),"",INDEX('Compliance Database'!$N$2:$N$1369,MATCH(155,Engine!$C$2:$C$1369,0)))</f>
        <v/>
      </c>
      <c r="O168" s="8">
        <f>IF(ISNA(MATCH(155,Engine!$C$2:$C$1369,0)),"",HYPERLINK(INDEX('Compliance Database'!$O$2:$O$1369,MATCH(155,Engine!$C$2:$C$1369,0)),"Open PDF"))</f>
        <v/>
      </c>
    </row>
    <row r="169" ht="188" customHeight="1">
      <c r="A169" s="8">
        <f>IF(ISNA(MATCH(156,Engine!$C$2:$C$1369,0)),"",INDEX('Compliance Database'!$A$2:$A$1369,MATCH(156,Engine!$C$2:$C$1369,0)))</f>
        <v/>
      </c>
      <c r="B169" s="8">
        <f>IF(ISNA(MATCH(156,Engine!$C$2:$C$1369,0)),"",INDEX('Compliance Database'!$B$2:$B$1369,MATCH(156,Engine!$C$2:$C$1369,0)))</f>
        <v/>
      </c>
      <c r="C169" s="8">
        <f>IF(ISNA(MATCH(156,Engine!$C$2:$C$1369,0)),"",INDEX('Compliance Database'!$C$2:$C$1369,MATCH(156,Engine!$C$2:$C$1369,0)))</f>
        <v/>
      </c>
      <c r="D169" s="9">
        <f>IF(ISNA(MATCH(156,Engine!$C$2:$C$1369,0)),"",INDEX('Compliance Database'!$D$2:$D$1369,MATCH(156,Engine!$C$2:$C$1369,0)))</f>
        <v/>
      </c>
      <c r="E169" s="8">
        <f>IF(ISNA(MATCH(156,Engine!$C$2:$C$1369,0)),"",INDEX('Compliance Database'!$E$2:$E$1369,MATCH(156,Engine!$C$2:$C$1369,0)))</f>
        <v/>
      </c>
      <c r="F169" s="8">
        <f>IF(ISNA(MATCH(156,Engine!$C$2:$C$1369,0)),"",INDEX('Compliance Database'!$F$2:$F$1369,MATCH(156,Engine!$C$2:$C$1369,0)))</f>
        <v/>
      </c>
      <c r="G169" s="8">
        <f>IF(ISNA(MATCH(156,Engine!$C$2:$C$1369,0)),"",INDEX('Compliance Database'!$G$2:$G$1369,MATCH(156,Engine!$C$2:$C$1369,0)))</f>
        <v/>
      </c>
      <c r="H169" s="9">
        <f>IF(ISNA(MATCH(156,Engine!$C$2:$C$1369,0)),"",INDEX('Compliance Database'!$H$2:$H$1369,MATCH(156,Engine!$C$2:$C$1369,0)))</f>
        <v/>
      </c>
      <c r="I169" s="9">
        <f>IF(ISNA(MATCH(156,Engine!$C$2:$C$1369,0)),"",INDEX('Compliance Database'!$I$2:$I$1369,MATCH(156,Engine!$C$2:$C$1369,0)))</f>
        <v/>
      </c>
      <c r="J169" s="8">
        <f>IF(ISNA(MATCH(156,Engine!$C$2:$C$1369,0)),"",INDEX('Compliance Database'!$J$2:$J$1369,MATCH(156,Engine!$C$2:$C$1369,0)))</f>
        <v/>
      </c>
      <c r="K169" s="9">
        <f>IF(ISNA(MATCH(156,Engine!$C$2:$C$1369,0)),"",INDEX('Compliance Database'!$K$2:$K$1369,MATCH(156,Engine!$C$2:$C$1369,0)))</f>
        <v/>
      </c>
      <c r="L169" s="9">
        <f>IF(ISNA(MATCH(156,Engine!$C$2:$C$1369,0)),"",INDEX('Compliance Database'!$L$2:$L$1369,MATCH(156,Engine!$C$2:$C$1369,0)))</f>
        <v/>
      </c>
      <c r="M169" s="9">
        <f>IF(ISNA(MATCH(156,Engine!$C$2:$C$1369,0)),"",INDEX('Compliance Database'!$M$2:$M$1369,MATCH(156,Engine!$C$2:$C$1369,0)))</f>
        <v/>
      </c>
      <c r="N169" s="9">
        <f>IF(ISNA(MATCH(156,Engine!$C$2:$C$1369,0)),"",INDEX('Compliance Database'!$N$2:$N$1369,MATCH(156,Engine!$C$2:$C$1369,0)))</f>
        <v/>
      </c>
      <c r="O169" s="8">
        <f>IF(ISNA(MATCH(156,Engine!$C$2:$C$1369,0)),"",HYPERLINK(INDEX('Compliance Database'!$O$2:$O$1369,MATCH(156,Engine!$C$2:$C$1369,0)),"Open PDF"))</f>
        <v/>
      </c>
    </row>
    <row r="170" ht="188" customHeight="1">
      <c r="A170" s="8">
        <f>IF(ISNA(MATCH(157,Engine!$C$2:$C$1369,0)),"",INDEX('Compliance Database'!$A$2:$A$1369,MATCH(157,Engine!$C$2:$C$1369,0)))</f>
        <v/>
      </c>
      <c r="B170" s="8">
        <f>IF(ISNA(MATCH(157,Engine!$C$2:$C$1369,0)),"",INDEX('Compliance Database'!$B$2:$B$1369,MATCH(157,Engine!$C$2:$C$1369,0)))</f>
        <v/>
      </c>
      <c r="C170" s="8">
        <f>IF(ISNA(MATCH(157,Engine!$C$2:$C$1369,0)),"",INDEX('Compliance Database'!$C$2:$C$1369,MATCH(157,Engine!$C$2:$C$1369,0)))</f>
        <v/>
      </c>
      <c r="D170" s="9">
        <f>IF(ISNA(MATCH(157,Engine!$C$2:$C$1369,0)),"",INDEX('Compliance Database'!$D$2:$D$1369,MATCH(157,Engine!$C$2:$C$1369,0)))</f>
        <v/>
      </c>
      <c r="E170" s="8">
        <f>IF(ISNA(MATCH(157,Engine!$C$2:$C$1369,0)),"",INDEX('Compliance Database'!$E$2:$E$1369,MATCH(157,Engine!$C$2:$C$1369,0)))</f>
        <v/>
      </c>
      <c r="F170" s="8">
        <f>IF(ISNA(MATCH(157,Engine!$C$2:$C$1369,0)),"",INDEX('Compliance Database'!$F$2:$F$1369,MATCH(157,Engine!$C$2:$C$1369,0)))</f>
        <v/>
      </c>
      <c r="G170" s="8">
        <f>IF(ISNA(MATCH(157,Engine!$C$2:$C$1369,0)),"",INDEX('Compliance Database'!$G$2:$G$1369,MATCH(157,Engine!$C$2:$C$1369,0)))</f>
        <v/>
      </c>
      <c r="H170" s="9">
        <f>IF(ISNA(MATCH(157,Engine!$C$2:$C$1369,0)),"",INDEX('Compliance Database'!$H$2:$H$1369,MATCH(157,Engine!$C$2:$C$1369,0)))</f>
        <v/>
      </c>
      <c r="I170" s="9">
        <f>IF(ISNA(MATCH(157,Engine!$C$2:$C$1369,0)),"",INDEX('Compliance Database'!$I$2:$I$1369,MATCH(157,Engine!$C$2:$C$1369,0)))</f>
        <v/>
      </c>
      <c r="J170" s="8">
        <f>IF(ISNA(MATCH(157,Engine!$C$2:$C$1369,0)),"",INDEX('Compliance Database'!$J$2:$J$1369,MATCH(157,Engine!$C$2:$C$1369,0)))</f>
        <v/>
      </c>
      <c r="K170" s="9">
        <f>IF(ISNA(MATCH(157,Engine!$C$2:$C$1369,0)),"",INDEX('Compliance Database'!$K$2:$K$1369,MATCH(157,Engine!$C$2:$C$1369,0)))</f>
        <v/>
      </c>
      <c r="L170" s="9">
        <f>IF(ISNA(MATCH(157,Engine!$C$2:$C$1369,0)),"",INDEX('Compliance Database'!$L$2:$L$1369,MATCH(157,Engine!$C$2:$C$1369,0)))</f>
        <v/>
      </c>
      <c r="M170" s="9">
        <f>IF(ISNA(MATCH(157,Engine!$C$2:$C$1369,0)),"",INDEX('Compliance Database'!$M$2:$M$1369,MATCH(157,Engine!$C$2:$C$1369,0)))</f>
        <v/>
      </c>
      <c r="N170" s="9">
        <f>IF(ISNA(MATCH(157,Engine!$C$2:$C$1369,0)),"",INDEX('Compliance Database'!$N$2:$N$1369,MATCH(157,Engine!$C$2:$C$1369,0)))</f>
        <v/>
      </c>
      <c r="O170" s="8">
        <f>IF(ISNA(MATCH(157,Engine!$C$2:$C$1369,0)),"",HYPERLINK(INDEX('Compliance Database'!$O$2:$O$1369,MATCH(157,Engine!$C$2:$C$1369,0)),"Open PDF"))</f>
        <v/>
      </c>
    </row>
    <row r="171" ht="188" customHeight="1">
      <c r="A171" s="8">
        <f>IF(ISNA(MATCH(158,Engine!$C$2:$C$1369,0)),"",INDEX('Compliance Database'!$A$2:$A$1369,MATCH(158,Engine!$C$2:$C$1369,0)))</f>
        <v/>
      </c>
      <c r="B171" s="8">
        <f>IF(ISNA(MATCH(158,Engine!$C$2:$C$1369,0)),"",INDEX('Compliance Database'!$B$2:$B$1369,MATCH(158,Engine!$C$2:$C$1369,0)))</f>
        <v/>
      </c>
      <c r="C171" s="8">
        <f>IF(ISNA(MATCH(158,Engine!$C$2:$C$1369,0)),"",INDEX('Compliance Database'!$C$2:$C$1369,MATCH(158,Engine!$C$2:$C$1369,0)))</f>
        <v/>
      </c>
      <c r="D171" s="9">
        <f>IF(ISNA(MATCH(158,Engine!$C$2:$C$1369,0)),"",INDEX('Compliance Database'!$D$2:$D$1369,MATCH(158,Engine!$C$2:$C$1369,0)))</f>
        <v/>
      </c>
      <c r="E171" s="8">
        <f>IF(ISNA(MATCH(158,Engine!$C$2:$C$1369,0)),"",INDEX('Compliance Database'!$E$2:$E$1369,MATCH(158,Engine!$C$2:$C$1369,0)))</f>
        <v/>
      </c>
      <c r="F171" s="8">
        <f>IF(ISNA(MATCH(158,Engine!$C$2:$C$1369,0)),"",INDEX('Compliance Database'!$F$2:$F$1369,MATCH(158,Engine!$C$2:$C$1369,0)))</f>
        <v/>
      </c>
      <c r="G171" s="8">
        <f>IF(ISNA(MATCH(158,Engine!$C$2:$C$1369,0)),"",INDEX('Compliance Database'!$G$2:$G$1369,MATCH(158,Engine!$C$2:$C$1369,0)))</f>
        <v/>
      </c>
      <c r="H171" s="9">
        <f>IF(ISNA(MATCH(158,Engine!$C$2:$C$1369,0)),"",INDEX('Compliance Database'!$H$2:$H$1369,MATCH(158,Engine!$C$2:$C$1369,0)))</f>
        <v/>
      </c>
      <c r="I171" s="9">
        <f>IF(ISNA(MATCH(158,Engine!$C$2:$C$1369,0)),"",INDEX('Compliance Database'!$I$2:$I$1369,MATCH(158,Engine!$C$2:$C$1369,0)))</f>
        <v/>
      </c>
      <c r="J171" s="8">
        <f>IF(ISNA(MATCH(158,Engine!$C$2:$C$1369,0)),"",INDEX('Compliance Database'!$J$2:$J$1369,MATCH(158,Engine!$C$2:$C$1369,0)))</f>
        <v/>
      </c>
      <c r="K171" s="9">
        <f>IF(ISNA(MATCH(158,Engine!$C$2:$C$1369,0)),"",INDEX('Compliance Database'!$K$2:$K$1369,MATCH(158,Engine!$C$2:$C$1369,0)))</f>
        <v/>
      </c>
      <c r="L171" s="9">
        <f>IF(ISNA(MATCH(158,Engine!$C$2:$C$1369,0)),"",INDEX('Compliance Database'!$L$2:$L$1369,MATCH(158,Engine!$C$2:$C$1369,0)))</f>
        <v/>
      </c>
      <c r="M171" s="9">
        <f>IF(ISNA(MATCH(158,Engine!$C$2:$C$1369,0)),"",INDEX('Compliance Database'!$M$2:$M$1369,MATCH(158,Engine!$C$2:$C$1369,0)))</f>
        <v/>
      </c>
      <c r="N171" s="9">
        <f>IF(ISNA(MATCH(158,Engine!$C$2:$C$1369,0)),"",INDEX('Compliance Database'!$N$2:$N$1369,MATCH(158,Engine!$C$2:$C$1369,0)))</f>
        <v/>
      </c>
      <c r="O171" s="8">
        <f>IF(ISNA(MATCH(158,Engine!$C$2:$C$1369,0)),"",HYPERLINK(INDEX('Compliance Database'!$O$2:$O$1369,MATCH(158,Engine!$C$2:$C$1369,0)),"Open PDF"))</f>
        <v/>
      </c>
    </row>
    <row r="172" ht="188" customHeight="1">
      <c r="A172" s="8">
        <f>IF(ISNA(MATCH(159,Engine!$C$2:$C$1369,0)),"",INDEX('Compliance Database'!$A$2:$A$1369,MATCH(159,Engine!$C$2:$C$1369,0)))</f>
        <v/>
      </c>
      <c r="B172" s="8">
        <f>IF(ISNA(MATCH(159,Engine!$C$2:$C$1369,0)),"",INDEX('Compliance Database'!$B$2:$B$1369,MATCH(159,Engine!$C$2:$C$1369,0)))</f>
        <v/>
      </c>
      <c r="C172" s="8">
        <f>IF(ISNA(MATCH(159,Engine!$C$2:$C$1369,0)),"",INDEX('Compliance Database'!$C$2:$C$1369,MATCH(159,Engine!$C$2:$C$1369,0)))</f>
        <v/>
      </c>
      <c r="D172" s="9">
        <f>IF(ISNA(MATCH(159,Engine!$C$2:$C$1369,0)),"",INDEX('Compliance Database'!$D$2:$D$1369,MATCH(159,Engine!$C$2:$C$1369,0)))</f>
        <v/>
      </c>
      <c r="E172" s="8">
        <f>IF(ISNA(MATCH(159,Engine!$C$2:$C$1369,0)),"",INDEX('Compliance Database'!$E$2:$E$1369,MATCH(159,Engine!$C$2:$C$1369,0)))</f>
        <v/>
      </c>
      <c r="F172" s="8">
        <f>IF(ISNA(MATCH(159,Engine!$C$2:$C$1369,0)),"",INDEX('Compliance Database'!$F$2:$F$1369,MATCH(159,Engine!$C$2:$C$1369,0)))</f>
        <v/>
      </c>
      <c r="G172" s="8">
        <f>IF(ISNA(MATCH(159,Engine!$C$2:$C$1369,0)),"",INDEX('Compliance Database'!$G$2:$G$1369,MATCH(159,Engine!$C$2:$C$1369,0)))</f>
        <v/>
      </c>
      <c r="H172" s="9">
        <f>IF(ISNA(MATCH(159,Engine!$C$2:$C$1369,0)),"",INDEX('Compliance Database'!$H$2:$H$1369,MATCH(159,Engine!$C$2:$C$1369,0)))</f>
        <v/>
      </c>
      <c r="I172" s="9">
        <f>IF(ISNA(MATCH(159,Engine!$C$2:$C$1369,0)),"",INDEX('Compliance Database'!$I$2:$I$1369,MATCH(159,Engine!$C$2:$C$1369,0)))</f>
        <v/>
      </c>
      <c r="J172" s="8">
        <f>IF(ISNA(MATCH(159,Engine!$C$2:$C$1369,0)),"",INDEX('Compliance Database'!$J$2:$J$1369,MATCH(159,Engine!$C$2:$C$1369,0)))</f>
        <v/>
      </c>
      <c r="K172" s="9">
        <f>IF(ISNA(MATCH(159,Engine!$C$2:$C$1369,0)),"",INDEX('Compliance Database'!$K$2:$K$1369,MATCH(159,Engine!$C$2:$C$1369,0)))</f>
        <v/>
      </c>
      <c r="L172" s="9">
        <f>IF(ISNA(MATCH(159,Engine!$C$2:$C$1369,0)),"",INDEX('Compliance Database'!$L$2:$L$1369,MATCH(159,Engine!$C$2:$C$1369,0)))</f>
        <v/>
      </c>
      <c r="M172" s="9">
        <f>IF(ISNA(MATCH(159,Engine!$C$2:$C$1369,0)),"",INDEX('Compliance Database'!$M$2:$M$1369,MATCH(159,Engine!$C$2:$C$1369,0)))</f>
        <v/>
      </c>
      <c r="N172" s="9">
        <f>IF(ISNA(MATCH(159,Engine!$C$2:$C$1369,0)),"",INDEX('Compliance Database'!$N$2:$N$1369,MATCH(159,Engine!$C$2:$C$1369,0)))</f>
        <v/>
      </c>
      <c r="O172" s="8">
        <f>IF(ISNA(MATCH(159,Engine!$C$2:$C$1369,0)),"",HYPERLINK(INDEX('Compliance Database'!$O$2:$O$1369,MATCH(159,Engine!$C$2:$C$1369,0)),"Open PDF"))</f>
        <v/>
      </c>
    </row>
    <row r="173" ht="188" customHeight="1">
      <c r="A173" s="8">
        <f>IF(ISNA(MATCH(160,Engine!$C$2:$C$1369,0)),"",INDEX('Compliance Database'!$A$2:$A$1369,MATCH(160,Engine!$C$2:$C$1369,0)))</f>
        <v/>
      </c>
      <c r="B173" s="8">
        <f>IF(ISNA(MATCH(160,Engine!$C$2:$C$1369,0)),"",INDEX('Compliance Database'!$B$2:$B$1369,MATCH(160,Engine!$C$2:$C$1369,0)))</f>
        <v/>
      </c>
      <c r="C173" s="8">
        <f>IF(ISNA(MATCH(160,Engine!$C$2:$C$1369,0)),"",INDEX('Compliance Database'!$C$2:$C$1369,MATCH(160,Engine!$C$2:$C$1369,0)))</f>
        <v/>
      </c>
      <c r="D173" s="9">
        <f>IF(ISNA(MATCH(160,Engine!$C$2:$C$1369,0)),"",INDEX('Compliance Database'!$D$2:$D$1369,MATCH(160,Engine!$C$2:$C$1369,0)))</f>
        <v/>
      </c>
      <c r="E173" s="8">
        <f>IF(ISNA(MATCH(160,Engine!$C$2:$C$1369,0)),"",INDEX('Compliance Database'!$E$2:$E$1369,MATCH(160,Engine!$C$2:$C$1369,0)))</f>
        <v/>
      </c>
      <c r="F173" s="8">
        <f>IF(ISNA(MATCH(160,Engine!$C$2:$C$1369,0)),"",INDEX('Compliance Database'!$F$2:$F$1369,MATCH(160,Engine!$C$2:$C$1369,0)))</f>
        <v/>
      </c>
      <c r="G173" s="8">
        <f>IF(ISNA(MATCH(160,Engine!$C$2:$C$1369,0)),"",INDEX('Compliance Database'!$G$2:$G$1369,MATCH(160,Engine!$C$2:$C$1369,0)))</f>
        <v/>
      </c>
      <c r="H173" s="9">
        <f>IF(ISNA(MATCH(160,Engine!$C$2:$C$1369,0)),"",INDEX('Compliance Database'!$H$2:$H$1369,MATCH(160,Engine!$C$2:$C$1369,0)))</f>
        <v/>
      </c>
      <c r="I173" s="9">
        <f>IF(ISNA(MATCH(160,Engine!$C$2:$C$1369,0)),"",INDEX('Compliance Database'!$I$2:$I$1369,MATCH(160,Engine!$C$2:$C$1369,0)))</f>
        <v/>
      </c>
      <c r="J173" s="8">
        <f>IF(ISNA(MATCH(160,Engine!$C$2:$C$1369,0)),"",INDEX('Compliance Database'!$J$2:$J$1369,MATCH(160,Engine!$C$2:$C$1369,0)))</f>
        <v/>
      </c>
      <c r="K173" s="9">
        <f>IF(ISNA(MATCH(160,Engine!$C$2:$C$1369,0)),"",INDEX('Compliance Database'!$K$2:$K$1369,MATCH(160,Engine!$C$2:$C$1369,0)))</f>
        <v/>
      </c>
      <c r="L173" s="9">
        <f>IF(ISNA(MATCH(160,Engine!$C$2:$C$1369,0)),"",INDEX('Compliance Database'!$L$2:$L$1369,MATCH(160,Engine!$C$2:$C$1369,0)))</f>
        <v/>
      </c>
      <c r="M173" s="9">
        <f>IF(ISNA(MATCH(160,Engine!$C$2:$C$1369,0)),"",INDEX('Compliance Database'!$M$2:$M$1369,MATCH(160,Engine!$C$2:$C$1369,0)))</f>
        <v/>
      </c>
      <c r="N173" s="9">
        <f>IF(ISNA(MATCH(160,Engine!$C$2:$C$1369,0)),"",INDEX('Compliance Database'!$N$2:$N$1369,MATCH(160,Engine!$C$2:$C$1369,0)))</f>
        <v/>
      </c>
      <c r="O173" s="8">
        <f>IF(ISNA(MATCH(160,Engine!$C$2:$C$1369,0)),"",HYPERLINK(INDEX('Compliance Database'!$O$2:$O$1369,MATCH(160,Engine!$C$2:$C$1369,0)),"Open PDF"))</f>
        <v/>
      </c>
    </row>
    <row r="174" ht="188" customHeight="1">
      <c r="A174" s="8">
        <f>IF(ISNA(MATCH(161,Engine!$C$2:$C$1369,0)),"",INDEX('Compliance Database'!$A$2:$A$1369,MATCH(161,Engine!$C$2:$C$1369,0)))</f>
        <v/>
      </c>
      <c r="B174" s="8">
        <f>IF(ISNA(MATCH(161,Engine!$C$2:$C$1369,0)),"",INDEX('Compliance Database'!$B$2:$B$1369,MATCH(161,Engine!$C$2:$C$1369,0)))</f>
        <v/>
      </c>
      <c r="C174" s="8">
        <f>IF(ISNA(MATCH(161,Engine!$C$2:$C$1369,0)),"",INDEX('Compliance Database'!$C$2:$C$1369,MATCH(161,Engine!$C$2:$C$1369,0)))</f>
        <v/>
      </c>
      <c r="D174" s="9">
        <f>IF(ISNA(MATCH(161,Engine!$C$2:$C$1369,0)),"",INDEX('Compliance Database'!$D$2:$D$1369,MATCH(161,Engine!$C$2:$C$1369,0)))</f>
        <v/>
      </c>
      <c r="E174" s="8">
        <f>IF(ISNA(MATCH(161,Engine!$C$2:$C$1369,0)),"",INDEX('Compliance Database'!$E$2:$E$1369,MATCH(161,Engine!$C$2:$C$1369,0)))</f>
        <v/>
      </c>
      <c r="F174" s="8">
        <f>IF(ISNA(MATCH(161,Engine!$C$2:$C$1369,0)),"",INDEX('Compliance Database'!$F$2:$F$1369,MATCH(161,Engine!$C$2:$C$1369,0)))</f>
        <v/>
      </c>
      <c r="G174" s="8">
        <f>IF(ISNA(MATCH(161,Engine!$C$2:$C$1369,0)),"",INDEX('Compliance Database'!$G$2:$G$1369,MATCH(161,Engine!$C$2:$C$1369,0)))</f>
        <v/>
      </c>
      <c r="H174" s="9">
        <f>IF(ISNA(MATCH(161,Engine!$C$2:$C$1369,0)),"",INDEX('Compliance Database'!$H$2:$H$1369,MATCH(161,Engine!$C$2:$C$1369,0)))</f>
        <v/>
      </c>
      <c r="I174" s="9">
        <f>IF(ISNA(MATCH(161,Engine!$C$2:$C$1369,0)),"",INDEX('Compliance Database'!$I$2:$I$1369,MATCH(161,Engine!$C$2:$C$1369,0)))</f>
        <v/>
      </c>
      <c r="J174" s="8">
        <f>IF(ISNA(MATCH(161,Engine!$C$2:$C$1369,0)),"",INDEX('Compliance Database'!$J$2:$J$1369,MATCH(161,Engine!$C$2:$C$1369,0)))</f>
        <v/>
      </c>
      <c r="K174" s="9">
        <f>IF(ISNA(MATCH(161,Engine!$C$2:$C$1369,0)),"",INDEX('Compliance Database'!$K$2:$K$1369,MATCH(161,Engine!$C$2:$C$1369,0)))</f>
        <v/>
      </c>
      <c r="L174" s="9">
        <f>IF(ISNA(MATCH(161,Engine!$C$2:$C$1369,0)),"",INDEX('Compliance Database'!$L$2:$L$1369,MATCH(161,Engine!$C$2:$C$1369,0)))</f>
        <v/>
      </c>
      <c r="M174" s="9">
        <f>IF(ISNA(MATCH(161,Engine!$C$2:$C$1369,0)),"",INDEX('Compliance Database'!$M$2:$M$1369,MATCH(161,Engine!$C$2:$C$1369,0)))</f>
        <v/>
      </c>
      <c r="N174" s="9">
        <f>IF(ISNA(MATCH(161,Engine!$C$2:$C$1369,0)),"",INDEX('Compliance Database'!$N$2:$N$1369,MATCH(161,Engine!$C$2:$C$1369,0)))</f>
        <v/>
      </c>
      <c r="O174" s="8">
        <f>IF(ISNA(MATCH(161,Engine!$C$2:$C$1369,0)),"",HYPERLINK(INDEX('Compliance Database'!$O$2:$O$1369,MATCH(161,Engine!$C$2:$C$1369,0)),"Open PDF"))</f>
        <v/>
      </c>
    </row>
    <row r="175" ht="188" customHeight="1">
      <c r="A175" s="8">
        <f>IF(ISNA(MATCH(162,Engine!$C$2:$C$1369,0)),"",INDEX('Compliance Database'!$A$2:$A$1369,MATCH(162,Engine!$C$2:$C$1369,0)))</f>
        <v/>
      </c>
      <c r="B175" s="8">
        <f>IF(ISNA(MATCH(162,Engine!$C$2:$C$1369,0)),"",INDEX('Compliance Database'!$B$2:$B$1369,MATCH(162,Engine!$C$2:$C$1369,0)))</f>
        <v/>
      </c>
      <c r="C175" s="8">
        <f>IF(ISNA(MATCH(162,Engine!$C$2:$C$1369,0)),"",INDEX('Compliance Database'!$C$2:$C$1369,MATCH(162,Engine!$C$2:$C$1369,0)))</f>
        <v/>
      </c>
      <c r="D175" s="9">
        <f>IF(ISNA(MATCH(162,Engine!$C$2:$C$1369,0)),"",INDEX('Compliance Database'!$D$2:$D$1369,MATCH(162,Engine!$C$2:$C$1369,0)))</f>
        <v/>
      </c>
      <c r="E175" s="8">
        <f>IF(ISNA(MATCH(162,Engine!$C$2:$C$1369,0)),"",INDEX('Compliance Database'!$E$2:$E$1369,MATCH(162,Engine!$C$2:$C$1369,0)))</f>
        <v/>
      </c>
      <c r="F175" s="8">
        <f>IF(ISNA(MATCH(162,Engine!$C$2:$C$1369,0)),"",INDEX('Compliance Database'!$F$2:$F$1369,MATCH(162,Engine!$C$2:$C$1369,0)))</f>
        <v/>
      </c>
      <c r="G175" s="8">
        <f>IF(ISNA(MATCH(162,Engine!$C$2:$C$1369,0)),"",INDEX('Compliance Database'!$G$2:$G$1369,MATCH(162,Engine!$C$2:$C$1369,0)))</f>
        <v/>
      </c>
      <c r="H175" s="9">
        <f>IF(ISNA(MATCH(162,Engine!$C$2:$C$1369,0)),"",INDEX('Compliance Database'!$H$2:$H$1369,MATCH(162,Engine!$C$2:$C$1369,0)))</f>
        <v/>
      </c>
      <c r="I175" s="9">
        <f>IF(ISNA(MATCH(162,Engine!$C$2:$C$1369,0)),"",INDEX('Compliance Database'!$I$2:$I$1369,MATCH(162,Engine!$C$2:$C$1369,0)))</f>
        <v/>
      </c>
      <c r="J175" s="8">
        <f>IF(ISNA(MATCH(162,Engine!$C$2:$C$1369,0)),"",INDEX('Compliance Database'!$J$2:$J$1369,MATCH(162,Engine!$C$2:$C$1369,0)))</f>
        <v/>
      </c>
      <c r="K175" s="9">
        <f>IF(ISNA(MATCH(162,Engine!$C$2:$C$1369,0)),"",INDEX('Compliance Database'!$K$2:$K$1369,MATCH(162,Engine!$C$2:$C$1369,0)))</f>
        <v/>
      </c>
      <c r="L175" s="9">
        <f>IF(ISNA(MATCH(162,Engine!$C$2:$C$1369,0)),"",INDEX('Compliance Database'!$L$2:$L$1369,MATCH(162,Engine!$C$2:$C$1369,0)))</f>
        <v/>
      </c>
      <c r="M175" s="9">
        <f>IF(ISNA(MATCH(162,Engine!$C$2:$C$1369,0)),"",INDEX('Compliance Database'!$M$2:$M$1369,MATCH(162,Engine!$C$2:$C$1369,0)))</f>
        <v/>
      </c>
      <c r="N175" s="9">
        <f>IF(ISNA(MATCH(162,Engine!$C$2:$C$1369,0)),"",INDEX('Compliance Database'!$N$2:$N$1369,MATCH(162,Engine!$C$2:$C$1369,0)))</f>
        <v/>
      </c>
      <c r="O175" s="8">
        <f>IF(ISNA(MATCH(162,Engine!$C$2:$C$1369,0)),"",HYPERLINK(INDEX('Compliance Database'!$O$2:$O$1369,MATCH(162,Engine!$C$2:$C$1369,0)),"Open PDF"))</f>
        <v/>
      </c>
    </row>
    <row r="176" ht="188" customHeight="1">
      <c r="A176" s="8">
        <f>IF(ISNA(MATCH(163,Engine!$C$2:$C$1369,0)),"",INDEX('Compliance Database'!$A$2:$A$1369,MATCH(163,Engine!$C$2:$C$1369,0)))</f>
        <v/>
      </c>
      <c r="B176" s="8">
        <f>IF(ISNA(MATCH(163,Engine!$C$2:$C$1369,0)),"",INDEX('Compliance Database'!$B$2:$B$1369,MATCH(163,Engine!$C$2:$C$1369,0)))</f>
        <v/>
      </c>
      <c r="C176" s="8">
        <f>IF(ISNA(MATCH(163,Engine!$C$2:$C$1369,0)),"",INDEX('Compliance Database'!$C$2:$C$1369,MATCH(163,Engine!$C$2:$C$1369,0)))</f>
        <v/>
      </c>
      <c r="D176" s="9">
        <f>IF(ISNA(MATCH(163,Engine!$C$2:$C$1369,0)),"",INDEX('Compliance Database'!$D$2:$D$1369,MATCH(163,Engine!$C$2:$C$1369,0)))</f>
        <v/>
      </c>
      <c r="E176" s="8">
        <f>IF(ISNA(MATCH(163,Engine!$C$2:$C$1369,0)),"",INDEX('Compliance Database'!$E$2:$E$1369,MATCH(163,Engine!$C$2:$C$1369,0)))</f>
        <v/>
      </c>
      <c r="F176" s="8">
        <f>IF(ISNA(MATCH(163,Engine!$C$2:$C$1369,0)),"",INDEX('Compliance Database'!$F$2:$F$1369,MATCH(163,Engine!$C$2:$C$1369,0)))</f>
        <v/>
      </c>
      <c r="G176" s="8">
        <f>IF(ISNA(MATCH(163,Engine!$C$2:$C$1369,0)),"",INDEX('Compliance Database'!$G$2:$G$1369,MATCH(163,Engine!$C$2:$C$1369,0)))</f>
        <v/>
      </c>
      <c r="H176" s="9">
        <f>IF(ISNA(MATCH(163,Engine!$C$2:$C$1369,0)),"",INDEX('Compliance Database'!$H$2:$H$1369,MATCH(163,Engine!$C$2:$C$1369,0)))</f>
        <v/>
      </c>
      <c r="I176" s="9">
        <f>IF(ISNA(MATCH(163,Engine!$C$2:$C$1369,0)),"",INDEX('Compliance Database'!$I$2:$I$1369,MATCH(163,Engine!$C$2:$C$1369,0)))</f>
        <v/>
      </c>
      <c r="J176" s="8">
        <f>IF(ISNA(MATCH(163,Engine!$C$2:$C$1369,0)),"",INDEX('Compliance Database'!$J$2:$J$1369,MATCH(163,Engine!$C$2:$C$1369,0)))</f>
        <v/>
      </c>
      <c r="K176" s="9">
        <f>IF(ISNA(MATCH(163,Engine!$C$2:$C$1369,0)),"",INDEX('Compliance Database'!$K$2:$K$1369,MATCH(163,Engine!$C$2:$C$1369,0)))</f>
        <v/>
      </c>
      <c r="L176" s="9">
        <f>IF(ISNA(MATCH(163,Engine!$C$2:$C$1369,0)),"",INDEX('Compliance Database'!$L$2:$L$1369,MATCH(163,Engine!$C$2:$C$1369,0)))</f>
        <v/>
      </c>
      <c r="M176" s="9">
        <f>IF(ISNA(MATCH(163,Engine!$C$2:$C$1369,0)),"",INDEX('Compliance Database'!$M$2:$M$1369,MATCH(163,Engine!$C$2:$C$1369,0)))</f>
        <v/>
      </c>
      <c r="N176" s="9">
        <f>IF(ISNA(MATCH(163,Engine!$C$2:$C$1369,0)),"",INDEX('Compliance Database'!$N$2:$N$1369,MATCH(163,Engine!$C$2:$C$1369,0)))</f>
        <v/>
      </c>
      <c r="O176" s="8">
        <f>IF(ISNA(MATCH(163,Engine!$C$2:$C$1369,0)),"",HYPERLINK(INDEX('Compliance Database'!$O$2:$O$1369,MATCH(163,Engine!$C$2:$C$1369,0)),"Open PDF"))</f>
        <v/>
      </c>
    </row>
    <row r="177" ht="188" customHeight="1">
      <c r="A177" s="8">
        <f>IF(ISNA(MATCH(164,Engine!$C$2:$C$1369,0)),"",INDEX('Compliance Database'!$A$2:$A$1369,MATCH(164,Engine!$C$2:$C$1369,0)))</f>
        <v/>
      </c>
      <c r="B177" s="8">
        <f>IF(ISNA(MATCH(164,Engine!$C$2:$C$1369,0)),"",INDEX('Compliance Database'!$B$2:$B$1369,MATCH(164,Engine!$C$2:$C$1369,0)))</f>
        <v/>
      </c>
      <c r="C177" s="8">
        <f>IF(ISNA(MATCH(164,Engine!$C$2:$C$1369,0)),"",INDEX('Compliance Database'!$C$2:$C$1369,MATCH(164,Engine!$C$2:$C$1369,0)))</f>
        <v/>
      </c>
      <c r="D177" s="9">
        <f>IF(ISNA(MATCH(164,Engine!$C$2:$C$1369,0)),"",INDEX('Compliance Database'!$D$2:$D$1369,MATCH(164,Engine!$C$2:$C$1369,0)))</f>
        <v/>
      </c>
      <c r="E177" s="8">
        <f>IF(ISNA(MATCH(164,Engine!$C$2:$C$1369,0)),"",INDEX('Compliance Database'!$E$2:$E$1369,MATCH(164,Engine!$C$2:$C$1369,0)))</f>
        <v/>
      </c>
      <c r="F177" s="8">
        <f>IF(ISNA(MATCH(164,Engine!$C$2:$C$1369,0)),"",INDEX('Compliance Database'!$F$2:$F$1369,MATCH(164,Engine!$C$2:$C$1369,0)))</f>
        <v/>
      </c>
      <c r="G177" s="8">
        <f>IF(ISNA(MATCH(164,Engine!$C$2:$C$1369,0)),"",INDEX('Compliance Database'!$G$2:$G$1369,MATCH(164,Engine!$C$2:$C$1369,0)))</f>
        <v/>
      </c>
      <c r="H177" s="9">
        <f>IF(ISNA(MATCH(164,Engine!$C$2:$C$1369,0)),"",INDEX('Compliance Database'!$H$2:$H$1369,MATCH(164,Engine!$C$2:$C$1369,0)))</f>
        <v/>
      </c>
      <c r="I177" s="9">
        <f>IF(ISNA(MATCH(164,Engine!$C$2:$C$1369,0)),"",INDEX('Compliance Database'!$I$2:$I$1369,MATCH(164,Engine!$C$2:$C$1369,0)))</f>
        <v/>
      </c>
      <c r="J177" s="8">
        <f>IF(ISNA(MATCH(164,Engine!$C$2:$C$1369,0)),"",INDEX('Compliance Database'!$J$2:$J$1369,MATCH(164,Engine!$C$2:$C$1369,0)))</f>
        <v/>
      </c>
      <c r="K177" s="9">
        <f>IF(ISNA(MATCH(164,Engine!$C$2:$C$1369,0)),"",INDEX('Compliance Database'!$K$2:$K$1369,MATCH(164,Engine!$C$2:$C$1369,0)))</f>
        <v/>
      </c>
      <c r="L177" s="9">
        <f>IF(ISNA(MATCH(164,Engine!$C$2:$C$1369,0)),"",INDEX('Compliance Database'!$L$2:$L$1369,MATCH(164,Engine!$C$2:$C$1369,0)))</f>
        <v/>
      </c>
      <c r="M177" s="9">
        <f>IF(ISNA(MATCH(164,Engine!$C$2:$C$1369,0)),"",INDEX('Compliance Database'!$M$2:$M$1369,MATCH(164,Engine!$C$2:$C$1369,0)))</f>
        <v/>
      </c>
      <c r="N177" s="9">
        <f>IF(ISNA(MATCH(164,Engine!$C$2:$C$1369,0)),"",INDEX('Compliance Database'!$N$2:$N$1369,MATCH(164,Engine!$C$2:$C$1369,0)))</f>
        <v/>
      </c>
      <c r="O177" s="8">
        <f>IF(ISNA(MATCH(164,Engine!$C$2:$C$1369,0)),"",HYPERLINK(INDEX('Compliance Database'!$O$2:$O$1369,MATCH(164,Engine!$C$2:$C$1369,0)),"Open PDF"))</f>
        <v/>
      </c>
    </row>
    <row r="178" ht="188" customHeight="1">
      <c r="A178" s="8">
        <f>IF(ISNA(MATCH(165,Engine!$C$2:$C$1369,0)),"",INDEX('Compliance Database'!$A$2:$A$1369,MATCH(165,Engine!$C$2:$C$1369,0)))</f>
        <v/>
      </c>
      <c r="B178" s="8">
        <f>IF(ISNA(MATCH(165,Engine!$C$2:$C$1369,0)),"",INDEX('Compliance Database'!$B$2:$B$1369,MATCH(165,Engine!$C$2:$C$1369,0)))</f>
        <v/>
      </c>
      <c r="C178" s="8">
        <f>IF(ISNA(MATCH(165,Engine!$C$2:$C$1369,0)),"",INDEX('Compliance Database'!$C$2:$C$1369,MATCH(165,Engine!$C$2:$C$1369,0)))</f>
        <v/>
      </c>
      <c r="D178" s="9">
        <f>IF(ISNA(MATCH(165,Engine!$C$2:$C$1369,0)),"",INDEX('Compliance Database'!$D$2:$D$1369,MATCH(165,Engine!$C$2:$C$1369,0)))</f>
        <v/>
      </c>
      <c r="E178" s="8">
        <f>IF(ISNA(MATCH(165,Engine!$C$2:$C$1369,0)),"",INDEX('Compliance Database'!$E$2:$E$1369,MATCH(165,Engine!$C$2:$C$1369,0)))</f>
        <v/>
      </c>
      <c r="F178" s="8">
        <f>IF(ISNA(MATCH(165,Engine!$C$2:$C$1369,0)),"",INDEX('Compliance Database'!$F$2:$F$1369,MATCH(165,Engine!$C$2:$C$1369,0)))</f>
        <v/>
      </c>
      <c r="G178" s="8">
        <f>IF(ISNA(MATCH(165,Engine!$C$2:$C$1369,0)),"",INDEX('Compliance Database'!$G$2:$G$1369,MATCH(165,Engine!$C$2:$C$1369,0)))</f>
        <v/>
      </c>
      <c r="H178" s="9">
        <f>IF(ISNA(MATCH(165,Engine!$C$2:$C$1369,0)),"",INDEX('Compliance Database'!$H$2:$H$1369,MATCH(165,Engine!$C$2:$C$1369,0)))</f>
        <v/>
      </c>
      <c r="I178" s="9">
        <f>IF(ISNA(MATCH(165,Engine!$C$2:$C$1369,0)),"",INDEX('Compliance Database'!$I$2:$I$1369,MATCH(165,Engine!$C$2:$C$1369,0)))</f>
        <v/>
      </c>
      <c r="J178" s="8">
        <f>IF(ISNA(MATCH(165,Engine!$C$2:$C$1369,0)),"",INDEX('Compliance Database'!$J$2:$J$1369,MATCH(165,Engine!$C$2:$C$1369,0)))</f>
        <v/>
      </c>
      <c r="K178" s="9">
        <f>IF(ISNA(MATCH(165,Engine!$C$2:$C$1369,0)),"",INDEX('Compliance Database'!$K$2:$K$1369,MATCH(165,Engine!$C$2:$C$1369,0)))</f>
        <v/>
      </c>
      <c r="L178" s="9">
        <f>IF(ISNA(MATCH(165,Engine!$C$2:$C$1369,0)),"",INDEX('Compliance Database'!$L$2:$L$1369,MATCH(165,Engine!$C$2:$C$1369,0)))</f>
        <v/>
      </c>
      <c r="M178" s="9">
        <f>IF(ISNA(MATCH(165,Engine!$C$2:$C$1369,0)),"",INDEX('Compliance Database'!$M$2:$M$1369,MATCH(165,Engine!$C$2:$C$1369,0)))</f>
        <v/>
      </c>
      <c r="N178" s="9">
        <f>IF(ISNA(MATCH(165,Engine!$C$2:$C$1369,0)),"",INDEX('Compliance Database'!$N$2:$N$1369,MATCH(165,Engine!$C$2:$C$1369,0)))</f>
        <v/>
      </c>
      <c r="O178" s="8">
        <f>IF(ISNA(MATCH(165,Engine!$C$2:$C$1369,0)),"",HYPERLINK(INDEX('Compliance Database'!$O$2:$O$1369,MATCH(165,Engine!$C$2:$C$1369,0)),"Open PDF"))</f>
        <v/>
      </c>
    </row>
    <row r="179" ht="188" customHeight="1">
      <c r="A179" s="8">
        <f>IF(ISNA(MATCH(166,Engine!$C$2:$C$1369,0)),"",INDEX('Compliance Database'!$A$2:$A$1369,MATCH(166,Engine!$C$2:$C$1369,0)))</f>
        <v/>
      </c>
      <c r="B179" s="8">
        <f>IF(ISNA(MATCH(166,Engine!$C$2:$C$1369,0)),"",INDEX('Compliance Database'!$B$2:$B$1369,MATCH(166,Engine!$C$2:$C$1369,0)))</f>
        <v/>
      </c>
      <c r="C179" s="8">
        <f>IF(ISNA(MATCH(166,Engine!$C$2:$C$1369,0)),"",INDEX('Compliance Database'!$C$2:$C$1369,MATCH(166,Engine!$C$2:$C$1369,0)))</f>
        <v/>
      </c>
      <c r="D179" s="9">
        <f>IF(ISNA(MATCH(166,Engine!$C$2:$C$1369,0)),"",INDEX('Compliance Database'!$D$2:$D$1369,MATCH(166,Engine!$C$2:$C$1369,0)))</f>
        <v/>
      </c>
      <c r="E179" s="8">
        <f>IF(ISNA(MATCH(166,Engine!$C$2:$C$1369,0)),"",INDEX('Compliance Database'!$E$2:$E$1369,MATCH(166,Engine!$C$2:$C$1369,0)))</f>
        <v/>
      </c>
      <c r="F179" s="8">
        <f>IF(ISNA(MATCH(166,Engine!$C$2:$C$1369,0)),"",INDEX('Compliance Database'!$F$2:$F$1369,MATCH(166,Engine!$C$2:$C$1369,0)))</f>
        <v/>
      </c>
      <c r="G179" s="8">
        <f>IF(ISNA(MATCH(166,Engine!$C$2:$C$1369,0)),"",INDEX('Compliance Database'!$G$2:$G$1369,MATCH(166,Engine!$C$2:$C$1369,0)))</f>
        <v/>
      </c>
      <c r="H179" s="9">
        <f>IF(ISNA(MATCH(166,Engine!$C$2:$C$1369,0)),"",INDEX('Compliance Database'!$H$2:$H$1369,MATCH(166,Engine!$C$2:$C$1369,0)))</f>
        <v/>
      </c>
      <c r="I179" s="9">
        <f>IF(ISNA(MATCH(166,Engine!$C$2:$C$1369,0)),"",INDEX('Compliance Database'!$I$2:$I$1369,MATCH(166,Engine!$C$2:$C$1369,0)))</f>
        <v/>
      </c>
      <c r="J179" s="8">
        <f>IF(ISNA(MATCH(166,Engine!$C$2:$C$1369,0)),"",INDEX('Compliance Database'!$J$2:$J$1369,MATCH(166,Engine!$C$2:$C$1369,0)))</f>
        <v/>
      </c>
      <c r="K179" s="9">
        <f>IF(ISNA(MATCH(166,Engine!$C$2:$C$1369,0)),"",INDEX('Compliance Database'!$K$2:$K$1369,MATCH(166,Engine!$C$2:$C$1369,0)))</f>
        <v/>
      </c>
      <c r="L179" s="9">
        <f>IF(ISNA(MATCH(166,Engine!$C$2:$C$1369,0)),"",INDEX('Compliance Database'!$L$2:$L$1369,MATCH(166,Engine!$C$2:$C$1369,0)))</f>
        <v/>
      </c>
      <c r="M179" s="9">
        <f>IF(ISNA(MATCH(166,Engine!$C$2:$C$1369,0)),"",INDEX('Compliance Database'!$M$2:$M$1369,MATCH(166,Engine!$C$2:$C$1369,0)))</f>
        <v/>
      </c>
      <c r="N179" s="9">
        <f>IF(ISNA(MATCH(166,Engine!$C$2:$C$1369,0)),"",INDEX('Compliance Database'!$N$2:$N$1369,MATCH(166,Engine!$C$2:$C$1369,0)))</f>
        <v/>
      </c>
      <c r="O179" s="8">
        <f>IF(ISNA(MATCH(166,Engine!$C$2:$C$1369,0)),"",HYPERLINK(INDEX('Compliance Database'!$O$2:$O$1369,MATCH(166,Engine!$C$2:$C$1369,0)),"Open PDF"))</f>
        <v/>
      </c>
    </row>
    <row r="180" ht="188" customHeight="1">
      <c r="A180" s="8">
        <f>IF(ISNA(MATCH(167,Engine!$C$2:$C$1369,0)),"",INDEX('Compliance Database'!$A$2:$A$1369,MATCH(167,Engine!$C$2:$C$1369,0)))</f>
        <v/>
      </c>
      <c r="B180" s="8">
        <f>IF(ISNA(MATCH(167,Engine!$C$2:$C$1369,0)),"",INDEX('Compliance Database'!$B$2:$B$1369,MATCH(167,Engine!$C$2:$C$1369,0)))</f>
        <v/>
      </c>
      <c r="C180" s="8">
        <f>IF(ISNA(MATCH(167,Engine!$C$2:$C$1369,0)),"",INDEX('Compliance Database'!$C$2:$C$1369,MATCH(167,Engine!$C$2:$C$1369,0)))</f>
        <v/>
      </c>
      <c r="D180" s="9">
        <f>IF(ISNA(MATCH(167,Engine!$C$2:$C$1369,0)),"",INDEX('Compliance Database'!$D$2:$D$1369,MATCH(167,Engine!$C$2:$C$1369,0)))</f>
        <v/>
      </c>
      <c r="E180" s="8">
        <f>IF(ISNA(MATCH(167,Engine!$C$2:$C$1369,0)),"",INDEX('Compliance Database'!$E$2:$E$1369,MATCH(167,Engine!$C$2:$C$1369,0)))</f>
        <v/>
      </c>
      <c r="F180" s="8">
        <f>IF(ISNA(MATCH(167,Engine!$C$2:$C$1369,0)),"",INDEX('Compliance Database'!$F$2:$F$1369,MATCH(167,Engine!$C$2:$C$1369,0)))</f>
        <v/>
      </c>
      <c r="G180" s="8">
        <f>IF(ISNA(MATCH(167,Engine!$C$2:$C$1369,0)),"",INDEX('Compliance Database'!$G$2:$G$1369,MATCH(167,Engine!$C$2:$C$1369,0)))</f>
        <v/>
      </c>
      <c r="H180" s="9">
        <f>IF(ISNA(MATCH(167,Engine!$C$2:$C$1369,0)),"",INDEX('Compliance Database'!$H$2:$H$1369,MATCH(167,Engine!$C$2:$C$1369,0)))</f>
        <v/>
      </c>
      <c r="I180" s="9">
        <f>IF(ISNA(MATCH(167,Engine!$C$2:$C$1369,0)),"",INDEX('Compliance Database'!$I$2:$I$1369,MATCH(167,Engine!$C$2:$C$1369,0)))</f>
        <v/>
      </c>
      <c r="J180" s="8">
        <f>IF(ISNA(MATCH(167,Engine!$C$2:$C$1369,0)),"",INDEX('Compliance Database'!$J$2:$J$1369,MATCH(167,Engine!$C$2:$C$1369,0)))</f>
        <v/>
      </c>
      <c r="K180" s="9">
        <f>IF(ISNA(MATCH(167,Engine!$C$2:$C$1369,0)),"",INDEX('Compliance Database'!$K$2:$K$1369,MATCH(167,Engine!$C$2:$C$1369,0)))</f>
        <v/>
      </c>
      <c r="L180" s="9">
        <f>IF(ISNA(MATCH(167,Engine!$C$2:$C$1369,0)),"",INDEX('Compliance Database'!$L$2:$L$1369,MATCH(167,Engine!$C$2:$C$1369,0)))</f>
        <v/>
      </c>
      <c r="M180" s="9">
        <f>IF(ISNA(MATCH(167,Engine!$C$2:$C$1369,0)),"",INDEX('Compliance Database'!$M$2:$M$1369,MATCH(167,Engine!$C$2:$C$1369,0)))</f>
        <v/>
      </c>
      <c r="N180" s="9">
        <f>IF(ISNA(MATCH(167,Engine!$C$2:$C$1369,0)),"",INDEX('Compliance Database'!$N$2:$N$1369,MATCH(167,Engine!$C$2:$C$1369,0)))</f>
        <v/>
      </c>
      <c r="O180" s="8">
        <f>IF(ISNA(MATCH(167,Engine!$C$2:$C$1369,0)),"",HYPERLINK(INDEX('Compliance Database'!$O$2:$O$1369,MATCH(167,Engine!$C$2:$C$1369,0)),"Open PDF"))</f>
        <v/>
      </c>
    </row>
    <row r="181" ht="188" customHeight="1">
      <c r="A181" s="8">
        <f>IF(ISNA(MATCH(168,Engine!$C$2:$C$1369,0)),"",INDEX('Compliance Database'!$A$2:$A$1369,MATCH(168,Engine!$C$2:$C$1369,0)))</f>
        <v/>
      </c>
      <c r="B181" s="8">
        <f>IF(ISNA(MATCH(168,Engine!$C$2:$C$1369,0)),"",INDEX('Compliance Database'!$B$2:$B$1369,MATCH(168,Engine!$C$2:$C$1369,0)))</f>
        <v/>
      </c>
      <c r="C181" s="8">
        <f>IF(ISNA(MATCH(168,Engine!$C$2:$C$1369,0)),"",INDEX('Compliance Database'!$C$2:$C$1369,MATCH(168,Engine!$C$2:$C$1369,0)))</f>
        <v/>
      </c>
      <c r="D181" s="9">
        <f>IF(ISNA(MATCH(168,Engine!$C$2:$C$1369,0)),"",INDEX('Compliance Database'!$D$2:$D$1369,MATCH(168,Engine!$C$2:$C$1369,0)))</f>
        <v/>
      </c>
      <c r="E181" s="8">
        <f>IF(ISNA(MATCH(168,Engine!$C$2:$C$1369,0)),"",INDEX('Compliance Database'!$E$2:$E$1369,MATCH(168,Engine!$C$2:$C$1369,0)))</f>
        <v/>
      </c>
      <c r="F181" s="8">
        <f>IF(ISNA(MATCH(168,Engine!$C$2:$C$1369,0)),"",INDEX('Compliance Database'!$F$2:$F$1369,MATCH(168,Engine!$C$2:$C$1369,0)))</f>
        <v/>
      </c>
      <c r="G181" s="8">
        <f>IF(ISNA(MATCH(168,Engine!$C$2:$C$1369,0)),"",INDEX('Compliance Database'!$G$2:$G$1369,MATCH(168,Engine!$C$2:$C$1369,0)))</f>
        <v/>
      </c>
      <c r="H181" s="9">
        <f>IF(ISNA(MATCH(168,Engine!$C$2:$C$1369,0)),"",INDEX('Compliance Database'!$H$2:$H$1369,MATCH(168,Engine!$C$2:$C$1369,0)))</f>
        <v/>
      </c>
      <c r="I181" s="9">
        <f>IF(ISNA(MATCH(168,Engine!$C$2:$C$1369,0)),"",INDEX('Compliance Database'!$I$2:$I$1369,MATCH(168,Engine!$C$2:$C$1369,0)))</f>
        <v/>
      </c>
      <c r="J181" s="8">
        <f>IF(ISNA(MATCH(168,Engine!$C$2:$C$1369,0)),"",INDEX('Compliance Database'!$J$2:$J$1369,MATCH(168,Engine!$C$2:$C$1369,0)))</f>
        <v/>
      </c>
      <c r="K181" s="9">
        <f>IF(ISNA(MATCH(168,Engine!$C$2:$C$1369,0)),"",INDEX('Compliance Database'!$K$2:$K$1369,MATCH(168,Engine!$C$2:$C$1369,0)))</f>
        <v/>
      </c>
      <c r="L181" s="9">
        <f>IF(ISNA(MATCH(168,Engine!$C$2:$C$1369,0)),"",INDEX('Compliance Database'!$L$2:$L$1369,MATCH(168,Engine!$C$2:$C$1369,0)))</f>
        <v/>
      </c>
      <c r="M181" s="9">
        <f>IF(ISNA(MATCH(168,Engine!$C$2:$C$1369,0)),"",INDEX('Compliance Database'!$M$2:$M$1369,MATCH(168,Engine!$C$2:$C$1369,0)))</f>
        <v/>
      </c>
      <c r="N181" s="9">
        <f>IF(ISNA(MATCH(168,Engine!$C$2:$C$1369,0)),"",INDEX('Compliance Database'!$N$2:$N$1369,MATCH(168,Engine!$C$2:$C$1369,0)))</f>
        <v/>
      </c>
      <c r="O181" s="8">
        <f>IF(ISNA(MATCH(168,Engine!$C$2:$C$1369,0)),"",HYPERLINK(INDEX('Compliance Database'!$O$2:$O$1369,MATCH(168,Engine!$C$2:$C$1369,0)),"Open PDF"))</f>
        <v/>
      </c>
    </row>
    <row r="182" ht="188" customHeight="1">
      <c r="A182" s="8">
        <f>IF(ISNA(MATCH(169,Engine!$C$2:$C$1369,0)),"",INDEX('Compliance Database'!$A$2:$A$1369,MATCH(169,Engine!$C$2:$C$1369,0)))</f>
        <v/>
      </c>
      <c r="B182" s="8">
        <f>IF(ISNA(MATCH(169,Engine!$C$2:$C$1369,0)),"",INDEX('Compliance Database'!$B$2:$B$1369,MATCH(169,Engine!$C$2:$C$1369,0)))</f>
        <v/>
      </c>
      <c r="C182" s="8">
        <f>IF(ISNA(MATCH(169,Engine!$C$2:$C$1369,0)),"",INDEX('Compliance Database'!$C$2:$C$1369,MATCH(169,Engine!$C$2:$C$1369,0)))</f>
        <v/>
      </c>
      <c r="D182" s="9">
        <f>IF(ISNA(MATCH(169,Engine!$C$2:$C$1369,0)),"",INDEX('Compliance Database'!$D$2:$D$1369,MATCH(169,Engine!$C$2:$C$1369,0)))</f>
        <v/>
      </c>
      <c r="E182" s="8">
        <f>IF(ISNA(MATCH(169,Engine!$C$2:$C$1369,0)),"",INDEX('Compliance Database'!$E$2:$E$1369,MATCH(169,Engine!$C$2:$C$1369,0)))</f>
        <v/>
      </c>
      <c r="F182" s="8">
        <f>IF(ISNA(MATCH(169,Engine!$C$2:$C$1369,0)),"",INDEX('Compliance Database'!$F$2:$F$1369,MATCH(169,Engine!$C$2:$C$1369,0)))</f>
        <v/>
      </c>
      <c r="G182" s="8">
        <f>IF(ISNA(MATCH(169,Engine!$C$2:$C$1369,0)),"",INDEX('Compliance Database'!$G$2:$G$1369,MATCH(169,Engine!$C$2:$C$1369,0)))</f>
        <v/>
      </c>
      <c r="H182" s="9">
        <f>IF(ISNA(MATCH(169,Engine!$C$2:$C$1369,0)),"",INDEX('Compliance Database'!$H$2:$H$1369,MATCH(169,Engine!$C$2:$C$1369,0)))</f>
        <v/>
      </c>
      <c r="I182" s="9">
        <f>IF(ISNA(MATCH(169,Engine!$C$2:$C$1369,0)),"",INDEX('Compliance Database'!$I$2:$I$1369,MATCH(169,Engine!$C$2:$C$1369,0)))</f>
        <v/>
      </c>
      <c r="J182" s="8">
        <f>IF(ISNA(MATCH(169,Engine!$C$2:$C$1369,0)),"",INDEX('Compliance Database'!$J$2:$J$1369,MATCH(169,Engine!$C$2:$C$1369,0)))</f>
        <v/>
      </c>
      <c r="K182" s="9">
        <f>IF(ISNA(MATCH(169,Engine!$C$2:$C$1369,0)),"",INDEX('Compliance Database'!$K$2:$K$1369,MATCH(169,Engine!$C$2:$C$1369,0)))</f>
        <v/>
      </c>
      <c r="L182" s="9">
        <f>IF(ISNA(MATCH(169,Engine!$C$2:$C$1369,0)),"",INDEX('Compliance Database'!$L$2:$L$1369,MATCH(169,Engine!$C$2:$C$1369,0)))</f>
        <v/>
      </c>
      <c r="M182" s="9">
        <f>IF(ISNA(MATCH(169,Engine!$C$2:$C$1369,0)),"",INDEX('Compliance Database'!$M$2:$M$1369,MATCH(169,Engine!$C$2:$C$1369,0)))</f>
        <v/>
      </c>
      <c r="N182" s="9">
        <f>IF(ISNA(MATCH(169,Engine!$C$2:$C$1369,0)),"",INDEX('Compliance Database'!$N$2:$N$1369,MATCH(169,Engine!$C$2:$C$1369,0)))</f>
        <v/>
      </c>
      <c r="O182" s="8">
        <f>IF(ISNA(MATCH(169,Engine!$C$2:$C$1369,0)),"",HYPERLINK(INDEX('Compliance Database'!$O$2:$O$1369,MATCH(169,Engine!$C$2:$C$1369,0)),"Open PDF"))</f>
        <v/>
      </c>
    </row>
    <row r="183" ht="188" customHeight="1">
      <c r="A183" s="8">
        <f>IF(ISNA(MATCH(170,Engine!$C$2:$C$1369,0)),"",INDEX('Compliance Database'!$A$2:$A$1369,MATCH(170,Engine!$C$2:$C$1369,0)))</f>
        <v/>
      </c>
      <c r="B183" s="8">
        <f>IF(ISNA(MATCH(170,Engine!$C$2:$C$1369,0)),"",INDEX('Compliance Database'!$B$2:$B$1369,MATCH(170,Engine!$C$2:$C$1369,0)))</f>
        <v/>
      </c>
      <c r="C183" s="8">
        <f>IF(ISNA(MATCH(170,Engine!$C$2:$C$1369,0)),"",INDEX('Compliance Database'!$C$2:$C$1369,MATCH(170,Engine!$C$2:$C$1369,0)))</f>
        <v/>
      </c>
      <c r="D183" s="9">
        <f>IF(ISNA(MATCH(170,Engine!$C$2:$C$1369,0)),"",INDEX('Compliance Database'!$D$2:$D$1369,MATCH(170,Engine!$C$2:$C$1369,0)))</f>
        <v/>
      </c>
      <c r="E183" s="8">
        <f>IF(ISNA(MATCH(170,Engine!$C$2:$C$1369,0)),"",INDEX('Compliance Database'!$E$2:$E$1369,MATCH(170,Engine!$C$2:$C$1369,0)))</f>
        <v/>
      </c>
      <c r="F183" s="8">
        <f>IF(ISNA(MATCH(170,Engine!$C$2:$C$1369,0)),"",INDEX('Compliance Database'!$F$2:$F$1369,MATCH(170,Engine!$C$2:$C$1369,0)))</f>
        <v/>
      </c>
      <c r="G183" s="8">
        <f>IF(ISNA(MATCH(170,Engine!$C$2:$C$1369,0)),"",INDEX('Compliance Database'!$G$2:$G$1369,MATCH(170,Engine!$C$2:$C$1369,0)))</f>
        <v/>
      </c>
      <c r="H183" s="9">
        <f>IF(ISNA(MATCH(170,Engine!$C$2:$C$1369,0)),"",INDEX('Compliance Database'!$H$2:$H$1369,MATCH(170,Engine!$C$2:$C$1369,0)))</f>
        <v/>
      </c>
      <c r="I183" s="9">
        <f>IF(ISNA(MATCH(170,Engine!$C$2:$C$1369,0)),"",INDEX('Compliance Database'!$I$2:$I$1369,MATCH(170,Engine!$C$2:$C$1369,0)))</f>
        <v/>
      </c>
      <c r="J183" s="8">
        <f>IF(ISNA(MATCH(170,Engine!$C$2:$C$1369,0)),"",INDEX('Compliance Database'!$J$2:$J$1369,MATCH(170,Engine!$C$2:$C$1369,0)))</f>
        <v/>
      </c>
      <c r="K183" s="9">
        <f>IF(ISNA(MATCH(170,Engine!$C$2:$C$1369,0)),"",INDEX('Compliance Database'!$K$2:$K$1369,MATCH(170,Engine!$C$2:$C$1369,0)))</f>
        <v/>
      </c>
      <c r="L183" s="9">
        <f>IF(ISNA(MATCH(170,Engine!$C$2:$C$1369,0)),"",INDEX('Compliance Database'!$L$2:$L$1369,MATCH(170,Engine!$C$2:$C$1369,0)))</f>
        <v/>
      </c>
      <c r="M183" s="9">
        <f>IF(ISNA(MATCH(170,Engine!$C$2:$C$1369,0)),"",INDEX('Compliance Database'!$M$2:$M$1369,MATCH(170,Engine!$C$2:$C$1369,0)))</f>
        <v/>
      </c>
      <c r="N183" s="9">
        <f>IF(ISNA(MATCH(170,Engine!$C$2:$C$1369,0)),"",INDEX('Compliance Database'!$N$2:$N$1369,MATCH(170,Engine!$C$2:$C$1369,0)))</f>
        <v/>
      </c>
      <c r="O183" s="8">
        <f>IF(ISNA(MATCH(170,Engine!$C$2:$C$1369,0)),"",HYPERLINK(INDEX('Compliance Database'!$O$2:$O$1369,MATCH(170,Engine!$C$2:$C$1369,0)),"Open PDF"))</f>
        <v/>
      </c>
    </row>
    <row r="184" ht="188" customHeight="1">
      <c r="A184" s="8">
        <f>IF(ISNA(MATCH(171,Engine!$C$2:$C$1369,0)),"",INDEX('Compliance Database'!$A$2:$A$1369,MATCH(171,Engine!$C$2:$C$1369,0)))</f>
        <v/>
      </c>
      <c r="B184" s="8">
        <f>IF(ISNA(MATCH(171,Engine!$C$2:$C$1369,0)),"",INDEX('Compliance Database'!$B$2:$B$1369,MATCH(171,Engine!$C$2:$C$1369,0)))</f>
        <v/>
      </c>
      <c r="C184" s="8">
        <f>IF(ISNA(MATCH(171,Engine!$C$2:$C$1369,0)),"",INDEX('Compliance Database'!$C$2:$C$1369,MATCH(171,Engine!$C$2:$C$1369,0)))</f>
        <v/>
      </c>
      <c r="D184" s="9">
        <f>IF(ISNA(MATCH(171,Engine!$C$2:$C$1369,0)),"",INDEX('Compliance Database'!$D$2:$D$1369,MATCH(171,Engine!$C$2:$C$1369,0)))</f>
        <v/>
      </c>
      <c r="E184" s="8">
        <f>IF(ISNA(MATCH(171,Engine!$C$2:$C$1369,0)),"",INDEX('Compliance Database'!$E$2:$E$1369,MATCH(171,Engine!$C$2:$C$1369,0)))</f>
        <v/>
      </c>
      <c r="F184" s="8">
        <f>IF(ISNA(MATCH(171,Engine!$C$2:$C$1369,0)),"",INDEX('Compliance Database'!$F$2:$F$1369,MATCH(171,Engine!$C$2:$C$1369,0)))</f>
        <v/>
      </c>
      <c r="G184" s="8">
        <f>IF(ISNA(MATCH(171,Engine!$C$2:$C$1369,0)),"",INDEX('Compliance Database'!$G$2:$G$1369,MATCH(171,Engine!$C$2:$C$1369,0)))</f>
        <v/>
      </c>
      <c r="H184" s="9">
        <f>IF(ISNA(MATCH(171,Engine!$C$2:$C$1369,0)),"",INDEX('Compliance Database'!$H$2:$H$1369,MATCH(171,Engine!$C$2:$C$1369,0)))</f>
        <v/>
      </c>
      <c r="I184" s="9">
        <f>IF(ISNA(MATCH(171,Engine!$C$2:$C$1369,0)),"",INDEX('Compliance Database'!$I$2:$I$1369,MATCH(171,Engine!$C$2:$C$1369,0)))</f>
        <v/>
      </c>
      <c r="J184" s="8">
        <f>IF(ISNA(MATCH(171,Engine!$C$2:$C$1369,0)),"",INDEX('Compliance Database'!$J$2:$J$1369,MATCH(171,Engine!$C$2:$C$1369,0)))</f>
        <v/>
      </c>
      <c r="K184" s="9">
        <f>IF(ISNA(MATCH(171,Engine!$C$2:$C$1369,0)),"",INDEX('Compliance Database'!$K$2:$K$1369,MATCH(171,Engine!$C$2:$C$1369,0)))</f>
        <v/>
      </c>
      <c r="L184" s="9">
        <f>IF(ISNA(MATCH(171,Engine!$C$2:$C$1369,0)),"",INDEX('Compliance Database'!$L$2:$L$1369,MATCH(171,Engine!$C$2:$C$1369,0)))</f>
        <v/>
      </c>
      <c r="M184" s="9">
        <f>IF(ISNA(MATCH(171,Engine!$C$2:$C$1369,0)),"",INDEX('Compliance Database'!$M$2:$M$1369,MATCH(171,Engine!$C$2:$C$1369,0)))</f>
        <v/>
      </c>
      <c r="N184" s="9">
        <f>IF(ISNA(MATCH(171,Engine!$C$2:$C$1369,0)),"",INDEX('Compliance Database'!$N$2:$N$1369,MATCH(171,Engine!$C$2:$C$1369,0)))</f>
        <v/>
      </c>
      <c r="O184" s="8">
        <f>IF(ISNA(MATCH(171,Engine!$C$2:$C$1369,0)),"",HYPERLINK(INDEX('Compliance Database'!$O$2:$O$1369,MATCH(171,Engine!$C$2:$C$1369,0)),"Open PDF"))</f>
        <v/>
      </c>
    </row>
    <row r="185" ht="188" customHeight="1">
      <c r="A185" s="8">
        <f>IF(ISNA(MATCH(172,Engine!$C$2:$C$1369,0)),"",INDEX('Compliance Database'!$A$2:$A$1369,MATCH(172,Engine!$C$2:$C$1369,0)))</f>
        <v/>
      </c>
      <c r="B185" s="8">
        <f>IF(ISNA(MATCH(172,Engine!$C$2:$C$1369,0)),"",INDEX('Compliance Database'!$B$2:$B$1369,MATCH(172,Engine!$C$2:$C$1369,0)))</f>
        <v/>
      </c>
      <c r="C185" s="8">
        <f>IF(ISNA(MATCH(172,Engine!$C$2:$C$1369,0)),"",INDEX('Compliance Database'!$C$2:$C$1369,MATCH(172,Engine!$C$2:$C$1369,0)))</f>
        <v/>
      </c>
      <c r="D185" s="9">
        <f>IF(ISNA(MATCH(172,Engine!$C$2:$C$1369,0)),"",INDEX('Compliance Database'!$D$2:$D$1369,MATCH(172,Engine!$C$2:$C$1369,0)))</f>
        <v/>
      </c>
      <c r="E185" s="8">
        <f>IF(ISNA(MATCH(172,Engine!$C$2:$C$1369,0)),"",INDEX('Compliance Database'!$E$2:$E$1369,MATCH(172,Engine!$C$2:$C$1369,0)))</f>
        <v/>
      </c>
      <c r="F185" s="8">
        <f>IF(ISNA(MATCH(172,Engine!$C$2:$C$1369,0)),"",INDEX('Compliance Database'!$F$2:$F$1369,MATCH(172,Engine!$C$2:$C$1369,0)))</f>
        <v/>
      </c>
      <c r="G185" s="8">
        <f>IF(ISNA(MATCH(172,Engine!$C$2:$C$1369,0)),"",INDEX('Compliance Database'!$G$2:$G$1369,MATCH(172,Engine!$C$2:$C$1369,0)))</f>
        <v/>
      </c>
      <c r="H185" s="9">
        <f>IF(ISNA(MATCH(172,Engine!$C$2:$C$1369,0)),"",INDEX('Compliance Database'!$H$2:$H$1369,MATCH(172,Engine!$C$2:$C$1369,0)))</f>
        <v/>
      </c>
      <c r="I185" s="9">
        <f>IF(ISNA(MATCH(172,Engine!$C$2:$C$1369,0)),"",INDEX('Compliance Database'!$I$2:$I$1369,MATCH(172,Engine!$C$2:$C$1369,0)))</f>
        <v/>
      </c>
      <c r="J185" s="8">
        <f>IF(ISNA(MATCH(172,Engine!$C$2:$C$1369,0)),"",INDEX('Compliance Database'!$J$2:$J$1369,MATCH(172,Engine!$C$2:$C$1369,0)))</f>
        <v/>
      </c>
      <c r="K185" s="9">
        <f>IF(ISNA(MATCH(172,Engine!$C$2:$C$1369,0)),"",INDEX('Compliance Database'!$K$2:$K$1369,MATCH(172,Engine!$C$2:$C$1369,0)))</f>
        <v/>
      </c>
      <c r="L185" s="9">
        <f>IF(ISNA(MATCH(172,Engine!$C$2:$C$1369,0)),"",INDEX('Compliance Database'!$L$2:$L$1369,MATCH(172,Engine!$C$2:$C$1369,0)))</f>
        <v/>
      </c>
      <c r="M185" s="9">
        <f>IF(ISNA(MATCH(172,Engine!$C$2:$C$1369,0)),"",INDEX('Compliance Database'!$M$2:$M$1369,MATCH(172,Engine!$C$2:$C$1369,0)))</f>
        <v/>
      </c>
      <c r="N185" s="9">
        <f>IF(ISNA(MATCH(172,Engine!$C$2:$C$1369,0)),"",INDEX('Compliance Database'!$N$2:$N$1369,MATCH(172,Engine!$C$2:$C$1369,0)))</f>
        <v/>
      </c>
      <c r="O185" s="8">
        <f>IF(ISNA(MATCH(172,Engine!$C$2:$C$1369,0)),"",HYPERLINK(INDEX('Compliance Database'!$O$2:$O$1369,MATCH(172,Engine!$C$2:$C$1369,0)),"Open PDF"))</f>
        <v/>
      </c>
    </row>
    <row r="186" ht="188" customHeight="1">
      <c r="A186" s="8">
        <f>IF(ISNA(MATCH(173,Engine!$C$2:$C$1369,0)),"",INDEX('Compliance Database'!$A$2:$A$1369,MATCH(173,Engine!$C$2:$C$1369,0)))</f>
        <v/>
      </c>
      <c r="B186" s="8">
        <f>IF(ISNA(MATCH(173,Engine!$C$2:$C$1369,0)),"",INDEX('Compliance Database'!$B$2:$B$1369,MATCH(173,Engine!$C$2:$C$1369,0)))</f>
        <v/>
      </c>
      <c r="C186" s="8">
        <f>IF(ISNA(MATCH(173,Engine!$C$2:$C$1369,0)),"",INDEX('Compliance Database'!$C$2:$C$1369,MATCH(173,Engine!$C$2:$C$1369,0)))</f>
        <v/>
      </c>
      <c r="D186" s="9">
        <f>IF(ISNA(MATCH(173,Engine!$C$2:$C$1369,0)),"",INDEX('Compliance Database'!$D$2:$D$1369,MATCH(173,Engine!$C$2:$C$1369,0)))</f>
        <v/>
      </c>
      <c r="E186" s="8">
        <f>IF(ISNA(MATCH(173,Engine!$C$2:$C$1369,0)),"",INDEX('Compliance Database'!$E$2:$E$1369,MATCH(173,Engine!$C$2:$C$1369,0)))</f>
        <v/>
      </c>
      <c r="F186" s="8">
        <f>IF(ISNA(MATCH(173,Engine!$C$2:$C$1369,0)),"",INDEX('Compliance Database'!$F$2:$F$1369,MATCH(173,Engine!$C$2:$C$1369,0)))</f>
        <v/>
      </c>
      <c r="G186" s="8">
        <f>IF(ISNA(MATCH(173,Engine!$C$2:$C$1369,0)),"",INDEX('Compliance Database'!$G$2:$G$1369,MATCH(173,Engine!$C$2:$C$1369,0)))</f>
        <v/>
      </c>
      <c r="H186" s="9">
        <f>IF(ISNA(MATCH(173,Engine!$C$2:$C$1369,0)),"",INDEX('Compliance Database'!$H$2:$H$1369,MATCH(173,Engine!$C$2:$C$1369,0)))</f>
        <v/>
      </c>
      <c r="I186" s="9">
        <f>IF(ISNA(MATCH(173,Engine!$C$2:$C$1369,0)),"",INDEX('Compliance Database'!$I$2:$I$1369,MATCH(173,Engine!$C$2:$C$1369,0)))</f>
        <v/>
      </c>
      <c r="J186" s="8">
        <f>IF(ISNA(MATCH(173,Engine!$C$2:$C$1369,0)),"",INDEX('Compliance Database'!$J$2:$J$1369,MATCH(173,Engine!$C$2:$C$1369,0)))</f>
        <v/>
      </c>
      <c r="K186" s="9">
        <f>IF(ISNA(MATCH(173,Engine!$C$2:$C$1369,0)),"",INDEX('Compliance Database'!$K$2:$K$1369,MATCH(173,Engine!$C$2:$C$1369,0)))</f>
        <v/>
      </c>
      <c r="L186" s="9">
        <f>IF(ISNA(MATCH(173,Engine!$C$2:$C$1369,0)),"",INDEX('Compliance Database'!$L$2:$L$1369,MATCH(173,Engine!$C$2:$C$1369,0)))</f>
        <v/>
      </c>
      <c r="M186" s="9">
        <f>IF(ISNA(MATCH(173,Engine!$C$2:$C$1369,0)),"",INDEX('Compliance Database'!$M$2:$M$1369,MATCH(173,Engine!$C$2:$C$1369,0)))</f>
        <v/>
      </c>
      <c r="N186" s="9">
        <f>IF(ISNA(MATCH(173,Engine!$C$2:$C$1369,0)),"",INDEX('Compliance Database'!$N$2:$N$1369,MATCH(173,Engine!$C$2:$C$1369,0)))</f>
        <v/>
      </c>
      <c r="O186" s="8">
        <f>IF(ISNA(MATCH(173,Engine!$C$2:$C$1369,0)),"",HYPERLINK(INDEX('Compliance Database'!$O$2:$O$1369,MATCH(173,Engine!$C$2:$C$1369,0)),"Open PDF"))</f>
        <v/>
      </c>
    </row>
    <row r="187" ht="188" customHeight="1">
      <c r="A187" s="8">
        <f>IF(ISNA(MATCH(174,Engine!$C$2:$C$1369,0)),"",INDEX('Compliance Database'!$A$2:$A$1369,MATCH(174,Engine!$C$2:$C$1369,0)))</f>
        <v/>
      </c>
      <c r="B187" s="8">
        <f>IF(ISNA(MATCH(174,Engine!$C$2:$C$1369,0)),"",INDEX('Compliance Database'!$B$2:$B$1369,MATCH(174,Engine!$C$2:$C$1369,0)))</f>
        <v/>
      </c>
      <c r="C187" s="8">
        <f>IF(ISNA(MATCH(174,Engine!$C$2:$C$1369,0)),"",INDEX('Compliance Database'!$C$2:$C$1369,MATCH(174,Engine!$C$2:$C$1369,0)))</f>
        <v/>
      </c>
      <c r="D187" s="9">
        <f>IF(ISNA(MATCH(174,Engine!$C$2:$C$1369,0)),"",INDEX('Compliance Database'!$D$2:$D$1369,MATCH(174,Engine!$C$2:$C$1369,0)))</f>
        <v/>
      </c>
      <c r="E187" s="8">
        <f>IF(ISNA(MATCH(174,Engine!$C$2:$C$1369,0)),"",INDEX('Compliance Database'!$E$2:$E$1369,MATCH(174,Engine!$C$2:$C$1369,0)))</f>
        <v/>
      </c>
      <c r="F187" s="8">
        <f>IF(ISNA(MATCH(174,Engine!$C$2:$C$1369,0)),"",INDEX('Compliance Database'!$F$2:$F$1369,MATCH(174,Engine!$C$2:$C$1369,0)))</f>
        <v/>
      </c>
      <c r="G187" s="8">
        <f>IF(ISNA(MATCH(174,Engine!$C$2:$C$1369,0)),"",INDEX('Compliance Database'!$G$2:$G$1369,MATCH(174,Engine!$C$2:$C$1369,0)))</f>
        <v/>
      </c>
      <c r="H187" s="9">
        <f>IF(ISNA(MATCH(174,Engine!$C$2:$C$1369,0)),"",INDEX('Compliance Database'!$H$2:$H$1369,MATCH(174,Engine!$C$2:$C$1369,0)))</f>
        <v/>
      </c>
      <c r="I187" s="9">
        <f>IF(ISNA(MATCH(174,Engine!$C$2:$C$1369,0)),"",INDEX('Compliance Database'!$I$2:$I$1369,MATCH(174,Engine!$C$2:$C$1369,0)))</f>
        <v/>
      </c>
      <c r="J187" s="8">
        <f>IF(ISNA(MATCH(174,Engine!$C$2:$C$1369,0)),"",INDEX('Compliance Database'!$J$2:$J$1369,MATCH(174,Engine!$C$2:$C$1369,0)))</f>
        <v/>
      </c>
      <c r="K187" s="9">
        <f>IF(ISNA(MATCH(174,Engine!$C$2:$C$1369,0)),"",INDEX('Compliance Database'!$K$2:$K$1369,MATCH(174,Engine!$C$2:$C$1369,0)))</f>
        <v/>
      </c>
      <c r="L187" s="9">
        <f>IF(ISNA(MATCH(174,Engine!$C$2:$C$1369,0)),"",INDEX('Compliance Database'!$L$2:$L$1369,MATCH(174,Engine!$C$2:$C$1369,0)))</f>
        <v/>
      </c>
      <c r="M187" s="9">
        <f>IF(ISNA(MATCH(174,Engine!$C$2:$C$1369,0)),"",INDEX('Compliance Database'!$M$2:$M$1369,MATCH(174,Engine!$C$2:$C$1369,0)))</f>
        <v/>
      </c>
      <c r="N187" s="9">
        <f>IF(ISNA(MATCH(174,Engine!$C$2:$C$1369,0)),"",INDEX('Compliance Database'!$N$2:$N$1369,MATCH(174,Engine!$C$2:$C$1369,0)))</f>
        <v/>
      </c>
      <c r="O187" s="8">
        <f>IF(ISNA(MATCH(174,Engine!$C$2:$C$1369,0)),"",HYPERLINK(INDEX('Compliance Database'!$O$2:$O$1369,MATCH(174,Engine!$C$2:$C$1369,0)),"Open PDF"))</f>
        <v/>
      </c>
    </row>
    <row r="188" ht="188" customHeight="1">
      <c r="A188" s="8">
        <f>IF(ISNA(MATCH(175,Engine!$C$2:$C$1369,0)),"",INDEX('Compliance Database'!$A$2:$A$1369,MATCH(175,Engine!$C$2:$C$1369,0)))</f>
        <v/>
      </c>
      <c r="B188" s="8">
        <f>IF(ISNA(MATCH(175,Engine!$C$2:$C$1369,0)),"",INDEX('Compliance Database'!$B$2:$B$1369,MATCH(175,Engine!$C$2:$C$1369,0)))</f>
        <v/>
      </c>
      <c r="C188" s="8">
        <f>IF(ISNA(MATCH(175,Engine!$C$2:$C$1369,0)),"",INDEX('Compliance Database'!$C$2:$C$1369,MATCH(175,Engine!$C$2:$C$1369,0)))</f>
        <v/>
      </c>
      <c r="D188" s="9">
        <f>IF(ISNA(MATCH(175,Engine!$C$2:$C$1369,0)),"",INDEX('Compliance Database'!$D$2:$D$1369,MATCH(175,Engine!$C$2:$C$1369,0)))</f>
        <v/>
      </c>
      <c r="E188" s="8">
        <f>IF(ISNA(MATCH(175,Engine!$C$2:$C$1369,0)),"",INDEX('Compliance Database'!$E$2:$E$1369,MATCH(175,Engine!$C$2:$C$1369,0)))</f>
        <v/>
      </c>
      <c r="F188" s="8">
        <f>IF(ISNA(MATCH(175,Engine!$C$2:$C$1369,0)),"",INDEX('Compliance Database'!$F$2:$F$1369,MATCH(175,Engine!$C$2:$C$1369,0)))</f>
        <v/>
      </c>
      <c r="G188" s="8">
        <f>IF(ISNA(MATCH(175,Engine!$C$2:$C$1369,0)),"",INDEX('Compliance Database'!$G$2:$G$1369,MATCH(175,Engine!$C$2:$C$1369,0)))</f>
        <v/>
      </c>
      <c r="H188" s="9">
        <f>IF(ISNA(MATCH(175,Engine!$C$2:$C$1369,0)),"",INDEX('Compliance Database'!$H$2:$H$1369,MATCH(175,Engine!$C$2:$C$1369,0)))</f>
        <v/>
      </c>
      <c r="I188" s="9">
        <f>IF(ISNA(MATCH(175,Engine!$C$2:$C$1369,0)),"",INDEX('Compliance Database'!$I$2:$I$1369,MATCH(175,Engine!$C$2:$C$1369,0)))</f>
        <v/>
      </c>
      <c r="J188" s="8">
        <f>IF(ISNA(MATCH(175,Engine!$C$2:$C$1369,0)),"",INDEX('Compliance Database'!$J$2:$J$1369,MATCH(175,Engine!$C$2:$C$1369,0)))</f>
        <v/>
      </c>
      <c r="K188" s="9">
        <f>IF(ISNA(MATCH(175,Engine!$C$2:$C$1369,0)),"",INDEX('Compliance Database'!$K$2:$K$1369,MATCH(175,Engine!$C$2:$C$1369,0)))</f>
        <v/>
      </c>
      <c r="L188" s="9">
        <f>IF(ISNA(MATCH(175,Engine!$C$2:$C$1369,0)),"",INDEX('Compliance Database'!$L$2:$L$1369,MATCH(175,Engine!$C$2:$C$1369,0)))</f>
        <v/>
      </c>
      <c r="M188" s="9">
        <f>IF(ISNA(MATCH(175,Engine!$C$2:$C$1369,0)),"",INDEX('Compliance Database'!$M$2:$M$1369,MATCH(175,Engine!$C$2:$C$1369,0)))</f>
        <v/>
      </c>
      <c r="N188" s="9">
        <f>IF(ISNA(MATCH(175,Engine!$C$2:$C$1369,0)),"",INDEX('Compliance Database'!$N$2:$N$1369,MATCH(175,Engine!$C$2:$C$1369,0)))</f>
        <v/>
      </c>
      <c r="O188" s="8">
        <f>IF(ISNA(MATCH(175,Engine!$C$2:$C$1369,0)),"",HYPERLINK(INDEX('Compliance Database'!$O$2:$O$1369,MATCH(175,Engine!$C$2:$C$1369,0)),"Open PDF"))</f>
        <v/>
      </c>
    </row>
    <row r="189" ht="188" customHeight="1">
      <c r="A189" s="8">
        <f>IF(ISNA(MATCH(176,Engine!$C$2:$C$1369,0)),"",INDEX('Compliance Database'!$A$2:$A$1369,MATCH(176,Engine!$C$2:$C$1369,0)))</f>
        <v/>
      </c>
      <c r="B189" s="8">
        <f>IF(ISNA(MATCH(176,Engine!$C$2:$C$1369,0)),"",INDEX('Compliance Database'!$B$2:$B$1369,MATCH(176,Engine!$C$2:$C$1369,0)))</f>
        <v/>
      </c>
      <c r="C189" s="8">
        <f>IF(ISNA(MATCH(176,Engine!$C$2:$C$1369,0)),"",INDEX('Compliance Database'!$C$2:$C$1369,MATCH(176,Engine!$C$2:$C$1369,0)))</f>
        <v/>
      </c>
      <c r="D189" s="9">
        <f>IF(ISNA(MATCH(176,Engine!$C$2:$C$1369,0)),"",INDEX('Compliance Database'!$D$2:$D$1369,MATCH(176,Engine!$C$2:$C$1369,0)))</f>
        <v/>
      </c>
      <c r="E189" s="8">
        <f>IF(ISNA(MATCH(176,Engine!$C$2:$C$1369,0)),"",INDEX('Compliance Database'!$E$2:$E$1369,MATCH(176,Engine!$C$2:$C$1369,0)))</f>
        <v/>
      </c>
      <c r="F189" s="8">
        <f>IF(ISNA(MATCH(176,Engine!$C$2:$C$1369,0)),"",INDEX('Compliance Database'!$F$2:$F$1369,MATCH(176,Engine!$C$2:$C$1369,0)))</f>
        <v/>
      </c>
      <c r="G189" s="8">
        <f>IF(ISNA(MATCH(176,Engine!$C$2:$C$1369,0)),"",INDEX('Compliance Database'!$G$2:$G$1369,MATCH(176,Engine!$C$2:$C$1369,0)))</f>
        <v/>
      </c>
      <c r="H189" s="9">
        <f>IF(ISNA(MATCH(176,Engine!$C$2:$C$1369,0)),"",INDEX('Compliance Database'!$H$2:$H$1369,MATCH(176,Engine!$C$2:$C$1369,0)))</f>
        <v/>
      </c>
      <c r="I189" s="9">
        <f>IF(ISNA(MATCH(176,Engine!$C$2:$C$1369,0)),"",INDEX('Compliance Database'!$I$2:$I$1369,MATCH(176,Engine!$C$2:$C$1369,0)))</f>
        <v/>
      </c>
      <c r="J189" s="8">
        <f>IF(ISNA(MATCH(176,Engine!$C$2:$C$1369,0)),"",INDEX('Compliance Database'!$J$2:$J$1369,MATCH(176,Engine!$C$2:$C$1369,0)))</f>
        <v/>
      </c>
      <c r="K189" s="9">
        <f>IF(ISNA(MATCH(176,Engine!$C$2:$C$1369,0)),"",INDEX('Compliance Database'!$K$2:$K$1369,MATCH(176,Engine!$C$2:$C$1369,0)))</f>
        <v/>
      </c>
      <c r="L189" s="9">
        <f>IF(ISNA(MATCH(176,Engine!$C$2:$C$1369,0)),"",INDEX('Compliance Database'!$L$2:$L$1369,MATCH(176,Engine!$C$2:$C$1369,0)))</f>
        <v/>
      </c>
      <c r="M189" s="9">
        <f>IF(ISNA(MATCH(176,Engine!$C$2:$C$1369,0)),"",INDEX('Compliance Database'!$M$2:$M$1369,MATCH(176,Engine!$C$2:$C$1369,0)))</f>
        <v/>
      </c>
      <c r="N189" s="9">
        <f>IF(ISNA(MATCH(176,Engine!$C$2:$C$1369,0)),"",INDEX('Compliance Database'!$N$2:$N$1369,MATCH(176,Engine!$C$2:$C$1369,0)))</f>
        <v/>
      </c>
      <c r="O189" s="8">
        <f>IF(ISNA(MATCH(176,Engine!$C$2:$C$1369,0)),"",HYPERLINK(INDEX('Compliance Database'!$O$2:$O$1369,MATCH(176,Engine!$C$2:$C$1369,0)),"Open PDF"))</f>
        <v/>
      </c>
    </row>
    <row r="190" ht="188" customHeight="1">
      <c r="A190" s="8">
        <f>IF(ISNA(MATCH(177,Engine!$C$2:$C$1369,0)),"",INDEX('Compliance Database'!$A$2:$A$1369,MATCH(177,Engine!$C$2:$C$1369,0)))</f>
        <v/>
      </c>
      <c r="B190" s="8">
        <f>IF(ISNA(MATCH(177,Engine!$C$2:$C$1369,0)),"",INDEX('Compliance Database'!$B$2:$B$1369,MATCH(177,Engine!$C$2:$C$1369,0)))</f>
        <v/>
      </c>
      <c r="C190" s="8">
        <f>IF(ISNA(MATCH(177,Engine!$C$2:$C$1369,0)),"",INDEX('Compliance Database'!$C$2:$C$1369,MATCH(177,Engine!$C$2:$C$1369,0)))</f>
        <v/>
      </c>
      <c r="D190" s="9">
        <f>IF(ISNA(MATCH(177,Engine!$C$2:$C$1369,0)),"",INDEX('Compliance Database'!$D$2:$D$1369,MATCH(177,Engine!$C$2:$C$1369,0)))</f>
        <v/>
      </c>
      <c r="E190" s="8">
        <f>IF(ISNA(MATCH(177,Engine!$C$2:$C$1369,0)),"",INDEX('Compliance Database'!$E$2:$E$1369,MATCH(177,Engine!$C$2:$C$1369,0)))</f>
        <v/>
      </c>
      <c r="F190" s="8">
        <f>IF(ISNA(MATCH(177,Engine!$C$2:$C$1369,0)),"",INDEX('Compliance Database'!$F$2:$F$1369,MATCH(177,Engine!$C$2:$C$1369,0)))</f>
        <v/>
      </c>
      <c r="G190" s="8">
        <f>IF(ISNA(MATCH(177,Engine!$C$2:$C$1369,0)),"",INDEX('Compliance Database'!$G$2:$G$1369,MATCH(177,Engine!$C$2:$C$1369,0)))</f>
        <v/>
      </c>
      <c r="H190" s="9">
        <f>IF(ISNA(MATCH(177,Engine!$C$2:$C$1369,0)),"",INDEX('Compliance Database'!$H$2:$H$1369,MATCH(177,Engine!$C$2:$C$1369,0)))</f>
        <v/>
      </c>
      <c r="I190" s="9">
        <f>IF(ISNA(MATCH(177,Engine!$C$2:$C$1369,0)),"",INDEX('Compliance Database'!$I$2:$I$1369,MATCH(177,Engine!$C$2:$C$1369,0)))</f>
        <v/>
      </c>
      <c r="J190" s="8">
        <f>IF(ISNA(MATCH(177,Engine!$C$2:$C$1369,0)),"",INDEX('Compliance Database'!$J$2:$J$1369,MATCH(177,Engine!$C$2:$C$1369,0)))</f>
        <v/>
      </c>
      <c r="K190" s="9">
        <f>IF(ISNA(MATCH(177,Engine!$C$2:$C$1369,0)),"",INDEX('Compliance Database'!$K$2:$K$1369,MATCH(177,Engine!$C$2:$C$1369,0)))</f>
        <v/>
      </c>
      <c r="L190" s="9">
        <f>IF(ISNA(MATCH(177,Engine!$C$2:$C$1369,0)),"",INDEX('Compliance Database'!$L$2:$L$1369,MATCH(177,Engine!$C$2:$C$1369,0)))</f>
        <v/>
      </c>
      <c r="M190" s="9">
        <f>IF(ISNA(MATCH(177,Engine!$C$2:$C$1369,0)),"",INDEX('Compliance Database'!$M$2:$M$1369,MATCH(177,Engine!$C$2:$C$1369,0)))</f>
        <v/>
      </c>
      <c r="N190" s="9">
        <f>IF(ISNA(MATCH(177,Engine!$C$2:$C$1369,0)),"",INDEX('Compliance Database'!$N$2:$N$1369,MATCH(177,Engine!$C$2:$C$1369,0)))</f>
        <v/>
      </c>
      <c r="O190" s="8">
        <f>IF(ISNA(MATCH(177,Engine!$C$2:$C$1369,0)),"",HYPERLINK(INDEX('Compliance Database'!$O$2:$O$1369,MATCH(177,Engine!$C$2:$C$1369,0)),"Open PDF"))</f>
        <v/>
      </c>
    </row>
    <row r="191" ht="188" customHeight="1">
      <c r="A191" s="8">
        <f>IF(ISNA(MATCH(178,Engine!$C$2:$C$1369,0)),"",INDEX('Compliance Database'!$A$2:$A$1369,MATCH(178,Engine!$C$2:$C$1369,0)))</f>
        <v/>
      </c>
      <c r="B191" s="8">
        <f>IF(ISNA(MATCH(178,Engine!$C$2:$C$1369,0)),"",INDEX('Compliance Database'!$B$2:$B$1369,MATCH(178,Engine!$C$2:$C$1369,0)))</f>
        <v/>
      </c>
      <c r="C191" s="8">
        <f>IF(ISNA(MATCH(178,Engine!$C$2:$C$1369,0)),"",INDEX('Compliance Database'!$C$2:$C$1369,MATCH(178,Engine!$C$2:$C$1369,0)))</f>
        <v/>
      </c>
      <c r="D191" s="9">
        <f>IF(ISNA(MATCH(178,Engine!$C$2:$C$1369,0)),"",INDEX('Compliance Database'!$D$2:$D$1369,MATCH(178,Engine!$C$2:$C$1369,0)))</f>
        <v/>
      </c>
      <c r="E191" s="8">
        <f>IF(ISNA(MATCH(178,Engine!$C$2:$C$1369,0)),"",INDEX('Compliance Database'!$E$2:$E$1369,MATCH(178,Engine!$C$2:$C$1369,0)))</f>
        <v/>
      </c>
      <c r="F191" s="8">
        <f>IF(ISNA(MATCH(178,Engine!$C$2:$C$1369,0)),"",INDEX('Compliance Database'!$F$2:$F$1369,MATCH(178,Engine!$C$2:$C$1369,0)))</f>
        <v/>
      </c>
      <c r="G191" s="8">
        <f>IF(ISNA(MATCH(178,Engine!$C$2:$C$1369,0)),"",INDEX('Compliance Database'!$G$2:$G$1369,MATCH(178,Engine!$C$2:$C$1369,0)))</f>
        <v/>
      </c>
      <c r="H191" s="9">
        <f>IF(ISNA(MATCH(178,Engine!$C$2:$C$1369,0)),"",INDEX('Compliance Database'!$H$2:$H$1369,MATCH(178,Engine!$C$2:$C$1369,0)))</f>
        <v/>
      </c>
      <c r="I191" s="9">
        <f>IF(ISNA(MATCH(178,Engine!$C$2:$C$1369,0)),"",INDEX('Compliance Database'!$I$2:$I$1369,MATCH(178,Engine!$C$2:$C$1369,0)))</f>
        <v/>
      </c>
      <c r="J191" s="8">
        <f>IF(ISNA(MATCH(178,Engine!$C$2:$C$1369,0)),"",INDEX('Compliance Database'!$J$2:$J$1369,MATCH(178,Engine!$C$2:$C$1369,0)))</f>
        <v/>
      </c>
      <c r="K191" s="9">
        <f>IF(ISNA(MATCH(178,Engine!$C$2:$C$1369,0)),"",INDEX('Compliance Database'!$K$2:$K$1369,MATCH(178,Engine!$C$2:$C$1369,0)))</f>
        <v/>
      </c>
      <c r="L191" s="9">
        <f>IF(ISNA(MATCH(178,Engine!$C$2:$C$1369,0)),"",INDEX('Compliance Database'!$L$2:$L$1369,MATCH(178,Engine!$C$2:$C$1369,0)))</f>
        <v/>
      </c>
      <c r="M191" s="9">
        <f>IF(ISNA(MATCH(178,Engine!$C$2:$C$1369,0)),"",INDEX('Compliance Database'!$M$2:$M$1369,MATCH(178,Engine!$C$2:$C$1369,0)))</f>
        <v/>
      </c>
      <c r="N191" s="9">
        <f>IF(ISNA(MATCH(178,Engine!$C$2:$C$1369,0)),"",INDEX('Compliance Database'!$N$2:$N$1369,MATCH(178,Engine!$C$2:$C$1369,0)))</f>
        <v/>
      </c>
      <c r="O191" s="8">
        <f>IF(ISNA(MATCH(178,Engine!$C$2:$C$1369,0)),"",HYPERLINK(INDEX('Compliance Database'!$O$2:$O$1369,MATCH(178,Engine!$C$2:$C$1369,0)),"Open PDF"))</f>
        <v/>
      </c>
    </row>
    <row r="192" ht="188" customHeight="1">
      <c r="A192" s="8">
        <f>IF(ISNA(MATCH(179,Engine!$C$2:$C$1369,0)),"",INDEX('Compliance Database'!$A$2:$A$1369,MATCH(179,Engine!$C$2:$C$1369,0)))</f>
        <v/>
      </c>
      <c r="B192" s="8">
        <f>IF(ISNA(MATCH(179,Engine!$C$2:$C$1369,0)),"",INDEX('Compliance Database'!$B$2:$B$1369,MATCH(179,Engine!$C$2:$C$1369,0)))</f>
        <v/>
      </c>
      <c r="C192" s="8">
        <f>IF(ISNA(MATCH(179,Engine!$C$2:$C$1369,0)),"",INDEX('Compliance Database'!$C$2:$C$1369,MATCH(179,Engine!$C$2:$C$1369,0)))</f>
        <v/>
      </c>
      <c r="D192" s="9">
        <f>IF(ISNA(MATCH(179,Engine!$C$2:$C$1369,0)),"",INDEX('Compliance Database'!$D$2:$D$1369,MATCH(179,Engine!$C$2:$C$1369,0)))</f>
        <v/>
      </c>
      <c r="E192" s="8">
        <f>IF(ISNA(MATCH(179,Engine!$C$2:$C$1369,0)),"",INDEX('Compliance Database'!$E$2:$E$1369,MATCH(179,Engine!$C$2:$C$1369,0)))</f>
        <v/>
      </c>
      <c r="F192" s="8">
        <f>IF(ISNA(MATCH(179,Engine!$C$2:$C$1369,0)),"",INDEX('Compliance Database'!$F$2:$F$1369,MATCH(179,Engine!$C$2:$C$1369,0)))</f>
        <v/>
      </c>
      <c r="G192" s="8">
        <f>IF(ISNA(MATCH(179,Engine!$C$2:$C$1369,0)),"",INDEX('Compliance Database'!$G$2:$G$1369,MATCH(179,Engine!$C$2:$C$1369,0)))</f>
        <v/>
      </c>
      <c r="H192" s="9">
        <f>IF(ISNA(MATCH(179,Engine!$C$2:$C$1369,0)),"",INDEX('Compliance Database'!$H$2:$H$1369,MATCH(179,Engine!$C$2:$C$1369,0)))</f>
        <v/>
      </c>
      <c r="I192" s="9">
        <f>IF(ISNA(MATCH(179,Engine!$C$2:$C$1369,0)),"",INDEX('Compliance Database'!$I$2:$I$1369,MATCH(179,Engine!$C$2:$C$1369,0)))</f>
        <v/>
      </c>
      <c r="J192" s="8">
        <f>IF(ISNA(MATCH(179,Engine!$C$2:$C$1369,0)),"",INDEX('Compliance Database'!$J$2:$J$1369,MATCH(179,Engine!$C$2:$C$1369,0)))</f>
        <v/>
      </c>
      <c r="K192" s="9">
        <f>IF(ISNA(MATCH(179,Engine!$C$2:$C$1369,0)),"",INDEX('Compliance Database'!$K$2:$K$1369,MATCH(179,Engine!$C$2:$C$1369,0)))</f>
        <v/>
      </c>
      <c r="L192" s="9">
        <f>IF(ISNA(MATCH(179,Engine!$C$2:$C$1369,0)),"",INDEX('Compliance Database'!$L$2:$L$1369,MATCH(179,Engine!$C$2:$C$1369,0)))</f>
        <v/>
      </c>
      <c r="M192" s="9">
        <f>IF(ISNA(MATCH(179,Engine!$C$2:$C$1369,0)),"",INDEX('Compliance Database'!$M$2:$M$1369,MATCH(179,Engine!$C$2:$C$1369,0)))</f>
        <v/>
      </c>
      <c r="N192" s="9">
        <f>IF(ISNA(MATCH(179,Engine!$C$2:$C$1369,0)),"",INDEX('Compliance Database'!$N$2:$N$1369,MATCH(179,Engine!$C$2:$C$1369,0)))</f>
        <v/>
      </c>
      <c r="O192" s="8">
        <f>IF(ISNA(MATCH(179,Engine!$C$2:$C$1369,0)),"",HYPERLINK(INDEX('Compliance Database'!$O$2:$O$1369,MATCH(179,Engine!$C$2:$C$1369,0)),"Open PDF"))</f>
        <v/>
      </c>
    </row>
    <row r="193" ht="188" customHeight="1">
      <c r="A193" s="8">
        <f>IF(ISNA(MATCH(180,Engine!$C$2:$C$1369,0)),"",INDEX('Compliance Database'!$A$2:$A$1369,MATCH(180,Engine!$C$2:$C$1369,0)))</f>
        <v/>
      </c>
      <c r="B193" s="8">
        <f>IF(ISNA(MATCH(180,Engine!$C$2:$C$1369,0)),"",INDEX('Compliance Database'!$B$2:$B$1369,MATCH(180,Engine!$C$2:$C$1369,0)))</f>
        <v/>
      </c>
      <c r="C193" s="8">
        <f>IF(ISNA(MATCH(180,Engine!$C$2:$C$1369,0)),"",INDEX('Compliance Database'!$C$2:$C$1369,MATCH(180,Engine!$C$2:$C$1369,0)))</f>
        <v/>
      </c>
      <c r="D193" s="9">
        <f>IF(ISNA(MATCH(180,Engine!$C$2:$C$1369,0)),"",INDEX('Compliance Database'!$D$2:$D$1369,MATCH(180,Engine!$C$2:$C$1369,0)))</f>
        <v/>
      </c>
      <c r="E193" s="8">
        <f>IF(ISNA(MATCH(180,Engine!$C$2:$C$1369,0)),"",INDEX('Compliance Database'!$E$2:$E$1369,MATCH(180,Engine!$C$2:$C$1369,0)))</f>
        <v/>
      </c>
      <c r="F193" s="8">
        <f>IF(ISNA(MATCH(180,Engine!$C$2:$C$1369,0)),"",INDEX('Compliance Database'!$F$2:$F$1369,MATCH(180,Engine!$C$2:$C$1369,0)))</f>
        <v/>
      </c>
      <c r="G193" s="8">
        <f>IF(ISNA(MATCH(180,Engine!$C$2:$C$1369,0)),"",INDEX('Compliance Database'!$G$2:$G$1369,MATCH(180,Engine!$C$2:$C$1369,0)))</f>
        <v/>
      </c>
      <c r="H193" s="9">
        <f>IF(ISNA(MATCH(180,Engine!$C$2:$C$1369,0)),"",INDEX('Compliance Database'!$H$2:$H$1369,MATCH(180,Engine!$C$2:$C$1369,0)))</f>
        <v/>
      </c>
      <c r="I193" s="9">
        <f>IF(ISNA(MATCH(180,Engine!$C$2:$C$1369,0)),"",INDEX('Compliance Database'!$I$2:$I$1369,MATCH(180,Engine!$C$2:$C$1369,0)))</f>
        <v/>
      </c>
      <c r="J193" s="8">
        <f>IF(ISNA(MATCH(180,Engine!$C$2:$C$1369,0)),"",INDEX('Compliance Database'!$J$2:$J$1369,MATCH(180,Engine!$C$2:$C$1369,0)))</f>
        <v/>
      </c>
      <c r="K193" s="9">
        <f>IF(ISNA(MATCH(180,Engine!$C$2:$C$1369,0)),"",INDEX('Compliance Database'!$K$2:$K$1369,MATCH(180,Engine!$C$2:$C$1369,0)))</f>
        <v/>
      </c>
      <c r="L193" s="9">
        <f>IF(ISNA(MATCH(180,Engine!$C$2:$C$1369,0)),"",INDEX('Compliance Database'!$L$2:$L$1369,MATCH(180,Engine!$C$2:$C$1369,0)))</f>
        <v/>
      </c>
      <c r="M193" s="9">
        <f>IF(ISNA(MATCH(180,Engine!$C$2:$C$1369,0)),"",INDEX('Compliance Database'!$M$2:$M$1369,MATCH(180,Engine!$C$2:$C$1369,0)))</f>
        <v/>
      </c>
      <c r="N193" s="9">
        <f>IF(ISNA(MATCH(180,Engine!$C$2:$C$1369,0)),"",INDEX('Compliance Database'!$N$2:$N$1369,MATCH(180,Engine!$C$2:$C$1369,0)))</f>
        <v/>
      </c>
      <c r="O193" s="8">
        <f>IF(ISNA(MATCH(180,Engine!$C$2:$C$1369,0)),"",HYPERLINK(INDEX('Compliance Database'!$O$2:$O$1369,MATCH(180,Engine!$C$2:$C$1369,0)),"Open PDF"))</f>
        <v/>
      </c>
    </row>
    <row r="194" ht="188" customHeight="1">
      <c r="A194" s="8">
        <f>IF(ISNA(MATCH(181,Engine!$C$2:$C$1369,0)),"",INDEX('Compliance Database'!$A$2:$A$1369,MATCH(181,Engine!$C$2:$C$1369,0)))</f>
        <v/>
      </c>
      <c r="B194" s="8">
        <f>IF(ISNA(MATCH(181,Engine!$C$2:$C$1369,0)),"",INDEX('Compliance Database'!$B$2:$B$1369,MATCH(181,Engine!$C$2:$C$1369,0)))</f>
        <v/>
      </c>
      <c r="C194" s="8">
        <f>IF(ISNA(MATCH(181,Engine!$C$2:$C$1369,0)),"",INDEX('Compliance Database'!$C$2:$C$1369,MATCH(181,Engine!$C$2:$C$1369,0)))</f>
        <v/>
      </c>
      <c r="D194" s="9">
        <f>IF(ISNA(MATCH(181,Engine!$C$2:$C$1369,0)),"",INDEX('Compliance Database'!$D$2:$D$1369,MATCH(181,Engine!$C$2:$C$1369,0)))</f>
        <v/>
      </c>
      <c r="E194" s="8">
        <f>IF(ISNA(MATCH(181,Engine!$C$2:$C$1369,0)),"",INDEX('Compliance Database'!$E$2:$E$1369,MATCH(181,Engine!$C$2:$C$1369,0)))</f>
        <v/>
      </c>
      <c r="F194" s="8">
        <f>IF(ISNA(MATCH(181,Engine!$C$2:$C$1369,0)),"",INDEX('Compliance Database'!$F$2:$F$1369,MATCH(181,Engine!$C$2:$C$1369,0)))</f>
        <v/>
      </c>
      <c r="G194" s="8">
        <f>IF(ISNA(MATCH(181,Engine!$C$2:$C$1369,0)),"",INDEX('Compliance Database'!$G$2:$G$1369,MATCH(181,Engine!$C$2:$C$1369,0)))</f>
        <v/>
      </c>
      <c r="H194" s="9">
        <f>IF(ISNA(MATCH(181,Engine!$C$2:$C$1369,0)),"",INDEX('Compliance Database'!$H$2:$H$1369,MATCH(181,Engine!$C$2:$C$1369,0)))</f>
        <v/>
      </c>
      <c r="I194" s="9">
        <f>IF(ISNA(MATCH(181,Engine!$C$2:$C$1369,0)),"",INDEX('Compliance Database'!$I$2:$I$1369,MATCH(181,Engine!$C$2:$C$1369,0)))</f>
        <v/>
      </c>
      <c r="J194" s="8">
        <f>IF(ISNA(MATCH(181,Engine!$C$2:$C$1369,0)),"",INDEX('Compliance Database'!$J$2:$J$1369,MATCH(181,Engine!$C$2:$C$1369,0)))</f>
        <v/>
      </c>
      <c r="K194" s="9">
        <f>IF(ISNA(MATCH(181,Engine!$C$2:$C$1369,0)),"",INDEX('Compliance Database'!$K$2:$K$1369,MATCH(181,Engine!$C$2:$C$1369,0)))</f>
        <v/>
      </c>
      <c r="L194" s="9">
        <f>IF(ISNA(MATCH(181,Engine!$C$2:$C$1369,0)),"",INDEX('Compliance Database'!$L$2:$L$1369,MATCH(181,Engine!$C$2:$C$1369,0)))</f>
        <v/>
      </c>
      <c r="M194" s="9">
        <f>IF(ISNA(MATCH(181,Engine!$C$2:$C$1369,0)),"",INDEX('Compliance Database'!$M$2:$M$1369,MATCH(181,Engine!$C$2:$C$1369,0)))</f>
        <v/>
      </c>
      <c r="N194" s="9">
        <f>IF(ISNA(MATCH(181,Engine!$C$2:$C$1369,0)),"",INDEX('Compliance Database'!$N$2:$N$1369,MATCH(181,Engine!$C$2:$C$1369,0)))</f>
        <v/>
      </c>
      <c r="O194" s="8">
        <f>IF(ISNA(MATCH(181,Engine!$C$2:$C$1369,0)),"",HYPERLINK(INDEX('Compliance Database'!$O$2:$O$1369,MATCH(181,Engine!$C$2:$C$1369,0)),"Open PDF"))</f>
        <v/>
      </c>
    </row>
    <row r="195" ht="188" customHeight="1">
      <c r="A195" s="8">
        <f>IF(ISNA(MATCH(182,Engine!$C$2:$C$1369,0)),"",INDEX('Compliance Database'!$A$2:$A$1369,MATCH(182,Engine!$C$2:$C$1369,0)))</f>
        <v/>
      </c>
      <c r="B195" s="8">
        <f>IF(ISNA(MATCH(182,Engine!$C$2:$C$1369,0)),"",INDEX('Compliance Database'!$B$2:$B$1369,MATCH(182,Engine!$C$2:$C$1369,0)))</f>
        <v/>
      </c>
      <c r="C195" s="8">
        <f>IF(ISNA(MATCH(182,Engine!$C$2:$C$1369,0)),"",INDEX('Compliance Database'!$C$2:$C$1369,MATCH(182,Engine!$C$2:$C$1369,0)))</f>
        <v/>
      </c>
      <c r="D195" s="9">
        <f>IF(ISNA(MATCH(182,Engine!$C$2:$C$1369,0)),"",INDEX('Compliance Database'!$D$2:$D$1369,MATCH(182,Engine!$C$2:$C$1369,0)))</f>
        <v/>
      </c>
      <c r="E195" s="8">
        <f>IF(ISNA(MATCH(182,Engine!$C$2:$C$1369,0)),"",INDEX('Compliance Database'!$E$2:$E$1369,MATCH(182,Engine!$C$2:$C$1369,0)))</f>
        <v/>
      </c>
      <c r="F195" s="8">
        <f>IF(ISNA(MATCH(182,Engine!$C$2:$C$1369,0)),"",INDEX('Compliance Database'!$F$2:$F$1369,MATCH(182,Engine!$C$2:$C$1369,0)))</f>
        <v/>
      </c>
      <c r="G195" s="8">
        <f>IF(ISNA(MATCH(182,Engine!$C$2:$C$1369,0)),"",INDEX('Compliance Database'!$G$2:$G$1369,MATCH(182,Engine!$C$2:$C$1369,0)))</f>
        <v/>
      </c>
      <c r="H195" s="9">
        <f>IF(ISNA(MATCH(182,Engine!$C$2:$C$1369,0)),"",INDEX('Compliance Database'!$H$2:$H$1369,MATCH(182,Engine!$C$2:$C$1369,0)))</f>
        <v/>
      </c>
      <c r="I195" s="9">
        <f>IF(ISNA(MATCH(182,Engine!$C$2:$C$1369,0)),"",INDEX('Compliance Database'!$I$2:$I$1369,MATCH(182,Engine!$C$2:$C$1369,0)))</f>
        <v/>
      </c>
      <c r="J195" s="8">
        <f>IF(ISNA(MATCH(182,Engine!$C$2:$C$1369,0)),"",INDEX('Compliance Database'!$J$2:$J$1369,MATCH(182,Engine!$C$2:$C$1369,0)))</f>
        <v/>
      </c>
      <c r="K195" s="9">
        <f>IF(ISNA(MATCH(182,Engine!$C$2:$C$1369,0)),"",INDEX('Compliance Database'!$K$2:$K$1369,MATCH(182,Engine!$C$2:$C$1369,0)))</f>
        <v/>
      </c>
      <c r="L195" s="9">
        <f>IF(ISNA(MATCH(182,Engine!$C$2:$C$1369,0)),"",INDEX('Compliance Database'!$L$2:$L$1369,MATCH(182,Engine!$C$2:$C$1369,0)))</f>
        <v/>
      </c>
      <c r="M195" s="9">
        <f>IF(ISNA(MATCH(182,Engine!$C$2:$C$1369,0)),"",INDEX('Compliance Database'!$M$2:$M$1369,MATCH(182,Engine!$C$2:$C$1369,0)))</f>
        <v/>
      </c>
      <c r="N195" s="9">
        <f>IF(ISNA(MATCH(182,Engine!$C$2:$C$1369,0)),"",INDEX('Compliance Database'!$N$2:$N$1369,MATCH(182,Engine!$C$2:$C$1369,0)))</f>
        <v/>
      </c>
      <c r="O195" s="8">
        <f>IF(ISNA(MATCH(182,Engine!$C$2:$C$1369,0)),"",HYPERLINK(INDEX('Compliance Database'!$O$2:$O$1369,MATCH(182,Engine!$C$2:$C$1369,0)),"Open PDF"))</f>
        <v/>
      </c>
    </row>
    <row r="196" ht="188" customHeight="1">
      <c r="A196" s="8">
        <f>IF(ISNA(MATCH(183,Engine!$C$2:$C$1369,0)),"",INDEX('Compliance Database'!$A$2:$A$1369,MATCH(183,Engine!$C$2:$C$1369,0)))</f>
        <v/>
      </c>
      <c r="B196" s="8">
        <f>IF(ISNA(MATCH(183,Engine!$C$2:$C$1369,0)),"",INDEX('Compliance Database'!$B$2:$B$1369,MATCH(183,Engine!$C$2:$C$1369,0)))</f>
        <v/>
      </c>
      <c r="C196" s="8">
        <f>IF(ISNA(MATCH(183,Engine!$C$2:$C$1369,0)),"",INDEX('Compliance Database'!$C$2:$C$1369,MATCH(183,Engine!$C$2:$C$1369,0)))</f>
        <v/>
      </c>
      <c r="D196" s="9">
        <f>IF(ISNA(MATCH(183,Engine!$C$2:$C$1369,0)),"",INDEX('Compliance Database'!$D$2:$D$1369,MATCH(183,Engine!$C$2:$C$1369,0)))</f>
        <v/>
      </c>
      <c r="E196" s="8">
        <f>IF(ISNA(MATCH(183,Engine!$C$2:$C$1369,0)),"",INDEX('Compliance Database'!$E$2:$E$1369,MATCH(183,Engine!$C$2:$C$1369,0)))</f>
        <v/>
      </c>
      <c r="F196" s="8">
        <f>IF(ISNA(MATCH(183,Engine!$C$2:$C$1369,0)),"",INDEX('Compliance Database'!$F$2:$F$1369,MATCH(183,Engine!$C$2:$C$1369,0)))</f>
        <v/>
      </c>
      <c r="G196" s="8">
        <f>IF(ISNA(MATCH(183,Engine!$C$2:$C$1369,0)),"",INDEX('Compliance Database'!$G$2:$G$1369,MATCH(183,Engine!$C$2:$C$1369,0)))</f>
        <v/>
      </c>
      <c r="H196" s="9">
        <f>IF(ISNA(MATCH(183,Engine!$C$2:$C$1369,0)),"",INDEX('Compliance Database'!$H$2:$H$1369,MATCH(183,Engine!$C$2:$C$1369,0)))</f>
        <v/>
      </c>
      <c r="I196" s="9">
        <f>IF(ISNA(MATCH(183,Engine!$C$2:$C$1369,0)),"",INDEX('Compliance Database'!$I$2:$I$1369,MATCH(183,Engine!$C$2:$C$1369,0)))</f>
        <v/>
      </c>
      <c r="J196" s="8">
        <f>IF(ISNA(MATCH(183,Engine!$C$2:$C$1369,0)),"",INDEX('Compliance Database'!$J$2:$J$1369,MATCH(183,Engine!$C$2:$C$1369,0)))</f>
        <v/>
      </c>
      <c r="K196" s="9">
        <f>IF(ISNA(MATCH(183,Engine!$C$2:$C$1369,0)),"",INDEX('Compliance Database'!$K$2:$K$1369,MATCH(183,Engine!$C$2:$C$1369,0)))</f>
        <v/>
      </c>
      <c r="L196" s="9">
        <f>IF(ISNA(MATCH(183,Engine!$C$2:$C$1369,0)),"",INDEX('Compliance Database'!$L$2:$L$1369,MATCH(183,Engine!$C$2:$C$1369,0)))</f>
        <v/>
      </c>
      <c r="M196" s="9">
        <f>IF(ISNA(MATCH(183,Engine!$C$2:$C$1369,0)),"",INDEX('Compliance Database'!$M$2:$M$1369,MATCH(183,Engine!$C$2:$C$1369,0)))</f>
        <v/>
      </c>
      <c r="N196" s="9">
        <f>IF(ISNA(MATCH(183,Engine!$C$2:$C$1369,0)),"",INDEX('Compliance Database'!$N$2:$N$1369,MATCH(183,Engine!$C$2:$C$1369,0)))</f>
        <v/>
      </c>
      <c r="O196" s="8">
        <f>IF(ISNA(MATCH(183,Engine!$C$2:$C$1369,0)),"",HYPERLINK(INDEX('Compliance Database'!$O$2:$O$1369,MATCH(183,Engine!$C$2:$C$1369,0)),"Open PDF"))</f>
        <v/>
      </c>
    </row>
    <row r="197" ht="188" customHeight="1">
      <c r="A197" s="8">
        <f>IF(ISNA(MATCH(184,Engine!$C$2:$C$1369,0)),"",INDEX('Compliance Database'!$A$2:$A$1369,MATCH(184,Engine!$C$2:$C$1369,0)))</f>
        <v/>
      </c>
      <c r="B197" s="8">
        <f>IF(ISNA(MATCH(184,Engine!$C$2:$C$1369,0)),"",INDEX('Compliance Database'!$B$2:$B$1369,MATCH(184,Engine!$C$2:$C$1369,0)))</f>
        <v/>
      </c>
      <c r="C197" s="8">
        <f>IF(ISNA(MATCH(184,Engine!$C$2:$C$1369,0)),"",INDEX('Compliance Database'!$C$2:$C$1369,MATCH(184,Engine!$C$2:$C$1369,0)))</f>
        <v/>
      </c>
      <c r="D197" s="9">
        <f>IF(ISNA(MATCH(184,Engine!$C$2:$C$1369,0)),"",INDEX('Compliance Database'!$D$2:$D$1369,MATCH(184,Engine!$C$2:$C$1369,0)))</f>
        <v/>
      </c>
      <c r="E197" s="8">
        <f>IF(ISNA(MATCH(184,Engine!$C$2:$C$1369,0)),"",INDEX('Compliance Database'!$E$2:$E$1369,MATCH(184,Engine!$C$2:$C$1369,0)))</f>
        <v/>
      </c>
      <c r="F197" s="8">
        <f>IF(ISNA(MATCH(184,Engine!$C$2:$C$1369,0)),"",INDEX('Compliance Database'!$F$2:$F$1369,MATCH(184,Engine!$C$2:$C$1369,0)))</f>
        <v/>
      </c>
      <c r="G197" s="8">
        <f>IF(ISNA(MATCH(184,Engine!$C$2:$C$1369,0)),"",INDEX('Compliance Database'!$G$2:$G$1369,MATCH(184,Engine!$C$2:$C$1369,0)))</f>
        <v/>
      </c>
      <c r="H197" s="9">
        <f>IF(ISNA(MATCH(184,Engine!$C$2:$C$1369,0)),"",INDEX('Compliance Database'!$H$2:$H$1369,MATCH(184,Engine!$C$2:$C$1369,0)))</f>
        <v/>
      </c>
      <c r="I197" s="9">
        <f>IF(ISNA(MATCH(184,Engine!$C$2:$C$1369,0)),"",INDEX('Compliance Database'!$I$2:$I$1369,MATCH(184,Engine!$C$2:$C$1369,0)))</f>
        <v/>
      </c>
      <c r="J197" s="8">
        <f>IF(ISNA(MATCH(184,Engine!$C$2:$C$1369,0)),"",INDEX('Compliance Database'!$J$2:$J$1369,MATCH(184,Engine!$C$2:$C$1369,0)))</f>
        <v/>
      </c>
      <c r="K197" s="9">
        <f>IF(ISNA(MATCH(184,Engine!$C$2:$C$1369,0)),"",INDEX('Compliance Database'!$K$2:$K$1369,MATCH(184,Engine!$C$2:$C$1369,0)))</f>
        <v/>
      </c>
      <c r="L197" s="9">
        <f>IF(ISNA(MATCH(184,Engine!$C$2:$C$1369,0)),"",INDEX('Compliance Database'!$L$2:$L$1369,MATCH(184,Engine!$C$2:$C$1369,0)))</f>
        <v/>
      </c>
      <c r="M197" s="9">
        <f>IF(ISNA(MATCH(184,Engine!$C$2:$C$1369,0)),"",INDEX('Compliance Database'!$M$2:$M$1369,MATCH(184,Engine!$C$2:$C$1369,0)))</f>
        <v/>
      </c>
      <c r="N197" s="9">
        <f>IF(ISNA(MATCH(184,Engine!$C$2:$C$1369,0)),"",INDEX('Compliance Database'!$N$2:$N$1369,MATCH(184,Engine!$C$2:$C$1369,0)))</f>
        <v/>
      </c>
      <c r="O197" s="8">
        <f>IF(ISNA(MATCH(184,Engine!$C$2:$C$1369,0)),"",HYPERLINK(INDEX('Compliance Database'!$O$2:$O$1369,MATCH(184,Engine!$C$2:$C$1369,0)),"Open PDF"))</f>
        <v/>
      </c>
    </row>
    <row r="198" ht="188" customHeight="1">
      <c r="A198" s="8">
        <f>IF(ISNA(MATCH(185,Engine!$C$2:$C$1369,0)),"",INDEX('Compliance Database'!$A$2:$A$1369,MATCH(185,Engine!$C$2:$C$1369,0)))</f>
        <v/>
      </c>
      <c r="B198" s="8">
        <f>IF(ISNA(MATCH(185,Engine!$C$2:$C$1369,0)),"",INDEX('Compliance Database'!$B$2:$B$1369,MATCH(185,Engine!$C$2:$C$1369,0)))</f>
        <v/>
      </c>
      <c r="C198" s="8">
        <f>IF(ISNA(MATCH(185,Engine!$C$2:$C$1369,0)),"",INDEX('Compliance Database'!$C$2:$C$1369,MATCH(185,Engine!$C$2:$C$1369,0)))</f>
        <v/>
      </c>
      <c r="D198" s="9">
        <f>IF(ISNA(MATCH(185,Engine!$C$2:$C$1369,0)),"",INDEX('Compliance Database'!$D$2:$D$1369,MATCH(185,Engine!$C$2:$C$1369,0)))</f>
        <v/>
      </c>
      <c r="E198" s="8">
        <f>IF(ISNA(MATCH(185,Engine!$C$2:$C$1369,0)),"",INDEX('Compliance Database'!$E$2:$E$1369,MATCH(185,Engine!$C$2:$C$1369,0)))</f>
        <v/>
      </c>
      <c r="F198" s="8">
        <f>IF(ISNA(MATCH(185,Engine!$C$2:$C$1369,0)),"",INDEX('Compliance Database'!$F$2:$F$1369,MATCH(185,Engine!$C$2:$C$1369,0)))</f>
        <v/>
      </c>
      <c r="G198" s="8">
        <f>IF(ISNA(MATCH(185,Engine!$C$2:$C$1369,0)),"",INDEX('Compliance Database'!$G$2:$G$1369,MATCH(185,Engine!$C$2:$C$1369,0)))</f>
        <v/>
      </c>
      <c r="H198" s="9">
        <f>IF(ISNA(MATCH(185,Engine!$C$2:$C$1369,0)),"",INDEX('Compliance Database'!$H$2:$H$1369,MATCH(185,Engine!$C$2:$C$1369,0)))</f>
        <v/>
      </c>
      <c r="I198" s="9">
        <f>IF(ISNA(MATCH(185,Engine!$C$2:$C$1369,0)),"",INDEX('Compliance Database'!$I$2:$I$1369,MATCH(185,Engine!$C$2:$C$1369,0)))</f>
        <v/>
      </c>
      <c r="J198" s="8">
        <f>IF(ISNA(MATCH(185,Engine!$C$2:$C$1369,0)),"",INDEX('Compliance Database'!$J$2:$J$1369,MATCH(185,Engine!$C$2:$C$1369,0)))</f>
        <v/>
      </c>
      <c r="K198" s="9">
        <f>IF(ISNA(MATCH(185,Engine!$C$2:$C$1369,0)),"",INDEX('Compliance Database'!$K$2:$K$1369,MATCH(185,Engine!$C$2:$C$1369,0)))</f>
        <v/>
      </c>
      <c r="L198" s="9">
        <f>IF(ISNA(MATCH(185,Engine!$C$2:$C$1369,0)),"",INDEX('Compliance Database'!$L$2:$L$1369,MATCH(185,Engine!$C$2:$C$1369,0)))</f>
        <v/>
      </c>
      <c r="M198" s="9">
        <f>IF(ISNA(MATCH(185,Engine!$C$2:$C$1369,0)),"",INDEX('Compliance Database'!$M$2:$M$1369,MATCH(185,Engine!$C$2:$C$1369,0)))</f>
        <v/>
      </c>
      <c r="N198" s="9">
        <f>IF(ISNA(MATCH(185,Engine!$C$2:$C$1369,0)),"",INDEX('Compliance Database'!$N$2:$N$1369,MATCH(185,Engine!$C$2:$C$1369,0)))</f>
        <v/>
      </c>
      <c r="O198" s="8">
        <f>IF(ISNA(MATCH(185,Engine!$C$2:$C$1369,0)),"",HYPERLINK(INDEX('Compliance Database'!$O$2:$O$1369,MATCH(185,Engine!$C$2:$C$1369,0)),"Open PDF"))</f>
        <v/>
      </c>
    </row>
    <row r="199" ht="188" customHeight="1">
      <c r="A199" s="8">
        <f>IF(ISNA(MATCH(186,Engine!$C$2:$C$1369,0)),"",INDEX('Compliance Database'!$A$2:$A$1369,MATCH(186,Engine!$C$2:$C$1369,0)))</f>
        <v/>
      </c>
      <c r="B199" s="8">
        <f>IF(ISNA(MATCH(186,Engine!$C$2:$C$1369,0)),"",INDEX('Compliance Database'!$B$2:$B$1369,MATCH(186,Engine!$C$2:$C$1369,0)))</f>
        <v/>
      </c>
      <c r="C199" s="8">
        <f>IF(ISNA(MATCH(186,Engine!$C$2:$C$1369,0)),"",INDEX('Compliance Database'!$C$2:$C$1369,MATCH(186,Engine!$C$2:$C$1369,0)))</f>
        <v/>
      </c>
      <c r="D199" s="9">
        <f>IF(ISNA(MATCH(186,Engine!$C$2:$C$1369,0)),"",INDEX('Compliance Database'!$D$2:$D$1369,MATCH(186,Engine!$C$2:$C$1369,0)))</f>
        <v/>
      </c>
      <c r="E199" s="8">
        <f>IF(ISNA(MATCH(186,Engine!$C$2:$C$1369,0)),"",INDEX('Compliance Database'!$E$2:$E$1369,MATCH(186,Engine!$C$2:$C$1369,0)))</f>
        <v/>
      </c>
      <c r="F199" s="8">
        <f>IF(ISNA(MATCH(186,Engine!$C$2:$C$1369,0)),"",INDEX('Compliance Database'!$F$2:$F$1369,MATCH(186,Engine!$C$2:$C$1369,0)))</f>
        <v/>
      </c>
      <c r="G199" s="8">
        <f>IF(ISNA(MATCH(186,Engine!$C$2:$C$1369,0)),"",INDEX('Compliance Database'!$G$2:$G$1369,MATCH(186,Engine!$C$2:$C$1369,0)))</f>
        <v/>
      </c>
      <c r="H199" s="9">
        <f>IF(ISNA(MATCH(186,Engine!$C$2:$C$1369,0)),"",INDEX('Compliance Database'!$H$2:$H$1369,MATCH(186,Engine!$C$2:$C$1369,0)))</f>
        <v/>
      </c>
      <c r="I199" s="9">
        <f>IF(ISNA(MATCH(186,Engine!$C$2:$C$1369,0)),"",INDEX('Compliance Database'!$I$2:$I$1369,MATCH(186,Engine!$C$2:$C$1369,0)))</f>
        <v/>
      </c>
      <c r="J199" s="8">
        <f>IF(ISNA(MATCH(186,Engine!$C$2:$C$1369,0)),"",INDEX('Compliance Database'!$J$2:$J$1369,MATCH(186,Engine!$C$2:$C$1369,0)))</f>
        <v/>
      </c>
      <c r="K199" s="9">
        <f>IF(ISNA(MATCH(186,Engine!$C$2:$C$1369,0)),"",INDEX('Compliance Database'!$K$2:$K$1369,MATCH(186,Engine!$C$2:$C$1369,0)))</f>
        <v/>
      </c>
      <c r="L199" s="9">
        <f>IF(ISNA(MATCH(186,Engine!$C$2:$C$1369,0)),"",INDEX('Compliance Database'!$L$2:$L$1369,MATCH(186,Engine!$C$2:$C$1369,0)))</f>
        <v/>
      </c>
      <c r="M199" s="9">
        <f>IF(ISNA(MATCH(186,Engine!$C$2:$C$1369,0)),"",INDEX('Compliance Database'!$M$2:$M$1369,MATCH(186,Engine!$C$2:$C$1369,0)))</f>
        <v/>
      </c>
      <c r="N199" s="9">
        <f>IF(ISNA(MATCH(186,Engine!$C$2:$C$1369,0)),"",INDEX('Compliance Database'!$N$2:$N$1369,MATCH(186,Engine!$C$2:$C$1369,0)))</f>
        <v/>
      </c>
      <c r="O199" s="8">
        <f>IF(ISNA(MATCH(186,Engine!$C$2:$C$1369,0)),"",HYPERLINK(INDEX('Compliance Database'!$O$2:$O$1369,MATCH(186,Engine!$C$2:$C$1369,0)),"Open PDF"))</f>
        <v/>
      </c>
    </row>
    <row r="200" ht="188" customHeight="1">
      <c r="A200" s="8">
        <f>IF(ISNA(MATCH(187,Engine!$C$2:$C$1369,0)),"",INDEX('Compliance Database'!$A$2:$A$1369,MATCH(187,Engine!$C$2:$C$1369,0)))</f>
        <v/>
      </c>
      <c r="B200" s="8">
        <f>IF(ISNA(MATCH(187,Engine!$C$2:$C$1369,0)),"",INDEX('Compliance Database'!$B$2:$B$1369,MATCH(187,Engine!$C$2:$C$1369,0)))</f>
        <v/>
      </c>
      <c r="C200" s="8">
        <f>IF(ISNA(MATCH(187,Engine!$C$2:$C$1369,0)),"",INDEX('Compliance Database'!$C$2:$C$1369,MATCH(187,Engine!$C$2:$C$1369,0)))</f>
        <v/>
      </c>
      <c r="D200" s="9">
        <f>IF(ISNA(MATCH(187,Engine!$C$2:$C$1369,0)),"",INDEX('Compliance Database'!$D$2:$D$1369,MATCH(187,Engine!$C$2:$C$1369,0)))</f>
        <v/>
      </c>
      <c r="E200" s="8">
        <f>IF(ISNA(MATCH(187,Engine!$C$2:$C$1369,0)),"",INDEX('Compliance Database'!$E$2:$E$1369,MATCH(187,Engine!$C$2:$C$1369,0)))</f>
        <v/>
      </c>
      <c r="F200" s="8">
        <f>IF(ISNA(MATCH(187,Engine!$C$2:$C$1369,0)),"",INDEX('Compliance Database'!$F$2:$F$1369,MATCH(187,Engine!$C$2:$C$1369,0)))</f>
        <v/>
      </c>
      <c r="G200" s="8">
        <f>IF(ISNA(MATCH(187,Engine!$C$2:$C$1369,0)),"",INDEX('Compliance Database'!$G$2:$G$1369,MATCH(187,Engine!$C$2:$C$1369,0)))</f>
        <v/>
      </c>
      <c r="H200" s="9">
        <f>IF(ISNA(MATCH(187,Engine!$C$2:$C$1369,0)),"",INDEX('Compliance Database'!$H$2:$H$1369,MATCH(187,Engine!$C$2:$C$1369,0)))</f>
        <v/>
      </c>
      <c r="I200" s="9">
        <f>IF(ISNA(MATCH(187,Engine!$C$2:$C$1369,0)),"",INDEX('Compliance Database'!$I$2:$I$1369,MATCH(187,Engine!$C$2:$C$1369,0)))</f>
        <v/>
      </c>
      <c r="J200" s="8">
        <f>IF(ISNA(MATCH(187,Engine!$C$2:$C$1369,0)),"",INDEX('Compliance Database'!$J$2:$J$1369,MATCH(187,Engine!$C$2:$C$1369,0)))</f>
        <v/>
      </c>
      <c r="K200" s="9">
        <f>IF(ISNA(MATCH(187,Engine!$C$2:$C$1369,0)),"",INDEX('Compliance Database'!$K$2:$K$1369,MATCH(187,Engine!$C$2:$C$1369,0)))</f>
        <v/>
      </c>
      <c r="L200" s="9">
        <f>IF(ISNA(MATCH(187,Engine!$C$2:$C$1369,0)),"",INDEX('Compliance Database'!$L$2:$L$1369,MATCH(187,Engine!$C$2:$C$1369,0)))</f>
        <v/>
      </c>
      <c r="M200" s="9">
        <f>IF(ISNA(MATCH(187,Engine!$C$2:$C$1369,0)),"",INDEX('Compliance Database'!$M$2:$M$1369,MATCH(187,Engine!$C$2:$C$1369,0)))</f>
        <v/>
      </c>
      <c r="N200" s="9">
        <f>IF(ISNA(MATCH(187,Engine!$C$2:$C$1369,0)),"",INDEX('Compliance Database'!$N$2:$N$1369,MATCH(187,Engine!$C$2:$C$1369,0)))</f>
        <v/>
      </c>
      <c r="O200" s="8">
        <f>IF(ISNA(MATCH(187,Engine!$C$2:$C$1369,0)),"",HYPERLINK(INDEX('Compliance Database'!$O$2:$O$1369,MATCH(187,Engine!$C$2:$C$1369,0)),"Open PDF"))</f>
        <v/>
      </c>
    </row>
    <row r="201" ht="188" customHeight="1">
      <c r="A201" s="8">
        <f>IF(ISNA(MATCH(188,Engine!$C$2:$C$1369,0)),"",INDEX('Compliance Database'!$A$2:$A$1369,MATCH(188,Engine!$C$2:$C$1369,0)))</f>
        <v/>
      </c>
      <c r="B201" s="8">
        <f>IF(ISNA(MATCH(188,Engine!$C$2:$C$1369,0)),"",INDEX('Compliance Database'!$B$2:$B$1369,MATCH(188,Engine!$C$2:$C$1369,0)))</f>
        <v/>
      </c>
      <c r="C201" s="8">
        <f>IF(ISNA(MATCH(188,Engine!$C$2:$C$1369,0)),"",INDEX('Compliance Database'!$C$2:$C$1369,MATCH(188,Engine!$C$2:$C$1369,0)))</f>
        <v/>
      </c>
      <c r="D201" s="9">
        <f>IF(ISNA(MATCH(188,Engine!$C$2:$C$1369,0)),"",INDEX('Compliance Database'!$D$2:$D$1369,MATCH(188,Engine!$C$2:$C$1369,0)))</f>
        <v/>
      </c>
      <c r="E201" s="8">
        <f>IF(ISNA(MATCH(188,Engine!$C$2:$C$1369,0)),"",INDEX('Compliance Database'!$E$2:$E$1369,MATCH(188,Engine!$C$2:$C$1369,0)))</f>
        <v/>
      </c>
      <c r="F201" s="8">
        <f>IF(ISNA(MATCH(188,Engine!$C$2:$C$1369,0)),"",INDEX('Compliance Database'!$F$2:$F$1369,MATCH(188,Engine!$C$2:$C$1369,0)))</f>
        <v/>
      </c>
      <c r="G201" s="8">
        <f>IF(ISNA(MATCH(188,Engine!$C$2:$C$1369,0)),"",INDEX('Compliance Database'!$G$2:$G$1369,MATCH(188,Engine!$C$2:$C$1369,0)))</f>
        <v/>
      </c>
      <c r="H201" s="9">
        <f>IF(ISNA(MATCH(188,Engine!$C$2:$C$1369,0)),"",INDEX('Compliance Database'!$H$2:$H$1369,MATCH(188,Engine!$C$2:$C$1369,0)))</f>
        <v/>
      </c>
      <c r="I201" s="9">
        <f>IF(ISNA(MATCH(188,Engine!$C$2:$C$1369,0)),"",INDEX('Compliance Database'!$I$2:$I$1369,MATCH(188,Engine!$C$2:$C$1369,0)))</f>
        <v/>
      </c>
      <c r="J201" s="8">
        <f>IF(ISNA(MATCH(188,Engine!$C$2:$C$1369,0)),"",INDEX('Compliance Database'!$J$2:$J$1369,MATCH(188,Engine!$C$2:$C$1369,0)))</f>
        <v/>
      </c>
      <c r="K201" s="9">
        <f>IF(ISNA(MATCH(188,Engine!$C$2:$C$1369,0)),"",INDEX('Compliance Database'!$K$2:$K$1369,MATCH(188,Engine!$C$2:$C$1369,0)))</f>
        <v/>
      </c>
      <c r="L201" s="9">
        <f>IF(ISNA(MATCH(188,Engine!$C$2:$C$1369,0)),"",INDEX('Compliance Database'!$L$2:$L$1369,MATCH(188,Engine!$C$2:$C$1369,0)))</f>
        <v/>
      </c>
      <c r="M201" s="9">
        <f>IF(ISNA(MATCH(188,Engine!$C$2:$C$1369,0)),"",INDEX('Compliance Database'!$M$2:$M$1369,MATCH(188,Engine!$C$2:$C$1369,0)))</f>
        <v/>
      </c>
      <c r="N201" s="9">
        <f>IF(ISNA(MATCH(188,Engine!$C$2:$C$1369,0)),"",INDEX('Compliance Database'!$N$2:$N$1369,MATCH(188,Engine!$C$2:$C$1369,0)))</f>
        <v/>
      </c>
      <c r="O201" s="8">
        <f>IF(ISNA(MATCH(188,Engine!$C$2:$C$1369,0)),"",HYPERLINK(INDEX('Compliance Database'!$O$2:$O$1369,MATCH(188,Engine!$C$2:$C$1369,0)),"Open PDF"))</f>
        <v/>
      </c>
    </row>
    <row r="202" ht="188" customHeight="1">
      <c r="A202" s="8">
        <f>IF(ISNA(MATCH(189,Engine!$C$2:$C$1369,0)),"",INDEX('Compliance Database'!$A$2:$A$1369,MATCH(189,Engine!$C$2:$C$1369,0)))</f>
        <v/>
      </c>
      <c r="B202" s="8">
        <f>IF(ISNA(MATCH(189,Engine!$C$2:$C$1369,0)),"",INDEX('Compliance Database'!$B$2:$B$1369,MATCH(189,Engine!$C$2:$C$1369,0)))</f>
        <v/>
      </c>
      <c r="C202" s="8">
        <f>IF(ISNA(MATCH(189,Engine!$C$2:$C$1369,0)),"",INDEX('Compliance Database'!$C$2:$C$1369,MATCH(189,Engine!$C$2:$C$1369,0)))</f>
        <v/>
      </c>
      <c r="D202" s="9">
        <f>IF(ISNA(MATCH(189,Engine!$C$2:$C$1369,0)),"",INDEX('Compliance Database'!$D$2:$D$1369,MATCH(189,Engine!$C$2:$C$1369,0)))</f>
        <v/>
      </c>
      <c r="E202" s="8">
        <f>IF(ISNA(MATCH(189,Engine!$C$2:$C$1369,0)),"",INDEX('Compliance Database'!$E$2:$E$1369,MATCH(189,Engine!$C$2:$C$1369,0)))</f>
        <v/>
      </c>
      <c r="F202" s="8">
        <f>IF(ISNA(MATCH(189,Engine!$C$2:$C$1369,0)),"",INDEX('Compliance Database'!$F$2:$F$1369,MATCH(189,Engine!$C$2:$C$1369,0)))</f>
        <v/>
      </c>
      <c r="G202" s="8">
        <f>IF(ISNA(MATCH(189,Engine!$C$2:$C$1369,0)),"",INDEX('Compliance Database'!$G$2:$G$1369,MATCH(189,Engine!$C$2:$C$1369,0)))</f>
        <v/>
      </c>
      <c r="H202" s="9">
        <f>IF(ISNA(MATCH(189,Engine!$C$2:$C$1369,0)),"",INDEX('Compliance Database'!$H$2:$H$1369,MATCH(189,Engine!$C$2:$C$1369,0)))</f>
        <v/>
      </c>
      <c r="I202" s="9">
        <f>IF(ISNA(MATCH(189,Engine!$C$2:$C$1369,0)),"",INDEX('Compliance Database'!$I$2:$I$1369,MATCH(189,Engine!$C$2:$C$1369,0)))</f>
        <v/>
      </c>
      <c r="J202" s="8">
        <f>IF(ISNA(MATCH(189,Engine!$C$2:$C$1369,0)),"",INDEX('Compliance Database'!$J$2:$J$1369,MATCH(189,Engine!$C$2:$C$1369,0)))</f>
        <v/>
      </c>
      <c r="K202" s="9">
        <f>IF(ISNA(MATCH(189,Engine!$C$2:$C$1369,0)),"",INDEX('Compliance Database'!$K$2:$K$1369,MATCH(189,Engine!$C$2:$C$1369,0)))</f>
        <v/>
      </c>
      <c r="L202" s="9">
        <f>IF(ISNA(MATCH(189,Engine!$C$2:$C$1369,0)),"",INDEX('Compliance Database'!$L$2:$L$1369,MATCH(189,Engine!$C$2:$C$1369,0)))</f>
        <v/>
      </c>
      <c r="M202" s="9">
        <f>IF(ISNA(MATCH(189,Engine!$C$2:$C$1369,0)),"",INDEX('Compliance Database'!$M$2:$M$1369,MATCH(189,Engine!$C$2:$C$1369,0)))</f>
        <v/>
      </c>
      <c r="N202" s="9">
        <f>IF(ISNA(MATCH(189,Engine!$C$2:$C$1369,0)),"",INDEX('Compliance Database'!$N$2:$N$1369,MATCH(189,Engine!$C$2:$C$1369,0)))</f>
        <v/>
      </c>
      <c r="O202" s="8">
        <f>IF(ISNA(MATCH(189,Engine!$C$2:$C$1369,0)),"",HYPERLINK(INDEX('Compliance Database'!$O$2:$O$1369,MATCH(189,Engine!$C$2:$C$1369,0)),"Open PDF"))</f>
        <v/>
      </c>
    </row>
    <row r="203" ht="188" customHeight="1">
      <c r="A203" s="8">
        <f>IF(ISNA(MATCH(190,Engine!$C$2:$C$1369,0)),"",INDEX('Compliance Database'!$A$2:$A$1369,MATCH(190,Engine!$C$2:$C$1369,0)))</f>
        <v/>
      </c>
      <c r="B203" s="8">
        <f>IF(ISNA(MATCH(190,Engine!$C$2:$C$1369,0)),"",INDEX('Compliance Database'!$B$2:$B$1369,MATCH(190,Engine!$C$2:$C$1369,0)))</f>
        <v/>
      </c>
      <c r="C203" s="8">
        <f>IF(ISNA(MATCH(190,Engine!$C$2:$C$1369,0)),"",INDEX('Compliance Database'!$C$2:$C$1369,MATCH(190,Engine!$C$2:$C$1369,0)))</f>
        <v/>
      </c>
      <c r="D203" s="9">
        <f>IF(ISNA(MATCH(190,Engine!$C$2:$C$1369,0)),"",INDEX('Compliance Database'!$D$2:$D$1369,MATCH(190,Engine!$C$2:$C$1369,0)))</f>
        <v/>
      </c>
      <c r="E203" s="8">
        <f>IF(ISNA(MATCH(190,Engine!$C$2:$C$1369,0)),"",INDEX('Compliance Database'!$E$2:$E$1369,MATCH(190,Engine!$C$2:$C$1369,0)))</f>
        <v/>
      </c>
      <c r="F203" s="8">
        <f>IF(ISNA(MATCH(190,Engine!$C$2:$C$1369,0)),"",INDEX('Compliance Database'!$F$2:$F$1369,MATCH(190,Engine!$C$2:$C$1369,0)))</f>
        <v/>
      </c>
      <c r="G203" s="8">
        <f>IF(ISNA(MATCH(190,Engine!$C$2:$C$1369,0)),"",INDEX('Compliance Database'!$G$2:$G$1369,MATCH(190,Engine!$C$2:$C$1369,0)))</f>
        <v/>
      </c>
      <c r="H203" s="9">
        <f>IF(ISNA(MATCH(190,Engine!$C$2:$C$1369,0)),"",INDEX('Compliance Database'!$H$2:$H$1369,MATCH(190,Engine!$C$2:$C$1369,0)))</f>
        <v/>
      </c>
      <c r="I203" s="9">
        <f>IF(ISNA(MATCH(190,Engine!$C$2:$C$1369,0)),"",INDEX('Compliance Database'!$I$2:$I$1369,MATCH(190,Engine!$C$2:$C$1369,0)))</f>
        <v/>
      </c>
      <c r="J203" s="8">
        <f>IF(ISNA(MATCH(190,Engine!$C$2:$C$1369,0)),"",INDEX('Compliance Database'!$J$2:$J$1369,MATCH(190,Engine!$C$2:$C$1369,0)))</f>
        <v/>
      </c>
      <c r="K203" s="9">
        <f>IF(ISNA(MATCH(190,Engine!$C$2:$C$1369,0)),"",INDEX('Compliance Database'!$K$2:$K$1369,MATCH(190,Engine!$C$2:$C$1369,0)))</f>
        <v/>
      </c>
      <c r="L203" s="9">
        <f>IF(ISNA(MATCH(190,Engine!$C$2:$C$1369,0)),"",INDEX('Compliance Database'!$L$2:$L$1369,MATCH(190,Engine!$C$2:$C$1369,0)))</f>
        <v/>
      </c>
      <c r="M203" s="9">
        <f>IF(ISNA(MATCH(190,Engine!$C$2:$C$1369,0)),"",INDEX('Compliance Database'!$M$2:$M$1369,MATCH(190,Engine!$C$2:$C$1369,0)))</f>
        <v/>
      </c>
      <c r="N203" s="9">
        <f>IF(ISNA(MATCH(190,Engine!$C$2:$C$1369,0)),"",INDEX('Compliance Database'!$N$2:$N$1369,MATCH(190,Engine!$C$2:$C$1369,0)))</f>
        <v/>
      </c>
      <c r="O203" s="8">
        <f>IF(ISNA(MATCH(190,Engine!$C$2:$C$1369,0)),"",HYPERLINK(INDEX('Compliance Database'!$O$2:$O$1369,MATCH(190,Engine!$C$2:$C$1369,0)),"Open PDF"))</f>
        <v/>
      </c>
    </row>
    <row r="204" ht="188" customHeight="1">
      <c r="A204" s="8">
        <f>IF(ISNA(MATCH(191,Engine!$C$2:$C$1369,0)),"",INDEX('Compliance Database'!$A$2:$A$1369,MATCH(191,Engine!$C$2:$C$1369,0)))</f>
        <v/>
      </c>
      <c r="B204" s="8">
        <f>IF(ISNA(MATCH(191,Engine!$C$2:$C$1369,0)),"",INDEX('Compliance Database'!$B$2:$B$1369,MATCH(191,Engine!$C$2:$C$1369,0)))</f>
        <v/>
      </c>
      <c r="C204" s="8">
        <f>IF(ISNA(MATCH(191,Engine!$C$2:$C$1369,0)),"",INDEX('Compliance Database'!$C$2:$C$1369,MATCH(191,Engine!$C$2:$C$1369,0)))</f>
        <v/>
      </c>
      <c r="D204" s="9">
        <f>IF(ISNA(MATCH(191,Engine!$C$2:$C$1369,0)),"",INDEX('Compliance Database'!$D$2:$D$1369,MATCH(191,Engine!$C$2:$C$1369,0)))</f>
        <v/>
      </c>
      <c r="E204" s="8">
        <f>IF(ISNA(MATCH(191,Engine!$C$2:$C$1369,0)),"",INDEX('Compliance Database'!$E$2:$E$1369,MATCH(191,Engine!$C$2:$C$1369,0)))</f>
        <v/>
      </c>
      <c r="F204" s="8">
        <f>IF(ISNA(MATCH(191,Engine!$C$2:$C$1369,0)),"",INDEX('Compliance Database'!$F$2:$F$1369,MATCH(191,Engine!$C$2:$C$1369,0)))</f>
        <v/>
      </c>
      <c r="G204" s="8">
        <f>IF(ISNA(MATCH(191,Engine!$C$2:$C$1369,0)),"",INDEX('Compliance Database'!$G$2:$G$1369,MATCH(191,Engine!$C$2:$C$1369,0)))</f>
        <v/>
      </c>
      <c r="H204" s="9">
        <f>IF(ISNA(MATCH(191,Engine!$C$2:$C$1369,0)),"",INDEX('Compliance Database'!$H$2:$H$1369,MATCH(191,Engine!$C$2:$C$1369,0)))</f>
        <v/>
      </c>
      <c r="I204" s="9">
        <f>IF(ISNA(MATCH(191,Engine!$C$2:$C$1369,0)),"",INDEX('Compliance Database'!$I$2:$I$1369,MATCH(191,Engine!$C$2:$C$1369,0)))</f>
        <v/>
      </c>
      <c r="J204" s="8">
        <f>IF(ISNA(MATCH(191,Engine!$C$2:$C$1369,0)),"",INDEX('Compliance Database'!$J$2:$J$1369,MATCH(191,Engine!$C$2:$C$1369,0)))</f>
        <v/>
      </c>
      <c r="K204" s="9">
        <f>IF(ISNA(MATCH(191,Engine!$C$2:$C$1369,0)),"",INDEX('Compliance Database'!$K$2:$K$1369,MATCH(191,Engine!$C$2:$C$1369,0)))</f>
        <v/>
      </c>
      <c r="L204" s="9">
        <f>IF(ISNA(MATCH(191,Engine!$C$2:$C$1369,0)),"",INDEX('Compliance Database'!$L$2:$L$1369,MATCH(191,Engine!$C$2:$C$1369,0)))</f>
        <v/>
      </c>
      <c r="M204" s="9">
        <f>IF(ISNA(MATCH(191,Engine!$C$2:$C$1369,0)),"",INDEX('Compliance Database'!$M$2:$M$1369,MATCH(191,Engine!$C$2:$C$1369,0)))</f>
        <v/>
      </c>
      <c r="N204" s="9">
        <f>IF(ISNA(MATCH(191,Engine!$C$2:$C$1369,0)),"",INDEX('Compliance Database'!$N$2:$N$1369,MATCH(191,Engine!$C$2:$C$1369,0)))</f>
        <v/>
      </c>
      <c r="O204" s="8">
        <f>IF(ISNA(MATCH(191,Engine!$C$2:$C$1369,0)),"",HYPERLINK(INDEX('Compliance Database'!$O$2:$O$1369,MATCH(191,Engine!$C$2:$C$1369,0)),"Open PDF"))</f>
        <v/>
      </c>
    </row>
    <row r="205" ht="188" customHeight="1">
      <c r="A205" s="8">
        <f>IF(ISNA(MATCH(192,Engine!$C$2:$C$1369,0)),"",INDEX('Compliance Database'!$A$2:$A$1369,MATCH(192,Engine!$C$2:$C$1369,0)))</f>
        <v/>
      </c>
      <c r="B205" s="8">
        <f>IF(ISNA(MATCH(192,Engine!$C$2:$C$1369,0)),"",INDEX('Compliance Database'!$B$2:$B$1369,MATCH(192,Engine!$C$2:$C$1369,0)))</f>
        <v/>
      </c>
      <c r="C205" s="8">
        <f>IF(ISNA(MATCH(192,Engine!$C$2:$C$1369,0)),"",INDEX('Compliance Database'!$C$2:$C$1369,MATCH(192,Engine!$C$2:$C$1369,0)))</f>
        <v/>
      </c>
      <c r="D205" s="9">
        <f>IF(ISNA(MATCH(192,Engine!$C$2:$C$1369,0)),"",INDEX('Compliance Database'!$D$2:$D$1369,MATCH(192,Engine!$C$2:$C$1369,0)))</f>
        <v/>
      </c>
      <c r="E205" s="8">
        <f>IF(ISNA(MATCH(192,Engine!$C$2:$C$1369,0)),"",INDEX('Compliance Database'!$E$2:$E$1369,MATCH(192,Engine!$C$2:$C$1369,0)))</f>
        <v/>
      </c>
      <c r="F205" s="8">
        <f>IF(ISNA(MATCH(192,Engine!$C$2:$C$1369,0)),"",INDEX('Compliance Database'!$F$2:$F$1369,MATCH(192,Engine!$C$2:$C$1369,0)))</f>
        <v/>
      </c>
      <c r="G205" s="8">
        <f>IF(ISNA(MATCH(192,Engine!$C$2:$C$1369,0)),"",INDEX('Compliance Database'!$G$2:$G$1369,MATCH(192,Engine!$C$2:$C$1369,0)))</f>
        <v/>
      </c>
      <c r="H205" s="9">
        <f>IF(ISNA(MATCH(192,Engine!$C$2:$C$1369,0)),"",INDEX('Compliance Database'!$H$2:$H$1369,MATCH(192,Engine!$C$2:$C$1369,0)))</f>
        <v/>
      </c>
      <c r="I205" s="9">
        <f>IF(ISNA(MATCH(192,Engine!$C$2:$C$1369,0)),"",INDEX('Compliance Database'!$I$2:$I$1369,MATCH(192,Engine!$C$2:$C$1369,0)))</f>
        <v/>
      </c>
      <c r="J205" s="8">
        <f>IF(ISNA(MATCH(192,Engine!$C$2:$C$1369,0)),"",INDEX('Compliance Database'!$J$2:$J$1369,MATCH(192,Engine!$C$2:$C$1369,0)))</f>
        <v/>
      </c>
      <c r="K205" s="9">
        <f>IF(ISNA(MATCH(192,Engine!$C$2:$C$1369,0)),"",INDEX('Compliance Database'!$K$2:$K$1369,MATCH(192,Engine!$C$2:$C$1369,0)))</f>
        <v/>
      </c>
      <c r="L205" s="9">
        <f>IF(ISNA(MATCH(192,Engine!$C$2:$C$1369,0)),"",INDEX('Compliance Database'!$L$2:$L$1369,MATCH(192,Engine!$C$2:$C$1369,0)))</f>
        <v/>
      </c>
      <c r="M205" s="9">
        <f>IF(ISNA(MATCH(192,Engine!$C$2:$C$1369,0)),"",INDEX('Compliance Database'!$M$2:$M$1369,MATCH(192,Engine!$C$2:$C$1369,0)))</f>
        <v/>
      </c>
      <c r="N205" s="9">
        <f>IF(ISNA(MATCH(192,Engine!$C$2:$C$1369,0)),"",INDEX('Compliance Database'!$N$2:$N$1369,MATCH(192,Engine!$C$2:$C$1369,0)))</f>
        <v/>
      </c>
      <c r="O205" s="8">
        <f>IF(ISNA(MATCH(192,Engine!$C$2:$C$1369,0)),"",HYPERLINK(INDEX('Compliance Database'!$O$2:$O$1369,MATCH(192,Engine!$C$2:$C$1369,0)),"Open PDF"))</f>
        <v/>
      </c>
    </row>
    <row r="206" ht="188" customHeight="1">
      <c r="A206" s="8">
        <f>IF(ISNA(MATCH(193,Engine!$C$2:$C$1369,0)),"",INDEX('Compliance Database'!$A$2:$A$1369,MATCH(193,Engine!$C$2:$C$1369,0)))</f>
        <v/>
      </c>
      <c r="B206" s="8">
        <f>IF(ISNA(MATCH(193,Engine!$C$2:$C$1369,0)),"",INDEX('Compliance Database'!$B$2:$B$1369,MATCH(193,Engine!$C$2:$C$1369,0)))</f>
        <v/>
      </c>
      <c r="C206" s="8">
        <f>IF(ISNA(MATCH(193,Engine!$C$2:$C$1369,0)),"",INDEX('Compliance Database'!$C$2:$C$1369,MATCH(193,Engine!$C$2:$C$1369,0)))</f>
        <v/>
      </c>
      <c r="D206" s="9">
        <f>IF(ISNA(MATCH(193,Engine!$C$2:$C$1369,0)),"",INDEX('Compliance Database'!$D$2:$D$1369,MATCH(193,Engine!$C$2:$C$1369,0)))</f>
        <v/>
      </c>
      <c r="E206" s="8">
        <f>IF(ISNA(MATCH(193,Engine!$C$2:$C$1369,0)),"",INDEX('Compliance Database'!$E$2:$E$1369,MATCH(193,Engine!$C$2:$C$1369,0)))</f>
        <v/>
      </c>
      <c r="F206" s="8">
        <f>IF(ISNA(MATCH(193,Engine!$C$2:$C$1369,0)),"",INDEX('Compliance Database'!$F$2:$F$1369,MATCH(193,Engine!$C$2:$C$1369,0)))</f>
        <v/>
      </c>
      <c r="G206" s="8">
        <f>IF(ISNA(MATCH(193,Engine!$C$2:$C$1369,0)),"",INDEX('Compliance Database'!$G$2:$G$1369,MATCH(193,Engine!$C$2:$C$1369,0)))</f>
        <v/>
      </c>
      <c r="H206" s="9">
        <f>IF(ISNA(MATCH(193,Engine!$C$2:$C$1369,0)),"",INDEX('Compliance Database'!$H$2:$H$1369,MATCH(193,Engine!$C$2:$C$1369,0)))</f>
        <v/>
      </c>
      <c r="I206" s="9">
        <f>IF(ISNA(MATCH(193,Engine!$C$2:$C$1369,0)),"",INDEX('Compliance Database'!$I$2:$I$1369,MATCH(193,Engine!$C$2:$C$1369,0)))</f>
        <v/>
      </c>
      <c r="J206" s="8">
        <f>IF(ISNA(MATCH(193,Engine!$C$2:$C$1369,0)),"",INDEX('Compliance Database'!$J$2:$J$1369,MATCH(193,Engine!$C$2:$C$1369,0)))</f>
        <v/>
      </c>
      <c r="K206" s="9">
        <f>IF(ISNA(MATCH(193,Engine!$C$2:$C$1369,0)),"",INDEX('Compliance Database'!$K$2:$K$1369,MATCH(193,Engine!$C$2:$C$1369,0)))</f>
        <v/>
      </c>
      <c r="L206" s="9">
        <f>IF(ISNA(MATCH(193,Engine!$C$2:$C$1369,0)),"",INDEX('Compliance Database'!$L$2:$L$1369,MATCH(193,Engine!$C$2:$C$1369,0)))</f>
        <v/>
      </c>
      <c r="M206" s="9">
        <f>IF(ISNA(MATCH(193,Engine!$C$2:$C$1369,0)),"",INDEX('Compliance Database'!$M$2:$M$1369,MATCH(193,Engine!$C$2:$C$1369,0)))</f>
        <v/>
      </c>
      <c r="N206" s="9">
        <f>IF(ISNA(MATCH(193,Engine!$C$2:$C$1369,0)),"",INDEX('Compliance Database'!$N$2:$N$1369,MATCH(193,Engine!$C$2:$C$1369,0)))</f>
        <v/>
      </c>
      <c r="O206" s="8">
        <f>IF(ISNA(MATCH(193,Engine!$C$2:$C$1369,0)),"",HYPERLINK(INDEX('Compliance Database'!$O$2:$O$1369,MATCH(193,Engine!$C$2:$C$1369,0)),"Open PDF"))</f>
        <v/>
      </c>
    </row>
    <row r="207" ht="188" customHeight="1">
      <c r="A207" s="8">
        <f>IF(ISNA(MATCH(194,Engine!$C$2:$C$1369,0)),"",INDEX('Compliance Database'!$A$2:$A$1369,MATCH(194,Engine!$C$2:$C$1369,0)))</f>
        <v/>
      </c>
      <c r="B207" s="8">
        <f>IF(ISNA(MATCH(194,Engine!$C$2:$C$1369,0)),"",INDEX('Compliance Database'!$B$2:$B$1369,MATCH(194,Engine!$C$2:$C$1369,0)))</f>
        <v/>
      </c>
      <c r="C207" s="8">
        <f>IF(ISNA(MATCH(194,Engine!$C$2:$C$1369,0)),"",INDEX('Compliance Database'!$C$2:$C$1369,MATCH(194,Engine!$C$2:$C$1369,0)))</f>
        <v/>
      </c>
      <c r="D207" s="9">
        <f>IF(ISNA(MATCH(194,Engine!$C$2:$C$1369,0)),"",INDEX('Compliance Database'!$D$2:$D$1369,MATCH(194,Engine!$C$2:$C$1369,0)))</f>
        <v/>
      </c>
      <c r="E207" s="8">
        <f>IF(ISNA(MATCH(194,Engine!$C$2:$C$1369,0)),"",INDEX('Compliance Database'!$E$2:$E$1369,MATCH(194,Engine!$C$2:$C$1369,0)))</f>
        <v/>
      </c>
      <c r="F207" s="8">
        <f>IF(ISNA(MATCH(194,Engine!$C$2:$C$1369,0)),"",INDEX('Compliance Database'!$F$2:$F$1369,MATCH(194,Engine!$C$2:$C$1369,0)))</f>
        <v/>
      </c>
      <c r="G207" s="8">
        <f>IF(ISNA(MATCH(194,Engine!$C$2:$C$1369,0)),"",INDEX('Compliance Database'!$G$2:$G$1369,MATCH(194,Engine!$C$2:$C$1369,0)))</f>
        <v/>
      </c>
      <c r="H207" s="9">
        <f>IF(ISNA(MATCH(194,Engine!$C$2:$C$1369,0)),"",INDEX('Compliance Database'!$H$2:$H$1369,MATCH(194,Engine!$C$2:$C$1369,0)))</f>
        <v/>
      </c>
      <c r="I207" s="9">
        <f>IF(ISNA(MATCH(194,Engine!$C$2:$C$1369,0)),"",INDEX('Compliance Database'!$I$2:$I$1369,MATCH(194,Engine!$C$2:$C$1369,0)))</f>
        <v/>
      </c>
      <c r="J207" s="8">
        <f>IF(ISNA(MATCH(194,Engine!$C$2:$C$1369,0)),"",INDEX('Compliance Database'!$J$2:$J$1369,MATCH(194,Engine!$C$2:$C$1369,0)))</f>
        <v/>
      </c>
      <c r="K207" s="9">
        <f>IF(ISNA(MATCH(194,Engine!$C$2:$C$1369,0)),"",INDEX('Compliance Database'!$K$2:$K$1369,MATCH(194,Engine!$C$2:$C$1369,0)))</f>
        <v/>
      </c>
      <c r="L207" s="9">
        <f>IF(ISNA(MATCH(194,Engine!$C$2:$C$1369,0)),"",INDEX('Compliance Database'!$L$2:$L$1369,MATCH(194,Engine!$C$2:$C$1369,0)))</f>
        <v/>
      </c>
      <c r="M207" s="9">
        <f>IF(ISNA(MATCH(194,Engine!$C$2:$C$1369,0)),"",INDEX('Compliance Database'!$M$2:$M$1369,MATCH(194,Engine!$C$2:$C$1369,0)))</f>
        <v/>
      </c>
      <c r="N207" s="9">
        <f>IF(ISNA(MATCH(194,Engine!$C$2:$C$1369,0)),"",INDEX('Compliance Database'!$N$2:$N$1369,MATCH(194,Engine!$C$2:$C$1369,0)))</f>
        <v/>
      </c>
      <c r="O207" s="8">
        <f>IF(ISNA(MATCH(194,Engine!$C$2:$C$1369,0)),"",HYPERLINK(INDEX('Compliance Database'!$O$2:$O$1369,MATCH(194,Engine!$C$2:$C$1369,0)),"Open PDF"))</f>
        <v/>
      </c>
    </row>
    <row r="208" ht="188" customHeight="1">
      <c r="A208" s="8">
        <f>IF(ISNA(MATCH(195,Engine!$C$2:$C$1369,0)),"",INDEX('Compliance Database'!$A$2:$A$1369,MATCH(195,Engine!$C$2:$C$1369,0)))</f>
        <v/>
      </c>
      <c r="B208" s="8">
        <f>IF(ISNA(MATCH(195,Engine!$C$2:$C$1369,0)),"",INDEX('Compliance Database'!$B$2:$B$1369,MATCH(195,Engine!$C$2:$C$1369,0)))</f>
        <v/>
      </c>
      <c r="C208" s="8">
        <f>IF(ISNA(MATCH(195,Engine!$C$2:$C$1369,0)),"",INDEX('Compliance Database'!$C$2:$C$1369,MATCH(195,Engine!$C$2:$C$1369,0)))</f>
        <v/>
      </c>
      <c r="D208" s="9">
        <f>IF(ISNA(MATCH(195,Engine!$C$2:$C$1369,0)),"",INDEX('Compliance Database'!$D$2:$D$1369,MATCH(195,Engine!$C$2:$C$1369,0)))</f>
        <v/>
      </c>
      <c r="E208" s="8">
        <f>IF(ISNA(MATCH(195,Engine!$C$2:$C$1369,0)),"",INDEX('Compliance Database'!$E$2:$E$1369,MATCH(195,Engine!$C$2:$C$1369,0)))</f>
        <v/>
      </c>
      <c r="F208" s="8">
        <f>IF(ISNA(MATCH(195,Engine!$C$2:$C$1369,0)),"",INDEX('Compliance Database'!$F$2:$F$1369,MATCH(195,Engine!$C$2:$C$1369,0)))</f>
        <v/>
      </c>
      <c r="G208" s="8">
        <f>IF(ISNA(MATCH(195,Engine!$C$2:$C$1369,0)),"",INDEX('Compliance Database'!$G$2:$G$1369,MATCH(195,Engine!$C$2:$C$1369,0)))</f>
        <v/>
      </c>
      <c r="H208" s="9">
        <f>IF(ISNA(MATCH(195,Engine!$C$2:$C$1369,0)),"",INDEX('Compliance Database'!$H$2:$H$1369,MATCH(195,Engine!$C$2:$C$1369,0)))</f>
        <v/>
      </c>
      <c r="I208" s="9">
        <f>IF(ISNA(MATCH(195,Engine!$C$2:$C$1369,0)),"",INDEX('Compliance Database'!$I$2:$I$1369,MATCH(195,Engine!$C$2:$C$1369,0)))</f>
        <v/>
      </c>
      <c r="J208" s="8">
        <f>IF(ISNA(MATCH(195,Engine!$C$2:$C$1369,0)),"",INDEX('Compliance Database'!$J$2:$J$1369,MATCH(195,Engine!$C$2:$C$1369,0)))</f>
        <v/>
      </c>
      <c r="K208" s="9">
        <f>IF(ISNA(MATCH(195,Engine!$C$2:$C$1369,0)),"",INDEX('Compliance Database'!$K$2:$K$1369,MATCH(195,Engine!$C$2:$C$1369,0)))</f>
        <v/>
      </c>
      <c r="L208" s="9">
        <f>IF(ISNA(MATCH(195,Engine!$C$2:$C$1369,0)),"",INDEX('Compliance Database'!$L$2:$L$1369,MATCH(195,Engine!$C$2:$C$1369,0)))</f>
        <v/>
      </c>
      <c r="M208" s="9">
        <f>IF(ISNA(MATCH(195,Engine!$C$2:$C$1369,0)),"",INDEX('Compliance Database'!$M$2:$M$1369,MATCH(195,Engine!$C$2:$C$1369,0)))</f>
        <v/>
      </c>
      <c r="N208" s="9">
        <f>IF(ISNA(MATCH(195,Engine!$C$2:$C$1369,0)),"",INDEX('Compliance Database'!$N$2:$N$1369,MATCH(195,Engine!$C$2:$C$1369,0)))</f>
        <v/>
      </c>
      <c r="O208" s="8">
        <f>IF(ISNA(MATCH(195,Engine!$C$2:$C$1369,0)),"",HYPERLINK(INDEX('Compliance Database'!$O$2:$O$1369,MATCH(195,Engine!$C$2:$C$1369,0)),"Open PDF"))</f>
        <v/>
      </c>
    </row>
    <row r="209" ht="188" customHeight="1">
      <c r="A209" s="8">
        <f>IF(ISNA(MATCH(196,Engine!$C$2:$C$1369,0)),"",INDEX('Compliance Database'!$A$2:$A$1369,MATCH(196,Engine!$C$2:$C$1369,0)))</f>
        <v/>
      </c>
      <c r="B209" s="8">
        <f>IF(ISNA(MATCH(196,Engine!$C$2:$C$1369,0)),"",INDEX('Compliance Database'!$B$2:$B$1369,MATCH(196,Engine!$C$2:$C$1369,0)))</f>
        <v/>
      </c>
      <c r="C209" s="8">
        <f>IF(ISNA(MATCH(196,Engine!$C$2:$C$1369,0)),"",INDEX('Compliance Database'!$C$2:$C$1369,MATCH(196,Engine!$C$2:$C$1369,0)))</f>
        <v/>
      </c>
      <c r="D209" s="9">
        <f>IF(ISNA(MATCH(196,Engine!$C$2:$C$1369,0)),"",INDEX('Compliance Database'!$D$2:$D$1369,MATCH(196,Engine!$C$2:$C$1369,0)))</f>
        <v/>
      </c>
      <c r="E209" s="8">
        <f>IF(ISNA(MATCH(196,Engine!$C$2:$C$1369,0)),"",INDEX('Compliance Database'!$E$2:$E$1369,MATCH(196,Engine!$C$2:$C$1369,0)))</f>
        <v/>
      </c>
      <c r="F209" s="8">
        <f>IF(ISNA(MATCH(196,Engine!$C$2:$C$1369,0)),"",INDEX('Compliance Database'!$F$2:$F$1369,MATCH(196,Engine!$C$2:$C$1369,0)))</f>
        <v/>
      </c>
      <c r="G209" s="8">
        <f>IF(ISNA(MATCH(196,Engine!$C$2:$C$1369,0)),"",INDEX('Compliance Database'!$G$2:$G$1369,MATCH(196,Engine!$C$2:$C$1369,0)))</f>
        <v/>
      </c>
      <c r="H209" s="9">
        <f>IF(ISNA(MATCH(196,Engine!$C$2:$C$1369,0)),"",INDEX('Compliance Database'!$H$2:$H$1369,MATCH(196,Engine!$C$2:$C$1369,0)))</f>
        <v/>
      </c>
      <c r="I209" s="9">
        <f>IF(ISNA(MATCH(196,Engine!$C$2:$C$1369,0)),"",INDEX('Compliance Database'!$I$2:$I$1369,MATCH(196,Engine!$C$2:$C$1369,0)))</f>
        <v/>
      </c>
      <c r="J209" s="8">
        <f>IF(ISNA(MATCH(196,Engine!$C$2:$C$1369,0)),"",INDEX('Compliance Database'!$J$2:$J$1369,MATCH(196,Engine!$C$2:$C$1369,0)))</f>
        <v/>
      </c>
      <c r="K209" s="9">
        <f>IF(ISNA(MATCH(196,Engine!$C$2:$C$1369,0)),"",INDEX('Compliance Database'!$K$2:$K$1369,MATCH(196,Engine!$C$2:$C$1369,0)))</f>
        <v/>
      </c>
      <c r="L209" s="9">
        <f>IF(ISNA(MATCH(196,Engine!$C$2:$C$1369,0)),"",INDEX('Compliance Database'!$L$2:$L$1369,MATCH(196,Engine!$C$2:$C$1369,0)))</f>
        <v/>
      </c>
      <c r="M209" s="9">
        <f>IF(ISNA(MATCH(196,Engine!$C$2:$C$1369,0)),"",INDEX('Compliance Database'!$M$2:$M$1369,MATCH(196,Engine!$C$2:$C$1369,0)))</f>
        <v/>
      </c>
      <c r="N209" s="9">
        <f>IF(ISNA(MATCH(196,Engine!$C$2:$C$1369,0)),"",INDEX('Compliance Database'!$N$2:$N$1369,MATCH(196,Engine!$C$2:$C$1369,0)))</f>
        <v/>
      </c>
      <c r="O209" s="8">
        <f>IF(ISNA(MATCH(196,Engine!$C$2:$C$1369,0)),"",HYPERLINK(INDEX('Compliance Database'!$O$2:$O$1369,MATCH(196,Engine!$C$2:$C$1369,0)),"Open PDF"))</f>
        <v/>
      </c>
    </row>
    <row r="210" ht="188" customHeight="1">
      <c r="A210" s="8">
        <f>IF(ISNA(MATCH(197,Engine!$C$2:$C$1369,0)),"",INDEX('Compliance Database'!$A$2:$A$1369,MATCH(197,Engine!$C$2:$C$1369,0)))</f>
        <v/>
      </c>
      <c r="B210" s="8">
        <f>IF(ISNA(MATCH(197,Engine!$C$2:$C$1369,0)),"",INDEX('Compliance Database'!$B$2:$B$1369,MATCH(197,Engine!$C$2:$C$1369,0)))</f>
        <v/>
      </c>
      <c r="C210" s="8">
        <f>IF(ISNA(MATCH(197,Engine!$C$2:$C$1369,0)),"",INDEX('Compliance Database'!$C$2:$C$1369,MATCH(197,Engine!$C$2:$C$1369,0)))</f>
        <v/>
      </c>
      <c r="D210" s="9">
        <f>IF(ISNA(MATCH(197,Engine!$C$2:$C$1369,0)),"",INDEX('Compliance Database'!$D$2:$D$1369,MATCH(197,Engine!$C$2:$C$1369,0)))</f>
        <v/>
      </c>
      <c r="E210" s="8">
        <f>IF(ISNA(MATCH(197,Engine!$C$2:$C$1369,0)),"",INDEX('Compliance Database'!$E$2:$E$1369,MATCH(197,Engine!$C$2:$C$1369,0)))</f>
        <v/>
      </c>
      <c r="F210" s="8">
        <f>IF(ISNA(MATCH(197,Engine!$C$2:$C$1369,0)),"",INDEX('Compliance Database'!$F$2:$F$1369,MATCH(197,Engine!$C$2:$C$1369,0)))</f>
        <v/>
      </c>
      <c r="G210" s="8">
        <f>IF(ISNA(MATCH(197,Engine!$C$2:$C$1369,0)),"",INDEX('Compliance Database'!$G$2:$G$1369,MATCH(197,Engine!$C$2:$C$1369,0)))</f>
        <v/>
      </c>
      <c r="H210" s="9">
        <f>IF(ISNA(MATCH(197,Engine!$C$2:$C$1369,0)),"",INDEX('Compliance Database'!$H$2:$H$1369,MATCH(197,Engine!$C$2:$C$1369,0)))</f>
        <v/>
      </c>
      <c r="I210" s="9">
        <f>IF(ISNA(MATCH(197,Engine!$C$2:$C$1369,0)),"",INDEX('Compliance Database'!$I$2:$I$1369,MATCH(197,Engine!$C$2:$C$1369,0)))</f>
        <v/>
      </c>
      <c r="J210" s="8">
        <f>IF(ISNA(MATCH(197,Engine!$C$2:$C$1369,0)),"",INDEX('Compliance Database'!$J$2:$J$1369,MATCH(197,Engine!$C$2:$C$1369,0)))</f>
        <v/>
      </c>
      <c r="K210" s="9">
        <f>IF(ISNA(MATCH(197,Engine!$C$2:$C$1369,0)),"",INDEX('Compliance Database'!$K$2:$K$1369,MATCH(197,Engine!$C$2:$C$1369,0)))</f>
        <v/>
      </c>
      <c r="L210" s="9">
        <f>IF(ISNA(MATCH(197,Engine!$C$2:$C$1369,0)),"",INDEX('Compliance Database'!$L$2:$L$1369,MATCH(197,Engine!$C$2:$C$1369,0)))</f>
        <v/>
      </c>
      <c r="M210" s="9">
        <f>IF(ISNA(MATCH(197,Engine!$C$2:$C$1369,0)),"",INDEX('Compliance Database'!$M$2:$M$1369,MATCH(197,Engine!$C$2:$C$1369,0)))</f>
        <v/>
      </c>
      <c r="N210" s="9">
        <f>IF(ISNA(MATCH(197,Engine!$C$2:$C$1369,0)),"",INDEX('Compliance Database'!$N$2:$N$1369,MATCH(197,Engine!$C$2:$C$1369,0)))</f>
        <v/>
      </c>
      <c r="O210" s="8">
        <f>IF(ISNA(MATCH(197,Engine!$C$2:$C$1369,0)),"",HYPERLINK(INDEX('Compliance Database'!$O$2:$O$1369,MATCH(197,Engine!$C$2:$C$1369,0)),"Open PDF"))</f>
        <v/>
      </c>
    </row>
    <row r="211" ht="188" customHeight="1">
      <c r="A211" s="8">
        <f>IF(ISNA(MATCH(198,Engine!$C$2:$C$1369,0)),"",INDEX('Compliance Database'!$A$2:$A$1369,MATCH(198,Engine!$C$2:$C$1369,0)))</f>
        <v/>
      </c>
      <c r="B211" s="8">
        <f>IF(ISNA(MATCH(198,Engine!$C$2:$C$1369,0)),"",INDEX('Compliance Database'!$B$2:$B$1369,MATCH(198,Engine!$C$2:$C$1369,0)))</f>
        <v/>
      </c>
      <c r="C211" s="8">
        <f>IF(ISNA(MATCH(198,Engine!$C$2:$C$1369,0)),"",INDEX('Compliance Database'!$C$2:$C$1369,MATCH(198,Engine!$C$2:$C$1369,0)))</f>
        <v/>
      </c>
      <c r="D211" s="9">
        <f>IF(ISNA(MATCH(198,Engine!$C$2:$C$1369,0)),"",INDEX('Compliance Database'!$D$2:$D$1369,MATCH(198,Engine!$C$2:$C$1369,0)))</f>
        <v/>
      </c>
      <c r="E211" s="8">
        <f>IF(ISNA(MATCH(198,Engine!$C$2:$C$1369,0)),"",INDEX('Compliance Database'!$E$2:$E$1369,MATCH(198,Engine!$C$2:$C$1369,0)))</f>
        <v/>
      </c>
      <c r="F211" s="8">
        <f>IF(ISNA(MATCH(198,Engine!$C$2:$C$1369,0)),"",INDEX('Compliance Database'!$F$2:$F$1369,MATCH(198,Engine!$C$2:$C$1369,0)))</f>
        <v/>
      </c>
      <c r="G211" s="8">
        <f>IF(ISNA(MATCH(198,Engine!$C$2:$C$1369,0)),"",INDEX('Compliance Database'!$G$2:$G$1369,MATCH(198,Engine!$C$2:$C$1369,0)))</f>
        <v/>
      </c>
      <c r="H211" s="9">
        <f>IF(ISNA(MATCH(198,Engine!$C$2:$C$1369,0)),"",INDEX('Compliance Database'!$H$2:$H$1369,MATCH(198,Engine!$C$2:$C$1369,0)))</f>
        <v/>
      </c>
      <c r="I211" s="9">
        <f>IF(ISNA(MATCH(198,Engine!$C$2:$C$1369,0)),"",INDEX('Compliance Database'!$I$2:$I$1369,MATCH(198,Engine!$C$2:$C$1369,0)))</f>
        <v/>
      </c>
      <c r="J211" s="8">
        <f>IF(ISNA(MATCH(198,Engine!$C$2:$C$1369,0)),"",INDEX('Compliance Database'!$J$2:$J$1369,MATCH(198,Engine!$C$2:$C$1369,0)))</f>
        <v/>
      </c>
      <c r="K211" s="9">
        <f>IF(ISNA(MATCH(198,Engine!$C$2:$C$1369,0)),"",INDEX('Compliance Database'!$K$2:$K$1369,MATCH(198,Engine!$C$2:$C$1369,0)))</f>
        <v/>
      </c>
      <c r="L211" s="9">
        <f>IF(ISNA(MATCH(198,Engine!$C$2:$C$1369,0)),"",INDEX('Compliance Database'!$L$2:$L$1369,MATCH(198,Engine!$C$2:$C$1369,0)))</f>
        <v/>
      </c>
      <c r="M211" s="9">
        <f>IF(ISNA(MATCH(198,Engine!$C$2:$C$1369,0)),"",INDEX('Compliance Database'!$M$2:$M$1369,MATCH(198,Engine!$C$2:$C$1369,0)))</f>
        <v/>
      </c>
      <c r="N211" s="9">
        <f>IF(ISNA(MATCH(198,Engine!$C$2:$C$1369,0)),"",INDEX('Compliance Database'!$N$2:$N$1369,MATCH(198,Engine!$C$2:$C$1369,0)))</f>
        <v/>
      </c>
      <c r="O211" s="8">
        <f>IF(ISNA(MATCH(198,Engine!$C$2:$C$1369,0)),"",HYPERLINK(INDEX('Compliance Database'!$O$2:$O$1369,MATCH(198,Engine!$C$2:$C$1369,0)),"Open PDF"))</f>
        <v/>
      </c>
    </row>
    <row r="212" ht="188" customHeight="1">
      <c r="A212" s="8">
        <f>IF(ISNA(MATCH(199,Engine!$C$2:$C$1369,0)),"",INDEX('Compliance Database'!$A$2:$A$1369,MATCH(199,Engine!$C$2:$C$1369,0)))</f>
        <v/>
      </c>
      <c r="B212" s="8">
        <f>IF(ISNA(MATCH(199,Engine!$C$2:$C$1369,0)),"",INDEX('Compliance Database'!$B$2:$B$1369,MATCH(199,Engine!$C$2:$C$1369,0)))</f>
        <v/>
      </c>
      <c r="C212" s="8">
        <f>IF(ISNA(MATCH(199,Engine!$C$2:$C$1369,0)),"",INDEX('Compliance Database'!$C$2:$C$1369,MATCH(199,Engine!$C$2:$C$1369,0)))</f>
        <v/>
      </c>
      <c r="D212" s="9">
        <f>IF(ISNA(MATCH(199,Engine!$C$2:$C$1369,0)),"",INDEX('Compliance Database'!$D$2:$D$1369,MATCH(199,Engine!$C$2:$C$1369,0)))</f>
        <v/>
      </c>
      <c r="E212" s="8">
        <f>IF(ISNA(MATCH(199,Engine!$C$2:$C$1369,0)),"",INDEX('Compliance Database'!$E$2:$E$1369,MATCH(199,Engine!$C$2:$C$1369,0)))</f>
        <v/>
      </c>
      <c r="F212" s="8">
        <f>IF(ISNA(MATCH(199,Engine!$C$2:$C$1369,0)),"",INDEX('Compliance Database'!$F$2:$F$1369,MATCH(199,Engine!$C$2:$C$1369,0)))</f>
        <v/>
      </c>
      <c r="G212" s="8">
        <f>IF(ISNA(MATCH(199,Engine!$C$2:$C$1369,0)),"",INDEX('Compliance Database'!$G$2:$G$1369,MATCH(199,Engine!$C$2:$C$1369,0)))</f>
        <v/>
      </c>
      <c r="H212" s="9">
        <f>IF(ISNA(MATCH(199,Engine!$C$2:$C$1369,0)),"",INDEX('Compliance Database'!$H$2:$H$1369,MATCH(199,Engine!$C$2:$C$1369,0)))</f>
        <v/>
      </c>
      <c r="I212" s="9">
        <f>IF(ISNA(MATCH(199,Engine!$C$2:$C$1369,0)),"",INDEX('Compliance Database'!$I$2:$I$1369,MATCH(199,Engine!$C$2:$C$1369,0)))</f>
        <v/>
      </c>
      <c r="J212" s="8">
        <f>IF(ISNA(MATCH(199,Engine!$C$2:$C$1369,0)),"",INDEX('Compliance Database'!$J$2:$J$1369,MATCH(199,Engine!$C$2:$C$1369,0)))</f>
        <v/>
      </c>
      <c r="K212" s="9">
        <f>IF(ISNA(MATCH(199,Engine!$C$2:$C$1369,0)),"",INDEX('Compliance Database'!$K$2:$K$1369,MATCH(199,Engine!$C$2:$C$1369,0)))</f>
        <v/>
      </c>
      <c r="L212" s="9">
        <f>IF(ISNA(MATCH(199,Engine!$C$2:$C$1369,0)),"",INDEX('Compliance Database'!$L$2:$L$1369,MATCH(199,Engine!$C$2:$C$1369,0)))</f>
        <v/>
      </c>
      <c r="M212" s="9">
        <f>IF(ISNA(MATCH(199,Engine!$C$2:$C$1369,0)),"",INDEX('Compliance Database'!$M$2:$M$1369,MATCH(199,Engine!$C$2:$C$1369,0)))</f>
        <v/>
      </c>
      <c r="N212" s="9">
        <f>IF(ISNA(MATCH(199,Engine!$C$2:$C$1369,0)),"",INDEX('Compliance Database'!$N$2:$N$1369,MATCH(199,Engine!$C$2:$C$1369,0)))</f>
        <v/>
      </c>
      <c r="O212" s="8">
        <f>IF(ISNA(MATCH(199,Engine!$C$2:$C$1369,0)),"",HYPERLINK(INDEX('Compliance Database'!$O$2:$O$1369,MATCH(199,Engine!$C$2:$C$1369,0)),"Open PDF"))</f>
        <v/>
      </c>
    </row>
    <row r="213" ht="188" customHeight="1">
      <c r="A213" s="8">
        <f>IF(ISNA(MATCH(200,Engine!$C$2:$C$1369,0)),"",INDEX('Compliance Database'!$A$2:$A$1369,MATCH(200,Engine!$C$2:$C$1369,0)))</f>
        <v/>
      </c>
      <c r="B213" s="8">
        <f>IF(ISNA(MATCH(200,Engine!$C$2:$C$1369,0)),"",INDEX('Compliance Database'!$B$2:$B$1369,MATCH(200,Engine!$C$2:$C$1369,0)))</f>
        <v/>
      </c>
      <c r="C213" s="8">
        <f>IF(ISNA(MATCH(200,Engine!$C$2:$C$1369,0)),"",INDEX('Compliance Database'!$C$2:$C$1369,MATCH(200,Engine!$C$2:$C$1369,0)))</f>
        <v/>
      </c>
      <c r="D213" s="9">
        <f>IF(ISNA(MATCH(200,Engine!$C$2:$C$1369,0)),"",INDEX('Compliance Database'!$D$2:$D$1369,MATCH(200,Engine!$C$2:$C$1369,0)))</f>
        <v/>
      </c>
      <c r="E213" s="8">
        <f>IF(ISNA(MATCH(200,Engine!$C$2:$C$1369,0)),"",INDEX('Compliance Database'!$E$2:$E$1369,MATCH(200,Engine!$C$2:$C$1369,0)))</f>
        <v/>
      </c>
      <c r="F213" s="8">
        <f>IF(ISNA(MATCH(200,Engine!$C$2:$C$1369,0)),"",INDEX('Compliance Database'!$F$2:$F$1369,MATCH(200,Engine!$C$2:$C$1369,0)))</f>
        <v/>
      </c>
      <c r="G213" s="8">
        <f>IF(ISNA(MATCH(200,Engine!$C$2:$C$1369,0)),"",INDEX('Compliance Database'!$G$2:$G$1369,MATCH(200,Engine!$C$2:$C$1369,0)))</f>
        <v/>
      </c>
      <c r="H213" s="9">
        <f>IF(ISNA(MATCH(200,Engine!$C$2:$C$1369,0)),"",INDEX('Compliance Database'!$H$2:$H$1369,MATCH(200,Engine!$C$2:$C$1369,0)))</f>
        <v/>
      </c>
      <c r="I213" s="9">
        <f>IF(ISNA(MATCH(200,Engine!$C$2:$C$1369,0)),"",INDEX('Compliance Database'!$I$2:$I$1369,MATCH(200,Engine!$C$2:$C$1369,0)))</f>
        <v/>
      </c>
      <c r="J213" s="8">
        <f>IF(ISNA(MATCH(200,Engine!$C$2:$C$1369,0)),"",INDEX('Compliance Database'!$J$2:$J$1369,MATCH(200,Engine!$C$2:$C$1369,0)))</f>
        <v/>
      </c>
      <c r="K213" s="9">
        <f>IF(ISNA(MATCH(200,Engine!$C$2:$C$1369,0)),"",INDEX('Compliance Database'!$K$2:$K$1369,MATCH(200,Engine!$C$2:$C$1369,0)))</f>
        <v/>
      </c>
      <c r="L213" s="9">
        <f>IF(ISNA(MATCH(200,Engine!$C$2:$C$1369,0)),"",INDEX('Compliance Database'!$L$2:$L$1369,MATCH(200,Engine!$C$2:$C$1369,0)))</f>
        <v/>
      </c>
      <c r="M213" s="9">
        <f>IF(ISNA(MATCH(200,Engine!$C$2:$C$1369,0)),"",INDEX('Compliance Database'!$M$2:$M$1369,MATCH(200,Engine!$C$2:$C$1369,0)))</f>
        <v/>
      </c>
      <c r="N213" s="9">
        <f>IF(ISNA(MATCH(200,Engine!$C$2:$C$1369,0)),"",INDEX('Compliance Database'!$N$2:$N$1369,MATCH(200,Engine!$C$2:$C$1369,0)))</f>
        <v/>
      </c>
      <c r="O213" s="8">
        <f>IF(ISNA(MATCH(200,Engine!$C$2:$C$1369,0)),"",HYPERLINK(INDEX('Compliance Database'!$O$2:$O$1369,MATCH(200,Engine!$C$2:$C$1369,0)),"Open PDF"))</f>
        <v/>
      </c>
    </row>
    <row r="214" ht="188" customHeight="1">
      <c r="A214" s="8">
        <f>IF(ISNA(MATCH(201,Engine!$C$2:$C$1369,0)),"",INDEX('Compliance Database'!$A$2:$A$1369,MATCH(201,Engine!$C$2:$C$1369,0)))</f>
        <v/>
      </c>
      <c r="B214" s="8">
        <f>IF(ISNA(MATCH(201,Engine!$C$2:$C$1369,0)),"",INDEX('Compliance Database'!$B$2:$B$1369,MATCH(201,Engine!$C$2:$C$1369,0)))</f>
        <v/>
      </c>
      <c r="C214" s="8">
        <f>IF(ISNA(MATCH(201,Engine!$C$2:$C$1369,0)),"",INDEX('Compliance Database'!$C$2:$C$1369,MATCH(201,Engine!$C$2:$C$1369,0)))</f>
        <v/>
      </c>
      <c r="D214" s="9">
        <f>IF(ISNA(MATCH(201,Engine!$C$2:$C$1369,0)),"",INDEX('Compliance Database'!$D$2:$D$1369,MATCH(201,Engine!$C$2:$C$1369,0)))</f>
        <v/>
      </c>
      <c r="E214" s="8">
        <f>IF(ISNA(MATCH(201,Engine!$C$2:$C$1369,0)),"",INDEX('Compliance Database'!$E$2:$E$1369,MATCH(201,Engine!$C$2:$C$1369,0)))</f>
        <v/>
      </c>
      <c r="F214" s="8">
        <f>IF(ISNA(MATCH(201,Engine!$C$2:$C$1369,0)),"",INDEX('Compliance Database'!$F$2:$F$1369,MATCH(201,Engine!$C$2:$C$1369,0)))</f>
        <v/>
      </c>
      <c r="G214" s="8">
        <f>IF(ISNA(MATCH(201,Engine!$C$2:$C$1369,0)),"",INDEX('Compliance Database'!$G$2:$G$1369,MATCH(201,Engine!$C$2:$C$1369,0)))</f>
        <v/>
      </c>
      <c r="H214" s="9">
        <f>IF(ISNA(MATCH(201,Engine!$C$2:$C$1369,0)),"",INDEX('Compliance Database'!$H$2:$H$1369,MATCH(201,Engine!$C$2:$C$1369,0)))</f>
        <v/>
      </c>
      <c r="I214" s="9">
        <f>IF(ISNA(MATCH(201,Engine!$C$2:$C$1369,0)),"",INDEX('Compliance Database'!$I$2:$I$1369,MATCH(201,Engine!$C$2:$C$1369,0)))</f>
        <v/>
      </c>
      <c r="J214" s="8">
        <f>IF(ISNA(MATCH(201,Engine!$C$2:$C$1369,0)),"",INDEX('Compliance Database'!$J$2:$J$1369,MATCH(201,Engine!$C$2:$C$1369,0)))</f>
        <v/>
      </c>
      <c r="K214" s="9">
        <f>IF(ISNA(MATCH(201,Engine!$C$2:$C$1369,0)),"",INDEX('Compliance Database'!$K$2:$K$1369,MATCH(201,Engine!$C$2:$C$1369,0)))</f>
        <v/>
      </c>
      <c r="L214" s="9">
        <f>IF(ISNA(MATCH(201,Engine!$C$2:$C$1369,0)),"",INDEX('Compliance Database'!$L$2:$L$1369,MATCH(201,Engine!$C$2:$C$1369,0)))</f>
        <v/>
      </c>
      <c r="M214" s="9">
        <f>IF(ISNA(MATCH(201,Engine!$C$2:$C$1369,0)),"",INDEX('Compliance Database'!$M$2:$M$1369,MATCH(201,Engine!$C$2:$C$1369,0)))</f>
        <v/>
      </c>
      <c r="N214" s="9">
        <f>IF(ISNA(MATCH(201,Engine!$C$2:$C$1369,0)),"",INDEX('Compliance Database'!$N$2:$N$1369,MATCH(201,Engine!$C$2:$C$1369,0)))</f>
        <v/>
      </c>
      <c r="O214" s="8">
        <f>IF(ISNA(MATCH(201,Engine!$C$2:$C$1369,0)),"",HYPERLINK(INDEX('Compliance Database'!$O$2:$O$1369,MATCH(201,Engine!$C$2:$C$1369,0)),"Open PDF"))</f>
        <v/>
      </c>
    </row>
    <row r="215" ht="188" customHeight="1">
      <c r="A215" s="8">
        <f>IF(ISNA(MATCH(202,Engine!$C$2:$C$1369,0)),"",INDEX('Compliance Database'!$A$2:$A$1369,MATCH(202,Engine!$C$2:$C$1369,0)))</f>
        <v/>
      </c>
      <c r="B215" s="8">
        <f>IF(ISNA(MATCH(202,Engine!$C$2:$C$1369,0)),"",INDEX('Compliance Database'!$B$2:$B$1369,MATCH(202,Engine!$C$2:$C$1369,0)))</f>
        <v/>
      </c>
      <c r="C215" s="8">
        <f>IF(ISNA(MATCH(202,Engine!$C$2:$C$1369,0)),"",INDEX('Compliance Database'!$C$2:$C$1369,MATCH(202,Engine!$C$2:$C$1369,0)))</f>
        <v/>
      </c>
      <c r="D215" s="9">
        <f>IF(ISNA(MATCH(202,Engine!$C$2:$C$1369,0)),"",INDEX('Compliance Database'!$D$2:$D$1369,MATCH(202,Engine!$C$2:$C$1369,0)))</f>
        <v/>
      </c>
      <c r="E215" s="8">
        <f>IF(ISNA(MATCH(202,Engine!$C$2:$C$1369,0)),"",INDEX('Compliance Database'!$E$2:$E$1369,MATCH(202,Engine!$C$2:$C$1369,0)))</f>
        <v/>
      </c>
      <c r="F215" s="8">
        <f>IF(ISNA(MATCH(202,Engine!$C$2:$C$1369,0)),"",INDEX('Compliance Database'!$F$2:$F$1369,MATCH(202,Engine!$C$2:$C$1369,0)))</f>
        <v/>
      </c>
      <c r="G215" s="8">
        <f>IF(ISNA(MATCH(202,Engine!$C$2:$C$1369,0)),"",INDEX('Compliance Database'!$G$2:$G$1369,MATCH(202,Engine!$C$2:$C$1369,0)))</f>
        <v/>
      </c>
      <c r="H215" s="9">
        <f>IF(ISNA(MATCH(202,Engine!$C$2:$C$1369,0)),"",INDEX('Compliance Database'!$H$2:$H$1369,MATCH(202,Engine!$C$2:$C$1369,0)))</f>
        <v/>
      </c>
      <c r="I215" s="9">
        <f>IF(ISNA(MATCH(202,Engine!$C$2:$C$1369,0)),"",INDEX('Compliance Database'!$I$2:$I$1369,MATCH(202,Engine!$C$2:$C$1369,0)))</f>
        <v/>
      </c>
      <c r="J215" s="8">
        <f>IF(ISNA(MATCH(202,Engine!$C$2:$C$1369,0)),"",INDEX('Compliance Database'!$J$2:$J$1369,MATCH(202,Engine!$C$2:$C$1369,0)))</f>
        <v/>
      </c>
      <c r="K215" s="9">
        <f>IF(ISNA(MATCH(202,Engine!$C$2:$C$1369,0)),"",INDEX('Compliance Database'!$K$2:$K$1369,MATCH(202,Engine!$C$2:$C$1369,0)))</f>
        <v/>
      </c>
      <c r="L215" s="9">
        <f>IF(ISNA(MATCH(202,Engine!$C$2:$C$1369,0)),"",INDEX('Compliance Database'!$L$2:$L$1369,MATCH(202,Engine!$C$2:$C$1369,0)))</f>
        <v/>
      </c>
      <c r="M215" s="9">
        <f>IF(ISNA(MATCH(202,Engine!$C$2:$C$1369,0)),"",INDEX('Compliance Database'!$M$2:$M$1369,MATCH(202,Engine!$C$2:$C$1369,0)))</f>
        <v/>
      </c>
      <c r="N215" s="9">
        <f>IF(ISNA(MATCH(202,Engine!$C$2:$C$1369,0)),"",INDEX('Compliance Database'!$N$2:$N$1369,MATCH(202,Engine!$C$2:$C$1369,0)))</f>
        <v/>
      </c>
      <c r="O215" s="8">
        <f>IF(ISNA(MATCH(202,Engine!$C$2:$C$1369,0)),"",HYPERLINK(INDEX('Compliance Database'!$O$2:$O$1369,MATCH(202,Engine!$C$2:$C$1369,0)),"Open PDF"))</f>
        <v/>
      </c>
    </row>
    <row r="216" ht="188" customHeight="1">
      <c r="A216" s="8">
        <f>IF(ISNA(MATCH(203,Engine!$C$2:$C$1369,0)),"",INDEX('Compliance Database'!$A$2:$A$1369,MATCH(203,Engine!$C$2:$C$1369,0)))</f>
        <v/>
      </c>
      <c r="B216" s="8">
        <f>IF(ISNA(MATCH(203,Engine!$C$2:$C$1369,0)),"",INDEX('Compliance Database'!$B$2:$B$1369,MATCH(203,Engine!$C$2:$C$1369,0)))</f>
        <v/>
      </c>
      <c r="C216" s="8">
        <f>IF(ISNA(MATCH(203,Engine!$C$2:$C$1369,0)),"",INDEX('Compliance Database'!$C$2:$C$1369,MATCH(203,Engine!$C$2:$C$1369,0)))</f>
        <v/>
      </c>
      <c r="D216" s="9">
        <f>IF(ISNA(MATCH(203,Engine!$C$2:$C$1369,0)),"",INDEX('Compliance Database'!$D$2:$D$1369,MATCH(203,Engine!$C$2:$C$1369,0)))</f>
        <v/>
      </c>
      <c r="E216" s="8">
        <f>IF(ISNA(MATCH(203,Engine!$C$2:$C$1369,0)),"",INDEX('Compliance Database'!$E$2:$E$1369,MATCH(203,Engine!$C$2:$C$1369,0)))</f>
        <v/>
      </c>
      <c r="F216" s="8">
        <f>IF(ISNA(MATCH(203,Engine!$C$2:$C$1369,0)),"",INDEX('Compliance Database'!$F$2:$F$1369,MATCH(203,Engine!$C$2:$C$1369,0)))</f>
        <v/>
      </c>
      <c r="G216" s="8">
        <f>IF(ISNA(MATCH(203,Engine!$C$2:$C$1369,0)),"",INDEX('Compliance Database'!$G$2:$G$1369,MATCH(203,Engine!$C$2:$C$1369,0)))</f>
        <v/>
      </c>
      <c r="H216" s="9">
        <f>IF(ISNA(MATCH(203,Engine!$C$2:$C$1369,0)),"",INDEX('Compliance Database'!$H$2:$H$1369,MATCH(203,Engine!$C$2:$C$1369,0)))</f>
        <v/>
      </c>
      <c r="I216" s="9">
        <f>IF(ISNA(MATCH(203,Engine!$C$2:$C$1369,0)),"",INDEX('Compliance Database'!$I$2:$I$1369,MATCH(203,Engine!$C$2:$C$1369,0)))</f>
        <v/>
      </c>
      <c r="J216" s="8">
        <f>IF(ISNA(MATCH(203,Engine!$C$2:$C$1369,0)),"",INDEX('Compliance Database'!$J$2:$J$1369,MATCH(203,Engine!$C$2:$C$1369,0)))</f>
        <v/>
      </c>
      <c r="K216" s="9">
        <f>IF(ISNA(MATCH(203,Engine!$C$2:$C$1369,0)),"",INDEX('Compliance Database'!$K$2:$K$1369,MATCH(203,Engine!$C$2:$C$1369,0)))</f>
        <v/>
      </c>
      <c r="L216" s="9">
        <f>IF(ISNA(MATCH(203,Engine!$C$2:$C$1369,0)),"",INDEX('Compliance Database'!$L$2:$L$1369,MATCH(203,Engine!$C$2:$C$1369,0)))</f>
        <v/>
      </c>
      <c r="M216" s="9">
        <f>IF(ISNA(MATCH(203,Engine!$C$2:$C$1369,0)),"",INDEX('Compliance Database'!$M$2:$M$1369,MATCH(203,Engine!$C$2:$C$1369,0)))</f>
        <v/>
      </c>
      <c r="N216" s="9">
        <f>IF(ISNA(MATCH(203,Engine!$C$2:$C$1369,0)),"",INDEX('Compliance Database'!$N$2:$N$1369,MATCH(203,Engine!$C$2:$C$1369,0)))</f>
        <v/>
      </c>
      <c r="O216" s="8">
        <f>IF(ISNA(MATCH(203,Engine!$C$2:$C$1369,0)),"",HYPERLINK(INDEX('Compliance Database'!$O$2:$O$1369,MATCH(203,Engine!$C$2:$C$1369,0)),"Open PDF"))</f>
        <v/>
      </c>
    </row>
    <row r="217" ht="188" customHeight="1">
      <c r="A217" s="8">
        <f>IF(ISNA(MATCH(204,Engine!$C$2:$C$1369,0)),"",INDEX('Compliance Database'!$A$2:$A$1369,MATCH(204,Engine!$C$2:$C$1369,0)))</f>
        <v/>
      </c>
      <c r="B217" s="8">
        <f>IF(ISNA(MATCH(204,Engine!$C$2:$C$1369,0)),"",INDEX('Compliance Database'!$B$2:$B$1369,MATCH(204,Engine!$C$2:$C$1369,0)))</f>
        <v/>
      </c>
      <c r="C217" s="8">
        <f>IF(ISNA(MATCH(204,Engine!$C$2:$C$1369,0)),"",INDEX('Compliance Database'!$C$2:$C$1369,MATCH(204,Engine!$C$2:$C$1369,0)))</f>
        <v/>
      </c>
      <c r="D217" s="9">
        <f>IF(ISNA(MATCH(204,Engine!$C$2:$C$1369,0)),"",INDEX('Compliance Database'!$D$2:$D$1369,MATCH(204,Engine!$C$2:$C$1369,0)))</f>
        <v/>
      </c>
      <c r="E217" s="8">
        <f>IF(ISNA(MATCH(204,Engine!$C$2:$C$1369,0)),"",INDEX('Compliance Database'!$E$2:$E$1369,MATCH(204,Engine!$C$2:$C$1369,0)))</f>
        <v/>
      </c>
      <c r="F217" s="8">
        <f>IF(ISNA(MATCH(204,Engine!$C$2:$C$1369,0)),"",INDEX('Compliance Database'!$F$2:$F$1369,MATCH(204,Engine!$C$2:$C$1369,0)))</f>
        <v/>
      </c>
      <c r="G217" s="8">
        <f>IF(ISNA(MATCH(204,Engine!$C$2:$C$1369,0)),"",INDEX('Compliance Database'!$G$2:$G$1369,MATCH(204,Engine!$C$2:$C$1369,0)))</f>
        <v/>
      </c>
      <c r="H217" s="9">
        <f>IF(ISNA(MATCH(204,Engine!$C$2:$C$1369,0)),"",INDEX('Compliance Database'!$H$2:$H$1369,MATCH(204,Engine!$C$2:$C$1369,0)))</f>
        <v/>
      </c>
      <c r="I217" s="9">
        <f>IF(ISNA(MATCH(204,Engine!$C$2:$C$1369,0)),"",INDEX('Compliance Database'!$I$2:$I$1369,MATCH(204,Engine!$C$2:$C$1369,0)))</f>
        <v/>
      </c>
      <c r="J217" s="8">
        <f>IF(ISNA(MATCH(204,Engine!$C$2:$C$1369,0)),"",INDEX('Compliance Database'!$J$2:$J$1369,MATCH(204,Engine!$C$2:$C$1369,0)))</f>
        <v/>
      </c>
      <c r="K217" s="9">
        <f>IF(ISNA(MATCH(204,Engine!$C$2:$C$1369,0)),"",INDEX('Compliance Database'!$K$2:$K$1369,MATCH(204,Engine!$C$2:$C$1369,0)))</f>
        <v/>
      </c>
      <c r="L217" s="9">
        <f>IF(ISNA(MATCH(204,Engine!$C$2:$C$1369,0)),"",INDEX('Compliance Database'!$L$2:$L$1369,MATCH(204,Engine!$C$2:$C$1369,0)))</f>
        <v/>
      </c>
      <c r="M217" s="9">
        <f>IF(ISNA(MATCH(204,Engine!$C$2:$C$1369,0)),"",INDEX('Compliance Database'!$M$2:$M$1369,MATCH(204,Engine!$C$2:$C$1369,0)))</f>
        <v/>
      </c>
      <c r="N217" s="9">
        <f>IF(ISNA(MATCH(204,Engine!$C$2:$C$1369,0)),"",INDEX('Compliance Database'!$N$2:$N$1369,MATCH(204,Engine!$C$2:$C$1369,0)))</f>
        <v/>
      </c>
      <c r="O217" s="8">
        <f>IF(ISNA(MATCH(204,Engine!$C$2:$C$1369,0)),"",HYPERLINK(INDEX('Compliance Database'!$O$2:$O$1369,MATCH(204,Engine!$C$2:$C$1369,0)),"Open PDF"))</f>
        <v/>
      </c>
    </row>
    <row r="218" ht="188" customHeight="1">
      <c r="A218" s="8">
        <f>IF(ISNA(MATCH(205,Engine!$C$2:$C$1369,0)),"",INDEX('Compliance Database'!$A$2:$A$1369,MATCH(205,Engine!$C$2:$C$1369,0)))</f>
        <v/>
      </c>
      <c r="B218" s="8">
        <f>IF(ISNA(MATCH(205,Engine!$C$2:$C$1369,0)),"",INDEX('Compliance Database'!$B$2:$B$1369,MATCH(205,Engine!$C$2:$C$1369,0)))</f>
        <v/>
      </c>
      <c r="C218" s="8">
        <f>IF(ISNA(MATCH(205,Engine!$C$2:$C$1369,0)),"",INDEX('Compliance Database'!$C$2:$C$1369,MATCH(205,Engine!$C$2:$C$1369,0)))</f>
        <v/>
      </c>
      <c r="D218" s="9">
        <f>IF(ISNA(MATCH(205,Engine!$C$2:$C$1369,0)),"",INDEX('Compliance Database'!$D$2:$D$1369,MATCH(205,Engine!$C$2:$C$1369,0)))</f>
        <v/>
      </c>
      <c r="E218" s="8">
        <f>IF(ISNA(MATCH(205,Engine!$C$2:$C$1369,0)),"",INDEX('Compliance Database'!$E$2:$E$1369,MATCH(205,Engine!$C$2:$C$1369,0)))</f>
        <v/>
      </c>
      <c r="F218" s="8">
        <f>IF(ISNA(MATCH(205,Engine!$C$2:$C$1369,0)),"",INDEX('Compliance Database'!$F$2:$F$1369,MATCH(205,Engine!$C$2:$C$1369,0)))</f>
        <v/>
      </c>
      <c r="G218" s="8">
        <f>IF(ISNA(MATCH(205,Engine!$C$2:$C$1369,0)),"",INDEX('Compliance Database'!$G$2:$G$1369,MATCH(205,Engine!$C$2:$C$1369,0)))</f>
        <v/>
      </c>
      <c r="H218" s="9">
        <f>IF(ISNA(MATCH(205,Engine!$C$2:$C$1369,0)),"",INDEX('Compliance Database'!$H$2:$H$1369,MATCH(205,Engine!$C$2:$C$1369,0)))</f>
        <v/>
      </c>
      <c r="I218" s="9">
        <f>IF(ISNA(MATCH(205,Engine!$C$2:$C$1369,0)),"",INDEX('Compliance Database'!$I$2:$I$1369,MATCH(205,Engine!$C$2:$C$1369,0)))</f>
        <v/>
      </c>
      <c r="J218" s="8">
        <f>IF(ISNA(MATCH(205,Engine!$C$2:$C$1369,0)),"",INDEX('Compliance Database'!$J$2:$J$1369,MATCH(205,Engine!$C$2:$C$1369,0)))</f>
        <v/>
      </c>
      <c r="K218" s="9">
        <f>IF(ISNA(MATCH(205,Engine!$C$2:$C$1369,0)),"",INDEX('Compliance Database'!$K$2:$K$1369,MATCH(205,Engine!$C$2:$C$1369,0)))</f>
        <v/>
      </c>
      <c r="L218" s="9">
        <f>IF(ISNA(MATCH(205,Engine!$C$2:$C$1369,0)),"",INDEX('Compliance Database'!$L$2:$L$1369,MATCH(205,Engine!$C$2:$C$1369,0)))</f>
        <v/>
      </c>
      <c r="M218" s="9">
        <f>IF(ISNA(MATCH(205,Engine!$C$2:$C$1369,0)),"",INDEX('Compliance Database'!$M$2:$M$1369,MATCH(205,Engine!$C$2:$C$1369,0)))</f>
        <v/>
      </c>
      <c r="N218" s="9">
        <f>IF(ISNA(MATCH(205,Engine!$C$2:$C$1369,0)),"",INDEX('Compliance Database'!$N$2:$N$1369,MATCH(205,Engine!$C$2:$C$1369,0)))</f>
        <v/>
      </c>
      <c r="O218" s="8">
        <f>IF(ISNA(MATCH(205,Engine!$C$2:$C$1369,0)),"",HYPERLINK(INDEX('Compliance Database'!$O$2:$O$1369,MATCH(205,Engine!$C$2:$C$1369,0)),"Open PDF"))</f>
        <v/>
      </c>
    </row>
    <row r="219" ht="188" customHeight="1">
      <c r="A219" s="8">
        <f>IF(ISNA(MATCH(206,Engine!$C$2:$C$1369,0)),"",INDEX('Compliance Database'!$A$2:$A$1369,MATCH(206,Engine!$C$2:$C$1369,0)))</f>
        <v/>
      </c>
      <c r="B219" s="8">
        <f>IF(ISNA(MATCH(206,Engine!$C$2:$C$1369,0)),"",INDEX('Compliance Database'!$B$2:$B$1369,MATCH(206,Engine!$C$2:$C$1369,0)))</f>
        <v/>
      </c>
      <c r="C219" s="8">
        <f>IF(ISNA(MATCH(206,Engine!$C$2:$C$1369,0)),"",INDEX('Compliance Database'!$C$2:$C$1369,MATCH(206,Engine!$C$2:$C$1369,0)))</f>
        <v/>
      </c>
      <c r="D219" s="9">
        <f>IF(ISNA(MATCH(206,Engine!$C$2:$C$1369,0)),"",INDEX('Compliance Database'!$D$2:$D$1369,MATCH(206,Engine!$C$2:$C$1369,0)))</f>
        <v/>
      </c>
      <c r="E219" s="8">
        <f>IF(ISNA(MATCH(206,Engine!$C$2:$C$1369,0)),"",INDEX('Compliance Database'!$E$2:$E$1369,MATCH(206,Engine!$C$2:$C$1369,0)))</f>
        <v/>
      </c>
      <c r="F219" s="8">
        <f>IF(ISNA(MATCH(206,Engine!$C$2:$C$1369,0)),"",INDEX('Compliance Database'!$F$2:$F$1369,MATCH(206,Engine!$C$2:$C$1369,0)))</f>
        <v/>
      </c>
      <c r="G219" s="8">
        <f>IF(ISNA(MATCH(206,Engine!$C$2:$C$1369,0)),"",INDEX('Compliance Database'!$G$2:$G$1369,MATCH(206,Engine!$C$2:$C$1369,0)))</f>
        <v/>
      </c>
      <c r="H219" s="9">
        <f>IF(ISNA(MATCH(206,Engine!$C$2:$C$1369,0)),"",INDEX('Compliance Database'!$H$2:$H$1369,MATCH(206,Engine!$C$2:$C$1369,0)))</f>
        <v/>
      </c>
      <c r="I219" s="9">
        <f>IF(ISNA(MATCH(206,Engine!$C$2:$C$1369,0)),"",INDEX('Compliance Database'!$I$2:$I$1369,MATCH(206,Engine!$C$2:$C$1369,0)))</f>
        <v/>
      </c>
      <c r="J219" s="8">
        <f>IF(ISNA(MATCH(206,Engine!$C$2:$C$1369,0)),"",INDEX('Compliance Database'!$J$2:$J$1369,MATCH(206,Engine!$C$2:$C$1369,0)))</f>
        <v/>
      </c>
      <c r="K219" s="9">
        <f>IF(ISNA(MATCH(206,Engine!$C$2:$C$1369,0)),"",INDEX('Compliance Database'!$K$2:$K$1369,MATCH(206,Engine!$C$2:$C$1369,0)))</f>
        <v/>
      </c>
      <c r="L219" s="9">
        <f>IF(ISNA(MATCH(206,Engine!$C$2:$C$1369,0)),"",INDEX('Compliance Database'!$L$2:$L$1369,MATCH(206,Engine!$C$2:$C$1369,0)))</f>
        <v/>
      </c>
      <c r="M219" s="9">
        <f>IF(ISNA(MATCH(206,Engine!$C$2:$C$1369,0)),"",INDEX('Compliance Database'!$M$2:$M$1369,MATCH(206,Engine!$C$2:$C$1369,0)))</f>
        <v/>
      </c>
      <c r="N219" s="9">
        <f>IF(ISNA(MATCH(206,Engine!$C$2:$C$1369,0)),"",INDEX('Compliance Database'!$N$2:$N$1369,MATCH(206,Engine!$C$2:$C$1369,0)))</f>
        <v/>
      </c>
      <c r="O219" s="8">
        <f>IF(ISNA(MATCH(206,Engine!$C$2:$C$1369,0)),"",HYPERLINK(INDEX('Compliance Database'!$O$2:$O$1369,MATCH(206,Engine!$C$2:$C$1369,0)),"Open PDF"))</f>
        <v/>
      </c>
    </row>
    <row r="220" ht="188" customHeight="1">
      <c r="A220" s="8">
        <f>IF(ISNA(MATCH(207,Engine!$C$2:$C$1369,0)),"",INDEX('Compliance Database'!$A$2:$A$1369,MATCH(207,Engine!$C$2:$C$1369,0)))</f>
        <v/>
      </c>
      <c r="B220" s="8">
        <f>IF(ISNA(MATCH(207,Engine!$C$2:$C$1369,0)),"",INDEX('Compliance Database'!$B$2:$B$1369,MATCH(207,Engine!$C$2:$C$1369,0)))</f>
        <v/>
      </c>
      <c r="C220" s="8">
        <f>IF(ISNA(MATCH(207,Engine!$C$2:$C$1369,0)),"",INDEX('Compliance Database'!$C$2:$C$1369,MATCH(207,Engine!$C$2:$C$1369,0)))</f>
        <v/>
      </c>
      <c r="D220" s="9">
        <f>IF(ISNA(MATCH(207,Engine!$C$2:$C$1369,0)),"",INDEX('Compliance Database'!$D$2:$D$1369,MATCH(207,Engine!$C$2:$C$1369,0)))</f>
        <v/>
      </c>
      <c r="E220" s="8">
        <f>IF(ISNA(MATCH(207,Engine!$C$2:$C$1369,0)),"",INDEX('Compliance Database'!$E$2:$E$1369,MATCH(207,Engine!$C$2:$C$1369,0)))</f>
        <v/>
      </c>
      <c r="F220" s="8">
        <f>IF(ISNA(MATCH(207,Engine!$C$2:$C$1369,0)),"",INDEX('Compliance Database'!$F$2:$F$1369,MATCH(207,Engine!$C$2:$C$1369,0)))</f>
        <v/>
      </c>
      <c r="G220" s="8">
        <f>IF(ISNA(MATCH(207,Engine!$C$2:$C$1369,0)),"",INDEX('Compliance Database'!$G$2:$G$1369,MATCH(207,Engine!$C$2:$C$1369,0)))</f>
        <v/>
      </c>
      <c r="H220" s="9">
        <f>IF(ISNA(MATCH(207,Engine!$C$2:$C$1369,0)),"",INDEX('Compliance Database'!$H$2:$H$1369,MATCH(207,Engine!$C$2:$C$1369,0)))</f>
        <v/>
      </c>
      <c r="I220" s="9">
        <f>IF(ISNA(MATCH(207,Engine!$C$2:$C$1369,0)),"",INDEX('Compliance Database'!$I$2:$I$1369,MATCH(207,Engine!$C$2:$C$1369,0)))</f>
        <v/>
      </c>
      <c r="J220" s="8">
        <f>IF(ISNA(MATCH(207,Engine!$C$2:$C$1369,0)),"",INDEX('Compliance Database'!$J$2:$J$1369,MATCH(207,Engine!$C$2:$C$1369,0)))</f>
        <v/>
      </c>
      <c r="K220" s="9">
        <f>IF(ISNA(MATCH(207,Engine!$C$2:$C$1369,0)),"",INDEX('Compliance Database'!$K$2:$K$1369,MATCH(207,Engine!$C$2:$C$1369,0)))</f>
        <v/>
      </c>
      <c r="L220" s="9">
        <f>IF(ISNA(MATCH(207,Engine!$C$2:$C$1369,0)),"",INDEX('Compliance Database'!$L$2:$L$1369,MATCH(207,Engine!$C$2:$C$1369,0)))</f>
        <v/>
      </c>
      <c r="M220" s="9">
        <f>IF(ISNA(MATCH(207,Engine!$C$2:$C$1369,0)),"",INDEX('Compliance Database'!$M$2:$M$1369,MATCH(207,Engine!$C$2:$C$1369,0)))</f>
        <v/>
      </c>
      <c r="N220" s="9">
        <f>IF(ISNA(MATCH(207,Engine!$C$2:$C$1369,0)),"",INDEX('Compliance Database'!$N$2:$N$1369,MATCH(207,Engine!$C$2:$C$1369,0)))</f>
        <v/>
      </c>
      <c r="O220" s="8">
        <f>IF(ISNA(MATCH(207,Engine!$C$2:$C$1369,0)),"",HYPERLINK(INDEX('Compliance Database'!$O$2:$O$1369,MATCH(207,Engine!$C$2:$C$1369,0)),"Open PDF"))</f>
        <v/>
      </c>
    </row>
    <row r="221" ht="188" customHeight="1">
      <c r="A221" s="8">
        <f>IF(ISNA(MATCH(208,Engine!$C$2:$C$1369,0)),"",INDEX('Compliance Database'!$A$2:$A$1369,MATCH(208,Engine!$C$2:$C$1369,0)))</f>
        <v/>
      </c>
      <c r="B221" s="8">
        <f>IF(ISNA(MATCH(208,Engine!$C$2:$C$1369,0)),"",INDEX('Compliance Database'!$B$2:$B$1369,MATCH(208,Engine!$C$2:$C$1369,0)))</f>
        <v/>
      </c>
      <c r="C221" s="8">
        <f>IF(ISNA(MATCH(208,Engine!$C$2:$C$1369,0)),"",INDEX('Compliance Database'!$C$2:$C$1369,MATCH(208,Engine!$C$2:$C$1369,0)))</f>
        <v/>
      </c>
      <c r="D221" s="9">
        <f>IF(ISNA(MATCH(208,Engine!$C$2:$C$1369,0)),"",INDEX('Compliance Database'!$D$2:$D$1369,MATCH(208,Engine!$C$2:$C$1369,0)))</f>
        <v/>
      </c>
      <c r="E221" s="8">
        <f>IF(ISNA(MATCH(208,Engine!$C$2:$C$1369,0)),"",INDEX('Compliance Database'!$E$2:$E$1369,MATCH(208,Engine!$C$2:$C$1369,0)))</f>
        <v/>
      </c>
      <c r="F221" s="8">
        <f>IF(ISNA(MATCH(208,Engine!$C$2:$C$1369,0)),"",INDEX('Compliance Database'!$F$2:$F$1369,MATCH(208,Engine!$C$2:$C$1369,0)))</f>
        <v/>
      </c>
      <c r="G221" s="8">
        <f>IF(ISNA(MATCH(208,Engine!$C$2:$C$1369,0)),"",INDEX('Compliance Database'!$G$2:$G$1369,MATCH(208,Engine!$C$2:$C$1369,0)))</f>
        <v/>
      </c>
      <c r="H221" s="9">
        <f>IF(ISNA(MATCH(208,Engine!$C$2:$C$1369,0)),"",INDEX('Compliance Database'!$H$2:$H$1369,MATCH(208,Engine!$C$2:$C$1369,0)))</f>
        <v/>
      </c>
      <c r="I221" s="9">
        <f>IF(ISNA(MATCH(208,Engine!$C$2:$C$1369,0)),"",INDEX('Compliance Database'!$I$2:$I$1369,MATCH(208,Engine!$C$2:$C$1369,0)))</f>
        <v/>
      </c>
      <c r="J221" s="8">
        <f>IF(ISNA(MATCH(208,Engine!$C$2:$C$1369,0)),"",INDEX('Compliance Database'!$J$2:$J$1369,MATCH(208,Engine!$C$2:$C$1369,0)))</f>
        <v/>
      </c>
      <c r="K221" s="9">
        <f>IF(ISNA(MATCH(208,Engine!$C$2:$C$1369,0)),"",INDEX('Compliance Database'!$K$2:$K$1369,MATCH(208,Engine!$C$2:$C$1369,0)))</f>
        <v/>
      </c>
      <c r="L221" s="9">
        <f>IF(ISNA(MATCH(208,Engine!$C$2:$C$1369,0)),"",INDEX('Compliance Database'!$L$2:$L$1369,MATCH(208,Engine!$C$2:$C$1369,0)))</f>
        <v/>
      </c>
      <c r="M221" s="9">
        <f>IF(ISNA(MATCH(208,Engine!$C$2:$C$1369,0)),"",INDEX('Compliance Database'!$M$2:$M$1369,MATCH(208,Engine!$C$2:$C$1369,0)))</f>
        <v/>
      </c>
      <c r="N221" s="9">
        <f>IF(ISNA(MATCH(208,Engine!$C$2:$C$1369,0)),"",INDEX('Compliance Database'!$N$2:$N$1369,MATCH(208,Engine!$C$2:$C$1369,0)))</f>
        <v/>
      </c>
      <c r="O221" s="8">
        <f>IF(ISNA(MATCH(208,Engine!$C$2:$C$1369,0)),"",HYPERLINK(INDEX('Compliance Database'!$O$2:$O$1369,MATCH(208,Engine!$C$2:$C$1369,0)),"Open PDF"))</f>
        <v/>
      </c>
    </row>
    <row r="222" ht="188" customHeight="1">
      <c r="A222" s="8">
        <f>IF(ISNA(MATCH(209,Engine!$C$2:$C$1369,0)),"",INDEX('Compliance Database'!$A$2:$A$1369,MATCH(209,Engine!$C$2:$C$1369,0)))</f>
        <v/>
      </c>
      <c r="B222" s="8">
        <f>IF(ISNA(MATCH(209,Engine!$C$2:$C$1369,0)),"",INDEX('Compliance Database'!$B$2:$B$1369,MATCH(209,Engine!$C$2:$C$1369,0)))</f>
        <v/>
      </c>
      <c r="C222" s="8">
        <f>IF(ISNA(MATCH(209,Engine!$C$2:$C$1369,0)),"",INDEX('Compliance Database'!$C$2:$C$1369,MATCH(209,Engine!$C$2:$C$1369,0)))</f>
        <v/>
      </c>
      <c r="D222" s="9">
        <f>IF(ISNA(MATCH(209,Engine!$C$2:$C$1369,0)),"",INDEX('Compliance Database'!$D$2:$D$1369,MATCH(209,Engine!$C$2:$C$1369,0)))</f>
        <v/>
      </c>
      <c r="E222" s="8">
        <f>IF(ISNA(MATCH(209,Engine!$C$2:$C$1369,0)),"",INDEX('Compliance Database'!$E$2:$E$1369,MATCH(209,Engine!$C$2:$C$1369,0)))</f>
        <v/>
      </c>
      <c r="F222" s="8">
        <f>IF(ISNA(MATCH(209,Engine!$C$2:$C$1369,0)),"",INDEX('Compliance Database'!$F$2:$F$1369,MATCH(209,Engine!$C$2:$C$1369,0)))</f>
        <v/>
      </c>
      <c r="G222" s="8">
        <f>IF(ISNA(MATCH(209,Engine!$C$2:$C$1369,0)),"",INDEX('Compliance Database'!$G$2:$G$1369,MATCH(209,Engine!$C$2:$C$1369,0)))</f>
        <v/>
      </c>
      <c r="H222" s="9">
        <f>IF(ISNA(MATCH(209,Engine!$C$2:$C$1369,0)),"",INDEX('Compliance Database'!$H$2:$H$1369,MATCH(209,Engine!$C$2:$C$1369,0)))</f>
        <v/>
      </c>
      <c r="I222" s="9">
        <f>IF(ISNA(MATCH(209,Engine!$C$2:$C$1369,0)),"",INDEX('Compliance Database'!$I$2:$I$1369,MATCH(209,Engine!$C$2:$C$1369,0)))</f>
        <v/>
      </c>
      <c r="J222" s="8">
        <f>IF(ISNA(MATCH(209,Engine!$C$2:$C$1369,0)),"",INDEX('Compliance Database'!$J$2:$J$1369,MATCH(209,Engine!$C$2:$C$1369,0)))</f>
        <v/>
      </c>
      <c r="K222" s="9">
        <f>IF(ISNA(MATCH(209,Engine!$C$2:$C$1369,0)),"",INDEX('Compliance Database'!$K$2:$K$1369,MATCH(209,Engine!$C$2:$C$1369,0)))</f>
        <v/>
      </c>
      <c r="L222" s="9">
        <f>IF(ISNA(MATCH(209,Engine!$C$2:$C$1369,0)),"",INDEX('Compliance Database'!$L$2:$L$1369,MATCH(209,Engine!$C$2:$C$1369,0)))</f>
        <v/>
      </c>
      <c r="M222" s="9">
        <f>IF(ISNA(MATCH(209,Engine!$C$2:$C$1369,0)),"",INDEX('Compliance Database'!$M$2:$M$1369,MATCH(209,Engine!$C$2:$C$1369,0)))</f>
        <v/>
      </c>
      <c r="N222" s="9">
        <f>IF(ISNA(MATCH(209,Engine!$C$2:$C$1369,0)),"",INDEX('Compliance Database'!$N$2:$N$1369,MATCH(209,Engine!$C$2:$C$1369,0)))</f>
        <v/>
      </c>
      <c r="O222" s="8">
        <f>IF(ISNA(MATCH(209,Engine!$C$2:$C$1369,0)),"",HYPERLINK(INDEX('Compliance Database'!$O$2:$O$1369,MATCH(209,Engine!$C$2:$C$1369,0)),"Open PDF"))</f>
        <v/>
      </c>
    </row>
    <row r="223" ht="188" customHeight="1">
      <c r="A223" s="8">
        <f>IF(ISNA(MATCH(210,Engine!$C$2:$C$1369,0)),"",INDEX('Compliance Database'!$A$2:$A$1369,MATCH(210,Engine!$C$2:$C$1369,0)))</f>
        <v/>
      </c>
      <c r="B223" s="8">
        <f>IF(ISNA(MATCH(210,Engine!$C$2:$C$1369,0)),"",INDEX('Compliance Database'!$B$2:$B$1369,MATCH(210,Engine!$C$2:$C$1369,0)))</f>
        <v/>
      </c>
      <c r="C223" s="8">
        <f>IF(ISNA(MATCH(210,Engine!$C$2:$C$1369,0)),"",INDEX('Compliance Database'!$C$2:$C$1369,MATCH(210,Engine!$C$2:$C$1369,0)))</f>
        <v/>
      </c>
      <c r="D223" s="9">
        <f>IF(ISNA(MATCH(210,Engine!$C$2:$C$1369,0)),"",INDEX('Compliance Database'!$D$2:$D$1369,MATCH(210,Engine!$C$2:$C$1369,0)))</f>
        <v/>
      </c>
      <c r="E223" s="8">
        <f>IF(ISNA(MATCH(210,Engine!$C$2:$C$1369,0)),"",INDEX('Compliance Database'!$E$2:$E$1369,MATCH(210,Engine!$C$2:$C$1369,0)))</f>
        <v/>
      </c>
      <c r="F223" s="8">
        <f>IF(ISNA(MATCH(210,Engine!$C$2:$C$1369,0)),"",INDEX('Compliance Database'!$F$2:$F$1369,MATCH(210,Engine!$C$2:$C$1369,0)))</f>
        <v/>
      </c>
      <c r="G223" s="8">
        <f>IF(ISNA(MATCH(210,Engine!$C$2:$C$1369,0)),"",INDEX('Compliance Database'!$G$2:$G$1369,MATCH(210,Engine!$C$2:$C$1369,0)))</f>
        <v/>
      </c>
      <c r="H223" s="9">
        <f>IF(ISNA(MATCH(210,Engine!$C$2:$C$1369,0)),"",INDEX('Compliance Database'!$H$2:$H$1369,MATCH(210,Engine!$C$2:$C$1369,0)))</f>
        <v/>
      </c>
      <c r="I223" s="9">
        <f>IF(ISNA(MATCH(210,Engine!$C$2:$C$1369,0)),"",INDEX('Compliance Database'!$I$2:$I$1369,MATCH(210,Engine!$C$2:$C$1369,0)))</f>
        <v/>
      </c>
      <c r="J223" s="8">
        <f>IF(ISNA(MATCH(210,Engine!$C$2:$C$1369,0)),"",INDEX('Compliance Database'!$J$2:$J$1369,MATCH(210,Engine!$C$2:$C$1369,0)))</f>
        <v/>
      </c>
      <c r="K223" s="9">
        <f>IF(ISNA(MATCH(210,Engine!$C$2:$C$1369,0)),"",INDEX('Compliance Database'!$K$2:$K$1369,MATCH(210,Engine!$C$2:$C$1369,0)))</f>
        <v/>
      </c>
      <c r="L223" s="9">
        <f>IF(ISNA(MATCH(210,Engine!$C$2:$C$1369,0)),"",INDEX('Compliance Database'!$L$2:$L$1369,MATCH(210,Engine!$C$2:$C$1369,0)))</f>
        <v/>
      </c>
      <c r="M223" s="9">
        <f>IF(ISNA(MATCH(210,Engine!$C$2:$C$1369,0)),"",INDEX('Compliance Database'!$M$2:$M$1369,MATCH(210,Engine!$C$2:$C$1369,0)))</f>
        <v/>
      </c>
      <c r="N223" s="9">
        <f>IF(ISNA(MATCH(210,Engine!$C$2:$C$1369,0)),"",INDEX('Compliance Database'!$N$2:$N$1369,MATCH(210,Engine!$C$2:$C$1369,0)))</f>
        <v/>
      </c>
      <c r="O223" s="8">
        <f>IF(ISNA(MATCH(210,Engine!$C$2:$C$1369,0)),"",HYPERLINK(INDEX('Compliance Database'!$O$2:$O$1369,MATCH(210,Engine!$C$2:$C$1369,0)),"Open PDF"))</f>
        <v/>
      </c>
    </row>
    <row r="224" ht="188" customHeight="1">
      <c r="A224" s="8">
        <f>IF(ISNA(MATCH(211,Engine!$C$2:$C$1369,0)),"",INDEX('Compliance Database'!$A$2:$A$1369,MATCH(211,Engine!$C$2:$C$1369,0)))</f>
        <v/>
      </c>
      <c r="B224" s="8">
        <f>IF(ISNA(MATCH(211,Engine!$C$2:$C$1369,0)),"",INDEX('Compliance Database'!$B$2:$B$1369,MATCH(211,Engine!$C$2:$C$1369,0)))</f>
        <v/>
      </c>
      <c r="C224" s="8">
        <f>IF(ISNA(MATCH(211,Engine!$C$2:$C$1369,0)),"",INDEX('Compliance Database'!$C$2:$C$1369,MATCH(211,Engine!$C$2:$C$1369,0)))</f>
        <v/>
      </c>
      <c r="D224" s="9">
        <f>IF(ISNA(MATCH(211,Engine!$C$2:$C$1369,0)),"",INDEX('Compliance Database'!$D$2:$D$1369,MATCH(211,Engine!$C$2:$C$1369,0)))</f>
        <v/>
      </c>
      <c r="E224" s="8">
        <f>IF(ISNA(MATCH(211,Engine!$C$2:$C$1369,0)),"",INDEX('Compliance Database'!$E$2:$E$1369,MATCH(211,Engine!$C$2:$C$1369,0)))</f>
        <v/>
      </c>
      <c r="F224" s="8">
        <f>IF(ISNA(MATCH(211,Engine!$C$2:$C$1369,0)),"",INDEX('Compliance Database'!$F$2:$F$1369,MATCH(211,Engine!$C$2:$C$1369,0)))</f>
        <v/>
      </c>
      <c r="G224" s="8">
        <f>IF(ISNA(MATCH(211,Engine!$C$2:$C$1369,0)),"",INDEX('Compliance Database'!$G$2:$G$1369,MATCH(211,Engine!$C$2:$C$1369,0)))</f>
        <v/>
      </c>
      <c r="H224" s="9">
        <f>IF(ISNA(MATCH(211,Engine!$C$2:$C$1369,0)),"",INDEX('Compliance Database'!$H$2:$H$1369,MATCH(211,Engine!$C$2:$C$1369,0)))</f>
        <v/>
      </c>
      <c r="I224" s="9">
        <f>IF(ISNA(MATCH(211,Engine!$C$2:$C$1369,0)),"",INDEX('Compliance Database'!$I$2:$I$1369,MATCH(211,Engine!$C$2:$C$1369,0)))</f>
        <v/>
      </c>
      <c r="J224" s="8">
        <f>IF(ISNA(MATCH(211,Engine!$C$2:$C$1369,0)),"",INDEX('Compliance Database'!$J$2:$J$1369,MATCH(211,Engine!$C$2:$C$1369,0)))</f>
        <v/>
      </c>
      <c r="K224" s="9">
        <f>IF(ISNA(MATCH(211,Engine!$C$2:$C$1369,0)),"",INDEX('Compliance Database'!$K$2:$K$1369,MATCH(211,Engine!$C$2:$C$1369,0)))</f>
        <v/>
      </c>
      <c r="L224" s="9">
        <f>IF(ISNA(MATCH(211,Engine!$C$2:$C$1369,0)),"",INDEX('Compliance Database'!$L$2:$L$1369,MATCH(211,Engine!$C$2:$C$1369,0)))</f>
        <v/>
      </c>
      <c r="M224" s="9">
        <f>IF(ISNA(MATCH(211,Engine!$C$2:$C$1369,0)),"",INDEX('Compliance Database'!$M$2:$M$1369,MATCH(211,Engine!$C$2:$C$1369,0)))</f>
        <v/>
      </c>
      <c r="N224" s="9">
        <f>IF(ISNA(MATCH(211,Engine!$C$2:$C$1369,0)),"",INDEX('Compliance Database'!$N$2:$N$1369,MATCH(211,Engine!$C$2:$C$1369,0)))</f>
        <v/>
      </c>
      <c r="O224" s="8">
        <f>IF(ISNA(MATCH(211,Engine!$C$2:$C$1369,0)),"",HYPERLINK(INDEX('Compliance Database'!$O$2:$O$1369,MATCH(211,Engine!$C$2:$C$1369,0)),"Open PDF"))</f>
        <v/>
      </c>
    </row>
    <row r="225" ht="188" customHeight="1">
      <c r="A225" s="8">
        <f>IF(ISNA(MATCH(212,Engine!$C$2:$C$1369,0)),"",INDEX('Compliance Database'!$A$2:$A$1369,MATCH(212,Engine!$C$2:$C$1369,0)))</f>
        <v/>
      </c>
      <c r="B225" s="8">
        <f>IF(ISNA(MATCH(212,Engine!$C$2:$C$1369,0)),"",INDEX('Compliance Database'!$B$2:$B$1369,MATCH(212,Engine!$C$2:$C$1369,0)))</f>
        <v/>
      </c>
      <c r="C225" s="8">
        <f>IF(ISNA(MATCH(212,Engine!$C$2:$C$1369,0)),"",INDEX('Compliance Database'!$C$2:$C$1369,MATCH(212,Engine!$C$2:$C$1369,0)))</f>
        <v/>
      </c>
      <c r="D225" s="9">
        <f>IF(ISNA(MATCH(212,Engine!$C$2:$C$1369,0)),"",INDEX('Compliance Database'!$D$2:$D$1369,MATCH(212,Engine!$C$2:$C$1369,0)))</f>
        <v/>
      </c>
      <c r="E225" s="8">
        <f>IF(ISNA(MATCH(212,Engine!$C$2:$C$1369,0)),"",INDEX('Compliance Database'!$E$2:$E$1369,MATCH(212,Engine!$C$2:$C$1369,0)))</f>
        <v/>
      </c>
      <c r="F225" s="8">
        <f>IF(ISNA(MATCH(212,Engine!$C$2:$C$1369,0)),"",INDEX('Compliance Database'!$F$2:$F$1369,MATCH(212,Engine!$C$2:$C$1369,0)))</f>
        <v/>
      </c>
      <c r="G225" s="8">
        <f>IF(ISNA(MATCH(212,Engine!$C$2:$C$1369,0)),"",INDEX('Compliance Database'!$G$2:$G$1369,MATCH(212,Engine!$C$2:$C$1369,0)))</f>
        <v/>
      </c>
      <c r="H225" s="9">
        <f>IF(ISNA(MATCH(212,Engine!$C$2:$C$1369,0)),"",INDEX('Compliance Database'!$H$2:$H$1369,MATCH(212,Engine!$C$2:$C$1369,0)))</f>
        <v/>
      </c>
      <c r="I225" s="9">
        <f>IF(ISNA(MATCH(212,Engine!$C$2:$C$1369,0)),"",INDEX('Compliance Database'!$I$2:$I$1369,MATCH(212,Engine!$C$2:$C$1369,0)))</f>
        <v/>
      </c>
      <c r="J225" s="8">
        <f>IF(ISNA(MATCH(212,Engine!$C$2:$C$1369,0)),"",INDEX('Compliance Database'!$J$2:$J$1369,MATCH(212,Engine!$C$2:$C$1369,0)))</f>
        <v/>
      </c>
      <c r="K225" s="9">
        <f>IF(ISNA(MATCH(212,Engine!$C$2:$C$1369,0)),"",INDEX('Compliance Database'!$K$2:$K$1369,MATCH(212,Engine!$C$2:$C$1369,0)))</f>
        <v/>
      </c>
      <c r="L225" s="9">
        <f>IF(ISNA(MATCH(212,Engine!$C$2:$C$1369,0)),"",INDEX('Compliance Database'!$L$2:$L$1369,MATCH(212,Engine!$C$2:$C$1369,0)))</f>
        <v/>
      </c>
      <c r="M225" s="9">
        <f>IF(ISNA(MATCH(212,Engine!$C$2:$C$1369,0)),"",INDEX('Compliance Database'!$M$2:$M$1369,MATCH(212,Engine!$C$2:$C$1369,0)))</f>
        <v/>
      </c>
      <c r="N225" s="9">
        <f>IF(ISNA(MATCH(212,Engine!$C$2:$C$1369,0)),"",INDEX('Compliance Database'!$N$2:$N$1369,MATCH(212,Engine!$C$2:$C$1369,0)))</f>
        <v/>
      </c>
      <c r="O225" s="8">
        <f>IF(ISNA(MATCH(212,Engine!$C$2:$C$1369,0)),"",HYPERLINK(INDEX('Compliance Database'!$O$2:$O$1369,MATCH(212,Engine!$C$2:$C$1369,0)),"Open PDF"))</f>
        <v/>
      </c>
    </row>
    <row r="226" ht="188" customHeight="1">
      <c r="A226" s="8">
        <f>IF(ISNA(MATCH(213,Engine!$C$2:$C$1369,0)),"",INDEX('Compliance Database'!$A$2:$A$1369,MATCH(213,Engine!$C$2:$C$1369,0)))</f>
        <v/>
      </c>
      <c r="B226" s="8">
        <f>IF(ISNA(MATCH(213,Engine!$C$2:$C$1369,0)),"",INDEX('Compliance Database'!$B$2:$B$1369,MATCH(213,Engine!$C$2:$C$1369,0)))</f>
        <v/>
      </c>
      <c r="C226" s="8">
        <f>IF(ISNA(MATCH(213,Engine!$C$2:$C$1369,0)),"",INDEX('Compliance Database'!$C$2:$C$1369,MATCH(213,Engine!$C$2:$C$1369,0)))</f>
        <v/>
      </c>
      <c r="D226" s="9">
        <f>IF(ISNA(MATCH(213,Engine!$C$2:$C$1369,0)),"",INDEX('Compliance Database'!$D$2:$D$1369,MATCH(213,Engine!$C$2:$C$1369,0)))</f>
        <v/>
      </c>
      <c r="E226" s="8">
        <f>IF(ISNA(MATCH(213,Engine!$C$2:$C$1369,0)),"",INDEX('Compliance Database'!$E$2:$E$1369,MATCH(213,Engine!$C$2:$C$1369,0)))</f>
        <v/>
      </c>
      <c r="F226" s="8">
        <f>IF(ISNA(MATCH(213,Engine!$C$2:$C$1369,0)),"",INDEX('Compliance Database'!$F$2:$F$1369,MATCH(213,Engine!$C$2:$C$1369,0)))</f>
        <v/>
      </c>
      <c r="G226" s="8">
        <f>IF(ISNA(MATCH(213,Engine!$C$2:$C$1369,0)),"",INDEX('Compliance Database'!$G$2:$G$1369,MATCH(213,Engine!$C$2:$C$1369,0)))</f>
        <v/>
      </c>
      <c r="H226" s="9">
        <f>IF(ISNA(MATCH(213,Engine!$C$2:$C$1369,0)),"",INDEX('Compliance Database'!$H$2:$H$1369,MATCH(213,Engine!$C$2:$C$1369,0)))</f>
        <v/>
      </c>
      <c r="I226" s="9">
        <f>IF(ISNA(MATCH(213,Engine!$C$2:$C$1369,0)),"",INDEX('Compliance Database'!$I$2:$I$1369,MATCH(213,Engine!$C$2:$C$1369,0)))</f>
        <v/>
      </c>
      <c r="J226" s="8">
        <f>IF(ISNA(MATCH(213,Engine!$C$2:$C$1369,0)),"",INDEX('Compliance Database'!$J$2:$J$1369,MATCH(213,Engine!$C$2:$C$1369,0)))</f>
        <v/>
      </c>
      <c r="K226" s="9">
        <f>IF(ISNA(MATCH(213,Engine!$C$2:$C$1369,0)),"",INDEX('Compliance Database'!$K$2:$K$1369,MATCH(213,Engine!$C$2:$C$1369,0)))</f>
        <v/>
      </c>
      <c r="L226" s="9">
        <f>IF(ISNA(MATCH(213,Engine!$C$2:$C$1369,0)),"",INDEX('Compliance Database'!$L$2:$L$1369,MATCH(213,Engine!$C$2:$C$1369,0)))</f>
        <v/>
      </c>
      <c r="M226" s="9">
        <f>IF(ISNA(MATCH(213,Engine!$C$2:$C$1369,0)),"",INDEX('Compliance Database'!$M$2:$M$1369,MATCH(213,Engine!$C$2:$C$1369,0)))</f>
        <v/>
      </c>
      <c r="N226" s="9">
        <f>IF(ISNA(MATCH(213,Engine!$C$2:$C$1369,0)),"",INDEX('Compliance Database'!$N$2:$N$1369,MATCH(213,Engine!$C$2:$C$1369,0)))</f>
        <v/>
      </c>
      <c r="O226" s="8">
        <f>IF(ISNA(MATCH(213,Engine!$C$2:$C$1369,0)),"",HYPERLINK(INDEX('Compliance Database'!$O$2:$O$1369,MATCH(213,Engine!$C$2:$C$1369,0)),"Open PDF"))</f>
        <v/>
      </c>
    </row>
    <row r="227" ht="188" customHeight="1">
      <c r="A227" s="8">
        <f>IF(ISNA(MATCH(214,Engine!$C$2:$C$1369,0)),"",INDEX('Compliance Database'!$A$2:$A$1369,MATCH(214,Engine!$C$2:$C$1369,0)))</f>
        <v/>
      </c>
      <c r="B227" s="8">
        <f>IF(ISNA(MATCH(214,Engine!$C$2:$C$1369,0)),"",INDEX('Compliance Database'!$B$2:$B$1369,MATCH(214,Engine!$C$2:$C$1369,0)))</f>
        <v/>
      </c>
      <c r="C227" s="8">
        <f>IF(ISNA(MATCH(214,Engine!$C$2:$C$1369,0)),"",INDEX('Compliance Database'!$C$2:$C$1369,MATCH(214,Engine!$C$2:$C$1369,0)))</f>
        <v/>
      </c>
      <c r="D227" s="9">
        <f>IF(ISNA(MATCH(214,Engine!$C$2:$C$1369,0)),"",INDEX('Compliance Database'!$D$2:$D$1369,MATCH(214,Engine!$C$2:$C$1369,0)))</f>
        <v/>
      </c>
      <c r="E227" s="8">
        <f>IF(ISNA(MATCH(214,Engine!$C$2:$C$1369,0)),"",INDEX('Compliance Database'!$E$2:$E$1369,MATCH(214,Engine!$C$2:$C$1369,0)))</f>
        <v/>
      </c>
      <c r="F227" s="8">
        <f>IF(ISNA(MATCH(214,Engine!$C$2:$C$1369,0)),"",INDEX('Compliance Database'!$F$2:$F$1369,MATCH(214,Engine!$C$2:$C$1369,0)))</f>
        <v/>
      </c>
      <c r="G227" s="8">
        <f>IF(ISNA(MATCH(214,Engine!$C$2:$C$1369,0)),"",INDEX('Compliance Database'!$G$2:$G$1369,MATCH(214,Engine!$C$2:$C$1369,0)))</f>
        <v/>
      </c>
      <c r="H227" s="9">
        <f>IF(ISNA(MATCH(214,Engine!$C$2:$C$1369,0)),"",INDEX('Compliance Database'!$H$2:$H$1369,MATCH(214,Engine!$C$2:$C$1369,0)))</f>
        <v/>
      </c>
      <c r="I227" s="9">
        <f>IF(ISNA(MATCH(214,Engine!$C$2:$C$1369,0)),"",INDEX('Compliance Database'!$I$2:$I$1369,MATCH(214,Engine!$C$2:$C$1369,0)))</f>
        <v/>
      </c>
      <c r="J227" s="8">
        <f>IF(ISNA(MATCH(214,Engine!$C$2:$C$1369,0)),"",INDEX('Compliance Database'!$J$2:$J$1369,MATCH(214,Engine!$C$2:$C$1369,0)))</f>
        <v/>
      </c>
      <c r="K227" s="9">
        <f>IF(ISNA(MATCH(214,Engine!$C$2:$C$1369,0)),"",INDEX('Compliance Database'!$K$2:$K$1369,MATCH(214,Engine!$C$2:$C$1369,0)))</f>
        <v/>
      </c>
      <c r="L227" s="9">
        <f>IF(ISNA(MATCH(214,Engine!$C$2:$C$1369,0)),"",INDEX('Compliance Database'!$L$2:$L$1369,MATCH(214,Engine!$C$2:$C$1369,0)))</f>
        <v/>
      </c>
      <c r="M227" s="9">
        <f>IF(ISNA(MATCH(214,Engine!$C$2:$C$1369,0)),"",INDEX('Compliance Database'!$M$2:$M$1369,MATCH(214,Engine!$C$2:$C$1369,0)))</f>
        <v/>
      </c>
      <c r="N227" s="9">
        <f>IF(ISNA(MATCH(214,Engine!$C$2:$C$1369,0)),"",INDEX('Compliance Database'!$N$2:$N$1369,MATCH(214,Engine!$C$2:$C$1369,0)))</f>
        <v/>
      </c>
      <c r="O227" s="8">
        <f>IF(ISNA(MATCH(214,Engine!$C$2:$C$1369,0)),"",HYPERLINK(INDEX('Compliance Database'!$O$2:$O$1369,MATCH(214,Engine!$C$2:$C$1369,0)),"Open PDF"))</f>
        <v/>
      </c>
    </row>
    <row r="228" ht="188" customHeight="1">
      <c r="A228" s="8">
        <f>IF(ISNA(MATCH(215,Engine!$C$2:$C$1369,0)),"",INDEX('Compliance Database'!$A$2:$A$1369,MATCH(215,Engine!$C$2:$C$1369,0)))</f>
        <v/>
      </c>
      <c r="B228" s="8">
        <f>IF(ISNA(MATCH(215,Engine!$C$2:$C$1369,0)),"",INDEX('Compliance Database'!$B$2:$B$1369,MATCH(215,Engine!$C$2:$C$1369,0)))</f>
        <v/>
      </c>
      <c r="C228" s="8">
        <f>IF(ISNA(MATCH(215,Engine!$C$2:$C$1369,0)),"",INDEX('Compliance Database'!$C$2:$C$1369,MATCH(215,Engine!$C$2:$C$1369,0)))</f>
        <v/>
      </c>
      <c r="D228" s="9">
        <f>IF(ISNA(MATCH(215,Engine!$C$2:$C$1369,0)),"",INDEX('Compliance Database'!$D$2:$D$1369,MATCH(215,Engine!$C$2:$C$1369,0)))</f>
        <v/>
      </c>
      <c r="E228" s="8">
        <f>IF(ISNA(MATCH(215,Engine!$C$2:$C$1369,0)),"",INDEX('Compliance Database'!$E$2:$E$1369,MATCH(215,Engine!$C$2:$C$1369,0)))</f>
        <v/>
      </c>
      <c r="F228" s="8">
        <f>IF(ISNA(MATCH(215,Engine!$C$2:$C$1369,0)),"",INDEX('Compliance Database'!$F$2:$F$1369,MATCH(215,Engine!$C$2:$C$1369,0)))</f>
        <v/>
      </c>
      <c r="G228" s="8">
        <f>IF(ISNA(MATCH(215,Engine!$C$2:$C$1369,0)),"",INDEX('Compliance Database'!$G$2:$G$1369,MATCH(215,Engine!$C$2:$C$1369,0)))</f>
        <v/>
      </c>
      <c r="H228" s="9">
        <f>IF(ISNA(MATCH(215,Engine!$C$2:$C$1369,0)),"",INDEX('Compliance Database'!$H$2:$H$1369,MATCH(215,Engine!$C$2:$C$1369,0)))</f>
        <v/>
      </c>
      <c r="I228" s="9">
        <f>IF(ISNA(MATCH(215,Engine!$C$2:$C$1369,0)),"",INDEX('Compliance Database'!$I$2:$I$1369,MATCH(215,Engine!$C$2:$C$1369,0)))</f>
        <v/>
      </c>
      <c r="J228" s="8">
        <f>IF(ISNA(MATCH(215,Engine!$C$2:$C$1369,0)),"",INDEX('Compliance Database'!$J$2:$J$1369,MATCH(215,Engine!$C$2:$C$1369,0)))</f>
        <v/>
      </c>
      <c r="K228" s="9">
        <f>IF(ISNA(MATCH(215,Engine!$C$2:$C$1369,0)),"",INDEX('Compliance Database'!$K$2:$K$1369,MATCH(215,Engine!$C$2:$C$1369,0)))</f>
        <v/>
      </c>
      <c r="L228" s="9">
        <f>IF(ISNA(MATCH(215,Engine!$C$2:$C$1369,0)),"",INDEX('Compliance Database'!$L$2:$L$1369,MATCH(215,Engine!$C$2:$C$1369,0)))</f>
        <v/>
      </c>
      <c r="M228" s="9">
        <f>IF(ISNA(MATCH(215,Engine!$C$2:$C$1369,0)),"",INDEX('Compliance Database'!$M$2:$M$1369,MATCH(215,Engine!$C$2:$C$1369,0)))</f>
        <v/>
      </c>
      <c r="N228" s="9">
        <f>IF(ISNA(MATCH(215,Engine!$C$2:$C$1369,0)),"",INDEX('Compliance Database'!$N$2:$N$1369,MATCH(215,Engine!$C$2:$C$1369,0)))</f>
        <v/>
      </c>
      <c r="O228" s="8">
        <f>IF(ISNA(MATCH(215,Engine!$C$2:$C$1369,0)),"",HYPERLINK(INDEX('Compliance Database'!$O$2:$O$1369,MATCH(215,Engine!$C$2:$C$1369,0)),"Open PDF"))</f>
        <v/>
      </c>
    </row>
    <row r="229" ht="188" customHeight="1">
      <c r="A229" s="8">
        <f>IF(ISNA(MATCH(216,Engine!$C$2:$C$1369,0)),"",INDEX('Compliance Database'!$A$2:$A$1369,MATCH(216,Engine!$C$2:$C$1369,0)))</f>
        <v/>
      </c>
      <c r="B229" s="8">
        <f>IF(ISNA(MATCH(216,Engine!$C$2:$C$1369,0)),"",INDEX('Compliance Database'!$B$2:$B$1369,MATCH(216,Engine!$C$2:$C$1369,0)))</f>
        <v/>
      </c>
      <c r="C229" s="8">
        <f>IF(ISNA(MATCH(216,Engine!$C$2:$C$1369,0)),"",INDEX('Compliance Database'!$C$2:$C$1369,MATCH(216,Engine!$C$2:$C$1369,0)))</f>
        <v/>
      </c>
      <c r="D229" s="9">
        <f>IF(ISNA(MATCH(216,Engine!$C$2:$C$1369,0)),"",INDEX('Compliance Database'!$D$2:$D$1369,MATCH(216,Engine!$C$2:$C$1369,0)))</f>
        <v/>
      </c>
      <c r="E229" s="8">
        <f>IF(ISNA(MATCH(216,Engine!$C$2:$C$1369,0)),"",INDEX('Compliance Database'!$E$2:$E$1369,MATCH(216,Engine!$C$2:$C$1369,0)))</f>
        <v/>
      </c>
      <c r="F229" s="8">
        <f>IF(ISNA(MATCH(216,Engine!$C$2:$C$1369,0)),"",INDEX('Compliance Database'!$F$2:$F$1369,MATCH(216,Engine!$C$2:$C$1369,0)))</f>
        <v/>
      </c>
      <c r="G229" s="8">
        <f>IF(ISNA(MATCH(216,Engine!$C$2:$C$1369,0)),"",INDEX('Compliance Database'!$G$2:$G$1369,MATCH(216,Engine!$C$2:$C$1369,0)))</f>
        <v/>
      </c>
      <c r="H229" s="9">
        <f>IF(ISNA(MATCH(216,Engine!$C$2:$C$1369,0)),"",INDEX('Compliance Database'!$H$2:$H$1369,MATCH(216,Engine!$C$2:$C$1369,0)))</f>
        <v/>
      </c>
      <c r="I229" s="9">
        <f>IF(ISNA(MATCH(216,Engine!$C$2:$C$1369,0)),"",INDEX('Compliance Database'!$I$2:$I$1369,MATCH(216,Engine!$C$2:$C$1369,0)))</f>
        <v/>
      </c>
      <c r="J229" s="8">
        <f>IF(ISNA(MATCH(216,Engine!$C$2:$C$1369,0)),"",INDEX('Compliance Database'!$J$2:$J$1369,MATCH(216,Engine!$C$2:$C$1369,0)))</f>
        <v/>
      </c>
      <c r="K229" s="9">
        <f>IF(ISNA(MATCH(216,Engine!$C$2:$C$1369,0)),"",INDEX('Compliance Database'!$K$2:$K$1369,MATCH(216,Engine!$C$2:$C$1369,0)))</f>
        <v/>
      </c>
      <c r="L229" s="9">
        <f>IF(ISNA(MATCH(216,Engine!$C$2:$C$1369,0)),"",INDEX('Compliance Database'!$L$2:$L$1369,MATCH(216,Engine!$C$2:$C$1369,0)))</f>
        <v/>
      </c>
      <c r="M229" s="9">
        <f>IF(ISNA(MATCH(216,Engine!$C$2:$C$1369,0)),"",INDEX('Compliance Database'!$M$2:$M$1369,MATCH(216,Engine!$C$2:$C$1369,0)))</f>
        <v/>
      </c>
      <c r="N229" s="9">
        <f>IF(ISNA(MATCH(216,Engine!$C$2:$C$1369,0)),"",INDEX('Compliance Database'!$N$2:$N$1369,MATCH(216,Engine!$C$2:$C$1369,0)))</f>
        <v/>
      </c>
      <c r="O229" s="8">
        <f>IF(ISNA(MATCH(216,Engine!$C$2:$C$1369,0)),"",HYPERLINK(INDEX('Compliance Database'!$O$2:$O$1369,MATCH(216,Engine!$C$2:$C$1369,0)),"Open PDF"))</f>
        <v/>
      </c>
    </row>
    <row r="230" ht="188" customHeight="1">
      <c r="A230" s="8">
        <f>IF(ISNA(MATCH(217,Engine!$C$2:$C$1369,0)),"",INDEX('Compliance Database'!$A$2:$A$1369,MATCH(217,Engine!$C$2:$C$1369,0)))</f>
        <v/>
      </c>
      <c r="B230" s="8">
        <f>IF(ISNA(MATCH(217,Engine!$C$2:$C$1369,0)),"",INDEX('Compliance Database'!$B$2:$B$1369,MATCH(217,Engine!$C$2:$C$1369,0)))</f>
        <v/>
      </c>
      <c r="C230" s="8">
        <f>IF(ISNA(MATCH(217,Engine!$C$2:$C$1369,0)),"",INDEX('Compliance Database'!$C$2:$C$1369,MATCH(217,Engine!$C$2:$C$1369,0)))</f>
        <v/>
      </c>
      <c r="D230" s="9">
        <f>IF(ISNA(MATCH(217,Engine!$C$2:$C$1369,0)),"",INDEX('Compliance Database'!$D$2:$D$1369,MATCH(217,Engine!$C$2:$C$1369,0)))</f>
        <v/>
      </c>
      <c r="E230" s="8">
        <f>IF(ISNA(MATCH(217,Engine!$C$2:$C$1369,0)),"",INDEX('Compliance Database'!$E$2:$E$1369,MATCH(217,Engine!$C$2:$C$1369,0)))</f>
        <v/>
      </c>
      <c r="F230" s="8">
        <f>IF(ISNA(MATCH(217,Engine!$C$2:$C$1369,0)),"",INDEX('Compliance Database'!$F$2:$F$1369,MATCH(217,Engine!$C$2:$C$1369,0)))</f>
        <v/>
      </c>
      <c r="G230" s="8">
        <f>IF(ISNA(MATCH(217,Engine!$C$2:$C$1369,0)),"",INDEX('Compliance Database'!$G$2:$G$1369,MATCH(217,Engine!$C$2:$C$1369,0)))</f>
        <v/>
      </c>
      <c r="H230" s="9">
        <f>IF(ISNA(MATCH(217,Engine!$C$2:$C$1369,0)),"",INDEX('Compliance Database'!$H$2:$H$1369,MATCH(217,Engine!$C$2:$C$1369,0)))</f>
        <v/>
      </c>
      <c r="I230" s="9">
        <f>IF(ISNA(MATCH(217,Engine!$C$2:$C$1369,0)),"",INDEX('Compliance Database'!$I$2:$I$1369,MATCH(217,Engine!$C$2:$C$1369,0)))</f>
        <v/>
      </c>
      <c r="J230" s="8">
        <f>IF(ISNA(MATCH(217,Engine!$C$2:$C$1369,0)),"",INDEX('Compliance Database'!$J$2:$J$1369,MATCH(217,Engine!$C$2:$C$1369,0)))</f>
        <v/>
      </c>
      <c r="K230" s="9">
        <f>IF(ISNA(MATCH(217,Engine!$C$2:$C$1369,0)),"",INDEX('Compliance Database'!$K$2:$K$1369,MATCH(217,Engine!$C$2:$C$1369,0)))</f>
        <v/>
      </c>
      <c r="L230" s="9">
        <f>IF(ISNA(MATCH(217,Engine!$C$2:$C$1369,0)),"",INDEX('Compliance Database'!$L$2:$L$1369,MATCH(217,Engine!$C$2:$C$1369,0)))</f>
        <v/>
      </c>
      <c r="M230" s="9">
        <f>IF(ISNA(MATCH(217,Engine!$C$2:$C$1369,0)),"",INDEX('Compliance Database'!$M$2:$M$1369,MATCH(217,Engine!$C$2:$C$1369,0)))</f>
        <v/>
      </c>
      <c r="N230" s="9">
        <f>IF(ISNA(MATCH(217,Engine!$C$2:$C$1369,0)),"",INDEX('Compliance Database'!$N$2:$N$1369,MATCH(217,Engine!$C$2:$C$1369,0)))</f>
        <v/>
      </c>
      <c r="O230" s="8">
        <f>IF(ISNA(MATCH(217,Engine!$C$2:$C$1369,0)),"",HYPERLINK(INDEX('Compliance Database'!$O$2:$O$1369,MATCH(217,Engine!$C$2:$C$1369,0)),"Open PDF"))</f>
        <v/>
      </c>
    </row>
    <row r="231" ht="188" customHeight="1">
      <c r="A231" s="8">
        <f>IF(ISNA(MATCH(218,Engine!$C$2:$C$1369,0)),"",INDEX('Compliance Database'!$A$2:$A$1369,MATCH(218,Engine!$C$2:$C$1369,0)))</f>
        <v/>
      </c>
      <c r="B231" s="8">
        <f>IF(ISNA(MATCH(218,Engine!$C$2:$C$1369,0)),"",INDEX('Compliance Database'!$B$2:$B$1369,MATCH(218,Engine!$C$2:$C$1369,0)))</f>
        <v/>
      </c>
      <c r="C231" s="8">
        <f>IF(ISNA(MATCH(218,Engine!$C$2:$C$1369,0)),"",INDEX('Compliance Database'!$C$2:$C$1369,MATCH(218,Engine!$C$2:$C$1369,0)))</f>
        <v/>
      </c>
      <c r="D231" s="9">
        <f>IF(ISNA(MATCH(218,Engine!$C$2:$C$1369,0)),"",INDEX('Compliance Database'!$D$2:$D$1369,MATCH(218,Engine!$C$2:$C$1369,0)))</f>
        <v/>
      </c>
      <c r="E231" s="8">
        <f>IF(ISNA(MATCH(218,Engine!$C$2:$C$1369,0)),"",INDEX('Compliance Database'!$E$2:$E$1369,MATCH(218,Engine!$C$2:$C$1369,0)))</f>
        <v/>
      </c>
      <c r="F231" s="8">
        <f>IF(ISNA(MATCH(218,Engine!$C$2:$C$1369,0)),"",INDEX('Compliance Database'!$F$2:$F$1369,MATCH(218,Engine!$C$2:$C$1369,0)))</f>
        <v/>
      </c>
      <c r="G231" s="8">
        <f>IF(ISNA(MATCH(218,Engine!$C$2:$C$1369,0)),"",INDEX('Compliance Database'!$G$2:$G$1369,MATCH(218,Engine!$C$2:$C$1369,0)))</f>
        <v/>
      </c>
      <c r="H231" s="9">
        <f>IF(ISNA(MATCH(218,Engine!$C$2:$C$1369,0)),"",INDEX('Compliance Database'!$H$2:$H$1369,MATCH(218,Engine!$C$2:$C$1369,0)))</f>
        <v/>
      </c>
      <c r="I231" s="9">
        <f>IF(ISNA(MATCH(218,Engine!$C$2:$C$1369,0)),"",INDEX('Compliance Database'!$I$2:$I$1369,MATCH(218,Engine!$C$2:$C$1369,0)))</f>
        <v/>
      </c>
      <c r="J231" s="8">
        <f>IF(ISNA(MATCH(218,Engine!$C$2:$C$1369,0)),"",INDEX('Compliance Database'!$J$2:$J$1369,MATCH(218,Engine!$C$2:$C$1369,0)))</f>
        <v/>
      </c>
      <c r="K231" s="9">
        <f>IF(ISNA(MATCH(218,Engine!$C$2:$C$1369,0)),"",INDEX('Compliance Database'!$K$2:$K$1369,MATCH(218,Engine!$C$2:$C$1369,0)))</f>
        <v/>
      </c>
      <c r="L231" s="9">
        <f>IF(ISNA(MATCH(218,Engine!$C$2:$C$1369,0)),"",INDEX('Compliance Database'!$L$2:$L$1369,MATCH(218,Engine!$C$2:$C$1369,0)))</f>
        <v/>
      </c>
      <c r="M231" s="9">
        <f>IF(ISNA(MATCH(218,Engine!$C$2:$C$1369,0)),"",INDEX('Compliance Database'!$M$2:$M$1369,MATCH(218,Engine!$C$2:$C$1369,0)))</f>
        <v/>
      </c>
      <c r="N231" s="9">
        <f>IF(ISNA(MATCH(218,Engine!$C$2:$C$1369,0)),"",INDEX('Compliance Database'!$N$2:$N$1369,MATCH(218,Engine!$C$2:$C$1369,0)))</f>
        <v/>
      </c>
      <c r="O231" s="8">
        <f>IF(ISNA(MATCH(218,Engine!$C$2:$C$1369,0)),"",HYPERLINK(INDEX('Compliance Database'!$O$2:$O$1369,MATCH(218,Engine!$C$2:$C$1369,0)),"Open PDF"))</f>
        <v/>
      </c>
    </row>
    <row r="232" ht="188" customHeight="1">
      <c r="A232" s="8">
        <f>IF(ISNA(MATCH(219,Engine!$C$2:$C$1369,0)),"",INDEX('Compliance Database'!$A$2:$A$1369,MATCH(219,Engine!$C$2:$C$1369,0)))</f>
        <v/>
      </c>
      <c r="B232" s="8">
        <f>IF(ISNA(MATCH(219,Engine!$C$2:$C$1369,0)),"",INDEX('Compliance Database'!$B$2:$B$1369,MATCH(219,Engine!$C$2:$C$1369,0)))</f>
        <v/>
      </c>
      <c r="C232" s="8">
        <f>IF(ISNA(MATCH(219,Engine!$C$2:$C$1369,0)),"",INDEX('Compliance Database'!$C$2:$C$1369,MATCH(219,Engine!$C$2:$C$1369,0)))</f>
        <v/>
      </c>
      <c r="D232" s="9">
        <f>IF(ISNA(MATCH(219,Engine!$C$2:$C$1369,0)),"",INDEX('Compliance Database'!$D$2:$D$1369,MATCH(219,Engine!$C$2:$C$1369,0)))</f>
        <v/>
      </c>
      <c r="E232" s="8">
        <f>IF(ISNA(MATCH(219,Engine!$C$2:$C$1369,0)),"",INDEX('Compliance Database'!$E$2:$E$1369,MATCH(219,Engine!$C$2:$C$1369,0)))</f>
        <v/>
      </c>
      <c r="F232" s="8">
        <f>IF(ISNA(MATCH(219,Engine!$C$2:$C$1369,0)),"",INDEX('Compliance Database'!$F$2:$F$1369,MATCH(219,Engine!$C$2:$C$1369,0)))</f>
        <v/>
      </c>
      <c r="G232" s="8">
        <f>IF(ISNA(MATCH(219,Engine!$C$2:$C$1369,0)),"",INDEX('Compliance Database'!$G$2:$G$1369,MATCH(219,Engine!$C$2:$C$1369,0)))</f>
        <v/>
      </c>
      <c r="H232" s="9">
        <f>IF(ISNA(MATCH(219,Engine!$C$2:$C$1369,0)),"",INDEX('Compliance Database'!$H$2:$H$1369,MATCH(219,Engine!$C$2:$C$1369,0)))</f>
        <v/>
      </c>
      <c r="I232" s="9">
        <f>IF(ISNA(MATCH(219,Engine!$C$2:$C$1369,0)),"",INDEX('Compliance Database'!$I$2:$I$1369,MATCH(219,Engine!$C$2:$C$1369,0)))</f>
        <v/>
      </c>
      <c r="J232" s="8">
        <f>IF(ISNA(MATCH(219,Engine!$C$2:$C$1369,0)),"",INDEX('Compliance Database'!$J$2:$J$1369,MATCH(219,Engine!$C$2:$C$1369,0)))</f>
        <v/>
      </c>
      <c r="K232" s="9">
        <f>IF(ISNA(MATCH(219,Engine!$C$2:$C$1369,0)),"",INDEX('Compliance Database'!$K$2:$K$1369,MATCH(219,Engine!$C$2:$C$1369,0)))</f>
        <v/>
      </c>
      <c r="L232" s="9">
        <f>IF(ISNA(MATCH(219,Engine!$C$2:$C$1369,0)),"",INDEX('Compliance Database'!$L$2:$L$1369,MATCH(219,Engine!$C$2:$C$1369,0)))</f>
        <v/>
      </c>
      <c r="M232" s="9">
        <f>IF(ISNA(MATCH(219,Engine!$C$2:$C$1369,0)),"",INDEX('Compliance Database'!$M$2:$M$1369,MATCH(219,Engine!$C$2:$C$1369,0)))</f>
        <v/>
      </c>
      <c r="N232" s="9">
        <f>IF(ISNA(MATCH(219,Engine!$C$2:$C$1369,0)),"",INDEX('Compliance Database'!$N$2:$N$1369,MATCH(219,Engine!$C$2:$C$1369,0)))</f>
        <v/>
      </c>
      <c r="O232" s="8">
        <f>IF(ISNA(MATCH(219,Engine!$C$2:$C$1369,0)),"",HYPERLINK(INDEX('Compliance Database'!$O$2:$O$1369,MATCH(219,Engine!$C$2:$C$1369,0)),"Open PDF"))</f>
        <v/>
      </c>
    </row>
    <row r="233" ht="188" customHeight="1">
      <c r="A233" s="8">
        <f>IF(ISNA(MATCH(220,Engine!$C$2:$C$1369,0)),"",INDEX('Compliance Database'!$A$2:$A$1369,MATCH(220,Engine!$C$2:$C$1369,0)))</f>
        <v/>
      </c>
      <c r="B233" s="8">
        <f>IF(ISNA(MATCH(220,Engine!$C$2:$C$1369,0)),"",INDEX('Compliance Database'!$B$2:$B$1369,MATCH(220,Engine!$C$2:$C$1369,0)))</f>
        <v/>
      </c>
      <c r="C233" s="8">
        <f>IF(ISNA(MATCH(220,Engine!$C$2:$C$1369,0)),"",INDEX('Compliance Database'!$C$2:$C$1369,MATCH(220,Engine!$C$2:$C$1369,0)))</f>
        <v/>
      </c>
      <c r="D233" s="9">
        <f>IF(ISNA(MATCH(220,Engine!$C$2:$C$1369,0)),"",INDEX('Compliance Database'!$D$2:$D$1369,MATCH(220,Engine!$C$2:$C$1369,0)))</f>
        <v/>
      </c>
      <c r="E233" s="8">
        <f>IF(ISNA(MATCH(220,Engine!$C$2:$C$1369,0)),"",INDEX('Compliance Database'!$E$2:$E$1369,MATCH(220,Engine!$C$2:$C$1369,0)))</f>
        <v/>
      </c>
      <c r="F233" s="8">
        <f>IF(ISNA(MATCH(220,Engine!$C$2:$C$1369,0)),"",INDEX('Compliance Database'!$F$2:$F$1369,MATCH(220,Engine!$C$2:$C$1369,0)))</f>
        <v/>
      </c>
      <c r="G233" s="8">
        <f>IF(ISNA(MATCH(220,Engine!$C$2:$C$1369,0)),"",INDEX('Compliance Database'!$G$2:$G$1369,MATCH(220,Engine!$C$2:$C$1369,0)))</f>
        <v/>
      </c>
      <c r="H233" s="9">
        <f>IF(ISNA(MATCH(220,Engine!$C$2:$C$1369,0)),"",INDEX('Compliance Database'!$H$2:$H$1369,MATCH(220,Engine!$C$2:$C$1369,0)))</f>
        <v/>
      </c>
      <c r="I233" s="9">
        <f>IF(ISNA(MATCH(220,Engine!$C$2:$C$1369,0)),"",INDEX('Compliance Database'!$I$2:$I$1369,MATCH(220,Engine!$C$2:$C$1369,0)))</f>
        <v/>
      </c>
      <c r="J233" s="8">
        <f>IF(ISNA(MATCH(220,Engine!$C$2:$C$1369,0)),"",INDEX('Compliance Database'!$J$2:$J$1369,MATCH(220,Engine!$C$2:$C$1369,0)))</f>
        <v/>
      </c>
      <c r="K233" s="9">
        <f>IF(ISNA(MATCH(220,Engine!$C$2:$C$1369,0)),"",INDEX('Compliance Database'!$K$2:$K$1369,MATCH(220,Engine!$C$2:$C$1369,0)))</f>
        <v/>
      </c>
      <c r="L233" s="9">
        <f>IF(ISNA(MATCH(220,Engine!$C$2:$C$1369,0)),"",INDEX('Compliance Database'!$L$2:$L$1369,MATCH(220,Engine!$C$2:$C$1369,0)))</f>
        <v/>
      </c>
      <c r="M233" s="9">
        <f>IF(ISNA(MATCH(220,Engine!$C$2:$C$1369,0)),"",INDEX('Compliance Database'!$M$2:$M$1369,MATCH(220,Engine!$C$2:$C$1369,0)))</f>
        <v/>
      </c>
      <c r="N233" s="9">
        <f>IF(ISNA(MATCH(220,Engine!$C$2:$C$1369,0)),"",INDEX('Compliance Database'!$N$2:$N$1369,MATCH(220,Engine!$C$2:$C$1369,0)))</f>
        <v/>
      </c>
      <c r="O233" s="8">
        <f>IF(ISNA(MATCH(220,Engine!$C$2:$C$1369,0)),"",HYPERLINK(INDEX('Compliance Database'!$O$2:$O$1369,MATCH(220,Engine!$C$2:$C$1369,0)),"Open PDF"))</f>
        <v/>
      </c>
    </row>
    <row r="234" ht="188" customHeight="1">
      <c r="A234" s="8">
        <f>IF(ISNA(MATCH(221,Engine!$C$2:$C$1369,0)),"",INDEX('Compliance Database'!$A$2:$A$1369,MATCH(221,Engine!$C$2:$C$1369,0)))</f>
        <v/>
      </c>
      <c r="B234" s="8">
        <f>IF(ISNA(MATCH(221,Engine!$C$2:$C$1369,0)),"",INDEX('Compliance Database'!$B$2:$B$1369,MATCH(221,Engine!$C$2:$C$1369,0)))</f>
        <v/>
      </c>
      <c r="C234" s="8">
        <f>IF(ISNA(MATCH(221,Engine!$C$2:$C$1369,0)),"",INDEX('Compliance Database'!$C$2:$C$1369,MATCH(221,Engine!$C$2:$C$1369,0)))</f>
        <v/>
      </c>
      <c r="D234" s="9">
        <f>IF(ISNA(MATCH(221,Engine!$C$2:$C$1369,0)),"",INDEX('Compliance Database'!$D$2:$D$1369,MATCH(221,Engine!$C$2:$C$1369,0)))</f>
        <v/>
      </c>
      <c r="E234" s="8">
        <f>IF(ISNA(MATCH(221,Engine!$C$2:$C$1369,0)),"",INDEX('Compliance Database'!$E$2:$E$1369,MATCH(221,Engine!$C$2:$C$1369,0)))</f>
        <v/>
      </c>
      <c r="F234" s="8">
        <f>IF(ISNA(MATCH(221,Engine!$C$2:$C$1369,0)),"",INDEX('Compliance Database'!$F$2:$F$1369,MATCH(221,Engine!$C$2:$C$1369,0)))</f>
        <v/>
      </c>
      <c r="G234" s="8">
        <f>IF(ISNA(MATCH(221,Engine!$C$2:$C$1369,0)),"",INDEX('Compliance Database'!$G$2:$G$1369,MATCH(221,Engine!$C$2:$C$1369,0)))</f>
        <v/>
      </c>
      <c r="H234" s="9">
        <f>IF(ISNA(MATCH(221,Engine!$C$2:$C$1369,0)),"",INDEX('Compliance Database'!$H$2:$H$1369,MATCH(221,Engine!$C$2:$C$1369,0)))</f>
        <v/>
      </c>
      <c r="I234" s="9">
        <f>IF(ISNA(MATCH(221,Engine!$C$2:$C$1369,0)),"",INDEX('Compliance Database'!$I$2:$I$1369,MATCH(221,Engine!$C$2:$C$1369,0)))</f>
        <v/>
      </c>
      <c r="J234" s="8">
        <f>IF(ISNA(MATCH(221,Engine!$C$2:$C$1369,0)),"",INDEX('Compliance Database'!$J$2:$J$1369,MATCH(221,Engine!$C$2:$C$1369,0)))</f>
        <v/>
      </c>
      <c r="K234" s="9">
        <f>IF(ISNA(MATCH(221,Engine!$C$2:$C$1369,0)),"",INDEX('Compliance Database'!$K$2:$K$1369,MATCH(221,Engine!$C$2:$C$1369,0)))</f>
        <v/>
      </c>
      <c r="L234" s="9">
        <f>IF(ISNA(MATCH(221,Engine!$C$2:$C$1369,0)),"",INDEX('Compliance Database'!$L$2:$L$1369,MATCH(221,Engine!$C$2:$C$1369,0)))</f>
        <v/>
      </c>
      <c r="M234" s="9">
        <f>IF(ISNA(MATCH(221,Engine!$C$2:$C$1369,0)),"",INDEX('Compliance Database'!$M$2:$M$1369,MATCH(221,Engine!$C$2:$C$1369,0)))</f>
        <v/>
      </c>
      <c r="N234" s="9">
        <f>IF(ISNA(MATCH(221,Engine!$C$2:$C$1369,0)),"",INDEX('Compliance Database'!$N$2:$N$1369,MATCH(221,Engine!$C$2:$C$1369,0)))</f>
        <v/>
      </c>
      <c r="O234" s="8">
        <f>IF(ISNA(MATCH(221,Engine!$C$2:$C$1369,0)),"",HYPERLINK(INDEX('Compliance Database'!$O$2:$O$1369,MATCH(221,Engine!$C$2:$C$1369,0)),"Open PDF"))</f>
        <v/>
      </c>
    </row>
    <row r="235" ht="188" customHeight="1">
      <c r="A235" s="8">
        <f>IF(ISNA(MATCH(222,Engine!$C$2:$C$1369,0)),"",INDEX('Compliance Database'!$A$2:$A$1369,MATCH(222,Engine!$C$2:$C$1369,0)))</f>
        <v/>
      </c>
      <c r="B235" s="8">
        <f>IF(ISNA(MATCH(222,Engine!$C$2:$C$1369,0)),"",INDEX('Compliance Database'!$B$2:$B$1369,MATCH(222,Engine!$C$2:$C$1369,0)))</f>
        <v/>
      </c>
      <c r="C235" s="8">
        <f>IF(ISNA(MATCH(222,Engine!$C$2:$C$1369,0)),"",INDEX('Compliance Database'!$C$2:$C$1369,MATCH(222,Engine!$C$2:$C$1369,0)))</f>
        <v/>
      </c>
      <c r="D235" s="9">
        <f>IF(ISNA(MATCH(222,Engine!$C$2:$C$1369,0)),"",INDEX('Compliance Database'!$D$2:$D$1369,MATCH(222,Engine!$C$2:$C$1369,0)))</f>
        <v/>
      </c>
      <c r="E235" s="8">
        <f>IF(ISNA(MATCH(222,Engine!$C$2:$C$1369,0)),"",INDEX('Compliance Database'!$E$2:$E$1369,MATCH(222,Engine!$C$2:$C$1369,0)))</f>
        <v/>
      </c>
      <c r="F235" s="8">
        <f>IF(ISNA(MATCH(222,Engine!$C$2:$C$1369,0)),"",INDEX('Compliance Database'!$F$2:$F$1369,MATCH(222,Engine!$C$2:$C$1369,0)))</f>
        <v/>
      </c>
      <c r="G235" s="8">
        <f>IF(ISNA(MATCH(222,Engine!$C$2:$C$1369,0)),"",INDEX('Compliance Database'!$G$2:$G$1369,MATCH(222,Engine!$C$2:$C$1369,0)))</f>
        <v/>
      </c>
      <c r="H235" s="9">
        <f>IF(ISNA(MATCH(222,Engine!$C$2:$C$1369,0)),"",INDEX('Compliance Database'!$H$2:$H$1369,MATCH(222,Engine!$C$2:$C$1369,0)))</f>
        <v/>
      </c>
      <c r="I235" s="9">
        <f>IF(ISNA(MATCH(222,Engine!$C$2:$C$1369,0)),"",INDEX('Compliance Database'!$I$2:$I$1369,MATCH(222,Engine!$C$2:$C$1369,0)))</f>
        <v/>
      </c>
      <c r="J235" s="8">
        <f>IF(ISNA(MATCH(222,Engine!$C$2:$C$1369,0)),"",INDEX('Compliance Database'!$J$2:$J$1369,MATCH(222,Engine!$C$2:$C$1369,0)))</f>
        <v/>
      </c>
      <c r="K235" s="9">
        <f>IF(ISNA(MATCH(222,Engine!$C$2:$C$1369,0)),"",INDEX('Compliance Database'!$K$2:$K$1369,MATCH(222,Engine!$C$2:$C$1369,0)))</f>
        <v/>
      </c>
      <c r="L235" s="9">
        <f>IF(ISNA(MATCH(222,Engine!$C$2:$C$1369,0)),"",INDEX('Compliance Database'!$L$2:$L$1369,MATCH(222,Engine!$C$2:$C$1369,0)))</f>
        <v/>
      </c>
      <c r="M235" s="9">
        <f>IF(ISNA(MATCH(222,Engine!$C$2:$C$1369,0)),"",INDEX('Compliance Database'!$M$2:$M$1369,MATCH(222,Engine!$C$2:$C$1369,0)))</f>
        <v/>
      </c>
      <c r="N235" s="9">
        <f>IF(ISNA(MATCH(222,Engine!$C$2:$C$1369,0)),"",INDEX('Compliance Database'!$N$2:$N$1369,MATCH(222,Engine!$C$2:$C$1369,0)))</f>
        <v/>
      </c>
      <c r="O235" s="8">
        <f>IF(ISNA(MATCH(222,Engine!$C$2:$C$1369,0)),"",HYPERLINK(INDEX('Compliance Database'!$O$2:$O$1369,MATCH(222,Engine!$C$2:$C$1369,0)),"Open PDF"))</f>
        <v/>
      </c>
    </row>
    <row r="236" ht="188" customHeight="1">
      <c r="A236" s="8">
        <f>IF(ISNA(MATCH(223,Engine!$C$2:$C$1369,0)),"",INDEX('Compliance Database'!$A$2:$A$1369,MATCH(223,Engine!$C$2:$C$1369,0)))</f>
        <v/>
      </c>
      <c r="B236" s="8">
        <f>IF(ISNA(MATCH(223,Engine!$C$2:$C$1369,0)),"",INDEX('Compliance Database'!$B$2:$B$1369,MATCH(223,Engine!$C$2:$C$1369,0)))</f>
        <v/>
      </c>
      <c r="C236" s="8">
        <f>IF(ISNA(MATCH(223,Engine!$C$2:$C$1369,0)),"",INDEX('Compliance Database'!$C$2:$C$1369,MATCH(223,Engine!$C$2:$C$1369,0)))</f>
        <v/>
      </c>
      <c r="D236" s="9">
        <f>IF(ISNA(MATCH(223,Engine!$C$2:$C$1369,0)),"",INDEX('Compliance Database'!$D$2:$D$1369,MATCH(223,Engine!$C$2:$C$1369,0)))</f>
        <v/>
      </c>
      <c r="E236" s="8">
        <f>IF(ISNA(MATCH(223,Engine!$C$2:$C$1369,0)),"",INDEX('Compliance Database'!$E$2:$E$1369,MATCH(223,Engine!$C$2:$C$1369,0)))</f>
        <v/>
      </c>
      <c r="F236" s="8">
        <f>IF(ISNA(MATCH(223,Engine!$C$2:$C$1369,0)),"",INDEX('Compliance Database'!$F$2:$F$1369,MATCH(223,Engine!$C$2:$C$1369,0)))</f>
        <v/>
      </c>
      <c r="G236" s="8">
        <f>IF(ISNA(MATCH(223,Engine!$C$2:$C$1369,0)),"",INDEX('Compliance Database'!$G$2:$G$1369,MATCH(223,Engine!$C$2:$C$1369,0)))</f>
        <v/>
      </c>
      <c r="H236" s="9">
        <f>IF(ISNA(MATCH(223,Engine!$C$2:$C$1369,0)),"",INDEX('Compliance Database'!$H$2:$H$1369,MATCH(223,Engine!$C$2:$C$1369,0)))</f>
        <v/>
      </c>
      <c r="I236" s="9">
        <f>IF(ISNA(MATCH(223,Engine!$C$2:$C$1369,0)),"",INDEX('Compliance Database'!$I$2:$I$1369,MATCH(223,Engine!$C$2:$C$1369,0)))</f>
        <v/>
      </c>
      <c r="J236" s="8">
        <f>IF(ISNA(MATCH(223,Engine!$C$2:$C$1369,0)),"",INDEX('Compliance Database'!$J$2:$J$1369,MATCH(223,Engine!$C$2:$C$1369,0)))</f>
        <v/>
      </c>
      <c r="K236" s="9">
        <f>IF(ISNA(MATCH(223,Engine!$C$2:$C$1369,0)),"",INDEX('Compliance Database'!$K$2:$K$1369,MATCH(223,Engine!$C$2:$C$1369,0)))</f>
        <v/>
      </c>
      <c r="L236" s="9">
        <f>IF(ISNA(MATCH(223,Engine!$C$2:$C$1369,0)),"",INDEX('Compliance Database'!$L$2:$L$1369,MATCH(223,Engine!$C$2:$C$1369,0)))</f>
        <v/>
      </c>
      <c r="M236" s="9">
        <f>IF(ISNA(MATCH(223,Engine!$C$2:$C$1369,0)),"",INDEX('Compliance Database'!$M$2:$M$1369,MATCH(223,Engine!$C$2:$C$1369,0)))</f>
        <v/>
      </c>
      <c r="N236" s="9">
        <f>IF(ISNA(MATCH(223,Engine!$C$2:$C$1369,0)),"",INDEX('Compliance Database'!$N$2:$N$1369,MATCH(223,Engine!$C$2:$C$1369,0)))</f>
        <v/>
      </c>
      <c r="O236" s="8">
        <f>IF(ISNA(MATCH(223,Engine!$C$2:$C$1369,0)),"",HYPERLINK(INDEX('Compliance Database'!$O$2:$O$1369,MATCH(223,Engine!$C$2:$C$1369,0)),"Open PDF"))</f>
        <v/>
      </c>
    </row>
    <row r="237" ht="188" customHeight="1">
      <c r="A237" s="8">
        <f>IF(ISNA(MATCH(224,Engine!$C$2:$C$1369,0)),"",INDEX('Compliance Database'!$A$2:$A$1369,MATCH(224,Engine!$C$2:$C$1369,0)))</f>
        <v/>
      </c>
      <c r="B237" s="8">
        <f>IF(ISNA(MATCH(224,Engine!$C$2:$C$1369,0)),"",INDEX('Compliance Database'!$B$2:$B$1369,MATCH(224,Engine!$C$2:$C$1369,0)))</f>
        <v/>
      </c>
      <c r="C237" s="8">
        <f>IF(ISNA(MATCH(224,Engine!$C$2:$C$1369,0)),"",INDEX('Compliance Database'!$C$2:$C$1369,MATCH(224,Engine!$C$2:$C$1369,0)))</f>
        <v/>
      </c>
      <c r="D237" s="9">
        <f>IF(ISNA(MATCH(224,Engine!$C$2:$C$1369,0)),"",INDEX('Compliance Database'!$D$2:$D$1369,MATCH(224,Engine!$C$2:$C$1369,0)))</f>
        <v/>
      </c>
      <c r="E237" s="8">
        <f>IF(ISNA(MATCH(224,Engine!$C$2:$C$1369,0)),"",INDEX('Compliance Database'!$E$2:$E$1369,MATCH(224,Engine!$C$2:$C$1369,0)))</f>
        <v/>
      </c>
      <c r="F237" s="8">
        <f>IF(ISNA(MATCH(224,Engine!$C$2:$C$1369,0)),"",INDEX('Compliance Database'!$F$2:$F$1369,MATCH(224,Engine!$C$2:$C$1369,0)))</f>
        <v/>
      </c>
      <c r="G237" s="8">
        <f>IF(ISNA(MATCH(224,Engine!$C$2:$C$1369,0)),"",INDEX('Compliance Database'!$G$2:$G$1369,MATCH(224,Engine!$C$2:$C$1369,0)))</f>
        <v/>
      </c>
      <c r="H237" s="9">
        <f>IF(ISNA(MATCH(224,Engine!$C$2:$C$1369,0)),"",INDEX('Compliance Database'!$H$2:$H$1369,MATCH(224,Engine!$C$2:$C$1369,0)))</f>
        <v/>
      </c>
      <c r="I237" s="9">
        <f>IF(ISNA(MATCH(224,Engine!$C$2:$C$1369,0)),"",INDEX('Compliance Database'!$I$2:$I$1369,MATCH(224,Engine!$C$2:$C$1369,0)))</f>
        <v/>
      </c>
      <c r="J237" s="8">
        <f>IF(ISNA(MATCH(224,Engine!$C$2:$C$1369,0)),"",INDEX('Compliance Database'!$J$2:$J$1369,MATCH(224,Engine!$C$2:$C$1369,0)))</f>
        <v/>
      </c>
      <c r="K237" s="9">
        <f>IF(ISNA(MATCH(224,Engine!$C$2:$C$1369,0)),"",INDEX('Compliance Database'!$K$2:$K$1369,MATCH(224,Engine!$C$2:$C$1369,0)))</f>
        <v/>
      </c>
      <c r="L237" s="9">
        <f>IF(ISNA(MATCH(224,Engine!$C$2:$C$1369,0)),"",INDEX('Compliance Database'!$L$2:$L$1369,MATCH(224,Engine!$C$2:$C$1369,0)))</f>
        <v/>
      </c>
      <c r="M237" s="9">
        <f>IF(ISNA(MATCH(224,Engine!$C$2:$C$1369,0)),"",INDEX('Compliance Database'!$M$2:$M$1369,MATCH(224,Engine!$C$2:$C$1369,0)))</f>
        <v/>
      </c>
      <c r="N237" s="9">
        <f>IF(ISNA(MATCH(224,Engine!$C$2:$C$1369,0)),"",INDEX('Compliance Database'!$N$2:$N$1369,MATCH(224,Engine!$C$2:$C$1369,0)))</f>
        <v/>
      </c>
      <c r="O237" s="8">
        <f>IF(ISNA(MATCH(224,Engine!$C$2:$C$1369,0)),"",HYPERLINK(INDEX('Compliance Database'!$O$2:$O$1369,MATCH(224,Engine!$C$2:$C$1369,0)),"Open PDF"))</f>
        <v/>
      </c>
    </row>
    <row r="238" ht="188" customHeight="1">
      <c r="A238" s="8">
        <f>IF(ISNA(MATCH(225,Engine!$C$2:$C$1369,0)),"",INDEX('Compliance Database'!$A$2:$A$1369,MATCH(225,Engine!$C$2:$C$1369,0)))</f>
        <v/>
      </c>
      <c r="B238" s="8">
        <f>IF(ISNA(MATCH(225,Engine!$C$2:$C$1369,0)),"",INDEX('Compliance Database'!$B$2:$B$1369,MATCH(225,Engine!$C$2:$C$1369,0)))</f>
        <v/>
      </c>
      <c r="C238" s="8">
        <f>IF(ISNA(MATCH(225,Engine!$C$2:$C$1369,0)),"",INDEX('Compliance Database'!$C$2:$C$1369,MATCH(225,Engine!$C$2:$C$1369,0)))</f>
        <v/>
      </c>
      <c r="D238" s="9">
        <f>IF(ISNA(MATCH(225,Engine!$C$2:$C$1369,0)),"",INDEX('Compliance Database'!$D$2:$D$1369,MATCH(225,Engine!$C$2:$C$1369,0)))</f>
        <v/>
      </c>
      <c r="E238" s="8">
        <f>IF(ISNA(MATCH(225,Engine!$C$2:$C$1369,0)),"",INDEX('Compliance Database'!$E$2:$E$1369,MATCH(225,Engine!$C$2:$C$1369,0)))</f>
        <v/>
      </c>
      <c r="F238" s="8">
        <f>IF(ISNA(MATCH(225,Engine!$C$2:$C$1369,0)),"",INDEX('Compliance Database'!$F$2:$F$1369,MATCH(225,Engine!$C$2:$C$1369,0)))</f>
        <v/>
      </c>
      <c r="G238" s="8">
        <f>IF(ISNA(MATCH(225,Engine!$C$2:$C$1369,0)),"",INDEX('Compliance Database'!$G$2:$G$1369,MATCH(225,Engine!$C$2:$C$1369,0)))</f>
        <v/>
      </c>
      <c r="H238" s="9">
        <f>IF(ISNA(MATCH(225,Engine!$C$2:$C$1369,0)),"",INDEX('Compliance Database'!$H$2:$H$1369,MATCH(225,Engine!$C$2:$C$1369,0)))</f>
        <v/>
      </c>
      <c r="I238" s="9">
        <f>IF(ISNA(MATCH(225,Engine!$C$2:$C$1369,0)),"",INDEX('Compliance Database'!$I$2:$I$1369,MATCH(225,Engine!$C$2:$C$1369,0)))</f>
        <v/>
      </c>
      <c r="J238" s="8">
        <f>IF(ISNA(MATCH(225,Engine!$C$2:$C$1369,0)),"",INDEX('Compliance Database'!$J$2:$J$1369,MATCH(225,Engine!$C$2:$C$1369,0)))</f>
        <v/>
      </c>
      <c r="K238" s="9">
        <f>IF(ISNA(MATCH(225,Engine!$C$2:$C$1369,0)),"",INDEX('Compliance Database'!$K$2:$K$1369,MATCH(225,Engine!$C$2:$C$1369,0)))</f>
        <v/>
      </c>
      <c r="L238" s="9">
        <f>IF(ISNA(MATCH(225,Engine!$C$2:$C$1369,0)),"",INDEX('Compliance Database'!$L$2:$L$1369,MATCH(225,Engine!$C$2:$C$1369,0)))</f>
        <v/>
      </c>
      <c r="M238" s="9">
        <f>IF(ISNA(MATCH(225,Engine!$C$2:$C$1369,0)),"",INDEX('Compliance Database'!$M$2:$M$1369,MATCH(225,Engine!$C$2:$C$1369,0)))</f>
        <v/>
      </c>
      <c r="N238" s="9">
        <f>IF(ISNA(MATCH(225,Engine!$C$2:$C$1369,0)),"",INDEX('Compliance Database'!$N$2:$N$1369,MATCH(225,Engine!$C$2:$C$1369,0)))</f>
        <v/>
      </c>
      <c r="O238" s="8">
        <f>IF(ISNA(MATCH(225,Engine!$C$2:$C$1369,0)),"",HYPERLINK(INDEX('Compliance Database'!$O$2:$O$1369,MATCH(225,Engine!$C$2:$C$1369,0)),"Open PDF"))</f>
        <v/>
      </c>
    </row>
    <row r="239" ht="188" customHeight="1">
      <c r="A239" s="8">
        <f>IF(ISNA(MATCH(226,Engine!$C$2:$C$1369,0)),"",INDEX('Compliance Database'!$A$2:$A$1369,MATCH(226,Engine!$C$2:$C$1369,0)))</f>
        <v/>
      </c>
      <c r="B239" s="8">
        <f>IF(ISNA(MATCH(226,Engine!$C$2:$C$1369,0)),"",INDEX('Compliance Database'!$B$2:$B$1369,MATCH(226,Engine!$C$2:$C$1369,0)))</f>
        <v/>
      </c>
      <c r="C239" s="8">
        <f>IF(ISNA(MATCH(226,Engine!$C$2:$C$1369,0)),"",INDEX('Compliance Database'!$C$2:$C$1369,MATCH(226,Engine!$C$2:$C$1369,0)))</f>
        <v/>
      </c>
      <c r="D239" s="9">
        <f>IF(ISNA(MATCH(226,Engine!$C$2:$C$1369,0)),"",INDEX('Compliance Database'!$D$2:$D$1369,MATCH(226,Engine!$C$2:$C$1369,0)))</f>
        <v/>
      </c>
      <c r="E239" s="8">
        <f>IF(ISNA(MATCH(226,Engine!$C$2:$C$1369,0)),"",INDEX('Compliance Database'!$E$2:$E$1369,MATCH(226,Engine!$C$2:$C$1369,0)))</f>
        <v/>
      </c>
      <c r="F239" s="8">
        <f>IF(ISNA(MATCH(226,Engine!$C$2:$C$1369,0)),"",INDEX('Compliance Database'!$F$2:$F$1369,MATCH(226,Engine!$C$2:$C$1369,0)))</f>
        <v/>
      </c>
      <c r="G239" s="8">
        <f>IF(ISNA(MATCH(226,Engine!$C$2:$C$1369,0)),"",INDEX('Compliance Database'!$G$2:$G$1369,MATCH(226,Engine!$C$2:$C$1369,0)))</f>
        <v/>
      </c>
      <c r="H239" s="9">
        <f>IF(ISNA(MATCH(226,Engine!$C$2:$C$1369,0)),"",INDEX('Compliance Database'!$H$2:$H$1369,MATCH(226,Engine!$C$2:$C$1369,0)))</f>
        <v/>
      </c>
      <c r="I239" s="9">
        <f>IF(ISNA(MATCH(226,Engine!$C$2:$C$1369,0)),"",INDEX('Compliance Database'!$I$2:$I$1369,MATCH(226,Engine!$C$2:$C$1369,0)))</f>
        <v/>
      </c>
      <c r="J239" s="8">
        <f>IF(ISNA(MATCH(226,Engine!$C$2:$C$1369,0)),"",INDEX('Compliance Database'!$J$2:$J$1369,MATCH(226,Engine!$C$2:$C$1369,0)))</f>
        <v/>
      </c>
      <c r="K239" s="9">
        <f>IF(ISNA(MATCH(226,Engine!$C$2:$C$1369,0)),"",INDEX('Compliance Database'!$K$2:$K$1369,MATCH(226,Engine!$C$2:$C$1369,0)))</f>
        <v/>
      </c>
      <c r="L239" s="9">
        <f>IF(ISNA(MATCH(226,Engine!$C$2:$C$1369,0)),"",INDEX('Compliance Database'!$L$2:$L$1369,MATCH(226,Engine!$C$2:$C$1369,0)))</f>
        <v/>
      </c>
      <c r="M239" s="9">
        <f>IF(ISNA(MATCH(226,Engine!$C$2:$C$1369,0)),"",INDEX('Compliance Database'!$M$2:$M$1369,MATCH(226,Engine!$C$2:$C$1369,0)))</f>
        <v/>
      </c>
      <c r="N239" s="9">
        <f>IF(ISNA(MATCH(226,Engine!$C$2:$C$1369,0)),"",INDEX('Compliance Database'!$N$2:$N$1369,MATCH(226,Engine!$C$2:$C$1369,0)))</f>
        <v/>
      </c>
      <c r="O239" s="8">
        <f>IF(ISNA(MATCH(226,Engine!$C$2:$C$1369,0)),"",HYPERLINK(INDEX('Compliance Database'!$O$2:$O$1369,MATCH(226,Engine!$C$2:$C$1369,0)),"Open PDF"))</f>
        <v/>
      </c>
    </row>
    <row r="240" ht="188" customHeight="1">
      <c r="A240" s="8">
        <f>IF(ISNA(MATCH(227,Engine!$C$2:$C$1369,0)),"",INDEX('Compliance Database'!$A$2:$A$1369,MATCH(227,Engine!$C$2:$C$1369,0)))</f>
        <v/>
      </c>
      <c r="B240" s="8">
        <f>IF(ISNA(MATCH(227,Engine!$C$2:$C$1369,0)),"",INDEX('Compliance Database'!$B$2:$B$1369,MATCH(227,Engine!$C$2:$C$1369,0)))</f>
        <v/>
      </c>
      <c r="C240" s="8">
        <f>IF(ISNA(MATCH(227,Engine!$C$2:$C$1369,0)),"",INDEX('Compliance Database'!$C$2:$C$1369,MATCH(227,Engine!$C$2:$C$1369,0)))</f>
        <v/>
      </c>
      <c r="D240" s="9">
        <f>IF(ISNA(MATCH(227,Engine!$C$2:$C$1369,0)),"",INDEX('Compliance Database'!$D$2:$D$1369,MATCH(227,Engine!$C$2:$C$1369,0)))</f>
        <v/>
      </c>
      <c r="E240" s="8">
        <f>IF(ISNA(MATCH(227,Engine!$C$2:$C$1369,0)),"",INDEX('Compliance Database'!$E$2:$E$1369,MATCH(227,Engine!$C$2:$C$1369,0)))</f>
        <v/>
      </c>
      <c r="F240" s="8">
        <f>IF(ISNA(MATCH(227,Engine!$C$2:$C$1369,0)),"",INDEX('Compliance Database'!$F$2:$F$1369,MATCH(227,Engine!$C$2:$C$1369,0)))</f>
        <v/>
      </c>
      <c r="G240" s="8">
        <f>IF(ISNA(MATCH(227,Engine!$C$2:$C$1369,0)),"",INDEX('Compliance Database'!$G$2:$G$1369,MATCH(227,Engine!$C$2:$C$1369,0)))</f>
        <v/>
      </c>
      <c r="H240" s="9">
        <f>IF(ISNA(MATCH(227,Engine!$C$2:$C$1369,0)),"",INDEX('Compliance Database'!$H$2:$H$1369,MATCH(227,Engine!$C$2:$C$1369,0)))</f>
        <v/>
      </c>
      <c r="I240" s="9">
        <f>IF(ISNA(MATCH(227,Engine!$C$2:$C$1369,0)),"",INDEX('Compliance Database'!$I$2:$I$1369,MATCH(227,Engine!$C$2:$C$1369,0)))</f>
        <v/>
      </c>
      <c r="J240" s="8">
        <f>IF(ISNA(MATCH(227,Engine!$C$2:$C$1369,0)),"",INDEX('Compliance Database'!$J$2:$J$1369,MATCH(227,Engine!$C$2:$C$1369,0)))</f>
        <v/>
      </c>
      <c r="K240" s="9">
        <f>IF(ISNA(MATCH(227,Engine!$C$2:$C$1369,0)),"",INDEX('Compliance Database'!$K$2:$K$1369,MATCH(227,Engine!$C$2:$C$1369,0)))</f>
        <v/>
      </c>
      <c r="L240" s="9">
        <f>IF(ISNA(MATCH(227,Engine!$C$2:$C$1369,0)),"",INDEX('Compliance Database'!$L$2:$L$1369,MATCH(227,Engine!$C$2:$C$1369,0)))</f>
        <v/>
      </c>
      <c r="M240" s="9">
        <f>IF(ISNA(MATCH(227,Engine!$C$2:$C$1369,0)),"",INDEX('Compliance Database'!$M$2:$M$1369,MATCH(227,Engine!$C$2:$C$1369,0)))</f>
        <v/>
      </c>
      <c r="N240" s="9">
        <f>IF(ISNA(MATCH(227,Engine!$C$2:$C$1369,0)),"",INDEX('Compliance Database'!$N$2:$N$1369,MATCH(227,Engine!$C$2:$C$1369,0)))</f>
        <v/>
      </c>
      <c r="O240" s="8">
        <f>IF(ISNA(MATCH(227,Engine!$C$2:$C$1369,0)),"",HYPERLINK(INDEX('Compliance Database'!$O$2:$O$1369,MATCH(227,Engine!$C$2:$C$1369,0)),"Open PDF"))</f>
        <v/>
      </c>
    </row>
    <row r="241" ht="188" customHeight="1">
      <c r="A241" s="8">
        <f>IF(ISNA(MATCH(228,Engine!$C$2:$C$1369,0)),"",INDEX('Compliance Database'!$A$2:$A$1369,MATCH(228,Engine!$C$2:$C$1369,0)))</f>
        <v/>
      </c>
      <c r="B241" s="8">
        <f>IF(ISNA(MATCH(228,Engine!$C$2:$C$1369,0)),"",INDEX('Compliance Database'!$B$2:$B$1369,MATCH(228,Engine!$C$2:$C$1369,0)))</f>
        <v/>
      </c>
      <c r="C241" s="8">
        <f>IF(ISNA(MATCH(228,Engine!$C$2:$C$1369,0)),"",INDEX('Compliance Database'!$C$2:$C$1369,MATCH(228,Engine!$C$2:$C$1369,0)))</f>
        <v/>
      </c>
      <c r="D241" s="9">
        <f>IF(ISNA(MATCH(228,Engine!$C$2:$C$1369,0)),"",INDEX('Compliance Database'!$D$2:$D$1369,MATCH(228,Engine!$C$2:$C$1369,0)))</f>
        <v/>
      </c>
      <c r="E241" s="8">
        <f>IF(ISNA(MATCH(228,Engine!$C$2:$C$1369,0)),"",INDEX('Compliance Database'!$E$2:$E$1369,MATCH(228,Engine!$C$2:$C$1369,0)))</f>
        <v/>
      </c>
      <c r="F241" s="8">
        <f>IF(ISNA(MATCH(228,Engine!$C$2:$C$1369,0)),"",INDEX('Compliance Database'!$F$2:$F$1369,MATCH(228,Engine!$C$2:$C$1369,0)))</f>
        <v/>
      </c>
      <c r="G241" s="8">
        <f>IF(ISNA(MATCH(228,Engine!$C$2:$C$1369,0)),"",INDEX('Compliance Database'!$G$2:$G$1369,MATCH(228,Engine!$C$2:$C$1369,0)))</f>
        <v/>
      </c>
      <c r="H241" s="9">
        <f>IF(ISNA(MATCH(228,Engine!$C$2:$C$1369,0)),"",INDEX('Compliance Database'!$H$2:$H$1369,MATCH(228,Engine!$C$2:$C$1369,0)))</f>
        <v/>
      </c>
      <c r="I241" s="9">
        <f>IF(ISNA(MATCH(228,Engine!$C$2:$C$1369,0)),"",INDEX('Compliance Database'!$I$2:$I$1369,MATCH(228,Engine!$C$2:$C$1369,0)))</f>
        <v/>
      </c>
      <c r="J241" s="8">
        <f>IF(ISNA(MATCH(228,Engine!$C$2:$C$1369,0)),"",INDEX('Compliance Database'!$J$2:$J$1369,MATCH(228,Engine!$C$2:$C$1369,0)))</f>
        <v/>
      </c>
      <c r="K241" s="9">
        <f>IF(ISNA(MATCH(228,Engine!$C$2:$C$1369,0)),"",INDEX('Compliance Database'!$K$2:$K$1369,MATCH(228,Engine!$C$2:$C$1369,0)))</f>
        <v/>
      </c>
      <c r="L241" s="9">
        <f>IF(ISNA(MATCH(228,Engine!$C$2:$C$1369,0)),"",INDEX('Compliance Database'!$L$2:$L$1369,MATCH(228,Engine!$C$2:$C$1369,0)))</f>
        <v/>
      </c>
      <c r="M241" s="9">
        <f>IF(ISNA(MATCH(228,Engine!$C$2:$C$1369,0)),"",INDEX('Compliance Database'!$M$2:$M$1369,MATCH(228,Engine!$C$2:$C$1369,0)))</f>
        <v/>
      </c>
      <c r="N241" s="9">
        <f>IF(ISNA(MATCH(228,Engine!$C$2:$C$1369,0)),"",INDEX('Compliance Database'!$N$2:$N$1369,MATCH(228,Engine!$C$2:$C$1369,0)))</f>
        <v/>
      </c>
      <c r="O241" s="8">
        <f>IF(ISNA(MATCH(228,Engine!$C$2:$C$1369,0)),"",HYPERLINK(INDEX('Compliance Database'!$O$2:$O$1369,MATCH(228,Engine!$C$2:$C$1369,0)),"Open PDF"))</f>
        <v/>
      </c>
    </row>
    <row r="242" ht="188" customHeight="1">
      <c r="A242" s="8">
        <f>IF(ISNA(MATCH(229,Engine!$C$2:$C$1369,0)),"",INDEX('Compliance Database'!$A$2:$A$1369,MATCH(229,Engine!$C$2:$C$1369,0)))</f>
        <v/>
      </c>
      <c r="B242" s="8">
        <f>IF(ISNA(MATCH(229,Engine!$C$2:$C$1369,0)),"",INDEX('Compliance Database'!$B$2:$B$1369,MATCH(229,Engine!$C$2:$C$1369,0)))</f>
        <v/>
      </c>
      <c r="C242" s="8">
        <f>IF(ISNA(MATCH(229,Engine!$C$2:$C$1369,0)),"",INDEX('Compliance Database'!$C$2:$C$1369,MATCH(229,Engine!$C$2:$C$1369,0)))</f>
        <v/>
      </c>
      <c r="D242" s="9">
        <f>IF(ISNA(MATCH(229,Engine!$C$2:$C$1369,0)),"",INDEX('Compliance Database'!$D$2:$D$1369,MATCH(229,Engine!$C$2:$C$1369,0)))</f>
        <v/>
      </c>
      <c r="E242" s="8">
        <f>IF(ISNA(MATCH(229,Engine!$C$2:$C$1369,0)),"",INDEX('Compliance Database'!$E$2:$E$1369,MATCH(229,Engine!$C$2:$C$1369,0)))</f>
        <v/>
      </c>
      <c r="F242" s="8">
        <f>IF(ISNA(MATCH(229,Engine!$C$2:$C$1369,0)),"",INDEX('Compliance Database'!$F$2:$F$1369,MATCH(229,Engine!$C$2:$C$1369,0)))</f>
        <v/>
      </c>
      <c r="G242" s="8">
        <f>IF(ISNA(MATCH(229,Engine!$C$2:$C$1369,0)),"",INDEX('Compliance Database'!$G$2:$G$1369,MATCH(229,Engine!$C$2:$C$1369,0)))</f>
        <v/>
      </c>
      <c r="H242" s="9">
        <f>IF(ISNA(MATCH(229,Engine!$C$2:$C$1369,0)),"",INDEX('Compliance Database'!$H$2:$H$1369,MATCH(229,Engine!$C$2:$C$1369,0)))</f>
        <v/>
      </c>
      <c r="I242" s="9">
        <f>IF(ISNA(MATCH(229,Engine!$C$2:$C$1369,0)),"",INDEX('Compliance Database'!$I$2:$I$1369,MATCH(229,Engine!$C$2:$C$1369,0)))</f>
        <v/>
      </c>
      <c r="J242" s="8">
        <f>IF(ISNA(MATCH(229,Engine!$C$2:$C$1369,0)),"",INDEX('Compliance Database'!$J$2:$J$1369,MATCH(229,Engine!$C$2:$C$1369,0)))</f>
        <v/>
      </c>
      <c r="K242" s="9">
        <f>IF(ISNA(MATCH(229,Engine!$C$2:$C$1369,0)),"",INDEX('Compliance Database'!$K$2:$K$1369,MATCH(229,Engine!$C$2:$C$1369,0)))</f>
        <v/>
      </c>
      <c r="L242" s="9">
        <f>IF(ISNA(MATCH(229,Engine!$C$2:$C$1369,0)),"",INDEX('Compliance Database'!$L$2:$L$1369,MATCH(229,Engine!$C$2:$C$1369,0)))</f>
        <v/>
      </c>
      <c r="M242" s="9">
        <f>IF(ISNA(MATCH(229,Engine!$C$2:$C$1369,0)),"",INDEX('Compliance Database'!$M$2:$M$1369,MATCH(229,Engine!$C$2:$C$1369,0)))</f>
        <v/>
      </c>
      <c r="N242" s="9">
        <f>IF(ISNA(MATCH(229,Engine!$C$2:$C$1369,0)),"",INDEX('Compliance Database'!$N$2:$N$1369,MATCH(229,Engine!$C$2:$C$1369,0)))</f>
        <v/>
      </c>
      <c r="O242" s="8">
        <f>IF(ISNA(MATCH(229,Engine!$C$2:$C$1369,0)),"",HYPERLINK(INDEX('Compliance Database'!$O$2:$O$1369,MATCH(229,Engine!$C$2:$C$1369,0)),"Open PDF"))</f>
        <v/>
      </c>
    </row>
    <row r="243" ht="188" customHeight="1">
      <c r="A243" s="8">
        <f>IF(ISNA(MATCH(230,Engine!$C$2:$C$1369,0)),"",INDEX('Compliance Database'!$A$2:$A$1369,MATCH(230,Engine!$C$2:$C$1369,0)))</f>
        <v/>
      </c>
      <c r="B243" s="8">
        <f>IF(ISNA(MATCH(230,Engine!$C$2:$C$1369,0)),"",INDEX('Compliance Database'!$B$2:$B$1369,MATCH(230,Engine!$C$2:$C$1369,0)))</f>
        <v/>
      </c>
      <c r="C243" s="8">
        <f>IF(ISNA(MATCH(230,Engine!$C$2:$C$1369,0)),"",INDEX('Compliance Database'!$C$2:$C$1369,MATCH(230,Engine!$C$2:$C$1369,0)))</f>
        <v/>
      </c>
      <c r="D243" s="9">
        <f>IF(ISNA(MATCH(230,Engine!$C$2:$C$1369,0)),"",INDEX('Compliance Database'!$D$2:$D$1369,MATCH(230,Engine!$C$2:$C$1369,0)))</f>
        <v/>
      </c>
      <c r="E243" s="8">
        <f>IF(ISNA(MATCH(230,Engine!$C$2:$C$1369,0)),"",INDEX('Compliance Database'!$E$2:$E$1369,MATCH(230,Engine!$C$2:$C$1369,0)))</f>
        <v/>
      </c>
      <c r="F243" s="8">
        <f>IF(ISNA(MATCH(230,Engine!$C$2:$C$1369,0)),"",INDEX('Compliance Database'!$F$2:$F$1369,MATCH(230,Engine!$C$2:$C$1369,0)))</f>
        <v/>
      </c>
      <c r="G243" s="8">
        <f>IF(ISNA(MATCH(230,Engine!$C$2:$C$1369,0)),"",INDEX('Compliance Database'!$G$2:$G$1369,MATCH(230,Engine!$C$2:$C$1369,0)))</f>
        <v/>
      </c>
      <c r="H243" s="9">
        <f>IF(ISNA(MATCH(230,Engine!$C$2:$C$1369,0)),"",INDEX('Compliance Database'!$H$2:$H$1369,MATCH(230,Engine!$C$2:$C$1369,0)))</f>
        <v/>
      </c>
      <c r="I243" s="9">
        <f>IF(ISNA(MATCH(230,Engine!$C$2:$C$1369,0)),"",INDEX('Compliance Database'!$I$2:$I$1369,MATCH(230,Engine!$C$2:$C$1369,0)))</f>
        <v/>
      </c>
      <c r="J243" s="8">
        <f>IF(ISNA(MATCH(230,Engine!$C$2:$C$1369,0)),"",INDEX('Compliance Database'!$J$2:$J$1369,MATCH(230,Engine!$C$2:$C$1369,0)))</f>
        <v/>
      </c>
      <c r="K243" s="9">
        <f>IF(ISNA(MATCH(230,Engine!$C$2:$C$1369,0)),"",INDEX('Compliance Database'!$K$2:$K$1369,MATCH(230,Engine!$C$2:$C$1369,0)))</f>
        <v/>
      </c>
      <c r="L243" s="9">
        <f>IF(ISNA(MATCH(230,Engine!$C$2:$C$1369,0)),"",INDEX('Compliance Database'!$L$2:$L$1369,MATCH(230,Engine!$C$2:$C$1369,0)))</f>
        <v/>
      </c>
      <c r="M243" s="9">
        <f>IF(ISNA(MATCH(230,Engine!$C$2:$C$1369,0)),"",INDEX('Compliance Database'!$M$2:$M$1369,MATCH(230,Engine!$C$2:$C$1369,0)))</f>
        <v/>
      </c>
      <c r="N243" s="9">
        <f>IF(ISNA(MATCH(230,Engine!$C$2:$C$1369,0)),"",INDEX('Compliance Database'!$N$2:$N$1369,MATCH(230,Engine!$C$2:$C$1369,0)))</f>
        <v/>
      </c>
      <c r="O243" s="8">
        <f>IF(ISNA(MATCH(230,Engine!$C$2:$C$1369,0)),"",HYPERLINK(INDEX('Compliance Database'!$O$2:$O$1369,MATCH(230,Engine!$C$2:$C$1369,0)),"Open PDF"))</f>
        <v/>
      </c>
    </row>
    <row r="244" ht="188" customHeight="1">
      <c r="A244" s="8">
        <f>IF(ISNA(MATCH(231,Engine!$C$2:$C$1369,0)),"",INDEX('Compliance Database'!$A$2:$A$1369,MATCH(231,Engine!$C$2:$C$1369,0)))</f>
        <v/>
      </c>
      <c r="B244" s="8">
        <f>IF(ISNA(MATCH(231,Engine!$C$2:$C$1369,0)),"",INDEX('Compliance Database'!$B$2:$B$1369,MATCH(231,Engine!$C$2:$C$1369,0)))</f>
        <v/>
      </c>
      <c r="C244" s="8">
        <f>IF(ISNA(MATCH(231,Engine!$C$2:$C$1369,0)),"",INDEX('Compliance Database'!$C$2:$C$1369,MATCH(231,Engine!$C$2:$C$1369,0)))</f>
        <v/>
      </c>
      <c r="D244" s="9">
        <f>IF(ISNA(MATCH(231,Engine!$C$2:$C$1369,0)),"",INDEX('Compliance Database'!$D$2:$D$1369,MATCH(231,Engine!$C$2:$C$1369,0)))</f>
        <v/>
      </c>
      <c r="E244" s="8">
        <f>IF(ISNA(MATCH(231,Engine!$C$2:$C$1369,0)),"",INDEX('Compliance Database'!$E$2:$E$1369,MATCH(231,Engine!$C$2:$C$1369,0)))</f>
        <v/>
      </c>
      <c r="F244" s="8">
        <f>IF(ISNA(MATCH(231,Engine!$C$2:$C$1369,0)),"",INDEX('Compliance Database'!$F$2:$F$1369,MATCH(231,Engine!$C$2:$C$1369,0)))</f>
        <v/>
      </c>
      <c r="G244" s="8">
        <f>IF(ISNA(MATCH(231,Engine!$C$2:$C$1369,0)),"",INDEX('Compliance Database'!$G$2:$G$1369,MATCH(231,Engine!$C$2:$C$1369,0)))</f>
        <v/>
      </c>
      <c r="H244" s="9">
        <f>IF(ISNA(MATCH(231,Engine!$C$2:$C$1369,0)),"",INDEX('Compliance Database'!$H$2:$H$1369,MATCH(231,Engine!$C$2:$C$1369,0)))</f>
        <v/>
      </c>
      <c r="I244" s="9">
        <f>IF(ISNA(MATCH(231,Engine!$C$2:$C$1369,0)),"",INDEX('Compliance Database'!$I$2:$I$1369,MATCH(231,Engine!$C$2:$C$1369,0)))</f>
        <v/>
      </c>
      <c r="J244" s="8">
        <f>IF(ISNA(MATCH(231,Engine!$C$2:$C$1369,0)),"",INDEX('Compliance Database'!$J$2:$J$1369,MATCH(231,Engine!$C$2:$C$1369,0)))</f>
        <v/>
      </c>
      <c r="K244" s="9">
        <f>IF(ISNA(MATCH(231,Engine!$C$2:$C$1369,0)),"",INDEX('Compliance Database'!$K$2:$K$1369,MATCH(231,Engine!$C$2:$C$1369,0)))</f>
        <v/>
      </c>
      <c r="L244" s="9">
        <f>IF(ISNA(MATCH(231,Engine!$C$2:$C$1369,0)),"",INDEX('Compliance Database'!$L$2:$L$1369,MATCH(231,Engine!$C$2:$C$1369,0)))</f>
        <v/>
      </c>
      <c r="M244" s="9">
        <f>IF(ISNA(MATCH(231,Engine!$C$2:$C$1369,0)),"",INDEX('Compliance Database'!$M$2:$M$1369,MATCH(231,Engine!$C$2:$C$1369,0)))</f>
        <v/>
      </c>
      <c r="N244" s="9">
        <f>IF(ISNA(MATCH(231,Engine!$C$2:$C$1369,0)),"",INDEX('Compliance Database'!$N$2:$N$1369,MATCH(231,Engine!$C$2:$C$1369,0)))</f>
        <v/>
      </c>
      <c r="O244" s="8">
        <f>IF(ISNA(MATCH(231,Engine!$C$2:$C$1369,0)),"",HYPERLINK(INDEX('Compliance Database'!$O$2:$O$1369,MATCH(231,Engine!$C$2:$C$1369,0)),"Open PDF"))</f>
        <v/>
      </c>
    </row>
    <row r="245" ht="188" customHeight="1">
      <c r="A245" s="8">
        <f>IF(ISNA(MATCH(232,Engine!$C$2:$C$1369,0)),"",INDEX('Compliance Database'!$A$2:$A$1369,MATCH(232,Engine!$C$2:$C$1369,0)))</f>
        <v/>
      </c>
      <c r="B245" s="8">
        <f>IF(ISNA(MATCH(232,Engine!$C$2:$C$1369,0)),"",INDEX('Compliance Database'!$B$2:$B$1369,MATCH(232,Engine!$C$2:$C$1369,0)))</f>
        <v/>
      </c>
      <c r="C245" s="8">
        <f>IF(ISNA(MATCH(232,Engine!$C$2:$C$1369,0)),"",INDEX('Compliance Database'!$C$2:$C$1369,MATCH(232,Engine!$C$2:$C$1369,0)))</f>
        <v/>
      </c>
      <c r="D245" s="9">
        <f>IF(ISNA(MATCH(232,Engine!$C$2:$C$1369,0)),"",INDEX('Compliance Database'!$D$2:$D$1369,MATCH(232,Engine!$C$2:$C$1369,0)))</f>
        <v/>
      </c>
      <c r="E245" s="8">
        <f>IF(ISNA(MATCH(232,Engine!$C$2:$C$1369,0)),"",INDEX('Compliance Database'!$E$2:$E$1369,MATCH(232,Engine!$C$2:$C$1369,0)))</f>
        <v/>
      </c>
      <c r="F245" s="8">
        <f>IF(ISNA(MATCH(232,Engine!$C$2:$C$1369,0)),"",INDEX('Compliance Database'!$F$2:$F$1369,MATCH(232,Engine!$C$2:$C$1369,0)))</f>
        <v/>
      </c>
      <c r="G245" s="8">
        <f>IF(ISNA(MATCH(232,Engine!$C$2:$C$1369,0)),"",INDEX('Compliance Database'!$G$2:$G$1369,MATCH(232,Engine!$C$2:$C$1369,0)))</f>
        <v/>
      </c>
      <c r="H245" s="9">
        <f>IF(ISNA(MATCH(232,Engine!$C$2:$C$1369,0)),"",INDEX('Compliance Database'!$H$2:$H$1369,MATCH(232,Engine!$C$2:$C$1369,0)))</f>
        <v/>
      </c>
      <c r="I245" s="9">
        <f>IF(ISNA(MATCH(232,Engine!$C$2:$C$1369,0)),"",INDEX('Compliance Database'!$I$2:$I$1369,MATCH(232,Engine!$C$2:$C$1369,0)))</f>
        <v/>
      </c>
      <c r="J245" s="8">
        <f>IF(ISNA(MATCH(232,Engine!$C$2:$C$1369,0)),"",INDEX('Compliance Database'!$J$2:$J$1369,MATCH(232,Engine!$C$2:$C$1369,0)))</f>
        <v/>
      </c>
      <c r="K245" s="9">
        <f>IF(ISNA(MATCH(232,Engine!$C$2:$C$1369,0)),"",INDEX('Compliance Database'!$K$2:$K$1369,MATCH(232,Engine!$C$2:$C$1369,0)))</f>
        <v/>
      </c>
      <c r="L245" s="9">
        <f>IF(ISNA(MATCH(232,Engine!$C$2:$C$1369,0)),"",INDEX('Compliance Database'!$L$2:$L$1369,MATCH(232,Engine!$C$2:$C$1369,0)))</f>
        <v/>
      </c>
      <c r="M245" s="9">
        <f>IF(ISNA(MATCH(232,Engine!$C$2:$C$1369,0)),"",INDEX('Compliance Database'!$M$2:$M$1369,MATCH(232,Engine!$C$2:$C$1369,0)))</f>
        <v/>
      </c>
      <c r="N245" s="9">
        <f>IF(ISNA(MATCH(232,Engine!$C$2:$C$1369,0)),"",INDEX('Compliance Database'!$N$2:$N$1369,MATCH(232,Engine!$C$2:$C$1369,0)))</f>
        <v/>
      </c>
      <c r="O245" s="8">
        <f>IF(ISNA(MATCH(232,Engine!$C$2:$C$1369,0)),"",HYPERLINK(INDEX('Compliance Database'!$O$2:$O$1369,MATCH(232,Engine!$C$2:$C$1369,0)),"Open PDF"))</f>
        <v/>
      </c>
    </row>
    <row r="246" ht="188" customHeight="1">
      <c r="A246" s="8">
        <f>IF(ISNA(MATCH(233,Engine!$C$2:$C$1369,0)),"",INDEX('Compliance Database'!$A$2:$A$1369,MATCH(233,Engine!$C$2:$C$1369,0)))</f>
        <v/>
      </c>
      <c r="B246" s="8">
        <f>IF(ISNA(MATCH(233,Engine!$C$2:$C$1369,0)),"",INDEX('Compliance Database'!$B$2:$B$1369,MATCH(233,Engine!$C$2:$C$1369,0)))</f>
        <v/>
      </c>
      <c r="C246" s="8">
        <f>IF(ISNA(MATCH(233,Engine!$C$2:$C$1369,0)),"",INDEX('Compliance Database'!$C$2:$C$1369,MATCH(233,Engine!$C$2:$C$1369,0)))</f>
        <v/>
      </c>
      <c r="D246" s="9">
        <f>IF(ISNA(MATCH(233,Engine!$C$2:$C$1369,0)),"",INDEX('Compliance Database'!$D$2:$D$1369,MATCH(233,Engine!$C$2:$C$1369,0)))</f>
        <v/>
      </c>
      <c r="E246" s="8">
        <f>IF(ISNA(MATCH(233,Engine!$C$2:$C$1369,0)),"",INDEX('Compliance Database'!$E$2:$E$1369,MATCH(233,Engine!$C$2:$C$1369,0)))</f>
        <v/>
      </c>
      <c r="F246" s="8">
        <f>IF(ISNA(MATCH(233,Engine!$C$2:$C$1369,0)),"",INDEX('Compliance Database'!$F$2:$F$1369,MATCH(233,Engine!$C$2:$C$1369,0)))</f>
        <v/>
      </c>
      <c r="G246" s="8">
        <f>IF(ISNA(MATCH(233,Engine!$C$2:$C$1369,0)),"",INDEX('Compliance Database'!$G$2:$G$1369,MATCH(233,Engine!$C$2:$C$1369,0)))</f>
        <v/>
      </c>
      <c r="H246" s="9">
        <f>IF(ISNA(MATCH(233,Engine!$C$2:$C$1369,0)),"",INDEX('Compliance Database'!$H$2:$H$1369,MATCH(233,Engine!$C$2:$C$1369,0)))</f>
        <v/>
      </c>
      <c r="I246" s="9">
        <f>IF(ISNA(MATCH(233,Engine!$C$2:$C$1369,0)),"",INDEX('Compliance Database'!$I$2:$I$1369,MATCH(233,Engine!$C$2:$C$1369,0)))</f>
        <v/>
      </c>
      <c r="J246" s="8">
        <f>IF(ISNA(MATCH(233,Engine!$C$2:$C$1369,0)),"",INDEX('Compliance Database'!$J$2:$J$1369,MATCH(233,Engine!$C$2:$C$1369,0)))</f>
        <v/>
      </c>
      <c r="K246" s="9">
        <f>IF(ISNA(MATCH(233,Engine!$C$2:$C$1369,0)),"",INDEX('Compliance Database'!$K$2:$K$1369,MATCH(233,Engine!$C$2:$C$1369,0)))</f>
        <v/>
      </c>
      <c r="L246" s="9">
        <f>IF(ISNA(MATCH(233,Engine!$C$2:$C$1369,0)),"",INDEX('Compliance Database'!$L$2:$L$1369,MATCH(233,Engine!$C$2:$C$1369,0)))</f>
        <v/>
      </c>
      <c r="M246" s="9">
        <f>IF(ISNA(MATCH(233,Engine!$C$2:$C$1369,0)),"",INDEX('Compliance Database'!$M$2:$M$1369,MATCH(233,Engine!$C$2:$C$1369,0)))</f>
        <v/>
      </c>
      <c r="N246" s="9">
        <f>IF(ISNA(MATCH(233,Engine!$C$2:$C$1369,0)),"",INDEX('Compliance Database'!$N$2:$N$1369,MATCH(233,Engine!$C$2:$C$1369,0)))</f>
        <v/>
      </c>
      <c r="O246" s="8">
        <f>IF(ISNA(MATCH(233,Engine!$C$2:$C$1369,0)),"",HYPERLINK(INDEX('Compliance Database'!$O$2:$O$1369,MATCH(233,Engine!$C$2:$C$1369,0)),"Open PDF"))</f>
        <v/>
      </c>
    </row>
    <row r="247" ht="188" customHeight="1">
      <c r="A247" s="8">
        <f>IF(ISNA(MATCH(234,Engine!$C$2:$C$1369,0)),"",INDEX('Compliance Database'!$A$2:$A$1369,MATCH(234,Engine!$C$2:$C$1369,0)))</f>
        <v/>
      </c>
      <c r="B247" s="8">
        <f>IF(ISNA(MATCH(234,Engine!$C$2:$C$1369,0)),"",INDEX('Compliance Database'!$B$2:$B$1369,MATCH(234,Engine!$C$2:$C$1369,0)))</f>
        <v/>
      </c>
      <c r="C247" s="8">
        <f>IF(ISNA(MATCH(234,Engine!$C$2:$C$1369,0)),"",INDEX('Compliance Database'!$C$2:$C$1369,MATCH(234,Engine!$C$2:$C$1369,0)))</f>
        <v/>
      </c>
      <c r="D247" s="9">
        <f>IF(ISNA(MATCH(234,Engine!$C$2:$C$1369,0)),"",INDEX('Compliance Database'!$D$2:$D$1369,MATCH(234,Engine!$C$2:$C$1369,0)))</f>
        <v/>
      </c>
      <c r="E247" s="8">
        <f>IF(ISNA(MATCH(234,Engine!$C$2:$C$1369,0)),"",INDEX('Compliance Database'!$E$2:$E$1369,MATCH(234,Engine!$C$2:$C$1369,0)))</f>
        <v/>
      </c>
      <c r="F247" s="8">
        <f>IF(ISNA(MATCH(234,Engine!$C$2:$C$1369,0)),"",INDEX('Compliance Database'!$F$2:$F$1369,MATCH(234,Engine!$C$2:$C$1369,0)))</f>
        <v/>
      </c>
      <c r="G247" s="8">
        <f>IF(ISNA(MATCH(234,Engine!$C$2:$C$1369,0)),"",INDEX('Compliance Database'!$G$2:$G$1369,MATCH(234,Engine!$C$2:$C$1369,0)))</f>
        <v/>
      </c>
      <c r="H247" s="9">
        <f>IF(ISNA(MATCH(234,Engine!$C$2:$C$1369,0)),"",INDEX('Compliance Database'!$H$2:$H$1369,MATCH(234,Engine!$C$2:$C$1369,0)))</f>
        <v/>
      </c>
      <c r="I247" s="9">
        <f>IF(ISNA(MATCH(234,Engine!$C$2:$C$1369,0)),"",INDEX('Compliance Database'!$I$2:$I$1369,MATCH(234,Engine!$C$2:$C$1369,0)))</f>
        <v/>
      </c>
      <c r="J247" s="8">
        <f>IF(ISNA(MATCH(234,Engine!$C$2:$C$1369,0)),"",INDEX('Compliance Database'!$J$2:$J$1369,MATCH(234,Engine!$C$2:$C$1369,0)))</f>
        <v/>
      </c>
      <c r="K247" s="9">
        <f>IF(ISNA(MATCH(234,Engine!$C$2:$C$1369,0)),"",INDEX('Compliance Database'!$K$2:$K$1369,MATCH(234,Engine!$C$2:$C$1369,0)))</f>
        <v/>
      </c>
      <c r="L247" s="9">
        <f>IF(ISNA(MATCH(234,Engine!$C$2:$C$1369,0)),"",INDEX('Compliance Database'!$L$2:$L$1369,MATCH(234,Engine!$C$2:$C$1369,0)))</f>
        <v/>
      </c>
      <c r="M247" s="9">
        <f>IF(ISNA(MATCH(234,Engine!$C$2:$C$1369,0)),"",INDEX('Compliance Database'!$M$2:$M$1369,MATCH(234,Engine!$C$2:$C$1369,0)))</f>
        <v/>
      </c>
      <c r="N247" s="9">
        <f>IF(ISNA(MATCH(234,Engine!$C$2:$C$1369,0)),"",INDEX('Compliance Database'!$N$2:$N$1369,MATCH(234,Engine!$C$2:$C$1369,0)))</f>
        <v/>
      </c>
      <c r="O247" s="8">
        <f>IF(ISNA(MATCH(234,Engine!$C$2:$C$1369,0)),"",HYPERLINK(INDEX('Compliance Database'!$O$2:$O$1369,MATCH(234,Engine!$C$2:$C$1369,0)),"Open PDF"))</f>
        <v/>
      </c>
    </row>
    <row r="248" ht="188" customHeight="1">
      <c r="A248" s="8">
        <f>IF(ISNA(MATCH(235,Engine!$C$2:$C$1369,0)),"",INDEX('Compliance Database'!$A$2:$A$1369,MATCH(235,Engine!$C$2:$C$1369,0)))</f>
        <v/>
      </c>
      <c r="B248" s="8">
        <f>IF(ISNA(MATCH(235,Engine!$C$2:$C$1369,0)),"",INDEX('Compliance Database'!$B$2:$B$1369,MATCH(235,Engine!$C$2:$C$1369,0)))</f>
        <v/>
      </c>
      <c r="C248" s="8">
        <f>IF(ISNA(MATCH(235,Engine!$C$2:$C$1369,0)),"",INDEX('Compliance Database'!$C$2:$C$1369,MATCH(235,Engine!$C$2:$C$1369,0)))</f>
        <v/>
      </c>
      <c r="D248" s="9">
        <f>IF(ISNA(MATCH(235,Engine!$C$2:$C$1369,0)),"",INDEX('Compliance Database'!$D$2:$D$1369,MATCH(235,Engine!$C$2:$C$1369,0)))</f>
        <v/>
      </c>
      <c r="E248" s="8">
        <f>IF(ISNA(MATCH(235,Engine!$C$2:$C$1369,0)),"",INDEX('Compliance Database'!$E$2:$E$1369,MATCH(235,Engine!$C$2:$C$1369,0)))</f>
        <v/>
      </c>
      <c r="F248" s="8">
        <f>IF(ISNA(MATCH(235,Engine!$C$2:$C$1369,0)),"",INDEX('Compliance Database'!$F$2:$F$1369,MATCH(235,Engine!$C$2:$C$1369,0)))</f>
        <v/>
      </c>
      <c r="G248" s="8">
        <f>IF(ISNA(MATCH(235,Engine!$C$2:$C$1369,0)),"",INDEX('Compliance Database'!$G$2:$G$1369,MATCH(235,Engine!$C$2:$C$1369,0)))</f>
        <v/>
      </c>
      <c r="H248" s="9">
        <f>IF(ISNA(MATCH(235,Engine!$C$2:$C$1369,0)),"",INDEX('Compliance Database'!$H$2:$H$1369,MATCH(235,Engine!$C$2:$C$1369,0)))</f>
        <v/>
      </c>
      <c r="I248" s="9">
        <f>IF(ISNA(MATCH(235,Engine!$C$2:$C$1369,0)),"",INDEX('Compliance Database'!$I$2:$I$1369,MATCH(235,Engine!$C$2:$C$1369,0)))</f>
        <v/>
      </c>
      <c r="J248" s="8">
        <f>IF(ISNA(MATCH(235,Engine!$C$2:$C$1369,0)),"",INDEX('Compliance Database'!$J$2:$J$1369,MATCH(235,Engine!$C$2:$C$1369,0)))</f>
        <v/>
      </c>
      <c r="K248" s="9">
        <f>IF(ISNA(MATCH(235,Engine!$C$2:$C$1369,0)),"",INDEX('Compliance Database'!$K$2:$K$1369,MATCH(235,Engine!$C$2:$C$1369,0)))</f>
        <v/>
      </c>
      <c r="L248" s="9">
        <f>IF(ISNA(MATCH(235,Engine!$C$2:$C$1369,0)),"",INDEX('Compliance Database'!$L$2:$L$1369,MATCH(235,Engine!$C$2:$C$1369,0)))</f>
        <v/>
      </c>
      <c r="M248" s="9">
        <f>IF(ISNA(MATCH(235,Engine!$C$2:$C$1369,0)),"",INDEX('Compliance Database'!$M$2:$M$1369,MATCH(235,Engine!$C$2:$C$1369,0)))</f>
        <v/>
      </c>
      <c r="N248" s="9">
        <f>IF(ISNA(MATCH(235,Engine!$C$2:$C$1369,0)),"",INDEX('Compliance Database'!$N$2:$N$1369,MATCH(235,Engine!$C$2:$C$1369,0)))</f>
        <v/>
      </c>
      <c r="O248" s="8">
        <f>IF(ISNA(MATCH(235,Engine!$C$2:$C$1369,0)),"",HYPERLINK(INDEX('Compliance Database'!$O$2:$O$1369,MATCH(235,Engine!$C$2:$C$1369,0)),"Open PDF"))</f>
        <v/>
      </c>
    </row>
    <row r="249" ht="188" customHeight="1">
      <c r="A249" s="8">
        <f>IF(ISNA(MATCH(236,Engine!$C$2:$C$1369,0)),"",INDEX('Compliance Database'!$A$2:$A$1369,MATCH(236,Engine!$C$2:$C$1369,0)))</f>
        <v/>
      </c>
      <c r="B249" s="8">
        <f>IF(ISNA(MATCH(236,Engine!$C$2:$C$1369,0)),"",INDEX('Compliance Database'!$B$2:$B$1369,MATCH(236,Engine!$C$2:$C$1369,0)))</f>
        <v/>
      </c>
      <c r="C249" s="8">
        <f>IF(ISNA(MATCH(236,Engine!$C$2:$C$1369,0)),"",INDEX('Compliance Database'!$C$2:$C$1369,MATCH(236,Engine!$C$2:$C$1369,0)))</f>
        <v/>
      </c>
      <c r="D249" s="9">
        <f>IF(ISNA(MATCH(236,Engine!$C$2:$C$1369,0)),"",INDEX('Compliance Database'!$D$2:$D$1369,MATCH(236,Engine!$C$2:$C$1369,0)))</f>
        <v/>
      </c>
      <c r="E249" s="8">
        <f>IF(ISNA(MATCH(236,Engine!$C$2:$C$1369,0)),"",INDEX('Compliance Database'!$E$2:$E$1369,MATCH(236,Engine!$C$2:$C$1369,0)))</f>
        <v/>
      </c>
      <c r="F249" s="8">
        <f>IF(ISNA(MATCH(236,Engine!$C$2:$C$1369,0)),"",INDEX('Compliance Database'!$F$2:$F$1369,MATCH(236,Engine!$C$2:$C$1369,0)))</f>
        <v/>
      </c>
      <c r="G249" s="8">
        <f>IF(ISNA(MATCH(236,Engine!$C$2:$C$1369,0)),"",INDEX('Compliance Database'!$G$2:$G$1369,MATCH(236,Engine!$C$2:$C$1369,0)))</f>
        <v/>
      </c>
      <c r="H249" s="9">
        <f>IF(ISNA(MATCH(236,Engine!$C$2:$C$1369,0)),"",INDEX('Compliance Database'!$H$2:$H$1369,MATCH(236,Engine!$C$2:$C$1369,0)))</f>
        <v/>
      </c>
      <c r="I249" s="9">
        <f>IF(ISNA(MATCH(236,Engine!$C$2:$C$1369,0)),"",INDEX('Compliance Database'!$I$2:$I$1369,MATCH(236,Engine!$C$2:$C$1369,0)))</f>
        <v/>
      </c>
      <c r="J249" s="8">
        <f>IF(ISNA(MATCH(236,Engine!$C$2:$C$1369,0)),"",INDEX('Compliance Database'!$J$2:$J$1369,MATCH(236,Engine!$C$2:$C$1369,0)))</f>
        <v/>
      </c>
      <c r="K249" s="9">
        <f>IF(ISNA(MATCH(236,Engine!$C$2:$C$1369,0)),"",INDEX('Compliance Database'!$K$2:$K$1369,MATCH(236,Engine!$C$2:$C$1369,0)))</f>
        <v/>
      </c>
      <c r="L249" s="9">
        <f>IF(ISNA(MATCH(236,Engine!$C$2:$C$1369,0)),"",INDEX('Compliance Database'!$L$2:$L$1369,MATCH(236,Engine!$C$2:$C$1369,0)))</f>
        <v/>
      </c>
      <c r="M249" s="9">
        <f>IF(ISNA(MATCH(236,Engine!$C$2:$C$1369,0)),"",INDEX('Compliance Database'!$M$2:$M$1369,MATCH(236,Engine!$C$2:$C$1369,0)))</f>
        <v/>
      </c>
      <c r="N249" s="9">
        <f>IF(ISNA(MATCH(236,Engine!$C$2:$C$1369,0)),"",INDEX('Compliance Database'!$N$2:$N$1369,MATCH(236,Engine!$C$2:$C$1369,0)))</f>
        <v/>
      </c>
      <c r="O249" s="8">
        <f>IF(ISNA(MATCH(236,Engine!$C$2:$C$1369,0)),"",HYPERLINK(INDEX('Compliance Database'!$O$2:$O$1369,MATCH(236,Engine!$C$2:$C$1369,0)),"Open PDF"))</f>
        <v/>
      </c>
    </row>
    <row r="250" ht="188" customHeight="1">
      <c r="A250" s="8">
        <f>IF(ISNA(MATCH(237,Engine!$C$2:$C$1369,0)),"",INDEX('Compliance Database'!$A$2:$A$1369,MATCH(237,Engine!$C$2:$C$1369,0)))</f>
        <v/>
      </c>
      <c r="B250" s="8">
        <f>IF(ISNA(MATCH(237,Engine!$C$2:$C$1369,0)),"",INDEX('Compliance Database'!$B$2:$B$1369,MATCH(237,Engine!$C$2:$C$1369,0)))</f>
        <v/>
      </c>
      <c r="C250" s="8">
        <f>IF(ISNA(MATCH(237,Engine!$C$2:$C$1369,0)),"",INDEX('Compliance Database'!$C$2:$C$1369,MATCH(237,Engine!$C$2:$C$1369,0)))</f>
        <v/>
      </c>
      <c r="D250" s="9">
        <f>IF(ISNA(MATCH(237,Engine!$C$2:$C$1369,0)),"",INDEX('Compliance Database'!$D$2:$D$1369,MATCH(237,Engine!$C$2:$C$1369,0)))</f>
        <v/>
      </c>
      <c r="E250" s="8">
        <f>IF(ISNA(MATCH(237,Engine!$C$2:$C$1369,0)),"",INDEX('Compliance Database'!$E$2:$E$1369,MATCH(237,Engine!$C$2:$C$1369,0)))</f>
        <v/>
      </c>
      <c r="F250" s="8">
        <f>IF(ISNA(MATCH(237,Engine!$C$2:$C$1369,0)),"",INDEX('Compliance Database'!$F$2:$F$1369,MATCH(237,Engine!$C$2:$C$1369,0)))</f>
        <v/>
      </c>
      <c r="G250" s="8">
        <f>IF(ISNA(MATCH(237,Engine!$C$2:$C$1369,0)),"",INDEX('Compliance Database'!$G$2:$G$1369,MATCH(237,Engine!$C$2:$C$1369,0)))</f>
        <v/>
      </c>
      <c r="H250" s="9">
        <f>IF(ISNA(MATCH(237,Engine!$C$2:$C$1369,0)),"",INDEX('Compliance Database'!$H$2:$H$1369,MATCH(237,Engine!$C$2:$C$1369,0)))</f>
        <v/>
      </c>
      <c r="I250" s="9">
        <f>IF(ISNA(MATCH(237,Engine!$C$2:$C$1369,0)),"",INDEX('Compliance Database'!$I$2:$I$1369,MATCH(237,Engine!$C$2:$C$1369,0)))</f>
        <v/>
      </c>
      <c r="J250" s="8">
        <f>IF(ISNA(MATCH(237,Engine!$C$2:$C$1369,0)),"",INDEX('Compliance Database'!$J$2:$J$1369,MATCH(237,Engine!$C$2:$C$1369,0)))</f>
        <v/>
      </c>
      <c r="K250" s="9">
        <f>IF(ISNA(MATCH(237,Engine!$C$2:$C$1369,0)),"",INDEX('Compliance Database'!$K$2:$K$1369,MATCH(237,Engine!$C$2:$C$1369,0)))</f>
        <v/>
      </c>
      <c r="L250" s="9">
        <f>IF(ISNA(MATCH(237,Engine!$C$2:$C$1369,0)),"",INDEX('Compliance Database'!$L$2:$L$1369,MATCH(237,Engine!$C$2:$C$1369,0)))</f>
        <v/>
      </c>
      <c r="M250" s="9">
        <f>IF(ISNA(MATCH(237,Engine!$C$2:$C$1369,0)),"",INDEX('Compliance Database'!$M$2:$M$1369,MATCH(237,Engine!$C$2:$C$1369,0)))</f>
        <v/>
      </c>
      <c r="N250" s="9">
        <f>IF(ISNA(MATCH(237,Engine!$C$2:$C$1369,0)),"",INDEX('Compliance Database'!$N$2:$N$1369,MATCH(237,Engine!$C$2:$C$1369,0)))</f>
        <v/>
      </c>
      <c r="O250" s="8">
        <f>IF(ISNA(MATCH(237,Engine!$C$2:$C$1369,0)),"",HYPERLINK(INDEX('Compliance Database'!$O$2:$O$1369,MATCH(237,Engine!$C$2:$C$1369,0)),"Open PDF"))</f>
        <v/>
      </c>
    </row>
    <row r="251" ht="188" customHeight="1">
      <c r="A251" s="8">
        <f>IF(ISNA(MATCH(238,Engine!$C$2:$C$1369,0)),"",INDEX('Compliance Database'!$A$2:$A$1369,MATCH(238,Engine!$C$2:$C$1369,0)))</f>
        <v/>
      </c>
      <c r="B251" s="8">
        <f>IF(ISNA(MATCH(238,Engine!$C$2:$C$1369,0)),"",INDEX('Compliance Database'!$B$2:$B$1369,MATCH(238,Engine!$C$2:$C$1369,0)))</f>
        <v/>
      </c>
      <c r="C251" s="8">
        <f>IF(ISNA(MATCH(238,Engine!$C$2:$C$1369,0)),"",INDEX('Compliance Database'!$C$2:$C$1369,MATCH(238,Engine!$C$2:$C$1369,0)))</f>
        <v/>
      </c>
      <c r="D251" s="9">
        <f>IF(ISNA(MATCH(238,Engine!$C$2:$C$1369,0)),"",INDEX('Compliance Database'!$D$2:$D$1369,MATCH(238,Engine!$C$2:$C$1369,0)))</f>
        <v/>
      </c>
      <c r="E251" s="8">
        <f>IF(ISNA(MATCH(238,Engine!$C$2:$C$1369,0)),"",INDEX('Compliance Database'!$E$2:$E$1369,MATCH(238,Engine!$C$2:$C$1369,0)))</f>
        <v/>
      </c>
      <c r="F251" s="8">
        <f>IF(ISNA(MATCH(238,Engine!$C$2:$C$1369,0)),"",INDEX('Compliance Database'!$F$2:$F$1369,MATCH(238,Engine!$C$2:$C$1369,0)))</f>
        <v/>
      </c>
      <c r="G251" s="8">
        <f>IF(ISNA(MATCH(238,Engine!$C$2:$C$1369,0)),"",INDEX('Compliance Database'!$G$2:$G$1369,MATCH(238,Engine!$C$2:$C$1369,0)))</f>
        <v/>
      </c>
      <c r="H251" s="9">
        <f>IF(ISNA(MATCH(238,Engine!$C$2:$C$1369,0)),"",INDEX('Compliance Database'!$H$2:$H$1369,MATCH(238,Engine!$C$2:$C$1369,0)))</f>
        <v/>
      </c>
      <c r="I251" s="9">
        <f>IF(ISNA(MATCH(238,Engine!$C$2:$C$1369,0)),"",INDEX('Compliance Database'!$I$2:$I$1369,MATCH(238,Engine!$C$2:$C$1369,0)))</f>
        <v/>
      </c>
      <c r="J251" s="8">
        <f>IF(ISNA(MATCH(238,Engine!$C$2:$C$1369,0)),"",INDEX('Compliance Database'!$J$2:$J$1369,MATCH(238,Engine!$C$2:$C$1369,0)))</f>
        <v/>
      </c>
      <c r="K251" s="9">
        <f>IF(ISNA(MATCH(238,Engine!$C$2:$C$1369,0)),"",INDEX('Compliance Database'!$K$2:$K$1369,MATCH(238,Engine!$C$2:$C$1369,0)))</f>
        <v/>
      </c>
      <c r="L251" s="9">
        <f>IF(ISNA(MATCH(238,Engine!$C$2:$C$1369,0)),"",INDEX('Compliance Database'!$L$2:$L$1369,MATCH(238,Engine!$C$2:$C$1369,0)))</f>
        <v/>
      </c>
      <c r="M251" s="9">
        <f>IF(ISNA(MATCH(238,Engine!$C$2:$C$1369,0)),"",INDEX('Compliance Database'!$M$2:$M$1369,MATCH(238,Engine!$C$2:$C$1369,0)))</f>
        <v/>
      </c>
      <c r="N251" s="9">
        <f>IF(ISNA(MATCH(238,Engine!$C$2:$C$1369,0)),"",INDEX('Compliance Database'!$N$2:$N$1369,MATCH(238,Engine!$C$2:$C$1369,0)))</f>
        <v/>
      </c>
      <c r="O251" s="8">
        <f>IF(ISNA(MATCH(238,Engine!$C$2:$C$1369,0)),"",HYPERLINK(INDEX('Compliance Database'!$O$2:$O$1369,MATCH(238,Engine!$C$2:$C$1369,0)),"Open PDF"))</f>
        <v/>
      </c>
    </row>
    <row r="252" ht="188" customHeight="1">
      <c r="A252" s="8">
        <f>IF(ISNA(MATCH(239,Engine!$C$2:$C$1369,0)),"",INDEX('Compliance Database'!$A$2:$A$1369,MATCH(239,Engine!$C$2:$C$1369,0)))</f>
        <v/>
      </c>
      <c r="B252" s="8">
        <f>IF(ISNA(MATCH(239,Engine!$C$2:$C$1369,0)),"",INDEX('Compliance Database'!$B$2:$B$1369,MATCH(239,Engine!$C$2:$C$1369,0)))</f>
        <v/>
      </c>
      <c r="C252" s="8">
        <f>IF(ISNA(MATCH(239,Engine!$C$2:$C$1369,0)),"",INDEX('Compliance Database'!$C$2:$C$1369,MATCH(239,Engine!$C$2:$C$1369,0)))</f>
        <v/>
      </c>
      <c r="D252" s="9">
        <f>IF(ISNA(MATCH(239,Engine!$C$2:$C$1369,0)),"",INDEX('Compliance Database'!$D$2:$D$1369,MATCH(239,Engine!$C$2:$C$1369,0)))</f>
        <v/>
      </c>
      <c r="E252" s="8">
        <f>IF(ISNA(MATCH(239,Engine!$C$2:$C$1369,0)),"",INDEX('Compliance Database'!$E$2:$E$1369,MATCH(239,Engine!$C$2:$C$1369,0)))</f>
        <v/>
      </c>
      <c r="F252" s="8">
        <f>IF(ISNA(MATCH(239,Engine!$C$2:$C$1369,0)),"",INDEX('Compliance Database'!$F$2:$F$1369,MATCH(239,Engine!$C$2:$C$1369,0)))</f>
        <v/>
      </c>
      <c r="G252" s="8">
        <f>IF(ISNA(MATCH(239,Engine!$C$2:$C$1369,0)),"",INDEX('Compliance Database'!$G$2:$G$1369,MATCH(239,Engine!$C$2:$C$1369,0)))</f>
        <v/>
      </c>
      <c r="H252" s="9">
        <f>IF(ISNA(MATCH(239,Engine!$C$2:$C$1369,0)),"",INDEX('Compliance Database'!$H$2:$H$1369,MATCH(239,Engine!$C$2:$C$1369,0)))</f>
        <v/>
      </c>
      <c r="I252" s="9">
        <f>IF(ISNA(MATCH(239,Engine!$C$2:$C$1369,0)),"",INDEX('Compliance Database'!$I$2:$I$1369,MATCH(239,Engine!$C$2:$C$1369,0)))</f>
        <v/>
      </c>
      <c r="J252" s="8">
        <f>IF(ISNA(MATCH(239,Engine!$C$2:$C$1369,0)),"",INDEX('Compliance Database'!$J$2:$J$1369,MATCH(239,Engine!$C$2:$C$1369,0)))</f>
        <v/>
      </c>
      <c r="K252" s="9">
        <f>IF(ISNA(MATCH(239,Engine!$C$2:$C$1369,0)),"",INDEX('Compliance Database'!$K$2:$K$1369,MATCH(239,Engine!$C$2:$C$1369,0)))</f>
        <v/>
      </c>
      <c r="L252" s="9">
        <f>IF(ISNA(MATCH(239,Engine!$C$2:$C$1369,0)),"",INDEX('Compliance Database'!$L$2:$L$1369,MATCH(239,Engine!$C$2:$C$1369,0)))</f>
        <v/>
      </c>
      <c r="M252" s="9">
        <f>IF(ISNA(MATCH(239,Engine!$C$2:$C$1369,0)),"",INDEX('Compliance Database'!$M$2:$M$1369,MATCH(239,Engine!$C$2:$C$1369,0)))</f>
        <v/>
      </c>
      <c r="N252" s="9">
        <f>IF(ISNA(MATCH(239,Engine!$C$2:$C$1369,0)),"",INDEX('Compliance Database'!$N$2:$N$1369,MATCH(239,Engine!$C$2:$C$1369,0)))</f>
        <v/>
      </c>
      <c r="O252" s="8">
        <f>IF(ISNA(MATCH(239,Engine!$C$2:$C$1369,0)),"",HYPERLINK(INDEX('Compliance Database'!$O$2:$O$1369,MATCH(239,Engine!$C$2:$C$1369,0)),"Open PDF"))</f>
        <v/>
      </c>
    </row>
    <row r="253" ht="188" customHeight="1">
      <c r="A253" s="8">
        <f>IF(ISNA(MATCH(240,Engine!$C$2:$C$1369,0)),"",INDEX('Compliance Database'!$A$2:$A$1369,MATCH(240,Engine!$C$2:$C$1369,0)))</f>
        <v/>
      </c>
      <c r="B253" s="8">
        <f>IF(ISNA(MATCH(240,Engine!$C$2:$C$1369,0)),"",INDEX('Compliance Database'!$B$2:$B$1369,MATCH(240,Engine!$C$2:$C$1369,0)))</f>
        <v/>
      </c>
      <c r="C253" s="8">
        <f>IF(ISNA(MATCH(240,Engine!$C$2:$C$1369,0)),"",INDEX('Compliance Database'!$C$2:$C$1369,MATCH(240,Engine!$C$2:$C$1369,0)))</f>
        <v/>
      </c>
      <c r="D253" s="9">
        <f>IF(ISNA(MATCH(240,Engine!$C$2:$C$1369,0)),"",INDEX('Compliance Database'!$D$2:$D$1369,MATCH(240,Engine!$C$2:$C$1369,0)))</f>
        <v/>
      </c>
      <c r="E253" s="8">
        <f>IF(ISNA(MATCH(240,Engine!$C$2:$C$1369,0)),"",INDEX('Compliance Database'!$E$2:$E$1369,MATCH(240,Engine!$C$2:$C$1369,0)))</f>
        <v/>
      </c>
      <c r="F253" s="8">
        <f>IF(ISNA(MATCH(240,Engine!$C$2:$C$1369,0)),"",INDEX('Compliance Database'!$F$2:$F$1369,MATCH(240,Engine!$C$2:$C$1369,0)))</f>
        <v/>
      </c>
      <c r="G253" s="8">
        <f>IF(ISNA(MATCH(240,Engine!$C$2:$C$1369,0)),"",INDEX('Compliance Database'!$G$2:$G$1369,MATCH(240,Engine!$C$2:$C$1369,0)))</f>
        <v/>
      </c>
      <c r="H253" s="9">
        <f>IF(ISNA(MATCH(240,Engine!$C$2:$C$1369,0)),"",INDEX('Compliance Database'!$H$2:$H$1369,MATCH(240,Engine!$C$2:$C$1369,0)))</f>
        <v/>
      </c>
      <c r="I253" s="9">
        <f>IF(ISNA(MATCH(240,Engine!$C$2:$C$1369,0)),"",INDEX('Compliance Database'!$I$2:$I$1369,MATCH(240,Engine!$C$2:$C$1369,0)))</f>
        <v/>
      </c>
      <c r="J253" s="8">
        <f>IF(ISNA(MATCH(240,Engine!$C$2:$C$1369,0)),"",INDEX('Compliance Database'!$J$2:$J$1369,MATCH(240,Engine!$C$2:$C$1369,0)))</f>
        <v/>
      </c>
      <c r="K253" s="9">
        <f>IF(ISNA(MATCH(240,Engine!$C$2:$C$1369,0)),"",INDEX('Compliance Database'!$K$2:$K$1369,MATCH(240,Engine!$C$2:$C$1369,0)))</f>
        <v/>
      </c>
      <c r="L253" s="9">
        <f>IF(ISNA(MATCH(240,Engine!$C$2:$C$1369,0)),"",INDEX('Compliance Database'!$L$2:$L$1369,MATCH(240,Engine!$C$2:$C$1369,0)))</f>
        <v/>
      </c>
      <c r="M253" s="9">
        <f>IF(ISNA(MATCH(240,Engine!$C$2:$C$1369,0)),"",INDEX('Compliance Database'!$M$2:$M$1369,MATCH(240,Engine!$C$2:$C$1369,0)))</f>
        <v/>
      </c>
      <c r="N253" s="9">
        <f>IF(ISNA(MATCH(240,Engine!$C$2:$C$1369,0)),"",INDEX('Compliance Database'!$N$2:$N$1369,MATCH(240,Engine!$C$2:$C$1369,0)))</f>
        <v/>
      </c>
      <c r="O253" s="8">
        <f>IF(ISNA(MATCH(240,Engine!$C$2:$C$1369,0)),"",HYPERLINK(INDEX('Compliance Database'!$O$2:$O$1369,MATCH(240,Engine!$C$2:$C$1369,0)),"Open PDF"))</f>
        <v/>
      </c>
    </row>
    <row r="254" ht="188" customHeight="1">
      <c r="A254" s="8">
        <f>IF(ISNA(MATCH(241,Engine!$C$2:$C$1369,0)),"",INDEX('Compliance Database'!$A$2:$A$1369,MATCH(241,Engine!$C$2:$C$1369,0)))</f>
        <v/>
      </c>
      <c r="B254" s="8">
        <f>IF(ISNA(MATCH(241,Engine!$C$2:$C$1369,0)),"",INDEX('Compliance Database'!$B$2:$B$1369,MATCH(241,Engine!$C$2:$C$1369,0)))</f>
        <v/>
      </c>
      <c r="C254" s="8">
        <f>IF(ISNA(MATCH(241,Engine!$C$2:$C$1369,0)),"",INDEX('Compliance Database'!$C$2:$C$1369,MATCH(241,Engine!$C$2:$C$1369,0)))</f>
        <v/>
      </c>
      <c r="D254" s="9">
        <f>IF(ISNA(MATCH(241,Engine!$C$2:$C$1369,0)),"",INDEX('Compliance Database'!$D$2:$D$1369,MATCH(241,Engine!$C$2:$C$1369,0)))</f>
        <v/>
      </c>
      <c r="E254" s="8">
        <f>IF(ISNA(MATCH(241,Engine!$C$2:$C$1369,0)),"",INDEX('Compliance Database'!$E$2:$E$1369,MATCH(241,Engine!$C$2:$C$1369,0)))</f>
        <v/>
      </c>
      <c r="F254" s="8">
        <f>IF(ISNA(MATCH(241,Engine!$C$2:$C$1369,0)),"",INDEX('Compliance Database'!$F$2:$F$1369,MATCH(241,Engine!$C$2:$C$1369,0)))</f>
        <v/>
      </c>
      <c r="G254" s="8">
        <f>IF(ISNA(MATCH(241,Engine!$C$2:$C$1369,0)),"",INDEX('Compliance Database'!$G$2:$G$1369,MATCH(241,Engine!$C$2:$C$1369,0)))</f>
        <v/>
      </c>
      <c r="H254" s="9">
        <f>IF(ISNA(MATCH(241,Engine!$C$2:$C$1369,0)),"",INDEX('Compliance Database'!$H$2:$H$1369,MATCH(241,Engine!$C$2:$C$1369,0)))</f>
        <v/>
      </c>
      <c r="I254" s="9">
        <f>IF(ISNA(MATCH(241,Engine!$C$2:$C$1369,0)),"",INDEX('Compliance Database'!$I$2:$I$1369,MATCH(241,Engine!$C$2:$C$1369,0)))</f>
        <v/>
      </c>
      <c r="J254" s="8">
        <f>IF(ISNA(MATCH(241,Engine!$C$2:$C$1369,0)),"",INDEX('Compliance Database'!$J$2:$J$1369,MATCH(241,Engine!$C$2:$C$1369,0)))</f>
        <v/>
      </c>
      <c r="K254" s="9">
        <f>IF(ISNA(MATCH(241,Engine!$C$2:$C$1369,0)),"",INDEX('Compliance Database'!$K$2:$K$1369,MATCH(241,Engine!$C$2:$C$1369,0)))</f>
        <v/>
      </c>
      <c r="L254" s="9">
        <f>IF(ISNA(MATCH(241,Engine!$C$2:$C$1369,0)),"",INDEX('Compliance Database'!$L$2:$L$1369,MATCH(241,Engine!$C$2:$C$1369,0)))</f>
        <v/>
      </c>
      <c r="M254" s="9">
        <f>IF(ISNA(MATCH(241,Engine!$C$2:$C$1369,0)),"",INDEX('Compliance Database'!$M$2:$M$1369,MATCH(241,Engine!$C$2:$C$1369,0)))</f>
        <v/>
      </c>
      <c r="N254" s="9">
        <f>IF(ISNA(MATCH(241,Engine!$C$2:$C$1369,0)),"",INDEX('Compliance Database'!$N$2:$N$1369,MATCH(241,Engine!$C$2:$C$1369,0)))</f>
        <v/>
      </c>
      <c r="O254" s="8">
        <f>IF(ISNA(MATCH(241,Engine!$C$2:$C$1369,0)),"",HYPERLINK(INDEX('Compliance Database'!$O$2:$O$1369,MATCH(241,Engine!$C$2:$C$1369,0)),"Open PDF"))</f>
        <v/>
      </c>
    </row>
    <row r="255" ht="188" customHeight="1">
      <c r="A255" s="8">
        <f>IF(ISNA(MATCH(242,Engine!$C$2:$C$1369,0)),"",INDEX('Compliance Database'!$A$2:$A$1369,MATCH(242,Engine!$C$2:$C$1369,0)))</f>
        <v/>
      </c>
      <c r="B255" s="8">
        <f>IF(ISNA(MATCH(242,Engine!$C$2:$C$1369,0)),"",INDEX('Compliance Database'!$B$2:$B$1369,MATCH(242,Engine!$C$2:$C$1369,0)))</f>
        <v/>
      </c>
      <c r="C255" s="8">
        <f>IF(ISNA(MATCH(242,Engine!$C$2:$C$1369,0)),"",INDEX('Compliance Database'!$C$2:$C$1369,MATCH(242,Engine!$C$2:$C$1369,0)))</f>
        <v/>
      </c>
      <c r="D255" s="9">
        <f>IF(ISNA(MATCH(242,Engine!$C$2:$C$1369,0)),"",INDEX('Compliance Database'!$D$2:$D$1369,MATCH(242,Engine!$C$2:$C$1369,0)))</f>
        <v/>
      </c>
      <c r="E255" s="8">
        <f>IF(ISNA(MATCH(242,Engine!$C$2:$C$1369,0)),"",INDEX('Compliance Database'!$E$2:$E$1369,MATCH(242,Engine!$C$2:$C$1369,0)))</f>
        <v/>
      </c>
      <c r="F255" s="8">
        <f>IF(ISNA(MATCH(242,Engine!$C$2:$C$1369,0)),"",INDEX('Compliance Database'!$F$2:$F$1369,MATCH(242,Engine!$C$2:$C$1369,0)))</f>
        <v/>
      </c>
      <c r="G255" s="8">
        <f>IF(ISNA(MATCH(242,Engine!$C$2:$C$1369,0)),"",INDEX('Compliance Database'!$G$2:$G$1369,MATCH(242,Engine!$C$2:$C$1369,0)))</f>
        <v/>
      </c>
      <c r="H255" s="9">
        <f>IF(ISNA(MATCH(242,Engine!$C$2:$C$1369,0)),"",INDEX('Compliance Database'!$H$2:$H$1369,MATCH(242,Engine!$C$2:$C$1369,0)))</f>
        <v/>
      </c>
      <c r="I255" s="9">
        <f>IF(ISNA(MATCH(242,Engine!$C$2:$C$1369,0)),"",INDEX('Compliance Database'!$I$2:$I$1369,MATCH(242,Engine!$C$2:$C$1369,0)))</f>
        <v/>
      </c>
      <c r="J255" s="8">
        <f>IF(ISNA(MATCH(242,Engine!$C$2:$C$1369,0)),"",INDEX('Compliance Database'!$J$2:$J$1369,MATCH(242,Engine!$C$2:$C$1369,0)))</f>
        <v/>
      </c>
      <c r="K255" s="9">
        <f>IF(ISNA(MATCH(242,Engine!$C$2:$C$1369,0)),"",INDEX('Compliance Database'!$K$2:$K$1369,MATCH(242,Engine!$C$2:$C$1369,0)))</f>
        <v/>
      </c>
      <c r="L255" s="9">
        <f>IF(ISNA(MATCH(242,Engine!$C$2:$C$1369,0)),"",INDEX('Compliance Database'!$L$2:$L$1369,MATCH(242,Engine!$C$2:$C$1369,0)))</f>
        <v/>
      </c>
      <c r="M255" s="9">
        <f>IF(ISNA(MATCH(242,Engine!$C$2:$C$1369,0)),"",INDEX('Compliance Database'!$M$2:$M$1369,MATCH(242,Engine!$C$2:$C$1369,0)))</f>
        <v/>
      </c>
      <c r="N255" s="9">
        <f>IF(ISNA(MATCH(242,Engine!$C$2:$C$1369,0)),"",INDEX('Compliance Database'!$N$2:$N$1369,MATCH(242,Engine!$C$2:$C$1369,0)))</f>
        <v/>
      </c>
      <c r="O255" s="8">
        <f>IF(ISNA(MATCH(242,Engine!$C$2:$C$1369,0)),"",HYPERLINK(INDEX('Compliance Database'!$O$2:$O$1369,MATCH(242,Engine!$C$2:$C$1369,0)),"Open PDF"))</f>
        <v/>
      </c>
    </row>
    <row r="256" ht="188" customHeight="1">
      <c r="A256" s="8">
        <f>IF(ISNA(MATCH(243,Engine!$C$2:$C$1369,0)),"",INDEX('Compliance Database'!$A$2:$A$1369,MATCH(243,Engine!$C$2:$C$1369,0)))</f>
        <v/>
      </c>
      <c r="B256" s="8">
        <f>IF(ISNA(MATCH(243,Engine!$C$2:$C$1369,0)),"",INDEX('Compliance Database'!$B$2:$B$1369,MATCH(243,Engine!$C$2:$C$1369,0)))</f>
        <v/>
      </c>
      <c r="C256" s="8">
        <f>IF(ISNA(MATCH(243,Engine!$C$2:$C$1369,0)),"",INDEX('Compliance Database'!$C$2:$C$1369,MATCH(243,Engine!$C$2:$C$1369,0)))</f>
        <v/>
      </c>
      <c r="D256" s="9">
        <f>IF(ISNA(MATCH(243,Engine!$C$2:$C$1369,0)),"",INDEX('Compliance Database'!$D$2:$D$1369,MATCH(243,Engine!$C$2:$C$1369,0)))</f>
        <v/>
      </c>
      <c r="E256" s="8">
        <f>IF(ISNA(MATCH(243,Engine!$C$2:$C$1369,0)),"",INDEX('Compliance Database'!$E$2:$E$1369,MATCH(243,Engine!$C$2:$C$1369,0)))</f>
        <v/>
      </c>
      <c r="F256" s="8">
        <f>IF(ISNA(MATCH(243,Engine!$C$2:$C$1369,0)),"",INDEX('Compliance Database'!$F$2:$F$1369,MATCH(243,Engine!$C$2:$C$1369,0)))</f>
        <v/>
      </c>
      <c r="G256" s="8">
        <f>IF(ISNA(MATCH(243,Engine!$C$2:$C$1369,0)),"",INDEX('Compliance Database'!$G$2:$G$1369,MATCH(243,Engine!$C$2:$C$1369,0)))</f>
        <v/>
      </c>
      <c r="H256" s="9">
        <f>IF(ISNA(MATCH(243,Engine!$C$2:$C$1369,0)),"",INDEX('Compliance Database'!$H$2:$H$1369,MATCH(243,Engine!$C$2:$C$1369,0)))</f>
        <v/>
      </c>
      <c r="I256" s="9">
        <f>IF(ISNA(MATCH(243,Engine!$C$2:$C$1369,0)),"",INDEX('Compliance Database'!$I$2:$I$1369,MATCH(243,Engine!$C$2:$C$1369,0)))</f>
        <v/>
      </c>
      <c r="J256" s="8">
        <f>IF(ISNA(MATCH(243,Engine!$C$2:$C$1369,0)),"",INDEX('Compliance Database'!$J$2:$J$1369,MATCH(243,Engine!$C$2:$C$1369,0)))</f>
        <v/>
      </c>
      <c r="K256" s="9">
        <f>IF(ISNA(MATCH(243,Engine!$C$2:$C$1369,0)),"",INDEX('Compliance Database'!$K$2:$K$1369,MATCH(243,Engine!$C$2:$C$1369,0)))</f>
        <v/>
      </c>
      <c r="L256" s="9">
        <f>IF(ISNA(MATCH(243,Engine!$C$2:$C$1369,0)),"",INDEX('Compliance Database'!$L$2:$L$1369,MATCH(243,Engine!$C$2:$C$1369,0)))</f>
        <v/>
      </c>
      <c r="M256" s="9">
        <f>IF(ISNA(MATCH(243,Engine!$C$2:$C$1369,0)),"",INDEX('Compliance Database'!$M$2:$M$1369,MATCH(243,Engine!$C$2:$C$1369,0)))</f>
        <v/>
      </c>
      <c r="N256" s="9">
        <f>IF(ISNA(MATCH(243,Engine!$C$2:$C$1369,0)),"",INDEX('Compliance Database'!$N$2:$N$1369,MATCH(243,Engine!$C$2:$C$1369,0)))</f>
        <v/>
      </c>
      <c r="O256" s="8">
        <f>IF(ISNA(MATCH(243,Engine!$C$2:$C$1369,0)),"",HYPERLINK(INDEX('Compliance Database'!$O$2:$O$1369,MATCH(243,Engine!$C$2:$C$1369,0)),"Open PDF"))</f>
        <v/>
      </c>
    </row>
    <row r="257" ht="188" customHeight="1">
      <c r="A257" s="8">
        <f>IF(ISNA(MATCH(244,Engine!$C$2:$C$1369,0)),"",INDEX('Compliance Database'!$A$2:$A$1369,MATCH(244,Engine!$C$2:$C$1369,0)))</f>
        <v/>
      </c>
      <c r="B257" s="8">
        <f>IF(ISNA(MATCH(244,Engine!$C$2:$C$1369,0)),"",INDEX('Compliance Database'!$B$2:$B$1369,MATCH(244,Engine!$C$2:$C$1369,0)))</f>
        <v/>
      </c>
      <c r="C257" s="8">
        <f>IF(ISNA(MATCH(244,Engine!$C$2:$C$1369,0)),"",INDEX('Compliance Database'!$C$2:$C$1369,MATCH(244,Engine!$C$2:$C$1369,0)))</f>
        <v/>
      </c>
      <c r="D257" s="9">
        <f>IF(ISNA(MATCH(244,Engine!$C$2:$C$1369,0)),"",INDEX('Compliance Database'!$D$2:$D$1369,MATCH(244,Engine!$C$2:$C$1369,0)))</f>
        <v/>
      </c>
      <c r="E257" s="8">
        <f>IF(ISNA(MATCH(244,Engine!$C$2:$C$1369,0)),"",INDEX('Compliance Database'!$E$2:$E$1369,MATCH(244,Engine!$C$2:$C$1369,0)))</f>
        <v/>
      </c>
      <c r="F257" s="8">
        <f>IF(ISNA(MATCH(244,Engine!$C$2:$C$1369,0)),"",INDEX('Compliance Database'!$F$2:$F$1369,MATCH(244,Engine!$C$2:$C$1369,0)))</f>
        <v/>
      </c>
      <c r="G257" s="8">
        <f>IF(ISNA(MATCH(244,Engine!$C$2:$C$1369,0)),"",INDEX('Compliance Database'!$G$2:$G$1369,MATCH(244,Engine!$C$2:$C$1369,0)))</f>
        <v/>
      </c>
      <c r="H257" s="9">
        <f>IF(ISNA(MATCH(244,Engine!$C$2:$C$1369,0)),"",INDEX('Compliance Database'!$H$2:$H$1369,MATCH(244,Engine!$C$2:$C$1369,0)))</f>
        <v/>
      </c>
      <c r="I257" s="9">
        <f>IF(ISNA(MATCH(244,Engine!$C$2:$C$1369,0)),"",INDEX('Compliance Database'!$I$2:$I$1369,MATCH(244,Engine!$C$2:$C$1369,0)))</f>
        <v/>
      </c>
      <c r="J257" s="8">
        <f>IF(ISNA(MATCH(244,Engine!$C$2:$C$1369,0)),"",INDEX('Compliance Database'!$J$2:$J$1369,MATCH(244,Engine!$C$2:$C$1369,0)))</f>
        <v/>
      </c>
      <c r="K257" s="9">
        <f>IF(ISNA(MATCH(244,Engine!$C$2:$C$1369,0)),"",INDEX('Compliance Database'!$K$2:$K$1369,MATCH(244,Engine!$C$2:$C$1369,0)))</f>
        <v/>
      </c>
      <c r="L257" s="9">
        <f>IF(ISNA(MATCH(244,Engine!$C$2:$C$1369,0)),"",INDEX('Compliance Database'!$L$2:$L$1369,MATCH(244,Engine!$C$2:$C$1369,0)))</f>
        <v/>
      </c>
      <c r="M257" s="9">
        <f>IF(ISNA(MATCH(244,Engine!$C$2:$C$1369,0)),"",INDEX('Compliance Database'!$M$2:$M$1369,MATCH(244,Engine!$C$2:$C$1369,0)))</f>
        <v/>
      </c>
      <c r="N257" s="9">
        <f>IF(ISNA(MATCH(244,Engine!$C$2:$C$1369,0)),"",INDEX('Compliance Database'!$N$2:$N$1369,MATCH(244,Engine!$C$2:$C$1369,0)))</f>
        <v/>
      </c>
      <c r="O257" s="8">
        <f>IF(ISNA(MATCH(244,Engine!$C$2:$C$1369,0)),"",HYPERLINK(INDEX('Compliance Database'!$O$2:$O$1369,MATCH(244,Engine!$C$2:$C$1369,0)),"Open PDF"))</f>
        <v/>
      </c>
    </row>
    <row r="258" ht="188" customHeight="1">
      <c r="A258" s="8">
        <f>IF(ISNA(MATCH(245,Engine!$C$2:$C$1369,0)),"",INDEX('Compliance Database'!$A$2:$A$1369,MATCH(245,Engine!$C$2:$C$1369,0)))</f>
        <v/>
      </c>
      <c r="B258" s="8">
        <f>IF(ISNA(MATCH(245,Engine!$C$2:$C$1369,0)),"",INDEX('Compliance Database'!$B$2:$B$1369,MATCH(245,Engine!$C$2:$C$1369,0)))</f>
        <v/>
      </c>
      <c r="C258" s="8">
        <f>IF(ISNA(MATCH(245,Engine!$C$2:$C$1369,0)),"",INDEX('Compliance Database'!$C$2:$C$1369,MATCH(245,Engine!$C$2:$C$1369,0)))</f>
        <v/>
      </c>
      <c r="D258" s="9">
        <f>IF(ISNA(MATCH(245,Engine!$C$2:$C$1369,0)),"",INDEX('Compliance Database'!$D$2:$D$1369,MATCH(245,Engine!$C$2:$C$1369,0)))</f>
        <v/>
      </c>
      <c r="E258" s="8">
        <f>IF(ISNA(MATCH(245,Engine!$C$2:$C$1369,0)),"",INDEX('Compliance Database'!$E$2:$E$1369,MATCH(245,Engine!$C$2:$C$1369,0)))</f>
        <v/>
      </c>
      <c r="F258" s="8">
        <f>IF(ISNA(MATCH(245,Engine!$C$2:$C$1369,0)),"",INDEX('Compliance Database'!$F$2:$F$1369,MATCH(245,Engine!$C$2:$C$1369,0)))</f>
        <v/>
      </c>
      <c r="G258" s="8">
        <f>IF(ISNA(MATCH(245,Engine!$C$2:$C$1369,0)),"",INDEX('Compliance Database'!$G$2:$G$1369,MATCH(245,Engine!$C$2:$C$1369,0)))</f>
        <v/>
      </c>
      <c r="H258" s="9">
        <f>IF(ISNA(MATCH(245,Engine!$C$2:$C$1369,0)),"",INDEX('Compliance Database'!$H$2:$H$1369,MATCH(245,Engine!$C$2:$C$1369,0)))</f>
        <v/>
      </c>
      <c r="I258" s="9">
        <f>IF(ISNA(MATCH(245,Engine!$C$2:$C$1369,0)),"",INDEX('Compliance Database'!$I$2:$I$1369,MATCH(245,Engine!$C$2:$C$1369,0)))</f>
        <v/>
      </c>
      <c r="J258" s="8">
        <f>IF(ISNA(MATCH(245,Engine!$C$2:$C$1369,0)),"",INDEX('Compliance Database'!$J$2:$J$1369,MATCH(245,Engine!$C$2:$C$1369,0)))</f>
        <v/>
      </c>
      <c r="K258" s="9">
        <f>IF(ISNA(MATCH(245,Engine!$C$2:$C$1369,0)),"",INDEX('Compliance Database'!$K$2:$K$1369,MATCH(245,Engine!$C$2:$C$1369,0)))</f>
        <v/>
      </c>
      <c r="L258" s="9">
        <f>IF(ISNA(MATCH(245,Engine!$C$2:$C$1369,0)),"",INDEX('Compliance Database'!$L$2:$L$1369,MATCH(245,Engine!$C$2:$C$1369,0)))</f>
        <v/>
      </c>
      <c r="M258" s="9">
        <f>IF(ISNA(MATCH(245,Engine!$C$2:$C$1369,0)),"",INDEX('Compliance Database'!$M$2:$M$1369,MATCH(245,Engine!$C$2:$C$1369,0)))</f>
        <v/>
      </c>
      <c r="N258" s="9">
        <f>IF(ISNA(MATCH(245,Engine!$C$2:$C$1369,0)),"",INDEX('Compliance Database'!$N$2:$N$1369,MATCH(245,Engine!$C$2:$C$1369,0)))</f>
        <v/>
      </c>
      <c r="O258" s="8">
        <f>IF(ISNA(MATCH(245,Engine!$C$2:$C$1369,0)),"",HYPERLINK(INDEX('Compliance Database'!$O$2:$O$1369,MATCH(245,Engine!$C$2:$C$1369,0)),"Open PDF"))</f>
        <v/>
      </c>
    </row>
    <row r="259" ht="188" customHeight="1">
      <c r="A259" s="8">
        <f>IF(ISNA(MATCH(246,Engine!$C$2:$C$1369,0)),"",INDEX('Compliance Database'!$A$2:$A$1369,MATCH(246,Engine!$C$2:$C$1369,0)))</f>
        <v/>
      </c>
      <c r="B259" s="8">
        <f>IF(ISNA(MATCH(246,Engine!$C$2:$C$1369,0)),"",INDEX('Compliance Database'!$B$2:$B$1369,MATCH(246,Engine!$C$2:$C$1369,0)))</f>
        <v/>
      </c>
      <c r="C259" s="8">
        <f>IF(ISNA(MATCH(246,Engine!$C$2:$C$1369,0)),"",INDEX('Compliance Database'!$C$2:$C$1369,MATCH(246,Engine!$C$2:$C$1369,0)))</f>
        <v/>
      </c>
      <c r="D259" s="9">
        <f>IF(ISNA(MATCH(246,Engine!$C$2:$C$1369,0)),"",INDEX('Compliance Database'!$D$2:$D$1369,MATCH(246,Engine!$C$2:$C$1369,0)))</f>
        <v/>
      </c>
      <c r="E259" s="8">
        <f>IF(ISNA(MATCH(246,Engine!$C$2:$C$1369,0)),"",INDEX('Compliance Database'!$E$2:$E$1369,MATCH(246,Engine!$C$2:$C$1369,0)))</f>
        <v/>
      </c>
      <c r="F259" s="8">
        <f>IF(ISNA(MATCH(246,Engine!$C$2:$C$1369,0)),"",INDEX('Compliance Database'!$F$2:$F$1369,MATCH(246,Engine!$C$2:$C$1369,0)))</f>
        <v/>
      </c>
      <c r="G259" s="8">
        <f>IF(ISNA(MATCH(246,Engine!$C$2:$C$1369,0)),"",INDEX('Compliance Database'!$G$2:$G$1369,MATCH(246,Engine!$C$2:$C$1369,0)))</f>
        <v/>
      </c>
      <c r="H259" s="9">
        <f>IF(ISNA(MATCH(246,Engine!$C$2:$C$1369,0)),"",INDEX('Compliance Database'!$H$2:$H$1369,MATCH(246,Engine!$C$2:$C$1369,0)))</f>
        <v/>
      </c>
      <c r="I259" s="9">
        <f>IF(ISNA(MATCH(246,Engine!$C$2:$C$1369,0)),"",INDEX('Compliance Database'!$I$2:$I$1369,MATCH(246,Engine!$C$2:$C$1369,0)))</f>
        <v/>
      </c>
      <c r="J259" s="8">
        <f>IF(ISNA(MATCH(246,Engine!$C$2:$C$1369,0)),"",INDEX('Compliance Database'!$J$2:$J$1369,MATCH(246,Engine!$C$2:$C$1369,0)))</f>
        <v/>
      </c>
      <c r="K259" s="9">
        <f>IF(ISNA(MATCH(246,Engine!$C$2:$C$1369,0)),"",INDEX('Compliance Database'!$K$2:$K$1369,MATCH(246,Engine!$C$2:$C$1369,0)))</f>
        <v/>
      </c>
      <c r="L259" s="9">
        <f>IF(ISNA(MATCH(246,Engine!$C$2:$C$1369,0)),"",INDEX('Compliance Database'!$L$2:$L$1369,MATCH(246,Engine!$C$2:$C$1369,0)))</f>
        <v/>
      </c>
      <c r="M259" s="9">
        <f>IF(ISNA(MATCH(246,Engine!$C$2:$C$1369,0)),"",INDEX('Compliance Database'!$M$2:$M$1369,MATCH(246,Engine!$C$2:$C$1369,0)))</f>
        <v/>
      </c>
      <c r="N259" s="9">
        <f>IF(ISNA(MATCH(246,Engine!$C$2:$C$1369,0)),"",INDEX('Compliance Database'!$N$2:$N$1369,MATCH(246,Engine!$C$2:$C$1369,0)))</f>
        <v/>
      </c>
      <c r="O259" s="8">
        <f>IF(ISNA(MATCH(246,Engine!$C$2:$C$1369,0)),"",HYPERLINK(INDEX('Compliance Database'!$O$2:$O$1369,MATCH(246,Engine!$C$2:$C$1369,0)),"Open PDF"))</f>
        <v/>
      </c>
    </row>
    <row r="260" ht="188" customHeight="1">
      <c r="A260" s="8">
        <f>IF(ISNA(MATCH(247,Engine!$C$2:$C$1369,0)),"",INDEX('Compliance Database'!$A$2:$A$1369,MATCH(247,Engine!$C$2:$C$1369,0)))</f>
        <v/>
      </c>
      <c r="B260" s="8">
        <f>IF(ISNA(MATCH(247,Engine!$C$2:$C$1369,0)),"",INDEX('Compliance Database'!$B$2:$B$1369,MATCH(247,Engine!$C$2:$C$1369,0)))</f>
        <v/>
      </c>
      <c r="C260" s="8">
        <f>IF(ISNA(MATCH(247,Engine!$C$2:$C$1369,0)),"",INDEX('Compliance Database'!$C$2:$C$1369,MATCH(247,Engine!$C$2:$C$1369,0)))</f>
        <v/>
      </c>
      <c r="D260" s="9">
        <f>IF(ISNA(MATCH(247,Engine!$C$2:$C$1369,0)),"",INDEX('Compliance Database'!$D$2:$D$1369,MATCH(247,Engine!$C$2:$C$1369,0)))</f>
        <v/>
      </c>
      <c r="E260" s="8">
        <f>IF(ISNA(MATCH(247,Engine!$C$2:$C$1369,0)),"",INDEX('Compliance Database'!$E$2:$E$1369,MATCH(247,Engine!$C$2:$C$1369,0)))</f>
        <v/>
      </c>
      <c r="F260" s="8">
        <f>IF(ISNA(MATCH(247,Engine!$C$2:$C$1369,0)),"",INDEX('Compliance Database'!$F$2:$F$1369,MATCH(247,Engine!$C$2:$C$1369,0)))</f>
        <v/>
      </c>
      <c r="G260" s="8">
        <f>IF(ISNA(MATCH(247,Engine!$C$2:$C$1369,0)),"",INDEX('Compliance Database'!$G$2:$G$1369,MATCH(247,Engine!$C$2:$C$1369,0)))</f>
        <v/>
      </c>
      <c r="H260" s="9">
        <f>IF(ISNA(MATCH(247,Engine!$C$2:$C$1369,0)),"",INDEX('Compliance Database'!$H$2:$H$1369,MATCH(247,Engine!$C$2:$C$1369,0)))</f>
        <v/>
      </c>
      <c r="I260" s="9">
        <f>IF(ISNA(MATCH(247,Engine!$C$2:$C$1369,0)),"",INDEX('Compliance Database'!$I$2:$I$1369,MATCH(247,Engine!$C$2:$C$1369,0)))</f>
        <v/>
      </c>
      <c r="J260" s="8">
        <f>IF(ISNA(MATCH(247,Engine!$C$2:$C$1369,0)),"",INDEX('Compliance Database'!$J$2:$J$1369,MATCH(247,Engine!$C$2:$C$1369,0)))</f>
        <v/>
      </c>
      <c r="K260" s="9">
        <f>IF(ISNA(MATCH(247,Engine!$C$2:$C$1369,0)),"",INDEX('Compliance Database'!$K$2:$K$1369,MATCH(247,Engine!$C$2:$C$1369,0)))</f>
        <v/>
      </c>
      <c r="L260" s="9">
        <f>IF(ISNA(MATCH(247,Engine!$C$2:$C$1369,0)),"",INDEX('Compliance Database'!$L$2:$L$1369,MATCH(247,Engine!$C$2:$C$1369,0)))</f>
        <v/>
      </c>
      <c r="M260" s="9">
        <f>IF(ISNA(MATCH(247,Engine!$C$2:$C$1369,0)),"",INDEX('Compliance Database'!$M$2:$M$1369,MATCH(247,Engine!$C$2:$C$1369,0)))</f>
        <v/>
      </c>
      <c r="N260" s="9">
        <f>IF(ISNA(MATCH(247,Engine!$C$2:$C$1369,0)),"",INDEX('Compliance Database'!$N$2:$N$1369,MATCH(247,Engine!$C$2:$C$1369,0)))</f>
        <v/>
      </c>
      <c r="O260" s="8">
        <f>IF(ISNA(MATCH(247,Engine!$C$2:$C$1369,0)),"",HYPERLINK(INDEX('Compliance Database'!$O$2:$O$1369,MATCH(247,Engine!$C$2:$C$1369,0)),"Open PDF"))</f>
        <v/>
      </c>
    </row>
    <row r="261" ht="188" customHeight="1">
      <c r="A261" s="8">
        <f>IF(ISNA(MATCH(248,Engine!$C$2:$C$1369,0)),"",INDEX('Compliance Database'!$A$2:$A$1369,MATCH(248,Engine!$C$2:$C$1369,0)))</f>
        <v/>
      </c>
      <c r="B261" s="8">
        <f>IF(ISNA(MATCH(248,Engine!$C$2:$C$1369,0)),"",INDEX('Compliance Database'!$B$2:$B$1369,MATCH(248,Engine!$C$2:$C$1369,0)))</f>
        <v/>
      </c>
      <c r="C261" s="8">
        <f>IF(ISNA(MATCH(248,Engine!$C$2:$C$1369,0)),"",INDEX('Compliance Database'!$C$2:$C$1369,MATCH(248,Engine!$C$2:$C$1369,0)))</f>
        <v/>
      </c>
      <c r="D261" s="9">
        <f>IF(ISNA(MATCH(248,Engine!$C$2:$C$1369,0)),"",INDEX('Compliance Database'!$D$2:$D$1369,MATCH(248,Engine!$C$2:$C$1369,0)))</f>
        <v/>
      </c>
      <c r="E261" s="8">
        <f>IF(ISNA(MATCH(248,Engine!$C$2:$C$1369,0)),"",INDEX('Compliance Database'!$E$2:$E$1369,MATCH(248,Engine!$C$2:$C$1369,0)))</f>
        <v/>
      </c>
      <c r="F261" s="8">
        <f>IF(ISNA(MATCH(248,Engine!$C$2:$C$1369,0)),"",INDEX('Compliance Database'!$F$2:$F$1369,MATCH(248,Engine!$C$2:$C$1369,0)))</f>
        <v/>
      </c>
      <c r="G261" s="8">
        <f>IF(ISNA(MATCH(248,Engine!$C$2:$C$1369,0)),"",INDEX('Compliance Database'!$G$2:$G$1369,MATCH(248,Engine!$C$2:$C$1369,0)))</f>
        <v/>
      </c>
      <c r="H261" s="9">
        <f>IF(ISNA(MATCH(248,Engine!$C$2:$C$1369,0)),"",INDEX('Compliance Database'!$H$2:$H$1369,MATCH(248,Engine!$C$2:$C$1369,0)))</f>
        <v/>
      </c>
      <c r="I261" s="9">
        <f>IF(ISNA(MATCH(248,Engine!$C$2:$C$1369,0)),"",INDEX('Compliance Database'!$I$2:$I$1369,MATCH(248,Engine!$C$2:$C$1369,0)))</f>
        <v/>
      </c>
      <c r="J261" s="8">
        <f>IF(ISNA(MATCH(248,Engine!$C$2:$C$1369,0)),"",INDEX('Compliance Database'!$J$2:$J$1369,MATCH(248,Engine!$C$2:$C$1369,0)))</f>
        <v/>
      </c>
      <c r="K261" s="9">
        <f>IF(ISNA(MATCH(248,Engine!$C$2:$C$1369,0)),"",INDEX('Compliance Database'!$K$2:$K$1369,MATCH(248,Engine!$C$2:$C$1369,0)))</f>
        <v/>
      </c>
      <c r="L261" s="9">
        <f>IF(ISNA(MATCH(248,Engine!$C$2:$C$1369,0)),"",INDEX('Compliance Database'!$L$2:$L$1369,MATCH(248,Engine!$C$2:$C$1369,0)))</f>
        <v/>
      </c>
      <c r="M261" s="9">
        <f>IF(ISNA(MATCH(248,Engine!$C$2:$C$1369,0)),"",INDEX('Compliance Database'!$M$2:$M$1369,MATCH(248,Engine!$C$2:$C$1369,0)))</f>
        <v/>
      </c>
      <c r="N261" s="9">
        <f>IF(ISNA(MATCH(248,Engine!$C$2:$C$1369,0)),"",INDEX('Compliance Database'!$N$2:$N$1369,MATCH(248,Engine!$C$2:$C$1369,0)))</f>
        <v/>
      </c>
      <c r="O261" s="8">
        <f>IF(ISNA(MATCH(248,Engine!$C$2:$C$1369,0)),"",HYPERLINK(INDEX('Compliance Database'!$O$2:$O$1369,MATCH(248,Engine!$C$2:$C$1369,0)),"Open PDF"))</f>
        <v/>
      </c>
    </row>
    <row r="262" ht="188" customHeight="1">
      <c r="A262" s="8">
        <f>IF(ISNA(MATCH(249,Engine!$C$2:$C$1369,0)),"",INDEX('Compliance Database'!$A$2:$A$1369,MATCH(249,Engine!$C$2:$C$1369,0)))</f>
        <v/>
      </c>
      <c r="B262" s="8">
        <f>IF(ISNA(MATCH(249,Engine!$C$2:$C$1369,0)),"",INDEX('Compliance Database'!$B$2:$B$1369,MATCH(249,Engine!$C$2:$C$1369,0)))</f>
        <v/>
      </c>
      <c r="C262" s="8">
        <f>IF(ISNA(MATCH(249,Engine!$C$2:$C$1369,0)),"",INDEX('Compliance Database'!$C$2:$C$1369,MATCH(249,Engine!$C$2:$C$1369,0)))</f>
        <v/>
      </c>
      <c r="D262" s="9">
        <f>IF(ISNA(MATCH(249,Engine!$C$2:$C$1369,0)),"",INDEX('Compliance Database'!$D$2:$D$1369,MATCH(249,Engine!$C$2:$C$1369,0)))</f>
        <v/>
      </c>
      <c r="E262" s="8">
        <f>IF(ISNA(MATCH(249,Engine!$C$2:$C$1369,0)),"",INDEX('Compliance Database'!$E$2:$E$1369,MATCH(249,Engine!$C$2:$C$1369,0)))</f>
        <v/>
      </c>
      <c r="F262" s="8">
        <f>IF(ISNA(MATCH(249,Engine!$C$2:$C$1369,0)),"",INDEX('Compliance Database'!$F$2:$F$1369,MATCH(249,Engine!$C$2:$C$1369,0)))</f>
        <v/>
      </c>
      <c r="G262" s="8">
        <f>IF(ISNA(MATCH(249,Engine!$C$2:$C$1369,0)),"",INDEX('Compliance Database'!$G$2:$G$1369,MATCH(249,Engine!$C$2:$C$1369,0)))</f>
        <v/>
      </c>
      <c r="H262" s="9">
        <f>IF(ISNA(MATCH(249,Engine!$C$2:$C$1369,0)),"",INDEX('Compliance Database'!$H$2:$H$1369,MATCH(249,Engine!$C$2:$C$1369,0)))</f>
        <v/>
      </c>
      <c r="I262" s="9">
        <f>IF(ISNA(MATCH(249,Engine!$C$2:$C$1369,0)),"",INDEX('Compliance Database'!$I$2:$I$1369,MATCH(249,Engine!$C$2:$C$1369,0)))</f>
        <v/>
      </c>
      <c r="J262" s="8">
        <f>IF(ISNA(MATCH(249,Engine!$C$2:$C$1369,0)),"",INDEX('Compliance Database'!$J$2:$J$1369,MATCH(249,Engine!$C$2:$C$1369,0)))</f>
        <v/>
      </c>
      <c r="K262" s="9">
        <f>IF(ISNA(MATCH(249,Engine!$C$2:$C$1369,0)),"",INDEX('Compliance Database'!$K$2:$K$1369,MATCH(249,Engine!$C$2:$C$1369,0)))</f>
        <v/>
      </c>
      <c r="L262" s="9">
        <f>IF(ISNA(MATCH(249,Engine!$C$2:$C$1369,0)),"",INDEX('Compliance Database'!$L$2:$L$1369,MATCH(249,Engine!$C$2:$C$1369,0)))</f>
        <v/>
      </c>
      <c r="M262" s="9">
        <f>IF(ISNA(MATCH(249,Engine!$C$2:$C$1369,0)),"",INDEX('Compliance Database'!$M$2:$M$1369,MATCH(249,Engine!$C$2:$C$1369,0)))</f>
        <v/>
      </c>
      <c r="N262" s="9">
        <f>IF(ISNA(MATCH(249,Engine!$C$2:$C$1369,0)),"",INDEX('Compliance Database'!$N$2:$N$1369,MATCH(249,Engine!$C$2:$C$1369,0)))</f>
        <v/>
      </c>
      <c r="O262" s="8">
        <f>IF(ISNA(MATCH(249,Engine!$C$2:$C$1369,0)),"",HYPERLINK(INDEX('Compliance Database'!$O$2:$O$1369,MATCH(249,Engine!$C$2:$C$1369,0)),"Open PDF"))</f>
        <v/>
      </c>
    </row>
    <row r="263" ht="188" customHeight="1">
      <c r="A263" s="8">
        <f>IF(ISNA(MATCH(250,Engine!$C$2:$C$1369,0)),"",INDEX('Compliance Database'!$A$2:$A$1369,MATCH(250,Engine!$C$2:$C$1369,0)))</f>
        <v/>
      </c>
      <c r="B263" s="8">
        <f>IF(ISNA(MATCH(250,Engine!$C$2:$C$1369,0)),"",INDEX('Compliance Database'!$B$2:$B$1369,MATCH(250,Engine!$C$2:$C$1369,0)))</f>
        <v/>
      </c>
      <c r="C263" s="8">
        <f>IF(ISNA(MATCH(250,Engine!$C$2:$C$1369,0)),"",INDEX('Compliance Database'!$C$2:$C$1369,MATCH(250,Engine!$C$2:$C$1369,0)))</f>
        <v/>
      </c>
      <c r="D263" s="9">
        <f>IF(ISNA(MATCH(250,Engine!$C$2:$C$1369,0)),"",INDEX('Compliance Database'!$D$2:$D$1369,MATCH(250,Engine!$C$2:$C$1369,0)))</f>
        <v/>
      </c>
      <c r="E263" s="8">
        <f>IF(ISNA(MATCH(250,Engine!$C$2:$C$1369,0)),"",INDEX('Compliance Database'!$E$2:$E$1369,MATCH(250,Engine!$C$2:$C$1369,0)))</f>
        <v/>
      </c>
      <c r="F263" s="8">
        <f>IF(ISNA(MATCH(250,Engine!$C$2:$C$1369,0)),"",INDEX('Compliance Database'!$F$2:$F$1369,MATCH(250,Engine!$C$2:$C$1369,0)))</f>
        <v/>
      </c>
      <c r="G263" s="8">
        <f>IF(ISNA(MATCH(250,Engine!$C$2:$C$1369,0)),"",INDEX('Compliance Database'!$G$2:$G$1369,MATCH(250,Engine!$C$2:$C$1369,0)))</f>
        <v/>
      </c>
      <c r="H263" s="9">
        <f>IF(ISNA(MATCH(250,Engine!$C$2:$C$1369,0)),"",INDEX('Compliance Database'!$H$2:$H$1369,MATCH(250,Engine!$C$2:$C$1369,0)))</f>
        <v/>
      </c>
      <c r="I263" s="9">
        <f>IF(ISNA(MATCH(250,Engine!$C$2:$C$1369,0)),"",INDEX('Compliance Database'!$I$2:$I$1369,MATCH(250,Engine!$C$2:$C$1369,0)))</f>
        <v/>
      </c>
      <c r="J263" s="8">
        <f>IF(ISNA(MATCH(250,Engine!$C$2:$C$1369,0)),"",INDEX('Compliance Database'!$J$2:$J$1369,MATCH(250,Engine!$C$2:$C$1369,0)))</f>
        <v/>
      </c>
      <c r="K263" s="9">
        <f>IF(ISNA(MATCH(250,Engine!$C$2:$C$1369,0)),"",INDEX('Compliance Database'!$K$2:$K$1369,MATCH(250,Engine!$C$2:$C$1369,0)))</f>
        <v/>
      </c>
      <c r="L263" s="9">
        <f>IF(ISNA(MATCH(250,Engine!$C$2:$C$1369,0)),"",INDEX('Compliance Database'!$L$2:$L$1369,MATCH(250,Engine!$C$2:$C$1369,0)))</f>
        <v/>
      </c>
      <c r="M263" s="9">
        <f>IF(ISNA(MATCH(250,Engine!$C$2:$C$1369,0)),"",INDEX('Compliance Database'!$M$2:$M$1369,MATCH(250,Engine!$C$2:$C$1369,0)))</f>
        <v/>
      </c>
      <c r="N263" s="9">
        <f>IF(ISNA(MATCH(250,Engine!$C$2:$C$1369,0)),"",INDEX('Compliance Database'!$N$2:$N$1369,MATCH(250,Engine!$C$2:$C$1369,0)))</f>
        <v/>
      </c>
      <c r="O263" s="8">
        <f>IF(ISNA(MATCH(250,Engine!$C$2:$C$1369,0)),"",HYPERLINK(INDEX('Compliance Database'!$O$2:$O$1369,MATCH(250,Engine!$C$2:$C$1369,0)),"Open PDF"))</f>
        <v/>
      </c>
    </row>
    <row r="264" ht="188" customHeight="1">
      <c r="A264" s="8">
        <f>IF(ISNA(MATCH(251,Engine!$C$2:$C$1369,0)),"",INDEX('Compliance Database'!$A$2:$A$1369,MATCH(251,Engine!$C$2:$C$1369,0)))</f>
        <v/>
      </c>
      <c r="B264" s="8">
        <f>IF(ISNA(MATCH(251,Engine!$C$2:$C$1369,0)),"",INDEX('Compliance Database'!$B$2:$B$1369,MATCH(251,Engine!$C$2:$C$1369,0)))</f>
        <v/>
      </c>
      <c r="C264" s="8">
        <f>IF(ISNA(MATCH(251,Engine!$C$2:$C$1369,0)),"",INDEX('Compliance Database'!$C$2:$C$1369,MATCH(251,Engine!$C$2:$C$1369,0)))</f>
        <v/>
      </c>
      <c r="D264" s="9">
        <f>IF(ISNA(MATCH(251,Engine!$C$2:$C$1369,0)),"",INDEX('Compliance Database'!$D$2:$D$1369,MATCH(251,Engine!$C$2:$C$1369,0)))</f>
        <v/>
      </c>
      <c r="E264" s="8">
        <f>IF(ISNA(MATCH(251,Engine!$C$2:$C$1369,0)),"",INDEX('Compliance Database'!$E$2:$E$1369,MATCH(251,Engine!$C$2:$C$1369,0)))</f>
        <v/>
      </c>
      <c r="F264" s="8">
        <f>IF(ISNA(MATCH(251,Engine!$C$2:$C$1369,0)),"",INDEX('Compliance Database'!$F$2:$F$1369,MATCH(251,Engine!$C$2:$C$1369,0)))</f>
        <v/>
      </c>
      <c r="G264" s="8">
        <f>IF(ISNA(MATCH(251,Engine!$C$2:$C$1369,0)),"",INDEX('Compliance Database'!$G$2:$G$1369,MATCH(251,Engine!$C$2:$C$1369,0)))</f>
        <v/>
      </c>
      <c r="H264" s="9">
        <f>IF(ISNA(MATCH(251,Engine!$C$2:$C$1369,0)),"",INDEX('Compliance Database'!$H$2:$H$1369,MATCH(251,Engine!$C$2:$C$1369,0)))</f>
        <v/>
      </c>
      <c r="I264" s="9">
        <f>IF(ISNA(MATCH(251,Engine!$C$2:$C$1369,0)),"",INDEX('Compliance Database'!$I$2:$I$1369,MATCH(251,Engine!$C$2:$C$1369,0)))</f>
        <v/>
      </c>
      <c r="J264" s="8">
        <f>IF(ISNA(MATCH(251,Engine!$C$2:$C$1369,0)),"",INDEX('Compliance Database'!$J$2:$J$1369,MATCH(251,Engine!$C$2:$C$1369,0)))</f>
        <v/>
      </c>
      <c r="K264" s="9">
        <f>IF(ISNA(MATCH(251,Engine!$C$2:$C$1369,0)),"",INDEX('Compliance Database'!$K$2:$K$1369,MATCH(251,Engine!$C$2:$C$1369,0)))</f>
        <v/>
      </c>
      <c r="L264" s="9">
        <f>IF(ISNA(MATCH(251,Engine!$C$2:$C$1369,0)),"",INDEX('Compliance Database'!$L$2:$L$1369,MATCH(251,Engine!$C$2:$C$1369,0)))</f>
        <v/>
      </c>
      <c r="M264" s="9">
        <f>IF(ISNA(MATCH(251,Engine!$C$2:$C$1369,0)),"",INDEX('Compliance Database'!$M$2:$M$1369,MATCH(251,Engine!$C$2:$C$1369,0)))</f>
        <v/>
      </c>
      <c r="N264" s="9">
        <f>IF(ISNA(MATCH(251,Engine!$C$2:$C$1369,0)),"",INDEX('Compliance Database'!$N$2:$N$1369,MATCH(251,Engine!$C$2:$C$1369,0)))</f>
        <v/>
      </c>
      <c r="O264" s="8">
        <f>IF(ISNA(MATCH(251,Engine!$C$2:$C$1369,0)),"",HYPERLINK(INDEX('Compliance Database'!$O$2:$O$1369,MATCH(251,Engine!$C$2:$C$1369,0)),"Open PDF"))</f>
        <v/>
      </c>
    </row>
    <row r="265" ht="188" customHeight="1">
      <c r="A265" s="8">
        <f>IF(ISNA(MATCH(252,Engine!$C$2:$C$1369,0)),"",INDEX('Compliance Database'!$A$2:$A$1369,MATCH(252,Engine!$C$2:$C$1369,0)))</f>
        <v/>
      </c>
      <c r="B265" s="8">
        <f>IF(ISNA(MATCH(252,Engine!$C$2:$C$1369,0)),"",INDEX('Compliance Database'!$B$2:$B$1369,MATCH(252,Engine!$C$2:$C$1369,0)))</f>
        <v/>
      </c>
      <c r="C265" s="8">
        <f>IF(ISNA(MATCH(252,Engine!$C$2:$C$1369,0)),"",INDEX('Compliance Database'!$C$2:$C$1369,MATCH(252,Engine!$C$2:$C$1369,0)))</f>
        <v/>
      </c>
      <c r="D265" s="9">
        <f>IF(ISNA(MATCH(252,Engine!$C$2:$C$1369,0)),"",INDEX('Compliance Database'!$D$2:$D$1369,MATCH(252,Engine!$C$2:$C$1369,0)))</f>
        <v/>
      </c>
      <c r="E265" s="8">
        <f>IF(ISNA(MATCH(252,Engine!$C$2:$C$1369,0)),"",INDEX('Compliance Database'!$E$2:$E$1369,MATCH(252,Engine!$C$2:$C$1369,0)))</f>
        <v/>
      </c>
      <c r="F265" s="8">
        <f>IF(ISNA(MATCH(252,Engine!$C$2:$C$1369,0)),"",INDEX('Compliance Database'!$F$2:$F$1369,MATCH(252,Engine!$C$2:$C$1369,0)))</f>
        <v/>
      </c>
      <c r="G265" s="8">
        <f>IF(ISNA(MATCH(252,Engine!$C$2:$C$1369,0)),"",INDEX('Compliance Database'!$G$2:$G$1369,MATCH(252,Engine!$C$2:$C$1369,0)))</f>
        <v/>
      </c>
      <c r="H265" s="9">
        <f>IF(ISNA(MATCH(252,Engine!$C$2:$C$1369,0)),"",INDEX('Compliance Database'!$H$2:$H$1369,MATCH(252,Engine!$C$2:$C$1369,0)))</f>
        <v/>
      </c>
      <c r="I265" s="9">
        <f>IF(ISNA(MATCH(252,Engine!$C$2:$C$1369,0)),"",INDEX('Compliance Database'!$I$2:$I$1369,MATCH(252,Engine!$C$2:$C$1369,0)))</f>
        <v/>
      </c>
      <c r="J265" s="8">
        <f>IF(ISNA(MATCH(252,Engine!$C$2:$C$1369,0)),"",INDEX('Compliance Database'!$J$2:$J$1369,MATCH(252,Engine!$C$2:$C$1369,0)))</f>
        <v/>
      </c>
      <c r="K265" s="9">
        <f>IF(ISNA(MATCH(252,Engine!$C$2:$C$1369,0)),"",INDEX('Compliance Database'!$K$2:$K$1369,MATCH(252,Engine!$C$2:$C$1369,0)))</f>
        <v/>
      </c>
      <c r="L265" s="9">
        <f>IF(ISNA(MATCH(252,Engine!$C$2:$C$1369,0)),"",INDEX('Compliance Database'!$L$2:$L$1369,MATCH(252,Engine!$C$2:$C$1369,0)))</f>
        <v/>
      </c>
      <c r="M265" s="9">
        <f>IF(ISNA(MATCH(252,Engine!$C$2:$C$1369,0)),"",INDEX('Compliance Database'!$M$2:$M$1369,MATCH(252,Engine!$C$2:$C$1369,0)))</f>
        <v/>
      </c>
      <c r="N265" s="9">
        <f>IF(ISNA(MATCH(252,Engine!$C$2:$C$1369,0)),"",INDEX('Compliance Database'!$N$2:$N$1369,MATCH(252,Engine!$C$2:$C$1369,0)))</f>
        <v/>
      </c>
      <c r="O265" s="8">
        <f>IF(ISNA(MATCH(252,Engine!$C$2:$C$1369,0)),"",HYPERLINK(INDEX('Compliance Database'!$O$2:$O$1369,MATCH(252,Engine!$C$2:$C$1369,0)),"Open PDF"))</f>
        <v/>
      </c>
    </row>
    <row r="266" ht="188" customHeight="1">
      <c r="A266" s="8">
        <f>IF(ISNA(MATCH(253,Engine!$C$2:$C$1369,0)),"",INDEX('Compliance Database'!$A$2:$A$1369,MATCH(253,Engine!$C$2:$C$1369,0)))</f>
        <v/>
      </c>
      <c r="B266" s="8">
        <f>IF(ISNA(MATCH(253,Engine!$C$2:$C$1369,0)),"",INDEX('Compliance Database'!$B$2:$B$1369,MATCH(253,Engine!$C$2:$C$1369,0)))</f>
        <v/>
      </c>
      <c r="C266" s="8">
        <f>IF(ISNA(MATCH(253,Engine!$C$2:$C$1369,0)),"",INDEX('Compliance Database'!$C$2:$C$1369,MATCH(253,Engine!$C$2:$C$1369,0)))</f>
        <v/>
      </c>
      <c r="D266" s="9">
        <f>IF(ISNA(MATCH(253,Engine!$C$2:$C$1369,0)),"",INDEX('Compliance Database'!$D$2:$D$1369,MATCH(253,Engine!$C$2:$C$1369,0)))</f>
        <v/>
      </c>
      <c r="E266" s="8">
        <f>IF(ISNA(MATCH(253,Engine!$C$2:$C$1369,0)),"",INDEX('Compliance Database'!$E$2:$E$1369,MATCH(253,Engine!$C$2:$C$1369,0)))</f>
        <v/>
      </c>
      <c r="F266" s="8">
        <f>IF(ISNA(MATCH(253,Engine!$C$2:$C$1369,0)),"",INDEX('Compliance Database'!$F$2:$F$1369,MATCH(253,Engine!$C$2:$C$1369,0)))</f>
        <v/>
      </c>
      <c r="G266" s="8">
        <f>IF(ISNA(MATCH(253,Engine!$C$2:$C$1369,0)),"",INDEX('Compliance Database'!$G$2:$G$1369,MATCH(253,Engine!$C$2:$C$1369,0)))</f>
        <v/>
      </c>
      <c r="H266" s="9">
        <f>IF(ISNA(MATCH(253,Engine!$C$2:$C$1369,0)),"",INDEX('Compliance Database'!$H$2:$H$1369,MATCH(253,Engine!$C$2:$C$1369,0)))</f>
        <v/>
      </c>
      <c r="I266" s="9">
        <f>IF(ISNA(MATCH(253,Engine!$C$2:$C$1369,0)),"",INDEX('Compliance Database'!$I$2:$I$1369,MATCH(253,Engine!$C$2:$C$1369,0)))</f>
        <v/>
      </c>
      <c r="J266" s="8">
        <f>IF(ISNA(MATCH(253,Engine!$C$2:$C$1369,0)),"",INDEX('Compliance Database'!$J$2:$J$1369,MATCH(253,Engine!$C$2:$C$1369,0)))</f>
        <v/>
      </c>
      <c r="K266" s="9">
        <f>IF(ISNA(MATCH(253,Engine!$C$2:$C$1369,0)),"",INDEX('Compliance Database'!$K$2:$K$1369,MATCH(253,Engine!$C$2:$C$1369,0)))</f>
        <v/>
      </c>
      <c r="L266" s="9">
        <f>IF(ISNA(MATCH(253,Engine!$C$2:$C$1369,0)),"",INDEX('Compliance Database'!$L$2:$L$1369,MATCH(253,Engine!$C$2:$C$1369,0)))</f>
        <v/>
      </c>
      <c r="M266" s="9">
        <f>IF(ISNA(MATCH(253,Engine!$C$2:$C$1369,0)),"",INDEX('Compliance Database'!$M$2:$M$1369,MATCH(253,Engine!$C$2:$C$1369,0)))</f>
        <v/>
      </c>
      <c r="N266" s="9">
        <f>IF(ISNA(MATCH(253,Engine!$C$2:$C$1369,0)),"",INDEX('Compliance Database'!$N$2:$N$1369,MATCH(253,Engine!$C$2:$C$1369,0)))</f>
        <v/>
      </c>
      <c r="O266" s="8">
        <f>IF(ISNA(MATCH(253,Engine!$C$2:$C$1369,0)),"",HYPERLINK(INDEX('Compliance Database'!$O$2:$O$1369,MATCH(253,Engine!$C$2:$C$1369,0)),"Open PDF"))</f>
        <v/>
      </c>
    </row>
    <row r="267" ht="188" customHeight="1">
      <c r="A267" s="8">
        <f>IF(ISNA(MATCH(254,Engine!$C$2:$C$1369,0)),"",INDEX('Compliance Database'!$A$2:$A$1369,MATCH(254,Engine!$C$2:$C$1369,0)))</f>
        <v/>
      </c>
      <c r="B267" s="8">
        <f>IF(ISNA(MATCH(254,Engine!$C$2:$C$1369,0)),"",INDEX('Compliance Database'!$B$2:$B$1369,MATCH(254,Engine!$C$2:$C$1369,0)))</f>
        <v/>
      </c>
      <c r="C267" s="8">
        <f>IF(ISNA(MATCH(254,Engine!$C$2:$C$1369,0)),"",INDEX('Compliance Database'!$C$2:$C$1369,MATCH(254,Engine!$C$2:$C$1369,0)))</f>
        <v/>
      </c>
      <c r="D267" s="9">
        <f>IF(ISNA(MATCH(254,Engine!$C$2:$C$1369,0)),"",INDEX('Compliance Database'!$D$2:$D$1369,MATCH(254,Engine!$C$2:$C$1369,0)))</f>
        <v/>
      </c>
      <c r="E267" s="8">
        <f>IF(ISNA(MATCH(254,Engine!$C$2:$C$1369,0)),"",INDEX('Compliance Database'!$E$2:$E$1369,MATCH(254,Engine!$C$2:$C$1369,0)))</f>
        <v/>
      </c>
      <c r="F267" s="8">
        <f>IF(ISNA(MATCH(254,Engine!$C$2:$C$1369,0)),"",INDEX('Compliance Database'!$F$2:$F$1369,MATCH(254,Engine!$C$2:$C$1369,0)))</f>
        <v/>
      </c>
      <c r="G267" s="8">
        <f>IF(ISNA(MATCH(254,Engine!$C$2:$C$1369,0)),"",INDEX('Compliance Database'!$G$2:$G$1369,MATCH(254,Engine!$C$2:$C$1369,0)))</f>
        <v/>
      </c>
      <c r="H267" s="9">
        <f>IF(ISNA(MATCH(254,Engine!$C$2:$C$1369,0)),"",INDEX('Compliance Database'!$H$2:$H$1369,MATCH(254,Engine!$C$2:$C$1369,0)))</f>
        <v/>
      </c>
      <c r="I267" s="9">
        <f>IF(ISNA(MATCH(254,Engine!$C$2:$C$1369,0)),"",INDEX('Compliance Database'!$I$2:$I$1369,MATCH(254,Engine!$C$2:$C$1369,0)))</f>
        <v/>
      </c>
      <c r="J267" s="8">
        <f>IF(ISNA(MATCH(254,Engine!$C$2:$C$1369,0)),"",INDEX('Compliance Database'!$J$2:$J$1369,MATCH(254,Engine!$C$2:$C$1369,0)))</f>
        <v/>
      </c>
      <c r="K267" s="9">
        <f>IF(ISNA(MATCH(254,Engine!$C$2:$C$1369,0)),"",INDEX('Compliance Database'!$K$2:$K$1369,MATCH(254,Engine!$C$2:$C$1369,0)))</f>
        <v/>
      </c>
      <c r="L267" s="9">
        <f>IF(ISNA(MATCH(254,Engine!$C$2:$C$1369,0)),"",INDEX('Compliance Database'!$L$2:$L$1369,MATCH(254,Engine!$C$2:$C$1369,0)))</f>
        <v/>
      </c>
      <c r="M267" s="9">
        <f>IF(ISNA(MATCH(254,Engine!$C$2:$C$1369,0)),"",INDEX('Compliance Database'!$M$2:$M$1369,MATCH(254,Engine!$C$2:$C$1369,0)))</f>
        <v/>
      </c>
      <c r="N267" s="9">
        <f>IF(ISNA(MATCH(254,Engine!$C$2:$C$1369,0)),"",INDEX('Compliance Database'!$N$2:$N$1369,MATCH(254,Engine!$C$2:$C$1369,0)))</f>
        <v/>
      </c>
      <c r="O267" s="8">
        <f>IF(ISNA(MATCH(254,Engine!$C$2:$C$1369,0)),"",HYPERLINK(INDEX('Compliance Database'!$O$2:$O$1369,MATCH(254,Engine!$C$2:$C$1369,0)),"Open PDF"))</f>
        <v/>
      </c>
    </row>
    <row r="268" ht="188" customHeight="1">
      <c r="A268" s="8">
        <f>IF(ISNA(MATCH(255,Engine!$C$2:$C$1369,0)),"",INDEX('Compliance Database'!$A$2:$A$1369,MATCH(255,Engine!$C$2:$C$1369,0)))</f>
        <v/>
      </c>
      <c r="B268" s="8">
        <f>IF(ISNA(MATCH(255,Engine!$C$2:$C$1369,0)),"",INDEX('Compliance Database'!$B$2:$B$1369,MATCH(255,Engine!$C$2:$C$1369,0)))</f>
        <v/>
      </c>
      <c r="C268" s="8">
        <f>IF(ISNA(MATCH(255,Engine!$C$2:$C$1369,0)),"",INDEX('Compliance Database'!$C$2:$C$1369,MATCH(255,Engine!$C$2:$C$1369,0)))</f>
        <v/>
      </c>
      <c r="D268" s="9">
        <f>IF(ISNA(MATCH(255,Engine!$C$2:$C$1369,0)),"",INDEX('Compliance Database'!$D$2:$D$1369,MATCH(255,Engine!$C$2:$C$1369,0)))</f>
        <v/>
      </c>
      <c r="E268" s="8">
        <f>IF(ISNA(MATCH(255,Engine!$C$2:$C$1369,0)),"",INDEX('Compliance Database'!$E$2:$E$1369,MATCH(255,Engine!$C$2:$C$1369,0)))</f>
        <v/>
      </c>
      <c r="F268" s="8">
        <f>IF(ISNA(MATCH(255,Engine!$C$2:$C$1369,0)),"",INDEX('Compliance Database'!$F$2:$F$1369,MATCH(255,Engine!$C$2:$C$1369,0)))</f>
        <v/>
      </c>
      <c r="G268" s="8">
        <f>IF(ISNA(MATCH(255,Engine!$C$2:$C$1369,0)),"",INDEX('Compliance Database'!$G$2:$G$1369,MATCH(255,Engine!$C$2:$C$1369,0)))</f>
        <v/>
      </c>
      <c r="H268" s="9">
        <f>IF(ISNA(MATCH(255,Engine!$C$2:$C$1369,0)),"",INDEX('Compliance Database'!$H$2:$H$1369,MATCH(255,Engine!$C$2:$C$1369,0)))</f>
        <v/>
      </c>
      <c r="I268" s="9">
        <f>IF(ISNA(MATCH(255,Engine!$C$2:$C$1369,0)),"",INDEX('Compliance Database'!$I$2:$I$1369,MATCH(255,Engine!$C$2:$C$1369,0)))</f>
        <v/>
      </c>
      <c r="J268" s="8">
        <f>IF(ISNA(MATCH(255,Engine!$C$2:$C$1369,0)),"",INDEX('Compliance Database'!$J$2:$J$1369,MATCH(255,Engine!$C$2:$C$1369,0)))</f>
        <v/>
      </c>
      <c r="K268" s="9">
        <f>IF(ISNA(MATCH(255,Engine!$C$2:$C$1369,0)),"",INDEX('Compliance Database'!$K$2:$K$1369,MATCH(255,Engine!$C$2:$C$1369,0)))</f>
        <v/>
      </c>
      <c r="L268" s="9">
        <f>IF(ISNA(MATCH(255,Engine!$C$2:$C$1369,0)),"",INDEX('Compliance Database'!$L$2:$L$1369,MATCH(255,Engine!$C$2:$C$1369,0)))</f>
        <v/>
      </c>
      <c r="M268" s="9">
        <f>IF(ISNA(MATCH(255,Engine!$C$2:$C$1369,0)),"",INDEX('Compliance Database'!$M$2:$M$1369,MATCH(255,Engine!$C$2:$C$1369,0)))</f>
        <v/>
      </c>
      <c r="N268" s="9">
        <f>IF(ISNA(MATCH(255,Engine!$C$2:$C$1369,0)),"",INDEX('Compliance Database'!$N$2:$N$1369,MATCH(255,Engine!$C$2:$C$1369,0)))</f>
        <v/>
      </c>
      <c r="O268" s="8">
        <f>IF(ISNA(MATCH(255,Engine!$C$2:$C$1369,0)),"",HYPERLINK(INDEX('Compliance Database'!$O$2:$O$1369,MATCH(255,Engine!$C$2:$C$1369,0)),"Open PDF"))</f>
        <v/>
      </c>
    </row>
    <row r="269" ht="188" customHeight="1">
      <c r="A269" s="8">
        <f>IF(ISNA(MATCH(256,Engine!$C$2:$C$1369,0)),"",INDEX('Compliance Database'!$A$2:$A$1369,MATCH(256,Engine!$C$2:$C$1369,0)))</f>
        <v/>
      </c>
      <c r="B269" s="8">
        <f>IF(ISNA(MATCH(256,Engine!$C$2:$C$1369,0)),"",INDEX('Compliance Database'!$B$2:$B$1369,MATCH(256,Engine!$C$2:$C$1369,0)))</f>
        <v/>
      </c>
      <c r="C269" s="8">
        <f>IF(ISNA(MATCH(256,Engine!$C$2:$C$1369,0)),"",INDEX('Compliance Database'!$C$2:$C$1369,MATCH(256,Engine!$C$2:$C$1369,0)))</f>
        <v/>
      </c>
      <c r="D269" s="9">
        <f>IF(ISNA(MATCH(256,Engine!$C$2:$C$1369,0)),"",INDEX('Compliance Database'!$D$2:$D$1369,MATCH(256,Engine!$C$2:$C$1369,0)))</f>
        <v/>
      </c>
      <c r="E269" s="8">
        <f>IF(ISNA(MATCH(256,Engine!$C$2:$C$1369,0)),"",INDEX('Compliance Database'!$E$2:$E$1369,MATCH(256,Engine!$C$2:$C$1369,0)))</f>
        <v/>
      </c>
      <c r="F269" s="8">
        <f>IF(ISNA(MATCH(256,Engine!$C$2:$C$1369,0)),"",INDEX('Compliance Database'!$F$2:$F$1369,MATCH(256,Engine!$C$2:$C$1369,0)))</f>
        <v/>
      </c>
      <c r="G269" s="8">
        <f>IF(ISNA(MATCH(256,Engine!$C$2:$C$1369,0)),"",INDEX('Compliance Database'!$G$2:$G$1369,MATCH(256,Engine!$C$2:$C$1369,0)))</f>
        <v/>
      </c>
      <c r="H269" s="9">
        <f>IF(ISNA(MATCH(256,Engine!$C$2:$C$1369,0)),"",INDEX('Compliance Database'!$H$2:$H$1369,MATCH(256,Engine!$C$2:$C$1369,0)))</f>
        <v/>
      </c>
      <c r="I269" s="9">
        <f>IF(ISNA(MATCH(256,Engine!$C$2:$C$1369,0)),"",INDEX('Compliance Database'!$I$2:$I$1369,MATCH(256,Engine!$C$2:$C$1369,0)))</f>
        <v/>
      </c>
      <c r="J269" s="8">
        <f>IF(ISNA(MATCH(256,Engine!$C$2:$C$1369,0)),"",INDEX('Compliance Database'!$J$2:$J$1369,MATCH(256,Engine!$C$2:$C$1369,0)))</f>
        <v/>
      </c>
      <c r="K269" s="9">
        <f>IF(ISNA(MATCH(256,Engine!$C$2:$C$1369,0)),"",INDEX('Compliance Database'!$K$2:$K$1369,MATCH(256,Engine!$C$2:$C$1369,0)))</f>
        <v/>
      </c>
      <c r="L269" s="9">
        <f>IF(ISNA(MATCH(256,Engine!$C$2:$C$1369,0)),"",INDEX('Compliance Database'!$L$2:$L$1369,MATCH(256,Engine!$C$2:$C$1369,0)))</f>
        <v/>
      </c>
      <c r="M269" s="9">
        <f>IF(ISNA(MATCH(256,Engine!$C$2:$C$1369,0)),"",INDEX('Compliance Database'!$M$2:$M$1369,MATCH(256,Engine!$C$2:$C$1369,0)))</f>
        <v/>
      </c>
      <c r="N269" s="9">
        <f>IF(ISNA(MATCH(256,Engine!$C$2:$C$1369,0)),"",INDEX('Compliance Database'!$N$2:$N$1369,MATCH(256,Engine!$C$2:$C$1369,0)))</f>
        <v/>
      </c>
      <c r="O269" s="8">
        <f>IF(ISNA(MATCH(256,Engine!$C$2:$C$1369,0)),"",HYPERLINK(INDEX('Compliance Database'!$O$2:$O$1369,MATCH(256,Engine!$C$2:$C$1369,0)),"Open PDF"))</f>
        <v/>
      </c>
    </row>
    <row r="270" ht="188" customHeight="1">
      <c r="A270" s="8">
        <f>IF(ISNA(MATCH(257,Engine!$C$2:$C$1369,0)),"",INDEX('Compliance Database'!$A$2:$A$1369,MATCH(257,Engine!$C$2:$C$1369,0)))</f>
        <v/>
      </c>
      <c r="B270" s="8">
        <f>IF(ISNA(MATCH(257,Engine!$C$2:$C$1369,0)),"",INDEX('Compliance Database'!$B$2:$B$1369,MATCH(257,Engine!$C$2:$C$1369,0)))</f>
        <v/>
      </c>
      <c r="C270" s="8">
        <f>IF(ISNA(MATCH(257,Engine!$C$2:$C$1369,0)),"",INDEX('Compliance Database'!$C$2:$C$1369,MATCH(257,Engine!$C$2:$C$1369,0)))</f>
        <v/>
      </c>
      <c r="D270" s="9">
        <f>IF(ISNA(MATCH(257,Engine!$C$2:$C$1369,0)),"",INDEX('Compliance Database'!$D$2:$D$1369,MATCH(257,Engine!$C$2:$C$1369,0)))</f>
        <v/>
      </c>
      <c r="E270" s="8">
        <f>IF(ISNA(MATCH(257,Engine!$C$2:$C$1369,0)),"",INDEX('Compliance Database'!$E$2:$E$1369,MATCH(257,Engine!$C$2:$C$1369,0)))</f>
        <v/>
      </c>
      <c r="F270" s="8">
        <f>IF(ISNA(MATCH(257,Engine!$C$2:$C$1369,0)),"",INDEX('Compliance Database'!$F$2:$F$1369,MATCH(257,Engine!$C$2:$C$1369,0)))</f>
        <v/>
      </c>
      <c r="G270" s="8">
        <f>IF(ISNA(MATCH(257,Engine!$C$2:$C$1369,0)),"",INDEX('Compliance Database'!$G$2:$G$1369,MATCH(257,Engine!$C$2:$C$1369,0)))</f>
        <v/>
      </c>
      <c r="H270" s="9">
        <f>IF(ISNA(MATCH(257,Engine!$C$2:$C$1369,0)),"",INDEX('Compliance Database'!$H$2:$H$1369,MATCH(257,Engine!$C$2:$C$1369,0)))</f>
        <v/>
      </c>
      <c r="I270" s="9">
        <f>IF(ISNA(MATCH(257,Engine!$C$2:$C$1369,0)),"",INDEX('Compliance Database'!$I$2:$I$1369,MATCH(257,Engine!$C$2:$C$1369,0)))</f>
        <v/>
      </c>
      <c r="J270" s="8">
        <f>IF(ISNA(MATCH(257,Engine!$C$2:$C$1369,0)),"",INDEX('Compliance Database'!$J$2:$J$1369,MATCH(257,Engine!$C$2:$C$1369,0)))</f>
        <v/>
      </c>
      <c r="K270" s="9">
        <f>IF(ISNA(MATCH(257,Engine!$C$2:$C$1369,0)),"",INDEX('Compliance Database'!$K$2:$K$1369,MATCH(257,Engine!$C$2:$C$1369,0)))</f>
        <v/>
      </c>
      <c r="L270" s="9">
        <f>IF(ISNA(MATCH(257,Engine!$C$2:$C$1369,0)),"",INDEX('Compliance Database'!$L$2:$L$1369,MATCH(257,Engine!$C$2:$C$1369,0)))</f>
        <v/>
      </c>
      <c r="M270" s="9">
        <f>IF(ISNA(MATCH(257,Engine!$C$2:$C$1369,0)),"",INDEX('Compliance Database'!$M$2:$M$1369,MATCH(257,Engine!$C$2:$C$1369,0)))</f>
        <v/>
      </c>
      <c r="N270" s="9">
        <f>IF(ISNA(MATCH(257,Engine!$C$2:$C$1369,0)),"",INDEX('Compliance Database'!$N$2:$N$1369,MATCH(257,Engine!$C$2:$C$1369,0)))</f>
        <v/>
      </c>
      <c r="O270" s="8">
        <f>IF(ISNA(MATCH(257,Engine!$C$2:$C$1369,0)),"",HYPERLINK(INDEX('Compliance Database'!$O$2:$O$1369,MATCH(257,Engine!$C$2:$C$1369,0)),"Open PDF"))</f>
        <v/>
      </c>
    </row>
    <row r="271" ht="188" customHeight="1">
      <c r="A271" s="8">
        <f>IF(ISNA(MATCH(258,Engine!$C$2:$C$1369,0)),"",INDEX('Compliance Database'!$A$2:$A$1369,MATCH(258,Engine!$C$2:$C$1369,0)))</f>
        <v/>
      </c>
      <c r="B271" s="8">
        <f>IF(ISNA(MATCH(258,Engine!$C$2:$C$1369,0)),"",INDEX('Compliance Database'!$B$2:$B$1369,MATCH(258,Engine!$C$2:$C$1369,0)))</f>
        <v/>
      </c>
      <c r="C271" s="8">
        <f>IF(ISNA(MATCH(258,Engine!$C$2:$C$1369,0)),"",INDEX('Compliance Database'!$C$2:$C$1369,MATCH(258,Engine!$C$2:$C$1369,0)))</f>
        <v/>
      </c>
      <c r="D271" s="9">
        <f>IF(ISNA(MATCH(258,Engine!$C$2:$C$1369,0)),"",INDEX('Compliance Database'!$D$2:$D$1369,MATCH(258,Engine!$C$2:$C$1369,0)))</f>
        <v/>
      </c>
      <c r="E271" s="8">
        <f>IF(ISNA(MATCH(258,Engine!$C$2:$C$1369,0)),"",INDEX('Compliance Database'!$E$2:$E$1369,MATCH(258,Engine!$C$2:$C$1369,0)))</f>
        <v/>
      </c>
      <c r="F271" s="8">
        <f>IF(ISNA(MATCH(258,Engine!$C$2:$C$1369,0)),"",INDEX('Compliance Database'!$F$2:$F$1369,MATCH(258,Engine!$C$2:$C$1369,0)))</f>
        <v/>
      </c>
      <c r="G271" s="8">
        <f>IF(ISNA(MATCH(258,Engine!$C$2:$C$1369,0)),"",INDEX('Compliance Database'!$G$2:$G$1369,MATCH(258,Engine!$C$2:$C$1369,0)))</f>
        <v/>
      </c>
      <c r="H271" s="9">
        <f>IF(ISNA(MATCH(258,Engine!$C$2:$C$1369,0)),"",INDEX('Compliance Database'!$H$2:$H$1369,MATCH(258,Engine!$C$2:$C$1369,0)))</f>
        <v/>
      </c>
      <c r="I271" s="9">
        <f>IF(ISNA(MATCH(258,Engine!$C$2:$C$1369,0)),"",INDEX('Compliance Database'!$I$2:$I$1369,MATCH(258,Engine!$C$2:$C$1369,0)))</f>
        <v/>
      </c>
      <c r="J271" s="8">
        <f>IF(ISNA(MATCH(258,Engine!$C$2:$C$1369,0)),"",INDEX('Compliance Database'!$J$2:$J$1369,MATCH(258,Engine!$C$2:$C$1369,0)))</f>
        <v/>
      </c>
      <c r="K271" s="9">
        <f>IF(ISNA(MATCH(258,Engine!$C$2:$C$1369,0)),"",INDEX('Compliance Database'!$K$2:$K$1369,MATCH(258,Engine!$C$2:$C$1369,0)))</f>
        <v/>
      </c>
      <c r="L271" s="9">
        <f>IF(ISNA(MATCH(258,Engine!$C$2:$C$1369,0)),"",INDEX('Compliance Database'!$L$2:$L$1369,MATCH(258,Engine!$C$2:$C$1369,0)))</f>
        <v/>
      </c>
      <c r="M271" s="9">
        <f>IF(ISNA(MATCH(258,Engine!$C$2:$C$1369,0)),"",INDEX('Compliance Database'!$M$2:$M$1369,MATCH(258,Engine!$C$2:$C$1369,0)))</f>
        <v/>
      </c>
      <c r="N271" s="9">
        <f>IF(ISNA(MATCH(258,Engine!$C$2:$C$1369,0)),"",INDEX('Compliance Database'!$N$2:$N$1369,MATCH(258,Engine!$C$2:$C$1369,0)))</f>
        <v/>
      </c>
      <c r="O271" s="8">
        <f>IF(ISNA(MATCH(258,Engine!$C$2:$C$1369,0)),"",HYPERLINK(INDEX('Compliance Database'!$O$2:$O$1369,MATCH(258,Engine!$C$2:$C$1369,0)),"Open PDF"))</f>
        <v/>
      </c>
    </row>
    <row r="272" ht="188" customHeight="1">
      <c r="A272" s="8">
        <f>IF(ISNA(MATCH(259,Engine!$C$2:$C$1369,0)),"",INDEX('Compliance Database'!$A$2:$A$1369,MATCH(259,Engine!$C$2:$C$1369,0)))</f>
        <v/>
      </c>
      <c r="B272" s="8">
        <f>IF(ISNA(MATCH(259,Engine!$C$2:$C$1369,0)),"",INDEX('Compliance Database'!$B$2:$B$1369,MATCH(259,Engine!$C$2:$C$1369,0)))</f>
        <v/>
      </c>
      <c r="C272" s="8">
        <f>IF(ISNA(MATCH(259,Engine!$C$2:$C$1369,0)),"",INDEX('Compliance Database'!$C$2:$C$1369,MATCH(259,Engine!$C$2:$C$1369,0)))</f>
        <v/>
      </c>
      <c r="D272" s="9">
        <f>IF(ISNA(MATCH(259,Engine!$C$2:$C$1369,0)),"",INDEX('Compliance Database'!$D$2:$D$1369,MATCH(259,Engine!$C$2:$C$1369,0)))</f>
        <v/>
      </c>
      <c r="E272" s="8">
        <f>IF(ISNA(MATCH(259,Engine!$C$2:$C$1369,0)),"",INDEX('Compliance Database'!$E$2:$E$1369,MATCH(259,Engine!$C$2:$C$1369,0)))</f>
        <v/>
      </c>
      <c r="F272" s="8">
        <f>IF(ISNA(MATCH(259,Engine!$C$2:$C$1369,0)),"",INDEX('Compliance Database'!$F$2:$F$1369,MATCH(259,Engine!$C$2:$C$1369,0)))</f>
        <v/>
      </c>
      <c r="G272" s="8">
        <f>IF(ISNA(MATCH(259,Engine!$C$2:$C$1369,0)),"",INDEX('Compliance Database'!$G$2:$G$1369,MATCH(259,Engine!$C$2:$C$1369,0)))</f>
        <v/>
      </c>
      <c r="H272" s="9">
        <f>IF(ISNA(MATCH(259,Engine!$C$2:$C$1369,0)),"",INDEX('Compliance Database'!$H$2:$H$1369,MATCH(259,Engine!$C$2:$C$1369,0)))</f>
        <v/>
      </c>
      <c r="I272" s="9">
        <f>IF(ISNA(MATCH(259,Engine!$C$2:$C$1369,0)),"",INDEX('Compliance Database'!$I$2:$I$1369,MATCH(259,Engine!$C$2:$C$1369,0)))</f>
        <v/>
      </c>
      <c r="J272" s="8">
        <f>IF(ISNA(MATCH(259,Engine!$C$2:$C$1369,0)),"",INDEX('Compliance Database'!$J$2:$J$1369,MATCH(259,Engine!$C$2:$C$1369,0)))</f>
        <v/>
      </c>
      <c r="K272" s="9">
        <f>IF(ISNA(MATCH(259,Engine!$C$2:$C$1369,0)),"",INDEX('Compliance Database'!$K$2:$K$1369,MATCH(259,Engine!$C$2:$C$1369,0)))</f>
        <v/>
      </c>
      <c r="L272" s="9">
        <f>IF(ISNA(MATCH(259,Engine!$C$2:$C$1369,0)),"",INDEX('Compliance Database'!$L$2:$L$1369,MATCH(259,Engine!$C$2:$C$1369,0)))</f>
        <v/>
      </c>
      <c r="M272" s="9">
        <f>IF(ISNA(MATCH(259,Engine!$C$2:$C$1369,0)),"",INDEX('Compliance Database'!$M$2:$M$1369,MATCH(259,Engine!$C$2:$C$1369,0)))</f>
        <v/>
      </c>
      <c r="N272" s="9">
        <f>IF(ISNA(MATCH(259,Engine!$C$2:$C$1369,0)),"",INDEX('Compliance Database'!$N$2:$N$1369,MATCH(259,Engine!$C$2:$C$1369,0)))</f>
        <v/>
      </c>
      <c r="O272" s="8">
        <f>IF(ISNA(MATCH(259,Engine!$C$2:$C$1369,0)),"",HYPERLINK(INDEX('Compliance Database'!$O$2:$O$1369,MATCH(259,Engine!$C$2:$C$1369,0)),"Open PDF"))</f>
        <v/>
      </c>
    </row>
    <row r="273" ht="188" customHeight="1">
      <c r="A273" s="8">
        <f>IF(ISNA(MATCH(260,Engine!$C$2:$C$1369,0)),"",INDEX('Compliance Database'!$A$2:$A$1369,MATCH(260,Engine!$C$2:$C$1369,0)))</f>
        <v/>
      </c>
      <c r="B273" s="8">
        <f>IF(ISNA(MATCH(260,Engine!$C$2:$C$1369,0)),"",INDEX('Compliance Database'!$B$2:$B$1369,MATCH(260,Engine!$C$2:$C$1369,0)))</f>
        <v/>
      </c>
      <c r="C273" s="8">
        <f>IF(ISNA(MATCH(260,Engine!$C$2:$C$1369,0)),"",INDEX('Compliance Database'!$C$2:$C$1369,MATCH(260,Engine!$C$2:$C$1369,0)))</f>
        <v/>
      </c>
      <c r="D273" s="9">
        <f>IF(ISNA(MATCH(260,Engine!$C$2:$C$1369,0)),"",INDEX('Compliance Database'!$D$2:$D$1369,MATCH(260,Engine!$C$2:$C$1369,0)))</f>
        <v/>
      </c>
      <c r="E273" s="8">
        <f>IF(ISNA(MATCH(260,Engine!$C$2:$C$1369,0)),"",INDEX('Compliance Database'!$E$2:$E$1369,MATCH(260,Engine!$C$2:$C$1369,0)))</f>
        <v/>
      </c>
      <c r="F273" s="8">
        <f>IF(ISNA(MATCH(260,Engine!$C$2:$C$1369,0)),"",INDEX('Compliance Database'!$F$2:$F$1369,MATCH(260,Engine!$C$2:$C$1369,0)))</f>
        <v/>
      </c>
      <c r="G273" s="8">
        <f>IF(ISNA(MATCH(260,Engine!$C$2:$C$1369,0)),"",INDEX('Compliance Database'!$G$2:$G$1369,MATCH(260,Engine!$C$2:$C$1369,0)))</f>
        <v/>
      </c>
      <c r="H273" s="9">
        <f>IF(ISNA(MATCH(260,Engine!$C$2:$C$1369,0)),"",INDEX('Compliance Database'!$H$2:$H$1369,MATCH(260,Engine!$C$2:$C$1369,0)))</f>
        <v/>
      </c>
      <c r="I273" s="9">
        <f>IF(ISNA(MATCH(260,Engine!$C$2:$C$1369,0)),"",INDEX('Compliance Database'!$I$2:$I$1369,MATCH(260,Engine!$C$2:$C$1369,0)))</f>
        <v/>
      </c>
      <c r="J273" s="8">
        <f>IF(ISNA(MATCH(260,Engine!$C$2:$C$1369,0)),"",INDEX('Compliance Database'!$J$2:$J$1369,MATCH(260,Engine!$C$2:$C$1369,0)))</f>
        <v/>
      </c>
      <c r="K273" s="9">
        <f>IF(ISNA(MATCH(260,Engine!$C$2:$C$1369,0)),"",INDEX('Compliance Database'!$K$2:$K$1369,MATCH(260,Engine!$C$2:$C$1369,0)))</f>
        <v/>
      </c>
      <c r="L273" s="9">
        <f>IF(ISNA(MATCH(260,Engine!$C$2:$C$1369,0)),"",INDEX('Compliance Database'!$L$2:$L$1369,MATCH(260,Engine!$C$2:$C$1369,0)))</f>
        <v/>
      </c>
      <c r="M273" s="9">
        <f>IF(ISNA(MATCH(260,Engine!$C$2:$C$1369,0)),"",INDEX('Compliance Database'!$M$2:$M$1369,MATCH(260,Engine!$C$2:$C$1369,0)))</f>
        <v/>
      </c>
      <c r="N273" s="9">
        <f>IF(ISNA(MATCH(260,Engine!$C$2:$C$1369,0)),"",INDEX('Compliance Database'!$N$2:$N$1369,MATCH(260,Engine!$C$2:$C$1369,0)))</f>
        <v/>
      </c>
      <c r="O273" s="8">
        <f>IF(ISNA(MATCH(260,Engine!$C$2:$C$1369,0)),"",HYPERLINK(INDEX('Compliance Database'!$O$2:$O$1369,MATCH(260,Engine!$C$2:$C$1369,0)),"Open PDF"))</f>
        <v/>
      </c>
    </row>
    <row r="274" ht="188" customHeight="1">
      <c r="A274" s="8">
        <f>IF(ISNA(MATCH(261,Engine!$C$2:$C$1369,0)),"",INDEX('Compliance Database'!$A$2:$A$1369,MATCH(261,Engine!$C$2:$C$1369,0)))</f>
        <v/>
      </c>
      <c r="B274" s="8">
        <f>IF(ISNA(MATCH(261,Engine!$C$2:$C$1369,0)),"",INDEX('Compliance Database'!$B$2:$B$1369,MATCH(261,Engine!$C$2:$C$1369,0)))</f>
        <v/>
      </c>
      <c r="C274" s="8">
        <f>IF(ISNA(MATCH(261,Engine!$C$2:$C$1369,0)),"",INDEX('Compliance Database'!$C$2:$C$1369,MATCH(261,Engine!$C$2:$C$1369,0)))</f>
        <v/>
      </c>
      <c r="D274" s="9">
        <f>IF(ISNA(MATCH(261,Engine!$C$2:$C$1369,0)),"",INDEX('Compliance Database'!$D$2:$D$1369,MATCH(261,Engine!$C$2:$C$1369,0)))</f>
        <v/>
      </c>
      <c r="E274" s="8">
        <f>IF(ISNA(MATCH(261,Engine!$C$2:$C$1369,0)),"",INDEX('Compliance Database'!$E$2:$E$1369,MATCH(261,Engine!$C$2:$C$1369,0)))</f>
        <v/>
      </c>
      <c r="F274" s="8">
        <f>IF(ISNA(MATCH(261,Engine!$C$2:$C$1369,0)),"",INDEX('Compliance Database'!$F$2:$F$1369,MATCH(261,Engine!$C$2:$C$1369,0)))</f>
        <v/>
      </c>
      <c r="G274" s="8">
        <f>IF(ISNA(MATCH(261,Engine!$C$2:$C$1369,0)),"",INDEX('Compliance Database'!$G$2:$G$1369,MATCH(261,Engine!$C$2:$C$1369,0)))</f>
        <v/>
      </c>
      <c r="H274" s="9">
        <f>IF(ISNA(MATCH(261,Engine!$C$2:$C$1369,0)),"",INDEX('Compliance Database'!$H$2:$H$1369,MATCH(261,Engine!$C$2:$C$1369,0)))</f>
        <v/>
      </c>
      <c r="I274" s="9">
        <f>IF(ISNA(MATCH(261,Engine!$C$2:$C$1369,0)),"",INDEX('Compliance Database'!$I$2:$I$1369,MATCH(261,Engine!$C$2:$C$1369,0)))</f>
        <v/>
      </c>
      <c r="J274" s="8">
        <f>IF(ISNA(MATCH(261,Engine!$C$2:$C$1369,0)),"",INDEX('Compliance Database'!$J$2:$J$1369,MATCH(261,Engine!$C$2:$C$1369,0)))</f>
        <v/>
      </c>
      <c r="K274" s="9">
        <f>IF(ISNA(MATCH(261,Engine!$C$2:$C$1369,0)),"",INDEX('Compliance Database'!$K$2:$K$1369,MATCH(261,Engine!$C$2:$C$1369,0)))</f>
        <v/>
      </c>
      <c r="L274" s="9">
        <f>IF(ISNA(MATCH(261,Engine!$C$2:$C$1369,0)),"",INDEX('Compliance Database'!$L$2:$L$1369,MATCH(261,Engine!$C$2:$C$1369,0)))</f>
        <v/>
      </c>
      <c r="M274" s="9">
        <f>IF(ISNA(MATCH(261,Engine!$C$2:$C$1369,0)),"",INDEX('Compliance Database'!$M$2:$M$1369,MATCH(261,Engine!$C$2:$C$1369,0)))</f>
        <v/>
      </c>
      <c r="N274" s="9">
        <f>IF(ISNA(MATCH(261,Engine!$C$2:$C$1369,0)),"",INDEX('Compliance Database'!$N$2:$N$1369,MATCH(261,Engine!$C$2:$C$1369,0)))</f>
        <v/>
      </c>
      <c r="O274" s="8">
        <f>IF(ISNA(MATCH(261,Engine!$C$2:$C$1369,0)),"",HYPERLINK(INDEX('Compliance Database'!$O$2:$O$1369,MATCH(261,Engine!$C$2:$C$1369,0)),"Open PDF"))</f>
        <v/>
      </c>
    </row>
    <row r="275" ht="188" customHeight="1">
      <c r="A275" s="8">
        <f>IF(ISNA(MATCH(262,Engine!$C$2:$C$1369,0)),"",INDEX('Compliance Database'!$A$2:$A$1369,MATCH(262,Engine!$C$2:$C$1369,0)))</f>
        <v/>
      </c>
      <c r="B275" s="8">
        <f>IF(ISNA(MATCH(262,Engine!$C$2:$C$1369,0)),"",INDEX('Compliance Database'!$B$2:$B$1369,MATCH(262,Engine!$C$2:$C$1369,0)))</f>
        <v/>
      </c>
      <c r="C275" s="8">
        <f>IF(ISNA(MATCH(262,Engine!$C$2:$C$1369,0)),"",INDEX('Compliance Database'!$C$2:$C$1369,MATCH(262,Engine!$C$2:$C$1369,0)))</f>
        <v/>
      </c>
      <c r="D275" s="9">
        <f>IF(ISNA(MATCH(262,Engine!$C$2:$C$1369,0)),"",INDEX('Compliance Database'!$D$2:$D$1369,MATCH(262,Engine!$C$2:$C$1369,0)))</f>
        <v/>
      </c>
      <c r="E275" s="8">
        <f>IF(ISNA(MATCH(262,Engine!$C$2:$C$1369,0)),"",INDEX('Compliance Database'!$E$2:$E$1369,MATCH(262,Engine!$C$2:$C$1369,0)))</f>
        <v/>
      </c>
      <c r="F275" s="8">
        <f>IF(ISNA(MATCH(262,Engine!$C$2:$C$1369,0)),"",INDEX('Compliance Database'!$F$2:$F$1369,MATCH(262,Engine!$C$2:$C$1369,0)))</f>
        <v/>
      </c>
      <c r="G275" s="8">
        <f>IF(ISNA(MATCH(262,Engine!$C$2:$C$1369,0)),"",INDEX('Compliance Database'!$G$2:$G$1369,MATCH(262,Engine!$C$2:$C$1369,0)))</f>
        <v/>
      </c>
      <c r="H275" s="9">
        <f>IF(ISNA(MATCH(262,Engine!$C$2:$C$1369,0)),"",INDEX('Compliance Database'!$H$2:$H$1369,MATCH(262,Engine!$C$2:$C$1369,0)))</f>
        <v/>
      </c>
      <c r="I275" s="9">
        <f>IF(ISNA(MATCH(262,Engine!$C$2:$C$1369,0)),"",INDEX('Compliance Database'!$I$2:$I$1369,MATCH(262,Engine!$C$2:$C$1369,0)))</f>
        <v/>
      </c>
      <c r="J275" s="8">
        <f>IF(ISNA(MATCH(262,Engine!$C$2:$C$1369,0)),"",INDEX('Compliance Database'!$J$2:$J$1369,MATCH(262,Engine!$C$2:$C$1369,0)))</f>
        <v/>
      </c>
      <c r="K275" s="9">
        <f>IF(ISNA(MATCH(262,Engine!$C$2:$C$1369,0)),"",INDEX('Compliance Database'!$K$2:$K$1369,MATCH(262,Engine!$C$2:$C$1369,0)))</f>
        <v/>
      </c>
      <c r="L275" s="9">
        <f>IF(ISNA(MATCH(262,Engine!$C$2:$C$1369,0)),"",INDEX('Compliance Database'!$L$2:$L$1369,MATCH(262,Engine!$C$2:$C$1369,0)))</f>
        <v/>
      </c>
      <c r="M275" s="9">
        <f>IF(ISNA(MATCH(262,Engine!$C$2:$C$1369,0)),"",INDEX('Compliance Database'!$M$2:$M$1369,MATCH(262,Engine!$C$2:$C$1369,0)))</f>
        <v/>
      </c>
      <c r="N275" s="9">
        <f>IF(ISNA(MATCH(262,Engine!$C$2:$C$1369,0)),"",INDEX('Compliance Database'!$N$2:$N$1369,MATCH(262,Engine!$C$2:$C$1369,0)))</f>
        <v/>
      </c>
      <c r="O275" s="8">
        <f>IF(ISNA(MATCH(262,Engine!$C$2:$C$1369,0)),"",HYPERLINK(INDEX('Compliance Database'!$O$2:$O$1369,MATCH(262,Engine!$C$2:$C$1369,0)),"Open PDF"))</f>
        <v/>
      </c>
    </row>
    <row r="276" ht="188" customHeight="1">
      <c r="A276" s="8">
        <f>IF(ISNA(MATCH(263,Engine!$C$2:$C$1369,0)),"",INDEX('Compliance Database'!$A$2:$A$1369,MATCH(263,Engine!$C$2:$C$1369,0)))</f>
        <v/>
      </c>
      <c r="B276" s="8">
        <f>IF(ISNA(MATCH(263,Engine!$C$2:$C$1369,0)),"",INDEX('Compliance Database'!$B$2:$B$1369,MATCH(263,Engine!$C$2:$C$1369,0)))</f>
        <v/>
      </c>
      <c r="C276" s="8">
        <f>IF(ISNA(MATCH(263,Engine!$C$2:$C$1369,0)),"",INDEX('Compliance Database'!$C$2:$C$1369,MATCH(263,Engine!$C$2:$C$1369,0)))</f>
        <v/>
      </c>
      <c r="D276" s="9">
        <f>IF(ISNA(MATCH(263,Engine!$C$2:$C$1369,0)),"",INDEX('Compliance Database'!$D$2:$D$1369,MATCH(263,Engine!$C$2:$C$1369,0)))</f>
        <v/>
      </c>
      <c r="E276" s="8">
        <f>IF(ISNA(MATCH(263,Engine!$C$2:$C$1369,0)),"",INDEX('Compliance Database'!$E$2:$E$1369,MATCH(263,Engine!$C$2:$C$1369,0)))</f>
        <v/>
      </c>
      <c r="F276" s="8">
        <f>IF(ISNA(MATCH(263,Engine!$C$2:$C$1369,0)),"",INDEX('Compliance Database'!$F$2:$F$1369,MATCH(263,Engine!$C$2:$C$1369,0)))</f>
        <v/>
      </c>
      <c r="G276" s="8">
        <f>IF(ISNA(MATCH(263,Engine!$C$2:$C$1369,0)),"",INDEX('Compliance Database'!$G$2:$G$1369,MATCH(263,Engine!$C$2:$C$1369,0)))</f>
        <v/>
      </c>
      <c r="H276" s="9">
        <f>IF(ISNA(MATCH(263,Engine!$C$2:$C$1369,0)),"",INDEX('Compliance Database'!$H$2:$H$1369,MATCH(263,Engine!$C$2:$C$1369,0)))</f>
        <v/>
      </c>
      <c r="I276" s="9">
        <f>IF(ISNA(MATCH(263,Engine!$C$2:$C$1369,0)),"",INDEX('Compliance Database'!$I$2:$I$1369,MATCH(263,Engine!$C$2:$C$1369,0)))</f>
        <v/>
      </c>
      <c r="J276" s="8">
        <f>IF(ISNA(MATCH(263,Engine!$C$2:$C$1369,0)),"",INDEX('Compliance Database'!$J$2:$J$1369,MATCH(263,Engine!$C$2:$C$1369,0)))</f>
        <v/>
      </c>
      <c r="K276" s="9">
        <f>IF(ISNA(MATCH(263,Engine!$C$2:$C$1369,0)),"",INDEX('Compliance Database'!$K$2:$K$1369,MATCH(263,Engine!$C$2:$C$1369,0)))</f>
        <v/>
      </c>
      <c r="L276" s="9">
        <f>IF(ISNA(MATCH(263,Engine!$C$2:$C$1369,0)),"",INDEX('Compliance Database'!$L$2:$L$1369,MATCH(263,Engine!$C$2:$C$1369,0)))</f>
        <v/>
      </c>
      <c r="M276" s="9">
        <f>IF(ISNA(MATCH(263,Engine!$C$2:$C$1369,0)),"",INDEX('Compliance Database'!$M$2:$M$1369,MATCH(263,Engine!$C$2:$C$1369,0)))</f>
        <v/>
      </c>
      <c r="N276" s="9">
        <f>IF(ISNA(MATCH(263,Engine!$C$2:$C$1369,0)),"",INDEX('Compliance Database'!$N$2:$N$1369,MATCH(263,Engine!$C$2:$C$1369,0)))</f>
        <v/>
      </c>
      <c r="O276" s="8">
        <f>IF(ISNA(MATCH(263,Engine!$C$2:$C$1369,0)),"",HYPERLINK(INDEX('Compliance Database'!$O$2:$O$1369,MATCH(263,Engine!$C$2:$C$1369,0)),"Open PDF"))</f>
        <v/>
      </c>
    </row>
    <row r="277" ht="188" customHeight="1">
      <c r="A277" s="8">
        <f>IF(ISNA(MATCH(264,Engine!$C$2:$C$1369,0)),"",INDEX('Compliance Database'!$A$2:$A$1369,MATCH(264,Engine!$C$2:$C$1369,0)))</f>
        <v/>
      </c>
      <c r="B277" s="8">
        <f>IF(ISNA(MATCH(264,Engine!$C$2:$C$1369,0)),"",INDEX('Compliance Database'!$B$2:$B$1369,MATCH(264,Engine!$C$2:$C$1369,0)))</f>
        <v/>
      </c>
      <c r="C277" s="8">
        <f>IF(ISNA(MATCH(264,Engine!$C$2:$C$1369,0)),"",INDEX('Compliance Database'!$C$2:$C$1369,MATCH(264,Engine!$C$2:$C$1369,0)))</f>
        <v/>
      </c>
      <c r="D277" s="9">
        <f>IF(ISNA(MATCH(264,Engine!$C$2:$C$1369,0)),"",INDEX('Compliance Database'!$D$2:$D$1369,MATCH(264,Engine!$C$2:$C$1369,0)))</f>
        <v/>
      </c>
      <c r="E277" s="8">
        <f>IF(ISNA(MATCH(264,Engine!$C$2:$C$1369,0)),"",INDEX('Compliance Database'!$E$2:$E$1369,MATCH(264,Engine!$C$2:$C$1369,0)))</f>
        <v/>
      </c>
      <c r="F277" s="8">
        <f>IF(ISNA(MATCH(264,Engine!$C$2:$C$1369,0)),"",INDEX('Compliance Database'!$F$2:$F$1369,MATCH(264,Engine!$C$2:$C$1369,0)))</f>
        <v/>
      </c>
      <c r="G277" s="8">
        <f>IF(ISNA(MATCH(264,Engine!$C$2:$C$1369,0)),"",INDEX('Compliance Database'!$G$2:$G$1369,MATCH(264,Engine!$C$2:$C$1369,0)))</f>
        <v/>
      </c>
      <c r="H277" s="9">
        <f>IF(ISNA(MATCH(264,Engine!$C$2:$C$1369,0)),"",INDEX('Compliance Database'!$H$2:$H$1369,MATCH(264,Engine!$C$2:$C$1369,0)))</f>
        <v/>
      </c>
      <c r="I277" s="9">
        <f>IF(ISNA(MATCH(264,Engine!$C$2:$C$1369,0)),"",INDEX('Compliance Database'!$I$2:$I$1369,MATCH(264,Engine!$C$2:$C$1369,0)))</f>
        <v/>
      </c>
      <c r="J277" s="8">
        <f>IF(ISNA(MATCH(264,Engine!$C$2:$C$1369,0)),"",INDEX('Compliance Database'!$J$2:$J$1369,MATCH(264,Engine!$C$2:$C$1369,0)))</f>
        <v/>
      </c>
      <c r="K277" s="9">
        <f>IF(ISNA(MATCH(264,Engine!$C$2:$C$1369,0)),"",INDEX('Compliance Database'!$K$2:$K$1369,MATCH(264,Engine!$C$2:$C$1369,0)))</f>
        <v/>
      </c>
      <c r="L277" s="9">
        <f>IF(ISNA(MATCH(264,Engine!$C$2:$C$1369,0)),"",INDEX('Compliance Database'!$L$2:$L$1369,MATCH(264,Engine!$C$2:$C$1369,0)))</f>
        <v/>
      </c>
      <c r="M277" s="9">
        <f>IF(ISNA(MATCH(264,Engine!$C$2:$C$1369,0)),"",INDEX('Compliance Database'!$M$2:$M$1369,MATCH(264,Engine!$C$2:$C$1369,0)))</f>
        <v/>
      </c>
      <c r="N277" s="9">
        <f>IF(ISNA(MATCH(264,Engine!$C$2:$C$1369,0)),"",INDEX('Compliance Database'!$N$2:$N$1369,MATCH(264,Engine!$C$2:$C$1369,0)))</f>
        <v/>
      </c>
      <c r="O277" s="8">
        <f>IF(ISNA(MATCH(264,Engine!$C$2:$C$1369,0)),"",HYPERLINK(INDEX('Compliance Database'!$O$2:$O$1369,MATCH(264,Engine!$C$2:$C$1369,0)),"Open PDF"))</f>
        <v/>
      </c>
    </row>
    <row r="278" ht="188" customHeight="1">
      <c r="A278" s="8">
        <f>IF(ISNA(MATCH(265,Engine!$C$2:$C$1369,0)),"",INDEX('Compliance Database'!$A$2:$A$1369,MATCH(265,Engine!$C$2:$C$1369,0)))</f>
        <v/>
      </c>
      <c r="B278" s="8">
        <f>IF(ISNA(MATCH(265,Engine!$C$2:$C$1369,0)),"",INDEX('Compliance Database'!$B$2:$B$1369,MATCH(265,Engine!$C$2:$C$1369,0)))</f>
        <v/>
      </c>
      <c r="C278" s="8">
        <f>IF(ISNA(MATCH(265,Engine!$C$2:$C$1369,0)),"",INDEX('Compliance Database'!$C$2:$C$1369,MATCH(265,Engine!$C$2:$C$1369,0)))</f>
        <v/>
      </c>
      <c r="D278" s="9">
        <f>IF(ISNA(MATCH(265,Engine!$C$2:$C$1369,0)),"",INDEX('Compliance Database'!$D$2:$D$1369,MATCH(265,Engine!$C$2:$C$1369,0)))</f>
        <v/>
      </c>
      <c r="E278" s="8">
        <f>IF(ISNA(MATCH(265,Engine!$C$2:$C$1369,0)),"",INDEX('Compliance Database'!$E$2:$E$1369,MATCH(265,Engine!$C$2:$C$1369,0)))</f>
        <v/>
      </c>
      <c r="F278" s="8">
        <f>IF(ISNA(MATCH(265,Engine!$C$2:$C$1369,0)),"",INDEX('Compliance Database'!$F$2:$F$1369,MATCH(265,Engine!$C$2:$C$1369,0)))</f>
        <v/>
      </c>
      <c r="G278" s="8">
        <f>IF(ISNA(MATCH(265,Engine!$C$2:$C$1369,0)),"",INDEX('Compliance Database'!$G$2:$G$1369,MATCH(265,Engine!$C$2:$C$1369,0)))</f>
        <v/>
      </c>
      <c r="H278" s="9">
        <f>IF(ISNA(MATCH(265,Engine!$C$2:$C$1369,0)),"",INDEX('Compliance Database'!$H$2:$H$1369,MATCH(265,Engine!$C$2:$C$1369,0)))</f>
        <v/>
      </c>
      <c r="I278" s="9">
        <f>IF(ISNA(MATCH(265,Engine!$C$2:$C$1369,0)),"",INDEX('Compliance Database'!$I$2:$I$1369,MATCH(265,Engine!$C$2:$C$1369,0)))</f>
        <v/>
      </c>
      <c r="J278" s="8">
        <f>IF(ISNA(MATCH(265,Engine!$C$2:$C$1369,0)),"",INDEX('Compliance Database'!$J$2:$J$1369,MATCH(265,Engine!$C$2:$C$1369,0)))</f>
        <v/>
      </c>
      <c r="K278" s="9">
        <f>IF(ISNA(MATCH(265,Engine!$C$2:$C$1369,0)),"",INDEX('Compliance Database'!$K$2:$K$1369,MATCH(265,Engine!$C$2:$C$1369,0)))</f>
        <v/>
      </c>
      <c r="L278" s="9">
        <f>IF(ISNA(MATCH(265,Engine!$C$2:$C$1369,0)),"",INDEX('Compliance Database'!$L$2:$L$1369,MATCH(265,Engine!$C$2:$C$1369,0)))</f>
        <v/>
      </c>
      <c r="M278" s="9">
        <f>IF(ISNA(MATCH(265,Engine!$C$2:$C$1369,0)),"",INDEX('Compliance Database'!$M$2:$M$1369,MATCH(265,Engine!$C$2:$C$1369,0)))</f>
        <v/>
      </c>
      <c r="N278" s="9">
        <f>IF(ISNA(MATCH(265,Engine!$C$2:$C$1369,0)),"",INDEX('Compliance Database'!$N$2:$N$1369,MATCH(265,Engine!$C$2:$C$1369,0)))</f>
        <v/>
      </c>
      <c r="O278" s="8">
        <f>IF(ISNA(MATCH(265,Engine!$C$2:$C$1369,0)),"",HYPERLINK(INDEX('Compliance Database'!$O$2:$O$1369,MATCH(265,Engine!$C$2:$C$1369,0)),"Open PDF"))</f>
        <v/>
      </c>
    </row>
    <row r="279" ht="188" customHeight="1">
      <c r="A279" s="8">
        <f>IF(ISNA(MATCH(266,Engine!$C$2:$C$1369,0)),"",INDEX('Compliance Database'!$A$2:$A$1369,MATCH(266,Engine!$C$2:$C$1369,0)))</f>
        <v/>
      </c>
      <c r="B279" s="8">
        <f>IF(ISNA(MATCH(266,Engine!$C$2:$C$1369,0)),"",INDEX('Compliance Database'!$B$2:$B$1369,MATCH(266,Engine!$C$2:$C$1369,0)))</f>
        <v/>
      </c>
      <c r="C279" s="8">
        <f>IF(ISNA(MATCH(266,Engine!$C$2:$C$1369,0)),"",INDEX('Compliance Database'!$C$2:$C$1369,MATCH(266,Engine!$C$2:$C$1369,0)))</f>
        <v/>
      </c>
      <c r="D279" s="9">
        <f>IF(ISNA(MATCH(266,Engine!$C$2:$C$1369,0)),"",INDEX('Compliance Database'!$D$2:$D$1369,MATCH(266,Engine!$C$2:$C$1369,0)))</f>
        <v/>
      </c>
      <c r="E279" s="8">
        <f>IF(ISNA(MATCH(266,Engine!$C$2:$C$1369,0)),"",INDEX('Compliance Database'!$E$2:$E$1369,MATCH(266,Engine!$C$2:$C$1369,0)))</f>
        <v/>
      </c>
      <c r="F279" s="8">
        <f>IF(ISNA(MATCH(266,Engine!$C$2:$C$1369,0)),"",INDEX('Compliance Database'!$F$2:$F$1369,MATCH(266,Engine!$C$2:$C$1369,0)))</f>
        <v/>
      </c>
      <c r="G279" s="8">
        <f>IF(ISNA(MATCH(266,Engine!$C$2:$C$1369,0)),"",INDEX('Compliance Database'!$G$2:$G$1369,MATCH(266,Engine!$C$2:$C$1369,0)))</f>
        <v/>
      </c>
      <c r="H279" s="9">
        <f>IF(ISNA(MATCH(266,Engine!$C$2:$C$1369,0)),"",INDEX('Compliance Database'!$H$2:$H$1369,MATCH(266,Engine!$C$2:$C$1369,0)))</f>
        <v/>
      </c>
      <c r="I279" s="9">
        <f>IF(ISNA(MATCH(266,Engine!$C$2:$C$1369,0)),"",INDEX('Compliance Database'!$I$2:$I$1369,MATCH(266,Engine!$C$2:$C$1369,0)))</f>
        <v/>
      </c>
      <c r="J279" s="8">
        <f>IF(ISNA(MATCH(266,Engine!$C$2:$C$1369,0)),"",INDEX('Compliance Database'!$J$2:$J$1369,MATCH(266,Engine!$C$2:$C$1369,0)))</f>
        <v/>
      </c>
      <c r="K279" s="9">
        <f>IF(ISNA(MATCH(266,Engine!$C$2:$C$1369,0)),"",INDEX('Compliance Database'!$K$2:$K$1369,MATCH(266,Engine!$C$2:$C$1369,0)))</f>
        <v/>
      </c>
      <c r="L279" s="9">
        <f>IF(ISNA(MATCH(266,Engine!$C$2:$C$1369,0)),"",INDEX('Compliance Database'!$L$2:$L$1369,MATCH(266,Engine!$C$2:$C$1369,0)))</f>
        <v/>
      </c>
      <c r="M279" s="9">
        <f>IF(ISNA(MATCH(266,Engine!$C$2:$C$1369,0)),"",INDEX('Compliance Database'!$M$2:$M$1369,MATCH(266,Engine!$C$2:$C$1369,0)))</f>
        <v/>
      </c>
      <c r="N279" s="9">
        <f>IF(ISNA(MATCH(266,Engine!$C$2:$C$1369,0)),"",INDEX('Compliance Database'!$N$2:$N$1369,MATCH(266,Engine!$C$2:$C$1369,0)))</f>
        <v/>
      </c>
      <c r="O279" s="8">
        <f>IF(ISNA(MATCH(266,Engine!$C$2:$C$1369,0)),"",HYPERLINK(INDEX('Compliance Database'!$O$2:$O$1369,MATCH(266,Engine!$C$2:$C$1369,0)),"Open PDF"))</f>
        <v/>
      </c>
    </row>
    <row r="280" ht="188" customHeight="1">
      <c r="A280" s="8">
        <f>IF(ISNA(MATCH(267,Engine!$C$2:$C$1369,0)),"",INDEX('Compliance Database'!$A$2:$A$1369,MATCH(267,Engine!$C$2:$C$1369,0)))</f>
        <v/>
      </c>
      <c r="B280" s="8">
        <f>IF(ISNA(MATCH(267,Engine!$C$2:$C$1369,0)),"",INDEX('Compliance Database'!$B$2:$B$1369,MATCH(267,Engine!$C$2:$C$1369,0)))</f>
        <v/>
      </c>
      <c r="C280" s="8">
        <f>IF(ISNA(MATCH(267,Engine!$C$2:$C$1369,0)),"",INDEX('Compliance Database'!$C$2:$C$1369,MATCH(267,Engine!$C$2:$C$1369,0)))</f>
        <v/>
      </c>
      <c r="D280" s="9">
        <f>IF(ISNA(MATCH(267,Engine!$C$2:$C$1369,0)),"",INDEX('Compliance Database'!$D$2:$D$1369,MATCH(267,Engine!$C$2:$C$1369,0)))</f>
        <v/>
      </c>
      <c r="E280" s="8">
        <f>IF(ISNA(MATCH(267,Engine!$C$2:$C$1369,0)),"",INDEX('Compliance Database'!$E$2:$E$1369,MATCH(267,Engine!$C$2:$C$1369,0)))</f>
        <v/>
      </c>
      <c r="F280" s="8">
        <f>IF(ISNA(MATCH(267,Engine!$C$2:$C$1369,0)),"",INDEX('Compliance Database'!$F$2:$F$1369,MATCH(267,Engine!$C$2:$C$1369,0)))</f>
        <v/>
      </c>
      <c r="G280" s="8">
        <f>IF(ISNA(MATCH(267,Engine!$C$2:$C$1369,0)),"",INDEX('Compliance Database'!$G$2:$G$1369,MATCH(267,Engine!$C$2:$C$1369,0)))</f>
        <v/>
      </c>
      <c r="H280" s="9">
        <f>IF(ISNA(MATCH(267,Engine!$C$2:$C$1369,0)),"",INDEX('Compliance Database'!$H$2:$H$1369,MATCH(267,Engine!$C$2:$C$1369,0)))</f>
        <v/>
      </c>
      <c r="I280" s="9">
        <f>IF(ISNA(MATCH(267,Engine!$C$2:$C$1369,0)),"",INDEX('Compliance Database'!$I$2:$I$1369,MATCH(267,Engine!$C$2:$C$1369,0)))</f>
        <v/>
      </c>
      <c r="J280" s="8">
        <f>IF(ISNA(MATCH(267,Engine!$C$2:$C$1369,0)),"",INDEX('Compliance Database'!$J$2:$J$1369,MATCH(267,Engine!$C$2:$C$1369,0)))</f>
        <v/>
      </c>
      <c r="K280" s="9">
        <f>IF(ISNA(MATCH(267,Engine!$C$2:$C$1369,0)),"",INDEX('Compliance Database'!$K$2:$K$1369,MATCH(267,Engine!$C$2:$C$1369,0)))</f>
        <v/>
      </c>
      <c r="L280" s="9">
        <f>IF(ISNA(MATCH(267,Engine!$C$2:$C$1369,0)),"",INDEX('Compliance Database'!$L$2:$L$1369,MATCH(267,Engine!$C$2:$C$1369,0)))</f>
        <v/>
      </c>
      <c r="M280" s="9">
        <f>IF(ISNA(MATCH(267,Engine!$C$2:$C$1369,0)),"",INDEX('Compliance Database'!$M$2:$M$1369,MATCH(267,Engine!$C$2:$C$1369,0)))</f>
        <v/>
      </c>
      <c r="N280" s="9">
        <f>IF(ISNA(MATCH(267,Engine!$C$2:$C$1369,0)),"",INDEX('Compliance Database'!$N$2:$N$1369,MATCH(267,Engine!$C$2:$C$1369,0)))</f>
        <v/>
      </c>
      <c r="O280" s="8">
        <f>IF(ISNA(MATCH(267,Engine!$C$2:$C$1369,0)),"",HYPERLINK(INDEX('Compliance Database'!$O$2:$O$1369,MATCH(267,Engine!$C$2:$C$1369,0)),"Open PDF"))</f>
        <v/>
      </c>
    </row>
    <row r="281" ht="188" customHeight="1">
      <c r="A281" s="8">
        <f>IF(ISNA(MATCH(268,Engine!$C$2:$C$1369,0)),"",INDEX('Compliance Database'!$A$2:$A$1369,MATCH(268,Engine!$C$2:$C$1369,0)))</f>
        <v/>
      </c>
      <c r="B281" s="8">
        <f>IF(ISNA(MATCH(268,Engine!$C$2:$C$1369,0)),"",INDEX('Compliance Database'!$B$2:$B$1369,MATCH(268,Engine!$C$2:$C$1369,0)))</f>
        <v/>
      </c>
      <c r="C281" s="8">
        <f>IF(ISNA(MATCH(268,Engine!$C$2:$C$1369,0)),"",INDEX('Compliance Database'!$C$2:$C$1369,MATCH(268,Engine!$C$2:$C$1369,0)))</f>
        <v/>
      </c>
      <c r="D281" s="9">
        <f>IF(ISNA(MATCH(268,Engine!$C$2:$C$1369,0)),"",INDEX('Compliance Database'!$D$2:$D$1369,MATCH(268,Engine!$C$2:$C$1369,0)))</f>
        <v/>
      </c>
      <c r="E281" s="8">
        <f>IF(ISNA(MATCH(268,Engine!$C$2:$C$1369,0)),"",INDEX('Compliance Database'!$E$2:$E$1369,MATCH(268,Engine!$C$2:$C$1369,0)))</f>
        <v/>
      </c>
      <c r="F281" s="8">
        <f>IF(ISNA(MATCH(268,Engine!$C$2:$C$1369,0)),"",INDEX('Compliance Database'!$F$2:$F$1369,MATCH(268,Engine!$C$2:$C$1369,0)))</f>
        <v/>
      </c>
      <c r="G281" s="8">
        <f>IF(ISNA(MATCH(268,Engine!$C$2:$C$1369,0)),"",INDEX('Compliance Database'!$G$2:$G$1369,MATCH(268,Engine!$C$2:$C$1369,0)))</f>
        <v/>
      </c>
      <c r="H281" s="9">
        <f>IF(ISNA(MATCH(268,Engine!$C$2:$C$1369,0)),"",INDEX('Compliance Database'!$H$2:$H$1369,MATCH(268,Engine!$C$2:$C$1369,0)))</f>
        <v/>
      </c>
      <c r="I281" s="9">
        <f>IF(ISNA(MATCH(268,Engine!$C$2:$C$1369,0)),"",INDEX('Compliance Database'!$I$2:$I$1369,MATCH(268,Engine!$C$2:$C$1369,0)))</f>
        <v/>
      </c>
      <c r="J281" s="8">
        <f>IF(ISNA(MATCH(268,Engine!$C$2:$C$1369,0)),"",INDEX('Compliance Database'!$J$2:$J$1369,MATCH(268,Engine!$C$2:$C$1369,0)))</f>
        <v/>
      </c>
      <c r="K281" s="9">
        <f>IF(ISNA(MATCH(268,Engine!$C$2:$C$1369,0)),"",INDEX('Compliance Database'!$K$2:$K$1369,MATCH(268,Engine!$C$2:$C$1369,0)))</f>
        <v/>
      </c>
      <c r="L281" s="9">
        <f>IF(ISNA(MATCH(268,Engine!$C$2:$C$1369,0)),"",INDEX('Compliance Database'!$L$2:$L$1369,MATCH(268,Engine!$C$2:$C$1369,0)))</f>
        <v/>
      </c>
      <c r="M281" s="9">
        <f>IF(ISNA(MATCH(268,Engine!$C$2:$C$1369,0)),"",INDEX('Compliance Database'!$M$2:$M$1369,MATCH(268,Engine!$C$2:$C$1369,0)))</f>
        <v/>
      </c>
      <c r="N281" s="9">
        <f>IF(ISNA(MATCH(268,Engine!$C$2:$C$1369,0)),"",INDEX('Compliance Database'!$N$2:$N$1369,MATCH(268,Engine!$C$2:$C$1369,0)))</f>
        <v/>
      </c>
      <c r="O281" s="8">
        <f>IF(ISNA(MATCH(268,Engine!$C$2:$C$1369,0)),"",HYPERLINK(INDEX('Compliance Database'!$O$2:$O$1369,MATCH(268,Engine!$C$2:$C$1369,0)),"Open PDF"))</f>
        <v/>
      </c>
    </row>
    <row r="282" ht="188" customHeight="1">
      <c r="A282" s="8">
        <f>IF(ISNA(MATCH(269,Engine!$C$2:$C$1369,0)),"",INDEX('Compliance Database'!$A$2:$A$1369,MATCH(269,Engine!$C$2:$C$1369,0)))</f>
        <v/>
      </c>
      <c r="B282" s="8">
        <f>IF(ISNA(MATCH(269,Engine!$C$2:$C$1369,0)),"",INDEX('Compliance Database'!$B$2:$B$1369,MATCH(269,Engine!$C$2:$C$1369,0)))</f>
        <v/>
      </c>
      <c r="C282" s="8">
        <f>IF(ISNA(MATCH(269,Engine!$C$2:$C$1369,0)),"",INDEX('Compliance Database'!$C$2:$C$1369,MATCH(269,Engine!$C$2:$C$1369,0)))</f>
        <v/>
      </c>
      <c r="D282" s="9">
        <f>IF(ISNA(MATCH(269,Engine!$C$2:$C$1369,0)),"",INDEX('Compliance Database'!$D$2:$D$1369,MATCH(269,Engine!$C$2:$C$1369,0)))</f>
        <v/>
      </c>
      <c r="E282" s="8">
        <f>IF(ISNA(MATCH(269,Engine!$C$2:$C$1369,0)),"",INDEX('Compliance Database'!$E$2:$E$1369,MATCH(269,Engine!$C$2:$C$1369,0)))</f>
        <v/>
      </c>
      <c r="F282" s="8">
        <f>IF(ISNA(MATCH(269,Engine!$C$2:$C$1369,0)),"",INDEX('Compliance Database'!$F$2:$F$1369,MATCH(269,Engine!$C$2:$C$1369,0)))</f>
        <v/>
      </c>
      <c r="G282" s="8">
        <f>IF(ISNA(MATCH(269,Engine!$C$2:$C$1369,0)),"",INDEX('Compliance Database'!$G$2:$G$1369,MATCH(269,Engine!$C$2:$C$1369,0)))</f>
        <v/>
      </c>
      <c r="H282" s="9">
        <f>IF(ISNA(MATCH(269,Engine!$C$2:$C$1369,0)),"",INDEX('Compliance Database'!$H$2:$H$1369,MATCH(269,Engine!$C$2:$C$1369,0)))</f>
        <v/>
      </c>
      <c r="I282" s="9">
        <f>IF(ISNA(MATCH(269,Engine!$C$2:$C$1369,0)),"",INDEX('Compliance Database'!$I$2:$I$1369,MATCH(269,Engine!$C$2:$C$1369,0)))</f>
        <v/>
      </c>
      <c r="J282" s="8">
        <f>IF(ISNA(MATCH(269,Engine!$C$2:$C$1369,0)),"",INDEX('Compliance Database'!$J$2:$J$1369,MATCH(269,Engine!$C$2:$C$1369,0)))</f>
        <v/>
      </c>
      <c r="K282" s="9">
        <f>IF(ISNA(MATCH(269,Engine!$C$2:$C$1369,0)),"",INDEX('Compliance Database'!$K$2:$K$1369,MATCH(269,Engine!$C$2:$C$1369,0)))</f>
        <v/>
      </c>
      <c r="L282" s="9">
        <f>IF(ISNA(MATCH(269,Engine!$C$2:$C$1369,0)),"",INDEX('Compliance Database'!$L$2:$L$1369,MATCH(269,Engine!$C$2:$C$1369,0)))</f>
        <v/>
      </c>
      <c r="M282" s="9">
        <f>IF(ISNA(MATCH(269,Engine!$C$2:$C$1369,0)),"",INDEX('Compliance Database'!$M$2:$M$1369,MATCH(269,Engine!$C$2:$C$1369,0)))</f>
        <v/>
      </c>
      <c r="N282" s="9">
        <f>IF(ISNA(MATCH(269,Engine!$C$2:$C$1369,0)),"",INDEX('Compliance Database'!$N$2:$N$1369,MATCH(269,Engine!$C$2:$C$1369,0)))</f>
        <v/>
      </c>
      <c r="O282" s="8">
        <f>IF(ISNA(MATCH(269,Engine!$C$2:$C$1369,0)),"",HYPERLINK(INDEX('Compliance Database'!$O$2:$O$1369,MATCH(269,Engine!$C$2:$C$1369,0)),"Open PDF"))</f>
        <v/>
      </c>
    </row>
    <row r="283" ht="188" customHeight="1">
      <c r="A283" s="8">
        <f>IF(ISNA(MATCH(270,Engine!$C$2:$C$1369,0)),"",INDEX('Compliance Database'!$A$2:$A$1369,MATCH(270,Engine!$C$2:$C$1369,0)))</f>
        <v/>
      </c>
      <c r="B283" s="8">
        <f>IF(ISNA(MATCH(270,Engine!$C$2:$C$1369,0)),"",INDEX('Compliance Database'!$B$2:$B$1369,MATCH(270,Engine!$C$2:$C$1369,0)))</f>
        <v/>
      </c>
      <c r="C283" s="8">
        <f>IF(ISNA(MATCH(270,Engine!$C$2:$C$1369,0)),"",INDEX('Compliance Database'!$C$2:$C$1369,MATCH(270,Engine!$C$2:$C$1369,0)))</f>
        <v/>
      </c>
      <c r="D283" s="9">
        <f>IF(ISNA(MATCH(270,Engine!$C$2:$C$1369,0)),"",INDEX('Compliance Database'!$D$2:$D$1369,MATCH(270,Engine!$C$2:$C$1369,0)))</f>
        <v/>
      </c>
      <c r="E283" s="8">
        <f>IF(ISNA(MATCH(270,Engine!$C$2:$C$1369,0)),"",INDEX('Compliance Database'!$E$2:$E$1369,MATCH(270,Engine!$C$2:$C$1369,0)))</f>
        <v/>
      </c>
      <c r="F283" s="8">
        <f>IF(ISNA(MATCH(270,Engine!$C$2:$C$1369,0)),"",INDEX('Compliance Database'!$F$2:$F$1369,MATCH(270,Engine!$C$2:$C$1369,0)))</f>
        <v/>
      </c>
      <c r="G283" s="8">
        <f>IF(ISNA(MATCH(270,Engine!$C$2:$C$1369,0)),"",INDEX('Compliance Database'!$G$2:$G$1369,MATCH(270,Engine!$C$2:$C$1369,0)))</f>
        <v/>
      </c>
      <c r="H283" s="9">
        <f>IF(ISNA(MATCH(270,Engine!$C$2:$C$1369,0)),"",INDEX('Compliance Database'!$H$2:$H$1369,MATCH(270,Engine!$C$2:$C$1369,0)))</f>
        <v/>
      </c>
      <c r="I283" s="9">
        <f>IF(ISNA(MATCH(270,Engine!$C$2:$C$1369,0)),"",INDEX('Compliance Database'!$I$2:$I$1369,MATCH(270,Engine!$C$2:$C$1369,0)))</f>
        <v/>
      </c>
      <c r="J283" s="8">
        <f>IF(ISNA(MATCH(270,Engine!$C$2:$C$1369,0)),"",INDEX('Compliance Database'!$J$2:$J$1369,MATCH(270,Engine!$C$2:$C$1369,0)))</f>
        <v/>
      </c>
      <c r="K283" s="9">
        <f>IF(ISNA(MATCH(270,Engine!$C$2:$C$1369,0)),"",INDEX('Compliance Database'!$K$2:$K$1369,MATCH(270,Engine!$C$2:$C$1369,0)))</f>
        <v/>
      </c>
      <c r="L283" s="9">
        <f>IF(ISNA(MATCH(270,Engine!$C$2:$C$1369,0)),"",INDEX('Compliance Database'!$L$2:$L$1369,MATCH(270,Engine!$C$2:$C$1369,0)))</f>
        <v/>
      </c>
      <c r="M283" s="9">
        <f>IF(ISNA(MATCH(270,Engine!$C$2:$C$1369,0)),"",INDEX('Compliance Database'!$M$2:$M$1369,MATCH(270,Engine!$C$2:$C$1369,0)))</f>
        <v/>
      </c>
      <c r="N283" s="9">
        <f>IF(ISNA(MATCH(270,Engine!$C$2:$C$1369,0)),"",INDEX('Compliance Database'!$N$2:$N$1369,MATCH(270,Engine!$C$2:$C$1369,0)))</f>
        <v/>
      </c>
      <c r="O283" s="8">
        <f>IF(ISNA(MATCH(270,Engine!$C$2:$C$1369,0)),"",HYPERLINK(INDEX('Compliance Database'!$O$2:$O$1369,MATCH(270,Engine!$C$2:$C$1369,0)),"Open PDF"))</f>
        <v/>
      </c>
    </row>
    <row r="284" ht="188" customHeight="1">
      <c r="A284" s="8">
        <f>IF(ISNA(MATCH(271,Engine!$C$2:$C$1369,0)),"",INDEX('Compliance Database'!$A$2:$A$1369,MATCH(271,Engine!$C$2:$C$1369,0)))</f>
        <v/>
      </c>
      <c r="B284" s="8">
        <f>IF(ISNA(MATCH(271,Engine!$C$2:$C$1369,0)),"",INDEX('Compliance Database'!$B$2:$B$1369,MATCH(271,Engine!$C$2:$C$1369,0)))</f>
        <v/>
      </c>
      <c r="C284" s="8">
        <f>IF(ISNA(MATCH(271,Engine!$C$2:$C$1369,0)),"",INDEX('Compliance Database'!$C$2:$C$1369,MATCH(271,Engine!$C$2:$C$1369,0)))</f>
        <v/>
      </c>
      <c r="D284" s="9">
        <f>IF(ISNA(MATCH(271,Engine!$C$2:$C$1369,0)),"",INDEX('Compliance Database'!$D$2:$D$1369,MATCH(271,Engine!$C$2:$C$1369,0)))</f>
        <v/>
      </c>
      <c r="E284" s="8">
        <f>IF(ISNA(MATCH(271,Engine!$C$2:$C$1369,0)),"",INDEX('Compliance Database'!$E$2:$E$1369,MATCH(271,Engine!$C$2:$C$1369,0)))</f>
        <v/>
      </c>
      <c r="F284" s="8">
        <f>IF(ISNA(MATCH(271,Engine!$C$2:$C$1369,0)),"",INDEX('Compliance Database'!$F$2:$F$1369,MATCH(271,Engine!$C$2:$C$1369,0)))</f>
        <v/>
      </c>
      <c r="G284" s="8">
        <f>IF(ISNA(MATCH(271,Engine!$C$2:$C$1369,0)),"",INDEX('Compliance Database'!$G$2:$G$1369,MATCH(271,Engine!$C$2:$C$1369,0)))</f>
        <v/>
      </c>
      <c r="H284" s="9">
        <f>IF(ISNA(MATCH(271,Engine!$C$2:$C$1369,0)),"",INDEX('Compliance Database'!$H$2:$H$1369,MATCH(271,Engine!$C$2:$C$1369,0)))</f>
        <v/>
      </c>
      <c r="I284" s="9">
        <f>IF(ISNA(MATCH(271,Engine!$C$2:$C$1369,0)),"",INDEX('Compliance Database'!$I$2:$I$1369,MATCH(271,Engine!$C$2:$C$1369,0)))</f>
        <v/>
      </c>
      <c r="J284" s="8">
        <f>IF(ISNA(MATCH(271,Engine!$C$2:$C$1369,0)),"",INDEX('Compliance Database'!$J$2:$J$1369,MATCH(271,Engine!$C$2:$C$1369,0)))</f>
        <v/>
      </c>
      <c r="K284" s="9">
        <f>IF(ISNA(MATCH(271,Engine!$C$2:$C$1369,0)),"",INDEX('Compliance Database'!$K$2:$K$1369,MATCH(271,Engine!$C$2:$C$1369,0)))</f>
        <v/>
      </c>
      <c r="L284" s="9">
        <f>IF(ISNA(MATCH(271,Engine!$C$2:$C$1369,0)),"",INDEX('Compliance Database'!$L$2:$L$1369,MATCH(271,Engine!$C$2:$C$1369,0)))</f>
        <v/>
      </c>
      <c r="M284" s="9">
        <f>IF(ISNA(MATCH(271,Engine!$C$2:$C$1369,0)),"",INDEX('Compliance Database'!$M$2:$M$1369,MATCH(271,Engine!$C$2:$C$1369,0)))</f>
        <v/>
      </c>
      <c r="N284" s="9">
        <f>IF(ISNA(MATCH(271,Engine!$C$2:$C$1369,0)),"",INDEX('Compliance Database'!$N$2:$N$1369,MATCH(271,Engine!$C$2:$C$1369,0)))</f>
        <v/>
      </c>
      <c r="O284" s="8">
        <f>IF(ISNA(MATCH(271,Engine!$C$2:$C$1369,0)),"",HYPERLINK(INDEX('Compliance Database'!$O$2:$O$1369,MATCH(271,Engine!$C$2:$C$1369,0)),"Open PDF"))</f>
        <v/>
      </c>
    </row>
    <row r="285" ht="188" customHeight="1">
      <c r="A285" s="8">
        <f>IF(ISNA(MATCH(272,Engine!$C$2:$C$1369,0)),"",INDEX('Compliance Database'!$A$2:$A$1369,MATCH(272,Engine!$C$2:$C$1369,0)))</f>
        <v/>
      </c>
      <c r="B285" s="8">
        <f>IF(ISNA(MATCH(272,Engine!$C$2:$C$1369,0)),"",INDEX('Compliance Database'!$B$2:$B$1369,MATCH(272,Engine!$C$2:$C$1369,0)))</f>
        <v/>
      </c>
      <c r="C285" s="8">
        <f>IF(ISNA(MATCH(272,Engine!$C$2:$C$1369,0)),"",INDEX('Compliance Database'!$C$2:$C$1369,MATCH(272,Engine!$C$2:$C$1369,0)))</f>
        <v/>
      </c>
      <c r="D285" s="9">
        <f>IF(ISNA(MATCH(272,Engine!$C$2:$C$1369,0)),"",INDEX('Compliance Database'!$D$2:$D$1369,MATCH(272,Engine!$C$2:$C$1369,0)))</f>
        <v/>
      </c>
      <c r="E285" s="8">
        <f>IF(ISNA(MATCH(272,Engine!$C$2:$C$1369,0)),"",INDEX('Compliance Database'!$E$2:$E$1369,MATCH(272,Engine!$C$2:$C$1369,0)))</f>
        <v/>
      </c>
      <c r="F285" s="8">
        <f>IF(ISNA(MATCH(272,Engine!$C$2:$C$1369,0)),"",INDEX('Compliance Database'!$F$2:$F$1369,MATCH(272,Engine!$C$2:$C$1369,0)))</f>
        <v/>
      </c>
      <c r="G285" s="8">
        <f>IF(ISNA(MATCH(272,Engine!$C$2:$C$1369,0)),"",INDEX('Compliance Database'!$G$2:$G$1369,MATCH(272,Engine!$C$2:$C$1369,0)))</f>
        <v/>
      </c>
      <c r="H285" s="9">
        <f>IF(ISNA(MATCH(272,Engine!$C$2:$C$1369,0)),"",INDEX('Compliance Database'!$H$2:$H$1369,MATCH(272,Engine!$C$2:$C$1369,0)))</f>
        <v/>
      </c>
      <c r="I285" s="9">
        <f>IF(ISNA(MATCH(272,Engine!$C$2:$C$1369,0)),"",INDEX('Compliance Database'!$I$2:$I$1369,MATCH(272,Engine!$C$2:$C$1369,0)))</f>
        <v/>
      </c>
      <c r="J285" s="8">
        <f>IF(ISNA(MATCH(272,Engine!$C$2:$C$1369,0)),"",INDEX('Compliance Database'!$J$2:$J$1369,MATCH(272,Engine!$C$2:$C$1369,0)))</f>
        <v/>
      </c>
      <c r="K285" s="9">
        <f>IF(ISNA(MATCH(272,Engine!$C$2:$C$1369,0)),"",INDEX('Compliance Database'!$K$2:$K$1369,MATCH(272,Engine!$C$2:$C$1369,0)))</f>
        <v/>
      </c>
      <c r="L285" s="9">
        <f>IF(ISNA(MATCH(272,Engine!$C$2:$C$1369,0)),"",INDEX('Compliance Database'!$L$2:$L$1369,MATCH(272,Engine!$C$2:$C$1369,0)))</f>
        <v/>
      </c>
      <c r="M285" s="9">
        <f>IF(ISNA(MATCH(272,Engine!$C$2:$C$1369,0)),"",INDEX('Compliance Database'!$M$2:$M$1369,MATCH(272,Engine!$C$2:$C$1369,0)))</f>
        <v/>
      </c>
      <c r="N285" s="9">
        <f>IF(ISNA(MATCH(272,Engine!$C$2:$C$1369,0)),"",INDEX('Compliance Database'!$N$2:$N$1369,MATCH(272,Engine!$C$2:$C$1369,0)))</f>
        <v/>
      </c>
      <c r="O285" s="8">
        <f>IF(ISNA(MATCH(272,Engine!$C$2:$C$1369,0)),"",HYPERLINK(INDEX('Compliance Database'!$O$2:$O$1369,MATCH(272,Engine!$C$2:$C$1369,0)),"Open PDF"))</f>
        <v/>
      </c>
    </row>
    <row r="286" ht="188" customHeight="1">
      <c r="A286" s="8">
        <f>IF(ISNA(MATCH(273,Engine!$C$2:$C$1369,0)),"",INDEX('Compliance Database'!$A$2:$A$1369,MATCH(273,Engine!$C$2:$C$1369,0)))</f>
        <v/>
      </c>
      <c r="B286" s="8">
        <f>IF(ISNA(MATCH(273,Engine!$C$2:$C$1369,0)),"",INDEX('Compliance Database'!$B$2:$B$1369,MATCH(273,Engine!$C$2:$C$1369,0)))</f>
        <v/>
      </c>
      <c r="C286" s="8">
        <f>IF(ISNA(MATCH(273,Engine!$C$2:$C$1369,0)),"",INDEX('Compliance Database'!$C$2:$C$1369,MATCH(273,Engine!$C$2:$C$1369,0)))</f>
        <v/>
      </c>
      <c r="D286" s="9">
        <f>IF(ISNA(MATCH(273,Engine!$C$2:$C$1369,0)),"",INDEX('Compliance Database'!$D$2:$D$1369,MATCH(273,Engine!$C$2:$C$1369,0)))</f>
        <v/>
      </c>
      <c r="E286" s="8">
        <f>IF(ISNA(MATCH(273,Engine!$C$2:$C$1369,0)),"",INDEX('Compliance Database'!$E$2:$E$1369,MATCH(273,Engine!$C$2:$C$1369,0)))</f>
        <v/>
      </c>
      <c r="F286" s="8">
        <f>IF(ISNA(MATCH(273,Engine!$C$2:$C$1369,0)),"",INDEX('Compliance Database'!$F$2:$F$1369,MATCH(273,Engine!$C$2:$C$1369,0)))</f>
        <v/>
      </c>
      <c r="G286" s="8">
        <f>IF(ISNA(MATCH(273,Engine!$C$2:$C$1369,0)),"",INDEX('Compliance Database'!$G$2:$G$1369,MATCH(273,Engine!$C$2:$C$1369,0)))</f>
        <v/>
      </c>
      <c r="H286" s="9">
        <f>IF(ISNA(MATCH(273,Engine!$C$2:$C$1369,0)),"",INDEX('Compliance Database'!$H$2:$H$1369,MATCH(273,Engine!$C$2:$C$1369,0)))</f>
        <v/>
      </c>
      <c r="I286" s="9">
        <f>IF(ISNA(MATCH(273,Engine!$C$2:$C$1369,0)),"",INDEX('Compliance Database'!$I$2:$I$1369,MATCH(273,Engine!$C$2:$C$1369,0)))</f>
        <v/>
      </c>
      <c r="J286" s="8">
        <f>IF(ISNA(MATCH(273,Engine!$C$2:$C$1369,0)),"",INDEX('Compliance Database'!$J$2:$J$1369,MATCH(273,Engine!$C$2:$C$1369,0)))</f>
        <v/>
      </c>
      <c r="K286" s="9">
        <f>IF(ISNA(MATCH(273,Engine!$C$2:$C$1369,0)),"",INDEX('Compliance Database'!$K$2:$K$1369,MATCH(273,Engine!$C$2:$C$1369,0)))</f>
        <v/>
      </c>
      <c r="L286" s="9">
        <f>IF(ISNA(MATCH(273,Engine!$C$2:$C$1369,0)),"",INDEX('Compliance Database'!$L$2:$L$1369,MATCH(273,Engine!$C$2:$C$1369,0)))</f>
        <v/>
      </c>
      <c r="M286" s="9">
        <f>IF(ISNA(MATCH(273,Engine!$C$2:$C$1369,0)),"",INDEX('Compliance Database'!$M$2:$M$1369,MATCH(273,Engine!$C$2:$C$1369,0)))</f>
        <v/>
      </c>
      <c r="N286" s="9">
        <f>IF(ISNA(MATCH(273,Engine!$C$2:$C$1369,0)),"",INDEX('Compliance Database'!$N$2:$N$1369,MATCH(273,Engine!$C$2:$C$1369,0)))</f>
        <v/>
      </c>
      <c r="O286" s="8">
        <f>IF(ISNA(MATCH(273,Engine!$C$2:$C$1369,0)),"",HYPERLINK(INDEX('Compliance Database'!$O$2:$O$1369,MATCH(273,Engine!$C$2:$C$1369,0)),"Open PDF"))</f>
        <v/>
      </c>
    </row>
    <row r="287" ht="188" customHeight="1">
      <c r="A287" s="8">
        <f>IF(ISNA(MATCH(274,Engine!$C$2:$C$1369,0)),"",INDEX('Compliance Database'!$A$2:$A$1369,MATCH(274,Engine!$C$2:$C$1369,0)))</f>
        <v/>
      </c>
      <c r="B287" s="8">
        <f>IF(ISNA(MATCH(274,Engine!$C$2:$C$1369,0)),"",INDEX('Compliance Database'!$B$2:$B$1369,MATCH(274,Engine!$C$2:$C$1369,0)))</f>
        <v/>
      </c>
      <c r="C287" s="8">
        <f>IF(ISNA(MATCH(274,Engine!$C$2:$C$1369,0)),"",INDEX('Compliance Database'!$C$2:$C$1369,MATCH(274,Engine!$C$2:$C$1369,0)))</f>
        <v/>
      </c>
      <c r="D287" s="9">
        <f>IF(ISNA(MATCH(274,Engine!$C$2:$C$1369,0)),"",INDEX('Compliance Database'!$D$2:$D$1369,MATCH(274,Engine!$C$2:$C$1369,0)))</f>
        <v/>
      </c>
      <c r="E287" s="8">
        <f>IF(ISNA(MATCH(274,Engine!$C$2:$C$1369,0)),"",INDEX('Compliance Database'!$E$2:$E$1369,MATCH(274,Engine!$C$2:$C$1369,0)))</f>
        <v/>
      </c>
      <c r="F287" s="8">
        <f>IF(ISNA(MATCH(274,Engine!$C$2:$C$1369,0)),"",INDEX('Compliance Database'!$F$2:$F$1369,MATCH(274,Engine!$C$2:$C$1369,0)))</f>
        <v/>
      </c>
      <c r="G287" s="8">
        <f>IF(ISNA(MATCH(274,Engine!$C$2:$C$1369,0)),"",INDEX('Compliance Database'!$G$2:$G$1369,MATCH(274,Engine!$C$2:$C$1369,0)))</f>
        <v/>
      </c>
      <c r="H287" s="9">
        <f>IF(ISNA(MATCH(274,Engine!$C$2:$C$1369,0)),"",INDEX('Compliance Database'!$H$2:$H$1369,MATCH(274,Engine!$C$2:$C$1369,0)))</f>
        <v/>
      </c>
      <c r="I287" s="9">
        <f>IF(ISNA(MATCH(274,Engine!$C$2:$C$1369,0)),"",INDEX('Compliance Database'!$I$2:$I$1369,MATCH(274,Engine!$C$2:$C$1369,0)))</f>
        <v/>
      </c>
      <c r="J287" s="8">
        <f>IF(ISNA(MATCH(274,Engine!$C$2:$C$1369,0)),"",INDEX('Compliance Database'!$J$2:$J$1369,MATCH(274,Engine!$C$2:$C$1369,0)))</f>
        <v/>
      </c>
      <c r="K287" s="9">
        <f>IF(ISNA(MATCH(274,Engine!$C$2:$C$1369,0)),"",INDEX('Compliance Database'!$K$2:$K$1369,MATCH(274,Engine!$C$2:$C$1369,0)))</f>
        <v/>
      </c>
      <c r="L287" s="9">
        <f>IF(ISNA(MATCH(274,Engine!$C$2:$C$1369,0)),"",INDEX('Compliance Database'!$L$2:$L$1369,MATCH(274,Engine!$C$2:$C$1369,0)))</f>
        <v/>
      </c>
      <c r="M287" s="9">
        <f>IF(ISNA(MATCH(274,Engine!$C$2:$C$1369,0)),"",INDEX('Compliance Database'!$M$2:$M$1369,MATCH(274,Engine!$C$2:$C$1369,0)))</f>
        <v/>
      </c>
      <c r="N287" s="9">
        <f>IF(ISNA(MATCH(274,Engine!$C$2:$C$1369,0)),"",INDEX('Compliance Database'!$N$2:$N$1369,MATCH(274,Engine!$C$2:$C$1369,0)))</f>
        <v/>
      </c>
      <c r="O287" s="8">
        <f>IF(ISNA(MATCH(274,Engine!$C$2:$C$1369,0)),"",HYPERLINK(INDEX('Compliance Database'!$O$2:$O$1369,MATCH(274,Engine!$C$2:$C$1369,0)),"Open PDF"))</f>
        <v/>
      </c>
    </row>
    <row r="288" ht="188" customHeight="1">
      <c r="A288" s="8">
        <f>IF(ISNA(MATCH(275,Engine!$C$2:$C$1369,0)),"",INDEX('Compliance Database'!$A$2:$A$1369,MATCH(275,Engine!$C$2:$C$1369,0)))</f>
        <v/>
      </c>
      <c r="B288" s="8">
        <f>IF(ISNA(MATCH(275,Engine!$C$2:$C$1369,0)),"",INDEX('Compliance Database'!$B$2:$B$1369,MATCH(275,Engine!$C$2:$C$1369,0)))</f>
        <v/>
      </c>
      <c r="C288" s="8">
        <f>IF(ISNA(MATCH(275,Engine!$C$2:$C$1369,0)),"",INDEX('Compliance Database'!$C$2:$C$1369,MATCH(275,Engine!$C$2:$C$1369,0)))</f>
        <v/>
      </c>
      <c r="D288" s="9">
        <f>IF(ISNA(MATCH(275,Engine!$C$2:$C$1369,0)),"",INDEX('Compliance Database'!$D$2:$D$1369,MATCH(275,Engine!$C$2:$C$1369,0)))</f>
        <v/>
      </c>
      <c r="E288" s="8">
        <f>IF(ISNA(MATCH(275,Engine!$C$2:$C$1369,0)),"",INDEX('Compliance Database'!$E$2:$E$1369,MATCH(275,Engine!$C$2:$C$1369,0)))</f>
        <v/>
      </c>
      <c r="F288" s="8">
        <f>IF(ISNA(MATCH(275,Engine!$C$2:$C$1369,0)),"",INDEX('Compliance Database'!$F$2:$F$1369,MATCH(275,Engine!$C$2:$C$1369,0)))</f>
        <v/>
      </c>
      <c r="G288" s="8">
        <f>IF(ISNA(MATCH(275,Engine!$C$2:$C$1369,0)),"",INDEX('Compliance Database'!$G$2:$G$1369,MATCH(275,Engine!$C$2:$C$1369,0)))</f>
        <v/>
      </c>
      <c r="H288" s="9">
        <f>IF(ISNA(MATCH(275,Engine!$C$2:$C$1369,0)),"",INDEX('Compliance Database'!$H$2:$H$1369,MATCH(275,Engine!$C$2:$C$1369,0)))</f>
        <v/>
      </c>
      <c r="I288" s="9">
        <f>IF(ISNA(MATCH(275,Engine!$C$2:$C$1369,0)),"",INDEX('Compliance Database'!$I$2:$I$1369,MATCH(275,Engine!$C$2:$C$1369,0)))</f>
        <v/>
      </c>
      <c r="J288" s="8">
        <f>IF(ISNA(MATCH(275,Engine!$C$2:$C$1369,0)),"",INDEX('Compliance Database'!$J$2:$J$1369,MATCH(275,Engine!$C$2:$C$1369,0)))</f>
        <v/>
      </c>
      <c r="K288" s="9">
        <f>IF(ISNA(MATCH(275,Engine!$C$2:$C$1369,0)),"",INDEX('Compliance Database'!$K$2:$K$1369,MATCH(275,Engine!$C$2:$C$1369,0)))</f>
        <v/>
      </c>
      <c r="L288" s="9">
        <f>IF(ISNA(MATCH(275,Engine!$C$2:$C$1369,0)),"",INDEX('Compliance Database'!$L$2:$L$1369,MATCH(275,Engine!$C$2:$C$1369,0)))</f>
        <v/>
      </c>
      <c r="M288" s="9">
        <f>IF(ISNA(MATCH(275,Engine!$C$2:$C$1369,0)),"",INDEX('Compliance Database'!$M$2:$M$1369,MATCH(275,Engine!$C$2:$C$1369,0)))</f>
        <v/>
      </c>
      <c r="N288" s="9">
        <f>IF(ISNA(MATCH(275,Engine!$C$2:$C$1369,0)),"",INDEX('Compliance Database'!$N$2:$N$1369,MATCH(275,Engine!$C$2:$C$1369,0)))</f>
        <v/>
      </c>
      <c r="O288" s="8">
        <f>IF(ISNA(MATCH(275,Engine!$C$2:$C$1369,0)),"",HYPERLINK(INDEX('Compliance Database'!$O$2:$O$1369,MATCH(275,Engine!$C$2:$C$1369,0)),"Open PDF"))</f>
        <v/>
      </c>
    </row>
    <row r="289" ht="188" customHeight="1">
      <c r="A289" s="8">
        <f>IF(ISNA(MATCH(276,Engine!$C$2:$C$1369,0)),"",INDEX('Compliance Database'!$A$2:$A$1369,MATCH(276,Engine!$C$2:$C$1369,0)))</f>
        <v/>
      </c>
      <c r="B289" s="8">
        <f>IF(ISNA(MATCH(276,Engine!$C$2:$C$1369,0)),"",INDEX('Compliance Database'!$B$2:$B$1369,MATCH(276,Engine!$C$2:$C$1369,0)))</f>
        <v/>
      </c>
      <c r="C289" s="8">
        <f>IF(ISNA(MATCH(276,Engine!$C$2:$C$1369,0)),"",INDEX('Compliance Database'!$C$2:$C$1369,MATCH(276,Engine!$C$2:$C$1369,0)))</f>
        <v/>
      </c>
      <c r="D289" s="9">
        <f>IF(ISNA(MATCH(276,Engine!$C$2:$C$1369,0)),"",INDEX('Compliance Database'!$D$2:$D$1369,MATCH(276,Engine!$C$2:$C$1369,0)))</f>
        <v/>
      </c>
      <c r="E289" s="8">
        <f>IF(ISNA(MATCH(276,Engine!$C$2:$C$1369,0)),"",INDEX('Compliance Database'!$E$2:$E$1369,MATCH(276,Engine!$C$2:$C$1369,0)))</f>
        <v/>
      </c>
      <c r="F289" s="8">
        <f>IF(ISNA(MATCH(276,Engine!$C$2:$C$1369,0)),"",INDEX('Compliance Database'!$F$2:$F$1369,MATCH(276,Engine!$C$2:$C$1369,0)))</f>
        <v/>
      </c>
      <c r="G289" s="8">
        <f>IF(ISNA(MATCH(276,Engine!$C$2:$C$1369,0)),"",INDEX('Compliance Database'!$G$2:$G$1369,MATCH(276,Engine!$C$2:$C$1369,0)))</f>
        <v/>
      </c>
      <c r="H289" s="9">
        <f>IF(ISNA(MATCH(276,Engine!$C$2:$C$1369,0)),"",INDEX('Compliance Database'!$H$2:$H$1369,MATCH(276,Engine!$C$2:$C$1369,0)))</f>
        <v/>
      </c>
      <c r="I289" s="9">
        <f>IF(ISNA(MATCH(276,Engine!$C$2:$C$1369,0)),"",INDEX('Compliance Database'!$I$2:$I$1369,MATCH(276,Engine!$C$2:$C$1369,0)))</f>
        <v/>
      </c>
      <c r="J289" s="8">
        <f>IF(ISNA(MATCH(276,Engine!$C$2:$C$1369,0)),"",INDEX('Compliance Database'!$J$2:$J$1369,MATCH(276,Engine!$C$2:$C$1369,0)))</f>
        <v/>
      </c>
      <c r="K289" s="9">
        <f>IF(ISNA(MATCH(276,Engine!$C$2:$C$1369,0)),"",INDEX('Compliance Database'!$K$2:$K$1369,MATCH(276,Engine!$C$2:$C$1369,0)))</f>
        <v/>
      </c>
      <c r="L289" s="9">
        <f>IF(ISNA(MATCH(276,Engine!$C$2:$C$1369,0)),"",INDEX('Compliance Database'!$L$2:$L$1369,MATCH(276,Engine!$C$2:$C$1369,0)))</f>
        <v/>
      </c>
      <c r="M289" s="9">
        <f>IF(ISNA(MATCH(276,Engine!$C$2:$C$1369,0)),"",INDEX('Compliance Database'!$M$2:$M$1369,MATCH(276,Engine!$C$2:$C$1369,0)))</f>
        <v/>
      </c>
      <c r="N289" s="9">
        <f>IF(ISNA(MATCH(276,Engine!$C$2:$C$1369,0)),"",INDEX('Compliance Database'!$N$2:$N$1369,MATCH(276,Engine!$C$2:$C$1369,0)))</f>
        <v/>
      </c>
      <c r="O289" s="8">
        <f>IF(ISNA(MATCH(276,Engine!$C$2:$C$1369,0)),"",HYPERLINK(INDEX('Compliance Database'!$O$2:$O$1369,MATCH(276,Engine!$C$2:$C$1369,0)),"Open PDF"))</f>
        <v/>
      </c>
    </row>
    <row r="290" ht="188" customHeight="1">
      <c r="A290" s="8">
        <f>IF(ISNA(MATCH(277,Engine!$C$2:$C$1369,0)),"",INDEX('Compliance Database'!$A$2:$A$1369,MATCH(277,Engine!$C$2:$C$1369,0)))</f>
        <v/>
      </c>
      <c r="B290" s="8">
        <f>IF(ISNA(MATCH(277,Engine!$C$2:$C$1369,0)),"",INDEX('Compliance Database'!$B$2:$B$1369,MATCH(277,Engine!$C$2:$C$1369,0)))</f>
        <v/>
      </c>
      <c r="C290" s="8">
        <f>IF(ISNA(MATCH(277,Engine!$C$2:$C$1369,0)),"",INDEX('Compliance Database'!$C$2:$C$1369,MATCH(277,Engine!$C$2:$C$1369,0)))</f>
        <v/>
      </c>
      <c r="D290" s="9">
        <f>IF(ISNA(MATCH(277,Engine!$C$2:$C$1369,0)),"",INDEX('Compliance Database'!$D$2:$D$1369,MATCH(277,Engine!$C$2:$C$1369,0)))</f>
        <v/>
      </c>
      <c r="E290" s="8">
        <f>IF(ISNA(MATCH(277,Engine!$C$2:$C$1369,0)),"",INDEX('Compliance Database'!$E$2:$E$1369,MATCH(277,Engine!$C$2:$C$1369,0)))</f>
        <v/>
      </c>
      <c r="F290" s="8">
        <f>IF(ISNA(MATCH(277,Engine!$C$2:$C$1369,0)),"",INDEX('Compliance Database'!$F$2:$F$1369,MATCH(277,Engine!$C$2:$C$1369,0)))</f>
        <v/>
      </c>
      <c r="G290" s="8">
        <f>IF(ISNA(MATCH(277,Engine!$C$2:$C$1369,0)),"",INDEX('Compliance Database'!$G$2:$G$1369,MATCH(277,Engine!$C$2:$C$1369,0)))</f>
        <v/>
      </c>
      <c r="H290" s="9">
        <f>IF(ISNA(MATCH(277,Engine!$C$2:$C$1369,0)),"",INDEX('Compliance Database'!$H$2:$H$1369,MATCH(277,Engine!$C$2:$C$1369,0)))</f>
        <v/>
      </c>
      <c r="I290" s="9">
        <f>IF(ISNA(MATCH(277,Engine!$C$2:$C$1369,0)),"",INDEX('Compliance Database'!$I$2:$I$1369,MATCH(277,Engine!$C$2:$C$1369,0)))</f>
        <v/>
      </c>
      <c r="J290" s="8">
        <f>IF(ISNA(MATCH(277,Engine!$C$2:$C$1369,0)),"",INDEX('Compliance Database'!$J$2:$J$1369,MATCH(277,Engine!$C$2:$C$1369,0)))</f>
        <v/>
      </c>
      <c r="K290" s="9">
        <f>IF(ISNA(MATCH(277,Engine!$C$2:$C$1369,0)),"",INDEX('Compliance Database'!$K$2:$K$1369,MATCH(277,Engine!$C$2:$C$1369,0)))</f>
        <v/>
      </c>
      <c r="L290" s="9">
        <f>IF(ISNA(MATCH(277,Engine!$C$2:$C$1369,0)),"",INDEX('Compliance Database'!$L$2:$L$1369,MATCH(277,Engine!$C$2:$C$1369,0)))</f>
        <v/>
      </c>
      <c r="M290" s="9">
        <f>IF(ISNA(MATCH(277,Engine!$C$2:$C$1369,0)),"",INDEX('Compliance Database'!$M$2:$M$1369,MATCH(277,Engine!$C$2:$C$1369,0)))</f>
        <v/>
      </c>
      <c r="N290" s="9">
        <f>IF(ISNA(MATCH(277,Engine!$C$2:$C$1369,0)),"",INDEX('Compliance Database'!$N$2:$N$1369,MATCH(277,Engine!$C$2:$C$1369,0)))</f>
        <v/>
      </c>
      <c r="O290" s="8">
        <f>IF(ISNA(MATCH(277,Engine!$C$2:$C$1369,0)),"",HYPERLINK(INDEX('Compliance Database'!$O$2:$O$1369,MATCH(277,Engine!$C$2:$C$1369,0)),"Open PDF"))</f>
        <v/>
      </c>
    </row>
    <row r="291" ht="188" customHeight="1">
      <c r="A291" s="8">
        <f>IF(ISNA(MATCH(278,Engine!$C$2:$C$1369,0)),"",INDEX('Compliance Database'!$A$2:$A$1369,MATCH(278,Engine!$C$2:$C$1369,0)))</f>
        <v/>
      </c>
      <c r="B291" s="8">
        <f>IF(ISNA(MATCH(278,Engine!$C$2:$C$1369,0)),"",INDEX('Compliance Database'!$B$2:$B$1369,MATCH(278,Engine!$C$2:$C$1369,0)))</f>
        <v/>
      </c>
      <c r="C291" s="8">
        <f>IF(ISNA(MATCH(278,Engine!$C$2:$C$1369,0)),"",INDEX('Compliance Database'!$C$2:$C$1369,MATCH(278,Engine!$C$2:$C$1369,0)))</f>
        <v/>
      </c>
      <c r="D291" s="9">
        <f>IF(ISNA(MATCH(278,Engine!$C$2:$C$1369,0)),"",INDEX('Compliance Database'!$D$2:$D$1369,MATCH(278,Engine!$C$2:$C$1369,0)))</f>
        <v/>
      </c>
      <c r="E291" s="8">
        <f>IF(ISNA(MATCH(278,Engine!$C$2:$C$1369,0)),"",INDEX('Compliance Database'!$E$2:$E$1369,MATCH(278,Engine!$C$2:$C$1369,0)))</f>
        <v/>
      </c>
      <c r="F291" s="8">
        <f>IF(ISNA(MATCH(278,Engine!$C$2:$C$1369,0)),"",INDEX('Compliance Database'!$F$2:$F$1369,MATCH(278,Engine!$C$2:$C$1369,0)))</f>
        <v/>
      </c>
      <c r="G291" s="8">
        <f>IF(ISNA(MATCH(278,Engine!$C$2:$C$1369,0)),"",INDEX('Compliance Database'!$G$2:$G$1369,MATCH(278,Engine!$C$2:$C$1369,0)))</f>
        <v/>
      </c>
      <c r="H291" s="9">
        <f>IF(ISNA(MATCH(278,Engine!$C$2:$C$1369,0)),"",INDEX('Compliance Database'!$H$2:$H$1369,MATCH(278,Engine!$C$2:$C$1369,0)))</f>
        <v/>
      </c>
      <c r="I291" s="9">
        <f>IF(ISNA(MATCH(278,Engine!$C$2:$C$1369,0)),"",INDEX('Compliance Database'!$I$2:$I$1369,MATCH(278,Engine!$C$2:$C$1369,0)))</f>
        <v/>
      </c>
      <c r="J291" s="8">
        <f>IF(ISNA(MATCH(278,Engine!$C$2:$C$1369,0)),"",INDEX('Compliance Database'!$J$2:$J$1369,MATCH(278,Engine!$C$2:$C$1369,0)))</f>
        <v/>
      </c>
      <c r="K291" s="9">
        <f>IF(ISNA(MATCH(278,Engine!$C$2:$C$1369,0)),"",INDEX('Compliance Database'!$K$2:$K$1369,MATCH(278,Engine!$C$2:$C$1369,0)))</f>
        <v/>
      </c>
      <c r="L291" s="9">
        <f>IF(ISNA(MATCH(278,Engine!$C$2:$C$1369,0)),"",INDEX('Compliance Database'!$L$2:$L$1369,MATCH(278,Engine!$C$2:$C$1369,0)))</f>
        <v/>
      </c>
      <c r="M291" s="9">
        <f>IF(ISNA(MATCH(278,Engine!$C$2:$C$1369,0)),"",INDEX('Compliance Database'!$M$2:$M$1369,MATCH(278,Engine!$C$2:$C$1369,0)))</f>
        <v/>
      </c>
      <c r="N291" s="9">
        <f>IF(ISNA(MATCH(278,Engine!$C$2:$C$1369,0)),"",INDEX('Compliance Database'!$N$2:$N$1369,MATCH(278,Engine!$C$2:$C$1369,0)))</f>
        <v/>
      </c>
      <c r="O291" s="8">
        <f>IF(ISNA(MATCH(278,Engine!$C$2:$C$1369,0)),"",HYPERLINK(INDEX('Compliance Database'!$O$2:$O$1369,MATCH(278,Engine!$C$2:$C$1369,0)),"Open PDF"))</f>
        <v/>
      </c>
    </row>
    <row r="292" ht="188" customHeight="1">
      <c r="A292" s="8">
        <f>IF(ISNA(MATCH(279,Engine!$C$2:$C$1369,0)),"",INDEX('Compliance Database'!$A$2:$A$1369,MATCH(279,Engine!$C$2:$C$1369,0)))</f>
        <v/>
      </c>
      <c r="B292" s="8">
        <f>IF(ISNA(MATCH(279,Engine!$C$2:$C$1369,0)),"",INDEX('Compliance Database'!$B$2:$B$1369,MATCH(279,Engine!$C$2:$C$1369,0)))</f>
        <v/>
      </c>
      <c r="C292" s="8">
        <f>IF(ISNA(MATCH(279,Engine!$C$2:$C$1369,0)),"",INDEX('Compliance Database'!$C$2:$C$1369,MATCH(279,Engine!$C$2:$C$1369,0)))</f>
        <v/>
      </c>
      <c r="D292" s="9">
        <f>IF(ISNA(MATCH(279,Engine!$C$2:$C$1369,0)),"",INDEX('Compliance Database'!$D$2:$D$1369,MATCH(279,Engine!$C$2:$C$1369,0)))</f>
        <v/>
      </c>
      <c r="E292" s="8">
        <f>IF(ISNA(MATCH(279,Engine!$C$2:$C$1369,0)),"",INDEX('Compliance Database'!$E$2:$E$1369,MATCH(279,Engine!$C$2:$C$1369,0)))</f>
        <v/>
      </c>
      <c r="F292" s="8">
        <f>IF(ISNA(MATCH(279,Engine!$C$2:$C$1369,0)),"",INDEX('Compliance Database'!$F$2:$F$1369,MATCH(279,Engine!$C$2:$C$1369,0)))</f>
        <v/>
      </c>
      <c r="G292" s="8">
        <f>IF(ISNA(MATCH(279,Engine!$C$2:$C$1369,0)),"",INDEX('Compliance Database'!$G$2:$G$1369,MATCH(279,Engine!$C$2:$C$1369,0)))</f>
        <v/>
      </c>
      <c r="H292" s="9">
        <f>IF(ISNA(MATCH(279,Engine!$C$2:$C$1369,0)),"",INDEX('Compliance Database'!$H$2:$H$1369,MATCH(279,Engine!$C$2:$C$1369,0)))</f>
        <v/>
      </c>
      <c r="I292" s="9">
        <f>IF(ISNA(MATCH(279,Engine!$C$2:$C$1369,0)),"",INDEX('Compliance Database'!$I$2:$I$1369,MATCH(279,Engine!$C$2:$C$1369,0)))</f>
        <v/>
      </c>
      <c r="J292" s="8">
        <f>IF(ISNA(MATCH(279,Engine!$C$2:$C$1369,0)),"",INDEX('Compliance Database'!$J$2:$J$1369,MATCH(279,Engine!$C$2:$C$1369,0)))</f>
        <v/>
      </c>
      <c r="K292" s="9">
        <f>IF(ISNA(MATCH(279,Engine!$C$2:$C$1369,0)),"",INDEX('Compliance Database'!$K$2:$K$1369,MATCH(279,Engine!$C$2:$C$1369,0)))</f>
        <v/>
      </c>
      <c r="L292" s="9">
        <f>IF(ISNA(MATCH(279,Engine!$C$2:$C$1369,0)),"",INDEX('Compliance Database'!$L$2:$L$1369,MATCH(279,Engine!$C$2:$C$1369,0)))</f>
        <v/>
      </c>
      <c r="M292" s="9">
        <f>IF(ISNA(MATCH(279,Engine!$C$2:$C$1369,0)),"",INDEX('Compliance Database'!$M$2:$M$1369,MATCH(279,Engine!$C$2:$C$1369,0)))</f>
        <v/>
      </c>
      <c r="N292" s="9">
        <f>IF(ISNA(MATCH(279,Engine!$C$2:$C$1369,0)),"",INDEX('Compliance Database'!$N$2:$N$1369,MATCH(279,Engine!$C$2:$C$1369,0)))</f>
        <v/>
      </c>
      <c r="O292" s="8">
        <f>IF(ISNA(MATCH(279,Engine!$C$2:$C$1369,0)),"",HYPERLINK(INDEX('Compliance Database'!$O$2:$O$1369,MATCH(279,Engine!$C$2:$C$1369,0)),"Open PDF"))</f>
        <v/>
      </c>
    </row>
    <row r="293" ht="188" customHeight="1">
      <c r="A293" s="8">
        <f>IF(ISNA(MATCH(280,Engine!$C$2:$C$1369,0)),"",INDEX('Compliance Database'!$A$2:$A$1369,MATCH(280,Engine!$C$2:$C$1369,0)))</f>
        <v/>
      </c>
      <c r="B293" s="8">
        <f>IF(ISNA(MATCH(280,Engine!$C$2:$C$1369,0)),"",INDEX('Compliance Database'!$B$2:$B$1369,MATCH(280,Engine!$C$2:$C$1369,0)))</f>
        <v/>
      </c>
      <c r="C293" s="8">
        <f>IF(ISNA(MATCH(280,Engine!$C$2:$C$1369,0)),"",INDEX('Compliance Database'!$C$2:$C$1369,MATCH(280,Engine!$C$2:$C$1369,0)))</f>
        <v/>
      </c>
      <c r="D293" s="9">
        <f>IF(ISNA(MATCH(280,Engine!$C$2:$C$1369,0)),"",INDEX('Compliance Database'!$D$2:$D$1369,MATCH(280,Engine!$C$2:$C$1369,0)))</f>
        <v/>
      </c>
      <c r="E293" s="8">
        <f>IF(ISNA(MATCH(280,Engine!$C$2:$C$1369,0)),"",INDEX('Compliance Database'!$E$2:$E$1369,MATCH(280,Engine!$C$2:$C$1369,0)))</f>
        <v/>
      </c>
      <c r="F293" s="8">
        <f>IF(ISNA(MATCH(280,Engine!$C$2:$C$1369,0)),"",INDEX('Compliance Database'!$F$2:$F$1369,MATCH(280,Engine!$C$2:$C$1369,0)))</f>
        <v/>
      </c>
      <c r="G293" s="8">
        <f>IF(ISNA(MATCH(280,Engine!$C$2:$C$1369,0)),"",INDEX('Compliance Database'!$G$2:$G$1369,MATCH(280,Engine!$C$2:$C$1369,0)))</f>
        <v/>
      </c>
      <c r="H293" s="9">
        <f>IF(ISNA(MATCH(280,Engine!$C$2:$C$1369,0)),"",INDEX('Compliance Database'!$H$2:$H$1369,MATCH(280,Engine!$C$2:$C$1369,0)))</f>
        <v/>
      </c>
      <c r="I293" s="9">
        <f>IF(ISNA(MATCH(280,Engine!$C$2:$C$1369,0)),"",INDEX('Compliance Database'!$I$2:$I$1369,MATCH(280,Engine!$C$2:$C$1369,0)))</f>
        <v/>
      </c>
      <c r="J293" s="8">
        <f>IF(ISNA(MATCH(280,Engine!$C$2:$C$1369,0)),"",INDEX('Compliance Database'!$J$2:$J$1369,MATCH(280,Engine!$C$2:$C$1369,0)))</f>
        <v/>
      </c>
      <c r="K293" s="9">
        <f>IF(ISNA(MATCH(280,Engine!$C$2:$C$1369,0)),"",INDEX('Compliance Database'!$K$2:$K$1369,MATCH(280,Engine!$C$2:$C$1369,0)))</f>
        <v/>
      </c>
      <c r="L293" s="9">
        <f>IF(ISNA(MATCH(280,Engine!$C$2:$C$1369,0)),"",INDEX('Compliance Database'!$L$2:$L$1369,MATCH(280,Engine!$C$2:$C$1369,0)))</f>
        <v/>
      </c>
      <c r="M293" s="9">
        <f>IF(ISNA(MATCH(280,Engine!$C$2:$C$1369,0)),"",INDEX('Compliance Database'!$M$2:$M$1369,MATCH(280,Engine!$C$2:$C$1369,0)))</f>
        <v/>
      </c>
      <c r="N293" s="9">
        <f>IF(ISNA(MATCH(280,Engine!$C$2:$C$1369,0)),"",INDEX('Compliance Database'!$N$2:$N$1369,MATCH(280,Engine!$C$2:$C$1369,0)))</f>
        <v/>
      </c>
      <c r="O293" s="8">
        <f>IF(ISNA(MATCH(280,Engine!$C$2:$C$1369,0)),"",HYPERLINK(INDEX('Compliance Database'!$O$2:$O$1369,MATCH(280,Engine!$C$2:$C$1369,0)),"Open PDF"))</f>
        <v/>
      </c>
    </row>
    <row r="294" ht="188" customHeight="1">
      <c r="A294" s="8">
        <f>IF(ISNA(MATCH(281,Engine!$C$2:$C$1369,0)),"",INDEX('Compliance Database'!$A$2:$A$1369,MATCH(281,Engine!$C$2:$C$1369,0)))</f>
        <v/>
      </c>
      <c r="B294" s="8">
        <f>IF(ISNA(MATCH(281,Engine!$C$2:$C$1369,0)),"",INDEX('Compliance Database'!$B$2:$B$1369,MATCH(281,Engine!$C$2:$C$1369,0)))</f>
        <v/>
      </c>
      <c r="C294" s="8">
        <f>IF(ISNA(MATCH(281,Engine!$C$2:$C$1369,0)),"",INDEX('Compliance Database'!$C$2:$C$1369,MATCH(281,Engine!$C$2:$C$1369,0)))</f>
        <v/>
      </c>
      <c r="D294" s="9">
        <f>IF(ISNA(MATCH(281,Engine!$C$2:$C$1369,0)),"",INDEX('Compliance Database'!$D$2:$D$1369,MATCH(281,Engine!$C$2:$C$1369,0)))</f>
        <v/>
      </c>
      <c r="E294" s="8">
        <f>IF(ISNA(MATCH(281,Engine!$C$2:$C$1369,0)),"",INDEX('Compliance Database'!$E$2:$E$1369,MATCH(281,Engine!$C$2:$C$1369,0)))</f>
        <v/>
      </c>
      <c r="F294" s="8">
        <f>IF(ISNA(MATCH(281,Engine!$C$2:$C$1369,0)),"",INDEX('Compliance Database'!$F$2:$F$1369,MATCH(281,Engine!$C$2:$C$1369,0)))</f>
        <v/>
      </c>
      <c r="G294" s="8">
        <f>IF(ISNA(MATCH(281,Engine!$C$2:$C$1369,0)),"",INDEX('Compliance Database'!$G$2:$G$1369,MATCH(281,Engine!$C$2:$C$1369,0)))</f>
        <v/>
      </c>
      <c r="H294" s="9">
        <f>IF(ISNA(MATCH(281,Engine!$C$2:$C$1369,0)),"",INDEX('Compliance Database'!$H$2:$H$1369,MATCH(281,Engine!$C$2:$C$1369,0)))</f>
        <v/>
      </c>
      <c r="I294" s="9">
        <f>IF(ISNA(MATCH(281,Engine!$C$2:$C$1369,0)),"",INDEX('Compliance Database'!$I$2:$I$1369,MATCH(281,Engine!$C$2:$C$1369,0)))</f>
        <v/>
      </c>
      <c r="J294" s="8">
        <f>IF(ISNA(MATCH(281,Engine!$C$2:$C$1369,0)),"",INDEX('Compliance Database'!$J$2:$J$1369,MATCH(281,Engine!$C$2:$C$1369,0)))</f>
        <v/>
      </c>
      <c r="K294" s="9">
        <f>IF(ISNA(MATCH(281,Engine!$C$2:$C$1369,0)),"",INDEX('Compliance Database'!$K$2:$K$1369,MATCH(281,Engine!$C$2:$C$1369,0)))</f>
        <v/>
      </c>
      <c r="L294" s="9">
        <f>IF(ISNA(MATCH(281,Engine!$C$2:$C$1369,0)),"",INDEX('Compliance Database'!$L$2:$L$1369,MATCH(281,Engine!$C$2:$C$1369,0)))</f>
        <v/>
      </c>
      <c r="M294" s="9">
        <f>IF(ISNA(MATCH(281,Engine!$C$2:$C$1369,0)),"",INDEX('Compliance Database'!$M$2:$M$1369,MATCH(281,Engine!$C$2:$C$1369,0)))</f>
        <v/>
      </c>
      <c r="N294" s="9">
        <f>IF(ISNA(MATCH(281,Engine!$C$2:$C$1369,0)),"",INDEX('Compliance Database'!$N$2:$N$1369,MATCH(281,Engine!$C$2:$C$1369,0)))</f>
        <v/>
      </c>
      <c r="O294" s="8">
        <f>IF(ISNA(MATCH(281,Engine!$C$2:$C$1369,0)),"",HYPERLINK(INDEX('Compliance Database'!$O$2:$O$1369,MATCH(281,Engine!$C$2:$C$1369,0)),"Open PDF"))</f>
        <v/>
      </c>
    </row>
    <row r="295" ht="188" customHeight="1">
      <c r="A295" s="8">
        <f>IF(ISNA(MATCH(282,Engine!$C$2:$C$1369,0)),"",INDEX('Compliance Database'!$A$2:$A$1369,MATCH(282,Engine!$C$2:$C$1369,0)))</f>
        <v/>
      </c>
      <c r="B295" s="8">
        <f>IF(ISNA(MATCH(282,Engine!$C$2:$C$1369,0)),"",INDEX('Compliance Database'!$B$2:$B$1369,MATCH(282,Engine!$C$2:$C$1369,0)))</f>
        <v/>
      </c>
      <c r="C295" s="8">
        <f>IF(ISNA(MATCH(282,Engine!$C$2:$C$1369,0)),"",INDEX('Compliance Database'!$C$2:$C$1369,MATCH(282,Engine!$C$2:$C$1369,0)))</f>
        <v/>
      </c>
      <c r="D295" s="9">
        <f>IF(ISNA(MATCH(282,Engine!$C$2:$C$1369,0)),"",INDEX('Compliance Database'!$D$2:$D$1369,MATCH(282,Engine!$C$2:$C$1369,0)))</f>
        <v/>
      </c>
      <c r="E295" s="8">
        <f>IF(ISNA(MATCH(282,Engine!$C$2:$C$1369,0)),"",INDEX('Compliance Database'!$E$2:$E$1369,MATCH(282,Engine!$C$2:$C$1369,0)))</f>
        <v/>
      </c>
      <c r="F295" s="8">
        <f>IF(ISNA(MATCH(282,Engine!$C$2:$C$1369,0)),"",INDEX('Compliance Database'!$F$2:$F$1369,MATCH(282,Engine!$C$2:$C$1369,0)))</f>
        <v/>
      </c>
      <c r="G295" s="8">
        <f>IF(ISNA(MATCH(282,Engine!$C$2:$C$1369,0)),"",INDEX('Compliance Database'!$G$2:$G$1369,MATCH(282,Engine!$C$2:$C$1369,0)))</f>
        <v/>
      </c>
      <c r="H295" s="9">
        <f>IF(ISNA(MATCH(282,Engine!$C$2:$C$1369,0)),"",INDEX('Compliance Database'!$H$2:$H$1369,MATCH(282,Engine!$C$2:$C$1369,0)))</f>
        <v/>
      </c>
      <c r="I295" s="9">
        <f>IF(ISNA(MATCH(282,Engine!$C$2:$C$1369,0)),"",INDEX('Compliance Database'!$I$2:$I$1369,MATCH(282,Engine!$C$2:$C$1369,0)))</f>
        <v/>
      </c>
      <c r="J295" s="8">
        <f>IF(ISNA(MATCH(282,Engine!$C$2:$C$1369,0)),"",INDEX('Compliance Database'!$J$2:$J$1369,MATCH(282,Engine!$C$2:$C$1369,0)))</f>
        <v/>
      </c>
      <c r="K295" s="9">
        <f>IF(ISNA(MATCH(282,Engine!$C$2:$C$1369,0)),"",INDEX('Compliance Database'!$K$2:$K$1369,MATCH(282,Engine!$C$2:$C$1369,0)))</f>
        <v/>
      </c>
      <c r="L295" s="9">
        <f>IF(ISNA(MATCH(282,Engine!$C$2:$C$1369,0)),"",INDEX('Compliance Database'!$L$2:$L$1369,MATCH(282,Engine!$C$2:$C$1369,0)))</f>
        <v/>
      </c>
      <c r="M295" s="9">
        <f>IF(ISNA(MATCH(282,Engine!$C$2:$C$1369,0)),"",INDEX('Compliance Database'!$M$2:$M$1369,MATCH(282,Engine!$C$2:$C$1369,0)))</f>
        <v/>
      </c>
      <c r="N295" s="9">
        <f>IF(ISNA(MATCH(282,Engine!$C$2:$C$1369,0)),"",INDEX('Compliance Database'!$N$2:$N$1369,MATCH(282,Engine!$C$2:$C$1369,0)))</f>
        <v/>
      </c>
      <c r="O295" s="8">
        <f>IF(ISNA(MATCH(282,Engine!$C$2:$C$1369,0)),"",HYPERLINK(INDEX('Compliance Database'!$O$2:$O$1369,MATCH(282,Engine!$C$2:$C$1369,0)),"Open PDF"))</f>
        <v/>
      </c>
    </row>
    <row r="296" ht="188" customHeight="1">
      <c r="A296" s="8">
        <f>IF(ISNA(MATCH(283,Engine!$C$2:$C$1369,0)),"",INDEX('Compliance Database'!$A$2:$A$1369,MATCH(283,Engine!$C$2:$C$1369,0)))</f>
        <v/>
      </c>
      <c r="B296" s="8">
        <f>IF(ISNA(MATCH(283,Engine!$C$2:$C$1369,0)),"",INDEX('Compliance Database'!$B$2:$B$1369,MATCH(283,Engine!$C$2:$C$1369,0)))</f>
        <v/>
      </c>
      <c r="C296" s="8">
        <f>IF(ISNA(MATCH(283,Engine!$C$2:$C$1369,0)),"",INDEX('Compliance Database'!$C$2:$C$1369,MATCH(283,Engine!$C$2:$C$1369,0)))</f>
        <v/>
      </c>
      <c r="D296" s="9">
        <f>IF(ISNA(MATCH(283,Engine!$C$2:$C$1369,0)),"",INDEX('Compliance Database'!$D$2:$D$1369,MATCH(283,Engine!$C$2:$C$1369,0)))</f>
        <v/>
      </c>
      <c r="E296" s="8">
        <f>IF(ISNA(MATCH(283,Engine!$C$2:$C$1369,0)),"",INDEX('Compliance Database'!$E$2:$E$1369,MATCH(283,Engine!$C$2:$C$1369,0)))</f>
        <v/>
      </c>
      <c r="F296" s="8">
        <f>IF(ISNA(MATCH(283,Engine!$C$2:$C$1369,0)),"",INDEX('Compliance Database'!$F$2:$F$1369,MATCH(283,Engine!$C$2:$C$1369,0)))</f>
        <v/>
      </c>
      <c r="G296" s="8">
        <f>IF(ISNA(MATCH(283,Engine!$C$2:$C$1369,0)),"",INDEX('Compliance Database'!$G$2:$G$1369,MATCH(283,Engine!$C$2:$C$1369,0)))</f>
        <v/>
      </c>
      <c r="H296" s="9">
        <f>IF(ISNA(MATCH(283,Engine!$C$2:$C$1369,0)),"",INDEX('Compliance Database'!$H$2:$H$1369,MATCH(283,Engine!$C$2:$C$1369,0)))</f>
        <v/>
      </c>
      <c r="I296" s="9">
        <f>IF(ISNA(MATCH(283,Engine!$C$2:$C$1369,0)),"",INDEX('Compliance Database'!$I$2:$I$1369,MATCH(283,Engine!$C$2:$C$1369,0)))</f>
        <v/>
      </c>
      <c r="J296" s="8">
        <f>IF(ISNA(MATCH(283,Engine!$C$2:$C$1369,0)),"",INDEX('Compliance Database'!$J$2:$J$1369,MATCH(283,Engine!$C$2:$C$1369,0)))</f>
        <v/>
      </c>
      <c r="K296" s="9">
        <f>IF(ISNA(MATCH(283,Engine!$C$2:$C$1369,0)),"",INDEX('Compliance Database'!$K$2:$K$1369,MATCH(283,Engine!$C$2:$C$1369,0)))</f>
        <v/>
      </c>
      <c r="L296" s="9">
        <f>IF(ISNA(MATCH(283,Engine!$C$2:$C$1369,0)),"",INDEX('Compliance Database'!$L$2:$L$1369,MATCH(283,Engine!$C$2:$C$1369,0)))</f>
        <v/>
      </c>
      <c r="M296" s="9">
        <f>IF(ISNA(MATCH(283,Engine!$C$2:$C$1369,0)),"",INDEX('Compliance Database'!$M$2:$M$1369,MATCH(283,Engine!$C$2:$C$1369,0)))</f>
        <v/>
      </c>
      <c r="N296" s="9">
        <f>IF(ISNA(MATCH(283,Engine!$C$2:$C$1369,0)),"",INDEX('Compliance Database'!$N$2:$N$1369,MATCH(283,Engine!$C$2:$C$1369,0)))</f>
        <v/>
      </c>
      <c r="O296" s="8">
        <f>IF(ISNA(MATCH(283,Engine!$C$2:$C$1369,0)),"",HYPERLINK(INDEX('Compliance Database'!$O$2:$O$1369,MATCH(283,Engine!$C$2:$C$1369,0)),"Open PDF"))</f>
        <v/>
      </c>
    </row>
    <row r="297" ht="188" customHeight="1">
      <c r="A297" s="8">
        <f>IF(ISNA(MATCH(284,Engine!$C$2:$C$1369,0)),"",INDEX('Compliance Database'!$A$2:$A$1369,MATCH(284,Engine!$C$2:$C$1369,0)))</f>
        <v/>
      </c>
      <c r="B297" s="8">
        <f>IF(ISNA(MATCH(284,Engine!$C$2:$C$1369,0)),"",INDEX('Compliance Database'!$B$2:$B$1369,MATCH(284,Engine!$C$2:$C$1369,0)))</f>
        <v/>
      </c>
      <c r="C297" s="8">
        <f>IF(ISNA(MATCH(284,Engine!$C$2:$C$1369,0)),"",INDEX('Compliance Database'!$C$2:$C$1369,MATCH(284,Engine!$C$2:$C$1369,0)))</f>
        <v/>
      </c>
      <c r="D297" s="9">
        <f>IF(ISNA(MATCH(284,Engine!$C$2:$C$1369,0)),"",INDEX('Compliance Database'!$D$2:$D$1369,MATCH(284,Engine!$C$2:$C$1369,0)))</f>
        <v/>
      </c>
      <c r="E297" s="8">
        <f>IF(ISNA(MATCH(284,Engine!$C$2:$C$1369,0)),"",INDEX('Compliance Database'!$E$2:$E$1369,MATCH(284,Engine!$C$2:$C$1369,0)))</f>
        <v/>
      </c>
      <c r="F297" s="8">
        <f>IF(ISNA(MATCH(284,Engine!$C$2:$C$1369,0)),"",INDEX('Compliance Database'!$F$2:$F$1369,MATCH(284,Engine!$C$2:$C$1369,0)))</f>
        <v/>
      </c>
      <c r="G297" s="8">
        <f>IF(ISNA(MATCH(284,Engine!$C$2:$C$1369,0)),"",INDEX('Compliance Database'!$G$2:$G$1369,MATCH(284,Engine!$C$2:$C$1369,0)))</f>
        <v/>
      </c>
      <c r="H297" s="9">
        <f>IF(ISNA(MATCH(284,Engine!$C$2:$C$1369,0)),"",INDEX('Compliance Database'!$H$2:$H$1369,MATCH(284,Engine!$C$2:$C$1369,0)))</f>
        <v/>
      </c>
      <c r="I297" s="9">
        <f>IF(ISNA(MATCH(284,Engine!$C$2:$C$1369,0)),"",INDEX('Compliance Database'!$I$2:$I$1369,MATCH(284,Engine!$C$2:$C$1369,0)))</f>
        <v/>
      </c>
      <c r="J297" s="8">
        <f>IF(ISNA(MATCH(284,Engine!$C$2:$C$1369,0)),"",INDEX('Compliance Database'!$J$2:$J$1369,MATCH(284,Engine!$C$2:$C$1369,0)))</f>
        <v/>
      </c>
      <c r="K297" s="9">
        <f>IF(ISNA(MATCH(284,Engine!$C$2:$C$1369,0)),"",INDEX('Compliance Database'!$K$2:$K$1369,MATCH(284,Engine!$C$2:$C$1369,0)))</f>
        <v/>
      </c>
      <c r="L297" s="9">
        <f>IF(ISNA(MATCH(284,Engine!$C$2:$C$1369,0)),"",INDEX('Compliance Database'!$L$2:$L$1369,MATCH(284,Engine!$C$2:$C$1369,0)))</f>
        <v/>
      </c>
      <c r="M297" s="9">
        <f>IF(ISNA(MATCH(284,Engine!$C$2:$C$1369,0)),"",INDEX('Compliance Database'!$M$2:$M$1369,MATCH(284,Engine!$C$2:$C$1369,0)))</f>
        <v/>
      </c>
      <c r="N297" s="9">
        <f>IF(ISNA(MATCH(284,Engine!$C$2:$C$1369,0)),"",INDEX('Compliance Database'!$N$2:$N$1369,MATCH(284,Engine!$C$2:$C$1369,0)))</f>
        <v/>
      </c>
      <c r="O297" s="8">
        <f>IF(ISNA(MATCH(284,Engine!$C$2:$C$1369,0)),"",HYPERLINK(INDEX('Compliance Database'!$O$2:$O$1369,MATCH(284,Engine!$C$2:$C$1369,0)),"Open PDF"))</f>
        <v/>
      </c>
    </row>
    <row r="298" ht="188" customHeight="1">
      <c r="A298" s="8">
        <f>IF(ISNA(MATCH(285,Engine!$C$2:$C$1369,0)),"",INDEX('Compliance Database'!$A$2:$A$1369,MATCH(285,Engine!$C$2:$C$1369,0)))</f>
        <v/>
      </c>
      <c r="B298" s="8">
        <f>IF(ISNA(MATCH(285,Engine!$C$2:$C$1369,0)),"",INDEX('Compliance Database'!$B$2:$B$1369,MATCH(285,Engine!$C$2:$C$1369,0)))</f>
        <v/>
      </c>
      <c r="C298" s="8">
        <f>IF(ISNA(MATCH(285,Engine!$C$2:$C$1369,0)),"",INDEX('Compliance Database'!$C$2:$C$1369,MATCH(285,Engine!$C$2:$C$1369,0)))</f>
        <v/>
      </c>
      <c r="D298" s="9">
        <f>IF(ISNA(MATCH(285,Engine!$C$2:$C$1369,0)),"",INDEX('Compliance Database'!$D$2:$D$1369,MATCH(285,Engine!$C$2:$C$1369,0)))</f>
        <v/>
      </c>
      <c r="E298" s="8">
        <f>IF(ISNA(MATCH(285,Engine!$C$2:$C$1369,0)),"",INDEX('Compliance Database'!$E$2:$E$1369,MATCH(285,Engine!$C$2:$C$1369,0)))</f>
        <v/>
      </c>
      <c r="F298" s="8">
        <f>IF(ISNA(MATCH(285,Engine!$C$2:$C$1369,0)),"",INDEX('Compliance Database'!$F$2:$F$1369,MATCH(285,Engine!$C$2:$C$1369,0)))</f>
        <v/>
      </c>
      <c r="G298" s="8">
        <f>IF(ISNA(MATCH(285,Engine!$C$2:$C$1369,0)),"",INDEX('Compliance Database'!$G$2:$G$1369,MATCH(285,Engine!$C$2:$C$1369,0)))</f>
        <v/>
      </c>
      <c r="H298" s="9">
        <f>IF(ISNA(MATCH(285,Engine!$C$2:$C$1369,0)),"",INDEX('Compliance Database'!$H$2:$H$1369,MATCH(285,Engine!$C$2:$C$1369,0)))</f>
        <v/>
      </c>
      <c r="I298" s="9">
        <f>IF(ISNA(MATCH(285,Engine!$C$2:$C$1369,0)),"",INDEX('Compliance Database'!$I$2:$I$1369,MATCH(285,Engine!$C$2:$C$1369,0)))</f>
        <v/>
      </c>
      <c r="J298" s="8">
        <f>IF(ISNA(MATCH(285,Engine!$C$2:$C$1369,0)),"",INDEX('Compliance Database'!$J$2:$J$1369,MATCH(285,Engine!$C$2:$C$1369,0)))</f>
        <v/>
      </c>
      <c r="K298" s="9">
        <f>IF(ISNA(MATCH(285,Engine!$C$2:$C$1369,0)),"",INDEX('Compliance Database'!$K$2:$K$1369,MATCH(285,Engine!$C$2:$C$1369,0)))</f>
        <v/>
      </c>
      <c r="L298" s="9">
        <f>IF(ISNA(MATCH(285,Engine!$C$2:$C$1369,0)),"",INDEX('Compliance Database'!$L$2:$L$1369,MATCH(285,Engine!$C$2:$C$1369,0)))</f>
        <v/>
      </c>
      <c r="M298" s="9">
        <f>IF(ISNA(MATCH(285,Engine!$C$2:$C$1369,0)),"",INDEX('Compliance Database'!$M$2:$M$1369,MATCH(285,Engine!$C$2:$C$1369,0)))</f>
        <v/>
      </c>
      <c r="N298" s="9">
        <f>IF(ISNA(MATCH(285,Engine!$C$2:$C$1369,0)),"",INDEX('Compliance Database'!$N$2:$N$1369,MATCH(285,Engine!$C$2:$C$1369,0)))</f>
        <v/>
      </c>
      <c r="O298" s="8">
        <f>IF(ISNA(MATCH(285,Engine!$C$2:$C$1369,0)),"",HYPERLINK(INDEX('Compliance Database'!$O$2:$O$1369,MATCH(285,Engine!$C$2:$C$1369,0)),"Open PDF"))</f>
        <v/>
      </c>
    </row>
    <row r="299" ht="188" customHeight="1">
      <c r="A299" s="8">
        <f>IF(ISNA(MATCH(286,Engine!$C$2:$C$1369,0)),"",INDEX('Compliance Database'!$A$2:$A$1369,MATCH(286,Engine!$C$2:$C$1369,0)))</f>
        <v/>
      </c>
      <c r="B299" s="8">
        <f>IF(ISNA(MATCH(286,Engine!$C$2:$C$1369,0)),"",INDEX('Compliance Database'!$B$2:$B$1369,MATCH(286,Engine!$C$2:$C$1369,0)))</f>
        <v/>
      </c>
      <c r="C299" s="8">
        <f>IF(ISNA(MATCH(286,Engine!$C$2:$C$1369,0)),"",INDEX('Compliance Database'!$C$2:$C$1369,MATCH(286,Engine!$C$2:$C$1369,0)))</f>
        <v/>
      </c>
      <c r="D299" s="9">
        <f>IF(ISNA(MATCH(286,Engine!$C$2:$C$1369,0)),"",INDEX('Compliance Database'!$D$2:$D$1369,MATCH(286,Engine!$C$2:$C$1369,0)))</f>
        <v/>
      </c>
      <c r="E299" s="8">
        <f>IF(ISNA(MATCH(286,Engine!$C$2:$C$1369,0)),"",INDEX('Compliance Database'!$E$2:$E$1369,MATCH(286,Engine!$C$2:$C$1369,0)))</f>
        <v/>
      </c>
      <c r="F299" s="8">
        <f>IF(ISNA(MATCH(286,Engine!$C$2:$C$1369,0)),"",INDEX('Compliance Database'!$F$2:$F$1369,MATCH(286,Engine!$C$2:$C$1369,0)))</f>
        <v/>
      </c>
      <c r="G299" s="8">
        <f>IF(ISNA(MATCH(286,Engine!$C$2:$C$1369,0)),"",INDEX('Compliance Database'!$G$2:$G$1369,MATCH(286,Engine!$C$2:$C$1369,0)))</f>
        <v/>
      </c>
      <c r="H299" s="9">
        <f>IF(ISNA(MATCH(286,Engine!$C$2:$C$1369,0)),"",INDEX('Compliance Database'!$H$2:$H$1369,MATCH(286,Engine!$C$2:$C$1369,0)))</f>
        <v/>
      </c>
      <c r="I299" s="9">
        <f>IF(ISNA(MATCH(286,Engine!$C$2:$C$1369,0)),"",INDEX('Compliance Database'!$I$2:$I$1369,MATCH(286,Engine!$C$2:$C$1369,0)))</f>
        <v/>
      </c>
      <c r="J299" s="8">
        <f>IF(ISNA(MATCH(286,Engine!$C$2:$C$1369,0)),"",INDEX('Compliance Database'!$J$2:$J$1369,MATCH(286,Engine!$C$2:$C$1369,0)))</f>
        <v/>
      </c>
      <c r="K299" s="9">
        <f>IF(ISNA(MATCH(286,Engine!$C$2:$C$1369,0)),"",INDEX('Compliance Database'!$K$2:$K$1369,MATCH(286,Engine!$C$2:$C$1369,0)))</f>
        <v/>
      </c>
      <c r="L299" s="9">
        <f>IF(ISNA(MATCH(286,Engine!$C$2:$C$1369,0)),"",INDEX('Compliance Database'!$L$2:$L$1369,MATCH(286,Engine!$C$2:$C$1369,0)))</f>
        <v/>
      </c>
      <c r="M299" s="9">
        <f>IF(ISNA(MATCH(286,Engine!$C$2:$C$1369,0)),"",INDEX('Compliance Database'!$M$2:$M$1369,MATCH(286,Engine!$C$2:$C$1369,0)))</f>
        <v/>
      </c>
      <c r="N299" s="9">
        <f>IF(ISNA(MATCH(286,Engine!$C$2:$C$1369,0)),"",INDEX('Compliance Database'!$N$2:$N$1369,MATCH(286,Engine!$C$2:$C$1369,0)))</f>
        <v/>
      </c>
      <c r="O299" s="8">
        <f>IF(ISNA(MATCH(286,Engine!$C$2:$C$1369,0)),"",HYPERLINK(INDEX('Compliance Database'!$O$2:$O$1369,MATCH(286,Engine!$C$2:$C$1369,0)),"Open PDF"))</f>
        <v/>
      </c>
    </row>
    <row r="300" ht="188" customHeight="1">
      <c r="A300" s="8">
        <f>IF(ISNA(MATCH(287,Engine!$C$2:$C$1369,0)),"",INDEX('Compliance Database'!$A$2:$A$1369,MATCH(287,Engine!$C$2:$C$1369,0)))</f>
        <v/>
      </c>
      <c r="B300" s="8">
        <f>IF(ISNA(MATCH(287,Engine!$C$2:$C$1369,0)),"",INDEX('Compliance Database'!$B$2:$B$1369,MATCH(287,Engine!$C$2:$C$1369,0)))</f>
        <v/>
      </c>
      <c r="C300" s="8">
        <f>IF(ISNA(MATCH(287,Engine!$C$2:$C$1369,0)),"",INDEX('Compliance Database'!$C$2:$C$1369,MATCH(287,Engine!$C$2:$C$1369,0)))</f>
        <v/>
      </c>
      <c r="D300" s="9">
        <f>IF(ISNA(MATCH(287,Engine!$C$2:$C$1369,0)),"",INDEX('Compliance Database'!$D$2:$D$1369,MATCH(287,Engine!$C$2:$C$1369,0)))</f>
        <v/>
      </c>
      <c r="E300" s="8">
        <f>IF(ISNA(MATCH(287,Engine!$C$2:$C$1369,0)),"",INDEX('Compliance Database'!$E$2:$E$1369,MATCH(287,Engine!$C$2:$C$1369,0)))</f>
        <v/>
      </c>
      <c r="F300" s="8">
        <f>IF(ISNA(MATCH(287,Engine!$C$2:$C$1369,0)),"",INDEX('Compliance Database'!$F$2:$F$1369,MATCH(287,Engine!$C$2:$C$1369,0)))</f>
        <v/>
      </c>
      <c r="G300" s="8">
        <f>IF(ISNA(MATCH(287,Engine!$C$2:$C$1369,0)),"",INDEX('Compliance Database'!$G$2:$G$1369,MATCH(287,Engine!$C$2:$C$1369,0)))</f>
        <v/>
      </c>
      <c r="H300" s="9">
        <f>IF(ISNA(MATCH(287,Engine!$C$2:$C$1369,0)),"",INDEX('Compliance Database'!$H$2:$H$1369,MATCH(287,Engine!$C$2:$C$1369,0)))</f>
        <v/>
      </c>
      <c r="I300" s="9">
        <f>IF(ISNA(MATCH(287,Engine!$C$2:$C$1369,0)),"",INDEX('Compliance Database'!$I$2:$I$1369,MATCH(287,Engine!$C$2:$C$1369,0)))</f>
        <v/>
      </c>
      <c r="J300" s="8">
        <f>IF(ISNA(MATCH(287,Engine!$C$2:$C$1369,0)),"",INDEX('Compliance Database'!$J$2:$J$1369,MATCH(287,Engine!$C$2:$C$1369,0)))</f>
        <v/>
      </c>
      <c r="K300" s="9">
        <f>IF(ISNA(MATCH(287,Engine!$C$2:$C$1369,0)),"",INDEX('Compliance Database'!$K$2:$K$1369,MATCH(287,Engine!$C$2:$C$1369,0)))</f>
        <v/>
      </c>
      <c r="L300" s="9">
        <f>IF(ISNA(MATCH(287,Engine!$C$2:$C$1369,0)),"",INDEX('Compliance Database'!$L$2:$L$1369,MATCH(287,Engine!$C$2:$C$1369,0)))</f>
        <v/>
      </c>
      <c r="M300" s="9">
        <f>IF(ISNA(MATCH(287,Engine!$C$2:$C$1369,0)),"",INDEX('Compliance Database'!$M$2:$M$1369,MATCH(287,Engine!$C$2:$C$1369,0)))</f>
        <v/>
      </c>
      <c r="N300" s="9">
        <f>IF(ISNA(MATCH(287,Engine!$C$2:$C$1369,0)),"",INDEX('Compliance Database'!$N$2:$N$1369,MATCH(287,Engine!$C$2:$C$1369,0)))</f>
        <v/>
      </c>
      <c r="O300" s="8">
        <f>IF(ISNA(MATCH(287,Engine!$C$2:$C$1369,0)),"",HYPERLINK(INDEX('Compliance Database'!$O$2:$O$1369,MATCH(287,Engine!$C$2:$C$1369,0)),"Open PDF"))</f>
        <v/>
      </c>
    </row>
    <row r="301" ht="188" customHeight="1">
      <c r="A301" s="8">
        <f>IF(ISNA(MATCH(288,Engine!$C$2:$C$1369,0)),"",INDEX('Compliance Database'!$A$2:$A$1369,MATCH(288,Engine!$C$2:$C$1369,0)))</f>
        <v/>
      </c>
      <c r="B301" s="8">
        <f>IF(ISNA(MATCH(288,Engine!$C$2:$C$1369,0)),"",INDEX('Compliance Database'!$B$2:$B$1369,MATCH(288,Engine!$C$2:$C$1369,0)))</f>
        <v/>
      </c>
      <c r="C301" s="8">
        <f>IF(ISNA(MATCH(288,Engine!$C$2:$C$1369,0)),"",INDEX('Compliance Database'!$C$2:$C$1369,MATCH(288,Engine!$C$2:$C$1369,0)))</f>
        <v/>
      </c>
      <c r="D301" s="9">
        <f>IF(ISNA(MATCH(288,Engine!$C$2:$C$1369,0)),"",INDEX('Compliance Database'!$D$2:$D$1369,MATCH(288,Engine!$C$2:$C$1369,0)))</f>
        <v/>
      </c>
      <c r="E301" s="8">
        <f>IF(ISNA(MATCH(288,Engine!$C$2:$C$1369,0)),"",INDEX('Compliance Database'!$E$2:$E$1369,MATCH(288,Engine!$C$2:$C$1369,0)))</f>
        <v/>
      </c>
      <c r="F301" s="8">
        <f>IF(ISNA(MATCH(288,Engine!$C$2:$C$1369,0)),"",INDEX('Compliance Database'!$F$2:$F$1369,MATCH(288,Engine!$C$2:$C$1369,0)))</f>
        <v/>
      </c>
      <c r="G301" s="8">
        <f>IF(ISNA(MATCH(288,Engine!$C$2:$C$1369,0)),"",INDEX('Compliance Database'!$G$2:$G$1369,MATCH(288,Engine!$C$2:$C$1369,0)))</f>
        <v/>
      </c>
      <c r="H301" s="9">
        <f>IF(ISNA(MATCH(288,Engine!$C$2:$C$1369,0)),"",INDEX('Compliance Database'!$H$2:$H$1369,MATCH(288,Engine!$C$2:$C$1369,0)))</f>
        <v/>
      </c>
      <c r="I301" s="9">
        <f>IF(ISNA(MATCH(288,Engine!$C$2:$C$1369,0)),"",INDEX('Compliance Database'!$I$2:$I$1369,MATCH(288,Engine!$C$2:$C$1369,0)))</f>
        <v/>
      </c>
      <c r="J301" s="8">
        <f>IF(ISNA(MATCH(288,Engine!$C$2:$C$1369,0)),"",INDEX('Compliance Database'!$J$2:$J$1369,MATCH(288,Engine!$C$2:$C$1369,0)))</f>
        <v/>
      </c>
      <c r="K301" s="9">
        <f>IF(ISNA(MATCH(288,Engine!$C$2:$C$1369,0)),"",INDEX('Compliance Database'!$K$2:$K$1369,MATCH(288,Engine!$C$2:$C$1369,0)))</f>
        <v/>
      </c>
      <c r="L301" s="9">
        <f>IF(ISNA(MATCH(288,Engine!$C$2:$C$1369,0)),"",INDEX('Compliance Database'!$L$2:$L$1369,MATCH(288,Engine!$C$2:$C$1369,0)))</f>
        <v/>
      </c>
      <c r="M301" s="9">
        <f>IF(ISNA(MATCH(288,Engine!$C$2:$C$1369,0)),"",INDEX('Compliance Database'!$M$2:$M$1369,MATCH(288,Engine!$C$2:$C$1369,0)))</f>
        <v/>
      </c>
      <c r="N301" s="9">
        <f>IF(ISNA(MATCH(288,Engine!$C$2:$C$1369,0)),"",INDEX('Compliance Database'!$N$2:$N$1369,MATCH(288,Engine!$C$2:$C$1369,0)))</f>
        <v/>
      </c>
      <c r="O301" s="8">
        <f>IF(ISNA(MATCH(288,Engine!$C$2:$C$1369,0)),"",HYPERLINK(INDEX('Compliance Database'!$O$2:$O$1369,MATCH(288,Engine!$C$2:$C$1369,0)),"Open PDF"))</f>
        <v/>
      </c>
    </row>
    <row r="302" ht="188" customHeight="1">
      <c r="A302" s="8">
        <f>IF(ISNA(MATCH(289,Engine!$C$2:$C$1369,0)),"",INDEX('Compliance Database'!$A$2:$A$1369,MATCH(289,Engine!$C$2:$C$1369,0)))</f>
        <v/>
      </c>
      <c r="B302" s="8">
        <f>IF(ISNA(MATCH(289,Engine!$C$2:$C$1369,0)),"",INDEX('Compliance Database'!$B$2:$B$1369,MATCH(289,Engine!$C$2:$C$1369,0)))</f>
        <v/>
      </c>
      <c r="C302" s="8">
        <f>IF(ISNA(MATCH(289,Engine!$C$2:$C$1369,0)),"",INDEX('Compliance Database'!$C$2:$C$1369,MATCH(289,Engine!$C$2:$C$1369,0)))</f>
        <v/>
      </c>
      <c r="D302" s="9">
        <f>IF(ISNA(MATCH(289,Engine!$C$2:$C$1369,0)),"",INDEX('Compliance Database'!$D$2:$D$1369,MATCH(289,Engine!$C$2:$C$1369,0)))</f>
        <v/>
      </c>
      <c r="E302" s="8">
        <f>IF(ISNA(MATCH(289,Engine!$C$2:$C$1369,0)),"",INDEX('Compliance Database'!$E$2:$E$1369,MATCH(289,Engine!$C$2:$C$1369,0)))</f>
        <v/>
      </c>
      <c r="F302" s="8">
        <f>IF(ISNA(MATCH(289,Engine!$C$2:$C$1369,0)),"",INDEX('Compliance Database'!$F$2:$F$1369,MATCH(289,Engine!$C$2:$C$1369,0)))</f>
        <v/>
      </c>
      <c r="G302" s="8">
        <f>IF(ISNA(MATCH(289,Engine!$C$2:$C$1369,0)),"",INDEX('Compliance Database'!$G$2:$G$1369,MATCH(289,Engine!$C$2:$C$1369,0)))</f>
        <v/>
      </c>
      <c r="H302" s="9">
        <f>IF(ISNA(MATCH(289,Engine!$C$2:$C$1369,0)),"",INDEX('Compliance Database'!$H$2:$H$1369,MATCH(289,Engine!$C$2:$C$1369,0)))</f>
        <v/>
      </c>
      <c r="I302" s="9">
        <f>IF(ISNA(MATCH(289,Engine!$C$2:$C$1369,0)),"",INDEX('Compliance Database'!$I$2:$I$1369,MATCH(289,Engine!$C$2:$C$1369,0)))</f>
        <v/>
      </c>
      <c r="J302" s="8">
        <f>IF(ISNA(MATCH(289,Engine!$C$2:$C$1369,0)),"",INDEX('Compliance Database'!$J$2:$J$1369,MATCH(289,Engine!$C$2:$C$1369,0)))</f>
        <v/>
      </c>
      <c r="K302" s="9">
        <f>IF(ISNA(MATCH(289,Engine!$C$2:$C$1369,0)),"",INDEX('Compliance Database'!$K$2:$K$1369,MATCH(289,Engine!$C$2:$C$1369,0)))</f>
        <v/>
      </c>
      <c r="L302" s="9">
        <f>IF(ISNA(MATCH(289,Engine!$C$2:$C$1369,0)),"",INDEX('Compliance Database'!$L$2:$L$1369,MATCH(289,Engine!$C$2:$C$1369,0)))</f>
        <v/>
      </c>
      <c r="M302" s="9">
        <f>IF(ISNA(MATCH(289,Engine!$C$2:$C$1369,0)),"",INDEX('Compliance Database'!$M$2:$M$1369,MATCH(289,Engine!$C$2:$C$1369,0)))</f>
        <v/>
      </c>
      <c r="N302" s="9">
        <f>IF(ISNA(MATCH(289,Engine!$C$2:$C$1369,0)),"",INDEX('Compliance Database'!$N$2:$N$1369,MATCH(289,Engine!$C$2:$C$1369,0)))</f>
        <v/>
      </c>
      <c r="O302" s="8">
        <f>IF(ISNA(MATCH(289,Engine!$C$2:$C$1369,0)),"",HYPERLINK(INDEX('Compliance Database'!$O$2:$O$1369,MATCH(289,Engine!$C$2:$C$1369,0)),"Open PDF"))</f>
        <v/>
      </c>
    </row>
    <row r="303" ht="188" customHeight="1">
      <c r="A303" s="8">
        <f>IF(ISNA(MATCH(290,Engine!$C$2:$C$1369,0)),"",INDEX('Compliance Database'!$A$2:$A$1369,MATCH(290,Engine!$C$2:$C$1369,0)))</f>
        <v/>
      </c>
      <c r="B303" s="8">
        <f>IF(ISNA(MATCH(290,Engine!$C$2:$C$1369,0)),"",INDEX('Compliance Database'!$B$2:$B$1369,MATCH(290,Engine!$C$2:$C$1369,0)))</f>
        <v/>
      </c>
      <c r="C303" s="8">
        <f>IF(ISNA(MATCH(290,Engine!$C$2:$C$1369,0)),"",INDEX('Compliance Database'!$C$2:$C$1369,MATCH(290,Engine!$C$2:$C$1369,0)))</f>
        <v/>
      </c>
      <c r="D303" s="9">
        <f>IF(ISNA(MATCH(290,Engine!$C$2:$C$1369,0)),"",INDEX('Compliance Database'!$D$2:$D$1369,MATCH(290,Engine!$C$2:$C$1369,0)))</f>
        <v/>
      </c>
      <c r="E303" s="8">
        <f>IF(ISNA(MATCH(290,Engine!$C$2:$C$1369,0)),"",INDEX('Compliance Database'!$E$2:$E$1369,MATCH(290,Engine!$C$2:$C$1369,0)))</f>
        <v/>
      </c>
      <c r="F303" s="8">
        <f>IF(ISNA(MATCH(290,Engine!$C$2:$C$1369,0)),"",INDEX('Compliance Database'!$F$2:$F$1369,MATCH(290,Engine!$C$2:$C$1369,0)))</f>
        <v/>
      </c>
      <c r="G303" s="8">
        <f>IF(ISNA(MATCH(290,Engine!$C$2:$C$1369,0)),"",INDEX('Compliance Database'!$G$2:$G$1369,MATCH(290,Engine!$C$2:$C$1369,0)))</f>
        <v/>
      </c>
      <c r="H303" s="9">
        <f>IF(ISNA(MATCH(290,Engine!$C$2:$C$1369,0)),"",INDEX('Compliance Database'!$H$2:$H$1369,MATCH(290,Engine!$C$2:$C$1369,0)))</f>
        <v/>
      </c>
      <c r="I303" s="9">
        <f>IF(ISNA(MATCH(290,Engine!$C$2:$C$1369,0)),"",INDEX('Compliance Database'!$I$2:$I$1369,MATCH(290,Engine!$C$2:$C$1369,0)))</f>
        <v/>
      </c>
      <c r="J303" s="8">
        <f>IF(ISNA(MATCH(290,Engine!$C$2:$C$1369,0)),"",INDEX('Compliance Database'!$J$2:$J$1369,MATCH(290,Engine!$C$2:$C$1369,0)))</f>
        <v/>
      </c>
      <c r="K303" s="9">
        <f>IF(ISNA(MATCH(290,Engine!$C$2:$C$1369,0)),"",INDEX('Compliance Database'!$K$2:$K$1369,MATCH(290,Engine!$C$2:$C$1369,0)))</f>
        <v/>
      </c>
      <c r="L303" s="9">
        <f>IF(ISNA(MATCH(290,Engine!$C$2:$C$1369,0)),"",INDEX('Compliance Database'!$L$2:$L$1369,MATCH(290,Engine!$C$2:$C$1369,0)))</f>
        <v/>
      </c>
      <c r="M303" s="9">
        <f>IF(ISNA(MATCH(290,Engine!$C$2:$C$1369,0)),"",INDEX('Compliance Database'!$M$2:$M$1369,MATCH(290,Engine!$C$2:$C$1369,0)))</f>
        <v/>
      </c>
      <c r="N303" s="9">
        <f>IF(ISNA(MATCH(290,Engine!$C$2:$C$1369,0)),"",INDEX('Compliance Database'!$N$2:$N$1369,MATCH(290,Engine!$C$2:$C$1369,0)))</f>
        <v/>
      </c>
      <c r="O303" s="8">
        <f>IF(ISNA(MATCH(290,Engine!$C$2:$C$1369,0)),"",HYPERLINK(INDEX('Compliance Database'!$O$2:$O$1369,MATCH(290,Engine!$C$2:$C$1369,0)),"Open PDF"))</f>
        <v/>
      </c>
    </row>
    <row r="304" ht="188" customHeight="1">
      <c r="A304" s="8">
        <f>IF(ISNA(MATCH(291,Engine!$C$2:$C$1369,0)),"",INDEX('Compliance Database'!$A$2:$A$1369,MATCH(291,Engine!$C$2:$C$1369,0)))</f>
        <v/>
      </c>
      <c r="B304" s="8">
        <f>IF(ISNA(MATCH(291,Engine!$C$2:$C$1369,0)),"",INDEX('Compliance Database'!$B$2:$B$1369,MATCH(291,Engine!$C$2:$C$1369,0)))</f>
        <v/>
      </c>
      <c r="C304" s="8">
        <f>IF(ISNA(MATCH(291,Engine!$C$2:$C$1369,0)),"",INDEX('Compliance Database'!$C$2:$C$1369,MATCH(291,Engine!$C$2:$C$1369,0)))</f>
        <v/>
      </c>
      <c r="D304" s="9">
        <f>IF(ISNA(MATCH(291,Engine!$C$2:$C$1369,0)),"",INDEX('Compliance Database'!$D$2:$D$1369,MATCH(291,Engine!$C$2:$C$1369,0)))</f>
        <v/>
      </c>
      <c r="E304" s="8">
        <f>IF(ISNA(MATCH(291,Engine!$C$2:$C$1369,0)),"",INDEX('Compliance Database'!$E$2:$E$1369,MATCH(291,Engine!$C$2:$C$1369,0)))</f>
        <v/>
      </c>
      <c r="F304" s="8">
        <f>IF(ISNA(MATCH(291,Engine!$C$2:$C$1369,0)),"",INDEX('Compliance Database'!$F$2:$F$1369,MATCH(291,Engine!$C$2:$C$1369,0)))</f>
        <v/>
      </c>
      <c r="G304" s="8">
        <f>IF(ISNA(MATCH(291,Engine!$C$2:$C$1369,0)),"",INDEX('Compliance Database'!$G$2:$G$1369,MATCH(291,Engine!$C$2:$C$1369,0)))</f>
        <v/>
      </c>
      <c r="H304" s="9">
        <f>IF(ISNA(MATCH(291,Engine!$C$2:$C$1369,0)),"",INDEX('Compliance Database'!$H$2:$H$1369,MATCH(291,Engine!$C$2:$C$1369,0)))</f>
        <v/>
      </c>
      <c r="I304" s="9">
        <f>IF(ISNA(MATCH(291,Engine!$C$2:$C$1369,0)),"",INDEX('Compliance Database'!$I$2:$I$1369,MATCH(291,Engine!$C$2:$C$1369,0)))</f>
        <v/>
      </c>
      <c r="J304" s="8">
        <f>IF(ISNA(MATCH(291,Engine!$C$2:$C$1369,0)),"",INDEX('Compliance Database'!$J$2:$J$1369,MATCH(291,Engine!$C$2:$C$1369,0)))</f>
        <v/>
      </c>
      <c r="K304" s="9">
        <f>IF(ISNA(MATCH(291,Engine!$C$2:$C$1369,0)),"",INDEX('Compliance Database'!$K$2:$K$1369,MATCH(291,Engine!$C$2:$C$1369,0)))</f>
        <v/>
      </c>
      <c r="L304" s="9">
        <f>IF(ISNA(MATCH(291,Engine!$C$2:$C$1369,0)),"",INDEX('Compliance Database'!$L$2:$L$1369,MATCH(291,Engine!$C$2:$C$1369,0)))</f>
        <v/>
      </c>
      <c r="M304" s="9">
        <f>IF(ISNA(MATCH(291,Engine!$C$2:$C$1369,0)),"",INDEX('Compliance Database'!$M$2:$M$1369,MATCH(291,Engine!$C$2:$C$1369,0)))</f>
        <v/>
      </c>
      <c r="N304" s="9">
        <f>IF(ISNA(MATCH(291,Engine!$C$2:$C$1369,0)),"",INDEX('Compliance Database'!$N$2:$N$1369,MATCH(291,Engine!$C$2:$C$1369,0)))</f>
        <v/>
      </c>
      <c r="O304" s="8">
        <f>IF(ISNA(MATCH(291,Engine!$C$2:$C$1369,0)),"",HYPERLINK(INDEX('Compliance Database'!$O$2:$O$1369,MATCH(291,Engine!$C$2:$C$1369,0)),"Open PDF"))</f>
        <v/>
      </c>
    </row>
    <row r="305" ht="188" customHeight="1">
      <c r="A305" s="8">
        <f>IF(ISNA(MATCH(292,Engine!$C$2:$C$1369,0)),"",INDEX('Compliance Database'!$A$2:$A$1369,MATCH(292,Engine!$C$2:$C$1369,0)))</f>
        <v/>
      </c>
      <c r="B305" s="8">
        <f>IF(ISNA(MATCH(292,Engine!$C$2:$C$1369,0)),"",INDEX('Compliance Database'!$B$2:$B$1369,MATCH(292,Engine!$C$2:$C$1369,0)))</f>
        <v/>
      </c>
      <c r="C305" s="8">
        <f>IF(ISNA(MATCH(292,Engine!$C$2:$C$1369,0)),"",INDEX('Compliance Database'!$C$2:$C$1369,MATCH(292,Engine!$C$2:$C$1369,0)))</f>
        <v/>
      </c>
      <c r="D305" s="9">
        <f>IF(ISNA(MATCH(292,Engine!$C$2:$C$1369,0)),"",INDEX('Compliance Database'!$D$2:$D$1369,MATCH(292,Engine!$C$2:$C$1369,0)))</f>
        <v/>
      </c>
      <c r="E305" s="8">
        <f>IF(ISNA(MATCH(292,Engine!$C$2:$C$1369,0)),"",INDEX('Compliance Database'!$E$2:$E$1369,MATCH(292,Engine!$C$2:$C$1369,0)))</f>
        <v/>
      </c>
      <c r="F305" s="8">
        <f>IF(ISNA(MATCH(292,Engine!$C$2:$C$1369,0)),"",INDEX('Compliance Database'!$F$2:$F$1369,MATCH(292,Engine!$C$2:$C$1369,0)))</f>
        <v/>
      </c>
      <c r="G305" s="8">
        <f>IF(ISNA(MATCH(292,Engine!$C$2:$C$1369,0)),"",INDEX('Compliance Database'!$G$2:$G$1369,MATCH(292,Engine!$C$2:$C$1369,0)))</f>
        <v/>
      </c>
      <c r="H305" s="9">
        <f>IF(ISNA(MATCH(292,Engine!$C$2:$C$1369,0)),"",INDEX('Compliance Database'!$H$2:$H$1369,MATCH(292,Engine!$C$2:$C$1369,0)))</f>
        <v/>
      </c>
      <c r="I305" s="9">
        <f>IF(ISNA(MATCH(292,Engine!$C$2:$C$1369,0)),"",INDEX('Compliance Database'!$I$2:$I$1369,MATCH(292,Engine!$C$2:$C$1369,0)))</f>
        <v/>
      </c>
      <c r="J305" s="8">
        <f>IF(ISNA(MATCH(292,Engine!$C$2:$C$1369,0)),"",INDEX('Compliance Database'!$J$2:$J$1369,MATCH(292,Engine!$C$2:$C$1369,0)))</f>
        <v/>
      </c>
      <c r="K305" s="9">
        <f>IF(ISNA(MATCH(292,Engine!$C$2:$C$1369,0)),"",INDEX('Compliance Database'!$K$2:$K$1369,MATCH(292,Engine!$C$2:$C$1369,0)))</f>
        <v/>
      </c>
      <c r="L305" s="9">
        <f>IF(ISNA(MATCH(292,Engine!$C$2:$C$1369,0)),"",INDEX('Compliance Database'!$L$2:$L$1369,MATCH(292,Engine!$C$2:$C$1369,0)))</f>
        <v/>
      </c>
      <c r="M305" s="9">
        <f>IF(ISNA(MATCH(292,Engine!$C$2:$C$1369,0)),"",INDEX('Compliance Database'!$M$2:$M$1369,MATCH(292,Engine!$C$2:$C$1369,0)))</f>
        <v/>
      </c>
      <c r="N305" s="9">
        <f>IF(ISNA(MATCH(292,Engine!$C$2:$C$1369,0)),"",INDEX('Compliance Database'!$N$2:$N$1369,MATCH(292,Engine!$C$2:$C$1369,0)))</f>
        <v/>
      </c>
      <c r="O305" s="8">
        <f>IF(ISNA(MATCH(292,Engine!$C$2:$C$1369,0)),"",HYPERLINK(INDEX('Compliance Database'!$O$2:$O$1369,MATCH(292,Engine!$C$2:$C$1369,0)),"Open PDF"))</f>
        <v/>
      </c>
    </row>
    <row r="306" ht="188" customHeight="1">
      <c r="A306" s="8">
        <f>IF(ISNA(MATCH(293,Engine!$C$2:$C$1369,0)),"",INDEX('Compliance Database'!$A$2:$A$1369,MATCH(293,Engine!$C$2:$C$1369,0)))</f>
        <v/>
      </c>
      <c r="B306" s="8">
        <f>IF(ISNA(MATCH(293,Engine!$C$2:$C$1369,0)),"",INDEX('Compliance Database'!$B$2:$B$1369,MATCH(293,Engine!$C$2:$C$1369,0)))</f>
        <v/>
      </c>
      <c r="C306" s="8">
        <f>IF(ISNA(MATCH(293,Engine!$C$2:$C$1369,0)),"",INDEX('Compliance Database'!$C$2:$C$1369,MATCH(293,Engine!$C$2:$C$1369,0)))</f>
        <v/>
      </c>
      <c r="D306" s="9">
        <f>IF(ISNA(MATCH(293,Engine!$C$2:$C$1369,0)),"",INDEX('Compliance Database'!$D$2:$D$1369,MATCH(293,Engine!$C$2:$C$1369,0)))</f>
        <v/>
      </c>
      <c r="E306" s="8">
        <f>IF(ISNA(MATCH(293,Engine!$C$2:$C$1369,0)),"",INDEX('Compliance Database'!$E$2:$E$1369,MATCH(293,Engine!$C$2:$C$1369,0)))</f>
        <v/>
      </c>
      <c r="F306" s="8">
        <f>IF(ISNA(MATCH(293,Engine!$C$2:$C$1369,0)),"",INDEX('Compliance Database'!$F$2:$F$1369,MATCH(293,Engine!$C$2:$C$1369,0)))</f>
        <v/>
      </c>
      <c r="G306" s="8">
        <f>IF(ISNA(MATCH(293,Engine!$C$2:$C$1369,0)),"",INDEX('Compliance Database'!$G$2:$G$1369,MATCH(293,Engine!$C$2:$C$1369,0)))</f>
        <v/>
      </c>
      <c r="H306" s="9">
        <f>IF(ISNA(MATCH(293,Engine!$C$2:$C$1369,0)),"",INDEX('Compliance Database'!$H$2:$H$1369,MATCH(293,Engine!$C$2:$C$1369,0)))</f>
        <v/>
      </c>
      <c r="I306" s="9">
        <f>IF(ISNA(MATCH(293,Engine!$C$2:$C$1369,0)),"",INDEX('Compliance Database'!$I$2:$I$1369,MATCH(293,Engine!$C$2:$C$1369,0)))</f>
        <v/>
      </c>
      <c r="J306" s="8">
        <f>IF(ISNA(MATCH(293,Engine!$C$2:$C$1369,0)),"",INDEX('Compliance Database'!$J$2:$J$1369,MATCH(293,Engine!$C$2:$C$1369,0)))</f>
        <v/>
      </c>
      <c r="K306" s="9">
        <f>IF(ISNA(MATCH(293,Engine!$C$2:$C$1369,0)),"",INDEX('Compliance Database'!$K$2:$K$1369,MATCH(293,Engine!$C$2:$C$1369,0)))</f>
        <v/>
      </c>
      <c r="L306" s="9">
        <f>IF(ISNA(MATCH(293,Engine!$C$2:$C$1369,0)),"",INDEX('Compliance Database'!$L$2:$L$1369,MATCH(293,Engine!$C$2:$C$1369,0)))</f>
        <v/>
      </c>
      <c r="M306" s="9">
        <f>IF(ISNA(MATCH(293,Engine!$C$2:$C$1369,0)),"",INDEX('Compliance Database'!$M$2:$M$1369,MATCH(293,Engine!$C$2:$C$1369,0)))</f>
        <v/>
      </c>
      <c r="N306" s="9">
        <f>IF(ISNA(MATCH(293,Engine!$C$2:$C$1369,0)),"",INDEX('Compliance Database'!$N$2:$N$1369,MATCH(293,Engine!$C$2:$C$1369,0)))</f>
        <v/>
      </c>
      <c r="O306" s="8">
        <f>IF(ISNA(MATCH(293,Engine!$C$2:$C$1369,0)),"",HYPERLINK(INDEX('Compliance Database'!$O$2:$O$1369,MATCH(293,Engine!$C$2:$C$1369,0)),"Open PDF"))</f>
        <v/>
      </c>
    </row>
    <row r="307" ht="188" customHeight="1">
      <c r="A307" s="8">
        <f>IF(ISNA(MATCH(294,Engine!$C$2:$C$1369,0)),"",INDEX('Compliance Database'!$A$2:$A$1369,MATCH(294,Engine!$C$2:$C$1369,0)))</f>
        <v/>
      </c>
      <c r="B307" s="8">
        <f>IF(ISNA(MATCH(294,Engine!$C$2:$C$1369,0)),"",INDEX('Compliance Database'!$B$2:$B$1369,MATCH(294,Engine!$C$2:$C$1369,0)))</f>
        <v/>
      </c>
      <c r="C307" s="8">
        <f>IF(ISNA(MATCH(294,Engine!$C$2:$C$1369,0)),"",INDEX('Compliance Database'!$C$2:$C$1369,MATCH(294,Engine!$C$2:$C$1369,0)))</f>
        <v/>
      </c>
      <c r="D307" s="9">
        <f>IF(ISNA(MATCH(294,Engine!$C$2:$C$1369,0)),"",INDEX('Compliance Database'!$D$2:$D$1369,MATCH(294,Engine!$C$2:$C$1369,0)))</f>
        <v/>
      </c>
      <c r="E307" s="8">
        <f>IF(ISNA(MATCH(294,Engine!$C$2:$C$1369,0)),"",INDEX('Compliance Database'!$E$2:$E$1369,MATCH(294,Engine!$C$2:$C$1369,0)))</f>
        <v/>
      </c>
      <c r="F307" s="8">
        <f>IF(ISNA(MATCH(294,Engine!$C$2:$C$1369,0)),"",INDEX('Compliance Database'!$F$2:$F$1369,MATCH(294,Engine!$C$2:$C$1369,0)))</f>
        <v/>
      </c>
      <c r="G307" s="8">
        <f>IF(ISNA(MATCH(294,Engine!$C$2:$C$1369,0)),"",INDEX('Compliance Database'!$G$2:$G$1369,MATCH(294,Engine!$C$2:$C$1369,0)))</f>
        <v/>
      </c>
      <c r="H307" s="9">
        <f>IF(ISNA(MATCH(294,Engine!$C$2:$C$1369,0)),"",INDEX('Compliance Database'!$H$2:$H$1369,MATCH(294,Engine!$C$2:$C$1369,0)))</f>
        <v/>
      </c>
      <c r="I307" s="9">
        <f>IF(ISNA(MATCH(294,Engine!$C$2:$C$1369,0)),"",INDEX('Compliance Database'!$I$2:$I$1369,MATCH(294,Engine!$C$2:$C$1369,0)))</f>
        <v/>
      </c>
      <c r="J307" s="8">
        <f>IF(ISNA(MATCH(294,Engine!$C$2:$C$1369,0)),"",INDEX('Compliance Database'!$J$2:$J$1369,MATCH(294,Engine!$C$2:$C$1369,0)))</f>
        <v/>
      </c>
      <c r="K307" s="9">
        <f>IF(ISNA(MATCH(294,Engine!$C$2:$C$1369,0)),"",INDEX('Compliance Database'!$K$2:$K$1369,MATCH(294,Engine!$C$2:$C$1369,0)))</f>
        <v/>
      </c>
      <c r="L307" s="9">
        <f>IF(ISNA(MATCH(294,Engine!$C$2:$C$1369,0)),"",INDEX('Compliance Database'!$L$2:$L$1369,MATCH(294,Engine!$C$2:$C$1369,0)))</f>
        <v/>
      </c>
      <c r="M307" s="9">
        <f>IF(ISNA(MATCH(294,Engine!$C$2:$C$1369,0)),"",INDEX('Compliance Database'!$M$2:$M$1369,MATCH(294,Engine!$C$2:$C$1369,0)))</f>
        <v/>
      </c>
      <c r="N307" s="9">
        <f>IF(ISNA(MATCH(294,Engine!$C$2:$C$1369,0)),"",INDEX('Compliance Database'!$N$2:$N$1369,MATCH(294,Engine!$C$2:$C$1369,0)))</f>
        <v/>
      </c>
      <c r="O307" s="8">
        <f>IF(ISNA(MATCH(294,Engine!$C$2:$C$1369,0)),"",HYPERLINK(INDEX('Compliance Database'!$O$2:$O$1369,MATCH(294,Engine!$C$2:$C$1369,0)),"Open PDF"))</f>
        <v/>
      </c>
    </row>
    <row r="308" ht="188" customHeight="1">
      <c r="A308" s="8">
        <f>IF(ISNA(MATCH(295,Engine!$C$2:$C$1369,0)),"",INDEX('Compliance Database'!$A$2:$A$1369,MATCH(295,Engine!$C$2:$C$1369,0)))</f>
        <v/>
      </c>
      <c r="B308" s="8">
        <f>IF(ISNA(MATCH(295,Engine!$C$2:$C$1369,0)),"",INDEX('Compliance Database'!$B$2:$B$1369,MATCH(295,Engine!$C$2:$C$1369,0)))</f>
        <v/>
      </c>
      <c r="C308" s="8">
        <f>IF(ISNA(MATCH(295,Engine!$C$2:$C$1369,0)),"",INDEX('Compliance Database'!$C$2:$C$1369,MATCH(295,Engine!$C$2:$C$1369,0)))</f>
        <v/>
      </c>
      <c r="D308" s="9">
        <f>IF(ISNA(MATCH(295,Engine!$C$2:$C$1369,0)),"",INDEX('Compliance Database'!$D$2:$D$1369,MATCH(295,Engine!$C$2:$C$1369,0)))</f>
        <v/>
      </c>
      <c r="E308" s="8">
        <f>IF(ISNA(MATCH(295,Engine!$C$2:$C$1369,0)),"",INDEX('Compliance Database'!$E$2:$E$1369,MATCH(295,Engine!$C$2:$C$1369,0)))</f>
        <v/>
      </c>
      <c r="F308" s="8">
        <f>IF(ISNA(MATCH(295,Engine!$C$2:$C$1369,0)),"",INDEX('Compliance Database'!$F$2:$F$1369,MATCH(295,Engine!$C$2:$C$1369,0)))</f>
        <v/>
      </c>
      <c r="G308" s="8">
        <f>IF(ISNA(MATCH(295,Engine!$C$2:$C$1369,0)),"",INDEX('Compliance Database'!$G$2:$G$1369,MATCH(295,Engine!$C$2:$C$1369,0)))</f>
        <v/>
      </c>
      <c r="H308" s="9">
        <f>IF(ISNA(MATCH(295,Engine!$C$2:$C$1369,0)),"",INDEX('Compliance Database'!$H$2:$H$1369,MATCH(295,Engine!$C$2:$C$1369,0)))</f>
        <v/>
      </c>
      <c r="I308" s="9">
        <f>IF(ISNA(MATCH(295,Engine!$C$2:$C$1369,0)),"",INDEX('Compliance Database'!$I$2:$I$1369,MATCH(295,Engine!$C$2:$C$1369,0)))</f>
        <v/>
      </c>
      <c r="J308" s="8">
        <f>IF(ISNA(MATCH(295,Engine!$C$2:$C$1369,0)),"",INDEX('Compliance Database'!$J$2:$J$1369,MATCH(295,Engine!$C$2:$C$1369,0)))</f>
        <v/>
      </c>
      <c r="K308" s="9">
        <f>IF(ISNA(MATCH(295,Engine!$C$2:$C$1369,0)),"",INDEX('Compliance Database'!$K$2:$K$1369,MATCH(295,Engine!$C$2:$C$1369,0)))</f>
        <v/>
      </c>
      <c r="L308" s="9">
        <f>IF(ISNA(MATCH(295,Engine!$C$2:$C$1369,0)),"",INDEX('Compliance Database'!$L$2:$L$1369,MATCH(295,Engine!$C$2:$C$1369,0)))</f>
        <v/>
      </c>
      <c r="M308" s="9">
        <f>IF(ISNA(MATCH(295,Engine!$C$2:$C$1369,0)),"",INDEX('Compliance Database'!$M$2:$M$1369,MATCH(295,Engine!$C$2:$C$1369,0)))</f>
        <v/>
      </c>
      <c r="N308" s="9">
        <f>IF(ISNA(MATCH(295,Engine!$C$2:$C$1369,0)),"",INDEX('Compliance Database'!$N$2:$N$1369,MATCH(295,Engine!$C$2:$C$1369,0)))</f>
        <v/>
      </c>
      <c r="O308" s="8">
        <f>IF(ISNA(MATCH(295,Engine!$C$2:$C$1369,0)),"",HYPERLINK(INDEX('Compliance Database'!$O$2:$O$1369,MATCH(295,Engine!$C$2:$C$1369,0)),"Open PDF"))</f>
        <v/>
      </c>
    </row>
    <row r="309" ht="188" customHeight="1">
      <c r="A309" s="8">
        <f>IF(ISNA(MATCH(296,Engine!$C$2:$C$1369,0)),"",INDEX('Compliance Database'!$A$2:$A$1369,MATCH(296,Engine!$C$2:$C$1369,0)))</f>
        <v/>
      </c>
      <c r="B309" s="8">
        <f>IF(ISNA(MATCH(296,Engine!$C$2:$C$1369,0)),"",INDEX('Compliance Database'!$B$2:$B$1369,MATCH(296,Engine!$C$2:$C$1369,0)))</f>
        <v/>
      </c>
      <c r="C309" s="8">
        <f>IF(ISNA(MATCH(296,Engine!$C$2:$C$1369,0)),"",INDEX('Compliance Database'!$C$2:$C$1369,MATCH(296,Engine!$C$2:$C$1369,0)))</f>
        <v/>
      </c>
      <c r="D309" s="9">
        <f>IF(ISNA(MATCH(296,Engine!$C$2:$C$1369,0)),"",INDEX('Compliance Database'!$D$2:$D$1369,MATCH(296,Engine!$C$2:$C$1369,0)))</f>
        <v/>
      </c>
      <c r="E309" s="8">
        <f>IF(ISNA(MATCH(296,Engine!$C$2:$C$1369,0)),"",INDEX('Compliance Database'!$E$2:$E$1369,MATCH(296,Engine!$C$2:$C$1369,0)))</f>
        <v/>
      </c>
      <c r="F309" s="8">
        <f>IF(ISNA(MATCH(296,Engine!$C$2:$C$1369,0)),"",INDEX('Compliance Database'!$F$2:$F$1369,MATCH(296,Engine!$C$2:$C$1369,0)))</f>
        <v/>
      </c>
      <c r="G309" s="8">
        <f>IF(ISNA(MATCH(296,Engine!$C$2:$C$1369,0)),"",INDEX('Compliance Database'!$G$2:$G$1369,MATCH(296,Engine!$C$2:$C$1369,0)))</f>
        <v/>
      </c>
      <c r="H309" s="9">
        <f>IF(ISNA(MATCH(296,Engine!$C$2:$C$1369,0)),"",INDEX('Compliance Database'!$H$2:$H$1369,MATCH(296,Engine!$C$2:$C$1369,0)))</f>
        <v/>
      </c>
      <c r="I309" s="9">
        <f>IF(ISNA(MATCH(296,Engine!$C$2:$C$1369,0)),"",INDEX('Compliance Database'!$I$2:$I$1369,MATCH(296,Engine!$C$2:$C$1369,0)))</f>
        <v/>
      </c>
      <c r="J309" s="8">
        <f>IF(ISNA(MATCH(296,Engine!$C$2:$C$1369,0)),"",INDEX('Compliance Database'!$J$2:$J$1369,MATCH(296,Engine!$C$2:$C$1369,0)))</f>
        <v/>
      </c>
      <c r="K309" s="9">
        <f>IF(ISNA(MATCH(296,Engine!$C$2:$C$1369,0)),"",INDEX('Compliance Database'!$K$2:$K$1369,MATCH(296,Engine!$C$2:$C$1369,0)))</f>
        <v/>
      </c>
      <c r="L309" s="9">
        <f>IF(ISNA(MATCH(296,Engine!$C$2:$C$1369,0)),"",INDEX('Compliance Database'!$L$2:$L$1369,MATCH(296,Engine!$C$2:$C$1369,0)))</f>
        <v/>
      </c>
      <c r="M309" s="9">
        <f>IF(ISNA(MATCH(296,Engine!$C$2:$C$1369,0)),"",INDEX('Compliance Database'!$M$2:$M$1369,MATCH(296,Engine!$C$2:$C$1369,0)))</f>
        <v/>
      </c>
      <c r="N309" s="9">
        <f>IF(ISNA(MATCH(296,Engine!$C$2:$C$1369,0)),"",INDEX('Compliance Database'!$N$2:$N$1369,MATCH(296,Engine!$C$2:$C$1369,0)))</f>
        <v/>
      </c>
      <c r="O309" s="8">
        <f>IF(ISNA(MATCH(296,Engine!$C$2:$C$1369,0)),"",HYPERLINK(INDEX('Compliance Database'!$O$2:$O$1369,MATCH(296,Engine!$C$2:$C$1369,0)),"Open PDF"))</f>
        <v/>
      </c>
    </row>
    <row r="310" ht="188" customHeight="1">
      <c r="A310" s="8">
        <f>IF(ISNA(MATCH(297,Engine!$C$2:$C$1369,0)),"",INDEX('Compliance Database'!$A$2:$A$1369,MATCH(297,Engine!$C$2:$C$1369,0)))</f>
        <v/>
      </c>
      <c r="B310" s="8">
        <f>IF(ISNA(MATCH(297,Engine!$C$2:$C$1369,0)),"",INDEX('Compliance Database'!$B$2:$B$1369,MATCH(297,Engine!$C$2:$C$1369,0)))</f>
        <v/>
      </c>
      <c r="C310" s="8">
        <f>IF(ISNA(MATCH(297,Engine!$C$2:$C$1369,0)),"",INDEX('Compliance Database'!$C$2:$C$1369,MATCH(297,Engine!$C$2:$C$1369,0)))</f>
        <v/>
      </c>
      <c r="D310" s="9">
        <f>IF(ISNA(MATCH(297,Engine!$C$2:$C$1369,0)),"",INDEX('Compliance Database'!$D$2:$D$1369,MATCH(297,Engine!$C$2:$C$1369,0)))</f>
        <v/>
      </c>
      <c r="E310" s="8">
        <f>IF(ISNA(MATCH(297,Engine!$C$2:$C$1369,0)),"",INDEX('Compliance Database'!$E$2:$E$1369,MATCH(297,Engine!$C$2:$C$1369,0)))</f>
        <v/>
      </c>
      <c r="F310" s="8">
        <f>IF(ISNA(MATCH(297,Engine!$C$2:$C$1369,0)),"",INDEX('Compliance Database'!$F$2:$F$1369,MATCH(297,Engine!$C$2:$C$1369,0)))</f>
        <v/>
      </c>
      <c r="G310" s="8">
        <f>IF(ISNA(MATCH(297,Engine!$C$2:$C$1369,0)),"",INDEX('Compliance Database'!$G$2:$G$1369,MATCH(297,Engine!$C$2:$C$1369,0)))</f>
        <v/>
      </c>
      <c r="H310" s="9">
        <f>IF(ISNA(MATCH(297,Engine!$C$2:$C$1369,0)),"",INDEX('Compliance Database'!$H$2:$H$1369,MATCH(297,Engine!$C$2:$C$1369,0)))</f>
        <v/>
      </c>
      <c r="I310" s="9">
        <f>IF(ISNA(MATCH(297,Engine!$C$2:$C$1369,0)),"",INDEX('Compliance Database'!$I$2:$I$1369,MATCH(297,Engine!$C$2:$C$1369,0)))</f>
        <v/>
      </c>
      <c r="J310" s="8">
        <f>IF(ISNA(MATCH(297,Engine!$C$2:$C$1369,0)),"",INDEX('Compliance Database'!$J$2:$J$1369,MATCH(297,Engine!$C$2:$C$1369,0)))</f>
        <v/>
      </c>
      <c r="K310" s="9">
        <f>IF(ISNA(MATCH(297,Engine!$C$2:$C$1369,0)),"",INDEX('Compliance Database'!$K$2:$K$1369,MATCH(297,Engine!$C$2:$C$1369,0)))</f>
        <v/>
      </c>
      <c r="L310" s="9">
        <f>IF(ISNA(MATCH(297,Engine!$C$2:$C$1369,0)),"",INDEX('Compliance Database'!$L$2:$L$1369,MATCH(297,Engine!$C$2:$C$1369,0)))</f>
        <v/>
      </c>
      <c r="M310" s="9">
        <f>IF(ISNA(MATCH(297,Engine!$C$2:$C$1369,0)),"",INDEX('Compliance Database'!$M$2:$M$1369,MATCH(297,Engine!$C$2:$C$1369,0)))</f>
        <v/>
      </c>
      <c r="N310" s="9">
        <f>IF(ISNA(MATCH(297,Engine!$C$2:$C$1369,0)),"",INDEX('Compliance Database'!$N$2:$N$1369,MATCH(297,Engine!$C$2:$C$1369,0)))</f>
        <v/>
      </c>
      <c r="O310" s="8">
        <f>IF(ISNA(MATCH(297,Engine!$C$2:$C$1369,0)),"",HYPERLINK(INDEX('Compliance Database'!$O$2:$O$1369,MATCH(297,Engine!$C$2:$C$1369,0)),"Open PDF"))</f>
        <v/>
      </c>
    </row>
    <row r="311" ht="188" customHeight="1">
      <c r="A311" s="8">
        <f>IF(ISNA(MATCH(298,Engine!$C$2:$C$1369,0)),"",INDEX('Compliance Database'!$A$2:$A$1369,MATCH(298,Engine!$C$2:$C$1369,0)))</f>
        <v/>
      </c>
      <c r="B311" s="8">
        <f>IF(ISNA(MATCH(298,Engine!$C$2:$C$1369,0)),"",INDEX('Compliance Database'!$B$2:$B$1369,MATCH(298,Engine!$C$2:$C$1369,0)))</f>
        <v/>
      </c>
      <c r="C311" s="8">
        <f>IF(ISNA(MATCH(298,Engine!$C$2:$C$1369,0)),"",INDEX('Compliance Database'!$C$2:$C$1369,MATCH(298,Engine!$C$2:$C$1369,0)))</f>
        <v/>
      </c>
      <c r="D311" s="9">
        <f>IF(ISNA(MATCH(298,Engine!$C$2:$C$1369,0)),"",INDEX('Compliance Database'!$D$2:$D$1369,MATCH(298,Engine!$C$2:$C$1369,0)))</f>
        <v/>
      </c>
      <c r="E311" s="8">
        <f>IF(ISNA(MATCH(298,Engine!$C$2:$C$1369,0)),"",INDEX('Compliance Database'!$E$2:$E$1369,MATCH(298,Engine!$C$2:$C$1369,0)))</f>
        <v/>
      </c>
      <c r="F311" s="8">
        <f>IF(ISNA(MATCH(298,Engine!$C$2:$C$1369,0)),"",INDEX('Compliance Database'!$F$2:$F$1369,MATCH(298,Engine!$C$2:$C$1369,0)))</f>
        <v/>
      </c>
      <c r="G311" s="8">
        <f>IF(ISNA(MATCH(298,Engine!$C$2:$C$1369,0)),"",INDEX('Compliance Database'!$G$2:$G$1369,MATCH(298,Engine!$C$2:$C$1369,0)))</f>
        <v/>
      </c>
      <c r="H311" s="9">
        <f>IF(ISNA(MATCH(298,Engine!$C$2:$C$1369,0)),"",INDEX('Compliance Database'!$H$2:$H$1369,MATCH(298,Engine!$C$2:$C$1369,0)))</f>
        <v/>
      </c>
      <c r="I311" s="9">
        <f>IF(ISNA(MATCH(298,Engine!$C$2:$C$1369,0)),"",INDEX('Compliance Database'!$I$2:$I$1369,MATCH(298,Engine!$C$2:$C$1369,0)))</f>
        <v/>
      </c>
      <c r="J311" s="8">
        <f>IF(ISNA(MATCH(298,Engine!$C$2:$C$1369,0)),"",INDEX('Compliance Database'!$J$2:$J$1369,MATCH(298,Engine!$C$2:$C$1369,0)))</f>
        <v/>
      </c>
      <c r="K311" s="9">
        <f>IF(ISNA(MATCH(298,Engine!$C$2:$C$1369,0)),"",INDEX('Compliance Database'!$K$2:$K$1369,MATCH(298,Engine!$C$2:$C$1369,0)))</f>
        <v/>
      </c>
      <c r="L311" s="9">
        <f>IF(ISNA(MATCH(298,Engine!$C$2:$C$1369,0)),"",INDEX('Compliance Database'!$L$2:$L$1369,MATCH(298,Engine!$C$2:$C$1369,0)))</f>
        <v/>
      </c>
      <c r="M311" s="9">
        <f>IF(ISNA(MATCH(298,Engine!$C$2:$C$1369,0)),"",INDEX('Compliance Database'!$M$2:$M$1369,MATCH(298,Engine!$C$2:$C$1369,0)))</f>
        <v/>
      </c>
      <c r="N311" s="9">
        <f>IF(ISNA(MATCH(298,Engine!$C$2:$C$1369,0)),"",INDEX('Compliance Database'!$N$2:$N$1369,MATCH(298,Engine!$C$2:$C$1369,0)))</f>
        <v/>
      </c>
      <c r="O311" s="8">
        <f>IF(ISNA(MATCH(298,Engine!$C$2:$C$1369,0)),"",HYPERLINK(INDEX('Compliance Database'!$O$2:$O$1369,MATCH(298,Engine!$C$2:$C$1369,0)),"Open PDF"))</f>
        <v/>
      </c>
    </row>
    <row r="312" ht="188" customHeight="1">
      <c r="A312" s="8">
        <f>IF(ISNA(MATCH(299,Engine!$C$2:$C$1369,0)),"",INDEX('Compliance Database'!$A$2:$A$1369,MATCH(299,Engine!$C$2:$C$1369,0)))</f>
        <v/>
      </c>
      <c r="B312" s="8">
        <f>IF(ISNA(MATCH(299,Engine!$C$2:$C$1369,0)),"",INDEX('Compliance Database'!$B$2:$B$1369,MATCH(299,Engine!$C$2:$C$1369,0)))</f>
        <v/>
      </c>
      <c r="C312" s="8">
        <f>IF(ISNA(MATCH(299,Engine!$C$2:$C$1369,0)),"",INDEX('Compliance Database'!$C$2:$C$1369,MATCH(299,Engine!$C$2:$C$1369,0)))</f>
        <v/>
      </c>
      <c r="D312" s="9">
        <f>IF(ISNA(MATCH(299,Engine!$C$2:$C$1369,0)),"",INDEX('Compliance Database'!$D$2:$D$1369,MATCH(299,Engine!$C$2:$C$1369,0)))</f>
        <v/>
      </c>
      <c r="E312" s="8">
        <f>IF(ISNA(MATCH(299,Engine!$C$2:$C$1369,0)),"",INDEX('Compliance Database'!$E$2:$E$1369,MATCH(299,Engine!$C$2:$C$1369,0)))</f>
        <v/>
      </c>
      <c r="F312" s="8">
        <f>IF(ISNA(MATCH(299,Engine!$C$2:$C$1369,0)),"",INDEX('Compliance Database'!$F$2:$F$1369,MATCH(299,Engine!$C$2:$C$1369,0)))</f>
        <v/>
      </c>
      <c r="G312" s="8">
        <f>IF(ISNA(MATCH(299,Engine!$C$2:$C$1369,0)),"",INDEX('Compliance Database'!$G$2:$G$1369,MATCH(299,Engine!$C$2:$C$1369,0)))</f>
        <v/>
      </c>
      <c r="H312" s="9">
        <f>IF(ISNA(MATCH(299,Engine!$C$2:$C$1369,0)),"",INDEX('Compliance Database'!$H$2:$H$1369,MATCH(299,Engine!$C$2:$C$1369,0)))</f>
        <v/>
      </c>
      <c r="I312" s="9">
        <f>IF(ISNA(MATCH(299,Engine!$C$2:$C$1369,0)),"",INDEX('Compliance Database'!$I$2:$I$1369,MATCH(299,Engine!$C$2:$C$1369,0)))</f>
        <v/>
      </c>
      <c r="J312" s="8">
        <f>IF(ISNA(MATCH(299,Engine!$C$2:$C$1369,0)),"",INDEX('Compliance Database'!$J$2:$J$1369,MATCH(299,Engine!$C$2:$C$1369,0)))</f>
        <v/>
      </c>
      <c r="K312" s="9">
        <f>IF(ISNA(MATCH(299,Engine!$C$2:$C$1369,0)),"",INDEX('Compliance Database'!$K$2:$K$1369,MATCH(299,Engine!$C$2:$C$1369,0)))</f>
        <v/>
      </c>
      <c r="L312" s="9">
        <f>IF(ISNA(MATCH(299,Engine!$C$2:$C$1369,0)),"",INDEX('Compliance Database'!$L$2:$L$1369,MATCH(299,Engine!$C$2:$C$1369,0)))</f>
        <v/>
      </c>
      <c r="M312" s="9">
        <f>IF(ISNA(MATCH(299,Engine!$C$2:$C$1369,0)),"",INDEX('Compliance Database'!$M$2:$M$1369,MATCH(299,Engine!$C$2:$C$1369,0)))</f>
        <v/>
      </c>
      <c r="N312" s="9">
        <f>IF(ISNA(MATCH(299,Engine!$C$2:$C$1369,0)),"",INDEX('Compliance Database'!$N$2:$N$1369,MATCH(299,Engine!$C$2:$C$1369,0)))</f>
        <v/>
      </c>
      <c r="O312" s="8">
        <f>IF(ISNA(MATCH(299,Engine!$C$2:$C$1369,0)),"",HYPERLINK(INDEX('Compliance Database'!$O$2:$O$1369,MATCH(299,Engine!$C$2:$C$1369,0)),"Open PDF"))</f>
        <v/>
      </c>
    </row>
    <row r="313" ht="188" customHeight="1">
      <c r="A313" s="8">
        <f>IF(ISNA(MATCH(300,Engine!$C$2:$C$1369,0)),"",INDEX('Compliance Database'!$A$2:$A$1369,MATCH(300,Engine!$C$2:$C$1369,0)))</f>
        <v/>
      </c>
      <c r="B313" s="8">
        <f>IF(ISNA(MATCH(300,Engine!$C$2:$C$1369,0)),"",INDEX('Compliance Database'!$B$2:$B$1369,MATCH(300,Engine!$C$2:$C$1369,0)))</f>
        <v/>
      </c>
      <c r="C313" s="8">
        <f>IF(ISNA(MATCH(300,Engine!$C$2:$C$1369,0)),"",INDEX('Compliance Database'!$C$2:$C$1369,MATCH(300,Engine!$C$2:$C$1369,0)))</f>
        <v/>
      </c>
      <c r="D313" s="9">
        <f>IF(ISNA(MATCH(300,Engine!$C$2:$C$1369,0)),"",INDEX('Compliance Database'!$D$2:$D$1369,MATCH(300,Engine!$C$2:$C$1369,0)))</f>
        <v/>
      </c>
      <c r="E313" s="8">
        <f>IF(ISNA(MATCH(300,Engine!$C$2:$C$1369,0)),"",INDEX('Compliance Database'!$E$2:$E$1369,MATCH(300,Engine!$C$2:$C$1369,0)))</f>
        <v/>
      </c>
      <c r="F313" s="8">
        <f>IF(ISNA(MATCH(300,Engine!$C$2:$C$1369,0)),"",INDEX('Compliance Database'!$F$2:$F$1369,MATCH(300,Engine!$C$2:$C$1369,0)))</f>
        <v/>
      </c>
      <c r="G313" s="8">
        <f>IF(ISNA(MATCH(300,Engine!$C$2:$C$1369,0)),"",INDEX('Compliance Database'!$G$2:$G$1369,MATCH(300,Engine!$C$2:$C$1369,0)))</f>
        <v/>
      </c>
      <c r="H313" s="9">
        <f>IF(ISNA(MATCH(300,Engine!$C$2:$C$1369,0)),"",INDEX('Compliance Database'!$H$2:$H$1369,MATCH(300,Engine!$C$2:$C$1369,0)))</f>
        <v/>
      </c>
      <c r="I313" s="9">
        <f>IF(ISNA(MATCH(300,Engine!$C$2:$C$1369,0)),"",INDEX('Compliance Database'!$I$2:$I$1369,MATCH(300,Engine!$C$2:$C$1369,0)))</f>
        <v/>
      </c>
      <c r="J313" s="8">
        <f>IF(ISNA(MATCH(300,Engine!$C$2:$C$1369,0)),"",INDEX('Compliance Database'!$J$2:$J$1369,MATCH(300,Engine!$C$2:$C$1369,0)))</f>
        <v/>
      </c>
      <c r="K313" s="9">
        <f>IF(ISNA(MATCH(300,Engine!$C$2:$C$1369,0)),"",INDEX('Compliance Database'!$K$2:$K$1369,MATCH(300,Engine!$C$2:$C$1369,0)))</f>
        <v/>
      </c>
      <c r="L313" s="9">
        <f>IF(ISNA(MATCH(300,Engine!$C$2:$C$1369,0)),"",INDEX('Compliance Database'!$L$2:$L$1369,MATCH(300,Engine!$C$2:$C$1369,0)))</f>
        <v/>
      </c>
      <c r="M313" s="9">
        <f>IF(ISNA(MATCH(300,Engine!$C$2:$C$1369,0)),"",INDEX('Compliance Database'!$M$2:$M$1369,MATCH(300,Engine!$C$2:$C$1369,0)))</f>
        <v/>
      </c>
      <c r="N313" s="9">
        <f>IF(ISNA(MATCH(300,Engine!$C$2:$C$1369,0)),"",INDEX('Compliance Database'!$N$2:$N$1369,MATCH(300,Engine!$C$2:$C$1369,0)))</f>
        <v/>
      </c>
      <c r="O313" s="8">
        <f>IF(ISNA(MATCH(300,Engine!$C$2:$C$1369,0)),"",HYPERLINK(INDEX('Compliance Database'!$O$2:$O$1369,MATCH(300,Engine!$C$2:$C$1369,0)),"Open PDF"))</f>
        <v/>
      </c>
    </row>
    <row r="314" ht="188" customHeight="1">
      <c r="A314" s="8">
        <f>IF(ISNA(MATCH(301,Engine!$C$2:$C$1369,0)),"",INDEX('Compliance Database'!$A$2:$A$1369,MATCH(301,Engine!$C$2:$C$1369,0)))</f>
        <v/>
      </c>
      <c r="B314" s="8">
        <f>IF(ISNA(MATCH(301,Engine!$C$2:$C$1369,0)),"",INDEX('Compliance Database'!$B$2:$B$1369,MATCH(301,Engine!$C$2:$C$1369,0)))</f>
        <v/>
      </c>
      <c r="C314" s="8">
        <f>IF(ISNA(MATCH(301,Engine!$C$2:$C$1369,0)),"",INDEX('Compliance Database'!$C$2:$C$1369,MATCH(301,Engine!$C$2:$C$1369,0)))</f>
        <v/>
      </c>
      <c r="D314" s="9">
        <f>IF(ISNA(MATCH(301,Engine!$C$2:$C$1369,0)),"",INDEX('Compliance Database'!$D$2:$D$1369,MATCH(301,Engine!$C$2:$C$1369,0)))</f>
        <v/>
      </c>
      <c r="E314" s="8">
        <f>IF(ISNA(MATCH(301,Engine!$C$2:$C$1369,0)),"",INDEX('Compliance Database'!$E$2:$E$1369,MATCH(301,Engine!$C$2:$C$1369,0)))</f>
        <v/>
      </c>
      <c r="F314" s="8">
        <f>IF(ISNA(MATCH(301,Engine!$C$2:$C$1369,0)),"",INDEX('Compliance Database'!$F$2:$F$1369,MATCH(301,Engine!$C$2:$C$1369,0)))</f>
        <v/>
      </c>
      <c r="G314" s="8">
        <f>IF(ISNA(MATCH(301,Engine!$C$2:$C$1369,0)),"",INDEX('Compliance Database'!$G$2:$G$1369,MATCH(301,Engine!$C$2:$C$1369,0)))</f>
        <v/>
      </c>
      <c r="H314" s="9">
        <f>IF(ISNA(MATCH(301,Engine!$C$2:$C$1369,0)),"",INDEX('Compliance Database'!$H$2:$H$1369,MATCH(301,Engine!$C$2:$C$1369,0)))</f>
        <v/>
      </c>
      <c r="I314" s="9">
        <f>IF(ISNA(MATCH(301,Engine!$C$2:$C$1369,0)),"",INDEX('Compliance Database'!$I$2:$I$1369,MATCH(301,Engine!$C$2:$C$1369,0)))</f>
        <v/>
      </c>
      <c r="J314" s="8">
        <f>IF(ISNA(MATCH(301,Engine!$C$2:$C$1369,0)),"",INDEX('Compliance Database'!$J$2:$J$1369,MATCH(301,Engine!$C$2:$C$1369,0)))</f>
        <v/>
      </c>
      <c r="K314" s="9">
        <f>IF(ISNA(MATCH(301,Engine!$C$2:$C$1369,0)),"",INDEX('Compliance Database'!$K$2:$K$1369,MATCH(301,Engine!$C$2:$C$1369,0)))</f>
        <v/>
      </c>
      <c r="L314" s="9">
        <f>IF(ISNA(MATCH(301,Engine!$C$2:$C$1369,0)),"",INDEX('Compliance Database'!$L$2:$L$1369,MATCH(301,Engine!$C$2:$C$1369,0)))</f>
        <v/>
      </c>
      <c r="M314" s="9">
        <f>IF(ISNA(MATCH(301,Engine!$C$2:$C$1369,0)),"",INDEX('Compliance Database'!$M$2:$M$1369,MATCH(301,Engine!$C$2:$C$1369,0)))</f>
        <v/>
      </c>
      <c r="N314" s="9">
        <f>IF(ISNA(MATCH(301,Engine!$C$2:$C$1369,0)),"",INDEX('Compliance Database'!$N$2:$N$1369,MATCH(301,Engine!$C$2:$C$1369,0)))</f>
        <v/>
      </c>
      <c r="O314" s="8">
        <f>IF(ISNA(MATCH(301,Engine!$C$2:$C$1369,0)),"",HYPERLINK(INDEX('Compliance Database'!$O$2:$O$1369,MATCH(301,Engine!$C$2:$C$1369,0)),"Open PDF"))</f>
        <v/>
      </c>
    </row>
    <row r="315" ht="188" customHeight="1">
      <c r="A315" s="8">
        <f>IF(ISNA(MATCH(302,Engine!$C$2:$C$1369,0)),"",INDEX('Compliance Database'!$A$2:$A$1369,MATCH(302,Engine!$C$2:$C$1369,0)))</f>
        <v/>
      </c>
      <c r="B315" s="8">
        <f>IF(ISNA(MATCH(302,Engine!$C$2:$C$1369,0)),"",INDEX('Compliance Database'!$B$2:$B$1369,MATCH(302,Engine!$C$2:$C$1369,0)))</f>
        <v/>
      </c>
      <c r="C315" s="8">
        <f>IF(ISNA(MATCH(302,Engine!$C$2:$C$1369,0)),"",INDEX('Compliance Database'!$C$2:$C$1369,MATCH(302,Engine!$C$2:$C$1369,0)))</f>
        <v/>
      </c>
      <c r="D315" s="9">
        <f>IF(ISNA(MATCH(302,Engine!$C$2:$C$1369,0)),"",INDEX('Compliance Database'!$D$2:$D$1369,MATCH(302,Engine!$C$2:$C$1369,0)))</f>
        <v/>
      </c>
      <c r="E315" s="8">
        <f>IF(ISNA(MATCH(302,Engine!$C$2:$C$1369,0)),"",INDEX('Compliance Database'!$E$2:$E$1369,MATCH(302,Engine!$C$2:$C$1369,0)))</f>
        <v/>
      </c>
      <c r="F315" s="8">
        <f>IF(ISNA(MATCH(302,Engine!$C$2:$C$1369,0)),"",INDEX('Compliance Database'!$F$2:$F$1369,MATCH(302,Engine!$C$2:$C$1369,0)))</f>
        <v/>
      </c>
      <c r="G315" s="8">
        <f>IF(ISNA(MATCH(302,Engine!$C$2:$C$1369,0)),"",INDEX('Compliance Database'!$G$2:$G$1369,MATCH(302,Engine!$C$2:$C$1369,0)))</f>
        <v/>
      </c>
      <c r="H315" s="9">
        <f>IF(ISNA(MATCH(302,Engine!$C$2:$C$1369,0)),"",INDEX('Compliance Database'!$H$2:$H$1369,MATCH(302,Engine!$C$2:$C$1369,0)))</f>
        <v/>
      </c>
      <c r="I315" s="9">
        <f>IF(ISNA(MATCH(302,Engine!$C$2:$C$1369,0)),"",INDEX('Compliance Database'!$I$2:$I$1369,MATCH(302,Engine!$C$2:$C$1369,0)))</f>
        <v/>
      </c>
      <c r="J315" s="8">
        <f>IF(ISNA(MATCH(302,Engine!$C$2:$C$1369,0)),"",INDEX('Compliance Database'!$J$2:$J$1369,MATCH(302,Engine!$C$2:$C$1369,0)))</f>
        <v/>
      </c>
      <c r="K315" s="9">
        <f>IF(ISNA(MATCH(302,Engine!$C$2:$C$1369,0)),"",INDEX('Compliance Database'!$K$2:$K$1369,MATCH(302,Engine!$C$2:$C$1369,0)))</f>
        <v/>
      </c>
      <c r="L315" s="9">
        <f>IF(ISNA(MATCH(302,Engine!$C$2:$C$1369,0)),"",INDEX('Compliance Database'!$L$2:$L$1369,MATCH(302,Engine!$C$2:$C$1369,0)))</f>
        <v/>
      </c>
      <c r="M315" s="9">
        <f>IF(ISNA(MATCH(302,Engine!$C$2:$C$1369,0)),"",INDEX('Compliance Database'!$M$2:$M$1369,MATCH(302,Engine!$C$2:$C$1369,0)))</f>
        <v/>
      </c>
      <c r="N315" s="9">
        <f>IF(ISNA(MATCH(302,Engine!$C$2:$C$1369,0)),"",INDEX('Compliance Database'!$N$2:$N$1369,MATCH(302,Engine!$C$2:$C$1369,0)))</f>
        <v/>
      </c>
      <c r="O315" s="8">
        <f>IF(ISNA(MATCH(302,Engine!$C$2:$C$1369,0)),"",HYPERLINK(INDEX('Compliance Database'!$O$2:$O$1369,MATCH(302,Engine!$C$2:$C$1369,0)),"Open PDF"))</f>
        <v/>
      </c>
    </row>
    <row r="316" ht="188" customHeight="1">
      <c r="A316" s="8">
        <f>IF(ISNA(MATCH(303,Engine!$C$2:$C$1369,0)),"",INDEX('Compliance Database'!$A$2:$A$1369,MATCH(303,Engine!$C$2:$C$1369,0)))</f>
        <v/>
      </c>
      <c r="B316" s="8">
        <f>IF(ISNA(MATCH(303,Engine!$C$2:$C$1369,0)),"",INDEX('Compliance Database'!$B$2:$B$1369,MATCH(303,Engine!$C$2:$C$1369,0)))</f>
        <v/>
      </c>
      <c r="C316" s="8">
        <f>IF(ISNA(MATCH(303,Engine!$C$2:$C$1369,0)),"",INDEX('Compliance Database'!$C$2:$C$1369,MATCH(303,Engine!$C$2:$C$1369,0)))</f>
        <v/>
      </c>
      <c r="D316" s="9">
        <f>IF(ISNA(MATCH(303,Engine!$C$2:$C$1369,0)),"",INDEX('Compliance Database'!$D$2:$D$1369,MATCH(303,Engine!$C$2:$C$1369,0)))</f>
        <v/>
      </c>
      <c r="E316" s="8">
        <f>IF(ISNA(MATCH(303,Engine!$C$2:$C$1369,0)),"",INDEX('Compliance Database'!$E$2:$E$1369,MATCH(303,Engine!$C$2:$C$1369,0)))</f>
        <v/>
      </c>
      <c r="F316" s="8">
        <f>IF(ISNA(MATCH(303,Engine!$C$2:$C$1369,0)),"",INDEX('Compliance Database'!$F$2:$F$1369,MATCH(303,Engine!$C$2:$C$1369,0)))</f>
        <v/>
      </c>
      <c r="G316" s="8">
        <f>IF(ISNA(MATCH(303,Engine!$C$2:$C$1369,0)),"",INDEX('Compliance Database'!$G$2:$G$1369,MATCH(303,Engine!$C$2:$C$1369,0)))</f>
        <v/>
      </c>
      <c r="H316" s="9">
        <f>IF(ISNA(MATCH(303,Engine!$C$2:$C$1369,0)),"",INDEX('Compliance Database'!$H$2:$H$1369,MATCH(303,Engine!$C$2:$C$1369,0)))</f>
        <v/>
      </c>
      <c r="I316" s="9">
        <f>IF(ISNA(MATCH(303,Engine!$C$2:$C$1369,0)),"",INDEX('Compliance Database'!$I$2:$I$1369,MATCH(303,Engine!$C$2:$C$1369,0)))</f>
        <v/>
      </c>
      <c r="J316" s="8">
        <f>IF(ISNA(MATCH(303,Engine!$C$2:$C$1369,0)),"",INDEX('Compliance Database'!$J$2:$J$1369,MATCH(303,Engine!$C$2:$C$1369,0)))</f>
        <v/>
      </c>
      <c r="K316" s="9">
        <f>IF(ISNA(MATCH(303,Engine!$C$2:$C$1369,0)),"",INDEX('Compliance Database'!$K$2:$K$1369,MATCH(303,Engine!$C$2:$C$1369,0)))</f>
        <v/>
      </c>
      <c r="L316" s="9">
        <f>IF(ISNA(MATCH(303,Engine!$C$2:$C$1369,0)),"",INDEX('Compliance Database'!$L$2:$L$1369,MATCH(303,Engine!$C$2:$C$1369,0)))</f>
        <v/>
      </c>
      <c r="M316" s="9">
        <f>IF(ISNA(MATCH(303,Engine!$C$2:$C$1369,0)),"",INDEX('Compliance Database'!$M$2:$M$1369,MATCH(303,Engine!$C$2:$C$1369,0)))</f>
        <v/>
      </c>
      <c r="N316" s="9">
        <f>IF(ISNA(MATCH(303,Engine!$C$2:$C$1369,0)),"",INDEX('Compliance Database'!$N$2:$N$1369,MATCH(303,Engine!$C$2:$C$1369,0)))</f>
        <v/>
      </c>
      <c r="O316" s="8">
        <f>IF(ISNA(MATCH(303,Engine!$C$2:$C$1369,0)),"",HYPERLINK(INDEX('Compliance Database'!$O$2:$O$1369,MATCH(303,Engine!$C$2:$C$1369,0)),"Open PDF"))</f>
        <v/>
      </c>
    </row>
    <row r="317" ht="188" customHeight="1">
      <c r="A317" s="8">
        <f>IF(ISNA(MATCH(304,Engine!$C$2:$C$1369,0)),"",INDEX('Compliance Database'!$A$2:$A$1369,MATCH(304,Engine!$C$2:$C$1369,0)))</f>
        <v/>
      </c>
      <c r="B317" s="8">
        <f>IF(ISNA(MATCH(304,Engine!$C$2:$C$1369,0)),"",INDEX('Compliance Database'!$B$2:$B$1369,MATCH(304,Engine!$C$2:$C$1369,0)))</f>
        <v/>
      </c>
      <c r="C317" s="8">
        <f>IF(ISNA(MATCH(304,Engine!$C$2:$C$1369,0)),"",INDEX('Compliance Database'!$C$2:$C$1369,MATCH(304,Engine!$C$2:$C$1369,0)))</f>
        <v/>
      </c>
      <c r="D317" s="9">
        <f>IF(ISNA(MATCH(304,Engine!$C$2:$C$1369,0)),"",INDEX('Compliance Database'!$D$2:$D$1369,MATCH(304,Engine!$C$2:$C$1369,0)))</f>
        <v/>
      </c>
      <c r="E317" s="8">
        <f>IF(ISNA(MATCH(304,Engine!$C$2:$C$1369,0)),"",INDEX('Compliance Database'!$E$2:$E$1369,MATCH(304,Engine!$C$2:$C$1369,0)))</f>
        <v/>
      </c>
      <c r="F317" s="8">
        <f>IF(ISNA(MATCH(304,Engine!$C$2:$C$1369,0)),"",INDEX('Compliance Database'!$F$2:$F$1369,MATCH(304,Engine!$C$2:$C$1369,0)))</f>
        <v/>
      </c>
      <c r="G317" s="8">
        <f>IF(ISNA(MATCH(304,Engine!$C$2:$C$1369,0)),"",INDEX('Compliance Database'!$G$2:$G$1369,MATCH(304,Engine!$C$2:$C$1369,0)))</f>
        <v/>
      </c>
      <c r="H317" s="9">
        <f>IF(ISNA(MATCH(304,Engine!$C$2:$C$1369,0)),"",INDEX('Compliance Database'!$H$2:$H$1369,MATCH(304,Engine!$C$2:$C$1369,0)))</f>
        <v/>
      </c>
      <c r="I317" s="9">
        <f>IF(ISNA(MATCH(304,Engine!$C$2:$C$1369,0)),"",INDEX('Compliance Database'!$I$2:$I$1369,MATCH(304,Engine!$C$2:$C$1369,0)))</f>
        <v/>
      </c>
      <c r="J317" s="8">
        <f>IF(ISNA(MATCH(304,Engine!$C$2:$C$1369,0)),"",INDEX('Compliance Database'!$J$2:$J$1369,MATCH(304,Engine!$C$2:$C$1369,0)))</f>
        <v/>
      </c>
      <c r="K317" s="9">
        <f>IF(ISNA(MATCH(304,Engine!$C$2:$C$1369,0)),"",INDEX('Compliance Database'!$K$2:$K$1369,MATCH(304,Engine!$C$2:$C$1369,0)))</f>
        <v/>
      </c>
      <c r="L317" s="9">
        <f>IF(ISNA(MATCH(304,Engine!$C$2:$C$1369,0)),"",INDEX('Compliance Database'!$L$2:$L$1369,MATCH(304,Engine!$C$2:$C$1369,0)))</f>
        <v/>
      </c>
      <c r="M317" s="9">
        <f>IF(ISNA(MATCH(304,Engine!$C$2:$C$1369,0)),"",INDEX('Compliance Database'!$M$2:$M$1369,MATCH(304,Engine!$C$2:$C$1369,0)))</f>
        <v/>
      </c>
      <c r="N317" s="9">
        <f>IF(ISNA(MATCH(304,Engine!$C$2:$C$1369,0)),"",INDEX('Compliance Database'!$N$2:$N$1369,MATCH(304,Engine!$C$2:$C$1369,0)))</f>
        <v/>
      </c>
      <c r="O317" s="8">
        <f>IF(ISNA(MATCH(304,Engine!$C$2:$C$1369,0)),"",HYPERLINK(INDEX('Compliance Database'!$O$2:$O$1369,MATCH(304,Engine!$C$2:$C$1369,0)),"Open PDF"))</f>
        <v/>
      </c>
    </row>
    <row r="318" ht="188" customHeight="1">
      <c r="A318" s="8">
        <f>IF(ISNA(MATCH(305,Engine!$C$2:$C$1369,0)),"",INDEX('Compliance Database'!$A$2:$A$1369,MATCH(305,Engine!$C$2:$C$1369,0)))</f>
        <v/>
      </c>
      <c r="B318" s="8">
        <f>IF(ISNA(MATCH(305,Engine!$C$2:$C$1369,0)),"",INDEX('Compliance Database'!$B$2:$B$1369,MATCH(305,Engine!$C$2:$C$1369,0)))</f>
        <v/>
      </c>
      <c r="C318" s="8">
        <f>IF(ISNA(MATCH(305,Engine!$C$2:$C$1369,0)),"",INDEX('Compliance Database'!$C$2:$C$1369,MATCH(305,Engine!$C$2:$C$1369,0)))</f>
        <v/>
      </c>
      <c r="D318" s="9">
        <f>IF(ISNA(MATCH(305,Engine!$C$2:$C$1369,0)),"",INDEX('Compliance Database'!$D$2:$D$1369,MATCH(305,Engine!$C$2:$C$1369,0)))</f>
        <v/>
      </c>
      <c r="E318" s="8">
        <f>IF(ISNA(MATCH(305,Engine!$C$2:$C$1369,0)),"",INDEX('Compliance Database'!$E$2:$E$1369,MATCH(305,Engine!$C$2:$C$1369,0)))</f>
        <v/>
      </c>
      <c r="F318" s="8">
        <f>IF(ISNA(MATCH(305,Engine!$C$2:$C$1369,0)),"",INDEX('Compliance Database'!$F$2:$F$1369,MATCH(305,Engine!$C$2:$C$1369,0)))</f>
        <v/>
      </c>
      <c r="G318" s="8">
        <f>IF(ISNA(MATCH(305,Engine!$C$2:$C$1369,0)),"",INDEX('Compliance Database'!$G$2:$G$1369,MATCH(305,Engine!$C$2:$C$1369,0)))</f>
        <v/>
      </c>
      <c r="H318" s="9">
        <f>IF(ISNA(MATCH(305,Engine!$C$2:$C$1369,0)),"",INDEX('Compliance Database'!$H$2:$H$1369,MATCH(305,Engine!$C$2:$C$1369,0)))</f>
        <v/>
      </c>
      <c r="I318" s="9">
        <f>IF(ISNA(MATCH(305,Engine!$C$2:$C$1369,0)),"",INDEX('Compliance Database'!$I$2:$I$1369,MATCH(305,Engine!$C$2:$C$1369,0)))</f>
        <v/>
      </c>
      <c r="J318" s="8">
        <f>IF(ISNA(MATCH(305,Engine!$C$2:$C$1369,0)),"",INDEX('Compliance Database'!$J$2:$J$1369,MATCH(305,Engine!$C$2:$C$1369,0)))</f>
        <v/>
      </c>
      <c r="K318" s="9">
        <f>IF(ISNA(MATCH(305,Engine!$C$2:$C$1369,0)),"",INDEX('Compliance Database'!$K$2:$K$1369,MATCH(305,Engine!$C$2:$C$1369,0)))</f>
        <v/>
      </c>
      <c r="L318" s="9">
        <f>IF(ISNA(MATCH(305,Engine!$C$2:$C$1369,0)),"",INDEX('Compliance Database'!$L$2:$L$1369,MATCH(305,Engine!$C$2:$C$1369,0)))</f>
        <v/>
      </c>
      <c r="M318" s="9">
        <f>IF(ISNA(MATCH(305,Engine!$C$2:$C$1369,0)),"",INDEX('Compliance Database'!$M$2:$M$1369,MATCH(305,Engine!$C$2:$C$1369,0)))</f>
        <v/>
      </c>
      <c r="N318" s="9">
        <f>IF(ISNA(MATCH(305,Engine!$C$2:$C$1369,0)),"",INDEX('Compliance Database'!$N$2:$N$1369,MATCH(305,Engine!$C$2:$C$1369,0)))</f>
        <v/>
      </c>
      <c r="O318" s="8">
        <f>IF(ISNA(MATCH(305,Engine!$C$2:$C$1369,0)),"",HYPERLINK(INDEX('Compliance Database'!$O$2:$O$1369,MATCH(305,Engine!$C$2:$C$1369,0)),"Open PDF"))</f>
        <v/>
      </c>
    </row>
    <row r="319" ht="188" customHeight="1">
      <c r="A319" s="8">
        <f>IF(ISNA(MATCH(306,Engine!$C$2:$C$1369,0)),"",INDEX('Compliance Database'!$A$2:$A$1369,MATCH(306,Engine!$C$2:$C$1369,0)))</f>
        <v/>
      </c>
      <c r="B319" s="8">
        <f>IF(ISNA(MATCH(306,Engine!$C$2:$C$1369,0)),"",INDEX('Compliance Database'!$B$2:$B$1369,MATCH(306,Engine!$C$2:$C$1369,0)))</f>
        <v/>
      </c>
      <c r="C319" s="8">
        <f>IF(ISNA(MATCH(306,Engine!$C$2:$C$1369,0)),"",INDEX('Compliance Database'!$C$2:$C$1369,MATCH(306,Engine!$C$2:$C$1369,0)))</f>
        <v/>
      </c>
      <c r="D319" s="9">
        <f>IF(ISNA(MATCH(306,Engine!$C$2:$C$1369,0)),"",INDEX('Compliance Database'!$D$2:$D$1369,MATCH(306,Engine!$C$2:$C$1369,0)))</f>
        <v/>
      </c>
      <c r="E319" s="8">
        <f>IF(ISNA(MATCH(306,Engine!$C$2:$C$1369,0)),"",INDEX('Compliance Database'!$E$2:$E$1369,MATCH(306,Engine!$C$2:$C$1369,0)))</f>
        <v/>
      </c>
      <c r="F319" s="8">
        <f>IF(ISNA(MATCH(306,Engine!$C$2:$C$1369,0)),"",INDEX('Compliance Database'!$F$2:$F$1369,MATCH(306,Engine!$C$2:$C$1369,0)))</f>
        <v/>
      </c>
      <c r="G319" s="8">
        <f>IF(ISNA(MATCH(306,Engine!$C$2:$C$1369,0)),"",INDEX('Compliance Database'!$G$2:$G$1369,MATCH(306,Engine!$C$2:$C$1369,0)))</f>
        <v/>
      </c>
      <c r="H319" s="9">
        <f>IF(ISNA(MATCH(306,Engine!$C$2:$C$1369,0)),"",INDEX('Compliance Database'!$H$2:$H$1369,MATCH(306,Engine!$C$2:$C$1369,0)))</f>
        <v/>
      </c>
      <c r="I319" s="9">
        <f>IF(ISNA(MATCH(306,Engine!$C$2:$C$1369,0)),"",INDEX('Compliance Database'!$I$2:$I$1369,MATCH(306,Engine!$C$2:$C$1369,0)))</f>
        <v/>
      </c>
      <c r="J319" s="8">
        <f>IF(ISNA(MATCH(306,Engine!$C$2:$C$1369,0)),"",INDEX('Compliance Database'!$J$2:$J$1369,MATCH(306,Engine!$C$2:$C$1369,0)))</f>
        <v/>
      </c>
      <c r="K319" s="9">
        <f>IF(ISNA(MATCH(306,Engine!$C$2:$C$1369,0)),"",INDEX('Compliance Database'!$K$2:$K$1369,MATCH(306,Engine!$C$2:$C$1369,0)))</f>
        <v/>
      </c>
      <c r="L319" s="9">
        <f>IF(ISNA(MATCH(306,Engine!$C$2:$C$1369,0)),"",INDEX('Compliance Database'!$L$2:$L$1369,MATCH(306,Engine!$C$2:$C$1369,0)))</f>
        <v/>
      </c>
      <c r="M319" s="9">
        <f>IF(ISNA(MATCH(306,Engine!$C$2:$C$1369,0)),"",INDEX('Compliance Database'!$M$2:$M$1369,MATCH(306,Engine!$C$2:$C$1369,0)))</f>
        <v/>
      </c>
      <c r="N319" s="9">
        <f>IF(ISNA(MATCH(306,Engine!$C$2:$C$1369,0)),"",INDEX('Compliance Database'!$N$2:$N$1369,MATCH(306,Engine!$C$2:$C$1369,0)))</f>
        <v/>
      </c>
      <c r="O319" s="8">
        <f>IF(ISNA(MATCH(306,Engine!$C$2:$C$1369,0)),"",HYPERLINK(INDEX('Compliance Database'!$O$2:$O$1369,MATCH(306,Engine!$C$2:$C$1369,0)),"Open PDF"))</f>
        <v/>
      </c>
    </row>
    <row r="320" ht="188" customHeight="1">
      <c r="A320" s="8">
        <f>IF(ISNA(MATCH(307,Engine!$C$2:$C$1369,0)),"",INDEX('Compliance Database'!$A$2:$A$1369,MATCH(307,Engine!$C$2:$C$1369,0)))</f>
        <v/>
      </c>
      <c r="B320" s="8">
        <f>IF(ISNA(MATCH(307,Engine!$C$2:$C$1369,0)),"",INDEX('Compliance Database'!$B$2:$B$1369,MATCH(307,Engine!$C$2:$C$1369,0)))</f>
        <v/>
      </c>
      <c r="C320" s="8">
        <f>IF(ISNA(MATCH(307,Engine!$C$2:$C$1369,0)),"",INDEX('Compliance Database'!$C$2:$C$1369,MATCH(307,Engine!$C$2:$C$1369,0)))</f>
        <v/>
      </c>
      <c r="D320" s="9">
        <f>IF(ISNA(MATCH(307,Engine!$C$2:$C$1369,0)),"",INDEX('Compliance Database'!$D$2:$D$1369,MATCH(307,Engine!$C$2:$C$1369,0)))</f>
        <v/>
      </c>
      <c r="E320" s="8">
        <f>IF(ISNA(MATCH(307,Engine!$C$2:$C$1369,0)),"",INDEX('Compliance Database'!$E$2:$E$1369,MATCH(307,Engine!$C$2:$C$1369,0)))</f>
        <v/>
      </c>
      <c r="F320" s="8">
        <f>IF(ISNA(MATCH(307,Engine!$C$2:$C$1369,0)),"",INDEX('Compliance Database'!$F$2:$F$1369,MATCH(307,Engine!$C$2:$C$1369,0)))</f>
        <v/>
      </c>
      <c r="G320" s="8">
        <f>IF(ISNA(MATCH(307,Engine!$C$2:$C$1369,0)),"",INDEX('Compliance Database'!$G$2:$G$1369,MATCH(307,Engine!$C$2:$C$1369,0)))</f>
        <v/>
      </c>
      <c r="H320" s="9">
        <f>IF(ISNA(MATCH(307,Engine!$C$2:$C$1369,0)),"",INDEX('Compliance Database'!$H$2:$H$1369,MATCH(307,Engine!$C$2:$C$1369,0)))</f>
        <v/>
      </c>
      <c r="I320" s="9">
        <f>IF(ISNA(MATCH(307,Engine!$C$2:$C$1369,0)),"",INDEX('Compliance Database'!$I$2:$I$1369,MATCH(307,Engine!$C$2:$C$1369,0)))</f>
        <v/>
      </c>
      <c r="J320" s="8">
        <f>IF(ISNA(MATCH(307,Engine!$C$2:$C$1369,0)),"",INDEX('Compliance Database'!$J$2:$J$1369,MATCH(307,Engine!$C$2:$C$1369,0)))</f>
        <v/>
      </c>
      <c r="K320" s="9">
        <f>IF(ISNA(MATCH(307,Engine!$C$2:$C$1369,0)),"",INDEX('Compliance Database'!$K$2:$K$1369,MATCH(307,Engine!$C$2:$C$1369,0)))</f>
        <v/>
      </c>
      <c r="L320" s="9">
        <f>IF(ISNA(MATCH(307,Engine!$C$2:$C$1369,0)),"",INDEX('Compliance Database'!$L$2:$L$1369,MATCH(307,Engine!$C$2:$C$1369,0)))</f>
        <v/>
      </c>
      <c r="M320" s="9">
        <f>IF(ISNA(MATCH(307,Engine!$C$2:$C$1369,0)),"",INDEX('Compliance Database'!$M$2:$M$1369,MATCH(307,Engine!$C$2:$C$1369,0)))</f>
        <v/>
      </c>
      <c r="N320" s="9">
        <f>IF(ISNA(MATCH(307,Engine!$C$2:$C$1369,0)),"",INDEX('Compliance Database'!$N$2:$N$1369,MATCH(307,Engine!$C$2:$C$1369,0)))</f>
        <v/>
      </c>
      <c r="O320" s="8">
        <f>IF(ISNA(MATCH(307,Engine!$C$2:$C$1369,0)),"",HYPERLINK(INDEX('Compliance Database'!$O$2:$O$1369,MATCH(307,Engine!$C$2:$C$1369,0)),"Open PDF"))</f>
        <v/>
      </c>
    </row>
    <row r="321" ht="188" customHeight="1">
      <c r="A321" s="8">
        <f>IF(ISNA(MATCH(308,Engine!$C$2:$C$1369,0)),"",INDEX('Compliance Database'!$A$2:$A$1369,MATCH(308,Engine!$C$2:$C$1369,0)))</f>
        <v/>
      </c>
      <c r="B321" s="8">
        <f>IF(ISNA(MATCH(308,Engine!$C$2:$C$1369,0)),"",INDEX('Compliance Database'!$B$2:$B$1369,MATCH(308,Engine!$C$2:$C$1369,0)))</f>
        <v/>
      </c>
      <c r="C321" s="8">
        <f>IF(ISNA(MATCH(308,Engine!$C$2:$C$1369,0)),"",INDEX('Compliance Database'!$C$2:$C$1369,MATCH(308,Engine!$C$2:$C$1369,0)))</f>
        <v/>
      </c>
      <c r="D321" s="9">
        <f>IF(ISNA(MATCH(308,Engine!$C$2:$C$1369,0)),"",INDEX('Compliance Database'!$D$2:$D$1369,MATCH(308,Engine!$C$2:$C$1369,0)))</f>
        <v/>
      </c>
      <c r="E321" s="8">
        <f>IF(ISNA(MATCH(308,Engine!$C$2:$C$1369,0)),"",INDEX('Compliance Database'!$E$2:$E$1369,MATCH(308,Engine!$C$2:$C$1369,0)))</f>
        <v/>
      </c>
      <c r="F321" s="8">
        <f>IF(ISNA(MATCH(308,Engine!$C$2:$C$1369,0)),"",INDEX('Compliance Database'!$F$2:$F$1369,MATCH(308,Engine!$C$2:$C$1369,0)))</f>
        <v/>
      </c>
      <c r="G321" s="8">
        <f>IF(ISNA(MATCH(308,Engine!$C$2:$C$1369,0)),"",INDEX('Compliance Database'!$G$2:$G$1369,MATCH(308,Engine!$C$2:$C$1369,0)))</f>
        <v/>
      </c>
      <c r="H321" s="9">
        <f>IF(ISNA(MATCH(308,Engine!$C$2:$C$1369,0)),"",INDEX('Compliance Database'!$H$2:$H$1369,MATCH(308,Engine!$C$2:$C$1369,0)))</f>
        <v/>
      </c>
      <c r="I321" s="9">
        <f>IF(ISNA(MATCH(308,Engine!$C$2:$C$1369,0)),"",INDEX('Compliance Database'!$I$2:$I$1369,MATCH(308,Engine!$C$2:$C$1369,0)))</f>
        <v/>
      </c>
      <c r="J321" s="8">
        <f>IF(ISNA(MATCH(308,Engine!$C$2:$C$1369,0)),"",INDEX('Compliance Database'!$J$2:$J$1369,MATCH(308,Engine!$C$2:$C$1369,0)))</f>
        <v/>
      </c>
      <c r="K321" s="9">
        <f>IF(ISNA(MATCH(308,Engine!$C$2:$C$1369,0)),"",INDEX('Compliance Database'!$K$2:$K$1369,MATCH(308,Engine!$C$2:$C$1369,0)))</f>
        <v/>
      </c>
      <c r="L321" s="9">
        <f>IF(ISNA(MATCH(308,Engine!$C$2:$C$1369,0)),"",INDEX('Compliance Database'!$L$2:$L$1369,MATCH(308,Engine!$C$2:$C$1369,0)))</f>
        <v/>
      </c>
      <c r="M321" s="9">
        <f>IF(ISNA(MATCH(308,Engine!$C$2:$C$1369,0)),"",INDEX('Compliance Database'!$M$2:$M$1369,MATCH(308,Engine!$C$2:$C$1369,0)))</f>
        <v/>
      </c>
      <c r="N321" s="9">
        <f>IF(ISNA(MATCH(308,Engine!$C$2:$C$1369,0)),"",INDEX('Compliance Database'!$N$2:$N$1369,MATCH(308,Engine!$C$2:$C$1369,0)))</f>
        <v/>
      </c>
      <c r="O321" s="8">
        <f>IF(ISNA(MATCH(308,Engine!$C$2:$C$1369,0)),"",HYPERLINK(INDEX('Compliance Database'!$O$2:$O$1369,MATCH(308,Engine!$C$2:$C$1369,0)),"Open PDF"))</f>
        <v/>
      </c>
    </row>
    <row r="322" ht="188" customHeight="1">
      <c r="A322" s="8">
        <f>IF(ISNA(MATCH(309,Engine!$C$2:$C$1369,0)),"",INDEX('Compliance Database'!$A$2:$A$1369,MATCH(309,Engine!$C$2:$C$1369,0)))</f>
        <v/>
      </c>
      <c r="B322" s="8">
        <f>IF(ISNA(MATCH(309,Engine!$C$2:$C$1369,0)),"",INDEX('Compliance Database'!$B$2:$B$1369,MATCH(309,Engine!$C$2:$C$1369,0)))</f>
        <v/>
      </c>
      <c r="C322" s="8">
        <f>IF(ISNA(MATCH(309,Engine!$C$2:$C$1369,0)),"",INDEX('Compliance Database'!$C$2:$C$1369,MATCH(309,Engine!$C$2:$C$1369,0)))</f>
        <v/>
      </c>
      <c r="D322" s="9">
        <f>IF(ISNA(MATCH(309,Engine!$C$2:$C$1369,0)),"",INDEX('Compliance Database'!$D$2:$D$1369,MATCH(309,Engine!$C$2:$C$1369,0)))</f>
        <v/>
      </c>
      <c r="E322" s="8">
        <f>IF(ISNA(MATCH(309,Engine!$C$2:$C$1369,0)),"",INDEX('Compliance Database'!$E$2:$E$1369,MATCH(309,Engine!$C$2:$C$1369,0)))</f>
        <v/>
      </c>
      <c r="F322" s="8">
        <f>IF(ISNA(MATCH(309,Engine!$C$2:$C$1369,0)),"",INDEX('Compliance Database'!$F$2:$F$1369,MATCH(309,Engine!$C$2:$C$1369,0)))</f>
        <v/>
      </c>
      <c r="G322" s="8">
        <f>IF(ISNA(MATCH(309,Engine!$C$2:$C$1369,0)),"",INDEX('Compliance Database'!$G$2:$G$1369,MATCH(309,Engine!$C$2:$C$1369,0)))</f>
        <v/>
      </c>
      <c r="H322" s="9">
        <f>IF(ISNA(MATCH(309,Engine!$C$2:$C$1369,0)),"",INDEX('Compliance Database'!$H$2:$H$1369,MATCH(309,Engine!$C$2:$C$1369,0)))</f>
        <v/>
      </c>
      <c r="I322" s="9">
        <f>IF(ISNA(MATCH(309,Engine!$C$2:$C$1369,0)),"",INDEX('Compliance Database'!$I$2:$I$1369,MATCH(309,Engine!$C$2:$C$1369,0)))</f>
        <v/>
      </c>
      <c r="J322" s="8">
        <f>IF(ISNA(MATCH(309,Engine!$C$2:$C$1369,0)),"",INDEX('Compliance Database'!$J$2:$J$1369,MATCH(309,Engine!$C$2:$C$1369,0)))</f>
        <v/>
      </c>
      <c r="K322" s="9">
        <f>IF(ISNA(MATCH(309,Engine!$C$2:$C$1369,0)),"",INDEX('Compliance Database'!$K$2:$K$1369,MATCH(309,Engine!$C$2:$C$1369,0)))</f>
        <v/>
      </c>
      <c r="L322" s="9">
        <f>IF(ISNA(MATCH(309,Engine!$C$2:$C$1369,0)),"",INDEX('Compliance Database'!$L$2:$L$1369,MATCH(309,Engine!$C$2:$C$1369,0)))</f>
        <v/>
      </c>
      <c r="M322" s="9">
        <f>IF(ISNA(MATCH(309,Engine!$C$2:$C$1369,0)),"",INDEX('Compliance Database'!$M$2:$M$1369,MATCH(309,Engine!$C$2:$C$1369,0)))</f>
        <v/>
      </c>
      <c r="N322" s="9">
        <f>IF(ISNA(MATCH(309,Engine!$C$2:$C$1369,0)),"",INDEX('Compliance Database'!$N$2:$N$1369,MATCH(309,Engine!$C$2:$C$1369,0)))</f>
        <v/>
      </c>
      <c r="O322" s="8">
        <f>IF(ISNA(MATCH(309,Engine!$C$2:$C$1369,0)),"",HYPERLINK(INDEX('Compliance Database'!$O$2:$O$1369,MATCH(309,Engine!$C$2:$C$1369,0)),"Open PDF"))</f>
        <v/>
      </c>
    </row>
    <row r="323" ht="188" customHeight="1">
      <c r="A323" s="8">
        <f>IF(ISNA(MATCH(310,Engine!$C$2:$C$1369,0)),"",INDEX('Compliance Database'!$A$2:$A$1369,MATCH(310,Engine!$C$2:$C$1369,0)))</f>
        <v/>
      </c>
      <c r="B323" s="8">
        <f>IF(ISNA(MATCH(310,Engine!$C$2:$C$1369,0)),"",INDEX('Compliance Database'!$B$2:$B$1369,MATCH(310,Engine!$C$2:$C$1369,0)))</f>
        <v/>
      </c>
      <c r="C323" s="8">
        <f>IF(ISNA(MATCH(310,Engine!$C$2:$C$1369,0)),"",INDEX('Compliance Database'!$C$2:$C$1369,MATCH(310,Engine!$C$2:$C$1369,0)))</f>
        <v/>
      </c>
      <c r="D323" s="9">
        <f>IF(ISNA(MATCH(310,Engine!$C$2:$C$1369,0)),"",INDEX('Compliance Database'!$D$2:$D$1369,MATCH(310,Engine!$C$2:$C$1369,0)))</f>
        <v/>
      </c>
      <c r="E323" s="8">
        <f>IF(ISNA(MATCH(310,Engine!$C$2:$C$1369,0)),"",INDEX('Compliance Database'!$E$2:$E$1369,MATCH(310,Engine!$C$2:$C$1369,0)))</f>
        <v/>
      </c>
      <c r="F323" s="8">
        <f>IF(ISNA(MATCH(310,Engine!$C$2:$C$1369,0)),"",INDEX('Compliance Database'!$F$2:$F$1369,MATCH(310,Engine!$C$2:$C$1369,0)))</f>
        <v/>
      </c>
      <c r="G323" s="8">
        <f>IF(ISNA(MATCH(310,Engine!$C$2:$C$1369,0)),"",INDEX('Compliance Database'!$G$2:$G$1369,MATCH(310,Engine!$C$2:$C$1369,0)))</f>
        <v/>
      </c>
      <c r="H323" s="9">
        <f>IF(ISNA(MATCH(310,Engine!$C$2:$C$1369,0)),"",INDEX('Compliance Database'!$H$2:$H$1369,MATCH(310,Engine!$C$2:$C$1369,0)))</f>
        <v/>
      </c>
      <c r="I323" s="9">
        <f>IF(ISNA(MATCH(310,Engine!$C$2:$C$1369,0)),"",INDEX('Compliance Database'!$I$2:$I$1369,MATCH(310,Engine!$C$2:$C$1369,0)))</f>
        <v/>
      </c>
      <c r="J323" s="8">
        <f>IF(ISNA(MATCH(310,Engine!$C$2:$C$1369,0)),"",INDEX('Compliance Database'!$J$2:$J$1369,MATCH(310,Engine!$C$2:$C$1369,0)))</f>
        <v/>
      </c>
      <c r="K323" s="9">
        <f>IF(ISNA(MATCH(310,Engine!$C$2:$C$1369,0)),"",INDEX('Compliance Database'!$K$2:$K$1369,MATCH(310,Engine!$C$2:$C$1369,0)))</f>
        <v/>
      </c>
      <c r="L323" s="9">
        <f>IF(ISNA(MATCH(310,Engine!$C$2:$C$1369,0)),"",INDEX('Compliance Database'!$L$2:$L$1369,MATCH(310,Engine!$C$2:$C$1369,0)))</f>
        <v/>
      </c>
      <c r="M323" s="9">
        <f>IF(ISNA(MATCH(310,Engine!$C$2:$C$1369,0)),"",INDEX('Compliance Database'!$M$2:$M$1369,MATCH(310,Engine!$C$2:$C$1369,0)))</f>
        <v/>
      </c>
      <c r="N323" s="9">
        <f>IF(ISNA(MATCH(310,Engine!$C$2:$C$1369,0)),"",INDEX('Compliance Database'!$N$2:$N$1369,MATCH(310,Engine!$C$2:$C$1369,0)))</f>
        <v/>
      </c>
      <c r="O323" s="8">
        <f>IF(ISNA(MATCH(310,Engine!$C$2:$C$1369,0)),"",HYPERLINK(INDEX('Compliance Database'!$O$2:$O$1369,MATCH(310,Engine!$C$2:$C$1369,0)),"Open PDF"))</f>
        <v/>
      </c>
    </row>
    <row r="324" ht="188" customHeight="1">
      <c r="A324" s="8">
        <f>IF(ISNA(MATCH(311,Engine!$C$2:$C$1369,0)),"",INDEX('Compliance Database'!$A$2:$A$1369,MATCH(311,Engine!$C$2:$C$1369,0)))</f>
        <v/>
      </c>
      <c r="B324" s="8">
        <f>IF(ISNA(MATCH(311,Engine!$C$2:$C$1369,0)),"",INDEX('Compliance Database'!$B$2:$B$1369,MATCH(311,Engine!$C$2:$C$1369,0)))</f>
        <v/>
      </c>
      <c r="C324" s="8">
        <f>IF(ISNA(MATCH(311,Engine!$C$2:$C$1369,0)),"",INDEX('Compliance Database'!$C$2:$C$1369,MATCH(311,Engine!$C$2:$C$1369,0)))</f>
        <v/>
      </c>
      <c r="D324" s="9">
        <f>IF(ISNA(MATCH(311,Engine!$C$2:$C$1369,0)),"",INDEX('Compliance Database'!$D$2:$D$1369,MATCH(311,Engine!$C$2:$C$1369,0)))</f>
        <v/>
      </c>
      <c r="E324" s="8">
        <f>IF(ISNA(MATCH(311,Engine!$C$2:$C$1369,0)),"",INDEX('Compliance Database'!$E$2:$E$1369,MATCH(311,Engine!$C$2:$C$1369,0)))</f>
        <v/>
      </c>
      <c r="F324" s="8">
        <f>IF(ISNA(MATCH(311,Engine!$C$2:$C$1369,0)),"",INDEX('Compliance Database'!$F$2:$F$1369,MATCH(311,Engine!$C$2:$C$1369,0)))</f>
        <v/>
      </c>
      <c r="G324" s="8">
        <f>IF(ISNA(MATCH(311,Engine!$C$2:$C$1369,0)),"",INDEX('Compliance Database'!$G$2:$G$1369,MATCH(311,Engine!$C$2:$C$1369,0)))</f>
        <v/>
      </c>
      <c r="H324" s="9">
        <f>IF(ISNA(MATCH(311,Engine!$C$2:$C$1369,0)),"",INDEX('Compliance Database'!$H$2:$H$1369,MATCH(311,Engine!$C$2:$C$1369,0)))</f>
        <v/>
      </c>
      <c r="I324" s="9">
        <f>IF(ISNA(MATCH(311,Engine!$C$2:$C$1369,0)),"",INDEX('Compliance Database'!$I$2:$I$1369,MATCH(311,Engine!$C$2:$C$1369,0)))</f>
        <v/>
      </c>
      <c r="J324" s="8">
        <f>IF(ISNA(MATCH(311,Engine!$C$2:$C$1369,0)),"",INDEX('Compliance Database'!$J$2:$J$1369,MATCH(311,Engine!$C$2:$C$1369,0)))</f>
        <v/>
      </c>
      <c r="K324" s="9">
        <f>IF(ISNA(MATCH(311,Engine!$C$2:$C$1369,0)),"",INDEX('Compliance Database'!$K$2:$K$1369,MATCH(311,Engine!$C$2:$C$1369,0)))</f>
        <v/>
      </c>
      <c r="L324" s="9">
        <f>IF(ISNA(MATCH(311,Engine!$C$2:$C$1369,0)),"",INDEX('Compliance Database'!$L$2:$L$1369,MATCH(311,Engine!$C$2:$C$1369,0)))</f>
        <v/>
      </c>
      <c r="M324" s="9">
        <f>IF(ISNA(MATCH(311,Engine!$C$2:$C$1369,0)),"",INDEX('Compliance Database'!$M$2:$M$1369,MATCH(311,Engine!$C$2:$C$1369,0)))</f>
        <v/>
      </c>
      <c r="N324" s="9">
        <f>IF(ISNA(MATCH(311,Engine!$C$2:$C$1369,0)),"",INDEX('Compliance Database'!$N$2:$N$1369,MATCH(311,Engine!$C$2:$C$1369,0)))</f>
        <v/>
      </c>
      <c r="O324" s="8">
        <f>IF(ISNA(MATCH(311,Engine!$C$2:$C$1369,0)),"",HYPERLINK(INDEX('Compliance Database'!$O$2:$O$1369,MATCH(311,Engine!$C$2:$C$1369,0)),"Open PDF"))</f>
        <v/>
      </c>
    </row>
    <row r="325" ht="188" customHeight="1">
      <c r="A325" s="8">
        <f>IF(ISNA(MATCH(312,Engine!$C$2:$C$1369,0)),"",INDEX('Compliance Database'!$A$2:$A$1369,MATCH(312,Engine!$C$2:$C$1369,0)))</f>
        <v/>
      </c>
      <c r="B325" s="8">
        <f>IF(ISNA(MATCH(312,Engine!$C$2:$C$1369,0)),"",INDEX('Compliance Database'!$B$2:$B$1369,MATCH(312,Engine!$C$2:$C$1369,0)))</f>
        <v/>
      </c>
      <c r="C325" s="8">
        <f>IF(ISNA(MATCH(312,Engine!$C$2:$C$1369,0)),"",INDEX('Compliance Database'!$C$2:$C$1369,MATCH(312,Engine!$C$2:$C$1369,0)))</f>
        <v/>
      </c>
      <c r="D325" s="9">
        <f>IF(ISNA(MATCH(312,Engine!$C$2:$C$1369,0)),"",INDEX('Compliance Database'!$D$2:$D$1369,MATCH(312,Engine!$C$2:$C$1369,0)))</f>
        <v/>
      </c>
      <c r="E325" s="8">
        <f>IF(ISNA(MATCH(312,Engine!$C$2:$C$1369,0)),"",INDEX('Compliance Database'!$E$2:$E$1369,MATCH(312,Engine!$C$2:$C$1369,0)))</f>
        <v/>
      </c>
      <c r="F325" s="8">
        <f>IF(ISNA(MATCH(312,Engine!$C$2:$C$1369,0)),"",INDEX('Compliance Database'!$F$2:$F$1369,MATCH(312,Engine!$C$2:$C$1369,0)))</f>
        <v/>
      </c>
      <c r="G325" s="8">
        <f>IF(ISNA(MATCH(312,Engine!$C$2:$C$1369,0)),"",INDEX('Compliance Database'!$G$2:$G$1369,MATCH(312,Engine!$C$2:$C$1369,0)))</f>
        <v/>
      </c>
      <c r="H325" s="9">
        <f>IF(ISNA(MATCH(312,Engine!$C$2:$C$1369,0)),"",INDEX('Compliance Database'!$H$2:$H$1369,MATCH(312,Engine!$C$2:$C$1369,0)))</f>
        <v/>
      </c>
      <c r="I325" s="9">
        <f>IF(ISNA(MATCH(312,Engine!$C$2:$C$1369,0)),"",INDEX('Compliance Database'!$I$2:$I$1369,MATCH(312,Engine!$C$2:$C$1369,0)))</f>
        <v/>
      </c>
      <c r="J325" s="8">
        <f>IF(ISNA(MATCH(312,Engine!$C$2:$C$1369,0)),"",INDEX('Compliance Database'!$J$2:$J$1369,MATCH(312,Engine!$C$2:$C$1369,0)))</f>
        <v/>
      </c>
      <c r="K325" s="9">
        <f>IF(ISNA(MATCH(312,Engine!$C$2:$C$1369,0)),"",INDEX('Compliance Database'!$K$2:$K$1369,MATCH(312,Engine!$C$2:$C$1369,0)))</f>
        <v/>
      </c>
      <c r="L325" s="9">
        <f>IF(ISNA(MATCH(312,Engine!$C$2:$C$1369,0)),"",INDEX('Compliance Database'!$L$2:$L$1369,MATCH(312,Engine!$C$2:$C$1369,0)))</f>
        <v/>
      </c>
      <c r="M325" s="9">
        <f>IF(ISNA(MATCH(312,Engine!$C$2:$C$1369,0)),"",INDEX('Compliance Database'!$M$2:$M$1369,MATCH(312,Engine!$C$2:$C$1369,0)))</f>
        <v/>
      </c>
      <c r="N325" s="9">
        <f>IF(ISNA(MATCH(312,Engine!$C$2:$C$1369,0)),"",INDEX('Compliance Database'!$N$2:$N$1369,MATCH(312,Engine!$C$2:$C$1369,0)))</f>
        <v/>
      </c>
      <c r="O325" s="8">
        <f>IF(ISNA(MATCH(312,Engine!$C$2:$C$1369,0)),"",HYPERLINK(INDEX('Compliance Database'!$O$2:$O$1369,MATCH(312,Engine!$C$2:$C$1369,0)),"Open PDF"))</f>
        <v/>
      </c>
    </row>
    <row r="326" ht="188" customHeight="1">
      <c r="A326" s="8">
        <f>IF(ISNA(MATCH(313,Engine!$C$2:$C$1369,0)),"",INDEX('Compliance Database'!$A$2:$A$1369,MATCH(313,Engine!$C$2:$C$1369,0)))</f>
        <v/>
      </c>
      <c r="B326" s="8">
        <f>IF(ISNA(MATCH(313,Engine!$C$2:$C$1369,0)),"",INDEX('Compliance Database'!$B$2:$B$1369,MATCH(313,Engine!$C$2:$C$1369,0)))</f>
        <v/>
      </c>
      <c r="C326" s="8">
        <f>IF(ISNA(MATCH(313,Engine!$C$2:$C$1369,0)),"",INDEX('Compliance Database'!$C$2:$C$1369,MATCH(313,Engine!$C$2:$C$1369,0)))</f>
        <v/>
      </c>
      <c r="D326" s="9">
        <f>IF(ISNA(MATCH(313,Engine!$C$2:$C$1369,0)),"",INDEX('Compliance Database'!$D$2:$D$1369,MATCH(313,Engine!$C$2:$C$1369,0)))</f>
        <v/>
      </c>
      <c r="E326" s="8">
        <f>IF(ISNA(MATCH(313,Engine!$C$2:$C$1369,0)),"",INDEX('Compliance Database'!$E$2:$E$1369,MATCH(313,Engine!$C$2:$C$1369,0)))</f>
        <v/>
      </c>
      <c r="F326" s="8">
        <f>IF(ISNA(MATCH(313,Engine!$C$2:$C$1369,0)),"",INDEX('Compliance Database'!$F$2:$F$1369,MATCH(313,Engine!$C$2:$C$1369,0)))</f>
        <v/>
      </c>
      <c r="G326" s="8">
        <f>IF(ISNA(MATCH(313,Engine!$C$2:$C$1369,0)),"",INDEX('Compliance Database'!$G$2:$G$1369,MATCH(313,Engine!$C$2:$C$1369,0)))</f>
        <v/>
      </c>
      <c r="H326" s="9">
        <f>IF(ISNA(MATCH(313,Engine!$C$2:$C$1369,0)),"",INDEX('Compliance Database'!$H$2:$H$1369,MATCH(313,Engine!$C$2:$C$1369,0)))</f>
        <v/>
      </c>
      <c r="I326" s="9">
        <f>IF(ISNA(MATCH(313,Engine!$C$2:$C$1369,0)),"",INDEX('Compliance Database'!$I$2:$I$1369,MATCH(313,Engine!$C$2:$C$1369,0)))</f>
        <v/>
      </c>
      <c r="J326" s="8">
        <f>IF(ISNA(MATCH(313,Engine!$C$2:$C$1369,0)),"",INDEX('Compliance Database'!$J$2:$J$1369,MATCH(313,Engine!$C$2:$C$1369,0)))</f>
        <v/>
      </c>
      <c r="K326" s="9">
        <f>IF(ISNA(MATCH(313,Engine!$C$2:$C$1369,0)),"",INDEX('Compliance Database'!$K$2:$K$1369,MATCH(313,Engine!$C$2:$C$1369,0)))</f>
        <v/>
      </c>
      <c r="L326" s="9">
        <f>IF(ISNA(MATCH(313,Engine!$C$2:$C$1369,0)),"",INDEX('Compliance Database'!$L$2:$L$1369,MATCH(313,Engine!$C$2:$C$1369,0)))</f>
        <v/>
      </c>
      <c r="M326" s="9">
        <f>IF(ISNA(MATCH(313,Engine!$C$2:$C$1369,0)),"",INDEX('Compliance Database'!$M$2:$M$1369,MATCH(313,Engine!$C$2:$C$1369,0)))</f>
        <v/>
      </c>
      <c r="N326" s="9">
        <f>IF(ISNA(MATCH(313,Engine!$C$2:$C$1369,0)),"",INDEX('Compliance Database'!$N$2:$N$1369,MATCH(313,Engine!$C$2:$C$1369,0)))</f>
        <v/>
      </c>
      <c r="O326" s="8">
        <f>IF(ISNA(MATCH(313,Engine!$C$2:$C$1369,0)),"",HYPERLINK(INDEX('Compliance Database'!$O$2:$O$1369,MATCH(313,Engine!$C$2:$C$1369,0)),"Open PDF"))</f>
        <v/>
      </c>
    </row>
    <row r="327" ht="188" customHeight="1">
      <c r="A327" s="8">
        <f>IF(ISNA(MATCH(314,Engine!$C$2:$C$1369,0)),"",INDEX('Compliance Database'!$A$2:$A$1369,MATCH(314,Engine!$C$2:$C$1369,0)))</f>
        <v/>
      </c>
      <c r="B327" s="8">
        <f>IF(ISNA(MATCH(314,Engine!$C$2:$C$1369,0)),"",INDEX('Compliance Database'!$B$2:$B$1369,MATCH(314,Engine!$C$2:$C$1369,0)))</f>
        <v/>
      </c>
      <c r="C327" s="8">
        <f>IF(ISNA(MATCH(314,Engine!$C$2:$C$1369,0)),"",INDEX('Compliance Database'!$C$2:$C$1369,MATCH(314,Engine!$C$2:$C$1369,0)))</f>
        <v/>
      </c>
      <c r="D327" s="9">
        <f>IF(ISNA(MATCH(314,Engine!$C$2:$C$1369,0)),"",INDEX('Compliance Database'!$D$2:$D$1369,MATCH(314,Engine!$C$2:$C$1369,0)))</f>
        <v/>
      </c>
      <c r="E327" s="8">
        <f>IF(ISNA(MATCH(314,Engine!$C$2:$C$1369,0)),"",INDEX('Compliance Database'!$E$2:$E$1369,MATCH(314,Engine!$C$2:$C$1369,0)))</f>
        <v/>
      </c>
      <c r="F327" s="8">
        <f>IF(ISNA(MATCH(314,Engine!$C$2:$C$1369,0)),"",INDEX('Compliance Database'!$F$2:$F$1369,MATCH(314,Engine!$C$2:$C$1369,0)))</f>
        <v/>
      </c>
      <c r="G327" s="8">
        <f>IF(ISNA(MATCH(314,Engine!$C$2:$C$1369,0)),"",INDEX('Compliance Database'!$G$2:$G$1369,MATCH(314,Engine!$C$2:$C$1369,0)))</f>
        <v/>
      </c>
      <c r="H327" s="9">
        <f>IF(ISNA(MATCH(314,Engine!$C$2:$C$1369,0)),"",INDEX('Compliance Database'!$H$2:$H$1369,MATCH(314,Engine!$C$2:$C$1369,0)))</f>
        <v/>
      </c>
      <c r="I327" s="9">
        <f>IF(ISNA(MATCH(314,Engine!$C$2:$C$1369,0)),"",INDEX('Compliance Database'!$I$2:$I$1369,MATCH(314,Engine!$C$2:$C$1369,0)))</f>
        <v/>
      </c>
      <c r="J327" s="8">
        <f>IF(ISNA(MATCH(314,Engine!$C$2:$C$1369,0)),"",INDEX('Compliance Database'!$J$2:$J$1369,MATCH(314,Engine!$C$2:$C$1369,0)))</f>
        <v/>
      </c>
      <c r="K327" s="9">
        <f>IF(ISNA(MATCH(314,Engine!$C$2:$C$1369,0)),"",INDEX('Compliance Database'!$K$2:$K$1369,MATCH(314,Engine!$C$2:$C$1369,0)))</f>
        <v/>
      </c>
      <c r="L327" s="9">
        <f>IF(ISNA(MATCH(314,Engine!$C$2:$C$1369,0)),"",INDEX('Compliance Database'!$L$2:$L$1369,MATCH(314,Engine!$C$2:$C$1369,0)))</f>
        <v/>
      </c>
      <c r="M327" s="9">
        <f>IF(ISNA(MATCH(314,Engine!$C$2:$C$1369,0)),"",INDEX('Compliance Database'!$M$2:$M$1369,MATCH(314,Engine!$C$2:$C$1369,0)))</f>
        <v/>
      </c>
      <c r="N327" s="9">
        <f>IF(ISNA(MATCH(314,Engine!$C$2:$C$1369,0)),"",INDEX('Compliance Database'!$N$2:$N$1369,MATCH(314,Engine!$C$2:$C$1369,0)))</f>
        <v/>
      </c>
      <c r="O327" s="8">
        <f>IF(ISNA(MATCH(314,Engine!$C$2:$C$1369,0)),"",HYPERLINK(INDEX('Compliance Database'!$O$2:$O$1369,MATCH(314,Engine!$C$2:$C$1369,0)),"Open PDF"))</f>
        <v/>
      </c>
    </row>
    <row r="328" ht="188" customHeight="1">
      <c r="A328" s="8">
        <f>IF(ISNA(MATCH(315,Engine!$C$2:$C$1369,0)),"",INDEX('Compliance Database'!$A$2:$A$1369,MATCH(315,Engine!$C$2:$C$1369,0)))</f>
        <v/>
      </c>
      <c r="B328" s="8">
        <f>IF(ISNA(MATCH(315,Engine!$C$2:$C$1369,0)),"",INDEX('Compliance Database'!$B$2:$B$1369,MATCH(315,Engine!$C$2:$C$1369,0)))</f>
        <v/>
      </c>
      <c r="C328" s="8">
        <f>IF(ISNA(MATCH(315,Engine!$C$2:$C$1369,0)),"",INDEX('Compliance Database'!$C$2:$C$1369,MATCH(315,Engine!$C$2:$C$1369,0)))</f>
        <v/>
      </c>
      <c r="D328" s="9">
        <f>IF(ISNA(MATCH(315,Engine!$C$2:$C$1369,0)),"",INDEX('Compliance Database'!$D$2:$D$1369,MATCH(315,Engine!$C$2:$C$1369,0)))</f>
        <v/>
      </c>
      <c r="E328" s="8">
        <f>IF(ISNA(MATCH(315,Engine!$C$2:$C$1369,0)),"",INDEX('Compliance Database'!$E$2:$E$1369,MATCH(315,Engine!$C$2:$C$1369,0)))</f>
        <v/>
      </c>
      <c r="F328" s="8">
        <f>IF(ISNA(MATCH(315,Engine!$C$2:$C$1369,0)),"",INDEX('Compliance Database'!$F$2:$F$1369,MATCH(315,Engine!$C$2:$C$1369,0)))</f>
        <v/>
      </c>
      <c r="G328" s="8">
        <f>IF(ISNA(MATCH(315,Engine!$C$2:$C$1369,0)),"",INDEX('Compliance Database'!$G$2:$G$1369,MATCH(315,Engine!$C$2:$C$1369,0)))</f>
        <v/>
      </c>
      <c r="H328" s="9">
        <f>IF(ISNA(MATCH(315,Engine!$C$2:$C$1369,0)),"",INDEX('Compliance Database'!$H$2:$H$1369,MATCH(315,Engine!$C$2:$C$1369,0)))</f>
        <v/>
      </c>
      <c r="I328" s="9">
        <f>IF(ISNA(MATCH(315,Engine!$C$2:$C$1369,0)),"",INDEX('Compliance Database'!$I$2:$I$1369,MATCH(315,Engine!$C$2:$C$1369,0)))</f>
        <v/>
      </c>
      <c r="J328" s="8">
        <f>IF(ISNA(MATCH(315,Engine!$C$2:$C$1369,0)),"",INDEX('Compliance Database'!$J$2:$J$1369,MATCH(315,Engine!$C$2:$C$1369,0)))</f>
        <v/>
      </c>
      <c r="K328" s="9">
        <f>IF(ISNA(MATCH(315,Engine!$C$2:$C$1369,0)),"",INDEX('Compliance Database'!$K$2:$K$1369,MATCH(315,Engine!$C$2:$C$1369,0)))</f>
        <v/>
      </c>
      <c r="L328" s="9">
        <f>IF(ISNA(MATCH(315,Engine!$C$2:$C$1369,0)),"",INDEX('Compliance Database'!$L$2:$L$1369,MATCH(315,Engine!$C$2:$C$1369,0)))</f>
        <v/>
      </c>
      <c r="M328" s="9">
        <f>IF(ISNA(MATCH(315,Engine!$C$2:$C$1369,0)),"",INDEX('Compliance Database'!$M$2:$M$1369,MATCH(315,Engine!$C$2:$C$1369,0)))</f>
        <v/>
      </c>
      <c r="N328" s="9">
        <f>IF(ISNA(MATCH(315,Engine!$C$2:$C$1369,0)),"",INDEX('Compliance Database'!$N$2:$N$1369,MATCH(315,Engine!$C$2:$C$1369,0)))</f>
        <v/>
      </c>
      <c r="O328" s="8">
        <f>IF(ISNA(MATCH(315,Engine!$C$2:$C$1369,0)),"",HYPERLINK(INDEX('Compliance Database'!$O$2:$O$1369,MATCH(315,Engine!$C$2:$C$1369,0)),"Open PDF"))</f>
        <v/>
      </c>
    </row>
    <row r="329" ht="188" customHeight="1">
      <c r="A329" s="8">
        <f>IF(ISNA(MATCH(316,Engine!$C$2:$C$1369,0)),"",INDEX('Compliance Database'!$A$2:$A$1369,MATCH(316,Engine!$C$2:$C$1369,0)))</f>
        <v/>
      </c>
      <c r="B329" s="8">
        <f>IF(ISNA(MATCH(316,Engine!$C$2:$C$1369,0)),"",INDEX('Compliance Database'!$B$2:$B$1369,MATCH(316,Engine!$C$2:$C$1369,0)))</f>
        <v/>
      </c>
      <c r="C329" s="8">
        <f>IF(ISNA(MATCH(316,Engine!$C$2:$C$1369,0)),"",INDEX('Compliance Database'!$C$2:$C$1369,MATCH(316,Engine!$C$2:$C$1369,0)))</f>
        <v/>
      </c>
      <c r="D329" s="9">
        <f>IF(ISNA(MATCH(316,Engine!$C$2:$C$1369,0)),"",INDEX('Compliance Database'!$D$2:$D$1369,MATCH(316,Engine!$C$2:$C$1369,0)))</f>
        <v/>
      </c>
      <c r="E329" s="8">
        <f>IF(ISNA(MATCH(316,Engine!$C$2:$C$1369,0)),"",INDEX('Compliance Database'!$E$2:$E$1369,MATCH(316,Engine!$C$2:$C$1369,0)))</f>
        <v/>
      </c>
      <c r="F329" s="8">
        <f>IF(ISNA(MATCH(316,Engine!$C$2:$C$1369,0)),"",INDEX('Compliance Database'!$F$2:$F$1369,MATCH(316,Engine!$C$2:$C$1369,0)))</f>
        <v/>
      </c>
      <c r="G329" s="8">
        <f>IF(ISNA(MATCH(316,Engine!$C$2:$C$1369,0)),"",INDEX('Compliance Database'!$G$2:$G$1369,MATCH(316,Engine!$C$2:$C$1369,0)))</f>
        <v/>
      </c>
      <c r="H329" s="9">
        <f>IF(ISNA(MATCH(316,Engine!$C$2:$C$1369,0)),"",INDEX('Compliance Database'!$H$2:$H$1369,MATCH(316,Engine!$C$2:$C$1369,0)))</f>
        <v/>
      </c>
      <c r="I329" s="9">
        <f>IF(ISNA(MATCH(316,Engine!$C$2:$C$1369,0)),"",INDEX('Compliance Database'!$I$2:$I$1369,MATCH(316,Engine!$C$2:$C$1369,0)))</f>
        <v/>
      </c>
      <c r="J329" s="8">
        <f>IF(ISNA(MATCH(316,Engine!$C$2:$C$1369,0)),"",INDEX('Compliance Database'!$J$2:$J$1369,MATCH(316,Engine!$C$2:$C$1369,0)))</f>
        <v/>
      </c>
      <c r="K329" s="9">
        <f>IF(ISNA(MATCH(316,Engine!$C$2:$C$1369,0)),"",INDEX('Compliance Database'!$K$2:$K$1369,MATCH(316,Engine!$C$2:$C$1369,0)))</f>
        <v/>
      </c>
      <c r="L329" s="9">
        <f>IF(ISNA(MATCH(316,Engine!$C$2:$C$1369,0)),"",INDEX('Compliance Database'!$L$2:$L$1369,MATCH(316,Engine!$C$2:$C$1369,0)))</f>
        <v/>
      </c>
      <c r="M329" s="9">
        <f>IF(ISNA(MATCH(316,Engine!$C$2:$C$1369,0)),"",INDEX('Compliance Database'!$M$2:$M$1369,MATCH(316,Engine!$C$2:$C$1369,0)))</f>
        <v/>
      </c>
      <c r="N329" s="9">
        <f>IF(ISNA(MATCH(316,Engine!$C$2:$C$1369,0)),"",INDEX('Compliance Database'!$N$2:$N$1369,MATCH(316,Engine!$C$2:$C$1369,0)))</f>
        <v/>
      </c>
      <c r="O329" s="8">
        <f>IF(ISNA(MATCH(316,Engine!$C$2:$C$1369,0)),"",HYPERLINK(INDEX('Compliance Database'!$O$2:$O$1369,MATCH(316,Engine!$C$2:$C$1369,0)),"Open PDF"))</f>
        <v/>
      </c>
    </row>
    <row r="330" ht="188" customHeight="1">
      <c r="A330" s="8">
        <f>IF(ISNA(MATCH(317,Engine!$C$2:$C$1369,0)),"",INDEX('Compliance Database'!$A$2:$A$1369,MATCH(317,Engine!$C$2:$C$1369,0)))</f>
        <v/>
      </c>
      <c r="B330" s="8">
        <f>IF(ISNA(MATCH(317,Engine!$C$2:$C$1369,0)),"",INDEX('Compliance Database'!$B$2:$B$1369,MATCH(317,Engine!$C$2:$C$1369,0)))</f>
        <v/>
      </c>
      <c r="C330" s="8">
        <f>IF(ISNA(MATCH(317,Engine!$C$2:$C$1369,0)),"",INDEX('Compliance Database'!$C$2:$C$1369,MATCH(317,Engine!$C$2:$C$1369,0)))</f>
        <v/>
      </c>
      <c r="D330" s="9">
        <f>IF(ISNA(MATCH(317,Engine!$C$2:$C$1369,0)),"",INDEX('Compliance Database'!$D$2:$D$1369,MATCH(317,Engine!$C$2:$C$1369,0)))</f>
        <v/>
      </c>
      <c r="E330" s="8">
        <f>IF(ISNA(MATCH(317,Engine!$C$2:$C$1369,0)),"",INDEX('Compliance Database'!$E$2:$E$1369,MATCH(317,Engine!$C$2:$C$1369,0)))</f>
        <v/>
      </c>
      <c r="F330" s="8">
        <f>IF(ISNA(MATCH(317,Engine!$C$2:$C$1369,0)),"",INDEX('Compliance Database'!$F$2:$F$1369,MATCH(317,Engine!$C$2:$C$1369,0)))</f>
        <v/>
      </c>
      <c r="G330" s="8">
        <f>IF(ISNA(MATCH(317,Engine!$C$2:$C$1369,0)),"",INDEX('Compliance Database'!$G$2:$G$1369,MATCH(317,Engine!$C$2:$C$1369,0)))</f>
        <v/>
      </c>
      <c r="H330" s="9">
        <f>IF(ISNA(MATCH(317,Engine!$C$2:$C$1369,0)),"",INDEX('Compliance Database'!$H$2:$H$1369,MATCH(317,Engine!$C$2:$C$1369,0)))</f>
        <v/>
      </c>
      <c r="I330" s="9">
        <f>IF(ISNA(MATCH(317,Engine!$C$2:$C$1369,0)),"",INDEX('Compliance Database'!$I$2:$I$1369,MATCH(317,Engine!$C$2:$C$1369,0)))</f>
        <v/>
      </c>
      <c r="J330" s="8">
        <f>IF(ISNA(MATCH(317,Engine!$C$2:$C$1369,0)),"",INDEX('Compliance Database'!$J$2:$J$1369,MATCH(317,Engine!$C$2:$C$1369,0)))</f>
        <v/>
      </c>
      <c r="K330" s="9">
        <f>IF(ISNA(MATCH(317,Engine!$C$2:$C$1369,0)),"",INDEX('Compliance Database'!$K$2:$K$1369,MATCH(317,Engine!$C$2:$C$1369,0)))</f>
        <v/>
      </c>
      <c r="L330" s="9">
        <f>IF(ISNA(MATCH(317,Engine!$C$2:$C$1369,0)),"",INDEX('Compliance Database'!$L$2:$L$1369,MATCH(317,Engine!$C$2:$C$1369,0)))</f>
        <v/>
      </c>
      <c r="M330" s="9">
        <f>IF(ISNA(MATCH(317,Engine!$C$2:$C$1369,0)),"",INDEX('Compliance Database'!$M$2:$M$1369,MATCH(317,Engine!$C$2:$C$1369,0)))</f>
        <v/>
      </c>
      <c r="N330" s="9">
        <f>IF(ISNA(MATCH(317,Engine!$C$2:$C$1369,0)),"",INDEX('Compliance Database'!$N$2:$N$1369,MATCH(317,Engine!$C$2:$C$1369,0)))</f>
        <v/>
      </c>
      <c r="O330" s="8">
        <f>IF(ISNA(MATCH(317,Engine!$C$2:$C$1369,0)),"",HYPERLINK(INDEX('Compliance Database'!$O$2:$O$1369,MATCH(317,Engine!$C$2:$C$1369,0)),"Open PDF"))</f>
        <v/>
      </c>
    </row>
    <row r="331" ht="188" customHeight="1">
      <c r="A331" s="8">
        <f>IF(ISNA(MATCH(318,Engine!$C$2:$C$1369,0)),"",INDEX('Compliance Database'!$A$2:$A$1369,MATCH(318,Engine!$C$2:$C$1369,0)))</f>
        <v/>
      </c>
      <c r="B331" s="8">
        <f>IF(ISNA(MATCH(318,Engine!$C$2:$C$1369,0)),"",INDEX('Compliance Database'!$B$2:$B$1369,MATCH(318,Engine!$C$2:$C$1369,0)))</f>
        <v/>
      </c>
      <c r="C331" s="8">
        <f>IF(ISNA(MATCH(318,Engine!$C$2:$C$1369,0)),"",INDEX('Compliance Database'!$C$2:$C$1369,MATCH(318,Engine!$C$2:$C$1369,0)))</f>
        <v/>
      </c>
      <c r="D331" s="9">
        <f>IF(ISNA(MATCH(318,Engine!$C$2:$C$1369,0)),"",INDEX('Compliance Database'!$D$2:$D$1369,MATCH(318,Engine!$C$2:$C$1369,0)))</f>
        <v/>
      </c>
      <c r="E331" s="8">
        <f>IF(ISNA(MATCH(318,Engine!$C$2:$C$1369,0)),"",INDEX('Compliance Database'!$E$2:$E$1369,MATCH(318,Engine!$C$2:$C$1369,0)))</f>
        <v/>
      </c>
      <c r="F331" s="8">
        <f>IF(ISNA(MATCH(318,Engine!$C$2:$C$1369,0)),"",INDEX('Compliance Database'!$F$2:$F$1369,MATCH(318,Engine!$C$2:$C$1369,0)))</f>
        <v/>
      </c>
      <c r="G331" s="8">
        <f>IF(ISNA(MATCH(318,Engine!$C$2:$C$1369,0)),"",INDEX('Compliance Database'!$G$2:$G$1369,MATCH(318,Engine!$C$2:$C$1369,0)))</f>
        <v/>
      </c>
      <c r="H331" s="9">
        <f>IF(ISNA(MATCH(318,Engine!$C$2:$C$1369,0)),"",INDEX('Compliance Database'!$H$2:$H$1369,MATCH(318,Engine!$C$2:$C$1369,0)))</f>
        <v/>
      </c>
      <c r="I331" s="9">
        <f>IF(ISNA(MATCH(318,Engine!$C$2:$C$1369,0)),"",INDEX('Compliance Database'!$I$2:$I$1369,MATCH(318,Engine!$C$2:$C$1369,0)))</f>
        <v/>
      </c>
      <c r="J331" s="8">
        <f>IF(ISNA(MATCH(318,Engine!$C$2:$C$1369,0)),"",INDEX('Compliance Database'!$J$2:$J$1369,MATCH(318,Engine!$C$2:$C$1369,0)))</f>
        <v/>
      </c>
      <c r="K331" s="9">
        <f>IF(ISNA(MATCH(318,Engine!$C$2:$C$1369,0)),"",INDEX('Compliance Database'!$K$2:$K$1369,MATCH(318,Engine!$C$2:$C$1369,0)))</f>
        <v/>
      </c>
      <c r="L331" s="9">
        <f>IF(ISNA(MATCH(318,Engine!$C$2:$C$1369,0)),"",INDEX('Compliance Database'!$L$2:$L$1369,MATCH(318,Engine!$C$2:$C$1369,0)))</f>
        <v/>
      </c>
      <c r="M331" s="9">
        <f>IF(ISNA(MATCH(318,Engine!$C$2:$C$1369,0)),"",INDEX('Compliance Database'!$M$2:$M$1369,MATCH(318,Engine!$C$2:$C$1369,0)))</f>
        <v/>
      </c>
      <c r="N331" s="9">
        <f>IF(ISNA(MATCH(318,Engine!$C$2:$C$1369,0)),"",INDEX('Compliance Database'!$N$2:$N$1369,MATCH(318,Engine!$C$2:$C$1369,0)))</f>
        <v/>
      </c>
      <c r="O331" s="8">
        <f>IF(ISNA(MATCH(318,Engine!$C$2:$C$1369,0)),"",HYPERLINK(INDEX('Compliance Database'!$O$2:$O$1369,MATCH(318,Engine!$C$2:$C$1369,0)),"Open PDF"))</f>
        <v/>
      </c>
    </row>
    <row r="332" ht="188" customHeight="1">
      <c r="A332" s="8">
        <f>IF(ISNA(MATCH(319,Engine!$C$2:$C$1369,0)),"",INDEX('Compliance Database'!$A$2:$A$1369,MATCH(319,Engine!$C$2:$C$1369,0)))</f>
        <v/>
      </c>
      <c r="B332" s="8">
        <f>IF(ISNA(MATCH(319,Engine!$C$2:$C$1369,0)),"",INDEX('Compliance Database'!$B$2:$B$1369,MATCH(319,Engine!$C$2:$C$1369,0)))</f>
        <v/>
      </c>
      <c r="C332" s="8">
        <f>IF(ISNA(MATCH(319,Engine!$C$2:$C$1369,0)),"",INDEX('Compliance Database'!$C$2:$C$1369,MATCH(319,Engine!$C$2:$C$1369,0)))</f>
        <v/>
      </c>
      <c r="D332" s="9">
        <f>IF(ISNA(MATCH(319,Engine!$C$2:$C$1369,0)),"",INDEX('Compliance Database'!$D$2:$D$1369,MATCH(319,Engine!$C$2:$C$1369,0)))</f>
        <v/>
      </c>
      <c r="E332" s="8">
        <f>IF(ISNA(MATCH(319,Engine!$C$2:$C$1369,0)),"",INDEX('Compliance Database'!$E$2:$E$1369,MATCH(319,Engine!$C$2:$C$1369,0)))</f>
        <v/>
      </c>
      <c r="F332" s="8">
        <f>IF(ISNA(MATCH(319,Engine!$C$2:$C$1369,0)),"",INDEX('Compliance Database'!$F$2:$F$1369,MATCH(319,Engine!$C$2:$C$1369,0)))</f>
        <v/>
      </c>
      <c r="G332" s="8">
        <f>IF(ISNA(MATCH(319,Engine!$C$2:$C$1369,0)),"",INDEX('Compliance Database'!$G$2:$G$1369,MATCH(319,Engine!$C$2:$C$1369,0)))</f>
        <v/>
      </c>
      <c r="H332" s="9">
        <f>IF(ISNA(MATCH(319,Engine!$C$2:$C$1369,0)),"",INDEX('Compliance Database'!$H$2:$H$1369,MATCH(319,Engine!$C$2:$C$1369,0)))</f>
        <v/>
      </c>
      <c r="I332" s="9">
        <f>IF(ISNA(MATCH(319,Engine!$C$2:$C$1369,0)),"",INDEX('Compliance Database'!$I$2:$I$1369,MATCH(319,Engine!$C$2:$C$1369,0)))</f>
        <v/>
      </c>
      <c r="J332" s="8">
        <f>IF(ISNA(MATCH(319,Engine!$C$2:$C$1369,0)),"",INDEX('Compliance Database'!$J$2:$J$1369,MATCH(319,Engine!$C$2:$C$1369,0)))</f>
        <v/>
      </c>
      <c r="K332" s="9">
        <f>IF(ISNA(MATCH(319,Engine!$C$2:$C$1369,0)),"",INDEX('Compliance Database'!$K$2:$K$1369,MATCH(319,Engine!$C$2:$C$1369,0)))</f>
        <v/>
      </c>
      <c r="L332" s="9">
        <f>IF(ISNA(MATCH(319,Engine!$C$2:$C$1369,0)),"",INDEX('Compliance Database'!$L$2:$L$1369,MATCH(319,Engine!$C$2:$C$1369,0)))</f>
        <v/>
      </c>
      <c r="M332" s="9">
        <f>IF(ISNA(MATCH(319,Engine!$C$2:$C$1369,0)),"",INDEX('Compliance Database'!$M$2:$M$1369,MATCH(319,Engine!$C$2:$C$1369,0)))</f>
        <v/>
      </c>
      <c r="N332" s="9">
        <f>IF(ISNA(MATCH(319,Engine!$C$2:$C$1369,0)),"",INDEX('Compliance Database'!$N$2:$N$1369,MATCH(319,Engine!$C$2:$C$1369,0)))</f>
        <v/>
      </c>
      <c r="O332" s="8">
        <f>IF(ISNA(MATCH(319,Engine!$C$2:$C$1369,0)),"",HYPERLINK(INDEX('Compliance Database'!$O$2:$O$1369,MATCH(319,Engine!$C$2:$C$1369,0)),"Open PDF"))</f>
        <v/>
      </c>
    </row>
    <row r="333" ht="188" customHeight="1">
      <c r="A333" s="8">
        <f>IF(ISNA(MATCH(320,Engine!$C$2:$C$1369,0)),"",INDEX('Compliance Database'!$A$2:$A$1369,MATCH(320,Engine!$C$2:$C$1369,0)))</f>
        <v/>
      </c>
      <c r="B333" s="8">
        <f>IF(ISNA(MATCH(320,Engine!$C$2:$C$1369,0)),"",INDEX('Compliance Database'!$B$2:$B$1369,MATCH(320,Engine!$C$2:$C$1369,0)))</f>
        <v/>
      </c>
      <c r="C333" s="8">
        <f>IF(ISNA(MATCH(320,Engine!$C$2:$C$1369,0)),"",INDEX('Compliance Database'!$C$2:$C$1369,MATCH(320,Engine!$C$2:$C$1369,0)))</f>
        <v/>
      </c>
      <c r="D333" s="9">
        <f>IF(ISNA(MATCH(320,Engine!$C$2:$C$1369,0)),"",INDEX('Compliance Database'!$D$2:$D$1369,MATCH(320,Engine!$C$2:$C$1369,0)))</f>
        <v/>
      </c>
      <c r="E333" s="8">
        <f>IF(ISNA(MATCH(320,Engine!$C$2:$C$1369,0)),"",INDEX('Compliance Database'!$E$2:$E$1369,MATCH(320,Engine!$C$2:$C$1369,0)))</f>
        <v/>
      </c>
      <c r="F333" s="8">
        <f>IF(ISNA(MATCH(320,Engine!$C$2:$C$1369,0)),"",INDEX('Compliance Database'!$F$2:$F$1369,MATCH(320,Engine!$C$2:$C$1369,0)))</f>
        <v/>
      </c>
      <c r="G333" s="8">
        <f>IF(ISNA(MATCH(320,Engine!$C$2:$C$1369,0)),"",INDEX('Compliance Database'!$G$2:$G$1369,MATCH(320,Engine!$C$2:$C$1369,0)))</f>
        <v/>
      </c>
      <c r="H333" s="9">
        <f>IF(ISNA(MATCH(320,Engine!$C$2:$C$1369,0)),"",INDEX('Compliance Database'!$H$2:$H$1369,MATCH(320,Engine!$C$2:$C$1369,0)))</f>
        <v/>
      </c>
      <c r="I333" s="9">
        <f>IF(ISNA(MATCH(320,Engine!$C$2:$C$1369,0)),"",INDEX('Compliance Database'!$I$2:$I$1369,MATCH(320,Engine!$C$2:$C$1369,0)))</f>
        <v/>
      </c>
      <c r="J333" s="8">
        <f>IF(ISNA(MATCH(320,Engine!$C$2:$C$1369,0)),"",INDEX('Compliance Database'!$J$2:$J$1369,MATCH(320,Engine!$C$2:$C$1369,0)))</f>
        <v/>
      </c>
      <c r="K333" s="9">
        <f>IF(ISNA(MATCH(320,Engine!$C$2:$C$1369,0)),"",INDEX('Compliance Database'!$K$2:$K$1369,MATCH(320,Engine!$C$2:$C$1369,0)))</f>
        <v/>
      </c>
      <c r="L333" s="9">
        <f>IF(ISNA(MATCH(320,Engine!$C$2:$C$1369,0)),"",INDEX('Compliance Database'!$L$2:$L$1369,MATCH(320,Engine!$C$2:$C$1369,0)))</f>
        <v/>
      </c>
      <c r="M333" s="9">
        <f>IF(ISNA(MATCH(320,Engine!$C$2:$C$1369,0)),"",INDEX('Compliance Database'!$M$2:$M$1369,MATCH(320,Engine!$C$2:$C$1369,0)))</f>
        <v/>
      </c>
      <c r="N333" s="9">
        <f>IF(ISNA(MATCH(320,Engine!$C$2:$C$1369,0)),"",INDEX('Compliance Database'!$N$2:$N$1369,MATCH(320,Engine!$C$2:$C$1369,0)))</f>
        <v/>
      </c>
      <c r="O333" s="8">
        <f>IF(ISNA(MATCH(320,Engine!$C$2:$C$1369,0)),"",HYPERLINK(INDEX('Compliance Database'!$O$2:$O$1369,MATCH(320,Engine!$C$2:$C$1369,0)),"Open PDF"))</f>
        <v/>
      </c>
    </row>
    <row r="334" ht="188" customHeight="1">
      <c r="A334" s="8">
        <f>IF(ISNA(MATCH(321,Engine!$C$2:$C$1369,0)),"",INDEX('Compliance Database'!$A$2:$A$1369,MATCH(321,Engine!$C$2:$C$1369,0)))</f>
        <v/>
      </c>
      <c r="B334" s="8">
        <f>IF(ISNA(MATCH(321,Engine!$C$2:$C$1369,0)),"",INDEX('Compliance Database'!$B$2:$B$1369,MATCH(321,Engine!$C$2:$C$1369,0)))</f>
        <v/>
      </c>
      <c r="C334" s="8">
        <f>IF(ISNA(MATCH(321,Engine!$C$2:$C$1369,0)),"",INDEX('Compliance Database'!$C$2:$C$1369,MATCH(321,Engine!$C$2:$C$1369,0)))</f>
        <v/>
      </c>
      <c r="D334" s="9">
        <f>IF(ISNA(MATCH(321,Engine!$C$2:$C$1369,0)),"",INDEX('Compliance Database'!$D$2:$D$1369,MATCH(321,Engine!$C$2:$C$1369,0)))</f>
        <v/>
      </c>
      <c r="E334" s="8">
        <f>IF(ISNA(MATCH(321,Engine!$C$2:$C$1369,0)),"",INDEX('Compliance Database'!$E$2:$E$1369,MATCH(321,Engine!$C$2:$C$1369,0)))</f>
        <v/>
      </c>
      <c r="F334" s="8">
        <f>IF(ISNA(MATCH(321,Engine!$C$2:$C$1369,0)),"",INDEX('Compliance Database'!$F$2:$F$1369,MATCH(321,Engine!$C$2:$C$1369,0)))</f>
        <v/>
      </c>
      <c r="G334" s="8">
        <f>IF(ISNA(MATCH(321,Engine!$C$2:$C$1369,0)),"",INDEX('Compliance Database'!$G$2:$G$1369,MATCH(321,Engine!$C$2:$C$1369,0)))</f>
        <v/>
      </c>
      <c r="H334" s="9">
        <f>IF(ISNA(MATCH(321,Engine!$C$2:$C$1369,0)),"",INDEX('Compliance Database'!$H$2:$H$1369,MATCH(321,Engine!$C$2:$C$1369,0)))</f>
        <v/>
      </c>
      <c r="I334" s="9">
        <f>IF(ISNA(MATCH(321,Engine!$C$2:$C$1369,0)),"",INDEX('Compliance Database'!$I$2:$I$1369,MATCH(321,Engine!$C$2:$C$1369,0)))</f>
        <v/>
      </c>
      <c r="J334" s="8">
        <f>IF(ISNA(MATCH(321,Engine!$C$2:$C$1369,0)),"",INDEX('Compliance Database'!$J$2:$J$1369,MATCH(321,Engine!$C$2:$C$1369,0)))</f>
        <v/>
      </c>
      <c r="K334" s="9">
        <f>IF(ISNA(MATCH(321,Engine!$C$2:$C$1369,0)),"",INDEX('Compliance Database'!$K$2:$K$1369,MATCH(321,Engine!$C$2:$C$1369,0)))</f>
        <v/>
      </c>
      <c r="L334" s="9">
        <f>IF(ISNA(MATCH(321,Engine!$C$2:$C$1369,0)),"",INDEX('Compliance Database'!$L$2:$L$1369,MATCH(321,Engine!$C$2:$C$1369,0)))</f>
        <v/>
      </c>
      <c r="M334" s="9">
        <f>IF(ISNA(MATCH(321,Engine!$C$2:$C$1369,0)),"",INDEX('Compliance Database'!$M$2:$M$1369,MATCH(321,Engine!$C$2:$C$1369,0)))</f>
        <v/>
      </c>
      <c r="N334" s="9">
        <f>IF(ISNA(MATCH(321,Engine!$C$2:$C$1369,0)),"",INDEX('Compliance Database'!$N$2:$N$1369,MATCH(321,Engine!$C$2:$C$1369,0)))</f>
        <v/>
      </c>
      <c r="O334" s="8">
        <f>IF(ISNA(MATCH(321,Engine!$C$2:$C$1369,0)),"",HYPERLINK(INDEX('Compliance Database'!$O$2:$O$1369,MATCH(321,Engine!$C$2:$C$1369,0)),"Open PDF"))</f>
        <v/>
      </c>
    </row>
    <row r="335" ht="188" customHeight="1">
      <c r="A335" s="8">
        <f>IF(ISNA(MATCH(322,Engine!$C$2:$C$1369,0)),"",INDEX('Compliance Database'!$A$2:$A$1369,MATCH(322,Engine!$C$2:$C$1369,0)))</f>
        <v/>
      </c>
      <c r="B335" s="8">
        <f>IF(ISNA(MATCH(322,Engine!$C$2:$C$1369,0)),"",INDEX('Compliance Database'!$B$2:$B$1369,MATCH(322,Engine!$C$2:$C$1369,0)))</f>
        <v/>
      </c>
      <c r="C335" s="8">
        <f>IF(ISNA(MATCH(322,Engine!$C$2:$C$1369,0)),"",INDEX('Compliance Database'!$C$2:$C$1369,MATCH(322,Engine!$C$2:$C$1369,0)))</f>
        <v/>
      </c>
      <c r="D335" s="9">
        <f>IF(ISNA(MATCH(322,Engine!$C$2:$C$1369,0)),"",INDEX('Compliance Database'!$D$2:$D$1369,MATCH(322,Engine!$C$2:$C$1369,0)))</f>
        <v/>
      </c>
      <c r="E335" s="8">
        <f>IF(ISNA(MATCH(322,Engine!$C$2:$C$1369,0)),"",INDEX('Compliance Database'!$E$2:$E$1369,MATCH(322,Engine!$C$2:$C$1369,0)))</f>
        <v/>
      </c>
      <c r="F335" s="8">
        <f>IF(ISNA(MATCH(322,Engine!$C$2:$C$1369,0)),"",INDEX('Compliance Database'!$F$2:$F$1369,MATCH(322,Engine!$C$2:$C$1369,0)))</f>
        <v/>
      </c>
      <c r="G335" s="8">
        <f>IF(ISNA(MATCH(322,Engine!$C$2:$C$1369,0)),"",INDEX('Compliance Database'!$G$2:$G$1369,MATCH(322,Engine!$C$2:$C$1369,0)))</f>
        <v/>
      </c>
      <c r="H335" s="9">
        <f>IF(ISNA(MATCH(322,Engine!$C$2:$C$1369,0)),"",INDEX('Compliance Database'!$H$2:$H$1369,MATCH(322,Engine!$C$2:$C$1369,0)))</f>
        <v/>
      </c>
      <c r="I335" s="9">
        <f>IF(ISNA(MATCH(322,Engine!$C$2:$C$1369,0)),"",INDEX('Compliance Database'!$I$2:$I$1369,MATCH(322,Engine!$C$2:$C$1369,0)))</f>
        <v/>
      </c>
      <c r="J335" s="8">
        <f>IF(ISNA(MATCH(322,Engine!$C$2:$C$1369,0)),"",INDEX('Compliance Database'!$J$2:$J$1369,MATCH(322,Engine!$C$2:$C$1369,0)))</f>
        <v/>
      </c>
      <c r="K335" s="9">
        <f>IF(ISNA(MATCH(322,Engine!$C$2:$C$1369,0)),"",INDEX('Compliance Database'!$K$2:$K$1369,MATCH(322,Engine!$C$2:$C$1369,0)))</f>
        <v/>
      </c>
      <c r="L335" s="9">
        <f>IF(ISNA(MATCH(322,Engine!$C$2:$C$1369,0)),"",INDEX('Compliance Database'!$L$2:$L$1369,MATCH(322,Engine!$C$2:$C$1369,0)))</f>
        <v/>
      </c>
      <c r="M335" s="9">
        <f>IF(ISNA(MATCH(322,Engine!$C$2:$C$1369,0)),"",INDEX('Compliance Database'!$M$2:$M$1369,MATCH(322,Engine!$C$2:$C$1369,0)))</f>
        <v/>
      </c>
      <c r="N335" s="9">
        <f>IF(ISNA(MATCH(322,Engine!$C$2:$C$1369,0)),"",INDEX('Compliance Database'!$N$2:$N$1369,MATCH(322,Engine!$C$2:$C$1369,0)))</f>
        <v/>
      </c>
      <c r="O335" s="8">
        <f>IF(ISNA(MATCH(322,Engine!$C$2:$C$1369,0)),"",HYPERLINK(INDEX('Compliance Database'!$O$2:$O$1369,MATCH(322,Engine!$C$2:$C$1369,0)),"Open PDF"))</f>
        <v/>
      </c>
    </row>
    <row r="336" ht="188" customHeight="1">
      <c r="A336" s="8">
        <f>IF(ISNA(MATCH(323,Engine!$C$2:$C$1369,0)),"",INDEX('Compliance Database'!$A$2:$A$1369,MATCH(323,Engine!$C$2:$C$1369,0)))</f>
        <v/>
      </c>
      <c r="B336" s="8">
        <f>IF(ISNA(MATCH(323,Engine!$C$2:$C$1369,0)),"",INDEX('Compliance Database'!$B$2:$B$1369,MATCH(323,Engine!$C$2:$C$1369,0)))</f>
        <v/>
      </c>
      <c r="C336" s="8">
        <f>IF(ISNA(MATCH(323,Engine!$C$2:$C$1369,0)),"",INDEX('Compliance Database'!$C$2:$C$1369,MATCH(323,Engine!$C$2:$C$1369,0)))</f>
        <v/>
      </c>
      <c r="D336" s="9">
        <f>IF(ISNA(MATCH(323,Engine!$C$2:$C$1369,0)),"",INDEX('Compliance Database'!$D$2:$D$1369,MATCH(323,Engine!$C$2:$C$1369,0)))</f>
        <v/>
      </c>
      <c r="E336" s="8">
        <f>IF(ISNA(MATCH(323,Engine!$C$2:$C$1369,0)),"",INDEX('Compliance Database'!$E$2:$E$1369,MATCH(323,Engine!$C$2:$C$1369,0)))</f>
        <v/>
      </c>
      <c r="F336" s="8">
        <f>IF(ISNA(MATCH(323,Engine!$C$2:$C$1369,0)),"",INDEX('Compliance Database'!$F$2:$F$1369,MATCH(323,Engine!$C$2:$C$1369,0)))</f>
        <v/>
      </c>
      <c r="G336" s="8">
        <f>IF(ISNA(MATCH(323,Engine!$C$2:$C$1369,0)),"",INDEX('Compliance Database'!$G$2:$G$1369,MATCH(323,Engine!$C$2:$C$1369,0)))</f>
        <v/>
      </c>
      <c r="H336" s="9">
        <f>IF(ISNA(MATCH(323,Engine!$C$2:$C$1369,0)),"",INDEX('Compliance Database'!$H$2:$H$1369,MATCH(323,Engine!$C$2:$C$1369,0)))</f>
        <v/>
      </c>
      <c r="I336" s="9">
        <f>IF(ISNA(MATCH(323,Engine!$C$2:$C$1369,0)),"",INDEX('Compliance Database'!$I$2:$I$1369,MATCH(323,Engine!$C$2:$C$1369,0)))</f>
        <v/>
      </c>
      <c r="J336" s="8">
        <f>IF(ISNA(MATCH(323,Engine!$C$2:$C$1369,0)),"",INDEX('Compliance Database'!$J$2:$J$1369,MATCH(323,Engine!$C$2:$C$1369,0)))</f>
        <v/>
      </c>
      <c r="K336" s="9">
        <f>IF(ISNA(MATCH(323,Engine!$C$2:$C$1369,0)),"",INDEX('Compliance Database'!$K$2:$K$1369,MATCH(323,Engine!$C$2:$C$1369,0)))</f>
        <v/>
      </c>
      <c r="L336" s="9">
        <f>IF(ISNA(MATCH(323,Engine!$C$2:$C$1369,0)),"",INDEX('Compliance Database'!$L$2:$L$1369,MATCH(323,Engine!$C$2:$C$1369,0)))</f>
        <v/>
      </c>
      <c r="M336" s="9">
        <f>IF(ISNA(MATCH(323,Engine!$C$2:$C$1369,0)),"",INDEX('Compliance Database'!$M$2:$M$1369,MATCH(323,Engine!$C$2:$C$1369,0)))</f>
        <v/>
      </c>
      <c r="N336" s="9">
        <f>IF(ISNA(MATCH(323,Engine!$C$2:$C$1369,0)),"",INDEX('Compliance Database'!$N$2:$N$1369,MATCH(323,Engine!$C$2:$C$1369,0)))</f>
        <v/>
      </c>
      <c r="O336" s="8">
        <f>IF(ISNA(MATCH(323,Engine!$C$2:$C$1369,0)),"",HYPERLINK(INDEX('Compliance Database'!$O$2:$O$1369,MATCH(323,Engine!$C$2:$C$1369,0)),"Open PDF"))</f>
        <v/>
      </c>
    </row>
    <row r="337" ht="188" customHeight="1">
      <c r="A337" s="8">
        <f>IF(ISNA(MATCH(324,Engine!$C$2:$C$1369,0)),"",INDEX('Compliance Database'!$A$2:$A$1369,MATCH(324,Engine!$C$2:$C$1369,0)))</f>
        <v/>
      </c>
      <c r="B337" s="8">
        <f>IF(ISNA(MATCH(324,Engine!$C$2:$C$1369,0)),"",INDEX('Compliance Database'!$B$2:$B$1369,MATCH(324,Engine!$C$2:$C$1369,0)))</f>
        <v/>
      </c>
      <c r="C337" s="8">
        <f>IF(ISNA(MATCH(324,Engine!$C$2:$C$1369,0)),"",INDEX('Compliance Database'!$C$2:$C$1369,MATCH(324,Engine!$C$2:$C$1369,0)))</f>
        <v/>
      </c>
      <c r="D337" s="9">
        <f>IF(ISNA(MATCH(324,Engine!$C$2:$C$1369,0)),"",INDEX('Compliance Database'!$D$2:$D$1369,MATCH(324,Engine!$C$2:$C$1369,0)))</f>
        <v/>
      </c>
      <c r="E337" s="8">
        <f>IF(ISNA(MATCH(324,Engine!$C$2:$C$1369,0)),"",INDEX('Compliance Database'!$E$2:$E$1369,MATCH(324,Engine!$C$2:$C$1369,0)))</f>
        <v/>
      </c>
      <c r="F337" s="8">
        <f>IF(ISNA(MATCH(324,Engine!$C$2:$C$1369,0)),"",INDEX('Compliance Database'!$F$2:$F$1369,MATCH(324,Engine!$C$2:$C$1369,0)))</f>
        <v/>
      </c>
      <c r="G337" s="8">
        <f>IF(ISNA(MATCH(324,Engine!$C$2:$C$1369,0)),"",INDEX('Compliance Database'!$G$2:$G$1369,MATCH(324,Engine!$C$2:$C$1369,0)))</f>
        <v/>
      </c>
      <c r="H337" s="9">
        <f>IF(ISNA(MATCH(324,Engine!$C$2:$C$1369,0)),"",INDEX('Compliance Database'!$H$2:$H$1369,MATCH(324,Engine!$C$2:$C$1369,0)))</f>
        <v/>
      </c>
      <c r="I337" s="9">
        <f>IF(ISNA(MATCH(324,Engine!$C$2:$C$1369,0)),"",INDEX('Compliance Database'!$I$2:$I$1369,MATCH(324,Engine!$C$2:$C$1369,0)))</f>
        <v/>
      </c>
      <c r="J337" s="8">
        <f>IF(ISNA(MATCH(324,Engine!$C$2:$C$1369,0)),"",INDEX('Compliance Database'!$J$2:$J$1369,MATCH(324,Engine!$C$2:$C$1369,0)))</f>
        <v/>
      </c>
      <c r="K337" s="9">
        <f>IF(ISNA(MATCH(324,Engine!$C$2:$C$1369,0)),"",INDEX('Compliance Database'!$K$2:$K$1369,MATCH(324,Engine!$C$2:$C$1369,0)))</f>
        <v/>
      </c>
      <c r="L337" s="9">
        <f>IF(ISNA(MATCH(324,Engine!$C$2:$C$1369,0)),"",INDEX('Compliance Database'!$L$2:$L$1369,MATCH(324,Engine!$C$2:$C$1369,0)))</f>
        <v/>
      </c>
      <c r="M337" s="9">
        <f>IF(ISNA(MATCH(324,Engine!$C$2:$C$1369,0)),"",INDEX('Compliance Database'!$M$2:$M$1369,MATCH(324,Engine!$C$2:$C$1369,0)))</f>
        <v/>
      </c>
      <c r="N337" s="9">
        <f>IF(ISNA(MATCH(324,Engine!$C$2:$C$1369,0)),"",INDEX('Compliance Database'!$N$2:$N$1369,MATCH(324,Engine!$C$2:$C$1369,0)))</f>
        <v/>
      </c>
      <c r="O337" s="8">
        <f>IF(ISNA(MATCH(324,Engine!$C$2:$C$1369,0)),"",HYPERLINK(INDEX('Compliance Database'!$O$2:$O$1369,MATCH(324,Engine!$C$2:$C$1369,0)),"Open PDF"))</f>
        <v/>
      </c>
    </row>
    <row r="338" ht="188" customHeight="1">
      <c r="A338" s="8">
        <f>IF(ISNA(MATCH(325,Engine!$C$2:$C$1369,0)),"",INDEX('Compliance Database'!$A$2:$A$1369,MATCH(325,Engine!$C$2:$C$1369,0)))</f>
        <v/>
      </c>
      <c r="B338" s="8">
        <f>IF(ISNA(MATCH(325,Engine!$C$2:$C$1369,0)),"",INDEX('Compliance Database'!$B$2:$B$1369,MATCH(325,Engine!$C$2:$C$1369,0)))</f>
        <v/>
      </c>
      <c r="C338" s="8">
        <f>IF(ISNA(MATCH(325,Engine!$C$2:$C$1369,0)),"",INDEX('Compliance Database'!$C$2:$C$1369,MATCH(325,Engine!$C$2:$C$1369,0)))</f>
        <v/>
      </c>
      <c r="D338" s="9">
        <f>IF(ISNA(MATCH(325,Engine!$C$2:$C$1369,0)),"",INDEX('Compliance Database'!$D$2:$D$1369,MATCH(325,Engine!$C$2:$C$1369,0)))</f>
        <v/>
      </c>
      <c r="E338" s="8">
        <f>IF(ISNA(MATCH(325,Engine!$C$2:$C$1369,0)),"",INDEX('Compliance Database'!$E$2:$E$1369,MATCH(325,Engine!$C$2:$C$1369,0)))</f>
        <v/>
      </c>
      <c r="F338" s="8">
        <f>IF(ISNA(MATCH(325,Engine!$C$2:$C$1369,0)),"",INDEX('Compliance Database'!$F$2:$F$1369,MATCH(325,Engine!$C$2:$C$1369,0)))</f>
        <v/>
      </c>
      <c r="G338" s="8">
        <f>IF(ISNA(MATCH(325,Engine!$C$2:$C$1369,0)),"",INDEX('Compliance Database'!$G$2:$G$1369,MATCH(325,Engine!$C$2:$C$1369,0)))</f>
        <v/>
      </c>
      <c r="H338" s="9">
        <f>IF(ISNA(MATCH(325,Engine!$C$2:$C$1369,0)),"",INDEX('Compliance Database'!$H$2:$H$1369,MATCH(325,Engine!$C$2:$C$1369,0)))</f>
        <v/>
      </c>
      <c r="I338" s="9">
        <f>IF(ISNA(MATCH(325,Engine!$C$2:$C$1369,0)),"",INDEX('Compliance Database'!$I$2:$I$1369,MATCH(325,Engine!$C$2:$C$1369,0)))</f>
        <v/>
      </c>
      <c r="J338" s="8">
        <f>IF(ISNA(MATCH(325,Engine!$C$2:$C$1369,0)),"",INDEX('Compliance Database'!$J$2:$J$1369,MATCH(325,Engine!$C$2:$C$1369,0)))</f>
        <v/>
      </c>
      <c r="K338" s="9">
        <f>IF(ISNA(MATCH(325,Engine!$C$2:$C$1369,0)),"",INDEX('Compliance Database'!$K$2:$K$1369,MATCH(325,Engine!$C$2:$C$1369,0)))</f>
        <v/>
      </c>
      <c r="L338" s="9">
        <f>IF(ISNA(MATCH(325,Engine!$C$2:$C$1369,0)),"",INDEX('Compliance Database'!$L$2:$L$1369,MATCH(325,Engine!$C$2:$C$1369,0)))</f>
        <v/>
      </c>
      <c r="M338" s="9">
        <f>IF(ISNA(MATCH(325,Engine!$C$2:$C$1369,0)),"",INDEX('Compliance Database'!$M$2:$M$1369,MATCH(325,Engine!$C$2:$C$1369,0)))</f>
        <v/>
      </c>
      <c r="N338" s="9">
        <f>IF(ISNA(MATCH(325,Engine!$C$2:$C$1369,0)),"",INDEX('Compliance Database'!$N$2:$N$1369,MATCH(325,Engine!$C$2:$C$1369,0)))</f>
        <v/>
      </c>
      <c r="O338" s="8">
        <f>IF(ISNA(MATCH(325,Engine!$C$2:$C$1369,0)),"",HYPERLINK(INDEX('Compliance Database'!$O$2:$O$1369,MATCH(325,Engine!$C$2:$C$1369,0)),"Open PDF"))</f>
        <v/>
      </c>
    </row>
    <row r="339" ht="188" customHeight="1">
      <c r="A339" s="8">
        <f>IF(ISNA(MATCH(326,Engine!$C$2:$C$1369,0)),"",INDEX('Compliance Database'!$A$2:$A$1369,MATCH(326,Engine!$C$2:$C$1369,0)))</f>
        <v/>
      </c>
      <c r="B339" s="8">
        <f>IF(ISNA(MATCH(326,Engine!$C$2:$C$1369,0)),"",INDEX('Compliance Database'!$B$2:$B$1369,MATCH(326,Engine!$C$2:$C$1369,0)))</f>
        <v/>
      </c>
      <c r="C339" s="8">
        <f>IF(ISNA(MATCH(326,Engine!$C$2:$C$1369,0)),"",INDEX('Compliance Database'!$C$2:$C$1369,MATCH(326,Engine!$C$2:$C$1369,0)))</f>
        <v/>
      </c>
      <c r="D339" s="9">
        <f>IF(ISNA(MATCH(326,Engine!$C$2:$C$1369,0)),"",INDEX('Compliance Database'!$D$2:$D$1369,MATCH(326,Engine!$C$2:$C$1369,0)))</f>
        <v/>
      </c>
      <c r="E339" s="8">
        <f>IF(ISNA(MATCH(326,Engine!$C$2:$C$1369,0)),"",INDEX('Compliance Database'!$E$2:$E$1369,MATCH(326,Engine!$C$2:$C$1369,0)))</f>
        <v/>
      </c>
      <c r="F339" s="8">
        <f>IF(ISNA(MATCH(326,Engine!$C$2:$C$1369,0)),"",INDEX('Compliance Database'!$F$2:$F$1369,MATCH(326,Engine!$C$2:$C$1369,0)))</f>
        <v/>
      </c>
      <c r="G339" s="8">
        <f>IF(ISNA(MATCH(326,Engine!$C$2:$C$1369,0)),"",INDEX('Compliance Database'!$G$2:$G$1369,MATCH(326,Engine!$C$2:$C$1369,0)))</f>
        <v/>
      </c>
      <c r="H339" s="9">
        <f>IF(ISNA(MATCH(326,Engine!$C$2:$C$1369,0)),"",INDEX('Compliance Database'!$H$2:$H$1369,MATCH(326,Engine!$C$2:$C$1369,0)))</f>
        <v/>
      </c>
      <c r="I339" s="9">
        <f>IF(ISNA(MATCH(326,Engine!$C$2:$C$1369,0)),"",INDEX('Compliance Database'!$I$2:$I$1369,MATCH(326,Engine!$C$2:$C$1369,0)))</f>
        <v/>
      </c>
      <c r="J339" s="8">
        <f>IF(ISNA(MATCH(326,Engine!$C$2:$C$1369,0)),"",INDEX('Compliance Database'!$J$2:$J$1369,MATCH(326,Engine!$C$2:$C$1369,0)))</f>
        <v/>
      </c>
      <c r="K339" s="9">
        <f>IF(ISNA(MATCH(326,Engine!$C$2:$C$1369,0)),"",INDEX('Compliance Database'!$K$2:$K$1369,MATCH(326,Engine!$C$2:$C$1369,0)))</f>
        <v/>
      </c>
      <c r="L339" s="9">
        <f>IF(ISNA(MATCH(326,Engine!$C$2:$C$1369,0)),"",INDEX('Compliance Database'!$L$2:$L$1369,MATCH(326,Engine!$C$2:$C$1369,0)))</f>
        <v/>
      </c>
      <c r="M339" s="9">
        <f>IF(ISNA(MATCH(326,Engine!$C$2:$C$1369,0)),"",INDEX('Compliance Database'!$M$2:$M$1369,MATCH(326,Engine!$C$2:$C$1369,0)))</f>
        <v/>
      </c>
      <c r="N339" s="9">
        <f>IF(ISNA(MATCH(326,Engine!$C$2:$C$1369,0)),"",INDEX('Compliance Database'!$N$2:$N$1369,MATCH(326,Engine!$C$2:$C$1369,0)))</f>
        <v/>
      </c>
      <c r="O339" s="8">
        <f>IF(ISNA(MATCH(326,Engine!$C$2:$C$1369,0)),"",HYPERLINK(INDEX('Compliance Database'!$O$2:$O$1369,MATCH(326,Engine!$C$2:$C$1369,0)),"Open PDF"))</f>
        <v/>
      </c>
    </row>
    <row r="340" ht="188" customHeight="1">
      <c r="A340" s="8">
        <f>IF(ISNA(MATCH(327,Engine!$C$2:$C$1369,0)),"",INDEX('Compliance Database'!$A$2:$A$1369,MATCH(327,Engine!$C$2:$C$1369,0)))</f>
        <v/>
      </c>
      <c r="B340" s="8">
        <f>IF(ISNA(MATCH(327,Engine!$C$2:$C$1369,0)),"",INDEX('Compliance Database'!$B$2:$B$1369,MATCH(327,Engine!$C$2:$C$1369,0)))</f>
        <v/>
      </c>
      <c r="C340" s="8">
        <f>IF(ISNA(MATCH(327,Engine!$C$2:$C$1369,0)),"",INDEX('Compliance Database'!$C$2:$C$1369,MATCH(327,Engine!$C$2:$C$1369,0)))</f>
        <v/>
      </c>
      <c r="D340" s="9">
        <f>IF(ISNA(MATCH(327,Engine!$C$2:$C$1369,0)),"",INDEX('Compliance Database'!$D$2:$D$1369,MATCH(327,Engine!$C$2:$C$1369,0)))</f>
        <v/>
      </c>
      <c r="E340" s="8">
        <f>IF(ISNA(MATCH(327,Engine!$C$2:$C$1369,0)),"",INDEX('Compliance Database'!$E$2:$E$1369,MATCH(327,Engine!$C$2:$C$1369,0)))</f>
        <v/>
      </c>
      <c r="F340" s="8">
        <f>IF(ISNA(MATCH(327,Engine!$C$2:$C$1369,0)),"",INDEX('Compliance Database'!$F$2:$F$1369,MATCH(327,Engine!$C$2:$C$1369,0)))</f>
        <v/>
      </c>
      <c r="G340" s="8">
        <f>IF(ISNA(MATCH(327,Engine!$C$2:$C$1369,0)),"",INDEX('Compliance Database'!$G$2:$G$1369,MATCH(327,Engine!$C$2:$C$1369,0)))</f>
        <v/>
      </c>
      <c r="H340" s="9">
        <f>IF(ISNA(MATCH(327,Engine!$C$2:$C$1369,0)),"",INDEX('Compliance Database'!$H$2:$H$1369,MATCH(327,Engine!$C$2:$C$1369,0)))</f>
        <v/>
      </c>
      <c r="I340" s="9">
        <f>IF(ISNA(MATCH(327,Engine!$C$2:$C$1369,0)),"",INDEX('Compliance Database'!$I$2:$I$1369,MATCH(327,Engine!$C$2:$C$1369,0)))</f>
        <v/>
      </c>
      <c r="J340" s="8">
        <f>IF(ISNA(MATCH(327,Engine!$C$2:$C$1369,0)),"",INDEX('Compliance Database'!$J$2:$J$1369,MATCH(327,Engine!$C$2:$C$1369,0)))</f>
        <v/>
      </c>
      <c r="K340" s="9">
        <f>IF(ISNA(MATCH(327,Engine!$C$2:$C$1369,0)),"",INDEX('Compliance Database'!$K$2:$K$1369,MATCH(327,Engine!$C$2:$C$1369,0)))</f>
        <v/>
      </c>
      <c r="L340" s="9">
        <f>IF(ISNA(MATCH(327,Engine!$C$2:$C$1369,0)),"",INDEX('Compliance Database'!$L$2:$L$1369,MATCH(327,Engine!$C$2:$C$1369,0)))</f>
        <v/>
      </c>
      <c r="M340" s="9">
        <f>IF(ISNA(MATCH(327,Engine!$C$2:$C$1369,0)),"",INDEX('Compliance Database'!$M$2:$M$1369,MATCH(327,Engine!$C$2:$C$1369,0)))</f>
        <v/>
      </c>
      <c r="N340" s="9">
        <f>IF(ISNA(MATCH(327,Engine!$C$2:$C$1369,0)),"",INDEX('Compliance Database'!$N$2:$N$1369,MATCH(327,Engine!$C$2:$C$1369,0)))</f>
        <v/>
      </c>
      <c r="O340" s="8">
        <f>IF(ISNA(MATCH(327,Engine!$C$2:$C$1369,0)),"",HYPERLINK(INDEX('Compliance Database'!$O$2:$O$1369,MATCH(327,Engine!$C$2:$C$1369,0)),"Open PDF"))</f>
        <v/>
      </c>
    </row>
    <row r="341" ht="188" customHeight="1">
      <c r="A341" s="8">
        <f>IF(ISNA(MATCH(328,Engine!$C$2:$C$1369,0)),"",INDEX('Compliance Database'!$A$2:$A$1369,MATCH(328,Engine!$C$2:$C$1369,0)))</f>
        <v/>
      </c>
      <c r="B341" s="8">
        <f>IF(ISNA(MATCH(328,Engine!$C$2:$C$1369,0)),"",INDEX('Compliance Database'!$B$2:$B$1369,MATCH(328,Engine!$C$2:$C$1369,0)))</f>
        <v/>
      </c>
      <c r="C341" s="8">
        <f>IF(ISNA(MATCH(328,Engine!$C$2:$C$1369,0)),"",INDEX('Compliance Database'!$C$2:$C$1369,MATCH(328,Engine!$C$2:$C$1369,0)))</f>
        <v/>
      </c>
      <c r="D341" s="9">
        <f>IF(ISNA(MATCH(328,Engine!$C$2:$C$1369,0)),"",INDEX('Compliance Database'!$D$2:$D$1369,MATCH(328,Engine!$C$2:$C$1369,0)))</f>
        <v/>
      </c>
      <c r="E341" s="8">
        <f>IF(ISNA(MATCH(328,Engine!$C$2:$C$1369,0)),"",INDEX('Compliance Database'!$E$2:$E$1369,MATCH(328,Engine!$C$2:$C$1369,0)))</f>
        <v/>
      </c>
      <c r="F341" s="8">
        <f>IF(ISNA(MATCH(328,Engine!$C$2:$C$1369,0)),"",INDEX('Compliance Database'!$F$2:$F$1369,MATCH(328,Engine!$C$2:$C$1369,0)))</f>
        <v/>
      </c>
      <c r="G341" s="8">
        <f>IF(ISNA(MATCH(328,Engine!$C$2:$C$1369,0)),"",INDEX('Compliance Database'!$G$2:$G$1369,MATCH(328,Engine!$C$2:$C$1369,0)))</f>
        <v/>
      </c>
      <c r="H341" s="9">
        <f>IF(ISNA(MATCH(328,Engine!$C$2:$C$1369,0)),"",INDEX('Compliance Database'!$H$2:$H$1369,MATCH(328,Engine!$C$2:$C$1369,0)))</f>
        <v/>
      </c>
      <c r="I341" s="9">
        <f>IF(ISNA(MATCH(328,Engine!$C$2:$C$1369,0)),"",INDEX('Compliance Database'!$I$2:$I$1369,MATCH(328,Engine!$C$2:$C$1369,0)))</f>
        <v/>
      </c>
      <c r="J341" s="8">
        <f>IF(ISNA(MATCH(328,Engine!$C$2:$C$1369,0)),"",INDEX('Compliance Database'!$J$2:$J$1369,MATCH(328,Engine!$C$2:$C$1369,0)))</f>
        <v/>
      </c>
      <c r="K341" s="9">
        <f>IF(ISNA(MATCH(328,Engine!$C$2:$C$1369,0)),"",INDEX('Compliance Database'!$K$2:$K$1369,MATCH(328,Engine!$C$2:$C$1369,0)))</f>
        <v/>
      </c>
      <c r="L341" s="9">
        <f>IF(ISNA(MATCH(328,Engine!$C$2:$C$1369,0)),"",INDEX('Compliance Database'!$L$2:$L$1369,MATCH(328,Engine!$C$2:$C$1369,0)))</f>
        <v/>
      </c>
      <c r="M341" s="9">
        <f>IF(ISNA(MATCH(328,Engine!$C$2:$C$1369,0)),"",INDEX('Compliance Database'!$M$2:$M$1369,MATCH(328,Engine!$C$2:$C$1369,0)))</f>
        <v/>
      </c>
      <c r="N341" s="9">
        <f>IF(ISNA(MATCH(328,Engine!$C$2:$C$1369,0)),"",INDEX('Compliance Database'!$N$2:$N$1369,MATCH(328,Engine!$C$2:$C$1369,0)))</f>
        <v/>
      </c>
      <c r="O341" s="8">
        <f>IF(ISNA(MATCH(328,Engine!$C$2:$C$1369,0)),"",HYPERLINK(INDEX('Compliance Database'!$O$2:$O$1369,MATCH(328,Engine!$C$2:$C$1369,0)),"Open PDF"))</f>
        <v/>
      </c>
    </row>
    <row r="342" ht="188" customHeight="1">
      <c r="A342" s="8">
        <f>IF(ISNA(MATCH(329,Engine!$C$2:$C$1369,0)),"",INDEX('Compliance Database'!$A$2:$A$1369,MATCH(329,Engine!$C$2:$C$1369,0)))</f>
        <v/>
      </c>
      <c r="B342" s="8">
        <f>IF(ISNA(MATCH(329,Engine!$C$2:$C$1369,0)),"",INDEX('Compliance Database'!$B$2:$B$1369,MATCH(329,Engine!$C$2:$C$1369,0)))</f>
        <v/>
      </c>
      <c r="C342" s="8">
        <f>IF(ISNA(MATCH(329,Engine!$C$2:$C$1369,0)),"",INDEX('Compliance Database'!$C$2:$C$1369,MATCH(329,Engine!$C$2:$C$1369,0)))</f>
        <v/>
      </c>
      <c r="D342" s="9">
        <f>IF(ISNA(MATCH(329,Engine!$C$2:$C$1369,0)),"",INDEX('Compliance Database'!$D$2:$D$1369,MATCH(329,Engine!$C$2:$C$1369,0)))</f>
        <v/>
      </c>
      <c r="E342" s="8">
        <f>IF(ISNA(MATCH(329,Engine!$C$2:$C$1369,0)),"",INDEX('Compliance Database'!$E$2:$E$1369,MATCH(329,Engine!$C$2:$C$1369,0)))</f>
        <v/>
      </c>
      <c r="F342" s="8">
        <f>IF(ISNA(MATCH(329,Engine!$C$2:$C$1369,0)),"",INDEX('Compliance Database'!$F$2:$F$1369,MATCH(329,Engine!$C$2:$C$1369,0)))</f>
        <v/>
      </c>
      <c r="G342" s="8">
        <f>IF(ISNA(MATCH(329,Engine!$C$2:$C$1369,0)),"",INDEX('Compliance Database'!$G$2:$G$1369,MATCH(329,Engine!$C$2:$C$1369,0)))</f>
        <v/>
      </c>
      <c r="H342" s="9">
        <f>IF(ISNA(MATCH(329,Engine!$C$2:$C$1369,0)),"",INDEX('Compliance Database'!$H$2:$H$1369,MATCH(329,Engine!$C$2:$C$1369,0)))</f>
        <v/>
      </c>
      <c r="I342" s="9">
        <f>IF(ISNA(MATCH(329,Engine!$C$2:$C$1369,0)),"",INDEX('Compliance Database'!$I$2:$I$1369,MATCH(329,Engine!$C$2:$C$1369,0)))</f>
        <v/>
      </c>
      <c r="J342" s="8">
        <f>IF(ISNA(MATCH(329,Engine!$C$2:$C$1369,0)),"",INDEX('Compliance Database'!$J$2:$J$1369,MATCH(329,Engine!$C$2:$C$1369,0)))</f>
        <v/>
      </c>
      <c r="K342" s="9">
        <f>IF(ISNA(MATCH(329,Engine!$C$2:$C$1369,0)),"",INDEX('Compliance Database'!$K$2:$K$1369,MATCH(329,Engine!$C$2:$C$1369,0)))</f>
        <v/>
      </c>
      <c r="L342" s="9">
        <f>IF(ISNA(MATCH(329,Engine!$C$2:$C$1369,0)),"",INDEX('Compliance Database'!$L$2:$L$1369,MATCH(329,Engine!$C$2:$C$1369,0)))</f>
        <v/>
      </c>
      <c r="M342" s="9">
        <f>IF(ISNA(MATCH(329,Engine!$C$2:$C$1369,0)),"",INDEX('Compliance Database'!$M$2:$M$1369,MATCH(329,Engine!$C$2:$C$1369,0)))</f>
        <v/>
      </c>
      <c r="N342" s="9">
        <f>IF(ISNA(MATCH(329,Engine!$C$2:$C$1369,0)),"",INDEX('Compliance Database'!$N$2:$N$1369,MATCH(329,Engine!$C$2:$C$1369,0)))</f>
        <v/>
      </c>
      <c r="O342" s="8">
        <f>IF(ISNA(MATCH(329,Engine!$C$2:$C$1369,0)),"",HYPERLINK(INDEX('Compliance Database'!$O$2:$O$1369,MATCH(329,Engine!$C$2:$C$1369,0)),"Open PDF"))</f>
        <v/>
      </c>
    </row>
    <row r="343" ht="188" customHeight="1">
      <c r="A343" s="8">
        <f>IF(ISNA(MATCH(330,Engine!$C$2:$C$1369,0)),"",INDEX('Compliance Database'!$A$2:$A$1369,MATCH(330,Engine!$C$2:$C$1369,0)))</f>
        <v/>
      </c>
      <c r="B343" s="8">
        <f>IF(ISNA(MATCH(330,Engine!$C$2:$C$1369,0)),"",INDEX('Compliance Database'!$B$2:$B$1369,MATCH(330,Engine!$C$2:$C$1369,0)))</f>
        <v/>
      </c>
      <c r="C343" s="8">
        <f>IF(ISNA(MATCH(330,Engine!$C$2:$C$1369,0)),"",INDEX('Compliance Database'!$C$2:$C$1369,MATCH(330,Engine!$C$2:$C$1369,0)))</f>
        <v/>
      </c>
      <c r="D343" s="9">
        <f>IF(ISNA(MATCH(330,Engine!$C$2:$C$1369,0)),"",INDEX('Compliance Database'!$D$2:$D$1369,MATCH(330,Engine!$C$2:$C$1369,0)))</f>
        <v/>
      </c>
      <c r="E343" s="8">
        <f>IF(ISNA(MATCH(330,Engine!$C$2:$C$1369,0)),"",INDEX('Compliance Database'!$E$2:$E$1369,MATCH(330,Engine!$C$2:$C$1369,0)))</f>
        <v/>
      </c>
      <c r="F343" s="8">
        <f>IF(ISNA(MATCH(330,Engine!$C$2:$C$1369,0)),"",INDEX('Compliance Database'!$F$2:$F$1369,MATCH(330,Engine!$C$2:$C$1369,0)))</f>
        <v/>
      </c>
      <c r="G343" s="8">
        <f>IF(ISNA(MATCH(330,Engine!$C$2:$C$1369,0)),"",INDEX('Compliance Database'!$G$2:$G$1369,MATCH(330,Engine!$C$2:$C$1369,0)))</f>
        <v/>
      </c>
      <c r="H343" s="9">
        <f>IF(ISNA(MATCH(330,Engine!$C$2:$C$1369,0)),"",INDEX('Compliance Database'!$H$2:$H$1369,MATCH(330,Engine!$C$2:$C$1369,0)))</f>
        <v/>
      </c>
      <c r="I343" s="9">
        <f>IF(ISNA(MATCH(330,Engine!$C$2:$C$1369,0)),"",INDEX('Compliance Database'!$I$2:$I$1369,MATCH(330,Engine!$C$2:$C$1369,0)))</f>
        <v/>
      </c>
      <c r="J343" s="8">
        <f>IF(ISNA(MATCH(330,Engine!$C$2:$C$1369,0)),"",INDEX('Compliance Database'!$J$2:$J$1369,MATCH(330,Engine!$C$2:$C$1369,0)))</f>
        <v/>
      </c>
      <c r="K343" s="9">
        <f>IF(ISNA(MATCH(330,Engine!$C$2:$C$1369,0)),"",INDEX('Compliance Database'!$K$2:$K$1369,MATCH(330,Engine!$C$2:$C$1369,0)))</f>
        <v/>
      </c>
      <c r="L343" s="9">
        <f>IF(ISNA(MATCH(330,Engine!$C$2:$C$1369,0)),"",INDEX('Compliance Database'!$L$2:$L$1369,MATCH(330,Engine!$C$2:$C$1369,0)))</f>
        <v/>
      </c>
      <c r="M343" s="9">
        <f>IF(ISNA(MATCH(330,Engine!$C$2:$C$1369,0)),"",INDEX('Compliance Database'!$M$2:$M$1369,MATCH(330,Engine!$C$2:$C$1369,0)))</f>
        <v/>
      </c>
      <c r="N343" s="9">
        <f>IF(ISNA(MATCH(330,Engine!$C$2:$C$1369,0)),"",INDEX('Compliance Database'!$N$2:$N$1369,MATCH(330,Engine!$C$2:$C$1369,0)))</f>
        <v/>
      </c>
      <c r="O343" s="8">
        <f>IF(ISNA(MATCH(330,Engine!$C$2:$C$1369,0)),"",HYPERLINK(INDEX('Compliance Database'!$O$2:$O$1369,MATCH(330,Engine!$C$2:$C$1369,0)),"Open PDF"))</f>
        <v/>
      </c>
    </row>
    <row r="344" ht="188" customHeight="1">
      <c r="A344" s="8">
        <f>IF(ISNA(MATCH(331,Engine!$C$2:$C$1369,0)),"",INDEX('Compliance Database'!$A$2:$A$1369,MATCH(331,Engine!$C$2:$C$1369,0)))</f>
        <v/>
      </c>
      <c r="B344" s="8">
        <f>IF(ISNA(MATCH(331,Engine!$C$2:$C$1369,0)),"",INDEX('Compliance Database'!$B$2:$B$1369,MATCH(331,Engine!$C$2:$C$1369,0)))</f>
        <v/>
      </c>
      <c r="C344" s="8">
        <f>IF(ISNA(MATCH(331,Engine!$C$2:$C$1369,0)),"",INDEX('Compliance Database'!$C$2:$C$1369,MATCH(331,Engine!$C$2:$C$1369,0)))</f>
        <v/>
      </c>
      <c r="D344" s="9">
        <f>IF(ISNA(MATCH(331,Engine!$C$2:$C$1369,0)),"",INDEX('Compliance Database'!$D$2:$D$1369,MATCH(331,Engine!$C$2:$C$1369,0)))</f>
        <v/>
      </c>
      <c r="E344" s="8">
        <f>IF(ISNA(MATCH(331,Engine!$C$2:$C$1369,0)),"",INDEX('Compliance Database'!$E$2:$E$1369,MATCH(331,Engine!$C$2:$C$1369,0)))</f>
        <v/>
      </c>
      <c r="F344" s="8">
        <f>IF(ISNA(MATCH(331,Engine!$C$2:$C$1369,0)),"",INDEX('Compliance Database'!$F$2:$F$1369,MATCH(331,Engine!$C$2:$C$1369,0)))</f>
        <v/>
      </c>
      <c r="G344" s="8">
        <f>IF(ISNA(MATCH(331,Engine!$C$2:$C$1369,0)),"",INDEX('Compliance Database'!$G$2:$G$1369,MATCH(331,Engine!$C$2:$C$1369,0)))</f>
        <v/>
      </c>
      <c r="H344" s="9">
        <f>IF(ISNA(MATCH(331,Engine!$C$2:$C$1369,0)),"",INDEX('Compliance Database'!$H$2:$H$1369,MATCH(331,Engine!$C$2:$C$1369,0)))</f>
        <v/>
      </c>
      <c r="I344" s="9">
        <f>IF(ISNA(MATCH(331,Engine!$C$2:$C$1369,0)),"",INDEX('Compliance Database'!$I$2:$I$1369,MATCH(331,Engine!$C$2:$C$1369,0)))</f>
        <v/>
      </c>
      <c r="J344" s="8">
        <f>IF(ISNA(MATCH(331,Engine!$C$2:$C$1369,0)),"",INDEX('Compliance Database'!$J$2:$J$1369,MATCH(331,Engine!$C$2:$C$1369,0)))</f>
        <v/>
      </c>
      <c r="K344" s="9">
        <f>IF(ISNA(MATCH(331,Engine!$C$2:$C$1369,0)),"",INDEX('Compliance Database'!$K$2:$K$1369,MATCH(331,Engine!$C$2:$C$1369,0)))</f>
        <v/>
      </c>
      <c r="L344" s="9">
        <f>IF(ISNA(MATCH(331,Engine!$C$2:$C$1369,0)),"",INDEX('Compliance Database'!$L$2:$L$1369,MATCH(331,Engine!$C$2:$C$1369,0)))</f>
        <v/>
      </c>
      <c r="M344" s="9">
        <f>IF(ISNA(MATCH(331,Engine!$C$2:$C$1369,0)),"",INDEX('Compliance Database'!$M$2:$M$1369,MATCH(331,Engine!$C$2:$C$1369,0)))</f>
        <v/>
      </c>
      <c r="N344" s="9">
        <f>IF(ISNA(MATCH(331,Engine!$C$2:$C$1369,0)),"",INDEX('Compliance Database'!$N$2:$N$1369,MATCH(331,Engine!$C$2:$C$1369,0)))</f>
        <v/>
      </c>
      <c r="O344" s="8">
        <f>IF(ISNA(MATCH(331,Engine!$C$2:$C$1369,0)),"",HYPERLINK(INDEX('Compliance Database'!$O$2:$O$1369,MATCH(331,Engine!$C$2:$C$1369,0)),"Open PDF"))</f>
        <v/>
      </c>
    </row>
    <row r="345" ht="188" customHeight="1">
      <c r="A345" s="8">
        <f>IF(ISNA(MATCH(332,Engine!$C$2:$C$1369,0)),"",INDEX('Compliance Database'!$A$2:$A$1369,MATCH(332,Engine!$C$2:$C$1369,0)))</f>
        <v/>
      </c>
      <c r="B345" s="8">
        <f>IF(ISNA(MATCH(332,Engine!$C$2:$C$1369,0)),"",INDEX('Compliance Database'!$B$2:$B$1369,MATCH(332,Engine!$C$2:$C$1369,0)))</f>
        <v/>
      </c>
      <c r="C345" s="8">
        <f>IF(ISNA(MATCH(332,Engine!$C$2:$C$1369,0)),"",INDEX('Compliance Database'!$C$2:$C$1369,MATCH(332,Engine!$C$2:$C$1369,0)))</f>
        <v/>
      </c>
      <c r="D345" s="9">
        <f>IF(ISNA(MATCH(332,Engine!$C$2:$C$1369,0)),"",INDEX('Compliance Database'!$D$2:$D$1369,MATCH(332,Engine!$C$2:$C$1369,0)))</f>
        <v/>
      </c>
      <c r="E345" s="8">
        <f>IF(ISNA(MATCH(332,Engine!$C$2:$C$1369,0)),"",INDEX('Compliance Database'!$E$2:$E$1369,MATCH(332,Engine!$C$2:$C$1369,0)))</f>
        <v/>
      </c>
      <c r="F345" s="8">
        <f>IF(ISNA(MATCH(332,Engine!$C$2:$C$1369,0)),"",INDEX('Compliance Database'!$F$2:$F$1369,MATCH(332,Engine!$C$2:$C$1369,0)))</f>
        <v/>
      </c>
      <c r="G345" s="8">
        <f>IF(ISNA(MATCH(332,Engine!$C$2:$C$1369,0)),"",INDEX('Compliance Database'!$G$2:$G$1369,MATCH(332,Engine!$C$2:$C$1369,0)))</f>
        <v/>
      </c>
      <c r="H345" s="9">
        <f>IF(ISNA(MATCH(332,Engine!$C$2:$C$1369,0)),"",INDEX('Compliance Database'!$H$2:$H$1369,MATCH(332,Engine!$C$2:$C$1369,0)))</f>
        <v/>
      </c>
      <c r="I345" s="9">
        <f>IF(ISNA(MATCH(332,Engine!$C$2:$C$1369,0)),"",INDEX('Compliance Database'!$I$2:$I$1369,MATCH(332,Engine!$C$2:$C$1369,0)))</f>
        <v/>
      </c>
      <c r="J345" s="8">
        <f>IF(ISNA(MATCH(332,Engine!$C$2:$C$1369,0)),"",INDEX('Compliance Database'!$J$2:$J$1369,MATCH(332,Engine!$C$2:$C$1369,0)))</f>
        <v/>
      </c>
      <c r="K345" s="9">
        <f>IF(ISNA(MATCH(332,Engine!$C$2:$C$1369,0)),"",INDEX('Compliance Database'!$K$2:$K$1369,MATCH(332,Engine!$C$2:$C$1369,0)))</f>
        <v/>
      </c>
      <c r="L345" s="9">
        <f>IF(ISNA(MATCH(332,Engine!$C$2:$C$1369,0)),"",INDEX('Compliance Database'!$L$2:$L$1369,MATCH(332,Engine!$C$2:$C$1369,0)))</f>
        <v/>
      </c>
      <c r="M345" s="9">
        <f>IF(ISNA(MATCH(332,Engine!$C$2:$C$1369,0)),"",INDEX('Compliance Database'!$M$2:$M$1369,MATCH(332,Engine!$C$2:$C$1369,0)))</f>
        <v/>
      </c>
      <c r="N345" s="9">
        <f>IF(ISNA(MATCH(332,Engine!$C$2:$C$1369,0)),"",INDEX('Compliance Database'!$N$2:$N$1369,MATCH(332,Engine!$C$2:$C$1369,0)))</f>
        <v/>
      </c>
      <c r="O345" s="8">
        <f>IF(ISNA(MATCH(332,Engine!$C$2:$C$1369,0)),"",HYPERLINK(INDEX('Compliance Database'!$O$2:$O$1369,MATCH(332,Engine!$C$2:$C$1369,0)),"Open PDF"))</f>
        <v/>
      </c>
    </row>
    <row r="346" ht="188" customHeight="1">
      <c r="A346" s="8">
        <f>IF(ISNA(MATCH(333,Engine!$C$2:$C$1369,0)),"",INDEX('Compliance Database'!$A$2:$A$1369,MATCH(333,Engine!$C$2:$C$1369,0)))</f>
        <v/>
      </c>
      <c r="B346" s="8">
        <f>IF(ISNA(MATCH(333,Engine!$C$2:$C$1369,0)),"",INDEX('Compliance Database'!$B$2:$B$1369,MATCH(333,Engine!$C$2:$C$1369,0)))</f>
        <v/>
      </c>
      <c r="C346" s="8">
        <f>IF(ISNA(MATCH(333,Engine!$C$2:$C$1369,0)),"",INDEX('Compliance Database'!$C$2:$C$1369,MATCH(333,Engine!$C$2:$C$1369,0)))</f>
        <v/>
      </c>
      <c r="D346" s="9">
        <f>IF(ISNA(MATCH(333,Engine!$C$2:$C$1369,0)),"",INDEX('Compliance Database'!$D$2:$D$1369,MATCH(333,Engine!$C$2:$C$1369,0)))</f>
        <v/>
      </c>
      <c r="E346" s="8">
        <f>IF(ISNA(MATCH(333,Engine!$C$2:$C$1369,0)),"",INDEX('Compliance Database'!$E$2:$E$1369,MATCH(333,Engine!$C$2:$C$1369,0)))</f>
        <v/>
      </c>
      <c r="F346" s="8">
        <f>IF(ISNA(MATCH(333,Engine!$C$2:$C$1369,0)),"",INDEX('Compliance Database'!$F$2:$F$1369,MATCH(333,Engine!$C$2:$C$1369,0)))</f>
        <v/>
      </c>
      <c r="G346" s="8">
        <f>IF(ISNA(MATCH(333,Engine!$C$2:$C$1369,0)),"",INDEX('Compliance Database'!$G$2:$G$1369,MATCH(333,Engine!$C$2:$C$1369,0)))</f>
        <v/>
      </c>
      <c r="H346" s="9">
        <f>IF(ISNA(MATCH(333,Engine!$C$2:$C$1369,0)),"",INDEX('Compliance Database'!$H$2:$H$1369,MATCH(333,Engine!$C$2:$C$1369,0)))</f>
        <v/>
      </c>
      <c r="I346" s="9">
        <f>IF(ISNA(MATCH(333,Engine!$C$2:$C$1369,0)),"",INDEX('Compliance Database'!$I$2:$I$1369,MATCH(333,Engine!$C$2:$C$1369,0)))</f>
        <v/>
      </c>
      <c r="J346" s="8">
        <f>IF(ISNA(MATCH(333,Engine!$C$2:$C$1369,0)),"",INDEX('Compliance Database'!$J$2:$J$1369,MATCH(333,Engine!$C$2:$C$1369,0)))</f>
        <v/>
      </c>
      <c r="K346" s="9">
        <f>IF(ISNA(MATCH(333,Engine!$C$2:$C$1369,0)),"",INDEX('Compliance Database'!$K$2:$K$1369,MATCH(333,Engine!$C$2:$C$1369,0)))</f>
        <v/>
      </c>
      <c r="L346" s="9">
        <f>IF(ISNA(MATCH(333,Engine!$C$2:$C$1369,0)),"",INDEX('Compliance Database'!$L$2:$L$1369,MATCH(333,Engine!$C$2:$C$1369,0)))</f>
        <v/>
      </c>
      <c r="M346" s="9">
        <f>IF(ISNA(MATCH(333,Engine!$C$2:$C$1369,0)),"",INDEX('Compliance Database'!$M$2:$M$1369,MATCH(333,Engine!$C$2:$C$1369,0)))</f>
        <v/>
      </c>
      <c r="N346" s="9">
        <f>IF(ISNA(MATCH(333,Engine!$C$2:$C$1369,0)),"",INDEX('Compliance Database'!$N$2:$N$1369,MATCH(333,Engine!$C$2:$C$1369,0)))</f>
        <v/>
      </c>
      <c r="O346" s="8">
        <f>IF(ISNA(MATCH(333,Engine!$C$2:$C$1369,0)),"",HYPERLINK(INDEX('Compliance Database'!$O$2:$O$1369,MATCH(333,Engine!$C$2:$C$1369,0)),"Open PDF"))</f>
        <v/>
      </c>
    </row>
    <row r="347" ht="188" customHeight="1">
      <c r="A347" s="8">
        <f>IF(ISNA(MATCH(334,Engine!$C$2:$C$1369,0)),"",INDEX('Compliance Database'!$A$2:$A$1369,MATCH(334,Engine!$C$2:$C$1369,0)))</f>
        <v/>
      </c>
      <c r="B347" s="8">
        <f>IF(ISNA(MATCH(334,Engine!$C$2:$C$1369,0)),"",INDEX('Compliance Database'!$B$2:$B$1369,MATCH(334,Engine!$C$2:$C$1369,0)))</f>
        <v/>
      </c>
      <c r="C347" s="8">
        <f>IF(ISNA(MATCH(334,Engine!$C$2:$C$1369,0)),"",INDEX('Compliance Database'!$C$2:$C$1369,MATCH(334,Engine!$C$2:$C$1369,0)))</f>
        <v/>
      </c>
      <c r="D347" s="9">
        <f>IF(ISNA(MATCH(334,Engine!$C$2:$C$1369,0)),"",INDEX('Compliance Database'!$D$2:$D$1369,MATCH(334,Engine!$C$2:$C$1369,0)))</f>
        <v/>
      </c>
      <c r="E347" s="8">
        <f>IF(ISNA(MATCH(334,Engine!$C$2:$C$1369,0)),"",INDEX('Compliance Database'!$E$2:$E$1369,MATCH(334,Engine!$C$2:$C$1369,0)))</f>
        <v/>
      </c>
      <c r="F347" s="8">
        <f>IF(ISNA(MATCH(334,Engine!$C$2:$C$1369,0)),"",INDEX('Compliance Database'!$F$2:$F$1369,MATCH(334,Engine!$C$2:$C$1369,0)))</f>
        <v/>
      </c>
      <c r="G347" s="8">
        <f>IF(ISNA(MATCH(334,Engine!$C$2:$C$1369,0)),"",INDEX('Compliance Database'!$G$2:$G$1369,MATCH(334,Engine!$C$2:$C$1369,0)))</f>
        <v/>
      </c>
      <c r="H347" s="9">
        <f>IF(ISNA(MATCH(334,Engine!$C$2:$C$1369,0)),"",INDEX('Compliance Database'!$H$2:$H$1369,MATCH(334,Engine!$C$2:$C$1369,0)))</f>
        <v/>
      </c>
      <c r="I347" s="9">
        <f>IF(ISNA(MATCH(334,Engine!$C$2:$C$1369,0)),"",INDEX('Compliance Database'!$I$2:$I$1369,MATCH(334,Engine!$C$2:$C$1369,0)))</f>
        <v/>
      </c>
      <c r="J347" s="8">
        <f>IF(ISNA(MATCH(334,Engine!$C$2:$C$1369,0)),"",INDEX('Compliance Database'!$J$2:$J$1369,MATCH(334,Engine!$C$2:$C$1369,0)))</f>
        <v/>
      </c>
      <c r="K347" s="9">
        <f>IF(ISNA(MATCH(334,Engine!$C$2:$C$1369,0)),"",INDEX('Compliance Database'!$K$2:$K$1369,MATCH(334,Engine!$C$2:$C$1369,0)))</f>
        <v/>
      </c>
      <c r="L347" s="9">
        <f>IF(ISNA(MATCH(334,Engine!$C$2:$C$1369,0)),"",INDEX('Compliance Database'!$L$2:$L$1369,MATCH(334,Engine!$C$2:$C$1369,0)))</f>
        <v/>
      </c>
      <c r="M347" s="9">
        <f>IF(ISNA(MATCH(334,Engine!$C$2:$C$1369,0)),"",INDEX('Compliance Database'!$M$2:$M$1369,MATCH(334,Engine!$C$2:$C$1369,0)))</f>
        <v/>
      </c>
      <c r="N347" s="9">
        <f>IF(ISNA(MATCH(334,Engine!$C$2:$C$1369,0)),"",INDEX('Compliance Database'!$N$2:$N$1369,MATCH(334,Engine!$C$2:$C$1369,0)))</f>
        <v/>
      </c>
      <c r="O347" s="8">
        <f>IF(ISNA(MATCH(334,Engine!$C$2:$C$1369,0)),"",HYPERLINK(INDEX('Compliance Database'!$O$2:$O$1369,MATCH(334,Engine!$C$2:$C$1369,0)),"Open PDF"))</f>
        <v/>
      </c>
    </row>
    <row r="348" ht="188" customHeight="1">
      <c r="A348" s="8">
        <f>IF(ISNA(MATCH(335,Engine!$C$2:$C$1369,0)),"",INDEX('Compliance Database'!$A$2:$A$1369,MATCH(335,Engine!$C$2:$C$1369,0)))</f>
        <v/>
      </c>
      <c r="B348" s="8">
        <f>IF(ISNA(MATCH(335,Engine!$C$2:$C$1369,0)),"",INDEX('Compliance Database'!$B$2:$B$1369,MATCH(335,Engine!$C$2:$C$1369,0)))</f>
        <v/>
      </c>
      <c r="C348" s="8">
        <f>IF(ISNA(MATCH(335,Engine!$C$2:$C$1369,0)),"",INDEX('Compliance Database'!$C$2:$C$1369,MATCH(335,Engine!$C$2:$C$1369,0)))</f>
        <v/>
      </c>
      <c r="D348" s="9">
        <f>IF(ISNA(MATCH(335,Engine!$C$2:$C$1369,0)),"",INDEX('Compliance Database'!$D$2:$D$1369,MATCH(335,Engine!$C$2:$C$1369,0)))</f>
        <v/>
      </c>
      <c r="E348" s="8">
        <f>IF(ISNA(MATCH(335,Engine!$C$2:$C$1369,0)),"",INDEX('Compliance Database'!$E$2:$E$1369,MATCH(335,Engine!$C$2:$C$1369,0)))</f>
        <v/>
      </c>
      <c r="F348" s="8">
        <f>IF(ISNA(MATCH(335,Engine!$C$2:$C$1369,0)),"",INDEX('Compliance Database'!$F$2:$F$1369,MATCH(335,Engine!$C$2:$C$1369,0)))</f>
        <v/>
      </c>
      <c r="G348" s="8">
        <f>IF(ISNA(MATCH(335,Engine!$C$2:$C$1369,0)),"",INDEX('Compliance Database'!$G$2:$G$1369,MATCH(335,Engine!$C$2:$C$1369,0)))</f>
        <v/>
      </c>
      <c r="H348" s="9">
        <f>IF(ISNA(MATCH(335,Engine!$C$2:$C$1369,0)),"",INDEX('Compliance Database'!$H$2:$H$1369,MATCH(335,Engine!$C$2:$C$1369,0)))</f>
        <v/>
      </c>
      <c r="I348" s="9">
        <f>IF(ISNA(MATCH(335,Engine!$C$2:$C$1369,0)),"",INDEX('Compliance Database'!$I$2:$I$1369,MATCH(335,Engine!$C$2:$C$1369,0)))</f>
        <v/>
      </c>
      <c r="J348" s="8">
        <f>IF(ISNA(MATCH(335,Engine!$C$2:$C$1369,0)),"",INDEX('Compliance Database'!$J$2:$J$1369,MATCH(335,Engine!$C$2:$C$1369,0)))</f>
        <v/>
      </c>
      <c r="K348" s="9">
        <f>IF(ISNA(MATCH(335,Engine!$C$2:$C$1369,0)),"",INDEX('Compliance Database'!$K$2:$K$1369,MATCH(335,Engine!$C$2:$C$1369,0)))</f>
        <v/>
      </c>
      <c r="L348" s="9">
        <f>IF(ISNA(MATCH(335,Engine!$C$2:$C$1369,0)),"",INDEX('Compliance Database'!$L$2:$L$1369,MATCH(335,Engine!$C$2:$C$1369,0)))</f>
        <v/>
      </c>
      <c r="M348" s="9">
        <f>IF(ISNA(MATCH(335,Engine!$C$2:$C$1369,0)),"",INDEX('Compliance Database'!$M$2:$M$1369,MATCH(335,Engine!$C$2:$C$1369,0)))</f>
        <v/>
      </c>
      <c r="N348" s="9">
        <f>IF(ISNA(MATCH(335,Engine!$C$2:$C$1369,0)),"",INDEX('Compliance Database'!$N$2:$N$1369,MATCH(335,Engine!$C$2:$C$1369,0)))</f>
        <v/>
      </c>
      <c r="O348" s="8">
        <f>IF(ISNA(MATCH(335,Engine!$C$2:$C$1369,0)),"",HYPERLINK(INDEX('Compliance Database'!$O$2:$O$1369,MATCH(335,Engine!$C$2:$C$1369,0)),"Open PDF"))</f>
        <v/>
      </c>
    </row>
    <row r="349" ht="188" customHeight="1">
      <c r="A349" s="8">
        <f>IF(ISNA(MATCH(336,Engine!$C$2:$C$1369,0)),"",INDEX('Compliance Database'!$A$2:$A$1369,MATCH(336,Engine!$C$2:$C$1369,0)))</f>
        <v/>
      </c>
      <c r="B349" s="8">
        <f>IF(ISNA(MATCH(336,Engine!$C$2:$C$1369,0)),"",INDEX('Compliance Database'!$B$2:$B$1369,MATCH(336,Engine!$C$2:$C$1369,0)))</f>
        <v/>
      </c>
      <c r="C349" s="8">
        <f>IF(ISNA(MATCH(336,Engine!$C$2:$C$1369,0)),"",INDEX('Compliance Database'!$C$2:$C$1369,MATCH(336,Engine!$C$2:$C$1369,0)))</f>
        <v/>
      </c>
      <c r="D349" s="9">
        <f>IF(ISNA(MATCH(336,Engine!$C$2:$C$1369,0)),"",INDEX('Compliance Database'!$D$2:$D$1369,MATCH(336,Engine!$C$2:$C$1369,0)))</f>
        <v/>
      </c>
      <c r="E349" s="8">
        <f>IF(ISNA(MATCH(336,Engine!$C$2:$C$1369,0)),"",INDEX('Compliance Database'!$E$2:$E$1369,MATCH(336,Engine!$C$2:$C$1369,0)))</f>
        <v/>
      </c>
      <c r="F349" s="8">
        <f>IF(ISNA(MATCH(336,Engine!$C$2:$C$1369,0)),"",INDEX('Compliance Database'!$F$2:$F$1369,MATCH(336,Engine!$C$2:$C$1369,0)))</f>
        <v/>
      </c>
      <c r="G349" s="8">
        <f>IF(ISNA(MATCH(336,Engine!$C$2:$C$1369,0)),"",INDEX('Compliance Database'!$G$2:$G$1369,MATCH(336,Engine!$C$2:$C$1369,0)))</f>
        <v/>
      </c>
      <c r="H349" s="9">
        <f>IF(ISNA(MATCH(336,Engine!$C$2:$C$1369,0)),"",INDEX('Compliance Database'!$H$2:$H$1369,MATCH(336,Engine!$C$2:$C$1369,0)))</f>
        <v/>
      </c>
      <c r="I349" s="9">
        <f>IF(ISNA(MATCH(336,Engine!$C$2:$C$1369,0)),"",INDEX('Compliance Database'!$I$2:$I$1369,MATCH(336,Engine!$C$2:$C$1369,0)))</f>
        <v/>
      </c>
      <c r="J349" s="8">
        <f>IF(ISNA(MATCH(336,Engine!$C$2:$C$1369,0)),"",INDEX('Compliance Database'!$J$2:$J$1369,MATCH(336,Engine!$C$2:$C$1369,0)))</f>
        <v/>
      </c>
      <c r="K349" s="9">
        <f>IF(ISNA(MATCH(336,Engine!$C$2:$C$1369,0)),"",INDEX('Compliance Database'!$K$2:$K$1369,MATCH(336,Engine!$C$2:$C$1369,0)))</f>
        <v/>
      </c>
      <c r="L349" s="9">
        <f>IF(ISNA(MATCH(336,Engine!$C$2:$C$1369,0)),"",INDEX('Compliance Database'!$L$2:$L$1369,MATCH(336,Engine!$C$2:$C$1369,0)))</f>
        <v/>
      </c>
      <c r="M349" s="9">
        <f>IF(ISNA(MATCH(336,Engine!$C$2:$C$1369,0)),"",INDEX('Compliance Database'!$M$2:$M$1369,MATCH(336,Engine!$C$2:$C$1369,0)))</f>
        <v/>
      </c>
      <c r="N349" s="9">
        <f>IF(ISNA(MATCH(336,Engine!$C$2:$C$1369,0)),"",INDEX('Compliance Database'!$N$2:$N$1369,MATCH(336,Engine!$C$2:$C$1369,0)))</f>
        <v/>
      </c>
      <c r="O349" s="8">
        <f>IF(ISNA(MATCH(336,Engine!$C$2:$C$1369,0)),"",HYPERLINK(INDEX('Compliance Database'!$O$2:$O$1369,MATCH(336,Engine!$C$2:$C$1369,0)),"Open PDF"))</f>
        <v/>
      </c>
    </row>
    <row r="350" ht="188" customHeight="1">
      <c r="A350" s="8">
        <f>IF(ISNA(MATCH(337,Engine!$C$2:$C$1369,0)),"",INDEX('Compliance Database'!$A$2:$A$1369,MATCH(337,Engine!$C$2:$C$1369,0)))</f>
        <v/>
      </c>
      <c r="B350" s="8">
        <f>IF(ISNA(MATCH(337,Engine!$C$2:$C$1369,0)),"",INDEX('Compliance Database'!$B$2:$B$1369,MATCH(337,Engine!$C$2:$C$1369,0)))</f>
        <v/>
      </c>
      <c r="C350" s="8">
        <f>IF(ISNA(MATCH(337,Engine!$C$2:$C$1369,0)),"",INDEX('Compliance Database'!$C$2:$C$1369,MATCH(337,Engine!$C$2:$C$1369,0)))</f>
        <v/>
      </c>
      <c r="D350" s="9">
        <f>IF(ISNA(MATCH(337,Engine!$C$2:$C$1369,0)),"",INDEX('Compliance Database'!$D$2:$D$1369,MATCH(337,Engine!$C$2:$C$1369,0)))</f>
        <v/>
      </c>
      <c r="E350" s="8">
        <f>IF(ISNA(MATCH(337,Engine!$C$2:$C$1369,0)),"",INDEX('Compliance Database'!$E$2:$E$1369,MATCH(337,Engine!$C$2:$C$1369,0)))</f>
        <v/>
      </c>
      <c r="F350" s="8">
        <f>IF(ISNA(MATCH(337,Engine!$C$2:$C$1369,0)),"",INDEX('Compliance Database'!$F$2:$F$1369,MATCH(337,Engine!$C$2:$C$1369,0)))</f>
        <v/>
      </c>
      <c r="G350" s="8">
        <f>IF(ISNA(MATCH(337,Engine!$C$2:$C$1369,0)),"",INDEX('Compliance Database'!$G$2:$G$1369,MATCH(337,Engine!$C$2:$C$1369,0)))</f>
        <v/>
      </c>
      <c r="H350" s="9">
        <f>IF(ISNA(MATCH(337,Engine!$C$2:$C$1369,0)),"",INDEX('Compliance Database'!$H$2:$H$1369,MATCH(337,Engine!$C$2:$C$1369,0)))</f>
        <v/>
      </c>
      <c r="I350" s="9">
        <f>IF(ISNA(MATCH(337,Engine!$C$2:$C$1369,0)),"",INDEX('Compliance Database'!$I$2:$I$1369,MATCH(337,Engine!$C$2:$C$1369,0)))</f>
        <v/>
      </c>
      <c r="J350" s="8">
        <f>IF(ISNA(MATCH(337,Engine!$C$2:$C$1369,0)),"",INDEX('Compliance Database'!$J$2:$J$1369,MATCH(337,Engine!$C$2:$C$1369,0)))</f>
        <v/>
      </c>
      <c r="K350" s="9">
        <f>IF(ISNA(MATCH(337,Engine!$C$2:$C$1369,0)),"",INDEX('Compliance Database'!$K$2:$K$1369,MATCH(337,Engine!$C$2:$C$1369,0)))</f>
        <v/>
      </c>
      <c r="L350" s="9">
        <f>IF(ISNA(MATCH(337,Engine!$C$2:$C$1369,0)),"",INDEX('Compliance Database'!$L$2:$L$1369,MATCH(337,Engine!$C$2:$C$1369,0)))</f>
        <v/>
      </c>
      <c r="M350" s="9">
        <f>IF(ISNA(MATCH(337,Engine!$C$2:$C$1369,0)),"",INDEX('Compliance Database'!$M$2:$M$1369,MATCH(337,Engine!$C$2:$C$1369,0)))</f>
        <v/>
      </c>
      <c r="N350" s="9">
        <f>IF(ISNA(MATCH(337,Engine!$C$2:$C$1369,0)),"",INDEX('Compliance Database'!$N$2:$N$1369,MATCH(337,Engine!$C$2:$C$1369,0)))</f>
        <v/>
      </c>
      <c r="O350" s="8">
        <f>IF(ISNA(MATCH(337,Engine!$C$2:$C$1369,0)),"",HYPERLINK(INDEX('Compliance Database'!$O$2:$O$1369,MATCH(337,Engine!$C$2:$C$1369,0)),"Open PDF"))</f>
        <v/>
      </c>
    </row>
    <row r="351" ht="188" customHeight="1">
      <c r="A351" s="8">
        <f>IF(ISNA(MATCH(338,Engine!$C$2:$C$1369,0)),"",INDEX('Compliance Database'!$A$2:$A$1369,MATCH(338,Engine!$C$2:$C$1369,0)))</f>
        <v/>
      </c>
      <c r="B351" s="8">
        <f>IF(ISNA(MATCH(338,Engine!$C$2:$C$1369,0)),"",INDEX('Compliance Database'!$B$2:$B$1369,MATCH(338,Engine!$C$2:$C$1369,0)))</f>
        <v/>
      </c>
      <c r="C351" s="8">
        <f>IF(ISNA(MATCH(338,Engine!$C$2:$C$1369,0)),"",INDEX('Compliance Database'!$C$2:$C$1369,MATCH(338,Engine!$C$2:$C$1369,0)))</f>
        <v/>
      </c>
      <c r="D351" s="9">
        <f>IF(ISNA(MATCH(338,Engine!$C$2:$C$1369,0)),"",INDEX('Compliance Database'!$D$2:$D$1369,MATCH(338,Engine!$C$2:$C$1369,0)))</f>
        <v/>
      </c>
      <c r="E351" s="8">
        <f>IF(ISNA(MATCH(338,Engine!$C$2:$C$1369,0)),"",INDEX('Compliance Database'!$E$2:$E$1369,MATCH(338,Engine!$C$2:$C$1369,0)))</f>
        <v/>
      </c>
      <c r="F351" s="8">
        <f>IF(ISNA(MATCH(338,Engine!$C$2:$C$1369,0)),"",INDEX('Compliance Database'!$F$2:$F$1369,MATCH(338,Engine!$C$2:$C$1369,0)))</f>
        <v/>
      </c>
      <c r="G351" s="8">
        <f>IF(ISNA(MATCH(338,Engine!$C$2:$C$1369,0)),"",INDEX('Compliance Database'!$G$2:$G$1369,MATCH(338,Engine!$C$2:$C$1369,0)))</f>
        <v/>
      </c>
      <c r="H351" s="9">
        <f>IF(ISNA(MATCH(338,Engine!$C$2:$C$1369,0)),"",INDEX('Compliance Database'!$H$2:$H$1369,MATCH(338,Engine!$C$2:$C$1369,0)))</f>
        <v/>
      </c>
      <c r="I351" s="9">
        <f>IF(ISNA(MATCH(338,Engine!$C$2:$C$1369,0)),"",INDEX('Compliance Database'!$I$2:$I$1369,MATCH(338,Engine!$C$2:$C$1369,0)))</f>
        <v/>
      </c>
      <c r="J351" s="8">
        <f>IF(ISNA(MATCH(338,Engine!$C$2:$C$1369,0)),"",INDEX('Compliance Database'!$J$2:$J$1369,MATCH(338,Engine!$C$2:$C$1369,0)))</f>
        <v/>
      </c>
      <c r="K351" s="9">
        <f>IF(ISNA(MATCH(338,Engine!$C$2:$C$1369,0)),"",INDEX('Compliance Database'!$K$2:$K$1369,MATCH(338,Engine!$C$2:$C$1369,0)))</f>
        <v/>
      </c>
      <c r="L351" s="9">
        <f>IF(ISNA(MATCH(338,Engine!$C$2:$C$1369,0)),"",INDEX('Compliance Database'!$L$2:$L$1369,MATCH(338,Engine!$C$2:$C$1369,0)))</f>
        <v/>
      </c>
      <c r="M351" s="9">
        <f>IF(ISNA(MATCH(338,Engine!$C$2:$C$1369,0)),"",INDEX('Compliance Database'!$M$2:$M$1369,MATCH(338,Engine!$C$2:$C$1369,0)))</f>
        <v/>
      </c>
      <c r="N351" s="9">
        <f>IF(ISNA(MATCH(338,Engine!$C$2:$C$1369,0)),"",INDEX('Compliance Database'!$N$2:$N$1369,MATCH(338,Engine!$C$2:$C$1369,0)))</f>
        <v/>
      </c>
      <c r="O351" s="8">
        <f>IF(ISNA(MATCH(338,Engine!$C$2:$C$1369,0)),"",HYPERLINK(INDEX('Compliance Database'!$O$2:$O$1369,MATCH(338,Engine!$C$2:$C$1369,0)),"Open PDF"))</f>
        <v/>
      </c>
    </row>
    <row r="352" ht="188" customHeight="1">
      <c r="A352" s="8">
        <f>IF(ISNA(MATCH(339,Engine!$C$2:$C$1369,0)),"",INDEX('Compliance Database'!$A$2:$A$1369,MATCH(339,Engine!$C$2:$C$1369,0)))</f>
        <v/>
      </c>
      <c r="B352" s="8">
        <f>IF(ISNA(MATCH(339,Engine!$C$2:$C$1369,0)),"",INDEX('Compliance Database'!$B$2:$B$1369,MATCH(339,Engine!$C$2:$C$1369,0)))</f>
        <v/>
      </c>
      <c r="C352" s="8">
        <f>IF(ISNA(MATCH(339,Engine!$C$2:$C$1369,0)),"",INDEX('Compliance Database'!$C$2:$C$1369,MATCH(339,Engine!$C$2:$C$1369,0)))</f>
        <v/>
      </c>
      <c r="D352" s="9">
        <f>IF(ISNA(MATCH(339,Engine!$C$2:$C$1369,0)),"",INDEX('Compliance Database'!$D$2:$D$1369,MATCH(339,Engine!$C$2:$C$1369,0)))</f>
        <v/>
      </c>
      <c r="E352" s="8">
        <f>IF(ISNA(MATCH(339,Engine!$C$2:$C$1369,0)),"",INDEX('Compliance Database'!$E$2:$E$1369,MATCH(339,Engine!$C$2:$C$1369,0)))</f>
        <v/>
      </c>
      <c r="F352" s="8">
        <f>IF(ISNA(MATCH(339,Engine!$C$2:$C$1369,0)),"",INDEX('Compliance Database'!$F$2:$F$1369,MATCH(339,Engine!$C$2:$C$1369,0)))</f>
        <v/>
      </c>
      <c r="G352" s="8">
        <f>IF(ISNA(MATCH(339,Engine!$C$2:$C$1369,0)),"",INDEX('Compliance Database'!$G$2:$G$1369,MATCH(339,Engine!$C$2:$C$1369,0)))</f>
        <v/>
      </c>
      <c r="H352" s="9">
        <f>IF(ISNA(MATCH(339,Engine!$C$2:$C$1369,0)),"",INDEX('Compliance Database'!$H$2:$H$1369,MATCH(339,Engine!$C$2:$C$1369,0)))</f>
        <v/>
      </c>
      <c r="I352" s="9">
        <f>IF(ISNA(MATCH(339,Engine!$C$2:$C$1369,0)),"",INDEX('Compliance Database'!$I$2:$I$1369,MATCH(339,Engine!$C$2:$C$1369,0)))</f>
        <v/>
      </c>
      <c r="J352" s="8">
        <f>IF(ISNA(MATCH(339,Engine!$C$2:$C$1369,0)),"",INDEX('Compliance Database'!$J$2:$J$1369,MATCH(339,Engine!$C$2:$C$1369,0)))</f>
        <v/>
      </c>
      <c r="K352" s="9">
        <f>IF(ISNA(MATCH(339,Engine!$C$2:$C$1369,0)),"",INDEX('Compliance Database'!$K$2:$K$1369,MATCH(339,Engine!$C$2:$C$1369,0)))</f>
        <v/>
      </c>
      <c r="L352" s="9">
        <f>IF(ISNA(MATCH(339,Engine!$C$2:$C$1369,0)),"",INDEX('Compliance Database'!$L$2:$L$1369,MATCH(339,Engine!$C$2:$C$1369,0)))</f>
        <v/>
      </c>
      <c r="M352" s="9">
        <f>IF(ISNA(MATCH(339,Engine!$C$2:$C$1369,0)),"",INDEX('Compliance Database'!$M$2:$M$1369,MATCH(339,Engine!$C$2:$C$1369,0)))</f>
        <v/>
      </c>
      <c r="N352" s="9">
        <f>IF(ISNA(MATCH(339,Engine!$C$2:$C$1369,0)),"",INDEX('Compliance Database'!$N$2:$N$1369,MATCH(339,Engine!$C$2:$C$1369,0)))</f>
        <v/>
      </c>
      <c r="O352" s="8">
        <f>IF(ISNA(MATCH(339,Engine!$C$2:$C$1369,0)),"",HYPERLINK(INDEX('Compliance Database'!$O$2:$O$1369,MATCH(339,Engine!$C$2:$C$1369,0)),"Open PDF"))</f>
        <v/>
      </c>
    </row>
    <row r="353" ht="188" customHeight="1">
      <c r="A353" s="8">
        <f>IF(ISNA(MATCH(340,Engine!$C$2:$C$1369,0)),"",INDEX('Compliance Database'!$A$2:$A$1369,MATCH(340,Engine!$C$2:$C$1369,0)))</f>
        <v/>
      </c>
      <c r="B353" s="8">
        <f>IF(ISNA(MATCH(340,Engine!$C$2:$C$1369,0)),"",INDEX('Compliance Database'!$B$2:$B$1369,MATCH(340,Engine!$C$2:$C$1369,0)))</f>
        <v/>
      </c>
      <c r="C353" s="8">
        <f>IF(ISNA(MATCH(340,Engine!$C$2:$C$1369,0)),"",INDEX('Compliance Database'!$C$2:$C$1369,MATCH(340,Engine!$C$2:$C$1369,0)))</f>
        <v/>
      </c>
      <c r="D353" s="9">
        <f>IF(ISNA(MATCH(340,Engine!$C$2:$C$1369,0)),"",INDEX('Compliance Database'!$D$2:$D$1369,MATCH(340,Engine!$C$2:$C$1369,0)))</f>
        <v/>
      </c>
      <c r="E353" s="8">
        <f>IF(ISNA(MATCH(340,Engine!$C$2:$C$1369,0)),"",INDEX('Compliance Database'!$E$2:$E$1369,MATCH(340,Engine!$C$2:$C$1369,0)))</f>
        <v/>
      </c>
      <c r="F353" s="8">
        <f>IF(ISNA(MATCH(340,Engine!$C$2:$C$1369,0)),"",INDEX('Compliance Database'!$F$2:$F$1369,MATCH(340,Engine!$C$2:$C$1369,0)))</f>
        <v/>
      </c>
      <c r="G353" s="8">
        <f>IF(ISNA(MATCH(340,Engine!$C$2:$C$1369,0)),"",INDEX('Compliance Database'!$G$2:$G$1369,MATCH(340,Engine!$C$2:$C$1369,0)))</f>
        <v/>
      </c>
      <c r="H353" s="9">
        <f>IF(ISNA(MATCH(340,Engine!$C$2:$C$1369,0)),"",INDEX('Compliance Database'!$H$2:$H$1369,MATCH(340,Engine!$C$2:$C$1369,0)))</f>
        <v/>
      </c>
      <c r="I353" s="9">
        <f>IF(ISNA(MATCH(340,Engine!$C$2:$C$1369,0)),"",INDEX('Compliance Database'!$I$2:$I$1369,MATCH(340,Engine!$C$2:$C$1369,0)))</f>
        <v/>
      </c>
      <c r="J353" s="8">
        <f>IF(ISNA(MATCH(340,Engine!$C$2:$C$1369,0)),"",INDEX('Compliance Database'!$J$2:$J$1369,MATCH(340,Engine!$C$2:$C$1369,0)))</f>
        <v/>
      </c>
      <c r="K353" s="9">
        <f>IF(ISNA(MATCH(340,Engine!$C$2:$C$1369,0)),"",INDEX('Compliance Database'!$K$2:$K$1369,MATCH(340,Engine!$C$2:$C$1369,0)))</f>
        <v/>
      </c>
      <c r="L353" s="9">
        <f>IF(ISNA(MATCH(340,Engine!$C$2:$C$1369,0)),"",INDEX('Compliance Database'!$L$2:$L$1369,MATCH(340,Engine!$C$2:$C$1369,0)))</f>
        <v/>
      </c>
      <c r="M353" s="9">
        <f>IF(ISNA(MATCH(340,Engine!$C$2:$C$1369,0)),"",INDEX('Compliance Database'!$M$2:$M$1369,MATCH(340,Engine!$C$2:$C$1369,0)))</f>
        <v/>
      </c>
      <c r="N353" s="9">
        <f>IF(ISNA(MATCH(340,Engine!$C$2:$C$1369,0)),"",INDEX('Compliance Database'!$N$2:$N$1369,MATCH(340,Engine!$C$2:$C$1369,0)))</f>
        <v/>
      </c>
      <c r="O353" s="8">
        <f>IF(ISNA(MATCH(340,Engine!$C$2:$C$1369,0)),"",HYPERLINK(INDEX('Compliance Database'!$O$2:$O$1369,MATCH(340,Engine!$C$2:$C$1369,0)),"Open PDF"))</f>
        <v/>
      </c>
    </row>
    <row r="354" ht="188" customHeight="1">
      <c r="A354" s="8">
        <f>IF(ISNA(MATCH(341,Engine!$C$2:$C$1369,0)),"",INDEX('Compliance Database'!$A$2:$A$1369,MATCH(341,Engine!$C$2:$C$1369,0)))</f>
        <v/>
      </c>
      <c r="B354" s="8">
        <f>IF(ISNA(MATCH(341,Engine!$C$2:$C$1369,0)),"",INDEX('Compliance Database'!$B$2:$B$1369,MATCH(341,Engine!$C$2:$C$1369,0)))</f>
        <v/>
      </c>
      <c r="C354" s="8">
        <f>IF(ISNA(MATCH(341,Engine!$C$2:$C$1369,0)),"",INDEX('Compliance Database'!$C$2:$C$1369,MATCH(341,Engine!$C$2:$C$1369,0)))</f>
        <v/>
      </c>
      <c r="D354" s="9">
        <f>IF(ISNA(MATCH(341,Engine!$C$2:$C$1369,0)),"",INDEX('Compliance Database'!$D$2:$D$1369,MATCH(341,Engine!$C$2:$C$1369,0)))</f>
        <v/>
      </c>
      <c r="E354" s="8">
        <f>IF(ISNA(MATCH(341,Engine!$C$2:$C$1369,0)),"",INDEX('Compliance Database'!$E$2:$E$1369,MATCH(341,Engine!$C$2:$C$1369,0)))</f>
        <v/>
      </c>
      <c r="F354" s="8">
        <f>IF(ISNA(MATCH(341,Engine!$C$2:$C$1369,0)),"",INDEX('Compliance Database'!$F$2:$F$1369,MATCH(341,Engine!$C$2:$C$1369,0)))</f>
        <v/>
      </c>
      <c r="G354" s="8">
        <f>IF(ISNA(MATCH(341,Engine!$C$2:$C$1369,0)),"",INDEX('Compliance Database'!$G$2:$G$1369,MATCH(341,Engine!$C$2:$C$1369,0)))</f>
        <v/>
      </c>
      <c r="H354" s="9">
        <f>IF(ISNA(MATCH(341,Engine!$C$2:$C$1369,0)),"",INDEX('Compliance Database'!$H$2:$H$1369,MATCH(341,Engine!$C$2:$C$1369,0)))</f>
        <v/>
      </c>
      <c r="I354" s="9">
        <f>IF(ISNA(MATCH(341,Engine!$C$2:$C$1369,0)),"",INDEX('Compliance Database'!$I$2:$I$1369,MATCH(341,Engine!$C$2:$C$1369,0)))</f>
        <v/>
      </c>
      <c r="J354" s="8">
        <f>IF(ISNA(MATCH(341,Engine!$C$2:$C$1369,0)),"",INDEX('Compliance Database'!$J$2:$J$1369,MATCH(341,Engine!$C$2:$C$1369,0)))</f>
        <v/>
      </c>
      <c r="K354" s="9">
        <f>IF(ISNA(MATCH(341,Engine!$C$2:$C$1369,0)),"",INDEX('Compliance Database'!$K$2:$K$1369,MATCH(341,Engine!$C$2:$C$1369,0)))</f>
        <v/>
      </c>
      <c r="L354" s="9">
        <f>IF(ISNA(MATCH(341,Engine!$C$2:$C$1369,0)),"",INDEX('Compliance Database'!$L$2:$L$1369,MATCH(341,Engine!$C$2:$C$1369,0)))</f>
        <v/>
      </c>
      <c r="M354" s="9">
        <f>IF(ISNA(MATCH(341,Engine!$C$2:$C$1369,0)),"",INDEX('Compliance Database'!$M$2:$M$1369,MATCH(341,Engine!$C$2:$C$1369,0)))</f>
        <v/>
      </c>
      <c r="N354" s="9">
        <f>IF(ISNA(MATCH(341,Engine!$C$2:$C$1369,0)),"",INDEX('Compliance Database'!$N$2:$N$1369,MATCH(341,Engine!$C$2:$C$1369,0)))</f>
        <v/>
      </c>
      <c r="O354" s="8">
        <f>IF(ISNA(MATCH(341,Engine!$C$2:$C$1369,0)),"",HYPERLINK(INDEX('Compliance Database'!$O$2:$O$1369,MATCH(341,Engine!$C$2:$C$1369,0)),"Open PDF"))</f>
        <v/>
      </c>
    </row>
    <row r="355" ht="188" customHeight="1">
      <c r="A355" s="8">
        <f>IF(ISNA(MATCH(342,Engine!$C$2:$C$1369,0)),"",INDEX('Compliance Database'!$A$2:$A$1369,MATCH(342,Engine!$C$2:$C$1369,0)))</f>
        <v/>
      </c>
      <c r="B355" s="8">
        <f>IF(ISNA(MATCH(342,Engine!$C$2:$C$1369,0)),"",INDEX('Compliance Database'!$B$2:$B$1369,MATCH(342,Engine!$C$2:$C$1369,0)))</f>
        <v/>
      </c>
      <c r="C355" s="8">
        <f>IF(ISNA(MATCH(342,Engine!$C$2:$C$1369,0)),"",INDEX('Compliance Database'!$C$2:$C$1369,MATCH(342,Engine!$C$2:$C$1369,0)))</f>
        <v/>
      </c>
      <c r="D355" s="9">
        <f>IF(ISNA(MATCH(342,Engine!$C$2:$C$1369,0)),"",INDEX('Compliance Database'!$D$2:$D$1369,MATCH(342,Engine!$C$2:$C$1369,0)))</f>
        <v/>
      </c>
      <c r="E355" s="8">
        <f>IF(ISNA(MATCH(342,Engine!$C$2:$C$1369,0)),"",INDEX('Compliance Database'!$E$2:$E$1369,MATCH(342,Engine!$C$2:$C$1369,0)))</f>
        <v/>
      </c>
      <c r="F355" s="8">
        <f>IF(ISNA(MATCH(342,Engine!$C$2:$C$1369,0)),"",INDEX('Compliance Database'!$F$2:$F$1369,MATCH(342,Engine!$C$2:$C$1369,0)))</f>
        <v/>
      </c>
      <c r="G355" s="8">
        <f>IF(ISNA(MATCH(342,Engine!$C$2:$C$1369,0)),"",INDEX('Compliance Database'!$G$2:$G$1369,MATCH(342,Engine!$C$2:$C$1369,0)))</f>
        <v/>
      </c>
      <c r="H355" s="9">
        <f>IF(ISNA(MATCH(342,Engine!$C$2:$C$1369,0)),"",INDEX('Compliance Database'!$H$2:$H$1369,MATCH(342,Engine!$C$2:$C$1369,0)))</f>
        <v/>
      </c>
      <c r="I355" s="9">
        <f>IF(ISNA(MATCH(342,Engine!$C$2:$C$1369,0)),"",INDEX('Compliance Database'!$I$2:$I$1369,MATCH(342,Engine!$C$2:$C$1369,0)))</f>
        <v/>
      </c>
      <c r="J355" s="8">
        <f>IF(ISNA(MATCH(342,Engine!$C$2:$C$1369,0)),"",INDEX('Compliance Database'!$J$2:$J$1369,MATCH(342,Engine!$C$2:$C$1369,0)))</f>
        <v/>
      </c>
      <c r="K355" s="9">
        <f>IF(ISNA(MATCH(342,Engine!$C$2:$C$1369,0)),"",INDEX('Compliance Database'!$K$2:$K$1369,MATCH(342,Engine!$C$2:$C$1369,0)))</f>
        <v/>
      </c>
      <c r="L355" s="9">
        <f>IF(ISNA(MATCH(342,Engine!$C$2:$C$1369,0)),"",INDEX('Compliance Database'!$L$2:$L$1369,MATCH(342,Engine!$C$2:$C$1369,0)))</f>
        <v/>
      </c>
      <c r="M355" s="9">
        <f>IF(ISNA(MATCH(342,Engine!$C$2:$C$1369,0)),"",INDEX('Compliance Database'!$M$2:$M$1369,MATCH(342,Engine!$C$2:$C$1369,0)))</f>
        <v/>
      </c>
      <c r="N355" s="9">
        <f>IF(ISNA(MATCH(342,Engine!$C$2:$C$1369,0)),"",INDEX('Compliance Database'!$N$2:$N$1369,MATCH(342,Engine!$C$2:$C$1369,0)))</f>
        <v/>
      </c>
      <c r="O355" s="8">
        <f>IF(ISNA(MATCH(342,Engine!$C$2:$C$1369,0)),"",HYPERLINK(INDEX('Compliance Database'!$O$2:$O$1369,MATCH(342,Engine!$C$2:$C$1369,0)),"Open PDF"))</f>
        <v/>
      </c>
    </row>
    <row r="356" ht="188" customHeight="1">
      <c r="A356" s="8">
        <f>IF(ISNA(MATCH(343,Engine!$C$2:$C$1369,0)),"",INDEX('Compliance Database'!$A$2:$A$1369,MATCH(343,Engine!$C$2:$C$1369,0)))</f>
        <v/>
      </c>
      <c r="B356" s="8">
        <f>IF(ISNA(MATCH(343,Engine!$C$2:$C$1369,0)),"",INDEX('Compliance Database'!$B$2:$B$1369,MATCH(343,Engine!$C$2:$C$1369,0)))</f>
        <v/>
      </c>
      <c r="C356" s="8">
        <f>IF(ISNA(MATCH(343,Engine!$C$2:$C$1369,0)),"",INDEX('Compliance Database'!$C$2:$C$1369,MATCH(343,Engine!$C$2:$C$1369,0)))</f>
        <v/>
      </c>
      <c r="D356" s="9">
        <f>IF(ISNA(MATCH(343,Engine!$C$2:$C$1369,0)),"",INDEX('Compliance Database'!$D$2:$D$1369,MATCH(343,Engine!$C$2:$C$1369,0)))</f>
        <v/>
      </c>
      <c r="E356" s="8">
        <f>IF(ISNA(MATCH(343,Engine!$C$2:$C$1369,0)),"",INDEX('Compliance Database'!$E$2:$E$1369,MATCH(343,Engine!$C$2:$C$1369,0)))</f>
        <v/>
      </c>
      <c r="F356" s="8">
        <f>IF(ISNA(MATCH(343,Engine!$C$2:$C$1369,0)),"",INDEX('Compliance Database'!$F$2:$F$1369,MATCH(343,Engine!$C$2:$C$1369,0)))</f>
        <v/>
      </c>
      <c r="G356" s="8">
        <f>IF(ISNA(MATCH(343,Engine!$C$2:$C$1369,0)),"",INDEX('Compliance Database'!$G$2:$G$1369,MATCH(343,Engine!$C$2:$C$1369,0)))</f>
        <v/>
      </c>
      <c r="H356" s="9">
        <f>IF(ISNA(MATCH(343,Engine!$C$2:$C$1369,0)),"",INDEX('Compliance Database'!$H$2:$H$1369,MATCH(343,Engine!$C$2:$C$1369,0)))</f>
        <v/>
      </c>
      <c r="I356" s="9">
        <f>IF(ISNA(MATCH(343,Engine!$C$2:$C$1369,0)),"",INDEX('Compliance Database'!$I$2:$I$1369,MATCH(343,Engine!$C$2:$C$1369,0)))</f>
        <v/>
      </c>
      <c r="J356" s="8">
        <f>IF(ISNA(MATCH(343,Engine!$C$2:$C$1369,0)),"",INDEX('Compliance Database'!$J$2:$J$1369,MATCH(343,Engine!$C$2:$C$1369,0)))</f>
        <v/>
      </c>
      <c r="K356" s="9">
        <f>IF(ISNA(MATCH(343,Engine!$C$2:$C$1369,0)),"",INDEX('Compliance Database'!$K$2:$K$1369,MATCH(343,Engine!$C$2:$C$1369,0)))</f>
        <v/>
      </c>
      <c r="L356" s="9">
        <f>IF(ISNA(MATCH(343,Engine!$C$2:$C$1369,0)),"",INDEX('Compliance Database'!$L$2:$L$1369,MATCH(343,Engine!$C$2:$C$1369,0)))</f>
        <v/>
      </c>
      <c r="M356" s="9">
        <f>IF(ISNA(MATCH(343,Engine!$C$2:$C$1369,0)),"",INDEX('Compliance Database'!$M$2:$M$1369,MATCH(343,Engine!$C$2:$C$1369,0)))</f>
        <v/>
      </c>
      <c r="N356" s="9">
        <f>IF(ISNA(MATCH(343,Engine!$C$2:$C$1369,0)),"",INDEX('Compliance Database'!$N$2:$N$1369,MATCH(343,Engine!$C$2:$C$1369,0)))</f>
        <v/>
      </c>
      <c r="O356" s="8">
        <f>IF(ISNA(MATCH(343,Engine!$C$2:$C$1369,0)),"",HYPERLINK(INDEX('Compliance Database'!$O$2:$O$1369,MATCH(343,Engine!$C$2:$C$1369,0)),"Open PDF"))</f>
        <v/>
      </c>
    </row>
    <row r="357" ht="188" customHeight="1">
      <c r="A357" s="8">
        <f>IF(ISNA(MATCH(344,Engine!$C$2:$C$1369,0)),"",INDEX('Compliance Database'!$A$2:$A$1369,MATCH(344,Engine!$C$2:$C$1369,0)))</f>
        <v/>
      </c>
      <c r="B357" s="8">
        <f>IF(ISNA(MATCH(344,Engine!$C$2:$C$1369,0)),"",INDEX('Compliance Database'!$B$2:$B$1369,MATCH(344,Engine!$C$2:$C$1369,0)))</f>
        <v/>
      </c>
      <c r="C357" s="8">
        <f>IF(ISNA(MATCH(344,Engine!$C$2:$C$1369,0)),"",INDEX('Compliance Database'!$C$2:$C$1369,MATCH(344,Engine!$C$2:$C$1369,0)))</f>
        <v/>
      </c>
      <c r="D357" s="9">
        <f>IF(ISNA(MATCH(344,Engine!$C$2:$C$1369,0)),"",INDEX('Compliance Database'!$D$2:$D$1369,MATCH(344,Engine!$C$2:$C$1369,0)))</f>
        <v/>
      </c>
      <c r="E357" s="8">
        <f>IF(ISNA(MATCH(344,Engine!$C$2:$C$1369,0)),"",INDEX('Compliance Database'!$E$2:$E$1369,MATCH(344,Engine!$C$2:$C$1369,0)))</f>
        <v/>
      </c>
      <c r="F357" s="8">
        <f>IF(ISNA(MATCH(344,Engine!$C$2:$C$1369,0)),"",INDEX('Compliance Database'!$F$2:$F$1369,MATCH(344,Engine!$C$2:$C$1369,0)))</f>
        <v/>
      </c>
      <c r="G357" s="8">
        <f>IF(ISNA(MATCH(344,Engine!$C$2:$C$1369,0)),"",INDEX('Compliance Database'!$G$2:$G$1369,MATCH(344,Engine!$C$2:$C$1369,0)))</f>
        <v/>
      </c>
      <c r="H357" s="9">
        <f>IF(ISNA(MATCH(344,Engine!$C$2:$C$1369,0)),"",INDEX('Compliance Database'!$H$2:$H$1369,MATCH(344,Engine!$C$2:$C$1369,0)))</f>
        <v/>
      </c>
      <c r="I357" s="9">
        <f>IF(ISNA(MATCH(344,Engine!$C$2:$C$1369,0)),"",INDEX('Compliance Database'!$I$2:$I$1369,MATCH(344,Engine!$C$2:$C$1369,0)))</f>
        <v/>
      </c>
      <c r="J357" s="8">
        <f>IF(ISNA(MATCH(344,Engine!$C$2:$C$1369,0)),"",INDEX('Compliance Database'!$J$2:$J$1369,MATCH(344,Engine!$C$2:$C$1369,0)))</f>
        <v/>
      </c>
      <c r="K357" s="9">
        <f>IF(ISNA(MATCH(344,Engine!$C$2:$C$1369,0)),"",INDEX('Compliance Database'!$K$2:$K$1369,MATCH(344,Engine!$C$2:$C$1369,0)))</f>
        <v/>
      </c>
      <c r="L357" s="9">
        <f>IF(ISNA(MATCH(344,Engine!$C$2:$C$1369,0)),"",INDEX('Compliance Database'!$L$2:$L$1369,MATCH(344,Engine!$C$2:$C$1369,0)))</f>
        <v/>
      </c>
      <c r="M357" s="9">
        <f>IF(ISNA(MATCH(344,Engine!$C$2:$C$1369,0)),"",INDEX('Compliance Database'!$M$2:$M$1369,MATCH(344,Engine!$C$2:$C$1369,0)))</f>
        <v/>
      </c>
      <c r="N357" s="9">
        <f>IF(ISNA(MATCH(344,Engine!$C$2:$C$1369,0)),"",INDEX('Compliance Database'!$N$2:$N$1369,MATCH(344,Engine!$C$2:$C$1369,0)))</f>
        <v/>
      </c>
      <c r="O357" s="8">
        <f>IF(ISNA(MATCH(344,Engine!$C$2:$C$1369,0)),"",HYPERLINK(INDEX('Compliance Database'!$O$2:$O$1369,MATCH(344,Engine!$C$2:$C$1369,0)),"Open PDF"))</f>
        <v/>
      </c>
    </row>
    <row r="358" ht="188" customHeight="1">
      <c r="A358" s="8">
        <f>IF(ISNA(MATCH(345,Engine!$C$2:$C$1369,0)),"",INDEX('Compliance Database'!$A$2:$A$1369,MATCH(345,Engine!$C$2:$C$1369,0)))</f>
        <v/>
      </c>
      <c r="B358" s="8">
        <f>IF(ISNA(MATCH(345,Engine!$C$2:$C$1369,0)),"",INDEX('Compliance Database'!$B$2:$B$1369,MATCH(345,Engine!$C$2:$C$1369,0)))</f>
        <v/>
      </c>
      <c r="C358" s="8">
        <f>IF(ISNA(MATCH(345,Engine!$C$2:$C$1369,0)),"",INDEX('Compliance Database'!$C$2:$C$1369,MATCH(345,Engine!$C$2:$C$1369,0)))</f>
        <v/>
      </c>
      <c r="D358" s="9">
        <f>IF(ISNA(MATCH(345,Engine!$C$2:$C$1369,0)),"",INDEX('Compliance Database'!$D$2:$D$1369,MATCH(345,Engine!$C$2:$C$1369,0)))</f>
        <v/>
      </c>
      <c r="E358" s="8">
        <f>IF(ISNA(MATCH(345,Engine!$C$2:$C$1369,0)),"",INDEX('Compliance Database'!$E$2:$E$1369,MATCH(345,Engine!$C$2:$C$1369,0)))</f>
        <v/>
      </c>
      <c r="F358" s="8">
        <f>IF(ISNA(MATCH(345,Engine!$C$2:$C$1369,0)),"",INDEX('Compliance Database'!$F$2:$F$1369,MATCH(345,Engine!$C$2:$C$1369,0)))</f>
        <v/>
      </c>
      <c r="G358" s="8">
        <f>IF(ISNA(MATCH(345,Engine!$C$2:$C$1369,0)),"",INDEX('Compliance Database'!$G$2:$G$1369,MATCH(345,Engine!$C$2:$C$1369,0)))</f>
        <v/>
      </c>
      <c r="H358" s="9">
        <f>IF(ISNA(MATCH(345,Engine!$C$2:$C$1369,0)),"",INDEX('Compliance Database'!$H$2:$H$1369,MATCH(345,Engine!$C$2:$C$1369,0)))</f>
        <v/>
      </c>
      <c r="I358" s="9">
        <f>IF(ISNA(MATCH(345,Engine!$C$2:$C$1369,0)),"",INDEX('Compliance Database'!$I$2:$I$1369,MATCH(345,Engine!$C$2:$C$1369,0)))</f>
        <v/>
      </c>
      <c r="J358" s="8">
        <f>IF(ISNA(MATCH(345,Engine!$C$2:$C$1369,0)),"",INDEX('Compliance Database'!$J$2:$J$1369,MATCH(345,Engine!$C$2:$C$1369,0)))</f>
        <v/>
      </c>
      <c r="K358" s="9">
        <f>IF(ISNA(MATCH(345,Engine!$C$2:$C$1369,0)),"",INDEX('Compliance Database'!$K$2:$K$1369,MATCH(345,Engine!$C$2:$C$1369,0)))</f>
        <v/>
      </c>
      <c r="L358" s="9">
        <f>IF(ISNA(MATCH(345,Engine!$C$2:$C$1369,0)),"",INDEX('Compliance Database'!$L$2:$L$1369,MATCH(345,Engine!$C$2:$C$1369,0)))</f>
        <v/>
      </c>
      <c r="M358" s="9">
        <f>IF(ISNA(MATCH(345,Engine!$C$2:$C$1369,0)),"",INDEX('Compliance Database'!$M$2:$M$1369,MATCH(345,Engine!$C$2:$C$1369,0)))</f>
        <v/>
      </c>
      <c r="N358" s="9">
        <f>IF(ISNA(MATCH(345,Engine!$C$2:$C$1369,0)),"",INDEX('Compliance Database'!$N$2:$N$1369,MATCH(345,Engine!$C$2:$C$1369,0)))</f>
        <v/>
      </c>
      <c r="O358" s="8">
        <f>IF(ISNA(MATCH(345,Engine!$C$2:$C$1369,0)),"",HYPERLINK(INDEX('Compliance Database'!$O$2:$O$1369,MATCH(345,Engine!$C$2:$C$1369,0)),"Open PDF"))</f>
        <v/>
      </c>
    </row>
    <row r="359" ht="188" customHeight="1">
      <c r="A359" s="8">
        <f>IF(ISNA(MATCH(346,Engine!$C$2:$C$1369,0)),"",INDEX('Compliance Database'!$A$2:$A$1369,MATCH(346,Engine!$C$2:$C$1369,0)))</f>
        <v/>
      </c>
      <c r="B359" s="8">
        <f>IF(ISNA(MATCH(346,Engine!$C$2:$C$1369,0)),"",INDEX('Compliance Database'!$B$2:$B$1369,MATCH(346,Engine!$C$2:$C$1369,0)))</f>
        <v/>
      </c>
      <c r="C359" s="8">
        <f>IF(ISNA(MATCH(346,Engine!$C$2:$C$1369,0)),"",INDEX('Compliance Database'!$C$2:$C$1369,MATCH(346,Engine!$C$2:$C$1369,0)))</f>
        <v/>
      </c>
      <c r="D359" s="9">
        <f>IF(ISNA(MATCH(346,Engine!$C$2:$C$1369,0)),"",INDEX('Compliance Database'!$D$2:$D$1369,MATCH(346,Engine!$C$2:$C$1369,0)))</f>
        <v/>
      </c>
      <c r="E359" s="8">
        <f>IF(ISNA(MATCH(346,Engine!$C$2:$C$1369,0)),"",INDEX('Compliance Database'!$E$2:$E$1369,MATCH(346,Engine!$C$2:$C$1369,0)))</f>
        <v/>
      </c>
      <c r="F359" s="8">
        <f>IF(ISNA(MATCH(346,Engine!$C$2:$C$1369,0)),"",INDEX('Compliance Database'!$F$2:$F$1369,MATCH(346,Engine!$C$2:$C$1369,0)))</f>
        <v/>
      </c>
      <c r="G359" s="8">
        <f>IF(ISNA(MATCH(346,Engine!$C$2:$C$1369,0)),"",INDEX('Compliance Database'!$G$2:$G$1369,MATCH(346,Engine!$C$2:$C$1369,0)))</f>
        <v/>
      </c>
      <c r="H359" s="9">
        <f>IF(ISNA(MATCH(346,Engine!$C$2:$C$1369,0)),"",INDEX('Compliance Database'!$H$2:$H$1369,MATCH(346,Engine!$C$2:$C$1369,0)))</f>
        <v/>
      </c>
      <c r="I359" s="9">
        <f>IF(ISNA(MATCH(346,Engine!$C$2:$C$1369,0)),"",INDEX('Compliance Database'!$I$2:$I$1369,MATCH(346,Engine!$C$2:$C$1369,0)))</f>
        <v/>
      </c>
      <c r="J359" s="8">
        <f>IF(ISNA(MATCH(346,Engine!$C$2:$C$1369,0)),"",INDEX('Compliance Database'!$J$2:$J$1369,MATCH(346,Engine!$C$2:$C$1369,0)))</f>
        <v/>
      </c>
      <c r="K359" s="9">
        <f>IF(ISNA(MATCH(346,Engine!$C$2:$C$1369,0)),"",INDEX('Compliance Database'!$K$2:$K$1369,MATCH(346,Engine!$C$2:$C$1369,0)))</f>
        <v/>
      </c>
      <c r="L359" s="9">
        <f>IF(ISNA(MATCH(346,Engine!$C$2:$C$1369,0)),"",INDEX('Compliance Database'!$L$2:$L$1369,MATCH(346,Engine!$C$2:$C$1369,0)))</f>
        <v/>
      </c>
      <c r="M359" s="9">
        <f>IF(ISNA(MATCH(346,Engine!$C$2:$C$1369,0)),"",INDEX('Compliance Database'!$M$2:$M$1369,MATCH(346,Engine!$C$2:$C$1369,0)))</f>
        <v/>
      </c>
      <c r="N359" s="9">
        <f>IF(ISNA(MATCH(346,Engine!$C$2:$C$1369,0)),"",INDEX('Compliance Database'!$N$2:$N$1369,MATCH(346,Engine!$C$2:$C$1369,0)))</f>
        <v/>
      </c>
      <c r="O359" s="8">
        <f>IF(ISNA(MATCH(346,Engine!$C$2:$C$1369,0)),"",HYPERLINK(INDEX('Compliance Database'!$O$2:$O$1369,MATCH(346,Engine!$C$2:$C$1369,0)),"Open PDF"))</f>
        <v/>
      </c>
    </row>
    <row r="360" ht="188" customHeight="1">
      <c r="A360" s="8">
        <f>IF(ISNA(MATCH(347,Engine!$C$2:$C$1369,0)),"",INDEX('Compliance Database'!$A$2:$A$1369,MATCH(347,Engine!$C$2:$C$1369,0)))</f>
        <v/>
      </c>
      <c r="B360" s="8">
        <f>IF(ISNA(MATCH(347,Engine!$C$2:$C$1369,0)),"",INDEX('Compliance Database'!$B$2:$B$1369,MATCH(347,Engine!$C$2:$C$1369,0)))</f>
        <v/>
      </c>
      <c r="C360" s="8">
        <f>IF(ISNA(MATCH(347,Engine!$C$2:$C$1369,0)),"",INDEX('Compliance Database'!$C$2:$C$1369,MATCH(347,Engine!$C$2:$C$1369,0)))</f>
        <v/>
      </c>
      <c r="D360" s="9">
        <f>IF(ISNA(MATCH(347,Engine!$C$2:$C$1369,0)),"",INDEX('Compliance Database'!$D$2:$D$1369,MATCH(347,Engine!$C$2:$C$1369,0)))</f>
        <v/>
      </c>
      <c r="E360" s="8">
        <f>IF(ISNA(MATCH(347,Engine!$C$2:$C$1369,0)),"",INDEX('Compliance Database'!$E$2:$E$1369,MATCH(347,Engine!$C$2:$C$1369,0)))</f>
        <v/>
      </c>
      <c r="F360" s="8">
        <f>IF(ISNA(MATCH(347,Engine!$C$2:$C$1369,0)),"",INDEX('Compliance Database'!$F$2:$F$1369,MATCH(347,Engine!$C$2:$C$1369,0)))</f>
        <v/>
      </c>
      <c r="G360" s="8">
        <f>IF(ISNA(MATCH(347,Engine!$C$2:$C$1369,0)),"",INDEX('Compliance Database'!$G$2:$G$1369,MATCH(347,Engine!$C$2:$C$1369,0)))</f>
        <v/>
      </c>
      <c r="H360" s="9">
        <f>IF(ISNA(MATCH(347,Engine!$C$2:$C$1369,0)),"",INDEX('Compliance Database'!$H$2:$H$1369,MATCH(347,Engine!$C$2:$C$1369,0)))</f>
        <v/>
      </c>
      <c r="I360" s="9">
        <f>IF(ISNA(MATCH(347,Engine!$C$2:$C$1369,0)),"",INDEX('Compliance Database'!$I$2:$I$1369,MATCH(347,Engine!$C$2:$C$1369,0)))</f>
        <v/>
      </c>
      <c r="J360" s="8">
        <f>IF(ISNA(MATCH(347,Engine!$C$2:$C$1369,0)),"",INDEX('Compliance Database'!$J$2:$J$1369,MATCH(347,Engine!$C$2:$C$1369,0)))</f>
        <v/>
      </c>
      <c r="K360" s="9">
        <f>IF(ISNA(MATCH(347,Engine!$C$2:$C$1369,0)),"",INDEX('Compliance Database'!$K$2:$K$1369,MATCH(347,Engine!$C$2:$C$1369,0)))</f>
        <v/>
      </c>
      <c r="L360" s="9">
        <f>IF(ISNA(MATCH(347,Engine!$C$2:$C$1369,0)),"",INDEX('Compliance Database'!$L$2:$L$1369,MATCH(347,Engine!$C$2:$C$1369,0)))</f>
        <v/>
      </c>
      <c r="M360" s="9">
        <f>IF(ISNA(MATCH(347,Engine!$C$2:$C$1369,0)),"",INDEX('Compliance Database'!$M$2:$M$1369,MATCH(347,Engine!$C$2:$C$1369,0)))</f>
        <v/>
      </c>
      <c r="N360" s="9">
        <f>IF(ISNA(MATCH(347,Engine!$C$2:$C$1369,0)),"",INDEX('Compliance Database'!$N$2:$N$1369,MATCH(347,Engine!$C$2:$C$1369,0)))</f>
        <v/>
      </c>
      <c r="O360" s="8">
        <f>IF(ISNA(MATCH(347,Engine!$C$2:$C$1369,0)),"",HYPERLINK(INDEX('Compliance Database'!$O$2:$O$1369,MATCH(347,Engine!$C$2:$C$1369,0)),"Open PDF"))</f>
        <v/>
      </c>
    </row>
    <row r="361" ht="188" customHeight="1">
      <c r="A361" s="8">
        <f>IF(ISNA(MATCH(348,Engine!$C$2:$C$1369,0)),"",INDEX('Compliance Database'!$A$2:$A$1369,MATCH(348,Engine!$C$2:$C$1369,0)))</f>
        <v/>
      </c>
      <c r="B361" s="8">
        <f>IF(ISNA(MATCH(348,Engine!$C$2:$C$1369,0)),"",INDEX('Compliance Database'!$B$2:$B$1369,MATCH(348,Engine!$C$2:$C$1369,0)))</f>
        <v/>
      </c>
      <c r="C361" s="8">
        <f>IF(ISNA(MATCH(348,Engine!$C$2:$C$1369,0)),"",INDEX('Compliance Database'!$C$2:$C$1369,MATCH(348,Engine!$C$2:$C$1369,0)))</f>
        <v/>
      </c>
      <c r="D361" s="9">
        <f>IF(ISNA(MATCH(348,Engine!$C$2:$C$1369,0)),"",INDEX('Compliance Database'!$D$2:$D$1369,MATCH(348,Engine!$C$2:$C$1369,0)))</f>
        <v/>
      </c>
      <c r="E361" s="8">
        <f>IF(ISNA(MATCH(348,Engine!$C$2:$C$1369,0)),"",INDEX('Compliance Database'!$E$2:$E$1369,MATCH(348,Engine!$C$2:$C$1369,0)))</f>
        <v/>
      </c>
      <c r="F361" s="8">
        <f>IF(ISNA(MATCH(348,Engine!$C$2:$C$1369,0)),"",INDEX('Compliance Database'!$F$2:$F$1369,MATCH(348,Engine!$C$2:$C$1369,0)))</f>
        <v/>
      </c>
      <c r="G361" s="8">
        <f>IF(ISNA(MATCH(348,Engine!$C$2:$C$1369,0)),"",INDEX('Compliance Database'!$G$2:$G$1369,MATCH(348,Engine!$C$2:$C$1369,0)))</f>
        <v/>
      </c>
      <c r="H361" s="9">
        <f>IF(ISNA(MATCH(348,Engine!$C$2:$C$1369,0)),"",INDEX('Compliance Database'!$H$2:$H$1369,MATCH(348,Engine!$C$2:$C$1369,0)))</f>
        <v/>
      </c>
      <c r="I361" s="9">
        <f>IF(ISNA(MATCH(348,Engine!$C$2:$C$1369,0)),"",INDEX('Compliance Database'!$I$2:$I$1369,MATCH(348,Engine!$C$2:$C$1369,0)))</f>
        <v/>
      </c>
      <c r="J361" s="8">
        <f>IF(ISNA(MATCH(348,Engine!$C$2:$C$1369,0)),"",INDEX('Compliance Database'!$J$2:$J$1369,MATCH(348,Engine!$C$2:$C$1369,0)))</f>
        <v/>
      </c>
      <c r="K361" s="9">
        <f>IF(ISNA(MATCH(348,Engine!$C$2:$C$1369,0)),"",INDEX('Compliance Database'!$K$2:$K$1369,MATCH(348,Engine!$C$2:$C$1369,0)))</f>
        <v/>
      </c>
      <c r="L361" s="9">
        <f>IF(ISNA(MATCH(348,Engine!$C$2:$C$1369,0)),"",INDEX('Compliance Database'!$L$2:$L$1369,MATCH(348,Engine!$C$2:$C$1369,0)))</f>
        <v/>
      </c>
      <c r="M361" s="9">
        <f>IF(ISNA(MATCH(348,Engine!$C$2:$C$1369,0)),"",INDEX('Compliance Database'!$M$2:$M$1369,MATCH(348,Engine!$C$2:$C$1369,0)))</f>
        <v/>
      </c>
      <c r="N361" s="9">
        <f>IF(ISNA(MATCH(348,Engine!$C$2:$C$1369,0)),"",INDEX('Compliance Database'!$N$2:$N$1369,MATCH(348,Engine!$C$2:$C$1369,0)))</f>
        <v/>
      </c>
      <c r="O361" s="8">
        <f>IF(ISNA(MATCH(348,Engine!$C$2:$C$1369,0)),"",HYPERLINK(INDEX('Compliance Database'!$O$2:$O$1369,MATCH(348,Engine!$C$2:$C$1369,0)),"Open PDF"))</f>
        <v/>
      </c>
    </row>
    <row r="362" ht="188" customHeight="1">
      <c r="A362" s="8">
        <f>IF(ISNA(MATCH(349,Engine!$C$2:$C$1369,0)),"",INDEX('Compliance Database'!$A$2:$A$1369,MATCH(349,Engine!$C$2:$C$1369,0)))</f>
        <v/>
      </c>
      <c r="B362" s="8">
        <f>IF(ISNA(MATCH(349,Engine!$C$2:$C$1369,0)),"",INDEX('Compliance Database'!$B$2:$B$1369,MATCH(349,Engine!$C$2:$C$1369,0)))</f>
        <v/>
      </c>
      <c r="C362" s="8">
        <f>IF(ISNA(MATCH(349,Engine!$C$2:$C$1369,0)),"",INDEX('Compliance Database'!$C$2:$C$1369,MATCH(349,Engine!$C$2:$C$1369,0)))</f>
        <v/>
      </c>
      <c r="D362" s="9">
        <f>IF(ISNA(MATCH(349,Engine!$C$2:$C$1369,0)),"",INDEX('Compliance Database'!$D$2:$D$1369,MATCH(349,Engine!$C$2:$C$1369,0)))</f>
        <v/>
      </c>
      <c r="E362" s="8">
        <f>IF(ISNA(MATCH(349,Engine!$C$2:$C$1369,0)),"",INDEX('Compliance Database'!$E$2:$E$1369,MATCH(349,Engine!$C$2:$C$1369,0)))</f>
        <v/>
      </c>
      <c r="F362" s="8">
        <f>IF(ISNA(MATCH(349,Engine!$C$2:$C$1369,0)),"",INDEX('Compliance Database'!$F$2:$F$1369,MATCH(349,Engine!$C$2:$C$1369,0)))</f>
        <v/>
      </c>
      <c r="G362" s="8">
        <f>IF(ISNA(MATCH(349,Engine!$C$2:$C$1369,0)),"",INDEX('Compliance Database'!$G$2:$G$1369,MATCH(349,Engine!$C$2:$C$1369,0)))</f>
        <v/>
      </c>
      <c r="H362" s="9">
        <f>IF(ISNA(MATCH(349,Engine!$C$2:$C$1369,0)),"",INDEX('Compliance Database'!$H$2:$H$1369,MATCH(349,Engine!$C$2:$C$1369,0)))</f>
        <v/>
      </c>
      <c r="I362" s="9">
        <f>IF(ISNA(MATCH(349,Engine!$C$2:$C$1369,0)),"",INDEX('Compliance Database'!$I$2:$I$1369,MATCH(349,Engine!$C$2:$C$1369,0)))</f>
        <v/>
      </c>
      <c r="J362" s="8">
        <f>IF(ISNA(MATCH(349,Engine!$C$2:$C$1369,0)),"",INDEX('Compliance Database'!$J$2:$J$1369,MATCH(349,Engine!$C$2:$C$1369,0)))</f>
        <v/>
      </c>
      <c r="K362" s="9">
        <f>IF(ISNA(MATCH(349,Engine!$C$2:$C$1369,0)),"",INDEX('Compliance Database'!$K$2:$K$1369,MATCH(349,Engine!$C$2:$C$1369,0)))</f>
        <v/>
      </c>
      <c r="L362" s="9">
        <f>IF(ISNA(MATCH(349,Engine!$C$2:$C$1369,0)),"",INDEX('Compliance Database'!$L$2:$L$1369,MATCH(349,Engine!$C$2:$C$1369,0)))</f>
        <v/>
      </c>
      <c r="M362" s="9">
        <f>IF(ISNA(MATCH(349,Engine!$C$2:$C$1369,0)),"",INDEX('Compliance Database'!$M$2:$M$1369,MATCH(349,Engine!$C$2:$C$1369,0)))</f>
        <v/>
      </c>
      <c r="N362" s="9">
        <f>IF(ISNA(MATCH(349,Engine!$C$2:$C$1369,0)),"",INDEX('Compliance Database'!$N$2:$N$1369,MATCH(349,Engine!$C$2:$C$1369,0)))</f>
        <v/>
      </c>
      <c r="O362" s="8">
        <f>IF(ISNA(MATCH(349,Engine!$C$2:$C$1369,0)),"",HYPERLINK(INDEX('Compliance Database'!$O$2:$O$1369,MATCH(349,Engine!$C$2:$C$1369,0)),"Open PDF"))</f>
        <v/>
      </c>
    </row>
    <row r="363" ht="188" customHeight="1">
      <c r="A363" s="8">
        <f>IF(ISNA(MATCH(350,Engine!$C$2:$C$1369,0)),"",INDEX('Compliance Database'!$A$2:$A$1369,MATCH(350,Engine!$C$2:$C$1369,0)))</f>
        <v/>
      </c>
      <c r="B363" s="8">
        <f>IF(ISNA(MATCH(350,Engine!$C$2:$C$1369,0)),"",INDEX('Compliance Database'!$B$2:$B$1369,MATCH(350,Engine!$C$2:$C$1369,0)))</f>
        <v/>
      </c>
      <c r="C363" s="8">
        <f>IF(ISNA(MATCH(350,Engine!$C$2:$C$1369,0)),"",INDEX('Compliance Database'!$C$2:$C$1369,MATCH(350,Engine!$C$2:$C$1369,0)))</f>
        <v/>
      </c>
      <c r="D363" s="9">
        <f>IF(ISNA(MATCH(350,Engine!$C$2:$C$1369,0)),"",INDEX('Compliance Database'!$D$2:$D$1369,MATCH(350,Engine!$C$2:$C$1369,0)))</f>
        <v/>
      </c>
      <c r="E363" s="8">
        <f>IF(ISNA(MATCH(350,Engine!$C$2:$C$1369,0)),"",INDEX('Compliance Database'!$E$2:$E$1369,MATCH(350,Engine!$C$2:$C$1369,0)))</f>
        <v/>
      </c>
      <c r="F363" s="8">
        <f>IF(ISNA(MATCH(350,Engine!$C$2:$C$1369,0)),"",INDEX('Compliance Database'!$F$2:$F$1369,MATCH(350,Engine!$C$2:$C$1369,0)))</f>
        <v/>
      </c>
      <c r="G363" s="8">
        <f>IF(ISNA(MATCH(350,Engine!$C$2:$C$1369,0)),"",INDEX('Compliance Database'!$G$2:$G$1369,MATCH(350,Engine!$C$2:$C$1369,0)))</f>
        <v/>
      </c>
      <c r="H363" s="9">
        <f>IF(ISNA(MATCH(350,Engine!$C$2:$C$1369,0)),"",INDEX('Compliance Database'!$H$2:$H$1369,MATCH(350,Engine!$C$2:$C$1369,0)))</f>
        <v/>
      </c>
      <c r="I363" s="9">
        <f>IF(ISNA(MATCH(350,Engine!$C$2:$C$1369,0)),"",INDEX('Compliance Database'!$I$2:$I$1369,MATCH(350,Engine!$C$2:$C$1369,0)))</f>
        <v/>
      </c>
      <c r="J363" s="8">
        <f>IF(ISNA(MATCH(350,Engine!$C$2:$C$1369,0)),"",INDEX('Compliance Database'!$J$2:$J$1369,MATCH(350,Engine!$C$2:$C$1369,0)))</f>
        <v/>
      </c>
      <c r="K363" s="9">
        <f>IF(ISNA(MATCH(350,Engine!$C$2:$C$1369,0)),"",INDEX('Compliance Database'!$K$2:$K$1369,MATCH(350,Engine!$C$2:$C$1369,0)))</f>
        <v/>
      </c>
      <c r="L363" s="9">
        <f>IF(ISNA(MATCH(350,Engine!$C$2:$C$1369,0)),"",INDEX('Compliance Database'!$L$2:$L$1369,MATCH(350,Engine!$C$2:$C$1369,0)))</f>
        <v/>
      </c>
      <c r="M363" s="9">
        <f>IF(ISNA(MATCH(350,Engine!$C$2:$C$1369,0)),"",INDEX('Compliance Database'!$M$2:$M$1369,MATCH(350,Engine!$C$2:$C$1369,0)))</f>
        <v/>
      </c>
      <c r="N363" s="9">
        <f>IF(ISNA(MATCH(350,Engine!$C$2:$C$1369,0)),"",INDEX('Compliance Database'!$N$2:$N$1369,MATCH(350,Engine!$C$2:$C$1369,0)))</f>
        <v/>
      </c>
      <c r="O363" s="8">
        <f>IF(ISNA(MATCH(350,Engine!$C$2:$C$1369,0)),"",HYPERLINK(INDEX('Compliance Database'!$O$2:$O$1369,MATCH(350,Engine!$C$2:$C$1369,0)),"Open PDF"))</f>
        <v/>
      </c>
    </row>
    <row r="364" ht="188" customHeight="1">
      <c r="A364" s="8">
        <f>IF(ISNA(MATCH(351,Engine!$C$2:$C$1369,0)),"",INDEX('Compliance Database'!$A$2:$A$1369,MATCH(351,Engine!$C$2:$C$1369,0)))</f>
        <v/>
      </c>
      <c r="B364" s="8">
        <f>IF(ISNA(MATCH(351,Engine!$C$2:$C$1369,0)),"",INDEX('Compliance Database'!$B$2:$B$1369,MATCH(351,Engine!$C$2:$C$1369,0)))</f>
        <v/>
      </c>
      <c r="C364" s="8">
        <f>IF(ISNA(MATCH(351,Engine!$C$2:$C$1369,0)),"",INDEX('Compliance Database'!$C$2:$C$1369,MATCH(351,Engine!$C$2:$C$1369,0)))</f>
        <v/>
      </c>
      <c r="D364" s="9">
        <f>IF(ISNA(MATCH(351,Engine!$C$2:$C$1369,0)),"",INDEX('Compliance Database'!$D$2:$D$1369,MATCH(351,Engine!$C$2:$C$1369,0)))</f>
        <v/>
      </c>
      <c r="E364" s="8">
        <f>IF(ISNA(MATCH(351,Engine!$C$2:$C$1369,0)),"",INDEX('Compliance Database'!$E$2:$E$1369,MATCH(351,Engine!$C$2:$C$1369,0)))</f>
        <v/>
      </c>
      <c r="F364" s="8">
        <f>IF(ISNA(MATCH(351,Engine!$C$2:$C$1369,0)),"",INDEX('Compliance Database'!$F$2:$F$1369,MATCH(351,Engine!$C$2:$C$1369,0)))</f>
        <v/>
      </c>
      <c r="G364" s="8">
        <f>IF(ISNA(MATCH(351,Engine!$C$2:$C$1369,0)),"",INDEX('Compliance Database'!$G$2:$G$1369,MATCH(351,Engine!$C$2:$C$1369,0)))</f>
        <v/>
      </c>
      <c r="H364" s="9">
        <f>IF(ISNA(MATCH(351,Engine!$C$2:$C$1369,0)),"",INDEX('Compliance Database'!$H$2:$H$1369,MATCH(351,Engine!$C$2:$C$1369,0)))</f>
        <v/>
      </c>
      <c r="I364" s="9">
        <f>IF(ISNA(MATCH(351,Engine!$C$2:$C$1369,0)),"",INDEX('Compliance Database'!$I$2:$I$1369,MATCH(351,Engine!$C$2:$C$1369,0)))</f>
        <v/>
      </c>
      <c r="J364" s="8">
        <f>IF(ISNA(MATCH(351,Engine!$C$2:$C$1369,0)),"",INDEX('Compliance Database'!$J$2:$J$1369,MATCH(351,Engine!$C$2:$C$1369,0)))</f>
        <v/>
      </c>
      <c r="K364" s="9">
        <f>IF(ISNA(MATCH(351,Engine!$C$2:$C$1369,0)),"",INDEX('Compliance Database'!$K$2:$K$1369,MATCH(351,Engine!$C$2:$C$1369,0)))</f>
        <v/>
      </c>
      <c r="L364" s="9">
        <f>IF(ISNA(MATCH(351,Engine!$C$2:$C$1369,0)),"",INDEX('Compliance Database'!$L$2:$L$1369,MATCH(351,Engine!$C$2:$C$1369,0)))</f>
        <v/>
      </c>
      <c r="M364" s="9">
        <f>IF(ISNA(MATCH(351,Engine!$C$2:$C$1369,0)),"",INDEX('Compliance Database'!$M$2:$M$1369,MATCH(351,Engine!$C$2:$C$1369,0)))</f>
        <v/>
      </c>
      <c r="N364" s="9">
        <f>IF(ISNA(MATCH(351,Engine!$C$2:$C$1369,0)),"",INDEX('Compliance Database'!$N$2:$N$1369,MATCH(351,Engine!$C$2:$C$1369,0)))</f>
        <v/>
      </c>
      <c r="O364" s="8">
        <f>IF(ISNA(MATCH(351,Engine!$C$2:$C$1369,0)),"",HYPERLINK(INDEX('Compliance Database'!$O$2:$O$1369,MATCH(351,Engine!$C$2:$C$1369,0)),"Open PDF"))</f>
        <v/>
      </c>
    </row>
    <row r="365" ht="188" customHeight="1">
      <c r="A365" s="8">
        <f>IF(ISNA(MATCH(352,Engine!$C$2:$C$1369,0)),"",INDEX('Compliance Database'!$A$2:$A$1369,MATCH(352,Engine!$C$2:$C$1369,0)))</f>
        <v/>
      </c>
      <c r="B365" s="8">
        <f>IF(ISNA(MATCH(352,Engine!$C$2:$C$1369,0)),"",INDEX('Compliance Database'!$B$2:$B$1369,MATCH(352,Engine!$C$2:$C$1369,0)))</f>
        <v/>
      </c>
      <c r="C365" s="8">
        <f>IF(ISNA(MATCH(352,Engine!$C$2:$C$1369,0)),"",INDEX('Compliance Database'!$C$2:$C$1369,MATCH(352,Engine!$C$2:$C$1369,0)))</f>
        <v/>
      </c>
      <c r="D365" s="9">
        <f>IF(ISNA(MATCH(352,Engine!$C$2:$C$1369,0)),"",INDEX('Compliance Database'!$D$2:$D$1369,MATCH(352,Engine!$C$2:$C$1369,0)))</f>
        <v/>
      </c>
      <c r="E365" s="8">
        <f>IF(ISNA(MATCH(352,Engine!$C$2:$C$1369,0)),"",INDEX('Compliance Database'!$E$2:$E$1369,MATCH(352,Engine!$C$2:$C$1369,0)))</f>
        <v/>
      </c>
      <c r="F365" s="8">
        <f>IF(ISNA(MATCH(352,Engine!$C$2:$C$1369,0)),"",INDEX('Compliance Database'!$F$2:$F$1369,MATCH(352,Engine!$C$2:$C$1369,0)))</f>
        <v/>
      </c>
      <c r="G365" s="8">
        <f>IF(ISNA(MATCH(352,Engine!$C$2:$C$1369,0)),"",INDEX('Compliance Database'!$G$2:$G$1369,MATCH(352,Engine!$C$2:$C$1369,0)))</f>
        <v/>
      </c>
      <c r="H365" s="9">
        <f>IF(ISNA(MATCH(352,Engine!$C$2:$C$1369,0)),"",INDEX('Compliance Database'!$H$2:$H$1369,MATCH(352,Engine!$C$2:$C$1369,0)))</f>
        <v/>
      </c>
      <c r="I365" s="9">
        <f>IF(ISNA(MATCH(352,Engine!$C$2:$C$1369,0)),"",INDEX('Compliance Database'!$I$2:$I$1369,MATCH(352,Engine!$C$2:$C$1369,0)))</f>
        <v/>
      </c>
      <c r="J365" s="8">
        <f>IF(ISNA(MATCH(352,Engine!$C$2:$C$1369,0)),"",INDEX('Compliance Database'!$J$2:$J$1369,MATCH(352,Engine!$C$2:$C$1369,0)))</f>
        <v/>
      </c>
      <c r="K365" s="9">
        <f>IF(ISNA(MATCH(352,Engine!$C$2:$C$1369,0)),"",INDEX('Compliance Database'!$K$2:$K$1369,MATCH(352,Engine!$C$2:$C$1369,0)))</f>
        <v/>
      </c>
      <c r="L365" s="9">
        <f>IF(ISNA(MATCH(352,Engine!$C$2:$C$1369,0)),"",INDEX('Compliance Database'!$L$2:$L$1369,MATCH(352,Engine!$C$2:$C$1369,0)))</f>
        <v/>
      </c>
      <c r="M365" s="9">
        <f>IF(ISNA(MATCH(352,Engine!$C$2:$C$1369,0)),"",INDEX('Compliance Database'!$M$2:$M$1369,MATCH(352,Engine!$C$2:$C$1369,0)))</f>
        <v/>
      </c>
      <c r="N365" s="9">
        <f>IF(ISNA(MATCH(352,Engine!$C$2:$C$1369,0)),"",INDEX('Compliance Database'!$N$2:$N$1369,MATCH(352,Engine!$C$2:$C$1369,0)))</f>
        <v/>
      </c>
      <c r="O365" s="8">
        <f>IF(ISNA(MATCH(352,Engine!$C$2:$C$1369,0)),"",HYPERLINK(INDEX('Compliance Database'!$O$2:$O$1369,MATCH(352,Engine!$C$2:$C$1369,0)),"Open PDF"))</f>
        <v/>
      </c>
    </row>
    <row r="366" ht="188" customHeight="1">
      <c r="A366" s="8">
        <f>IF(ISNA(MATCH(353,Engine!$C$2:$C$1369,0)),"",INDEX('Compliance Database'!$A$2:$A$1369,MATCH(353,Engine!$C$2:$C$1369,0)))</f>
        <v/>
      </c>
      <c r="B366" s="8">
        <f>IF(ISNA(MATCH(353,Engine!$C$2:$C$1369,0)),"",INDEX('Compliance Database'!$B$2:$B$1369,MATCH(353,Engine!$C$2:$C$1369,0)))</f>
        <v/>
      </c>
      <c r="C366" s="8">
        <f>IF(ISNA(MATCH(353,Engine!$C$2:$C$1369,0)),"",INDEX('Compliance Database'!$C$2:$C$1369,MATCH(353,Engine!$C$2:$C$1369,0)))</f>
        <v/>
      </c>
      <c r="D366" s="9">
        <f>IF(ISNA(MATCH(353,Engine!$C$2:$C$1369,0)),"",INDEX('Compliance Database'!$D$2:$D$1369,MATCH(353,Engine!$C$2:$C$1369,0)))</f>
        <v/>
      </c>
      <c r="E366" s="8">
        <f>IF(ISNA(MATCH(353,Engine!$C$2:$C$1369,0)),"",INDEX('Compliance Database'!$E$2:$E$1369,MATCH(353,Engine!$C$2:$C$1369,0)))</f>
        <v/>
      </c>
      <c r="F366" s="8">
        <f>IF(ISNA(MATCH(353,Engine!$C$2:$C$1369,0)),"",INDEX('Compliance Database'!$F$2:$F$1369,MATCH(353,Engine!$C$2:$C$1369,0)))</f>
        <v/>
      </c>
      <c r="G366" s="8">
        <f>IF(ISNA(MATCH(353,Engine!$C$2:$C$1369,0)),"",INDEX('Compliance Database'!$G$2:$G$1369,MATCH(353,Engine!$C$2:$C$1369,0)))</f>
        <v/>
      </c>
      <c r="H366" s="9">
        <f>IF(ISNA(MATCH(353,Engine!$C$2:$C$1369,0)),"",INDEX('Compliance Database'!$H$2:$H$1369,MATCH(353,Engine!$C$2:$C$1369,0)))</f>
        <v/>
      </c>
      <c r="I366" s="9">
        <f>IF(ISNA(MATCH(353,Engine!$C$2:$C$1369,0)),"",INDEX('Compliance Database'!$I$2:$I$1369,MATCH(353,Engine!$C$2:$C$1369,0)))</f>
        <v/>
      </c>
      <c r="J366" s="8">
        <f>IF(ISNA(MATCH(353,Engine!$C$2:$C$1369,0)),"",INDEX('Compliance Database'!$J$2:$J$1369,MATCH(353,Engine!$C$2:$C$1369,0)))</f>
        <v/>
      </c>
      <c r="K366" s="9">
        <f>IF(ISNA(MATCH(353,Engine!$C$2:$C$1369,0)),"",INDEX('Compliance Database'!$K$2:$K$1369,MATCH(353,Engine!$C$2:$C$1369,0)))</f>
        <v/>
      </c>
      <c r="L366" s="9">
        <f>IF(ISNA(MATCH(353,Engine!$C$2:$C$1369,0)),"",INDEX('Compliance Database'!$L$2:$L$1369,MATCH(353,Engine!$C$2:$C$1369,0)))</f>
        <v/>
      </c>
      <c r="M366" s="9">
        <f>IF(ISNA(MATCH(353,Engine!$C$2:$C$1369,0)),"",INDEX('Compliance Database'!$M$2:$M$1369,MATCH(353,Engine!$C$2:$C$1369,0)))</f>
        <v/>
      </c>
      <c r="N366" s="9">
        <f>IF(ISNA(MATCH(353,Engine!$C$2:$C$1369,0)),"",INDEX('Compliance Database'!$N$2:$N$1369,MATCH(353,Engine!$C$2:$C$1369,0)))</f>
        <v/>
      </c>
      <c r="O366" s="8">
        <f>IF(ISNA(MATCH(353,Engine!$C$2:$C$1369,0)),"",HYPERLINK(INDEX('Compliance Database'!$O$2:$O$1369,MATCH(353,Engine!$C$2:$C$1369,0)),"Open PDF"))</f>
        <v/>
      </c>
    </row>
    <row r="367" ht="188" customHeight="1">
      <c r="A367" s="8">
        <f>IF(ISNA(MATCH(354,Engine!$C$2:$C$1369,0)),"",INDEX('Compliance Database'!$A$2:$A$1369,MATCH(354,Engine!$C$2:$C$1369,0)))</f>
        <v/>
      </c>
      <c r="B367" s="8">
        <f>IF(ISNA(MATCH(354,Engine!$C$2:$C$1369,0)),"",INDEX('Compliance Database'!$B$2:$B$1369,MATCH(354,Engine!$C$2:$C$1369,0)))</f>
        <v/>
      </c>
      <c r="C367" s="8">
        <f>IF(ISNA(MATCH(354,Engine!$C$2:$C$1369,0)),"",INDEX('Compliance Database'!$C$2:$C$1369,MATCH(354,Engine!$C$2:$C$1369,0)))</f>
        <v/>
      </c>
      <c r="D367" s="9">
        <f>IF(ISNA(MATCH(354,Engine!$C$2:$C$1369,0)),"",INDEX('Compliance Database'!$D$2:$D$1369,MATCH(354,Engine!$C$2:$C$1369,0)))</f>
        <v/>
      </c>
      <c r="E367" s="8">
        <f>IF(ISNA(MATCH(354,Engine!$C$2:$C$1369,0)),"",INDEX('Compliance Database'!$E$2:$E$1369,MATCH(354,Engine!$C$2:$C$1369,0)))</f>
        <v/>
      </c>
      <c r="F367" s="8">
        <f>IF(ISNA(MATCH(354,Engine!$C$2:$C$1369,0)),"",INDEX('Compliance Database'!$F$2:$F$1369,MATCH(354,Engine!$C$2:$C$1369,0)))</f>
        <v/>
      </c>
      <c r="G367" s="8">
        <f>IF(ISNA(MATCH(354,Engine!$C$2:$C$1369,0)),"",INDEX('Compliance Database'!$G$2:$G$1369,MATCH(354,Engine!$C$2:$C$1369,0)))</f>
        <v/>
      </c>
      <c r="H367" s="9">
        <f>IF(ISNA(MATCH(354,Engine!$C$2:$C$1369,0)),"",INDEX('Compliance Database'!$H$2:$H$1369,MATCH(354,Engine!$C$2:$C$1369,0)))</f>
        <v/>
      </c>
      <c r="I367" s="9">
        <f>IF(ISNA(MATCH(354,Engine!$C$2:$C$1369,0)),"",INDEX('Compliance Database'!$I$2:$I$1369,MATCH(354,Engine!$C$2:$C$1369,0)))</f>
        <v/>
      </c>
      <c r="J367" s="8">
        <f>IF(ISNA(MATCH(354,Engine!$C$2:$C$1369,0)),"",INDEX('Compliance Database'!$J$2:$J$1369,MATCH(354,Engine!$C$2:$C$1369,0)))</f>
        <v/>
      </c>
      <c r="K367" s="9">
        <f>IF(ISNA(MATCH(354,Engine!$C$2:$C$1369,0)),"",INDEX('Compliance Database'!$K$2:$K$1369,MATCH(354,Engine!$C$2:$C$1369,0)))</f>
        <v/>
      </c>
      <c r="L367" s="9">
        <f>IF(ISNA(MATCH(354,Engine!$C$2:$C$1369,0)),"",INDEX('Compliance Database'!$L$2:$L$1369,MATCH(354,Engine!$C$2:$C$1369,0)))</f>
        <v/>
      </c>
      <c r="M367" s="9">
        <f>IF(ISNA(MATCH(354,Engine!$C$2:$C$1369,0)),"",INDEX('Compliance Database'!$M$2:$M$1369,MATCH(354,Engine!$C$2:$C$1369,0)))</f>
        <v/>
      </c>
      <c r="N367" s="9">
        <f>IF(ISNA(MATCH(354,Engine!$C$2:$C$1369,0)),"",INDEX('Compliance Database'!$N$2:$N$1369,MATCH(354,Engine!$C$2:$C$1369,0)))</f>
        <v/>
      </c>
      <c r="O367" s="8">
        <f>IF(ISNA(MATCH(354,Engine!$C$2:$C$1369,0)),"",HYPERLINK(INDEX('Compliance Database'!$O$2:$O$1369,MATCH(354,Engine!$C$2:$C$1369,0)),"Open PDF"))</f>
        <v/>
      </c>
    </row>
    <row r="368" ht="188" customHeight="1">
      <c r="A368" s="8">
        <f>IF(ISNA(MATCH(355,Engine!$C$2:$C$1369,0)),"",INDEX('Compliance Database'!$A$2:$A$1369,MATCH(355,Engine!$C$2:$C$1369,0)))</f>
        <v/>
      </c>
      <c r="B368" s="8">
        <f>IF(ISNA(MATCH(355,Engine!$C$2:$C$1369,0)),"",INDEX('Compliance Database'!$B$2:$B$1369,MATCH(355,Engine!$C$2:$C$1369,0)))</f>
        <v/>
      </c>
      <c r="C368" s="8">
        <f>IF(ISNA(MATCH(355,Engine!$C$2:$C$1369,0)),"",INDEX('Compliance Database'!$C$2:$C$1369,MATCH(355,Engine!$C$2:$C$1369,0)))</f>
        <v/>
      </c>
      <c r="D368" s="9">
        <f>IF(ISNA(MATCH(355,Engine!$C$2:$C$1369,0)),"",INDEX('Compliance Database'!$D$2:$D$1369,MATCH(355,Engine!$C$2:$C$1369,0)))</f>
        <v/>
      </c>
      <c r="E368" s="8">
        <f>IF(ISNA(MATCH(355,Engine!$C$2:$C$1369,0)),"",INDEX('Compliance Database'!$E$2:$E$1369,MATCH(355,Engine!$C$2:$C$1369,0)))</f>
        <v/>
      </c>
      <c r="F368" s="8">
        <f>IF(ISNA(MATCH(355,Engine!$C$2:$C$1369,0)),"",INDEX('Compliance Database'!$F$2:$F$1369,MATCH(355,Engine!$C$2:$C$1369,0)))</f>
        <v/>
      </c>
      <c r="G368" s="8">
        <f>IF(ISNA(MATCH(355,Engine!$C$2:$C$1369,0)),"",INDEX('Compliance Database'!$G$2:$G$1369,MATCH(355,Engine!$C$2:$C$1369,0)))</f>
        <v/>
      </c>
      <c r="H368" s="9">
        <f>IF(ISNA(MATCH(355,Engine!$C$2:$C$1369,0)),"",INDEX('Compliance Database'!$H$2:$H$1369,MATCH(355,Engine!$C$2:$C$1369,0)))</f>
        <v/>
      </c>
      <c r="I368" s="9">
        <f>IF(ISNA(MATCH(355,Engine!$C$2:$C$1369,0)),"",INDEX('Compliance Database'!$I$2:$I$1369,MATCH(355,Engine!$C$2:$C$1369,0)))</f>
        <v/>
      </c>
      <c r="J368" s="8">
        <f>IF(ISNA(MATCH(355,Engine!$C$2:$C$1369,0)),"",INDEX('Compliance Database'!$J$2:$J$1369,MATCH(355,Engine!$C$2:$C$1369,0)))</f>
        <v/>
      </c>
      <c r="K368" s="9">
        <f>IF(ISNA(MATCH(355,Engine!$C$2:$C$1369,0)),"",INDEX('Compliance Database'!$K$2:$K$1369,MATCH(355,Engine!$C$2:$C$1369,0)))</f>
        <v/>
      </c>
      <c r="L368" s="9">
        <f>IF(ISNA(MATCH(355,Engine!$C$2:$C$1369,0)),"",INDEX('Compliance Database'!$L$2:$L$1369,MATCH(355,Engine!$C$2:$C$1369,0)))</f>
        <v/>
      </c>
      <c r="M368" s="9">
        <f>IF(ISNA(MATCH(355,Engine!$C$2:$C$1369,0)),"",INDEX('Compliance Database'!$M$2:$M$1369,MATCH(355,Engine!$C$2:$C$1369,0)))</f>
        <v/>
      </c>
      <c r="N368" s="9">
        <f>IF(ISNA(MATCH(355,Engine!$C$2:$C$1369,0)),"",INDEX('Compliance Database'!$N$2:$N$1369,MATCH(355,Engine!$C$2:$C$1369,0)))</f>
        <v/>
      </c>
      <c r="O368" s="8">
        <f>IF(ISNA(MATCH(355,Engine!$C$2:$C$1369,0)),"",HYPERLINK(INDEX('Compliance Database'!$O$2:$O$1369,MATCH(355,Engine!$C$2:$C$1369,0)),"Open PDF"))</f>
        <v/>
      </c>
    </row>
    <row r="369" ht="188" customHeight="1">
      <c r="A369" s="8">
        <f>IF(ISNA(MATCH(356,Engine!$C$2:$C$1369,0)),"",INDEX('Compliance Database'!$A$2:$A$1369,MATCH(356,Engine!$C$2:$C$1369,0)))</f>
        <v/>
      </c>
      <c r="B369" s="8">
        <f>IF(ISNA(MATCH(356,Engine!$C$2:$C$1369,0)),"",INDEX('Compliance Database'!$B$2:$B$1369,MATCH(356,Engine!$C$2:$C$1369,0)))</f>
        <v/>
      </c>
      <c r="C369" s="8">
        <f>IF(ISNA(MATCH(356,Engine!$C$2:$C$1369,0)),"",INDEX('Compliance Database'!$C$2:$C$1369,MATCH(356,Engine!$C$2:$C$1369,0)))</f>
        <v/>
      </c>
      <c r="D369" s="9">
        <f>IF(ISNA(MATCH(356,Engine!$C$2:$C$1369,0)),"",INDEX('Compliance Database'!$D$2:$D$1369,MATCH(356,Engine!$C$2:$C$1369,0)))</f>
        <v/>
      </c>
      <c r="E369" s="8">
        <f>IF(ISNA(MATCH(356,Engine!$C$2:$C$1369,0)),"",INDEX('Compliance Database'!$E$2:$E$1369,MATCH(356,Engine!$C$2:$C$1369,0)))</f>
        <v/>
      </c>
      <c r="F369" s="8">
        <f>IF(ISNA(MATCH(356,Engine!$C$2:$C$1369,0)),"",INDEX('Compliance Database'!$F$2:$F$1369,MATCH(356,Engine!$C$2:$C$1369,0)))</f>
        <v/>
      </c>
      <c r="G369" s="8">
        <f>IF(ISNA(MATCH(356,Engine!$C$2:$C$1369,0)),"",INDEX('Compliance Database'!$G$2:$G$1369,MATCH(356,Engine!$C$2:$C$1369,0)))</f>
        <v/>
      </c>
      <c r="H369" s="9">
        <f>IF(ISNA(MATCH(356,Engine!$C$2:$C$1369,0)),"",INDEX('Compliance Database'!$H$2:$H$1369,MATCH(356,Engine!$C$2:$C$1369,0)))</f>
        <v/>
      </c>
      <c r="I369" s="9">
        <f>IF(ISNA(MATCH(356,Engine!$C$2:$C$1369,0)),"",INDEX('Compliance Database'!$I$2:$I$1369,MATCH(356,Engine!$C$2:$C$1369,0)))</f>
        <v/>
      </c>
      <c r="J369" s="8">
        <f>IF(ISNA(MATCH(356,Engine!$C$2:$C$1369,0)),"",INDEX('Compliance Database'!$J$2:$J$1369,MATCH(356,Engine!$C$2:$C$1369,0)))</f>
        <v/>
      </c>
      <c r="K369" s="9">
        <f>IF(ISNA(MATCH(356,Engine!$C$2:$C$1369,0)),"",INDEX('Compliance Database'!$K$2:$K$1369,MATCH(356,Engine!$C$2:$C$1369,0)))</f>
        <v/>
      </c>
      <c r="L369" s="9">
        <f>IF(ISNA(MATCH(356,Engine!$C$2:$C$1369,0)),"",INDEX('Compliance Database'!$L$2:$L$1369,MATCH(356,Engine!$C$2:$C$1369,0)))</f>
        <v/>
      </c>
      <c r="M369" s="9">
        <f>IF(ISNA(MATCH(356,Engine!$C$2:$C$1369,0)),"",INDEX('Compliance Database'!$M$2:$M$1369,MATCH(356,Engine!$C$2:$C$1369,0)))</f>
        <v/>
      </c>
      <c r="N369" s="9">
        <f>IF(ISNA(MATCH(356,Engine!$C$2:$C$1369,0)),"",INDEX('Compliance Database'!$N$2:$N$1369,MATCH(356,Engine!$C$2:$C$1369,0)))</f>
        <v/>
      </c>
      <c r="O369" s="8">
        <f>IF(ISNA(MATCH(356,Engine!$C$2:$C$1369,0)),"",HYPERLINK(INDEX('Compliance Database'!$O$2:$O$1369,MATCH(356,Engine!$C$2:$C$1369,0)),"Open PDF"))</f>
        <v/>
      </c>
    </row>
    <row r="370" ht="188" customHeight="1">
      <c r="A370" s="8">
        <f>IF(ISNA(MATCH(357,Engine!$C$2:$C$1369,0)),"",INDEX('Compliance Database'!$A$2:$A$1369,MATCH(357,Engine!$C$2:$C$1369,0)))</f>
        <v/>
      </c>
      <c r="B370" s="8">
        <f>IF(ISNA(MATCH(357,Engine!$C$2:$C$1369,0)),"",INDEX('Compliance Database'!$B$2:$B$1369,MATCH(357,Engine!$C$2:$C$1369,0)))</f>
        <v/>
      </c>
      <c r="C370" s="8">
        <f>IF(ISNA(MATCH(357,Engine!$C$2:$C$1369,0)),"",INDEX('Compliance Database'!$C$2:$C$1369,MATCH(357,Engine!$C$2:$C$1369,0)))</f>
        <v/>
      </c>
      <c r="D370" s="9">
        <f>IF(ISNA(MATCH(357,Engine!$C$2:$C$1369,0)),"",INDEX('Compliance Database'!$D$2:$D$1369,MATCH(357,Engine!$C$2:$C$1369,0)))</f>
        <v/>
      </c>
      <c r="E370" s="8">
        <f>IF(ISNA(MATCH(357,Engine!$C$2:$C$1369,0)),"",INDEX('Compliance Database'!$E$2:$E$1369,MATCH(357,Engine!$C$2:$C$1369,0)))</f>
        <v/>
      </c>
      <c r="F370" s="8">
        <f>IF(ISNA(MATCH(357,Engine!$C$2:$C$1369,0)),"",INDEX('Compliance Database'!$F$2:$F$1369,MATCH(357,Engine!$C$2:$C$1369,0)))</f>
        <v/>
      </c>
      <c r="G370" s="8">
        <f>IF(ISNA(MATCH(357,Engine!$C$2:$C$1369,0)),"",INDEX('Compliance Database'!$G$2:$G$1369,MATCH(357,Engine!$C$2:$C$1369,0)))</f>
        <v/>
      </c>
      <c r="H370" s="9">
        <f>IF(ISNA(MATCH(357,Engine!$C$2:$C$1369,0)),"",INDEX('Compliance Database'!$H$2:$H$1369,MATCH(357,Engine!$C$2:$C$1369,0)))</f>
        <v/>
      </c>
      <c r="I370" s="9">
        <f>IF(ISNA(MATCH(357,Engine!$C$2:$C$1369,0)),"",INDEX('Compliance Database'!$I$2:$I$1369,MATCH(357,Engine!$C$2:$C$1369,0)))</f>
        <v/>
      </c>
      <c r="J370" s="8">
        <f>IF(ISNA(MATCH(357,Engine!$C$2:$C$1369,0)),"",INDEX('Compliance Database'!$J$2:$J$1369,MATCH(357,Engine!$C$2:$C$1369,0)))</f>
        <v/>
      </c>
      <c r="K370" s="9">
        <f>IF(ISNA(MATCH(357,Engine!$C$2:$C$1369,0)),"",INDEX('Compliance Database'!$K$2:$K$1369,MATCH(357,Engine!$C$2:$C$1369,0)))</f>
        <v/>
      </c>
      <c r="L370" s="9">
        <f>IF(ISNA(MATCH(357,Engine!$C$2:$C$1369,0)),"",INDEX('Compliance Database'!$L$2:$L$1369,MATCH(357,Engine!$C$2:$C$1369,0)))</f>
        <v/>
      </c>
      <c r="M370" s="9">
        <f>IF(ISNA(MATCH(357,Engine!$C$2:$C$1369,0)),"",INDEX('Compliance Database'!$M$2:$M$1369,MATCH(357,Engine!$C$2:$C$1369,0)))</f>
        <v/>
      </c>
      <c r="N370" s="9">
        <f>IF(ISNA(MATCH(357,Engine!$C$2:$C$1369,0)),"",INDEX('Compliance Database'!$N$2:$N$1369,MATCH(357,Engine!$C$2:$C$1369,0)))</f>
        <v/>
      </c>
      <c r="O370" s="8">
        <f>IF(ISNA(MATCH(357,Engine!$C$2:$C$1369,0)),"",HYPERLINK(INDEX('Compliance Database'!$O$2:$O$1369,MATCH(357,Engine!$C$2:$C$1369,0)),"Open PDF"))</f>
        <v/>
      </c>
    </row>
    <row r="371" ht="188" customHeight="1">
      <c r="A371" s="8">
        <f>IF(ISNA(MATCH(358,Engine!$C$2:$C$1369,0)),"",INDEX('Compliance Database'!$A$2:$A$1369,MATCH(358,Engine!$C$2:$C$1369,0)))</f>
        <v/>
      </c>
      <c r="B371" s="8">
        <f>IF(ISNA(MATCH(358,Engine!$C$2:$C$1369,0)),"",INDEX('Compliance Database'!$B$2:$B$1369,MATCH(358,Engine!$C$2:$C$1369,0)))</f>
        <v/>
      </c>
      <c r="C371" s="8">
        <f>IF(ISNA(MATCH(358,Engine!$C$2:$C$1369,0)),"",INDEX('Compliance Database'!$C$2:$C$1369,MATCH(358,Engine!$C$2:$C$1369,0)))</f>
        <v/>
      </c>
      <c r="D371" s="9">
        <f>IF(ISNA(MATCH(358,Engine!$C$2:$C$1369,0)),"",INDEX('Compliance Database'!$D$2:$D$1369,MATCH(358,Engine!$C$2:$C$1369,0)))</f>
        <v/>
      </c>
      <c r="E371" s="8">
        <f>IF(ISNA(MATCH(358,Engine!$C$2:$C$1369,0)),"",INDEX('Compliance Database'!$E$2:$E$1369,MATCH(358,Engine!$C$2:$C$1369,0)))</f>
        <v/>
      </c>
      <c r="F371" s="8">
        <f>IF(ISNA(MATCH(358,Engine!$C$2:$C$1369,0)),"",INDEX('Compliance Database'!$F$2:$F$1369,MATCH(358,Engine!$C$2:$C$1369,0)))</f>
        <v/>
      </c>
      <c r="G371" s="8">
        <f>IF(ISNA(MATCH(358,Engine!$C$2:$C$1369,0)),"",INDEX('Compliance Database'!$G$2:$G$1369,MATCH(358,Engine!$C$2:$C$1369,0)))</f>
        <v/>
      </c>
      <c r="H371" s="9">
        <f>IF(ISNA(MATCH(358,Engine!$C$2:$C$1369,0)),"",INDEX('Compliance Database'!$H$2:$H$1369,MATCH(358,Engine!$C$2:$C$1369,0)))</f>
        <v/>
      </c>
      <c r="I371" s="9">
        <f>IF(ISNA(MATCH(358,Engine!$C$2:$C$1369,0)),"",INDEX('Compliance Database'!$I$2:$I$1369,MATCH(358,Engine!$C$2:$C$1369,0)))</f>
        <v/>
      </c>
      <c r="J371" s="8">
        <f>IF(ISNA(MATCH(358,Engine!$C$2:$C$1369,0)),"",INDEX('Compliance Database'!$J$2:$J$1369,MATCH(358,Engine!$C$2:$C$1369,0)))</f>
        <v/>
      </c>
      <c r="K371" s="9">
        <f>IF(ISNA(MATCH(358,Engine!$C$2:$C$1369,0)),"",INDEX('Compliance Database'!$K$2:$K$1369,MATCH(358,Engine!$C$2:$C$1369,0)))</f>
        <v/>
      </c>
      <c r="L371" s="9">
        <f>IF(ISNA(MATCH(358,Engine!$C$2:$C$1369,0)),"",INDEX('Compliance Database'!$L$2:$L$1369,MATCH(358,Engine!$C$2:$C$1369,0)))</f>
        <v/>
      </c>
      <c r="M371" s="9">
        <f>IF(ISNA(MATCH(358,Engine!$C$2:$C$1369,0)),"",INDEX('Compliance Database'!$M$2:$M$1369,MATCH(358,Engine!$C$2:$C$1369,0)))</f>
        <v/>
      </c>
      <c r="N371" s="9">
        <f>IF(ISNA(MATCH(358,Engine!$C$2:$C$1369,0)),"",INDEX('Compliance Database'!$N$2:$N$1369,MATCH(358,Engine!$C$2:$C$1369,0)))</f>
        <v/>
      </c>
      <c r="O371" s="8">
        <f>IF(ISNA(MATCH(358,Engine!$C$2:$C$1369,0)),"",HYPERLINK(INDEX('Compliance Database'!$O$2:$O$1369,MATCH(358,Engine!$C$2:$C$1369,0)),"Open PDF"))</f>
        <v/>
      </c>
    </row>
    <row r="372" ht="188" customHeight="1">
      <c r="A372" s="8">
        <f>IF(ISNA(MATCH(359,Engine!$C$2:$C$1369,0)),"",INDEX('Compliance Database'!$A$2:$A$1369,MATCH(359,Engine!$C$2:$C$1369,0)))</f>
        <v/>
      </c>
      <c r="B372" s="8">
        <f>IF(ISNA(MATCH(359,Engine!$C$2:$C$1369,0)),"",INDEX('Compliance Database'!$B$2:$B$1369,MATCH(359,Engine!$C$2:$C$1369,0)))</f>
        <v/>
      </c>
      <c r="C372" s="8">
        <f>IF(ISNA(MATCH(359,Engine!$C$2:$C$1369,0)),"",INDEX('Compliance Database'!$C$2:$C$1369,MATCH(359,Engine!$C$2:$C$1369,0)))</f>
        <v/>
      </c>
      <c r="D372" s="9">
        <f>IF(ISNA(MATCH(359,Engine!$C$2:$C$1369,0)),"",INDEX('Compliance Database'!$D$2:$D$1369,MATCH(359,Engine!$C$2:$C$1369,0)))</f>
        <v/>
      </c>
      <c r="E372" s="8">
        <f>IF(ISNA(MATCH(359,Engine!$C$2:$C$1369,0)),"",INDEX('Compliance Database'!$E$2:$E$1369,MATCH(359,Engine!$C$2:$C$1369,0)))</f>
        <v/>
      </c>
      <c r="F372" s="8">
        <f>IF(ISNA(MATCH(359,Engine!$C$2:$C$1369,0)),"",INDEX('Compliance Database'!$F$2:$F$1369,MATCH(359,Engine!$C$2:$C$1369,0)))</f>
        <v/>
      </c>
      <c r="G372" s="8">
        <f>IF(ISNA(MATCH(359,Engine!$C$2:$C$1369,0)),"",INDEX('Compliance Database'!$G$2:$G$1369,MATCH(359,Engine!$C$2:$C$1369,0)))</f>
        <v/>
      </c>
      <c r="H372" s="9">
        <f>IF(ISNA(MATCH(359,Engine!$C$2:$C$1369,0)),"",INDEX('Compliance Database'!$H$2:$H$1369,MATCH(359,Engine!$C$2:$C$1369,0)))</f>
        <v/>
      </c>
      <c r="I372" s="9">
        <f>IF(ISNA(MATCH(359,Engine!$C$2:$C$1369,0)),"",INDEX('Compliance Database'!$I$2:$I$1369,MATCH(359,Engine!$C$2:$C$1369,0)))</f>
        <v/>
      </c>
      <c r="J372" s="8">
        <f>IF(ISNA(MATCH(359,Engine!$C$2:$C$1369,0)),"",INDEX('Compliance Database'!$J$2:$J$1369,MATCH(359,Engine!$C$2:$C$1369,0)))</f>
        <v/>
      </c>
      <c r="K372" s="9">
        <f>IF(ISNA(MATCH(359,Engine!$C$2:$C$1369,0)),"",INDEX('Compliance Database'!$K$2:$K$1369,MATCH(359,Engine!$C$2:$C$1369,0)))</f>
        <v/>
      </c>
      <c r="L372" s="9">
        <f>IF(ISNA(MATCH(359,Engine!$C$2:$C$1369,0)),"",INDEX('Compliance Database'!$L$2:$L$1369,MATCH(359,Engine!$C$2:$C$1369,0)))</f>
        <v/>
      </c>
      <c r="M372" s="9">
        <f>IF(ISNA(MATCH(359,Engine!$C$2:$C$1369,0)),"",INDEX('Compliance Database'!$M$2:$M$1369,MATCH(359,Engine!$C$2:$C$1369,0)))</f>
        <v/>
      </c>
      <c r="N372" s="9">
        <f>IF(ISNA(MATCH(359,Engine!$C$2:$C$1369,0)),"",INDEX('Compliance Database'!$N$2:$N$1369,MATCH(359,Engine!$C$2:$C$1369,0)))</f>
        <v/>
      </c>
      <c r="O372" s="8">
        <f>IF(ISNA(MATCH(359,Engine!$C$2:$C$1369,0)),"",HYPERLINK(INDEX('Compliance Database'!$O$2:$O$1369,MATCH(359,Engine!$C$2:$C$1369,0)),"Open PDF"))</f>
        <v/>
      </c>
    </row>
    <row r="373" ht="188" customHeight="1">
      <c r="A373" s="8">
        <f>IF(ISNA(MATCH(360,Engine!$C$2:$C$1369,0)),"",INDEX('Compliance Database'!$A$2:$A$1369,MATCH(360,Engine!$C$2:$C$1369,0)))</f>
        <v/>
      </c>
      <c r="B373" s="8">
        <f>IF(ISNA(MATCH(360,Engine!$C$2:$C$1369,0)),"",INDEX('Compliance Database'!$B$2:$B$1369,MATCH(360,Engine!$C$2:$C$1369,0)))</f>
        <v/>
      </c>
      <c r="C373" s="8">
        <f>IF(ISNA(MATCH(360,Engine!$C$2:$C$1369,0)),"",INDEX('Compliance Database'!$C$2:$C$1369,MATCH(360,Engine!$C$2:$C$1369,0)))</f>
        <v/>
      </c>
      <c r="D373" s="9">
        <f>IF(ISNA(MATCH(360,Engine!$C$2:$C$1369,0)),"",INDEX('Compliance Database'!$D$2:$D$1369,MATCH(360,Engine!$C$2:$C$1369,0)))</f>
        <v/>
      </c>
      <c r="E373" s="8">
        <f>IF(ISNA(MATCH(360,Engine!$C$2:$C$1369,0)),"",INDEX('Compliance Database'!$E$2:$E$1369,MATCH(360,Engine!$C$2:$C$1369,0)))</f>
        <v/>
      </c>
      <c r="F373" s="8">
        <f>IF(ISNA(MATCH(360,Engine!$C$2:$C$1369,0)),"",INDEX('Compliance Database'!$F$2:$F$1369,MATCH(360,Engine!$C$2:$C$1369,0)))</f>
        <v/>
      </c>
      <c r="G373" s="8">
        <f>IF(ISNA(MATCH(360,Engine!$C$2:$C$1369,0)),"",INDEX('Compliance Database'!$G$2:$G$1369,MATCH(360,Engine!$C$2:$C$1369,0)))</f>
        <v/>
      </c>
      <c r="H373" s="9">
        <f>IF(ISNA(MATCH(360,Engine!$C$2:$C$1369,0)),"",INDEX('Compliance Database'!$H$2:$H$1369,MATCH(360,Engine!$C$2:$C$1369,0)))</f>
        <v/>
      </c>
      <c r="I373" s="9">
        <f>IF(ISNA(MATCH(360,Engine!$C$2:$C$1369,0)),"",INDEX('Compliance Database'!$I$2:$I$1369,MATCH(360,Engine!$C$2:$C$1369,0)))</f>
        <v/>
      </c>
      <c r="J373" s="8">
        <f>IF(ISNA(MATCH(360,Engine!$C$2:$C$1369,0)),"",INDEX('Compliance Database'!$J$2:$J$1369,MATCH(360,Engine!$C$2:$C$1369,0)))</f>
        <v/>
      </c>
      <c r="K373" s="9">
        <f>IF(ISNA(MATCH(360,Engine!$C$2:$C$1369,0)),"",INDEX('Compliance Database'!$K$2:$K$1369,MATCH(360,Engine!$C$2:$C$1369,0)))</f>
        <v/>
      </c>
      <c r="L373" s="9">
        <f>IF(ISNA(MATCH(360,Engine!$C$2:$C$1369,0)),"",INDEX('Compliance Database'!$L$2:$L$1369,MATCH(360,Engine!$C$2:$C$1369,0)))</f>
        <v/>
      </c>
      <c r="M373" s="9">
        <f>IF(ISNA(MATCH(360,Engine!$C$2:$C$1369,0)),"",INDEX('Compliance Database'!$M$2:$M$1369,MATCH(360,Engine!$C$2:$C$1369,0)))</f>
        <v/>
      </c>
      <c r="N373" s="9">
        <f>IF(ISNA(MATCH(360,Engine!$C$2:$C$1369,0)),"",INDEX('Compliance Database'!$N$2:$N$1369,MATCH(360,Engine!$C$2:$C$1369,0)))</f>
        <v/>
      </c>
      <c r="O373" s="8">
        <f>IF(ISNA(MATCH(360,Engine!$C$2:$C$1369,0)),"",HYPERLINK(INDEX('Compliance Database'!$O$2:$O$1369,MATCH(360,Engine!$C$2:$C$1369,0)),"Open PDF"))</f>
        <v/>
      </c>
    </row>
    <row r="374" ht="188" customHeight="1">
      <c r="A374" s="8">
        <f>IF(ISNA(MATCH(361,Engine!$C$2:$C$1369,0)),"",INDEX('Compliance Database'!$A$2:$A$1369,MATCH(361,Engine!$C$2:$C$1369,0)))</f>
        <v/>
      </c>
      <c r="B374" s="8">
        <f>IF(ISNA(MATCH(361,Engine!$C$2:$C$1369,0)),"",INDEX('Compliance Database'!$B$2:$B$1369,MATCH(361,Engine!$C$2:$C$1369,0)))</f>
        <v/>
      </c>
      <c r="C374" s="8">
        <f>IF(ISNA(MATCH(361,Engine!$C$2:$C$1369,0)),"",INDEX('Compliance Database'!$C$2:$C$1369,MATCH(361,Engine!$C$2:$C$1369,0)))</f>
        <v/>
      </c>
      <c r="D374" s="9">
        <f>IF(ISNA(MATCH(361,Engine!$C$2:$C$1369,0)),"",INDEX('Compliance Database'!$D$2:$D$1369,MATCH(361,Engine!$C$2:$C$1369,0)))</f>
        <v/>
      </c>
      <c r="E374" s="8">
        <f>IF(ISNA(MATCH(361,Engine!$C$2:$C$1369,0)),"",INDEX('Compliance Database'!$E$2:$E$1369,MATCH(361,Engine!$C$2:$C$1369,0)))</f>
        <v/>
      </c>
      <c r="F374" s="8">
        <f>IF(ISNA(MATCH(361,Engine!$C$2:$C$1369,0)),"",INDEX('Compliance Database'!$F$2:$F$1369,MATCH(361,Engine!$C$2:$C$1369,0)))</f>
        <v/>
      </c>
      <c r="G374" s="8">
        <f>IF(ISNA(MATCH(361,Engine!$C$2:$C$1369,0)),"",INDEX('Compliance Database'!$G$2:$G$1369,MATCH(361,Engine!$C$2:$C$1369,0)))</f>
        <v/>
      </c>
      <c r="H374" s="9">
        <f>IF(ISNA(MATCH(361,Engine!$C$2:$C$1369,0)),"",INDEX('Compliance Database'!$H$2:$H$1369,MATCH(361,Engine!$C$2:$C$1369,0)))</f>
        <v/>
      </c>
      <c r="I374" s="9">
        <f>IF(ISNA(MATCH(361,Engine!$C$2:$C$1369,0)),"",INDEX('Compliance Database'!$I$2:$I$1369,MATCH(361,Engine!$C$2:$C$1369,0)))</f>
        <v/>
      </c>
      <c r="J374" s="8">
        <f>IF(ISNA(MATCH(361,Engine!$C$2:$C$1369,0)),"",INDEX('Compliance Database'!$J$2:$J$1369,MATCH(361,Engine!$C$2:$C$1369,0)))</f>
        <v/>
      </c>
      <c r="K374" s="9">
        <f>IF(ISNA(MATCH(361,Engine!$C$2:$C$1369,0)),"",INDEX('Compliance Database'!$K$2:$K$1369,MATCH(361,Engine!$C$2:$C$1369,0)))</f>
        <v/>
      </c>
      <c r="L374" s="9">
        <f>IF(ISNA(MATCH(361,Engine!$C$2:$C$1369,0)),"",INDEX('Compliance Database'!$L$2:$L$1369,MATCH(361,Engine!$C$2:$C$1369,0)))</f>
        <v/>
      </c>
      <c r="M374" s="9">
        <f>IF(ISNA(MATCH(361,Engine!$C$2:$C$1369,0)),"",INDEX('Compliance Database'!$M$2:$M$1369,MATCH(361,Engine!$C$2:$C$1369,0)))</f>
        <v/>
      </c>
      <c r="N374" s="9">
        <f>IF(ISNA(MATCH(361,Engine!$C$2:$C$1369,0)),"",INDEX('Compliance Database'!$N$2:$N$1369,MATCH(361,Engine!$C$2:$C$1369,0)))</f>
        <v/>
      </c>
      <c r="O374" s="8">
        <f>IF(ISNA(MATCH(361,Engine!$C$2:$C$1369,0)),"",HYPERLINK(INDEX('Compliance Database'!$O$2:$O$1369,MATCH(361,Engine!$C$2:$C$1369,0)),"Open PDF"))</f>
        <v/>
      </c>
    </row>
    <row r="375" ht="188" customHeight="1">
      <c r="A375" s="8">
        <f>IF(ISNA(MATCH(362,Engine!$C$2:$C$1369,0)),"",INDEX('Compliance Database'!$A$2:$A$1369,MATCH(362,Engine!$C$2:$C$1369,0)))</f>
        <v/>
      </c>
      <c r="B375" s="8">
        <f>IF(ISNA(MATCH(362,Engine!$C$2:$C$1369,0)),"",INDEX('Compliance Database'!$B$2:$B$1369,MATCH(362,Engine!$C$2:$C$1369,0)))</f>
        <v/>
      </c>
      <c r="C375" s="8">
        <f>IF(ISNA(MATCH(362,Engine!$C$2:$C$1369,0)),"",INDEX('Compliance Database'!$C$2:$C$1369,MATCH(362,Engine!$C$2:$C$1369,0)))</f>
        <v/>
      </c>
      <c r="D375" s="9">
        <f>IF(ISNA(MATCH(362,Engine!$C$2:$C$1369,0)),"",INDEX('Compliance Database'!$D$2:$D$1369,MATCH(362,Engine!$C$2:$C$1369,0)))</f>
        <v/>
      </c>
      <c r="E375" s="8">
        <f>IF(ISNA(MATCH(362,Engine!$C$2:$C$1369,0)),"",INDEX('Compliance Database'!$E$2:$E$1369,MATCH(362,Engine!$C$2:$C$1369,0)))</f>
        <v/>
      </c>
      <c r="F375" s="8">
        <f>IF(ISNA(MATCH(362,Engine!$C$2:$C$1369,0)),"",INDEX('Compliance Database'!$F$2:$F$1369,MATCH(362,Engine!$C$2:$C$1369,0)))</f>
        <v/>
      </c>
      <c r="G375" s="8">
        <f>IF(ISNA(MATCH(362,Engine!$C$2:$C$1369,0)),"",INDEX('Compliance Database'!$G$2:$G$1369,MATCH(362,Engine!$C$2:$C$1369,0)))</f>
        <v/>
      </c>
      <c r="H375" s="9">
        <f>IF(ISNA(MATCH(362,Engine!$C$2:$C$1369,0)),"",INDEX('Compliance Database'!$H$2:$H$1369,MATCH(362,Engine!$C$2:$C$1369,0)))</f>
        <v/>
      </c>
      <c r="I375" s="9">
        <f>IF(ISNA(MATCH(362,Engine!$C$2:$C$1369,0)),"",INDEX('Compliance Database'!$I$2:$I$1369,MATCH(362,Engine!$C$2:$C$1369,0)))</f>
        <v/>
      </c>
      <c r="J375" s="8">
        <f>IF(ISNA(MATCH(362,Engine!$C$2:$C$1369,0)),"",INDEX('Compliance Database'!$J$2:$J$1369,MATCH(362,Engine!$C$2:$C$1369,0)))</f>
        <v/>
      </c>
      <c r="K375" s="9">
        <f>IF(ISNA(MATCH(362,Engine!$C$2:$C$1369,0)),"",INDEX('Compliance Database'!$K$2:$K$1369,MATCH(362,Engine!$C$2:$C$1369,0)))</f>
        <v/>
      </c>
      <c r="L375" s="9">
        <f>IF(ISNA(MATCH(362,Engine!$C$2:$C$1369,0)),"",INDEX('Compliance Database'!$L$2:$L$1369,MATCH(362,Engine!$C$2:$C$1369,0)))</f>
        <v/>
      </c>
      <c r="M375" s="9">
        <f>IF(ISNA(MATCH(362,Engine!$C$2:$C$1369,0)),"",INDEX('Compliance Database'!$M$2:$M$1369,MATCH(362,Engine!$C$2:$C$1369,0)))</f>
        <v/>
      </c>
      <c r="N375" s="9">
        <f>IF(ISNA(MATCH(362,Engine!$C$2:$C$1369,0)),"",INDEX('Compliance Database'!$N$2:$N$1369,MATCH(362,Engine!$C$2:$C$1369,0)))</f>
        <v/>
      </c>
      <c r="O375" s="8">
        <f>IF(ISNA(MATCH(362,Engine!$C$2:$C$1369,0)),"",HYPERLINK(INDEX('Compliance Database'!$O$2:$O$1369,MATCH(362,Engine!$C$2:$C$1369,0)),"Open PDF"))</f>
        <v/>
      </c>
    </row>
    <row r="376" ht="188" customHeight="1">
      <c r="A376" s="8">
        <f>IF(ISNA(MATCH(363,Engine!$C$2:$C$1369,0)),"",INDEX('Compliance Database'!$A$2:$A$1369,MATCH(363,Engine!$C$2:$C$1369,0)))</f>
        <v/>
      </c>
      <c r="B376" s="8">
        <f>IF(ISNA(MATCH(363,Engine!$C$2:$C$1369,0)),"",INDEX('Compliance Database'!$B$2:$B$1369,MATCH(363,Engine!$C$2:$C$1369,0)))</f>
        <v/>
      </c>
      <c r="C376" s="8">
        <f>IF(ISNA(MATCH(363,Engine!$C$2:$C$1369,0)),"",INDEX('Compliance Database'!$C$2:$C$1369,MATCH(363,Engine!$C$2:$C$1369,0)))</f>
        <v/>
      </c>
      <c r="D376" s="9">
        <f>IF(ISNA(MATCH(363,Engine!$C$2:$C$1369,0)),"",INDEX('Compliance Database'!$D$2:$D$1369,MATCH(363,Engine!$C$2:$C$1369,0)))</f>
        <v/>
      </c>
      <c r="E376" s="8">
        <f>IF(ISNA(MATCH(363,Engine!$C$2:$C$1369,0)),"",INDEX('Compliance Database'!$E$2:$E$1369,MATCH(363,Engine!$C$2:$C$1369,0)))</f>
        <v/>
      </c>
      <c r="F376" s="8">
        <f>IF(ISNA(MATCH(363,Engine!$C$2:$C$1369,0)),"",INDEX('Compliance Database'!$F$2:$F$1369,MATCH(363,Engine!$C$2:$C$1369,0)))</f>
        <v/>
      </c>
      <c r="G376" s="8">
        <f>IF(ISNA(MATCH(363,Engine!$C$2:$C$1369,0)),"",INDEX('Compliance Database'!$G$2:$G$1369,MATCH(363,Engine!$C$2:$C$1369,0)))</f>
        <v/>
      </c>
      <c r="H376" s="9">
        <f>IF(ISNA(MATCH(363,Engine!$C$2:$C$1369,0)),"",INDEX('Compliance Database'!$H$2:$H$1369,MATCH(363,Engine!$C$2:$C$1369,0)))</f>
        <v/>
      </c>
      <c r="I376" s="9">
        <f>IF(ISNA(MATCH(363,Engine!$C$2:$C$1369,0)),"",INDEX('Compliance Database'!$I$2:$I$1369,MATCH(363,Engine!$C$2:$C$1369,0)))</f>
        <v/>
      </c>
      <c r="J376" s="8">
        <f>IF(ISNA(MATCH(363,Engine!$C$2:$C$1369,0)),"",INDEX('Compliance Database'!$J$2:$J$1369,MATCH(363,Engine!$C$2:$C$1369,0)))</f>
        <v/>
      </c>
      <c r="K376" s="9">
        <f>IF(ISNA(MATCH(363,Engine!$C$2:$C$1369,0)),"",INDEX('Compliance Database'!$K$2:$K$1369,MATCH(363,Engine!$C$2:$C$1369,0)))</f>
        <v/>
      </c>
      <c r="L376" s="9">
        <f>IF(ISNA(MATCH(363,Engine!$C$2:$C$1369,0)),"",INDEX('Compliance Database'!$L$2:$L$1369,MATCH(363,Engine!$C$2:$C$1369,0)))</f>
        <v/>
      </c>
      <c r="M376" s="9">
        <f>IF(ISNA(MATCH(363,Engine!$C$2:$C$1369,0)),"",INDEX('Compliance Database'!$M$2:$M$1369,MATCH(363,Engine!$C$2:$C$1369,0)))</f>
        <v/>
      </c>
      <c r="N376" s="9">
        <f>IF(ISNA(MATCH(363,Engine!$C$2:$C$1369,0)),"",INDEX('Compliance Database'!$N$2:$N$1369,MATCH(363,Engine!$C$2:$C$1369,0)))</f>
        <v/>
      </c>
      <c r="O376" s="8">
        <f>IF(ISNA(MATCH(363,Engine!$C$2:$C$1369,0)),"",HYPERLINK(INDEX('Compliance Database'!$O$2:$O$1369,MATCH(363,Engine!$C$2:$C$1369,0)),"Open PDF"))</f>
        <v/>
      </c>
    </row>
    <row r="377" ht="188" customHeight="1">
      <c r="A377" s="8">
        <f>IF(ISNA(MATCH(364,Engine!$C$2:$C$1369,0)),"",INDEX('Compliance Database'!$A$2:$A$1369,MATCH(364,Engine!$C$2:$C$1369,0)))</f>
        <v/>
      </c>
      <c r="B377" s="8">
        <f>IF(ISNA(MATCH(364,Engine!$C$2:$C$1369,0)),"",INDEX('Compliance Database'!$B$2:$B$1369,MATCH(364,Engine!$C$2:$C$1369,0)))</f>
        <v/>
      </c>
      <c r="C377" s="8">
        <f>IF(ISNA(MATCH(364,Engine!$C$2:$C$1369,0)),"",INDEX('Compliance Database'!$C$2:$C$1369,MATCH(364,Engine!$C$2:$C$1369,0)))</f>
        <v/>
      </c>
      <c r="D377" s="9">
        <f>IF(ISNA(MATCH(364,Engine!$C$2:$C$1369,0)),"",INDEX('Compliance Database'!$D$2:$D$1369,MATCH(364,Engine!$C$2:$C$1369,0)))</f>
        <v/>
      </c>
      <c r="E377" s="8">
        <f>IF(ISNA(MATCH(364,Engine!$C$2:$C$1369,0)),"",INDEX('Compliance Database'!$E$2:$E$1369,MATCH(364,Engine!$C$2:$C$1369,0)))</f>
        <v/>
      </c>
      <c r="F377" s="8">
        <f>IF(ISNA(MATCH(364,Engine!$C$2:$C$1369,0)),"",INDEX('Compliance Database'!$F$2:$F$1369,MATCH(364,Engine!$C$2:$C$1369,0)))</f>
        <v/>
      </c>
      <c r="G377" s="8">
        <f>IF(ISNA(MATCH(364,Engine!$C$2:$C$1369,0)),"",INDEX('Compliance Database'!$G$2:$G$1369,MATCH(364,Engine!$C$2:$C$1369,0)))</f>
        <v/>
      </c>
      <c r="H377" s="9">
        <f>IF(ISNA(MATCH(364,Engine!$C$2:$C$1369,0)),"",INDEX('Compliance Database'!$H$2:$H$1369,MATCH(364,Engine!$C$2:$C$1369,0)))</f>
        <v/>
      </c>
      <c r="I377" s="9">
        <f>IF(ISNA(MATCH(364,Engine!$C$2:$C$1369,0)),"",INDEX('Compliance Database'!$I$2:$I$1369,MATCH(364,Engine!$C$2:$C$1369,0)))</f>
        <v/>
      </c>
      <c r="J377" s="8">
        <f>IF(ISNA(MATCH(364,Engine!$C$2:$C$1369,0)),"",INDEX('Compliance Database'!$J$2:$J$1369,MATCH(364,Engine!$C$2:$C$1369,0)))</f>
        <v/>
      </c>
      <c r="K377" s="9">
        <f>IF(ISNA(MATCH(364,Engine!$C$2:$C$1369,0)),"",INDEX('Compliance Database'!$K$2:$K$1369,MATCH(364,Engine!$C$2:$C$1369,0)))</f>
        <v/>
      </c>
      <c r="L377" s="9">
        <f>IF(ISNA(MATCH(364,Engine!$C$2:$C$1369,0)),"",INDEX('Compliance Database'!$L$2:$L$1369,MATCH(364,Engine!$C$2:$C$1369,0)))</f>
        <v/>
      </c>
      <c r="M377" s="9">
        <f>IF(ISNA(MATCH(364,Engine!$C$2:$C$1369,0)),"",INDEX('Compliance Database'!$M$2:$M$1369,MATCH(364,Engine!$C$2:$C$1369,0)))</f>
        <v/>
      </c>
      <c r="N377" s="9">
        <f>IF(ISNA(MATCH(364,Engine!$C$2:$C$1369,0)),"",INDEX('Compliance Database'!$N$2:$N$1369,MATCH(364,Engine!$C$2:$C$1369,0)))</f>
        <v/>
      </c>
      <c r="O377" s="8">
        <f>IF(ISNA(MATCH(364,Engine!$C$2:$C$1369,0)),"",HYPERLINK(INDEX('Compliance Database'!$O$2:$O$1369,MATCH(364,Engine!$C$2:$C$1369,0)),"Open PDF"))</f>
        <v/>
      </c>
    </row>
    <row r="378" ht="188" customHeight="1">
      <c r="A378" s="8">
        <f>IF(ISNA(MATCH(365,Engine!$C$2:$C$1369,0)),"",INDEX('Compliance Database'!$A$2:$A$1369,MATCH(365,Engine!$C$2:$C$1369,0)))</f>
        <v/>
      </c>
      <c r="B378" s="8">
        <f>IF(ISNA(MATCH(365,Engine!$C$2:$C$1369,0)),"",INDEX('Compliance Database'!$B$2:$B$1369,MATCH(365,Engine!$C$2:$C$1369,0)))</f>
        <v/>
      </c>
      <c r="C378" s="8">
        <f>IF(ISNA(MATCH(365,Engine!$C$2:$C$1369,0)),"",INDEX('Compliance Database'!$C$2:$C$1369,MATCH(365,Engine!$C$2:$C$1369,0)))</f>
        <v/>
      </c>
      <c r="D378" s="9">
        <f>IF(ISNA(MATCH(365,Engine!$C$2:$C$1369,0)),"",INDEX('Compliance Database'!$D$2:$D$1369,MATCH(365,Engine!$C$2:$C$1369,0)))</f>
        <v/>
      </c>
      <c r="E378" s="8">
        <f>IF(ISNA(MATCH(365,Engine!$C$2:$C$1369,0)),"",INDEX('Compliance Database'!$E$2:$E$1369,MATCH(365,Engine!$C$2:$C$1369,0)))</f>
        <v/>
      </c>
      <c r="F378" s="8">
        <f>IF(ISNA(MATCH(365,Engine!$C$2:$C$1369,0)),"",INDEX('Compliance Database'!$F$2:$F$1369,MATCH(365,Engine!$C$2:$C$1369,0)))</f>
        <v/>
      </c>
      <c r="G378" s="8">
        <f>IF(ISNA(MATCH(365,Engine!$C$2:$C$1369,0)),"",INDEX('Compliance Database'!$G$2:$G$1369,MATCH(365,Engine!$C$2:$C$1369,0)))</f>
        <v/>
      </c>
      <c r="H378" s="9">
        <f>IF(ISNA(MATCH(365,Engine!$C$2:$C$1369,0)),"",INDEX('Compliance Database'!$H$2:$H$1369,MATCH(365,Engine!$C$2:$C$1369,0)))</f>
        <v/>
      </c>
      <c r="I378" s="9">
        <f>IF(ISNA(MATCH(365,Engine!$C$2:$C$1369,0)),"",INDEX('Compliance Database'!$I$2:$I$1369,MATCH(365,Engine!$C$2:$C$1369,0)))</f>
        <v/>
      </c>
      <c r="J378" s="8">
        <f>IF(ISNA(MATCH(365,Engine!$C$2:$C$1369,0)),"",INDEX('Compliance Database'!$J$2:$J$1369,MATCH(365,Engine!$C$2:$C$1369,0)))</f>
        <v/>
      </c>
      <c r="K378" s="9">
        <f>IF(ISNA(MATCH(365,Engine!$C$2:$C$1369,0)),"",INDEX('Compliance Database'!$K$2:$K$1369,MATCH(365,Engine!$C$2:$C$1369,0)))</f>
        <v/>
      </c>
      <c r="L378" s="9">
        <f>IF(ISNA(MATCH(365,Engine!$C$2:$C$1369,0)),"",INDEX('Compliance Database'!$L$2:$L$1369,MATCH(365,Engine!$C$2:$C$1369,0)))</f>
        <v/>
      </c>
      <c r="M378" s="9">
        <f>IF(ISNA(MATCH(365,Engine!$C$2:$C$1369,0)),"",INDEX('Compliance Database'!$M$2:$M$1369,MATCH(365,Engine!$C$2:$C$1369,0)))</f>
        <v/>
      </c>
      <c r="N378" s="9">
        <f>IF(ISNA(MATCH(365,Engine!$C$2:$C$1369,0)),"",INDEX('Compliance Database'!$N$2:$N$1369,MATCH(365,Engine!$C$2:$C$1369,0)))</f>
        <v/>
      </c>
      <c r="O378" s="8">
        <f>IF(ISNA(MATCH(365,Engine!$C$2:$C$1369,0)),"",HYPERLINK(INDEX('Compliance Database'!$O$2:$O$1369,MATCH(365,Engine!$C$2:$C$1369,0)),"Open PDF"))</f>
        <v/>
      </c>
    </row>
    <row r="379" ht="188" customHeight="1">
      <c r="A379" s="8">
        <f>IF(ISNA(MATCH(366,Engine!$C$2:$C$1369,0)),"",INDEX('Compliance Database'!$A$2:$A$1369,MATCH(366,Engine!$C$2:$C$1369,0)))</f>
        <v/>
      </c>
      <c r="B379" s="8">
        <f>IF(ISNA(MATCH(366,Engine!$C$2:$C$1369,0)),"",INDEX('Compliance Database'!$B$2:$B$1369,MATCH(366,Engine!$C$2:$C$1369,0)))</f>
        <v/>
      </c>
      <c r="C379" s="8">
        <f>IF(ISNA(MATCH(366,Engine!$C$2:$C$1369,0)),"",INDEX('Compliance Database'!$C$2:$C$1369,MATCH(366,Engine!$C$2:$C$1369,0)))</f>
        <v/>
      </c>
      <c r="D379" s="9">
        <f>IF(ISNA(MATCH(366,Engine!$C$2:$C$1369,0)),"",INDEX('Compliance Database'!$D$2:$D$1369,MATCH(366,Engine!$C$2:$C$1369,0)))</f>
        <v/>
      </c>
      <c r="E379" s="8">
        <f>IF(ISNA(MATCH(366,Engine!$C$2:$C$1369,0)),"",INDEX('Compliance Database'!$E$2:$E$1369,MATCH(366,Engine!$C$2:$C$1369,0)))</f>
        <v/>
      </c>
      <c r="F379" s="8">
        <f>IF(ISNA(MATCH(366,Engine!$C$2:$C$1369,0)),"",INDEX('Compliance Database'!$F$2:$F$1369,MATCH(366,Engine!$C$2:$C$1369,0)))</f>
        <v/>
      </c>
      <c r="G379" s="8">
        <f>IF(ISNA(MATCH(366,Engine!$C$2:$C$1369,0)),"",INDEX('Compliance Database'!$G$2:$G$1369,MATCH(366,Engine!$C$2:$C$1369,0)))</f>
        <v/>
      </c>
      <c r="H379" s="9">
        <f>IF(ISNA(MATCH(366,Engine!$C$2:$C$1369,0)),"",INDEX('Compliance Database'!$H$2:$H$1369,MATCH(366,Engine!$C$2:$C$1369,0)))</f>
        <v/>
      </c>
      <c r="I379" s="9">
        <f>IF(ISNA(MATCH(366,Engine!$C$2:$C$1369,0)),"",INDEX('Compliance Database'!$I$2:$I$1369,MATCH(366,Engine!$C$2:$C$1369,0)))</f>
        <v/>
      </c>
      <c r="J379" s="8">
        <f>IF(ISNA(MATCH(366,Engine!$C$2:$C$1369,0)),"",INDEX('Compliance Database'!$J$2:$J$1369,MATCH(366,Engine!$C$2:$C$1369,0)))</f>
        <v/>
      </c>
      <c r="K379" s="9">
        <f>IF(ISNA(MATCH(366,Engine!$C$2:$C$1369,0)),"",INDEX('Compliance Database'!$K$2:$K$1369,MATCH(366,Engine!$C$2:$C$1369,0)))</f>
        <v/>
      </c>
      <c r="L379" s="9">
        <f>IF(ISNA(MATCH(366,Engine!$C$2:$C$1369,0)),"",INDEX('Compliance Database'!$L$2:$L$1369,MATCH(366,Engine!$C$2:$C$1369,0)))</f>
        <v/>
      </c>
      <c r="M379" s="9">
        <f>IF(ISNA(MATCH(366,Engine!$C$2:$C$1369,0)),"",INDEX('Compliance Database'!$M$2:$M$1369,MATCH(366,Engine!$C$2:$C$1369,0)))</f>
        <v/>
      </c>
      <c r="N379" s="9">
        <f>IF(ISNA(MATCH(366,Engine!$C$2:$C$1369,0)),"",INDEX('Compliance Database'!$N$2:$N$1369,MATCH(366,Engine!$C$2:$C$1369,0)))</f>
        <v/>
      </c>
      <c r="O379" s="8">
        <f>IF(ISNA(MATCH(366,Engine!$C$2:$C$1369,0)),"",HYPERLINK(INDEX('Compliance Database'!$O$2:$O$1369,MATCH(366,Engine!$C$2:$C$1369,0)),"Open PDF"))</f>
        <v/>
      </c>
    </row>
    <row r="380" ht="188" customHeight="1">
      <c r="A380" s="8">
        <f>IF(ISNA(MATCH(367,Engine!$C$2:$C$1369,0)),"",INDEX('Compliance Database'!$A$2:$A$1369,MATCH(367,Engine!$C$2:$C$1369,0)))</f>
        <v/>
      </c>
      <c r="B380" s="8">
        <f>IF(ISNA(MATCH(367,Engine!$C$2:$C$1369,0)),"",INDEX('Compliance Database'!$B$2:$B$1369,MATCH(367,Engine!$C$2:$C$1369,0)))</f>
        <v/>
      </c>
      <c r="C380" s="8">
        <f>IF(ISNA(MATCH(367,Engine!$C$2:$C$1369,0)),"",INDEX('Compliance Database'!$C$2:$C$1369,MATCH(367,Engine!$C$2:$C$1369,0)))</f>
        <v/>
      </c>
      <c r="D380" s="9">
        <f>IF(ISNA(MATCH(367,Engine!$C$2:$C$1369,0)),"",INDEX('Compliance Database'!$D$2:$D$1369,MATCH(367,Engine!$C$2:$C$1369,0)))</f>
        <v/>
      </c>
      <c r="E380" s="8">
        <f>IF(ISNA(MATCH(367,Engine!$C$2:$C$1369,0)),"",INDEX('Compliance Database'!$E$2:$E$1369,MATCH(367,Engine!$C$2:$C$1369,0)))</f>
        <v/>
      </c>
      <c r="F380" s="8">
        <f>IF(ISNA(MATCH(367,Engine!$C$2:$C$1369,0)),"",INDEX('Compliance Database'!$F$2:$F$1369,MATCH(367,Engine!$C$2:$C$1369,0)))</f>
        <v/>
      </c>
      <c r="G380" s="8">
        <f>IF(ISNA(MATCH(367,Engine!$C$2:$C$1369,0)),"",INDEX('Compliance Database'!$G$2:$G$1369,MATCH(367,Engine!$C$2:$C$1369,0)))</f>
        <v/>
      </c>
      <c r="H380" s="9">
        <f>IF(ISNA(MATCH(367,Engine!$C$2:$C$1369,0)),"",INDEX('Compliance Database'!$H$2:$H$1369,MATCH(367,Engine!$C$2:$C$1369,0)))</f>
        <v/>
      </c>
      <c r="I380" s="9">
        <f>IF(ISNA(MATCH(367,Engine!$C$2:$C$1369,0)),"",INDEX('Compliance Database'!$I$2:$I$1369,MATCH(367,Engine!$C$2:$C$1369,0)))</f>
        <v/>
      </c>
      <c r="J380" s="8">
        <f>IF(ISNA(MATCH(367,Engine!$C$2:$C$1369,0)),"",INDEX('Compliance Database'!$J$2:$J$1369,MATCH(367,Engine!$C$2:$C$1369,0)))</f>
        <v/>
      </c>
      <c r="K380" s="9">
        <f>IF(ISNA(MATCH(367,Engine!$C$2:$C$1369,0)),"",INDEX('Compliance Database'!$K$2:$K$1369,MATCH(367,Engine!$C$2:$C$1369,0)))</f>
        <v/>
      </c>
      <c r="L380" s="9">
        <f>IF(ISNA(MATCH(367,Engine!$C$2:$C$1369,0)),"",INDEX('Compliance Database'!$L$2:$L$1369,MATCH(367,Engine!$C$2:$C$1369,0)))</f>
        <v/>
      </c>
      <c r="M380" s="9">
        <f>IF(ISNA(MATCH(367,Engine!$C$2:$C$1369,0)),"",INDEX('Compliance Database'!$M$2:$M$1369,MATCH(367,Engine!$C$2:$C$1369,0)))</f>
        <v/>
      </c>
      <c r="N380" s="9">
        <f>IF(ISNA(MATCH(367,Engine!$C$2:$C$1369,0)),"",INDEX('Compliance Database'!$N$2:$N$1369,MATCH(367,Engine!$C$2:$C$1369,0)))</f>
        <v/>
      </c>
      <c r="O380" s="8">
        <f>IF(ISNA(MATCH(367,Engine!$C$2:$C$1369,0)),"",HYPERLINK(INDEX('Compliance Database'!$O$2:$O$1369,MATCH(367,Engine!$C$2:$C$1369,0)),"Open PDF"))</f>
        <v/>
      </c>
    </row>
    <row r="381" ht="188" customHeight="1">
      <c r="A381" s="8">
        <f>IF(ISNA(MATCH(368,Engine!$C$2:$C$1369,0)),"",INDEX('Compliance Database'!$A$2:$A$1369,MATCH(368,Engine!$C$2:$C$1369,0)))</f>
        <v/>
      </c>
      <c r="B381" s="8">
        <f>IF(ISNA(MATCH(368,Engine!$C$2:$C$1369,0)),"",INDEX('Compliance Database'!$B$2:$B$1369,MATCH(368,Engine!$C$2:$C$1369,0)))</f>
        <v/>
      </c>
      <c r="C381" s="8">
        <f>IF(ISNA(MATCH(368,Engine!$C$2:$C$1369,0)),"",INDEX('Compliance Database'!$C$2:$C$1369,MATCH(368,Engine!$C$2:$C$1369,0)))</f>
        <v/>
      </c>
      <c r="D381" s="9">
        <f>IF(ISNA(MATCH(368,Engine!$C$2:$C$1369,0)),"",INDEX('Compliance Database'!$D$2:$D$1369,MATCH(368,Engine!$C$2:$C$1369,0)))</f>
        <v/>
      </c>
      <c r="E381" s="8">
        <f>IF(ISNA(MATCH(368,Engine!$C$2:$C$1369,0)),"",INDEX('Compliance Database'!$E$2:$E$1369,MATCH(368,Engine!$C$2:$C$1369,0)))</f>
        <v/>
      </c>
      <c r="F381" s="8">
        <f>IF(ISNA(MATCH(368,Engine!$C$2:$C$1369,0)),"",INDEX('Compliance Database'!$F$2:$F$1369,MATCH(368,Engine!$C$2:$C$1369,0)))</f>
        <v/>
      </c>
      <c r="G381" s="8">
        <f>IF(ISNA(MATCH(368,Engine!$C$2:$C$1369,0)),"",INDEX('Compliance Database'!$G$2:$G$1369,MATCH(368,Engine!$C$2:$C$1369,0)))</f>
        <v/>
      </c>
      <c r="H381" s="9">
        <f>IF(ISNA(MATCH(368,Engine!$C$2:$C$1369,0)),"",INDEX('Compliance Database'!$H$2:$H$1369,MATCH(368,Engine!$C$2:$C$1369,0)))</f>
        <v/>
      </c>
      <c r="I381" s="9">
        <f>IF(ISNA(MATCH(368,Engine!$C$2:$C$1369,0)),"",INDEX('Compliance Database'!$I$2:$I$1369,MATCH(368,Engine!$C$2:$C$1369,0)))</f>
        <v/>
      </c>
      <c r="J381" s="8">
        <f>IF(ISNA(MATCH(368,Engine!$C$2:$C$1369,0)),"",INDEX('Compliance Database'!$J$2:$J$1369,MATCH(368,Engine!$C$2:$C$1369,0)))</f>
        <v/>
      </c>
      <c r="K381" s="9">
        <f>IF(ISNA(MATCH(368,Engine!$C$2:$C$1369,0)),"",INDEX('Compliance Database'!$K$2:$K$1369,MATCH(368,Engine!$C$2:$C$1369,0)))</f>
        <v/>
      </c>
      <c r="L381" s="9">
        <f>IF(ISNA(MATCH(368,Engine!$C$2:$C$1369,0)),"",INDEX('Compliance Database'!$L$2:$L$1369,MATCH(368,Engine!$C$2:$C$1369,0)))</f>
        <v/>
      </c>
      <c r="M381" s="9">
        <f>IF(ISNA(MATCH(368,Engine!$C$2:$C$1369,0)),"",INDEX('Compliance Database'!$M$2:$M$1369,MATCH(368,Engine!$C$2:$C$1369,0)))</f>
        <v/>
      </c>
      <c r="N381" s="9">
        <f>IF(ISNA(MATCH(368,Engine!$C$2:$C$1369,0)),"",INDEX('Compliance Database'!$N$2:$N$1369,MATCH(368,Engine!$C$2:$C$1369,0)))</f>
        <v/>
      </c>
      <c r="O381" s="8">
        <f>IF(ISNA(MATCH(368,Engine!$C$2:$C$1369,0)),"",HYPERLINK(INDEX('Compliance Database'!$O$2:$O$1369,MATCH(368,Engine!$C$2:$C$1369,0)),"Open PDF"))</f>
        <v/>
      </c>
    </row>
    <row r="382" ht="188" customHeight="1">
      <c r="A382" s="8">
        <f>IF(ISNA(MATCH(369,Engine!$C$2:$C$1369,0)),"",INDEX('Compliance Database'!$A$2:$A$1369,MATCH(369,Engine!$C$2:$C$1369,0)))</f>
        <v/>
      </c>
      <c r="B382" s="8">
        <f>IF(ISNA(MATCH(369,Engine!$C$2:$C$1369,0)),"",INDEX('Compliance Database'!$B$2:$B$1369,MATCH(369,Engine!$C$2:$C$1369,0)))</f>
        <v/>
      </c>
      <c r="C382" s="8">
        <f>IF(ISNA(MATCH(369,Engine!$C$2:$C$1369,0)),"",INDEX('Compliance Database'!$C$2:$C$1369,MATCH(369,Engine!$C$2:$C$1369,0)))</f>
        <v/>
      </c>
      <c r="D382" s="9">
        <f>IF(ISNA(MATCH(369,Engine!$C$2:$C$1369,0)),"",INDEX('Compliance Database'!$D$2:$D$1369,MATCH(369,Engine!$C$2:$C$1369,0)))</f>
        <v/>
      </c>
      <c r="E382" s="8">
        <f>IF(ISNA(MATCH(369,Engine!$C$2:$C$1369,0)),"",INDEX('Compliance Database'!$E$2:$E$1369,MATCH(369,Engine!$C$2:$C$1369,0)))</f>
        <v/>
      </c>
      <c r="F382" s="8">
        <f>IF(ISNA(MATCH(369,Engine!$C$2:$C$1369,0)),"",INDEX('Compliance Database'!$F$2:$F$1369,MATCH(369,Engine!$C$2:$C$1369,0)))</f>
        <v/>
      </c>
      <c r="G382" s="8">
        <f>IF(ISNA(MATCH(369,Engine!$C$2:$C$1369,0)),"",INDEX('Compliance Database'!$G$2:$G$1369,MATCH(369,Engine!$C$2:$C$1369,0)))</f>
        <v/>
      </c>
      <c r="H382" s="9">
        <f>IF(ISNA(MATCH(369,Engine!$C$2:$C$1369,0)),"",INDEX('Compliance Database'!$H$2:$H$1369,MATCH(369,Engine!$C$2:$C$1369,0)))</f>
        <v/>
      </c>
      <c r="I382" s="9">
        <f>IF(ISNA(MATCH(369,Engine!$C$2:$C$1369,0)),"",INDEX('Compliance Database'!$I$2:$I$1369,MATCH(369,Engine!$C$2:$C$1369,0)))</f>
        <v/>
      </c>
      <c r="J382" s="8">
        <f>IF(ISNA(MATCH(369,Engine!$C$2:$C$1369,0)),"",INDEX('Compliance Database'!$J$2:$J$1369,MATCH(369,Engine!$C$2:$C$1369,0)))</f>
        <v/>
      </c>
      <c r="K382" s="9">
        <f>IF(ISNA(MATCH(369,Engine!$C$2:$C$1369,0)),"",INDEX('Compliance Database'!$K$2:$K$1369,MATCH(369,Engine!$C$2:$C$1369,0)))</f>
        <v/>
      </c>
      <c r="L382" s="9">
        <f>IF(ISNA(MATCH(369,Engine!$C$2:$C$1369,0)),"",INDEX('Compliance Database'!$L$2:$L$1369,MATCH(369,Engine!$C$2:$C$1369,0)))</f>
        <v/>
      </c>
      <c r="M382" s="9">
        <f>IF(ISNA(MATCH(369,Engine!$C$2:$C$1369,0)),"",INDEX('Compliance Database'!$M$2:$M$1369,MATCH(369,Engine!$C$2:$C$1369,0)))</f>
        <v/>
      </c>
      <c r="N382" s="9">
        <f>IF(ISNA(MATCH(369,Engine!$C$2:$C$1369,0)),"",INDEX('Compliance Database'!$N$2:$N$1369,MATCH(369,Engine!$C$2:$C$1369,0)))</f>
        <v/>
      </c>
      <c r="O382" s="8">
        <f>IF(ISNA(MATCH(369,Engine!$C$2:$C$1369,0)),"",HYPERLINK(INDEX('Compliance Database'!$O$2:$O$1369,MATCH(369,Engine!$C$2:$C$1369,0)),"Open PDF"))</f>
        <v/>
      </c>
    </row>
    <row r="383" ht="188" customHeight="1">
      <c r="A383" s="8">
        <f>IF(ISNA(MATCH(370,Engine!$C$2:$C$1369,0)),"",INDEX('Compliance Database'!$A$2:$A$1369,MATCH(370,Engine!$C$2:$C$1369,0)))</f>
        <v/>
      </c>
      <c r="B383" s="8">
        <f>IF(ISNA(MATCH(370,Engine!$C$2:$C$1369,0)),"",INDEX('Compliance Database'!$B$2:$B$1369,MATCH(370,Engine!$C$2:$C$1369,0)))</f>
        <v/>
      </c>
      <c r="C383" s="8">
        <f>IF(ISNA(MATCH(370,Engine!$C$2:$C$1369,0)),"",INDEX('Compliance Database'!$C$2:$C$1369,MATCH(370,Engine!$C$2:$C$1369,0)))</f>
        <v/>
      </c>
      <c r="D383" s="9">
        <f>IF(ISNA(MATCH(370,Engine!$C$2:$C$1369,0)),"",INDEX('Compliance Database'!$D$2:$D$1369,MATCH(370,Engine!$C$2:$C$1369,0)))</f>
        <v/>
      </c>
      <c r="E383" s="8">
        <f>IF(ISNA(MATCH(370,Engine!$C$2:$C$1369,0)),"",INDEX('Compliance Database'!$E$2:$E$1369,MATCH(370,Engine!$C$2:$C$1369,0)))</f>
        <v/>
      </c>
      <c r="F383" s="8">
        <f>IF(ISNA(MATCH(370,Engine!$C$2:$C$1369,0)),"",INDEX('Compliance Database'!$F$2:$F$1369,MATCH(370,Engine!$C$2:$C$1369,0)))</f>
        <v/>
      </c>
      <c r="G383" s="8">
        <f>IF(ISNA(MATCH(370,Engine!$C$2:$C$1369,0)),"",INDEX('Compliance Database'!$G$2:$G$1369,MATCH(370,Engine!$C$2:$C$1369,0)))</f>
        <v/>
      </c>
      <c r="H383" s="9">
        <f>IF(ISNA(MATCH(370,Engine!$C$2:$C$1369,0)),"",INDEX('Compliance Database'!$H$2:$H$1369,MATCH(370,Engine!$C$2:$C$1369,0)))</f>
        <v/>
      </c>
      <c r="I383" s="9">
        <f>IF(ISNA(MATCH(370,Engine!$C$2:$C$1369,0)),"",INDEX('Compliance Database'!$I$2:$I$1369,MATCH(370,Engine!$C$2:$C$1369,0)))</f>
        <v/>
      </c>
      <c r="J383" s="8">
        <f>IF(ISNA(MATCH(370,Engine!$C$2:$C$1369,0)),"",INDEX('Compliance Database'!$J$2:$J$1369,MATCH(370,Engine!$C$2:$C$1369,0)))</f>
        <v/>
      </c>
      <c r="K383" s="9">
        <f>IF(ISNA(MATCH(370,Engine!$C$2:$C$1369,0)),"",INDEX('Compliance Database'!$K$2:$K$1369,MATCH(370,Engine!$C$2:$C$1369,0)))</f>
        <v/>
      </c>
      <c r="L383" s="9">
        <f>IF(ISNA(MATCH(370,Engine!$C$2:$C$1369,0)),"",INDEX('Compliance Database'!$L$2:$L$1369,MATCH(370,Engine!$C$2:$C$1369,0)))</f>
        <v/>
      </c>
      <c r="M383" s="9">
        <f>IF(ISNA(MATCH(370,Engine!$C$2:$C$1369,0)),"",INDEX('Compliance Database'!$M$2:$M$1369,MATCH(370,Engine!$C$2:$C$1369,0)))</f>
        <v/>
      </c>
      <c r="N383" s="9">
        <f>IF(ISNA(MATCH(370,Engine!$C$2:$C$1369,0)),"",INDEX('Compliance Database'!$N$2:$N$1369,MATCH(370,Engine!$C$2:$C$1369,0)))</f>
        <v/>
      </c>
      <c r="O383" s="8">
        <f>IF(ISNA(MATCH(370,Engine!$C$2:$C$1369,0)),"",HYPERLINK(INDEX('Compliance Database'!$O$2:$O$1369,MATCH(370,Engine!$C$2:$C$1369,0)),"Open PDF"))</f>
        <v/>
      </c>
    </row>
    <row r="384" ht="188" customHeight="1">
      <c r="A384" s="8">
        <f>IF(ISNA(MATCH(371,Engine!$C$2:$C$1369,0)),"",INDEX('Compliance Database'!$A$2:$A$1369,MATCH(371,Engine!$C$2:$C$1369,0)))</f>
        <v/>
      </c>
      <c r="B384" s="8">
        <f>IF(ISNA(MATCH(371,Engine!$C$2:$C$1369,0)),"",INDEX('Compliance Database'!$B$2:$B$1369,MATCH(371,Engine!$C$2:$C$1369,0)))</f>
        <v/>
      </c>
      <c r="C384" s="8">
        <f>IF(ISNA(MATCH(371,Engine!$C$2:$C$1369,0)),"",INDEX('Compliance Database'!$C$2:$C$1369,MATCH(371,Engine!$C$2:$C$1369,0)))</f>
        <v/>
      </c>
      <c r="D384" s="9">
        <f>IF(ISNA(MATCH(371,Engine!$C$2:$C$1369,0)),"",INDEX('Compliance Database'!$D$2:$D$1369,MATCH(371,Engine!$C$2:$C$1369,0)))</f>
        <v/>
      </c>
      <c r="E384" s="8">
        <f>IF(ISNA(MATCH(371,Engine!$C$2:$C$1369,0)),"",INDEX('Compliance Database'!$E$2:$E$1369,MATCH(371,Engine!$C$2:$C$1369,0)))</f>
        <v/>
      </c>
      <c r="F384" s="8">
        <f>IF(ISNA(MATCH(371,Engine!$C$2:$C$1369,0)),"",INDEX('Compliance Database'!$F$2:$F$1369,MATCH(371,Engine!$C$2:$C$1369,0)))</f>
        <v/>
      </c>
      <c r="G384" s="8">
        <f>IF(ISNA(MATCH(371,Engine!$C$2:$C$1369,0)),"",INDEX('Compliance Database'!$G$2:$G$1369,MATCH(371,Engine!$C$2:$C$1369,0)))</f>
        <v/>
      </c>
      <c r="H384" s="9">
        <f>IF(ISNA(MATCH(371,Engine!$C$2:$C$1369,0)),"",INDEX('Compliance Database'!$H$2:$H$1369,MATCH(371,Engine!$C$2:$C$1369,0)))</f>
        <v/>
      </c>
      <c r="I384" s="9">
        <f>IF(ISNA(MATCH(371,Engine!$C$2:$C$1369,0)),"",INDEX('Compliance Database'!$I$2:$I$1369,MATCH(371,Engine!$C$2:$C$1369,0)))</f>
        <v/>
      </c>
      <c r="J384" s="8">
        <f>IF(ISNA(MATCH(371,Engine!$C$2:$C$1369,0)),"",INDEX('Compliance Database'!$J$2:$J$1369,MATCH(371,Engine!$C$2:$C$1369,0)))</f>
        <v/>
      </c>
      <c r="K384" s="9">
        <f>IF(ISNA(MATCH(371,Engine!$C$2:$C$1369,0)),"",INDEX('Compliance Database'!$K$2:$K$1369,MATCH(371,Engine!$C$2:$C$1369,0)))</f>
        <v/>
      </c>
      <c r="L384" s="9">
        <f>IF(ISNA(MATCH(371,Engine!$C$2:$C$1369,0)),"",INDEX('Compliance Database'!$L$2:$L$1369,MATCH(371,Engine!$C$2:$C$1369,0)))</f>
        <v/>
      </c>
      <c r="M384" s="9">
        <f>IF(ISNA(MATCH(371,Engine!$C$2:$C$1369,0)),"",INDEX('Compliance Database'!$M$2:$M$1369,MATCH(371,Engine!$C$2:$C$1369,0)))</f>
        <v/>
      </c>
      <c r="N384" s="9">
        <f>IF(ISNA(MATCH(371,Engine!$C$2:$C$1369,0)),"",INDEX('Compliance Database'!$N$2:$N$1369,MATCH(371,Engine!$C$2:$C$1369,0)))</f>
        <v/>
      </c>
      <c r="O384" s="8">
        <f>IF(ISNA(MATCH(371,Engine!$C$2:$C$1369,0)),"",HYPERLINK(INDEX('Compliance Database'!$O$2:$O$1369,MATCH(371,Engine!$C$2:$C$1369,0)),"Open PDF"))</f>
        <v/>
      </c>
    </row>
    <row r="385" ht="188" customHeight="1">
      <c r="A385" s="8">
        <f>IF(ISNA(MATCH(372,Engine!$C$2:$C$1369,0)),"",INDEX('Compliance Database'!$A$2:$A$1369,MATCH(372,Engine!$C$2:$C$1369,0)))</f>
        <v/>
      </c>
      <c r="B385" s="8">
        <f>IF(ISNA(MATCH(372,Engine!$C$2:$C$1369,0)),"",INDEX('Compliance Database'!$B$2:$B$1369,MATCH(372,Engine!$C$2:$C$1369,0)))</f>
        <v/>
      </c>
      <c r="C385" s="8">
        <f>IF(ISNA(MATCH(372,Engine!$C$2:$C$1369,0)),"",INDEX('Compliance Database'!$C$2:$C$1369,MATCH(372,Engine!$C$2:$C$1369,0)))</f>
        <v/>
      </c>
      <c r="D385" s="9">
        <f>IF(ISNA(MATCH(372,Engine!$C$2:$C$1369,0)),"",INDEX('Compliance Database'!$D$2:$D$1369,MATCH(372,Engine!$C$2:$C$1369,0)))</f>
        <v/>
      </c>
      <c r="E385" s="8">
        <f>IF(ISNA(MATCH(372,Engine!$C$2:$C$1369,0)),"",INDEX('Compliance Database'!$E$2:$E$1369,MATCH(372,Engine!$C$2:$C$1369,0)))</f>
        <v/>
      </c>
      <c r="F385" s="8">
        <f>IF(ISNA(MATCH(372,Engine!$C$2:$C$1369,0)),"",INDEX('Compliance Database'!$F$2:$F$1369,MATCH(372,Engine!$C$2:$C$1369,0)))</f>
        <v/>
      </c>
      <c r="G385" s="8">
        <f>IF(ISNA(MATCH(372,Engine!$C$2:$C$1369,0)),"",INDEX('Compliance Database'!$G$2:$G$1369,MATCH(372,Engine!$C$2:$C$1369,0)))</f>
        <v/>
      </c>
      <c r="H385" s="9">
        <f>IF(ISNA(MATCH(372,Engine!$C$2:$C$1369,0)),"",INDEX('Compliance Database'!$H$2:$H$1369,MATCH(372,Engine!$C$2:$C$1369,0)))</f>
        <v/>
      </c>
      <c r="I385" s="9">
        <f>IF(ISNA(MATCH(372,Engine!$C$2:$C$1369,0)),"",INDEX('Compliance Database'!$I$2:$I$1369,MATCH(372,Engine!$C$2:$C$1369,0)))</f>
        <v/>
      </c>
      <c r="J385" s="8">
        <f>IF(ISNA(MATCH(372,Engine!$C$2:$C$1369,0)),"",INDEX('Compliance Database'!$J$2:$J$1369,MATCH(372,Engine!$C$2:$C$1369,0)))</f>
        <v/>
      </c>
      <c r="K385" s="9">
        <f>IF(ISNA(MATCH(372,Engine!$C$2:$C$1369,0)),"",INDEX('Compliance Database'!$K$2:$K$1369,MATCH(372,Engine!$C$2:$C$1369,0)))</f>
        <v/>
      </c>
      <c r="L385" s="9">
        <f>IF(ISNA(MATCH(372,Engine!$C$2:$C$1369,0)),"",INDEX('Compliance Database'!$L$2:$L$1369,MATCH(372,Engine!$C$2:$C$1369,0)))</f>
        <v/>
      </c>
      <c r="M385" s="9">
        <f>IF(ISNA(MATCH(372,Engine!$C$2:$C$1369,0)),"",INDEX('Compliance Database'!$M$2:$M$1369,MATCH(372,Engine!$C$2:$C$1369,0)))</f>
        <v/>
      </c>
      <c r="N385" s="9">
        <f>IF(ISNA(MATCH(372,Engine!$C$2:$C$1369,0)),"",INDEX('Compliance Database'!$N$2:$N$1369,MATCH(372,Engine!$C$2:$C$1369,0)))</f>
        <v/>
      </c>
      <c r="O385" s="8">
        <f>IF(ISNA(MATCH(372,Engine!$C$2:$C$1369,0)),"",HYPERLINK(INDEX('Compliance Database'!$O$2:$O$1369,MATCH(372,Engine!$C$2:$C$1369,0)),"Open PDF"))</f>
        <v/>
      </c>
    </row>
    <row r="386" ht="188" customHeight="1">
      <c r="A386" s="8">
        <f>IF(ISNA(MATCH(373,Engine!$C$2:$C$1369,0)),"",INDEX('Compliance Database'!$A$2:$A$1369,MATCH(373,Engine!$C$2:$C$1369,0)))</f>
        <v/>
      </c>
      <c r="B386" s="8">
        <f>IF(ISNA(MATCH(373,Engine!$C$2:$C$1369,0)),"",INDEX('Compliance Database'!$B$2:$B$1369,MATCH(373,Engine!$C$2:$C$1369,0)))</f>
        <v/>
      </c>
      <c r="C386" s="8">
        <f>IF(ISNA(MATCH(373,Engine!$C$2:$C$1369,0)),"",INDEX('Compliance Database'!$C$2:$C$1369,MATCH(373,Engine!$C$2:$C$1369,0)))</f>
        <v/>
      </c>
      <c r="D386" s="9">
        <f>IF(ISNA(MATCH(373,Engine!$C$2:$C$1369,0)),"",INDEX('Compliance Database'!$D$2:$D$1369,MATCH(373,Engine!$C$2:$C$1369,0)))</f>
        <v/>
      </c>
      <c r="E386" s="8">
        <f>IF(ISNA(MATCH(373,Engine!$C$2:$C$1369,0)),"",INDEX('Compliance Database'!$E$2:$E$1369,MATCH(373,Engine!$C$2:$C$1369,0)))</f>
        <v/>
      </c>
      <c r="F386" s="8">
        <f>IF(ISNA(MATCH(373,Engine!$C$2:$C$1369,0)),"",INDEX('Compliance Database'!$F$2:$F$1369,MATCH(373,Engine!$C$2:$C$1369,0)))</f>
        <v/>
      </c>
      <c r="G386" s="8">
        <f>IF(ISNA(MATCH(373,Engine!$C$2:$C$1369,0)),"",INDEX('Compliance Database'!$G$2:$G$1369,MATCH(373,Engine!$C$2:$C$1369,0)))</f>
        <v/>
      </c>
      <c r="H386" s="9">
        <f>IF(ISNA(MATCH(373,Engine!$C$2:$C$1369,0)),"",INDEX('Compliance Database'!$H$2:$H$1369,MATCH(373,Engine!$C$2:$C$1369,0)))</f>
        <v/>
      </c>
      <c r="I386" s="9">
        <f>IF(ISNA(MATCH(373,Engine!$C$2:$C$1369,0)),"",INDEX('Compliance Database'!$I$2:$I$1369,MATCH(373,Engine!$C$2:$C$1369,0)))</f>
        <v/>
      </c>
      <c r="J386" s="8">
        <f>IF(ISNA(MATCH(373,Engine!$C$2:$C$1369,0)),"",INDEX('Compliance Database'!$J$2:$J$1369,MATCH(373,Engine!$C$2:$C$1369,0)))</f>
        <v/>
      </c>
      <c r="K386" s="9">
        <f>IF(ISNA(MATCH(373,Engine!$C$2:$C$1369,0)),"",INDEX('Compliance Database'!$K$2:$K$1369,MATCH(373,Engine!$C$2:$C$1369,0)))</f>
        <v/>
      </c>
      <c r="L386" s="9">
        <f>IF(ISNA(MATCH(373,Engine!$C$2:$C$1369,0)),"",INDEX('Compliance Database'!$L$2:$L$1369,MATCH(373,Engine!$C$2:$C$1369,0)))</f>
        <v/>
      </c>
      <c r="M386" s="9">
        <f>IF(ISNA(MATCH(373,Engine!$C$2:$C$1369,0)),"",INDEX('Compliance Database'!$M$2:$M$1369,MATCH(373,Engine!$C$2:$C$1369,0)))</f>
        <v/>
      </c>
      <c r="N386" s="9">
        <f>IF(ISNA(MATCH(373,Engine!$C$2:$C$1369,0)),"",INDEX('Compliance Database'!$N$2:$N$1369,MATCH(373,Engine!$C$2:$C$1369,0)))</f>
        <v/>
      </c>
      <c r="O386" s="8">
        <f>IF(ISNA(MATCH(373,Engine!$C$2:$C$1369,0)),"",HYPERLINK(INDEX('Compliance Database'!$O$2:$O$1369,MATCH(373,Engine!$C$2:$C$1369,0)),"Open PDF"))</f>
        <v/>
      </c>
    </row>
    <row r="387" ht="188" customHeight="1">
      <c r="A387" s="8">
        <f>IF(ISNA(MATCH(374,Engine!$C$2:$C$1369,0)),"",INDEX('Compliance Database'!$A$2:$A$1369,MATCH(374,Engine!$C$2:$C$1369,0)))</f>
        <v/>
      </c>
      <c r="B387" s="8">
        <f>IF(ISNA(MATCH(374,Engine!$C$2:$C$1369,0)),"",INDEX('Compliance Database'!$B$2:$B$1369,MATCH(374,Engine!$C$2:$C$1369,0)))</f>
        <v/>
      </c>
      <c r="C387" s="8">
        <f>IF(ISNA(MATCH(374,Engine!$C$2:$C$1369,0)),"",INDEX('Compliance Database'!$C$2:$C$1369,MATCH(374,Engine!$C$2:$C$1369,0)))</f>
        <v/>
      </c>
      <c r="D387" s="9">
        <f>IF(ISNA(MATCH(374,Engine!$C$2:$C$1369,0)),"",INDEX('Compliance Database'!$D$2:$D$1369,MATCH(374,Engine!$C$2:$C$1369,0)))</f>
        <v/>
      </c>
      <c r="E387" s="8">
        <f>IF(ISNA(MATCH(374,Engine!$C$2:$C$1369,0)),"",INDEX('Compliance Database'!$E$2:$E$1369,MATCH(374,Engine!$C$2:$C$1369,0)))</f>
        <v/>
      </c>
      <c r="F387" s="8">
        <f>IF(ISNA(MATCH(374,Engine!$C$2:$C$1369,0)),"",INDEX('Compliance Database'!$F$2:$F$1369,MATCH(374,Engine!$C$2:$C$1369,0)))</f>
        <v/>
      </c>
      <c r="G387" s="8">
        <f>IF(ISNA(MATCH(374,Engine!$C$2:$C$1369,0)),"",INDEX('Compliance Database'!$G$2:$G$1369,MATCH(374,Engine!$C$2:$C$1369,0)))</f>
        <v/>
      </c>
      <c r="H387" s="9">
        <f>IF(ISNA(MATCH(374,Engine!$C$2:$C$1369,0)),"",INDEX('Compliance Database'!$H$2:$H$1369,MATCH(374,Engine!$C$2:$C$1369,0)))</f>
        <v/>
      </c>
      <c r="I387" s="9">
        <f>IF(ISNA(MATCH(374,Engine!$C$2:$C$1369,0)),"",INDEX('Compliance Database'!$I$2:$I$1369,MATCH(374,Engine!$C$2:$C$1369,0)))</f>
        <v/>
      </c>
      <c r="J387" s="8">
        <f>IF(ISNA(MATCH(374,Engine!$C$2:$C$1369,0)),"",INDEX('Compliance Database'!$J$2:$J$1369,MATCH(374,Engine!$C$2:$C$1369,0)))</f>
        <v/>
      </c>
      <c r="K387" s="9">
        <f>IF(ISNA(MATCH(374,Engine!$C$2:$C$1369,0)),"",INDEX('Compliance Database'!$K$2:$K$1369,MATCH(374,Engine!$C$2:$C$1369,0)))</f>
        <v/>
      </c>
      <c r="L387" s="9">
        <f>IF(ISNA(MATCH(374,Engine!$C$2:$C$1369,0)),"",INDEX('Compliance Database'!$L$2:$L$1369,MATCH(374,Engine!$C$2:$C$1369,0)))</f>
        <v/>
      </c>
      <c r="M387" s="9">
        <f>IF(ISNA(MATCH(374,Engine!$C$2:$C$1369,0)),"",INDEX('Compliance Database'!$M$2:$M$1369,MATCH(374,Engine!$C$2:$C$1369,0)))</f>
        <v/>
      </c>
      <c r="N387" s="9">
        <f>IF(ISNA(MATCH(374,Engine!$C$2:$C$1369,0)),"",INDEX('Compliance Database'!$N$2:$N$1369,MATCH(374,Engine!$C$2:$C$1369,0)))</f>
        <v/>
      </c>
      <c r="O387" s="8">
        <f>IF(ISNA(MATCH(374,Engine!$C$2:$C$1369,0)),"",HYPERLINK(INDEX('Compliance Database'!$O$2:$O$1369,MATCH(374,Engine!$C$2:$C$1369,0)),"Open PDF"))</f>
        <v/>
      </c>
    </row>
    <row r="388" ht="188" customHeight="1">
      <c r="A388" s="8">
        <f>IF(ISNA(MATCH(375,Engine!$C$2:$C$1369,0)),"",INDEX('Compliance Database'!$A$2:$A$1369,MATCH(375,Engine!$C$2:$C$1369,0)))</f>
        <v/>
      </c>
      <c r="B388" s="8">
        <f>IF(ISNA(MATCH(375,Engine!$C$2:$C$1369,0)),"",INDEX('Compliance Database'!$B$2:$B$1369,MATCH(375,Engine!$C$2:$C$1369,0)))</f>
        <v/>
      </c>
      <c r="C388" s="8">
        <f>IF(ISNA(MATCH(375,Engine!$C$2:$C$1369,0)),"",INDEX('Compliance Database'!$C$2:$C$1369,MATCH(375,Engine!$C$2:$C$1369,0)))</f>
        <v/>
      </c>
      <c r="D388" s="9">
        <f>IF(ISNA(MATCH(375,Engine!$C$2:$C$1369,0)),"",INDEX('Compliance Database'!$D$2:$D$1369,MATCH(375,Engine!$C$2:$C$1369,0)))</f>
        <v/>
      </c>
      <c r="E388" s="8">
        <f>IF(ISNA(MATCH(375,Engine!$C$2:$C$1369,0)),"",INDEX('Compliance Database'!$E$2:$E$1369,MATCH(375,Engine!$C$2:$C$1369,0)))</f>
        <v/>
      </c>
      <c r="F388" s="8">
        <f>IF(ISNA(MATCH(375,Engine!$C$2:$C$1369,0)),"",INDEX('Compliance Database'!$F$2:$F$1369,MATCH(375,Engine!$C$2:$C$1369,0)))</f>
        <v/>
      </c>
      <c r="G388" s="8">
        <f>IF(ISNA(MATCH(375,Engine!$C$2:$C$1369,0)),"",INDEX('Compliance Database'!$G$2:$G$1369,MATCH(375,Engine!$C$2:$C$1369,0)))</f>
        <v/>
      </c>
      <c r="H388" s="9">
        <f>IF(ISNA(MATCH(375,Engine!$C$2:$C$1369,0)),"",INDEX('Compliance Database'!$H$2:$H$1369,MATCH(375,Engine!$C$2:$C$1369,0)))</f>
        <v/>
      </c>
      <c r="I388" s="9">
        <f>IF(ISNA(MATCH(375,Engine!$C$2:$C$1369,0)),"",INDEX('Compliance Database'!$I$2:$I$1369,MATCH(375,Engine!$C$2:$C$1369,0)))</f>
        <v/>
      </c>
      <c r="J388" s="8">
        <f>IF(ISNA(MATCH(375,Engine!$C$2:$C$1369,0)),"",INDEX('Compliance Database'!$J$2:$J$1369,MATCH(375,Engine!$C$2:$C$1369,0)))</f>
        <v/>
      </c>
      <c r="K388" s="9">
        <f>IF(ISNA(MATCH(375,Engine!$C$2:$C$1369,0)),"",INDEX('Compliance Database'!$K$2:$K$1369,MATCH(375,Engine!$C$2:$C$1369,0)))</f>
        <v/>
      </c>
      <c r="L388" s="9">
        <f>IF(ISNA(MATCH(375,Engine!$C$2:$C$1369,0)),"",INDEX('Compliance Database'!$L$2:$L$1369,MATCH(375,Engine!$C$2:$C$1369,0)))</f>
        <v/>
      </c>
      <c r="M388" s="9">
        <f>IF(ISNA(MATCH(375,Engine!$C$2:$C$1369,0)),"",INDEX('Compliance Database'!$M$2:$M$1369,MATCH(375,Engine!$C$2:$C$1369,0)))</f>
        <v/>
      </c>
      <c r="N388" s="9">
        <f>IF(ISNA(MATCH(375,Engine!$C$2:$C$1369,0)),"",INDEX('Compliance Database'!$N$2:$N$1369,MATCH(375,Engine!$C$2:$C$1369,0)))</f>
        <v/>
      </c>
      <c r="O388" s="8">
        <f>IF(ISNA(MATCH(375,Engine!$C$2:$C$1369,0)),"",HYPERLINK(INDEX('Compliance Database'!$O$2:$O$1369,MATCH(375,Engine!$C$2:$C$1369,0)),"Open PDF"))</f>
        <v/>
      </c>
    </row>
    <row r="389" ht="188" customHeight="1">
      <c r="A389" s="8">
        <f>IF(ISNA(MATCH(376,Engine!$C$2:$C$1369,0)),"",INDEX('Compliance Database'!$A$2:$A$1369,MATCH(376,Engine!$C$2:$C$1369,0)))</f>
        <v/>
      </c>
      <c r="B389" s="8">
        <f>IF(ISNA(MATCH(376,Engine!$C$2:$C$1369,0)),"",INDEX('Compliance Database'!$B$2:$B$1369,MATCH(376,Engine!$C$2:$C$1369,0)))</f>
        <v/>
      </c>
      <c r="C389" s="8">
        <f>IF(ISNA(MATCH(376,Engine!$C$2:$C$1369,0)),"",INDEX('Compliance Database'!$C$2:$C$1369,MATCH(376,Engine!$C$2:$C$1369,0)))</f>
        <v/>
      </c>
      <c r="D389" s="9">
        <f>IF(ISNA(MATCH(376,Engine!$C$2:$C$1369,0)),"",INDEX('Compliance Database'!$D$2:$D$1369,MATCH(376,Engine!$C$2:$C$1369,0)))</f>
        <v/>
      </c>
      <c r="E389" s="8">
        <f>IF(ISNA(MATCH(376,Engine!$C$2:$C$1369,0)),"",INDEX('Compliance Database'!$E$2:$E$1369,MATCH(376,Engine!$C$2:$C$1369,0)))</f>
        <v/>
      </c>
      <c r="F389" s="8">
        <f>IF(ISNA(MATCH(376,Engine!$C$2:$C$1369,0)),"",INDEX('Compliance Database'!$F$2:$F$1369,MATCH(376,Engine!$C$2:$C$1369,0)))</f>
        <v/>
      </c>
      <c r="G389" s="8">
        <f>IF(ISNA(MATCH(376,Engine!$C$2:$C$1369,0)),"",INDEX('Compliance Database'!$G$2:$G$1369,MATCH(376,Engine!$C$2:$C$1369,0)))</f>
        <v/>
      </c>
      <c r="H389" s="9">
        <f>IF(ISNA(MATCH(376,Engine!$C$2:$C$1369,0)),"",INDEX('Compliance Database'!$H$2:$H$1369,MATCH(376,Engine!$C$2:$C$1369,0)))</f>
        <v/>
      </c>
      <c r="I389" s="9">
        <f>IF(ISNA(MATCH(376,Engine!$C$2:$C$1369,0)),"",INDEX('Compliance Database'!$I$2:$I$1369,MATCH(376,Engine!$C$2:$C$1369,0)))</f>
        <v/>
      </c>
      <c r="J389" s="8">
        <f>IF(ISNA(MATCH(376,Engine!$C$2:$C$1369,0)),"",INDEX('Compliance Database'!$J$2:$J$1369,MATCH(376,Engine!$C$2:$C$1369,0)))</f>
        <v/>
      </c>
      <c r="K389" s="9">
        <f>IF(ISNA(MATCH(376,Engine!$C$2:$C$1369,0)),"",INDEX('Compliance Database'!$K$2:$K$1369,MATCH(376,Engine!$C$2:$C$1369,0)))</f>
        <v/>
      </c>
      <c r="L389" s="9">
        <f>IF(ISNA(MATCH(376,Engine!$C$2:$C$1369,0)),"",INDEX('Compliance Database'!$L$2:$L$1369,MATCH(376,Engine!$C$2:$C$1369,0)))</f>
        <v/>
      </c>
      <c r="M389" s="9">
        <f>IF(ISNA(MATCH(376,Engine!$C$2:$C$1369,0)),"",INDEX('Compliance Database'!$M$2:$M$1369,MATCH(376,Engine!$C$2:$C$1369,0)))</f>
        <v/>
      </c>
      <c r="N389" s="9">
        <f>IF(ISNA(MATCH(376,Engine!$C$2:$C$1369,0)),"",INDEX('Compliance Database'!$N$2:$N$1369,MATCH(376,Engine!$C$2:$C$1369,0)))</f>
        <v/>
      </c>
      <c r="O389" s="8">
        <f>IF(ISNA(MATCH(376,Engine!$C$2:$C$1369,0)),"",HYPERLINK(INDEX('Compliance Database'!$O$2:$O$1369,MATCH(376,Engine!$C$2:$C$1369,0)),"Open PDF"))</f>
        <v/>
      </c>
    </row>
    <row r="390" ht="188" customHeight="1">
      <c r="A390" s="8">
        <f>IF(ISNA(MATCH(377,Engine!$C$2:$C$1369,0)),"",INDEX('Compliance Database'!$A$2:$A$1369,MATCH(377,Engine!$C$2:$C$1369,0)))</f>
        <v/>
      </c>
      <c r="B390" s="8">
        <f>IF(ISNA(MATCH(377,Engine!$C$2:$C$1369,0)),"",INDEX('Compliance Database'!$B$2:$B$1369,MATCH(377,Engine!$C$2:$C$1369,0)))</f>
        <v/>
      </c>
      <c r="C390" s="8">
        <f>IF(ISNA(MATCH(377,Engine!$C$2:$C$1369,0)),"",INDEX('Compliance Database'!$C$2:$C$1369,MATCH(377,Engine!$C$2:$C$1369,0)))</f>
        <v/>
      </c>
      <c r="D390" s="9">
        <f>IF(ISNA(MATCH(377,Engine!$C$2:$C$1369,0)),"",INDEX('Compliance Database'!$D$2:$D$1369,MATCH(377,Engine!$C$2:$C$1369,0)))</f>
        <v/>
      </c>
      <c r="E390" s="8">
        <f>IF(ISNA(MATCH(377,Engine!$C$2:$C$1369,0)),"",INDEX('Compliance Database'!$E$2:$E$1369,MATCH(377,Engine!$C$2:$C$1369,0)))</f>
        <v/>
      </c>
      <c r="F390" s="8">
        <f>IF(ISNA(MATCH(377,Engine!$C$2:$C$1369,0)),"",INDEX('Compliance Database'!$F$2:$F$1369,MATCH(377,Engine!$C$2:$C$1369,0)))</f>
        <v/>
      </c>
      <c r="G390" s="8">
        <f>IF(ISNA(MATCH(377,Engine!$C$2:$C$1369,0)),"",INDEX('Compliance Database'!$G$2:$G$1369,MATCH(377,Engine!$C$2:$C$1369,0)))</f>
        <v/>
      </c>
      <c r="H390" s="9">
        <f>IF(ISNA(MATCH(377,Engine!$C$2:$C$1369,0)),"",INDEX('Compliance Database'!$H$2:$H$1369,MATCH(377,Engine!$C$2:$C$1369,0)))</f>
        <v/>
      </c>
      <c r="I390" s="9">
        <f>IF(ISNA(MATCH(377,Engine!$C$2:$C$1369,0)),"",INDEX('Compliance Database'!$I$2:$I$1369,MATCH(377,Engine!$C$2:$C$1369,0)))</f>
        <v/>
      </c>
      <c r="J390" s="8">
        <f>IF(ISNA(MATCH(377,Engine!$C$2:$C$1369,0)),"",INDEX('Compliance Database'!$J$2:$J$1369,MATCH(377,Engine!$C$2:$C$1369,0)))</f>
        <v/>
      </c>
      <c r="K390" s="9">
        <f>IF(ISNA(MATCH(377,Engine!$C$2:$C$1369,0)),"",INDEX('Compliance Database'!$K$2:$K$1369,MATCH(377,Engine!$C$2:$C$1369,0)))</f>
        <v/>
      </c>
      <c r="L390" s="9">
        <f>IF(ISNA(MATCH(377,Engine!$C$2:$C$1369,0)),"",INDEX('Compliance Database'!$L$2:$L$1369,MATCH(377,Engine!$C$2:$C$1369,0)))</f>
        <v/>
      </c>
      <c r="M390" s="9">
        <f>IF(ISNA(MATCH(377,Engine!$C$2:$C$1369,0)),"",INDEX('Compliance Database'!$M$2:$M$1369,MATCH(377,Engine!$C$2:$C$1369,0)))</f>
        <v/>
      </c>
      <c r="N390" s="9">
        <f>IF(ISNA(MATCH(377,Engine!$C$2:$C$1369,0)),"",INDEX('Compliance Database'!$N$2:$N$1369,MATCH(377,Engine!$C$2:$C$1369,0)))</f>
        <v/>
      </c>
      <c r="O390" s="8">
        <f>IF(ISNA(MATCH(377,Engine!$C$2:$C$1369,0)),"",HYPERLINK(INDEX('Compliance Database'!$O$2:$O$1369,MATCH(377,Engine!$C$2:$C$1369,0)),"Open PDF"))</f>
        <v/>
      </c>
    </row>
    <row r="391" ht="188" customHeight="1">
      <c r="A391" s="8">
        <f>IF(ISNA(MATCH(378,Engine!$C$2:$C$1369,0)),"",INDEX('Compliance Database'!$A$2:$A$1369,MATCH(378,Engine!$C$2:$C$1369,0)))</f>
        <v/>
      </c>
      <c r="B391" s="8">
        <f>IF(ISNA(MATCH(378,Engine!$C$2:$C$1369,0)),"",INDEX('Compliance Database'!$B$2:$B$1369,MATCH(378,Engine!$C$2:$C$1369,0)))</f>
        <v/>
      </c>
      <c r="C391" s="8">
        <f>IF(ISNA(MATCH(378,Engine!$C$2:$C$1369,0)),"",INDEX('Compliance Database'!$C$2:$C$1369,MATCH(378,Engine!$C$2:$C$1369,0)))</f>
        <v/>
      </c>
      <c r="D391" s="9">
        <f>IF(ISNA(MATCH(378,Engine!$C$2:$C$1369,0)),"",INDEX('Compliance Database'!$D$2:$D$1369,MATCH(378,Engine!$C$2:$C$1369,0)))</f>
        <v/>
      </c>
      <c r="E391" s="8">
        <f>IF(ISNA(MATCH(378,Engine!$C$2:$C$1369,0)),"",INDEX('Compliance Database'!$E$2:$E$1369,MATCH(378,Engine!$C$2:$C$1369,0)))</f>
        <v/>
      </c>
      <c r="F391" s="8">
        <f>IF(ISNA(MATCH(378,Engine!$C$2:$C$1369,0)),"",INDEX('Compliance Database'!$F$2:$F$1369,MATCH(378,Engine!$C$2:$C$1369,0)))</f>
        <v/>
      </c>
      <c r="G391" s="8">
        <f>IF(ISNA(MATCH(378,Engine!$C$2:$C$1369,0)),"",INDEX('Compliance Database'!$G$2:$G$1369,MATCH(378,Engine!$C$2:$C$1369,0)))</f>
        <v/>
      </c>
      <c r="H391" s="9">
        <f>IF(ISNA(MATCH(378,Engine!$C$2:$C$1369,0)),"",INDEX('Compliance Database'!$H$2:$H$1369,MATCH(378,Engine!$C$2:$C$1369,0)))</f>
        <v/>
      </c>
      <c r="I391" s="9">
        <f>IF(ISNA(MATCH(378,Engine!$C$2:$C$1369,0)),"",INDEX('Compliance Database'!$I$2:$I$1369,MATCH(378,Engine!$C$2:$C$1369,0)))</f>
        <v/>
      </c>
      <c r="J391" s="8">
        <f>IF(ISNA(MATCH(378,Engine!$C$2:$C$1369,0)),"",INDEX('Compliance Database'!$J$2:$J$1369,MATCH(378,Engine!$C$2:$C$1369,0)))</f>
        <v/>
      </c>
      <c r="K391" s="9">
        <f>IF(ISNA(MATCH(378,Engine!$C$2:$C$1369,0)),"",INDEX('Compliance Database'!$K$2:$K$1369,MATCH(378,Engine!$C$2:$C$1369,0)))</f>
        <v/>
      </c>
      <c r="L391" s="9">
        <f>IF(ISNA(MATCH(378,Engine!$C$2:$C$1369,0)),"",INDEX('Compliance Database'!$L$2:$L$1369,MATCH(378,Engine!$C$2:$C$1369,0)))</f>
        <v/>
      </c>
      <c r="M391" s="9">
        <f>IF(ISNA(MATCH(378,Engine!$C$2:$C$1369,0)),"",INDEX('Compliance Database'!$M$2:$M$1369,MATCH(378,Engine!$C$2:$C$1369,0)))</f>
        <v/>
      </c>
      <c r="N391" s="9">
        <f>IF(ISNA(MATCH(378,Engine!$C$2:$C$1369,0)),"",INDEX('Compliance Database'!$N$2:$N$1369,MATCH(378,Engine!$C$2:$C$1369,0)))</f>
        <v/>
      </c>
      <c r="O391" s="8">
        <f>IF(ISNA(MATCH(378,Engine!$C$2:$C$1369,0)),"",HYPERLINK(INDEX('Compliance Database'!$O$2:$O$1369,MATCH(378,Engine!$C$2:$C$1369,0)),"Open PDF"))</f>
        <v/>
      </c>
    </row>
    <row r="392" ht="188" customHeight="1">
      <c r="A392" s="8">
        <f>IF(ISNA(MATCH(379,Engine!$C$2:$C$1369,0)),"",INDEX('Compliance Database'!$A$2:$A$1369,MATCH(379,Engine!$C$2:$C$1369,0)))</f>
        <v/>
      </c>
      <c r="B392" s="8">
        <f>IF(ISNA(MATCH(379,Engine!$C$2:$C$1369,0)),"",INDEX('Compliance Database'!$B$2:$B$1369,MATCH(379,Engine!$C$2:$C$1369,0)))</f>
        <v/>
      </c>
      <c r="C392" s="8">
        <f>IF(ISNA(MATCH(379,Engine!$C$2:$C$1369,0)),"",INDEX('Compliance Database'!$C$2:$C$1369,MATCH(379,Engine!$C$2:$C$1369,0)))</f>
        <v/>
      </c>
      <c r="D392" s="9">
        <f>IF(ISNA(MATCH(379,Engine!$C$2:$C$1369,0)),"",INDEX('Compliance Database'!$D$2:$D$1369,MATCH(379,Engine!$C$2:$C$1369,0)))</f>
        <v/>
      </c>
      <c r="E392" s="8">
        <f>IF(ISNA(MATCH(379,Engine!$C$2:$C$1369,0)),"",INDEX('Compliance Database'!$E$2:$E$1369,MATCH(379,Engine!$C$2:$C$1369,0)))</f>
        <v/>
      </c>
      <c r="F392" s="8">
        <f>IF(ISNA(MATCH(379,Engine!$C$2:$C$1369,0)),"",INDEX('Compliance Database'!$F$2:$F$1369,MATCH(379,Engine!$C$2:$C$1369,0)))</f>
        <v/>
      </c>
      <c r="G392" s="8">
        <f>IF(ISNA(MATCH(379,Engine!$C$2:$C$1369,0)),"",INDEX('Compliance Database'!$G$2:$G$1369,MATCH(379,Engine!$C$2:$C$1369,0)))</f>
        <v/>
      </c>
      <c r="H392" s="9">
        <f>IF(ISNA(MATCH(379,Engine!$C$2:$C$1369,0)),"",INDEX('Compliance Database'!$H$2:$H$1369,MATCH(379,Engine!$C$2:$C$1369,0)))</f>
        <v/>
      </c>
      <c r="I392" s="9">
        <f>IF(ISNA(MATCH(379,Engine!$C$2:$C$1369,0)),"",INDEX('Compliance Database'!$I$2:$I$1369,MATCH(379,Engine!$C$2:$C$1369,0)))</f>
        <v/>
      </c>
      <c r="J392" s="8">
        <f>IF(ISNA(MATCH(379,Engine!$C$2:$C$1369,0)),"",INDEX('Compliance Database'!$J$2:$J$1369,MATCH(379,Engine!$C$2:$C$1369,0)))</f>
        <v/>
      </c>
      <c r="K392" s="9">
        <f>IF(ISNA(MATCH(379,Engine!$C$2:$C$1369,0)),"",INDEX('Compliance Database'!$K$2:$K$1369,MATCH(379,Engine!$C$2:$C$1369,0)))</f>
        <v/>
      </c>
      <c r="L392" s="9">
        <f>IF(ISNA(MATCH(379,Engine!$C$2:$C$1369,0)),"",INDEX('Compliance Database'!$L$2:$L$1369,MATCH(379,Engine!$C$2:$C$1369,0)))</f>
        <v/>
      </c>
      <c r="M392" s="9">
        <f>IF(ISNA(MATCH(379,Engine!$C$2:$C$1369,0)),"",INDEX('Compliance Database'!$M$2:$M$1369,MATCH(379,Engine!$C$2:$C$1369,0)))</f>
        <v/>
      </c>
      <c r="N392" s="9">
        <f>IF(ISNA(MATCH(379,Engine!$C$2:$C$1369,0)),"",INDEX('Compliance Database'!$N$2:$N$1369,MATCH(379,Engine!$C$2:$C$1369,0)))</f>
        <v/>
      </c>
      <c r="O392" s="8">
        <f>IF(ISNA(MATCH(379,Engine!$C$2:$C$1369,0)),"",HYPERLINK(INDEX('Compliance Database'!$O$2:$O$1369,MATCH(379,Engine!$C$2:$C$1369,0)),"Open PDF"))</f>
        <v/>
      </c>
    </row>
    <row r="393" ht="188" customHeight="1">
      <c r="A393" s="8">
        <f>IF(ISNA(MATCH(380,Engine!$C$2:$C$1369,0)),"",INDEX('Compliance Database'!$A$2:$A$1369,MATCH(380,Engine!$C$2:$C$1369,0)))</f>
        <v/>
      </c>
      <c r="B393" s="8">
        <f>IF(ISNA(MATCH(380,Engine!$C$2:$C$1369,0)),"",INDEX('Compliance Database'!$B$2:$B$1369,MATCH(380,Engine!$C$2:$C$1369,0)))</f>
        <v/>
      </c>
      <c r="C393" s="8">
        <f>IF(ISNA(MATCH(380,Engine!$C$2:$C$1369,0)),"",INDEX('Compliance Database'!$C$2:$C$1369,MATCH(380,Engine!$C$2:$C$1369,0)))</f>
        <v/>
      </c>
      <c r="D393" s="9">
        <f>IF(ISNA(MATCH(380,Engine!$C$2:$C$1369,0)),"",INDEX('Compliance Database'!$D$2:$D$1369,MATCH(380,Engine!$C$2:$C$1369,0)))</f>
        <v/>
      </c>
      <c r="E393" s="8">
        <f>IF(ISNA(MATCH(380,Engine!$C$2:$C$1369,0)),"",INDEX('Compliance Database'!$E$2:$E$1369,MATCH(380,Engine!$C$2:$C$1369,0)))</f>
        <v/>
      </c>
      <c r="F393" s="8">
        <f>IF(ISNA(MATCH(380,Engine!$C$2:$C$1369,0)),"",INDEX('Compliance Database'!$F$2:$F$1369,MATCH(380,Engine!$C$2:$C$1369,0)))</f>
        <v/>
      </c>
      <c r="G393" s="8">
        <f>IF(ISNA(MATCH(380,Engine!$C$2:$C$1369,0)),"",INDEX('Compliance Database'!$G$2:$G$1369,MATCH(380,Engine!$C$2:$C$1369,0)))</f>
        <v/>
      </c>
      <c r="H393" s="9">
        <f>IF(ISNA(MATCH(380,Engine!$C$2:$C$1369,0)),"",INDEX('Compliance Database'!$H$2:$H$1369,MATCH(380,Engine!$C$2:$C$1369,0)))</f>
        <v/>
      </c>
      <c r="I393" s="9">
        <f>IF(ISNA(MATCH(380,Engine!$C$2:$C$1369,0)),"",INDEX('Compliance Database'!$I$2:$I$1369,MATCH(380,Engine!$C$2:$C$1369,0)))</f>
        <v/>
      </c>
      <c r="J393" s="8">
        <f>IF(ISNA(MATCH(380,Engine!$C$2:$C$1369,0)),"",INDEX('Compliance Database'!$J$2:$J$1369,MATCH(380,Engine!$C$2:$C$1369,0)))</f>
        <v/>
      </c>
      <c r="K393" s="9">
        <f>IF(ISNA(MATCH(380,Engine!$C$2:$C$1369,0)),"",INDEX('Compliance Database'!$K$2:$K$1369,MATCH(380,Engine!$C$2:$C$1369,0)))</f>
        <v/>
      </c>
      <c r="L393" s="9">
        <f>IF(ISNA(MATCH(380,Engine!$C$2:$C$1369,0)),"",INDEX('Compliance Database'!$L$2:$L$1369,MATCH(380,Engine!$C$2:$C$1369,0)))</f>
        <v/>
      </c>
      <c r="M393" s="9">
        <f>IF(ISNA(MATCH(380,Engine!$C$2:$C$1369,0)),"",INDEX('Compliance Database'!$M$2:$M$1369,MATCH(380,Engine!$C$2:$C$1369,0)))</f>
        <v/>
      </c>
      <c r="N393" s="9">
        <f>IF(ISNA(MATCH(380,Engine!$C$2:$C$1369,0)),"",INDEX('Compliance Database'!$N$2:$N$1369,MATCH(380,Engine!$C$2:$C$1369,0)))</f>
        <v/>
      </c>
      <c r="O393" s="8">
        <f>IF(ISNA(MATCH(380,Engine!$C$2:$C$1369,0)),"",HYPERLINK(INDEX('Compliance Database'!$O$2:$O$1369,MATCH(380,Engine!$C$2:$C$1369,0)),"Open PDF"))</f>
        <v/>
      </c>
    </row>
    <row r="394" ht="188" customHeight="1">
      <c r="A394" s="8">
        <f>IF(ISNA(MATCH(381,Engine!$C$2:$C$1369,0)),"",INDEX('Compliance Database'!$A$2:$A$1369,MATCH(381,Engine!$C$2:$C$1369,0)))</f>
        <v/>
      </c>
      <c r="B394" s="8">
        <f>IF(ISNA(MATCH(381,Engine!$C$2:$C$1369,0)),"",INDEX('Compliance Database'!$B$2:$B$1369,MATCH(381,Engine!$C$2:$C$1369,0)))</f>
        <v/>
      </c>
      <c r="C394" s="8">
        <f>IF(ISNA(MATCH(381,Engine!$C$2:$C$1369,0)),"",INDEX('Compliance Database'!$C$2:$C$1369,MATCH(381,Engine!$C$2:$C$1369,0)))</f>
        <v/>
      </c>
      <c r="D394" s="9">
        <f>IF(ISNA(MATCH(381,Engine!$C$2:$C$1369,0)),"",INDEX('Compliance Database'!$D$2:$D$1369,MATCH(381,Engine!$C$2:$C$1369,0)))</f>
        <v/>
      </c>
      <c r="E394" s="8">
        <f>IF(ISNA(MATCH(381,Engine!$C$2:$C$1369,0)),"",INDEX('Compliance Database'!$E$2:$E$1369,MATCH(381,Engine!$C$2:$C$1369,0)))</f>
        <v/>
      </c>
      <c r="F394" s="8">
        <f>IF(ISNA(MATCH(381,Engine!$C$2:$C$1369,0)),"",INDEX('Compliance Database'!$F$2:$F$1369,MATCH(381,Engine!$C$2:$C$1369,0)))</f>
        <v/>
      </c>
      <c r="G394" s="8">
        <f>IF(ISNA(MATCH(381,Engine!$C$2:$C$1369,0)),"",INDEX('Compliance Database'!$G$2:$G$1369,MATCH(381,Engine!$C$2:$C$1369,0)))</f>
        <v/>
      </c>
      <c r="H394" s="9">
        <f>IF(ISNA(MATCH(381,Engine!$C$2:$C$1369,0)),"",INDEX('Compliance Database'!$H$2:$H$1369,MATCH(381,Engine!$C$2:$C$1369,0)))</f>
        <v/>
      </c>
      <c r="I394" s="9">
        <f>IF(ISNA(MATCH(381,Engine!$C$2:$C$1369,0)),"",INDEX('Compliance Database'!$I$2:$I$1369,MATCH(381,Engine!$C$2:$C$1369,0)))</f>
        <v/>
      </c>
      <c r="J394" s="8">
        <f>IF(ISNA(MATCH(381,Engine!$C$2:$C$1369,0)),"",INDEX('Compliance Database'!$J$2:$J$1369,MATCH(381,Engine!$C$2:$C$1369,0)))</f>
        <v/>
      </c>
      <c r="K394" s="9">
        <f>IF(ISNA(MATCH(381,Engine!$C$2:$C$1369,0)),"",INDEX('Compliance Database'!$K$2:$K$1369,MATCH(381,Engine!$C$2:$C$1369,0)))</f>
        <v/>
      </c>
      <c r="L394" s="9">
        <f>IF(ISNA(MATCH(381,Engine!$C$2:$C$1369,0)),"",INDEX('Compliance Database'!$L$2:$L$1369,MATCH(381,Engine!$C$2:$C$1369,0)))</f>
        <v/>
      </c>
      <c r="M394" s="9">
        <f>IF(ISNA(MATCH(381,Engine!$C$2:$C$1369,0)),"",INDEX('Compliance Database'!$M$2:$M$1369,MATCH(381,Engine!$C$2:$C$1369,0)))</f>
        <v/>
      </c>
      <c r="N394" s="9">
        <f>IF(ISNA(MATCH(381,Engine!$C$2:$C$1369,0)),"",INDEX('Compliance Database'!$N$2:$N$1369,MATCH(381,Engine!$C$2:$C$1369,0)))</f>
        <v/>
      </c>
      <c r="O394" s="8">
        <f>IF(ISNA(MATCH(381,Engine!$C$2:$C$1369,0)),"",HYPERLINK(INDEX('Compliance Database'!$O$2:$O$1369,MATCH(381,Engine!$C$2:$C$1369,0)),"Open PDF"))</f>
        <v/>
      </c>
    </row>
    <row r="395" ht="188" customHeight="1">
      <c r="A395" s="8">
        <f>IF(ISNA(MATCH(382,Engine!$C$2:$C$1369,0)),"",INDEX('Compliance Database'!$A$2:$A$1369,MATCH(382,Engine!$C$2:$C$1369,0)))</f>
        <v/>
      </c>
      <c r="B395" s="8">
        <f>IF(ISNA(MATCH(382,Engine!$C$2:$C$1369,0)),"",INDEX('Compliance Database'!$B$2:$B$1369,MATCH(382,Engine!$C$2:$C$1369,0)))</f>
        <v/>
      </c>
      <c r="C395" s="8">
        <f>IF(ISNA(MATCH(382,Engine!$C$2:$C$1369,0)),"",INDEX('Compliance Database'!$C$2:$C$1369,MATCH(382,Engine!$C$2:$C$1369,0)))</f>
        <v/>
      </c>
      <c r="D395" s="9">
        <f>IF(ISNA(MATCH(382,Engine!$C$2:$C$1369,0)),"",INDEX('Compliance Database'!$D$2:$D$1369,MATCH(382,Engine!$C$2:$C$1369,0)))</f>
        <v/>
      </c>
      <c r="E395" s="8">
        <f>IF(ISNA(MATCH(382,Engine!$C$2:$C$1369,0)),"",INDEX('Compliance Database'!$E$2:$E$1369,MATCH(382,Engine!$C$2:$C$1369,0)))</f>
        <v/>
      </c>
      <c r="F395" s="8">
        <f>IF(ISNA(MATCH(382,Engine!$C$2:$C$1369,0)),"",INDEX('Compliance Database'!$F$2:$F$1369,MATCH(382,Engine!$C$2:$C$1369,0)))</f>
        <v/>
      </c>
      <c r="G395" s="8">
        <f>IF(ISNA(MATCH(382,Engine!$C$2:$C$1369,0)),"",INDEX('Compliance Database'!$G$2:$G$1369,MATCH(382,Engine!$C$2:$C$1369,0)))</f>
        <v/>
      </c>
      <c r="H395" s="9">
        <f>IF(ISNA(MATCH(382,Engine!$C$2:$C$1369,0)),"",INDEX('Compliance Database'!$H$2:$H$1369,MATCH(382,Engine!$C$2:$C$1369,0)))</f>
        <v/>
      </c>
      <c r="I395" s="9">
        <f>IF(ISNA(MATCH(382,Engine!$C$2:$C$1369,0)),"",INDEX('Compliance Database'!$I$2:$I$1369,MATCH(382,Engine!$C$2:$C$1369,0)))</f>
        <v/>
      </c>
      <c r="J395" s="8">
        <f>IF(ISNA(MATCH(382,Engine!$C$2:$C$1369,0)),"",INDEX('Compliance Database'!$J$2:$J$1369,MATCH(382,Engine!$C$2:$C$1369,0)))</f>
        <v/>
      </c>
      <c r="K395" s="9">
        <f>IF(ISNA(MATCH(382,Engine!$C$2:$C$1369,0)),"",INDEX('Compliance Database'!$K$2:$K$1369,MATCH(382,Engine!$C$2:$C$1369,0)))</f>
        <v/>
      </c>
      <c r="L395" s="9">
        <f>IF(ISNA(MATCH(382,Engine!$C$2:$C$1369,0)),"",INDEX('Compliance Database'!$L$2:$L$1369,MATCH(382,Engine!$C$2:$C$1369,0)))</f>
        <v/>
      </c>
      <c r="M395" s="9">
        <f>IF(ISNA(MATCH(382,Engine!$C$2:$C$1369,0)),"",INDEX('Compliance Database'!$M$2:$M$1369,MATCH(382,Engine!$C$2:$C$1369,0)))</f>
        <v/>
      </c>
      <c r="N395" s="9">
        <f>IF(ISNA(MATCH(382,Engine!$C$2:$C$1369,0)),"",INDEX('Compliance Database'!$N$2:$N$1369,MATCH(382,Engine!$C$2:$C$1369,0)))</f>
        <v/>
      </c>
      <c r="O395" s="8">
        <f>IF(ISNA(MATCH(382,Engine!$C$2:$C$1369,0)),"",HYPERLINK(INDEX('Compliance Database'!$O$2:$O$1369,MATCH(382,Engine!$C$2:$C$1369,0)),"Open PDF"))</f>
        <v/>
      </c>
    </row>
    <row r="396" ht="188" customHeight="1">
      <c r="A396" s="8">
        <f>IF(ISNA(MATCH(383,Engine!$C$2:$C$1369,0)),"",INDEX('Compliance Database'!$A$2:$A$1369,MATCH(383,Engine!$C$2:$C$1369,0)))</f>
        <v/>
      </c>
      <c r="B396" s="8">
        <f>IF(ISNA(MATCH(383,Engine!$C$2:$C$1369,0)),"",INDEX('Compliance Database'!$B$2:$B$1369,MATCH(383,Engine!$C$2:$C$1369,0)))</f>
        <v/>
      </c>
      <c r="C396" s="8">
        <f>IF(ISNA(MATCH(383,Engine!$C$2:$C$1369,0)),"",INDEX('Compliance Database'!$C$2:$C$1369,MATCH(383,Engine!$C$2:$C$1369,0)))</f>
        <v/>
      </c>
      <c r="D396" s="9">
        <f>IF(ISNA(MATCH(383,Engine!$C$2:$C$1369,0)),"",INDEX('Compliance Database'!$D$2:$D$1369,MATCH(383,Engine!$C$2:$C$1369,0)))</f>
        <v/>
      </c>
      <c r="E396" s="8">
        <f>IF(ISNA(MATCH(383,Engine!$C$2:$C$1369,0)),"",INDEX('Compliance Database'!$E$2:$E$1369,MATCH(383,Engine!$C$2:$C$1369,0)))</f>
        <v/>
      </c>
      <c r="F396" s="8">
        <f>IF(ISNA(MATCH(383,Engine!$C$2:$C$1369,0)),"",INDEX('Compliance Database'!$F$2:$F$1369,MATCH(383,Engine!$C$2:$C$1369,0)))</f>
        <v/>
      </c>
      <c r="G396" s="8">
        <f>IF(ISNA(MATCH(383,Engine!$C$2:$C$1369,0)),"",INDEX('Compliance Database'!$G$2:$G$1369,MATCH(383,Engine!$C$2:$C$1369,0)))</f>
        <v/>
      </c>
      <c r="H396" s="9">
        <f>IF(ISNA(MATCH(383,Engine!$C$2:$C$1369,0)),"",INDEX('Compliance Database'!$H$2:$H$1369,MATCH(383,Engine!$C$2:$C$1369,0)))</f>
        <v/>
      </c>
      <c r="I396" s="9">
        <f>IF(ISNA(MATCH(383,Engine!$C$2:$C$1369,0)),"",INDEX('Compliance Database'!$I$2:$I$1369,MATCH(383,Engine!$C$2:$C$1369,0)))</f>
        <v/>
      </c>
      <c r="J396" s="8">
        <f>IF(ISNA(MATCH(383,Engine!$C$2:$C$1369,0)),"",INDEX('Compliance Database'!$J$2:$J$1369,MATCH(383,Engine!$C$2:$C$1369,0)))</f>
        <v/>
      </c>
      <c r="K396" s="9">
        <f>IF(ISNA(MATCH(383,Engine!$C$2:$C$1369,0)),"",INDEX('Compliance Database'!$K$2:$K$1369,MATCH(383,Engine!$C$2:$C$1369,0)))</f>
        <v/>
      </c>
      <c r="L396" s="9">
        <f>IF(ISNA(MATCH(383,Engine!$C$2:$C$1369,0)),"",INDEX('Compliance Database'!$L$2:$L$1369,MATCH(383,Engine!$C$2:$C$1369,0)))</f>
        <v/>
      </c>
      <c r="M396" s="9">
        <f>IF(ISNA(MATCH(383,Engine!$C$2:$C$1369,0)),"",INDEX('Compliance Database'!$M$2:$M$1369,MATCH(383,Engine!$C$2:$C$1369,0)))</f>
        <v/>
      </c>
      <c r="N396" s="9">
        <f>IF(ISNA(MATCH(383,Engine!$C$2:$C$1369,0)),"",INDEX('Compliance Database'!$N$2:$N$1369,MATCH(383,Engine!$C$2:$C$1369,0)))</f>
        <v/>
      </c>
      <c r="O396" s="8">
        <f>IF(ISNA(MATCH(383,Engine!$C$2:$C$1369,0)),"",HYPERLINK(INDEX('Compliance Database'!$O$2:$O$1369,MATCH(383,Engine!$C$2:$C$1369,0)),"Open PDF"))</f>
        <v/>
      </c>
    </row>
    <row r="397" ht="188" customHeight="1">
      <c r="A397" s="8">
        <f>IF(ISNA(MATCH(384,Engine!$C$2:$C$1369,0)),"",INDEX('Compliance Database'!$A$2:$A$1369,MATCH(384,Engine!$C$2:$C$1369,0)))</f>
        <v/>
      </c>
      <c r="B397" s="8">
        <f>IF(ISNA(MATCH(384,Engine!$C$2:$C$1369,0)),"",INDEX('Compliance Database'!$B$2:$B$1369,MATCH(384,Engine!$C$2:$C$1369,0)))</f>
        <v/>
      </c>
      <c r="C397" s="8">
        <f>IF(ISNA(MATCH(384,Engine!$C$2:$C$1369,0)),"",INDEX('Compliance Database'!$C$2:$C$1369,MATCH(384,Engine!$C$2:$C$1369,0)))</f>
        <v/>
      </c>
      <c r="D397" s="9">
        <f>IF(ISNA(MATCH(384,Engine!$C$2:$C$1369,0)),"",INDEX('Compliance Database'!$D$2:$D$1369,MATCH(384,Engine!$C$2:$C$1369,0)))</f>
        <v/>
      </c>
      <c r="E397" s="8">
        <f>IF(ISNA(MATCH(384,Engine!$C$2:$C$1369,0)),"",INDEX('Compliance Database'!$E$2:$E$1369,MATCH(384,Engine!$C$2:$C$1369,0)))</f>
        <v/>
      </c>
      <c r="F397" s="8">
        <f>IF(ISNA(MATCH(384,Engine!$C$2:$C$1369,0)),"",INDEX('Compliance Database'!$F$2:$F$1369,MATCH(384,Engine!$C$2:$C$1369,0)))</f>
        <v/>
      </c>
      <c r="G397" s="8">
        <f>IF(ISNA(MATCH(384,Engine!$C$2:$C$1369,0)),"",INDEX('Compliance Database'!$G$2:$G$1369,MATCH(384,Engine!$C$2:$C$1369,0)))</f>
        <v/>
      </c>
      <c r="H397" s="9">
        <f>IF(ISNA(MATCH(384,Engine!$C$2:$C$1369,0)),"",INDEX('Compliance Database'!$H$2:$H$1369,MATCH(384,Engine!$C$2:$C$1369,0)))</f>
        <v/>
      </c>
      <c r="I397" s="9">
        <f>IF(ISNA(MATCH(384,Engine!$C$2:$C$1369,0)),"",INDEX('Compliance Database'!$I$2:$I$1369,MATCH(384,Engine!$C$2:$C$1369,0)))</f>
        <v/>
      </c>
      <c r="J397" s="8">
        <f>IF(ISNA(MATCH(384,Engine!$C$2:$C$1369,0)),"",INDEX('Compliance Database'!$J$2:$J$1369,MATCH(384,Engine!$C$2:$C$1369,0)))</f>
        <v/>
      </c>
      <c r="K397" s="9">
        <f>IF(ISNA(MATCH(384,Engine!$C$2:$C$1369,0)),"",INDEX('Compliance Database'!$K$2:$K$1369,MATCH(384,Engine!$C$2:$C$1369,0)))</f>
        <v/>
      </c>
      <c r="L397" s="9">
        <f>IF(ISNA(MATCH(384,Engine!$C$2:$C$1369,0)),"",INDEX('Compliance Database'!$L$2:$L$1369,MATCH(384,Engine!$C$2:$C$1369,0)))</f>
        <v/>
      </c>
      <c r="M397" s="9">
        <f>IF(ISNA(MATCH(384,Engine!$C$2:$C$1369,0)),"",INDEX('Compliance Database'!$M$2:$M$1369,MATCH(384,Engine!$C$2:$C$1369,0)))</f>
        <v/>
      </c>
      <c r="N397" s="9">
        <f>IF(ISNA(MATCH(384,Engine!$C$2:$C$1369,0)),"",INDEX('Compliance Database'!$N$2:$N$1369,MATCH(384,Engine!$C$2:$C$1369,0)))</f>
        <v/>
      </c>
      <c r="O397" s="8">
        <f>IF(ISNA(MATCH(384,Engine!$C$2:$C$1369,0)),"",HYPERLINK(INDEX('Compliance Database'!$O$2:$O$1369,MATCH(384,Engine!$C$2:$C$1369,0)),"Open PDF"))</f>
        <v/>
      </c>
    </row>
    <row r="398" ht="188" customHeight="1">
      <c r="A398" s="8">
        <f>IF(ISNA(MATCH(385,Engine!$C$2:$C$1369,0)),"",INDEX('Compliance Database'!$A$2:$A$1369,MATCH(385,Engine!$C$2:$C$1369,0)))</f>
        <v/>
      </c>
      <c r="B398" s="8">
        <f>IF(ISNA(MATCH(385,Engine!$C$2:$C$1369,0)),"",INDEX('Compliance Database'!$B$2:$B$1369,MATCH(385,Engine!$C$2:$C$1369,0)))</f>
        <v/>
      </c>
      <c r="C398" s="8">
        <f>IF(ISNA(MATCH(385,Engine!$C$2:$C$1369,0)),"",INDEX('Compliance Database'!$C$2:$C$1369,MATCH(385,Engine!$C$2:$C$1369,0)))</f>
        <v/>
      </c>
      <c r="D398" s="9">
        <f>IF(ISNA(MATCH(385,Engine!$C$2:$C$1369,0)),"",INDEX('Compliance Database'!$D$2:$D$1369,MATCH(385,Engine!$C$2:$C$1369,0)))</f>
        <v/>
      </c>
      <c r="E398" s="8">
        <f>IF(ISNA(MATCH(385,Engine!$C$2:$C$1369,0)),"",INDEX('Compliance Database'!$E$2:$E$1369,MATCH(385,Engine!$C$2:$C$1369,0)))</f>
        <v/>
      </c>
      <c r="F398" s="8">
        <f>IF(ISNA(MATCH(385,Engine!$C$2:$C$1369,0)),"",INDEX('Compliance Database'!$F$2:$F$1369,MATCH(385,Engine!$C$2:$C$1369,0)))</f>
        <v/>
      </c>
      <c r="G398" s="8">
        <f>IF(ISNA(MATCH(385,Engine!$C$2:$C$1369,0)),"",INDEX('Compliance Database'!$G$2:$G$1369,MATCH(385,Engine!$C$2:$C$1369,0)))</f>
        <v/>
      </c>
      <c r="H398" s="9">
        <f>IF(ISNA(MATCH(385,Engine!$C$2:$C$1369,0)),"",INDEX('Compliance Database'!$H$2:$H$1369,MATCH(385,Engine!$C$2:$C$1369,0)))</f>
        <v/>
      </c>
      <c r="I398" s="9">
        <f>IF(ISNA(MATCH(385,Engine!$C$2:$C$1369,0)),"",INDEX('Compliance Database'!$I$2:$I$1369,MATCH(385,Engine!$C$2:$C$1369,0)))</f>
        <v/>
      </c>
      <c r="J398" s="8">
        <f>IF(ISNA(MATCH(385,Engine!$C$2:$C$1369,0)),"",INDEX('Compliance Database'!$J$2:$J$1369,MATCH(385,Engine!$C$2:$C$1369,0)))</f>
        <v/>
      </c>
      <c r="K398" s="9">
        <f>IF(ISNA(MATCH(385,Engine!$C$2:$C$1369,0)),"",INDEX('Compliance Database'!$K$2:$K$1369,MATCH(385,Engine!$C$2:$C$1369,0)))</f>
        <v/>
      </c>
      <c r="L398" s="9">
        <f>IF(ISNA(MATCH(385,Engine!$C$2:$C$1369,0)),"",INDEX('Compliance Database'!$L$2:$L$1369,MATCH(385,Engine!$C$2:$C$1369,0)))</f>
        <v/>
      </c>
      <c r="M398" s="9">
        <f>IF(ISNA(MATCH(385,Engine!$C$2:$C$1369,0)),"",INDEX('Compliance Database'!$M$2:$M$1369,MATCH(385,Engine!$C$2:$C$1369,0)))</f>
        <v/>
      </c>
      <c r="N398" s="9">
        <f>IF(ISNA(MATCH(385,Engine!$C$2:$C$1369,0)),"",INDEX('Compliance Database'!$N$2:$N$1369,MATCH(385,Engine!$C$2:$C$1369,0)))</f>
        <v/>
      </c>
      <c r="O398" s="8">
        <f>IF(ISNA(MATCH(385,Engine!$C$2:$C$1369,0)),"",HYPERLINK(INDEX('Compliance Database'!$O$2:$O$1369,MATCH(385,Engine!$C$2:$C$1369,0)),"Open PDF"))</f>
        <v/>
      </c>
    </row>
    <row r="399" ht="188" customHeight="1">
      <c r="A399" s="8">
        <f>IF(ISNA(MATCH(386,Engine!$C$2:$C$1369,0)),"",INDEX('Compliance Database'!$A$2:$A$1369,MATCH(386,Engine!$C$2:$C$1369,0)))</f>
        <v/>
      </c>
      <c r="B399" s="8">
        <f>IF(ISNA(MATCH(386,Engine!$C$2:$C$1369,0)),"",INDEX('Compliance Database'!$B$2:$B$1369,MATCH(386,Engine!$C$2:$C$1369,0)))</f>
        <v/>
      </c>
      <c r="C399" s="8">
        <f>IF(ISNA(MATCH(386,Engine!$C$2:$C$1369,0)),"",INDEX('Compliance Database'!$C$2:$C$1369,MATCH(386,Engine!$C$2:$C$1369,0)))</f>
        <v/>
      </c>
      <c r="D399" s="9">
        <f>IF(ISNA(MATCH(386,Engine!$C$2:$C$1369,0)),"",INDEX('Compliance Database'!$D$2:$D$1369,MATCH(386,Engine!$C$2:$C$1369,0)))</f>
        <v/>
      </c>
      <c r="E399" s="8">
        <f>IF(ISNA(MATCH(386,Engine!$C$2:$C$1369,0)),"",INDEX('Compliance Database'!$E$2:$E$1369,MATCH(386,Engine!$C$2:$C$1369,0)))</f>
        <v/>
      </c>
      <c r="F399" s="8">
        <f>IF(ISNA(MATCH(386,Engine!$C$2:$C$1369,0)),"",INDEX('Compliance Database'!$F$2:$F$1369,MATCH(386,Engine!$C$2:$C$1369,0)))</f>
        <v/>
      </c>
      <c r="G399" s="8">
        <f>IF(ISNA(MATCH(386,Engine!$C$2:$C$1369,0)),"",INDEX('Compliance Database'!$G$2:$G$1369,MATCH(386,Engine!$C$2:$C$1369,0)))</f>
        <v/>
      </c>
      <c r="H399" s="9">
        <f>IF(ISNA(MATCH(386,Engine!$C$2:$C$1369,0)),"",INDEX('Compliance Database'!$H$2:$H$1369,MATCH(386,Engine!$C$2:$C$1369,0)))</f>
        <v/>
      </c>
      <c r="I399" s="9">
        <f>IF(ISNA(MATCH(386,Engine!$C$2:$C$1369,0)),"",INDEX('Compliance Database'!$I$2:$I$1369,MATCH(386,Engine!$C$2:$C$1369,0)))</f>
        <v/>
      </c>
      <c r="J399" s="8">
        <f>IF(ISNA(MATCH(386,Engine!$C$2:$C$1369,0)),"",INDEX('Compliance Database'!$J$2:$J$1369,MATCH(386,Engine!$C$2:$C$1369,0)))</f>
        <v/>
      </c>
      <c r="K399" s="9">
        <f>IF(ISNA(MATCH(386,Engine!$C$2:$C$1369,0)),"",INDEX('Compliance Database'!$K$2:$K$1369,MATCH(386,Engine!$C$2:$C$1369,0)))</f>
        <v/>
      </c>
      <c r="L399" s="9">
        <f>IF(ISNA(MATCH(386,Engine!$C$2:$C$1369,0)),"",INDEX('Compliance Database'!$L$2:$L$1369,MATCH(386,Engine!$C$2:$C$1369,0)))</f>
        <v/>
      </c>
      <c r="M399" s="9">
        <f>IF(ISNA(MATCH(386,Engine!$C$2:$C$1369,0)),"",INDEX('Compliance Database'!$M$2:$M$1369,MATCH(386,Engine!$C$2:$C$1369,0)))</f>
        <v/>
      </c>
      <c r="N399" s="9">
        <f>IF(ISNA(MATCH(386,Engine!$C$2:$C$1369,0)),"",INDEX('Compliance Database'!$N$2:$N$1369,MATCH(386,Engine!$C$2:$C$1369,0)))</f>
        <v/>
      </c>
      <c r="O399" s="8">
        <f>IF(ISNA(MATCH(386,Engine!$C$2:$C$1369,0)),"",HYPERLINK(INDEX('Compliance Database'!$O$2:$O$1369,MATCH(386,Engine!$C$2:$C$1369,0)),"Open PDF"))</f>
        <v/>
      </c>
    </row>
    <row r="400" ht="188" customHeight="1">
      <c r="A400" s="8">
        <f>IF(ISNA(MATCH(387,Engine!$C$2:$C$1369,0)),"",INDEX('Compliance Database'!$A$2:$A$1369,MATCH(387,Engine!$C$2:$C$1369,0)))</f>
        <v/>
      </c>
      <c r="B400" s="8">
        <f>IF(ISNA(MATCH(387,Engine!$C$2:$C$1369,0)),"",INDEX('Compliance Database'!$B$2:$B$1369,MATCH(387,Engine!$C$2:$C$1369,0)))</f>
        <v/>
      </c>
      <c r="C400" s="8">
        <f>IF(ISNA(MATCH(387,Engine!$C$2:$C$1369,0)),"",INDEX('Compliance Database'!$C$2:$C$1369,MATCH(387,Engine!$C$2:$C$1369,0)))</f>
        <v/>
      </c>
      <c r="D400" s="9">
        <f>IF(ISNA(MATCH(387,Engine!$C$2:$C$1369,0)),"",INDEX('Compliance Database'!$D$2:$D$1369,MATCH(387,Engine!$C$2:$C$1369,0)))</f>
        <v/>
      </c>
      <c r="E400" s="8">
        <f>IF(ISNA(MATCH(387,Engine!$C$2:$C$1369,0)),"",INDEX('Compliance Database'!$E$2:$E$1369,MATCH(387,Engine!$C$2:$C$1369,0)))</f>
        <v/>
      </c>
      <c r="F400" s="8">
        <f>IF(ISNA(MATCH(387,Engine!$C$2:$C$1369,0)),"",INDEX('Compliance Database'!$F$2:$F$1369,MATCH(387,Engine!$C$2:$C$1369,0)))</f>
        <v/>
      </c>
      <c r="G400" s="8">
        <f>IF(ISNA(MATCH(387,Engine!$C$2:$C$1369,0)),"",INDEX('Compliance Database'!$G$2:$G$1369,MATCH(387,Engine!$C$2:$C$1369,0)))</f>
        <v/>
      </c>
      <c r="H400" s="9">
        <f>IF(ISNA(MATCH(387,Engine!$C$2:$C$1369,0)),"",INDEX('Compliance Database'!$H$2:$H$1369,MATCH(387,Engine!$C$2:$C$1369,0)))</f>
        <v/>
      </c>
      <c r="I400" s="9">
        <f>IF(ISNA(MATCH(387,Engine!$C$2:$C$1369,0)),"",INDEX('Compliance Database'!$I$2:$I$1369,MATCH(387,Engine!$C$2:$C$1369,0)))</f>
        <v/>
      </c>
      <c r="J400" s="8">
        <f>IF(ISNA(MATCH(387,Engine!$C$2:$C$1369,0)),"",INDEX('Compliance Database'!$J$2:$J$1369,MATCH(387,Engine!$C$2:$C$1369,0)))</f>
        <v/>
      </c>
      <c r="K400" s="9">
        <f>IF(ISNA(MATCH(387,Engine!$C$2:$C$1369,0)),"",INDEX('Compliance Database'!$K$2:$K$1369,MATCH(387,Engine!$C$2:$C$1369,0)))</f>
        <v/>
      </c>
      <c r="L400" s="9">
        <f>IF(ISNA(MATCH(387,Engine!$C$2:$C$1369,0)),"",INDEX('Compliance Database'!$L$2:$L$1369,MATCH(387,Engine!$C$2:$C$1369,0)))</f>
        <v/>
      </c>
      <c r="M400" s="9">
        <f>IF(ISNA(MATCH(387,Engine!$C$2:$C$1369,0)),"",INDEX('Compliance Database'!$M$2:$M$1369,MATCH(387,Engine!$C$2:$C$1369,0)))</f>
        <v/>
      </c>
      <c r="N400" s="9">
        <f>IF(ISNA(MATCH(387,Engine!$C$2:$C$1369,0)),"",INDEX('Compliance Database'!$N$2:$N$1369,MATCH(387,Engine!$C$2:$C$1369,0)))</f>
        <v/>
      </c>
      <c r="O400" s="8">
        <f>IF(ISNA(MATCH(387,Engine!$C$2:$C$1369,0)),"",HYPERLINK(INDEX('Compliance Database'!$O$2:$O$1369,MATCH(387,Engine!$C$2:$C$1369,0)),"Open PDF"))</f>
        <v/>
      </c>
    </row>
    <row r="401" ht="188" customHeight="1">
      <c r="A401" s="8">
        <f>IF(ISNA(MATCH(388,Engine!$C$2:$C$1369,0)),"",INDEX('Compliance Database'!$A$2:$A$1369,MATCH(388,Engine!$C$2:$C$1369,0)))</f>
        <v/>
      </c>
      <c r="B401" s="8">
        <f>IF(ISNA(MATCH(388,Engine!$C$2:$C$1369,0)),"",INDEX('Compliance Database'!$B$2:$B$1369,MATCH(388,Engine!$C$2:$C$1369,0)))</f>
        <v/>
      </c>
      <c r="C401" s="8">
        <f>IF(ISNA(MATCH(388,Engine!$C$2:$C$1369,0)),"",INDEX('Compliance Database'!$C$2:$C$1369,MATCH(388,Engine!$C$2:$C$1369,0)))</f>
        <v/>
      </c>
      <c r="D401" s="9">
        <f>IF(ISNA(MATCH(388,Engine!$C$2:$C$1369,0)),"",INDEX('Compliance Database'!$D$2:$D$1369,MATCH(388,Engine!$C$2:$C$1369,0)))</f>
        <v/>
      </c>
      <c r="E401" s="8">
        <f>IF(ISNA(MATCH(388,Engine!$C$2:$C$1369,0)),"",INDEX('Compliance Database'!$E$2:$E$1369,MATCH(388,Engine!$C$2:$C$1369,0)))</f>
        <v/>
      </c>
      <c r="F401" s="8">
        <f>IF(ISNA(MATCH(388,Engine!$C$2:$C$1369,0)),"",INDEX('Compliance Database'!$F$2:$F$1369,MATCH(388,Engine!$C$2:$C$1369,0)))</f>
        <v/>
      </c>
      <c r="G401" s="8">
        <f>IF(ISNA(MATCH(388,Engine!$C$2:$C$1369,0)),"",INDEX('Compliance Database'!$G$2:$G$1369,MATCH(388,Engine!$C$2:$C$1369,0)))</f>
        <v/>
      </c>
      <c r="H401" s="9">
        <f>IF(ISNA(MATCH(388,Engine!$C$2:$C$1369,0)),"",INDEX('Compliance Database'!$H$2:$H$1369,MATCH(388,Engine!$C$2:$C$1369,0)))</f>
        <v/>
      </c>
      <c r="I401" s="9">
        <f>IF(ISNA(MATCH(388,Engine!$C$2:$C$1369,0)),"",INDEX('Compliance Database'!$I$2:$I$1369,MATCH(388,Engine!$C$2:$C$1369,0)))</f>
        <v/>
      </c>
      <c r="J401" s="8">
        <f>IF(ISNA(MATCH(388,Engine!$C$2:$C$1369,0)),"",INDEX('Compliance Database'!$J$2:$J$1369,MATCH(388,Engine!$C$2:$C$1369,0)))</f>
        <v/>
      </c>
      <c r="K401" s="9">
        <f>IF(ISNA(MATCH(388,Engine!$C$2:$C$1369,0)),"",INDEX('Compliance Database'!$K$2:$K$1369,MATCH(388,Engine!$C$2:$C$1369,0)))</f>
        <v/>
      </c>
      <c r="L401" s="9">
        <f>IF(ISNA(MATCH(388,Engine!$C$2:$C$1369,0)),"",INDEX('Compliance Database'!$L$2:$L$1369,MATCH(388,Engine!$C$2:$C$1369,0)))</f>
        <v/>
      </c>
      <c r="M401" s="9">
        <f>IF(ISNA(MATCH(388,Engine!$C$2:$C$1369,0)),"",INDEX('Compliance Database'!$M$2:$M$1369,MATCH(388,Engine!$C$2:$C$1369,0)))</f>
        <v/>
      </c>
      <c r="N401" s="9">
        <f>IF(ISNA(MATCH(388,Engine!$C$2:$C$1369,0)),"",INDEX('Compliance Database'!$N$2:$N$1369,MATCH(388,Engine!$C$2:$C$1369,0)))</f>
        <v/>
      </c>
      <c r="O401" s="8">
        <f>IF(ISNA(MATCH(388,Engine!$C$2:$C$1369,0)),"",HYPERLINK(INDEX('Compliance Database'!$O$2:$O$1369,MATCH(388,Engine!$C$2:$C$1369,0)),"Open PDF"))</f>
        <v/>
      </c>
    </row>
    <row r="402" ht="188" customHeight="1">
      <c r="A402" s="8">
        <f>IF(ISNA(MATCH(389,Engine!$C$2:$C$1369,0)),"",INDEX('Compliance Database'!$A$2:$A$1369,MATCH(389,Engine!$C$2:$C$1369,0)))</f>
        <v/>
      </c>
      <c r="B402" s="8">
        <f>IF(ISNA(MATCH(389,Engine!$C$2:$C$1369,0)),"",INDEX('Compliance Database'!$B$2:$B$1369,MATCH(389,Engine!$C$2:$C$1369,0)))</f>
        <v/>
      </c>
      <c r="C402" s="8">
        <f>IF(ISNA(MATCH(389,Engine!$C$2:$C$1369,0)),"",INDEX('Compliance Database'!$C$2:$C$1369,MATCH(389,Engine!$C$2:$C$1369,0)))</f>
        <v/>
      </c>
      <c r="D402" s="9">
        <f>IF(ISNA(MATCH(389,Engine!$C$2:$C$1369,0)),"",INDEX('Compliance Database'!$D$2:$D$1369,MATCH(389,Engine!$C$2:$C$1369,0)))</f>
        <v/>
      </c>
      <c r="E402" s="8">
        <f>IF(ISNA(MATCH(389,Engine!$C$2:$C$1369,0)),"",INDEX('Compliance Database'!$E$2:$E$1369,MATCH(389,Engine!$C$2:$C$1369,0)))</f>
        <v/>
      </c>
      <c r="F402" s="8">
        <f>IF(ISNA(MATCH(389,Engine!$C$2:$C$1369,0)),"",INDEX('Compliance Database'!$F$2:$F$1369,MATCH(389,Engine!$C$2:$C$1369,0)))</f>
        <v/>
      </c>
      <c r="G402" s="8">
        <f>IF(ISNA(MATCH(389,Engine!$C$2:$C$1369,0)),"",INDEX('Compliance Database'!$G$2:$G$1369,MATCH(389,Engine!$C$2:$C$1369,0)))</f>
        <v/>
      </c>
      <c r="H402" s="9">
        <f>IF(ISNA(MATCH(389,Engine!$C$2:$C$1369,0)),"",INDEX('Compliance Database'!$H$2:$H$1369,MATCH(389,Engine!$C$2:$C$1369,0)))</f>
        <v/>
      </c>
      <c r="I402" s="9">
        <f>IF(ISNA(MATCH(389,Engine!$C$2:$C$1369,0)),"",INDEX('Compliance Database'!$I$2:$I$1369,MATCH(389,Engine!$C$2:$C$1369,0)))</f>
        <v/>
      </c>
      <c r="J402" s="8">
        <f>IF(ISNA(MATCH(389,Engine!$C$2:$C$1369,0)),"",INDEX('Compliance Database'!$J$2:$J$1369,MATCH(389,Engine!$C$2:$C$1369,0)))</f>
        <v/>
      </c>
      <c r="K402" s="9">
        <f>IF(ISNA(MATCH(389,Engine!$C$2:$C$1369,0)),"",INDEX('Compliance Database'!$K$2:$K$1369,MATCH(389,Engine!$C$2:$C$1369,0)))</f>
        <v/>
      </c>
      <c r="L402" s="9">
        <f>IF(ISNA(MATCH(389,Engine!$C$2:$C$1369,0)),"",INDEX('Compliance Database'!$L$2:$L$1369,MATCH(389,Engine!$C$2:$C$1369,0)))</f>
        <v/>
      </c>
      <c r="M402" s="9">
        <f>IF(ISNA(MATCH(389,Engine!$C$2:$C$1369,0)),"",INDEX('Compliance Database'!$M$2:$M$1369,MATCH(389,Engine!$C$2:$C$1369,0)))</f>
        <v/>
      </c>
      <c r="N402" s="9">
        <f>IF(ISNA(MATCH(389,Engine!$C$2:$C$1369,0)),"",INDEX('Compliance Database'!$N$2:$N$1369,MATCH(389,Engine!$C$2:$C$1369,0)))</f>
        <v/>
      </c>
      <c r="O402" s="8">
        <f>IF(ISNA(MATCH(389,Engine!$C$2:$C$1369,0)),"",HYPERLINK(INDEX('Compliance Database'!$O$2:$O$1369,MATCH(389,Engine!$C$2:$C$1369,0)),"Open PDF"))</f>
        <v/>
      </c>
    </row>
    <row r="403" ht="188" customHeight="1">
      <c r="A403" s="8">
        <f>IF(ISNA(MATCH(390,Engine!$C$2:$C$1369,0)),"",INDEX('Compliance Database'!$A$2:$A$1369,MATCH(390,Engine!$C$2:$C$1369,0)))</f>
        <v/>
      </c>
      <c r="B403" s="8">
        <f>IF(ISNA(MATCH(390,Engine!$C$2:$C$1369,0)),"",INDEX('Compliance Database'!$B$2:$B$1369,MATCH(390,Engine!$C$2:$C$1369,0)))</f>
        <v/>
      </c>
      <c r="C403" s="8">
        <f>IF(ISNA(MATCH(390,Engine!$C$2:$C$1369,0)),"",INDEX('Compliance Database'!$C$2:$C$1369,MATCH(390,Engine!$C$2:$C$1369,0)))</f>
        <v/>
      </c>
      <c r="D403" s="9">
        <f>IF(ISNA(MATCH(390,Engine!$C$2:$C$1369,0)),"",INDEX('Compliance Database'!$D$2:$D$1369,MATCH(390,Engine!$C$2:$C$1369,0)))</f>
        <v/>
      </c>
      <c r="E403" s="8">
        <f>IF(ISNA(MATCH(390,Engine!$C$2:$C$1369,0)),"",INDEX('Compliance Database'!$E$2:$E$1369,MATCH(390,Engine!$C$2:$C$1369,0)))</f>
        <v/>
      </c>
      <c r="F403" s="8">
        <f>IF(ISNA(MATCH(390,Engine!$C$2:$C$1369,0)),"",INDEX('Compliance Database'!$F$2:$F$1369,MATCH(390,Engine!$C$2:$C$1369,0)))</f>
        <v/>
      </c>
      <c r="G403" s="8">
        <f>IF(ISNA(MATCH(390,Engine!$C$2:$C$1369,0)),"",INDEX('Compliance Database'!$G$2:$G$1369,MATCH(390,Engine!$C$2:$C$1369,0)))</f>
        <v/>
      </c>
      <c r="H403" s="9">
        <f>IF(ISNA(MATCH(390,Engine!$C$2:$C$1369,0)),"",INDEX('Compliance Database'!$H$2:$H$1369,MATCH(390,Engine!$C$2:$C$1369,0)))</f>
        <v/>
      </c>
      <c r="I403" s="9">
        <f>IF(ISNA(MATCH(390,Engine!$C$2:$C$1369,0)),"",INDEX('Compliance Database'!$I$2:$I$1369,MATCH(390,Engine!$C$2:$C$1369,0)))</f>
        <v/>
      </c>
      <c r="J403" s="8">
        <f>IF(ISNA(MATCH(390,Engine!$C$2:$C$1369,0)),"",INDEX('Compliance Database'!$J$2:$J$1369,MATCH(390,Engine!$C$2:$C$1369,0)))</f>
        <v/>
      </c>
      <c r="K403" s="9">
        <f>IF(ISNA(MATCH(390,Engine!$C$2:$C$1369,0)),"",INDEX('Compliance Database'!$K$2:$K$1369,MATCH(390,Engine!$C$2:$C$1369,0)))</f>
        <v/>
      </c>
      <c r="L403" s="9">
        <f>IF(ISNA(MATCH(390,Engine!$C$2:$C$1369,0)),"",INDEX('Compliance Database'!$L$2:$L$1369,MATCH(390,Engine!$C$2:$C$1369,0)))</f>
        <v/>
      </c>
      <c r="M403" s="9">
        <f>IF(ISNA(MATCH(390,Engine!$C$2:$C$1369,0)),"",INDEX('Compliance Database'!$M$2:$M$1369,MATCH(390,Engine!$C$2:$C$1369,0)))</f>
        <v/>
      </c>
      <c r="N403" s="9">
        <f>IF(ISNA(MATCH(390,Engine!$C$2:$C$1369,0)),"",INDEX('Compliance Database'!$N$2:$N$1369,MATCH(390,Engine!$C$2:$C$1369,0)))</f>
        <v/>
      </c>
      <c r="O403" s="8">
        <f>IF(ISNA(MATCH(390,Engine!$C$2:$C$1369,0)),"",HYPERLINK(INDEX('Compliance Database'!$O$2:$O$1369,MATCH(390,Engine!$C$2:$C$1369,0)),"Open PDF"))</f>
        <v/>
      </c>
    </row>
    <row r="404" ht="188" customHeight="1">
      <c r="A404" s="8">
        <f>IF(ISNA(MATCH(391,Engine!$C$2:$C$1369,0)),"",INDEX('Compliance Database'!$A$2:$A$1369,MATCH(391,Engine!$C$2:$C$1369,0)))</f>
        <v/>
      </c>
      <c r="B404" s="8">
        <f>IF(ISNA(MATCH(391,Engine!$C$2:$C$1369,0)),"",INDEX('Compliance Database'!$B$2:$B$1369,MATCH(391,Engine!$C$2:$C$1369,0)))</f>
        <v/>
      </c>
      <c r="C404" s="8">
        <f>IF(ISNA(MATCH(391,Engine!$C$2:$C$1369,0)),"",INDEX('Compliance Database'!$C$2:$C$1369,MATCH(391,Engine!$C$2:$C$1369,0)))</f>
        <v/>
      </c>
      <c r="D404" s="9">
        <f>IF(ISNA(MATCH(391,Engine!$C$2:$C$1369,0)),"",INDEX('Compliance Database'!$D$2:$D$1369,MATCH(391,Engine!$C$2:$C$1369,0)))</f>
        <v/>
      </c>
      <c r="E404" s="8">
        <f>IF(ISNA(MATCH(391,Engine!$C$2:$C$1369,0)),"",INDEX('Compliance Database'!$E$2:$E$1369,MATCH(391,Engine!$C$2:$C$1369,0)))</f>
        <v/>
      </c>
      <c r="F404" s="8">
        <f>IF(ISNA(MATCH(391,Engine!$C$2:$C$1369,0)),"",INDEX('Compliance Database'!$F$2:$F$1369,MATCH(391,Engine!$C$2:$C$1369,0)))</f>
        <v/>
      </c>
      <c r="G404" s="8">
        <f>IF(ISNA(MATCH(391,Engine!$C$2:$C$1369,0)),"",INDEX('Compliance Database'!$G$2:$G$1369,MATCH(391,Engine!$C$2:$C$1369,0)))</f>
        <v/>
      </c>
      <c r="H404" s="9">
        <f>IF(ISNA(MATCH(391,Engine!$C$2:$C$1369,0)),"",INDEX('Compliance Database'!$H$2:$H$1369,MATCH(391,Engine!$C$2:$C$1369,0)))</f>
        <v/>
      </c>
      <c r="I404" s="9">
        <f>IF(ISNA(MATCH(391,Engine!$C$2:$C$1369,0)),"",INDEX('Compliance Database'!$I$2:$I$1369,MATCH(391,Engine!$C$2:$C$1369,0)))</f>
        <v/>
      </c>
      <c r="J404" s="8">
        <f>IF(ISNA(MATCH(391,Engine!$C$2:$C$1369,0)),"",INDEX('Compliance Database'!$J$2:$J$1369,MATCH(391,Engine!$C$2:$C$1369,0)))</f>
        <v/>
      </c>
      <c r="K404" s="9">
        <f>IF(ISNA(MATCH(391,Engine!$C$2:$C$1369,0)),"",INDEX('Compliance Database'!$K$2:$K$1369,MATCH(391,Engine!$C$2:$C$1369,0)))</f>
        <v/>
      </c>
      <c r="L404" s="9">
        <f>IF(ISNA(MATCH(391,Engine!$C$2:$C$1369,0)),"",INDEX('Compliance Database'!$L$2:$L$1369,MATCH(391,Engine!$C$2:$C$1369,0)))</f>
        <v/>
      </c>
      <c r="M404" s="9">
        <f>IF(ISNA(MATCH(391,Engine!$C$2:$C$1369,0)),"",INDEX('Compliance Database'!$M$2:$M$1369,MATCH(391,Engine!$C$2:$C$1369,0)))</f>
        <v/>
      </c>
      <c r="N404" s="9">
        <f>IF(ISNA(MATCH(391,Engine!$C$2:$C$1369,0)),"",INDEX('Compliance Database'!$N$2:$N$1369,MATCH(391,Engine!$C$2:$C$1369,0)))</f>
        <v/>
      </c>
      <c r="O404" s="8">
        <f>IF(ISNA(MATCH(391,Engine!$C$2:$C$1369,0)),"",HYPERLINK(INDEX('Compliance Database'!$O$2:$O$1369,MATCH(391,Engine!$C$2:$C$1369,0)),"Open PDF"))</f>
        <v/>
      </c>
    </row>
    <row r="405" ht="188" customHeight="1">
      <c r="A405" s="8">
        <f>IF(ISNA(MATCH(392,Engine!$C$2:$C$1369,0)),"",INDEX('Compliance Database'!$A$2:$A$1369,MATCH(392,Engine!$C$2:$C$1369,0)))</f>
        <v/>
      </c>
      <c r="B405" s="8">
        <f>IF(ISNA(MATCH(392,Engine!$C$2:$C$1369,0)),"",INDEX('Compliance Database'!$B$2:$B$1369,MATCH(392,Engine!$C$2:$C$1369,0)))</f>
        <v/>
      </c>
      <c r="C405" s="8">
        <f>IF(ISNA(MATCH(392,Engine!$C$2:$C$1369,0)),"",INDEX('Compliance Database'!$C$2:$C$1369,MATCH(392,Engine!$C$2:$C$1369,0)))</f>
        <v/>
      </c>
      <c r="D405" s="9">
        <f>IF(ISNA(MATCH(392,Engine!$C$2:$C$1369,0)),"",INDEX('Compliance Database'!$D$2:$D$1369,MATCH(392,Engine!$C$2:$C$1369,0)))</f>
        <v/>
      </c>
      <c r="E405" s="8">
        <f>IF(ISNA(MATCH(392,Engine!$C$2:$C$1369,0)),"",INDEX('Compliance Database'!$E$2:$E$1369,MATCH(392,Engine!$C$2:$C$1369,0)))</f>
        <v/>
      </c>
      <c r="F405" s="8">
        <f>IF(ISNA(MATCH(392,Engine!$C$2:$C$1369,0)),"",INDEX('Compliance Database'!$F$2:$F$1369,MATCH(392,Engine!$C$2:$C$1369,0)))</f>
        <v/>
      </c>
      <c r="G405" s="8">
        <f>IF(ISNA(MATCH(392,Engine!$C$2:$C$1369,0)),"",INDEX('Compliance Database'!$G$2:$G$1369,MATCH(392,Engine!$C$2:$C$1369,0)))</f>
        <v/>
      </c>
      <c r="H405" s="9">
        <f>IF(ISNA(MATCH(392,Engine!$C$2:$C$1369,0)),"",INDEX('Compliance Database'!$H$2:$H$1369,MATCH(392,Engine!$C$2:$C$1369,0)))</f>
        <v/>
      </c>
      <c r="I405" s="9">
        <f>IF(ISNA(MATCH(392,Engine!$C$2:$C$1369,0)),"",INDEX('Compliance Database'!$I$2:$I$1369,MATCH(392,Engine!$C$2:$C$1369,0)))</f>
        <v/>
      </c>
      <c r="J405" s="8">
        <f>IF(ISNA(MATCH(392,Engine!$C$2:$C$1369,0)),"",INDEX('Compliance Database'!$J$2:$J$1369,MATCH(392,Engine!$C$2:$C$1369,0)))</f>
        <v/>
      </c>
      <c r="K405" s="9">
        <f>IF(ISNA(MATCH(392,Engine!$C$2:$C$1369,0)),"",INDEX('Compliance Database'!$K$2:$K$1369,MATCH(392,Engine!$C$2:$C$1369,0)))</f>
        <v/>
      </c>
      <c r="L405" s="9">
        <f>IF(ISNA(MATCH(392,Engine!$C$2:$C$1369,0)),"",INDEX('Compliance Database'!$L$2:$L$1369,MATCH(392,Engine!$C$2:$C$1369,0)))</f>
        <v/>
      </c>
      <c r="M405" s="9">
        <f>IF(ISNA(MATCH(392,Engine!$C$2:$C$1369,0)),"",INDEX('Compliance Database'!$M$2:$M$1369,MATCH(392,Engine!$C$2:$C$1369,0)))</f>
        <v/>
      </c>
      <c r="N405" s="9">
        <f>IF(ISNA(MATCH(392,Engine!$C$2:$C$1369,0)),"",INDEX('Compliance Database'!$N$2:$N$1369,MATCH(392,Engine!$C$2:$C$1369,0)))</f>
        <v/>
      </c>
      <c r="O405" s="8">
        <f>IF(ISNA(MATCH(392,Engine!$C$2:$C$1369,0)),"",HYPERLINK(INDEX('Compliance Database'!$O$2:$O$1369,MATCH(392,Engine!$C$2:$C$1369,0)),"Open PDF"))</f>
        <v/>
      </c>
    </row>
    <row r="406" ht="188" customHeight="1">
      <c r="A406" s="8">
        <f>IF(ISNA(MATCH(393,Engine!$C$2:$C$1369,0)),"",INDEX('Compliance Database'!$A$2:$A$1369,MATCH(393,Engine!$C$2:$C$1369,0)))</f>
        <v/>
      </c>
      <c r="B406" s="8">
        <f>IF(ISNA(MATCH(393,Engine!$C$2:$C$1369,0)),"",INDEX('Compliance Database'!$B$2:$B$1369,MATCH(393,Engine!$C$2:$C$1369,0)))</f>
        <v/>
      </c>
      <c r="C406" s="8">
        <f>IF(ISNA(MATCH(393,Engine!$C$2:$C$1369,0)),"",INDEX('Compliance Database'!$C$2:$C$1369,MATCH(393,Engine!$C$2:$C$1369,0)))</f>
        <v/>
      </c>
      <c r="D406" s="9">
        <f>IF(ISNA(MATCH(393,Engine!$C$2:$C$1369,0)),"",INDEX('Compliance Database'!$D$2:$D$1369,MATCH(393,Engine!$C$2:$C$1369,0)))</f>
        <v/>
      </c>
      <c r="E406" s="8">
        <f>IF(ISNA(MATCH(393,Engine!$C$2:$C$1369,0)),"",INDEX('Compliance Database'!$E$2:$E$1369,MATCH(393,Engine!$C$2:$C$1369,0)))</f>
        <v/>
      </c>
      <c r="F406" s="8">
        <f>IF(ISNA(MATCH(393,Engine!$C$2:$C$1369,0)),"",INDEX('Compliance Database'!$F$2:$F$1369,MATCH(393,Engine!$C$2:$C$1369,0)))</f>
        <v/>
      </c>
      <c r="G406" s="8">
        <f>IF(ISNA(MATCH(393,Engine!$C$2:$C$1369,0)),"",INDEX('Compliance Database'!$G$2:$G$1369,MATCH(393,Engine!$C$2:$C$1369,0)))</f>
        <v/>
      </c>
      <c r="H406" s="9">
        <f>IF(ISNA(MATCH(393,Engine!$C$2:$C$1369,0)),"",INDEX('Compliance Database'!$H$2:$H$1369,MATCH(393,Engine!$C$2:$C$1369,0)))</f>
        <v/>
      </c>
      <c r="I406" s="9">
        <f>IF(ISNA(MATCH(393,Engine!$C$2:$C$1369,0)),"",INDEX('Compliance Database'!$I$2:$I$1369,MATCH(393,Engine!$C$2:$C$1369,0)))</f>
        <v/>
      </c>
      <c r="J406" s="8">
        <f>IF(ISNA(MATCH(393,Engine!$C$2:$C$1369,0)),"",INDEX('Compliance Database'!$J$2:$J$1369,MATCH(393,Engine!$C$2:$C$1369,0)))</f>
        <v/>
      </c>
      <c r="K406" s="9">
        <f>IF(ISNA(MATCH(393,Engine!$C$2:$C$1369,0)),"",INDEX('Compliance Database'!$K$2:$K$1369,MATCH(393,Engine!$C$2:$C$1369,0)))</f>
        <v/>
      </c>
      <c r="L406" s="9">
        <f>IF(ISNA(MATCH(393,Engine!$C$2:$C$1369,0)),"",INDEX('Compliance Database'!$L$2:$L$1369,MATCH(393,Engine!$C$2:$C$1369,0)))</f>
        <v/>
      </c>
      <c r="M406" s="9">
        <f>IF(ISNA(MATCH(393,Engine!$C$2:$C$1369,0)),"",INDEX('Compliance Database'!$M$2:$M$1369,MATCH(393,Engine!$C$2:$C$1369,0)))</f>
        <v/>
      </c>
      <c r="N406" s="9">
        <f>IF(ISNA(MATCH(393,Engine!$C$2:$C$1369,0)),"",INDEX('Compliance Database'!$N$2:$N$1369,MATCH(393,Engine!$C$2:$C$1369,0)))</f>
        <v/>
      </c>
      <c r="O406" s="8">
        <f>IF(ISNA(MATCH(393,Engine!$C$2:$C$1369,0)),"",HYPERLINK(INDEX('Compliance Database'!$O$2:$O$1369,MATCH(393,Engine!$C$2:$C$1369,0)),"Open PDF"))</f>
        <v/>
      </c>
    </row>
    <row r="407" ht="188" customHeight="1">
      <c r="A407" s="8">
        <f>IF(ISNA(MATCH(394,Engine!$C$2:$C$1369,0)),"",INDEX('Compliance Database'!$A$2:$A$1369,MATCH(394,Engine!$C$2:$C$1369,0)))</f>
        <v/>
      </c>
      <c r="B407" s="8">
        <f>IF(ISNA(MATCH(394,Engine!$C$2:$C$1369,0)),"",INDEX('Compliance Database'!$B$2:$B$1369,MATCH(394,Engine!$C$2:$C$1369,0)))</f>
        <v/>
      </c>
      <c r="C407" s="8">
        <f>IF(ISNA(MATCH(394,Engine!$C$2:$C$1369,0)),"",INDEX('Compliance Database'!$C$2:$C$1369,MATCH(394,Engine!$C$2:$C$1369,0)))</f>
        <v/>
      </c>
      <c r="D407" s="9">
        <f>IF(ISNA(MATCH(394,Engine!$C$2:$C$1369,0)),"",INDEX('Compliance Database'!$D$2:$D$1369,MATCH(394,Engine!$C$2:$C$1369,0)))</f>
        <v/>
      </c>
      <c r="E407" s="8">
        <f>IF(ISNA(MATCH(394,Engine!$C$2:$C$1369,0)),"",INDEX('Compliance Database'!$E$2:$E$1369,MATCH(394,Engine!$C$2:$C$1369,0)))</f>
        <v/>
      </c>
      <c r="F407" s="8">
        <f>IF(ISNA(MATCH(394,Engine!$C$2:$C$1369,0)),"",INDEX('Compliance Database'!$F$2:$F$1369,MATCH(394,Engine!$C$2:$C$1369,0)))</f>
        <v/>
      </c>
      <c r="G407" s="8">
        <f>IF(ISNA(MATCH(394,Engine!$C$2:$C$1369,0)),"",INDEX('Compliance Database'!$G$2:$G$1369,MATCH(394,Engine!$C$2:$C$1369,0)))</f>
        <v/>
      </c>
      <c r="H407" s="9">
        <f>IF(ISNA(MATCH(394,Engine!$C$2:$C$1369,0)),"",INDEX('Compliance Database'!$H$2:$H$1369,MATCH(394,Engine!$C$2:$C$1369,0)))</f>
        <v/>
      </c>
      <c r="I407" s="9">
        <f>IF(ISNA(MATCH(394,Engine!$C$2:$C$1369,0)),"",INDEX('Compliance Database'!$I$2:$I$1369,MATCH(394,Engine!$C$2:$C$1369,0)))</f>
        <v/>
      </c>
      <c r="J407" s="8">
        <f>IF(ISNA(MATCH(394,Engine!$C$2:$C$1369,0)),"",INDEX('Compliance Database'!$J$2:$J$1369,MATCH(394,Engine!$C$2:$C$1369,0)))</f>
        <v/>
      </c>
      <c r="K407" s="9">
        <f>IF(ISNA(MATCH(394,Engine!$C$2:$C$1369,0)),"",INDEX('Compliance Database'!$K$2:$K$1369,MATCH(394,Engine!$C$2:$C$1369,0)))</f>
        <v/>
      </c>
      <c r="L407" s="9">
        <f>IF(ISNA(MATCH(394,Engine!$C$2:$C$1369,0)),"",INDEX('Compliance Database'!$L$2:$L$1369,MATCH(394,Engine!$C$2:$C$1369,0)))</f>
        <v/>
      </c>
      <c r="M407" s="9">
        <f>IF(ISNA(MATCH(394,Engine!$C$2:$C$1369,0)),"",INDEX('Compliance Database'!$M$2:$M$1369,MATCH(394,Engine!$C$2:$C$1369,0)))</f>
        <v/>
      </c>
      <c r="N407" s="9">
        <f>IF(ISNA(MATCH(394,Engine!$C$2:$C$1369,0)),"",INDEX('Compliance Database'!$N$2:$N$1369,MATCH(394,Engine!$C$2:$C$1369,0)))</f>
        <v/>
      </c>
      <c r="O407" s="8">
        <f>IF(ISNA(MATCH(394,Engine!$C$2:$C$1369,0)),"",HYPERLINK(INDEX('Compliance Database'!$O$2:$O$1369,MATCH(394,Engine!$C$2:$C$1369,0)),"Open PDF"))</f>
        <v/>
      </c>
    </row>
    <row r="408" ht="188" customHeight="1">
      <c r="A408" s="8">
        <f>IF(ISNA(MATCH(395,Engine!$C$2:$C$1369,0)),"",INDEX('Compliance Database'!$A$2:$A$1369,MATCH(395,Engine!$C$2:$C$1369,0)))</f>
        <v/>
      </c>
      <c r="B408" s="8">
        <f>IF(ISNA(MATCH(395,Engine!$C$2:$C$1369,0)),"",INDEX('Compliance Database'!$B$2:$B$1369,MATCH(395,Engine!$C$2:$C$1369,0)))</f>
        <v/>
      </c>
      <c r="C408" s="8">
        <f>IF(ISNA(MATCH(395,Engine!$C$2:$C$1369,0)),"",INDEX('Compliance Database'!$C$2:$C$1369,MATCH(395,Engine!$C$2:$C$1369,0)))</f>
        <v/>
      </c>
      <c r="D408" s="9">
        <f>IF(ISNA(MATCH(395,Engine!$C$2:$C$1369,0)),"",INDEX('Compliance Database'!$D$2:$D$1369,MATCH(395,Engine!$C$2:$C$1369,0)))</f>
        <v/>
      </c>
      <c r="E408" s="8">
        <f>IF(ISNA(MATCH(395,Engine!$C$2:$C$1369,0)),"",INDEX('Compliance Database'!$E$2:$E$1369,MATCH(395,Engine!$C$2:$C$1369,0)))</f>
        <v/>
      </c>
      <c r="F408" s="8">
        <f>IF(ISNA(MATCH(395,Engine!$C$2:$C$1369,0)),"",INDEX('Compliance Database'!$F$2:$F$1369,MATCH(395,Engine!$C$2:$C$1369,0)))</f>
        <v/>
      </c>
      <c r="G408" s="8">
        <f>IF(ISNA(MATCH(395,Engine!$C$2:$C$1369,0)),"",INDEX('Compliance Database'!$G$2:$G$1369,MATCH(395,Engine!$C$2:$C$1369,0)))</f>
        <v/>
      </c>
      <c r="H408" s="9">
        <f>IF(ISNA(MATCH(395,Engine!$C$2:$C$1369,0)),"",INDEX('Compliance Database'!$H$2:$H$1369,MATCH(395,Engine!$C$2:$C$1369,0)))</f>
        <v/>
      </c>
      <c r="I408" s="9">
        <f>IF(ISNA(MATCH(395,Engine!$C$2:$C$1369,0)),"",INDEX('Compliance Database'!$I$2:$I$1369,MATCH(395,Engine!$C$2:$C$1369,0)))</f>
        <v/>
      </c>
      <c r="J408" s="8">
        <f>IF(ISNA(MATCH(395,Engine!$C$2:$C$1369,0)),"",INDEX('Compliance Database'!$J$2:$J$1369,MATCH(395,Engine!$C$2:$C$1369,0)))</f>
        <v/>
      </c>
      <c r="K408" s="9">
        <f>IF(ISNA(MATCH(395,Engine!$C$2:$C$1369,0)),"",INDEX('Compliance Database'!$K$2:$K$1369,MATCH(395,Engine!$C$2:$C$1369,0)))</f>
        <v/>
      </c>
      <c r="L408" s="9">
        <f>IF(ISNA(MATCH(395,Engine!$C$2:$C$1369,0)),"",INDEX('Compliance Database'!$L$2:$L$1369,MATCH(395,Engine!$C$2:$C$1369,0)))</f>
        <v/>
      </c>
      <c r="M408" s="9">
        <f>IF(ISNA(MATCH(395,Engine!$C$2:$C$1369,0)),"",INDEX('Compliance Database'!$M$2:$M$1369,MATCH(395,Engine!$C$2:$C$1369,0)))</f>
        <v/>
      </c>
      <c r="N408" s="9">
        <f>IF(ISNA(MATCH(395,Engine!$C$2:$C$1369,0)),"",INDEX('Compliance Database'!$N$2:$N$1369,MATCH(395,Engine!$C$2:$C$1369,0)))</f>
        <v/>
      </c>
      <c r="O408" s="8">
        <f>IF(ISNA(MATCH(395,Engine!$C$2:$C$1369,0)),"",HYPERLINK(INDEX('Compliance Database'!$O$2:$O$1369,MATCH(395,Engine!$C$2:$C$1369,0)),"Open PDF"))</f>
        <v/>
      </c>
    </row>
    <row r="409" ht="188" customHeight="1">
      <c r="A409" s="8">
        <f>IF(ISNA(MATCH(396,Engine!$C$2:$C$1369,0)),"",INDEX('Compliance Database'!$A$2:$A$1369,MATCH(396,Engine!$C$2:$C$1369,0)))</f>
        <v/>
      </c>
      <c r="B409" s="8">
        <f>IF(ISNA(MATCH(396,Engine!$C$2:$C$1369,0)),"",INDEX('Compliance Database'!$B$2:$B$1369,MATCH(396,Engine!$C$2:$C$1369,0)))</f>
        <v/>
      </c>
      <c r="C409" s="8">
        <f>IF(ISNA(MATCH(396,Engine!$C$2:$C$1369,0)),"",INDEX('Compliance Database'!$C$2:$C$1369,MATCH(396,Engine!$C$2:$C$1369,0)))</f>
        <v/>
      </c>
      <c r="D409" s="9">
        <f>IF(ISNA(MATCH(396,Engine!$C$2:$C$1369,0)),"",INDEX('Compliance Database'!$D$2:$D$1369,MATCH(396,Engine!$C$2:$C$1369,0)))</f>
        <v/>
      </c>
      <c r="E409" s="8">
        <f>IF(ISNA(MATCH(396,Engine!$C$2:$C$1369,0)),"",INDEX('Compliance Database'!$E$2:$E$1369,MATCH(396,Engine!$C$2:$C$1369,0)))</f>
        <v/>
      </c>
      <c r="F409" s="8">
        <f>IF(ISNA(MATCH(396,Engine!$C$2:$C$1369,0)),"",INDEX('Compliance Database'!$F$2:$F$1369,MATCH(396,Engine!$C$2:$C$1369,0)))</f>
        <v/>
      </c>
      <c r="G409" s="8">
        <f>IF(ISNA(MATCH(396,Engine!$C$2:$C$1369,0)),"",INDEX('Compliance Database'!$G$2:$G$1369,MATCH(396,Engine!$C$2:$C$1369,0)))</f>
        <v/>
      </c>
      <c r="H409" s="9">
        <f>IF(ISNA(MATCH(396,Engine!$C$2:$C$1369,0)),"",INDEX('Compliance Database'!$H$2:$H$1369,MATCH(396,Engine!$C$2:$C$1369,0)))</f>
        <v/>
      </c>
      <c r="I409" s="9">
        <f>IF(ISNA(MATCH(396,Engine!$C$2:$C$1369,0)),"",INDEX('Compliance Database'!$I$2:$I$1369,MATCH(396,Engine!$C$2:$C$1369,0)))</f>
        <v/>
      </c>
      <c r="J409" s="8">
        <f>IF(ISNA(MATCH(396,Engine!$C$2:$C$1369,0)),"",INDEX('Compliance Database'!$J$2:$J$1369,MATCH(396,Engine!$C$2:$C$1369,0)))</f>
        <v/>
      </c>
      <c r="K409" s="9">
        <f>IF(ISNA(MATCH(396,Engine!$C$2:$C$1369,0)),"",INDEX('Compliance Database'!$K$2:$K$1369,MATCH(396,Engine!$C$2:$C$1369,0)))</f>
        <v/>
      </c>
      <c r="L409" s="9">
        <f>IF(ISNA(MATCH(396,Engine!$C$2:$C$1369,0)),"",INDEX('Compliance Database'!$L$2:$L$1369,MATCH(396,Engine!$C$2:$C$1369,0)))</f>
        <v/>
      </c>
      <c r="M409" s="9">
        <f>IF(ISNA(MATCH(396,Engine!$C$2:$C$1369,0)),"",INDEX('Compliance Database'!$M$2:$M$1369,MATCH(396,Engine!$C$2:$C$1369,0)))</f>
        <v/>
      </c>
      <c r="N409" s="9">
        <f>IF(ISNA(MATCH(396,Engine!$C$2:$C$1369,0)),"",INDEX('Compliance Database'!$N$2:$N$1369,MATCH(396,Engine!$C$2:$C$1369,0)))</f>
        <v/>
      </c>
      <c r="O409" s="8">
        <f>IF(ISNA(MATCH(396,Engine!$C$2:$C$1369,0)),"",HYPERLINK(INDEX('Compliance Database'!$O$2:$O$1369,MATCH(396,Engine!$C$2:$C$1369,0)),"Open PDF"))</f>
        <v/>
      </c>
    </row>
    <row r="410" ht="188" customHeight="1">
      <c r="A410" s="8">
        <f>IF(ISNA(MATCH(397,Engine!$C$2:$C$1369,0)),"",INDEX('Compliance Database'!$A$2:$A$1369,MATCH(397,Engine!$C$2:$C$1369,0)))</f>
        <v/>
      </c>
      <c r="B410" s="8">
        <f>IF(ISNA(MATCH(397,Engine!$C$2:$C$1369,0)),"",INDEX('Compliance Database'!$B$2:$B$1369,MATCH(397,Engine!$C$2:$C$1369,0)))</f>
        <v/>
      </c>
      <c r="C410" s="8">
        <f>IF(ISNA(MATCH(397,Engine!$C$2:$C$1369,0)),"",INDEX('Compliance Database'!$C$2:$C$1369,MATCH(397,Engine!$C$2:$C$1369,0)))</f>
        <v/>
      </c>
      <c r="D410" s="9">
        <f>IF(ISNA(MATCH(397,Engine!$C$2:$C$1369,0)),"",INDEX('Compliance Database'!$D$2:$D$1369,MATCH(397,Engine!$C$2:$C$1369,0)))</f>
        <v/>
      </c>
      <c r="E410" s="8">
        <f>IF(ISNA(MATCH(397,Engine!$C$2:$C$1369,0)),"",INDEX('Compliance Database'!$E$2:$E$1369,MATCH(397,Engine!$C$2:$C$1369,0)))</f>
        <v/>
      </c>
      <c r="F410" s="8">
        <f>IF(ISNA(MATCH(397,Engine!$C$2:$C$1369,0)),"",INDEX('Compliance Database'!$F$2:$F$1369,MATCH(397,Engine!$C$2:$C$1369,0)))</f>
        <v/>
      </c>
      <c r="G410" s="8">
        <f>IF(ISNA(MATCH(397,Engine!$C$2:$C$1369,0)),"",INDEX('Compliance Database'!$G$2:$G$1369,MATCH(397,Engine!$C$2:$C$1369,0)))</f>
        <v/>
      </c>
      <c r="H410" s="9">
        <f>IF(ISNA(MATCH(397,Engine!$C$2:$C$1369,0)),"",INDEX('Compliance Database'!$H$2:$H$1369,MATCH(397,Engine!$C$2:$C$1369,0)))</f>
        <v/>
      </c>
      <c r="I410" s="9">
        <f>IF(ISNA(MATCH(397,Engine!$C$2:$C$1369,0)),"",INDEX('Compliance Database'!$I$2:$I$1369,MATCH(397,Engine!$C$2:$C$1369,0)))</f>
        <v/>
      </c>
      <c r="J410" s="8">
        <f>IF(ISNA(MATCH(397,Engine!$C$2:$C$1369,0)),"",INDEX('Compliance Database'!$J$2:$J$1369,MATCH(397,Engine!$C$2:$C$1369,0)))</f>
        <v/>
      </c>
      <c r="K410" s="9">
        <f>IF(ISNA(MATCH(397,Engine!$C$2:$C$1369,0)),"",INDEX('Compliance Database'!$K$2:$K$1369,MATCH(397,Engine!$C$2:$C$1369,0)))</f>
        <v/>
      </c>
      <c r="L410" s="9">
        <f>IF(ISNA(MATCH(397,Engine!$C$2:$C$1369,0)),"",INDEX('Compliance Database'!$L$2:$L$1369,MATCH(397,Engine!$C$2:$C$1369,0)))</f>
        <v/>
      </c>
      <c r="M410" s="9">
        <f>IF(ISNA(MATCH(397,Engine!$C$2:$C$1369,0)),"",INDEX('Compliance Database'!$M$2:$M$1369,MATCH(397,Engine!$C$2:$C$1369,0)))</f>
        <v/>
      </c>
      <c r="N410" s="9">
        <f>IF(ISNA(MATCH(397,Engine!$C$2:$C$1369,0)),"",INDEX('Compliance Database'!$N$2:$N$1369,MATCH(397,Engine!$C$2:$C$1369,0)))</f>
        <v/>
      </c>
      <c r="O410" s="8">
        <f>IF(ISNA(MATCH(397,Engine!$C$2:$C$1369,0)),"",HYPERLINK(INDEX('Compliance Database'!$O$2:$O$1369,MATCH(397,Engine!$C$2:$C$1369,0)),"Open PDF"))</f>
        <v/>
      </c>
    </row>
    <row r="411" ht="188" customHeight="1">
      <c r="A411" s="8">
        <f>IF(ISNA(MATCH(398,Engine!$C$2:$C$1369,0)),"",INDEX('Compliance Database'!$A$2:$A$1369,MATCH(398,Engine!$C$2:$C$1369,0)))</f>
        <v/>
      </c>
      <c r="B411" s="8">
        <f>IF(ISNA(MATCH(398,Engine!$C$2:$C$1369,0)),"",INDEX('Compliance Database'!$B$2:$B$1369,MATCH(398,Engine!$C$2:$C$1369,0)))</f>
        <v/>
      </c>
      <c r="C411" s="8">
        <f>IF(ISNA(MATCH(398,Engine!$C$2:$C$1369,0)),"",INDEX('Compliance Database'!$C$2:$C$1369,MATCH(398,Engine!$C$2:$C$1369,0)))</f>
        <v/>
      </c>
      <c r="D411" s="9">
        <f>IF(ISNA(MATCH(398,Engine!$C$2:$C$1369,0)),"",INDEX('Compliance Database'!$D$2:$D$1369,MATCH(398,Engine!$C$2:$C$1369,0)))</f>
        <v/>
      </c>
      <c r="E411" s="8">
        <f>IF(ISNA(MATCH(398,Engine!$C$2:$C$1369,0)),"",INDEX('Compliance Database'!$E$2:$E$1369,MATCH(398,Engine!$C$2:$C$1369,0)))</f>
        <v/>
      </c>
      <c r="F411" s="8">
        <f>IF(ISNA(MATCH(398,Engine!$C$2:$C$1369,0)),"",INDEX('Compliance Database'!$F$2:$F$1369,MATCH(398,Engine!$C$2:$C$1369,0)))</f>
        <v/>
      </c>
      <c r="G411" s="8">
        <f>IF(ISNA(MATCH(398,Engine!$C$2:$C$1369,0)),"",INDEX('Compliance Database'!$G$2:$G$1369,MATCH(398,Engine!$C$2:$C$1369,0)))</f>
        <v/>
      </c>
      <c r="H411" s="9">
        <f>IF(ISNA(MATCH(398,Engine!$C$2:$C$1369,0)),"",INDEX('Compliance Database'!$H$2:$H$1369,MATCH(398,Engine!$C$2:$C$1369,0)))</f>
        <v/>
      </c>
      <c r="I411" s="9">
        <f>IF(ISNA(MATCH(398,Engine!$C$2:$C$1369,0)),"",INDEX('Compliance Database'!$I$2:$I$1369,MATCH(398,Engine!$C$2:$C$1369,0)))</f>
        <v/>
      </c>
      <c r="J411" s="8">
        <f>IF(ISNA(MATCH(398,Engine!$C$2:$C$1369,0)),"",INDEX('Compliance Database'!$J$2:$J$1369,MATCH(398,Engine!$C$2:$C$1369,0)))</f>
        <v/>
      </c>
      <c r="K411" s="9">
        <f>IF(ISNA(MATCH(398,Engine!$C$2:$C$1369,0)),"",INDEX('Compliance Database'!$K$2:$K$1369,MATCH(398,Engine!$C$2:$C$1369,0)))</f>
        <v/>
      </c>
      <c r="L411" s="9">
        <f>IF(ISNA(MATCH(398,Engine!$C$2:$C$1369,0)),"",INDEX('Compliance Database'!$L$2:$L$1369,MATCH(398,Engine!$C$2:$C$1369,0)))</f>
        <v/>
      </c>
      <c r="M411" s="9">
        <f>IF(ISNA(MATCH(398,Engine!$C$2:$C$1369,0)),"",INDEX('Compliance Database'!$M$2:$M$1369,MATCH(398,Engine!$C$2:$C$1369,0)))</f>
        <v/>
      </c>
      <c r="N411" s="9">
        <f>IF(ISNA(MATCH(398,Engine!$C$2:$C$1369,0)),"",INDEX('Compliance Database'!$N$2:$N$1369,MATCH(398,Engine!$C$2:$C$1369,0)))</f>
        <v/>
      </c>
      <c r="O411" s="8">
        <f>IF(ISNA(MATCH(398,Engine!$C$2:$C$1369,0)),"",HYPERLINK(INDEX('Compliance Database'!$O$2:$O$1369,MATCH(398,Engine!$C$2:$C$1369,0)),"Open PDF"))</f>
        <v/>
      </c>
    </row>
    <row r="412" ht="188" customHeight="1">
      <c r="A412" s="8">
        <f>IF(ISNA(MATCH(399,Engine!$C$2:$C$1369,0)),"",INDEX('Compliance Database'!$A$2:$A$1369,MATCH(399,Engine!$C$2:$C$1369,0)))</f>
        <v/>
      </c>
      <c r="B412" s="8">
        <f>IF(ISNA(MATCH(399,Engine!$C$2:$C$1369,0)),"",INDEX('Compliance Database'!$B$2:$B$1369,MATCH(399,Engine!$C$2:$C$1369,0)))</f>
        <v/>
      </c>
      <c r="C412" s="8">
        <f>IF(ISNA(MATCH(399,Engine!$C$2:$C$1369,0)),"",INDEX('Compliance Database'!$C$2:$C$1369,MATCH(399,Engine!$C$2:$C$1369,0)))</f>
        <v/>
      </c>
      <c r="D412" s="9">
        <f>IF(ISNA(MATCH(399,Engine!$C$2:$C$1369,0)),"",INDEX('Compliance Database'!$D$2:$D$1369,MATCH(399,Engine!$C$2:$C$1369,0)))</f>
        <v/>
      </c>
      <c r="E412" s="8">
        <f>IF(ISNA(MATCH(399,Engine!$C$2:$C$1369,0)),"",INDEX('Compliance Database'!$E$2:$E$1369,MATCH(399,Engine!$C$2:$C$1369,0)))</f>
        <v/>
      </c>
      <c r="F412" s="8">
        <f>IF(ISNA(MATCH(399,Engine!$C$2:$C$1369,0)),"",INDEX('Compliance Database'!$F$2:$F$1369,MATCH(399,Engine!$C$2:$C$1369,0)))</f>
        <v/>
      </c>
      <c r="G412" s="8">
        <f>IF(ISNA(MATCH(399,Engine!$C$2:$C$1369,0)),"",INDEX('Compliance Database'!$G$2:$G$1369,MATCH(399,Engine!$C$2:$C$1369,0)))</f>
        <v/>
      </c>
      <c r="H412" s="9">
        <f>IF(ISNA(MATCH(399,Engine!$C$2:$C$1369,0)),"",INDEX('Compliance Database'!$H$2:$H$1369,MATCH(399,Engine!$C$2:$C$1369,0)))</f>
        <v/>
      </c>
      <c r="I412" s="9">
        <f>IF(ISNA(MATCH(399,Engine!$C$2:$C$1369,0)),"",INDEX('Compliance Database'!$I$2:$I$1369,MATCH(399,Engine!$C$2:$C$1369,0)))</f>
        <v/>
      </c>
      <c r="J412" s="8">
        <f>IF(ISNA(MATCH(399,Engine!$C$2:$C$1369,0)),"",INDEX('Compliance Database'!$J$2:$J$1369,MATCH(399,Engine!$C$2:$C$1369,0)))</f>
        <v/>
      </c>
      <c r="K412" s="9">
        <f>IF(ISNA(MATCH(399,Engine!$C$2:$C$1369,0)),"",INDEX('Compliance Database'!$K$2:$K$1369,MATCH(399,Engine!$C$2:$C$1369,0)))</f>
        <v/>
      </c>
      <c r="L412" s="9">
        <f>IF(ISNA(MATCH(399,Engine!$C$2:$C$1369,0)),"",INDEX('Compliance Database'!$L$2:$L$1369,MATCH(399,Engine!$C$2:$C$1369,0)))</f>
        <v/>
      </c>
      <c r="M412" s="9">
        <f>IF(ISNA(MATCH(399,Engine!$C$2:$C$1369,0)),"",INDEX('Compliance Database'!$M$2:$M$1369,MATCH(399,Engine!$C$2:$C$1369,0)))</f>
        <v/>
      </c>
      <c r="N412" s="9">
        <f>IF(ISNA(MATCH(399,Engine!$C$2:$C$1369,0)),"",INDEX('Compliance Database'!$N$2:$N$1369,MATCH(399,Engine!$C$2:$C$1369,0)))</f>
        <v/>
      </c>
      <c r="O412" s="8">
        <f>IF(ISNA(MATCH(399,Engine!$C$2:$C$1369,0)),"",HYPERLINK(INDEX('Compliance Database'!$O$2:$O$1369,MATCH(399,Engine!$C$2:$C$1369,0)),"Open PDF"))</f>
        <v/>
      </c>
    </row>
    <row r="413" ht="188" customHeight="1">
      <c r="A413" s="8">
        <f>IF(ISNA(MATCH(400,Engine!$C$2:$C$1369,0)),"",INDEX('Compliance Database'!$A$2:$A$1369,MATCH(400,Engine!$C$2:$C$1369,0)))</f>
        <v/>
      </c>
      <c r="B413" s="8">
        <f>IF(ISNA(MATCH(400,Engine!$C$2:$C$1369,0)),"",INDEX('Compliance Database'!$B$2:$B$1369,MATCH(400,Engine!$C$2:$C$1369,0)))</f>
        <v/>
      </c>
      <c r="C413" s="8">
        <f>IF(ISNA(MATCH(400,Engine!$C$2:$C$1369,0)),"",INDEX('Compliance Database'!$C$2:$C$1369,MATCH(400,Engine!$C$2:$C$1369,0)))</f>
        <v/>
      </c>
      <c r="D413" s="9">
        <f>IF(ISNA(MATCH(400,Engine!$C$2:$C$1369,0)),"",INDEX('Compliance Database'!$D$2:$D$1369,MATCH(400,Engine!$C$2:$C$1369,0)))</f>
        <v/>
      </c>
      <c r="E413" s="8">
        <f>IF(ISNA(MATCH(400,Engine!$C$2:$C$1369,0)),"",INDEX('Compliance Database'!$E$2:$E$1369,MATCH(400,Engine!$C$2:$C$1369,0)))</f>
        <v/>
      </c>
      <c r="F413" s="8">
        <f>IF(ISNA(MATCH(400,Engine!$C$2:$C$1369,0)),"",INDEX('Compliance Database'!$F$2:$F$1369,MATCH(400,Engine!$C$2:$C$1369,0)))</f>
        <v/>
      </c>
      <c r="G413" s="8">
        <f>IF(ISNA(MATCH(400,Engine!$C$2:$C$1369,0)),"",INDEX('Compliance Database'!$G$2:$G$1369,MATCH(400,Engine!$C$2:$C$1369,0)))</f>
        <v/>
      </c>
      <c r="H413" s="9">
        <f>IF(ISNA(MATCH(400,Engine!$C$2:$C$1369,0)),"",INDEX('Compliance Database'!$H$2:$H$1369,MATCH(400,Engine!$C$2:$C$1369,0)))</f>
        <v/>
      </c>
      <c r="I413" s="9">
        <f>IF(ISNA(MATCH(400,Engine!$C$2:$C$1369,0)),"",INDEX('Compliance Database'!$I$2:$I$1369,MATCH(400,Engine!$C$2:$C$1369,0)))</f>
        <v/>
      </c>
      <c r="J413" s="8">
        <f>IF(ISNA(MATCH(400,Engine!$C$2:$C$1369,0)),"",INDEX('Compliance Database'!$J$2:$J$1369,MATCH(400,Engine!$C$2:$C$1369,0)))</f>
        <v/>
      </c>
      <c r="K413" s="9">
        <f>IF(ISNA(MATCH(400,Engine!$C$2:$C$1369,0)),"",INDEX('Compliance Database'!$K$2:$K$1369,MATCH(400,Engine!$C$2:$C$1369,0)))</f>
        <v/>
      </c>
      <c r="L413" s="9">
        <f>IF(ISNA(MATCH(400,Engine!$C$2:$C$1369,0)),"",INDEX('Compliance Database'!$L$2:$L$1369,MATCH(400,Engine!$C$2:$C$1369,0)))</f>
        <v/>
      </c>
      <c r="M413" s="9">
        <f>IF(ISNA(MATCH(400,Engine!$C$2:$C$1369,0)),"",INDEX('Compliance Database'!$M$2:$M$1369,MATCH(400,Engine!$C$2:$C$1369,0)))</f>
        <v/>
      </c>
      <c r="N413" s="9">
        <f>IF(ISNA(MATCH(400,Engine!$C$2:$C$1369,0)),"",INDEX('Compliance Database'!$N$2:$N$1369,MATCH(400,Engine!$C$2:$C$1369,0)))</f>
        <v/>
      </c>
      <c r="O413" s="8">
        <f>IF(ISNA(MATCH(400,Engine!$C$2:$C$1369,0)),"",HYPERLINK(INDEX('Compliance Database'!$O$2:$O$1369,MATCH(400,Engine!$C$2:$C$1369,0)),"Open PDF"))</f>
        <v/>
      </c>
    </row>
    <row r="414" ht="188" customHeight="1">
      <c r="A414" s="8">
        <f>IF(ISNA(MATCH(401,Engine!$C$2:$C$1369,0)),"",INDEX('Compliance Database'!$A$2:$A$1369,MATCH(401,Engine!$C$2:$C$1369,0)))</f>
        <v/>
      </c>
      <c r="B414" s="8">
        <f>IF(ISNA(MATCH(401,Engine!$C$2:$C$1369,0)),"",INDEX('Compliance Database'!$B$2:$B$1369,MATCH(401,Engine!$C$2:$C$1369,0)))</f>
        <v/>
      </c>
      <c r="C414" s="8">
        <f>IF(ISNA(MATCH(401,Engine!$C$2:$C$1369,0)),"",INDEX('Compliance Database'!$C$2:$C$1369,MATCH(401,Engine!$C$2:$C$1369,0)))</f>
        <v/>
      </c>
      <c r="D414" s="9">
        <f>IF(ISNA(MATCH(401,Engine!$C$2:$C$1369,0)),"",INDEX('Compliance Database'!$D$2:$D$1369,MATCH(401,Engine!$C$2:$C$1369,0)))</f>
        <v/>
      </c>
      <c r="E414" s="8">
        <f>IF(ISNA(MATCH(401,Engine!$C$2:$C$1369,0)),"",INDEX('Compliance Database'!$E$2:$E$1369,MATCH(401,Engine!$C$2:$C$1369,0)))</f>
        <v/>
      </c>
      <c r="F414" s="8">
        <f>IF(ISNA(MATCH(401,Engine!$C$2:$C$1369,0)),"",INDEX('Compliance Database'!$F$2:$F$1369,MATCH(401,Engine!$C$2:$C$1369,0)))</f>
        <v/>
      </c>
      <c r="G414" s="8">
        <f>IF(ISNA(MATCH(401,Engine!$C$2:$C$1369,0)),"",INDEX('Compliance Database'!$G$2:$G$1369,MATCH(401,Engine!$C$2:$C$1369,0)))</f>
        <v/>
      </c>
      <c r="H414" s="9">
        <f>IF(ISNA(MATCH(401,Engine!$C$2:$C$1369,0)),"",INDEX('Compliance Database'!$H$2:$H$1369,MATCH(401,Engine!$C$2:$C$1369,0)))</f>
        <v/>
      </c>
      <c r="I414" s="9">
        <f>IF(ISNA(MATCH(401,Engine!$C$2:$C$1369,0)),"",INDEX('Compliance Database'!$I$2:$I$1369,MATCH(401,Engine!$C$2:$C$1369,0)))</f>
        <v/>
      </c>
      <c r="J414" s="8">
        <f>IF(ISNA(MATCH(401,Engine!$C$2:$C$1369,0)),"",INDEX('Compliance Database'!$J$2:$J$1369,MATCH(401,Engine!$C$2:$C$1369,0)))</f>
        <v/>
      </c>
      <c r="K414" s="9">
        <f>IF(ISNA(MATCH(401,Engine!$C$2:$C$1369,0)),"",INDEX('Compliance Database'!$K$2:$K$1369,MATCH(401,Engine!$C$2:$C$1369,0)))</f>
        <v/>
      </c>
      <c r="L414" s="9">
        <f>IF(ISNA(MATCH(401,Engine!$C$2:$C$1369,0)),"",INDEX('Compliance Database'!$L$2:$L$1369,MATCH(401,Engine!$C$2:$C$1369,0)))</f>
        <v/>
      </c>
      <c r="M414" s="9">
        <f>IF(ISNA(MATCH(401,Engine!$C$2:$C$1369,0)),"",INDEX('Compliance Database'!$M$2:$M$1369,MATCH(401,Engine!$C$2:$C$1369,0)))</f>
        <v/>
      </c>
      <c r="N414" s="9">
        <f>IF(ISNA(MATCH(401,Engine!$C$2:$C$1369,0)),"",INDEX('Compliance Database'!$N$2:$N$1369,MATCH(401,Engine!$C$2:$C$1369,0)))</f>
        <v/>
      </c>
      <c r="O414" s="8">
        <f>IF(ISNA(MATCH(401,Engine!$C$2:$C$1369,0)),"",HYPERLINK(INDEX('Compliance Database'!$O$2:$O$1369,MATCH(401,Engine!$C$2:$C$1369,0)),"Open PDF"))</f>
        <v/>
      </c>
    </row>
    <row r="415" ht="188" customHeight="1">
      <c r="A415" s="8">
        <f>IF(ISNA(MATCH(402,Engine!$C$2:$C$1369,0)),"",INDEX('Compliance Database'!$A$2:$A$1369,MATCH(402,Engine!$C$2:$C$1369,0)))</f>
        <v/>
      </c>
      <c r="B415" s="8">
        <f>IF(ISNA(MATCH(402,Engine!$C$2:$C$1369,0)),"",INDEX('Compliance Database'!$B$2:$B$1369,MATCH(402,Engine!$C$2:$C$1369,0)))</f>
        <v/>
      </c>
      <c r="C415" s="8">
        <f>IF(ISNA(MATCH(402,Engine!$C$2:$C$1369,0)),"",INDEX('Compliance Database'!$C$2:$C$1369,MATCH(402,Engine!$C$2:$C$1369,0)))</f>
        <v/>
      </c>
      <c r="D415" s="9">
        <f>IF(ISNA(MATCH(402,Engine!$C$2:$C$1369,0)),"",INDEX('Compliance Database'!$D$2:$D$1369,MATCH(402,Engine!$C$2:$C$1369,0)))</f>
        <v/>
      </c>
      <c r="E415" s="8">
        <f>IF(ISNA(MATCH(402,Engine!$C$2:$C$1369,0)),"",INDEX('Compliance Database'!$E$2:$E$1369,MATCH(402,Engine!$C$2:$C$1369,0)))</f>
        <v/>
      </c>
      <c r="F415" s="8">
        <f>IF(ISNA(MATCH(402,Engine!$C$2:$C$1369,0)),"",INDEX('Compliance Database'!$F$2:$F$1369,MATCH(402,Engine!$C$2:$C$1369,0)))</f>
        <v/>
      </c>
      <c r="G415" s="8">
        <f>IF(ISNA(MATCH(402,Engine!$C$2:$C$1369,0)),"",INDEX('Compliance Database'!$G$2:$G$1369,MATCH(402,Engine!$C$2:$C$1369,0)))</f>
        <v/>
      </c>
      <c r="H415" s="9">
        <f>IF(ISNA(MATCH(402,Engine!$C$2:$C$1369,0)),"",INDEX('Compliance Database'!$H$2:$H$1369,MATCH(402,Engine!$C$2:$C$1369,0)))</f>
        <v/>
      </c>
      <c r="I415" s="9">
        <f>IF(ISNA(MATCH(402,Engine!$C$2:$C$1369,0)),"",INDEX('Compliance Database'!$I$2:$I$1369,MATCH(402,Engine!$C$2:$C$1369,0)))</f>
        <v/>
      </c>
      <c r="J415" s="8">
        <f>IF(ISNA(MATCH(402,Engine!$C$2:$C$1369,0)),"",INDEX('Compliance Database'!$J$2:$J$1369,MATCH(402,Engine!$C$2:$C$1369,0)))</f>
        <v/>
      </c>
      <c r="K415" s="9">
        <f>IF(ISNA(MATCH(402,Engine!$C$2:$C$1369,0)),"",INDEX('Compliance Database'!$K$2:$K$1369,MATCH(402,Engine!$C$2:$C$1369,0)))</f>
        <v/>
      </c>
      <c r="L415" s="9">
        <f>IF(ISNA(MATCH(402,Engine!$C$2:$C$1369,0)),"",INDEX('Compliance Database'!$L$2:$L$1369,MATCH(402,Engine!$C$2:$C$1369,0)))</f>
        <v/>
      </c>
      <c r="M415" s="9">
        <f>IF(ISNA(MATCH(402,Engine!$C$2:$C$1369,0)),"",INDEX('Compliance Database'!$M$2:$M$1369,MATCH(402,Engine!$C$2:$C$1369,0)))</f>
        <v/>
      </c>
      <c r="N415" s="9">
        <f>IF(ISNA(MATCH(402,Engine!$C$2:$C$1369,0)),"",INDEX('Compliance Database'!$N$2:$N$1369,MATCH(402,Engine!$C$2:$C$1369,0)))</f>
        <v/>
      </c>
      <c r="O415" s="8">
        <f>IF(ISNA(MATCH(402,Engine!$C$2:$C$1369,0)),"",HYPERLINK(INDEX('Compliance Database'!$O$2:$O$1369,MATCH(402,Engine!$C$2:$C$1369,0)),"Open PDF"))</f>
        <v/>
      </c>
    </row>
    <row r="416" ht="188" customHeight="1">
      <c r="A416" s="8">
        <f>IF(ISNA(MATCH(403,Engine!$C$2:$C$1369,0)),"",INDEX('Compliance Database'!$A$2:$A$1369,MATCH(403,Engine!$C$2:$C$1369,0)))</f>
        <v/>
      </c>
      <c r="B416" s="8">
        <f>IF(ISNA(MATCH(403,Engine!$C$2:$C$1369,0)),"",INDEX('Compliance Database'!$B$2:$B$1369,MATCH(403,Engine!$C$2:$C$1369,0)))</f>
        <v/>
      </c>
      <c r="C416" s="8">
        <f>IF(ISNA(MATCH(403,Engine!$C$2:$C$1369,0)),"",INDEX('Compliance Database'!$C$2:$C$1369,MATCH(403,Engine!$C$2:$C$1369,0)))</f>
        <v/>
      </c>
      <c r="D416" s="9">
        <f>IF(ISNA(MATCH(403,Engine!$C$2:$C$1369,0)),"",INDEX('Compliance Database'!$D$2:$D$1369,MATCH(403,Engine!$C$2:$C$1369,0)))</f>
        <v/>
      </c>
      <c r="E416" s="8">
        <f>IF(ISNA(MATCH(403,Engine!$C$2:$C$1369,0)),"",INDEX('Compliance Database'!$E$2:$E$1369,MATCH(403,Engine!$C$2:$C$1369,0)))</f>
        <v/>
      </c>
      <c r="F416" s="8">
        <f>IF(ISNA(MATCH(403,Engine!$C$2:$C$1369,0)),"",INDEX('Compliance Database'!$F$2:$F$1369,MATCH(403,Engine!$C$2:$C$1369,0)))</f>
        <v/>
      </c>
      <c r="G416" s="8">
        <f>IF(ISNA(MATCH(403,Engine!$C$2:$C$1369,0)),"",INDEX('Compliance Database'!$G$2:$G$1369,MATCH(403,Engine!$C$2:$C$1369,0)))</f>
        <v/>
      </c>
      <c r="H416" s="9">
        <f>IF(ISNA(MATCH(403,Engine!$C$2:$C$1369,0)),"",INDEX('Compliance Database'!$H$2:$H$1369,MATCH(403,Engine!$C$2:$C$1369,0)))</f>
        <v/>
      </c>
      <c r="I416" s="9">
        <f>IF(ISNA(MATCH(403,Engine!$C$2:$C$1369,0)),"",INDEX('Compliance Database'!$I$2:$I$1369,MATCH(403,Engine!$C$2:$C$1369,0)))</f>
        <v/>
      </c>
      <c r="J416" s="8">
        <f>IF(ISNA(MATCH(403,Engine!$C$2:$C$1369,0)),"",INDEX('Compliance Database'!$J$2:$J$1369,MATCH(403,Engine!$C$2:$C$1369,0)))</f>
        <v/>
      </c>
      <c r="K416" s="9">
        <f>IF(ISNA(MATCH(403,Engine!$C$2:$C$1369,0)),"",INDEX('Compliance Database'!$K$2:$K$1369,MATCH(403,Engine!$C$2:$C$1369,0)))</f>
        <v/>
      </c>
      <c r="L416" s="9">
        <f>IF(ISNA(MATCH(403,Engine!$C$2:$C$1369,0)),"",INDEX('Compliance Database'!$L$2:$L$1369,MATCH(403,Engine!$C$2:$C$1369,0)))</f>
        <v/>
      </c>
      <c r="M416" s="9">
        <f>IF(ISNA(MATCH(403,Engine!$C$2:$C$1369,0)),"",INDEX('Compliance Database'!$M$2:$M$1369,MATCH(403,Engine!$C$2:$C$1369,0)))</f>
        <v/>
      </c>
      <c r="N416" s="9">
        <f>IF(ISNA(MATCH(403,Engine!$C$2:$C$1369,0)),"",INDEX('Compliance Database'!$N$2:$N$1369,MATCH(403,Engine!$C$2:$C$1369,0)))</f>
        <v/>
      </c>
      <c r="O416" s="8">
        <f>IF(ISNA(MATCH(403,Engine!$C$2:$C$1369,0)),"",HYPERLINK(INDEX('Compliance Database'!$O$2:$O$1369,MATCH(403,Engine!$C$2:$C$1369,0)),"Open PDF"))</f>
        <v/>
      </c>
    </row>
    <row r="417" ht="188" customHeight="1">
      <c r="A417" s="8">
        <f>IF(ISNA(MATCH(404,Engine!$C$2:$C$1369,0)),"",INDEX('Compliance Database'!$A$2:$A$1369,MATCH(404,Engine!$C$2:$C$1369,0)))</f>
        <v/>
      </c>
      <c r="B417" s="8">
        <f>IF(ISNA(MATCH(404,Engine!$C$2:$C$1369,0)),"",INDEX('Compliance Database'!$B$2:$B$1369,MATCH(404,Engine!$C$2:$C$1369,0)))</f>
        <v/>
      </c>
      <c r="C417" s="8">
        <f>IF(ISNA(MATCH(404,Engine!$C$2:$C$1369,0)),"",INDEX('Compliance Database'!$C$2:$C$1369,MATCH(404,Engine!$C$2:$C$1369,0)))</f>
        <v/>
      </c>
      <c r="D417" s="9">
        <f>IF(ISNA(MATCH(404,Engine!$C$2:$C$1369,0)),"",INDEX('Compliance Database'!$D$2:$D$1369,MATCH(404,Engine!$C$2:$C$1369,0)))</f>
        <v/>
      </c>
      <c r="E417" s="8">
        <f>IF(ISNA(MATCH(404,Engine!$C$2:$C$1369,0)),"",INDEX('Compliance Database'!$E$2:$E$1369,MATCH(404,Engine!$C$2:$C$1369,0)))</f>
        <v/>
      </c>
      <c r="F417" s="8">
        <f>IF(ISNA(MATCH(404,Engine!$C$2:$C$1369,0)),"",INDEX('Compliance Database'!$F$2:$F$1369,MATCH(404,Engine!$C$2:$C$1369,0)))</f>
        <v/>
      </c>
      <c r="G417" s="8">
        <f>IF(ISNA(MATCH(404,Engine!$C$2:$C$1369,0)),"",INDEX('Compliance Database'!$G$2:$G$1369,MATCH(404,Engine!$C$2:$C$1369,0)))</f>
        <v/>
      </c>
      <c r="H417" s="9">
        <f>IF(ISNA(MATCH(404,Engine!$C$2:$C$1369,0)),"",INDEX('Compliance Database'!$H$2:$H$1369,MATCH(404,Engine!$C$2:$C$1369,0)))</f>
        <v/>
      </c>
      <c r="I417" s="9">
        <f>IF(ISNA(MATCH(404,Engine!$C$2:$C$1369,0)),"",INDEX('Compliance Database'!$I$2:$I$1369,MATCH(404,Engine!$C$2:$C$1369,0)))</f>
        <v/>
      </c>
      <c r="J417" s="8">
        <f>IF(ISNA(MATCH(404,Engine!$C$2:$C$1369,0)),"",INDEX('Compliance Database'!$J$2:$J$1369,MATCH(404,Engine!$C$2:$C$1369,0)))</f>
        <v/>
      </c>
      <c r="K417" s="9">
        <f>IF(ISNA(MATCH(404,Engine!$C$2:$C$1369,0)),"",INDEX('Compliance Database'!$K$2:$K$1369,MATCH(404,Engine!$C$2:$C$1369,0)))</f>
        <v/>
      </c>
      <c r="L417" s="9">
        <f>IF(ISNA(MATCH(404,Engine!$C$2:$C$1369,0)),"",INDEX('Compliance Database'!$L$2:$L$1369,MATCH(404,Engine!$C$2:$C$1369,0)))</f>
        <v/>
      </c>
      <c r="M417" s="9">
        <f>IF(ISNA(MATCH(404,Engine!$C$2:$C$1369,0)),"",INDEX('Compliance Database'!$M$2:$M$1369,MATCH(404,Engine!$C$2:$C$1369,0)))</f>
        <v/>
      </c>
      <c r="N417" s="9">
        <f>IF(ISNA(MATCH(404,Engine!$C$2:$C$1369,0)),"",INDEX('Compliance Database'!$N$2:$N$1369,MATCH(404,Engine!$C$2:$C$1369,0)))</f>
        <v/>
      </c>
      <c r="O417" s="8">
        <f>IF(ISNA(MATCH(404,Engine!$C$2:$C$1369,0)),"",HYPERLINK(INDEX('Compliance Database'!$O$2:$O$1369,MATCH(404,Engine!$C$2:$C$1369,0)),"Open PDF"))</f>
        <v/>
      </c>
    </row>
    <row r="418" ht="188" customHeight="1">
      <c r="A418" s="8">
        <f>IF(ISNA(MATCH(405,Engine!$C$2:$C$1369,0)),"",INDEX('Compliance Database'!$A$2:$A$1369,MATCH(405,Engine!$C$2:$C$1369,0)))</f>
        <v/>
      </c>
      <c r="B418" s="8">
        <f>IF(ISNA(MATCH(405,Engine!$C$2:$C$1369,0)),"",INDEX('Compliance Database'!$B$2:$B$1369,MATCH(405,Engine!$C$2:$C$1369,0)))</f>
        <v/>
      </c>
      <c r="C418" s="8">
        <f>IF(ISNA(MATCH(405,Engine!$C$2:$C$1369,0)),"",INDEX('Compliance Database'!$C$2:$C$1369,MATCH(405,Engine!$C$2:$C$1369,0)))</f>
        <v/>
      </c>
      <c r="D418" s="9">
        <f>IF(ISNA(MATCH(405,Engine!$C$2:$C$1369,0)),"",INDEX('Compliance Database'!$D$2:$D$1369,MATCH(405,Engine!$C$2:$C$1369,0)))</f>
        <v/>
      </c>
      <c r="E418" s="8">
        <f>IF(ISNA(MATCH(405,Engine!$C$2:$C$1369,0)),"",INDEX('Compliance Database'!$E$2:$E$1369,MATCH(405,Engine!$C$2:$C$1369,0)))</f>
        <v/>
      </c>
      <c r="F418" s="8">
        <f>IF(ISNA(MATCH(405,Engine!$C$2:$C$1369,0)),"",INDEX('Compliance Database'!$F$2:$F$1369,MATCH(405,Engine!$C$2:$C$1369,0)))</f>
        <v/>
      </c>
      <c r="G418" s="8">
        <f>IF(ISNA(MATCH(405,Engine!$C$2:$C$1369,0)),"",INDEX('Compliance Database'!$G$2:$G$1369,MATCH(405,Engine!$C$2:$C$1369,0)))</f>
        <v/>
      </c>
      <c r="H418" s="9">
        <f>IF(ISNA(MATCH(405,Engine!$C$2:$C$1369,0)),"",INDEX('Compliance Database'!$H$2:$H$1369,MATCH(405,Engine!$C$2:$C$1369,0)))</f>
        <v/>
      </c>
      <c r="I418" s="9">
        <f>IF(ISNA(MATCH(405,Engine!$C$2:$C$1369,0)),"",INDEX('Compliance Database'!$I$2:$I$1369,MATCH(405,Engine!$C$2:$C$1369,0)))</f>
        <v/>
      </c>
      <c r="J418" s="8">
        <f>IF(ISNA(MATCH(405,Engine!$C$2:$C$1369,0)),"",INDEX('Compliance Database'!$J$2:$J$1369,MATCH(405,Engine!$C$2:$C$1369,0)))</f>
        <v/>
      </c>
      <c r="K418" s="9">
        <f>IF(ISNA(MATCH(405,Engine!$C$2:$C$1369,0)),"",INDEX('Compliance Database'!$K$2:$K$1369,MATCH(405,Engine!$C$2:$C$1369,0)))</f>
        <v/>
      </c>
      <c r="L418" s="9">
        <f>IF(ISNA(MATCH(405,Engine!$C$2:$C$1369,0)),"",INDEX('Compliance Database'!$L$2:$L$1369,MATCH(405,Engine!$C$2:$C$1369,0)))</f>
        <v/>
      </c>
      <c r="M418" s="9">
        <f>IF(ISNA(MATCH(405,Engine!$C$2:$C$1369,0)),"",INDEX('Compliance Database'!$M$2:$M$1369,MATCH(405,Engine!$C$2:$C$1369,0)))</f>
        <v/>
      </c>
      <c r="N418" s="9">
        <f>IF(ISNA(MATCH(405,Engine!$C$2:$C$1369,0)),"",INDEX('Compliance Database'!$N$2:$N$1369,MATCH(405,Engine!$C$2:$C$1369,0)))</f>
        <v/>
      </c>
      <c r="O418" s="8">
        <f>IF(ISNA(MATCH(405,Engine!$C$2:$C$1369,0)),"",HYPERLINK(INDEX('Compliance Database'!$O$2:$O$1369,MATCH(405,Engine!$C$2:$C$1369,0)),"Open PDF"))</f>
        <v/>
      </c>
    </row>
    <row r="419" ht="188" customHeight="1">
      <c r="A419" s="8">
        <f>IF(ISNA(MATCH(406,Engine!$C$2:$C$1369,0)),"",INDEX('Compliance Database'!$A$2:$A$1369,MATCH(406,Engine!$C$2:$C$1369,0)))</f>
        <v/>
      </c>
      <c r="B419" s="8">
        <f>IF(ISNA(MATCH(406,Engine!$C$2:$C$1369,0)),"",INDEX('Compliance Database'!$B$2:$B$1369,MATCH(406,Engine!$C$2:$C$1369,0)))</f>
        <v/>
      </c>
      <c r="C419" s="8">
        <f>IF(ISNA(MATCH(406,Engine!$C$2:$C$1369,0)),"",INDEX('Compliance Database'!$C$2:$C$1369,MATCH(406,Engine!$C$2:$C$1369,0)))</f>
        <v/>
      </c>
      <c r="D419" s="9">
        <f>IF(ISNA(MATCH(406,Engine!$C$2:$C$1369,0)),"",INDEX('Compliance Database'!$D$2:$D$1369,MATCH(406,Engine!$C$2:$C$1369,0)))</f>
        <v/>
      </c>
      <c r="E419" s="8">
        <f>IF(ISNA(MATCH(406,Engine!$C$2:$C$1369,0)),"",INDEX('Compliance Database'!$E$2:$E$1369,MATCH(406,Engine!$C$2:$C$1369,0)))</f>
        <v/>
      </c>
      <c r="F419" s="8">
        <f>IF(ISNA(MATCH(406,Engine!$C$2:$C$1369,0)),"",INDEX('Compliance Database'!$F$2:$F$1369,MATCH(406,Engine!$C$2:$C$1369,0)))</f>
        <v/>
      </c>
      <c r="G419" s="8">
        <f>IF(ISNA(MATCH(406,Engine!$C$2:$C$1369,0)),"",INDEX('Compliance Database'!$G$2:$G$1369,MATCH(406,Engine!$C$2:$C$1369,0)))</f>
        <v/>
      </c>
      <c r="H419" s="9">
        <f>IF(ISNA(MATCH(406,Engine!$C$2:$C$1369,0)),"",INDEX('Compliance Database'!$H$2:$H$1369,MATCH(406,Engine!$C$2:$C$1369,0)))</f>
        <v/>
      </c>
      <c r="I419" s="9">
        <f>IF(ISNA(MATCH(406,Engine!$C$2:$C$1369,0)),"",INDEX('Compliance Database'!$I$2:$I$1369,MATCH(406,Engine!$C$2:$C$1369,0)))</f>
        <v/>
      </c>
      <c r="J419" s="8">
        <f>IF(ISNA(MATCH(406,Engine!$C$2:$C$1369,0)),"",INDEX('Compliance Database'!$J$2:$J$1369,MATCH(406,Engine!$C$2:$C$1369,0)))</f>
        <v/>
      </c>
      <c r="K419" s="9">
        <f>IF(ISNA(MATCH(406,Engine!$C$2:$C$1369,0)),"",INDEX('Compliance Database'!$K$2:$K$1369,MATCH(406,Engine!$C$2:$C$1369,0)))</f>
        <v/>
      </c>
      <c r="L419" s="9">
        <f>IF(ISNA(MATCH(406,Engine!$C$2:$C$1369,0)),"",INDEX('Compliance Database'!$L$2:$L$1369,MATCH(406,Engine!$C$2:$C$1369,0)))</f>
        <v/>
      </c>
      <c r="M419" s="9">
        <f>IF(ISNA(MATCH(406,Engine!$C$2:$C$1369,0)),"",INDEX('Compliance Database'!$M$2:$M$1369,MATCH(406,Engine!$C$2:$C$1369,0)))</f>
        <v/>
      </c>
      <c r="N419" s="9">
        <f>IF(ISNA(MATCH(406,Engine!$C$2:$C$1369,0)),"",INDEX('Compliance Database'!$N$2:$N$1369,MATCH(406,Engine!$C$2:$C$1369,0)))</f>
        <v/>
      </c>
      <c r="O419" s="8">
        <f>IF(ISNA(MATCH(406,Engine!$C$2:$C$1369,0)),"",HYPERLINK(INDEX('Compliance Database'!$O$2:$O$1369,MATCH(406,Engine!$C$2:$C$1369,0)),"Open PDF"))</f>
        <v/>
      </c>
    </row>
    <row r="420" ht="188" customHeight="1">
      <c r="A420" s="8">
        <f>IF(ISNA(MATCH(407,Engine!$C$2:$C$1369,0)),"",INDEX('Compliance Database'!$A$2:$A$1369,MATCH(407,Engine!$C$2:$C$1369,0)))</f>
        <v/>
      </c>
      <c r="B420" s="8">
        <f>IF(ISNA(MATCH(407,Engine!$C$2:$C$1369,0)),"",INDEX('Compliance Database'!$B$2:$B$1369,MATCH(407,Engine!$C$2:$C$1369,0)))</f>
        <v/>
      </c>
      <c r="C420" s="8">
        <f>IF(ISNA(MATCH(407,Engine!$C$2:$C$1369,0)),"",INDEX('Compliance Database'!$C$2:$C$1369,MATCH(407,Engine!$C$2:$C$1369,0)))</f>
        <v/>
      </c>
      <c r="D420" s="9">
        <f>IF(ISNA(MATCH(407,Engine!$C$2:$C$1369,0)),"",INDEX('Compliance Database'!$D$2:$D$1369,MATCH(407,Engine!$C$2:$C$1369,0)))</f>
        <v/>
      </c>
      <c r="E420" s="8">
        <f>IF(ISNA(MATCH(407,Engine!$C$2:$C$1369,0)),"",INDEX('Compliance Database'!$E$2:$E$1369,MATCH(407,Engine!$C$2:$C$1369,0)))</f>
        <v/>
      </c>
      <c r="F420" s="8">
        <f>IF(ISNA(MATCH(407,Engine!$C$2:$C$1369,0)),"",INDEX('Compliance Database'!$F$2:$F$1369,MATCH(407,Engine!$C$2:$C$1369,0)))</f>
        <v/>
      </c>
      <c r="G420" s="8">
        <f>IF(ISNA(MATCH(407,Engine!$C$2:$C$1369,0)),"",INDEX('Compliance Database'!$G$2:$G$1369,MATCH(407,Engine!$C$2:$C$1369,0)))</f>
        <v/>
      </c>
      <c r="H420" s="9">
        <f>IF(ISNA(MATCH(407,Engine!$C$2:$C$1369,0)),"",INDEX('Compliance Database'!$H$2:$H$1369,MATCH(407,Engine!$C$2:$C$1369,0)))</f>
        <v/>
      </c>
      <c r="I420" s="9">
        <f>IF(ISNA(MATCH(407,Engine!$C$2:$C$1369,0)),"",INDEX('Compliance Database'!$I$2:$I$1369,MATCH(407,Engine!$C$2:$C$1369,0)))</f>
        <v/>
      </c>
      <c r="J420" s="8">
        <f>IF(ISNA(MATCH(407,Engine!$C$2:$C$1369,0)),"",INDEX('Compliance Database'!$J$2:$J$1369,MATCH(407,Engine!$C$2:$C$1369,0)))</f>
        <v/>
      </c>
      <c r="K420" s="9">
        <f>IF(ISNA(MATCH(407,Engine!$C$2:$C$1369,0)),"",INDEX('Compliance Database'!$K$2:$K$1369,MATCH(407,Engine!$C$2:$C$1369,0)))</f>
        <v/>
      </c>
      <c r="L420" s="9">
        <f>IF(ISNA(MATCH(407,Engine!$C$2:$C$1369,0)),"",INDEX('Compliance Database'!$L$2:$L$1369,MATCH(407,Engine!$C$2:$C$1369,0)))</f>
        <v/>
      </c>
      <c r="M420" s="9">
        <f>IF(ISNA(MATCH(407,Engine!$C$2:$C$1369,0)),"",INDEX('Compliance Database'!$M$2:$M$1369,MATCH(407,Engine!$C$2:$C$1369,0)))</f>
        <v/>
      </c>
      <c r="N420" s="9">
        <f>IF(ISNA(MATCH(407,Engine!$C$2:$C$1369,0)),"",INDEX('Compliance Database'!$N$2:$N$1369,MATCH(407,Engine!$C$2:$C$1369,0)))</f>
        <v/>
      </c>
      <c r="O420" s="8">
        <f>IF(ISNA(MATCH(407,Engine!$C$2:$C$1369,0)),"",HYPERLINK(INDEX('Compliance Database'!$O$2:$O$1369,MATCH(407,Engine!$C$2:$C$1369,0)),"Open PDF"))</f>
        <v/>
      </c>
    </row>
    <row r="421" ht="188" customHeight="1">
      <c r="A421" s="8">
        <f>IF(ISNA(MATCH(408,Engine!$C$2:$C$1369,0)),"",INDEX('Compliance Database'!$A$2:$A$1369,MATCH(408,Engine!$C$2:$C$1369,0)))</f>
        <v/>
      </c>
      <c r="B421" s="8">
        <f>IF(ISNA(MATCH(408,Engine!$C$2:$C$1369,0)),"",INDEX('Compliance Database'!$B$2:$B$1369,MATCH(408,Engine!$C$2:$C$1369,0)))</f>
        <v/>
      </c>
      <c r="C421" s="8">
        <f>IF(ISNA(MATCH(408,Engine!$C$2:$C$1369,0)),"",INDEX('Compliance Database'!$C$2:$C$1369,MATCH(408,Engine!$C$2:$C$1369,0)))</f>
        <v/>
      </c>
      <c r="D421" s="9">
        <f>IF(ISNA(MATCH(408,Engine!$C$2:$C$1369,0)),"",INDEX('Compliance Database'!$D$2:$D$1369,MATCH(408,Engine!$C$2:$C$1369,0)))</f>
        <v/>
      </c>
      <c r="E421" s="8">
        <f>IF(ISNA(MATCH(408,Engine!$C$2:$C$1369,0)),"",INDEX('Compliance Database'!$E$2:$E$1369,MATCH(408,Engine!$C$2:$C$1369,0)))</f>
        <v/>
      </c>
      <c r="F421" s="8">
        <f>IF(ISNA(MATCH(408,Engine!$C$2:$C$1369,0)),"",INDEX('Compliance Database'!$F$2:$F$1369,MATCH(408,Engine!$C$2:$C$1369,0)))</f>
        <v/>
      </c>
      <c r="G421" s="8">
        <f>IF(ISNA(MATCH(408,Engine!$C$2:$C$1369,0)),"",INDEX('Compliance Database'!$G$2:$G$1369,MATCH(408,Engine!$C$2:$C$1369,0)))</f>
        <v/>
      </c>
      <c r="H421" s="9">
        <f>IF(ISNA(MATCH(408,Engine!$C$2:$C$1369,0)),"",INDEX('Compliance Database'!$H$2:$H$1369,MATCH(408,Engine!$C$2:$C$1369,0)))</f>
        <v/>
      </c>
      <c r="I421" s="9">
        <f>IF(ISNA(MATCH(408,Engine!$C$2:$C$1369,0)),"",INDEX('Compliance Database'!$I$2:$I$1369,MATCH(408,Engine!$C$2:$C$1369,0)))</f>
        <v/>
      </c>
      <c r="J421" s="8">
        <f>IF(ISNA(MATCH(408,Engine!$C$2:$C$1369,0)),"",INDEX('Compliance Database'!$J$2:$J$1369,MATCH(408,Engine!$C$2:$C$1369,0)))</f>
        <v/>
      </c>
      <c r="K421" s="9">
        <f>IF(ISNA(MATCH(408,Engine!$C$2:$C$1369,0)),"",INDEX('Compliance Database'!$K$2:$K$1369,MATCH(408,Engine!$C$2:$C$1369,0)))</f>
        <v/>
      </c>
      <c r="L421" s="9">
        <f>IF(ISNA(MATCH(408,Engine!$C$2:$C$1369,0)),"",INDEX('Compliance Database'!$L$2:$L$1369,MATCH(408,Engine!$C$2:$C$1369,0)))</f>
        <v/>
      </c>
      <c r="M421" s="9">
        <f>IF(ISNA(MATCH(408,Engine!$C$2:$C$1369,0)),"",INDEX('Compliance Database'!$M$2:$M$1369,MATCH(408,Engine!$C$2:$C$1369,0)))</f>
        <v/>
      </c>
      <c r="N421" s="9">
        <f>IF(ISNA(MATCH(408,Engine!$C$2:$C$1369,0)),"",INDEX('Compliance Database'!$N$2:$N$1369,MATCH(408,Engine!$C$2:$C$1369,0)))</f>
        <v/>
      </c>
      <c r="O421" s="8">
        <f>IF(ISNA(MATCH(408,Engine!$C$2:$C$1369,0)),"",HYPERLINK(INDEX('Compliance Database'!$O$2:$O$1369,MATCH(408,Engine!$C$2:$C$1369,0)),"Open PDF"))</f>
        <v/>
      </c>
    </row>
    <row r="422" ht="188" customHeight="1">
      <c r="A422" s="8">
        <f>IF(ISNA(MATCH(409,Engine!$C$2:$C$1369,0)),"",INDEX('Compliance Database'!$A$2:$A$1369,MATCH(409,Engine!$C$2:$C$1369,0)))</f>
        <v/>
      </c>
      <c r="B422" s="8">
        <f>IF(ISNA(MATCH(409,Engine!$C$2:$C$1369,0)),"",INDEX('Compliance Database'!$B$2:$B$1369,MATCH(409,Engine!$C$2:$C$1369,0)))</f>
        <v/>
      </c>
      <c r="C422" s="8">
        <f>IF(ISNA(MATCH(409,Engine!$C$2:$C$1369,0)),"",INDEX('Compliance Database'!$C$2:$C$1369,MATCH(409,Engine!$C$2:$C$1369,0)))</f>
        <v/>
      </c>
      <c r="D422" s="9">
        <f>IF(ISNA(MATCH(409,Engine!$C$2:$C$1369,0)),"",INDEX('Compliance Database'!$D$2:$D$1369,MATCH(409,Engine!$C$2:$C$1369,0)))</f>
        <v/>
      </c>
      <c r="E422" s="8">
        <f>IF(ISNA(MATCH(409,Engine!$C$2:$C$1369,0)),"",INDEX('Compliance Database'!$E$2:$E$1369,MATCH(409,Engine!$C$2:$C$1369,0)))</f>
        <v/>
      </c>
      <c r="F422" s="8">
        <f>IF(ISNA(MATCH(409,Engine!$C$2:$C$1369,0)),"",INDEX('Compliance Database'!$F$2:$F$1369,MATCH(409,Engine!$C$2:$C$1369,0)))</f>
        <v/>
      </c>
      <c r="G422" s="8">
        <f>IF(ISNA(MATCH(409,Engine!$C$2:$C$1369,0)),"",INDEX('Compliance Database'!$G$2:$G$1369,MATCH(409,Engine!$C$2:$C$1369,0)))</f>
        <v/>
      </c>
      <c r="H422" s="9">
        <f>IF(ISNA(MATCH(409,Engine!$C$2:$C$1369,0)),"",INDEX('Compliance Database'!$H$2:$H$1369,MATCH(409,Engine!$C$2:$C$1369,0)))</f>
        <v/>
      </c>
      <c r="I422" s="9">
        <f>IF(ISNA(MATCH(409,Engine!$C$2:$C$1369,0)),"",INDEX('Compliance Database'!$I$2:$I$1369,MATCH(409,Engine!$C$2:$C$1369,0)))</f>
        <v/>
      </c>
      <c r="J422" s="8">
        <f>IF(ISNA(MATCH(409,Engine!$C$2:$C$1369,0)),"",INDEX('Compliance Database'!$J$2:$J$1369,MATCH(409,Engine!$C$2:$C$1369,0)))</f>
        <v/>
      </c>
      <c r="K422" s="9">
        <f>IF(ISNA(MATCH(409,Engine!$C$2:$C$1369,0)),"",INDEX('Compliance Database'!$K$2:$K$1369,MATCH(409,Engine!$C$2:$C$1369,0)))</f>
        <v/>
      </c>
      <c r="L422" s="9">
        <f>IF(ISNA(MATCH(409,Engine!$C$2:$C$1369,0)),"",INDEX('Compliance Database'!$L$2:$L$1369,MATCH(409,Engine!$C$2:$C$1369,0)))</f>
        <v/>
      </c>
      <c r="M422" s="9">
        <f>IF(ISNA(MATCH(409,Engine!$C$2:$C$1369,0)),"",INDEX('Compliance Database'!$M$2:$M$1369,MATCH(409,Engine!$C$2:$C$1369,0)))</f>
        <v/>
      </c>
      <c r="N422" s="9">
        <f>IF(ISNA(MATCH(409,Engine!$C$2:$C$1369,0)),"",INDEX('Compliance Database'!$N$2:$N$1369,MATCH(409,Engine!$C$2:$C$1369,0)))</f>
        <v/>
      </c>
      <c r="O422" s="8">
        <f>IF(ISNA(MATCH(409,Engine!$C$2:$C$1369,0)),"",HYPERLINK(INDEX('Compliance Database'!$O$2:$O$1369,MATCH(409,Engine!$C$2:$C$1369,0)),"Open PDF"))</f>
        <v/>
      </c>
    </row>
    <row r="423" ht="188" customHeight="1">
      <c r="A423" s="8">
        <f>IF(ISNA(MATCH(410,Engine!$C$2:$C$1369,0)),"",INDEX('Compliance Database'!$A$2:$A$1369,MATCH(410,Engine!$C$2:$C$1369,0)))</f>
        <v/>
      </c>
      <c r="B423" s="8">
        <f>IF(ISNA(MATCH(410,Engine!$C$2:$C$1369,0)),"",INDEX('Compliance Database'!$B$2:$B$1369,MATCH(410,Engine!$C$2:$C$1369,0)))</f>
        <v/>
      </c>
      <c r="C423" s="8">
        <f>IF(ISNA(MATCH(410,Engine!$C$2:$C$1369,0)),"",INDEX('Compliance Database'!$C$2:$C$1369,MATCH(410,Engine!$C$2:$C$1369,0)))</f>
        <v/>
      </c>
      <c r="D423" s="9">
        <f>IF(ISNA(MATCH(410,Engine!$C$2:$C$1369,0)),"",INDEX('Compliance Database'!$D$2:$D$1369,MATCH(410,Engine!$C$2:$C$1369,0)))</f>
        <v/>
      </c>
      <c r="E423" s="8">
        <f>IF(ISNA(MATCH(410,Engine!$C$2:$C$1369,0)),"",INDEX('Compliance Database'!$E$2:$E$1369,MATCH(410,Engine!$C$2:$C$1369,0)))</f>
        <v/>
      </c>
      <c r="F423" s="8">
        <f>IF(ISNA(MATCH(410,Engine!$C$2:$C$1369,0)),"",INDEX('Compliance Database'!$F$2:$F$1369,MATCH(410,Engine!$C$2:$C$1369,0)))</f>
        <v/>
      </c>
      <c r="G423" s="8">
        <f>IF(ISNA(MATCH(410,Engine!$C$2:$C$1369,0)),"",INDEX('Compliance Database'!$G$2:$G$1369,MATCH(410,Engine!$C$2:$C$1369,0)))</f>
        <v/>
      </c>
      <c r="H423" s="9">
        <f>IF(ISNA(MATCH(410,Engine!$C$2:$C$1369,0)),"",INDEX('Compliance Database'!$H$2:$H$1369,MATCH(410,Engine!$C$2:$C$1369,0)))</f>
        <v/>
      </c>
      <c r="I423" s="9">
        <f>IF(ISNA(MATCH(410,Engine!$C$2:$C$1369,0)),"",INDEX('Compliance Database'!$I$2:$I$1369,MATCH(410,Engine!$C$2:$C$1369,0)))</f>
        <v/>
      </c>
      <c r="J423" s="8">
        <f>IF(ISNA(MATCH(410,Engine!$C$2:$C$1369,0)),"",INDEX('Compliance Database'!$J$2:$J$1369,MATCH(410,Engine!$C$2:$C$1369,0)))</f>
        <v/>
      </c>
      <c r="K423" s="9">
        <f>IF(ISNA(MATCH(410,Engine!$C$2:$C$1369,0)),"",INDEX('Compliance Database'!$K$2:$K$1369,MATCH(410,Engine!$C$2:$C$1369,0)))</f>
        <v/>
      </c>
      <c r="L423" s="9">
        <f>IF(ISNA(MATCH(410,Engine!$C$2:$C$1369,0)),"",INDEX('Compliance Database'!$L$2:$L$1369,MATCH(410,Engine!$C$2:$C$1369,0)))</f>
        <v/>
      </c>
      <c r="M423" s="9">
        <f>IF(ISNA(MATCH(410,Engine!$C$2:$C$1369,0)),"",INDEX('Compliance Database'!$M$2:$M$1369,MATCH(410,Engine!$C$2:$C$1369,0)))</f>
        <v/>
      </c>
      <c r="N423" s="9">
        <f>IF(ISNA(MATCH(410,Engine!$C$2:$C$1369,0)),"",INDEX('Compliance Database'!$N$2:$N$1369,MATCH(410,Engine!$C$2:$C$1369,0)))</f>
        <v/>
      </c>
      <c r="O423" s="8">
        <f>IF(ISNA(MATCH(410,Engine!$C$2:$C$1369,0)),"",HYPERLINK(INDEX('Compliance Database'!$O$2:$O$1369,MATCH(410,Engine!$C$2:$C$1369,0)),"Open PDF"))</f>
        <v/>
      </c>
    </row>
    <row r="424" ht="188" customHeight="1">
      <c r="A424" s="8">
        <f>IF(ISNA(MATCH(411,Engine!$C$2:$C$1369,0)),"",INDEX('Compliance Database'!$A$2:$A$1369,MATCH(411,Engine!$C$2:$C$1369,0)))</f>
        <v/>
      </c>
      <c r="B424" s="8">
        <f>IF(ISNA(MATCH(411,Engine!$C$2:$C$1369,0)),"",INDEX('Compliance Database'!$B$2:$B$1369,MATCH(411,Engine!$C$2:$C$1369,0)))</f>
        <v/>
      </c>
      <c r="C424" s="8">
        <f>IF(ISNA(MATCH(411,Engine!$C$2:$C$1369,0)),"",INDEX('Compliance Database'!$C$2:$C$1369,MATCH(411,Engine!$C$2:$C$1369,0)))</f>
        <v/>
      </c>
      <c r="D424" s="9">
        <f>IF(ISNA(MATCH(411,Engine!$C$2:$C$1369,0)),"",INDEX('Compliance Database'!$D$2:$D$1369,MATCH(411,Engine!$C$2:$C$1369,0)))</f>
        <v/>
      </c>
      <c r="E424" s="8">
        <f>IF(ISNA(MATCH(411,Engine!$C$2:$C$1369,0)),"",INDEX('Compliance Database'!$E$2:$E$1369,MATCH(411,Engine!$C$2:$C$1369,0)))</f>
        <v/>
      </c>
      <c r="F424" s="8">
        <f>IF(ISNA(MATCH(411,Engine!$C$2:$C$1369,0)),"",INDEX('Compliance Database'!$F$2:$F$1369,MATCH(411,Engine!$C$2:$C$1369,0)))</f>
        <v/>
      </c>
      <c r="G424" s="8">
        <f>IF(ISNA(MATCH(411,Engine!$C$2:$C$1369,0)),"",INDEX('Compliance Database'!$G$2:$G$1369,MATCH(411,Engine!$C$2:$C$1369,0)))</f>
        <v/>
      </c>
      <c r="H424" s="9">
        <f>IF(ISNA(MATCH(411,Engine!$C$2:$C$1369,0)),"",INDEX('Compliance Database'!$H$2:$H$1369,MATCH(411,Engine!$C$2:$C$1369,0)))</f>
        <v/>
      </c>
      <c r="I424" s="9">
        <f>IF(ISNA(MATCH(411,Engine!$C$2:$C$1369,0)),"",INDEX('Compliance Database'!$I$2:$I$1369,MATCH(411,Engine!$C$2:$C$1369,0)))</f>
        <v/>
      </c>
      <c r="J424" s="8">
        <f>IF(ISNA(MATCH(411,Engine!$C$2:$C$1369,0)),"",INDEX('Compliance Database'!$J$2:$J$1369,MATCH(411,Engine!$C$2:$C$1369,0)))</f>
        <v/>
      </c>
      <c r="K424" s="9">
        <f>IF(ISNA(MATCH(411,Engine!$C$2:$C$1369,0)),"",INDEX('Compliance Database'!$K$2:$K$1369,MATCH(411,Engine!$C$2:$C$1369,0)))</f>
        <v/>
      </c>
      <c r="L424" s="9">
        <f>IF(ISNA(MATCH(411,Engine!$C$2:$C$1369,0)),"",INDEX('Compliance Database'!$L$2:$L$1369,MATCH(411,Engine!$C$2:$C$1369,0)))</f>
        <v/>
      </c>
      <c r="M424" s="9">
        <f>IF(ISNA(MATCH(411,Engine!$C$2:$C$1369,0)),"",INDEX('Compliance Database'!$M$2:$M$1369,MATCH(411,Engine!$C$2:$C$1369,0)))</f>
        <v/>
      </c>
      <c r="N424" s="9">
        <f>IF(ISNA(MATCH(411,Engine!$C$2:$C$1369,0)),"",INDEX('Compliance Database'!$N$2:$N$1369,MATCH(411,Engine!$C$2:$C$1369,0)))</f>
        <v/>
      </c>
      <c r="O424" s="8">
        <f>IF(ISNA(MATCH(411,Engine!$C$2:$C$1369,0)),"",HYPERLINK(INDEX('Compliance Database'!$O$2:$O$1369,MATCH(411,Engine!$C$2:$C$1369,0)),"Open PDF"))</f>
        <v/>
      </c>
    </row>
    <row r="425" ht="188" customHeight="1">
      <c r="A425" s="8">
        <f>IF(ISNA(MATCH(412,Engine!$C$2:$C$1369,0)),"",INDEX('Compliance Database'!$A$2:$A$1369,MATCH(412,Engine!$C$2:$C$1369,0)))</f>
        <v/>
      </c>
      <c r="B425" s="8">
        <f>IF(ISNA(MATCH(412,Engine!$C$2:$C$1369,0)),"",INDEX('Compliance Database'!$B$2:$B$1369,MATCH(412,Engine!$C$2:$C$1369,0)))</f>
        <v/>
      </c>
      <c r="C425" s="8">
        <f>IF(ISNA(MATCH(412,Engine!$C$2:$C$1369,0)),"",INDEX('Compliance Database'!$C$2:$C$1369,MATCH(412,Engine!$C$2:$C$1369,0)))</f>
        <v/>
      </c>
      <c r="D425" s="9">
        <f>IF(ISNA(MATCH(412,Engine!$C$2:$C$1369,0)),"",INDEX('Compliance Database'!$D$2:$D$1369,MATCH(412,Engine!$C$2:$C$1369,0)))</f>
        <v/>
      </c>
      <c r="E425" s="8">
        <f>IF(ISNA(MATCH(412,Engine!$C$2:$C$1369,0)),"",INDEX('Compliance Database'!$E$2:$E$1369,MATCH(412,Engine!$C$2:$C$1369,0)))</f>
        <v/>
      </c>
      <c r="F425" s="8">
        <f>IF(ISNA(MATCH(412,Engine!$C$2:$C$1369,0)),"",INDEX('Compliance Database'!$F$2:$F$1369,MATCH(412,Engine!$C$2:$C$1369,0)))</f>
        <v/>
      </c>
      <c r="G425" s="8">
        <f>IF(ISNA(MATCH(412,Engine!$C$2:$C$1369,0)),"",INDEX('Compliance Database'!$G$2:$G$1369,MATCH(412,Engine!$C$2:$C$1369,0)))</f>
        <v/>
      </c>
      <c r="H425" s="9">
        <f>IF(ISNA(MATCH(412,Engine!$C$2:$C$1369,0)),"",INDEX('Compliance Database'!$H$2:$H$1369,MATCH(412,Engine!$C$2:$C$1369,0)))</f>
        <v/>
      </c>
      <c r="I425" s="9">
        <f>IF(ISNA(MATCH(412,Engine!$C$2:$C$1369,0)),"",INDEX('Compliance Database'!$I$2:$I$1369,MATCH(412,Engine!$C$2:$C$1369,0)))</f>
        <v/>
      </c>
      <c r="J425" s="8">
        <f>IF(ISNA(MATCH(412,Engine!$C$2:$C$1369,0)),"",INDEX('Compliance Database'!$J$2:$J$1369,MATCH(412,Engine!$C$2:$C$1369,0)))</f>
        <v/>
      </c>
      <c r="K425" s="9">
        <f>IF(ISNA(MATCH(412,Engine!$C$2:$C$1369,0)),"",INDEX('Compliance Database'!$K$2:$K$1369,MATCH(412,Engine!$C$2:$C$1369,0)))</f>
        <v/>
      </c>
      <c r="L425" s="9">
        <f>IF(ISNA(MATCH(412,Engine!$C$2:$C$1369,0)),"",INDEX('Compliance Database'!$L$2:$L$1369,MATCH(412,Engine!$C$2:$C$1369,0)))</f>
        <v/>
      </c>
      <c r="M425" s="9">
        <f>IF(ISNA(MATCH(412,Engine!$C$2:$C$1369,0)),"",INDEX('Compliance Database'!$M$2:$M$1369,MATCH(412,Engine!$C$2:$C$1369,0)))</f>
        <v/>
      </c>
      <c r="N425" s="9">
        <f>IF(ISNA(MATCH(412,Engine!$C$2:$C$1369,0)),"",INDEX('Compliance Database'!$N$2:$N$1369,MATCH(412,Engine!$C$2:$C$1369,0)))</f>
        <v/>
      </c>
      <c r="O425" s="8">
        <f>IF(ISNA(MATCH(412,Engine!$C$2:$C$1369,0)),"",HYPERLINK(INDEX('Compliance Database'!$O$2:$O$1369,MATCH(412,Engine!$C$2:$C$1369,0)),"Open PDF"))</f>
        <v/>
      </c>
    </row>
    <row r="426" ht="188" customHeight="1">
      <c r="A426" s="8">
        <f>IF(ISNA(MATCH(413,Engine!$C$2:$C$1369,0)),"",INDEX('Compliance Database'!$A$2:$A$1369,MATCH(413,Engine!$C$2:$C$1369,0)))</f>
        <v/>
      </c>
      <c r="B426" s="8">
        <f>IF(ISNA(MATCH(413,Engine!$C$2:$C$1369,0)),"",INDEX('Compliance Database'!$B$2:$B$1369,MATCH(413,Engine!$C$2:$C$1369,0)))</f>
        <v/>
      </c>
      <c r="C426" s="8">
        <f>IF(ISNA(MATCH(413,Engine!$C$2:$C$1369,0)),"",INDEX('Compliance Database'!$C$2:$C$1369,MATCH(413,Engine!$C$2:$C$1369,0)))</f>
        <v/>
      </c>
      <c r="D426" s="9">
        <f>IF(ISNA(MATCH(413,Engine!$C$2:$C$1369,0)),"",INDEX('Compliance Database'!$D$2:$D$1369,MATCH(413,Engine!$C$2:$C$1369,0)))</f>
        <v/>
      </c>
      <c r="E426" s="8">
        <f>IF(ISNA(MATCH(413,Engine!$C$2:$C$1369,0)),"",INDEX('Compliance Database'!$E$2:$E$1369,MATCH(413,Engine!$C$2:$C$1369,0)))</f>
        <v/>
      </c>
      <c r="F426" s="8">
        <f>IF(ISNA(MATCH(413,Engine!$C$2:$C$1369,0)),"",INDEX('Compliance Database'!$F$2:$F$1369,MATCH(413,Engine!$C$2:$C$1369,0)))</f>
        <v/>
      </c>
      <c r="G426" s="8">
        <f>IF(ISNA(MATCH(413,Engine!$C$2:$C$1369,0)),"",INDEX('Compliance Database'!$G$2:$G$1369,MATCH(413,Engine!$C$2:$C$1369,0)))</f>
        <v/>
      </c>
      <c r="H426" s="9">
        <f>IF(ISNA(MATCH(413,Engine!$C$2:$C$1369,0)),"",INDEX('Compliance Database'!$H$2:$H$1369,MATCH(413,Engine!$C$2:$C$1369,0)))</f>
        <v/>
      </c>
      <c r="I426" s="9">
        <f>IF(ISNA(MATCH(413,Engine!$C$2:$C$1369,0)),"",INDEX('Compliance Database'!$I$2:$I$1369,MATCH(413,Engine!$C$2:$C$1369,0)))</f>
        <v/>
      </c>
      <c r="J426" s="8">
        <f>IF(ISNA(MATCH(413,Engine!$C$2:$C$1369,0)),"",INDEX('Compliance Database'!$J$2:$J$1369,MATCH(413,Engine!$C$2:$C$1369,0)))</f>
        <v/>
      </c>
      <c r="K426" s="9">
        <f>IF(ISNA(MATCH(413,Engine!$C$2:$C$1369,0)),"",INDEX('Compliance Database'!$K$2:$K$1369,MATCH(413,Engine!$C$2:$C$1369,0)))</f>
        <v/>
      </c>
      <c r="L426" s="9">
        <f>IF(ISNA(MATCH(413,Engine!$C$2:$C$1369,0)),"",INDEX('Compliance Database'!$L$2:$L$1369,MATCH(413,Engine!$C$2:$C$1369,0)))</f>
        <v/>
      </c>
      <c r="M426" s="9">
        <f>IF(ISNA(MATCH(413,Engine!$C$2:$C$1369,0)),"",INDEX('Compliance Database'!$M$2:$M$1369,MATCH(413,Engine!$C$2:$C$1369,0)))</f>
        <v/>
      </c>
      <c r="N426" s="9">
        <f>IF(ISNA(MATCH(413,Engine!$C$2:$C$1369,0)),"",INDEX('Compliance Database'!$N$2:$N$1369,MATCH(413,Engine!$C$2:$C$1369,0)))</f>
        <v/>
      </c>
      <c r="O426" s="8">
        <f>IF(ISNA(MATCH(413,Engine!$C$2:$C$1369,0)),"",HYPERLINK(INDEX('Compliance Database'!$O$2:$O$1369,MATCH(413,Engine!$C$2:$C$1369,0)),"Open PDF"))</f>
        <v/>
      </c>
    </row>
    <row r="427" ht="188" customHeight="1">
      <c r="A427" s="8">
        <f>IF(ISNA(MATCH(414,Engine!$C$2:$C$1369,0)),"",INDEX('Compliance Database'!$A$2:$A$1369,MATCH(414,Engine!$C$2:$C$1369,0)))</f>
        <v/>
      </c>
      <c r="B427" s="8">
        <f>IF(ISNA(MATCH(414,Engine!$C$2:$C$1369,0)),"",INDEX('Compliance Database'!$B$2:$B$1369,MATCH(414,Engine!$C$2:$C$1369,0)))</f>
        <v/>
      </c>
      <c r="C427" s="8">
        <f>IF(ISNA(MATCH(414,Engine!$C$2:$C$1369,0)),"",INDEX('Compliance Database'!$C$2:$C$1369,MATCH(414,Engine!$C$2:$C$1369,0)))</f>
        <v/>
      </c>
      <c r="D427" s="9">
        <f>IF(ISNA(MATCH(414,Engine!$C$2:$C$1369,0)),"",INDEX('Compliance Database'!$D$2:$D$1369,MATCH(414,Engine!$C$2:$C$1369,0)))</f>
        <v/>
      </c>
      <c r="E427" s="8">
        <f>IF(ISNA(MATCH(414,Engine!$C$2:$C$1369,0)),"",INDEX('Compliance Database'!$E$2:$E$1369,MATCH(414,Engine!$C$2:$C$1369,0)))</f>
        <v/>
      </c>
      <c r="F427" s="8">
        <f>IF(ISNA(MATCH(414,Engine!$C$2:$C$1369,0)),"",INDEX('Compliance Database'!$F$2:$F$1369,MATCH(414,Engine!$C$2:$C$1369,0)))</f>
        <v/>
      </c>
      <c r="G427" s="8">
        <f>IF(ISNA(MATCH(414,Engine!$C$2:$C$1369,0)),"",INDEX('Compliance Database'!$G$2:$G$1369,MATCH(414,Engine!$C$2:$C$1369,0)))</f>
        <v/>
      </c>
      <c r="H427" s="9">
        <f>IF(ISNA(MATCH(414,Engine!$C$2:$C$1369,0)),"",INDEX('Compliance Database'!$H$2:$H$1369,MATCH(414,Engine!$C$2:$C$1369,0)))</f>
        <v/>
      </c>
      <c r="I427" s="9">
        <f>IF(ISNA(MATCH(414,Engine!$C$2:$C$1369,0)),"",INDEX('Compliance Database'!$I$2:$I$1369,MATCH(414,Engine!$C$2:$C$1369,0)))</f>
        <v/>
      </c>
      <c r="J427" s="8">
        <f>IF(ISNA(MATCH(414,Engine!$C$2:$C$1369,0)),"",INDEX('Compliance Database'!$J$2:$J$1369,MATCH(414,Engine!$C$2:$C$1369,0)))</f>
        <v/>
      </c>
      <c r="K427" s="9">
        <f>IF(ISNA(MATCH(414,Engine!$C$2:$C$1369,0)),"",INDEX('Compliance Database'!$K$2:$K$1369,MATCH(414,Engine!$C$2:$C$1369,0)))</f>
        <v/>
      </c>
      <c r="L427" s="9">
        <f>IF(ISNA(MATCH(414,Engine!$C$2:$C$1369,0)),"",INDEX('Compliance Database'!$L$2:$L$1369,MATCH(414,Engine!$C$2:$C$1369,0)))</f>
        <v/>
      </c>
      <c r="M427" s="9">
        <f>IF(ISNA(MATCH(414,Engine!$C$2:$C$1369,0)),"",INDEX('Compliance Database'!$M$2:$M$1369,MATCH(414,Engine!$C$2:$C$1369,0)))</f>
        <v/>
      </c>
      <c r="N427" s="9">
        <f>IF(ISNA(MATCH(414,Engine!$C$2:$C$1369,0)),"",INDEX('Compliance Database'!$N$2:$N$1369,MATCH(414,Engine!$C$2:$C$1369,0)))</f>
        <v/>
      </c>
      <c r="O427" s="8">
        <f>IF(ISNA(MATCH(414,Engine!$C$2:$C$1369,0)),"",HYPERLINK(INDEX('Compliance Database'!$O$2:$O$1369,MATCH(414,Engine!$C$2:$C$1369,0)),"Open PDF"))</f>
        <v/>
      </c>
    </row>
    <row r="428" ht="188" customHeight="1">
      <c r="A428" s="8">
        <f>IF(ISNA(MATCH(415,Engine!$C$2:$C$1369,0)),"",INDEX('Compliance Database'!$A$2:$A$1369,MATCH(415,Engine!$C$2:$C$1369,0)))</f>
        <v/>
      </c>
      <c r="B428" s="8">
        <f>IF(ISNA(MATCH(415,Engine!$C$2:$C$1369,0)),"",INDEX('Compliance Database'!$B$2:$B$1369,MATCH(415,Engine!$C$2:$C$1369,0)))</f>
        <v/>
      </c>
      <c r="C428" s="8">
        <f>IF(ISNA(MATCH(415,Engine!$C$2:$C$1369,0)),"",INDEX('Compliance Database'!$C$2:$C$1369,MATCH(415,Engine!$C$2:$C$1369,0)))</f>
        <v/>
      </c>
      <c r="D428" s="9">
        <f>IF(ISNA(MATCH(415,Engine!$C$2:$C$1369,0)),"",INDEX('Compliance Database'!$D$2:$D$1369,MATCH(415,Engine!$C$2:$C$1369,0)))</f>
        <v/>
      </c>
      <c r="E428" s="8">
        <f>IF(ISNA(MATCH(415,Engine!$C$2:$C$1369,0)),"",INDEX('Compliance Database'!$E$2:$E$1369,MATCH(415,Engine!$C$2:$C$1369,0)))</f>
        <v/>
      </c>
      <c r="F428" s="8">
        <f>IF(ISNA(MATCH(415,Engine!$C$2:$C$1369,0)),"",INDEX('Compliance Database'!$F$2:$F$1369,MATCH(415,Engine!$C$2:$C$1369,0)))</f>
        <v/>
      </c>
      <c r="G428" s="8">
        <f>IF(ISNA(MATCH(415,Engine!$C$2:$C$1369,0)),"",INDEX('Compliance Database'!$G$2:$G$1369,MATCH(415,Engine!$C$2:$C$1369,0)))</f>
        <v/>
      </c>
      <c r="H428" s="9">
        <f>IF(ISNA(MATCH(415,Engine!$C$2:$C$1369,0)),"",INDEX('Compliance Database'!$H$2:$H$1369,MATCH(415,Engine!$C$2:$C$1369,0)))</f>
        <v/>
      </c>
      <c r="I428" s="9">
        <f>IF(ISNA(MATCH(415,Engine!$C$2:$C$1369,0)),"",INDEX('Compliance Database'!$I$2:$I$1369,MATCH(415,Engine!$C$2:$C$1369,0)))</f>
        <v/>
      </c>
      <c r="J428" s="8">
        <f>IF(ISNA(MATCH(415,Engine!$C$2:$C$1369,0)),"",INDEX('Compliance Database'!$J$2:$J$1369,MATCH(415,Engine!$C$2:$C$1369,0)))</f>
        <v/>
      </c>
      <c r="K428" s="9">
        <f>IF(ISNA(MATCH(415,Engine!$C$2:$C$1369,0)),"",INDEX('Compliance Database'!$K$2:$K$1369,MATCH(415,Engine!$C$2:$C$1369,0)))</f>
        <v/>
      </c>
      <c r="L428" s="9">
        <f>IF(ISNA(MATCH(415,Engine!$C$2:$C$1369,0)),"",INDEX('Compliance Database'!$L$2:$L$1369,MATCH(415,Engine!$C$2:$C$1369,0)))</f>
        <v/>
      </c>
      <c r="M428" s="9">
        <f>IF(ISNA(MATCH(415,Engine!$C$2:$C$1369,0)),"",INDEX('Compliance Database'!$M$2:$M$1369,MATCH(415,Engine!$C$2:$C$1369,0)))</f>
        <v/>
      </c>
      <c r="N428" s="9">
        <f>IF(ISNA(MATCH(415,Engine!$C$2:$C$1369,0)),"",INDEX('Compliance Database'!$N$2:$N$1369,MATCH(415,Engine!$C$2:$C$1369,0)))</f>
        <v/>
      </c>
      <c r="O428" s="8">
        <f>IF(ISNA(MATCH(415,Engine!$C$2:$C$1369,0)),"",HYPERLINK(INDEX('Compliance Database'!$O$2:$O$1369,MATCH(415,Engine!$C$2:$C$1369,0)),"Open PDF"))</f>
        <v/>
      </c>
    </row>
    <row r="429" ht="188" customHeight="1">
      <c r="A429" s="8">
        <f>IF(ISNA(MATCH(416,Engine!$C$2:$C$1369,0)),"",INDEX('Compliance Database'!$A$2:$A$1369,MATCH(416,Engine!$C$2:$C$1369,0)))</f>
        <v/>
      </c>
      <c r="B429" s="8">
        <f>IF(ISNA(MATCH(416,Engine!$C$2:$C$1369,0)),"",INDEX('Compliance Database'!$B$2:$B$1369,MATCH(416,Engine!$C$2:$C$1369,0)))</f>
        <v/>
      </c>
      <c r="C429" s="8">
        <f>IF(ISNA(MATCH(416,Engine!$C$2:$C$1369,0)),"",INDEX('Compliance Database'!$C$2:$C$1369,MATCH(416,Engine!$C$2:$C$1369,0)))</f>
        <v/>
      </c>
      <c r="D429" s="9">
        <f>IF(ISNA(MATCH(416,Engine!$C$2:$C$1369,0)),"",INDEX('Compliance Database'!$D$2:$D$1369,MATCH(416,Engine!$C$2:$C$1369,0)))</f>
        <v/>
      </c>
      <c r="E429" s="8">
        <f>IF(ISNA(MATCH(416,Engine!$C$2:$C$1369,0)),"",INDEX('Compliance Database'!$E$2:$E$1369,MATCH(416,Engine!$C$2:$C$1369,0)))</f>
        <v/>
      </c>
      <c r="F429" s="8">
        <f>IF(ISNA(MATCH(416,Engine!$C$2:$C$1369,0)),"",INDEX('Compliance Database'!$F$2:$F$1369,MATCH(416,Engine!$C$2:$C$1369,0)))</f>
        <v/>
      </c>
      <c r="G429" s="8">
        <f>IF(ISNA(MATCH(416,Engine!$C$2:$C$1369,0)),"",INDEX('Compliance Database'!$G$2:$G$1369,MATCH(416,Engine!$C$2:$C$1369,0)))</f>
        <v/>
      </c>
      <c r="H429" s="9">
        <f>IF(ISNA(MATCH(416,Engine!$C$2:$C$1369,0)),"",INDEX('Compliance Database'!$H$2:$H$1369,MATCH(416,Engine!$C$2:$C$1369,0)))</f>
        <v/>
      </c>
      <c r="I429" s="9">
        <f>IF(ISNA(MATCH(416,Engine!$C$2:$C$1369,0)),"",INDEX('Compliance Database'!$I$2:$I$1369,MATCH(416,Engine!$C$2:$C$1369,0)))</f>
        <v/>
      </c>
      <c r="J429" s="8">
        <f>IF(ISNA(MATCH(416,Engine!$C$2:$C$1369,0)),"",INDEX('Compliance Database'!$J$2:$J$1369,MATCH(416,Engine!$C$2:$C$1369,0)))</f>
        <v/>
      </c>
      <c r="K429" s="9">
        <f>IF(ISNA(MATCH(416,Engine!$C$2:$C$1369,0)),"",INDEX('Compliance Database'!$K$2:$K$1369,MATCH(416,Engine!$C$2:$C$1369,0)))</f>
        <v/>
      </c>
      <c r="L429" s="9">
        <f>IF(ISNA(MATCH(416,Engine!$C$2:$C$1369,0)),"",INDEX('Compliance Database'!$L$2:$L$1369,MATCH(416,Engine!$C$2:$C$1369,0)))</f>
        <v/>
      </c>
      <c r="M429" s="9">
        <f>IF(ISNA(MATCH(416,Engine!$C$2:$C$1369,0)),"",INDEX('Compliance Database'!$M$2:$M$1369,MATCH(416,Engine!$C$2:$C$1369,0)))</f>
        <v/>
      </c>
      <c r="N429" s="9">
        <f>IF(ISNA(MATCH(416,Engine!$C$2:$C$1369,0)),"",INDEX('Compliance Database'!$N$2:$N$1369,MATCH(416,Engine!$C$2:$C$1369,0)))</f>
        <v/>
      </c>
      <c r="O429" s="8">
        <f>IF(ISNA(MATCH(416,Engine!$C$2:$C$1369,0)),"",HYPERLINK(INDEX('Compliance Database'!$O$2:$O$1369,MATCH(416,Engine!$C$2:$C$1369,0)),"Open PDF"))</f>
        <v/>
      </c>
    </row>
    <row r="430" ht="188" customHeight="1">
      <c r="A430" s="8">
        <f>IF(ISNA(MATCH(417,Engine!$C$2:$C$1369,0)),"",INDEX('Compliance Database'!$A$2:$A$1369,MATCH(417,Engine!$C$2:$C$1369,0)))</f>
        <v/>
      </c>
      <c r="B430" s="8">
        <f>IF(ISNA(MATCH(417,Engine!$C$2:$C$1369,0)),"",INDEX('Compliance Database'!$B$2:$B$1369,MATCH(417,Engine!$C$2:$C$1369,0)))</f>
        <v/>
      </c>
      <c r="C430" s="8">
        <f>IF(ISNA(MATCH(417,Engine!$C$2:$C$1369,0)),"",INDEX('Compliance Database'!$C$2:$C$1369,MATCH(417,Engine!$C$2:$C$1369,0)))</f>
        <v/>
      </c>
      <c r="D430" s="9">
        <f>IF(ISNA(MATCH(417,Engine!$C$2:$C$1369,0)),"",INDEX('Compliance Database'!$D$2:$D$1369,MATCH(417,Engine!$C$2:$C$1369,0)))</f>
        <v/>
      </c>
      <c r="E430" s="8">
        <f>IF(ISNA(MATCH(417,Engine!$C$2:$C$1369,0)),"",INDEX('Compliance Database'!$E$2:$E$1369,MATCH(417,Engine!$C$2:$C$1369,0)))</f>
        <v/>
      </c>
      <c r="F430" s="8">
        <f>IF(ISNA(MATCH(417,Engine!$C$2:$C$1369,0)),"",INDEX('Compliance Database'!$F$2:$F$1369,MATCH(417,Engine!$C$2:$C$1369,0)))</f>
        <v/>
      </c>
      <c r="G430" s="8">
        <f>IF(ISNA(MATCH(417,Engine!$C$2:$C$1369,0)),"",INDEX('Compliance Database'!$G$2:$G$1369,MATCH(417,Engine!$C$2:$C$1369,0)))</f>
        <v/>
      </c>
      <c r="H430" s="9">
        <f>IF(ISNA(MATCH(417,Engine!$C$2:$C$1369,0)),"",INDEX('Compliance Database'!$H$2:$H$1369,MATCH(417,Engine!$C$2:$C$1369,0)))</f>
        <v/>
      </c>
      <c r="I430" s="9">
        <f>IF(ISNA(MATCH(417,Engine!$C$2:$C$1369,0)),"",INDEX('Compliance Database'!$I$2:$I$1369,MATCH(417,Engine!$C$2:$C$1369,0)))</f>
        <v/>
      </c>
      <c r="J430" s="8">
        <f>IF(ISNA(MATCH(417,Engine!$C$2:$C$1369,0)),"",INDEX('Compliance Database'!$J$2:$J$1369,MATCH(417,Engine!$C$2:$C$1369,0)))</f>
        <v/>
      </c>
      <c r="K430" s="9">
        <f>IF(ISNA(MATCH(417,Engine!$C$2:$C$1369,0)),"",INDEX('Compliance Database'!$K$2:$K$1369,MATCH(417,Engine!$C$2:$C$1369,0)))</f>
        <v/>
      </c>
      <c r="L430" s="9">
        <f>IF(ISNA(MATCH(417,Engine!$C$2:$C$1369,0)),"",INDEX('Compliance Database'!$L$2:$L$1369,MATCH(417,Engine!$C$2:$C$1369,0)))</f>
        <v/>
      </c>
      <c r="M430" s="9">
        <f>IF(ISNA(MATCH(417,Engine!$C$2:$C$1369,0)),"",INDEX('Compliance Database'!$M$2:$M$1369,MATCH(417,Engine!$C$2:$C$1369,0)))</f>
        <v/>
      </c>
      <c r="N430" s="9">
        <f>IF(ISNA(MATCH(417,Engine!$C$2:$C$1369,0)),"",INDEX('Compliance Database'!$N$2:$N$1369,MATCH(417,Engine!$C$2:$C$1369,0)))</f>
        <v/>
      </c>
      <c r="O430" s="8">
        <f>IF(ISNA(MATCH(417,Engine!$C$2:$C$1369,0)),"",HYPERLINK(INDEX('Compliance Database'!$O$2:$O$1369,MATCH(417,Engine!$C$2:$C$1369,0)),"Open PDF"))</f>
        <v/>
      </c>
    </row>
    <row r="431" ht="188" customHeight="1">
      <c r="A431" s="8">
        <f>IF(ISNA(MATCH(418,Engine!$C$2:$C$1369,0)),"",INDEX('Compliance Database'!$A$2:$A$1369,MATCH(418,Engine!$C$2:$C$1369,0)))</f>
        <v/>
      </c>
      <c r="B431" s="8">
        <f>IF(ISNA(MATCH(418,Engine!$C$2:$C$1369,0)),"",INDEX('Compliance Database'!$B$2:$B$1369,MATCH(418,Engine!$C$2:$C$1369,0)))</f>
        <v/>
      </c>
      <c r="C431" s="8">
        <f>IF(ISNA(MATCH(418,Engine!$C$2:$C$1369,0)),"",INDEX('Compliance Database'!$C$2:$C$1369,MATCH(418,Engine!$C$2:$C$1369,0)))</f>
        <v/>
      </c>
      <c r="D431" s="9">
        <f>IF(ISNA(MATCH(418,Engine!$C$2:$C$1369,0)),"",INDEX('Compliance Database'!$D$2:$D$1369,MATCH(418,Engine!$C$2:$C$1369,0)))</f>
        <v/>
      </c>
      <c r="E431" s="8">
        <f>IF(ISNA(MATCH(418,Engine!$C$2:$C$1369,0)),"",INDEX('Compliance Database'!$E$2:$E$1369,MATCH(418,Engine!$C$2:$C$1369,0)))</f>
        <v/>
      </c>
      <c r="F431" s="8">
        <f>IF(ISNA(MATCH(418,Engine!$C$2:$C$1369,0)),"",INDEX('Compliance Database'!$F$2:$F$1369,MATCH(418,Engine!$C$2:$C$1369,0)))</f>
        <v/>
      </c>
      <c r="G431" s="8">
        <f>IF(ISNA(MATCH(418,Engine!$C$2:$C$1369,0)),"",INDEX('Compliance Database'!$G$2:$G$1369,MATCH(418,Engine!$C$2:$C$1369,0)))</f>
        <v/>
      </c>
      <c r="H431" s="9">
        <f>IF(ISNA(MATCH(418,Engine!$C$2:$C$1369,0)),"",INDEX('Compliance Database'!$H$2:$H$1369,MATCH(418,Engine!$C$2:$C$1369,0)))</f>
        <v/>
      </c>
      <c r="I431" s="9">
        <f>IF(ISNA(MATCH(418,Engine!$C$2:$C$1369,0)),"",INDEX('Compliance Database'!$I$2:$I$1369,MATCH(418,Engine!$C$2:$C$1369,0)))</f>
        <v/>
      </c>
      <c r="J431" s="8">
        <f>IF(ISNA(MATCH(418,Engine!$C$2:$C$1369,0)),"",INDEX('Compliance Database'!$J$2:$J$1369,MATCH(418,Engine!$C$2:$C$1369,0)))</f>
        <v/>
      </c>
      <c r="K431" s="9">
        <f>IF(ISNA(MATCH(418,Engine!$C$2:$C$1369,0)),"",INDEX('Compliance Database'!$K$2:$K$1369,MATCH(418,Engine!$C$2:$C$1369,0)))</f>
        <v/>
      </c>
      <c r="L431" s="9">
        <f>IF(ISNA(MATCH(418,Engine!$C$2:$C$1369,0)),"",INDEX('Compliance Database'!$L$2:$L$1369,MATCH(418,Engine!$C$2:$C$1369,0)))</f>
        <v/>
      </c>
      <c r="M431" s="9">
        <f>IF(ISNA(MATCH(418,Engine!$C$2:$C$1369,0)),"",INDEX('Compliance Database'!$M$2:$M$1369,MATCH(418,Engine!$C$2:$C$1369,0)))</f>
        <v/>
      </c>
      <c r="N431" s="9">
        <f>IF(ISNA(MATCH(418,Engine!$C$2:$C$1369,0)),"",INDEX('Compliance Database'!$N$2:$N$1369,MATCH(418,Engine!$C$2:$C$1369,0)))</f>
        <v/>
      </c>
      <c r="O431" s="8">
        <f>IF(ISNA(MATCH(418,Engine!$C$2:$C$1369,0)),"",HYPERLINK(INDEX('Compliance Database'!$O$2:$O$1369,MATCH(418,Engine!$C$2:$C$1369,0)),"Open PDF"))</f>
        <v/>
      </c>
    </row>
    <row r="432" ht="188" customHeight="1">
      <c r="A432" s="8">
        <f>IF(ISNA(MATCH(419,Engine!$C$2:$C$1369,0)),"",INDEX('Compliance Database'!$A$2:$A$1369,MATCH(419,Engine!$C$2:$C$1369,0)))</f>
        <v/>
      </c>
      <c r="B432" s="8">
        <f>IF(ISNA(MATCH(419,Engine!$C$2:$C$1369,0)),"",INDEX('Compliance Database'!$B$2:$B$1369,MATCH(419,Engine!$C$2:$C$1369,0)))</f>
        <v/>
      </c>
      <c r="C432" s="8">
        <f>IF(ISNA(MATCH(419,Engine!$C$2:$C$1369,0)),"",INDEX('Compliance Database'!$C$2:$C$1369,MATCH(419,Engine!$C$2:$C$1369,0)))</f>
        <v/>
      </c>
      <c r="D432" s="9">
        <f>IF(ISNA(MATCH(419,Engine!$C$2:$C$1369,0)),"",INDEX('Compliance Database'!$D$2:$D$1369,MATCH(419,Engine!$C$2:$C$1369,0)))</f>
        <v/>
      </c>
      <c r="E432" s="8">
        <f>IF(ISNA(MATCH(419,Engine!$C$2:$C$1369,0)),"",INDEX('Compliance Database'!$E$2:$E$1369,MATCH(419,Engine!$C$2:$C$1369,0)))</f>
        <v/>
      </c>
      <c r="F432" s="8">
        <f>IF(ISNA(MATCH(419,Engine!$C$2:$C$1369,0)),"",INDEX('Compliance Database'!$F$2:$F$1369,MATCH(419,Engine!$C$2:$C$1369,0)))</f>
        <v/>
      </c>
      <c r="G432" s="8">
        <f>IF(ISNA(MATCH(419,Engine!$C$2:$C$1369,0)),"",INDEX('Compliance Database'!$G$2:$G$1369,MATCH(419,Engine!$C$2:$C$1369,0)))</f>
        <v/>
      </c>
      <c r="H432" s="9">
        <f>IF(ISNA(MATCH(419,Engine!$C$2:$C$1369,0)),"",INDEX('Compliance Database'!$H$2:$H$1369,MATCH(419,Engine!$C$2:$C$1369,0)))</f>
        <v/>
      </c>
      <c r="I432" s="9">
        <f>IF(ISNA(MATCH(419,Engine!$C$2:$C$1369,0)),"",INDEX('Compliance Database'!$I$2:$I$1369,MATCH(419,Engine!$C$2:$C$1369,0)))</f>
        <v/>
      </c>
      <c r="J432" s="8">
        <f>IF(ISNA(MATCH(419,Engine!$C$2:$C$1369,0)),"",INDEX('Compliance Database'!$J$2:$J$1369,MATCH(419,Engine!$C$2:$C$1369,0)))</f>
        <v/>
      </c>
      <c r="K432" s="9">
        <f>IF(ISNA(MATCH(419,Engine!$C$2:$C$1369,0)),"",INDEX('Compliance Database'!$K$2:$K$1369,MATCH(419,Engine!$C$2:$C$1369,0)))</f>
        <v/>
      </c>
      <c r="L432" s="9">
        <f>IF(ISNA(MATCH(419,Engine!$C$2:$C$1369,0)),"",INDEX('Compliance Database'!$L$2:$L$1369,MATCH(419,Engine!$C$2:$C$1369,0)))</f>
        <v/>
      </c>
      <c r="M432" s="9">
        <f>IF(ISNA(MATCH(419,Engine!$C$2:$C$1369,0)),"",INDEX('Compliance Database'!$M$2:$M$1369,MATCH(419,Engine!$C$2:$C$1369,0)))</f>
        <v/>
      </c>
      <c r="N432" s="9">
        <f>IF(ISNA(MATCH(419,Engine!$C$2:$C$1369,0)),"",INDEX('Compliance Database'!$N$2:$N$1369,MATCH(419,Engine!$C$2:$C$1369,0)))</f>
        <v/>
      </c>
      <c r="O432" s="8">
        <f>IF(ISNA(MATCH(419,Engine!$C$2:$C$1369,0)),"",HYPERLINK(INDEX('Compliance Database'!$O$2:$O$1369,MATCH(419,Engine!$C$2:$C$1369,0)),"Open PDF"))</f>
        <v/>
      </c>
    </row>
    <row r="433" ht="188" customHeight="1">
      <c r="A433" s="8">
        <f>IF(ISNA(MATCH(420,Engine!$C$2:$C$1369,0)),"",INDEX('Compliance Database'!$A$2:$A$1369,MATCH(420,Engine!$C$2:$C$1369,0)))</f>
        <v/>
      </c>
      <c r="B433" s="8">
        <f>IF(ISNA(MATCH(420,Engine!$C$2:$C$1369,0)),"",INDEX('Compliance Database'!$B$2:$B$1369,MATCH(420,Engine!$C$2:$C$1369,0)))</f>
        <v/>
      </c>
      <c r="C433" s="8">
        <f>IF(ISNA(MATCH(420,Engine!$C$2:$C$1369,0)),"",INDEX('Compliance Database'!$C$2:$C$1369,MATCH(420,Engine!$C$2:$C$1369,0)))</f>
        <v/>
      </c>
      <c r="D433" s="9">
        <f>IF(ISNA(MATCH(420,Engine!$C$2:$C$1369,0)),"",INDEX('Compliance Database'!$D$2:$D$1369,MATCH(420,Engine!$C$2:$C$1369,0)))</f>
        <v/>
      </c>
      <c r="E433" s="8">
        <f>IF(ISNA(MATCH(420,Engine!$C$2:$C$1369,0)),"",INDEX('Compliance Database'!$E$2:$E$1369,MATCH(420,Engine!$C$2:$C$1369,0)))</f>
        <v/>
      </c>
      <c r="F433" s="8">
        <f>IF(ISNA(MATCH(420,Engine!$C$2:$C$1369,0)),"",INDEX('Compliance Database'!$F$2:$F$1369,MATCH(420,Engine!$C$2:$C$1369,0)))</f>
        <v/>
      </c>
      <c r="G433" s="8">
        <f>IF(ISNA(MATCH(420,Engine!$C$2:$C$1369,0)),"",INDEX('Compliance Database'!$G$2:$G$1369,MATCH(420,Engine!$C$2:$C$1369,0)))</f>
        <v/>
      </c>
      <c r="H433" s="9">
        <f>IF(ISNA(MATCH(420,Engine!$C$2:$C$1369,0)),"",INDEX('Compliance Database'!$H$2:$H$1369,MATCH(420,Engine!$C$2:$C$1369,0)))</f>
        <v/>
      </c>
      <c r="I433" s="9">
        <f>IF(ISNA(MATCH(420,Engine!$C$2:$C$1369,0)),"",INDEX('Compliance Database'!$I$2:$I$1369,MATCH(420,Engine!$C$2:$C$1369,0)))</f>
        <v/>
      </c>
      <c r="J433" s="8">
        <f>IF(ISNA(MATCH(420,Engine!$C$2:$C$1369,0)),"",INDEX('Compliance Database'!$J$2:$J$1369,MATCH(420,Engine!$C$2:$C$1369,0)))</f>
        <v/>
      </c>
      <c r="K433" s="9">
        <f>IF(ISNA(MATCH(420,Engine!$C$2:$C$1369,0)),"",INDEX('Compliance Database'!$K$2:$K$1369,MATCH(420,Engine!$C$2:$C$1369,0)))</f>
        <v/>
      </c>
      <c r="L433" s="9">
        <f>IF(ISNA(MATCH(420,Engine!$C$2:$C$1369,0)),"",INDEX('Compliance Database'!$L$2:$L$1369,MATCH(420,Engine!$C$2:$C$1369,0)))</f>
        <v/>
      </c>
      <c r="M433" s="9">
        <f>IF(ISNA(MATCH(420,Engine!$C$2:$C$1369,0)),"",INDEX('Compliance Database'!$M$2:$M$1369,MATCH(420,Engine!$C$2:$C$1369,0)))</f>
        <v/>
      </c>
      <c r="N433" s="9">
        <f>IF(ISNA(MATCH(420,Engine!$C$2:$C$1369,0)),"",INDEX('Compliance Database'!$N$2:$N$1369,MATCH(420,Engine!$C$2:$C$1369,0)))</f>
        <v/>
      </c>
      <c r="O433" s="8">
        <f>IF(ISNA(MATCH(420,Engine!$C$2:$C$1369,0)),"",HYPERLINK(INDEX('Compliance Database'!$O$2:$O$1369,MATCH(420,Engine!$C$2:$C$1369,0)),"Open PDF"))</f>
        <v/>
      </c>
    </row>
    <row r="434" ht="188" customHeight="1">
      <c r="A434" s="8">
        <f>IF(ISNA(MATCH(421,Engine!$C$2:$C$1369,0)),"",INDEX('Compliance Database'!$A$2:$A$1369,MATCH(421,Engine!$C$2:$C$1369,0)))</f>
        <v/>
      </c>
      <c r="B434" s="8">
        <f>IF(ISNA(MATCH(421,Engine!$C$2:$C$1369,0)),"",INDEX('Compliance Database'!$B$2:$B$1369,MATCH(421,Engine!$C$2:$C$1369,0)))</f>
        <v/>
      </c>
      <c r="C434" s="8">
        <f>IF(ISNA(MATCH(421,Engine!$C$2:$C$1369,0)),"",INDEX('Compliance Database'!$C$2:$C$1369,MATCH(421,Engine!$C$2:$C$1369,0)))</f>
        <v/>
      </c>
      <c r="D434" s="9">
        <f>IF(ISNA(MATCH(421,Engine!$C$2:$C$1369,0)),"",INDEX('Compliance Database'!$D$2:$D$1369,MATCH(421,Engine!$C$2:$C$1369,0)))</f>
        <v/>
      </c>
      <c r="E434" s="8">
        <f>IF(ISNA(MATCH(421,Engine!$C$2:$C$1369,0)),"",INDEX('Compliance Database'!$E$2:$E$1369,MATCH(421,Engine!$C$2:$C$1369,0)))</f>
        <v/>
      </c>
      <c r="F434" s="8">
        <f>IF(ISNA(MATCH(421,Engine!$C$2:$C$1369,0)),"",INDEX('Compliance Database'!$F$2:$F$1369,MATCH(421,Engine!$C$2:$C$1369,0)))</f>
        <v/>
      </c>
      <c r="G434" s="8">
        <f>IF(ISNA(MATCH(421,Engine!$C$2:$C$1369,0)),"",INDEX('Compliance Database'!$G$2:$G$1369,MATCH(421,Engine!$C$2:$C$1369,0)))</f>
        <v/>
      </c>
      <c r="H434" s="9">
        <f>IF(ISNA(MATCH(421,Engine!$C$2:$C$1369,0)),"",INDEX('Compliance Database'!$H$2:$H$1369,MATCH(421,Engine!$C$2:$C$1369,0)))</f>
        <v/>
      </c>
      <c r="I434" s="9">
        <f>IF(ISNA(MATCH(421,Engine!$C$2:$C$1369,0)),"",INDEX('Compliance Database'!$I$2:$I$1369,MATCH(421,Engine!$C$2:$C$1369,0)))</f>
        <v/>
      </c>
      <c r="J434" s="8">
        <f>IF(ISNA(MATCH(421,Engine!$C$2:$C$1369,0)),"",INDEX('Compliance Database'!$J$2:$J$1369,MATCH(421,Engine!$C$2:$C$1369,0)))</f>
        <v/>
      </c>
      <c r="K434" s="9">
        <f>IF(ISNA(MATCH(421,Engine!$C$2:$C$1369,0)),"",INDEX('Compliance Database'!$K$2:$K$1369,MATCH(421,Engine!$C$2:$C$1369,0)))</f>
        <v/>
      </c>
      <c r="L434" s="9">
        <f>IF(ISNA(MATCH(421,Engine!$C$2:$C$1369,0)),"",INDEX('Compliance Database'!$L$2:$L$1369,MATCH(421,Engine!$C$2:$C$1369,0)))</f>
        <v/>
      </c>
      <c r="M434" s="9">
        <f>IF(ISNA(MATCH(421,Engine!$C$2:$C$1369,0)),"",INDEX('Compliance Database'!$M$2:$M$1369,MATCH(421,Engine!$C$2:$C$1369,0)))</f>
        <v/>
      </c>
      <c r="N434" s="9">
        <f>IF(ISNA(MATCH(421,Engine!$C$2:$C$1369,0)),"",INDEX('Compliance Database'!$N$2:$N$1369,MATCH(421,Engine!$C$2:$C$1369,0)))</f>
        <v/>
      </c>
      <c r="O434" s="8">
        <f>IF(ISNA(MATCH(421,Engine!$C$2:$C$1369,0)),"",HYPERLINK(INDEX('Compliance Database'!$O$2:$O$1369,MATCH(421,Engine!$C$2:$C$1369,0)),"Open PDF"))</f>
        <v/>
      </c>
    </row>
    <row r="435" ht="188" customHeight="1">
      <c r="A435" s="8">
        <f>IF(ISNA(MATCH(422,Engine!$C$2:$C$1369,0)),"",INDEX('Compliance Database'!$A$2:$A$1369,MATCH(422,Engine!$C$2:$C$1369,0)))</f>
        <v/>
      </c>
      <c r="B435" s="8">
        <f>IF(ISNA(MATCH(422,Engine!$C$2:$C$1369,0)),"",INDEX('Compliance Database'!$B$2:$B$1369,MATCH(422,Engine!$C$2:$C$1369,0)))</f>
        <v/>
      </c>
      <c r="C435" s="8">
        <f>IF(ISNA(MATCH(422,Engine!$C$2:$C$1369,0)),"",INDEX('Compliance Database'!$C$2:$C$1369,MATCH(422,Engine!$C$2:$C$1369,0)))</f>
        <v/>
      </c>
      <c r="D435" s="9">
        <f>IF(ISNA(MATCH(422,Engine!$C$2:$C$1369,0)),"",INDEX('Compliance Database'!$D$2:$D$1369,MATCH(422,Engine!$C$2:$C$1369,0)))</f>
        <v/>
      </c>
      <c r="E435" s="8">
        <f>IF(ISNA(MATCH(422,Engine!$C$2:$C$1369,0)),"",INDEX('Compliance Database'!$E$2:$E$1369,MATCH(422,Engine!$C$2:$C$1369,0)))</f>
        <v/>
      </c>
      <c r="F435" s="8">
        <f>IF(ISNA(MATCH(422,Engine!$C$2:$C$1369,0)),"",INDEX('Compliance Database'!$F$2:$F$1369,MATCH(422,Engine!$C$2:$C$1369,0)))</f>
        <v/>
      </c>
      <c r="G435" s="8">
        <f>IF(ISNA(MATCH(422,Engine!$C$2:$C$1369,0)),"",INDEX('Compliance Database'!$G$2:$G$1369,MATCH(422,Engine!$C$2:$C$1369,0)))</f>
        <v/>
      </c>
      <c r="H435" s="9">
        <f>IF(ISNA(MATCH(422,Engine!$C$2:$C$1369,0)),"",INDEX('Compliance Database'!$H$2:$H$1369,MATCH(422,Engine!$C$2:$C$1369,0)))</f>
        <v/>
      </c>
      <c r="I435" s="9">
        <f>IF(ISNA(MATCH(422,Engine!$C$2:$C$1369,0)),"",INDEX('Compliance Database'!$I$2:$I$1369,MATCH(422,Engine!$C$2:$C$1369,0)))</f>
        <v/>
      </c>
      <c r="J435" s="8">
        <f>IF(ISNA(MATCH(422,Engine!$C$2:$C$1369,0)),"",INDEX('Compliance Database'!$J$2:$J$1369,MATCH(422,Engine!$C$2:$C$1369,0)))</f>
        <v/>
      </c>
      <c r="K435" s="9">
        <f>IF(ISNA(MATCH(422,Engine!$C$2:$C$1369,0)),"",INDEX('Compliance Database'!$K$2:$K$1369,MATCH(422,Engine!$C$2:$C$1369,0)))</f>
        <v/>
      </c>
      <c r="L435" s="9">
        <f>IF(ISNA(MATCH(422,Engine!$C$2:$C$1369,0)),"",INDEX('Compliance Database'!$L$2:$L$1369,MATCH(422,Engine!$C$2:$C$1369,0)))</f>
        <v/>
      </c>
      <c r="M435" s="9">
        <f>IF(ISNA(MATCH(422,Engine!$C$2:$C$1369,0)),"",INDEX('Compliance Database'!$M$2:$M$1369,MATCH(422,Engine!$C$2:$C$1369,0)))</f>
        <v/>
      </c>
      <c r="N435" s="9">
        <f>IF(ISNA(MATCH(422,Engine!$C$2:$C$1369,0)),"",INDEX('Compliance Database'!$N$2:$N$1369,MATCH(422,Engine!$C$2:$C$1369,0)))</f>
        <v/>
      </c>
      <c r="O435" s="8">
        <f>IF(ISNA(MATCH(422,Engine!$C$2:$C$1369,0)),"",HYPERLINK(INDEX('Compliance Database'!$O$2:$O$1369,MATCH(422,Engine!$C$2:$C$1369,0)),"Open PDF"))</f>
        <v/>
      </c>
    </row>
    <row r="436" ht="188" customHeight="1">
      <c r="A436" s="8">
        <f>IF(ISNA(MATCH(423,Engine!$C$2:$C$1369,0)),"",INDEX('Compliance Database'!$A$2:$A$1369,MATCH(423,Engine!$C$2:$C$1369,0)))</f>
        <v/>
      </c>
      <c r="B436" s="8">
        <f>IF(ISNA(MATCH(423,Engine!$C$2:$C$1369,0)),"",INDEX('Compliance Database'!$B$2:$B$1369,MATCH(423,Engine!$C$2:$C$1369,0)))</f>
        <v/>
      </c>
      <c r="C436" s="8">
        <f>IF(ISNA(MATCH(423,Engine!$C$2:$C$1369,0)),"",INDEX('Compliance Database'!$C$2:$C$1369,MATCH(423,Engine!$C$2:$C$1369,0)))</f>
        <v/>
      </c>
      <c r="D436" s="9">
        <f>IF(ISNA(MATCH(423,Engine!$C$2:$C$1369,0)),"",INDEX('Compliance Database'!$D$2:$D$1369,MATCH(423,Engine!$C$2:$C$1369,0)))</f>
        <v/>
      </c>
      <c r="E436" s="8">
        <f>IF(ISNA(MATCH(423,Engine!$C$2:$C$1369,0)),"",INDEX('Compliance Database'!$E$2:$E$1369,MATCH(423,Engine!$C$2:$C$1369,0)))</f>
        <v/>
      </c>
      <c r="F436" s="8">
        <f>IF(ISNA(MATCH(423,Engine!$C$2:$C$1369,0)),"",INDEX('Compliance Database'!$F$2:$F$1369,MATCH(423,Engine!$C$2:$C$1369,0)))</f>
        <v/>
      </c>
      <c r="G436" s="8">
        <f>IF(ISNA(MATCH(423,Engine!$C$2:$C$1369,0)),"",INDEX('Compliance Database'!$G$2:$G$1369,MATCH(423,Engine!$C$2:$C$1369,0)))</f>
        <v/>
      </c>
      <c r="H436" s="9">
        <f>IF(ISNA(MATCH(423,Engine!$C$2:$C$1369,0)),"",INDEX('Compliance Database'!$H$2:$H$1369,MATCH(423,Engine!$C$2:$C$1369,0)))</f>
        <v/>
      </c>
      <c r="I436" s="9">
        <f>IF(ISNA(MATCH(423,Engine!$C$2:$C$1369,0)),"",INDEX('Compliance Database'!$I$2:$I$1369,MATCH(423,Engine!$C$2:$C$1369,0)))</f>
        <v/>
      </c>
      <c r="J436" s="8">
        <f>IF(ISNA(MATCH(423,Engine!$C$2:$C$1369,0)),"",INDEX('Compliance Database'!$J$2:$J$1369,MATCH(423,Engine!$C$2:$C$1369,0)))</f>
        <v/>
      </c>
      <c r="K436" s="9">
        <f>IF(ISNA(MATCH(423,Engine!$C$2:$C$1369,0)),"",INDEX('Compliance Database'!$K$2:$K$1369,MATCH(423,Engine!$C$2:$C$1369,0)))</f>
        <v/>
      </c>
      <c r="L436" s="9">
        <f>IF(ISNA(MATCH(423,Engine!$C$2:$C$1369,0)),"",INDEX('Compliance Database'!$L$2:$L$1369,MATCH(423,Engine!$C$2:$C$1369,0)))</f>
        <v/>
      </c>
      <c r="M436" s="9">
        <f>IF(ISNA(MATCH(423,Engine!$C$2:$C$1369,0)),"",INDEX('Compliance Database'!$M$2:$M$1369,MATCH(423,Engine!$C$2:$C$1369,0)))</f>
        <v/>
      </c>
      <c r="N436" s="9">
        <f>IF(ISNA(MATCH(423,Engine!$C$2:$C$1369,0)),"",INDEX('Compliance Database'!$N$2:$N$1369,MATCH(423,Engine!$C$2:$C$1369,0)))</f>
        <v/>
      </c>
      <c r="O436" s="8">
        <f>IF(ISNA(MATCH(423,Engine!$C$2:$C$1369,0)),"",HYPERLINK(INDEX('Compliance Database'!$O$2:$O$1369,MATCH(423,Engine!$C$2:$C$1369,0)),"Open PDF"))</f>
        <v/>
      </c>
    </row>
    <row r="437" ht="188" customHeight="1">
      <c r="A437" s="8">
        <f>IF(ISNA(MATCH(424,Engine!$C$2:$C$1369,0)),"",INDEX('Compliance Database'!$A$2:$A$1369,MATCH(424,Engine!$C$2:$C$1369,0)))</f>
        <v/>
      </c>
      <c r="B437" s="8">
        <f>IF(ISNA(MATCH(424,Engine!$C$2:$C$1369,0)),"",INDEX('Compliance Database'!$B$2:$B$1369,MATCH(424,Engine!$C$2:$C$1369,0)))</f>
        <v/>
      </c>
      <c r="C437" s="8">
        <f>IF(ISNA(MATCH(424,Engine!$C$2:$C$1369,0)),"",INDEX('Compliance Database'!$C$2:$C$1369,MATCH(424,Engine!$C$2:$C$1369,0)))</f>
        <v/>
      </c>
      <c r="D437" s="9">
        <f>IF(ISNA(MATCH(424,Engine!$C$2:$C$1369,0)),"",INDEX('Compliance Database'!$D$2:$D$1369,MATCH(424,Engine!$C$2:$C$1369,0)))</f>
        <v/>
      </c>
      <c r="E437" s="8">
        <f>IF(ISNA(MATCH(424,Engine!$C$2:$C$1369,0)),"",INDEX('Compliance Database'!$E$2:$E$1369,MATCH(424,Engine!$C$2:$C$1369,0)))</f>
        <v/>
      </c>
      <c r="F437" s="8">
        <f>IF(ISNA(MATCH(424,Engine!$C$2:$C$1369,0)),"",INDEX('Compliance Database'!$F$2:$F$1369,MATCH(424,Engine!$C$2:$C$1369,0)))</f>
        <v/>
      </c>
      <c r="G437" s="8">
        <f>IF(ISNA(MATCH(424,Engine!$C$2:$C$1369,0)),"",INDEX('Compliance Database'!$G$2:$G$1369,MATCH(424,Engine!$C$2:$C$1369,0)))</f>
        <v/>
      </c>
      <c r="H437" s="9">
        <f>IF(ISNA(MATCH(424,Engine!$C$2:$C$1369,0)),"",INDEX('Compliance Database'!$H$2:$H$1369,MATCH(424,Engine!$C$2:$C$1369,0)))</f>
        <v/>
      </c>
      <c r="I437" s="9">
        <f>IF(ISNA(MATCH(424,Engine!$C$2:$C$1369,0)),"",INDEX('Compliance Database'!$I$2:$I$1369,MATCH(424,Engine!$C$2:$C$1369,0)))</f>
        <v/>
      </c>
      <c r="J437" s="8">
        <f>IF(ISNA(MATCH(424,Engine!$C$2:$C$1369,0)),"",INDEX('Compliance Database'!$J$2:$J$1369,MATCH(424,Engine!$C$2:$C$1369,0)))</f>
        <v/>
      </c>
      <c r="K437" s="9">
        <f>IF(ISNA(MATCH(424,Engine!$C$2:$C$1369,0)),"",INDEX('Compliance Database'!$K$2:$K$1369,MATCH(424,Engine!$C$2:$C$1369,0)))</f>
        <v/>
      </c>
      <c r="L437" s="9">
        <f>IF(ISNA(MATCH(424,Engine!$C$2:$C$1369,0)),"",INDEX('Compliance Database'!$L$2:$L$1369,MATCH(424,Engine!$C$2:$C$1369,0)))</f>
        <v/>
      </c>
      <c r="M437" s="9">
        <f>IF(ISNA(MATCH(424,Engine!$C$2:$C$1369,0)),"",INDEX('Compliance Database'!$M$2:$M$1369,MATCH(424,Engine!$C$2:$C$1369,0)))</f>
        <v/>
      </c>
      <c r="N437" s="9">
        <f>IF(ISNA(MATCH(424,Engine!$C$2:$C$1369,0)),"",INDEX('Compliance Database'!$N$2:$N$1369,MATCH(424,Engine!$C$2:$C$1369,0)))</f>
        <v/>
      </c>
      <c r="O437" s="8">
        <f>IF(ISNA(MATCH(424,Engine!$C$2:$C$1369,0)),"",HYPERLINK(INDEX('Compliance Database'!$O$2:$O$1369,MATCH(424,Engine!$C$2:$C$1369,0)),"Open PDF"))</f>
        <v/>
      </c>
    </row>
    <row r="438" ht="188" customHeight="1">
      <c r="A438" s="8">
        <f>IF(ISNA(MATCH(425,Engine!$C$2:$C$1369,0)),"",INDEX('Compliance Database'!$A$2:$A$1369,MATCH(425,Engine!$C$2:$C$1369,0)))</f>
        <v/>
      </c>
      <c r="B438" s="8">
        <f>IF(ISNA(MATCH(425,Engine!$C$2:$C$1369,0)),"",INDEX('Compliance Database'!$B$2:$B$1369,MATCH(425,Engine!$C$2:$C$1369,0)))</f>
        <v/>
      </c>
      <c r="C438" s="8">
        <f>IF(ISNA(MATCH(425,Engine!$C$2:$C$1369,0)),"",INDEX('Compliance Database'!$C$2:$C$1369,MATCH(425,Engine!$C$2:$C$1369,0)))</f>
        <v/>
      </c>
      <c r="D438" s="9">
        <f>IF(ISNA(MATCH(425,Engine!$C$2:$C$1369,0)),"",INDEX('Compliance Database'!$D$2:$D$1369,MATCH(425,Engine!$C$2:$C$1369,0)))</f>
        <v/>
      </c>
      <c r="E438" s="8">
        <f>IF(ISNA(MATCH(425,Engine!$C$2:$C$1369,0)),"",INDEX('Compliance Database'!$E$2:$E$1369,MATCH(425,Engine!$C$2:$C$1369,0)))</f>
        <v/>
      </c>
      <c r="F438" s="8">
        <f>IF(ISNA(MATCH(425,Engine!$C$2:$C$1369,0)),"",INDEX('Compliance Database'!$F$2:$F$1369,MATCH(425,Engine!$C$2:$C$1369,0)))</f>
        <v/>
      </c>
      <c r="G438" s="8">
        <f>IF(ISNA(MATCH(425,Engine!$C$2:$C$1369,0)),"",INDEX('Compliance Database'!$G$2:$G$1369,MATCH(425,Engine!$C$2:$C$1369,0)))</f>
        <v/>
      </c>
      <c r="H438" s="9">
        <f>IF(ISNA(MATCH(425,Engine!$C$2:$C$1369,0)),"",INDEX('Compliance Database'!$H$2:$H$1369,MATCH(425,Engine!$C$2:$C$1369,0)))</f>
        <v/>
      </c>
      <c r="I438" s="9">
        <f>IF(ISNA(MATCH(425,Engine!$C$2:$C$1369,0)),"",INDEX('Compliance Database'!$I$2:$I$1369,MATCH(425,Engine!$C$2:$C$1369,0)))</f>
        <v/>
      </c>
      <c r="J438" s="8">
        <f>IF(ISNA(MATCH(425,Engine!$C$2:$C$1369,0)),"",INDEX('Compliance Database'!$J$2:$J$1369,MATCH(425,Engine!$C$2:$C$1369,0)))</f>
        <v/>
      </c>
      <c r="K438" s="9">
        <f>IF(ISNA(MATCH(425,Engine!$C$2:$C$1369,0)),"",INDEX('Compliance Database'!$K$2:$K$1369,MATCH(425,Engine!$C$2:$C$1369,0)))</f>
        <v/>
      </c>
      <c r="L438" s="9">
        <f>IF(ISNA(MATCH(425,Engine!$C$2:$C$1369,0)),"",INDEX('Compliance Database'!$L$2:$L$1369,MATCH(425,Engine!$C$2:$C$1369,0)))</f>
        <v/>
      </c>
      <c r="M438" s="9">
        <f>IF(ISNA(MATCH(425,Engine!$C$2:$C$1369,0)),"",INDEX('Compliance Database'!$M$2:$M$1369,MATCH(425,Engine!$C$2:$C$1369,0)))</f>
        <v/>
      </c>
      <c r="N438" s="9">
        <f>IF(ISNA(MATCH(425,Engine!$C$2:$C$1369,0)),"",INDEX('Compliance Database'!$N$2:$N$1369,MATCH(425,Engine!$C$2:$C$1369,0)))</f>
        <v/>
      </c>
      <c r="O438" s="8">
        <f>IF(ISNA(MATCH(425,Engine!$C$2:$C$1369,0)),"",HYPERLINK(INDEX('Compliance Database'!$O$2:$O$1369,MATCH(425,Engine!$C$2:$C$1369,0)),"Open PDF"))</f>
        <v/>
      </c>
    </row>
    <row r="439" ht="188" customHeight="1">
      <c r="A439" s="8">
        <f>IF(ISNA(MATCH(426,Engine!$C$2:$C$1369,0)),"",INDEX('Compliance Database'!$A$2:$A$1369,MATCH(426,Engine!$C$2:$C$1369,0)))</f>
        <v/>
      </c>
      <c r="B439" s="8">
        <f>IF(ISNA(MATCH(426,Engine!$C$2:$C$1369,0)),"",INDEX('Compliance Database'!$B$2:$B$1369,MATCH(426,Engine!$C$2:$C$1369,0)))</f>
        <v/>
      </c>
      <c r="C439" s="8">
        <f>IF(ISNA(MATCH(426,Engine!$C$2:$C$1369,0)),"",INDEX('Compliance Database'!$C$2:$C$1369,MATCH(426,Engine!$C$2:$C$1369,0)))</f>
        <v/>
      </c>
      <c r="D439" s="9">
        <f>IF(ISNA(MATCH(426,Engine!$C$2:$C$1369,0)),"",INDEX('Compliance Database'!$D$2:$D$1369,MATCH(426,Engine!$C$2:$C$1369,0)))</f>
        <v/>
      </c>
      <c r="E439" s="8">
        <f>IF(ISNA(MATCH(426,Engine!$C$2:$C$1369,0)),"",INDEX('Compliance Database'!$E$2:$E$1369,MATCH(426,Engine!$C$2:$C$1369,0)))</f>
        <v/>
      </c>
      <c r="F439" s="8">
        <f>IF(ISNA(MATCH(426,Engine!$C$2:$C$1369,0)),"",INDEX('Compliance Database'!$F$2:$F$1369,MATCH(426,Engine!$C$2:$C$1369,0)))</f>
        <v/>
      </c>
      <c r="G439" s="8">
        <f>IF(ISNA(MATCH(426,Engine!$C$2:$C$1369,0)),"",INDEX('Compliance Database'!$G$2:$G$1369,MATCH(426,Engine!$C$2:$C$1369,0)))</f>
        <v/>
      </c>
      <c r="H439" s="9">
        <f>IF(ISNA(MATCH(426,Engine!$C$2:$C$1369,0)),"",INDEX('Compliance Database'!$H$2:$H$1369,MATCH(426,Engine!$C$2:$C$1369,0)))</f>
        <v/>
      </c>
      <c r="I439" s="9">
        <f>IF(ISNA(MATCH(426,Engine!$C$2:$C$1369,0)),"",INDEX('Compliance Database'!$I$2:$I$1369,MATCH(426,Engine!$C$2:$C$1369,0)))</f>
        <v/>
      </c>
      <c r="J439" s="8">
        <f>IF(ISNA(MATCH(426,Engine!$C$2:$C$1369,0)),"",INDEX('Compliance Database'!$J$2:$J$1369,MATCH(426,Engine!$C$2:$C$1369,0)))</f>
        <v/>
      </c>
      <c r="K439" s="9">
        <f>IF(ISNA(MATCH(426,Engine!$C$2:$C$1369,0)),"",INDEX('Compliance Database'!$K$2:$K$1369,MATCH(426,Engine!$C$2:$C$1369,0)))</f>
        <v/>
      </c>
      <c r="L439" s="9">
        <f>IF(ISNA(MATCH(426,Engine!$C$2:$C$1369,0)),"",INDEX('Compliance Database'!$L$2:$L$1369,MATCH(426,Engine!$C$2:$C$1369,0)))</f>
        <v/>
      </c>
      <c r="M439" s="9">
        <f>IF(ISNA(MATCH(426,Engine!$C$2:$C$1369,0)),"",INDEX('Compliance Database'!$M$2:$M$1369,MATCH(426,Engine!$C$2:$C$1369,0)))</f>
        <v/>
      </c>
      <c r="N439" s="9">
        <f>IF(ISNA(MATCH(426,Engine!$C$2:$C$1369,0)),"",INDEX('Compliance Database'!$N$2:$N$1369,MATCH(426,Engine!$C$2:$C$1369,0)))</f>
        <v/>
      </c>
      <c r="O439" s="8">
        <f>IF(ISNA(MATCH(426,Engine!$C$2:$C$1369,0)),"",HYPERLINK(INDEX('Compliance Database'!$O$2:$O$1369,MATCH(426,Engine!$C$2:$C$1369,0)),"Open PDF"))</f>
        <v/>
      </c>
    </row>
    <row r="440" ht="188" customHeight="1">
      <c r="A440" s="8">
        <f>IF(ISNA(MATCH(427,Engine!$C$2:$C$1369,0)),"",INDEX('Compliance Database'!$A$2:$A$1369,MATCH(427,Engine!$C$2:$C$1369,0)))</f>
        <v/>
      </c>
      <c r="B440" s="8">
        <f>IF(ISNA(MATCH(427,Engine!$C$2:$C$1369,0)),"",INDEX('Compliance Database'!$B$2:$B$1369,MATCH(427,Engine!$C$2:$C$1369,0)))</f>
        <v/>
      </c>
      <c r="C440" s="8">
        <f>IF(ISNA(MATCH(427,Engine!$C$2:$C$1369,0)),"",INDEX('Compliance Database'!$C$2:$C$1369,MATCH(427,Engine!$C$2:$C$1369,0)))</f>
        <v/>
      </c>
      <c r="D440" s="9">
        <f>IF(ISNA(MATCH(427,Engine!$C$2:$C$1369,0)),"",INDEX('Compliance Database'!$D$2:$D$1369,MATCH(427,Engine!$C$2:$C$1369,0)))</f>
        <v/>
      </c>
      <c r="E440" s="8">
        <f>IF(ISNA(MATCH(427,Engine!$C$2:$C$1369,0)),"",INDEX('Compliance Database'!$E$2:$E$1369,MATCH(427,Engine!$C$2:$C$1369,0)))</f>
        <v/>
      </c>
      <c r="F440" s="8">
        <f>IF(ISNA(MATCH(427,Engine!$C$2:$C$1369,0)),"",INDEX('Compliance Database'!$F$2:$F$1369,MATCH(427,Engine!$C$2:$C$1369,0)))</f>
        <v/>
      </c>
      <c r="G440" s="8">
        <f>IF(ISNA(MATCH(427,Engine!$C$2:$C$1369,0)),"",INDEX('Compliance Database'!$G$2:$G$1369,MATCH(427,Engine!$C$2:$C$1369,0)))</f>
        <v/>
      </c>
      <c r="H440" s="9">
        <f>IF(ISNA(MATCH(427,Engine!$C$2:$C$1369,0)),"",INDEX('Compliance Database'!$H$2:$H$1369,MATCH(427,Engine!$C$2:$C$1369,0)))</f>
        <v/>
      </c>
      <c r="I440" s="9">
        <f>IF(ISNA(MATCH(427,Engine!$C$2:$C$1369,0)),"",INDEX('Compliance Database'!$I$2:$I$1369,MATCH(427,Engine!$C$2:$C$1369,0)))</f>
        <v/>
      </c>
      <c r="J440" s="8">
        <f>IF(ISNA(MATCH(427,Engine!$C$2:$C$1369,0)),"",INDEX('Compliance Database'!$J$2:$J$1369,MATCH(427,Engine!$C$2:$C$1369,0)))</f>
        <v/>
      </c>
      <c r="K440" s="9">
        <f>IF(ISNA(MATCH(427,Engine!$C$2:$C$1369,0)),"",INDEX('Compliance Database'!$K$2:$K$1369,MATCH(427,Engine!$C$2:$C$1369,0)))</f>
        <v/>
      </c>
      <c r="L440" s="9">
        <f>IF(ISNA(MATCH(427,Engine!$C$2:$C$1369,0)),"",INDEX('Compliance Database'!$L$2:$L$1369,MATCH(427,Engine!$C$2:$C$1369,0)))</f>
        <v/>
      </c>
      <c r="M440" s="9">
        <f>IF(ISNA(MATCH(427,Engine!$C$2:$C$1369,0)),"",INDEX('Compliance Database'!$M$2:$M$1369,MATCH(427,Engine!$C$2:$C$1369,0)))</f>
        <v/>
      </c>
      <c r="N440" s="9">
        <f>IF(ISNA(MATCH(427,Engine!$C$2:$C$1369,0)),"",INDEX('Compliance Database'!$N$2:$N$1369,MATCH(427,Engine!$C$2:$C$1369,0)))</f>
        <v/>
      </c>
      <c r="O440" s="8">
        <f>IF(ISNA(MATCH(427,Engine!$C$2:$C$1369,0)),"",HYPERLINK(INDEX('Compliance Database'!$O$2:$O$1369,MATCH(427,Engine!$C$2:$C$1369,0)),"Open PDF"))</f>
        <v/>
      </c>
    </row>
    <row r="441" ht="188" customHeight="1">
      <c r="A441" s="8">
        <f>IF(ISNA(MATCH(428,Engine!$C$2:$C$1369,0)),"",INDEX('Compliance Database'!$A$2:$A$1369,MATCH(428,Engine!$C$2:$C$1369,0)))</f>
        <v/>
      </c>
      <c r="B441" s="8">
        <f>IF(ISNA(MATCH(428,Engine!$C$2:$C$1369,0)),"",INDEX('Compliance Database'!$B$2:$B$1369,MATCH(428,Engine!$C$2:$C$1369,0)))</f>
        <v/>
      </c>
      <c r="C441" s="8">
        <f>IF(ISNA(MATCH(428,Engine!$C$2:$C$1369,0)),"",INDEX('Compliance Database'!$C$2:$C$1369,MATCH(428,Engine!$C$2:$C$1369,0)))</f>
        <v/>
      </c>
      <c r="D441" s="9">
        <f>IF(ISNA(MATCH(428,Engine!$C$2:$C$1369,0)),"",INDEX('Compliance Database'!$D$2:$D$1369,MATCH(428,Engine!$C$2:$C$1369,0)))</f>
        <v/>
      </c>
      <c r="E441" s="8">
        <f>IF(ISNA(MATCH(428,Engine!$C$2:$C$1369,0)),"",INDEX('Compliance Database'!$E$2:$E$1369,MATCH(428,Engine!$C$2:$C$1369,0)))</f>
        <v/>
      </c>
      <c r="F441" s="8">
        <f>IF(ISNA(MATCH(428,Engine!$C$2:$C$1369,0)),"",INDEX('Compliance Database'!$F$2:$F$1369,MATCH(428,Engine!$C$2:$C$1369,0)))</f>
        <v/>
      </c>
      <c r="G441" s="8">
        <f>IF(ISNA(MATCH(428,Engine!$C$2:$C$1369,0)),"",INDEX('Compliance Database'!$G$2:$G$1369,MATCH(428,Engine!$C$2:$C$1369,0)))</f>
        <v/>
      </c>
      <c r="H441" s="9">
        <f>IF(ISNA(MATCH(428,Engine!$C$2:$C$1369,0)),"",INDEX('Compliance Database'!$H$2:$H$1369,MATCH(428,Engine!$C$2:$C$1369,0)))</f>
        <v/>
      </c>
      <c r="I441" s="9">
        <f>IF(ISNA(MATCH(428,Engine!$C$2:$C$1369,0)),"",INDEX('Compliance Database'!$I$2:$I$1369,MATCH(428,Engine!$C$2:$C$1369,0)))</f>
        <v/>
      </c>
      <c r="J441" s="8">
        <f>IF(ISNA(MATCH(428,Engine!$C$2:$C$1369,0)),"",INDEX('Compliance Database'!$J$2:$J$1369,MATCH(428,Engine!$C$2:$C$1369,0)))</f>
        <v/>
      </c>
      <c r="K441" s="9">
        <f>IF(ISNA(MATCH(428,Engine!$C$2:$C$1369,0)),"",INDEX('Compliance Database'!$K$2:$K$1369,MATCH(428,Engine!$C$2:$C$1369,0)))</f>
        <v/>
      </c>
      <c r="L441" s="9">
        <f>IF(ISNA(MATCH(428,Engine!$C$2:$C$1369,0)),"",INDEX('Compliance Database'!$L$2:$L$1369,MATCH(428,Engine!$C$2:$C$1369,0)))</f>
        <v/>
      </c>
      <c r="M441" s="9">
        <f>IF(ISNA(MATCH(428,Engine!$C$2:$C$1369,0)),"",INDEX('Compliance Database'!$M$2:$M$1369,MATCH(428,Engine!$C$2:$C$1369,0)))</f>
        <v/>
      </c>
      <c r="N441" s="9">
        <f>IF(ISNA(MATCH(428,Engine!$C$2:$C$1369,0)),"",INDEX('Compliance Database'!$N$2:$N$1369,MATCH(428,Engine!$C$2:$C$1369,0)))</f>
        <v/>
      </c>
      <c r="O441" s="8">
        <f>IF(ISNA(MATCH(428,Engine!$C$2:$C$1369,0)),"",HYPERLINK(INDEX('Compliance Database'!$O$2:$O$1369,MATCH(428,Engine!$C$2:$C$1369,0)),"Open PDF"))</f>
        <v/>
      </c>
    </row>
    <row r="442" ht="188" customHeight="1">
      <c r="A442" s="8">
        <f>IF(ISNA(MATCH(429,Engine!$C$2:$C$1369,0)),"",INDEX('Compliance Database'!$A$2:$A$1369,MATCH(429,Engine!$C$2:$C$1369,0)))</f>
        <v/>
      </c>
      <c r="B442" s="8">
        <f>IF(ISNA(MATCH(429,Engine!$C$2:$C$1369,0)),"",INDEX('Compliance Database'!$B$2:$B$1369,MATCH(429,Engine!$C$2:$C$1369,0)))</f>
        <v/>
      </c>
      <c r="C442" s="8">
        <f>IF(ISNA(MATCH(429,Engine!$C$2:$C$1369,0)),"",INDEX('Compliance Database'!$C$2:$C$1369,MATCH(429,Engine!$C$2:$C$1369,0)))</f>
        <v/>
      </c>
      <c r="D442" s="9">
        <f>IF(ISNA(MATCH(429,Engine!$C$2:$C$1369,0)),"",INDEX('Compliance Database'!$D$2:$D$1369,MATCH(429,Engine!$C$2:$C$1369,0)))</f>
        <v/>
      </c>
      <c r="E442" s="8">
        <f>IF(ISNA(MATCH(429,Engine!$C$2:$C$1369,0)),"",INDEX('Compliance Database'!$E$2:$E$1369,MATCH(429,Engine!$C$2:$C$1369,0)))</f>
        <v/>
      </c>
      <c r="F442" s="8">
        <f>IF(ISNA(MATCH(429,Engine!$C$2:$C$1369,0)),"",INDEX('Compliance Database'!$F$2:$F$1369,MATCH(429,Engine!$C$2:$C$1369,0)))</f>
        <v/>
      </c>
      <c r="G442" s="8">
        <f>IF(ISNA(MATCH(429,Engine!$C$2:$C$1369,0)),"",INDEX('Compliance Database'!$G$2:$G$1369,MATCH(429,Engine!$C$2:$C$1369,0)))</f>
        <v/>
      </c>
      <c r="H442" s="9">
        <f>IF(ISNA(MATCH(429,Engine!$C$2:$C$1369,0)),"",INDEX('Compliance Database'!$H$2:$H$1369,MATCH(429,Engine!$C$2:$C$1369,0)))</f>
        <v/>
      </c>
      <c r="I442" s="9">
        <f>IF(ISNA(MATCH(429,Engine!$C$2:$C$1369,0)),"",INDEX('Compliance Database'!$I$2:$I$1369,MATCH(429,Engine!$C$2:$C$1369,0)))</f>
        <v/>
      </c>
      <c r="J442" s="8">
        <f>IF(ISNA(MATCH(429,Engine!$C$2:$C$1369,0)),"",INDEX('Compliance Database'!$J$2:$J$1369,MATCH(429,Engine!$C$2:$C$1369,0)))</f>
        <v/>
      </c>
      <c r="K442" s="9">
        <f>IF(ISNA(MATCH(429,Engine!$C$2:$C$1369,0)),"",INDEX('Compliance Database'!$K$2:$K$1369,MATCH(429,Engine!$C$2:$C$1369,0)))</f>
        <v/>
      </c>
      <c r="L442" s="9">
        <f>IF(ISNA(MATCH(429,Engine!$C$2:$C$1369,0)),"",INDEX('Compliance Database'!$L$2:$L$1369,MATCH(429,Engine!$C$2:$C$1369,0)))</f>
        <v/>
      </c>
      <c r="M442" s="9">
        <f>IF(ISNA(MATCH(429,Engine!$C$2:$C$1369,0)),"",INDEX('Compliance Database'!$M$2:$M$1369,MATCH(429,Engine!$C$2:$C$1369,0)))</f>
        <v/>
      </c>
      <c r="N442" s="9">
        <f>IF(ISNA(MATCH(429,Engine!$C$2:$C$1369,0)),"",INDEX('Compliance Database'!$N$2:$N$1369,MATCH(429,Engine!$C$2:$C$1369,0)))</f>
        <v/>
      </c>
      <c r="O442" s="8">
        <f>IF(ISNA(MATCH(429,Engine!$C$2:$C$1369,0)),"",HYPERLINK(INDEX('Compliance Database'!$O$2:$O$1369,MATCH(429,Engine!$C$2:$C$1369,0)),"Open PDF"))</f>
        <v/>
      </c>
    </row>
    <row r="443" ht="188" customHeight="1">
      <c r="A443" s="8">
        <f>IF(ISNA(MATCH(430,Engine!$C$2:$C$1369,0)),"",INDEX('Compliance Database'!$A$2:$A$1369,MATCH(430,Engine!$C$2:$C$1369,0)))</f>
        <v/>
      </c>
      <c r="B443" s="8">
        <f>IF(ISNA(MATCH(430,Engine!$C$2:$C$1369,0)),"",INDEX('Compliance Database'!$B$2:$B$1369,MATCH(430,Engine!$C$2:$C$1369,0)))</f>
        <v/>
      </c>
      <c r="C443" s="8">
        <f>IF(ISNA(MATCH(430,Engine!$C$2:$C$1369,0)),"",INDEX('Compliance Database'!$C$2:$C$1369,MATCH(430,Engine!$C$2:$C$1369,0)))</f>
        <v/>
      </c>
      <c r="D443" s="9">
        <f>IF(ISNA(MATCH(430,Engine!$C$2:$C$1369,0)),"",INDEX('Compliance Database'!$D$2:$D$1369,MATCH(430,Engine!$C$2:$C$1369,0)))</f>
        <v/>
      </c>
      <c r="E443" s="8">
        <f>IF(ISNA(MATCH(430,Engine!$C$2:$C$1369,0)),"",INDEX('Compliance Database'!$E$2:$E$1369,MATCH(430,Engine!$C$2:$C$1369,0)))</f>
        <v/>
      </c>
      <c r="F443" s="8">
        <f>IF(ISNA(MATCH(430,Engine!$C$2:$C$1369,0)),"",INDEX('Compliance Database'!$F$2:$F$1369,MATCH(430,Engine!$C$2:$C$1369,0)))</f>
        <v/>
      </c>
      <c r="G443" s="8">
        <f>IF(ISNA(MATCH(430,Engine!$C$2:$C$1369,0)),"",INDEX('Compliance Database'!$G$2:$G$1369,MATCH(430,Engine!$C$2:$C$1369,0)))</f>
        <v/>
      </c>
      <c r="H443" s="9">
        <f>IF(ISNA(MATCH(430,Engine!$C$2:$C$1369,0)),"",INDEX('Compliance Database'!$H$2:$H$1369,MATCH(430,Engine!$C$2:$C$1369,0)))</f>
        <v/>
      </c>
      <c r="I443" s="9">
        <f>IF(ISNA(MATCH(430,Engine!$C$2:$C$1369,0)),"",INDEX('Compliance Database'!$I$2:$I$1369,MATCH(430,Engine!$C$2:$C$1369,0)))</f>
        <v/>
      </c>
      <c r="J443" s="8">
        <f>IF(ISNA(MATCH(430,Engine!$C$2:$C$1369,0)),"",INDEX('Compliance Database'!$J$2:$J$1369,MATCH(430,Engine!$C$2:$C$1369,0)))</f>
        <v/>
      </c>
      <c r="K443" s="9">
        <f>IF(ISNA(MATCH(430,Engine!$C$2:$C$1369,0)),"",INDEX('Compliance Database'!$K$2:$K$1369,MATCH(430,Engine!$C$2:$C$1369,0)))</f>
        <v/>
      </c>
      <c r="L443" s="9">
        <f>IF(ISNA(MATCH(430,Engine!$C$2:$C$1369,0)),"",INDEX('Compliance Database'!$L$2:$L$1369,MATCH(430,Engine!$C$2:$C$1369,0)))</f>
        <v/>
      </c>
      <c r="M443" s="9">
        <f>IF(ISNA(MATCH(430,Engine!$C$2:$C$1369,0)),"",INDEX('Compliance Database'!$M$2:$M$1369,MATCH(430,Engine!$C$2:$C$1369,0)))</f>
        <v/>
      </c>
      <c r="N443" s="9">
        <f>IF(ISNA(MATCH(430,Engine!$C$2:$C$1369,0)),"",INDEX('Compliance Database'!$N$2:$N$1369,MATCH(430,Engine!$C$2:$C$1369,0)))</f>
        <v/>
      </c>
      <c r="O443" s="8">
        <f>IF(ISNA(MATCH(430,Engine!$C$2:$C$1369,0)),"",HYPERLINK(INDEX('Compliance Database'!$O$2:$O$1369,MATCH(430,Engine!$C$2:$C$1369,0)),"Open PDF"))</f>
        <v/>
      </c>
    </row>
    <row r="444" ht="188" customHeight="1">
      <c r="A444" s="8">
        <f>IF(ISNA(MATCH(431,Engine!$C$2:$C$1369,0)),"",INDEX('Compliance Database'!$A$2:$A$1369,MATCH(431,Engine!$C$2:$C$1369,0)))</f>
        <v/>
      </c>
      <c r="B444" s="8">
        <f>IF(ISNA(MATCH(431,Engine!$C$2:$C$1369,0)),"",INDEX('Compliance Database'!$B$2:$B$1369,MATCH(431,Engine!$C$2:$C$1369,0)))</f>
        <v/>
      </c>
      <c r="C444" s="8">
        <f>IF(ISNA(MATCH(431,Engine!$C$2:$C$1369,0)),"",INDEX('Compliance Database'!$C$2:$C$1369,MATCH(431,Engine!$C$2:$C$1369,0)))</f>
        <v/>
      </c>
      <c r="D444" s="9">
        <f>IF(ISNA(MATCH(431,Engine!$C$2:$C$1369,0)),"",INDEX('Compliance Database'!$D$2:$D$1369,MATCH(431,Engine!$C$2:$C$1369,0)))</f>
        <v/>
      </c>
      <c r="E444" s="8">
        <f>IF(ISNA(MATCH(431,Engine!$C$2:$C$1369,0)),"",INDEX('Compliance Database'!$E$2:$E$1369,MATCH(431,Engine!$C$2:$C$1369,0)))</f>
        <v/>
      </c>
      <c r="F444" s="8">
        <f>IF(ISNA(MATCH(431,Engine!$C$2:$C$1369,0)),"",INDEX('Compliance Database'!$F$2:$F$1369,MATCH(431,Engine!$C$2:$C$1369,0)))</f>
        <v/>
      </c>
      <c r="G444" s="8">
        <f>IF(ISNA(MATCH(431,Engine!$C$2:$C$1369,0)),"",INDEX('Compliance Database'!$G$2:$G$1369,MATCH(431,Engine!$C$2:$C$1369,0)))</f>
        <v/>
      </c>
      <c r="H444" s="9">
        <f>IF(ISNA(MATCH(431,Engine!$C$2:$C$1369,0)),"",INDEX('Compliance Database'!$H$2:$H$1369,MATCH(431,Engine!$C$2:$C$1369,0)))</f>
        <v/>
      </c>
      <c r="I444" s="9">
        <f>IF(ISNA(MATCH(431,Engine!$C$2:$C$1369,0)),"",INDEX('Compliance Database'!$I$2:$I$1369,MATCH(431,Engine!$C$2:$C$1369,0)))</f>
        <v/>
      </c>
      <c r="J444" s="8">
        <f>IF(ISNA(MATCH(431,Engine!$C$2:$C$1369,0)),"",INDEX('Compliance Database'!$J$2:$J$1369,MATCH(431,Engine!$C$2:$C$1369,0)))</f>
        <v/>
      </c>
      <c r="K444" s="9">
        <f>IF(ISNA(MATCH(431,Engine!$C$2:$C$1369,0)),"",INDEX('Compliance Database'!$K$2:$K$1369,MATCH(431,Engine!$C$2:$C$1369,0)))</f>
        <v/>
      </c>
      <c r="L444" s="9">
        <f>IF(ISNA(MATCH(431,Engine!$C$2:$C$1369,0)),"",INDEX('Compliance Database'!$L$2:$L$1369,MATCH(431,Engine!$C$2:$C$1369,0)))</f>
        <v/>
      </c>
      <c r="M444" s="9">
        <f>IF(ISNA(MATCH(431,Engine!$C$2:$C$1369,0)),"",INDEX('Compliance Database'!$M$2:$M$1369,MATCH(431,Engine!$C$2:$C$1369,0)))</f>
        <v/>
      </c>
      <c r="N444" s="9">
        <f>IF(ISNA(MATCH(431,Engine!$C$2:$C$1369,0)),"",INDEX('Compliance Database'!$N$2:$N$1369,MATCH(431,Engine!$C$2:$C$1369,0)))</f>
        <v/>
      </c>
      <c r="O444" s="8">
        <f>IF(ISNA(MATCH(431,Engine!$C$2:$C$1369,0)),"",HYPERLINK(INDEX('Compliance Database'!$O$2:$O$1369,MATCH(431,Engine!$C$2:$C$1369,0)),"Open PDF"))</f>
        <v/>
      </c>
    </row>
    <row r="445" ht="188" customHeight="1">
      <c r="A445" s="8">
        <f>IF(ISNA(MATCH(432,Engine!$C$2:$C$1369,0)),"",INDEX('Compliance Database'!$A$2:$A$1369,MATCH(432,Engine!$C$2:$C$1369,0)))</f>
        <v/>
      </c>
      <c r="B445" s="8">
        <f>IF(ISNA(MATCH(432,Engine!$C$2:$C$1369,0)),"",INDEX('Compliance Database'!$B$2:$B$1369,MATCH(432,Engine!$C$2:$C$1369,0)))</f>
        <v/>
      </c>
      <c r="C445" s="8">
        <f>IF(ISNA(MATCH(432,Engine!$C$2:$C$1369,0)),"",INDEX('Compliance Database'!$C$2:$C$1369,MATCH(432,Engine!$C$2:$C$1369,0)))</f>
        <v/>
      </c>
      <c r="D445" s="9">
        <f>IF(ISNA(MATCH(432,Engine!$C$2:$C$1369,0)),"",INDEX('Compliance Database'!$D$2:$D$1369,MATCH(432,Engine!$C$2:$C$1369,0)))</f>
        <v/>
      </c>
      <c r="E445" s="8">
        <f>IF(ISNA(MATCH(432,Engine!$C$2:$C$1369,0)),"",INDEX('Compliance Database'!$E$2:$E$1369,MATCH(432,Engine!$C$2:$C$1369,0)))</f>
        <v/>
      </c>
      <c r="F445" s="8">
        <f>IF(ISNA(MATCH(432,Engine!$C$2:$C$1369,0)),"",INDEX('Compliance Database'!$F$2:$F$1369,MATCH(432,Engine!$C$2:$C$1369,0)))</f>
        <v/>
      </c>
      <c r="G445" s="8">
        <f>IF(ISNA(MATCH(432,Engine!$C$2:$C$1369,0)),"",INDEX('Compliance Database'!$G$2:$G$1369,MATCH(432,Engine!$C$2:$C$1369,0)))</f>
        <v/>
      </c>
      <c r="H445" s="9">
        <f>IF(ISNA(MATCH(432,Engine!$C$2:$C$1369,0)),"",INDEX('Compliance Database'!$H$2:$H$1369,MATCH(432,Engine!$C$2:$C$1369,0)))</f>
        <v/>
      </c>
      <c r="I445" s="9">
        <f>IF(ISNA(MATCH(432,Engine!$C$2:$C$1369,0)),"",INDEX('Compliance Database'!$I$2:$I$1369,MATCH(432,Engine!$C$2:$C$1369,0)))</f>
        <v/>
      </c>
      <c r="J445" s="8">
        <f>IF(ISNA(MATCH(432,Engine!$C$2:$C$1369,0)),"",INDEX('Compliance Database'!$J$2:$J$1369,MATCH(432,Engine!$C$2:$C$1369,0)))</f>
        <v/>
      </c>
      <c r="K445" s="9">
        <f>IF(ISNA(MATCH(432,Engine!$C$2:$C$1369,0)),"",INDEX('Compliance Database'!$K$2:$K$1369,MATCH(432,Engine!$C$2:$C$1369,0)))</f>
        <v/>
      </c>
      <c r="L445" s="9">
        <f>IF(ISNA(MATCH(432,Engine!$C$2:$C$1369,0)),"",INDEX('Compliance Database'!$L$2:$L$1369,MATCH(432,Engine!$C$2:$C$1369,0)))</f>
        <v/>
      </c>
      <c r="M445" s="9">
        <f>IF(ISNA(MATCH(432,Engine!$C$2:$C$1369,0)),"",INDEX('Compliance Database'!$M$2:$M$1369,MATCH(432,Engine!$C$2:$C$1369,0)))</f>
        <v/>
      </c>
      <c r="N445" s="9">
        <f>IF(ISNA(MATCH(432,Engine!$C$2:$C$1369,0)),"",INDEX('Compliance Database'!$N$2:$N$1369,MATCH(432,Engine!$C$2:$C$1369,0)))</f>
        <v/>
      </c>
      <c r="O445" s="8">
        <f>IF(ISNA(MATCH(432,Engine!$C$2:$C$1369,0)),"",HYPERLINK(INDEX('Compliance Database'!$O$2:$O$1369,MATCH(432,Engine!$C$2:$C$1369,0)),"Open PDF"))</f>
        <v/>
      </c>
    </row>
    <row r="446" ht="188" customHeight="1">
      <c r="A446" s="8">
        <f>IF(ISNA(MATCH(433,Engine!$C$2:$C$1369,0)),"",INDEX('Compliance Database'!$A$2:$A$1369,MATCH(433,Engine!$C$2:$C$1369,0)))</f>
        <v/>
      </c>
      <c r="B446" s="8">
        <f>IF(ISNA(MATCH(433,Engine!$C$2:$C$1369,0)),"",INDEX('Compliance Database'!$B$2:$B$1369,MATCH(433,Engine!$C$2:$C$1369,0)))</f>
        <v/>
      </c>
      <c r="C446" s="8">
        <f>IF(ISNA(MATCH(433,Engine!$C$2:$C$1369,0)),"",INDEX('Compliance Database'!$C$2:$C$1369,MATCH(433,Engine!$C$2:$C$1369,0)))</f>
        <v/>
      </c>
      <c r="D446" s="9">
        <f>IF(ISNA(MATCH(433,Engine!$C$2:$C$1369,0)),"",INDEX('Compliance Database'!$D$2:$D$1369,MATCH(433,Engine!$C$2:$C$1369,0)))</f>
        <v/>
      </c>
      <c r="E446" s="8">
        <f>IF(ISNA(MATCH(433,Engine!$C$2:$C$1369,0)),"",INDEX('Compliance Database'!$E$2:$E$1369,MATCH(433,Engine!$C$2:$C$1369,0)))</f>
        <v/>
      </c>
      <c r="F446" s="8">
        <f>IF(ISNA(MATCH(433,Engine!$C$2:$C$1369,0)),"",INDEX('Compliance Database'!$F$2:$F$1369,MATCH(433,Engine!$C$2:$C$1369,0)))</f>
        <v/>
      </c>
      <c r="G446" s="8">
        <f>IF(ISNA(MATCH(433,Engine!$C$2:$C$1369,0)),"",INDEX('Compliance Database'!$G$2:$G$1369,MATCH(433,Engine!$C$2:$C$1369,0)))</f>
        <v/>
      </c>
      <c r="H446" s="9">
        <f>IF(ISNA(MATCH(433,Engine!$C$2:$C$1369,0)),"",INDEX('Compliance Database'!$H$2:$H$1369,MATCH(433,Engine!$C$2:$C$1369,0)))</f>
        <v/>
      </c>
      <c r="I446" s="9">
        <f>IF(ISNA(MATCH(433,Engine!$C$2:$C$1369,0)),"",INDEX('Compliance Database'!$I$2:$I$1369,MATCH(433,Engine!$C$2:$C$1369,0)))</f>
        <v/>
      </c>
      <c r="J446" s="8">
        <f>IF(ISNA(MATCH(433,Engine!$C$2:$C$1369,0)),"",INDEX('Compliance Database'!$J$2:$J$1369,MATCH(433,Engine!$C$2:$C$1369,0)))</f>
        <v/>
      </c>
      <c r="K446" s="9">
        <f>IF(ISNA(MATCH(433,Engine!$C$2:$C$1369,0)),"",INDEX('Compliance Database'!$K$2:$K$1369,MATCH(433,Engine!$C$2:$C$1369,0)))</f>
        <v/>
      </c>
      <c r="L446" s="9">
        <f>IF(ISNA(MATCH(433,Engine!$C$2:$C$1369,0)),"",INDEX('Compliance Database'!$L$2:$L$1369,MATCH(433,Engine!$C$2:$C$1369,0)))</f>
        <v/>
      </c>
      <c r="M446" s="9">
        <f>IF(ISNA(MATCH(433,Engine!$C$2:$C$1369,0)),"",INDEX('Compliance Database'!$M$2:$M$1369,MATCH(433,Engine!$C$2:$C$1369,0)))</f>
        <v/>
      </c>
      <c r="N446" s="9">
        <f>IF(ISNA(MATCH(433,Engine!$C$2:$C$1369,0)),"",INDEX('Compliance Database'!$N$2:$N$1369,MATCH(433,Engine!$C$2:$C$1369,0)))</f>
        <v/>
      </c>
      <c r="O446" s="8">
        <f>IF(ISNA(MATCH(433,Engine!$C$2:$C$1369,0)),"",HYPERLINK(INDEX('Compliance Database'!$O$2:$O$1369,MATCH(433,Engine!$C$2:$C$1369,0)),"Open PDF"))</f>
        <v/>
      </c>
    </row>
    <row r="447" ht="188" customHeight="1">
      <c r="A447" s="8">
        <f>IF(ISNA(MATCH(434,Engine!$C$2:$C$1369,0)),"",INDEX('Compliance Database'!$A$2:$A$1369,MATCH(434,Engine!$C$2:$C$1369,0)))</f>
        <v/>
      </c>
      <c r="B447" s="8">
        <f>IF(ISNA(MATCH(434,Engine!$C$2:$C$1369,0)),"",INDEX('Compliance Database'!$B$2:$B$1369,MATCH(434,Engine!$C$2:$C$1369,0)))</f>
        <v/>
      </c>
      <c r="C447" s="8">
        <f>IF(ISNA(MATCH(434,Engine!$C$2:$C$1369,0)),"",INDEX('Compliance Database'!$C$2:$C$1369,MATCH(434,Engine!$C$2:$C$1369,0)))</f>
        <v/>
      </c>
      <c r="D447" s="9">
        <f>IF(ISNA(MATCH(434,Engine!$C$2:$C$1369,0)),"",INDEX('Compliance Database'!$D$2:$D$1369,MATCH(434,Engine!$C$2:$C$1369,0)))</f>
        <v/>
      </c>
      <c r="E447" s="8">
        <f>IF(ISNA(MATCH(434,Engine!$C$2:$C$1369,0)),"",INDEX('Compliance Database'!$E$2:$E$1369,MATCH(434,Engine!$C$2:$C$1369,0)))</f>
        <v/>
      </c>
      <c r="F447" s="8">
        <f>IF(ISNA(MATCH(434,Engine!$C$2:$C$1369,0)),"",INDEX('Compliance Database'!$F$2:$F$1369,MATCH(434,Engine!$C$2:$C$1369,0)))</f>
        <v/>
      </c>
      <c r="G447" s="8">
        <f>IF(ISNA(MATCH(434,Engine!$C$2:$C$1369,0)),"",INDEX('Compliance Database'!$G$2:$G$1369,MATCH(434,Engine!$C$2:$C$1369,0)))</f>
        <v/>
      </c>
      <c r="H447" s="9">
        <f>IF(ISNA(MATCH(434,Engine!$C$2:$C$1369,0)),"",INDEX('Compliance Database'!$H$2:$H$1369,MATCH(434,Engine!$C$2:$C$1369,0)))</f>
        <v/>
      </c>
      <c r="I447" s="9">
        <f>IF(ISNA(MATCH(434,Engine!$C$2:$C$1369,0)),"",INDEX('Compliance Database'!$I$2:$I$1369,MATCH(434,Engine!$C$2:$C$1369,0)))</f>
        <v/>
      </c>
      <c r="J447" s="8">
        <f>IF(ISNA(MATCH(434,Engine!$C$2:$C$1369,0)),"",INDEX('Compliance Database'!$J$2:$J$1369,MATCH(434,Engine!$C$2:$C$1369,0)))</f>
        <v/>
      </c>
      <c r="K447" s="9">
        <f>IF(ISNA(MATCH(434,Engine!$C$2:$C$1369,0)),"",INDEX('Compliance Database'!$K$2:$K$1369,MATCH(434,Engine!$C$2:$C$1369,0)))</f>
        <v/>
      </c>
      <c r="L447" s="9">
        <f>IF(ISNA(MATCH(434,Engine!$C$2:$C$1369,0)),"",INDEX('Compliance Database'!$L$2:$L$1369,MATCH(434,Engine!$C$2:$C$1369,0)))</f>
        <v/>
      </c>
      <c r="M447" s="9">
        <f>IF(ISNA(MATCH(434,Engine!$C$2:$C$1369,0)),"",INDEX('Compliance Database'!$M$2:$M$1369,MATCH(434,Engine!$C$2:$C$1369,0)))</f>
        <v/>
      </c>
      <c r="N447" s="9">
        <f>IF(ISNA(MATCH(434,Engine!$C$2:$C$1369,0)),"",INDEX('Compliance Database'!$N$2:$N$1369,MATCH(434,Engine!$C$2:$C$1369,0)))</f>
        <v/>
      </c>
      <c r="O447" s="8">
        <f>IF(ISNA(MATCH(434,Engine!$C$2:$C$1369,0)),"",HYPERLINK(INDEX('Compliance Database'!$O$2:$O$1369,MATCH(434,Engine!$C$2:$C$1369,0)),"Open PDF"))</f>
        <v/>
      </c>
    </row>
    <row r="448" ht="188" customHeight="1">
      <c r="A448" s="8">
        <f>IF(ISNA(MATCH(435,Engine!$C$2:$C$1369,0)),"",INDEX('Compliance Database'!$A$2:$A$1369,MATCH(435,Engine!$C$2:$C$1369,0)))</f>
        <v/>
      </c>
      <c r="B448" s="8">
        <f>IF(ISNA(MATCH(435,Engine!$C$2:$C$1369,0)),"",INDEX('Compliance Database'!$B$2:$B$1369,MATCH(435,Engine!$C$2:$C$1369,0)))</f>
        <v/>
      </c>
      <c r="C448" s="8">
        <f>IF(ISNA(MATCH(435,Engine!$C$2:$C$1369,0)),"",INDEX('Compliance Database'!$C$2:$C$1369,MATCH(435,Engine!$C$2:$C$1369,0)))</f>
        <v/>
      </c>
      <c r="D448" s="9">
        <f>IF(ISNA(MATCH(435,Engine!$C$2:$C$1369,0)),"",INDEX('Compliance Database'!$D$2:$D$1369,MATCH(435,Engine!$C$2:$C$1369,0)))</f>
        <v/>
      </c>
      <c r="E448" s="8">
        <f>IF(ISNA(MATCH(435,Engine!$C$2:$C$1369,0)),"",INDEX('Compliance Database'!$E$2:$E$1369,MATCH(435,Engine!$C$2:$C$1369,0)))</f>
        <v/>
      </c>
      <c r="F448" s="8">
        <f>IF(ISNA(MATCH(435,Engine!$C$2:$C$1369,0)),"",INDEX('Compliance Database'!$F$2:$F$1369,MATCH(435,Engine!$C$2:$C$1369,0)))</f>
        <v/>
      </c>
      <c r="G448" s="8">
        <f>IF(ISNA(MATCH(435,Engine!$C$2:$C$1369,0)),"",INDEX('Compliance Database'!$G$2:$G$1369,MATCH(435,Engine!$C$2:$C$1369,0)))</f>
        <v/>
      </c>
      <c r="H448" s="9">
        <f>IF(ISNA(MATCH(435,Engine!$C$2:$C$1369,0)),"",INDEX('Compliance Database'!$H$2:$H$1369,MATCH(435,Engine!$C$2:$C$1369,0)))</f>
        <v/>
      </c>
      <c r="I448" s="9">
        <f>IF(ISNA(MATCH(435,Engine!$C$2:$C$1369,0)),"",INDEX('Compliance Database'!$I$2:$I$1369,MATCH(435,Engine!$C$2:$C$1369,0)))</f>
        <v/>
      </c>
      <c r="J448" s="8">
        <f>IF(ISNA(MATCH(435,Engine!$C$2:$C$1369,0)),"",INDEX('Compliance Database'!$J$2:$J$1369,MATCH(435,Engine!$C$2:$C$1369,0)))</f>
        <v/>
      </c>
      <c r="K448" s="9">
        <f>IF(ISNA(MATCH(435,Engine!$C$2:$C$1369,0)),"",INDEX('Compliance Database'!$K$2:$K$1369,MATCH(435,Engine!$C$2:$C$1369,0)))</f>
        <v/>
      </c>
      <c r="L448" s="9">
        <f>IF(ISNA(MATCH(435,Engine!$C$2:$C$1369,0)),"",INDEX('Compliance Database'!$L$2:$L$1369,MATCH(435,Engine!$C$2:$C$1369,0)))</f>
        <v/>
      </c>
      <c r="M448" s="9">
        <f>IF(ISNA(MATCH(435,Engine!$C$2:$C$1369,0)),"",INDEX('Compliance Database'!$M$2:$M$1369,MATCH(435,Engine!$C$2:$C$1369,0)))</f>
        <v/>
      </c>
      <c r="N448" s="9">
        <f>IF(ISNA(MATCH(435,Engine!$C$2:$C$1369,0)),"",INDEX('Compliance Database'!$N$2:$N$1369,MATCH(435,Engine!$C$2:$C$1369,0)))</f>
        <v/>
      </c>
      <c r="O448" s="8">
        <f>IF(ISNA(MATCH(435,Engine!$C$2:$C$1369,0)),"",HYPERLINK(INDEX('Compliance Database'!$O$2:$O$1369,MATCH(435,Engine!$C$2:$C$1369,0)),"Open PDF"))</f>
        <v/>
      </c>
    </row>
    <row r="449" ht="188" customHeight="1">
      <c r="A449" s="8">
        <f>IF(ISNA(MATCH(436,Engine!$C$2:$C$1369,0)),"",INDEX('Compliance Database'!$A$2:$A$1369,MATCH(436,Engine!$C$2:$C$1369,0)))</f>
        <v/>
      </c>
      <c r="B449" s="8">
        <f>IF(ISNA(MATCH(436,Engine!$C$2:$C$1369,0)),"",INDEX('Compliance Database'!$B$2:$B$1369,MATCH(436,Engine!$C$2:$C$1369,0)))</f>
        <v/>
      </c>
      <c r="C449" s="8">
        <f>IF(ISNA(MATCH(436,Engine!$C$2:$C$1369,0)),"",INDEX('Compliance Database'!$C$2:$C$1369,MATCH(436,Engine!$C$2:$C$1369,0)))</f>
        <v/>
      </c>
      <c r="D449" s="9">
        <f>IF(ISNA(MATCH(436,Engine!$C$2:$C$1369,0)),"",INDEX('Compliance Database'!$D$2:$D$1369,MATCH(436,Engine!$C$2:$C$1369,0)))</f>
        <v/>
      </c>
      <c r="E449" s="8">
        <f>IF(ISNA(MATCH(436,Engine!$C$2:$C$1369,0)),"",INDEX('Compliance Database'!$E$2:$E$1369,MATCH(436,Engine!$C$2:$C$1369,0)))</f>
        <v/>
      </c>
      <c r="F449" s="8">
        <f>IF(ISNA(MATCH(436,Engine!$C$2:$C$1369,0)),"",INDEX('Compliance Database'!$F$2:$F$1369,MATCH(436,Engine!$C$2:$C$1369,0)))</f>
        <v/>
      </c>
      <c r="G449" s="8">
        <f>IF(ISNA(MATCH(436,Engine!$C$2:$C$1369,0)),"",INDEX('Compliance Database'!$G$2:$G$1369,MATCH(436,Engine!$C$2:$C$1369,0)))</f>
        <v/>
      </c>
      <c r="H449" s="9">
        <f>IF(ISNA(MATCH(436,Engine!$C$2:$C$1369,0)),"",INDEX('Compliance Database'!$H$2:$H$1369,MATCH(436,Engine!$C$2:$C$1369,0)))</f>
        <v/>
      </c>
      <c r="I449" s="9">
        <f>IF(ISNA(MATCH(436,Engine!$C$2:$C$1369,0)),"",INDEX('Compliance Database'!$I$2:$I$1369,MATCH(436,Engine!$C$2:$C$1369,0)))</f>
        <v/>
      </c>
      <c r="J449" s="8">
        <f>IF(ISNA(MATCH(436,Engine!$C$2:$C$1369,0)),"",INDEX('Compliance Database'!$J$2:$J$1369,MATCH(436,Engine!$C$2:$C$1369,0)))</f>
        <v/>
      </c>
      <c r="K449" s="9">
        <f>IF(ISNA(MATCH(436,Engine!$C$2:$C$1369,0)),"",INDEX('Compliance Database'!$K$2:$K$1369,MATCH(436,Engine!$C$2:$C$1369,0)))</f>
        <v/>
      </c>
      <c r="L449" s="9">
        <f>IF(ISNA(MATCH(436,Engine!$C$2:$C$1369,0)),"",INDEX('Compliance Database'!$L$2:$L$1369,MATCH(436,Engine!$C$2:$C$1369,0)))</f>
        <v/>
      </c>
      <c r="M449" s="9">
        <f>IF(ISNA(MATCH(436,Engine!$C$2:$C$1369,0)),"",INDEX('Compliance Database'!$M$2:$M$1369,MATCH(436,Engine!$C$2:$C$1369,0)))</f>
        <v/>
      </c>
      <c r="N449" s="9">
        <f>IF(ISNA(MATCH(436,Engine!$C$2:$C$1369,0)),"",INDEX('Compliance Database'!$N$2:$N$1369,MATCH(436,Engine!$C$2:$C$1369,0)))</f>
        <v/>
      </c>
      <c r="O449" s="8">
        <f>IF(ISNA(MATCH(436,Engine!$C$2:$C$1369,0)),"",HYPERLINK(INDEX('Compliance Database'!$O$2:$O$1369,MATCH(436,Engine!$C$2:$C$1369,0)),"Open PDF"))</f>
        <v/>
      </c>
    </row>
    <row r="450" ht="188" customHeight="1">
      <c r="A450" s="8">
        <f>IF(ISNA(MATCH(437,Engine!$C$2:$C$1369,0)),"",INDEX('Compliance Database'!$A$2:$A$1369,MATCH(437,Engine!$C$2:$C$1369,0)))</f>
        <v/>
      </c>
      <c r="B450" s="8">
        <f>IF(ISNA(MATCH(437,Engine!$C$2:$C$1369,0)),"",INDEX('Compliance Database'!$B$2:$B$1369,MATCH(437,Engine!$C$2:$C$1369,0)))</f>
        <v/>
      </c>
      <c r="C450" s="8">
        <f>IF(ISNA(MATCH(437,Engine!$C$2:$C$1369,0)),"",INDEX('Compliance Database'!$C$2:$C$1369,MATCH(437,Engine!$C$2:$C$1369,0)))</f>
        <v/>
      </c>
      <c r="D450" s="9">
        <f>IF(ISNA(MATCH(437,Engine!$C$2:$C$1369,0)),"",INDEX('Compliance Database'!$D$2:$D$1369,MATCH(437,Engine!$C$2:$C$1369,0)))</f>
        <v/>
      </c>
      <c r="E450" s="8">
        <f>IF(ISNA(MATCH(437,Engine!$C$2:$C$1369,0)),"",INDEX('Compliance Database'!$E$2:$E$1369,MATCH(437,Engine!$C$2:$C$1369,0)))</f>
        <v/>
      </c>
      <c r="F450" s="8">
        <f>IF(ISNA(MATCH(437,Engine!$C$2:$C$1369,0)),"",INDEX('Compliance Database'!$F$2:$F$1369,MATCH(437,Engine!$C$2:$C$1369,0)))</f>
        <v/>
      </c>
      <c r="G450" s="8">
        <f>IF(ISNA(MATCH(437,Engine!$C$2:$C$1369,0)),"",INDEX('Compliance Database'!$G$2:$G$1369,MATCH(437,Engine!$C$2:$C$1369,0)))</f>
        <v/>
      </c>
      <c r="H450" s="9">
        <f>IF(ISNA(MATCH(437,Engine!$C$2:$C$1369,0)),"",INDEX('Compliance Database'!$H$2:$H$1369,MATCH(437,Engine!$C$2:$C$1369,0)))</f>
        <v/>
      </c>
      <c r="I450" s="9">
        <f>IF(ISNA(MATCH(437,Engine!$C$2:$C$1369,0)),"",INDEX('Compliance Database'!$I$2:$I$1369,MATCH(437,Engine!$C$2:$C$1369,0)))</f>
        <v/>
      </c>
      <c r="J450" s="8">
        <f>IF(ISNA(MATCH(437,Engine!$C$2:$C$1369,0)),"",INDEX('Compliance Database'!$J$2:$J$1369,MATCH(437,Engine!$C$2:$C$1369,0)))</f>
        <v/>
      </c>
      <c r="K450" s="9">
        <f>IF(ISNA(MATCH(437,Engine!$C$2:$C$1369,0)),"",INDEX('Compliance Database'!$K$2:$K$1369,MATCH(437,Engine!$C$2:$C$1369,0)))</f>
        <v/>
      </c>
      <c r="L450" s="9">
        <f>IF(ISNA(MATCH(437,Engine!$C$2:$C$1369,0)),"",INDEX('Compliance Database'!$L$2:$L$1369,MATCH(437,Engine!$C$2:$C$1369,0)))</f>
        <v/>
      </c>
      <c r="M450" s="9">
        <f>IF(ISNA(MATCH(437,Engine!$C$2:$C$1369,0)),"",INDEX('Compliance Database'!$M$2:$M$1369,MATCH(437,Engine!$C$2:$C$1369,0)))</f>
        <v/>
      </c>
      <c r="N450" s="9">
        <f>IF(ISNA(MATCH(437,Engine!$C$2:$C$1369,0)),"",INDEX('Compliance Database'!$N$2:$N$1369,MATCH(437,Engine!$C$2:$C$1369,0)))</f>
        <v/>
      </c>
      <c r="O450" s="8">
        <f>IF(ISNA(MATCH(437,Engine!$C$2:$C$1369,0)),"",HYPERLINK(INDEX('Compliance Database'!$O$2:$O$1369,MATCH(437,Engine!$C$2:$C$1369,0)),"Open PDF"))</f>
        <v/>
      </c>
    </row>
    <row r="451" ht="188" customHeight="1">
      <c r="A451" s="8">
        <f>IF(ISNA(MATCH(438,Engine!$C$2:$C$1369,0)),"",INDEX('Compliance Database'!$A$2:$A$1369,MATCH(438,Engine!$C$2:$C$1369,0)))</f>
        <v/>
      </c>
      <c r="B451" s="8">
        <f>IF(ISNA(MATCH(438,Engine!$C$2:$C$1369,0)),"",INDEX('Compliance Database'!$B$2:$B$1369,MATCH(438,Engine!$C$2:$C$1369,0)))</f>
        <v/>
      </c>
      <c r="C451" s="8">
        <f>IF(ISNA(MATCH(438,Engine!$C$2:$C$1369,0)),"",INDEX('Compliance Database'!$C$2:$C$1369,MATCH(438,Engine!$C$2:$C$1369,0)))</f>
        <v/>
      </c>
      <c r="D451" s="9">
        <f>IF(ISNA(MATCH(438,Engine!$C$2:$C$1369,0)),"",INDEX('Compliance Database'!$D$2:$D$1369,MATCH(438,Engine!$C$2:$C$1369,0)))</f>
        <v/>
      </c>
      <c r="E451" s="8">
        <f>IF(ISNA(MATCH(438,Engine!$C$2:$C$1369,0)),"",INDEX('Compliance Database'!$E$2:$E$1369,MATCH(438,Engine!$C$2:$C$1369,0)))</f>
        <v/>
      </c>
      <c r="F451" s="8">
        <f>IF(ISNA(MATCH(438,Engine!$C$2:$C$1369,0)),"",INDEX('Compliance Database'!$F$2:$F$1369,MATCH(438,Engine!$C$2:$C$1369,0)))</f>
        <v/>
      </c>
      <c r="G451" s="8">
        <f>IF(ISNA(MATCH(438,Engine!$C$2:$C$1369,0)),"",INDEX('Compliance Database'!$G$2:$G$1369,MATCH(438,Engine!$C$2:$C$1369,0)))</f>
        <v/>
      </c>
      <c r="H451" s="9">
        <f>IF(ISNA(MATCH(438,Engine!$C$2:$C$1369,0)),"",INDEX('Compliance Database'!$H$2:$H$1369,MATCH(438,Engine!$C$2:$C$1369,0)))</f>
        <v/>
      </c>
      <c r="I451" s="9">
        <f>IF(ISNA(MATCH(438,Engine!$C$2:$C$1369,0)),"",INDEX('Compliance Database'!$I$2:$I$1369,MATCH(438,Engine!$C$2:$C$1369,0)))</f>
        <v/>
      </c>
      <c r="J451" s="8">
        <f>IF(ISNA(MATCH(438,Engine!$C$2:$C$1369,0)),"",INDEX('Compliance Database'!$J$2:$J$1369,MATCH(438,Engine!$C$2:$C$1369,0)))</f>
        <v/>
      </c>
      <c r="K451" s="9">
        <f>IF(ISNA(MATCH(438,Engine!$C$2:$C$1369,0)),"",INDEX('Compliance Database'!$K$2:$K$1369,MATCH(438,Engine!$C$2:$C$1369,0)))</f>
        <v/>
      </c>
      <c r="L451" s="9">
        <f>IF(ISNA(MATCH(438,Engine!$C$2:$C$1369,0)),"",INDEX('Compliance Database'!$L$2:$L$1369,MATCH(438,Engine!$C$2:$C$1369,0)))</f>
        <v/>
      </c>
      <c r="M451" s="9">
        <f>IF(ISNA(MATCH(438,Engine!$C$2:$C$1369,0)),"",INDEX('Compliance Database'!$M$2:$M$1369,MATCH(438,Engine!$C$2:$C$1369,0)))</f>
        <v/>
      </c>
      <c r="N451" s="9">
        <f>IF(ISNA(MATCH(438,Engine!$C$2:$C$1369,0)),"",INDEX('Compliance Database'!$N$2:$N$1369,MATCH(438,Engine!$C$2:$C$1369,0)))</f>
        <v/>
      </c>
      <c r="O451" s="8">
        <f>IF(ISNA(MATCH(438,Engine!$C$2:$C$1369,0)),"",HYPERLINK(INDEX('Compliance Database'!$O$2:$O$1369,MATCH(438,Engine!$C$2:$C$1369,0)),"Open PDF"))</f>
        <v/>
      </c>
    </row>
    <row r="452" ht="188" customHeight="1">
      <c r="A452" s="8">
        <f>IF(ISNA(MATCH(439,Engine!$C$2:$C$1369,0)),"",INDEX('Compliance Database'!$A$2:$A$1369,MATCH(439,Engine!$C$2:$C$1369,0)))</f>
        <v/>
      </c>
      <c r="B452" s="8">
        <f>IF(ISNA(MATCH(439,Engine!$C$2:$C$1369,0)),"",INDEX('Compliance Database'!$B$2:$B$1369,MATCH(439,Engine!$C$2:$C$1369,0)))</f>
        <v/>
      </c>
      <c r="C452" s="8">
        <f>IF(ISNA(MATCH(439,Engine!$C$2:$C$1369,0)),"",INDEX('Compliance Database'!$C$2:$C$1369,MATCH(439,Engine!$C$2:$C$1369,0)))</f>
        <v/>
      </c>
      <c r="D452" s="9">
        <f>IF(ISNA(MATCH(439,Engine!$C$2:$C$1369,0)),"",INDEX('Compliance Database'!$D$2:$D$1369,MATCH(439,Engine!$C$2:$C$1369,0)))</f>
        <v/>
      </c>
      <c r="E452" s="8">
        <f>IF(ISNA(MATCH(439,Engine!$C$2:$C$1369,0)),"",INDEX('Compliance Database'!$E$2:$E$1369,MATCH(439,Engine!$C$2:$C$1369,0)))</f>
        <v/>
      </c>
      <c r="F452" s="8">
        <f>IF(ISNA(MATCH(439,Engine!$C$2:$C$1369,0)),"",INDEX('Compliance Database'!$F$2:$F$1369,MATCH(439,Engine!$C$2:$C$1369,0)))</f>
        <v/>
      </c>
      <c r="G452" s="8">
        <f>IF(ISNA(MATCH(439,Engine!$C$2:$C$1369,0)),"",INDEX('Compliance Database'!$G$2:$G$1369,MATCH(439,Engine!$C$2:$C$1369,0)))</f>
        <v/>
      </c>
      <c r="H452" s="9">
        <f>IF(ISNA(MATCH(439,Engine!$C$2:$C$1369,0)),"",INDEX('Compliance Database'!$H$2:$H$1369,MATCH(439,Engine!$C$2:$C$1369,0)))</f>
        <v/>
      </c>
      <c r="I452" s="9">
        <f>IF(ISNA(MATCH(439,Engine!$C$2:$C$1369,0)),"",INDEX('Compliance Database'!$I$2:$I$1369,MATCH(439,Engine!$C$2:$C$1369,0)))</f>
        <v/>
      </c>
      <c r="J452" s="8">
        <f>IF(ISNA(MATCH(439,Engine!$C$2:$C$1369,0)),"",INDEX('Compliance Database'!$J$2:$J$1369,MATCH(439,Engine!$C$2:$C$1369,0)))</f>
        <v/>
      </c>
      <c r="K452" s="9">
        <f>IF(ISNA(MATCH(439,Engine!$C$2:$C$1369,0)),"",INDEX('Compliance Database'!$K$2:$K$1369,MATCH(439,Engine!$C$2:$C$1369,0)))</f>
        <v/>
      </c>
      <c r="L452" s="9">
        <f>IF(ISNA(MATCH(439,Engine!$C$2:$C$1369,0)),"",INDEX('Compliance Database'!$L$2:$L$1369,MATCH(439,Engine!$C$2:$C$1369,0)))</f>
        <v/>
      </c>
      <c r="M452" s="9">
        <f>IF(ISNA(MATCH(439,Engine!$C$2:$C$1369,0)),"",INDEX('Compliance Database'!$M$2:$M$1369,MATCH(439,Engine!$C$2:$C$1369,0)))</f>
        <v/>
      </c>
      <c r="N452" s="9">
        <f>IF(ISNA(MATCH(439,Engine!$C$2:$C$1369,0)),"",INDEX('Compliance Database'!$N$2:$N$1369,MATCH(439,Engine!$C$2:$C$1369,0)))</f>
        <v/>
      </c>
      <c r="O452" s="8">
        <f>IF(ISNA(MATCH(439,Engine!$C$2:$C$1369,0)),"",HYPERLINK(INDEX('Compliance Database'!$O$2:$O$1369,MATCH(439,Engine!$C$2:$C$1369,0)),"Open PDF"))</f>
        <v/>
      </c>
    </row>
    <row r="453" ht="188" customHeight="1">
      <c r="A453" s="8">
        <f>IF(ISNA(MATCH(440,Engine!$C$2:$C$1369,0)),"",INDEX('Compliance Database'!$A$2:$A$1369,MATCH(440,Engine!$C$2:$C$1369,0)))</f>
        <v/>
      </c>
      <c r="B453" s="8">
        <f>IF(ISNA(MATCH(440,Engine!$C$2:$C$1369,0)),"",INDEX('Compliance Database'!$B$2:$B$1369,MATCH(440,Engine!$C$2:$C$1369,0)))</f>
        <v/>
      </c>
      <c r="C453" s="8">
        <f>IF(ISNA(MATCH(440,Engine!$C$2:$C$1369,0)),"",INDEX('Compliance Database'!$C$2:$C$1369,MATCH(440,Engine!$C$2:$C$1369,0)))</f>
        <v/>
      </c>
      <c r="D453" s="9">
        <f>IF(ISNA(MATCH(440,Engine!$C$2:$C$1369,0)),"",INDEX('Compliance Database'!$D$2:$D$1369,MATCH(440,Engine!$C$2:$C$1369,0)))</f>
        <v/>
      </c>
      <c r="E453" s="8">
        <f>IF(ISNA(MATCH(440,Engine!$C$2:$C$1369,0)),"",INDEX('Compliance Database'!$E$2:$E$1369,MATCH(440,Engine!$C$2:$C$1369,0)))</f>
        <v/>
      </c>
      <c r="F453" s="8">
        <f>IF(ISNA(MATCH(440,Engine!$C$2:$C$1369,0)),"",INDEX('Compliance Database'!$F$2:$F$1369,MATCH(440,Engine!$C$2:$C$1369,0)))</f>
        <v/>
      </c>
      <c r="G453" s="8">
        <f>IF(ISNA(MATCH(440,Engine!$C$2:$C$1369,0)),"",INDEX('Compliance Database'!$G$2:$G$1369,MATCH(440,Engine!$C$2:$C$1369,0)))</f>
        <v/>
      </c>
      <c r="H453" s="9">
        <f>IF(ISNA(MATCH(440,Engine!$C$2:$C$1369,0)),"",INDEX('Compliance Database'!$H$2:$H$1369,MATCH(440,Engine!$C$2:$C$1369,0)))</f>
        <v/>
      </c>
      <c r="I453" s="9">
        <f>IF(ISNA(MATCH(440,Engine!$C$2:$C$1369,0)),"",INDEX('Compliance Database'!$I$2:$I$1369,MATCH(440,Engine!$C$2:$C$1369,0)))</f>
        <v/>
      </c>
      <c r="J453" s="8">
        <f>IF(ISNA(MATCH(440,Engine!$C$2:$C$1369,0)),"",INDEX('Compliance Database'!$J$2:$J$1369,MATCH(440,Engine!$C$2:$C$1369,0)))</f>
        <v/>
      </c>
      <c r="K453" s="9">
        <f>IF(ISNA(MATCH(440,Engine!$C$2:$C$1369,0)),"",INDEX('Compliance Database'!$K$2:$K$1369,MATCH(440,Engine!$C$2:$C$1369,0)))</f>
        <v/>
      </c>
      <c r="L453" s="9">
        <f>IF(ISNA(MATCH(440,Engine!$C$2:$C$1369,0)),"",INDEX('Compliance Database'!$L$2:$L$1369,MATCH(440,Engine!$C$2:$C$1369,0)))</f>
        <v/>
      </c>
      <c r="M453" s="9">
        <f>IF(ISNA(MATCH(440,Engine!$C$2:$C$1369,0)),"",INDEX('Compliance Database'!$M$2:$M$1369,MATCH(440,Engine!$C$2:$C$1369,0)))</f>
        <v/>
      </c>
      <c r="N453" s="9">
        <f>IF(ISNA(MATCH(440,Engine!$C$2:$C$1369,0)),"",INDEX('Compliance Database'!$N$2:$N$1369,MATCH(440,Engine!$C$2:$C$1369,0)))</f>
        <v/>
      </c>
      <c r="O453" s="8">
        <f>IF(ISNA(MATCH(440,Engine!$C$2:$C$1369,0)),"",HYPERLINK(INDEX('Compliance Database'!$O$2:$O$1369,MATCH(440,Engine!$C$2:$C$1369,0)),"Open PDF"))</f>
        <v/>
      </c>
    </row>
    <row r="454" ht="188" customHeight="1">
      <c r="A454" s="8">
        <f>IF(ISNA(MATCH(441,Engine!$C$2:$C$1369,0)),"",INDEX('Compliance Database'!$A$2:$A$1369,MATCH(441,Engine!$C$2:$C$1369,0)))</f>
        <v/>
      </c>
      <c r="B454" s="8">
        <f>IF(ISNA(MATCH(441,Engine!$C$2:$C$1369,0)),"",INDEX('Compliance Database'!$B$2:$B$1369,MATCH(441,Engine!$C$2:$C$1369,0)))</f>
        <v/>
      </c>
      <c r="C454" s="8">
        <f>IF(ISNA(MATCH(441,Engine!$C$2:$C$1369,0)),"",INDEX('Compliance Database'!$C$2:$C$1369,MATCH(441,Engine!$C$2:$C$1369,0)))</f>
        <v/>
      </c>
      <c r="D454" s="9">
        <f>IF(ISNA(MATCH(441,Engine!$C$2:$C$1369,0)),"",INDEX('Compliance Database'!$D$2:$D$1369,MATCH(441,Engine!$C$2:$C$1369,0)))</f>
        <v/>
      </c>
      <c r="E454" s="8">
        <f>IF(ISNA(MATCH(441,Engine!$C$2:$C$1369,0)),"",INDEX('Compliance Database'!$E$2:$E$1369,MATCH(441,Engine!$C$2:$C$1369,0)))</f>
        <v/>
      </c>
      <c r="F454" s="8">
        <f>IF(ISNA(MATCH(441,Engine!$C$2:$C$1369,0)),"",INDEX('Compliance Database'!$F$2:$F$1369,MATCH(441,Engine!$C$2:$C$1369,0)))</f>
        <v/>
      </c>
      <c r="G454" s="8">
        <f>IF(ISNA(MATCH(441,Engine!$C$2:$C$1369,0)),"",INDEX('Compliance Database'!$G$2:$G$1369,MATCH(441,Engine!$C$2:$C$1369,0)))</f>
        <v/>
      </c>
      <c r="H454" s="9">
        <f>IF(ISNA(MATCH(441,Engine!$C$2:$C$1369,0)),"",INDEX('Compliance Database'!$H$2:$H$1369,MATCH(441,Engine!$C$2:$C$1369,0)))</f>
        <v/>
      </c>
      <c r="I454" s="9">
        <f>IF(ISNA(MATCH(441,Engine!$C$2:$C$1369,0)),"",INDEX('Compliance Database'!$I$2:$I$1369,MATCH(441,Engine!$C$2:$C$1369,0)))</f>
        <v/>
      </c>
      <c r="J454" s="8">
        <f>IF(ISNA(MATCH(441,Engine!$C$2:$C$1369,0)),"",INDEX('Compliance Database'!$J$2:$J$1369,MATCH(441,Engine!$C$2:$C$1369,0)))</f>
        <v/>
      </c>
      <c r="K454" s="9">
        <f>IF(ISNA(MATCH(441,Engine!$C$2:$C$1369,0)),"",INDEX('Compliance Database'!$K$2:$K$1369,MATCH(441,Engine!$C$2:$C$1369,0)))</f>
        <v/>
      </c>
      <c r="L454" s="9">
        <f>IF(ISNA(MATCH(441,Engine!$C$2:$C$1369,0)),"",INDEX('Compliance Database'!$L$2:$L$1369,MATCH(441,Engine!$C$2:$C$1369,0)))</f>
        <v/>
      </c>
      <c r="M454" s="9">
        <f>IF(ISNA(MATCH(441,Engine!$C$2:$C$1369,0)),"",INDEX('Compliance Database'!$M$2:$M$1369,MATCH(441,Engine!$C$2:$C$1369,0)))</f>
        <v/>
      </c>
      <c r="N454" s="9">
        <f>IF(ISNA(MATCH(441,Engine!$C$2:$C$1369,0)),"",INDEX('Compliance Database'!$N$2:$N$1369,MATCH(441,Engine!$C$2:$C$1369,0)))</f>
        <v/>
      </c>
      <c r="O454" s="8">
        <f>IF(ISNA(MATCH(441,Engine!$C$2:$C$1369,0)),"",HYPERLINK(INDEX('Compliance Database'!$O$2:$O$1369,MATCH(441,Engine!$C$2:$C$1369,0)),"Open PDF"))</f>
        <v/>
      </c>
    </row>
    <row r="455" ht="188" customHeight="1">
      <c r="A455" s="8">
        <f>IF(ISNA(MATCH(442,Engine!$C$2:$C$1369,0)),"",INDEX('Compliance Database'!$A$2:$A$1369,MATCH(442,Engine!$C$2:$C$1369,0)))</f>
        <v/>
      </c>
      <c r="B455" s="8">
        <f>IF(ISNA(MATCH(442,Engine!$C$2:$C$1369,0)),"",INDEX('Compliance Database'!$B$2:$B$1369,MATCH(442,Engine!$C$2:$C$1369,0)))</f>
        <v/>
      </c>
      <c r="C455" s="8">
        <f>IF(ISNA(MATCH(442,Engine!$C$2:$C$1369,0)),"",INDEX('Compliance Database'!$C$2:$C$1369,MATCH(442,Engine!$C$2:$C$1369,0)))</f>
        <v/>
      </c>
      <c r="D455" s="9">
        <f>IF(ISNA(MATCH(442,Engine!$C$2:$C$1369,0)),"",INDEX('Compliance Database'!$D$2:$D$1369,MATCH(442,Engine!$C$2:$C$1369,0)))</f>
        <v/>
      </c>
      <c r="E455" s="8">
        <f>IF(ISNA(MATCH(442,Engine!$C$2:$C$1369,0)),"",INDEX('Compliance Database'!$E$2:$E$1369,MATCH(442,Engine!$C$2:$C$1369,0)))</f>
        <v/>
      </c>
      <c r="F455" s="8">
        <f>IF(ISNA(MATCH(442,Engine!$C$2:$C$1369,0)),"",INDEX('Compliance Database'!$F$2:$F$1369,MATCH(442,Engine!$C$2:$C$1369,0)))</f>
        <v/>
      </c>
      <c r="G455" s="8">
        <f>IF(ISNA(MATCH(442,Engine!$C$2:$C$1369,0)),"",INDEX('Compliance Database'!$G$2:$G$1369,MATCH(442,Engine!$C$2:$C$1369,0)))</f>
        <v/>
      </c>
      <c r="H455" s="9">
        <f>IF(ISNA(MATCH(442,Engine!$C$2:$C$1369,0)),"",INDEX('Compliance Database'!$H$2:$H$1369,MATCH(442,Engine!$C$2:$C$1369,0)))</f>
        <v/>
      </c>
      <c r="I455" s="9">
        <f>IF(ISNA(MATCH(442,Engine!$C$2:$C$1369,0)),"",INDEX('Compliance Database'!$I$2:$I$1369,MATCH(442,Engine!$C$2:$C$1369,0)))</f>
        <v/>
      </c>
      <c r="J455" s="8">
        <f>IF(ISNA(MATCH(442,Engine!$C$2:$C$1369,0)),"",INDEX('Compliance Database'!$J$2:$J$1369,MATCH(442,Engine!$C$2:$C$1369,0)))</f>
        <v/>
      </c>
      <c r="K455" s="9">
        <f>IF(ISNA(MATCH(442,Engine!$C$2:$C$1369,0)),"",INDEX('Compliance Database'!$K$2:$K$1369,MATCH(442,Engine!$C$2:$C$1369,0)))</f>
        <v/>
      </c>
      <c r="L455" s="9">
        <f>IF(ISNA(MATCH(442,Engine!$C$2:$C$1369,0)),"",INDEX('Compliance Database'!$L$2:$L$1369,MATCH(442,Engine!$C$2:$C$1369,0)))</f>
        <v/>
      </c>
      <c r="M455" s="9">
        <f>IF(ISNA(MATCH(442,Engine!$C$2:$C$1369,0)),"",INDEX('Compliance Database'!$M$2:$M$1369,MATCH(442,Engine!$C$2:$C$1369,0)))</f>
        <v/>
      </c>
      <c r="N455" s="9">
        <f>IF(ISNA(MATCH(442,Engine!$C$2:$C$1369,0)),"",INDEX('Compliance Database'!$N$2:$N$1369,MATCH(442,Engine!$C$2:$C$1369,0)))</f>
        <v/>
      </c>
      <c r="O455" s="8">
        <f>IF(ISNA(MATCH(442,Engine!$C$2:$C$1369,0)),"",HYPERLINK(INDEX('Compliance Database'!$O$2:$O$1369,MATCH(442,Engine!$C$2:$C$1369,0)),"Open PDF"))</f>
        <v/>
      </c>
    </row>
    <row r="456" ht="188" customHeight="1">
      <c r="A456" s="8">
        <f>IF(ISNA(MATCH(443,Engine!$C$2:$C$1369,0)),"",INDEX('Compliance Database'!$A$2:$A$1369,MATCH(443,Engine!$C$2:$C$1369,0)))</f>
        <v/>
      </c>
      <c r="B456" s="8">
        <f>IF(ISNA(MATCH(443,Engine!$C$2:$C$1369,0)),"",INDEX('Compliance Database'!$B$2:$B$1369,MATCH(443,Engine!$C$2:$C$1369,0)))</f>
        <v/>
      </c>
      <c r="C456" s="8">
        <f>IF(ISNA(MATCH(443,Engine!$C$2:$C$1369,0)),"",INDEX('Compliance Database'!$C$2:$C$1369,MATCH(443,Engine!$C$2:$C$1369,0)))</f>
        <v/>
      </c>
      <c r="D456" s="9">
        <f>IF(ISNA(MATCH(443,Engine!$C$2:$C$1369,0)),"",INDEX('Compliance Database'!$D$2:$D$1369,MATCH(443,Engine!$C$2:$C$1369,0)))</f>
        <v/>
      </c>
      <c r="E456" s="8">
        <f>IF(ISNA(MATCH(443,Engine!$C$2:$C$1369,0)),"",INDEX('Compliance Database'!$E$2:$E$1369,MATCH(443,Engine!$C$2:$C$1369,0)))</f>
        <v/>
      </c>
      <c r="F456" s="8">
        <f>IF(ISNA(MATCH(443,Engine!$C$2:$C$1369,0)),"",INDEX('Compliance Database'!$F$2:$F$1369,MATCH(443,Engine!$C$2:$C$1369,0)))</f>
        <v/>
      </c>
      <c r="G456" s="8">
        <f>IF(ISNA(MATCH(443,Engine!$C$2:$C$1369,0)),"",INDEX('Compliance Database'!$G$2:$G$1369,MATCH(443,Engine!$C$2:$C$1369,0)))</f>
        <v/>
      </c>
      <c r="H456" s="9">
        <f>IF(ISNA(MATCH(443,Engine!$C$2:$C$1369,0)),"",INDEX('Compliance Database'!$H$2:$H$1369,MATCH(443,Engine!$C$2:$C$1369,0)))</f>
        <v/>
      </c>
      <c r="I456" s="9">
        <f>IF(ISNA(MATCH(443,Engine!$C$2:$C$1369,0)),"",INDEX('Compliance Database'!$I$2:$I$1369,MATCH(443,Engine!$C$2:$C$1369,0)))</f>
        <v/>
      </c>
      <c r="J456" s="8">
        <f>IF(ISNA(MATCH(443,Engine!$C$2:$C$1369,0)),"",INDEX('Compliance Database'!$J$2:$J$1369,MATCH(443,Engine!$C$2:$C$1369,0)))</f>
        <v/>
      </c>
      <c r="K456" s="9">
        <f>IF(ISNA(MATCH(443,Engine!$C$2:$C$1369,0)),"",INDEX('Compliance Database'!$K$2:$K$1369,MATCH(443,Engine!$C$2:$C$1369,0)))</f>
        <v/>
      </c>
      <c r="L456" s="9">
        <f>IF(ISNA(MATCH(443,Engine!$C$2:$C$1369,0)),"",INDEX('Compliance Database'!$L$2:$L$1369,MATCH(443,Engine!$C$2:$C$1369,0)))</f>
        <v/>
      </c>
      <c r="M456" s="9">
        <f>IF(ISNA(MATCH(443,Engine!$C$2:$C$1369,0)),"",INDEX('Compliance Database'!$M$2:$M$1369,MATCH(443,Engine!$C$2:$C$1369,0)))</f>
        <v/>
      </c>
      <c r="N456" s="9">
        <f>IF(ISNA(MATCH(443,Engine!$C$2:$C$1369,0)),"",INDEX('Compliance Database'!$N$2:$N$1369,MATCH(443,Engine!$C$2:$C$1369,0)))</f>
        <v/>
      </c>
      <c r="O456" s="8">
        <f>IF(ISNA(MATCH(443,Engine!$C$2:$C$1369,0)),"",HYPERLINK(INDEX('Compliance Database'!$O$2:$O$1369,MATCH(443,Engine!$C$2:$C$1369,0)),"Open PDF"))</f>
        <v/>
      </c>
    </row>
    <row r="457" ht="188" customHeight="1">
      <c r="A457" s="8">
        <f>IF(ISNA(MATCH(444,Engine!$C$2:$C$1369,0)),"",INDEX('Compliance Database'!$A$2:$A$1369,MATCH(444,Engine!$C$2:$C$1369,0)))</f>
        <v/>
      </c>
      <c r="B457" s="8">
        <f>IF(ISNA(MATCH(444,Engine!$C$2:$C$1369,0)),"",INDEX('Compliance Database'!$B$2:$B$1369,MATCH(444,Engine!$C$2:$C$1369,0)))</f>
        <v/>
      </c>
      <c r="C457" s="8">
        <f>IF(ISNA(MATCH(444,Engine!$C$2:$C$1369,0)),"",INDEX('Compliance Database'!$C$2:$C$1369,MATCH(444,Engine!$C$2:$C$1369,0)))</f>
        <v/>
      </c>
      <c r="D457" s="9">
        <f>IF(ISNA(MATCH(444,Engine!$C$2:$C$1369,0)),"",INDEX('Compliance Database'!$D$2:$D$1369,MATCH(444,Engine!$C$2:$C$1369,0)))</f>
        <v/>
      </c>
      <c r="E457" s="8">
        <f>IF(ISNA(MATCH(444,Engine!$C$2:$C$1369,0)),"",INDEX('Compliance Database'!$E$2:$E$1369,MATCH(444,Engine!$C$2:$C$1369,0)))</f>
        <v/>
      </c>
      <c r="F457" s="8">
        <f>IF(ISNA(MATCH(444,Engine!$C$2:$C$1369,0)),"",INDEX('Compliance Database'!$F$2:$F$1369,MATCH(444,Engine!$C$2:$C$1369,0)))</f>
        <v/>
      </c>
      <c r="G457" s="8">
        <f>IF(ISNA(MATCH(444,Engine!$C$2:$C$1369,0)),"",INDEX('Compliance Database'!$G$2:$G$1369,MATCH(444,Engine!$C$2:$C$1369,0)))</f>
        <v/>
      </c>
      <c r="H457" s="9">
        <f>IF(ISNA(MATCH(444,Engine!$C$2:$C$1369,0)),"",INDEX('Compliance Database'!$H$2:$H$1369,MATCH(444,Engine!$C$2:$C$1369,0)))</f>
        <v/>
      </c>
      <c r="I457" s="9">
        <f>IF(ISNA(MATCH(444,Engine!$C$2:$C$1369,0)),"",INDEX('Compliance Database'!$I$2:$I$1369,MATCH(444,Engine!$C$2:$C$1369,0)))</f>
        <v/>
      </c>
      <c r="J457" s="8">
        <f>IF(ISNA(MATCH(444,Engine!$C$2:$C$1369,0)),"",INDEX('Compliance Database'!$J$2:$J$1369,MATCH(444,Engine!$C$2:$C$1369,0)))</f>
        <v/>
      </c>
      <c r="K457" s="9">
        <f>IF(ISNA(MATCH(444,Engine!$C$2:$C$1369,0)),"",INDEX('Compliance Database'!$K$2:$K$1369,MATCH(444,Engine!$C$2:$C$1369,0)))</f>
        <v/>
      </c>
      <c r="L457" s="9">
        <f>IF(ISNA(MATCH(444,Engine!$C$2:$C$1369,0)),"",INDEX('Compliance Database'!$L$2:$L$1369,MATCH(444,Engine!$C$2:$C$1369,0)))</f>
        <v/>
      </c>
      <c r="M457" s="9">
        <f>IF(ISNA(MATCH(444,Engine!$C$2:$C$1369,0)),"",INDEX('Compliance Database'!$M$2:$M$1369,MATCH(444,Engine!$C$2:$C$1369,0)))</f>
        <v/>
      </c>
      <c r="N457" s="9">
        <f>IF(ISNA(MATCH(444,Engine!$C$2:$C$1369,0)),"",INDEX('Compliance Database'!$N$2:$N$1369,MATCH(444,Engine!$C$2:$C$1369,0)))</f>
        <v/>
      </c>
      <c r="O457" s="8">
        <f>IF(ISNA(MATCH(444,Engine!$C$2:$C$1369,0)),"",HYPERLINK(INDEX('Compliance Database'!$O$2:$O$1369,MATCH(444,Engine!$C$2:$C$1369,0)),"Open PDF"))</f>
        <v/>
      </c>
    </row>
    <row r="458" ht="188" customHeight="1">
      <c r="A458" s="8">
        <f>IF(ISNA(MATCH(445,Engine!$C$2:$C$1369,0)),"",INDEX('Compliance Database'!$A$2:$A$1369,MATCH(445,Engine!$C$2:$C$1369,0)))</f>
        <v/>
      </c>
      <c r="B458" s="8">
        <f>IF(ISNA(MATCH(445,Engine!$C$2:$C$1369,0)),"",INDEX('Compliance Database'!$B$2:$B$1369,MATCH(445,Engine!$C$2:$C$1369,0)))</f>
        <v/>
      </c>
      <c r="C458" s="8">
        <f>IF(ISNA(MATCH(445,Engine!$C$2:$C$1369,0)),"",INDEX('Compliance Database'!$C$2:$C$1369,MATCH(445,Engine!$C$2:$C$1369,0)))</f>
        <v/>
      </c>
      <c r="D458" s="9">
        <f>IF(ISNA(MATCH(445,Engine!$C$2:$C$1369,0)),"",INDEX('Compliance Database'!$D$2:$D$1369,MATCH(445,Engine!$C$2:$C$1369,0)))</f>
        <v/>
      </c>
      <c r="E458" s="8">
        <f>IF(ISNA(MATCH(445,Engine!$C$2:$C$1369,0)),"",INDEX('Compliance Database'!$E$2:$E$1369,MATCH(445,Engine!$C$2:$C$1369,0)))</f>
        <v/>
      </c>
      <c r="F458" s="8">
        <f>IF(ISNA(MATCH(445,Engine!$C$2:$C$1369,0)),"",INDEX('Compliance Database'!$F$2:$F$1369,MATCH(445,Engine!$C$2:$C$1369,0)))</f>
        <v/>
      </c>
      <c r="G458" s="8">
        <f>IF(ISNA(MATCH(445,Engine!$C$2:$C$1369,0)),"",INDEX('Compliance Database'!$G$2:$G$1369,MATCH(445,Engine!$C$2:$C$1369,0)))</f>
        <v/>
      </c>
      <c r="H458" s="9">
        <f>IF(ISNA(MATCH(445,Engine!$C$2:$C$1369,0)),"",INDEX('Compliance Database'!$H$2:$H$1369,MATCH(445,Engine!$C$2:$C$1369,0)))</f>
        <v/>
      </c>
      <c r="I458" s="9">
        <f>IF(ISNA(MATCH(445,Engine!$C$2:$C$1369,0)),"",INDEX('Compliance Database'!$I$2:$I$1369,MATCH(445,Engine!$C$2:$C$1369,0)))</f>
        <v/>
      </c>
      <c r="J458" s="8">
        <f>IF(ISNA(MATCH(445,Engine!$C$2:$C$1369,0)),"",INDEX('Compliance Database'!$J$2:$J$1369,MATCH(445,Engine!$C$2:$C$1369,0)))</f>
        <v/>
      </c>
      <c r="K458" s="9">
        <f>IF(ISNA(MATCH(445,Engine!$C$2:$C$1369,0)),"",INDEX('Compliance Database'!$K$2:$K$1369,MATCH(445,Engine!$C$2:$C$1369,0)))</f>
        <v/>
      </c>
      <c r="L458" s="9">
        <f>IF(ISNA(MATCH(445,Engine!$C$2:$C$1369,0)),"",INDEX('Compliance Database'!$L$2:$L$1369,MATCH(445,Engine!$C$2:$C$1369,0)))</f>
        <v/>
      </c>
      <c r="M458" s="9">
        <f>IF(ISNA(MATCH(445,Engine!$C$2:$C$1369,0)),"",INDEX('Compliance Database'!$M$2:$M$1369,MATCH(445,Engine!$C$2:$C$1369,0)))</f>
        <v/>
      </c>
      <c r="N458" s="9">
        <f>IF(ISNA(MATCH(445,Engine!$C$2:$C$1369,0)),"",INDEX('Compliance Database'!$N$2:$N$1369,MATCH(445,Engine!$C$2:$C$1369,0)))</f>
        <v/>
      </c>
      <c r="O458" s="8">
        <f>IF(ISNA(MATCH(445,Engine!$C$2:$C$1369,0)),"",HYPERLINK(INDEX('Compliance Database'!$O$2:$O$1369,MATCH(445,Engine!$C$2:$C$1369,0)),"Open PDF"))</f>
        <v/>
      </c>
    </row>
    <row r="459" ht="188" customHeight="1">
      <c r="A459" s="8">
        <f>IF(ISNA(MATCH(446,Engine!$C$2:$C$1369,0)),"",INDEX('Compliance Database'!$A$2:$A$1369,MATCH(446,Engine!$C$2:$C$1369,0)))</f>
        <v/>
      </c>
      <c r="B459" s="8">
        <f>IF(ISNA(MATCH(446,Engine!$C$2:$C$1369,0)),"",INDEX('Compliance Database'!$B$2:$B$1369,MATCH(446,Engine!$C$2:$C$1369,0)))</f>
        <v/>
      </c>
      <c r="C459" s="8">
        <f>IF(ISNA(MATCH(446,Engine!$C$2:$C$1369,0)),"",INDEX('Compliance Database'!$C$2:$C$1369,MATCH(446,Engine!$C$2:$C$1369,0)))</f>
        <v/>
      </c>
      <c r="D459" s="9">
        <f>IF(ISNA(MATCH(446,Engine!$C$2:$C$1369,0)),"",INDEX('Compliance Database'!$D$2:$D$1369,MATCH(446,Engine!$C$2:$C$1369,0)))</f>
        <v/>
      </c>
      <c r="E459" s="8">
        <f>IF(ISNA(MATCH(446,Engine!$C$2:$C$1369,0)),"",INDEX('Compliance Database'!$E$2:$E$1369,MATCH(446,Engine!$C$2:$C$1369,0)))</f>
        <v/>
      </c>
      <c r="F459" s="8">
        <f>IF(ISNA(MATCH(446,Engine!$C$2:$C$1369,0)),"",INDEX('Compliance Database'!$F$2:$F$1369,MATCH(446,Engine!$C$2:$C$1369,0)))</f>
        <v/>
      </c>
      <c r="G459" s="8">
        <f>IF(ISNA(MATCH(446,Engine!$C$2:$C$1369,0)),"",INDEX('Compliance Database'!$G$2:$G$1369,MATCH(446,Engine!$C$2:$C$1369,0)))</f>
        <v/>
      </c>
      <c r="H459" s="9">
        <f>IF(ISNA(MATCH(446,Engine!$C$2:$C$1369,0)),"",INDEX('Compliance Database'!$H$2:$H$1369,MATCH(446,Engine!$C$2:$C$1369,0)))</f>
        <v/>
      </c>
      <c r="I459" s="9">
        <f>IF(ISNA(MATCH(446,Engine!$C$2:$C$1369,0)),"",INDEX('Compliance Database'!$I$2:$I$1369,MATCH(446,Engine!$C$2:$C$1369,0)))</f>
        <v/>
      </c>
      <c r="J459" s="8">
        <f>IF(ISNA(MATCH(446,Engine!$C$2:$C$1369,0)),"",INDEX('Compliance Database'!$J$2:$J$1369,MATCH(446,Engine!$C$2:$C$1369,0)))</f>
        <v/>
      </c>
      <c r="K459" s="9">
        <f>IF(ISNA(MATCH(446,Engine!$C$2:$C$1369,0)),"",INDEX('Compliance Database'!$K$2:$K$1369,MATCH(446,Engine!$C$2:$C$1369,0)))</f>
        <v/>
      </c>
      <c r="L459" s="9">
        <f>IF(ISNA(MATCH(446,Engine!$C$2:$C$1369,0)),"",INDEX('Compliance Database'!$L$2:$L$1369,MATCH(446,Engine!$C$2:$C$1369,0)))</f>
        <v/>
      </c>
      <c r="M459" s="9">
        <f>IF(ISNA(MATCH(446,Engine!$C$2:$C$1369,0)),"",INDEX('Compliance Database'!$M$2:$M$1369,MATCH(446,Engine!$C$2:$C$1369,0)))</f>
        <v/>
      </c>
      <c r="N459" s="9">
        <f>IF(ISNA(MATCH(446,Engine!$C$2:$C$1369,0)),"",INDEX('Compliance Database'!$N$2:$N$1369,MATCH(446,Engine!$C$2:$C$1369,0)))</f>
        <v/>
      </c>
      <c r="O459" s="8">
        <f>IF(ISNA(MATCH(446,Engine!$C$2:$C$1369,0)),"",HYPERLINK(INDEX('Compliance Database'!$O$2:$O$1369,MATCH(446,Engine!$C$2:$C$1369,0)),"Open PDF"))</f>
        <v/>
      </c>
    </row>
    <row r="460" ht="188" customHeight="1">
      <c r="A460" s="8">
        <f>IF(ISNA(MATCH(447,Engine!$C$2:$C$1369,0)),"",INDEX('Compliance Database'!$A$2:$A$1369,MATCH(447,Engine!$C$2:$C$1369,0)))</f>
        <v/>
      </c>
      <c r="B460" s="8">
        <f>IF(ISNA(MATCH(447,Engine!$C$2:$C$1369,0)),"",INDEX('Compliance Database'!$B$2:$B$1369,MATCH(447,Engine!$C$2:$C$1369,0)))</f>
        <v/>
      </c>
      <c r="C460" s="8">
        <f>IF(ISNA(MATCH(447,Engine!$C$2:$C$1369,0)),"",INDEX('Compliance Database'!$C$2:$C$1369,MATCH(447,Engine!$C$2:$C$1369,0)))</f>
        <v/>
      </c>
      <c r="D460" s="9">
        <f>IF(ISNA(MATCH(447,Engine!$C$2:$C$1369,0)),"",INDEX('Compliance Database'!$D$2:$D$1369,MATCH(447,Engine!$C$2:$C$1369,0)))</f>
        <v/>
      </c>
      <c r="E460" s="8">
        <f>IF(ISNA(MATCH(447,Engine!$C$2:$C$1369,0)),"",INDEX('Compliance Database'!$E$2:$E$1369,MATCH(447,Engine!$C$2:$C$1369,0)))</f>
        <v/>
      </c>
      <c r="F460" s="8">
        <f>IF(ISNA(MATCH(447,Engine!$C$2:$C$1369,0)),"",INDEX('Compliance Database'!$F$2:$F$1369,MATCH(447,Engine!$C$2:$C$1369,0)))</f>
        <v/>
      </c>
      <c r="G460" s="8">
        <f>IF(ISNA(MATCH(447,Engine!$C$2:$C$1369,0)),"",INDEX('Compliance Database'!$G$2:$G$1369,MATCH(447,Engine!$C$2:$C$1369,0)))</f>
        <v/>
      </c>
      <c r="H460" s="9">
        <f>IF(ISNA(MATCH(447,Engine!$C$2:$C$1369,0)),"",INDEX('Compliance Database'!$H$2:$H$1369,MATCH(447,Engine!$C$2:$C$1369,0)))</f>
        <v/>
      </c>
      <c r="I460" s="9">
        <f>IF(ISNA(MATCH(447,Engine!$C$2:$C$1369,0)),"",INDEX('Compliance Database'!$I$2:$I$1369,MATCH(447,Engine!$C$2:$C$1369,0)))</f>
        <v/>
      </c>
      <c r="J460" s="8">
        <f>IF(ISNA(MATCH(447,Engine!$C$2:$C$1369,0)),"",INDEX('Compliance Database'!$J$2:$J$1369,MATCH(447,Engine!$C$2:$C$1369,0)))</f>
        <v/>
      </c>
      <c r="K460" s="9">
        <f>IF(ISNA(MATCH(447,Engine!$C$2:$C$1369,0)),"",INDEX('Compliance Database'!$K$2:$K$1369,MATCH(447,Engine!$C$2:$C$1369,0)))</f>
        <v/>
      </c>
      <c r="L460" s="9">
        <f>IF(ISNA(MATCH(447,Engine!$C$2:$C$1369,0)),"",INDEX('Compliance Database'!$L$2:$L$1369,MATCH(447,Engine!$C$2:$C$1369,0)))</f>
        <v/>
      </c>
      <c r="M460" s="9">
        <f>IF(ISNA(MATCH(447,Engine!$C$2:$C$1369,0)),"",INDEX('Compliance Database'!$M$2:$M$1369,MATCH(447,Engine!$C$2:$C$1369,0)))</f>
        <v/>
      </c>
      <c r="N460" s="9">
        <f>IF(ISNA(MATCH(447,Engine!$C$2:$C$1369,0)),"",INDEX('Compliance Database'!$N$2:$N$1369,MATCH(447,Engine!$C$2:$C$1369,0)))</f>
        <v/>
      </c>
      <c r="O460" s="8">
        <f>IF(ISNA(MATCH(447,Engine!$C$2:$C$1369,0)),"",HYPERLINK(INDEX('Compliance Database'!$O$2:$O$1369,MATCH(447,Engine!$C$2:$C$1369,0)),"Open PDF"))</f>
        <v/>
      </c>
    </row>
    <row r="461" ht="188" customHeight="1">
      <c r="A461" s="8">
        <f>IF(ISNA(MATCH(448,Engine!$C$2:$C$1369,0)),"",INDEX('Compliance Database'!$A$2:$A$1369,MATCH(448,Engine!$C$2:$C$1369,0)))</f>
        <v/>
      </c>
      <c r="B461" s="8">
        <f>IF(ISNA(MATCH(448,Engine!$C$2:$C$1369,0)),"",INDEX('Compliance Database'!$B$2:$B$1369,MATCH(448,Engine!$C$2:$C$1369,0)))</f>
        <v/>
      </c>
      <c r="C461" s="8">
        <f>IF(ISNA(MATCH(448,Engine!$C$2:$C$1369,0)),"",INDEX('Compliance Database'!$C$2:$C$1369,MATCH(448,Engine!$C$2:$C$1369,0)))</f>
        <v/>
      </c>
      <c r="D461" s="9">
        <f>IF(ISNA(MATCH(448,Engine!$C$2:$C$1369,0)),"",INDEX('Compliance Database'!$D$2:$D$1369,MATCH(448,Engine!$C$2:$C$1369,0)))</f>
        <v/>
      </c>
      <c r="E461" s="8">
        <f>IF(ISNA(MATCH(448,Engine!$C$2:$C$1369,0)),"",INDEX('Compliance Database'!$E$2:$E$1369,MATCH(448,Engine!$C$2:$C$1369,0)))</f>
        <v/>
      </c>
      <c r="F461" s="8">
        <f>IF(ISNA(MATCH(448,Engine!$C$2:$C$1369,0)),"",INDEX('Compliance Database'!$F$2:$F$1369,MATCH(448,Engine!$C$2:$C$1369,0)))</f>
        <v/>
      </c>
      <c r="G461" s="8">
        <f>IF(ISNA(MATCH(448,Engine!$C$2:$C$1369,0)),"",INDEX('Compliance Database'!$G$2:$G$1369,MATCH(448,Engine!$C$2:$C$1369,0)))</f>
        <v/>
      </c>
      <c r="H461" s="9">
        <f>IF(ISNA(MATCH(448,Engine!$C$2:$C$1369,0)),"",INDEX('Compliance Database'!$H$2:$H$1369,MATCH(448,Engine!$C$2:$C$1369,0)))</f>
        <v/>
      </c>
      <c r="I461" s="9">
        <f>IF(ISNA(MATCH(448,Engine!$C$2:$C$1369,0)),"",INDEX('Compliance Database'!$I$2:$I$1369,MATCH(448,Engine!$C$2:$C$1369,0)))</f>
        <v/>
      </c>
      <c r="J461" s="8">
        <f>IF(ISNA(MATCH(448,Engine!$C$2:$C$1369,0)),"",INDEX('Compliance Database'!$J$2:$J$1369,MATCH(448,Engine!$C$2:$C$1369,0)))</f>
        <v/>
      </c>
      <c r="K461" s="9">
        <f>IF(ISNA(MATCH(448,Engine!$C$2:$C$1369,0)),"",INDEX('Compliance Database'!$K$2:$K$1369,MATCH(448,Engine!$C$2:$C$1369,0)))</f>
        <v/>
      </c>
      <c r="L461" s="9">
        <f>IF(ISNA(MATCH(448,Engine!$C$2:$C$1369,0)),"",INDEX('Compliance Database'!$L$2:$L$1369,MATCH(448,Engine!$C$2:$C$1369,0)))</f>
        <v/>
      </c>
      <c r="M461" s="9">
        <f>IF(ISNA(MATCH(448,Engine!$C$2:$C$1369,0)),"",INDEX('Compliance Database'!$M$2:$M$1369,MATCH(448,Engine!$C$2:$C$1369,0)))</f>
        <v/>
      </c>
      <c r="N461" s="9">
        <f>IF(ISNA(MATCH(448,Engine!$C$2:$C$1369,0)),"",INDEX('Compliance Database'!$N$2:$N$1369,MATCH(448,Engine!$C$2:$C$1369,0)))</f>
        <v/>
      </c>
      <c r="O461" s="8">
        <f>IF(ISNA(MATCH(448,Engine!$C$2:$C$1369,0)),"",HYPERLINK(INDEX('Compliance Database'!$O$2:$O$1369,MATCH(448,Engine!$C$2:$C$1369,0)),"Open PDF"))</f>
        <v/>
      </c>
    </row>
    <row r="462" ht="188" customHeight="1">
      <c r="A462" s="8">
        <f>IF(ISNA(MATCH(449,Engine!$C$2:$C$1369,0)),"",INDEX('Compliance Database'!$A$2:$A$1369,MATCH(449,Engine!$C$2:$C$1369,0)))</f>
        <v/>
      </c>
      <c r="B462" s="8">
        <f>IF(ISNA(MATCH(449,Engine!$C$2:$C$1369,0)),"",INDEX('Compliance Database'!$B$2:$B$1369,MATCH(449,Engine!$C$2:$C$1369,0)))</f>
        <v/>
      </c>
      <c r="C462" s="8">
        <f>IF(ISNA(MATCH(449,Engine!$C$2:$C$1369,0)),"",INDEX('Compliance Database'!$C$2:$C$1369,MATCH(449,Engine!$C$2:$C$1369,0)))</f>
        <v/>
      </c>
      <c r="D462" s="9">
        <f>IF(ISNA(MATCH(449,Engine!$C$2:$C$1369,0)),"",INDEX('Compliance Database'!$D$2:$D$1369,MATCH(449,Engine!$C$2:$C$1369,0)))</f>
        <v/>
      </c>
      <c r="E462" s="8">
        <f>IF(ISNA(MATCH(449,Engine!$C$2:$C$1369,0)),"",INDEX('Compliance Database'!$E$2:$E$1369,MATCH(449,Engine!$C$2:$C$1369,0)))</f>
        <v/>
      </c>
      <c r="F462" s="8">
        <f>IF(ISNA(MATCH(449,Engine!$C$2:$C$1369,0)),"",INDEX('Compliance Database'!$F$2:$F$1369,MATCH(449,Engine!$C$2:$C$1369,0)))</f>
        <v/>
      </c>
      <c r="G462" s="8">
        <f>IF(ISNA(MATCH(449,Engine!$C$2:$C$1369,0)),"",INDEX('Compliance Database'!$G$2:$G$1369,MATCH(449,Engine!$C$2:$C$1369,0)))</f>
        <v/>
      </c>
      <c r="H462" s="9">
        <f>IF(ISNA(MATCH(449,Engine!$C$2:$C$1369,0)),"",INDEX('Compliance Database'!$H$2:$H$1369,MATCH(449,Engine!$C$2:$C$1369,0)))</f>
        <v/>
      </c>
      <c r="I462" s="9">
        <f>IF(ISNA(MATCH(449,Engine!$C$2:$C$1369,0)),"",INDEX('Compliance Database'!$I$2:$I$1369,MATCH(449,Engine!$C$2:$C$1369,0)))</f>
        <v/>
      </c>
      <c r="J462" s="8">
        <f>IF(ISNA(MATCH(449,Engine!$C$2:$C$1369,0)),"",INDEX('Compliance Database'!$J$2:$J$1369,MATCH(449,Engine!$C$2:$C$1369,0)))</f>
        <v/>
      </c>
      <c r="K462" s="9">
        <f>IF(ISNA(MATCH(449,Engine!$C$2:$C$1369,0)),"",INDEX('Compliance Database'!$K$2:$K$1369,MATCH(449,Engine!$C$2:$C$1369,0)))</f>
        <v/>
      </c>
      <c r="L462" s="9">
        <f>IF(ISNA(MATCH(449,Engine!$C$2:$C$1369,0)),"",INDEX('Compliance Database'!$L$2:$L$1369,MATCH(449,Engine!$C$2:$C$1369,0)))</f>
        <v/>
      </c>
      <c r="M462" s="9">
        <f>IF(ISNA(MATCH(449,Engine!$C$2:$C$1369,0)),"",INDEX('Compliance Database'!$M$2:$M$1369,MATCH(449,Engine!$C$2:$C$1369,0)))</f>
        <v/>
      </c>
      <c r="N462" s="9">
        <f>IF(ISNA(MATCH(449,Engine!$C$2:$C$1369,0)),"",INDEX('Compliance Database'!$N$2:$N$1369,MATCH(449,Engine!$C$2:$C$1369,0)))</f>
        <v/>
      </c>
      <c r="O462" s="8">
        <f>IF(ISNA(MATCH(449,Engine!$C$2:$C$1369,0)),"",HYPERLINK(INDEX('Compliance Database'!$O$2:$O$1369,MATCH(449,Engine!$C$2:$C$1369,0)),"Open PDF"))</f>
        <v/>
      </c>
    </row>
    <row r="463" ht="188" customHeight="1">
      <c r="A463" s="8">
        <f>IF(ISNA(MATCH(450,Engine!$C$2:$C$1369,0)),"",INDEX('Compliance Database'!$A$2:$A$1369,MATCH(450,Engine!$C$2:$C$1369,0)))</f>
        <v/>
      </c>
      <c r="B463" s="8">
        <f>IF(ISNA(MATCH(450,Engine!$C$2:$C$1369,0)),"",INDEX('Compliance Database'!$B$2:$B$1369,MATCH(450,Engine!$C$2:$C$1369,0)))</f>
        <v/>
      </c>
      <c r="C463" s="8">
        <f>IF(ISNA(MATCH(450,Engine!$C$2:$C$1369,0)),"",INDEX('Compliance Database'!$C$2:$C$1369,MATCH(450,Engine!$C$2:$C$1369,0)))</f>
        <v/>
      </c>
      <c r="D463" s="9">
        <f>IF(ISNA(MATCH(450,Engine!$C$2:$C$1369,0)),"",INDEX('Compliance Database'!$D$2:$D$1369,MATCH(450,Engine!$C$2:$C$1369,0)))</f>
        <v/>
      </c>
      <c r="E463" s="8">
        <f>IF(ISNA(MATCH(450,Engine!$C$2:$C$1369,0)),"",INDEX('Compliance Database'!$E$2:$E$1369,MATCH(450,Engine!$C$2:$C$1369,0)))</f>
        <v/>
      </c>
      <c r="F463" s="8">
        <f>IF(ISNA(MATCH(450,Engine!$C$2:$C$1369,0)),"",INDEX('Compliance Database'!$F$2:$F$1369,MATCH(450,Engine!$C$2:$C$1369,0)))</f>
        <v/>
      </c>
      <c r="G463" s="8">
        <f>IF(ISNA(MATCH(450,Engine!$C$2:$C$1369,0)),"",INDEX('Compliance Database'!$G$2:$G$1369,MATCH(450,Engine!$C$2:$C$1369,0)))</f>
        <v/>
      </c>
      <c r="H463" s="9">
        <f>IF(ISNA(MATCH(450,Engine!$C$2:$C$1369,0)),"",INDEX('Compliance Database'!$H$2:$H$1369,MATCH(450,Engine!$C$2:$C$1369,0)))</f>
        <v/>
      </c>
      <c r="I463" s="9">
        <f>IF(ISNA(MATCH(450,Engine!$C$2:$C$1369,0)),"",INDEX('Compliance Database'!$I$2:$I$1369,MATCH(450,Engine!$C$2:$C$1369,0)))</f>
        <v/>
      </c>
      <c r="J463" s="8">
        <f>IF(ISNA(MATCH(450,Engine!$C$2:$C$1369,0)),"",INDEX('Compliance Database'!$J$2:$J$1369,MATCH(450,Engine!$C$2:$C$1369,0)))</f>
        <v/>
      </c>
      <c r="K463" s="9">
        <f>IF(ISNA(MATCH(450,Engine!$C$2:$C$1369,0)),"",INDEX('Compliance Database'!$K$2:$K$1369,MATCH(450,Engine!$C$2:$C$1369,0)))</f>
        <v/>
      </c>
      <c r="L463" s="9">
        <f>IF(ISNA(MATCH(450,Engine!$C$2:$C$1369,0)),"",INDEX('Compliance Database'!$L$2:$L$1369,MATCH(450,Engine!$C$2:$C$1369,0)))</f>
        <v/>
      </c>
      <c r="M463" s="9">
        <f>IF(ISNA(MATCH(450,Engine!$C$2:$C$1369,0)),"",INDEX('Compliance Database'!$M$2:$M$1369,MATCH(450,Engine!$C$2:$C$1369,0)))</f>
        <v/>
      </c>
      <c r="N463" s="9">
        <f>IF(ISNA(MATCH(450,Engine!$C$2:$C$1369,0)),"",INDEX('Compliance Database'!$N$2:$N$1369,MATCH(450,Engine!$C$2:$C$1369,0)))</f>
        <v/>
      </c>
      <c r="O463" s="8">
        <f>IF(ISNA(MATCH(450,Engine!$C$2:$C$1369,0)),"",HYPERLINK(INDEX('Compliance Database'!$O$2:$O$1369,MATCH(450,Engine!$C$2:$C$1369,0)),"Open PDF"))</f>
        <v/>
      </c>
    </row>
    <row r="464" ht="188" customHeight="1">
      <c r="A464" s="8">
        <f>IF(ISNA(MATCH(451,Engine!$C$2:$C$1369,0)),"",INDEX('Compliance Database'!$A$2:$A$1369,MATCH(451,Engine!$C$2:$C$1369,0)))</f>
        <v/>
      </c>
      <c r="B464" s="8">
        <f>IF(ISNA(MATCH(451,Engine!$C$2:$C$1369,0)),"",INDEX('Compliance Database'!$B$2:$B$1369,MATCH(451,Engine!$C$2:$C$1369,0)))</f>
        <v/>
      </c>
      <c r="C464" s="8">
        <f>IF(ISNA(MATCH(451,Engine!$C$2:$C$1369,0)),"",INDEX('Compliance Database'!$C$2:$C$1369,MATCH(451,Engine!$C$2:$C$1369,0)))</f>
        <v/>
      </c>
      <c r="D464" s="9">
        <f>IF(ISNA(MATCH(451,Engine!$C$2:$C$1369,0)),"",INDEX('Compliance Database'!$D$2:$D$1369,MATCH(451,Engine!$C$2:$C$1369,0)))</f>
        <v/>
      </c>
      <c r="E464" s="8">
        <f>IF(ISNA(MATCH(451,Engine!$C$2:$C$1369,0)),"",INDEX('Compliance Database'!$E$2:$E$1369,MATCH(451,Engine!$C$2:$C$1369,0)))</f>
        <v/>
      </c>
      <c r="F464" s="8">
        <f>IF(ISNA(MATCH(451,Engine!$C$2:$C$1369,0)),"",INDEX('Compliance Database'!$F$2:$F$1369,MATCH(451,Engine!$C$2:$C$1369,0)))</f>
        <v/>
      </c>
      <c r="G464" s="8">
        <f>IF(ISNA(MATCH(451,Engine!$C$2:$C$1369,0)),"",INDEX('Compliance Database'!$G$2:$G$1369,MATCH(451,Engine!$C$2:$C$1369,0)))</f>
        <v/>
      </c>
      <c r="H464" s="9">
        <f>IF(ISNA(MATCH(451,Engine!$C$2:$C$1369,0)),"",INDEX('Compliance Database'!$H$2:$H$1369,MATCH(451,Engine!$C$2:$C$1369,0)))</f>
        <v/>
      </c>
      <c r="I464" s="9">
        <f>IF(ISNA(MATCH(451,Engine!$C$2:$C$1369,0)),"",INDEX('Compliance Database'!$I$2:$I$1369,MATCH(451,Engine!$C$2:$C$1369,0)))</f>
        <v/>
      </c>
      <c r="J464" s="8">
        <f>IF(ISNA(MATCH(451,Engine!$C$2:$C$1369,0)),"",INDEX('Compliance Database'!$J$2:$J$1369,MATCH(451,Engine!$C$2:$C$1369,0)))</f>
        <v/>
      </c>
      <c r="K464" s="9">
        <f>IF(ISNA(MATCH(451,Engine!$C$2:$C$1369,0)),"",INDEX('Compliance Database'!$K$2:$K$1369,MATCH(451,Engine!$C$2:$C$1369,0)))</f>
        <v/>
      </c>
      <c r="L464" s="9">
        <f>IF(ISNA(MATCH(451,Engine!$C$2:$C$1369,0)),"",INDEX('Compliance Database'!$L$2:$L$1369,MATCH(451,Engine!$C$2:$C$1369,0)))</f>
        <v/>
      </c>
      <c r="M464" s="9">
        <f>IF(ISNA(MATCH(451,Engine!$C$2:$C$1369,0)),"",INDEX('Compliance Database'!$M$2:$M$1369,MATCH(451,Engine!$C$2:$C$1369,0)))</f>
        <v/>
      </c>
      <c r="N464" s="9">
        <f>IF(ISNA(MATCH(451,Engine!$C$2:$C$1369,0)),"",INDEX('Compliance Database'!$N$2:$N$1369,MATCH(451,Engine!$C$2:$C$1369,0)))</f>
        <v/>
      </c>
      <c r="O464" s="8">
        <f>IF(ISNA(MATCH(451,Engine!$C$2:$C$1369,0)),"",HYPERLINK(INDEX('Compliance Database'!$O$2:$O$1369,MATCH(451,Engine!$C$2:$C$1369,0)),"Open PDF"))</f>
        <v/>
      </c>
    </row>
    <row r="465" ht="188" customHeight="1">
      <c r="A465" s="8">
        <f>IF(ISNA(MATCH(452,Engine!$C$2:$C$1369,0)),"",INDEX('Compliance Database'!$A$2:$A$1369,MATCH(452,Engine!$C$2:$C$1369,0)))</f>
        <v/>
      </c>
      <c r="B465" s="8">
        <f>IF(ISNA(MATCH(452,Engine!$C$2:$C$1369,0)),"",INDEX('Compliance Database'!$B$2:$B$1369,MATCH(452,Engine!$C$2:$C$1369,0)))</f>
        <v/>
      </c>
      <c r="C465" s="8">
        <f>IF(ISNA(MATCH(452,Engine!$C$2:$C$1369,0)),"",INDEX('Compliance Database'!$C$2:$C$1369,MATCH(452,Engine!$C$2:$C$1369,0)))</f>
        <v/>
      </c>
      <c r="D465" s="9">
        <f>IF(ISNA(MATCH(452,Engine!$C$2:$C$1369,0)),"",INDEX('Compliance Database'!$D$2:$D$1369,MATCH(452,Engine!$C$2:$C$1369,0)))</f>
        <v/>
      </c>
      <c r="E465" s="8">
        <f>IF(ISNA(MATCH(452,Engine!$C$2:$C$1369,0)),"",INDEX('Compliance Database'!$E$2:$E$1369,MATCH(452,Engine!$C$2:$C$1369,0)))</f>
        <v/>
      </c>
      <c r="F465" s="8">
        <f>IF(ISNA(MATCH(452,Engine!$C$2:$C$1369,0)),"",INDEX('Compliance Database'!$F$2:$F$1369,MATCH(452,Engine!$C$2:$C$1369,0)))</f>
        <v/>
      </c>
      <c r="G465" s="8">
        <f>IF(ISNA(MATCH(452,Engine!$C$2:$C$1369,0)),"",INDEX('Compliance Database'!$G$2:$G$1369,MATCH(452,Engine!$C$2:$C$1369,0)))</f>
        <v/>
      </c>
      <c r="H465" s="9">
        <f>IF(ISNA(MATCH(452,Engine!$C$2:$C$1369,0)),"",INDEX('Compliance Database'!$H$2:$H$1369,MATCH(452,Engine!$C$2:$C$1369,0)))</f>
        <v/>
      </c>
      <c r="I465" s="9">
        <f>IF(ISNA(MATCH(452,Engine!$C$2:$C$1369,0)),"",INDEX('Compliance Database'!$I$2:$I$1369,MATCH(452,Engine!$C$2:$C$1369,0)))</f>
        <v/>
      </c>
      <c r="J465" s="8">
        <f>IF(ISNA(MATCH(452,Engine!$C$2:$C$1369,0)),"",INDEX('Compliance Database'!$J$2:$J$1369,MATCH(452,Engine!$C$2:$C$1369,0)))</f>
        <v/>
      </c>
      <c r="K465" s="9">
        <f>IF(ISNA(MATCH(452,Engine!$C$2:$C$1369,0)),"",INDEX('Compliance Database'!$K$2:$K$1369,MATCH(452,Engine!$C$2:$C$1369,0)))</f>
        <v/>
      </c>
      <c r="L465" s="9">
        <f>IF(ISNA(MATCH(452,Engine!$C$2:$C$1369,0)),"",INDEX('Compliance Database'!$L$2:$L$1369,MATCH(452,Engine!$C$2:$C$1369,0)))</f>
        <v/>
      </c>
      <c r="M465" s="9">
        <f>IF(ISNA(MATCH(452,Engine!$C$2:$C$1369,0)),"",INDEX('Compliance Database'!$M$2:$M$1369,MATCH(452,Engine!$C$2:$C$1369,0)))</f>
        <v/>
      </c>
      <c r="N465" s="9">
        <f>IF(ISNA(MATCH(452,Engine!$C$2:$C$1369,0)),"",INDEX('Compliance Database'!$N$2:$N$1369,MATCH(452,Engine!$C$2:$C$1369,0)))</f>
        <v/>
      </c>
      <c r="O465" s="8">
        <f>IF(ISNA(MATCH(452,Engine!$C$2:$C$1369,0)),"",HYPERLINK(INDEX('Compliance Database'!$O$2:$O$1369,MATCH(452,Engine!$C$2:$C$1369,0)),"Open PDF"))</f>
        <v/>
      </c>
    </row>
    <row r="466" ht="188" customHeight="1">
      <c r="A466" s="8">
        <f>IF(ISNA(MATCH(453,Engine!$C$2:$C$1369,0)),"",INDEX('Compliance Database'!$A$2:$A$1369,MATCH(453,Engine!$C$2:$C$1369,0)))</f>
        <v/>
      </c>
      <c r="B466" s="8">
        <f>IF(ISNA(MATCH(453,Engine!$C$2:$C$1369,0)),"",INDEX('Compliance Database'!$B$2:$B$1369,MATCH(453,Engine!$C$2:$C$1369,0)))</f>
        <v/>
      </c>
      <c r="C466" s="8">
        <f>IF(ISNA(MATCH(453,Engine!$C$2:$C$1369,0)),"",INDEX('Compliance Database'!$C$2:$C$1369,MATCH(453,Engine!$C$2:$C$1369,0)))</f>
        <v/>
      </c>
      <c r="D466" s="9">
        <f>IF(ISNA(MATCH(453,Engine!$C$2:$C$1369,0)),"",INDEX('Compliance Database'!$D$2:$D$1369,MATCH(453,Engine!$C$2:$C$1369,0)))</f>
        <v/>
      </c>
      <c r="E466" s="8">
        <f>IF(ISNA(MATCH(453,Engine!$C$2:$C$1369,0)),"",INDEX('Compliance Database'!$E$2:$E$1369,MATCH(453,Engine!$C$2:$C$1369,0)))</f>
        <v/>
      </c>
      <c r="F466" s="8">
        <f>IF(ISNA(MATCH(453,Engine!$C$2:$C$1369,0)),"",INDEX('Compliance Database'!$F$2:$F$1369,MATCH(453,Engine!$C$2:$C$1369,0)))</f>
        <v/>
      </c>
      <c r="G466" s="8">
        <f>IF(ISNA(MATCH(453,Engine!$C$2:$C$1369,0)),"",INDEX('Compliance Database'!$G$2:$G$1369,MATCH(453,Engine!$C$2:$C$1369,0)))</f>
        <v/>
      </c>
      <c r="H466" s="9">
        <f>IF(ISNA(MATCH(453,Engine!$C$2:$C$1369,0)),"",INDEX('Compliance Database'!$H$2:$H$1369,MATCH(453,Engine!$C$2:$C$1369,0)))</f>
        <v/>
      </c>
      <c r="I466" s="9">
        <f>IF(ISNA(MATCH(453,Engine!$C$2:$C$1369,0)),"",INDEX('Compliance Database'!$I$2:$I$1369,MATCH(453,Engine!$C$2:$C$1369,0)))</f>
        <v/>
      </c>
      <c r="J466" s="8">
        <f>IF(ISNA(MATCH(453,Engine!$C$2:$C$1369,0)),"",INDEX('Compliance Database'!$J$2:$J$1369,MATCH(453,Engine!$C$2:$C$1369,0)))</f>
        <v/>
      </c>
      <c r="K466" s="9">
        <f>IF(ISNA(MATCH(453,Engine!$C$2:$C$1369,0)),"",INDEX('Compliance Database'!$K$2:$K$1369,MATCH(453,Engine!$C$2:$C$1369,0)))</f>
        <v/>
      </c>
      <c r="L466" s="9">
        <f>IF(ISNA(MATCH(453,Engine!$C$2:$C$1369,0)),"",INDEX('Compliance Database'!$L$2:$L$1369,MATCH(453,Engine!$C$2:$C$1369,0)))</f>
        <v/>
      </c>
      <c r="M466" s="9">
        <f>IF(ISNA(MATCH(453,Engine!$C$2:$C$1369,0)),"",INDEX('Compliance Database'!$M$2:$M$1369,MATCH(453,Engine!$C$2:$C$1369,0)))</f>
        <v/>
      </c>
      <c r="N466" s="9">
        <f>IF(ISNA(MATCH(453,Engine!$C$2:$C$1369,0)),"",INDEX('Compliance Database'!$N$2:$N$1369,MATCH(453,Engine!$C$2:$C$1369,0)))</f>
        <v/>
      </c>
      <c r="O466" s="8">
        <f>IF(ISNA(MATCH(453,Engine!$C$2:$C$1369,0)),"",HYPERLINK(INDEX('Compliance Database'!$O$2:$O$1369,MATCH(453,Engine!$C$2:$C$1369,0)),"Open PDF"))</f>
        <v/>
      </c>
    </row>
    <row r="467" ht="188" customHeight="1">
      <c r="A467" s="8">
        <f>IF(ISNA(MATCH(454,Engine!$C$2:$C$1369,0)),"",INDEX('Compliance Database'!$A$2:$A$1369,MATCH(454,Engine!$C$2:$C$1369,0)))</f>
        <v/>
      </c>
      <c r="B467" s="8">
        <f>IF(ISNA(MATCH(454,Engine!$C$2:$C$1369,0)),"",INDEX('Compliance Database'!$B$2:$B$1369,MATCH(454,Engine!$C$2:$C$1369,0)))</f>
        <v/>
      </c>
      <c r="C467" s="8">
        <f>IF(ISNA(MATCH(454,Engine!$C$2:$C$1369,0)),"",INDEX('Compliance Database'!$C$2:$C$1369,MATCH(454,Engine!$C$2:$C$1369,0)))</f>
        <v/>
      </c>
      <c r="D467" s="9">
        <f>IF(ISNA(MATCH(454,Engine!$C$2:$C$1369,0)),"",INDEX('Compliance Database'!$D$2:$D$1369,MATCH(454,Engine!$C$2:$C$1369,0)))</f>
        <v/>
      </c>
      <c r="E467" s="8">
        <f>IF(ISNA(MATCH(454,Engine!$C$2:$C$1369,0)),"",INDEX('Compliance Database'!$E$2:$E$1369,MATCH(454,Engine!$C$2:$C$1369,0)))</f>
        <v/>
      </c>
      <c r="F467" s="8">
        <f>IF(ISNA(MATCH(454,Engine!$C$2:$C$1369,0)),"",INDEX('Compliance Database'!$F$2:$F$1369,MATCH(454,Engine!$C$2:$C$1369,0)))</f>
        <v/>
      </c>
      <c r="G467" s="8">
        <f>IF(ISNA(MATCH(454,Engine!$C$2:$C$1369,0)),"",INDEX('Compliance Database'!$G$2:$G$1369,MATCH(454,Engine!$C$2:$C$1369,0)))</f>
        <v/>
      </c>
      <c r="H467" s="9">
        <f>IF(ISNA(MATCH(454,Engine!$C$2:$C$1369,0)),"",INDEX('Compliance Database'!$H$2:$H$1369,MATCH(454,Engine!$C$2:$C$1369,0)))</f>
        <v/>
      </c>
      <c r="I467" s="9">
        <f>IF(ISNA(MATCH(454,Engine!$C$2:$C$1369,0)),"",INDEX('Compliance Database'!$I$2:$I$1369,MATCH(454,Engine!$C$2:$C$1369,0)))</f>
        <v/>
      </c>
      <c r="J467" s="8">
        <f>IF(ISNA(MATCH(454,Engine!$C$2:$C$1369,0)),"",INDEX('Compliance Database'!$J$2:$J$1369,MATCH(454,Engine!$C$2:$C$1369,0)))</f>
        <v/>
      </c>
      <c r="K467" s="9">
        <f>IF(ISNA(MATCH(454,Engine!$C$2:$C$1369,0)),"",INDEX('Compliance Database'!$K$2:$K$1369,MATCH(454,Engine!$C$2:$C$1369,0)))</f>
        <v/>
      </c>
      <c r="L467" s="9">
        <f>IF(ISNA(MATCH(454,Engine!$C$2:$C$1369,0)),"",INDEX('Compliance Database'!$L$2:$L$1369,MATCH(454,Engine!$C$2:$C$1369,0)))</f>
        <v/>
      </c>
      <c r="M467" s="9">
        <f>IF(ISNA(MATCH(454,Engine!$C$2:$C$1369,0)),"",INDEX('Compliance Database'!$M$2:$M$1369,MATCH(454,Engine!$C$2:$C$1369,0)))</f>
        <v/>
      </c>
      <c r="N467" s="9">
        <f>IF(ISNA(MATCH(454,Engine!$C$2:$C$1369,0)),"",INDEX('Compliance Database'!$N$2:$N$1369,MATCH(454,Engine!$C$2:$C$1369,0)))</f>
        <v/>
      </c>
      <c r="O467" s="8">
        <f>IF(ISNA(MATCH(454,Engine!$C$2:$C$1369,0)),"",HYPERLINK(INDEX('Compliance Database'!$O$2:$O$1369,MATCH(454,Engine!$C$2:$C$1369,0)),"Open PDF"))</f>
        <v/>
      </c>
    </row>
    <row r="468" ht="188" customHeight="1">
      <c r="A468" s="8">
        <f>IF(ISNA(MATCH(455,Engine!$C$2:$C$1369,0)),"",INDEX('Compliance Database'!$A$2:$A$1369,MATCH(455,Engine!$C$2:$C$1369,0)))</f>
        <v/>
      </c>
      <c r="B468" s="8">
        <f>IF(ISNA(MATCH(455,Engine!$C$2:$C$1369,0)),"",INDEX('Compliance Database'!$B$2:$B$1369,MATCH(455,Engine!$C$2:$C$1369,0)))</f>
        <v/>
      </c>
      <c r="C468" s="8">
        <f>IF(ISNA(MATCH(455,Engine!$C$2:$C$1369,0)),"",INDEX('Compliance Database'!$C$2:$C$1369,MATCH(455,Engine!$C$2:$C$1369,0)))</f>
        <v/>
      </c>
      <c r="D468" s="9">
        <f>IF(ISNA(MATCH(455,Engine!$C$2:$C$1369,0)),"",INDEX('Compliance Database'!$D$2:$D$1369,MATCH(455,Engine!$C$2:$C$1369,0)))</f>
        <v/>
      </c>
      <c r="E468" s="8">
        <f>IF(ISNA(MATCH(455,Engine!$C$2:$C$1369,0)),"",INDEX('Compliance Database'!$E$2:$E$1369,MATCH(455,Engine!$C$2:$C$1369,0)))</f>
        <v/>
      </c>
      <c r="F468" s="8">
        <f>IF(ISNA(MATCH(455,Engine!$C$2:$C$1369,0)),"",INDEX('Compliance Database'!$F$2:$F$1369,MATCH(455,Engine!$C$2:$C$1369,0)))</f>
        <v/>
      </c>
      <c r="G468" s="8">
        <f>IF(ISNA(MATCH(455,Engine!$C$2:$C$1369,0)),"",INDEX('Compliance Database'!$G$2:$G$1369,MATCH(455,Engine!$C$2:$C$1369,0)))</f>
        <v/>
      </c>
      <c r="H468" s="9">
        <f>IF(ISNA(MATCH(455,Engine!$C$2:$C$1369,0)),"",INDEX('Compliance Database'!$H$2:$H$1369,MATCH(455,Engine!$C$2:$C$1369,0)))</f>
        <v/>
      </c>
      <c r="I468" s="9">
        <f>IF(ISNA(MATCH(455,Engine!$C$2:$C$1369,0)),"",INDEX('Compliance Database'!$I$2:$I$1369,MATCH(455,Engine!$C$2:$C$1369,0)))</f>
        <v/>
      </c>
      <c r="J468" s="8">
        <f>IF(ISNA(MATCH(455,Engine!$C$2:$C$1369,0)),"",INDEX('Compliance Database'!$J$2:$J$1369,MATCH(455,Engine!$C$2:$C$1369,0)))</f>
        <v/>
      </c>
      <c r="K468" s="9">
        <f>IF(ISNA(MATCH(455,Engine!$C$2:$C$1369,0)),"",INDEX('Compliance Database'!$K$2:$K$1369,MATCH(455,Engine!$C$2:$C$1369,0)))</f>
        <v/>
      </c>
      <c r="L468" s="9">
        <f>IF(ISNA(MATCH(455,Engine!$C$2:$C$1369,0)),"",INDEX('Compliance Database'!$L$2:$L$1369,MATCH(455,Engine!$C$2:$C$1369,0)))</f>
        <v/>
      </c>
      <c r="M468" s="9">
        <f>IF(ISNA(MATCH(455,Engine!$C$2:$C$1369,0)),"",INDEX('Compliance Database'!$M$2:$M$1369,MATCH(455,Engine!$C$2:$C$1369,0)))</f>
        <v/>
      </c>
      <c r="N468" s="9">
        <f>IF(ISNA(MATCH(455,Engine!$C$2:$C$1369,0)),"",INDEX('Compliance Database'!$N$2:$N$1369,MATCH(455,Engine!$C$2:$C$1369,0)))</f>
        <v/>
      </c>
      <c r="O468" s="8">
        <f>IF(ISNA(MATCH(455,Engine!$C$2:$C$1369,0)),"",HYPERLINK(INDEX('Compliance Database'!$O$2:$O$1369,MATCH(455,Engine!$C$2:$C$1369,0)),"Open PDF"))</f>
        <v/>
      </c>
    </row>
    <row r="469" ht="188" customHeight="1">
      <c r="A469" s="8">
        <f>IF(ISNA(MATCH(456,Engine!$C$2:$C$1369,0)),"",INDEX('Compliance Database'!$A$2:$A$1369,MATCH(456,Engine!$C$2:$C$1369,0)))</f>
        <v/>
      </c>
      <c r="B469" s="8">
        <f>IF(ISNA(MATCH(456,Engine!$C$2:$C$1369,0)),"",INDEX('Compliance Database'!$B$2:$B$1369,MATCH(456,Engine!$C$2:$C$1369,0)))</f>
        <v/>
      </c>
      <c r="C469" s="8">
        <f>IF(ISNA(MATCH(456,Engine!$C$2:$C$1369,0)),"",INDEX('Compliance Database'!$C$2:$C$1369,MATCH(456,Engine!$C$2:$C$1369,0)))</f>
        <v/>
      </c>
      <c r="D469" s="9">
        <f>IF(ISNA(MATCH(456,Engine!$C$2:$C$1369,0)),"",INDEX('Compliance Database'!$D$2:$D$1369,MATCH(456,Engine!$C$2:$C$1369,0)))</f>
        <v/>
      </c>
      <c r="E469" s="8">
        <f>IF(ISNA(MATCH(456,Engine!$C$2:$C$1369,0)),"",INDEX('Compliance Database'!$E$2:$E$1369,MATCH(456,Engine!$C$2:$C$1369,0)))</f>
        <v/>
      </c>
      <c r="F469" s="8">
        <f>IF(ISNA(MATCH(456,Engine!$C$2:$C$1369,0)),"",INDEX('Compliance Database'!$F$2:$F$1369,MATCH(456,Engine!$C$2:$C$1369,0)))</f>
        <v/>
      </c>
      <c r="G469" s="8">
        <f>IF(ISNA(MATCH(456,Engine!$C$2:$C$1369,0)),"",INDEX('Compliance Database'!$G$2:$G$1369,MATCH(456,Engine!$C$2:$C$1369,0)))</f>
        <v/>
      </c>
      <c r="H469" s="9">
        <f>IF(ISNA(MATCH(456,Engine!$C$2:$C$1369,0)),"",INDEX('Compliance Database'!$H$2:$H$1369,MATCH(456,Engine!$C$2:$C$1369,0)))</f>
        <v/>
      </c>
      <c r="I469" s="9">
        <f>IF(ISNA(MATCH(456,Engine!$C$2:$C$1369,0)),"",INDEX('Compliance Database'!$I$2:$I$1369,MATCH(456,Engine!$C$2:$C$1369,0)))</f>
        <v/>
      </c>
      <c r="J469" s="8">
        <f>IF(ISNA(MATCH(456,Engine!$C$2:$C$1369,0)),"",INDEX('Compliance Database'!$J$2:$J$1369,MATCH(456,Engine!$C$2:$C$1369,0)))</f>
        <v/>
      </c>
      <c r="K469" s="9">
        <f>IF(ISNA(MATCH(456,Engine!$C$2:$C$1369,0)),"",INDEX('Compliance Database'!$K$2:$K$1369,MATCH(456,Engine!$C$2:$C$1369,0)))</f>
        <v/>
      </c>
      <c r="L469" s="9">
        <f>IF(ISNA(MATCH(456,Engine!$C$2:$C$1369,0)),"",INDEX('Compliance Database'!$L$2:$L$1369,MATCH(456,Engine!$C$2:$C$1369,0)))</f>
        <v/>
      </c>
      <c r="M469" s="9">
        <f>IF(ISNA(MATCH(456,Engine!$C$2:$C$1369,0)),"",INDEX('Compliance Database'!$M$2:$M$1369,MATCH(456,Engine!$C$2:$C$1369,0)))</f>
        <v/>
      </c>
      <c r="N469" s="9">
        <f>IF(ISNA(MATCH(456,Engine!$C$2:$C$1369,0)),"",INDEX('Compliance Database'!$N$2:$N$1369,MATCH(456,Engine!$C$2:$C$1369,0)))</f>
        <v/>
      </c>
      <c r="O469" s="8">
        <f>IF(ISNA(MATCH(456,Engine!$C$2:$C$1369,0)),"",HYPERLINK(INDEX('Compliance Database'!$O$2:$O$1369,MATCH(456,Engine!$C$2:$C$1369,0)),"Open PDF"))</f>
        <v/>
      </c>
    </row>
    <row r="470" ht="188" customHeight="1">
      <c r="A470" s="8">
        <f>IF(ISNA(MATCH(457,Engine!$C$2:$C$1369,0)),"",INDEX('Compliance Database'!$A$2:$A$1369,MATCH(457,Engine!$C$2:$C$1369,0)))</f>
        <v/>
      </c>
      <c r="B470" s="8">
        <f>IF(ISNA(MATCH(457,Engine!$C$2:$C$1369,0)),"",INDEX('Compliance Database'!$B$2:$B$1369,MATCH(457,Engine!$C$2:$C$1369,0)))</f>
        <v/>
      </c>
      <c r="C470" s="8">
        <f>IF(ISNA(MATCH(457,Engine!$C$2:$C$1369,0)),"",INDEX('Compliance Database'!$C$2:$C$1369,MATCH(457,Engine!$C$2:$C$1369,0)))</f>
        <v/>
      </c>
      <c r="D470" s="9">
        <f>IF(ISNA(MATCH(457,Engine!$C$2:$C$1369,0)),"",INDEX('Compliance Database'!$D$2:$D$1369,MATCH(457,Engine!$C$2:$C$1369,0)))</f>
        <v/>
      </c>
      <c r="E470" s="8">
        <f>IF(ISNA(MATCH(457,Engine!$C$2:$C$1369,0)),"",INDEX('Compliance Database'!$E$2:$E$1369,MATCH(457,Engine!$C$2:$C$1369,0)))</f>
        <v/>
      </c>
      <c r="F470" s="8">
        <f>IF(ISNA(MATCH(457,Engine!$C$2:$C$1369,0)),"",INDEX('Compliance Database'!$F$2:$F$1369,MATCH(457,Engine!$C$2:$C$1369,0)))</f>
        <v/>
      </c>
      <c r="G470" s="8">
        <f>IF(ISNA(MATCH(457,Engine!$C$2:$C$1369,0)),"",INDEX('Compliance Database'!$G$2:$G$1369,MATCH(457,Engine!$C$2:$C$1369,0)))</f>
        <v/>
      </c>
      <c r="H470" s="9">
        <f>IF(ISNA(MATCH(457,Engine!$C$2:$C$1369,0)),"",INDEX('Compliance Database'!$H$2:$H$1369,MATCH(457,Engine!$C$2:$C$1369,0)))</f>
        <v/>
      </c>
      <c r="I470" s="9">
        <f>IF(ISNA(MATCH(457,Engine!$C$2:$C$1369,0)),"",INDEX('Compliance Database'!$I$2:$I$1369,MATCH(457,Engine!$C$2:$C$1369,0)))</f>
        <v/>
      </c>
      <c r="J470" s="8">
        <f>IF(ISNA(MATCH(457,Engine!$C$2:$C$1369,0)),"",INDEX('Compliance Database'!$J$2:$J$1369,MATCH(457,Engine!$C$2:$C$1369,0)))</f>
        <v/>
      </c>
      <c r="K470" s="9">
        <f>IF(ISNA(MATCH(457,Engine!$C$2:$C$1369,0)),"",INDEX('Compliance Database'!$K$2:$K$1369,MATCH(457,Engine!$C$2:$C$1369,0)))</f>
        <v/>
      </c>
      <c r="L470" s="9">
        <f>IF(ISNA(MATCH(457,Engine!$C$2:$C$1369,0)),"",INDEX('Compliance Database'!$L$2:$L$1369,MATCH(457,Engine!$C$2:$C$1369,0)))</f>
        <v/>
      </c>
      <c r="M470" s="9">
        <f>IF(ISNA(MATCH(457,Engine!$C$2:$C$1369,0)),"",INDEX('Compliance Database'!$M$2:$M$1369,MATCH(457,Engine!$C$2:$C$1369,0)))</f>
        <v/>
      </c>
      <c r="N470" s="9">
        <f>IF(ISNA(MATCH(457,Engine!$C$2:$C$1369,0)),"",INDEX('Compliance Database'!$N$2:$N$1369,MATCH(457,Engine!$C$2:$C$1369,0)))</f>
        <v/>
      </c>
      <c r="O470" s="8">
        <f>IF(ISNA(MATCH(457,Engine!$C$2:$C$1369,0)),"",HYPERLINK(INDEX('Compliance Database'!$O$2:$O$1369,MATCH(457,Engine!$C$2:$C$1369,0)),"Open PDF"))</f>
        <v/>
      </c>
    </row>
    <row r="471" ht="188" customHeight="1">
      <c r="A471" s="8">
        <f>IF(ISNA(MATCH(458,Engine!$C$2:$C$1369,0)),"",INDEX('Compliance Database'!$A$2:$A$1369,MATCH(458,Engine!$C$2:$C$1369,0)))</f>
        <v/>
      </c>
      <c r="B471" s="8">
        <f>IF(ISNA(MATCH(458,Engine!$C$2:$C$1369,0)),"",INDEX('Compliance Database'!$B$2:$B$1369,MATCH(458,Engine!$C$2:$C$1369,0)))</f>
        <v/>
      </c>
      <c r="C471" s="8">
        <f>IF(ISNA(MATCH(458,Engine!$C$2:$C$1369,0)),"",INDEX('Compliance Database'!$C$2:$C$1369,MATCH(458,Engine!$C$2:$C$1369,0)))</f>
        <v/>
      </c>
      <c r="D471" s="9">
        <f>IF(ISNA(MATCH(458,Engine!$C$2:$C$1369,0)),"",INDEX('Compliance Database'!$D$2:$D$1369,MATCH(458,Engine!$C$2:$C$1369,0)))</f>
        <v/>
      </c>
      <c r="E471" s="8">
        <f>IF(ISNA(MATCH(458,Engine!$C$2:$C$1369,0)),"",INDEX('Compliance Database'!$E$2:$E$1369,MATCH(458,Engine!$C$2:$C$1369,0)))</f>
        <v/>
      </c>
      <c r="F471" s="8">
        <f>IF(ISNA(MATCH(458,Engine!$C$2:$C$1369,0)),"",INDEX('Compliance Database'!$F$2:$F$1369,MATCH(458,Engine!$C$2:$C$1369,0)))</f>
        <v/>
      </c>
      <c r="G471" s="8">
        <f>IF(ISNA(MATCH(458,Engine!$C$2:$C$1369,0)),"",INDEX('Compliance Database'!$G$2:$G$1369,MATCH(458,Engine!$C$2:$C$1369,0)))</f>
        <v/>
      </c>
      <c r="H471" s="9">
        <f>IF(ISNA(MATCH(458,Engine!$C$2:$C$1369,0)),"",INDEX('Compliance Database'!$H$2:$H$1369,MATCH(458,Engine!$C$2:$C$1369,0)))</f>
        <v/>
      </c>
      <c r="I471" s="9">
        <f>IF(ISNA(MATCH(458,Engine!$C$2:$C$1369,0)),"",INDEX('Compliance Database'!$I$2:$I$1369,MATCH(458,Engine!$C$2:$C$1369,0)))</f>
        <v/>
      </c>
      <c r="J471" s="8">
        <f>IF(ISNA(MATCH(458,Engine!$C$2:$C$1369,0)),"",INDEX('Compliance Database'!$J$2:$J$1369,MATCH(458,Engine!$C$2:$C$1369,0)))</f>
        <v/>
      </c>
      <c r="K471" s="9">
        <f>IF(ISNA(MATCH(458,Engine!$C$2:$C$1369,0)),"",INDEX('Compliance Database'!$K$2:$K$1369,MATCH(458,Engine!$C$2:$C$1369,0)))</f>
        <v/>
      </c>
      <c r="L471" s="9">
        <f>IF(ISNA(MATCH(458,Engine!$C$2:$C$1369,0)),"",INDEX('Compliance Database'!$L$2:$L$1369,MATCH(458,Engine!$C$2:$C$1369,0)))</f>
        <v/>
      </c>
      <c r="M471" s="9">
        <f>IF(ISNA(MATCH(458,Engine!$C$2:$C$1369,0)),"",INDEX('Compliance Database'!$M$2:$M$1369,MATCH(458,Engine!$C$2:$C$1369,0)))</f>
        <v/>
      </c>
      <c r="N471" s="9">
        <f>IF(ISNA(MATCH(458,Engine!$C$2:$C$1369,0)),"",INDEX('Compliance Database'!$N$2:$N$1369,MATCH(458,Engine!$C$2:$C$1369,0)))</f>
        <v/>
      </c>
      <c r="O471" s="8">
        <f>IF(ISNA(MATCH(458,Engine!$C$2:$C$1369,0)),"",HYPERLINK(INDEX('Compliance Database'!$O$2:$O$1369,MATCH(458,Engine!$C$2:$C$1369,0)),"Open PDF"))</f>
        <v/>
      </c>
    </row>
    <row r="472" ht="188" customHeight="1">
      <c r="A472" s="8">
        <f>IF(ISNA(MATCH(459,Engine!$C$2:$C$1369,0)),"",INDEX('Compliance Database'!$A$2:$A$1369,MATCH(459,Engine!$C$2:$C$1369,0)))</f>
        <v/>
      </c>
      <c r="B472" s="8">
        <f>IF(ISNA(MATCH(459,Engine!$C$2:$C$1369,0)),"",INDEX('Compliance Database'!$B$2:$B$1369,MATCH(459,Engine!$C$2:$C$1369,0)))</f>
        <v/>
      </c>
      <c r="C472" s="8">
        <f>IF(ISNA(MATCH(459,Engine!$C$2:$C$1369,0)),"",INDEX('Compliance Database'!$C$2:$C$1369,MATCH(459,Engine!$C$2:$C$1369,0)))</f>
        <v/>
      </c>
      <c r="D472" s="9">
        <f>IF(ISNA(MATCH(459,Engine!$C$2:$C$1369,0)),"",INDEX('Compliance Database'!$D$2:$D$1369,MATCH(459,Engine!$C$2:$C$1369,0)))</f>
        <v/>
      </c>
      <c r="E472" s="8">
        <f>IF(ISNA(MATCH(459,Engine!$C$2:$C$1369,0)),"",INDEX('Compliance Database'!$E$2:$E$1369,MATCH(459,Engine!$C$2:$C$1369,0)))</f>
        <v/>
      </c>
      <c r="F472" s="8">
        <f>IF(ISNA(MATCH(459,Engine!$C$2:$C$1369,0)),"",INDEX('Compliance Database'!$F$2:$F$1369,MATCH(459,Engine!$C$2:$C$1369,0)))</f>
        <v/>
      </c>
      <c r="G472" s="8">
        <f>IF(ISNA(MATCH(459,Engine!$C$2:$C$1369,0)),"",INDEX('Compliance Database'!$G$2:$G$1369,MATCH(459,Engine!$C$2:$C$1369,0)))</f>
        <v/>
      </c>
      <c r="H472" s="9">
        <f>IF(ISNA(MATCH(459,Engine!$C$2:$C$1369,0)),"",INDEX('Compliance Database'!$H$2:$H$1369,MATCH(459,Engine!$C$2:$C$1369,0)))</f>
        <v/>
      </c>
      <c r="I472" s="9">
        <f>IF(ISNA(MATCH(459,Engine!$C$2:$C$1369,0)),"",INDEX('Compliance Database'!$I$2:$I$1369,MATCH(459,Engine!$C$2:$C$1369,0)))</f>
        <v/>
      </c>
      <c r="J472" s="8">
        <f>IF(ISNA(MATCH(459,Engine!$C$2:$C$1369,0)),"",INDEX('Compliance Database'!$J$2:$J$1369,MATCH(459,Engine!$C$2:$C$1369,0)))</f>
        <v/>
      </c>
      <c r="K472" s="9">
        <f>IF(ISNA(MATCH(459,Engine!$C$2:$C$1369,0)),"",INDEX('Compliance Database'!$K$2:$K$1369,MATCH(459,Engine!$C$2:$C$1369,0)))</f>
        <v/>
      </c>
      <c r="L472" s="9">
        <f>IF(ISNA(MATCH(459,Engine!$C$2:$C$1369,0)),"",INDEX('Compliance Database'!$L$2:$L$1369,MATCH(459,Engine!$C$2:$C$1369,0)))</f>
        <v/>
      </c>
      <c r="M472" s="9">
        <f>IF(ISNA(MATCH(459,Engine!$C$2:$C$1369,0)),"",INDEX('Compliance Database'!$M$2:$M$1369,MATCH(459,Engine!$C$2:$C$1369,0)))</f>
        <v/>
      </c>
      <c r="N472" s="9">
        <f>IF(ISNA(MATCH(459,Engine!$C$2:$C$1369,0)),"",INDEX('Compliance Database'!$N$2:$N$1369,MATCH(459,Engine!$C$2:$C$1369,0)))</f>
        <v/>
      </c>
      <c r="O472" s="8">
        <f>IF(ISNA(MATCH(459,Engine!$C$2:$C$1369,0)),"",HYPERLINK(INDEX('Compliance Database'!$O$2:$O$1369,MATCH(459,Engine!$C$2:$C$1369,0)),"Open PDF"))</f>
        <v/>
      </c>
    </row>
    <row r="473" ht="188" customHeight="1">
      <c r="A473" s="8">
        <f>IF(ISNA(MATCH(460,Engine!$C$2:$C$1369,0)),"",INDEX('Compliance Database'!$A$2:$A$1369,MATCH(460,Engine!$C$2:$C$1369,0)))</f>
        <v/>
      </c>
      <c r="B473" s="8">
        <f>IF(ISNA(MATCH(460,Engine!$C$2:$C$1369,0)),"",INDEX('Compliance Database'!$B$2:$B$1369,MATCH(460,Engine!$C$2:$C$1369,0)))</f>
        <v/>
      </c>
      <c r="C473" s="8">
        <f>IF(ISNA(MATCH(460,Engine!$C$2:$C$1369,0)),"",INDEX('Compliance Database'!$C$2:$C$1369,MATCH(460,Engine!$C$2:$C$1369,0)))</f>
        <v/>
      </c>
      <c r="D473" s="9">
        <f>IF(ISNA(MATCH(460,Engine!$C$2:$C$1369,0)),"",INDEX('Compliance Database'!$D$2:$D$1369,MATCH(460,Engine!$C$2:$C$1369,0)))</f>
        <v/>
      </c>
      <c r="E473" s="8">
        <f>IF(ISNA(MATCH(460,Engine!$C$2:$C$1369,0)),"",INDEX('Compliance Database'!$E$2:$E$1369,MATCH(460,Engine!$C$2:$C$1369,0)))</f>
        <v/>
      </c>
      <c r="F473" s="8">
        <f>IF(ISNA(MATCH(460,Engine!$C$2:$C$1369,0)),"",INDEX('Compliance Database'!$F$2:$F$1369,MATCH(460,Engine!$C$2:$C$1369,0)))</f>
        <v/>
      </c>
      <c r="G473" s="8">
        <f>IF(ISNA(MATCH(460,Engine!$C$2:$C$1369,0)),"",INDEX('Compliance Database'!$G$2:$G$1369,MATCH(460,Engine!$C$2:$C$1369,0)))</f>
        <v/>
      </c>
      <c r="H473" s="9">
        <f>IF(ISNA(MATCH(460,Engine!$C$2:$C$1369,0)),"",INDEX('Compliance Database'!$H$2:$H$1369,MATCH(460,Engine!$C$2:$C$1369,0)))</f>
        <v/>
      </c>
      <c r="I473" s="9">
        <f>IF(ISNA(MATCH(460,Engine!$C$2:$C$1369,0)),"",INDEX('Compliance Database'!$I$2:$I$1369,MATCH(460,Engine!$C$2:$C$1369,0)))</f>
        <v/>
      </c>
      <c r="J473" s="8">
        <f>IF(ISNA(MATCH(460,Engine!$C$2:$C$1369,0)),"",INDEX('Compliance Database'!$J$2:$J$1369,MATCH(460,Engine!$C$2:$C$1369,0)))</f>
        <v/>
      </c>
      <c r="K473" s="9">
        <f>IF(ISNA(MATCH(460,Engine!$C$2:$C$1369,0)),"",INDEX('Compliance Database'!$K$2:$K$1369,MATCH(460,Engine!$C$2:$C$1369,0)))</f>
        <v/>
      </c>
      <c r="L473" s="9">
        <f>IF(ISNA(MATCH(460,Engine!$C$2:$C$1369,0)),"",INDEX('Compliance Database'!$L$2:$L$1369,MATCH(460,Engine!$C$2:$C$1369,0)))</f>
        <v/>
      </c>
      <c r="M473" s="9">
        <f>IF(ISNA(MATCH(460,Engine!$C$2:$C$1369,0)),"",INDEX('Compliance Database'!$M$2:$M$1369,MATCH(460,Engine!$C$2:$C$1369,0)))</f>
        <v/>
      </c>
      <c r="N473" s="9">
        <f>IF(ISNA(MATCH(460,Engine!$C$2:$C$1369,0)),"",INDEX('Compliance Database'!$N$2:$N$1369,MATCH(460,Engine!$C$2:$C$1369,0)))</f>
        <v/>
      </c>
      <c r="O473" s="8">
        <f>IF(ISNA(MATCH(460,Engine!$C$2:$C$1369,0)),"",HYPERLINK(INDEX('Compliance Database'!$O$2:$O$1369,MATCH(460,Engine!$C$2:$C$1369,0)),"Open PDF"))</f>
        <v/>
      </c>
    </row>
    <row r="474" ht="188" customHeight="1">
      <c r="A474" s="8">
        <f>IF(ISNA(MATCH(461,Engine!$C$2:$C$1369,0)),"",INDEX('Compliance Database'!$A$2:$A$1369,MATCH(461,Engine!$C$2:$C$1369,0)))</f>
        <v/>
      </c>
      <c r="B474" s="8">
        <f>IF(ISNA(MATCH(461,Engine!$C$2:$C$1369,0)),"",INDEX('Compliance Database'!$B$2:$B$1369,MATCH(461,Engine!$C$2:$C$1369,0)))</f>
        <v/>
      </c>
      <c r="C474" s="8">
        <f>IF(ISNA(MATCH(461,Engine!$C$2:$C$1369,0)),"",INDEX('Compliance Database'!$C$2:$C$1369,MATCH(461,Engine!$C$2:$C$1369,0)))</f>
        <v/>
      </c>
      <c r="D474" s="9">
        <f>IF(ISNA(MATCH(461,Engine!$C$2:$C$1369,0)),"",INDEX('Compliance Database'!$D$2:$D$1369,MATCH(461,Engine!$C$2:$C$1369,0)))</f>
        <v/>
      </c>
      <c r="E474" s="8">
        <f>IF(ISNA(MATCH(461,Engine!$C$2:$C$1369,0)),"",INDEX('Compliance Database'!$E$2:$E$1369,MATCH(461,Engine!$C$2:$C$1369,0)))</f>
        <v/>
      </c>
      <c r="F474" s="8">
        <f>IF(ISNA(MATCH(461,Engine!$C$2:$C$1369,0)),"",INDEX('Compliance Database'!$F$2:$F$1369,MATCH(461,Engine!$C$2:$C$1369,0)))</f>
        <v/>
      </c>
      <c r="G474" s="8">
        <f>IF(ISNA(MATCH(461,Engine!$C$2:$C$1369,0)),"",INDEX('Compliance Database'!$G$2:$G$1369,MATCH(461,Engine!$C$2:$C$1369,0)))</f>
        <v/>
      </c>
      <c r="H474" s="9">
        <f>IF(ISNA(MATCH(461,Engine!$C$2:$C$1369,0)),"",INDEX('Compliance Database'!$H$2:$H$1369,MATCH(461,Engine!$C$2:$C$1369,0)))</f>
        <v/>
      </c>
      <c r="I474" s="9">
        <f>IF(ISNA(MATCH(461,Engine!$C$2:$C$1369,0)),"",INDEX('Compliance Database'!$I$2:$I$1369,MATCH(461,Engine!$C$2:$C$1369,0)))</f>
        <v/>
      </c>
      <c r="J474" s="8">
        <f>IF(ISNA(MATCH(461,Engine!$C$2:$C$1369,0)),"",INDEX('Compliance Database'!$J$2:$J$1369,MATCH(461,Engine!$C$2:$C$1369,0)))</f>
        <v/>
      </c>
      <c r="K474" s="9">
        <f>IF(ISNA(MATCH(461,Engine!$C$2:$C$1369,0)),"",INDEX('Compliance Database'!$K$2:$K$1369,MATCH(461,Engine!$C$2:$C$1369,0)))</f>
        <v/>
      </c>
      <c r="L474" s="9">
        <f>IF(ISNA(MATCH(461,Engine!$C$2:$C$1369,0)),"",INDEX('Compliance Database'!$L$2:$L$1369,MATCH(461,Engine!$C$2:$C$1369,0)))</f>
        <v/>
      </c>
      <c r="M474" s="9">
        <f>IF(ISNA(MATCH(461,Engine!$C$2:$C$1369,0)),"",INDEX('Compliance Database'!$M$2:$M$1369,MATCH(461,Engine!$C$2:$C$1369,0)))</f>
        <v/>
      </c>
      <c r="N474" s="9">
        <f>IF(ISNA(MATCH(461,Engine!$C$2:$C$1369,0)),"",INDEX('Compliance Database'!$N$2:$N$1369,MATCH(461,Engine!$C$2:$C$1369,0)))</f>
        <v/>
      </c>
      <c r="O474" s="8">
        <f>IF(ISNA(MATCH(461,Engine!$C$2:$C$1369,0)),"",HYPERLINK(INDEX('Compliance Database'!$O$2:$O$1369,MATCH(461,Engine!$C$2:$C$1369,0)),"Open PDF"))</f>
        <v/>
      </c>
    </row>
    <row r="475" ht="188" customHeight="1">
      <c r="A475" s="8">
        <f>IF(ISNA(MATCH(462,Engine!$C$2:$C$1369,0)),"",INDEX('Compliance Database'!$A$2:$A$1369,MATCH(462,Engine!$C$2:$C$1369,0)))</f>
        <v/>
      </c>
      <c r="B475" s="8">
        <f>IF(ISNA(MATCH(462,Engine!$C$2:$C$1369,0)),"",INDEX('Compliance Database'!$B$2:$B$1369,MATCH(462,Engine!$C$2:$C$1369,0)))</f>
        <v/>
      </c>
      <c r="C475" s="8">
        <f>IF(ISNA(MATCH(462,Engine!$C$2:$C$1369,0)),"",INDEX('Compliance Database'!$C$2:$C$1369,MATCH(462,Engine!$C$2:$C$1369,0)))</f>
        <v/>
      </c>
      <c r="D475" s="9">
        <f>IF(ISNA(MATCH(462,Engine!$C$2:$C$1369,0)),"",INDEX('Compliance Database'!$D$2:$D$1369,MATCH(462,Engine!$C$2:$C$1369,0)))</f>
        <v/>
      </c>
      <c r="E475" s="8">
        <f>IF(ISNA(MATCH(462,Engine!$C$2:$C$1369,0)),"",INDEX('Compliance Database'!$E$2:$E$1369,MATCH(462,Engine!$C$2:$C$1369,0)))</f>
        <v/>
      </c>
      <c r="F475" s="8">
        <f>IF(ISNA(MATCH(462,Engine!$C$2:$C$1369,0)),"",INDEX('Compliance Database'!$F$2:$F$1369,MATCH(462,Engine!$C$2:$C$1369,0)))</f>
        <v/>
      </c>
      <c r="G475" s="8">
        <f>IF(ISNA(MATCH(462,Engine!$C$2:$C$1369,0)),"",INDEX('Compliance Database'!$G$2:$G$1369,MATCH(462,Engine!$C$2:$C$1369,0)))</f>
        <v/>
      </c>
      <c r="H475" s="9">
        <f>IF(ISNA(MATCH(462,Engine!$C$2:$C$1369,0)),"",INDEX('Compliance Database'!$H$2:$H$1369,MATCH(462,Engine!$C$2:$C$1369,0)))</f>
        <v/>
      </c>
      <c r="I475" s="9">
        <f>IF(ISNA(MATCH(462,Engine!$C$2:$C$1369,0)),"",INDEX('Compliance Database'!$I$2:$I$1369,MATCH(462,Engine!$C$2:$C$1369,0)))</f>
        <v/>
      </c>
      <c r="J475" s="8">
        <f>IF(ISNA(MATCH(462,Engine!$C$2:$C$1369,0)),"",INDEX('Compliance Database'!$J$2:$J$1369,MATCH(462,Engine!$C$2:$C$1369,0)))</f>
        <v/>
      </c>
      <c r="K475" s="9">
        <f>IF(ISNA(MATCH(462,Engine!$C$2:$C$1369,0)),"",INDEX('Compliance Database'!$K$2:$K$1369,MATCH(462,Engine!$C$2:$C$1369,0)))</f>
        <v/>
      </c>
      <c r="L475" s="9">
        <f>IF(ISNA(MATCH(462,Engine!$C$2:$C$1369,0)),"",INDEX('Compliance Database'!$L$2:$L$1369,MATCH(462,Engine!$C$2:$C$1369,0)))</f>
        <v/>
      </c>
      <c r="M475" s="9">
        <f>IF(ISNA(MATCH(462,Engine!$C$2:$C$1369,0)),"",INDEX('Compliance Database'!$M$2:$M$1369,MATCH(462,Engine!$C$2:$C$1369,0)))</f>
        <v/>
      </c>
      <c r="N475" s="9">
        <f>IF(ISNA(MATCH(462,Engine!$C$2:$C$1369,0)),"",INDEX('Compliance Database'!$N$2:$N$1369,MATCH(462,Engine!$C$2:$C$1369,0)))</f>
        <v/>
      </c>
      <c r="O475" s="8">
        <f>IF(ISNA(MATCH(462,Engine!$C$2:$C$1369,0)),"",HYPERLINK(INDEX('Compliance Database'!$O$2:$O$1369,MATCH(462,Engine!$C$2:$C$1369,0)),"Open PDF"))</f>
        <v/>
      </c>
    </row>
    <row r="476" ht="188" customHeight="1">
      <c r="A476" s="8">
        <f>IF(ISNA(MATCH(463,Engine!$C$2:$C$1369,0)),"",INDEX('Compliance Database'!$A$2:$A$1369,MATCH(463,Engine!$C$2:$C$1369,0)))</f>
        <v/>
      </c>
      <c r="B476" s="8">
        <f>IF(ISNA(MATCH(463,Engine!$C$2:$C$1369,0)),"",INDEX('Compliance Database'!$B$2:$B$1369,MATCH(463,Engine!$C$2:$C$1369,0)))</f>
        <v/>
      </c>
      <c r="C476" s="8">
        <f>IF(ISNA(MATCH(463,Engine!$C$2:$C$1369,0)),"",INDEX('Compliance Database'!$C$2:$C$1369,MATCH(463,Engine!$C$2:$C$1369,0)))</f>
        <v/>
      </c>
      <c r="D476" s="9">
        <f>IF(ISNA(MATCH(463,Engine!$C$2:$C$1369,0)),"",INDEX('Compliance Database'!$D$2:$D$1369,MATCH(463,Engine!$C$2:$C$1369,0)))</f>
        <v/>
      </c>
      <c r="E476" s="8">
        <f>IF(ISNA(MATCH(463,Engine!$C$2:$C$1369,0)),"",INDEX('Compliance Database'!$E$2:$E$1369,MATCH(463,Engine!$C$2:$C$1369,0)))</f>
        <v/>
      </c>
      <c r="F476" s="8">
        <f>IF(ISNA(MATCH(463,Engine!$C$2:$C$1369,0)),"",INDEX('Compliance Database'!$F$2:$F$1369,MATCH(463,Engine!$C$2:$C$1369,0)))</f>
        <v/>
      </c>
      <c r="G476" s="8">
        <f>IF(ISNA(MATCH(463,Engine!$C$2:$C$1369,0)),"",INDEX('Compliance Database'!$G$2:$G$1369,MATCH(463,Engine!$C$2:$C$1369,0)))</f>
        <v/>
      </c>
      <c r="H476" s="9">
        <f>IF(ISNA(MATCH(463,Engine!$C$2:$C$1369,0)),"",INDEX('Compliance Database'!$H$2:$H$1369,MATCH(463,Engine!$C$2:$C$1369,0)))</f>
        <v/>
      </c>
      <c r="I476" s="9">
        <f>IF(ISNA(MATCH(463,Engine!$C$2:$C$1369,0)),"",INDEX('Compliance Database'!$I$2:$I$1369,MATCH(463,Engine!$C$2:$C$1369,0)))</f>
        <v/>
      </c>
      <c r="J476" s="8">
        <f>IF(ISNA(MATCH(463,Engine!$C$2:$C$1369,0)),"",INDEX('Compliance Database'!$J$2:$J$1369,MATCH(463,Engine!$C$2:$C$1369,0)))</f>
        <v/>
      </c>
      <c r="K476" s="9">
        <f>IF(ISNA(MATCH(463,Engine!$C$2:$C$1369,0)),"",INDEX('Compliance Database'!$K$2:$K$1369,MATCH(463,Engine!$C$2:$C$1369,0)))</f>
        <v/>
      </c>
      <c r="L476" s="9">
        <f>IF(ISNA(MATCH(463,Engine!$C$2:$C$1369,0)),"",INDEX('Compliance Database'!$L$2:$L$1369,MATCH(463,Engine!$C$2:$C$1369,0)))</f>
        <v/>
      </c>
      <c r="M476" s="9">
        <f>IF(ISNA(MATCH(463,Engine!$C$2:$C$1369,0)),"",INDEX('Compliance Database'!$M$2:$M$1369,MATCH(463,Engine!$C$2:$C$1369,0)))</f>
        <v/>
      </c>
      <c r="N476" s="9">
        <f>IF(ISNA(MATCH(463,Engine!$C$2:$C$1369,0)),"",INDEX('Compliance Database'!$N$2:$N$1369,MATCH(463,Engine!$C$2:$C$1369,0)))</f>
        <v/>
      </c>
      <c r="O476" s="8">
        <f>IF(ISNA(MATCH(463,Engine!$C$2:$C$1369,0)),"",HYPERLINK(INDEX('Compliance Database'!$O$2:$O$1369,MATCH(463,Engine!$C$2:$C$1369,0)),"Open PDF"))</f>
        <v/>
      </c>
    </row>
    <row r="477" ht="188" customHeight="1">
      <c r="A477" s="8">
        <f>IF(ISNA(MATCH(464,Engine!$C$2:$C$1369,0)),"",INDEX('Compliance Database'!$A$2:$A$1369,MATCH(464,Engine!$C$2:$C$1369,0)))</f>
        <v/>
      </c>
      <c r="B477" s="8">
        <f>IF(ISNA(MATCH(464,Engine!$C$2:$C$1369,0)),"",INDEX('Compliance Database'!$B$2:$B$1369,MATCH(464,Engine!$C$2:$C$1369,0)))</f>
        <v/>
      </c>
      <c r="C477" s="8">
        <f>IF(ISNA(MATCH(464,Engine!$C$2:$C$1369,0)),"",INDEX('Compliance Database'!$C$2:$C$1369,MATCH(464,Engine!$C$2:$C$1369,0)))</f>
        <v/>
      </c>
      <c r="D477" s="9">
        <f>IF(ISNA(MATCH(464,Engine!$C$2:$C$1369,0)),"",INDEX('Compliance Database'!$D$2:$D$1369,MATCH(464,Engine!$C$2:$C$1369,0)))</f>
        <v/>
      </c>
      <c r="E477" s="8">
        <f>IF(ISNA(MATCH(464,Engine!$C$2:$C$1369,0)),"",INDEX('Compliance Database'!$E$2:$E$1369,MATCH(464,Engine!$C$2:$C$1369,0)))</f>
        <v/>
      </c>
      <c r="F477" s="8">
        <f>IF(ISNA(MATCH(464,Engine!$C$2:$C$1369,0)),"",INDEX('Compliance Database'!$F$2:$F$1369,MATCH(464,Engine!$C$2:$C$1369,0)))</f>
        <v/>
      </c>
      <c r="G477" s="8">
        <f>IF(ISNA(MATCH(464,Engine!$C$2:$C$1369,0)),"",INDEX('Compliance Database'!$G$2:$G$1369,MATCH(464,Engine!$C$2:$C$1369,0)))</f>
        <v/>
      </c>
      <c r="H477" s="9">
        <f>IF(ISNA(MATCH(464,Engine!$C$2:$C$1369,0)),"",INDEX('Compliance Database'!$H$2:$H$1369,MATCH(464,Engine!$C$2:$C$1369,0)))</f>
        <v/>
      </c>
      <c r="I477" s="9">
        <f>IF(ISNA(MATCH(464,Engine!$C$2:$C$1369,0)),"",INDEX('Compliance Database'!$I$2:$I$1369,MATCH(464,Engine!$C$2:$C$1369,0)))</f>
        <v/>
      </c>
      <c r="J477" s="8">
        <f>IF(ISNA(MATCH(464,Engine!$C$2:$C$1369,0)),"",INDEX('Compliance Database'!$J$2:$J$1369,MATCH(464,Engine!$C$2:$C$1369,0)))</f>
        <v/>
      </c>
      <c r="K477" s="9">
        <f>IF(ISNA(MATCH(464,Engine!$C$2:$C$1369,0)),"",INDEX('Compliance Database'!$K$2:$K$1369,MATCH(464,Engine!$C$2:$C$1369,0)))</f>
        <v/>
      </c>
      <c r="L477" s="9">
        <f>IF(ISNA(MATCH(464,Engine!$C$2:$C$1369,0)),"",INDEX('Compliance Database'!$L$2:$L$1369,MATCH(464,Engine!$C$2:$C$1369,0)))</f>
        <v/>
      </c>
      <c r="M477" s="9">
        <f>IF(ISNA(MATCH(464,Engine!$C$2:$C$1369,0)),"",INDEX('Compliance Database'!$M$2:$M$1369,MATCH(464,Engine!$C$2:$C$1369,0)))</f>
        <v/>
      </c>
      <c r="N477" s="9">
        <f>IF(ISNA(MATCH(464,Engine!$C$2:$C$1369,0)),"",INDEX('Compliance Database'!$N$2:$N$1369,MATCH(464,Engine!$C$2:$C$1369,0)))</f>
        <v/>
      </c>
      <c r="O477" s="8">
        <f>IF(ISNA(MATCH(464,Engine!$C$2:$C$1369,0)),"",HYPERLINK(INDEX('Compliance Database'!$O$2:$O$1369,MATCH(464,Engine!$C$2:$C$1369,0)),"Open PDF"))</f>
        <v/>
      </c>
    </row>
    <row r="478" ht="188" customHeight="1">
      <c r="A478" s="8">
        <f>IF(ISNA(MATCH(465,Engine!$C$2:$C$1369,0)),"",INDEX('Compliance Database'!$A$2:$A$1369,MATCH(465,Engine!$C$2:$C$1369,0)))</f>
        <v/>
      </c>
      <c r="B478" s="8">
        <f>IF(ISNA(MATCH(465,Engine!$C$2:$C$1369,0)),"",INDEX('Compliance Database'!$B$2:$B$1369,MATCH(465,Engine!$C$2:$C$1369,0)))</f>
        <v/>
      </c>
      <c r="C478" s="8">
        <f>IF(ISNA(MATCH(465,Engine!$C$2:$C$1369,0)),"",INDEX('Compliance Database'!$C$2:$C$1369,MATCH(465,Engine!$C$2:$C$1369,0)))</f>
        <v/>
      </c>
      <c r="D478" s="9">
        <f>IF(ISNA(MATCH(465,Engine!$C$2:$C$1369,0)),"",INDEX('Compliance Database'!$D$2:$D$1369,MATCH(465,Engine!$C$2:$C$1369,0)))</f>
        <v/>
      </c>
      <c r="E478" s="8">
        <f>IF(ISNA(MATCH(465,Engine!$C$2:$C$1369,0)),"",INDEX('Compliance Database'!$E$2:$E$1369,MATCH(465,Engine!$C$2:$C$1369,0)))</f>
        <v/>
      </c>
      <c r="F478" s="8">
        <f>IF(ISNA(MATCH(465,Engine!$C$2:$C$1369,0)),"",INDEX('Compliance Database'!$F$2:$F$1369,MATCH(465,Engine!$C$2:$C$1369,0)))</f>
        <v/>
      </c>
      <c r="G478" s="8">
        <f>IF(ISNA(MATCH(465,Engine!$C$2:$C$1369,0)),"",INDEX('Compliance Database'!$G$2:$G$1369,MATCH(465,Engine!$C$2:$C$1369,0)))</f>
        <v/>
      </c>
      <c r="H478" s="9">
        <f>IF(ISNA(MATCH(465,Engine!$C$2:$C$1369,0)),"",INDEX('Compliance Database'!$H$2:$H$1369,MATCH(465,Engine!$C$2:$C$1369,0)))</f>
        <v/>
      </c>
      <c r="I478" s="9">
        <f>IF(ISNA(MATCH(465,Engine!$C$2:$C$1369,0)),"",INDEX('Compliance Database'!$I$2:$I$1369,MATCH(465,Engine!$C$2:$C$1369,0)))</f>
        <v/>
      </c>
      <c r="J478" s="8">
        <f>IF(ISNA(MATCH(465,Engine!$C$2:$C$1369,0)),"",INDEX('Compliance Database'!$J$2:$J$1369,MATCH(465,Engine!$C$2:$C$1369,0)))</f>
        <v/>
      </c>
      <c r="K478" s="9">
        <f>IF(ISNA(MATCH(465,Engine!$C$2:$C$1369,0)),"",INDEX('Compliance Database'!$K$2:$K$1369,MATCH(465,Engine!$C$2:$C$1369,0)))</f>
        <v/>
      </c>
      <c r="L478" s="9">
        <f>IF(ISNA(MATCH(465,Engine!$C$2:$C$1369,0)),"",INDEX('Compliance Database'!$L$2:$L$1369,MATCH(465,Engine!$C$2:$C$1369,0)))</f>
        <v/>
      </c>
      <c r="M478" s="9">
        <f>IF(ISNA(MATCH(465,Engine!$C$2:$C$1369,0)),"",INDEX('Compliance Database'!$M$2:$M$1369,MATCH(465,Engine!$C$2:$C$1369,0)))</f>
        <v/>
      </c>
      <c r="N478" s="9">
        <f>IF(ISNA(MATCH(465,Engine!$C$2:$C$1369,0)),"",INDEX('Compliance Database'!$N$2:$N$1369,MATCH(465,Engine!$C$2:$C$1369,0)))</f>
        <v/>
      </c>
      <c r="O478" s="8">
        <f>IF(ISNA(MATCH(465,Engine!$C$2:$C$1369,0)),"",HYPERLINK(INDEX('Compliance Database'!$O$2:$O$1369,MATCH(465,Engine!$C$2:$C$1369,0)),"Open PDF"))</f>
        <v/>
      </c>
    </row>
    <row r="479" ht="188" customHeight="1">
      <c r="A479" s="8">
        <f>IF(ISNA(MATCH(466,Engine!$C$2:$C$1369,0)),"",INDEX('Compliance Database'!$A$2:$A$1369,MATCH(466,Engine!$C$2:$C$1369,0)))</f>
        <v/>
      </c>
      <c r="B479" s="8">
        <f>IF(ISNA(MATCH(466,Engine!$C$2:$C$1369,0)),"",INDEX('Compliance Database'!$B$2:$B$1369,MATCH(466,Engine!$C$2:$C$1369,0)))</f>
        <v/>
      </c>
      <c r="C479" s="8">
        <f>IF(ISNA(MATCH(466,Engine!$C$2:$C$1369,0)),"",INDEX('Compliance Database'!$C$2:$C$1369,MATCH(466,Engine!$C$2:$C$1369,0)))</f>
        <v/>
      </c>
      <c r="D479" s="9">
        <f>IF(ISNA(MATCH(466,Engine!$C$2:$C$1369,0)),"",INDEX('Compliance Database'!$D$2:$D$1369,MATCH(466,Engine!$C$2:$C$1369,0)))</f>
        <v/>
      </c>
      <c r="E479" s="8">
        <f>IF(ISNA(MATCH(466,Engine!$C$2:$C$1369,0)),"",INDEX('Compliance Database'!$E$2:$E$1369,MATCH(466,Engine!$C$2:$C$1369,0)))</f>
        <v/>
      </c>
      <c r="F479" s="8">
        <f>IF(ISNA(MATCH(466,Engine!$C$2:$C$1369,0)),"",INDEX('Compliance Database'!$F$2:$F$1369,MATCH(466,Engine!$C$2:$C$1369,0)))</f>
        <v/>
      </c>
      <c r="G479" s="8">
        <f>IF(ISNA(MATCH(466,Engine!$C$2:$C$1369,0)),"",INDEX('Compliance Database'!$G$2:$G$1369,MATCH(466,Engine!$C$2:$C$1369,0)))</f>
        <v/>
      </c>
      <c r="H479" s="9">
        <f>IF(ISNA(MATCH(466,Engine!$C$2:$C$1369,0)),"",INDEX('Compliance Database'!$H$2:$H$1369,MATCH(466,Engine!$C$2:$C$1369,0)))</f>
        <v/>
      </c>
      <c r="I479" s="9">
        <f>IF(ISNA(MATCH(466,Engine!$C$2:$C$1369,0)),"",INDEX('Compliance Database'!$I$2:$I$1369,MATCH(466,Engine!$C$2:$C$1369,0)))</f>
        <v/>
      </c>
      <c r="J479" s="8">
        <f>IF(ISNA(MATCH(466,Engine!$C$2:$C$1369,0)),"",INDEX('Compliance Database'!$J$2:$J$1369,MATCH(466,Engine!$C$2:$C$1369,0)))</f>
        <v/>
      </c>
      <c r="K479" s="9">
        <f>IF(ISNA(MATCH(466,Engine!$C$2:$C$1369,0)),"",INDEX('Compliance Database'!$K$2:$K$1369,MATCH(466,Engine!$C$2:$C$1369,0)))</f>
        <v/>
      </c>
      <c r="L479" s="9">
        <f>IF(ISNA(MATCH(466,Engine!$C$2:$C$1369,0)),"",INDEX('Compliance Database'!$L$2:$L$1369,MATCH(466,Engine!$C$2:$C$1369,0)))</f>
        <v/>
      </c>
      <c r="M479" s="9">
        <f>IF(ISNA(MATCH(466,Engine!$C$2:$C$1369,0)),"",INDEX('Compliance Database'!$M$2:$M$1369,MATCH(466,Engine!$C$2:$C$1369,0)))</f>
        <v/>
      </c>
      <c r="N479" s="9">
        <f>IF(ISNA(MATCH(466,Engine!$C$2:$C$1369,0)),"",INDEX('Compliance Database'!$N$2:$N$1369,MATCH(466,Engine!$C$2:$C$1369,0)))</f>
        <v/>
      </c>
      <c r="O479" s="8">
        <f>IF(ISNA(MATCH(466,Engine!$C$2:$C$1369,0)),"",HYPERLINK(INDEX('Compliance Database'!$O$2:$O$1369,MATCH(466,Engine!$C$2:$C$1369,0)),"Open PDF"))</f>
        <v/>
      </c>
    </row>
    <row r="480" ht="188" customHeight="1">
      <c r="A480" s="8">
        <f>IF(ISNA(MATCH(467,Engine!$C$2:$C$1369,0)),"",INDEX('Compliance Database'!$A$2:$A$1369,MATCH(467,Engine!$C$2:$C$1369,0)))</f>
        <v/>
      </c>
      <c r="B480" s="8">
        <f>IF(ISNA(MATCH(467,Engine!$C$2:$C$1369,0)),"",INDEX('Compliance Database'!$B$2:$B$1369,MATCH(467,Engine!$C$2:$C$1369,0)))</f>
        <v/>
      </c>
      <c r="C480" s="8">
        <f>IF(ISNA(MATCH(467,Engine!$C$2:$C$1369,0)),"",INDEX('Compliance Database'!$C$2:$C$1369,MATCH(467,Engine!$C$2:$C$1369,0)))</f>
        <v/>
      </c>
      <c r="D480" s="9">
        <f>IF(ISNA(MATCH(467,Engine!$C$2:$C$1369,0)),"",INDEX('Compliance Database'!$D$2:$D$1369,MATCH(467,Engine!$C$2:$C$1369,0)))</f>
        <v/>
      </c>
      <c r="E480" s="8">
        <f>IF(ISNA(MATCH(467,Engine!$C$2:$C$1369,0)),"",INDEX('Compliance Database'!$E$2:$E$1369,MATCH(467,Engine!$C$2:$C$1369,0)))</f>
        <v/>
      </c>
      <c r="F480" s="8">
        <f>IF(ISNA(MATCH(467,Engine!$C$2:$C$1369,0)),"",INDEX('Compliance Database'!$F$2:$F$1369,MATCH(467,Engine!$C$2:$C$1369,0)))</f>
        <v/>
      </c>
      <c r="G480" s="8">
        <f>IF(ISNA(MATCH(467,Engine!$C$2:$C$1369,0)),"",INDEX('Compliance Database'!$G$2:$G$1369,MATCH(467,Engine!$C$2:$C$1369,0)))</f>
        <v/>
      </c>
      <c r="H480" s="9">
        <f>IF(ISNA(MATCH(467,Engine!$C$2:$C$1369,0)),"",INDEX('Compliance Database'!$H$2:$H$1369,MATCH(467,Engine!$C$2:$C$1369,0)))</f>
        <v/>
      </c>
      <c r="I480" s="9">
        <f>IF(ISNA(MATCH(467,Engine!$C$2:$C$1369,0)),"",INDEX('Compliance Database'!$I$2:$I$1369,MATCH(467,Engine!$C$2:$C$1369,0)))</f>
        <v/>
      </c>
      <c r="J480" s="8">
        <f>IF(ISNA(MATCH(467,Engine!$C$2:$C$1369,0)),"",INDEX('Compliance Database'!$J$2:$J$1369,MATCH(467,Engine!$C$2:$C$1369,0)))</f>
        <v/>
      </c>
      <c r="K480" s="9">
        <f>IF(ISNA(MATCH(467,Engine!$C$2:$C$1369,0)),"",INDEX('Compliance Database'!$K$2:$K$1369,MATCH(467,Engine!$C$2:$C$1369,0)))</f>
        <v/>
      </c>
      <c r="L480" s="9">
        <f>IF(ISNA(MATCH(467,Engine!$C$2:$C$1369,0)),"",INDEX('Compliance Database'!$L$2:$L$1369,MATCH(467,Engine!$C$2:$C$1369,0)))</f>
        <v/>
      </c>
      <c r="M480" s="9">
        <f>IF(ISNA(MATCH(467,Engine!$C$2:$C$1369,0)),"",INDEX('Compliance Database'!$M$2:$M$1369,MATCH(467,Engine!$C$2:$C$1369,0)))</f>
        <v/>
      </c>
      <c r="N480" s="9">
        <f>IF(ISNA(MATCH(467,Engine!$C$2:$C$1369,0)),"",INDEX('Compliance Database'!$N$2:$N$1369,MATCH(467,Engine!$C$2:$C$1369,0)))</f>
        <v/>
      </c>
      <c r="O480" s="8">
        <f>IF(ISNA(MATCH(467,Engine!$C$2:$C$1369,0)),"",HYPERLINK(INDEX('Compliance Database'!$O$2:$O$1369,MATCH(467,Engine!$C$2:$C$1369,0)),"Open PDF"))</f>
        <v/>
      </c>
    </row>
    <row r="481" ht="188" customHeight="1">
      <c r="A481" s="8">
        <f>IF(ISNA(MATCH(468,Engine!$C$2:$C$1369,0)),"",INDEX('Compliance Database'!$A$2:$A$1369,MATCH(468,Engine!$C$2:$C$1369,0)))</f>
        <v/>
      </c>
      <c r="B481" s="8">
        <f>IF(ISNA(MATCH(468,Engine!$C$2:$C$1369,0)),"",INDEX('Compliance Database'!$B$2:$B$1369,MATCH(468,Engine!$C$2:$C$1369,0)))</f>
        <v/>
      </c>
      <c r="C481" s="8">
        <f>IF(ISNA(MATCH(468,Engine!$C$2:$C$1369,0)),"",INDEX('Compliance Database'!$C$2:$C$1369,MATCH(468,Engine!$C$2:$C$1369,0)))</f>
        <v/>
      </c>
      <c r="D481" s="9">
        <f>IF(ISNA(MATCH(468,Engine!$C$2:$C$1369,0)),"",INDEX('Compliance Database'!$D$2:$D$1369,MATCH(468,Engine!$C$2:$C$1369,0)))</f>
        <v/>
      </c>
      <c r="E481" s="8">
        <f>IF(ISNA(MATCH(468,Engine!$C$2:$C$1369,0)),"",INDEX('Compliance Database'!$E$2:$E$1369,MATCH(468,Engine!$C$2:$C$1369,0)))</f>
        <v/>
      </c>
      <c r="F481" s="8">
        <f>IF(ISNA(MATCH(468,Engine!$C$2:$C$1369,0)),"",INDEX('Compliance Database'!$F$2:$F$1369,MATCH(468,Engine!$C$2:$C$1369,0)))</f>
        <v/>
      </c>
      <c r="G481" s="8">
        <f>IF(ISNA(MATCH(468,Engine!$C$2:$C$1369,0)),"",INDEX('Compliance Database'!$G$2:$G$1369,MATCH(468,Engine!$C$2:$C$1369,0)))</f>
        <v/>
      </c>
      <c r="H481" s="9">
        <f>IF(ISNA(MATCH(468,Engine!$C$2:$C$1369,0)),"",INDEX('Compliance Database'!$H$2:$H$1369,MATCH(468,Engine!$C$2:$C$1369,0)))</f>
        <v/>
      </c>
      <c r="I481" s="9">
        <f>IF(ISNA(MATCH(468,Engine!$C$2:$C$1369,0)),"",INDEX('Compliance Database'!$I$2:$I$1369,MATCH(468,Engine!$C$2:$C$1369,0)))</f>
        <v/>
      </c>
      <c r="J481" s="8">
        <f>IF(ISNA(MATCH(468,Engine!$C$2:$C$1369,0)),"",INDEX('Compliance Database'!$J$2:$J$1369,MATCH(468,Engine!$C$2:$C$1369,0)))</f>
        <v/>
      </c>
      <c r="K481" s="9">
        <f>IF(ISNA(MATCH(468,Engine!$C$2:$C$1369,0)),"",INDEX('Compliance Database'!$K$2:$K$1369,MATCH(468,Engine!$C$2:$C$1369,0)))</f>
        <v/>
      </c>
      <c r="L481" s="9">
        <f>IF(ISNA(MATCH(468,Engine!$C$2:$C$1369,0)),"",INDEX('Compliance Database'!$L$2:$L$1369,MATCH(468,Engine!$C$2:$C$1369,0)))</f>
        <v/>
      </c>
      <c r="M481" s="9">
        <f>IF(ISNA(MATCH(468,Engine!$C$2:$C$1369,0)),"",INDEX('Compliance Database'!$M$2:$M$1369,MATCH(468,Engine!$C$2:$C$1369,0)))</f>
        <v/>
      </c>
      <c r="N481" s="9">
        <f>IF(ISNA(MATCH(468,Engine!$C$2:$C$1369,0)),"",INDEX('Compliance Database'!$N$2:$N$1369,MATCH(468,Engine!$C$2:$C$1369,0)))</f>
        <v/>
      </c>
      <c r="O481" s="8">
        <f>IF(ISNA(MATCH(468,Engine!$C$2:$C$1369,0)),"",HYPERLINK(INDEX('Compliance Database'!$O$2:$O$1369,MATCH(468,Engine!$C$2:$C$1369,0)),"Open PDF"))</f>
        <v/>
      </c>
    </row>
    <row r="482" ht="188" customHeight="1">
      <c r="A482" s="8">
        <f>IF(ISNA(MATCH(469,Engine!$C$2:$C$1369,0)),"",INDEX('Compliance Database'!$A$2:$A$1369,MATCH(469,Engine!$C$2:$C$1369,0)))</f>
        <v/>
      </c>
      <c r="B482" s="8">
        <f>IF(ISNA(MATCH(469,Engine!$C$2:$C$1369,0)),"",INDEX('Compliance Database'!$B$2:$B$1369,MATCH(469,Engine!$C$2:$C$1369,0)))</f>
        <v/>
      </c>
      <c r="C482" s="8">
        <f>IF(ISNA(MATCH(469,Engine!$C$2:$C$1369,0)),"",INDEX('Compliance Database'!$C$2:$C$1369,MATCH(469,Engine!$C$2:$C$1369,0)))</f>
        <v/>
      </c>
      <c r="D482" s="9">
        <f>IF(ISNA(MATCH(469,Engine!$C$2:$C$1369,0)),"",INDEX('Compliance Database'!$D$2:$D$1369,MATCH(469,Engine!$C$2:$C$1369,0)))</f>
        <v/>
      </c>
      <c r="E482" s="8">
        <f>IF(ISNA(MATCH(469,Engine!$C$2:$C$1369,0)),"",INDEX('Compliance Database'!$E$2:$E$1369,MATCH(469,Engine!$C$2:$C$1369,0)))</f>
        <v/>
      </c>
      <c r="F482" s="8">
        <f>IF(ISNA(MATCH(469,Engine!$C$2:$C$1369,0)),"",INDEX('Compliance Database'!$F$2:$F$1369,MATCH(469,Engine!$C$2:$C$1369,0)))</f>
        <v/>
      </c>
      <c r="G482" s="8">
        <f>IF(ISNA(MATCH(469,Engine!$C$2:$C$1369,0)),"",INDEX('Compliance Database'!$G$2:$G$1369,MATCH(469,Engine!$C$2:$C$1369,0)))</f>
        <v/>
      </c>
      <c r="H482" s="9">
        <f>IF(ISNA(MATCH(469,Engine!$C$2:$C$1369,0)),"",INDEX('Compliance Database'!$H$2:$H$1369,MATCH(469,Engine!$C$2:$C$1369,0)))</f>
        <v/>
      </c>
      <c r="I482" s="9">
        <f>IF(ISNA(MATCH(469,Engine!$C$2:$C$1369,0)),"",INDEX('Compliance Database'!$I$2:$I$1369,MATCH(469,Engine!$C$2:$C$1369,0)))</f>
        <v/>
      </c>
      <c r="J482" s="8">
        <f>IF(ISNA(MATCH(469,Engine!$C$2:$C$1369,0)),"",INDEX('Compliance Database'!$J$2:$J$1369,MATCH(469,Engine!$C$2:$C$1369,0)))</f>
        <v/>
      </c>
      <c r="K482" s="9">
        <f>IF(ISNA(MATCH(469,Engine!$C$2:$C$1369,0)),"",INDEX('Compliance Database'!$K$2:$K$1369,MATCH(469,Engine!$C$2:$C$1369,0)))</f>
        <v/>
      </c>
      <c r="L482" s="9">
        <f>IF(ISNA(MATCH(469,Engine!$C$2:$C$1369,0)),"",INDEX('Compliance Database'!$L$2:$L$1369,MATCH(469,Engine!$C$2:$C$1369,0)))</f>
        <v/>
      </c>
      <c r="M482" s="9">
        <f>IF(ISNA(MATCH(469,Engine!$C$2:$C$1369,0)),"",INDEX('Compliance Database'!$M$2:$M$1369,MATCH(469,Engine!$C$2:$C$1369,0)))</f>
        <v/>
      </c>
      <c r="N482" s="9">
        <f>IF(ISNA(MATCH(469,Engine!$C$2:$C$1369,0)),"",INDEX('Compliance Database'!$N$2:$N$1369,MATCH(469,Engine!$C$2:$C$1369,0)))</f>
        <v/>
      </c>
      <c r="O482" s="8">
        <f>IF(ISNA(MATCH(469,Engine!$C$2:$C$1369,0)),"",HYPERLINK(INDEX('Compliance Database'!$O$2:$O$1369,MATCH(469,Engine!$C$2:$C$1369,0)),"Open PDF"))</f>
        <v/>
      </c>
    </row>
    <row r="483" ht="188" customHeight="1">
      <c r="A483" s="8">
        <f>IF(ISNA(MATCH(470,Engine!$C$2:$C$1369,0)),"",INDEX('Compliance Database'!$A$2:$A$1369,MATCH(470,Engine!$C$2:$C$1369,0)))</f>
        <v/>
      </c>
      <c r="B483" s="8">
        <f>IF(ISNA(MATCH(470,Engine!$C$2:$C$1369,0)),"",INDEX('Compliance Database'!$B$2:$B$1369,MATCH(470,Engine!$C$2:$C$1369,0)))</f>
        <v/>
      </c>
      <c r="C483" s="8">
        <f>IF(ISNA(MATCH(470,Engine!$C$2:$C$1369,0)),"",INDEX('Compliance Database'!$C$2:$C$1369,MATCH(470,Engine!$C$2:$C$1369,0)))</f>
        <v/>
      </c>
      <c r="D483" s="9">
        <f>IF(ISNA(MATCH(470,Engine!$C$2:$C$1369,0)),"",INDEX('Compliance Database'!$D$2:$D$1369,MATCH(470,Engine!$C$2:$C$1369,0)))</f>
        <v/>
      </c>
      <c r="E483" s="8">
        <f>IF(ISNA(MATCH(470,Engine!$C$2:$C$1369,0)),"",INDEX('Compliance Database'!$E$2:$E$1369,MATCH(470,Engine!$C$2:$C$1369,0)))</f>
        <v/>
      </c>
      <c r="F483" s="8">
        <f>IF(ISNA(MATCH(470,Engine!$C$2:$C$1369,0)),"",INDEX('Compliance Database'!$F$2:$F$1369,MATCH(470,Engine!$C$2:$C$1369,0)))</f>
        <v/>
      </c>
      <c r="G483" s="8">
        <f>IF(ISNA(MATCH(470,Engine!$C$2:$C$1369,0)),"",INDEX('Compliance Database'!$G$2:$G$1369,MATCH(470,Engine!$C$2:$C$1369,0)))</f>
        <v/>
      </c>
      <c r="H483" s="9">
        <f>IF(ISNA(MATCH(470,Engine!$C$2:$C$1369,0)),"",INDEX('Compliance Database'!$H$2:$H$1369,MATCH(470,Engine!$C$2:$C$1369,0)))</f>
        <v/>
      </c>
      <c r="I483" s="9">
        <f>IF(ISNA(MATCH(470,Engine!$C$2:$C$1369,0)),"",INDEX('Compliance Database'!$I$2:$I$1369,MATCH(470,Engine!$C$2:$C$1369,0)))</f>
        <v/>
      </c>
      <c r="J483" s="8">
        <f>IF(ISNA(MATCH(470,Engine!$C$2:$C$1369,0)),"",INDEX('Compliance Database'!$J$2:$J$1369,MATCH(470,Engine!$C$2:$C$1369,0)))</f>
        <v/>
      </c>
      <c r="K483" s="9">
        <f>IF(ISNA(MATCH(470,Engine!$C$2:$C$1369,0)),"",INDEX('Compliance Database'!$K$2:$K$1369,MATCH(470,Engine!$C$2:$C$1369,0)))</f>
        <v/>
      </c>
      <c r="L483" s="9">
        <f>IF(ISNA(MATCH(470,Engine!$C$2:$C$1369,0)),"",INDEX('Compliance Database'!$L$2:$L$1369,MATCH(470,Engine!$C$2:$C$1369,0)))</f>
        <v/>
      </c>
      <c r="M483" s="9">
        <f>IF(ISNA(MATCH(470,Engine!$C$2:$C$1369,0)),"",INDEX('Compliance Database'!$M$2:$M$1369,MATCH(470,Engine!$C$2:$C$1369,0)))</f>
        <v/>
      </c>
      <c r="N483" s="9">
        <f>IF(ISNA(MATCH(470,Engine!$C$2:$C$1369,0)),"",INDEX('Compliance Database'!$N$2:$N$1369,MATCH(470,Engine!$C$2:$C$1369,0)))</f>
        <v/>
      </c>
      <c r="O483" s="8">
        <f>IF(ISNA(MATCH(470,Engine!$C$2:$C$1369,0)),"",HYPERLINK(INDEX('Compliance Database'!$O$2:$O$1369,MATCH(470,Engine!$C$2:$C$1369,0)),"Open PDF"))</f>
        <v/>
      </c>
    </row>
    <row r="484" ht="188" customHeight="1">
      <c r="A484" s="8">
        <f>IF(ISNA(MATCH(471,Engine!$C$2:$C$1369,0)),"",INDEX('Compliance Database'!$A$2:$A$1369,MATCH(471,Engine!$C$2:$C$1369,0)))</f>
        <v/>
      </c>
      <c r="B484" s="8">
        <f>IF(ISNA(MATCH(471,Engine!$C$2:$C$1369,0)),"",INDEX('Compliance Database'!$B$2:$B$1369,MATCH(471,Engine!$C$2:$C$1369,0)))</f>
        <v/>
      </c>
      <c r="C484" s="8">
        <f>IF(ISNA(MATCH(471,Engine!$C$2:$C$1369,0)),"",INDEX('Compliance Database'!$C$2:$C$1369,MATCH(471,Engine!$C$2:$C$1369,0)))</f>
        <v/>
      </c>
      <c r="D484" s="9">
        <f>IF(ISNA(MATCH(471,Engine!$C$2:$C$1369,0)),"",INDEX('Compliance Database'!$D$2:$D$1369,MATCH(471,Engine!$C$2:$C$1369,0)))</f>
        <v/>
      </c>
      <c r="E484" s="8">
        <f>IF(ISNA(MATCH(471,Engine!$C$2:$C$1369,0)),"",INDEX('Compliance Database'!$E$2:$E$1369,MATCH(471,Engine!$C$2:$C$1369,0)))</f>
        <v/>
      </c>
      <c r="F484" s="8">
        <f>IF(ISNA(MATCH(471,Engine!$C$2:$C$1369,0)),"",INDEX('Compliance Database'!$F$2:$F$1369,MATCH(471,Engine!$C$2:$C$1369,0)))</f>
        <v/>
      </c>
      <c r="G484" s="8">
        <f>IF(ISNA(MATCH(471,Engine!$C$2:$C$1369,0)),"",INDEX('Compliance Database'!$G$2:$G$1369,MATCH(471,Engine!$C$2:$C$1369,0)))</f>
        <v/>
      </c>
      <c r="H484" s="9">
        <f>IF(ISNA(MATCH(471,Engine!$C$2:$C$1369,0)),"",INDEX('Compliance Database'!$H$2:$H$1369,MATCH(471,Engine!$C$2:$C$1369,0)))</f>
        <v/>
      </c>
      <c r="I484" s="9">
        <f>IF(ISNA(MATCH(471,Engine!$C$2:$C$1369,0)),"",INDEX('Compliance Database'!$I$2:$I$1369,MATCH(471,Engine!$C$2:$C$1369,0)))</f>
        <v/>
      </c>
      <c r="J484" s="8">
        <f>IF(ISNA(MATCH(471,Engine!$C$2:$C$1369,0)),"",INDEX('Compliance Database'!$J$2:$J$1369,MATCH(471,Engine!$C$2:$C$1369,0)))</f>
        <v/>
      </c>
      <c r="K484" s="9">
        <f>IF(ISNA(MATCH(471,Engine!$C$2:$C$1369,0)),"",INDEX('Compliance Database'!$K$2:$K$1369,MATCH(471,Engine!$C$2:$C$1369,0)))</f>
        <v/>
      </c>
      <c r="L484" s="9">
        <f>IF(ISNA(MATCH(471,Engine!$C$2:$C$1369,0)),"",INDEX('Compliance Database'!$L$2:$L$1369,MATCH(471,Engine!$C$2:$C$1369,0)))</f>
        <v/>
      </c>
      <c r="M484" s="9">
        <f>IF(ISNA(MATCH(471,Engine!$C$2:$C$1369,0)),"",INDEX('Compliance Database'!$M$2:$M$1369,MATCH(471,Engine!$C$2:$C$1369,0)))</f>
        <v/>
      </c>
      <c r="N484" s="9">
        <f>IF(ISNA(MATCH(471,Engine!$C$2:$C$1369,0)),"",INDEX('Compliance Database'!$N$2:$N$1369,MATCH(471,Engine!$C$2:$C$1369,0)))</f>
        <v/>
      </c>
      <c r="O484" s="8">
        <f>IF(ISNA(MATCH(471,Engine!$C$2:$C$1369,0)),"",HYPERLINK(INDEX('Compliance Database'!$O$2:$O$1369,MATCH(471,Engine!$C$2:$C$1369,0)),"Open PDF"))</f>
        <v/>
      </c>
    </row>
    <row r="485" ht="188" customHeight="1">
      <c r="A485" s="8">
        <f>IF(ISNA(MATCH(472,Engine!$C$2:$C$1369,0)),"",INDEX('Compliance Database'!$A$2:$A$1369,MATCH(472,Engine!$C$2:$C$1369,0)))</f>
        <v/>
      </c>
      <c r="B485" s="8">
        <f>IF(ISNA(MATCH(472,Engine!$C$2:$C$1369,0)),"",INDEX('Compliance Database'!$B$2:$B$1369,MATCH(472,Engine!$C$2:$C$1369,0)))</f>
        <v/>
      </c>
      <c r="C485" s="8">
        <f>IF(ISNA(MATCH(472,Engine!$C$2:$C$1369,0)),"",INDEX('Compliance Database'!$C$2:$C$1369,MATCH(472,Engine!$C$2:$C$1369,0)))</f>
        <v/>
      </c>
      <c r="D485" s="9">
        <f>IF(ISNA(MATCH(472,Engine!$C$2:$C$1369,0)),"",INDEX('Compliance Database'!$D$2:$D$1369,MATCH(472,Engine!$C$2:$C$1369,0)))</f>
        <v/>
      </c>
      <c r="E485" s="8">
        <f>IF(ISNA(MATCH(472,Engine!$C$2:$C$1369,0)),"",INDEX('Compliance Database'!$E$2:$E$1369,MATCH(472,Engine!$C$2:$C$1369,0)))</f>
        <v/>
      </c>
      <c r="F485" s="8">
        <f>IF(ISNA(MATCH(472,Engine!$C$2:$C$1369,0)),"",INDEX('Compliance Database'!$F$2:$F$1369,MATCH(472,Engine!$C$2:$C$1369,0)))</f>
        <v/>
      </c>
      <c r="G485" s="8">
        <f>IF(ISNA(MATCH(472,Engine!$C$2:$C$1369,0)),"",INDEX('Compliance Database'!$G$2:$G$1369,MATCH(472,Engine!$C$2:$C$1369,0)))</f>
        <v/>
      </c>
      <c r="H485" s="9">
        <f>IF(ISNA(MATCH(472,Engine!$C$2:$C$1369,0)),"",INDEX('Compliance Database'!$H$2:$H$1369,MATCH(472,Engine!$C$2:$C$1369,0)))</f>
        <v/>
      </c>
      <c r="I485" s="9">
        <f>IF(ISNA(MATCH(472,Engine!$C$2:$C$1369,0)),"",INDEX('Compliance Database'!$I$2:$I$1369,MATCH(472,Engine!$C$2:$C$1369,0)))</f>
        <v/>
      </c>
      <c r="J485" s="8">
        <f>IF(ISNA(MATCH(472,Engine!$C$2:$C$1369,0)),"",INDEX('Compliance Database'!$J$2:$J$1369,MATCH(472,Engine!$C$2:$C$1369,0)))</f>
        <v/>
      </c>
      <c r="K485" s="9">
        <f>IF(ISNA(MATCH(472,Engine!$C$2:$C$1369,0)),"",INDEX('Compliance Database'!$K$2:$K$1369,MATCH(472,Engine!$C$2:$C$1369,0)))</f>
        <v/>
      </c>
      <c r="L485" s="9">
        <f>IF(ISNA(MATCH(472,Engine!$C$2:$C$1369,0)),"",INDEX('Compliance Database'!$L$2:$L$1369,MATCH(472,Engine!$C$2:$C$1369,0)))</f>
        <v/>
      </c>
      <c r="M485" s="9">
        <f>IF(ISNA(MATCH(472,Engine!$C$2:$C$1369,0)),"",INDEX('Compliance Database'!$M$2:$M$1369,MATCH(472,Engine!$C$2:$C$1369,0)))</f>
        <v/>
      </c>
      <c r="N485" s="9">
        <f>IF(ISNA(MATCH(472,Engine!$C$2:$C$1369,0)),"",INDEX('Compliance Database'!$N$2:$N$1369,MATCH(472,Engine!$C$2:$C$1369,0)))</f>
        <v/>
      </c>
      <c r="O485" s="8">
        <f>IF(ISNA(MATCH(472,Engine!$C$2:$C$1369,0)),"",HYPERLINK(INDEX('Compliance Database'!$O$2:$O$1369,MATCH(472,Engine!$C$2:$C$1369,0)),"Open PDF"))</f>
        <v/>
      </c>
    </row>
    <row r="486" ht="188" customHeight="1">
      <c r="A486" s="8">
        <f>IF(ISNA(MATCH(473,Engine!$C$2:$C$1369,0)),"",INDEX('Compliance Database'!$A$2:$A$1369,MATCH(473,Engine!$C$2:$C$1369,0)))</f>
        <v/>
      </c>
      <c r="B486" s="8">
        <f>IF(ISNA(MATCH(473,Engine!$C$2:$C$1369,0)),"",INDEX('Compliance Database'!$B$2:$B$1369,MATCH(473,Engine!$C$2:$C$1369,0)))</f>
        <v/>
      </c>
      <c r="C486" s="8">
        <f>IF(ISNA(MATCH(473,Engine!$C$2:$C$1369,0)),"",INDEX('Compliance Database'!$C$2:$C$1369,MATCH(473,Engine!$C$2:$C$1369,0)))</f>
        <v/>
      </c>
      <c r="D486" s="9">
        <f>IF(ISNA(MATCH(473,Engine!$C$2:$C$1369,0)),"",INDEX('Compliance Database'!$D$2:$D$1369,MATCH(473,Engine!$C$2:$C$1369,0)))</f>
        <v/>
      </c>
      <c r="E486" s="8">
        <f>IF(ISNA(MATCH(473,Engine!$C$2:$C$1369,0)),"",INDEX('Compliance Database'!$E$2:$E$1369,MATCH(473,Engine!$C$2:$C$1369,0)))</f>
        <v/>
      </c>
      <c r="F486" s="8">
        <f>IF(ISNA(MATCH(473,Engine!$C$2:$C$1369,0)),"",INDEX('Compliance Database'!$F$2:$F$1369,MATCH(473,Engine!$C$2:$C$1369,0)))</f>
        <v/>
      </c>
      <c r="G486" s="8">
        <f>IF(ISNA(MATCH(473,Engine!$C$2:$C$1369,0)),"",INDEX('Compliance Database'!$G$2:$G$1369,MATCH(473,Engine!$C$2:$C$1369,0)))</f>
        <v/>
      </c>
      <c r="H486" s="9">
        <f>IF(ISNA(MATCH(473,Engine!$C$2:$C$1369,0)),"",INDEX('Compliance Database'!$H$2:$H$1369,MATCH(473,Engine!$C$2:$C$1369,0)))</f>
        <v/>
      </c>
      <c r="I486" s="9">
        <f>IF(ISNA(MATCH(473,Engine!$C$2:$C$1369,0)),"",INDEX('Compliance Database'!$I$2:$I$1369,MATCH(473,Engine!$C$2:$C$1369,0)))</f>
        <v/>
      </c>
      <c r="J486" s="8">
        <f>IF(ISNA(MATCH(473,Engine!$C$2:$C$1369,0)),"",INDEX('Compliance Database'!$J$2:$J$1369,MATCH(473,Engine!$C$2:$C$1369,0)))</f>
        <v/>
      </c>
      <c r="K486" s="9">
        <f>IF(ISNA(MATCH(473,Engine!$C$2:$C$1369,0)),"",INDEX('Compliance Database'!$K$2:$K$1369,MATCH(473,Engine!$C$2:$C$1369,0)))</f>
        <v/>
      </c>
      <c r="L486" s="9">
        <f>IF(ISNA(MATCH(473,Engine!$C$2:$C$1369,0)),"",INDEX('Compliance Database'!$L$2:$L$1369,MATCH(473,Engine!$C$2:$C$1369,0)))</f>
        <v/>
      </c>
      <c r="M486" s="9">
        <f>IF(ISNA(MATCH(473,Engine!$C$2:$C$1369,0)),"",INDEX('Compliance Database'!$M$2:$M$1369,MATCH(473,Engine!$C$2:$C$1369,0)))</f>
        <v/>
      </c>
      <c r="N486" s="9">
        <f>IF(ISNA(MATCH(473,Engine!$C$2:$C$1369,0)),"",INDEX('Compliance Database'!$N$2:$N$1369,MATCH(473,Engine!$C$2:$C$1369,0)))</f>
        <v/>
      </c>
      <c r="O486" s="8">
        <f>IF(ISNA(MATCH(473,Engine!$C$2:$C$1369,0)),"",HYPERLINK(INDEX('Compliance Database'!$O$2:$O$1369,MATCH(473,Engine!$C$2:$C$1369,0)),"Open PDF"))</f>
        <v/>
      </c>
    </row>
    <row r="487" ht="188" customHeight="1">
      <c r="A487" s="8">
        <f>IF(ISNA(MATCH(474,Engine!$C$2:$C$1369,0)),"",INDEX('Compliance Database'!$A$2:$A$1369,MATCH(474,Engine!$C$2:$C$1369,0)))</f>
        <v/>
      </c>
      <c r="B487" s="8">
        <f>IF(ISNA(MATCH(474,Engine!$C$2:$C$1369,0)),"",INDEX('Compliance Database'!$B$2:$B$1369,MATCH(474,Engine!$C$2:$C$1369,0)))</f>
        <v/>
      </c>
      <c r="C487" s="8">
        <f>IF(ISNA(MATCH(474,Engine!$C$2:$C$1369,0)),"",INDEX('Compliance Database'!$C$2:$C$1369,MATCH(474,Engine!$C$2:$C$1369,0)))</f>
        <v/>
      </c>
      <c r="D487" s="9">
        <f>IF(ISNA(MATCH(474,Engine!$C$2:$C$1369,0)),"",INDEX('Compliance Database'!$D$2:$D$1369,MATCH(474,Engine!$C$2:$C$1369,0)))</f>
        <v/>
      </c>
      <c r="E487" s="8">
        <f>IF(ISNA(MATCH(474,Engine!$C$2:$C$1369,0)),"",INDEX('Compliance Database'!$E$2:$E$1369,MATCH(474,Engine!$C$2:$C$1369,0)))</f>
        <v/>
      </c>
      <c r="F487" s="8">
        <f>IF(ISNA(MATCH(474,Engine!$C$2:$C$1369,0)),"",INDEX('Compliance Database'!$F$2:$F$1369,MATCH(474,Engine!$C$2:$C$1369,0)))</f>
        <v/>
      </c>
      <c r="G487" s="8">
        <f>IF(ISNA(MATCH(474,Engine!$C$2:$C$1369,0)),"",INDEX('Compliance Database'!$G$2:$G$1369,MATCH(474,Engine!$C$2:$C$1369,0)))</f>
        <v/>
      </c>
      <c r="H487" s="9">
        <f>IF(ISNA(MATCH(474,Engine!$C$2:$C$1369,0)),"",INDEX('Compliance Database'!$H$2:$H$1369,MATCH(474,Engine!$C$2:$C$1369,0)))</f>
        <v/>
      </c>
      <c r="I487" s="9">
        <f>IF(ISNA(MATCH(474,Engine!$C$2:$C$1369,0)),"",INDEX('Compliance Database'!$I$2:$I$1369,MATCH(474,Engine!$C$2:$C$1369,0)))</f>
        <v/>
      </c>
      <c r="J487" s="8">
        <f>IF(ISNA(MATCH(474,Engine!$C$2:$C$1369,0)),"",INDEX('Compliance Database'!$J$2:$J$1369,MATCH(474,Engine!$C$2:$C$1369,0)))</f>
        <v/>
      </c>
      <c r="K487" s="9">
        <f>IF(ISNA(MATCH(474,Engine!$C$2:$C$1369,0)),"",INDEX('Compliance Database'!$K$2:$K$1369,MATCH(474,Engine!$C$2:$C$1369,0)))</f>
        <v/>
      </c>
      <c r="L487" s="9">
        <f>IF(ISNA(MATCH(474,Engine!$C$2:$C$1369,0)),"",INDEX('Compliance Database'!$L$2:$L$1369,MATCH(474,Engine!$C$2:$C$1369,0)))</f>
        <v/>
      </c>
      <c r="M487" s="9">
        <f>IF(ISNA(MATCH(474,Engine!$C$2:$C$1369,0)),"",INDEX('Compliance Database'!$M$2:$M$1369,MATCH(474,Engine!$C$2:$C$1369,0)))</f>
        <v/>
      </c>
      <c r="N487" s="9">
        <f>IF(ISNA(MATCH(474,Engine!$C$2:$C$1369,0)),"",INDEX('Compliance Database'!$N$2:$N$1369,MATCH(474,Engine!$C$2:$C$1369,0)))</f>
        <v/>
      </c>
      <c r="O487" s="8">
        <f>IF(ISNA(MATCH(474,Engine!$C$2:$C$1369,0)),"",HYPERLINK(INDEX('Compliance Database'!$O$2:$O$1369,MATCH(474,Engine!$C$2:$C$1369,0)),"Open PDF"))</f>
        <v/>
      </c>
    </row>
    <row r="488" ht="188" customHeight="1">
      <c r="A488" s="8">
        <f>IF(ISNA(MATCH(475,Engine!$C$2:$C$1369,0)),"",INDEX('Compliance Database'!$A$2:$A$1369,MATCH(475,Engine!$C$2:$C$1369,0)))</f>
        <v/>
      </c>
      <c r="B488" s="8">
        <f>IF(ISNA(MATCH(475,Engine!$C$2:$C$1369,0)),"",INDEX('Compliance Database'!$B$2:$B$1369,MATCH(475,Engine!$C$2:$C$1369,0)))</f>
        <v/>
      </c>
      <c r="C488" s="8">
        <f>IF(ISNA(MATCH(475,Engine!$C$2:$C$1369,0)),"",INDEX('Compliance Database'!$C$2:$C$1369,MATCH(475,Engine!$C$2:$C$1369,0)))</f>
        <v/>
      </c>
      <c r="D488" s="9">
        <f>IF(ISNA(MATCH(475,Engine!$C$2:$C$1369,0)),"",INDEX('Compliance Database'!$D$2:$D$1369,MATCH(475,Engine!$C$2:$C$1369,0)))</f>
        <v/>
      </c>
      <c r="E488" s="8">
        <f>IF(ISNA(MATCH(475,Engine!$C$2:$C$1369,0)),"",INDEX('Compliance Database'!$E$2:$E$1369,MATCH(475,Engine!$C$2:$C$1369,0)))</f>
        <v/>
      </c>
      <c r="F488" s="8">
        <f>IF(ISNA(MATCH(475,Engine!$C$2:$C$1369,0)),"",INDEX('Compliance Database'!$F$2:$F$1369,MATCH(475,Engine!$C$2:$C$1369,0)))</f>
        <v/>
      </c>
      <c r="G488" s="8">
        <f>IF(ISNA(MATCH(475,Engine!$C$2:$C$1369,0)),"",INDEX('Compliance Database'!$G$2:$G$1369,MATCH(475,Engine!$C$2:$C$1369,0)))</f>
        <v/>
      </c>
      <c r="H488" s="9">
        <f>IF(ISNA(MATCH(475,Engine!$C$2:$C$1369,0)),"",INDEX('Compliance Database'!$H$2:$H$1369,MATCH(475,Engine!$C$2:$C$1369,0)))</f>
        <v/>
      </c>
      <c r="I488" s="9">
        <f>IF(ISNA(MATCH(475,Engine!$C$2:$C$1369,0)),"",INDEX('Compliance Database'!$I$2:$I$1369,MATCH(475,Engine!$C$2:$C$1369,0)))</f>
        <v/>
      </c>
      <c r="J488" s="8">
        <f>IF(ISNA(MATCH(475,Engine!$C$2:$C$1369,0)),"",INDEX('Compliance Database'!$J$2:$J$1369,MATCH(475,Engine!$C$2:$C$1369,0)))</f>
        <v/>
      </c>
      <c r="K488" s="9">
        <f>IF(ISNA(MATCH(475,Engine!$C$2:$C$1369,0)),"",INDEX('Compliance Database'!$K$2:$K$1369,MATCH(475,Engine!$C$2:$C$1369,0)))</f>
        <v/>
      </c>
      <c r="L488" s="9">
        <f>IF(ISNA(MATCH(475,Engine!$C$2:$C$1369,0)),"",INDEX('Compliance Database'!$L$2:$L$1369,MATCH(475,Engine!$C$2:$C$1369,0)))</f>
        <v/>
      </c>
      <c r="M488" s="9">
        <f>IF(ISNA(MATCH(475,Engine!$C$2:$C$1369,0)),"",INDEX('Compliance Database'!$M$2:$M$1369,MATCH(475,Engine!$C$2:$C$1369,0)))</f>
        <v/>
      </c>
      <c r="N488" s="9">
        <f>IF(ISNA(MATCH(475,Engine!$C$2:$C$1369,0)),"",INDEX('Compliance Database'!$N$2:$N$1369,MATCH(475,Engine!$C$2:$C$1369,0)))</f>
        <v/>
      </c>
      <c r="O488" s="8">
        <f>IF(ISNA(MATCH(475,Engine!$C$2:$C$1369,0)),"",HYPERLINK(INDEX('Compliance Database'!$O$2:$O$1369,MATCH(475,Engine!$C$2:$C$1369,0)),"Open PDF"))</f>
        <v/>
      </c>
    </row>
    <row r="489" ht="188" customHeight="1">
      <c r="A489" s="8">
        <f>IF(ISNA(MATCH(476,Engine!$C$2:$C$1369,0)),"",INDEX('Compliance Database'!$A$2:$A$1369,MATCH(476,Engine!$C$2:$C$1369,0)))</f>
        <v/>
      </c>
      <c r="B489" s="8">
        <f>IF(ISNA(MATCH(476,Engine!$C$2:$C$1369,0)),"",INDEX('Compliance Database'!$B$2:$B$1369,MATCH(476,Engine!$C$2:$C$1369,0)))</f>
        <v/>
      </c>
      <c r="C489" s="8">
        <f>IF(ISNA(MATCH(476,Engine!$C$2:$C$1369,0)),"",INDEX('Compliance Database'!$C$2:$C$1369,MATCH(476,Engine!$C$2:$C$1369,0)))</f>
        <v/>
      </c>
      <c r="D489" s="9">
        <f>IF(ISNA(MATCH(476,Engine!$C$2:$C$1369,0)),"",INDEX('Compliance Database'!$D$2:$D$1369,MATCH(476,Engine!$C$2:$C$1369,0)))</f>
        <v/>
      </c>
      <c r="E489" s="8">
        <f>IF(ISNA(MATCH(476,Engine!$C$2:$C$1369,0)),"",INDEX('Compliance Database'!$E$2:$E$1369,MATCH(476,Engine!$C$2:$C$1369,0)))</f>
        <v/>
      </c>
      <c r="F489" s="8">
        <f>IF(ISNA(MATCH(476,Engine!$C$2:$C$1369,0)),"",INDEX('Compliance Database'!$F$2:$F$1369,MATCH(476,Engine!$C$2:$C$1369,0)))</f>
        <v/>
      </c>
      <c r="G489" s="8">
        <f>IF(ISNA(MATCH(476,Engine!$C$2:$C$1369,0)),"",INDEX('Compliance Database'!$G$2:$G$1369,MATCH(476,Engine!$C$2:$C$1369,0)))</f>
        <v/>
      </c>
      <c r="H489" s="9">
        <f>IF(ISNA(MATCH(476,Engine!$C$2:$C$1369,0)),"",INDEX('Compliance Database'!$H$2:$H$1369,MATCH(476,Engine!$C$2:$C$1369,0)))</f>
        <v/>
      </c>
      <c r="I489" s="9">
        <f>IF(ISNA(MATCH(476,Engine!$C$2:$C$1369,0)),"",INDEX('Compliance Database'!$I$2:$I$1369,MATCH(476,Engine!$C$2:$C$1369,0)))</f>
        <v/>
      </c>
      <c r="J489" s="8">
        <f>IF(ISNA(MATCH(476,Engine!$C$2:$C$1369,0)),"",INDEX('Compliance Database'!$J$2:$J$1369,MATCH(476,Engine!$C$2:$C$1369,0)))</f>
        <v/>
      </c>
      <c r="K489" s="9">
        <f>IF(ISNA(MATCH(476,Engine!$C$2:$C$1369,0)),"",INDEX('Compliance Database'!$K$2:$K$1369,MATCH(476,Engine!$C$2:$C$1369,0)))</f>
        <v/>
      </c>
      <c r="L489" s="9">
        <f>IF(ISNA(MATCH(476,Engine!$C$2:$C$1369,0)),"",INDEX('Compliance Database'!$L$2:$L$1369,MATCH(476,Engine!$C$2:$C$1369,0)))</f>
        <v/>
      </c>
      <c r="M489" s="9">
        <f>IF(ISNA(MATCH(476,Engine!$C$2:$C$1369,0)),"",INDEX('Compliance Database'!$M$2:$M$1369,MATCH(476,Engine!$C$2:$C$1369,0)))</f>
        <v/>
      </c>
      <c r="N489" s="9">
        <f>IF(ISNA(MATCH(476,Engine!$C$2:$C$1369,0)),"",INDEX('Compliance Database'!$N$2:$N$1369,MATCH(476,Engine!$C$2:$C$1369,0)))</f>
        <v/>
      </c>
      <c r="O489" s="8">
        <f>IF(ISNA(MATCH(476,Engine!$C$2:$C$1369,0)),"",HYPERLINK(INDEX('Compliance Database'!$O$2:$O$1369,MATCH(476,Engine!$C$2:$C$1369,0)),"Open PDF"))</f>
        <v/>
      </c>
    </row>
    <row r="490" ht="188" customHeight="1">
      <c r="A490" s="8">
        <f>IF(ISNA(MATCH(477,Engine!$C$2:$C$1369,0)),"",INDEX('Compliance Database'!$A$2:$A$1369,MATCH(477,Engine!$C$2:$C$1369,0)))</f>
        <v/>
      </c>
      <c r="B490" s="8">
        <f>IF(ISNA(MATCH(477,Engine!$C$2:$C$1369,0)),"",INDEX('Compliance Database'!$B$2:$B$1369,MATCH(477,Engine!$C$2:$C$1369,0)))</f>
        <v/>
      </c>
      <c r="C490" s="8">
        <f>IF(ISNA(MATCH(477,Engine!$C$2:$C$1369,0)),"",INDEX('Compliance Database'!$C$2:$C$1369,MATCH(477,Engine!$C$2:$C$1369,0)))</f>
        <v/>
      </c>
      <c r="D490" s="9">
        <f>IF(ISNA(MATCH(477,Engine!$C$2:$C$1369,0)),"",INDEX('Compliance Database'!$D$2:$D$1369,MATCH(477,Engine!$C$2:$C$1369,0)))</f>
        <v/>
      </c>
      <c r="E490" s="8">
        <f>IF(ISNA(MATCH(477,Engine!$C$2:$C$1369,0)),"",INDEX('Compliance Database'!$E$2:$E$1369,MATCH(477,Engine!$C$2:$C$1369,0)))</f>
        <v/>
      </c>
      <c r="F490" s="8">
        <f>IF(ISNA(MATCH(477,Engine!$C$2:$C$1369,0)),"",INDEX('Compliance Database'!$F$2:$F$1369,MATCH(477,Engine!$C$2:$C$1369,0)))</f>
        <v/>
      </c>
      <c r="G490" s="8">
        <f>IF(ISNA(MATCH(477,Engine!$C$2:$C$1369,0)),"",INDEX('Compliance Database'!$G$2:$G$1369,MATCH(477,Engine!$C$2:$C$1369,0)))</f>
        <v/>
      </c>
      <c r="H490" s="9">
        <f>IF(ISNA(MATCH(477,Engine!$C$2:$C$1369,0)),"",INDEX('Compliance Database'!$H$2:$H$1369,MATCH(477,Engine!$C$2:$C$1369,0)))</f>
        <v/>
      </c>
      <c r="I490" s="9">
        <f>IF(ISNA(MATCH(477,Engine!$C$2:$C$1369,0)),"",INDEX('Compliance Database'!$I$2:$I$1369,MATCH(477,Engine!$C$2:$C$1369,0)))</f>
        <v/>
      </c>
      <c r="J490" s="8">
        <f>IF(ISNA(MATCH(477,Engine!$C$2:$C$1369,0)),"",INDEX('Compliance Database'!$J$2:$J$1369,MATCH(477,Engine!$C$2:$C$1369,0)))</f>
        <v/>
      </c>
      <c r="K490" s="9">
        <f>IF(ISNA(MATCH(477,Engine!$C$2:$C$1369,0)),"",INDEX('Compliance Database'!$K$2:$K$1369,MATCH(477,Engine!$C$2:$C$1369,0)))</f>
        <v/>
      </c>
      <c r="L490" s="9">
        <f>IF(ISNA(MATCH(477,Engine!$C$2:$C$1369,0)),"",INDEX('Compliance Database'!$L$2:$L$1369,MATCH(477,Engine!$C$2:$C$1369,0)))</f>
        <v/>
      </c>
      <c r="M490" s="9">
        <f>IF(ISNA(MATCH(477,Engine!$C$2:$C$1369,0)),"",INDEX('Compliance Database'!$M$2:$M$1369,MATCH(477,Engine!$C$2:$C$1369,0)))</f>
        <v/>
      </c>
      <c r="N490" s="9">
        <f>IF(ISNA(MATCH(477,Engine!$C$2:$C$1369,0)),"",INDEX('Compliance Database'!$N$2:$N$1369,MATCH(477,Engine!$C$2:$C$1369,0)))</f>
        <v/>
      </c>
      <c r="O490" s="8">
        <f>IF(ISNA(MATCH(477,Engine!$C$2:$C$1369,0)),"",HYPERLINK(INDEX('Compliance Database'!$O$2:$O$1369,MATCH(477,Engine!$C$2:$C$1369,0)),"Open PDF"))</f>
        <v/>
      </c>
    </row>
    <row r="491" ht="188" customHeight="1">
      <c r="A491" s="8">
        <f>IF(ISNA(MATCH(478,Engine!$C$2:$C$1369,0)),"",INDEX('Compliance Database'!$A$2:$A$1369,MATCH(478,Engine!$C$2:$C$1369,0)))</f>
        <v/>
      </c>
      <c r="B491" s="8">
        <f>IF(ISNA(MATCH(478,Engine!$C$2:$C$1369,0)),"",INDEX('Compliance Database'!$B$2:$B$1369,MATCH(478,Engine!$C$2:$C$1369,0)))</f>
        <v/>
      </c>
      <c r="C491" s="8">
        <f>IF(ISNA(MATCH(478,Engine!$C$2:$C$1369,0)),"",INDEX('Compliance Database'!$C$2:$C$1369,MATCH(478,Engine!$C$2:$C$1369,0)))</f>
        <v/>
      </c>
      <c r="D491" s="9">
        <f>IF(ISNA(MATCH(478,Engine!$C$2:$C$1369,0)),"",INDEX('Compliance Database'!$D$2:$D$1369,MATCH(478,Engine!$C$2:$C$1369,0)))</f>
        <v/>
      </c>
      <c r="E491" s="8">
        <f>IF(ISNA(MATCH(478,Engine!$C$2:$C$1369,0)),"",INDEX('Compliance Database'!$E$2:$E$1369,MATCH(478,Engine!$C$2:$C$1369,0)))</f>
        <v/>
      </c>
      <c r="F491" s="8">
        <f>IF(ISNA(MATCH(478,Engine!$C$2:$C$1369,0)),"",INDEX('Compliance Database'!$F$2:$F$1369,MATCH(478,Engine!$C$2:$C$1369,0)))</f>
        <v/>
      </c>
      <c r="G491" s="8">
        <f>IF(ISNA(MATCH(478,Engine!$C$2:$C$1369,0)),"",INDEX('Compliance Database'!$G$2:$G$1369,MATCH(478,Engine!$C$2:$C$1369,0)))</f>
        <v/>
      </c>
      <c r="H491" s="9">
        <f>IF(ISNA(MATCH(478,Engine!$C$2:$C$1369,0)),"",INDEX('Compliance Database'!$H$2:$H$1369,MATCH(478,Engine!$C$2:$C$1369,0)))</f>
        <v/>
      </c>
      <c r="I491" s="9">
        <f>IF(ISNA(MATCH(478,Engine!$C$2:$C$1369,0)),"",INDEX('Compliance Database'!$I$2:$I$1369,MATCH(478,Engine!$C$2:$C$1369,0)))</f>
        <v/>
      </c>
      <c r="J491" s="8">
        <f>IF(ISNA(MATCH(478,Engine!$C$2:$C$1369,0)),"",INDEX('Compliance Database'!$J$2:$J$1369,MATCH(478,Engine!$C$2:$C$1369,0)))</f>
        <v/>
      </c>
      <c r="K491" s="9">
        <f>IF(ISNA(MATCH(478,Engine!$C$2:$C$1369,0)),"",INDEX('Compliance Database'!$K$2:$K$1369,MATCH(478,Engine!$C$2:$C$1369,0)))</f>
        <v/>
      </c>
      <c r="L491" s="9">
        <f>IF(ISNA(MATCH(478,Engine!$C$2:$C$1369,0)),"",INDEX('Compliance Database'!$L$2:$L$1369,MATCH(478,Engine!$C$2:$C$1369,0)))</f>
        <v/>
      </c>
      <c r="M491" s="9">
        <f>IF(ISNA(MATCH(478,Engine!$C$2:$C$1369,0)),"",INDEX('Compliance Database'!$M$2:$M$1369,MATCH(478,Engine!$C$2:$C$1369,0)))</f>
        <v/>
      </c>
      <c r="N491" s="9">
        <f>IF(ISNA(MATCH(478,Engine!$C$2:$C$1369,0)),"",INDEX('Compliance Database'!$N$2:$N$1369,MATCH(478,Engine!$C$2:$C$1369,0)))</f>
        <v/>
      </c>
      <c r="O491" s="8">
        <f>IF(ISNA(MATCH(478,Engine!$C$2:$C$1369,0)),"",HYPERLINK(INDEX('Compliance Database'!$O$2:$O$1369,MATCH(478,Engine!$C$2:$C$1369,0)),"Open PDF"))</f>
        <v/>
      </c>
    </row>
    <row r="492" ht="188" customHeight="1">
      <c r="A492" s="8">
        <f>IF(ISNA(MATCH(479,Engine!$C$2:$C$1369,0)),"",INDEX('Compliance Database'!$A$2:$A$1369,MATCH(479,Engine!$C$2:$C$1369,0)))</f>
        <v/>
      </c>
      <c r="B492" s="8">
        <f>IF(ISNA(MATCH(479,Engine!$C$2:$C$1369,0)),"",INDEX('Compliance Database'!$B$2:$B$1369,MATCH(479,Engine!$C$2:$C$1369,0)))</f>
        <v/>
      </c>
      <c r="C492" s="8">
        <f>IF(ISNA(MATCH(479,Engine!$C$2:$C$1369,0)),"",INDEX('Compliance Database'!$C$2:$C$1369,MATCH(479,Engine!$C$2:$C$1369,0)))</f>
        <v/>
      </c>
      <c r="D492" s="9">
        <f>IF(ISNA(MATCH(479,Engine!$C$2:$C$1369,0)),"",INDEX('Compliance Database'!$D$2:$D$1369,MATCH(479,Engine!$C$2:$C$1369,0)))</f>
        <v/>
      </c>
      <c r="E492" s="8">
        <f>IF(ISNA(MATCH(479,Engine!$C$2:$C$1369,0)),"",INDEX('Compliance Database'!$E$2:$E$1369,MATCH(479,Engine!$C$2:$C$1369,0)))</f>
        <v/>
      </c>
      <c r="F492" s="8">
        <f>IF(ISNA(MATCH(479,Engine!$C$2:$C$1369,0)),"",INDEX('Compliance Database'!$F$2:$F$1369,MATCH(479,Engine!$C$2:$C$1369,0)))</f>
        <v/>
      </c>
      <c r="G492" s="8">
        <f>IF(ISNA(MATCH(479,Engine!$C$2:$C$1369,0)),"",INDEX('Compliance Database'!$G$2:$G$1369,MATCH(479,Engine!$C$2:$C$1369,0)))</f>
        <v/>
      </c>
      <c r="H492" s="9">
        <f>IF(ISNA(MATCH(479,Engine!$C$2:$C$1369,0)),"",INDEX('Compliance Database'!$H$2:$H$1369,MATCH(479,Engine!$C$2:$C$1369,0)))</f>
        <v/>
      </c>
      <c r="I492" s="9">
        <f>IF(ISNA(MATCH(479,Engine!$C$2:$C$1369,0)),"",INDEX('Compliance Database'!$I$2:$I$1369,MATCH(479,Engine!$C$2:$C$1369,0)))</f>
        <v/>
      </c>
      <c r="J492" s="8">
        <f>IF(ISNA(MATCH(479,Engine!$C$2:$C$1369,0)),"",INDEX('Compliance Database'!$J$2:$J$1369,MATCH(479,Engine!$C$2:$C$1369,0)))</f>
        <v/>
      </c>
      <c r="K492" s="9">
        <f>IF(ISNA(MATCH(479,Engine!$C$2:$C$1369,0)),"",INDEX('Compliance Database'!$K$2:$K$1369,MATCH(479,Engine!$C$2:$C$1369,0)))</f>
        <v/>
      </c>
      <c r="L492" s="9">
        <f>IF(ISNA(MATCH(479,Engine!$C$2:$C$1369,0)),"",INDEX('Compliance Database'!$L$2:$L$1369,MATCH(479,Engine!$C$2:$C$1369,0)))</f>
        <v/>
      </c>
      <c r="M492" s="9">
        <f>IF(ISNA(MATCH(479,Engine!$C$2:$C$1369,0)),"",INDEX('Compliance Database'!$M$2:$M$1369,MATCH(479,Engine!$C$2:$C$1369,0)))</f>
        <v/>
      </c>
      <c r="N492" s="9">
        <f>IF(ISNA(MATCH(479,Engine!$C$2:$C$1369,0)),"",INDEX('Compliance Database'!$N$2:$N$1369,MATCH(479,Engine!$C$2:$C$1369,0)))</f>
        <v/>
      </c>
      <c r="O492" s="8">
        <f>IF(ISNA(MATCH(479,Engine!$C$2:$C$1369,0)),"",HYPERLINK(INDEX('Compliance Database'!$O$2:$O$1369,MATCH(479,Engine!$C$2:$C$1369,0)),"Open PDF"))</f>
        <v/>
      </c>
    </row>
    <row r="493" ht="188" customHeight="1">
      <c r="A493" s="8">
        <f>IF(ISNA(MATCH(480,Engine!$C$2:$C$1369,0)),"",INDEX('Compliance Database'!$A$2:$A$1369,MATCH(480,Engine!$C$2:$C$1369,0)))</f>
        <v/>
      </c>
      <c r="B493" s="8">
        <f>IF(ISNA(MATCH(480,Engine!$C$2:$C$1369,0)),"",INDEX('Compliance Database'!$B$2:$B$1369,MATCH(480,Engine!$C$2:$C$1369,0)))</f>
        <v/>
      </c>
      <c r="C493" s="8">
        <f>IF(ISNA(MATCH(480,Engine!$C$2:$C$1369,0)),"",INDEX('Compliance Database'!$C$2:$C$1369,MATCH(480,Engine!$C$2:$C$1369,0)))</f>
        <v/>
      </c>
      <c r="D493" s="9">
        <f>IF(ISNA(MATCH(480,Engine!$C$2:$C$1369,0)),"",INDEX('Compliance Database'!$D$2:$D$1369,MATCH(480,Engine!$C$2:$C$1369,0)))</f>
        <v/>
      </c>
      <c r="E493" s="8">
        <f>IF(ISNA(MATCH(480,Engine!$C$2:$C$1369,0)),"",INDEX('Compliance Database'!$E$2:$E$1369,MATCH(480,Engine!$C$2:$C$1369,0)))</f>
        <v/>
      </c>
      <c r="F493" s="8">
        <f>IF(ISNA(MATCH(480,Engine!$C$2:$C$1369,0)),"",INDEX('Compliance Database'!$F$2:$F$1369,MATCH(480,Engine!$C$2:$C$1369,0)))</f>
        <v/>
      </c>
      <c r="G493" s="8">
        <f>IF(ISNA(MATCH(480,Engine!$C$2:$C$1369,0)),"",INDEX('Compliance Database'!$G$2:$G$1369,MATCH(480,Engine!$C$2:$C$1369,0)))</f>
        <v/>
      </c>
      <c r="H493" s="9">
        <f>IF(ISNA(MATCH(480,Engine!$C$2:$C$1369,0)),"",INDEX('Compliance Database'!$H$2:$H$1369,MATCH(480,Engine!$C$2:$C$1369,0)))</f>
        <v/>
      </c>
      <c r="I493" s="9">
        <f>IF(ISNA(MATCH(480,Engine!$C$2:$C$1369,0)),"",INDEX('Compliance Database'!$I$2:$I$1369,MATCH(480,Engine!$C$2:$C$1369,0)))</f>
        <v/>
      </c>
      <c r="J493" s="8">
        <f>IF(ISNA(MATCH(480,Engine!$C$2:$C$1369,0)),"",INDEX('Compliance Database'!$J$2:$J$1369,MATCH(480,Engine!$C$2:$C$1369,0)))</f>
        <v/>
      </c>
      <c r="K493" s="9">
        <f>IF(ISNA(MATCH(480,Engine!$C$2:$C$1369,0)),"",INDEX('Compliance Database'!$K$2:$K$1369,MATCH(480,Engine!$C$2:$C$1369,0)))</f>
        <v/>
      </c>
      <c r="L493" s="9">
        <f>IF(ISNA(MATCH(480,Engine!$C$2:$C$1369,0)),"",INDEX('Compliance Database'!$L$2:$L$1369,MATCH(480,Engine!$C$2:$C$1369,0)))</f>
        <v/>
      </c>
      <c r="M493" s="9">
        <f>IF(ISNA(MATCH(480,Engine!$C$2:$C$1369,0)),"",INDEX('Compliance Database'!$M$2:$M$1369,MATCH(480,Engine!$C$2:$C$1369,0)))</f>
        <v/>
      </c>
      <c r="N493" s="9">
        <f>IF(ISNA(MATCH(480,Engine!$C$2:$C$1369,0)),"",INDEX('Compliance Database'!$N$2:$N$1369,MATCH(480,Engine!$C$2:$C$1369,0)))</f>
        <v/>
      </c>
      <c r="O493" s="8">
        <f>IF(ISNA(MATCH(480,Engine!$C$2:$C$1369,0)),"",HYPERLINK(INDEX('Compliance Database'!$O$2:$O$1369,MATCH(480,Engine!$C$2:$C$1369,0)),"Open PDF"))</f>
        <v/>
      </c>
    </row>
    <row r="494" ht="188" customHeight="1">
      <c r="A494" s="8">
        <f>IF(ISNA(MATCH(481,Engine!$C$2:$C$1369,0)),"",INDEX('Compliance Database'!$A$2:$A$1369,MATCH(481,Engine!$C$2:$C$1369,0)))</f>
        <v/>
      </c>
      <c r="B494" s="8">
        <f>IF(ISNA(MATCH(481,Engine!$C$2:$C$1369,0)),"",INDEX('Compliance Database'!$B$2:$B$1369,MATCH(481,Engine!$C$2:$C$1369,0)))</f>
        <v/>
      </c>
      <c r="C494" s="8">
        <f>IF(ISNA(MATCH(481,Engine!$C$2:$C$1369,0)),"",INDEX('Compliance Database'!$C$2:$C$1369,MATCH(481,Engine!$C$2:$C$1369,0)))</f>
        <v/>
      </c>
      <c r="D494" s="9">
        <f>IF(ISNA(MATCH(481,Engine!$C$2:$C$1369,0)),"",INDEX('Compliance Database'!$D$2:$D$1369,MATCH(481,Engine!$C$2:$C$1369,0)))</f>
        <v/>
      </c>
      <c r="E494" s="8">
        <f>IF(ISNA(MATCH(481,Engine!$C$2:$C$1369,0)),"",INDEX('Compliance Database'!$E$2:$E$1369,MATCH(481,Engine!$C$2:$C$1369,0)))</f>
        <v/>
      </c>
      <c r="F494" s="8">
        <f>IF(ISNA(MATCH(481,Engine!$C$2:$C$1369,0)),"",INDEX('Compliance Database'!$F$2:$F$1369,MATCH(481,Engine!$C$2:$C$1369,0)))</f>
        <v/>
      </c>
      <c r="G494" s="8">
        <f>IF(ISNA(MATCH(481,Engine!$C$2:$C$1369,0)),"",INDEX('Compliance Database'!$G$2:$G$1369,MATCH(481,Engine!$C$2:$C$1369,0)))</f>
        <v/>
      </c>
      <c r="H494" s="9">
        <f>IF(ISNA(MATCH(481,Engine!$C$2:$C$1369,0)),"",INDEX('Compliance Database'!$H$2:$H$1369,MATCH(481,Engine!$C$2:$C$1369,0)))</f>
        <v/>
      </c>
      <c r="I494" s="9">
        <f>IF(ISNA(MATCH(481,Engine!$C$2:$C$1369,0)),"",INDEX('Compliance Database'!$I$2:$I$1369,MATCH(481,Engine!$C$2:$C$1369,0)))</f>
        <v/>
      </c>
      <c r="J494" s="8">
        <f>IF(ISNA(MATCH(481,Engine!$C$2:$C$1369,0)),"",INDEX('Compliance Database'!$J$2:$J$1369,MATCH(481,Engine!$C$2:$C$1369,0)))</f>
        <v/>
      </c>
      <c r="K494" s="9">
        <f>IF(ISNA(MATCH(481,Engine!$C$2:$C$1369,0)),"",INDEX('Compliance Database'!$K$2:$K$1369,MATCH(481,Engine!$C$2:$C$1369,0)))</f>
        <v/>
      </c>
      <c r="L494" s="9">
        <f>IF(ISNA(MATCH(481,Engine!$C$2:$C$1369,0)),"",INDEX('Compliance Database'!$L$2:$L$1369,MATCH(481,Engine!$C$2:$C$1369,0)))</f>
        <v/>
      </c>
      <c r="M494" s="9">
        <f>IF(ISNA(MATCH(481,Engine!$C$2:$C$1369,0)),"",INDEX('Compliance Database'!$M$2:$M$1369,MATCH(481,Engine!$C$2:$C$1369,0)))</f>
        <v/>
      </c>
      <c r="N494" s="9">
        <f>IF(ISNA(MATCH(481,Engine!$C$2:$C$1369,0)),"",INDEX('Compliance Database'!$N$2:$N$1369,MATCH(481,Engine!$C$2:$C$1369,0)))</f>
        <v/>
      </c>
      <c r="O494" s="8">
        <f>IF(ISNA(MATCH(481,Engine!$C$2:$C$1369,0)),"",HYPERLINK(INDEX('Compliance Database'!$O$2:$O$1369,MATCH(481,Engine!$C$2:$C$1369,0)),"Open PDF"))</f>
        <v/>
      </c>
    </row>
    <row r="495" ht="188" customHeight="1">
      <c r="A495" s="8">
        <f>IF(ISNA(MATCH(482,Engine!$C$2:$C$1369,0)),"",INDEX('Compliance Database'!$A$2:$A$1369,MATCH(482,Engine!$C$2:$C$1369,0)))</f>
        <v/>
      </c>
      <c r="B495" s="8">
        <f>IF(ISNA(MATCH(482,Engine!$C$2:$C$1369,0)),"",INDEX('Compliance Database'!$B$2:$B$1369,MATCH(482,Engine!$C$2:$C$1369,0)))</f>
        <v/>
      </c>
      <c r="C495" s="8">
        <f>IF(ISNA(MATCH(482,Engine!$C$2:$C$1369,0)),"",INDEX('Compliance Database'!$C$2:$C$1369,MATCH(482,Engine!$C$2:$C$1369,0)))</f>
        <v/>
      </c>
      <c r="D495" s="9">
        <f>IF(ISNA(MATCH(482,Engine!$C$2:$C$1369,0)),"",INDEX('Compliance Database'!$D$2:$D$1369,MATCH(482,Engine!$C$2:$C$1369,0)))</f>
        <v/>
      </c>
      <c r="E495" s="8">
        <f>IF(ISNA(MATCH(482,Engine!$C$2:$C$1369,0)),"",INDEX('Compliance Database'!$E$2:$E$1369,MATCH(482,Engine!$C$2:$C$1369,0)))</f>
        <v/>
      </c>
      <c r="F495" s="8">
        <f>IF(ISNA(MATCH(482,Engine!$C$2:$C$1369,0)),"",INDEX('Compliance Database'!$F$2:$F$1369,MATCH(482,Engine!$C$2:$C$1369,0)))</f>
        <v/>
      </c>
      <c r="G495" s="8">
        <f>IF(ISNA(MATCH(482,Engine!$C$2:$C$1369,0)),"",INDEX('Compliance Database'!$G$2:$G$1369,MATCH(482,Engine!$C$2:$C$1369,0)))</f>
        <v/>
      </c>
      <c r="H495" s="9">
        <f>IF(ISNA(MATCH(482,Engine!$C$2:$C$1369,0)),"",INDEX('Compliance Database'!$H$2:$H$1369,MATCH(482,Engine!$C$2:$C$1369,0)))</f>
        <v/>
      </c>
      <c r="I495" s="9">
        <f>IF(ISNA(MATCH(482,Engine!$C$2:$C$1369,0)),"",INDEX('Compliance Database'!$I$2:$I$1369,MATCH(482,Engine!$C$2:$C$1369,0)))</f>
        <v/>
      </c>
      <c r="J495" s="8">
        <f>IF(ISNA(MATCH(482,Engine!$C$2:$C$1369,0)),"",INDEX('Compliance Database'!$J$2:$J$1369,MATCH(482,Engine!$C$2:$C$1369,0)))</f>
        <v/>
      </c>
      <c r="K495" s="9">
        <f>IF(ISNA(MATCH(482,Engine!$C$2:$C$1369,0)),"",INDEX('Compliance Database'!$K$2:$K$1369,MATCH(482,Engine!$C$2:$C$1369,0)))</f>
        <v/>
      </c>
      <c r="L495" s="9">
        <f>IF(ISNA(MATCH(482,Engine!$C$2:$C$1369,0)),"",INDEX('Compliance Database'!$L$2:$L$1369,MATCH(482,Engine!$C$2:$C$1369,0)))</f>
        <v/>
      </c>
      <c r="M495" s="9">
        <f>IF(ISNA(MATCH(482,Engine!$C$2:$C$1369,0)),"",INDEX('Compliance Database'!$M$2:$M$1369,MATCH(482,Engine!$C$2:$C$1369,0)))</f>
        <v/>
      </c>
      <c r="N495" s="9">
        <f>IF(ISNA(MATCH(482,Engine!$C$2:$C$1369,0)),"",INDEX('Compliance Database'!$N$2:$N$1369,MATCH(482,Engine!$C$2:$C$1369,0)))</f>
        <v/>
      </c>
      <c r="O495" s="8">
        <f>IF(ISNA(MATCH(482,Engine!$C$2:$C$1369,0)),"",HYPERLINK(INDEX('Compliance Database'!$O$2:$O$1369,MATCH(482,Engine!$C$2:$C$1369,0)),"Open PDF"))</f>
        <v/>
      </c>
    </row>
    <row r="496" ht="188" customHeight="1">
      <c r="A496" s="8">
        <f>IF(ISNA(MATCH(483,Engine!$C$2:$C$1369,0)),"",INDEX('Compliance Database'!$A$2:$A$1369,MATCH(483,Engine!$C$2:$C$1369,0)))</f>
        <v/>
      </c>
      <c r="B496" s="8">
        <f>IF(ISNA(MATCH(483,Engine!$C$2:$C$1369,0)),"",INDEX('Compliance Database'!$B$2:$B$1369,MATCH(483,Engine!$C$2:$C$1369,0)))</f>
        <v/>
      </c>
      <c r="C496" s="8">
        <f>IF(ISNA(MATCH(483,Engine!$C$2:$C$1369,0)),"",INDEX('Compliance Database'!$C$2:$C$1369,MATCH(483,Engine!$C$2:$C$1369,0)))</f>
        <v/>
      </c>
      <c r="D496" s="9">
        <f>IF(ISNA(MATCH(483,Engine!$C$2:$C$1369,0)),"",INDEX('Compliance Database'!$D$2:$D$1369,MATCH(483,Engine!$C$2:$C$1369,0)))</f>
        <v/>
      </c>
      <c r="E496" s="8">
        <f>IF(ISNA(MATCH(483,Engine!$C$2:$C$1369,0)),"",INDEX('Compliance Database'!$E$2:$E$1369,MATCH(483,Engine!$C$2:$C$1369,0)))</f>
        <v/>
      </c>
      <c r="F496" s="8">
        <f>IF(ISNA(MATCH(483,Engine!$C$2:$C$1369,0)),"",INDEX('Compliance Database'!$F$2:$F$1369,MATCH(483,Engine!$C$2:$C$1369,0)))</f>
        <v/>
      </c>
      <c r="G496" s="8">
        <f>IF(ISNA(MATCH(483,Engine!$C$2:$C$1369,0)),"",INDEX('Compliance Database'!$G$2:$G$1369,MATCH(483,Engine!$C$2:$C$1369,0)))</f>
        <v/>
      </c>
      <c r="H496" s="9">
        <f>IF(ISNA(MATCH(483,Engine!$C$2:$C$1369,0)),"",INDEX('Compliance Database'!$H$2:$H$1369,MATCH(483,Engine!$C$2:$C$1369,0)))</f>
        <v/>
      </c>
      <c r="I496" s="9">
        <f>IF(ISNA(MATCH(483,Engine!$C$2:$C$1369,0)),"",INDEX('Compliance Database'!$I$2:$I$1369,MATCH(483,Engine!$C$2:$C$1369,0)))</f>
        <v/>
      </c>
      <c r="J496" s="8">
        <f>IF(ISNA(MATCH(483,Engine!$C$2:$C$1369,0)),"",INDEX('Compliance Database'!$J$2:$J$1369,MATCH(483,Engine!$C$2:$C$1369,0)))</f>
        <v/>
      </c>
      <c r="K496" s="9">
        <f>IF(ISNA(MATCH(483,Engine!$C$2:$C$1369,0)),"",INDEX('Compliance Database'!$K$2:$K$1369,MATCH(483,Engine!$C$2:$C$1369,0)))</f>
        <v/>
      </c>
      <c r="L496" s="9">
        <f>IF(ISNA(MATCH(483,Engine!$C$2:$C$1369,0)),"",INDEX('Compliance Database'!$L$2:$L$1369,MATCH(483,Engine!$C$2:$C$1369,0)))</f>
        <v/>
      </c>
      <c r="M496" s="9">
        <f>IF(ISNA(MATCH(483,Engine!$C$2:$C$1369,0)),"",INDEX('Compliance Database'!$M$2:$M$1369,MATCH(483,Engine!$C$2:$C$1369,0)))</f>
        <v/>
      </c>
      <c r="N496" s="9">
        <f>IF(ISNA(MATCH(483,Engine!$C$2:$C$1369,0)),"",INDEX('Compliance Database'!$N$2:$N$1369,MATCH(483,Engine!$C$2:$C$1369,0)))</f>
        <v/>
      </c>
      <c r="O496" s="8">
        <f>IF(ISNA(MATCH(483,Engine!$C$2:$C$1369,0)),"",HYPERLINK(INDEX('Compliance Database'!$O$2:$O$1369,MATCH(483,Engine!$C$2:$C$1369,0)),"Open PDF"))</f>
        <v/>
      </c>
    </row>
    <row r="497" ht="188" customHeight="1">
      <c r="A497" s="8">
        <f>IF(ISNA(MATCH(484,Engine!$C$2:$C$1369,0)),"",INDEX('Compliance Database'!$A$2:$A$1369,MATCH(484,Engine!$C$2:$C$1369,0)))</f>
        <v/>
      </c>
      <c r="B497" s="8">
        <f>IF(ISNA(MATCH(484,Engine!$C$2:$C$1369,0)),"",INDEX('Compliance Database'!$B$2:$B$1369,MATCH(484,Engine!$C$2:$C$1369,0)))</f>
        <v/>
      </c>
      <c r="C497" s="8">
        <f>IF(ISNA(MATCH(484,Engine!$C$2:$C$1369,0)),"",INDEX('Compliance Database'!$C$2:$C$1369,MATCH(484,Engine!$C$2:$C$1369,0)))</f>
        <v/>
      </c>
      <c r="D497" s="9">
        <f>IF(ISNA(MATCH(484,Engine!$C$2:$C$1369,0)),"",INDEX('Compliance Database'!$D$2:$D$1369,MATCH(484,Engine!$C$2:$C$1369,0)))</f>
        <v/>
      </c>
      <c r="E497" s="8">
        <f>IF(ISNA(MATCH(484,Engine!$C$2:$C$1369,0)),"",INDEX('Compliance Database'!$E$2:$E$1369,MATCH(484,Engine!$C$2:$C$1369,0)))</f>
        <v/>
      </c>
      <c r="F497" s="8">
        <f>IF(ISNA(MATCH(484,Engine!$C$2:$C$1369,0)),"",INDEX('Compliance Database'!$F$2:$F$1369,MATCH(484,Engine!$C$2:$C$1369,0)))</f>
        <v/>
      </c>
      <c r="G497" s="8">
        <f>IF(ISNA(MATCH(484,Engine!$C$2:$C$1369,0)),"",INDEX('Compliance Database'!$G$2:$G$1369,MATCH(484,Engine!$C$2:$C$1369,0)))</f>
        <v/>
      </c>
      <c r="H497" s="9">
        <f>IF(ISNA(MATCH(484,Engine!$C$2:$C$1369,0)),"",INDEX('Compliance Database'!$H$2:$H$1369,MATCH(484,Engine!$C$2:$C$1369,0)))</f>
        <v/>
      </c>
      <c r="I497" s="9">
        <f>IF(ISNA(MATCH(484,Engine!$C$2:$C$1369,0)),"",INDEX('Compliance Database'!$I$2:$I$1369,MATCH(484,Engine!$C$2:$C$1369,0)))</f>
        <v/>
      </c>
      <c r="J497" s="8">
        <f>IF(ISNA(MATCH(484,Engine!$C$2:$C$1369,0)),"",INDEX('Compliance Database'!$J$2:$J$1369,MATCH(484,Engine!$C$2:$C$1369,0)))</f>
        <v/>
      </c>
      <c r="K497" s="9">
        <f>IF(ISNA(MATCH(484,Engine!$C$2:$C$1369,0)),"",INDEX('Compliance Database'!$K$2:$K$1369,MATCH(484,Engine!$C$2:$C$1369,0)))</f>
        <v/>
      </c>
      <c r="L497" s="9">
        <f>IF(ISNA(MATCH(484,Engine!$C$2:$C$1369,0)),"",INDEX('Compliance Database'!$L$2:$L$1369,MATCH(484,Engine!$C$2:$C$1369,0)))</f>
        <v/>
      </c>
      <c r="M497" s="9">
        <f>IF(ISNA(MATCH(484,Engine!$C$2:$C$1369,0)),"",INDEX('Compliance Database'!$M$2:$M$1369,MATCH(484,Engine!$C$2:$C$1369,0)))</f>
        <v/>
      </c>
      <c r="N497" s="9">
        <f>IF(ISNA(MATCH(484,Engine!$C$2:$C$1369,0)),"",INDEX('Compliance Database'!$N$2:$N$1369,MATCH(484,Engine!$C$2:$C$1369,0)))</f>
        <v/>
      </c>
      <c r="O497" s="8">
        <f>IF(ISNA(MATCH(484,Engine!$C$2:$C$1369,0)),"",HYPERLINK(INDEX('Compliance Database'!$O$2:$O$1369,MATCH(484,Engine!$C$2:$C$1369,0)),"Open PDF"))</f>
        <v/>
      </c>
    </row>
    <row r="498" ht="188" customHeight="1">
      <c r="A498" s="8">
        <f>IF(ISNA(MATCH(485,Engine!$C$2:$C$1369,0)),"",INDEX('Compliance Database'!$A$2:$A$1369,MATCH(485,Engine!$C$2:$C$1369,0)))</f>
        <v/>
      </c>
      <c r="B498" s="8">
        <f>IF(ISNA(MATCH(485,Engine!$C$2:$C$1369,0)),"",INDEX('Compliance Database'!$B$2:$B$1369,MATCH(485,Engine!$C$2:$C$1369,0)))</f>
        <v/>
      </c>
      <c r="C498" s="8">
        <f>IF(ISNA(MATCH(485,Engine!$C$2:$C$1369,0)),"",INDEX('Compliance Database'!$C$2:$C$1369,MATCH(485,Engine!$C$2:$C$1369,0)))</f>
        <v/>
      </c>
      <c r="D498" s="9">
        <f>IF(ISNA(MATCH(485,Engine!$C$2:$C$1369,0)),"",INDEX('Compliance Database'!$D$2:$D$1369,MATCH(485,Engine!$C$2:$C$1369,0)))</f>
        <v/>
      </c>
      <c r="E498" s="8">
        <f>IF(ISNA(MATCH(485,Engine!$C$2:$C$1369,0)),"",INDEX('Compliance Database'!$E$2:$E$1369,MATCH(485,Engine!$C$2:$C$1369,0)))</f>
        <v/>
      </c>
      <c r="F498" s="8">
        <f>IF(ISNA(MATCH(485,Engine!$C$2:$C$1369,0)),"",INDEX('Compliance Database'!$F$2:$F$1369,MATCH(485,Engine!$C$2:$C$1369,0)))</f>
        <v/>
      </c>
      <c r="G498" s="8">
        <f>IF(ISNA(MATCH(485,Engine!$C$2:$C$1369,0)),"",INDEX('Compliance Database'!$G$2:$G$1369,MATCH(485,Engine!$C$2:$C$1369,0)))</f>
        <v/>
      </c>
      <c r="H498" s="9">
        <f>IF(ISNA(MATCH(485,Engine!$C$2:$C$1369,0)),"",INDEX('Compliance Database'!$H$2:$H$1369,MATCH(485,Engine!$C$2:$C$1369,0)))</f>
        <v/>
      </c>
      <c r="I498" s="9">
        <f>IF(ISNA(MATCH(485,Engine!$C$2:$C$1369,0)),"",INDEX('Compliance Database'!$I$2:$I$1369,MATCH(485,Engine!$C$2:$C$1369,0)))</f>
        <v/>
      </c>
      <c r="J498" s="8">
        <f>IF(ISNA(MATCH(485,Engine!$C$2:$C$1369,0)),"",INDEX('Compliance Database'!$J$2:$J$1369,MATCH(485,Engine!$C$2:$C$1369,0)))</f>
        <v/>
      </c>
      <c r="K498" s="9">
        <f>IF(ISNA(MATCH(485,Engine!$C$2:$C$1369,0)),"",INDEX('Compliance Database'!$K$2:$K$1369,MATCH(485,Engine!$C$2:$C$1369,0)))</f>
        <v/>
      </c>
      <c r="L498" s="9">
        <f>IF(ISNA(MATCH(485,Engine!$C$2:$C$1369,0)),"",INDEX('Compliance Database'!$L$2:$L$1369,MATCH(485,Engine!$C$2:$C$1369,0)))</f>
        <v/>
      </c>
      <c r="M498" s="9">
        <f>IF(ISNA(MATCH(485,Engine!$C$2:$C$1369,0)),"",INDEX('Compliance Database'!$M$2:$M$1369,MATCH(485,Engine!$C$2:$C$1369,0)))</f>
        <v/>
      </c>
      <c r="N498" s="9">
        <f>IF(ISNA(MATCH(485,Engine!$C$2:$C$1369,0)),"",INDEX('Compliance Database'!$N$2:$N$1369,MATCH(485,Engine!$C$2:$C$1369,0)))</f>
        <v/>
      </c>
      <c r="O498" s="8">
        <f>IF(ISNA(MATCH(485,Engine!$C$2:$C$1369,0)),"",HYPERLINK(INDEX('Compliance Database'!$O$2:$O$1369,MATCH(485,Engine!$C$2:$C$1369,0)),"Open PDF"))</f>
        <v/>
      </c>
    </row>
    <row r="499" ht="188" customHeight="1">
      <c r="A499" s="8">
        <f>IF(ISNA(MATCH(486,Engine!$C$2:$C$1369,0)),"",INDEX('Compliance Database'!$A$2:$A$1369,MATCH(486,Engine!$C$2:$C$1369,0)))</f>
        <v/>
      </c>
      <c r="B499" s="8">
        <f>IF(ISNA(MATCH(486,Engine!$C$2:$C$1369,0)),"",INDEX('Compliance Database'!$B$2:$B$1369,MATCH(486,Engine!$C$2:$C$1369,0)))</f>
        <v/>
      </c>
      <c r="C499" s="8">
        <f>IF(ISNA(MATCH(486,Engine!$C$2:$C$1369,0)),"",INDEX('Compliance Database'!$C$2:$C$1369,MATCH(486,Engine!$C$2:$C$1369,0)))</f>
        <v/>
      </c>
      <c r="D499" s="9">
        <f>IF(ISNA(MATCH(486,Engine!$C$2:$C$1369,0)),"",INDEX('Compliance Database'!$D$2:$D$1369,MATCH(486,Engine!$C$2:$C$1369,0)))</f>
        <v/>
      </c>
      <c r="E499" s="8">
        <f>IF(ISNA(MATCH(486,Engine!$C$2:$C$1369,0)),"",INDEX('Compliance Database'!$E$2:$E$1369,MATCH(486,Engine!$C$2:$C$1369,0)))</f>
        <v/>
      </c>
      <c r="F499" s="8">
        <f>IF(ISNA(MATCH(486,Engine!$C$2:$C$1369,0)),"",INDEX('Compliance Database'!$F$2:$F$1369,MATCH(486,Engine!$C$2:$C$1369,0)))</f>
        <v/>
      </c>
      <c r="G499" s="8">
        <f>IF(ISNA(MATCH(486,Engine!$C$2:$C$1369,0)),"",INDEX('Compliance Database'!$G$2:$G$1369,MATCH(486,Engine!$C$2:$C$1369,0)))</f>
        <v/>
      </c>
      <c r="H499" s="9">
        <f>IF(ISNA(MATCH(486,Engine!$C$2:$C$1369,0)),"",INDEX('Compliance Database'!$H$2:$H$1369,MATCH(486,Engine!$C$2:$C$1369,0)))</f>
        <v/>
      </c>
      <c r="I499" s="9">
        <f>IF(ISNA(MATCH(486,Engine!$C$2:$C$1369,0)),"",INDEX('Compliance Database'!$I$2:$I$1369,MATCH(486,Engine!$C$2:$C$1369,0)))</f>
        <v/>
      </c>
      <c r="J499" s="8">
        <f>IF(ISNA(MATCH(486,Engine!$C$2:$C$1369,0)),"",INDEX('Compliance Database'!$J$2:$J$1369,MATCH(486,Engine!$C$2:$C$1369,0)))</f>
        <v/>
      </c>
      <c r="K499" s="9">
        <f>IF(ISNA(MATCH(486,Engine!$C$2:$C$1369,0)),"",INDEX('Compliance Database'!$K$2:$K$1369,MATCH(486,Engine!$C$2:$C$1369,0)))</f>
        <v/>
      </c>
      <c r="L499" s="9">
        <f>IF(ISNA(MATCH(486,Engine!$C$2:$C$1369,0)),"",INDEX('Compliance Database'!$L$2:$L$1369,MATCH(486,Engine!$C$2:$C$1369,0)))</f>
        <v/>
      </c>
      <c r="M499" s="9">
        <f>IF(ISNA(MATCH(486,Engine!$C$2:$C$1369,0)),"",INDEX('Compliance Database'!$M$2:$M$1369,MATCH(486,Engine!$C$2:$C$1369,0)))</f>
        <v/>
      </c>
      <c r="N499" s="9">
        <f>IF(ISNA(MATCH(486,Engine!$C$2:$C$1369,0)),"",INDEX('Compliance Database'!$N$2:$N$1369,MATCH(486,Engine!$C$2:$C$1369,0)))</f>
        <v/>
      </c>
      <c r="O499" s="8">
        <f>IF(ISNA(MATCH(486,Engine!$C$2:$C$1369,0)),"",HYPERLINK(INDEX('Compliance Database'!$O$2:$O$1369,MATCH(486,Engine!$C$2:$C$1369,0)),"Open PDF"))</f>
        <v/>
      </c>
    </row>
    <row r="500" ht="188" customHeight="1">
      <c r="A500" s="8">
        <f>IF(ISNA(MATCH(487,Engine!$C$2:$C$1369,0)),"",INDEX('Compliance Database'!$A$2:$A$1369,MATCH(487,Engine!$C$2:$C$1369,0)))</f>
        <v/>
      </c>
      <c r="B500" s="8">
        <f>IF(ISNA(MATCH(487,Engine!$C$2:$C$1369,0)),"",INDEX('Compliance Database'!$B$2:$B$1369,MATCH(487,Engine!$C$2:$C$1369,0)))</f>
        <v/>
      </c>
      <c r="C500" s="8">
        <f>IF(ISNA(MATCH(487,Engine!$C$2:$C$1369,0)),"",INDEX('Compliance Database'!$C$2:$C$1369,MATCH(487,Engine!$C$2:$C$1369,0)))</f>
        <v/>
      </c>
      <c r="D500" s="9">
        <f>IF(ISNA(MATCH(487,Engine!$C$2:$C$1369,0)),"",INDEX('Compliance Database'!$D$2:$D$1369,MATCH(487,Engine!$C$2:$C$1369,0)))</f>
        <v/>
      </c>
      <c r="E500" s="8">
        <f>IF(ISNA(MATCH(487,Engine!$C$2:$C$1369,0)),"",INDEX('Compliance Database'!$E$2:$E$1369,MATCH(487,Engine!$C$2:$C$1369,0)))</f>
        <v/>
      </c>
      <c r="F500" s="8">
        <f>IF(ISNA(MATCH(487,Engine!$C$2:$C$1369,0)),"",INDEX('Compliance Database'!$F$2:$F$1369,MATCH(487,Engine!$C$2:$C$1369,0)))</f>
        <v/>
      </c>
      <c r="G500" s="8">
        <f>IF(ISNA(MATCH(487,Engine!$C$2:$C$1369,0)),"",INDEX('Compliance Database'!$G$2:$G$1369,MATCH(487,Engine!$C$2:$C$1369,0)))</f>
        <v/>
      </c>
      <c r="H500" s="9">
        <f>IF(ISNA(MATCH(487,Engine!$C$2:$C$1369,0)),"",INDEX('Compliance Database'!$H$2:$H$1369,MATCH(487,Engine!$C$2:$C$1369,0)))</f>
        <v/>
      </c>
      <c r="I500" s="9">
        <f>IF(ISNA(MATCH(487,Engine!$C$2:$C$1369,0)),"",INDEX('Compliance Database'!$I$2:$I$1369,MATCH(487,Engine!$C$2:$C$1369,0)))</f>
        <v/>
      </c>
      <c r="J500" s="8">
        <f>IF(ISNA(MATCH(487,Engine!$C$2:$C$1369,0)),"",INDEX('Compliance Database'!$J$2:$J$1369,MATCH(487,Engine!$C$2:$C$1369,0)))</f>
        <v/>
      </c>
      <c r="K500" s="9">
        <f>IF(ISNA(MATCH(487,Engine!$C$2:$C$1369,0)),"",INDEX('Compliance Database'!$K$2:$K$1369,MATCH(487,Engine!$C$2:$C$1369,0)))</f>
        <v/>
      </c>
      <c r="L500" s="9">
        <f>IF(ISNA(MATCH(487,Engine!$C$2:$C$1369,0)),"",INDEX('Compliance Database'!$L$2:$L$1369,MATCH(487,Engine!$C$2:$C$1369,0)))</f>
        <v/>
      </c>
      <c r="M500" s="9">
        <f>IF(ISNA(MATCH(487,Engine!$C$2:$C$1369,0)),"",INDEX('Compliance Database'!$M$2:$M$1369,MATCH(487,Engine!$C$2:$C$1369,0)))</f>
        <v/>
      </c>
      <c r="N500" s="9">
        <f>IF(ISNA(MATCH(487,Engine!$C$2:$C$1369,0)),"",INDEX('Compliance Database'!$N$2:$N$1369,MATCH(487,Engine!$C$2:$C$1369,0)))</f>
        <v/>
      </c>
      <c r="O500" s="8">
        <f>IF(ISNA(MATCH(487,Engine!$C$2:$C$1369,0)),"",HYPERLINK(INDEX('Compliance Database'!$O$2:$O$1369,MATCH(487,Engine!$C$2:$C$1369,0)),"Open PDF"))</f>
        <v/>
      </c>
    </row>
    <row r="501" ht="188" customHeight="1">
      <c r="A501" s="8">
        <f>IF(ISNA(MATCH(488,Engine!$C$2:$C$1369,0)),"",INDEX('Compliance Database'!$A$2:$A$1369,MATCH(488,Engine!$C$2:$C$1369,0)))</f>
        <v/>
      </c>
      <c r="B501" s="8">
        <f>IF(ISNA(MATCH(488,Engine!$C$2:$C$1369,0)),"",INDEX('Compliance Database'!$B$2:$B$1369,MATCH(488,Engine!$C$2:$C$1369,0)))</f>
        <v/>
      </c>
      <c r="C501" s="8">
        <f>IF(ISNA(MATCH(488,Engine!$C$2:$C$1369,0)),"",INDEX('Compliance Database'!$C$2:$C$1369,MATCH(488,Engine!$C$2:$C$1369,0)))</f>
        <v/>
      </c>
      <c r="D501" s="9">
        <f>IF(ISNA(MATCH(488,Engine!$C$2:$C$1369,0)),"",INDEX('Compliance Database'!$D$2:$D$1369,MATCH(488,Engine!$C$2:$C$1369,0)))</f>
        <v/>
      </c>
      <c r="E501" s="8">
        <f>IF(ISNA(MATCH(488,Engine!$C$2:$C$1369,0)),"",INDEX('Compliance Database'!$E$2:$E$1369,MATCH(488,Engine!$C$2:$C$1369,0)))</f>
        <v/>
      </c>
      <c r="F501" s="8">
        <f>IF(ISNA(MATCH(488,Engine!$C$2:$C$1369,0)),"",INDEX('Compliance Database'!$F$2:$F$1369,MATCH(488,Engine!$C$2:$C$1369,0)))</f>
        <v/>
      </c>
      <c r="G501" s="8">
        <f>IF(ISNA(MATCH(488,Engine!$C$2:$C$1369,0)),"",INDEX('Compliance Database'!$G$2:$G$1369,MATCH(488,Engine!$C$2:$C$1369,0)))</f>
        <v/>
      </c>
      <c r="H501" s="9">
        <f>IF(ISNA(MATCH(488,Engine!$C$2:$C$1369,0)),"",INDEX('Compliance Database'!$H$2:$H$1369,MATCH(488,Engine!$C$2:$C$1369,0)))</f>
        <v/>
      </c>
      <c r="I501" s="9">
        <f>IF(ISNA(MATCH(488,Engine!$C$2:$C$1369,0)),"",INDEX('Compliance Database'!$I$2:$I$1369,MATCH(488,Engine!$C$2:$C$1369,0)))</f>
        <v/>
      </c>
      <c r="J501" s="8">
        <f>IF(ISNA(MATCH(488,Engine!$C$2:$C$1369,0)),"",INDEX('Compliance Database'!$J$2:$J$1369,MATCH(488,Engine!$C$2:$C$1369,0)))</f>
        <v/>
      </c>
      <c r="K501" s="9">
        <f>IF(ISNA(MATCH(488,Engine!$C$2:$C$1369,0)),"",INDEX('Compliance Database'!$K$2:$K$1369,MATCH(488,Engine!$C$2:$C$1369,0)))</f>
        <v/>
      </c>
      <c r="L501" s="9">
        <f>IF(ISNA(MATCH(488,Engine!$C$2:$C$1369,0)),"",INDEX('Compliance Database'!$L$2:$L$1369,MATCH(488,Engine!$C$2:$C$1369,0)))</f>
        <v/>
      </c>
      <c r="M501" s="9">
        <f>IF(ISNA(MATCH(488,Engine!$C$2:$C$1369,0)),"",INDEX('Compliance Database'!$M$2:$M$1369,MATCH(488,Engine!$C$2:$C$1369,0)))</f>
        <v/>
      </c>
      <c r="N501" s="9">
        <f>IF(ISNA(MATCH(488,Engine!$C$2:$C$1369,0)),"",INDEX('Compliance Database'!$N$2:$N$1369,MATCH(488,Engine!$C$2:$C$1369,0)))</f>
        <v/>
      </c>
      <c r="O501" s="8">
        <f>IF(ISNA(MATCH(488,Engine!$C$2:$C$1369,0)),"",HYPERLINK(INDEX('Compliance Database'!$O$2:$O$1369,MATCH(488,Engine!$C$2:$C$1369,0)),"Open PDF"))</f>
        <v/>
      </c>
    </row>
    <row r="502" ht="188" customHeight="1">
      <c r="A502" s="8">
        <f>IF(ISNA(MATCH(489,Engine!$C$2:$C$1369,0)),"",INDEX('Compliance Database'!$A$2:$A$1369,MATCH(489,Engine!$C$2:$C$1369,0)))</f>
        <v/>
      </c>
      <c r="B502" s="8">
        <f>IF(ISNA(MATCH(489,Engine!$C$2:$C$1369,0)),"",INDEX('Compliance Database'!$B$2:$B$1369,MATCH(489,Engine!$C$2:$C$1369,0)))</f>
        <v/>
      </c>
      <c r="C502" s="8">
        <f>IF(ISNA(MATCH(489,Engine!$C$2:$C$1369,0)),"",INDEX('Compliance Database'!$C$2:$C$1369,MATCH(489,Engine!$C$2:$C$1369,0)))</f>
        <v/>
      </c>
      <c r="D502" s="9">
        <f>IF(ISNA(MATCH(489,Engine!$C$2:$C$1369,0)),"",INDEX('Compliance Database'!$D$2:$D$1369,MATCH(489,Engine!$C$2:$C$1369,0)))</f>
        <v/>
      </c>
      <c r="E502" s="8">
        <f>IF(ISNA(MATCH(489,Engine!$C$2:$C$1369,0)),"",INDEX('Compliance Database'!$E$2:$E$1369,MATCH(489,Engine!$C$2:$C$1369,0)))</f>
        <v/>
      </c>
      <c r="F502" s="8">
        <f>IF(ISNA(MATCH(489,Engine!$C$2:$C$1369,0)),"",INDEX('Compliance Database'!$F$2:$F$1369,MATCH(489,Engine!$C$2:$C$1369,0)))</f>
        <v/>
      </c>
      <c r="G502" s="8">
        <f>IF(ISNA(MATCH(489,Engine!$C$2:$C$1369,0)),"",INDEX('Compliance Database'!$G$2:$G$1369,MATCH(489,Engine!$C$2:$C$1369,0)))</f>
        <v/>
      </c>
      <c r="H502" s="9">
        <f>IF(ISNA(MATCH(489,Engine!$C$2:$C$1369,0)),"",INDEX('Compliance Database'!$H$2:$H$1369,MATCH(489,Engine!$C$2:$C$1369,0)))</f>
        <v/>
      </c>
      <c r="I502" s="9">
        <f>IF(ISNA(MATCH(489,Engine!$C$2:$C$1369,0)),"",INDEX('Compliance Database'!$I$2:$I$1369,MATCH(489,Engine!$C$2:$C$1369,0)))</f>
        <v/>
      </c>
      <c r="J502" s="8">
        <f>IF(ISNA(MATCH(489,Engine!$C$2:$C$1369,0)),"",INDEX('Compliance Database'!$J$2:$J$1369,MATCH(489,Engine!$C$2:$C$1369,0)))</f>
        <v/>
      </c>
      <c r="K502" s="9">
        <f>IF(ISNA(MATCH(489,Engine!$C$2:$C$1369,0)),"",INDEX('Compliance Database'!$K$2:$K$1369,MATCH(489,Engine!$C$2:$C$1369,0)))</f>
        <v/>
      </c>
      <c r="L502" s="9">
        <f>IF(ISNA(MATCH(489,Engine!$C$2:$C$1369,0)),"",INDEX('Compliance Database'!$L$2:$L$1369,MATCH(489,Engine!$C$2:$C$1369,0)))</f>
        <v/>
      </c>
      <c r="M502" s="9">
        <f>IF(ISNA(MATCH(489,Engine!$C$2:$C$1369,0)),"",INDEX('Compliance Database'!$M$2:$M$1369,MATCH(489,Engine!$C$2:$C$1369,0)))</f>
        <v/>
      </c>
      <c r="N502" s="9">
        <f>IF(ISNA(MATCH(489,Engine!$C$2:$C$1369,0)),"",INDEX('Compliance Database'!$N$2:$N$1369,MATCH(489,Engine!$C$2:$C$1369,0)))</f>
        <v/>
      </c>
      <c r="O502" s="8">
        <f>IF(ISNA(MATCH(489,Engine!$C$2:$C$1369,0)),"",HYPERLINK(INDEX('Compliance Database'!$O$2:$O$1369,MATCH(489,Engine!$C$2:$C$1369,0)),"Open PDF"))</f>
        <v/>
      </c>
    </row>
    <row r="503" ht="188" customHeight="1">
      <c r="A503" s="8">
        <f>IF(ISNA(MATCH(490,Engine!$C$2:$C$1369,0)),"",INDEX('Compliance Database'!$A$2:$A$1369,MATCH(490,Engine!$C$2:$C$1369,0)))</f>
        <v/>
      </c>
      <c r="B503" s="8">
        <f>IF(ISNA(MATCH(490,Engine!$C$2:$C$1369,0)),"",INDEX('Compliance Database'!$B$2:$B$1369,MATCH(490,Engine!$C$2:$C$1369,0)))</f>
        <v/>
      </c>
      <c r="C503" s="8">
        <f>IF(ISNA(MATCH(490,Engine!$C$2:$C$1369,0)),"",INDEX('Compliance Database'!$C$2:$C$1369,MATCH(490,Engine!$C$2:$C$1369,0)))</f>
        <v/>
      </c>
      <c r="D503" s="9">
        <f>IF(ISNA(MATCH(490,Engine!$C$2:$C$1369,0)),"",INDEX('Compliance Database'!$D$2:$D$1369,MATCH(490,Engine!$C$2:$C$1369,0)))</f>
        <v/>
      </c>
      <c r="E503" s="8">
        <f>IF(ISNA(MATCH(490,Engine!$C$2:$C$1369,0)),"",INDEX('Compliance Database'!$E$2:$E$1369,MATCH(490,Engine!$C$2:$C$1369,0)))</f>
        <v/>
      </c>
      <c r="F503" s="8">
        <f>IF(ISNA(MATCH(490,Engine!$C$2:$C$1369,0)),"",INDEX('Compliance Database'!$F$2:$F$1369,MATCH(490,Engine!$C$2:$C$1369,0)))</f>
        <v/>
      </c>
      <c r="G503" s="8">
        <f>IF(ISNA(MATCH(490,Engine!$C$2:$C$1369,0)),"",INDEX('Compliance Database'!$G$2:$G$1369,MATCH(490,Engine!$C$2:$C$1369,0)))</f>
        <v/>
      </c>
      <c r="H503" s="9">
        <f>IF(ISNA(MATCH(490,Engine!$C$2:$C$1369,0)),"",INDEX('Compliance Database'!$H$2:$H$1369,MATCH(490,Engine!$C$2:$C$1369,0)))</f>
        <v/>
      </c>
      <c r="I503" s="9">
        <f>IF(ISNA(MATCH(490,Engine!$C$2:$C$1369,0)),"",INDEX('Compliance Database'!$I$2:$I$1369,MATCH(490,Engine!$C$2:$C$1369,0)))</f>
        <v/>
      </c>
      <c r="J503" s="8">
        <f>IF(ISNA(MATCH(490,Engine!$C$2:$C$1369,0)),"",INDEX('Compliance Database'!$J$2:$J$1369,MATCH(490,Engine!$C$2:$C$1369,0)))</f>
        <v/>
      </c>
      <c r="K503" s="9">
        <f>IF(ISNA(MATCH(490,Engine!$C$2:$C$1369,0)),"",INDEX('Compliance Database'!$K$2:$K$1369,MATCH(490,Engine!$C$2:$C$1369,0)))</f>
        <v/>
      </c>
      <c r="L503" s="9">
        <f>IF(ISNA(MATCH(490,Engine!$C$2:$C$1369,0)),"",INDEX('Compliance Database'!$L$2:$L$1369,MATCH(490,Engine!$C$2:$C$1369,0)))</f>
        <v/>
      </c>
      <c r="M503" s="9">
        <f>IF(ISNA(MATCH(490,Engine!$C$2:$C$1369,0)),"",INDEX('Compliance Database'!$M$2:$M$1369,MATCH(490,Engine!$C$2:$C$1369,0)))</f>
        <v/>
      </c>
      <c r="N503" s="9">
        <f>IF(ISNA(MATCH(490,Engine!$C$2:$C$1369,0)),"",INDEX('Compliance Database'!$N$2:$N$1369,MATCH(490,Engine!$C$2:$C$1369,0)))</f>
        <v/>
      </c>
      <c r="O503" s="8">
        <f>IF(ISNA(MATCH(490,Engine!$C$2:$C$1369,0)),"",HYPERLINK(INDEX('Compliance Database'!$O$2:$O$1369,MATCH(490,Engine!$C$2:$C$1369,0)),"Open PDF"))</f>
        <v/>
      </c>
    </row>
    <row r="504" ht="188" customHeight="1">
      <c r="A504" s="8">
        <f>IF(ISNA(MATCH(491,Engine!$C$2:$C$1369,0)),"",INDEX('Compliance Database'!$A$2:$A$1369,MATCH(491,Engine!$C$2:$C$1369,0)))</f>
        <v/>
      </c>
      <c r="B504" s="8">
        <f>IF(ISNA(MATCH(491,Engine!$C$2:$C$1369,0)),"",INDEX('Compliance Database'!$B$2:$B$1369,MATCH(491,Engine!$C$2:$C$1369,0)))</f>
        <v/>
      </c>
      <c r="C504" s="8">
        <f>IF(ISNA(MATCH(491,Engine!$C$2:$C$1369,0)),"",INDEX('Compliance Database'!$C$2:$C$1369,MATCH(491,Engine!$C$2:$C$1369,0)))</f>
        <v/>
      </c>
      <c r="D504" s="9">
        <f>IF(ISNA(MATCH(491,Engine!$C$2:$C$1369,0)),"",INDEX('Compliance Database'!$D$2:$D$1369,MATCH(491,Engine!$C$2:$C$1369,0)))</f>
        <v/>
      </c>
      <c r="E504" s="8">
        <f>IF(ISNA(MATCH(491,Engine!$C$2:$C$1369,0)),"",INDEX('Compliance Database'!$E$2:$E$1369,MATCH(491,Engine!$C$2:$C$1369,0)))</f>
        <v/>
      </c>
      <c r="F504" s="8">
        <f>IF(ISNA(MATCH(491,Engine!$C$2:$C$1369,0)),"",INDEX('Compliance Database'!$F$2:$F$1369,MATCH(491,Engine!$C$2:$C$1369,0)))</f>
        <v/>
      </c>
      <c r="G504" s="8">
        <f>IF(ISNA(MATCH(491,Engine!$C$2:$C$1369,0)),"",INDEX('Compliance Database'!$G$2:$G$1369,MATCH(491,Engine!$C$2:$C$1369,0)))</f>
        <v/>
      </c>
      <c r="H504" s="9">
        <f>IF(ISNA(MATCH(491,Engine!$C$2:$C$1369,0)),"",INDEX('Compliance Database'!$H$2:$H$1369,MATCH(491,Engine!$C$2:$C$1369,0)))</f>
        <v/>
      </c>
      <c r="I504" s="9">
        <f>IF(ISNA(MATCH(491,Engine!$C$2:$C$1369,0)),"",INDEX('Compliance Database'!$I$2:$I$1369,MATCH(491,Engine!$C$2:$C$1369,0)))</f>
        <v/>
      </c>
      <c r="J504" s="8">
        <f>IF(ISNA(MATCH(491,Engine!$C$2:$C$1369,0)),"",INDEX('Compliance Database'!$J$2:$J$1369,MATCH(491,Engine!$C$2:$C$1369,0)))</f>
        <v/>
      </c>
      <c r="K504" s="9">
        <f>IF(ISNA(MATCH(491,Engine!$C$2:$C$1369,0)),"",INDEX('Compliance Database'!$K$2:$K$1369,MATCH(491,Engine!$C$2:$C$1369,0)))</f>
        <v/>
      </c>
      <c r="L504" s="9">
        <f>IF(ISNA(MATCH(491,Engine!$C$2:$C$1369,0)),"",INDEX('Compliance Database'!$L$2:$L$1369,MATCH(491,Engine!$C$2:$C$1369,0)))</f>
        <v/>
      </c>
      <c r="M504" s="9">
        <f>IF(ISNA(MATCH(491,Engine!$C$2:$C$1369,0)),"",INDEX('Compliance Database'!$M$2:$M$1369,MATCH(491,Engine!$C$2:$C$1369,0)))</f>
        <v/>
      </c>
      <c r="N504" s="9">
        <f>IF(ISNA(MATCH(491,Engine!$C$2:$C$1369,0)),"",INDEX('Compliance Database'!$N$2:$N$1369,MATCH(491,Engine!$C$2:$C$1369,0)))</f>
        <v/>
      </c>
      <c r="O504" s="8">
        <f>IF(ISNA(MATCH(491,Engine!$C$2:$C$1369,0)),"",HYPERLINK(INDEX('Compliance Database'!$O$2:$O$1369,MATCH(491,Engine!$C$2:$C$1369,0)),"Open PDF"))</f>
        <v/>
      </c>
    </row>
    <row r="505" ht="188" customHeight="1">
      <c r="A505" s="8">
        <f>IF(ISNA(MATCH(492,Engine!$C$2:$C$1369,0)),"",INDEX('Compliance Database'!$A$2:$A$1369,MATCH(492,Engine!$C$2:$C$1369,0)))</f>
        <v/>
      </c>
      <c r="B505" s="8">
        <f>IF(ISNA(MATCH(492,Engine!$C$2:$C$1369,0)),"",INDEX('Compliance Database'!$B$2:$B$1369,MATCH(492,Engine!$C$2:$C$1369,0)))</f>
        <v/>
      </c>
      <c r="C505" s="8">
        <f>IF(ISNA(MATCH(492,Engine!$C$2:$C$1369,0)),"",INDEX('Compliance Database'!$C$2:$C$1369,MATCH(492,Engine!$C$2:$C$1369,0)))</f>
        <v/>
      </c>
      <c r="D505" s="9">
        <f>IF(ISNA(MATCH(492,Engine!$C$2:$C$1369,0)),"",INDEX('Compliance Database'!$D$2:$D$1369,MATCH(492,Engine!$C$2:$C$1369,0)))</f>
        <v/>
      </c>
      <c r="E505" s="8">
        <f>IF(ISNA(MATCH(492,Engine!$C$2:$C$1369,0)),"",INDEX('Compliance Database'!$E$2:$E$1369,MATCH(492,Engine!$C$2:$C$1369,0)))</f>
        <v/>
      </c>
      <c r="F505" s="8">
        <f>IF(ISNA(MATCH(492,Engine!$C$2:$C$1369,0)),"",INDEX('Compliance Database'!$F$2:$F$1369,MATCH(492,Engine!$C$2:$C$1369,0)))</f>
        <v/>
      </c>
      <c r="G505" s="8">
        <f>IF(ISNA(MATCH(492,Engine!$C$2:$C$1369,0)),"",INDEX('Compliance Database'!$G$2:$G$1369,MATCH(492,Engine!$C$2:$C$1369,0)))</f>
        <v/>
      </c>
      <c r="H505" s="9">
        <f>IF(ISNA(MATCH(492,Engine!$C$2:$C$1369,0)),"",INDEX('Compliance Database'!$H$2:$H$1369,MATCH(492,Engine!$C$2:$C$1369,0)))</f>
        <v/>
      </c>
      <c r="I505" s="9">
        <f>IF(ISNA(MATCH(492,Engine!$C$2:$C$1369,0)),"",INDEX('Compliance Database'!$I$2:$I$1369,MATCH(492,Engine!$C$2:$C$1369,0)))</f>
        <v/>
      </c>
      <c r="J505" s="8">
        <f>IF(ISNA(MATCH(492,Engine!$C$2:$C$1369,0)),"",INDEX('Compliance Database'!$J$2:$J$1369,MATCH(492,Engine!$C$2:$C$1369,0)))</f>
        <v/>
      </c>
      <c r="K505" s="9">
        <f>IF(ISNA(MATCH(492,Engine!$C$2:$C$1369,0)),"",INDEX('Compliance Database'!$K$2:$K$1369,MATCH(492,Engine!$C$2:$C$1369,0)))</f>
        <v/>
      </c>
      <c r="L505" s="9">
        <f>IF(ISNA(MATCH(492,Engine!$C$2:$C$1369,0)),"",INDEX('Compliance Database'!$L$2:$L$1369,MATCH(492,Engine!$C$2:$C$1369,0)))</f>
        <v/>
      </c>
      <c r="M505" s="9">
        <f>IF(ISNA(MATCH(492,Engine!$C$2:$C$1369,0)),"",INDEX('Compliance Database'!$M$2:$M$1369,MATCH(492,Engine!$C$2:$C$1369,0)))</f>
        <v/>
      </c>
      <c r="N505" s="9">
        <f>IF(ISNA(MATCH(492,Engine!$C$2:$C$1369,0)),"",INDEX('Compliance Database'!$N$2:$N$1369,MATCH(492,Engine!$C$2:$C$1369,0)))</f>
        <v/>
      </c>
      <c r="O505" s="8">
        <f>IF(ISNA(MATCH(492,Engine!$C$2:$C$1369,0)),"",HYPERLINK(INDEX('Compliance Database'!$O$2:$O$1369,MATCH(492,Engine!$C$2:$C$1369,0)),"Open PDF"))</f>
        <v/>
      </c>
    </row>
    <row r="506" ht="188" customHeight="1">
      <c r="A506" s="8">
        <f>IF(ISNA(MATCH(493,Engine!$C$2:$C$1369,0)),"",INDEX('Compliance Database'!$A$2:$A$1369,MATCH(493,Engine!$C$2:$C$1369,0)))</f>
        <v/>
      </c>
      <c r="B506" s="8">
        <f>IF(ISNA(MATCH(493,Engine!$C$2:$C$1369,0)),"",INDEX('Compliance Database'!$B$2:$B$1369,MATCH(493,Engine!$C$2:$C$1369,0)))</f>
        <v/>
      </c>
      <c r="C506" s="8">
        <f>IF(ISNA(MATCH(493,Engine!$C$2:$C$1369,0)),"",INDEX('Compliance Database'!$C$2:$C$1369,MATCH(493,Engine!$C$2:$C$1369,0)))</f>
        <v/>
      </c>
      <c r="D506" s="9">
        <f>IF(ISNA(MATCH(493,Engine!$C$2:$C$1369,0)),"",INDEX('Compliance Database'!$D$2:$D$1369,MATCH(493,Engine!$C$2:$C$1369,0)))</f>
        <v/>
      </c>
      <c r="E506" s="8">
        <f>IF(ISNA(MATCH(493,Engine!$C$2:$C$1369,0)),"",INDEX('Compliance Database'!$E$2:$E$1369,MATCH(493,Engine!$C$2:$C$1369,0)))</f>
        <v/>
      </c>
      <c r="F506" s="8">
        <f>IF(ISNA(MATCH(493,Engine!$C$2:$C$1369,0)),"",INDEX('Compliance Database'!$F$2:$F$1369,MATCH(493,Engine!$C$2:$C$1369,0)))</f>
        <v/>
      </c>
      <c r="G506" s="8">
        <f>IF(ISNA(MATCH(493,Engine!$C$2:$C$1369,0)),"",INDEX('Compliance Database'!$G$2:$G$1369,MATCH(493,Engine!$C$2:$C$1369,0)))</f>
        <v/>
      </c>
      <c r="H506" s="9">
        <f>IF(ISNA(MATCH(493,Engine!$C$2:$C$1369,0)),"",INDEX('Compliance Database'!$H$2:$H$1369,MATCH(493,Engine!$C$2:$C$1369,0)))</f>
        <v/>
      </c>
      <c r="I506" s="9">
        <f>IF(ISNA(MATCH(493,Engine!$C$2:$C$1369,0)),"",INDEX('Compliance Database'!$I$2:$I$1369,MATCH(493,Engine!$C$2:$C$1369,0)))</f>
        <v/>
      </c>
      <c r="J506" s="8">
        <f>IF(ISNA(MATCH(493,Engine!$C$2:$C$1369,0)),"",INDEX('Compliance Database'!$J$2:$J$1369,MATCH(493,Engine!$C$2:$C$1369,0)))</f>
        <v/>
      </c>
      <c r="K506" s="9">
        <f>IF(ISNA(MATCH(493,Engine!$C$2:$C$1369,0)),"",INDEX('Compliance Database'!$K$2:$K$1369,MATCH(493,Engine!$C$2:$C$1369,0)))</f>
        <v/>
      </c>
      <c r="L506" s="9">
        <f>IF(ISNA(MATCH(493,Engine!$C$2:$C$1369,0)),"",INDEX('Compliance Database'!$L$2:$L$1369,MATCH(493,Engine!$C$2:$C$1369,0)))</f>
        <v/>
      </c>
      <c r="M506" s="9">
        <f>IF(ISNA(MATCH(493,Engine!$C$2:$C$1369,0)),"",INDEX('Compliance Database'!$M$2:$M$1369,MATCH(493,Engine!$C$2:$C$1369,0)))</f>
        <v/>
      </c>
      <c r="N506" s="9">
        <f>IF(ISNA(MATCH(493,Engine!$C$2:$C$1369,0)),"",INDEX('Compliance Database'!$N$2:$N$1369,MATCH(493,Engine!$C$2:$C$1369,0)))</f>
        <v/>
      </c>
      <c r="O506" s="8">
        <f>IF(ISNA(MATCH(493,Engine!$C$2:$C$1369,0)),"",HYPERLINK(INDEX('Compliance Database'!$O$2:$O$1369,MATCH(493,Engine!$C$2:$C$1369,0)),"Open PDF"))</f>
        <v/>
      </c>
    </row>
    <row r="507" ht="188" customHeight="1">
      <c r="A507" s="8">
        <f>IF(ISNA(MATCH(494,Engine!$C$2:$C$1369,0)),"",INDEX('Compliance Database'!$A$2:$A$1369,MATCH(494,Engine!$C$2:$C$1369,0)))</f>
        <v/>
      </c>
      <c r="B507" s="8">
        <f>IF(ISNA(MATCH(494,Engine!$C$2:$C$1369,0)),"",INDEX('Compliance Database'!$B$2:$B$1369,MATCH(494,Engine!$C$2:$C$1369,0)))</f>
        <v/>
      </c>
      <c r="C507" s="8">
        <f>IF(ISNA(MATCH(494,Engine!$C$2:$C$1369,0)),"",INDEX('Compliance Database'!$C$2:$C$1369,MATCH(494,Engine!$C$2:$C$1369,0)))</f>
        <v/>
      </c>
      <c r="D507" s="9">
        <f>IF(ISNA(MATCH(494,Engine!$C$2:$C$1369,0)),"",INDEX('Compliance Database'!$D$2:$D$1369,MATCH(494,Engine!$C$2:$C$1369,0)))</f>
        <v/>
      </c>
      <c r="E507" s="8">
        <f>IF(ISNA(MATCH(494,Engine!$C$2:$C$1369,0)),"",INDEX('Compliance Database'!$E$2:$E$1369,MATCH(494,Engine!$C$2:$C$1369,0)))</f>
        <v/>
      </c>
      <c r="F507" s="8">
        <f>IF(ISNA(MATCH(494,Engine!$C$2:$C$1369,0)),"",INDEX('Compliance Database'!$F$2:$F$1369,MATCH(494,Engine!$C$2:$C$1369,0)))</f>
        <v/>
      </c>
      <c r="G507" s="8">
        <f>IF(ISNA(MATCH(494,Engine!$C$2:$C$1369,0)),"",INDEX('Compliance Database'!$G$2:$G$1369,MATCH(494,Engine!$C$2:$C$1369,0)))</f>
        <v/>
      </c>
      <c r="H507" s="9">
        <f>IF(ISNA(MATCH(494,Engine!$C$2:$C$1369,0)),"",INDEX('Compliance Database'!$H$2:$H$1369,MATCH(494,Engine!$C$2:$C$1369,0)))</f>
        <v/>
      </c>
      <c r="I507" s="9">
        <f>IF(ISNA(MATCH(494,Engine!$C$2:$C$1369,0)),"",INDEX('Compliance Database'!$I$2:$I$1369,MATCH(494,Engine!$C$2:$C$1369,0)))</f>
        <v/>
      </c>
      <c r="J507" s="8">
        <f>IF(ISNA(MATCH(494,Engine!$C$2:$C$1369,0)),"",INDEX('Compliance Database'!$J$2:$J$1369,MATCH(494,Engine!$C$2:$C$1369,0)))</f>
        <v/>
      </c>
      <c r="K507" s="9">
        <f>IF(ISNA(MATCH(494,Engine!$C$2:$C$1369,0)),"",INDEX('Compliance Database'!$K$2:$K$1369,MATCH(494,Engine!$C$2:$C$1369,0)))</f>
        <v/>
      </c>
      <c r="L507" s="9">
        <f>IF(ISNA(MATCH(494,Engine!$C$2:$C$1369,0)),"",INDEX('Compliance Database'!$L$2:$L$1369,MATCH(494,Engine!$C$2:$C$1369,0)))</f>
        <v/>
      </c>
      <c r="M507" s="9">
        <f>IF(ISNA(MATCH(494,Engine!$C$2:$C$1369,0)),"",INDEX('Compliance Database'!$M$2:$M$1369,MATCH(494,Engine!$C$2:$C$1369,0)))</f>
        <v/>
      </c>
      <c r="N507" s="9">
        <f>IF(ISNA(MATCH(494,Engine!$C$2:$C$1369,0)),"",INDEX('Compliance Database'!$N$2:$N$1369,MATCH(494,Engine!$C$2:$C$1369,0)))</f>
        <v/>
      </c>
      <c r="O507" s="8">
        <f>IF(ISNA(MATCH(494,Engine!$C$2:$C$1369,0)),"",HYPERLINK(INDEX('Compliance Database'!$O$2:$O$1369,MATCH(494,Engine!$C$2:$C$1369,0)),"Open PDF"))</f>
        <v/>
      </c>
    </row>
    <row r="508" ht="188" customHeight="1">
      <c r="A508" s="8">
        <f>IF(ISNA(MATCH(495,Engine!$C$2:$C$1369,0)),"",INDEX('Compliance Database'!$A$2:$A$1369,MATCH(495,Engine!$C$2:$C$1369,0)))</f>
        <v/>
      </c>
      <c r="B508" s="8">
        <f>IF(ISNA(MATCH(495,Engine!$C$2:$C$1369,0)),"",INDEX('Compliance Database'!$B$2:$B$1369,MATCH(495,Engine!$C$2:$C$1369,0)))</f>
        <v/>
      </c>
      <c r="C508" s="8">
        <f>IF(ISNA(MATCH(495,Engine!$C$2:$C$1369,0)),"",INDEX('Compliance Database'!$C$2:$C$1369,MATCH(495,Engine!$C$2:$C$1369,0)))</f>
        <v/>
      </c>
      <c r="D508" s="9">
        <f>IF(ISNA(MATCH(495,Engine!$C$2:$C$1369,0)),"",INDEX('Compliance Database'!$D$2:$D$1369,MATCH(495,Engine!$C$2:$C$1369,0)))</f>
        <v/>
      </c>
      <c r="E508" s="8">
        <f>IF(ISNA(MATCH(495,Engine!$C$2:$C$1369,0)),"",INDEX('Compliance Database'!$E$2:$E$1369,MATCH(495,Engine!$C$2:$C$1369,0)))</f>
        <v/>
      </c>
      <c r="F508" s="8">
        <f>IF(ISNA(MATCH(495,Engine!$C$2:$C$1369,0)),"",INDEX('Compliance Database'!$F$2:$F$1369,MATCH(495,Engine!$C$2:$C$1369,0)))</f>
        <v/>
      </c>
      <c r="G508" s="8">
        <f>IF(ISNA(MATCH(495,Engine!$C$2:$C$1369,0)),"",INDEX('Compliance Database'!$G$2:$G$1369,MATCH(495,Engine!$C$2:$C$1369,0)))</f>
        <v/>
      </c>
      <c r="H508" s="9">
        <f>IF(ISNA(MATCH(495,Engine!$C$2:$C$1369,0)),"",INDEX('Compliance Database'!$H$2:$H$1369,MATCH(495,Engine!$C$2:$C$1369,0)))</f>
        <v/>
      </c>
      <c r="I508" s="9">
        <f>IF(ISNA(MATCH(495,Engine!$C$2:$C$1369,0)),"",INDEX('Compliance Database'!$I$2:$I$1369,MATCH(495,Engine!$C$2:$C$1369,0)))</f>
        <v/>
      </c>
      <c r="J508" s="8">
        <f>IF(ISNA(MATCH(495,Engine!$C$2:$C$1369,0)),"",INDEX('Compliance Database'!$J$2:$J$1369,MATCH(495,Engine!$C$2:$C$1369,0)))</f>
        <v/>
      </c>
      <c r="K508" s="9">
        <f>IF(ISNA(MATCH(495,Engine!$C$2:$C$1369,0)),"",INDEX('Compliance Database'!$K$2:$K$1369,MATCH(495,Engine!$C$2:$C$1369,0)))</f>
        <v/>
      </c>
      <c r="L508" s="9">
        <f>IF(ISNA(MATCH(495,Engine!$C$2:$C$1369,0)),"",INDEX('Compliance Database'!$L$2:$L$1369,MATCH(495,Engine!$C$2:$C$1369,0)))</f>
        <v/>
      </c>
      <c r="M508" s="9">
        <f>IF(ISNA(MATCH(495,Engine!$C$2:$C$1369,0)),"",INDEX('Compliance Database'!$M$2:$M$1369,MATCH(495,Engine!$C$2:$C$1369,0)))</f>
        <v/>
      </c>
      <c r="N508" s="9">
        <f>IF(ISNA(MATCH(495,Engine!$C$2:$C$1369,0)),"",INDEX('Compliance Database'!$N$2:$N$1369,MATCH(495,Engine!$C$2:$C$1369,0)))</f>
        <v/>
      </c>
      <c r="O508" s="8">
        <f>IF(ISNA(MATCH(495,Engine!$C$2:$C$1369,0)),"",HYPERLINK(INDEX('Compliance Database'!$O$2:$O$1369,MATCH(495,Engine!$C$2:$C$1369,0)),"Open PDF"))</f>
        <v/>
      </c>
    </row>
    <row r="509" ht="188" customHeight="1">
      <c r="A509" s="8">
        <f>IF(ISNA(MATCH(496,Engine!$C$2:$C$1369,0)),"",INDEX('Compliance Database'!$A$2:$A$1369,MATCH(496,Engine!$C$2:$C$1369,0)))</f>
        <v/>
      </c>
      <c r="B509" s="8">
        <f>IF(ISNA(MATCH(496,Engine!$C$2:$C$1369,0)),"",INDEX('Compliance Database'!$B$2:$B$1369,MATCH(496,Engine!$C$2:$C$1369,0)))</f>
        <v/>
      </c>
      <c r="C509" s="8">
        <f>IF(ISNA(MATCH(496,Engine!$C$2:$C$1369,0)),"",INDEX('Compliance Database'!$C$2:$C$1369,MATCH(496,Engine!$C$2:$C$1369,0)))</f>
        <v/>
      </c>
      <c r="D509" s="9">
        <f>IF(ISNA(MATCH(496,Engine!$C$2:$C$1369,0)),"",INDEX('Compliance Database'!$D$2:$D$1369,MATCH(496,Engine!$C$2:$C$1369,0)))</f>
        <v/>
      </c>
      <c r="E509" s="8">
        <f>IF(ISNA(MATCH(496,Engine!$C$2:$C$1369,0)),"",INDEX('Compliance Database'!$E$2:$E$1369,MATCH(496,Engine!$C$2:$C$1369,0)))</f>
        <v/>
      </c>
      <c r="F509" s="8">
        <f>IF(ISNA(MATCH(496,Engine!$C$2:$C$1369,0)),"",INDEX('Compliance Database'!$F$2:$F$1369,MATCH(496,Engine!$C$2:$C$1369,0)))</f>
        <v/>
      </c>
      <c r="G509" s="8">
        <f>IF(ISNA(MATCH(496,Engine!$C$2:$C$1369,0)),"",INDEX('Compliance Database'!$G$2:$G$1369,MATCH(496,Engine!$C$2:$C$1369,0)))</f>
        <v/>
      </c>
      <c r="H509" s="9">
        <f>IF(ISNA(MATCH(496,Engine!$C$2:$C$1369,0)),"",INDEX('Compliance Database'!$H$2:$H$1369,MATCH(496,Engine!$C$2:$C$1369,0)))</f>
        <v/>
      </c>
      <c r="I509" s="9">
        <f>IF(ISNA(MATCH(496,Engine!$C$2:$C$1369,0)),"",INDEX('Compliance Database'!$I$2:$I$1369,MATCH(496,Engine!$C$2:$C$1369,0)))</f>
        <v/>
      </c>
      <c r="J509" s="8">
        <f>IF(ISNA(MATCH(496,Engine!$C$2:$C$1369,0)),"",INDEX('Compliance Database'!$J$2:$J$1369,MATCH(496,Engine!$C$2:$C$1369,0)))</f>
        <v/>
      </c>
      <c r="K509" s="9">
        <f>IF(ISNA(MATCH(496,Engine!$C$2:$C$1369,0)),"",INDEX('Compliance Database'!$K$2:$K$1369,MATCH(496,Engine!$C$2:$C$1369,0)))</f>
        <v/>
      </c>
      <c r="L509" s="9">
        <f>IF(ISNA(MATCH(496,Engine!$C$2:$C$1369,0)),"",INDEX('Compliance Database'!$L$2:$L$1369,MATCH(496,Engine!$C$2:$C$1369,0)))</f>
        <v/>
      </c>
      <c r="M509" s="9">
        <f>IF(ISNA(MATCH(496,Engine!$C$2:$C$1369,0)),"",INDEX('Compliance Database'!$M$2:$M$1369,MATCH(496,Engine!$C$2:$C$1369,0)))</f>
        <v/>
      </c>
      <c r="N509" s="9">
        <f>IF(ISNA(MATCH(496,Engine!$C$2:$C$1369,0)),"",INDEX('Compliance Database'!$N$2:$N$1369,MATCH(496,Engine!$C$2:$C$1369,0)))</f>
        <v/>
      </c>
      <c r="O509" s="8">
        <f>IF(ISNA(MATCH(496,Engine!$C$2:$C$1369,0)),"",HYPERLINK(INDEX('Compliance Database'!$O$2:$O$1369,MATCH(496,Engine!$C$2:$C$1369,0)),"Open PDF"))</f>
        <v/>
      </c>
    </row>
    <row r="510" ht="188" customHeight="1">
      <c r="A510" s="8">
        <f>IF(ISNA(MATCH(497,Engine!$C$2:$C$1369,0)),"",INDEX('Compliance Database'!$A$2:$A$1369,MATCH(497,Engine!$C$2:$C$1369,0)))</f>
        <v/>
      </c>
      <c r="B510" s="8">
        <f>IF(ISNA(MATCH(497,Engine!$C$2:$C$1369,0)),"",INDEX('Compliance Database'!$B$2:$B$1369,MATCH(497,Engine!$C$2:$C$1369,0)))</f>
        <v/>
      </c>
      <c r="C510" s="8">
        <f>IF(ISNA(MATCH(497,Engine!$C$2:$C$1369,0)),"",INDEX('Compliance Database'!$C$2:$C$1369,MATCH(497,Engine!$C$2:$C$1369,0)))</f>
        <v/>
      </c>
      <c r="D510" s="9">
        <f>IF(ISNA(MATCH(497,Engine!$C$2:$C$1369,0)),"",INDEX('Compliance Database'!$D$2:$D$1369,MATCH(497,Engine!$C$2:$C$1369,0)))</f>
        <v/>
      </c>
      <c r="E510" s="8">
        <f>IF(ISNA(MATCH(497,Engine!$C$2:$C$1369,0)),"",INDEX('Compliance Database'!$E$2:$E$1369,MATCH(497,Engine!$C$2:$C$1369,0)))</f>
        <v/>
      </c>
      <c r="F510" s="8">
        <f>IF(ISNA(MATCH(497,Engine!$C$2:$C$1369,0)),"",INDEX('Compliance Database'!$F$2:$F$1369,MATCH(497,Engine!$C$2:$C$1369,0)))</f>
        <v/>
      </c>
      <c r="G510" s="8">
        <f>IF(ISNA(MATCH(497,Engine!$C$2:$C$1369,0)),"",INDEX('Compliance Database'!$G$2:$G$1369,MATCH(497,Engine!$C$2:$C$1369,0)))</f>
        <v/>
      </c>
      <c r="H510" s="9">
        <f>IF(ISNA(MATCH(497,Engine!$C$2:$C$1369,0)),"",INDEX('Compliance Database'!$H$2:$H$1369,MATCH(497,Engine!$C$2:$C$1369,0)))</f>
        <v/>
      </c>
      <c r="I510" s="9">
        <f>IF(ISNA(MATCH(497,Engine!$C$2:$C$1369,0)),"",INDEX('Compliance Database'!$I$2:$I$1369,MATCH(497,Engine!$C$2:$C$1369,0)))</f>
        <v/>
      </c>
      <c r="J510" s="8">
        <f>IF(ISNA(MATCH(497,Engine!$C$2:$C$1369,0)),"",INDEX('Compliance Database'!$J$2:$J$1369,MATCH(497,Engine!$C$2:$C$1369,0)))</f>
        <v/>
      </c>
      <c r="K510" s="9">
        <f>IF(ISNA(MATCH(497,Engine!$C$2:$C$1369,0)),"",INDEX('Compliance Database'!$K$2:$K$1369,MATCH(497,Engine!$C$2:$C$1369,0)))</f>
        <v/>
      </c>
      <c r="L510" s="9">
        <f>IF(ISNA(MATCH(497,Engine!$C$2:$C$1369,0)),"",INDEX('Compliance Database'!$L$2:$L$1369,MATCH(497,Engine!$C$2:$C$1369,0)))</f>
        <v/>
      </c>
      <c r="M510" s="9">
        <f>IF(ISNA(MATCH(497,Engine!$C$2:$C$1369,0)),"",INDEX('Compliance Database'!$M$2:$M$1369,MATCH(497,Engine!$C$2:$C$1369,0)))</f>
        <v/>
      </c>
      <c r="N510" s="9">
        <f>IF(ISNA(MATCH(497,Engine!$C$2:$C$1369,0)),"",INDEX('Compliance Database'!$N$2:$N$1369,MATCH(497,Engine!$C$2:$C$1369,0)))</f>
        <v/>
      </c>
      <c r="O510" s="8">
        <f>IF(ISNA(MATCH(497,Engine!$C$2:$C$1369,0)),"",HYPERLINK(INDEX('Compliance Database'!$O$2:$O$1369,MATCH(497,Engine!$C$2:$C$1369,0)),"Open PDF"))</f>
        <v/>
      </c>
    </row>
    <row r="511" ht="188" customHeight="1">
      <c r="A511" s="8">
        <f>IF(ISNA(MATCH(498,Engine!$C$2:$C$1369,0)),"",INDEX('Compliance Database'!$A$2:$A$1369,MATCH(498,Engine!$C$2:$C$1369,0)))</f>
        <v/>
      </c>
      <c r="B511" s="8">
        <f>IF(ISNA(MATCH(498,Engine!$C$2:$C$1369,0)),"",INDEX('Compliance Database'!$B$2:$B$1369,MATCH(498,Engine!$C$2:$C$1369,0)))</f>
        <v/>
      </c>
      <c r="C511" s="8">
        <f>IF(ISNA(MATCH(498,Engine!$C$2:$C$1369,0)),"",INDEX('Compliance Database'!$C$2:$C$1369,MATCH(498,Engine!$C$2:$C$1369,0)))</f>
        <v/>
      </c>
      <c r="D511" s="9">
        <f>IF(ISNA(MATCH(498,Engine!$C$2:$C$1369,0)),"",INDEX('Compliance Database'!$D$2:$D$1369,MATCH(498,Engine!$C$2:$C$1369,0)))</f>
        <v/>
      </c>
      <c r="E511" s="8">
        <f>IF(ISNA(MATCH(498,Engine!$C$2:$C$1369,0)),"",INDEX('Compliance Database'!$E$2:$E$1369,MATCH(498,Engine!$C$2:$C$1369,0)))</f>
        <v/>
      </c>
      <c r="F511" s="8">
        <f>IF(ISNA(MATCH(498,Engine!$C$2:$C$1369,0)),"",INDEX('Compliance Database'!$F$2:$F$1369,MATCH(498,Engine!$C$2:$C$1369,0)))</f>
        <v/>
      </c>
      <c r="G511" s="8">
        <f>IF(ISNA(MATCH(498,Engine!$C$2:$C$1369,0)),"",INDEX('Compliance Database'!$G$2:$G$1369,MATCH(498,Engine!$C$2:$C$1369,0)))</f>
        <v/>
      </c>
      <c r="H511" s="9">
        <f>IF(ISNA(MATCH(498,Engine!$C$2:$C$1369,0)),"",INDEX('Compliance Database'!$H$2:$H$1369,MATCH(498,Engine!$C$2:$C$1369,0)))</f>
        <v/>
      </c>
      <c r="I511" s="9">
        <f>IF(ISNA(MATCH(498,Engine!$C$2:$C$1369,0)),"",INDEX('Compliance Database'!$I$2:$I$1369,MATCH(498,Engine!$C$2:$C$1369,0)))</f>
        <v/>
      </c>
      <c r="J511" s="8">
        <f>IF(ISNA(MATCH(498,Engine!$C$2:$C$1369,0)),"",INDEX('Compliance Database'!$J$2:$J$1369,MATCH(498,Engine!$C$2:$C$1369,0)))</f>
        <v/>
      </c>
      <c r="K511" s="9">
        <f>IF(ISNA(MATCH(498,Engine!$C$2:$C$1369,0)),"",INDEX('Compliance Database'!$K$2:$K$1369,MATCH(498,Engine!$C$2:$C$1369,0)))</f>
        <v/>
      </c>
      <c r="L511" s="9">
        <f>IF(ISNA(MATCH(498,Engine!$C$2:$C$1369,0)),"",INDEX('Compliance Database'!$L$2:$L$1369,MATCH(498,Engine!$C$2:$C$1369,0)))</f>
        <v/>
      </c>
      <c r="M511" s="9">
        <f>IF(ISNA(MATCH(498,Engine!$C$2:$C$1369,0)),"",INDEX('Compliance Database'!$M$2:$M$1369,MATCH(498,Engine!$C$2:$C$1369,0)))</f>
        <v/>
      </c>
      <c r="N511" s="9">
        <f>IF(ISNA(MATCH(498,Engine!$C$2:$C$1369,0)),"",INDEX('Compliance Database'!$N$2:$N$1369,MATCH(498,Engine!$C$2:$C$1369,0)))</f>
        <v/>
      </c>
      <c r="O511" s="8">
        <f>IF(ISNA(MATCH(498,Engine!$C$2:$C$1369,0)),"",HYPERLINK(INDEX('Compliance Database'!$O$2:$O$1369,MATCH(498,Engine!$C$2:$C$1369,0)),"Open PDF"))</f>
        <v/>
      </c>
    </row>
    <row r="512" ht="188" customHeight="1">
      <c r="A512" s="8">
        <f>IF(ISNA(MATCH(499,Engine!$C$2:$C$1369,0)),"",INDEX('Compliance Database'!$A$2:$A$1369,MATCH(499,Engine!$C$2:$C$1369,0)))</f>
        <v/>
      </c>
      <c r="B512" s="8">
        <f>IF(ISNA(MATCH(499,Engine!$C$2:$C$1369,0)),"",INDEX('Compliance Database'!$B$2:$B$1369,MATCH(499,Engine!$C$2:$C$1369,0)))</f>
        <v/>
      </c>
      <c r="C512" s="8">
        <f>IF(ISNA(MATCH(499,Engine!$C$2:$C$1369,0)),"",INDEX('Compliance Database'!$C$2:$C$1369,MATCH(499,Engine!$C$2:$C$1369,0)))</f>
        <v/>
      </c>
      <c r="D512" s="9">
        <f>IF(ISNA(MATCH(499,Engine!$C$2:$C$1369,0)),"",INDEX('Compliance Database'!$D$2:$D$1369,MATCH(499,Engine!$C$2:$C$1369,0)))</f>
        <v/>
      </c>
      <c r="E512" s="8">
        <f>IF(ISNA(MATCH(499,Engine!$C$2:$C$1369,0)),"",INDEX('Compliance Database'!$E$2:$E$1369,MATCH(499,Engine!$C$2:$C$1369,0)))</f>
        <v/>
      </c>
      <c r="F512" s="8">
        <f>IF(ISNA(MATCH(499,Engine!$C$2:$C$1369,0)),"",INDEX('Compliance Database'!$F$2:$F$1369,MATCH(499,Engine!$C$2:$C$1369,0)))</f>
        <v/>
      </c>
      <c r="G512" s="8">
        <f>IF(ISNA(MATCH(499,Engine!$C$2:$C$1369,0)),"",INDEX('Compliance Database'!$G$2:$G$1369,MATCH(499,Engine!$C$2:$C$1369,0)))</f>
        <v/>
      </c>
      <c r="H512" s="9">
        <f>IF(ISNA(MATCH(499,Engine!$C$2:$C$1369,0)),"",INDEX('Compliance Database'!$H$2:$H$1369,MATCH(499,Engine!$C$2:$C$1369,0)))</f>
        <v/>
      </c>
      <c r="I512" s="9">
        <f>IF(ISNA(MATCH(499,Engine!$C$2:$C$1369,0)),"",INDEX('Compliance Database'!$I$2:$I$1369,MATCH(499,Engine!$C$2:$C$1369,0)))</f>
        <v/>
      </c>
      <c r="J512" s="8">
        <f>IF(ISNA(MATCH(499,Engine!$C$2:$C$1369,0)),"",INDEX('Compliance Database'!$J$2:$J$1369,MATCH(499,Engine!$C$2:$C$1369,0)))</f>
        <v/>
      </c>
      <c r="K512" s="9">
        <f>IF(ISNA(MATCH(499,Engine!$C$2:$C$1369,0)),"",INDEX('Compliance Database'!$K$2:$K$1369,MATCH(499,Engine!$C$2:$C$1369,0)))</f>
        <v/>
      </c>
      <c r="L512" s="9">
        <f>IF(ISNA(MATCH(499,Engine!$C$2:$C$1369,0)),"",INDEX('Compliance Database'!$L$2:$L$1369,MATCH(499,Engine!$C$2:$C$1369,0)))</f>
        <v/>
      </c>
      <c r="M512" s="9">
        <f>IF(ISNA(MATCH(499,Engine!$C$2:$C$1369,0)),"",INDEX('Compliance Database'!$M$2:$M$1369,MATCH(499,Engine!$C$2:$C$1369,0)))</f>
        <v/>
      </c>
      <c r="N512" s="9">
        <f>IF(ISNA(MATCH(499,Engine!$C$2:$C$1369,0)),"",INDEX('Compliance Database'!$N$2:$N$1369,MATCH(499,Engine!$C$2:$C$1369,0)))</f>
        <v/>
      </c>
      <c r="O512" s="8">
        <f>IF(ISNA(MATCH(499,Engine!$C$2:$C$1369,0)),"",HYPERLINK(INDEX('Compliance Database'!$O$2:$O$1369,MATCH(499,Engine!$C$2:$C$1369,0)),"Open PDF"))</f>
        <v/>
      </c>
    </row>
    <row r="513" ht="188" customHeight="1">
      <c r="A513" s="8">
        <f>IF(ISNA(MATCH(500,Engine!$C$2:$C$1369,0)),"",INDEX('Compliance Database'!$A$2:$A$1369,MATCH(500,Engine!$C$2:$C$1369,0)))</f>
        <v/>
      </c>
      <c r="B513" s="8">
        <f>IF(ISNA(MATCH(500,Engine!$C$2:$C$1369,0)),"",INDEX('Compliance Database'!$B$2:$B$1369,MATCH(500,Engine!$C$2:$C$1369,0)))</f>
        <v/>
      </c>
      <c r="C513" s="8">
        <f>IF(ISNA(MATCH(500,Engine!$C$2:$C$1369,0)),"",INDEX('Compliance Database'!$C$2:$C$1369,MATCH(500,Engine!$C$2:$C$1369,0)))</f>
        <v/>
      </c>
      <c r="D513" s="9">
        <f>IF(ISNA(MATCH(500,Engine!$C$2:$C$1369,0)),"",INDEX('Compliance Database'!$D$2:$D$1369,MATCH(500,Engine!$C$2:$C$1369,0)))</f>
        <v/>
      </c>
      <c r="E513" s="8">
        <f>IF(ISNA(MATCH(500,Engine!$C$2:$C$1369,0)),"",INDEX('Compliance Database'!$E$2:$E$1369,MATCH(500,Engine!$C$2:$C$1369,0)))</f>
        <v/>
      </c>
      <c r="F513" s="8">
        <f>IF(ISNA(MATCH(500,Engine!$C$2:$C$1369,0)),"",INDEX('Compliance Database'!$F$2:$F$1369,MATCH(500,Engine!$C$2:$C$1369,0)))</f>
        <v/>
      </c>
      <c r="G513" s="8">
        <f>IF(ISNA(MATCH(500,Engine!$C$2:$C$1369,0)),"",INDEX('Compliance Database'!$G$2:$G$1369,MATCH(500,Engine!$C$2:$C$1369,0)))</f>
        <v/>
      </c>
      <c r="H513" s="9">
        <f>IF(ISNA(MATCH(500,Engine!$C$2:$C$1369,0)),"",INDEX('Compliance Database'!$H$2:$H$1369,MATCH(500,Engine!$C$2:$C$1369,0)))</f>
        <v/>
      </c>
      <c r="I513" s="9">
        <f>IF(ISNA(MATCH(500,Engine!$C$2:$C$1369,0)),"",INDEX('Compliance Database'!$I$2:$I$1369,MATCH(500,Engine!$C$2:$C$1369,0)))</f>
        <v/>
      </c>
      <c r="J513" s="8">
        <f>IF(ISNA(MATCH(500,Engine!$C$2:$C$1369,0)),"",INDEX('Compliance Database'!$J$2:$J$1369,MATCH(500,Engine!$C$2:$C$1369,0)))</f>
        <v/>
      </c>
      <c r="K513" s="9">
        <f>IF(ISNA(MATCH(500,Engine!$C$2:$C$1369,0)),"",INDEX('Compliance Database'!$K$2:$K$1369,MATCH(500,Engine!$C$2:$C$1369,0)))</f>
        <v/>
      </c>
      <c r="L513" s="9">
        <f>IF(ISNA(MATCH(500,Engine!$C$2:$C$1369,0)),"",INDEX('Compliance Database'!$L$2:$L$1369,MATCH(500,Engine!$C$2:$C$1369,0)))</f>
        <v/>
      </c>
      <c r="M513" s="9">
        <f>IF(ISNA(MATCH(500,Engine!$C$2:$C$1369,0)),"",INDEX('Compliance Database'!$M$2:$M$1369,MATCH(500,Engine!$C$2:$C$1369,0)))</f>
        <v/>
      </c>
      <c r="N513" s="9">
        <f>IF(ISNA(MATCH(500,Engine!$C$2:$C$1369,0)),"",INDEX('Compliance Database'!$N$2:$N$1369,MATCH(500,Engine!$C$2:$C$1369,0)))</f>
        <v/>
      </c>
      <c r="O513" s="8">
        <f>IF(ISNA(MATCH(500,Engine!$C$2:$C$1369,0)),"",HYPERLINK(INDEX('Compliance Database'!$O$2:$O$1369,MATCH(500,Engine!$C$2:$C$1369,0)),"Open PDF"))</f>
        <v/>
      </c>
    </row>
    <row r="514" ht="188" customHeight="1">
      <c r="A514" s="8">
        <f>IF(ISNA(MATCH(501,Engine!$C$2:$C$1369,0)),"",INDEX('Compliance Database'!$A$2:$A$1369,MATCH(501,Engine!$C$2:$C$1369,0)))</f>
        <v/>
      </c>
      <c r="B514" s="8">
        <f>IF(ISNA(MATCH(501,Engine!$C$2:$C$1369,0)),"",INDEX('Compliance Database'!$B$2:$B$1369,MATCH(501,Engine!$C$2:$C$1369,0)))</f>
        <v/>
      </c>
      <c r="C514" s="8">
        <f>IF(ISNA(MATCH(501,Engine!$C$2:$C$1369,0)),"",INDEX('Compliance Database'!$C$2:$C$1369,MATCH(501,Engine!$C$2:$C$1369,0)))</f>
        <v/>
      </c>
      <c r="D514" s="9">
        <f>IF(ISNA(MATCH(501,Engine!$C$2:$C$1369,0)),"",INDEX('Compliance Database'!$D$2:$D$1369,MATCH(501,Engine!$C$2:$C$1369,0)))</f>
        <v/>
      </c>
      <c r="E514" s="8">
        <f>IF(ISNA(MATCH(501,Engine!$C$2:$C$1369,0)),"",INDEX('Compliance Database'!$E$2:$E$1369,MATCH(501,Engine!$C$2:$C$1369,0)))</f>
        <v/>
      </c>
      <c r="F514" s="8">
        <f>IF(ISNA(MATCH(501,Engine!$C$2:$C$1369,0)),"",INDEX('Compliance Database'!$F$2:$F$1369,MATCH(501,Engine!$C$2:$C$1369,0)))</f>
        <v/>
      </c>
      <c r="G514" s="8">
        <f>IF(ISNA(MATCH(501,Engine!$C$2:$C$1369,0)),"",INDEX('Compliance Database'!$G$2:$G$1369,MATCH(501,Engine!$C$2:$C$1369,0)))</f>
        <v/>
      </c>
      <c r="H514" s="9">
        <f>IF(ISNA(MATCH(501,Engine!$C$2:$C$1369,0)),"",INDEX('Compliance Database'!$H$2:$H$1369,MATCH(501,Engine!$C$2:$C$1369,0)))</f>
        <v/>
      </c>
      <c r="I514" s="9">
        <f>IF(ISNA(MATCH(501,Engine!$C$2:$C$1369,0)),"",INDEX('Compliance Database'!$I$2:$I$1369,MATCH(501,Engine!$C$2:$C$1369,0)))</f>
        <v/>
      </c>
      <c r="J514" s="8">
        <f>IF(ISNA(MATCH(501,Engine!$C$2:$C$1369,0)),"",INDEX('Compliance Database'!$J$2:$J$1369,MATCH(501,Engine!$C$2:$C$1369,0)))</f>
        <v/>
      </c>
      <c r="K514" s="9">
        <f>IF(ISNA(MATCH(501,Engine!$C$2:$C$1369,0)),"",INDEX('Compliance Database'!$K$2:$K$1369,MATCH(501,Engine!$C$2:$C$1369,0)))</f>
        <v/>
      </c>
      <c r="L514" s="9">
        <f>IF(ISNA(MATCH(501,Engine!$C$2:$C$1369,0)),"",INDEX('Compliance Database'!$L$2:$L$1369,MATCH(501,Engine!$C$2:$C$1369,0)))</f>
        <v/>
      </c>
      <c r="M514" s="9">
        <f>IF(ISNA(MATCH(501,Engine!$C$2:$C$1369,0)),"",INDEX('Compliance Database'!$M$2:$M$1369,MATCH(501,Engine!$C$2:$C$1369,0)))</f>
        <v/>
      </c>
      <c r="N514" s="9">
        <f>IF(ISNA(MATCH(501,Engine!$C$2:$C$1369,0)),"",INDEX('Compliance Database'!$N$2:$N$1369,MATCH(501,Engine!$C$2:$C$1369,0)))</f>
        <v/>
      </c>
      <c r="O514" s="8">
        <f>IF(ISNA(MATCH(501,Engine!$C$2:$C$1369,0)),"",HYPERLINK(INDEX('Compliance Database'!$O$2:$O$1369,MATCH(501,Engine!$C$2:$C$1369,0)),"Open PDF"))</f>
        <v/>
      </c>
    </row>
    <row r="515" ht="188" customHeight="1">
      <c r="A515" s="8">
        <f>IF(ISNA(MATCH(502,Engine!$C$2:$C$1369,0)),"",INDEX('Compliance Database'!$A$2:$A$1369,MATCH(502,Engine!$C$2:$C$1369,0)))</f>
        <v/>
      </c>
      <c r="B515" s="8">
        <f>IF(ISNA(MATCH(502,Engine!$C$2:$C$1369,0)),"",INDEX('Compliance Database'!$B$2:$B$1369,MATCH(502,Engine!$C$2:$C$1369,0)))</f>
        <v/>
      </c>
      <c r="C515" s="8">
        <f>IF(ISNA(MATCH(502,Engine!$C$2:$C$1369,0)),"",INDEX('Compliance Database'!$C$2:$C$1369,MATCH(502,Engine!$C$2:$C$1369,0)))</f>
        <v/>
      </c>
      <c r="D515" s="9">
        <f>IF(ISNA(MATCH(502,Engine!$C$2:$C$1369,0)),"",INDEX('Compliance Database'!$D$2:$D$1369,MATCH(502,Engine!$C$2:$C$1369,0)))</f>
        <v/>
      </c>
      <c r="E515" s="8">
        <f>IF(ISNA(MATCH(502,Engine!$C$2:$C$1369,0)),"",INDEX('Compliance Database'!$E$2:$E$1369,MATCH(502,Engine!$C$2:$C$1369,0)))</f>
        <v/>
      </c>
      <c r="F515" s="8">
        <f>IF(ISNA(MATCH(502,Engine!$C$2:$C$1369,0)),"",INDEX('Compliance Database'!$F$2:$F$1369,MATCH(502,Engine!$C$2:$C$1369,0)))</f>
        <v/>
      </c>
      <c r="G515" s="8">
        <f>IF(ISNA(MATCH(502,Engine!$C$2:$C$1369,0)),"",INDEX('Compliance Database'!$G$2:$G$1369,MATCH(502,Engine!$C$2:$C$1369,0)))</f>
        <v/>
      </c>
      <c r="H515" s="9">
        <f>IF(ISNA(MATCH(502,Engine!$C$2:$C$1369,0)),"",INDEX('Compliance Database'!$H$2:$H$1369,MATCH(502,Engine!$C$2:$C$1369,0)))</f>
        <v/>
      </c>
      <c r="I515" s="9">
        <f>IF(ISNA(MATCH(502,Engine!$C$2:$C$1369,0)),"",INDEX('Compliance Database'!$I$2:$I$1369,MATCH(502,Engine!$C$2:$C$1369,0)))</f>
        <v/>
      </c>
      <c r="J515" s="8">
        <f>IF(ISNA(MATCH(502,Engine!$C$2:$C$1369,0)),"",INDEX('Compliance Database'!$J$2:$J$1369,MATCH(502,Engine!$C$2:$C$1369,0)))</f>
        <v/>
      </c>
      <c r="K515" s="9">
        <f>IF(ISNA(MATCH(502,Engine!$C$2:$C$1369,0)),"",INDEX('Compliance Database'!$K$2:$K$1369,MATCH(502,Engine!$C$2:$C$1369,0)))</f>
        <v/>
      </c>
      <c r="L515" s="9">
        <f>IF(ISNA(MATCH(502,Engine!$C$2:$C$1369,0)),"",INDEX('Compliance Database'!$L$2:$L$1369,MATCH(502,Engine!$C$2:$C$1369,0)))</f>
        <v/>
      </c>
      <c r="M515" s="9">
        <f>IF(ISNA(MATCH(502,Engine!$C$2:$C$1369,0)),"",INDEX('Compliance Database'!$M$2:$M$1369,MATCH(502,Engine!$C$2:$C$1369,0)))</f>
        <v/>
      </c>
      <c r="N515" s="9">
        <f>IF(ISNA(MATCH(502,Engine!$C$2:$C$1369,0)),"",INDEX('Compliance Database'!$N$2:$N$1369,MATCH(502,Engine!$C$2:$C$1369,0)))</f>
        <v/>
      </c>
      <c r="O515" s="8">
        <f>IF(ISNA(MATCH(502,Engine!$C$2:$C$1369,0)),"",HYPERLINK(INDEX('Compliance Database'!$O$2:$O$1369,MATCH(502,Engine!$C$2:$C$1369,0)),"Open PDF"))</f>
        <v/>
      </c>
    </row>
    <row r="516" ht="188" customHeight="1">
      <c r="A516" s="8">
        <f>IF(ISNA(MATCH(503,Engine!$C$2:$C$1369,0)),"",INDEX('Compliance Database'!$A$2:$A$1369,MATCH(503,Engine!$C$2:$C$1369,0)))</f>
        <v/>
      </c>
      <c r="B516" s="8">
        <f>IF(ISNA(MATCH(503,Engine!$C$2:$C$1369,0)),"",INDEX('Compliance Database'!$B$2:$B$1369,MATCH(503,Engine!$C$2:$C$1369,0)))</f>
        <v/>
      </c>
      <c r="C516" s="8">
        <f>IF(ISNA(MATCH(503,Engine!$C$2:$C$1369,0)),"",INDEX('Compliance Database'!$C$2:$C$1369,MATCH(503,Engine!$C$2:$C$1369,0)))</f>
        <v/>
      </c>
      <c r="D516" s="9">
        <f>IF(ISNA(MATCH(503,Engine!$C$2:$C$1369,0)),"",INDEX('Compliance Database'!$D$2:$D$1369,MATCH(503,Engine!$C$2:$C$1369,0)))</f>
        <v/>
      </c>
      <c r="E516" s="8">
        <f>IF(ISNA(MATCH(503,Engine!$C$2:$C$1369,0)),"",INDEX('Compliance Database'!$E$2:$E$1369,MATCH(503,Engine!$C$2:$C$1369,0)))</f>
        <v/>
      </c>
      <c r="F516" s="8">
        <f>IF(ISNA(MATCH(503,Engine!$C$2:$C$1369,0)),"",INDEX('Compliance Database'!$F$2:$F$1369,MATCH(503,Engine!$C$2:$C$1369,0)))</f>
        <v/>
      </c>
      <c r="G516" s="8">
        <f>IF(ISNA(MATCH(503,Engine!$C$2:$C$1369,0)),"",INDEX('Compliance Database'!$G$2:$G$1369,MATCH(503,Engine!$C$2:$C$1369,0)))</f>
        <v/>
      </c>
      <c r="H516" s="9">
        <f>IF(ISNA(MATCH(503,Engine!$C$2:$C$1369,0)),"",INDEX('Compliance Database'!$H$2:$H$1369,MATCH(503,Engine!$C$2:$C$1369,0)))</f>
        <v/>
      </c>
      <c r="I516" s="9">
        <f>IF(ISNA(MATCH(503,Engine!$C$2:$C$1369,0)),"",INDEX('Compliance Database'!$I$2:$I$1369,MATCH(503,Engine!$C$2:$C$1369,0)))</f>
        <v/>
      </c>
      <c r="J516" s="8">
        <f>IF(ISNA(MATCH(503,Engine!$C$2:$C$1369,0)),"",INDEX('Compliance Database'!$J$2:$J$1369,MATCH(503,Engine!$C$2:$C$1369,0)))</f>
        <v/>
      </c>
      <c r="K516" s="9">
        <f>IF(ISNA(MATCH(503,Engine!$C$2:$C$1369,0)),"",INDEX('Compliance Database'!$K$2:$K$1369,MATCH(503,Engine!$C$2:$C$1369,0)))</f>
        <v/>
      </c>
      <c r="L516" s="9">
        <f>IF(ISNA(MATCH(503,Engine!$C$2:$C$1369,0)),"",INDEX('Compliance Database'!$L$2:$L$1369,MATCH(503,Engine!$C$2:$C$1369,0)))</f>
        <v/>
      </c>
      <c r="M516" s="9">
        <f>IF(ISNA(MATCH(503,Engine!$C$2:$C$1369,0)),"",INDEX('Compliance Database'!$M$2:$M$1369,MATCH(503,Engine!$C$2:$C$1369,0)))</f>
        <v/>
      </c>
      <c r="N516" s="9">
        <f>IF(ISNA(MATCH(503,Engine!$C$2:$C$1369,0)),"",INDEX('Compliance Database'!$N$2:$N$1369,MATCH(503,Engine!$C$2:$C$1369,0)))</f>
        <v/>
      </c>
      <c r="O516" s="8">
        <f>IF(ISNA(MATCH(503,Engine!$C$2:$C$1369,0)),"",HYPERLINK(INDEX('Compliance Database'!$O$2:$O$1369,MATCH(503,Engine!$C$2:$C$1369,0)),"Open PDF"))</f>
        <v/>
      </c>
    </row>
    <row r="517" ht="188" customHeight="1">
      <c r="A517" s="8">
        <f>IF(ISNA(MATCH(504,Engine!$C$2:$C$1369,0)),"",INDEX('Compliance Database'!$A$2:$A$1369,MATCH(504,Engine!$C$2:$C$1369,0)))</f>
        <v/>
      </c>
      <c r="B517" s="8">
        <f>IF(ISNA(MATCH(504,Engine!$C$2:$C$1369,0)),"",INDEX('Compliance Database'!$B$2:$B$1369,MATCH(504,Engine!$C$2:$C$1369,0)))</f>
        <v/>
      </c>
      <c r="C517" s="8">
        <f>IF(ISNA(MATCH(504,Engine!$C$2:$C$1369,0)),"",INDEX('Compliance Database'!$C$2:$C$1369,MATCH(504,Engine!$C$2:$C$1369,0)))</f>
        <v/>
      </c>
      <c r="D517" s="9">
        <f>IF(ISNA(MATCH(504,Engine!$C$2:$C$1369,0)),"",INDEX('Compliance Database'!$D$2:$D$1369,MATCH(504,Engine!$C$2:$C$1369,0)))</f>
        <v/>
      </c>
      <c r="E517" s="8">
        <f>IF(ISNA(MATCH(504,Engine!$C$2:$C$1369,0)),"",INDEX('Compliance Database'!$E$2:$E$1369,MATCH(504,Engine!$C$2:$C$1369,0)))</f>
        <v/>
      </c>
      <c r="F517" s="8">
        <f>IF(ISNA(MATCH(504,Engine!$C$2:$C$1369,0)),"",INDEX('Compliance Database'!$F$2:$F$1369,MATCH(504,Engine!$C$2:$C$1369,0)))</f>
        <v/>
      </c>
      <c r="G517" s="8">
        <f>IF(ISNA(MATCH(504,Engine!$C$2:$C$1369,0)),"",INDEX('Compliance Database'!$G$2:$G$1369,MATCH(504,Engine!$C$2:$C$1369,0)))</f>
        <v/>
      </c>
      <c r="H517" s="9">
        <f>IF(ISNA(MATCH(504,Engine!$C$2:$C$1369,0)),"",INDEX('Compliance Database'!$H$2:$H$1369,MATCH(504,Engine!$C$2:$C$1369,0)))</f>
        <v/>
      </c>
      <c r="I517" s="9">
        <f>IF(ISNA(MATCH(504,Engine!$C$2:$C$1369,0)),"",INDEX('Compliance Database'!$I$2:$I$1369,MATCH(504,Engine!$C$2:$C$1369,0)))</f>
        <v/>
      </c>
      <c r="J517" s="8">
        <f>IF(ISNA(MATCH(504,Engine!$C$2:$C$1369,0)),"",INDEX('Compliance Database'!$J$2:$J$1369,MATCH(504,Engine!$C$2:$C$1369,0)))</f>
        <v/>
      </c>
      <c r="K517" s="9">
        <f>IF(ISNA(MATCH(504,Engine!$C$2:$C$1369,0)),"",INDEX('Compliance Database'!$K$2:$K$1369,MATCH(504,Engine!$C$2:$C$1369,0)))</f>
        <v/>
      </c>
      <c r="L517" s="9">
        <f>IF(ISNA(MATCH(504,Engine!$C$2:$C$1369,0)),"",INDEX('Compliance Database'!$L$2:$L$1369,MATCH(504,Engine!$C$2:$C$1369,0)))</f>
        <v/>
      </c>
      <c r="M517" s="9">
        <f>IF(ISNA(MATCH(504,Engine!$C$2:$C$1369,0)),"",INDEX('Compliance Database'!$M$2:$M$1369,MATCH(504,Engine!$C$2:$C$1369,0)))</f>
        <v/>
      </c>
      <c r="N517" s="9">
        <f>IF(ISNA(MATCH(504,Engine!$C$2:$C$1369,0)),"",INDEX('Compliance Database'!$N$2:$N$1369,MATCH(504,Engine!$C$2:$C$1369,0)))</f>
        <v/>
      </c>
      <c r="O517" s="8">
        <f>IF(ISNA(MATCH(504,Engine!$C$2:$C$1369,0)),"",HYPERLINK(INDEX('Compliance Database'!$O$2:$O$1369,MATCH(504,Engine!$C$2:$C$1369,0)),"Open PDF"))</f>
        <v/>
      </c>
    </row>
    <row r="518" ht="188" customHeight="1">
      <c r="A518" s="8">
        <f>IF(ISNA(MATCH(505,Engine!$C$2:$C$1369,0)),"",INDEX('Compliance Database'!$A$2:$A$1369,MATCH(505,Engine!$C$2:$C$1369,0)))</f>
        <v/>
      </c>
      <c r="B518" s="8">
        <f>IF(ISNA(MATCH(505,Engine!$C$2:$C$1369,0)),"",INDEX('Compliance Database'!$B$2:$B$1369,MATCH(505,Engine!$C$2:$C$1369,0)))</f>
        <v/>
      </c>
      <c r="C518" s="8">
        <f>IF(ISNA(MATCH(505,Engine!$C$2:$C$1369,0)),"",INDEX('Compliance Database'!$C$2:$C$1369,MATCH(505,Engine!$C$2:$C$1369,0)))</f>
        <v/>
      </c>
      <c r="D518" s="9">
        <f>IF(ISNA(MATCH(505,Engine!$C$2:$C$1369,0)),"",INDEX('Compliance Database'!$D$2:$D$1369,MATCH(505,Engine!$C$2:$C$1369,0)))</f>
        <v/>
      </c>
      <c r="E518" s="8">
        <f>IF(ISNA(MATCH(505,Engine!$C$2:$C$1369,0)),"",INDEX('Compliance Database'!$E$2:$E$1369,MATCH(505,Engine!$C$2:$C$1369,0)))</f>
        <v/>
      </c>
      <c r="F518" s="8">
        <f>IF(ISNA(MATCH(505,Engine!$C$2:$C$1369,0)),"",INDEX('Compliance Database'!$F$2:$F$1369,MATCH(505,Engine!$C$2:$C$1369,0)))</f>
        <v/>
      </c>
      <c r="G518" s="8">
        <f>IF(ISNA(MATCH(505,Engine!$C$2:$C$1369,0)),"",INDEX('Compliance Database'!$G$2:$G$1369,MATCH(505,Engine!$C$2:$C$1369,0)))</f>
        <v/>
      </c>
      <c r="H518" s="9">
        <f>IF(ISNA(MATCH(505,Engine!$C$2:$C$1369,0)),"",INDEX('Compliance Database'!$H$2:$H$1369,MATCH(505,Engine!$C$2:$C$1369,0)))</f>
        <v/>
      </c>
      <c r="I518" s="9">
        <f>IF(ISNA(MATCH(505,Engine!$C$2:$C$1369,0)),"",INDEX('Compliance Database'!$I$2:$I$1369,MATCH(505,Engine!$C$2:$C$1369,0)))</f>
        <v/>
      </c>
      <c r="J518" s="8">
        <f>IF(ISNA(MATCH(505,Engine!$C$2:$C$1369,0)),"",INDEX('Compliance Database'!$J$2:$J$1369,MATCH(505,Engine!$C$2:$C$1369,0)))</f>
        <v/>
      </c>
      <c r="K518" s="9">
        <f>IF(ISNA(MATCH(505,Engine!$C$2:$C$1369,0)),"",INDEX('Compliance Database'!$K$2:$K$1369,MATCH(505,Engine!$C$2:$C$1369,0)))</f>
        <v/>
      </c>
      <c r="L518" s="9">
        <f>IF(ISNA(MATCH(505,Engine!$C$2:$C$1369,0)),"",INDEX('Compliance Database'!$L$2:$L$1369,MATCH(505,Engine!$C$2:$C$1369,0)))</f>
        <v/>
      </c>
      <c r="M518" s="9">
        <f>IF(ISNA(MATCH(505,Engine!$C$2:$C$1369,0)),"",INDEX('Compliance Database'!$M$2:$M$1369,MATCH(505,Engine!$C$2:$C$1369,0)))</f>
        <v/>
      </c>
      <c r="N518" s="9">
        <f>IF(ISNA(MATCH(505,Engine!$C$2:$C$1369,0)),"",INDEX('Compliance Database'!$N$2:$N$1369,MATCH(505,Engine!$C$2:$C$1369,0)))</f>
        <v/>
      </c>
      <c r="O518" s="8">
        <f>IF(ISNA(MATCH(505,Engine!$C$2:$C$1369,0)),"",HYPERLINK(INDEX('Compliance Database'!$O$2:$O$1369,MATCH(505,Engine!$C$2:$C$1369,0)),"Open PDF"))</f>
        <v/>
      </c>
    </row>
    <row r="519" ht="188" customHeight="1">
      <c r="A519" s="8">
        <f>IF(ISNA(MATCH(506,Engine!$C$2:$C$1369,0)),"",INDEX('Compliance Database'!$A$2:$A$1369,MATCH(506,Engine!$C$2:$C$1369,0)))</f>
        <v/>
      </c>
      <c r="B519" s="8">
        <f>IF(ISNA(MATCH(506,Engine!$C$2:$C$1369,0)),"",INDEX('Compliance Database'!$B$2:$B$1369,MATCH(506,Engine!$C$2:$C$1369,0)))</f>
        <v/>
      </c>
      <c r="C519" s="8">
        <f>IF(ISNA(MATCH(506,Engine!$C$2:$C$1369,0)),"",INDEX('Compliance Database'!$C$2:$C$1369,MATCH(506,Engine!$C$2:$C$1369,0)))</f>
        <v/>
      </c>
      <c r="D519" s="9">
        <f>IF(ISNA(MATCH(506,Engine!$C$2:$C$1369,0)),"",INDEX('Compliance Database'!$D$2:$D$1369,MATCH(506,Engine!$C$2:$C$1369,0)))</f>
        <v/>
      </c>
      <c r="E519" s="8">
        <f>IF(ISNA(MATCH(506,Engine!$C$2:$C$1369,0)),"",INDEX('Compliance Database'!$E$2:$E$1369,MATCH(506,Engine!$C$2:$C$1369,0)))</f>
        <v/>
      </c>
      <c r="F519" s="8">
        <f>IF(ISNA(MATCH(506,Engine!$C$2:$C$1369,0)),"",INDEX('Compliance Database'!$F$2:$F$1369,MATCH(506,Engine!$C$2:$C$1369,0)))</f>
        <v/>
      </c>
      <c r="G519" s="8">
        <f>IF(ISNA(MATCH(506,Engine!$C$2:$C$1369,0)),"",INDEX('Compliance Database'!$G$2:$G$1369,MATCH(506,Engine!$C$2:$C$1369,0)))</f>
        <v/>
      </c>
      <c r="H519" s="9">
        <f>IF(ISNA(MATCH(506,Engine!$C$2:$C$1369,0)),"",INDEX('Compliance Database'!$H$2:$H$1369,MATCH(506,Engine!$C$2:$C$1369,0)))</f>
        <v/>
      </c>
      <c r="I519" s="9">
        <f>IF(ISNA(MATCH(506,Engine!$C$2:$C$1369,0)),"",INDEX('Compliance Database'!$I$2:$I$1369,MATCH(506,Engine!$C$2:$C$1369,0)))</f>
        <v/>
      </c>
      <c r="J519" s="8">
        <f>IF(ISNA(MATCH(506,Engine!$C$2:$C$1369,0)),"",INDEX('Compliance Database'!$J$2:$J$1369,MATCH(506,Engine!$C$2:$C$1369,0)))</f>
        <v/>
      </c>
      <c r="K519" s="9">
        <f>IF(ISNA(MATCH(506,Engine!$C$2:$C$1369,0)),"",INDEX('Compliance Database'!$K$2:$K$1369,MATCH(506,Engine!$C$2:$C$1369,0)))</f>
        <v/>
      </c>
      <c r="L519" s="9">
        <f>IF(ISNA(MATCH(506,Engine!$C$2:$C$1369,0)),"",INDEX('Compliance Database'!$L$2:$L$1369,MATCH(506,Engine!$C$2:$C$1369,0)))</f>
        <v/>
      </c>
      <c r="M519" s="9">
        <f>IF(ISNA(MATCH(506,Engine!$C$2:$C$1369,0)),"",INDEX('Compliance Database'!$M$2:$M$1369,MATCH(506,Engine!$C$2:$C$1369,0)))</f>
        <v/>
      </c>
      <c r="N519" s="9">
        <f>IF(ISNA(MATCH(506,Engine!$C$2:$C$1369,0)),"",INDEX('Compliance Database'!$N$2:$N$1369,MATCH(506,Engine!$C$2:$C$1369,0)))</f>
        <v/>
      </c>
      <c r="O519" s="8">
        <f>IF(ISNA(MATCH(506,Engine!$C$2:$C$1369,0)),"",HYPERLINK(INDEX('Compliance Database'!$O$2:$O$1369,MATCH(506,Engine!$C$2:$C$1369,0)),"Open PDF"))</f>
        <v/>
      </c>
    </row>
    <row r="520" ht="188" customHeight="1">
      <c r="A520" s="8">
        <f>IF(ISNA(MATCH(507,Engine!$C$2:$C$1369,0)),"",INDEX('Compliance Database'!$A$2:$A$1369,MATCH(507,Engine!$C$2:$C$1369,0)))</f>
        <v/>
      </c>
      <c r="B520" s="8">
        <f>IF(ISNA(MATCH(507,Engine!$C$2:$C$1369,0)),"",INDEX('Compliance Database'!$B$2:$B$1369,MATCH(507,Engine!$C$2:$C$1369,0)))</f>
        <v/>
      </c>
      <c r="C520" s="8">
        <f>IF(ISNA(MATCH(507,Engine!$C$2:$C$1369,0)),"",INDEX('Compliance Database'!$C$2:$C$1369,MATCH(507,Engine!$C$2:$C$1369,0)))</f>
        <v/>
      </c>
      <c r="D520" s="9">
        <f>IF(ISNA(MATCH(507,Engine!$C$2:$C$1369,0)),"",INDEX('Compliance Database'!$D$2:$D$1369,MATCH(507,Engine!$C$2:$C$1369,0)))</f>
        <v/>
      </c>
      <c r="E520" s="8">
        <f>IF(ISNA(MATCH(507,Engine!$C$2:$C$1369,0)),"",INDEX('Compliance Database'!$E$2:$E$1369,MATCH(507,Engine!$C$2:$C$1369,0)))</f>
        <v/>
      </c>
      <c r="F520" s="8">
        <f>IF(ISNA(MATCH(507,Engine!$C$2:$C$1369,0)),"",INDEX('Compliance Database'!$F$2:$F$1369,MATCH(507,Engine!$C$2:$C$1369,0)))</f>
        <v/>
      </c>
      <c r="G520" s="8">
        <f>IF(ISNA(MATCH(507,Engine!$C$2:$C$1369,0)),"",INDEX('Compliance Database'!$G$2:$G$1369,MATCH(507,Engine!$C$2:$C$1369,0)))</f>
        <v/>
      </c>
      <c r="H520" s="9">
        <f>IF(ISNA(MATCH(507,Engine!$C$2:$C$1369,0)),"",INDEX('Compliance Database'!$H$2:$H$1369,MATCH(507,Engine!$C$2:$C$1369,0)))</f>
        <v/>
      </c>
      <c r="I520" s="9">
        <f>IF(ISNA(MATCH(507,Engine!$C$2:$C$1369,0)),"",INDEX('Compliance Database'!$I$2:$I$1369,MATCH(507,Engine!$C$2:$C$1369,0)))</f>
        <v/>
      </c>
      <c r="J520" s="8">
        <f>IF(ISNA(MATCH(507,Engine!$C$2:$C$1369,0)),"",INDEX('Compliance Database'!$J$2:$J$1369,MATCH(507,Engine!$C$2:$C$1369,0)))</f>
        <v/>
      </c>
      <c r="K520" s="9">
        <f>IF(ISNA(MATCH(507,Engine!$C$2:$C$1369,0)),"",INDEX('Compliance Database'!$K$2:$K$1369,MATCH(507,Engine!$C$2:$C$1369,0)))</f>
        <v/>
      </c>
      <c r="L520" s="9">
        <f>IF(ISNA(MATCH(507,Engine!$C$2:$C$1369,0)),"",INDEX('Compliance Database'!$L$2:$L$1369,MATCH(507,Engine!$C$2:$C$1369,0)))</f>
        <v/>
      </c>
      <c r="M520" s="9">
        <f>IF(ISNA(MATCH(507,Engine!$C$2:$C$1369,0)),"",INDEX('Compliance Database'!$M$2:$M$1369,MATCH(507,Engine!$C$2:$C$1369,0)))</f>
        <v/>
      </c>
      <c r="N520" s="9">
        <f>IF(ISNA(MATCH(507,Engine!$C$2:$C$1369,0)),"",INDEX('Compliance Database'!$N$2:$N$1369,MATCH(507,Engine!$C$2:$C$1369,0)))</f>
        <v/>
      </c>
      <c r="O520" s="8">
        <f>IF(ISNA(MATCH(507,Engine!$C$2:$C$1369,0)),"",HYPERLINK(INDEX('Compliance Database'!$O$2:$O$1369,MATCH(507,Engine!$C$2:$C$1369,0)),"Open PDF"))</f>
        <v/>
      </c>
    </row>
    <row r="521" ht="188" customHeight="1">
      <c r="A521" s="8">
        <f>IF(ISNA(MATCH(508,Engine!$C$2:$C$1369,0)),"",INDEX('Compliance Database'!$A$2:$A$1369,MATCH(508,Engine!$C$2:$C$1369,0)))</f>
        <v/>
      </c>
      <c r="B521" s="8">
        <f>IF(ISNA(MATCH(508,Engine!$C$2:$C$1369,0)),"",INDEX('Compliance Database'!$B$2:$B$1369,MATCH(508,Engine!$C$2:$C$1369,0)))</f>
        <v/>
      </c>
      <c r="C521" s="8">
        <f>IF(ISNA(MATCH(508,Engine!$C$2:$C$1369,0)),"",INDEX('Compliance Database'!$C$2:$C$1369,MATCH(508,Engine!$C$2:$C$1369,0)))</f>
        <v/>
      </c>
      <c r="D521" s="9">
        <f>IF(ISNA(MATCH(508,Engine!$C$2:$C$1369,0)),"",INDEX('Compliance Database'!$D$2:$D$1369,MATCH(508,Engine!$C$2:$C$1369,0)))</f>
        <v/>
      </c>
      <c r="E521" s="8">
        <f>IF(ISNA(MATCH(508,Engine!$C$2:$C$1369,0)),"",INDEX('Compliance Database'!$E$2:$E$1369,MATCH(508,Engine!$C$2:$C$1369,0)))</f>
        <v/>
      </c>
      <c r="F521" s="8">
        <f>IF(ISNA(MATCH(508,Engine!$C$2:$C$1369,0)),"",INDEX('Compliance Database'!$F$2:$F$1369,MATCH(508,Engine!$C$2:$C$1369,0)))</f>
        <v/>
      </c>
      <c r="G521" s="8">
        <f>IF(ISNA(MATCH(508,Engine!$C$2:$C$1369,0)),"",INDEX('Compliance Database'!$G$2:$G$1369,MATCH(508,Engine!$C$2:$C$1369,0)))</f>
        <v/>
      </c>
      <c r="H521" s="9">
        <f>IF(ISNA(MATCH(508,Engine!$C$2:$C$1369,0)),"",INDEX('Compliance Database'!$H$2:$H$1369,MATCH(508,Engine!$C$2:$C$1369,0)))</f>
        <v/>
      </c>
      <c r="I521" s="9">
        <f>IF(ISNA(MATCH(508,Engine!$C$2:$C$1369,0)),"",INDEX('Compliance Database'!$I$2:$I$1369,MATCH(508,Engine!$C$2:$C$1369,0)))</f>
        <v/>
      </c>
      <c r="J521" s="8">
        <f>IF(ISNA(MATCH(508,Engine!$C$2:$C$1369,0)),"",INDEX('Compliance Database'!$J$2:$J$1369,MATCH(508,Engine!$C$2:$C$1369,0)))</f>
        <v/>
      </c>
      <c r="K521" s="9">
        <f>IF(ISNA(MATCH(508,Engine!$C$2:$C$1369,0)),"",INDEX('Compliance Database'!$K$2:$K$1369,MATCH(508,Engine!$C$2:$C$1369,0)))</f>
        <v/>
      </c>
      <c r="L521" s="9">
        <f>IF(ISNA(MATCH(508,Engine!$C$2:$C$1369,0)),"",INDEX('Compliance Database'!$L$2:$L$1369,MATCH(508,Engine!$C$2:$C$1369,0)))</f>
        <v/>
      </c>
      <c r="M521" s="9">
        <f>IF(ISNA(MATCH(508,Engine!$C$2:$C$1369,0)),"",INDEX('Compliance Database'!$M$2:$M$1369,MATCH(508,Engine!$C$2:$C$1369,0)))</f>
        <v/>
      </c>
      <c r="N521" s="9">
        <f>IF(ISNA(MATCH(508,Engine!$C$2:$C$1369,0)),"",INDEX('Compliance Database'!$N$2:$N$1369,MATCH(508,Engine!$C$2:$C$1369,0)))</f>
        <v/>
      </c>
      <c r="O521" s="8">
        <f>IF(ISNA(MATCH(508,Engine!$C$2:$C$1369,0)),"",HYPERLINK(INDEX('Compliance Database'!$O$2:$O$1369,MATCH(508,Engine!$C$2:$C$1369,0)),"Open PDF"))</f>
        <v/>
      </c>
    </row>
    <row r="522" ht="188" customHeight="1">
      <c r="A522" s="8">
        <f>IF(ISNA(MATCH(509,Engine!$C$2:$C$1369,0)),"",INDEX('Compliance Database'!$A$2:$A$1369,MATCH(509,Engine!$C$2:$C$1369,0)))</f>
        <v/>
      </c>
      <c r="B522" s="8">
        <f>IF(ISNA(MATCH(509,Engine!$C$2:$C$1369,0)),"",INDEX('Compliance Database'!$B$2:$B$1369,MATCH(509,Engine!$C$2:$C$1369,0)))</f>
        <v/>
      </c>
      <c r="C522" s="8">
        <f>IF(ISNA(MATCH(509,Engine!$C$2:$C$1369,0)),"",INDEX('Compliance Database'!$C$2:$C$1369,MATCH(509,Engine!$C$2:$C$1369,0)))</f>
        <v/>
      </c>
      <c r="D522" s="9">
        <f>IF(ISNA(MATCH(509,Engine!$C$2:$C$1369,0)),"",INDEX('Compliance Database'!$D$2:$D$1369,MATCH(509,Engine!$C$2:$C$1369,0)))</f>
        <v/>
      </c>
      <c r="E522" s="8">
        <f>IF(ISNA(MATCH(509,Engine!$C$2:$C$1369,0)),"",INDEX('Compliance Database'!$E$2:$E$1369,MATCH(509,Engine!$C$2:$C$1369,0)))</f>
        <v/>
      </c>
      <c r="F522" s="8">
        <f>IF(ISNA(MATCH(509,Engine!$C$2:$C$1369,0)),"",INDEX('Compliance Database'!$F$2:$F$1369,MATCH(509,Engine!$C$2:$C$1369,0)))</f>
        <v/>
      </c>
      <c r="G522" s="8">
        <f>IF(ISNA(MATCH(509,Engine!$C$2:$C$1369,0)),"",INDEX('Compliance Database'!$G$2:$G$1369,MATCH(509,Engine!$C$2:$C$1369,0)))</f>
        <v/>
      </c>
      <c r="H522" s="9">
        <f>IF(ISNA(MATCH(509,Engine!$C$2:$C$1369,0)),"",INDEX('Compliance Database'!$H$2:$H$1369,MATCH(509,Engine!$C$2:$C$1369,0)))</f>
        <v/>
      </c>
      <c r="I522" s="9">
        <f>IF(ISNA(MATCH(509,Engine!$C$2:$C$1369,0)),"",INDEX('Compliance Database'!$I$2:$I$1369,MATCH(509,Engine!$C$2:$C$1369,0)))</f>
        <v/>
      </c>
      <c r="J522" s="8">
        <f>IF(ISNA(MATCH(509,Engine!$C$2:$C$1369,0)),"",INDEX('Compliance Database'!$J$2:$J$1369,MATCH(509,Engine!$C$2:$C$1369,0)))</f>
        <v/>
      </c>
      <c r="K522" s="9">
        <f>IF(ISNA(MATCH(509,Engine!$C$2:$C$1369,0)),"",INDEX('Compliance Database'!$K$2:$K$1369,MATCH(509,Engine!$C$2:$C$1369,0)))</f>
        <v/>
      </c>
      <c r="L522" s="9">
        <f>IF(ISNA(MATCH(509,Engine!$C$2:$C$1369,0)),"",INDEX('Compliance Database'!$L$2:$L$1369,MATCH(509,Engine!$C$2:$C$1369,0)))</f>
        <v/>
      </c>
      <c r="M522" s="9">
        <f>IF(ISNA(MATCH(509,Engine!$C$2:$C$1369,0)),"",INDEX('Compliance Database'!$M$2:$M$1369,MATCH(509,Engine!$C$2:$C$1369,0)))</f>
        <v/>
      </c>
      <c r="N522" s="9">
        <f>IF(ISNA(MATCH(509,Engine!$C$2:$C$1369,0)),"",INDEX('Compliance Database'!$N$2:$N$1369,MATCH(509,Engine!$C$2:$C$1369,0)))</f>
        <v/>
      </c>
      <c r="O522" s="8">
        <f>IF(ISNA(MATCH(509,Engine!$C$2:$C$1369,0)),"",HYPERLINK(INDEX('Compliance Database'!$O$2:$O$1369,MATCH(509,Engine!$C$2:$C$1369,0)),"Open PDF"))</f>
        <v/>
      </c>
    </row>
    <row r="523" ht="188" customHeight="1">
      <c r="A523" s="8">
        <f>IF(ISNA(MATCH(510,Engine!$C$2:$C$1369,0)),"",INDEX('Compliance Database'!$A$2:$A$1369,MATCH(510,Engine!$C$2:$C$1369,0)))</f>
        <v/>
      </c>
      <c r="B523" s="8">
        <f>IF(ISNA(MATCH(510,Engine!$C$2:$C$1369,0)),"",INDEX('Compliance Database'!$B$2:$B$1369,MATCH(510,Engine!$C$2:$C$1369,0)))</f>
        <v/>
      </c>
      <c r="C523" s="8">
        <f>IF(ISNA(MATCH(510,Engine!$C$2:$C$1369,0)),"",INDEX('Compliance Database'!$C$2:$C$1369,MATCH(510,Engine!$C$2:$C$1369,0)))</f>
        <v/>
      </c>
      <c r="D523" s="9">
        <f>IF(ISNA(MATCH(510,Engine!$C$2:$C$1369,0)),"",INDEX('Compliance Database'!$D$2:$D$1369,MATCH(510,Engine!$C$2:$C$1369,0)))</f>
        <v/>
      </c>
      <c r="E523" s="8">
        <f>IF(ISNA(MATCH(510,Engine!$C$2:$C$1369,0)),"",INDEX('Compliance Database'!$E$2:$E$1369,MATCH(510,Engine!$C$2:$C$1369,0)))</f>
        <v/>
      </c>
      <c r="F523" s="8">
        <f>IF(ISNA(MATCH(510,Engine!$C$2:$C$1369,0)),"",INDEX('Compliance Database'!$F$2:$F$1369,MATCH(510,Engine!$C$2:$C$1369,0)))</f>
        <v/>
      </c>
      <c r="G523" s="8">
        <f>IF(ISNA(MATCH(510,Engine!$C$2:$C$1369,0)),"",INDEX('Compliance Database'!$G$2:$G$1369,MATCH(510,Engine!$C$2:$C$1369,0)))</f>
        <v/>
      </c>
      <c r="H523" s="9">
        <f>IF(ISNA(MATCH(510,Engine!$C$2:$C$1369,0)),"",INDEX('Compliance Database'!$H$2:$H$1369,MATCH(510,Engine!$C$2:$C$1369,0)))</f>
        <v/>
      </c>
      <c r="I523" s="9">
        <f>IF(ISNA(MATCH(510,Engine!$C$2:$C$1369,0)),"",INDEX('Compliance Database'!$I$2:$I$1369,MATCH(510,Engine!$C$2:$C$1369,0)))</f>
        <v/>
      </c>
      <c r="J523" s="8">
        <f>IF(ISNA(MATCH(510,Engine!$C$2:$C$1369,0)),"",INDEX('Compliance Database'!$J$2:$J$1369,MATCH(510,Engine!$C$2:$C$1369,0)))</f>
        <v/>
      </c>
      <c r="K523" s="9">
        <f>IF(ISNA(MATCH(510,Engine!$C$2:$C$1369,0)),"",INDEX('Compliance Database'!$K$2:$K$1369,MATCH(510,Engine!$C$2:$C$1369,0)))</f>
        <v/>
      </c>
      <c r="L523" s="9">
        <f>IF(ISNA(MATCH(510,Engine!$C$2:$C$1369,0)),"",INDEX('Compliance Database'!$L$2:$L$1369,MATCH(510,Engine!$C$2:$C$1369,0)))</f>
        <v/>
      </c>
      <c r="M523" s="9">
        <f>IF(ISNA(MATCH(510,Engine!$C$2:$C$1369,0)),"",INDEX('Compliance Database'!$M$2:$M$1369,MATCH(510,Engine!$C$2:$C$1369,0)))</f>
        <v/>
      </c>
      <c r="N523" s="9">
        <f>IF(ISNA(MATCH(510,Engine!$C$2:$C$1369,0)),"",INDEX('Compliance Database'!$N$2:$N$1369,MATCH(510,Engine!$C$2:$C$1369,0)))</f>
        <v/>
      </c>
      <c r="O523" s="8">
        <f>IF(ISNA(MATCH(510,Engine!$C$2:$C$1369,0)),"",HYPERLINK(INDEX('Compliance Database'!$O$2:$O$1369,MATCH(510,Engine!$C$2:$C$1369,0)),"Open PDF"))</f>
        <v/>
      </c>
    </row>
    <row r="524" ht="188" customHeight="1">
      <c r="A524" s="8">
        <f>IF(ISNA(MATCH(511,Engine!$C$2:$C$1369,0)),"",INDEX('Compliance Database'!$A$2:$A$1369,MATCH(511,Engine!$C$2:$C$1369,0)))</f>
        <v/>
      </c>
      <c r="B524" s="8">
        <f>IF(ISNA(MATCH(511,Engine!$C$2:$C$1369,0)),"",INDEX('Compliance Database'!$B$2:$B$1369,MATCH(511,Engine!$C$2:$C$1369,0)))</f>
        <v/>
      </c>
      <c r="C524" s="8">
        <f>IF(ISNA(MATCH(511,Engine!$C$2:$C$1369,0)),"",INDEX('Compliance Database'!$C$2:$C$1369,MATCH(511,Engine!$C$2:$C$1369,0)))</f>
        <v/>
      </c>
      <c r="D524" s="9">
        <f>IF(ISNA(MATCH(511,Engine!$C$2:$C$1369,0)),"",INDEX('Compliance Database'!$D$2:$D$1369,MATCH(511,Engine!$C$2:$C$1369,0)))</f>
        <v/>
      </c>
      <c r="E524" s="8">
        <f>IF(ISNA(MATCH(511,Engine!$C$2:$C$1369,0)),"",INDEX('Compliance Database'!$E$2:$E$1369,MATCH(511,Engine!$C$2:$C$1369,0)))</f>
        <v/>
      </c>
      <c r="F524" s="8">
        <f>IF(ISNA(MATCH(511,Engine!$C$2:$C$1369,0)),"",INDEX('Compliance Database'!$F$2:$F$1369,MATCH(511,Engine!$C$2:$C$1369,0)))</f>
        <v/>
      </c>
      <c r="G524" s="8">
        <f>IF(ISNA(MATCH(511,Engine!$C$2:$C$1369,0)),"",INDEX('Compliance Database'!$G$2:$G$1369,MATCH(511,Engine!$C$2:$C$1369,0)))</f>
        <v/>
      </c>
      <c r="H524" s="9">
        <f>IF(ISNA(MATCH(511,Engine!$C$2:$C$1369,0)),"",INDEX('Compliance Database'!$H$2:$H$1369,MATCH(511,Engine!$C$2:$C$1369,0)))</f>
        <v/>
      </c>
      <c r="I524" s="9">
        <f>IF(ISNA(MATCH(511,Engine!$C$2:$C$1369,0)),"",INDEX('Compliance Database'!$I$2:$I$1369,MATCH(511,Engine!$C$2:$C$1369,0)))</f>
        <v/>
      </c>
      <c r="J524" s="8">
        <f>IF(ISNA(MATCH(511,Engine!$C$2:$C$1369,0)),"",INDEX('Compliance Database'!$J$2:$J$1369,MATCH(511,Engine!$C$2:$C$1369,0)))</f>
        <v/>
      </c>
      <c r="K524" s="9">
        <f>IF(ISNA(MATCH(511,Engine!$C$2:$C$1369,0)),"",INDEX('Compliance Database'!$K$2:$K$1369,MATCH(511,Engine!$C$2:$C$1369,0)))</f>
        <v/>
      </c>
      <c r="L524" s="9">
        <f>IF(ISNA(MATCH(511,Engine!$C$2:$C$1369,0)),"",INDEX('Compliance Database'!$L$2:$L$1369,MATCH(511,Engine!$C$2:$C$1369,0)))</f>
        <v/>
      </c>
      <c r="M524" s="9">
        <f>IF(ISNA(MATCH(511,Engine!$C$2:$C$1369,0)),"",INDEX('Compliance Database'!$M$2:$M$1369,MATCH(511,Engine!$C$2:$C$1369,0)))</f>
        <v/>
      </c>
      <c r="N524" s="9">
        <f>IF(ISNA(MATCH(511,Engine!$C$2:$C$1369,0)),"",INDEX('Compliance Database'!$N$2:$N$1369,MATCH(511,Engine!$C$2:$C$1369,0)))</f>
        <v/>
      </c>
      <c r="O524" s="8">
        <f>IF(ISNA(MATCH(511,Engine!$C$2:$C$1369,0)),"",HYPERLINK(INDEX('Compliance Database'!$O$2:$O$1369,MATCH(511,Engine!$C$2:$C$1369,0)),"Open PDF"))</f>
        <v/>
      </c>
    </row>
    <row r="525" ht="188" customHeight="1">
      <c r="A525" s="8">
        <f>IF(ISNA(MATCH(512,Engine!$C$2:$C$1369,0)),"",INDEX('Compliance Database'!$A$2:$A$1369,MATCH(512,Engine!$C$2:$C$1369,0)))</f>
        <v/>
      </c>
      <c r="B525" s="8">
        <f>IF(ISNA(MATCH(512,Engine!$C$2:$C$1369,0)),"",INDEX('Compliance Database'!$B$2:$B$1369,MATCH(512,Engine!$C$2:$C$1369,0)))</f>
        <v/>
      </c>
      <c r="C525" s="8">
        <f>IF(ISNA(MATCH(512,Engine!$C$2:$C$1369,0)),"",INDEX('Compliance Database'!$C$2:$C$1369,MATCH(512,Engine!$C$2:$C$1369,0)))</f>
        <v/>
      </c>
      <c r="D525" s="9">
        <f>IF(ISNA(MATCH(512,Engine!$C$2:$C$1369,0)),"",INDEX('Compliance Database'!$D$2:$D$1369,MATCH(512,Engine!$C$2:$C$1369,0)))</f>
        <v/>
      </c>
      <c r="E525" s="8">
        <f>IF(ISNA(MATCH(512,Engine!$C$2:$C$1369,0)),"",INDEX('Compliance Database'!$E$2:$E$1369,MATCH(512,Engine!$C$2:$C$1369,0)))</f>
        <v/>
      </c>
      <c r="F525" s="8">
        <f>IF(ISNA(MATCH(512,Engine!$C$2:$C$1369,0)),"",INDEX('Compliance Database'!$F$2:$F$1369,MATCH(512,Engine!$C$2:$C$1369,0)))</f>
        <v/>
      </c>
      <c r="G525" s="8">
        <f>IF(ISNA(MATCH(512,Engine!$C$2:$C$1369,0)),"",INDEX('Compliance Database'!$G$2:$G$1369,MATCH(512,Engine!$C$2:$C$1369,0)))</f>
        <v/>
      </c>
      <c r="H525" s="9">
        <f>IF(ISNA(MATCH(512,Engine!$C$2:$C$1369,0)),"",INDEX('Compliance Database'!$H$2:$H$1369,MATCH(512,Engine!$C$2:$C$1369,0)))</f>
        <v/>
      </c>
      <c r="I525" s="9">
        <f>IF(ISNA(MATCH(512,Engine!$C$2:$C$1369,0)),"",INDEX('Compliance Database'!$I$2:$I$1369,MATCH(512,Engine!$C$2:$C$1369,0)))</f>
        <v/>
      </c>
      <c r="J525" s="8">
        <f>IF(ISNA(MATCH(512,Engine!$C$2:$C$1369,0)),"",INDEX('Compliance Database'!$J$2:$J$1369,MATCH(512,Engine!$C$2:$C$1369,0)))</f>
        <v/>
      </c>
      <c r="K525" s="9">
        <f>IF(ISNA(MATCH(512,Engine!$C$2:$C$1369,0)),"",INDEX('Compliance Database'!$K$2:$K$1369,MATCH(512,Engine!$C$2:$C$1369,0)))</f>
        <v/>
      </c>
      <c r="L525" s="9">
        <f>IF(ISNA(MATCH(512,Engine!$C$2:$C$1369,0)),"",INDEX('Compliance Database'!$L$2:$L$1369,MATCH(512,Engine!$C$2:$C$1369,0)))</f>
        <v/>
      </c>
      <c r="M525" s="9">
        <f>IF(ISNA(MATCH(512,Engine!$C$2:$C$1369,0)),"",INDEX('Compliance Database'!$M$2:$M$1369,MATCH(512,Engine!$C$2:$C$1369,0)))</f>
        <v/>
      </c>
      <c r="N525" s="9">
        <f>IF(ISNA(MATCH(512,Engine!$C$2:$C$1369,0)),"",INDEX('Compliance Database'!$N$2:$N$1369,MATCH(512,Engine!$C$2:$C$1369,0)))</f>
        <v/>
      </c>
      <c r="O525" s="8">
        <f>IF(ISNA(MATCH(512,Engine!$C$2:$C$1369,0)),"",HYPERLINK(INDEX('Compliance Database'!$O$2:$O$1369,MATCH(512,Engine!$C$2:$C$1369,0)),"Open PDF"))</f>
        <v/>
      </c>
    </row>
    <row r="526" ht="188" customHeight="1">
      <c r="A526" s="8">
        <f>IF(ISNA(MATCH(513,Engine!$C$2:$C$1369,0)),"",INDEX('Compliance Database'!$A$2:$A$1369,MATCH(513,Engine!$C$2:$C$1369,0)))</f>
        <v/>
      </c>
      <c r="B526" s="8">
        <f>IF(ISNA(MATCH(513,Engine!$C$2:$C$1369,0)),"",INDEX('Compliance Database'!$B$2:$B$1369,MATCH(513,Engine!$C$2:$C$1369,0)))</f>
        <v/>
      </c>
      <c r="C526" s="8">
        <f>IF(ISNA(MATCH(513,Engine!$C$2:$C$1369,0)),"",INDEX('Compliance Database'!$C$2:$C$1369,MATCH(513,Engine!$C$2:$C$1369,0)))</f>
        <v/>
      </c>
      <c r="D526" s="9">
        <f>IF(ISNA(MATCH(513,Engine!$C$2:$C$1369,0)),"",INDEX('Compliance Database'!$D$2:$D$1369,MATCH(513,Engine!$C$2:$C$1369,0)))</f>
        <v/>
      </c>
      <c r="E526" s="8">
        <f>IF(ISNA(MATCH(513,Engine!$C$2:$C$1369,0)),"",INDEX('Compliance Database'!$E$2:$E$1369,MATCH(513,Engine!$C$2:$C$1369,0)))</f>
        <v/>
      </c>
      <c r="F526" s="8">
        <f>IF(ISNA(MATCH(513,Engine!$C$2:$C$1369,0)),"",INDEX('Compliance Database'!$F$2:$F$1369,MATCH(513,Engine!$C$2:$C$1369,0)))</f>
        <v/>
      </c>
      <c r="G526" s="8">
        <f>IF(ISNA(MATCH(513,Engine!$C$2:$C$1369,0)),"",INDEX('Compliance Database'!$G$2:$G$1369,MATCH(513,Engine!$C$2:$C$1369,0)))</f>
        <v/>
      </c>
      <c r="H526" s="9">
        <f>IF(ISNA(MATCH(513,Engine!$C$2:$C$1369,0)),"",INDEX('Compliance Database'!$H$2:$H$1369,MATCH(513,Engine!$C$2:$C$1369,0)))</f>
        <v/>
      </c>
      <c r="I526" s="9">
        <f>IF(ISNA(MATCH(513,Engine!$C$2:$C$1369,0)),"",INDEX('Compliance Database'!$I$2:$I$1369,MATCH(513,Engine!$C$2:$C$1369,0)))</f>
        <v/>
      </c>
      <c r="J526" s="8">
        <f>IF(ISNA(MATCH(513,Engine!$C$2:$C$1369,0)),"",INDEX('Compliance Database'!$J$2:$J$1369,MATCH(513,Engine!$C$2:$C$1369,0)))</f>
        <v/>
      </c>
      <c r="K526" s="9">
        <f>IF(ISNA(MATCH(513,Engine!$C$2:$C$1369,0)),"",INDEX('Compliance Database'!$K$2:$K$1369,MATCH(513,Engine!$C$2:$C$1369,0)))</f>
        <v/>
      </c>
      <c r="L526" s="9">
        <f>IF(ISNA(MATCH(513,Engine!$C$2:$C$1369,0)),"",INDEX('Compliance Database'!$L$2:$L$1369,MATCH(513,Engine!$C$2:$C$1369,0)))</f>
        <v/>
      </c>
      <c r="M526" s="9">
        <f>IF(ISNA(MATCH(513,Engine!$C$2:$C$1369,0)),"",INDEX('Compliance Database'!$M$2:$M$1369,MATCH(513,Engine!$C$2:$C$1369,0)))</f>
        <v/>
      </c>
      <c r="N526" s="9">
        <f>IF(ISNA(MATCH(513,Engine!$C$2:$C$1369,0)),"",INDEX('Compliance Database'!$N$2:$N$1369,MATCH(513,Engine!$C$2:$C$1369,0)))</f>
        <v/>
      </c>
      <c r="O526" s="8">
        <f>IF(ISNA(MATCH(513,Engine!$C$2:$C$1369,0)),"",HYPERLINK(INDEX('Compliance Database'!$O$2:$O$1369,MATCH(513,Engine!$C$2:$C$1369,0)),"Open PDF"))</f>
        <v/>
      </c>
    </row>
    <row r="527" ht="188" customHeight="1">
      <c r="A527" s="8">
        <f>IF(ISNA(MATCH(514,Engine!$C$2:$C$1369,0)),"",INDEX('Compliance Database'!$A$2:$A$1369,MATCH(514,Engine!$C$2:$C$1369,0)))</f>
        <v/>
      </c>
      <c r="B527" s="8">
        <f>IF(ISNA(MATCH(514,Engine!$C$2:$C$1369,0)),"",INDEX('Compliance Database'!$B$2:$B$1369,MATCH(514,Engine!$C$2:$C$1369,0)))</f>
        <v/>
      </c>
      <c r="C527" s="8">
        <f>IF(ISNA(MATCH(514,Engine!$C$2:$C$1369,0)),"",INDEX('Compliance Database'!$C$2:$C$1369,MATCH(514,Engine!$C$2:$C$1369,0)))</f>
        <v/>
      </c>
      <c r="D527" s="9">
        <f>IF(ISNA(MATCH(514,Engine!$C$2:$C$1369,0)),"",INDEX('Compliance Database'!$D$2:$D$1369,MATCH(514,Engine!$C$2:$C$1369,0)))</f>
        <v/>
      </c>
      <c r="E527" s="8">
        <f>IF(ISNA(MATCH(514,Engine!$C$2:$C$1369,0)),"",INDEX('Compliance Database'!$E$2:$E$1369,MATCH(514,Engine!$C$2:$C$1369,0)))</f>
        <v/>
      </c>
      <c r="F527" s="8">
        <f>IF(ISNA(MATCH(514,Engine!$C$2:$C$1369,0)),"",INDEX('Compliance Database'!$F$2:$F$1369,MATCH(514,Engine!$C$2:$C$1369,0)))</f>
        <v/>
      </c>
      <c r="G527" s="8">
        <f>IF(ISNA(MATCH(514,Engine!$C$2:$C$1369,0)),"",INDEX('Compliance Database'!$G$2:$G$1369,MATCH(514,Engine!$C$2:$C$1369,0)))</f>
        <v/>
      </c>
      <c r="H527" s="9">
        <f>IF(ISNA(MATCH(514,Engine!$C$2:$C$1369,0)),"",INDEX('Compliance Database'!$H$2:$H$1369,MATCH(514,Engine!$C$2:$C$1369,0)))</f>
        <v/>
      </c>
      <c r="I527" s="9">
        <f>IF(ISNA(MATCH(514,Engine!$C$2:$C$1369,0)),"",INDEX('Compliance Database'!$I$2:$I$1369,MATCH(514,Engine!$C$2:$C$1369,0)))</f>
        <v/>
      </c>
      <c r="J527" s="8">
        <f>IF(ISNA(MATCH(514,Engine!$C$2:$C$1369,0)),"",INDEX('Compliance Database'!$J$2:$J$1369,MATCH(514,Engine!$C$2:$C$1369,0)))</f>
        <v/>
      </c>
      <c r="K527" s="9">
        <f>IF(ISNA(MATCH(514,Engine!$C$2:$C$1369,0)),"",INDEX('Compliance Database'!$K$2:$K$1369,MATCH(514,Engine!$C$2:$C$1369,0)))</f>
        <v/>
      </c>
      <c r="L527" s="9">
        <f>IF(ISNA(MATCH(514,Engine!$C$2:$C$1369,0)),"",INDEX('Compliance Database'!$L$2:$L$1369,MATCH(514,Engine!$C$2:$C$1369,0)))</f>
        <v/>
      </c>
      <c r="M527" s="9">
        <f>IF(ISNA(MATCH(514,Engine!$C$2:$C$1369,0)),"",INDEX('Compliance Database'!$M$2:$M$1369,MATCH(514,Engine!$C$2:$C$1369,0)))</f>
        <v/>
      </c>
      <c r="N527" s="9">
        <f>IF(ISNA(MATCH(514,Engine!$C$2:$C$1369,0)),"",INDEX('Compliance Database'!$N$2:$N$1369,MATCH(514,Engine!$C$2:$C$1369,0)))</f>
        <v/>
      </c>
      <c r="O527" s="8">
        <f>IF(ISNA(MATCH(514,Engine!$C$2:$C$1369,0)),"",HYPERLINK(INDEX('Compliance Database'!$O$2:$O$1369,MATCH(514,Engine!$C$2:$C$1369,0)),"Open PDF"))</f>
        <v/>
      </c>
    </row>
    <row r="528" ht="188" customHeight="1">
      <c r="A528" s="8">
        <f>IF(ISNA(MATCH(515,Engine!$C$2:$C$1369,0)),"",INDEX('Compliance Database'!$A$2:$A$1369,MATCH(515,Engine!$C$2:$C$1369,0)))</f>
        <v/>
      </c>
      <c r="B528" s="8">
        <f>IF(ISNA(MATCH(515,Engine!$C$2:$C$1369,0)),"",INDEX('Compliance Database'!$B$2:$B$1369,MATCH(515,Engine!$C$2:$C$1369,0)))</f>
        <v/>
      </c>
      <c r="C528" s="8">
        <f>IF(ISNA(MATCH(515,Engine!$C$2:$C$1369,0)),"",INDEX('Compliance Database'!$C$2:$C$1369,MATCH(515,Engine!$C$2:$C$1369,0)))</f>
        <v/>
      </c>
      <c r="D528" s="9">
        <f>IF(ISNA(MATCH(515,Engine!$C$2:$C$1369,0)),"",INDEX('Compliance Database'!$D$2:$D$1369,MATCH(515,Engine!$C$2:$C$1369,0)))</f>
        <v/>
      </c>
      <c r="E528" s="8">
        <f>IF(ISNA(MATCH(515,Engine!$C$2:$C$1369,0)),"",INDEX('Compliance Database'!$E$2:$E$1369,MATCH(515,Engine!$C$2:$C$1369,0)))</f>
        <v/>
      </c>
      <c r="F528" s="8">
        <f>IF(ISNA(MATCH(515,Engine!$C$2:$C$1369,0)),"",INDEX('Compliance Database'!$F$2:$F$1369,MATCH(515,Engine!$C$2:$C$1369,0)))</f>
        <v/>
      </c>
      <c r="G528" s="8">
        <f>IF(ISNA(MATCH(515,Engine!$C$2:$C$1369,0)),"",INDEX('Compliance Database'!$G$2:$G$1369,MATCH(515,Engine!$C$2:$C$1369,0)))</f>
        <v/>
      </c>
      <c r="H528" s="9">
        <f>IF(ISNA(MATCH(515,Engine!$C$2:$C$1369,0)),"",INDEX('Compliance Database'!$H$2:$H$1369,MATCH(515,Engine!$C$2:$C$1369,0)))</f>
        <v/>
      </c>
      <c r="I528" s="9">
        <f>IF(ISNA(MATCH(515,Engine!$C$2:$C$1369,0)),"",INDEX('Compliance Database'!$I$2:$I$1369,MATCH(515,Engine!$C$2:$C$1369,0)))</f>
        <v/>
      </c>
      <c r="J528" s="8">
        <f>IF(ISNA(MATCH(515,Engine!$C$2:$C$1369,0)),"",INDEX('Compliance Database'!$J$2:$J$1369,MATCH(515,Engine!$C$2:$C$1369,0)))</f>
        <v/>
      </c>
      <c r="K528" s="9">
        <f>IF(ISNA(MATCH(515,Engine!$C$2:$C$1369,0)),"",INDEX('Compliance Database'!$K$2:$K$1369,MATCH(515,Engine!$C$2:$C$1369,0)))</f>
        <v/>
      </c>
      <c r="L528" s="9">
        <f>IF(ISNA(MATCH(515,Engine!$C$2:$C$1369,0)),"",INDEX('Compliance Database'!$L$2:$L$1369,MATCH(515,Engine!$C$2:$C$1369,0)))</f>
        <v/>
      </c>
      <c r="M528" s="9">
        <f>IF(ISNA(MATCH(515,Engine!$C$2:$C$1369,0)),"",INDEX('Compliance Database'!$M$2:$M$1369,MATCH(515,Engine!$C$2:$C$1369,0)))</f>
        <v/>
      </c>
      <c r="N528" s="9">
        <f>IF(ISNA(MATCH(515,Engine!$C$2:$C$1369,0)),"",INDEX('Compliance Database'!$N$2:$N$1369,MATCH(515,Engine!$C$2:$C$1369,0)))</f>
        <v/>
      </c>
      <c r="O528" s="8">
        <f>IF(ISNA(MATCH(515,Engine!$C$2:$C$1369,0)),"",HYPERLINK(INDEX('Compliance Database'!$O$2:$O$1369,MATCH(515,Engine!$C$2:$C$1369,0)),"Open PDF"))</f>
        <v/>
      </c>
    </row>
    <row r="529" ht="188" customHeight="1">
      <c r="A529" s="8">
        <f>IF(ISNA(MATCH(516,Engine!$C$2:$C$1369,0)),"",INDEX('Compliance Database'!$A$2:$A$1369,MATCH(516,Engine!$C$2:$C$1369,0)))</f>
        <v/>
      </c>
      <c r="B529" s="8">
        <f>IF(ISNA(MATCH(516,Engine!$C$2:$C$1369,0)),"",INDEX('Compliance Database'!$B$2:$B$1369,MATCH(516,Engine!$C$2:$C$1369,0)))</f>
        <v/>
      </c>
      <c r="C529" s="8">
        <f>IF(ISNA(MATCH(516,Engine!$C$2:$C$1369,0)),"",INDEX('Compliance Database'!$C$2:$C$1369,MATCH(516,Engine!$C$2:$C$1369,0)))</f>
        <v/>
      </c>
      <c r="D529" s="9">
        <f>IF(ISNA(MATCH(516,Engine!$C$2:$C$1369,0)),"",INDEX('Compliance Database'!$D$2:$D$1369,MATCH(516,Engine!$C$2:$C$1369,0)))</f>
        <v/>
      </c>
      <c r="E529" s="8">
        <f>IF(ISNA(MATCH(516,Engine!$C$2:$C$1369,0)),"",INDEX('Compliance Database'!$E$2:$E$1369,MATCH(516,Engine!$C$2:$C$1369,0)))</f>
        <v/>
      </c>
      <c r="F529" s="8">
        <f>IF(ISNA(MATCH(516,Engine!$C$2:$C$1369,0)),"",INDEX('Compliance Database'!$F$2:$F$1369,MATCH(516,Engine!$C$2:$C$1369,0)))</f>
        <v/>
      </c>
      <c r="G529" s="8">
        <f>IF(ISNA(MATCH(516,Engine!$C$2:$C$1369,0)),"",INDEX('Compliance Database'!$G$2:$G$1369,MATCH(516,Engine!$C$2:$C$1369,0)))</f>
        <v/>
      </c>
      <c r="H529" s="9">
        <f>IF(ISNA(MATCH(516,Engine!$C$2:$C$1369,0)),"",INDEX('Compliance Database'!$H$2:$H$1369,MATCH(516,Engine!$C$2:$C$1369,0)))</f>
        <v/>
      </c>
      <c r="I529" s="9">
        <f>IF(ISNA(MATCH(516,Engine!$C$2:$C$1369,0)),"",INDEX('Compliance Database'!$I$2:$I$1369,MATCH(516,Engine!$C$2:$C$1369,0)))</f>
        <v/>
      </c>
      <c r="J529" s="8">
        <f>IF(ISNA(MATCH(516,Engine!$C$2:$C$1369,0)),"",INDEX('Compliance Database'!$J$2:$J$1369,MATCH(516,Engine!$C$2:$C$1369,0)))</f>
        <v/>
      </c>
      <c r="K529" s="9">
        <f>IF(ISNA(MATCH(516,Engine!$C$2:$C$1369,0)),"",INDEX('Compliance Database'!$K$2:$K$1369,MATCH(516,Engine!$C$2:$C$1369,0)))</f>
        <v/>
      </c>
      <c r="L529" s="9">
        <f>IF(ISNA(MATCH(516,Engine!$C$2:$C$1369,0)),"",INDEX('Compliance Database'!$L$2:$L$1369,MATCH(516,Engine!$C$2:$C$1369,0)))</f>
        <v/>
      </c>
      <c r="M529" s="9">
        <f>IF(ISNA(MATCH(516,Engine!$C$2:$C$1369,0)),"",INDEX('Compliance Database'!$M$2:$M$1369,MATCH(516,Engine!$C$2:$C$1369,0)))</f>
        <v/>
      </c>
      <c r="N529" s="9">
        <f>IF(ISNA(MATCH(516,Engine!$C$2:$C$1369,0)),"",INDEX('Compliance Database'!$N$2:$N$1369,MATCH(516,Engine!$C$2:$C$1369,0)))</f>
        <v/>
      </c>
      <c r="O529" s="8">
        <f>IF(ISNA(MATCH(516,Engine!$C$2:$C$1369,0)),"",HYPERLINK(INDEX('Compliance Database'!$O$2:$O$1369,MATCH(516,Engine!$C$2:$C$1369,0)),"Open PDF"))</f>
        <v/>
      </c>
    </row>
    <row r="530" ht="188" customHeight="1">
      <c r="A530" s="8">
        <f>IF(ISNA(MATCH(517,Engine!$C$2:$C$1369,0)),"",INDEX('Compliance Database'!$A$2:$A$1369,MATCH(517,Engine!$C$2:$C$1369,0)))</f>
        <v/>
      </c>
      <c r="B530" s="8">
        <f>IF(ISNA(MATCH(517,Engine!$C$2:$C$1369,0)),"",INDEX('Compliance Database'!$B$2:$B$1369,MATCH(517,Engine!$C$2:$C$1369,0)))</f>
        <v/>
      </c>
      <c r="C530" s="8">
        <f>IF(ISNA(MATCH(517,Engine!$C$2:$C$1369,0)),"",INDEX('Compliance Database'!$C$2:$C$1369,MATCH(517,Engine!$C$2:$C$1369,0)))</f>
        <v/>
      </c>
      <c r="D530" s="9">
        <f>IF(ISNA(MATCH(517,Engine!$C$2:$C$1369,0)),"",INDEX('Compliance Database'!$D$2:$D$1369,MATCH(517,Engine!$C$2:$C$1369,0)))</f>
        <v/>
      </c>
      <c r="E530" s="8">
        <f>IF(ISNA(MATCH(517,Engine!$C$2:$C$1369,0)),"",INDEX('Compliance Database'!$E$2:$E$1369,MATCH(517,Engine!$C$2:$C$1369,0)))</f>
        <v/>
      </c>
      <c r="F530" s="8">
        <f>IF(ISNA(MATCH(517,Engine!$C$2:$C$1369,0)),"",INDEX('Compliance Database'!$F$2:$F$1369,MATCH(517,Engine!$C$2:$C$1369,0)))</f>
        <v/>
      </c>
      <c r="G530" s="8">
        <f>IF(ISNA(MATCH(517,Engine!$C$2:$C$1369,0)),"",INDEX('Compliance Database'!$G$2:$G$1369,MATCH(517,Engine!$C$2:$C$1369,0)))</f>
        <v/>
      </c>
      <c r="H530" s="9">
        <f>IF(ISNA(MATCH(517,Engine!$C$2:$C$1369,0)),"",INDEX('Compliance Database'!$H$2:$H$1369,MATCH(517,Engine!$C$2:$C$1369,0)))</f>
        <v/>
      </c>
      <c r="I530" s="9">
        <f>IF(ISNA(MATCH(517,Engine!$C$2:$C$1369,0)),"",INDEX('Compliance Database'!$I$2:$I$1369,MATCH(517,Engine!$C$2:$C$1369,0)))</f>
        <v/>
      </c>
      <c r="J530" s="8">
        <f>IF(ISNA(MATCH(517,Engine!$C$2:$C$1369,0)),"",INDEX('Compliance Database'!$J$2:$J$1369,MATCH(517,Engine!$C$2:$C$1369,0)))</f>
        <v/>
      </c>
      <c r="K530" s="9">
        <f>IF(ISNA(MATCH(517,Engine!$C$2:$C$1369,0)),"",INDEX('Compliance Database'!$K$2:$K$1369,MATCH(517,Engine!$C$2:$C$1369,0)))</f>
        <v/>
      </c>
      <c r="L530" s="9">
        <f>IF(ISNA(MATCH(517,Engine!$C$2:$C$1369,0)),"",INDEX('Compliance Database'!$L$2:$L$1369,MATCH(517,Engine!$C$2:$C$1369,0)))</f>
        <v/>
      </c>
      <c r="M530" s="9">
        <f>IF(ISNA(MATCH(517,Engine!$C$2:$C$1369,0)),"",INDEX('Compliance Database'!$M$2:$M$1369,MATCH(517,Engine!$C$2:$C$1369,0)))</f>
        <v/>
      </c>
      <c r="N530" s="9">
        <f>IF(ISNA(MATCH(517,Engine!$C$2:$C$1369,0)),"",INDEX('Compliance Database'!$N$2:$N$1369,MATCH(517,Engine!$C$2:$C$1369,0)))</f>
        <v/>
      </c>
      <c r="O530" s="8">
        <f>IF(ISNA(MATCH(517,Engine!$C$2:$C$1369,0)),"",HYPERLINK(INDEX('Compliance Database'!$O$2:$O$1369,MATCH(517,Engine!$C$2:$C$1369,0)),"Open PDF"))</f>
        <v/>
      </c>
    </row>
    <row r="531" ht="188" customHeight="1">
      <c r="A531" s="8">
        <f>IF(ISNA(MATCH(518,Engine!$C$2:$C$1369,0)),"",INDEX('Compliance Database'!$A$2:$A$1369,MATCH(518,Engine!$C$2:$C$1369,0)))</f>
        <v/>
      </c>
      <c r="B531" s="8">
        <f>IF(ISNA(MATCH(518,Engine!$C$2:$C$1369,0)),"",INDEX('Compliance Database'!$B$2:$B$1369,MATCH(518,Engine!$C$2:$C$1369,0)))</f>
        <v/>
      </c>
      <c r="C531" s="8">
        <f>IF(ISNA(MATCH(518,Engine!$C$2:$C$1369,0)),"",INDEX('Compliance Database'!$C$2:$C$1369,MATCH(518,Engine!$C$2:$C$1369,0)))</f>
        <v/>
      </c>
      <c r="D531" s="9">
        <f>IF(ISNA(MATCH(518,Engine!$C$2:$C$1369,0)),"",INDEX('Compliance Database'!$D$2:$D$1369,MATCH(518,Engine!$C$2:$C$1369,0)))</f>
        <v/>
      </c>
      <c r="E531" s="8">
        <f>IF(ISNA(MATCH(518,Engine!$C$2:$C$1369,0)),"",INDEX('Compliance Database'!$E$2:$E$1369,MATCH(518,Engine!$C$2:$C$1369,0)))</f>
        <v/>
      </c>
      <c r="F531" s="8">
        <f>IF(ISNA(MATCH(518,Engine!$C$2:$C$1369,0)),"",INDEX('Compliance Database'!$F$2:$F$1369,MATCH(518,Engine!$C$2:$C$1369,0)))</f>
        <v/>
      </c>
      <c r="G531" s="8">
        <f>IF(ISNA(MATCH(518,Engine!$C$2:$C$1369,0)),"",INDEX('Compliance Database'!$G$2:$G$1369,MATCH(518,Engine!$C$2:$C$1369,0)))</f>
        <v/>
      </c>
      <c r="H531" s="9">
        <f>IF(ISNA(MATCH(518,Engine!$C$2:$C$1369,0)),"",INDEX('Compliance Database'!$H$2:$H$1369,MATCH(518,Engine!$C$2:$C$1369,0)))</f>
        <v/>
      </c>
      <c r="I531" s="9">
        <f>IF(ISNA(MATCH(518,Engine!$C$2:$C$1369,0)),"",INDEX('Compliance Database'!$I$2:$I$1369,MATCH(518,Engine!$C$2:$C$1369,0)))</f>
        <v/>
      </c>
      <c r="J531" s="8">
        <f>IF(ISNA(MATCH(518,Engine!$C$2:$C$1369,0)),"",INDEX('Compliance Database'!$J$2:$J$1369,MATCH(518,Engine!$C$2:$C$1369,0)))</f>
        <v/>
      </c>
      <c r="K531" s="9">
        <f>IF(ISNA(MATCH(518,Engine!$C$2:$C$1369,0)),"",INDEX('Compliance Database'!$K$2:$K$1369,MATCH(518,Engine!$C$2:$C$1369,0)))</f>
        <v/>
      </c>
      <c r="L531" s="9">
        <f>IF(ISNA(MATCH(518,Engine!$C$2:$C$1369,0)),"",INDEX('Compliance Database'!$L$2:$L$1369,MATCH(518,Engine!$C$2:$C$1369,0)))</f>
        <v/>
      </c>
      <c r="M531" s="9">
        <f>IF(ISNA(MATCH(518,Engine!$C$2:$C$1369,0)),"",INDEX('Compliance Database'!$M$2:$M$1369,MATCH(518,Engine!$C$2:$C$1369,0)))</f>
        <v/>
      </c>
      <c r="N531" s="9">
        <f>IF(ISNA(MATCH(518,Engine!$C$2:$C$1369,0)),"",INDEX('Compliance Database'!$N$2:$N$1369,MATCH(518,Engine!$C$2:$C$1369,0)))</f>
        <v/>
      </c>
      <c r="O531" s="8">
        <f>IF(ISNA(MATCH(518,Engine!$C$2:$C$1369,0)),"",HYPERLINK(INDEX('Compliance Database'!$O$2:$O$1369,MATCH(518,Engine!$C$2:$C$1369,0)),"Open PDF"))</f>
        <v/>
      </c>
    </row>
    <row r="532" ht="188" customHeight="1">
      <c r="A532" s="8">
        <f>IF(ISNA(MATCH(519,Engine!$C$2:$C$1369,0)),"",INDEX('Compliance Database'!$A$2:$A$1369,MATCH(519,Engine!$C$2:$C$1369,0)))</f>
        <v/>
      </c>
      <c r="B532" s="8">
        <f>IF(ISNA(MATCH(519,Engine!$C$2:$C$1369,0)),"",INDEX('Compliance Database'!$B$2:$B$1369,MATCH(519,Engine!$C$2:$C$1369,0)))</f>
        <v/>
      </c>
      <c r="C532" s="8">
        <f>IF(ISNA(MATCH(519,Engine!$C$2:$C$1369,0)),"",INDEX('Compliance Database'!$C$2:$C$1369,MATCH(519,Engine!$C$2:$C$1369,0)))</f>
        <v/>
      </c>
      <c r="D532" s="9">
        <f>IF(ISNA(MATCH(519,Engine!$C$2:$C$1369,0)),"",INDEX('Compliance Database'!$D$2:$D$1369,MATCH(519,Engine!$C$2:$C$1369,0)))</f>
        <v/>
      </c>
      <c r="E532" s="8">
        <f>IF(ISNA(MATCH(519,Engine!$C$2:$C$1369,0)),"",INDEX('Compliance Database'!$E$2:$E$1369,MATCH(519,Engine!$C$2:$C$1369,0)))</f>
        <v/>
      </c>
      <c r="F532" s="8">
        <f>IF(ISNA(MATCH(519,Engine!$C$2:$C$1369,0)),"",INDEX('Compliance Database'!$F$2:$F$1369,MATCH(519,Engine!$C$2:$C$1369,0)))</f>
        <v/>
      </c>
      <c r="G532" s="8">
        <f>IF(ISNA(MATCH(519,Engine!$C$2:$C$1369,0)),"",INDEX('Compliance Database'!$G$2:$G$1369,MATCH(519,Engine!$C$2:$C$1369,0)))</f>
        <v/>
      </c>
      <c r="H532" s="9">
        <f>IF(ISNA(MATCH(519,Engine!$C$2:$C$1369,0)),"",INDEX('Compliance Database'!$H$2:$H$1369,MATCH(519,Engine!$C$2:$C$1369,0)))</f>
        <v/>
      </c>
      <c r="I532" s="9">
        <f>IF(ISNA(MATCH(519,Engine!$C$2:$C$1369,0)),"",INDEX('Compliance Database'!$I$2:$I$1369,MATCH(519,Engine!$C$2:$C$1369,0)))</f>
        <v/>
      </c>
      <c r="J532" s="8">
        <f>IF(ISNA(MATCH(519,Engine!$C$2:$C$1369,0)),"",INDEX('Compliance Database'!$J$2:$J$1369,MATCH(519,Engine!$C$2:$C$1369,0)))</f>
        <v/>
      </c>
      <c r="K532" s="9">
        <f>IF(ISNA(MATCH(519,Engine!$C$2:$C$1369,0)),"",INDEX('Compliance Database'!$K$2:$K$1369,MATCH(519,Engine!$C$2:$C$1369,0)))</f>
        <v/>
      </c>
      <c r="L532" s="9">
        <f>IF(ISNA(MATCH(519,Engine!$C$2:$C$1369,0)),"",INDEX('Compliance Database'!$L$2:$L$1369,MATCH(519,Engine!$C$2:$C$1369,0)))</f>
        <v/>
      </c>
      <c r="M532" s="9">
        <f>IF(ISNA(MATCH(519,Engine!$C$2:$C$1369,0)),"",INDEX('Compliance Database'!$M$2:$M$1369,MATCH(519,Engine!$C$2:$C$1369,0)))</f>
        <v/>
      </c>
      <c r="N532" s="9">
        <f>IF(ISNA(MATCH(519,Engine!$C$2:$C$1369,0)),"",INDEX('Compliance Database'!$N$2:$N$1369,MATCH(519,Engine!$C$2:$C$1369,0)))</f>
        <v/>
      </c>
      <c r="O532" s="8">
        <f>IF(ISNA(MATCH(519,Engine!$C$2:$C$1369,0)),"",HYPERLINK(INDEX('Compliance Database'!$O$2:$O$1369,MATCH(519,Engine!$C$2:$C$1369,0)),"Open PDF"))</f>
        <v/>
      </c>
    </row>
    <row r="533" ht="188" customHeight="1">
      <c r="A533" s="8">
        <f>IF(ISNA(MATCH(520,Engine!$C$2:$C$1369,0)),"",INDEX('Compliance Database'!$A$2:$A$1369,MATCH(520,Engine!$C$2:$C$1369,0)))</f>
        <v/>
      </c>
      <c r="B533" s="8">
        <f>IF(ISNA(MATCH(520,Engine!$C$2:$C$1369,0)),"",INDEX('Compliance Database'!$B$2:$B$1369,MATCH(520,Engine!$C$2:$C$1369,0)))</f>
        <v/>
      </c>
      <c r="C533" s="8">
        <f>IF(ISNA(MATCH(520,Engine!$C$2:$C$1369,0)),"",INDEX('Compliance Database'!$C$2:$C$1369,MATCH(520,Engine!$C$2:$C$1369,0)))</f>
        <v/>
      </c>
      <c r="D533" s="9">
        <f>IF(ISNA(MATCH(520,Engine!$C$2:$C$1369,0)),"",INDEX('Compliance Database'!$D$2:$D$1369,MATCH(520,Engine!$C$2:$C$1369,0)))</f>
        <v/>
      </c>
      <c r="E533" s="8">
        <f>IF(ISNA(MATCH(520,Engine!$C$2:$C$1369,0)),"",INDEX('Compliance Database'!$E$2:$E$1369,MATCH(520,Engine!$C$2:$C$1369,0)))</f>
        <v/>
      </c>
      <c r="F533" s="8">
        <f>IF(ISNA(MATCH(520,Engine!$C$2:$C$1369,0)),"",INDEX('Compliance Database'!$F$2:$F$1369,MATCH(520,Engine!$C$2:$C$1369,0)))</f>
        <v/>
      </c>
      <c r="G533" s="8">
        <f>IF(ISNA(MATCH(520,Engine!$C$2:$C$1369,0)),"",INDEX('Compliance Database'!$G$2:$G$1369,MATCH(520,Engine!$C$2:$C$1369,0)))</f>
        <v/>
      </c>
      <c r="H533" s="9">
        <f>IF(ISNA(MATCH(520,Engine!$C$2:$C$1369,0)),"",INDEX('Compliance Database'!$H$2:$H$1369,MATCH(520,Engine!$C$2:$C$1369,0)))</f>
        <v/>
      </c>
      <c r="I533" s="9">
        <f>IF(ISNA(MATCH(520,Engine!$C$2:$C$1369,0)),"",INDEX('Compliance Database'!$I$2:$I$1369,MATCH(520,Engine!$C$2:$C$1369,0)))</f>
        <v/>
      </c>
      <c r="J533" s="8">
        <f>IF(ISNA(MATCH(520,Engine!$C$2:$C$1369,0)),"",INDEX('Compliance Database'!$J$2:$J$1369,MATCH(520,Engine!$C$2:$C$1369,0)))</f>
        <v/>
      </c>
      <c r="K533" s="9">
        <f>IF(ISNA(MATCH(520,Engine!$C$2:$C$1369,0)),"",INDEX('Compliance Database'!$K$2:$K$1369,MATCH(520,Engine!$C$2:$C$1369,0)))</f>
        <v/>
      </c>
      <c r="L533" s="9">
        <f>IF(ISNA(MATCH(520,Engine!$C$2:$C$1369,0)),"",INDEX('Compliance Database'!$L$2:$L$1369,MATCH(520,Engine!$C$2:$C$1369,0)))</f>
        <v/>
      </c>
      <c r="M533" s="9">
        <f>IF(ISNA(MATCH(520,Engine!$C$2:$C$1369,0)),"",INDEX('Compliance Database'!$M$2:$M$1369,MATCH(520,Engine!$C$2:$C$1369,0)))</f>
        <v/>
      </c>
      <c r="N533" s="9">
        <f>IF(ISNA(MATCH(520,Engine!$C$2:$C$1369,0)),"",INDEX('Compliance Database'!$N$2:$N$1369,MATCH(520,Engine!$C$2:$C$1369,0)))</f>
        <v/>
      </c>
      <c r="O533" s="8">
        <f>IF(ISNA(MATCH(520,Engine!$C$2:$C$1369,0)),"",HYPERLINK(INDEX('Compliance Database'!$O$2:$O$1369,MATCH(520,Engine!$C$2:$C$1369,0)),"Open PDF"))</f>
        <v/>
      </c>
    </row>
    <row r="534" ht="188" customHeight="1">
      <c r="A534" s="8">
        <f>IF(ISNA(MATCH(521,Engine!$C$2:$C$1369,0)),"",INDEX('Compliance Database'!$A$2:$A$1369,MATCH(521,Engine!$C$2:$C$1369,0)))</f>
        <v/>
      </c>
      <c r="B534" s="8">
        <f>IF(ISNA(MATCH(521,Engine!$C$2:$C$1369,0)),"",INDEX('Compliance Database'!$B$2:$B$1369,MATCH(521,Engine!$C$2:$C$1369,0)))</f>
        <v/>
      </c>
      <c r="C534" s="8">
        <f>IF(ISNA(MATCH(521,Engine!$C$2:$C$1369,0)),"",INDEX('Compliance Database'!$C$2:$C$1369,MATCH(521,Engine!$C$2:$C$1369,0)))</f>
        <v/>
      </c>
      <c r="D534" s="9">
        <f>IF(ISNA(MATCH(521,Engine!$C$2:$C$1369,0)),"",INDEX('Compliance Database'!$D$2:$D$1369,MATCH(521,Engine!$C$2:$C$1369,0)))</f>
        <v/>
      </c>
      <c r="E534" s="8">
        <f>IF(ISNA(MATCH(521,Engine!$C$2:$C$1369,0)),"",INDEX('Compliance Database'!$E$2:$E$1369,MATCH(521,Engine!$C$2:$C$1369,0)))</f>
        <v/>
      </c>
      <c r="F534" s="8">
        <f>IF(ISNA(MATCH(521,Engine!$C$2:$C$1369,0)),"",INDEX('Compliance Database'!$F$2:$F$1369,MATCH(521,Engine!$C$2:$C$1369,0)))</f>
        <v/>
      </c>
      <c r="G534" s="8">
        <f>IF(ISNA(MATCH(521,Engine!$C$2:$C$1369,0)),"",INDEX('Compliance Database'!$G$2:$G$1369,MATCH(521,Engine!$C$2:$C$1369,0)))</f>
        <v/>
      </c>
      <c r="H534" s="9">
        <f>IF(ISNA(MATCH(521,Engine!$C$2:$C$1369,0)),"",INDEX('Compliance Database'!$H$2:$H$1369,MATCH(521,Engine!$C$2:$C$1369,0)))</f>
        <v/>
      </c>
      <c r="I534" s="9">
        <f>IF(ISNA(MATCH(521,Engine!$C$2:$C$1369,0)),"",INDEX('Compliance Database'!$I$2:$I$1369,MATCH(521,Engine!$C$2:$C$1369,0)))</f>
        <v/>
      </c>
      <c r="J534" s="8">
        <f>IF(ISNA(MATCH(521,Engine!$C$2:$C$1369,0)),"",INDEX('Compliance Database'!$J$2:$J$1369,MATCH(521,Engine!$C$2:$C$1369,0)))</f>
        <v/>
      </c>
      <c r="K534" s="9">
        <f>IF(ISNA(MATCH(521,Engine!$C$2:$C$1369,0)),"",INDEX('Compliance Database'!$K$2:$K$1369,MATCH(521,Engine!$C$2:$C$1369,0)))</f>
        <v/>
      </c>
      <c r="L534" s="9">
        <f>IF(ISNA(MATCH(521,Engine!$C$2:$C$1369,0)),"",INDEX('Compliance Database'!$L$2:$L$1369,MATCH(521,Engine!$C$2:$C$1369,0)))</f>
        <v/>
      </c>
      <c r="M534" s="9">
        <f>IF(ISNA(MATCH(521,Engine!$C$2:$C$1369,0)),"",INDEX('Compliance Database'!$M$2:$M$1369,MATCH(521,Engine!$C$2:$C$1369,0)))</f>
        <v/>
      </c>
      <c r="N534" s="9">
        <f>IF(ISNA(MATCH(521,Engine!$C$2:$C$1369,0)),"",INDEX('Compliance Database'!$N$2:$N$1369,MATCH(521,Engine!$C$2:$C$1369,0)))</f>
        <v/>
      </c>
      <c r="O534" s="8">
        <f>IF(ISNA(MATCH(521,Engine!$C$2:$C$1369,0)),"",HYPERLINK(INDEX('Compliance Database'!$O$2:$O$1369,MATCH(521,Engine!$C$2:$C$1369,0)),"Open PDF"))</f>
        <v/>
      </c>
    </row>
    <row r="535" ht="188" customHeight="1">
      <c r="A535" s="8">
        <f>IF(ISNA(MATCH(522,Engine!$C$2:$C$1369,0)),"",INDEX('Compliance Database'!$A$2:$A$1369,MATCH(522,Engine!$C$2:$C$1369,0)))</f>
        <v/>
      </c>
      <c r="B535" s="8">
        <f>IF(ISNA(MATCH(522,Engine!$C$2:$C$1369,0)),"",INDEX('Compliance Database'!$B$2:$B$1369,MATCH(522,Engine!$C$2:$C$1369,0)))</f>
        <v/>
      </c>
      <c r="C535" s="8">
        <f>IF(ISNA(MATCH(522,Engine!$C$2:$C$1369,0)),"",INDEX('Compliance Database'!$C$2:$C$1369,MATCH(522,Engine!$C$2:$C$1369,0)))</f>
        <v/>
      </c>
      <c r="D535" s="9">
        <f>IF(ISNA(MATCH(522,Engine!$C$2:$C$1369,0)),"",INDEX('Compliance Database'!$D$2:$D$1369,MATCH(522,Engine!$C$2:$C$1369,0)))</f>
        <v/>
      </c>
      <c r="E535" s="8">
        <f>IF(ISNA(MATCH(522,Engine!$C$2:$C$1369,0)),"",INDEX('Compliance Database'!$E$2:$E$1369,MATCH(522,Engine!$C$2:$C$1369,0)))</f>
        <v/>
      </c>
      <c r="F535" s="8">
        <f>IF(ISNA(MATCH(522,Engine!$C$2:$C$1369,0)),"",INDEX('Compliance Database'!$F$2:$F$1369,MATCH(522,Engine!$C$2:$C$1369,0)))</f>
        <v/>
      </c>
      <c r="G535" s="8">
        <f>IF(ISNA(MATCH(522,Engine!$C$2:$C$1369,0)),"",INDEX('Compliance Database'!$G$2:$G$1369,MATCH(522,Engine!$C$2:$C$1369,0)))</f>
        <v/>
      </c>
      <c r="H535" s="9">
        <f>IF(ISNA(MATCH(522,Engine!$C$2:$C$1369,0)),"",INDEX('Compliance Database'!$H$2:$H$1369,MATCH(522,Engine!$C$2:$C$1369,0)))</f>
        <v/>
      </c>
      <c r="I535" s="9">
        <f>IF(ISNA(MATCH(522,Engine!$C$2:$C$1369,0)),"",INDEX('Compliance Database'!$I$2:$I$1369,MATCH(522,Engine!$C$2:$C$1369,0)))</f>
        <v/>
      </c>
      <c r="J535" s="8">
        <f>IF(ISNA(MATCH(522,Engine!$C$2:$C$1369,0)),"",INDEX('Compliance Database'!$J$2:$J$1369,MATCH(522,Engine!$C$2:$C$1369,0)))</f>
        <v/>
      </c>
      <c r="K535" s="9">
        <f>IF(ISNA(MATCH(522,Engine!$C$2:$C$1369,0)),"",INDEX('Compliance Database'!$K$2:$K$1369,MATCH(522,Engine!$C$2:$C$1369,0)))</f>
        <v/>
      </c>
      <c r="L535" s="9">
        <f>IF(ISNA(MATCH(522,Engine!$C$2:$C$1369,0)),"",INDEX('Compliance Database'!$L$2:$L$1369,MATCH(522,Engine!$C$2:$C$1369,0)))</f>
        <v/>
      </c>
      <c r="M535" s="9">
        <f>IF(ISNA(MATCH(522,Engine!$C$2:$C$1369,0)),"",INDEX('Compliance Database'!$M$2:$M$1369,MATCH(522,Engine!$C$2:$C$1369,0)))</f>
        <v/>
      </c>
      <c r="N535" s="9">
        <f>IF(ISNA(MATCH(522,Engine!$C$2:$C$1369,0)),"",INDEX('Compliance Database'!$N$2:$N$1369,MATCH(522,Engine!$C$2:$C$1369,0)))</f>
        <v/>
      </c>
      <c r="O535" s="8">
        <f>IF(ISNA(MATCH(522,Engine!$C$2:$C$1369,0)),"",HYPERLINK(INDEX('Compliance Database'!$O$2:$O$1369,MATCH(522,Engine!$C$2:$C$1369,0)),"Open PDF"))</f>
        <v/>
      </c>
    </row>
    <row r="536" ht="188" customHeight="1">
      <c r="A536" s="8">
        <f>IF(ISNA(MATCH(523,Engine!$C$2:$C$1369,0)),"",INDEX('Compliance Database'!$A$2:$A$1369,MATCH(523,Engine!$C$2:$C$1369,0)))</f>
        <v/>
      </c>
      <c r="B536" s="8">
        <f>IF(ISNA(MATCH(523,Engine!$C$2:$C$1369,0)),"",INDEX('Compliance Database'!$B$2:$B$1369,MATCH(523,Engine!$C$2:$C$1369,0)))</f>
        <v/>
      </c>
      <c r="C536" s="8">
        <f>IF(ISNA(MATCH(523,Engine!$C$2:$C$1369,0)),"",INDEX('Compliance Database'!$C$2:$C$1369,MATCH(523,Engine!$C$2:$C$1369,0)))</f>
        <v/>
      </c>
      <c r="D536" s="9">
        <f>IF(ISNA(MATCH(523,Engine!$C$2:$C$1369,0)),"",INDEX('Compliance Database'!$D$2:$D$1369,MATCH(523,Engine!$C$2:$C$1369,0)))</f>
        <v/>
      </c>
      <c r="E536" s="8">
        <f>IF(ISNA(MATCH(523,Engine!$C$2:$C$1369,0)),"",INDEX('Compliance Database'!$E$2:$E$1369,MATCH(523,Engine!$C$2:$C$1369,0)))</f>
        <v/>
      </c>
      <c r="F536" s="8">
        <f>IF(ISNA(MATCH(523,Engine!$C$2:$C$1369,0)),"",INDEX('Compliance Database'!$F$2:$F$1369,MATCH(523,Engine!$C$2:$C$1369,0)))</f>
        <v/>
      </c>
      <c r="G536" s="8">
        <f>IF(ISNA(MATCH(523,Engine!$C$2:$C$1369,0)),"",INDEX('Compliance Database'!$G$2:$G$1369,MATCH(523,Engine!$C$2:$C$1369,0)))</f>
        <v/>
      </c>
      <c r="H536" s="9">
        <f>IF(ISNA(MATCH(523,Engine!$C$2:$C$1369,0)),"",INDEX('Compliance Database'!$H$2:$H$1369,MATCH(523,Engine!$C$2:$C$1369,0)))</f>
        <v/>
      </c>
      <c r="I536" s="9">
        <f>IF(ISNA(MATCH(523,Engine!$C$2:$C$1369,0)),"",INDEX('Compliance Database'!$I$2:$I$1369,MATCH(523,Engine!$C$2:$C$1369,0)))</f>
        <v/>
      </c>
      <c r="J536" s="8">
        <f>IF(ISNA(MATCH(523,Engine!$C$2:$C$1369,0)),"",INDEX('Compliance Database'!$J$2:$J$1369,MATCH(523,Engine!$C$2:$C$1369,0)))</f>
        <v/>
      </c>
      <c r="K536" s="9">
        <f>IF(ISNA(MATCH(523,Engine!$C$2:$C$1369,0)),"",INDEX('Compliance Database'!$K$2:$K$1369,MATCH(523,Engine!$C$2:$C$1369,0)))</f>
        <v/>
      </c>
      <c r="L536" s="9">
        <f>IF(ISNA(MATCH(523,Engine!$C$2:$C$1369,0)),"",INDEX('Compliance Database'!$L$2:$L$1369,MATCH(523,Engine!$C$2:$C$1369,0)))</f>
        <v/>
      </c>
      <c r="M536" s="9">
        <f>IF(ISNA(MATCH(523,Engine!$C$2:$C$1369,0)),"",INDEX('Compliance Database'!$M$2:$M$1369,MATCH(523,Engine!$C$2:$C$1369,0)))</f>
        <v/>
      </c>
      <c r="N536" s="9">
        <f>IF(ISNA(MATCH(523,Engine!$C$2:$C$1369,0)),"",INDEX('Compliance Database'!$N$2:$N$1369,MATCH(523,Engine!$C$2:$C$1369,0)))</f>
        <v/>
      </c>
      <c r="O536" s="8">
        <f>IF(ISNA(MATCH(523,Engine!$C$2:$C$1369,0)),"",HYPERLINK(INDEX('Compliance Database'!$O$2:$O$1369,MATCH(523,Engine!$C$2:$C$1369,0)),"Open PDF"))</f>
        <v/>
      </c>
    </row>
    <row r="537" ht="188" customHeight="1">
      <c r="A537" s="8">
        <f>IF(ISNA(MATCH(524,Engine!$C$2:$C$1369,0)),"",INDEX('Compliance Database'!$A$2:$A$1369,MATCH(524,Engine!$C$2:$C$1369,0)))</f>
        <v/>
      </c>
      <c r="B537" s="8">
        <f>IF(ISNA(MATCH(524,Engine!$C$2:$C$1369,0)),"",INDEX('Compliance Database'!$B$2:$B$1369,MATCH(524,Engine!$C$2:$C$1369,0)))</f>
        <v/>
      </c>
      <c r="C537" s="8">
        <f>IF(ISNA(MATCH(524,Engine!$C$2:$C$1369,0)),"",INDEX('Compliance Database'!$C$2:$C$1369,MATCH(524,Engine!$C$2:$C$1369,0)))</f>
        <v/>
      </c>
      <c r="D537" s="9">
        <f>IF(ISNA(MATCH(524,Engine!$C$2:$C$1369,0)),"",INDEX('Compliance Database'!$D$2:$D$1369,MATCH(524,Engine!$C$2:$C$1369,0)))</f>
        <v/>
      </c>
      <c r="E537" s="8">
        <f>IF(ISNA(MATCH(524,Engine!$C$2:$C$1369,0)),"",INDEX('Compliance Database'!$E$2:$E$1369,MATCH(524,Engine!$C$2:$C$1369,0)))</f>
        <v/>
      </c>
      <c r="F537" s="8">
        <f>IF(ISNA(MATCH(524,Engine!$C$2:$C$1369,0)),"",INDEX('Compliance Database'!$F$2:$F$1369,MATCH(524,Engine!$C$2:$C$1369,0)))</f>
        <v/>
      </c>
      <c r="G537" s="8">
        <f>IF(ISNA(MATCH(524,Engine!$C$2:$C$1369,0)),"",INDEX('Compliance Database'!$G$2:$G$1369,MATCH(524,Engine!$C$2:$C$1369,0)))</f>
        <v/>
      </c>
      <c r="H537" s="9">
        <f>IF(ISNA(MATCH(524,Engine!$C$2:$C$1369,0)),"",INDEX('Compliance Database'!$H$2:$H$1369,MATCH(524,Engine!$C$2:$C$1369,0)))</f>
        <v/>
      </c>
      <c r="I537" s="9">
        <f>IF(ISNA(MATCH(524,Engine!$C$2:$C$1369,0)),"",INDEX('Compliance Database'!$I$2:$I$1369,MATCH(524,Engine!$C$2:$C$1369,0)))</f>
        <v/>
      </c>
      <c r="J537" s="8">
        <f>IF(ISNA(MATCH(524,Engine!$C$2:$C$1369,0)),"",INDEX('Compliance Database'!$J$2:$J$1369,MATCH(524,Engine!$C$2:$C$1369,0)))</f>
        <v/>
      </c>
      <c r="K537" s="9">
        <f>IF(ISNA(MATCH(524,Engine!$C$2:$C$1369,0)),"",INDEX('Compliance Database'!$K$2:$K$1369,MATCH(524,Engine!$C$2:$C$1369,0)))</f>
        <v/>
      </c>
      <c r="L537" s="9">
        <f>IF(ISNA(MATCH(524,Engine!$C$2:$C$1369,0)),"",INDEX('Compliance Database'!$L$2:$L$1369,MATCH(524,Engine!$C$2:$C$1369,0)))</f>
        <v/>
      </c>
      <c r="M537" s="9">
        <f>IF(ISNA(MATCH(524,Engine!$C$2:$C$1369,0)),"",INDEX('Compliance Database'!$M$2:$M$1369,MATCH(524,Engine!$C$2:$C$1369,0)))</f>
        <v/>
      </c>
      <c r="N537" s="9">
        <f>IF(ISNA(MATCH(524,Engine!$C$2:$C$1369,0)),"",INDEX('Compliance Database'!$N$2:$N$1369,MATCH(524,Engine!$C$2:$C$1369,0)))</f>
        <v/>
      </c>
      <c r="O537" s="8">
        <f>IF(ISNA(MATCH(524,Engine!$C$2:$C$1369,0)),"",HYPERLINK(INDEX('Compliance Database'!$O$2:$O$1369,MATCH(524,Engine!$C$2:$C$1369,0)),"Open PDF"))</f>
        <v/>
      </c>
    </row>
    <row r="538" ht="188" customHeight="1">
      <c r="A538" s="8">
        <f>IF(ISNA(MATCH(525,Engine!$C$2:$C$1369,0)),"",INDEX('Compliance Database'!$A$2:$A$1369,MATCH(525,Engine!$C$2:$C$1369,0)))</f>
        <v/>
      </c>
      <c r="B538" s="8">
        <f>IF(ISNA(MATCH(525,Engine!$C$2:$C$1369,0)),"",INDEX('Compliance Database'!$B$2:$B$1369,MATCH(525,Engine!$C$2:$C$1369,0)))</f>
        <v/>
      </c>
      <c r="C538" s="8">
        <f>IF(ISNA(MATCH(525,Engine!$C$2:$C$1369,0)),"",INDEX('Compliance Database'!$C$2:$C$1369,MATCH(525,Engine!$C$2:$C$1369,0)))</f>
        <v/>
      </c>
      <c r="D538" s="9">
        <f>IF(ISNA(MATCH(525,Engine!$C$2:$C$1369,0)),"",INDEX('Compliance Database'!$D$2:$D$1369,MATCH(525,Engine!$C$2:$C$1369,0)))</f>
        <v/>
      </c>
      <c r="E538" s="8">
        <f>IF(ISNA(MATCH(525,Engine!$C$2:$C$1369,0)),"",INDEX('Compliance Database'!$E$2:$E$1369,MATCH(525,Engine!$C$2:$C$1369,0)))</f>
        <v/>
      </c>
      <c r="F538" s="8">
        <f>IF(ISNA(MATCH(525,Engine!$C$2:$C$1369,0)),"",INDEX('Compliance Database'!$F$2:$F$1369,MATCH(525,Engine!$C$2:$C$1369,0)))</f>
        <v/>
      </c>
      <c r="G538" s="8">
        <f>IF(ISNA(MATCH(525,Engine!$C$2:$C$1369,0)),"",INDEX('Compliance Database'!$G$2:$G$1369,MATCH(525,Engine!$C$2:$C$1369,0)))</f>
        <v/>
      </c>
      <c r="H538" s="9">
        <f>IF(ISNA(MATCH(525,Engine!$C$2:$C$1369,0)),"",INDEX('Compliance Database'!$H$2:$H$1369,MATCH(525,Engine!$C$2:$C$1369,0)))</f>
        <v/>
      </c>
      <c r="I538" s="9">
        <f>IF(ISNA(MATCH(525,Engine!$C$2:$C$1369,0)),"",INDEX('Compliance Database'!$I$2:$I$1369,MATCH(525,Engine!$C$2:$C$1369,0)))</f>
        <v/>
      </c>
      <c r="J538" s="8">
        <f>IF(ISNA(MATCH(525,Engine!$C$2:$C$1369,0)),"",INDEX('Compliance Database'!$J$2:$J$1369,MATCH(525,Engine!$C$2:$C$1369,0)))</f>
        <v/>
      </c>
      <c r="K538" s="9">
        <f>IF(ISNA(MATCH(525,Engine!$C$2:$C$1369,0)),"",INDEX('Compliance Database'!$K$2:$K$1369,MATCH(525,Engine!$C$2:$C$1369,0)))</f>
        <v/>
      </c>
      <c r="L538" s="9">
        <f>IF(ISNA(MATCH(525,Engine!$C$2:$C$1369,0)),"",INDEX('Compliance Database'!$L$2:$L$1369,MATCH(525,Engine!$C$2:$C$1369,0)))</f>
        <v/>
      </c>
      <c r="M538" s="9">
        <f>IF(ISNA(MATCH(525,Engine!$C$2:$C$1369,0)),"",INDEX('Compliance Database'!$M$2:$M$1369,MATCH(525,Engine!$C$2:$C$1369,0)))</f>
        <v/>
      </c>
      <c r="N538" s="9">
        <f>IF(ISNA(MATCH(525,Engine!$C$2:$C$1369,0)),"",INDEX('Compliance Database'!$N$2:$N$1369,MATCH(525,Engine!$C$2:$C$1369,0)))</f>
        <v/>
      </c>
      <c r="O538" s="8">
        <f>IF(ISNA(MATCH(525,Engine!$C$2:$C$1369,0)),"",HYPERLINK(INDEX('Compliance Database'!$O$2:$O$1369,MATCH(525,Engine!$C$2:$C$1369,0)),"Open PDF"))</f>
        <v/>
      </c>
    </row>
    <row r="539" ht="188" customHeight="1">
      <c r="A539" s="8">
        <f>IF(ISNA(MATCH(526,Engine!$C$2:$C$1369,0)),"",INDEX('Compliance Database'!$A$2:$A$1369,MATCH(526,Engine!$C$2:$C$1369,0)))</f>
        <v/>
      </c>
      <c r="B539" s="8">
        <f>IF(ISNA(MATCH(526,Engine!$C$2:$C$1369,0)),"",INDEX('Compliance Database'!$B$2:$B$1369,MATCH(526,Engine!$C$2:$C$1369,0)))</f>
        <v/>
      </c>
      <c r="C539" s="8">
        <f>IF(ISNA(MATCH(526,Engine!$C$2:$C$1369,0)),"",INDEX('Compliance Database'!$C$2:$C$1369,MATCH(526,Engine!$C$2:$C$1369,0)))</f>
        <v/>
      </c>
      <c r="D539" s="9">
        <f>IF(ISNA(MATCH(526,Engine!$C$2:$C$1369,0)),"",INDEX('Compliance Database'!$D$2:$D$1369,MATCH(526,Engine!$C$2:$C$1369,0)))</f>
        <v/>
      </c>
      <c r="E539" s="8">
        <f>IF(ISNA(MATCH(526,Engine!$C$2:$C$1369,0)),"",INDEX('Compliance Database'!$E$2:$E$1369,MATCH(526,Engine!$C$2:$C$1369,0)))</f>
        <v/>
      </c>
      <c r="F539" s="8">
        <f>IF(ISNA(MATCH(526,Engine!$C$2:$C$1369,0)),"",INDEX('Compliance Database'!$F$2:$F$1369,MATCH(526,Engine!$C$2:$C$1369,0)))</f>
        <v/>
      </c>
      <c r="G539" s="8">
        <f>IF(ISNA(MATCH(526,Engine!$C$2:$C$1369,0)),"",INDEX('Compliance Database'!$G$2:$G$1369,MATCH(526,Engine!$C$2:$C$1369,0)))</f>
        <v/>
      </c>
      <c r="H539" s="9">
        <f>IF(ISNA(MATCH(526,Engine!$C$2:$C$1369,0)),"",INDEX('Compliance Database'!$H$2:$H$1369,MATCH(526,Engine!$C$2:$C$1369,0)))</f>
        <v/>
      </c>
      <c r="I539" s="9">
        <f>IF(ISNA(MATCH(526,Engine!$C$2:$C$1369,0)),"",INDEX('Compliance Database'!$I$2:$I$1369,MATCH(526,Engine!$C$2:$C$1369,0)))</f>
        <v/>
      </c>
      <c r="J539" s="8">
        <f>IF(ISNA(MATCH(526,Engine!$C$2:$C$1369,0)),"",INDEX('Compliance Database'!$J$2:$J$1369,MATCH(526,Engine!$C$2:$C$1369,0)))</f>
        <v/>
      </c>
      <c r="K539" s="9">
        <f>IF(ISNA(MATCH(526,Engine!$C$2:$C$1369,0)),"",INDEX('Compliance Database'!$K$2:$K$1369,MATCH(526,Engine!$C$2:$C$1369,0)))</f>
        <v/>
      </c>
      <c r="L539" s="9">
        <f>IF(ISNA(MATCH(526,Engine!$C$2:$C$1369,0)),"",INDEX('Compliance Database'!$L$2:$L$1369,MATCH(526,Engine!$C$2:$C$1369,0)))</f>
        <v/>
      </c>
      <c r="M539" s="9">
        <f>IF(ISNA(MATCH(526,Engine!$C$2:$C$1369,0)),"",INDEX('Compliance Database'!$M$2:$M$1369,MATCH(526,Engine!$C$2:$C$1369,0)))</f>
        <v/>
      </c>
      <c r="N539" s="9">
        <f>IF(ISNA(MATCH(526,Engine!$C$2:$C$1369,0)),"",INDEX('Compliance Database'!$N$2:$N$1369,MATCH(526,Engine!$C$2:$C$1369,0)))</f>
        <v/>
      </c>
      <c r="O539" s="8">
        <f>IF(ISNA(MATCH(526,Engine!$C$2:$C$1369,0)),"",HYPERLINK(INDEX('Compliance Database'!$O$2:$O$1369,MATCH(526,Engine!$C$2:$C$1369,0)),"Open PDF"))</f>
        <v/>
      </c>
    </row>
    <row r="540" ht="188" customHeight="1">
      <c r="A540" s="8">
        <f>IF(ISNA(MATCH(527,Engine!$C$2:$C$1369,0)),"",INDEX('Compliance Database'!$A$2:$A$1369,MATCH(527,Engine!$C$2:$C$1369,0)))</f>
        <v/>
      </c>
      <c r="B540" s="8">
        <f>IF(ISNA(MATCH(527,Engine!$C$2:$C$1369,0)),"",INDEX('Compliance Database'!$B$2:$B$1369,MATCH(527,Engine!$C$2:$C$1369,0)))</f>
        <v/>
      </c>
      <c r="C540" s="8">
        <f>IF(ISNA(MATCH(527,Engine!$C$2:$C$1369,0)),"",INDEX('Compliance Database'!$C$2:$C$1369,MATCH(527,Engine!$C$2:$C$1369,0)))</f>
        <v/>
      </c>
      <c r="D540" s="9">
        <f>IF(ISNA(MATCH(527,Engine!$C$2:$C$1369,0)),"",INDEX('Compliance Database'!$D$2:$D$1369,MATCH(527,Engine!$C$2:$C$1369,0)))</f>
        <v/>
      </c>
      <c r="E540" s="8">
        <f>IF(ISNA(MATCH(527,Engine!$C$2:$C$1369,0)),"",INDEX('Compliance Database'!$E$2:$E$1369,MATCH(527,Engine!$C$2:$C$1369,0)))</f>
        <v/>
      </c>
      <c r="F540" s="8">
        <f>IF(ISNA(MATCH(527,Engine!$C$2:$C$1369,0)),"",INDEX('Compliance Database'!$F$2:$F$1369,MATCH(527,Engine!$C$2:$C$1369,0)))</f>
        <v/>
      </c>
      <c r="G540" s="8">
        <f>IF(ISNA(MATCH(527,Engine!$C$2:$C$1369,0)),"",INDEX('Compliance Database'!$G$2:$G$1369,MATCH(527,Engine!$C$2:$C$1369,0)))</f>
        <v/>
      </c>
      <c r="H540" s="9">
        <f>IF(ISNA(MATCH(527,Engine!$C$2:$C$1369,0)),"",INDEX('Compliance Database'!$H$2:$H$1369,MATCH(527,Engine!$C$2:$C$1369,0)))</f>
        <v/>
      </c>
      <c r="I540" s="9">
        <f>IF(ISNA(MATCH(527,Engine!$C$2:$C$1369,0)),"",INDEX('Compliance Database'!$I$2:$I$1369,MATCH(527,Engine!$C$2:$C$1369,0)))</f>
        <v/>
      </c>
      <c r="J540" s="8">
        <f>IF(ISNA(MATCH(527,Engine!$C$2:$C$1369,0)),"",INDEX('Compliance Database'!$J$2:$J$1369,MATCH(527,Engine!$C$2:$C$1369,0)))</f>
        <v/>
      </c>
      <c r="K540" s="9">
        <f>IF(ISNA(MATCH(527,Engine!$C$2:$C$1369,0)),"",INDEX('Compliance Database'!$K$2:$K$1369,MATCH(527,Engine!$C$2:$C$1369,0)))</f>
        <v/>
      </c>
      <c r="L540" s="9">
        <f>IF(ISNA(MATCH(527,Engine!$C$2:$C$1369,0)),"",INDEX('Compliance Database'!$L$2:$L$1369,MATCH(527,Engine!$C$2:$C$1369,0)))</f>
        <v/>
      </c>
      <c r="M540" s="9">
        <f>IF(ISNA(MATCH(527,Engine!$C$2:$C$1369,0)),"",INDEX('Compliance Database'!$M$2:$M$1369,MATCH(527,Engine!$C$2:$C$1369,0)))</f>
        <v/>
      </c>
      <c r="N540" s="9">
        <f>IF(ISNA(MATCH(527,Engine!$C$2:$C$1369,0)),"",INDEX('Compliance Database'!$N$2:$N$1369,MATCH(527,Engine!$C$2:$C$1369,0)))</f>
        <v/>
      </c>
      <c r="O540" s="8">
        <f>IF(ISNA(MATCH(527,Engine!$C$2:$C$1369,0)),"",HYPERLINK(INDEX('Compliance Database'!$O$2:$O$1369,MATCH(527,Engine!$C$2:$C$1369,0)),"Open PDF"))</f>
        <v/>
      </c>
    </row>
    <row r="541" ht="188" customHeight="1">
      <c r="A541" s="8">
        <f>IF(ISNA(MATCH(528,Engine!$C$2:$C$1369,0)),"",INDEX('Compliance Database'!$A$2:$A$1369,MATCH(528,Engine!$C$2:$C$1369,0)))</f>
        <v/>
      </c>
      <c r="B541" s="8">
        <f>IF(ISNA(MATCH(528,Engine!$C$2:$C$1369,0)),"",INDEX('Compliance Database'!$B$2:$B$1369,MATCH(528,Engine!$C$2:$C$1369,0)))</f>
        <v/>
      </c>
      <c r="C541" s="8">
        <f>IF(ISNA(MATCH(528,Engine!$C$2:$C$1369,0)),"",INDEX('Compliance Database'!$C$2:$C$1369,MATCH(528,Engine!$C$2:$C$1369,0)))</f>
        <v/>
      </c>
      <c r="D541" s="9">
        <f>IF(ISNA(MATCH(528,Engine!$C$2:$C$1369,0)),"",INDEX('Compliance Database'!$D$2:$D$1369,MATCH(528,Engine!$C$2:$C$1369,0)))</f>
        <v/>
      </c>
      <c r="E541" s="8">
        <f>IF(ISNA(MATCH(528,Engine!$C$2:$C$1369,0)),"",INDEX('Compliance Database'!$E$2:$E$1369,MATCH(528,Engine!$C$2:$C$1369,0)))</f>
        <v/>
      </c>
      <c r="F541" s="8">
        <f>IF(ISNA(MATCH(528,Engine!$C$2:$C$1369,0)),"",INDEX('Compliance Database'!$F$2:$F$1369,MATCH(528,Engine!$C$2:$C$1369,0)))</f>
        <v/>
      </c>
      <c r="G541" s="8">
        <f>IF(ISNA(MATCH(528,Engine!$C$2:$C$1369,0)),"",INDEX('Compliance Database'!$G$2:$G$1369,MATCH(528,Engine!$C$2:$C$1369,0)))</f>
        <v/>
      </c>
      <c r="H541" s="9">
        <f>IF(ISNA(MATCH(528,Engine!$C$2:$C$1369,0)),"",INDEX('Compliance Database'!$H$2:$H$1369,MATCH(528,Engine!$C$2:$C$1369,0)))</f>
        <v/>
      </c>
      <c r="I541" s="9">
        <f>IF(ISNA(MATCH(528,Engine!$C$2:$C$1369,0)),"",INDEX('Compliance Database'!$I$2:$I$1369,MATCH(528,Engine!$C$2:$C$1369,0)))</f>
        <v/>
      </c>
      <c r="J541" s="8">
        <f>IF(ISNA(MATCH(528,Engine!$C$2:$C$1369,0)),"",INDEX('Compliance Database'!$J$2:$J$1369,MATCH(528,Engine!$C$2:$C$1369,0)))</f>
        <v/>
      </c>
      <c r="K541" s="9">
        <f>IF(ISNA(MATCH(528,Engine!$C$2:$C$1369,0)),"",INDEX('Compliance Database'!$K$2:$K$1369,MATCH(528,Engine!$C$2:$C$1369,0)))</f>
        <v/>
      </c>
      <c r="L541" s="9">
        <f>IF(ISNA(MATCH(528,Engine!$C$2:$C$1369,0)),"",INDEX('Compliance Database'!$L$2:$L$1369,MATCH(528,Engine!$C$2:$C$1369,0)))</f>
        <v/>
      </c>
      <c r="M541" s="9">
        <f>IF(ISNA(MATCH(528,Engine!$C$2:$C$1369,0)),"",INDEX('Compliance Database'!$M$2:$M$1369,MATCH(528,Engine!$C$2:$C$1369,0)))</f>
        <v/>
      </c>
      <c r="N541" s="9">
        <f>IF(ISNA(MATCH(528,Engine!$C$2:$C$1369,0)),"",INDEX('Compliance Database'!$N$2:$N$1369,MATCH(528,Engine!$C$2:$C$1369,0)))</f>
        <v/>
      </c>
      <c r="O541" s="8">
        <f>IF(ISNA(MATCH(528,Engine!$C$2:$C$1369,0)),"",HYPERLINK(INDEX('Compliance Database'!$O$2:$O$1369,MATCH(528,Engine!$C$2:$C$1369,0)),"Open PDF"))</f>
        <v/>
      </c>
    </row>
    <row r="542" ht="188" customHeight="1">
      <c r="A542" s="8">
        <f>IF(ISNA(MATCH(529,Engine!$C$2:$C$1369,0)),"",INDEX('Compliance Database'!$A$2:$A$1369,MATCH(529,Engine!$C$2:$C$1369,0)))</f>
        <v/>
      </c>
      <c r="B542" s="8">
        <f>IF(ISNA(MATCH(529,Engine!$C$2:$C$1369,0)),"",INDEX('Compliance Database'!$B$2:$B$1369,MATCH(529,Engine!$C$2:$C$1369,0)))</f>
        <v/>
      </c>
      <c r="C542" s="8">
        <f>IF(ISNA(MATCH(529,Engine!$C$2:$C$1369,0)),"",INDEX('Compliance Database'!$C$2:$C$1369,MATCH(529,Engine!$C$2:$C$1369,0)))</f>
        <v/>
      </c>
      <c r="D542" s="9">
        <f>IF(ISNA(MATCH(529,Engine!$C$2:$C$1369,0)),"",INDEX('Compliance Database'!$D$2:$D$1369,MATCH(529,Engine!$C$2:$C$1369,0)))</f>
        <v/>
      </c>
      <c r="E542" s="8">
        <f>IF(ISNA(MATCH(529,Engine!$C$2:$C$1369,0)),"",INDEX('Compliance Database'!$E$2:$E$1369,MATCH(529,Engine!$C$2:$C$1369,0)))</f>
        <v/>
      </c>
      <c r="F542" s="8">
        <f>IF(ISNA(MATCH(529,Engine!$C$2:$C$1369,0)),"",INDEX('Compliance Database'!$F$2:$F$1369,MATCH(529,Engine!$C$2:$C$1369,0)))</f>
        <v/>
      </c>
      <c r="G542" s="8">
        <f>IF(ISNA(MATCH(529,Engine!$C$2:$C$1369,0)),"",INDEX('Compliance Database'!$G$2:$G$1369,MATCH(529,Engine!$C$2:$C$1369,0)))</f>
        <v/>
      </c>
      <c r="H542" s="9">
        <f>IF(ISNA(MATCH(529,Engine!$C$2:$C$1369,0)),"",INDEX('Compliance Database'!$H$2:$H$1369,MATCH(529,Engine!$C$2:$C$1369,0)))</f>
        <v/>
      </c>
      <c r="I542" s="9">
        <f>IF(ISNA(MATCH(529,Engine!$C$2:$C$1369,0)),"",INDEX('Compliance Database'!$I$2:$I$1369,MATCH(529,Engine!$C$2:$C$1369,0)))</f>
        <v/>
      </c>
      <c r="J542" s="8">
        <f>IF(ISNA(MATCH(529,Engine!$C$2:$C$1369,0)),"",INDEX('Compliance Database'!$J$2:$J$1369,MATCH(529,Engine!$C$2:$C$1369,0)))</f>
        <v/>
      </c>
      <c r="K542" s="9">
        <f>IF(ISNA(MATCH(529,Engine!$C$2:$C$1369,0)),"",INDEX('Compliance Database'!$K$2:$K$1369,MATCH(529,Engine!$C$2:$C$1369,0)))</f>
        <v/>
      </c>
      <c r="L542" s="9">
        <f>IF(ISNA(MATCH(529,Engine!$C$2:$C$1369,0)),"",INDEX('Compliance Database'!$L$2:$L$1369,MATCH(529,Engine!$C$2:$C$1369,0)))</f>
        <v/>
      </c>
      <c r="M542" s="9">
        <f>IF(ISNA(MATCH(529,Engine!$C$2:$C$1369,0)),"",INDEX('Compliance Database'!$M$2:$M$1369,MATCH(529,Engine!$C$2:$C$1369,0)))</f>
        <v/>
      </c>
      <c r="N542" s="9">
        <f>IF(ISNA(MATCH(529,Engine!$C$2:$C$1369,0)),"",INDEX('Compliance Database'!$N$2:$N$1369,MATCH(529,Engine!$C$2:$C$1369,0)))</f>
        <v/>
      </c>
      <c r="O542" s="8">
        <f>IF(ISNA(MATCH(529,Engine!$C$2:$C$1369,0)),"",HYPERLINK(INDEX('Compliance Database'!$O$2:$O$1369,MATCH(529,Engine!$C$2:$C$1369,0)),"Open PDF"))</f>
        <v/>
      </c>
    </row>
    <row r="543" ht="188" customHeight="1">
      <c r="A543" s="8">
        <f>IF(ISNA(MATCH(530,Engine!$C$2:$C$1369,0)),"",INDEX('Compliance Database'!$A$2:$A$1369,MATCH(530,Engine!$C$2:$C$1369,0)))</f>
        <v/>
      </c>
      <c r="B543" s="8">
        <f>IF(ISNA(MATCH(530,Engine!$C$2:$C$1369,0)),"",INDEX('Compliance Database'!$B$2:$B$1369,MATCH(530,Engine!$C$2:$C$1369,0)))</f>
        <v/>
      </c>
      <c r="C543" s="8">
        <f>IF(ISNA(MATCH(530,Engine!$C$2:$C$1369,0)),"",INDEX('Compliance Database'!$C$2:$C$1369,MATCH(530,Engine!$C$2:$C$1369,0)))</f>
        <v/>
      </c>
      <c r="D543" s="9">
        <f>IF(ISNA(MATCH(530,Engine!$C$2:$C$1369,0)),"",INDEX('Compliance Database'!$D$2:$D$1369,MATCH(530,Engine!$C$2:$C$1369,0)))</f>
        <v/>
      </c>
      <c r="E543" s="8">
        <f>IF(ISNA(MATCH(530,Engine!$C$2:$C$1369,0)),"",INDEX('Compliance Database'!$E$2:$E$1369,MATCH(530,Engine!$C$2:$C$1369,0)))</f>
        <v/>
      </c>
      <c r="F543" s="8">
        <f>IF(ISNA(MATCH(530,Engine!$C$2:$C$1369,0)),"",INDEX('Compliance Database'!$F$2:$F$1369,MATCH(530,Engine!$C$2:$C$1369,0)))</f>
        <v/>
      </c>
      <c r="G543" s="8">
        <f>IF(ISNA(MATCH(530,Engine!$C$2:$C$1369,0)),"",INDEX('Compliance Database'!$G$2:$G$1369,MATCH(530,Engine!$C$2:$C$1369,0)))</f>
        <v/>
      </c>
      <c r="H543" s="9">
        <f>IF(ISNA(MATCH(530,Engine!$C$2:$C$1369,0)),"",INDEX('Compliance Database'!$H$2:$H$1369,MATCH(530,Engine!$C$2:$C$1369,0)))</f>
        <v/>
      </c>
      <c r="I543" s="9">
        <f>IF(ISNA(MATCH(530,Engine!$C$2:$C$1369,0)),"",INDEX('Compliance Database'!$I$2:$I$1369,MATCH(530,Engine!$C$2:$C$1369,0)))</f>
        <v/>
      </c>
      <c r="J543" s="8">
        <f>IF(ISNA(MATCH(530,Engine!$C$2:$C$1369,0)),"",INDEX('Compliance Database'!$J$2:$J$1369,MATCH(530,Engine!$C$2:$C$1369,0)))</f>
        <v/>
      </c>
      <c r="K543" s="9">
        <f>IF(ISNA(MATCH(530,Engine!$C$2:$C$1369,0)),"",INDEX('Compliance Database'!$K$2:$K$1369,MATCH(530,Engine!$C$2:$C$1369,0)))</f>
        <v/>
      </c>
      <c r="L543" s="9">
        <f>IF(ISNA(MATCH(530,Engine!$C$2:$C$1369,0)),"",INDEX('Compliance Database'!$L$2:$L$1369,MATCH(530,Engine!$C$2:$C$1369,0)))</f>
        <v/>
      </c>
      <c r="M543" s="9">
        <f>IF(ISNA(MATCH(530,Engine!$C$2:$C$1369,0)),"",INDEX('Compliance Database'!$M$2:$M$1369,MATCH(530,Engine!$C$2:$C$1369,0)))</f>
        <v/>
      </c>
      <c r="N543" s="9">
        <f>IF(ISNA(MATCH(530,Engine!$C$2:$C$1369,0)),"",INDEX('Compliance Database'!$N$2:$N$1369,MATCH(530,Engine!$C$2:$C$1369,0)))</f>
        <v/>
      </c>
      <c r="O543" s="8">
        <f>IF(ISNA(MATCH(530,Engine!$C$2:$C$1369,0)),"",HYPERLINK(INDEX('Compliance Database'!$O$2:$O$1369,MATCH(530,Engine!$C$2:$C$1369,0)),"Open PDF"))</f>
        <v/>
      </c>
    </row>
    <row r="544" ht="188" customHeight="1">
      <c r="A544" s="8">
        <f>IF(ISNA(MATCH(531,Engine!$C$2:$C$1369,0)),"",INDEX('Compliance Database'!$A$2:$A$1369,MATCH(531,Engine!$C$2:$C$1369,0)))</f>
        <v/>
      </c>
      <c r="B544" s="8">
        <f>IF(ISNA(MATCH(531,Engine!$C$2:$C$1369,0)),"",INDEX('Compliance Database'!$B$2:$B$1369,MATCH(531,Engine!$C$2:$C$1369,0)))</f>
        <v/>
      </c>
      <c r="C544" s="8">
        <f>IF(ISNA(MATCH(531,Engine!$C$2:$C$1369,0)),"",INDEX('Compliance Database'!$C$2:$C$1369,MATCH(531,Engine!$C$2:$C$1369,0)))</f>
        <v/>
      </c>
      <c r="D544" s="9">
        <f>IF(ISNA(MATCH(531,Engine!$C$2:$C$1369,0)),"",INDEX('Compliance Database'!$D$2:$D$1369,MATCH(531,Engine!$C$2:$C$1369,0)))</f>
        <v/>
      </c>
      <c r="E544" s="8">
        <f>IF(ISNA(MATCH(531,Engine!$C$2:$C$1369,0)),"",INDEX('Compliance Database'!$E$2:$E$1369,MATCH(531,Engine!$C$2:$C$1369,0)))</f>
        <v/>
      </c>
      <c r="F544" s="8">
        <f>IF(ISNA(MATCH(531,Engine!$C$2:$C$1369,0)),"",INDEX('Compliance Database'!$F$2:$F$1369,MATCH(531,Engine!$C$2:$C$1369,0)))</f>
        <v/>
      </c>
      <c r="G544" s="8">
        <f>IF(ISNA(MATCH(531,Engine!$C$2:$C$1369,0)),"",INDEX('Compliance Database'!$G$2:$G$1369,MATCH(531,Engine!$C$2:$C$1369,0)))</f>
        <v/>
      </c>
      <c r="H544" s="9">
        <f>IF(ISNA(MATCH(531,Engine!$C$2:$C$1369,0)),"",INDEX('Compliance Database'!$H$2:$H$1369,MATCH(531,Engine!$C$2:$C$1369,0)))</f>
        <v/>
      </c>
      <c r="I544" s="9">
        <f>IF(ISNA(MATCH(531,Engine!$C$2:$C$1369,0)),"",INDEX('Compliance Database'!$I$2:$I$1369,MATCH(531,Engine!$C$2:$C$1369,0)))</f>
        <v/>
      </c>
      <c r="J544" s="8">
        <f>IF(ISNA(MATCH(531,Engine!$C$2:$C$1369,0)),"",INDEX('Compliance Database'!$J$2:$J$1369,MATCH(531,Engine!$C$2:$C$1369,0)))</f>
        <v/>
      </c>
      <c r="K544" s="9">
        <f>IF(ISNA(MATCH(531,Engine!$C$2:$C$1369,0)),"",INDEX('Compliance Database'!$K$2:$K$1369,MATCH(531,Engine!$C$2:$C$1369,0)))</f>
        <v/>
      </c>
      <c r="L544" s="9">
        <f>IF(ISNA(MATCH(531,Engine!$C$2:$C$1369,0)),"",INDEX('Compliance Database'!$L$2:$L$1369,MATCH(531,Engine!$C$2:$C$1369,0)))</f>
        <v/>
      </c>
      <c r="M544" s="9">
        <f>IF(ISNA(MATCH(531,Engine!$C$2:$C$1369,0)),"",INDEX('Compliance Database'!$M$2:$M$1369,MATCH(531,Engine!$C$2:$C$1369,0)))</f>
        <v/>
      </c>
      <c r="N544" s="9">
        <f>IF(ISNA(MATCH(531,Engine!$C$2:$C$1369,0)),"",INDEX('Compliance Database'!$N$2:$N$1369,MATCH(531,Engine!$C$2:$C$1369,0)))</f>
        <v/>
      </c>
      <c r="O544" s="8">
        <f>IF(ISNA(MATCH(531,Engine!$C$2:$C$1369,0)),"",HYPERLINK(INDEX('Compliance Database'!$O$2:$O$1369,MATCH(531,Engine!$C$2:$C$1369,0)),"Open PDF"))</f>
        <v/>
      </c>
    </row>
    <row r="545" ht="188" customHeight="1">
      <c r="A545" s="8">
        <f>IF(ISNA(MATCH(532,Engine!$C$2:$C$1369,0)),"",INDEX('Compliance Database'!$A$2:$A$1369,MATCH(532,Engine!$C$2:$C$1369,0)))</f>
        <v/>
      </c>
      <c r="B545" s="8">
        <f>IF(ISNA(MATCH(532,Engine!$C$2:$C$1369,0)),"",INDEX('Compliance Database'!$B$2:$B$1369,MATCH(532,Engine!$C$2:$C$1369,0)))</f>
        <v/>
      </c>
      <c r="C545" s="8">
        <f>IF(ISNA(MATCH(532,Engine!$C$2:$C$1369,0)),"",INDEX('Compliance Database'!$C$2:$C$1369,MATCH(532,Engine!$C$2:$C$1369,0)))</f>
        <v/>
      </c>
      <c r="D545" s="9">
        <f>IF(ISNA(MATCH(532,Engine!$C$2:$C$1369,0)),"",INDEX('Compliance Database'!$D$2:$D$1369,MATCH(532,Engine!$C$2:$C$1369,0)))</f>
        <v/>
      </c>
      <c r="E545" s="8">
        <f>IF(ISNA(MATCH(532,Engine!$C$2:$C$1369,0)),"",INDEX('Compliance Database'!$E$2:$E$1369,MATCH(532,Engine!$C$2:$C$1369,0)))</f>
        <v/>
      </c>
      <c r="F545" s="8">
        <f>IF(ISNA(MATCH(532,Engine!$C$2:$C$1369,0)),"",INDEX('Compliance Database'!$F$2:$F$1369,MATCH(532,Engine!$C$2:$C$1369,0)))</f>
        <v/>
      </c>
      <c r="G545" s="8">
        <f>IF(ISNA(MATCH(532,Engine!$C$2:$C$1369,0)),"",INDEX('Compliance Database'!$G$2:$G$1369,MATCH(532,Engine!$C$2:$C$1369,0)))</f>
        <v/>
      </c>
      <c r="H545" s="9">
        <f>IF(ISNA(MATCH(532,Engine!$C$2:$C$1369,0)),"",INDEX('Compliance Database'!$H$2:$H$1369,MATCH(532,Engine!$C$2:$C$1369,0)))</f>
        <v/>
      </c>
      <c r="I545" s="9">
        <f>IF(ISNA(MATCH(532,Engine!$C$2:$C$1369,0)),"",INDEX('Compliance Database'!$I$2:$I$1369,MATCH(532,Engine!$C$2:$C$1369,0)))</f>
        <v/>
      </c>
      <c r="J545" s="8">
        <f>IF(ISNA(MATCH(532,Engine!$C$2:$C$1369,0)),"",INDEX('Compliance Database'!$J$2:$J$1369,MATCH(532,Engine!$C$2:$C$1369,0)))</f>
        <v/>
      </c>
      <c r="K545" s="9">
        <f>IF(ISNA(MATCH(532,Engine!$C$2:$C$1369,0)),"",INDEX('Compliance Database'!$K$2:$K$1369,MATCH(532,Engine!$C$2:$C$1369,0)))</f>
        <v/>
      </c>
      <c r="L545" s="9">
        <f>IF(ISNA(MATCH(532,Engine!$C$2:$C$1369,0)),"",INDEX('Compliance Database'!$L$2:$L$1369,MATCH(532,Engine!$C$2:$C$1369,0)))</f>
        <v/>
      </c>
      <c r="M545" s="9">
        <f>IF(ISNA(MATCH(532,Engine!$C$2:$C$1369,0)),"",INDEX('Compliance Database'!$M$2:$M$1369,MATCH(532,Engine!$C$2:$C$1369,0)))</f>
        <v/>
      </c>
      <c r="N545" s="9">
        <f>IF(ISNA(MATCH(532,Engine!$C$2:$C$1369,0)),"",INDEX('Compliance Database'!$N$2:$N$1369,MATCH(532,Engine!$C$2:$C$1369,0)))</f>
        <v/>
      </c>
      <c r="O545" s="8">
        <f>IF(ISNA(MATCH(532,Engine!$C$2:$C$1369,0)),"",HYPERLINK(INDEX('Compliance Database'!$O$2:$O$1369,MATCH(532,Engine!$C$2:$C$1369,0)),"Open PDF"))</f>
        <v/>
      </c>
    </row>
    <row r="546" ht="188" customHeight="1">
      <c r="A546" s="8">
        <f>IF(ISNA(MATCH(533,Engine!$C$2:$C$1369,0)),"",INDEX('Compliance Database'!$A$2:$A$1369,MATCH(533,Engine!$C$2:$C$1369,0)))</f>
        <v/>
      </c>
      <c r="B546" s="8">
        <f>IF(ISNA(MATCH(533,Engine!$C$2:$C$1369,0)),"",INDEX('Compliance Database'!$B$2:$B$1369,MATCH(533,Engine!$C$2:$C$1369,0)))</f>
        <v/>
      </c>
      <c r="C546" s="8">
        <f>IF(ISNA(MATCH(533,Engine!$C$2:$C$1369,0)),"",INDEX('Compliance Database'!$C$2:$C$1369,MATCH(533,Engine!$C$2:$C$1369,0)))</f>
        <v/>
      </c>
      <c r="D546" s="9">
        <f>IF(ISNA(MATCH(533,Engine!$C$2:$C$1369,0)),"",INDEX('Compliance Database'!$D$2:$D$1369,MATCH(533,Engine!$C$2:$C$1369,0)))</f>
        <v/>
      </c>
      <c r="E546" s="8">
        <f>IF(ISNA(MATCH(533,Engine!$C$2:$C$1369,0)),"",INDEX('Compliance Database'!$E$2:$E$1369,MATCH(533,Engine!$C$2:$C$1369,0)))</f>
        <v/>
      </c>
      <c r="F546" s="8">
        <f>IF(ISNA(MATCH(533,Engine!$C$2:$C$1369,0)),"",INDEX('Compliance Database'!$F$2:$F$1369,MATCH(533,Engine!$C$2:$C$1369,0)))</f>
        <v/>
      </c>
      <c r="G546" s="8">
        <f>IF(ISNA(MATCH(533,Engine!$C$2:$C$1369,0)),"",INDEX('Compliance Database'!$G$2:$G$1369,MATCH(533,Engine!$C$2:$C$1369,0)))</f>
        <v/>
      </c>
      <c r="H546" s="9">
        <f>IF(ISNA(MATCH(533,Engine!$C$2:$C$1369,0)),"",INDEX('Compliance Database'!$H$2:$H$1369,MATCH(533,Engine!$C$2:$C$1369,0)))</f>
        <v/>
      </c>
      <c r="I546" s="9">
        <f>IF(ISNA(MATCH(533,Engine!$C$2:$C$1369,0)),"",INDEX('Compliance Database'!$I$2:$I$1369,MATCH(533,Engine!$C$2:$C$1369,0)))</f>
        <v/>
      </c>
      <c r="J546" s="8">
        <f>IF(ISNA(MATCH(533,Engine!$C$2:$C$1369,0)),"",INDEX('Compliance Database'!$J$2:$J$1369,MATCH(533,Engine!$C$2:$C$1369,0)))</f>
        <v/>
      </c>
      <c r="K546" s="9">
        <f>IF(ISNA(MATCH(533,Engine!$C$2:$C$1369,0)),"",INDEX('Compliance Database'!$K$2:$K$1369,MATCH(533,Engine!$C$2:$C$1369,0)))</f>
        <v/>
      </c>
      <c r="L546" s="9">
        <f>IF(ISNA(MATCH(533,Engine!$C$2:$C$1369,0)),"",INDEX('Compliance Database'!$L$2:$L$1369,MATCH(533,Engine!$C$2:$C$1369,0)))</f>
        <v/>
      </c>
      <c r="M546" s="9">
        <f>IF(ISNA(MATCH(533,Engine!$C$2:$C$1369,0)),"",INDEX('Compliance Database'!$M$2:$M$1369,MATCH(533,Engine!$C$2:$C$1369,0)))</f>
        <v/>
      </c>
      <c r="N546" s="9">
        <f>IF(ISNA(MATCH(533,Engine!$C$2:$C$1369,0)),"",INDEX('Compliance Database'!$N$2:$N$1369,MATCH(533,Engine!$C$2:$C$1369,0)))</f>
        <v/>
      </c>
      <c r="O546" s="8">
        <f>IF(ISNA(MATCH(533,Engine!$C$2:$C$1369,0)),"",HYPERLINK(INDEX('Compliance Database'!$O$2:$O$1369,MATCH(533,Engine!$C$2:$C$1369,0)),"Open PDF"))</f>
        <v/>
      </c>
    </row>
    <row r="547" ht="188" customHeight="1">
      <c r="A547" s="8">
        <f>IF(ISNA(MATCH(534,Engine!$C$2:$C$1369,0)),"",INDEX('Compliance Database'!$A$2:$A$1369,MATCH(534,Engine!$C$2:$C$1369,0)))</f>
        <v/>
      </c>
      <c r="B547" s="8">
        <f>IF(ISNA(MATCH(534,Engine!$C$2:$C$1369,0)),"",INDEX('Compliance Database'!$B$2:$B$1369,MATCH(534,Engine!$C$2:$C$1369,0)))</f>
        <v/>
      </c>
      <c r="C547" s="8">
        <f>IF(ISNA(MATCH(534,Engine!$C$2:$C$1369,0)),"",INDEX('Compliance Database'!$C$2:$C$1369,MATCH(534,Engine!$C$2:$C$1369,0)))</f>
        <v/>
      </c>
      <c r="D547" s="9">
        <f>IF(ISNA(MATCH(534,Engine!$C$2:$C$1369,0)),"",INDEX('Compliance Database'!$D$2:$D$1369,MATCH(534,Engine!$C$2:$C$1369,0)))</f>
        <v/>
      </c>
      <c r="E547" s="8">
        <f>IF(ISNA(MATCH(534,Engine!$C$2:$C$1369,0)),"",INDEX('Compliance Database'!$E$2:$E$1369,MATCH(534,Engine!$C$2:$C$1369,0)))</f>
        <v/>
      </c>
      <c r="F547" s="8">
        <f>IF(ISNA(MATCH(534,Engine!$C$2:$C$1369,0)),"",INDEX('Compliance Database'!$F$2:$F$1369,MATCH(534,Engine!$C$2:$C$1369,0)))</f>
        <v/>
      </c>
      <c r="G547" s="8">
        <f>IF(ISNA(MATCH(534,Engine!$C$2:$C$1369,0)),"",INDEX('Compliance Database'!$G$2:$G$1369,MATCH(534,Engine!$C$2:$C$1369,0)))</f>
        <v/>
      </c>
      <c r="H547" s="9">
        <f>IF(ISNA(MATCH(534,Engine!$C$2:$C$1369,0)),"",INDEX('Compliance Database'!$H$2:$H$1369,MATCH(534,Engine!$C$2:$C$1369,0)))</f>
        <v/>
      </c>
      <c r="I547" s="9">
        <f>IF(ISNA(MATCH(534,Engine!$C$2:$C$1369,0)),"",INDEX('Compliance Database'!$I$2:$I$1369,MATCH(534,Engine!$C$2:$C$1369,0)))</f>
        <v/>
      </c>
      <c r="J547" s="8">
        <f>IF(ISNA(MATCH(534,Engine!$C$2:$C$1369,0)),"",INDEX('Compliance Database'!$J$2:$J$1369,MATCH(534,Engine!$C$2:$C$1369,0)))</f>
        <v/>
      </c>
      <c r="K547" s="9">
        <f>IF(ISNA(MATCH(534,Engine!$C$2:$C$1369,0)),"",INDEX('Compliance Database'!$K$2:$K$1369,MATCH(534,Engine!$C$2:$C$1369,0)))</f>
        <v/>
      </c>
      <c r="L547" s="9">
        <f>IF(ISNA(MATCH(534,Engine!$C$2:$C$1369,0)),"",INDEX('Compliance Database'!$L$2:$L$1369,MATCH(534,Engine!$C$2:$C$1369,0)))</f>
        <v/>
      </c>
      <c r="M547" s="9">
        <f>IF(ISNA(MATCH(534,Engine!$C$2:$C$1369,0)),"",INDEX('Compliance Database'!$M$2:$M$1369,MATCH(534,Engine!$C$2:$C$1369,0)))</f>
        <v/>
      </c>
      <c r="N547" s="9">
        <f>IF(ISNA(MATCH(534,Engine!$C$2:$C$1369,0)),"",INDEX('Compliance Database'!$N$2:$N$1369,MATCH(534,Engine!$C$2:$C$1369,0)))</f>
        <v/>
      </c>
      <c r="O547" s="8">
        <f>IF(ISNA(MATCH(534,Engine!$C$2:$C$1369,0)),"",HYPERLINK(INDEX('Compliance Database'!$O$2:$O$1369,MATCH(534,Engine!$C$2:$C$1369,0)),"Open PDF"))</f>
        <v/>
      </c>
    </row>
    <row r="548" ht="188" customHeight="1">
      <c r="A548" s="8">
        <f>IF(ISNA(MATCH(535,Engine!$C$2:$C$1369,0)),"",INDEX('Compliance Database'!$A$2:$A$1369,MATCH(535,Engine!$C$2:$C$1369,0)))</f>
        <v/>
      </c>
      <c r="B548" s="8">
        <f>IF(ISNA(MATCH(535,Engine!$C$2:$C$1369,0)),"",INDEX('Compliance Database'!$B$2:$B$1369,MATCH(535,Engine!$C$2:$C$1369,0)))</f>
        <v/>
      </c>
      <c r="C548" s="8">
        <f>IF(ISNA(MATCH(535,Engine!$C$2:$C$1369,0)),"",INDEX('Compliance Database'!$C$2:$C$1369,MATCH(535,Engine!$C$2:$C$1369,0)))</f>
        <v/>
      </c>
      <c r="D548" s="9">
        <f>IF(ISNA(MATCH(535,Engine!$C$2:$C$1369,0)),"",INDEX('Compliance Database'!$D$2:$D$1369,MATCH(535,Engine!$C$2:$C$1369,0)))</f>
        <v/>
      </c>
      <c r="E548" s="8">
        <f>IF(ISNA(MATCH(535,Engine!$C$2:$C$1369,0)),"",INDEX('Compliance Database'!$E$2:$E$1369,MATCH(535,Engine!$C$2:$C$1369,0)))</f>
        <v/>
      </c>
      <c r="F548" s="8">
        <f>IF(ISNA(MATCH(535,Engine!$C$2:$C$1369,0)),"",INDEX('Compliance Database'!$F$2:$F$1369,MATCH(535,Engine!$C$2:$C$1369,0)))</f>
        <v/>
      </c>
      <c r="G548" s="8">
        <f>IF(ISNA(MATCH(535,Engine!$C$2:$C$1369,0)),"",INDEX('Compliance Database'!$G$2:$G$1369,MATCH(535,Engine!$C$2:$C$1369,0)))</f>
        <v/>
      </c>
      <c r="H548" s="9">
        <f>IF(ISNA(MATCH(535,Engine!$C$2:$C$1369,0)),"",INDEX('Compliance Database'!$H$2:$H$1369,MATCH(535,Engine!$C$2:$C$1369,0)))</f>
        <v/>
      </c>
      <c r="I548" s="9">
        <f>IF(ISNA(MATCH(535,Engine!$C$2:$C$1369,0)),"",INDEX('Compliance Database'!$I$2:$I$1369,MATCH(535,Engine!$C$2:$C$1369,0)))</f>
        <v/>
      </c>
      <c r="J548" s="8">
        <f>IF(ISNA(MATCH(535,Engine!$C$2:$C$1369,0)),"",INDEX('Compliance Database'!$J$2:$J$1369,MATCH(535,Engine!$C$2:$C$1369,0)))</f>
        <v/>
      </c>
      <c r="K548" s="9">
        <f>IF(ISNA(MATCH(535,Engine!$C$2:$C$1369,0)),"",INDEX('Compliance Database'!$K$2:$K$1369,MATCH(535,Engine!$C$2:$C$1369,0)))</f>
        <v/>
      </c>
      <c r="L548" s="9">
        <f>IF(ISNA(MATCH(535,Engine!$C$2:$C$1369,0)),"",INDEX('Compliance Database'!$L$2:$L$1369,MATCH(535,Engine!$C$2:$C$1369,0)))</f>
        <v/>
      </c>
      <c r="M548" s="9">
        <f>IF(ISNA(MATCH(535,Engine!$C$2:$C$1369,0)),"",INDEX('Compliance Database'!$M$2:$M$1369,MATCH(535,Engine!$C$2:$C$1369,0)))</f>
        <v/>
      </c>
      <c r="N548" s="9">
        <f>IF(ISNA(MATCH(535,Engine!$C$2:$C$1369,0)),"",INDEX('Compliance Database'!$N$2:$N$1369,MATCH(535,Engine!$C$2:$C$1369,0)))</f>
        <v/>
      </c>
      <c r="O548" s="8">
        <f>IF(ISNA(MATCH(535,Engine!$C$2:$C$1369,0)),"",HYPERLINK(INDEX('Compliance Database'!$O$2:$O$1369,MATCH(535,Engine!$C$2:$C$1369,0)),"Open PDF"))</f>
        <v/>
      </c>
    </row>
    <row r="549" ht="188" customHeight="1">
      <c r="A549" s="8">
        <f>IF(ISNA(MATCH(536,Engine!$C$2:$C$1369,0)),"",INDEX('Compliance Database'!$A$2:$A$1369,MATCH(536,Engine!$C$2:$C$1369,0)))</f>
        <v/>
      </c>
      <c r="B549" s="8">
        <f>IF(ISNA(MATCH(536,Engine!$C$2:$C$1369,0)),"",INDEX('Compliance Database'!$B$2:$B$1369,MATCH(536,Engine!$C$2:$C$1369,0)))</f>
        <v/>
      </c>
      <c r="C549" s="8">
        <f>IF(ISNA(MATCH(536,Engine!$C$2:$C$1369,0)),"",INDEX('Compliance Database'!$C$2:$C$1369,MATCH(536,Engine!$C$2:$C$1369,0)))</f>
        <v/>
      </c>
      <c r="D549" s="9">
        <f>IF(ISNA(MATCH(536,Engine!$C$2:$C$1369,0)),"",INDEX('Compliance Database'!$D$2:$D$1369,MATCH(536,Engine!$C$2:$C$1369,0)))</f>
        <v/>
      </c>
      <c r="E549" s="8">
        <f>IF(ISNA(MATCH(536,Engine!$C$2:$C$1369,0)),"",INDEX('Compliance Database'!$E$2:$E$1369,MATCH(536,Engine!$C$2:$C$1369,0)))</f>
        <v/>
      </c>
      <c r="F549" s="8">
        <f>IF(ISNA(MATCH(536,Engine!$C$2:$C$1369,0)),"",INDEX('Compliance Database'!$F$2:$F$1369,MATCH(536,Engine!$C$2:$C$1369,0)))</f>
        <v/>
      </c>
      <c r="G549" s="8">
        <f>IF(ISNA(MATCH(536,Engine!$C$2:$C$1369,0)),"",INDEX('Compliance Database'!$G$2:$G$1369,MATCH(536,Engine!$C$2:$C$1369,0)))</f>
        <v/>
      </c>
      <c r="H549" s="9">
        <f>IF(ISNA(MATCH(536,Engine!$C$2:$C$1369,0)),"",INDEX('Compliance Database'!$H$2:$H$1369,MATCH(536,Engine!$C$2:$C$1369,0)))</f>
        <v/>
      </c>
      <c r="I549" s="9">
        <f>IF(ISNA(MATCH(536,Engine!$C$2:$C$1369,0)),"",INDEX('Compliance Database'!$I$2:$I$1369,MATCH(536,Engine!$C$2:$C$1369,0)))</f>
        <v/>
      </c>
      <c r="J549" s="8">
        <f>IF(ISNA(MATCH(536,Engine!$C$2:$C$1369,0)),"",INDEX('Compliance Database'!$J$2:$J$1369,MATCH(536,Engine!$C$2:$C$1369,0)))</f>
        <v/>
      </c>
      <c r="K549" s="9">
        <f>IF(ISNA(MATCH(536,Engine!$C$2:$C$1369,0)),"",INDEX('Compliance Database'!$K$2:$K$1369,MATCH(536,Engine!$C$2:$C$1369,0)))</f>
        <v/>
      </c>
      <c r="L549" s="9">
        <f>IF(ISNA(MATCH(536,Engine!$C$2:$C$1369,0)),"",INDEX('Compliance Database'!$L$2:$L$1369,MATCH(536,Engine!$C$2:$C$1369,0)))</f>
        <v/>
      </c>
      <c r="M549" s="9">
        <f>IF(ISNA(MATCH(536,Engine!$C$2:$C$1369,0)),"",INDEX('Compliance Database'!$M$2:$M$1369,MATCH(536,Engine!$C$2:$C$1369,0)))</f>
        <v/>
      </c>
      <c r="N549" s="9">
        <f>IF(ISNA(MATCH(536,Engine!$C$2:$C$1369,0)),"",INDEX('Compliance Database'!$N$2:$N$1369,MATCH(536,Engine!$C$2:$C$1369,0)))</f>
        <v/>
      </c>
      <c r="O549" s="8">
        <f>IF(ISNA(MATCH(536,Engine!$C$2:$C$1369,0)),"",HYPERLINK(INDEX('Compliance Database'!$O$2:$O$1369,MATCH(536,Engine!$C$2:$C$1369,0)),"Open PDF"))</f>
        <v/>
      </c>
    </row>
    <row r="550" ht="188" customHeight="1">
      <c r="A550" s="8">
        <f>IF(ISNA(MATCH(537,Engine!$C$2:$C$1369,0)),"",INDEX('Compliance Database'!$A$2:$A$1369,MATCH(537,Engine!$C$2:$C$1369,0)))</f>
        <v/>
      </c>
      <c r="B550" s="8">
        <f>IF(ISNA(MATCH(537,Engine!$C$2:$C$1369,0)),"",INDEX('Compliance Database'!$B$2:$B$1369,MATCH(537,Engine!$C$2:$C$1369,0)))</f>
        <v/>
      </c>
      <c r="C550" s="8">
        <f>IF(ISNA(MATCH(537,Engine!$C$2:$C$1369,0)),"",INDEX('Compliance Database'!$C$2:$C$1369,MATCH(537,Engine!$C$2:$C$1369,0)))</f>
        <v/>
      </c>
      <c r="D550" s="9">
        <f>IF(ISNA(MATCH(537,Engine!$C$2:$C$1369,0)),"",INDEX('Compliance Database'!$D$2:$D$1369,MATCH(537,Engine!$C$2:$C$1369,0)))</f>
        <v/>
      </c>
      <c r="E550" s="8">
        <f>IF(ISNA(MATCH(537,Engine!$C$2:$C$1369,0)),"",INDEX('Compliance Database'!$E$2:$E$1369,MATCH(537,Engine!$C$2:$C$1369,0)))</f>
        <v/>
      </c>
      <c r="F550" s="8">
        <f>IF(ISNA(MATCH(537,Engine!$C$2:$C$1369,0)),"",INDEX('Compliance Database'!$F$2:$F$1369,MATCH(537,Engine!$C$2:$C$1369,0)))</f>
        <v/>
      </c>
      <c r="G550" s="8">
        <f>IF(ISNA(MATCH(537,Engine!$C$2:$C$1369,0)),"",INDEX('Compliance Database'!$G$2:$G$1369,MATCH(537,Engine!$C$2:$C$1369,0)))</f>
        <v/>
      </c>
      <c r="H550" s="9">
        <f>IF(ISNA(MATCH(537,Engine!$C$2:$C$1369,0)),"",INDEX('Compliance Database'!$H$2:$H$1369,MATCH(537,Engine!$C$2:$C$1369,0)))</f>
        <v/>
      </c>
      <c r="I550" s="9">
        <f>IF(ISNA(MATCH(537,Engine!$C$2:$C$1369,0)),"",INDEX('Compliance Database'!$I$2:$I$1369,MATCH(537,Engine!$C$2:$C$1369,0)))</f>
        <v/>
      </c>
      <c r="J550" s="8">
        <f>IF(ISNA(MATCH(537,Engine!$C$2:$C$1369,0)),"",INDEX('Compliance Database'!$J$2:$J$1369,MATCH(537,Engine!$C$2:$C$1369,0)))</f>
        <v/>
      </c>
      <c r="K550" s="9">
        <f>IF(ISNA(MATCH(537,Engine!$C$2:$C$1369,0)),"",INDEX('Compliance Database'!$K$2:$K$1369,MATCH(537,Engine!$C$2:$C$1369,0)))</f>
        <v/>
      </c>
      <c r="L550" s="9">
        <f>IF(ISNA(MATCH(537,Engine!$C$2:$C$1369,0)),"",INDEX('Compliance Database'!$L$2:$L$1369,MATCH(537,Engine!$C$2:$C$1369,0)))</f>
        <v/>
      </c>
      <c r="M550" s="9">
        <f>IF(ISNA(MATCH(537,Engine!$C$2:$C$1369,0)),"",INDEX('Compliance Database'!$M$2:$M$1369,MATCH(537,Engine!$C$2:$C$1369,0)))</f>
        <v/>
      </c>
      <c r="N550" s="9">
        <f>IF(ISNA(MATCH(537,Engine!$C$2:$C$1369,0)),"",INDEX('Compliance Database'!$N$2:$N$1369,MATCH(537,Engine!$C$2:$C$1369,0)))</f>
        <v/>
      </c>
      <c r="O550" s="8">
        <f>IF(ISNA(MATCH(537,Engine!$C$2:$C$1369,0)),"",HYPERLINK(INDEX('Compliance Database'!$O$2:$O$1369,MATCH(537,Engine!$C$2:$C$1369,0)),"Open PDF"))</f>
        <v/>
      </c>
    </row>
    <row r="551" ht="188" customHeight="1">
      <c r="A551" s="8">
        <f>IF(ISNA(MATCH(538,Engine!$C$2:$C$1369,0)),"",INDEX('Compliance Database'!$A$2:$A$1369,MATCH(538,Engine!$C$2:$C$1369,0)))</f>
        <v/>
      </c>
      <c r="B551" s="8">
        <f>IF(ISNA(MATCH(538,Engine!$C$2:$C$1369,0)),"",INDEX('Compliance Database'!$B$2:$B$1369,MATCH(538,Engine!$C$2:$C$1369,0)))</f>
        <v/>
      </c>
      <c r="C551" s="8">
        <f>IF(ISNA(MATCH(538,Engine!$C$2:$C$1369,0)),"",INDEX('Compliance Database'!$C$2:$C$1369,MATCH(538,Engine!$C$2:$C$1369,0)))</f>
        <v/>
      </c>
      <c r="D551" s="9">
        <f>IF(ISNA(MATCH(538,Engine!$C$2:$C$1369,0)),"",INDEX('Compliance Database'!$D$2:$D$1369,MATCH(538,Engine!$C$2:$C$1369,0)))</f>
        <v/>
      </c>
      <c r="E551" s="8">
        <f>IF(ISNA(MATCH(538,Engine!$C$2:$C$1369,0)),"",INDEX('Compliance Database'!$E$2:$E$1369,MATCH(538,Engine!$C$2:$C$1369,0)))</f>
        <v/>
      </c>
      <c r="F551" s="8">
        <f>IF(ISNA(MATCH(538,Engine!$C$2:$C$1369,0)),"",INDEX('Compliance Database'!$F$2:$F$1369,MATCH(538,Engine!$C$2:$C$1369,0)))</f>
        <v/>
      </c>
      <c r="G551" s="8">
        <f>IF(ISNA(MATCH(538,Engine!$C$2:$C$1369,0)),"",INDEX('Compliance Database'!$G$2:$G$1369,MATCH(538,Engine!$C$2:$C$1369,0)))</f>
        <v/>
      </c>
      <c r="H551" s="9">
        <f>IF(ISNA(MATCH(538,Engine!$C$2:$C$1369,0)),"",INDEX('Compliance Database'!$H$2:$H$1369,MATCH(538,Engine!$C$2:$C$1369,0)))</f>
        <v/>
      </c>
      <c r="I551" s="9">
        <f>IF(ISNA(MATCH(538,Engine!$C$2:$C$1369,0)),"",INDEX('Compliance Database'!$I$2:$I$1369,MATCH(538,Engine!$C$2:$C$1369,0)))</f>
        <v/>
      </c>
      <c r="J551" s="8">
        <f>IF(ISNA(MATCH(538,Engine!$C$2:$C$1369,0)),"",INDEX('Compliance Database'!$J$2:$J$1369,MATCH(538,Engine!$C$2:$C$1369,0)))</f>
        <v/>
      </c>
      <c r="K551" s="9">
        <f>IF(ISNA(MATCH(538,Engine!$C$2:$C$1369,0)),"",INDEX('Compliance Database'!$K$2:$K$1369,MATCH(538,Engine!$C$2:$C$1369,0)))</f>
        <v/>
      </c>
      <c r="L551" s="9">
        <f>IF(ISNA(MATCH(538,Engine!$C$2:$C$1369,0)),"",INDEX('Compliance Database'!$L$2:$L$1369,MATCH(538,Engine!$C$2:$C$1369,0)))</f>
        <v/>
      </c>
      <c r="M551" s="9">
        <f>IF(ISNA(MATCH(538,Engine!$C$2:$C$1369,0)),"",INDEX('Compliance Database'!$M$2:$M$1369,MATCH(538,Engine!$C$2:$C$1369,0)))</f>
        <v/>
      </c>
      <c r="N551" s="9">
        <f>IF(ISNA(MATCH(538,Engine!$C$2:$C$1369,0)),"",INDEX('Compliance Database'!$N$2:$N$1369,MATCH(538,Engine!$C$2:$C$1369,0)))</f>
        <v/>
      </c>
      <c r="O551" s="8">
        <f>IF(ISNA(MATCH(538,Engine!$C$2:$C$1369,0)),"",HYPERLINK(INDEX('Compliance Database'!$O$2:$O$1369,MATCH(538,Engine!$C$2:$C$1369,0)),"Open PDF"))</f>
        <v/>
      </c>
    </row>
    <row r="552" ht="188" customHeight="1">
      <c r="A552" s="8">
        <f>IF(ISNA(MATCH(539,Engine!$C$2:$C$1369,0)),"",INDEX('Compliance Database'!$A$2:$A$1369,MATCH(539,Engine!$C$2:$C$1369,0)))</f>
        <v/>
      </c>
      <c r="B552" s="8">
        <f>IF(ISNA(MATCH(539,Engine!$C$2:$C$1369,0)),"",INDEX('Compliance Database'!$B$2:$B$1369,MATCH(539,Engine!$C$2:$C$1369,0)))</f>
        <v/>
      </c>
      <c r="C552" s="8">
        <f>IF(ISNA(MATCH(539,Engine!$C$2:$C$1369,0)),"",INDEX('Compliance Database'!$C$2:$C$1369,MATCH(539,Engine!$C$2:$C$1369,0)))</f>
        <v/>
      </c>
      <c r="D552" s="9">
        <f>IF(ISNA(MATCH(539,Engine!$C$2:$C$1369,0)),"",INDEX('Compliance Database'!$D$2:$D$1369,MATCH(539,Engine!$C$2:$C$1369,0)))</f>
        <v/>
      </c>
      <c r="E552" s="8">
        <f>IF(ISNA(MATCH(539,Engine!$C$2:$C$1369,0)),"",INDEX('Compliance Database'!$E$2:$E$1369,MATCH(539,Engine!$C$2:$C$1369,0)))</f>
        <v/>
      </c>
      <c r="F552" s="8">
        <f>IF(ISNA(MATCH(539,Engine!$C$2:$C$1369,0)),"",INDEX('Compliance Database'!$F$2:$F$1369,MATCH(539,Engine!$C$2:$C$1369,0)))</f>
        <v/>
      </c>
      <c r="G552" s="8">
        <f>IF(ISNA(MATCH(539,Engine!$C$2:$C$1369,0)),"",INDEX('Compliance Database'!$G$2:$G$1369,MATCH(539,Engine!$C$2:$C$1369,0)))</f>
        <v/>
      </c>
      <c r="H552" s="9">
        <f>IF(ISNA(MATCH(539,Engine!$C$2:$C$1369,0)),"",INDEX('Compliance Database'!$H$2:$H$1369,MATCH(539,Engine!$C$2:$C$1369,0)))</f>
        <v/>
      </c>
      <c r="I552" s="9">
        <f>IF(ISNA(MATCH(539,Engine!$C$2:$C$1369,0)),"",INDEX('Compliance Database'!$I$2:$I$1369,MATCH(539,Engine!$C$2:$C$1369,0)))</f>
        <v/>
      </c>
      <c r="J552" s="8">
        <f>IF(ISNA(MATCH(539,Engine!$C$2:$C$1369,0)),"",INDEX('Compliance Database'!$J$2:$J$1369,MATCH(539,Engine!$C$2:$C$1369,0)))</f>
        <v/>
      </c>
      <c r="K552" s="9">
        <f>IF(ISNA(MATCH(539,Engine!$C$2:$C$1369,0)),"",INDEX('Compliance Database'!$K$2:$K$1369,MATCH(539,Engine!$C$2:$C$1369,0)))</f>
        <v/>
      </c>
      <c r="L552" s="9">
        <f>IF(ISNA(MATCH(539,Engine!$C$2:$C$1369,0)),"",INDEX('Compliance Database'!$L$2:$L$1369,MATCH(539,Engine!$C$2:$C$1369,0)))</f>
        <v/>
      </c>
      <c r="M552" s="9">
        <f>IF(ISNA(MATCH(539,Engine!$C$2:$C$1369,0)),"",INDEX('Compliance Database'!$M$2:$M$1369,MATCH(539,Engine!$C$2:$C$1369,0)))</f>
        <v/>
      </c>
      <c r="N552" s="9">
        <f>IF(ISNA(MATCH(539,Engine!$C$2:$C$1369,0)),"",INDEX('Compliance Database'!$N$2:$N$1369,MATCH(539,Engine!$C$2:$C$1369,0)))</f>
        <v/>
      </c>
      <c r="O552" s="8">
        <f>IF(ISNA(MATCH(539,Engine!$C$2:$C$1369,0)),"",HYPERLINK(INDEX('Compliance Database'!$O$2:$O$1369,MATCH(539,Engine!$C$2:$C$1369,0)),"Open PDF"))</f>
        <v/>
      </c>
    </row>
    <row r="553" ht="188" customHeight="1">
      <c r="A553" s="8">
        <f>IF(ISNA(MATCH(540,Engine!$C$2:$C$1369,0)),"",INDEX('Compliance Database'!$A$2:$A$1369,MATCH(540,Engine!$C$2:$C$1369,0)))</f>
        <v/>
      </c>
      <c r="B553" s="8">
        <f>IF(ISNA(MATCH(540,Engine!$C$2:$C$1369,0)),"",INDEX('Compliance Database'!$B$2:$B$1369,MATCH(540,Engine!$C$2:$C$1369,0)))</f>
        <v/>
      </c>
      <c r="C553" s="8">
        <f>IF(ISNA(MATCH(540,Engine!$C$2:$C$1369,0)),"",INDEX('Compliance Database'!$C$2:$C$1369,MATCH(540,Engine!$C$2:$C$1369,0)))</f>
        <v/>
      </c>
      <c r="D553" s="9">
        <f>IF(ISNA(MATCH(540,Engine!$C$2:$C$1369,0)),"",INDEX('Compliance Database'!$D$2:$D$1369,MATCH(540,Engine!$C$2:$C$1369,0)))</f>
        <v/>
      </c>
      <c r="E553" s="8">
        <f>IF(ISNA(MATCH(540,Engine!$C$2:$C$1369,0)),"",INDEX('Compliance Database'!$E$2:$E$1369,MATCH(540,Engine!$C$2:$C$1369,0)))</f>
        <v/>
      </c>
      <c r="F553" s="8">
        <f>IF(ISNA(MATCH(540,Engine!$C$2:$C$1369,0)),"",INDEX('Compliance Database'!$F$2:$F$1369,MATCH(540,Engine!$C$2:$C$1369,0)))</f>
        <v/>
      </c>
      <c r="G553" s="8">
        <f>IF(ISNA(MATCH(540,Engine!$C$2:$C$1369,0)),"",INDEX('Compliance Database'!$G$2:$G$1369,MATCH(540,Engine!$C$2:$C$1369,0)))</f>
        <v/>
      </c>
      <c r="H553" s="9">
        <f>IF(ISNA(MATCH(540,Engine!$C$2:$C$1369,0)),"",INDEX('Compliance Database'!$H$2:$H$1369,MATCH(540,Engine!$C$2:$C$1369,0)))</f>
        <v/>
      </c>
      <c r="I553" s="9">
        <f>IF(ISNA(MATCH(540,Engine!$C$2:$C$1369,0)),"",INDEX('Compliance Database'!$I$2:$I$1369,MATCH(540,Engine!$C$2:$C$1369,0)))</f>
        <v/>
      </c>
      <c r="J553" s="8">
        <f>IF(ISNA(MATCH(540,Engine!$C$2:$C$1369,0)),"",INDEX('Compliance Database'!$J$2:$J$1369,MATCH(540,Engine!$C$2:$C$1369,0)))</f>
        <v/>
      </c>
      <c r="K553" s="9">
        <f>IF(ISNA(MATCH(540,Engine!$C$2:$C$1369,0)),"",INDEX('Compliance Database'!$K$2:$K$1369,MATCH(540,Engine!$C$2:$C$1369,0)))</f>
        <v/>
      </c>
      <c r="L553" s="9">
        <f>IF(ISNA(MATCH(540,Engine!$C$2:$C$1369,0)),"",INDEX('Compliance Database'!$L$2:$L$1369,MATCH(540,Engine!$C$2:$C$1369,0)))</f>
        <v/>
      </c>
      <c r="M553" s="9">
        <f>IF(ISNA(MATCH(540,Engine!$C$2:$C$1369,0)),"",INDEX('Compliance Database'!$M$2:$M$1369,MATCH(540,Engine!$C$2:$C$1369,0)))</f>
        <v/>
      </c>
      <c r="N553" s="9">
        <f>IF(ISNA(MATCH(540,Engine!$C$2:$C$1369,0)),"",INDEX('Compliance Database'!$N$2:$N$1369,MATCH(540,Engine!$C$2:$C$1369,0)))</f>
        <v/>
      </c>
      <c r="O553" s="8">
        <f>IF(ISNA(MATCH(540,Engine!$C$2:$C$1369,0)),"",HYPERLINK(INDEX('Compliance Database'!$O$2:$O$1369,MATCH(540,Engine!$C$2:$C$1369,0)),"Open PDF"))</f>
        <v/>
      </c>
    </row>
    <row r="554" ht="188" customHeight="1">
      <c r="A554" s="8">
        <f>IF(ISNA(MATCH(541,Engine!$C$2:$C$1369,0)),"",INDEX('Compliance Database'!$A$2:$A$1369,MATCH(541,Engine!$C$2:$C$1369,0)))</f>
        <v/>
      </c>
      <c r="B554" s="8">
        <f>IF(ISNA(MATCH(541,Engine!$C$2:$C$1369,0)),"",INDEX('Compliance Database'!$B$2:$B$1369,MATCH(541,Engine!$C$2:$C$1369,0)))</f>
        <v/>
      </c>
      <c r="C554" s="8">
        <f>IF(ISNA(MATCH(541,Engine!$C$2:$C$1369,0)),"",INDEX('Compliance Database'!$C$2:$C$1369,MATCH(541,Engine!$C$2:$C$1369,0)))</f>
        <v/>
      </c>
      <c r="D554" s="9">
        <f>IF(ISNA(MATCH(541,Engine!$C$2:$C$1369,0)),"",INDEX('Compliance Database'!$D$2:$D$1369,MATCH(541,Engine!$C$2:$C$1369,0)))</f>
        <v/>
      </c>
      <c r="E554" s="8">
        <f>IF(ISNA(MATCH(541,Engine!$C$2:$C$1369,0)),"",INDEX('Compliance Database'!$E$2:$E$1369,MATCH(541,Engine!$C$2:$C$1369,0)))</f>
        <v/>
      </c>
      <c r="F554" s="8">
        <f>IF(ISNA(MATCH(541,Engine!$C$2:$C$1369,0)),"",INDEX('Compliance Database'!$F$2:$F$1369,MATCH(541,Engine!$C$2:$C$1369,0)))</f>
        <v/>
      </c>
      <c r="G554" s="8">
        <f>IF(ISNA(MATCH(541,Engine!$C$2:$C$1369,0)),"",INDEX('Compliance Database'!$G$2:$G$1369,MATCH(541,Engine!$C$2:$C$1369,0)))</f>
        <v/>
      </c>
      <c r="H554" s="9">
        <f>IF(ISNA(MATCH(541,Engine!$C$2:$C$1369,0)),"",INDEX('Compliance Database'!$H$2:$H$1369,MATCH(541,Engine!$C$2:$C$1369,0)))</f>
        <v/>
      </c>
      <c r="I554" s="9">
        <f>IF(ISNA(MATCH(541,Engine!$C$2:$C$1369,0)),"",INDEX('Compliance Database'!$I$2:$I$1369,MATCH(541,Engine!$C$2:$C$1369,0)))</f>
        <v/>
      </c>
      <c r="J554" s="8">
        <f>IF(ISNA(MATCH(541,Engine!$C$2:$C$1369,0)),"",INDEX('Compliance Database'!$J$2:$J$1369,MATCH(541,Engine!$C$2:$C$1369,0)))</f>
        <v/>
      </c>
      <c r="K554" s="9">
        <f>IF(ISNA(MATCH(541,Engine!$C$2:$C$1369,0)),"",INDEX('Compliance Database'!$K$2:$K$1369,MATCH(541,Engine!$C$2:$C$1369,0)))</f>
        <v/>
      </c>
      <c r="L554" s="9">
        <f>IF(ISNA(MATCH(541,Engine!$C$2:$C$1369,0)),"",INDEX('Compliance Database'!$L$2:$L$1369,MATCH(541,Engine!$C$2:$C$1369,0)))</f>
        <v/>
      </c>
      <c r="M554" s="9">
        <f>IF(ISNA(MATCH(541,Engine!$C$2:$C$1369,0)),"",INDEX('Compliance Database'!$M$2:$M$1369,MATCH(541,Engine!$C$2:$C$1369,0)))</f>
        <v/>
      </c>
      <c r="N554" s="9">
        <f>IF(ISNA(MATCH(541,Engine!$C$2:$C$1369,0)),"",INDEX('Compliance Database'!$N$2:$N$1369,MATCH(541,Engine!$C$2:$C$1369,0)))</f>
        <v/>
      </c>
      <c r="O554" s="8">
        <f>IF(ISNA(MATCH(541,Engine!$C$2:$C$1369,0)),"",HYPERLINK(INDEX('Compliance Database'!$O$2:$O$1369,MATCH(541,Engine!$C$2:$C$1369,0)),"Open PDF"))</f>
        <v/>
      </c>
    </row>
    <row r="555" ht="188" customHeight="1">
      <c r="A555" s="8">
        <f>IF(ISNA(MATCH(542,Engine!$C$2:$C$1369,0)),"",INDEX('Compliance Database'!$A$2:$A$1369,MATCH(542,Engine!$C$2:$C$1369,0)))</f>
        <v/>
      </c>
      <c r="B555" s="8">
        <f>IF(ISNA(MATCH(542,Engine!$C$2:$C$1369,0)),"",INDEX('Compliance Database'!$B$2:$B$1369,MATCH(542,Engine!$C$2:$C$1369,0)))</f>
        <v/>
      </c>
      <c r="C555" s="8">
        <f>IF(ISNA(MATCH(542,Engine!$C$2:$C$1369,0)),"",INDEX('Compliance Database'!$C$2:$C$1369,MATCH(542,Engine!$C$2:$C$1369,0)))</f>
        <v/>
      </c>
      <c r="D555" s="9">
        <f>IF(ISNA(MATCH(542,Engine!$C$2:$C$1369,0)),"",INDEX('Compliance Database'!$D$2:$D$1369,MATCH(542,Engine!$C$2:$C$1369,0)))</f>
        <v/>
      </c>
      <c r="E555" s="8">
        <f>IF(ISNA(MATCH(542,Engine!$C$2:$C$1369,0)),"",INDEX('Compliance Database'!$E$2:$E$1369,MATCH(542,Engine!$C$2:$C$1369,0)))</f>
        <v/>
      </c>
      <c r="F555" s="8">
        <f>IF(ISNA(MATCH(542,Engine!$C$2:$C$1369,0)),"",INDEX('Compliance Database'!$F$2:$F$1369,MATCH(542,Engine!$C$2:$C$1369,0)))</f>
        <v/>
      </c>
      <c r="G555" s="8">
        <f>IF(ISNA(MATCH(542,Engine!$C$2:$C$1369,0)),"",INDEX('Compliance Database'!$G$2:$G$1369,MATCH(542,Engine!$C$2:$C$1369,0)))</f>
        <v/>
      </c>
      <c r="H555" s="9">
        <f>IF(ISNA(MATCH(542,Engine!$C$2:$C$1369,0)),"",INDEX('Compliance Database'!$H$2:$H$1369,MATCH(542,Engine!$C$2:$C$1369,0)))</f>
        <v/>
      </c>
      <c r="I555" s="9">
        <f>IF(ISNA(MATCH(542,Engine!$C$2:$C$1369,0)),"",INDEX('Compliance Database'!$I$2:$I$1369,MATCH(542,Engine!$C$2:$C$1369,0)))</f>
        <v/>
      </c>
      <c r="J555" s="8">
        <f>IF(ISNA(MATCH(542,Engine!$C$2:$C$1369,0)),"",INDEX('Compliance Database'!$J$2:$J$1369,MATCH(542,Engine!$C$2:$C$1369,0)))</f>
        <v/>
      </c>
      <c r="K555" s="9">
        <f>IF(ISNA(MATCH(542,Engine!$C$2:$C$1369,0)),"",INDEX('Compliance Database'!$K$2:$K$1369,MATCH(542,Engine!$C$2:$C$1369,0)))</f>
        <v/>
      </c>
      <c r="L555" s="9">
        <f>IF(ISNA(MATCH(542,Engine!$C$2:$C$1369,0)),"",INDEX('Compliance Database'!$L$2:$L$1369,MATCH(542,Engine!$C$2:$C$1369,0)))</f>
        <v/>
      </c>
      <c r="M555" s="9">
        <f>IF(ISNA(MATCH(542,Engine!$C$2:$C$1369,0)),"",INDEX('Compliance Database'!$M$2:$M$1369,MATCH(542,Engine!$C$2:$C$1369,0)))</f>
        <v/>
      </c>
      <c r="N555" s="9">
        <f>IF(ISNA(MATCH(542,Engine!$C$2:$C$1369,0)),"",INDEX('Compliance Database'!$N$2:$N$1369,MATCH(542,Engine!$C$2:$C$1369,0)))</f>
        <v/>
      </c>
      <c r="O555" s="8">
        <f>IF(ISNA(MATCH(542,Engine!$C$2:$C$1369,0)),"",HYPERLINK(INDEX('Compliance Database'!$O$2:$O$1369,MATCH(542,Engine!$C$2:$C$1369,0)),"Open PDF"))</f>
        <v/>
      </c>
    </row>
    <row r="556" ht="188" customHeight="1">
      <c r="A556" s="8">
        <f>IF(ISNA(MATCH(543,Engine!$C$2:$C$1369,0)),"",INDEX('Compliance Database'!$A$2:$A$1369,MATCH(543,Engine!$C$2:$C$1369,0)))</f>
        <v/>
      </c>
      <c r="B556" s="8">
        <f>IF(ISNA(MATCH(543,Engine!$C$2:$C$1369,0)),"",INDEX('Compliance Database'!$B$2:$B$1369,MATCH(543,Engine!$C$2:$C$1369,0)))</f>
        <v/>
      </c>
      <c r="C556" s="8">
        <f>IF(ISNA(MATCH(543,Engine!$C$2:$C$1369,0)),"",INDEX('Compliance Database'!$C$2:$C$1369,MATCH(543,Engine!$C$2:$C$1369,0)))</f>
        <v/>
      </c>
      <c r="D556" s="9">
        <f>IF(ISNA(MATCH(543,Engine!$C$2:$C$1369,0)),"",INDEX('Compliance Database'!$D$2:$D$1369,MATCH(543,Engine!$C$2:$C$1369,0)))</f>
        <v/>
      </c>
      <c r="E556" s="8">
        <f>IF(ISNA(MATCH(543,Engine!$C$2:$C$1369,0)),"",INDEX('Compliance Database'!$E$2:$E$1369,MATCH(543,Engine!$C$2:$C$1369,0)))</f>
        <v/>
      </c>
      <c r="F556" s="8">
        <f>IF(ISNA(MATCH(543,Engine!$C$2:$C$1369,0)),"",INDEX('Compliance Database'!$F$2:$F$1369,MATCH(543,Engine!$C$2:$C$1369,0)))</f>
        <v/>
      </c>
      <c r="G556" s="8">
        <f>IF(ISNA(MATCH(543,Engine!$C$2:$C$1369,0)),"",INDEX('Compliance Database'!$G$2:$G$1369,MATCH(543,Engine!$C$2:$C$1369,0)))</f>
        <v/>
      </c>
      <c r="H556" s="9">
        <f>IF(ISNA(MATCH(543,Engine!$C$2:$C$1369,0)),"",INDEX('Compliance Database'!$H$2:$H$1369,MATCH(543,Engine!$C$2:$C$1369,0)))</f>
        <v/>
      </c>
      <c r="I556" s="9">
        <f>IF(ISNA(MATCH(543,Engine!$C$2:$C$1369,0)),"",INDEX('Compliance Database'!$I$2:$I$1369,MATCH(543,Engine!$C$2:$C$1369,0)))</f>
        <v/>
      </c>
      <c r="J556" s="8">
        <f>IF(ISNA(MATCH(543,Engine!$C$2:$C$1369,0)),"",INDEX('Compliance Database'!$J$2:$J$1369,MATCH(543,Engine!$C$2:$C$1369,0)))</f>
        <v/>
      </c>
      <c r="K556" s="9">
        <f>IF(ISNA(MATCH(543,Engine!$C$2:$C$1369,0)),"",INDEX('Compliance Database'!$K$2:$K$1369,MATCH(543,Engine!$C$2:$C$1369,0)))</f>
        <v/>
      </c>
      <c r="L556" s="9">
        <f>IF(ISNA(MATCH(543,Engine!$C$2:$C$1369,0)),"",INDEX('Compliance Database'!$L$2:$L$1369,MATCH(543,Engine!$C$2:$C$1369,0)))</f>
        <v/>
      </c>
      <c r="M556" s="9">
        <f>IF(ISNA(MATCH(543,Engine!$C$2:$C$1369,0)),"",INDEX('Compliance Database'!$M$2:$M$1369,MATCH(543,Engine!$C$2:$C$1369,0)))</f>
        <v/>
      </c>
      <c r="N556" s="9">
        <f>IF(ISNA(MATCH(543,Engine!$C$2:$C$1369,0)),"",INDEX('Compliance Database'!$N$2:$N$1369,MATCH(543,Engine!$C$2:$C$1369,0)))</f>
        <v/>
      </c>
      <c r="O556" s="8">
        <f>IF(ISNA(MATCH(543,Engine!$C$2:$C$1369,0)),"",HYPERLINK(INDEX('Compliance Database'!$O$2:$O$1369,MATCH(543,Engine!$C$2:$C$1369,0)),"Open PDF"))</f>
        <v/>
      </c>
    </row>
    <row r="557" ht="188" customHeight="1">
      <c r="A557" s="8">
        <f>IF(ISNA(MATCH(544,Engine!$C$2:$C$1369,0)),"",INDEX('Compliance Database'!$A$2:$A$1369,MATCH(544,Engine!$C$2:$C$1369,0)))</f>
        <v/>
      </c>
      <c r="B557" s="8">
        <f>IF(ISNA(MATCH(544,Engine!$C$2:$C$1369,0)),"",INDEX('Compliance Database'!$B$2:$B$1369,MATCH(544,Engine!$C$2:$C$1369,0)))</f>
        <v/>
      </c>
      <c r="C557" s="8">
        <f>IF(ISNA(MATCH(544,Engine!$C$2:$C$1369,0)),"",INDEX('Compliance Database'!$C$2:$C$1369,MATCH(544,Engine!$C$2:$C$1369,0)))</f>
        <v/>
      </c>
      <c r="D557" s="9">
        <f>IF(ISNA(MATCH(544,Engine!$C$2:$C$1369,0)),"",INDEX('Compliance Database'!$D$2:$D$1369,MATCH(544,Engine!$C$2:$C$1369,0)))</f>
        <v/>
      </c>
      <c r="E557" s="8">
        <f>IF(ISNA(MATCH(544,Engine!$C$2:$C$1369,0)),"",INDEX('Compliance Database'!$E$2:$E$1369,MATCH(544,Engine!$C$2:$C$1369,0)))</f>
        <v/>
      </c>
      <c r="F557" s="8">
        <f>IF(ISNA(MATCH(544,Engine!$C$2:$C$1369,0)),"",INDEX('Compliance Database'!$F$2:$F$1369,MATCH(544,Engine!$C$2:$C$1369,0)))</f>
        <v/>
      </c>
      <c r="G557" s="8">
        <f>IF(ISNA(MATCH(544,Engine!$C$2:$C$1369,0)),"",INDEX('Compliance Database'!$G$2:$G$1369,MATCH(544,Engine!$C$2:$C$1369,0)))</f>
        <v/>
      </c>
      <c r="H557" s="9">
        <f>IF(ISNA(MATCH(544,Engine!$C$2:$C$1369,0)),"",INDEX('Compliance Database'!$H$2:$H$1369,MATCH(544,Engine!$C$2:$C$1369,0)))</f>
        <v/>
      </c>
      <c r="I557" s="9">
        <f>IF(ISNA(MATCH(544,Engine!$C$2:$C$1369,0)),"",INDEX('Compliance Database'!$I$2:$I$1369,MATCH(544,Engine!$C$2:$C$1369,0)))</f>
        <v/>
      </c>
      <c r="J557" s="8">
        <f>IF(ISNA(MATCH(544,Engine!$C$2:$C$1369,0)),"",INDEX('Compliance Database'!$J$2:$J$1369,MATCH(544,Engine!$C$2:$C$1369,0)))</f>
        <v/>
      </c>
      <c r="K557" s="9">
        <f>IF(ISNA(MATCH(544,Engine!$C$2:$C$1369,0)),"",INDEX('Compliance Database'!$K$2:$K$1369,MATCH(544,Engine!$C$2:$C$1369,0)))</f>
        <v/>
      </c>
      <c r="L557" s="9">
        <f>IF(ISNA(MATCH(544,Engine!$C$2:$C$1369,0)),"",INDEX('Compliance Database'!$L$2:$L$1369,MATCH(544,Engine!$C$2:$C$1369,0)))</f>
        <v/>
      </c>
      <c r="M557" s="9">
        <f>IF(ISNA(MATCH(544,Engine!$C$2:$C$1369,0)),"",INDEX('Compliance Database'!$M$2:$M$1369,MATCH(544,Engine!$C$2:$C$1369,0)))</f>
        <v/>
      </c>
      <c r="N557" s="9">
        <f>IF(ISNA(MATCH(544,Engine!$C$2:$C$1369,0)),"",INDEX('Compliance Database'!$N$2:$N$1369,MATCH(544,Engine!$C$2:$C$1369,0)))</f>
        <v/>
      </c>
      <c r="O557" s="8">
        <f>IF(ISNA(MATCH(544,Engine!$C$2:$C$1369,0)),"",HYPERLINK(INDEX('Compliance Database'!$O$2:$O$1369,MATCH(544,Engine!$C$2:$C$1369,0)),"Open PDF"))</f>
        <v/>
      </c>
    </row>
    <row r="558" ht="188" customHeight="1">
      <c r="A558" s="8">
        <f>IF(ISNA(MATCH(545,Engine!$C$2:$C$1369,0)),"",INDEX('Compliance Database'!$A$2:$A$1369,MATCH(545,Engine!$C$2:$C$1369,0)))</f>
        <v/>
      </c>
      <c r="B558" s="8">
        <f>IF(ISNA(MATCH(545,Engine!$C$2:$C$1369,0)),"",INDEX('Compliance Database'!$B$2:$B$1369,MATCH(545,Engine!$C$2:$C$1369,0)))</f>
        <v/>
      </c>
      <c r="C558" s="8">
        <f>IF(ISNA(MATCH(545,Engine!$C$2:$C$1369,0)),"",INDEX('Compliance Database'!$C$2:$C$1369,MATCH(545,Engine!$C$2:$C$1369,0)))</f>
        <v/>
      </c>
      <c r="D558" s="9">
        <f>IF(ISNA(MATCH(545,Engine!$C$2:$C$1369,0)),"",INDEX('Compliance Database'!$D$2:$D$1369,MATCH(545,Engine!$C$2:$C$1369,0)))</f>
        <v/>
      </c>
      <c r="E558" s="8">
        <f>IF(ISNA(MATCH(545,Engine!$C$2:$C$1369,0)),"",INDEX('Compliance Database'!$E$2:$E$1369,MATCH(545,Engine!$C$2:$C$1369,0)))</f>
        <v/>
      </c>
      <c r="F558" s="8">
        <f>IF(ISNA(MATCH(545,Engine!$C$2:$C$1369,0)),"",INDEX('Compliance Database'!$F$2:$F$1369,MATCH(545,Engine!$C$2:$C$1369,0)))</f>
        <v/>
      </c>
      <c r="G558" s="8">
        <f>IF(ISNA(MATCH(545,Engine!$C$2:$C$1369,0)),"",INDEX('Compliance Database'!$G$2:$G$1369,MATCH(545,Engine!$C$2:$C$1369,0)))</f>
        <v/>
      </c>
      <c r="H558" s="9">
        <f>IF(ISNA(MATCH(545,Engine!$C$2:$C$1369,0)),"",INDEX('Compliance Database'!$H$2:$H$1369,MATCH(545,Engine!$C$2:$C$1369,0)))</f>
        <v/>
      </c>
      <c r="I558" s="9">
        <f>IF(ISNA(MATCH(545,Engine!$C$2:$C$1369,0)),"",INDEX('Compliance Database'!$I$2:$I$1369,MATCH(545,Engine!$C$2:$C$1369,0)))</f>
        <v/>
      </c>
      <c r="J558" s="8">
        <f>IF(ISNA(MATCH(545,Engine!$C$2:$C$1369,0)),"",INDEX('Compliance Database'!$J$2:$J$1369,MATCH(545,Engine!$C$2:$C$1369,0)))</f>
        <v/>
      </c>
      <c r="K558" s="9">
        <f>IF(ISNA(MATCH(545,Engine!$C$2:$C$1369,0)),"",INDEX('Compliance Database'!$K$2:$K$1369,MATCH(545,Engine!$C$2:$C$1369,0)))</f>
        <v/>
      </c>
      <c r="L558" s="9">
        <f>IF(ISNA(MATCH(545,Engine!$C$2:$C$1369,0)),"",INDEX('Compliance Database'!$L$2:$L$1369,MATCH(545,Engine!$C$2:$C$1369,0)))</f>
        <v/>
      </c>
      <c r="M558" s="9">
        <f>IF(ISNA(MATCH(545,Engine!$C$2:$C$1369,0)),"",INDEX('Compliance Database'!$M$2:$M$1369,MATCH(545,Engine!$C$2:$C$1369,0)))</f>
        <v/>
      </c>
      <c r="N558" s="9">
        <f>IF(ISNA(MATCH(545,Engine!$C$2:$C$1369,0)),"",INDEX('Compliance Database'!$N$2:$N$1369,MATCH(545,Engine!$C$2:$C$1369,0)))</f>
        <v/>
      </c>
      <c r="O558" s="8">
        <f>IF(ISNA(MATCH(545,Engine!$C$2:$C$1369,0)),"",HYPERLINK(INDEX('Compliance Database'!$O$2:$O$1369,MATCH(545,Engine!$C$2:$C$1369,0)),"Open PDF"))</f>
        <v/>
      </c>
    </row>
    <row r="559" ht="188" customHeight="1">
      <c r="A559" s="8">
        <f>IF(ISNA(MATCH(546,Engine!$C$2:$C$1369,0)),"",INDEX('Compliance Database'!$A$2:$A$1369,MATCH(546,Engine!$C$2:$C$1369,0)))</f>
        <v/>
      </c>
      <c r="B559" s="8">
        <f>IF(ISNA(MATCH(546,Engine!$C$2:$C$1369,0)),"",INDEX('Compliance Database'!$B$2:$B$1369,MATCH(546,Engine!$C$2:$C$1369,0)))</f>
        <v/>
      </c>
      <c r="C559" s="8">
        <f>IF(ISNA(MATCH(546,Engine!$C$2:$C$1369,0)),"",INDEX('Compliance Database'!$C$2:$C$1369,MATCH(546,Engine!$C$2:$C$1369,0)))</f>
        <v/>
      </c>
      <c r="D559" s="9">
        <f>IF(ISNA(MATCH(546,Engine!$C$2:$C$1369,0)),"",INDEX('Compliance Database'!$D$2:$D$1369,MATCH(546,Engine!$C$2:$C$1369,0)))</f>
        <v/>
      </c>
      <c r="E559" s="8">
        <f>IF(ISNA(MATCH(546,Engine!$C$2:$C$1369,0)),"",INDEX('Compliance Database'!$E$2:$E$1369,MATCH(546,Engine!$C$2:$C$1369,0)))</f>
        <v/>
      </c>
      <c r="F559" s="8">
        <f>IF(ISNA(MATCH(546,Engine!$C$2:$C$1369,0)),"",INDEX('Compliance Database'!$F$2:$F$1369,MATCH(546,Engine!$C$2:$C$1369,0)))</f>
        <v/>
      </c>
      <c r="G559" s="8">
        <f>IF(ISNA(MATCH(546,Engine!$C$2:$C$1369,0)),"",INDEX('Compliance Database'!$G$2:$G$1369,MATCH(546,Engine!$C$2:$C$1369,0)))</f>
        <v/>
      </c>
      <c r="H559" s="9">
        <f>IF(ISNA(MATCH(546,Engine!$C$2:$C$1369,0)),"",INDEX('Compliance Database'!$H$2:$H$1369,MATCH(546,Engine!$C$2:$C$1369,0)))</f>
        <v/>
      </c>
      <c r="I559" s="9">
        <f>IF(ISNA(MATCH(546,Engine!$C$2:$C$1369,0)),"",INDEX('Compliance Database'!$I$2:$I$1369,MATCH(546,Engine!$C$2:$C$1369,0)))</f>
        <v/>
      </c>
      <c r="J559" s="8">
        <f>IF(ISNA(MATCH(546,Engine!$C$2:$C$1369,0)),"",INDEX('Compliance Database'!$J$2:$J$1369,MATCH(546,Engine!$C$2:$C$1369,0)))</f>
        <v/>
      </c>
      <c r="K559" s="9">
        <f>IF(ISNA(MATCH(546,Engine!$C$2:$C$1369,0)),"",INDEX('Compliance Database'!$K$2:$K$1369,MATCH(546,Engine!$C$2:$C$1369,0)))</f>
        <v/>
      </c>
      <c r="L559" s="9">
        <f>IF(ISNA(MATCH(546,Engine!$C$2:$C$1369,0)),"",INDEX('Compliance Database'!$L$2:$L$1369,MATCH(546,Engine!$C$2:$C$1369,0)))</f>
        <v/>
      </c>
      <c r="M559" s="9">
        <f>IF(ISNA(MATCH(546,Engine!$C$2:$C$1369,0)),"",INDEX('Compliance Database'!$M$2:$M$1369,MATCH(546,Engine!$C$2:$C$1369,0)))</f>
        <v/>
      </c>
      <c r="N559" s="9">
        <f>IF(ISNA(MATCH(546,Engine!$C$2:$C$1369,0)),"",INDEX('Compliance Database'!$N$2:$N$1369,MATCH(546,Engine!$C$2:$C$1369,0)))</f>
        <v/>
      </c>
      <c r="O559" s="8">
        <f>IF(ISNA(MATCH(546,Engine!$C$2:$C$1369,0)),"",HYPERLINK(INDEX('Compliance Database'!$O$2:$O$1369,MATCH(546,Engine!$C$2:$C$1369,0)),"Open PDF"))</f>
        <v/>
      </c>
    </row>
    <row r="560" ht="188" customHeight="1">
      <c r="A560" s="8">
        <f>IF(ISNA(MATCH(547,Engine!$C$2:$C$1369,0)),"",INDEX('Compliance Database'!$A$2:$A$1369,MATCH(547,Engine!$C$2:$C$1369,0)))</f>
        <v/>
      </c>
      <c r="B560" s="8">
        <f>IF(ISNA(MATCH(547,Engine!$C$2:$C$1369,0)),"",INDEX('Compliance Database'!$B$2:$B$1369,MATCH(547,Engine!$C$2:$C$1369,0)))</f>
        <v/>
      </c>
      <c r="C560" s="8">
        <f>IF(ISNA(MATCH(547,Engine!$C$2:$C$1369,0)),"",INDEX('Compliance Database'!$C$2:$C$1369,MATCH(547,Engine!$C$2:$C$1369,0)))</f>
        <v/>
      </c>
      <c r="D560" s="9">
        <f>IF(ISNA(MATCH(547,Engine!$C$2:$C$1369,0)),"",INDEX('Compliance Database'!$D$2:$D$1369,MATCH(547,Engine!$C$2:$C$1369,0)))</f>
        <v/>
      </c>
      <c r="E560" s="8">
        <f>IF(ISNA(MATCH(547,Engine!$C$2:$C$1369,0)),"",INDEX('Compliance Database'!$E$2:$E$1369,MATCH(547,Engine!$C$2:$C$1369,0)))</f>
        <v/>
      </c>
      <c r="F560" s="8">
        <f>IF(ISNA(MATCH(547,Engine!$C$2:$C$1369,0)),"",INDEX('Compliance Database'!$F$2:$F$1369,MATCH(547,Engine!$C$2:$C$1369,0)))</f>
        <v/>
      </c>
      <c r="G560" s="8">
        <f>IF(ISNA(MATCH(547,Engine!$C$2:$C$1369,0)),"",INDEX('Compliance Database'!$G$2:$G$1369,MATCH(547,Engine!$C$2:$C$1369,0)))</f>
        <v/>
      </c>
      <c r="H560" s="9">
        <f>IF(ISNA(MATCH(547,Engine!$C$2:$C$1369,0)),"",INDEX('Compliance Database'!$H$2:$H$1369,MATCH(547,Engine!$C$2:$C$1369,0)))</f>
        <v/>
      </c>
      <c r="I560" s="9">
        <f>IF(ISNA(MATCH(547,Engine!$C$2:$C$1369,0)),"",INDEX('Compliance Database'!$I$2:$I$1369,MATCH(547,Engine!$C$2:$C$1369,0)))</f>
        <v/>
      </c>
      <c r="J560" s="8">
        <f>IF(ISNA(MATCH(547,Engine!$C$2:$C$1369,0)),"",INDEX('Compliance Database'!$J$2:$J$1369,MATCH(547,Engine!$C$2:$C$1369,0)))</f>
        <v/>
      </c>
      <c r="K560" s="9">
        <f>IF(ISNA(MATCH(547,Engine!$C$2:$C$1369,0)),"",INDEX('Compliance Database'!$K$2:$K$1369,MATCH(547,Engine!$C$2:$C$1369,0)))</f>
        <v/>
      </c>
      <c r="L560" s="9">
        <f>IF(ISNA(MATCH(547,Engine!$C$2:$C$1369,0)),"",INDEX('Compliance Database'!$L$2:$L$1369,MATCH(547,Engine!$C$2:$C$1369,0)))</f>
        <v/>
      </c>
      <c r="M560" s="9">
        <f>IF(ISNA(MATCH(547,Engine!$C$2:$C$1369,0)),"",INDEX('Compliance Database'!$M$2:$M$1369,MATCH(547,Engine!$C$2:$C$1369,0)))</f>
        <v/>
      </c>
      <c r="N560" s="9">
        <f>IF(ISNA(MATCH(547,Engine!$C$2:$C$1369,0)),"",INDEX('Compliance Database'!$N$2:$N$1369,MATCH(547,Engine!$C$2:$C$1369,0)))</f>
        <v/>
      </c>
      <c r="O560" s="8">
        <f>IF(ISNA(MATCH(547,Engine!$C$2:$C$1369,0)),"",HYPERLINK(INDEX('Compliance Database'!$O$2:$O$1369,MATCH(547,Engine!$C$2:$C$1369,0)),"Open PDF"))</f>
        <v/>
      </c>
    </row>
    <row r="561" ht="188" customHeight="1">
      <c r="A561" s="8">
        <f>IF(ISNA(MATCH(548,Engine!$C$2:$C$1369,0)),"",INDEX('Compliance Database'!$A$2:$A$1369,MATCH(548,Engine!$C$2:$C$1369,0)))</f>
        <v/>
      </c>
      <c r="B561" s="8">
        <f>IF(ISNA(MATCH(548,Engine!$C$2:$C$1369,0)),"",INDEX('Compliance Database'!$B$2:$B$1369,MATCH(548,Engine!$C$2:$C$1369,0)))</f>
        <v/>
      </c>
      <c r="C561" s="8">
        <f>IF(ISNA(MATCH(548,Engine!$C$2:$C$1369,0)),"",INDEX('Compliance Database'!$C$2:$C$1369,MATCH(548,Engine!$C$2:$C$1369,0)))</f>
        <v/>
      </c>
      <c r="D561" s="9">
        <f>IF(ISNA(MATCH(548,Engine!$C$2:$C$1369,0)),"",INDEX('Compliance Database'!$D$2:$D$1369,MATCH(548,Engine!$C$2:$C$1369,0)))</f>
        <v/>
      </c>
      <c r="E561" s="8">
        <f>IF(ISNA(MATCH(548,Engine!$C$2:$C$1369,0)),"",INDEX('Compliance Database'!$E$2:$E$1369,MATCH(548,Engine!$C$2:$C$1369,0)))</f>
        <v/>
      </c>
      <c r="F561" s="8">
        <f>IF(ISNA(MATCH(548,Engine!$C$2:$C$1369,0)),"",INDEX('Compliance Database'!$F$2:$F$1369,MATCH(548,Engine!$C$2:$C$1369,0)))</f>
        <v/>
      </c>
      <c r="G561" s="8">
        <f>IF(ISNA(MATCH(548,Engine!$C$2:$C$1369,0)),"",INDEX('Compliance Database'!$G$2:$G$1369,MATCH(548,Engine!$C$2:$C$1369,0)))</f>
        <v/>
      </c>
      <c r="H561" s="9">
        <f>IF(ISNA(MATCH(548,Engine!$C$2:$C$1369,0)),"",INDEX('Compliance Database'!$H$2:$H$1369,MATCH(548,Engine!$C$2:$C$1369,0)))</f>
        <v/>
      </c>
      <c r="I561" s="9">
        <f>IF(ISNA(MATCH(548,Engine!$C$2:$C$1369,0)),"",INDEX('Compliance Database'!$I$2:$I$1369,MATCH(548,Engine!$C$2:$C$1369,0)))</f>
        <v/>
      </c>
      <c r="J561" s="8">
        <f>IF(ISNA(MATCH(548,Engine!$C$2:$C$1369,0)),"",INDEX('Compliance Database'!$J$2:$J$1369,MATCH(548,Engine!$C$2:$C$1369,0)))</f>
        <v/>
      </c>
      <c r="K561" s="9">
        <f>IF(ISNA(MATCH(548,Engine!$C$2:$C$1369,0)),"",INDEX('Compliance Database'!$K$2:$K$1369,MATCH(548,Engine!$C$2:$C$1369,0)))</f>
        <v/>
      </c>
      <c r="L561" s="9">
        <f>IF(ISNA(MATCH(548,Engine!$C$2:$C$1369,0)),"",INDEX('Compliance Database'!$L$2:$L$1369,MATCH(548,Engine!$C$2:$C$1369,0)))</f>
        <v/>
      </c>
      <c r="M561" s="9">
        <f>IF(ISNA(MATCH(548,Engine!$C$2:$C$1369,0)),"",INDEX('Compliance Database'!$M$2:$M$1369,MATCH(548,Engine!$C$2:$C$1369,0)))</f>
        <v/>
      </c>
      <c r="N561" s="9">
        <f>IF(ISNA(MATCH(548,Engine!$C$2:$C$1369,0)),"",INDEX('Compliance Database'!$N$2:$N$1369,MATCH(548,Engine!$C$2:$C$1369,0)))</f>
        <v/>
      </c>
      <c r="O561" s="8">
        <f>IF(ISNA(MATCH(548,Engine!$C$2:$C$1369,0)),"",HYPERLINK(INDEX('Compliance Database'!$O$2:$O$1369,MATCH(548,Engine!$C$2:$C$1369,0)),"Open PDF"))</f>
        <v/>
      </c>
    </row>
    <row r="562" ht="188" customHeight="1">
      <c r="A562" s="8">
        <f>IF(ISNA(MATCH(549,Engine!$C$2:$C$1369,0)),"",INDEX('Compliance Database'!$A$2:$A$1369,MATCH(549,Engine!$C$2:$C$1369,0)))</f>
        <v/>
      </c>
      <c r="B562" s="8">
        <f>IF(ISNA(MATCH(549,Engine!$C$2:$C$1369,0)),"",INDEX('Compliance Database'!$B$2:$B$1369,MATCH(549,Engine!$C$2:$C$1369,0)))</f>
        <v/>
      </c>
      <c r="C562" s="8">
        <f>IF(ISNA(MATCH(549,Engine!$C$2:$C$1369,0)),"",INDEX('Compliance Database'!$C$2:$C$1369,MATCH(549,Engine!$C$2:$C$1369,0)))</f>
        <v/>
      </c>
      <c r="D562" s="9">
        <f>IF(ISNA(MATCH(549,Engine!$C$2:$C$1369,0)),"",INDEX('Compliance Database'!$D$2:$D$1369,MATCH(549,Engine!$C$2:$C$1369,0)))</f>
        <v/>
      </c>
      <c r="E562" s="8">
        <f>IF(ISNA(MATCH(549,Engine!$C$2:$C$1369,0)),"",INDEX('Compliance Database'!$E$2:$E$1369,MATCH(549,Engine!$C$2:$C$1369,0)))</f>
        <v/>
      </c>
      <c r="F562" s="8">
        <f>IF(ISNA(MATCH(549,Engine!$C$2:$C$1369,0)),"",INDEX('Compliance Database'!$F$2:$F$1369,MATCH(549,Engine!$C$2:$C$1369,0)))</f>
        <v/>
      </c>
      <c r="G562" s="8">
        <f>IF(ISNA(MATCH(549,Engine!$C$2:$C$1369,0)),"",INDEX('Compliance Database'!$G$2:$G$1369,MATCH(549,Engine!$C$2:$C$1369,0)))</f>
        <v/>
      </c>
      <c r="H562" s="9">
        <f>IF(ISNA(MATCH(549,Engine!$C$2:$C$1369,0)),"",INDEX('Compliance Database'!$H$2:$H$1369,MATCH(549,Engine!$C$2:$C$1369,0)))</f>
        <v/>
      </c>
      <c r="I562" s="9">
        <f>IF(ISNA(MATCH(549,Engine!$C$2:$C$1369,0)),"",INDEX('Compliance Database'!$I$2:$I$1369,MATCH(549,Engine!$C$2:$C$1369,0)))</f>
        <v/>
      </c>
      <c r="J562" s="8">
        <f>IF(ISNA(MATCH(549,Engine!$C$2:$C$1369,0)),"",INDEX('Compliance Database'!$J$2:$J$1369,MATCH(549,Engine!$C$2:$C$1369,0)))</f>
        <v/>
      </c>
      <c r="K562" s="9">
        <f>IF(ISNA(MATCH(549,Engine!$C$2:$C$1369,0)),"",INDEX('Compliance Database'!$K$2:$K$1369,MATCH(549,Engine!$C$2:$C$1369,0)))</f>
        <v/>
      </c>
      <c r="L562" s="9">
        <f>IF(ISNA(MATCH(549,Engine!$C$2:$C$1369,0)),"",INDEX('Compliance Database'!$L$2:$L$1369,MATCH(549,Engine!$C$2:$C$1369,0)))</f>
        <v/>
      </c>
      <c r="M562" s="9">
        <f>IF(ISNA(MATCH(549,Engine!$C$2:$C$1369,0)),"",INDEX('Compliance Database'!$M$2:$M$1369,MATCH(549,Engine!$C$2:$C$1369,0)))</f>
        <v/>
      </c>
      <c r="N562" s="9">
        <f>IF(ISNA(MATCH(549,Engine!$C$2:$C$1369,0)),"",INDEX('Compliance Database'!$N$2:$N$1369,MATCH(549,Engine!$C$2:$C$1369,0)))</f>
        <v/>
      </c>
      <c r="O562" s="8">
        <f>IF(ISNA(MATCH(549,Engine!$C$2:$C$1369,0)),"",HYPERLINK(INDEX('Compliance Database'!$O$2:$O$1369,MATCH(549,Engine!$C$2:$C$1369,0)),"Open PDF"))</f>
        <v/>
      </c>
    </row>
    <row r="563" ht="188" customHeight="1">
      <c r="A563" s="8">
        <f>IF(ISNA(MATCH(550,Engine!$C$2:$C$1369,0)),"",INDEX('Compliance Database'!$A$2:$A$1369,MATCH(550,Engine!$C$2:$C$1369,0)))</f>
        <v/>
      </c>
      <c r="B563" s="8">
        <f>IF(ISNA(MATCH(550,Engine!$C$2:$C$1369,0)),"",INDEX('Compliance Database'!$B$2:$B$1369,MATCH(550,Engine!$C$2:$C$1369,0)))</f>
        <v/>
      </c>
      <c r="C563" s="8">
        <f>IF(ISNA(MATCH(550,Engine!$C$2:$C$1369,0)),"",INDEX('Compliance Database'!$C$2:$C$1369,MATCH(550,Engine!$C$2:$C$1369,0)))</f>
        <v/>
      </c>
      <c r="D563" s="9">
        <f>IF(ISNA(MATCH(550,Engine!$C$2:$C$1369,0)),"",INDEX('Compliance Database'!$D$2:$D$1369,MATCH(550,Engine!$C$2:$C$1369,0)))</f>
        <v/>
      </c>
      <c r="E563" s="8">
        <f>IF(ISNA(MATCH(550,Engine!$C$2:$C$1369,0)),"",INDEX('Compliance Database'!$E$2:$E$1369,MATCH(550,Engine!$C$2:$C$1369,0)))</f>
        <v/>
      </c>
      <c r="F563" s="8">
        <f>IF(ISNA(MATCH(550,Engine!$C$2:$C$1369,0)),"",INDEX('Compliance Database'!$F$2:$F$1369,MATCH(550,Engine!$C$2:$C$1369,0)))</f>
        <v/>
      </c>
      <c r="G563" s="8">
        <f>IF(ISNA(MATCH(550,Engine!$C$2:$C$1369,0)),"",INDEX('Compliance Database'!$G$2:$G$1369,MATCH(550,Engine!$C$2:$C$1369,0)))</f>
        <v/>
      </c>
      <c r="H563" s="9">
        <f>IF(ISNA(MATCH(550,Engine!$C$2:$C$1369,0)),"",INDEX('Compliance Database'!$H$2:$H$1369,MATCH(550,Engine!$C$2:$C$1369,0)))</f>
        <v/>
      </c>
      <c r="I563" s="9">
        <f>IF(ISNA(MATCH(550,Engine!$C$2:$C$1369,0)),"",INDEX('Compliance Database'!$I$2:$I$1369,MATCH(550,Engine!$C$2:$C$1369,0)))</f>
        <v/>
      </c>
      <c r="J563" s="8">
        <f>IF(ISNA(MATCH(550,Engine!$C$2:$C$1369,0)),"",INDEX('Compliance Database'!$J$2:$J$1369,MATCH(550,Engine!$C$2:$C$1369,0)))</f>
        <v/>
      </c>
      <c r="K563" s="9">
        <f>IF(ISNA(MATCH(550,Engine!$C$2:$C$1369,0)),"",INDEX('Compliance Database'!$K$2:$K$1369,MATCH(550,Engine!$C$2:$C$1369,0)))</f>
        <v/>
      </c>
      <c r="L563" s="9">
        <f>IF(ISNA(MATCH(550,Engine!$C$2:$C$1369,0)),"",INDEX('Compliance Database'!$L$2:$L$1369,MATCH(550,Engine!$C$2:$C$1369,0)))</f>
        <v/>
      </c>
      <c r="M563" s="9">
        <f>IF(ISNA(MATCH(550,Engine!$C$2:$C$1369,0)),"",INDEX('Compliance Database'!$M$2:$M$1369,MATCH(550,Engine!$C$2:$C$1369,0)))</f>
        <v/>
      </c>
      <c r="N563" s="9">
        <f>IF(ISNA(MATCH(550,Engine!$C$2:$C$1369,0)),"",INDEX('Compliance Database'!$N$2:$N$1369,MATCH(550,Engine!$C$2:$C$1369,0)))</f>
        <v/>
      </c>
      <c r="O563" s="8">
        <f>IF(ISNA(MATCH(550,Engine!$C$2:$C$1369,0)),"",HYPERLINK(INDEX('Compliance Database'!$O$2:$O$1369,MATCH(550,Engine!$C$2:$C$1369,0)),"Open PDF"))</f>
        <v/>
      </c>
    </row>
    <row r="564" ht="188" customHeight="1">
      <c r="A564" s="8">
        <f>IF(ISNA(MATCH(551,Engine!$C$2:$C$1369,0)),"",INDEX('Compliance Database'!$A$2:$A$1369,MATCH(551,Engine!$C$2:$C$1369,0)))</f>
        <v/>
      </c>
      <c r="B564" s="8">
        <f>IF(ISNA(MATCH(551,Engine!$C$2:$C$1369,0)),"",INDEX('Compliance Database'!$B$2:$B$1369,MATCH(551,Engine!$C$2:$C$1369,0)))</f>
        <v/>
      </c>
      <c r="C564" s="8">
        <f>IF(ISNA(MATCH(551,Engine!$C$2:$C$1369,0)),"",INDEX('Compliance Database'!$C$2:$C$1369,MATCH(551,Engine!$C$2:$C$1369,0)))</f>
        <v/>
      </c>
      <c r="D564" s="9">
        <f>IF(ISNA(MATCH(551,Engine!$C$2:$C$1369,0)),"",INDEX('Compliance Database'!$D$2:$D$1369,MATCH(551,Engine!$C$2:$C$1369,0)))</f>
        <v/>
      </c>
      <c r="E564" s="8">
        <f>IF(ISNA(MATCH(551,Engine!$C$2:$C$1369,0)),"",INDEX('Compliance Database'!$E$2:$E$1369,MATCH(551,Engine!$C$2:$C$1369,0)))</f>
        <v/>
      </c>
      <c r="F564" s="8">
        <f>IF(ISNA(MATCH(551,Engine!$C$2:$C$1369,0)),"",INDEX('Compliance Database'!$F$2:$F$1369,MATCH(551,Engine!$C$2:$C$1369,0)))</f>
        <v/>
      </c>
      <c r="G564" s="8">
        <f>IF(ISNA(MATCH(551,Engine!$C$2:$C$1369,0)),"",INDEX('Compliance Database'!$G$2:$G$1369,MATCH(551,Engine!$C$2:$C$1369,0)))</f>
        <v/>
      </c>
      <c r="H564" s="9">
        <f>IF(ISNA(MATCH(551,Engine!$C$2:$C$1369,0)),"",INDEX('Compliance Database'!$H$2:$H$1369,MATCH(551,Engine!$C$2:$C$1369,0)))</f>
        <v/>
      </c>
      <c r="I564" s="9">
        <f>IF(ISNA(MATCH(551,Engine!$C$2:$C$1369,0)),"",INDEX('Compliance Database'!$I$2:$I$1369,MATCH(551,Engine!$C$2:$C$1369,0)))</f>
        <v/>
      </c>
      <c r="J564" s="8">
        <f>IF(ISNA(MATCH(551,Engine!$C$2:$C$1369,0)),"",INDEX('Compliance Database'!$J$2:$J$1369,MATCH(551,Engine!$C$2:$C$1369,0)))</f>
        <v/>
      </c>
      <c r="K564" s="9">
        <f>IF(ISNA(MATCH(551,Engine!$C$2:$C$1369,0)),"",INDEX('Compliance Database'!$K$2:$K$1369,MATCH(551,Engine!$C$2:$C$1369,0)))</f>
        <v/>
      </c>
      <c r="L564" s="9">
        <f>IF(ISNA(MATCH(551,Engine!$C$2:$C$1369,0)),"",INDEX('Compliance Database'!$L$2:$L$1369,MATCH(551,Engine!$C$2:$C$1369,0)))</f>
        <v/>
      </c>
      <c r="M564" s="9">
        <f>IF(ISNA(MATCH(551,Engine!$C$2:$C$1369,0)),"",INDEX('Compliance Database'!$M$2:$M$1369,MATCH(551,Engine!$C$2:$C$1369,0)))</f>
        <v/>
      </c>
      <c r="N564" s="9">
        <f>IF(ISNA(MATCH(551,Engine!$C$2:$C$1369,0)),"",INDEX('Compliance Database'!$N$2:$N$1369,MATCH(551,Engine!$C$2:$C$1369,0)))</f>
        <v/>
      </c>
      <c r="O564" s="8">
        <f>IF(ISNA(MATCH(551,Engine!$C$2:$C$1369,0)),"",HYPERLINK(INDEX('Compliance Database'!$O$2:$O$1369,MATCH(551,Engine!$C$2:$C$1369,0)),"Open PDF"))</f>
        <v/>
      </c>
    </row>
    <row r="565" ht="188" customHeight="1">
      <c r="A565" s="8">
        <f>IF(ISNA(MATCH(552,Engine!$C$2:$C$1369,0)),"",INDEX('Compliance Database'!$A$2:$A$1369,MATCH(552,Engine!$C$2:$C$1369,0)))</f>
        <v/>
      </c>
      <c r="B565" s="8">
        <f>IF(ISNA(MATCH(552,Engine!$C$2:$C$1369,0)),"",INDEX('Compliance Database'!$B$2:$B$1369,MATCH(552,Engine!$C$2:$C$1369,0)))</f>
        <v/>
      </c>
      <c r="C565" s="8">
        <f>IF(ISNA(MATCH(552,Engine!$C$2:$C$1369,0)),"",INDEX('Compliance Database'!$C$2:$C$1369,MATCH(552,Engine!$C$2:$C$1369,0)))</f>
        <v/>
      </c>
      <c r="D565" s="9">
        <f>IF(ISNA(MATCH(552,Engine!$C$2:$C$1369,0)),"",INDEX('Compliance Database'!$D$2:$D$1369,MATCH(552,Engine!$C$2:$C$1369,0)))</f>
        <v/>
      </c>
      <c r="E565" s="8">
        <f>IF(ISNA(MATCH(552,Engine!$C$2:$C$1369,0)),"",INDEX('Compliance Database'!$E$2:$E$1369,MATCH(552,Engine!$C$2:$C$1369,0)))</f>
        <v/>
      </c>
      <c r="F565" s="8">
        <f>IF(ISNA(MATCH(552,Engine!$C$2:$C$1369,0)),"",INDEX('Compliance Database'!$F$2:$F$1369,MATCH(552,Engine!$C$2:$C$1369,0)))</f>
        <v/>
      </c>
      <c r="G565" s="8">
        <f>IF(ISNA(MATCH(552,Engine!$C$2:$C$1369,0)),"",INDEX('Compliance Database'!$G$2:$G$1369,MATCH(552,Engine!$C$2:$C$1369,0)))</f>
        <v/>
      </c>
      <c r="H565" s="9">
        <f>IF(ISNA(MATCH(552,Engine!$C$2:$C$1369,0)),"",INDEX('Compliance Database'!$H$2:$H$1369,MATCH(552,Engine!$C$2:$C$1369,0)))</f>
        <v/>
      </c>
      <c r="I565" s="9">
        <f>IF(ISNA(MATCH(552,Engine!$C$2:$C$1369,0)),"",INDEX('Compliance Database'!$I$2:$I$1369,MATCH(552,Engine!$C$2:$C$1369,0)))</f>
        <v/>
      </c>
      <c r="J565" s="8">
        <f>IF(ISNA(MATCH(552,Engine!$C$2:$C$1369,0)),"",INDEX('Compliance Database'!$J$2:$J$1369,MATCH(552,Engine!$C$2:$C$1369,0)))</f>
        <v/>
      </c>
      <c r="K565" s="9">
        <f>IF(ISNA(MATCH(552,Engine!$C$2:$C$1369,0)),"",INDEX('Compliance Database'!$K$2:$K$1369,MATCH(552,Engine!$C$2:$C$1369,0)))</f>
        <v/>
      </c>
      <c r="L565" s="9">
        <f>IF(ISNA(MATCH(552,Engine!$C$2:$C$1369,0)),"",INDEX('Compliance Database'!$L$2:$L$1369,MATCH(552,Engine!$C$2:$C$1369,0)))</f>
        <v/>
      </c>
      <c r="M565" s="9">
        <f>IF(ISNA(MATCH(552,Engine!$C$2:$C$1369,0)),"",INDEX('Compliance Database'!$M$2:$M$1369,MATCH(552,Engine!$C$2:$C$1369,0)))</f>
        <v/>
      </c>
      <c r="N565" s="9">
        <f>IF(ISNA(MATCH(552,Engine!$C$2:$C$1369,0)),"",INDEX('Compliance Database'!$N$2:$N$1369,MATCH(552,Engine!$C$2:$C$1369,0)))</f>
        <v/>
      </c>
      <c r="O565" s="8">
        <f>IF(ISNA(MATCH(552,Engine!$C$2:$C$1369,0)),"",HYPERLINK(INDEX('Compliance Database'!$O$2:$O$1369,MATCH(552,Engine!$C$2:$C$1369,0)),"Open PDF"))</f>
        <v/>
      </c>
    </row>
    <row r="566" ht="188" customHeight="1">
      <c r="A566" s="8">
        <f>IF(ISNA(MATCH(553,Engine!$C$2:$C$1369,0)),"",INDEX('Compliance Database'!$A$2:$A$1369,MATCH(553,Engine!$C$2:$C$1369,0)))</f>
        <v/>
      </c>
      <c r="B566" s="8">
        <f>IF(ISNA(MATCH(553,Engine!$C$2:$C$1369,0)),"",INDEX('Compliance Database'!$B$2:$B$1369,MATCH(553,Engine!$C$2:$C$1369,0)))</f>
        <v/>
      </c>
      <c r="C566" s="8">
        <f>IF(ISNA(MATCH(553,Engine!$C$2:$C$1369,0)),"",INDEX('Compliance Database'!$C$2:$C$1369,MATCH(553,Engine!$C$2:$C$1369,0)))</f>
        <v/>
      </c>
      <c r="D566" s="9">
        <f>IF(ISNA(MATCH(553,Engine!$C$2:$C$1369,0)),"",INDEX('Compliance Database'!$D$2:$D$1369,MATCH(553,Engine!$C$2:$C$1369,0)))</f>
        <v/>
      </c>
      <c r="E566" s="8">
        <f>IF(ISNA(MATCH(553,Engine!$C$2:$C$1369,0)),"",INDEX('Compliance Database'!$E$2:$E$1369,MATCH(553,Engine!$C$2:$C$1369,0)))</f>
        <v/>
      </c>
      <c r="F566" s="8">
        <f>IF(ISNA(MATCH(553,Engine!$C$2:$C$1369,0)),"",INDEX('Compliance Database'!$F$2:$F$1369,MATCH(553,Engine!$C$2:$C$1369,0)))</f>
        <v/>
      </c>
      <c r="G566" s="8">
        <f>IF(ISNA(MATCH(553,Engine!$C$2:$C$1369,0)),"",INDEX('Compliance Database'!$G$2:$G$1369,MATCH(553,Engine!$C$2:$C$1369,0)))</f>
        <v/>
      </c>
      <c r="H566" s="9">
        <f>IF(ISNA(MATCH(553,Engine!$C$2:$C$1369,0)),"",INDEX('Compliance Database'!$H$2:$H$1369,MATCH(553,Engine!$C$2:$C$1369,0)))</f>
        <v/>
      </c>
      <c r="I566" s="9">
        <f>IF(ISNA(MATCH(553,Engine!$C$2:$C$1369,0)),"",INDEX('Compliance Database'!$I$2:$I$1369,MATCH(553,Engine!$C$2:$C$1369,0)))</f>
        <v/>
      </c>
      <c r="J566" s="8">
        <f>IF(ISNA(MATCH(553,Engine!$C$2:$C$1369,0)),"",INDEX('Compliance Database'!$J$2:$J$1369,MATCH(553,Engine!$C$2:$C$1369,0)))</f>
        <v/>
      </c>
      <c r="K566" s="9">
        <f>IF(ISNA(MATCH(553,Engine!$C$2:$C$1369,0)),"",INDEX('Compliance Database'!$K$2:$K$1369,MATCH(553,Engine!$C$2:$C$1369,0)))</f>
        <v/>
      </c>
      <c r="L566" s="9">
        <f>IF(ISNA(MATCH(553,Engine!$C$2:$C$1369,0)),"",INDEX('Compliance Database'!$L$2:$L$1369,MATCH(553,Engine!$C$2:$C$1369,0)))</f>
        <v/>
      </c>
      <c r="M566" s="9">
        <f>IF(ISNA(MATCH(553,Engine!$C$2:$C$1369,0)),"",INDEX('Compliance Database'!$M$2:$M$1369,MATCH(553,Engine!$C$2:$C$1369,0)))</f>
        <v/>
      </c>
      <c r="N566" s="9">
        <f>IF(ISNA(MATCH(553,Engine!$C$2:$C$1369,0)),"",INDEX('Compliance Database'!$N$2:$N$1369,MATCH(553,Engine!$C$2:$C$1369,0)))</f>
        <v/>
      </c>
      <c r="O566" s="8">
        <f>IF(ISNA(MATCH(553,Engine!$C$2:$C$1369,0)),"",HYPERLINK(INDEX('Compliance Database'!$O$2:$O$1369,MATCH(553,Engine!$C$2:$C$1369,0)),"Open PDF"))</f>
        <v/>
      </c>
    </row>
    <row r="567" ht="188" customHeight="1">
      <c r="A567" s="8">
        <f>IF(ISNA(MATCH(554,Engine!$C$2:$C$1369,0)),"",INDEX('Compliance Database'!$A$2:$A$1369,MATCH(554,Engine!$C$2:$C$1369,0)))</f>
        <v/>
      </c>
      <c r="B567" s="8">
        <f>IF(ISNA(MATCH(554,Engine!$C$2:$C$1369,0)),"",INDEX('Compliance Database'!$B$2:$B$1369,MATCH(554,Engine!$C$2:$C$1369,0)))</f>
        <v/>
      </c>
      <c r="C567" s="8">
        <f>IF(ISNA(MATCH(554,Engine!$C$2:$C$1369,0)),"",INDEX('Compliance Database'!$C$2:$C$1369,MATCH(554,Engine!$C$2:$C$1369,0)))</f>
        <v/>
      </c>
      <c r="D567" s="9">
        <f>IF(ISNA(MATCH(554,Engine!$C$2:$C$1369,0)),"",INDEX('Compliance Database'!$D$2:$D$1369,MATCH(554,Engine!$C$2:$C$1369,0)))</f>
        <v/>
      </c>
      <c r="E567" s="8">
        <f>IF(ISNA(MATCH(554,Engine!$C$2:$C$1369,0)),"",INDEX('Compliance Database'!$E$2:$E$1369,MATCH(554,Engine!$C$2:$C$1369,0)))</f>
        <v/>
      </c>
      <c r="F567" s="8">
        <f>IF(ISNA(MATCH(554,Engine!$C$2:$C$1369,0)),"",INDEX('Compliance Database'!$F$2:$F$1369,MATCH(554,Engine!$C$2:$C$1369,0)))</f>
        <v/>
      </c>
      <c r="G567" s="8">
        <f>IF(ISNA(MATCH(554,Engine!$C$2:$C$1369,0)),"",INDEX('Compliance Database'!$G$2:$G$1369,MATCH(554,Engine!$C$2:$C$1369,0)))</f>
        <v/>
      </c>
      <c r="H567" s="9">
        <f>IF(ISNA(MATCH(554,Engine!$C$2:$C$1369,0)),"",INDEX('Compliance Database'!$H$2:$H$1369,MATCH(554,Engine!$C$2:$C$1369,0)))</f>
        <v/>
      </c>
      <c r="I567" s="9">
        <f>IF(ISNA(MATCH(554,Engine!$C$2:$C$1369,0)),"",INDEX('Compliance Database'!$I$2:$I$1369,MATCH(554,Engine!$C$2:$C$1369,0)))</f>
        <v/>
      </c>
      <c r="J567" s="8">
        <f>IF(ISNA(MATCH(554,Engine!$C$2:$C$1369,0)),"",INDEX('Compliance Database'!$J$2:$J$1369,MATCH(554,Engine!$C$2:$C$1369,0)))</f>
        <v/>
      </c>
      <c r="K567" s="9">
        <f>IF(ISNA(MATCH(554,Engine!$C$2:$C$1369,0)),"",INDEX('Compliance Database'!$K$2:$K$1369,MATCH(554,Engine!$C$2:$C$1369,0)))</f>
        <v/>
      </c>
      <c r="L567" s="9">
        <f>IF(ISNA(MATCH(554,Engine!$C$2:$C$1369,0)),"",INDEX('Compliance Database'!$L$2:$L$1369,MATCH(554,Engine!$C$2:$C$1369,0)))</f>
        <v/>
      </c>
      <c r="M567" s="9">
        <f>IF(ISNA(MATCH(554,Engine!$C$2:$C$1369,0)),"",INDEX('Compliance Database'!$M$2:$M$1369,MATCH(554,Engine!$C$2:$C$1369,0)))</f>
        <v/>
      </c>
      <c r="N567" s="9">
        <f>IF(ISNA(MATCH(554,Engine!$C$2:$C$1369,0)),"",INDEX('Compliance Database'!$N$2:$N$1369,MATCH(554,Engine!$C$2:$C$1369,0)))</f>
        <v/>
      </c>
      <c r="O567" s="8">
        <f>IF(ISNA(MATCH(554,Engine!$C$2:$C$1369,0)),"",HYPERLINK(INDEX('Compliance Database'!$O$2:$O$1369,MATCH(554,Engine!$C$2:$C$1369,0)),"Open PDF"))</f>
        <v/>
      </c>
    </row>
    <row r="568" ht="188" customHeight="1">
      <c r="A568" s="8">
        <f>IF(ISNA(MATCH(555,Engine!$C$2:$C$1369,0)),"",INDEX('Compliance Database'!$A$2:$A$1369,MATCH(555,Engine!$C$2:$C$1369,0)))</f>
        <v/>
      </c>
      <c r="B568" s="8">
        <f>IF(ISNA(MATCH(555,Engine!$C$2:$C$1369,0)),"",INDEX('Compliance Database'!$B$2:$B$1369,MATCH(555,Engine!$C$2:$C$1369,0)))</f>
        <v/>
      </c>
      <c r="C568" s="8">
        <f>IF(ISNA(MATCH(555,Engine!$C$2:$C$1369,0)),"",INDEX('Compliance Database'!$C$2:$C$1369,MATCH(555,Engine!$C$2:$C$1369,0)))</f>
        <v/>
      </c>
      <c r="D568" s="9">
        <f>IF(ISNA(MATCH(555,Engine!$C$2:$C$1369,0)),"",INDEX('Compliance Database'!$D$2:$D$1369,MATCH(555,Engine!$C$2:$C$1369,0)))</f>
        <v/>
      </c>
      <c r="E568" s="8">
        <f>IF(ISNA(MATCH(555,Engine!$C$2:$C$1369,0)),"",INDEX('Compliance Database'!$E$2:$E$1369,MATCH(555,Engine!$C$2:$C$1369,0)))</f>
        <v/>
      </c>
      <c r="F568" s="8">
        <f>IF(ISNA(MATCH(555,Engine!$C$2:$C$1369,0)),"",INDEX('Compliance Database'!$F$2:$F$1369,MATCH(555,Engine!$C$2:$C$1369,0)))</f>
        <v/>
      </c>
      <c r="G568" s="8">
        <f>IF(ISNA(MATCH(555,Engine!$C$2:$C$1369,0)),"",INDEX('Compliance Database'!$G$2:$G$1369,MATCH(555,Engine!$C$2:$C$1369,0)))</f>
        <v/>
      </c>
      <c r="H568" s="9">
        <f>IF(ISNA(MATCH(555,Engine!$C$2:$C$1369,0)),"",INDEX('Compliance Database'!$H$2:$H$1369,MATCH(555,Engine!$C$2:$C$1369,0)))</f>
        <v/>
      </c>
      <c r="I568" s="9">
        <f>IF(ISNA(MATCH(555,Engine!$C$2:$C$1369,0)),"",INDEX('Compliance Database'!$I$2:$I$1369,MATCH(555,Engine!$C$2:$C$1369,0)))</f>
        <v/>
      </c>
      <c r="J568" s="8">
        <f>IF(ISNA(MATCH(555,Engine!$C$2:$C$1369,0)),"",INDEX('Compliance Database'!$J$2:$J$1369,MATCH(555,Engine!$C$2:$C$1369,0)))</f>
        <v/>
      </c>
      <c r="K568" s="9">
        <f>IF(ISNA(MATCH(555,Engine!$C$2:$C$1369,0)),"",INDEX('Compliance Database'!$K$2:$K$1369,MATCH(555,Engine!$C$2:$C$1369,0)))</f>
        <v/>
      </c>
      <c r="L568" s="9">
        <f>IF(ISNA(MATCH(555,Engine!$C$2:$C$1369,0)),"",INDEX('Compliance Database'!$L$2:$L$1369,MATCH(555,Engine!$C$2:$C$1369,0)))</f>
        <v/>
      </c>
      <c r="M568" s="9">
        <f>IF(ISNA(MATCH(555,Engine!$C$2:$C$1369,0)),"",INDEX('Compliance Database'!$M$2:$M$1369,MATCH(555,Engine!$C$2:$C$1369,0)))</f>
        <v/>
      </c>
      <c r="N568" s="9">
        <f>IF(ISNA(MATCH(555,Engine!$C$2:$C$1369,0)),"",INDEX('Compliance Database'!$N$2:$N$1369,MATCH(555,Engine!$C$2:$C$1369,0)))</f>
        <v/>
      </c>
      <c r="O568" s="8">
        <f>IF(ISNA(MATCH(555,Engine!$C$2:$C$1369,0)),"",HYPERLINK(INDEX('Compliance Database'!$O$2:$O$1369,MATCH(555,Engine!$C$2:$C$1369,0)),"Open PDF"))</f>
        <v/>
      </c>
    </row>
    <row r="569" ht="188" customHeight="1">
      <c r="A569" s="8">
        <f>IF(ISNA(MATCH(556,Engine!$C$2:$C$1369,0)),"",INDEX('Compliance Database'!$A$2:$A$1369,MATCH(556,Engine!$C$2:$C$1369,0)))</f>
        <v/>
      </c>
      <c r="B569" s="8">
        <f>IF(ISNA(MATCH(556,Engine!$C$2:$C$1369,0)),"",INDEX('Compliance Database'!$B$2:$B$1369,MATCH(556,Engine!$C$2:$C$1369,0)))</f>
        <v/>
      </c>
      <c r="C569" s="8">
        <f>IF(ISNA(MATCH(556,Engine!$C$2:$C$1369,0)),"",INDEX('Compliance Database'!$C$2:$C$1369,MATCH(556,Engine!$C$2:$C$1369,0)))</f>
        <v/>
      </c>
      <c r="D569" s="9">
        <f>IF(ISNA(MATCH(556,Engine!$C$2:$C$1369,0)),"",INDEX('Compliance Database'!$D$2:$D$1369,MATCH(556,Engine!$C$2:$C$1369,0)))</f>
        <v/>
      </c>
      <c r="E569" s="8">
        <f>IF(ISNA(MATCH(556,Engine!$C$2:$C$1369,0)),"",INDEX('Compliance Database'!$E$2:$E$1369,MATCH(556,Engine!$C$2:$C$1369,0)))</f>
        <v/>
      </c>
      <c r="F569" s="8">
        <f>IF(ISNA(MATCH(556,Engine!$C$2:$C$1369,0)),"",INDEX('Compliance Database'!$F$2:$F$1369,MATCH(556,Engine!$C$2:$C$1369,0)))</f>
        <v/>
      </c>
      <c r="G569" s="8">
        <f>IF(ISNA(MATCH(556,Engine!$C$2:$C$1369,0)),"",INDEX('Compliance Database'!$G$2:$G$1369,MATCH(556,Engine!$C$2:$C$1369,0)))</f>
        <v/>
      </c>
      <c r="H569" s="9">
        <f>IF(ISNA(MATCH(556,Engine!$C$2:$C$1369,0)),"",INDEX('Compliance Database'!$H$2:$H$1369,MATCH(556,Engine!$C$2:$C$1369,0)))</f>
        <v/>
      </c>
      <c r="I569" s="9">
        <f>IF(ISNA(MATCH(556,Engine!$C$2:$C$1369,0)),"",INDEX('Compliance Database'!$I$2:$I$1369,MATCH(556,Engine!$C$2:$C$1369,0)))</f>
        <v/>
      </c>
      <c r="J569" s="8">
        <f>IF(ISNA(MATCH(556,Engine!$C$2:$C$1369,0)),"",INDEX('Compliance Database'!$J$2:$J$1369,MATCH(556,Engine!$C$2:$C$1369,0)))</f>
        <v/>
      </c>
      <c r="K569" s="9">
        <f>IF(ISNA(MATCH(556,Engine!$C$2:$C$1369,0)),"",INDEX('Compliance Database'!$K$2:$K$1369,MATCH(556,Engine!$C$2:$C$1369,0)))</f>
        <v/>
      </c>
      <c r="L569" s="9">
        <f>IF(ISNA(MATCH(556,Engine!$C$2:$C$1369,0)),"",INDEX('Compliance Database'!$L$2:$L$1369,MATCH(556,Engine!$C$2:$C$1369,0)))</f>
        <v/>
      </c>
      <c r="M569" s="9">
        <f>IF(ISNA(MATCH(556,Engine!$C$2:$C$1369,0)),"",INDEX('Compliance Database'!$M$2:$M$1369,MATCH(556,Engine!$C$2:$C$1369,0)))</f>
        <v/>
      </c>
      <c r="N569" s="9">
        <f>IF(ISNA(MATCH(556,Engine!$C$2:$C$1369,0)),"",INDEX('Compliance Database'!$N$2:$N$1369,MATCH(556,Engine!$C$2:$C$1369,0)))</f>
        <v/>
      </c>
      <c r="O569" s="8">
        <f>IF(ISNA(MATCH(556,Engine!$C$2:$C$1369,0)),"",HYPERLINK(INDEX('Compliance Database'!$O$2:$O$1369,MATCH(556,Engine!$C$2:$C$1369,0)),"Open PDF"))</f>
        <v/>
      </c>
    </row>
    <row r="570" ht="188" customHeight="1">
      <c r="A570" s="8">
        <f>IF(ISNA(MATCH(557,Engine!$C$2:$C$1369,0)),"",INDEX('Compliance Database'!$A$2:$A$1369,MATCH(557,Engine!$C$2:$C$1369,0)))</f>
        <v/>
      </c>
      <c r="B570" s="8">
        <f>IF(ISNA(MATCH(557,Engine!$C$2:$C$1369,0)),"",INDEX('Compliance Database'!$B$2:$B$1369,MATCH(557,Engine!$C$2:$C$1369,0)))</f>
        <v/>
      </c>
      <c r="C570" s="8">
        <f>IF(ISNA(MATCH(557,Engine!$C$2:$C$1369,0)),"",INDEX('Compliance Database'!$C$2:$C$1369,MATCH(557,Engine!$C$2:$C$1369,0)))</f>
        <v/>
      </c>
      <c r="D570" s="9">
        <f>IF(ISNA(MATCH(557,Engine!$C$2:$C$1369,0)),"",INDEX('Compliance Database'!$D$2:$D$1369,MATCH(557,Engine!$C$2:$C$1369,0)))</f>
        <v/>
      </c>
      <c r="E570" s="8">
        <f>IF(ISNA(MATCH(557,Engine!$C$2:$C$1369,0)),"",INDEX('Compliance Database'!$E$2:$E$1369,MATCH(557,Engine!$C$2:$C$1369,0)))</f>
        <v/>
      </c>
      <c r="F570" s="8">
        <f>IF(ISNA(MATCH(557,Engine!$C$2:$C$1369,0)),"",INDEX('Compliance Database'!$F$2:$F$1369,MATCH(557,Engine!$C$2:$C$1369,0)))</f>
        <v/>
      </c>
      <c r="G570" s="8">
        <f>IF(ISNA(MATCH(557,Engine!$C$2:$C$1369,0)),"",INDEX('Compliance Database'!$G$2:$G$1369,MATCH(557,Engine!$C$2:$C$1369,0)))</f>
        <v/>
      </c>
      <c r="H570" s="9">
        <f>IF(ISNA(MATCH(557,Engine!$C$2:$C$1369,0)),"",INDEX('Compliance Database'!$H$2:$H$1369,MATCH(557,Engine!$C$2:$C$1369,0)))</f>
        <v/>
      </c>
      <c r="I570" s="9">
        <f>IF(ISNA(MATCH(557,Engine!$C$2:$C$1369,0)),"",INDEX('Compliance Database'!$I$2:$I$1369,MATCH(557,Engine!$C$2:$C$1369,0)))</f>
        <v/>
      </c>
      <c r="J570" s="8">
        <f>IF(ISNA(MATCH(557,Engine!$C$2:$C$1369,0)),"",INDEX('Compliance Database'!$J$2:$J$1369,MATCH(557,Engine!$C$2:$C$1369,0)))</f>
        <v/>
      </c>
      <c r="K570" s="9">
        <f>IF(ISNA(MATCH(557,Engine!$C$2:$C$1369,0)),"",INDEX('Compliance Database'!$K$2:$K$1369,MATCH(557,Engine!$C$2:$C$1369,0)))</f>
        <v/>
      </c>
      <c r="L570" s="9">
        <f>IF(ISNA(MATCH(557,Engine!$C$2:$C$1369,0)),"",INDEX('Compliance Database'!$L$2:$L$1369,MATCH(557,Engine!$C$2:$C$1369,0)))</f>
        <v/>
      </c>
      <c r="M570" s="9">
        <f>IF(ISNA(MATCH(557,Engine!$C$2:$C$1369,0)),"",INDEX('Compliance Database'!$M$2:$M$1369,MATCH(557,Engine!$C$2:$C$1369,0)))</f>
        <v/>
      </c>
      <c r="N570" s="9">
        <f>IF(ISNA(MATCH(557,Engine!$C$2:$C$1369,0)),"",INDEX('Compliance Database'!$N$2:$N$1369,MATCH(557,Engine!$C$2:$C$1369,0)))</f>
        <v/>
      </c>
      <c r="O570" s="8">
        <f>IF(ISNA(MATCH(557,Engine!$C$2:$C$1369,0)),"",HYPERLINK(INDEX('Compliance Database'!$O$2:$O$1369,MATCH(557,Engine!$C$2:$C$1369,0)),"Open PDF"))</f>
        <v/>
      </c>
    </row>
    <row r="571" ht="188" customHeight="1">
      <c r="A571" s="8">
        <f>IF(ISNA(MATCH(558,Engine!$C$2:$C$1369,0)),"",INDEX('Compliance Database'!$A$2:$A$1369,MATCH(558,Engine!$C$2:$C$1369,0)))</f>
        <v/>
      </c>
      <c r="B571" s="8">
        <f>IF(ISNA(MATCH(558,Engine!$C$2:$C$1369,0)),"",INDEX('Compliance Database'!$B$2:$B$1369,MATCH(558,Engine!$C$2:$C$1369,0)))</f>
        <v/>
      </c>
      <c r="C571" s="8">
        <f>IF(ISNA(MATCH(558,Engine!$C$2:$C$1369,0)),"",INDEX('Compliance Database'!$C$2:$C$1369,MATCH(558,Engine!$C$2:$C$1369,0)))</f>
        <v/>
      </c>
      <c r="D571" s="9">
        <f>IF(ISNA(MATCH(558,Engine!$C$2:$C$1369,0)),"",INDEX('Compliance Database'!$D$2:$D$1369,MATCH(558,Engine!$C$2:$C$1369,0)))</f>
        <v/>
      </c>
      <c r="E571" s="8">
        <f>IF(ISNA(MATCH(558,Engine!$C$2:$C$1369,0)),"",INDEX('Compliance Database'!$E$2:$E$1369,MATCH(558,Engine!$C$2:$C$1369,0)))</f>
        <v/>
      </c>
      <c r="F571" s="8">
        <f>IF(ISNA(MATCH(558,Engine!$C$2:$C$1369,0)),"",INDEX('Compliance Database'!$F$2:$F$1369,MATCH(558,Engine!$C$2:$C$1369,0)))</f>
        <v/>
      </c>
      <c r="G571" s="8">
        <f>IF(ISNA(MATCH(558,Engine!$C$2:$C$1369,0)),"",INDEX('Compliance Database'!$G$2:$G$1369,MATCH(558,Engine!$C$2:$C$1369,0)))</f>
        <v/>
      </c>
      <c r="H571" s="9">
        <f>IF(ISNA(MATCH(558,Engine!$C$2:$C$1369,0)),"",INDEX('Compliance Database'!$H$2:$H$1369,MATCH(558,Engine!$C$2:$C$1369,0)))</f>
        <v/>
      </c>
      <c r="I571" s="9">
        <f>IF(ISNA(MATCH(558,Engine!$C$2:$C$1369,0)),"",INDEX('Compliance Database'!$I$2:$I$1369,MATCH(558,Engine!$C$2:$C$1369,0)))</f>
        <v/>
      </c>
      <c r="J571" s="8">
        <f>IF(ISNA(MATCH(558,Engine!$C$2:$C$1369,0)),"",INDEX('Compliance Database'!$J$2:$J$1369,MATCH(558,Engine!$C$2:$C$1369,0)))</f>
        <v/>
      </c>
      <c r="K571" s="9">
        <f>IF(ISNA(MATCH(558,Engine!$C$2:$C$1369,0)),"",INDEX('Compliance Database'!$K$2:$K$1369,MATCH(558,Engine!$C$2:$C$1369,0)))</f>
        <v/>
      </c>
      <c r="L571" s="9">
        <f>IF(ISNA(MATCH(558,Engine!$C$2:$C$1369,0)),"",INDEX('Compliance Database'!$L$2:$L$1369,MATCH(558,Engine!$C$2:$C$1369,0)))</f>
        <v/>
      </c>
      <c r="M571" s="9">
        <f>IF(ISNA(MATCH(558,Engine!$C$2:$C$1369,0)),"",INDEX('Compliance Database'!$M$2:$M$1369,MATCH(558,Engine!$C$2:$C$1369,0)))</f>
        <v/>
      </c>
      <c r="N571" s="9">
        <f>IF(ISNA(MATCH(558,Engine!$C$2:$C$1369,0)),"",INDEX('Compliance Database'!$N$2:$N$1369,MATCH(558,Engine!$C$2:$C$1369,0)))</f>
        <v/>
      </c>
      <c r="O571" s="8">
        <f>IF(ISNA(MATCH(558,Engine!$C$2:$C$1369,0)),"",HYPERLINK(INDEX('Compliance Database'!$O$2:$O$1369,MATCH(558,Engine!$C$2:$C$1369,0)),"Open PDF"))</f>
        <v/>
      </c>
    </row>
    <row r="572" ht="188" customHeight="1">
      <c r="A572" s="8">
        <f>IF(ISNA(MATCH(559,Engine!$C$2:$C$1369,0)),"",INDEX('Compliance Database'!$A$2:$A$1369,MATCH(559,Engine!$C$2:$C$1369,0)))</f>
        <v/>
      </c>
      <c r="B572" s="8">
        <f>IF(ISNA(MATCH(559,Engine!$C$2:$C$1369,0)),"",INDEX('Compliance Database'!$B$2:$B$1369,MATCH(559,Engine!$C$2:$C$1369,0)))</f>
        <v/>
      </c>
      <c r="C572" s="8">
        <f>IF(ISNA(MATCH(559,Engine!$C$2:$C$1369,0)),"",INDEX('Compliance Database'!$C$2:$C$1369,MATCH(559,Engine!$C$2:$C$1369,0)))</f>
        <v/>
      </c>
      <c r="D572" s="9">
        <f>IF(ISNA(MATCH(559,Engine!$C$2:$C$1369,0)),"",INDEX('Compliance Database'!$D$2:$D$1369,MATCH(559,Engine!$C$2:$C$1369,0)))</f>
        <v/>
      </c>
      <c r="E572" s="8">
        <f>IF(ISNA(MATCH(559,Engine!$C$2:$C$1369,0)),"",INDEX('Compliance Database'!$E$2:$E$1369,MATCH(559,Engine!$C$2:$C$1369,0)))</f>
        <v/>
      </c>
      <c r="F572" s="8">
        <f>IF(ISNA(MATCH(559,Engine!$C$2:$C$1369,0)),"",INDEX('Compliance Database'!$F$2:$F$1369,MATCH(559,Engine!$C$2:$C$1369,0)))</f>
        <v/>
      </c>
      <c r="G572" s="8">
        <f>IF(ISNA(MATCH(559,Engine!$C$2:$C$1369,0)),"",INDEX('Compliance Database'!$G$2:$G$1369,MATCH(559,Engine!$C$2:$C$1369,0)))</f>
        <v/>
      </c>
      <c r="H572" s="9">
        <f>IF(ISNA(MATCH(559,Engine!$C$2:$C$1369,0)),"",INDEX('Compliance Database'!$H$2:$H$1369,MATCH(559,Engine!$C$2:$C$1369,0)))</f>
        <v/>
      </c>
      <c r="I572" s="9">
        <f>IF(ISNA(MATCH(559,Engine!$C$2:$C$1369,0)),"",INDEX('Compliance Database'!$I$2:$I$1369,MATCH(559,Engine!$C$2:$C$1369,0)))</f>
        <v/>
      </c>
      <c r="J572" s="8">
        <f>IF(ISNA(MATCH(559,Engine!$C$2:$C$1369,0)),"",INDEX('Compliance Database'!$J$2:$J$1369,MATCH(559,Engine!$C$2:$C$1369,0)))</f>
        <v/>
      </c>
      <c r="K572" s="9">
        <f>IF(ISNA(MATCH(559,Engine!$C$2:$C$1369,0)),"",INDEX('Compliance Database'!$K$2:$K$1369,MATCH(559,Engine!$C$2:$C$1369,0)))</f>
        <v/>
      </c>
      <c r="L572" s="9">
        <f>IF(ISNA(MATCH(559,Engine!$C$2:$C$1369,0)),"",INDEX('Compliance Database'!$L$2:$L$1369,MATCH(559,Engine!$C$2:$C$1369,0)))</f>
        <v/>
      </c>
      <c r="M572" s="9">
        <f>IF(ISNA(MATCH(559,Engine!$C$2:$C$1369,0)),"",INDEX('Compliance Database'!$M$2:$M$1369,MATCH(559,Engine!$C$2:$C$1369,0)))</f>
        <v/>
      </c>
      <c r="N572" s="9">
        <f>IF(ISNA(MATCH(559,Engine!$C$2:$C$1369,0)),"",INDEX('Compliance Database'!$N$2:$N$1369,MATCH(559,Engine!$C$2:$C$1369,0)))</f>
        <v/>
      </c>
      <c r="O572" s="8">
        <f>IF(ISNA(MATCH(559,Engine!$C$2:$C$1369,0)),"",HYPERLINK(INDEX('Compliance Database'!$O$2:$O$1369,MATCH(559,Engine!$C$2:$C$1369,0)),"Open PDF"))</f>
        <v/>
      </c>
    </row>
    <row r="573" ht="188" customHeight="1">
      <c r="A573" s="8">
        <f>IF(ISNA(MATCH(560,Engine!$C$2:$C$1369,0)),"",INDEX('Compliance Database'!$A$2:$A$1369,MATCH(560,Engine!$C$2:$C$1369,0)))</f>
        <v/>
      </c>
      <c r="B573" s="8">
        <f>IF(ISNA(MATCH(560,Engine!$C$2:$C$1369,0)),"",INDEX('Compliance Database'!$B$2:$B$1369,MATCH(560,Engine!$C$2:$C$1369,0)))</f>
        <v/>
      </c>
      <c r="C573" s="8">
        <f>IF(ISNA(MATCH(560,Engine!$C$2:$C$1369,0)),"",INDEX('Compliance Database'!$C$2:$C$1369,MATCH(560,Engine!$C$2:$C$1369,0)))</f>
        <v/>
      </c>
      <c r="D573" s="9">
        <f>IF(ISNA(MATCH(560,Engine!$C$2:$C$1369,0)),"",INDEX('Compliance Database'!$D$2:$D$1369,MATCH(560,Engine!$C$2:$C$1369,0)))</f>
        <v/>
      </c>
      <c r="E573" s="8">
        <f>IF(ISNA(MATCH(560,Engine!$C$2:$C$1369,0)),"",INDEX('Compliance Database'!$E$2:$E$1369,MATCH(560,Engine!$C$2:$C$1369,0)))</f>
        <v/>
      </c>
      <c r="F573" s="8">
        <f>IF(ISNA(MATCH(560,Engine!$C$2:$C$1369,0)),"",INDEX('Compliance Database'!$F$2:$F$1369,MATCH(560,Engine!$C$2:$C$1369,0)))</f>
        <v/>
      </c>
      <c r="G573" s="8">
        <f>IF(ISNA(MATCH(560,Engine!$C$2:$C$1369,0)),"",INDEX('Compliance Database'!$G$2:$G$1369,MATCH(560,Engine!$C$2:$C$1369,0)))</f>
        <v/>
      </c>
      <c r="H573" s="9">
        <f>IF(ISNA(MATCH(560,Engine!$C$2:$C$1369,0)),"",INDEX('Compliance Database'!$H$2:$H$1369,MATCH(560,Engine!$C$2:$C$1369,0)))</f>
        <v/>
      </c>
      <c r="I573" s="9">
        <f>IF(ISNA(MATCH(560,Engine!$C$2:$C$1369,0)),"",INDEX('Compliance Database'!$I$2:$I$1369,MATCH(560,Engine!$C$2:$C$1369,0)))</f>
        <v/>
      </c>
      <c r="J573" s="8">
        <f>IF(ISNA(MATCH(560,Engine!$C$2:$C$1369,0)),"",INDEX('Compliance Database'!$J$2:$J$1369,MATCH(560,Engine!$C$2:$C$1369,0)))</f>
        <v/>
      </c>
      <c r="K573" s="9">
        <f>IF(ISNA(MATCH(560,Engine!$C$2:$C$1369,0)),"",INDEX('Compliance Database'!$K$2:$K$1369,MATCH(560,Engine!$C$2:$C$1369,0)))</f>
        <v/>
      </c>
      <c r="L573" s="9">
        <f>IF(ISNA(MATCH(560,Engine!$C$2:$C$1369,0)),"",INDEX('Compliance Database'!$L$2:$L$1369,MATCH(560,Engine!$C$2:$C$1369,0)))</f>
        <v/>
      </c>
      <c r="M573" s="9">
        <f>IF(ISNA(MATCH(560,Engine!$C$2:$C$1369,0)),"",INDEX('Compliance Database'!$M$2:$M$1369,MATCH(560,Engine!$C$2:$C$1369,0)))</f>
        <v/>
      </c>
      <c r="N573" s="9">
        <f>IF(ISNA(MATCH(560,Engine!$C$2:$C$1369,0)),"",INDEX('Compliance Database'!$N$2:$N$1369,MATCH(560,Engine!$C$2:$C$1369,0)))</f>
        <v/>
      </c>
      <c r="O573" s="8">
        <f>IF(ISNA(MATCH(560,Engine!$C$2:$C$1369,0)),"",HYPERLINK(INDEX('Compliance Database'!$O$2:$O$1369,MATCH(560,Engine!$C$2:$C$1369,0)),"Open PDF"))</f>
        <v/>
      </c>
    </row>
    <row r="574" ht="188" customHeight="1">
      <c r="A574" s="8">
        <f>IF(ISNA(MATCH(561,Engine!$C$2:$C$1369,0)),"",INDEX('Compliance Database'!$A$2:$A$1369,MATCH(561,Engine!$C$2:$C$1369,0)))</f>
        <v/>
      </c>
      <c r="B574" s="8">
        <f>IF(ISNA(MATCH(561,Engine!$C$2:$C$1369,0)),"",INDEX('Compliance Database'!$B$2:$B$1369,MATCH(561,Engine!$C$2:$C$1369,0)))</f>
        <v/>
      </c>
      <c r="C574" s="8">
        <f>IF(ISNA(MATCH(561,Engine!$C$2:$C$1369,0)),"",INDEX('Compliance Database'!$C$2:$C$1369,MATCH(561,Engine!$C$2:$C$1369,0)))</f>
        <v/>
      </c>
      <c r="D574" s="9">
        <f>IF(ISNA(MATCH(561,Engine!$C$2:$C$1369,0)),"",INDEX('Compliance Database'!$D$2:$D$1369,MATCH(561,Engine!$C$2:$C$1369,0)))</f>
        <v/>
      </c>
      <c r="E574" s="8">
        <f>IF(ISNA(MATCH(561,Engine!$C$2:$C$1369,0)),"",INDEX('Compliance Database'!$E$2:$E$1369,MATCH(561,Engine!$C$2:$C$1369,0)))</f>
        <v/>
      </c>
      <c r="F574" s="8">
        <f>IF(ISNA(MATCH(561,Engine!$C$2:$C$1369,0)),"",INDEX('Compliance Database'!$F$2:$F$1369,MATCH(561,Engine!$C$2:$C$1369,0)))</f>
        <v/>
      </c>
      <c r="G574" s="8">
        <f>IF(ISNA(MATCH(561,Engine!$C$2:$C$1369,0)),"",INDEX('Compliance Database'!$G$2:$G$1369,MATCH(561,Engine!$C$2:$C$1369,0)))</f>
        <v/>
      </c>
      <c r="H574" s="9">
        <f>IF(ISNA(MATCH(561,Engine!$C$2:$C$1369,0)),"",INDEX('Compliance Database'!$H$2:$H$1369,MATCH(561,Engine!$C$2:$C$1369,0)))</f>
        <v/>
      </c>
      <c r="I574" s="9">
        <f>IF(ISNA(MATCH(561,Engine!$C$2:$C$1369,0)),"",INDEX('Compliance Database'!$I$2:$I$1369,MATCH(561,Engine!$C$2:$C$1369,0)))</f>
        <v/>
      </c>
      <c r="J574" s="8">
        <f>IF(ISNA(MATCH(561,Engine!$C$2:$C$1369,0)),"",INDEX('Compliance Database'!$J$2:$J$1369,MATCH(561,Engine!$C$2:$C$1369,0)))</f>
        <v/>
      </c>
      <c r="K574" s="9">
        <f>IF(ISNA(MATCH(561,Engine!$C$2:$C$1369,0)),"",INDEX('Compliance Database'!$K$2:$K$1369,MATCH(561,Engine!$C$2:$C$1369,0)))</f>
        <v/>
      </c>
      <c r="L574" s="9">
        <f>IF(ISNA(MATCH(561,Engine!$C$2:$C$1369,0)),"",INDEX('Compliance Database'!$L$2:$L$1369,MATCH(561,Engine!$C$2:$C$1369,0)))</f>
        <v/>
      </c>
      <c r="M574" s="9">
        <f>IF(ISNA(MATCH(561,Engine!$C$2:$C$1369,0)),"",INDEX('Compliance Database'!$M$2:$M$1369,MATCH(561,Engine!$C$2:$C$1369,0)))</f>
        <v/>
      </c>
      <c r="N574" s="9">
        <f>IF(ISNA(MATCH(561,Engine!$C$2:$C$1369,0)),"",INDEX('Compliance Database'!$N$2:$N$1369,MATCH(561,Engine!$C$2:$C$1369,0)))</f>
        <v/>
      </c>
      <c r="O574" s="8">
        <f>IF(ISNA(MATCH(561,Engine!$C$2:$C$1369,0)),"",HYPERLINK(INDEX('Compliance Database'!$O$2:$O$1369,MATCH(561,Engine!$C$2:$C$1369,0)),"Open PDF"))</f>
        <v/>
      </c>
    </row>
    <row r="575" ht="188" customHeight="1">
      <c r="A575" s="8">
        <f>IF(ISNA(MATCH(562,Engine!$C$2:$C$1369,0)),"",INDEX('Compliance Database'!$A$2:$A$1369,MATCH(562,Engine!$C$2:$C$1369,0)))</f>
        <v/>
      </c>
      <c r="B575" s="8">
        <f>IF(ISNA(MATCH(562,Engine!$C$2:$C$1369,0)),"",INDEX('Compliance Database'!$B$2:$B$1369,MATCH(562,Engine!$C$2:$C$1369,0)))</f>
        <v/>
      </c>
      <c r="C575" s="8">
        <f>IF(ISNA(MATCH(562,Engine!$C$2:$C$1369,0)),"",INDEX('Compliance Database'!$C$2:$C$1369,MATCH(562,Engine!$C$2:$C$1369,0)))</f>
        <v/>
      </c>
      <c r="D575" s="9">
        <f>IF(ISNA(MATCH(562,Engine!$C$2:$C$1369,0)),"",INDEX('Compliance Database'!$D$2:$D$1369,MATCH(562,Engine!$C$2:$C$1369,0)))</f>
        <v/>
      </c>
      <c r="E575" s="8">
        <f>IF(ISNA(MATCH(562,Engine!$C$2:$C$1369,0)),"",INDEX('Compliance Database'!$E$2:$E$1369,MATCH(562,Engine!$C$2:$C$1369,0)))</f>
        <v/>
      </c>
      <c r="F575" s="8">
        <f>IF(ISNA(MATCH(562,Engine!$C$2:$C$1369,0)),"",INDEX('Compliance Database'!$F$2:$F$1369,MATCH(562,Engine!$C$2:$C$1369,0)))</f>
        <v/>
      </c>
      <c r="G575" s="8">
        <f>IF(ISNA(MATCH(562,Engine!$C$2:$C$1369,0)),"",INDEX('Compliance Database'!$G$2:$G$1369,MATCH(562,Engine!$C$2:$C$1369,0)))</f>
        <v/>
      </c>
      <c r="H575" s="9">
        <f>IF(ISNA(MATCH(562,Engine!$C$2:$C$1369,0)),"",INDEX('Compliance Database'!$H$2:$H$1369,MATCH(562,Engine!$C$2:$C$1369,0)))</f>
        <v/>
      </c>
      <c r="I575" s="9">
        <f>IF(ISNA(MATCH(562,Engine!$C$2:$C$1369,0)),"",INDEX('Compliance Database'!$I$2:$I$1369,MATCH(562,Engine!$C$2:$C$1369,0)))</f>
        <v/>
      </c>
      <c r="J575" s="8">
        <f>IF(ISNA(MATCH(562,Engine!$C$2:$C$1369,0)),"",INDEX('Compliance Database'!$J$2:$J$1369,MATCH(562,Engine!$C$2:$C$1369,0)))</f>
        <v/>
      </c>
      <c r="K575" s="9">
        <f>IF(ISNA(MATCH(562,Engine!$C$2:$C$1369,0)),"",INDEX('Compliance Database'!$K$2:$K$1369,MATCH(562,Engine!$C$2:$C$1369,0)))</f>
        <v/>
      </c>
      <c r="L575" s="9">
        <f>IF(ISNA(MATCH(562,Engine!$C$2:$C$1369,0)),"",INDEX('Compliance Database'!$L$2:$L$1369,MATCH(562,Engine!$C$2:$C$1369,0)))</f>
        <v/>
      </c>
      <c r="M575" s="9">
        <f>IF(ISNA(MATCH(562,Engine!$C$2:$C$1369,0)),"",INDEX('Compliance Database'!$M$2:$M$1369,MATCH(562,Engine!$C$2:$C$1369,0)))</f>
        <v/>
      </c>
      <c r="N575" s="9">
        <f>IF(ISNA(MATCH(562,Engine!$C$2:$C$1369,0)),"",INDEX('Compliance Database'!$N$2:$N$1369,MATCH(562,Engine!$C$2:$C$1369,0)))</f>
        <v/>
      </c>
      <c r="O575" s="8">
        <f>IF(ISNA(MATCH(562,Engine!$C$2:$C$1369,0)),"",HYPERLINK(INDEX('Compliance Database'!$O$2:$O$1369,MATCH(562,Engine!$C$2:$C$1369,0)),"Open PDF"))</f>
        <v/>
      </c>
    </row>
    <row r="576" ht="188" customHeight="1">
      <c r="A576" s="8">
        <f>IF(ISNA(MATCH(563,Engine!$C$2:$C$1369,0)),"",INDEX('Compliance Database'!$A$2:$A$1369,MATCH(563,Engine!$C$2:$C$1369,0)))</f>
        <v/>
      </c>
      <c r="B576" s="8">
        <f>IF(ISNA(MATCH(563,Engine!$C$2:$C$1369,0)),"",INDEX('Compliance Database'!$B$2:$B$1369,MATCH(563,Engine!$C$2:$C$1369,0)))</f>
        <v/>
      </c>
      <c r="C576" s="8">
        <f>IF(ISNA(MATCH(563,Engine!$C$2:$C$1369,0)),"",INDEX('Compliance Database'!$C$2:$C$1369,MATCH(563,Engine!$C$2:$C$1369,0)))</f>
        <v/>
      </c>
      <c r="D576" s="9">
        <f>IF(ISNA(MATCH(563,Engine!$C$2:$C$1369,0)),"",INDEX('Compliance Database'!$D$2:$D$1369,MATCH(563,Engine!$C$2:$C$1369,0)))</f>
        <v/>
      </c>
      <c r="E576" s="8">
        <f>IF(ISNA(MATCH(563,Engine!$C$2:$C$1369,0)),"",INDEX('Compliance Database'!$E$2:$E$1369,MATCH(563,Engine!$C$2:$C$1369,0)))</f>
        <v/>
      </c>
      <c r="F576" s="8">
        <f>IF(ISNA(MATCH(563,Engine!$C$2:$C$1369,0)),"",INDEX('Compliance Database'!$F$2:$F$1369,MATCH(563,Engine!$C$2:$C$1369,0)))</f>
        <v/>
      </c>
      <c r="G576" s="8">
        <f>IF(ISNA(MATCH(563,Engine!$C$2:$C$1369,0)),"",INDEX('Compliance Database'!$G$2:$G$1369,MATCH(563,Engine!$C$2:$C$1369,0)))</f>
        <v/>
      </c>
      <c r="H576" s="9">
        <f>IF(ISNA(MATCH(563,Engine!$C$2:$C$1369,0)),"",INDEX('Compliance Database'!$H$2:$H$1369,MATCH(563,Engine!$C$2:$C$1369,0)))</f>
        <v/>
      </c>
      <c r="I576" s="9">
        <f>IF(ISNA(MATCH(563,Engine!$C$2:$C$1369,0)),"",INDEX('Compliance Database'!$I$2:$I$1369,MATCH(563,Engine!$C$2:$C$1369,0)))</f>
        <v/>
      </c>
      <c r="J576" s="8">
        <f>IF(ISNA(MATCH(563,Engine!$C$2:$C$1369,0)),"",INDEX('Compliance Database'!$J$2:$J$1369,MATCH(563,Engine!$C$2:$C$1369,0)))</f>
        <v/>
      </c>
      <c r="K576" s="9">
        <f>IF(ISNA(MATCH(563,Engine!$C$2:$C$1369,0)),"",INDEX('Compliance Database'!$K$2:$K$1369,MATCH(563,Engine!$C$2:$C$1369,0)))</f>
        <v/>
      </c>
      <c r="L576" s="9">
        <f>IF(ISNA(MATCH(563,Engine!$C$2:$C$1369,0)),"",INDEX('Compliance Database'!$L$2:$L$1369,MATCH(563,Engine!$C$2:$C$1369,0)))</f>
        <v/>
      </c>
      <c r="M576" s="9">
        <f>IF(ISNA(MATCH(563,Engine!$C$2:$C$1369,0)),"",INDEX('Compliance Database'!$M$2:$M$1369,MATCH(563,Engine!$C$2:$C$1369,0)))</f>
        <v/>
      </c>
      <c r="N576" s="9">
        <f>IF(ISNA(MATCH(563,Engine!$C$2:$C$1369,0)),"",INDEX('Compliance Database'!$N$2:$N$1369,MATCH(563,Engine!$C$2:$C$1369,0)))</f>
        <v/>
      </c>
      <c r="O576" s="8">
        <f>IF(ISNA(MATCH(563,Engine!$C$2:$C$1369,0)),"",HYPERLINK(INDEX('Compliance Database'!$O$2:$O$1369,MATCH(563,Engine!$C$2:$C$1369,0)),"Open PDF"))</f>
        <v/>
      </c>
    </row>
    <row r="577" ht="188" customHeight="1">
      <c r="A577" s="8">
        <f>IF(ISNA(MATCH(564,Engine!$C$2:$C$1369,0)),"",INDEX('Compliance Database'!$A$2:$A$1369,MATCH(564,Engine!$C$2:$C$1369,0)))</f>
        <v/>
      </c>
      <c r="B577" s="8">
        <f>IF(ISNA(MATCH(564,Engine!$C$2:$C$1369,0)),"",INDEX('Compliance Database'!$B$2:$B$1369,MATCH(564,Engine!$C$2:$C$1369,0)))</f>
        <v/>
      </c>
      <c r="C577" s="8">
        <f>IF(ISNA(MATCH(564,Engine!$C$2:$C$1369,0)),"",INDEX('Compliance Database'!$C$2:$C$1369,MATCH(564,Engine!$C$2:$C$1369,0)))</f>
        <v/>
      </c>
      <c r="D577" s="9">
        <f>IF(ISNA(MATCH(564,Engine!$C$2:$C$1369,0)),"",INDEX('Compliance Database'!$D$2:$D$1369,MATCH(564,Engine!$C$2:$C$1369,0)))</f>
        <v/>
      </c>
      <c r="E577" s="8">
        <f>IF(ISNA(MATCH(564,Engine!$C$2:$C$1369,0)),"",INDEX('Compliance Database'!$E$2:$E$1369,MATCH(564,Engine!$C$2:$C$1369,0)))</f>
        <v/>
      </c>
      <c r="F577" s="8">
        <f>IF(ISNA(MATCH(564,Engine!$C$2:$C$1369,0)),"",INDEX('Compliance Database'!$F$2:$F$1369,MATCH(564,Engine!$C$2:$C$1369,0)))</f>
        <v/>
      </c>
      <c r="G577" s="8">
        <f>IF(ISNA(MATCH(564,Engine!$C$2:$C$1369,0)),"",INDEX('Compliance Database'!$G$2:$G$1369,MATCH(564,Engine!$C$2:$C$1369,0)))</f>
        <v/>
      </c>
      <c r="H577" s="9">
        <f>IF(ISNA(MATCH(564,Engine!$C$2:$C$1369,0)),"",INDEX('Compliance Database'!$H$2:$H$1369,MATCH(564,Engine!$C$2:$C$1369,0)))</f>
        <v/>
      </c>
      <c r="I577" s="9">
        <f>IF(ISNA(MATCH(564,Engine!$C$2:$C$1369,0)),"",INDEX('Compliance Database'!$I$2:$I$1369,MATCH(564,Engine!$C$2:$C$1369,0)))</f>
        <v/>
      </c>
      <c r="J577" s="8">
        <f>IF(ISNA(MATCH(564,Engine!$C$2:$C$1369,0)),"",INDEX('Compliance Database'!$J$2:$J$1369,MATCH(564,Engine!$C$2:$C$1369,0)))</f>
        <v/>
      </c>
      <c r="K577" s="9">
        <f>IF(ISNA(MATCH(564,Engine!$C$2:$C$1369,0)),"",INDEX('Compliance Database'!$K$2:$K$1369,MATCH(564,Engine!$C$2:$C$1369,0)))</f>
        <v/>
      </c>
      <c r="L577" s="9">
        <f>IF(ISNA(MATCH(564,Engine!$C$2:$C$1369,0)),"",INDEX('Compliance Database'!$L$2:$L$1369,MATCH(564,Engine!$C$2:$C$1369,0)))</f>
        <v/>
      </c>
      <c r="M577" s="9">
        <f>IF(ISNA(MATCH(564,Engine!$C$2:$C$1369,0)),"",INDEX('Compliance Database'!$M$2:$M$1369,MATCH(564,Engine!$C$2:$C$1369,0)))</f>
        <v/>
      </c>
      <c r="N577" s="9">
        <f>IF(ISNA(MATCH(564,Engine!$C$2:$C$1369,0)),"",INDEX('Compliance Database'!$N$2:$N$1369,MATCH(564,Engine!$C$2:$C$1369,0)))</f>
        <v/>
      </c>
      <c r="O577" s="8">
        <f>IF(ISNA(MATCH(564,Engine!$C$2:$C$1369,0)),"",HYPERLINK(INDEX('Compliance Database'!$O$2:$O$1369,MATCH(564,Engine!$C$2:$C$1369,0)),"Open PDF"))</f>
        <v/>
      </c>
    </row>
    <row r="578" ht="188" customHeight="1">
      <c r="A578" s="8">
        <f>IF(ISNA(MATCH(565,Engine!$C$2:$C$1369,0)),"",INDEX('Compliance Database'!$A$2:$A$1369,MATCH(565,Engine!$C$2:$C$1369,0)))</f>
        <v/>
      </c>
      <c r="B578" s="8">
        <f>IF(ISNA(MATCH(565,Engine!$C$2:$C$1369,0)),"",INDEX('Compliance Database'!$B$2:$B$1369,MATCH(565,Engine!$C$2:$C$1369,0)))</f>
        <v/>
      </c>
      <c r="C578" s="8">
        <f>IF(ISNA(MATCH(565,Engine!$C$2:$C$1369,0)),"",INDEX('Compliance Database'!$C$2:$C$1369,MATCH(565,Engine!$C$2:$C$1369,0)))</f>
        <v/>
      </c>
      <c r="D578" s="9">
        <f>IF(ISNA(MATCH(565,Engine!$C$2:$C$1369,0)),"",INDEX('Compliance Database'!$D$2:$D$1369,MATCH(565,Engine!$C$2:$C$1369,0)))</f>
        <v/>
      </c>
      <c r="E578" s="8">
        <f>IF(ISNA(MATCH(565,Engine!$C$2:$C$1369,0)),"",INDEX('Compliance Database'!$E$2:$E$1369,MATCH(565,Engine!$C$2:$C$1369,0)))</f>
        <v/>
      </c>
      <c r="F578" s="8">
        <f>IF(ISNA(MATCH(565,Engine!$C$2:$C$1369,0)),"",INDEX('Compliance Database'!$F$2:$F$1369,MATCH(565,Engine!$C$2:$C$1369,0)))</f>
        <v/>
      </c>
      <c r="G578" s="8">
        <f>IF(ISNA(MATCH(565,Engine!$C$2:$C$1369,0)),"",INDEX('Compliance Database'!$G$2:$G$1369,MATCH(565,Engine!$C$2:$C$1369,0)))</f>
        <v/>
      </c>
      <c r="H578" s="9">
        <f>IF(ISNA(MATCH(565,Engine!$C$2:$C$1369,0)),"",INDEX('Compliance Database'!$H$2:$H$1369,MATCH(565,Engine!$C$2:$C$1369,0)))</f>
        <v/>
      </c>
      <c r="I578" s="9">
        <f>IF(ISNA(MATCH(565,Engine!$C$2:$C$1369,0)),"",INDEX('Compliance Database'!$I$2:$I$1369,MATCH(565,Engine!$C$2:$C$1369,0)))</f>
        <v/>
      </c>
      <c r="J578" s="8">
        <f>IF(ISNA(MATCH(565,Engine!$C$2:$C$1369,0)),"",INDEX('Compliance Database'!$J$2:$J$1369,MATCH(565,Engine!$C$2:$C$1369,0)))</f>
        <v/>
      </c>
      <c r="K578" s="9">
        <f>IF(ISNA(MATCH(565,Engine!$C$2:$C$1369,0)),"",INDEX('Compliance Database'!$K$2:$K$1369,MATCH(565,Engine!$C$2:$C$1369,0)))</f>
        <v/>
      </c>
      <c r="L578" s="9">
        <f>IF(ISNA(MATCH(565,Engine!$C$2:$C$1369,0)),"",INDEX('Compliance Database'!$L$2:$L$1369,MATCH(565,Engine!$C$2:$C$1369,0)))</f>
        <v/>
      </c>
      <c r="M578" s="9">
        <f>IF(ISNA(MATCH(565,Engine!$C$2:$C$1369,0)),"",INDEX('Compliance Database'!$M$2:$M$1369,MATCH(565,Engine!$C$2:$C$1369,0)))</f>
        <v/>
      </c>
      <c r="N578" s="9">
        <f>IF(ISNA(MATCH(565,Engine!$C$2:$C$1369,0)),"",INDEX('Compliance Database'!$N$2:$N$1369,MATCH(565,Engine!$C$2:$C$1369,0)))</f>
        <v/>
      </c>
      <c r="O578" s="8">
        <f>IF(ISNA(MATCH(565,Engine!$C$2:$C$1369,0)),"",HYPERLINK(INDEX('Compliance Database'!$O$2:$O$1369,MATCH(565,Engine!$C$2:$C$1369,0)),"Open PDF"))</f>
        <v/>
      </c>
    </row>
    <row r="579" ht="188" customHeight="1">
      <c r="A579" s="8">
        <f>IF(ISNA(MATCH(566,Engine!$C$2:$C$1369,0)),"",INDEX('Compliance Database'!$A$2:$A$1369,MATCH(566,Engine!$C$2:$C$1369,0)))</f>
        <v/>
      </c>
      <c r="B579" s="8">
        <f>IF(ISNA(MATCH(566,Engine!$C$2:$C$1369,0)),"",INDEX('Compliance Database'!$B$2:$B$1369,MATCH(566,Engine!$C$2:$C$1369,0)))</f>
        <v/>
      </c>
      <c r="C579" s="8">
        <f>IF(ISNA(MATCH(566,Engine!$C$2:$C$1369,0)),"",INDEX('Compliance Database'!$C$2:$C$1369,MATCH(566,Engine!$C$2:$C$1369,0)))</f>
        <v/>
      </c>
      <c r="D579" s="9">
        <f>IF(ISNA(MATCH(566,Engine!$C$2:$C$1369,0)),"",INDEX('Compliance Database'!$D$2:$D$1369,MATCH(566,Engine!$C$2:$C$1369,0)))</f>
        <v/>
      </c>
      <c r="E579" s="8">
        <f>IF(ISNA(MATCH(566,Engine!$C$2:$C$1369,0)),"",INDEX('Compliance Database'!$E$2:$E$1369,MATCH(566,Engine!$C$2:$C$1369,0)))</f>
        <v/>
      </c>
      <c r="F579" s="8">
        <f>IF(ISNA(MATCH(566,Engine!$C$2:$C$1369,0)),"",INDEX('Compliance Database'!$F$2:$F$1369,MATCH(566,Engine!$C$2:$C$1369,0)))</f>
        <v/>
      </c>
      <c r="G579" s="8">
        <f>IF(ISNA(MATCH(566,Engine!$C$2:$C$1369,0)),"",INDEX('Compliance Database'!$G$2:$G$1369,MATCH(566,Engine!$C$2:$C$1369,0)))</f>
        <v/>
      </c>
      <c r="H579" s="9">
        <f>IF(ISNA(MATCH(566,Engine!$C$2:$C$1369,0)),"",INDEX('Compliance Database'!$H$2:$H$1369,MATCH(566,Engine!$C$2:$C$1369,0)))</f>
        <v/>
      </c>
      <c r="I579" s="9">
        <f>IF(ISNA(MATCH(566,Engine!$C$2:$C$1369,0)),"",INDEX('Compliance Database'!$I$2:$I$1369,MATCH(566,Engine!$C$2:$C$1369,0)))</f>
        <v/>
      </c>
      <c r="J579" s="8">
        <f>IF(ISNA(MATCH(566,Engine!$C$2:$C$1369,0)),"",INDEX('Compliance Database'!$J$2:$J$1369,MATCH(566,Engine!$C$2:$C$1369,0)))</f>
        <v/>
      </c>
      <c r="K579" s="9">
        <f>IF(ISNA(MATCH(566,Engine!$C$2:$C$1369,0)),"",INDEX('Compliance Database'!$K$2:$K$1369,MATCH(566,Engine!$C$2:$C$1369,0)))</f>
        <v/>
      </c>
      <c r="L579" s="9">
        <f>IF(ISNA(MATCH(566,Engine!$C$2:$C$1369,0)),"",INDEX('Compliance Database'!$L$2:$L$1369,MATCH(566,Engine!$C$2:$C$1369,0)))</f>
        <v/>
      </c>
      <c r="M579" s="9">
        <f>IF(ISNA(MATCH(566,Engine!$C$2:$C$1369,0)),"",INDEX('Compliance Database'!$M$2:$M$1369,MATCH(566,Engine!$C$2:$C$1369,0)))</f>
        <v/>
      </c>
      <c r="N579" s="9">
        <f>IF(ISNA(MATCH(566,Engine!$C$2:$C$1369,0)),"",INDEX('Compliance Database'!$N$2:$N$1369,MATCH(566,Engine!$C$2:$C$1369,0)))</f>
        <v/>
      </c>
      <c r="O579" s="8">
        <f>IF(ISNA(MATCH(566,Engine!$C$2:$C$1369,0)),"",HYPERLINK(INDEX('Compliance Database'!$O$2:$O$1369,MATCH(566,Engine!$C$2:$C$1369,0)),"Open PDF"))</f>
        <v/>
      </c>
    </row>
    <row r="580" ht="188" customHeight="1">
      <c r="A580" s="8">
        <f>IF(ISNA(MATCH(567,Engine!$C$2:$C$1369,0)),"",INDEX('Compliance Database'!$A$2:$A$1369,MATCH(567,Engine!$C$2:$C$1369,0)))</f>
        <v/>
      </c>
      <c r="B580" s="8">
        <f>IF(ISNA(MATCH(567,Engine!$C$2:$C$1369,0)),"",INDEX('Compliance Database'!$B$2:$B$1369,MATCH(567,Engine!$C$2:$C$1369,0)))</f>
        <v/>
      </c>
      <c r="C580" s="8">
        <f>IF(ISNA(MATCH(567,Engine!$C$2:$C$1369,0)),"",INDEX('Compliance Database'!$C$2:$C$1369,MATCH(567,Engine!$C$2:$C$1369,0)))</f>
        <v/>
      </c>
      <c r="D580" s="9">
        <f>IF(ISNA(MATCH(567,Engine!$C$2:$C$1369,0)),"",INDEX('Compliance Database'!$D$2:$D$1369,MATCH(567,Engine!$C$2:$C$1369,0)))</f>
        <v/>
      </c>
      <c r="E580" s="8">
        <f>IF(ISNA(MATCH(567,Engine!$C$2:$C$1369,0)),"",INDEX('Compliance Database'!$E$2:$E$1369,MATCH(567,Engine!$C$2:$C$1369,0)))</f>
        <v/>
      </c>
      <c r="F580" s="8">
        <f>IF(ISNA(MATCH(567,Engine!$C$2:$C$1369,0)),"",INDEX('Compliance Database'!$F$2:$F$1369,MATCH(567,Engine!$C$2:$C$1369,0)))</f>
        <v/>
      </c>
      <c r="G580" s="8">
        <f>IF(ISNA(MATCH(567,Engine!$C$2:$C$1369,0)),"",INDEX('Compliance Database'!$G$2:$G$1369,MATCH(567,Engine!$C$2:$C$1369,0)))</f>
        <v/>
      </c>
      <c r="H580" s="9">
        <f>IF(ISNA(MATCH(567,Engine!$C$2:$C$1369,0)),"",INDEX('Compliance Database'!$H$2:$H$1369,MATCH(567,Engine!$C$2:$C$1369,0)))</f>
        <v/>
      </c>
      <c r="I580" s="9">
        <f>IF(ISNA(MATCH(567,Engine!$C$2:$C$1369,0)),"",INDEX('Compliance Database'!$I$2:$I$1369,MATCH(567,Engine!$C$2:$C$1369,0)))</f>
        <v/>
      </c>
      <c r="J580" s="8">
        <f>IF(ISNA(MATCH(567,Engine!$C$2:$C$1369,0)),"",INDEX('Compliance Database'!$J$2:$J$1369,MATCH(567,Engine!$C$2:$C$1369,0)))</f>
        <v/>
      </c>
      <c r="K580" s="9">
        <f>IF(ISNA(MATCH(567,Engine!$C$2:$C$1369,0)),"",INDEX('Compliance Database'!$K$2:$K$1369,MATCH(567,Engine!$C$2:$C$1369,0)))</f>
        <v/>
      </c>
      <c r="L580" s="9">
        <f>IF(ISNA(MATCH(567,Engine!$C$2:$C$1369,0)),"",INDEX('Compliance Database'!$L$2:$L$1369,MATCH(567,Engine!$C$2:$C$1369,0)))</f>
        <v/>
      </c>
      <c r="M580" s="9">
        <f>IF(ISNA(MATCH(567,Engine!$C$2:$C$1369,0)),"",INDEX('Compliance Database'!$M$2:$M$1369,MATCH(567,Engine!$C$2:$C$1369,0)))</f>
        <v/>
      </c>
      <c r="N580" s="9">
        <f>IF(ISNA(MATCH(567,Engine!$C$2:$C$1369,0)),"",INDEX('Compliance Database'!$N$2:$N$1369,MATCH(567,Engine!$C$2:$C$1369,0)))</f>
        <v/>
      </c>
      <c r="O580" s="8">
        <f>IF(ISNA(MATCH(567,Engine!$C$2:$C$1369,0)),"",HYPERLINK(INDEX('Compliance Database'!$O$2:$O$1369,MATCH(567,Engine!$C$2:$C$1369,0)),"Open PDF"))</f>
        <v/>
      </c>
    </row>
    <row r="581" ht="188" customHeight="1">
      <c r="A581" s="8">
        <f>IF(ISNA(MATCH(568,Engine!$C$2:$C$1369,0)),"",INDEX('Compliance Database'!$A$2:$A$1369,MATCH(568,Engine!$C$2:$C$1369,0)))</f>
        <v/>
      </c>
      <c r="B581" s="8">
        <f>IF(ISNA(MATCH(568,Engine!$C$2:$C$1369,0)),"",INDEX('Compliance Database'!$B$2:$B$1369,MATCH(568,Engine!$C$2:$C$1369,0)))</f>
        <v/>
      </c>
      <c r="C581" s="8">
        <f>IF(ISNA(MATCH(568,Engine!$C$2:$C$1369,0)),"",INDEX('Compliance Database'!$C$2:$C$1369,MATCH(568,Engine!$C$2:$C$1369,0)))</f>
        <v/>
      </c>
      <c r="D581" s="9">
        <f>IF(ISNA(MATCH(568,Engine!$C$2:$C$1369,0)),"",INDEX('Compliance Database'!$D$2:$D$1369,MATCH(568,Engine!$C$2:$C$1369,0)))</f>
        <v/>
      </c>
      <c r="E581" s="8">
        <f>IF(ISNA(MATCH(568,Engine!$C$2:$C$1369,0)),"",INDEX('Compliance Database'!$E$2:$E$1369,MATCH(568,Engine!$C$2:$C$1369,0)))</f>
        <v/>
      </c>
      <c r="F581" s="8">
        <f>IF(ISNA(MATCH(568,Engine!$C$2:$C$1369,0)),"",INDEX('Compliance Database'!$F$2:$F$1369,MATCH(568,Engine!$C$2:$C$1369,0)))</f>
        <v/>
      </c>
      <c r="G581" s="8">
        <f>IF(ISNA(MATCH(568,Engine!$C$2:$C$1369,0)),"",INDEX('Compliance Database'!$G$2:$G$1369,MATCH(568,Engine!$C$2:$C$1369,0)))</f>
        <v/>
      </c>
      <c r="H581" s="9">
        <f>IF(ISNA(MATCH(568,Engine!$C$2:$C$1369,0)),"",INDEX('Compliance Database'!$H$2:$H$1369,MATCH(568,Engine!$C$2:$C$1369,0)))</f>
        <v/>
      </c>
      <c r="I581" s="9">
        <f>IF(ISNA(MATCH(568,Engine!$C$2:$C$1369,0)),"",INDEX('Compliance Database'!$I$2:$I$1369,MATCH(568,Engine!$C$2:$C$1369,0)))</f>
        <v/>
      </c>
      <c r="J581" s="8">
        <f>IF(ISNA(MATCH(568,Engine!$C$2:$C$1369,0)),"",INDEX('Compliance Database'!$J$2:$J$1369,MATCH(568,Engine!$C$2:$C$1369,0)))</f>
        <v/>
      </c>
      <c r="K581" s="9">
        <f>IF(ISNA(MATCH(568,Engine!$C$2:$C$1369,0)),"",INDEX('Compliance Database'!$K$2:$K$1369,MATCH(568,Engine!$C$2:$C$1369,0)))</f>
        <v/>
      </c>
      <c r="L581" s="9">
        <f>IF(ISNA(MATCH(568,Engine!$C$2:$C$1369,0)),"",INDEX('Compliance Database'!$L$2:$L$1369,MATCH(568,Engine!$C$2:$C$1369,0)))</f>
        <v/>
      </c>
      <c r="M581" s="9">
        <f>IF(ISNA(MATCH(568,Engine!$C$2:$C$1369,0)),"",INDEX('Compliance Database'!$M$2:$M$1369,MATCH(568,Engine!$C$2:$C$1369,0)))</f>
        <v/>
      </c>
      <c r="N581" s="9">
        <f>IF(ISNA(MATCH(568,Engine!$C$2:$C$1369,0)),"",INDEX('Compliance Database'!$N$2:$N$1369,MATCH(568,Engine!$C$2:$C$1369,0)))</f>
        <v/>
      </c>
      <c r="O581" s="8">
        <f>IF(ISNA(MATCH(568,Engine!$C$2:$C$1369,0)),"",HYPERLINK(INDEX('Compliance Database'!$O$2:$O$1369,MATCH(568,Engine!$C$2:$C$1369,0)),"Open PDF"))</f>
        <v/>
      </c>
    </row>
    <row r="582" ht="188" customHeight="1">
      <c r="A582" s="8">
        <f>IF(ISNA(MATCH(569,Engine!$C$2:$C$1369,0)),"",INDEX('Compliance Database'!$A$2:$A$1369,MATCH(569,Engine!$C$2:$C$1369,0)))</f>
        <v/>
      </c>
      <c r="B582" s="8">
        <f>IF(ISNA(MATCH(569,Engine!$C$2:$C$1369,0)),"",INDEX('Compliance Database'!$B$2:$B$1369,MATCH(569,Engine!$C$2:$C$1369,0)))</f>
        <v/>
      </c>
      <c r="C582" s="8">
        <f>IF(ISNA(MATCH(569,Engine!$C$2:$C$1369,0)),"",INDEX('Compliance Database'!$C$2:$C$1369,MATCH(569,Engine!$C$2:$C$1369,0)))</f>
        <v/>
      </c>
      <c r="D582" s="9">
        <f>IF(ISNA(MATCH(569,Engine!$C$2:$C$1369,0)),"",INDEX('Compliance Database'!$D$2:$D$1369,MATCH(569,Engine!$C$2:$C$1369,0)))</f>
        <v/>
      </c>
      <c r="E582" s="8">
        <f>IF(ISNA(MATCH(569,Engine!$C$2:$C$1369,0)),"",INDEX('Compliance Database'!$E$2:$E$1369,MATCH(569,Engine!$C$2:$C$1369,0)))</f>
        <v/>
      </c>
      <c r="F582" s="8">
        <f>IF(ISNA(MATCH(569,Engine!$C$2:$C$1369,0)),"",INDEX('Compliance Database'!$F$2:$F$1369,MATCH(569,Engine!$C$2:$C$1369,0)))</f>
        <v/>
      </c>
      <c r="G582" s="8">
        <f>IF(ISNA(MATCH(569,Engine!$C$2:$C$1369,0)),"",INDEX('Compliance Database'!$G$2:$G$1369,MATCH(569,Engine!$C$2:$C$1369,0)))</f>
        <v/>
      </c>
      <c r="H582" s="9">
        <f>IF(ISNA(MATCH(569,Engine!$C$2:$C$1369,0)),"",INDEX('Compliance Database'!$H$2:$H$1369,MATCH(569,Engine!$C$2:$C$1369,0)))</f>
        <v/>
      </c>
      <c r="I582" s="9">
        <f>IF(ISNA(MATCH(569,Engine!$C$2:$C$1369,0)),"",INDEX('Compliance Database'!$I$2:$I$1369,MATCH(569,Engine!$C$2:$C$1369,0)))</f>
        <v/>
      </c>
      <c r="J582" s="8">
        <f>IF(ISNA(MATCH(569,Engine!$C$2:$C$1369,0)),"",INDEX('Compliance Database'!$J$2:$J$1369,MATCH(569,Engine!$C$2:$C$1369,0)))</f>
        <v/>
      </c>
      <c r="K582" s="9">
        <f>IF(ISNA(MATCH(569,Engine!$C$2:$C$1369,0)),"",INDEX('Compliance Database'!$K$2:$K$1369,MATCH(569,Engine!$C$2:$C$1369,0)))</f>
        <v/>
      </c>
      <c r="L582" s="9">
        <f>IF(ISNA(MATCH(569,Engine!$C$2:$C$1369,0)),"",INDEX('Compliance Database'!$L$2:$L$1369,MATCH(569,Engine!$C$2:$C$1369,0)))</f>
        <v/>
      </c>
      <c r="M582" s="9">
        <f>IF(ISNA(MATCH(569,Engine!$C$2:$C$1369,0)),"",INDEX('Compliance Database'!$M$2:$M$1369,MATCH(569,Engine!$C$2:$C$1369,0)))</f>
        <v/>
      </c>
      <c r="N582" s="9">
        <f>IF(ISNA(MATCH(569,Engine!$C$2:$C$1369,0)),"",INDEX('Compliance Database'!$N$2:$N$1369,MATCH(569,Engine!$C$2:$C$1369,0)))</f>
        <v/>
      </c>
      <c r="O582" s="8">
        <f>IF(ISNA(MATCH(569,Engine!$C$2:$C$1369,0)),"",HYPERLINK(INDEX('Compliance Database'!$O$2:$O$1369,MATCH(569,Engine!$C$2:$C$1369,0)),"Open PDF"))</f>
        <v/>
      </c>
    </row>
    <row r="583" ht="188" customHeight="1">
      <c r="A583" s="8">
        <f>IF(ISNA(MATCH(570,Engine!$C$2:$C$1369,0)),"",INDEX('Compliance Database'!$A$2:$A$1369,MATCH(570,Engine!$C$2:$C$1369,0)))</f>
        <v/>
      </c>
      <c r="B583" s="8">
        <f>IF(ISNA(MATCH(570,Engine!$C$2:$C$1369,0)),"",INDEX('Compliance Database'!$B$2:$B$1369,MATCH(570,Engine!$C$2:$C$1369,0)))</f>
        <v/>
      </c>
      <c r="C583" s="8">
        <f>IF(ISNA(MATCH(570,Engine!$C$2:$C$1369,0)),"",INDEX('Compliance Database'!$C$2:$C$1369,MATCH(570,Engine!$C$2:$C$1369,0)))</f>
        <v/>
      </c>
      <c r="D583" s="9">
        <f>IF(ISNA(MATCH(570,Engine!$C$2:$C$1369,0)),"",INDEX('Compliance Database'!$D$2:$D$1369,MATCH(570,Engine!$C$2:$C$1369,0)))</f>
        <v/>
      </c>
      <c r="E583" s="8">
        <f>IF(ISNA(MATCH(570,Engine!$C$2:$C$1369,0)),"",INDEX('Compliance Database'!$E$2:$E$1369,MATCH(570,Engine!$C$2:$C$1369,0)))</f>
        <v/>
      </c>
      <c r="F583" s="8">
        <f>IF(ISNA(MATCH(570,Engine!$C$2:$C$1369,0)),"",INDEX('Compliance Database'!$F$2:$F$1369,MATCH(570,Engine!$C$2:$C$1369,0)))</f>
        <v/>
      </c>
      <c r="G583" s="8">
        <f>IF(ISNA(MATCH(570,Engine!$C$2:$C$1369,0)),"",INDEX('Compliance Database'!$G$2:$G$1369,MATCH(570,Engine!$C$2:$C$1369,0)))</f>
        <v/>
      </c>
      <c r="H583" s="9">
        <f>IF(ISNA(MATCH(570,Engine!$C$2:$C$1369,0)),"",INDEX('Compliance Database'!$H$2:$H$1369,MATCH(570,Engine!$C$2:$C$1369,0)))</f>
        <v/>
      </c>
      <c r="I583" s="9">
        <f>IF(ISNA(MATCH(570,Engine!$C$2:$C$1369,0)),"",INDEX('Compliance Database'!$I$2:$I$1369,MATCH(570,Engine!$C$2:$C$1369,0)))</f>
        <v/>
      </c>
      <c r="J583" s="8">
        <f>IF(ISNA(MATCH(570,Engine!$C$2:$C$1369,0)),"",INDEX('Compliance Database'!$J$2:$J$1369,MATCH(570,Engine!$C$2:$C$1369,0)))</f>
        <v/>
      </c>
      <c r="K583" s="9">
        <f>IF(ISNA(MATCH(570,Engine!$C$2:$C$1369,0)),"",INDEX('Compliance Database'!$K$2:$K$1369,MATCH(570,Engine!$C$2:$C$1369,0)))</f>
        <v/>
      </c>
      <c r="L583" s="9">
        <f>IF(ISNA(MATCH(570,Engine!$C$2:$C$1369,0)),"",INDEX('Compliance Database'!$L$2:$L$1369,MATCH(570,Engine!$C$2:$C$1369,0)))</f>
        <v/>
      </c>
      <c r="M583" s="9">
        <f>IF(ISNA(MATCH(570,Engine!$C$2:$C$1369,0)),"",INDEX('Compliance Database'!$M$2:$M$1369,MATCH(570,Engine!$C$2:$C$1369,0)))</f>
        <v/>
      </c>
      <c r="N583" s="9">
        <f>IF(ISNA(MATCH(570,Engine!$C$2:$C$1369,0)),"",INDEX('Compliance Database'!$N$2:$N$1369,MATCH(570,Engine!$C$2:$C$1369,0)))</f>
        <v/>
      </c>
      <c r="O583" s="8">
        <f>IF(ISNA(MATCH(570,Engine!$C$2:$C$1369,0)),"",HYPERLINK(INDEX('Compliance Database'!$O$2:$O$1369,MATCH(570,Engine!$C$2:$C$1369,0)),"Open PDF"))</f>
        <v/>
      </c>
    </row>
    <row r="584" ht="188" customHeight="1">
      <c r="A584" s="8">
        <f>IF(ISNA(MATCH(571,Engine!$C$2:$C$1369,0)),"",INDEX('Compliance Database'!$A$2:$A$1369,MATCH(571,Engine!$C$2:$C$1369,0)))</f>
        <v/>
      </c>
      <c r="B584" s="8">
        <f>IF(ISNA(MATCH(571,Engine!$C$2:$C$1369,0)),"",INDEX('Compliance Database'!$B$2:$B$1369,MATCH(571,Engine!$C$2:$C$1369,0)))</f>
        <v/>
      </c>
      <c r="C584" s="8">
        <f>IF(ISNA(MATCH(571,Engine!$C$2:$C$1369,0)),"",INDEX('Compliance Database'!$C$2:$C$1369,MATCH(571,Engine!$C$2:$C$1369,0)))</f>
        <v/>
      </c>
      <c r="D584" s="9">
        <f>IF(ISNA(MATCH(571,Engine!$C$2:$C$1369,0)),"",INDEX('Compliance Database'!$D$2:$D$1369,MATCH(571,Engine!$C$2:$C$1369,0)))</f>
        <v/>
      </c>
      <c r="E584" s="8">
        <f>IF(ISNA(MATCH(571,Engine!$C$2:$C$1369,0)),"",INDEX('Compliance Database'!$E$2:$E$1369,MATCH(571,Engine!$C$2:$C$1369,0)))</f>
        <v/>
      </c>
      <c r="F584" s="8">
        <f>IF(ISNA(MATCH(571,Engine!$C$2:$C$1369,0)),"",INDEX('Compliance Database'!$F$2:$F$1369,MATCH(571,Engine!$C$2:$C$1369,0)))</f>
        <v/>
      </c>
      <c r="G584" s="8">
        <f>IF(ISNA(MATCH(571,Engine!$C$2:$C$1369,0)),"",INDEX('Compliance Database'!$G$2:$G$1369,MATCH(571,Engine!$C$2:$C$1369,0)))</f>
        <v/>
      </c>
      <c r="H584" s="9">
        <f>IF(ISNA(MATCH(571,Engine!$C$2:$C$1369,0)),"",INDEX('Compliance Database'!$H$2:$H$1369,MATCH(571,Engine!$C$2:$C$1369,0)))</f>
        <v/>
      </c>
      <c r="I584" s="9">
        <f>IF(ISNA(MATCH(571,Engine!$C$2:$C$1369,0)),"",INDEX('Compliance Database'!$I$2:$I$1369,MATCH(571,Engine!$C$2:$C$1369,0)))</f>
        <v/>
      </c>
      <c r="J584" s="8">
        <f>IF(ISNA(MATCH(571,Engine!$C$2:$C$1369,0)),"",INDEX('Compliance Database'!$J$2:$J$1369,MATCH(571,Engine!$C$2:$C$1369,0)))</f>
        <v/>
      </c>
      <c r="K584" s="9">
        <f>IF(ISNA(MATCH(571,Engine!$C$2:$C$1369,0)),"",INDEX('Compliance Database'!$K$2:$K$1369,MATCH(571,Engine!$C$2:$C$1369,0)))</f>
        <v/>
      </c>
      <c r="L584" s="9">
        <f>IF(ISNA(MATCH(571,Engine!$C$2:$C$1369,0)),"",INDEX('Compliance Database'!$L$2:$L$1369,MATCH(571,Engine!$C$2:$C$1369,0)))</f>
        <v/>
      </c>
      <c r="M584" s="9">
        <f>IF(ISNA(MATCH(571,Engine!$C$2:$C$1369,0)),"",INDEX('Compliance Database'!$M$2:$M$1369,MATCH(571,Engine!$C$2:$C$1369,0)))</f>
        <v/>
      </c>
      <c r="N584" s="9">
        <f>IF(ISNA(MATCH(571,Engine!$C$2:$C$1369,0)),"",INDEX('Compliance Database'!$N$2:$N$1369,MATCH(571,Engine!$C$2:$C$1369,0)))</f>
        <v/>
      </c>
      <c r="O584" s="8">
        <f>IF(ISNA(MATCH(571,Engine!$C$2:$C$1369,0)),"",HYPERLINK(INDEX('Compliance Database'!$O$2:$O$1369,MATCH(571,Engine!$C$2:$C$1369,0)),"Open PDF"))</f>
        <v/>
      </c>
    </row>
    <row r="585" ht="188" customHeight="1">
      <c r="A585" s="8">
        <f>IF(ISNA(MATCH(572,Engine!$C$2:$C$1369,0)),"",INDEX('Compliance Database'!$A$2:$A$1369,MATCH(572,Engine!$C$2:$C$1369,0)))</f>
        <v/>
      </c>
      <c r="B585" s="8">
        <f>IF(ISNA(MATCH(572,Engine!$C$2:$C$1369,0)),"",INDEX('Compliance Database'!$B$2:$B$1369,MATCH(572,Engine!$C$2:$C$1369,0)))</f>
        <v/>
      </c>
      <c r="C585" s="8">
        <f>IF(ISNA(MATCH(572,Engine!$C$2:$C$1369,0)),"",INDEX('Compliance Database'!$C$2:$C$1369,MATCH(572,Engine!$C$2:$C$1369,0)))</f>
        <v/>
      </c>
      <c r="D585" s="9">
        <f>IF(ISNA(MATCH(572,Engine!$C$2:$C$1369,0)),"",INDEX('Compliance Database'!$D$2:$D$1369,MATCH(572,Engine!$C$2:$C$1369,0)))</f>
        <v/>
      </c>
      <c r="E585" s="8">
        <f>IF(ISNA(MATCH(572,Engine!$C$2:$C$1369,0)),"",INDEX('Compliance Database'!$E$2:$E$1369,MATCH(572,Engine!$C$2:$C$1369,0)))</f>
        <v/>
      </c>
      <c r="F585" s="8">
        <f>IF(ISNA(MATCH(572,Engine!$C$2:$C$1369,0)),"",INDEX('Compliance Database'!$F$2:$F$1369,MATCH(572,Engine!$C$2:$C$1369,0)))</f>
        <v/>
      </c>
      <c r="G585" s="8">
        <f>IF(ISNA(MATCH(572,Engine!$C$2:$C$1369,0)),"",INDEX('Compliance Database'!$G$2:$G$1369,MATCH(572,Engine!$C$2:$C$1369,0)))</f>
        <v/>
      </c>
      <c r="H585" s="9">
        <f>IF(ISNA(MATCH(572,Engine!$C$2:$C$1369,0)),"",INDEX('Compliance Database'!$H$2:$H$1369,MATCH(572,Engine!$C$2:$C$1369,0)))</f>
        <v/>
      </c>
      <c r="I585" s="9">
        <f>IF(ISNA(MATCH(572,Engine!$C$2:$C$1369,0)),"",INDEX('Compliance Database'!$I$2:$I$1369,MATCH(572,Engine!$C$2:$C$1369,0)))</f>
        <v/>
      </c>
      <c r="J585" s="8">
        <f>IF(ISNA(MATCH(572,Engine!$C$2:$C$1369,0)),"",INDEX('Compliance Database'!$J$2:$J$1369,MATCH(572,Engine!$C$2:$C$1369,0)))</f>
        <v/>
      </c>
      <c r="K585" s="9">
        <f>IF(ISNA(MATCH(572,Engine!$C$2:$C$1369,0)),"",INDEX('Compliance Database'!$K$2:$K$1369,MATCH(572,Engine!$C$2:$C$1369,0)))</f>
        <v/>
      </c>
      <c r="L585" s="9">
        <f>IF(ISNA(MATCH(572,Engine!$C$2:$C$1369,0)),"",INDEX('Compliance Database'!$L$2:$L$1369,MATCH(572,Engine!$C$2:$C$1369,0)))</f>
        <v/>
      </c>
      <c r="M585" s="9">
        <f>IF(ISNA(MATCH(572,Engine!$C$2:$C$1369,0)),"",INDEX('Compliance Database'!$M$2:$M$1369,MATCH(572,Engine!$C$2:$C$1369,0)))</f>
        <v/>
      </c>
      <c r="N585" s="9">
        <f>IF(ISNA(MATCH(572,Engine!$C$2:$C$1369,0)),"",INDEX('Compliance Database'!$N$2:$N$1369,MATCH(572,Engine!$C$2:$C$1369,0)))</f>
        <v/>
      </c>
      <c r="O585" s="8">
        <f>IF(ISNA(MATCH(572,Engine!$C$2:$C$1369,0)),"",HYPERLINK(INDEX('Compliance Database'!$O$2:$O$1369,MATCH(572,Engine!$C$2:$C$1369,0)),"Open PDF"))</f>
        <v/>
      </c>
    </row>
    <row r="586" ht="188" customHeight="1">
      <c r="A586" s="8">
        <f>IF(ISNA(MATCH(573,Engine!$C$2:$C$1369,0)),"",INDEX('Compliance Database'!$A$2:$A$1369,MATCH(573,Engine!$C$2:$C$1369,0)))</f>
        <v/>
      </c>
      <c r="B586" s="8">
        <f>IF(ISNA(MATCH(573,Engine!$C$2:$C$1369,0)),"",INDEX('Compliance Database'!$B$2:$B$1369,MATCH(573,Engine!$C$2:$C$1369,0)))</f>
        <v/>
      </c>
      <c r="C586" s="8">
        <f>IF(ISNA(MATCH(573,Engine!$C$2:$C$1369,0)),"",INDEX('Compliance Database'!$C$2:$C$1369,MATCH(573,Engine!$C$2:$C$1369,0)))</f>
        <v/>
      </c>
      <c r="D586" s="9">
        <f>IF(ISNA(MATCH(573,Engine!$C$2:$C$1369,0)),"",INDEX('Compliance Database'!$D$2:$D$1369,MATCH(573,Engine!$C$2:$C$1369,0)))</f>
        <v/>
      </c>
      <c r="E586" s="8">
        <f>IF(ISNA(MATCH(573,Engine!$C$2:$C$1369,0)),"",INDEX('Compliance Database'!$E$2:$E$1369,MATCH(573,Engine!$C$2:$C$1369,0)))</f>
        <v/>
      </c>
      <c r="F586" s="8">
        <f>IF(ISNA(MATCH(573,Engine!$C$2:$C$1369,0)),"",INDEX('Compliance Database'!$F$2:$F$1369,MATCH(573,Engine!$C$2:$C$1369,0)))</f>
        <v/>
      </c>
      <c r="G586" s="8">
        <f>IF(ISNA(MATCH(573,Engine!$C$2:$C$1369,0)),"",INDEX('Compliance Database'!$G$2:$G$1369,MATCH(573,Engine!$C$2:$C$1369,0)))</f>
        <v/>
      </c>
      <c r="H586" s="9">
        <f>IF(ISNA(MATCH(573,Engine!$C$2:$C$1369,0)),"",INDEX('Compliance Database'!$H$2:$H$1369,MATCH(573,Engine!$C$2:$C$1369,0)))</f>
        <v/>
      </c>
      <c r="I586" s="9">
        <f>IF(ISNA(MATCH(573,Engine!$C$2:$C$1369,0)),"",INDEX('Compliance Database'!$I$2:$I$1369,MATCH(573,Engine!$C$2:$C$1369,0)))</f>
        <v/>
      </c>
      <c r="J586" s="8">
        <f>IF(ISNA(MATCH(573,Engine!$C$2:$C$1369,0)),"",INDEX('Compliance Database'!$J$2:$J$1369,MATCH(573,Engine!$C$2:$C$1369,0)))</f>
        <v/>
      </c>
      <c r="K586" s="9">
        <f>IF(ISNA(MATCH(573,Engine!$C$2:$C$1369,0)),"",INDEX('Compliance Database'!$K$2:$K$1369,MATCH(573,Engine!$C$2:$C$1369,0)))</f>
        <v/>
      </c>
      <c r="L586" s="9">
        <f>IF(ISNA(MATCH(573,Engine!$C$2:$C$1369,0)),"",INDEX('Compliance Database'!$L$2:$L$1369,MATCH(573,Engine!$C$2:$C$1369,0)))</f>
        <v/>
      </c>
      <c r="M586" s="9">
        <f>IF(ISNA(MATCH(573,Engine!$C$2:$C$1369,0)),"",INDEX('Compliance Database'!$M$2:$M$1369,MATCH(573,Engine!$C$2:$C$1369,0)))</f>
        <v/>
      </c>
      <c r="N586" s="9">
        <f>IF(ISNA(MATCH(573,Engine!$C$2:$C$1369,0)),"",INDEX('Compliance Database'!$N$2:$N$1369,MATCH(573,Engine!$C$2:$C$1369,0)))</f>
        <v/>
      </c>
      <c r="O586" s="8">
        <f>IF(ISNA(MATCH(573,Engine!$C$2:$C$1369,0)),"",HYPERLINK(INDEX('Compliance Database'!$O$2:$O$1369,MATCH(573,Engine!$C$2:$C$1369,0)),"Open PDF"))</f>
        <v/>
      </c>
    </row>
    <row r="587" ht="188" customHeight="1">
      <c r="A587" s="8">
        <f>IF(ISNA(MATCH(574,Engine!$C$2:$C$1369,0)),"",INDEX('Compliance Database'!$A$2:$A$1369,MATCH(574,Engine!$C$2:$C$1369,0)))</f>
        <v/>
      </c>
      <c r="B587" s="8">
        <f>IF(ISNA(MATCH(574,Engine!$C$2:$C$1369,0)),"",INDEX('Compliance Database'!$B$2:$B$1369,MATCH(574,Engine!$C$2:$C$1369,0)))</f>
        <v/>
      </c>
      <c r="C587" s="8">
        <f>IF(ISNA(MATCH(574,Engine!$C$2:$C$1369,0)),"",INDEX('Compliance Database'!$C$2:$C$1369,MATCH(574,Engine!$C$2:$C$1369,0)))</f>
        <v/>
      </c>
      <c r="D587" s="9">
        <f>IF(ISNA(MATCH(574,Engine!$C$2:$C$1369,0)),"",INDEX('Compliance Database'!$D$2:$D$1369,MATCH(574,Engine!$C$2:$C$1369,0)))</f>
        <v/>
      </c>
      <c r="E587" s="8">
        <f>IF(ISNA(MATCH(574,Engine!$C$2:$C$1369,0)),"",INDEX('Compliance Database'!$E$2:$E$1369,MATCH(574,Engine!$C$2:$C$1369,0)))</f>
        <v/>
      </c>
      <c r="F587" s="8">
        <f>IF(ISNA(MATCH(574,Engine!$C$2:$C$1369,0)),"",INDEX('Compliance Database'!$F$2:$F$1369,MATCH(574,Engine!$C$2:$C$1369,0)))</f>
        <v/>
      </c>
      <c r="G587" s="8">
        <f>IF(ISNA(MATCH(574,Engine!$C$2:$C$1369,0)),"",INDEX('Compliance Database'!$G$2:$G$1369,MATCH(574,Engine!$C$2:$C$1369,0)))</f>
        <v/>
      </c>
      <c r="H587" s="9">
        <f>IF(ISNA(MATCH(574,Engine!$C$2:$C$1369,0)),"",INDEX('Compliance Database'!$H$2:$H$1369,MATCH(574,Engine!$C$2:$C$1369,0)))</f>
        <v/>
      </c>
      <c r="I587" s="9">
        <f>IF(ISNA(MATCH(574,Engine!$C$2:$C$1369,0)),"",INDEX('Compliance Database'!$I$2:$I$1369,MATCH(574,Engine!$C$2:$C$1369,0)))</f>
        <v/>
      </c>
      <c r="J587" s="8">
        <f>IF(ISNA(MATCH(574,Engine!$C$2:$C$1369,0)),"",INDEX('Compliance Database'!$J$2:$J$1369,MATCH(574,Engine!$C$2:$C$1369,0)))</f>
        <v/>
      </c>
      <c r="K587" s="9">
        <f>IF(ISNA(MATCH(574,Engine!$C$2:$C$1369,0)),"",INDEX('Compliance Database'!$K$2:$K$1369,MATCH(574,Engine!$C$2:$C$1369,0)))</f>
        <v/>
      </c>
      <c r="L587" s="9">
        <f>IF(ISNA(MATCH(574,Engine!$C$2:$C$1369,0)),"",INDEX('Compliance Database'!$L$2:$L$1369,MATCH(574,Engine!$C$2:$C$1369,0)))</f>
        <v/>
      </c>
      <c r="M587" s="9">
        <f>IF(ISNA(MATCH(574,Engine!$C$2:$C$1369,0)),"",INDEX('Compliance Database'!$M$2:$M$1369,MATCH(574,Engine!$C$2:$C$1369,0)))</f>
        <v/>
      </c>
      <c r="N587" s="9">
        <f>IF(ISNA(MATCH(574,Engine!$C$2:$C$1369,0)),"",INDEX('Compliance Database'!$N$2:$N$1369,MATCH(574,Engine!$C$2:$C$1369,0)))</f>
        <v/>
      </c>
      <c r="O587" s="8">
        <f>IF(ISNA(MATCH(574,Engine!$C$2:$C$1369,0)),"",HYPERLINK(INDEX('Compliance Database'!$O$2:$O$1369,MATCH(574,Engine!$C$2:$C$1369,0)),"Open PDF"))</f>
        <v/>
      </c>
    </row>
    <row r="588" ht="188" customHeight="1">
      <c r="A588" s="8">
        <f>IF(ISNA(MATCH(575,Engine!$C$2:$C$1369,0)),"",INDEX('Compliance Database'!$A$2:$A$1369,MATCH(575,Engine!$C$2:$C$1369,0)))</f>
        <v/>
      </c>
      <c r="B588" s="8">
        <f>IF(ISNA(MATCH(575,Engine!$C$2:$C$1369,0)),"",INDEX('Compliance Database'!$B$2:$B$1369,MATCH(575,Engine!$C$2:$C$1369,0)))</f>
        <v/>
      </c>
      <c r="C588" s="8">
        <f>IF(ISNA(MATCH(575,Engine!$C$2:$C$1369,0)),"",INDEX('Compliance Database'!$C$2:$C$1369,MATCH(575,Engine!$C$2:$C$1369,0)))</f>
        <v/>
      </c>
      <c r="D588" s="9">
        <f>IF(ISNA(MATCH(575,Engine!$C$2:$C$1369,0)),"",INDEX('Compliance Database'!$D$2:$D$1369,MATCH(575,Engine!$C$2:$C$1369,0)))</f>
        <v/>
      </c>
      <c r="E588" s="8">
        <f>IF(ISNA(MATCH(575,Engine!$C$2:$C$1369,0)),"",INDEX('Compliance Database'!$E$2:$E$1369,MATCH(575,Engine!$C$2:$C$1369,0)))</f>
        <v/>
      </c>
      <c r="F588" s="8">
        <f>IF(ISNA(MATCH(575,Engine!$C$2:$C$1369,0)),"",INDEX('Compliance Database'!$F$2:$F$1369,MATCH(575,Engine!$C$2:$C$1369,0)))</f>
        <v/>
      </c>
      <c r="G588" s="8">
        <f>IF(ISNA(MATCH(575,Engine!$C$2:$C$1369,0)),"",INDEX('Compliance Database'!$G$2:$G$1369,MATCH(575,Engine!$C$2:$C$1369,0)))</f>
        <v/>
      </c>
      <c r="H588" s="9">
        <f>IF(ISNA(MATCH(575,Engine!$C$2:$C$1369,0)),"",INDEX('Compliance Database'!$H$2:$H$1369,MATCH(575,Engine!$C$2:$C$1369,0)))</f>
        <v/>
      </c>
      <c r="I588" s="9">
        <f>IF(ISNA(MATCH(575,Engine!$C$2:$C$1369,0)),"",INDEX('Compliance Database'!$I$2:$I$1369,MATCH(575,Engine!$C$2:$C$1369,0)))</f>
        <v/>
      </c>
      <c r="J588" s="8">
        <f>IF(ISNA(MATCH(575,Engine!$C$2:$C$1369,0)),"",INDEX('Compliance Database'!$J$2:$J$1369,MATCH(575,Engine!$C$2:$C$1369,0)))</f>
        <v/>
      </c>
      <c r="K588" s="9">
        <f>IF(ISNA(MATCH(575,Engine!$C$2:$C$1369,0)),"",INDEX('Compliance Database'!$K$2:$K$1369,MATCH(575,Engine!$C$2:$C$1369,0)))</f>
        <v/>
      </c>
      <c r="L588" s="9">
        <f>IF(ISNA(MATCH(575,Engine!$C$2:$C$1369,0)),"",INDEX('Compliance Database'!$L$2:$L$1369,MATCH(575,Engine!$C$2:$C$1369,0)))</f>
        <v/>
      </c>
      <c r="M588" s="9">
        <f>IF(ISNA(MATCH(575,Engine!$C$2:$C$1369,0)),"",INDEX('Compliance Database'!$M$2:$M$1369,MATCH(575,Engine!$C$2:$C$1369,0)))</f>
        <v/>
      </c>
      <c r="N588" s="9">
        <f>IF(ISNA(MATCH(575,Engine!$C$2:$C$1369,0)),"",INDEX('Compliance Database'!$N$2:$N$1369,MATCH(575,Engine!$C$2:$C$1369,0)))</f>
        <v/>
      </c>
      <c r="O588" s="8">
        <f>IF(ISNA(MATCH(575,Engine!$C$2:$C$1369,0)),"",HYPERLINK(INDEX('Compliance Database'!$O$2:$O$1369,MATCH(575,Engine!$C$2:$C$1369,0)),"Open PDF"))</f>
        <v/>
      </c>
    </row>
    <row r="589" ht="188" customHeight="1">
      <c r="A589" s="8">
        <f>IF(ISNA(MATCH(576,Engine!$C$2:$C$1369,0)),"",INDEX('Compliance Database'!$A$2:$A$1369,MATCH(576,Engine!$C$2:$C$1369,0)))</f>
        <v/>
      </c>
      <c r="B589" s="8">
        <f>IF(ISNA(MATCH(576,Engine!$C$2:$C$1369,0)),"",INDEX('Compliance Database'!$B$2:$B$1369,MATCH(576,Engine!$C$2:$C$1369,0)))</f>
        <v/>
      </c>
      <c r="C589" s="8">
        <f>IF(ISNA(MATCH(576,Engine!$C$2:$C$1369,0)),"",INDEX('Compliance Database'!$C$2:$C$1369,MATCH(576,Engine!$C$2:$C$1369,0)))</f>
        <v/>
      </c>
      <c r="D589" s="9">
        <f>IF(ISNA(MATCH(576,Engine!$C$2:$C$1369,0)),"",INDEX('Compliance Database'!$D$2:$D$1369,MATCH(576,Engine!$C$2:$C$1369,0)))</f>
        <v/>
      </c>
      <c r="E589" s="8">
        <f>IF(ISNA(MATCH(576,Engine!$C$2:$C$1369,0)),"",INDEX('Compliance Database'!$E$2:$E$1369,MATCH(576,Engine!$C$2:$C$1369,0)))</f>
        <v/>
      </c>
      <c r="F589" s="8">
        <f>IF(ISNA(MATCH(576,Engine!$C$2:$C$1369,0)),"",INDEX('Compliance Database'!$F$2:$F$1369,MATCH(576,Engine!$C$2:$C$1369,0)))</f>
        <v/>
      </c>
      <c r="G589" s="8">
        <f>IF(ISNA(MATCH(576,Engine!$C$2:$C$1369,0)),"",INDEX('Compliance Database'!$G$2:$G$1369,MATCH(576,Engine!$C$2:$C$1369,0)))</f>
        <v/>
      </c>
      <c r="H589" s="9">
        <f>IF(ISNA(MATCH(576,Engine!$C$2:$C$1369,0)),"",INDEX('Compliance Database'!$H$2:$H$1369,MATCH(576,Engine!$C$2:$C$1369,0)))</f>
        <v/>
      </c>
      <c r="I589" s="9">
        <f>IF(ISNA(MATCH(576,Engine!$C$2:$C$1369,0)),"",INDEX('Compliance Database'!$I$2:$I$1369,MATCH(576,Engine!$C$2:$C$1369,0)))</f>
        <v/>
      </c>
      <c r="J589" s="8">
        <f>IF(ISNA(MATCH(576,Engine!$C$2:$C$1369,0)),"",INDEX('Compliance Database'!$J$2:$J$1369,MATCH(576,Engine!$C$2:$C$1369,0)))</f>
        <v/>
      </c>
      <c r="K589" s="9">
        <f>IF(ISNA(MATCH(576,Engine!$C$2:$C$1369,0)),"",INDEX('Compliance Database'!$K$2:$K$1369,MATCH(576,Engine!$C$2:$C$1369,0)))</f>
        <v/>
      </c>
      <c r="L589" s="9">
        <f>IF(ISNA(MATCH(576,Engine!$C$2:$C$1369,0)),"",INDEX('Compliance Database'!$L$2:$L$1369,MATCH(576,Engine!$C$2:$C$1369,0)))</f>
        <v/>
      </c>
      <c r="M589" s="9">
        <f>IF(ISNA(MATCH(576,Engine!$C$2:$C$1369,0)),"",INDEX('Compliance Database'!$M$2:$M$1369,MATCH(576,Engine!$C$2:$C$1369,0)))</f>
        <v/>
      </c>
      <c r="N589" s="9">
        <f>IF(ISNA(MATCH(576,Engine!$C$2:$C$1369,0)),"",INDEX('Compliance Database'!$N$2:$N$1369,MATCH(576,Engine!$C$2:$C$1369,0)))</f>
        <v/>
      </c>
      <c r="O589" s="8">
        <f>IF(ISNA(MATCH(576,Engine!$C$2:$C$1369,0)),"",HYPERLINK(INDEX('Compliance Database'!$O$2:$O$1369,MATCH(576,Engine!$C$2:$C$1369,0)),"Open PDF"))</f>
        <v/>
      </c>
    </row>
    <row r="590" ht="188" customHeight="1">
      <c r="A590" s="8">
        <f>IF(ISNA(MATCH(577,Engine!$C$2:$C$1369,0)),"",INDEX('Compliance Database'!$A$2:$A$1369,MATCH(577,Engine!$C$2:$C$1369,0)))</f>
        <v/>
      </c>
      <c r="B590" s="8">
        <f>IF(ISNA(MATCH(577,Engine!$C$2:$C$1369,0)),"",INDEX('Compliance Database'!$B$2:$B$1369,MATCH(577,Engine!$C$2:$C$1369,0)))</f>
        <v/>
      </c>
      <c r="C590" s="8">
        <f>IF(ISNA(MATCH(577,Engine!$C$2:$C$1369,0)),"",INDEX('Compliance Database'!$C$2:$C$1369,MATCH(577,Engine!$C$2:$C$1369,0)))</f>
        <v/>
      </c>
      <c r="D590" s="9">
        <f>IF(ISNA(MATCH(577,Engine!$C$2:$C$1369,0)),"",INDEX('Compliance Database'!$D$2:$D$1369,MATCH(577,Engine!$C$2:$C$1369,0)))</f>
        <v/>
      </c>
      <c r="E590" s="8">
        <f>IF(ISNA(MATCH(577,Engine!$C$2:$C$1369,0)),"",INDEX('Compliance Database'!$E$2:$E$1369,MATCH(577,Engine!$C$2:$C$1369,0)))</f>
        <v/>
      </c>
      <c r="F590" s="8">
        <f>IF(ISNA(MATCH(577,Engine!$C$2:$C$1369,0)),"",INDEX('Compliance Database'!$F$2:$F$1369,MATCH(577,Engine!$C$2:$C$1369,0)))</f>
        <v/>
      </c>
      <c r="G590" s="8">
        <f>IF(ISNA(MATCH(577,Engine!$C$2:$C$1369,0)),"",INDEX('Compliance Database'!$G$2:$G$1369,MATCH(577,Engine!$C$2:$C$1369,0)))</f>
        <v/>
      </c>
      <c r="H590" s="9">
        <f>IF(ISNA(MATCH(577,Engine!$C$2:$C$1369,0)),"",INDEX('Compliance Database'!$H$2:$H$1369,MATCH(577,Engine!$C$2:$C$1369,0)))</f>
        <v/>
      </c>
      <c r="I590" s="9">
        <f>IF(ISNA(MATCH(577,Engine!$C$2:$C$1369,0)),"",INDEX('Compliance Database'!$I$2:$I$1369,MATCH(577,Engine!$C$2:$C$1369,0)))</f>
        <v/>
      </c>
      <c r="J590" s="8">
        <f>IF(ISNA(MATCH(577,Engine!$C$2:$C$1369,0)),"",INDEX('Compliance Database'!$J$2:$J$1369,MATCH(577,Engine!$C$2:$C$1369,0)))</f>
        <v/>
      </c>
      <c r="K590" s="9">
        <f>IF(ISNA(MATCH(577,Engine!$C$2:$C$1369,0)),"",INDEX('Compliance Database'!$K$2:$K$1369,MATCH(577,Engine!$C$2:$C$1369,0)))</f>
        <v/>
      </c>
      <c r="L590" s="9">
        <f>IF(ISNA(MATCH(577,Engine!$C$2:$C$1369,0)),"",INDEX('Compliance Database'!$L$2:$L$1369,MATCH(577,Engine!$C$2:$C$1369,0)))</f>
        <v/>
      </c>
      <c r="M590" s="9">
        <f>IF(ISNA(MATCH(577,Engine!$C$2:$C$1369,0)),"",INDEX('Compliance Database'!$M$2:$M$1369,MATCH(577,Engine!$C$2:$C$1369,0)))</f>
        <v/>
      </c>
      <c r="N590" s="9">
        <f>IF(ISNA(MATCH(577,Engine!$C$2:$C$1369,0)),"",INDEX('Compliance Database'!$N$2:$N$1369,MATCH(577,Engine!$C$2:$C$1369,0)))</f>
        <v/>
      </c>
      <c r="O590" s="8">
        <f>IF(ISNA(MATCH(577,Engine!$C$2:$C$1369,0)),"",HYPERLINK(INDEX('Compliance Database'!$O$2:$O$1369,MATCH(577,Engine!$C$2:$C$1369,0)),"Open PDF"))</f>
        <v/>
      </c>
    </row>
    <row r="591" ht="188" customHeight="1">
      <c r="A591" s="8">
        <f>IF(ISNA(MATCH(578,Engine!$C$2:$C$1369,0)),"",INDEX('Compliance Database'!$A$2:$A$1369,MATCH(578,Engine!$C$2:$C$1369,0)))</f>
        <v/>
      </c>
      <c r="B591" s="8">
        <f>IF(ISNA(MATCH(578,Engine!$C$2:$C$1369,0)),"",INDEX('Compliance Database'!$B$2:$B$1369,MATCH(578,Engine!$C$2:$C$1369,0)))</f>
        <v/>
      </c>
      <c r="C591" s="8">
        <f>IF(ISNA(MATCH(578,Engine!$C$2:$C$1369,0)),"",INDEX('Compliance Database'!$C$2:$C$1369,MATCH(578,Engine!$C$2:$C$1369,0)))</f>
        <v/>
      </c>
      <c r="D591" s="9">
        <f>IF(ISNA(MATCH(578,Engine!$C$2:$C$1369,0)),"",INDEX('Compliance Database'!$D$2:$D$1369,MATCH(578,Engine!$C$2:$C$1369,0)))</f>
        <v/>
      </c>
      <c r="E591" s="8">
        <f>IF(ISNA(MATCH(578,Engine!$C$2:$C$1369,0)),"",INDEX('Compliance Database'!$E$2:$E$1369,MATCH(578,Engine!$C$2:$C$1369,0)))</f>
        <v/>
      </c>
      <c r="F591" s="8">
        <f>IF(ISNA(MATCH(578,Engine!$C$2:$C$1369,0)),"",INDEX('Compliance Database'!$F$2:$F$1369,MATCH(578,Engine!$C$2:$C$1369,0)))</f>
        <v/>
      </c>
      <c r="G591" s="8">
        <f>IF(ISNA(MATCH(578,Engine!$C$2:$C$1369,0)),"",INDEX('Compliance Database'!$G$2:$G$1369,MATCH(578,Engine!$C$2:$C$1369,0)))</f>
        <v/>
      </c>
      <c r="H591" s="9">
        <f>IF(ISNA(MATCH(578,Engine!$C$2:$C$1369,0)),"",INDEX('Compliance Database'!$H$2:$H$1369,MATCH(578,Engine!$C$2:$C$1369,0)))</f>
        <v/>
      </c>
      <c r="I591" s="9">
        <f>IF(ISNA(MATCH(578,Engine!$C$2:$C$1369,0)),"",INDEX('Compliance Database'!$I$2:$I$1369,MATCH(578,Engine!$C$2:$C$1369,0)))</f>
        <v/>
      </c>
      <c r="J591" s="8">
        <f>IF(ISNA(MATCH(578,Engine!$C$2:$C$1369,0)),"",INDEX('Compliance Database'!$J$2:$J$1369,MATCH(578,Engine!$C$2:$C$1369,0)))</f>
        <v/>
      </c>
      <c r="K591" s="9">
        <f>IF(ISNA(MATCH(578,Engine!$C$2:$C$1369,0)),"",INDEX('Compliance Database'!$K$2:$K$1369,MATCH(578,Engine!$C$2:$C$1369,0)))</f>
        <v/>
      </c>
      <c r="L591" s="9">
        <f>IF(ISNA(MATCH(578,Engine!$C$2:$C$1369,0)),"",INDEX('Compliance Database'!$L$2:$L$1369,MATCH(578,Engine!$C$2:$C$1369,0)))</f>
        <v/>
      </c>
      <c r="M591" s="9">
        <f>IF(ISNA(MATCH(578,Engine!$C$2:$C$1369,0)),"",INDEX('Compliance Database'!$M$2:$M$1369,MATCH(578,Engine!$C$2:$C$1369,0)))</f>
        <v/>
      </c>
      <c r="N591" s="9">
        <f>IF(ISNA(MATCH(578,Engine!$C$2:$C$1369,0)),"",INDEX('Compliance Database'!$N$2:$N$1369,MATCH(578,Engine!$C$2:$C$1369,0)))</f>
        <v/>
      </c>
      <c r="O591" s="8">
        <f>IF(ISNA(MATCH(578,Engine!$C$2:$C$1369,0)),"",HYPERLINK(INDEX('Compliance Database'!$O$2:$O$1369,MATCH(578,Engine!$C$2:$C$1369,0)),"Open PDF"))</f>
        <v/>
      </c>
    </row>
    <row r="592" ht="188" customHeight="1">
      <c r="A592" s="8">
        <f>IF(ISNA(MATCH(579,Engine!$C$2:$C$1369,0)),"",INDEX('Compliance Database'!$A$2:$A$1369,MATCH(579,Engine!$C$2:$C$1369,0)))</f>
        <v/>
      </c>
      <c r="B592" s="8">
        <f>IF(ISNA(MATCH(579,Engine!$C$2:$C$1369,0)),"",INDEX('Compliance Database'!$B$2:$B$1369,MATCH(579,Engine!$C$2:$C$1369,0)))</f>
        <v/>
      </c>
      <c r="C592" s="8">
        <f>IF(ISNA(MATCH(579,Engine!$C$2:$C$1369,0)),"",INDEX('Compliance Database'!$C$2:$C$1369,MATCH(579,Engine!$C$2:$C$1369,0)))</f>
        <v/>
      </c>
      <c r="D592" s="9">
        <f>IF(ISNA(MATCH(579,Engine!$C$2:$C$1369,0)),"",INDEX('Compliance Database'!$D$2:$D$1369,MATCH(579,Engine!$C$2:$C$1369,0)))</f>
        <v/>
      </c>
      <c r="E592" s="8">
        <f>IF(ISNA(MATCH(579,Engine!$C$2:$C$1369,0)),"",INDEX('Compliance Database'!$E$2:$E$1369,MATCH(579,Engine!$C$2:$C$1369,0)))</f>
        <v/>
      </c>
      <c r="F592" s="8">
        <f>IF(ISNA(MATCH(579,Engine!$C$2:$C$1369,0)),"",INDEX('Compliance Database'!$F$2:$F$1369,MATCH(579,Engine!$C$2:$C$1369,0)))</f>
        <v/>
      </c>
      <c r="G592" s="8">
        <f>IF(ISNA(MATCH(579,Engine!$C$2:$C$1369,0)),"",INDEX('Compliance Database'!$G$2:$G$1369,MATCH(579,Engine!$C$2:$C$1369,0)))</f>
        <v/>
      </c>
      <c r="H592" s="9">
        <f>IF(ISNA(MATCH(579,Engine!$C$2:$C$1369,0)),"",INDEX('Compliance Database'!$H$2:$H$1369,MATCH(579,Engine!$C$2:$C$1369,0)))</f>
        <v/>
      </c>
      <c r="I592" s="9">
        <f>IF(ISNA(MATCH(579,Engine!$C$2:$C$1369,0)),"",INDEX('Compliance Database'!$I$2:$I$1369,MATCH(579,Engine!$C$2:$C$1369,0)))</f>
        <v/>
      </c>
      <c r="J592" s="8">
        <f>IF(ISNA(MATCH(579,Engine!$C$2:$C$1369,0)),"",INDEX('Compliance Database'!$J$2:$J$1369,MATCH(579,Engine!$C$2:$C$1369,0)))</f>
        <v/>
      </c>
      <c r="K592" s="9">
        <f>IF(ISNA(MATCH(579,Engine!$C$2:$C$1369,0)),"",INDEX('Compliance Database'!$K$2:$K$1369,MATCH(579,Engine!$C$2:$C$1369,0)))</f>
        <v/>
      </c>
      <c r="L592" s="9">
        <f>IF(ISNA(MATCH(579,Engine!$C$2:$C$1369,0)),"",INDEX('Compliance Database'!$L$2:$L$1369,MATCH(579,Engine!$C$2:$C$1369,0)))</f>
        <v/>
      </c>
      <c r="M592" s="9">
        <f>IF(ISNA(MATCH(579,Engine!$C$2:$C$1369,0)),"",INDEX('Compliance Database'!$M$2:$M$1369,MATCH(579,Engine!$C$2:$C$1369,0)))</f>
        <v/>
      </c>
      <c r="N592" s="9">
        <f>IF(ISNA(MATCH(579,Engine!$C$2:$C$1369,0)),"",INDEX('Compliance Database'!$N$2:$N$1369,MATCH(579,Engine!$C$2:$C$1369,0)))</f>
        <v/>
      </c>
      <c r="O592" s="8">
        <f>IF(ISNA(MATCH(579,Engine!$C$2:$C$1369,0)),"",HYPERLINK(INDEX('Compliance Database'!$O$2:$O$1369,MATCH(579,Engine!$C$2:$C$1369,0)),"Open PDF"))</f>
        <v/>
      </c>
    </row>
    <row r="593" ht="188" customHeight="1">
      <c r="A593" s="8">
        <f>IF(ISNA(MATCH(580,Engine!$C$2:$C$1369,0)),"",INDEX('Compliance Database'!$A$2:$A$1369,MATCH(580,Engine!$C$2:$C$1369,0)))</f>
        <v/>
      </c>
      <c r="B593" s="8">
        <f>IF(ISNA(MATCH(580,Engine!$C$2:$C$1369,0)),"",INDEX('Compliance Database'!$B$2:$B$1369,MATCH(580,Engine!$C$2:$C$1369,0)))</f>
        <v/>
      </c>
      <c r="C593" s="8">
        <f>IF(ISNA(MATCH(580,Engine!$C$2:$C$1369,0)),"",INDEX('Compliance Database'!$C$2:$C$1369,MATCH(580,Engine!$C$2:$C$1369,0)))</f>
        <v/>
      </c>
      <c r="D593" s="9">
        <f>IF(ISNA(MATCH(580,Engine!$C$2:$C$1369,0)),"",INDEX('Compliance Database'!$D$2:$D$1369,MATCH(580,Engine!$C$2:$C$1369,0)))</f>
        <v/>
      </c>
      <c r="E593" s="8">
        <f>IF(ISNA(MATCH(580,Engine!$C$2:$C$1369,0)),"",INDEX('Compliance Database'!$E$2:$E$1369,MATCH(580,Engine!$C$2:$C$1369,0)))</f>
        <v/>
      </c>
      <c r="F593" s="8">
        <f>IF(ISNA(MATCH(580,Engine!$C$2:$C$1369,0)),"",INDEX('Compliance Database'!$F$2:$F$1369,MATCH(580,Engine!$C$2:$C$1369,0)))</f>
        <v/>
      </c>
      <c r="G593" s="8">
        <f>IF(ISNA(MATCH(580,Engine!$C$2:$C$1369,0)),"",INDEX('Compliance Database'!$G$2:$G$1369,MATCH(580,Engine!$C$2:$C$1369,0)))</f>
        <v/>
      </c>
      <c r="H593" s="9">
        <f>IF(ISNA(MATCH(580,Engine!$C$2:$C$1369,0)),"",INDEX('Compliance Database'!$H$2:$H$1369,MATCH(580,Engine!$C$2:$C$1369,0)))</f>
        <v/>
      </c>
      <c r="I593" s="9">
        <f>IF(ISNA(MATCH(580,Engine!$C$2:$C$1369,0)),"",INDEX('Compliance Database'!$I$2:$I$1369,MATCH(580,Engine!$C$2:$C$1369,0)))</f>
        <v/>
      </c>
      <c r="J593" s="8">
        <f>IF(ISNA(MATCH(580,Engine!$C$2:$C$1369,0)),"",INDEX('Compliance Database'!$J$2:$J$1369,MATCH(580,Engine!$C$2:$C$1369,0)))</f>
        <v/>
      </c>
      <c r="K593" s="9">
        <f>IF(ISNA(MATCH(580,Engine!$C$2:$C$1369,0)),"",INDEX('Compliance Database'!$K$2:$K$1369,MATCH(580,Engine!$C$2:$C$1369,0)))</f>
        <v/>
      </c>
      <c r="L593" s="9">
        <f>IF(ISNA(MATCH(580,Engine!$C$2:$C$1369,0)),"",INDEX('Compliance Database'!$L$2:$L$1369,MATCH(580,Engine!$C$2:$C$1369,0)))</f>
        <v/>
      </c>
      <c r="M593" s="9">
        <f>IF(ISNA(MATCH(580,Engine!$C$2:$C$1369,0)),"",INDEX('Compliance Database'!$M$2:$M$1369,MATCH(580,Engine!$C$2:$C$1369,0)))</f>
        <v/>
      </c>
      <c r="N593" s="9">
        <f>IF(ISNA(MATCH(580,Engine!$C$2:$C$1369,0)),"",INDEX('Compliance Database'!$N$2:$N$1369,MATCH(580,Engine!$C$2:$C$1369,0)))</f>
        <v/>
      </c>
      <c r="O593" s="8">
        <f>IF(ISNA(MATCH(580,Engine!$C$2:$C$1369,0)),"",HYPERLINK(INDEX('Compliance Database'!$O$2:$O$1369,MATCH(580,Engine!$C$2:$C$1369,0)),"Open PDF"))</f>
        <v/>
      </c>
    </row>
    <row r="594" ht="188" customHeight="1">
      <c r="A594" s="8">
        <f>IF(ISNA(MATCH(581,Engine!$C$2:$C$1369,0)),"",INDEX('Compliance Database'!$A$2:$A$1369,MATCH(581,Engine!$C$2:$C$1369,0)))</f>
        <v/>
      </c>
      <c r="B594" s="8">
        <f>IF(ISNA(MATCH(581,Engine!$C$2:$C$1369,0)),"",INDEX('Compliance Database'!$B$2:$B$1369,MATCH(581,Engine!$C$2:$C$1369,0)))</f>
        <v/>
      </c>
      <c r="C594" s="8">
        <f>IF(ISNA(MATCH(581,Engine!$C$2:$C$1369,0)),"",INDEX('Compliance Database'!$C$2:$C$1369,MATCH(581,Engine!$C$2:$C$1369,0)))</f>
        <v/>
      </c>
      <c r="D594" s="9">
        <f>IF(ISNA(MATCH(581,Engine!$C$2:$C$1369,0)),"",INDEX('Compliance Database'!$D$2:$D$1369,MATCH(581,Engine!$C$2:$C$1369,0)))</f>
        <v/>
      </c>
      <c r="E594" s="8">
        <f>IF(ISNA(MATCH(581,Engine!$C$2:$C$1369,0)),"",INDEX('Compliance Database'!$E$2:$E$1369,MATCH(581,Engine!$C$2:$C$1369,0)))</f>
        <v/>
      </c>
      <c r="F594" s="8">
        <f>IF(ISNA(MATCH(581,Engine!$C$2:$C$1369,0)),"",INDEX('Compliance Database'!$F$2:$F$1369,MATCH(581,Engine!$C$2:$C$1369,0)))</f>
        <v/>
      </c>
      <c r="G594" s="8">
        <f>IF(ISNA(MATCH(581,Engine!$C$2:$C$1369,0)),"",INDEX('Compliance Database'!$G$2:$G$1369,MATCH(581,Engine!$C$2:$C$1369,0)))</f>
        <v/>
      </c>
      <c r="H594" s="9">
        <f>IF(ISNA(MATCH(581,Engine!$C$2:$C$1369,0)),"",INDEX('Compliance Database'!$H$2:$H$1369,MATCH(581,Engine!$C$2:$C$1369,0)))</f>
        <v/>
      </c>
      <c r="I594" s="9">
        <f>IF(ISNA(MATCH(581,Engine!$C$2:$C$1369,0)),"",INDEX('Compliance Database'!$I$2:$I$1369,MATCH(581,Engine!$C$2:$C$1369,0)))</f>
        <v/>
      </c>
      <c r="J594" s="8">
        <f>IF(ISNA(MATCH(581,Engine!$C$2:$C$1369,0)),"",INDEX('Compliance Database'!$J$2:$J$1369,MATCH(581,Engine!$C$2:$C$1369,0)))</f>
        <v/>
      </c>
      <c r="K594" s="9">
        <f>IF(ISNA(MATCH(581,Engine!$C$2:$C$1369,0)),"",INDEX('Compliance Database'!$K$2:$K$1369,MATCH(581,Engine!$C$2:$C$1369,0)))</f>
        <v/>
      </c>
      <c r="L594" s="9">
        <f>IF(ISNA(MATCH(581,Engine!$C$2:$C$1369,0)),"",INDEX('Compliance Database'!$L$2:$L$1369,MATCH(581,Engine!$C$2:$C$1369,0)))</f>
        <v/>
      </c>
      <c r="M594" s="9">
        <f>IF(ISNA(MATCH(581,Engine!$C$2:$C$1369,0)),"",INDEX('Compliance Database'!$M$2:$M$1369,MATCH(581,Engine!$C$2:$C$1369,0)))</f>
        <v/>
      </c>
      <c r="N594" s="9">
        <f>IF(ISNA(MATCH(581,Engine!$C$2:$C$1369,0)),"",INDEX('Compliance Database'!$N$2:$N$1369,MATCH(581,Engine!$C$2:$C$1369,0)))</f>
        <v/>
      </c>
      <c r="O594" s="8">
        <f>IF(ISNA(MATCH(581,Engine!$C$2:$C$1369,0)),"",HYPERLINK(INDEX('Compliance Database'!$O$2:$O$1369,MATCH(581,Engine!$C$2:$C$1369,0)),"Open PDF"))</f>
        <v/>
      </c>
    </row>
    <row r="595" ht="188" customHeight="1">
      <c r="A595" s="8">
        <f>IF(ISNA(MATCH(582,Engine!$C$2:$C$1369,0)),"",INDEX('Compliance Database'!$A$2:$A$1369,MATCH(582,Engine!$C$2:$C$1369,0)))</f>
        <v/>
      </c>
      <c r="B595" s="8">
        <f>IF(ISNA(MATCH(582,Engine!$C$2:$C$1369,0)),"",INDEX('Compliance Database'!$B$2:$B$1369,MATCH(582,Engine!$C$2:$C$1369,0)))</f>
        <v/>
      </c>
      <c r="C595" s="8">
        <f>IF(ISNA(MATCH(582,Engine!$C$2:$C$1369,0)),"",INDEX('Compliance Database'!$C$2:$C$1369,MATCH(582,Engine!$C$2:$C$1369,0)))</f>
        <v/>
      </c>
      <c r="D595" s="9">
        <f>IF(ISNA(MATCH(582,Engine!$C$2:$C$1369,0)),"",INDEX('Compliance Database'!$D$2:$D$1369,MATCH(582,Engine!$C$2:$C$1369,0)))</f>
        <v/>
      </c>
      <c r="E595" s="8">
        <f>IF(ISNA(MATCH(582,Engine!$C$2:$C$1369,0)),"",INDEX('Compliance Database'!$E$2:$E$1369,MATCH(582,Engine!$C$2:$C$1369,0)))</f>
        <v/>
      </c>
      <c r="F595" s="8">
        <f>IF(ISNA(MATCH(582,Engine!$C$2:$C$1369,0)),"",INDEX('Compliance Database'!$F$2:$F$1369,MATCH(582,Engine!$C$2:$C$1369,0)))</f>
        <v/>
      </c>
      <c r="G595" s="8">
        <f>IF(ISNA(MATCH(582,Engine!$C$2:$C$1369,0)),"",INDEX('Compliance Database'!$G$2:$G$1369,MATCH(582,Engine!$C$2:$C$1369,0)))</f>
        <v/>
      </c>
      <c r="H595" s="9">
        <f>IF(ISNA(MATCH(582,Engine!$C$2:$C$1369,0)),"",INDEX('Compliance Database'!$H$2:$H$1369,MATCH(582,Engine!$C$2:$C$1369,0)))</f>
        <v/>
      </c>
      <c r="I595" s="9">
        <f>IF(ISNA(MATCH(582,Engine!$C$2:$C$1369,0)),"",INDEX('Compliance Database'!$I$2:$I$1369,MATCH(582,Engine!$C$2:$C$1369,0)))</f>
        <v/>
      </c>
      <c r="J595" s="8">
        <f>IF(ISNA(MATCH(582,Engine!$C$2:$C$1369,0)),"",INDEX('Compliance Database'!$J$2:$J$1369,MATCH(582,Engine!$C$2:$C$1369,0)))</f>
        <v/>
      </c>
      <c r="K595" s="9">
        <f>IF(ISNA(MATCH(582,Engine!$C$2:$C$1369,0)),"",INDEX('Compliance Database'!$K$2:$K$1369,MATCH(582,Engine!$C$2:$C$1369,0)))</f>
        <v/>
      </c>
      <c r="L595" s="9">
        <f>IF(ISNA(MATCH(582,Engine!$C$2:$C$1369,0)),"",INDEX('Compliance Database'!$L$2:$L$1369,MATCH(582,Engine!$C$2:$C$1369,0)))</f>
        <v/>
      </c>
      <c r="M595" s="9">
        <f>IF(ISNA(MATCH(582,Engine!$C$2:$C$1369,0)),"",INDEX('Compliance Database'!$M$2:$M$1369,MATCH(582,Engine!$C$2:$C$1369,0)))</f>
        <v/>
      </c>
      <c r="N595" s="9">
        <f>IF(ISNA(MATCH(582,Engine!$C$2:$C$1369,0)),"",INDEX('Compliance Database'!$N$2:$N$1369,MATCH(582,Engine!$C$2:$C$1369,0)))</f>
        <v/>
      </c>
      <c r="O595" s="8">
        <f>IF(ISNA(MATCH(582,Engine!$C$2:$C$1369,0)),"",HYPERLINK(INDEX('Compliance Database'!$O$2:$O$1369,MATCH(582,Engine!$C$2:$C$1369,0)),"Open PDF"))</f>
        <v/>
      </c>
    </row>
    <row r="596" ht="188" customHeight="1">
      <c r="A596" s="8">
        <f>IF(ISNA(MATCH(583,Engine!$C$2:$C$1369,0)),"",INDEX('Compliance Database'!$A$2:$A$1369,MATCH(583,Engine!$C$2:$C$1369,0)))</f>
        <v/>
      </c>
      <c r="B596" s="8">
        <f>IF(ISNA(MATCH(583,Engine!$C$2:$C$1369,0)),"",INDEX('Compliance Database'!$B$2:$B$1369,MATCH(583,Engine!$C$2:$C$1369,0)))</f>
        <v/>
      </c>
      <c r="C596" s="8">
        <f>IF(ISNA(MATCH(583,Engine!$C$2:$C$1369,0)),"",INDEX('Compliance Database'!$C$2:$C$1369,MATCH(583,Engine!$C$2:$C$1369,0)))</f>
        <v/>
      </c>
      <c r="D596" s="9">
        <f>IF(ISNA(MATCH(583,Engine!$C$2:$C$1369,0)),"",INDEX('Compliance Database'!$D$2:$D$1369,MATCH(583,Engine!$C$2:$C$1369,0)))</f>
        <v/>
      </c>
      <c r="E596" s="8">
        <f>IF(ISNA(MATCH(583,Engine!$C$2:$C$1369,0)),"",INDEX('Compliance Database'!$E$2:$E$1369,MATCH(583,Engine!$C$2:$C$1369,0)))</f>
        <v/>
      </c>
      <c r="F596" s="8">
        <f>IF(ISNA(MATCH(583,Engine!$C$2:$C$1369,0)),"",INDEX('Compliance Database'!$F$2:$F$1369,MATCH(583,Engine!$C$2:$C$1369,0)))</f>
        <v/>
      </c>
      <c r="G596" s="8">
        <f>IF(ISNA(MATCH(583,Engine!$C$2:$C$1369,0)),"",INDEX('Compliance Database'!$G$2:$G$1369,MATCH(583,Engine!$C$2:$C$1369,0)))</f>
        <v/>
      </c>
      <c r="H596" s="9">
        <f>IF(ISNA(MATCH(583,Engine!$C$2:$C$1369,0)),"",INDEX('Compliance Database'!$H$2:$H$1369,MATCH(583,Engine!$C$2:$C$1369,0)))</f>
        <v/>
      </c>
      <c r="I596" s="9">
        <f>IF(ISNA(MATCH(583,Engine!$C$2:$C$1369,0)),"",INDEX('Compliance Database'!$I$2:$I$1369,MATCH(583,Engine!$C$2:$C$1369,0)))</f>
        <v/>
      </c>
      <c r="J596" s="8">
        <f>IF(ISNA(MATCH(583,Engine!$C$2:$C$1369,0)),"",INDEX('Compliance Database'!$J$2:$J$1369,MATCH(583,Engine!$C$2:$C$1369,0)))</f>
        <v/>
      </c>
      <c r="K596" s="9">
        <f>IF(ISNA(MATCH(583,Engine!$C$2:$C$1369,0)),"",INDEX('Compliance Database'!$K$2:$K$1369,MATCH(583,Engine!$C$2:$C$1369,0)))</f>
        <v/>
      </c>
      <c r="L596" s="9">
        <f>IF(ISNA(MATCH(583,Engine!$C$2:$C$1369,0)),"",INDEX('Compliance Database'!$L$2:$L$1369,MATCH(583,Engine!$C$2:$C$1369,0)))</f>
        <v/>
      </c>
      <c r="M596" s="9">
        <f>IF(ISNA(MATCH(583,Engine!$C$2:$C$1369,0)),"",INDEX('Compliance Database'!$M$2:$M$1369,MATCH(583,Engine!$C$2:$C$1369,0)))</f>
        <v/>
      </c>
      <c r="N596" s="9">
        <f>IF(ISNA(MATCH(583,Engine!$C$2:$C$1369,0)),"",INDEX('Compliance Database'!$N$2:$N$1369,MATCH(583,Engine!$C$2:$C$1369,0)))</f>
        <v/>
      </c>
      <c r="O596" s="8">
        <f>IF(ISNA(MATCH(583,Engine!$C$2:$C$1369,0)),"",HYPERLINK(INDEX('Compliance Database'!$O$2:$O$1369,MATCH(583,Engine!$C$2:$C$1369,0)),"Open PDF"))</f>
        <v/>
      </c>
    </row>
    <row r="597" ht="188" customHeight="1">
      <c r="A597" s="8">
        <f>IF(ISNA(MATCH(584,Engine!$C$2:$C$1369,0)),"",INDEX('Compliance Database'!$A$2:$A$1369,MATCH(584,Engine!$C$2:$C$1369,0)))</f>
        <v/>
      </c>
      <c r="B597" s="8">
        <f>IF(ISNA(MATCH(584,Engine!$C$2:$C$1369,0)),"",INDEX('Compliance Database'!$B$2:$B$1369,MATCH(584,Engine!$C$2:$C$1369,0)))</f>
        <v/>
      </c>
      <c r="C597" s="8">
        <f>IF(ISNA(MATCH(584,Engine!$C$2:$C$1369,0)),"",INDEX('Compliance Database'!$C$2:$C$1369,MATCH(584,Engine!$C$2:$C$1369,0)))</f>
        <v/>
      </c>
      <c r="D597" s="9">
        <f>IF(ISNA(MATCH(584,Engine!$C$2:$C$1369,0)),"",INDEX('Compliance Database'!$D$2:$D$1369,MATCH(584,Engine!$C$2:$C$1369,0)))</f>
        <v/>
      </c>
      <c r="E597" s="8">
        <f>IF(ISNA(MATCH(584,Engine!$C$2:$C$1369,0)),"",INDEX('Compliance Database'!$E$2:$E$1369,MATCH(584,Engine!$C$2:$C$1369,0)))</f>
        <v/>
      </c>
      <c r="F597" s="8">
        <f>IF(ISNA(MATCH(584,Engine!$C$2:$C$1369,0)),"",INDEX('Compliance Database'!$F$2:$F$1369,MATCH(584,Engine!$C$2:$C$1369,0)))</f>
        <v/>
      </c>
      <c r="G597" s="8">
        <f>IF(ISNA(MATCH(584,Engine!$C$2:$C$1369,0)),"",INDEX('Compliance Database'!$G$2:$G$1369,MATCH(584,Engine!$C$2:$C$1369,0)))</f>
        <v/>
      </c>
      <c r="H597" s="9">
        <f>IF(ISNA(MATCH(584,Engine!$C$2:$C$1369,0)),"",INDEX('Compliance Database'!$H$2:$H$1369,MATCH(584,Engine!$C$2:$C$1369,0)))</f>
        <v/>
      </c>
      <c r="I597" s="9">
        <f>IF(ISNA(MATCH(584,Engine!$C$2:$C$1369,0)),"",INDEX('Compliance Database'!$I$2:$I$1369,MATCH(584,Engine!$C$2:$C$1369,0)))</f>
        <v/>
      </c>
      <c r="J597" s="8">
        <f>IF(ISNA(MATCH(584,Engine!$C$2:$C$1369,0)),"",INDEX('Compliance Database'!$J$2:$J$1369,MATCH(584,Engine!$C$2:$C$1369,0)))</f>
        <v/>
      </c>
      <c r="K597" s="9">
        <f>IF(ISNA(MATCH(584,Engine!$C$2:$C$1369,0)),"",INDEX('Compliance Database'!$K$2:$K$1369,MATCH(584,Engine!$C$2:$C$1369,0)))</f>
        <v/>
      </c>
      <c r="L597" s="9">
        <f>IF(ISNA(MATCH(584,Engine!$C$2:$C$1369,0)),"",INDEX('Compliance Database'!$L$2:$L$1369,MATCH(584,Engine!$C$2:$C$1369,0)))</f>
        <v/>
      </c>
      <c r="M597" s="9">
        <f>IF(ISNA(MATCH(584,Engine!$C$2:$C$1369,0)),"",INDEX('Compliance Database'!$M$2:$M$1369,MATCH(584,Engine!$C$2:$C$1369,0)))</f>
        <v/>
      </c>
      <c r="N597" s="9">
        <f>IF(ISNA(MATCH(584,Engine!$C$2:$C$1369,0)),"",INDEX('Compliance Database'!$N$2:$N$1369,MATCH(584,Engine!$C$2:$C$1369,0)))</f>
        <v/>
      </c>
      <c r="O597" s="8">
        <f>IF(ISNA(MATCH(584,Engine!$C$2:$C$1369,0)),"",HYPERLINK(INDEX('Compliance Database'!$O$2:$O$1369,MATCH(584,Engine!$C$2:$C$1369,0)),"Open PDF"))</f>
        <v/>
      </c>
    </row>
    <row r="598" ht="188" customHeight="1">
      <c r="A598" s="8">
        <f>IF(ISNA(MATCH(585,Engine!$C$2:$C$1369,0)),"",INDEX('Compliance Database'!$A$2:$A$1369,MATCH(585,Engine!$C$2:$C$1369,0)))</f>
        <v/>
      </c>
      <c r="B598" s="8">
        <f>IF(ISNA(MATCH(585,Engine!$C$2:$C$1369,0)),"",INDEX('Compliance Database'!$B$2:$B$1369,MATCH(585,Engine!$C$2:$C$1369,0)))</f>
        <v/>
      </c>
      <c r="C598" s="8">
        <f>IF(ISNA(MATCH(585,Engine!$C$2:$C$1369,0)),"",INDEX('Compliance Database'!$C$2:$C$1369,MATCH(585,Engine!$C$2:$C$1369,0)))</f>
        <v/>
      </c>
      <c r="D598" s="9">
        <f>IF(ISNA(MATCH(585,Engine!$C$2:$C$1369,0)),"",INDEX('Compliance Database'!$D$2:$D$1369,MATCH(585,Engine!$C$2:$C$1369,0)))</f>
        <v/>
      </c>
      <c r="E598" s="8">
        <f>IF(ISNA(MATCH(585,Engine!$C$2:$C$1369,0)),"",INDEX('Compliance Database'!$E$2:$E$1369,MATCH(585,Engine!$C$2:$C$1369,0)))</f>
        <v/>
      </c>
      <c r="F598" s="8">
        <f>IF(ISNA(MATCH(585,Engine!$C$2:$C$1369,0)),"",INDEX('Compliance Database'!$F$2:$F$1369,MATCH(585,Engine!$C$2:$C$1369,0)))</f>
        <v/>
      </c>
      <c r="G598" s="8">
        <f>IF(ISNA(MATCH(585,Engine!$C$2:$C$1369,0)),"",INDEX('Compliance Database'!$G$2:$G$1369,MATCH(585,Engine!$C$2:$C$1369,0)))</f>
        <v/>
      </c>
      <c r="H598" s="9">
        <f>IF(ISNA(MATCH(585,Engine!$C$2:$C$1369,0)),"",INDEX('Compliance Database'!$H$2:$H$1369,MATCH(585,Engine!$C$2:$C$1369,0)))</f>
        <v/>
      </c>
      <c r="I598" s="9">
        <f>IF(ISNA(MATCH(585,Engine!$C$2:$C$1369,0)),"",INDEX('Compliance Database'!$I$2:$I$1369,MATCH(585,Engine!$C$2:$C$1369,0)))</f>
        <v/>
      </c>
      <c r="J598" s="8">
        <f>IF(ISNA(MATCH(585,Engine!$C$2:$C$1369,0)),"",INDEX('Compliance Database'!$J$2:$J$1369,MATCH(585,Engine!$C$2:$C$1369,0)))</f>
        <v/>
      </c>
      <c r="K598" s="9">
        <f>IF(ISNA(MATCH(585,Engine!$C$2:$C$1369,0)),"",INDEX('Compliance Database'!$K$2:$K$1369,MATCH(585,Engine!$C$2:$C$1369,0)))</f>
        <v/>
      </c>
      <c r="L598" s="9">
        <f>IF(ISNA(MATCH(585,Engine!$C$2:$C$1369,0)),"",INDEX('Compliance Database'!$L$2:$L$1369,MATCH(585,Engine!$C$2:$C$1369,0)))</f>
        <v/>
      </c>
      <c r="M598" s="9">
        <f>IF(ISNA(MATCH(585,Engine!$C$2:$C$1369,0)),"",INDEX('Compliance Database'!$M$2:$M$1369,MATCH(585,Engine!$C$2:$C$1369,0)))</f>
        <v/>
      </c>
      <c r="N598" s="9">
        <f>IF(ISNA(MATCH(585,Engine!$C$2:$C$1369,0)),"",INDEX('Compliance Database'!$N$2:$N$1369,MATCH(585,Engine!$C$2:$C$1369,0)))</f>
        <v/>
      </c>
      <c r="O598" s="8">
        <f>IF(ISNA(MATCH(585,Engine!$C$2:$C$1369,0)),"",HYPERLINK(INDEX('Compliance Database'!$O$2:$O$1369,MATCH(585,Engine!$C$2:$C$1369,0)),"Open PDF"))</f>
        <v/>
      </c>
    </row>
    <row r="599" ht="188" customHeight="1">
      <c r="A599" s="8">
        <f>IF(ISNA(MATCH(586,Engine!$C$2:$C$1369,0)),"",INDEX('Compliance Database'!$A$2:$A$1369,MATCH(586,Engine!$C$2:$C$1369,0)))</f>
        <v/>
      </c>
      <c r="B599" s="8">
        <f>IF(ISNA(MATCH(586,Engine!$C$2:$C$1369,0)),"",INDEX('Compliance Database'!$B$2:$B$1369,MATCH(586,Engine!$C$2:$C$1369,0)))</f>
        <v/>
      </c>
      <c r="C599" s="8">
        <f>IF(ISNA(MATCH(586,Engine!$C$2:$C$1369,0)),"",INDEX('Compliance Database'!$C$2:$C$1369,MATCH(586,Engine!$C$2:$C$1369,0)))</f>
        <v/>
      </c>
      <c r="D599" s="9">
        <f>IF(ISNA(MATCH(586,Engine!$C$2:$C$1369,0)),"",INDEX('Compliance Database'!$D$2:$D$1369,MATCH(586,Engine!$C$2:$C$1369,0)))</f>
        <v/>
      </c>
      <c r="E599" s="8">
        <f>IF(ISNA(MATCH(586,Engine!$C$2:$C$1369,0)),"",INDEX('Compliance Database'!$E$2:$E$1369,MATCH(586,Engine!$C$2:$C$1369,0)))</f>
        <v/>
      </c>
      <c r="F599" s="8">
        <f>IF(ISNA(MATCH(586,Engine!$C$2:$C$1369,0)),"",INDEX('Compliance Database'!$F$2:$F$1369,MATCH(586,Engine!$C$2:$C$1369,0)))</f>
        <v/>
      </c>
      <c r="G599" s="8">
        <f>IF(ISNA(MATCH(586,Engine!$C$2:$C$1369,0)),"",INDEX('Compliance Database'!$G$2:$G$1369,MATCH(586,Engine!$C$2:$C$1369,0)))</f>
        <v/>
      </c>
      <c r="H599" s="9">
        <f>IF(ISNA(MATCH(586,Engine!$C$2:$C$1369,0)),"",INDEX('Compliance Database'!$H$2:$H$1369,MATCH(586,Engine!$C$2:$C$1369,0)))</f>
        <v/>
      </c>
      <c r="I599" s="9">
        <f>IF(ISNA(MATCH(586,Engine!$C$2:$C$1369,0)),"",INDEX('Compliance Database'!$I$2:$I$1369,MATCH(586,Engine!$C$2:$C$1369,0)))</f>
        <v/>
      </c>
      <c r="J599" s="8">
        <f>IF(ISNA(MATCH(586,Engine!$C$2:$C$1369,0)),"",INDEX('Compliance Database'!$J$2:$J$1369,MATCH(586,Engine!$C$2:$C$1369,0)))</f>
        <v/>
      </c>
      <c r="K599" s="9">
        <f>IF(ISNA(MATCH(586,Engine!$C$2:$C$1369,0)),"",INDEX('Compliance Database'!$K$2:$K$1369,MATCH(586,Engine!$C$2:$C$1369,0)))</f>
        <v/>
      </c>
      <c r="L599" s="9">
        <f>IF(ISNA(MATCH(586,Engine!$C$2:$C$1369,0)),"",INDEX('Compliance Database'!$L$2:$L$1369,MATCH(586,Engine!$C$2:$C$1369,0)))</f>
        <v/>
      </c>
      <c r="M599" s="9">
        <f>IF(ISNA(MATCH(586,Engine!$C$2:$C$1369,0)),"",INDEX('Compliance Database'!$M$2:$M$1369,MATCH(586,Engine!$C$2:$C$1369,0)))</f>
        <v/>
      </c>
      <c r="N599" s="9">
        <f>IF(ISNA(MATCH(586,Engine!$C$2:$C$1369,0)),"",INDEX('Compliance Database'!$N$2:$N$1369,MATCH(586,Engine!$C$2:$C$1369,0)))</f>
        <v/>
      </c>
      <c r="O599" s="8">
        <f>IF(ISNA(MATCH(586,Engine!$C$2:$C$1369,0)),"",HYPERLINK(INDEX('Compliance Database'!$O$2:$O$1369,MATCH(586,Engine!$C$2:$C$1369,0)),"Open PDF"))</f>
        <v/>
      </c>
    </row>
    <row r="600" ht="188" customHeight="1">
      <c r="A600" s="8">
        <f>IF(ISNA(MATCH(587,Engine!$C$2:$C$1369,0)),"",INDEX('Compliance Database'!$A$2:$A$1369,MATCH(587,Engine!$C$2:$C$1369,0)))</f>
        <v/>
      </c>
      <c r="B600" s="8">
        <f>IF(ISNA(MATCH(587,Engine!$C$2:$C$1369,0)),"",INDEX('Compliance Database'!$B$2:$B$1369,MATCH(587,Engine!$C$2:$C$1369,0)))</f>
        <v/>
      </c>
      <c r="C600" s="8">
        <f>IF(ISNA(MATCH(587,Engine!$C$2:$C$1369,0)),"",INDEX('Compliance Database'!$C$2:$C$1369,MATCH(587,Engine!$C$2:$C$1369,0)))</f>
        <v/>
      </c>
      <c r="D600" s="9">
        <f>IF(ISNA(MATCH(587,Engine!$C$2:$C$1369,0)),"",INDEX('Compliance Database'!$D$2:$D$1369,MATCH(587,Engine!$C$2:$C$1369,0)))</f>
        <v/>
      </c>
      <c r="E600" s="8">
        <f>IF(ISNA(MATCH(587,Engine!$C$2:$C$1369,0)),"",INDEX('Compliance Database'!$E$2:$E$1369,MATCH(587,Engine!$C$2:$C$1369,0)))</f>
        <v/>
      </c>
      <c r="F600" s="8">
        <f>IF(ISNA(MATCH(587,Engine!$C$2:$C$1369,0)),"",INDEX('Compliance Database'!$F$2:$F$1369,MATCH(587,Engine!$C$2:$C$1369,0)))</f>
        <v/>
      </c>
      <c r="G600" s="8">
        <f>IF(ISNA(MATCH(587,Engine!$C$2:$C$1369,0)),"",INDEX('Compliance Database'!$G$2:$G$1369,MATCH(587,Engine!$C$2:$C$1369,0)))</f>
        <v/>
      </c>
      <c r="H600" s="9">
        <f>IF(ISNA(MATCH(587,Engine!$C$2:$C$1369,0)),"",INDEX('Compliance Database'!$H$2:$H$1369,MATCH(587,Engine!$C$2:$C$1369,0)))</f>
        <v/>
      </c>
      <c r="I600" s="9">
        <f>IF(ISNA(MATCH(587,Engine!$C$2:$C$1369,0)),"",INDEX('Compliance Database'!$I$2:$I$1369,MATCH(587,Engine!$C$2:$C$1369,0)))</f>
        <v/>
      </c>
      <c r="J600" s="8">
        <f>IF(ISNA(MATCH(587,Engine!$C$2:$C$1369,0)),"",INDEX('Compliance Database'!$J$2:$J$1369,MATCH(587,Engine!$C$2:$C$1369,0)))</f>
        <v/>
      </c>
      <c r="K600" s="9">
        <f>IF(ISNA(MATCH(587,Engine!$C$2:$C$1369,0)),"",INDEX('Compliance Database'!$K$2:$K$1369,MATCH(587,Engine!$C$2:$C$1369,0)))</f>
        <v/>
      </c>
      <c r="L600" s="9">
        <f>IF(ISNA(MATCH(587,Engine!$C$2:$C$1369,0)),"",INDEX('Compliance Database'!$L$2:$L$1369,MATCH(587,Engine!$C$2:$C$1369,0)))</f>
        <v/>
      </c>
      <c r="M600" s="9">
        <f>IF(ISNA(MATCH(587,Engine!$C$2:$C$1369,0)),"",INDEX('Compliance Database'!$M$2:$M$1369,MATCH(587,Engine!$C$2:$C$1369,0)))</f>
        <v/>
      </c>
      <c r="N600" s="9">
        <f>IF(ISNA(MATCH(587,Engine!$C$2:$C$1369,0)),"",INDEX('Compliance Database'!$N$2:$N$1369,MATCH(587,Engine!$C$2:$C$1369,0)))</f>
        <v/>
      </c>
      <c r="O600" s="8">
        <f>IF(ISNA(MATCH(587,Engine!$C$2:$C$1369,0)),"",HYPERLINK(INDEX('Compliance Database'!$O$2:$O$1369,MATCH(587,Engine!$C$2:$C$1369,0)),"Open PDF"))</f>
        <v/>
      </c>
    </row>
    <row r="601" ht="188" customHeight="1">
      <c r="A601" s="8">
        <f>IF(ISNA(MATCH(588,Engine!$C$2:$C$1369,0)),"",INDEX('Compliance Database'!$A$2:$A$1369,MATCH(588,Engine!$C$2:$C$1369,0)))</f>
        <v/>
      </c>
      <c r="B601" s="8">
        <f>IF(ISNA(MATCH(588,Engine!$C$2:$C$1369,0)),"",INDEX('Compliance Database'!$B$2:$B$1369,MATCH(588,Engine!$C$2:$C$1369,0)))</f>
        <v/>
      </c>
      <c r="C601" s="8">
        <f>IF(ISNA(MATCH(588,Engine!$C$2:$C$1369,0)),"",INDEX('Compliance Database'!$C$2:$C$1369,MATCH(588,Engine!$C$2:$C$1369,0)))</f>
        <v/>
      </c>
      <c r="D601" s="9">
        <f>IF(ISNA(MATCH(588,Engine!$C$2:$C$1369,0)),"",INDEX('Compliance Database'!$D$2:$D$1369,MATCH(588,Engine!$C$2:$C$1369,0)))</f>
        <v/>
      </c>
      <c r="E601" s="8">
        <f>IF(ISNA(MATCH(588,Engine!$C$2:$C$1369,0)),"",INDEX('Compliance Database'!$E$2:$E$1369,MATCH(588,Engine!$C$2:$C$1369,0)))</f>
        <v/>
      </c>
      <c r="F601" s="8">
        <f>IF(ISNA(MATCH(588,Engine!$C$2:$C$1369,0)),"",INDEX('Compliance Database'!$F$2:$F$1369,MATCH(588,Engine!$C$2:$C$1369,0)))</f>
        <v/>
      </c>
      <c r="G601" s="8">
        <f>IF(ISNA(MATCH(588,Engine!$C$2:$C$1369,0)),"",INDEX('Compliance Database'!$G$2:$G$1369,MATCH(588,Engine!$C$2:$C$1369,0)))</f>
        <v/>
      </c>
      <c r="H601" s="9">
        <f>IF(ISNA(MATCH(588,Engine!$C$2:$C$1369,0)),"",INDEX('Compliance Database'!$H$2:$H$1369,MATCH(588,Engine!$C$2:$C$1369,0)))</f>
        <v/>
      </c>
      <c r="I601" s="9">
        <f>IF(ISNA(MATCH(588,Engine!$C$2:$C$1369,0)),"",INDEX('Compliance Database'!$I$2:$I$1369,MATCH(588,Engine!$C$2:$C$1369,0)))</f>
        <v/>
      </c>
      <c r="J601" s="8">
        <f>IF(ISNA(MATCH(588,Engine!$C$2:$C$1369,0)),"",INDEX('Compliance Database'!$J$2:$J$1369,MATCH(588,Engine!$C$2:$C$1369,0)))</f>
        <v/>
      </c>
      <c r="K601" s="9">
        <f>IF(ISNA(MATCH(588,Engine!$C$2:$C$1369,0)),"",INDEX('Compliance Database'!$K$2:$K$1369,MATCH(588,Engine!$C$2:$C$1369,0)))</f>
        <v/>
      </c>
      <c r="L601" s="9">
        <f>IF(ISNA(MATCH(588,Engine!$C$2:$C$1369,0)),"",INDEX('Compliance Database'!$L$2:$L$1369,MATCH(588,Engine!$C$2:$C$1369,0)))</f>
        <v/>
      </c>
      <c r="M601" s="9">
        <f>IF(ISNA(MATCH(588,Engine!$C$2:$C$1369,0)),"",INDEX('Compliance Database'!$M$2:$M$1369,MATCH(588,Engine!$C$2:$C$1369,0)))</f>
        <v/>
      </c>
      <c r="N601" s="9">
        <f>IF(ISNA(MATCH(588,Engine!$C$2:$C$1369,0)),"",INDEX('Compliance Database'!$N$2:$N$1369,MATCH(588,Engine!$C$2:$C$1369,0)))</f>
        <v/>
      </c>
      <c r="O601" s="8">
        <f>IF(ISNA(MATCH(588,Engine!$C$2:$C$1369,0)),"",HYPERLINK(INDEX('Compliance Database'!$O$2:$O$1369,MATCH(588,Engine!$C$2:$C$1369,0)),"Open PDF"))</f>
        <v/>
      </c>
    </row>
    <row r="602" ht="188" customHeight="1">
      <c r="A602" s="8">
        <f>IF(ISNA(MATCH(589,Engine!$C$2:$C$1369,0)),"",INDEX('Compliance Database'!$A$2:$A$1369,MATCH(589,Engine!$C$2:$C$1369,0)))</f>
        <v/>
      </c>
      <c r="B602" s="8">
        <f>IF(ISNA(MATCH(589,Engine!$C$2:$C$1369,0)),"",INDEX('Compliance Database'!$B$2:$B$1369,MATCH(589,Engine!$C$2:$C$1369,0)))</f>
        <v/>
      </c>
      <c r="C602" s="8">
        <f>IF(ISNA(MATCH(589,Engine!$C$2:$C$1369,0)),"",INDEX('Compliance Database'!$C$2:$C$1369,MATCH(589,Engine!$C$2:$C$1369,0)))</f>
        <v/>
      </c>
      <c r="D602" s="9">
        <f>IF(ISNA(MATCH(589,Engine!$C$2:$C$1369,0)),"",INDEX('Compliance Database'!$D$2:$D$1369,MATCH(589,Engine!$C$2:$C$1369,0)))</f>
        <v/>
      </c>
      <c r="E602" s="8">
        <f>IF(ISNA(MATCH(589,Engine!$C$2:$C$1369,0)),"",INDEX('Compliance Database'!$E$2:$E$1369,MATCH(589,Engine!$C$2:$C$1369,0)))</f>
        <v/>
      </c>
      <c r="F602" s="8">
        <f>IF(ISNA(MATCH(589,Engine!$C$2:$C$1369,0)),"",INDEX('Compliance Database'!$F$2:$F$1369,MATCH(589,Engine!$C$2:$C$1369,0)))</f>
        <v/>
      </c>
      <c r="G602" s="8">
        <f>IF(ISNA(MATCH(589,Engine!$C$2:$C$1369,0)),"",INDEX('Compliance Database'!$G$2:$G$1369,MATCH(589,Engine!$C$2:$C$1369,0)))</f>
        <v/>
      </c>
      <c r="H602" s="9">
        <f>IF(ISNA(MATCH(589,Engine!$C$2:$C$1369,0)),"",INDEX('Compliance Database'!$H$2:$H$1369,MATCH(589,Engine!$C$2:$C$1369,0)))</f>
        <v/>
      </c>
      <c r="I602" s="9">
        <f>IF(ISNA(MATCH(589,Engine!$C$2:$C$1369,0)),"",INDEX('Compliance Database'!$I$2:$I$1369,MATCH(589,Engine!$C$2:$C$1369,0)))</f>
        <v/>
      </c>
      <c r="J602" s="8">
        <f>IF(ISNA(MATCH(589,Engine!$C$2:$C$1369,0)),"",INDEX('Compliance Database'!$J$2:$J$1369,MATCH(589,Engine!$C$2:$C$1369,0)))</f>
        <v/>
      </c>
      <c r="K602" s="9">
        <f>IF(ISNA(MATCH(589,Engine!$C$2:$C$1369,0)),"",INDEX('Compliance Database'!$K$2:$K$1369,MATCH(589,Engine!$C$2:$C$1369,0)))</f>
        <v/>
      </c>
      <c r="L602" s="9">
        <f>IF(ISNA(MATCH(589,Engine!$C$2:$C$1369,0)),"",INDEX('Compliance Database'!$L$2:$L$1369,MATCH(589,Engine!$C$2:$C$1369,0)))</f>
        <v/>
      </c>
      <c r="M602" s="9">
        <f>IF(ISNA(MATCH(589,Engine!$C$2:$C$1369,0)),"",INDEX('Compliance Database'!$M$2:$M$1369,MATCH(589,Engine!$C$2:$C$1369,0)))</f>
        <v/>
      </c>
      <c r="N602" s="9">
        <f>IF(ISNA(MATCH(589,Engine!$C$2:$C$1369,0)),"",INDEX('Compliance Database'!$N$2:$N$1369,MATCH(589,Engine!$C$2:$C$1369,0)))</f>
        <v/>
      </c>
      <c r="O602" s="8">
        <f>IF(ISNA(MATCH(589,Engine!$C$2:$C$1369,0)),"",HYPERLINK(INDEX('Compliance Database'!$O$2:$O$1369,MATCH(589,Engine!$C$2:$C$1369,0)),"Open PDF"))</f>
        <v/>
      </c>
    </row>
    <row r="603" ht="188" customHeight="1">
      <c r="A603" s="8">
        <f>IF(ISNA(MATCH(590,Engine!$C$2:$C$1369,0)),"",INDEX('Compliance Database'!$A$2:$A$1369,MATCH(590,Engine!$C$2:$C$1369,0)))</f>
        <v/>
      </c>
      <c r="B603" s="8">
        <f>IF(ISNA(MATCH(590,Engine!$C$2:$C$1369,0)),"",INDEX('Compliance Database'!$B$2:$B$1369,MATCH(590,Engine!$C$2:$C$1369,0)))</f>
        <v/>
      </c>
      <c r="C603" s="8">
        <f>IF(ISNA(MATCH(590,Engine!$C$2:$C$1369,0)),"",INDEX('Compliance Database'!$C$2:$C$1369,MATCH(590,Engine!$C$2:$C$1369,0)))</f>
        <v/>
      </c>
      <c r="D603" s="9">
        <f>IF(ISNA(MATCH(590,Engine!$C$2:$C$1369,0)),"",INDEX('Compliance Database'!$D$2:$D$1369,MATCH(590,Engine!$C$2:$C$1369,0)))</f>
        <v/>
      </c>
      <c r="E603" s="8">
        <f>IF(ISNA(MATCH(590,Engine!$C$2:$C$1369,0)),"",INDEX('Compliance Database'!$E$2:$E$1369,MATCH(590,Engine!$C$2:$C$1369,0)))</f>
        <v/>
      </c>
      <c r="F603" s="8">
        <f>IF(ISNA(MATCH(590,Engine!$C$2:$C$1369,0)),"",INDEX('Compliance Database'!$F$2:$F$1369,MATCH(590,Engine!$C$2:$C$1369,0)))</f>
        <v/>
      </c>
      <c r="G603" s="8">
        <f>IF(ISNA(MATCH(590,Engine!$C$2:$C$1369,0)),"",INDEX('Compliance Database'!$G$2:$G$1369,MATCH(590,Engine!$C$2:$C$1369,0)))</f>
        <v/>
      </c>
      <c r="H603" s="9">
        <f>IF(ISNA(MATCH(590,Engine!$C$2:$C$1369,0)),"",INDEX('Compliance Database'!$H$2:$H$1369,MATCH(590,Engine!$C$2:$C$1369,0)))</f>
        <v/>
      </c>
      <c r="I603" s="9">
        <f>IF(ISNA(MATCH(590,Engine!$C$2:$C$1369,0)),"",INDEX('Compliance Database'!$I$2:$I$1369,MATCH(590,Engine!$C$2:$C$1369,0)))</f>
        <v/>
      </c>
      <c r="J603" s="8">
        <f>IF(ISNA(MATCH(590,Engine!$C$2:$C$1369,0)),"",INDEX('Compliance Database'!$J$2:$J$1369,MATCH(590,Engine!$C$2:$C$1369,0)))</f>
        <v/>
      </c>
      <c r="K603" s="9">
        <f>IF(ISNA(MATCH(590,Engine!$C$2:$C$1369,0)),"",INDEX('Compliance Database'!$K$2:$K$1369,MATCH(590,Engine!$C$2:$C$1369,0)))</f>
        <v/>
      </c>
      <c r="L603" s="9">
        <f>IF(ISNA(MATCH(590,Engine!$C$2:$C$1369,0)),"",INDEX('Compliance Database'!$L$2:$L$1369,MATCH(590,Engine!$C$2:$C$1369,0)))</f>
        <v/>
      </c>
      <c r="M603" s="9">
        <f>IF(ISNA(MATCH(590,Engine!$C$2:$C$1369,0)),"",INDEX('Compliance Database'!$M$2:$M$1369,MATCH(590,Engine!$C$2:$C$1369,0)))</f>
        <v/>
      </c>
      <c r="N603" s="9">
        <f>IF(ISNA(MATCH(590,Engine!$C$2:$C$1369,0)),"",INDEX('Compliance Database'!$N$2:$N$1369,MATCH(590,Engine!$C$2:$C$1369,0)))</f>
        <v/>
      </c>
      <c r="O603" s="8">
        <f>IF(ISNA(MATCH(590,Engine!$C$2:$C$1369,0)),"",HYPERLINK(INDEX('Compliance Database'!$O$2:$O$1369,MATCH(590,Engine!$C$2:$C$1369,0)),"Open PDF"))</f>
        <v/>
      </c>
    </row>
    <row r="604" ht="188" customHeight="1">
      <c r="A604" s="8">
        <f>IF(ISNA(MATCH(591,Engine!$C$2:$C$1369,0)),"",INDEX('Compliance Database'!$A$2:$A$1369,MATCH(591,Engine!$C$2:$C$1369,0)))</f>
        <v/>
      </c>
      <c r="B604" s="8">
        <f>IF(ISNA(MATCH(591,Engine!$C$2:$C$1369,0)),"",INDEX('Compliance Database'!$B$2:$B$1369,MATCH(591,Engine!$C$2:$C$1369,0)))</f>
        <v/>
      </c>
      <c r="C604" s="8">
        <f>IF(ISNA(MATCH(591,Engine!$C$2:$C$1369,0)),"",INDEX('Compliance Database'!$C$2:$C$1369,MATCH(591,Engine!$C$2:$C$1369,0)))</f>
        <v/>
      </c>
      <c r="D604" s="9">
        <f>IF(ISNA(MATCH(591,Engine!$C$2:$C$1369,0)),"",INDEX('Compliance Database'!$D$2:$D$1369,MATCH(591,Engine!$C$2:$C$1369,0)))</f>
        <v/>
      </c>
      <c r="E604" s="8">
        <f>IF(ISNA(MATCH(591,Engine!$C$2:$C$1369,0)),"",INDEX('Compliance Database'!$E$2:$E$1369,MATCH(591,Engine!$C$2:$C$1369,0)))</f>
        <v/>
      </c>
      <c r="F604" s="8">
        <f>IF(ISNA(MATCH(591,Engine!$C$2:$C$1369,0)),"",INDEX('Compliance Database'!$F$2:$F$1369,MATCH(591,Engine!$C$2:$C$1369,0)))</f>
        <v/>
      </c>
      <c r="G604" s="8">
        <f>IF(ISNA(MATCH(591,Engine!$C$2:$C$1369,0)),"",INDEX('Compliance Database'!$G$2:$G$1369,MATCH(591,Engine!$C$2:$C$1369,0)))</f>
        <v/>
      </c>
      <c r="H604" s="9">
        <f>IF(ISNA(MATCH(591,Engine!$C$2:$C$1369,0)),"",INDEX('Compliance Database'!$H$2:$H$1369,MATCH(591,Engine!$C$2:$C$1369,0)))</f>
        <v/>
      </c>
      <c r="I604" s="9">
        <f>IF(ISNA(MATCH(591,Engine!$C$2:$C$1369,0)),"",INDEX('Compliance Database'!$I$2:$I$1369,MATCH(591,Engine!$C$2:$C$1369,0)))</f>
        <v/>
      </c>
      <c r="J604" s="8">
        <f>IF(ISNA(MATCH(591,Engine!$C$2:$C$1369,0)),"",INDEX('Compliance Database'!$J$2:$J$1369,MATCH(591,Engine!$C$2:$C$1369,0)))</f>
        <v/>
      </c>
      <c r="K604" s="9">
        <f>IF(ISNA(MATCH(591,Engine!$C$2:$C$1369,0)),"",INDEX('Compliance Database'!$K$2:$K$1369,MATCH(591,Engine!$C$2:$C$1369,0)))</f>
        <v/>
      </c>
      <c r="L604" s="9">
        <f>IF(ISNA(MATCH(591,Engine!$C$2:$C$1369,0)),"",INDEX('Compliance Database'!$L$2:$L$1369,MATCH(591,Engine!$C$2:$C$1369,0)))</f>
        <v/>
      </c>
      <c r="M604" s="9">
        <f>IF(ISNA(MATCH(591,Engine!$C$2:$C$1369,0)),"",INDEX('Compliance Database'!$M$2:$M$1369,MATCH(591,Engine!$C$2:$C$1369,0)))</f>
        <v/>
      </c>
      <c r="N604" s="9">
        <f>IF(ISNA(MATCH(591,Engine!$C$2:$C$1369,0)),"",INDEX('Compliance Database'!$N$2:$N$1369,MATCH(591,Engine!$C$2:$C$1369,0)))</f>
        <v/>
      </c>
      <c r="O604" s="8">
        <f>IF(ISNA(MATCH(591,Engine!$C$2:$C$1369,0)),"",HYPERLINK(INDEX('Compliance Database'!$O$2:$O$1369,MATCH(591,Engine!$C$2:$C$1369,0)),"Open PDF"))</f>
        <v/>
      </c>
    </row>
    <row r="605" ht="188" customHeight="1">
      <c r="A605" s="8">
        <f>IF(ISNA(MATCH(592,Engine!$C$2:$C$1369,0)),"",INDEX('Compliance Database'!$A$2:$A$1369,MATCH(592,Engine!$C$2:$C$1369,0)))</f>
        <v/>
      </c>
      <c r="B605" s="8">
        <f>IF(ISNA(MATCH(592,Engine!$C$2:$C$1369,0)),"",INDEX('Compliance Database'!$B$2:$B$1369,MATCH(592,Engine!$C$2:$C$1369,0)))</f>
        <v/>
      </c>
      <c r="C605" s="8">
        <f>IF(ISNA(MATCH(592,Engine!$C$2:$C$1369,0)),"",INDEX('Compliance Database'!$C$2:$C$1369,MATCH(592,Engine!$C$2:$C$1369,0)))</f>
        <v/>
      </c>
      <c r="D605" s="9">
        <f>IF(ISNA(MATCH(592,Engine!$C$2:$C$1369,0)),"",INDEX('Compliance Database'!$D$2:$D$1369,MATCH(592,Engine!$C$2:$C$1369,0)))</f>
        <v/>
      </c>
      <c r="E605" s="8">
        <f>IF(ISNA(MATCH(592,Engine!$C$2:$C$1369,0)),"",INDEX('Compliance Database'!$E$2:$E$1369,MATCH(592,Engine!$C$2:$C$1369,0)))</f>
        <v/>
      </c>
      <c r="F605" s="8">
        <f>IF(ISNA(MATCH(592,Engine!$C$2:$C$1369,0)),"",INDEX('Compliance Database'!$F$2:$F$1369,MATCH(592,Engine!$C$2:$C$1369,0)))</f>
        <v/>
      </c>
      <c r="G605" s="8">
        <f>IF(ISNA(MATCH(592,Engine!$C$2:$C$1369,0)),"",INDEX('Compliance Database'!$G$2:$G$1369,MATCH(592,Engine!$C$2:$C$1369,0)))</f>
        <v/>
      </c>
      <c r="H605" s="9">
        <f>IF(ISNA(MATCH(592,Engine!$C$2:$C$1369,0)),"",INDEX('Compliance Database'!$H$2:$H$1369,MATCH(592,Engine!$C$2:$C$1369,0)))</f>
        <v/>
      </c>
      <c r="I605" s="9">
        <f>IF(ISNA(MATCH(592,Engine!$C$2:$C$1369,0)),"",INDEX('Compliance Database'!$I$2:$I$1369,MATCH(592,Engine!$C$2:$C$1369,0)))</f>
        <v/>
      </c>
      <c r="J605" s="8">
        <f>IF(ISNA(MATCH(592,Engine!$C$2:$C$1369,0)),"",INDEX('Compliance Database'!$J$2:$J$1369,MATCH(592,Engine!$C$2:$C$1369,0)))</f>
        <v/>
      </c>
      <c r="K605" s="9">
        <f>IF(ISNA(MATCH(592,Engine!$C$2:$C$1369,0)),"",INDEX('Compliance Database'!$K$2:$K$1369,MATCH(592,Engine!$C$2:$C$1369,0)))</f>
        <v/>
      </c>
      <c r="L605" s="9">
        <f>IF(ISNA(MATCH(592,Engine!$C$2:$C$1369,0)),"",INDEX('Compliance Database'!$L$2:$L$1369,MATCH(592,Engine!$C$2:$C$1369,0)))</f>
        <v/>
      </c>
      <c r="M605" s="9">
        <f>IF(ISNA(MATCH(592,Engine!$C$2:$C$1369,0)),"",INDEX('Compliance Database'!$M$2:$M$1369,MATCH(592,Engine!$C$2:$C$1369,0)))</f>
        <v/>
      </c>
      <c r="N605" s="9">
        <f>IF(ISNA(MATCH(592,Engine!$C$2:$C$1369,0)),"",INDEX('Compliance Database'!$N$2:$N$1369,MATCH(592,Engine!$C$2:$C$1369,0)))</f>
        <v/>
      </c>
      <c r="O605" s="8">
        <f>IF(ISNA(MATCH(592,Engine!$C$2:$C$1369,0)),"",HYPERLINK(INDEX('Compliance Database'!$O$2:$O$1369,MATCH(592,Engine!$C$2:$C$1369,0)),"Open PDF"))</f>
        <v/>
      </c>
    </row>
    <row r="606" ht="188" customHeight="1">
      <c r="A606" s="8">
        <f>IF(ISNA(MATCH(593,Engine!$C$2:$C$1369,0)),"",INDEX('Compliance Database'!$A$2:$A$1369,MATCH(593,Engine!$C$2:$C$1369,0)))</f>
        <v/>
      </c>
      <c r="B606" s="8">
        <f>IF(ISNA(MATCH(593,Engine!$C$2:$C$1369,0)),"",INDEX('Compliance Database'!$B$2:$B$1369,MATCH(593,Engine!$C$2:$C$1369,0)))</f>
        <v/>
      </c>
      <c r="C606" s="8">
        <f>IF(ISNA(MATCH(593,Engine!$C$2:$C$1369,0)),"",INDEX('Compliance Database'!$C$2:$C$1369,MATCH(593,Engine!$C$2:$C$1369,0)))</f>
        <v/>
      </c>
      <c r="D606" s="9">
        <f>IF(ISNA(MATCH(593,Engine!$C$2:$C$1369,0)),"",INDEX('Compliance Database'!$D$2:$D$1369,MATCH(593,Engine!$C$2:$C$1369,0)))</f>
        <v/>
      </c>
      <c r="E606" s="8">
        <f>IF(ISNA(MATCH(593,Engine!$C$2:$C$1369,0)),"",INDEX('Compliance Database'!$E$2:$E$1369,MATCH(593,Engine!$C$2:$C$1369,0)))</f>
        <v/>
      </c>
      <c r="F606" s="8">
        <f>IF(ISNA(MATCH(593,Engine!$C$2:$C$1369,0)),"",INDEX('Compliance Database'!$F$2:$F$1369,MATCH(593,Engine!$C$2:$C$1369,0)))</f>
        <v/>
      </c>
      <c r="G606" s="8">
        <f>IF(ISNA(MATCH(593,Engine!$C$2:$C$1369,0)),"",INDEX('Compliance Database'!$G$2:$G$1369,MATCH(593,Engine!$C$2:$C$1369,0)))</f>
        <v/>
      </c>
      <c r="H606" s="9">
        <f>IF(ISNA(MATCH(593,Engine!$C$2:$C$1369,0)),"",INDEX('Compliance Database'!$H$2:$H$1369,MATCH(593,Engine!$C$2:$C$1369,0)))</f>
        <v/>
      </c>
      <c r="I606" s="9">
        <f>IF(ISNA(MATCH(593,Engine!$C$2:$C$1369,0)),"",INDEX('Compliance Database'!$I$2:$I$1369,MATCH(593,Engine!$C$2:$C$1369,0)))</f>
        <v/>
      </c>
      <c r="J606" s="8">
        <f>IF(ISNA(MATCH(593,Engine!$C$2:$C$1369,0)),"",INDEX('Compliance Database'!$J$2:$J$1369,MATCH(593,Engine!$C$2:$C$1369,0)))</f>
        <v/>
      </c>
      <c r="K606" s="9">
        <f>IF(ISNA(MATCH(593,Engine!$C$2:$C$1369,0)),"",INDEX('Compliance Database'!$K$2:$K$1369,MATCH(593,Engine!$C$2:$C$1369,0)))</f>
        <v/>
      </c>
      <c r="L606" s="9">
        <f>IF(ISNA(MATCH(593,Engine!$C$2:$C$1369,0)),"",INDEX('Compliance Database'!$L$2:$L$1369,MATCH(593,Engine!$C$2:$C$1369,0)))</f>
        <v/>
      </c>
      <c r="M606" s="9">
        <f>IF(ISNA(MATCH(593,Engine!$C$2:$C$1369,0)),"",INDEX('Compliance Database'!$M$2:$M$1369,MATCH(593,Engine!$C$2:$C$1369,0)))</f>
        <v/>
      </c>
      <c r="N606" s="9">
        <f>IF(ISNA(MATCH(593,Engine!$C$2:$C$1369,0)),"",INDEX('Compliance Database'!$N$2:$N$1369,MATCH(593,Engine!$C$2:$C$1369,0)))</f>
        <v/>
      </c>
      <c r="O606" s="8">
        <f>IF(ISNA(MATCH(593,Engine!$C$2:$C$1369,0)),"",HYPERLINK(INDEX('Compliance Database'!$O$2:$O$1369,MATCH(593,Engine!$C$2:$C$1369,0)),"Open PDF"))</f>
        <v/>
      </c>
    </row>
    <row r="607" ht="188" customHeight="1">
      <c r="A607" s="8">
        <f>IF(ISNA(MATCH(594,Engine!$C$2:$C$1369,0)),"",INDEX('Compliance Database'!$A$2:$A$1369,MATCH(594,Engine!$C$2:$C$1369,0)))</f>
        <v/>
      </c>
      <c r="B607" s="8">
        <f>IF(ISNA(MATCH(594,Engine!$C$2:$C$1369,0)),"",INDEX('Compliance Database'!$B$2:$B$1369,MATCH(594,Engine!$C$2:$C$1369,0)))</f>
        <v/>
      </c>
      <c r="C607" s="8">
        <f>IF(ISNA(MATCH(594,Engine!$C$2:$C$1369,0)),"",INDEX('Compliance Database'!$C$2:$C$1369,MATCH(594,Engine!$C$2:$C$1369,0)))</f>
        <v/>
      </c>
      <c r="D607" s="9">
        <f>IF(ISNA(MATCH(594,Engine!$C$2:$C$1369,0)),"",INDEX('Compliance Database'!$D$2:$D$1369,MATCH(594,Engine!$C$2:$C$1369,0)))</f>
        <v/>
      </c>
      <c r="E607" s="8">
        <f>IF(ISNA(MATCH(594,Engine!$C$2:$C$1369,0)),"",INDEX('Compliance Database'!$E$2:$E$1369,MATCH(594,Engine!$C$2:$C$1369,0)))</f>
        <v/>
      </c>
      <c r="F607" s="8">
        <f>IF(ISNA(MATCH(594,Engine!$C$2:$C$1369,0)),"",INDEX('Compliance Database'!$F$2:$F$1369,MATCH(594,Engine!$C$2:$C$1369,0)))</f>
        <v/>
      </c>
      <c r="G607" s="8">
        <f>IF(ISNA(MATCH(594,Engine!$C$2:$C$1369,0)),"",INDEX('Compliance Database'!$G$2:$G$1369,MATCH(594,Engine!$C$2:$C$1369,0)))</f>
        <v/>
      </c>
      <c r="H607" s="9">
        <f>IF(ISNA(MATCH(594,Engine!$C$2:$C$1369,0)),"",INDEX('Compliance Database'!$H$2:$H$1369,MATCH(594,Engine!$C$2:$C$1369,0)))</f>
        <v/>
      </c>
      <c r="I607" s="9">
        <f>IF(ISNA(MATCH(594,Engine!$C$2:$C$1369,0)),"",INDEX('Compliance Database'!$I$2:$I$1369,MATCH(594,Engine!$C$2:$C$1369,0)))</f>
        <v/>
      </c>
      <c r="J607" s="8">
        <f>IF(ISNA(MATCH(594,Engine!$C$2:$C$1369,0)),"",INDEX('Compliance Database'!$J$2:$J$1369,MATCH(594,Engine!$C$2:$C$1369,0)))</f>
        <v/>
      </c>
      <c r="K607" s="9">
        <f>IF(ISNA(MATCH(594,Engine!$C$2:$C$1369,0)),"",INDEX('Compliance Database'!$K$2:$K$1369,MATCH(594,Engine!$C$2:$C$1369,0)))</f>
        <v/>
      </c>
      <c r="L607" s="9">
        <f>IF(ISNA(MATCH(594,Engine!$C$2:$C$1369,0)),"",INDEX('Compliance Database'!$L$2:$L$1369,MATCH(594,Engine!$C$2:$C$1369,0)))</f>
        <v/>
      </c>
      <c r="M607" s="9">
        <f>IF(ISNA(MATCH(594,Engine!$C$2:$C$1369,0)),"",INDEX('Compliance Database'!$M$2:$M$1369,MATCH(594,Engine!$C$2:$C$1369,0)))</f>
        <v/>
      </c>
      <c r="N607" s="9">
        <f>IF(ISNA(MATCH(594,Engine!$C$2:$C$1369,0)),"",INDEX('Compliance Database'!$N$2:$N$1369,MATCH(594,Engine!$C$2:$C$1369,0)))</f>
        <v/>
      </c>
      <c r="O607" s="8">
        <f>IF(ISNA(MATCH(594,Engine!$C$2:$C$1369,0)),"",HYPERLINK(INDEX('Compliance Database'!$O$2:$O$1369,MATCH(594,Engine!$C$2:$C$1369,0)),"Open PDF"))</f>
        <v/>
      </c>
    </row>
    <row r="608" ht="188" customHeight="1">
      <c r="A608" s="8">
        <f>IF(ISNA(MATCH(595,Engine!$C$2:$C$1369,0)),"",INDEX('Compliance Database'!$A$2:$A$1369,MATCH(595,Engine!$C$2:$C$1369,0)))</f>
        <v/>
      </c>
      <c r="B608" s="8">
        <f>IF(ISNA(MATCH(595,Engine!$C$2:$C$1369,0)),"",INDEX('Compliance Database'!$B$2:$B$1369,MATCH(595,Engine!$C$2:$C$1369,0)))</f>
        <v/>
      </c>
      <c r="C608" s="8">
        <f>IF(ISNA(MATCH(595,Engine!$C$2:$C$1369,0)),"",INDEX('Compliance Database'!$C$2:$C$1369,MATCH(595,Engine!$C$2:$C$1369,0)))</f>
        <v/>
      </c>
      <c r="D608" s="9">
        <f>IF(ISNA(MATCH(595,Engine!$C$2:$C$1369,0)),"",INDEX('Compliance Database'!$D$2:$D$1369,MATCH(595,Engine!$C$2:$C$1369,0)))</f>
        <v/>
      </c>
      <c r="E608" s="8">
        <f>IF(ISNA(MATCH(595,Engine!$C$2:$C$1369,0)),"",INDEX('Compliance Database'!$E$2:$E$1369,MATCH(595,Engine!$C$2:$C$1369,0)))</f>
        <v/>
      </c>
      <c r="F608" s="8">
        <f>IF(ISNA(MATCH(595,Engine!$C$2:$C$1369,0)),"",INDEX('Compliance Database'!$F$2:$F$1369,MATCH(595,Engine!$C$2:$C$1369,0)))</f>
        <v/>
      </c>
      <c r="G608" s="8">
        <f>IF(ISNA(MATCH(595,Engine!$C$2:$C$1369,0)),"",INDEX('Compliance Database'!$G$2:$G$1369,MATCH(595,Engine!$C$2:$C$1369,0)))</f>
        <v/>
      </c>
      <c r="H608" s="9">
        <f>IF(ISNA(MATCH(595,Engine!$C$2:$C$1369,0)),"",INDEX('Compliance Database'!$H$2:$H$1369,MATCH(595,Engine!$C$2:$C$1369,0)))</f>
        <v/>
      </c>
      <c r="I608" s="9">
        <f>IF(ISNA(MATCH(595,Engine!$C$2:$C$1369,0)),"",INDEX('Compliance Database'!$I$2:$I$1369,MATCH(595,Engine!$C$2:$C$1369,0)))</f>
        <v/>
      </c>
      <c r="J608" s="8">
        <f>IF(ISNA(MATCH(595,Engine!$C$2:$C$1369,0)),"",INDEX('Compliance Database'!$J$2:$J$1369,MATCH(595,Engine!$C$2:$C$1369,0)))</f>
        <v/>
      </c>
      <c r="K608" s="9">
        <f>IF(ISNA(MATCH(595,Engine!$C$2:$C$1369,0)),"",INDEX('Compliance Database'!$K$2:$K$1369,MATCH(595,Engine!$C$2:$C$1369,0)))</f>
        <v/>
      </c>
      <c r="L608" s="9">
        <f>IF(ISNA(MATCH(595,Engine!$C$2:$C$1369,0)),"",INDEX('Compliance Database'!$L$2:$L$1369,MATCH(595,Engine!$C$2:$C$1369,0)))</f>
        <v/>
      </c>
      <c r="M608" s="9">
        <f>IF(ISNA(MATCH(595,Engine!$C$2:$C$1369,0)),"",INDEX('Compliance Database'!$M$2:$M$1369,MATCH(595,Engine!$C$2:$C$1369,0)))</f>
        <v/>
      </c>
      <c r="N608" s="9">
        <f>IF(ISNA(MATCH(595,Engine!$C$2:$C$1369,0)),"",INDEX('Compliance Database'!$N$2:$N$1369,MATCH(595,Engine!$C$2:$C$1369,0)))</f>
        <v/>
      </c>
      <c r="O608" s="8">
        <f>IF(ISNA(MATCH(595,Engine!$C$2:$C$1369,0)),"",HYPERLINK(INDEX('Compliance Database'!$O$2:$O$1369,MATCH(595,Engine!$C$2:$C$1369,0)),"Open PDF"))</f>
        <v/>
      </c>
    </row>
    <row r="609" ht="188" customHeight="1">
      <c r="A609" s="8">
        <f>IF(ISNA(MATCH(596,Engine!$C$2:$C$1369,0)),"",INDEX('Compliance Database'!$A$2:$A$1369,MATCH(596,Engine!$C$2:$C$1369,0)))</f>
        <v/>
      </c>
      <c r="B609" s="8">
        <f>IF(ISNA(MATCH(596,Engine!$C$2:$C$1369,0)),"",INDEX('Compliance Database'!$B$2:$B$1369,MATCH(596,Engine!$C$2:$C$1369,0)))</f>
        <v/>
      </c>
      <c r="C609" s="8">
        <f>IF(ISNA(MATCH(596,Engine!$C$2:$C$1369,0)),"",INDEX('Compliance Database'!$C$2:$C$1369,MATCH(596,Engine!$C$2:$C$1369,0)))</f>
        <v/>
      </c>
      <c r="D609" s="9">
        <f>IF(ISNA(MATCH(596,Engine!$C$2:$C$1369,0)),"",INDEX('Compliance Database'!$D$2:$D$1369,MATCH(596,Engine!$C$2:$C$1369,0)))</f>
        <v/>
      </c>
      <c r="E609" s="8">
        <f>IF(ISNA(MATCH(596,Engine!$C$2:$C$1369,0)),"",INDEX('Compliance Database'!$E$2:$E$1369,MATCH(596,Engine!$C$2:$C$1369,0)))</f>
        <v/>
      </c>
      <c r="F609" s="8">
        <f>IF(ISNA(MATCH(596,Engine!$C$2:$C$1369,0)),"",INDEX('Compliance Database'!$F$2:$F$1369,MATCH(596,Engine!$C$2:$C$1369,0)))</f>
        <v/>
      </c>
      <c r="G609" s="8">
        <f>IF(ISNA(MATCH(596,Engine!$C$2:$C$1369,0)),"",INDEX('Compliance Database'!$G$2:$G$1369,MATCH(596,Engine!$C$2:$C$1369,0)))</f>
        <v/>
      </c>
      <c r="H609" s="9">
        <f>IF(ISNA(MATCH(596,Engine!$C$2:$C$1369,0)),"",INDEX('Compliance Database'!$H$2:$H$1369,MATCH(596,Engine!$C$2:$C$1369,0)))</f>
        <v/>
      </c>
      <c r="I609" s="9">
        <f>IF(ISNA(MATCH(596,Engine!$C$2:$C$1369,0)),"",INDEX('Compliance Database'!$I$2:$I$1369,MATCH(596,Engine!$C$2:$C$1369,0)))</f>
        <v/>
      </c>
      <c r="J609" s="8">
        <f>IF(ISNA(MATCH(596,Engine!$C$2:$C$1369,0)),"",INDEX('Compliance Database'!$J$2:$J$1369,MATCH(596,Engine!$C$2:$C$1369,0)))</f>
        <v/>
      </c>
      <c r="K609" s="9">
        <f>IF(ISNA(MATCH(596,Engine!$C$2:$C$1369,0)),"",INDEX('Compliance Database'!$K$2:$K$1369,MATCH(596,Engine!$C$2:$C$1369,0)))</f>
        <v/>
      </c>
      <c r="L609" s="9">
        <f>IF(ISNA(MATCH(596,Engine!$C$2:$C$1369,0)),"",INDEX('Compliance Database'!$L$2:$L$1369,MATCH(596,Engine!$C$2:$C$1369,0)))</f>
        <v/>
      </c>
      <c r="M609" s="9">
        <f>IF(ISNA(MATCH(596,Engine!$C$2:$C$1369,0)),"",INDEX('Compliance Database'!$M$2:$M$1369,MATCH(596,Engine!$C$2:$C$1369,0)))</f>
        <v/>
      </c>
      <c r="N609" s="9">
        <f>IF(ISNA(MATCH(596,Engine!$C$2:$C$1369,0)),"",INDEX('Compliance Database'!$N$2:$N$1369,MATCH(596,Engine!$C$2:$C$1369,0)))</f>
        <v/>
      </c>
      <c r="O609" s="8">
        <f>IF(ISNA(MATCH(596,Engine!$C$2:$C$1369,0)),"",HYPERLINK(INDEX('Compliance Database'!$O$2:$O$1369,MATCH(596,Engine!$C$2:$C$1369,0)),"Open PDF"))</f>
        <v/>
      </c>
    </row>
    <row r="610" ht="188" customHeight="1">
      <c r="A610" s="8">
        <f>IF(ISNA(MATCH(597,Engine!$C$2:$C$1369,0)),"",INDEX('Compliance Database'!$A$2:$A$1369,MATCH(597,Engine!$C$2:$C$1369,0)))</f>
        <v/>
      </c>
      <c r="B610" s="8">
        <f>IF(ISNA(MATCH(597,Engine!$C$2:$C$1369,0)),"",INDEX('Compliance Database'!$B$2:$B$1369,MATCH(597,Engine!$C$2:$C$1369,0)))</f>
        <v/>
      </c>
      <c r="C610" s="8">
        <f>IF(ISNA(MATCH(597,Engine!$C$2:$C$1369,0)),"",INDEX('Compliance Database'!$C$2:$C$1369,MATCH(597,Engine!$C$2:$C$1369,0)))</f>
        <v/>
      </c>
      <c r="D610" s="9">
        <f>IF(ISNA(MATCH(597,Engine!$C$2:$C$1369,0)),"",INDEX('Compliance Database'!$D$2:$D$1369,MATCH(597,Engine!$C$2:$C$1369,0)))</f>
        <v/>
      </c>
      <c r="E610" s="8">
        <f>IF(ISNA(MATCH(597,Engine!$C$2:$C$1369,0)),"",INDEX('Compliance Database'!$E$2:$E$1369,MATCH(597,Engine!$C$2:$C$1369,0)))</f>
        <v/>
      </c>
      <c r="F610" s="8">
        <f>IF(ISNA(MATCH(597,Engine!$C$2:$C$1369,0)),"",INDEX('Compliance Database'!$F$2:$F$1369,MATCH(597,Engine!$C$2:$C$1369,0)))</f>
        <v/>
      </c>
      <c r="G610" s="8">
        <f>IF(ISNA(MATCH(597,Engine!$C$2:$C$1369,0)),"",INDEX('Compliance Database'!$G$2:$G$1369,MATCH(597,Engine!$C$2:$C$1369,0)))</f>
        <v/>
      </c>
      <c r="H610" s="9">
        <f>IF(ISNA(MATCH(597,Engine!$C$2:$C$1369,0)),"",INDEX('Compliance Database'!$H$2:$H$1369,MATCH(597,Engine!$C$2:$C$1369,0)))</f>
        <v/>
      </c>
      <c r="I610" s="9">
        <f>IF(ISNA(MATCH(597,Engine!$C$2:$C$1369,0)),"",INDEX('Compliance Database'!$I$2:$I$1369,MATCH(597,Engine!$C$2:$C$1369,0)))</f>
        <v/>
      </c>
      <c r="J610" s="8">
        <f>IF(ISNA(MATCH(597,Engine!$C$2:$C$1369,0)),"",INDEX('Compliance Database'!$J$2:$J$1369,MATCH(597,Engine!$C$2:$C$1369,0)))</f>
        <v/>
      </c>
      <c r="K610" s="9">
        <f>IF(ISNA(MATCH(597,Engine!$C$2:$C$1369,0)),"",INDEX('Compliance Database'!$K$2:$K$1369,MATCH(597,Engine!$C$2:$C$1369,0)))</f>
        <v/>
      </c>
      <c r="L610" s="9">
        <f>IF(ISNA(MATCH(597,Engine!$C$2:$C$1369,0)),"",INDEX('Compliance Database'!$L$2:$L$1369,MATCH(597,Engine!$C$2:$C$1369,0)))</f>
        <v/>
      </c>
      <c r="M610" s="9">
        <f>IF(ISNA(MATCH(597,Engine!$C$2:$C$1369,0)),"",INDEX('Compliance Database'!$M$2:$M$1369,MATCH(597,Engine!$C$2:$C$1369,0)))</f>
        <v/>
      </c>
      <c r="N610" s="9">
        <f>IF(ISNA(MATCH(597,Engine!$C$2:$C$1369,0)),"",INDEX('Compliance Database'!$N$2:$N$1369,MATCH(597,Engine!$C$2:$C$1369,0)))</f>
        <v/>
      </c>
      <c r="O610" s="8">
        <f>IF(ISNA(MATCH(597,Engine!$C$2:$C$1369,0)),"",HYPERLINK(INDEX('Compliance Database'!$O$2:$O$1369,MATCH(597,Engine!$C$2:$C$1369,0)),"Open PDF"))</f>
        <v/>
      </c>
    </row>
    <row r="611" ht="188" customHeight="1">
      <c r="A611" s="8">
        <f>IF(ISNA(MATCH(598,Engine!$C$2:$C$1369,0)),"",INDEX('Compliance Database'!$A$2:$A$1369,MATCH(598,Engine!$C$2:$C$1369,0)))</f>
        <v/>
      </c>
      <c r="B611" s="8">
        <f>IF(ISNA(MATCH(598,Engine!$C$2:$C$1369,0)),"",INDEX('Compliance Database'!$B$2:$B$1369,MATCH(598,Engine!$C$2:$C$1369,0)))</f>
        <v/>
      </c>
      <c r="C611" s="8">
        <f>IF(ISNA(MATCH(598,Engine!$C$2:$C$1369,0)),"",INDEX('Compliance Database'!$C$2:$C$1369,MATCH(598,Engine!$C$2:$C$1369,0)))</f>
        <v/>
      </c>
      <c r="D611" s="9">
        <f>IF(ISNA(MATCH(598,Engine!$C$2:$C$1369,0)),"",INDEX('Compliance Database'!$D$2:$D$1369,MATCH(598,Engine!$C$2:$C$1369,0)))</f>
        <v/>
      </c>
      <c r="E611" s="8">
        <f>IF(ISNA(MATCH(598,Engine!$C$2:$C$1369,0)),"",INDEX('Compliance Database'!$E$2:$E$1369,MATCH(598,Engine!$C$2:$C$1369,0)))</f>
        <v/>
      </c>
      <c r="F611" s="8">
        <f>IF(ISNA(MATCH(598,Engine!$C$2:$C$1369,0)),"",INDEX('Compliance Database'!$F$2:$F$1369,MATCH(598,Engine!$C$2:$C$1369,0)))</f>
        <v/>
      </c>
      <c r="G611" s="8">
        <f>IF(ISNA(MATCH(598,Engine!$C$2:$C$1369,0)),"",INDEX('Compliance Database'!$G$2:$G$1369,MATCH(598,Engine!$C$2:$C$1369,0)))</f>
        <v/>
      </c>
      <c r="H611" s="9">
        <f>IF(ISNA(MATCH(598,Engine!$C$2:$C$1369,0)),"",INDEX('Compliance Database'!$H$2:$H$1369,MATCH(598,Engine!$C$2:$C$1369,0)))</f>
        <v/>
      </c>
      <c r="I611" s="9">
        <f>IF(ISNA(MATCH(598,Engine!$C$2:$C$1369,0)),"",INDEX('Compliance Database'!$I$2:$I$1369,MATCH(598,Engine!$C$2:$C$1369,0)))</f>
        <v/>
      </c>
      <c r="J611" s="8">
        <f>IF(ISNA(MATCH(598,Engine!$C$2:$C$1369,0)),"",INDEX('Compliance Database'!$J$2:$J$1369,MATCH(598,Engine!$C$2:$C$1369,0)))</f>
        <v/>
      </c>
      <c r="K611" s="9">
        <f>IF(ISNA(MATCH(598,Engine!$C$2:$C$1369,0)),"",INDEX('Compliance Database'!$K$2:$K$1369,MATCH(598,Engine!$C$2:$C$1369,0)))</f>
        <v/>
      </c>
      <c r="L611" s="9">
        <f>IF(ISNA(MATCH(598,Engine!$C$2:$C$1369,0)),"",INDEX('Compliance Database'!$L$2:$L$1369,MATCH(598,Engine!$C$2:$C$1369,0)))</f>
        <v/>
      </c>
      <c r="M611" s="9">
        <f>IF(ISNA(MATCH(598,Engine!$C$2:$C$1369,0)),"",INDEX('Compliance Database'!$M$2:$M$1369,MATCH(598,Engine!$C$2:$C$1369,0)))</f>
        <v/>
      </c>
      <c r="N611" s="9">
        <f>IF(ISNA(MATCH(598,Engine!$C$2:$C$1369,0)),"",INDEX('Compliance Database'!$N$2:$N$1369,MATCH(598,Engine!$C$2:$C$1369,0)))</f>
        <v/>
      </c>
      <c r="O611" s="8">
        <f>IF(ISNA(MATCH(598,Engine!$C$2:$C$1369,0)),"",HYPERLINK(INDEX('Compliance Database'!$O$2:$O$1369,MATCH(598,Engine!$C$2:$C$1369,0)),"Open PDF"))</f>
        <v/>
      </c>
    </row>
    <row r="612" ht="188" customHeight="1">
      <c r="A612" s="8">
        <f>IF(ISNA(MATCH(599,Engine!$C$2:$C$1369,0)),"",INDEX('Compliance Database'!$A$2:$A$1369,MATCH(599,Engine!$C$2:$C$1369,0)))</f>
        <v/>
      </c>
      <c r="B612" s="8">
        <f>IF(ISNA(MATCH(599,Engine!$C$2:$C$1369,0)),"",INDEX('Compliance Database'!$B$2:$B$1369,MATCH(599,Engine!$C$2:$C$1369,0)))</f>
        <v/>
      </c>
      <c r="C612" s="8">
        <f>IF(ISNA(MATCH(599,Engine!$C$2:$C$1369,0)),"",INDEX('Compliance Database'!$C$2:$C$1369,MATCH(599,Engine!$C$2:$C$1369,0)))</f>
        <v/>
      </c>
      <c r="D612" s="9">
        <f>IF(ISNA(MATCH(599,Engine!$C$2:$C$1369,0)),"",INDEX('Compliance Database'!$D$2:$D$1369,MATCH(599,Engine!$C$2:$C$1369,0)))</f>
        <v/>
      </c>
      <c r="E612" s="8">
        <f>IF(ISNA(MATCH(599,Engine!$C$2:$C$1369,0)),"",INDEX('Compliance Database'!$E$2:$E$1369,MATCH(599,Engine!$C$2:$C$1369,0)))</f>
        <v/>
      </c>
      <c r="F612" s="8">
        <f>IF(ISNA(MATCH(599,Engine!$C$2:$C$1369,0)),"",INDEX('Compliance Database'!$F$2:$F$1369,MATCH(599,Engine!$C$2:$C$1369,0)))</f>
        <v/>
      </c>
      <c r="G612" s="8">
        <f>IF(ISNA(MATCH(599,Engine!$C$2:$C$1369,0)),"",INDEX('Compliance Database'!$G$2:$G$1369,MATCH(599,Engine!$C$2:$C$1369,0)))</f>
        <v/>
      </c>
      <c r="H612" s="9">
        <f>IF(ISNA(MATCH(599,Engine!$C$2:$C$1369,0)),"",INDEX('Compliance Database'!$H$2:$H$1369,MATCH(599,Engine!$C$2:$C$1369,0)))</f>
        <v/>
      </c>
      <c r="I612" s="9">
        <f>IF(ISNA(MATCH(599,Engine!$C$2:$C$1369,0)),"",INDEX('Compliance Database'!$I$2:$I$1369,MATCH(599,Engine!$C$2:$C$1369,0)))</f>
        <v/>
      </c>
      <c r="J612" s="8">
        <f>IF(ISNA(MATCH(599,Engine!$C$2:$C$1369,0)),"",INDEX('Compliance Database'!$J$2:$J$1369,MATCH(599,Engine!$C$2:$C$1369,0)))</f>
        <v/>
      </c>
      <c r="K612" s="9">
        <f>IF(ISNA(MATCH(599,Engine!$C$2:$C$1369,0)),"",INDEX('Compliance Database'!$K$2:$K$1369,MATCH(599,Engine!$C$2:$C$1369,0)))</f>
        <v/>
      </c>
      <c r="L612" s="9">
        <f>IF(ISNA(MATCH(599,Engine!$C$2:$C$1369,0)),"",INDEX('Compliance Database'!$L$2:$L$1369,MATCH(599,Engine!$C$2:$C$1369,0)))</f>
        <v/>
      </c>
      <c r="M612" s="9">
        <f>IF(ISNA(MATCH(599,Engine!$C$2:$C$1369,0)),"",INDEX('Compliance Database'!$M$2:$M$1369,MATCH(599,Engine!$C$2:$C$1369,0)))</f>
        <v/>
      </c>
      <c r="N612" s="9">
        <f>IF(ISNA(MATCH(599,Engine!$C$2:$C$1369,0)),"",INDEX('Compliance Database'!$N$2:$N$1369,MATCH(599,Engine!$C$2:$C$1369,0)))</f>
        <v/>
      </c>
      <c r="O612" s="8">
        <f>IF(ISNA(MATCH(599,Engine!$C$2:$C$1369,0)),"",HYPERLINK(INDEX('Compliance Database'!$O$2:$O$1369,MATCH(599,Engine!$C$2:$C$1369,0)),"Open PDF"))</f>
        <v/>
      </c>
    </row>
    <row r="613" ht="188" customHeight="1">
      <c r="A613" s="8">
        <f>IF(ISNA(MATCH(600,Engine!$C$2:$C$1369,0)),"",INDEX('Compliance Database'!$A$2:$A$1369,MATCH(600,Engine!$C$2:$C$1369,0)))</f>
        <v/>
      </c>
      <c r="B613" s="8">
        <f>IF(ISNA(MATCH(600,Engine!$C$2:$C$1369,0)),"",INDEX('Compliance Database'!$B$2:$B$1369,MATCH(600,Engine!$C$2:$C$1369,0)))</f>
        <v/>
      </c>
      <c r="C613" s="8">
        <f>IF(ISNA(MATCH(600,Engine!$C$2:$C$1369,0)),"",INDEX('Compliance Database'!$C$2:$C$1369,MATCH(600,Engine!$C$2:$C$1369,0)))</f>
        <v/>
      </c>
      <c r="D613" s="9">
        <f>IF(ISNA(MATCH(600,Engine!$C$2:$C$1369,0)),"",INDEX('Compliance Database'!$D$2:$D$1369,MATCH(600,Engine!$C$2:$C$1369,0)))</f>
        <v/>
      </c>
      <c r="E613" s="8">
        <f>IF(ISNA(MATCH(600,Engine!$C$2:$C$1369,0)),"",INDEX('Compliance Database'!$E$2:$E$1369,MATCH(600,Engine!$C$2:$C$1369,0)))</f>
        <v/>
      </c>
      <c r="F613" s="8">
        <f>IF(ISNA(MATCH(600,Engine!$C$2:$C$1369,0)),"",INDEX('Compliance Database'!$F$2:$F$1369,MATCH(600,Engine!$C$2:$C$1369,0)))</f>
        <v/>
      </c>
      <c r="G613" s="8">
        <f>IF(ISNA(MATCH(600,Engine!$C$2:$C$1369,0)),"",INDEX('Compliance Database'!$G$2:$G$1369,MATCH(600,Engine!$C$2:$C$1369,0)))</f>
        <v/>
      </c>
      <c r="H613" s="9">
        <f>IF(ISNA(MATCH(600,Engine!$C$2:$C$1369,0)),"",INDEX('Compliance Database'!$H$2:$H$1369,MATCH(600,Engine!$C$2:$C$1369,0)))</f>
        <v/>
      </c>
      <c r="I613" s="9">
        <f>IF(ISNA(MATCH(600,Engine!$C$2:$C$1369,0)),"",INDEX('Compliance Database'!$I$2:$I$1369,MATCH(600,Engine!$C$2:$C$1369,0)))</f>
        <v/>
      </c>
      <c r="J613" s="8">
        <f>IF(ISNA(MATCH(600,Engine!$C$2:$C$1369,0)),"",INDEX('Compliance Database'!$J$2:$J$1369,MATCH(600,Engine!$C$2:$C$1369,0)))</f>
        <v/>
      </c>
      <c r="K613" s="9">
        <f>IF(ISNA(MATCH(600,Engine!$C$2:$C$1369,0)),"",INDEX('Compliance Database'!$K$2:$K$1369,MATCH(600,Engine!$C$2:$C$1369,0)))</f>
        <v/>
      </c>
      <c r="L613" s="9">
        <f>IF(ISNA(MATCH(600,Engine!$C$2:$C$1369,0)),"",INDEX('Compliance Database'!$L$2:$L$1369,MATCH(600,Engine!$C$2:$C$1369,0)))</f>
        <v/>
      </c>
      <c r="M613" s="9">
        <f>IF(ISNA(MATCH(600,Engine!$C$2:$C$1369,0)),"",INDEX('Compliance Database'!$M$2:$M$1369,MATCH(600,Engine!$C$2:$C$1369,0)))</f>
        <v/>
      </c>
      <c r="N613" s="9">
        <f>IF(ISNA(MATCH(600,Engine!$C$2:$C$1369,0)),"",INDEX('Compliance Database'!$N$2:$N$1369,MATCH(600,Engine!$C$2:$C$1369,0)))</f>
        <v/>
      </c>
      <c r="O613" s="8">
        <f>IF(ISNA(MATCH(600,Engine!$C$2:$C$1369,0)),"",HYPERLINK(INDEX('Compliance Database'!$O$2:$O$1369,MATCH(600,Engine!$C$2:$C$1369,0)),"Open PDF"))</f>
        <v/>
      </c>
    </row>
    <row r="614" ht="188" customHeight="1">
      <c r="A614" s="8">
        <f>IF(ISNA(MATCH(601,Engine!$C$2:$C$1369,0)),"",INDEX('Compliance Database'!$A$2:$A$1369,MATCH(601,Engine!$C$2:$C$1369,0)))</f>
        <v/>
      </c>
      <c r="B614" s="8">
        <f>IF(ISNA(MATCH(601,Engine!$C$2:$C$1369,0)),"",INDEX('Compliance Database'!$B$2:$B$1369,MATCH(601,Engine!$C$2:$C$1369,0)))</f>
        <v/>
      </c>
      <c r="C614" s="8">
        <f>IF(ISNA(MATCH(601,Engine!$C$2:$C$1369,0)),"",INDEX('Compliance Database'!$C$2:$C$1369,MATCH(601,Engine!$C$2:$C$1369,0)))</f>
        <v/>
      </c>
      <c r="D614" s="9">
        <f>IF(ISNA(MATCH(601,Engine!$C$2:$C$1369,0)),"",INDEX('Compliance Database'!$D$2:$D$1369,MATCH(601,Engine!$C$2:$C$1369,0)))</f>
        <v/>
      </c>
      <c r="E614" s="8">
        <f>IF(ISNA(MATCH(601,Engine!$C$2:$C$1369,0)),"",INDEX('Compliance Database'!$E$2:$E$1369,MATCH(601,Engine!$C$2:$C$1369,0)))</f>
        <v/>
      </c>
      <c r="F614" s="8">
        <f>IF(ISNA(MATCH(601,Engine!$C$2:$C$1369,0)),"",INDEX('Compliance Database'!$F$2:$F$1369,MATCH(601,Engine!$C$2:$C$1369,0)))</f>
        <v/>
      </c>
      <c r="G614" s="8">
        <f>IF(ISNA(MATCH(601,Engine!$C$2:$C$1369,0)),"",INDEX('Compliance Database'!$G$2:$G$1369,MATCH(601,Engine!$C$2:$C$1369,0)))</f>
        <v/>
      </c>
      <c r="H614" s="9">
        <f>IF(ISNA(MATCH(601,Engine!$C$2:$C$1369,0)),"",INDEX('Compliance Database'!$H$2:$H$1369,MATCH(601,Engine!$C$2:$C$1369,0)))</f>
        <v/>
      </c>
      <c r="I614" s="9">
        <f>IF(ISNA(MATCH(601,Engine!$C$2:$C$1369,0)),"",INDEX('Compliance Database'!$I$2:$I$1369,MATCH(601,Engine!$C$2:$C$1369,0)))</f>
        <v/>
      </c>
      <c r="J614" s="8">
        <f>IF(ISNA(MATCH(601,Engine!$C$2:$C$1369,0)),"",INDEX('Compliance Database'!$J$2:$J$1369,MATCH(601,Engine!$C$2:$C$1369,0)))</f>
        <v/>
      </c>
      <c r="K614" s="9">
        <f>IF(ISNA(MATCH(601,Engine!$C$2:$C$1369,0)),"",INDEX('Compliance Database'!$K$2:$K$1369,MATCH(601,Engine!$C$2:$C$1369,0)))</f>
        <v/>
      </c>
      <c r="L614" s="9">
        <f>IF(ISNA(MATCH(601,Engine!$C$2:$C$1369,0)),"",INDEX('Compliance Database'!$L$2:$L$1369,MATCH(601,Engine!$C$2:$C$1369,0)))</f>
        <v/>
      </c>
      <c r="M614" s="9">
        <f>IF(ISNA(MATCH(601,Engine!$C$2:$C$1369,0)),"",INDEX('Compliance Database'!$M$2:$M$1369,MATCH(601,Engine!$C$2:$C$1369,0)))</f>
        <v/>
      </c>
      <c r="N614" s="9">
        <f>IF(ISNA(MATCH(601,Engine!$C$2:$C$1369,0)),"",INDEX('Compliance Database'!$N$2:$N$1369,MATCH(601,Engine!$C$2:$C$1369,0)))</f>
        <v/>
      </c>
      <c r="O614" s="8">
        <f>IF(ISNA(MATCH(601,Engine!$C$2:$C$1369,0)),"",HYPERLINK(INDEX('Compliance Database'!$O$2:$O$1369,MATCH(601,Engine!$C$2:$C$1369,0)),"Open PDF"))</f>
        <v/>
      </c>
    </row>
    <row r="615" ht="188" customHeight="1">
      <c r="A615" s="8">
        <f>IF(ISNA(MATCH(602,Engine!$C$2:$C$1369,0)),"",INDEX('Compliance Database'!$A$2:$A$1369,MATCH(602,Engine!$C$2:$C$1369,0)))</f>
        <v/>
      </c>
      <c r="B615" s="8">
        <f>IF(ISNA(MATCH(602,Engine!$C$2:$C$1369,0)),"",INDEX('Compliance Database'!$B$2:$B$1369,MATCH(602,Engine!$C$2:$C$1369,0)))</f>
        <v/>
      </c>
      <c r="C615" s="8">
        <f>IF(ISNA(MATCH(602,Engine!$C$2:$C$1369,0)),"",INDEX('Compliance Database'!$C$2:$C$1369,MATCH(602,Engine!$C$2:$C$1369,0)))</f>
        <v/>
      </c>
      <c r="D615" s="9">
        <f>IF(ISNA(MATCH(602,Engine!$C$2:$C$1369,0)),"",INDEX('Compliance Database'!$D$2:$D$1369,MATCH(602,Engine!$C$2:$C$1369,0)))</f>
        <v/>
      </c>
      <c r="E615" s="8">
        <f>IF(ISNA(MATCH(602,Engine!$C$2:$C$1369,0)),"",INDEX('Compliance Database'!$E$2:$E$1369,MATCH(602,Engine!$C$2:$C$1369,0)))</f>
        <v/>
      </c>
      <c r="F615" s="8">
        <f>IF(ISNA(MATCH(602,Engine!$C$2:$C$1369,0)),"",INDEX('Compliance Database'!$F$2:$F$1369,MATCH(602,Engine!$C$2:$C$1369,0)))</f>
        <v/>
      </c>
      <c r="G615" s="8">
        <f>IF(ISNA(MATCH(602,Engine!$C$2:$C$1369,0)),"",INDEX('Compliance Database'!$G$2:$G$1369,MATCH(602,Engine!$C$2:$C$1369,0)))</f>
        <v/>
      </c>
      <c r="H615" s="9">
        <f>IF(ISNA(MATCH(602,Engine!$C$2:$C$1369,0)),"",INDEX('Compliance Database'!$H$2:$H$1369,MATCH(602,Engine!$C$2:$C$1369,0)))</f>
        <v/>
      </c>
      <c r="I615" s="9">
        <f>IF(ISNA(MATCH(602,Engine!$C$2:$C$1369,0)),"",INDEX('Compliance Database'!$I$2:$I$1369,MATCH(602,Engine!$C$2:$C$1369,0)))</f>
        <v/>
      </c>
      <c r="J615" s="8">
        <f>IF(ISNA(MATCH(602,Engine!$C$2:$C$1369,0)),"",INDEX('Compliance Database'!$J$2:$J$1369,MATCH(602,Engine!$C$2:$C$1369,0)))</f>
        <v/>
      </c>
      <c r="K615" s="9">
        <f>IF(ISNA(MATCH(602,Engine!$C$2:$C$1369,0)),"",INDEX('Compliance Database'!$K$2:$K$1369,MATCH(602,Engine!$C$2:$C$1369,0)))</f>
        <v/>
      </c>
      <c r="L615" s="9">
        <f>IF(ISNA(MATCH(602,Engine!$C$2:$C$1369,0)),"",INDEX('Compliance Database'!$L$2:$L$1369,MATCH(602,Engine!$C$2:$C$1369,0)))</f>
        <v/>
      </c>
      <c r="M615" s="9">
        <f>IF(ISNA(MATCH(602,Engine!$C$2:$C$1369,0)),"",INDEX('Compliance Database'!$M$2:$M$1369,MATCH(602,Engine!$C$2:$C$1369,0)))</f>
        <v/>
      </c>
      <c r="N615" s="9">
        <f>IF(ISNA(MATCH(602,Engine!$C$2:$C$1369,0)),"",INDEX('Compliance Database'!$N$2:$N$1369,MATCH(602,Engine!$C$2:$C$1369,0)))</f>
        <v/>
      </c>
      <c r="O615" s="8">
        <f>IF(ISNA(MATCH(602,Engine!$C$2:$C$1369,0)),"",HYPERLINK(INDEX('Compliance Database'!$O$2:$O$1369,MATCH(602,Engine!$C$2:$C$1369,0)),"Open PDF"))</f>
        <v/>
      </c>
    </row>
    <row r="616" ht="188" customHeight="1">
      <c r="A616" s="8">
        <f>IF(ISNA(MATCH(603,Engine!$C$2:$C$1369,0)),"",INDEX('Compliance Database'!$A$2:$A$1369,MATCH(603,Engine!$C$2:$C$1369,0)))</f>
        <v/>
      </c>
      <c r="B616" s="8">
        <f>IF(ISNA(MATCH(603,Engine!$C$2:$C$1369,0)),"",INDEX('Compliance Database'!$B$2:$B$1369,MATCH(603,Engine!$C$2:$C$1369,0)))</f>
        <v/>
      </c>
      <c r="C616" s="8">
        <f>IF(ISNA(MATCH(603,Engine!$C$2:$C$1369,0)),"",INDEX('Compliance Database'!$C$2:$C$1369,MATCH(603,Engine!$C$2:$C$1369,0)))</f>
        <v/>
      </c>
      <c r="D616" s="9">
        <f>IF(ISNA(MATCH(603,Engine!$C$2:$C$1369,0)),"",INDEX('Compliance Database'!$D$2:$D$1369,MATCH(603,Engine!$C$2:$C$1369,0)))</f>
        <v/>
      </c>
      <c r="E616" s="8">
        <f>IF(ISNA(MATCH(603,Engine!$C$2:$C$1369,0)),"",INDEX('Compliance Database'!$E$2:$E$1369,MATCH(603,Engine!$C$2:$C$1369,0)))</f>
        <v/>
      </c>
      <c r="F616" s="8">
        <f>IF(ISNA(MATCH(603,Engine!$C$2:$C$1369,0)),"",INDEX('Compliance Database'!$F$2:$F$1369,MATCH(603,Engine!$C$2:$C$1369,0)))</f>
        <v/>
      </c>
      <c r="G616" s="8">
        <f>IF(ISNA(MATCH(603,Engine!$C$2:$C$1369,0)),"",INDEX('Compliance Database'!$G$2:$G$1369,MATCH(603,Engine!$C$2:$C$1369,0)))</f>
        <v/>
      </c>
      <c r="H616" s="9">
        <f>IF(ISNA(MATCH(603,Engine!$C$2:$C$1369,0)),"",INDEX('Compliance Database'!$H$2:$H$1369,MATCH(603,Engine!$C$2:$C$1369,0)))</f>
        <v/>
      </c>
      <c r="I616" s="9">
        <f>IF(ISNA(MATCH(603,Engine!$C$2:$C$1369,0)),"",INDEX('Compliance Database'!$I$2:$I$1369,MATCH(603,Engine!$C$2:$C$1369,0)))</f>
        <v/>
      </c>
      <c r="J616" s="8">
        <f>IF(ISNA(MATCH(603,Engine!$C$2:$C$1369,0)),"",INDEX('Compliance Database'!$J$2:$J$1369,MATCH(603,Engine!$C$2:$C$1369,0)))</f>
        <v/>
      </c>
      <c r="K616" s="9">
        <f>IF(ISNA(MATCH(603,Engine!$C$2:$C$1369,0)),"",INDEX('Compliance Database'!$K$2:$K$1369,MATCH(603,Engine!$C$2:$C$1369,0)))</f>
        <v/>
      </c>
      <c r="L616" s="9">
        <f>IF(ISNA(MATCH(603,Engine!$C$2:$C$1369,0)),"",INDEX('Compliance Database'!$L$2:$L$1369,MATCH(603,Engine!$C$2:$C$1369,0)))</f>
        <v/>
      </c>
      <c r="M616" s="9">
        <f>IF(ISNA(MATCH(603,Engine!$C$2:$C$1369,0)),"",INDEX('Compliance Database'!$M$2:$M$1369,MATCH(603,Engine!$C$2:$C$1369,0)))</f>
        <v/>
      </c>
      <c r="N616" s="9">
        <f>IF(ISNA(MATCH(603,Engine!$C$2:$C$1369,0)),"",INDEX('Compliance Database'!$N$2:$N$1369,MATCH(603,Engine!$C$2:$C$1369,0)))</f>
        <v/>
      </c>
      <c r="O616" s="8">
        <f>IF(ISNA(MATCH(603,Engine!$C$2:$C$1369,0)),"",HYPERLINK(INDEX('Compliance Database'!$O$2:$O$1369,MATCH(603,Engine!$C$2:$C$1369,0)),"Open PDF"))</f>
        <v/>
      </c>
    </row>
    <row r="617" ht="188" customHeight="1">
      <c r="A617" s="8">
        <f>IF(ISNA(MATCH(604,Engine!$C$2:$C$1369,0)),"",INDEX('Compliance Database'!$A$2:$A$1369,MATCH(604,Engine!$C$2:$C$1369,0)))</f>
        <v/>
      </c>
      <c r="B617" s="8">
        <f>IF(ISNA(MATCH(604,Engine!$C$2:$C$1369,0)),"",INDEX('Compliance Database'!$B$2:$B$1369,MATCH(604,Engine!$C$2:$C$1369,0)))</f>
        <v/>
      </c>
      <c r="C617" s="8">
        <f>IF(ISNA(MATCH(604,Engine!$C$2:$C$1369,0)),"",INDEX('Compliance Database'!$C$2:$C$1369,MATCH(604,Engine!$C$2:$C$1369,0)))</f>
        <v/>
      </c>
      <c r="D617" s="9">
        <f>IF(ISNA(MATCH(604,Engine!$C$2:$C$1369,0)),"",INDEX('Compliance Database'!$D$2:$D$1369,MATCH(604,Engine!$C$2:$C$1369,0)))</f>
        <v/>
      </c>
      <c r="E617" s="8">
        <f>IF(ISNA(MATCH(604,Engine!$C$2:$C$1369,0)),"",INDEX('Compliance Database'!$E$2:$E$1369,MATCH(604,Engine!$C$2:$C$1369,0)))</f>
        <v/>
      </c>
      <c r="F617" s="8">
        <f>IF(ISNA(MATCH(604,Engine!$C$2:$C$1369,0)),"",INDEX('Compliance Database'!$F$2:$F$1369,MATCH(604,Engine!$C$2:$C$1369,0)))</f>
        <v/>
      </c>
      <c r="G617" s="8">
        <f>IF(ISNA(MATCH(604,Engine!$C$2:$C$1369,0)),"",INDEX('Compliance Database'!$G$2:$G$1369,MATCH(604,Engine!$C$2:$C$1369,0)))</f>
        <v/>
      </c>
      <c r="H617" s="9">
        <f>IF(ISNA(MATCH(604,Engine!$C$2:$C$1369,0)),"",INDEX('Compliance Database'!$H$2:$H$1369,MATCH(604,Engine!$C$2:$C$1369,0)))</f>
        <v/>
      </c>
      <c r="I617" s="9">
        <f>IF(ISNA(MATCH(604,Engine!$C$2:$C$1369,0)),"",INDEX('Compliance Database'!$I$2:$I$1369,MATCH(604,Engine!$C$2:$C$1369,0)))</f>
        <v/>
      </c>
      <c r="J617" s="8">
        <f>IF(ISNA(MATCH(604,Engine!$C$2:$C$1369,0)),"",INDEX('Compliance Database'!$J$2:$J$1369,MATCH(604,Engine!$C$2:$C$1369,0)))</f>
        <v/>
      </c>
      <c r="K617" s="9">
        <f>IF(ISNA(MATCH(604,Engine!$C$2:$C$1369,0)),"",INDEX('Compliance Database'!$K$2:$K$1369,MATCH(604,Engine!$C$2:$C$1369,0)))</f>
        <v/>
      </c>
      <c r="L617" s="9">
        <f>IF(ISNA(MATCH(604,Engine!$C$2:$C$1369,0)),"",INDEX('Compliance Database'!$L$2:$L$1369,MATCH(604,Engine!$C$2:$C$1369,0)))</f>
        <v/>
      </c>
      <c r="M617" s="9">
        <f>IF(ISNA(MATCH(604,Engine!$C$2:$C$1369,0)),"",INDEX('Compliance Database'!$M$2:$M$1369,MATCH(604,Engine!$C$2:$C$1369,0)))</f>
        <v/>
      </c>
      <c r="N617" s="9">
        <f>IF(ISNA(MATCH(604,Engine!$C$2:$C$1369,0)),"",INDEX('Compliance Database'!$N$2:$N$1369,MATCH(604,Engine!$C$2:$C$1369,0)))</f>
        <v/>
      </c>
      <c r="O617" s="8">
        <f>IF(ISNA(MATCH(604,Engine!$C$2:$C$1369,0)),"",HYPERLINK(INDEX('Compliance Database'!$O$2:$O$1369,MATCH(604,Engine!$C$2:$C$1369,0)),"Open PDF"))</f>
        <v/>
      </c>
    </row>
    <row r="618" ht="188" customHeight="1">
      <c r="A618" s="8">
        <f>IF(ISNA(MATCH(605,Engine!$C$2:$C$1369,0)),"",INDEX('Compliance Database'!$A$2:$A$1369,MATCH(605,Engine!$C$2:$C$1369,0)))</f>
        <v/>
      </c>
      <c r="B618" s="8">
        <f>IF(ISNA(MATCH(605,Engine!$C$2:$C$1369,0)),"",INDEX('Compliance Database'!$B$2:$B$1369,MATCH(605,Engine!$C$2:$C$1369,0)))</f>
        <v/>
      </c>
      <c r="C618" s="8">
        <f>IF(ISNA(MATCH(605,Engine!$C$2:$C$1369,0)),"",INDEX('Compliance Database'!$C$2:$C$1369,MATCH(605,Engine!$C$2:$C$1369,0)))</f>
        <v/>
      </c>
      <c r="D618" s="9">
        <f>IF(ISNA(MATCH(605,Engine!$C$2:$C$1369,0)),"",INDEX('Compliance Database'!$D$2:$D$1369,MATCH(605,Engine!$C$2:$C$1369,0)))</f>
        <v/>
      </c>
      <c r="E618" s="8">
        <f>IF(ISNA(MATCH(605,Engine!$C$2:$C$1369,0)),"",INDEX('Compliance Database'!$E$2:$E$1369,MATCH(605,Engine!$C$2:$C$1369,0)))</f>
        <v/>
      </c>
      <c r="F618" s="8">
        <f>IF(ISNA(MATCH(605,Engine!$C$2:$C$1369,0)),"",INDEX('Compliance Database'!$F$2:$F$1369,MATCH(605,Engine!$C$2:$C$1369,0)))</f>
        <v/>
      </c>
      <c r="G618" s="8">
        <f>IF(ISNA(MATCH(605,Engine!$C$2:$C$1369,0)),"",INDEX('Compliance Database'!$G$2:$G$1369,MATCH(605,Engine!$C$2:$C$1369,0)))</f>
        <v/>
      </c>
      <c r="H618" s="9">
        <f>IF(ISNA(MATCH(605,Engine!$C$2:$C$1369,0)),"",INDEX('Compliance Database'!$H$2:$H$1369,MATCH(605,Engine!$C$2:$C$1369,0)))</f>
        <v/>
      </c>
      <c r="I618" s="9">
        <f>IF(ISNA(MATCH(605,Engine!$C$2:$C$1369,0)),"",INDEX('Compliance Database'!$I$2:$I$1369,MATCH(605,Engine!$C$2:$C$1369,0)))</f>
        <v/>
      </c>
      <c r="J618" s="8">
        <f>IF(ISNA(MATCH(605,Engine!$C$2:$C$1369,0)),"",INDEX('Compliance Database'!$J$2:$J$1369,MATCH(605,Engine!$C$2:$C$1369,0)))</f>
        <v/>
      </c>
      <c r="K618" s="9">
        <f>IF(ISNA(MATCH(605,Engine!$C$2:$C$1369,0)),"",INDEX('Compliance Database'!$K$2:$K$1369,MATCH(605,Engine!$C$2:$C$1369,0)))</f>
        <v/>
      </c>
      <c r="L618" s="9">
        <f>IF(ISNA(MATCH(605,Engine!$C$2:$C$1369,0)),"",INDEX('Compliance Database'!$L$2:$L$1369,MATCH(605,Engine!$C$2:$C$1369,0)))</f>
        <v/>
      </c>
      <c r="M618" s="9">
        <f>IF(ISNA(MATCH(605,Engine!$C$2:$C$1369,0)),"",INDEX('Compliance Database'!$M$2:$M$1369,MATCH(605,Engine!$C$2:$C$1369,0)))</f>
        <v/>
      </c>
      <c r="N618" s="9">
        <f>IF(ISNA(MATCH(605,Engine!$C$2:$C$1369,0)),"",INDEX('Compliance Database'!$N$2:$N$1369,MATCH(605,Engine!$C$2:$C$1369,0)))</f>
        <v/>
      </c>
      <c r="O618" s="8">
        <f>IF(ISNA(MATCH(605,Engine!$C$2:$C$1369,0)),"",HYPERLINK(INDEX('Compliance Database'!$O$2:$O$1369,MATCH(605,Engine!$C$2:$C$1369,0)),"Open PDF"))</f>
        <v/>
      </c>
    </row>
    <row r="619" ht="188" customHeight="1">
      <c r="A619" s="8">
        <f>IF(ISNA(MATCH(606,Engine!$C$2:$C$1369,0)),"",INDEX('Compliance Database'!$A$2:$A$1369,MATCH(606,Engine!$C$2:$C$1369,0)))</f>
        <v/>
      </c>
      <c r="B619" s="8">
        <f>IF(ISNA(MATCH(606,Engine!$C$2:$C$1369,0)),"",INDEX('Compliance Database'!$B$2:$B$1369,MATCH(606,Engine!$C$2:$C$1369,0)))</f>
        <v/>
      </c>
      <c r="C619" s="8">
        <f>IF(ISNA(MATCH(606,Engine!$C$2:$C$1369,0)),"",INDEX('Compliance Database'!$C$2:$C$1369,MATCH(606,Engine!$C$2:$C$1369,0)))</f>
        <v/>
      </c>
      <c r="D619" s="9">
        <f>IF(ISNA(MATCH(606,Engine!$C$2:$C$1369,0)),"",INDEX('Compliance Database'!$D$2:$D$1369,MATCH(606,Engine!$C$2:$C$1369,0)))</f>
        <v/>
      </c>
      <c r="E619" s="8">
        <f>IF(ISNA(MATCH(606,Engine!$C$2:$C$1369,0)),"",INDEX('Compliance Database'!$E$2:$E$1369,MATCH(606,Engine!$C$2:$C$1369,0)))</f>
        <v/>
      </c>
      <c r="F619" s="8">
        <f>IF(ISNA(MATCH(606,Engine!$C$2:$C$1369,0)),"",INDEX('Compliance Database'!$F$2:$F$1369,MATCH(606,Engine!$C$2:$C$1369,0)))</f>
        <v/>
      </c>
      <c r="G619" s="8">
        <f>IF(ISNA(MATCH(606,Engine!$C$2:$C$1369,0)),"",INDEX('Compliance Database'!$G$2:$G$1369,MATCH(606,Engine!$C$2:$C$1369,0)))</f>
        <v/>
      </c>
      <c r="H619" s="9">
        <f>IF(ISNA(MATCH(606,Engine!$C$2:$C$1369,0)),"",INDEX('Compliance Database'!$H$2:$H$1369,MATCH(606,Engine!$C$2:$C$1369,0)))</f>
        <v/>
      </c>
      <c r="I619" s="9">
        <f>IF(ISNA(MATCH(606,Engine!$C$2:$C$1369,0)),"",INDEX('Compliance Database'!$I$2:$I$1369,MATCH(606,Engine!$C$2:$C$1369,0)))</f>
        <v/>
      </c>
      <c r="J619" s="8">
        <f>IF(ISNA(MATCH(606,Engine!$C$2:$C$1369,0)),"",INDEX('Compliance Database'!$J$2:$J$1369,MATCH(606,Engine!$C$2:$C$1369,0)))</f>
        <v/>
      </c>
      <c r="K619" s="9">
        <f>IF(ISNA(MATCH(606,Engine!$C$2:$C$1369,0)),"",INDEX('Compliance Database'!$K$2:$K$1369,MATCH(606,Engine!$C$2:$C$1369,0)))</f>
        <v/>
      </c>
      <c r="L619" s="9">
        <f>IF(ISNA(MATCH(606,Engine!$C$2:$C$1369,0)),"",INDEX('Compliance Database'!$L$2:$L$1369,MATCH(606,Engine!$C$2:$C$1369,0)))</f>
        <v/>
      </c>
      <c r="M619" s="9">
        <f>IF(ISNA(MATCH(606,Engine!$C$2:$C$1369,0)),"",INDEX('Compliance Database'!$M$2:$M$1369,MATCH(606,Engine!$C$2:$C$1369,0)))</f>
        <v/>
      </c>
      <c r="N619" s="9">
        <f>IF(ISNA(MATCH(606,Engine!$C$2:$C$1369,0)),"",INDEX('Compliance Database'!$N$2:$N$1369,MATCH(606,Engine!$C$2:$C$1369,0)))</f>
        <v/>
      </c>
      <c r="O619" s="8">
        <f>IF(ISNA(MATCH(606,Engine!$C$2:$C$1369,0)),"",HYPERLINK(INDEX('Compliance Database'!$O$2:$O$1369,MATCH(606,Engine!$C$2:$C$1369,0)),"Open PDF"))</f>
        <v/>
      </c>
    </row>
    <row r="620" ht="188" customHeight="1">
      <c r="A620" s="8">
        <f>IF(ISNA(MATCH(607,Engine!$C$2:$C$1369,0)),"",INDEX('Compliance Database'!$A$2:$A$1369,MATCH(607,Engine!$C$2:$C$1369,0)))</f>
        <v/>
      </c>
      <c r="B620" s="8">
        <f>IF(ISNA(MATCH(607,Engine!$C$2:$C$1369,0)),"",INDEX('Compliance Database'!$B$2:$B$1369,MATCH(607,Engine!$C$2:$C$1369,0)))</f>
        <v/>
      </c>
      <c r="C620" s="8">
        <f>IF(ISNA(MATCH(607,Engine!$C$2:$C$1369,0)),"",INDEX('Compliance Database'!$C$2:$C$1369,MATCH(607,Engine!$C$2:$C$1369,0)))</f>
        <v/>
      </c>
      <c r="D620" s="9">
        <f>IF(ISNA(MATCH(607,Engine!$C$2:$C$1369,0)),"",INDEX('Compliance Database'!$D$2:$D$1369,MATCH(607,Engine!$C$2:$C$1369,0)))</f>
        <v/>
      </c>
      <c r="E620" s="8">
        <f>IF(ISNA(MATCH(607,Engine!$C$2:$C$1369,0)),"",INDEX('Compliance Database'!$E$2:$E$1369,MATCH(607,Engine!$C$2:$C$1369,0)))</f>
        <v/>
      </c>
      <c r="F620" s="8">
        <f>IF(ISNA(MATCH(607,Engine!$C$2:$C$1369,0)),"",INDEX('Compliance Database'!$F$2:$F$1369,MATCH(607,Engine!$C$2:$C$1369,0)))</f>
        <v/>
      </c>
      <c r="G620" s="8">
        <f>IF(ISNA(MATCH(607,Engine!$C$2:$C$1369,0)),"",INDEX('Compliance Database'!$G$2:$G$1369,MATCH(607,Engine!$C$2:$C$1369,0)))</f>
        <v/>
      </c>
      <c r="H620" s="9">
        <f>IF(ISNA(MATCH(607,Engine!$C$2:$C$1369,0)),"",INDEX('Compliance Database'!$H$2:$H$1369,MATCH(607,Engine!$C$2:$C$1369,0)))</f>
        <v/>
      </c>
      <c r="I620" s="9">
        <f>IF(ISNA(MATCH(607,Engine!$C$2:$C$1369,0)),"",INDEX('Compliance Database'!$I$2:$I$1369,MATCH(607,Engine!$C$2:$C$1369,0)))</f>
        <v/>
      </c>
      <c r="J620" s="8">
        <f>IF(ISNA(MATCH(607,Engine!$C$2:$C$1369,0)),"",INDEX('Compliance Database'!$J$2:$J$1369,MATCH(607,Engine!$C$2:$C$1369,0)))</f>
        <v/>
      </c>
      <c r="K620" s="9">
        <f>IF(ISNA(MATCH(607,Engine!$C$2:$C$1369,0)),"",INDEX('Compliance Database'!$K$2:$K$1369,MATCH(607,Engine!$C$2:$C$1369,0)))</f>
        <v/>
      </c>
      <c r="L620" s="9">
        <f>IF(ISNA(MATCH(607,Engine!$C$2:$C$1369,0)),"",INDEX('Compliance Database'!$L$2:$L$1369,MATCH(607,Engine!$C$2:$C$1369,0)))</f>
        <v/>
      </c>
      <c r="M620" s="9">
        <f>IF(ISNA(MATCH(607,Engine!$C$2:$C$1369,0)),"",INDEX('Compliance Database'!$M$2:$M$1369,MATCH(607,Engine!$C$2:$C$1369,0)))</f>
        <v/>
      </c>
      <c r="N620" s="9">
        <f>IF(ISNA(MATCH(607,Engine!$C$2:$C$1369,0)),"",INDEX('Compliance Database'!$N$2:$N$1369,MATCH(607,Engine!$C$2:$C$1369,0)))</f>
        <v/>
      </c>
      <c r="O620" s="8">
        <f>IF(ISNA(MATCH(607,Engine!$C$2:$C$1369,0)),"",HYPERLINK(INDEX('Compliance Database'!$O$2:$O$1369,MATCH(607,Engine!$C$2:$C$1369,0)),"Open PDF"))</f>
        <v/>
      </c>
    </row>
    <row r="621" ht="188" customHeight="1">
      <c r="A621" s="8">
        <f>IF(ISNA(MATCH(608,Engine!$C$2:$C$1369,0)),"",INDEX('Compliance Database'!$A$2:$A$1369,MATCH(608,Engine!$C$2:$C$1369,0)))</f>
        <v/>
      </c>
      <c r="B621" s="8">
        <f>IF(ISNA(MATCH(608,Engine!$C$2:$C$1369,0)),"",INDEX('Compliance Database'!$B$2:$B$1369,MATCH(608,Engine!$C$2:$C$1369,0)))</f>
        <v/>
      </c>
      <c r="C621" s="8">
        <f>IF(ISNA(MATCH(608,Engine!$C$2:$C$1369,0)),"",INDEX('Compliance Database'!$C$2:$C$1369,MATCH(608,Engine!$C$2:$C$1369,0)))</f>
        <v/>
      </c>
      <c r="D621" s="9">
        <f>IF(ISNA(MATCH(608,Engine!$C$2:$C$1369,0)),"",INDEX('Compliance Database'!$D$2:$D$1369,MATCH(608,Engine!$C$2:$C$1369,0)))</f>
        <v/>
      </c>
      <c r="E621" s="8">
        <f>IF(ISNA(MATCH(608,Engine!$C$2:$C$1369,0)),"",INDEX('Compliance Database'!$E$2:$E$1369,MATCH(608,Engine!$C$2:$C$1369,0)))</f>
        <v/>
      </c>
      <c r="F621" s="8">
        <f>IF(ISNA(MATCH(608,Engine!$C$2:$C$1369,0)),"",INDEX('Compliance Database'!$F$2:$F$1369,MATCH(608,Engine!$C$2:$C$1369,0)))</f>
        <v/>
      </c>
      <c r="G621" s="8">
        <f>IF(ISNA(MATCH(608,Engine!$C$2:$C$1369,0)),"",INDEX('Compliance Database'!$G$2:$G$1369,MATCH(608,Engine!$C$2:$C$1369,0)))</f>
        <v/>
      </c>
      <c r="H621" s="9">
        <f>IF(ISNA(MATCH(608,Engine!$C$2:$C$1369,0)),"",INDEX('Compliance Database'!$H$2:$H$1369,MATCH(608,Engine!$C$2:$C$1369,0)))</f>
        <v/>
      </c>
      <c r="I621" s="9">
        <f>IF(ISNA(MATCH(608,Engine!$C$2:$C$1369,0)),"",INDEX('Compliance Database'!$I$2:$I$1369,MATCH(608,Engine!$C$2:$C$1369,0)))</f>
        <v/>
      </c>
      <c r="J621" s="8">
        <f>IF(ISNA(MATCH(608,Engine!$C$2:$C$1369,0)),"",INDEX('Compliance Database'!$J$2:$J$1369,MATCH(608,Engine!$C$2:$C$1369,0)))</f>
        <v/>
      </c>
      <c r="K621" s="9">
        <f>IF(ISNA(MATCH(608,Engine!$C$2:$C$1369,0)),"",INDEX('Compliance Database'!$K$2:$K$1369,MATCH(608,Engine!$C$2:$C$1369,0)))</f>
        <v/>
      </c>
      <c r="L621" s="9">
        <f>IF(ISNA(MATCH(608,Engine!$C$2:$C$1369,0)),"",INDEX('Compliance Database'!$L$2:$L$1369,MATCH(608,Engine!$C$2:$C$1369,0)))</f>
        <v/>
      </c>
      <c r="M621" s="9">
        <f>IF(ISNA(MATCH(608,Engine!$C$2:$C$1369,0)),"",INDEX('Compliance Database'!$M$2:$M$1369,MATCH(608,Engine!$C$2:$C$1369,0)))</f>
        <v/>
      </c>
      <c r="N621" s="9">
        <f>IF(ISNA(MATCH(608,Engine!$C$2:$C$1369,0)),"",INDEX('Compliance Database'!$N$2:$N$1369,MATCH(608,Engine!$C$2:$C$1369,0)))</f>
        <v/>
      </c>
      <c r="O621" s="8">
        <f>IF(ISNA(MATCH(608,Engine!$C$2:$C$1369,0)),"",HYPERLINK(INDEX('Compliance Database'!$O$2:$O$1369,MATCH(608,Engine!$C$2:$C$1369,0)),"Open PDF"))</f>
        <v/>
      </c>
    </row>
    <row r="622" ht="188" customHeight="1">
      <c r="A622" s="8">
        <f>IF(ISNA(MATCH(609,Engine!$C$2:$C$1369,0)),"",INDEX('Compliance Database'!$A$2:$A$1369,MATCH(609,Engine!$C$2:$C$1369,0)))</f>
        <v/>
      </c>
      <c r="B622" s="8">
        <f>IF(ISNA(MATCH(609,Engine!$C$2:$C$1369,0)),"",INDEX('Compliance Database'!$B$2:$B$1369,MATCH(609,Engine!$C$2:$C$1369,0)))</f>
        <v/>
      </c>
      <c r="C622" s="8">
        <f>IF(ISNA(MATCH(609,Engine!$C$2:$C$1369,0)),"",INDEX('Compliance Database'!$C$2:$C$1369,MATCH(609,Engine!$C$2:$C$1369,0)))</f>
        <v/>
      </c>
      <c r="D622" s="9">
        <f>IF(ISNA(MATCH(609,Engine!$C$2:$C$1369,0)),"",INDEX('Compliance Database'!$D$2:$D$1369,MATCH(609,Engine!$C$2:$C$1369,0)))</f>
        <v/>
      </c>
      <c r="E622" s="8">
        <f>IF(ISNA(MATCH(609,Engine!$C$2:$C$1369,0)),"",INDEX('Compliance Database'!$E$2:$E$1369,MATCH(609,Engine!$C$2:$C$1369,0)))</f>
        <v/>
      </c>
      <c r="F622" s="8">
        <f>IF(ISNA(MATCH(609,Engine!$C$2:$C$1369,0)),"",INDEX('Compliance Database'!$F$2:$F$1369,MATCH(609,Engine!$C$2:$C$1369,0)))</f>
        <v/>
      </c>
      <c r="G622" s="8">
        <f>IF(ISNA(MATCH(609,Engine!$C$2:$C$1369,0)),"",INDEX('Compliance Database'!$G$2:$G$1369,MATCH(609,Engine!$C$2:$C$1369,0)))</f>
        <v/>
      </c>
      <c r="H622" s="9">
        <f>IF(ISNA(MATCH(609,Engine!$C$2:$C$1369,0)),"",INDEX('Compliance Database'!$H$2:$H$1369,MATCH(609,Engine!$C$2:$C$1369,0)))</f>
        <v/>
      </c>
      <c r="I622" s="9">
        <f>IF(ISNA(MATCH(609,Engine!$C$2:$C$1369,0)),"",INDEX('Compliance Database'!$I$2:$I$1369,MATCH(609,Engine!$C$2:$C$1369,0)))</f>
        <v/>
      </c>
      <c r="J622" s="8">
        <f>IF(ISNA(MATCH(609,Engine!$C$2:$C$1369,0)),"",INDEX('Compliance Database'!$J$2:$J$1369,MATCH(609,Engine!$C$2:$C$1369,0)))</f>
        <v/>
      </c>
      <c r="K622" s="9">
        <f>IF(ISNA(MATCH(609,Engine!$C$2:$C$1369,0)),"",INDEX('Compliance Database'!$K$2:$K$1369,MATCH(609,Engine!$C$2:$C$1369,0)))</f>
        <v/>
      </c>
      <c r="L622" s="9">
        <f>IF(ISNA(MATCH(609,Engine!$C$2:$C$1369,0)),"",INDEX('Compliance Database'!$L$2:$L$1369,MATCH(609,Engine!$C$2:$C$1369,0)))</f>
        <v/>
      </c>
      <c r="M622" s="9">
        <f>IF(ISNA(MATCH(609,Engine!$C$2:$C$1369,0)),"",INDEX('Compliance Database'!$M$2:$M$1369,MATCH(609,Engine!$C$2:$C$1369,0)))</f>
        <v/>
      </c>
      <c r="N622" s="9">
        <f>IF(ISNA(MATCH(609,Engine!$C$2:$C$1369,0)),"",INDEX('Compliance Database'!$N$2:$N$1369,MATCH(609,Engine!$C$2:$C$1369,0)))</f>
        <v/>
      </c>
      <c r="O622" s="8">
        <f>IF(ISNA(MATCH(609,Engine!$C$2:$C$1369,0)),"",HYPERLINK(INDEX('Compliance Database'!$O$2:$O$1369,MATCH(609,Engine!$C$2:$C$1369,0)),"Open PDF"))</f>
        <v/>
      </c>
    </row>
    <row r="623" ht="188" customHeight="1">
      <c r="A623" s="8">
        <f>IF(ISNA(MATCH(610,Engine!$C$2:$C$1369,0)),"",INDEX('Compliance Database'!$A$2:$A$1369,MATCH(610,Engine!$C$2:$C$1369,0)))</f>
        <v/>
      </c>
      <c r="B623" s="8">
        <f>IF(ISNA(MATCH(610,Engine!$C$2:$C$1369,0)),"",INDEX('Compliance Database'!$B$2:$B$1369,MATCH(610,Engine!$C$2:$C$1369,0)))</f>
        <v/>
      </c>
      <c r="C623" s="8">
        <f>IF(ISNA(MATCH(610,Engine!$C$2:$C$1369,0)),"",INDEX('Compliance Database'!$C$2:$C$1369,MATCH(610,Engine!$C$2:$C$1369,0)))</f>
        <v/>
      </c>
      <c r="D623" s="9">
        <f>IF(ISNA(MATCH(610,Engine!$C$2:$C$1369,0)),"",INDEX('Compliance Database'!$D$2:$D$1369,MATCH(610,Engine!$C$2:$C$1369,0)))</f>
        <v/>
      </c>
      <c r="E623" s="8">
        <f>IF(ISNA(MATCH(610,Engine!$C$2:$C$1369,0)),"",INDEX('Compliance Database'!$E$2:$E$1369,MATCH(610,Engine!$C$2:$C$1369,0)))</f>
        <v/>
      </c>
      <c r="F623" s="8">
        <f>IF(ISNA(MATCH(610,Engine!$C$2:$C$1369,0)),"",INDEX('Compliance Database'!$F$2:$F$1369,MATCH(610,Engine!$C$2:$C$1369,0)))</f>
        <v/>
      </c>
      <c r="G623" s="8">
        <f>IF(ISNA(MATCH(610,Engine!$C$2:$C$1369,0)),"",INDEX('Compliance Database'!$G$2:$G$1369,MATCH(610,Engine!$C$2:$C$1369,0)))</f>
        <v/>
      </c>
      <c r="H623" s="9">
        <f>IF(ISNA(MATCH(610,Engine!$C$2:$C$1369,0)),"",INDEX('Compliance Database'!$H$2:$H$1369,MATCH(610,Engine!$C$2:$C$1369,0)))</f>
        <v/>
      </c>
      <c r="I623" s="9">
        <f>IF(ISNA(MATCH(610,Engine!$C$2:$C$1369,0)),"",INDEX('Compliance Database'!$I$2:$I$1369,MATCH(610,Engine!$C$2:$C$1369,0)))</f>
        <v/>
      </c>
      <c r="J623" s="8">
        <f>IF(ISNA(MATCH(610,Engine!$C$2:$C$1369,0)),"",INDEX('Compliance Database'!$J$2:$J$1369,MATCH(610,Engine!$C$2:$C$1369,0)))</f>
        <v/>
      </c>
      <c r="K623" s="9">
        <f>IF(ISNA(MATCH(610,Engine!$C$2:$C$1369,0)),"",INDEX('Compliance Database'!$K$2:$K$1369,MATCH(610,Engine!$C$2:$C$1369,0)))</f>
        <v/>
      </c>
      <c r="L623" s="9">
        <f>IF(ISNA(MATCH(610,Engine!$C$2:$C$1369,0)),"",INDEX('Compliance Database'!$L$2:$L$1369,MATCH(610,Engine!$C$2:$C$1369,0)))</f>
        <v/>
      </c>
      <c r="M623" s="9">
        <f>IF(ISNA(MATCH(610,Engine!$C$2:$C$1369,0)),"",INDEX('Compliance Database'!$M$2:$M$1369,MATCH(610,Engine!$C$2:$C$1369,0)))</f>
        <v/>
      </c>
      <c r="N623" s="9">
        <f>IF(ISNA(MATCH(610,Engine!$C$2:$C$1369,0)),"",INDEX('Compliance Database'!$N$2:$N$1369,MATCH(610,Engine!$C$2:$C$1369,0)))</f>
        <v/>
      </c>
      <c r="O623" s="8">
        <f>IF(ISNA(MATCH(610,Engine!$C$2:$C$1369,0)),"",HYPERLINK(INDEX('Compliance Database'!$O$2:$O$1369,MATCH(610,Engine!$C$2:$C$1369,0)),"Open PDF"))</f>
        <v/>
      </c>
    </row>
    <row r="624" ht="188" customHeight="1">
      <c r="A624" s="8">
        <f>IF(ISNA(MATCH(611,Engine!$C$2:$C$1369,0)),"",INDEX('Compliance Database'!$A$2:$A$1369,MATCH(611,Engine!$C$2:$C$1369,0)))</f>
        <v/>
      </c>
      <c r="B624" s="8">
        <f>IF(ISNA(MATCH(611,Engine!$C$2:$C$1369,0)),"",INDEX('Compliance Database'!$B$2:$B$1369,MATCH(611,Engine!$C$2:$C$1369,0)))</f>
        <v/>
      </c>
      <c r="C624" s="8">
        <f>IF(ISNA(MATCH(611,Engine!$C$2:$C$1369,0)),"",INDEX('Compliance Database'!$C$2:$C$1369,MATCH(611,Engine!$C$2:$C$1369,0)))</f>
        <v/>
      </c>
      <c r="D624" s="9">
        <f>IF(ISNA(MATCH(611,Engine!$C$2:$C$1369,0)),"",INDEX('Compliance Database'!$D$2:$D$1369,MATCH(611,Engine!$C$2:$C$1369,0)))</f>
        <v/>
      </c>
      <c r="E624" s="8">
        <f>IF(ISNA(MATCH(611,Engine!$C$2:$C$1369,0)),"",INDEX('Compliance Database'!$E$2:$E$1369,MATCH(611,Engine!$C$2:$C$1369,0)))</f>
        <v/>
      </c>
      <c r="F624" s="8">
        <f>IF(ISNA(MATCH(611,Engine!$C$2:$C$1369,0)),"",INDEX('Compliance Database'!$F$2:$F$1369,MATCH(611,Engine!$C$2:$C$1369,0)))</f>
        <v/>
      </c>
      <c r="G624" s="8">
        <f>IF(ISNA(MATCH(611,Engine!$C$2:$C$1369,0)),"",INDEX('Compliance Database'!$G$2:$G$1369,MATCH(611,Engine!$C$2:$C$1369,0)))</f>
        <v/>
      </c>
      <c r="H624" s="9">
        <f>IF(ISNA(MATCH(611,Engine!$C$2:$C$1369,0)),"",INDEX('Compliance Database'!$H$2:$H$1369,MATCH(611,Engine!$C$2:$C$1369,0)))</f>
        <v/>
      </c>
      <c r="I624" s="9">
        <f>IF(ISNA(MATCH(611,Engine!$C$2:$C$1369,0)),"",INDEX('Compliance Database'!$I$2:$I$1369,MATCH(611,Engine!$C$2:$C$1369,0)))</f>
        <v/>
      </c>
      <c r="J624" s="8">
        <f>IF(ISNA(MATCH(611,Engine!$C$2:$C$1369,0)),"",INDEX('Compliance Database'!$J$2:$J$1369,MATCH(611,Engine!$C$2:$C$1369,0)))</f>
        <v/>
      </c>
      <c r="K624" s="9">
        <f>IF(ISNA(MATCH(611,Engine!$C$2:$C$1369,0)),"",INDEX('Compliance Database'!$K$2:$K$1369,MATCH(611,Engine!$C$2:$C$1369,0)))</f>
        <v/>
      </c>
      <c r="L624" s="9">
        <f>IF(ISNA(MATCH(611,Engine!$C$2:$C$1369,0)),"",INDEX('Compliance Database'!$L$2:$L$1369,MATCH(611,Engine!$C$2:$C$1369,0)))</f>
        <v/>
      </c>
      <c r="M624" s="9">
        <f>IF(ISNA(MATCH(611,Engine!$C$2:$C$1369,0)),"",INDEX('Compliance Database'!$M$2:$M$1369,MATCH(611,Engine!$C$2:$C$1369,0)))</f>
        <v/>
      </c>
      <c r="N624" s="9">
        <f>IF(ISNA(MATCH(611,Engine!$C$2:$C$1369,0)),"",INDEX('Compliance Database'!$N$2:$N$1369,MATCH(611,Engine!$C$2:$C$1369,0)))</f>
        <v/>
      </c>
      <c r="O624" s="8">
        <f>IF(ISNA(MATCH(611,Engine!$C$2:$C$1369,0)),"",HYPERLINK(INDEX('Compliance Database'!$O$2:$O$1369,MATCH(611,Engine!$C$2:$C$1369,0)),"Open PDF"))</f>
        <v/>
      </c>
    </row>
    <row r="625" ht="188" customHeight="1">
      <c r="A625" s="8">
        <f>IF(ISNA(MATCH(612,Engine!$C$2:$C$1369,0)),"",INDEX('Compliance Database'!$A$2:$A$1369,MATCH(612,Engine!$C$2:$C$1369,0)))</f>
        <v/>
      </c>
      <c r="B625" s="8">
        <f>IF(ISNA(MATCH(612,Engine!$C$2:$C$1369,0)),"",INDEX('Compliance Database'!$B$2:$B$1369,MATCH(612,Engine!$C$2:$C$1369,0)))</f>
        <v/>
      </c>
      <c r="C625" s="8">
        <f>IF(ISNA(MATCH(612,Engine!$C$2:$C$1369,0)),"",INDEX('Compliance Database'!$C$2:$C$1369,MATCH(612,Engine!$C$2:$C$1369,0)))</f>
        <v/>
      </c>
      <c r="D625" s="9">
        <f>IF(ISNA(MATCH(612,Engine!$C$2:$C$1369,0)),"",INDEX('Compliance Database'!$D$2:$D$1369,MATCH(612,Engine!$C$2:$C$1369,0)))</f>
        <v/>
      </c>
      <c r="E625" s="8">
        <f>IF(ISNA(MATCH(612,Engine!$C$2:$C$1369,0)),"",INDEX('Compliance Database'!$E$2:$E$1369,MATCH(612,Engine!$C$2:$C$1369,0)))</f>
        <v/>
      </c>
      <c r="F625" s="8">
        <f>IF(ISNA(MATCH(612,Engine!$C$2:$C$1369,0)),"",INDEX('Compliance Database'!$F$2:$F$1369,MATCH(612,Engine!$C$2:$C$1369,0)))</f>
        <v/>
      </c>
      <c r="G625" s="8">
        <f>IF(ISNA(MATCH(612,Engine!$C$2:$C$1369,0)),"",INDEX('Compliance Database'!$G$2:$G$1369,MATCH(612,Engine!$C$2:$C$1369,0)))</f>
        <v/>
      </c>
      <c r="H625" s="9">
        <f>IF(ISNA(MATCH(612,Engine!$C$2:$C$1369,0)),"",INDEX('Compliance Database'!$H$2:$H$1369,MATCH(612,Engine!$C$2:$C$1369,0)))</f>
        <v/>
      </c>
      <c r="I625" s="9">
        <f>IF(ISNA(MATCH(612,Engine!$C$2:$C$1369,0)),"",INDEX('Compliance Database'!$I$2:$I$1369,MATCH(612,Engine!$C$2:$C$1369,0)))</f>
        <v/>
      </c>
      <c r="J625" s="8">
        <f>IF(ISNA(MATCH(612,Engine!$C$2:$C$1369,0)),"",INDEX('Compliance Database'!$J$2:$J$1369,MATCH(612,Engine!$C$2:$C$1369,0)))</f>
        <v/>
      </c>
      <c r="K625" s="9">
        <f>IF(ISNA(MATCH(612,Engine!$C$2:$C$1369,0)),"",INDEX('Compliance Database'!$K$2:$K$1369,MATCH(612,Engine!$C$2:$C$1369,0)))</f>
        <v/>
      </c>
      <c r="L625" s="9">
        <f>IF(ISNA(MATCH(612,Engine!$C$2:$C$1369,0)),"",INDEX('Compliance Database'!$L$2:$L$1369,MATCH(612,Engine!$C$2:$C$1369,0)))</f>
        <v/>
      </c>
      <c r="M625" s="9">
        <f>IF(ISNA(MATCH(612,Engine!$C$2:$C$1369,0)),"",INDEX('Compliance Database'!$M$2:$M$1369,MATCH(612,Engine!$C$2:$C$1369,0)))</f>
        <v/>
      </c>
      <c r="N625" s="9">
        <f>IF(ISNA(MATCH(612,Engine!$C$2:$C$1369,0)),"",INDEX('Compliance Database'!$N$2:$N$1369,MATCH(612,Engine!$C$2:$C$1369,0)))</f>
        <v/>
      </c>
      <c r="O625" s="8">
        <f>IF(ISNA(MATCH(612,Engine!$C$2:$C$1369,0)),"",HYPERLINK(INDEX('Compliance Database'!$O$2:$O$1369,MATCH(612,Engine!$C$2:$C$1369,0)),"Open PDF"))</f>
        <v/>
      </c>
    </row>
    <row r="626" ht="188" customHeight="1">
      <c r="A626" s="8">
        <f>IF(ISNA(MATCH(613,Engine!$C$2:$C$1369,0)),"",INDEX('Compliance Database'!$A$2:$A$1369,MATCH(613,Engine!$C$2:$C$1369,0)))</f>
        <v/>
      </c>
      <c r="B626" s="8">
        <f>IF(ISNA(MATCH(613,Engine!$C$2:$C$1369,0)),"",INDEX('Compliance Database'!$B$2:$B$1369,MATCH(613,Engine!$C$2:$C$1369,0)))</f>
        <v/>
      </c>
      <c r="C626" s="8">
        <f>IF(ISNA(MATCH(613,Engine!$C$2:$C$1369,0)),"",INDEX('Compliance Database'!$C$2:$C$1369,MATCH(613,Engine!$C$2:$C$1369,0)))</f>
        <v/>
      </c>
      <c r="D626" s="9">
        <f>IF(ISNA(MATCH(613,Engine!$C$2:$C$1369,0)),"",INDEX('Compliance Database'!$D$2:$D$1369,MATCH(613,Engine!$C$2:$C$1369,0)))</f>
        <v/>
      </c>
      <c r="E626" s="8">
        <f>IF(ISNA(MATCH(613,Engine!$C$2:$C$1369,0)),"",INDEX('Compliance Database'!$E$2:$E$1369,MATCH(613,Engine!$C$2:$C$1369,0)))</f>
        <v/>
      </c>
      <c r="F626" s="8">
        <f>IF(ISNA(MATCH(613,Engine!$C$2:$C$1369,0)),"",INDEX('Compliance Database'!$F$2:$F$1369,MATCH(613,Engine!$C$2:$C$1369,0)))</f>
        <v/>
      </c>
      <c r="G626" s="8">
        <f>IF(ISNA(MATCH(613,Engine!$C$2:$C$1369,0)),"",INDEX('Compliance Database'!$G$2:$G$1369,MATCH(613,Engine!$C$2:$C$1369,0)))</f>
        <v/>
      </c>
      <c r="H626" s="9">
        <f>IF(ISNA(MATCH(613,Engine!$C$2:$C$1369,0)),"",INDEX('Compliance Database'!$H$2:$H$1369,MATCH(613,Engine!$C$2:$C$1369,0)))</f>
        <v/>
      </c>
      <c r="I626" s="9">
        <f>IF(ISNA(MATCH(613,Engine!$C$2:$C$1369,0)),"",INDEX('Compliance Database'!$I$2:$I$1369,MATCH(613,Engine!$C$2:$C$1369,0)))</f>
        <v/>
      </c>
      <c r="J626" s="8">
        <f>IF(ISNA(MATCH(613,Engine!$C$2:$C$1369,0)),"",INDEX('Compliance Database'!$J$2:$J$1369,MATCH(613,Engine!$C$2:$C$1369,0)))</f>
        <v/>
      </c>
      <c r="K626" s="9">
        <f>IF(ISNA(MATCH(613,Engine!$C$2:$C$1369,0)),"",INDEX('Compliance Database'!$K$2:$K$1369,MATCH(613,Engine!$C$2:$C$1369,0)))</f>
        <v/>
      </c>
      <c r="L626" s="9">
        <f>IF(ISNA(MATCH(613,Engine!$C$2:$C$1369,0)),"",INDEX('Compliance Database'!$L$2:$L$1369,MATCH(613,Engine!$C$2:$C$1369,0)))</f>
        <v/>
      </c>
      <c r="M626" s="9">
        <f>IF(ISNA(MATCH(613,Engine!$C$2:$C$1369,0)),"",INDEX('Compliance Database'!$M$2:$M$1369,MATCH(613,Engine!$C$2:$C$1369,0)))</f>
        <v/>
      </c>
      <c r="N626" s="9">
        <f>IF(ISNA(MATCH(613,Engine!$C$2:$C$1369,0)),"",INDEX('Compliance Database'!$N$2:$N$1369,MATCH(613,Engine!$C$2:$C$1369,0)))</f>
        <v/>
      </c>
      <c r="O626" s="8">
        <f>IF(ISNA(MATCH(613,Engine!$C$2:$C$1369,0)),"",HYPERLINK(INDEX('Compliance Database'!$O$2:$O$1369,MATCH(613,Engine!$C$2:$C$1369,0)),"Open PDF"))</f>
        <v/>
      </c>
    </row>
    <row r="627" ht="188" customHeight="1">
      <c r="A627" s="8">
        <f>IF(ISNA(MATCH(614,Engine!$C$2:$C$1369,0)),"",INDEX('Compliance Database'!$A$2:$A$1369,MATCH(614,Engine!$C$2:$C$1369,0)))</f>
        <v/>
      </c>
      <c r="B627" s="8">
        <f>IF(ISNA(MATCH(614,Engine!$C$2:$C$1369,0)),"",INDEX('Compliance Database'!$B$2:$B$1369,MATCH(614,Engine!$C$2:$C$1369,0)))</f>
        <v/>
      </c>
      <c r="C627" s="8">
        <f>IF(ISNA(MATCH(614,Engine!$C$2:$C$1369,0)),"",INDEX('Compliance Database'!$C$2:$C$1369,MATCH(614,Engine!$C$2:$C$1369,0)))</f>
        <v/>
      </c>
      <c r="D627" s="9">
        <f>IF(ISNA(MATCH(614,Engine!$C$2:$C$1369,0)),"",INDEX('Compliance Database'!$D$2:$D$1369,MATCH(614,Engine!$C$2:$C$1369,0)))</f>
        <v/>
      </c>
      <c r="E627" s="8">
        <f>IF(ISNA(MATCH(614,Engine!$C$2:$C$1369,0)),"",INDEX('Compliance Database'!$E$2:$E$1369,MATCH(614,Engine!$C$2:$C$1369,0)))</f>
        <v/>
      </c>
      <c r="F627" s="8">
        <f>IF(ISNA(MATCH(614,Engine!$C$2:$C$1369,0)),"",INDEX('Compliance Database'!$F$2:$F$1369,MATCH(614,Engine!$C$2:$C$1369,0)))</f>
        <v/>
      </c>
      <c r="G627" s="8">
        <f>IF(ISNA(MATCH(614,Engine!$C$2:$C$1369,0)),"",INDEX('Compliance Database'!$G$2:$G$1369,MATCH(614,Engine!$C$2:$C$1369,0)))</f>
        <v/>
      </c>
      <c r="H627" s="9">
        <f>IF(ISNA(MATCH(614,Engine!$C$2:$C$1369,0)),"",INDEX('Compliance Database'!$H$2:$H$1369,MATCH(614,Engine!$C$2:$C$1369,0)))</f>
        <v/>
      </c>
      <c r="I627" s="9">
        <f>IF(ISNA(MATCH(614,Engine!$C$2:$C$1369,0)),"",INDEX('Compliance Database'!$I$2:$I$1369,MATCH(614,Engine!$C$2:$C$1369,0)))</f>
        <v/>
      </c>
      <c r="J627" s="8">
        <f>IF(ISNA(MATCH(614,Engine!$C$2:$C$1369,0)),"",INDEX('Compliance Database'!$J$2:$J$1369,MATCH(614,Engine!$C$2:$C$1369,0)))</f>
        <v/>
      </c>
      <c r="K627" s="9">
        <f>IF(ISNA(MATCH(614,Engine!$C$2:$C$1369,0)),"",INDEX('Compliance Database'!$K$2:$K$1369,MATCH(614,Engine!$C$2:$C$1369,0)))</f>
        <v/>
      </c>
      <c r="L627" s="9">
        <f>IF(ISNA(MATCH(614,Engine!$C$2:$C$1369,0)),"",INDEX('Compliance Database'!$L$2:$L$1369,MATCH(614,Engine!$C$2:$C$1369,0)))</f>
        <v/>
      </c>
      <c r="M627" s="9">
        <f>IF(ISNA(MATCH(614,Engine!$C$2:$C$1369,0)),"",INDEX('Compliance Database'!$M$2:$M$1369,MATCH(614,Engine!$C$2:$C$1369,0)))</f>
        <v/>
      </c>
      <c r="N627" s="9">
        <f>IF(ISNA(MATCH(614,Engine!$C$2:$C$1369,0)),"",INDEX('Compliance Database'!$N$2:$N$1369,MATCH(614,Engine!$C$2:$C$1369,0)))</f>
        <v/>
      </c>
      <c r="O627" s="8">
        <f>IF(ISNA(MATCH(614,Engine!$C$2:$C$1369,0)),"",HYPERLINK(INDEX('Compliance Database'!$O$2:$O$1369,MATCH(614,Engine!$C$2:$C$1369,0)),"Open PDF"))</f>
        <v/>
      </c>
    </row>
    <row r="628" ht="188" customHeight="1">
      <c r="A628" s="8">
        <f>IF(ISNA(MATCH(615,Engine!$C$2:$C$1369,0)),"",INDEX('Compliance Database'!$A$2:$A$1369,MATCH(615,Engine!$C$2:$C$1369,0)))</f>
        <v/>
      </c>
      <c r="B628" s="8">
        <f>IF(ISNA(MATCH(615,Engine!$C$2:$C$1369,0)),"",INDEX('Compliance Database'!$B$2:$B$1369,MATCH(615,Engine!$C$2:$C$1369,0)))</f>
        <v/>
      </c>
      <c r="C628" s="8">
        <f>IF(ISNA(MATCH(615,Engine!$C$2:$C$1369,0)),"",INDEX('Compliance Database'!$C$2:$C$1369,MATCH(615,Engine!$C$2:$C$1369,0)))</f>
        <v/>
      </c>
      <c r="D628" s="9">
        <f>IF(ISNA(MATCH(615,Engine!$C$2:$C$1369,0)),"",INDEX('Compliance Database'!$D$2:$D$1369,MATCH(615,Engine!$C$2:$C$1369,0)))</f>
        <v/>
      </c>
      <c r="E628" s="8">
        <f>IF(ISNA(MATCH(615,Engine!$C$2:$C$1369,0)),"",INDEX('Compliance Database'!$E$2:$E$1369,MATCH(615,Engine!$C$2:$C$1369,0)))</f>
        <v/>
      </c>
      <c r="F628" s="8">
        <f>IF(ISNA(MATCH(615,Engine!$C$2:$C$1369,0)),"",INDEX('Compliance Database'!$F$2:$F$1369,MATCH(615,Engine!$C$2:$C$1369,0)))</f>
        <v/>
      </c>
      <c r="G628" s="8">
        <f>IF(ISNA(MATCH(615,Engine!$C$2:$C$1369,0)),"",INDEX('Compliance Database'!$G$2:$G$1369,MATCH(615,Engine!$C$2:$C$1369,0)))</f>
        <v/>
      </c>
      <c r="H628" s="9">
        <f>IF(ISNA(MATCH(615,Engine!$C$2:$C$1369,0)),"",INDEX('Compliance Database'!$H$2:$H$1369,MATCH(615,Engine!$C$2:$C$1369,0)))</f>
        <v/>
      </c>
      <c r="I628" s="9">
        <f>IF(ISNA(MATCH(615,Engine!$C$2:$C$1369,0)),"",INDEX('Compliance Database'!$I$2:$I$1369,MATCH(615,Engine!$C$2:$C$1369,0)))</f>
        <v/>
      </c>
      <c r="J628" s="8">
        <f>IF(ISNA(MATCH(615,Engine!$C$2:$C$1369,0)),"",INDEX('Compliance Database'!$J$2:$J$1369,MATCH(615,Engine!$C$2:$C$1369,0)))</f>
        <v/>
      </c>
      <c r="K628" s="9">
        <f>IF(ISNA(MATCH(615,Engine!$C$2:$C$1369,0)),"",INDEX('Compliance Database'!$K$2:$K$1369,MATCH(615,Engine!$C$2:$C$1369,0)))</f>
        <v/>
      </c>
      <c r="L628" s="9">
        <f>IF(ISNA(MATCH(615,Engine!$C$2:$C$1369,0)),"",INDEX('Compliance Database'!$L$2:$L$1369,MATCH(615,Engine!$C$2:$C$1369,0)))</f>
        <v/>
      </c>
      <c r="M628" s="9">
        <f>IF(ISNA(MATCH(615,Engine!$C$2:$C$1369,0)),"",INDEX('Compliance Database'!$M$2:$M$1369,MATCH(615,Engine!$C$2:$C$1369,0)))</f>
        <v/>
      </c>
      <c r="N628" s="9">
        <f>IF(ISNA(MATCH(615,Engine!$C$2:$C$1369,0)),"",INDEX('Compliance Database'!$N$2:$N$1369,MATCH(615,Engine!$C$2:$C$1369,0)))</f>
        <v/>
      </c>
      <c r="O628" s="8">
        <f>IF(ISNA(MATCH(615,Engine!$C$2:$C$1369,0)),"",HYPERLINK(INDEX('Compliance Database'!$O$2:$O$1369,MATCH(615,Engine!$C$2:$C$1369,0)),"Open PDF"))</f>
        <v/>
      </c>
    </row>
    <row r="629" ht="188" customHeight="1">
      <c r="A629" s="8">
        <f>IF(ISNA(MATCH(616,Engine!$C$2:$C$1369,0)),"",INDEX('Compliance Database'!$A$2:$A$1369,MATCH(616,Engine!$C$2:$C$1369,0)))</f>
        <v/>
      </c>
      <c r="B629" s="8">
        <f>IF(ISNA(MATCH(616,Engine!$C$2:$C$1369,0)),"",INDEX('Compliance Database'!$B$2:$B$1369,MATCH(616,Engine!$C$2:$C$1369,0)))</f>
        <v/>
      </c>
      <c r="C629" s="8">
        <f>IF(ISNA(MATCH(616,Engine!$C$2:$C$1369,0)),"",INDEX('Compliance Database'!$C$2:$C$1369,MATCH(616,Engine!$C$2:$C$1369,0)))</f>
        <v/>
      </c>
      <c r="D629" s="9">
        <f>IF(ISNA(MATCH(616,Engine!$C$2:$C$1369,0)),"",INDEX('Compliance Database'!$D$2:$D$1369,MATCH(616,Engine!$C$2:$C$1369,0)))</f>
        <v/>
      </c>
      <c r="E629" s="8">
        <f>IF(ISNA(MATCH(616,Engine!$C$2:$C$1369,0)),"",INDEX('Compliance Database'!$E$2:$E$1369,MATCH(616,Engine!$C$2:$C$1369,0)))</f>
        <v/>
      </c>
      <c r="F629" s="8">
        <f>IF(ISNA(MATCH(616,Engine!$C$2:$C$1369,0)),"",INDEX('Compliance Database'!$F$2:$F$1369,MATCH(616,Engine!$C$2:$C$1369,0)))</f>
        <v/>
      </c>
      <c r="G629" s="8">
        <f>IF(ISNA(MATCH(616,Engine!$C$2:$C$1369,0)),"",INDEX('Compliance Database'!$G$2:$G$1369,MATCH(616,Engine!$C$2:$C$1369,0)))</f>
        <v/>
      </c>
      <c r="H629" s="9">
        <f>IF(ISNA(MATCH(616,Engine!$C$2:$C$1369,0)),"",INDEX('Compliance Database'!$H$2:$H$1369,MATCH(616,Engine!$C$2:$C$1369,0)))</f>
        <v/>
      </c>
      <c r="I629" s="9">
        <f>IF(ISNA(MATCH(616,Engine!$C$2:$C$1369,0)),"",INDEX('Compliance Database'!$I$2:$I$1369,MATCH(616,Engine!$C$2:$C$1369,0)))</f>
        <v/>
      </c>
      <c r="J629" s="8">
        <f>IF(ISNA(MATCH(616,Engine!$C$2:$C$1369,0)),"",INDEX('Compliance Database'!$J$2:$J$1369,MATCH(616,Engine!$C$2:$C$1369,0)))</f>
        <v/>
      </c>
      <c r="K629" s="9">
        <f>IF(ISNA(MATCH(616,Engine!$C$2:$C$1369,0)),"",INDEX('Compliance Database'!$K$2:$K$1369,MATCH(616,Engine!$C$2:$C$1369,0)))</f>
        <v/>
      </c>
      <c r="L629" s="9">
        <f>IF(ISNA(MATCH(616,Engine!$C$2:$C$1369,0)),"",INDEX('Compliance Database'!$L$2:$L$1369,MATCH(616,Engine!$C$2:$C$1369,0)))</f>
        <v/>
      </c>
      <c r="M629" s="9">
        <f>IF(ISNA(MATCH(616,Engine!$C$2:$C$1369,0)),"",INDEX('Compliance Database'!$M$2:$M$1369,MATCH(616,Engine!$C$2:$C$1369,0)))</f>
        <v/>
      </c>
      <c r="N629" s="9">
        <f>IF(ISNA(MATCH(616,Engine!$C$2:$C$1369,0)),"",INDEX('Compliance Database'!$N$2:$N$1369,MATCH(616,Engine!$C$2:$C$1369,0)))</f>
        <v/>
      </c>
      <c r="O629" s="8">
        <f>IF(ISNA(MATCH(616,Engine!$C$2:$C$1369,0)),"",HYPERLINK(INDEX('Compliance Database'!$O$2:$O$1369,MATCH(616,Engine!$C$2:$C$1369,0)),"Open PDF"))</f>
        <v/>
      </c>
    </row>
    <row r="630" ht="188" customHeight="1">
      <c r="A630" s="8">
        <f>IF(ISNA(MATCH(617,Engine!$C$2:$C$1369,0)),"",INDEX('Compliance Database'!$A$2:$A$1369,MATCH(617,Engine!$C$2:$C$1369,0)))</f>
        <v/>
      </c>
      <c r="B630" s="8">
        <f>IF(ISNA(MATCH(617,Engine!$C$2:$C$1369,0)),"",INDEX('Compliance Database'!$B$2:$B$1369,MATCH(617,Engine!$C$2:$C$1369,0)))</f>
        <v/>
      </c>
      <c r="C630" s="8">
        <f>IF(ISNA(MATCH(617,Engine!$C$2:$C$1369,0)),"",INDEX('Compliance Database'!$C$2:$C$1369,MATCH(617,Engine!$C$2:$C$1369,0)))</f>
        <v/>
      </c>
      <c r="D630" s="9">
        <f>IF(ISNA(MATCH(617,Engine!$C$2:$C$1369,0)),"",INDEX('Compliance Database'!$D$2:$D$1369,MATCH(617,Engine!$C$2:$C$1369,0)))</f>
        <v/>
      </c>
      <c r="E630" s="8">
        <f>IF(ISNA(MATCH(617,Engine!$C$2:$C$1369,0)),"",INDEX('Compliance Database'!$E$2:$E$1369,MATCH(617,Engine!$C$2:$C$1369,0)))</f>
        <v/>
      </c>
      <c r="F630" s="8">
        <f>IF(ISNA(MATCH(617,Engine!$C$2:$C$1369,0)),"",INDEX('Compliance Database'!$F$2:$F$1369,MATCH(617,Engine!$C$2:$C$1369,0)))</f>
        <v/>
      </c>
      <c r="G630" s="8">
        <f>IF(ISNA(MATCH(617,Engine!$C$2:$C$1369,0)),"",INDEX('Compliance Database'!$G$2:$G$1369,MATCH(617,Engine!$C$2:$C$1369,0)))</f>
        <v/>
      </c>
      <c r="H630" s="9">
        <f>IF(ISNA(MATCH(617,Engine!$C$2:$C$1369,0)),"",INDEX('Compliance Database'!$H$2:$H$1369,MATCH(617,Engine!$C$2:$C$1369,0)))</f>
        <v/>
      </c>
      <c r="I630" s="9">
        <f>IF(ISNA(MATCH(617,Engine!$C$2:$C$1369,0)),"",INDEX('Compliance Database'!$I$2:$I$1369,MATCH(617,Engine!$C$2:$C$1369,0)))</f>
        <v/>
      </c>
      <c r="J630" s="8">
        <f>IF(ISNA(MATCH(617,Engine!$C$2:$C$1369,0)),"",INDEX('Compliance Database'!$J$2:$J$1369,MATCH(617,Engine!$C$2:$C$1369,0)))</f>
        <v/>
      </c>
      <c r="K630" s="9">
        <f>IF(ISNA(MATCH(617,Engine!$C$2:$C$1369,0)),"",INDEX('Compliance Database'!$K$2:$K$1369,MATCH(617,Engine!$C$2:$C$1369,0)))</f>
        <v/>
      </c>
      <c r="L630" s="9">
        <f>IF(ISNA(MATCH(617,Engine!$C$2:$C$1369,0)),"",INDEX('Compliance Database'!$L$2:$L$1369,MATCH(617,Engine!$C$2:$C$1369,0)))</f>
        <v/>
      </c>
      <c r="M630" s="9">
        <f>IF(ISNA(MATCH(617,Engine!$C$2:$C$1369,0)),"",INDEX('Compliance Database'!$M$2:$M$1369,MATCH(617,Engine!$C$2:$C$1369,0)))</f>
        <v/>
      </c>
      <c r="N630" s="9">
        <f>IF(ISNA(MATCH(617,Engine!$C$2:$C$1369,0)),"",INDEX('Compliance Database'!$N$2:$N$1369,MATCH(617,Engine!$C$2:$C$1369,0)))</f>
        <v/>
      </c>
      <c r="O630" s="8">
        <f>IF(ISNA(MATCH(617,Engine!$C$2:$C$1369,0)),"",HYPERLINK(INDEX('Compliance Database'!$O$2:$O$1369,MATCH(617,Engine!$C$2:$C$1369,0)),"Open PDF"))</f>
        <v/>
      </c>
    </row>
    <row r="631" ht="188" customHeight="1">
      <c r="A631" s="8">
        <f>IF(ISNA(MATCH(618,Engine!$C$2:$C$1369,0)),"",INDEX('Compliance Database'!$A$2:$A$1369,MATCH(618,Engine!$C$2:$C$1369,0)))</f>
        <v/>
      </c>
      <c r="B631" s="8">
        <f>IF(ISNA(MATCH(618,Engine!$C$2:$C$1369,0)),"",INDEX('Compliance Database'!$B$2:$B$1369,MATCH(618,Engine!$C$2:$C$1369,0)))</f>
        <v/>
      </c>
      <c r="C631" s="8">
        <f>IF(ISNA(MATCH(618,Engine!$C$2:$C$1369,0)),"",INDEX('Compliance Database'!$C$2:$C$1369,MATCH(618,Engine!$C$2:$C$1369,0)))</f>
        <v/>
      </c>
      <c r="D631" s="9">
        <f>IF(ISNA(MATCH(618,Engine!$C$2:$C$1369,0)),"",INDEX('Compliance Database'!$D$2:$D$1369,MATCH(618,Engine!$C$2:$C$1369,0)))</f>
        <v/>
      </c>
      <c r="E631" s="8">
        <f>IF(ISNA(MATCH(618,Engine!$C$2:$C$1369,0)),"",INDEX('Compliance Database'!$E$2:$E$1369,MATCH(618,Engine!$C$2:$C$1369,0)))</f>
        <v/>
      </c>
      <c r="F631" s="8">
        <f>IF(ISNA(MATCH(618,Engine!$C$2:$C$1369,0)),"",INDEX('Compliance Database'!$F$2:$F$1369,MATCH(618,Engine!$C$2:$C$1369,0)))</f>
        <v/>
      </c>
      <c r="G631" s="8">
        <f>IF(ISNA(MATCH(618,Engine!$C$2:$C$1369,0)),"",INDEX('Compliance Database'!$G$2:$G$1369,MATCH(618,Engine!$C$2:$C$1369,0)))</f>
        <v/>
      </c>
      <c r="H631" s="9">
        <f>IF(ISNA(MATCH(618,Engine!$C$2:$C$1369,0)),"",INDEX('Compliance Database'!$H$2:$H$1369,MATCH(618,Engine!$C$2:$C$1369,0)))</f>
        <v/>
      </c>
      <c r="I631" s="9">
        <f>IF(ISNA(MATCH(618,Engine!$C$2:$C$1369,0)),"",INDEX('Compliance Database'!$I$2:$I$1369,MATCH(618,Engine!$C$2:$C$1369,0)))</f>
        <v/>
      </c>
      <c r="J631" s="8">
        <f>IF(ISNA(MATCH(618,Engine!$C$2:$C$1369,0)),"",INDEX('Compliance Database'!$J$2:$J$1369,MATCH(618,Engine!$C$2:$C$1369,0)))</f>
        <v/>
      </c>
      <c r="K631" s="9">
        <f>IF(ISNA(MATCH(618,Engine!$C$2:$C$1369,0)),"",INDEX('Compliance Database'!$K$2:$K$1369,MATCH(618,Engine!$C$2:$C$1369,0)))</f>
        <v/>
      </c>
      <c r="L631" s="9">
        <f>IF(ISNA(MATCH(618,Engine!$C$2:$C$1369,0)),"",INDEX('Compliance Database'!$L$2:$L$1369,MATCH(618,Engine!$C$2:$C$1369,0)))</f>
        <v/>
      </c>
      <c r="M631" s="9">
        <f>IF(ISNA(MATCH(618,Engine!$C$2:$C$1369,0)),"",INDEX('Compliance Database'!$M$2:$M$1369,MATCH(618,Engine!$C$2:$C$1369,0)))</f>
        <v/>
      </c>
      <c r="N631" s="9">
        <f>IF(ISNA(MATCH(618,Engine!$C$2:$C$1369,0)),"",INDEX('Compliance Database'!$N$2:$N$1369,MATCH(618,Engine!$C$2:$C$1369,0)))</f>
        <v/>
      </c>
      <c r="O631" s="8">
        <f>IF(ISNA(MATCH(618,Engine!$C$2:$C$1369,0)),"",HYPERLINK(INDEX('Compliance Database'!$O$2:$O$1369,MATCH(618,Engine!$C$2:$C$1369,0)),"Open PDF"))</f>
        <v/>
      </c>
    </row>
    <row r="632" ht="188" customHeight="1">
      <c r="A632" s="8">
        <f>IF(ISNA(MATCH(619,Engine!$C$2:$C$1369,0)),"",INDEX('Compliance Database'!$A$2:$A$1369,MATCH(619,Engine!$C$2:$C$1369,0)))</f>
        <v/>
      </c>
      <c r="B632" s="8">
        <f>IF(ISNA(MATCH(619,Engine!$C$2:$C$1369,0)),"",INDEX('Compliance Database'!$B$2:$B$1369,MATCH(619,Engine!$C$2:$C$1369,0)))</f>
        <v/>
      </c>
      <c r="C632" s="8">
        <f>IF(ISNA(MATCH(619,Engine!$C$2:$C$1369,0)),"",INDEX('Compliance Database'!$C$2:$C$1369,MATCH(619,Engine!$C$2:$C$1369,0)))</f>
        <v/>
      </c>
      <c r="D632" s="9">
        <f>IF(ISNA(MATCH(619,Engine!$C$2:$C$1369,0)),"",INDEX('Compliance Database'!$D$2:$D$1369,MATCH(619,Engine!$C$2:$C$1369,0)))</f>
        <v/>
      </c>
      <c r="E632" s="8">
        <f>IF(ISNA(MATCH(619,Engine!$C$2:$C$1369,0)),"",INDEX('Compliance Database'!$E$2:$E$1369,MATCH(619,Engine!$C$2:$C$1369,0)))</f>
        <v/>
      </c>
      <c r="F632" s="8">
        <f>IF(ISNA(MATCH(619,Engine!$C$2:$C$1369,0)),"",INDEX('Compliance Database'!$F$2:$F$1369,MATCH(619,Engine!$C$2:$C$1369,0)))</f>
        <v/>
      </c>
      <c r="G632" s="8">
        <f>IF(ISNA(MATCH(619,Engine!$C$2:$C$1369,0)),"",INDEX('Compliance Database'!$G$2:$G$1369,MATCH(619,Engine!$C$2:$C$1369,0)))</f>
        <v/>
      </c>
      <c r="H632" s="9">
        <f>IF(ISNA(MATCH(619,Engine!$C$2:$C$1369,0)),"",INDEX('Compliance Database'!$H$2:$H$1369,MATCH(619,Engine!$C$2:$C$1369,0)))</f>
        <v/>
      </c>
      <c r="I632" s="9">
        <f>IF(ISNA(MATCH(619,Engine!$C$2:$C$1369,0)),"",INDEX('Compliance Database'!$I$2:$I$1369,MATCH(619,Engine!$C$2:$C$1369,0)))</f>
        <v/>
      </c>
      <c r="J632" s="8">
        <f>IF(ISNA(MATCH(619,Engine!$C$2:$C$1369,0)),"",INDEX('Compliance Database'!$J$2:$J$1369,MATCH(619,Engine!$C$2:$C$1369,0)))</f>
        <v/>
      </c>
      <c r="K632" s="9">
        <f>IF(ISNA(MATCH(619,Engine!$C$2:$C$1369,0)),"",INDEX('Compliance Database'!$K$2:$K$1369,MATCH(619,Engine!$C$2:$C$1369,0)))</f>
        <v/>
      </c>
      <c r="L632" s="9">
        <f>IF(ISNA(MATCH(619,Engine!$C$2:$C$1369,0)),"",INDEX('Compliance Database'!$L$2:$L$1369,MATCH(619,Engine!$C$2:$C$1369,0)))</f>
        <v/>
      </c>
      <c r="M632" s="9">
        <f>IF(ISNA(MATCH(619,Engine!$C$2:$C$1369,0)),"",INDEX('Compliance Database'!$M$2:$M$1369,MATCH(619,Engine!$C$2:$C$1369,0)))</f>
        <v/>
      </c>
      <c r="N632" s="9">
        <f>IF(ISNA(MATCH(619,Engine!$C$2:$C$1369,0)),"",INDEX('Compliance Database'!$N$2:$N$1369,MATCH(619,Engine!$C$2:$C$1369,0)))</f>
        <v/>
      </c>
      <c r="O632" s="8">
        <f>IF(ISNA(MATCH(619,Engine!$C$2:$C$1369,0)),"",HYPERLINK(INDEX('Compliance Database'!$O$2:$O$1369,MATCH(619,Engine!$C$2:$C$1369,0)),"Open PDF"))</f>
        <v/>
      </c>
    </row>
    <row r="633" ht="188" customHeight="1">
      <c r="A633" s="8">
        <f>IF(ISNA(MATCH(620,Engine!$C$2:$C$1369,0)),"",INDEX('Compliance Database'!$A$2:$A$1369,MATCH(620,Engine!$C$2:$C$1369,0)))</f>
        <v/>
      </c>
      <c r="B633" s="8">
        <f>IF(ISNA(MATCH(620,Engine!$C$2:$C$1369,0)),"",INDEX('Compliance Database'!$B$2:$B$1369,MATCH(620,Engine!$C$2:$C$1369,0)))</f>
        <v/>
      </c>
      <c r="C633" s="8">
        <f>IF(ISNA(MATCH(620,Engine!$C$2:$C$1369,0)),"",INDEX('Compliance Database'!$C$2:$C$1369,MATCH(620,Engine!$C$2:$C$1369,0)))</f>
        <v/>
      </c>
      <c r="D633" s="9">
        <f>IF(ISNA(MATCH(620,Engine!$C$2:$C$1369,0)),"",INDEX('Compliance Database'!$D$2:$D$1369,MATCH(620,Engine!$C$2:$C$1369,0)))</f>
        <v/>
      </c>
      <c r="E633" s="8">
        <f>IF(ISNA(MATCH(620,Engine!$C$2:$C$1369,0)),"",INDEX('Compliance Database'!$E$2:$E$1369,MATCH(620,Engine!$C$2:$C$1369,0)))</f>
        <v/>
      </c>
      <c r="F633" s="8">
        <f>IF(ISNA(MATCH(620,Engine!$C$2:$C$1369,0)),"",INDEX('Compliance Database'!$F$2:$F$1369,MATCH(620,Engine!$C$2:$C$1369,0)))</f>
        <v/>
      </c>
      <c r="G633" s="8">
        <f>IF(ISNA(MATCH(620,Engine!$C$2:$C$1369,0)),"",INDEX('Compliance Database'!$G$2:$G$1369,MATCH(620,Engine!$C$2:$C$1369,0)))</f>
        <v/>
      </c>
      <c r="H633" s="9">
        <f>IF(ISNA(MATCH(620,Engine!$C$2:$C$1369,0)),"",INDEX('Compliance Database'!$H$2:$H$1369,MATCH(620,Engine!$C$2:$C$1369,0)))</f>
        <v/>
      </c>
      <c r="I633" s="9">
        <f>IF(ISNA(MATCH(620,Engine!$C$2:$C$1369,0)),"",INDEX('Compliance Database'!$I$2:$I$1369,MATCH(620,Engine!$C$2:$C$1369,0)))</f>
        <v/>
      </c>
      <c r="J633" s="8">
        <f>IF(ISNA(MATCH(620,Engine!$C$2:$C$1369,0)),"",INDEX('Compliance Database'!$J$2:$J$1369,MATCH(620,Engine!$C$2:$C$1369,0)))</f>
        <v/>
      </c>
      <c r="K633" s="9">
        <f>IF(ISNA(MATCH(620,Engine!$C$2:$C$1369,0)),"",INDEX('Compliance Database'!$K$2:$K$1369,MATCH(620,Engine!$C$2:$C$1369,0)))</f>
        <v/>
      </c>
      <c r="L633" s="9">
        <f>IF(ISNA(MATCH(620,Engine!$C$2:$C$1369,0)),"",INDEX('Compliance Database'!$L$2:$L$1369,MATCH(620,Engine!$C$2:$C$1369,0)))</f>
        <v/>
      </c>
      <c r="M633" s="9">
        <f>IF(ISNA(MATCH(620,Engine!$C$2:$C$1369,0)),"",INDEX('Compliance Database'!$M$2:$M$1369,MATCH(620,Engine!$C$2:$C$1369,0)))</f>
        <v/>
      </c>
      <c r="N633" s="9">
        <f>IF(ISNA(MATCH(620,Engine!$C$2:$C$1369,0)),"",INDEX('Compliance Database'!$N$2:$N$1369,MATCH(620,Engine!$C$2:$C$1369,0)))</f>
        <v/>
      </c>
      <c r="O633" s="8">
        <f>IF(ISNA(MATCH(620,Engine!$C$2:$C$1369,0)),"",HYPERLINK(INDEX('Compliance Database'!$O$2:$O$1369,MATCH(620,Engine!$C$2:$C$1369,0)),"Open PDF"))</f>
        <v/>
      </c>
    </row>
    <row r="634" ht="188" customHeight="1">
      <c r="A634" s="8">
        <f>IF(ISNA(MATCH(621,Engine!$C$2:$C$1369,0)),"",INDEX('Compliance Database'!$A$2:$A$1369,MATCH(621,Engine!$C$2:$C$1369,0)))</f>
        <v/>
      </c>
      <c r="B634" s="8">
        <f>IF(ISNA(MATCH(621,Engine!$C$2:$C$1369,0)),"",INDEX('Compliance Database'!$B$2:$B$1369,MATCH(621,Engine!$C$2:$C$1369,0)))</f>
        <v/>
      </c>
      <c r="C634" s="8">
        <f>IF(ISNA(MATCH(621,Engine!$C$2:$C$1369,0)),"",INDEX('Compliance Database'!$C$2:$C$1369,MATCH(621,Engine!$C$2:$C$1369,0)))</f>
        <v/>
      </c>
      <c r="D634" s="9">
        <f>IF(ISNA(MATCH(621,Engine!$C$2:$C$1369,0)),"",INDEX('Compliance Database'!$D$2:$D$1369,MATCH(621,Engine!$C$2:$C$1369,0)))</f>
        <v/>
      </c>
      <c r="E634" s="8">
        <f>IF(ISNA(MATCH(621,Engine!$C$2:$C$1369,0)),"",INDEX('Compliance Database'!$E$2:$E$1369,MATCH(621,Engine!$C$2:$C$1369,0)))</f>
        <v/>
      </c>
      <c r="F634" s="8">
        <f>IF(ISNA(MATCH(621,Engine!$C$2:$C$1369,0)),"",INDEX('Compliance Database'!$F$2:$F$1369,MATCH(621,Engine!$C$2:$C$1369,0)))</f>
        <v/>
      </c>
      <c r="G634" s="8">
        <f>IF(ISNA(MATCH(621,Engine!$C$2:$C$1369,0)),"",INDEX('Compliance Database'!$G$2:$G$1369,MATCH(621,Engine!$C$2:$C$1369,0)))</f>
        <v/>
      </c>
      <c r="H634" s="9">
        <f>IF(ISNA(MATCH(621,Engine!$C$2:$C$1369,0)),"",INDEX('Compliance Database'!$H$2:$H$1369,MATCH(621,Engine!$C$2:$C$1369,0)))</f>
        <v/>
      </c>
      <c r="I634" s="9">
        <f>IF(ISNA(MATCH(621,Engine!$C$2:$C$1369,0)),"",INDEX('Compliance Database'!$I$2:$I$1369,MATCH(621,Engine!$C$2:$C$1369,0)))</f>
        <v/>
      </c>
      <c r="J634" s="8">
        <f>IF(ISNA(MATCH(621,Engine!$C$2:$C$1369,0)),"",INDEX('Compliance Database'!$J$2:$J$1369,MATCH(621,Engine!$C$2:$C$1369,0)))</f>
        <v/>
      </c>
      <c r="K634" s="9">
        <f>IF(ISNA(MATCH(621,Engine!$C$2:$C$1369,0)),"",INDEX('Compliance Database'!$K$2:$K$1369,MATCH(621,Engine!$C$2:$C$1369,0)))</f>
        <v/>
      </c>
      <c r="L634" s="9">
        <f>IF(ISNA(MATCH(621,Engine!$C$2:$C$1369,0)),"",INDEX('Compliance Database'!$L$2:$L$1369,MATCH(621,Engine!$C$2:$C$1369,0)))</f>
        <v/>
      </c>
      <c r="M634" s="9">
        <f>IF(ISNA(MATCH(621,Engine!$C$2:$C$1369,0)),"",INDEX('Compliance Database'!$M$2:$M$1369,MATCH(621,Engine!$C$2:$C$1369,0)))</f>
        <v/>
      </c>
      <c r="N634" s="9">
        <f>IF(ISNA(MATCH(621,Engine!$C$2:$C$1369,0)),"",INDEX('Compliance Database'!$N$2:$N$1369,MATCH(621,Engine!$C$2:$C$1369,0)))</f>
        <v/>
      </c>
      <c r="O634" s="8">
        <f>IF(ISNA(MATCH(621,Engine!$C$2:$C$1369,0)),"",HYPERLINK(INDEX('Compliance Database'!$O$2:$O$1369,MATCH(621,Engine!$C$2:$C$1369,0)),"Open PDF"))</f>
        <v/>
      </c>
    </row>
    <row r="635" ht="188" customHeight="1">
      <c r="A635" s="8">
        <f>IF(ISNA(MATCH(622,Engine!$C$2:$C$1369,0)),"",INDEX('Compliance Database'!$A$2:$A$1369,MATCH(622,Engine!$C$2:$C$1369,0)))</f>
        <v/>
      </c>
      <c r="B635" s="8">
        <f>IF(ISNA(MATCH(622,Engine!$C$2:$C$1369,0)),"",INDEX('Compliance Database'!$B$2:$B$1369,MATCH(622,Engine!$C$2:$C$1369,0)))</f>
        <v/>
      </c>
      <c r="C635" s="8">
        <f>IF(ISNA(MATCH(622,Engine!$C$2:$C$1369,0)),"",INDEX('Compliance Database'!$C$2:$C$1369,MATCH(622,Engine!$C$2:$C$1369,0)))</f>
        <v/>
      </c>
      <c r="D635" s="9">
        <f>IF(ISNA(MATCH(622,Engine!$C$2:$C$1369,0)),"",INDEX('Compliance Database'!$D$2:$D$1369,MATCH(622,Engine!$C$2:$C$1369,0)))</f>
        <v/>
      </c>
      <c r="E635" s="8">
        <f>IF(ISNA(MATCH(622,Engine!$C$2:$C$1369,0)),"",INDEX('Compliance Database'!$E$2:$E$1369,MATCH(622,Engine!$C$2:$C$1369,0)))</f>
        <v/>
      </c>
      <c r="F635" s="8">
        <f>IF(ISNA(MATCH(622,Engine!$C$2:$C$1369,0)),"",INDEX('Compliance Database'!$F$2:$F$1369,MATCH(622,Engine!$C$2:$C$1369,0)))</f>
        <v/>
      </c>
      <c r="G635" s="8">
        <f>IF(ISNA(MATCH(622,Engine!$C$2:$C$1369,0)),"",INDEX('Compliance Database'!$G$2:$G$1369,MATCH(622,Engine!$C$2:$C$1369,0)))</f>
        <v/>
      </c>
      <c r="H635" s="9">
        <f>IF(ISNA(MATCH(622,Engine!$C$2:$C$1369,0)),"",INDEX('Compliance Database'!$H$2:$H$1369,MATCH(622,Engine!$C$2:$C$1369,0)))</f>
        <v/>
      </c>
      <c r="I635" s="9">
        <f>IF(ISNA(MATCH(622,Engine!$C$2:$C$1369,0)),"",INDEX('Compliance Database'!$I$2:$I$1369,MATCH(622,Engine!$C$2:$C$1369,0)))</f>
        <v/>
      </c>
      <c r="J635" s="8">
        <f>IF(ISNA(MATCH(622,Engine!$C$2:$C$1369,0)),"",INDEX('Compliance Database'!$J$2:$J$1369,MATCH(622,Engine!$C$2:$C$1369,0)))</f>
        <v/>
      </c>
      <c r="K635" s="9">
        <f>IF(ISNA(MATCH(622,Engine!$C$2:$C$1369,0)),"",INDEX('Compliance Database'!$K$2:$K$1369,MATCH(622,Engine!$C$2:$C$1369,0)))</f>
        <v/>
      </c>
      <c r="L635" s="9">
        <f>IF(ISNA(MATCH(622,Engine!$C$2:$C$1369,0)),"",INDEX('Compliance Database'!$L$2:$L$1369,MATCH(622,Engine!$C$2:$C$1369,0)))</f>
        <v/>
      </c>
      <c r="M635" s="9">
        <f>IF(ISNA(MATCH(622,Engine!$C$2:$C$1369,0)),"",INDEX('Compliance Database'!$M$2:$M$1369,MATCH(622,Engine!$C$2:$C$1369,0)))</f>
        <v/>
      </c>
      <c r="N635" s="9">
        <f>IF(ISNA(MATCH(622,Engine!$C$2:$C$1369,0)),"",INDEX('Compliance Database'!$N$2:$N$1369,MATCH(622,Engine!$C$2:$C$1369,0)))</f>
        <v/>
      </c>
      <c r="O635" s="8">
        <f>IF(ISNA(MATCH(622,Engine!$C$2:$C$1369,0)),"",HYPERLINK(INDEX('Compliance Database'!$O$2:$O$1369,MATCH(622,Engine!$C$2:$C$1369,0)),"Open PDF"))</f>
        <v/>
      </c>
    </row>
    <row r="636" ht="188" customHeight="1">
      <c r="A636" s="8">
        <f>IF(ISNA(MATCH(623,Engine!$C$2:$C$1369,0)),"",INDEX('Compliance Database'!$A$2:$A$1369,MATCH(623,Engine!$C$2:$C$1369,0)))</f>
        <v/>
      </c>
      <c r="B636" s="8">
        <f>IF(ISNA(MATCH(623,Engine!$C$2:$C$1369,0)),"",INDEX('Compliance Database'!$B$2:$B$1369,MATCH(623,Engine!$C$2:$C$1369,0)))</f>
        <v/>
      </c>
      <c r="C636" s="8">
        <f>IF(ISNA(MATCH(623,Engine!$C$2:$C$1369,0)),"",INDEX('Compliance Database'!$C$2:$C$1369,MATCH(623,Engine!$C$2:$C$1369,0)))</f>
        <v/>
      </c>
      <c r="D636" s="9">
        <f>IF(ISNA(MATCH(623,Engine!$C$2:$C$1369,0)),"",INDEX('Compliance Database'!$D$2:$D$1369,MATCH(623,Engine!$C$2:$C$1369,0)))</f>
        <v/>
      </c>
      <c r="E636" s="8">
        <f>IF(ISNA(MATCH(623,Engine!$C$2:$C$1369,0)),"",INDEX('Compliance Database'!$E$2:$E$1369,MATCH(623,Engine!$C$2:$C$1369,0)))</f>
        <v/>
      </c>
      <c r="F636" s="8">
        <f>IF(ISNA(MATCH(623,Engine!$C$2:$C$1369,0)),"",INDEX('Compliance Database'!$F$2:$F$1369,MATCH(623,Engine!$C$2:$C$1369,0)))</f>
        <v/>
      </c>
      <c r="G636" s="8">
        <f>IF(ISNA(MATCH(623,Engine!$C$2:$C$1369,0)),"",INDEX('Compliance Database'!$G$2:$G$1369,MATCH(623,Engine!$C$2:$C$1369,0)))</f>
        <v/>
      </c>
      <c r="H636" s="9">
        <f>IF(ISNA(MATCH(623,Engine!$C$2:$C$1369,0)),"",INDEX('Compliance Database'!$H$2:$H$1369,MATCH(623,Engine!$C$2:$C$1369,0)))</f>
        <v/>
      </c>
      <c r="I636" s="9">
        <f>IF(ISNA(MATCH(623,Engine!$C$2:$C$1369,0)),"",INDEX('Compliance Database'!$I$2:$I$1369,MATCH(623,Engine!$C$2:$C$1369,0)))</f>
        <v/>
      </c>
      <c r="J636" s="8">
        <f>IF(ISNA(MATCH(623,Engine!$C$2:$C$1369,0)),"",INDEX('Compliance Database'!$J$2:$J$1369,MATCH(623,Engine!$C$2:$C$1369,0)))</f>
        <v/>
      </c>
      <c r="K636" s="9">
        <f>IF(ISNA(MATCH(623,Engine!$C$2:$C$1369,0)),"",INDEX('Compliance Database'!$K$2:$K$1369,MATCH(623,Engine!$C$2:$C$1369,0)))</f>
        <v/>
      </c>
      <c r="L636" s="9">
        <f>IF(ISNA(MATCH(623,Engine!$C$2:$C$1369,0)),"",INDEX('Compliance Database'!$L$2:$L$1369,MATCH(623,Engine!$C$2:$C$1369,0)))</f>
        <v/>
      </c>
      <c r="M636" s="9">
        <f>IF(ISNA(MATCH(623,Engine!$C$2:$C$1369,0)),"",INDEX('Compliance Database'!$M$2:$M$1369,MATCH(623,Engine!$C$2:$C$1369,0)))</f>
        <v/>
      </c>
      <c r="N636" s="9">
        <f>IF(ISNA(MATCH(623,Engine!$C$2:$C$1369,0)),"",INDEX('Compliance Database'!$N$2:$N$1369,MATCH(623,Engine!$C$2:$C$1369,0)))</f>
        <v/>
      </c>
      <c r="O636" s="8">
        <f>IF(ISNA(MATCH(623,Engine!$C$2:$C$1369,0)),"",HYPERLINK(INDEX('Compliance Database'!$O$2:$O$1369,MATCH(623,Engine!$C$2:$C$1369,0)),"Open PDF"))</f>
        <v/>
      </c>
    </row>
    <row r="637" ht="188" customHeight="1">
      <c r="A637" s="8">
        <f>IF(ISNA(MATCH(624,Engine!$C$2:$C$1369,0)),"",INDEX('Compliance Database'!$A$2:$A$1369,MATCH(624,Engine!$C$2:$C$1369,0)))</f>
        <v/>
      </c>
      <c r="B637" s="8">
        <f>IF(ISNA(MATCH(624,Engine!$C$2:$C$1369,0)),"",INDEX('Compliance Database'!$B$2:$B$1369,MATCH(624,Engine!$C$2:$C$1369,0)))</f>
        <v/>
      </c>
      <c r="C637" s="8">
        <f>IF(ISNA(MATCH(624,Engine!$C$2:$C$1369,0)),"",INDEX('Compliance Database'!$C$2:$C$1369,MATCH(624,Engine!$C$2:$C$1369,0)))</f>
        <v/>
      </c>
      <c r="D637" s="9">
        <f>IF(ISNA(MATCH(624,Engine!$C$2:$C$1369,0)),"",INDEX('Compliance Database'!$D$2:$D$1369,MATCH(624,Engine!$C$2:$C$1369,0)))</f>
        <v/>
      </c>
      <c r="E637" s="8">
        <f>IF(ISNA(MATCH(624,Engine!$C$2:$C$1369,0)),"",INDEX('Compliance Database'!$E$2:$E$1369,MATCH(624,Engine!$C$2:$C$1369,0)))</f>
        <v/>
      </c>
      <c r="F637" s="8">
        <f>IF(ISNA(MATCH(624,Engine!$C$2:$C$1369,0)),"",INDEX('Compliance Database'!$F$2:$F$1369,MATCH(624,Engine!$C$2:$C$1369,0)))</f>
        <v/>
      </c>
      <c r="G637" s="8">
        <f>IF(ISNA(MATCH(624,Engine!$C$2:$C$1369,0)),"",INDEX('Compliance Database'!$G$2:$G$1369,MATCH(624,Engine!$C$2:$C$1369,0)))</f>
        <v/>
      </c>
      <c r="H637" s="9">
        <f>IF(ISNA(MATCH(624,Engine!$C$2:$C$1369,0)),"",INDEX('Compliance Database'!$H$2:$H$1369,MATCH(624,Engine!$C$2:$C$1369,0)))</f>
        <v/>
      </c>
      <c r="I637" s="9">
        <f>IF(ISNA(MATCH(624,Engine!$C$2:$C$1369,0)),"",INDEX('Compliance Database'!$I$2:$I$1369,MATCH(624,Engine!$C$2:$C$1369,0)))</f>
        <v/>
      </c>
      <c r="J637" s="8">
        <f>IF(ISNA(MATCH(624,Engine!$C$2:$C$1369,0)),"",INDEX('Compliance Database'!$J$2:$J$1369,MATCH(624,Engine!$C$2:$C$1369,0)))</f>
        <v/>
      </c>
      <c r="K637" s="9">
        <f>IF(ISNA(MATCH(624,Engine!$C$2:$C$1369,0)),"",INDEX('Compliance Database'!$K$2:$K$1369,MATCH(624,Engine!$C$2:$C$1369,0)))</f>
        <v/>
      </c>
      <c r="L637" s="9">
        <f>IF(ISNA(MATCH(624,Engine!$C$2:$C$1369,0)),"",INDEX('Compliance Database'!$L$2:$L$1369,MATCH(624,Engine!$C$2:$C$1369,0)))</f>
        <v/>
      </c>
      <c r="M637" s="9">
        <f>IF(ISNA(MATCH(624,Engine!$C$2:$C$1369,0)),"",INDEX('Compliance Database'!$M$2:$M$1369,MATCH(624,Engine!$C$2:$C$1369,0)))</f>
        <v/>
      </c>
      <c r="N637" s="9">
        <f>IF(ISNA(MATCH(624,Engine!$C$2:$C$1369,0)),"",INDEX('Compliance Database'!$N$2:$N$1369,MATCH(624,Engine!$C$2:$C$1369,0)))</f>
        <v/>
      </c>
      <c r="O637" s="8">
        <f>IF(ISNA(MATCH(624,Engine!$C$2:$C$1369,0)),"",HYPERLINK(INDEX('Compliance Database'!$O$2:$O$1369,MATCH(624,Engine!$C$2:$C$1369,0)),"Open PDF"))</f>
        <v/>
      </c>
    </row>
    <row r="638" ht="188" customHeight="1">
      <c r="A638" s="8">
        <f>IF(ISNA(MATCH(625,Engine!$C$2:$C$1369,0)),"",INDEX('Compliance Database'!$A$2:$A$1369,MATCH(625,Engine!$C$2:$C$1369,0)))</f>
        <v/>
      </c>
      <c r="B638" s="8">
        <f>IF(ISNA(MATCH(625,Engine!$C$2:$C$1369,0)),"",INDEX('Compliance Database'!$B$2:$B$1369,MATCH(625,Engine!$C$2:$C$1369,0)))</f>
        <v/>
      </c>
      <c r="C638" s="8">
        <f>IF(ISNA(MATCH(625,Engine!$C$2:$C$1369,0)),"",INDEX('Compliance Database'!$C$2:$C$1369,MATCH(625,Engine!$C$2:$C$1369,0)))</f>
        <v/>
      </c>
      <c r="D638" s="9">
        <f>IF(ISNA(MATCH(625,Engine!$C$2:$C$1369,0)),"",INDEX('Compliance Database'!$D$2:$D$1369,MATCH(625,Engine!$C$2:$C$1369,0)))</f>
        <v/>
      </c>
      <c r="E638" s="8">
        <f>IF(ISNA(MATCH(625,Engine!$C$2:$C$1369,0)),"",INDEX('Compliance Database'!$E$2:$E$1369,MATCH(625,Engine!$C$2:$C$1369,0)))</f>
        <v/>
      </c>
      <c r="F638" s="8">
        <f>IF(ISNA(MATCH(625,Engine!$C$2:$C$1369,0)),"",INDEX('Compliance Database'!$F$2:$F$1369,MATCH(625,Engine!$C$2:$C$1369,0)))</f>
        <v/>
      </c>
      <c r="G638" s="8">
        <f>IF(ISNA(MATCH(625,Engine!$C$2:$C$1369,0)),"",INDEX('Compliance Database'!$G$2:$G$1369,MATCH(625,Engine!$C$2:$C$1369,0)))</f>
        <v/>
      </c>
      <c r="H638" s="9">
        <f>IF(ISNA(MATCH(625,Engine!$C$2:$C$1369,0)),"",INDEX('Compliance Database'!$H$2:$H$1369,MATCH(625,Engine!$C$2:$C$1369,0)))</f>
        <v/>
      </c>
      <c r="I638" s="9">
        <f>IF(ISNA(MATCH(625,Engine!$C$2:$C$1369,0)),"",INDEX('Compliance Database'!$I$2:$I$1369,MATCH(625,Engine!$C$2:$C$1369,0)))</f>
        <v/>
      </c>
      <c r="J638" s="8">
        <f>IF(ISNA(MATCH(625,Engine!$C$2:$C$1369,0)),"",INDEX('Compliance Database'!$J$2:$J$1369,MATCH(625,Engine!$C$2:$C$1369,0)))</f>
        <v/>
      </c>
      <c r="K638" s="9">
        <f>IF(ISNA(MATCH(625,Engine!$C$2:$C$1369,0)),"",INDEX('Compliance Database'!$K$2:$K$1369,MATCH(625,Engine!$C$2:$C$1369,0)))</f>
        <v/>
      </c>
      <c r="L638" s="9">
        <f>IF(ISNA(MATCH(625,Engine!$C$2:$C$1369,0)),"",INDEX('Compliance Database'!$L$2:$L$1369,MATCH(625,Engine!$C$2:$C$1369,0)))</f>
        <v/>
      </c>
      <c r="M638" s="9">
        <f>IF(ISNA(MATCH(625,Engine!$C$2:$C$1369,0)),"",INDEX('Compliance Database'!$M$2:$M$1369,MATCH(625,Engine!$C$2:$C$1369,0)))</f>
        <v/>
      </c>
      <c r="N638" s="9">
        <f>IF(ISNA(MATCH(625,Engine!$C$2:$C$1369,0)),"",INDEX('Compliance Database'!$N$2:$N$1369,MATCH(625,Engine!$C$2:$C$1369,0)))</f>
        <v/>
      </c>
      <c r="O638" s="8">
        <f>IF(ISNA(MATCH(625,Engine!$C$2:$C$1369,0)),"",HYPERLINK(INDEX('Compliance Database'!$O$2:$O$1369,MATCH(625,Engine!$C$2:$C$1369,0)),"Open PDF"))</f>
        <v/>
      </c>
    </row>
    <row r="639" ht="188" customHeight="1">
      <c r="A639" s="8">
        <f>IF(ISNA(MATCH(626,Engine!$C$2:$C$1369,0)),"",INDEX('Compliance Database'!$A$2:$A$1369,MATCH(626,Engine!$C$2:$C$1369,0)))</f>
        <v/>
      </c>
      <c r="B639" s="8">
        <f>IF(ISNA(MATCH(626,Engine!$C$2:$C$1369,0)),"",INDEX('Compliance Database'!$B$2:$B$1369,MATCH(626,Engine!$C$2:$C$1369,0)))</f>
        <v/>
      </c>
      <c r="C639" s="8">
        <f>IF(ISNA(MATCH(626,Engine!$C$2:$C$1369,0)),"",INDEX('Compliance Database'!$C$2:$C$1369,MATCH(626,Engine!$C$2:$C$1369,0)))</f>
        <v/>
      </c>
      <c r="D639" s="9">
        <f>IF(ISNA(MATCH(626,Engine!$C$2:$C$1369,0)),"",INDEX('Compliance Database'!$D$2:$D$1369,MATCH(626,Engine!$C$2:$C$1369,0)))</f>
        <v/>
      </c>
      <c r="E639" s="8">
        <f>IF(ISNA(MATCH(626,Engine!$C$2:$C$1369,0)),"",INDEX('Compliance Database'!$E$2:$E$1369,MATCH(626,Engine!$C$2:$C$1369,0)))</f>
        <v/>
      </c>
      <c r="F639" s="8">
        <f>IF(ISNA(MATCH(626,Engine!$C$2:$C$1369,0)),"",INDEX('Compliance Database'!$F$2:$F$1369,MATCH(626,Engine!$C$2:$C$1369,0)))</f>
        <v/>
      </c>
      <c r="G639" s="8">
        <f>IF(ISNA(MATCH(626,Engine!$C$2:$C$1369,0)),"",INDEX('Compliance Database'!$G$2:$G$1369,MATCH(626,Engine!$C$2:$C$1369,0)))</f>
        <v/>
      </c>
      <c r="H639" s="9">
        <f>IF(ISNA(MATCH(626,Engine!$C$2:$C$1369,0)),"",INDEX('Compliance Database'!$H$2:$H$1369,MATCH(626,Engine!$C$2:$C$1369,0)))</f>
        <v/>
      </c>
      <c r="I639" s="9">
        <f>IF(ISNA(MATCH(626,Engine!$C$2:$C$1369,0)),"",INDEX('Compliance Database'!$I$2:$I$1369,MATCH(626,Engine!$C$2:$C$1369,0)))</f>
        <v/>
      </c>
      <c r="J639" s="8">
        <f>IF(ISNA(MATCH(626,Engine!$C$2:$C$1369,0)),"",INDEX('Compliance Database'!$J$2:$J$1369,MATCH(626,Engine!$C$2:$C$1369,0)))</f>
        <v/>
      </c>
      <c r="K639" s="9">
        <f>IF(ISNA(MATCH(626,Engine!$C$2:$C$1369,0)),"",INDEX('Compliance Database'!$K$2:$K$1369,MATCH(626,Engine!$C$2:$C$1369,0)))</f>
        <v/>
      </c>
      <c r="L639" s="9">
        <f>IF(ISNA(MATCH(626,Engine!$C$2:$C$1369,0)),"",INDEX('Compliance Database'!$L$2:$L$1369,MATCH(626,Engine!$C$2:$C$1369,0)))</f>
        <v/>
      </c>
      <c r="M639" s="9">
        <f>IF(ISNA(MATCH(626,Engine!$C$2:$C$1369,0)),"",INDEX('Compliance Database'!$M$2:$M$1369,MATCH(626,Engine!$C$2:$C$1369,0)))</f>
        <v/>
      </c>
      <c r="N639" s="9">
        <f>IF(ISNA(MATCH(626,Engine!$C$2:$C$1369,0)),"",INDEX('Compliance Database'!$N$2:$N$1369,MATCH(626,Engine!$C$2:$C$1369,0)))</f>
        <v/>
      </c>
      <c r="O639" s="8">
        <f>IF(ISNA(MATCH(626,Engine!$C$2:$C$1369,0)),"",HYPERLINK(INDEX('Compliance Database'!$O$2:$O$1369,MATCH(626,Engine!$C$2:$C$1369,0)),"Open PDF"))</f>
        <v/>
      </c>
    </row>
    <row r="640" ht="188" customHeight="1">
      <c r="A640" s="8">
        <f>IF(ISNA(MATCH(627,Engine!$C$2:$C$1369,0)),"",INDEX('Compliance Database'!$A$2:$A$1369,MATCH(627,Engine!$C$2:$C$1369,0)))</f>
        <v/>
      </c>
      <c r="B640" s="8">
        <f>IF(ISNA(MATCH(627,Engine!$C$2:$C$1369,0)),"",INDEX('Compliance Database'!$B$2:$B$1369,MATCH(627,Engine!$C$2:$C$1369,0)))</f>
        <v/>
      </c>
      <c r="C640" s="8">
        <f>IF(ISNA(MATCH(627,Engine!$C$2:$C$1369,0)),"",INDEX('Compliance Database'!$C$2:$C$1369,MATCH(627,Engine!$C$2:$C$1369,0)))</f>
        <v/>
      </c>
      <c r="D640" s="9">
        <f>IF(ISNA(MATCH(627,Engine!$C$2:$C$1369,0)),"",INDEX('Compliance Database'!$D$2:$D$1369,MATCH(627,Engine!$C$2:$C$1369,0)))</f>
        <v/>
      </c>
      <c r="E640" s="8">
        <f>IF(ISNA(MATCH(627,Engine!$C$2:$C$1369,0)),"",INDEX('Compliance Database'!$E$2:$E$1369,MATCH(627,Engine!$C$2:$C$1369,0)))</f>
        <v/>
      </c>
      <c r="F640" s="8">
        <f>IF(ISNA(MATCH(627,Engine!$C$2:$C$1369,0)),"",INDEX('Compliance Database'!$F$2:$F$1369,MATCH(627,Engine!$C$2:$C$1369,0)))</f>
        <v/>
      </c>
      <c r="G640" s="8">
        <f>IF(ISNA(MATCH(627,Engine!$C$2:$C$1369,0)),"",INDEX('Compliance Database'!$G$2:$G$1369,MATCH(627,Engine!$C$2:$C$1369,0)))</f>
        <v/>
      </c>
      <c r="H640" s="9">
        <f>IF(ISNA(MATCH(627,Engine!$C$2:$C$1369,0)),"",INDEX('Compliance Database'!$H$2:$H$1369,MATCH(627,Engine!$C$2:$C$1369,0)))</f>
        <v/>
      </c>
      <c r="I640" s="9">
        <f>IF(ISNA(MATCH(627,Engine!$C$2:$C$1369,0)),"",INDEX('Compliance Database'!$I$2:$I$1369,MATCH(627,Engine!$C$2:$C$1369,0)))</f>
        <v/>
      </c>
      <c r="J640" s="8">
        <f>IF(ISNA(MATCH(627,Engine!$C$2:$C$1369,0)),"",INDEX('Compliance Database'!$J$2:$J$1369,MATCH(627,Engine!$C$2:$C$1369,0)))</f>
        <v/>
      </c>
      <c r="K640" s="9">
        <f>IF(ISNA(MATCH(627,Engine!$C$2:$C$1369,0)),"",INDEX('Compliance Database'!$K$2:$K$1369,MATCH(627,Engine!$C$2:$C$1369,0)))</f>
        <v/>
      </c>
      <c r="L640" s="9">
        <f>IF(ISNA(MATCH(627,Engine!$C$2:$C$1369,0)),"",INDEX('Compliance Database'!$L$2:$L$1369,MATCH(627,Engine!$C$2:$C$1369,0)))</f>
        <v/>
      </c>
      <c r="M640" s="9">
        <f>IF(ISNA(MATCH(627,Engine!$C$2:$C$1369,0)),"",INDEX('Compliance Database'!$M$2:$M$1369,MATCH(627,Engine!$C$2:$C$1369,0)))</f>
        <v/>
      </c>
      <c r="N640" s="9">
        <f>IF(ISNA(MATCH(627,Engine!$C$2:$C$1369,0)),"",INDEX('Compliance Database'!$N$2:$N$1369,MATCH(627,Engine!$C$2:$C$1369,0)))</f>
        <v/>
      </c>
      <c r="O640" s="8">
        <f>IF(ISNA(MATCH(627,Engine!$C$2:$C$1369,0)),"",HYPERLINK(INDEX('Compliance Database'!$O$2:$O$1369,MATCH(627,Engine!$C$2:$C$1369,0)),"Open PDF"))</f>
        <v/>
      </c>
    </row>
    <row r="641" ht="188" customHeight="1">
      <c r="A641" s="8">
        <f>IF(ISNA(MATCH(628,Engine!$C$2:$C$1369,0)),"",INDEX('Compliance Database'!$A$2:$A$1369,MATCH(628,Engine!$C$2:$C$1369,0)))</f>
        <v/>
      </c>
      <c r="B641" s="8">
        <f>IF(ISNA(MATCH(628,Engine!$C$2:$C$1369,0)),"",INDEX('Compliance Database'!$B$2:$B$1369,MATCH(628,Engine!$C$2:$C$1369,0)))</f>
        <v/>
      </c>
      <c r="C641" s="8">
        <f>IF(ISNA(MATCH(628,Engine!$C$2:$C$1369,0)),"",INDEX('Compliance Database'!$C$2:$C$1369,MATCH(628,Engine!$C$2:$C$1369,0)))</f>
        <v/>
      </c>
      <c r="D641" s="9">
        <f>IF(ISNA(MATCH(628,Engine!$C$2:$C$1369,0)),"",INDEX('Compliance Database'!$D$2:$D$1369,MATCH(628,Engine!$C$2:$C$1369,0)))</f>
        <v/>
      </c>
      <c r="E641" s="8">
        <f>IF(ISNA(MATCH(628,Engine!$C$2:$C$1369,0)),"",INDEX('Compliance Database'!$E$2:$E$1369,MATCH(628,Engine!$C$2:$C$1369,0)))</f>
        <v/>
      </c>
      <c r="F641" s="8">
        <f>IF(ISNA(MATCH(628,Engine!$C$2:$C$1369,0)),"",INDEX('Compliance Database'!$F$2:$F$1369,MATCH(628,Engine!$C$2:$C$1369,0)))</f>
        <v/>
      </c>
      <c r="G641" s="8">
        <f>IF(ISNA(MATCH(628,Engine!$C$2:$C$1369,0)),"",INDEX('Compliance Database'!$G$2:$G$1369,MATCH(628,Engine!$C$2:$C$1369,0)))</f>
        <v/>
      </c>
      <c r="H641" s="9">
        <f>IF(ISNA(MATCH(628,Engine!$C$2:$C$1369,0)),"",INDEX('Compliance Database'!$H$2:$H$1369,MATCH(628,Engine!$C$2:$C$1369,0)))</f>
        <v/>
      </c>
      <c r="I641" s="9">
        <f>IF(ISNA(MATCH(628,Engine!$C$2:$C$1369,0)),"",INDEX('Compliance Database'!$I$2:$I$1369,MATCH(628,Engine!$C$2:$C$1369,0)))</f>
        <v/>
      </c>
      <c r="J641" s="8">
        <f>IF(ISNA(MATCH(628,Engine!$C$2:$C$1369,0)),"",INDEX('Compliance Database'!$J$2:$J$1369,MATCH(628,Engine!$C$2:$C$1369,0)))</f>
        <v/>
      </c>
      <c r="K641" s="9">
        <f>IF(ISNA(MATCH(628,Engine!$C$2:$C$1369,0)),"",INDEX('Compliance Database'!$K$2:$K$1369,MATCH(628,Engine!$C$2:$C$1369,0)))</f>
        <v/>
      </c>
      <c r="L641" s="9">
        <f>IF(ISNA(MATCH(628,Engine!$C$2:$C$1369,0)),"",INDEX('Compliance Database'!$L$2:$L$1369,MATCH(628,Engine!$C$2:$C$1369,0)))</f>
        <v/>
      </c>
      <c r="M641" s="9">
        <f>IF(ISNA(MATCH(628,Engine!$C$2:$C$1369,0)),"",INDEX('Compliance Database'!$M$2:$M$1369,MATCH(628,Engine!$C$2:$C$1369,0)))</f>
        <v/>
      </c>
      <c r="N641" s="9">
        <f>IF(ISNA(MATCH(628,Engine!$C$2:$C$1369,0)),"",INDEX('Compliance Database'!$N$2:$N$1369,MATCH(628,Engine!$C$2:$C$1369,0)))</f>
        <v/>
      </c>
      <c r="O641" s="8">
        <f>IF(ISNA(MATCH(628,Engine!$C$2:$C$1369,0)),"",HYPERLINK(INDEX('Compliance Database'!$O$2:$O$1369,MATCH(628,Engine!$C$2:$C$1369,0)),"Open PDF"))</f>
        <v/>
      </c>
    </row>
    <row r="642" ht="188" customHeight="1">
      <c r="A642" s="8">
        <f>IF(ISNA(MATCH(629,Engine!$C$2:$C$1369,0)),"",INDEX('Compliance Database'!$A$2:$A$1369,MATCH(629,Engine!$C$2:$C$1369,0)))</f>
        <v/>
      </c>
      <c r="B642" s="8">
        <f>IF(ISNA(MATCH(629,Engine!$C$2:$C$1369,0)),"",INDEX('Compliance Database'!$B$2:$B$1369,MATCH(629,Engine!$C$2:$C$1369,0)))</f>
        <v/>
      </c>
      <c r="C642" s="8">
        <f>IF(ISNA(MATCH(629,Engine!$C$2:$C$1369,0)),"",INDEX('Compliance Database'!$C$2:$C$1369,MATCH(629,Engine!$C$2:$C$1369,0)))</f>
        <v/>
      </c>
      <c r="D642" s="9">
        <f>IF(ISNA(MATCH(629,Engine!$C$2:$C$1369,0)),"",INDEX('Compliance Database'!$D$2:$D$1369,MATCH(629,Engine!$C$2:$C$1369,0)))</f>
        <v/>
      </c>
      <c r="E642" s="8">
        <f>IF(ISNA(MATCH(629,Engine!$C$2:$C$1369,0)),"",INDEX('Compliance Database'!$E$2:$E$1369,MATCH(629,Engine!$C$2:$C$1369,0)))</f>
        <v/>
      </c>
      <c r="F642" s="8">
        <f>IF(ISNA(MATCH(629,Engine!$C$2:$C$1369,0)),"",INDEX('Compliance Database'!$F$2:$F$1369,MATCH(629,Engine!$C$2:$C$1369,0)))</f>
        <v/>
      </c>
      <c r="G642" s="8">
        <f>IF(ISNA(MATCH(629,Engine!$C$2:$C$1369,0)),"",INDEX('Compliance Database'!$G$2:$G$1369,MATCH(629,Engine!$C$2:$C$1369,0)))</f>
        <v/>
      </c>
      <c r="H642" s="9">
        <f>IF(ISNA(MATCH(629,Engine!$C$2:$C$1369,0)),"",INDEX('Compliance Database'!$H$2:$H$1369,MATCH(629,Engine!$C$2:$C$1369,0)))</f>
        <v/>
      </c>
      <c r="I642" s="9">
        <f>IF(ISNA(MATCH(629,Engine!$C$2:$C$1369,0)),"",INDEX('Compliance Database'!$I$2:$I$1369,MATCH(629,Engine!$C$2:$C$1369,0)))</f>
        <v/>
      </c>
      <c r="J642" s="8">
        <f>IF(ISNA(MATCH(629,Engine!$C$2:$C$1369,0)),"",INDEX('Compliance Database'!$J$2:$J$1369,MATCH(629,Engine!$C$2:$C$1369,0)))</f>
        <v/>
      </c>
      <c r="K642" s="9">
        <f>IF(ISNA(MATCH(629,Engine!$C$2:$C$1369,0)),"",INDEX('Compliance Database'!$K$2:$K$1369,MATCH(629,Engine!$C$2:$C$1369,0)))</f>
        <v/>
      </c>
      <c r="L642" s="9">
        <f>IF(ISNA(MATCH(629,Engine!$C$2:$C$1369,0)),"",INDEX('Compliance Database'!$L$2:$L$1369,MATCH(629,Engine!$C$2:$C$1369,0)))</f>
        <v/>
      </c>
      <c r="M642" s="9">
        <f>IF(ISNA(MATCH(629,Engine!$C$2:$C$1369,0)),"",INDEX('Compliance Database'!$M$2:$M$1369,MATCH(629,Engine!$C$2:$C$1369,0)))</f>
        <v/>
      </c>
      <c r="N642" s="9">
        <f>IF(ISNA(MATCH(629,Engine!$C$2:$C$1369,0)),"",INDEX('Compliance Database'!$N$2:$N$1369,MATCH(629,Engine!$C$2:$C$1369,0)))</f>
        <v/>
      </c>
      <c r="O642" s="8">
        <f>IF(ISNA(MATCH(629,Engine!$C$2:$C$1369,0)),"",HYPERLINK(INDEX('Compliance Database'!$O$2:$O$1369,MATCH(629,Engine!$C$2:$C$1369,0)),"Open PDF"))</f>
        <v/>
      </c>
    </row>
    <row r="643" ht="188" customHeight="1">
      <c r="A643" s="8">
        <f>IF(ISNA(MATCH(630,Engine!$C$2:$C$1369,0)),"",INDEX('Compliance Database'!$A$2:$A$1369,MATCH(630,Engine!$C$2:$C$1369,0)))</f>
        <v/>
      </c>
      <c r="B643" s="8">
        <f>IF(ISNA(MATCH(630,Engine!$C$2:$C$1369,0)),"",INDEX('Compliance Database'!$B$2:$B$1369,MATCH(630,Engine!$C$2:$C$1369,0)))</f>
        <v/>
      </c>
      <c r="C643" s="8">
        <f>IF(ISNA(MATCH(630,Engine!$C$2:$C$1369,0)),"",INDEX('Compliance Database'!$C$2:$C$1369,MATCH(630,Engine!$C$2:$C$1369,0)))</f>
        <v/>
      </c>
      <c r="D643" s="9">
        <f>IF(ISNA(MATCH(630,Engine!$C$2:$C$1369,0)),"",INDEX('Compliance Database'!$D$2:$D$1369,MATCH(630,Engine!$C$2:$C$1369,0)))</f>
        <v/>
      </c>
      <c r="E643" s="8">
        <f>IF(ISNA(MATCH(630,Engine!$C$2:$C$1369,0)),"",INDEX('Compliance Database'!$E$2:$E$1369,MATCH(630,Engine!$C$2:$C$1369,0)))</f>
        <v/>
      </c>
      <c r="F643" s="8">
        <f>IF(ISNA(MATCH(630,Engine!$C$2:$C$1369,0)),"",INDEX('Compliance Database'!$F$2:$F$1369,MATCH(630,Engine!$C$2:$C$1369,0)))</f>
        <v/>
      </c>
      <c r="G643" s="8">
        <f>IF(ISNA(MATCH(630,Engine!$C$2:$C$1369,0)),"",INDEX('Compliance Database'!$G$2:$G$1369,MATCH(630,Engine!$C$2:$C$1369,0)))</f>
        <v/>
      </c>
      <c r="H643" s="9">
        <f>IF(ISNA(MATCH(630,Engine!$C$2:$C$1369,0)),"",INDEX('Compliance Database'!$H$2:$H$1369,MATCH(630,Engine!$C$2:$C$1369,0)))</f>
        <v/>
      </c>
      <c r="I643" s="9">
        <f>IF(ISNA(MATCH(630,Engine!$C$2:$C$1369,0)),"",INDEX('Compliance Database'!$I$2:$I$1369,MATCH(630,Engine!$C$2:$C$1369,0)))</f>
        <v/>
      </c>
      <c r="J643" s="8">
        <f>IF(ISNA(MATCH(630,Engine!$C$2:$C$1369,0)),"",INDEX('Compliance Database'!$J$2:$J$1369,MATCH(630,Engine!$C$2:$C$1369,0)))</f>
        <v/>
      </c>
      <c r="K643" s="9">
        <f>IF(ISNA(MATCH(630,Engine!$C$2:$C$1369,0)),"",INDEX('Compliance Database'!$K$2:$K$1369,MATCH(630,Engine!$C$2:$C$1369,0)))</f>
        <v/>
      </c>
      <c r="L643" s="9">
        <f>IF(ISNA(MATCH(630,Engine!$C$2:$C$1369,0)),"",INDEX('Compliance Database'!$L$2:$L$1369,MATCH(630,Engine!$C$2:$C$1369,0)))</f>
        <v/>
      </c>
      <c r="M643" s="9">
        <f>IF(ISNA(MATCH(630,Engine!$C$2:$C$1369,0)),"",INDEX('Compliance Database'!$M$2:$M$1369,MATCH(630,Engine!$C$2:$C$1369,0)))</f>
        <v/>
      </c>
      <c r="N643" s="9">
        <f>IF(ISNA(MATCH(630,Engine!$C$2:$C$1369,0)),"",INDEX('Compliance Database'!$N$2:$N$1369,MATCH(630,Engine!$C$2:$C$1369,0)))</f>
        <v/>
      </c>
      <c r="O643" s="8">
        <f>IF(ISNA(MATCH(630,Engine!$C$2:$C$1369,0)),"",HYPERLINK(INDEX('Compliance Database'!$O$2:$O$1369,MATCH(630,Engine!$C$2:$C$1369,0)),"Open PDF"))</f>
        <v/>
      </c>
    </row>
    <row r="644" ht="188" customHeight="1">
      <c r="A644" s="8">
        <f>IF(ISNA(MATCH(631,Engine!$C$2:$C$1369,0)),"",INDEX('Compliance Database'!$A$2:$A$1369,MATCH(631,Engine!$C$2:$C$1369,0)))</f>
        <v/>
      </c>
      <c r="B644" s="8">
        <f>IF(ISNA(MATCH(631,Engine!$C$2:$C$1369,0)),"",INDEX('Compliance Database'!$B$2:$B$1369,MATCH(631,Engine!$C$2:$C$1369,0)))</f>
        <v/>
      </c>
      <c r="C644" s="8">
        <f>IF(ISNA(MATCH(631,Engine!$C$2:$C$1369,0)),"",INDEX('Compliance Database'!$C$2:$C$1369,MATCH(631,Engine!$C$2:$C$1369,0)))</f>
        <v/>
      </c>
      <c r="D644" s="9">
        <f>IF(ISNA(MATCH(631,Engine!$C$2:$C$1369,0)),"",INDEX('Compliance Database'!$D$2:$D$1369,MATCH(631,Engine!$C$2:$C$1369,0)))</f>
        <v/>
      </c>
      <c r="E644" s="8">
        <f>IF(ISNA(MATCH(631,Engine!$C$2:$C$1369,0)),"",INDEX('Compliance Database'!$E$2:$E$1369,MATCH(631,Engine!$C$2:$C$1369,0)))</f>
        <v/>
      </c>
      <c r="F644" s="8">
        <f>IF(ISNA(MATCH(631,Engine!$C$2:$C$1369,0)),"",INDEX('Compliance Database'!$F$2:$F$1369,MATCH(631,Engine!$C$2:$C$1369,0)))</f>
        <v/>
      </c>
      <c r="G644" s="8">
        <f>IF(ISNA(MATCH(631,Engine!$C$2:$C$1369,0)),"",INDEX('Compliance Database'!$G$2:$G$1369,MATCH(631,Engine!$C$2:$C$1369,0)))</f>
        <v/>
      </c>
      <c r="H644" s="9">
        <f>IF(ISNA(MATCH(631,Engine!$C$2:$C$1369,0)),"",INDEX('Compliance Database'!$H$2:$H$1369,MATCH(631,Engine!$C$2:$C$1369,0)))</f>
        <v/>
      </c>
      <c r="I644" s="9">
        <f>IF(ISNA(MATCH(631,Engine!$C$2:$C$1369,0)),"",INDEX('Compliance Database'!$I$2:$I$1369,MATCH(631,Engine!$C$2:$C$1369,0)))</f>
        <v/>
      </c>
      <c r="J644" s="8">
        <f>IF(ISNA(MATCH(631,Engine!$C$2:$C$1369,0)),"",INDEX('Compliance Database'!$J$2:$J$1369,MATCH(631,Engine!$C$2:$C$1369,0)))</f>
        <v/>
      </c>
      <c r="K644" s="9">
        <f>IF(ISNA(MATCH(631,Engine!$C$2:$C$1369,0)),"",INDEX('Compliance Database'!$K$2:$K$1369,MATCH(631,Engine!$C$2:$C$1369,0)))</f>
        <v/>
      </c>
      <c r="L644" s="9">
        <f>IF(ISNA(MATCH(631,Engine!$C$2:$C$1369,0)),"",INDEX('Compliance Database'!$L$2:$L$1369,MATCH(631,Engine!$C$2:$C$1369,0)))</f>
        <v/>
      </c>
      <c r="M644" s="9">
        <f>IF(ISNA(MATCH(631,Engine!$C$2:$C$1369,0)),"",INDEX('Compliance Database'!$M$2:$M$1369,MATCH(631,Engine!$C$2:$C$1369,0)))</f>
        <v/>
      </c>
      <c r="N644" s="9">
        <f>IF(ISNA(MATCH(631,Engine!$C$2:$C$1369,0)),"",INDEX('Compliance Database'!$N$2:$N$1369,MATCH(631,Engine!$C$2:$C$1369,0)))</f>
        <v/>
      </c>
      <c r="O644" s="8">
        <f>IF(ISNA(MATCH(631,Engine!$C$2:$C$1369,0)),"",HYPERLINK(INDEX('Compliance Database'!$O$2:$O$1369,MATCH(631,Engine!$C$2:$C$1369,0)),"Open PDF"))</f>
        <v/>
      </c>
    </row>
    <row r="645" ht="188" customHeight="1">
      <c r="A645" s="8">
        <f>IF(ISNA(MATCH(632,Engine!$C$2:$C$1369,0)),"",INDEX('Compliance Database'!$A$2:$A$1369,MATCH(632,Engine!$C$2:$C$1369,0)))</f>
        <v/>
      </c>
      <c r="B645" s="8">
        <f>IF(ISNA(MATCH(632,Engine!$C$2:$C$1369,0)),"",INDEX('Compliance Database'!$B$2:$B$1369,MATCH(632,Engine!$C$2:$C$1369,0)))</f>
        <v/>
      </c>
      <c r="C645" s="8">
        <f>IF(ISNA(MATCH(632,Engine!$C$2:$C$1369,0)),"",INDEX('Compliance Database'!$C$2:$C$1369,MATCH(632,Engine!$C$2:$C$1369,0)))</f>
        <v/>
      </c>
      <c r="D645" s="9">
        <f>IF(ISNA(MATCH(632,Engine!$C$2:$C$1369,0)),"",INDEX('Compliance Database'!$D$2:$D$1369,MATCH(632,Engine!$C$2:$C$1369,0)))</f>
        <v/>
      </c>
      <c r="E645" s="8">
        <f>IF(ISNA(MATCH(632,Engine!$C$2:$C$1369,0)),"",INDEX('Compliance Database'!$E$2:$E$1369,MATCH(632,Engine!$C$2:$C$1369,0)))</f>
        <v/>
      </c>
      <c r="F645" s="8">
        <f>IF(ISNA(MATCH(632,Engine!$C$2:$C$1369,0)),"",INDEX('Compliance Database'!$F$2:$F$1369,MATCH(632,Engine!$C$2:$C$1369,0)))</f>
        <v/>
      </c>
      <c r="G645" s="8">
        <f>IF(ISNA(MATCH(632,Engine!$C$2:$C$1369,0)),"",INDEX('Compliance Database'!$G$2:$G$1369,MATCH(632,Engine!$C$2:$C$1369,0)))</f>
        <v/>
      </c>
      <c r="H645" s="9">
        <f>IF(ISNA(MATCH(632,Engine!$C$2:$C$1369,0)),"",INDEX('Compliance Database'!$H$2:$H$1369,MATCH(632,Engine!$C$2:$C$1369,0)))</f>
        <v/>
      </c>
      <c r="I645" s="9">
        <f>IF(ISNA(MATCH(632,Engine!$C$2:$C$1369,0)),"",INDEX('Compliance Database'!$I$2:$I$1369,MATCH(632,Engine!$C$2:$C$1369,0)))</f>
        <v/>
      </c>
      <c r="J645" s="8">
        <f>IF(ISNA(MATCH(632,Engine!$C$2:$C$1369,0)),"",INDEX('Compliance Database'!$J$2:$J$1369,MATCH(632,Engine!$C$2:$C$1369,0)))</f>
        <v/>
      </c>
      <c r="K645" s="9">
        <f>IF(ISNA(MATCH(632,Engine!$C$2:$C$1369,0)),"",INDEX('Compliance Database'!$K$2:$K$1369,MATCH(632,Engine!$C$2:$C$1369,0)))</f>
        <v/>
      </c>
      <c r="L645" s="9">
        <f>IF(ISNA(MATCH(632,Engine!$C$2:$C$1369,0)),"",INDEX('Compliance Database'!$L$2:$L$1369,MATCH(632,Engine!$C$2:$C$1369,0)))</f>
        <v/>
      </c>
      <c r="M645" s="9">
        <f>IF(ISNA(MATCH(632,Engine!$C$2:$C$1369,0)),"",INDEX('Compliance Database'!$M$2:$M$1369,MATCH(632,Engine!$C$2:$C$1369,0)))</f>
        <v/>
      </c>
      <c r="N645" s="9">
        <f>IF(ISNA(MATCH(632,Engine!$C$2:$C$1369,0)),"",INDEX('Compliance Database'!$N$2:$N$1369,MATCH(632,Engine!$C$2:$C$1369,0)))</f>
        <v/>
      </c>
      <c r="O645" s="8">
        <f>IF(ISNA(MATCH(632,Engine!$C$2:$C$1369,0)),"",HYPERLINK(INDEX('Compliance Database'!$O$2:$O$1369,MATCH(632,Engine!$C$2:$C$1369,0)),"Open PDF"))</f>
        <v/>
      </c>
    </row>
    <row r="646" ht="188" customHeight="1">
      <c r="A646" s="8">
        <f>IF(ISNA(MATCH(633,Engine!$C$2:$C$1369,0)),"",INDEX('Compliance Database'!$A$2:$A$1369,MATCH(633,Engine!$C$2:$C$1369,0)))</f>
        <v/>
      </c>
      <c r="B646" s="8">
        <f>IF(ISNA(MATCH(633,Engine!$C$2:$C$1369,0)),"",INDEX('Compliance Database'!$B$2:$B$1369,MATCH(633,Engine!$C$2:$C$1369,0)))</f>
        <v/>
      </c>
      <c r="C646" s="8">
        <f>IF(ISNA(MATCH(633,Engine!$C$2:$C$1369,0)),"",INDEX('Compliance Database'!$C$2:$C$1369,MATCH(633,Engine!$C$2:$C$1369,0)))</f>
        <v/>
      </c>
      <c r="D646" s="9">
        <f>IF(ISNA(MATCH(633,Engine!$C$2:$C$1369,0)),"",INDEX('Compliance Database'!$D$2:$D$1369,MATCH(633,Engine!$C$2:$C$1369,0)))</f>
        <v/>
      </c>
      <c r="E646" s="8">
        <f>IF(ISNA(MATCH(633,Engine!$C$2:$C$1369,0)),"",INDEX('Compliance Database'!$E$2:$E$1369,MATCH(633,Engine!$C$2:$C$1369,0)))</f>
        <v/>
      </c>
      <c r="F646" s="8">
        <f>IF(ISNA(MATCH(633,Engine!$C$2:$C$1369,0)),"",INDEX('Compliance Database'!$F$2:$F$1369,MATCH(633,Engine!$C$2:$C$1369,0)))</f>
        <v/>
      </c>
      <c r="G646" s="8">
        <f>IF(ISNA(MATCH(633,Engine!$C$2:$C$1369,0)),"",INDEX('Compliance Database'!$G$2:$G$1369,MATCH(633,Engine!$C$2:$C$1369,0)))</f>
        <v/>
      </c>
      <c r="H646" s="9">
        <f>IF(ISNA(MATCH(633,Engine!$C$2:$C$1369,0)),"",INDEX('Compliance Database'!$H$2:$H$1369,MATCH(633,Engine!$C$2:$C$1369,0)))</f>
        <v/>
      </c>
      <c r="I646" s="9">
        <f>IF(ISNA(MATCH(633,Engine!$C$2:$C$1369,0)),"",INDEX('Compliance Database'!$I$2:$I$1369,MATCH(633,Engine!$C$2:$C$1369,0)))</f>
        <v/>
      </c>
      <c r="J646" s="8">
        <f>IF(ISNA(MATCH(633,Engine!$C$2:$C$1369,0)),"",INDEX('Compliance Database'!$J$2:$J$1369,MATCH(633,Engine!$C$2:$C$1369,0)))</f>
        <v/>
      </c>
      <c r="K646" s="9">
        <f>IF(ISNA(MATCH(633,Engine!$C$2:$C$1369,0)),"",INDEX('Compliance Database'!$K$2:$K$1369,MATCH(633,Engine!$C$2:$C$1369,0)))</f>
        <v/>
      </c>
      <c r="L646" s="9">
        <f>IF(ISNA(MATCH(633,Engine!$C$2:$C$1369,0)),"",INDEX('Compliance Database'!$L$2:$L$1369,MATCH(633,Engine!$C$2:$C$1369,0)))</f>
        <v/>
      </c>
      <c r="M646" s="9">
        <f>IF(ISNA(MATCH(633,Engine!$C$2:$C$1369,0)),"",INDEX('Compliance Database'!$M$2:$M$1369,MATCH(633,Engine!$C$2:$C$1369,0)))</f>
        <v/>
      </c>
      <c r="N646" s="9">
        <f>IF(ISNA(MATCH(633,Engine!$C$2:$C$1369,0)),"",INDEX('Compliance Database'!$N$2:$N$1369,MATCH(633,Engine!$C$2:$C$1369,0)))</f>
        <v/>
      </c>
      <c r="O646" s="8">
        <f>IF(ISNA(MATCH(633,Engine!$C$2:$C$1369,0)),"",HYPERLINK(INDEX('Compliance Database'!$O$2:$O$1369,MATCH(633,Engine!$C$2:$C$1369,0)),"Open PDF"))</f>
        <v/>
      </c>
    </row>
    <row r="647" ht="188" customHeight="1">
      <c r="A647" s="8">
        <f>IF(ISNA(MATCH(634,Engine!$C$2:$C$1369,0)),"",INDEX('Compliance Database'!$A$2:$A$1369,MATCH(634,Engine!$C$2:$C$1369,0)))</f>
        <v/>
      </c>
      <c r="B647" s="8">
        <f>IF(ISNA(MATCH(634,Engine!$C$2:$C$1369,0)),"",INDEX('Compliance Database'!$B$2:$B$1369,MATCH(634,Engine!$C$2:$C$1369,0)))</f>
        <v/>
      </c>
      <c r="C647" s="8">
        <f>IF(ISNA(MATCH(634,Engine!$C$2:$C$1369,0)),"",INDEX('Compliance Database'!$C$2:$C$1369,MATCH(634,Engine!$C$2:$C$1369,0)))</f>
        <v/>
      </c>
      <c r="D647" s="9">
        <f>IF(ISNA(MATCH(634,Engine!$C$2:$C$1369,0)),"",INDEX('Compliance Database'!$D$2:$D$1369,MATCH(634,Engine!$C$2:$C$1369,0)))</f>
        <v/>
      </c>
      <c r="E647" s="8">
        <f>IF(ISNA(MATCH(634,Engine!$C$2:$C$1369,0)),"",INDEX('Compliance Database'!$E$2:$E$1369,MATCH(634,Engine!$C$2:$C$1369,0)))</f>
        <v/>
      </c>
      <c r="F647" s="8">
        <f>IF(ISNA(MATCH(634,Engine!$C$2:$C$1369,0)),"",INDEX('Compliance Database'!$F$2:$F$1369,MATCH(634,Engine!$C$2:$C$1369,0)))</f>
        <v/>
      </c>
      <c r="G647" s="8">
        <f>IF(ISNA(MATCH(634,Engine!$C$2:$C$1369,0)),"",INDEX('Compliance Database'!$G$2:$G$1369,MATCH(634,Engine!$C$2:$C$1369,0)))</f>
        <v/>
      </c>
      <c r="H647" s="9">
        <f>IF(ISNA(MATCH(634,Engine!$C$2:$C$1369,0)),"",INDEX('Compliance Database'!$H$2:$H$1369,MATCH(634,Engine!$C$2:$C$1369,0)))</f>
        <v/>
      </c>
      <c r="I647" s="9">
        <f>IF(ISNA(MATCH(634,Engine!$C$2:$C$1369,0)),"",INDEX('Compliance Database'!$I$2:$I$1369,MATCH(634,Engine!$C$2:$C$1369,0)))</f>
        <v/>
      </c>
      <c r="J647" s="8">
        <f>IF(ISNA(MATCH(634,Engine!$C$2:$C$1369,0)),"",INDEX('Compliance Database'!$J$2:$J$1369,MATCH(634,Engine!$C$2:$C$1369,0)))</f>
        <v/>
      </c>
      <c r="K647" s="9">
        <f>IF(ISNA(MATCH(634,Engine!$C$2:$C$1369,0)),"",INDEX('Compliance Database'!$K$2:$K$1369,MATCH(634,Engine!$C$2:$C$1369,0)))</f>
        <v/>
      </c>
      <c r="L647" s="9">
        <f>IF(ISNA(MATCH(634,Engine!$C$2:$C$1369,0)),"",INDEX('Compliance Database'!$L$2:$L$1369,MATCH(634,Engine!$C$2:$C$1369,0)))</f>
        <v/>
      </c>
      <c r="M647" s="9">
        <f>IF(ISNA(MATCH(634,Engine!$C$2:$C$1369,0)),"",INDEX('Compliance Database'!$M$2:$M$1369,MATCH(634,Engine!$C$2:$C$1369,0)))</f>
        <v/>
      </c>
      <c r="N647" s="9">
        <f>IF(ISNA(MATCH(634,Engine!$C$2:$C$1369,0)),"",INDEX('Compliance Database'!$N$2:$N$1369,MATCH(634,Engine!$C$2:$C$1369,0)))</f>
        <v/>
      </c>
      <c r="O647" s="8">
        <f>IF(ISNA(MATCH(634,Engine!$C$2:$C$1369,0)),"",HYPERLINK(INDEX('Compliance Database'!$O$2:$O$1369,MATCH(634,Engine!$C$2:$C$1369,0)),"Open PDF"))</f>
        <v/>
      </c>
    </row>
    <row r="648" ht="188" customHeight="1">
      <c r="A648" s="8">
        <f>IF(ISNA(MATCH(635,Engine!$C$2:$C$1369,0)),"",INDEX('Compliance Database'!$A$2:$A$1369,MATCH(635,Engine!$C$2:$C$1369,0)))</f>
        <v/>
      </c>
      <c r="B648" s="8">
        <f>IF(ISNA(MATCH(635,Engine!$C$2:$C$1369,0)),"",INDEX('Compliance Database'!$B$2:$B$1369,MATCH(635,Engine!$C$2:$C$1369,0)))</f>
        <v/>
      </c>
      <c r="C648" s="8">
        <f>IF(ISNA(MATCH(635,Engine!$C$2:$C$1369,0)),"",INDEX('Compliance Database'!$C$2:$C$1369,MATCH(635,Engine!$C$2:$C$1369,0)))</f>
        <v/>
      </c>
      <c r="D648" s="9">
        <f>IF(ISNA(MATCH(635,Engine!$C$2:$C$1369,0)),"",INDEX('Compliance Database'!$D$2:$D$1369,MATCH(635,Engine!$C$2:$C$1369,0)))</f>
        <v/>
      </c>
      <c r="E648" s="8">
        <f>IF(ISNA(MATCH(635,Engine!$C$2:$C$1369,0)),"",INDEX('Compliance Database'!$E$2:$E$1369,MATCH(635,Engine!$C$2:$C$1369,0)))</f>
        <v/>
      </c>
      <c r="F648" s="8">
        <f>IF(ISNA(MATCH(635,Engine!$C$2:$C$1369,0)),"",INDEX('Compliance Database'!$F$2:$F$1369,MATCH(635,Engine!$C$2:$C$1369,0)))</f>
        <v/>
      </c>
      <c r="G648" s="8">
        <f>IF(ISNA(MATCH(635,Engine!$C$2:$C$1369,0)),"",INDEX('Compliance Database'!$G$2:$G$1369,MATCH(635,Engine!$C$2:$C$1369,0)))</f>
        <v/>
      </c>
      <c r="H648" s="9">
        <f>IF(ISNA(MATCH(635,Engine!$C$2:$C$1369,0)),"",INDEX('Compliance Database'!$H$2:$H$1369,MATCH(635,Engine!$C$2:$C$1369,0)))</f>
        <v/>
      </c>
      <c r="I648" s="9">
        <f>IF(ISNA(MATCH(635,Engine!$C$2:$C$1369,0)),"",INDEX('Compliance Database'!$I$2:$I$1369,MATCH(635,Engine!$C$2:$C$1369,0)))</f>
        <v/>
      </c>
      <c r="J648" s="8">
        <f>IF(ISNA(MATCH(635,Engine!$C$2:$C$1369,0)),"",INDEX('Compliance Database'!$J$2:$J$1369,MATCH(635,Engine!$C$2:$C$1369,0)))</f>
        <v/>
      </c>
      <c r="K648" s="9">
        <f>IF(ISNA(MATCH(635,Engine!$C$2:$C$1369,0)),"",INDEX('Compliance Database'!$K$2:$K$1369,MATCH(635,Engine!$C$2:$C$1369,0)))</f>
        <v/>
      </c>
      <c r="L648" s="9">
        <f>IF(ISNA(MATCH(635,Engine!$C$2:$C$1369,0)),"",INDEX('Compliance Database'!$L$2:$L$1369,MATCH(635,Engine!$C$2:$C$1369,0)))</f>
        <v/>
      </c>
      <c r="M648" s="9">
        <f>IF(ISNA(MATCH(635,Engine!$C$2:$C$1369,0)),"",INDEX('Compliance Database'!$M$2:$M$1369,MATCH(635,Engine!$C$2:$C$1369,0)))</f>
        <v/>
      </c>
      <c r="N648" s="9">
        <f>IF(ISNA(MATCH(635,Engine!$C$2:$C$1369,0)),"",INDEX('Compliance Database'!$N$2:$N$1369,MATCH(635,Engine!$C$2:$C$1369,0)))</f>
        <v/>
      </c>
      <c r="O648" s="8">
        <f>IF(ISNA(MATCH(635,Engine!$C$2:$C$1369,0)),"",HYPERLINK(INDEX('Compliance Database'!$O$2:$O$1369,MATCH(635,Engine!$C$2:$C$1369,0)),"Open PDF"))</f>
        <v/>
      </c>
    </row>
    <row r="649" ht="188" customHeight="1">
      <c r="A649" s="8">
        <f>IF(ISNA(MATCH(636,Engine!$C$2:$C$1369,0)),"",INDEX('Compliance Database'!$A$2:$A$1369,MATCH(636,Engine!$C$2:$C$1369,0)))</f>
        <v/>
      </c>
      <c r="B649" s="8">
        <f>IF(ISNA(MATCH(636,Engine!$C$2:$C$1369,0)),"",INDEX('Compliance Database'!$B$2:$B$1369,MATCH(636,Engine!$C$2:$C$1369,0)))</f>
        <v/>
      </c>
      <c r="C649" s="8">
        <f>IF(ISNA(MATCH(636,Engine!$C$2:$C$1369,0)),"",INDEX('Compliance Database'!$C$2:$C$1369,MATCH(636,Engine!$C$2:$C$1369,0)))</f>
        <v/>
      </c>
      <c r="D649" s="9">
        <f>IF(ISNA(MATCH(636,Engine!$C$2:$C$1369,0)),"",INDEX('Compliance Database'!$D$2:$D$1369,MATCH(636,Engine!$C$2:$C$1369,0)))</f>
        <v/>
      </c>
      <c r="E649" s="8">
        <f>IF(ISNA(MATCH(636,Engine!$C$2:$C$1369,0)),"",INDEX('Compliance Database'!$E$2:$E$1369,MATCH(636,Engine!$C$2:$C$1369,0)))</f>
        <v/>
      </c>
      <c r="F649" s="8">
        <f>IF(ISNA(MATCH(636,Engine!$C$2:$C$1369,0)),"",INDEX('Compliance Database'!$F$2:$F$1369,MATCH(636,Engine!$C$2:$C$1369,0)))</f>
        <v/>
      </c>
      <c r="G649" s="8">
        <f>IF(ISNA(MATCH(636,Engine!$C$2:$C$1369,0)),"",INDEX('Compliance Database'!$G$2:$G$1369,MATCH(636,Engine!$C$2:$C$1369,0)))</f>
        <v/>
      </c>
      <c r="H649" s="9">
        <f>IF(ISNA(MATCH(636,Engine!$C$2:$C$1369,0)),"",INDEX('Compliance Database'!$H$2:$H$1369,MATCH(636,Engine!$C$2:$C$1369,0)))</f>
        <v/>
      </c>
      <c r="I649" s="9">
        <f>IF(ISNA(MATCH(636,Engine!$C$2:$C$1369,0)),"",INDEX('Compliance Database'!$I$2:$I$1369,MATCH(636,Engine!$C$2:$C$1369,0)))</f>
        <v/>
      </c>
      <c r="J649" s="8">
        <f>IF(ISNA(MATCH(636,Engine!$C$2:$C$1369,0)),"",INDEX('Compliance Database'!$J$2:$J$1369,MATCH(636,Engine!$C$2:$C$1369,0)))</f>
        <v/>
      </c>
      <c r="K649" s="9">
        <f>IF(ISNA(MATCH(636,Engine!$C$2:$C$1369,0)),"",INDEX('Compliance Database'!$K$2:$K$1369,MATCH(636,Engine!$C$2:$C$1369,0)))</f>
        <v/>
      </c>
      <c r="L649" s="9">
        <f>IF(ISNA(MATCH(636,Engine!$C$2:$C$1369,0)),"",INDEX('Compliance Database'!$L$2:$L$1369,MATCH(636,Engine!$C$2:$C$1369,0)))</f>
        <v/>
      </c>
      <c r="M649" s="9">
        <f>IF(ISNA(MATCH(636,Engine!$C$2:$C$1369,0)),"",INDEX('Compliance Database'!$M$2:$M$1369,MATCH(636,Engine!$C$2:$C$1369,0)))</f>
        <v/>
      </c>
      <c r="N649" s="9">
        <f>IF(ISNA(MATCH(636,Engine!$C$2:$C$1369,0)),"",INDEX('Compliance Database'!$N$2:$N$1369,MATCH(636,Engine!$C$2:$C$1369,0)))</f>
        <v/>
      </c>
      <c r="O649" s="8">
        <f>IF(ISNA(MATCH(636,Engine!$C$2:$C$1369,0)),"",HYPERLINK(INDEX('Compliance Database'!$O$2:$O$1369,MATCH(636,Engine!$C$2:$C$1369,0)),"Open PDF"))</f>
        <v/>
      </c>
    </row>
    <row r="650" ht="188" customHeight="1">
      <c r="A650" s="8">
        <f>IF(ISNA(MATCH(637,Engine!$C$2:$C$1369,0)),"",INDEX('Compliance Database'!$A$2:$A$1369,MATCH(637,Engine!$C$2:$C$1369,0)))</f>
        <v/>
      </c>
      <c r="B650" s="8">
        <f>IF(ISNA(MATCH(637,Engine!$C$2:$C$1369,0)),"",INDEX('Compliance Database'!$B$2:$B$1369,MATCH(637,Engine!$C$2:$C$1369,0)))</f>
        <v/>
      </c>
      <c r="C650" s="8">
        <f>IF(ISNA(MATCH(637,Engine!$C$2:$C$1369,0)),"",INDEX('Compliance Database'!$C$2:$C$1369,MATCH(637,Engine!$C$2:$C$1369,0)))</f>
        <v/>
      </c>
      <c r="D650" s="9">
        <f>IF(ISNA(MATCH(637,Engine!$C$2:$C$1369,0)),"",INDEX('Compliance Database'!$D$2:$D$1369,MATCH(637,Engine!$C$2:$C$1369,0)))</f>
        <v/>
      </c>
      <c r="E650" s="8">
        <f>IF(ISNA(MATCH(637,Engine!$C$2:$C$1369,0)),"",INDEX('Compliance Database'!$E$2:$E$1369,MATCH(637,Engine!$C$2:$C$1369,0)))</f>
        <v/>
      </c>
      <c r="F650" s="8">
        <f>IF(ISNA(MATCH(637,Engine!$C$2:$C$1369,0)),"",INDEX('Compliance Database'!$F$2:$F$1369,MATCH(637,Engine!$C$2:$C$1369,0)))</f>
        <v/>
      </c>
      <c r="G650" s="8">
        <f>IF(ISNA(MATCH(637,Engine!$C$2:$C$1369,0)),"",INDEX('Compliance Database'!$G$2:$G$1369,MATCH(637,Engine!$C$2:$C$1369,0)))</f>
        <v/>
      </c>
      <c r="H650" s="9">
        <f>IF(ISNA(MATCH(637,Engine!$C$2:$C$1369,0)),"",INDEX('Compliance Database'!$H$2:$H$1369,MATCH(637,Engine!$C$2:$C$1369,0)))</f>
        <v/>
      </c>
      <c r="I650" s="9">
        <f>IF(ISNA(MATCH(637,Engine!$C$2:$C$1369,0)),"",INDEX('Compliance Database'!$I$2:$I$1369,MATCH(637,Engine!$C$2:$C$1369,0)))</f>
        <v/>
      </c>
      <c r="J650" s="8">
        <f>IF(ISNA(MATCH(637,Engine!$C$2:$C$1369,0)),"",INDEX('Compliance Database'!$J$2:$J$1369,MATCH(637,Engine!$C$2:$C$1369,0)))</f>
        <v/>
      </c>
      <c r="K650" s="9">
        <f>IF(ISNA(MATCH(637,Engine!$C$2:$C$1369,0)),"",INDEX('Compliance Database'!$K$2:$K$1369,MATCH(637,Engine!$C$2:$C$1369,0)))</f>
        <v/>
      </c>
      <c r="L650" s="9">
        <f>IF(ISNA(MATCH(637,Engine!$C$2:$C$1369,0)),"",INDEX('Compliance Database'!$L$2:$L$1369,MATCH(637,Engine!$C$2:$C$1369,0)))</f>
        <v/>
      </c>
      <c r="M650" s="9">
        <f>IF(ISNA(MATCH(637,Engine!$C$2:$C$1369,0)),"",INDEX('Compliance Database'!$M$2:$M$1369,MATCH(637,Engine!$C$2:$C$1369,0)))</f>
        <v/>
      </c>
      <c r="N650" s="9">
        <f>IF(ISNA(MATCH(637,Engine!$C$2:$C$1369,0)),"",INDEX('Compliance Database'!$N$2:$N$1369,MATCH(637,Engine!$C$2:$C$1369,0)))</f>
        <v/>
      </c>
      <c r="O650" s="8">
        <f>IF(ISNA(MATCH(637,Engine!$C$2:$C$1369,0)),"",HYPERLINK(INDEX('Compliance Database'!$O$2:$O$1369,MATCH(637,Engine!$C$2:$C$1369,0)),"Open PDF"))</f>
        <v/>
      </c>
    </row>
    <row r="651" ht="188" customHeight="1">
      <c r="A651" s="8">
        <f>IF(ISNA(MATCH(638,Engine!$C$2:$C$1369,0)),"",INDEX('Compliance Database'!$A$2:$A$1369,MATCH(638,Engine!$C$2:$C$1369,0)))</f>
        <v/>
      </c>
      <c r="B651" s="8">
        <f>IF(ISNA(MATCH(638,Engine!$C$2:$C$1369,0)),"",INDEX('Compliance Database'!$B$2:$B$1369,MATCH(638,Engine!$C$2:$C$1369,0)))</f>
        <v/>
      </c>
      <c r="C651" s="8">
        <f>IF(ISNA(MATCH(638,Engine!$C$2:$C$1369,0)),"",INDEX('Compliance Database'!$C$2:$C$1369,MATCH(638,Engine!$C$2:$C$1369,0)))</f>
        <v/>
      </c>
      <c r="D651" s="9">
        <f>IF(ISNA(MATCH(638,Engine!$C$2:$C$1369,0)),"",INDEX('Compliance Database'!$D$2:$D$1369,MATCH(638,Engine!$C$2:$C$1369,0)))</f>
        <v/>
      </c>
      <c r="E651" s="8">
        <f>IF(ISNA(MATCH(638,Engine!$C$2:$C$1369,0)),"",INDEX('Compliance Database'!$E$2:$E$1369,MATCH(638,Engine!$C$2:$C$1369,0)))</f>
        <v/>
      </c>
      <c r="F651" s="8">
        <f>IF(ISNA(MATCH(638,Engine!$C$2:$C$1369,0)),"",INDEX('Compliance Database'!$F$2:$F$1369,MATCH(638,Engine!$C$2:$C$1369,0)))</f>
        <v/>
      </c>
      <c r="G651" s="8">
        <f>IF(ISNA(MATCH(638,Engine!$C$2:$C$1369,0)),"",INDEX('Compliance Database'!$G$2:$G$1369,MATCH(638,Engine!$C$2:$C$1369,0)))</f>
        <v/>
      </c>
      <c r="H651" s="9">
        <f>IF(ISNA(MATCH(638,Engine!$C$2:$C$1369,0)),"",INDEX('Compliance Database'!$H$2:$H$1369,MATCH(638,Engine!$C$2:$C$1369,0)))</f>
        <v/>
      </c>
      <c r="I651" s="9">
        <f>IF(ISNA(MATCH(638,Engine!$C$2:$C$1369,0)),"",INDEX('Compliance Database'!$I$2:$I$1369,MATCH(638,Engine!$C$2:$C$1369,0)))</f>
        <v/>
      </c>
      <c r="J651" s="8">
        <f>IF(ISNA(MATCH(638,Engine!$C$2:$C$1369,0)),"",INDEX('Compliance Database'!$J$2:$J$1369,MATCH(638,Engine!$C$2:$C$1369,0)))</f>
        <v/>
      </c>
      <c r="K651" s="9">
        <f>IF(ISNA(MATCH(638,Engine!$C$2:$C$1369,0)),"",INDEX('Compliance Database'!$K$2:$K$1369,MATCH(638,Engine!$C$2:$C$1369,0)))</f>
        <v/>
      </c>
      <c r="L651" s="9">
        <f>IF(ISNA(MATCH(638,Engine!$C$2:$C$1369,0)),"",INDEX('Compliance Database'!$L$2:$L$1369,MATCH(638,Engine!$C$2:$C$1369,0)))</f>
        <v/>
      </c>
      <c r="M651" s="9">
        <f>IF(ISNA(MATCH(638,Engine!$C$2:$C$1369,0)),"",INDEX('Compliance Database'!$M$2:$M$1369,MATCH(638,Engine!$C$2:$C$1369,0)))</f>
        <v/>
      </c>
      <c r="N651" s="9">
        <f>IF(ISNA(MATCH(638,Engine!$C$2:$C$1369,0)),"",INDEX('Compliance Database'!$N$2:$N$1369,MATCH(638,Engine!$C$2:$C$1369,0)))</f>
        <v/>
      </c>
      <c r="O651" s="8">
        <f>IF(ISNA(MATCH(638,Engine!$C$2:$C$1369,0)),"",HYPERLINK(INDEX('Compliance Database'!$O$2:$O$1369,MATCH(638,Engine!$C$2:$C$1369,0)),"Open PDF"))</f>
        <v/>
      </c>
    </row>
    <row r="652" ht="188" customHeight="1">
      <c r="A652" s="8">
        <f>IF(ISNA(MATCH(639,Engine!$C$2:$C$1369,0)),"",INDEX('Compliance Database'!$A$2:$A$1369,MATCH(639,Engine!$C$2:$C$1369,0)))</f>
        <v/>
      </c>
      <c r="B652" s="8">
        <f>IF(ISNA(MATCH(639,Engine!$C$2:$C$1369,0)),"",INDEX('Compliance Database'!$B$2:$B$1369,MATCH(639,Engine!$C$2:$C$1369,0)))</f>
        <v/>
      </c>
      <c r="C652" s="8">
        <f>IF(ISNA(MATCH(639,Engine!$C$2:$C$1369,0)),"",INDEX('Compliance Database'!$C$2:$C$1369,MATCH(639,Engine!$C$2:$C$1369,0)))</f>
        <v/>
      </c>
      <c r="D652" s="9">
        <f>IF(ISNA(MATCH(639,Engine!$C$2:$C$1369,0)),"",INDEX('Compliance Database'!$D$2:$D$1369,MATCH(639,Engine!$C$2:$C$1369,0)))</f>
        <v/>
      </c>
      <c r="E652" s="8">
        <f>IF(ISNA(MATCH(639,Engine!$C$2:$C$1369,0)),"",INDEX('Compliance Database'!$E$2:$E$1369,MATCH(639,Engine!$C$2:$C$1369,0)))</f>
        <v/>
      </c>
      <c r="F652" s="8">
        <f>IF(ISNA(MATCH(639,Engine!$C$2:$C$1369,0)),"",INDEX('Compliance Database'!$F$2:$F$1369,MATCH(639,Engine!$C$2:$C$1369,0)))</f>
        <v/>
      </c>
      <c r="G652" s="8">
        <f>IF(ISNA(MATCH(639,Engine!$C$2:$C$1369,0)),"",INDEX('Compliance Database'!$G$2:$G$1369,MATCH(639,Engine!$C$2:$C$1369,0)))</f>
        <v/>
      </c>
      <c r="H652" s="9">
        <f>IF(ISNA(MATCH(639,Engine!$C$2:$C$1369,0)),"",INDEX('Compliance Database'!$H$2:$H$1369,MATCH(639,Engine!$C$2:$C$1369,0)))</f>
        <v/>
      </c>
      <c r="I652" s="9">
        <f>IF(ISNA(MATCH(639,Engine!$C$2:$C$1369,0)),"",INDEX('Compliance Database'!$I$2:$I$1369,MATCH(639,Engine!$C$2:$C$1369,0)))</f>
        <v/>
      </c>
      <c r="J652" s="8">
        <f>IF(ISNA(MATCH(639,Engine!$C$2:$C$1369,0)),"",INDEX('Compliance Database'!$J$2:$J$1369,MATCH(639,Engine!$C$2:$C$1369,0)))</f>
        <v/>
      </c>
      <c r="K652" s="9">
        <f>IF(ISNA(MATCH(639,Engine!$C$2:$C$1369,0)),"",INDEX('Compliance Database'!$K$2:$K$1369,MATCH(639,Engine!$C$2:$C$1369,0)))</f>
        <v/>
      </c>
      <c r="L652" s="9">
        <f>IF(ISNA(MATCH(639,Engine!$C$2:$C$1369,0)),"",INDEX('Compliance Database'!$L$2:$L$1369,MATCH(639,Engine!$C$2:$C$1369,0)))</f>
        <v/>
      </c>
      <c r="M652" s="9">
        <f>IF(ISNA(MATCH(639,Engine!$C$2:$C$1369,0)),"",INDEX('Compliance Database'!$M$2:$M$1369,MATCH(639,Engine!$C$2:$C$1369,0)))</f>
        <v/>
      </c>
      <c r="N652" s="9">
        <f>IF(ISNA(MATCH(639,Engine!$C$2:$C$1369,0)),"",INDEX('Compliance Database'!$N$2:$N$1369,MATCH(639,Engine!$C$2:$C$1369,0)))</f>
        <v/>
      </c>
      <c r="O652" s="8">
        <f>IF(ISNA(MATCH(639,Engine!$C$2:$C$1369,0)),"",HYPERLINK(INDEX('Compliance Database'!$O$2:$O$1369,MATCH(639,Engine!$C$2:$C$1369,0)),"Open PDF"))</f>
        <v/>
      </c>
    </row>
    <row r="653" ht="188" customHeight="1">
      <c r="A653" s="8">
        <f>IF(ISNA(MATCH(640,Engine!$C$2:$C$1369,0)),"",INDEX('Compliance Database'!$A$2:$A$1369,MATCH(640,Engine!$C$2:$C$1369,0)))</f>
        <v/>
      </c>
      <c r="B653" s="8">
        <f>IF(ISNA(MATCH(640,Engine!$C$2:$C$1369,0)),"",INDEX('Compliance Database'!$B$2:$B$1369,MATCH(640,Engine!$C$2:$C$1369,0)))</f>
        <v/>
      </c>
      <c r="C653" s="8">
        <f>IF(ISNA(MATCH(640,Engine!$C$2:$C$1369,0)),"",INDEX('Compliance Database'!$C$2:$C$1369,MATCH(640,Engine!$C$2:$C$1369,0)))</f>
        <v/>
      </c>
      <c r="D653" s="9">
        <f>IF(ISNA(MATCH(640,Engine!$C$2:$C$1369,0)),"",INDEX('Compliance Database'!$D$2:$D$1369,MATCH(640,Engine!$C$2:$C$1369,0)))</f>
        <v/>
      </c>
      <c r="E653" s="8">
        <f>IF(ISNA(MATCH(640,Engine!$C$2:$C$1369,0)),"",INDEX('Compliance Database'!$E$2:$E$1369,MATCH(640,Engine!$C$2:$C$1369,0)))</f>
        <v/>
      </c>
      <c r="F653" s="8">
        <f>IF(ISNA(MATCH(640,Engine!$C$2:$C$1369,0)),"",INDEX('Compliance Database'!$F$2:$F$1369,MATCH(640,Engine!$C$2:$C$1369,0)))</f>
        <v/>
      </c>
      <c r="G653" s="8">
        <f>IF(ISNA(MATCH(640,Engine!$C$2:$C$1369,0)),"",INDEX('Compliance Database'!$G$2:$G$1369,MATCH(640,Engine!$C$2:$C$1369,0)))</f>
        <v/>
      </c>
      <c r="H653" s="9">
        <f>IF(ISNA(MATCH(640,Engine!$C$2:$C$1369,0)),"",INDEX('Compliance Database'!$H$2:$H$1369,MATCH(640,Engine!$C$2:$C$1369,0)))</f>
        <v/>
      </c>
      <c r="I653" s="9">
        <f>IF(ISNA(MATCH(640,Engine!$C$2:$C$1369,0)),"",INDEX('Compliance Database'!$I$2:$I$1369,MATCH(640,Engine!$C$2:$C$1369,0)))</f>
        <v/>
      </c>
      <c r="J653" s="8">
        <f>IF(ISNA(MATCH(640,Engine!$C$2:$C$1369,0)),"",INDEX('Compliance Database'!$J$2:$J$1369,MATCH(640,Engine!$C$2:$C$1369,0)))</f>
        <v/>
      </c>
      <c r="K653" s="9">
        <f>IF(ISNA(MATCH(640,Engine!$C$2:$C$1369,0)),"",INDEX('Compliance Database'!$K$2:$K$1369,MATCH(640,Engine!$C$2:$C$1369,0)))</f>
        <v/>
      </c>
      <c r="L653" s="9">
        <f>IF(ISNA(MATCH(640,Engine!$C$2:$C$1369,0)),"",INDEX('Compliance Database'!$L$2:$L$1369,MATCH(640,Engine!$C$2:$C$1369,0)))</f>
        <v/>
      </c>
      <c r="M653" s="9">
        <f>IF(ISNA(MATCH(640,Engine!$C$2:$C$1369,0)),"",INDEX('Compliance Database'!$M$2:$M$1369,MATCH(640,Engine!$C$2:$C$1369,0)))</f>
        <v/>
      </c>
      <c r="N653" s="9">
        <f>IF(ISNA(MATCH(640,Engine!$C$2:$C$1369,0)),"",INDEX('Compliance Database'!$N$2:$N$1369,MATCH(640,Engine!$C$2:$C$1369,0)))</f>
        <v/>
      </c>
      <c r="O653" s="8">
        <f>IF(ISNA(MATCH(640,Engine!$C$2:$C$1369,0)),"",HYPERLINK(INDEX('Compliance Database'!$O$2:$O$1369,MATCH(640,Engine!$C$2:$C$1369,0)),"Open PDF"))</f>
        <v/>
      </c>
    </row>
    <row r="654" ht="188" customHeight="1">
      <c r="A654" s="8">
        <f>IF(ISNA(MATCH(641,Engine!$C$2:$C$1369,0)),"",INDEX('Compliance Database'!$A$2:$A$1369,MATCH(641,Engine!$C$2:$C$1369,0)))</f>
        <v/>
      </c>
      <c r="B654" s="8">
        <f>IF(ISNA(MATCH(641,Engine!$C$2:$C$1369,0)),"",INDEX('Compliance Database'!$B$2:$B$1369,MATCH(641,Engine!$C$2:$C$1369,0)))</f>
        <v/>
      </c>
      <c r="C654" s="8">
        <f>IF(ISNA(MATCH(641,Engine!$C$2:$C$1369,0)),"",INDEX('Compliance Database'!$C$2:$C$1369,MATCH(641,Engine!$C$2:$C$1369,0)))</f>
        <v/>
      </c>
      <c r="D654" s="9">
        <f>IF(ISNA(MATCH(641,Engine!$C$2:$C$1369,0)),"",INDEX('Compliance Database'!$D$2:$D$1369,MATCH(641,Engine!$C$2:$C$1369,0)))</f>
        <v/>
      </c>
      <c r="E654" s="8">
        <f>IF(ISNA(MATCH(641,Engine!$C$2:$C$1369,0)),"",INDEX('Compliance Database'!$E$2:$E$1369,MATCH(641,Engine!$C$2:$C$1369,0)))</f>
        <v/>
      </c>
      <c r="F654" s="8">
        <f>IF(ISNA(MATCH(641,Engine!$C$2:$C$1369,0)),"",INDEX('Compliance Database'!$F$2:$F$1369,MATCH(641,Engine!$C$2:$C$1369,0)))</f>
        <v/>
      </c>
      <c r="G654" s="8">
        <f>IF(ISNA(MATCH(641,Engine!$C$2:$C$1369,0)),"",INDEX('Compliance Database'!$G$2:$G$1369,MATCH(641,Engine!$C$2:$C$1369,0)))</f>
        <v/>
      </c>
      <c r="H654" s="9">
        <f>IF(ISNA(MATCH(641,Engine!$C$2:$C$1369,0)),"",INDEX('Compliance Database'!$H$2:$H$1369,MATCH(641,Engine!$C$2:$C$1369,0)))</f>
        <v/>
      </c>
      <c r="I654" s="9">
        <f>IF(ISNA(MATCH(641,Engine!$C$2:$C$1369,0)),"",INDEX('Compliance Database'!$I$2:$I$1369,MATCH(641,Engine!$C$2:$C$1369,0)))</f>
        <v/>
      </c>
      <c r="J654" s="8">
        <f>IF(ISNA(MATCH(641,Engine!$C$2:$C$1369,0)),"",INDEX('Compliance Database'!$J$2:$J$1369,MATCH(641,Engine!$C$2:$C$1369,0)))</f>
        <v/>
      </c>
      <c r="K654" s="9">
        <f>IF(ISNA(MATCH(641,Engine!$C$2:$C$1369,0)),"",INDEX('Compliance Database'!$K$2:$K$1369,MATCH(641,Engine!$C$2:$C$1369,0)))</f>
        <v/>
      </c>
      <c r="L654" s="9">
        <f>IF(ISNA(MATCH(641,Engine!$C$2:$C$1369,0)),"",INDEX('Compliance Database'!$L$2:$L$1369,MATCH(641,Engine!$C$2:$C$1369,0)))</f>
        <v/>
      </c>
      <c r="M654" s="9">
        <f>IF(ISNA(MATCH(641,Engine!$C$2:$C$1369,0)),"",INDEX('Compliance Database'!$M$2:$M$1369,MATCH(641,Engine!$C$2:$C$1369,0)))</f>
        <v/>
      </c>
      <c r="N654" s="9">
        <f>IF(ISNA(MATCH(641,Engine!$C$2:$C$1369,0)),"",INDEX('Compliance Database'!$N$2:$N$1369,MATCH(641,Engine!$C$2:$C$1369,0)))</f>
        <v/>
      </c>
      <c r="O654" s="8">
        <f>IF(ISNA(MATCH(641,Engine!$C$2:$C$1369,0)),"",HYPERLINK(INDEX('Compliance Database'!$O$2:$O$1369,MATCH(641,Engine!$C$2:$C$1369,0)),"Open PDF"))</f>
        <v/>
      </c>
    </row>
    <row r="655" ht="188" customHeight="1">
      <c r="A655" s="8">
        <f>IF(ISNA(MATCH(642,Engine!$C$2:$C$1369,0)),"",INDEX('Compliance Database'!$A$2:$A$1369,MATCH(642,Engine!$C$2:$C$1369,0)))</f>
        <v/>
      </c>
      <c r="B655" s="8">
        <f>IF(ISNA(MATCH(642,Engine!$C$2:$C$1369,0)),"",INDEX('Compliance Database'!$B$2:$B$1369,MATCH(642,Engine!$C$2:$C$1369,0)))</f>
        <v/>
      </c>
      <c r="C655" s="8">
        <f>IF(ISNA(MATCH(642,Engine!$C$2:$C$1369,0)),"",INDEX('Compliance Database'!$C$2:$C$1369,MATCH(642,Engine!$C$2:$C$1369,0)))</f>
        <v/>
      </c>
      <c r="D655" s="9">
        <f>IF(ISNA(MATCH(642,Engine!$C$2:$C$1369,0)),"",INDEX('Compliance Database'!$D$2:$D$1369,MATCH(642,Engine!$C$2:$C$1369,0)))</f>
        <v/>
      </c>
      <c r="E655" s="8">
        <f>IF(ISNA(MATCH(642,Engine!$C$2:$C$1369,0)),"",INDEX('Compliance Database'!$E$2:$E$1369,MATCH(642,Engine!$C$2:$C$1369,0)))</f>
        <v/>
      </c>
      <c r="F655" s="8">
        <f>IF(ISNA(MATCH(642,Engine!$C$2:$C$1369,0)),"",INDEX('Compliance Database'!$F$2:$F$1369,MATCH(642,Engine!$C$2:$C$1369,0)))</f>
        <v/>
      </c>
      <c r="G655" s="8">
        <f>IF(ISNA(MATCH(642,Engine!$C$2:$C$1369,0)),"",INDEX('Compliance Database'!$G$2:$G$1369,MATCH(642,Engine!$C$2:$C$1369,0)))</f>
        <v/>
      </c>
      <c r="H655" s="9">
        <f>IF(ISNA(MATCH(642,Engine!$C$2:$C$1369,0)),"",INDEX('Compliance Database'!$H$2:$H$1369,MATCH(642,Engine!$C$2:$C$1369,0)))</f>
        <v/>
      </c>
      <c r="I655" s="9">
        <f>IF(ISNA(MATCH(642,Engine!$C$2:$C$1369,0)),"",INDEX('Compliance Database'!$I$2:$I$1369,MATCH(642,Engine!$C$2:$C$1369,0)))</f>
        <v/>
      </c>
      <c r="J655" s="8">
        <f>IF(ISNA(MATCH(642,Engine!$C$2:$C$1369,0)),"",INDEX('Compliance Database'!$J$2:$J$1369,MATCH(642,Engine!$C$2:$C$1369,0)))</f>
        <v/>
      </c>
      <c r="K655" s="9">
        <f>IF(ISNA(MATCH(642,Engine!$C$2:$C$1369,0)),"",INDEX('Compliance Database'!$K$2:$K$1369,MATCH(642,Engine!$C$2:$C$1369,0)))</f>
        <v/>
      </c>
      <c r="L655" s="9">
        <f>IF(ISNA(MATCH(642,Engine!$C$2:$C$1369,0)),"",INDEX('Compliance Database'!$L$2:$L$1369,MATCH(642,Engine!$C$2:$C$1369,0)))</f>
        <v/>
      </c>
      <c r="M655" s="9">
        <f>IF(ISNA(MATCH(642,Engine!$C$2:$C$1369,0)),"",INDEX('Compliance Database'!$M$2:$M$1369,MATCH(642,Engine!$C$2:$C$1369,0)))</f>
        <v/>
      </c>
      <c r="N655" s="9">
        <f>IF(ISNA(MATCH(642,Engine!$C$2:$C$1369,0)),"",INDEX('Compliance Database'!$N$2:$N$1369,MATCH(642,Engine!$C$2:$C$1369,0)))</f>
        <v/>
      </c>
      <c r="O655" s="8">
        <f>IF(ISNA(MATCH(642,Engine!$C$2:$C$1369,0)),"",HYPERLINK(INDEX('Compliance Database'!$O$2:$O$1369,MATCH(642,Engine!$C$2:$C$1369,0)),"Open PDF"))</f>
        <v/>
      </c>
    </row>
    <row r="656" ht="188" customHeight="1">
      <c r="A656" s="8">
        <f>IF(ISNA(MATCH(643,Engine!$C$2:$C$1369,0)),"",INDEX('Compliance Database'!$A$2:$A$1369,MATCH(643,Engine!$C$2:$C$1369,0)))</f>
        <v/>
      </c>
      <c r="B656" s="8">
        <f>IF(ISNA(MATCH(643,Engine!$C$2:$C$1369,0)),"",INDEX('Compliance Database'!$B$2:$B$1369,MATCH(643,Engine!$C$2:$C$1369,0)))</f>
        <v/>
      </c>
      <c r="C656" s="8">
        <f>IF(ISNA(MATCH(643,Engine!$C$2:$C$1369,0)),"",INDEX('Compliance Database'!$C$2:$C$1369,MATCH(643,Engine!$C$2:$C$1369,0)))</f>
        <v/>
      </c>
      <c r="D656" s="9">
        <f>IF(ISNA(MATCH(643,Engine!$C$2:$C$1369,0)),"",INDEX('Compliance Database'!$D$2:$D$1369,MATCH(643,Engine!$C$2:$C$1369,0)))</f>
        <v/>
      </c>
      <c r="E656" s="8">
        <f>IF(ISNA(MATCH(643,Engine!$C$2:$C$1369,0)),"",INDEX('Compliance Database'!$E$2:$E$1369,MATCH(643,Engine!$C$2:$C$1369,0)))</f>
        <v/>
      </c>
      <c r="F656" s="8">
        <f>IF(ISNA(MATCH(643,Engine!$C$2:$C$1369,0)),"",INDEX('Compliance Database'!$F$2:$F$1369,MATCH(643,Engine!$C$2:$C$1369,0)))</f>
        <v/>
      </c>
      <c r="G656" s="8">
        <f>IF(ISNA(MATCH(643,Engine!$C$2:$C$1369,0)),"",INDEX('Compliance Database'!$G$2:$G$1369,MATCH(643,Engine!$C$2:$C$1369,0)))</f>
        <v/>
      </c>
      <c r="H656" s="9">
        <f>IF(ISNA(MATCH(643,Engine!$C$2:$C$1369,0)),"",INDEX('Compliance Database'!$H$2:$H$1369,MATCH(643,Engine!$C$2:$C$1369,0)))</f>
        <v/>
      </c>
      <c r="I656" s="9">
        <f>IF(ISNA(MATCH(643,Engine!$C$2:$C$1369,0)),"",INDEX('Compliance Database'!$I$2:$I$1369,MATCH(643,Engine!$C$2:$C$1369,0)))</f>
        <v/>
      </c>
      <c r="J656" s="8">
        <f>IF(ISNA(MATCH(643,Engine!$C$2:$C$1369,0)),"",INDEX('Compliance Database'!$J$2:$J$1369,MATCH(643,Engine!$C$2:$C$1369,0)))</f>
        <v/>
      </c>
      <c r="K656" s="9">
        <f>IF(ISNA(MATCH(643,Engine!$C$2:$C$1369,0)),"",INDEX('Compliance Database'!$K$2:$K$1369,MATCH(643,Engine!$C$2:$C$1369,0)))</f>
        <v/>
      </c>
      <c r="L656" s="9">
        <f>IF(ISNA(MATCH(643,Engine!$C$2:$C$1369,0)),"",INDEX('Compliance Database'!$L$2:$L$1369,MATCH(643,Engine!$C$2:$C$1369,0)))</f>
        <v/>
      </c>
      <c r="M656" s="9">
        <f>IF(ISNA(MATCH(643,Engine!$C$2:$C$1369,0)),"",INDEX('Compliance Database'!$M$2:$M$1369,MATCH(643,Engine!$C$2:$C$1369,0)))</f>
        <v/>
      </c>
      <c r="N656" s="9">
        <f>IF(ISNA(MATCH(643,Engine!$C$2:$C$1369,0)),"",INDEX('Compliance Database'!$N$2:$N$1369,MATCH(643,Engine!$C$2:$C$1369,0)))</f>
        <v/>
      </c>
      <c r="O656" s="8">
        <f>IF(ISNA(MATCH(643,Engine!$C$2:$C$1369,0)),"",HYPERLINK(INDEX('Compliance Database'!$O$2:$O$1369,MATCH(643,Engine!$C$2:$C$1369,0)),"Open PDF"))</f>
        <v/>
      </c>
    </row>
    <row r="657" ht="188" customHeight="1">
      <c r="A657" s="8">
        <f>IF(ISNA(MATCH(644,Engine!$C$2:$C$1369,0)),"",INDEX('Compliance Database'!$A$2:$A$1369,MATCH(644,Engine!$C$2:$C$1369,0)))</f>
        <v/>
      </c>
      <c r="B657" s="8">
        <f>IF(ISNA(MATCH(644,Engine!$C$2:$C$1369,0)),"",INDEX('Compliance Database'!$B$2:$B$1369,MATCH(644,Engine!$C$2:$C$1369,0)))</f>
        <v/>
      </c>
      <c r="C657" s="8">
        <f>IF(ISNA(MATCH(644,Engine!$C$2:$C$1369,0)),"",INDEX('Compliance Database'!$C$2:$C$1369,MATCH(644,Engine!$C$2:$C$1369,0)))</f>
        <v/>
      </c>
      <c r="D657" s="9">
        <f>IF(ISNA(MATCH(644,Engine!$C$2:$C$1369,0)),"",INDEX('Compliance Database'!$D$2:$D$1369,MATCH(644,Engine!$C$2:$C$1369,0)))</f>
        <v/>
      </c>
      <c r="E657" s="8">
        <f>IF(ISNA(MATCH(644,Engine!$C$2:$C$1369,0)),"",INDEX('Compliance Database'!$E$2:$E$1369,MATCH(644,Engine!$C$2:$C$1369,0)))</f>
        <v/>
      </c>
      <c r="F657" s="8">
        <f>IF(ISNA(MATCH(644,Engine!$C$2:$C$1369,0)),"",INDEX('Compliance Database'!$F$2:$F$1369,MATCH(644,Engine!$C$2:$C$1369,0)))</f>
        <v/>
      </c>
      <c r="G657" s="8">
        <f>IF(ISNA(MATCH(644,Engine!$C$2:$C$1369,0)),"",INDEX('Compliance Database'!$G$2:$G$1369,MATCH(644,Engine!$C$2:$C$1369,0)))</f>
        <v/>
      </c>
      <c r="H657" s="9">
        <f>IF(ISNA(MATCH(644,Engine!$C$2:$C$1369,0)),"",INDEX('Compliance Database'!$H$2:$H$1369,MATCH(644,Engine!$C$2:$C$1369,0)))</f>
        <v/>
      </c>
      <c r="I657" s="9">
        <f>IF(ISNA(MATCH(644,Engine!$C$2:$C$1369,0)),"",INDEX('Compliance Database'!$I$2:$I$1369,MATCH(644,Engine!$C$2:$C$1369,0)))</f>
        <v/>
      </c>
      <c r="J657" s="8">
        <f>IF(ISNA(MATCH(644,Engine!$C$2:$C$1369,0)),"",INDEX('Compliance Database'!$J$2:$J$1369,MATCH(644,Engine!$C$2:$C$1369,0)))</f>
        <v/>
      </c>
      <c r="K657" s="9">
        <f>IF(ISNA(MATCH(644,Engine!$C$2:$C$1369,0)),"",INDEX('Compliance Database'!$K$2:$K$1369,MATCH(644,Engine!$C$2:$C$1369,0)))</f>
        <v/>
      </c>
      <c r="L657" s="9">
        <f>IF(ISNA(MATCH(644,Engine!$C$2:$C$1369,0)),"",INDEX('Compliance Database'!$L$2:$L$1369,MATCH(644,Engine!$C$2:$C$1369,0)))</f>
        <v/>
      </c>
      <c r="M657" s="9">
        <f>IF(ISNA(MATCH(644,Engine!$C$2:$C$1369,0)),"",INDEX('Compliance Database'!$M$2:$M$1369,MATCH(644,Engine!$C$2:$C$1369,0)))</f>
        <v/>
      </c>
      <c r="N657" s="9">
        <f>IF(ISNA(MATCH(644,Engine!$C$2:$C$1369,0)),"",INDEX('Compliance Database'!$N$2:$N$1369,MATCH(644,Engine!$C$2:$C$1369,0)))</f>
        <v/>
      </c>
      <c r="O657" s="8">
        <f>IF(ISNA(MATCH(644,Engine!$C$2:$C$1369,0)),"",HYPERLINK(INDEX('Compliance Database'!$O$2:$O$1369,MATCH(644,Engine!$C$2:$C$1369,0)),"Open PDF"))</f>
        <v/>
      </c>
    </row>
    <row r="658" ht="188" customHeight="1">
      <c r="A658" s="8">
        <f>IF(ISNA(MATCH(645,Engine!$C$2:$C$1369,0)),"",INDEX('Compliance Database'!$A$2:$A$1369,MATCH(645,Engine!$C$2:$C$1369,0)))</f>
        <v/>
      </c>
      <c r="B658" s="8">
        <f>IF(ISNA(MATCH(645,Engine!$C$2:$C$1369,0)),"",INDEX('Compliance Database'!$B$2:$B$1369,MATCH(645,Engine!$C$2:$C$1369,0)))</f>
        <v/>
      </c>
      <c r="C658" s="8">
        <f>IF(ISNA(MATCH(645,Engine!$C$2:$C$1369,0)),"",INDEX('Compliance Database'!$C$2:$C$1369,MATCH(645,Engine!$C$2:$C$1369,0)))</f>
        <v/>
      </c>
      <c r="D658" s="9">
        <f>IF(ISNA(MATCH(645,Engine!$C$2:$C$1369,0)),"",INDEX('Compliance Database'!$D$2:$D$1369,MATCH(645,Engine!$C$2:$C$1369,0)))</f>
        <v/>
      </c>
      <c r="E658" s="8">
        <f>IF(ISNA(MATCH(645,Engine!$C$2:$C$1369,0)),"",INDEX('Compliance Database'!$E$2:$E$1369,MATCH(645,Engine!$C$2:$C$1369,0)))</f>
        <v/>
      </c>
      <c r="F658" s="8">
        <f>IF(ISNA(MATCH(645,Engine!$C$2:$C$1369,0)),"",INDEX('Compliance Database'!$F$2:$F$1369,MATCH(645,Engine!$C$2:$C$1369,0)))</f>
        <v/>
      </c>
      <c r="G658" s="8">
        <f>IF(ISNA(MATCH(645,Engine!$C$2:$C$1369,0)),"",INDEX('Compliance Database'!$G$2:$G$1369,MATCH(645,Engine!$C$2:$C$1369,0)))</f>
        <v/>
      </c>
      <c r="H658" s="9">
        <f>IF(ISNA(MATCH(645,Engine!$C$2:$C$1369,0)),"",INDEX('Compliance Database'!$H$2:$H$1369,MATCH(645,Engine!$C$2:$C$1369,0)))</f>
        <v/>
      </c>
      <c r="I658" s="9">
        <f>IF(ISNA(MATCH(645,Engine!$C$2:$C$1369,0)),"",INDEX('Compliance Database'!$I$2:$I$1369,MATCH(645,Engine!$C$2:$C$1369,0)))</f>
        <v/>
      </c>
      <c r="J658" s="8">
        <f>IF(ISNA(MATCH(645,Engine!$C$2:$C$1369,0)),"",INDEX('Compliance Database'!$J$2:$J$1369,MATCH(645,Engine!$C$2:$C$1369,0)))</f>
        <v/>
      </c>
      <c r="K658" s="9">
        <f>IF(ISNA(MATCH(645,Engine!$C$2:$C$1369,0)),"",INDEX('Compliance Database'!$K$2:$K$1369,MATCH(645,Engine!$C$2:$C$1369,0)))</f>
        <v/>
      </c>
      <c r="L658" s="9">
        <f>IF(ISNA(MATCH(645,Engine!$C$2:$C$1369,0)),"",INDEX('Compliance Database'!$L$2:$L$1369,MATCH(645,Engine!$C$2:$C$1369,0)))</f>
        <v/>
      </c>
      <c r="M658" s="9">
        <f>IF(ISNA(MATCH(645,Engine!$C$2:$C$1369,0)),"",INDEX('Compliance Database'!$M$2:$M$1369,MATCH(645,Engine!$C$2:$C$1369,0)))</f>
        <v/>
      </c>
      <c r="N658" s="9">
        <f>IF(ISNA(MATCH(645,Engine!$C$2:$C$1369,0)),"",INDEX('Compliance Database'!$N$2:$N$1369,MATCH(645,Engine!$C$2:$C$1369,0)))</f>
        <v/>
      </c>
      <c r="O658" s="8">
        <f>IF(ISNA(MATCH(645,Engine!$C$2:$C$1369,0)),"",HYPERLINK(INDEX('Compliance Database'!$O$2:$O$1369,MATCH(645,Engine!$C$2:$C$1369,0)),"Open PDF"))</f>
        <v/>
      </c>
    </row>
    <row r="659" ht="188" customHeight="1">
      <c r="A659" s="8">
        <f>IF(ISNA(MATCH(646,Engine!$C$2:$C$1369,0)),"",INDEX('Compliance Database'!$A$2:$A$1369,MATCH(646,Engine!$C$2:$C$1369,0)))</f>
        <v/>
      </c>
      <c r="B659" s="8">
        <f>IF(ISNA(MATCH(646,Engine!$C$2:$C$1369,0)),"",INDEX('Compliance Database'!$B$2:$B$1369,MATCH(646,Engine!$C$2:$C$1369,0)))</f>
        <v/>
      </c>
      <c r="C659" s="8">
        <f>IF(ISNA(MATCH(646,Engine!$C$2:$C$1369,0)),"",INDEX('Compliance Database'!$C$2:$C$1369,MATCH(646,Engine!$C$2:$C$1369,0)))</f>
        <v/>
      </c>
      <c r="D659" s="9">
        <f>IF(ISNA(MATCH(646,Engine!$C$2:$C$1369,0)),"",INDEX('Compliance Database'!$D$2:$D$1369,MATCH(646,Engine!$C$2:$C$1369,0)))</f>
        <v/>
      </c>
      <c r="E659" s="8">
        <f>IF(ISNA(MATCH(646,Engine!$C$2:$C$1369,0)),"",INDEX('Compliance Database'!$E$2:$E$1369,MATCH(646,Engine!$C$2:$C$1369,0)))</f>
        <v/>
      </c>
      <c r="F659" s="8">
        <f>IF(ISNA(MATCH(646,Engine!$C$2:$C$1369,0)),"",INDEX('Compliance Database'!$F$2:$F$1369,MATCH(646,Engine!$C$2:$C$1369,0)))</f>
        <v/>
      </c>
      <c r="G659" s="8">
        <f>IF(ISNA(MATCH(646,Engine!$C$2:$C$1369,0)),"",INDEX('Compliance Database'!$G$2:$G$1369,MATCH(646,Engine!$C$2:$C$1369,0)))</f>
        <v/>
      </c>
      <c r="H659" s="9">
        <f>IF(ISNA(MATCH(646,Engine!$C$2:$C$1369,0)),"",INDEX('Compliance Database'!$H$2:$H$1369,MATCH(646,Engine!$C$2:$C$1369,0)))</f>
        <v/>
      </c>
      <c r="I659" s="9">
        <f>IF(ISNA(MATCH(646,Engine!$C$2:$C$1369,0)),"",INDEX('Compliance Database'!$I$2:$I$1369,MATCH(646,Engine!$C$2:$C$1369,0)))</f>
        <v/>
      </c>
      <c r="J659" s="8">
        <f>IF(ISNA(MATCH(646,Engine!$C$2:$C$1369,0)),"",INDEX('Compliance Database'!$J$2:$J$1369,MATCH(646,Engine!$C$2:$C$1369,0)))</f>
        <v/>
      </c>
      <c r="K659" s="9">
        <f>IF(ISNA(MATCH(646,Engine!$C$2:$C$1369,0)),"",INDEX('Compliance Database'!$K$2:$K$1369,MATCH(646,Engine!$C$2:$C$1369,0)))</f>
        <v/>
      </c>
      <c r="L659" s="9">
        <f>IF(ISNA(MATCH(646,Engine!$C$2:$C$1369,0)),"",INDEX('Compliance Database'!$L$2:$L$1369,MATCH(646,Engine!$C$2:$C$1369,0)))</f>
        <v/>
      </c>
      <c r="M659" s="9">
        <f>IF(ISNA(MATCH(646,Engine!$C$2:$C$1369,0)),"",INDEX('Compliance Database'!$M$2:$M$1369,MATCH(646,Engine!$C$2:$C$1369,0)))</f>
        <v/>
      </c>
      <c r="N659" s="9">
        <f>IF(ISNA(MATCH(646,Engine!$C$2:$C$1369,0)),"",INDEX('Compliance Database'!$N$2:$N$1369,MATCH(646,Engine!$C$2:$C$1369,0)))</f>
        <v/>
      </c>
      <c r="O659" s="8">
        <f>IF(ISNA(MATCH(646,Engine!$C$2:$C$1369,0)),"",HYPERLINK(INDEX('Compliance Database'!$O$2:$O$1369,MATCH(646,Engine!$C$2:$C$1369,0)),"Open PDF"))</f>
        <v/>
      </c>
    </row>
    <row r="660" ht="188" customHeight="1">
      <c r="A660" s="8">
        <f>IF(ISNA(MATCH(647,Engine!$C$2:$C$1369,0)),"",INDEX('Compliance Database'!$A$2:$A$1369,MATCH(647,Engine!$C$2:$C$1369,0)))</f>
        <v/>
      </c>
      <c r="B660" s="8">
        <f>IF(ISNA(MATCH(647,Engine!$C$2:$C$1369,0)),"",INDEX('Compliance Database'!$B$2:$B$1369,MATCH(647,Engine!$C$2:$C$1369,0)))</f>
        <v/>
      </c>
      <c r="C660" s="8">
        <f>IF(ISNA(MATCH(647,Engine!$C$2:$C$1369,0)),"",INDEX('Compliance Database'!$C$2:$C$1369,MATCH(647,Engine!$C$2:$C$1369,0)))</f>
        <v/>
      </c>
      <c r="D660" s="9">
        <f>IF(ISNA(MATCH(647,Engine!$C$2:$C$1369,0)),"",INDEX('Compliance Database'!$D$2:$D$1369,MATCH(647,Engine!$C$2:$C$1369,0)))</f>
        <v/>
      </c>
      <c r="E660" s="8">
        <f>IF(ISNA(MATCH(647,Engine!$C$2:$C$1369,0)),"",INDEX('Compliance Database'!$E$2:$E$1369,MATCH(647,Engine!$C$2:$C$1369,0)))</f>
        <v/>
      </c>
      <c r="F660" s="8">
        <f>IF(ISNA(MATCH(647,Engine!$C$2:$C$1369,0)),"",INDEX('Compliance Database'!$F$2:$F$1369,MATCH(647,Engine!$C$2:$C$1369,0)))</f>
        <v/>
      </c>
      <c r="G660" s="8">
        <f>IF(ISNA(MATCH(647,Engine!$C$2:$C$1369,0)),"",INDEX('Compliance Database'!$G$2:$G$1369,MATCH(647,Engine!$C$2:$C$1369,0)))</f>
        <v/>
      </c>
      <c r="H660" s="9">
        <f>IF(ISNA(MATCH(647,Engine!$C$2:$C$1369,0)),"",INDEX('Compliance Database'!$H$2:$H$1369,MATCH(647,Engine!$C$2:$C$1369,0)))</f>
        <v/>
      </c>
      <c r="I660" s="9">
        <f>IF(ISNA(MATCH(647,Engine!$C$2:$C$1369,0)),"",INDEX('Compliance Database'!$I$2:$I$1369,MATCH(647,Engine!$C$2:$C$1369,0)))</f>
        <v/>
      </c>
      <c r="J660" s="8">
        <f>IF(ISNA(MATCH(647,Engine!$C$2:$C$1369,0)),"",INDEX('Compliance Database'!$J$2:$J$1369,MATCH(647,Engine!$C$2:$C$1369,0)))</f>
        <v/>
      </c>
      <c r="K660" s="9">
        <f>IF(ISNA(MATCH(647,Engine!$C$2:$C$1369,0)),"",INDEX('Compliance Database'!$K$2:$K$1369,MATCH(647,Engine!$C$2:$C$1369,0)))</f>
        <v/>
      </c>
      <c r="L660" s="9">
        <f>IF(ISNA(MATCH(647,Engine!$C$2:$C$1369,0)),"",INDEX('Compliance Database'!$L$2:$L$1369,MATCH(647,Engine!$C$2:$C$1369,0)))</f>
        <v/>
      </c>
      <c r="M660" s="9">
        <f>IF(ISNA(MATCH(647,Engine!$C$2:$C$1369,0)),"",INDEX('Compliance Database'!$M$2:$M$1369,MATCH(647,Engine!$C$2:$C$1369,0)))</f>
        <v/>
      </c>
      <c r="N660" s="9">
        <f>IF(ISNA(MATCH(647,Engine!$C$2:$C$1369,0)),"",INDEX('Compliance Database'!$N$2:$N$1369,MATCH(647,Engine!$C$2:$C$1369,0)))</f>
        <v/>
      </c>
      <c r="O660" s="8">
        <f>IF(ISNA(MATCH(647,Engine!$C$2:$C$1369,0)),"",HYPERLINK(INDEX('Compliance Database'!$O$2:$O$1369,MATCH(647,Engine!$C$2:$C$1369,0)),"Open PDF"))</f>
        <v/>
      </c>
    </row>
    <row r="661" ht="188" customHeight="1">
      <c r="A661" s="8">
        <f>IF(ISNA(MATCH(648,Engine!$C$2:$C$1369,0)),"",INDEX('Compliance Database'!$A$2:$A$1369,MATCH(648,Engine!$C$2:$C$1369,0)))</f>
        <v/>
      </c>
      <c r="B661" s="8">
        <f>IF(ISNA(MATCH(648,Engine!$C$2:$C$1369,0)),"",INDEX('Compliance Database'!$B$2:$B$1369,MATCH(648,Engine!$C$2:$C$1369,0)))</f>
        <v/>
      </c>
      <c r="C661" s="8">
        <f>IF(ISNA(MATCH(648,Engine!$C$2:$C$1369,0)),"",INDEX('Compliance Database'!$C$2:$C$1369,MATCH(648,Engine!$C$2:$C$1369,0)))</f>
        <v/>
      </c>
      <c r="D661" s="9">
        <f>IF(ISNA(MATCH(648,Engine!$C$2:$C$1369,0)),"",INDEX('Compliance Database'!$D$2:$D$1369,MATCH(648,Engine!$C$2:$C$1369,0)))</f>
        <v/>
      </c>
      <c r="E661" s="8">
        <f>IF(ISNA(MATCH(648,Engine!$C$2:$C$1369,0)),"",INDEX('Compliance Database'!$E$2:$E$1369,MATCH(648,Engine!$C$2:$C$1369,0)))</f>
        <v/>
      </c>
      <c r="F661" s="8">
        <f>IF(ISNA(MATCH(648,Engine!$C$2:$C$1369,0)),"",INDEX('Compliance Database'!$F$2:$F$1369,MATCH(648,Engine!$C$2:$C$1369,0)))</f>
        <v/>
      </c>
      <c r="G661" s="8">
        <f>IF(ISNA(MATCH(648,Engine!$C$2:$C$1369,0)),"",INDEX('Compliance Database'!$G$2:$G$1369,MATCH(648,Engine!$C$2:$C$1369,0)))</f>
        <v/>
      </c>
      <c r="H661" s="9">
        <f>IF(ISNA(MATCH(648,Engine!$C$2:$C$1369,0)),"",INDEX('Compliance Database'!$H$2:$H$1369,MATCH(648,Engine!$C$2:$C$1369,0)))</f>
        <v/>
      </c>
      <c r="I661" s="9">
        <f>IF(ISNA(MATCH(648,Engine!$C$2:$C$1369,0)),"",INDEX('Compliance Database'!$I$2:$I$1369,MATCH(648,Engine!$C$2:$C$1369,0)))</f>
        <v/>
      </c>
      <c r="J661" s="8">
        <f>IF(ISNA(MATCH(648,Engine!$C$2:$C$1369,0)),"",INDEX('Compliance Database'!$J$2:$J$1369,MATCH(648,Engine!$C$2:$C$1369,0)))</f>
        <v/>
      </c>
      <c r="K661" s="9">
        <f>IF(ISNA(MATCH(648,Engine!$C$2:$C$1369,0)),"",INDEX('Compliance Database'!$K$2:$K$1369,MATCH(648,Engine!$C$2:$C$1369,0)))</f>
        <v/>
      </c>
      <c r="L661" s="9">
        <f>IF(ISNA(MATCH(648,Engine!$C$2:$C$1369,0)),"",INDEX('Compliance Database'!$L$2:$L$1369,MATCH(648,Engine!$C$2:$C$1369,0)))</f>
        <v/>
      </c>
      <c r="M661" s="9">
        <f>IF(ISNA(MATCH(648,Engine!$C$2:$C$1369,0)),"",INDEX('Compliance Database'!$M$2:$M$1369,MATCH(648,Engine!$C$2:$C$1369,0)))</f>
        <v/>
      </c>
      <c r="N661" s="9">
        <f>IF(ISNA(MATCH(648,Engine!$C$2:$C$1369,0)),"",INDEX('Compliance Database'!$N$2:$N$1369,MATCH(648,Engine!$C$2:$C$1369,0)))</f>
        <v/>
      </c>
      <c r="O661" s="8">
        <f>IF(ISNA(MATCH(648,Engine!$C$2:$C$1369,0)),"",HYPERLINK(INDEX('Compliance Database'!$O$2:$O$1369,MATCH(648,Engine!$C$2:$C$1369,0)),"Open PDF"))</f>
        <v/>
      </c>
    </row>
    <row r="662" ht="188" customHeight="1">
      <c r="A662" s="8">
        <f>IF(ISNA(MATCH(649,Engine!$C$2:$C$1369,0)),"",INDEX('Compliance Database'!$A$2:$A$1369,MATCH(649,Engine!$C$2:$C$1369,0)))</f>
        <v/>
      </c>
      <c r="B662" s="8">
        <f>IF(ISNA(MATCH(649,Engine!$C$2:$C$1369,0)),"",INDEX('Compliance Database'!$B$2:$B$1369,MATCH(649,Engine!$C$2:$C$1369,0)))</f>
        <v/>
      </c>
      <c r="C662" s="8">
        <f>IF(ISNA(MATCH(649,Engine!$C$2:$C$1369,0)),"",INDEX('Compliance Database'!$C$2:$C$1369,MATCH(649,Engine!$C$2:$C$1369,0)))</f>
        <v/>
      </c>
      <c r="D662" s="9">
        <f>IF(ISNA(MATCH(649,Engine!$C$2:$C$1369,0)),"",INDEX('Compliance Database'!$D$2:$D$1369,MATCH(649,Engine!$C$2:$C$1369,0)))</f>
        <v/>
      </c>
      <c r="E662" s="8">
        <f>IF(ISNA(MATCH(649,Engine!$C$2:$C$1369,0)),"",INDEX('Compliance Database'!$E$2:$E$1369,MATCH(649,Engine!$C$2:$C$1369,0)))</f>
        <v/>
      </c>
      <c r="F662" s="8">
        <f>IF(ISNA(MATCH(649,Engine!$C$2:$C$1369,0)),"",INDEX('Compliance Database'!$F$2:$F$1369,MATCH(649,Engine!$C$2:$C$1369,0)))</f>
        <v/>
      </c>
      <c r="G662" s="8">
        <f>IF(ISNA(MATCH(649,Engine!$C$2:$C$1369,0)),"",INDEX('Compliance Database'!$G$2:$G$1369,MATCH(649,Engine!$C$2:$C$1369,0)))</f>
        <v/>
      </c>
      <c r="H662" s="9">
        <f>IF(ISNA(MATCH(649,Engine!$C$2:$C$1369,0)),"",INDEX('Compliance Database'!$H$2:$H$1369,MATCH(649,Engine!$C$2:$C$1369,0)))</f>
        <v/>
      </c>
      <c r="I662" s="9">
        <f>IF(ISNA(MATCH(649,Engine!$C$2:$C$1369,0)),"",INDEX('Compliance Database'!$I$2:$I$1369,MATCH(649,Engine!$C$2:$C$1369,0)))</f>
        <v/>
      </c>
      <c r="J662" s="8">
        <f>IF(ISNA(MATCH(649,Engine!$C$2:$C$1369,0)),"",INDEX('Compliance Database'!$J$2:$J$1369,MATCH(649,Engine!$C$2:$C$1369,0)))</f>
        <v/>
      </c>
      <c r="K662" s="9">
        <f>IF(ISNA(MATCH(649,Engine!$C$2:$C$1369,0)),"",INDEX('Compliance Database'!$K$2:$K$1369,MATCH(649,Engine!$C$2:$C$1369,0)))</f>
        <v/>
      </c>
      <c r="L662" s="9">
        <f>IF(ISNA(MATCH(649,Engine!$C$2:$C$1369,0)),"",INDEX('Compliance Database'!$L$2:$L$1369,MATCH(649,Engine!$C$2:$C$1369,0)))</f>
        <v/>
      </c>
      <c r="M662" s="9">
        <f>IF(ISNA(MATCH(649,Engine!$C$2:$C$1369,0)),"",INDEX('Compliance Database'!$M$2:$M$1369,MATCH(649,Engine!$C$2:$C$1369,0)))</f>
        <v/>
      </c>
      <c r="N662" s="9">
        <f>IF(ISNA(MATCH(649,Engine!$C$2:$C$1369,0)),"",INDEX('Compliance Database'!$N$2:$N$1369,MATCH(649,Engine!$C$2:$C$1369,0)))</f>
        <v/>
      </c>
      <c r="O662" s="8">
        <f>IF(ISNA(MATCH(649,Engine!$C$2:$C$1369,0)),"",HYPERLINK(INDEX('Compliance Database'!$O$2:$O$1369,MATCH(649,Engine!$C$2:$C$1369,0)),"Open PDF"))</f>
        <v/>
      </c>
    </row>
    <row r="663" ht="188" customHeight="1">
      <c r="A663" s="8">
        <f>IF(ISNA(MATCH(650,Engine!$C$2:$C$1369,0)),"",INDEX('Compliance Database'!$A$2:$A$1369,MATCH(650,Engine!$C$2:$C$1369,0)))</f>
        <v/>
      </c>
      <c r="B663" s="8">
        <f>IF(ISNA(MATCH(650,Engine!$C$2:$C$1369,0)),"",INDEX('Compliance Database'!$B$2:$B$1369,MATCH(650,Engine!$C$2:$C$1369,0)))</f>
        <v/>
      </c>
      <c r="C663" s="8">
        <f>IF(ISNA(MATCH(650,Engine!$C$2:$C$1369,0)),"",INDEX('Compliance Database'!$C$2:$C$1369,MATCH(650,Engine!$C$2:$C$1369,0)))</f>
        <v/>
      </c>
      <c r="D663" s="9">
        <f>IF(ISNA(MATCH(650,Engine!$C$2:$C$1369,0)),"",INDEX('Compliance Database'!$D$2:$D$1369,MATCH(650,Engine!$C$2:$C$1369,0)))</f>
        <v/>
      </c>
      <c r="E663" s="8">
        <f>IF(ISNA(MATCH(650,Engine!$C$2:$C$1369,0)),"",INDEX('Compliance Database'!$E$2:$E$1369,MATCH(650,Engine!$C$2:$C$1369,0)))</f>
        <v/>
      </c>
      <c r="F663" s="8">
        <f>IF(ISNA(MATCH(650,Engine!$C$2:$C$1369,0)),"",INDEX('Compliance Database'!$F$2:$F$1369,MATCH(650,Engine!$C$2:$C$1369,0)))</f>
        <v/>
      </c>
      <c r="G663" s="8">
        <f>IF(ISNA(MATCH(650,Engine!$C$2:$C$1369,0)),"",INDEX('Compliance Database'!$G$2:$G$1369,MATCH(650,Engine!$C$2:$C$1369,0)))</f>
        <v/>
      </c>
      <c r="H663" s="9">
        <f>IF(ISNA(MATCH(650,Engine!$C$2:$C$1369,0)),"",INDEX('Compliance Database'!$H$2:$H$1369,MATCH(650,Engine!$C$2:$C$1369,0)))</f>
        <v/>
      </c>
      <c r="I663" s="9">
        <f>IF(ISNA(MATCH(650,Engine!$C$2:$C$1369,0)),"",INDEX('Compliance Database'!$I$2:$I$1369,MATCH(650,Engine!$C$2:$C$1369,0)))</f>
        <v/>
      </c>
      <c r="J663" s="8">
        <f>IF(ISNA(MATCH(650,Engine!$C$2:$C$1369,0)),"",INDEX('Compliance Database'!$J$2:$J$1369,MATCH(650,Engine!$C$2:$C$1369,0)))</f>
        <v/>
      </c>
      <c r="K663" s="9">
        <f>IF(ISNA(MATCH(650,Engine!$C$2:$C$1369,0)),"",INDEX('Compliance Database'!$K$2:$K$1369,MATCH(650,Engine!$C$2:$C$1369,0)))</f>
        <v/>
      </c>
      <c r="L663" s="9">
        <f>IF(ISNA(MATCH(650,Engine!$C$2:$C$1369,0)),"",INDEX('Compliance Database'!$L$2:$L$1369,MATCH(650,Engine!$C$2:$C$1369,0)))</f>
        <v/>
      </c>
      <c r="M663" s="9">
        <f>IF(ISNA(MATCH(650,Engine!$C$2:$C$1369,0)),"",INDEX('Compliance Database'!$M$2:$M$1369,MATCH(650,Engine!$C$2:$C$1369,0)))</f>
        <v/>
      </c>
      <c r="N663" s="9">
        <f>IF(ISNA(MATCH(650,Engine!$C$2:$C$1369,0)),"",INDEX('Compliance Database'!$N$2:$N$1369,MATCH(650,Engine!$C$2:$C$1369,0)))</f>
        <v/>
      </c>
      <c r="O663" s="8">
        <f>IF(ISNA(MATCH(650,Engine!$C$2:$C$1369,0)),"",HYPERLINK(INDEX('Compliance Database'!$O$2:$O$1369,MATCH(650,Engine!$C$2:$C$1369,0)),"Open PDF"))</f>
        <v/>
      </c>
    </row>
    <row r="664" ht="188" customHeight="1">
      <c r="A664" s="8">
        <f>IF(ISNA(MATCH(651,Engine!$C$2:$C$1369,0)),"",INDEX('Compliance Database'!$A$2:$A$1369,MATCH(651,Engine!$C$2:$C$1369,0)))</f>
        <v/>
      </c>
      <c r="B664" s="8">
        <f>IF(ISNA(MATCH(651,Engine!$C$2:$C$1369,0)),"",INDEX('Compliance Database'!$B$2:$B$1369,MATCH(651,Engine!$C$2:$C$1369,0)))</f>
        <v/>
      </c>
      <c r="C664" s="8">
        <f>IF(ISNA(MATCH(651,Engine!$C$2:$C$1369,0)),"",INDEX('Compliance Database'!$C$2:$C$1369,MATCH(651,Engine!$C$2:$C$1369,0)))</f>
        <v/>
      </c>
      <c r="D664" s="9">
        <f>IF(ISNA(MATCH(651,Engine!$C$2:$C$1369,0)),"",INDEX('Compliance Database'!$D$2:$D$1369,MATCH(651,Engine!$C$2:$C$1369,0)))</f>
        <v/>
      </c>
      <c r="E664" s="8">
        <f>IF(ISNA(MATCH(651,Engine!$C$2:$C$1369,0)),"",INDEX('Compliance Database'!$E$2:$E$1369,MATCH(651,Engine!$C$2:$C$1369,0)))</f>
        <v/>
      </c>
      <c r="F664" s="8">
        <f>IF(ISNA(MATCH(651,Engine!$C$2:$C$1369,0)),"",INDEX('Compliance Database'!$F$2:$F$1369,MATCH(651,Engine!$C$2:$C$1369,0)))</f>
        <v/>
      </c>
      <c r="G664" s="8">
        <f>IF(ISNA(MATCH(651,Engine!$C$2:$C$1369,0)),"",INDEX('Compliance Database'!$G$2:$G$1369,MATCH(651,Engine!$C$2:$C$1369,0)))</f>
        <v/>
      </c>
      <c r="H664" s="9">
        <f>IF(ISNA(MATCH(651,Engine!$C$2:$C$1369,0)),"",INDEX('Compliance Database'!$H$2:$H$1369,MATCH(651,Engine!$C$2:$C$1369,0)))</f>
        <v/>
      </c>
      <c r="I664" s="9">
        <f>IF(ISNA(MATCH(651,Engine!$C$2:$C$1369,0)),"",INDEX('Compliance Database'!$I$2:$I$1369,MATCH(651,Engine!$C$2:$C$1369,0)))</f>
        <v/>
      </c>
      <c r="J664" s="8">
        <f>IF(ISNA(MATCH(651,Engine!$C$2:$C$1369,0)),"",INDEX('Compliance Database'!$J$2:$J$1369,MATCH(651,Engine!$C$2:$C$1369,0)))</f>
        <v/>
      </c>
      <c r="K664" s="9">
        <f>IF(ISNA(MATCH(651,Engine!$C$2:$C$1369,0)),"",INDEX('Compliance Database'!$K$2:$K$1369,MATCH(651,Engine!$C$2:$C$1369,0)))</f>
        <v/>
      </c>
      <c r="L664" s="9">
        <f>IF(ISNA(MATCH(651,Engine!$C$2:$C$1369,0)),"",INDEX('Compliance Database'!$L$2:$L$1369,MATCH(651,Engine!$C$2:$C$1369,0)))</f>
        <v/>
      </c>
      <c r="M664" s="9">
        <f>IF(ISNA(MATCH(651,Engine!$C$2:$C$1369,0)),"",INDEX('Compliance Database'!$M$2:$M$1369,MATCH(651,Engine!$C$2:$C$1369,0)))</f>
        <v/>
      </c>
      <c r="N664" s="9">
        <f>IF(ISNA(MATCH(651,Engine!$C$2:$C$1369,0)),"",INDEX('Compliance Database'!$N$2:$N$1369,MATCH(651,Engine!$C$2:$C$1369,0)))</f>
        <v/>
      </c>
      <c r="O664" s="8">
        <f>IF(ISNA(MATCH(651,Engine!$C$2:$C$1369,0)),"",HYPERLINK(INDEX('Compliance Database'!$O$2:$O$1369,MATCH(651,Engine!$C$2:$C$1369,0)),"Open PDF"))</f>
        <v/>
      </c>
    </row>
    <row r="665" ht="188" customHeight="1">
      <c r="A665" s="8">
        <f>IF(ISNA(MATCH(652,Engine!$C$2:$C$1369,0)),"",INDEX('Compliance Database'!$A$2:$A$1369,MATCH(652,Engine!$C$2:$C$1369,0)))</f>
        <v/>
      </c>
      <c r="B665" s="8">
        <f>IF(ISNA(MATCH(652,Engine!$C$2:$C$1369,0)),"",INDEX('Compliance Database'!$B$2:$B$1369,MATCH(652,Engine!$C$2:$C$1369,0)))</f>
        <v/>
      </c>
      <c r="C665" s="8">
        <f>IF(ISNA(MATCH(652,Engine!$C$2:$C$1369,0)),"",INDEX('Compliance Database'!$C$2:$C$1369,MATCH(652,Engine!$C$2:$C$1369,0)))</f>
        <v/>
      </c>
      <c r="D665" s="9">
        <f>IF(ISNA(MATCH(652,Engine!$C$2:$C$1369,0)),"",INDEX('Compliance Database'!$D$2:$D$1369,MATCH(652,Engine!$C$2:$C$1369,0)))</f>
        <v/>
      </c>
      <c r="E665" s="8">
        <f>IF(ISNA(MATCH(652,Engine!$C$2:$C$1369,0)),"",INDEX('Compliance Database'!$E$2:$E$1369,MATCH(652,Engine!$C$2:$C$1369,0)))</f>
        <v/>
      </c>
      <c r="F665" s="8">
        <f>IF(ISNA(MATCH(652,Engine!$C$2:$C$1369,0)),"",INDEX('Compliance Database'!$F$2:$F$1369,MATCH(652,Engine!$C$2:$C$1369,0)))</f>
        <v/>
      </c>
      <c r="G665" s="8">
        <f>IF(ISNA(MATCH(652,Engine!$C$2:$C$1369,0)),"",INDEX('Compliance Database'!$G$2:$G$1369,MATCH(652,Engine!$C$2:$C$1369,0)))</f>
        <v/>
      </c>
      <c r="H665" s="9">
        <f>IF(ISNA(MATCH(652,Engine!$C$2:$C$1369,0)),"",INDEX('Compliance Database'!$H$2:$H$1369,MATCH(652,Engine!$C$2:$C$1369,0)))</f>
        <v/>
      </c>
      <c r="I665" s="9">
        <f>IF(ISNA(MATCH(652,Engine!$C$2:$C$1369,0)),"",INDEX('Compliance Database'!$I$2:$I$1369,MATCH(652,Engine!$C$2:$C$1369,0)))</f>
        <v/>
      </c>
      <c r="J665" s="8">
        <f>IF(ISNA(MATCH(652,Engine!$C$2:$C$1369,0)),"",INDEX('Compliance Database'!$J$2:$J$1369,MATCH(652,Engine!$C$2:$C$1369,0)))</f>
        <v/>
      </c>
      <c r="K665" s="9">
        <f>IF(ISNA(MATCH(652,Engine!$C$2:$C$1369,0)),"",INDEX('Compliance Database'!$K$2:$K$1369,MATCH(652,Engine!$C$2:$C$1369,0)))</f>
        <v/>
      </c>
      <c r="L665" s="9">
        <f>IF(ISNA(MATCH(652,Engine!$C$2:$C$1369,0)),"",INDEX('Compliance Database'!$L$2:$L$1369,MATCH(652,Engine!$C$2:$C$1369,0)))</f>
        <v/>
      </c>
      <c r="M665" s="9">
        <f>IF(ISNA(MATCH(652,Engine!$C$2:$C$1369,0)),"",INDEX('Compliance Database'!$M$2:$M$1369,MATCH(652,Engine!$C$2:$C$1369,0)))</f>
        <v/>
      </c>
      <c r="N665" s="9">
        <f>IF(ISNA(MATCH(652,Engine!$C$2:$C$1369,0)),"",INDEX('Compliance Database'!$N$2:$N$1369,MATCH(652,Engine!$C$2:$C$1369,0)))</f>
        <v/>
      </c>
      <c r="O665" s="8">
        <f>IF(ISNA(MATCH(652,Engine!$C$2:$C$1369,0)),"",HYPERLINK(INDEX('Compliance Database'!$O$2:$O$1369,MATCH(652,Engine!$C$2:$C$1369,0)),"Open PDF"))</f>
        <v/>
      </c>
    </row>
    <row r="666" ht="188" customHeight="1">
      <c r="A666" s="8">
        <f>IF(ISNA(MATCH(653,Engine!$C$2:$C$1369,0)),"",INDEX('Compliance Database'!$A$2:$A$1369,MATCH(653,Engine!$C$2:$C$1369,0)))</f>
        <v/>
      </c>
      <c r="B666" s="8">
        <f>IF(ISNA(MATCH(653,Engine!$C$2:$C$1369,0)),"",INDEX('Compliance Database'!$B$2:$B$1369,MATCH(653,Engine!$C$2:$C$1369,0)))</f>
        <v/>
      </c>
      <c r="C666" s="8">
        <f>IF(ISNA(MATCH(653,Engine!$C$2:$C$1369,0)),"",INDEX('Compliance Database'!$C$2:$C$1369,MATCH(653,Engine!$C$2:$C$1369,0)))</f>
        <v/>
      </c>
      <c r="D666" s="9">
        <f>IF(ISNA(MATCH(653,Engine!$C$2:$C$1369,0)),"",INDEX('Compliance Database'!$D$2:$D$1369,MATCH(653,Engine!$C$2:$C$1369,0)))</f>
        <v/>
      </c>
      <c r="E666" s="8">
        <f>IF(ISNA(MATCH(653,Engine!$C$2:$C$1369,0)),"",INDEX('Compliance Database'!$E$2:$E$1369,MATCH(653,Engine!$C$2:$C$1369,0)))</f>
        <v/>
      </c>
      <c r="F666" s="8">
        <f>IF(ISNA(MATCH(653,Engine!$C$2:$C$1369,0)),"",INDEX('Compliance Database'!$F$2:$F$1369,MATCH(653,Engine!$C$2:$C$1369,0)))</f>
        <v/>
      </c>
      <c r="G666" s="8">
        <f>IF(ISNA(MATCH(653,Engine!$C$2:$C$1369,0)),"",INDEX('Compliance Database'!$G$2:$G$1369,MATCH(653,Engine!$C$2:$C$1369,0)))</f>
        <v/>
      </c>
      <c r="H666" s="9">
        <f>IF(ISNA(MATCH(653,Engine!$C$2:$C$1369,0)),"",INDEX('Compliance Database'!$H$2:$H$1369,MATCH(653,Engine!$C$2:$C$1369,0)))</f>
        <v/>
      </c>
      <c r="I666" s="9">
        <f>IF(ISNA(MATCH(653,Engine!$C$2:$C$1369,0)),"",INDEX('Compliance Database'!$I$2:$I$1369,MATCH(653,Engine!$C$2:$C$1369,0)))</f>
        <v/>
      </c>
      <c r="J666" s="8">
        <f>IF(ISNA(MATCH(653,Engine!$C$2:$C$1369,0)),"",INDEX('Compliance Database'!$J$2:$J$1369,MATCH(653,Engine!$C$2:$C$1369,0)))</f>
        <v/>
      </c>
      <c r="K666" s="9">
        <f>IF(ISNA(MATCH(653,Engine!$C$2:$C$1369,0)),"",INDEX('Compliance Database'!$K$2:$K$1369,MATCH(653,Engine!$C$2:$C$1369,0)))</f>
        <v/>
      </c>
      <c r="L666" s="9">
        <f>IF(ISNA(MATCH(653,Engine!$C$2:$C$1369,0)),"",INDEX('Compliance Database'!$L$2:$L$1369,MATCH(653,Engine!$C$2:$C$1369,0)))</f>
        <v/>
      </c>
      <c r="M666" s="9">
        <f>IF(ISNA(MATCH(653,Engine!$C$2:$C$1369,0)),"",INDEX('Compliance Database'!$M$2:$M$1369,MATCH(653,Engine!$C$2:$C$1369,0)))</f>
        <v/>
      </c>
      <c r="N666" s="9">
        <f>IF(ISNA(MATCH(653,Engine!$C$2:$C$1369,0)),"",INDEX('Compliance Database'!$N$2:$N$1369,MATCH(653,Engine!$C$2:$C$1369,0)))</f>
        <v/>
      </c>
      <c r="O666" s="8">
        <f>IF(ISNA(MATCH(653,Engine!$C$2:$C$1369,0)),"",HYPERLINK(INDEX('Compliance Database'!$O$2:$O$1369,MATCH(653,Engine!$C$2:$C$1369,0)),"Open PDF"))</f>
        <v/>
      </c>
    </row>
    <row r="667" ht="188" customHeight="1">
      <c r="A667" s="8">
        <f>IF(ISNA(MATCH(654,Engine!$C$2:$C$1369,0)),"",INDEX('Compliance Database'!$A$2:$A$1369,MATCH(654,Engine!$C$2:$C$1369,0)))</f>
        <v/>
      </c>
      <c r="B667" s="8">
        <f>IF(ISNA(MATCH(654,Engine!$C$2:$C$1369,0)),"",INDEX('Compliance Database'!$B$2:$B$1369,MATCH(654,Engine!$C$2:$C$1369,0)))</f>
        <v/>
      </c>
      <c r="C667" s="8">
        <f>IF(ISNA(MATCH(654,Engine!$C$2:$C$1369,0)),"",INDEX('Compliance Database'!$C$2:$C$1369,MATCH(654,Engine!$C$2:$C$1369,0)))</f>
        <v/>
      </c>
      <c r="D667" s="9">
        <f>IF(ISNA(MATCH(654,Engine!$C$2:$C$1369,0)),"",INDEX('Compliance Database'!$D$2:$D$1369,MATCH(654,Engine!$C$2:$C$1369,0)))</f>
        <v/>
      </c>
      <c r="E667" s="8">
        <f>IF(ISNA(MATCH(654,Engine!$C$2:$C$1369,0)),"",INDEX('Compliance Database'!$E$2:$E$1369,MATCH(654,Engine!$C$2:$C$1369,0)))</f>
        <v/>
      </c>
      <c r="F667" s="8">
        <f>IF(ISNA(MATCH(654,Engine!$C$2:$C$1369,0)),"",INDEX('Compliance Database'!$F$2:$F$1369,MATCH(654,Engine!$C$2:$C$1369,0)))</f>
        <v/>
      </c>
      <c r="G667" s="8">
        <f>IF(ISNA(MATCH(654,Engine!$C$2:$C$1369,0)),"",INDEX('Compliance Database'!$G$2:$G$1369,MATCH(654,Engine!$C$2:$C$1369,0)))</f>
        <v/>
      </c>
      <c r="H667" s="9">
        <f>IF(ISNA(MATCH(654,Engine!$C$2:$C$1369,0)),"",INDEX('Compliance Database'!$H$2:$H$1369,MATCH(654,Engine!$C$2:$C$1369,0)))</f>
        <v/>
      </c>
      <c r="I667" s="9">
        <f>IF(ISNA(MATCH(654,Engine!$C$2:$C$1369,0)),"",INDEX('Compliance Database'!$I$2:$I$1369,MATCH(654,Engine!$C$2:$C$1369,0)))</f>
        <v/>
      </c>
      <c r="J667" s="8">
        <f>IF(ISNA(MATCH(654,Engine!$C$2:$C$1369,0)),"",INDEX('Compliance Database'!$J$2:$J$1369,MATCH(654,Engine!$C$2:$C$1369,0)))</f>
        <v/>
      </c>
      <c r="K667" s="9">
        <f>IF(ISNA(MATCH(654,Engine!$C$2:$C$1369,0)),"",INDEX('Compliance Database'!$K$2:$K$1369,MATCH(654,Engine!$C$2:$C$1369,0)))</f>
        <v/>
      </c>
      <c r="L667" s="9">
        <f>IF(ISNA(MATCH(654,Engine!$C$2:$C$1369,0)),"",INDEX('Compliance Database'!$L$2:$L$1369,MATCH(654,Engine!$C$2:$C$1369,0)))</f>
        <v/>
      </c>
      <c r="M667" s="9">
        <f>IF(ISNA(MATCH(654,Engine!$C$2:$C$1369,0)),"",INDEX('Compliance Database'!$M$2:$M$1369,MATCH(654,Engine!$C$2:$C$1369,0)))</f>
        <v/>
      </c>
      <c r="N667" s="9">
        <f>IF(ISNA(MATCH(654,Engine!$C$2:$C$1369,0)),"",INDEX('Compliance Database'!$N$2:$N$1369,MATCH(654,Engine!$C$2:$C$1369,0)))</f>
        <v/>
      </c>
      <c r="O667" s="8">
        <f>IF(ISNA(MATCH(654,Engine!$C$2:$C$1369,0)),"",HYPERLINK(INDEX('Compliance Database'!$O$2:$O$1369,MATCH(654,Engine!$C$2:$C$1369,0)),"Open PDF"))</f>
        <v/>
      </c>
    </row>
    <row r="668" ht="188" customHeight="1">
      <c r="A668" s="8">
        <f>IF(ISNA(MATCH(655,Engine!$C$2:$C$1369,0)),"",INDEX('Compliance Database'!$A$2:$A$1369,MATCH(655,Engine!$C$2:$C$1369,0)))</f>
        <v/>
      </c>
      <c r="B668" s="8">
        <f>IF(ISNA(MATCH(655,Engine!$C$2:$C$1369,0)),"",INDEX('Compliance Database'!$B$2:$B$1369,MATCH(655,Engine!$C$2:$C$1369,0)))</f>
        <v/>
      </c>
      <c r="C668" s="8">
        <f>IF(ISNA(MATCH(655,Engine!$C$2:$C$1369,0)),"",INDEX('Compliance Database'!$C$2:$C$1369,MATCH(655,Engine!$C$2:$C$1369,0)))</f>
        <v/>
      </c>
      <c r="D668" s="9">
        <f>IF(ISNA(MATCH(655,Engine!$C$2:$C$1369,0)),"",INDEX('Compliance Database'!$D$2:$D$1369,MATCH(655,Engine!$C$2:$C$1369,0)))</f>
        <v/>
      </c>
      <c r="E668" s="8">
        <f>IF(ISNA(MATCH(655,Engine!$C$2:$C$1369,0)),"",INDEX('Compliance Database'!$E$2:$E$1369,MATCH(655,Engine!$C$2:$C$1369,0)))</f>
        <v/>
      </c>
      <c r="F668" s="8">
        <f>IF(ISNA(MATCH(655,Engine!$C$2:$C$1369,0)),"",INDEX('Compliance Database'!$F$2:$F$1369,MATCH(655,Engine!$C$2:$C$1369,0)))</f>
        <v/>
      </c>
      <c r="G668" s="8">
        <f>IF(ISNA(MATCH(655,Engine!$C$2:$C$1369,0)),"",INDEX('Compliance Database'!$G$2:$G$1369,MATCH(655,Engine!$C$2:$C$1369,0)))</f>
        <v/>
      </c>
      <c r="H668" s="9">
        <f>IF(ISNA(MATCH(655,Engine!$C$2:$C$1369,0)),"",INDEX('Compliance Database'!$H$2:$H$1369,MATCH(655,Engine!$C$2:$C$1369,0)))</f>
        <v/>
      </c>
      <c r="I668" s="9">
        <f>IF(ISNA(MATCH(655,Engine!$C$2:$C$1369,0)),"",INDEX('Compliance Database'!$I$2:$I$1369,MATCH(655,Engine!$C$2:$C$1369,0)))</f>
        <v/>
      </c>
      <c r="J668" s="8">
        <f>IF(ISNA(MATCH(655,Engine!$C$2:$C$1369,0)),"",INDEX('Compliance Database'!$J$2:$J$1369,MATCH(655,Engine!$C$2:$C$1369,0)))</f>
        <v/>
      </c>
      <c r="K668" s="9">
        <f>IF(ISNA(MATCH(655,Engine!$C$2:$C$1369,0)),"",INDEX('Compliance Database'!$K$2:$K$1369,MATCH(655,Engine!$C$2:$C$1369,0)))</f>
        <v/>
      </c>
      <c r="L668" s="9">
        <f>IF(ISNA(MATCH(655,Engine!$C$2:$C$1369,0)),"",INDEX('Compliance Database'!$L$2:$L$1369,MATCH(655,Engine!$C$2:$C$1369,0)))</f>
        <v/>
      </c>
      <c r="M668" s="9">
        <f>IF(ISNA(MATCH(655,Engine!$C$2:$C$1369,0)),"",INDEX('Compliance Database'!$M$2:$M$1369,MATCH(655,Engine!$C$2:$C$1369,0)))</f>
        <v/>
      </c>
      <c r="N668" s="9">
        <f>IF(ISNA(MATCH(655,Engine!$C$2:$C$1369,0)),"",INDEX('Compliance Database'!$N$2:$N$1369,MATCH(655,Engine!$C$2:$C$1369,0)))</f>
        <v/>
      </c>
      <c r="O668" s="8">
        <f>IF(ISNA(MATCH(655,Engine!$C$2:$C$1369,0)),"",HYPERLINK(INDEX('Compliance Database'!$O$2:$O$1369,MATCH(655,Engine!$C$2:$C$1369,0)),"Open PDF"))</f>
        <v/>
      </c>
    </row>
    <row r="669" ht="188" customHeight="1">
      <c r="A669" s="8">
        <f>IF(ISNA(MATCH(656,Engine!$C$2:$C$1369,0)),"",INDEX('Compliance Database'!$A$2:$A$1369,MATCH(656,Engine!$C$2:$C$1369,0)))</f>
        <v/>
      </c>
      <c r="B669" s="8">
        <f>IF(ISNA(MATCH(656,Engine!$C$2:$C$1369,0)),"",INDEX('Compliance Database'!$B$2:$B$1369,MATCH(656,Engine!$C$2:$C$1369,0)))</f>
        <v/>
      </c>
      <c r="C669" s="8">
        <f>IF(ISNA(MATCH(656,Engine!$C$2:$C$1369,0)),"",INDEX('Compliance Database'!$C$2:$C$1369,MATCH(656,Engine!$C$2:$C$1369,0)))</f>
        <v/>
      </c>
      <c r="D669" s="9">
        <f>IF(ISNA(MATCH(656,Engine!$C$2:$C$1369,0)),"",INDEX('Compliance Database'!$D$2:$D$1369,MATCH(656,Engine!$C$2:$C$1369,0)))</f>
        <v/>
      </c>
      <c r="E669" s="8">
        <f>IF(ISNA(MATCH(656,Engine!$C$2:$C$1369,0)),"",INDEX('Compliance Database'!$E$2:$E$1369,MATCH(656,Engine!$C$2:$C$1369,0)))</f>
        <v/>
      </c>
      <c r="F669" s="8">
        <f>IF(ISNA(MATCH(656,Engine!$C$2:$C$1369,0)),"",INDEX('Compliance Database'!$F$2:$F$1369,MATCH(656,Engine!$C$2:$C$1369,0)))</f>
        <v/>
      </c>
      <c r="G669" s="8">
        <f>IF(ISNA(MATCH(656,Engine!$C$2:$C$1369,0)),"",INDEX('Compliance Database'!$G$2:$G$1369,MATCH(656,Engine!$C$2:$C$1369,0)))</f>
        <v/>
      </c>
      <c r="H669" s="9">
        <f>IF(ISNA(MATCH(656,Engine!$C$2:$C$1369,0)),"",INDEX('Compliance Database'!$H$2:$H$1369,MATCH(656,Engine!$C$2:$C$1369,0)))</f>
        <v/>
      </c>
      <c r="I669" s="9">
        <f>IF(ISNA(MATCH(656,Engine!$C$2:$C$1369,0)),"",INDEX('Compliance Database'!$I$2:$I$1369,MATCH(656,Engine!$C$2:$C$1369,0)))</f>
        <v/>
      </c>
      <c r="J669" s="8">
        <f>IF(ISNA(MATCH(656,Engine!$C$2:$C$1369,0)),"",INDEX('Compliance Database'!$J$2:$J$1369,MATCH(656,Engine!$C$2:$C$1369,0)))</f>
        <v/>
      </c>
      <c r="K669" s="9">
        <f>IF(ISNA(MATCH(656,Engine!$C$2:$C$1369,0)),"",INDEX('Compliance Database'!$K$2:$K$1369,MATCH(656,Engine!$C$2:$C$1369,0)))</f>
        <v/>
      </c>
      <c r="L669" s="9">
        <f>IF(ISNA(MATCH(656,Engine!$C$2:$C$1369,0)),"",INDEX('Compliance Database'!$L$2:$L$1369,MATCH(656,Engine!$C$2:$C$1369,0)))</f>
        <v/>
      </c>
      <c r="M669" s="9">
        <f>IF(ISNA(MATCH(656,Engine!$C$2:$C$1369,0)),"",INDEX('Compliance Database'!$M$2:$M$1369,MATCH(656,Engine!$C$2:$C$1369,0)))</f>
        <v/>
      </c>
      <c r="N669" s="9">
        <f>IF(ISNA(MATCH(656,Engine!$C$2:$C$1369,0)),"",INDEX('Compliance Database'!$N$2:$N$1369,MATCH(656,Engine!$C$2:$C$1369,0)))</f>
        <v/>
      </c>
      <c r="O669" s="8">
        <f>IF(ISNA(MATCH(656,Engine!$C$2:$C$1369,0)),"",HYPERLINK(INDEX('Compliance Database'!$O$2:$O$1369,MATCH(656,Engine!$C$2:$C$1369,0)),"Open PDF"))</f>
        <v/>
      </c>
    </row>
    <row r="670" ht="188" customHeight="1">
      <c r="A670" s="8">
        <f>IF(ISNA(MATCH(657,Engine!$C$2:$C$1369,0)),"",INDEX('Compliance Database'!$A$2:$A$1369,MATCH(657,Engine!$C$2:$C$1369,0)))</f>
        <v/>
      </c>
      <c r="B670" s="8">
        <f>IF(ISNA(MATCH(657,Engine!$C$2:$C$1369,0)),"",INDEX('Compliance Database'!$B$2:$B$1369,MATCH(657,Engine!$C$2:$C$1369,0)))</f>
        <v/>
      </c>
      <c r="C670" s="8">
        <f>IF(ISNA(MATCH(657,Engine!$C$2:$C$1369,0)),"",INDEX('Compliance Database'!$C$2:$C$1369,MATCH(657,Engine!$C$2:$C$1369,0)))</f>
        <v/>
      </c>
      <c r="D670" s="9">
        <f>IF(ISNA(MATCH(657,Engine!$C$2:$C$1369,0)),"",INDEX('Compliance Database'!$D$2:$D$1369,MATCH(657,Engine!$C$2:$C$1369,0)))</f>
        <v/>
      </c>
      <c r="E670" s="8">
        <f>IF(ISNA(MATCH(657,Engine!$C$2:$C$1369,0)),"",INDEX('Compliance Database'!$E$2:$E$1369,MATCH(657,Engine!$C$2:$C$1369,0)))</f>
        <v/>
      </c>
      <c r="F670" s="8">
        <f>IF(ISNA(MATCH(657,Engine!$C$2:$C$1369,0)),"",INDEX('Compliance Database'!$F$2:$F$1369,MATCH(657,Engine!$C$2:$C$1369,0)))</f>
        <v/>
      </c>
      <c r="G670" s="8">
        <f>IF(ISNA(MATCH(657,Engine!$C$2:$C$1369,0)),"",INDEX('Compliance Database'!$G$2:$G$1369,MATCH(657,Engine!$C$2:$C$1369,0)))</f>
        <v/>
      </c>
      <c r="H670" s="9">
        <f>IF(ISNA(MATCH(657,Engine!$C$2:$C$1369,0)),"",INDEX('Compliance Database'!$H$2:$H$1369,MATCH(657,Engine!$C$2:$C$1369,0)))</f>
        <v/>
      </c>
      <c r="I670" s="9">
        <f>IF(ISNA(MATCH(657,Engine!$C$2:$C$1369,0)),"",INDEX('Compliance Database'!$I$2:$I$1369,MATCH(657,Engine!$C$2:$C$1369,0)))</f>
        <v/>
      </c>
      <c r="J670" s="8">
        <f>IF(ISNA(MATCH(657,Engine!$C$2:$C$1369,0)),"",INDEX('Compliance Database'!$J$2:$J$1369,MATCH(657,Engine!$C$2:$C$1369,0)))</f>
        <v/>
      </c>
      <c r="K670" s="9">
        <f>IF(ISNA(MATCH(657,Engine!$C$2:$C$1369,0)),"",INDEX('Compliance Database'!$K$2:$K$1369,MATCH(657,Engine!$C$2:$C$1369,0)))</f>
        <v/>
      </c>
      <c r="L670" s="9">
        <f>IF(ISNA(MATCH(657,Engine!$C$2:$C$1369,0)),"",INDEX('Compliance Database'!$L$2:$L$1369,MATCH(657,Engine!$C$2:$C$1369,0)))</f>
        <v/>
      </c>
      <c r="M670" s="9">
        <f>IF(ISNA(MATCH(657,Engine!$C$2:$C$1369,0)),"",INDEX('Compliance Database'!$M$2:$M$1369,MATCH(657,Engine!$C$2:$C$1369,0)))</f>
        <v/>
      </c>
      <c r="N670" s="9">
        <f>IF(ISNA(MATCH(657,Engine!$C$2:$C$1369,0)),"",INDEX('Compliance Database'!$N$2:$N$1369,MATCH(657,Engine!$C$2:$C$1369,0)))</f>
        <v/>
      </c>
      <c r="O670" s="8">
        <f>IF(ISNA(MATCH(657,Engine!$C$2:$C$1369,0)),"",HYPERLINK(INDEX('Compliance Database'!$O$2:$O$1369,MATCH(657,Engine!$C$2:$C$1369,0)),"Open PDF"))</f>
        <v/>
      </c>
    </row>
    <row r="671" ht="188" customHeight="1">
      <c r="A671" s="8">
        <f>IF(ISNA(MATCH(658,Engine!$C$2:$C$1369,0)),"",INDEX('Compliance Database'!$A$2:$A$1369,MATCH(658,Engine!$C$2:$C$1369,0)))</f>
        <v/>
      </c>
      <c r="B671" s="8">
        <f>IF(ISNA(MATCH(658,Engine!$C$2:$C$1369,0)),"",INDEX('Compliance Database'!$B$2:$B$1369,MATCH(658,Engine!$C$2:$C$1369,0)))</f>
        <v/>
      </c>
      <c r="C671" s="8">
        <f>IF(ISNA(MATCH(658,Engine!$C$2:$C$1369,0)),"",INDEX('Compliance Database'!$C$2:$C$1369,MATCH(658,Engine!$C$2:$C$1369,0)))</f>
        <v/>
      </c>
      <c r="D671" s="9">
        <f>IF(ISNA(MATCH(658,Engine!$C$2:$C$1369,0)),"",INDEX('Compliance Database'!$D$2:$D$1369,MATCH(658,Engine!$C$2:$C$1369,0)))</f>
        <v/>
      </c>
      <c r="E671" s="8">
        <f>IF(ISNA(MATCH(658,Engine!$C$2:$C$1369,0)),"",INDEX('Compliance Database'!$E$2:$E$1369,MATCH(658,Engine!$C$2:$C$1369,0)))</f>
        <v/>
      </c>
      <c r="F671" s="8">
        <f>IF(ISNA(MATCH(658,Engine!$C$2:$C$1369,0)),"",INDEX('Compliance Database'!$F$2:$F$1369,MATCH(658,Engine!$C$2:$C$1369,0)))</f>
        <v/>
      </c>
      <c r="G671" s="8">
        <f>IF(ISNA(MATCH(658,Engine!$C$2:$C$1369,0)),"",INDEX('Compliance Database'!$G$2:$G$1369,MATCH(658,Engine!$C$2:$C$1369,0)))</f>
        <v/>
      </c>
      <c r="H671" s="9">
        <f>IF(ISNA(MATCH(658,Engine!$C$2:$C$1369,0)),"",INDEX('Compliance Database'!$H$2:$H$1369,MATCH(658,Engine!$C$2:$C$1369,0)))</f>
        <v/>
      </c>
      <c r="I671" s="9">
        <f>IF(ISNA(MATCH(658,Engine!$C$2:$C$1369,0)),"",INDEX('Compliance Database'!$I$2:$I$1369,MATCH(658,Engine!$C$2:$C$1369,0)))</f>
        <v/>
      </c>
      <c r="J671" s="8">
        <f>IF(ISNA(MATCH(658,Engine!$C$2:$C$1369,0)),"",INDEX('Compliance Database'!$J$2:$J$1369,MATCH(658,Engine!$C$2:$C$1369,0)))</f>
        <v/>
      </c>
      <c r="K671" s="9">
        <f>IF(ISNA(MATCH(658,Engine!$C$2:$C$1369,0)),"",INDEX('Compliance Database'!$K$2:$K$1369,MATCH(658,Engine!$C$2:$C$1369,0)))</f>
        <v/>
      </c>
      <c r="L671" s="9">
        <f>IF(ISNA(MATCH(658,Engine!$C$2:$C$1369,0)),"",INDEX('Compliance Database'!$L$2:$L$1369,MATCH(658,Engine!$C$2:$C$1369,0)))</f>
        <v/>
      </c>
      <c r="M671" s="9">
        <f>IF(ISNA(MATCH(658,Engine!$C$2:$C$1369,0)),"",INDEX('Compliance Database'!$M$2:$M$1369,MATCH(658,Engine!$C$2:$C$1369,0)))</f>
        <v/>
      </c>
      <c r="N671" s="9">
        <f>IF(ISNA(MATCH(658,Engine!$C$2:$C$1369,0)),"",INDEX('Compliance Database'!$N$2:$N$1369,MATCH(658,Engine!$C$2:$C$1369,0)))</f>
        <v/>
      </c>
      <c r="O671" s="8">
        <f>IF(ISNA(MATCH(658,Engine!$C$2:$C$1369,0)),"",HYPERLINK(INDEX('Compliance Database'!$O$2:$O$1369,MATCH(658,Engine!$C$2:$C$1369,0)),"Open PDF"))</f>
        <v/>
      </c>
    </row>
    <row r="672" ht="188" customHeight="1">
      <c r="A672" s="8">
        <f>IF(ISNA(MATCH(659,Engine!$C$2:$C$1369,0)),"",INDEX('Compliance Database'!$A$2:$A$1369,MATCH(659,Engine!$C$2:$C$1369,0)))</f>
        <v/>
      </c>
      <c r="B672" s="8">
        <f>IF(ISNA(MATCH(659,Engine!$C$2:$C$1369,0)),"",INDEX('Compliance Database'!$B$2:$B$1369,MATCH(659,Engine!$C$2:$C$1369,0)))</f>
        <v/>
      </c>
      <c r="C672" s="8">
        <f>IF(ISNA(MATCH(659,Engine!$C$2:$C$1369,0)),"",INDEX('Compliance Database'!$C$2:$C$1369,MATCH(659,Engine!$C$2:$C$1369,0)))</f>
        <v/>
      </c>
      <c r="D672" s="9">
        <f>IF(ISNA(MATCH(659,Engine!$C$2:$C$1369,0)),"",INDEX('Compliance Database'!$D$2:$D$1369,MATCH(659,Engine!$C$2:$C$1369,0)))</f>
        <v/>
      </c>
      <c r="E672" s="8">
        <f>IF(ISNA(MATCH(659,Engine!$C$2:$C$1369,0)),"",INDEX('Compliance Database'!$E$2:$E$1369,MATCH(659,Engine!$C$2:$C$1369,0)))</f>
        <v/>
      </c>
      <c r="F672" s="8">
        <f>IF(ISNA(MATCH(659,Engine!$C$2:$C$1369,0)),"",INDEX('Compliance Database'!$F$2:$F$1369,MATCH(659,Engine!$C$2:$C$1369,0)))</f>
        <v/>
      </c>
      <c r="G672" s="8">
        <f>IF(ISNA(MATCH(659,Engine!$C$2:$C$1369,0)),"",INDEX('Compliance Database'!$G$2:$G$1369,MATCH(659,Engine!$C$2:$C$1369,0)))</f>
        <v/>
      </c>
      <c r="H672" s="9">
        <f>IF(ISNA(MATCH(659,Engine!$C$2:$C$1369,0)),"",INDEX('Compliance Database'!$H$2:$H$1369,MATCH(659,Engine!$C$2:$C$1369,0)))</f>
        <v/>
      </c>
      <c r="I672" s="9">
        <f>IF(ISNA(MATCH(659,Engine!$C$2:$C$1369,0)),"",INDEX('Compliance Database'!$I$2:$I$1369,MATCH(659,Engine!$C$2:$C$1369,0)))</f>
        <v/>
      </c>
      <c r="J672" s="8">
        <f>IF(ISNA(MATCH(659,Engine!$C$2:$C$1369,0)),"",INDEX('Compliance Database'!$J$2:$J$1369,MATCH(659,Engine!$C$2:$C$1369,0)))</f>
        <v/>
      </c>
      <c r="K672" s="9">
        <f>IF(ISNA(MATCH(659,Engine!$C$2:$C$1369,0)),"",INDEX('Compliance Database'!$K$2:$K$1369,MATCH(659,Engine!$C$2:$C$1369,0)))</f>
        <v/>
      </c>
      <c r="L672" s="9">
        <f>IF(ISNA(MATCH(659,Engine!$C$2:$C$1369,0)),"",INDEX('Compliance Database'!$L$2:$L$1369,MATCH(659,Engine!$C$2:$C$1369,0)))</f>
        <v/>
      </c>
      <c r="M672" s="9">
        <f>IF(ISNA(MATCH(659,Engine!$C$2:$C$1369,0)),"",INDEX('Compliance Database'!$M$2:$M$1369,MATCH(659,Engine!$C$2:$C$1369,0)))</f>
        <v/>
      </c>
      <c r="N672" s="9">
        <f>IF(ISNA(MATCH(659,Engine!$C$2:$C$1369,0)),"",INDEX('Compliance Database'!$N$2:$N$1369,MATCH(659,Engine!$C$2:$C$1369,0)))</f>
        <v/>
      </c>
      <c r="O672" s="8">
        <f>IF(ISNA(MATCH(659,Engine!$C$2:$C$1369,0)),"",HYPERLINK(INDEX('Compliance Database'!$O$2:$O$1369,MATCH(659,Engine!$C$2:$C$1369,0)),"Open PDF"))</f>
        <v/>
      </c>
    </row>
    <row r="673" ht="188" customHeight="1">
      <c r="A673" s="8">
        <f>IF(ISNA(MATCH(660,Engine!$C$2:$C$1369,0)),"",INDEX('Compliance Database'!$A$2:$A$1369,MATCH(660,Engine!$C$2:$C$1369,0)))</f>
        <v/>
      </c>
      <c r="B673" s="8">
        <f>IF(ISNA(MATCH(660,Engine!$C$2:$C$1369,0)),"",INDEX('Compliance Database'!$B$2:$B$1369,MATCH(660,Engine!$C$2:$C$1369,0)))</f>
        <v/>
      </c>
      <c r="C673" s="8">
        <f>IF(ISNA(MATCH(660,Engine!$C$2:$C$1369,0)),"",INDEX('Compliance Database'!$C$2:$C$1369,MATCH(660,Engine!$C$2:$C$1369,0)))</f>
        <v/>
      </c>
      <c r="D673" s="9">
        <f>IF(ISNA(MATCH(660,Engine!$C$2:$C$1369,0)),"",INDEX('Compliance Database'!$D$2:$D$1369,MATCH(660,Engine!$C$2:$C$1369,0)))</f>
        <v/>
      </c>
      <c r="E673" s="8">
        <f>IF(ISNA(MATCH(660,Engine!$C$2:$C$1369,0)),"",INDEX('Compliance Database'!$E$2:$E$1369,MATCH(660,Engine!$C$2:$C$1369,0)))</f>
        <v/>
      </c>
      <c r="F673" s="8">
        <f>IF(ISNA(MATCH(660,Engine!$C$2:$C$1369,0)),"",INDEX('Compliance Database'!$F$2:$F$1369,MATCH(660,Engine!$C$2:$C$1369,0)))</f>
        <v/>
      </c>
      <c r="G673" s="8">
        <f>IF(ISNA(MATCH(660,Engine!$C$2:$C$1369,0)),"",INDEX('Compliance Database'!$G$2:$G$1369,MATCH(660,Engine!$C$2:$C$1369,0)))</f>
        <v/>
      </c>
      <c r="H673" s="9">
        <f>IF(ISNA(MATCH(660,Engine!$C$2:$C$1369,0)),"",INDEX('Compliance Database'!$H$2:$H$1369,MATCH(660,Engine!$C$2:$C$1369,0)))</f>
        <v/>
      </c>
      <c r="I673" s="9">
        <f>IF(ISNA(MATCH(660,Engine!$C$2:$C$1369,0)),"",INDEX('Compliance Database'!$I$2:$I$1369,MATCH(660,Engine!$C$2:$C$1369,0)))</f>
        <v/>
      </c>
      <c r="J673" s="8">
        <f>IF(ISNA(MATCH(660,Engine!$C$2:$C$1369,0)),"",INDEX('Compliance Database'!$J$2:$J$1369,MATCH(660,Engine!$C$2:$C$1369,0)))</f>
        <v/>
      </c>
      <c r="K673" s="9">
        <f>IF(ISNA(MATCH(660,Engine!$C$2:$C$1369,0)),"",INDEX('Compliance Database'!$K$2:$K$1369,MATCH(660,Engine!$C$2:$C$1369,0)))</f>
        <v/>
      </c>
      <c r="L673" s="9">
        <f>IF(ISNA(MATCH(660,Engine!$C$2:$C$1369,0)),"",INDEX('Compliance Database'!$L$2:$L$1369,MATCH(660,Engine!$C$2:$C$1369,0)))</f>
        <v/>
      </c>
      <c r="M673" s="9">
        <f>IF(ISNA(MATCH(660,Engine!$C$2:$C$1369,0)),"",INDEX('Compliance Database'!$M$2:$M$1369,MATCH(660,Engine!$C$2:$C$1369,0)))</f>
        <v/>
      </c>
      <c r="N673" s="9">
        <f>IF(ISNA(MATCH(660,Engine!$C$2:$C$1369,0)),"",INDEX('Compliance Database'!$N$2:$N$1369,MATCH(660,Engine!$C$2:$C$1369,0)))</f>
        <v/>
      </c>
      <c r="O673" s="8">
        <f>IF(ISNA(MATCH(660,Engine!$C$2:$C$1369,0)),"",HYPERLINK(INDEX('Compliance Database'!$O$2:$O$1369,MATCH(660,Engine!$C$2:$C$1369,0)),"Open PDF"))</f>
        <v/>
      </c>
    </row>
    <row r="674" ht="188" customHeight="1">
      <c r="A674" s="8">
        <f>IF(ISNA(MATCH(661,Engine!$C$2:$C$1369,0)),"",INDEX('Compliance Database'!$A$2:$A$1369,MATCH(661,Engine!$C$2:$C$1369,0)))</f>
        <v/>
      </c>
      <c r="B674" s="8">
        <f>IF(ISNA(MATCH(661,Engine!$C$2:$C$1369,0)),"",INDEX('Compliance Database'!$B$2:$B$1369,MATCH(661,Engine!$C$2:$C$1369,0)))</f>
        <v/>
      </c>
      <c r="C674" s="8">
        <f>IF(ISNA(MATCH(661,Engine!$C$2:$C$1369,0)),"",INDEX('Compliance Database'!$C$2:$C$1369,MATCH(661,Engine!$C$2:$C$1369,0)))</f>
        <v/>
      </c>
      <c r="D674" s="9">
        <f>IF(ISNA(MATCH(661,Engine!$C$2:$C$1369,0)),"",INDEX('Compliance Database'!$D$2:$D$1369,MATCH(661,Engine!$C$2:$C$1369,0)))</f>
        <v/>
      </c>
      <c r="E674" s="8">
        <f>IF(ISNA(MATCH(661,Engine!$C$2:$C$1369,0)),"",INDEX('Compliance Database'!$E$2:$E$1369,MATCH(661,Engine!$C$2:$C$1369,0)))</f>
        <v/>
      </c>
      <c r="F674" s="8">
        <f>IF(ISNA(MATCH(661,Engine!$C$2:$C$1369,0)),"",INDEX('Compliance Database'!$F$2:$F$1369,MATCH(661,Engine!$C$2:$C$1369,0)))</f>
        <v/>
      </c>
      <c r="G674" s="8">
        <f>IF(ISNA(MATCH(661,Engine!$C$2:$C$1369,0)),"",INDEX('Compliance Database'!$G$2:$G$1369,MATCH(661,Engine!$C$2:$C$1369,0)))</f>
        <v/>
      </c>
      <c r="H674" s="9">
        <f>IF(ISNA(MATCH(661,Engine!$C$2:$C$1369,0)),"",INDEX('Compliance Database'!$H$2:$H$1369,MATCH(661,Engine!$C$2:$C$1369,0)))</f>
        <v/>
      </c>
      <c r="I674" s="9">
        <f>IF(ISNA(MATCH(661,Engine!$C$2:$C$1369,0)),"",INDEX('Compliance Database'!$I$2:$I$1369,MATCH(661,Engine!$C$2:$C$1369,0)))</f>
        <v/>
      </c>
      <c r="J674" s="8">
        <f>IF(ISNA(MATCH(661,Engine!$C$2:$C$1369,0)),"",INDEX('Compliance Database'!$J$2:$J$1369,MATCH(661,Engine!$C$2:$C$1369,0)))</f>
        <v/>
      </c>
      <c r="K674" s="9">
        <f>IF(ISNA(MATCH(661,Engine!$C$2:$C$1369,0)),"",INDEX('Compliance Database'!$K$2:$K$1369,MATCH(661,Engine!$C$2:$C$1369,0)))</f>
        <v/>
      </c>
      <c r="L674" s="9">
        <f>IF(ISNA(MATCH(661,Engine!$C$2:$C$1369,0)),"",INDEX('Compliance Database'!$L$2:$L$1369,MATCH(661,Engine!$C$2:$C$1369,0)))</f>
        <v/>
      </c>
      <c r="M674" s="9">
        <f>IF(ISNA(MATCH(661,Engine!$C$2:$C$1369,0)),"",INDEX('Compliance Database'!$M$2:$M$1369,MATCH(661,Engine!$C$2:$C$1369,0)))</f>
        <v/>
      </c>
      <c r="N674" s="9">
        <f>IF(ISNA(MATCH(661,Engine!$C$2:$C$1369,0)),"",INDEX('Compliance Database'!$N$2:$N$1369,MATCH(661,Engine!$C$2:$C$1369,0)))</f>
        <v/>
      </c>
      <c r="O674" s="8">
        <f>IF(ISNA(MATCH(661,Engine!$C$2:$C$1369,0)),"",HYPERLINK(INDEX('Compliance Database'!$O$2:$O$1369,MATCH(661,Engine!$C$2:$C$1369,0)),"Open PDF"))</f>
        <v/>
      </c>
    </row>
    <row r="675" ht="188" customHeight="1">
      <c r="A675" s="8">
        <f>IF(ISNA(MATCH(662,Engine!$C$2:$C$1369,0)),"",INDEX('Compliance Database'!$A$2:$A$1369,MATCH(662,Engine!$C$2:$C$1369,0)))</f>
        <v/>
      </c>
      <c r="B675" s="8">
        <f>IF(ISNA(MATCH(662,Engine!$C$2:$C$1369,0)),"",INDEX('Compliance Database'!$B$2:$B$1369,MATCH(662,Engine!$C$2:$C$1369,0)))</f>
        <v/>
      </c>
      <c r="C675" s="8">
        <f>IF(ISNA(MATCH(662,Engine!$C$2:$C$1369,0)),"",INDEX('Compliance Database'!$C$2:$C$1369,MATCH(662,Engine!$C$2:$C$1369,0)))</f>
        <v/>
      </c>
      <c r="D675" s="9">
        <f>IF(ISNA(MATCH(662,Engine!$C$2:$C$1369,0)),"",INDEX('Compliance Database'!$D$2:$D$1369,MATCH(662,Engine!$C$2:$C$1369,0)))</f>
        <v/>
      </c>
      <c r="E675" s="8">
        <f>IF(ISNA(MATCH(662,Engine!$C$2:$C$1369,0)),"",INDEX('Compliance Database'!$E$2:$E$1369,MATCH(662,Engine!$C$2:$C$1369,0)))</f>
        <v/>
      </c>
      <c r="F675" s="8">
        <f>IF(ISNA(MATCH(662,Engine!$C$2:$C$1369,0)),"",INDEX('Compliance Database'!$F$2:$F$1369,MATCH(662,Engine!$C$2:$C$1369,0)))</f>
        <v/>
      </c>
      <c r="G675" s="8">
        <f>IF(ISNA(MATCH(662,Engine!$C$2:$C$1369,0)),"",INDEX('Compliance Database'!$G$2:$G$1369,MATCH(662,Engine!$C$2:$C$1369,0)))</f>
        <v/>
      </c>
      <c r="H675" s="9">
        <f>IF(ISNA(MATCH(662,Engine!$C$2:$C$1369,0)),"",INDEX('Compliance Database'!$H$2:$H$1369,MATCH(662,Engine!$C$2:$C$1369,0)))</f>
        <v/>
      </c>
      <c r="I675" s="9">
        <f>IF(ISNA(MATCH(662,Engine!$C$2:$C$1369,0)),"",INDEX('Compliance Database'!$I$2:$I$1369,MATCH(662,Engine!$C$2:$C$1369,0)))</f>
        <v/>
      </c>
      <c r="J675" s="8">
        <f>IF(ISNA(MATCH(662,Engine!$C$2:$C$1369,0)),"",INDEX('Compliance Database'!$J$2:$J$1369,MATCH(662,Engine!$C$2:$C$1369,0)))</f>
        <v/>
      </c>
      <c r="K675" s="9">
        <f>IF(ISNA(MATCH(662,Engine!$C$2:$C$1369,0)),"",INDEX('Compliance Database'!$K$2:$K$1369,MATCH(662,Engine!$C$2:$C$1369,0)))</f>
        <v/>
      </c>
      <c r="L675" s="9">
        <f>IF(ISNA(MATCH(662,Engine!$C$2:$C$1369,0)),"",INDEX('Compliance Database'!$L$2:$L$1369,MATCH(662,Engine!$C$2:$C$1369,0)))</f>
        <v/>
      </c>
      <c r="M675" s="9">
        <f>IF(ISNA(MATCH(662,Engine!$C$2:$C$1369,0)),"",INDEX('Compliance Database'!$M$2:$M$1369,MATCH(662,Engine!$C$2:$C$1369,0)))</f>
        <v/>
      </c>
      <c r="N675" s="9">
        <f>IF(ISNA(MATCH(662,Engine!$C$2:$C$1369,0)),"",INDEX('Compliance Database'!$N$2:$N$1369,MATCH(662,Engine!$C$2:$C$1369,0)))</f>
        <v/>
      </c>
      <c r="O675" s="8">
        <f>IF(ISNA(MATCH(662,Engine!$C$2:$C$1369,0)),"",HYPERLINK(INDEX('Compliance Database'!$O$2:$O$1369,MATCH(662,Engine!$C$2:$C$1369,0)),"Open PDF"))</f>
        <v/>
      </c>
    </row>
    <row r="676" ht="188" customHeight="1">
      <c r="A676" s="8">
        <f>IF(ISNA(MATCH(663,Engine!$C$2:$C$1369,0)),"",INDEX('Compliance Database'!$A$2:$A$1369,MATCH(663,Engine!$C$2:$C$1369,0)))</f>
        <v/>
      </c>
      <c r="B676" s="8">
        <f>IF(ISNA(MATCH(663,Engine!$C$2:$C$1369,0)),"",INDEX('Compliance Database'!$B$2:$B$1369,MATCH(663,Engine!$C$2:$C$1369,0)))</f>
        <v/>
      </c>
      <c r="C676" s="8">
        <f>IF(ISNA(MATCH(663,Engine!$C$2:$C$1369,0)),"",INDEX('Compliance Database'!$C$2:$C$1369,MATCH(663,Engine!$C$2:$C$1369,0)))</f>
        <v/>
      </c>
      <c r="D676" s="9">
        <f>IF(ISNA(MATCH(663,Engine!$C$2:$C$1369,0)),"",INDEX('Compliance Database'!$D$2:$D$1369,MATCH(663,Engine!$C$2:$C$1369,0)))</f>
        <v/>
      </c>
      <c r="E676" s="8">
        <f>IF(ISNA(MATCH(663,Engine!$C$2:$C$1369,0)),"",INDEX('Compliance Database'!$E$2:$E$1369,MATCH(663,Engine!$C$2:$C$1369,0)))</f>
        <v/>
      </c>
      <c r="F676" s="8">
        <f>IF(ISNA(MATCH(663,Engine!$C$2:$C$1369,0)),"",INDEX('Compliance Database'!$F$2:$F$1369,MATCH(663,Engine!$C$2:$C$1369,0)))</f>
        <v/>
      </c>
      <c r="G676" s="8">
        <f>IF(ISNA(MATCH(663,Engine!$C$2:$C$1369,0)),"",INDEX('Compliance Database'!$G$2:$G$1369,MATCH(663,Engine!$C$2:$C$1369,0)))</f>
        <v/>
      </c>
      <c r="H676" s="9">
        <f>IF(ISNA(MATCH(663,Engine!$C$2:$C$1369,0)),"",INDEX('Compliance Database'!$H$2:$H$1369,MATCH(663,Engine!$C$2:$C$1369,0)))</f>
        <v/>
      </c>
      <c r="I676" s="9">
        <f>IF(ISNA(MATCH(663,Engine!$C$2:$C$1369,0)),"",INDEX('Compliance Database'!$I$2:$I$1369,MATCH(663,Engine!$C$2:$C$1369,0)))</f>
        <v/>
      </c>
      <c r="J676" s="8">
        <f>IF(ISNA(MATCH(663,Engine!$C$2:$C$1369,0)),"",INDEX('Compliance Database'!$J$2:$J$1369,MATCH(663,Engine!$C$2:$C$1369,0)))</f>
        <v/>
      </c>
      <c r="K676" s="9">
        <f>IF(ISNA(MATCH(663,Engine!$C$2:$C$1369,0)),"",INDEX('Compliance Database'!$K$2:$K$1369,MATCH(663,Engine!$C$2:$C$1369,0)))</f>
        <v/>
      </c>
      <c r="L676" s="9">
        <f>IF(ISNA(MATCH(663,Engine!$C$2:$C$1369,0)),"",INDEX('Compliance Database'!$L$2:$L$1369,MATCH(663,Engine!$C$2:$C$1369,0)))</f>
        <v/>
      </c>
      <c r="M676" s="9">
        <f>IF(ISNA(MATCH(663,Engine!$C$2:$C$1369,0)),"",INDEX('Compliance Database'!$M$2:$M$1369,MATCH(663,Engine!$C$2:$C$1369,0)))</f>
        <v/>
      </c>
      <c r="N676" s="9">
        <f>IF(ISNA(MATCH(663,Engine!$C$2:$C$1369,0)),"",INDEX('Compliance Database'!$N$2:$N$1369,MATCH(663,Engine!$C$2:$C$1369,0)))</f>
        <v/>
      </c>
      <c r="O676" s="8">
        <f>IF(ISNA(MATCH(663,Engine!$C$2:$C$1369,0)),"",HYPERLINK(INDEX('Compliance Database'!$O$2:$O$1369,MATCH(663,Engine!$C$2:$C$1369,0)),"Open PDF"))</f>
        <v/>
      </c>
    </row>
    <row r="677" ht="188" customHeight="1">
      <c r="A677" s="8">
        <f>IF(ISNA(MATCH(664,Engine!$C$2:$C$1369,0)),"",INDEX('Compliance Database'!$A$2:$A$1369,MATCH(664,Engine!$C$2:$C$1369,0)))</f>
        <v/>
      </c>
      <c r="B677" s="8">
        <f>IF(ISNA(MATCH(664,Engine!$C$2:$C$1369,0)),"",INDEX('Compliance Database'!$B$2:$B$1369,MATCH(664,Engine!$C$2:$C$1369,0)))</f>
        <v/>
      </c>
      <c r="C677" s="8">
        <f>IF(ISNA(MATCH(664,Engine!$C$2:$C$1369,0)),"",INDEX('Compliance Database'!$C$2:$C$1369,MATCH(664,Engine!$C$2:$C$1369,0)))</f>
        <v/>
      </c>
      <c r="D677" s="9">
        <f>IF(ISNA(MATCH(664,Engine!$C$2:$C$1369,0)),"",INDEX('Compliance Database'!$D$2:$D$1369,MATCH(664,Engine!$C$2:$C$1369,0)))</f>
        <v/>
      </c>
      <c r="E677" s="8">
        <f>IF(ISNA(MATCH(664,Engine!$C$2:$C$1369,0)),"",INDEX('Compliance Database'!$E$2:$E$1369,MATCH(664,Engine!$C$2:$C$1369,0)))</f>
        <v/>
      </c>
      <c r="F677" s="8">
        <f>IF(ISNA(MATCH(664,Engine!$C$2:$C$1369,0)),"",INDEX('Compliance Database'!$F$2:$F$1369,MATCH(664,Engine!$C$2:$C$1369,0)))</f>
        <v/>
      </c>
      <c r="G677" s="8">
        <f>IF(ISNA(MATCH(664,Engine!$C$2:$C$1369,0)),"",INDEX('Compliance Database'!$G$2:$G$1369,MATCH(664,Engine!$C$2:$C$1369,0)))</f>
        <v/>
      </c>
      <c r="H677" s="9">
        <f>IF(ISNA(MATCH(664,Engine!$C$2:$C$1369,0)),"",INDEX('Compliance Database'!$H$2:$H$1369,MATCH(664,Engine!$C$2:$C$1369,0)))</f>
        <v/>
      </c>
      <c r="I677" s="9">
        <f>IF(ISNA(MATCH(664,Engine!$C$2:$C$1369,0)),"",INDEX('Compliance Database'!$I$2:$I$1369,MATCH(664,Engine!$C$2:$C$1369,0)))</f>
        <v/>
      </c>
      <c r="J677" s="8">
        <f>IF(ISNA(MATCH(664,Engine!$C$2:$C$1369,0)),"",INDEX('Compliance Database'!$J$2:$J$1369,MATCH(664,Engine!$C$2:$C$1369,0)))</f>
        <v/>
      </c>
      <c r="K677" s="9">
        <f>IF(ISNA(MATCH(664,Engine!$C$2:$C$1369,0)),"",INDEX('Compliance Database'!$K$2:$K$1369,MATCH(664,Engine!$C$2:$C$1369,0)))</f>
        <v/>
      </c>
      <c r="L677" s="9">
        <f>IF(ISNA(MATCH(664,Engine!$C$2:$C$1369,0)),"",INDEX('Compliance Database'!$L$2:$L$1369,MATCH(664,Engine!$C$2:$C$1369,0)))</f>
        <v/>
      </c>
      <c r="M677" s="9">
        <f>IF(ISNA(MATCH(664,Engine!$C$2:$C$1369,0)),"",INDEX('Compliance Database'!$M$2:$M$1369,MATCH(664,Engine!$C$2:$C$1369,0)))</f>
        <v/>
      </c>
      <c r="N677" s="9">
        <f>IF(ISNA(MATCH(664,Engine!$C$2:$C$1369,0)),"",INDEX('Compliance Database'!$N$2:$N$1369,MATCH(664,Engine!$C$2:$C$1369,0)))</f>
        <v/>
      </c>
      <c r="O677" s="8">
        <f>IF(ISNA(MATCH(664,Engine!$C$2:$C$1369,0)),"",HYPERLINK(INDEX('Compliance Database'!$O$2:$O$1369,MATCH(664,Engine!$C$2:$C$1369,0)),"Open PDF"))</f>
        <v/>
      </c>
    </row>
    <row r="678" ht="188" customHeight="1">
      <c r="A678" s="8">
        <f>IF(ISNA(MATCH(665,Engine!$C$2:$C$1369,0)),"",INDEX('Compliance Database'!$A$2:$A$1369,MATCH(665,Engine!$C$2:$C$1369,0)))</f>
        <v/>
      </c>
      <c r="B678" s="8">
        <f>IF(ISNA(MATCH(665,Engine!$C$2:$C$1369,0)),"",INDEX('Compliance Database'!$B$2:$B$1369,MATCH(665,Engine!$C$2:$C$1369,0)))</f>
        <v/>
      </c>
      <c r="C678" s="8">
        <f>IF(ISNA(MATCH(665,Engine!$C$2:$C$1369,0)),"",INDEX('Compliance Database'!$C$2:$C$1369,MATCH(665,Engine!$C$2:$C$1369,0)))</f>
        <v/>
      </c>
      <c r="D678" s="9">
        <f>IF(ISNA(MATCH(665,Engine!$C$2:$C$1369,0)),"",INDEX('Compliance Database'!$D$2:$D$1369,MATCH(665,Engine!$C$2:$C$1369,0)))</f>
        <v/>
      </c>
      <c r="E678" s="8">
        <f>IF(ISNA(MATCH(665,Engine!$C$2:$C$1369,0)),"",INDEX('Compliance Database'!$E$2:$E$1369,MATCH(665,Engine!$C$2:$C$1369,0)))</f>
        <v/>
      </c>
      <c r="F678" s="8">
        <f>IF(ISNA(MATCH(665,Engine!$C$2:$C$1369,0)),"",INDEX('Compliance Database'!$F$2:$F$1369,MATCH(665,Engine!$C$2:$C$1369,0)))</f>
        <v/>
      </c>
      <c r="G678" s="8">
        <f>IF(ISNA(MATCH(665,Engine!$C$2:$C$1369,0)),"",INDEX('Compliance Database'!$G$2:$G$1369,MATCH(665,Engine!$C$2:$C$1369,0)))</f>
        <v/>
      </c>
      <c r="H678" s="9">
        <f>IF(ISNA(MATCH(665,Engine!$C$2:$C$1369,0)),"",INDEX('Compliance Database'!$H$2:$H$1369,MATCH(665,Engine!$C$2:$C$1369,0)))</f>
        <v/>
      </c>
      <c r="I678" s="9">
        <f>IF(ISNA(MATCH(665,Engine!$C$2:$C$1369,0)),"",INDEX('Compliance Database'!$I$2:$I$1369,MATCH(665,Engine!$C$2:$C$1369,0)))</f>
        <v/>
      </c>
      <c r="J678" s="8">
        <f>IF(ISNA(MATCH(665,Engine!$C$2:$C$1369,0)),"",INDEX('Compliance Database'!$J$2:$J$1369,MATCH(665,Engine!$C$2:$C$1369,0)))</f>
        <v/>
      </c>
      <c r="K678" s="9">
        <f>IF(ISNA(MATCH(665,Engine!$C$2:$C$1369,0)),"",INDEX('Compliance Database'!$K$2:$K$1369,MATCH(665,Engine!$C$2:$C$1369,0)))</f>
        <v/>
      </c>
      <c r="L678" s="9">
        <f>IF(ISNA(MATCH(665,Engine!$C$2:$C$1369,0)),"",INDEX('Compliance Database'!$L$2:$L$1369,MATCH(665,Engine!$C$2:$C$1369,0)))</f>
        <v/>
      </c>
      <c r="M678" s="9">
        <f>IF(ISNA(MATCH(665,Engine!$C$2:$C$1369,0)),"",INDEX('Compliance Database'!$M$2:$M$1369,MATCH(665,Engine!$C$2:$C$1369,0)))</f>
        <v/>
      </c>
      <c r="N678" s="9">
        <f>IF(ISNA(MATCH(665,Engine!$C$2:$C$1369,0)),"",INDEX('Compliance Database'!$N$2:$N$1369,MATCH(665,Engine!$C$2:$C$1369,0)))</f>
        <v/>
      </c>
      <c r="O678" s="8">
        <f>IF(ISNA(MATCH(665,Engine!$C$2:$C$1369,0)),"",HYPERLINK(INDEX('Compliance Database'!$O$2:$O$1369,MATCH(665,Engine!$C$2:$C$1369,0)),"Open PDF"))</f>
        <v/>
      </c>
    </row>
    <row r="679" ht="188" customHeight="1">
      <c r="A679" s="8">
        <f>IF(ISNA(MATCH(666,Engine!$C$2:$C$1369,0)),"",INDEX('Compliance Database'!$A$2:$A$1369,MATCH(666,Engine!$C$2:$C$1369,0)))</f>
        <v/>
      </c>
      <c r="B679" s="8">
        <f>IF(ISNA(MATCH(666,Engine!$C$2:$C$1369,0)),"",INDEX('Compliance Database'!$B$2:$B$1369,MATCH(666,Engine!$C$2:$C$1369,0)))</f>
        <v/>
      </c>
      <c r="C679" s="8">
        <f>IF(ISNA(MATCH(666,Engine!$C$2:$C$1369,0)),"",INDEX('Compliance Database'!$C$2:$C$1369,MATCH(666,Engine!$C$2:$C$1369,0)))</f>
        <v/>
      </c>
      <c r="D679" s="9">
        <f>IF(ISNA(MATCH(666,Engine!$C$2:$C$1369,0)),"",INDEX('Compliance Database'!$D$2:$D$1369,MATCH(666,Engine!$C$2:$C$1369,0)))</f>
        <v/>
      </c>
      <c r="E679" s="8">
        <f>IF(ISNA(MATCH(666,Engine!$C$2:$C$1369,0)),"",INDEX('Compliance Database'!$E$2:$E$1369,MATCH(666,Engine!$C$2:$C$1369,0)))</f>
        <v/>
      </c>
      <c r="F679" s="8">
        <f>IF(ISNA(MATCH(666,Engine!$C$2:$C$1369,0)),"",INDEX('Compliance Database'!$F$2:$F$1369,MATCH(666,Engine!$C$2:$C$1369,0)))</f>
        <v/>
      </c>
      <c r="G679" s="8">
        <f>IF(ISNA(MATCH(666,Engine!$C$2:$C$1369,0)),"",INDEX('Compliance Database'!$G$2:$G$1369,MATCH(666,Engine!$C$2:$C$1369,0)))</f>
        <v/>
      </c>
      <c r="H679" s="9">
        <f>IF(ISNA(MATCH(666,Engine!$C$2:$C$1369,0)),"",INDEX('Compliance Database'!$H$2:$H$1369,MATCH(666,Engine!$C$2:$C$1369,0)))</f>
        <v/>
      </c>
      <c r="I679" s="9">
        <f>IF(ISNA(MATCH(666,Engine!$C$2:$C$1369,0)),"",INDEX('Compliance Database'!$I$2:$I$1369,MATCH(666,Engine!$C$2:$C$1369,0)))</f>
        <v/>
      </c>
      <c r="J679" s="8">
        <f>IF(ISNA(MATCH(666,Engine!$C$2:$C$1369,0)),"",INDEX('Compliance Database'!$J$2:$J$1369,MATCH(666,Engine!$C$2:$C$1369,0)))</f>
        <v/>
      </c>
      <c r="K679" s="9">
        <f>IF(ISNA(MATCH(666,Engine!$C$2:$C$1369,0)),"",INDEX('Compliance Database'!$K$2:$K$1369,MATCH(666,Engine!$C$2:$C$1369,0)))</f>
        <v/>
      </c>
      <c r="L679" s="9">
        <f>IF(ISNA(MATCH(666,Engine!$C$2:$C$1369,0)),"",INDEX('Compliance Database'!$L$2:$L$1369,MATCH(666,Engine!$C$2:$C$1369,0)))</f>
        <v/>
      </c>
      <c r="M679" s="9">
        <f>IF(ISNA(MATCH(666,Engine!$C$2:$C$1369,0)),"",INDEX('Compliance Database'!$M$2:$M$1369,MATCH(666,Engine!$C$2:$C$1369,0)))</f>
        <v/>
      </c>
      <c r="N679" s="9">
        <f>IF(ISNA(MATCH(666,Engine!$C$2:$C$1369,0)),"",INDEX('Compliance Database'!$N$2:$N$1369,MATCH(666,Engine!$C$2:$C$1369,0)))</f>
        <v/>
      </c>
      <c r="O679" s="8">
        <f>IF(ISNA(MATCH(666,Engine!$C$2:$C$1369,0)),"",HYPERLINK(INDEX('Compliance Database'!$O$2:$O$1369,MATCH(666,Engine!$C$2:$C$1369,0)),"Open PDF"))</f>
        <v/>
      </c>
    </row>
    <row r="680" ht="188" customHeight="1">
      <c r="A680" s="8">
        <f>IF(ISNA(MATCH(667,Engine!$C$2:$C$1369,0)),"",INDEX('Compliance Database'!$A$2:$A$1369,MATCH(667,Engine!$C$2:$C$1369,0)))</f>
        <v/>
      </c>
      <c r="B680" s="8">
        <f>IF(ISNA(MATCH(667,Engine!$C$2:$C$1369,0)),"",INDEX('Compliance Database'!$B$2:$B$1369,MATCH(667,Engine!$C$2:$C$1369,0)))</f>
        <v/>
      </c>
      <c r="C680" s="8">
        <f>IF(ISNA(MATCH(667,Engine!$C$2:$C$1369,0)),"",INDEX('Compliance Database'!$C$2:$C$1369,MATCH(667,Engine!$C$2:$C$1369,0)))</f>
        <v/>
      </c>
      <c r="D680" s="9">
        <f>IF(ISNA(MATCH(667,Engine!$C$2:$C$1369,0)),"",INDEX('Compliance Database'!$D$2:$D$1369,MATCH(667,Engine!$C$2:$C$1369,0)))</f>
        <v/>
      </c>
      <c r="E680" s="8">
        <f>IF(ISNA(MATCH(667,Engine!$C$2:$C$1369,0)),"",INDEX('Compliance Database'!$E$2:$E$1369,MATCH(667,Engine!$C$2:$C$1369,0)))</f>
        <v/>
      </c>
      <c r="F680" s="8">
        <f>IF(ISNA(MATCH(667,Engine!$C$2:$C$1369,0)),"",INDEX('Compliance Database'!$F$2:$F$1369,MATCH(667,Engine!$C$2:$C$1369,0)))</f>
        <v/>
      </c>
      <c r="G680" s="8">
        <f>IF(ISNA(MATCH(667,Engine!$C$2:$C$1369,0)),"",INDEX('Compliance Database'!$G$2:$G$1369,MATCH(667,Engine!$C$2:$C$1369,0)))</f>
        <v/>
      </c>
      <c r="H680" s="9">
        <f>IF(ISNA(MATCH(667,Engine!$C$2:$C$1369,0)),"",INDEX('Compliance Database'!$H$2:$H$1369,MATCH(667,Engine!$C$2:$C$1369,0)))</f>
        <v/>
      </c>
      <c r="I680" s="9">
        <f>IF(ISNA(MATCH(667,Engine!$C$2:$C$1369,0)),"",INDEX('Compliance Database'!$I$2:$I$1369,MATCH(667,Engine!$C$2:$C$1369,0)))</f>
        <v/>
      </c>
      <c r="J680" s="8">
        <f>IF(ISNA(MATCH(667,Engine!$C$2:$C$1369,0)),"",INDEX('Compliance Database'!$J$2:$J$1369,MATCH(667,Engine!$C$2:$C$1369,0)))</f>
        <v/>
      </c>
      <c r="K680" s="9">
        <f>IF(ISNA(MATCH(667,Engine!$C$2:$C$1369,0)),"",INDEX('Compliance Database'!$K$2:$K$1369,MATCH(667,Engine!$C$2:$C$1369,0)))</f>
        <v/>
      </c>
      <c r="L680" s="9">
        <f>IF(ISNA(MATCH(667,Engine!$C$2:$C$1369,0)),"",INDEX('Compliance Database'!$L$2:$L$1369,MATCH(667,Engine!$C$2:$C$1369,0)))</f>
        <v/>
      </c>
      <c r="M680" s="9">
        <f>IF(ISNA(MATCH(667,Engine!$C$2:$C$1369,0)),"",INDEX('Compliance Database'!$M$2:$M$1369,MATCH(667,Engine!$C$2:$C$1369,0)))</f>
        <v/>
      </c>
      <c r="N680" s="9">
        <f>IF(ISNA(MATCH(667,Engine!$C$2:$C$1369,0)),"",INDEX('Compliance Database'!$N$2:$N$1369,MATCH(667,Engine!$C$2:$C$1369,0)))</f>
        <v/>
      </c>
      <c r="O680" s="8">
        <f>IF(ISNA(MATCH(667,Engine!$C$2:$C$1369,0)),"",HYPERLINK(INDEX('Compliance Database'!$O$2:$O$1369,MATCH(667,Engine!$C$2:$C$1369,0)),"Open PDF"))</f>
        <v/>
      </c>
    </row>
    <row r="681" ht="188" customHeight="1">
      <c r="A681" s="8">
        <f>IF(ISNA(MATCH(668,Engine!$C$2:$C$1369,0)),"",INDEX('Compliance Database'!$A$2:$A$1369,MATCH(668,Engine!$C$2:$C$1369,0)))</f>
        <v/>
      </c>
      <c r="B681" s="8">
        <f>IF(ISNA(MATCH(668,Engine!$C$2:$C$1369,0)),"",INDEX('Compliance Database'!$B$2:$B$1369,MATCH(668,Engine!$C$2:$C$1369,0)))</f>
        <v/>
      </c>
      <c r="C681" s="8">
        <f>IF(ISNA(MATCH(668,Engine!$C$2:$C$1369,0)),"",INDEX('Compliance Database'!$C$2:$C$1369,MATCH(668,Engine!$C$2:$C$1369,0)))</f>
        <v/>
      </c>
      <c r="D681" s="9">
        <f>IF(ISNA(MATCH(668,Engine!$C$2:$C$1369,0)),"",INDEX('Compliance Database'!$D$2:$D$1369,MATCH(668,Engine!$C$2:$C$1369,0)))</f>
        <v/>
      </c>
      <c r="E681" s="8">
        <f>IF(ISNA(MATCH(668,Engine!$C$2:$C$1369,0)),"",INDEX('Compliance Database'!$E$2:$E$1369,MATCH(668,Engine!$C$2:$C$1369,0)))</f>
        <v/>
      </c>
      <c r="F681" s="8">
        <f>IF(ISNA(MATCH(668,Engine!$C$2:$C$1369,0)),"",INDEX('Compliance Database'!$F$2:$F$1369,MATCH(668,Engine!$C$2:$C$1369,0)))</f>
        <v/>
      </c>
      <c r="G681" s="8">
        <f>IF(ISNA(MATCH(668,Engine!$C$2:$C$1369,0)),"",INDEX('Compliance Database'!$G$2:$G$1369,MATCH(668,Engine!$C$2:$C$1369,0)))</f>
        <v/>
      </c>
      <c r="H681" s="9">
        <f>IF(ISNA(MATCH(668,Engine!$C$2:$C$1369,0)),"",INDEX('Compliance Database'!$H$2:$H$1369,MATCH(668,Engine!$C$2:$C$1369,0)))</f>
        <v/>
      </c>
      <c r="I681" s="9">
        <f>IF(ISNA(MATCH(668,Engine!$C$2:$C$1369,0)),"",INDEX('Compliance Database'!$I$2:$I$1369,MATCH(668,Engine!$C$2:$C$1369,0)))</f>
        <v/>
      </c>
      <c r="J681" s="8">
        <f>IF(ISNA(MATCH(668,Engine!$C$2:$C$1369,0)),"",INDEX('Compliance Database'!$J$2:$J$1369,MATCH(668,Engine!$C$2:$C$1369,0)))</f>
        <v/>
      </c>
      <c r="K681" s="9">
        <f>IF(ISNA(MATCH(668,Engine!$C$2:$C$1369,0)),"",INDEX('Compliance Database'!$K$2:$K$1369,MATCH(668,Engine!$C$2:$C$1369,0)))</f>
        <v/>
      </c>
      <c r="L681" s="9">
        <f>IF(ISNA(MATCH(668,Engine!$C$2:$C$1369,0)),"",INDEX('Compliance Database'!$L$2:$L$1369,MATCH(668,Engine!$C$2:$C$1369,0)))</f>
        <v/>
      </c>
      <c r="M681" s="9">
        <f>IF(ISNA(MATCH(668,Engine!$C$2:$C$1369,0)),"",INDEX('Compliance Database'!$M$2:$M$1369,MATCH(668,Engine!$C$2:$C$1369,0)))</f>
        <v/>
      </c>
      <c r="N681" s="9">
        <f>IF(ISNA(MATCH(668,Engine!$C$2:$C$1369,0)),"",INDEX('Compliance Database'!$N$2:$N$1369,MATCH(668,Engine!$C$2:$C$1369,0)))</f>
        <v/>
      </c>
      <c r="O681" s="8">
        <f>IF(ISNA(MATCH(668,Engine!$C$2:$C$1369,0)),"",HYPERLINK(INDEX('Compliance Database'!$O$2:$O$1369,MATCH(668,Engine!$C$2:$C$1369,0)),"Open PDF"))</f>
        <v/>
      </c>
    </row>
    <row r="682" ht="188" customHeight="1">
      <c r="A682" s="8">
        <f>IF(ISNA(MATCH(669,Engine!$C$2:$C$1369,0)),"",INDEX('Compliance Database'!$A$2:$A$1369,MATCH(669,Engine!$C$2:$C$1369,0)))</f>
        <v/>
      </c>
      <c r="B682" s="8">
        <f>IF(ISNA(MATCH(669,Engine!$C$2:$C$1369,0)),"",INDEX('Compliance Database'!$B$2:$B$1369,MATCH(669,Engine!$C$2:$C$1369,0)))</f>
        <v/>
      </c>
      <c r="C682" s="8">
        <f>IF(ISNA(MATCH(669,Engine!$C$2:$C$1369,0)),"",INDEX('Compliance Database'!$C$2:$C$1369,MATCH(669,Engine!$C$2:$C$1369,0)))</f>
        <v/>
      </c>
      <c r="D682" s="9">
        <f>IF(ISNA(MATCH(669,Engine!$C$2:$C$1369,0)),"",INDEX('Compliance Database'!$D$2:$D$1369,MATCH(669,Engine!$C$2:$C$1369,0)))</f>
        <v/>
      </c>
      <c r="E682" s="8">
        <f>IF(ISNA(MATCH(669,Engine!$C$2:$C$1369,0)),"",INDEX('Compliance Database'!$E$2:$E$1369,MATCH(669,Engine!$C$2:$C$1369,0)))</f>
        <v/>
      </c>
      <c r="F682" s="8">
        <f>IF(ISNA(MATCH(669,Engine!$C$2:$C$1369,0)),"",INDEX('Compliance Database'!$F$2:$F$1369,MATCH(669,Engine!$C$2:$C$1369,0)))</f>
        <v/>
      </c>
      <c r="G682" s="8">
        <f>IF(ISNA(MATCH(669,Engine!$C$2:$C$1369,0)),"",INDEX('Compliance Database'!$G$2:$G$1369,MATCH(669,Engine!$C$2:$C$1369,0)))</f>
        <v/>
      </c>
      <c r="H682" s="9">
        <f>IF(ISNA(MATCH(669,Engine!$C$2:$C$1369,0)),"",INDEX('Compliance Database'!$H$2:$H$1369,MATCH(669,Engine!$C$2:$C$1369,0)))</f>
        <v/>
      </c>
      <c r="I682" s="9">
        <f>IF(ISNA(MATCH(669,Engine!$C$2:$C$1369,0)),"",INDEX('Compliance Database'!$I$2:$I$1369,MATCH(669,Engine!$C$2:$C$1369,0)))</f>
        <v/>
      </c>
      <c r="J682" s="8">
        <f>IF(ISNA(MATCH(669,Engine!$C$2:$C$1369,0)),"",INDEX('Compliance Database'!$J$2:$J$1369,MATCH(669,Engine!$C$2:$C$1369,0)))</f>
        <v/>
      </c>
      <c r="K682" s="9">
        <f>IF(ISNA(MATCH(669,Engine!$C$2:$C$1369,0)),"",INDEX('Compliance Database'!$K$2:$K$1369,MATCH(669,Engine!$C$2:$C$1369,0)))</f>
        <v/>
      </c>
      <c r="L682" s="9">
        <f>IF(ISNA(MATCH(669,Engine!$C$2:$C$1369,0)),"",INDEX('Compliance Database'!$L$2:$L$1369,MATCH(669,Engine!$C$2:$C$1369,0)))</f>
        <v/>
      </c>
      <c r="M682" s="9">
        <f>IF(ISNA(MATCH(669,Engine!$C$2:$C$1369,0)),"",INDEX('Compliance Database'!$M$2:$M$1369,MATCH(669,Engine!$C$2:$C$1369,0)))</f>
        <v/>
      </c>
      <c r="N682" s="9">
        <f>IF(ISNA(MATCH(669,Engine!$C$2:$C$1369,0)),"",INDEX('Compliance Database'!$N$2:$N$1369,MATCH(669,Engine!$C$2:$C$1369,0)))</f>
        <v/>
      </c>
      <c r="O682" s="8">
        <f>IF(ISNA(MATCH(669,Engine!$C$2:$C$1369,0)),"",HYPERLINK(INDEX('Compliance Database'!$O$2:$O$1369,MATCH(669,Engine!$C$2:$C$1369,0)),"Open PDF"))</f>
        <v/>
      </c>
    </row>
    <row r="683" ht="188" customHeight="1">
      <c r="A683" s="8">
        <f>IF(ISNA(MATCH(670,Engine!$C$2:$C$1369,0)),"",INDEX('Compliance Database'!$A$2:$A$1369,MATCH(670,Engine!$C$2:$C$1369,0)))</f>
        <v/>
      </c>
      <c r="B683" s="8">
        <f>IF(ISNA(MATCH(670,Engine!$C$2:$C$1369,0)),"",INDEX('Compliance Database'!$B$2:$B$1369,MATCH(670,Engine!$C$2:$C$1369,0)))</f>
        <v/>
      </c>
      <c r="C683" s="8">
        <f>IF(ISNA(MATCH(670,Engine!$C$2:$C$1369,0)),"",INDEX('Compliance Database'!$C$2:$C$1369,MATCH(670,Engine!$C$2:$C$1369,0)))</f>
        <v/>
      </c>
      <c r="D683" s="9">
        <f>IF(ISNA(MATCH(670,Engine!$C$2:$C$1369,0)),"",INDEX('Compliance Database'!$D$2:$D$1369,MATCH(670,Engine!$C$2:$C$1369,0)))</f>
        <v/>
      </c>
      <c r="E683" s="8">
        <f>IF(ISNA(MATCH(670,Engine!$C$2:$C$1369,0)),"",INDEX('Compliance Database'!$E$2:$E$1369,MATCH(670,Engine!$C$2:$C$1369,0)))</f>
        <v/>
      </c>
      <c r="F683" s="8">
        <f>IF(ISNA(MATCH(670,Engine!$C$2:$C$1369,0)),"",INDEX('Compliance Database'!$F$2:$F$1369,MATCH(670,Engine!$C$2:$C$1369,0)))</f>
        <v/>
      </c>
      <c r="G683" s="8">
        <f>IF(ISNA(MATCH(670,Engine!$C$2:$C$1369,0)),"",INDEX('Compliance Database'!$G$2:$G$1369,MATCH(670,Engine!$C$2:$C$1369,0)))</f>
        <v/>
      </c>
      <c r="H683" s="9">
        <f>IF(ISNA(MATCH(670,Engine!$C$2:$C$1369,0)),"",INDEX('Compliance Database'!$H$2:$H$1369,MATCH(670,Engine!$C$2:$C$1369,0)))</f>
        <v/>
      </c>
      <c r="I683" s="9">
        <f>IF(ISNA(MATCH(670,Engine!$C$2:$C$1369,0)),"",INDEX('Compliance Database'!$I$2:$I$1369,MATCH(670,Engine!$C$2:$C$1369,0)))</f>
        <v/>
      </c>
      <c r="J683" s="8">
        <f>IF(ISNA(MATCH(670,Engine!$C$2:$C$1369,0)),"",INDEX('Compliance Database'!$J$2:$J$1369,MATCH(670,Engine!$C$2:$C$1369,0)))</f>
        <v/>
      </c>
      <c r="K683" s="9">
        <f>IF(ISNA(MATCH(670,Engine!$C$2:$C$1369,0)),"",INDEX('Compliance Database'!$K$2:$K$1369,MATCH(670,Engine!$C$2:$C$1369,0)))</f>
        <v/>
      </c>
      <c r="L683" s="9">
        <f>IF(ISNA(MATCH(670,Engine!$C$2:$C$1369,0)),"",INDEX('Compliance Database'!$L$2:$L$1369,MATCH(670,Engine!$C$2:$C$1369,0)))</f>
        <v/>
      </c>
      <c r="M683" s="9">
        <f>IF(ISNA(MATCH(670,Engine!$C$2:$C$1369,0)),"",INDEX('Compliance Database'!$M$2:$M$1369,MATCH(670,Engine!$C$2:$C$1369,0)))</f>
        <v/>
      </c>
      <c r="N683" s="9">
        <f>IF(ISNA(MATCH(670,Engine!$C$2:$C$1369,0)),"",INDEX('Compliance Database'!$N$2:$N$1369,MATCH(670,Engine!$C$2:$C$1369,0)))</f>
        <v/>
      </c>
      <c r="O683" s="8">
        <f>IF(ISNA(MATCH(670,Engine!$C$2:$C$1369,0)),"",HYPERLINK(INDEX('Compliance Database'!$O$2:$O$1369,MATCH(670,Engine!$C$2:$C$1369,0)),"Open PDF"))</f>
        <v/>
      </c>
    </row>
    <row r="684" ht="188" customHeight="1">
      <c r="A684" s="8">
        <f>IF(ISNA(MATCH(671,Engine!$C$2:$C$1369,0)),"",INDEX('Compliance Database'!$A$2:$A$1369,MATCH(671,Engine!$C$2:$C$1369,0)))</f>
        <v/>
      </c>
      <c r="B684" s="8">
        <f>IF(ISNA(MATCH(671,Engine!$C$2:$C$1369,0)),"",INDEX('Compliance Database'!$B$2:$B$1369,MATCH(671,Engine!$C$2:$C$1369,0)))</f>
        <v/>
      </c>
      <c r="C684" s="8">
        <f>IF(ISNA(MATCH(671,Engine!$C$2:$C$1369,0)),"",INDEX('Compliance Database'!$C$2:$C$1369,MATCH(671,Engine!$C$2:$C$1369,0)))</f>
        <v/>
      </c>
      <c r="D684" s="9">
        <f>IF(ISNA(MATCH(671,Engine!$C$2:$C$1369,0)),"",INDEX('Compliance Database'!$D$2:$D$1369,MATCH(671,Engine!$C$2:$C$1369,0)))</f>
        <v/>
      </c>
      <c r="E684" s="8">
        <f>IF(ISNA(MATCH(671,Engine!$C$2:$C$1369,0)),"",INDEX('Compliance Database'!$E$2:$E$1369,MATCH(671,Engine!$C$2:$C$1369,0)))</f>
        <v/>
      </c>
      <c r="F684" s="8">
        <f>IF(ISNA(MATCH(671,Engine!$C$2:$C$1369,0)),"",INDEX('Compliance Database'!$F$2:$F$1369,MATCH(671,Engine!$C$2:$C$1369,0)))</f>
        <v/>
      </c>
      <c r="G684" s="8">
        <f>IF(ISNA(MATCH(671,Engine!$C$2:$C$1369,0)),"",INDEX('Compliance Database'!$G$2:$G$1369,MATCH(671,Engine!$C$2:$C$1369,0)))</f>
        <v/>
      </c>
      <c r="H684" s="9">
        <f>IF(ISNA(MATCH(671,Engine!$C$2:$C$1369,0)),"",INDEX('Compliance Database'!$H$2:$H$1369,MATCH(671,Engine!$C$2:$C$1369,0)))</f>
        <v/>
      </c>
      <c r="I684" s="9">
        <f>IF(ISNA(MATCH(671,Engine!$C$2:$C$1369,0)),"",INDEX('Compliance Database'!$I$2:$I$1369,MATCH(671,Engine!$C$2:$C$1369,0)))</f>
        <v/>
      </c>
      <c r="J684" s="8">
        <f>IF(ISNA(MATCH(671,Engine!$C$2:$C$1369,0)),"",INDEX('Compliance Database'!$J$2:$J$1369,MATCH(671,Engine!$C$2:$C$1369,0)))</f>
        <v/>
      </c>
      <c r="K684" s="9">
        <f>IF(ISNA(MATCH(671,Engine!$C$2:$C$1369,0)),"",INDEX('Compliance Database'!$K$2:$K$1369,MATCH(671,Engine!$C$2:$C$1369,0)))</f>
        <v/>
      </c>
      <c r="L684" s="9">
        <f>IF(ISNA(MATCH(671,Engine!$C$2:$C$1369,0)),"",INDEX('Compliance Database'!$L$2:$L$1369,MATCH(671,Engine!$C$2:$C$1369,0)))</f>
        <v/>
      </c>
      <c r="M684" s="9">
        <f>IF(ISNA(MATCH(671,Engine!$C$2:$C$1369,0)),"",INDEX('Compliance Database'!$M$2:$M$1369,MATCH(671,Engine!$C$2:$C$1369,0)))</f>
        <v/>
      </c>
      <c r="N684" s="9">
        <f>IF(ISNA(MATCH(671,Engine!$C$2:$C$1369,0)),"",INDEX('Compliance Database'!$N$2:$N$1369,MATCH(671,Engine!$C$2:$C$1369,0)))</f>
        <v/>
      </c>
      <c r="O684" s="8">
        <f>IF(ISNA(MATCH(671,Engine!$C$2:$C$1369,0)),"",HYPERLINK(INDEX('Compliance Database'!$O$2:$O$1369,MATCH(671,Engine!$C$2:$C$1369,0)),"Open PDF"))</f>
        <v/>
      </c>
    </row>
    <row r="685" ht="188" customHeight="1">
      <c r="A685" s="8">
        <f>IF(ISNA(MATCH(672,Engine!$C$2:$C$1369,0)),"",INDEX('Compliance Database'!$A$2:$A$1369,MATCH(672,Engine!$C$2:$C$1369,0)))</f>
        <v/>
      </c>
      <c r="B685" s="8">
        <f>IF(ISNA(MATCH(672,Engine!$C$2:$C$1369,0)),"",INDEX('Compliance Database'!$B$2:$B$1369,MATCH(672,Engine!$C$2:$C$1369,0)))</f>
        <v/>
      </c>
      <c r="C685" s="8">
        <f>IF(ISNA(MATCH(672,Engine!$C$2:$C$1369,0)),"",INDEX('Compliance Database'!$C$2:$C$1369,MATCH(672,Engine!$C$2:$C$1369,0)))</f>
        <v/>
      </c>
      <c r="D685" s="9">
        <f>IF(ISNA(MATCH(672,Engine!$C$2:$C$1369,0)),"",INDEX('Compliance Database'!$D$2:$D$1369,MATCH(672,Engine!$C$2:$C$1369,0)))</f>
        <v/>
      </c>
      <c r="E685" s="8">
        <f>IF(ISNA(MATCH(672,Engine!$C$2:$C$1369,0)),"",INDEX('Compliance Database'!$E$2:$E$1369,MATCH(672,Engine!$C$2:$C$1369,0)))</f>
        <v/>
      </c>
      <c r="F685" s="8">
        <f>IF(ISNA(MATCH(672,Engine!$C$2:$C$1369,0)),"",INDEX('Compliance Database'!$F$2:$F$1369,MATCH(672,Engine!$C$2:$C$1369,0)))</f>
        <v/>
      </c>
      <c r="G685" s="8">
        <f>IF(ISNA(MATCH(672,Engine!$C$2:$C$1369,0)),"",INDEX('Compliance Database'!$G$2:$G$1369,MATCH(672,Engine!$C$2:$C$1369,0)))</f>
        <v/>
      </c>
      <c r="H685" s="9">
        <f>IF(ISNA(MATCH(672,Engine!$C$2:$C$1369,0)),"",INDEX('Compliance Database'!$H$2:$H$1369,MATCH(672,Engine!$C$2:$C$1369,0)))</f>
        <v/>
      </c>
      <c r="I685" s="9">
        <f>IF(ISNA(MATCH(672,Engine!$C$2:$C$1369,0)),"",INDEX('Compliance Database'!$I$2:$I$1369,MATCH(672,Engine!$C$2:$C$1369,0)))</f>
        <v/>
      </c>
      <c r="J685" s="8">
        <f>IF(ISNA(MATCH(672,Engine!$C$2:$C$1369,0)),"",INDEX('Compliance Database'!$J$2:$J$1369,MATCH(672,Engine!$C$2:$C$1369,0)))</f>
        <v/>
      </c>
      <c r="K685" s="9">
        <f>IF(ISNA(MATCH(672,Engine!$C$2:$C$1369,0)),"",INDEX('Compliance Database'!$K$2:$K$1369,MATCH(672,Engine!$C$2:$C$1369,0)))</f>
        <v/>
      </c>
      <c r="L685" s="9">
        <f>IF(ISNA(MATCH(672,Engine!$C$2:$C$1369,0)),"",INDEX('Compliance Database'!$L$2:$L$1369,MATCH(672,Engine!$C$2:$C$1369,0)))</f>
        <v/>
      </c>
      <c r="M685" s="9">
        <f>IF(ISNA(MATCH(672,Engine!$C$2:$C$1369,0)),"",INDEX('Compliance Database'!$M$2:$M$1369,MATCH(672,Engine!$C$2:$C$1369,0)))</f>
        <v/>
      </c>
      <c r="N685" s="9">
        <f>IF(ISNA(MATCH(672,Engine!$C$2:$C$1369,0)),"",INDEX('Compliance Database'!$N$2:$N$1369,MATCH(672,Engine!$C$2:$C$1369,0)))</f>
        <v/>
      </c>
      <c r="O685" s="8">
        <f>IF(ISNA(MATCH(672,Engine!$C$2:$C$1369,0)),"",HYPERLINK(INDEX('Compliance Database'!$O$2:$O$1369,MATCH(672,Engine!$C$2:$C$1369,0)),"Open PDF"))</f>
        <v/>
      </c>
    </row>
    <row r="686" ht="188" customHeight="1">
      <c r="A686" s="8">
        <f>IF(ISNA(MATCH(673,Engine!$C$2:$C$1369,0)),"",INDEX('Compliance Database'!$A$2:$A$1369,MATCH(673,Engine!$C$2:$C$1369,0)))</f>
        <v/>
      </c>
      <c r="B686" s="8">
        <f>IF(ISNA(MATCH(673,Engine!$C$2:$C$1369,0)),"",INDEX('Compliance Database'!$B$2:$B$1369,MATCH(673,Engine!$C$2:$C$1369,0)))</f>
        <v/>
      </c>
      <c r="C686" s="8">
        <f>IF(ISNA(MATCH(673,Engine!$C$2:$C$1369,0)),"",INDEX('Compliance Database'!$C$2:$C$1369,MATCH(673,Engine!$C$2:$C$1369,0)))</f>
        <v/>
      </c>
      <c r="D686" s="9">
        <f>IF(ISNA(MATCH(673,Engine!$C$2:$C$1369,0)),"",INDEX('Compliance Database'!$D$2:$D$1369,MATCH(673,Engine!$C$2:$C$1369,0)))</f>
        <v/>
      </c>
      <c r="E686" s="8">
        <f>IF(ISNA(MATCH(673,Engine!$C$2:$C$1369,0)),"",INDEX('Compliance Database'!$E$2:$E$1369,MATCH(673,Engine!$C$2:$C$1369,0)))</f>
        <v/>
      </c>
      <c r="F686" s="8">
        <f>IF(ISNA(MATCH(673,Engine!$C$2:$C$1369,0)),"",INDEX('Compliance Database'!$F$2:$F$1369,MATCH(673,Engine!$C$2:$C$1369,0)))</f>
        <v/>
      </c>
      <c r="G686" s="8">
        <f>IF(ISNA(MATCH(673,Engine!$C$2:$C$1369,0)),"",INDEX('Compliance Database'!$G$2:$G$1369,MATCH(673,Engine!$C$2:$C$1369,0)))</f>
        <v/>
      </c>
      <c r="H686" s="9">
        <f>IF(ISNA(MATCH(673,Engine!$C$2:$C$1369,0)),"",INDEX('Compliance Database'!$H$2:$H$1369,MATCH(673,Engine!$C$2:$C$1369,0)))</f>
        <v/>
      </c>
      <c r="I686" s="9">
        <f>IF(ISNA(MATCH(673,Engine!$C$2:$C$1369,0)),"",INDEX('Compliance Database'!$I$2:$I$1369,MATCH(673,Engine!$C$2:$C$1369,0)))</f>
        <v/>
      </c>
      <c r="J686" s="8">
        <f>IF(ISNA(MATCH(673,Engine!$C$2:$C$1369,0)),"",INDEX('Compliance Database'!$J$2:$J$1369,MATCH(673,Engine!$C$2:$C$1369,0)))</f>
        <v/>
      </c>
      <c r="K686" s="9">
        <f>IF(ISNA(MATCH(673,Engine!$C$2:$C$1369,0)),"",INDEX('Compliance Database'!$K$2:$K$1369,MATCH(673,Engine!$C$2:$C$1369,0)))</f>
        <v/>
      </c>
      <c r="L686" s="9">
        <f>IF(ISNA(MATCH(673,Engine!$C$2:$C$1369,0)),"",INDEX('Compliance Database'!$L$2:$L$1369,MATCH(673,Engine!$C$2:$C$1369,0)))</f>
        <v/>
      </c>
      <c r="M686" s="9">
        <f>IF(ISNA(MATCH(673,Engine!$C$2:$C$1369,0)),"",INDEX('Compliance Database'!$M$2:$M$1369,MATCH(673,Engine!$C$2:$C$1369,0)))</f>
        <v/>
      </c>
      <c r="N686" s="9">
        <f>IF(ISNA(MATCH(673,Engine!$C$2:$C$1369,0)),"",INDEX('Compliance Database'!$N$2:$N$1369,MATCH(673,Engine!$C$2:$C$1369,0)))</f>
        <v/>
      </c>
      <c r="O686" s="8">
        <f>IF(ISNA(MATCH(673,Engine!$C$2:$C$1369,0)),"",HYPERLINK(INDEX('Compliance Database'!$O$2:$O$1369,MATCH(673,Engine!$C$2:$C$1369,0)),"Open PDF"))</f>
        <v/>
      </c>
    </row>
    <row r="687" ht="188" customHeight="1">
      <c r="A687" s="8">
        <f>IF(ISNA(MATCH(674,Engine!$C$2:$C$1369,0)),"",INDEX('Compliance Database'!$A$2:$A$1369,MATCH(674,Engine!$C$2:$C$1369,0)))</f>
        <v/>
      </c>
      <c r="B687" s="8">
        <f>IF(ISNA(MATCH(674,Engine!$C$2:$C$1369,0)),"",INDEX('Compliance Database'!$B$2:$B$1369,MATCH(674,Engine!$C$2:$C$1369,0)))</f>
        <v/>
      </c>
      <c r="C687" s="8">
        <f>IF(ISNA(MATCH(674,Engine!$C$2:$C$1369,0)),"",INDEX('Compliance Database'!$C$2:$C$1369,MATCH(674,Engine!$C$2:$C$1369,0)))</f>
        <v/>
      </c>
      <c r="D687" s="9">
        <f>IF(ISNA(MATCH(674,Engine!$C$2:$C$1369,0)),"",INDEX('Compliance Database'!$D$2:$D$1369,MATCH(674,Engine!$C$2:$C$1369,0)))</f>
        <v/>
      </c>
      <c r="E687" s="8">
        <f>IF(ISNA(MATCH(674,Engine!$C$2:$C$1369,0)),"",INDEX('Compliance Database'!$E$2:$E$1369,MATCH(674,Engine!$C$2:$C$1369,0)))</f>
        <v/>
      </c>
      <c r="F687" s="8">
        <f>IF(ISNA(MATCH(674,Engine!$C$2:$C$1369,0)),"",INDEX('Compliance Database'!$F$2:$F$1369,MATCH(674,Engine!$C$2:$C$1369,0)))</f>
        <v/>
      </c>
      <c r="G687" s="8">
        <f>IF(ISNA(MATCH(674,Engine!$C$2:$C$1369,0)),"",INDEX('Compliance Database'!$G$2:$G$1369,MATCH(674,Engine!$C$2:$C$1369,0)))</f>
        <v/>
      </c>
      <c r="H687" s="9">
        <f>IF(ISNA(MATCH(674,Engine!$C$2:$C$1369,0)),"",INDEX('Compliance Database'!$H$2:$H$1369,MATCH(674,Engine!$C$2:$C$1369,0)))</f>
        <v/>
      </c>
      <c r="I687" s="9">
        <f>IF(ISNA(MATCH(674,Engine!$C$2:$C$1369,0)),"",INDEX('Compliance Database'!$I$2:$I$1369,MATCH(674,Engine!$C$2:$C$1369,0)))</f>
        <v/>
      </c>
      <c r="J687" s="8">
        <f>IF(ISNA(MATCH(674,Engine!$C$2:$C$1369,0)),"",INDEX('Compliance Database'!$J$2:$J$1369,MATCH(674,Engine!$C$2:$C$1369,0)))</f>
        <v/>
      </c>
      <c r="K687" s="9">
        <f>IF(ISNA(MATCH(674,Engine!$C$2:$C$1369,0)),"",INDEX('Compliance Database'!$K$2:$K$1369,MATCH(674,Engine!$C$2:$C$1369,0)))</f>
        <v/>
      </c>
      <c r="L687" s="9">
        <f>IF(ISNA(MATCH(674,Engine!$C$2:$C$1369,0)),"",INDEX('Compliance Database'!$L$2:$L$1369,MATCH(674,Engine!$C$2:$C$1369,0)))</f>
        <v/>
      </c>
      <c r="M687" s="9">
        <f>IF(ISNA(MATCH(674,Engine!$C$2:$C$1369,0)),"",INDEX('Compliance Database'!$M$2:$M$1369,MATCH(674,Engine!$C$2:$C$1369,0)))</f>
        <v/>
      </c>
      <c r="N687" s="9">
        <f>IF(ISNA(MATCH(674,Engine!$C$2:$C$1369,0)),"",INDEX('Compliance Database'!$N$2:$N$1369,MATCH(674,Engine!$C$2:$C$1369,0)))</f>
        <v/>
      </c>
      <c r="O687" s="8">
        <f>IF(ISNA(MATCH(674,Engine!$C$2:$C$1369,0)),"",HYPERLINK(INDEX('Compliance Database'!$O$2:$O$1369,MATCH(674,Engine!$C$2:$C$1369,0)),"Open PDF"))</f>
        <v/>
      </c>
    </row>
    <row r="688" ht="188" customHeight="1">
      <c r="A688" s="8">
        <f>IF(ISNA(MATCH(675,Engine!$C$2:$C$1369,0)),"",INDEX('Compliance Database'!$A$2:$A$1369,MATCH(675,Engine!$C$2:$C$1369,0)))</f>
        <v/>
      </c>
      <c r="B688" s="8">
        <f>IF(ISNA(MATCH(675,Engine!$C$2:$C$1369,0)),"",INDEX('Compliance Database'!$B$2:$B$1369,MATCH(675,Engine!$C$2:$C$1369,0)))</f>
        <v/>
      </c>
      <c r="C688" s="8">
        <f>IF(ISNA(MATCH(675,Engine!$C$2:$C$1369,0)),"",INDEX('Compliance Database'!$C$2:$C$1369,MATCH(675,Engine!$C$2:$C$1369,0)))</f>
        <v/>
      </c>
      <c r="D688" s="9">
        <f>IF(ISNA(MATCH(675,Engine!$C$2:$C$1369,0)),"",INDEX('Compliance Database'!$D$2:$D$1369,MATCH(675,Engine!$C$2:$C$1369,0)))</f>
        <v/>
      </c>
      <c r="E688" s="8">
        <f>IF(ISNA(MATCH(675,Engine!$C$2:$C$1369,0)),"",INDEX('Compliance Database'!$E$2:$E$1369,MATCH(675,Engine!$C$2:$C$1369,0)))</f>
        <v/>
      </c>
      <c r="F688" s="8">
        <f>IF(ISNA(MATCH(675,Engine!$C$2:$C$1369,0)),"",INDEX('Compliance Database'!$F$2:$F$1369,MATCH(675,Engine!$C$2:$C$1369,0)))</f>
        <v/>
      </c>
      <c r="G688" s="8">
        <f>IF(ISNA(MATCH(675,Engine!$C$2:$C$1369,0)),"",INDEX('Compliance Database'!$G$2:$G$1369,MATCH(675,Engine!$C$2:$C$1369,0)))</f>
        <v/>
      </c>
      <c r="H688" s="9">
        <f>IF(ISNA(MATCH(675,Engine!$C$2:$C$1369,0)),"",INDEX('Compliance Database'!$H$2:$H$1369,MATCH(675,Engine!$C$2:$C$1369,0)))</f>
        <v/>
      </c>
      <c r="I688" s="9">
        <f>IF(ISNA(MATCH(675,Engine!$C$2:$C$1369,0)),"",INDEX('Compliance Database'!$I$2:$I$1369,MATCH(675,Engine!$C$2:$C$1369,0)))</f>
        <v/>
      </c>
      <c r="J688" s="8">
        <f>IF(ISNA(MATCH(675,Engine!$C$2:$C$1369,0)),"",INDEX('Compliance Database'!$J$2:$J$1369,MATCH(675,Engine!$C$2:$C$1369,0)))</f>
        <v/>
      </c>
      <c r="K688" s="9">
        <f>IF(ISNA(MATCH(675,Engine!$C$2:$C$1369,0)),"",INDEX('Compliance Database'!$K$2:$K$1369,MATCH(675,Engine!$C$2:$C$1369,0)))</f>
        <v/>
      </c>
      <c r="L688" s="9">
        <f>IF(ISNA(MATCH(675,Engine!$C$2:$C$1369,0)),"",INDEX('Compliance Database'!$L$2:$L$1369,MATCH(675,Engine!$C$2:$C$1369,0)))</f>
        <v/>
      </c>
      <c r="M688" s="9">
        <f>IF(ISNA(MATCH(675,Engine!$C$2:$C$1369,0)),"",INDEX('Compliance Database'!$M$2:$M$1369,MATCH(675,Engine!$C$2:$C$1369,0)))</f>
        <v/>
      </c>
      <c r="N688" s="9">
        <f>IF(ISNA(MATCH(675,Engine!$C$2:$C$1369,0)),"",INDEX('Compliance Database'!$N$2:$N$1369,MATCH(675,Engine!$C$2:$C$1369,0)))</f>
        <v/>
      </c>
      <c r="O688" s="8">
        <f>IF(ISNA(MATCH(675,Engine!$C$2:$C$1369,0)),"",HYPERLINK(INDEX('Compliance Database'!$O$2:$O$1369,MATCH(675,Engine!$C$2:$C$1369,0)),"Open PDF"))</f>
        <v/>
      </c>
    </row>
    <row r="689" ht="188" customHeight="1">
      <c r="A689" s="8">
        <f>IF(ISNA(MATCH(676,Engine!$C$2:$C$1369,0)),"",INDEX('Compliance Database'!$A$2:$A$1369,MATCH(676,Engine!$C$2:$C$1369,0)))</f>
        <v/>
      </c>
      <c r="B689" s="8">
        <f>IF(ISNA(MATCH(676,Engine!$C$2:$C$1369,0)),"",INDEX('Compliance Database'!$B$2:$B$1369,MATCH(676,Engine!$C$2:$C$1369,0)))</f>
        <v/>
      </c>
      <c r="C689" s="8">
        <f>IF(ISNA(MATCH(676,Engine!$C$2:$C$1369,0)),"",INDEX('Compliance Database'!$C$2:$C$1369,MATCH(676,Engine!$C$2:$C$1369,0)))</f>
        <v/>
      </c>
      <c r="D689" s="9">
        <f>IF(ISNA(MATCH(676,Engine!$C$2:$C$1369,0)),"",INDEX('Compliance Database'!$D$2:$D$1369,MATCH(676,Engine!$C$2:$C$1369,0)))</f>
        <v/>
      </c>
      <c r="E689" s="8">
        <f>IF(ISNA(MATCH(676,Engine!$C$2:$C$1369,0)),"",INDEX('Compliance Database'!$E$2:$E$1369,MATCH(676,Engine!$C$2:$C$1369,0)))</f>
        <v/>
      </c>
      <c r="F689" s="8">
        <f>IF(ISNA(MATCH(676,Engine!$C$2:$C$1369,0)),"",INDEX('Compliance Database'!$F$2:$F$1369,MATCH(676,Engine!$C$2:$C$1369,0)))</f>
        <v/>
      </c>
      <c r="G689" s="8">
        <f>IF(ISNA(MATCH(676,Engine!$C$2:$C$1369,0)),"",INDEX('Compliance Database'!$G$2:$G$1369,MATCH(676,Engine!$C$2:$C$1369,0)))</f>
        <v/>
      </c>
      <c r="H689" s="9">
        <f>IF(ISNA(MATCH(676,Engine!$C$2:$C$1369,0)),"",INDEX('Compliance Database'!$H$2:$H$1369,MATCH(676,Engine!$C$2:$C$1369,0)))</f>
        <v/>
      </c>
      <c r="I689" s="9">
        <f>IF(ISNA(MATCH(676,Engine!$C$2:$C$1369,0)),"",INDEX('Compliance Database'!$I$2:$I$1369,MATCH(676,Engine!$C$2:$C$1369,0)))</f>
        <v/>
      </c>
      <c r="J689" s="8">
        <f>IF(ISNA(MATCH(676,Engine!$C$2:$C$1369,0)),"",INDEX('Compliance Database'!$J$2:$J$1369,MATCH(676,Engine!$C$2:$C$1369,0)))</f>
        <v/>
      </c>
      <c r="K689" s="9">
        <f>IF(ISNA(MATCH(676,Engine!$C$2:$C$1369,0)),"",INDEX('Compliance Database'!$K$2:$K$1369,MATCH(676,Engine!$C$2:$C$1369,0)))</f>
        <v/>
      </c>
      <c r="L689" s="9">
        <f>IF(ISNA(MATCH(676,Engine!$C$2:$C$1369,0)),"",INDEX('Compliance Database'!$L$2:$L$1369,MATCH(676,Engine!$C$2:$C$1369,0)))</f>
        <v/>
      </c>
      <c r="M689" s="9">
        <f>IF(ISNA(MATCH(676,Engine!$C$2:$C$1369,0)),"",INDEX('Compliance Database'!$M$2:$M$1369,MATCH(676,Engine!$C$2:$C$1369,0)))</f>
        <v/>
      </c>
      <c r="N689" s="9">
        <f>IF(ISNA(MATCH(676,Engine!$C$2:$C$1369,0)),"",INDEX('Compliance Database'!$N$2:$N$1369,MATCH(676,Engine!$C$2:$C$1369,0)))</f>
        <v/>
      </c>
      <c r="O689" s="8">
        <f>IF(ISNA(MATCH(676,Engine!$C$2:$C$1369,0)),"",HYPERLINK(INDEX('Compliance Database'!$O$2:$O$1369,MATCH(676,Engine!$C$2:$C$1369,0)),"Open PDF"))</f>
        <v/>
      </c>
    </row>
    <row r="690" ht="188" customHeight="1">
      <c r="A690" s="8">
        <f>IF(ISNA(MATCH(677,Engine!$C$2:$C$1369,0)),"",INDEX('Compliance Database'!$A$2:$A$1369,MATCH(677,Engine!$C$2:$C$1369,0)))</f>
        <v/>
      </c>
      <c r="B690" s="8">
        <f>IF(ISNA(MATCH(677,Engine!$C$2:$C$1369,0)),"",INDEX('Compliance Database'!$B$2:$B$1369,MATCH(677,Engine!$C$2:$C$1369,0)))</f>
        <v/>
      </c>
      <c r="C690" s="8">
        <f>IF(ISNA(MATCH(677,Engine!$C$2:$C$1369,0)),"",INDEX('Compliance Database'!$C$2:$C$1369,MATCH(677,Engine!$C$2:$C$1369,0)))</f>
        <v/>
      </c>
      <c r="D690" s="9">
        <f>IF(ISNA(MATCH(677,Engine!$C$2:$C$1369,0)),"",INDEX('Compliance Database'!$D$2:$D$1369,MATCH(677,Engine!$C$2:$C$1369,0)))</f>
        <v/>
      </c>
      <c r="E690" s="8">
        <f>IF(ISNA(MATCH(677,Engine!$C$2:$C$1369,0)),"",INDEX('Compliance Database'!$E$2:$E$1369,MATCH(677,Engine!$C$2:$C$1369,0)))</f>
        <v/>
      </c>
      <c r="F690" s="8">
        <f>IF(ISNA(MATCH(677,Engine!$C$2:$C$1369,0)),"",INDEX('Compliance Database'!$F$2:$F$1369,MATCH(677,Engine!$C$2:$C$1369,0)))</f>
        <v/>
      </c>
      <c r="G690" s="8">
        <f>IF(ISNA(MATCH(677,Engine!$C$2:$C$1369,0)),"",INDEX('Compliance Database'!$G$2:$G$1369,MATCH(677,Engine!$C$2:$C$1369,0)))</f>
        <v/>
      </c>
      <c r="H690" s="9">
        <f>IF(ISNA(MATCH(677,Engine!$C$2:$C$1369,0)),"",INDEX('Compliance Database'!$H$2:$H$1369,MATCH(677,Engine!$C$2:$C$1369,0)))</f>
        <v/>
      </c>
      <c r="I690" s="9">
        <f>IF(ISNA(MATCH(677,Engine!$C$2:$C$1369,0)),"",INDEX('Compliance Database'!$I$2:$I$1369,MATCH(677,Engine!$C$2:$C$1369,0)))</f>
        <v/>
      </c>
      <c r="J690" s="8">
        <f>IF(ISNA(MATCH(677,Engine!$C$2:$C$1369,0)),"",INDEX('Compliance Database'!$J$2:$J$1369,MATCH(677,Engine!$C$2:$C$1369,0)))</f>
        <v/>
      </c>
      <c r="K690" s="9">
        <f>IF(ISNA(MATCH(677,Engine!$C$2:$C$1369,0)),"",INDEX('Compliance Database'!$K$2:$K$1369,MATCH(677,Engine!$C$2:$C$1369,0)))</f>
        <v/>
      </c>
      <c r="L690" s="9">
        <f>IF(ISNA(MATCH(677,Engine!$C$2:$C$1369,0)),"",INDEX('Compliance Database'!$L$2:$L$1369,MATCH(677,Engine!$C$2:$C$1369,0)))</f>
        <v/>
      </c>
      <c r="M690" s="9">
        <f>IF(ISNA(MATCH(677,Engine!$C$2:$C$1369,0)),"",INDEX('Compliance Database'!$M$2:$M$1369,MATCH(677,Engine!$C$2:$C$1369,0)))</f>
        <v/>
      </c>
      <c r="N690" s="9">
        <f>IF(ISNA(MATCH(677,Engine!$C$2:$C$1369,0)),"",INDEX('Compliance Database'!$N$2:$N$1369,MATCH(677,Engine!$C$2:$C$1369,0)))</f>
        <v/>
      </c>
      <c r="O690" s="8">
        <f>IF(ISNA(MATCH(677,Engine!$C$2:$C$1369,0)),"",HYPERLINK(INDEX('Compliance Database'!$O$2:$O$1369,MATCH(677,Engine!$C$2:$C$1369,0)),"Open PDF"))</f>
        <v/>
      </c>
    </row>
    <row r="691" ht="188" customHeight="1">
      <c r="A691" s="8">
        <f>IF(ISNA(MATCH(678,Engine!$C$2:$C$1369,0)),"",INDEX('Compliance Database'!$A$2:$A$1369,MATCH(678,Engine!$C$2:$C$1369,0)))</f>
        <v/>
      </c>
      <c r="B691" s="8">
        <f>IF(ISNA(MATCH(678,Engine!$C$2:$C$1369,0)),"",INDEX('Compliance Database'!$B$2:$B$1369,MATCH(678,Engine!$C$2:$C$1369,0)))</f>
        <v/>
      </c>
      <c r="C691" s="8">
        <f>IF(ISNA(MATCH(678,Engine!$C$2:$C$1369,0)),"",INDEX('Compliance Database'!$C$2:$C$1369,MATCH(678,Engine!$C$2:$C$1369,0)))</f>
        <v/>
      </c>
      <c r="D691" s="9">
        <f>IF(ISNA(MATCH(678,Engine!$C$2:$C$1369,0)),"",INDEX('Compliance Database'!$D$2:$D$1369,MATCH(678,Engine!$C$2:$C$1369,0)))</f>
        <v/>
      </c>
      <c r="E691" s="8">
        <f>IF(ISNA(MATCH(678,Engine!$C$2:$C$1369,0)),"",INDEX('Compliance Database'!$E$2:$E$1369,MATCH(678,Engine!$C$2:$C$1369,0)))</f>
        <v/>
      </c>
      <c r="F691" s="8">
        <f>IF(ISNA(MATCH(678,Engine!$C$2:$C$1369,0)),"",INDEX('Compliance Database'!$F$2:$F$1369,MATCH(678,Engine!$C$2:$C$1369,0)))</f>
        <v/>
      </c>
      <c r="G691" s="8">
        <f>IF(ISNA(MATCH(678,Engine!$C$2:$C$1369,0)),"",INDEX('Compliance Database'!$G$2:$G$1369,MATCH(678,Engine!$C$2:$C$1369,0)))</f>
        <v/>
      </c>
      <c r="H691" s="9">
        <f>IF(ISNA(MATCH(678,Engine!$C$2:$C$1369,0)),"",INDEX('Compliance Database'!$H$2:$H$1369,MATCH(678,Engine!$C$2:$C$1369,0)))</f>
        <v/>
      </c>
      <c r="I691" s="9">
        <f>IF(ISNA(MATCH(678,Engine!$C$2:$C$1369,0)),"",INDEX('Compliance Database'!$I$2:$I$1369,MATCH(678,Engine!$C$2:$C$1369,0)))</f>
        <v/>
      </c>
      <c r="J691" s="8">
        <f>IF(ISNA(MATCH(678,Engine!$C$2:$C$1369,0)),"",INDEX('Compliance Database'!$J$2:$J$1369,MATCH(678,Engine!$C$2:$C$1369,0)))</f>
        <v/>
      </c>
      <c r="K691" s="9">
        <f>IF(ISNA(MATCH(678,Engine!$C$2:$C$1369,0)),"",INDEX('Compliance Database'!$K$2:$K$1369,MATCH(678,Engine!$C$2:$C$1369,0)))</f>
        <v/>
      </c>
      <c r="L691" s="9">
        <f>IF(ISNA(MATCH(678,Engine!$C$2:$C$1369,0)),"",INDEX('Compliance Database'!$L$2:$L$1369,MATCH(678,Engine!$C$2:$C$1369,0)))</f>
        <v/>
      </c>
      <c r="M691" s="9">
        <f>IF(ISNA(MATCH(678,Engine!$C$2:$C$1369,0)),"",INDEX('Compliance Database'!$M$2:$M$1369,MATCH(678,Engine!$C$2:$C$1369,0)))</f>
        <v/>
      </c>
      <c r="N691" s="9">
        <f>IF(ISNA(MATCH(678,Engine!$C$2:$C$1369,0)),"",INDEX('Compliance Database'!$N$2:$N$1369,MATCH(678,Engine!$C$2:$C$1369,0)))</f>
        <v/>
      </c>
      <c r="O691" s="8">
        <f>IF(ISNA(MATCH(678,Engine!$C$2:$C$1369,0)),"",HYPERLINK(INDEX('Compliance Database'!$O$2:$O$1369,MATCH(678,Engine!$C$2:$C$1369,0)),"Open PDF"))</f>
        <v/>
      </c>
    </row>
    <row r="692" ht="188" customHeight="1">
      <c r="A692" s="8">
        <f>IF(ISNA(MATCH(679,Engine!$C$2:$C$1369,0)),"",INDEX('Compliance Database'!$A$2:$A$1369,MATCH(679,Engine!$C$2:$C$1369,0)))</f>
        <v/>
      </c>
      <c r="B692" s="8">
        <f>IF(ISNA(MATCH(679,Engine!$C$2:$C$1369,0)),"",INDEX('Compliance Database'!$B$2:$B$1369,MATCH(679,Engine!$C$2:$C$1369,0)))</f>
        <v/>
      </c>
      <c r="C692" s="8">
        <f>IF(ISNA(MATCH(679,Engine!$C$2:$C$1369,0)),"",INDEX('Compliance Database'!$C$2:$C$1369,MATCH(679,Engine!$C$2:$C$1369,0)))</f>
        <v/>
      </c>
      <c r="D692" s="9">
        <f>IF(ISNA(MATCH(679,Engine!$C$2:$C$1369,0)),"",INDEX('Compliance Database'!$D$2:$D$1369,MATCH(679,Engine!$C$2:$C$1369,0)))</f>
        <v/>
      </c>
      <c r="E692" s="8">
        <f>IF(ISNA(MATCH(679,Engine!$C$2:$C$1369,0)),"",INDEX('Compliance Database'!$E$2:$E$1369,MATCH(679,Engine!$C$2:$C$1369,0)))</f>
        <v/>
      </c>
      <c r="F692" s="8">
        <f>IF(ISNA(MATCH(679,Engine!$C$2:$C$1369,0)),"",INDEX('Compliance Database'!$F$2:$F$1369,MATCH(679,Engine!$C$2:$C$1369,0)))</f>
        <v/>
      </c>
      <c r="G692" s="8">
        <f>IF(ISNA(MATCH(679,Engine!$C$2:$C$1369,0)),"",INDEX('Compliance Database'!$G$2:$G$1369,MATCH(679,Engine!$C$2:$C$1369,0)))</f>
        <v/>
      </c>
      <c r="H692" s="9">
        <f>IF(ISNA(MATCH(679,Engine!$C$2:$C$1369,0)),"",INDEX('Compliance Database'!$H$2:$H$1369,MATCH(679,Engine!$C$2:$C$1369,0)))</f>
        <v/>
      </c>
      <c r="I692" s="9">
        <f>IF(ISNA(MATCH(679,Engine!$C$2:$C$1369,0)),"",INDEX('Compliance Database'!$I$2:$I$1369,MATCH(679,Engine!$C$2:$C$1369,0)))</f>
        <v/>
      </c>
      <c r="J692" s="8">
        <f>IF(ISNA(MATCH(679,Engine!$C$2:$C$1369,0)),"",INDEX('Compliance Database'!$J$2:$J$1369,MATCH(679,Engine!$C$2:$C$1369,0)))</f>
        <v/>
      </c>
      <c r="K692" s="9">
        <f>IF(ISNA(MATCH(679,Engine!$C$2:$C$1369,0)),"",INDEX('Compliance Database'!$K$2:$K$1369,MATCH(679,Engine!$C$2:$C$1369,0)))</f>
        <v/>
      </c>
      <c r="L692" s="9">
        <f>IF(ISNA(MATCH(679,Engine!$C$2:$C$1369,0)),"",INDEX('Compliance Database'!$L$2:$L$1369,MATCH(679,Engine!$C$2:$C$1369,0)))</f>
        <v/>
      </c>
      <c r="M692" s="9">
        <f>IF(ISNA(MATCH(679,Engine!$C$2:$C$1369,0)),"",INDEX('Compliance Database'!$M$2:$M$1369,MATCH(679,Engine!$C$2:$C$1369,0)))</f>
        <v/>
      </c>
      <c r="N692" s="9">
        <f>IF(ISNA(MATCH(679,Engine!$C$2:$C$1369,0)),"",INDEX('Compliance Database'!$N$2:$N$1369,MATCH(679,Engine!$C$2:$C$1369,0)))</f>
        <v/>
      </c>
      <c r="O692" s="8">
        <f>IF(ISNA(MATCH(679,Engine!$C$2:$C$1369,0)),"",HYPERLINK(INDEX('Compliance Database'!$O$2:$O$1369,MATCH(679,Engine!$C$2:$C$1369,0)),"Open PDF"))</f>
        <v/>
      </c>
    </row>
    <row r="693" ht="188" customHeight="1">
      <c r="A693" s="8">
        <f>IF(ISNA(MATCH(680,Engine!$C$2:$C$1369,0)),"",INDEX('Compliance Database'!$A$2:$A$1369,MATCH(680,Engine!$C$2:$C$1369,0)))</f>
        <v/>
      </c>
      <c r="B693" s="8">
        <f>IF(ISNA(MATCH(680,Engine!$C$2:$C$1369,0)),"",INDEX('Compliance Database'!$B$2:$B$1369,MATCH(680,Engine!$C$2:$C$1369,0)))</f>
        <v/>
      </c>
      <c r="C693" s="8">
        <f>IF(ISNA(MATCH(680,Engine!$C$2:$C$1369,0)),"",INDEX('Compliance Database'!$C$2:$C$1369,MATCH(680,Engine!$C$2:$C$1369,0)))</f>
        <v/>
      </c>
      <c r="D693" s="9">
        <f>IF(ISNA(MATCH(680,Engine!$C$2:$C$1369,0)),"",INDEX('Compliance Database'!$D$2:$D$1369,MATCH(680,Engine!$C$2:$C$1369,0)))</f>
        <v/>
      </c>
      <c r="E693" s="8">
        <f>IF(ISNA(MATCH(680,Engine!$C$2:$C$1369,0)),"",INDEX('Compliance Database'!$E$2:$E$1369,MATCH(680,Engine!$C$2:$C$1369,0)))</f>
        <v/>
      </c>
      <c r="F693" s="8">
        <f>IF(ISNA(MATCH(680,Engine!$C$2:$C$1369,0)),"",INDEX('Compliance Database'!$F$2:$F$1369,MATCH(680,Engine!$C$2:$C$1369,0)))</f>
        <v/>
      </c>
      <c r="G693" s="8">
        <f>IF(ISNA(MATCH(680,Engine!$C$2:$C$1369,0)),"",INDEX('Compliance Database'!$G$2:$G$1369,MATCH(680,Engine!$C$2:$C$1369,0)))</f>
        <v/>
      </c>
      <c r="H693" s="9">
        <f>IF(ISNA(MATCH(680,Engine!$C$2:$C$1369,0)),"",INDEX('Compliance Database'!$H$2:$H$1369,MATCH(680,Engine!$C$2:$C$1369,0)))</f>
        <v/>
      </c>
      <c r="I693" s="9">
        <f>IF(ISNA(MATCH(680,Engine!$C$2:$C$1369,0)),"",INDEX('Compliance Database'!$I$2:$I$1369,MATCH(680,Engine!$C$2:$C$1369,0)))</f>
        <v/>
      </c>
      <c r="J693" s="8">
        <f>IF(ISNA(MATCH(680,Engine!$C$2:$C$1369,0)),"",INDEX('Compliance Database'!$J$2:$J$1369,MATCH(680,Engine!$C$2:$C$1369,0)))</f>
        <v/>
      </c>
      <c r="K693" s="9">
        <f>IF(ISNA(MATCH(680,Engine!$C$2:$C$1369,0)),"",INDEX('Compliance Database'!$K$2:$K$1369,MATCH(680,Engine!$C$2:$C$1369,0)))</f>
        <v/>
      </c>
      <c r="L693" s="9">
        <f>IF(ISNA(MATCH(680,Engine!$C$2:$C$1369,0)),"",INDEX('Compliance Database'!$L$2:$L$1369,MATCH(680,Engine!$C$2:$C$1369,0)))</f>
        <v/>
      </c>
      <c r="M693" s="9">
        <f>IF(ISNA(MATCH(680,Engine!$C$2:$C$1369,0)),"",INDEX('Compliance Database'!$M$2:$M$1369,MATCH(680,Engine!$C$2:$C$1369,0)))</f>
        <v/>
      </c>
      <c r="N693" s="9">
        <f>IF(ISNA(MATCH(680,Engine!$C$2:$C$1369,0)),"",INDEX('Compliance Database'!$N$2:$N$1369,MATCH(680,Engine!$C$2:$C$1369,0)))</f>
        <v/>
      </c>
      <c r="O693" s="8">
        <f>IF(ISNA(MATCH(680,Engine!$C$2:$C$1369,0)),"",HYPERLINK(INDEX('Compliance Database'!$O$2:$O$1369,MATCH(680,Engine!$C$2:$C$1369,0)),"Open PDF"))</f>
        <v/>
      </c>
    </row>
    <row r="694" ht="188" customHeight="1">
      <c r="A694" s="8">
        <f>IF(ISNA(MATCH(681,Engine!$C$2:$C$1369,0)),"",INDEX('Compliance Database'!$A$2:$A$1369,MATCH(681,Engine!$C$2:$C$1369,0)))</f>
        <v/>
      </c>
      <c r="B694" s="8">
        <f>IF(ISNA(MATCH(681,Engine!$C$2:$C$1369,0)),"",INDEX('Compliance Database'!$B$2:$B$1369,MATCH(681,Engine!$C$2:$C$1369,0)))</f>
        <v/>
      </c>
      <c r="C694" s="8">
        <f>IF(ISNA(MATCH(681,Engine!$C$2:$C$1369,0)),"",INDEX('Compliance Database'!$C$2:$C$1369,MATCH(681,Engine!$C$2:$C$1369,0)))</f>
        <v/>
      </c>
      <c r="D694" s="9">
        <f>IF(ISNA(MATCH(681,Engine!$C$2:$C$1369,0)),"",INDEX('Compliance Database'!$D$2:$D$1369,MATCH(681,Engine!$C$2:$C$1369,0)))</f>
        <v/>
      </c>
      <c r="E694" s="8">
        <f>IF(ISNA(MATCH(681,Engine!$C$2:$C$1369,0)),"",INDEX('Compliance Database'!$E$2:$E$1369,MATCH(681,Engine!$C$2:$C$1369,0)))</f>
        <v/>
      </c>
      <c r="F694" s="8">
        <f>IF(ISNA(MATCH(681,Engine!$C$2:$C$1369,0)),"",INDEX('Compliance Database'!$F$2:$F$1369,MATCH(681,Engine!$C$2:$C$1369,0)))</f>
        <v/>
      </c>
      <c r="G694" s="8">
        <f>IF(ISNA(MATCH(681,Engine!$C$2:$C$1369,0)),"",INDEX('Compliance Database'!$G$2:$G$1369,MATCH(681,Engine!$C$2:$C$1369,0)))</f>
        <v/>
      </c>
      <c r="H694" s="9">
        <f>IF(ISNA(MATCH(681,Engine!$C$2:$C$1369,0)),"",INDEX('Compliance Database'!$H$2:$H$1369,MATCH(681,Engine!$C$2:$C$1369,0)))</f>
        <v/>
      </c>
      <c r="I694" s="9">
        <f>IF(ISNA(MATCH(681,Engine!$C$2:$C$1369,0)),"",INDEX('Compliance Database'!$I$2:$I$1369,MATCH(681,Engine!$C$2:$C$1369,0)))</f>
        <v/>
      </c>
      <c r="J694" s="8">
        <f>IF(ISNA(MATCH(681,Engine!$C$2:$C$1369,0)),"",INDEX('Compliance Database'!$J$2:$J$1369,MATCH(681,Engine!$C$2:$C$1369,0)))</f>
        <v/>
      </c>
      <c r="K694" s="9">
        <f>IF(ISNA(MATCH(681,Engine!$C$2:$C$1369,0)),"",INDEX('Compliance Database'!$K$2:$K$1369,MATCH(681,Engine!$C$2:$C$1369,0)))</f>
        <v/>
      </c>
      <c r="L694" s="9">
        <f>IF(ISNA(MATCH(681,Engine!$C$2:$C$1369,0)),"",INDEX('Compliance Database'!$L$2:$L$1369,MATCH(681,Engine!$C$2:$C$1369,0)))</f>
        <v/>
      </c>
      <c r="M694" s="9">
        <f>IF(ISNA(MATCH(681,Engine!$C$2:$C$1369,0)),"",INDEX('Compliance Database'!$M$2:$M$1369,MATCH(681,Engine!$C$2:$C$1369,0)))</f>
        <v/>
      </c>
      <c r="N694" s="9">
        <f>IF(ISNA(MATCH(681,Engine!$C$2:$C$1369,0)),"",INDEX('Compliance Database'!$N$2:$N$1369,MATCH(681,Engine!$C$2:$C$1369,0)))</f>
        <v/>
      </c>
      <c r="O694" s="8">
        <f>IF(ISNA(MATCH(681,Engine!$C$2:$C$1369,0)),"",HYPERLINK(INDEX('Compliance Database'!$O$2:$O$1369,MATCH(681,Engine!$C$2:$C$1369,0)),"Open PDF"))</f>
        <v/>
      </c>
    </row>
    <row r="695" ht="188" customHeight="1">
      <c r="A695" s="8">
        <f>IF(ISNA(MATCH(682,Engine!$C$2:$C$1369,0)),"",INDEX('Compliance Database'!$A$2:$A$1369,MATCH(682,Engine!$C$2:$C$1369,0)))</f>
        <v/>
      </c>
      <c r="B695" s="8">
        <f>IF(ISNA(MATCH(682,Engine!$C$2:$C$1369,0)),"",INDEX('Compliance Database'!$B$2:$B$1369,MATCH(682,Engine!$C$2:$C$1369,0)))</f>
        <v/>
      </c>
      <c r="C695" s="8">
        <f>IF(ISNA(MATCH(682,Engine!$C$2:$C$1369,0)),"",INDEX('Compliance Database'!$C$2:$C$1369,MATCH(682,Engine!$C$2:$C$1369,0)))</f>
        <v/>
      </c>
      <c r="D695" s="9">
        <f>IF(ISNA(MATCH(682,Engine!$C$2:$C$1369,0)),"",INDEX('Compliance Database'!$D$2:$D$1369,MATCH(682,Engine!$C$2:$C$1369,0)))</f>
        <v/>
      </c>
      <c r="E695" s="8">
        <f>IF(ISNA(MATCH(682,Engine!$C$2:$C$1369,0)),"",INDEX('Compliance Database'!$E$2:$E$1369,MATCH(682,Engine!$C$2:$C$1369,0)))</f>
        <v/>
      </c>
      <c r="F695" s="8">
        <f>IF(ISNA(MATCH(682,Engine!$C$2:$C$1369,0)),"",INDEX('Compliance Database'!$F$2:$F$1369,MATCH(682,Engine!$C$2:$C$1369,0)))</f>
        <v/>
      </c>
      <c r="G695" s="8">
        <f>IF(ISNA(MATCH(682,Engine!$C$2:$C$1369,0)),"",INDEX('Compliance Database'!$G$2:$G$1369,MATCH(682,Engine!$C$2:$C$1369,0)))</f>
        <v/>
      </c>
      <c r="H695" s="9">
        <f>IF(ISNA(MATCH(682,Engine!$C$2:$C$1369,0)),"",INDEX('Compliance Database'!$H$2:$H$1369,MATCH(682,Engine!$C$2:$C$1369,0)))</f>
        <v/>
      </c>
      <c r="I695" s="9">
        <f>IF(ISNA(MATCH(682,Engine!$C$2:$C$1369,0)),"",INDEX('Compliance Database'!$I$2:$I$1369,MATCH(682,Engine!$C$2:$C$1369,0)))</f>
        <v/>
      </c>
      <c r="J695" s="8">
        <f>IF(ISNA(MATCH(682,Engine!$C$2:$C$1369,0)),"",INDEX('Compliance Database'!$J$2:$J$1369,MATCH(682,Engine!$C$2:$C$1369,0)))</f>
        <v/>
      </c>
      <c r="K695" s="9">
        <f>IF(ISNA(MATCH(682,Engine!$C$2:$C$1369,0)),"",INDEX('Compliance Database'!$K$2:$K$1369,MATCH(682,Engine!$C$2:$C$1369,0)))</f>
        <v/>
      </c>
      <c r="L695" s="9">
        <f>IF(ISNA(MATCH(682,Engine!$C$2:$C$1369,0)),"",INDEX('Compliance Database'!$L$2:$L$1369,MATCH(682,Engine!$C$2:$C$1369,0)))</f>
        <v/>
      </c>
      <c r="M695" s="9">
        <f>IF(ISNA(MATCH(682,Engine!$C$2:$C$1369,0)),"",INDEX('Compliance Database'!$M$2:$M$1369,MATCH(682,Engine!$C$2:$C$1369,0)))</f>
        <v/>
      </c>
      <c r="N695" s="9">
        <f>IF(ISNA(MATCH(682,Engine!$C$2:$C$1369,0)),"",INDEX('Compliance Database'!$N$2:$N$1369,MATCH(682,Engine!$C$2:$C$1369,0)))</f>
        <v/>
      </c>
      <c r="O695" s="8">
        <f>IF(ISNA(MATCH(682,Engine!$C$2:$C$1369,0)),"",HYPERLINK(INDEX('Compliance Database'!$O$2:$O$1369,MATCH(682,Engine!$C$2:$C$1369,0)),"Open PDF"))</f>
        <v/>
      </c>
    </row>
    <row r="696" ht="188" customHeight="1">
      <c r="A696" s="8">
        <f>IF(ISNA(MATCH(683,Engine!$C$2:$C$1369,0)),"",INDEX('Compliance Database'!$A$2:$A$1369,MATCH(683,Engine!$C$2:$C$1369,0)))</f>
        <v/>
      </c>
      <c r="B696" s="8">
        <f>IF(ISNA(MATCH(683,Engine!$C$2:$C$1369,0)),"",INDEX('Compliance Database'!$B$2:$B$1369,MATCH(683,Engine!$C$2:$C$1369,0)))</f>
        <v/>
      </c>
      <c r="C696" s="8">
        <f>IF(ISNA(MATCH(683,Engine!$C$2:$C$1369,0)),"",INDEX('Compliance Database'!$C$2:$C$1369,MATCH(683,Engine!$C$2:$C$1369,0)))</f>
        <v/>
      </c>
      <c r="D696" s="9">
        <f>IF(ISNA(MATCH(683,Engine!$C$2:$C$1369,0)),"",INDEX('Compliance Database'!$D$2:$D$1369,MATCH(683,Engine!$C$2:$C$1369,0)))</f>
        <v/>
      </c>
      <c r="E696" s="8">
        <f>IF(ISNA(MATCH(683,Engine!$C$2:$C$1369,0)),"",INDEX('Compliance Database'!$E$2:$E$1369,MATCH(683,Engine!$C$2:$C$1369,0)))</f>
        <v/>
      </c>
      <c r="F696" s="8">
        <f>IF(ISNA(MATCH(683,Engine!$C$2:$C$1369,0)),"",INDEX('Compliance Database'!$F$2:$F$1369,MATCH(683,Engine!$C$2:$C$1369,0)))</f>
        <v/>
      </c>
      <c r="G696" s="8">
        <f>IF(ISNA(MATCH(683,Engine!$C$2:$C$1369,0)),"",INDEX('Compliance Database'!$G$2:$G$1369,MATCH(683,Engine!$C$2:$C$1369,0)))</f>
        <v/>
      </c>
      <c r="H696" s="9">
        <f>IF(ISNA(MATCH(683,Engine!$C$2:$C$1369,0)),"",INDEX('Compliance Database'!$H$2:$H$1369,MATCH(683,Engine!$C$2:$C$1369,0)))</f>
        <v/>
      </c>
      <c r="I696" s="9">
        <f>IF(ISNA(MATCH(683,Engine!$C$2:$C$1369,0)),"",INDEX('Compliance Database'!$I$2:$I$1369,MATCH(683,Engine!$C$2:$C$1369,0)))</f>
        <v/>
      </c>
      <c r="J696" s="8">
        <f>IF(ISNA(MATCH(683,Engine!$C$2:$C$1369,0)),"",INDEX('Compliance Database'!$J$2:$J$1369,MATCH(683,Engine!$C$2:$C$1369,0)))</f>
        <v/>
      </c>
      <c r="K696" s="9">
        <f>IF(ISNA(MATCH(683,Engine!$C$2:$C$1369,0)),"",INDEX('Compliance Database'!$K$2:$K$1369,MATCH(683,Engine!$C$2:$C$1369,0)))</f>
        <v/>
      </c>
      <c r="L696" s="9">
        <f>IF(ISNA(MATCH(683,Engine!$C$2:$C$1369,0)),"",INDEX('Compliance Database'!$L$2:$L$1369,MATCH(683,Engine!$C$2:$C$1369,0)))</f>
        <v/>
      </c>
      <c r="M696" s="9">
        <f>IF(ISNA(MATCH(683,Engine!$C$2:$C$1369,0)),"",INDEX('Compliance Database'!$M$2:$M$1369,MATCH(683,Engine!$C$2:$C$1369,0)))</f>
        <v/>
      </c>
      <c r="N696" s="9">
        <f>IF(ISNA(MATCH(683,Engine!$C$2:$C$1369,0)),"",INDEX('Compliance Database'!$N$2:$N$1369,MATCH(683,Engine!$C$2:$C$1369,0)))</f>
        <v/>
      </c>
      <c r="O696" s="8">
        <f>IF(ISNA(MATCH(683,Engine!$C$2:$C$1369,0)),"",HYPERLINK(INDEX('Compliance Database'!$O$2:$O$1369,MATCH(683,Engine!$C$2:$C$1369,0)),"Open PDF"))</f>
        <v/>
      </c>
    </row>
    <row r="697" ht="188" customHeight="1">
      <c r="A697" s="8">
        <f>IF(ISNA(MATCH(684,Engine!$C$2:$C$1369,0)),"",INDEX('Compliance Database'!$A$2:$A$1369,MATCH(684,Engine!$C$2:$C$1369,0)))</f>
        <v/>
      </c>
      <c r="B697" s="8">
        <f>IF(ISNA(MATCH(684,Engine!$C$2:$C$1369,0)),"",INDEX('Compliance Database'!$B$2:$B$1369,MATCH(684,Engine!$C$2:$C$1369,0)))</f>
        <v/>
      </c>
      <c r="C697" s="8">
        <f>IF(ISNA(MATCH(684,Engine!$C$2:$C$1369,0)),"",INDEX('Compliance Database'!$C$2:$C$1369,MATCH(684,Engine!$C$2:$C$1369,0)))</f>
        <v/>
      </c>
      <c r="D697" s="9">
        <f>IF(ISNA(MATCH(684,Engine!$C$2:$C$1369,0)),"",INDEX('Compliance Database'!$D$2:$D$1369,MATCH(684,Engine!$C$2:$C$1369,0)))</f>
        <v/>
      </c>
      <c r="E697" s="8">
        <f>IF(ISNA(MATCH(684,Engine!$C$2:$C$1369,0)),"",INDEX('Compliance Database'!$E$2:$E$1369,MATCH(684,Engine!$C$2:$C$1369,0)))</f>
        <v/>
      </c>
      <c r="F697" s="8">
        <f>IF(ISNA(MATCH(684,Engine!$C$2:$C$1369,0)),"",INDEX('Compliance Database'!$F$2:$F$1369,MATCH(684,Engine!$C$2:$C$1369,0)))</f>
        <v/>
      </c>
      <c r="G697" s="8">
        <f>IF(ISNA(MATCH(684,Engine!$C$2:$C$1369,0)),"",INDEX('Compliance Database'!$G$2:$G$1369,MATCH(684,Engine!$C$2:$C$1369,0)))</f>
        <v/>
      </c>
      <c r="H697" s="9">
        <f>IF(ISNA(MATCH(684,Engine!$C$2:$C$1369,0)),"",INDEX('Compliance Database'!$H$2:$H$1369,MATCH(684,Engine!$C$2:$C$1369,0)))</f>
        <v/>
      </c>
      <c r="I697" s="9">
        <f>IF(ISNA(MATCH(684,Engine!$C$2:$C$1369,0)),"",INDEX('Compliance Database'!$I$2:$I$1369,MATCH(684,Engine!$C$2:$C$1369,0)))</f>
        <v/>
      </c>
      <c r="J697" s="8">
        <f>IF(ISNA(MATCH(684,Engine!$C$2:$C$1369,0)),"",INDEX('Compliance Database'!$J$2:$J$1369,MATCH(684,Engine!$C$2:$C$1369,0)))</f>
        <v/>
      </c>
      <c r="K697" s="9">
        <f>IF(ISNA(MATCH(684,Engine!$C$2:$C$1369,0)),"",INDEX('Compliance Database'!$K$2:$K$1369,MATCH(684,Engine!$C$2:$C$1369,0)))</f>
        <v/>
      </c>
      <c r="L697" s="9">
        <f>IF(ISNA(MATCH(684,Engine!$C$2:$C$1369,0)),"",INDEX('Compliance Database'!$L$2:$L$1369,MATCH(684,Engine!$C$2:$C$1369,0)))</f>
        <v/>
      </c>
      <c r="M697" s="9">
        <f>IF(ISNA(MATCH(684,Engine!$C$2:$C$1369,0)),"",INDEX('Compliance Database'!$M$2:$M$1369,MATCH(684,Engine!$C$2:$C$1369,0)))</f>
        <v/>
      </c>
      <c r="N697" s="9">
        <f>IF(ISNA(MATCH(684,Engine!$C$2:$C$1369,0)),"",INDEX('Compliance Database'!$N$2:$N$1369,MATCH(684,Engine!$C$2:$C$1369,0)))</f>
        <v/>
      </c>
      <c r="O697" s="8">
        <f>IF(ISNA(MATCH(684,Engine!$C$2:$C$1369,0)),"",HYPERLINK(INDEX('Compliance Database'!$O$2:$O$1369,MATCH(684,Engine!$C$2:$C$1369,0)),"Open PDF"))</f>
        <v/>
      </c>
    </row>
    <row r="698" ht="188" customHeight="1">
      <c r="A698" s="8">
        <f>IF(ISNA(MATCH(685,Engine!$C$2:$C$1369,0)),"",INDEX('Compliance Database'!$A$2:$A$1369,MATCH(685,Engine!$C$2:$C$1369,0)))</f>
        <v/>
      </c>
      <c r="B698" s="8">
        <f>IF(ISNA(MATCH(685,Engine!$C$2:$C$1369,0)),"",INDEX('Compliance Database'!$B$2:$B$1369,MATCH(685,Engine!$C$2:$C$1369,0)))</f>
        <v/>
      </c>
      <c r="C698" s="8">
        <f>IF(ISNA(MATCH(685,Engine!$C$2:$C$1369,0)),"",INDEX('Compliance Database'!$C$2:$C$1369,MATCH(685,Engine!$C$2:$C$1369,0)))</f>
        <v/>
      </c>
      <c r="D698" s="9">
        <f>IF(ISNA(MATCH(685,Engine!$C$2:$C$1369,0)),"",INDEX('Compliance Database'!$D$2:$D$1369,MATCH(685,Engine!$C$2:$C$1369,0)))</f>
        <v/>
      </c>
      <c r="E698" s="8">
        <f>IF(ISNA(MATCH(685,Engine!$C$2:$C$1369,0)),"",INDEX('Compliance Database'!$E$2:$E$1369,MATCH(685,Engine!$C$2:$C$1369,0)))</f>
        <v/>
      </c>
      <c r="F698" s="8">
        <f>IF(ISNA(MATCH(685,Engine!$C$2:$C$1369,0)),"",INDEX('Compliance Database'!$F$2:$F$1369,MATCH(685,Engine!$C$2:$C$1369,0)))</f>
        <v/>
      </c>
      <c r="G698" s="8">
        <f>IF(ISNA(MATCH(685,Engine!$C$2:$C$1369,0)),"",INDEX('Compliance Database'!$G$2:$G$1369,MATCH(685,Engine!$C$2:$C$1369,0)))</f>
        <v/>
      </c>
      <c r="H698" s="9">
        <f>IF(ISNA(MATCH(685,Engine!$C$2:$C$1369,0)),"",INDEX('Compliance Database'!$H$2:$H$1369,MATCH(685,Engine!$C$2:$C$1369,0)))</f>
        <v/>
      </c>
      <c r="I698" s="9">
        <f>IF(ISNA(MATCH(685,Engine!$C$2:$C$1369,0)),"",INDEX('Compliance Database'!$I$2:$I$1369,MATCH(685,Engine!$C$2:$C$1369,0)))</f>
        <v/>
      </c>
      <c r="J698" s="8">
        <f>IF(ISNA(MATCH(685,Engine!$C$2:$C$1369,0)),"",INDEX('Compliance Database'!$J$2:$J$1369,MATCH(685,Engine!$C$2:$C$1369,0)))</f>
        <v/>
      </c>
      <c r="K698" s="9">
        <f>IF(ISNA(MATCH(685,Engine!$C$2:$C$1369,0)),"",INDEX('Compliance Database'!$K$2:$K$1369,MATCH(685,Engine!$C$2:$C$1369,0)))</f>
        <v/>
      </c>
      <c r="L698" s="9">
        <f>IF(ISNA(MATCH(685,Engine!$C$2:$C$1369,0)),"",INDEX('Compliance Database'!$L$2:$L$1369,MATCH(685,Engine!$C$2:$C$1369,0)))</f>
        <v/>
      </c>
      <c r="M698" s="9">
        <f>IF(ISNA(MATCH(685,Engine!$C$2:$C$1369,0)),"",INDEX('Compliance Database'!$M$2:$M$1369,MATCH(685,Engine!$C$2:$C$1369,0)))</f>
        <v/>
      </c>
      <c r="N698" s="9">
        <f>IF(ISNA(MATCH(685,Engine!$C$2:$C$1369,0)),"",INDEX('Compliance Database'!$N$2:$N$1369,MATCH(685,Engine!$C$2:$C$1369,0)))</f>
        <v/>
      </c>
      <c r="O698" s="8">
        <f>IF(ISNA(MATCH(685,Engine!$C$2:$C$1369,0)),"",HYPERLINK(INDEX('Compliance Database'!$O$2:$O$1369,MATCH(685,Engine!$C$2:$C$1369,0)),"Open PDF"))</f>
        <v/>
      </c>
    </row>
    <row r="699" ht="188" customHeight="1">
      <c r="A699" s="8">
        <f>IF(ISNA(MATCH(686,Engine!$C$2:$C$1369,0)),"",INDEX('Compliance Database'!$A$2:$A$1369,MATCH(686,Engine!$C$2:$C$1369,0)))</f>
        <v/>
      </c>
      <c r="B699" s="8">
        <f>IF(ISNA(MATCH(686,Engine!$C$2:$C$1369,0)),"",INDEX('Compliance Database'!$B$2:$B$1369,MATCH(686,Engine!$C$2:$C$1369,0)))</f>
        <v/>
      </c>
      <c r="C699" s="8">
        <f>IF(ISNA(MATCH(686,Engine!$C$2:$C$1369,0)),"",INDEX('Compliance Database'!$C$2:$C$1369,MATCH(686,Engine!$C$2:$C$1369,0)))</f>
        <v/>
      </c>
      <c r="D699" s="9">
        <f>IF(ISNA(MATCH(686,Engine!$C$2:$C$1369,0)),"",INDEX('Compliance Database'!$D$2:$D$1369,MATCH(686,Engine!$C$2:$C$1369,0)))</f>
        <v/>
      </c>
      <c r="E699" s="8">
        <f>IF(ISNA(MATCH(686,Engine!$C$2:$C$1369,0)),"",INDEX('Compliance Database'!$E$2:$E$1369,MATCH(686,Engine!$C$2:$C$1369,0)))</f>
        <v/>
      </c>
      <c r="F699" s="8">
        <f>IF(ISNA(MATCH(686,Engine!$C$2:$C$1369,0)),"",INDEX('Compliance Database'!$F$2:$F$1369,MATCH(686,Engine!$C$2:$C$1369,0)))</f>
        <v/>
      </c>
      <c r="G699" s="8">
        <f>IF(ISNA(MATCH(686,Engine!$C$2:$C$1369,0)),"",INDEX('Compliance Database'!$G$2:$G$1369,MATCH(686,Engine!$C$2:$C$1369,0)))</f>
        <v/>
      </c>
      <c r="H699" s="9">
        <f>IF(ISNA(MATCH(686,Engine!$C$2:$C$1369,0)),"",INDEX('Compliance Database'!$H$2:$H$1369,MATCH(686,Engine!$C$2:$C$1369,0)))</f>
        <v/>
      </c>
      <c r="I699" s="9">
        <f>IF(ISNA(MATCH(686,Engine!$C$2:$C$1369,0)),"",INDEX('Compliance Database'!$I$2:$I$1369,MATCH(686,Engine!$C$2:$C$1369,0)))</f>
        <v/>
      </c>
      <c r="J699" s="8">
        <f>IF(ISNA(MATCH(686,Engine!$C$2:$C$1369,0)),"",INDEX('Compliance Database'!$J$2:$J$1369,MATCH(686,Engine!$C$2:$C$1369,0)))</f>
        <v/>
      </c>
      <c r="K699" s="9">
        <f>IF(ISNA(MATCH(686,Engine!$C$2:$C$1369,0)),"",INDEX('Compliance Database'!$K$2:$K$1369,MATCH(686,Engine!$C$2:$C$1369,0)))</f>
        <v/>
      </c>
      <c r="L699" s="9">
        <f>IF(ISNA(MATCH(686,Engine!$C$2:$C$1369,0)),"",INDEX('Compliance Database'!$L$2:$L$1369,MATCH(686,Engine!$C$2:$C$1369,0)))</f>
        <v/>
      </c>
      <c r="M699" s="9">
        <f>IF(ISNA(MATCH(686,Engine!$C$2:$C$1369,0)),"",INDEX('Compliance Database'!$M$2:$M$1369,MATCH(686,Engine!$C$2:$C$1369,0)))</f>
        <v/>
      </c>
      <c r="N699" s="9">
        <f>IF(ISNA(MATCH(686,Engine!$C$2:$C$1369,0)),"",INDEX('Compliance Database'!$N$2:$N$1369,MATCH(686,Engine!$C$2:$C$1369,0)))</f>
        <v/>
      </c>
      <c r="O699" s="8">
        <f>IF(ISNA(MATCH(686,Engine!$C$2:$C$1369,0)),"",HYPERLINK(INDEX('Compliance Database'!$O$2:$O$1369,MATCH(686,Engine!$C$2:$C$1369,0)),"Open PDF"))</f>
        <v/>
      </c>
    </row>
    <row r="700" ht="188" customHeight="1">
      <c r="A700" s="8">
        <f>IF(ISNA(MATCH(687,Engine!$C$2:$C$1369,0)),"",INDEX('Compliance Database'!$A$2:$A$1369,MATCH(687,Engine!$C$2:$C$1369,0)))</f>
        <v/>
      </c>
      <c r="B700" s="8">
        <f>IF(ISNA(MATCH(687,Engine!$C$2:$C$1369,0)),"",INDEX('Compliance Database'!$B$2:$B$1369,MATCH(687,Engine!$C$2:$C$1369,0)))</f>
        <v/>
      </c>
      <c r="C700" s="8">
        <f>IF(ISNA(MATCH(687,Engine!$C$2:$C$1369,0)),"",INDEX('Compliance Database'!$C$2:$C$1369,MATCH(687,Engine!$C$2:$C$1369,0)))</f>
        <v/>
      </c>
      <c r="D700" s="9">
        <f>IF(ISNA(MATCH(687,Engine!$C$2:$C$1369,0)),"",INDEX('Compliance Database'!$D$2:$D$1369,MATCH(687,Engine!$C$2:$C$1369,0)))</f>
        <v/>
      </c>
      <c r="E700" s="8">
        <f>IF(ISNA(MATCH(687,Engine!$C$2:$C$1369,0)),"",INDEX('Compliance Database'!$E$2:$E$1369,MATCH(687,Engine!$C$2:$C$1369,0)))</f>
        <v/>
      </c>
      <c r="F700" s="8">
        <f>IF(ISNA(MATCH(687,Engine!$C$2:$C$1369,0)),"",INDEX('Compliance Database'!$F$2:$F$1369,MATCH(687,Engine!$C$2:$C$1369,0)))</f>
        <v/>
      </c>
      <c r="G700" s="8">
        <f>IF(ISNA(MATCH(687,Engine!$C$2:$C$1369,0)),"",INDEX('Compliance Database'!$G$2:$G$1369,MATCH(687,Engine!$C$2:$C$1369,0)))</f>
        <v/>
      </c>
      <c r="H700" s="9">
        <f>IF(ISNA(MATCH(687,Engine!$C$2:$C$1369,0)),"",INDEX('Compliance Database'!$H$2:$H$1369,MATCH(687,Engine!$C$2:$C$1369,0)))</f>
        <v/>
      </c>
      <c r="I700" s="9">
        <f>IF(ISNA(MATCH(687,Engine!$C$2:$C$1369,0)),"",INDEX('Compliance Database'!$I$2:$I$1369,MATCH(687,Engine!$C$2:$C$1369,0)))</f>
        <v/>
      </c>
      <c r="J700" s="8">
        <f>IF(ISNA(MATCH(687,Engine!$C$2:$C$1369,0)),"",INDEX('Compliance Database'!$J$2:$J$1369,MATCH(687,Engine!$C$2:$C$1369,0)))</f>
        <v/>
      </c>
      <c r="K700" s="9">
        <f>IF(ISNA(MATCH(687,Engine!$C$2:$C$1369,0)),"",INDEX('Compliance Database'!$K$2:$K$1369,MATCH(687,Engine!$C$2:$C$1369,0)))</f>
        <v/>
      </c>
      <c r="L700" s="9">
        <f>IF(ISNA(MATCH(687,Engine!$C$2:$C$1369,0)),"",INDEX('Compliance Database'!$L$2:$L$1369,MATCH(687,Engine!$C$2:$C$1369,0)))</f>
        <v/>
      </c>
      <c r="M700" s="9">
        <f>IF(ISNA(MATCH(687,Engine!$C$2:$C$1369,0)),"",INDEX('Compliance Database'!$M$2:$M$1369,MATCH(687,Engine!$C$2:$C$1369,0)))</f>
        <v/>
      </c>
      <c r="N700" s="9">
        <f>IF(ISNA(MATCH(687,Engine!$C$2:$C$1369,0)),"",INDEX('Compliance Database'!$N$2:$N$1369,MATCH(687,Engine!$C$2:$C$1369,0)))</f>
        <v/>
      </c>
      <c r="O700" s="8">
        <f>IF(ISNA(MATCH(687,Engine!$C$2:$C$1369,0)),"",HYPERLINK(INDEX('Compliance Database'!$O$2:$O$1369,MATCH(687,Engine!$C$2:$C$1369,0)),"Open PDF"))</f>
        <v/>
      </c>
    </row>
    <row r="701" ht="188" customHeight="1">
      <c r="A701" s="8">
        <f>IF(ISNA(MATCH(688,Engine!$C$2:$C$1369,0)),"",INDEX('Compliance Database'!$A$2:$A$1369,MATCH(688,Engine!$C$2:$C$1369,0)))</f>
        <v/>
      </c>
      <c r="B701" s="8">
        <f>IF(ISNA(MATCH(688,Engine!$C$2:$C$1369,0)),"",INDEX('Compliance Database'!$B$2:$B$1369,MATCH(688,Engine!$C$2:$C$1369,0)))</f>
        <v/>
      </c>
      <c r="C701" s="8">
        <f>IF(ISNA(MATCH(688,Engine!$C$2:$C$1369,0)),"",INDEX('Compliance Database'!$C$2:$C$1369,MATCH(688,Engine!$C$2:$C$1369,0)))</f>
        <v/>
      </c>
      <c r="D701" s="9">
        <f>IF(ISNA(MATCH(688,Engine!$C$2:$C$1369,0)),"",INDEX('Compliance Database'!$D$2:$D$1369,MATCH(688,Engine!$C$2:$C$1369,0)))</f>
        <v/>
      </c>
      <c r="E701" s="8">
        <f>IF(ISNA(MATCH(688,Engine!$C$2:$C$1369,0)),"",INDEX('Compliance Database'!$E$2:$E$1369,MATCH(688,Engine!$C$2:$C$1369,0)))</f>
        <v/>
      </c>
      <c r="F701" s="8">
        <f>IF(ISNA(MATCH(688,Engine!$C$2:$C$1369,0)),"",INDEX('Compliance Database'!$F$2:$F$1369,MATCH(688,Engine!$C$2:$C$1369,0)))</f>
        <v/>
      </c>
      <c r="G701" s="8">
        <f>IF(ISNA(MATCH(688,Engine!$C$2:$C$1369,0)),"",INDEX('Compliance Database'!$G$2:$G$1369,MATCH(688,Engine!$C$2:$C$1369,0)))</f>
        <v/>
      </c>
      <c r="H701" s="9">
        <f>IF(ISNA(MATCH(688,Engine!$C$2:$C$1369,0)),"",INDEX('Compliance Database'!$H$2:$H$1369,MATCH(688,Engine!$C$2:$C$1369,0)))</f>
        <v/>
      </c>
      <c r="I701" s="9">
        <f>IF(ISNA(MATCH(688,Engine!$C$2:$C$1369,0)),"",INDEX('Compliance Database'!$I$2:$I$1369,MATCH(688,Engine!$C$2:$C$1369,0)))</f>
        <v/>
      </c>
      <c r="J701" s="8">
        <f>IF(ISNA(MATCH(688,Engine!$C$2:$C$1369,0)),"",INDEX('Compliance Database'!$J$2:$J$1369,MATCH(688,Engine!$C$2:$C$1369,0)))</f>
        <v/>
      </c>
      <c r="K701" s="9">
        <f>IF(ISNA(MATCH(688,Engine!$C$2:$C$1369,0)),"",INDEX('Compliance Database'!$K$2:$K$1369,MATCH(688,Engine!$C$2:$C$1369,0)))</f>
        <v/>
      </c>
      <c r="L701" s="9">
        <f>IF(ISNA(MATCH(688,Engine!$C$2:$C$1369,0)),"",INDEX('Compliance Database'!$L$2:$L$1369,MATCH(688,Engine!$C$2:$C$1369,0)))</f>
        <v/>
      </c>
      <c r="M701" s="9">
        <f>IF(ISNA(MATCH(688,Engine!$C$2:$C$1369,0)),"",INDEX('Compliance Database'!$M$2:$M$1369,MATCH(688,Engine!$C$2:$C$1369,0)))</f>
        <v/>
      </c>
      <c r="N701" s="9">
        <f>IF(ISNA(MATCH(688,Engine!$C$2:$C$1369,0)),"",INDEX('Compliance Database'!$N$2:$N$1369,MATCH(688,Engine!$C$2:$C$1369,0)))</f>
        <v/>
      </c>
      <c r="O701" s="8">
        <f>IF(ISNA(MATCH(688,Engine!$C$2:$C$1369,0)),"",HYPERLINK(INDEX('Compliance Database'!$O$2:$O$1369,MATCH(688,Engine!$C$2:$C$1369,0)),"Open PDF"))</f>
        <v/>
      </c>
    </row>
    <row r="702" ht="188" customHeight="1">
      <c r="A702" s="8">
        <f>IF(ISNA(MATCH(689,Engine!$C$2:$C$1369,0)),"",INDEX('Compliance Database'!$A$2:$A$1369,MATCH(689,Engine!$C$2:$C$1369,0)))</f>
        <v/>
      </c>
      <c r="B702" s="8">
        <f>IF(ISNA(MATCH(689,Engine!$C$2:$C$1369,0)),"",INDEX('Compliance Database'!$B$2:$B$1369,MATCH(689,Engine!$C$2:$C$1369,0)))</f>
        <v/>
      </c>
      <c r="C702" s="8">
        <f>IF(ISNA(MATCH(689,Engine!$C$2:$C$1369,0)),"",INDEX('Compliance Database'!$C$2:$C$1369,MATCH(689,Engine!$C$2:$C$1369,0)))</f>
        <v/>
      </c>
      <c r="D702" s="9">
        <f>IF(ISNA(MATCH(689,Engine!$C$2:$C$1369,0)),"",INDEX('Compliance Database'!$D$2:$D$1369,MATCH(689,Engine!$C$2:$C$1369,0)))</f>
        <v/>
      </c>
      <c r="E702" s="8">
        <f>IF(ISNA(MATCH(689,Engine!$C$2:$C$1369,0)),"",INDEX('Compliance Database'!$E$2:$E$1369,MATCH(689,Engine!$C$2:$C$1369,0)))</f>
        <v/>
      </c>
      <c r="F702" s="8">
        <f>IF(ISNA(MATCH(689,Engine!$C$2:$C$1369,0)),"",INDEX('Compliance Database'!$F$2:$F$1369,MATCH(689,Engine!$C$2:$C$1369,0)))</f>
        <v/>
      </c>
      <c r="G702" s="8">
        <f>IF(ISNA(MATCH(689,Engine!$C$2:$C$1369,0)),"",INDEX('Compliance Database'!$G$2:$G$1369,MATCH(689,Engine!$C$2:$C$1369,0)))</f>
        <v/>
      </c>
      <c r="H702" s="9">
        <f>IF(ISNA(MATCH(689,Engine!$C$2:$C$1369,0)),"",INDEX('Compliance Database'!$H$2:$H$1369,MATCH(689,Engine!$C$2:$C$1369,0)))</f>
        <v/>
      </c>
      <c r="I702" s="9">
        <f>IF(ISNA(MATCH(689,Engine!$C$2:$C$1369,0)),"",INDEX('Compliance Database'!$I$2:$I$1369,MATCH(689,Engine!$C$2:$C$1369,0)))</f>
        <v/>
      </c>
      <c r="J702" s="8">
        <f>IF(ISNA(MATCH(689,Engine!$C$2:$C$1369,0)),"",INDEX('Compliance Database'!$J$2:$J$1369,MATCH(689,Engine!$C$2:$C$1369,0)))</f>
        <v/>
      </c>
      <c r="K702" s="9">
        <f>IF(ISNA(MATCH(689,Engine!$C$2:$C$1369,0)),"",INDEX('Compliance Database'!$K$2:$K$1369,MATCH(689,Engine!$C$2:$C$1369,0)))</f>
        <v/>
      </c>
      <c r="L702" s="9">
        <f>IF(ISNA(MATCH(689,Engine!$C$2:$C$1369,0)),"",INDEX('Compliance Database'!$L$2:$L$1369,MATCH(689,Engine!$C$2:$C$1369,0)))</f>
        <v/>
      </c>
      <c r="M702" s="9">
        <f>IF(ISNA(MATCH(689,Engine!$C$2:$C$1369,0)),"",INDEX('Compliance Database'!$M$2:$M$1369,MATCH(689,Engine!$C$2:$C$1369,0)))</f>
        <v/>
      </c>
      <c r="N702" s="9">
        <f>IF(ISNA(MATCH(689,Engine!$C$2:$C$1369,0)),"",INDEX('Compliance Database'!$N$2:$N$1369,MATCH(689,Engine!$C$2:$C$1369,0)))</f>
        <v/>
      </c>
      <c r="O702" s="8">
        <f>IF(ISNA(MATCH(689,Engine!$C$2:$C$1369,0)),"",HYPERLINK(INDEX('Compliance Database'!$O$2:$O$1369,MATCH(689,Engine!$C$2:$C$1369,0)),"Open PDF"))</f>
        <v/>
      </c>
    </row>
    <row r="703" ht="188" customHeight="1">
      <c r="A703" s="8">
        <f>IF(ISNA(MATCH(690,Engine!$C$2:$C$1369,0)),"",INDEX('Compliance Database'!$A$2:$A$1369,MATCH(690,Engine!$C$2:$C$1369,0)))</f>
        <v/>
      </c>
      <c r="B703" s="8">
        <f>IF(ISNA(MATCH(690,Engine!$C$2:$C$1369,0)),"",INDEX('Compliance Database'!$B$2:$B$1369,MATCH(690,Engine!$C$2:$C$1369,0)))</f>
        <v/>
      </c>
      <c r="C703" s="8">
        <f>IF(ISNA(MATCH(690,Engine!$C$2:$C$1369,0)),"",INDEX('Compliance Database'!$C$2:$C$1369,MATCH(690,Engine!$C$2:$C$1369,0)))</f>
        <v/>
      </c>
      <c r="D703" s="9">
        <f>IF(ISNA(MATCH(690,Engine!$C$2:$C$1369,0)),"",INDEX('Compliance Database'!$D$2:$D$1369,MATCH(690,Engine!$C$2:$C$1369,0)))</f>
        <v/>
      </c>
      <c r="E703" s="8">
        <f>IF(ISNA(MATCH(690,Engine!$C$2:$C$1369,0)),"",INDEX('Compliance Database'!$E$2:$E$1369,MATCH(690,Engine!$C$2:$C$1369,0)))</f>
        <v/>
      </c>
      <c r="F703" s="8">
        <f>IF(ISNA(MATCH(690,Engine!$C$2:$C$1369,0)),"",INDEX('Compliance Database'!$F$2:$F$1369,MATCH(690,Engine!$C$2:$C$1369,0)))</f>
        <v/>
      </c>
      <c r="G703" s="8">
        <f>IF(ISNA(MATCH(690,Engine!$C$2:$C$1369,0)),"",INDEX('Compliance Database'!$G$2:$G$1369,MATCH(690,Engine!$C$2:$C$1369,0)))</f>
        <v/>
      </c>
      <c r="H703" s="9">
        <f>IF(ISNA(MATCH(690,Engine!$C$2:$C$1369,0)),"",INDEX('Compliance Database'!$H$2:$H$1369,MATCH(690,Engine!$C$2:$C$1369,0)))</f>
        <v/>
      </c>
      <c r="I703" s="9">
        <f>IF(ISNA(MATCH(690,Engine!$C$2:$C$1369,0)),"",INDEX('Compliance Database'!$I$2:$I$1369,MATCH(690,Engine!$C$2:$C$1369,0)))</f>
        <v/>
      </c>
      <c r="J703" s="8">
        <f>IF(ISNA(MATCH(690,Engine!$C$2:$C$1369,0)),"",INDEX('Compliance Database'!$J$2:$J$1369,MATCH(690,Engine!$C$2:$C$1369,0)))</f>
        <v/>
      </c>
      <c r="K703" s="9">
        <f>IF(ISNA(MATCH(690,Engine!$C$2:$C$1369,0)),"",INDEX('Compliance Database'!$K$2:$K$1369,MATCH(690,Engine!$C$2:$C$1369,0)))</f>
        <v/>
      </c>
      <c r="L703" s="9">
        <f>IF(ISNA(MATCH(690,Engine!$C$2:$C$1369,0)),"",INDEX('Compliance Database'!$L$2:$L$1369,MATCH(690,Engine!$C$2:$C$1369,0)))</f>
        <v/>
      </c>
      <c r="M703" s="9">
        <f>IF(ISNA(MATCH(690,Engine!$C$2:$C$1369,0)),"",INDEX('Compliance Database'!$M$2:$M$1369,MATCH(690,Engine!$C$2:$C$1369,0)))</f>
        <v/>
      </c>
      <c r="N703" s="9">
        <f>IF(ISNA(MATCH(690,Engine!$C$2:$C$1369,0)),"",INDEX('Compliance Database'!$N$2:$N$1369,MATCH(690,Engine!$C$2:$C$1369,0)))</f>
        <v/>
      </c>
      <c r="O703" s="8">
        <f>IF(ISNA(MATCH(690,Engine!$C$2:$C$1369,0)),"",HYPERLINK(INDEX('Compliance Database'!$O$2:$O$1369,MATCH(690,Engine!$C$2:$C$1369,0)),"Open PDF"))</f>
        <v/>
      </c>
    </row>
    <row r="704" ht="188" customHeight="1">
      <c r="A704" s="8">
        <f>IF(ISNA(MATCH(691,Engine!$C$2:$C$1369,0)),"",INDEX('Compliance Database'!$A$2:$A$1369,MATCH(691,Engine!$C$2:$C$1369,0)))</f>
        <v/>
      </c>
      <c r="B704" s="8">
        <f>IF(ISNA(MATCH(691,Engine!$C$2:$C$1369,0)),"",INDEX('Compliance Database'!$B$2:$B$1369,MATCH(691,Engine!$C$2:$C$1369,0)))</f>
        <v/>
      </c>
      <c r="C704" s="8">
        <f>IF(ISNA(MATCH(691,Engine!$C$2:$C$1369,0)),"",INDEX('Compliance Database'!$C$2:$C$1369,MATCH(691,Engine!$C$2:$C$1369,0)))</f>
        <v/>
      </c>
      <c r="D704" s="9">
        <f>IF(ISNA(MATCH(691,Engine!$C$2:$C$1369,0)),"",INDEX('Compliance Database'!$D$2:$D$1369,MATCH(691,Engine!$C$2:$C$1369,0)))</f>
        <v/>
      </c>
      <c r="E704" s="8">
        <f>IF(ISNA(MATCH(691,Engine!$C$2:$C$1369,0)),"",INDEX('Compliance Database'!$E$2:$E$1369,MATCH(691,Engine!$C$2:$C$1369,0)))</f>
        <v/>
      </c>
      <c r="F704" s="8">
        <f>IF(ISNA(MATCH(691,Engine!$C$2:$C$1369,0)),"",INDEX('Compliance Database'!$F$2:$F$1369,MATCH(691,Engine!$C$2:$C$1369,0)))</f>
        <v/>
      </c>
      <c r="G704" s="8">
        <f>IF(ISNA(MATCH(691,Engine!$C$2:$C$1369,0)),"",INDEX('Compliance Database'!$G$2:$G$1369,MATCH(691,Engine!$C$2:$C$1369,0)))</f>
        <v/>
      </c>
      <c r="H704" s="9">
        <f>IF(ISNA(MATCH(691,Engine!$C$2:$C$1369,0)),"",INDEX('Compliance Database'!$H$2:$H$1369,MATCH(691,Engine!$C$2:$C$1369,0)))</f>
        <v/>
      </c>
      <c r="I704" s="9">
        <f>IF(ISNA(MATCH(691,Engine!$C$2:$C$1369,0)),"",INDEX('Compliance Database'!$I$2:$I$1369,MATCH(691,Engine!$C$2:$C$1369,0)))</f>
        <v/>
      </c>
      <c r="J704" s="8">
        <f>IF(ISNA(MATCH(691,Engine!$C$2:$C$1369,0)),"",INDEX('Compliance Database'!$J$2:$J$1369,MATCH(691,Engine!$C$2:$C$1369,0)))</f>
        <v/>
      </c>
      <c r="K704" s="9">
        <f>IF(ISNA(MATCH(691,Engine!$C$2:$C$1369,0)),"",INDEX('Compliance Database'!$K$2:$K$1369,MATCH(691,Engine!$C$2:$C$1369,0)))</f>
        <v/>
      </c>
      <c r="L704" s="9">
        <f>IF(ISNA(MATCH(691,Engine!$C$2:$C$1369,0)),"",INDEX('Compliance Database'!$L$2:$L$1369,MATCH(691,Engine!$C$2:$C$1369,0)))</f>
        <v/>
      </c>
      <c r="M704" s="9">
        <f>IF(ISNA(MATCH(691,Engine!$C$2:$C$1369,0)),"",INDEX('Compliance Database'!$M$2:$M$1369,MATCH(691,Engine!$C$2:$C$1369,0)))</f>
        <v/>
      </c>
      <c r="N704" s="9">
        <f>IF(ISNA(MATCH(691,Engine!$C$2:$C$1369,0)),"",INDEX('Compliance Database'!$N$2:$N$1369,MATCH(691,Engine!$C$2:$C$1369,0)))</f>
        <v/>
      </c>
      <c r="O704" s="8">
        <f>IF(ISNA(MATCH(691,Engine!$C$2:$C$1369,0)),"",HYPERLINK(INDEX('Compliance Database'!$O$2:$O$1369,MATCH(691,Engine!$C$2:$C$1369,0)),"Open PDF"))</f>
        <v/>
      </c>
    </row>
    <row r="705" ht="188" customHeight="1">
      <c r="A705" s="8">
        <f>IF(ISNA(MATCH(692,Engine!$C$2:$C$1369,0)),"",INDEX('Compliance Database'!$A$2:$A$1369,MATCH(692,Engine!$C$2:$C$1369,0)))</f>
        <v/>
      </c>
      <c r="B705" s="8">
        <f>IF(ISNA(MATCH(692,Engine!$C$2:$C$1369,0)),"",INDEX('Compliance Database'!$B$2:$B$1369,MATCH(692,Engine!$C$2:$C$1369,0)))</f>
        <v/>
      </c>
      <c r="C705" s="8">
        <f>IF(ISNA(MATCH(692,Engine!$C$2:$C$1369,0)),"",INDEX('Compliance Database'!$C$2:$C$1369,MATCH(692,Engine!$C$2:$C$1369,0)))</f>
        <v/>
      </c>
      <c r="D705" s="9">
        <f>IF(ISNA(MATCH(692,Engine!$C$2:$C$1369,0)),"",INDEX('Compliance Database'!$D$2:$D$1369,MATCH(692,Engine!$C$2:$C$1369,0)))</f>
        <v/>
      </c>
      <c r="E705" s="8">
        <f>IF(ISNA(MATCH(692,Engine!$C$2:$C$1369,0)),"",INDEX('Compliance Database'!$E$2:$E$1369,MATCH(692,Engine!$C$2:$C$1369,0)))</f>
        <v/>
      </c>
      <c r="F705" s="8">
        <f>IF(ISNA(MATCH(692,Engine!$C$2:$C$1369,0)),"",INDEX('Compliance Database'!$F$2:$F$1369,MATCH(692,Engine!$C$2:$C$1369,0)))</f>
        <v/>
      </c>
      <c r="G705" s="8">
        <f>IF(ISNA(MATCH(692,Engine!$C$2:$C$1369,0)),"",INDEX('Compliance Database'!$G$2:$G$1369,MATCH(692,Engine!$C$2:$C$1369,0)))</f>
        <v/>
      </c>
      <c r="H705" s="9">
        <f>IF(ISNA(MATCH(692,Engine!$C$2:$C$1369,0)),"",INDEX('Compliance Database'!$H$2:$H$1369,MATCH(692,Engine!$C$2:$C$1369,0)))</f>
        <v/>
      </c>
      <c r="I705" s="9">
        <f>IF(ISNA(MATCH(692,Engine!$C$2:$C$1369,0)),"",INDEX('Compliance Database'!$I$2:$I$1369,MATCH(692,Engine!$C$2:$C$1369,0)))</f>
        <v/>
      </c>
      <c r="J705" s="8">
        <f>IF(ISNA(MATCH(692,Engine!$C$2:$C$1369,0)),"",INDEX('Compliance Database'!$J$2:$J$1369,MATCH(692,Engine!$C$2:$C$1369,0)))</f>
        <v/>
      </c>
      <c r="K705" s="9">
        <f>IF(ISNA(MATCH(692,Engine!$C$2:$C$1369,0)),"",INDEX('Compliance Database'!$K$2:$K$1369,MATCH(692,Engine!$C$2:$C$1369,0)))</f>
        <v/>
      </c>
      <c r="L705" s="9">
        <f>IF(ISNA(MATCH(692,Engine!$C$2:$C$1369,0)),"",INDEX('Compliance Database'!$L$2:$L$1369,MATCH(692,Engine!$C$2:$C$1369,0)))</f>
        <v/>
      </c>
      <c r="M705" s="9">
        <f>IF(ISNA(MATCH(692,Engine!$C$2:$C$1369,0)),"",INDEX('Compliance Database'!$M$2:$M$1369,MATCH(692,Engine!$C$2:$C$1369,0)))</f>
        <v/>
      </c>
      <c r="N705" s="9">
        <f>IF(ISNA(MATCH(692,Engine!$C$2:$C$1369,0)),"",INDEX('Compliance Database'!$N$2:$N$1369,MATCH(692,Engine!$C$2:$C$1369,0)))</f>
        <v/>
      </c>
      <c r="O705" s="8">
        <f>IF(ISNA(MATCH(692,Engine!$C$2:$C$1369,0)),"",HYPERLINK(INDEX('Compliance Database'!$O$2:$O$1369,MATCH(692,Engine!$C$2:$C$1369,0)),"Open PDF"))</f>
        <v/>
      </c>
    </row>
    <row r="706" ht="188" customHeight="1">
      <c r="A706" s="8">
        <f>IF(ISNA(MATCH(693,Engine!$C$2:$C$1369,0)),"",INDEX('Compliance Database'!$A$2:$A$1369,MATCH(693,Engine!$C$2:$C$1369,0)))</f>
        <v/>
      </c>
      <c r="B706" s="8">
        <f>IF(ISNA(MATCH(693,Engine!$C$2:$C$1369,0)),"",INDEX('Compliance Database'!$B$2:$B$1369,MATCH(693,Engine!$C$2:$C$1369,0)))</f>
        <v/>
      </c>
      <c r="C706" s="8">
        <f>IF(ISNA(MATCH(693,Engine!$C$2:$C$1369,0)),"",INDEX('Compliance Database'!$C$2:$C$1369,MATCH(693,Engine!$C$2:$C$1369,0)))</f>
        <v/>
      </c>
      <c r="D706" s="9">
        <f>IF(ISNA(MATCH(693,Engine!$C$2:$C$1369,0)),"",INDEX('Compliance Database'!$D$2:$D$1369,MATCH(693,Engine!$C$2:$C$1369,0)))</f>
        <v/>
      </c>
      <c r="E706" s="8">
        <f>IF(ISNA(MATCH(693,Engine!$C$2:$C$1369,0)),"",INDEX('Compliance Database'!$E$2:$E$1369,MATCH(693,Engine!$C$2:$C$1369,0)))</f>
        <v/>
      </c>
      <c r="F706" s="8">
        <f>IF(ISNA(MATCH(693,Engine!$C$2:$C$1369,0)),"",INDEX('Compliance Database'!$F$2:$F$1369,MATCH(693,Engine!$C$2:$C$1369,0)))</f>
        <v/>
      </c>
      <c r="G706" s="8">
        <f>IF(ISNA(MATCH(693,Engine!$C$2:$C$1369,0)),"",INDEX('Compliance Database'!$G$2:$G$1369,MATCH(693,Engine!$C$2:$C$1369,0)))</f>
        <v/>
      </c>
      <c r="H706" s="9">
        <f>IF(ISNA(MATCH(693,Engine!$C$2:$C$1369,0)),"",INDEX('Compliance Database'!$H$2:$H$1369,MATCH(693,Engine!$C$2:$C$1369,0)))</f>
        <v/>
      </c>
      <c r="I706" s="9">
        <f>IF(ISNA(MATCH(693,Engine!$C$2:$C$1369,0)),"",INDEX('Compliance Database'!$I$2:$I$1369,MATCH(693,Engine!$C$2:$C$1369,0)))</f>
        <v/>
      </c>
      <c r="J706" s="8">
        <f>IF(ISNA(MATCH(693,Engine!$C$2:$C$1369,0)),"",INDEX('Compliance Database'!$J$2:$J$1369,MATCH(693,Engine!$C$2:$C$1369,0)))</f>
        <v/>
      </c>
      <c r="K706" s="9">
        <f>IF(ISNA(MATCH(693,Engine!$C$2:$C$1369,0)),"",INDEX('Compliance Database'!$K$2:$K$1369,MATCH(693,Engine!$C$2:$C$1369,0)))</f>
        <v/>
      </c>
      <c r="L706" s="9">
        <f>IF(ISNA(MATCH(693,Engine!$C$2:$C$1369,0)),"",INDEX('Compliance Database'!$L$2:$L$1369,MATCH(693,Engine!$C$2:$C$1369,0)))</f>
        <v/>
      </c>
      <c r="M706" s="9">
        <f>IF(ISNA(MATCH(693,Engine!$C$2:$C$1369,0)),"",INDEX('Compliance Database'!$M$2:$M$1369,MATCH(693,Engine!$C$2:$C$1369,0)))</f>
        <v/>
      </c>
      <c r="N706" s="9">
        <f>IF(ISNA(MATCH(693,Engine!$C$2:$C$1369,0)),"",INDEX('Compliance Database'!$N$2:$N$1369,MATCH(693,Engine!$C$2:$C$1369,0)))</f>
        <v/>
      </c>
      <c r="O706" s="8">
        <f>IF(ISNA(MATCH(693,Engine!$C$2:$C$1369,0)),"",HYPERLINK(INDEX('Compliance Database'!$O$2:$O$1369,MATCH(693,Engine!$C$2:$C$1369,0)),"Open PDF"))</f>
        <v/>
      </c>
    </row>
    <row r="707" ht="188" customHeight="1">
      <c r="A707" s="8">
        <f>IF(ISNA(MATCH(694,Engine!$C$2:$C$1369,0)),"",INDEX('Compliance Database'!$A$2:$A$1369,MATCH(694,Engine!$C$2:$C$1369,0)))</f>
        <v/>
      </c>
      <c r="B707" s="8">
        <f>IF(ISNA(MATCH(694,Engine!$C$2:$C$1369,0)),"",INDEX('Compliance Database'!$B$2:$B$1369,MATCH(694,Engine!$C$2:$C$1369,0)))</f>
        <v/>
      </c>
      <c r="C707" s="8">
        <f>IF(ISNA(MATCH(694,Engine!$C$2:$C$1369,0)),"",INDEX('Compliance Database'!$C$2:$C$1369,MATCH(694,Engine!$C$2:$C$1369,0)))</f>
        <v/>
      </c>
      <c r="D707" s="9">
        <f>IF(ISNA(MATCH(694,Engine!$C$2:$C$1369,0)),"",INDEX('Compliance Database'!$D$2:$D$1369,MATCH(694,Engine!$C$2:$C$1369,0)))</f>
        <v/>
      </c>
      <c r="E707" s="8">
        <f>IF(ISNA(MATCH(694,Engine!$C$2:$C$1369,0)),"",INDEX('Compliance Database'!$E$2:$E$1369,MATCH(694,Engine!$C$2:$C$1369,0)))</f>
        <v/>
      </c>
      <c r="F707" s="8">
        <f>IF(ISNA(MATCH(694,Engine!$C$2:$C$1369,0)),"",INDEX('Compliance Database'!$F$2:$F$1369,MATCH(694,Engine!$C$2:$C$1369,0)))</f>
        <v/>
      </c>
      <c r="G707" s="8">
        <f>IF(ISNA(MATCH(694,Engine!$C$2:$C$1369,0)),"",INDEX('Compliance Database'!$G$2:$G$1369,MATCH(694,Engine!$C$2:$C$1369,0)))</f>
        <v/>
      </c>
      <c r="H707" s="9">
        <f>IF(ISNA(MATCH(694,Engine!$C$2:$C$1369,0)),"",INDEX('Compliance Database'!$H$2:$H$1369,MATCH(694,Engine!$C$2:$C$1369,0)))</f>
        <v/>
      </c>
      <c r="I707" s="9">
        <f>IF(ISNA(MATCH(694,Engine!$C$2:$C$1369,0)),"",INDEX('Compliance Database'!$I$2:$I$1369,MATCH(694,Engine!$C$2:$C$1369,0)))</f>
        <v/>
      </c>
      <c r="J707" s="8">
        <f>IF(ISNA(MATCH(694,Engine!$C$2:$C$1369,0)),"",INDEX('Compliance Database'!$J$2:$J$1369,MATCH(694,Engine!$C$2:$C$1369,0)))</f>
        <v/>
      </c>
      <c r="K707" s="9">
        <f>IF(ISNA(MATCH(694,Engine!$C$2:$C$1369,0)),"",INDEX('Compliance Database'!$K$2:$K$1369,MATCH(694,Engine!$C$2:$C$1369,0)))</f>
        <v/>
      </c>
      <c r="L707" s="9">
        <f>IF(ISNA(MATCH(694,Engine!$C$2:$C$1369,0)),"",INDEX('Compliance Database'!$L$2:$L$1369,MATCH(694,Engine!$C$2:$C$1369,0)))</f>
        <v/>
      </c>
      <c r="M707" s="9">
        <f>IF(ISNA(MATCH(694,Engine!$C$2:$C$1369,0)),"",INDEX('Compliance Database'!$M$2:$M$1369,MATCH(694,Engine!$C$2:$C$1369,0)))</f>
        <v/>
      </c>
      <c r="N707" s="9">
        <f>IF(ISNA(MATCH(694,Engine!$C$2:$C$1369,0)),"",INDEX('Compliance Database'!$N$2:$N$1369,MATCH(694,Engine!$C$2:$C$1369,0)))</f>
        <v/>
      </c>
      <c r="O707" s="8">
        <f>IF(ISNA(MATCH(694,Engine!$C$2:$C$1369,0)),"",HYPERLINK(INDEX('Compliance Database'!$O$2:$O$1369,MATCH(694,Engine!$C$2:$C$1369,0)),"Open PDF"))</f>
        <v/>
      </c>
    </row>
    <row r="708" ht="188" customHeight="1">
      <c r="A708" s="8">
        <f>IF(ISNA(MATCH(695,Engine!$C$2:$C$1369,0)),"",INDEX('Compliance Database'!$A$2:$A$1369,MATCH(695,Engine!$C$2:$C$1369,0)))</f>
        <v/>
      </c>
      <c r="B708" s="8">
        <f>IF(ISNA(MATCH(695,Engine!$C$2:$C$1369,0)),"",INDEX('Compliance Database'!$B$2:$B$1369,MATCH(695,Engine!$C$2:$C$1369,0)))</f>
        <v/>
      </c>
      <c r="C708" s="8">
        <f>IF(ISNA(MATCH(695,Engine!$C$2:$C$1369,0)),"",INDEX('Compliance Database'!$C$2:$C$1369,MATCH(695,Engine!$C$2:$C$1369,0)))</f>
        <v/>
      </c>
      <c r="D708" s="9">
        <f>IF(ISNA(MATCH(695,Engine!$C$2:$C$1369,0)),"",INDEX('Compliance Database'!$D$2:$D$1369,MATCH(695,Engine!$C$2:$C$1369,0)))</f>
        <v/>
      </c>
      <c r="E708" s="8">
        <f>IF(ISNA(MATCH(695,Engine!$C$2:$C$1369,0)),"",INDEX('Compliance Database'!$E$2:$E$1369,MATCH(695,Engine!$C$2:$C$1369,0)))</f>
        <v/>
      </c>
      <c r="F708" s="8">
        <f>IF(ISNA(MATCH(695,Engine!$C$2:$C$1369,0)),"",INDEX('Compliance Database'!$F$2:$F$1369,MATCH(695,Engine!$C$2:$C$1369,0)))</f>
        <v/>
      </c>
      <c r="G708" s="8">
        <f>IF(ISNA(MATCH(695,Engine!$C$2:$C$1369,0)),"",INDEX('Compliance Database'!$G$2:$G$1369,MATCH(695,Engine!$C$2:$C$1369,0)))</f>
        <v/>
      </c>
      <c r="H708" s="9">
        <f>IF(ISNA(MATCH(695,Engine!$C$2:$C$1369,0)),"",INDEX('Compliance Database'!$H$2:$H$1369,MATCH(695,Engine!$C$2:$C$1369,0)))</f>
        <v/>
      </c>
      <c r="I708" s="9">
        <f>IF(ISNA(MATCH(695,Engine!$C$2:$C$1369,0)),"",INDEX('Compliance Database'!$I$2:$I$1369,MATCH(695,Engine!$C$2:$C$1369,0)))</f>
        <v/>
      </c>
      <c r="J708" s="8">
        <f>IF(ISNA(MATCH(695,Engine!$C$2:$C$1369,0)),"",INDEX('Compliance Database'!$J$2:$J$1369,MATCH(695,Engine!$C$2:$C$1369,0)))</f>
        <v/>
      </c>
      <c r="K708" s="9">
        <f>IF(ISNA(MATCH(695,Engine!$C$2:$C$1369,0)),"",INDEX('Compliance Database'!$K$2:$K$1369,MATCH(695,Engine!$C$2:$C$1369,0)))</f>
        <v/>
      </c>
      <c r="L708" s="9">
        <f>IF(ISNA(MATCH(695,Engine!$C$2:$C$1369,0)),"",INDEX('Compliance Database'!$L$2:$L$1369,MATCH(695,Engine!$C$2:$C$1369,0)))</f>
        <v/>
      </c>
      <c r="M708" s="9">
        <f>IF(ISNA(MATCH(695,Engine!$C$2:$C$1369,0)),"",INDEX('Compliance Database'!$M$2:$M$1369,MATCH(695,Engine!$C$2:$C$1369,0)))</f>
        <v/>
      </c>
      <c r="N708" s="9">
        <f>IF(ISNA(MATCH(695,Engine!$C$2:$C$1369,0)),"",INDEX('Compliance Database'!$N$2:$N$1369,MATCH(695,Engine!$C$2:$C$1369,0)))</f>
        <v/>
      </c>
      <c r="O708" s="8">
        <f>IF(ISNA(MATCH(695,Engine!$C$2:$C$1369,0)),"",HYPERLINK(INDEX('Compliance Database'!$O$2:$O$1369,MATCH(695,Engine!$C$2:$C$1369,0)),"Open PDF"))</f>
        <v/>
      </c>
    </row>
    <row r="709" ht="188" customHeight="1">
      <c r="A709" s="8">
        <f>IF(ISNA(MATCH(696,Engine!$C$2:$C$1369,0)),"",INDEX('Compliance Database'!$A$2:$A$1369,MATCH(696,Engine!$C$2:$C$1369,0)))</f>
        <v/>
      </c>
      <c r="B709" s="8">
        <f>IF(ISNA(MATCH(696,Engine!$C$2:$C$1369,0)),"",INDEX('Compliance Database'!$B$2:$B$1369,MATCH(696,Engine!$C$2:$C$1369,0)))</f>
        <v/>
      </c>
      <c r="C709" s="8">
        <f>IF(ISNA(MATCH(696,Engine!$C$2:$C$1369,0)),"",INDEX('Compliance Database'!$C$2:$C$1369,MATCH(696,Engine!$C$2:$C$1369,0)))</f>
        <v/>
      </c>
      <c r="D709" s="9">
        <f>IF(ISNA(MATCH(696,Engine!$C$2:$C$1369,0)),"",INDEX('Compliance Database'!$D$2:$D$1369,MATCH(696,Engine!$C$2:$C$1369,0)))</f>
        <v/>
      </c>
      <c r="E709" s="8">
        <f>IF(ISNA(MATCH(696,Engine!$C$2:$C$1369,0)),"",INDEX('Compliance Database'!$E$2:$E$1369,MATCH(696,Engine!$C$2:$C$1369,0)))</f>
        <v/>
      </c>
      <c r="F709" s="8">
        <f>IF(ISNA(MATCH(696,Engine!$C$2:$C$1369,0)),"",INDEX('Compliance Database'!$F$2:$F$1369,MATCH(696,Engine!$C$2:$C$1369,0)))</f>
        <v/>
      </c>
      <c r="G709" s="8">
        <f>IF(ISNA(MATCH(696,Engine!$C$2:$C$1369,0)),"",INDEX('Compliance Database'!$G$2:$G$1369,MATCH(696,Engine!$C$2:$C$1369,0)))</f>
        <v/>
      </c>
      <c r="H709" s="9">
        <f>IF(ISNA(MATCH(696,Engine!$C$2:$C$1369,0)),"",INDEX('Compliance Database'!$H$2:$H$1369,MATCH(696,Engine!$C$2:$C$1369,0)))</f>
        <v/>
      </c>
      <c r="I709" s="9">
        <f>IF(ISNA(MATCH(696,Engine!$C$2:$C$1369,0)),"",INDEX('Compliance Database'!$I$2:$I$1369,MATCH(696,Engine!$C$2:$C$1369,0)))</f>
        <v/>
      </c>
      <c r="J709" s="8">
        <f>IF(ISNA(MATCH(696,Engine!$C$2:$C$1369,0)),"",INDEX('Compliance Database'!$J$2:$J$1369,MATCH(696,Engine!$C$2:$C$1369,0)))</f>
        <v/>
      </c>
      <c r="K709" s="9">
        <f>IF(ISNA(MATCH(696,Engine!$C$2:$C$1369,0)),"",INDEX('Compliance Database'!$K$2:$K$1369,MATCH(696,Engine!$C$2:$C$1369,0)))</f>
        <v/>
      </c>
      <c r="L709" s="9">
        <f>IF(ISNA(MATCH(696,Engine!$C$2:$C$1369,0)),"",INDEX('Compliance Database'!$L$2:$L$1369,MATCH(696,Engine!$C$2:$C$1369,0)))</f>
        <v/>
      </c>
      <c r="M709" s="9">
        <f>IF(ISNA(MATCH(696,Engine!$C$2:$C$1369,0)),"",INDEX('Compliance Database'!$M$2:$M$1369,MATCH(696,Engine!$C$2:$C$1369,0)))</f>
        <v/>
      </c>
      <c r="N709" s="9">
        <f>IF(ISNA(MATCH(696,Engine!$C$2:$C$1369,0)),"",INDEX('Compliance Database'!$N$2:$N$1369,MATCH(696,Engine!$C$2:$C$1369,0)))</f>
        <v/>
      </c>
      <c r="O709" s="8">
        <f>IF(ISNA(MATCH(696,Engine!$C$2:$C$1369,0)),"",HYPERLINK(INDEX('Compliance Database'!$O$2:$O$1369,MATCH(696,Engine!$C$2:$C$1369,0)),"Open PDF"))</f>
        <v/>
      </c>
    </row>
    <row r="710" ht="188" customHeight="1">
      <c r="A710" s="8">
        <f>IF(ISNA(MATCH(697,Engine!$C$2:$C$1369,0)),"",INDEX('Compliance Database'!$A$2:$A$1369,MATCH(697,Engine!$C$2:$C$1369,0)))</f>
        <v/>
      </c>
      <c r="B710" s="8">
        <f>IF(ISNA(MATCH(697,Engine!$C$2:$C$1369,0)),"",INDEX('Compliance Database'!$B$2:$B$1369,MATCH(697,Engine!$C$2:$C$1369,0)))</f>
        <v/>
      </c>
      <c r="C710" s="8">
        <f>IF(ISNA(MATCH(697,Engine!$C$2:$C$1369,0)),"",INDEX('Compliance Database'!$C$2:$C$1369,MATCH(697,Engine!$C$2:$C$1369,0)))</f>
        <v/>
      </c>
      <c r="D710" s="9">
        <f>IF(ISNA(MATCH(697,Engine!$C$2:$C$1369,0)),"",INDEX('Compliance Database'!$D$2:$D$1369,MATCH(697,Engine!$C$2:$C$1369,0)))</f>
        <v/>
      </c>
      <c r="E710" s="8">
        <f>IF(ISNA(MATCH(697,Engine!$C$2:$C$1369,0)),"",INDEX('Compliance Database'!$E$2:$E$1369,MATCH(697,Engine!$C$2:$C$1369,0)))</f>
        <v/>
      </c>
      <c r="F710" s="8">
        <f>IF(ISNA(MATCH(697,Engine!$C$2:$C$1369,0)),"",INDEX('Compliance Database'!$F$2:$F$1369,MATCH(697,Engine!$C$2:$C$1369,0)))</f>
        <v/>
      </c>
      <c r="G710" s="8">
        <f>IF(ISNA(MATCH(697,Engine!$C$2:$C$1369,0)),"",INDEX('Compliance Database'!$G$2:$G$1369,MATCH(697,Engine!$C$2:$C$1369,0)))</f>
        <v/>
      </c>
      <c r="H710" s="9">
        <f>IF(ISNA(MATCH(697,Engine!$C$2:$C$1369,0)),"",INDEX('Compliance Database'!$H$2:$H$1369,MATCH(697,Engine!$C$2:$C$1369,0)))</f>
        <v/>
      </c>
      <c r="I710" s="9">
        <f>IF(ISNA(MATCH(697,Engine!$C$2:$C$1369,0)),"",INDEX('Compliance Database'!$I$2:$I$1369,MATCH(697,Engine!$C$2:$C$1369,0)))</f>
        <v/>
      </c>
      <c r="J710" s="8">
        <f>IF(ISNA(MATCH(697,Engine!$C$2:$C$1369,0)),"",INDEX('Compliance Database'!$J$2:$J$1369,MATCH(697,Engine!$C$2:$C$1369,0)))</f>
        <v/>
      </c>
      <c r="K710" s="9">
        <f>IF(ISNA(MATCH(697,Engine!$C$2:$C$1369,0)),"",INDEX('Compliance Database'!$K$2:$K$1369,MATCH(697,Engine!$C$2:$C$1369,0)))</f>
        <v/>
      </c>
      <c r="L710" s="9">
        <f>IF(ISNA(MATCH(697,Engine!$C$2:$C$1369,0)),"",INDEX('Compliance Database'!$L$2:$L$1369,MATCH(697,Engine!$C$2:$C$1369,0)))</f>
        <v/>
      </c>
      <c r="M710" s="9">
        <f>IF(ISNA(MATCH(697,Engine!$C$2:$C$1369,0)),"",INDEX('Compliance Database'!$M$2:$M$1369,MATCH(697,Engine!$C$2:$C$1369,0)))</f>
        <v/>
      </c>
      <c r="N710" s="9">
        <f>IF(ISNA(MATCH(697,Engine!$C$2:$C$1369,0)),"",INDEX('Compliance Database'!$N$2:$N$1369,MATCH(697,Engine!$C$2:$C$1369,0)))</f>
        <v/>
      </c>
      <c r="O710" s="8">
        <f>IF(ISNA(MATCH(697,Engine!$C$2:$C$1369,0)),"",HYPERLINK(INDEX('Compliance Database'!$O$2:$O$1369,MATCH(697,Engine!$C$2:$C$1369,0)),"Open PDF"))</f>
        <v/>
      </c>
    </row>
    <row r="711" ht="188" customHeight="1">
      <c r="A711" s="8">
        <f>IF(ISNA(MATCH(698,Engine!$C$2:$C$1369,0)),"",INDEX('Compliance Database'!$A$2:$A$1369,MATCH(698,Engine!$C$2:$C$1369,0)))</f>
        <v/>
      </c>
      <c r="B711" s="8">
        <f>IF(ISNA(MATCH(698,Engine!$C$2:$C$1369,0)),"",INDEX('Compliance Database'!$B$2:$B$1369,MATCH(698,Engine!$C$2:$C$1369,0)))</f>
        <v/>
      </c>
      <c r="C711" s="8">
        <f>IF(ISNA(MATCH(698,Engine!$C$2:$C$1369,0)),"",INDEX('Compliance Database'!$C$2:$C$1369,MATCH(698,Engine!$C$2:$C$1369,0)))</f>
        <v/>
      </c>
      <c r="D711" s="9">
        <f>IF(ISNA(MATCH(698,Engine!$C$2:$C$1369,0)),"",INDEX('Compliance Database'!$D$2:$D$1369,MATCH(698,Engine!$C$2:$C$1369,0)))</f>
        <v/>
      </c>
      <c r="E711" s="8">
        <f>IF(ISNA(MATCH(698,Engine!$C$2:$C$1369,0)),"",INDEX('Compliance Database'!$E$2:$E$1369,MATCH(698,Engine!$C$2:$C$1369,0)))</f>
        <v/>
      </c>
      <c r="F711" s="8">
        <f>IF(ISNA(MATCH(698,Engine!$C$2:$C$1369,0)),"",INDEX('Compliance Database'!$F$2:$F$1369,MATCH(698,Engine!$C$2:$C$1369,0)))</f>
        <v/>
      </c>
      <c r="G711" s="8">
        <f>IF(ISNA(MATCH(698,Engine!$C$2:$C$1369,0)),"",INDEX('Compliance Database'!$G$2:$G$1369,MATCH(698,Engine!$C$2:$C$1369,0)))</f>
        <v/>
      </c>
      <c r="H711" s="9">
        <f>IF(ISNA(MATCH(698,Engine!$C$2:$C$1369,0)),"",INDEX('Compliance Database'!$H$2:$H$1369,MATCH(698,Engine!$C$2:$C$1369,0)))</f>
        <v/>
      </c>
      <c r="I711" s="9">
        <f>IF(ISNA(MATCH(698,Engine!$C$2:$C$1369,0)),"",INDEX('Compliance Database'!$I$2:$I$1369,MATCH(698,Engine!$C$2:$C$1369,0)))</f>
        <v/>
      </c>
      <c r="J711" s="8">
        <f>IF(ISNA(MATCH(698,Engine!$C$2:$C$1369,0)),"",INDEX('Compliance Database'!$J$2:$J$1369,MATCH(698,Engine!$C$2:$C$1369,0)))</f>
        <v/>
      </c>
      <c r="K711" s="9">
        <f>IF(ISNA(MATCH(698,Engine!$C$2:$C$1369,0)),"",INDEX('Compliance Database'!$K$2:$K$1369,MATCH(698,Engine!$C$2:$C$1369,0)))</f>
        <v/>
      </c>
      <c r="L711" s="9">
        <f>IF(ISNA(MATCH(698,Engine!$C$2:$C$1369,0)),"",INDEX('Compliance Database'!$L$2:$L$1369,MATCH(698,Engine!$C$2:$C$1369,0)))</f>
        <v/>
      </c>
      <c r="M711" s="9">
        <f>IF(ISNA(MATCH(698,Engine!$C$2:$C$1369,0)),"",INDEX('Compliance Database'!$M$2:$M$1369,MATCH(698,Engine!$C$2:$C$1369,0)))</f>
        <v/>
      </c>
      <c r="N711" s="9">
        <f>IF(ISNA(MATCH(698,Engine!$C$2:$C$1369,0)),"",INDEX('Compliance Database'!$N$2:$N$1369,MATCH(698,Engine!$C$2:$C$1369,0)))</f>
        <v/>
      </c>
      <c r="O711" s="8">
        <f>IF(ISNA(MATCH(698,Engine!$C$2:$C$1369,0)),"",HYPERLINK(INDEX('Compliance Database'!$O$2:$O$1369,MATCH(698,Engine!$C$2:$C$1369,0)),"Open PDF"))</f>
        <v/>
      </c>
    </row>
    <row r="712" ht="188" customHeight="1">
      <c r="A712" s="8">
        <f>IF(ISNA(MATCH(699,Engine!$C$2:$C$1369,0)),"",INDEX('Compliance Database'!$A$2:$A$1369,MATCH(699,Engine!$C$2:$C$1369,0)))</f>
        <v/>
      </c>
      <c r="B712" s="8">
        <f>IF(ISNA(MATCH(699,Engine!$C$2:$C$1369,0)),"",INDEX('Compliance Database'!$B$2:$B$1369,MATCH(699,Engine!$C$2:$C$1369,0)))</f>
        <v/>
      </c>
      <c r="C712" s="8">
        <f>IF(ISNA(MATCH(699,Engine!$C$2:$C$1369,0)),"",INDEX('Compliance Database'!$C$2:$C$1369,MATCH(699,Engine!$C$2:$C$1369,0)))</f>
        <v/>
      </c>
      <c r="D712" s="9">
        <f>IF(ISNA(MATCH(699,Engine!$C$2:$C$1369,0)),"",INDEX('Compliance Database'!$D$2:$D$1369,MATCH(699,Engine!$C$2:$C$1369,0)))</f>
        <v/>
      </c>
      <c r="E712" s="8">
        <f>IF(ISNA(MATCH(699,Engine!$C$2:$C$1369,0)),"",INDEX('Compliance Database'!$E$2:$E$1369,MATCH(699,Engine!$C$2:$C$1369,0)))</f>
        <v/>
      </c>
      <c r="F712" s="8">
        <f>IF(ISNA(MATCH(699,Engine!$C$2:$C$1369,0)),"",INDEX('Compliance Database'!$F$2:$F$1369,MATCH(699,Engine!$C$2:$C$1369,0)))</f>
        <v/>
      </c>
      <c r="G712" s="8">
        <f>IF(ISNA(MATCH(699,Engine!$C$2:$C$1369,0)),"",INDEX('Compliance Database'!$G$2:$G$1369,MATCH(699,Engine!$C$2:$C$1369,0)))</f>
        <v/>
      </c>
      <c r="H712" s="9">
        <f>IF(ISNA(MATCH(699,Engine!$C$2:$C$1369,0)),"",INDEX('Compliance Database'!$H$2:$H$1369,MATCH(699,Engine!$C$2:$C$1369,0)))</f>
        <v/>
      </c>
      <c r="I712" s="9">
        <f>IF(ISNA(MATCH(699,Engine!$C$2:$C$1369,0)),"",INDEX('Compliance Database'!$I$2:$I$1369,MATCH(699,Engine!$C$2:$C$1369,0)))</f>
        <v/>
      </c>
      <c r="J712" s="8">
        <f>IF(ISNA(MATCH(699,Engine!$C$2:$C$1369,0)),"",INDEX('Compliance Database'!$J$2:$J$1369,MATCH(699,Engine!$C$2:$C$1369,0)))</f>
        <v/>
      </c>
      <c r="K712" s="9">
        <f>IF(ISNA(MATCH(699,Engine!$C$2:$C$1369,0)),"",INDEX('Compliance Database'!$K$2:$K$1369,MATCH(699,Engine!$C$2:$C$1369,0)))</f>
        <v/>
      </c>
      <c r="L712" s="9">
        <f>IF(ISNA(MATCH(699,Engine!$C$2:$C$1369,0)),"",INDEX('Compliance Database'!$L$2:$L$1369,MATCH(699,Engine!$C$2:$C$1369,0)))</f>
        <v/>
      </c>
      <c r="M712" s="9">
        <f>IF(ISNA(MATCH(699,Engine!$C$2:$C$1369,0)),"",INDEX('Compliance Database'!$M$2:$M$1369,MATCH(699,Engine!$C$2:$C$1369,0)))</f>
        <v/>
      </c>
      <c r="N712" s="9">
        <f>IF(ISNA(MATCH(699,Engine!$C$2:$C$1369,0)),"",INDEX('Compliance Database'!$N$2:$N$1369,MATCH(699,Engine!$C$2:$C$1369,0)))</f>
        <v/>
      </c>
      <c r="O712" s="8">
        <f>IF(ISNA(MATCH(699,Engine!$C$2:$C$1369,0)),"",HYPERLINK(INDEX('Compliance Database'!$O$2:$O$1369,MATCH(699,Engine!$C$2:$C$1369,0)),"Open PDF"))</f>
        <v/>
      </c>
    </row>
    <row r="713" ht="188" customHeight="1">
      <c r="A713" s="8">
        <f>IF(ISNA(MATCH(700,Engine!$C$2:$C$1369,0)),"",INDEX('Compliance Database'!$A$2:$A$1369,MATCH(700,Engine!$C$2:$C$1369,0)))</f>
        <v/>
      </c>
      <c r="B713" s="8">
        <f>IF(ISNA(MATCH(700,Engine!$C$2:$C$1369,0)),"",INDEX('Compliance Database'!$B$2:$B$1369,MATCH(700,Engine!$C$2:$C$1369,0)))</f>
        <v/>
      </c>
      <c r="C713" s="8">
        <f>IF(ISNA(MATCH(700,Engine!$C$2:$C$1369,0)),"",INDEX('Compliance Database'!$C$2:$C$1369,MATCH(700,Engine!$C$2:$C$1369,0)))</f>
        <v/>
      </c>
      <c r="D713" s="9">
        <f>IF(ISNA(MATCH(700,Engine!$C$2:$C$1369,0)),"",INDEX('Compliance Database'!$D$2:$D$1369,MATCH(700,Engine!$C$2:$C$1369,0)))</f>
        <v/>
      </c>
      <c r="E713" s="8">
        <f>IF(ISNA(MATCH(700,Engine!$C$2:$C$1369,0)),"",INDEX('Compliance Database'!$E$2:$E$1369,MATCH(700,Engine!$C$2:$C$1369,0)))</f>
        <v/>
      </c>
      <c r="F713" s="8">
        <f>IF(ISNA(MATCH(700,Engine!$C$2:$C$1369,0)),"",INDEX('Compliance Database'!$F$2:$F$1369,MATCH(700,Engine!$C$2:$C$1369,0)))</f>
        <v/>
      </c>
      <c r="G713" s="8">
        <f>IF(ISNA(MATCH(700,Engine!$C$2:$C$1369,0)),"",INDEX('Compliance Database'!$G$2:$G$1369,MATCH(700,Engine!$C$2:$C$1369,0)))</f>
        <v/>
      </c>
      <c r="H713" s="9">
        <f>IF(ISNA(MATCH(700,Engine!$C$2:$C$1369,0)),"",INDEX('Compliance Database'!$H$2:$H$1369,MATCH(700,Engine!$C$2:$C$1369,0)))</f>
        <v/>
      </c>
      <c r="I713" s="9">
        <f>IF(ISNA(MATCH(700,Engine!$C$2:$C$1369,0)),"",INDEX('Compliance Database'!$I$2:$I$1369,MATCH(700,Engine!$C$2:$C$1369,0)))</f>
        <v/>
      </c>
      <c r="J713" s="8">
        <f>IF(ISNA(MATCH(700,Engine!$C$2:$C$1369,0)),"",INDEX('Compliance Database'!$J$2:$J$1369,MATCH(700,Engine!$C$2:$C$1369,0)))</f>
        <v/>
      </c>
      <c r="K713" s="9">
        <f>IF(ISNA(MATCH(700,Engine!$C$2:$C$1369,0)),"",INDEX('Compliance Database'!$K$2:$K$1369,MATCH(700,Engine!$C$2:$C$1369,0)))</f>
        <v/>
      </c>
      <c r="L713" s="9">
        <f>IF(ISNA(MATCH(700,Engine!$C$2:$C$1369,0)),"",INDEX('Compliance Database'!$L$2:$L$1369,MATCH(700,Engine!$C$2:$C$1369,0)))</f>
        <v/>
      </c>
      <c r="M713" s="9">
        <f>IF(ISNA(MATCH(700,Engine!$C$2:$C$1369,0)),"",INDEX('Compliance Database'!$M$2:$M$1369,MATCH(700,Engine!$C$2:$C$1369,0)))</f>
        <v/>
      </c>
      <c r="N713" s="9">
        <f>IF(ISNA(MATCH(700,Engine!$C$2:$C$1369,0)),"",INDEX('Compliance Database'!$N$2:$N$1369,MATCH(700,Engine!$C$2:$C$1369,0)))</f>
        <v/>
      </c>
      <c r="O713" s="8">
        <f>IF(ISNA(MATCH(700,Engine!$C$2:$C$1369,0)),"",HYPERLINK(INDEX('Compliance Database'!$O$2:$O$1369,MATCH(700,Engine!$C$2:$C$1369,0)),"Open PDF"))</f>
        <v/>
      </c>
    </row>
    <row r="714" ht="188" customHeight="1">
      <c r="A714" s="8">
        <f>IF(ISNA(MATCH(701,Engine!$C$2:$C$1369,0)),"",INDEX('Compliance Database'!$A$2:$A$1369,MATCH(701,Engine!$C$2:$C$1369,0)))</f>
        <v/>
      </c>
      <c r="B714" s="8">
        <f>IF(ISNA(MATCH(701,Engine!$C$2:$C$1369,0)),"",INDEX('Compliance Database'!$B$2:$B$1369,MATCH(701,Engine!$C$2:$C$1369,0)))</f>
        <v/>
      </c>
      <c r="C714" s="8">
        <f>IF(ISNA(MATCH(701,Engine!$C$2:$C$1369,0)),"",INDEX('Compliance Database'!$C$2:$C$1369,MATCH(701,Engine!$C$2:$C$1369,0)))</f>
        <v/>
      </c>
      <c r="D714" s="9">
        <f>IF(ISNA(MATCH(701,Engine!$C$2:$C$1369,0)),"",INDEX('Compliance Database'!$D$2:$D$1369,MATCH(701,Engine!$C$2:$C$1369,0)))</f>
        <v/>
      </c>
      <c r="E714" s="8">
        <f>IF(ISNA(MATCH(701,Engine!$C$2:$C$1369,0)),"",INDEX('Compliance Database'!$E$2:$E$1369,MATCH(701,Engine!$C$2:$C$1369,0)))</f>
        <v/>
      </c>
      <c r="F714" s="8">
        <f>IF(ISNA(MATCH(701,Engine!$C$2:$C$1369,0)),"",INDEX('Compliance Database'!$F$2:$F$1369,MATCH(701,Engine!$C$2:$C$1369,0)))</f>
        <v/>
      </c>
      <c r="G714" s="8">
        <f>IF(ISNA(MATCH(701,Engine!$C$2:$C$1369,0)),"",INDEX('Compliance Database'!$G$2:$G$1369,MATCH(701,Engine!$C$2:$C$1369,0)))</f>
        <v/>
      </c>
      <c r="H714" s="9">
        <f>IF(ISNA(MATCH(701,Engine!$C$2:$C$1369,0)),"",INDEX('Compliance Database'!$H$2:$H$1369,MATCH(701,Engine!$C$2:$C$1369,0)))</f>
        <v/>
      </c>
      <c r="I714" s="9">
        <f>IF(ISNA(MATCH(701,Engine!$C$2:$C$1369,0)),"",INDEX('Compliance Database'!$I$2:$I$1369,MATCH(701,Engine!$C$2:$C$1369,0)))</f>
        <v/>
      </c>
      <c r="J714" s="8">
        <f>IF(ISNA(MATCH(701,Engine!$C$2:$C$1369,0)),"",INDEX('Compliance Database'!$J$2:$J$1369,MATCH(701,Engine!$C$2:$C$1369,0)))</f>
        <v/>
      </c>
      <c r="K714" s="9">
        <f>IF(ISNA(MATCH(701,Engine!$C$2:$C$1369,0)),"",INDEX('Compliance Database'!$K$2:$K$1369,MATCH(701,Engine!$C$2:$C$1369,0)))</f>
        <v/>
      </c>
      <c r="L714" s="9">
        <f>IF(ISNA(MATCH(701,Engine!$C$2:$C$1369,0)),"",INDEX('Compliance Database'!$L$2:$L$1369,MATCH(701,Engine!$C$2:$C$1369,0)))</f>
        <v/>
      </c>
      <c r="M714" s="9">
        <f>IF(ISNA(MATCH(701,Engine!$C$2:$C$1369,0)),"",INDEX('Compliance Database'!$M$2:$M$1369,MATCH(701,Engine!$C$2:$C$1369,0)))</f>
        <v/>
      </c>
      <c r="N714" s="9">
        <f>IF(ISNA(MATCH(701,Engine!$C$2:$C$1369,0)),"",INDEX('Compliance Database'!$N$2:$N$1369,MATCH(701,Engine!$C$2:$C$1369,0)))</f>
        <v/>
      </c>
      <c r="O714" s="8">
        <f>IF(ISNA(MATCH(701,Engine!$C$2:$C$1369,0)),"",HYPERLINK(INDEX('Compliance Database'!$O$2:$O$1369,MATCH(701,Engine!$C$2:$C$1369,0)),"Open PDF"))</f>
        <v/>
      </c>
    </row>
    <row r="715" ht="188" customHeight="1">
      <c r="A715" s="8">
        <f>IF(ISNA(MATCH(702,Engine!$C$2:$C$1369,0)),"",INDEX('Compliance Database'!$A$2:$A$1369,MATCH(702,Engine!$C$2:$C$1369,0)))</f>
        <v/>
      </c>
      <c r="B715" s="8">
        <f>IF(ISNA(MATCH(702,Engine!$C$2:$C$1369,0)),"",INDEX('Compliance Database'!$B$2:$B$1369,MATCH(702,Engine!$C$2:$C$1369,0)))</f>
        <v/>
      </c>
      <c r="C715" s="8">
        <f>IF(ISNA(MATCH(702,Engine!$C$2:$C$1369,0)),"",INDEX('Compliance Database'!$C$2:$C$1369,MATCH(702,Engine!$C$2:$C$1369,0)))</f>
        <v/>
      </c>
      <c r="D715" s="9">
        <f>IF(ISNA(MATCH(702,Engine!$C$2:$C$1369,0)),"",INDEX('Compliance Database'!$D$2:$D$1369,MATCH(702,Engine!$C$2:$C$1369,0)))</f>
        <v/>
      </c>
      <c r="E715" s="8">
        <f>IF(ISNA(MATCH(702,Engine!$C$2:$C$1369,0)),"",INDEX('Compliance Database'!$E$2:$E$1369,MATCH(702,Engine!$C$2:$C$1369,0)))</f>
        <v/>
      </c>
      <c r="F715" s="8">
        <f>IF(ISNA(MATCH(702,Engine!$C$2:$C$1369,0)),"",INDEX('Compliance Database'!$F$2:$F$1369,MATCH(702,Engine!$C$2:$C$1369,0)))</f>
        <v/>
      </c>
      <c r="G715" s="8">
        <f>IF(ISNA(MATCH(702,Engine!$C$2:$C$1369,0)),"",INDEX('Compliance Database'!$G$2:$G$1369,MATCH(702,Engine!$C$2:$C$1369,0)))</f>
        <v/>
      </c>
      <c r="H715" s="9">
        <f>IF(ISNA(MATCH(702,Engine!$C$2:$C$1369,0)),"",INDEX('Compliance Database'!$H$2:$H$1369,MATCH(702,Engine!$C$2:$C$1369,0)))</f>
        <v/>
      </c>
      <c r="I715" s="9">
        <f>IF(ISNA(MATCH(702,Engine!$C$2:$C$1369,0)),"",INDEX('Compliance Database'!$I$2:$I$1369,MATCH(702,Engine!$C$2:$C$1369,0)))</f>
        <v/>
      </c>
      <c r="J715" s="8">
        <f>IF(ISNA(MATCH(702,Engine!$C$2:$C$1369,0)),"",INDEX('Compliance Database'!$J$2:$J$1369,MATCH(702,Engine!$C$2:$C$1369,0)))</f>
        <v/>
      </c>
      <c r="K715" s="9">
        <f>IF(ISNA(MATCH(702,Engine!$C$2:$C$1369,0)),"",INDEX('Compliance Database'!$K$2:$K$1369,MATCH(702,Engine!$C$2:$C$1369,0)))</f>
        <v/>
      </c>
      <c r="L715" s="9">
        <f>IF(ISNA(MATCH(702,Engine!$C$2:$C$1369,0)),"",INDEX('Compliance Database'!$L$2:$L$1369,MATCH(702,Engine!$C$2:$C$1369,0)))</f>
        <v/>
      </c>
      <c r="M715" s="9">
        <f>IF(ISNA(MATCH(702,Engine!$C$2:$C$1369,0)),"",INDEX('Compliance Database'!$M$2:$M$1369,MATCH(702,Engine!$C$2:$C$1369,0)))</f>
        <v/>
      </c>
      <c r="N715" s="9">
        <f>IF(ISNA(MATCH(702,Engine!$C$2:$C$1369,0)),"",INDEX('Compliance Database'!$N$2:$N$1369,MATCH(702,Engine!$C$2:$C$1369,0)))</f>
        <v/>
      </c>
      <c r="O715" s="8">
        <f>IF(ISNA(MATCH(702,Engine!$C$2:$C$1369,0)),"",HYPERLINK(INDEX('Compliance Database'!$O$2:$O$1369,MATCH(702,Engine!$C$2:$C$1369,0)),"Open PDF"))</f>
        <v/>
      </c>
    </row>
    <row r="716" ht="188" customHeight="1">
      <c r="A716" s="8">
        <f>IF(ISNA(MATCH(703,Engine!$C$2:$C$1369,0)),"",INDEX('Compliance Database'!$A$2:$A$1369,MATCH(703,Engine!$C$2:$C$1369,0)))</f>
        <v/>
      </c>
      <c r="B716" s="8">
        <f>IF(ISNA(MATCH(703,Engine!$C$2:$C$1369,0)),"",INDEX('Compliance Database'!$B$2:$B$1369,MATCH(703,Engine!$C$2:$C$1369,0)))</f>
        <v/>
      </c>
      <c r="C716" s="8">
        <f>IF(ISNA(MATCH(703,Engine!$C$2:$C$1369,0)),"",INDEX('Compliance Database'!$C$2:$C$1369,MATCH(703,Engine!$C$2:$C$1369,0)))</f>
        <v/>
      </c>
      <c r="D716" s="9">
        <f>IF(ISNA(MATCH(703,Engine!$C$2:$C$1369,0)),"",INDEX('Compliance Database'!$D$2:$D$1369,MATCH(703,Engine!$C$2:$C$1369,0)))</f>
        <v/>
      </c>
      <c r="E716" s="8">
        <f>IF(ISNA(MATCH(703,Engine!$C$2:$C$1369,0)),"",INDEX('Compliance Database'!$E$2:$E$1369,MATCH(703,Engine!$C$2:$C$1369,0)))</f>
        <v/>
      </c>
      <c r="F716" s="8">
        <f>IF(ISNA(MATCH(703,Engine!$C$2:$C$1369,0)),"",INDEX('Compliance Database'!$F$2:$F$1369,MATCH(703,Engine!$C$2:$C$1369,0)))</f>
        <v/>
      </c>
      <c r="G716" s="8">
        <f>IF(ISNA(MATCH(703,Engine!$C$2:$C$1369,0)),"",INDEX('Compliance Database'!$G$2:$G$1369,MATCH(703,Engine!$C$2:$C$1369,0)))</f>
        <v/>
      </c>
      <c r="H716" s="9">
        <f>IF(ISNA(MATCH(703,Engine!$C$2:$C$1369,0)),"",INDEX('Compliance Database'!$H$2:$H$1369,MATCH(703,Engine!$C$2:$C$1369,0)))</f>
        <v/>
      </c>
      <c r="I716" s="9">
        <f>IF(ISNA(MATCH(703,Engine!$C$2:$C$1369,0)),"",INDEX('Compliance Database'!$I$2:$I$1369,MATCH(703,Engine!$C$2:$C$1369,0)))</f>
        <v/>
      </c>
      <c r="J716" s="8">
        <f>IF(ISNA(MATCH(703,Engine!$C$2:$C$1369,0)),"",INDEX('Compliance Database'!$J$2:$J$1369,MATCH(703,Engine!$C$2:$C$1369,0)))</f>
        <v/>
      </c>
      <c r="K716" s="9">
        <f>IF(ISNA(MATCH(703,Engine!$C$2:$C$1369,0)),"",INDEX('Compliance Database'!$K$2:$K$1369,MATCH(703,Engine!$C$2:$C$1369,0)))</f>
        <v/>
      </c>
      <c r="L716" s="9">
        <f>IF(ISNA(MATCH(703,Engine!$C$2:$C$1369,0)),"",INDEX('Compliance Database'!$L$2:$L$1369,MATCH(703,Engine!$C$2:$C$1369,0)))</f>
        <v/>
      </c>
      <c r="M716" s="9">
        <f>IF(ISNA(MATCH(703,Engine!$C$2:$C$1369,0)),"",INDEX('Compliance Database'!$M$2:$M$1369,MATCH(703,Engine!$C$2:$C$1369,0)))</f>
        <v/>
      </c>
      <c r="N716" s="9">
        <f>IF(ISNA(MATCH(703,Engine!$C$2:$C$1369,0)),"",INDEX('Compliance Database'!$N$2:$N$1369,MATCH(703,Engine!$C$2:$C$1369,0)))</f>
        <v/>
      </c>
      <c r="O716" s="8">
        <f>IF(ISNA(MATCH(703,Engine!$C$2:$C$1369,0)),"",HYPERLINK(INDEX('Compliance Database'!$O$2:$O$1369,MATCH(703,Engine!$C$2:$C$1369,0)),"Open PDF"))</f>
        <v/>
      </c>
    </row>
    <row r="717" ht="188" customHeight="1">
      <c r="A717" s="8">
        <f>IF(ISNA(MATCH(704,Engine!$C$2:$C$1369,0)),"",INDEX('Compliance Database'!$A$2:$A$1369,MATCH(704,Engine!$C$2:$C$1369,0)))</f>
        <v/>
      </c>
      <c r="B717" s="8">
        <f>IF(ISNA(MATCH(704,Engine!$C$2:$C$1369,0)),"",INDEX('Compliance Database'!$B$2:$B$1369,MATCH(704,Engine!$C$2:$C$1369,0)))</f>
        <v/>
      </c>
      <c r="C717" s="8">
        <f>IF(ISNA(MATCH(704,Engine!$C$2:$C$1369,0)),"",INDEX('Compliance Database'!$C$2:$C$1369,MATCH(704,Engine!$C$2:$C$1369,0)))</f>
        <v/>
      </c>
      <c r="D717" s="9">
        <f>IF(ISNA(MATCH(704,Engine!$C$2:$C$1369,0)),"",INDEX('Compliance Database'!$D$2:$D$1369,MATCH(704,Engine!$C$2:$C$1369,0)))</f>
        <v/>
      </c>
      <c r="E717" s="8">
        <f>IF(ISNA(MATCH(704,Engine!$C$2:$C$1369,0)),"",INDEX('Compliance Database'!$E$2:$E$1369,MATCH(704,Engine!$C$2:$C$1369,0)))</f>
        <v/>
      </c>
      <c r="F717" s="8">
        <f>IF(ISNA(MATCH(704,Engine!$C$2:$C$1369,0)),"",INDEX('Compliance Database'!$F$2:$F$1369,MATCH(704,Engine!$C$2:$C$1369,0)))</f>
        <v/>
      </c>
      <c r="G717" s="8">
        <f>IF(ISNA(MATCH(704,Engine!$C$2:$C$1369,0)),"",INDEX('Compliance Database'!$G$2:$G$1369,MATCH(704,Engine!$C$2:$C$1369,0)))</f>
        <v/>
      </c>
      <c r="H717" s="9">
        <f>IF(ISNA(MATCH(704,Engine!$C$2:$C$1369,0)),"",INDEX('Compliance Database'!$H$2:$H$1369,MATCH(704,Engine!$C$2:$C$1369,0)))</f>
        <v/>
      </c>
      <c r="I717" s="9">
        <f>IF(ISNA(MATCH(704,Engine!$C$2:$C$1369,0)),"",INDEX('Compliance Database'!$I$2:$I$1369,MATCH(704,Engine!$C$2:$C$1369,0)))</f>
        <v/>
      </c>
      <c r="J717" s="8">
        <f>IF(ISNA(MATCH(704,Engine!$C$2:$C$1369,0)),"",INDEX('Compliance Database'!$J$2:$J$1369,MATCH(704,Engine!$C$2:$C$1369,0)))</f>
        <v/>
      </c>
      <c r="K717" s="9">
        <f>IF(ISNA(MATCH(704,Engine!$C$2:$C$1369,0)),"",INDEX('Compliance Database'!$K$2:$K$1369,MATCH(704,Engine!$C$2:$C$1369,0)))</f>
        <v/>
      </c>
      <c r="L717" s="9">
        <f>IF(ISNA(MATCH(704,Engine!$C$2:$C$1369,0)),"",INDEX('Compliance Database'!$L$2:$L$1369,MATCH(704,Engine!$C$2:$C$1369,0)))</f>
        <v/>
      </c>
      <c r="M717" s="9">
        <f>IF(ISNA(MATCH(704,Engine!$C$2:$C$1369,0)),"",INDEX('Compliance Database'!$M$2:$M$1369,MATCH(704,Engine!$C$2:$C$1369,0)))</f>
        <v/>
      </c>
      <c r="N717" s="9">
        <f>IF(ISNA(MATCH(704,Engine!$C$2:$C$1369,0)),"",INDEX('Compliance Database'!$N$2:$N$1369,MATCH(704,Engine!$C$2:$C$1369,0)))</f>
        <v/>
      </c>
      <c r="O717" s="8">
        <f>IF(ISNA(MATCH(704,Engine!$C$2:$C$1369,0)),"",HYPERLINK(INDEX('Compliance Database'!$O$2:$O$1369,MATCH(704,Engine!$C$2:$C$1369,0)),"Open PDF"))</f>
        <v/>
      </c>
    </row>
    <row r="718" ht="188" customHeight="1">
      <c r="A718" s="8">
        <f>IF(ISNA(MATCH(705,Engine!$C$2:$C$1369,0)),"",INDEX('Compliance Database'!$A$2:$A$1369,MATCH(705,Engine!$C$2:$C$1369,0)))</f>
        <v/>
      </c>
      <c r="B718" s="8">
        <f>IF(ISNA(MATCH(705,Engine!$C$2:$C$1369,0)),"",INDEX('Compliance Database'!$B$2:$B$1369,MATCH(705,Engine!$C$2:$C$1369,0)))</f>
        <v/>
      </c>
      <c r="C718" s="8">
        <f>IF(ISNA(MATCH(705,Engine!$C$2:$C$1369,0)),"",INDEX('Compliance Database'!$C$2:$C$1369,MATCH(705,Engine!$C$2:$C$1369,0)))</f>
        <v/>
      </c>
      <c r="D718" s="9">
        <f>IF(ISNA(MATCH(705,Engine!$C$2:$C$1369,0)),"",INDEX('Compliance Database'!$D$2:$D$1369,MATCH(705,Engine!$C$2:$C$1369,0)))</f>
        <v/>
      </c>
      <c r="E718" s="8">
        <f>IF(ISNA(MATCH(705,Engine!$C$2:$C$1369,0)),"",INDEX('Compliance Database'!$E$2:$E$1369,MATCH(705,Engine!$C$2:$C$1369,0)))</f>
        <v/>
      </c>
      <c r="F718" s="8">
        <f>IF(ISNA(MATCH(705,Engine!$C$2:$C$1369,0)),"",INDEX('Compliance Database'!$F$2:$F$1369,MATCH(705,Engine!$C$2:$C$1369,0)))</f>
        <v/>
      </c>
      <c r="G718" s="8">
        <f>IF(ISNA(MATCH(705,Engine!$C$2:$C$1369,0)),"",INDEX('Compliance Database'!$G$2:$G$1369,MATCH(705,Engine!$C$2:$C$1369,0)))</f>
        <v/>
      </c>
      <c r="H718" s="9">
        <f>IF(ISNA(MATCH(705,Engine!$C$2:$C$1369,0)),"",INDEX('Compliance Database'!$H$2:$H$1369,MATCH(705,Engine!$C$2:$C$1369,0)))</f>
        <v/>
      </c>
      <c r="I718" s="9">
        <f>IF(ISNA(MATCH(705,Engine!$C$2:$C$1369,0)),"",INDEX('Compliance Database'!$I$2:$I$1369,MATCH(705,Engine!$C$2:$C$1369,0)))</f>
        <v/>
      </c>
      <c r="J718" s="8">
        <f>IF(ISNA(MATCH(705,Engine!$C$2:$C$1369,0)),"",INDEX('Compliance Database'!$J$2:$J$1369,MATCH(705,Engine!$C$2:$C$1369,0)))</f>
        <v/>
      </c>
      <c r="K718" s="9">
        <f>IF(ISNA(MATCH(705,Engine!$C$2:$C$1369,0)),"",INDEX('Compliance Database'!$K$2:$K$1369,MATCH(705,Engine!$C$2:$C$1369,0)))</f>
        <v/>
      </c>
      <c r="L718" s="9">
        <f>IF(ISNA(MATCH(705,Engine!$C$2:$C$1369,0)),"",INDEX('Compliance Database'!$L$2:$L$1369,MATCH(705,Engine!$C$2:$C$1369,0)))</f>
        <v/>
      </c>
      <c r="M718" s="9">
        <f>IF(ISNA(MATCH(705,Engine!$C$2:$C$1369,0)),"",INDEX('Compliance Database'!$M$2:$M$1369,MATCH(705,Engine!$C$2:$C$1369,0)))</f>
        <v/>
      </c>
      <c r="N718" s="9">
        <f>IF(ISNA(MATCH(705,Engine!$C$2:$C$1369,0)),"",INDEX('Compliance Database'!$N$2:$N$1369,MATCH(705,Engine!$C$2:$C$1369,0)))</f>
        <v/>
      </c>
      <c r="O718" s="8">
        <f>IF(ISNA(MATCH(705,Engine!$C$2:$C$1369,0)),"",HYPERLINK(INDEX('Compliance Database'!$O$2:$O$1369,MATCH(705,Engine!$C$2:$C$1369,0)),"Open PDF"))</f>
        <v/>
      </c>
    </row>
    <row r="719" ht="188" customHeight="1">
      <c r="A719" s="8">
        <f>IF(ISNA(MATCH(706,Engine!$C$2:$C$1369,0)),"",INDEX('Compliance Database'!$A$2:$A$1369,MATCH(706,Engine!$C$2:$C$1369,0)))</f>
        <v/>
      </c>
      <c r="B719" s="8">
        <f>IF(ISNA(MATCH(706,Engine!$C$2:$C$1369,0)),"",INDEX('Compliance Database'!$B$2:$B$1369,MATCH(706,Engine!$C$2:$C$1369,0)))</f>
        <v/>
      </c>
      <c r="C719" s="8">
        <f>IF(ISNA(MATCH(706,Engine!$C$2:$C$1369,0)),"",INDEX('Compliance Database'!$C$2:$C$1369,MATCH(706,Engine!$C$2:$C$1369,0)))</f>
        <v/>
      </c>
      <c r="D719" s="9">
        <f>IF(ISNA(MATCH(706,Engine!$C$2:$C$1369,0)),"",INDEX('Compliance Database'!$D$2:$D$1369,MATCH(706,Engine!$C$2:$C$1369,0)))</f>
        <v/>
      </c>
      <c r="E719" s="8">
        <f>IF(ISNA(MATCH(706,Engine!$C$2:$C$1369,0)),"",INDEX('Compliance Database'!$E$2:$E$1369,MATCH(706,Engine!$C$2:$C$1369,0)))</f>
        <v/>
      </c>
      <c r="F719" s="8">
        <f>IF(ISNA(MATCH(706,Engine!$C$2:$C$1369,0)),"",INDEX('Compliance Database'!$F$2:$F$1369,MATCH(706,Engine!$C$2:$C$1369,0)))</f>
        <v/>
      </c>
      <c r="G719" s="8">
        <f>IF(ISNA(MATCH(706,Engine!$C$2:$C$1369,0)),"",INDEX('Compliance Database'!$G$2:$G$1369,MATCH(706,Engine!$C$2:$C$1369,0)))</f>
        <v/>
      </c>
      <c r="H719" s="9">
        <f>IF(ISNA(MATCH(706,Engine!$C$2:$C$1369,0)),"",INDEX('Compliance Database'!$H$2:$H$1369,MATCH(706,Engine!$C$2:$C$1369,0)))</f>
        <v/>
      </c>
      <c r="I719" s="9">
        <f>IF(ISNA(MATCH(706,Engine!$C$2:$C$1369,0)),"",INDEX('Compliance Database'!$I$2:$I$1369,MATCH(706,Engine!$C$2:$C$1369,0)))</f>
        <v/>
      </c>
      <c r="J719" s="8">
        <f>IF(ISNA(MATCH(706,Engine!$C$2:$C$1369,0)),"",INDEX('Compliance Database'!$J$2:$J$1369,MATCH(706,Engine!$C$2:$C$1369,0)))</f>
        <v/>
      </c>
      <c r="K719" s="9">
        <f>IF(ISNA(MATCH(706,Engine!$C$2:$C$1369,0)),"",INDEX('Compliance Database'!$K$2:$K$1369,MATCH(706,Engine!$C$2:$C$1369,0)))</f>
        <v/>
      </c>
      <c r="L719" s="9">
        <f>IF(ISNA(MATCH(706,Engine!$C$2:$C$1369,0)),"",INDEX('Compliance Database'!$L$2:$L$1369,MATCH(706,Engine!$C$2:$C$1369,0)))</f>
        <v/>
      </c>
      <c r="M719" s="9">
        <f>IF(ISNA(MATCH(706,Engine!$C$2:$C$1369,0)),"",INDEX('Compliance Database'!$M$2:$M$1369,MATCH(706,Engine!$C$2:$C$1369,0)))</f>
        <v/>
      </c>
      <c r="N719" s="9">
        <f>IF(ISNA(MATCH(706,Engine!$C$2:$C$1369,0)),"",INDEX('Compliance Database'!$N$2:$N$1369,MATCH(706,Engine!$C$2:$C$1369,0)))</f>
        <v/>
      </c>
      <c r="O719" s="8">
        <f>IF(ISNA(MATCH(706,Engine!$C$2:$C$1369,0)),"",HYPERLINK(INDEX('Compliance Database'!$O$2:$O$1369,MATCH(706,Engine!$C$2:$C$1369,0)),"Open PDF"))</f>
        <v/>
      </c>
    </row>
    <row r="720" ht="188" customHeight="1">
      <c r="A720" s="8">
        <f>IF(ISNA(MATCH(707,Engine!$C$2:$C$1369,0)),"",INDEX('Compliance Database'!$A$2:$A$1369,MATCH(707,Engine!$C$2:$C$1369,0)))</f>
        <v/>
      </c>
      <c r="B720" s="8">
        <f>IF(ISNA(MATCH(707,Engine!$C$2:$C$1369,0)),"",INDEX('Compliance Database'!$B$2:$B$1369,MATCH(707,Engine!$C$2:$C$1369,0)))</f>
        <v/>
      </c>
      <c r="C720" s="8">
        <f>IF(ISNA(MATCH(707,Engine!$C$2:$C$1369,0)),"",INDEX('Compliance Database'!$C$2:$C$1369,MATCH(707,Engine!$C$2:$C$1369,0)))</f>
        <v/>
      </c>
      <c r="D720" s="9">
        <f>IF(ISNA(MATCH(707,Engine!$C$2:$C$1369,0)),"",INDEX('Compliance Database'!$D$2:$D$1369,MATCH(707,Engine!$C$2:$C$1369,0)))</f>
        <v/>
      </c>
      <c r="E720" s="8">
        <f>IF(ISNA(MATCH(707,Engine!$C$2:$C$1369,0)),"",INDEX('Compliance Database'!$E$2:$E$1369,MATCH(707,Engine!$C$2:$C$1369,0)))</f>
        <v/>
      </c>
      <c r="F720" s="8">
        <f>IF(ISNA(MATCH(707,Engine!$C$2:$C$1369,0)),"",INDEX('Compliance Database'!$F$2:$F$1369,MATCH(707,Engine!$C$2:$C$1369,0)))</f>
        <v/>
      </c>
      <c r="G720" s="8">
        <f>IF(ISNA(MATCH(707,Engine!$C$2:$C$1369,0)),"",INDEX('Compliance Database'!$G$2:$G$1369,MATCH(707,Engine!$C$2:$C$1369,0)))</f>
        <v/>
      </c>
      <c r="H720" s="9">
        <f>IF(ISNA(MATCH(707,Engine!$C$2:$C$1369,0)),"",INDEX('Compliance Database'!$H$2:$H$1369,MATCH(707,Engine!$C$2:$C$1369,0)))</f>
        <v/>
      </c>
      <c r="I720" s="9">
        <f>IF(ISNA(MATCH(707,Engine!$C$2:$C$1369,0)),"",INDEX('Compliance Database'!$I$2:$I$1369,MATCH(707,Engine!$C$2:$C$1369,0)))</f>
        <v/>
      </c>
      <c r="J720" s="8">
        <f>IF(ISNA(MATCH(707,Engine!$C$2:$C$1369,0)),"",INDEX('Compliance Database'!$J$2:$J$1369,MATCH(707,Engine!$C$2:$C$1369,0)))</f>
        <v/>
      </c>
      <c r="K720" s="9">
        <f>IF(ISNA(MATCH(707,Engine!$C$2:$C$1369,0)),"",INDEX('Compliance Database'!$K$2:$K$1369,MATCH(707,Engine!$C$2:$C$1369,0)))</f>
        <v/>
      </c>
      <c r="L720" s="9">
        <f>IF(ISNA(MATCH(707,Engine!$C$2:$C$1369,0)),"",INDEX('Compliance Database'!$L$2:$L$1369,MATCH(707,Engine!$C$2:$C$1369,0)))</f>
        <v/>
      </c>
      <c r="M720" s="9">
        <f>IF(ISNA(MATCH(707,Engine!$C$2:$C$1369,0)),"",INDEX('Compliance Database'!$M$2:$M$1369,MATCH(707,Engine!$C$2:$C$1369,0)))</f>
        <v/>
      </c>
      <c r="N720" s="9">
        <f>IF(ISNA(MATCH(707,Engine!$C$2:$C$1369,0)),"",INDEX('Compliance Database'!$N$2:$N$1369,MATCH(707,Engine!$C$2:$C$1369,0)))</f>
        <v/>
      </c>
      <c r="O720" s="8">
        <f>IF(ISNA(MATCH(707,Engine!$C$2:$C$1369,0)),"",HYPERLINK(INDEX('Compliance Database'!$O$2:$O$1369,MATCH(707,Engine!$C$2:$C$1369,0)),"Open PDF"))</f>
        <v/>
      </c>
    </row>
    <row r="721" ht="188" customHeight="1">
      <c r="A721" s="8">
        <f>IF(ISNA(MATCH(708,Engine!$C$2:$C$1369,0)),"",INDEX('Compliance Database'!$A$2:$A$1369,MATCH(708,Engine!$C$2:$C$1369,0)))</f>
        <v/>
      </c>
      <c r="B721" s="8">
        <f>IF(ISNA(MATCH(708,Engine!$C$2:$C$1369,0)),"",INDEX('Compliance Database'!$B$2:$B$1369,MATCH(708,Engine!$C$2:$C$1369,0)))</f>
        <v/>
      </c>
      <c r="C721" s="8">
        <f>IF(ISNA(MATCH(708,Engine!$C$2:$C$1369,0)),"",INDEX('Compliance Database'!$C$2:$C$1369,MATCH(708,Engine!$C$2:$C$1369,0)))</f>
        <v/>
      </c>
      <c r="D721" s="9">
        <f>IF(ISNA(MATCH(708,Engine!$C$2:$C$1369,0)),"",INDEX('Compliance Database'!$D$2:$D$1369,MATCH(708,Engine!$C$2:$C$1369,0)))</f>
        <v/>
      </c>
      <c r="E721" s="8">
        <f>IF(ISNA(MATCH(708,Engine!$C$2:$C$1369,0)),"",INDEX('Compliance Database'!$E$2:$E$1369,MATCH(708,Engine!$C$2:$C$1369,0)))</f>
        <v/>
      </c>
      <c r="F721" s="8">
        <f>IF(ISNA(MATCH(708,Engine!$C$2:$C$1369,0)),"",INDEX('Compliance Database'!$F$2:$F$1369,MATCH(708,Engine!$C$2:$C$1369,0)))</f>
        <v/>
      </c>
      <c r="G721" s="8">
        <f>IF(ISNA(MATCH(708,Engine!$C$2:$C$1369,0)),"",INDEX('Compliance Database'!$G$2:$G$1369,MATCH(708,Engine!$C$2:$C$1369,0)))</f>
        <v/>
      </c>
      <c r="H721" s="9">
        <f>IF(ISNA(MATCH(708,Engine!$C$2:$C$1369,0)),"",INDEX('Compliance Database'!$H$2:$H$1369,MATCH(708,Engine!$C$2:$C$1369,0)))</f>
        <v/>
      </c>
      <c r="I721" s="9">
        <f>IF(ISNA(MATCH(708,Engine!$C$2:$C$1369,0)),"",INDEX('Compliance Database'!$I$2:$I$1369,MATCH(708,Engine!$C$2:$C$1369,0)))</f>
        <v/>
      </c>
      <c r="J721" s="8">
        <f>IF(ISNA(MATCH(708,Engine!$C$2:$C$1369,0)),"",INDEX('Compliance Database'!$J$2:$J$1369,MATCH(708,Engine!$C$2:$C$1369,0)))</f>
        <v/>
      </c>
      <c r="K721" s="9">
        <f>IF(ISNA(MATCH(708,Engine!$C$2:$C$1369,0)),"",INDEX('Compliance Database'!$K$2:$K$1369,MATCH(708,Engine!$C$2:$C$1369,0)))</f>
        <v/>
      </c>
      <c r="L721" s="9">
        <f>IF(ISNA(MATCH(708,Engine!$C$2:$C$1369,0)),"",INDEX('Compliance Database'!$L$2:$L$1369,MATCH(708,Engine!$C$2:$C$1369,0)))</f>
        <v/>
      </c>
      <c r="M721" s="9">
        <f>IF(ISNA(MATCH(708,Engine!$C$2:$C$1369,0)),"",INDEX('Compliance Database'!$M$2:$M$1369,MATCH(708,Engine!$C$2:$C$1369,0)))</f>
        <v/>
      </c>
      <c r="N721" s="9">
        <f>IF(ISNA(MATCH(708,Engine!$C$2:$C$1369,0)),"",INDEX('Compliance Database'!$N$2:$N$1369,MATCH(708,Engine!$C$2:$C$1369,0)))</f>
        <v/>
      </c>
      <c r="O721" s="8">
        <f>IF(ISNA(MATCH(708,Engine!$C$2:$C$1369,0)),"",HYPERLINK(INDEX('Compliance Database'!$O$2:$O$1369,MATCH(708,Engine!$C$2:$C$1369,0)),"Open PDF"))</f>
        <v/>
      </c>
    </row>
    <row r="722" ht="188" customHeight="1">
      <c r="A722" s="8">
        <f>IF(ISNA(MATCH(709,Engine!$C$2:$C$1369,0)),"",INDEX('Compliance Database'!$A$2:$A$1369,MATCH(709,Engine!$C$2:$C$1369,0)))</f>
        <v/>
      </c>
      <c r="B722" s="8">
        <f>IF(ISNA(MATCH(709,Engine!$C$2:$C$1369,0)),"",INDEX('Compliance Database'!$B$2:$B$1369,MATCH(709,Engine!$C$2:$C$1369,0)))</f>
        <v/>
      </c>
      <c r="C722" s="8">
        <f>IF(ISNA(MATCH(709,Engine!$C$2:$C$1369,0)),"",INDEX('Compliance Database'!$C$2:$C$1369,MATCH(709,Engine!$C$2:$C$1369,0)))</f>
        <v/>
      </c>
      <c r="D722" s="9">
        <f>IF(ISNA(MATCH(709,Engine!$C$2:$C$1369,0)),"",INDEX('Compliance Database'!$D$2:$D$1369,MATCH(709,Engine!$C$2:$C$1369,0)))</f>
        <v/>
      </c>
      <c r="E722" s="8">
        <f>IF(ISNA(MATCH(709,Engine!$C$2:$C$1369,0)),"",INDEX('Compliance Database'!$E$2:$E$1369,MATCH(709,Engine!$C$2:$C$1369,0)))</f>
        <v/>
      </c>
      <c r="F722" s="8">
        <f>IF(ISNA(MATCH(709,Engine!$C$2:$C$1369,0)),"",INDEX('Compliance Database'!$F$2:$F$1369,MATCH(709,Engine!$C$2:$C$1369,0)))</f>
        <v/>
      </c>
      <c r="G722" s="8">
        <f>IF(ISNA(MATCH(709,Engine!$C$2:$C$1369,0)),"",INDEX('Compliance Database'!$G$2:$G$1369,MATCH(709,Engine!$C$2:$C$1369,0)))</f>
        <v/>
      </c>
      <c r="H722" s="9">
        <f>IF(ISNA(MATCH(709,Engine!$C$2:$C$1369,0)),"",INDEX('Compliance Database'!$H$2:$H$1369,MATCH(709,Engine!$C$2:$C$1369,0)))</f>
        <v/>
      </c>
      <c r="I722" s="9">
        <f>IF(ISNA(MATCH(709,Engine!$C$2:$C$1369,0)),"",INDEX('Compliance Database'!$I$2:$I$1369,MATCH(709,Engine!$C$2:$C$1369,0)))</f>
        <v/>
      </c>
      <c r="J722" s="8">
        <f>IF(ISNA(MATCH(709,Engine!$C$2:$C$1369,0)),"",INDEX('Compliance Database'!$J$2:$J$1369,MATCH(709,Engine!$C$2:$C$1369,0)))</f>
        <v/>
      </c>
      <c r="K722" s="9">
        <f>IF(ISNA(MATCH(709,Engine!$C$2:$C$1369,0)),"",INDEX('Compliance Database'!$K$2:$K$1369,MATCH(709,Engine!$C$2:$C$1369,0)))</f>
        <v/>
      </c>
      <c r="L722" s="9">
        <f>IF(ISNA(MATCH(709,Engine!$C$2:$C$1369,0)),"",INDEX('Compliance Database'!$L$2:$L$1369,MATCH(709,Engine!$C$2:$C$1369,0)))</f>
        <v/>
      </c>
      <c r="M722" s="9">
        <f>IF(ISNA(MATCH(709,Engine!$C$2:$C$1369,0)),"",INDEX('Compliance Database'!$M$2:$M$1369,MATCH(709,Engine!$C$2:$C$1369,0)))</f>
        <v/>
      </c>
      <c r="N722" s="9">
        <f>IF(ISNA(MATCH(709,Engine!$C$2:$C$1369,0)),"",INDEX('Compliance Database'!$N$2:$N$1369,MATCH(709,Engine!$C$2:$C$1369,0)))</f>
        <v/>
      </c>
      <c r="O722" s="8">
        <f>IF(ISNA(MATCH(709,Engine!$C$2:$C$1369,0)),"",HYPERLINK(INDEX('Compliance Database'!$O$2:$O$1369,MATCH(709,Engine!$C$2:$C$1369,0)),"Open PDF"))</f>
        <v/>
      </c>
    </row>
    <row r="723" ht="188" customHeight="1">
      <c r="A723" s="8">
        <f>IF(ISNA(MATCH(710,Engine!$C$2:$C$1369,0)),"",INDEX('Compliance Database'!$A$2:$A$1369,MATCH(710,Engine!$C$2:$C$1369,0)))</f>
        <v/>
      </c>
      <c r="B723" s="8">
        <f>IF(ISNA(MATCH(710,Engine!$C$2:$C$1369,0)),"",INDEX('Compliance Database'!$B$2:$B$1369,MATCH(710,Engine!$C$2:$C$1369,0)))</f>
        <v/>
      </c>
      <c r="C723" s="8">
        <f>IF(ISNA(MATCH(710,Engine!$C$2:$C$1369,0)),"",INDEX('Compliance Database'!$C$2:$C$1369,MATCH(710,Engine!$C$2:$C$1369,0)))</f>
        <v/>
      </c>
      <c r="D723" s="9">
        <f>IF(ISNA(MATCH(710,Engine!$C$2:$C$1369,0)),"",INDEX('Compliance Database'!$D$2:$D$1369,MATCH(710,Engine!$C$2:$C$1369,0)))</f>
        <v/>
      </c>
      <c r="E723" s="8">
        <f>IF(ISNA(MATCH(710,Engine!$C$2:$C$1369,0)),"",INDEX('Compliance Database'!$E$2:$E$1369,MATCH(710,Engine!$C$2:$C$1369,0)))</f>
        <v/>
      </c>
      <c r="F723" s="8">
        <f>IF(ISNA(MATCH(710,Engine!$C$2:$C$1369,0)),"",INDEX('Compliance Database'!$F$2:$F$1369,MATCH(710,Engine!$C$2:$C$1369,0)))</f>
        <v/>
      </c>
      <c r="G723" s="8">
        <f>IF(ISNA(MATCH(710,Engine!$C$2:$C$1369,0)),"",INDEX('Compliance Database'!$G$2:$G$1369,MATCH(710,Engine!$C$2:$C$1369,0)))</f>
        <v/>
      </c>
      <c r="H723" s="9">
        <f>IF(ISNA(MATCH(710,Engine!$C$2:$C$1369,0)),"",INDEX('Compliance Database'!$H$2:$H$1369,MATCH(710,Engine!$C$2:$C$1369,0)))</f>
        <v/>
      </c>
      <c r="I723" s="9">
        <f>IF(ISNA(MATCH(710,Engine!$C$2:$C$1369,0)),"",INDEX('Compliance Database'!$I$2:$I$1369,MATCH(710,Engine!$C$2:$C$1369,0)))</f>
        <v/>
      </c>
      <c r="J723" s="8">
        <f>IF(ISNA(MATCH(710,Engine!$C$2:$C$1369,0)),"",INDEX('Compliance Database'!$J$2:$J$1369,MATCH(710,Engine!$C$2:$C$1369,0)))</f>
        <v/>
      </c>
      <c r="K723" s="9">
        <f>IF(ISNA(MATCH(710,Engine!$C$2:$C$1369,0)),"",INDEX('Compliance Database'!$K$2:$K$1369,MATCH(710,Engine!$C$2:$C$1369,0)))</f>
        <v/>
      </c>
      <c r="L723" s="9">
        <f>IF(ISNA(MATCH(710,Engine!$C$2:$C$1369,0)),"",INDEX('Compliance Database'!$L$2:$L$1369,MATCH(710,Engine!$C$2:$C$1369,0)))</f>
        <v/>
      </c>
      <c r="M723" s="9">
        <f>IF(ISNA(MATCH(710,Engine!$C$2:$C$1369,0)),"",INDEX('Compliance Database'!$M$2:$M$1369,MATCH(710,Engine!$C$2:$C$1369,0)))</f>
        <v/>
      </c>
      <c r="N723" s="9">
        <f>IF(ISNA(MATCH(710,Engine!$C$2:$C$1369,0)),"",INDEX('Compliance Database'!$N$2:$N$1369,MATCH(710,Engine!$C$2:$C$1369,0)))</f>
        <v/>
      </c>
      <c r="O723" s="8">
        <f>IF(ISNA(MATCH(710,Engine!$C$2:$C$1369,0)),"",HYPERLINK(INDEX('Compliance Database'!$O$2:$O$1369,MATCH(710,Engine!$C$2:$C$1369,0)),"Open PDF"))</f>
        <v/>
      </c>
    </row>
    <row r="724" ht="188" customHeight="1">
      <c r="A724" s="8">
        <f>IF(ISNA(MATCH(711,Engine!$C$2:$C$1369,0)),"",INDEX('Compliance Database'!$A$2:$A$1369,MATCH(711,Engine!$C$2:$C$1369,0)))</f>
        <v/>
      </c>
      <c r="B724" s="8">
        <f>IF(ISNA(MATCH(711,Engine!$C$2:$C$1369,0)),"",INDEX('Compliance Database'!$B$2:$B$1369,MATCH(711,Engine!$C$2:$C$1369,0)))</f>
        <v/>
      </c>
      <c r="C724" s="8">
        <f>IF(ISNA(MATCH(711,Engine!$C$2:$C$1369,0)),"",INDEX('Compliance Database'!$C$2:$C$1369,MATCH(711,Engine!$C$2:$C$1369,0)))</f>
        <v/>
      </c>
      <c r="D724" s="9">
        <f>IF(ISNA(MATCH(711,Engine!$C$2:$C$1369,0)),"",INDEX('Compliance Database'!$D$2:$D$1369,MATCH(711,Engine!$C$2:$C$1369,0)))</f>
        <v/>
      </c>
      <c r="E724" s="8">
        <f>IF(ISNA(MATCH(711,Engine!$C$2:$C$1369,0)),"",INDEX('Compliance Database'!$E$2:$E$1369,MATCH(711,Engine!$C$2:$C$1369,0)))</f>
        <v/>
      </c>
      <c r="F724" s="8">
        <f>IF(ISNA(MATCH(711,Engine!$C$2:$C$1369,0)),"",INDEX('Compliance Database'!$F$2:$F$1369,MATCH(711,Engine!$C$2:$C$1369,0)))</f>
        <v/>
      </c>
      <c r="G724" s="8">
        <f>IF(ISNA(MATCH(711,Engine!$C$2:$C$1369,0)),"",INDEX('Compliance Database'!$G$2:$G$1369,MATCH(711,Engine!$C$2:$C$1369,0)))</f>
        <v/>
      </c>
      <c r="H724" s="9">
        <f>IF(ISNA(MATCH(711,Engine!$C$2:$C$1369,0)),"",INDEX('Compliance Database'!$H$2:$H$1369,MATCH(711,Engine!$C$2:$C$1369,0)))</f>
        <v/>
      </c>
      <c r="I724" s="9">
        <f>IF(ISNA(MATCH(711,Engine!$C$2:$C$1369,0)),"",INDEX('Compliance Database'!$I$2:$I$1369,MATCH(711,Engine!$C$2:$C$1369,0)))</f>
        <v/>
      </c>
      <c r="J724" s="8">
        <f>IF(ISNA(MATCH(711,Engine!$C$2:$C$1369,0)),"",INDEX('Compliance Database'!$J$2:$J$1369,MATCH(711,Engine!$C$2:$C$1369,0)))</f>
        <v/>
      </c>
      <c r="K724" s="9">
        <f>IF(ISNA(MATCH(711,Engine!$C$2:$C$1369,0)),"",INDEX('Compliance Database'!$K$2:$K$1369,MATCH(711,Engine!$C$2:$C$1369,0)))</f>
        <v/>
      </c>
      <c r="L724" s="9">
        <f>IF(ISNA(MATCH(711,Engine!$C$2:$C$1369,0)),"",INDEX('Compliance Database'!$L$2:$L$1369,MATCH(711,Engine!$C$2:$C$1369,0)))</f>
        <v/>
      </c>
      <c r="M724" s="9">
        <f>IF(ISNA(MATCH(711,Engine!$C$2:$C$1369,0)),"",INDEX('Compliance Database'!$M$2:$M$1369,MATCH(711,Engine!$C$2:$C$1369,0)))</f>
        <v/>
      </c>
      <c r="N724" s="9">
        <f>IF(ISNA(MATCH(711,Engine!$C$2:$C$1369,0)),"",INDEX('Compliance Database'!$N$2:$N$1369,MATCH(711,Engine!$C$2:$C$1369,0)))</f>
        <v/>
      </c>
      <c r="O724" s="8">
        <f>IF(ISNA(MATCH(711,Engine!$C$2:$C$1369,0)),"",HYPERLINK(INDEX('Compliance Database'!$O$2:$O$1369,MATCH(711,Engine!$C$2:$C$1369,0)),"Open PDF"))</f>
        <v/>
      </c>
    </row>
    <row r="725" ht="188" customHeight="1">
      <c r="A725" s="8">
        <f>IF(ISNA(MATCH(712,Engine!$C$2:$C$1369,0)),"",INDEX('Compliance Database'!$A$2:$A$1369,MATCH(712,Engine!$C$2:$C$1369,0)))</f>
        <v/>
      </c>
      <c r="B725" s="8">
        <f>IF(ISNA(MATCH(712,Engine!$C$2:$C$1369,0)),"",INDEX('Compliance Database'!$B$2:$B$1369,MATCH(712,Engine!$C$2:$C$1369,0)))</f>
        <v/>
      </c>
      <c r="C725" s="8">
        <f>IF(ISNA(MATCH(712,Engine!$C$2:$C$1369,0)),"",INDEX('Compliance Database'!$C$2:$C$1369,MATCH(712,Engine!$C$2:$C$1369,0)))</f>
        <v/>
      </c>
      <c r="D725" s="9">
        <f>IF(ISNA(MATCH(712,Engine!$C$2:$C$1369,0)),"",INDEX('Compliance Database'!$D$2:$D$1369,MATCH(712,Engine!$C$2:$C$1369,0)))</f>
        <v/>
      </c>
      <c r="E725" s="8">
        <f>IF(ISNA(MATCH(712,Engine!$C$2:$C$1369,0)),"",INDEX('Compliance Database'!$E$2:$E$1369,MATCH(712,Engine!$C$2:$C$1369,0)))</f>
        <v/>
      </c>
      <c r="F725" s="8">
        <f>IF(ISNA(MATCH(712,Engine!$C$2:$C$1369,0)),"",INDEX('Compliance Database'!$F$2:$F$1369,MATCH(712,Engine!$C$2:$C$1369,0)))</f>
        <v/>
      </c>
      <c r="G725" s="8">
        <f>IF(ISNA(MATCH(712,Engine!$C$2:$C$1369,0)),"",INDEX('Compliance Database'!$G$2:$G$1369,MATCH(712,Engine!$C$2:$C$1369,0)))</f>
        <v/>
      </c>
      <c r="H725" s="9">
        <f>IF(ISNA(MATCH(712,Engine!$C$2:$C$1369,0)),"",INDEX('Compliance Database'!$H$2:$H$1369,MATCH(712,Engine!$C$2:$C$1369,0)))</f>
        <v/>
      </c>
      <c r="I725" s="9">
        <f>IF(ISNA(MATCH(712,Engine!$C$2:$C$1369,0)),"",INDEX('Compliance Database'!$I$2:$I$1369,MATCH(712,Engine!$C$2:$C$1369,0)))</f>
        <v/>
      </c>
      <c r="J725" s="8">
        <f>IF(ISNA(MATCH(712,Engine!$C$2:$C$1369,0)),"",INDEX('Compliance Database'!$J$2:$J$1369,MATCH(712,Engine!$C$2:$C$1369,0)))</f>
        <v/>
      </c>
      <c r="K725" s="9">
        <f>IF(ISNA(MATCH(712,Engine!$C$2:$C$1369,0)),"",INDEX('Compliance Database'!$K$2:$K$1369,MATCH(712,Engine!$C$2:$C$1369,0)))</f>
        <v/>
      </c>
      <c r="L725" s="9">
        <f>IF(ISNA(MATCH(712,Engine!$C$2:$C$1369,0)),"",INDEX('Compliance Database'!$L$2:$L$1369,MATCH(712,Engine!$C$2:$C$1369,0)))</f>
        <v/>
      </c>
      <c r="M725" s="9">
        <f>IF(ISNA(MATCH(712,Engine!$C$2:$C$1369,0)),"",INDEX('Compliance Database'!$M$2:$M$1369,MATCH(712,Engine!$C$2:$C$1369,0)))</f>
        <v/>
      </c>
      <c r="N725" s="9">
        <f>IF(ISNA(MATCH(712,Engine!$C$2:$C$1369,0)),"",INDEX('Compliance Database'!$N$2:$N$1369,MATCH(712,Engine!$C$2:$C$1369,0)))</f>
        <v/>
      </c>
      <c r="O725" s="8">
        <f>IF(ISNA(MATCH(712,Engine!$C$2:$C$1369,0)),"",HYPERLINK(INDEX('Compliance Database'!$O$2:$O$1369,MATCH(712,Engine!$C$2:$C$1369,0)),"Open PDF"))</f>
        <v/>
      </c>
    </row>
    <row r="726" ht="188" customHeight="1">
      <c r="A726" s="8">
        <f>IF(ISNA(MATCH(713,Engine!$C$2:$C$1369,0)),"",INDEX('Compliance Database'!$A$2:$A$1369,MATCH(713,Engine!$C$2:$C$1369,0)))</f>
        <v/>
      </c>
      <c r="B726" s="8">
        <f>IF(ISNA(MATCH(713,Engine!$C$2:$C$1369,0)),"",INDEX('Compliance Database'!$B$2:$B$1369,MATCH(713,Engine!$C$2:$C$1369,0)))</f>
        <v/>
      </c>
      <c r="C726" s="8">
        <f>IF(ISNA(MATCH(713,Engine!$C$2:$C$1369,0)),"",INDEX('Compliance Database'!$C$2:$C$1369,MATCH(713,Engine!$C$2:$C$1369,0)))</f>
        <v/>
      </c>
      <c r="D726" s="9">
        <f>IF(ISNA(MATCH(713,Engine!$C$2:$C$1369,0)),"",INDEX('Compliance Database'!$D$2:$D$1369,MATCH(713,Engine!$C$2:$C$1369,0)))</f>
        <v/>
      </c>
      <c r="E726" s="8">
        <f>IF(ISNA(MATCH(713,Engine!$C$2:$C$1369,0)),"",INDEX('Compliance Database'!$E$2:$E$1369,MATCH(713,Engine!$C$2:$C$1369,0)))</f>
        <v/>
      </c>
      <c r="F726" s="8">
        <f>IF(ISNA(MATCH(713,Engine!$C$2:$C$1369,0)),"",INDEX('Compliance Database'!$F$2:$F$1369,MATCH(713,Engine!$C$2:$C$1369,0)))</f>
        <v/>
      </c>
      <c r="G726" s="8">
        <f>IF(ISNA(MATCH(713,Engine!$C$2:$C$1369,0)),"",INDEX('Compliance Database'!$G$2:$G$1369,MATCH(713,Engine!$C$2:$C$1369,0)))</f>
        <v/>
      </c>
      <c r="H726" s="9">
        <f>IF(ISNA(MATCH(713,Engine!$C$2:$C$1369,0)),"",INDEX('Compliance Database'!$H$2:$H$1369,MATCH(713,Engine!$C$2:$C$1369,0)))</f>
        <v/>
      </c>
      <c r="I726" s="9">
        <f>IF(ISNA(MATCH(713,Engine!$C$2:$C$1369,0)),"",INDEX('Compliance Database'!$I$2:$I$1369,MATCH(713,Engine!$C$2:$C$1369,0)))</f>
        <v/>
      </c>
      <c r="J726" s="8">
        <f>IF(ISNA(MATCH(713,Engine!$C$2:$C$1369,0)),"",INDEX('Compliance Database'!$J$2:$J$1369,MATCH(713,Engine!$C$2:$C$1369,0)))</f>
        <v/>
      </c>
      <c r="K726" s="9">
        <f>IF(ISNA(MATCH(713,Engine!$C$2:$C$1369,0)),"",INDEX('Compliance Database'!$K$2:$K$1369,MATCH(713,Engine!$C$2:$C$1369,0)))</f>
        <v/>
      </c>
      <c r="L726" s="9">
        <f>IF(ISNA(MATCH(713,Engine!$C$2:$C$1369,0)),"",INDEX('Compliance Database'!$L$2:$L$1369,MATCH(713,Engine!$C$2:$C$1369,0)))</f>
        <v/>
      </c>
      <c r="M726" s="9">
        <f>IF(ISNA(MATCH(713,Engine!$C$2:$C$1369,0)),"",INDEX('Compliance Database'!$M$2:$M$1369,MATCH(713,Engine!$C$2:$C$1369,0)))</f>
        <v/>
      </c>
      <c r="N726" s="9">
        <f>IF(ISNA(MATCH(713,Engine!$C$2:$C$1369,0)),"",INDEX('Compliance Database'!$N$2:$N$1369,MATCH(713,Engine!$C$2:$C$1369,0)))</f>
        <v/>
      </c>
      <c r="O726" s="8">
        <f>IF(ISNA(MATCH(713,Engine!$C$2:$C$1369,0)),"",HYPERLINK(INDEX('Compliance Database'!$O$2:$O$1369,MATCH(713,Engine!$C$2:$C$1369,0)),"Open PDF"))</f>
        <v/>
      </c>
    </row>
    <row r="727" ht="188" customHeight="1">
      <c r="A727" s="8">
        <f>IF(ISNA(MATCH(714,Engine!$C$2:$C$1369,0)),"",INDEX('Compliance Database'!$A$2:$A$1369,MATCH(714,Engine!$C$2:$C$1369,0)))</f>
        <v/>
      </c>
      <c r="B727" s="8">
        <f>IF(ISNA(MATCH(714,Engine!$C$2:$C$1369,0)),"",INDEX('Compliance Database'!$B$2:$B$1369,MATCH(714,Engine!$C$2:$C$1369,0)))</f>
        <v/>
      </c>
      <c r="C727" s="8">
        <f>IF(ISNA(MATCH(714,Engine!$C$2:$C$1369,0)),"",INDEX('Compliance Database'!$C$2:$C$1369,MATCH(714,Engine!$C$2:$C$1369,0)))</f>
        <v/>
      </c>
      <c r="D727" s="9">
        <f>IF(ISNA(MATCH(714,Engine!$C$2:$C$1369,0)),"",INDEX('Compliance Database'!$D$2:$D$1369,MATCH(714,Engine!$C$2:$C$1369,0)))</f>
        <v/>
      </c>
      <c r="E727" s="8">
        <f>IF(ISNA(MATCH(714,Engine!$C$2:$C$1369,0)),"",INDEX('Compliance Database'!$E$2:$E$1369,MATCH(714,Engine!$C$2:$C$1369,0)))</f>
        <v/>
      </c>
      <c r="F727" s="8">
        <f>IF(ISNA(MATCH(714,Engine!$C$2:$C$1369,0)),"",INDEX('Compliance Database'!$F$2:$F$1369,MATCH(714,Engine!$C$2:$C$1369,0)))</f>
        <v/>
      </c>
      <c r="G727" s="8">
        <f>IF(ISNA(MATCH(714,Engine!$C$2:$C$1369,0)),"",INDEX('Compliance Database'!$G$2:$G$1369,MATCH(714,Engine!$C$2:$C$1369,0)))</f>
        <v/>
      </c>
      <c r="H727" s="9">
        <f>IF(ISNA(MATCH(714,Engine!$C$2:$C$1369,0)),"",INDEX('Compliance Database'!$H$2:$H$1369,MATCH(714,Engine!$C$2:$C$1369,0)))</f>
        <v/>
      </c>
      <c r="I727" s="9">
        <f>IF(ISNA(MATCH(714,Engine!$C$2:$C$1369,0)),"",INDEX('Compliance Database'!$I$2:$I$1369,MATCH(714,Engine!$C$2:$C$1369,0)))</f>
        <v/>
      </c>
      <c r="J727" s="8">
        <f>IF(ISNA(MATCH(714,Engine!$C$2:$C$1369,0)),"",INDEX('Compliance Database'!$J$2:$J$1369,MATCH(714,Engine!$C$2:$C$1369,0)))</f>
        <v/>
      </c>
      <c r="K727" s="9">
        <f>IF(ISNA(MATCH(714,Engine!$C$2:$C$1369,0)),"",INDEX('Compliance Database'!$K$2:$K$1369,MATCH(714,Engine!$C$2:$C$1369,0)))</f>
        <v/>
      </c>
      <c r="L727" s="9">
        <f>IF(ISNA(MATCH(714,Engine!$C$2:$C$1369,0)),"",INDEX('Compliance Database'!$L$2:$L$1369,MATCH(714,Engine!$C$2:$C$1369,0)))</f>
        <v/>
      </c>
      <c r="M727" s="9">
        <f>IF(ISNA(MATCH(714,Engine!$C$2:$C$1369,0)),"",INDEX('Compliance Database'!$M$2:$M$1369,MATCH(714,Engine!$C$2:$C$1369,0)))</f>
        <v/>
      </c>
      <c r="N727" s="9">
        <f>IF(ISNA(MATCH(714,Engine!$C$2:$C$1369,0)),"",INDEX('Compliance Database'!$N$2:$N$1369,MATCH(714,Engine!$C$2:$C$1369,0)))</f>
        <v/>
      </c>
      <c r="O727" s="8">
        <f>IF(ISNA(MATCH(714,Engine!$C$2:$C$1369,0)),"",HYPERLINK(INDEX('Compliance Database'!$O$2:$O$1369,MATCH(714,Engine!$C$2:$C$1369,0)),"Open PDF"))</f>
        <v/>
      </c>
    </row>
    <row r="728" ht="188" customHeight="1">
      <c r="A728" s="8">
        <f>IF(ISNA(MATCH(715,Engine!$C$2:$C$1369,0)),"",INDEX('Compliance Database'!$A$2:$A$1369,MATCH(715,Engine!$C$2:$C$1369,0)))</f>
        <v/>
      </c>
      <c r="B728" s="8">
        <f>IF(ISNA(MATCH(715,Engine!$C$2:$C$1369,0)),"",INDEX('Compliance Database'!$B$2:$B$1369,MATCH(715,Engine!$C$2:$C$1369,0)))</f>
        <v/>
      </c>
      <c r="C728" s="8">
        <f>IF(ISNA(MATCH(715,Engine!$C$2:$C$1369,0)),"",INDEX('Compliance Database'!$C$2:$C$1369,MATCH(715,Engine!$C$2:$C$1369,0)))</f>
        <v/>
      </c>
      <c r="D728" s="9">
        <f>IF(ISNA(MATCH(715,Engine!$C$2:$C$1369,0)),"",INDEX('Compliance Database'!$D$2:$D$1369,MATCH(715,Engine!$C$2:$C$1369,0)))</f>
        <v/>
      </c>
      <c r="E728" s="8">
        <f>IF(ISNA(MATCH(715,Engine!$C$2:$C$1369,0)),"",INDEX('Compliance Database'!$E$2:$E$1369,MATCH(715,Engine!$C$2:$C$1369,0)))</f>
        <v/>
      </c>
      <c r="F728" s="8">
        <f>IF(ISNA(MATCH(715,Engine!$C$2:$C$1369,0)),"",INDEX('Compliance Database'!$F$2:$F$1369,MATCH(715,Engine!$C$2:$C$1369,0)))</f>
        <v/>
      </c>
      <c r="G728" s="8">
        <f>IF(ISNA(MATCH(715,Engine!$C$2:$C$1369,0)),"",INDEX('Compliance Database'!$G$2:$G$1369,MATCH(715,Engine!$C$2:$C$1369,0)))</f>
        <v/>
      </c>
      <c r="H728" s="9">
        <f>IF(ISNA(MATCH(715,Engine!$C$2:$C$1369,0)),"",INDEX('Compliance Database'!$H$2:$H$1369,MATCH(715,Engine!$C$2:$C$1369,0)))</f>
        <v/>
      </c>
      <c r="I728" s="9">
        <f>IF(ISNA(MATCH(715,Engine!$C$2:$C$1369,0)),"",INDEX('Compliance Database'!$I$2:$I$1369,MATCH(715,Engine!$C$2:$C$1369,0)))</f>
        <v/>
      </c>
      <c r="J728" s="8">
        <f>IF(ISNA(MATCH(715,Engine!$C$2:$C$1369,0)),"",INDEX('Compliance Database'!$J$2:$J$1369,MATCH(715,Engine!$C$2:$C$1369,0)))</f>
        <v/>
      </c>
      <c r="K728" s="9">
        <f>IF(ISNA(MATCH(715,Engine!$C$2:$C$1369,0)),"",INDEX('Compliance Database'!$K$2:$K$1369,MATCH(715,Engine!$C$2:$C$1369,0)))</f>
        <v/>
      </c>
      <c r="L728" s="9">
        <f>IF(ISNA(MATCH(715,Engine!$C$2:$C$1369,0)),"",INDEX('Compliance Database'!$L$2:$L$1369,MATCH(715,Engine!$C$2:$C$1369,0)))</f>
        <v/>
      </c>
      <c r="M728" s="9">
        <f>IF(ISNA(MATCH(715,Engine!$C$2:$C$1369,0)),"",INDEX('Compliance Database'!$M$2:$M$1369,MATCH(715,Engine!$C$2:$C$1369,0)))</f>
        <v/>
      </c>
      <c r="N728" s="9">
        <f>IF(ISNA(MATCH(715,Engine!$C$2:$C$1369,0)),"",INDEX('Compliance Database'!$N$2:$N$1369,MATCH(715,Engine!$C$2:$C$1369,0)))</f>
        <v/>
      </c>
      <c r="O728" s="8">
        <f>IF(ISNA(MATCH(715,Engine!$C$2:$C$1369,0)),"",HYPERLINK(INDEX('Compliance Database'!$O$2:$O$1369,MATCH(715,Engine!$C$2:$C$1369,0)),"Open PDF"))</f>
        <v/>
      </c>
    </row>
    <row r="729" ht="188" customHeight="1">
      <c r="A729" s="8">
        <f>IF(ISNA(MATCH(716,Engine!$C$2:$C$1369,0)),"",INDEX('Compliance Database'!$A$2:$A$1369,MATCH(716,Engine!$C$2:$C$1369,0)))</f>
        <v/>
      </c>
      <c r="B729" s="8">
        <f>IF(ISNA(MATCH(716,Engine!$C$2:$C$1369,0)),"",INDEX('Compliance Database'!$B$2:$B$1369,MATCH(716,Engine!$C$2:$C$1369,0)))</f>
        <v/>
      </c>
      <c r="C729" s="8">
        <f>IF(ISNA(MATCH(716,Engine!$C$2:$C$1369,0)),"",INDEX('Compliance Database'!$C$2:$C$1369,MATCH(716,Engine!$C$2:$C$1369,0)))</f>
        <v/>
      </c>
      <c r="D729" s="9">
        <f>IF(ISNA(MATCH(716,Engine!$C$2:$C$1369,0)),"",INDEX('Compliance Database'!$D$2:$D$1369,MATCH(716,Engine!$C$2:$C$1369,0)))</f>
        <v/>
      </c>
      <c r="E729" s="8">
        <f>IF(ISNA(MATCH(716,Engine!$C$2:$C$1369,0)),"",INDEX('Compliance Database'!$E$2:$E$1369,MATCH(716,Engine!$C$2:$C$1369,0)))</f>
        <v/>
      </c>
      <c r="F729" s="8">
        <f>IF(ISNA(MATCH(716,Engine!$C$2:$C$1369,0)),"",INDEX('Compliance Database'!$F$2:$F$1369,MATCH(716,Engine!$C$2:$C$1369,0)))</f>
        <v/>
      </c>
      <c r="G729" s="8">
        <f>IF(ISNA(MATCH(716,Engine!$C$2:$C$1369,0)),"",INDEX('Compliance Database'!$G$2:$G$1369,MATCH(716,Engine!$C$2:$C$1369,0)))</f>
        <v/>
      </c>
      <c r="H729" s="9">
        <f>IF(ISNA(MATCH(716,Engine!$C$2:$C$1369,0)),"",INDEX('Compliance Database'!$H$2:$H$1369,MATCH(716,Engine!$C$2:$C$1369,0)))</f>
        <v/>
      </c>
      <c r="I729" s="9">
        <f>IF(ISNA(MATCH(716,Engine!$C$2:$C$1369,0)),"",INDEX('Compliance Database'!$I$2:$I$1369,MATCH(716,Engine!$C$2:$C$1369,0)))</f>
        <v/>
      </c>
      <c r="J729" s="8">
        <f>IF(ISNA(MATCH(716,Engine!$C$2:$C$1369,0)),"",INDEX('Compliance Database'!$J$2:$J$1369,MATCH(716,Engine!$C$2:$C$1369,0)))</f>
        <v/>
      </c>
      <c r="K729" s="9">
        <f>IF(ISNA(MATCH(716,Engine!$C$2:$C$1369,0)),"",INDEX('Compliance Database'!$K$2:$K$1369,MATCH(716,Engine!$C$2:$C$1369,0)))</f>
        <v/>
      </c>
      <c r="L729" s="9">
        <f>IF(ISNA(MATCH(716,Engine!$C$2:$C$1369,0)),"",INDEX('Compliance Database'!$L$2:$L$1369,MATCH(716,Engine!$C$2:$C$1369,0)))</f>
        <v/>
      </c>
      <c r="M729" s="9">
        <f>IF(ISNA(MATCH(716,Engine!$C$2:$C$1369,0)),"",INDEX('Compliance Database'!$M$2:$M$1369,MATCH(716,Engine!$C$2:$C$1369,0)))</f>
        <v/>
      </c>
      <c r="N729" s="9">
        <f>IF(ISNA(MATCH(716,Engine!$C$2:$C$1369,0)),"",INDEX('Compliance Database'!$N$2:$N$1369,MATCH(716,Engine!$C$2:$C$1369,0)))</f>
        <v/>
      </c>
      <c r="O729" s="8">
        <f>IF(ISNA(MATCH(716,Engine!$C$2:$C$1369,0)),"",HYPERLINK(INDEX('Compliance Database'!$O$2:$O$1369,MATCH(716,Engine!$C$2:$C$1369,0)),"Open PDF"))</f>
        <v/>
      </c>
    </row>
    <row r="730" ht="188" customHeight="1">
      <c r="A730" s="8">
        <f>IF(ISNA(MATCH(717,Engine!$C$2:$C$1369,0)),"",INDEX('Compliance Database'!$A$2:$A$1369,MATCH(717,Engine!$C$2:$C$1369,0)))</f>
        <v/>
      </c>
      <c r="B730" s="8">
        <f>IF(ISNA(MATCH(717,Engine!$C$2:$C$1369,0)),"",INDEX('Compliance Database'!$B$2:$B$1369,MATCH(717,Engine!$C$2:$C$1369,0)))</f>
        <v/>
      </c>
      <c r="C730" s="8">
        <f>IF(ISNA(MATCH(717,Engine!$C$2:$C$1369,0)),"",INDEX('Compliance Database'!$C$2:$C$1369,MATCH(717,Engine!$C$2:$C$1369,0)))</f>
        <v/>
      </c>
      <c r="D730" s="9">
        <f>IF(ISNA(MATCH(717,Engine!$C$2:$C$1369,0)),"",INDEX('Compliance Database'!$D$2:$D$1369,MATCH(717,Engine!$C$2:$C$1369,0)))</f>
        <v/>
      </c>
      <c r="E730" s="8">
        <f>IF(ISNA(MATCH(717,Engine!$C$2:$C$1369,0)),"",INDEX('Compliance Database'!$E$2:$E$1369,MATCH(717,Engine!$C$2:$C$1369,0)))</f>
        <v/>
      </c>
      <c r="F730" s="8">
        <f>IF(ISNA(MATCH(717,Engine!$C$2:$C$1369,0)),"",INDEX('Compliance Database'!$F$2:$F$1369,MATCH(717,Engine!$C$2:$C$1369,0)))</f>
        <v/>
      </c>
      <c r="G730" s="8">
        <f>IF(ISNA(MATCH(717,Engine!$C$2:$C$1369,0)),"",INDEX('Compliance Database'!$G$2:$G$1369,MATCH(717,Engine!$C$2:$C$1369,0)))</f>
        <v/>
      </c>
      <c r="H730" s="9">
        <f>IF(ISNA(MATCH(717,Engine!$C$2:$C$1369,0)),"",INDEX('Compliance Database'!$H$2:$H$1369,MATCH(717,Engine!$C$2:$C$1369,0)))</f>
        <v/>
      </c>
      <c r="I730" s="9">
        <f>IF(ISNA(MATCH(717,Engine!$C$2:$C$1369,0)),"",INDEX('Compliance Database'!$I$2:$I$1369,MATCH(717,Engine!$C$2:$C$1369,0)))</f>
        <v/>
      </c>
      <c r="J730" s="8">
        <f>IF(ISNA(MATCH(717,Engine!$C$2:$C$1369,0)),"",INDEX('Compliance Database'!$J$2:$J$1369,MATCH(717,Engine!$C$2:$C$1369,0)))</f>
        <v/>
      </c>
      <c r="K730" s="9">
        <f>IF(ISNA(MATCH(717,Engine!$C$2:$C$1369,0)),"",INDEX('Compliance Database'!$K$2:$K$1369,MATCH(717,Engine!$C$2:$C$1369,0)))</f>
        <v/>
      </c>
      <c r="L730" s="9">
        <f>IF(ISNA(MATCH(717,Engine!$C$2:$C$1369,0)),"",INDEX('Compliance Database'!$L$2:$L$1369,MATCH(717,Engine!$C$2:$C$1369,0)))</f>
        <v/>
      </c>
      <c r="M730" s="9">
        <f>IF(ISNA(MATCH(717,Engine!$C$2:$C$1369,0)),"",INDEX('Compliance Database'!$M$2:$M$1369,MATCH(717,Engine!$C$2:$C$1369,0)))</f>
        <v/>
      </c>
      <c r="N730" s="9">
        <f>IF(ISNA(MATCH(717,Engine!$C$2:$C$1369,0)),"",INDEX('Compliance Database'!$N$2:$N$1369,MATCH(717,Engine!$C$2:$C$1369,0)))</f>
        <v/>
      </c>
      <c r="O730" s="8">
        <f>IF(ISNA(MATCH(717,Engine!$C$2:$C$1369,0)),"",HYPERLINK(INDEX('Compliance Database'!$O$2:$O$1369,MATCH(717,Engine!$C$2:$C$1369,0)),"Open PDF"))</f>
        <v/>
      </c>
    </row>
    <row r="731" ht="188" customHeight="1">
      <c r="A731" s="8">
        <f>IF(ISNA(MATCH(718,Engine!$C$2:$C$1369,0)),"",INDEX('Compliance Database'!$A$2:$A$1369,MATCH(718,Engine!$C$2:$C$1369,0)))</f>
        <v/>
      </c>
      <c r="B731" s="8">
        <f>IF(ISNA(MATCH(718,Engine!$C$2:$C$1369,0)),"",INDEX('Compliance Database'!$B$2:$B$1369,MATCH(718,Engine!$C$2:$C$1369,0)))</f>
        <v/>
      </c>
      <c r="C731" s="8">
        <f>IF(ISNA(MATCH(718,Engine!$C$2:$C$1369,0)),"",INDEX('Compliance Database'!$C$2:$C$1369,MATCH(718,Engine!$C$2:$C$1369,0)))</f>
        <v/>
      </c>
      <c r="D731" s="9">
        <f>IF(ISNA(MATCH(718,Engine!$C$2:$C$1369,0)),"",INDEX('Compliance Database'!$D$2:$D$1369,MATCH(718,Engine!$C$2:$C$1369,0)))</f>
        <v/>
      </c>
      <c r="E731" s="8">
        <f>IF(ISNA(MATCH(718,Engine!$C$2:$C$1369,0)),"",INDEX('Compliance Database'!$E$2:$E$1369,MATCH(718,Engine!$C$2:$C$1369,0)))</f>
        <v/>
      </c>
      <c r="F731" s="8">
        <f>IF(ISNA(MATCH(718,Engine!$C$2:$C$1369,0)),"",INDEX('Compliance Database'!$F$2:$F$1369,MATCH(718,Engine!$C$2:$C$1369,0)))</f>
        <v/>
      </c>
      <c r="G731" s="8">
        <f>IF(ISNA(MATCH(718,Engine!$C$2:$C$1369,0)),"",INDEX('Compliance Database'!$G$2:$G$1369,MATCH(718,Engine!$C$2:$C$1369,0)))</f>
        <v/>
      </c>
      <c r="H731" s="9">
        <f>IF(ISNA(MATCH(718,Engine!$C$2:$C$1369,0)),"",INDEX('Compliance Database'!$H$2:$H$1369,MATCH(718,Engine!$C$2:$C$1369,0)))</f>
        <v/>
      </c>
      <c r="I731" s="9">
        <f>IF(ISNA(MATCH(718,Engine!$C$2:$C$1369,0)),"",INDEX('Compliance Database'!$I$2:$I$1369,MATCH(718,Engine!$C$2:$C$1369,0)))</f>
        <v/>
      </c>
      <c r="J731" s="8">
        <f>IF(ISNA(MATCH(718,Engine!$C$2:$C$1369,0)),"",INDEX('Compliance Database'!$J$2:$J$1369,MATCH(718,Engine!$C$2:$C$1369,0)))</f>
        <v/>
      </c>
      <c r="K731" s="9">
        <f>IF(ISNA(MATCH(718,Engine!$C$2:$C$1369,0)),"",INDEX('Compliance Database'!$K$2:$K$1369,MATCH(718,Engine!$C$2:$C$1369,0)))</f>
        <v/>
      </c>
      <c r="L731" s="9">
        <f>IF(ISNA(MATCH(718,Engine!$C$2:$C$1369,0)),"",INDEX('Compliance Database'!$L$2:$L$1369,MATCH(718,Engine!$C$2:$C$1369,0)))</f>
        <v/>
      </c>
      <c r="M731" s="9">
        <f>IF(ISNA(MATCH(718,Engine!$C$2:$C$1369,0)),"",INDEX('Compliance Database'!$M$2:$M$1369,MATCH(718,Engine!$C$2:$C$1369,0)))</f>
        <v/>
      </c>
      <c r="N731" s="9">
        <f>IF(ISNA(MATCH(718,Engine!$C$2:$C$1369,0)),"",INDEX('Compliance Database'!$N$2:$N$1369,MATCH(718,Engine!$C$2:$C$1369,0)))</f>
        <v/>
      </c>
      <c r="O731" s="8">
        <f>IF(ISNA(MATCH(718,Engine!$C$2:$C$1369,0)),"",HYPERLINK(INDEX('Compliance Database'!$O$2:$O$1369,MATCH(718,Engine!$C$2:$C$1369,0)),"Open PDF"))</f>
        <v/>
      </c>
    </row>
    <row r="732" ht="188" customHeight="1">
      <c r="A732" s="8">
        <f>IF(ISNA(MATCH(719,Engine!$C$2:$C$1369,0)),"",INDEX('Compliance Database'!$A$2:$A$1369,MATCH(719,Engine!$C$2:$C$1369,0)))</f>
        <v/>
      </c>
      <c r="B732" s="8">
        <f>IF(ISNA(MATCH(719,Engine!$C$2:$C$1369,0)),"",INDEX('Compliance Database'!$B$2:$B$1369,MATCH(719,Engine!$C$2:$C$1369,0)))</f>
        <v/>
      </c>
      <c r="C732" s="8">
        <f>IF(ISNA(MATCH(719,Engine!$C$2:$C$1369,0)),"",INDEX('Compliance Database'!$C$2:$C$1369,MATCH(719,Engine!$C$2:$C$1369,0)))</f>
        <v/>
      </c>
      <c r="D732" s="9">
        <f>IF(ISNA(MATCH(719,Engine!$C$2:$C$1369,0)),"",INDEX('Compliance Database'!$D$2:$D$1369,MATCH(719,Engine!$C$2:$C$1369,0)))</f>
        <v/>
      </c>
      <c r="E732" s="8">
        <f>IF(ISNA(MATCH(719,Engine!$C$2:$C$1369,0)),"",INDEX('Compliance Database'!$E$2:$E$1369,MATCH(719,Engine!$C$2:$C$1369,0)))</f>
        <v/>
      </c>
      <c r="F732" s="8">
        <f>IF(ISNA(MATCH(719,Engine!$C$2:$C$1369,0)),"",INDEX('Compliance Database'!$F$2:$F$1369,MATCH(719,Engine!$C$2:$C$1369,0)))</f>
        <v/>
      </c>
      <c r="G732" s="8">
        <f>IF(ISNA(MATCH(719,Engine!$C$2:$C$1369,0)),"",INDEX('Compliance Database'!$G$2:$G$1369,MATCH(719,Engine!$C$2:$C$1369,0)))</f>
        <v/>
      </c>
      <c r="H732" s="9">
        <f>IF(ISNA(MATCH(719,Engine!$C$2:$C$1369,0)),"",INDEX('Compliance Database'!$H$2:$H$1369,MATCH(719,Engine!$C$2:$C$1369,0)))</f>
        <v/>
      </c>
      <c r="I732" s="9">
        <f>IF(ISNA(MATCH(719,Engine!$C$2:$C$1369,0)),"",INDEX('Compliance Database'!$I$2:$I$1369,MATCH(719,Engine!$C$2:$C$1369,0)))</f>
        <v/>
      </c>
      <c r="J732" s="8">
        <f>IF(ISNA(MATCH(719,Engine!$C$2:$C$1369,0)),"",INDEX('Compliance Database'!$J$2:$J$1369,MATCH(719,Engine!$C$2:$C$1369,0)))</f>
        <v/>
      </c>
      <c r="K732" s="9">
        <f>IF(ISNA(MATCH(719,Engine!$C$2:$C$1369,0)),"",INDEX('Compliance Database'!$K$2:$K$1369,MATCH(719,Engine!$C$2:$C$1369,0)))</f>
        <v/>
      </c>
      <c r="L732" s="9">
        <f>IF(ISNA(MATCH(719,Engine!$C$2:$C$1369,0)),"",INDEX('Compliance Database'!$L$2:$L$1369,MATCH(719,Engine!$C$2:$C$1369,0)))</f>
        <v/>
      </c>
      <c r="M732" s="9">
        <f>IF(ISNA(MATCH(719,Engine!$C$2:$C$1369,0)),"",INDEX('Compliance Database'!$M$2:$M$1369,MATCH(719,Engine!$C$2:$C$1369,0)))</f>
        <v/>
      </c>
      <c r="N732" s="9">
        <f>IF(ISNA(MATCH(719,Engine!$C$2:$C$1369,0)),"",INDEX('Compliance Database'!$N$2:$N$1369,MATCH(719,Engine!$C$2:$C$1369,0)))</f>
        <v/>
      </c>
      <c r="O732" s="8">
        <f>IF(ISNA(MATCH(719,Engine!$C$2:$C$1369,0)),"",HYPERLINK(INDEX('Compliance Database'!$O$2:$O$1369,MATCH(719,Engine!$C$2:$C$1369,0)),"Open PDF"))</f>
        <v/>
      </c>
    </row>
    <row r="733" ht="188" customHeight="1">
      <c r="A733" s="8">
        <f>IF(ISNA(MATCH(720,Engine!$C$2:$C$1369,0)),"",INDEX('Compliance Database'!$A$2:$A$1369,MATCH(720,Engine!$C$2:$C$1369,0)))</f>
        <v/>
      </c>
      <c r="B733" s="8">
        <f>IF(ISNA(MATCH(720,Engine!$C$2:$C$1369,0)),"",INDEX('Compliance Database'!$B$2:$B$1369,MATCH(720,Engine!$C$2:$C$1369,0)))</f>
        <v/>
      </c>
      <c r="C733" s="8">
        <f>IF(ISNA(MATCH(720,Engine!$C$2:$C$1369,0)),"",INDEX('Compliance Database'!$C$2:$C$1369,MATCH(720,Engine!$C$2:$C$1369,0)))</f>
        <v/>
      </c>
      <c r="D733" s="9">
        <f>IF(ISNA(MATCH(720,Engine!$C$2:$C$1369,0)),"",INDEX('Compliance Database'!$D$2:$D$1369,MATCH(720,Engine!$C$2:$C$1369,0)))</f>
        <v/>
      </c>
      <c r="E733" s="8">
        <f>IF(ISNA(MATCH(720,Engine!$C$2:$C$1369,0)),"",INDEX('Compliance Database'!$E$2:$E$1369,MATCH(720,Engine!$C$2:$C$1369,0)))</f>
        <v/>
      </c>
      <c r="F733" s="8">
        <f>IF(ISNA(MATCH(720,Engine!$C$2:$C$1369,0)),"",INDEX('Compliance Database'!$F$2:$F$1369,MATCH(720,Engine!$C$2:$C$1369,0)))</f>
        <v/>
      </c>
      <c r="G733" s="8">
        <f>IF(ISNA(MATCH(720,Engine!$C$2:$C$1369,0)),"",INDEX('Compliance Database'!$G$2:$G$1369,MATCH(720,Engine!$C$2:$C$1369,0)))</f>
        <v/>
      </c>
      <c r="H733" s="9">
        <f>IF(ISNA(MATCH(720,Engine!$C$2:$C$1369,0)),"",INDEX('Compliance Database'!$H$2:$H$1369,MATCH(720,Engine!$C$2:$C$1369,0)))</f>
        <v/>
      </c>
      <c r="I733" s="9">
        <f>IF(ISNA(MATCH(720,Engine!$C$2:$C$1369,0)),"",INDEX('Compliance Database'!$I$2:$I$1369,MATCH(720,Engine!$C$2:$C$1369,0)))</f>
        <v/>
      </c>
      <c r="J733" s="8">
        <f>IF(ISNA(MATCH(720,Engine!$C$2:$C$1369,0)),"",INDEX('Compliance Database'!$J$2:$J$1369,MATCH(720,Engine!$C$2:$C$1369,0)))</f>
        <v/>
      </c>
      <c r="K733" s="9">
        <f>IF(ISNA(MATCH(720,Engine!$C$2:$C$1369,0)),"",INDEX('Compliance Database'!$K$2:$K$1369,MATCH(720,Engine!$C$2:$C$1369,0)))</f>
        <v/>
      </c>
      <c r="L733" s="9">
        <f>IF(ISNA(MATCH(720,Engine!$C$2:$C$1369,0)),"",INDEX('Compliance Database'!$L$2:$L$1369,MATCH(720,Engine!$C$2:$C$1369,0)))</f>
        <v/>
      </c>
      <c r="M733" s="9">
        <f>IF(ISNA(MATCH(720,Engine!$C$2:$C$1369,0)),"",INDEX('Compliance Database'!$M$2:$M$1369,MATCH(720,Engine!$C$2:$C$1369,0)))</f>
        <v/>
      </c>
      <c r="N733" s="9">
        <f>IF(ISNA(MATCH(720,Engine!$C$2:$C$1369,0)),"",INDEX('Compliance Database'!$N$2:$N$1369,MATCH(720,Engine!$C$2:$C$1369,0)))</f>
        <v/>
      </c>
      <c r="O733" s="8">
        <f>IF(ISNA(MATCH(720,Engine!$C$2:$C$1369,0)),"",HYPERLINK(INDEX('Compliance Database'!$O$2:$O$1369,MATCH(720,Engine!$C$2:$C$1369,0)),"Open PDF"))</f>
        <v/>
      </c>
    </row>
    <row r="734" ht="188" customHeight="1">
      <c r="A734" s="8">
        <f>IF(ISNA(MATCH(721,Engine!$C$2:$C$1369,0)),"",INDEX('Compliance Database'!$A$2:$A$1369,MATCH(721,Engine!$C$2:$C$1369,0)))</f>
        <v/>
      </c>
      <c r="B734" s="8">
        <f>IF(ISNA(MATCH(721,Engine!$C$2:$C$1369,0)),"",INDEX('Compliance Database'!$B$2:$B$1369,MATCH(721,Engine!$C$2:$C$1369,0)))</f>
        <v/>
      </c>
      <c r="C734" s="8">
        <f>IF(ISNA(MATCH(721,Engine!$C$2:$C$1369,0)),"",INDEX('Compliance Database'!$C$2:$C$1369,MATCH(721,Engine!$C$2:$C$1369,0)))</f>
        <v/>
      </c>
      <c r="D734" s="9">
        <f>IF(ISNA(MATCH(721,Engine!$C$2:$C$1369,0)),"",INDEX('Compliance Database'!$D$2:$D$1369,MATCH(721,Engine!$C$2:$C$1369,0)))</f>
        <v/>
      </c>
      <c r="E734" s="8">
        <f>IF(ISNA(MATCH(721,Engine!$C$2:$C$1369,0)),"",INDEX('Compliance Database'!$E$2:$E$1369,MATCH(721,Engine!$C$2:$C$1369,0)))</f>
        <v/>
      </c>
      <c r="F734" s="8">
        <f>IF(ISNA(MATCH(721,Engine!$C$2:$C$1369,0)),"",INDEX('Compliance Database'!$F$2:$F$1369,MATCH(721,Engine!$C$2:$C$1369,0)))</f>
        <v/>
      </c>
      <c r="G734" s="8">
        <f>IF(ISNA(MATCH(721,Engine!$C$2:$C$1369,0)),"",INDEX('Compliance Database'!$G$2:$G$1369,MATCH(721,Engine!$C$2:$C$1369,0)))</f>
        <v/>
      </c>
      <c r="H734" s="9">
        <f>IF(ISNA(MATCH(721,Engine!$C$2:$C$1369,0)),"",INDEX('Compliance Database'!$H$2:$H$1369,MATCH(721,Engine!$C$2:$C$1369,0)))</f>
        <v/>
      </c>
      <c r="I734" s="9">
        <f>IF(ISNA(MATCH(721,Engine!$C$2:$C$1369,0)),"",INDEX('Compliance Database'!$I$2:$I$1369,MATCH(721,Engine!$C$2:$C$1369,0)))</f>
        <v/>
      </c>
      <c r="J734" s="8">
        <f>IF(ISNA(MATCH(721,Engine!$C$2:$C$1369,0)),"",INDEX('Compliance Database'!$J$2:$J$1369,MATCH(721,Engine!$C$2:$C$1369,0)))</f>
        <v/>
      </c>
      <c r="K734" s="9">
        <f>IF(ISNA(MATCH(721,Engine!$C$2:$C$1369,0)),"",INDEX('Compliance Database'!$K$2:$K$1369,MATCH(721,Engine!$C$2:$C$1369,0)))</f>
        <v/>
      </c>
      <c r="L734" s="9">
        <f>IF(ISNA(MATCH(721,Engine!$C$2:$C$1369,0)),"",INDEX('Compliance Database'!$L$2:$L$1369,MATCH(721,Engine!$C$2:$C$1369,0)))</f>
        <v/>
      </c>
      <c r="M734" s="9">
        <f>IF(ISNA(MATCH(721,Engine!$C$2:$C$1369,0)),"",INDEX('Compliance Database'!$M$2:$M$1369,MATCH(721,Engine!$C$2:$C$1369,0)))</f>
        <v/>
      </c>
      <c r="N734" s="9">
        <f>IF(ISNA(MATCH(721,Engine!$C$2:$C$1369,0)),"",INDEX('Compliance Database'!$N$2:$N$1369,MATCH(721,Engine!$C$2:$C$1369,0)))</f>
        <v/>
      </c>
      <c r="O734" s="8">
        <f>IF(ISNA(MATCH(721,Engine!$C$2:$C$1369,0)),"",HYPERLINK(INDEX('Compliance Database'!$O$2:$O$1369,MATCH(721,Engine!$C$2:$C$1369,0)),"Open PDF"))</f>
        <v/>
      </c>
    </row>
    <row r="735" ht="188" customHeight="1">
      <c r="A735" s="8">
        <f>IF(ISNA(MATCH(722,Engine!$C$2:$C$1369,0)),"",INDEX('Compliance Database'!$A$2:$A$1369,MATCH(722,Engine!$C$2:$C$1369,0)))</f>
        <v/>
      </c>
      <c r="B735" s="8">
        <f>IF(ISNA(MATCH(722,Engine!$C$2:$C$1369,0)),"",INDEX('Compliance Database'!$B$2:$B$1369,MATCH(722,Engine!$C$2:$C$1369,0)))</f>
        <v/>
      </c>
      <c r="C735" s="8">
        <f>IF(ISNA(MATCH(722,Engine!$C$2:$C$1369,0)),"",INDEX('Compliance Database'!$C$2:$C$1369,MATCH(722,Engine!$C$2:$C$1369,0)))</f>
        <v/>
      </c>
      <c r="D735" s="9">
        <f>IF(ISNA(MATCH(722,Engine!$C$2:$C$1369,0)),"",INDEX('Compliance Database'!$D$2:$D$1369,MATCH(722,Engine!$C$2:$C$1369,0)))</f>
        <v/>
      </c>
      <c r="E735" s="8">
        <f>IF(ISNA(MATCH(722,Engine!$C$2:$C$1369,0)),"",INDEX('Compliance Database'!$E$2:$E$1369,MATCH(722,Engine!$C$2:$C$1369,0)))</f>
        <v/>
      </c>
      <c r="F735" s="8">
        <f>IF(ISNA(MATCH(722,Engine!$C$2:$C$1369,0)),"",INDEX('Compliance Database'!$F$2:$F$1369,MATCH(722,Engine!$C$2:$C$1369,0)))</f>
        <v/>
      </c>
      <c r="G735" s="8">
        <f>IF(ISNA(MATCH(722,Engine!$C$2:$C$1369,0)),"",INDEX('Compliance Database'!$G$2:$G$1369,MATCH(722,Engine!$C$2:$C$1369,0)))</f>
        <v/>
      </c>
      <c r="H735" s="9">
        <f>IF(ISNA(MATCH(722,Engine!$C$2:$C$1369,0)),"",INDEX('Compliance Database'!$H$2:$H$1369,MATCH(722,Engine!$C$2:$C$1369,0)))</f>
        <v/>
      </c>
      <c r="I735" s="9">
        <f>IF(ISNA(MATCH(722,Engine!$C$2:$C$1369,0)),"",INDEX('Compliance Database'!$I$2:$I$1369,MATCH(722,Engine!$C$2:$C$1369,0)))</f>
        <v/>
      </c>
      <c r="J735" s="8">
        <f>IF(ISNA(MATCH(722,Engine!$C$2:$C$1369,0)),"",INDEX('Compliance Database'!$J$2:$J$1369,MATCH(722,Engine!$C$2:$C$1369,0)))</f>
        <v/>
      </c>
      <c r="K735" s="9">
        <f>IF(ISNA(MATCH(722,Engine!$C$2:$C$1369,0)),"",INDEX('Compliance Database'!$K$2:$K$1369,MATCH(722,Engine!$C$2:$C$1369,0)))</f>
        <v/>
      </c>
      <c r="L735" s="9">
        <f>IF(ISNA(MATCH(722,Engine!$C$2:$C$1369,0)),"",INDEX('Compliance Database'!$L$2:$L$1369,MATCH(722,Engine!$C$2:$C$1369,0)))</f>
        <v/>
      </c>
      <c r="M735" s="9">
        <f>IF(ISNA(MATCH(722,Engine!$C$2:$C$1369,0)),"",INDEX('Compliance Database'!$M$2:$M$1369,MATCH(722,Engine!$C$2:$C$1369,0)))</f>
        <v/>
      </c>
      <c r="N735" s="9">
        <f>IF(ISNA(MATCH(722,Engine!$C$2:$C$1369,0)),"",INDEX('Compliance Database'!$N$2:$N$1369,MATCH(722,Engine!$C$2:$C$1369,0)))</f>
        <v/>
      </c>
      <c r="O735" s="8">
        <f>IF(ISNA(MATCH(722,Engine!$C$2:$C$1369,0)),"",HYPERLINK(INDEX('Compliance Database'!$O$2:$O$1369,MATCH(722,Engine!$C$2:$C$1369,0)),"Open PDF"))</f>
        <v/>
      </c>
    </row>
    <row r="736" ht="188" customHeight="1">
      <c r="A736" s="8">
        <f>IF(ISNA(MATCH(723,Engine!$C$2:$C$1369,0)),"",INDEX('Compliance Database'!$A$2:$A$1369,MATCH(723,Engine!$C$2:$C$1369,0)))</f>
        <v/>
      </c>
      <c r="B736" s="8">
        <f>IF(ISNA(MATCH(723,Engine!$C$2:$C$1369,0)),"",INDEX('Compliance Database'!$B$2:$B$1369,MATCH(723,Engine!$C$2:$C$1369,0)))</f>
        <v/>
      </c>
      <c r="C736" s="8">
        <f>IF(ISNA(MATCH(723,Engine!$C$2:$C$1369,0)),"",INDEX('Compliance Database'!$C$2:$C$1369,MATCH(723,Engine!$C$2:$C$1369,0)))</f>
        <v/>
      </c>
      <c r="D736" s="9">
        <f>IF(ISNA(MATCH(723,Engine!$C$2:$C$1369,0)),"",INDEX('Compliance Database'!$D$2:$D$1369,MATCH(723,Engine!$C$2:$C$1369,0)))</f>
        <v/>
      </c>
      <c r="E736" s="8">
        <f>IF(ISNA(MATCH(723,Engine!$C$2:$C$1369,0)),"",INDEX('Compliance Database'!$E$2:$E$1369,MATCH(723,Engine!$C$2:$C$1369,0)))</f>
        <v/>
      </c>
      <c r="F736" s="8">
        <f>IF(ISNA(MATCH(723,Engine!$C$2:$C$1369,0)),"",INDEX('Compliance Database'!$F$2:$F$1369,MATCH(723,Engine!$C$2:$C$1369,0)))</f>
        <v/>
      </c>
      <c r="G736" s="8">
        <f>IF(ISNA(MATCH(723,Engine!$C$2:$C$1369,0)),"",INDEX('Compliance Database'!$G$2:$G$1369,MATCH(723,Engine!$C$2:$C$1369,0)))</f>
        <v/>
      </c>
      <c r="H736" s="9">
        <f>IF(ISNA(MATCH(723,Engine!$C$2:$C$1369,0)),"",INDEX('Compliance Database'!$H$2:$H$1369,MATCH(723,Engine!$C$2:$C$1369,0)))</f>
        <v/>
      </c>
      <c r="I736" s="9">
        <f>IF(ISNA(MATCH(723,Engine!$C$2:$C$1369,0)),"",INDEX('Compliance Database'!$I$2:$I$1369,MATCH(723,Engine!$C$2:$C$1369,0)))</f>
        <v/>
      </c>
      <c r="J736" s="8">
        <f>IF(ISNA(MATCH(723,Engine!$C$2:$C$1369,0)),"",INDEX('Compliance Database'!$J$2:$J$1369,MATCH(723,Engine!$C$2:$C$1369,0)))</f>
        <v/>
      </c>
      <c r="K736" s="9">
        <f>IF(ISNA(MATCH(723,Engine!$C$2:$C$1369,0)),"",INDEX('Compliance Database'!$K$2:$K$1369,MATCH(723,Engine!$C$2:$C$1369,0)))</f>
        <v/>
      </c>
      <c r="L736" s="9">
        <f>IF(ISNA(MATCH(723,Engine!$C$2:$C$1369,0)),"",INDEX('Compliance Database'!$L$2:$L$1369,MATCH(723,Engine!$C$2:$C$1369,0)))</f>
        <v/>
      </c>
      <c r="M736" s="9">
        <f>IF(ISNA(MATCH(723,Engine!$C$2:$C$1369,0)),"",INDEX('Compliance Database'!$M$2:$M$1369,MATCH(723,Engine!$C$2:$C$1369,0)))</f>
        <v/>
      </c>
      <c r="N736" s="9">
        <f>IF(ISNA(MATCH(723,Engine!$C$2:$C$1369,0)),"",INDEX('Compliance Database'!$N$2:$N$1369,MATCH(723,Engine!$C$2:$C$1369,0)))</f>
        <v/>
      </c>
      <c r="O736" s="8">
        <f>IF(ISNA(MATCH(723,Engine!$C$2:$C$1369,0)),"",HYPERLINK(INDEX('Compliance Database'!$O$2:$O$1369,MATCH(723,Engine!$C$2:$C$1369,0)),"Open PDF"))</f>
        <v/>
      </c>
    </row>
    <row r="737" ht="188" customHeight="1">
      <c r="A737" s="8">
        <f>IF(ISNA(MATCH(724,Engine!$C$2:$C$1369,0)),"",INDEX('Compliance Database'!$A$2:$A$1369,MATCH(724,Engine!$C$2:$C$1369,0)))</f>
        <v/>
      </c>
      <c r="B737" s="8">
        <f>IF(ISNA(MATCH(724,Engine!$C$2:$C$1369,0)),"",INDEX('Compliance Database'!$B$2:$B$1369,MATCH(724,Engine!$C$2:$C$1369,0)))</f>
        <v/>
      </c>
      <c r="C737" s="8">
        <f>IF(ISNA(MATCH(724,Engine!$C$2:$C$1369,0)),"",INDEX('Compliance Database'!$C$2:$C$1369,MATCH(724,Engine!$C$2:$C$1369,0)))</f>
        <v/>
      </c>
      <c r="D737" s="9">
        <f>IF(ISNA(MATCH(724,Engine!$C$2:$C$1369,0)),"",INDEX('Compliance Database'!$D$2:$D$1369,MATCH(724,Engine!$C$2:$C$1369,0)))</f>
        <v/>
      </c>
      <c r="E737" s="8">
        <f>IF(ISNA(MATCH(724,Engine!$C$2:$C$1369,0)),"",INDEX('Compliance Database'!$E$2:$E$1369,MATCH(724,Engine!$C$2:$C$1369,0)))</f>
        <v/>
      </c>
      <c r="F737" s="8">
        <f>IF(ISNA(MATCH(724,Engine!$C$2:$C$1369,0)),"",INDEX('Compliance Database'!$F$2:$F$1369,MATCH(724,Engine!$C$2:$C$1369,0)))</f>
        <v/>
      </c>
      <c r="G737" s="8">
        <f>IF(ISNA(MATCH(724,Engine!$C$2:$C$1369,0)),"",INDEX('Compliance Database'!$G$2:$G$1369,MATCH(724,Engine!$C$2:$C$1369,0)))</f>
        <v/>
      </c>
      <c r="H737" s="9">
        <f>IF(ISNA(MATCH(724,Engine!$C$2:$C$1369,0)),"",INDEX('Compliance Database'!$H$2:$H$1369,MATCH(724,Engine!$C$2:$C$1369,0)))</f>
        <v/>
      </c>
      <c r="I737" s="9">
        <f>IF(ISNA(MATCH(724,Engine!$C$2:$C$1369,0)),"",INDEX('Compliance Database'!$I$2:$I$1369,MATCH(724,Engine!$C$2:$C$1369,0)))</f>
        <v/>
      </c>
      <c r="J737" s="8">
        <f>IF(ISNA(MATCH(724,Engine!$C$2:$C$1369,0)),"",INDEX('Compliance Database'!$J$2:$J$1369,MATCH(724,Engine!$C$2:$C$1369,0)))</f>
        <v/>
      </c>
      <c r="K737" s="9">
        <f>IF(ISNA(MATCH(724,Engine!$C$2:$C$1369,0)),"",INDEX('Compliance Database'!$K$2:$K$1369,MATCH(724,Engine!$C$2:$C$1369,0)))</f>
        <v/>
      </c>
      <c r="L737" s="9">
        <f>IF(ISNA(MATCH(724,Engine!$C$2:$C$1369,0)),"",INDEX('Compliance Database'!$L$2:$L$1369,MATCH(724,Engine!$C$2:$C$1369,0)))</f>
        <v/>
      </c>
      <c r="M737" s="9">
        <f>IF(ISNA(MATCH(724,Engine!$C$2:$C$1369,0)),"",INDEX('Compliance Database'!$M$2:$M$1369,MATCH(724,Engine!$C$2:$C$1369,0)))</f>
        <v/>
      </c>
      <c r="N737" s="9">
        <f>IF(ISNA(MATCH(724,Engine!$C$2:$C$1369,0)),"",INDEX('Compliance Database'!$N$2:$N$1369,MATCH(724,Engine!$C$2:$C$1369,0)))</f>
        <v/>
      </c>
      <c r="O737" s="8">
        <f>IF(ISNA(MATCH(724,Engine!$C$2:$C$1369,0)),"",HYPERLINK(INDEX('Compliance Database'!$O$2:$O$1369,MATCH(724,Engine!$C$2:$C$1369,0)),"Open PDF"))</f>
        <v/>
      </c>
    </row>
    <row r="738" ht="188" customHeight="1">
      <c r="A738" s="8">
        <f>IF(ISNA(MATCH(725,Engine!$C$2:$C$1369,0)),"",INDEX('Compliance Database'!$A$2:$A$1369,MATCH(725,Engine!$C$2:$C$1369,0)))</f>
        <v/>
      </c>
      <c r="B738" s="8">
        <f>IF(ISNA(MATCH(725,Engine!$C$2:$C$1369,0)),"",INDEX('Compliance Database'!$B$2:$B$1369,MATCH(725,Engine!$C$2:$C$1369,0)))</f>
        <v/>
      </c>
      <c r="C738" s="8">
        <f>IF(ISNA(MATCH(725,Engine!$C$2:$C$1369,0)),"",INDEX('Compliance Database'!$C$2:$C$1369,MATCH(725,Engine!$C$2:$C$1369,0)))</f>
        <v/>
      </c>
      <c r="D738" s="9">
        <f>IF(ISNA(MATCH(725,Engine!$C$2:$C$1369,0)),"",INDEX('Compliance Database'!$D$2:$D$1369,MATCH(725,Engine!$C$2:$C$1369,0)))</f>
        <v/>
      </c>
      <c r="E738" s="8">
        <f>IF(ISNA(MATCH(725,Engine!$C$2:$C$1369,0)),"",INDEX('Compliance Database'!$E$2:$E$1369,MATCH(725,Engine!$C$2:$C$1369,0)))</f>
        <v/>
      </c>
      <c r="F738" s="8">
        <f>IF(ISNA(MATCH(725,Engine!$C$2:$C$1369,0)),"",INDEX('Compliance Database'!$F$2:$F$1369,MATCH(725,Engine!$C$2:$C$1369,0)))</f>
        <v/>
      </c>
      <c r="G738" s="8">
        <f>IF(ISNA(MATCH(725,Engine!$C$2:$C$1369,0)),"",INDEX('Compliance Database'!$G$2:$G$1369,MATCH(725,Engine!$C$2:$C$1369,0)))</f>
        <v/>
      </c>
      <c r="H738" s="9">
        <f>IF(ISNA(MATCH(725,Engine!$C$2:$C$1369,0)),"",INDEX('Compliance Database'!$H$2:$H$1369,MATCH(725,Engine!$C$2:$C$1369,0)))</f>
        <v/>
      </c>
      <c r="I738" s="9">
        <f>IF(ISNA(MATCH(725,Engine!$C$2:$C$1369,0)),"",INDEX('Compliance Database'!$I$2:$I$1369,MATCH(725,Engine!$C$2:$C$1369,0)))</f>
        <v/>
      </c>
      <c r="J738" s="8">
        <f>IF(ISNA(MATCH(725,Engine!$C$2:$C$1369,0)),"",INDEX('Compliance Database'!$J$2:$J$1369,MATCH(725,Engine!$C$2:$C$1369,0)))</f>
        <v/>
      </c>
      <c r="K738" s="9">
        <f>IF(ISNA(MATCH(725,Engine!$C$2:$C$1369,0)),"",INDEX('Compliance Database'!$K$2:$K$1369,MATCH(725,Engine!$C$2:$C$1369,0)))</f>
        <v/>
      </c>
      <c r="L738" s="9">
        <f>IF(ISNA(MATCH(725,Engine!$C$2:$C$1369,0)),"",INDEX('Compliance Database'!$L$2:$L$1369,MATCH(725,Engine!$C$2:$C$1369,0)))</f>
        <v/>
      </c>
      <c r="M738" s="9">
        <f>IF(ISNA(MATCH(725,Engine!$C$2:$C$1369,0)),"",INDEX('Compliance Database'!$M$2:$M$1369,MATCH(725,Engine!$C$2:$C$1369,0)))</f>
        <v/>
      </c>
      <c r="N738" s="9">
        <f>IF(ISNA(MATCH(725,Engine!$C$2:$C$1369,0)),"",INDEX('Compliance Database'!$N$2:$N$1369,MATCH(725,Engine!$C$2:$C$1369,0)))</f>
        <v/>
      </c>
      <c r="O738" s="8">
        <f>IF(ISNA(MATCH(725,Engine!$C$2:$C$1369,0)),"",HYPERLINK(INDEX('Compliance Database'!$O$2:$O$1369,MATCH(725,Engine!$C$2:$C$1369,0)),"Open PDF"))</f>
        <v/>
      </c>
    </row>
    <row r="739" ht="188" customHeight="1">
      <c r="A739" s="8">
        <f>IF(ISNA(MATCH(726,Engine!$C$2:$C$1369,0)),"",INDEX('Compliance Database'!$A$2:$A$1369,MATCH(726,Engine!$C$2:$C$1369,0)))</f>
        <v/>
      </c>
      <c r="B739" s="8">
        <f>IF(ISNA(MATCH(726,Engine!$C$2:$C$1369,0)),"",INDEX('Compliance Database'!$B$2:$B$1369,MATCH(726,Engine!$C$2:$C$1369,0)))</f>
        <v/>
      </c>
      <c r="C739" s="8">
        <f>IF(ISNA(MATCH(726,Engine!$C$2:$C$1369,0)),"",INDEX('Compliance Database'!$C$2:$C$1369,MATCH(726,Engine!$C$2:$C$1369,0)))</f>
        <v/>
      </c>
      <c r="D739" s="9">
        <f>IF(ISNA(MATCH(726,Engine!$C$2:$C$1369,0)),"",INDEX('Compliance Database'!$D$2:$D$1369,MATCH(726,Engine!$C$2:$C$1369,0)))</f>
        <v/>
      </c>
      <c r="E739" s="8">
        <f>IF(ISNA(MATCH(726,Engine!$C$2:$C$1369,0)),"",INDEX('Compliance Database'!$E$2:$E$1369,MATCH(726,Engine!$C$2:$C$1369,0)))</f>
        <v/>
      </c>
      <c r="F739" s="8">
        <f>IF(ISNA(MATCH(726,Engine!$C$2:$C$1369,0)),"",INDEX('Compliance Database'!$F$2:$F$1369,MATCH(726,Engine!$C$2:$C$1369,0)))</f>
        <v/>
      </c>
      <c r="G739" s="8">
        <f>IF(ISNA(MATCH(726,Engine!$C$2:$C$1369,0)),"",INDEX('Compliance Database'!$G$2:$G$1369,MATCH(726,Engine!$C$2:$C$1369,0)))</f>
        <v/>
      </c>
      <c r="H739" s="9">
        <f>IF(ISNA(MATCH(726,Engine!$C$2:$C$1369,0)),"",INDEX('Compliance Database'!$H$2:$H$1369,MATCH(726,Engine!$C$2:$C$1369,0)))</f>
        <v/>
      </c>
      <c r="I739" s="9">
        <f>IF(ISNA(MATCH(726,Engine!$C$2:$C$1369,0)),"",INDEX('Compliance Database'!$I$2:$I$1369,MATCH(726,Engine!$C$2:$C$1369,0)))</f>
        <v/>
      </c>
      <c r="J739" s="8">
        <f>IF(ISNA(MATCH(726,Engine!$C$2:$C$1369,0)),"",INDEX('Compliance Database'!$J$2:$J$1369,MATCH(726,Engine!$C$2:$C$1369,0)))</f>
        <v/>
      </c>
      <c r="K739" s="9">
        <f>IF(ISNA(MATCH(726,Engine!$C$2:$C$1369,0)),"",INDEX('Compliance Database'!$K$2:$K$1369,MATCH(726,Engine!$C$2:$C$1369,0)))</f>
        <v/>
      </c>
      <c r="L739" s="9">
        <f>IF(ISNA(MATCH(726,Engine!$C$2:$C$1369,0)),"",INDEX('Compliance Database'!$L$2:$L$1369,MATCH(726,Engine!$C$2:$C$1369,0)))</f>
        <v/>
      </c>
      <c r="M739" s="9">
        <f>IF(ISNA(MATCH(726,Engine!$C$2:$C$1369,0)),"",INDEX('Compliance Database'!$M$2:$M$1369,MATCH(726,Engine!$C$2:$C$1369,0)))</f>
        <v/>
      </c>
      <c r="N739" s="9">
        <f>IF(ISNA(MATCH(726,Engine!$C$2:$C$1369,0)),"",INDEX('Compliance Database'!$N$2:$N$1369,MATCH(726,Engine!$C$2:$C$1369,0)))</f>
        <v/>
      </c>
      <c r="O739" s="8">
        <f>IF(ISNA(MATCH(726,Engine!$C$2:$C$1369,0)),"",HYPERLINK(INDEX('Compliance Database'!$O$2:$O$1369,MATCH(726,Engine!$C$2:$C$1369,0)),"Open PDF"))</f>
        <v/>
      </c>
    </row>
    <row r="740" ht="188" customHeight="1">
      <c r="A740" s="8">
        <f>IF(ISNA(MATCH(727,Engine!$C$2:$C$1369,0)),"",INDEX('Compliance Database'!$A$2:$A$1369,MATCH(727,Engine!$C$2:$C$1369,0)))</f>
        <v/>
      </c>
      <c r="B740" s="8">
        <f>IF(ISNA(MATCH(727,Engine!$C$2:$C$1369,0)),"",INDEX('Compliance Database'!$B$2:$B$1369,MATCH(727,Engine!$C$2:$C$1369,0)))</f>
        <v/>
      </c>
      <c r="C740" s="8">
        <f>IF(ISNA(MATCH(727,Engine!$C$2:$C$1369,0)),"",INDEX('Compliance Database'!$C$2:$C$1369,MATCH(727,Engine!$C$2:$C$1369,0)))</f>
        <v/>
      </c>
      <c r="D740" s="9">
        <f>IF(ISNA(MATCH(727,Engine!$C$2:$C$1369,0)),"",INDEX('Compliance Database'!$D$2:$D$1369,MATCH(727,Engine!$C$2:$C$1369,0)))</f>
        <v/>
      </c>
      <c r="E740" s="8">
        <f>IF(ISNA(MATCH(727,Engine!$C$2:$C$1369,0)),"",INDEX('Compliance Database'!$E$2:$E$1369,MATCH(727,Engine!$C$2:$C$1369,0)))</f>
        <v/>
      </c>
      <c r="F740" s="8">
        <f>IF(ISNA(MATCH(727,Engine!$C$2:$C$1369,0)),"",INDEX('Compliance Database'!$F$2:$F$1369,MATCH(727,Engine!$C$2:$C$1369,0)))</f>
        <v/>
      </c>
      <c r="G740" s="8">
        <f>IF(ISNA(MATCH(727,Engine!$C$2:$C$1369,0)),"",INDEX('Compliance Database'!$G$2:$G$1369,MATCH(727,Engine!$C$2:$C$1369,0)))</f>
        <v/>
      </c>
      <c r="H740" s="9">
        <f>IF(ISNA(MATCH(727,Engine!$C$2:$C$1369,0)),"",INDEX('Compliance Database'!$H$2:$H$1369,MATCH(727,Engine!$C$2:$C$1369,0)))</f>
        <v/>
      </c>
      <c r="I740" s="9">
        <f>IF(ISNA(MATCH(727,Engine!$C$2:$C$1369,0)),"",INDEX('Compliance Database'!$I$2:$I$1369,MATCH(727,Engine!$C$2:$C$1369,0)))</f>
        <v/>
      </c>
      <c r="J740" s="8">
        <f>IF(ISNA(MATCH(727,Engine!$C$2:$C$1369,0)),"",INDEX('Compliance Database'!$J$2:$J$1369,MATCH(727,Engine!$C$2:$C$1369,0)))</f>
        <v/>
      </c>
      <c r="K740" s="9">
        <f>IF(ISNA(MATCH(727,Engine!$C$2:$C$1369,0)),"",INDEX('Compliance Database'!$K$2:$K$1369,MATCH(727,Engine!$C$2:$C$1369,0)))</f>
        <v/>
      </c>
      <c r="L740" s="9">
        <f>IF(ISNA(MATCH(727,Engine!$C$2:$C$1369,0)),"",INDEX('Compliance Database'!$L$2:$L$1369,MATCH(727,Engine!$C$2:$C$1369,0)))</f>
        <v/>
      </c>
      <c r="M740" s="9">
        <f>IF(ISNA(MATCH(727,Engine!$C$2:$C$1369,0)),"",INDEX('Compliance Database'!$M$2:$M$1369,MATCH(727,Engine!$C$2:$C$1369,0)))</f>
        <v/>
      </c>
      <c r="N740" s="9">
        <f>IF(ISNA(MATCH(727,Engine!$C$2:$C$1369,0)),"",INDEX('Compliance Database'!$N$2:$N$1369,MATCH(727,Engine!$C$2:$C$1369,0)))</f>
        <v/>
      </c>
      <c r="O740" s="8">
        <f>IF(ISNA(MATCH(727,Engine!$C$2:$C$1369,0)),"",HYPERLINK(INDEX('Compliance Database'!$O$2:$O$1369,MATCH(727,Engine!$C$2:$C$1369,0)),"Open PDF"))</f>
        <v/>
      </c>
    </row>
    <row r="741" ht="188" customHeight="1">
      <c r="A741" s="8">
        <f>IF(ISNA(MATCH(728,Engine!$C$2:$C$1369,0)),"",INDEX('Compliance Database'!$A$2:$A$1369,MATCH(728,Engine!$C$2:$C$1369,0)))</f>
        <v/>
      </c>
      <c r="B741" s="8">
        <f>IF(ISNA(MATCH(728,Engine!$C$2:$C$1369,0)),"",INDEX('Compliance Database'!$B$2:$B$1369,MATCH(728,Engine!$C$2:$C$1369,0)))</f>
        <v/>
      </c>
      <c r="C741" s="8">
        <f>IF(ISNA(MATCH(728,Engine!$C$2:$C$1369,0)),"",INDEX('Compliance Database'!$C$2:$C$1369,MATCH(728,Engine!$C$2:$C$1369,0)))</f>
        <v/>
      </c>
      <c r="D741" s="9">
        <f>IF(ISNA(MATCH(728,Engine!$C$2:$C$1369,0)),"",INDEX('Compliance Database'!$D$2:$D$1369,MATCH(728,Engine!$C$2:$C$1369,0)))</f>
        <v/>
      </c>
      <c r="E741" s="8">
        <f>IF(ISNA(MATCH(728,Engine!$C$2:$C$1369,0)),"",INDEX('Compliance Database'!$E$2:$E$1369,MATCH(728,Engine!$C$2:$C$1369,0)))</f>
        <v/>
      </c>
      <c r="F741" s="8">
        <f>IF(ISNA(MATCH(728,Engine!$C$2:$C$1369,0)),"",INDEX('Compliance Database'!$F$2:$F$1369,MATCH(728,Engine!$C$2:$C$1369,0)))</f>
        <v/>
      </c>
      <c r="G741" s="8">
        <f>IF(ISNA(MATCH(728,Engine!$C$2:$C$1369,0)),"",INDEX('Compliance Database'!$G$2:$G$1369,MATCH(728,Engine!$C$2:$C$1369,0)))</f>
        <v/>
      </c>
      <c r="H741" s="9">
        <f>IF(ISNA(MATCH(728,Engine!$C$2:$C$1369,0)),"",INDEX('Compliance Database'!$H$2:$H$1369,MATCH(728,Engine!$C$2:$C$1369,0)))</f>
        <v/>
      </c>
      <c r="I741" s="9">
        <f>IF(ISNA(MATCH(728,Engine!$C$2:$C$1369,0)),"",INDEX('Compliance Database'!$I$2:$I$1369,MATCH(728,Engine!$C$2:$C$1369,0)))</f>
        <v/>
      </c>
      <c r="J741" s="8">
        <f>IF(ISNA(MATCH(728,Engine!$C$2:$C$1369,0)),"",INDEX('Compliance Database'!$J$2:$J$1369,MATCH(728,Engine!$C$2:$C$1369,0)))</f>
        <v/>
      </c>
      <c r="K741" s="9">
        <f>IF(ISNA(MATCH(728,Engine!$C$2:$C$1369,0)),"",INDEX('Compliance Database'!$K$2:$K$1369,MATCH(728,Engine!$C$2:$C$1369,0)))</f>
        <v/>
      </c>
      <c r="L741" s="9">
        <f>IF(ISNA(MATCH(728,Engine!$C$2:$C$1369,0)),"",INDEX('Compliance Database'!$L$2:$L$1369,MATCH(728,Engine!$C$2:$C$1369,0)))</f>
        <v/>
      </c>
      <c r="M741" s="9">
        <f>IF(ISNA(MATCH(728,Engine!$C$2:$C$1369,0)),"",INDEX('Compliance Database'!$M$2:$M$1369,MATCH(728,Engine!$C$2:$C$1369,0)))</f>
        <v/>
      </c>
      <c r="N741" s="9">
        <f>IF(ISNA(MATCH(728,Engine!$C$2:$C$1369,0)),"",INDEX('Compliance Database'!$N$2:$N$1369,MATCH(728,Engine!$C$2:$C$1369,0)))</f>
        <v/>
      </c>
      <c r="O741" s="8">
        <f>IF(ISNA(MATCH(728,Engine!$C$2:$C$1369,0)),"",HYPERLINK(INDEX('Compliance Database'!$O$2:$O$1369,MATCH(728,Engine!$C$2:$C$1369,0)),"Open PDF"))</f>
        <v/>
      </c>
    </row>
    <row r="742" ht="188" customHeight="1">
      <c r="A742" s="8">
        <f>IF(ISNA(MATCH(729,Engine!$C$2:$C$1369,0)),"",INDEX('Compliance Database'!$A$2:$A$1369,MATCH(729,Engine!$C$2:$C$1369,0)))</f>
        <v/>
      </c>
      <c r="B742" s="8">
        <f>IF(ISNA(MATCH(729,Engine!$C$2:$C$1369,0)),"",INDEX('Compliance Database'!$B$2:$B$1369,MATCH(729,Engine!$C$2:$C$1369,0)))</f>
        <v/>
      </c>
      <c r="C742" s="8">
        <f>IF(ISNA(MATCH(729,Engine!$C$2:$C$1369,0)),"",INDEX('Compliance Database'!$C$2:$C$1369,MATCH(729,Engine!$C$2:$C$1369,0)))</f>
        <v/>
      </c>
      <c r="D742" s="9">
        <f>IF(ISNA(MATCH(729,Engine!$C$2:$C$1369,0)),"",INDEX('Compliance Database'!$D$2:$D$1369,MATCH(729,Engine!$C$2:$C$1369,0)))</f>
        <v/>
      </c>
      <c r="E742" s="8">
        <f>IF(ISNA(MATCH(729,Engine!$C$2:$C$1369,0)),"",INDEX('Compliance Database'!$E$2:$E$1369,MATCH(729,Engine!$C$2:$C$1369,0)))</f>
        <v/>
      </c>
      <c r="F742" s="8">
        <f>IF(ISNA(MATCH(729,Engine!$C$2:$C$1369,0)),"",INDEX('Compliance Database'!$F$2:$F$1369,MATCH(729,Engine!$C$2:$C$1369,0)))</f>
        <v/>
      </c>
      <c r="G742" s="8">
        <f>IF(ISNA(MATCH(729,Engine!$C$2:$C$1369,0)),"",INDEX('Compliance Database'!$G$2:$G$1369,MATCH(729,Engine!$C$2:$C$1369,0)))</f>
        <v/>
      </c>
      <c r="H742" s="9">
        <f>IF(ISNA(MATCH(729,Engine!$C$2:$C$1369,0)),"",INDEX('Compliance Database'!$H$2:$H$1369,MATCH(729,Engine!$C$2:$C$1369,0)))</f>
        <v/>
      </c>
      <c r="I742" s="9">
        <f>IF(ISNA(MATCH(729,Engine!$C$2:$C$1369,0)),"",INDEX('Compliance Database'!$I$2:$I$1369,MATCH(729,Engine!$C$2:$C$1369,0)))</f>
        <v/>
      </c>
      <c r="J742" s="8">
        <f>IF(ISNA(MATCH(729,Engine!$C$2:$C$1369,0)),"",INDEX('Compliance Database'!$J$2:$J$1369,MATCH(729,Engine!$C$2:$C$1369,0)))</f>
        <v/>
      </c>
      <c r="K742" s="9">
        <f>IF(ISNA(MATCH(729,Engine!$C$2:$C$1369,0)),"",INDEX('Compliance Database'!$K$2:$K$1369,MATCH(729,Engine!$C$2:$C$1369,0)))</f>
        <v/>
      </c>
      <c r="L742" s="9">
        <f>IF(ISNA(MATCH(729,Engine!$C$2:$C$1369,0)),"",INDEX('Compliance Database'!$L$2:$L$1369,MATCH(729,Engine!$C$2:$C$1369,0)))</f>
        <v/>
      </c>
      <c r="M742" s="9">
        <f>IF(ISNA(MATCH(729,Engine!$C$2:$C$1369,0)),"",INDEX('Compliance Database'!$M$2:$M$1369,MATCH(729,Engine!$C$2:$C$1369,0)))</f>
        <v/>
      </c>
      <c r="N742" s="9">
        <f>IF(ISNA(MATCH(729,Engine!$C$2:$C$1369,0)),"",INDEX('Compliance Database'!$N$2:$N$1369,MATCH(729,Engine!$C$2:$C$1369,0)))</f>
        <v/>
      </c>
      <c r="O742" s="8">
        <f>IF(ISNA(MATCH(729,Engine!$C$2:$C$1369,0)),"",HYPERLINK(INDEX('Compliance Database'!$O$2:$O$1369,MATCH(729,Engine!$C$2:$C$1369,0)),"Open PDF"))</f>
        <v/>
      </c>
    </row>
    <row r="743" ht="188" customHeight="1">
      <c r="A743" s="8">
        <f>IF(ISNA(MATCH(730,Engine!$C$2:$C$1369,0)),"",INDEX('Compliance Database'!$A$2:$A$1369,MATCH(730,Engine!$C$2:$C$1369,0)))</f>
        <v/>
      </c>
      <c r="B743" s="8">
        <f>IF(ISNA(MATCH(730,Engine!$C$2:$C$1369,0)),"",INDEX('Compliance Database'!$B$2:$B$1369,MATCH(730,Engine!$C$2:$C$1369,0)))</f>
        <v/>
      </c>
      <c r="C743" s="8">
        <f>IF(ISNA(MATCH(730,Engine!$C$2:$C$1369,0)),"",INDEX('Compliance Database'!$C$2:$C$1369,MATCH(730,Engine!$C$2:$C$1369,0)))</f>
        <v/>
      </c>
      <c r="D743" s="9">
        <f>IF(ISNA(MATCH(730,Engine!$C$2:$C$1369,0)),"",INDEX('Compliance Database'!$D$2:$D$1369,MATCH(730,Engine!$C$2:$C$1369,0)))</f>
        <v/>
      </c>
      <c r="E743" s="8">
        <f>IF(ISNA(MATCH(730,Engine!$C$2:$C$1369,0)),"",INDEX('Compliance Database'!$E$2:$E$1369,MATCH(730,Engine!$C$2:$C$1369,0)))</f>
        <v/>
      </c>
      <c r="F743" s="8">
        <f>IF(ISNA(MATCH(730,Engine!$C$2:$C$1369,0)),"",INDEX('Compliance Database'!$F$2:$F$1369,MATCH(730,Engine!$C$2:$C$1369,0)))</f>
        <v/>
      </c>
      <c r="G743" s="8">
        <f>IF(ISNA(MATCH(730,Engine!$C$2:$C$1369,0)),"",INDEX('Compliance Database'!$G$2:$G$1369,MATCH(730,Engine!$C$2:$C$1369,0)))</f>
        <v/>
      </c>
      <c r="H743" s="9">
        <f>IF(ISNA(MATCH(730,Engine!$C$2:$C$1369,0)),"",INDEX('Compliance Database'!$H$2:$H$1369,MATCH(730,Engine!$C$2:$C$1369,0)))</f>
        <v/>
      </c>
      <c r="I743" s="9">
        <f>IF(ISNA(MATCH(730,Engine!$C$2:$C$1369,0)),"",INDEX('Compliance Database'!$I$2:$I$1369,MATCH(730,Engine!$C$2:$C$1369,0)))</f>
        <v/>
      </c>
      <c r="J743" s="8">
        <f>IF(ISNA(MATCH(730,Engine!$C$2:$C$1369,0)),"",INDEX('Compliance Database'!$J$2:$J$1369,MATCH(730,Engine!$C$2:$C$1369,0)))</f>
        <v/>
      </c>
      <c r="K743" s="9">
        <f>IF(ISNA(MATCH(730,Engine!$C$2:$C$1369,0)),"",INDEX('Compliance Database'!$K$2:$K$1369,MATCH(730,Engine!$C$2:$C$1369,0)))</f>
        <v/>
      </c>
      <c r="L743" s="9">
        <f>IF(ISNA(MATCH(730,Engine!$C$2:$C$1369,0)),"",INDEX('Compliance Database'!$L$2:$L$1369,MATCH(730,Engine!$C$2:$C$1369,0)))</f>
        <v/>
      </c>
      <c r="M743" s="9">
        <f>IF(ISNA(MATCH(730,Engine!$C$2:$C$1369,0)),"",INDEX('Compliance Database'!$M$2:$M$1369,MATCH(730,Engine!$C$2:$C$1369,0)))</f>
        <v/>
      </c>
      <c r="N743" s="9">
        <f>IF(ISNA(MATCH(730,Engine!$C$2:$C$1369,0)),"",INDEX('Compliance Database'!$N$2:$N$1369,MATCH(730,Engine!$C$2:$C$1369,0)))</f>
        <v/>
      </c>
      <c r="O743" s="8">
        <f>IF(ISNA(MATCH(730,Engine!$C$2:$C$1369,0)),"",HYPERLINK(INDEX('Compliance Database'!$O$2:$O$1369,MATCH(730,Engine!$C$2:$C$1369,0)),"Open PDF"))</f>
        <v/>
      </c>
    </row>
    <row r="744" ht="188" customHeight="1">
      <c r="A744" s="8">
        <f>IF(ISNA(MATCH(731,Engine!$C$2:$C$1369,0)),"",INDEX('Compliance Database'!$A$2:$A$1369,MATCH(731,Engine!$C$2:$C$1369,0)))</f>
        <v/>
      </c>
      <c r="B744" s="8">
        <f>IF(ISNA(MATCH(731,Engine!$C$2:$C$1369,0)),"",INDEX('Compliance Database'!$B$2:$B$1369,MATCH(731,Engine!$C$2:$C$1369,0)))</f>
        <v/>
      </c>
      <c r="C744" s="8">
        <f>IF(ISNA(MATCH(731,Engine!$C$2:$C$1369,0)),"",INDEX('Compliance Database'!$C$2:$C$1369,MATCH(731,Engine!$C$2:$C$1369,0)))</f>
        <v/>
      </c>
      <c r="D744" s="9">
        <f>IF(ISNA(MATCH(731,Engine!$C$2:$C$1369,0)),"",INDEX('Compliance Database'!$D$2:$D$1369,MATCH(731,Engine!$C$2:$C$1369,0)))</f>
        <v/>
      </c>
      <c r="E744" s="8">
        <f>IF(ISNA(MATCH(731,Engine!$C$2:$C$1369,0)),"",INDEX('Compliance Database'!$E$2:$E$1369,MATCH(731,Engine!$C$2:$C$1369,0)))</f>
        <v/>
      </c>
      <c r="F744" s="8">
        <f>IF(ISNA(MATCH(731,Engine!$C$2:$C$1369,0)),"",INDEX('Compliance Database'!$F$2:$F$1369,MATCH(731,Engine!$C$2:$C$1369,0)))</f>
        <v/>
      </c>
      <c r="G744" s="8">
        <f>IF(ISNA(MATCH(731,Engine!$C$2:$C$1369,0)),"",INDEX('Compliance Database'!$G$2:$G$1369,MATCH(731,Engine!$C$2:$C$1369,0)))</f>
        <v/>
      </c>
      <c r="H744" s="9">
        <f>IF(ISNA(MATCH(731,Engine!$C$2:$C$1369,0)),"",INDEX('Compliance Database'!$H$2:$H$1369,MATCH(731,Engine!$C$2:$C$1369,0)))</f>
        <v/>
      </c>
      <c r="I744" s="9">
        <f>IF(ISNA(MATCH(731,Engine!$C$2:$C$1369,0)),"",INDEX('Compliance Database'!$I$2:$I$1369,MATCH(731,Engine!$C$2:$C$1369,0)))</f>
        <v/>
      </c>
      <c r="J744" s="8">
        <f>IF(ISNA(MATCH(731,Engine!$C$2:$C$1369,0)),"",INDEX('Compliance Database'!$J$2:$J$1369,MATCH(731,Engine!$C$2:$C$1369,0)))</f>
        <v/>
      </c>
      <c r="K744" s="9">
        <f>IF(ISNA(MATCH(731,Engine!$C$2:$C$1369,0)),"",INDEX('Compliance Database'!$K$2:$K$1369,MATCH(731,Engine!$C$2:$C$1369,0)))</f>
        <v/>
      </c>
      <c r="L744" s="9">
        <f>IF(ISNA(MATCH(731,Engine!$C$2:$C$1369,0)),"",INDEX('Compliance Database'!$L$2:$L$1369,MATCH(731,Engine!$C$2:$C$1369,0)))</f>
        <v/>
      </c>
      <c r="M744" s="9">
        <f>IF(ISNA(MATCH(731,Engine!$C$2:$C$1369,0)),"",INDEX('Compliance Database'!$M$2:$M$1369,MATCH(731,Engine!$C$2:$C$1369,0)))</f>
        <v/>
      </c>
      <c r="N744" s="9">
        <f>IF(ISNA(MATCH(731,Engine!$C$2:$C$1369,0)),"",INDEX('Compliance Database'!$N$2:$N$1369,MATCH(731,Engine!$C$2:$C$1369,0)))</f>
        <v/>
      </c>
      <c r="O744" s="8">
        <f>IF(ISNA(MATCH(731,Engine!$C$2:$C$1369,0)),"",HYPERLINK(INDEX('Compliance Database'!$O$2:$O$1369,MATCH(731,Engine!$C$2:$C$1369,0)),"Open PDF"))</f>
        <v/>
      </c>
    </row>
    <row r="745" ht="188" customHeight="1">
      <c r="A745" s="8">
        <f>IF(ISNA(MATCH(732,Engine!$C$2:$C$1369,0)),"",INDEX('Compliance Database'!$A$2:$A$1369,MATCH(732,Engine!$C$2:$C$1369,0)))</f>
        <v/>
      </c>
      <c r="B745" s="8">
        <f>IF(ISNA(MATCH(732,Engine!$C$2:$C$1369,0)),"",INDEX('Compliance Database'!$B$2:$B$1369,MATCH(732,Engine!$C$2:$C$1369,0)))</f>
        <v/>
      </c>
      <c r="C745" s="8">
        <f>IF(ISNA(MATCH(732,Engine!$C$2:$C$1369,0)),"",INDEX('Compliance Database'!$C$2:$C$1369,MATCH(732,Engine!$C$2:$C$1369,0)))</f>
        <v/>
      </c>
      <c r="D745" s="9">
        <f>IF(ISNA(MATCH(732,Engine!$C$2:$C$1369,0)),"",INDEX('Compliance Database'!$D$2:$D$1369,MATCH(732,Engine!$C$2:$C$1369,0)))</f>
        <v/>
      </c>
      <c r="E745" s="8">
        <f>IF(ISNA(MATCH(732,Engine!$C$2:$C$1369,0)),"",INDEX('Compliance Database'!$E$2:$E$1369,MATCH(732,Engine!$C$2:$C$1369,0)))</f>
        <v/>
      </c>
      <c r="F745" s="8">
        <f>IF(ISNA(MATCH(732,Engine!$C$2:$C$1369,0)),"",INDEX('Compliance Database'!$F$2:$F$1369,MATCH(732,Engine!$C$2:$C$1369,0)))</f>
        <v/>
      </c>
      <c r="G745" s="8">
        <f>IF(ISNA(MATCH(732,Engine!$C$2:$C$1369,0)),"",INDEX('Compliance Database'!$G$2:$G$1369,MATCH(732,Engine!$C$2:$C$1369,0)))</f>
        <v/>
      </c>
      <c r="H745" s="9">
        <f>IF(ISNA(MATCH(732,Engine!$C$2:$C$1369,0)),"",INDEX('Compliance Database'!$H$2:$H$1369,MATCH(732,Engine!$C$2:$C$1369,0)))</f>
        <v/>
      </c>
      <c r="I745" s="9">
        <f>IF(ISNA(MATCH(732,Engine!$C$2:$C$1369,0)),"",INDEX('Compliance Database'!$I$2:$I$1369,MATCH(732,Engine!$C$2:$C$1369,0)))</f>
        <v/>
      </c>
      <c r="J745" s="8">
        <f>IF(ISNA(MATCH(732,Engine!$C$2:$C$1369,0)),"",INDEX('Compliance Database'!$J$2:$J$1369,MATCH(732,Engine!$C$2:$C$1369,0)))</f>
        <v/>
      </c>
      <c r="K745" s="9">
        <f>IF(ISNA(MATCH(732,Engine!$C$2:$C$1369,0)),"",INDEX('Compliance Database'!$K$2:$K$1369,MATCH(732,Engine!$C$2:$C$1369,0)))</f>
        <v/>
      </c>
      <c r="L745" s="9">
        <f>IF(ISNA(MATCH(732,Engine!$C$2:$C$1369,0)),"",INDEX('Compliance Database'!$L$2:$L$1369,MATCH(732,Engine!$C$2:$C$1369,0)))</f>
        <v/>
      </c>
      <c r="M745" s="9">
        <f>IF(ISNA(MATCH(732,Engine!$C$2:$C$1369,0)),"",INDEX('Compliance Database'!$M$2:$M$1369,MATCH(732,Engine!$C$2:$C$1369,0)))</f>
        <v/>
      </c>
      <c r="N745" s="9">
        <f>IF(ISNA(MATCH(732,Engine!$C$2:$C$1369,0)),"",INDEX('Compliance Database'!$N$2:$N$1369,MATCH(732,Engine!$C$2:$C$1369,0)))</f>
        <v/>
      </c>
      <c r="O745" s="8">
        <f>IF(ISNA(MATCH(732,Engine!$C$2:$C$1369,0)),"",HYPERLINK(INDEX('Compliance Database'!$O$2:$O$1369,MATCH(732,Engine!$C$2:$C$1369,0)),"Open PDF"))</f>
        <v/>
      </c>
    </row>
    <row r="746" ht="188" customHeight="1">
      <c r="A746" s="8">
        <f>IF(ISNA(MATCH(733,Engine!$C$2:$C$1369,0)),"",INDEX('Compliance Database'!$A$2:$A$1369,MATCH(733,Engine!$C$2:$C$1369,0)))</f>
        <v/>
      </c>
      <c r="B746" s="8">
        <f>IF(ISNA(MATCH(733,Engine!$C$2:$C$1369,0)),"",INDEX('Compliance Database'!$B$2:$B$1369,MATCH(733,Engine!$C$2:$C$1369,0)))</f>
        <v/>
      </c>
      <c r="C746" s="8">
        <f>IF(ISNA(MATCH(733,Engine!$C$2:$C$1369,0)),"",INDEX('Compliance Database'!$C$2:$C$1369,MATCH(733,Engine!$C$2:$C$1369,0)))</f>
        <v/>
      </c>
      <c r="D746" s="9">
        <f>IF(ISNA(MATCH(733,Engine!$C$2:$C$1369,0)),"",INDEX('Compliance Database'!$D$2:$D$1369,MATCH(733,Engine!$C$2:$C$1369,0)))</f>
        <v/>
      </c>
      <c r="E746" s="8">
        <f>IF(ISNA(MATCH(733,Engine!$C$2:$C$1369,0)),"",INDEX('Compliance Database'!$E$2:$E$1369,MATCH(733,Engine!$C$2:$C$1369,0)))</f>
        <v/>
      </c>
      <c r="F746" s="8">
        <f>IF(ISNA(MATCH(733,Engine!$C$2:$C$1369,0)),"",INDEX('Compliance Database'!$F$2:$F$1369,MATCH(733,Engine!$C$2:$C$1369,0)))</f>
        <v/>
      </c>
      <c r="G746" s="8">
        <f>IF(ISNA(MATCH(733,Engine!$C$2:$C$1369,0)),"",INDEX('Compliance Database'!$G$2:$G$1369,MATCH(733,Engine!$C$2:$C$1369,0)))</f>
        <v/>
      </c>
      <c r="H746" s="9">
        <f>IF(ISNA(MATCH(733,Engine!$C$2:$C$1369,0)),"",INDEX('Compliance Database'!$H$2:$H$1369,MATCH(733,Engine!$C$2:$C$1369,0)))</f>
        <v/>
      </c>
      <c r="I746" s="9">
        <f>IF(ISNA(MATCH(733,Engine!$C$2:$C$1369,0)),"",INDEX('Compliance Database'!$I$2:$I$1369,MATCH(733,Engine!$C$2:$C$1369,0)))</f>
        <v/>
      </c>
      <c r="J746" s="8">
        <f>IF(ISNA(MATCH(733,Engine!$C$2:$C$1369,0)),"",INDEX('Compliance Database'!$J$2:$J$1369,MATCH(733,Engine!$C$2:$C$1369,0)))</f>
        <v/>
      </c>
      <c r="K746" s="9">
        <f>IF(ISNA(MATCH(733,Engine!$C$2:$C$1369,0)),"",INDEX('Compliance Database'!$K$2:$K$1369,MATCH(733,Engine!$C$2:$C$1369,0)))</f>
        <v/>
      </c>
      <c r="L746" s="9">
        <f>IF(ISNA(MATCH(733,Engine!$C$2:$C$1369,0)),"",INDEX('Compliance Database'!$L$2:$L$1369,MATCH(733,Engine!$C$2:$C$1369,0)))</f>
        <v/>
      </c>
      <c r="M746" s="9">
        <f>IF(ISNA(MATCH(733,Engine!$C$2:$C$1369,0)),"",INDEX('Compliance Database'!$M$2:$M$1369,MATCH(733,Engine!$C$2:$C$1369,0)))</f>
        <v/>
      </c>
      <c r="N746" s="9">
        <f>IF(ISNA(MATCH(733,Engine!$C$2:$C$1369,0)),"",INDEX('Compliance Database'!$N$2:$N$1369,MATCH(733,Engine!$C$2:$C$1369,0)))</f>
        <v/>
      </c>
      <c r="O746" s="8">
        <f>IF(ISNA(MATCH(733,Engine!$C$2:$C$1369,0)),"",HYPERLINK(INDEX('Compliance Database'!$O$2:$O$1369,MATCH(733,Engine!$C$2:$C$1369,0)),"Open PDF"))</f>
        <v/>
      </c>
    </row>
    <row r="747" ht="188" customHeight="1">
      <c r="A747" s="8">
        <f>IF(ISNA(MATCH(734,Engine!$C$2:$C$1369,0)),"",INDEX('Compliance Database'!$A$2:$A$1369,MATCH(734,Engine!$C$2:$C$1369,0)))</f>
        <v/>
      </c>
      <c r="B747" s="8">
        <f>IF(ISNA(MATCH(734,Engine!$C$2:$C$1369,0)),"",INDEX('Compliance Database'!$B$2:$B$1369,MATCH(734,Engine!$C$2:$C$1369,0)))</f>
        <v/>
      </c>
      <c r="C747" s="8">
        <f>IF(ISNA(MATCH(734,Engine!$C$2:$C$1369,0)),"",INDEX('Compliance Database'!$C$2:$C$1369,MATCH(734,Engine!$C$2:$C$1369,0)))</f>
        <v/>
      </c>
      <c r="D747" s="9">
        <f>IF(ISNA(MATCH(734,Engine!$C$2:$C$1369,0)),"",INDEX('Compliance Database'!$D$2:$D$1369,MATCH(734,Engine!$C$2:$C$1369,0)))</f>
        <v/>
      </c>
      <c r="E747" s="8">
        <f>IF(ISNA(MATCH(734,Engine!$C$2:$C$1369,0)),"",INDEX('Compliance Database'!$E$2:$E$1369,MATCH(734,Engine!$C$2:$C$1369,0)))</f>
        <v/>
      </c>
      <c r="F747" s="8">
        <f>IF(ISNA(MATCH(734,Engine!$C$2:$C$1369,0)),"",INDEX('Compliance Database'!$F$2:$F$1369,MATCH(734,Engine!$C$2:$C$1369,0)))</f>
        <v/>
      </c>
      <c r="G747" s="8">
        <f>IF(ISNA(MATCH(734,Engine!$C$2:$C$1369,0)),"",INDEX('Compliance Database'!$G$2:$G$1369,MATCH(734,Engine!$C$2:$C$1369,0)))</f>
        <v/>
      </c>
      <c r="H747" s="9">
        <f>IF(ISNA(MATCH(734,Engine!$C$2:$C$1369,0)),"",INDEX('Compliance Database'!$H$2:$H$1369,MATCH(734,Engine!$C$2:$C$1369,0)))</f>
        <v/>
      </c>
      <c r="I747" s="9">
        <f>IF(ISNA(MATCH(734,Engine!$C$2:$C$1369,0)),"",INDEX('Compliance Database'!$I$2:$I$1369,MATCH(734,Engine!$C$2:$C$1369,0)))</f>
        <v/>
      </c>
      <c r="J747" s="8">
        <f>IF(ISNA(MATCH(734,Engine!$C$2:$C$1369,0)),"",INDEX('Compliance Database'!$J$2:$J$1369,MATCH(734,Engine!$C$2:$C$1369,0)))</f>
        <v/>
      </c>
      <c r="K747" s="9">
        <f>IF(ISNA(MATCH(734,Engine!$C$2:$C$1369,0)),"",INDEX('Compliance Database'!$K$2:$K$1369,MATCH(734,Engine!$C$2:$C$1369,0)))</f>
        <v/>
      </c>
      <c r="L747" s="9">
        <f>IF(ISNA(MATCH(734,Engine!$C$2:$C$1369,0)),"",INDEX('Compliance Database'!$L$2:$L$1369,MATCH(734,Engine!$C$2:$C$1369,0)))</f>
        <v/>
      </c>
      <c r="M747" s="9">
        <f>IF(ISNA(MATCH(734,Engine!$C$2:$C$1369,0)),"",INDEX('Compliance Database'!$M$2:$M$1369,MATCH(734,Engine!$C$2:$C$1369,0)))</f>
        <v/>
      </c>
      <c r="N747" s="9">
        <f>IF(ISNA(MATCH(734,Engine!$C$2:$C$1369,0)),"",INDEX('Compliance Database'!$N$2:$N$1369,MATCH(734,Engine!$C$2:$C$1369,0)))</f>
        <v/>
      </c>
      <c r="O747" s="8">
        <f>IF(ISNA(MATCH(734,Engine!$C$2:$C$1369,0)),"",HYPERLINK(INDEX('Compliance Database'!$O$2:$O$1369,MATCH(734,Engine!$C$2:$C$1369,0)),"Open PDF"))</f>
        <v/>
      </c>
    </row>
    <row r="748" ht="188" customHeight="1">
      <c r="A748" s="8">
        <f>IF(ISNA(MATCH(735,Engine!$C$2:$C$1369,0)),"",INDEX('Compliance Database'!$A$2:$A$1369,MATCH(735,Engine!$C$2:$C$1369,0)))</f>
        <v/>
      </c>
      <c r="B748" s="8">
        <f>IF(ISNA(MATCH(735,Engine!$C$2:$C$1369,0)),"",INDEX('Compliance Database'!$B$2:$B$1369,MATCH(735,Engine!$C$2:$C$1369,0)))</f>
        <v/>
      </c>
      <c r="C748" s="8">
        <f>IF(ISNA(MATCH(735,Engine!$C$2:$C$1369,0)),"",INDEX('Compliance Database'!$C$2:$C$1369,MATCH(735,Engine!$C$2:$C$1369,0)))</f>
        <v/>
      </c>
      <c r="D748" s="9">
        <f>IF(ISNA(MATCH(735,Engine!$C$2:$C$1369,0)),"",INDEX('Compliance Database'!$D$2:$D$1369,MATCH(735,Engine!$C$2:$C$1369,0)))</f>
        <v/>
      </c>
      <c r="E748" s="8">
        <f>IF(ISNA(MATCH(735,Engine!$C$2:$C$1369,0)),"",INDEX('Compliance Database'!$E$2:$E$1369,MATCH(735,Engine!$C$2:$C$1369,0)))</f>
        <v/>
      </c>
      <c r="F748" s="8">
        <f>IF(ISNA(MATCH(735,Engine!$C$2:$C$1369,0)),"",INDEX('Compliance Database'!$F$2:$F$1369,MATCH(735,Engine!$C$2:$C$1369,0)))</f>
        <v/>
      </c>
      <c r="G748" s="8">
        <f>IF(ISNA(MATCH(735,Engine!$C$2:$C$1369,0)),"",INDEX('Compliance Database'!$G$2:$G$1369,MATCH(735,Engine!$C$2:$C$1369,0)))</f>
        <v/>
      </c>
      <c r="H748" s="9">
        <f>IF(ISNA(MATCH(735,Engine!$C$2:$C$1369,0)),"",INDEX('Compliance Database'!$H$2:$H$1369,MATCH(735,Engine!$C$2:$C$1369,0)))</f>
        <v/>
      </c>
      <c r="I748" s="9">
        <f>IF(ISNA(MATCH(735,Engine!$C$2:$C$1369,0)),"",INDEX('Compliance Database'!$I$2:$I$1369,MATCH(735,Engine!$C$2:$C$1369,0)))</f>
        <v/>
      </c>
      <c r="J748" s="8">
        <f>IF(ISNA(MATCH(735,Engine!$C$2:$C$1369,0)),"",INDEX('Compliance Database'!$J$2:$J$1369,MATCH(735,Engine!$C$2:$C$1369,0)))</f>
        <v/>
      </c>
      <c r="K748" s="9">
        <f>IF(ISNA(MATCH(735,Engine!$C$2:$C$1369,0)),"",INDEX('Compliance Database'!$K$2:$K$1369,MATCH(735,Engine!$C$2:$C$1369,0)))</f>
        <v/>
      </c>
      <c r="L748" s="9">
        <f>IF(ISNA(MATCH(735,Engine!$C$2:$C$1369,0)),"",INDEX('Compliance Database'!$L$2:$L$1369,MATCH(735,Engine!$C$2:$C$1369,0)))</f>
        <v/>
      </c>
      <c r="M748" s="9">
        <f>IF(ISNA(MATCH(735,Engine!$C$2:$C$1369,0)),"",INDEX('Compliance Database'!$M$2:$M$1369,MATCH(735,Engine!$C$2:$C$1369,0)))</f>
        <v/>
      </c>
      <c r="N748" s="9">
        <f>IF(ISNA(MATCH(735,Engine!$C$2:$C$1369,0)),"",INDEX('Compliance Database'!$N$2:$N$1369,MATCH(735,Engine!$C$2:$C$1369,0)))</f>
        <v/>
      </c>
      <c r="O748" s="8">
        <f>IF(ISNA(MATCH(735,Engine!$C$2:$C$1369,0)),"",HYPERLINK(INDEX('Compliance Database'!$O$2:$O$1369,MATCH(735,Engine!$C$2:$C$1369,0)),"Open PDF"))</f>
        <v/>
      </c>
    </row>
    <row r="749" ht="188" customHeight="1">
      <c r="A749" s="8">
        <f>IF(ISNA(MATCH(736,Engine!$C$2:$C$1369,0)),"",INDEX('Compliance Database'!$A$2:$A$1369,MATCH(736,Engine!$C$2:$C$1369,0)))</f>
        <v/>
      </c>
      <c r="B749" s="8">
        <f>IF(ISNA(MATCH(736,Engine!$C$2:$C$1369,0)),"",INDEX('Compliance Database'!$B$2:$B$1369,MATCH(736,Engine!$C$2:$C$1369,0)))</f>
        <v/>
      </c>
      <c r="C749" s="8">
        <f>IF(ISNA(MATCH(736,Engine!$C$2:$C$1369,0)),"",INDEX('Compliance Database'!$C$2:$C$1369,MATCH(736,Engine!$C$2:$C$1369,0)))</f>
        <v/>
      </c>
      <c r="D749" s="9">
        <f>IF(ISNA(MATCH(736,Engine!$C$2:$C$1369,0)),"",INDEX('Compliance Database'!$D$2:$D$1369,MATCH(736,Engine!$C$2:$C$1369,0)))</f>
        <v/>
      </c>
      <c r="E749" s="8">
        <f>IF(ISNA(MATCH(736,Engine!$C$2:$C$1369,0)),"",INDEX('Compliance Database'!$E$2:$E$1369,MATCH(736,Engine!$C$2:$C$1369,0)))</f>
        <v/>
      </c>
      <c r="F749" s="8">
        <f>IF(ISNA(MATCH(736,Engine!$C$2:$C$1369,0)),"",INDEX('Compliance Database'!$F$2:$F$1369,MATCH(736,Engine!$C$2:$C$1369,0)))</f>
        <v/>
      </c>
      <c r="G749" s="8">
        <f>IF(ISNA(MATCH(736,Engine!$C$2:$C$1369,0)),"",INDEX('Compliance Database'!$G$2:$G$1369,MATCH(736,Engine!$C$2:$C$1369,0)))</f>
        <v/>
      </c>
      <c r="H749" s="9">
        <f>IF(ISNA(MATCH(736,Engine!$C$2:$C$1369,0)),"",INDEX('Compliance Database'!$H$2:$H$1369,MATCH(736,Engine!$C$2:$C$1369,0)))</f>
        <v/>
      </c>
      <c r="I749" s="9">
        <f>IF(ISNA(MATCH(736,Engine!$C$2:$C$1369,0)),"",INDEX('Compliance Database'!$I$2:$I$1369,MATCH(736,Engine!$C$2:$C$1369,0)))</f>
        <v/>
      </c>
      <c r="J749" s="8">
        <f>IF(ISNA(MATCH(736,Engine!$C$2:$C$1369,0)),"",INDEX('Compliance Database'!$J$2:$J$1369,MATCH(736,Engine!$C$2:$C$1369,0)))</f>
        <v/>
      </c>
      <c r="K749" s="9">
        <f>IF(ISNA(MATCH(736,Engine!$C$2:$C$1369,0)),"",INDEX('Compliance Database'!$K$2:$K$1369,MATCH(736,Engine!$C$2:$C$1369,0)))</f>
        <v/>
      </c>
      <c r="L749" s="9">
        <f>IF(ISNA(MATCH(736,Engine!$C$2:$C$1369,0)),"",INDEX('Compliance Database'!$L$2:$L$1369,MATCH(736,Engine!$C$2:$C$1369,0)))</f>
        <v/>
      </c>
      <c r="M749" s="9">
        <f>IF(ISNA(MATCH(736,Engine!$C$2:$C$1369,0)),"",INDEX('Compliance Database'!$M$2:$M$1369,MATCH(736,Engine!$C$2:$C$1369,0)))</f>
        <v/>
      </c>
      <c r="N749" s="9">
        <f>IF(ISNA(MATCH(736,Engine!$C$2:$C$1369,0)),"",INDEX('Compliance Database'!$N$2:$N$1369,MATCH(736,Engine!$C$2:$C$1369,0)))</f>
        <v/>
      </c>
      <c r="O749" s="8">
        <f>IF(ISNA(MATCH(736,Engine!$C$2:$C$1369,0)),"",HYPERLINK(INDEX('Compliance Database'!$O$2:$O$1369,MATCH(736,Engine!$C$2:$C$1369,0)),"Open PDF"))</f>
        <v/>
      </c>
    </row>
    <row r="750" ht="188" customHeight="1">
      <c r="A750" s="8">
        <f>IF(ISNA(MATCH(737,Engine!$C$2:$C$1369,0)),"",INDEX('Compliance Database'!$A$2:$A$1369,MATCH(737,Engine!$C$2:$C$1369,0)))</f>
        <v/>
      </c>
      <c r="B750" s="8">
        <f>IF(ISNA(MATCH(737,Engine!$C$2:$C$1369,0)),"",INDEX('Compliance Database'!$B$2:$B$1369,MATCH(737,Engine!$C$2:$C$1369,0)))</f>
        <v/>
      </c>
      <c r="C750" s="8">
        <f>IF(ISNA(MATCH(737,Engine!$C$2:$C$1369,0)),"",INDEX('Compliance Database'!$C$2:$C$1369,MATCH(737,Engine!$C$2:$C$1369,0)))</f>
        <v/>
      </c>
      <c r="D750" s="9">
        <f>IF(ISNA(MATCH(737,Engine!$C$2:$C$1369,0)),"",INDEX('Compliance Database'!$D$2:$D$1369,MATCH(737,Engine!$C$2:$C$1369,0)))</f>
        <v/>
      </c>
      <c r="E750" s="8">
        <f>IF(ISNA(MATCH(737,Engine!$C$2:$C$1369,0)),"",INDEX('Compliance Database'!$E$2:$E$1369,MATCH(737,Engine!$C$2:$C$1369,0)))</f>
        <v/>
      </c>
      <c r="F750" s="8">
        <f>IF(ISNA(MATCH(737,Engine!$C$2:$C$1369,0)),"",INDEX('Compliance Database'!$F$2:$F$1369,MATCH(737,Engine!$C$2:$C$1369,0)))</f>
        <v/>
      </c>
      <c r="G750" s="8">
        <f>IF(ISNA(MATCH(737,Engine!$C$2:$C$1369,0)),"",INDEX('Compliance Database'!$G$2:$G$1369,MATCH(737,Engine!$C$2:$C$1369,0)))</f>
        <v/>
      </c>
      <c r="H750" s="9">
        <f>IF(ISNA(MATCH(737,Engine!$C$2:$C$1369,0)),"",INDEX('Compliance Database'!$H$2:$H$1369,MATCH(737,Engine!$C$2:$C$1369,0)))</f>
        <v/>
      </c>
      <c r="I750" s="9">
        <f>IF(ISNA(MATCH(737,Engine!$C$2:$C$1369,0)),"",INDEX('Compliance Database'!$I$2:$I$1369,MATCH(737,Engine!$C$2:$C$1369,0)))</f>
        <v/>
      </c>
      <c r="J750" s="8">
        <f>IF(ISNA(MATCH(737,Engine!$C$2:$C$1369,0)),"",INDEX('Compliance Database'!$J$2:$J$1369,MATCH(737,Engine!$C$2:$C$1369,0)))</f>
        <v/>
      </c>
      <c r="K750" s="9">
        <f>IF(ISNA(MATCH(737,Engine!$C$2:$C$1369,0)),"",INDEX('Compliance Database'!$K$2:$K$1369,MATCH(737,Engine!$C$2:$C$1369,0)))</f>
        <v/>
      </c>
      <c r="L750" s="9">
        <f>IF(ISNA(MATCH(737,Engine!$C$2:$C$1369,0)),"",INDEX('Compliance Database'!$L$2:$L$1369,MATCH(737,Engine!$C$2:$C$1369,0)))</f>
        <v/>
      </c>
      <c r="M750" s="9">
        <f>IF(ISNA(MATCH(737,Engine!$C$2:$C$1369,0)),"",INDEX('Compliance Database'!$M$2:$M$1369,MATCH(737,Engine!$C$2:$C$1369,0)))</f>
        <v/>
      </c>
      <c r="N750" s="9">
        <f>IF(ISNA(MATCH(737,Engine!$C$2:$C$1369,0)),"",INDEX('Compliance Database'!$N$2:$N$1369,MATCH(737,Engine!$C$2:$C$1369,0)))</f>
        <v/>
      </c>
      <c r="O750" s="8">
        <f>IF(ISNA(MATCH(737,Engine!$C$2:$C$1369,0)),"",HYPERLINK(INDEX('Compliance Database'!$O$2:$O$1369,MATCH(737,Engine!$C$2:$C$1369,0)),"Open PDF"))</f>
        <v/>
      </c>
    </row>
    <row r="751" ht="188" customHeight="1">
      <c r="A751" s="8">
        <f>IF(ISNA(MATCH(738,Engine!$C$2:$C$1369,0)),"",INDEX('Compliance Database'!$A$2:$A$1369,MATCH(738,Engine!$C$2:$C$1369,0)))</f>
        <v/>
      </c>
      <c r="B751" s="8">
        <f>IF(ISNA(MATCH(738,Engine!$C$2:$C$1369,0)),"",INDEX('Compliance Database'!$B$2:$B$1369,MATCH(738,Engine!$C$2:$C$1369,0)))</f>
        <v/>
      </c>
      <c r="C751" s="8">
        <f>IF(ISNA(MATCH(738,Engine!$C$2:$C$1369,0)),"",INDEX('Compliance Database'!$C$2:$C$1369,MATCH(738,Engine!$C$2:$C$1369,0)))</f>
        <v/>
      </c>
      <c r="D751" s="9">
        <f>IF(ISNA(MATCH(738,Engine!$C$2:$C$1369,0)),"",INDEX('Compliance Database'!$D$2:$D$1369,MATCH(738,Engine!$C$2:$C$1369,0)))</f>
        <v/>
      </c>
      <c r="E751" s="8">
        <f>IF(ISNA(MATCH(738,Engine!$C$2:$C$1369,0)),"",INDEX('Compliance Database'!$E$2:$E$1369,MATCH(738,Engine!$C$2:$C$1369,0)))</f>
        <v/>
      </c>
      <c r="F751" s="8">
        <f>IF(ISNA(MATCH(738,Engine!$C$2:$C$1369,0)),"",INDEX('Compliance Database'!$F$2:$F$1369,MATCH(738,Engine!$C$2:$C$1369,0)))</f>
        <v/>
      </c>
      <c r="G751" s="8">
        <f>IF(ISNA(MATCH(738,Engine!$C$2:$C$1369,0)),"",INDEX('Compliance Database'!$G$2:$G$1369,MATCH(738,Engine!$C$2:$C$1369,0)))</f>
        <v/>
      </c>
      <c r="H751" s="9">
        <f>IF(ISNA(MATCH(738,Engine!$C$2:$C$1369,0)),"",INDEX('Compliance Database'!$H$2:$H$1369,MATCH(738,Engine!$C$2:$C$1369,0)))</f>
        <v/>
      </c>
      <c r="I751" s="9">
        <f>IF(ISNA(MATCH(738,Engine!$C$2:$C$1369,0)),"",INDEX('Compliance Database'!$I$2:$I$1369,MATCH(738,Engine!$C$2:$C$1369,0)))</f>
        <v/>
      </c>
      <c r="J751" s="8">
        <f>IF(ISNA(MATCH(738,Engine!$C$2:$C$1369,0)),"",INDEX('Compliance Database'!$J$2:$J$1369,MATCH(738,Engine!$C$2:$C$1369,0)))</f>
        <v/>
      </c>
      <c r="K751" s="9">
        <f>IF(ISNA(MATCH(738,Engine!$C$2:$C$1369,0)),"",INDEX('Compliance Database'!$K$2:$K$1369,MATCH(738,Engine!$C$2:$C$1369,0)))</f>
        <v/>
      </c>
      <c r="L751" s="9">
        <f>IF(ISNA(MATCH(738,Engine!$C$2:$C$1369,0)),"",INDEX('Compliance Database'!$L$2:$L$1369,MATCH(738,Engine!$C$2:$C$1369,0)))</f>
        <v/>
      </c>
      <c r="M751" s="9">
        <f>IF(ISNA(MATCH(738,Engine!$C$2:$C$1369,0)),"",INDEX('Compliance Database'!$M$2:$M$1369,MATCH(738,Engine!$C$2:$C$1369,0)))</f>
        <v/>
      </c>
      <c r="N751" s="9">
        <f>IF(ISNA(MATCH(738,Engine!$C$2:$C$1369,0)),"",INDEX('Compliance Database'!$N$2:$N$1369,MATCH(738,Engine!$C$2:$C$1369,0)))</f>
        <v/>
      </c>
      <c r="O751" s="8">
        <f>IF(ISNA(MATCH(738,Engine!$C$2:$C$1369,0)),"",HYPERLINK(INDEX('Compliance Database'!$O$2:$O$1369,MATCH(738,Engine!$C$2:$C$1369,0)),"Open PDF"))</f>
        <v/>
      </c>
    </row>
    <row r="752" ht="188" customHeight="1">
      <c r="A752" s="8">
        <f>IF(ISNA(MATCH(739,Engine!$C$2:$C$1369,0)),"",INDEX('Compliance Database'!$A$2:$A$1369,MATCH(739,Engine!$C$2:$C$1369,0)))</f>
        <v/>
      </c>
      <c r="B752" s="8">
        <f>IF(ISNA(MATCH(739,Engine!$C$2:$C$1369,0)),"",INDEX('Compliance Database'!$B$2:$B$1369,MATCH(739,Engine!$C$2:$C$1369,0)))</f>
        <v/>
      </c>
      <c r="C752" s="8">
        <f>IF(ISNA(MATCH(739,Engine!$C$2:$C$1369,0)),"",INDEX('Compliance Database'!$C$2:$C$1369,MATCH(739,Engine!$C$2:$C$1369,0)))</f>
        <v/>
      </c>
      <c r="D752" s="9">
        <f>IF(ISNA(MATCH(739,Engine!$C$2:$C$1369,0)),"",INDEX('Compliance Database'!$D$2:$D$1369,MATCH(739,Engine!$C$2:$C$1369,0)))</f>
        <v/>
      </c>
      <c r="E752" s="8">
        <f>IF(ISNA(MATCH(739,Engine!$C$2:$C$1369,0)),"",INDEX('Compliance Database'!$E$2:$E$1369,MATCH(739,Engine!$C$2:$C$1369,0)))</f>
        <v/>
      </c>
      <c r="F752" s="8">
        <f>IF(ISNA(MATCH(739,Engine!$C$2:$C$1369,0)),"",INDEX('Compliance Database'!$F$2:$F$1369,MATCH(739,Engine!$C$2:$C$1369,0)))</f>
        <v/>
      </c>
      <c r="G752" s="8">
        <f>IF(ISNA(MATCH(739,Engine!$C$2:$C$1369,0)),"",INDEX('Compliance Database'!$G$2:$G$1369,MATCH(739,Engine!$C$2:$C$1369,0)))</f>
        <v/>
      </c>
      <c r="H752" s="9">
        <f>IF(ISNA(MATCH(739,Engine!$C$2:$C$1369,0)),"",INDEX('Compliance Database'!$H$2:$H$1369,MATCH(739,Engine!$C$2:$C$1369,0)))</f>
        <v/>
      </c>
      <c r="I752" s="9">
        <f>IF(ISNA(MATCH(739,Engine!$C$2:$C$1369,0)),"",INDEX('Compliance Database'!$I$2:$I$1369,MATCH(739,Engine!$C$2:$C$1369,0)))</f>
        <v/>
      </c>
      <c r="J752" s="8">
        <f>IF(ISNA(MATCH(739,Engine!$C$2:$C$1369,0)),"",INDEX('Compliance Database'!$J$2:$J$1369,MATCH(739,Engine!$C$2:$C$1369,0)))</f>
        <v/>
      </c>
      <c r="K752" s="9">
        <f>IF(ISNA(MATCH(739,Engine!$C$2:$C$1369,0)),"",INDEX('Compliance Database'!$K$2:$K$1369,MATCH(739,Engine!$C$2:$C$1369,0)))</f>
        <v/>
      </c>
      <c r="L752" s="9">
        <f>IF(ISNA(MATCH(739,Engine!$C$2:$C$1369,0)),"",INDEX('Compliance Database'!$L$2:$L$1369,MATCH(739,Engine!$C$2:$C$1369,0)))</f>
        <v/>
      </c>
      <c r="M752" s="9">
        <f>IF(ISNA(MATCH(739,Engine!$C$2:$C$1369,0)),"",INDEX('Compliance Database'!$M$2:$M$1369,MATCH(739,Engine!$C$2:$C$1369,0)))</f>
        <v/>
      </c>
      <c r="N752" s="9">
        <f>IF(ISNA(MATCH(739,Engine!$C$2:$C$1369,0)),"",INDEX('Compliance Database'!$N$2:$N$1369,MATCH(739,Engine!$C$2:$C$1369,0)))</f>
        <v/>
      </c>
      <c r="O752" s="8">
        <f>IF(ISNA(MATCH(739,Engine!$C$2:$C$1369,0)),"",HYPERLINK(INDEX('Compliance Database'!$O$2:$O$1369,MATCH(739,Engine!$C$2:$C$1369,0)),"Open PDF"))</f>
        <v/>
      </c>
    </row>
    <row r="753" ht="188" customHeight="1">
      <c r="A753" s="8">
        <f>IF(ISNA(MATCH(740,Engine!$C$2:$C$1369,0)),"",INDEX('Compliance Database'!$A$2:$A$1369,MATCH(740,Engine!$C$2:$C$1369,0)))</f>
        <v/>
      </c>
      <c r="B753" s="8">
        <f>IF(ISNA(MATCH(740,Engine!$C$2:$C$1369,0)),"",INDEX('Compliance Database'!$B$2:$B$1369,MATCH(740,Engine!$C$2:$C$1369,0)))</f>
        <v/>
      </c>
      <c r="C753" s="8">
        <f>IF(ISNA(MATCH(740,Engine!$C$2:$C$1369,0)),"",INDEX('Compliance Database'!$C$2:$C$1369,MATCH(740,Engine!$C$2:$C$1369,0)))</f>
        <v/>
      </c>
      <c r="D753" s="9">
        <f>IF(ISNA(MATCH(740,Engine!$C$2:$C$1369,0)),"",INDEX('Compliance Database'!$D$2:$D$1369,MATCH(740,Engine!$C$2:$C$1369,0)))</f>
        <v/>
      </c>
      <c r="E753" s="8">
        <f>IF(ISNA(MATCH(740,Engine!$C$2:$C$1369,0)),"",INDEX('Compliance Database'!$E$2:$E$1369,MATCH(740,Engine!$C$2:$C$1369,0)))</f>
        <v/>
      </c>
      <c r="F753" s="8">
        <f>IF(ISNA(MATCH(740,Engine!$C$2:$C$1369,0)),"",INDEX('Compliance Database'!$F$2:$F$1369,MATCH(740,Engine!$C$2:$C$1369,0)))</f>
        <v/>
      </c>
      <c r="G753" s="8">
        <f>IF(ISNA(MATCH(740,Engine!$C$2:$C$1369,0)),"",INDEX('Compliance Database'!$G$2:$G$1369,MATCH(740,Engine!$C$2:$C$1369,0)))</f>
        <v/>
      </c>
      <c r="H753" s="9">
        <f>IF(ISNA(MATCH(740,Engine!$C$2:$C$1369,0)),"",INDEX('Compliance Database'!$H$2:$H$1369,MATCH(740,Engine!$C$2:$C$1369,0)))</f>
        <v/>
      </c>
      <c r="I753" s="9">
        <f>IF(ISNA(MATCH(740,Engine!$C$2:$C$1369,0)),"",INDEX('Compliance Database'!$I$2:$I$1369,MATCH(740,Engine!$C$2:$C$1369,0)))</f>
        <v/>
      </c>
      <c r="J753" s="8">
        <f>IF(ISNA(MATCH(740,Engine!$C$2:$C$1369,0)),"",INDEX('Compliance Database'!$J$2:$J$1369,MATCH(740,Engine!$C$2:$C$1369,0)))</f>
        <v/>
      </c>
      <c r="K753" s="9">
        <f>IF(ISNA(MATCH(740,Engine!$C$2:$C$1369,0)),"",INDEX('Compliance Database'!$K$2:$K$1369,MATCH(740,Engine!$C$2:$C$1369,0)))</f>
        <v/>
      </c>
      <c r="L753" s="9">
        <f>IF(ISNA(MATCH(740,Engine!$C$2:$C$1369,0)),"",INDEX('Compliance Database'!$L$2:$L$1369,MATCH(740,Engine!$C$2:$C$1369,0)))</f>
        <v/>
      </c>
      <c r="M753" s="9">
        <f>IF(ISNA(MATCH(740,Engine!$C$2:$C$1369,0)),"",INDEX('Compliance Database'!$M$2:$M$1369,MATCH(740,Engine!$C$2:$C$1369,0)))</f>
        <v/>
      </c>
      <c r="N753" s="9">
        <f>IF(ISNA(MATCH(740,Engine!$C$2:$C$1369,0)),"",INDEX('Compliance Database'!$N$2:$N$1369,MATCH(740,Engine!$C$2:$C$1369,0)))</f>
        <v/>
      </c>
      <c r="O753" s="8">
        <f>IF(ISNA(MATCH(740,Engine!$C$2:$C$1369,0)),"",HYPERLINK(INDEX('Compliance Database'!$O$2:$O$1369,MATCH(740,Engine!$C$2:$C$1369,0)),"Open PDF"))</f>
        <v/>
      </c>
    </row>
    <row r="754" ht="188" customHeight="1">
      <c r="A754" s="8">
        <f>IF(ISNA(MATCH(741,Engine!$C$2:$C$1369,0)),"",INDEX('Compliance Database'!$A$2:$A$1369,MATCH(741,Engine!$C$2:$C$1369,0)))</f>
        <v/>
      </c>
      <c r="B754" s="8">
        <f>IF(ISNA(MATCH(741,Engine!$C$2:$C$1369,0)),"",INDEX('Compliance Database'!$B$2:$B$1369,MATCH(741,Engine!$C$2:$C$1369,0)))</f>
        <v/>
      </c>
      <c r="C754" s="8">
        <f>IF(ISNA(MATCH(741,Engine!$C$2:$C$1369,0)),"",INDEX('Compliance Database'!$C$2:$C$1369,MATCH(741,Engine!$C$2:$C$1369,0)))</f>
        <v/>
      </c>
      <c r="D754" s="9">
        <f>IF(ISNA(MATCH(741,Engine!$C$2:$C$1369,0)),"",INDEX('Compliance Database'!$D$2:$D$1369,MATCH(741,Engine!$C$2:$C$1369,0)))</f>
        <v/>
      </c>
      <c r="E754" s="8">
        <f>IF(ISNA(MATCH(741,Engine!$C$2:$C$1369,0)),"",INDEX('Compliance Database'!$E$2:$E$1369,MATCH(741,Engine!$C$2:$C$1369,0)))</f>
        <v/>
      </c>
      <c r="F754" s="8">
        <f>IF(ISNA(MATCH(741,Engine!$C$2:$C$1369,0)),"",INDEX('Compliance Database'!$F$2:$F$1369,MATCH(741,Engine!$C$2:$C$1369,0)))</f>
        <v/>
      </c>
      <c r="G754" s="8">
        <f>IF(ISNA(MATCH(741,Engine!$C$2:$C$1369,0)),"",INDEX('Compliance Database'!$G$2:$G$1369,MATCH(741,Engine!$C$2:$C$1369,0)))</f>
        <v/>
      </c>
      <c r="H754" s="9">
        <f>IF(ISNA(MATCH(741,Engine!$C$2:$C$1369,0)),"",INDEX('Compliance Database'!$H$2:$H$1369,MATCH(741,Engine!$C$2:$C$1369,0)))</f>
        <v/>
      </c>
      <c r="I754" s="9">
        <f>IF(ISNA(MATCH(741,Engine!$C$2:$C$1369,0)),"",INDEX('Compliance Database'!$I$2:$I$1369,MATCH(741,Engine!$C$2:$C$1369,0)))</f>
        <v/>
      </c>
      <c r="J754" s="8">
        <f>IF(ISNA(MATCH(741,Engine!$C$2:$C$1369,0)),"",INDEX('Compliance Database'!$J$2:$J$1369,MATCH(741,Engine!$C$2:$C$1369,0)))</f>
        <v/>
      </c>
      <c r="K754" s="9">
        <f>IF(ISNA(MATCH(741,Engine!$C$2:$C$1369,0)),"",INDEX('Compliance Database'!$K$2:$K$1369,MATCH(741,Engine!$C$2:$C$1369,0)))</f>
        <v/>
      </c>
      <c r="L754" s="9">
        <f>IF(ISNA(MATCH(741,Engine!$C$2:$C$1369,0)),"",INDEX('Compliance Database'!$L$2:$L$1369,MATCH(741,Engine!$C$2:$C$1369,0)))</f>
        <v/>
      </c>
      <c r="M754" s="9">
        <f>IF(ISNA(MATCH(741,Engine!$C$2:$C$1369,0)),"",INDEX('Compliance Database'!$M$2:$M$1369,MATCH(741,Engine!$C$2:$C$1369,0)))</f>
        <v/>
      </c>
      <c r="N754" s="9">
        <f>IF(ISNA(MATCH(741,Engine!$C$2:$C$1369,0)),"",INDEX('Compliance Database'!$N$2:$N$1369,MATCH(741,Engine!$C$2:$C$1369,0)))</f>
        <v/>
      </c>
      <c r="O754" s="8">
        <f>IF(ISNA(MATCH(741,Engine!$C$2:$C$1369,0)),"",HYPERLINK(INDEX('Compliance Database'!$O$2:$O$1369,MATCH(741,Engine!$C$2:$C$1369,0)),"Open PDF"))</f>
        <v/>
      </c>
    </row>
    <row r="755" ht="188" customHeight="1">
      <c r="A755" s="8">
        <f>IF(ISNA(MATCH(742,Engine!$C$2:$C$1369,0)),"",INDEX('Compliance Database'!$A$2:$A$1369,MATCH(742,Engine!$C$2:$C$1369,0)))</f>
        <v/>
      </c>
      <c r="B755" s="8">
        <f>IF(ISNA(MATCH(742,Engine!$C$2:$C$1369,0)),"",INDEX('Compliance Database'!$B$2:$B$1369,MATCH(742,Engine!$C$2:$C$1369,0)))</f>
        <v/>
      </c>
      <c r="C755" s="8">
        <f>IF(ISNA(MATCH(742,Engine!$C$2:$C$1369,0)),"",INDEX('Compliance Database'!$C$2:$C$1369,MATCH(742,Engine!$C$2:$C$1369,0)))</f>
        <v/>
      </c>
      <c r="D755" s="9">
        <f>IF(ISNA(MATCH(742,Engine!$C$2:$C$1369,0)),"",INDEX('Compliance Database'!$D$2:$D$1369,MATCH(742,Engine!$C$2:$C$1369,0)))</f>
        <v/>
      </c>
      <c r="E755" s="8">
        <f>IF(ISNA(MATCH(742,Engine!$C$2:$C$1369,0)),"",INDEX('Compliance Database'!$E$2:$E$1369,MATCH(742,Engine!$C$2:$C$1369,0)))</f>
        <v/>
      </c>
      <c r="F755" s="8">
        <f>IF(ISNA(MATCH(742,Engine!$C$2:$C$1369,0)),"",INDEX('Compliance Database'!$F$2:$F$1369,MATCH(742,Engine!$C$2:$C$1369,0)))</f>
        <v/>
      </c>
      <c r="G755" s="8">
        <f>IF(ISNA(MATCH(742,Engine!$C$2:$C$1369,0)),"",INDEX('Compliance Database'!$G$2:$G$1369,MATCH(742,Engine!$C$2:$C$1369,0)))</f>
        <v/>
      </c>
      <c r="H755" s="9">
        <f>IF(ISNA(MATCH(742,Engine!$C$2:$C$1369,0)),"",INDEX('Compliance Database'!$H$2:$H$1369,MATCH(742,Engine!$C$2:$C$1369,0)))</f>
        <v/>
      </c>
      <c r="I755" s="9">
        <f>IF(ISNA(MATCH(742,Engine!$C$2:$C$1369,0)),"",INDEX('Compliance Database'!$I$2:$I$1369,MATCH(742,Engine!$C$2:$C$1369,0)))</f>
        <v/>
      </c>
      <c r="J755" s="8">
        <f>IF(ISNA(MATCH(742,Engine!$C$2:$C$1369,0)),"",INDEX('Compliance Database'!$J$2:$J$1369,MATCH(742,Engine!$C$2:$C$1369,0)))</f>
        <v/>
      </c>
      <c r="K755" s="9">
        <f>IF(ISNA(MATCH(742,Engine!$C$2:$C$1369,0)),"",INDEX('Compliance Database'!$K$2:$K$1369,MATCH(742,Engine!$C$2:$C$1369,0)))</f>
        <v/>
      </c>
      <c r="L755" s="9">
        <f>IF(ISNA(MATCH(742,Engine!$C$2:$C$1369,0)),"",INDEX('Compliance Database'!$L$2:$L$1369,MATCH(742,Engine!$C$2:$C$1369,0)))</f>
        <v/>
      </c>
      <c r="M755" s="9">
        <f>IF(ISNA(MATCH(742,Engine!$C$2:$C$1369,0)),"",INDEX('Compliance Database'!$M$2:$M$1369,MATCH(742,Engine!$C$2:$C$1369,0)))</f>
        <v/>
      </c>
      <c r="N755" s="9">
        <f>IF(ISNA(MATCH(742,Engine!$C$2:$C$1369,0)),"",INDEX('Compliance Database'!$N$2:$N$1369,MATCH(742,Engine!$C$2:$C$1369,0)))</f>
        <v/>
      </c>
      <c r="O755" s="8">
        <f>IF(ISNA(MATCH(742,Engine!$C$2:$C$1369,0)),"",HYPERLINK(INDEX('Compliance Database'!$O$2:$O$1369,MATCH(742,Engine!$C$2:$C$1369,0)),"Open PDF"))</f>
        <v/>
      </c>
    </row>
    <row r="756" ht="188" customHeight="1">
      <c r="A756" s="8">
        <f>IF(ISNA(MATCH(743,Engine!$C$2:$C$1369,0)),"",INDEX('Compliance Database'!$A$2:$A$1369,MATCH(743,Engine!$C$2:$C$1369,0)))</f>
        <v/>
      </c>
      <c r="B756" s="8">
        <f>IF(ISNA(MATCH(743,Engine!$C$2:$C$1369,0)),"",INDEX('Compliance Database'!$B$2:$B$1369,MATCH(743,Engine!$C$2:$C$1369,0)))</f>
        <v/>
      </c>
      <c r="C756" s="8">
        <f>IF(ISNA(MATCH(743,Engine!$C$2:$C$1369,0)),"",INDEX('Compliance Database'!$C$2:$C$1369,MATCH(743,Engine!$C$2:$C$1369,0)))</f>
        <v/>
      </c>
      <c r="D756" s="9">
        <f>IF(ISNA(MATCH(743,Engine!$C$2:$C$1369,0)),"",INDEX('Compliance Database'!$D$2:$D$1369,MATCH(743,Engine!$C$2:$C$1369,0)))</f>
        <v/>
      </c>
      <c r="E756" s="8">
        <f>IF(ISNA(MATCH(743,Engine!$C$2:$C$1369,0)),"",INDEX('Compliance Database'!$E$2:$E$1369,MATCH(743,Engine!$C$2:$C$1369,0)))</f>
        <v/>
      </c>
      <c r="F756" s="8">
        <f>IF(ISNA(MATCH(743,Engine!$C$2:$C$1369,0)),"",INDEX('Compliance Database'!$F$2:$F$1369,MATCH(743,Engine!$C$2:$C$1369,0)))</f>
        <v/>
      </c>
      <c r="G756" s="8">
        <f>IF(ISNA(MATCH(743,Engine!$C$2:$C$1369,0)),"",INDEX('Compliance Database'!$G$2:$G$1369,MATCH(743,Engine!$C$2:$C$1369,0)))</f>
        <v/>
      </c>
      <c r="H756" s="9">
        <f>IF(ISNA(MATCH(743,Engine!$C$2:$C$1369,0)),"",INDEX('Compliance Database'!$H$2:$H$1369,MATCH(743,Engine!$C$2:$C$1369,0)))</f>
        <v/>
      </c>
      <c r="I756" s="9">
        <f>IF(ISNA(MATCH(743,Engine!$C$2:$C$1369,0)),"",INDEX('Compliance Database'!$I$2:$I$1369,MATCH(743,Engine!$C$2:$C$1369,0)))</f>
        <v/>
      </c>
      <c r="J756" s="8">
        <f>IF(ISNA(MATCH(743,Engine!$C$2:$C$1369,0)),"",INDEX('Compliance Database'!$J$2:$J$1369,MATCH(743,Engine!$C$2:$C$1369,0)))</f>
        <v/>
      </c>
      <c r="K756" s="9">
        <f>IF(ISNA(MATCH(743,Engine!$C$2:$C$1369,0)),"",INDEX('Compliance Database'!$K$2:$K$1369,MATCH(743,Engine!$C$2:$C$1369,0)))</f>
        <v/>
      </c>
      <c r="L756" s="9">
        <f>IF(ISNA(MATCH(743,Engine!$C$2:$C$1369,0)),"",INDEX('Compliance Database'!$L$2:$L$1369,MATCH(743,Engine!$C$2:$C$1369,0)))</f>
        <v/>
      </c>
      <c r="M756" s="9">
        <f>IF(ISNA(MATCH(743,Engine!$C$2:$C$1369,0)),"",INDEX('Compliance Database'!$M$2:$M$1369,MATCH(743,Engine!$C$2:$C$1369,0)))</f>
        <v/>
      </c>
      <c r="N756" s="9">
        <f>IF(ISNA(MATCH(743,Engine!$C$2:$C$1369,0)),"",INDEX('Compliance Database'!$N$2:$N$1369,MATCH(743,Engine!$C$2:$C$1369,0)))</f>
        <v/>
      </c>
      <c r="O756" s="8">
        <f>IF(ISNA(MATCH(743,Engine!$C$2:$C$1369,0)),"",HYPERLINK(INDEX('Compliance Database'!$O$2:$O$1369,MATCH(743,Engine!$C$2:$C$1369,0)),"Open PDF"))</f>
        <v/>
      </c>
    </row>
    <row r="757" ht="188" customHeight="1">
      <c r="A757" s="8">
        <f>IF(ISNA(MATCH(744,Engine!$C$2:$C$1369,0)),"",INDEX('Compliance Database'!$A$2:$A$1369,MATCH(744,Engine!$C$2:$C$1369,0)))</f>
        <v/>
      </c>
      <c r="B757" s="8">
        <f>IF(ISNA(MATCH(744,Engine!$C$2:$C$1369,0)),"",INDEX('Compliance Database'!$B$2:$B$1369,MATCH(744,Engine!$C$2:$C$1369,0)))</f>
        <v/>
      </c>
      <c r="C757" s="8">
        <f>IF(ISNA(MATCH(744,Engine!$C$2:$C$1369,0)),"",INDEX('Compliance Database'!$C$2:$C$1369,MATCH(744,Engine!$C$2:$C$1369,0)))</f>
        <v/>
      </c>
      <c r="D757" s="9">
        <f>IF(ISNA(MATCH(744,Engine!$C$2:$C$1369,0)),"",INDEX('Compliance Database'!$D$2:$D$1369,MATCH(744,Engine!$C$2:$C$1369,0)))</f>
        <v/>
      </c>
      <c r="E757" s="8">
        <f>IF(ISNA(MATCH(744,Engine!$C$2:$C$1369,0)),"",INDEX('Compliance Database'!$E$2:$E$1369,MATCH(744,Engine!$C$2:$C$1369,0)))</f>
        <v/>
      </c>
      <c r="F757" s="8">
        <f>IF(ISNA(MATCH(744,Engine!$C$2:$C$1369,0)),"",INDEX('Compliance Database'!$F$2:$F$1369,MATCH(744,Engine!$C$2:$C$1369,0)))</f>
        <v/>
      </c>
      <c r="G757" s="8">
        <f>IF(ISNA(MATCH(744,Engine!$C$2:$C$1369,0)),"",INDEX('Compliance Database'!$G$2:$G$1369,MATCH(744,Engine!$C$2:$C$1369,0)))</f>
        <v/>
      </c>
      <c r="H757" s="9">
        <f>IF(ISNA(MATCH(744,Engine!$C$2:$C$1369,0)),"",INDEX('Compliance Database'!$H$2:$H$1369,MATCH(744,Engine!$C$2:$C$1369,0)))</f>
        <v/>
      </c>
      <c r="I757" s="9">
        <f>IF(ISNA(MATCH(744,Engine!$C$2:$C$1369,0)),"",INDEX('Compliance Database'!$I$2:$I$1369,MATCH(744,Engine!$C$2:$C$1369,0)))</f>
        <v/>
      </c>
      <c r="J757" s="8">
        <f>IF(ISNA(MATCH(744,Engine!$C$2:$C$1369,0)),"",INDEX('Compliance Database'!$J$2:$J$1369,MATCH(744,Engine!$C$2:$C$1369,0)))</f>
        <v/>
      </c>
      <c r="K757" s="9">
        <f>IF(ISNA(MATCH(744,Engine!$C$2:$C$1369,0)),"",INDEX('Compliance Database'!$K$2:$K$1369,MATCH(744,Engine!$C$2:$C$1369,0)))</f>
        <v/>
      </c>
      <c r="L757" s="9">
        <f>IF(ISNA(MATCH(744,Engine!$C$2:$C$1369,0)),"",INDEX('Compliance Database'!$L$2:$L$1369,MATCH(744,Engine!$C$2:$C$1369,0)))</f>
        <v/>
      </c>
      <c r="M757" s="9">
        <f>IF(ISNA(MATCH(744,Engine!$C$2:$C$1369,0)),"",INDEX('Compliance Database'!$M$2:$M$1369,MATCH(744,Engine!$C$2:$C$1369,0)))</f>
        <v/>
      </c>
      <c r="N757" s="9">
        <f>IF(ISNA(MATCH(744,Engine!$C$2:$C$1369,0)),"",INDEX('Compliance Database'!$N$2:$N$1369,MATCH(744,Engine!$C$2:$C$1369,0)))</f>
        <v/>
      </c>
      <c r="O757" s="8">
        <f>IF(ISNA(MATCH(744,Engine!$C$2:$C$1369,0)),"",HYPERLINK(INDEX('Compliance Database'!$O$2:$O$1369,MATCH(744,Engine!$C$2:$C$1369,0)),"Open PDF"))</f>
        <v/>
      </c>
    </row>
    <row r="758" ht="188" customHeight="1">
      <c r="A758" s="8">
        <f>IF(ISNA(MATCH(745,Engine!$C$2:$C$1369,0)),"",INDEX('Compliance Database'!$A$2:$A$1369,MATCH(745,Engine!$C$2:$C$1369,0)))</f>
        <v/>
      </c>
      <c r="B758" s="8">
        <f>IF(ISNA(MATCH(745,Engine!$C$2:$C$1369,0)),"",INDEX('Compliance Database'!$B$2:$B$1369,MATCH(745,Engine!$C$2:$C$1369,0)))</f>
        <v/>
      </c>
      <c r="C758" s="8">
        <f>IF(ISNA(MATCH(745,Engine!$C$2:$C$1369,0)),"",INDEX('Compliance Database'!$C$2:$C$1369,MATCH(745,Engine!$C$2:$C$1369,0)))</f>
        <v/>
      </c>
      <c r="D758" s="9">
        <f>IF(ISNA(MATCH(745,Engine!$C$2:$C$1369,0)),"",INDEX('Compliance Database'!$D$2:$D$1369,MATCH(745,Engine!$C$2:$C$1369,0)))</f>
        <v/>
      </c>
      <c r="E758" s="8">
        <f>IF(ISNA(MATCH(745,Engine!$C$2:$C$1369,0)),"",INDEX('Compliance Database'!$E$2:$E$1369,MATCH(745,Engine!$C$2:$C$1369,0)))</f>
        <v/>
      </c>
      <c r="F758" s="8">
        <f>IF(ISNA(MATCH(745,Engine!$C$2:$C$1369,0)),"",INDEX('Compliance Database'!$F$2:$F$1369,MATCH(745,Engine!$C$2:$C$1369,0)))</f>
        <v/>
      </c>
      <c r="G758" s="8">
        <f>IF(ISNA(MATCH(745,Engine!$C$2:$C$1369,0)),"",INDEX('Compliance Database'!$G$2:$G$1369,MATCH(745,Engine!$C$2:$C$1369,0)))</f>
        <v/>
      </c>
      <c r="H758" s="9">
        <f>IF(ISNA(MATCH(745,Engine!$C$2:$C$1369,0)),"",INDEX('Compliance Database'!$H$2:$H$1369,MATCH(745,Engine!$C$2:$C$1369,0)))</f>
        <v/>
      </c>
      <c r="I758" s="9">
        <f>IF(ISNA(MATCH(745,Engine!$C$2:$C$1369,0)),"",INDEX('Compliance Database'!$I$2:$I$1369,MATCH(745,Engine!$C$2:$C$1369,0)))</f>
        <v/>
      </c>
      <c r="J758" s="8">
        <f>IF(ISNA(MATCH(745,Engine!$C$2:$C$1369,0)),"",INDEX('Compliance Database'!$J$2:$J$1369,MATCH(745,Engine!$C$2:$C$1369,0)))</f>
        <v/>
      </c>
      <c r="K758" s="9">
        <f>IF(ISNA(MATCH(745,Engine!$C$2:$C$1369,0)),"",INDEX('Compliance Database'!$K$2:$K$1369,MATCH(745,Engine!$C$2:$C$1369,0)))</f>
        <v/>
      </c>
      <c r="L758" s="9">
        <f>IF(ISNA(MATCH(745,Engine!$C$2:$C$1369,0)),"",INDEX('Compliance Database'!$L$2:$L$1369,MATCH(745,Engine!$C$2:$C$1369,0)))</f>
        <v/>
      </c>
      <c r="M758" s="9">
        <f>IF(ISNA(MATCH(745,Engine!$C$2:$C$1369,0)),"",INDEX('Compliance Database'!$M$2:$M$1369,MATCH(745,Engine!$C$2:$C$1369,0)))</f>
        <v/>
      </c>
      <c r="N758" s="9">
        <f>IF(ISNA(MATCH(745,Engine!$C$2:$C$1369,0)),"",INDEX('Compliance Database'!$N$2:$N$1369,MATCH(745,Engine!$C$2:$C$1369,0)))</f>
        <v/>
      </c>
      <c r="O758" s="8">
        <f>IF(ISNA(MATCH(745,Engine!$C$2:$C$1369,0)),"",HYPERLINK(INDEX('Compliance Database'!$O$2:$O$1369,MATCH(745,Engine!$C$2:$C$1369,0)),"Open PDF"))</f>
        <v/>
      </c>
    </row>
    <row r="759" ht="188" customHeight="1">
      <c r="A759" s="8">
        <f>IF(ISNA(MATCH(746,Engine!$C$2:$C$1369,0)),"",INDEX('Compliance Database'!$A$2:$A$1369,MATCH(746,Engine!$C$2:$C$1369,0)))</f>
        <v/>
      </c>
      <c r="B759" s="8">
        <f>IF(ISNA(MATCH(746,Engine!$C$2:$C$1369,0)),"",INDEX('Compliance Database'!$B$2:$B$1369,MATCH(746,Engine!$C$2:$C$1369,0)))</f>
        <v/>
      </c>
      <c r="C759" s="8">
        <f>IF(ISNA(MATCH(746,Engine!$C$2:$C$1369,0)),"",INDEX('Compliance Database'!$C$2:$C$1369,MATCH(746,Engine!$C$2:$C$1369,0)))</f>
        <v/>
      </c>
      <c r="D759" s="9">
        <f>IF(ISNA(MATCH(746,Engine!$C$2:$C$1369,0)),"",INDEX('Compliance Database'!$D$2:$D$1369,MATCH(746,Engine!$C$2:$C$1369,0)))</f>
        <v/>
      </c>
      <c r="E759" s="8">
        <f>IF(ISNA(MATCH(746,Engine!$C$2:$C$1369,0)),"",INDEX('Compliance Database'!$E$2:$E$1369,MATCH(746,Engine!$C$2:$C$1369,0)))</f>
        <v/>
      </c>
      <c r="F759" s="8">
        <f>IF(ISNA(MATCH(746,Engine!$C$2:$C$1369,0)),"",INDEX('Compliance Database'!$F$2:$F$1369,MATCH(746,Engine!$C$2:$C$1369,0)))</f>
        <v/>
      </c>
      <c r="G759" s="8">
        <f>IF(ISNA(MATCH(746,Engine!$C$2:$C$1369,0)),"",INDEX('Compliance Database'!$G$2:$G$1369,MATCH(746,Engine!$C$2:$C$1369,0)))</f>
        <v/>
      </c>
      <c r="H759" s="9">
        <f>IF(ISNA(MATCH(746,Engine!$C$2:$C$1369,0)),"",INDEX('Compliance Database'!$H$2:$H$1369,MATCH(746,Engine!$C$2:$C$1369,0)))</f>
        <v/>
      </c>
      <c r="I759" s="9">
        <f>IF(ISNA(MATCH(746,Engine!$C$2:$C$1369,0)),"",INDEX('Compliance Database'!$I$2:$I$1369,MATCH(746,Engine!$C$2:$C$1369,0)))</f>
        <v/>
      </c>
      <c r="J759" s="8">
        <f>IF(ISNA(MATCH(746,Engine!$C$2:$C$1369,0)),"",INDEX('Compliance Database'!$J$2:$J$1369,MATCH(746,Engine!$C$2:$C$1369,0)))</f>
        <v/>
      </c>
      <c r="K759" s="9">
        <f>IF(ISNA(MATCH(746,Engine!$C$2:$C$1369,0)),"",INDEX('Compliance Database'!$K$2:$K$1369,MATCH(746,Engine!$C$2:$C$1369,0)))</f>
        <v/>
      </c>
      <c r="L759" s="9">
        <f>IF(ISNA(MATCH(746,Engine!$C$2:$C$1369,0)),"",INDEX('Compliance Database'!$L$2:$L$1369,MATCH(746,Engine!$C$2:$C$1369,0)))</f>
        <v/>
      </c>
      <c r="M759" s="9">
        <f>IF(ISNA(MATCH(746,Engine!$C$2:$C$1369,0)),"",INDEX('Compliance Database'!$M$2:$M$1369,MATCH(746,Engine!$C$2:$C$1369,0)))</f>
        <v/>
      </c>
      <c r="N759" s="9">
        <f>IF(ISNA(MATCH(746,Engine!$C$2:$C$1369,0)),"",INDEX('Compliance Database'!$N$2:$N$1369,MATCH(746,Engine!$C$2:$C$1369,0)))</f>
        <v/>
      </c>
      <c r="O759" s="8">
        <f>IF(ISNA(MATCH(746,Engine!$C$2:$C$1369,0)),"",HYPERLINK(INDEX('Compliance Database'!$O$2:$O$1369,MATCH(746,Engine!$C$2:$C$1369,0)),"Open PDF"))</f>
        <v/>
      </c>
    </row>
    <row r="760" ht="188" customHeight="1">
      <c r="A760" s="8">
        <f>IF(ISNA(MATCH(747,Engine!$C$2:$C$1369,0)),"",INDEX('Compliance Database'!$A$2:$A$1369,MATCH(747,Engine!$C$2:$C$1369,0)))</f>
        <v/>
      </c>
      <c r="B760" s="8">
        <f>IF(ISNA(MATCH(747,Engine!$C$2:$C$1369,0)),"",INDEX('Compliance Database'!$B$2:$B$1369,MATCH(747,Engine!$C$2:$C$1369,0)))</f>
        <v/>
      </c>
      <c r="C760" s="8">
        <f>IF(ISNA(MATCH(747,Engine!$C$2:$C$1369,0)),"",INDEX('Compliance Database'!$C$2:$C$1369,MATCH(747,Engine!$C$2:$C$1369,0)))</f>
        <v/>
      </c>
      <c r="D760" s="9">
        <f>IF(ISNA(MATCH(747,Engine!$C$2:$C$1369,0)),"",INDEX('Compliance Database'!$D$2:$D$1369,MATCH(747,Engine!$C$2:$C$1369,0)))</f>
        <v/>
      </c>
      <c r="E760" s="8">
        <f>IF(ISNA(MATCH(747,Engine!$C$2:$C$1369,0)),"",INDEX('Compliance Database'!$E$2:$E$1369,MATCH(747,Engine!$C$2:$C$1369,0)))</f>
        <v/>
      </c>
      <c r="F760" s="8">
        <f>IF(ISNA(MATCH(747,Engine!$C$2:$C$1369,0)),"",INDEX('Compliance Database'!$F$2:$F$1369,MATCH(747,Engine!$C$2:$C$1369,0)))</f>
        <v/>
      </c>
      <c r="G760" s="8">
        <f>IF(ISNA(MATCH(747,Engine!$C$2:$C$1369,0)),"",INDEX('Compliance Database'!$G$2:$G$1369,MATCH(747,Engine!$C$2:$C$1369,0)))</f>
        <v/>
      </c>
      <c r="H760" s="9">
        <f>IF(ISNA(MATCH(747,Engine!$C$2:$C$1369,0)),"",INDEX('Compliance Database'!$H$2:$H$1369,MATCH(747,Engine!$C$2:$C$1369,0)))</f>
        <v/>
      </c>
      <c r="I760" s="9">
        <f>IF(ISNA(MATCH(747,Engine!$C$2:$C$1369,0)),"",INDEX('Compliance Database'!$I$2:$I$1369,MATCH(747,Engine!$C$2:$C$1369,0)))</f>
        <v/>
      </c>
      <c r="J760" s="8">
        <f>IF(ISNA(MATCH(747,Engine!$C$2:$C$1369,0)),"",INDEX('Compliance Database'!$J$2:$J$1369,MATCH(747,Engine!$C$2:$C$1369,0)))</f>
        <v/>
      </c>
      <c r="K760" s="9">
        <f>IF(ISNA(MATCH(747,Engine!$C$2:$C$1369,0)),"",INDEX('Compliance Database'!$K$2:$K$1369,MATCH(747,Engine!$C$2:$C$1369,0)))</f>
        <v/>
      </c>
      <c r="L760" s="9">
        <f>IF(ISNA(MATCH(747,Engine!$C$2:$C$1369,0)),"",INDEX('Compliance Database'!$L$2:$L$1369,MATCH(747,Engine!$C$2:$C$1369,0)))</f>
        <v/>
      </c>
      <c r="M760" s="9">
        <f>IF(ISNA(MATCH(747,Engine!$C$2:$C$1369,0)),"",INDEX('Compliance Database'!$M$2:$M$1369,MATCH(747,Engine!$C$2:$C$1369,0)))</f>
        <v/>
      </c>
      <c r="N760" s="9">
        <f>IF(ISNA(MATCH(747,Engine!$C$2:$C$1369,0)),"",INDEX('Compliance Database'!$N$2:$N$1369,MATCH(747,Engine!$C$2:$C$1369,0)))</f>
        <v/>
      </c>
      <c r="O760" s="8">
        <f>IF(ISNA(MATCH(747,Engine!$C$2:$C$1369,0)),"",HYPERLINK(INDEX('Compliance Database'!$O$2:$O$1369,MATCH(747,Engine!$C$2:$C$1369,0)),"Open PDF"))</f>
        <v/>
      </c>
    </row>
    <row r="761" ht="188" customHeight="1">
      <c r="A761" s="8">
        <f>IF(ISNA(MATCH(748,Engine!$C$2:$C$1369,0)),"",INDEX('Compliance Database'!$A$2:$A$1369,MATCH(748,Engine!$C$2:$C$1369,0)))</f>
        <v/>
      </c>
      <c r="B761" s="8">
        <f>IF(ISNA(MATCH(748,Engine!$C$2:$C$1369,0)),"",INDEX('Compliance Database'!$B$2:$B$1369,MATCH(748,Engine!$C$2:$C$1369,0)))</f>
        <v/>
      </c>
      <c r="C761" s="8">
        <f>IF(ISNA(MATCH(748,Engine!$C$2:$C$1369,0)),"",INDEX('Compliance Database'!$C$2:$C$1369,MATCH(748,Engine!$C$2:$C$1369,0)))</f>
        <v/>
      </c>
      <c r="D761" s="9">
        <f>IF(ISNA(MATCH(748,Engine!$C$2:$C$1369,0)),"",INDEX('Compliance Database'!$D$2:$D$1369,MATCH(748,Engine!$C$2:$C$1369,0)))</f>
        <v/>
      </c>
      <c r="E761" s="8">
        <f>IF(ISNA(MATCH(748,Engine!$C$2:$C$1369,0)),"",INDEX('Compliance Database'!$E$2:$E$1369,MATCH(748,Engine!$C$2:$C$1369,0)))</f>
        <v/>
      </c>
      <c r="F761" s="8">
        <f>IF(ISNA(MATCH(748,Engine!$C$2:$C$1369,0)),"",INDEX('Compliance Database'!$F$2:$F$1369,MATCH(748,Engine!$C$2:$C$1369,0)))</f>
        <v/>
      </c>
      <c r="G761" s="8">
        <f>IF(ISNA(MATCH(748,Engine!$C$2:$C$1369,0)),"",INDEX('Compliance Database'!$G$2:$G$1369,MATCH(748,Engine!$C$2:$C$1369,0)))</f>
        <v/>
      </c>
      <c r="H761" s="9">
        <f>IF(ISNA(MATCH(748,Engine!$C$2:$C$1369,0)),"",INDEX('Compliance Database'!$H$2:$H$1369,MATCH(748,Engine!$C$2:$C$1369,0)))</f>
        <v/>
      </c>
      <c r="I761" s="9">
        <f>IF(ISNA(MATCH(748,Engine!$C$2:$C$1369,0)),"",INDEX('Compliance Database'!$I$2:$I$1369,MATCH(748,Engine!$C$2:$C$1369,0)))</f>
        <v/>
      </c>
      <c r="J761" s="8">
        <f>IF(ISNA(MATCH(748,Engine!$C$2:$C$1369,0)),"",INDEX('Compliance Database'!$J$2:$J$1369,MATCH(748,Engine!$C$2:$C$1369,0)))</f>
        <v/>
      </c>
      <c r="K761" s="9">
        <f>IF(ISNA(MATCH(748,Engine!$C$2:$C$1369,0)),"",INDEX('Compliance Database'!$K$2:$K$1369,MATCH(748,Engine!$C$2:$C$1369,0)))</f>
        <v/>
      </c>
      <c r="L761" s="9">
        <f>IF(ISNA(MATCH(748,Engine!$C$2:$C$1369,0)),"",INDEX('Compliance Database'!$L$2:$L$1369,MATCH(748,Engine!$C$2:$C$1369,0)))</f>
        <v/>
      </c>
      <c r="M761" s="9">
        <f>IF(ISNA(MATCH(748,Engine!$C$2:$C$1369,0)),"",INDEX('Compliance Database'!$M$2:$M$1369,MATCH(748,Engine!$C$2:$C$1369,0)))</f>
        <v/>
      </c>
      <c r="N761" s="9">
        <f>IF(ISNA(MATCH(748,Engine!$C$2:$C$1369,0)),"",INDEX('Compliance Database'!$N$2:$N$1369,MATCH(748,Engine!$C$2:$C$1369,0)))</f>
        <v/>
      </c>
      <c r="O761" s="8">
        <f>IF(ISNA(MATCH(748,Engine!$C$2:$C$1369,0)),"",HYPERLINK(INDEX('Compliance Database'!$O$2:$O$1369,MATCH(748,Engine!$C$2:$C$1369,0)),"Open PDF"))</f>
        <v/>
      </c>
    </row>
    <row r="762" ht="188" customHeight="1">
      <c r="A762" s="8">
        <f>IF(ISNA(MATCH(749,Engine!$C$2:$C$1369,0)),"",INDEX('Compliance Database'!$A$2:$A$1369,MATCH(749,Engine!$C$2:$C$1369,0)))</f>
        <v/>
      </c>
      <c r="B762" s="8">
        <f>IF(ISNA(MATCH(749,Engine!$C$2:$C$1369,0)),"",INDEX('Compliance Database'!$B$2:$B$1369,MATCH(749,Engine!$C$2:$C$1369,0)))</f>
        <v/>
      </c>
      <c r="C762" s="8">
        <f>IF(ISNA(MATCH(749,Engine!$C$2:$C$1369,0)),"",INDEX('Compliance Database'!$C$2:$C$1369,MATCH(749,Engine!$C$2:$C$1369,0)))</f>
        <v/>
      </c>
      <c r="D762" s="9">
        <f>IF(ISNA(MATCH(749,Engine!$C$2:$C$1369,0)),"",INDEX('Compliance Database'!$D$2:$D$1369,MATCH(749,Engine!$C$2:$C$1369,0)))</f>
        <v/>
      </c>
      <c r="E762" s="8">
        <f>IF(ISNA(MATCH(749,Engine!$C$2:$C$1369,0)),"",INDEX('Compliance Database'!$E$2:$E$1369,MATCH(749,Engine!$C$2:$C$1369,0)))</f>
        <v/>
      </c>
      <c r="F762" s="8">
        <f>IF(ISNA(MATCH(749,Engine!$C$2:$C$1369,0)),"",INDEX('Compliance Database'!$F$2:$F$1369,MATCH(749,Engine!$C$2:$C$1369,0)))</f>
        <v/>
      </c>
      <c r="G762" s="8">
        <f>IF(ISNA(MATCH(749,Engine!$C$2:$C$1369,0)),"",INDEX('Compliance Database'!$G$2:$G$1369,MATCH(749,Engine!$C$2:$C$1369,0)))</f>
        <v/>
      </c>
      <c r="H762" s="9">
        <f>IF(ISNA(MATCH(749,Engine!$C$2:$C$1369,0)),"",INDEX('Compliance Database'!$H$2:$H$1369,MATCH(749,Engine!$C$2:$C$1369,0)))</f>
        <v/>
      </c>
      <c r="I762" s="9">
        <f>IF(ISNA(MATCH(749,Engine!$C$2:$C$1369,0)),"",INDEX('Compliance Database'!$I$2:$I$1369,MATCH(749,Engine!$C$2:$C$1369,0)))</f>
        <v/>
      </c>
      <c r="J762" s="8">
        <f>IF(ISNA(MATCH(749,Engine!$C$2:$C$1369,0)),"",INDEX('Compliance Database'!$J$2:$J$1369,MATCH(749,Engine!$C$2:$C$1369,0)))</f>
        <v/>
      </c>
      <c r="K762" s="9">
        <f>IF(ISNA(MATCH(749,Engine!$C$2:$C$1369,0)),"",INDEX('Compliance Database'!$K$2:$K$1369,MATCH(749,Engine!$C$2:$C$1369,0)))</f>
        <v/>
      </c>
      <c r="L762" s="9">
        <f>IF(ISNA(MATCH(749,Engine!$C$2:$C$1369,0)),"",INDEX('Compliance Database'!$L$2:$L$1369,MATCH(749,Engine!$C$2:$C$1369,0)))</f>
        <v/>
      </c>
      <c r="M762" s="9">
        <f>IF(ISNA(MATCH(749,Engine!$C$2:$C$1369,0)),"",INDEX('Compliance Database'!$M$2:$M$1369,MATCH(749,Engine!$C$2:$C$1369,0)))</f>
        <v/>
      </c>
      <c r="N762" s="9">
        <f>IF(ISNA(MATCH(749,Engine!$C$2:$C$1369,0)),"",INDEX('Compliance Database'!$N$2:$N$1369,MATCH(749,Engine!$C$2:$C$1369,0)))</f>
        <v/>
      </c>
      <c r="O762" s="8">
        <f>IF(ISNA(MATCH(749,Engine!$C$2:$C$1369,0)),"",HYPERLINK(INDEX('Compliance Database'!$O$2:$O$1369,MATCH(749,Engine!$C$2:$C$1369,0)),"Open PDF"))</f>
        <v/>
      </c>
    </row>
    <row r="763" ht="188" customHeight="1">
      <c r="A763" s="8">
        <f>IF(ISNA(MATCH(750,Engine!$C$2:$C$1369,0)),"",INDEX('Compliance Database'!$A$2:$A$1369,MATCH(750,Engine!$C$2:$C$1369,0)))</f>
        <v/>
      </c>
      <c r="B763" s="8">
        <f>IF(ISNA(MATCH(750,Engine!$C$2:$C$1369,0)),"",INDEX('Compliance Database'!$B$2:$B$1369,MATCH(750,Engine!$C$2:$C$1369,0)))</f>
        <v/>
      </c>
      <c r="C763" s="8">
        <f>IF(ISNA(MATCH(750,Engine!$C$2:$C$1369,0)),"",INDEX('Compliance Database'!$C$2:$C$1369,MATCH(750,Engine!$C$2:$C$1369,0)))</f>
        <v/>
      </c>
      <c r="D763" s="9">
        <f>IF(ISNA(MATCH(750,Engine!$C$2:$C$1369,0)),"",INDEX('Compliance Database'!$D$2:$D$1369,MATCH(750,Engine!$C$2:$C$1369,0)))</f>
        <v/>
      </c>
      <c r="E763" s="8">
        <f>IF(ISNA(MATCH(750,Engine!$C$2:$C$1369,0)),"",INDEX('Compliance Database'!$E$2:$E$1369,MATCH(750,Engine!$C$2:$C$1369,0)))</f>
        <v/>
      </c>
      <c r="F763" s="8">
        <f>IF(ISNA(MATCH(750,Engine!$C$2:$C$1369,0)),"",INDEX('Compliance Database'!$F$2:$F$1369,MATCH(750,Engine!$C$2:$C$1369,0)))</f>
        <v/>
      </c>
      <c r="G763" s="8">
        <f>IF(ISNA(MATCH(750,Engine!$C$2:$C$1369,0)),"",INDEX('Compliance Database'!$G$2:$G$1369,MATCH(750,Engine!$C$2:$C$1369,0)))</f>
        <v/>
      </c>
      <c r="H763" s="9">
        <f>IF(ISNA(MATCH(750,Engine!$C$2:$C$1369,0)),"",INDEX('Compliance Database'!$H$2:$H$1369,MATCH(750,Engine!$C$2:$C$1369,0)))</f>
        <v/>
      </c>
      <c r="I763" s="9">
        <f>IF(ISNA(MATCH(750,Engine!$C$2:$C$1369,0)),"",INDEX('Compliance Database'!$I$2:$I$1369,MATCH(750,Engine!$C$2:$C$1369,0)))</f>
        <v/>
      </c>
      <c r="J763" s="8">
        <f>IF(ISNA(MATCH(750,Engine!$C$2:$C$1369,0)),"",INDEX('Compliance Database'!$J$2:$J$1369,MATCH(750,Engine!$C$2:$C$1369,0)))</f>
        <v/>
      </c>
      <c r="K763" s="9">
        <f>IF(ISNA(MATCH(750,Engine!$C$2:$C$1369,0)),"",INDEX('Compliance Database'!$K$2:$K$1369,MATCH(750,Engine!$C$2:$C$1369,0)))</f>
        <v/>
      </c>
      <c r="L763" s="9">
        <f>IF(ISNA(MATCH(750,Engine!$C$2:$C$1369,0)),"",INDEX('Compliance Database'!$L$2:$L$1369,MATCH(750,Engine!$C$2:$C$1369,0)))</f>
        <v/>
      </c>
      <c r="M763" s="9">
        <f>IF(ISNA(MATCH(750,Engine!$C$2:$C$1369,0)),"",INDEX('Compliance Database'!$M$2:$M$1369,MATCH(750,Engine!$C$2:$C$1369,0)))</f>
        <v/>
      </c>
      <c r="N763" s="9">
        <f>IF(ISNA(MATCH(750,Engine!$C$2:$C$1369,0)),"",INDEX('Compliance Database'!$N$2:$N$1369,MATCH(750,Engine!$C$2:$C$1369,0)))</f>
        <v/>
      </c>
      <c r="O763" s="8">
        <f>IF(ISNA(MATCH(750,Engine!$C$2:$C$1369,0)),"",HYPERLINK(INDEX('Compliance Database'!$O$2:$O$1369,MATCH(750,Engine!$C$2:$C$1369,0)),"Open PDF"))</f>
        <v/>
      </c>
    </row>
    <row r="764" ht="188" customHeight="1">
      <c r="A764" s="8">
        <f>IF(ISNA(MATCH(751,Engine!$C$2:$C$1369,0)),"",INDEX('Compliance Database'!$A$2:$A$1369,MATCH(751,Engine!$C$2:$C$1369,0)))</f>
        <v/>
      </c>
      <c r="B764" s="8">
        <f>IF(ISNA(MATCH(751,Engine!$C$2:$C$1369,0)),"",INDEX('Compliance Database'!$B$2:$B$1369,MATCH(751,Engine!$C$2:$C$1369,0)))</f>
        <v/>
      </c>
      <c r="C764" s="8">
        <f>IF(ISNA(MATCH(751,Engine!$C$2:$C$1369,0)),"",INDEX('Compliance Database'!$C$2:$C$1369,MATCH(751,Engine!$C$2:$C$1369,0)))</f>
        <v/>
      </c>
      <c r="D764" s="9">
        <f>IF(ISNA(MATCH(751,Engine!$C$2:$C$1369,0)),"",INDEX('Compliance Database'!$D$2:$D$1369,MATCH(751,Engine!$C$2:$C$1369,0)))</f>
        <v/>
      </c>
      <c r="E764" s="8">
        <f>IF(ISNA(MATCH(751,Engine!$C$2:$C$1369,0)),"",INDEX('Compliance Database'!$E$2:$E$1369,MATCH(751,Engine!$C$2:$C$1369,0)))</f>
        <v/>
      </c>
      <c r="F764" s="8">
        <f>IF(ISNA(MATCH(751,Engine!$C$2:$C$1369,0)),"",INDEX('Compliance Database'!$F$2:$F$1369,MATCH(751,Engine!$C$2:$C$1369,0)))</f>
        <v/>
      </c>
      <c r="G764" s="8">
        <f>IF(ISNA(MATCH(751,Engine!$C$2:$C$1369,0)),"",INDEX('Compliance Database'!$G$2:$G$1369,MATCH(751,Engine!$C$2:$C$1369,0)))</f>
        <v/>
      </c>
      <c r="H764" s="9">
        <f>IF(ISNA(MATCH(751,Engine!$C$2:$C$1369,0)),"",INDEX('Compliance Database'!$H$2:$H$1369,MATCH(751,Engine!$C$2:$C$1369,0)))</f>
        <v/>
      </c>
      <c r="I764" s="9">
        <f>IF(ISNA(MATCH(751,Engine!$C$2:$C$1369,0)),"",INDEX('Compliance Database'!$I$2:$I$1369,MATCH(751,Engine!$C$2:$C$1369,0)))</f>
        <v/>
      </c>
      <c r="J764" s="8">
        <f>IF(ISNA(MATCH(751,Engine!$C$2:$C$1369,0)),"",INDEX('Compliance Database'!$J$2:$J$1369,MATCH(751,Engine!$C$2:$C$1369,0)))</f>
        <v/>
      </c>
      <c r="K764" s="9">
        <f>IF(ISNA(MATCH(751,Engine!$C$2:$C$1369,0)),"",INDEX('Compliance Database'!$K$2:$K$1369,MATCH(751,Engine!$C$2:$C$1369,0)))</f>
        <v/>
      </c>
      <c r="L764" s="9">
        <f>IF(ISNA(MATCH(751,Engine!$C$2:$C$1369,0)),"",INDEX('Compliance Database'!$L$2:$L$1369,MATCH(751,Engine!$C$2:$C$1369,0)))</f>
        <v/>
      </c>
      <c r="M764" s="9">
        <f>IF(ISNA(MATCH(751,Engine!$C$2:$C$1369,0)),"",INDEX('Compliance Database'!$M$2:$M$1369,MATCH(751,Engine!$C$2:$C$1369,0)))</f>
        <v/>
      </c>
      <c r="N764" s="9">
        <f>IF(ISNA(MATCH(751,Engine!$C$2:$C$1369,0)),"",INDEX('Compliance Database'!$N$2:$N$1369,MATCH(751,Engine!$C$2:$C$1369,0)))</f>
        <v/>
      </c>
      <c r="O764" s="8">
        <f>IF(ISNA(MATCH(751,Engine!$C$2:$C$1369,0)),"",HYPERLINK(INDEX('Compliance Database'!$O$2:$O$1369,MATCH(751,Engine!$C$2:$C$1369,0)),"Open PDF"))</f>
        <v/>
      </c>
    </row>
    <row r="765" ht="188" customHeight="1">
      <c r="A765" s="8">
        <f>IF(ISNA(MATCH(752,Engine!$C$2:$C$1369,0)),"",INDEX('Compliance Database'!$A$2:$A$1369,MATCH(752,Engine!$C$2:$C$1369,0)))</f>
        <v/>
      </c>
      <c r="B765" s="8">
        <f>IF(ISNA(MATCH(752,Engine!$C$2:$C$1369,0)),"",INDEX('Compliance Database'!$B$2:$B$1369,MATCH(752,Engine!$C$2:$C$1369,0)))</f>
        <v/>
      </c>
      <c r="C765" s="8">
        <f>IF(ISNA(MATCH(752,Engine!$C$2:$C$1369,0)),"",INDEX('Compliance Database'!$C$2:$C$1369,MATCH(752,Engine!$C$2:$C$1369,0)))</f>
        <v/>
      </c>
      <c r="D765" s="9">
        <f>IF(ISNA(MATCH(752,Engine!$C$2:$C$1369,0)),"",INDEX('Compliance Database'!$D$2:$D$1369,MATCH(752,Engine!$C$2:$C$1369,0)))</f>
        <v/>
      </c>
      <c r="E765" s="8">
        <f>IF(ISNA(MATCH(752,Engine!$C$2:$C$1369,0)),"",INDEX('Compliance Database'!$E$2:$E$1369,MATCH(752,Engine!$C$2:$C$1369,0)))</f>
        <v/>
      </c>
      <c r="F765" s="8">
        <f>IF(ISNA(MATCH(752,Engine!$C$2:$C$1369,0)),"",INDEX('Compliance Database'!$F$2:$F$1369,MATCH(752,Engine!$C$2:$C$1369,0)))</f>
        <v/>
      </c>
      <c r="G765" s="8">
        <f>IF(ISNA(MATCH(752,Engine!$C$2:$C$1369,0)),"",INDEX('Compliance Database'!$G$2:$G$1369,MATCH(752,Engine!$C$2:$C$1369,0)))</f>
        <v/>
      </c>
      <c r="H765" s="9">
        <f>IF(ISNA(MATCH(752,Engine!$C$2:$C$1369,0)),"",INDEX('Compliance Database'!$H$2:$H$1369,MATCH(752,Engine!$C$2:$C$1369,0)))</f>
        <v/>
      </c>
      <c r="I765" s="9">
        <f>IF(ISNA(MATCH(752,Engine!$C$2:$C$1369,0)),"",INDEX('Compliance Database'!$I$2:$I$1369,MATCH(752,Engine!$C$2:$C$1369,0)))</f>
        <v/>
      </c>
      <c r="J765" s="8">
        <f>IF(ISNA(MATCH(752,Engine!$C$2:$C$1369,0)),"",INDEX('Compliance Database'!$J$2:$J$1369,MATCH(752,Engine!$C$2:$C$1369,0)))</f>
        <v/>
      </c>
      <c r="K765" s="9">
        <f>IF(ISNA(MATCH(752,Engine!$C$2:$C$1369,0)),"",INDEX('Compliance Database'!$K$2:$K$1369,MATCH(752,Engine!$C$2:$C$1369,0)))</f>
        <v/>
      </c>
      <c r="L765" s="9">
        <f>IF(ISNA(MATCH(752,Engine!$C$2:$C$1369,0)),"",INDEX('Compliance Database'!$L$2:$L$1369,MATCH(752,Engine!$C$2:$C$1369,0)))</f>
        <v/>
      </c>
      <c r="M765" s="9">
        <f>IF(ISNA(MATCH(752,Engine!$C$2:$C$1369,0)),"",INDEX('Compliance Database'!$M$2:$M$1369,MATCH(752,Engine!$C$2:$C$1369,0)))</f>
        <v/>
      </c>
      <c r="N765" s="9">
        <f>IF(ISNA(MATCH(752,Engine!$C$2:$C$1369,0)),"",INDEX('Compliance Database'!$N$2:$N$1369,MATCH(752,Engine!$C$2:$C$1369,0)))</f>
        <v/>
      </c>
      <c r="O765" s="8">
        <f>IF(ISNA(MATCH(752,Engine!$C$2:$C$1369,0)),"",HYPERLINK(INDEX('Compliance Database'!$O$2:$O$1369,MATCH(752,Engine!$C$2:$C$1369,0)),"Open PDF"))</f>
        <v/>
      </c>
    </row>
    <row r="766" ht="188" customHeight="1">
      <c r="A766" s="8">
        <f>IF(ISNA(MATCH(753,Engine!$C$2:$C$1369,0)),"",INDEX('Compliance Database'!$A$2:$A$1369,MATCH(753,Engine!$C$2:$C$1369,0)))</f>
        <v/>
      </c>
      <c r="B766" s="8">
        <f>IF(ISNA(MATCH(753,Engine!$C$2:$C$1369,0)),"",INDEX('Compliance Database'!$B$2:$B$1369,MATCH(753,Engine!$C$2:$C$1369,0)))</f>
        <v/>
      </c>
      <c r="C766" s="8">
        <f>IF(ISNA(MATCH(753,Engine!$C$2:$C$1369,0)),"",INDEX('Compliance Database'!$C$2:$C$1369,MATCH(753,Engine!$C$2:$C$1369,0)))</f>
        <v/>
      </c>
      <c r="D766" s="9">
        <f>IF(ISNA(MATCH(753,Engine!$C$2:$C$1369,0)),"",INDEX('Compliance Database'!$D$2:$D$1369,MATCH(753,Engine!$C$2:$C$1369,0)))</f>
        <v/>
      </c>
      <c r="E766" s="8">
        <f>IF(ISNA(MATCH(753,Engine!$C$2:$C$1369,0)),"",INDEX('Compliance Database'!$E$2:$E$1369,MATCH(753,Engine!$C$2:$C$1369,0)))</f>
        <v/>
      </c>
      <c r="F766" s="8">
        <f>IF(ISNA(MATCH(753,Engine!$C$2:$C$1369,0)),"",INDEX('Compliance Database'!$F$2:$F$1369,MATCH(753,Engine!$C$2:$C$1369,0)))</f>
        <v/>
      </c>
      <c r="G766" s="8">
        <f>IF(ISNA(MATCH(753,Engine!$C$2:$C$1369,0)),"",INDEX('Compliance Database'!$G$2:$G$1369,MATCH(753,Engine!$C$2:$C$1369,0)))</f>
        <v/>
      </c>
      <c r="H766" s="9">
        <f>IF(ISNA(MATCH(753,Engine!$C$2:$C$1369,0)),"",INDEX('Compliance Database'!$H$2:$H$1369,MATCH(753,Engine!$C$2:$C$1369,0)))</f>
        <v/>
      </c>
      <c r="I766" s="9">
        <f>IF(ISNA(MATCH(753,Engine!$C$2:$C$1369,0)),"",INDEX('Compliance Database'!$I$2:$I$1369,MATCH(753,Engine!$C$2:$C$1369,0)))</f>
        <v/>
      </c>
      <c r="J766" s="8">
        <f>IF(ISNA(MATCH(753,Engine!$C$2:$C$1369,0)),"",INDEX('Compliance Database'!$J$2:$J$1369,MATCH(753,Engine!$C$2:$C$1369,0)))</f>
        <v/>
      </c>
      <c r="K766" s="9">
        <f>IF(ISNA(MATCH(753,Engine!$C$2:$C$1369,0)),"",INDEX('Compliance Database'!$K$2:$K$1369,MATCH(753,Engine!$C$2:$C$1369,0)))</f>
        <v/>
      </c>
      <c r="L766" s="9">
        <f>IF(ISNA(MATCH(753,Engine!$C$2:$C$1369,0)),"",INDEX('Compliance Database'!$L$2:$L$1369,MATCH(753,Engine!$C$2:$C$1369,0)))</f>
        <v/>
      </c>
      <c r="M766" s="9">
        <f>IF(ISNA(MATCH(753,Engine!$C$2:$C$1369,0)),"",INDEX('Compliance Database'!$M$2:$M$1369,MATCH(753,Engine!$C$2:$C$1369,0)))</f>
        <v/>
      </c>
      <c r="N766" s="9">
        <f>IF(ISNA(MATCH(753,Engine!$C$2:$C$1369,0)),"",INDEX('Compliance Database'!$N$2:$N$1369,MATCH(753,Engine!$C$2:$C$1369,0)))</f>
        <v/>
      </c>
      <c r="O766" s="8">
        <f>IF(ISNA(MATCH(753,Engine!$C$2:$C$1369,0)),"",HYPERLINK(INDEX('Compliance Database'!$O$2:$O$1369,MATCH(753,Engine!$C$2:$C$1369,0)),"Open PDF"))</f>
        <v/>
      </c>
    </row>
    <row r="767" ht="188" customHeight="1">
      <c r="A767" s="8">
        <f>IF(ISNA(MATCH(754,Engine!$C$2:$C$1369,0)),"",INDEX('Compliance Database'!$A$2:$A$1369,MATCH(754,Engine!$C$2:$C$1369,0)))</f>
        <v/>
      </c>
      <c r="B767" s="8">
        <f>IF(ISNA(MATCH(754,Engine!$C$2:$C$1369,0)),"",INDEX('Compliance Database'!$B$2:$B$1369,MATCH(754,Engine!$C$2:$C$1369,0)))</f>
        <v/>
      </c>
      <c r="C767" s="8">
        <f>IF(ISNA(MATCH(754,Engine!$C$2:$C$1369,0)),"",INDEX('Compliance Database'!$C$2:$C$1369,MATCH(754,Engine!$C$2:$C$1369,0)))</f>
        <v/>
      </c>
      <c r="D767" s="9">
        <f>IF(ISNA(MATCH(754,Engine!$C$2:$C$1369,0)),"",INDEX('Compliance Database'!$D$2:$D$1369,MATCH(754,Engine!$C$2:$C$1369,0)))</f>
        <v/>
      </c>
      <c r="E767" s="8">
        <f>IF(ISNA(MATCH(754,Engine!$C$2:$C$1369,0)),"",INDEX('Compliance Database'!$E$2:$E$1369,MATCH(754,Engine!$C$2:$C$1369,0)))</f>
        <v/>
      </c>
      <c r="F767" s="8">
        <f>IF(ISNA(MATCH(754,Engine!$C$2:$C$1369,0)),"",INDEX('Compliance Database'!$F$2:$F$1369,MATCH(754,Engine!$C$2:$C$1369,0)))</f>
        <v/>
      </c>
      <c r="G767" s="8">
        <f>IF(ISNA(MATCH(754,Engine!$C$2:$C$1369,0)),"",INDEX('Compliance Database'!$G$2:$G$1369,MATCH(754,Engine!$C$2:$C$1369,0)))</f>
        <v/>
      </c>
      <c r="H767" s="9">
        <f>IF(ISNA(MATCH(754,Engine!$C$2:$C$1369,0)),"",INDEX('Compliance Database'!$H$2:$H$1369,MATCH(754,Engine!$C$2:$C$1369,0)))</f>
        <v/>
      </c>
      <c r="I767" s="9">
        <f>IF(ISNA(MATCH(754,Engine!$C$2:$C$1369,0)),"",INDEX('Compliance Database'!$I$2:$I$1369,MATCH(754,Engine!$C$2:$C$1369,0)))</f>
        <v/>
      </c>
      <c r="J767" s="8">
        <f>IF(ISNA(MATCH(754,Engine!$C$2:$C$1369,0)),"",INDEX('Compliance Database'!$J$2:$J$1369,MATCH(754,Engine!$C$2:$C$1369,0)))</f>
        <v/>
      </c>
      <c r="K767" s="9">
        <f>IF(ISNA(MATCH(754,Engine!$C$2:$C$1369,0)),"",INDEX('Compliance Database'!$K$2:$K$1369,MATCH(754,Engine!$C$2:$C$1369,0)))</f>
        <v/>
      </c>
      <c r="L767" s="9">
        <f>IF(ISNA(MATCH(754,Engine!$C$2:$C$1369,0)),"",INDEX('Compliance Database'!$L$2:$L$1369,MATCH(754,Engine!$C$2:$C$1369,0)))</f>
        <v/>
      </c>
      <c r="M767" s="9">
        <f>IF(ISNA(MATCH(754,Engine!$C$2:$C$1369,0)),"",INDEX('Compliance Database'!$M$2:$M$1369,MATCH(754,Engine!$C$2:$C$1369,0)))</f>
        <v/>
      </c>
      <c r="N767" s="9">
        <f>IF(ISNA(MATCH(754,Engine!$C$2:$C$1369,0)),"",INDEX('Compliance Database'!$N$2:$N$1369,MATCH(754,Engine!$C$2:$C$1369,0)))</f>
        <v/>
      </c>
      <c r="O767" s="8">
        <f>IF(ISNA(MATCH(754,Engine!$C$2:$C$1369,0)),"",HYPERLINK(INDEX('Compliance Database'!$O$2:$O$1369,MATCH(754,Engine!$C$2:$C$1369,0)),"Open PDF"))</f>
        <v/>
      </c>
    </row>
    <row r="768" ht="188" customHeight="1">
      <c r="A768" s="8">
        <f>IF(ISNA(MATCH(755,Engine!$C$2:$C$1369,0)),"",INDEX('Compliance Database'!$A$2:$A$1369,MATCH(755,Engine!$C$2:$C$1369,0)))</f>
        <v/>
      </c>
      <c r="B768" s="8">
        <f>IF(ISNA(MATCH(755,Engine!$C$2:$C$1369,0)),"",INDEX('Compliance Database'!$B$2:$B$1369,MATCH(755,Engine!$C$2:$C$1369,0)))</f>
        <v/>
      </c>
      <c r="C768" s="8">
        <f>IF(ISNA(MATCH(755,Engine!$C$2:$C$1369,0)),"",INDEX('Compliance Database'!$C$2:$C$1369,MATCH(755,Engine!$C$2:$C$1369,0)))</f>
        <v/>
      </c>
      <c r="D768" s="9">
        <f>IF(ISNA(MATCH(755,Engine!$C$2:$C$1369,0)),"",INDEX('Compliance Database'!$D$2:$D$1369,MATCH(755,Engine!$C$2:$C$1369,0)))</f>
        <v/>
      </c>
      <c r="E768" s="8">
        <f>IF(ISNA(MATCH(755,Engine!$C$2:$C$1369,0)),"",INDEX('Compliance Database'!$E$2:$E$1369,MATCH(755,Engine!$C$2:$C$1369,0)))</f>
        <v/>
      </c>
      <c r="F768" s="8">
        <f>IF(ISNA(MATCH(755,Engine!$C$2:$C$1369,0)),"",INDEX('Compliance Database'!$F$2:$F$1369,MATCH(755,Engine!$C$2:$C$1369,0)))</f>
        <v/>
      </c>
      <c r="G768" s="8">
        <f>IF(ISNA(MATCH(755,Engine!$C$2:$C$1369,0)),"",INDEX('Compliance Database'!$G$2:$G$1369,MATCH(755,Engine!$C$2:$C$1369,0)))</f>
        <v/>
      </c>
      <c r="H768" s="9">
        <f>IF(ISNA(MATCH(755,Engine!$C$2:$C$1369,0)),"",INDEX('Compliance Database'!$H$2:$H$1369,MATCH(755,Engine!$C$2:$C$1369,0)))</f>
        <v/>
      </c>
      <c r="I768" s="9">
        <f>IF(ISNA(MATCH(755,Engine!$C$2:$C$1369,0)),"",INDEX('Compliance Database'!$I$2:$I$1369,MATCH(755,Engine!$C$2:$C$1369,0)))</f>
        <v/>
      </c>
      <c r="J768" s="8">
        <f>IF(ISNA(MATCH(755,Engine!$C$2:$C$1369,0)),"",INDEX('Compliance Database'!$J$2:$J$1369,MATCH(755,Engine!$C$2:$C$1369,0)))</f>
        <v/>
      </c>
      <c r="K768" s="9">
        <f>IF(ISNA(MATCH(755,Engine!$C$2:$C$1369,0)),"",INDEX('Compliance Database'!$K$2:$K$1369,MATCH(755,Engine!$C$2:$C$1369,0)))</f>
        <v/>
      </c>
      <c r="L768" s="9">
        <f>IF(ISNA(MATCH(755,Engine!$C$2:$C$1369,0)),"",INDEX('Compliance Database'!$L$2:$L$1369,MATCH(755,Engine!$C$2:$C$1369,0)))</f>
        <v/>
      </c>
      <c r="M768" s="9">
        <f>IF(ISNA(MATCH(755,Engine!$C$2:$C$1369,0)),"",INDEX('Compliance Database'!$M$2:$M$1369,MATCH(755,Engine!$C$2:$C$1369,0)))</f>
        <v/>
      </c>
      <c r="N768" s="9">
        <f>IF(ISNA(MATCH(755,Engine!$C$2:$C$1369,0)),"",INDEX('Compliance Database'!$N$2:$N$1369,MATCH(755,Engine!$C$2:$C$1369,0)))</f>
        <v/>
      </c>
      <c r="O768" s="8">
        <f>IF(ISNA(MATCH(755,Engine!$C$2:$C$1369,0)),"",HYPERLINK(INDEX('Compliance Database'!$O$2:$O$1369,MATCH(755,Engine!$C$2:$C$1369,0)),"Open PDF"))</f>
        <v/>
      </c>
    </row>
    <row r="769" ht="188" customHeight="1">
      <c r="A769" s="8">
        <f>IF(ISNA(MATCH(756,Engine!$C$2:$C$1369,0)),"",INDEX('Compliance Database'!$A$2:$A$1369,MATCH(756,Engine!$C$2:$C$1369,0)))</f>
        <v/>
      </c>
      <c r="B769" s="8">
        <f>IF(ISNA(MATCH(756,Engine!$C$2:$C$1369,0)),"",INDEX('Compliance Database'!$B$2:$B$1369,MATCH(756,Engine!$C$2:$C$1369,0)))</f>
        <v/>
      </c>
      <c r="C769" s="8">
        <f>IF(ISNA(MATCH(756,Engine!$C$2:$C$1369,0)),"",INDEX('Compliance Database'!$C$2:$C$1369,MATCH(756,Engine!$C$2:$C$1369,0)))</f>
        <v/>
      </c>
      <c r="D769" s="9">
        <f>IF(ISNA(MATCH(756,Engine!$C$2:$C$1369,0)),"",INDEX('Compliance Database'!$D$2:$D$1369,MATCH(756,Engine!$C$2:$C$1369,0)))</f>
        <v/>
      </c>
      <c r="E769" s="8">
        <f>IF(ISNA(MATCH(756,Engine!$C$2:$C$1369,0)),"",INDEX('Compliance Database'!$E$2:$E$1369,MATCH(756,Engine!$C$2:$C$1369,0)))</f>
        <v/>
      </c>
      <c r="F769" s="8">
        <f>IF(ISNA(MATCH(756,Engine!$C$2:$C$1369,0)),"",INDEX('Compliance Database'!$F$2:$F$1369,MATCH(756,Engine!$C$2:$C$1369,0)))</f>
        <v/>
      </c>
      <c r="G769" s="8">
        <f>IF(ISNA(MATCH(756,Engine!$C$2:$C$1369,0)),"",INDEX('Compliance Database'!$G$2:$G$1369,MATCH(756,Engine!$C$2:$C$1369,0)))</f>
        <v/>
      </c>
      <c r="H769" s="9">
        <f>IF(ISNA(MATCH(756,Engine!$C$2:$C$1369,0)),"",INDEX('Compliance Database'!$H$2:$H$1369,MATCH(756,Engine!$C$2:$C$1369,0)))</f>
        <v/>
      </c>
      <c r="I769" s="9">
        <f>IF(ISNA(MATCH(756,Engine!$C$2:$C$1369,0)),"",INDEX('Compliance Database'!$I$2:$I$1369,MATCH(756,Engine!$C$2:$C$1369,0)))</f>
        <v/>
      </c>
      <c r="J769" s="8">
        <f>IF(ISNA(MATCH(756,Engine!$C$2:$C$1369,0)),"",INDEX('Compliance Database'!$J$2:$J$1369,MATCH(756,Engine!$C$2:$C$1369,0)))</f>
        <v/>
      </c>
      <c r="K769" s="9">
        <f>IF(ISNA(MATCH(756,Engine!$C$2:$C$1369,0)),"",INDEX('Compliance Database'!$K$2:$K$1369,MATCH(756,Engine!$C$2:$C$1369,0)))</f>
        <v/>
      </c>
      <c r="L769" s="9">
        <f>IF(ISNA(MATCH(756,Engine!$C$2:$C$1369,0)),"",INDEX('Compliance Database'!$L$2:$L$1369,MATCH(756,Engine!$C$2:$C$1369,0)))</f>
        <v/>
      </c>
      <c r="M769" s="9">
        <f>IF(ISNA(MATCH(756,Engine!$C$2:$C$1369,0)),"",INDEX('Compliance Database'!$M$2:$M$1369,MATCH(756,Engine!$C$2:$C$1369,0)))</f>
        <v/>
      </c>
      <c r="N769" s="9">
        <f>IF(ISNA(MATCH(756,Engine!$C$2:$C$1369,0)),"",INDEX('Compliance Database'!$N$2:$N$1369,MATCH(756,Engine!$C$2:$C$1369,0)))</f>
        <v/>
      </c>
      <c r="O769" s="8">
        <f>IF(ISNA(MATCH(756,Engine!$C$2:$C$1369,0)),"",HYPERLINK(INDEX('Compliance Database'!$O$2:$O$1369,MATCH(756,Engine!$C$2:$C$1369,0)),"Open PDF"))</f>
        <v/>
      </c>
    </row>
    <row r="770" ht="188" customHeight="1">
      <c r="A770" s="8">
        <f>IF(ISNA(MATCH(757,Engine!$C$2:$C$1369,0)),"",INDEX('Compliance Database'!$A$2:$A$1369,MATCH(757,Engine!$C$2:$C$1369,0)))</f>
        <v/>
      </c>
      <c r="B770" s="8">
        <f>IF(ISNA(MATCH(757,Engine!$C$2:$C$1369,0)),"",INDEX('Compliance Database'!$B$2:$B$1369,MATCH(757,Engine!$C$2:$C$1369,0)))</f>
        <v/>
      </c>
      <c r="C770" s="8">
        <f>IF(ISNA(MATCH(757,Engine!$C$2:$C$1369,0)),"",INDEX('Compliance Database'!$C$2:$C$1369,MATCH(757,Engine!$C$2:$C$1369,0)))</f>
        <v/>
      </c>
      <c r="D770" s="9">
        <f>IF(ISNA(MATCH(757,Engine!$C$2:$C$1369,0)),"",INDEX('Compliance Database'!$D$2:$D$1369,MATCH(757,Engine!$C$2:$C$1369,0)))</f>
        <v/>
      </c>
      <c r="E770" s="8">
        <f>IF(ISNA(MATCH(757,Engine!$C$2:$C$1369,0)),"",INDEX('Compliance Database'!$E$2:$E$1369,MATCH(757,Engine!$C$2:$C$1369,0)))</f>
        <v/>
      </c>
      <c r="F770" s="8">
        <f>IF(ISNA(MATCH(757,Engine!$C$2:$C$1369,0)),"",INDEX('Compliance Database'!$F$2:$F$1369,MATCH(757,Engine!$C$2:$C$1369,0)))</f>
        <v/>
      </c>
      <c r="G770" s="8">
        <f>IF(ISNA(MATCH(757,Engine!$C$2:$C$1369,0)),"",INDEX('Compliance Database'!$G$2:$G$1369,MATCH(757,Engine!$C$2:$C$1369,0)))</f>
        <v/>
      </c>
      <c r="H770" s="9">
        <f>IF(ISNA(MATCH(757,Engine!$C$2:$C$1369,0)),"",INDEX('Compliance Database'!$H$2:$H$1369,MATCH(757,Engine!$C$2:$C$1369,0)))</f>
        <v/>
      </c>
      <c r="I770" s="9">
        <f>IF(ISNA(MATCH(757,Engine!$C$2:$C$1369,0)),"",INDEX('Compliance Database'!$I$2:$I$1369,MATCH(757,Engine!$C$2:$C$1369,0)))</f>
        <v/>
      </c>
      <c r="J770" s="8">
        <f>IF(ISNA(MATCH(757,Engine!$C$2:$C$1369,0)),"",INDEX('Compliance Database'!$J$2:$J$1369,MATCH(757,Engine!$C$2:$C$1369,0)))</f>
        <v/>
      </c>
      <c r="K770" s="9">
        <f>IF(ISNA(MATCH(757,Engine!$C$2:$C$1369,0)),"",INDEX('Compliance Database'!$K$2:$K$1369,MATCH(757,Engine!$C$2:$C$1369,0)))</f>
        <v/>
      </c>
      <c r="L770" s="9">
        <f>IF(ISNA(MATCH(757,Engine!$C$2:$C$1369,0)),"",INDEX('Compliance Database'!$L$2:$L$1369,MATCH(757,Engine!$C$2:$C$1369,0)))</f>
        <v/>
      </c>
      <c r="M770" s="9">
        <f>IF(ISNA(MATCH(757,Engine!$C$2:$C$1369,0)),"",INDEX('Compliance Database'!$M$2:$M$1369,MATCH(757,Engine!$C$2:$C$1369,0)))</f>
        <v/>
      </c>
      <c r="N770" s="9">
        <f>IF(ISNA(MATCH(757,Engine!$C$2:$C$1369,0)),"",INDEX('Compliance Database'!$N$2:$N$1369,MATCH(757,Engine!$C$2:$C$1369,0)))</f>
        <v/>
      </c>
      <c r="O770" s="8">
        <f>IF(ISNA(MATCH(757,Engine!$C$2:$C$1369,0)),"",HYPERLINK(INDEX('Compliance Database'!$O$2:$O$1369,MATCH(757,Engine!$C$2:$C$1369,0)),"Open PDF"))</f>
        <v/>
      </c>
    </row>
    <row r="771" ht="188" customHeight="1">
      <c r="A771" s="8">
        <f>IF(ISNA(MATCH(758,Engine!$C$2:$C$1369,0)),"",INDEX('Compliance Database'!$A$2:$A$1369,MATCH(758,Engine!$C$2:$C$1369,0)))</f>
        <v/>
      </c>
      <c r="B771" s="8">
        <f>IF(ISNA(MATCH(758,Engine!$C$2:$C$1369,0)),"",INDEX('Compliance Database'!$B$2:$B$1369,MATCH(758,Engine!$C$2:$C$1369,0)))</f>
        <v/>
      </c>
      <c r="C771" s="8">
        <f>IF(ISNA(MATCH(758,Engine!$C$2:$C$1369,0)),"",INDEX('Compliance Database'!$C$2:$C$1369,MATCH(758,Engine!$C$2:$C$1369,0)))</f>
        <v/>
      </c>
      <c r="D771" s="9">
        <f>IF(ISNA(MATCH(758,Engine!$C$2:$C$1369,0)),"",INDEX('Compliance Database'!$D$2:$D$1369,MATCH(758,Engine!$C$2:$C$1369,0)))</f>
        <v/>
      </c>
      <c r="E771" s="8">
        <f>IF(ISNA(MATCH(758,Engine!$C$2:$C$1369,0)),"",INDEX('Compliance Database'!$E$2:$E$1369,MATCH(758,Engine!$C$2:$C$1369,0)))</f>
        <v/>
      </c>
      <c r="F771" s="8">
        <f>IF(ISNA(MATCH(758,Engine!$C$2:$C$1369,0)),"",INDEX('Compliance Database'!$F$2:$F$1369,MATCH(758,Engine!$C$2:$C$1369,0)))</f>
        <v/>
      </c>
      <c r="G771" s="8">
        <f>IF(ISNA(MATCH(758,Engine!$C$2:$C$1369,0)),"",INDEX('Compliance Database'!$G$2:$G$1369,MATCH(758,Engine!$C$2:$C$1369,0)))</f>
        <v/>
      </c>
      <c r="H771" s="9">
        <f>IF(ISNA(MATCH(758,Engine!$C$2:$C$1369,0)),"",INDEX('Compliance Database'!$H$2:$H$1369,MATCH(758,Engine!$C$2:$C$1369,0)))</f>
        <v/>
      </c>
      <c r="I771" s="9">
        <f>IF(ISNA(MATCH(758,Engine!$C$2:$C$1369,0)),"",INDEX('Compliance Database'!$I$2:$I$1369,MATCH(758,Engine!$C$2:$C$1369,0)))</f>
        <v/>
      </c>
      <c r="J771" s="8">
        <f>IF(ISNA(MATCH(758,Engine!$C$2:$C$1369,0)),"",INDEX('Compliance Database'!$J$2:$J$1369,MATCH(758,Engine!$C$2:$C$1369,0)))</f>
        <v/>
      </c>
      <c r="K771" s="9">
        <f>IF(ISNA(MATCH(758,Engine!$C$2:$C$1369,0)),"",INDEX('Compliance Database'!$K$2:$K$1369,MATCH(758,Engine!$C$2:$C$1369,0)))</f>
        <v/>
      </c>
      <c r="L771" s="9">
        <f>IF(ISNA(MATCH(758,Engine!$C$2:$C$1369,0)),"",INDEX('Compliance Database'!$L$2:$L$1369,MATCH(758,Engine!$C$2:$C$1369,0)))</f>
        <v/>
      </c>
      <c r="M771" s="9">
        <f>IF(ISNA(MATCH(758,Engine!$C$2:$C$1369,0)),"",INDEX('Compliance Database'!$M$2:$M$1369,MATCH(758,Engine!$C$2:$C$1369,0)))</f>
        <v/>
      </c>
      <c r="N771" s="9">
        <f>IF(ISNA(MATCH(758,Engine!$C$2:$C$1369,0)),"",INDEX('Compliance Database'!$N$2:$N$1369,MATCH(758,Engine!$C$2:$C$1369,0)))</f>
        <v/>
      </c>
      <c r="O771" s="8">
        <f>IF(ISNA(MATCH(758,Engine!$C$2:$C$1369,0)),"",HYPERLINK(INDEX('Compliance Database'!$O$2:$O$1369,MATCH(758,Engine!$C$2:$C$1369,0)),"Open PDF"))</f>
        <v/>
      </c>
    </row>
    <row r="772" ht="188" customHeight="1">
      <c r="A772" s="8">
        <f>IF(ISNA(MATCH(759,Engine!$C$2:$C$1369,0)),"",INDEX('Compliance Database'!$A$2:$A$1369,MATCH(759,Engine!$C$2:$C$1369,0)))</f>
        <v/>
      </c>
      <c r="B772" s="8">
        <f>IF(ISNA(MATCH(759,Engine!$C$2:$C$1369,0)),"",INDEX('Compliance Database'!$B$2:$B$1369,MATCH(759,Engine!$C$2:$C$1369,0)))</f>
        <v/>
      </c>
      <c r="C772" s="8">
        <f>IF(ISNA(MATCH(759,Engine!$C$2:$C$1369,0)),"",INDEX('Compliance Database'!$C$2:$C$1369,MATCH(759,Engine!$C$2:$C$1369,0)))</f>
        <v/>
      </c>
      <c r="D772" s="9">
        <f>IF(ISNA(MATCH(759,Engine!$C$2:$C$1369,0)),"",INDEX('Compliance Database'!$D$2:$D$1369,MATCH(759,Engine!$C$2:$C$1369,0)))</f>
        <v/>
      </c>
      <c r="E772" s="8">
        <f>IF(ISNA(MATCH(759,Engine!$C$2:$C$1369,0)),"",INDEX('Compliance Database'!$E$2:$E$1369,MATCH(759,Engine!$C$2:$C$1369,0)))</f>
        <v/>
      </c>
      <c r="F772" s="8">
        <f>IF(ISNA(MATCH(759,Engine!$C$2:$C$1369,0)),"",INDEX('Compliance Database'!$F$2:$F$1369,MATCH(759,Engine!$C$2:$C$1369,0)))</f>
        <v/>
      </c>
      <c r="G772" s="8">
        <f>IF(ISNA(MATCH(759,Engine!$C$2:$C$1369,0)),"",INDEX('Compliance Database'!$G$2:$G$1369,MATCH(759,Engine!$C$2:$C$1369,0)))</f>
        <v/>
      </c>
      <c r="H772" s="9">
        <f>IF(ISNA(MATCH(759,Engine!$C$2:$C$1369,0)),"",INDEX('Compliance Database'!$H$2:$H$1369,MATCH(759,Engine!$C$2:$C$1369,0)))</f>
        <v/>
      </c>
      <c r="I772" s="9">
        <f>IF(ISNA(MATCH(759,Engine!$C$2:$C$1369,0)),"",INDEX('Compliance Database'!$I$2:$I$1369,MATCH(759,Engine!$C$2:$C$1369,0)))</f>
        <v/>
      </c>
      <c r="J772" s="8">
        <f>IF(ISNA(MATCH(759,Engine!$C$2:$C$1369,0)),"",INDEX('Compliance Database'!$J$2:$J$1369,MATCH(759,Engine!$C$2:$C$1369,0)))</f>
        <v/>
      </c>
      <c r="K772" s="9">
        <f>IF(ISNA(MATCH(759,Engine!$C$2:$C$1369,0)),"",INDEX('Compliance Database'!$K$2:$K$1369,MATCH(759,Engine!$C$2:$C$1369,0)))</f>
        <v/>
      </c>
      <c r="L772" s="9">
        <f>IF(ISNA(MATCH(759,Engine!$C$2:$C$1369,0)),"",INDEX('Compliance Database'!$L$2:$L$1369,MATCH(759,Engine!$C$2:$C$1369,0)))</f>
        <v/>
      </c>
      <c r="M772" s="9">
        <f>IF(ISNA(MATCH(759,Engine!$C$2:$C$1369,0)),"",INDEX('Compliance Database'!$M$2:$M$1369,MATCH(759,Engine!$C$2:$C$1369,0)))</f>
        <v/>
      </c>
      <c r="N772" s="9">
        <f>IF(ISNA(MATCH(759,Engine!$C$2:$C$1369,0)),"",INDEX('Compliance Database'!$N$2:$N$1369,MATCH(759,Engine!$C$2:$C$1369,0)))</f>
        <v/>
      </c>
      <c r="O772" s="8">
        <f>IF(ISNA(MATCH(759,Engine!$C$2:$C$1369,0)),"",HYPERLINK(INDEX('Compliance Database'!$O$2:$O$1369,MATCH(759,Engine!$C$2:$C$1369,0)),"Open PDF"))</f>
        <v/>
      </c>
    </row>
    <row r="773" ht="188" customHeight="1">
      <c r="A773" s="8">
        <f>IF(ISNA(MATCH(760,Engine!$C$2:$C$1369,0)),"",INDEX('Compliance Database'!$A$2:$A$1369,MATCH(760,Engine!$C$2:$C$1369,0)))</f>
        <v/>
      </c>
      <c r="B773" s="8">
        <f>IF(ISNA(MATCH(760,Engine!$C$2:$C$1369,0)),"",INDEX('Compliance Database'!$B$2:$B$1369,MATCH(760,Engine!$C$2:$C$1369,0)))</f>
        <v/>
      </c>
      <c r="C773" s="8">
        <f>IF(ISNA(MATCH(760,Engine!$C$2:$C$1369,0)),"",INDEX('Compliance Database'!$C$2:$C$1369,MATCH(760,Engine!$C$2:$C$1369,0)))</f>
        <v/>
      </c>
      <c r="D773" s="9">
        <f>IF(ISNA(MATCH(760,Engine!$C$2:$C$1369,0)),"",INDEX('Compliance Database'!$D$2:$D$1369,MATCH(760,Engine!$C$2:$C$1369,0)))</f>
        <v/>
      </c>
      <c r="E773" s="8">
        <f>IF(ISNA(MATCH(760,Engine!$C$2:$C$1369,0)),"",INDEX('Compliance Database'!$E$2:$E$1369,MATCH(760,Engine!$C$2:$C$1369,0)))</f>
        <v/>
      </c>
      <c r="F773" s="8">
        <f>IF(ISNA(MATCH(760,Engine!$C$2:$C$1369,0)),"",INDEX('Compliance Database'!$F$2:$F$1369,MATCH(760,Engine!$C$2:$C$1369,0)))</f>
        <v/>
      </c>
      <c r="G773" s="8">
        <f>IF(ISNA(MATCH(760,Engine!$C$2:$C$1369,0)),"",INDEX('Compliance Database'!$G$2:$G$1369,MATCH(760,Engine!$C$2:$C$1369,0)))</f>
        <v/>
      </c>
      <c r="H773" s="9">
        <f>IF(ISNA(MATCH(760,Engine!$C$2:$C$1369,0)),"",INDEX('Compliance Database'!$H$2:$H$1369,MATCH(760,Engine!$C$2:$C$1369,0)))</f>
        <v/>
      </c>
      <c r="I773" s="9">
        <f>IF(ISNA(MATCH(760,Engine!$C$2:$C$1369,0)),"",INDEX('Compliance Database'!$I$2:$I$1369,MATCH(760,Engine!$C$2:$C$1369,0)))</f>
        <v/>
      </c>
      <c r="J773" s="8">
        <f>IF(ISNA(MATCH(760,Engine!$C$2:$C$1369,0)),"",INDEX('Compliance Database'!$J$2:$J$1369,MATCH(760,Engine!$C$2:$C$1369,0)))</f>
        <v/>
      </c>
      <c r="K773" s="9">
        <f>IF(ISNA(MATCH(760,Engine!$C$2:$C$1369,0)),"",INDEX('Compliance Database'!$K$2:$K$1369,MATCH(760,Engine!$C$2:$C$1369,0)))</f>
        <v/>
      </c>
      <c r="L773" s="9">
        <f>IF(ISNA(MATCH(760,Engine!$C$2:$C$1369,0)),"",INDEX('Compliance Database'!$L$2:$L$1369,MATCH(760,Engine!$C$2:$C$1369,0)))</f>
        <v/>
      </c>
      <c r="M773" s="9">
        <f>IF(ISNA(MATCH(760,Engine!$C$2:$C$1369,0)),"",INDEX('Compliance Database'!$M$2:$M$1369,MATCH(760,Engine!$C$2:$C$1369,0)))</f>
        <v/>
      </c>
      <c r="N773" s="9">
        <f>IF(ISNA(MATCH(760,Engine!$C$2:$C$1369,0)),"",INDEX('Compliance Database'!$N$2:$N$1369,MATCH(760,Engine!$C$2:$C$1369,0)))</f>
        <v/>
      </c>
      <c r="O773" s="8">
        <f>IF(ISNA(MATCH(760,Engine!$C$2:$C$1369,0)),"",HYPERLINK(INDEX('Compliance Database'!$O$2:$O$1369,MATCH(760,Engine!$C$2:$C$1369,0)),"Open PDF"))</f>
        <v/>
      </c>
    </row>
    <row r="774" ht="188" customHeight="1">
      <c r="A774" s="8">
        <f>IF(ISNA(MATCH(761,Engine!$C$2:$C$1369,0)),"",INDEX('Compliance Database'!$A$2:$A$1369,MATCH(761,Engine!$C$2:$C$1369,0)))</f>
        <v/>
      </c>
      <c r="B774" s="8">
        <f>IF(ISNA(MATCH(761,Engine!$C$2:$C$1369,0)),"",INDEX('Compliance Database'!$B$2:$B$1369,MATCH(761,Engine!$C$2:$C$1369,0)))</f>
        <v/>
      </c>
      <c r="C774" s="8">
        <f>IF(ISNA(MATCH(761,Engine!$C$2:$C$1369,0)),"",INDEX('Compliance Database'!$C$2:$C$1369,MATCH(761,Engine!$C$2:$C$1369,0)))</f>
        <v/>
      </c>
      <c r="D774" s="9">
        <f>IF(ISNA(MATCH(761,Engine!$C$2:$C$1369,0)),"",INDEX('Compliance Database'!$D$2:$D$1369,MATCH(761,Engine!$C$2:$C$1369,0)))</f>
        <v/>
      </c>
      <c r="E774" s="8">
        <f>IF(ISNA(MATCH(761,Engine!$C$2:$C$1369,0)),"",INDEX('Compliance Database'!$E$2:$E$1369,MATCH(761,Engine!$C$2:$C$1369,0)))</f>
        <v/>
      </c>
      <c r="F774" s="8">
        <f>IF(ISNA(MATCH(761,Engine!$C$2:$C$1369,0)),"",INDEX('Compliance Database'!$F$2:$F$1369,MATCH(761,Engine!$C$2:$C$1369,0)))</f>
        <v/>
      </c>
      <c r="G774" s="8">
        <f>IF(ISNA(MATCH(761,Engine!$C$2:$C$1369,0)),"",INDEX('Compliance Database'!$G$2:$G$1369,MATCH(761,Engine!$C$2:$C$1369,0)))</f>
        <v/>
      </c>
      <c r="H774" s="9">
        <f>IF(ISNA(MATCH(761,Engine!$C$2:$C$1369,0)),"",INDEX('Compliance Database'!$H$2:$H$1369,MATCH(761,Engine!$C$2:$C$1369,0)))</f>
        <v/>
      </c>
      <c r="I774" s="9">
        <f>IF(ISNA(MATCH(761,Engine!$C$2:$C$1369,0)),"",INDEX('Compliance Database'!$I$2:$I$1369,MATCH(761,Engine!$C$2:$C$1369,0)))</f>
        <v/>
      </c>
      <c r="J774" s="8">
        <f>IF(ISNA(MATCH(761,Engine!$C$2:$C$1369,0)),"",INDEX('Compliance Database'!$J$2:$J$1369,MATCH(761,Engine!$C$2:$C$1369,0)))</f>
        <v/>
      </c>
      <c r="K774" s="9">
        <f>IF(ISNA(MATCH(761,Engine!$C$2:$C$1369,0)),"",INDEX('Compliance Database'!$K$2:$K$1369,MATCH(761,Engine!$C$2:$C$1369,0)))</f>
        <v/>
      </c>
      <c r="L774" s="9">
        <f>IF(ISNA(MATCH(761,Engine!$C$2:$C$1369,0)),"",INDEX('Compliance Database'!$L$2:$L$1369,MATCH(761,Engine!$C$2:$C$1369,0)))</f>
        <v/>
      </c>
      <c r="M774" s="9">
        <f>IF(ISNA(MATCH(761,Engine!$C$2:$C$1369,0)),"",INDEX('Compliance Database'!$M$2:$M$1369,MATCH(761,Engine!$C$2:$C$1369,0)))</f>
        <v/>
      </c>
      <c r="N774" s="9">
        <f>IF(ISNA(MATCH(761,Engine!$C$2:$C$1369,0)),"",INDEX('Compliance Database'!$N$2:$N$1369,MATCH(761,Engine!$C$2:$C$1369,0)))</f>
        <v/>
      </c>
      <c r="O774" s="8">
        <f>IF(ISNA(MATCH(761,Engine!$C$2:$C$1369,0)),"",HYPERLINK(INDEX('Compliance Database'!$O$2:$O$1369,MATCH(761,Engine!$C$2:$C$1369,0)),"Open PDF"))</f>
        <v/>
      </c>
    </row>
    <row r="775" ht="188" customHeight="1">
      <c r="A775" s="8">
        <f>IF(ISNA(MATCH(762,Engine!$C$2:$C$1369,0)),"",INDEX('Compliance Database'!$A$2:$A$1369,MATCH(762,Engine!$C$2:$C$1369,0)))</f>
        <v/>
      </c>
      <c r="B775" s="8">
        <f>IF(ISNA(MATCH(762,Engine!$C$2:$C$1369,0)),"",INDEX('Compliance Database'!$B$2:$B$1369,MATCH(762,Engine!$C$2:$C$1369,0)))</f>
        <v/>
      </c>
      <c r="C775" s="8">
        <f>IF(ISNA(MATCH(762,Engine!$C$2:$C$1369,0)),"",INDEX('Compliance Database'!$C$2:$C$1369,MATCH(762,Engine!$C$2:$C$1369,0)))</f>
        <v/>
      </c>
      <c r="D775" s="9">
        <f>IF(ISNA(MATCH(762,Engine!$C$2:$C$1369,0)),"",INDEX('Compliance Database'!$D$2:$D$1369,MATCH(762,Engine!$C$2:$C$1369,0)))</f>
        <v/>
      </c>
      <c r="E775" s="8">
        <f>IF(ISNA(MATCH(762,Engine!$C$2:$C$1369,0)),"",INDEX('Compliance Database'!$E$2:$E$1369,MATCH(762,Engine!$C$2:$C$1369,0)))</f>
        <v/>
      </c>
      <c r="F775" s="8">
        <f>IF(ISNA(MATCH(762,Engine!$C$2:$C$1369,0)),"",INDEX('Compliance Database'!$F$2:$F$1369,MATCH(762,Engine!$C$2:$C$1369,0)))</f>
        <v/>
      </c>
      <c r="G775" s="8">
        <f>IF(ISNA(MATCH(762,Engine!$C$2:$C$1369,0)),"",INDEX('Compliance Database'!$G$2:$G$1369,MATCH(762,Engine!$C$2:$C$1369,0)))</f>
        <v/>
      </c>
      <c r="H775" s="9">
        <f>IF(ISNA(MATCH(762,Engine!$C$2:$C$1369,0)),"",INDEX('Compliance Database'!$H$2:$H$1369,MATCH(762,Engine!$C$2:$C$1369,0)))</f>
        <v/>
      </c>
      <c r="I775" s="9">
        <f>IF(ISNA(MATCH(762,Engine!$C$2:$C$1369,0)),"",INDEX('Compliance Database'!$I$2:$I$1369,MATCH(762,Engine!$C$2:$C$1369,0)))</f>
        <v/>
      </c>
      <c r="J775" s="8">
        <f>IF(ISNA(MATCH(762,Engine!$C$2:$C$1369,0)),"",INDEX('Compliance Database'!$J$2:$J$1369,MATCH(762,Engine!$C$2:$C$1369,0)))</f>
        <v/>
      </c>
      <c r="K775" s="9">
        <f>IF(ISNA(MATCH(762,Engine!$C$2:$C$1369,0)),"",INDEX('Compliance Database'!$K$2:$K$1369,MATCH(762,Engine!$C$2:$C$1369,0)))</f>
        <v/>
      </c>
      <c r="L775" s="9">
        <f>IF(ISNA(MATCH(762,Engine!$C$2:$C$1369,0)),"",INDEX('Compliance Database'!$L$2:$L$1369,MATCH(762,Engine!$C$2:$C$1369,0)))</f>
        <v/>
      </c>
      <c r="M775" s="9">
        <f>IF(ISNA(MATCH(762,Engine!$C$2:$C$1369,0)),"",INDEX('Compliance Database'!$M$2:$M$1369,MATCH(762,Engine!$C$2:$C$1369,0)))</f>
        <v/>
      </c>
      <c r="N775" s="9">
        <f>IF(ISNA(MATCH(762,Engine!$C$2:$C$1369,0)),"",INDEX('Compliance Database'!$N$2:$N$1369,MATCH(762,Engine!$C$2:$C$1369,0)))</f>
        <v/>
      </c>
      <c r="O775" s="8">
        <f>IF(ISNA(MATCH(762,Engine!$C$2:$C$1369,0)),"",HYPERLINK(INDEX('Compliance Database'!$O$2:$O$1369,MATCH(762,Engine!$C$2:$C$1369,0)),"Open PDF"))</f>
        <v/>
      </c>
    </row>
    <row r="776" ht="188" customHeight="1">
      <c r="A776" s="8">
        <f>IF(ISNA(MATCH(763,Engine!$C$2:$C$1369,0)),"",INDEX('Compliance Database'!$A$2:$A$1369,MATCH(763,Engine!$C$2:$C$1369,0)))</f>
        <v/>
      </c>
      <c r="B776" s="8">
        <f>IF(ISNA(MATCH(763,Engine!$C$2:$C$1369,0)),"",INDEX('Compliance Database'!$B$2:$B$1369,MATCH(763,Engine!$C$2:$C$1369,0)))</f>
        <v/>
      </c>
      <c r="C776" s="8">
        <f>IF(ISNA(MATCH(763,Engine!$C$2:$C$1369,0)),"",INDEX('Compliance Database'!$C$2:$C$1369,MATCH(763,Engine!$C$2:$C$1369,0)))</f>
        <v/>
      </c>
      <c r="D776" s="9">
        <f>IF(ISNA(MATCH(763,Engine!$C$2:$C$1369,0)),"",INDEX('Compliance Database'!$D$2:$D$1369,MATCH(763,Engine!$C$2:$C$1369,0)))</f>
        <v/>
      </c>
      <c r="E776" s="8">
        <f>IF(ISNA(MATCH(763,Engine!$C$2:$C$1369,0)),"",INDEX('Compliance Database'!$E$2:$E$1369,MATCH(763,Engine!$C$2:$C$1369,0)))</f>
        <v/>
      </c>
      <c r="F776" s="8">
        <f>IF(ISNA(MATCH(763,Engine!$C$2:$C$1369,0)),"",INDEX('Compliance Database'!$F$2:$F$1369,MATCH(763,Engine!$C$2:$C$1369,0)))</f>
        <v/>
      </c>
      <c r="G776" s="8">
        <f>IF(ISNA(MATCH(763,Engine!$C$2:$C$1369,0)),"",INDEX('Compliance Database'!$G$2:$G$1369,MATCH(763,Engine!$C$2:$C$1369,0)))</f>
        <v/>
      </c>
      <c r="H776" s="9">
        <f>IF(ISNA(MATCH(763,Engine!$C$2:$C$1369,0)),"",INDEX('Compliance Database'!$H$2:$H$1369,MATCH(763,Engine!$C$2:$C$1369,0)))</f>
        <v/>
      </c>
      <c r="I776" s="9">
        <f>IF(ISNA(MATCH(763,Engine!$C$2:$C$1369,0)),"",INDEX('Compliance Database'!$I$2:$I$1369,MATCH(763,Engine!$C$2:$C$1369,0)))</f>
        <v/>
      </c>
      <c r="J776" s="8">
        <f>IF(ISNA(MATCH(763,Engine!$C$2:$C$1369,0)),"",INDEX('Compliance Database'!$J$2:$J$1369,MATCH(763,Engine!$C$2:$C$1369,0)))</f>
        <v/>
      </c>
      <c r="K776" s="9">
        <f>IF(ISNA(MATCH(763,Engine!$C$2:$C$1369,0)),"",INDEX('Compliance Database'!$K$2:$K$1369,MATCH(763,Engine!$C$2:$C$1369,0)))</f>
        <v/>
      </c>
      <c r="L776" s="9">
        <f>IF(ISNA(MATCH(763,Engine!$C$2:$C$1369,0)),"",INDEX('Compliance Database'!$L$2:$L$1369,MATCH(763,Engine!$C$2:$C$1369,0)))</f>
        <v/>
      </c>
      <c r="M776" s="9">
        <f>IF(ISNA(MATCH(763,Engine!$C$2:$C$1369,0)),"",INDEX('Compliance Database'!$M$2:$M$1369,MATCH(763,Engine!$C$2:$C$1369,0)))</f>
        <v/>
      </c>
      <c r="N776" s="9">
        <f>IF(ISNA(MATCH(763,Engine!$C$2:$C$1369,0)),"",INDEX('Compliance Database'!$N$2:$N$1369,MATCH(763,Engine!$C$2:$C$1369,0)))</f>
        <v/>
      </c>
      <c r="O776" s="8">
        <f>IF(ISNA(MATCH(763,Engine!$C$2:$C$1369,0)),"",HYPERLINK(INDEX('Compliance Database'!$O$2:$O$1369,MATCH(763,Engine!$C$2:$C$1369,0)),"Open PDF"))</f>
        <v/>
      </c>
    </row>
    <row r="777" ht="188" customHeight="1">
      <c r="A777" s="8">
        <f>IF(ISNA(MATCH(764,Engine!$C$2:$C$1369,0)),"",INDEX('Compliance Database'!$A$2:$A$1369,MATCH(764,Engine!$C$2:$C$1369,0)))</f>
        <v/>
      </c>
      <c r="B777" s="8">
        <f>IF(ISNA(MATCH(764,Engine!$C$2:$C$1369,0)),"",INDEX('Compliance Database'!$B$2:$B$1369,MATCH(764,Engine!$C$2:$C$1369,0)))</f>
        <v/>
      </c>
      <c r="C777" s="8">
        <f>IF(ISNA(MATCH(764,Engine!$C$2:$C$1369,0)),"",INDEX('Compliance Database'!$C$2:$C$1369,MATCH(764,Engine!$C$2:$C$1369,0)))</f>
        <v/>
      </c>
      <c r="D777" s="9">
        <f>IF(ISNA(MATCH(764,Engine!$C$2:$C$1369,0)),"",INDEX('Compliance Database'!$D$2:$D$1369,MATCH(764,Engine!$C$2:$C$1369,0)))</f>
        <v/>
      </c>
      <c r="E777" s="8">
        <f>IF(ISNA(MATCH(764,Engine!$C$2:$C$1369,0)),"",INDEX('Compliance Database'!$E$2:$E$1369,MATCH(764,Engine!$C$2:$C$1369,0)))</f>
        <v/>
      </c>
      <c r="F777" s="8">
        <f>IF(ISNA(MATCH(764,Engine!$C$2:$C$1369,0)),"",INDEX('Compliance Database'!$F$2:$F$1369,MATCH(764,Engine!$C$2:$C$1369,0)))</f>
        <v/>
      </c>
      <c r="G777" s="8">
        <f>IF(ISNA(MATCH(764,Engine!$C$2:$C$1369,0)),"",INDEX('Compliance Database'!$G$2:$G$1369,MATCH(764,Engine!$C$2:$C$1369,0)))</f>
        <v/>
      </c>
      <c r="H777" s="9">
        <f>IF(ISNA(MATCH(764,Engine!$C$2:$C$1369,0)),"",INDEX('Compliance Database'!$H$2:$H$1369,MATCH(764,Engine!$C$2:$C$1369,0)))</f>
        <v/>
      </c>
      <c r="I777" s="9">
        <f>IF(ISNA(MATCH(764,Engine!$C$2:$C$1369,0)),"",INDEX('Compliance Database'!$I$2:$I$1369,MATCH(764,Engine!$C$2:$C$1369,0)))</f>
        <v/>
      </c>
      <c r="J777" s="8">
        <f>IF(ISNA(MATCH(764,Engine!$C$2:$C$1369,0)),"",INDEX('Compliance Database'!$J$2:$J$1369,MATCH(764,Engine!$C$2:$C$1369,0)))</f>
        <v/>
      </c>
      <c r="K777" s="9">
        <f>IF(ISNA(MATCH(764,Engine!$C$2:$C$1369,0)),"",INDEX('Compliance Database'!$K$2:$K$1369,MATCH(764,Engine!$C$2:$C$1369,0)))</f>
        <v/>
      </c>
      <c r="L777" s="9">
        <f>IF(ISNA(MATCH(764,Engine!$C$2:$C$1369,0)),"",INDEX('Compliance Database'!$L$2:$L$1369,MATCH(764,Engine!$C$2:$C$1369,0)))</f>
        <v/>
      </c>
      <c r="M777" s="9">
        <f>IF(ISNA(MATCH(764,Engine!$C$2:$C$1369,0)),"",INDEX('Compliance Database'!$M$2:$M$1369,MATCH(764,Engine!$C$2:$C$1369,0)))</f>
        <v/>
      </c>
      <c r="N777" s="9">
        <f>IF(ISNA(MATCH(764,Engine!$C$2:$C$1369,0)),"",INDEX('Compliance Database'!$N$2:$N$1369,MATCH(764,Engine!$C$2:$C$1369,0)))</f>
        <v/>
      </c>
      <c r="O777" s="8">
        <f>IF(ISNA(MATCH(764,Engine!$C$2:$C$1369,0)),"",HYPERLINK(INDEX('Compliance Database'!$O$2:$O$1369,MATCH(764,Engine!$C$2:$C$1369,0)),"Open PDF"))</f>
        <v/>
      </c>
    </row>
    <row r="778" ht="188" customHeight="1">
      <c r="A778" s="8">
        <f>IF(ISNA(MATCH(765,Engine!$C$2:$C$1369,0)),"",INDEX('Compliance Database'!$A$2:$A$1369,MATCH(765,Engine!$C$2:$C$1369,0)))</f>
        <v/>
      </c>
      <c r="B778" s="8">
        <f>IF(ISNA(MATCH(765,Engine!$C$2:$C$1369,0)),"",INDEX('Compliance Database'!$B$2:$B$1369,MATCH(765,Engine!$C$2:$C$1369,0)))</f>
        <v/>
      </c>
      <c r="C778" s="8">
        <f>IF(ISNA(MATCH(765,Engine!$C$2:$C$1369,0)),"",INDEX('Compliance Database'!$C$2:$C$1369,MATCH(765,Engine!$C$2:$C$1369,0)))</f>
        <v/>
      </c>
      <c r="D778" s="9">
        <f>IF(ISNA(MATCH(765,Engine!$C$2:$C$1369,0)),"",INDEX('Compliance Database'!$D$2:$D$1369,MATCH(765,Engine!$C$2:$C$1369,0)))</f>
        <v/>
      </c>
      <c r="E778" s="8">
        <f>IF(ISNA(MATCH(765,Engine!$C$2:$C$1369,0)),"",INDEX('Compliance Database'!$E$2:$E$1369,MATCH(765,Engine!$C$2:$C$1369,0)))</f>
        <v/>
      </c>
      <c r="F778" s="8">
        <f>IF(ISNA(MATCH(765,Engine!$C$2:$C$1369,0)),"",INDEX('Compliance Database'!$F$2:$F$1369,MATCH(765,Engine!$C$2:$C$1369,0)))</f>
        <v/>
      </c>
      <c r="G778" s="8">
        <f>IF(ISNA(MATCH(765,Engine!$C$2:$C$1369,0)),"",INDEX('Compliance Database'!$G$2:$G$1369,MATCH(765,Engine!$C$2:$C$1369,0)))</f>
        <v/>
      </c>
      <c r="H778" s="9">
        <f>IF(ISNA(MATCH(765,Engine!$C$2:$C$1369,0)),"",INDEX('Compliance Database'!$H$2:$H$1369,MATCH(765,Engine!$C$2:$C$1369,0)))</f>
        <v/>
      </c>
      <c r="I778" s="9">
        <f>IF(ISNA(MATCH(765,Engine!$C$2:$C$1369,0)),"",INDEX('Compliance Database'!$I$2:$I$1369,MATCH(765,Engine!$C$2:$C$1369,0)))</f>
        <v/>
      </c>
      <c r="J778" s="8">
        <f>IF(ISNA(MATCH(765,Engine!$C$2:$C$1369,0)),"",INDEX('Compliance Database'!$J$2:$J$1369,MATCH(765,Engine!$C$2:$C$1369,0)))</f>
        <v/>
      </c>
      <c r="K778" s="9">
        <f>IF(ISNA(MATCH(765,Engine!$C$2:$C$1369,0)),"",INDEX('Compliance Database'!$K$2:$K$1369,MATCH(765,Engine!$C$2:$C$1369,0)))</f>
        <v/>
      </c>
      <c r="L778" s="9">
        <f>IF(ISNA(MATCH(765,Engine!$C$2:$C$1369,0)),"",INDEX('Compliance Database'!$L$2:$L$1369,MATCH(765,Engine!$C$2:$C$1369,0)))</f>
        <v/>
      </c>
      <c r="M778" s="9">
        <f>IF(ISNA(MATCH(765,Engine!$C$2:$C$1369,0)),"",INDEX('Compliance Database'!$M$2:$M$1369,MATCH(765,Engine!$C$2:$C$1369,0)))</f>
        <v/>
      </c>
      <c r="N778" s="9">
        <f>IF(ISNA(MATCH(765,Engine!$C$2:$C$1369,0)),"",INDEX('Compliance Database'!$N$2:$N$1369,MATCH(765,Engine!$C$2:$C$1369,0)))</f>
        <v/>
      </c>
      <c r="O778" s="8">
        <f>IF(ISNA(MATCH(765,Engine!$C$2:$C$1369,0)),"",HYPERLINK(INDEX('Compliance Database'!$O$2:$O$1369,MATCH(765,Engine!$C$2:$C$1369,0)),"Open PDF"))</f>
        <v/>
      </c>
    </row>
    <row r="779" ht="188" customHeight="1">
      <c r="A779" s="8">
        <f>IF(ISNA(MATCH(766,Engine!$C$2:$C$1369,0)),"",INDEX('Compliance Database'!$A$2:$A$1369,MATCH(766,Engine!$C$2:$C$1369,0)))</f>
        <v/>
      </c>
      <c r="B779" s="8">
        <f>IF(ISNA(MATCH(766,Engine!$C$2:$C$1369,0)),"",INDEX('Compliance Database'!$B$2:$B$1369,MATCH(766,Engine!$C$2:$C$1369,0)))</f>
        <v/>
      </c>
      <c r="C779" s="8">
        <f>IF(ISNA(MATCH(766,Engine!$C$2:$C$1369,0)),"",INDEX('Compliance Database'!$C$2:$C$1369,MATCH(766,Engine!$C$2:$C$1369,0)))</f>
        <v/>
      </c>
      <c r="D779" s="9">
        <f>IF(ISNA(MATCH(766,Engine!$C$2:$C$1369,0)),"",INDEX('Compliance Database'!$D$2:$D$1369,MATCH(766,Engine!$C$2:$C$1369,0)))</f>
        <v/>
      </c>
      <c r="E779" s="8">
        <f>IF(ISNA(MATCH(766,Engine!$C$2:$C$1369,0)),"",INDEX('Compliance Database'!$E$2:$E$1369,MATCH(766,Engine!$C$2:$C$1369,0)))</f>
        <v/>
      </c>
      <c r="F779" s="8">
        <f>IF(ISNA(MATCH(766,Engine!$C$2:$C$1369,0)),"",INDEX('Compliance Database'!$F$2:$F$1369,MATCH(766,Engine!$C$2:$C$1369,0)))</f>
        <v/>
      </c>
      <c r="G779" s="8">
        <f>IF(ISNA(MATCH(766,Engine!$C$2:$C$1369,0)),"",INDEX('Compliance Database'!$G$2:$G$1369,MATCH(766,Engine!$C$2:$C$1369,0)))</f>
        <v/>
      </c>
      <c r="H779" s="9">
        <f>IF(ISNA(MATCH(766,Engine!$C$2:$C$1369,0)),"",INDEX('Compliance Database'!$H$2:$H$1369,MATCH(766,Engine!$C$2:$C$1369,0)))</f>
        <v/>
      </c>
      <c r="I779" s="9">
        <f>IF(ISNA(MATCH(766,Engine!$C$2:$C$1369,0)),"",INDEX('Compliance Database'!$I$2:$I$1369,MATCH(766,Engine!$C$2:$C$1369,0)))</f>
        <v/>
      </c>
      <c r="J779" s="8">
        <f>IF(ISNA(MATCH(766,Engine!$C$2:$C$1369,0)),"",INDEX('Compliance Database'!$J$2:$J$1369,MATCH(766,Engine!$C$2:$C$1369,0)))</f>
        <v/>
      </c>
      <c r="K779" s="9">
        <f>IF(ISNA(MATCH(766,Engine!$C$2:$C$1369,0)),"",INDEX('Compliance Database'!$K$2:$K$1369,MATCH(766,Engine!$C$2:$C$1369,0)))</f>
        <v/>
      </c>
      <c r="L779" s="9">
        <f>IF(ISNA(MATCH(766,Engine!$C$2:$C$1369,0)),"",INDEX('Compliance Database'!$L$2:$L$1369,MATCH(766,Engine!$C$2:$C$1369,0)))</f>
        <v/>
      </c>
      <c r="M779" s="9">
        <f>IF(ISNA(MATCH(766,Engine!$C$2:$C$1369,0)),"",INDEX('Compliance Database'!$M$2:$M$1369,MATCH(766,Engine!$C$2:$C$1369,0)))</f>
        <v/>
      </c>
      <c r="N779" s="9">
        <f>IF(ISNA(MATCH(766,Engine!$C$2:$C$1369,0)),"",INDEX('Compliance Database'!$N$2:$N$1369,MATCH(766,Engine!$C$2:$C$1369,0)))</f>
        <v/>
      </c>
      <c r="O779" s="8">
        <f>IF(ISNA(MATCH(766,Engine!$C$2:$C$1369,0)),"",HYPERLINK(INDEX('Compliance Database'!$O$2:$O$1369,MATCH(766,Engine!$C$2:$C$1369,0)),"Open PDF"))</f>
        <v/>
      </c>
    </row>
    <row r="780" ht="188" customHeight="1">
      <c r="A780" s="8">
        <f>IF(ISNA(MATCH(767,Engine!$C$2:$C$1369,0)),"",INDEX('Compliance Database'!$A$2:$A$1369,MATCH(767,Engine!$C$2:$C$1369,0)))</f>
        <v/>
      </c>
      <c r="B780" s="8">
        <f>IF(ISNA(MATCH(767,Engine!$C$2:$C$1369,0)),"",INDEX('Compliance Database'!$B$2:$B$1369,MATCH(767,Engine!$C$2:$C$1369,0)))</f>
        <v/>
      </c>
      <c r="C780" s="8">
        <f>IF(ISNA(MATCH(767,Engine!$C$2:$C$1369,0)),"",INDEX('Compliance Database'!$C$2:$C$1369,MATCH(767,Engine!$C$2:$C$1369,0)))</f>
        <v/>
      </c>
      <c r="D780" s="9">
        <f>IF(ISNA(MATCH(767,Engine!$C$2:$C$1369,0)),"",INDEX('Compliance Database'!$D$2:$D$1369,MATCH(767,Engine!$C$2:$C$1369,0)))</f>
        <v/>
      </c>
      <c r="E780" s="8">
        <f>IF(ISNA(MATCH(767,Engine!$C$2:$C$1369,0)),"",INDEX('Compliance Database'!$E$2:$E$1369,MATCH(767,Engine!$C$2:$C$1369,0)))</f>
        <v/>
      </c>
      <c r="F780" s="8">
        <f>IF(ISNA(MATCH(767,Engine!$C$2:$C$1369,0)),"",INDEX('Compliance Database'!$F$2:$F$1369,MATCH(767,Engine!$C$2:$C$1369,0)))</f>
        <v/>
      </c>
      <c r="G780" s="8">
        <f>IF(ISNA(MATCH(767,Engine!$C$2:$C$1369,0)),"",INDEX('Compliance Database'!$G$2:$G$1369,MATCH(767,Engine!$C$2:$C$1369,0)))</f>
        <v/>
      </c>
      <c r="H780" s="9">
        <f>IF(ISNA(MATCH(767,Engine!$C$2:$C$1369,0)),"",INDEX('Compliance Database'!$H$2:$H$1369,MATCH(767,Engine!$C$2:$C$1369,0)))</f>
        <v/>
      </c>
      <c r="I780" s="9">
        <f>IF(ISNA(MATCH(767,Engine!$C$2:$C$1369,0)),"",INDEX('Compliance Database'!$I$2:$I$1369,MATCH(767,Engine!$C$2:$C$1369,0)))</f>
        <v/>
      </c>
      <c r="J780" s="8">
        <f>IF(ISNA(MATCH(767,Engine!$C$2:$C$1369,0)),"",INDEX('Compliance Database'!$J$2:$J$1369,MATCH(767,Engine!$C$2:$C$1369,0)))</f>
        <v/>
      </c>
      <c r="K780" s="9">
        <f>IF(ISNA(MATCH(767,Engine!$C$2:$C$1369,0)),"",INDEX('Compliance Database'!$K$2:$K$1369,MATCH(767,Engine!$C$2:$C$1369,0)))</f>
        <v/>
      </c>
      <c r="L780" s="9">
        <f>IF(ISNA(MATCH(767,Engine!$C$2:$C$1369,0)),"",INDEX('Compliance Database'!$L$2:$L$1369,MATCH(767,Engine!$C$2:$C$1369,0)))</f>
        <v/>
      </c>
      <c r="M780" s="9">
        <f>IF(ISNA(MATCH(767,Engine!$C$2:$C$1369,0)),"",INDEX('Compliance Database'!$M$2:$M$1369,MATCH(767,Engine!$C$2:$C$1369,0)))</f>
        <v/>
      </c>
      <c r="N780" s="9">
        <f>IF(ISNA(MATCH(767,Engine!$C$2:$C$1369,0)),"",INDEX('Compliance Database'!$N$2:$N$1369,MATCH(767,Engine!$C$2:$C$1369,0)))</f>
        <v/>
      </c>
      <c r="O780" s="8">
        <f>IF(ISNA(MATCH(767,Engine!$C$2:$C$1369,0)),"",HYPERLINK(INDEX('Compliance Database'!$O$2:$O$1369,MATCH(767,Engine!$C$2:$C$1369,0)),"Open PDF"))</f>
        <v/>
      </c>
    </row>
    <row r="781" ht="188" customHeight="1">
      <c r="A781" s="8">
        <f>IF(ISNA(MATCH(768,Engine!$C$2:$C$1369,0)),"",INDEX('Compliance Database'!$A$2:$A$1369,MATCH(768,Engine!$C$2:$C$1369,0)))</f>
        <v/>
      </c>
      <c r="B781" s="8">
        <f>IF(ISNA(MATCH(768,Engine!$C$2:$C$1369,0)),"",INDEX('Compliance Database'!$B$2:$B$1369,MATCH(768,Engine!$C$2:$C$1369,0)))</f>
        <v/>
      </c>
      <c r="C781" s="8">
        <f>IF(ISNA(MATCH(768,Engine!$C$2:$C$1369,0)),"",INDEX('Compliance Database'!$C$2:$C$1369,MATCH(768,Engine!$C$2:$C$1369,0)))</f>
        <v/>
      </c>
      <c r="D781" s="9">
        <f>IF(ISNA(MATCH(768,Engine!$C$2:$C$1369,0)),"",INDEX('Compliance Database'!$D$2:$D$1369,MATCH(768,Engine!$C$2:$C$1369,0)))</f>
        <v/>
      </c>
      <c r="E781" s="8">
        <f>IF(ISNA(MATCH(768,Engine!$C$2:$C$1369,0)),"",INDEX('Compliance Database'!$E$2:$E$1369,MATCH(768,Engine!$C$2:$C$1369,0)))</f>
        <v/>
      </c>
      <c r="F781" s="8">
        <f>IF(ISNA(MATCH(768,Engine!$C$2:$C$1369,0)),"",INDEX('Compliance Database'!$F$2:$F$1369,MATCH(768,Engine!$C$2:$C$1369,0)))</f>
        <v/>
      </c>
      <c r="G781" s="8">
        <f>IF(ISNA(MATCH(768,Engine!$C$2:$C$1369,0)),"",INDEX('Compliance Database'!$G$2:$G$1369,MATCH(768,Engine!$C$2:$C$1369,0)))</f>
        <v/>
      </c>
      <c r="H781" s="9">
        <f>IF(ISNA(MATCH(768,Engine!$C$2:$C$1369,0)),"",INDEX('Compliance Database'!$H$2:$H$1369,MATCH(768,Engine!$C$2:$C$1369,0)))</f>
        <v/>
      </c>
      <c r="I781" s="9">
        <f>IF(ISNA(MATCH(768,Engine!$C$2:$C$1369,0)),"",INDEX('Compliance Database'!$I$2:$I$1369,MATCH(768,Engine!$C$2:$C$1369,0)))</f>
        <v/>
      </c>
      <c r="J781" s="8">
        <f>IF(ISNA(MATCH(768,Engine!$C$2:$C$1369,0)),"",INDEX('Compliance Database'!$J$2:$J$1369,MATCH(768,Engine!$C$2:$C$1369,0)))</f>
        <v/>
      </c>
      <c r="K781" s="9">
        <f>IF(ISNA(MATCH(768,Engine!$C$2:$C$1369,0)),"",INDEX('Compliance Database'!$K$2:$K$1369,MATCH(768,Engine!$C$2:$C$1369,0)))</f>
        <v/>
      </c>
      <c r="L781" s="9">
        <f>IF(ISNA(MATCH(768,Engine!$C$2:$C$1369,0)),"",INDEX('Compliance Database'!$L$2:$L$1369,MATCH(768,Engine!$C$2:$C$1369,0)))</f>
        <v/>
      </c>
      <c r="M781" s="9">
        <f>IF(ISNA(MATCH(768,Engine!$C$2:$C$1369,0)),"",INDEX('Compliance Database'!$M$2:$M$1369,MATCH(768,Engine!$C$2:$C$1369,0)))</f>
        <v/>
      </c>
      <c r="N781" s="9">
        <f>IF(ISNA(MATCH(768,Engine!$C$2:$C$1369,0)),"",INDEX('Compliance Database'!$N$2:$N$1369,MATCH(768,Engine!$C$2:$C$1369,0)))</f>
        <v/>
      </c>
      <c r="O781" s="8">
        <f>IF(ISNA(MATCH(768,Engine!$C$2:$C$1369,0)),"",HYPERLINK(INDEX('Compliance Database'!$O$2:$O$1369,MATCH(768,Engine!$C$2:$C$1369,0)),"Open PDF"))</f>
        <v/>
      </c>
    </row>
    <row r="782" ht="188" customHeight="1">
      <c r="A782" s="8">
        <f>IF(ISNA(MATCH(769,Engine!$C$2:$C$1369,0)),"",INDEX('Compliance Database'!$A$2:$A$1369,MATCH(769,Engine!$C$2:$C$1369,0)))</f>
        <v/>
      </c>
      <c r="B782" s="8">
        <f>IF(ISNA(MATCH(769,Engine!$C$2:$C$1369,0)),"",INDEX('Compliance Database'!$B$2:$B$1369,MATCH(769,Engine!$C$2:$C$1369,0)))</f>
        <v/>
      </c>
      <c r="C782" s="8">
        <f>IF(ISNA(MATCH(769,Engine!$C$2:$C$1369,0)),"",INDEX('Compliance Database'!$C$2:$C$1369,MATCH(769,Engine!$C$2:$C$1369,0)))</f>
        <v/>
      </c>
      <c r="D782" s="9">
        <f>IF(ISNA(MATCH(769,Engine!$C$2:$C$1369,0)),"",INDEX('Compliance Database'!$D$2:$D$1369,MATCH(769,Engine!$C$2:$C$1369,0)))</f>
        <v/>
      </c>
      <c r="E782" s="8">
        <f>IF(ISNA(MATCH(769,Engine!$C$2:$C$1369,0)),"",INDEX('Compliance Database'!$E$2:$E$1369,MATCH(769,Engine!$C$2:$C$1369,0)))</f>
        <v/>
      </c>
      <c r="F782" s="8">
        <f>IF(ISNA(MATCH(769,Engine!$C$2:$C$1369,0)),"",INDEX('Compliance Database'!$F$2:$F$1369,MATCH(769,Engine!$C$2:$C$1369,0)))</f>
        <v/>
      </c>
      <c r="G782" s="8">
        <f>IF(ISNA(MATCH(769,Engine!$C$2:$C$1369,0)),"",INDEX('Compliance Database'!$G$2:$G$1369,MATCH(769,Engine!$C$2:$C$1369,0)))</f>
        <v/>
      </c>
      <c r="H782" s="9">
        <f>IF(ISNA(MATCH(769,Engine!$C$2:$C$1369,0)),"",INDEX('Compliance Database'!$H$2:$H$1369,MATCH(769,Engine!$C$2:$C$1369,0)))</f>
        <v/>
      </c>
      <c r="I782" s="9">
        <f>IF(ISNA(MATCH(769,Engine!$C$2:$C$1369,0)),"",INDEX('Compliance Database'!$I$2:$I$1369,MATCH(769,Engine!$C$2:$C$1369,0)))</f>
        <v/>
      </c>
      <c r="J782" s="8">
        <f>IF(ISNA(MATCH(769,Engine!$C$2:$C$1369,0)),"",INDEX('Compliance Database'!$J$2:$J$1369,MATCH(769,Engine!$C$2:$C$1369,0)))</f>
        <v/>
      </c>
      <c r="K782" s="9">
        <f>IF(ISNA(MATCH(769,Engine!$C$2:$C$1369,0)),"",INDEX('Compliance Database'!$K$2:$K$1369,MATCH(769,Engine!$C$2:$C$1369,0)))</f>
        <v/>
      </c>
      <c r="L782" s="9">
        <f>IF(ISNA(MATCH(769,Engine!$C$2:$C$1369,0)),"",INDEX('Compliance Database'!$L$2:$L$1369,MATCH(769,Engine!$C$2:$C$1369,0)))</f>
        <v/>
      </c>
      <c r="M782" s="9">
        <f>IF(ISNA(MATCH(769,Engine!$C$2:$C$1369,0)),"",INDEX('Compliance Database'!$M$2:$M$1369,MATCH(769,Engine!$C$2:$C$1369,0)))</f>
        <v/>
      </c>
      <c r="N782" s="9">
        <f>IF(ISNA(MATCH(769,Engine!$C$2:$C$1369,0)),"",INDEX('Compliance Database'!$N$2:$N$1369,MATCH(769,Engine!$C$2:$C$1369,0)))</f>
        <v/>
      </c>
      <c r="O782" s="8">
        <f>IF(ISNA(MATCH(769,Engine!$C$2:$C$1369,0)),"",HYPERLINK(INDEX('Compliance Database'!$O$2:$O$1369,MATCH(769,Engine!$C$2:$C$1369,0)),"Open PDF"))</f>
        <v/>
      </c>
    </row>
    <row r="783" ht="188" customHeight="1">
      <c r="A783" s="8">
        <f>IF(ISNA(MATCH(770,Engine!$C$2:$C$1369,0)),"",INDEX('Compliance Database'!$A$2:$A$1369,MATCH(770,Engine!$C$2:$C$1369,0)))</f>
        <v/>
      </c>
      <c r="B783" s="8">
        <f>IF(ISNA(MATCH(770,Engine!$C$2:$C$1369,0)),"",INDEX('Compliance Database'!$B$2:$B$1369,MATCH(770,Engine!$C$2:$C$1369,0)))</f>
        <v/>
      </c>
      <c r="C783" s="8">
        <f>IF(ISNA(MATCH(770,Engine!$C$2:$C$1369,0)),"",INDEX('Compliance Database'!$C$2:$C$1369,MATCH(770,Engine!$C$2:$C$1369,0)))</f>
        <v/>
      </c>
      <c r="D783" s="9">
        <f>IF(ISNA(MATCH(770,Engine!$C$2:$C$1369,0)),"",INDEX('Compliance Database'!$D$2:$D$1369,MATCH(770,Engine!$C$2:$C$1369,0)))</f>
        <v/>
      </c>
      <c r="E783" s="8">
        <f>IF(ISNA(MATCH(770,Engine!$C$2:$C$1369,0)),"",INDEX('Compliance Database'!$E$2:$E$1369,MATCH(770,Engine!$C$2:$C$1369,0)))</f>
        <v/>
      </c>
      <c r="F783" s="8">
        <f>IF(ISNA(MATCH(770,Engine!$C$2:$C$1369,0)),"",INDEX('Compliance Database'!$F$2:$F$1369,MATCH(770,Engine!$C$2:$C$1369,0)))</f>
        <v/>
      </c>
      <c r="G783" s="8">
        <f>IF(ISNA(MATCH(770,Engine!$C$2:$C$1369,0)),"",INDEX('Compliance Database'!$G$2:$G$1369,MATCH(770,Engine!$C$2:$C$1369,0)))</f>
        <v/>
      </c>
      <c r="H783" s="9">
        <f>IF(ISNA(MATCH(770,Engine!$C$2:$C$1369,0)),"",INDEX('Compliance Database'!$H$2:$H$1369,MATCH(770,Engine!$C$2:$C$1369,0)))</f>
        <v/>
      </c>
      <c r="I783" s="9">
        <f>IF(ISNA(MATCH(770,Engine!$C$2:$C$1369,0)),"",INDEX('Compliance Database'!$I$2:$I$1369,MATCH(770,Engine!$C$2:$C$1369,0)))</f>
        <v/>
      </c>
      <c r="J783" s="8">
        <f>IF(ISNA(MATCH(770,Engine!$C$2:$C$1369,0)),"",INDEX('Compliance Database'!$J$2:$J$1369,MATCH(770,Engine!$C$2:$C$1369,0)))</f>
        <v/>
      </c>
      <c r="K783" s="9">
        <f>IF(ISNA(MATCH(770,Engine!$C$2:$C$1369,0)),"",INDEX('Compliance Database'!$K$2:$K$1369,MATCH(770,Engine!$C$2:$C$1369,0)))</f>
        <v/>
      </c>
      <c r="L783" s="9">
        <f>IF(ISNA(MATCH(770,Engine!$C$2:$C$1369,0)),"",INDEX('Compliance Database'!$L$2:$L$1369,MATCH(770,Engine!$C$2:$C$1369,0)))</f>
        <v/>
      </c>
      <c r="M783" s="9">
        <f>IF(ISNA(MATCH(770,Engine!$C$2:$C$1369,0)),"",INDEX('Compliance Database'!$M$2:$M$1369,MATCH(770,Engine!$C$2:$C$1369,0)))</f>
        <v/>
      </c>
      <c r="N783" s="9">
        <f>IF(ISNA(MATCH(770,Engine!$C$2:$C$1369,0)),"",INDEX('Compliance Database'!$N$2:$N$1369,MATCH(770,Engine!$C$2:$C$1369,0)))</f>
        <v/>
      </c>
      <c r="O783" s="8">
        <f>IF(ISNA(MATCH(770,Engine!$C$2:$C$1369,0)),"",HYPERLINK(INDEX('Compliance Database'!$O$2:$O$1369,MATCH(770,Engine!$C$2:$C$1369,0)),"Open PDF"))</f>
        <v/>
      </c>
    </row>
    <row r="784" ht="188" customHeight="1">
      <c r="A784" s="8">
        <f>IF(ISNA(MATCH(771,Engine!$C$2:$C$1369,0)),"",INDEX('Compliance Database'!$A$2:$A$1369,MATCH(771,Engine!$C$2:$C$1369,0)))</f>
        <v/>
      </c>
      <c r="B784" s="8">
        <f>IF(ISNA(MATCH(771,Engine!$C$2:$C$1369,0)),"",INDEX('Compliance Database'!$B$2:$B$1369,MATCH(771,Engine!$C$2:$C$1369,0)))</f>
        <v/>
      </c>
      <c r="C784" s="8">
        <f>IF(ISNA(MATCH(771,Engine!$C$2:$C$1369,0)),"",INDEX('Compliance Database'!$C$2:$C$1369,MATCH(771,Engine!$C$2:$C$1369,0)))</f>
        <v/>
      </c>
      <c r="D784" s="9">
        <f>IF(ISNA(MATCH(771,Engine!$C$2:$C$1369,0)),"",INDEX('Compliance Database'!$D$2:$D$1369,MATCH(771,Engine!$C$2:$C$1369,0)))</f>
        <v/>
      </c>
      <c r="E784" s="8">
        <f>IF(ISNA(MATCH(771,Engine!$C$2:$C$1369,0)),"",INDEX('Compliance Database'!$E$2:$E$1369,MATCH(771,Engine!$C$2:$C$1369,0)))</f>
        <v/>
      </c>
      <c r="F784" s="8">
        <f>IF(ISNA(MATCH(771,Engine!$C$2:$C$1369,0)),"",INDEX('Compliance Database'!$F$2:$F$1369,MATCH(771,Engine!$C$2:$C$1369,0)))</f>
        <v/>
      </c>
      <c r="G784" s="8">
        <f>IF(ISNA(MATCH(771,Engine!$C$2:$C$1369,0)),"",INDEX('Compliance Database'!$G$2:$G$1369,MATCH(771,Engine!$C$2:$C$1369,0)))</f>
        <v/>
      </c>
      <c r="H784" s="9">
        <f>IF(ISNA(MATCH(771,Engine!$C$2:$C$1369,0)),"",INDEX('Compliance Database'!$H$2:$H$1369,MATCH(771,Engine!$C$2:$C$1369,0)))</f>
        <v/>
      </c>
      <c r="I784" s="9">
        <f>IF(ISNA(MATCH(771,Engine!$C$2:$C$1369,0)),"",INDEX('Compliance Database'!$I$2:$I$1369,MATCH(771,Engine!$C$2:$C$1369,0)))</f>
        <v/>
      </c>
      <c r="J784" s="8">
        <f>IF(ISNA(MATCH(771,Engine!$C$2:$C$1369,0)),"",INDEX('Compliance Database'!$J$2:$J$1369,MATCH(771,Engine!$C$2:$C$1369,0)))</f>
        <v/>
      </c>
      <c r="K784" s="9">
        <f>IF(ISNA(MATCH(771,Engine!$C$2:$C$1369,0)),"",INDEX('Compliance Database'!$K$2:$K$1369,MATCH(771,Engine!$C$2:$C$1369,0)))</f>
        <v/>
      </c>
      <c r="L784" s="9">
        <f>IF(ISNA(MATCH(771,Engine!$C$2:$C$1369,0)),"",INDEX('Compliance Database'!$L$2:$L$1369,MATCH(771,Engine!$C$2:$C$1369,0)))</f>
        <v/>
      </c>
      <c r="M784" s="9">
        <f>IF(ISNA(MATCH(771,Engine!$C$2:$C$1369,0)),"",INDEX('Compliance Database'!$M$2:$M$1369,MATCH(771,Engine!$C$2:$C$1369,0)))</f>
        <v/>
      </c>
      <c r="N784" s="9">
        <f>IF(ISNA(MATCH(771,Engine!$C$2:$C$1369,0)),"",INDEX('Compliance Database'!$N$2:$N$1369,MATCH(771,Engine!$C$2:$C$1369,0)))</f>
        <v/>
      </c>
      <c r="O784" s="8">
        <f>IF(ISNA(MATCH(771,Engine!$C$2:$C$1369,0)),"",HYPERLINK(INDEX('Compliance Database'!$O$2:$O$1369,MATCH(771,Engine!$C$2:$C$1369,0)),"Open PDF"))</f>
        <v/>
      </c>
    </row>
    <row r="785" ht="188" customHeight="1">
      <c r="A785" s="8">
        <f>IF(ISNA(MATCH(772,Engine!$C$2:$C$1369,0)),"",INDEX('Compliance Database'!$A$2:$A$1369,MATCH(772,Engine!$C$2:$C$1369,0)))</f>
        <v/>
      </c>
      <c r="B785" s="8">
        <f>IF(ISNA(MATCH(772,Engine!$C$2:$C$1369,0)),"",INDEX('Compliance Database'!$B$2:$B$1369,MATCH(772,Engine!$C$2:$C$1369,0)))</f>
        <v/>
      </c>
      <c r="C785" s="8">
        <f>IF(ISNA(MATCH(772,Engine!$C$2:$C$1369,0)),"",INDEX('Compliance Database'!$C$2:$C$1369,MATCH(772,Engine!$C$2:$C$1369,0)))</f>
        <v/>
      </c>
      <c r="D785" s="9">
        <f>IF(ISNA(MATCH(772,Engine!$C$2:$C$1369,0)),"",INDEX('Compliance Database'!$D$2:$D$1369,MATCH(772,Engine!$C$2:$C$1369,0)))</f>
        <v/>
      </c>
      <c r="E785" s="8">
        <f>IF(ISNA(MATCH(772,Engine!$C$2:$C$1369,0)),"",INDEX('Compliance Database'!$E$2:$E$1369,MATCH(772,Engine!$C$2:$C$1369,0)))</f>
        <v/>
      </c>
      <c r="F785" s="8">
        <f>IF(ISNA(MATCH(772,Engine!$C$2:$C$1369,0)),"",INDEX('Compliance Database'!$F$2:$F$1369,MATCH(772,Engine!$C$2:$C$1369,0)))</f>
        <v/>
      </c>
      <c r="G785" s="8">
        <f>IF(ISNA(MATCH(772,Engine!$C$2:$C$1369,0)),"",INDEX('Compliance Database'!$G$2:$G$1369,MATCH(772,Engine!$C$2:$C$1369,0)))</f>
        <v/>
      </c>
      <c r="H785" s="9">
        <f>IF(ISNA(MATCH(772,Engine!$C$2:$C$1369,0)),"",INDEX('Compliance Database'!$H$2:$H$1369,MATCH(772,Engine!$C$2:$C$1369,0)))</f>
        <v/>
      </c>
      <c r="I785" s="9">
        <f>IF(ISNA(MATCH(772,Engine!$C$2:$C$1369,0)),"",INDEX('Compliance Database'!$I$2:$I$1369,MATCH(772,Engine!$C$2:$C$1369,0)))</f>
        <v/>
      </c>
      <c r="J785" s="8">
        <f>IF(ISNA(MATCH(772,Engine!$C$2:$C$1369,0)),"",INDEX('Compliance Database'!$J$2:$J$1369,MATCH(772,Engine!$C$2:$C$1369,0)))</f>
        <v/>
      </c>
      <c r="K785" s="9">
        <f>IF(ISNA(MATCH(772,Engine!$C$2:$C$1369,0)),"",INDEX('Compliance Database'!$K$2:$K$1369,MATCH(772,Engine!$C$2:$C$1369,0)))</f>
        <v/>
      </c>
      <c r="L785" s="9">
        <f>IF(ISNA(MATCH(772,Engine!$C$2:$C$1369,0)),"",INDEX('Compliance Database'!$L$2:$L$1369,MATCH(772,Engine!$C$2:$C$1369,0)))</f>
        <v/>
      </c>
      <c r="M785" s="9">
        <f>IF(ISNA(MATCH(772,Engine!$C$2:$C$1369,0)),"",INDEX('Compliance Database'!$M$2:$M$1369,MATCH(772,Engine!$C$2:$C$1369,0)))</f>
        <v/>
      </c>
      <c r="N785" s="9">
        <f>IF(ISNA(MATCH(772,Engine!$C$2:$C$1369,0)),"",INDEX('Compliance Database'!$N$2:$N$1369,MATCH(772,Engine!$C$2:$C$1369,0)))</f>
        <v/>
      </c>
      <c r="O785" s="8">
        <f>IF(ISNA(MATCH(772,Engine!$C$2:$C$1369,0)),"",HYPERLINK(INDEX('Compliance Database'!$O$2:$O$1369,MATCH(772,Engine!$C$2:$C$1369,0)),"Open PDF"))</f>
        <v/>
      </c>
    </row>
    <row r="786" ht="188" customHeight="1">
      <c r="A786" s="8">
        <f>IF(ISNA(MATCH(773,Engine!$C$2:$C$1369,0)),"",INDEX('Compliance Database'!$A$2:$A$1369,MATCH(773,Engine!$C$2:$C$1369,0)))</f>
        <v/>
      </c>
      <c r="B786" s="8">
        <f>IF(ISNA(MATCH(773,Engine!$C$2:$C$1369,0)),"",INDEX('Compliance Database'!$B$2:$B$1369,MATCH(773,Engine!$C$2:$C$1369,0)))</f>
        <v/>
      </c>
      <c r="C786" s="8">
        <f>IF(ISNA(MATCH(773,Engine!$C$2:$C$1369,0)),"",INDEX('Compliance Database'!$C$2:$C$1369,MATCH(773,Engine!$C$2:$C$1369,0)))</f>
        <v/>
      </c>
      <c r="D786" s="9">
        <f>IF(ISNA(MATCH(773,Engine!$C$2:$C$1369,0)),"",INDEX('Compliance Database'!$D$2:$D$1369,MATCH(773,Engine!$C$2:$C$1369,0)))</f>
        <v/>
      </c>
      <c r="E786" s="8">
        <f>IF(ISNA(MATCH(773,Engine!$C$2:$C$1369,0)),"",INDEX('Compliance Database'!$E$2:$E$1369,MATCH(773,Engine!$C$2:$C$1369,0)))</f>
        <v/>
      </c>
      <c r="F786" s="8">
        <f>IF(ISNA(MATCH(773,Engine!$C$2:$C$1369,0)),"",INDEX('Compliance Database'!$F$2:$F$1369,MATCH(773,Engine!$C$2:$C$1369,0)))</f>
        <v/>
      </c>
      <c r="G786" s="8">
        <f>IF(ISNA(MATCH(773,Engine!$C$2:$C$1369,0)),"",INDEX('Compliance Database'!$G$2:$G$1369,MATCH(773,Engine!$C$2:$C$1369,0)))</f>
        <v/>
      </c>
      <c r="H786" s="9">
        <f>IF(ISNA(MATCH(773,Engine!$C$2:$C$1369,0)),"",INDEX('Compliance Database'!$H$2:$H$1369,MATCH(773,Engine!$C$2:$C$1369,0)))</f>
        <v/>
      </c>
      <c r="I786" s="9">
        <f>IF(ISNA(MATCH(773,Engine!$C$2:$C$1369,0)),"",INDEX('Compliance Database'!$I$2:$I$1369,MATCH(773,Engine!$C$2:$C$1369,0)))</f>
        <v/>
      </c>
      <c r="J786" s="8">
        <f>IF(ISNA(MATCH(773,Engine!$C$2:$C$1369,0)),"",INDEX('Compliance Database'!$J$2:$J$1369,MATCH(773,Engine!$C$2:$C$1369,0)))</f>
        <v/>
      </c>
      <c r="K786" s="9">
        <f>IF(ISNA(MATCH(773,Engine!$C$2:$C$1369,0)),"",INDEX('Compliance Database'!$K$2:$K$1369,MATCH(773,Engine!$C$2:$C$1369,0)))</f>
        <v/>
      </c>
      <c r="L786" s="9">
        <f>IF(ISNA(MATCH(773,Engine!$C$2:$C$1369,0)),"",INDEX('Compliance Database'!$L$2:$L$1369,MATCH(773,Engine!$C$2:$C$1369,0)))</f>
        <v/>
      </c>
      <c r="M786" s="9">
        <f>IF(ISNA(MATCH(773,Engine!$C$2:$C$1369,0)),"",INDEX('Compliance Database'!$M$2:$M$1369,MATCH(773,Engine!$C$2:$C$1369,0)))</f>
        <v/>
      </c>
      <c r="N786" s="9">
        <f>IF(ISNA(MATCH(773,Engine!$C$2:$C$1369,0)),"",INDEX('Compliance Database'!$N$2:$N$1369,MATCH(773,Engine!$C$2:$C$1369,0)))</f>
        <v/>
      </c>
      <c r="O786" s="8">
        <f>IF(ISNA(MATCH(773,Engine!$C$2:$C$1369,0)),"",HYPERLINK(INDEX('Compliance Database'!$O$2:$O$1369,MATCH(773,Engine!$C$2:$C$1369,0)),"Open PDF"))</f>
        <v/>
      </c>
    </row>
    <row r="787" ht="188" customHeight="1">
      <c r="A787" s="8">
        <f>IF(ISNA(MATCH(774,Engine!$C$2:$C$1369,0)),"",INDEX('Compliance Database'!$A$2:$A$1369,MATCH(774,Engine!$C$2:$C$1369,0)))</f>
        <v/>
      </c>
      <c r="B787" s="8">
        <f>IF(ISNA(MATCH(774,Engine!$C$2:$C$1369,0)),"",INDEX('Compliance Database'!$B$2:$B$1369,MATCH(774,Engine!$C$2:$C$1369,0)))</f>
        <v/>
      </c>
      <c r="C787" s="8">
        <f>IF(ISNA(MATCH(774,Engine!$C$2:$C$1369,0)),"",INDEX('Compliance Database'!$C$2:$C$1369,MATCH(774,Engine!$C$2:$C$1369,0)))</f>
        <v/>
      </c>
      <c r="D787" s="9">
        <f>IF(ISNA(MATCH(774,Engine!$C$2:$C$1369,0)),"",INDEX('Compliance Database'!$D$2:$D$1369,MATCH(774,Engine!$C$2:$C$1369,0)))</f>
        <v/>
      </c>
      <c r="E787" s="8">
        <f>IF(ISNA(MATCH(774,Engine!$C$2:$C$1369,0)),"",INDEX('Compliance Database'!$E$2:$E$1369,MATCH(774,Engine!$C$2:$C$1369,0)))</f>
        <v/>
      </c>
      <c r="F787" s="8">
        <f>IF(ISNA(MATCH(774,Engine!$C$2:$C$1369,0)),"",INDEX('Compliance Database'!$F$2:$F$1369,MATCH(774,Engine!$C$2:$C$1369,0)))</f>
        <v/>
      </c>
      <c r="G787" s="8">
        <f>IF(ISNA(MATCH(774,Engine!$C$2:$C$1369,0)),"",INDEX('Compliance Database'!$G$2:$G$1369,MATCH(774,Engine!$C$2:$C$1369,0)))</f>
        <v/>
      </c>
      <c r="H787" s="9">
        <f>IF(ISNA(MATCH(774,Engine!$C$2:$C$1369,0)),"",INDEX('Compliance Database'!$H$2:$H$1369,MATCH(774,Engine!$C$2:$C$1369,0)))</f>
        <v/>
      </c>
      <c r="I787" s="9">
        <f>IF(ISNA(MATCH(774,Engine!$C$2:$C$1369,0)),"",INDEX('Compliance Database'!$I$2:$I$1369,MATCH(774,Engine!$C$2:$C$1369,0)))</f>
        <v/>
      </c>
      <c r="J787" s="8">
        <f>IF(ISNA(MATCH(774,Engine!$C$2:$C$1369,0)),"",INDEX('Compliance Database'!$J$2:$J$1369,MATCH(774,Engine!$C$2:$C$1369,0)))</f>
        <v/>
      </c>
      <c r="K787" s="9">
        <f>IF(ISNA(MATCH(774,Engine!$C$2:$C$1369,0)),"",INDEX('Compliance Database'!$K$2:$K$1369,MATCH(774,Engine!$C$2:$C$1369,0)))</f>
        <v/>
      </c>
      <c r="L787" s="9">
        <f>IF(ISNA(MATCH(774,Engine!$C$2:$C$1369,0)),"",INDEX('Compliance Database'!$L$2:$L$1369,MATCH(774,Engine!$C$2:$C$1369,0)))</f>
        <v/>
      </c>
      <c r="M787" s="9">
        <f>IF(ISNA(MATCH(774,Engine!$C$2:$C$1369,0)),"",INDEX('Compliance Database'!$M$2:$M$1369,MATCH(774,Engine!$C$2:$C$1369,0)))</f>
        <v/>
      </c>
      <c r="N787" s="9">
        <f>IF(ISNA(MATCH(774,Engine!$C$2:$C$1369,0)),"",INDEX('Compliance Database'!$N$2:$N$1369,MATCH(774,Engine!$C$2:$C$1369,0)))</f>
        <v/>
      </c>
      <c r="O787" s="8">
        <f>IF(ISNA(MATCH(774,Engine!$C$2:$C$1369,0)),"",HYPERLINK(INDEX('Compliance Database'!$O$2:$O$1369,MATCH(774,Engine!$C$2:$C$1369,0)),"Open PDF"))</f>
        <v/>
      </c>
    </row>
    <row r="788" ht="188" customHeight="1">
      <c r="A788" s="8">
        <f>IF(ISNA(MATCH(775,Engine!$C$2:$C$1369,0)),"",INDEX('Compliance Database'!$A$2:$A$1369,MATCH(775,Engine!$C$2:$C$1369,0)))</f>
        <v/>
      </c>
      <c r="B788" s="8">
        <f>IF(ISNA(MATCH(775,Engine!$C$2:$C$1369,0)),"",INDEX('Compliance Database'!$B$2:$B$1369,MATCH(775,Engine!$C$2:$C$1369,0)))</f>
        <v/>
      </c>
      <c r="C788" s="8">
        <f>IF(ISNA(MATCH(775,Engine!$C$2:$C$1369,0)),"",INDEX('Compliance Database'!$C$2:$C$1369,MATCH(775,Engine!$C$2:$C$1369,0)))</f>
        <v/>
      </c>
      <c r="D788" s="9">
        <f>IF(ISNA(MATCH(775,Engine!$C$2:$C$1369,0)),"",INDEX('Compliance Database'!$D$2:$D$1369,MATCH(775,Engine!$C$2:$C$1369,0)))</f>
        <v/>
      </c>
      <c r="E788" s="8">
        <f>IF(ISNA(MATCH(775,Engine!$C$2:$C$1369,0)),"",INDEX('Compliance Database'!$E$2:$E$1369,MATCH(775,Engine!$C$2:$C$1369,0)))</f>
        <v/>
      </c>
      <c r="F788" s="8">
        <f>IF(ISNA(MATCH(775,Engine!$C$2:$C$1369,0)),"",INDEX('Compliance Database'!$F$2:$F$1369,MATCH(775,Engine!$C$2:$C$1369,0)))</f>
        <v/>
      </c>
      <c r="G788" s="8">
        <f>IF(ISNA(MATCH(775,Engine!$C$2:$C$1369,0)),"",INDEX('Compliance Database'!$G$2:$G$1369,MATCH(775,Engine!$C$2:$C$1369,0)))</f>
        <v/>
      </c>
      <c r="H788" s="9">
        <f>IF(ISNA(MATCH(775,Engine!$C$2:$C$1369,0)),"",INDEX('Compliance Database'!$H$2:$H$1369,MATCH(775,Engine!$C$2:$C$1369,0)))</f>
        <v/>
      </c>
      <c r="I788" s="9">
        <f>IF(ISNA(MATCH(775,Engine!$C$2:$C$1369,0)),"",INDEX('Compliance Database'!$I$2:$I$1369,MATCH(775,Engine!$C$2:$C$1369,0)))</f>
        <v/>
      </c>
      <c r="J788" s="8">
        <f>IF(ISNA(MATCH(775,Engine!$C$2:$C$1369,0)),"",INDEX('Compliance Database'!$J$2:$J$1369,MATCH(775,Engine!$C$2:$C$1369,0)))</f>
        <v/>
      </c>
      <c r="K788" s="9">
        <f>IF(ISNA(MATCH(775,Engine!$C$2:$C$1369,0)),"",INDEX('Compliance Database'!$K$2:$K$1369,MATCH(775,Engine!$C$2:$C$1369,0)))</f>
        <v/>
      </c>
      <c r="L788" s="9">
        <f>IF(ISNA(MATCH(775,Engine!$C$2:$C$1369,0)),"",INDEX('Compliance Database'!$L$2:$L$1369,MATCH(775,Engine!$C$2:$C$1369,0)))</f>
        <v/>
      </c>
      <c r="M788" s="9">
        <f>IF(ISNA(MATCH(775,Engine!$C$2:$C$1369,0)),"",INDEX('Compliance Database'!$M$2:$M$1369,MATCH(775,Engine!$C$2:$C$1369,0)))</f>
        <v/>
      </c>
      <c r="N788" s="9">
        <f>IF(ISNA(MATCH(775,Engine!$C$2:$C$1369,0)),"",INDEX('Compliance Database'!$N$2:$N$1369,MATCH(775,Engine!$C$2:$C$1369,0)))</f>
        <v/>
      </c>
      <c r="O788" s="8">
        <f>IF(ISNA(MATCH(775,Engine!$C$2:$C$1369,0)),"",HYPERLINK(INDEX('Compliance Database'!$O$2:$O$1369,MATCH(775,Engine!$C$2:$C$1369,0)),"Open PDF"))</f>
        <v/>
      </c>
    </row>
    <row r="789" ht="188" customHeight="1">
      <c r="A789" s="8">
        <f>IF(ISNA(MATCH(776,Engine!$C$2:$C$1369,0)),"",INDEX('Compliance Database'!$A$2:$A$1369,MATCH(776,Engine!$C$2:$C$1369,0)))</f>
        <v/>
      </c>
      <c r="B789" s="8">
        <f>IF(ISNA(MATCH(776,Engine!$C$2:$C$1369,0)),"",INDEX('Compliance Database'!$B$2:$B$1369,MATCH(776,Engine!$C$2:$C$1369,0)))</f>
        <v/>
      </c>
      <c r="C789" s="8">
        <f>IF(ISNA(MATCH(776,Engine!$C$2:$C$1369,0)),"",INDEX('Compliance Database'!$C$2:$C$1369,MATCH(776,Engine!$C$2:$C$1369,0)))</f>
        <v/>
      </c>
      <c r="D789" s="9">
        <f>IF(ISNA(MATCH(776,Engine!$C$2:$C$1369,0)),"",INDEX('Compliance Database'!$D$2:$D$1369,MATCH(776,Engine!$C$2:$C$1369,0)))</f>
        <v/>
      </c>
      <c r="E789" s="8">
        <f>IF(ISNA(MATCH(776,Engine!$C$2:$C$1369,0)),"",INDEX('Compliance Database'!$E$2:$E$1369,MATCH(776,Engine!$C$2:$C$1369,0)))</f>
        <v/>
      </c>
      <c r="F789" s="8">
        <f>IF(ISNA(MATCH(776,Engine!$C$2:$C$1369,0)),"",INDEX('Compliance Database'!$F$2:$F$1369,MATCH(776,Engine!$C$2:$C$1369,0)))</f>
        <v/>
      </c>
      <c r="G789" s="8">
        <f>IF(ISNA(MATCH(776,Engine!$C$2:$C$1369,0)),"",INDEX('Compliance Database'!$G$2:$G$1369,MATCH(776,Engine!$C$2:$C$1369,0)))</f>
        <v/>
      </c>
      <c r="H789" s="9">
        <f>IF(ISNA(MATCH(776,Engine!$C$2:$C$1369,0)),"",INDEX('Compliance Database'!$H$2:$H$1369,MATCH(776,Engine!$C$2:$C$1369,0)))</f>
        <v/>
      </c>
      <c r="I789" s="9">
        <f>IF(ISNA(MATCH(776,Engine!$C$2:$C$1369,0)),"",INDEX('Compliance Database'!$I$2:$I$1369,MATCH(776,Engine!$C$2:$C$1369,0)))</f>
        <v/>
      </c>
      <c r="J789" s="8">
        <f>IF(ISNA(MATCH(776,Engine!$C$2:$C$1369,0)),"",INDEX('Compliance Database'!$J$2:$J$1369,MATCH(776,Engine!$C$2:$C$1369,0)))</f>
        <v/>
      </c>
      <c r="K789" s="9">
        <f>IF(ISNA(MATCH(776,Engine!$C$2:$C$1369,0)),"",INDEX('Compliance Database'!$K$2:$K$1369,MATCH(776,Engine!$C$2:$C$1369,0)))</f>
        <v/>
      </c>
      <c r="L789" s="9">
        <f>IF(ISNA(MATCH(776,Engine!$C$2:$C$1369,0)),"",INDEX('Compliance Database'!$L$2:$L$1369,MATCH(776,Engine!$C$2:$C$1369,0)))</f>
        <v/>
      </c>
      <c r="M789" s="9">
        <f>IF(ISNA(MATCH(776,Engine!$C$2:$C$1369,0)),"",INDEX('Compliance Database'!$M$2:$M$1369,MATCH(776,Engine!$C$2:$C$1369,0)))</f>
        <v/>
      </c>
      <c r="N789" s="9">
        <f>IF(ISNA(MATCH(776,Engine!$C$2:$C$1369,0)),"",INDEX('Compliance Database'!$N$2:$N$1369,MATCH(776,Engine!$C$2:$C$1369,0)))</f>
        <v/>
      </c>
      <c r="O789" s="8">
        <f>IF(ISNA(MATCH(776,Engine!$C$2:$C$1369,0)),"",HYPERLINK(INDEX('Compliance Database'!$O$2:$O$1369,MATCH(776,Engine!$C$2:$C$1369,0)),"Open PDF"))</f>
        <v/>
      </c>
    </row>
    <row r="790" ht="188" customHeight="1">
      <c r="A790" s="8">
        <f>IF(ISNA(MATCH(777,Engine!$C$2:$C$1369,0)),"",INDEX('Compliance Database'!$A$2:$A$1369,MATCH(777,Engine!$C$2:$C$1369,0)))</f>
        <v/>
      </c>
      <c r="B790" s="8">
        <f>IF(ISNA(MATCH(777,Engine!$C$2:$C$1369,0)),"",INDEX('Compliance Database'!$B$2:$B$1369,MATCH(777,Engine!$C$2:$C$1369,0)))</f>
        <v/>
      </c>
      <c r="C790" s="8">
        <f>IF(ISNA(MATCH(777,Engine!$C$2:$C$1369,0)),"",INDEX('Compliance Database'!$C$2:$C$1369,MATCH(777,Engine!$C$2:$C$1369,0)))</f>
        <v/>
      </c>
      <c r="D790" s="9">
        <f>IF(ISNA(MATCH(777,Engine!$C$2:$C$1369,0)),"",INDEX('Compliance Database'!$D$2:$D$1369,MATCH(777,Engine!$C$2:$C$1369,0)))</f>
        <v/>
      </c>
      <c r="E790" s="8">
        <f>IF(ISNA(MATCH(777,Engine!$C$2:$C$1369,0)),"",INDEX('Compliance Database'!$E$2:$E$1369,MATCH(777,Engine!$C$2:$C$1369,0)))</f>
        <v/>
      </c>
      <c r="F790" s="8">
        <f>IF(ISNA(MATCH(777,Engine!$C$2:$C$1369,0)),"",INDEX('Compliance Database'!$F$2:$F$1369,MATCH(777,Engine!$C$2:$C$1369,0)))</f>
        <v/>
      </c>
      <c r="G790" s="8">
        <f>IF(ISNA(MATCH(777,Engine!$C$2:$C$1369,0)),"",INDEX('Compliance Database'!$G$2:$G$1369,MATCH(777,Engine!$C$2:$C$1369,0)))</f>
        <v/>
      </c>
      <c r="H790" s="9">
        <f>IF(ISNA(MATCH(777,Engine!$C$2:$C$1369,0)),"",INDEX('Compliance Database'!$H$2:$H$1369,MATCH(777,Engine!$C$2:$C$1369,0)))</f>
        <v/>
      </c>
      <c r="I790" s="9">
        <f>IF(ISNA(MATCH(777,Engine!$C$2:$C$1369,0)),"",INDEX('Compliance Database'!$I$2:$I$1369,MATCH(777,Engine!$C$2:$C$1369,0)))</f>
        <v/>
      </c>
      <c r="J790" s="8">
        <f>IF(ISNA(MATCH(777,Engine!$C$2:$C$1369,0)),"",INDEX('Compliance Database'!$J$2:$J$1369,MATCH(777,Engine!$C$2:$C$1369,0)))</f>
        <v/>
      </c>
      <c r="K790" s="9">
        <f>IF(ISNA(MATCH(777,Engine!$C$2:$C$1369,0)),"",INDEX('Compliance Database'!$K$2:$K$1369,MATCH(777,Engine!$C$2:$C$1369,0)))</f>
        <v/>
      </c>
      <c r="L790" s="9">
        <f>IF(ISNA(MATCH(777,Engine!$C$2:$C$1369,0)),"",INDEX('Compliance Database'!$L$2:$L$1369,MATCH(777,Engine!$C$2:$C$1369,0)))</f>
        <v/>
      </c>
      <c r="M790" s="9">
        <f>IF(ISNA(MATCH(777,Engine!$C$2:$C$1369,0)),"",INDEX('Compliance Database'!$M$2:$M$1369,MATCH(777,Engine!$C$2:$C$1369,0)))</f>
        <v/>
      </c>
      <c r="N790" s="9">
        <f>IF(ISNA(MATCH(777,Engine!$C$2:$C$1369,0)),"",INDEX('Compliance Database'!$N$2:$N$1369,MATCH(777,Engine!$C$2:$C$1369,0)))</f>
        <v/>
      </c>
      <c r="O790" s="8">
        <f>IF(ISNA(MATCH(777,Engine!$C$2:$C$1369,0)),"",HYPERLINK(INDEX('Compliance Database'!$O$2:$O$1369,MATCH(777,Engine!$C$2:$C$1369,0)),"Open PDF"))</f>
        <v/>
      </c>
    </row>
    <row r="791" ht="188" customHeight="1">
      <c r="A791" s="8">
        <f>IF(ISNA(MATCH(778,Engine!$C$2:$C$1369,0)),"",INDEX('Compliance Database'!$A$2:$A$1369,MATCH(778,Engine!$C$2:$C$1369,0)))</f>
        <v/>
      </c>
      <c r="B791" s="8">
        <f>IF(ISNA(MATCH(778,Engine!$C$2:$C$1369,0)),"",INDEX('Compliance Database'!$B$2:$B$1369,MATCH(778,Engine!$C$2:$C$1369,0)))</f>
        <v/>
      </c>
      <c r="C791" s="8">
        <f>IF(ISNA(MATCH(778,Engine!$C$2:$C$1369,0)),"",INDEX('Compliance Database'!$C$2:$C$1369,MATCH(778,Engine!$C$2:$C$1369,0)))</f>
        <v/>
      </c>
      <c r="D791" s="9">
        <f>IF(ISNA(MATCH(778,Engine!$C$2:$C$1369,0)),"",INDEX('Compliance Database'!$D$2:$D$1369,MATCH(778,Engine!$C$2:$C$1369,0)))</f>
        <v/>
      </c>
      <c r="E791" s="8">
        <f>IF(ISNA(MATCH(778,Engine!$C$2:$C$1369,0)),"",INDEX('Compliance Database'!$E$2:$E$1369,MATCH(778,Engine!$C$2:$C$1369,0)))</f>
        <v/>
      </c>
      <c r="F791" s="8">
        <f>IF(ISNA(MATCH(778,Engine!$C$2:$C$1369,0)),"",INDEX('Compliance Database'!$F$2:$F$1369,MATCH(778,Engine!$C$2:$C$1369,0)))</f>
        <v/>
      </c>
      <c r="G791" s="8">
        <f>IF(ISNA(MATCH(778,Engine!$C$2:$C$1369,0)),"",INDEX('Compliance Database'!$G$2:$G$1369,MATCH(778,Engine!$C$2:$C$1369,0)))</f>
        <v/>
      </c>
      <c r="H791" s="9">
        <f>IF(ISNA(MATCH(778,Engine!$C$2:$C$1369,0)),"",INDEX('Compliance Database'!$H$2:$H$1369,MATCH(778,Engine!$C$2:$C$1369,0)))</f>
        <v/>
      </c>
      <c r="I791" s="9">
        <f>IF(ISNA(MATCH(778,Engine!$C$2:$C$1369,0)),"",INDEX('Compliance Database'!$I$2:$I$1369,MATCH(778,Engine!$C$2:$C$1369,0)))</f>
        <v/>
      </c>
      <c r="J791" s="8">
        <f>IF(ISNA(MATCH(778,Engine!$C$2:$C$1369,0)),"",INDEX('Compliance Database'!$J$2:$J$1369,MATCH(778,Engine!$C$2:$C$1369,0)))</f>
        <v/>
      </c>
      <c r="K791" s="9">
        <f>IF(ISNA(MATCH(778,Engine!$C$2:$C$1369,0)),"",INDEX('Compliance Database'!$K$2:$K$1369,MATCH(778,Engine!$C$2:$C$1369,0)))</f>
        <v/>
      </c>
      <c r="L791" s="9">
        <f>IF(ISNA(MATCH(778,Engine!$C$2:$C$1369,0)),"",INDEX('Compliance Database'!$L$2:$L$1369,MATCH(778,Engine!$C$2:$C$1369,0)))</f>
        <v/>
      </c>
      <c r="M791" s="9">
        <f>IF(ISNA(MATCH(778,Engine!$C$2:$C$1369,0)),"",INDEX('Compliance Database'!$M$2:$M$1369,MATCH(778,Engine!$C$2:$C$1369,0)))</f>
        <v/>
      </c>
      <c r="N791" s="9">
        <f>IF(ISNA(MATCH(778,Engine!$C$2:$C$1369,0)),"",INDEX('Compliance Database'!$N$2:$N$1369,MATCH(778,Engine!$C$2:$C$1369,0)))</f>
        <v/>
      </c>
      <c r="O791" s="8">
        <f>IF(ISNA(MATCH(778,Engine!$C$2:$C$1369,0)),"",HYPERLINK(INDEX('Compliance Database'!$O$2:$O$1369,MATCH(778,Engine!$C$2:$C$1369,0)),"Open PDF"))</f>
        <v/>
      </c>
    </row>
    <row r="792" ht="188" customHeight="1">
      <c r="A792" s="8">
        <f>IF(ISNA(MATCH(779,Engine!$C$2:$C$1369,0)),"",INDEX('Compliance Database'!$A$2:$A$1369,MATCH(779,Engine!$C$2:$C$1369,0)))</f>
        <v/>
      </c>
      <c r="B792" s="8">
        <f>IF(ISNA(MATCH(779,Engine!$C$2:$C$1369,0)),"",INDEX('Compliance Database'!$B$2:$B$1369,MATCH(779,Engine!$C$2:$C$1369,0)))</f>
        <v/>
      </c>
      <c r="C792" s="8">
        <f>IF(ISNA(MATCH(779,Engine!$C$2:$C$1369,0)),"",INDEX('Compliance Database'!$C$2:$C$1369,MATCH(779,Engine!$C$2:$C$1369,0)))</f>
        <v/>
      </c>
      <c r="D792" s="9">
        <f>IF(ISNA(MATCH(779,Engine!$C$2:$C$1369,0)),"",INDEX('Compliance Database'!$D$2:$D$1369,MATCH(779,Engine!$C$2:$C$1369,0)))</f>
        <v/>
      </c>
      <c r="E792" s="8">
        <f>IF(ISNA(MATCH(779,Engine!$C$2:$C$1369,0)),"",INDEX('Compliance Database'!$E$2:$E$1369,MATCH(779,Engine!$C$2:$C$1369,0)))</f>
        <v/>
      </c>
      <c r="F792" s="8">
        <f>IF(ISNA(MATCH(779,Engine!$C$2:$C$1369,0)),"",INDEX('Compliance Database'!$F$2:$F$1369,MATCH(779,Engine!$C$2:$C$1369,0)))</f>
        <v/>
      </c>
      <c r="G792" s="8">
        <f>IF(ISNA(MATCH(779,Engine!$C$2:$C$1369,0)),"",INDEX('Compliance Database'!$G$2:$G$1369,MATCH(779,Engine!$C$2:$C$1369,0)))</f>
        <v/>
      </c>
      <c r="H792" s="9">
        <f>IF(ISNA(MATCH(779,Engine!$C$2:$C$1369,0)),"",INDEX('Compliance Database'!$H$2:$H$1369,MATCH(779,Engine!$C$2:$C$1369,0)))</f>
        <v/>
      </c>
      <c r="I792" s="9">
        <f>IF(ISNA(MATCH(779,Engine!$C$2:$C$1369,0)),"",INDEX('Compliance Database'!$I$2:$I$1369,MATCH(779,Engine!$C$2:$C$1369,0)))</f>
        <v/>
      </c>
      <c r="J792" s="8">
        <f>IF(ISNA(MATCH(779,Engine!$C$2:$C$1369,0)),"",INDEX('Compliance Database'!$J$2:$J$1369,MATCH(779,Engine!$C$2:$C$1369,0)))</f>
        <v/>
      </c>
      <c r="K792" s="9">
        <f>IF(ISNA(MATCH(779,Engine!$C$2:$C$1369,0)),"",INDEX('Compliance Database'!$K$2:$K$1369,MATCH(779,Engine!$C$2:$C$1369,0)))</f>
        <v/>
      </c>
      <c r="L792" s="9">
        <f>IF(ISNA(MATCH(779,Engine!$C$2:$C$1369,0)),"",INDEX('Compliance Database'!$L$2:$L$1369,MATCH(779,Engine!$C$2:$C$1369,0)))</f>
        <v/>
      </c>
      <c r="M792" s="9">
        <f>IF(ISNA(MATCH(779,Engine!$C$2:$C$1369,0)),"",INDEX('Compliance Database'!$M$2:$M$1369,MATCH(779,Engine!$C$2:$C$1369,0)))</f>
        <v/>
      </c>
      <c r="N792" s="9">
        <f>IF(ISNA(MATCH(779,Engine!$C$2:$C$1369,0)),"",INDEX('Compliance Database'!$N$2:$N$1369,MATCH(779,Engine!$C$2:$C$1369,0)))</f>
        <v/>
      </c>
      <c r="O792" s="8">
        <f>IF(ISNA(MATCH(779,Engine!$C$2:$C$1369,0)),"",HYPERLINK(INDEX('Compliance Database'!$O$2:$O$1369,MATCH(779,Engine!$C$2:$C$1369,0)),"Open PDF"))</f>
        <v/>
      </c>
    </row>
    <row r="793" ht="188" customHeight="1">
      <c r="A793" s="8">
        <f>IF(ISNA(MATCH(780,Engine!$C$2:$C$1369,0)),"",INDEX('Compliance Database'!$A$2:$A$1369,MATCH(780,Engine!$C$2:$C$1369,0)))</f>
        <v/>
      </c>
      <c r="B793" s="8">
        <f>IF(ISNA(MATCH(780,Engine!$C$2:$C$1369,0)),"",INDEX('Compliance Database'!$B$2:$B$1369,MATCH(780,Engine!$C$2:$C$1369,0)))</f>
        <v/>
      </c>
      <c r="C793" s="8">
        <f>IF(ISNA(MATCH(780,Engine!$C$2:$C$1369,0)),"",INDEX('Compliance Database'!$C$2:$C$1369,MATCH(780,Engine!$C$2:$C$1369,0)))</f>
        <v/>
      </c>
      <c r="D793" s="9">
        <f>IF(ISNA(MATCH(780,Engine!$C$2:$C$1369,0)),"",INDEX('Compliance Database'!$D$2:$D$1369,MATCH(780,Engine!$C$2:$C$1369,0)))</f>
        <v/>
      </c>
      <c r="E793" s="8">
        <f>IF(ISNA(MATCH(780,Engine!$C$2:$C$1369,0)),"",INDEX('Compliance Database'!$E$2:$E$1369,MATCH(780,Engine!$C$2:$C$1369,0)))</f>
        <v/>
      </c>
      <c r="F793" s="8">
        <f>IF(ISNA(MATCH(780,Engine!$C$2:$C$1369,0)),"",INDEX('Compliance Database'!$F$2:$F$1369,MATCH(780,Engine!$C$2:$C$1369,0)))</f>
        <v/>
      </c>
      <c r="G793" s="8">
        <f>IF(ISNA(MATCH(780,Engine!$C$2:$C$1369,0)),"",INDEX('Compliance Database'!$G$2:$G$1369,MATCH(780,Engine!$C$2:$C$1369,0)))</f>
        <v/>
      </c>
      <c r="H793" s="9">
        <f>IF(ISNA(MATCH(780,Engine!$C$2:$C$1369,0)),"",INDEX('Compliance Database'!$H$2:$H$1369,MATCH(780,Engine!$C$2:$C$1369,0)))</f>
        <v/>
      </c>
      <c r="I793" s="9">
        <f>IF(ISNA(MATCH(780,Engine!$C$2:$C$1369,0)),"",INDEX('Compliance Database'!$I$2:$I$1369,MATCH(780,Engine!$C$2:$C$1369,0)))</f>
        <v/>
      </c>
      <c r="J793" s="8">
        <f>IF(ISNA(MATCH(780,Engine!$C$2:$C$1369,0)),"",INDEX('Compliance Database'!$J$2:$J$1369,MATCH(780,Engine!$C$2:$C$1369,0)))</f>
        <v/>
      </c>
      <c r="K793" s="9">
        <f>IF(ISNA(MATCH(780,Engine!$C$2:$C$1369,0)),"",INDEX('Compliance Database'!$K$2:$K$1369,MATCH(780,Engine!$C$2:$C$1369,0)))</f>
        <v/>
      </c>
      <c r="L793" s="9">
        <f>IF(ISNA(MATCH(780,Engine!$C$2:$C$1369,0)),"",INDEX('Compliance Database'!$L$2:$L$1369,MATCH(780,Engine!$C$2:$C$1369,0)))</f>
        <v/>
      </c>
      <c r="M793" s="9">
        <f>IF(ISNA(MATCH(780,Engine!$C$2:$C$1369,0)),"",INDEX('Compliance Database'!$M$2:$M$1369,MATCH(780,Engine!$C$2:$C$1369,0)))</f>
        <v/>
      </c>
      <c r="N793" s="9">
        <f>IF(ISNA(MATCH(780,Engine!$C$2:$C$1369,0)),"",INDEX('Compliance Database'!$N$2:$N$1369,MATCH(780,Engine!$C$2:$C$1369,0)))</f>
        <v/>
      </c>
      <c r="O793" s="8">
        <f>IF(ISNA(MATCH(780,Engine!$C$2:$C$1369,0)),"",HYPERLINK(INDEX('Compliance Database'!$O$2:$O$1369,MATCH(780,Engine!$C$2:$C$1369,0)),"Open PDF"))</f>
        <v/>
      </c>
    </row>
    <row r="794" ht="188" customHeight="1">
      <c r="A794" s="8">
        <f>IF(ISNA(MATCH(781,Engine!$C$2:$C$1369,0)),"",INDEX('Compliance Database'!$A$2:$A$1369,MATCH(781,Engine!$C$2:$C$1369,0)))</f>
        <v/>
      </c>
      <c r="B794" s="8">
        <f>IF(ISNA(MATCH(781,Engine!$C$2:$C$1369,0)),"",INDEX('Compliance Database'!$B$2:$B$1369,MATCH(781,Engine!$C$2:$C$1369,0)))</f>
        <v/>
      </c>
      <c r="C794" s="8">
        <f>IF(ISNA(MATCH(781,Engine!$C$2:$C$1369,0)),"",INDEX('Compliance Database'!$C$2:$C$1369,MATCH(781,Engine!$C$2:$C$1369,0)))</f>
        <v/>
      </c>
      <c r="D794" s="9">
        <f>IF(ISNA(MATCH(781,Engine!$C$2:$C$1369,0)),"",INDEX('Compliance Database'!$D$2:$D$1369,MATCH(781,Engine!$C$2:$C$1369,0)))</f>
        <v/>
      </c>
      <c r="E794" s="8">
        <f>IF(ISNA(MATCH(781,Engine!$C$2:$C$1369,0)),"",INDEX('Compliance Database'!$E$2:$E$1369,MATCH(781,Engine!$C$2:$C$1369,0)))</f>
        <v/>
      </c>
      <c r="F794" s="8">
        <f>IF(ISNA(MATCH(781,Engine!$C$2:$C$1369,0)),"",INDEX('Compliance Database'!$F$2:$F$1369,MATCH(781,Engine!$C$2:$C$1369,0)))</f>
        <v/>
      </c>
      <c r="G794" s="8">
        <f>IF(ISNA(MATCH(781,Engine!$C$2:$C$1369,0)),"",INDEX('Compliance Database'!$G$2:$G$1369,MATCH(781,Engine!$C$2:$C$1369,0)))</f>
        <v/>
      </c>
      <c r="H794" s="9">
        <f>IF(ISNA(MATCH(781,Engine!$C$2:$C$1369,0)),"",INDEX('Compliance Database'!$H$2:$H$1369,MATCH(781,Engine!$C$2:$C$1369,0)))</f>
        <v/>
      </c>
      <c r="I794" s="9">
        <f>IF(ISNA(MATCH(781,Engine!$C$2:$C$1369,0)),"",INDEX('Compliance Database'!$I$2:$I$1369,MATCH(781,Engine!$C$2:$C$1369,0)))</f>
        <v/>
      </c>
      <c r="J794" s="8">
        <f>IF(ISNA(MATCH(781,Engine!$C$2:$C$1369,0)),"",INDEX('Compliance Database'!$J$2:$J$1369,MATCH(781,Engine!$C$2:$C$1369,0)))</f>
        <v/>
      </c>
      <c r="K794" s="9">
        <f>IF(ISNA(MATCH(781,Engine!$C$2:$C$1369,0)),"",INDEX('Compliance Database'!$K$2:$K$1369,MATCH(781,Engine!$C$2:$C$1369,0)))</f>
        <v/>
      </c>
      <c r="L794" s="9">
        <f>IF(ISNA(MATCH(781,Engine!$C$2:$C$1369,0)),"",INDEX('Compliance Database'!$L$2:$L$1369,MATCH(781,Engine!$C$2:$C$1369,0)))</f>
        <v/>
      </c>
      <c r="M794" s="9">
        <f>IF(ISNA(MATCH(781,Engine!$C$2:$C$1369,0)),"",INDEX('Compliance Database'!$M$2:$M$1369,MATCH(781,Engine!$C$2:$C$1369,0)))</f>
        <v/>
      </c>
      <c r="N794" s="9">
        <f>IF(ISNA(MATCH(781,Engine!$C$2:$C$1369,0)),"",INDEX('Compliance Database'!$N$2:$N$1369,MATCH(781,Engine!$C$2:$C$1369,0)))</f>
        <v/>
      </c>
      <c r="O794" s="8">
        <f>IF(ISNA(MATCH(781,Engine!$C$2:$C$1369,0)),"",HYPERLINK(INDEX('Compliance Database'!$O$2:$O$1369,MATCH(781,Engine!$C$2:$C$1369,0)),"Open PDF"))</f>
        <v/>
      </c>
    </row>
    <row r="795" ht="188" customHeight="1">
      <c r="A795" s="8">
        <f>IF(ISNA(MATCH(782,Engine!$C$2:$C$1369,0)),"",INDEX('Compliance Database'!$A$2:$A$1369,MATCH(782,Engine!$C$2:$C$1369,0)))</f>
        <v/>
      </c>
      <c r="B795" s="8">
        <f>IF(ISNA(MATCH(782,Engine!$C$2:$C$1369,0)),"",INDEX('Compliance Database'!$B$2:$B$1369,MATCH(782,Engine!$C$2:$C$1369,0)))</f>
        <v/>
      </c>
      <c r="C795" s="8">
        <f>IF(ISNA(MATCH(782,Engine!$C$2:$C$1369,0)),"",INDEX('Compliance Database'!$C$2:$C$1369,MATCH(782,Engine!$C$2:$C$1369,0)))</f>
        <v/>
      </c>
      <c r="D795" s="9">
        <f>IF(ISNA(MATCH(782,Engine!$C$2:$C$1369,0)),"",INDEX('Compliance Database'!$D$2:$D$1369,MATCH(782,Engine!$C$2:$C$1369,0)))</f>
        <v/>
      </c>
      <c r="E795" s="8">
        <f>IF(ISNA(MATCH(782,Engine!$C$2:$C$1369,0)),"",INDEX('Compliance Database'!$E$2:$E$1369,MATCH(782,Engine!$C$2:$C$1369,0)))</f>
        <v/>
      </c>
      <c r="F795" s="8">
        <f>IF(ISNA(MATCH(782,Engine!$C$2:$C$1369,0)),"",INDEX('Compliance Database'!$F$2:$F$1369,MATCH(782,Engine!$C$2:$C$1369,0)))</f>
        <v/>
      </c>
      <c r="G795" s="8">
        <f>IF(ISNA(MATCH(782,Engine!$C$2:$C$1369,0)),"",INDEX('Compliance Database'!$G$2:$G$1369,MATCH(782,Engine!$C$2:$C$1369,0)))</f>
        <v/>
      </c>
      <c r="H795" s="9">
        <f>IF(ISNA(MATCH(782,Engine!$C$2:$C$1369,0)),"",INDEX('Compliance Database'!$H$2:$H$1369,MATCH(782,Engine!$C$2:$C$1369,0)))</f>
        <v/>
      </c>
      <c r="I795" s="9">
        <f>IF(ISNA(MATCH(782,Engine!$C$2:$C$1369,0)),"",INDEX('Compliance Database'!$I$2:$I$1369,MATCH(782,Engine!$C$2:$C$1369,0)))</f>
        <v/>
      </c>
      <c r="J795" s="8">
        <f>IF(ISNA(MATCH(782,Engine!$C$2:$C$1369,0)),"",INDEX('Compliance Database'!$J$2:$J$1369,MATCH(782,Engine!$C$2:$C$1369,0)))</f>
        <v/>
      </c>
      <c r="K795" s="9">
        <f>IF(ISNA(MATCH(782,Engine!$C$2:$C$1369,0)),"",INDEX('Compliance Database'!$K$2:$K$1369,MATCH(782,Engine!$C$2:$C$1369,0)))</f>
        <v/>
      </c>
      <c r="L795" s="9">
        <f>IF(ISNA(MATCH(782,Engine!$C$2:$C$1369,0)),"",INDEX('Compliance Database'!$L$2:$L$1369,MATCH(782,Engine!$C$2:$C$1369,0)))</f>
        <v/>
      </c>
      <c r="M795" s="9">
        <f>IF(ISNA(MATCH(782,Engine!$C$2:$C$1369,0)),"",INDEX('Compliance Database'!$M$2:$M$1369,MATCH(782,Engine!$C$2:$C$1369,0)))</f>
        <v/>
      </c>
      <c r="N795" s="9">
        <f>IF(ISNA(MATCH(782,Engine!$C$2:$C$1369,0)),"",INDEX('Compliance Database'!$N$2:$N$1369,MATCH(782,Engine!$C$2:$C$1369,0)))</f>
        <v/>
      </c>
      <c r="O795" s="8">
        <f>IF(ISNA(MATCH(782,Engine!$C$2:$C$1369,0)),"",HYPERLINK(INDEX('Compliance Database'!$O$2:$O$1369,MATCH(782,Engine!$C$2:$C$1369,0)),"Open PDF"))</f>
        <v/>
      </c>
    </row>
    <row r="796" ht="188" customHeight="1">
      <c r="A796" s="8">
        <f>IF(ISNA(MATCH(783,Engine!$C$2:$C$1369,0)),"",INDEX('Compliance Database'!$A$2:$A$1369,MATCH(783,Engine!$C$2:$C$1369,0)))</f>
        <v/>
      </c>
      <c r="B796" s="8">
        <f>IF(ISNA(MATCH(783,Engine!$C$2:$C$1369,0)),"",INDEX('Compliance Database'!$B$2:$B$1369,MATCH(783,Engine!$C$2:$C$1369,0)))</f>
        <v/>
      </c>
      <c r="C796" s="8">
        <f>IF(ISNA(MATCH(783,Engine!$C$2:$C$1369,0)),"",INDEX('Compliance Database'!$C$2:$C$1369,MATCH(783,Engine!$C$2:$C$1369,0)))</f>
        <v/>
      </c>
      <c r="D796" s="9">
        <f>IF(ISNA(MATCH(783,Engine!$C$2:$C$1369,0)),"",INDEX('Compliance Database'!$D$2:$D$1369,MATCH(783,Engine!$C$2:$C$1369,0)))</f>
        <v/>
      </c>
      <c r="E796" s="8">
        <f>IF(ISNA(MATCH(783,Engine!$C$2:$C$1369,0)),"",INDEX('Compliance Database'!$E$2:$E$1369,MATCH(783,Engine!$C$2:$C$1369,0)))</f>
        <v/>
      </c>
      <c r="F796" s="8">
        <f>IF(ISNA(MATCH(783,Engine!$C$2:$C$1369,0)),"",INDEX('Compliance Database'!$F$2:$F$1369,MATCH(783,Engine!$C$2:$C$1369,0)))</f>
        <v/>
      </c>
      <c r="G796" s="8">
        <f>IF(ISNA(MATCH(783,Engine!$C$2:$C$1369,0)),"",INDEX('Compliance Database'!$G$2:$G$1369,MATCH(783,Engine!$C$2:$C$1369,0)))</f>
        <v/>
      </c>
      <c r="H796" s="9">
        <f>IF(ISNA(MATCH(783,Engine!$C$2:$C$1369,0)),"",INDEX('Compliance Database'!$H$2:$H$1369,MATCH(783,Engine!$C$2:$C$1369,0)))</f>
        <v/>
      </c>
      <c r="I796" s="9">
        <f>IF(ISNA(MATCH(783,Engine!$C$2:$C$1369,0)),"",INDEX('Compliance Database'!$I$2:$I$1369,MATCH(783,Engine!$C$2:$C$1369,0)))</f>
        <v/>
      </c>
      <c r="J796" s="8">
        <f>IF(ISNA(MATCH(783,Engine!$C$2:$C$1369,0)),"",INDEX('Compliance Database'!$J$2:$J$1369,MATCH(783,Engine!$C$2:$C$1369,0)))</f>
        <v/>
      </c>
      <c r="K796" s="9">
        <f>IF(ISNA(MATCH(783,Engine!$C$2:$C$1369,0)),"",INDEX('Compliance Database'!$K$2:$K$1369,MATCH(783,Engine!$C$2:$C$1369,0)))</f>
        <v/>
      </c>
      <c r="L796" s="9">
        <f>IF(ISNA(MATCH(783,Engine!$C$2:$C$1369,0)),"",INDEX('Compliance Database'!$L$2:$L$1369,MATCH(783,Engine!$C$2:$C$1369,0)))</f>
        <v/>
      </c>
      <c r="M796" s="9">
        <f>IF(ISNA(MATCH(783,Engine!$C$2:$C$1369,0)),"",INDEX('Compliance Database'!$M$2:$M$1369,MATCH(783,Engine!$C$2:$C$1369,0)))</f>
        <v/>
      </c>
      <c r="N796" s="9">
        <f>IF(ISNA(MATCH(783,Engine!$C$2:$C$1369,0)),"",INDEX('Compliance Database'!$N$2:$N$1369,MATCH(783,Engine!$C$2:$C$1369,0)))</f>
        <v/>
      </c>
      <c r="O796" s="8">
        <f>IF(ISNA(MATCH(783,Engine!$C$2:$C$1369,0)),"",HYPERLINK(INDEX('Compliance Database'!$O$2:$O$1369,MATCH(783,Engine!$C$2:$C$1369,0)),"Open PDF"))</f>
        <v/>
      </c>
    </row>
    <row r="797" ht="188" customHeight="1">
      <c r="A797" s="8">
        <f>IF(ISNA(MATCH(784,Engine!$C$2:$C$1369,0)),"",INDEX('Compliance Database'!$A$2:$A$1369,MATCH(784,Engine!$C$2:$C$1369,0)))</f>
        <v/>
      </c>
      <c r="B797" s="8">
        <f>IF(ISNA(MATCH(784,Engine!$C$2:$C$1369,0)),"",INDEX('Compliance Database'!$B$2:$B$1369,MATCH(784,Engine!$C$2:$C$1369,0)))</f>
        <v/>
      </c>
      <c r="C797" s="8">
        <f>IF(ISNA(MATCH(784,Engine!$C$2:$C$1369,0)),"",INDEX('Compliance Database'!$C$2:$C$1369,MATCH(784,Engine!$C$2:$C$1369,0)))</f>
        <v/>
      </c>
      <c r="D797" s="9">
        <f>IF(ISNA(MATCH(784,Engine!$C$2:$C$1369,0)),"",INDEX('Compliance Database'!$D$2:$D$1369,MATCH(784,Engine!$C$2:$C$1369,0)))</f>
        <v/>
      </c>
      <c r="E797" s="8">
        <f>IF(ISNA(MATCH(784,Engine!$C$2:$C$1369,0)),"",INDEX('Compliance Database'!$E$2:$E$1369,MATCH(784,Engine!$C$2:$C$1369,0)))</f>
        <v/>
      </c>
      <c r="F797" s="8">
        <f>IF(ISNA(MATCH(784,Engine!$C$2:$C$1369,0)),"",INDEX('Compliance Database'!$F$2:$F$1369,MATCH(784,Engine!$C$2:$C$1369,0)))</f>
        <v/>
      </c>
      <c r="G797" s="8">
        <f>IF(ISNA(MATCH(784,Engine!$C$2:$C$1369,0)),"",INDEX('Compliance Database'!$G$2:$G$1369,MATCH(784,Engine!$C$2:$C$1369,0)))</f>
        <v/>
      </c>
      <c r="H797" s="9">
        <f>IF(ISNA(MATCH(784,Engine!$C$2:$C$1369,0)),"",INDEX('Compliance Database'!$H$2:$H$1369,MATCH(784,Engine!$C$2:$C$1369,0)))</f>
        <v/>
      </c>
      <c r="I797" s="9">
        <f>IF(ISNA(MATCH(784,Engine!$C$2:$C$1369,0)),"",INDEX('Compliance Database'!$I$2:$I$1369,MATCH(784,Engine!$C$2:$C$1369,0)))</f>
        <v/>
      </c>
      <c r="J797" s="8">
        <f>IF(ISNA(MATCH(784,Engine!$C$2:$C$1369,0)),"",INDEX('Compliance Database'!$J$2:$J$1369,MATCH(784,Engine!$C$2:$C$1369,0)))</f>
        <v/>
      </c>
      <c r="K797" s="9">
        <f>IF(ISNA(MATCH(784,Engine!$C$2:$C$1369,0)),"",INDEX('Compliance Database'!$K$2:$K$1369,MATCH(784,Engine!$C$2:$C$1369,0)))</f>
        <v/>
      </c>
      <c r="L797" s="9">
        <f>IF(ISNA(MATCH(784,Engine!$C$2:$C$1369,0)),"",INDEX('Compliance Database'!$L$2:$L$1369,MATCH(784,Engine!$C$2:$C$1369,0)))</f>
        <v/>
      </c>
      <c r="M797" s="9">
        <f>IF(ISNA(MATCH(784,Engine!$C$2:$C$1369,0)),"",INDEX('Compliance Database'!$M$2:$M$1369,MATCH(784,Engine!$C$2:$C$1369,0)))</f>
        <v/>
      </c>
      <c r="N797" s="9">
        <f>IF(ISNA(MATCH(784,Engine!$C$2:$C$1369,0)),"",INDEX('Compliance Database'!$N$2:$N$1369,MATCH(784,Engine!$C$2:$C$1369,0)))</f>
        <v/>
      </c>
      <c r="O797" s="8">
        <f>IF(ISNA(MATCH(784,Engine!$C$2:$C$1369,0)),"",HYPERLINK(INDEX('Compliance Database'!$O$2:$O$1369,MATCH(784,Engine!$C$2:$C$1369,0)),"Open PDF"))</f>
        <v/>
      </c>
    </row>
    <row r="798" ht="188" customHeight="1">
      <c r="A798" s="8">
        <f>IF(ISNA(MATCH(785,Engine!$C$2:$C$1369,0)),"",INDEX('Compliance Database'!$A$2:$A$1369,MATCH(785,Engine!$C$2:$C$1369,0)))</f>
        <v/>
      </c>
      <c r="B798" s="8">
        <f>IF(ISNA(MATCH(785,Engine!$C$2:$C$1369,0)),"",INDEX('Compliance Database'!$B$2:$B$1369,MATCH(785,Engine!$C$2:$C$1369,0)))</f>
        <v/>
      </c>
      <c r="C798" s="8">
        <f>IF(ISNA(MATCH(785,Engine!$C$2:$C$1369,0)),"",INDEX('Compliance Database'!$C$2:$C$1369,MATCH(785,Engine!$C$2:$C$1369,0)))</f>
        <v/>
      </c>
      <c r="D798" s="9">
        <f>IF(ISNA(MATCH(785,Engine!$C$2:$C$1369,0)),"",INDEX('Compliance Database'!$D$2:$D$1369,MATCH(785,Engine!$C$2:$C$1369,0)))</f>
        <v/>
      </c>
      <c r="E798" s="8">
        <f>IF(ISNA(MATCH(785,Engine!$C$2:$C$1369,0)),"",INDEX('Compliance Database'!$E$2:$E$1369,MATCH(785,Engine!$C$2:$C$1369,0)))</f>
        <v/>
      </c>
      <c r="F798" s="8">
        <f>IF(ISNA(MATCH(785,Engine!$C$2:$C$1369,0)),"",INDEX('Compliance Database'!$F$2:$F$1369,MATCH(785,Engine!$C$2:$C$1369,0)))</f>
        <v/>
      </c>
      <c r="G798" s="8">
        <f>IF(ISNA(MATCH(785,Engine!$C$2:$C$1369,0)),"",INDEX('Compliance Database'!$G$2:$G$1369,MATCH(785,Engine!$C$2:$C$1369,0)))</f>
        <v/>
      </c>
      <c r="H798" s="9">
        <f>IF(ISNA(MATCH(785,Engine!$C$2:$C$1369,0)),"",INDEX('Compliance Database'!$H$2:$H$1369,MATCH(785,Engine!$C$2:$C$1369,0)))</f>
        <v/>
      </c>
      <c r="I798" s="9">
        <f>IF(ISNA(MATCH(785,Engine!$C$2:$C$1369,0)),"",INDEX('Compliance Database'!$I$2:$I$1369,MATCH(785,Engine!$C$2:$C$1369,0)))</f>
        <v/>
      </c>
      <c r="J798" s="8">
        <f>IF(ISNA(MATCH(785,Engine!$C$2:$C$1369,0)),"",INDEX('Compliance Database'!$J$2:$J$1369,MATCH(785,Engine!$C$2:$C$1369,0)))</f>
        <v/>
      </c>
      <c r="K798" s="9">
        <f>IF(ISNA(MATCH(785,Engine!$C$2:$C$1369,0)),"",INDEX('Compliance Database'!$K$2:$K$1369,MATCH(785,Engine!$C$2:$C$1369,0)))</f>
        <v/>
      </c>
      <c r="L798" s="9">
        <f>IF(ISNA(MATCH(785,Engine!$C$2:$C$1369,0)),"",INDEX('Compliance Database'!$L$2:$L$1369,MATCH(785,Engine!$C$2:$C$1369,0)))</f>
        <v/>
      </c>
      <c r="M798" s="9">
        <f>IF(ISNA(MATCH(785,Engine!$C$2:$C$1369,0)),"",INDEX('Compliance Database'!$M$2:$M$1369,MATCH(785,Engine!$C$2:$C$1369,0)))</f>
        <v/>
      </c>
      <c r="N798" s="9">
        <f>IF(ISNA(MATCH(785,Engine!$C$2:$C$1369,0)),"",INDEX('Compliance Database'!$N$2:$N$1369,MATCH(785,Engine!$C$2:$C$1369,0)))</f>
        <v/>
      </c>
      <c r="O798" s="8">
        <f>IF(ISNA(MATCH(785,Engine!$C$2:$C$1369,0)),"",HYPERLINK(INDEX('Compliance Database'!$O$2:$O$1369,MATCH(785,Engine!$C$2:$C$1369,0)),"Open PDF"))</f>
        <v/>
      </c>
    </row>
    <row r="799" ht="188" customHeight="1">
      <c r="A799" s="8">
        <f>IF(ISNA(MATCH(786,Engine!$C$2:$C$1369,0)),"",INDEX('Compliance Database'!$A$2:$A$1369,MATCH(786,Engine!$C$2:$C$1369,0)))</f>
        <v/>
      </c>
      <c r="B799" s="8">
        <f>IF(ISNA(MATCH(786,Engine!$C$2:$C$1369,0)),"",INDEX('Compliance Database'!$B$2:$B$1369,MATCH(786,Engine!$C$2:$C$1369,0)))</f>
        <v/>
      </c>
      <c r="C799" s="8">
        <f>IF(ISNA(MATCH(786,Engine!$C$2:$C$1369,0)),"",INDEX('Compliance Database'!$C$2:$C$1369,MATCH(786,Engine!$C$2:$C$1369,0)))</f>
        <v/>
      </c>
      <c r="D799" s="9">
        <f>IF(ISNA(MATCH(786,Engine!$C$2:$C$1369,0)),"",INDEX('Compliance Database'!$D$2:$D$1369,MATCH(786,Engine!$C$2:$C$1369,0)))</f>
        <v/>
      </c>
      <c r="E799" s="8">
        <f>IF(ISNA(MATCH(786,Engine!$C$2:$C$1369,0)),"",INDEX('Compliance Database'!$E$2:$E$1369,MATCH(786,Engine!$C$2:$C$1369,0)))</f>
        <v/>
      </c>
      <c r="F799" s="8">
        <f>IF(ISNA(MATCH(786,Engine!$C$2:$C$1369,0)),"",INDEX('Compliance Database'!$F$2:$F$1369,MATCH(786,Engine!$C$2:$C$1369,0)))</f>
        <v/>
      </c>
      <c r="G799" s="8">
        <f>IF(ISNA(MATCH(786,Engine!$C$2:$C$1369,0)),"",INDEX('Compliance Database'!$G$2:$G$1369,MATCH(786,Engine!$C$2:$C$1369,0)))</f>
        <v/>
      </c>
      <c r="H799" s="9">
        <f>IF(ISNA(MATCH(786,Engine!$C$2:$C$1369,0)),"",INDEX('Compliance Database'!$H$2:$H$1369,MATCH(786,Engine!$C$2:$C$1369,0)))</f>
        <v/>
      </c>
      <c r="I799" s="9">
        <f>IF(ISNA(MATCH(786,Engine!$C$2:$C$1369,0)),"",INDEX('Compliance Database'!$I$2:$I$1369,MATCH(786,Engine!$C$2:$C$1369,0)))</f>
        <v/>
      </c>
      <c r="J799" s="8">
        <f>IF(ISNA(MATCH(786,Engine!$C$2:$C$1369,0)),"",INDEX('Compliance Database'!$J$2:$J$1369,MATCH(786,Engine!$C$2:$C$1369,0)))</f>
        <v/>
      </c>
      <c r="K799" s="9">
        <f>IF(ISNA(MATCH(786,Engine!$C$2:$C$1369,0)),"",INDEX('Compliance Database'!$K$2:$K$1369,MATCH(786,Engine!$C$2:$C$1369,0)))</f>
        <v/>
      </c>
      <c r="L799" s="9">
        <f>IF(ISNA(MATCH(786,Engine!$C$2:$C$1369,0)),"",INDEX('Compliance Database'!$L$2:$L$1369,MATCH(786,Engine!$C$2:$C$1369,0)))</f>
        <v/>
      </c>
      <c r="M799" s="9">
        <f>IF(ISNA(MATCH(786,Engine!$C$2:$C$1369,0)),"",INDEX('Compliance Database'!$M$2:$M$1369,MATCH(786,Engine!$C$2:$C$1369,0)))</f>
        <v/>
      </c>
      <c r="N799" s="9">
        <f>IF(ISNA(MATCH(786,Engine!$C$2:$C$1369,0)),"",INDEX('Compliance Database'!$N$2:$N$1369,MATCH(786,Engine!$C$2:$C$1369,0)))</f>
        <v/>
      </c>
      <c r="O799" s="8">
        <f>IF(ISNA(MATCH(786,Engine!$C$2:$C$1369,0)),"",HYPERLINK(INDEX('Compliance Database'!$O$2:$O$1369,MATCH(786,Engine!$C$2:$C$1369,0)),"Open PDF"))</f>
        <v/>
      </c>
    </row>
    <row r="800" ht="188" customHeight="1">
      <c r="A800" s="8">
        <f>IF(ISNA(MATCH(787,Engine!$C$2:$C$1369,0)),"",INDEX('Compliance Database'!$A$2:$A$1369,MATCH(787,Engine!$C$2:$C$1369,0)))</f>
        <v/>
      </c>
      <c r="B800" s="8">
        <f>IF(ISNA(MATCH(787,Engine!$C$2:$C$1369,0)),"",INDEX('Compliance Database'!$B$2:$B$1369,MATCH(787,Engine!$C$2:$C$1369,0)))</f>
        <v/>
      </c>
      <c r="C800" s="8">
        <f>IF(ISNA(MATCH(787,Engine!$C$2:$C$1369,0)),"",INDEX('Compliance Database'!$C$2:$C$1369,MATCH(787,Engine!$C$2:$C$1369,0)))</f>
        <v/>
      </c>
      <c r="D800" s="9">
        <f>IF(ISNA(MATCH(787,Engine!$C$2:$C$1369,0)),"",INDEX('Compliance Database'!$D$2:$D$1369,MATCH(787,Engine!$C$2:$C$1369,0)))</f>
        <v/>
      </c>
      <c r="E800" s="8">
        <f>IF(ISNA(MATCH(787,Engine!$C$2:$C$1369,0)),"",INDEX('Compliance Database'!$E$2:$E$1369,MATCH(787,Engine!$C$2:$C$1369,0)))</f>
        <v/>
      </c>
      <c r="F800" s="8">
        <f>IF(ISNA(MATCH(787,Engine!$C$2:$C$1369,0)),"",INDEX('Compliance Database'!$F$2:$F$1369,MATCH(787,Engine!$C$2:$C$1369,0)))</f>
        <v/>
      </c>
      <c r="G800" s="8">
        <f>IF(ISNA(MATCH(787,Engine!$C$2:$C$1369,0)),"",INDEX('Compliance Database'!$G$2:$G$1369,MATCH(787,Engine!$C$2:$C$1369,0)))</f>
        <v/>
      </c>
      <c r="H800" s="9">
        <f>IF(ISNA(MATCH(787,Engine!$C$2:$C$1369,0)),"",INDEX('Compliance Database'!$H$2:$H$1369,MATCH(787,Engine!$C$2:$C$1369,0)))</f>
        <v/>
      </c>
      <c r="I800" s="9">
        <f>IF(ISNA(MATCH(787,Engine!$C$2:$C$1369,0)),"",INDEX('Compliance Database'!$I$2:$I$1369,MATCH(787,Engine!$C$2:$C$1369,0)))</f>
        <v/>
      </c>
      <c r="J800" s="8">
        <f>IF(ISNA(MATCH(787,Engine!$C$2:$C$1369,0)),"",INDEX('Compliance Database'!$J$2:$J$1369,MATCH(787,Engine!$C$2:$C$1369,0)))</f>
        <v/>
      </c>
      <c r="K800" s="9">
        <f>IF(ISNA(MATCH(787,Engine!$C$2:$C$1369,0)),"",INDEX('Compliance Database'!$K$2:$K$1369,MATCH(787,Engine!$C$2:$C$1369,0)))</f>
        <v/>
      </c>
      <c r="L800" s="9">
        <f>IF(ISNA(MATCH(787,Engine!$C$2:$C$1369,0)),"",INDEX('Compliance Database'!$L$2:$L$1369,MATCH(787,Engine!$C$2:$C$1369,0)))</f>
        <v/>
      </c>
      <c r="M800" s="9">
        <f>IF(ISNA(MATCH(787,Engine!$C$2:$C$1369,0)),"",INDEX('Compliance Database'!$M$2:$M$1369,MATCH(787,Engine!$C$2:$C$1369,0)))</f>
        <v/>
      </c>
      <c r="N800" s="9">
        <f>IF(ISNA(MATCH(787,Engine!$C$2:$C$1369,0)),"",INDEX('Compliance Database'!$N$2:$N$1369,MATCH(787,Engine!$C$2:$C$1369,0)))</f>
        <v/>
      </c>
      <c r="O800" s="8">
        <f>IF(ISNA(MATCH(787,Engine!$C$2:$C$1369,0)),"",HYPERLINK(INDEX('Compliance Database'!$O$2:$O$1369,MATCH(787,Engine!$C$2:$C$1369,0)),"Open PDF"))</f>
        <v/>
      </c>
    </row>
    <row r="801" ht="188" customHeight="1">
      <c r="A801" s="8">
        <f>IF(ISNA(MATCH(788,Engine!$C$2:$C$1369,0)),"",INDEX('Compliance Database'!$A$2:$A$1369,MATCH(788,Engine!$C$2:$C$1369,0)))</f>
        <v/>
      </c>
      <c r="B801" s="8">
        <f>IF(ISNA(MATCH(788,Engine!$C$2:$C$1369,0)),"",INDEX('Compliance Database'!$B$2:$B$1369,MATCH(788,Engine!$C$2:$C$1369,0)))</f>
        <v/>
      </c>
      <c r="C801" s="8">
        <f>IF(ISNA(MATCH(788,Engine!$C$2:$C$1369,0)),"",INDEX('Compliance Database'!$C$2:$C$1369,MATCH(788,Engine!$C$2:$C$1369,0)))</f>
        <v/>
      </c>
      <c r="D801" s="9">
        <f>IF(ISNA(MATCH(788,Engine!$C$2:$C$1369,0)),"",INDEX('Compliance Database'!$D$2:$D$1369,MATCH(788,Engine!$C$2:$C$1369,0)))</f>
        <v/>
      </c>
      <c r="E801" s="8">
        <f>IF(ISNA(MATCH(788,Engine!$C$2:$C$1369,0)),"",INDEX('Compliance Database'!$E$2:$E$1369,MATCH(788,Engine!$C$2:$C$1369,0)))</f>
        <v/>
      </c>
      <c r="F801" s="8">
        <f>IF(ISNA(MATCH(788,Engine!$C$2:$C$1369,0)),"",INDEX('Compliance Database'!$F$2:$F$1369,MATCH(788,Engine!$C$2:$C$1369,0)))</f>
        <v/>
      </c>
      <c r="G801" s="8">
        <f>IF(ISNA(MATCH(788,Engine!$C$2:$C$1369,0)),"",INDEX('Compliance Database'!$G$2:$G$1369,MATCH(788,Engine!$C$2:$C$1369,0)))</f>
        <v/>
      </c>
      <c r="H801" s="9">
        <f>IF(ISNA(MATCH(788,Engine!$C$2:$C$1369,0)),"",INDEX('Compliance Database'!$H$2:$H$1369,MATCH(788,Engine!$C$2:$C$1369,0)))</f>
        <v/>
      </c>
      <c r="I801" s="9">
        <f>IF(ISNA(MATCH(788,Engine!$C$2:$C$1369,0)),"",INDEX('Compliance Database'!$I$2:$I$1369,MATCH(788,Engine!$C$2:$C$1369,0)))</f>
        <v/>
      </c>
      <c r="J801" s="8">
        <f>IF(ISNA(MATCH(788,Engine!$C$2:$C$1369,0)),"",INDEX('Compliance Database'!$J$2:$J$1369,MATCH(788,Engine!$C$2:$C$1369,0)))</f>
        <v/>
      </c>
      <c r="K801" s="9">
        <f>IF(ISNA(MATCH(788,Engine!$C$2:$C$1369,0)),"",INDEX('Compliance Database'!$K$2:$K$1369,MATCH(788,Engine!$C$2:$C$1369,0)))</f>
        <v/>
      </c>
      <c r="L801" s="9">
        <f>IF(ISNA(MATCH(788,Engine!$C$2:$C$1369,0)),"",INDEX('Compliance Database'!$L$2:$L$1369,MATCH(788,Engine!$C$2:$C$1369,0)))</f>
        <v/>
      </c>
      <c r="M801" s="9">
        <f>IF(ISNA(MATCH(788,Engine!$C$2:$C$1369,0)),"",INDEX('Compliance Database'!$M$2:$M$1369,MATCH(788,Engine!$C$2:$C$1369,0)))</f>
        <v/>
      </c>
      <c r="N801" s="9">
        <f>IF(ISNA(MATCH(788,Engine!$C$2:$C$1369,0)),"",INDEX('Compliance Database'!$N$2:$N$1369,MATCH(788,Engine!$C$2:$C$1369,0)))</f>
        <v/>
      </c>
      <c r="O801" s="8">
        <f>IF(ISNA(MATCH(788,Engine!$C$2:$C$1369,0)),"",HYPERLINK(INDEX('Compliance Database'!$O$2:$O$1369,MATCH(788,Engine!$C$2:$C$1369,0)),"Open PDF"))</f>
        <v/>
      </c>
    </row>
    <row r="802" ht="188" customHeight="1">
      <c r="A802" s="8">
        <f>IF(ISNA(MATCH(789,Engine!$C$2:$C$1369,0)),"",INDEX('Compliance Database'!$A$2:$A$1369,MATCH(789,Engine!$C$2:$C$1369,0)))</f>
        <v/>
      </c>
      <c r="B802" s="8">
        <f>IF(ISNA(MATCH(789,Engine!$C$2:$C$1369,0)),"",INDEX('Compliance Database'!$B$2:$B$1369,MATCH(789,Engine!$C$2:$C$1369,0)))</f>
        <v/>
      </c>
      <c r="C802" s="8">
        <f>IF(ISNA(MATCH(789,Engine!$C$2:$C$1369,0)),"",INDEX('Compliance Database'!$C$2:$C$1369,MATCH(789,Engine!$C$2:$C$1369,0)))</f>
        <v/>
      </c>
      <c r="D802" s="9">
        <f>IF(ISNA(MATCH(789,Engine!$C$2:$C$1369,0)),"",INDEX('Compliance Database'!$D$2:$D$1369,MATCH(789,Engine!$C$2:$C$1369,0)))</f>
        <v/>
      </c>
      <c r="E802" s="8">
        <f>IF(ISNA(MATCH(789,Engine!$C$2:$C$1369,0)),"",INDEX('Compliance Database'!$E$2:$E$1369,MATCH(789,Engine!$C$2:$C$1369,0)))</f>
        <v/>
      </c>
      <c r="F802" s="8">
        <f>IF(ISNA(MATCH(789,Engine!$C$2:$C$1369,0)),"",INDEX('Compliance Database'!$F$2:$F$1369,MATCH(789,Engine!$C$2:$C$1369,0)))</f>
        <v/>
      </c>
      <c r="G802" s="8">
        <f>IF(ISNA(MATCH(789,Engine!$C$2:$C$1369,0)),"",INDEX('Compliance Database'!$G$2:$G$1369,MATCH(789,Engine!$C$2:$C$1369,0)))</f>
        <v/>
      </c>
      <c r="H802" s="9">
        <f>IF(ISNA(MATCH(789,Engine!$C$2:$C$1369,0)),"",INDEX('Compliance Database'!$H$2:$H$1369,MATCH(789,Engine!$C$2:$C$1369,0)))</f>
        <v/>
      </c>
      <c r="I802" s="9">
        <f>IF(ISNA(MATCH(789,Engine!$C$2:$C$1369,0)),"",INDEX('Compliance Database'!$I$2:$I$1369,MATCH(789,Engine!$C$2:$C$1369,0)))</f>
        <v/>
      </c>
      <c r="J802" s="8">
        <f>IF(ISNA(MATCH(789,Engine!$C$2:$C$1369,0)),"",INDEX('Compliance Database'!$J$2:$J$1369,MATCH(789,Engine!$C$2:$C$1369,0)))</f>
        <v/>
      </c>
      <c r="K802" s="9">
        <f>IF(ISNA(MATCH(789,Engine!$C$2:$C$1369,0)),"",INDEX('Compliance Database'!$K$2:$K$1369,MATCH(789,Engine!$C$2:$C$1369,0)))</f>
        <v/>
      </c>
      <c r="L802" s="9">
        <f>IF(ISNA(MATCH(789,Engine!$C$2:$C$1369,0)),"",INDEX('Compliance Database'!$L$2:$L$1369,MATCH(789,Engine!$C$2:$C$1369,0)))</f>
        <v/>
      </c>
      <c r="M802" s="9">
        <f>IF(ISNA(MATCH(789,Engine!$C$2:$C$1369,0)),"",INDEX('Compliance Database'!$M$2:$M$1369,MATCH(789,Engine!$C$2:$C$1369,0)))</f>
        <v/>
      </c>
      <c r="N802" s="9">
        <f>IF(ISNA(MATCH(789,Engine!$C$2:$C$1369,0)),"",INDEX('Compliance Database'!$N$2:$N$1369,MATCH(789,Engine!$C$2:$C$1369,0)))</f>
        <v/>
      </c>
      <c r="O802" s="8">
        <f>IF(ISNA(MATCH(789,Engine!$C$2:$C$1369,0)),"",HYPERLINK(INDEX('Compliance Database'!$O$2:$O$1369,MATCH(789,Engine!$C$2:$C$1369,0)),"Open PDF"))</f>
        <v/>
      </c>
    </row>
    <row r="803" ht="188" customHeight="1">
      <c r="A803" s="8">
        <f>IF(ISNA(MATCH(790,Engine!$C$2:$C$1369,0)),"",INDEX('Compliance Database'!$A$2:$A$1369,MATCH(790,Engine!$C$2:$C$1369,0)))</f>
        <v/>
      </c>
      <c r="B803" s="8">
        <f>IF(ISNA(MATCH(790,Engine!$C$2:$C$1369,0)),"",INDEX('Compliance Database'!$B$2:$B$1369,MATCH(790,Engine!$C$2:$C$1369,0)))</f>
        <v/>
      </c>
      <c r="C803" s="8">
        <f>IF(ISNA(MATCH(790,Engine!$C$2:$C$1369,0)),"",INDEX('Compliance Database'!$C$2:$C$1369,MATCH(790,Engine!$C$2:$C$1369,0)))</f>
        <v/>
      </c>
      <c r="D803" s="9">
        <f>IF(ISNA(MATCH(790,Engine!$C$2:$C$1369,0)),"",INDEX('Compliance Database'!$D$2:$D$1369,MATCH(790,Engine!$C$2:$C$1369,0)))</f>
        <v/>
      </c>
      <c r="E803" s="8">
        <f>IF(ISNA(MATCH(790,Engine!$C$2:$C$1369,0)),"",INDEX('Compliance Database'!$E$2:$E$1369,MATCH(790,Engine!$C$2:$C$1369,0)))</f>
        <v/>
      </c>
      <c r="F803" s="8">
        <f>IF(ISNA(MATCH(790,Engine!$C$2:$C$1369,0)),"",INDEX('Compliance Database'!$F$2:$F$1369,MATCH(790,Engine!$C$2:$C$1369,0)))</f>
        <v/>
      </c>
      <c r="G803" s="8">
        <f>IF(ISNA(MATCH(790,Engine!$C$2:$C$1369,0)),"",INDEX('Compliance Database'!$G$2:$G$1369,MATCH(790,Engine!$C$2:$C$1369,0)))</f>
        <v/>
      </c>
      <c r="H803" s="9">
        <f>IF(ISNA(MATCH(790,Engine!$C$2:$C$1369,0)),"",INDEX('Compliance Database'!$H$2:$H$1369,MATCH(790,Engine!$C$2:$C$1369,0)))</f>
        <v/>
      </c>
      <c r="I803" s="9">
        <f>IF(ISNA(MATCH(790,Engine!$C$2:$C$1369,0)),"",INDEX('Compliance Database'!$I$2:$I$1369,MATCH(790,Engine!$C$2:$C$1369,0)))</f>
        <v/>
      </c>
      <c r="J803" s="8">
        <f>IF(ISNA(MATCH(790,Engine!$C$2:$C$1369,0)),"",INDEX('Compliance Database'!$J$2:$J$1369,MATCH(790,Engine!$C$2:$C$1369,0)))</f>
        <v/>
      </c>
      <c r="K803" s="9">
        <f>IF(ISNA(MATCH(790,Engine!$C$2:$C$1369,0)),"",INDEX('Compliance Database'!$K$2:$K$1369,MATCH(790,Engine!$C$2:$C$1369,0)))</f>
        <v/>
      </c>
      <c r="L803" s="9">
        <f>IF(ISNA(MATCH(790,Engine!$C$2:$C$1369,0)),"",INDEX('Compliance Database'!$L$2:$L$1369,MATCH(790,Engine!$C$2:$C$1369,0)))</f>
        <v/>
      </c>
      <c r="M803" s="9">
        <f>IF(ISNA(MATCH(790,Engine!$C$2:$C$1369,0)),"",INDEX('Compliance Database'!$M$2:$M$1369,MATCH(790,Engine!$C$2:$C$1369,0)))</f>
        <v/>
      </c>
      <c r="N803" s="9">
        <f>IF(ISNA(MATCH(790,Engine!$C$2:$C$1369,0)),"",INDEX('Compliance Database'!$N$2:$N$1369,MATCH(790,Engine!$C$2:$C$1369,0)))</f>
        <v/>
      </c>
      <c r="O803" s="8">
        <f>IF(ISNA(MATCH(790,Engine!$C$2:$C$1369,0)),"",HYPERLINK(INDEX('Compliance Database'!$O$2:$O$1369,MATCH(790,Engine!$C$2:$C$1369,0)),"Open PDF"))</f>
        <v/>
      </c>
    </row>
    <row r="804" ht="188" customHeight="1">
      <c r="A804" s="8">
        <f>IF(ISNA(MATCH(791,Engine!$C$2:$C$1369,0)),"",INDEX('Compliance Database'!$A$2:$A$1369,MATCH(791,Engine!$C$2:$C$1369,0)))</f>
        <v/>
      </c>
      <c r="B804" s="8">
        <f>IF(ISNA(MATCH(791,Engine!$C$2:$C$1369,0)),"",INDEX('Compliance Database'!$B$2:$B$1369,MATCH(791,Engine!$C$2:$C$1369,0)))</f>
        <v/>
      </c>
      <c r="C804" s="8">
        <f>IF(ISNA(MATCH(791,Engine!$C$2:$C$1369,0)),"",INDEX('Compliance Database'!$C$2:$C$1369,MATCH(791,Engine!$C$2:$C$1369,0)))</f>
        <v/>
      </c>
      <c r="D804" s="9">
        <f>IF(ISNA(MATCH(791,Engine!$C$2:$C$1369,0)),"",INDEX('Compliance Database'!$D$2:$D$1369,MATCH(791,Engine!$C$2:$C$1369,0)))</f>
        <v/>
      </c>
      <c r="E804" s="8">
        <f>IF(ISNA(MATCH(791,Engine!$C$2:$C$1369,0)),"",INDEX('Compliance Database'!$E$2:$E$1369,MATCH(791,Engine!$C$2:$C$1369,0)))</f>
        <v/>
      </c>
      <c r="F804" s="8">
        <f>IF(ISNA(MATCH(791,Engine!$C$2:$C$1369,0)),"",INDEX('Compliance Database'!$F$2:$F$1369,MATCH(791,Engine!$C$2:$C$1369,0)))</f>
        <v/>
      </c>
      <c r="G804" s="8">
        <f>IF(ISNA(MATCH(791,Engine!$C$2:$C$1369,0)),"",INDEX('Compliance Database'!$G$2:$G$1369,MATCH(791,Engine!$C$2:$C$1369,0)))</f>
        <v/>
      </c>
      <c r="H804" s="9">
        <f>IF(ISNA(MATCH(791,Engine!$C$2:$C$1369,0)),"",INDEX('Compliance Database'!$H$2:$H$1369,MATCH(791,Engine!$C$2:$C$1369,0)))</f>
        <v/>
      </c>
      <c r="I804" s="9">
        <f>IF(ISNA(MATCH(791,Engine!$C$2:$C$1369,0)),"",INDEX('Compliance Database'!$I$2:$I$1369,MATCH(791,Engine!$C$2:$C$1369,0)))</f>
        <v/>
      </c>
      <c r="J804" s="8">
        <f>IF(ISNA(MATCH(791,Engine!$C$2:$C$1369,0)),"",INDEX('Compliance Database'!$J$2:$J$1369,MATCH(791,Engine!$C$2:$C$1369,0)))</f>
        <v/>
      </c>
      <c r="K804" s="9">
        <f>IF(ISNA(MATCH(791,Engine!$C$2:$C$1369,0)),"",INDEX('Compliance Database'!$K$2:$K$1369,MATCH(791,Engine!$C$2:$C$1369,0)))</f>
        <v/>
      </c>
      <c r="L804" s="9">
        <f>IF(ISNA(MATCH(791,Engine!$C$2:$C$1369,0)),"",INDEX('Compliance Database'!$L$2:$L$1369,MATCH(791,Engine!$C$2:$C$1369,0)))</f>
        <v/>
      </c>
      <c r="M804" s="9">
        <f>IF(ISNA(MATCH(791,Engine!$C$2:$C$1369,0)),"",INDEX('Compliance Database'!$M$2:$M$1369,MATCH(791,Engine!$C$2:$C$1369,0)))</f>
        <v/>
      </c>
      <c r="N804" s="9">
        <f>IF(ISNA(MATCH(791,Engine!$C$2:$C$1369,0)),"",INDEX('Compliance Database'!$N$2:$N$1369,MATCH(791,Engine!$C$2:$C$1369,0)))</f>
        <v/>
      </c>
      <c r="O804" s="8">
        <f>IF(ISNA(MATCH(791,Engine!$C$2:$C$1369,0)),"",HYPERLINK(INDEX('Compliance Database'!$O$2:$O$1369,MATCH(791,Engine!$C$2:$C$1369,0)),"Open PDF"))</f>
        <v/>
      </c>
    </row>
    <row r="805" ht="188" customHeight="1">
      <c r="A805" s="8">
        <f>IF(ISNA(MATCH(792,Engine!$C$2:$C$1369,0)),"",INDEX('Compliance Database'!$A$2:$A$1369,MATCH(792,Engine!$C$2:$C$1369,0)))</f>
        <v/>
      </c>
      <c r="B805" s="8">
        <f>IF(ISNA(MATCH(792,Engine!$C$2:$C$1369,0)),"",INDEX('Compliance Database'!$B$2:$B$1369,MATCH(792,Engine!$C$2:$C$1369,0)))</f>
        <v/>
      </c>
      <c r="C805" s="8">
        <f>IF(ISNA(MATCH(792,Engine!$C$2:$C$1369,0)),"",INDEX('Compliance Database'!$C$2:$C$1369,MATCH(792,Engine!$C$2:$C$1369,0)))</f>
        <v/>
      </c>
      <c r="D805" s="9">
        <f>IF(ISNA(MATCH(792,Engine!$C$2:$C$1369,0)),"",INDEX('Compliance Database'!$D$2:$D$1369,MATCH(792,Engine!$C$2:$C$1369,0)))</f>
        <v/>
      </c>
      <c r="E805" s="8">
        <f>IF(ISNA(MATCH(792,Engine!$C$2:$C$1369,0)),"",INDEX('Compliance Database'!$E$2:$E$1369,MATCH(792,Engine!$C$2:$C$1369,0)))</f>
        <v/>
      </c>
      <c r="F805" s="8">
        <f>IF(ISNA(MATCH(792,Engine!$C$2:$C$1369,0)),"",INDEX('Compliance Database'!$F$2:$F$1369,MATCH(792,Engine!$C$2:$C$1369,0)))</f>
        <v/>
      </c>
      <c r="G805" s="8">
        <f>IF(ISNA(MATCH(792,Engine!$C$2:$C$1369,0)),"",INDEX('Compliance Database'!$G$2:$G$1369,MATCH(792,Engine!$C$2:$C$1369,0)))</f>
        <v/>
      </c>
      <c r="H805" s="9">
        <f>IF(ISNA(MATCH(792,Engine!$C$2:$C$1369,0)),"",INDEX('Compliance Database'!$H$2:$H$1369,MATCH(792,Engine!$C$2:$C$1369,0)))</f>
        <v/>
      </c>
      <c r="I805" s="9">
        <f>IF(ISNA(MATCH(792,Engine!$C$2:$C$1369,0)),"",INDEX('Compliance Database'!$I$2:$I$1369,MATCH(792,Engine!$C$2:$C$1369,0)))</f>
        <v/>
      </c>
      <c r="J805" s="8">
        <f>IF(ISNA(MATCH(792,Engine!$C$2:$C$1369,0)),"",INDEX('Compliance Database'!$J$2:$J$1369,MATCH(792,Engine!$C$2:$C$1369,0)))</f>
        <v/>
      </c>
      <c r="K805" s="9">
        <f>IF(ISNA(MATCH(792,Engine!$C$2:$C$1369,0)),"",INDEX('Compliance Database'!$K$2:$K$1369,MATCH(792,Engine!$C$2:$C$1369,0)))</f>
        <v/>
      </c>
      <c r="L805" s="9">
        <f>IF(ISNA(MATCH(792,Engine!$C$2:$C$1369,0)),"",INDEX('Compliance Database'!$L$2:$L$1369,MATCH(792,Engine!$C$2:$C$1369,0)))</f>
        <v/>
      </c>
      <c r="M805" s="9">
        <f>IF(ISNA(MATCH(792,Engine!$C$2:$C$1369,0)),"",INDEX('Compliance Database'!$M$2:$M$1369,MATCH(792,Engine!$C$2:$C$1369,0)))</f>
        <v/>
      </c>
      <c r="N805" s="9">
        <f>IF(ISNA(MATCH(792,Engine!$C$2:$C$1369,0)),"",INDEX('Compliance Database'!$N$2:$N$1369,MATCH(792,Engine!$C$2:$C$1369,0)))</f>
        <v/>
      </c>
      <c r="O805" s="8">
        <f>IF(ISNA(MATCH(792,Engine!$C$2:$C$1369,0)),"",HYPERLINK(INDEX('Compliance Database'!$O$2:$O$1369,MATCH(792,Engine!$C$2:$C$1369,0)),"Open PDF"))</f>
        <v/>
      </c>
    </row>
    <row r="806" ht="188" customHeight="1">
      <c r="A806" s="8">
        <f>IF(ISNA(MATCH(793,Engine!$C$2:$C$1369,0)),"",INDEX('Compliance Database'!$A$2:$A$1369,MATCH(793,Engine!$C$2:$C$1369,0)))</f>
        <v/>
      </c>
      <c r="B806" s="8">
        <f>IF(ISNA(MATCH(793,Engine!$C$2:$C$1369,0)),"",INDEX('Compliance Database'!$B$2:$B$1369,MATCH(793,Engine!$C$2:$C$1369,0)))</f>
        <v/>
      </c>
      <c r="C806" s="8">
        <f>IF(ISNA(MATCH(793,Engine!$C$2:$C$1369,0)),"",INDEX('Compliance Database'!$C$2:$C$1369,MATCH(793,Engine!$C$2:$C$1369,0)))</f>
        <v/>
      </c>
      <c r="D806" s="9">
        <f>IF(ISNA(MATCH(793,Engine!$C$2:$C$1369,0)),"",INDEX('Compliance Database'!$D$2:$D$1369,MATCH(793,Engine!$C$2:$C$1369,0)))</f>
        <v/>
      </c>
      <c r="E806" s="8">
        <f>IF(ISNA(MATCH(793,Engine!$C$2:$C$1369,0)),"",INDEX('Compliance Database'!$E$2:$E$1369,MATCH(793,Engine!$C$2:$C$1369,0)))</f>
        <v/>
      </c>
      <c r="F806" s="8">
        <f>IF(ISNA(MATCH(793,Engine!$C$2:$C$1369,0)),"",INDEX('Compliance Database'!$F$2:$F$1369,MATCH(793,Engine!$C$2:$C$1369,0)))</f>
        <v/>
      </c>
      <c r="G806" s="8">
        <f>IF(ISNA(MATCH(793,Engine!$C$2:$C$1369,0)),"",INDEX('Compliance Database'!$G$2:$G$1369,MATCH(793,Engine!$C$2:$C$1369,0)))</f>
        <v/>
      </c>
      <c r="H806" s="9">
        <f>IF(ISNA(MATCH(793,Engine!$C$2:$C$1369,0)),"",INDEX('Compliance Database'!$H$2:$H$1369,MATCH(793,Engine!$C$2:$C$1369,0)))</f>
        <v/>
      </c>
      <c r="I806" s="9">
        <f>IF(ISNA(MATCH(793,Engine!$C$2:$C$1369,0)),"",INDEX('Compliance Database'!$I$2:$I$1369,MATCH(793,Engine!$C$2:$C$1369,0)))</f>
        <v/>
      </c>
      <c r="J806" s="8">
        <f>IF(ISNA(MATCH(793,Engine!$C$2:$C$1369,0)),"",INDEX('Compliance Database'!$J$2:$J$1369,MATCH(793,Engine!$C$2:$C$1369,0)))</f>
        <v/>
      </c>
      <c r="K806" s="9">
        <f>IF(ISNA(MATCH(793,Engine!$C$2:$C$1369,0)),"",INDEX('Compliance Database'!$K$2:$K$1369,MATCH(793,Engine!$C$2:$C$1369,0)))</f>
        <v/>
      </c>
      <c r="L806" s="9">
        <f>IF(ISNA(MATCH(793,Engine!$C$2:$C$1369,0)),"",INDEX('Compliance Database'!$L$2:$L$1369,MATCH(793,Engine!$C$2:$C$1369,0)))</f>
        <v/>
      </c>
      <c r="M806" s="9">
        <f>IF(ISNA(MATCH(793,Engine!$C$2:$C$1369,0)),"",INDEX('Compliance Database'!$M$2:$M$1369,MATCH(793,Engine!$C$2:$C$1369,0)))</f>
        <v/>
      </c>
      <c r="N806" s="9">
        <f>IF(ISNA(MATCH(793,Engine!$C$2:$C$1369,0)),"",INDEX('Compliance Database'!$N$2:$N$1369,MATCH(793,Engine!$C$2:$C$1369,0)))</f>
        <v/>
      </c>
      <c r="O806" s="8">
        <f>IF(ISNA(MATCH(793,Engine!$C$2:$C$1369,0)),"",HYPERLINK(INDEX('Compliance Database'!$O$2:$O$1369,MATCH(793,Engine!$C$2:$C$1369,0)),"Open PDF"))</f>
        <v/>
      </c>
    </row>
    <row r="807" ht="188" customHeight="1">
      <c r="A807" s="8">
        <f>IF(ISNA(MATCH(794,Engine!$C$2:$C$1369,0)),"",INDEX('Compliance Database'!$A$2:$A$1369,MATCH(794,Engine!$C$2:$C$1369,0)))</f>
        <v/>
      </c>
      <c r="B807" s="8">
        <f>IF(ISNA(MATCH(794,Engine!$C$2:$C$1369,0)),"",INDEX('Compliance Database'!$B$2:$B$1369,MATCH(794,Engine!$C$2:$C$1369,0)))</f>
        <v/>
      </c>
      <c r="C807" s="8">
        <f>IF(ISNA(MATCH(794,Engine!$C$2:$C$1369,0)),"",INDEX('Compliance Database'!$C$2:$C$1369,MATCH(794,Engine!$C$2:$C$1369,0)))</f>
        <v/>
      </c>
      <c r="D807" s="9">
        <f>IF(ISNA(MATCH(794,Engine!$C$2:$C$1369,0)),"",INDEX('Compliance Database'!$D$2:$D$1369,MATCH(794,Engine!$C$2:$C$1369,0)))</f>
        <v/>
      </c>
      <c r="E807" s="8">
        <f>IF(ISNA(MATCH(794,Engine!$C$2:$C$1369,0)),"",INDEX('Compliance Database'!$E$2:$E$1369,MATCH(794,Engine!$C$2:$C$1369,0)))</f>
        <v/>
      </c>
      <c r="F807" s="8">
        <f>IF(ISNA(MATCH(794,Engine!$C$2:$C$1369,0)),"",INDEX('Compliance Database'!$F$2:$F$1369,MATCH(794,Engine!$C$2:$C$1369,0)))</f>
        <v/>
      </c>
      <c r="G807" s="8">
        <f>IF(ISNA(MATCH(794,Engine!$C$2:$C$1369,0)),"",INDEX('Compliance Database'!$G$2:$G$1369,MATCH(794,Engine!$C$2:$C$1369,0)))</f>
        <v/>
      </c>
      <c r="H807" s="9">
        <f>IF(ISNA(MATCH(794,Engine!$C$2:$C$1369,0)),"",INDEX('Compliance Database'!$H$2:$H$1369,MATCH(794,Engine!$C$2:$C$1369,0)))</f>
        <v/>
      </c>
      <c r="I807" s="9">
        <f>IF(ISNA(MATCH(794,Engine!$C$2:$C$1369,0)),"",INDEX('Compliance Database'!$I$2:$I$1369,MATCH(794,Engine!$C$2:$C$1369,0)))</f>
        <v/>
      </c>
      <c r="J807" s="8">
        <f>IF(ISNA(MATCH(794,Engine!$C$2:$C$1369,0)),"",INDEX('Compliance Database'!$J$2:$J$1369,MATCH(794,Engine!$C$2:$C$1369,0)))</f>
        <v/>
      </c>
      <c r="K807" s="9">
        <f>IF(ISNA(MATCH(794,Engine!$C$2:$C$1369,0)),"",INDEX('Compliance Database'!$K$2:$K$1369,MATCH(794,Engine!$C$2:$C$1369,0)))</f>
        <v/>
      </c>
      <c r="L807" s="9">
        <f>IF(ISNA(MATCH(794,Engine!$C$2:$C$1369,0)),"",INDEX('Compliance Database'!$L$2:$L$1369,MATCH(794,Engine!$C$2:$C$1369,0)))</f>
        <v/>
      </c>
      <c r="M807" s="9">
        <f>IF(ISNA(MATCH(794,Engine!$C$2:$C$1369,0)),"",INDEX('Compliance Database'!$M$2:$M$1369,MATCH(794,Engine!$C$2:$C$1369,0)))</f>
        <v/>
      </c>
      <c r="N807" s="9">
        <f>IF(ISNA(MATCH(794,Engine!$C$2:$C$1369,0)),"",INDEX('Compliance Database'!$N$2:$N$1369,MATCH(794,Engine!$C$2:$C$1369,0)))</f>
        <v/>
      </c>
      <c r="O807" s="8">
        <f>IF(ISNA(MATCH(794,Engine!$C$2:$C$1369,0)),"",HYPERLINK(INDEX('Compliance Database'!$O$2:$O$1369,MATCH(794,Engine!$C$2:$C$1369,0)),"Open PDF"))</f>
        <v/>
      </c>
    </row>
    <row r="808" ht="188" customHeight="1">
      <c r="A808" s="8">
        <f>IF(ISNA(MATCH(795,Engine!$C$2:$C$1369,0)),"",INDEX('Compliance Database'!$A$2:$A$1369,MATCH(795,Engine!$C$2:$C$1369,0)))</f>
        <v/>
      </c>
      <c r="B808" s="8">
        <f>IF(ISNA(MATCH(795,Engine!$C$2:$C$1369,0)),"",INDEX('Compliance Database'!$B$2:$B$1369,MATCH(795,Engine!$C$2:$C$1369,0)))</f>
        <v/>
      </c>
      <c r="C808" s="8">
        <f>IF(ISNA(MATCH(795,Engine!$C$2:$C$1369,0)),"",INDEX('Compliance Database'!$C$2:$C$1369,MATCH(795,Engine!$C$2:$C$1369,0)))</f>
        <v/>
      </c>
      <c r="D808" s="9">
        <f>IF(ISNA(MATCH(795,Engine!$C$2:$C$1369,0)),"",INDEX('Compliance Database'!$D$2:$D$1369,MATCH(795,Engine!$C$2:$C$1369,0)))</f>
        <v/>
      </c>
      <c r="E808" s="8">
        <f>IF(ISNA(MATCH(795,Engine!$C$2:$C$1369,0)),"",INDEX('Compliance Database'!$E$2:$E$1369,MATCH(795,Engine!$C$2:$C$1369,0)))</f>
        <v/>
      </c>
      <c r="F808" s="8">
        <f>IF(ISNA(MATCH(795,Engine!$C$2:$C$1369,0)),"",INDEX('Compliance Database'!$F$2:$F$1369,MATCH(795,Engine!$C$2:$C$1369,0)))</f>
        <v/>
      </c>
      <c r="G808" s="8">
        <f>IF(ISNA(MATCH(795,Engine!$C$2:$C$1369,0)),"",INDEX('Compliance Database'!$G$2:$G$1369,MATCH(795,Engine!$C$2:$C$1369,0)))</f>
        <v/>
      </c>
      <c r="H808" s="9">
        <f>IF(ISNA(MATCH(795,Engine!$C$2:$C$1369,0)),"",INDEX('Compliance Database'!$H$2:$H$1369,MATCH(795,Engine!$C$2:$C$1369,0)))</f>
        <v/>
      </c>
      <c r="I808" s="9">
        <f>IF(ISNA(MATCH(795,Engine!$C$2:$C$1369,0)),"",INDEX('Compliance Database'!$I$2:$I$1369,MATCH(795,Engine!$C$2:$C$1369,0)))</f>
        <v/>
      </c>
      <c r="J808" s="8">
        <f>IF(ISNA(MATCH(795,Engine!$C$2:$C$1369,0)),"",INDEX('Compliance Database'!$J$2:$J$1369,MATCH(795,Engine!$C$2:$C$1369,0)))</f>
        <v/>
      </c>
      <c r="K808" s="9">
        <f>IF(ISNA(MATCH(795,Engine!$C$2:$C$1369,0)),"",INDEX('Compliance Database'!$K$2:$K$1369,MATCH(795,Engine!$C$2:$C$1369,0)))</f>
        <v/>
      </c>
      <c r="L808" s="9">
        <f>IF(ISNA(MATCH(795,Engine!$C$2:$C$1369,0)),"",INDEX('Compliance Database'!$L$2:$L$1369,MATCH(795,Engine!$C$2:$C$1369,0)))</f>
        <v/>
      </c>
      <c r="M808" s="9">
        <f>IF(ISNA(MATCH(795,Engine!$C$2:$C$1369,0)),"",INDEX('Compliance Database'!$M$2:$M$1369,MATCH(795,Engine!$C$2:$C$1369,0)))</f>
        <v/>
      </c>
      <c r="N808" s="9">
        <f>IF(ISNA(MATCH(795,Engine!$C$2:$C$1369,0)),"",INDEX('Compliance Database'!$N$2:$N$1369,MATCH(795,Engine!$C$2:$C$1369,0)))</f>
        <v/>
      </c>
      <c r="O808" s="8">
        <f>IF(ISNA(MATCH(795,Engine!$C$2:$C$1369,0)),"",HYPERLINK(INDEX('Compliance Database'!$O$2:$O$1369,MATCH(795,Engine!$C$2:$C$1369,0)),"Open PDF"))</f>
        <v/>
      </c>
    </row>
    <row r="809" ht="188" customHeight="1">
      <c r="A809" s="8">
        <f>IF(ISNA(MATCH(796,Engine!$C$2:$C$1369,0)),"",INDEX('Compliance Database'!$A$2:$A$1369,MATCH(796,Engine!$C$2:$C$1369,0)))</f>
        <v/>
      </c>
      <c r="B809" s="8">
        <f>IF(ISNA(MATCH(796,Engine!$C$2:$C$1369,0)),"",INDEX('Compliance Database'!$B$2:$B$1369,MATCH(796,Engine!$C$2:$C$1369,0)))</f>
        <v/>
      </c>
      <c r="C809" s="8">
        <f>IF(ISNA(MATCH(796,Engine!$C$2:$C$1369,0)),"",INDEX('Compliance Database'!$C$2:$C$1369,MATCH(796,Engine!$C$2:$C$1369,0)))</f>
        <v/>
      </c>
      <c r="D809" s="9">
        <f>IF(ISNA(MATCH(796,Engine!$C$2:$C$1369,0)),"",INDEX('Compliance Database'!$D$2:$D$1369,MATCH(796,Engine!$C$2:$C$1369,0)))</f>
        <v/>
      </c>
      <c r="E809" s="8">
        <f>IF(ISNA(MATCH(796,Engine!$C$2:$C$1369,0)),"",INDEX('Compliance Database'!$E$2:$E$1369,MATCH(796,Engine!$C$2:$C$1369,0)))</f>
        <v/>
      </c>
      <c r="F809" s="8">
        <f>IF(ISNA(MATCH(796,Engine!$C$2:$C$1369,0)),"",INDEX('Compliance Database'!$F$2:$F$1369,MATCH(796,Engine!$C$2:$C$1369,0)))</f>
        <v/>
      </c>
      <c r="G809" s="8">
        <f>IF(ISNA(MATCH(796,Engine!$C$2:$C$1369,0)),"",INDEX('Compliance Database'!$G$2:$G$1369,MATCH(796,Engine!$C$2:$C$1369,0)))</f>
        <v/>
      </c>
      <c r="H809" s="9">
        <f>IF(ISNA(MATCH(796,Engine!$C$2:$C$1369,0)),"",INDEX('Compliance Database'!$H$2:$H$1369,MATCH(796,Engine!$C$2:$C$1369,0)))</f>
        <v/>
      </c>
      <c r="I809" s="9">
        <f>IF(ISNA(MATCH(796,Engine!$C$2:$C$1369,0)),"",INDEX('Compliance Database'!$I$2:$I$1369,MATCH(796,Engine!$C$2:$C$1369,0)))</f>
        <v/>
      </c>
      <c r="J809" s="8">
        <f>IF(ISNA(MATCH(796,Engine!$C$2:$C$1369,0)),"",INDEX('Compliance Database'!$J$2:$J$1369,MATCH(796,Engine!$C$2:$C$1369,0)))</f>
        <v/>
      </c>
      <c r="K809" s="9">
        <f>IF(ISNA(MATCH(796,Engine!$C$2:$C$1369,0)),"",INDEX('Compliance Database'!$K$2:$K$1369,MATCH(796,Engine!$C$2:$C$1369,0)))</f>
        <v/>
      </c>
      <c r="L809" s="9">
        <f>IF(ISNA(MATCH(796,Engine!$C$2:$C$1369,0)),"",INDEX('Compliance Database'!$L$2:$L$1369,MATCH(796,Engine!$C$2:$C$1369,0)))</f>
        <v/>
      </c>
      <c r="M809" s="9">
        <f>IF(ISNA(MATCH(796,Engine!$C$2:$C$1369,0)),"",INDEX('Compliance Database'!$M$2:$M$1369,MATCH(796,Engine!$C$2:$C$1369,0)))</f>
        <v/>
      </c>
      <c r="N809" s="9">
        <f>IF(ISNA(MATCH(796,Engine!$C$2:$C$1369,0)),"",INDEX('Compliance Database'!$N$2:$N$1369,MATCH(796,Engine!$C$2:$C$1369,0)))</f>
        <v/>
      </c>
      <c r="O809" s="8">
        <f>IF(ISNA(MATCH(796,Engine!$C$2:$C$1369,0)),"",HYPERLINK(INDEX('Compliance Database'!$O$2:$O$1369,MATCH(796,Engine!$C$2:$C$1369,0)),"Open PDF"))</f>
        <v/>
      </c>
    </row>
    <row r="810" ht="188" customHeight="1">
      <c r="A810" s="8">
        <f>IF(ISNA(MATCH(797,Engine!$C$2:$C$1369,0)),"",INDEX('Compliance Database'!$A$2:$A$1369,MATCH(797,Engine!$C$2:$C$1369,0)))</f>
        <v/>
      </c>
      <c r="B810" s="8">
        <f>IF(ISNA(MATCH(797,Engine!$C$2:$C$1369,0)),"",INDEX('Compliance Database'!$B$2:$B$1369,MATCH(797,Engine!$C$2:$C$1369,0)))</f>
        <v/>
      </c>
      <c r="C810" s="8">
        <f>IF(ISNA(MATCH(797,Engine!$C$2:$C$1369,0)),"",INDEX('Compliance Database'!$C$2:$C$1369,MATCH(797,Engine!$C$2:$C$1369,0)))</f>
        <v/>
      </c>
      <c r="D810" s="9">
        <f>IF(ISNA(MATCH(797,Engine!$C$2:$C$1369,0)),"",INDEX('Compliance Database'!$D$2:$D$1369,MATCH(797,Engine!$C$2:$C$1369,0)))</f>
        <v/>
      </c>
      <c r="E810" s="8">
        <f>IF(ISNA(MATCH(797,Engine!$C$2:$C$1369,0)),"",INDEX('Compliance Database'!$E$2:$E$1369,MATCH(797,Engine!$C$2:$C$1369,0)))</f>
        <v/>
      </c>
      <c r="F810" s="8">
        <f>IF(ISNA(MATCH(797,Engine!$C$2:$C$1369,0)),"",INDEX('Compliance Database'!$F$2:$F$1369,MATCH(797,Engine!$C$2:$C$1369,0)))</f>
        <v/>
      </c>
      <c r="G810" s="8">
        <f>IF(ISNA(MATCH(797,Engine!$C$2:$C$1369,0)),"",INDEX('Compliance Database'!$G$2:$G$1369,MATCH(797,Engine!$C$2:$C$1369,0)))</f>
        <v/>
      </c>
      <c r="H810" s="9">
        <f>IF(ISNA(MATCH(797,Engine!$C$2:$C$1369,0)),"",INDEX('Compliance Database'!$H$2:$H$1369,MATCH(797,Engine!$C$2:$C$1369,0)))</f>
        <v/>
      </c>
      <c r="I810" s="9">
        <f>IF(ISNA(MATCH(797,Engine!$C$2:$C$1369,0)),"",INDEX('Compliance Database'!$I$2:$I$1369,MATCH(797,Engine!$C$2:$C$1369,0)))</f>
        <v/>
      </c>
      <c r="J810" s="8">
        <f>IF(ISNA(MATCH(797,Engine!$C$2:$C$1369,0)),"",INDEX('Compliance Database'!$J$2:$J$1369,MATCH(797,Engine!$C$2:$C$1369,0)))</f>
        <v/>
      </c>
      <c r="K810" s="9">
        <f>IF(ISNA(MATCH(797,Engine!$C$2:$C$1369,0)),"",INDEX('Compliance Database'!$K$2:$K$1369,MATCH(797,Engine!$C$2:$C$1369,0)))</f>
        <v/>
      </c>
      <c r="L810" s="9">
        <f>IF(ISNA(MATCH(797,Engine!$C$2:$C$1369,0)),"",INDEX('Compliance Database'!$L$2:$L$1369,MATCH(797,Engine!$C$2:$C$1369,0)))</f>
        <v/>
      </c>
      <c r="M810" s="9">
        <f>IF(ISNA(MATCH(797,Engine!$C$2:$C$1369,0)),"",INDEX('Compliance Database'!$M$2:$M$1369,MATCH(797,Engine!$C$2:$C$1369,0)))</f>
        <v/>
      </c>
      <c r="N810" s="9">
        <f>IF(ISNA(MATCH(797,Engine!$C$2:$C$1369,0)),"",INDEX('Compliance Database'!$N$2:$N$1369,MATCH(797,Engine!$C$2:$C$1369,0)))</f>
        <v/>
      </c>
      <c r="O810" s="8">
        <f>IF(ISNA(MATCH(797,Engine!$C$2:$C$1369,0)),"",HYPERLINK(INDEX('Compliance Database'!$O$2:$O$1369,MATCH(797,Engine!$C$2:$C$1369,0)),"Open PDF"))</f>
        <v/>
      </c>
    </row>
    <row r="811" ht="188" customHeight="1">
      <c r="A811" s="8">
        <f>IF(ISNA(MATCH(798,Engine!$C$2:$C$1369,0)),"",INDEX('Compliance Database'!$A$2:$A$1369,MATCH(798,Engine!$C$2:$C$1369,0)))</f>
        <v/>
      </c>
      <c r="B811" s="8">
        <f>IF(ISNA(MATCH(798,Engine!$C$2:$C$1369,0)),"",INDEX('Compliance Database'!$B$2:$B$1369,MATCH(798,Engine!$C$2:$C$1369,0)))</f>
        <v/>
      </c>
      <c r="C811" s="8">
        <f>IF(ISNA(MATCH(798,Engine!$C$2:$C$1369,0)),"",INDEX('Compliance Database'!$C$2:$C$1369,MATCH(798,Engine!$C$2:$C$1369,0)))</f>
        <v/>
      </c>
      <c r="D811" s="9">
        <f>IF(ISNA(MATCH(798,Engine!$C$2:$C$1369,0)),"",INDEX('Compliance Database'!$D$2:$D$1369,MATCH(798,Engine!$C$2:$C$1369,0)))</f>
        <v/>
      </c>
      <c r="E811" s="8">
        <f>IF(ISNA(MATCH(798,Engine!$C$2:$C$1369,0)),"",INDEX('Compliance Database'!$E$2:$E$1369,MATCH(798,Engine!$C$2:$C$1369,0)))</f>
        <v/>
      </c>
      <c r="F811" s="8">
        <f>IF(ISNA(MATCH(798,Engine!$C$2:$C$1369,0)),"",INDEX('Compliance Database'!$F$2:$F$1369,MATCH(798,Engine!$C$2:$C$1369,0)))</f>
        <v/>
      </c>
      <c r="G811" s="8">
        <f>IF(ISNA(MATCH(798,Engine!$C$2:$C$1369,0)),"",INDEX('Compliance Database'!$G$2:$G$1369,MATCH(798,Engine!$C$2:$C$1369,0)))</f>
        <v/>
      </c>
      <c r="H811" s="9">
        <f>IF(ISNA(MATCH(798,Engine!$C$2:$C$1369,0)),"",INDEX('Compliance Database'!$H$2:$H$1369,MATCH(798,Engine!$C$2:$C$1369,0)))</f>
        <v/>
      </c>
      <c r="I811" s="9">
        <f>IF(ISNA(MATCH(798,Engine!$C$2:$C$1369,0)),"",INDEX('Compliance Database'!$I$2:$I$1369,MATCH(798,Engine!$C$2:$C$1369,0)))</f>
        <v/>
      </c>
      <c r="J811" s="8">
        <f>IF(ISNA(MATCH(798,Engine!$C$2:$C$1369,0)),"",INDEX('Compliance Database'!$J$2:$J$1369,MATCH(798,Engine!$C$2:$C$1369,0)))</f>
        <v/>
      </c>
      <c r="K811" s="9">
        <f>IF(ISNA(MATCH(798,Engine!$C$2:$C$1369,0)),"",INDEX('Compliance Database'!$K$2:$K$1369,MATCH(798,Engine!$C$2:$C$1369,0)))</f>
        <v/>
      </c>
      <c r="L811" s="9">
        <f>IF(ISNA(MATCH(798,Engine!$C$2:$C$1369,0)),"",INDEX('Compliance Database'!$L$2:$L$1369,MATCH(798,Engine!$C$2:$C$1369,0)))</f>
        <v/>
      </c>
      <c r="M811" s="9">
        <f>IF(ISNA(MATCH(798,Engine!$C$2:$C$1369,0)),"",INDEX('Compliance Database'!$M$2:$M$1369,MATCH(798,Engine!$C$2:$C$1369,0)))</f>
        <v/>
      </c>
      <c r="N811" s="9">
        <f>IF(ISNA(MATCH(798,Engine!$C$2:$C$1369,0)),"",INDEX('Compliance Database'!$N$2:$N$1369,MATCH(798,Engine!$C$2:$C$1369,0)))</f>
        <v/>
      </c>
      <c r="O811" s="8">
        <f>IF(ISNA(MATCH(798,Engine!$C$2:$C$1369,0)),"",HYPERLINK(INDEX('Compliance Database'!$O$2:$O$1369,MATCH(798,Engine!$C$2:$C$1369,0)),"Open PDF"))</f>
        <v/>
      </c>
    </row>
    <row r="812" ht="188" customHeight="1">
      <c r="A812" s="8">
        <f>IF(ISNA(MATCH(799,Engine!$C$2:$C$1369,0)),"",INDEX('Compliance Database'!$A$2:$A$1369,MATCH(799,Engine!$C$2:$C$1369,0)))</f>
        <v/>
      </c>
      <c r="B812" s="8">
        <f>IF(ISNA(MATCH(799,Engine!$C$2:$C$1369,0)),"",INDEX('Compliance Database'!$B$2:$B$1369,MATCH(799,Engine!$C$2:$C$1369,0)))</f>
        <v/>
      </c>
      <c r="C812" s="8">
        <f>IF(ISNA(MATCH(799,Engine!$C$2:$C$1369,0)),"",INDEX('Compliance Database'!$C$2:$C$1369,MATCH(799,Engine!$C$2:$C$1369,0)))</f>
        <v/>
      </c>
      <c r="D812" s="9">
        <f>IF(ISNA(MATCH(799,Engine!$C$2:$C$1369,0)),"",INDEX('Compliance Database'!$D$2:$D$1369,MATCH(799,Engine!$C$2:$C$1369,0)))</f>
        <v/>
      </c>
      <c r="E812" s="8">
        <f>IF(ISNA(MATCH(799,Engine!$C$2:$C$1369,0)),"",INDEX('Compliance Database'!$E$2:$E$1369,MATCH(799,Engine!$C$2:$C$1369,0)))</f>
        <v/>
      </c>
      <c r="F812" s="8">
        <f>IF(ISNA(MATCH(799,Engine!$C$2:$C$1369,0)),"",INDEX('Compliance Database'!$F$2:$F$1369,MATCH(799,Engine!$C$2:$C$1369,0)))</f>
        <v/>
      </c>
      <c r="G812" s="8">
        <f>IF(ISNA(MATCH(799,Engine!$C$2:$C$1369,0)),"",INDEX('Compliance Database'!$G$2:$G$1369,MATCH(799,Engine!$C$2:$C$1369,0)))</f>
        <v/>
      </c>
      <c r="H812" s="9">
        <f>IF(ISNA(MATCH(799,Engine!$C$2:$C$1369,0)),"",INDEX('Compliance Database'!$H$2:$H$1369,MATCH(799,Engine!$C$2:$C$1369,0)))</f>
        <v/>
      </c>
      <c r="I812" s="9">
        <f>IF(ISNA(MATCH(799,Engine!$C$2:$C$1369,0)),"",INDEX('Compliance Database'!$I$2:$I$1369,MATCH(799,Engine!$C$2:$C$1369,0)))</f>
        <v/>
      </c>
      <c r="J812" s="8">
        <f>IF(ISNA(MATCH(799,Engine!$C$2:$C$1369,0)),"",INDEX('Compliance Database'!$J$2:$J$1369,MATCH(799,Engine!$C$2:$C$1369,0)))</f>
        <v/>
      </c>
      <c r="K812" s="9">
        <f>IF(ISNA(MATCH(799,Engine!$C$2:$C$1369,0)),"",INDEX('Compliance Database'!$K$2:$K$1369,MATCH(799,Engine!$C$2:$C$1369,0)))</f>
        <v/>
      </c>
      <c r="L812" s="9">
        <f>IF(ISNA(MATCH(799,Engine!$C$2:$C$1369,0)),"",INDEX('Compliance Database'!$L$2:$L$1369,MATCH(799,Engine!$C$2:$C$1369,0)))</f>
        <v/>
      </c>
      <c r="M812" s="9">
        <f>IF(ISNA(MATCH(799,Engine!$C$2:$C$1369,0)),"",INDEX('Compliance Database'!$M$2:$M$1369,MATCH(799,Engine!$C$2:$C$1369,0)))</f>
        <v/>
      </c>
      <c r="N812" s="9">
        <f>IF(ISNA(MATCH(799,Engine!$C$2:$C$1369,0)),"",INDEX('Compliance Database'!$N$2:$N$1369,MATCH(799,Engine!$C$2:$C$1369,0)))</f>
        <v/>
      </c>
      <c r="O812" s="8">
        <f>IF(ISNA(MATCH(799,Engine!$C$2:$C$1369,0)),"",HYPERLINK(INDEX('Compliance Database'!$O$2:$O$1369,MATCH(799,Engine!$C$2:$C$1369,0)),"Open PDF"))</f>
        <v/>
      </c>
    </row>
    <row r="813" ht="188" customHeight="1">
      <c r="A813" s="8">
        <f>IF(ISNA(MATCH(800,Engine!$C$2:$C$1369,0)),"",INDEX('Compliance Database'!$A$2:$A$1369,MATCH(800,Engine!$C$2:$C$1369,0)))</f>
        <v/>
      </c>
      <c r="B813" s="8">
        <f>IF(ISNA(MATCH(800,Engine!$C$2:$C$1369,0)),"",INDEX('Compliance Database'!$B$2:$B$1369,MATCH(800,Engine!$C$2:$C$1369,0)))</f>
        <v/>
      </c>
      <c r="C813" s="8">
        <f>IF(ISNA(MATCH(800,Engine!$C$2:$C$1369,0)),"",INDEX('Compliance Database'!$C$2:$C$1369,MATCH(800,Engine!$C$2:$C$1369,0)))</f>
        <v/>
      </c>
      <c r="D813" s="9">
        <f>IF(ISNA(MATCH(800,Engine!$C$2:$C$1369,0)),"",INDEX('Compliance Database'!$D$2:$D$1369,MATCH(800,Engine!$C$2:$C$1369,0)))</f>
        <v/>
      </c>
      <c r="E813" s="8">
        <f>IF(ISNA(MATCH(800,Engine!$C$2:$C$1369,0)),"",INDEX('Compliance Database'!$E$2:$E$1369,MATCH(800,Engine!$C$2:$C$1369,0)))</f>
        <v/>
      </c>
      <c r="F813" s="8">
        <f>IF(ISNA(MATCH(800,Engine!$C$2:$C$1369,0)),"",INDEX('Compliance Database'!$F$2:$F$1369,MATCH(800,Engine!$C$2:$C$1369,0)))</f>
        <v/>
      </c>
      <c r="G813" s="8">
        <f>IF(ISNA(MATCH(800,Engine!$C$2:$C$1369,0)),"",INDEX('Compliance Database'!$G$2:$G$1369,MATCH(800,Engine!$C$2:$C$1369,0)))</f>
        <v/>
      </c>
      <c r="H813" s="9">
        <f>IF(ISNA(MATCH(800,Engine!$C$2:$C$1369,0)),"",INDEX('Compliance Database'!$H$2:$H$1369,MATCH(800,Engine!$C$2:$C$1369,0)))</f>
        <v/>
      </c>
      <c r="I813" s="9">
        <f>IF(ISNA(MATCH(800,Engine!$C$2:$C$1369,0)),"",INDEX('Compliance Database'!$I$2:$I$1369,MATCH(800,Engine!$C$2:$C$1369,0)))</f>
        <v/>
      </c>
      <c r="J813" s="8">
        <f>IF(ISNA(MATCH(800,Engine!$C$2:$C$1369,0)),"",INDEX('Compliance Database'!$J$2:$J$1369,MATCH(800,Engine!$C$2:$C$1369,0)))</f>
        <v/>
      </c>
      <c r="K813" s="9">
        <f>IF(ISNA(MATCH(800,Engine!$C$2:$C$1369,0)),"",INDEX('Compliance Database'!$K$2:$K$1369,MATCH(800,Engine!$C$2:$C$1369,0)))</f>
        <v/>
      </c>
      <c r="L813" s="9">
        <f>IF(ISNA(MATCH(800,Engine!$C$2:$C$1369,0)),"",INDEX('Compliance Database'!$L$2:$L$1369,MATCH(800,Engine!$C$2:$C$1369,0)))</f>
        <v/>
      </c>
      <c r="M813" s="9">
        <f>IF(ISNA(MATCH(800,Engine!$C$2:$C$1369,0)),"",INDEX('Compliance Database'!$M$2:$M$1369,MATCH(800,Engine!$C$2:$C$1369,0)))</f>
        <v/>
      </c>
      <c r="N813" s="9">
        <f>IF(ISNA(MATCH(800,Engine!$C$2:$C$1369,0)),"",INDEX('Compliance Database'!$N$2:$N$1369,MATCH(800,Engine!$C$2:$C$1369,0)))</f>
        <v/>
      </c>
      <c r="O813" s="8">
        <f>IF(ISNA(MATCH(800,Engine!$C$2:$C$1369,0)),"",HYPERLINK(INDEX('Compliance Database'!$O$2:$O$1369,MATCH(800,Engine!$C$2:$C$1369,0)),"Open PDF"))</f>
        <v/>
      </c>
    </row>
    <row r="814" ht="188" customHeight="1">
      <c r="A814" s="8">
        <f>IF(ISNA(MATCH(801,Engine!$C$2:$C$1369,0)),"",INDEX('Compliance Database'!$A$2:$A$1369,MATCH(801,Engine!$C$2:$C$1369,0)))</f>
        <v/>
      </c>
      <c r="B814" s="8">
        <f>IF(ISNA(MATCH(801,Engine!$C$2:$C$1369,0)),"",INDEX('Compliance Database'!$B$2:$B$1369,MATCH(801,Engine!$C$2:$C$1369,0)))</f>
        <v/>
      </c>
      <c r="C814" s="8">
        <f>IF(ISNA(MATCH(801,Engine!$C$2:$C$1369,0)),"",INDEX('Compliance Database'!$C$2:$C$1369,MATCH(801,Engine!$C$2:$C$1369,0)))</f>
        <v/>
      </c>
      <c r="D814" s="9">
        <f>IF(ISNA(MATCH(801,Engine!$C$2:$C$1369,0)),"",INDEX('Compliance Database'!$D$2:$D$1369,MATCH(801,Engine!$C$2:$C$1369,0)))</f>
        <v/>
      </c>
      <c r="E814" s="8">
        <f>IF(ISNA(MATCH(801,Engine!$C$2:$C$1369,0)),"",INDEX('Compliance Database'!$E$2:$E$1369,MATCH(801,Engine!$C$2:$C$1369,0)))</f>
        <v/>
      </c>
      <c r="F814" s="8">
        <f>IF(ISNA(MATCH(801,Engine!$C$2:$C$1369,0)),"",INDEX('Compliance Database'!$F$2:$F$1369,MATCH(801,Engine!$C$2:$C$1369,0)))</f>
        <v/>
      </c>
      <c r="G814" s="8">
        <f>IF(ISNA(MATCH(801,Engine!$C$2:$C$1369,0)),"",INDEX('Compliance Database'!$G$2:$G$1369,MATCH(801,Engine!$C$2:$C$1369,0)))</f>
        <v/>
      </c>
      <c r="H814" s="9">
        <f>IF(ISNA(MATCH(801,Engine!$C$2:$C$1369,0)),"",INDEX('Compliance Database'!$H$2:$H$1369,MATCH(801,Engine!$C$2:$C$1369,0)))</f>
        <v/>
      </c>
      <c r="I814" s="9">
        <f>IF(ISNA(MATCH(801,Engine!$C$2:$C$1369,0)),"",INDEX('Compliance Database'!$I$2:$I$1369,MATCH(801,Engine!$C$2:$C$1369,0)))</f>
        <v/>
      </c>
      <c r="J814" s="8">
        <f>IF(ISNA(MATCH(801,Engine!$C$2:$C$1369,0)),"",INDEX('Compliance Database'!$J$2:$J$1369,MATCH(801,Engine!$C$2:$C$1369,0)))</f>
        <v/>
      </c>
      <c r="K814" s="9">
        <f>IF(ISNA(MATCH(801,Engine!$C$2:$C$1369,0)),"",INDEX('Compliance Database'!$K$2:$K$1369,MATCH(801,Engine!$C$2:$C$1369,0)))</f>
        <v/>
      </c>
      <c r="L814" s="9">
        <f>IF(ISNA(MATCH(801,Engine!$C$2:$C$1369,0)),"",INDEX('Compliance Database'!$L$2:$L$1369,MATCH(801,Engine!$C$2:$C$1369,0)))</f>
        <v/>
      </c>
      <c r="M814" s="9">
        <f>IF(ISNA(MATCH(801,Engine!$C$2:$C$1369,0)),"",INDEX('Compliance Database'!$M$2:$M$1369,MATCH(801,Engine!$C$2:$C$1369,0)))</f>
        <v/>
      </c>
      <c r="N814" s="9">
        <f>IF(ISNA(MATCH(801,Engine!$C$2:$C$1369,0)),"",INDEX('Compliance Database'!$N$2:$N$1369,MATCH(801,Engine!$C$2:$C$1369,0)))</f>
        <v/>
      </c>
      <c r="O814" s="8">
        <f>IF(ISNA(MATCH(801,Engine!$C$2:$C$1369,0)),"",HYPERLINK(INDEX('Compliance Database'!$O$2:$O$1369,MATCH(801,Engine!$C$2:$C$1369,0)),"Open PDF"))</f>
        <v/>
      </c>
    </row>
    <row r="815" ht="188" customHeight="1">
      <c r="A815" s="8">
        <f>IF(ISNA(MATCH(802,Engine!$C$2:$C$1369,0)),"",INDEX('Compliance Database'!$A$2:$A$1369,MATCH(802,Engine!$C$2:$C$1369,0)))</f>
        <v/>
      </c>
      <c r="B815" s="8">
        <f>IF(ISNA(MATCH(802,Engine!$C$2:$C$1369,0)),"",INDEX('Compliance Database'!$B$2:$B$1369,MATCH(802,Engine!$C$2:$C$1369,0)))</f>
        <v/>
      </c>
      <c r="C815" s="8">
        <f>IF(ISNA(MATCH(802,Engine!$C$2:$C$1369,0)),"",INDEX('Compliance Database'!$C$2:$C$1369,MATCH(802,Engine!$C$2:$C$1369,0)))</f>
        <v/>
      </c>
      <c r="D815" s="9">
        <f>IF(ISNA(MATCH(802,Engine!$C$2:$C$1369,0)),"",INDEX('Compliance Database'!$D$2:$D$1369,MATCH(802,Engine!$C$2:$C$1369,0)))</f>
        <v/>
      </c>
      <c r="E815" s="8">
        <f>IF(ISNA(MATCH(802,Engine!$C$2:$C$1369,0)),"",INDEX('Compliance Database'!$E$2:$E$1369,MATCH(802,Engine!$C$2:$C$1369,0)))</f>
        <v/>
      </c>
      <c r="F815" s="8">
        <f>IF(ISNA(MATCH(802,Engine!$C$2:$C$1369,0)),"",INDEX('Compliance Database'!$F$2:$F$1369,MATCH(802,Engine!$C$2:$C$1369,0)))</f>
        <v/>
      </c>
      <c r="G815" s="8">
        <f>IF(ISNA(MATCH(802,Engine!$C$2:$C$1369,0)),"",INDEX('Compliance Database'!$G$2:$G$1369,MATCH(802,Engine!$C$2:$C$1369,0)))</f>
        <v/>
      </c>
      <c r="H815" s="9">
        <f>IF(ISNA(MATCH(802,Engine!$C$2:$C$1369,0)),"",INDEX('Compliance Database'!$H$2:$H$1369,MATCH(802,Engine!$C$2:$C$1369,0)))</f>
        <v/>
      </c>
      <c r="I815" s="9">
        <f>IF(ISNA(MATCH(802,Engine!$C$2:$C$1369,0)),"",INDEX('Compliance Database'!$I$2:$I$1369,MATCH(802,Engine!$C$2:$C$1369,0)))</f>
        <v/>
      </c>
      <c r="J815" s="8">
        <f>IF(ISNA(MATCH(802,Engine!$C$2:$C$1369,0)),"",INDEX('Compliance Database'!$J$2:$J$1369,MATCH(802,Engine!$C$2:$C$1369,0)))</f>
        <v/>
      </c>
      <c r="K815" s="9">
        <f>IF(ISNA(MATCH(802,Engine!$C$2:$C$1369,0)),"",INDEX('Compliance Database'!$K$2:$K$1369,MATCH(802,Engine!$C$2:$C$1369,0)))</f>
        <v/>
      </c>
      <c r="L815" s="9">
        <f>IF(ISNA(MATCH(802,Engine!$C$2:$C$1369,0)),"",INDEX('Compliance Database'!$L$2:$L$1369,MATCH(802,Engine!$C$2:$C$1369,0)))</f>
        <v/>
      </c>
      <c r="M815" s="9">
        <f>IF(ISNA(MATCH(802,Engine!$C$2:$C$1369,0)),"",INDEX('Compliance Database'!$M$2:$M$1369,MATCH(802,Engine!$C$2:$C$1369,0)))</f>
        <v/>
      </c>
      <c r="N815" s="9">
        <f>IF(ISNA(MATCH(802,Engine!$C$2:$C$1369,0)),"",INDEX('Compliance Database'!$N$2:$N$1369,MATCH(802,Engine!$C$2:$C$1369,0)))</f>
        <v/>
      </c>
      <c r="O815" s="8">
        <f>IF(ISNA(MATCH(802,Engine!$C$2:$C$1369,0)),"",HYPERLINK(INDEX('Compliance Database'!$O$2:$O$1369,MATCH(802,Engine!$C$2:$C$1369,0)),"Open PDF"))</f>
        <v/>
      </c>
    </row>
    <row r="816" ht="188" customHeight="1">
      <c r="A816" s="8">
        <f>IF(ISNA(MATCH(803,Engine!$C$2:$C$1369,0)),"",INDEX('Compliance Database'!$A$2:$A$1369,MATCH(803,Engine!$C$2:$C$1369,0)))</f>
        <v/>
      </c>
      <c r="B816" s="8">
        <f>IF(ISNA(MATCH(803,Engine!$C$2:$C$1369,0)),"",INDEX('Compliance Database'!$B$2:$B$1369,MATCH(803,Engine!$C$2:$C$1369,0)))</f>
        <v/>
      </c>
      <c r="C816" s="8">
        <f>IF(ISNA(MATCH(803,Engine!$C$2:$C$1369,0)),"",INDEX('Compliance Database'!$C$2:$C$1369,MATCH(803,Engine!$C$2:$C$1369,0)))</f>
        <v/>
      </c>
      <c r="D816" s="9">
        <f>IF(ISNA(MATCH(803,Engine!$C$2:$C$1369,0)),"",INDEX('Compliance Database'!$D$2:$D$1369,MATCH(803,Engine!$C$2:$C$1369,0)))</f>
        <v/>
      </c>
      <c r="E816" s="8">
        <f>IF(ISNA(MATCH(803,Engine!$C$2:$C$1369,0)),"",INDEX('Compliance Database'!$E$2:$E$1369,MATCH(803,Engine!$C$2:$C$1369,0)))</f>
        <v/>
      </c>
      <c r="F816" s="8">
        <f>IF(ISNA(MATCH(803,Engine!$C$2:$C$1369,0)),"",INDEX('Compliance Database'!$F$2:$F$1369,MATCH(803,Engine!$C$2:$C$1369,0)))</f>
        <v/>
      </c>
      <c r="G816" s="8">
        <f>IF(ISNA(MATCH(803,Engine!$C$2:$C$1369,0)),"",INDEX('Compliance Database'!$G$2:$G$1369,MATCH(803,Engine!$C$2:$C$1369,0)))</f>
        <v/>
      </c>
      <c r="H816" s="9">
        <f>IF(ISNA(MATCH(803,Engine!$C$2:$C$1369,0)),"",INDEX('Compliance Database'!$H$2:$H$1369,MATCH(803,Engine!$C$2:$C$1369,0)))</f>
        <v/>
      </c>
      <c r="I816" s="9">
        <f>IF(ISNA(MATCH(803,Engine!$C$2:$C$1369,0)),"",INDEX('Compliance Database'!$I$2:$I$1369,MATCH(803,Engine!$C$2:$C$1369,0)))</f>
        <v/>
      </c>
      <c r="J816" s="8">
        <f>IF(ISNA(MATCH(803,Engine!$C$2:$C$1369,0)),"",INDEX('Compliance Database'!$J$2:$J$1369,MATCH(803,Engine!$C$2:$C$1369,0)))</f>
        <v/>
      </c>
      <c r="K816" s="9">
        <f>IF(ISNA(MATCH(803,Engine!$C$2:$C$1369,0)),"",INDEX('Compliance Database'!$K$2:$K$1369,MATCH(803,Engine!$C$2:$C$1369,0)))</f>
        <v/>
      </c>
      <c r="L816" s="9">
        <f>IF(ISNA(MATCH(803,Engine!$C$2:$C$1369,0)),"",INDEX('Compliance Database'!$L$2:$L$1369,MATCH(803,Engine!$C$2:$C$1369,0)))</f>
        <v/>
      </c>
      <c r="M816" s="9">
        <f>IF(ISNA(MATCH(803,Engine!$C$2:$C$1369,0)),"",INDEX('Compliance Database'!$M$2:$M$1369,MATCH(803,Engine!$C$2:$C$1369,0)))</f>
        <v/>
      </c>
      <c r="N816" s="9">
        <f>IF(ISNA(MATCH(803,Engine!$C$2:$C$1369,0)),"",INDEX('Compliance Database'!$N$2:$N$1369,MATCH(803,Engine!$C$2:$C$1369,0)))</f>
        <v/>
      </c>
      <c r="O816" s="8">
        <f>IF(ISNA(MATCH(803,Engine!$C$2:$C$1369,0)),"",HYPERLINK(INDEX('Compliance Database'!$O$2:$O$1369,MATCH(803,Engine!$C$2:$C$1369,0)),"Open PDF"))</f>
        <v/>
      </c>
    </row>
    <row r="817" ht="188" customHeight="1">
      <c r="A817" s="8">
        <f>IF(ISNA(MATCH(804,Engine!$C$2:$C$1369,0)),"",INDEX('Compliance Database'!$A$2:$A$1369,MATCH(804,Engine!$C$2:$C$1369,0)))</f>
        <v/>
      </c>
      <c r="B817" s="8">
        <f>IF(ISNA(MATCH(804,Engine!$C$2:$C$1369,0)),"",INDEX('Compliance Database'!$B$2:$B$1369,MATCH(804,Engine!$C$2:$C$1369,0)))</f>
        <v/>
      </c>
      <c r="C817" s="8">
        <f>IF(ISNA(MATCH(804,Engine!$C$2:$C$1369,0)),"",INDEX('Compliance Database'!$C$2:$C$1369,MATCH(804,Engine!$C$2:$C$1369,0)))</f>
        <v/>
      </c>
      <c r="D817" s="9">
        <f>IF(ISNA(MATCH(804,Engine!$C$2:$C$1369,0)),"",INDEX('Compliance Database'!$D$2:$D$1369,MATCH(804,Engine!$C$2:$C$1369,0)))</f>
        <v/>
      </c>
      <c r="E817" s="8">
        <f>IF(ISNA(MATCH(804,Engine!$C$2:$C$1369,0)),"",INDEX('Compliance Database'!$E$2:$E$1369,MATCH(804,Engine!$C$2:$C$1369,0)))</f>
        <v/>
      </c>
      <c r="F817" s="8">
        <f>IF(ISNA(MATCH(804,Engine!$C$2:$C$1369,0)),"",INDEX('Compliance Database'!$F$2:$F$1369,MATCH(804,Engine!$C$2:$C$1369,0)))</f>
        <v/>
      </c>
      <c r="G817" s="8">
        <f>IF(ISNA(MATCH(804,Engine!$C$2:$C$1369,0)),"",INDEX('Compliance Database'!$G$2:$G$1369,MATCH(804,Engine!$C$2:$C$1369,0)))</f>
        <v/>
      </c>
      <c r="H817" s="9">
        <f>IF(ISNA(MATCH(804,Engine!$C$2:$C$1369,0)),"",INDEX('Compliance Database'!$H$2:$H$1369,MATCH(804,Engine!$C$2:$C$1369,0)))</f>
        <v/>
      </c>
      <c r="I817" s="9">
        <f>IF(ISNA(MATCH(804,Engine!$C$2:$C$1369,0)),"",INDEX('Compliance Database'!$I$2:$I$1369,MATCH(804,Engine!$C$2:$C$1369,0)))</f>
        <v/>
      </c>
      <c r="J817" s="8">
        <f>IF(ISNA(MATCH(804,Engine!$C$2:$C$1369,0)),"",INDEX('Compliance Database'!$J$2:$J$1369,MATCH(804,Engine!$C$2:$C$1369,0)))</f>
        <v/>
      </c>
      <c r="K817" s="9">
        <f>IF(ISNA(MATCH(804,Engine!$C$2:$C$1369,0)),"",INDEX('Compliance Database'!$K$2:$K$1369,MATCH(804,Engine!$C$2:$C$1369,0)))</f>
        <v/>
      </c>
      <c r="L817" s="9">
        <f>IF(ISNA(MATCH(804,Engine!$C$2:$C$1369,0)),"",INDEX('Compliance Database'!$L$2:$L$1369,MATCH(804,Engine!$C$2:$C$1369,0)))</f>
        <v/>
      </c>
      <c r="M817" s="9">
        <f>IF(ISNA(MATCH(804,Engine!$C$2:$C$1369,0)),"",INDEX('Compliance Database'!$M$2:$M$1369,MATCH(804,Engine!$C$2:$C$1369,0)))</f>
        <v/>
      </c>
      <c r="N817" s="9">
        <f>IF(ISNA(MATCH(804,Engine!$C$2:$C$1369,0)),"",INDEX('Compliance Database'!$N$2:$N$1369,MATCH(804,Engine!$C$2:$C$1369,0)))</f>
        <v/>
      </c>
      <c r="O817" s="8">
        <f>IF(ISNA(MATCH(804,Engine!$C$2:$C$1369,0)),"",HYPERLINK(INDEX('Compliance Database'!$O$2:$O$1369,MATCH(804,Engine!$C$2:$C$1369,0)),"Open PDF"))</f>
        <v/>
      </c>
    </row>
    <row r="818" ht="188" customHeight="1">
      <c r="A818" s="8">
        <f>IF(ISNA(MATCH(805,Engine!$C$2:$C$1369,0)),"",INDEX('Compliance Database'!$A$2:$A$1369,MATCH(805,Engine!$C$2:$C$1369,0)))</f>
        <v/>
      </c>
      <c r="B818" s="8">
        <f>IF(ISNA(MATCH(805,Engine!$C$2:$C$1369,0)),"",INDEX('Compliance Database'!$B$2:$B$1369,MATCH(805,Engine!$C$2:$C$1369,0)))</f>
        <v/>
      </c>
      <c r="C818" s="8">
        <f>IF(ISNA(MATCH(805,Engine!$C$2:$C$1369,0)),"",INDEX('Compliance Database'!$C$2:$C$1369,MATCH(805,Engine!$C$2:$C$1369,0)))</f>
        <v/>
      </c>
      <c r="D818" s="9">
        <f>IF(ISNA(MATCH(805,Engine!$C$2:$C$1369,0)),"",INDEX('Compliance Database'!$D$2:$D$1369,MATCH(805,Engine!$C$2:$C$1369,0)))</f>
        <v/>
      </c>
      <c r="E818" s="8">
        <f>IF(ISNA(MATCH(805,Engine!$C$2:$C$1369,0)),"",INDEX('Compliance Database'!$E$2:$E$1369,MATCH(805,Engine!$C$2:$C$1369,0)))</f>
        <v/>
      </c>
      <c r="F818" s="8">
        <f>IF(ISNA(MATCH(805,Engine!$C$2:$C$1369,0)),"",INDEX('Compliance Database'!$F$2:$F$1369,MATCH(805,Engine!$C$2:$C$1369,0)))</f>
        <v/>
      </c>
      <c r="G818" s="8">
        <f>IF(ISNA(MATCH(805,Engine!$C$2:$C$1369,0)),"",INDEX('Compliance Database'!$G$2:$G$1369,MATCH(805,Engine!$C$2:$C$1369,0)))</f>
        <v/>
      </c>
      <c r="H818" s="9">
        <f>IF(ISNA(MATCH(805,Engine!$C$2:$C$1369,0)),"",INDEX('Compliance Database'!$H$2:$H$1369,MATCH(805,Engine!$C$2:$C$1369,0)))</f>
        <v/>
      </c>
      <c r="I818" s="9">
        <f>IF(ISNA(MATCH(805,Engine!$C$2:$C$1369,0)),"",INDEX('Compliance Database'!$I$2:$I$1369,MATCH(805,Engine!$C$2:$C$1369,0)))</f>
        <v/>
      </c>
      <c r="J818" s="8">
        <f>IF(ISNA(MATCH(805,Engine!$C$2:$C$1369,0)),"",INDEX('Compliance Database'!$J$2:$J$1369,MATCH(805,Engine!$C$2:$C$1369,0)))</f>
        <v/>
      </c>
      <c r="K818" s="9">
        <f>IF(ISNA(MATCH(805,Engine!$C$2:$C$1369,0)),"",INDEX('Compliance Database'!$K$2:$K$1369,MATCH(805,Engine!$C$2:$C$1369,0)))</f>
        <v/>
      </c>
      <c r="L818" s="9">
        <f>IF(ISNA(MATCH(805,Engine!$C$2:$C$1369,0)),"",INDEX('Compliance Database'!$L$2:$L$1369,MATCH(805,Engine!$C$2:$C$1369,0)))</f>
        <v/>
      </c>
      <c r="M818" s="9">
        <f>IF(ISNA(MATCH(805,Engine!$C$2:$C$1369,0)),"",INDEX('Compliance Database'!$M$2:$M$1369,MATCH(805,Engine!$C$2:$C$1369,0)))</f>
        <v/>
      </c>
      <c r="N818" s="9">
        <f>IF(ISNA(MATCH(805,Engine!$C$2:$C$1369,0)),"",INDEX('Compliance Database'!$N$2:$N$1369,MATCH(805,Engine!$C$2:$C$1369,0)))</f>
        <v/>
      </c>
      <c r="O818" s="8">
        <f>IF(ISNA(MATCH(805,Engine!$C$2:$C$1369,0)),"",HYPERLINK(INDEX('Compliance Database'!$O$2:$O$1369,MATCH(805,Engine!$C$2:$C$1369,0)),"Open PDF"))</f>
        <v/>
      </c>
    </row>
    <row r="819" ht="188" customHeight="1">
      <c r="A819" s="8">
        <f>IF(ISNA(MATCH(806,Engine!$C$2:$C$1369,0)),"",INDEX('Compliance Database'!$A$2:$A$1369,MATCH(806,Engine!$C$2:$C$1369,0)))</f>
        <v/>
      </c>
      <c r="B819" s="8">
        <f>IF(ISNA(MATCH(806,Engine!$C$2:$C$1369,0)),"",INDEX('Compliance Database'!$B$2:$B$1369,MATCH(806,Engine!$C$2:$C$1369,0)))</f>
        <v/>
      </c>
      <c r="C819" s="8">
        <f>IF(ISNA(MATCH(806,Engine!$C$2:$C$1369,0)),"",INDEX('Compliance Database'!$C$2:$C$1369,MATCH(806,Engine!$C$2:$C$1369,0)))</f>
        <v/>
      </c>
      <c r="D819" s="9">
        <f>IF(ISNA(MATCH(806,Engine!$C$2:$C$1369,0)),"",INDEX('Compliance Database'!$D$2:$D$1369,MATCH(806,Engine!$C$2:$C$1369,0)))</f>
        <v/>
      </c>
      <c r="E819" s="8">
        <f>IF(ISNA(MATCH(806,Engine!$C$2:$C$1369,0)),"",INDEX('Compliance Database'!$E$2:$E$1369,MATCH(806,Engine!$C$2:$C$1369,0)))</f>
        <v/>
      </c>
      <c r="F819" s="8">
        <f>IF(ISNA(MATCH(806,Engine!$C$2:$C$1369,0)),"",INDEX('Compliance Database'!$F$2:$F$1369,MATCH(806,Engine!$C$2:$C$1369,0)))</f>
        <v/>
      </c>
      <c r="G819" s="8">
        <f>IF(ISNA(MATCH(806,Engine!$C$2:$C$1369,0)),"",INDEX('Compliance Database'!$G$2:$G$1369,MATCH(806,Engine!$C$2:$C$1369,0)))</f>
        <v/>
      </c>
      <c r="H819" s="9">
        <f>IF(ISNA(MATCH(806,Engine!$C$2:$C$1369,0)),"",INDEX('Compliance Database'!$H$2:$H$1369,MATCH(806,Engine!$C$2:$C$1369,0)))</f>
        <v/>
      </c>
      <c r="I819" s="9">
        <f>IF(ISNA(MATCH(806,Engine!$C$2:$C$1369,0)),"",INDEX('Compliance Database'!$I$2:$I$1369,MATCH(806,Engine!$C$2:$C$1369,0)))</f>
        <v/>
      </c>
      <c r="J819" s="8">
        <f>IF(ISNA(MATCH(806,Engine!$C$2:$C$1369,0)),"",INDEX('Compliance Database'!$J$2:$J$1369,MATCH(806,Engine!$C$2:$C$1369,0)))</f>
        <v/>
      </c>
      <c r="K819" s="9">
        <f>IF(ISNA(MATCH(806,Engine!$C$2:$C$1369,0)),"",INDEX('Compliance Database'!$K$2:$K$1369,MATCH(806,Engine!$C$2:$C$1369,0)))</f>
        <v/>
      </c>
      <c r="L819" s="9">
        <f>IF(ISNA(MATCH(806,Engine!$C$2:$C$1369,0)),"",INDEX('Compliance Database'!$L$2:$L$1369,MATCH(806,Engine!$C$2:$C$1369,0)))</f>
        <v/>
      </c>
      <c r="M819" s="9">
        <f>IF(ISNA(MATCH(806,Engine!$C$2:$C$1369,0)),"",INDEX('Compliance Database'!$M$2:$M$1369,MATCH(806,Engine!$C$2:$C$1369,0)))</f>
        <v/>
      </c>
      <c r="N819" s="9">
        <f>IF(ISNA(MATCH(806,Engine!$C$2:$C$1369,0)),"",INDEX('Compliance Database'!$N$2:$N$1369,MATCH(806,Engine!$C$2:$C$1369,0)))</f>
        <v/>
      </c>
      <c r="O819" s="8">
        <f>IF(ISNA(MATCH(806,Engine!$C$2:$C$1369,0)),"",HYPERLINK(INDEX('Compliance Database'!$O$2:$O$1369,MATCH(806,Engine!$C$2:$C$1369,0)),"Open PDF"))</f>
        <v/>
      </c>
    </row>
    <row r="820" ht="188" customHeight="1">
      <c r="A820" s="8">
        <f>IF(ISNA(MATCH(807,Engine!$C$2:$C$1369,0)),"",INDEX('Compliance Database'!$A$2:$A$1369,MATCH(807,Engine!$C$2:$C$1369,0)))</f>
        <v/>
      </c>
      <c r="B820" s="8">
        <f>IF(ISNA(MATCH(807,Engine!$C$2:$C$1369,0)),"",INDEX('Compliance Database'!$B$2:$B$1369,MATCH(807,Engine!$C$2:$C$1369,0)))</f>
        <v/>
      </c>
      <c r="C820" s="8">
        <f>IF(ISNA(MATCH(807,Engine!$C$2:$C$1369,0)),"",INDEX('Compliance Database'!$C$2:$C$1369,MATCH(807,Engine!$C$2:$C$1369,0)))</f>
        <v/>
      </c>
      <c r="D820" s="9">
        <f>IF(ISNA(MATCH(807,Engine!$C$2:$C$1369,0)),"",INDEX('Compliance Database'!$D$2:$D$1369,MATCH(807,Engine!$C$2:$C$1369,0)))</f>
        <v/>
      </c>
      <c r="E820" s="8">
        <f>IF(ISNA(MATCH(807,Engine!$C$2:$C$1369,0)),"",INDEX('Compliance Database'!$E$2:$E$1369,MATCH(807,Engine!$C$2:$C$1369,0)))</f>
        <v/>
      </c>
      <c r="F820" s="8">
        <f>IF(ISNA(MATCH(807,Engine!$C$2:$C$1369,0)),"",INDEX('Compliance Database'!$F$2:$F$1369,MATCH(807,Engine!$C$2:$C$1369,0)))</f>
        <v/>
      </c>
      <c r="G820" s="8">
        <f>IF(ISNA(MATCH(807,Engine!$C$2:$C$1369,0)),"",INDEX('Compliance Database'!$G$2:$G$1369,MATCH(807,Engine!$C$2:$C$1369,0)))</f>
        <v/>
      </c>
      <c r="H820" s="9">
        <f>IF(ISNA(MATCH(807,Engine!$C$2:$C$1369,0)),"",INDEX('Compliance Database'!$H$2:$H$1369,MATCH(807,Engine!$C$2:$C$1369,0)))</f>
        <v/>
      </c>
      <c r="I820" s="9">
        <f>IF(ISNA(MATCH(807,Engine!$C$2:$C$1369,0)),"",INDEX('Compliance Database'!$I$2:$I$1369,MATCH(807,Engine!$C$2:$C$1369,0)))</f>
        <v/>
      </c>
      <c r="J820" s="8">
        <f>IF(ISNA(MATCH(807,Engine!$C$2:$C$1369,0)),"",INDEX('Compliance Database'!$J$2:$J$1369,MATCH(807,Engine!$C$2:$C$1369,0)))</f>
        <v/>
      </c>
      <c r="K820" s="9">
        <f>IF(ISNA(MATCH(807,Engine!$C$2:$C$1369,0)),"",INDEX('Compliance Database'!$K$2:$K$1369,MATCH(807,Engine!$C$2:$C$1369,0)))</f>
        <v/>
      </c>
      <c r="L820" s="9">
        <f>IF(ISNA(MATCH(807,Engine!$C$2:$C$1369,0)),"",INDEX('Compliance Database'!$L$2:$L$1369,MATCH(807,Engine!$C$2:$C$1369,0)))</f>
        <v/>
      </c>
      <c r="M820" s="9">
        <f>IF(ISNA(MATCH(807,Engine!$C$2:$C$1369,0)),"",INDEX('Compliance Database'!$M$2:$M$1369,MATCH(807,Engine!$C$2:$C$1369,0)))</f>
        <v/>
      </c>
      <c r="N820" s="9">
        <f>IF(ISNA(MATCH(807,Engine!$C$2:$C$1369,0)),"",INDEX('Compliance Database'!$N$2:$N$1369,MATCH(807,Engine!$C$2:$C$1369,0)))</f>
        <v/>
      </c>
      <c r="O820" s="8">
        <f>IF(ISNA(MATCH(807,Engine!$C$2:$C$1369,0)),"",HYPERLINK(INDEX('Compliance Database'!$O$2:$O$1369,MATCH(807,Engine!$C$2:$C$1369,0)),"Open PDF"))</f>
        <v/>
      </c>
    </row>
    <row r="821" ht="188" customHeight="1">
      <c r="A821" s="8">
        <f>IF(ISNA(MATCH(808,Engine!$C$2:$C$1369,0)),"",INDEX('Compliance Database'!$A$2:$A$1369,MATCH(808,Engine!$C$2:$C$1369,0)))</f>
        <v/>
      </c>
      <c r="B821" s="8">
        <f>IF(ISNA(MATCH(808,Engine!$C$2:$C$1369,0)),"",INDEX('Compliance Database'!$B$2:$B$1369,MATCH(808,Engine!$C$2:$C$1369,0)))</f>
        <v/>
      </c>
      <c r="C821" s="8">
        <f>IF(ISNA(MATCH(808,Engine!$C$2:$C$1369,0)),"",INDEX('Compliance Database'!$C$2:$C$1369,MATCH(808,Engine!$C$2:$C$1369,0)))</f>
        <v/>
      </c>
      <c r="D821" s="9">
        <f>IF(ISNA(MATCH(808,Engine!$C$2:$C$1369,0)),"",INDEX('Compliance Database'!$D$2:$D$1369,MATCH(808,Engine!$C$2:$C$1369,0)))</f>
        <v/>
      </c>
      <c r="E821" s="8">
        <f>IF(ISNA(MATCH(808,Engine!$C$2:$C$1369,0)),"",INDEX('Compliance Database'!$E$2:$E$1369,MATCH(808,Engine!$C$2:$C$1369,0)))</f>
        <v/>
      </c>
      <c r="F821" s="8">
        <f>IF(ISNA(MATCH(808,Engine!$C$2:$C$1369,0)),"",INDEX('Compliance Database'!$F$2:$F$1369,MATCH(808,Engine!$C$2:$C$1369,0)))</f>
        <v/>
      </c>
      <c r="G821" s="8">
        <f>IF(ISNA(MATCH(808,Engine!$C$2:$C$1369,0)),"",INDEX('Compliance Database'!$G$2:$G$1369,MATCH(808,Engine!$C$2:$C$1369,0)))</f>
        <v/>
      </c>
      <c r="H821" s="9">
        <f>IF(ISNA(MATCH(808,Engine!$C$2:$C$1369,0)),"",INDEX('Compliance Database'!$H$2:$H$1369,MATCH(808,Engine!$C$2:$C$1369,0)))</f>
        <v/>
      </c>
      <c r="I821" s="9">
        <f>IF(ISNA(MATCH(808,Engine!$C$2:$C$1369,0)),"",INDEX('Compliance Database'!$I$2:$I$1369,MATCH(808,Engine!$C$2:$C$1369,0)))</f>
        <v/>
      </c>
      <c r="J821" s="8">
        <f>IF(ISNA(MATCH(808,Engine!$C$2:$C$1369,0)),"",INDEX('Compliance Database'!$J$2:$J$1369,MATCH(808,Engine!$C$2:$C$1369,0)))</f>
        <v/>
      </c>
      <c r="K821" s="9">
        <f>IF(ISNA(MATCH(808,Engine!$C$2:$C$1369,0)),"",INDEX('Compliance Database'!$K$2:$K$1369,MATCH(808,Engine!$C$2:$C$1369,0)))</f>
        <v/>
      </c>
      <c r="L821" s="9">
        <f>IF(ISNA(MATCH(808,Engine!$C$2:$C$1369,0)),"",INDEX('Compliance Database'!$L$2:$L$1369,MATCH(808,Engine!$C$2:$C$1369,0)))</f>
        <v/>
      </c>
      <c r="M821" s="9">
        <f>IF(ISNA(MATCH(808,Engine!$C$2:$C$1369,0)),"",INDEX('Compliance Database'!$M$2:$M$1369,MATCH(808,Engine!$C$2:$C$1369,0)))</f>
        <v/>
      </c>
      <c r="N821" s="9">
        <f>IF(ISNA(MATCH(808,Engine!$C$2:$C$1369,0)),"",INDEX('Compliance Database'!$N$2:$N$1369,MATCH(808,Engine!$C$2:$C$1369,0)))</f>
        <v/>
      </c>
      <c r="O821" s="8">
        <f>IF(ISNA(MATCH(808,Engine!$C$2:$C$1369,0)),"",HYPERLINK(INDEX('Compliance Database'!$O$2:$O$1369,MATCH(808,Engine!$C$2:$C$1369,0)),"Open PDF"))</f>
        <v/>
      </c>
    </row>
    <row r="822" ht="188" customHeight="1">
      <c r="A822" s="8">
        <f>IF(ISNA(MATCH(809,Engine!$C$2:$C$1369,0)),"",INDEX('Compliance Database'!$A$2:$A$1369,MATCH(809,Engine!$C$2:$C$1369,0)))</f>
        <v/>
      </c>
      <c r="B822" s="8">
        <f>IF(ISNA(MATCH(809,Engine!$C$2:$C$1369,0)),"",INDEX('Compliance Database'!$B$2:$B$1369,MATCH(809,Engine!$C$2:$C$1369,0)))</f>
        <v/>
      </c>
      <c r="C822" s="8">
        <f>IF(ISNA(MATCH(809,Engine!$C$2:$C$1369,0)),"",INDEX('Compliance Database'!$C$2:$C$1369,MATCH(809,Engine!$C$2:$C$1369,0)))</f>
        <v/>
      </c>
      <c r="D822" s="9">
        <f>IF(ISNA(MATCH(809,Engine!$C$2:$C$1369,0)),"",INDEX('Compliance Database'!$D$2:$D$1369,MATCH(809,Engine!$C$2:$C$1369,0)))</f>
        <v/>
      </c>
      <c r="E822" s="8">
        <f>IF(ISNA(MATCH(809,Engine!$C$2:$C$1369,0)),"",INDEX('Compliance Database'!$E$2:$E$1369,MATCH(809,Engine!$C$2:$C$1369,0)))</f>
        <v/>
      </c>
      <c r="F822" s="8">
        <f>IF(ISNA(MATCH(809,Engine!$C$2:$C$1369,0)),"",INDEX('Compliance Database'!$F$2:$F$1369,MATCH(809,Engine!$C$2:$C$1369,0)))</f>
        <v/>
      </c>
      <c r="G822" s="8">
        <f>IF(ISNA(MATCH(809,Engine!$C$2:$C$1369,0)),"",INDEX('Compliance Database'!$G$2:$G$1369,MATCH(809,Engine!$C$2:$C$1369,0)))</f>
        <v/>
      </c>
      <c r="H822" s="9">
        <f>IF(ISNA(MATCH(809,Engine!$C$2:$C$1369,0)),"",INDEX('Compliance Database'!$H$2:$H$1369,MATCH(809,Engine!$C$2:$C$1369,0)))</f>
        <v/>
      </c>
      <c r="I822" s="9">
        <f>IF(ISNA(MATCH(809,Engine!$C$2:$C$1369,0)),"",INDEX('Compliance Database'!$I$2:$I$1369,MATCH(809,Engine!$C$2:$C$1369,0)))</f>
        <v/>
      </c>
      <c r="J822" s="8">
        <f>IF(ISNA(MATCH(809,Engine!$C$2:$C$1369,0)),"",INDEX('Compliance Database'!$J$2:$J$1369,MATCH(809,Engine!$C$2:$C$1369,0)))</f>
        <v/>
      </c>
      <c r="K822" s="9">
        <f>IF(ISNA(MATCH(809,Engine!$C$2:$C$1369,0)),"",INDEX('Compliance Database'!$K$2:$K$1369,MATCH(809,Engine!$C$2:$C$1369,0)))</f>
        <v/>
      </c>
      <c r="L822" s="9">
        <f>IF(ISNA(MATCH(809,Engine!$C$2:$C$1369,0)),"",INDEX('Compliance Database'!$L$2:$L$1369,MATCH(809,Engine!$C$2:$C$1369,0)))</f>
        <v/>
      </c>
      <c r="M822" s="9">
        <f>IF(ISNA(MATCH(809,Engine!$C$2:$C$1369,0)),"",INDEX('Compliance Database'!$M$2:$M$1369,MATCH(809,Engine!$C$2:$C$1369,0)))</f>
        <v/>
      </c>
      <c r="N822" s="9">
        <f>IF(ISNA(MATCH(809,Engine!$C$2:$C$1369,0)),"",INDEX('Compliance Database'!$N$2:$N$1369,MATCH(809,Engine!$C$2:$C$1369,0)))</f>
        <v/>
      </c>
      <c r="O822" s="8">
        <f>IF(ISNA(MATCH(809,Engine!$C$2:$C$1369,0)),"",HYPERLINK(INDEX('Compliance Database'!$O$2:$O$1369,MATCH(809,Engine!$C$2:$C$1369,0)),"Open PDF"))</f>
        <v/>
      </c>
    </row>
    <row r="823" ht="188" customHeight="1">
      <c r="A823" s="8">
        <f>IF(ISNA(MATCH(810,Engine!$C$2:$C$1369,0)),"",INDEX('Compliance Database'!$A$2:$A$1369,MATCH(810,Engine!$C$2:$C$1369,0)))</f>
        <v/>
      </c>
      <c r="B823" s="8">
        <f>IF(ISNA(MATCH(810,Engine!$C$2:$C$1369,0)),"",INDEX('Compliance Database'!$B$2:$B$1369,MATCH(810,Engine!$C$2:$C$1369,0)))</f>
        <v/>
      </c>
      <c r="C823" s="8">
        <f>IF(ISNA(MATCH(810,Engine!$C$2:$C$1369,0)),"",INDEX('Compliance Database'!$C$2:$C$1369,MATCH(810,Engine!$C$2:$C$1369,0)))</f>
        <v/>
      </c>
      <c r="D823" s="9">
        <f>IF(ISNA(MATCH(810,Engine!$C$2:$C$1369,0)),"",INDEX('Compliance Database'!$D$2:$D$1369,MATCH(810,Engine!$C$2:$C$1369,0)))</f>
        <v/>
      </c>
      <c r="E823" s="8">
        <f>IF(ISNA(MATCH(810,Engine!$C$2:$C$1369,0)),"",INDEX('Compliance Database'!$E$2:$E$1369,MATCH(810,Engine!$C$2:$C$1369,0)))</f>
        <v/>
      </c>
      <c r="F823" s="8">
        <f>IF(ISNA(MATCH(810,Engine!$C$2:$C$1369,0)),"",INDEX('Compliance Database'!$F$2:$F$1369,MATCH(810,Engine!$C$2:$C$1369,0)))</f>
        <v/>
      </c>
      <c r="G823" s="8">
        <f>IF(ISNA(MATCH(810,Engine!$C$2:$C$1369,0)),"",INDEX('Compliance Database'!$G$2:$G$1369,MATCH(810,Engine!$C$2:$C$1369,0)))</f>
        <v/>
      </c>
      <c r="H823" s="9">
        <f>IF(ISNA(MATCH(810,Engine!$C$2:$C$1369,0)),"",INDEX('Compliance Database'!$H$2:$H$1369,MATCH(810,Engine!$C$2:$C$1369,0)))</f>
        <v/>
      </c>
      <c r="I823" s="9">
        <f>IF(ISNA(MATCH(810,Engine!$C$2:$C$1369,0)),"",INDEX('Compliance Database'!$I$2:$I$1369,MATCH(810,Engine!$C$2:$C$1369,0)))</f>
        <v/>
      </c>
      <c r="J823" s="8">
        <f>IF(ISNA(MATCH(810,Engine!$C$2:$C$1369,0)),"",INDEX('Compliance Database'!$J$2:$J$1369,MATCH(810,Engine!$C$2:$C$1369,0)))</f>
        <v/>
      </c>
      <c r="K823" s="9">
        <f>IF(ISNA(MATCH(810,Engine!$C$2:$C$1369,0)),"",INDEX('Compliance Database'!$K$2:$K$1369,MATCH(810,Engine!$C$2:$C$1369,0)))</f>
        <v/>
      </c>
      <c r="L823" s="9">
        <f>IF(ISNA(MATCH(810,Engine!$C$2:$C$1369,0)),"",INDEX('Compliance Database'!$L$2:$L$1369,MATCH(810,Engine!$C$2:$C$1369,0)))</f>
        <v/>
      </c>
      <c r="M823" s="9">
        <f>IF(ISNA(MATCH(810,Engine!$C$2:$C$1369,0)),"",INDEX('Compliance Database'!$M$2:$M$1369,MATCH(810,Engine!$C$2:$C$1369,0)))</f>
        <v/>
      </c>
      <c r="N823" s="9">
        <f>IF(ISNA(MATCH(810,Engine!$C$2:$C$1369,0)),"",INDEX('Compliance Database'!$N$2:$N$1369,MATCH(810,Engine!$C$2:$C$1369,0)))</f>
        <v/>
      </c>
      <c r="O823" s="8">
        <f>IF(ISNA(MATCH(810,Engine!$C$2:$C$1369,0)),"",HYPERLINK(INDEX('Compliance Database'!$O$2:$O$1369,MATCH(810,Engine!$C$2:$C$1369,0)),"Open PDF"))</f>
        <v/>
      </c>
    </row>
    <row r="824" ht="188" customHeight="1">
      <c r="A824" s="8">
        <f>IF(ISNA(MATCH(811,Engine!$C$2:$C$1369,0)),"",INDEX('Compliance Database'!$A$2:$A$1369,MATCH(811,Engine!$C$2:$C$1369,0)))</f>
        <v/>
      </c>
      <c r="B824" s="8">
        <f>IF(ISNA(MATCH(811,Engine!$C$2:$C$1369,0)),"",INDEX('Compliance Database'!$B$2:$B$1369,MATCH(811,Engine!$C$2:$C$1369,0)))</f>
        <v/>
      </c>
      <c r="C824" s="8">
        <f>IF(ISNA(MATCH(811,Engine!$C$2:$C$1369,0)),"",INDEX('Compliance Database'!$C$2:$C$1369,MATCH(811,Engine!$C$2:$C$1369,0)))</f>
        <v/>
      </c>
      <c r="D824" s="9">
        <f>IF(ISNA(MATCH(811,Engine!$C$2:$C$1369,0)),"",INDEX('Compliance Database'!$D$2:$D$1369,MATCH(811,Engine!$C$2:$C$1369,0)))</f>
        <v/>
      </c>
      <c r="E824" s="8">
        <f>IF(ISNA(MATCH(811,Engine!$C$2:$C$1369,0)),"",INDEX('Compliance Database'!$E$2:$E$1369,MATCH(811,Engine!$C$2:$C$1369,0)))</f>
        <v/>
      </c>
      <c r="F824" s="8">
        <f>IF(ISNA(MATCH(811,Engine!$C$2:$C$1369,0)),"",INDEX('Compliance Database'!$F$2:$F$1369,MATCH(811,Engine!$C$2:$C$1369,0)))</f>
        <v/>
      </c>
      <c r="G824" s="8">
        <f>IF(ISNA(MATCH(811,Engine!$C$2:$C$1369,0)),"",INDEX('Compliance Database'!$G$2:$G$1369,MATCH(811,Engine!$C$2:$C$1369,0)))</f>
        <v/>
      </c>
      <c r="H824" s="9">
        <f>IF(ISNA(MATCH(811,Engine!$C$2:$C$1369,0)),"",INDEX('Compliance Database'!$H$2:$H$1369,MATCH(811,Engine!$C$2:$C$1369,0)))</f>
        <v/>
      </c>
      <c r="I824" s="9">
        <f>IF(ISNA(MATCH(811,Engine!$C$2:$C$1369,0)),"",INDEX('Compliance Database'!$I$2:$I$1369,MATCH(811,Engine!$C$2:$C$1369,0)))</f>
        <v/>
      </c>
      <c r="J824" s="8">
        <f>IF(ISNA(MATCH(811,Engine!$C$2:$C$1369,0)),"",INDEX('Compliance Database'!$J$2:$J$1369,MATCH(811,Engine!$C$2:$C$1369,0)))</f>
        <v/>
      </c>
      <c r="K824" s="9">
        <f>IF(ISNA(MATCH(811,Engine!$C$2:$C$1369,0)),"",INDEX('Compliance Database'!$K$2:$K$1369,MATCH(811,Engine!$C$2:$C$1369,0)))</f>
        <v/>
      </c>
      <c r="L824" s="9">
        <f>IF(ISNA(MATCH(811,Engine!$C$2:$C$1369,0)),"",INDEX('Compliance Database'!$L$2:$L$1369,MATCH(811,Engine!$C$2:$C$1369,0)))</f>
        <v/>
      </c>
      <c r="M824" s="9">
        <f>IF(ISNA(MATCH(811,Engine!$C$2:$C$1369,0)),"",INDEX('Compliance Database'!$M$2:$M$1369,MATCH(811,Engine!$C$2:$C$1369,0)))</f>
        <v/>
      </c>
      <c r="N824" s="9">
        <f>IF(ISNA(MATCH(811,Engine!$C$2:$C$1369,0)),"",INDEX('Compliance Database'!$N$2:$N$1369,MATCH(811,Engine!$C$2:$C$1369,0)))</f>
        <v/>
      </c>
      <c r="O824" s="8">
        <f>IF(ISNA(MATCH(811,Engine!$C$2:$C$1369,0)),"",HYPERLINK(INDEX('Compliance Database'!$O$2:$O$1369,MATCH(811,Engine!$C$2:$C$1369,0)),"Open PDF"))</f>
        <v/>
      </c>
    </row>
    <row r="825" ht="188" customHeight="1">
      <c r="A825" s="8">
        <f>IF(ISNA(MATCH(812,Engine!$C$2:$C$1369,0)),"",INDEX('Compliance Database'!$A$2:$A$1369,MATCH(812,Engine!$C$2:$C$1369,0)))</f>
        <v/>
      </c>
      <c r="B825" s="8">
        <f>IF(ISNA(MATCH(812,Engine!$C$2:$C$1369,0)),"",INDEX('Compliance Database'!$B$2:$B$1369,MATCH(812,Engine!$C$2:$C$1369,0)))</f>
        <v/>
      </c>
      <c r="C825" s="8">
        <f>IF(ISNA(MATCH(812,Engine!$C$2:$C$1369,0)),"",INDEX('Compliance Database'!$C$2:$C$1369,MATCH(812,Engine!$C$2:$C$1369,0)))</f>
        <v/>
      </c>
      <c r="D825" s="9">
        <f>IF(ISNA(MATCH(812,Engine!$C$2:$C$1369,0)),"",INDEX('Compliance Database'!$D$2:$D$1369,MATCH(812,Engine!$C$2:$C$1369,0)))</f>
        <v/>
      </c>
      <c r="E825" s="8">
        <f>IF(ISNA(MATCH(812,Engine!$C$2:$C$1369,0)),"",INDEX('Compliance Database'!$E$2:$E$1369,MATCH(812,Engine!$C$2:$C$1369,0)))</f>
        <v/>
      </c>
      <c r="F825" s="8">
        <f>IF(ISNA(MATCH(812,Engine!$C$2:$C$1369,0)),"",INDEX('Compliance Database'!$F$2:$F$1369,MATCH(812,Engine!$C$2:$C$1369,0)))</f>
        <v/>
      </c>
      <c r="G825" s="8">
        <f>IF(ISNA(MATCH(812,Engine!$C$2:$C$1369,0)),"",INDEX('Compliance Database'!$G$2:$G$1369,MATCH(812,Engine!$C$2:$C$1369,0)))</f>
        <v/>
      </c>
      <c r="H825" s="9">
        <f>IF(ISNA(MATCH(812,Engine!$C$2:$C$1369,0)),"",INDEX('Compliance Database'!$H$2:$H$1369,MATCH(812,Engine!$C$2:$C$1369,0)))</f>
        <v/>
      </c>
      <c r="I825" s="9">
        <f>IF(ISNA(MATCH(812,Engine!$C$2:$C$1369,0)),"",INDEX('Compliance Database'!$I$2:$I$1369,MATCH(812,Engine!$C$2:$C$1369,0)))</f>
        <v/>
      </c>
      <c r="J825" s="8">
        <f>IF(ISNA(MATCH(812,Engine!$C$2:$C$1369,0)),"",INDEX('Compliance Database'!$J$2:$J$1369,MATCH(812,Engine!$C$2:$C$1369,0)))</f>
        <v/>
      </c>
      <c r="K825" s="9">
        <f>IF(ISNA(MATCH(812,Engine!$C$2:$C$1369,0)),"",INDEX('Compliance Database'!$K$2:$K$1369,MATCH(812,Engine!$C$2:$C$1369,0)))</f>
        <v/>
      </c>
      <c r="L825" s="9">
        <f>IF(ISNA(MATCH(812,Engine!$C$2:$C$1369,0)),"",INDEX('Compliance Database'!$L$2:$L$1369,MATCH(812,Engine!$C$2:$C$1369,0)))</f>
        <v/>
      </c>
      <c r="M825" s="9">
        <f>IF(ISNA(MATCH(812,Engine!$C$2:$C$1369,0)),"",INDEX('Compliance Database'!$M$2:$M$1369,MATCH(812,Engine!$C$2:$C$1369,0)))</f>
        <v/>
      </c>
      <c r="N825" s="9">
        <f>IF(ISNA(MATCH(812,Engine!$C$2:$C$1369,0)),"",INDEX('Compliance Database'!$N$2:$N$1369,MATCH(812,Engine!$C$2:$C$1369,0)))</f>
        <v/>
      </c>
      <c r="O825" s="8">
        <f>IF(ISNA(MATCH(812,Engine!$C$2:$C$1369,0)),"",HYPERLINK(INDEX('Compliance Database'!$O$2:$O$1369,MATCH(812,Engine!$C$2:$C$1369,0)),"Open PDF"))</f>
        <v/>
      </c>
    </row>
    <row r="826" ht="188" customHeight="1">
      <c r="A826" s="8">
        <f>IF(ISNA(MATCH(813,Engine!$C$2:$C$1369,0)),"",INDEX('Compliance Database'!$A$2:$A$1369,MATCH(813,Engine!$C$2:$C$1369,0)))</f>
        <v/>
      </c>
      <c r="B826" s="8">
        <f>IF(ISNA(MATCH(813,Engine!$C$2:$C$1369,0)),"",INDEX('Compliance Database'!$B$2:$B$1369,MATCH(813,Engine!$C$2:$C$1369,0)))</f>
        <v/>
      </c>
      <c r="C826" s="8">
        <f>IF(ISNA(MATCH(813,Engine!$C$2:$C$1369,0)),"",INDEX('Compliance Database'!$C$2:$C$1369,MATCH(813,Engine!$C$2:$C$1369,0)))</f>
        <v/>
      </c>
      <c r="D826" s="9">
        <f>IF(ISNA(MATCH(813,Engine!$C$2:$C$1369,0)),"",INDEX('Compliance Database'!$D$2:$D$1369,MATCH(813,Engine!$C$2:$C$1369,0)))</f>
        <v/>
      </c>
      <c r="E826" s="8">
        <f>IF(ISNA(MATCH(813,Engine!$C$2:$C$1369,0)),"",INDEX('Compliance Database'!$E$2:$E$1369,MATCH(813,Engine!$C$2:$C$1369,0)))</f>
        <v/>
      </c>
      <c r="F826" s="8">
        <f>IF(ISNA(MATCH(813,Engine!$C$2:$C$1369,0)),"",INDEX('Compliance Database'!$F$2:$F$1369,MATCH(813,Engine!$C$2:$C$1369,0)))</f>
        <v/>
      </c>
      <c r="G826" s="8">
        <f>IF(ISNA(MATCH(813,Engine!$C$2:$C$1369,0)),"",INDEX('Compliance Database'!$G$2:$G$1369,MATCH(813,Engine!$C$2:$C$1369,0)))</f>
        <v/>
      </c>
      <c r="H826" s="9">
        <f>IF(ISNA(MATCH(813,Engine!$C$2:$C$1369,0)),"",INDEX('Compliance Database'!$H$2:$H$1369,MATCH(813,Engine!$C$2:$C$1369,0)))</f>
        <v/>
      </c>
      <c r="I826" s="9">
        <f>IF(ISNA(MATCH(813,Engine!$C$2:$C$1369,0)),"",INDEX('Compliance Database'!$I$2:$I$1369,MATCH(813,Engine!$C$2:$C$1369,0)))</f>
        <v/>
      </c>
      <c r="J826" s="8">
        <f>IF(ISNA(MATCH(813,Engine!$C$2:$C$1369,0)),"",INDEX('Compliance Database'!$J$2:$J$1369,MATCH(813,Engine!$C$2:$C$1369,0)))</f>
        <v/>
      </c>
      <c r="K826" s="9">
        <f>IF(ISNA(MATCH(813,Engine!$C$2:$C$1369,0)),"",INDEX('Compliance Database'!$K$2:$K$1369,MATCH(813,Engine!$C$2:$C$1369,0)))</f>
        <v/>
      </c>
      <c r="L826" s="9">
        <f>IF(ISNA(MATCH(813,Engine!$C$2:$C$1369,0)),"",INDEX('Compliance Database'!$L$2:$L$1369,MATCH(813,Engine!$C$2:$C$1369,0)))</f>
        <v/>
      </c>
      <c r="M826" s="9">
        <f>IF(ISNA(MATCH(813,Engine!$C$2:$C$1369,0)),"",INDEX('Compliance Database'!$M$2:$M$1369,MATCH(813,Engine!$C$2:$C$1369,0)))</f>
        <v/>
      </c>
      <c r="N826" s="9">
        <f>IF(ISNA(MATCH(813,Engine!$C$2:$C$1369,0)),"",INDEX('Compliance Database'!$N$2:$N$1369,MATCH(813,Engine!$C$2:$C$1369,0)))</f>
        <v/>
      </c>
      <c r="O826" s="8">
        <f>IF(ISNA(MATCH(813,Engine!$C$2:$C$1369,0)),"",HYPERLINK(INDEX('Compliance Database'!$O$2:$O$1369,MATCH(813,Engine!$C$2:$C$1369,0)),"Open PDF"))</f>
        <v/>
      </c>
    </row>
    <row r="827" ht="188" customHeight="1">
      <c r="A827" s="8">
        <f>IF(ISNA(MATCH(814,Engine!$C$2:$C$1369,0)),"",INDEX('Compliance Database'!$A$2:$A$1369,MATCH(814,Engine!$C$2:$C$1369,0)))</f>
        <v/>
      </c>
      <c r="B827" s="8">
        <f>IF(ISNA(MATCH(814,Engine!$C$2:$C$1369,0)),"",INDEX('Compliance Database'!$B$2:$B$1369,MATCH(814,Engine!$C$2:$C$1369,0)))</f>
        <v/>
      </c>
      <c r="C827" s="8">
        <f>IF(ISNA(MATCH(814,Engine!$C$2:$C$1369,0)),"",INDEX('Compliance Database'!$C$2:$C$1369,MATCH(814,Engine!$C$2:$C$1369,0)))</f>
        <v/>
      </c>
      <c r="D827" s="9">
        <f>IF(ISNA(MATCH(814,Engine!$C$2:$C$1369,0)),"",INDEX('Compliance Database'!$D$2:$D$1369,MATCH(814,Engine!$C$2:$C$1369,0)))</f>
        <v/>
      </c>
      <c r="E827" s="8">
        <f>IF(ISNA(MATCH(814,Engine!$C$2:$C$1369,0)),"",INDEX('Compliance Database'!$E$2:$E$1369,MATCH(814,Engine!$C$2:$C$1369,0)))</f>
        <v/>
      </c>
      <c r="F827" s="8">
        <f>IF(ISNA(MATCH(814,Engine!$C$2:$C$1369,0)),"",INDEX('Compliance Database'!$F$2:$F$1369,MATCH(814,Engine!$C$2:$C$1369,0)))</f>
        <v/>
      </c>
      <c r="G827" s="8">
        <f>IF(ISNA(MATCH(814,Engine!$C$2:$C$1369,0)),"",INDEX('Compliance Database'!$G$2:$G$1369,MATCH(814,Engine!$C$2:$C$1369,0)))</f>
        <v/>
      </c>
      <c r="H827" s="9">
        <f>IF(ISNA(MATCH(814,Engine!$C$2:$C$1369,0)),"",INDEX('Compliance Database'!$H$2:$H$1369,MATCH(814,Engine!$C$2:$C$1369,0)))</f>
        <v/>
      </c>
      <c r="I827" s="9">
        <f>IF(ISNA(MATCH(814,Engine!$C$2:$C$1369,0)),"",INDEX('Compliance Database'!$I$2:$I$1369,MATCH(814,Engine!$C$2:$C$1369,0)))</f>
        <v/>
      </c>
      <c r="J827" s="8">
        <f>IF(ISNA(MATCH(814,Engine!$C$2:$C$1369,0)),"",INDEX('Compliance Database'!$J$2:$J$1369,MATCH(814,Engine!$C$2:$C$1369,0)))</f>
        <v/>
      </c>
      <c r="K827" s="9">
        <f>IF(ISNA(MATCH(814,Engine!$C$2:$C$1369,0)),"",INDEX('Compliance Database'!$K$2:$K$1369,MATCH(814,Engine!$C$2:$C$1369,0)))</f>
        <v/>
      </c>
      <c r="L827" s="9">
        <f>IF(ISNA(MATCH(814,Engine!$C$2:$C$1369,0)),"",INDEX('Compliance Database'!$L$2:$L$1369,MATCH(814,Engine!$C$2:$C$1369,0)))</f>
        <v/>
      </c>
      <c r="M827" s="9">
        <f>IF(ISNA(MATCH(814,Engine!$C$2:$C$1369,0)),"",INDEX('Compliance Database'!$M$2:$M$1369,MATCH(814,Engine!$C$2:$C$1369,0)))</f>
        <v/>
      </c>
      <c r="N827" s="9">
        <f>IF(ISNA(MATCH(814,Engine!$C$2:$C$1369,0)),"",INDEX('Compliance Database'!$N$2:$N$1369,MATCH(814,Engine!$C$2:$C$1369,0)))</f>
        <v/>
      </c>
      <c r="O827" s="8">
        <f>IF(ISNA(MATCH(814,Engine!$C$2:$C$1369,0)),"",HYPERLINK(INDEX('Compliance Database'!$O$2:$O$1369,MATCH(814,Engine!$C$2:$C$1369,0)),"Open PDF"))</f>
        <v/>
      </c>
    </row>
    <row r="828" ht="188" customHeight="1">
      <c r="A828" s="8">
        <f>IF(ISNA(MATCH(815,Engine!$C$2:$C$1369,0)),"",INDEX('Compliance Database'!$A$2:$A$1369,MATCH(815,Engine!$C$2:$C$1369,0)))</f>
        <v/>
      </c>
      <c r="B828" s="8">
        <f>IF(ISNA(MATCH(815,Engine!$C$2:$C$1369,0)),"",INDEX('Compliance Database'!$B$2:$B$1369,MATCH(815,Engine!$C$2:$C$1369,0)))</f>
        <v/>
      </c>
      <c r="C828" s="8">
        <f>IF(ISNA(MATCH(815,Engine!$C$2:$C$1369,0)),"",INDEX('Compliance Database'!$C$2:$C$1369,MATCH(815,Engine!$C$2:$C$1369,0)))</f>
        <v/>
      </c>
      <c r="D828" s="9">
        <f>IF(ISNA(MATCH(815,Engine!$C$2:$C$1369,0)),"",INDEX('Compliance Database'!$D$2:$D$1369,MATCH(815,Engine!$C$2:$C$1369,0)))</f>
        <v/>
      </c>
      <c r="E828" s="8">
        <f>IF(ISNA(MATCH(815,Engine!$C$2:$C$1369,0)),"",INDEX('Compliance Database'!$E$2:$E$1369,MATCH(815,Engine!$C$2:$C$1369,0)))</f>
        <v/>
      </c>
      <c r="F828" s="8">
        <f>IF(ISNA(MATCH(815,Engine!$C$2:$C$1369,0)),"",INDEX('Compliance Database'!$F$2:$F$1369,MATCH(815,Engine!$C$2:$C$1369,0)))</f>
        <v/>
      </c>
      <c r="G828" s="8">
        <f>IF(ISNA(MATCH(815,Engine!$C$2:$C$1369,0)),"",INDEX('Compliance Database'!$G$2:$G$1369,MATCH(815,Engine!$C$2:$C$1369,0)))</f>
        <v/>
      </c>
      <c r="H828" s="9">
        <f>IF(ISNA(MATCH(815,Engine!$C$2:$C$1369,0)),"",INDEX('Compliance Database'!$H$2:$H$1369,MATCH(815,Engine!$C$2:$C$1369,0)))</f>
        <v/>
      </c>
      <c r="I828" s="9">
        <f>IF(ISNA(MATCH(815,Engine!$C$2:$C$1369,0)),"",INDEX('Compliance Database'!$I$2:$I$1369,MATCH(815,Engine!$C$2:$C$1369,0)))</f>
        <v/>
      </c>
      <c r="J828" s="8">
        <f>IF(ISNA(MATCH(815,Engine!$C$2:$C$1369,0)),"",INDEX('Compliance Database'!$J$2:$J$1369,MATCH(815,Engine!$C$2:$C$1369,0)))</f>
        <v/>
      </c>
      <c r="K828" s="9">
        <f>IF(ISNA(MATCH(815,Engine!$C$2:$C$1369,0)),"",INDEX('Compliance Database'!$K$2:$K$1369,MATCH(815,Engine!$C$2:$C$1369,0)))</f>
        <v/>
      </c>
      <c r="L828" s="9">
        <f>IF(ISNA(MATCH(815,Engine!$C$2:$C$1369,0)),"",INDEX('Compliance Database'!$L$2:$L$1369,MATCH(815,Engine!$C$2:$C$1369,0)))</f>
        <v/>
      </c>
      <c r="M828" s="9">
        <f>IF(ISNA(MATCH(815,Engine!$C$2:$C$1369,0)),"",INDEX('Compliance Database'!$M$2:$M$1369,MATCH(815,Engine!$C$2:$C$1369,0)))</f>
        <v/>
      </c>
      <c r="N828" s="9">
        <f>IF(ISNA(MATCH(815,Engine!$C$2:$C$1369,0)),"",INDEX('Compliance Database'!$N$2:$N$1369,MATCH(815,Engine!$C$2:$C$1369,0)))</f>
        <v/>
      </c>
      <c r="O828" s="8">
        <f>IF(ISNA(MATCH(815,Engine!$C$2:$C$1369,0)),"",HYPERLINK(INDEX('Compliance Database'!$O$2:$O$1369,MATCH(815,Engine!$C$2:$C$1369,0)),"Open PDF"))</f>
        <v/>
      </c>
    </row>
    <row r="829" ht="188" customHeight="1">
      <c r="A829" s="8">
        <f>IF(ISNA(MATCH(816,Engine!$C$2:$C$1369,0)),"",INDEX('Compliance Database'!$A$2:$A$1369,MATCH(816,Engine!$C$2:$C$1369,0)))</f>
        <v/>
      </c>
      <c r="B829" s="8">
        <f>IF(ISNA(MATCH(816,Engine!$C$2:$C$1369,0)),"",INDEX('Compliance Database'!$B$2:$B$1369,MATCH(816,Engine!$C$2:$C$1369,0)))</f>
        <v/>
      </c>
      <c r="C829" s="8">
        <f>IF(ISNA(MATCH(816,Engine!$C$2:$C$1369,0)),"",INDEX('Compliance Database'!$C$2:$C$1369,MATCH(816,Engine!$C$2:$C$1369,0)))</f>
        <v/>
      </c>
      <c r="D829" s="9">
        <f>IF(ISNA(MATCH(816,Engine!$C$2:$C$1369,0)),"",INDEX('Compliance Database'!$D$2:$D$1369,MATCH(816,Engine!$C$2:$C$1369,0)))</f>
        <v/>
      </c>
      <c r="E829" s="8">
        <f>IF(ISNA(MATCH(816,Engine!$C$2:$C$1369,0)),"",INDEX('Compliance Database'!$E$2:$E$1369,MATCH(816,Engine!$C$2:$C$1369,0)))</f>
        <v/>
      </c>
      <c r="F829" s="8">
        <f>IF(ISNA(MATCH(816,Engine!$C$2:$C$1369,0)),"",INDEX('Compliance Database'!$F$2:$F$1369,MATCH(816,Engine!$C$2:$C$1369,0)))</f>
        <v/>
      </c>
      <c r="G829" s="8">
        <f>IF(ISNA(MATCH(816,Engine!$C$2:$C$1369,0)),"",INDEX('Compliance Database'!$G$2:$G$1369,MATCH(816,Engine!$C$2:$C$1369,0)))</f>
        <v/>
      </c>
      <c r="H829" s="9">
        <f>IF(ISNA(MATCH(816,Engine!$C$2:$C$1369,0)),"",INDEX('Compliance Database'!$H$2:$H$1369,MATCH(816,Engine!$C$2:$C$1369,0)))</f>
        <v/>
      </c>
      <c r="I829" s="9">
        <f>IF(ISNA(MATCH(816,Engine!$C$2:$C$1369,0)),"",INDEX('Compliance Database'!$I$2:$I$1369,MATCH(816,Engine!$C$2:$C$1369,0)))</f>
        <v/>
      </c>
      <c r="J829" s="8">
        <f>IF(ISNA(MATCH(816,Engine!$C$2:$C$1369,0)),"",INDEX('Compliance Database'!$J$2:$J$1369,MATCH(816,Engine!$C$2:$C$1369,0)))</f>
        <v/>
      </c>
      <c r="K829" s="9">
        <f>IF(ISNA(MATCH(816,Engine!$C$2:$C$1369,0)),"",INDEX('Compliance Database'!$K$2:$K$1369,MATCH(816,Engine!$C$2:$C$1369,0)))</f>
        <v/>
      </c>
      <c r="L829" s="9">
        <f>IF(ISNA(MATCH(816,Engine!$C$2:$C$1369,0)),"",INDEX('Compliance Database'!$L$2:$L$1369,MATCH(816,Engine!$C$2:$C$1369,0)))</f>
        <v/>
      </c>
      <c r="M829" s="9">
        <f>IF(ISNA(MATCH(816,Engine!$C$2:$C$1369,0)),"",INDEX('Compliance Database'!$M$2:$M$1369,MATCH(816,Engine!$C$2:$C$1369,0)))</f>
        <v/>
      </c>
      <c r="N829" s="9">
        <f>IF(ISNA(MATCH(816,Engine!$C$2:$C$1369,0)),"",INDEX('Compliance Database'!$N$2:$N$1369,MATCH(816,Engine!$C$2:$C$1369,0)))</f>
        <v/>
      </c>
      <c r="O829" s="8">
        <f>IF(ISNA(MATCH(816,Engine!$C$2:$C$1369,0)),"",HYPERLINK(INDEX('Compliance Database'!$O$2:$O$1369,MATCH(816,Engine!$C$2:$C$1369,0)),"Open PDF"))</f>
        <v/>
      </c>
    </row>
    <row r="830" ht="188" customHeight="1">
      <c r="A830" s="8">
        <f>IF(ISNA(MATCH(817,Engine!$C$2:$C$1369,0)),"",INDEX('Compliance Database'!$A$2:$A$1369,MATCH(817,Engine!$C$2:$C$1369,0)))</f>
        <v/>
      </c>
      <c r="B830" s="8">
        <f>IF(ISNA(MATCH(817,Engine!$C$2:$C$1369,0)),"",INDEX('Compliance Database'!$B$2:$B$1369,MATCH(817,Engine!$C$2:$C$1369,0)))</f>
        <v/>
      </c>
      <c r="C830" s="8">
        <f>IF(ISNA(MATCH(817,Engine!$C$2:$C$1369,0)),"",INDEX('Compliance Database'!$C$2:$C$1369,MATCH(817,Engine!$C$2:$C$1369,0)))</f>
        <v/>
      </c>
      <c r="D830" s="9">
        <f>IF(ISNA(MATCH(817,Engine!$C$2:$C$1369,0)),"",INDEX('Compliance Database'!$D$2:$D$1369,MATCH(817,Engine!$C$2:$C$1369,0)))</f>
        <v/>
      </c>
      <c r="E830" s="8">
        <f>IF(ISNA(MATCH(817,Engine!$C$2:$C$1369,0)),"",INDEX('Compliance Database'!$E$2:$E$1369,MATCH(817,Engine!$C$2:$C$1369,0)))</f>
        <v/>
      </c>
      <c r="F830" s="8">
        <f>IF(ISNA(MATCH(817,Engine!$C$2:$C$1369,0)),"",INDEX('Compliance Database'!$F$2:$F$1369,MATCH(817,Engine!$C$2:$C$1369,0)))</f>
        <v/>
      </c>
      <c r="G830" s="8">
        <f>IF(ISNA(MATCH(817,Engine!$C$2:$C$1369,0)),"",INDEX('Compliance Database'!$G$2:$G$1369,MATCH(817,Engine!$C$2:$C$1369,0)))</f>
        <v/>
      </c>
      <c r="H830" s="9">
        <f>IF(ISNA(MATCH(817,Engine!$C$2:$C$1369,0)),"",INDEX('Compliance Database'!$H$2:$H$1369,MATCH(817,Engine!$C$2:$C$1369,0)))</f>
        <v/>
      </c>
      <c r="I830" s="9">
        <f>IF(ISNA(MATCH(817,Engine!$C$2:$C$1369,0)),"",INDEX('Compliance Database'!$I$2:$I$1369,MATCH(817,Engine!$C$2:$C$1369,0)))</f>
        <v/>
      </c>
      <c r="J830" s="8">
        <f>IF(ISNA(MATCH(817,Engine!$C$2:$C$1369,0)),"",INDEX('Compliance Database'!$J$2:$J$1369,MATCH(817,Engine!$C$2:$C$1369,0)))</f>
        <v/>
      </c>
      <c r="K830" s="9">
        <f>IF(ISNA(MATCH(817,Engine!$C$2:$C$1369,0)),"",INDEX('Compliance Database'!$K$2:$K$1369,MATCH(817,Engine!$C$2:$C$1369,0)))</f>
        <v/>
      </c>
      <c r="L830" s="9">
        <f>IF(ISNA(MATCH(817,Engine!$C$2:$C$1369,0)),"",INDEX('Compliance Database'!$L$2:$L$1369,MATCH(817,Engine!$C$2:$C$1369,0)))</f>
        <v/>
      </c>
      <c r="M830" s="9">
        <f>IF(ISNA(MATCH(817,Engine!$C$2:$C$1369,0)),"",INDEX('Compliance Database'!$M$2:$M$1369,MATCH(817,Engine!$C$2:$C$1369,0)))</f>
        <v/>
      </c>
      <c r="N830" s="9">
        <f>IF(ISNA(MATCH(817,Engine!$C$2:$C$1369,0)),"",INDEX('Compliance Database'!$N$2:$N$1369,MATCH(817,Engine!$C$2:$C$1369,0)))</f>
        <v/>
      </c>
      <c r="O830" s="8">
        <f>IF(ISNA(MATCH(817,Engine!$C$2:$C$1369,0)),"",HYPERLINK(INDEX('Compliance Database'!$O$2:$O$1369,MATCH(817,Engine!$C$2:$C$1369,0)),"Open PDF"))</f>
        <v/>
      </c>
    </row>
    <row r="831" ht="188" customHeight="1">
      <c r="A831" s="8">
        <f>IF(ISNA(MATCH(818,Engine!$C$2:$C$1369,0)),"",INDEX('Compliance Database'!$A$2:$A$1369,MATCH(818,Engine!$C$2:$C$1369,0)))</f>
        <v/>
      </c>
      <c r="B831" s="8">
        <f>IF(ISNA(MATCH(818,Engine!$C$2:$C$1369,0)),"",INDEX('Compliance Database'!$B$2:$B$1369,MATCH(818,Engine!$C$2:$C$1369,0)))</f>
        <v/>
      </c>
      <c r="C831" s="8">
        <f>IF(ISNA(MATCH(818,Engine!$C$2:$C$1369,0)),"",INDEX('Compliance Database'!$C$2:$C$1369,MATCH(818,Engine!$C$2:$C$1369,0)))</f>
        <v/>
      </c>
      <c r="D831" s="9">
        <f>IF(ISNA(MATCH(818,Engine!$C$2:$C$1369,0)),"",INDEX('Compliance Database'!$D$2:$D$1369,MATCH(818,Engine!$C$2:$C$1369,0)))</f>
        <v/>
      </c>
      <c r="E831" s="8">
        <f>IF(ISNA(MATCH(818,Engine!$C$2:$C$1369,0)),"",INDEX('Compliance Database'!$E$2:$E$1369,MATCH(818,Engine!$C$2:$C$1369,0)))</f>
        <v/>
      </c>
      <c r="F831" s="8">
        <f>IF(ISNA(MATCH(818,Engine!$C$2:$C$1369,0)),"",INDEX('Compliance Database'!$F$2:$F$1369,MATCH(818,Engine!$C$2:$C$1369,0)))</f>
        <v/>
      </c>
      <c r="G831" s="8">
        <f>IF(ISNA(MATCH(818,Engine!$C$2:$C$1369,0)),"",INDEX('Compliance Database'!$G$2:$G$1369,MATCH(818,Engine!$C$2:$C$1369,0)))</f>
        <v/>
      </c>
      <c r="H831" s="9">
        <f>IF(ISNA(MATCH(818,Engine!$C$2:$C$1369,0)),"",INDEX('Compliance Database'!$H$2:$H$1369,MATCH(818,Engine!$C$2:$C$1369,0)))</f>
        <v/>
      </c>
      <c r="I831" s="9">
        <f>IF(ISNA(MATCH(818,Engine!$C$2:$C$1369,0)),"",INDEX('Compliance Database'!$I$2:$I$1369,MATCH(818,Engine!$C$2:$C$1369,0)))</f>
        <v/>
      </c>
      <c r="J831" s="8">
        <f>IF(ISNA(MATCH(818,Engine!$C$2:$C$1369,0)),"",INDEX('Compliance Database'!$J$2:$J$1369,MATCH(818,Engine!$C$2:$C$1369,0)))</f>
        <v/>
      </c>
      <c r="K831" s="9">
        <f>IF(ISNA(MATCH(818,Engine!$C$2:$C$1369,0)),"",INDEX('Compliance Database'!$K$2:$K$1369,MATCH(818,Engine!$C$2:$C$1369,0)))</f>
        <v/>
      </c>
      <c r="L831" s="9">
        <f>IF(ISNA(MATCH(818,Engine!$C$2:$C$1369,0)),"",INDEX('Compliance Database'!$L$2:$L$1369,MATCH(818,Engine!$C$2:$C$1369,0)))</f>
        <v/>
      </c>
      <c r="M831" s="9">
        <f>IF(ISNA(MATCH(818,Engine!$C$2:$C$1369,0)),"",INDEX('Compliance Database'!$M$2:$M$1369,MATCH(818,Engine!$C$2:$C$1369,0)))</f>
        <v/>
      </c>
      <c r="N831" s="9">
        <f>IF(ISNA(MATCH(818,Engine!$C$2:$C$1369,0)),"",INDEX('Compliance Database'!$N$2:$N$1369,MATCH(818,Engine!$C$2:$C$1369,0)))</f>
        <v/>
      </c>
      <c r="O831" s="8">
        <f>IF(ISNA(MATCH(818,Engine!$C$2:$C$1369,0)),"",HYPERLINK(INDEX('Compliance Database'!$O$2:$O$1369,MATCH(818,Engine!$C$2:$C$1369,0)),"Open PDF"))</f>
        <v/>
      </c>
    </row>
    <row r="832" ht="188" customHeight="1">
      <c r="A832" s="8">
        <f>IF(ISNA(MATCH(819,Engine!$C$2:$C$1369,0)),"",INDEX('Compliance Database'!$A$2:$A$1369,MATCH(819,Engine!$C$2:$C$1369,0)))</f>
        <v/>
      </c>
      <c r="B832" s="8">
        <f>IF(ISNA(MATCH(819,Engine!$C$2:$C$1369,0)),"",INDEX('Compliance Database'!$B$2:$B$1369,MATCH(819,Engine!$C$2:$C$1369,0)))</f>
        <v/>
      </c>
      <c r="C832" s="8">
        <f>IF(ISNA(MATCH(819,Engine!$C$2:$C$1369,0)),"",INDEX('Compliance Database'!$C$2:$C$1369,MATCH(819,Engine!$C$2:$C$1369,0)))</f>
        <v/>
      </c>
      <c r="D832" s="9">
        <f>IF(ISNA(MATCH(819,Engine!$C$2:$C$1369,0)),"",INDEX('Compliance Database'!$D$2:$D$1369,MATCH(819,Engine!$C$2:$C$1369,0)))</f>
        <v/>
      </c>
      <c r="E832" s="8">
        <f>IF(ISNA(MATCH(819,Engine!$C$2:$C$1369,0)),"",INDEX('Compliance Database'!$E$2:$E$1369,MATCH(819,Engine!$C$2:$C$1369,0)))</f>
        <v/>
      </c>
      <c r="F832" s="8">
        <f>IF(ISNA(MATCH(819,Engine!$C$2:$C$1369,0)),"",INDEX('Compliance Database'!$F$2:$F$1369,MATCH(819,Engine!$C$2:$C$1369,0)))</f>
        <v/>
      </c>
      <c r="G832" s="8">
        <f>IF(ISNA(MATCH(819,Engine!$C$2:$C$1369,0)),"",INDEX('Compliance Database'!$G$2:$G$1369,MATCH(819,Engine!$C$2:$C$1369,0)))</f>
        <v/>
      </c>
      <c r="H832" s="9">
        <f>IF(ISNA(MATCH(819,Engine!$C$2:$C$1369,0)),"",INDEX('Compliance Database'!$H$2:$H$1369,MATCH(819,Engine!$C$2:$C$1369,0)))</f>
        <v/>
      </c>
      <c r="I832" s="9">
        <f>IF(ISNA(MATCH(819,Engine!$C$2:$C$1369,0)),"",INDEX('Compliance Database'!$I$2:$I$1369,MATCH(819,Engine!$C$2:$C$1369,0)))</f>
        <v/>
      </c>
      <c r="J832" s="8">
        <f>IF(ISNA(MATCH(819,Engine!$C$2:$C$1369,0)),"",INDEX('Compliance Database'!$J$2:$J$1369,MATCH(819,Engine!$C$2:$C$1369,0)))</f>
        <v/>
      </c>
      <c r="K832" s="9">
        <f>IF(ISNA(MATCH(819,Engine!$C$2:$C$1369,0)),"",INDEX('Compliance Database'!$K$2:$K$1369,MATCH(819,Engine!$C$2:$C$1369,0)))</f>
        <v/>
      </c>
      <c r="L832" s="9">
        <f>IF(ISNA(MATCH(819,Engine!$C$2:$C$1369,0)),"",INDEX('Compliance Database'!$L$2:$L$1369,MATCH(819,Engine!$C$2:$C$1369,0)))</f>
        <v/>
      </c>
      <c r="M832" s="9">
        <f>IF(ISNA(MATCH(819,Engine!$C$2:$C$1369,0)),"",INDEX('Compliance Database'!$M$2:$M$1369,MATCH(819,Engine!$C$2:$C$1369,0)))</f>
        <v/>
      </c>
      <c r="N832" s="9">
        <f>IF(ISNA(MATCH(819,Engine!$C$2:$C$1369,0)),"",INDEX('Compliance Database'!$N$2:$N$1369,MATCH(819,Engine!$C$2:$C$1369,0)))</f>
        <v/>
      </c>
      <c r="O832" s="8">
        <f>IF(ISNA(MATCH(819,Engine!$C$2:$C$1369,0)),"",HYPERLINK(INDEX('Compliance Database'!$O$2:$O$1369,MATCH(819,Engine!$C$2:$C$1369,0)),"Open PDF"))</f>
        <v/>
      </c>
    </row>
    <row r="833" ht="188" customHeight="1">
      <c r="A833" s="8">
        <f>IF(ISNA(MATCH(820,Engine!$C$2:$C$1369,0)),"",INDEX('Compliance Database'!$A$2:$A$1369,MATCH(820,Engine!$C$2:$C$1369,0)))</f>
        <v/>
      </c>
      <c r="B833" s="8">
        <f>IF(ISNA(MATCH(820,Engine!$C$2:$C$1369,0)),"",INDEX('Compliance Database'!$B$2:$B$1369,MATCH(820,Engine!$C$2:$C$1369,0)))</f>
        <v/>
      </c>
      <c r="C833" s="8">
        <f>IF(ISNA(MATCH(820,Engine!$C$2:$C$1369,0)),"",INDEX('Compliance Database'!$C$2:$C$1369,MATCH(820,Engine!$C$2:$C$1369,0)))</f>
        <v/>
      </c>
      <c r="D833" s="9">
        <f>IF(ISNA(MATCH(820,Engine!$C$2:$C$1369,0)),"",INDEX('Compliance Database'!$D$2:$D$1369,MATCH(820,Engine!$C$2:$C$1369,0)))</f>
        <v/>
      </c>
      <c r="E833" s="8">
        <f>IF(ISNA(MATCH(820,Engine!$C$2:$C$1369,0)),"",INDEX('Compliance Database'!$E$2:$E$1369,MATCH(820,Engine!$C$2:$C$1369,0)))</f>
        <v/>
      </c>
      <c r="F833" s="8">
        <f>IF(ISNA(MATCH(820,Engine!$C$2:$C$1369,0)),"",INDEX('Compliance Database'!$F$2:$F$1369,MATCH(820,Engine!$C$2:$C$1369,0)))</f>
        <v/>
      </c>
      <c r="G833" s="8">
        <f>IF(ISNA(MATCH(820,Engine!$C$2:$C$1369,0)),"",INDEX('Compliance Database'!$G$2:$G$1369,MATCH(820,Engine!$C$2:$C$1369,0)))</f>
        <v/>
      </c>
      <c r="H833" s="9">
        <f>IF(ISNA(MATCH(820,Engine!$C$2:$C$1369,0)),"",INDEX('Compliance Database'!$H$2:$H$1369,MATCH(820,Engine!$C$2:$C$1369,0)))</f>
        <v/>
      </c>
      <c r="I833" s="9">
        <f>IF(ISNA(MATCH(820,Engine!$C$2:$C$1369,0)),"",INDEX('Compliance Database'!$I$2:$I$1369,MATCH(820,Engine!$C$2:$C$1369,0)))</f>
        <v/>
      </c>
      <c r="J833" s="8">
        <f>IF(ISNA(MATCH(820,Engine!$C$2:$C$1369,0)),"",INDEX('Compliance Database'!$J$2:$J$1369,MATCH(820,Engine!$C$2:$C$1369,0)))</f>
        <v/>
      </c>
      <c r="K833" s="9">
        <f>IF(ISNA(MATCH(820,Engine!$C$2:$C$1369,0)),"",INDEX('Compliance Database'!$K$2:$K$1369,MATCH(820,Engine!$C$2:$C$1369,0)))</f>
        <v/>
      </c>
      <c r="L833" s="9">
        <f>IF(ISNA(MATCH(820,Engine!$C$2:$C$1369,0)),"",INDEX('Compliance Database'!$L$2:$L$1369,MATCH(820,Engine!$C$2:$C$1369,0)))</f>
        <v/>
      </c>
      <c r="M833" s="9">
        <f>IF(ISNA(MATCH(820,Engine!$C$2:$C$1369,0)),"",INDEX('Compliance Database'!$M$2:$M$1369,MATCH(820,Engine!$C$2:$C$1369,0)))</f>
        <v/>
      </c>
      <c r="N833" s="9">
        <f>IF(ISNA(MATCH(820,Engine!$C$2:$C$1369,0)),"",INDEX('Compliance Database'!$N$2:$N$1369,MATCH(820,Engine!$C$2:$C$1369,0)))</f>
        <v/>
      </c>
      <c r="O833" s="8">
        <f>IF(ISNA(MATCH(820,Engine!$C$2:$C$1369,0)),"",HYPERLINK(INDEX('Compliance Database'!$O$2:$O$1369,MATCH(820,Engine!$C$2:$C$1369,0)),"Open PDF"))</f>
        <v/>
      </c>
    </row>
    <row r="834" ht="188" customHeight="1">
      <c r="A834" s="8">
        <f>IF(ISNA(MATCH(821,Engine!$C$2:$C$1369,0)),"",INDEX('Compliance Database'!$A$2:$A$1369,MATCH(821,Engine!$C$2:$C$1369,0)))</f>
        <v/>
      </c>
      <c r="B834" s="8">
        <f>IF(ISNA(MATCH(821,Engine!$C$2:$C$1369,0)),"",INDEX('Compliance Database'!$B$2:$B$1369,MATCH(821,Engine!$C$2:$C$1369,0)))</f>
        <v/>
      </c>
      <c r="C834" s="8">
        <f>IF(ISNA(MATCH(821,Engine!$C$2:$C$1369,0)),"",INDEX('Compliance Database'!$C$2:$C$1369,MATCH(821,Engine!$C$2:$C$1369,0)))</f>
        <v/>
      </c>
      <c r="D834" s="9">
        <f>IF(ISNA(MATCH(821,Engine!$C$2:$C$1369,0)),"",INDEX('Compliance Database'!$D$2:$D$1369,MATCH(821,Engine!$C$2:$C$1369,0)))</f>
        <v/>
      </c>
      <c r="E834" s="8">
        <f>IF(ISNA(MATCH(821,Engine!$C$2:$C$1369,0)),"",INDEX('Compliance Database'!$E$2:$E$1369,MATCH(821,Engine!$C$2:$C$1369,0)))</f>
        <v/>
      </c>
      <c r="F834" s="8">
        <f>IF(ISNA(MATCH(821,Engine!$C$2:$C$1369,0)),"",INDEX('Compliance Database'!$F$2:$F$1369,MATCH(821,Engine!$C$2:$C$1369,0)))</f>
        <v/>
      </c>
      <c r="G834" s="8">
        <f>IF(ISNA(MATCH(821,Engine!$C$2:$C$1369,0)),"",INDEX('Compliance Database'!$G$2:$G$1369,MATCH(821,Engine!$C$2:$C$1369,0)))</f>
        <v/>
      </c>
      <c r="H834" s="9">
        <f>IF(ISNA(MATCH(821,Engine!$C$2:$C$1369,0)),"",INDEX('Compliance Database'!$H$2:$H$1369,MATCH(821,Engine!$C$2:$C$1369,0)))</f>
        <v/>
      </c>
      <c r="I834" s="9">
        <f>IF(ISNA(MATCH(821,Engine!$C$2:$C$1369,0)),"",INDEX('Compliance Database'!$I$2:$I$1369,MATCH(821,Engine!$C$2:$C$1369,0)))</f>
        <v/>
      </c>
      <c r="J834" s="8">
        <f>IF(ISNA(MATCH(821,Engine!$C$2:$C$1369,0)),"",INDEX('Compliance Database'!$J$2:$J$1369,MATCH(821,Engine!$C$2:$C$1369,0)))</f>
        <v/>
      </c>
      <c r="K834" s="9">
        <f>IF(ISNA(MATCH(821,Engine!$C$2:$C$1369,0)),"",INDEX('Compliance Database'!$K$2:$K$1369,MATCH(821,Engine!$C$2:$C$1369,0)))</f>
        <v/>
      </c>
      <c r="L834" s="9">
        <f>IF(ISNA(MATCH(821,Engine!$C$2:$C$1369,0)),"",INDEX('Compliance Database'!$L$2:$L$1369,MATCH(821,Engine!$C$2:$C$1369,0)))</f>
        <v/>
      </c>
      <c r="M834" s="9">
        <f>IF(ISNA(MATCH(821,Engine!$C$2:$C$1369,0)),"",INDEX('Compliance Database'!$M$2:$M$1369,MATCH(821,Engine!$C$2:$C$1369,0)))</f>
        <v/>
      </c>
      <c r="N834" s="9">
        <f>IF(ISNA(MATCH(821,Engine!$C$2:$C$1369,0)),"",INDEX('Compliance Database'!$N$2:$N$1369,MATCH(821,Engine!$C$2:$C$1369,0)))</f>
        <v/>
      </c>
      <c r="O834" s="8">
        <f>IF(ISNA(MATCH(821,Engine!$C$2:$C$1369,0)),"",HYPERLINK(INDEX('Compliance Database'!$O$2:$O$1369,MATCH(821,Engine!$C$2:$C$1369,0)),"Open PDF"))</f>
        <v/>
      </c>
    </row>
    <row r="835" ht="188" customHeight="1">
      <c r="A835" s="8">
        <f>IF(ISNA(MATCH(822,Engine!$C$2:$C$1369,0)),"",INDEX('Compliance Database'!$A$2:$A$1369,MATCH(822,Engine!$C$2:$C$1369,0)))</f>
        <v/>
      </c>
      <c r="B835" s="8">
        <f>IF(ISNA(MATCH(822,Engine!$C$2:$C$1369,0)),"",INDEX('Compliance Database'!$B$2:$B$1369,MATCH(822,Engine!$C$2:$C$1369,0)))</f>
        <v/>
      </c>
      <c r="C835" s="8">
        <f>IF(ISNA(MATCH(822,Engine!$C$2:$C$1369,0)),"",INDEX('Compliance Database'!$C$2:$C$1369,MATCH(822,Engine!$C$2:$C$1369,0)))</f>
        <v/>
      </c>
      <c r="D835" s="9">
        <f>IF(ISNA(MATCH(822,Engine!$C$2:$C$1369,0)),"",INDEX('Compliance Database'!$D$2:$D$1369,MATCH(822,Engine!$C$2:$C$1369,0)))</f>
        <v/>
      </c>
      <c r="E835" s="8">
        <f>IF(ISNA(MATCH(822,Engine!$C$2:$C$1369,0)),"",INDEX('Compliance Database'!$E$2:$E$1369,MATCH(822,Engine!$C$2:$C$1369,0)))</f>
        <v/>
      </c>
      <c r="F835" s="8">
        <f>IF(ISNA(MATCH(822,Engine!$C$2:$C$1369,0)),"",INDEX('Compliance Database'!$F$2:$F$1369,MATCH(822,Engine!$C$2:$C$1369,0)))</f>
        <v/>
      </c>
      <c r="G835" s="8">
        <f>IF(ISNA(MATCH(822,Engine!$C$2:$C$1369,0)),"",INDEX('Compliance Database'!$G$2:$G$1369,MATCH(822,Engine!$C$2:$C$1369,0)))</f>
        <v/>
      </c>
      <c r="H835" s="9">
        <f>IF(ISNA(MATCH(822,Engine!$C$2:$C$1369,0)),"",INDEX('Compliance Database'!$H$2:$H$1369,MATCH(822,Engine!$C$2:$C$1369,0)))</f>
        <v/>
      </c>
      <c r="I835" s="9">
        <f>IF(ISNA(MATCH(822,Engine!$C$2:$C$1369,0)),"",INDEX('Compliance Database'!$I$2:$I$1369,MATCH(822,Engine!$C$2:$C$1369,0)))</f>
        <v/>
      </c>
      <c r="J835" s="8">
        <f>IF(ISNA(MATCH(822,Engine!$C$2:$C$1369,0)),"",INDEX('Compliance Database'!$J$2:$J$1369,MATCH(822,Engine!$C$2:$C$1369,0)))</f>
        <v/>
      </c>
      <c r="K835" s="9">
        <f>IF(ISNA(MATCH(822,Engine!$C$2:$C$1369,0)),"",INDEX('Compliance Database'!$K$2:$K$1369,MATCH(822,Engine!$C$2:$C$1369,0)))</f>
        <v/>
      </c>
      <c r="L835" s="9">
        <f>IF(ISNA(MATCH(822,Engine!$C$2:$C$1369,0)),"",INDEX('Compliance Database'!$L$2:$L$1369,MATCH(822,Engine!$C$2:$C$1369,0)))</f>
        <v/>
      </c>
      <c r="M835" s="9">
        <f>IF(ISNA(MATCH(822,Engine!$C$2:$C$1369,0)),"",INDEX('Compliance Database'!$M$2:$M$1369,MATCH(822,Engine!$C$2:$C$1369,0)))</f>
        <v/>
      </c>
      <c r="N835" s="9">
        <f>IF(ISNA(MATCH(822,Engine!$C$2:$C$1369,0)),"",INDEX('Compliance Database'!$N$2:$N$1369,MATCH(822,Engine!$C$2:$C$1369,0)))</f>
        <v/>
      </c>
      <c r="O835" s="8">
        <f>IF(ISNA(MATCH(822,Engine!$C$2:$C$1369,0)),"",HYPERLINK(INDEX('Compliance Database'!$O$2:$O$1369,MATCH(822,Engine!$C$2:$C$1369,0)),"Open PDF"))</f>
        <v/>
      </c>
    </row>
    <row r="836" ht="188" customHeight="1">
      <c r="A836" s="8">
        <f>IF(ISNA(MATCH(823,Engine!$C$2:$C$1369,0)),"",INDEX('Compliance Database'!$A$2:$A$1369,MATCH(823,Engine!$C$2:$C$1369,0)))</f>
        <v/>
      </c>
      <c r="B836" s="8">
        <f>IF(ISNA(MATCH(823,Engine!$C$2:$C$1369,0)),"",INDEX('Compliance Database'!$B$2:$B$1369,MATCH(823,Engine!$C$2:$C$1369,0)))</f>
        <v/>
      </c>
      <c r="C836" s="8">
        <f>IF(ISNA(MATCH(823,Engine!$C$2:$C$1369,0)),"",INDEX('Compliance Database'!$C$2:$C$1369,MATCH(823,Engine!$C$2:$C$1369,0)))</f>
        <v/>
      </c>
      <c r="D836" s="9">
        <f>IF(ISNA(MATCH(823,Engine!$C$2:$C$1369,0)),"",INDEX('Compliance Database'!$D$2:$D$1369,MATCH(823,Engine!$C$2:$C$1369,0)))</f>
        <v/>
      </c>
      <c r="E836" s="8">
        <f>IF(ISNA(MATCH(823,Engine!$C$2:$C$1369,0)),"",INDEX('Compliance Database'!$E$2:$E$1369,MATCH(823,Engine!$C$2:$C$1369,0)))</f>
        <v/>
      </c>
      <c r="F836" s="8">
        <f>IF(ISNA(MATCH(823,Engine!$C$2:$C$1369,0)),"",INDEX('Compliance Database'!$F$2:$F$1369,MATCH(823,Engine!$C$2:$C$1369,0)))</f>
        <v/>
      </c>
      <c r="G836" s="8">
        <f>IF(ISNA(MATCH(823,Engine!$C$2:$C$1369,0)),"",INDEX('Compliance Database'!$G$2:$G$1369,MATCH(823,Engine!$C$2:$C$1369,0)))</f>
        <v/>
      </c>
      <c r="H836" s="9">
        <f>IF(ISNA(MATCH(823,Engine!$C$2:$C$1369,0)),"",INDEX('Compliance Database'!$H$2:$H$1369,MATCH(823,Engine!$C$2:$C$1369,0)))</f>
        <v/>
      </c>
      <c r="I836" s="9">
        <f>IF(ISNA(MATCH(823,Engine!$C$2:$C$1369,0)),"",INDEX('Compliance Database'!$I$2:$I$1369,MATCH(823,Engine!$C$2:$C$1369,0)))</f>
        <v/>
      </c>
      <c r="J836" s="8">
        <f>IF(ISNA(MATCH(823,Engine!$C$2:$C$1369,0)),"",INDEX('Compliance Database'!$J$2:$J$1369,MATCH(823,Engine!$C$2:$C$1369,0)))</f>
        <v/>
      </c>
      <c r="K836" s="9">
        <f>IF(ISNA(MATCH(823,Engine!$C$2:$C$1369,0)),"",INDEX('Compliance Database'!$K$2:$K$1369,MATCH(823,Engine!$C$2:$C$1369,0)))</f>
        <v/>
      </c>
      <c r="L836" s="9">
        <f>IF(ISNA(MATCH(823,Engine!$C$2:$C$1369,0)),"",INDEX('Compliance Database'!$L$2:$L$1369,MATCH(823,Engine!$C$2:$C$1369,0)))</f>
        <v/>
      </c>
      <c r="M836" s="9">
        <f>IF(ISNA(MATCH(823,Engine!$C$2:$C$1369,0)),"",INDEX('Compliance Database'!$M$2:$M$1369,MATCH(823,Engine!$C$2:$C$1369,0)))</f>
        <v/>
      </c>
      <c r="N836" s="9">
        <f>IF(ISNA(MATCH(823,Engine!$C$2:$C$1369,0)),"",INDEX('Compliance Database'!$N$2:$N$1369,MATCH(823,Engine!$C$2:$C$1369,0)))</f>
        <v/>
      </c>
      <c r="O836" s="8">
        <f>IF(ISNA(MATCH(823,Engine!$C$2:$C$1369,0)),"",HYPERLINK(INDEX('Compliance Database'!$O$2:$O$1369,MATCH(823,Engine!$C$2:$C$1369,0)),"Open PDF"))</f>
        <v/>
      </c>
    </row>
    <row r="837" ht="188" customHeight="1">
      <c r="A837" s="8">
        <f>IF(ISNA(MATCH(824,Engine!$C$2:$C$1369,0)),"",INDEX('Compliance Database'!$A$2:$A$1369,MATCH(824,Engine!$C$2:$C$1369,0)))</f>
        <v/>
      </c>
      <c r="B837" s="8">
        <f>IF(ISNA(MATCH(824,Engine!$C$2:$C$1369,0)),"",INDEX('Compliance Database'!$B$2:$B$1369,MATCH(824,Engine!$C$2:$C$1369,0)))</f>
        <v/>
      </c>
      <c r="C837" s="8">
        <f>IF(ISNA(MATCH(824,Engine!$C$2:$C$1369,0)),"",INDEX('Compliance Database'!$C$2:$C$1369,MATCH(824,Engine!$C$2:$C$1369,0)))</f>
        <v/>
      </c>
      <c r="D837" s="9">
        <f>IF(ISNA(MATCH(824,Engine!$C$2:$C$1369,0)),"",INDEX('Compliance Database'!$D$2:$D$1369,MATCH(824,Engine!$C$2:$C$1369,0)))</f>
        <v/>
      </c>
      <c r="E837" s="8">
        <f>IF(ISNA(MATCH(824,Engine!$C$2:$C$1369,0)),"",INDEX('Compliance Database'!$E$2:$E$1369,MATCH(824,Engine!$C$2:$C$1369,0)))</f>
        <v/>
      </c>
      <c r="F837" s="8">
        <f>IF(ISNA(MATCH(824,Engine!$C$2:$C$1369,0)),"",INDEX('Compliance Database'!$F$2:$F$1369,MATCH(824,Engine!$C$2:$C$1369,0)))</f>
        <v/>
      </c>
      <c r="G837" s="8">
        <f>IF(ISNA(MATCH(824,Engine!$C$2:$C$1369,0)),"",INDEX('Compliance Database'!$G$2:$G$1369,MATCH(824,Engine!$C$2:$C$1369,0)))</f>
        <v/>
      </c>
      <c r="H837" s="9">
        <f>IF(ISNA(MATCH(824,Engine!$C$2:$C$1369,0)),"",INDEX('Compliance Database'!$H$2:$H$1369,MATCH(824,Engine!$C$2:$C$1369,0)))</f>
        <v/>
      </c>
      <c r="I837" s="9">
        <f>IF(ISNA(MATCH(824,Engine!$C$2:$C$1369,0)),"",INDEX('Compliance Database'!$I$2:$I$1369,MATCH(824,Engine!$C$2:$C$1369,0)))</f>
        <v/>
      </c>
      <c r="J837" s="8">
        <f>IF(ISNA(MATCH(824,Engine!$C$2:$C$1369,0)),"",INDEX('Compliance Database'!$J$2:$J$1369,MATCH(824,Engine!$C$2:$C$1369,0)))</f>
        <v/>
      </c>
      <c r="K837" s="9">
        <f>IF(ISNA(MATCH(824,Engine!$C$2:$C$1369,0)),"",INDEX('Compliance Database'!$K$2:$K$1369,MATCH(824,Engine!$C$2:$C$1369,0)))</f>
        <v/>
      </c>
      <c r="L837" s="9">
        <f>IF(ISNA(MATCH(824,Engine!$C$2:$C$1369,0)),"",INDEX('Compliance Database'!$L$2:$L$1369,MATCH(824,Engine!$C$2:$C$1369,0)))</f>
        <v/>
      </c>
      <c r="M837" s="9">
        <f>IF(ISNA(MATCH(824,Engine!$C$2:$C$1369,0)),"",INDEX('Compliance Database'!$M$2:$M$1369,MATCH(824,Engine!$C$2:$C$1369,0)))</f>
        <v/>
      </c>
      <c r="N837" s="9">
        <f>IF(ISNA(MATCH(824,Engine!$C$2:$C$1369,0)),"",INDEX('Compliance Database'!$N$2:$N$1369,MATCH(824,Engine!$C$2:$C$1369,0)))</f>
        <v/>
      </c>
      <c r="O837" s="8">
        <f>IF(ISNA(MATCH(824,Engine!$C$2:$C$1369,0)),"",HYPERLINK(INDEX('Compliance Database'!$O$2:$O$1369,MATCH(824,Engine!$C$2:$C$1369,0)),"Open PDF"))</f>
        <v/>
      </c>
    </row>
    <row r="838" ht="188" customHeight="1">
      <c r="A838" s="8">
        <f>IF(ISNA(MATCH(825,Engine!$C$2:$C$1369,0)),"",INDEX('Compliance Database'!$A$2:$A$1369,MATCH(825,Engine!$C$2:$C$1369,0)))</f>
        <v/>
      </c>
      <c r="B838" s="8">
        <f>IF(ISNA(MATCH(825,Engine!$C$2:$C$1369,0)),"",INDEX('Compliance Database'!$B$2:$B$1369,MATCH(825,Engine!$C$2:$C$1369,0)))</f>
        <v/>
      </c>
      <c r="C838" s="8">
        <f>IF(ISNA(MATCH(825,Engine!$C$2:$C$1369,0)),"",INDEX('Compliance Database'!$C$2:$C$1369,MATCH(825,Engine!$C$2:$C$1369,0)))</f>
        <v/>
      </c>
      <c r="D838" s="9">
        <f>IF(ISNA(MATCH(825,Engine!$C$2:$C$1369,0)),"",INDEX('Compliance Database'!$D$2:$D$1369,MATCH(825,Engine!$C$2:$C$1369,0)))</f>
        <v/>
      </c>
      <c r="E838" s="8">
        <f>IF(ISNA(MATCH(825,Engine!$C$2:$C$1369,0)),"",INDEX('Compliance Database'!$E$2:$E$1369,MATCH(825,Engine!$C$2:$C$1369,0)))</f>
        <v/>
      </c>
      <c r="F838" s="8">
        <f>IF(ISNA(MATCH(825,Engine!$C$2:$C$1369,0)),"",INDEX('Compliance Database'!$F$2:$F$1369,MATCH(825,Engine!$C$2:$C$1369,0)))</f>
        <v/>
      </c>
      <c r="G838" s="8">
        <f>IF(ISNA(MATCH(825,Engine!$C$2:$C$1369,0)),"",INDEX('Compliance Database'!$G$2:$G$1369,MATCH(825,Engine!$C$2:$C$1369,0)))</f>
        <v/>
      </c>
      <c r="H838" s="9">
        <f>IF(ISNA(MATCH(825,Engine!$C$2:$C$1369,0)),"",INDEX('Compliance Database'!$H$2:$H$1369,MATCH(825,Engine!$C$2:$C$1369,0)))</f>
        <v/>
      </c>
      <c r="I838" s="9">
        <f>IF(ISNA(MATCH(825,Engine!$C$2:$C$1369,0)),"",INDEX('Compliance Database'!$I$2:$I$1369,MATCH(825,Engine!$C$2:$C$1369,0)))</f>
        <v/>
      </c>
      <c r="J838" s="8">
        <f>IF(ISNA(MATCH(825,Engine!$C$2:$C$1369,0)),"",INDEX('Compliance Database'!$J$2:$J$1369,MATCH(825,Engine!$C$2:$C$1369,0)))</f>
        <v/>
      </c>
      <c r="K838" s="9">
        <f>IF(ISNA(MATCH(825,Engine!$C$2:$C$1369,0)),"",INDEX('Compliance Database'!$K$2:$K$1369,MATCH(825,Engine!$C$2:$C$1369,0)))</f>
        <v/>
      </c>
      <c r="L838" s="9">
        <f>IF(ISNA(MATCH(825,Engine!$C$2:$C$1369,0)),"",INDEX('Compliance Database'!$L$2:$L$1369,MATCH(825,Engine!$C$2:$C$1369,0)))</f>
        <v/>
      </c>
      <c r="M838" s="9">
        <f>IF(ISNA(MATCH(825,Engine!$C$2:$C$1369,0)),"",INDEX('Compliance Database'!$M$2:$M$1369,MATCH(825,Engine!$C$2:$C$1369,0)))</f>
        <v/>
      </c>
      <c r="N838" s="9">
        <f>IF(ISNA(MATCH(825,Engine!$C$2:$C$1369,0)),"",INDEX('Compliance Database'!$N$2:$N$1369,MATCH(825,Engine!$C$2:$C$1369,0)))</f>
        <v/>
      </c>
      <c r="O838" s="8">
        <f>IF(ISNA(MATCH(825,Engine!$C$2:$C$1369,0)),"",HYPERLINK(INDEX('Compliance Database'!$O$2:$O$1369,MATCH(825,Engine!$C$2:$C$1369,0)),"Open PDF"))</f>
        <v/>
      </c>
    </row>
    <row r="839" ht="188" customHeight="1">
      <c r="A839" s="8">
        <f>IF(ISNA(MATCH(826,Engine!$C$2:$C$1369,0)),"",INDEX('Compliance Database'!$A$2:$A$1369,MATCH(826,Engine!$C$2:$C$1369,0)))</f>
        <v/>
      </c>
      <c r="B839" s="8">
        <f>IF(ISNA(MATCH(826,Engine!$C$2:$C$1369,0)),"",INDEX('Compliance Database'!$B$2:$B$1369,MATCH(826,Engine!$C$2:$C$1369,0)))</f>
        <v/>
      </c>
      <c r="C839" s="8">
        <f>IF(ISNA(MATCH(826,Engine!$C$2:$C$1369,0)),"",INDEX('Compliance Database'!$C$2:$C$1369,MATCH(826,Engine!$C$2:$C$1369,0)))</f>
        <v/>
      </c>
      <c r="D839" s="9">
        <f>IF(ISNA(MATCH(826,Engine!$C$2:$C$1369,0)),"",INDEX('Compliance Database'!$D$2:$D$1369,MATCH(826,Engine!$C$2:$C$1369,0)))</f>
        <v/>
      </c>
      <c r="E839" s="8">
        <f>IF(ISNA(MATCH(826,Engine!$C$2:$C$1369,0)),"",INDEX('Compliance Database'!$E$2:$E$1369,MATCH(826,Engine!$C$2:$C$1369,0)))</f>
        <v/>
      </c>
      <c r="F839" s="8">
        <f>IF(ISNA(MATCH(826,Engine!$C$2:$C$1369,0)),"",INDEX('Compliance Database'!$F$2:$F$1369,MATCH(826,Engine!$C$2:$C$1369,0)))</f>
        <v/>
      </c>
      <c r="G839" s="8">
        <f>IF(ISNA(MATCH(826,Engine!$C$2:$C$1369,0)),"",INDEX('Compliance Database'!$G$2:$G$1369,MATCH(826,Engine!$C$2:$C$1369,0)))</f>
        <v/>
      </c>
      <c r="H839" s="9">
        <f>IF(ISNA(MATCH(826,Engine!$C$2:$C$1369,0)),"",INDEX('Compliance Database'!$H$2:$H$1369,MATCH(826,Engine!$C$2:$C$1369,0)))</f>
        <v/>
      </c>
      <c r="I839" s="9">
        <f>IF(ISNA(MATCH(826,Engine!$C$2:$C$1369,0)),"",INDEX('Compliance Database'!$I$2:$I$1369,MATCH(826,Engine!$C$2:$C$1369,0)))</f>
        <v/>
      </c>
      <c r="J839" s="8">
        <f>IF(ISNA(MATCH(826,Engine!$C$2:$C$1369,0)),"",INDEX('Compliance Database'!$J$2:$J$1369,MATCH(826,Engine!$C$2:$C$1369,0)))</f>
        <v/>
      </c>
      <c r="K839" s="9">
        <f>IF(ISNA(MATCH(826,Engine!$C$2:$C$1369,0)),"",INDEX('Compliance Database'!$K$2:$K$1369,MATCH(826,Engine!$C$2:$C$1369,0)))</f>
        <v/>
      </c>
      <c r="L839" s="9">
        <f>IF(ISNA(MATCH(826,Engine!$C$2:$C$1369,0)),"",INDEX('Compliance Database'!$L$2:$L$1369,MATCH(826,Engine!$C$2:$C$1369,0)))</f>
        <v/>
      </c>
      <c r="M839" s="9">
        <f>IF(ISNA(MATCH(826,Engine!$C$2:$C$1369,0)),"",INDEX('Compliance Database'!$M$2:$M$1369,MATCH(826,Engine!$C$2:$C$1369,0)))</f>
        <v/>
      </c>
      <c r="N839" s="9">
        <f>IF(ISNA(MATCH(826,Engine!$C$2:$C$1369,0)),"",INDEX('Compliance Database'!$N$2:$N$1369,MATCH(826,Engine!$C$2:$C$1369,0)))</f>
        <v/>
      </c>
      <c r="O839" s="8">
        <f>IF(ISNA(MATCH(826,Engine!$C$2:$C$1369,0)),"",HYPERLINK(INDEX('Compliance Database'!$O$2:$O$1369,MATCH(826,Engine!$C$2:$C$1369,0)),"Open PDF"))</f>
        <v/>
      </c>
    </row>
    <row r="840" ht="188" customHeight="1">
      <c r="A840" s="8">
        <f>IF(ISNA(MATCH(827,Engine!$C$2:$C$1369,0)),"",INDEX('Compliance Database'!$A$2:$A$1369,MATCH(827,Engine!$C$2:$C$1369,0)))</f>
        <v/>
      </c>
      <c r="B840" s="8">
        <f>IF(ISNA(MATCH(827,Engine!$C$2:$C$1369,0)),"",INDEX('Compliance Database'!$B$2:$B$1369,MATCH(827,Engine!$C$2:$C$1369,0)))</f>
        <v/>
      </c>
      <c r="C840" s="8">
        <f>IF(ISNA(MATCH(827,Engine!$C$2:$C$1369,0)),"",INDEX('Compliance Database'!$C$2:$C$1369,MATCH(827,Engine!$C$2:$C$1369,0)))</f>
        <v/>
      </c>
      <c r="D840" s="9">
        <f>IF(ISNA(MATCH(827,Engine!$C$2:$C$1369,0)),"",INDEX('Compliance Database'!$D$2:$D$1369,MATCH(827,Engine!$C$2:$C$1369,0)))</f>
        <v/>
      </c>
      <c r="E840" s="8">
        <f>IF(ISNA(MATCH(827,Engine!$C$2:$C$1369,0)),"",INDEX('Compliance Database'!$E$2:$E$1369,MATCH(827,Engine!$C$2:$C$1369,0)))</f>
        <v/>
      </c>
      <c r="F840" s="8">
        <f>IF(ISNA(MATCH(827,Engine!$C$2:$C$1369,0)),"",INDEX('Compliance Database'!$F$2:$F$1369,MATCH(827,Engine!$C$2:$C$1369,0)))</f>
        <v/>
      </c>
      <c r="G840" s="8">
        <f>IF(ISNA(MATCH(827,Engine!$C$2:$C$1369,0)),"",INDEX('Compliance Database'!$G$2:$G$1369,MATCH(827,Engine!$C$2:$C$1369,0)))</f>
        <v/>
      </c>
      <c r="H840" s="9">
        <f>IF(ISNA(MATCH(827,Engine!$C$2:$C$1369,0)),"",INDEX('Compliance Database'!$H$2:$H$1369,MATCH(827,Engine!$C$2:$C$1369,0)))</f>
        <v/>
      </c>
      <c r="I840" s="9">
        <f>IF(ISNA(MATCH(827,Engine!$C$2:$C$1369,0)),"",INDEX('Compliance Database'!$I$2:$I$1369,MATCH(827,Engine!$C$2:$C$1369,0)))</f>
        <v/>
      </c>
      <c r="J840" s="8">
        <f>IF(ISNA(MATCH(827,Engine!$C$2:$C$1369,0)),"",INDEX('Compliance Database'!$J$2:$J$1369,MATCH(827,Engine!$C$2:$C$1369,0)))</f>
        <v/>
      </c>
      <c r="K840" s="9">
        <f>IF(ISNA(MATCH(827,Engine!$C$2:$C$1369,0)),"",INDEX('Compliance Database'!$K$2:$K$1369,MATCH(827,Engine!$C$2:$C$1369,0)))</f>
        <v/>
      </c>
      <c r="L840" s="9">
        <f>IF(ISNA(MATCH(827,Engine!$C$2:$C$1369,0)),"",INDEX('Compliance Database'!$L$2:$L$1369,MATCH(827,Engine!$C$2:$C$1369,0)))</f>
        <v/>
      </c>
      <c r="M840" s="9">
        <f>IF(ISNA(MATCH(827,Engine!$C$2:$C$1369,0)),"",INDEX('Compliance Database'!$M$2:$M$1369,MATCH(827,Engine!$C$2:$C$1369,0)))</f>
        <v/>
      </c>
      <c r="N840" s="9">
        <f>IF(ISNA(MATCH(827,Engine!$C$2:$C$1369,0)),"",INDEX('Compliance Database'!$N$2:$N$1369,MATCH(827,Engine!$C$2:$C$1369,0)))</f>
        <v/>
      </c>
      <c r="O840" s="8">
        <f>IF(ISNA(MATCH(827,Engine!$C$2:$C$1369,0)),"",HYPERLINK(INDEX('Compliance Database'!$O$2:$O$1369,MATCH(827,Engine!$C$2:$C$1369,0)),"Open PDF"))</f>
        <v/>
      </c>
    </row>
    <row r="841" ht="188" customHeight="1">
      <c r="A841" s="8">
        <f>IF(ISNA(MATCH(828,Engine!$C$2:$C$1369,0)),"",INDEX('Compliance Database'!$A$2:$A$1369,MATCH(828,Engine!$C$2:$C$1369,0)))</f>
        <v/>
      </c>
      <c r="B841" s="8">
        <f>IF(ISNA(MATCH(828,Engine!$C$2:$C$1369,0)),"",INDEX('Compliance Database'!$B$2:$B$1369,MATCH(828,Engine!$C$2:$C$1369,0)))</f>
        <v/>
      </c>
      <c r="C841" s="8">
        <f>IF(ISNA(MATCH(828,Engine!$C$2:$C$1369,0)),"",INDEX('Compliance Database'!$C$2:$C$1369,MATCH(828,Engine!$C$2:$C$1369,0)))</f>
        <v/>
      </c>
      <c r="D841" s="9">
        <f>IF(ISNA(MATCH(828,Engine!$C$2:$C$1369,0)),"",INDEX('Compliance Database'!$D$2:$D$1369,MATCH(828,Engine!$C$2:$C$1369,0)))</f>
        <v/>
      </c>
      <c r="E841" s="8">
        <f>IF(ISNA(MATCH(828,Engine!$C$2:$C$1369,0)),"",INDEX('Compliance Database'!$E$2:$E$1369,MATCH(828,Engine!$C$2:$C$1369,0)))</f>
        <v/>
      </c>
      <c r="F841" s="8">
        <f>IF(ISNA(MATCH(828,Engine!$C$2:$C$1369,0)),"",INDEX('Compliance Database'!$F$2:$F$1369,MATCH(828,Engine!$C$2:$C$1369,0)))</f>
        <v/>
      </c>
      <c r="G841" s="8">
        <f>IF(ISNA(MATCH(828,Engine!$C$2:$C$1369,0)),"",INDEX('Compliance Database'!$G$2:$G$1369,MATCH(828,Engine!$C$2:$C$1369,0)))</f>
        <v/>
      </c>
      <c r="H841" s="9">
        <f>IF(ISNA(MATCH(828,Engine!$C$2:$C$1369,0)),"",INDEX('Compliance Database'!$H$2:$H$1369,MATCH(828,Engine!$C$2:$C$1369,0)))</f>
        <v/>
      </c>
      <c r="I841" s="9">
        <f>IF(ISNA(MATCH(828,Engine!$C$2:$C$1369,0)),"",INDEX('Compliance Database'!$I$2:$I$1369,MATCH(828,Engine!$C$2:$C$1369,0)))</f>
        <v/>
      </c>
      <c r="J841" s="8">
        <f>IF(ISNA(MATCH(828,Engine!$C$2:$C$1369,0)),"",INDEX('Compliance Database'!$J$2:$J$1369,MATCH(828,Engine!$C$2:$C$1369,0)))</f>
        <v/>
      </c>
      <c r="K841" s="9">
        <f>IF(ISNA(MATCH(828,Engine!$C$2:$C$1369,0)),"",INDEX('Compliance Database'!$K$2:$K$1369,MATCH(828,Engine!$C$2:$C$1369,0)))</f>
        <v/>
      </c>
      <c r="L841" s="9">
        <f>IF(ISNA(MATCH(828,Engine!$C$2:$C$1369,0)),"",INDEX('Compliance Database'!$L$2:$L$1369,MATCH(828,Engine!$C$2:$C$1369,0)))</f>
        <v/>
      </c>
      <c r="M841" s="9">
        <f>IF(ISNA(MATCH(828,Engine!$C$2:$C$1369,0)),"",INDEX('Compliance Database'!$M$2:$M$1369,MATCH(828,Engine!$C$2:$C$1369,0)))</f>
        <v/>
      </c>
      <c r="N841" s="9">
        <f>IF(ISNA(MATCH(828,Engine!$C$2:$C$1369,0)),"",INDEX('Compliance Database'!$N$2:$N$1369,MATCH(828,Engine!$C$2:$C$1369,0)))</f>
        <v/>
      </c>
      <c r="O841" s="8">
        <f>IF(ISNA(MATCH(828,Engine!$C$2:$C$1369,0)),"",HYPERLINK(INDEX('Compliance Database'!$O$2:$O$1369,MATCH(828,Engine!$C$2:$C$1369,0)),"Open PDF"))</f>
        <v/>
      </c>
    </row>
    <row r="842" ht="188" customHeight="1">
      <c r="A842" s="8">
        <f>IF(ISNA(MATCH(829,Engine!$C$2:$C$1369,0)),"",INDEX('Compliance Database'!$A$2:$A$1369,MATCH(829,Engine!$C$2:$C$1369,0)))</f>
        <v/>
      </c>
      <c r="B842" s="8">
        <f>IF(ISNA(MATCH(829,Engine!$C$2:$C$1369,0)),"",INDEX('Compliance Database'!$B$2:$B$1369,MATCH(829,Engine!$C$2:$C$1369,0)))</f>
        <v/>
      </c>
      <c r="C842" s="8">
        <f>IF(ISNA(MATCH(829,Engine!$C$2:$C$1369,0)),"",INDEX('Compliance Database'!$C$2:$C$1369,MATCH(829,Engine!$C$2:$C$1369,0)))</f>
        <v/>
      </c>
      <c r="D842" s="9">
        <f>IF(ISNA(MATCH(829,Engine!$C$2:$C$1369,0)),"",INDEX('Compliance Database'!$D$2:$D$1369,MATCH(829,Engine!$C$2:$C$1369,0)))</f>
        <v/>
      </c>
      <c r="E842" s="8">
        <f>IF(ISNA(MATCH(829,Engine!$C$2:$C$1369,0)),"",INDEX('Compliance Database'!$E$2:$E$1369,MATCH(829,Engine!$C$2:$C$1369,0)))</f>
        <v/>
      </c>
      <c r="F842" s="8">
        <f>IF(ISNA(MATCH(829,Engine!$C$2:$C$1369,0)),"",INDEX('Compliance Database'!$F$2:$F$1369,MATCH(829,Engine!$C$2:$C$1369,0)))</f>
        <v/>
      </c>
      <c r="G842" s="8">
        <f>IF(ISNA(MATCH(829,Engine!$C$2:$C$1369,0)),"",INDEX('Compliance Database'!$G$2:$G$1369,MATCH(829,Engine!$C$2:$C$1369,0)))</f>
        <v/>
      </c>
      <c r="H842" s="9">
        <f>IF(ISNA(MATCH(829,Engine!$C$2:$C$1369,0)),"",INDEX('Compliance Database'!$H$2:$H$1369,MATCH(829,Engine!$C$2:$C$1369,0)))</f>
        <v/>
      </c>
      <c r="I842" s="9">
        <f>IF(ISNA(MATCH(829,Engine!$C$2:$C$1369,0)),"",INDEX('Compliance Database'!$I$2:$I$1369,MATCH(829,Engine!$C$2:$C$1369,0)))</f>
        <v/>
      </c>
      <c r="J842" s="8">
        <f>IF(ISNA(MATCH(829,Engine!$C$2:$C$1369,0)),"",INDEX('Compliance Database'!$J$2:$J$1369,MATCH(829,Engine!$C$2:$C$1369,0)))</f>
        <v/>
      </c>
      <c r="K842" s="9">
        <f>IF(ISNA(MATCH(829,Engine!$C$2:$C$1369,0)),"",INDEX('Compliance Database'!$K$2:$K$1369,MATCH(829,Engine!$C$2:$C$1369,0)))</f>
        <v/>
      </c>
      <c r="L842" s="9">
        <f>IF(ISNA(MATCH(829,Engine!$C$2:$C$1369,0)),"",INDEX('Compliance Database'!$L$2:$L$1369,MATCH(829,Engine!$C$2:$C$1369,0)))</f>
        <v/>
      </c>
      <c r="M842" s="9">
        <f>IF(ISNA(MATCH(829,Engine!$C$2:$C$1369,0)),"",INDEX('Compliance Database'!$M$2:$M$1369,MATCH(829,Engine!$C$2:$C$1369,0)))</f>
        <v/>
      </c>
      <c r="N842" s="9">
        <f>IF(ISNA(MATCH(829,Engine!$C$2:$C$1369,0)),"",INDEX('Compliance Database'!$N$2:$N$1369,MATCH(829,Engine!$C$2:$C$1369,0)))</f>
        <v/>
      </c>
      <c r="O842" s="8">
        <f>IF(ISNA(MATCH(829,Engine!$C$2:$C$1369,0)),"",HYPERLINK(INDEX('Compliance Database'!$O$2:$O$1369,MATCH(829,Engine!$C$2:$C$1369,0)),"Open PDF"))</f>
        <v/>
      </c>
    </row>
    <row r="843" ht="188" customHeight="1">
      <c r="A843" s="8">
        <f>IF(ISNA(MATCH(830,Engine!$C$2:$C$1369,0)),"",INDEX('Compliance Database'!$A$2:$A$1369,MATCH(830,Engine!$C$2:$C$1369,0)))</f>
        <v/>
      </c>
      <c r="B843" s="8">
        <f>IF(ISNA(MATCH(830,Engine!$C$2:$C$1369,0)),"",INDEX('Compliance Database'!$B$2:$B$1369,MATCH(830,Engine!$C$2:$C$1369,0)))</f>
        <v/>
      </c>
      <c r="C843" s="8">
        <f>IF(ISNA(MATCH(830,Engine!$C$2:$C$1369,0)),"",INDEX('Compliance Database'!$C$2:$C$1369,MATCH(830,Engine!$C$2:$C$1369,0)))</f>
        <v/>
      </c>
      <c r="D843" s="9">
        <f>IF(ISNA(MATCH(830,Engine!$C$2:$C$1369,0)),"",INDEX('Compliance Database'!$D$2:$D$1369,MATCH(830,Engine!$C$2:$C$1369,0)))</f>
        <v/>
      </c>
      <c r="E843" s="8">
        <f>IF(ISNA(MATCH(830,Engine!$C$2:$C$1369,0)),"",INDEX('Compliance Database'!$E$2:$E$1369,MATCH(830,Engine!$C$2:$C$1369,0)))</f>
        <v/>
      </c>
      <c r="F843" s="8">
        <f>IF(ISNA(MATCH(830,Engine!$C$2:$C$1369,0)),"",INDEX('Compliance Database'!$F$2:$F$1369,MATCH(830,Engine!$C$2:$C$1369,0)))</f>
        <v/>
      </c>
      <c r="G843" s="8">
        <f>IF(ISNA(MATCH(830,Engine!$C$2:$C$1369,0)),"",INDEX('Compliance Database'!$G$2:$G$1369,MATCH(830,Engine!$C$2:$C$1369,0)))</f>
        <v/>
      </c>
      <c r="H843" s="9">
        <f>IF(ISNA(MATCH(830,Engine!$C$2:$C$1369,0)),"",INDEX('Compliance Database'!$H$2:$H$1369,MATCH(830,Engine!$C$2:$C$1369,0)))</f>
        <v/>
      </c>
      <c r="I843" s="9">
        <f>IF(ISNA(MATCH(830,Engine!$C$2:$C$1369,0)),"",INDEX('Compliance Database'!$I$2:$I$1369,MATCH(830,Engine!$C$2:$C$1369,0)))</f>
        <v/>
      </c>
      <c r="J843" s="8">
        <f>IF(ISNA(MATCH(830,Engine!$C$2:$C$1369,0)),"",INDEX('Compliance Database'!$J$2:$J$1369,MATCH(830,Engine!$C$2:$C$1369,0)))</f>
        <v/>
      </c>
      <c r="K843" s="9">
        <f>IF(ISNA(MATCH(830,Engine!$C$2:$C$1369,0)),"",INDEX('Compliance Database'!$K$2:$K$1369,MATCH(830,Engine!$C$2:$C$1369,0)))</f>
        <v/>
      </c>
      <c r="L843" s="9">
        <f>IF(ISNA(MATCH(830,Engine!$C$2:$C$1369,0)),"",INDEX('Compliance Database'!$L$2:$L$1369,MATCH(830,Engine!$C$2:$C$1369,0)))</f>
        <v/>
      </c>
      <c r="M843" s="9">
        <f>IF(ISNA(MATCH(830,Engine!$C$2:$C$1369,0)),"",INDEX('Compliance Database'!$M$2:$M$1369,MATCH(830,Engine!$C$2:$C$1369,0)))</f>
        <v/>
      </c>
      <c r="N843" s="9">
        <f>IF(ISNA(MATCH(830,Engine!$C$2:$C$1369,0)),"",INDEX('Compliance Database'!$N$2:$N$1369,MATCH(830,Engine!$C$2:$C$1369,0)))</f>
        <v/>
      </c>
      <c r="O843" s="8">
        <f>IF(ISNA(MATCH(830,Engine!$C$2:$C$1369,0)),"",HYPERLINK(INDEX('Compliance Database'!$O$2:$O$1369,MATCH(830,Engine!$C$2:$C$1369,0)),"Open PDF"))</f>
        <v/>
      </c>
    </row>
    <row r="844" ht="188" customHeight="1">
      <c r="A844" s="8">
        <f>IF(ISNA(MATCH(831,Engine!$C$2:$C$1369,0)),"",INDEX('Compliance Database'!$A$2:$A$1369,MATCH(831,Engine!$C$2:$C$1369,0)))</f>
        <v/>
      </c>
      <c r="B844" s="8">
        <f>IF(ISNA(MATCH(831,Engine!$C$2:$C$1369,0)),"",INDEX('Compliance Database'!$B$2:$B$1369,MATCH(831,Engine!$C$2:$C$1369,0)))</f>
        <v/>
      </c>
      <c r="C844" s="8">
        <f>IF(ISNA(MATCH(831,Engine!$C$2:$C$1369,0)),"",INDEX('Compliance Database'!$C$2:$C$1369,MATCH(831,Engine!$C$2:$C$1369,0)))</f>
        <v/>
      </c>
      <c r="D844" s="9">
        <f>IF(ISNA(MATCH(831,Engine!$C$2:$C$1369,0)),"",INDEX('Compliance Database'!$D$2:$D$1369,MATCH(831,Engine!$C$2:$C$1369,0)))</f>
        <v/>
      </c>
      <c r="E844" s="8">
        <f>IF(ISNA(MATCH(831,Engine!$C$2:$C$1369,0)),"",INDEX('Compliance Database'!$E$2:$E$1369,MATCH(831,Engine!$C$2:$C$1369,0)))</f>
        <v/>
      </c>
      <c r="F844" s="8">
        <f>IF(ISNA(MATCH(831,Engine!$C$2:$C$1369,0)),"",INDEX('Compliance Database'!$F$2:$F$1369,MATCH(831,Engine!$C$2:$C$1369,0)))</f>
        <v/>
      </c>
      <c r="G844" s="8">
        <f>IF(ISNA(MATCH(831,Engine!$C$2:$C$1369,0)),"",INDEX('Compliance Database'!$G$2:$G$1369,MATCH(831,Engine!$C$2:$C$1369,0)))</f>
        <v/>
      </c>
      <c r="H844" s="9">
        <f>IF(ISNA(MATCH(831,Engine!$C$2:$C$1369,0)),"",INDEX('Compliance Database'!$H$2:$H$1369,MATCH(831,Engine!$C$2:$C$1369,0)))</f>
        <v/>
      </c>
      <c r="I844" s="9">
        <f>IF(ISNA(MATCH(831,Engine!$C$2:$C$1369,0)),"",INDEX('Compliance Database'!$I$2:$I$1369,MATCH(831,Engine!$C$2:$C$1369,0)))</f>
        <v/>
      </c>
      <c r="J844" s="8">
        <f>IF(ISNA(MATCH(831,Engine!$C$2:$C$1369,0)),"",INDEX('Compliance Database'!$J$2:$J$1369,MATCH(831,Engine!$C$2:$C$1369,0)))</f>
        <v/>
      </c>
      <c r="K844" s="9">
        <f>IF(ISNA(MATCH(831,Engine!$C$2:$C$1369,0)),"",INDEX('Compliance Database'!$K$2:$K$1369,MATCH(831,Engine!$C$2:$C$1369,0)))</f>
        <v/>
      </c>
      <c r="L844" s="9">
        <f>IF(ISNA(MATCH(831,Engine!$C$2:$C$1369,0)),"",INDEX('Compliance Database'!$L$2:$L$1369,MATCH(831,Engine!$C$2:$C$1369,0)))</f>
        <v/>
      </c>
      <c r="M844" s="9">
        <f>IF(ISNA(MATCH(831,Engine!$C$2:$C$1369,0)),"",INDEX('Compliance Database'!$M$2:$M$1369,MATCH(831,Engine!$C$2:$C$1369,0)))</f>
        <v/>
      </c>
      <c r="N844" s="9">
        <f>IF(ISNA(MATCH(831,Engine!$C$2:$C$1369,0)),"",INDEX('Compliance Database'!$N$2:$N$1369,MATCH(831,Engine!$C$2:$C$1369,0)))</f>
        <v/>
      </c>
      <c r="O844" s="8">
        <f>IF(ISNA(MATCH(831,Engine!$C$2:$C$1369,0)),"",HYPERLINK(INDEX('Compliance Database'!$O$2:$O$1369,MATCH(831,Engine!$C$2:$C$1369,0)),"Open PDF"))</f>
        <v/>
      </c>
    </row>
    <row r="845" ht="188" customHeight="1">
      <c r="A845" s="8">
        <f>IF(ISNA(MATCH(832,Engine!$C$2:$C$1369,0)),"",INDEX('Compliance Database'!$A$2:$A$1369,MATCH(832,Engine!$C$2:$C$1369,0)))</f>
        <v/>
      </c>
      <c r="B845" s="8">
        <f>IF(ISNA(MATCH(832,Engine!$C$2:$C$1369,0)),"",INDEX('Compliance Database'!$B$2:$B$1369,MATCH(832,Engine!$C$2:$C$1369,0)))</f>
        <v/>
      </c>
      <c r="C845" s="8">
        <f>IF(ISNA(MATCH(832,Engine!$C$2:$C$1369,0)),"",INDEX('Compliance Database'!$C$2:$C$1369,MATCH(832,Engine!$C$2:$C$1369,0)))</f>
        <v/>
      </c>
      <c r="D845" s="9">
        <f>IF(ISNA(MATCH(832,Engine!$C$2:$C$1369,0)),"",INDEX('Compliance Database'!$D$2:$D$1369,MATCH(832,Engine!$C$2:$C$1369,0)))</f>
        <v/>
      </c>
      <c r="E845" s="8">
        <f>IF(ISNA(MATCH(832,Engine!$C$2:$C$1369,0)),"",INDEX('Compliance Database'!$E$2:$E$1369,MATCH(832,Engine!$C$2:$C$1369,0)))</f>
        <v/>
      </c>
      <c r="F845" s="8">
        <f>IF(ISNA(MATCH(832,Engine!$C$2:$C$1369,0)),"",INDEX('Compliance Database'!$F$2:$F$1369,MATCH(832,Engine!$C$2:$C$1369,0)))</f>
        <v/>
      </c>
      <c r="G845" s="8">
        <f>IF(ISNA(MATCH(832,Engine!$C$2:$C$1369,0)),"",INDEX('Compliance Database'!$G$2:$G$1369,MATCH(832,Engine!$C$2:$C$1369,0)))</f>
        <v/>
      </c>
      <c r="H845" s="9">
        <f>IF(ISNA(MATCH(832,Engine!$C$2:$C$1369,0)),"",INDEX('Compliance Database'!$H$2:$H$1369,MATCH(832,Engine!$C$2:$C$1369,0)))</f>
        <v/>
      </c>
      <c r="I845" s="9">
        <f>IF(ISNA(MATCH(832,Engine!$C$2:$C$1369,0)),"",INDEX('Compliance Database'!$I$2:$I$1369,MATCH(832,Engine!$C$2:$C$1369,0)))</f>
        <v/>
      </c>
      <c r="J845" s="8">
        <f>IF(ISNA(MATCH(832,Engine!$C$2:$C$1369,0)),"",INDEX('Compliance Database'!$J$2:$J$1369,MATCH(832,Engine!$C$2:$C$1369,0)))</f>
        <v/>
      </c>
      <c r="K845" s="9">
        <f>IF(ISNA(MATCH(832,Engine!$C$2:$C$1369,0)),"",INDEX('Compliance Database'!$K$2:$K$1369,MATCH(832,Engine!$C$2:$C$1369,0)))</f>
        <v/>
      </c>
      <c r="L845" s="9">
        <f>IF(ISNA(MATCH(832,Engine!$C$2:$C$1369,0)),"",INDEX('Compliance Database'!$L$2:$L$1369,MATCH(832,Engine!$C$2:$C$1369,0)))</f>
        <v/>
      </c>
      <c r="M845" s="9">
        <f>IF(ISNA(MATCH(832,Engine!$C$2:$C$1369,0)),"",INDEX('Compliance Database'!$M$2:$M$1369,MATCH(832,Engine!$C$2:$C$1369,0)))</f>
        <v/>
      </c>
      <c r="N845" s="9">
        <f>IF(ISNA(MATCH(832,Engine!$C$2:$C$1369,0)),"",INDEX('Compliance Database'!$N$2:$N$1369,MATCH(832,Engine!$C$2:$C$1369,0)))</f>
        <v/>
      </c>
      <c r="O845" s="8">
        <f>IF(ISNA(MATCH(832,Engine!$C$2:$C$1369,0)),"",HYPERLINK(INDEX('Compliance Database'!$O$2:$O$1369,MATCH(832,Engine!$C$2:$C$1369,0)),"Open PDF"))</f>
        <v/>
      </c>
    </row>
    <row r="846" ht="188" customHeight="1">
      <c r="A846" s="8">
        <f>IF(ISNA(MATCH(833,Engine!$C$2:$C$1369,0)),"",INDEX('Compliance Database'!$A$2:$A$1369,MATCH(833,Engine!$C$2:$C$1369,0)))</f>
        <v/>
      </c>
      <c r="B846" s="8">
        <f>IF(ISNA(MATCH(833,Engine!$C$2:$C$1369,0)),"",INDEX('Compliance Database'!$B$2:$B$1369,MATCH(833,Engine!$C$2:$C$1369,0)))</f>
        <v/>
      </c>
      <c r="C846" s="8">
        <f>IF(ISNA(MATCH(833,Engine!$C$2:$C$1369,0)),"",INDEX('Compliance Database'!$C$2:$C$1369,MATCH(833,Engine!$C$2:$C$1369,0)))</f>
        <v/>
      </c>
      <c r="D846" s="9">
        <f>IF(ISNA(MATCH(833,Engine!$C$2:$C$1369,0)),"",INDEX('Compliance Database'!$D$2:$D$1369,MATCH(833,Engine!$C$2:$C$1369,0)))</f>
        <v/>
      </c>
      <c r="E846" s="8">
        <f>IF(ISNA(MATCH(833,Engine!$C$2:$C$1369,0)),"",INDEX('Compliance Database'!$E$2:$E$1369,MATCH(833,Engine!$C$2:$C$1369,0)))</f>
        <v/>
      </c>
      <c r="F846" s="8">
        <f>IF(ISNA(MATCH(833,Engine!$C$2:$C$1369,0)),"",INDEX('Compliance Database'!$F$2:$F$1369,MATCH(833,Engine!$C$2:$C$1369,0)))</f>
        <v/>
      </c>
      <c r="G846" s="8">
        <f>IF(ISNA(MATCH(833,Engine!$C$2:$C$1369,0)),"",INDEX('Compliance Database'!$G$2:$G$1369,MATCH(833,Engine!$C$2:$C$1369,0)))</f>
        <v/>
      </c>
      <c r="H846" s="9">
        <f>IF(ISNA(MATCH(833,Engine!$C$2:$C$1369,0)),"",INDEX('Compliance Database'!$H$2:$H$1369,MATCH(833,Engine!$C$2:$C$1369,0)))</f>
        <v/>
      </c>
      <c r="I846" s="9">
        <f>IF(ISNA(MATCH(833,Engine!$C$2:$C$1369,0)),"",INDEX('Compliance Database'!$I$2:$I$1369,MATCH(833,Engine!$C$2:$C$1369,0)))</f>
        <v/>
      </c>
      <c r="J846" s="8">
        <f>IF(ISNA(MATCH(833,Engine!$C$2:$C$1369,0)),"",INDEX('Compliance Database'!$J$2:$J$1369,MATCH(833,Engine!$C$2:$C$1369,0)))</f>
        <v/>
      </c>
      <c r="K846" s="9">
        <f>IF(ISNA(MATCH(833,Engine!$C$2:$C$1369,0)),"",INDEX('Compliance Database'!$K$2:$K$1369,MATCH(833,Engine!$C$2:$C$1369,0)))</f>
        <v/>
      </c>
      <c r="L846" s="9">
        <f>IF(ISNA(MATCH(833,Engine!$C$2:$C$1369,0)),"",INDEX('Compliance Database'!$L$2:$L$1369,MATCH(833,Engine!$C$2:$C$1369,0)))</f>
        <v/>
      </c>
      <c r="M846" s="9">
        <f>IF(ISNA(MATCH(833,Engine!$C$2:$C$1369,0)),"",INDEX('Compliance Database'!$M$2:$M$1369,MATCH(833,Engine!$C$2:$C$1369,0)))</f>
        <v/>
      </c>
      <c r="N846" s="9">
        <f>IF(ISNA(MATCH(833,Engine!$C$2:$C$1369,0)),"",INDEX('Compliance Database'!$N$2:$N$1369,MATCH(833,Engine!$C$2:$C$1369,0)))</f>
        <v/>
      </c>
      <c r="O846" s="8">
        <f>IF(ISNA(MATCH(833,Engine!$C$2:$C$1369,0)),"",HYPERLINK(INDEX('Compliance Database'!$O$2:$O$1369,MATCH(833,Engine!$C$2:$C$1369,0)),"Open PDF"))</f>
        <v/>
      </c>
    </row>
    <row r="847" ht="188" customHeight="1">
      <c r="A847" s="8">
        <f>IF(ISNA(MATCH(834,Engine!$C$2:$C$1369,0)),"",INDEX('Compliance Database'!$A$2:$A$1369,MATCH(834,Engine!$C$2:$C$1369,0)))</f>
        <v/>
      </c>
      <c r="B847" s="8">
        <f>IF(ISNA(MATCH(834,Engine!$C$2:$C$1369,0)),"",INDEX('Compliance Database'!$B$2:$B$1369,MATCH(834,Engine!$C$2:$C$1369,0)))</f>
        <v/>
      </c>
      <c r="C847" s="8">
        <f>IF(ISNA(MATCH(834,Engine!$C$2:$C$1369,0)),"",INDEX('Compliance Database'!$C$2:$C$1369,MATCH(834,Engine!$C$2:$C$1369,0)))</f>
        <v/>
      </c>
      <c r="D847" s="9">
        <f>IF(ISNA(MATCH(834,Engine!$C$2:$C$1369,0)),"",INDEX('Compliance Database'!$D$2:$D$1369,MATCH(834,Engine!$C$2:$C$1369,0)))</f>
        <v/>
      </c>
      <c r="E847" s="8">
        <f>IF(ISNA(MATCH(834,Engine!$C$2:$C$1369,0)),"",INDEX('Compliance Database'!$E$2:$E$1369,MATCH(834,Engine!$C$2:$C$1369,0)))</f>
        <v/>
      </c>
      <c r="F847" s="8">
        <f>IF(ISNA(MATCH(834,Engine!$C$2:$C$1369,0)),"",INDEX('Compliance Database'!$F$2:$F$1369,MATCH(834,Engine!$C$2:$C$1369,0)))</f>
        <v/>
      </c>
      <c r="G847" s="8">
        <f>IF(ISNA(MATCH(834,Engine!$C$2:$C$1369,0)),"",INDEX('Compliance Database'!$G$2:$G$1369,MATCH(834,Engine!$C$2:$C$1369,0)))</f>
        <v/>
      </c>
      <c r="H847" s="9">
        <f>IF(ISNA(MATCH(834,Engine!$C$2:$C$1369,0)),"",INDEX('Compliance Database'!$H$2:$H$1369,MATCH(834,Engine!$C$2:$C$1369,0)))</f>
        <v/>
      </c>
      <c r="I847" s="9">
        <f>IF(ISNA(MATCH(834,Engine!$C$2:$C$1369,0)),"",INDEX('Compliance Database'!$I$2:$I$1369,MATCH(834,Engine!$C$2:$C$1369,0)))</f>
        <v/>
      </c>
      <c r="J847" s="8">
        <f>IF(ISNA(MATCH(834,Engine!$C$2:$C$1369,0)),"",INDEX('Compliance Database'!$J$2:$J$1369,MATCH(834,Engine!$C$2:$C$1369,0)))</f>
        <v/>
      </c>
      <c r="K847" s="9">
        <f>IF(ISNA(MATCH(834,Engine!$C$2:$C$1369,0)),"",INDEX('Compliance Database'!$K$2:$K$1369,MATCH(834,Engine!$C$2:$C$1369,0)))</f>
        <v/>
      </c>
      <c r="L847" s="9">
        <f>IF(ISNA(MATCH(834,Engine!$C$2:$C$1369,0)),"",INDEX('Compliance Database'!$L$2:$L$1369,MATCH(834,Engine!$C$2:$C$1369,0)))</f>
        <v/>
      </c>
      <c r="M847" s="9">
        <f>IF(ISNA(MATCH(834,Engine!$C$2:$C$1369,0)),"",INDEX('Compliance Database'!$M$2:$M$1369,MATCH(834,Engine!$C$2:$C$1369,0)))</f>
        <v/>
      </c>
      <c r="N847" s="9">
        <f>IF(ISNA(MATCH(834,Engine!$C$2:$C$1369,0)),"",INDEX('Compliance Database'!$N$2:$N$1369,MATCH(834,Engine!$C$2:$C$1369,0)))</f>
        <v/>
      </c>
      <c r="O847" s="8">
        <f>IF(ISNA(MATCH(834,Engine!$C$2:$C$1369,0)),"",HYPERLINK(INDEX('Compliance Database'!$O$2:$O$1369,MATCH(834,Engine!$C$2:$C$1369,0)),"Open PDF"))</f>
        <v/>
      </c>
    </row>
    <row r="848" ht="188" customHeight="1">
      <c r="A848" s="8">
        <f>IF(ISNA(MATCH(835,Engine!$C$2:$C$1369,0)),"",INDEX('Compliance Database'!$A$2:$A$1369,MATCH(835,Engine!$C$2:$C$1369,0)))</f>
        <v/>
      </c>
      <c r="B848" s="8">
        <f>IF(ISNA(MATCH(835,Engine!$C$2:$C$1369,0)),"",INDEX('Compliance Database'!$B$2:$B$1369,MATCH(835,Engine!$C$2:$C$1369,0)))</f>
        <v/>
      </c>
      <c r="C848" s="8">
        <f>IF(ISNA(MATCH(835,Engine!$C$2:$C$1369,0)),"",INDEX('Compliance Database'!$C$2:$C$1369,MATCH(835,Engine!$C$2:$C$1369,0)))</f>
        <v/>
      </c>
      <c r="D848" s="9">
        <f>IF(ISNA(MATCH(835,Engine!$C$2:$C$1369,0)),"",INDEX('Compliance Database'!$D$2:$D$1369,MATCH(835,Engine!$C$2:$C$1369,0)))</f>
        <v/>
      </c>
      <c r="E848" s="8">
        <f>IF(ISNA(MATCH(835,Engine!$C$2:$C$1369,0)),"",INDEX('Compliance Database'!$E$2:$E$1369,MATCH(835,Engine!$C$2:$C$1369,0)))</f>
        <v/>
      </c>
      <c r="F848" s="8">
        <f>IF(ISNA(MATCH(835,Engine!$C$2:$C$1369,0)),"",INDEX('Compliance Database'!$F$2:$F$1369,MATCH(835,Engine!$C$2:$C$1369,0)))</f>
        <v/>
      </c>
      <c r="G848" s="8">
        <f>IF(ISNA(MATCH(835,Engine!$C$2:$C$1369,0)),"",INDEX('Compliance Database'!$G$2:$G$1369,MATCH(835,Engine!$C$2:$C$1369,0)))</f>
        <v/>
      </c>
      <c r="H848" s="9">
        <f>IF(ISNA(MATCH(835,Engine!$C$2:$C$1369,0)),"",INDEX('Compliance Database'!$H$2:$H$1369,MATCH(835,Engine!$C$2:$C$1369,0)))</f>
        <v/>
      </c>
      <c r="I848" s="9">
        <f>IF(ISNA(MATCH(835,Engine!$C$2:$C$1369,0)),"",INDEX('Compliance Database'!$I$2:$I$1369,MATCH(835,Engine!$C$2:$C$1369,0)))</f>
        <v/>
      </c>
      <c r="J848" s="8">
        <f>IF(ISNA(MATCH(835,Engine!$C$2:$C$1369,0)),"",INDEX('Compliance Database'!$J$2:$J$1369,MATCH(835,Engine!$C$2:$C$1369,0)))</f>
        <v/>
      </c>
      <c r="K848" s="9">
        <f>IF(ISNA(MATCH(835,Engine!$C$2:$C$1369,0)),"",INDEX('Compliance Database'!$K$2:$K$1369,MATCH(835,Engine!$C$2:$C$1369,0)))</f>
        <v/>
      </c>
      <c r="L848" s="9">
        <f>IF(ISNA(MATCH(835,Engine!$C$2:$C$1369,0)),"",INDEX('Compliance Database'!$L$2:$L$1369,MATCH(835,Engine!$C$2:$C$1369,0)))</f>
        <v/>
      </c>
      <c r="M848" s="9">
        <f>IF(ISNA(MATCH(835,Engine!$C$2:$C$1369,0)),"",INDEX('Compliance Database'!$M$2:$M$1369,MATCH(835,Engine!$C$2:$C$1369,0)))</f>
        <v/>
      </c>
      <c r="N848" s="9">
        <f>IF(ISNA(MATCH(835,Engine!$C$2:$C$1369,0)),"",INDEX('Compliance Database'!$N$2:$N$1369,MATCH(835,Engine!$C$2:$C$1369,0)))</f>
        <v/>
      </c>
      <c r="O848" s="8">
        <f>IF(ISNA(MATCH(835,Engine!$C$2:$C$1369,0)),"",HYPERLINK(INDEX('Compliance Database'!$O$2:$O$1369,MATCH(835,Engine!$C$2:$C$1369,0)),"Open PDF"))</f>
        <v/>
      </c>
    </row>
    <row r="849" ht="188" customHeight="1">
      <c r="A849" s="8">
        <f>IF(ISNA(MATCH(836,Engine!$C$2:$C$1369,0)),"",INDEX('Compliance Database'!$A$2:$A$1369,MATCH(836,Engine!$C$2:$C$1369,0)))</f>
        <v/>
      </c>
      <c r="B849" s="8">
        <f>IF(ISNA(MATCH(836,Engine!$C$2:$C$1369,0)),"",INDEX('Compliance Database'!$B$2:$B$1369,MATCH(836,Engine!$C$2:$C$1369,0)))</f>
        <v/>
      </c>
      <c r="C849" s="8">
        <f>IF(ISNA(MATCH(836,Engine!$C$2:$C$1369,0)),"",INDEX('Compliance Database'!$C$2:$C$1369,MATCH(836,Engine!$C$2:$C$1369,0)))</f>
        <v/>
      </c>
      <c r="D849" s="9">
        <f>IF(ISNA(MATCH(836,Engine!$C$2:$C$1369,0)),"",INDEX('Compliance Database'!$D$2:$D$1369,MATCH(836,Engine!$C$2:$C$1369,0)))</f>
        <v/>
      </c>
      <c r="E849" s="8">
        <f>IF(ISNA(MATCH(836,Engine!$C$2:$C$1369,0)),"",INDEX('Compliance Database'!$E$2:$E$1369,MATCH(836,Engine!$C$2:$C$1369,0)))</f>
        <v/>
      </c>
      <c r="F849" s="8">
        <f>IF(ISNA(MATCH(836,Engine!$C$2:$C$1369,0)),"",INDEX('Compliance Database'!$F$2:$F$1369,MATCH(836,Engine!$C$2:$C$1369,0)))</f>
        <v/>
      </c>
      <c r="G849" s="8">
        <f>IF(ISNA(MATCH(836,Engine!$C$2:$C$1369,0)),"",INDEX('Compliance Database'!$G$2:$G$1369,MATCH(836,Engine!$C$2:$C$1369,0)))</f>
        <v/>
      </c>
      <c r="H849" s="9">
        <f>IF(ISNA(MATCH(836,Engine!$C$2:$C$1369,0)),"",INDEX('Compliance Database'!$H$2:$H$1369,MATCH(836,Engine!$C$2:$C$1369,0)))</f>
        <v/>
      </c>
      <c r="I849" s="9">
        <f>IF(ISNA(MATCH(836,Engine!$C$2:$C$1369,0)),"",INDEX('Compliance Database'!$I$2:$I$1369,MATCH(836,Engine!$C$2:$C$1369,0)))</f>
        <v/>
      </c>
      <c r="J849" s="8">
        <f>IF(ISNA(MATCH(836,Engine!$C$2:$C$1369,0)),"",INDEX('Compliance Database'!$J$2:$J$1369,MATCH(836,Engine!$C$2:$C$1369,0)))</f>
        <v/>
      </c>
      <c r="K849" s="9">
        <f>IF(ISNA(MATCH(836,Engine!$C$2:$C$1369,0)),"",INDEX('Compliance Database'!$K$2:$K$1369,MATCH(836,Engine!$C$2:$C$1369,0)))</f>
        <v/>
      </c>
      <c r="L849" s="9">
        <f>IF(ISNA(MATCH(836,Engine!$C$2:$C$1369,0)),"",INDEX('Compliance Database'!$L$2:$L$1369,MATCH(836,Engine!$C$2:$C$1369,0)))</f>
        <v/>
      </c>
      <c r="M849" s="9">
        <f>IF(ISNA(MATCH(836,Engine!$C$2:$C$1369,0)),"",INDEX('Compliance Database'!$M$2:$M$1369,MATCH(836,Engine!$C$2:$C$1369,0)))</f>
        <v/>
      </c>
      <c r="N849" s="9">
        <f>IF(ISNA(MATCH(836,Engine!$C$2:$C$1369,0)),"",INDEX('Compliance Database'!$N$2:$N$1369,MATCH(836,Engine!$C$2:$C$1369,0)))</f>
        <v/>
      </c>
      <c r="O849" s="8">
        <f>IF(ISNA(MATCH(836,Engine!$C$2:$C$1369,0)),"",HYPERLINK(INDEX('Compliance Database'!$O$2:$O$1369,MATCH(836,Engine!$C$2:$C$1369,0)),"Open PDF"))</f>
        <v/>
      </c>
    </row>
    <row r="850" ht="188" customHeight="1">
      <c r="A850" s="8">
        <f>IF(ISNA(MATCH(837,Engine!$C$2:$C$1369,0)),"",INDEX('Compliance Database'!$A$2:$A$1369,MATCH(837,Engine!$C$2:$C$1369,0)))</f>
        <v/>
      </c>
      <c r="B850" s="8">
        <f>IF(ISNA(MATCH(837,Engine!$C$2:$C$1369,0)),"",INDEX('Compliance Database'!$B$2:$B$1369,MATCH(837,Engine!$C$2:$C$1369,0)))</f>
        <v/>
      </c>
      <c r="C850" s="8">
        <f>IF(ISNA(MATCH(837,Engine!$C$2:$C$1369,0)),"",INDEX('Compliance Database'!$C$2:$C$1369,MATCH(837,Engine!$C$2:$C$1369,0)))</f>
        <v/>
      </c>
      <c r="D850" s="9">
        <f>IF(ISNA(MATCH(837,Engine!$C$2:$C$1369,0)),"",INDEX('Compliance Database'!$D$2:$D$1369,MATCH(837,Engine!$C$2:$C$1369,0)))</f>
        <v/>
      </c>
      <c r="E850" s="8">
        <f>IF(ISNA(MATCH(837,Engine!$C$2:$C$1369,0)),"",INDEX('Compliance Database'!$E$2:$E$1369,MATCH(837,Engine!$C$2:$C$1369,0)))</f>
        <v/>
      </c>
      <c r="F850" s="8">
        <f>IF(ISNA(MATCH(837,Engine!$C$2:$C$1369,0)),"",INDEX('Compliance Database'!$F$2:$F$1369,MATCH(837,Engine!$C$2:$C$1369,0)))</f>
        <v/>
      </c>
      <c r="G850" s="8">
        <f>IF(ISNA(MATCH(837,Engine!$C$2:$C$1369,0)),"",INDEX('Compliance Database'!$G$2:$G$1369,MATCH(837,Engine!$C$2:$C$1369,0)))</f>
        <v/>
      </c>
      <c r="H850" s="9">
        <f>IF(ISNA(MATCH(837,Engine!$C$2:$C$1369,0)),"",INDEX('Compliance Database'!$H$2:$H$1369,MATCH(837,Engine!$C$2:$C$1369,0)))</f>
        <v/>
      </c>
      <c r="I850" s="9">
        <f>IF(ISNA(MATCH(837,Engine!$C$2:$C$1369,0)),"",INDEX('Compliance Database'!$I$2:$I$1369,MATCH(837,Engine!$C$2:$C$1369,0)))</f>
        <v/>
      </c>
      <c r="J850" s="8">
        <f>IF(ISNA(MATCH(837,Engine!$C$2:$C$1369,0)),"",INDEX('Compliance Database'!$J$2:$J$1369,MATCH(837,Engine!$C$2:$C$1369,0)))</f>
        <v/>
      </c>
      <c r="K850" s="9">
        <f>IF(ISNA(MATCH(837,Engine!$C$2:$C$1369,0)),"",INDEX('Compliance Database'!$K$2:$K$1369,MATCH(837,Engine!$C$2:$C$1369,0)))</f>
        <v/>
      </c>
      <c r="L850" s="9">
        <f>IF(ISNA(MATCH(837,Engine!$C$2:$C$1369,0)),"",INDEX('Compliance Database'!$L$2:$L$1369,MATCH(837,Engine!$C$2:$C$1369,0)))</f>
        <v/>
      </c>
      <c r="M850" s="9">
        <f>IF(ISNA(MATCH(837,Engine!$C$2:$C$1369,0)),"",INDEX('Compliance Database'!$M$2:$M$1369,MATCH(837,Engine!$C$2:$C$1369,0)))</f>
        <v/>
      </c>
      <c r="N850" s="9">
        <f>IF(ISNA(MATCH(837,Engine!$C$2:$C$1369,0)),"",INDEX('Compliance Database'!$N$2:$N$1369,MATCH(837,Engine!$C$2:$C$1369,0)))</f>
        <v/>
      </c>
      <c r="O850" s="8">
        <f>IF(ISNA(MATCH(837,Engine!$C$2:$C$1369,0)),"",HYPERLINK(INDEX('Compliance Database'!$O$2:$O$1369,MATCH(837,Engine!$C$2:$C$1369,0)),"Open PDF"))</f>
        <v/>
      </c>
    </row>
    <row r="851" ht="188" customHeight="1">
      <c r="A851" s="8">
        <f>IF(ISNA(MATCH(838,Engine!$C$2:$C$1369,0)),"",INDEX('Compliance Database'!$A$2:$A$1369,MATCH(838,Engine!$C$2:$C$1369,0)))</f>
        <v/>
      </c>
      <c r="B851" s="8">
        <f>IF(ISNA(MATCH(838,Engine!$C$2:$C$1369,0)),"",INDEX('Compliance Database'!$B$2:$B$1369,MATCH(838,Engine!$C$2:$C$1369,0)))</f>
        <v/>
      </c>
      <c r="C851" s="8">
        <f>IF(ISNA(MATCH(838,Engine!$C$2:$C$1369,0)),"",INDEX('Compliance Database'!$C$2:$C$1369,MATCH(838,Engine!$C$2:$C$1369,0)))</f>
        <v/>
      </c>
      <c r="D851" s="9">
        <f>IF(ISNA(MATCH(838,Engine!$C$2:$C$1369,0)),"",INDEX('Compliance Database'!$D$2:$D$1369,MATCH(838,Engine!$C$2:$C$1369,0)))</f>
        <v/>
      </c>
      <c r="E851" s="8">
        <f>IF(ISNA(MATCH(838,Engine!$C$2:$C$1369,0)),"",INDEX('Compliance Database'!$E$2:$E$1369,MATCH(838,Engine!$C$2:$C$1369,0)))</f>
        <v/>
      </c>
      <c r="F851" s="8">
        <f>IF(ISNA(MATCH(838,Engine!$C$2:$C$1369,0)),"",INDEX('Compliance Database'!$F$2:$F$1369,MATCH(838,Engine!$C$2:$C$1369,0)))</f>
        <v/>
      </c>
      <c r="G851" s="8">
        <f>IF(ISNA(MATCH(838,Engine!$C$2:$C$1369,0)),"",INDEX('Compliance Database'!$G$2:$G$1369,MATCH(838,Engine!$C$2:$C$1369,0)))</f>
        <v/>
      </c>
      <c r="H851" s="9">
        <f>IF(ISNA(MATCH(838,Engine!$C$2:$C$1369,0)),"",INDEX('Compliance Database'!$H$2:$H$1369,MATCH(838,Engine!$C$2:$C$1369,0)))</f>
        <v/>
      </c>
      <c r="I851" s="9">
        <f>IF(ISNA(MATCH(838,Engine!$C$2:$C$1369,0)),"",INDEX('Compliance Database'!$I$2:$I$1369,MATCH(838,Engine!$C$2:$C$1369,0)))</f>
        <v/>
      </c>
      <c r="J851" s="8">
        <f>IF(ISNA(MATCH(838,Engine!$C$2:$C$1369,0)),"",INDEX('Compliance Database'!$J$2:$J$1369,MATCH(838,Engine!$C$2:$C$1369,0)))</f>
        <v/>
      </c>
      <c r="K851" s="9">
        <f>IF(ISNA(MATCH(838,Engine!$C$2:$C$1369,0)),"",INDEX('Compliance Database'!$K$2:$K$1369,MATCH(838,Engine!$C$2:$C$1369,0)))</f>
        <v/>
      </c>
      <c r="L851" s="9">
        <f>IF(ISNA(MATCH(838,Engine!$C$2:$C$1369,0)),"",INDEX('Compliance Database'!$L$2:$L$1369,MATCH(838,Engine!$C$2:$C$1369,0)))</f>
        <v/>
      </c>
      <c r="M851" s="9">
        <f>IF(ISNA(MATCH(838,Engine!$C$2:$C$1369,0)),"",INDEX('Compliance Database'!$M$2:$M$1369,MATCH(838,Engine!$C$2:$C$1369,0)))</f>
        <v/>
      </c>
      <c r="N851" s="9">
        <f>IF(ISNA(MATCH(838,Engine!$C$2:$C$1369,0)),"",INDEX('Compliance Database'!$N$2:$N$1369,MATCH(838,Engine!$C$2:$C$1369,0)))</f>
        <v/>
      </c>
      <c r="O851" s="8">
        <f>IF(ISNA(MATCH(838,Engine!$C$2:$C$1369,0)),"",HYPERLINK(INDEX('Compliance Database'!$O$2:$O$1369,MATCH(838,Engine!$C$2:$C$1369,0)),"Open PDF"))</f>
        <v/>
      </c>
    </row>
    <row r="852" ht="188" customHeight="1">
      <c r="A852" s="8">
        <f>IF(ISNA(MATCH(839,Engine!$C$2:$C$1369,0)),"",INDEX('Compliance Database'!$A$2:$A$1369,MATCH(839,Engine!$C$2:$C$1369,0)))</f>
        <v/>
      </c>
      <c r="B852" s="8">
        <f>IF(ISNA(MATCH(839,Engine!$C$2:$C$1369,0)),"",INDEX('Compliance Database'!$B$2:$B$1369,MATCH(839,Engine!$C$2:$C$1369,0)))</f>
        <v/>
      </c>
      <c r="C852" s="8">
        <f>IF(ISNA(MATCH(839,Engine!$C$2:$C$1369,0)),"",INDEX('Compliance Database'!$C$2:$C$1369,MATCH(839,Engine!$C$2:$C$1369,0)))</f>
        <v/>
      </c>
      <c r="D852" s="9">
        <f>IF(ISNA(MATCH(839,Engine!$C$2:$C$1369,0)),"",INDEX('Compliance Database'!$D$2:$D$1369,MATCH(839,Engine!$C$2:$C$1369,0)))</f>
        <v/>
      </c>
      <c r="E852" s="8">
        <f>IF(ISNA(MATCH(839,Engine!$C$2:$C$1369,0)),"",INDEX('Compliance Database'!$E$2:$E$1369,MATCH(839,Engine!$C$2:$C$1369,0)))</f>
        <v/>
      </c>
      <c r="F852" s="8">
        <f>IF(ISNA(MATCH(839,Engine!$C$2:$C$1369,0)),"",INDEX('Compliance Database'!$F$2:$F$1369,MATCH(839,Engine!$C$2:$C$1369,0)))</f>
        <v/>
      </c>
      <c r="G852" s="8">
        <f>IF(ISNA(MATCH(839,Engine!$C$2:$C$1369,0)),"",INDEX('Compliance Database'!$G$2:$G$1369,MATCH(839,Engine!$C$2:$C$1369,0)))</f>
        <v/>
      </c>
      <c r="H852" s="9">
        <f>IF(ISNA(MATCH(839,Engine!$C$2:$C$1369,0)),"",INDEX('Compliance Database'!$H$2:$H$1369,MATCH(839,Engine!$C$2:$C$1369,0)))</f>
        <v/>
      </c>
      <c r="I852" s="9">
        <f>IF(ISNA(MATCH(839,Engine!$C$2:$C$1369,0)),"",INDEX('Compliance Database'!$I$2:$I$1369,MATCH(839,Engine!$C$2:$C$1369,0)))</f>
        <v/>
      </c>
      <c r="J852" s="8">
        <f>IF(ISNA(MATCH(839,Engine!$C$2:$C$1369,0)),"",INDEX('Compliance Database'!$J$2:$J$1369,MATCH(839,Engine!$C$2:$C$1369,0)))</f>
        <v/>
      </c>
      <c r="K852" s="9">
        <f>IF(ISNA(MATCH(839,Engine!$C$2:$C$1369,0)),"",INDEX('Compliance Database'!$K$2:$K$1369,MATCH(839,Engine!$C$2:$C$1369,0)))</f>
        <v/>
      </c>
      <c r="L852" s="9">
        <f>IF(ISNA(MATCH(839,Engine!$C$2:$C$1369,0)),"",INDEX('Compliance Database'!$L$2:$L$1369,MATCH(839,Engine!$C$2:$C$1369,0)))</f>
        <v/>
      </c>
      <c r="M852" s="9">
        <f>IF(ISNA(MATCH(839,Engine!$C$2:$C$1369,0)),"",INDEX('Compliance Database'!$M$2:$M$1369,MATCH(839,Engine!$C$2:$C$1369,0)))</f>
        <v/>
      </c>
      <c r="N852" s="9">
        <f>IF(ISNA(MATCH(839,Engine!$C$2:$C$1369,0)),"",INDEX('Compliance Database'!$N$2:$N$1369,MATCH(839,Engine!$C$2:$C$1369,0)))</f>
        <v/>
      </c>
      <c r="O852" s="8">
        <f>IF(ISNA(MATCH(839,Engine!$C$2:$C$1369,0)),"",HYPERLINK(INDEX('Compliance Database'!$O$2:$O$1369,MATCH(839,Engine!$C$2:$C$1369,0)),"Open PDF"))</f>
        <v/>
      </c>
    </row>
    <row r="853" ht="188" customHeight="1">
      <c r="A853" s="8">
        <f>IF(ISNA(MATCH(840,Engine!$C$2:$C$1369,0)),"",INDEX('Compliance Database'!$A$2:$A$1369,MATCH(840,Engine!$C$2:$C$1369,0)))</f>
        <v/>
      </c>
      <c r="B853" s="8">
        <f>IF(ISNA(MATCH(840,Engine!$C$2:$C$1369,0)),"",INDEX('Compliance Database'!$B$2:$B$1369,MATCH(840,Engine!$C$2:$C$1369,0)))</f>
        <v/>
      </c>
      <c r="C853" s="8">
        <f>IF(ISNA(MATCH(840,Engine!$C$2:$C$1369,0)),"",INDEX('Compliance Database'!$C$2:$C$1369,MATCH(840,Engine!$C$2:$C$1369,0)))</f>
        <v/>
      </c>
      <c r="D853" s="9">
        <f>IF(ISNA(MATCH(840,Engine!$C$2:$C$1369,0)),"",INDEX('Compliance Database'!$D$2:$D$1369,MATCH(840,Engine!$C$2:$C$1369,0)))</f>
        <v/>
      </c>
      <c r="E853" s="8">
        <f>IF(ISNA(MATCH(840,Engine!$C$2:$C$1369,0)),"",INDEX('Compliance Database'!$E$2:$E$1369,MATCH(840,Engine!$C$2:$C$1369,0)))</f>
        <v/>
      </c>
      <c r="F853" s="8">
        <f>IF(ISNA(MATCH(840,Engine!$C$2:$C$1369,0)),"",INDEX('Compliance Database'!$F$2:$F$1369,MATCH(840,Engine!$C$2:$C$1369,0)))</f>
        <v/>
      </c>
      <c r="G853" s="8">
        <f>IF(ISNA(MATCH(840,Engine!$C$2:$C$1369,0)),"",INDEX('Compliance Database'!$G$2:$G$1369,MATCH(840,Engine!$C$2:$C$1369,0)))</f>
        <v/>
      </c>
      <c r="H853" s="9">
        <f>IF(ISNA(MATCH(840,Engine!$C$2:$C$1369,0)),"",INDEX('Compliance Database'!$H$2:$H$1369,MATCH(840,Engine!$C$2:$C$1369,0)))</f>
        <v/>
      </c>
      <c r="I853" s="9">
        <f>IF(ISNA(MATCH(840,Engine!$C$2:$C$1369,0)),"",INDEX('Compliance Database'!$I$2:$I$1369,MATCH(840,Engine!$C$2:$C$1369,0)))</f>
        <v/>
      </c>
      <c r="J853" s="8">
        <f>IF(ISNA(MATCH(840,Engine!$C$2:$C$1369,0)),"",INDEX('Compliance Database'!$J$2:$J$1369,MATCH(840,Engine!$C$2:$C$1369,0)))</f>
        <v/>
      </c>
      <c r="K853" s="9">
        <f>IF(ISNA(MATCH(840,Engine!$C$2:$C$1369,0)),"",INDEX('Compliance Database'!$K$2:$K$1369,MATCH(840,Engine!$C$2:$C$1369,0)))</f>
        <v/>
      </c>
      <c r="L853" s="9">
        <f>IF(ISNA(MATCH(840,Engine!$C$2:$C$1369,0)),"",INDEX('Compliance Database'!$L$2:$L$1369,MATCH(840,Engine!$C$2:$C$1369,0)))</f>
        <v/>
      </c>
      <c r="M853" s="9">
        <f>IF(ISNA(MATCH(840,Engine!$C$2:$C$1369,0)),"",INDEX('Compliance Database'!$M$2:$M$1369,MATCH(840,Engine!$C$2:$C$1369,0)))</f>
        <v/>
      </c>
      <c r="N853" s="9">
        <f>IF(ISNA(MATCH(840,Engine!$C$2:$C$1369,0)),"",INDEX('Compliance Database'!$N$2:$N$1369,MATCH(840,Engine!$C$2:$C$1369,0)))</f>
        <v/>
      </c>
      <c r="O853" s="8">
        <f>IF(ISNA(MATCH(840,Engine!$C$2:$C$1369,0)),"",HYPERLINK(INDEX('Compliance Database'!$O$2:$O$1369,MATCH(840,Engine!$C$2:$C$1369,0)),"Open PDF"))</f>
        <v/>
      </c>
    </row>
    <row r="854" ht="188" customHeight="1">
      <c r="A854" s="8">
        <f>IF(ISNA(MATCH(841,Engine!$C$2:$C$1369,0)),"",INDEX('Compliance Database'!$A$2:$A$1369,MATCH(841,Engine!$C$2:$C$1369,0)))</f>
        <v/>
      </c>
      <c r="B854" s="8">
        <f>IF(ISNA(MATCH(841,Engine!$C$2:$C$1369,0)),"",INDEX('Compliance Database'!$B$2:$B$1369,MATCH(841,Engine!$C$2:$C$1369,0)))</f>
        <v/>
      </c>
      <c r="C854" s="8">
        <f>IF(ISNA(MATCH(841,Engine!$C$2:$C$1369,0)),"",INDEX('Compliance Database'!$C$2:$C$1369,MATCH(841,Engine!$C$2:$C$1369,0)))</f>
        <v/>
      </c>
      <c r="D854" s="9">
        <f>IF(ISNA(MATCH(841,Engine!$C$2:$C$1369,0)),"",INDEX('Compliance Database'!$D$2:$D$1369,MATCH(841,Engine!$C$2:$C$1369,0)))</f>
        <v/>
      </c>
      <c r="E854" s="8">
        <f>IF(ISNA(MATCH(841,Engine!$C$2:$C$1369,0)),"",INDEX('Compliance Database'!$E$2:$E$1369,MATCH(841,Engine!$C$2:$C$1369,0)))</f>
        <v/>
      </c>
      <c r="F854" s="8">
        <f>IF(ISNA(MATCH(841,Engine!$C$2:$C$1369,0)),"",INDEX('Compliance Database'!$F$2:$F$1369,MATCH(841,Engine!$C$2:$C$1369,0)))</f>
        <v/>
      </c>
      <c r="G854" s="8">
        <f>IF(ISNA(MATCH(841,Engine!$C$2:$C$1369,0)),"",INDEX('Compliance Database'!$G$2:$G$1369,MATCH(841,Engine!$C$2:$C$1369,0)))</f>
        <v/>
      </c>
      <c r="H854" s="9">
        <f>IF(ISNA(MATCH(841,Engine!$C$2:$C$1369,0)),"",INDEX('Compliance Database'!$H$2:$H$1369,MATCH(841,Engine!$C$2:$C$1369,0)))</f>
        <v/>
      </c>
      <c r="I854" s="9">
        <f>IF(ISNA(MATCH(841,Engine!$C$2:$C$1369,0)),"",INDEX('Compliance Database'!$I$2:$I$1369,MATCH(841,Engine!$C$2:$C$1369,0)))</f>
        <v/>
      </c>
      <c r="J854" s="8">
        <f>IF(ISNA(MATCH(841,Engine!$C$2:$C$1369,0)),"",INDEX('Compliance Database'!$J$2:$J$1369,MATCH(841,Engine!$C$2:$C$1369,0)))</f>
        <v/>
      </c>
      <c r="K854" s="9">
        <f>IF(ISNA(MATCH(841,Engine!$C$2:$C$1369,0)),"",INDEX('Compliance Database'!$K$2:$K$1369,MATCH(841,Engine!$C$2:$C$1369,0)))</f>
        <v/>
      </c>
      <c r="L854" s="9">
        <f>IF(ISNA(MATCH(841,Engine!$C$2:$C$1369,0)),"",INDEX('Compliance Database'!$L$2:$L$1369,MATCH(841,Engine!$C$2:$C$1369,0)))</f>
        <v/>
      </c>
      <c r="M854" s="9">
        <f>IF(ISNA(MATCH(841,Engine!$C$2:$C$1369,0)),"",INDEX('Compliance Database'!$M$2:$M$1369,MATCH(841,Engine!$C$2:$C$1369,0)))</f>
        <v/>
      </c>
      <c r="N854" s="9">
        <f>IF(ISNA(MATCH(841,Engine!$C$2:$C$1369,0)),"",INDEX('Compliance Database'!$N$2:$N$1369,MATCH(841,Engine!$C$2:$C$1369,0)))</f>
        <v/>
      </c>
      <c r="O854" s="8">
        <f>IF(ISNA(MATCH(841,Engine!$C$2:$C$1369,0)),"",HYPERLINK(INDEX('Compliance Database'!$O$2:$O$1369,MATCH(841,Engine!$C$2:$C$1369,0)),"Open PDF"))</f>
        <v/>
      </c>
    </row>
    <row r="855" ht="188" customHeight="1">
      <c r="A855" s="8">
        <f>IF(ISNA(MATCH(842,Engine!$C$2:$C$1369,0)),"",INDEX('Compliance Database'!$A$2:$A$1369,MATCH(842,Engine!$C$2:$C$1369,0)))</f>
        <v/>
      </c>
      <c r="B855" s="8">
        <f>IF(ISNA(MATCH(842,Engine!$C$2:$C$1369,0)),"",INDEX('Compliance Database'!$B$2:$B$1369,MATCH(842,Engine!$C$2:$C$1369,0)))</f>
        <v/>
      </c>
      <c r="C855" s="8">
        <f>IF(ISNA(MATCH(842,Engine!$C$2:$C$1369,0)),"",INDEX('Compliance Database'!$C$2:$C$1369,MATCH(842,Engine!$C$2:$C$1369,0)))</f>
        <v/>
      </c>
      <c r="D855" s="9">
        <f>IF(ISNA(MATCH(842,Engine!$C$2:$C$1369,0)),"",INDEX('Compliance Database'!$D$2:$D$1369,MATCH(842,Engine!$C$2:$C$1369,0)))</f>
        <v/>
      </c>
      <c r="E855" s="8">
        <f>IF(ISNA(MATCH(842,Engine!$C$2:$C$1369,0)),"",INDEX('Compliance Database'!$E$2:$E$1369,MATCH(842,Engine!$C$2:$C$1369,0)))</f>
        <v/>
      </c>
      <c r="F855" s="8">
        <f>IF(ISNA(MATCH(842,Engine!$C$2:$C$1369,0)),"",INDEX('Compliance Database'!$F$2:$F$1369,MATCH(842,Engine!$C$2:$C$1369,0)))</f>
        <v/>
      </c>
      <c r="G855" s="8">
        <f>IF(ISNA(MATCH(842,Engine!$C$2:$C$1369,0)),"",INDEX('Compliance Database'!$G$2:$G$1369,MATCH(842,Engine!$C$2:$C$1369,0)))</f>
        <v/>
      </c>
      <c r="H855" s="9">
        <f>IF(ISNA(MATCH(842,Engine!$C$2:$C$1369,0)),"",INDEX('Compliance Database'!$H$2:$H$1369,MATCH(842,Engine!$C$2:$C$1369,0)))</f>
        <v/>
      </c>
      <c r="I855" s="9">
        <f>IF(ISNA(MATCH(842,Engine!$C$2:$C$1369,0)),"",INDEX('Compliance Database'!$I$2:$I$1369,MATCH(842,Engine!$C$2:$C$1369,0)))</f>
        <v/>
      </c>
      <c r="J855" s="8">
        <f>IF(ISNA(MATCH(842,Engine!$C$2:$C$1369,0)),"",INDEX('Compliance Database'!$J$2:$J$1369,MATCH(842,Engine!$C$2:$C$1369,0)))</f>
        <v/>
      </c>
      <c r="K855" s="9">
        <f>IF(ISNA(MATCH(842,Engine!$C$2:$C$1369,0)),"",INDEX('Compliance Database'!$K$2:$K$1369,MATCH(842,Engine!$C$2:$C$1369,0)))</f>
        <v/>
      </c>
      <c r="L855" s="9">
        <f>IF(ISNA(MATCH(842,Engine!$C$2:$C$1369,0)),"",INDEX('Compliance Database'!$L$2:$L$1369,MATCH(842,Engine!$C$2:$C$1369,0)))</f>
        <v/>
      </c>
      <c r="M855" s="9">
        <f>IF(ISNA(MATCH(842,Engine!$C$2:$C$1369,0)),"",INDEX('Compliance Database'!$M$2:$M$1369,MATCH(842,Engine!$C$2:$C$1369,0)))</f>
        <v/>
      </c>
      <c r="N855" s="9">
        <f>IF(ISNA(MATCH(842,Engine!$C$2:$C$1369,0)),"",INDEX('Compliance Database'!$N$2:$N$1369,MATCH(842,Engine!$C$2:$C$1369,0)))</f>
        <v/>
      </c>
      <c r="O855" s="8">
        <f>IF(ISNA(MATCH(842,Engine!$C$2:$C$1369,0)),"",HYPERLINK(INDEX('Compliance Database'!$O$2:$O$1369,MATCH(842,Engine!$C$2:$C$1369,0)),"Open PDF"))</f>
        <v/>
      </c>
    </row>
    <row r="856" ht="188" customHeight="1">
      <c r="A856" s="8">
        <f>IF(ISNA(MATCH(843,Engine!$C$2:$C$1369,0)),"",INDEX('Compliance Database'!$A$2:$A$1369,MATCH(843,Engine!$C$2:$C$1369,0)))</f>
        <v/>
      </c>
      <c r="B856" s="8">
        <f>IF(ISNA(MATCH(843,Engine!$C$2:$C$1369,0)),"",INDEX('Compliance Database'!$B$2:$B$1369,MATCH(843,Engine!$C$2:$C$1369,0)))</f>
        <v/>
      </c>
      <c r="C856" s="8">
        <f>IF(ISNA(MATCH(843,Engine!$C$2:$C$1369,0)),"",INDEX('Compliance Database'!$C$2:$C$1369,MATCH(843,Engine!$C$2:$C$1369,0)))</f>
        <v/>
      </c>
      <c r="D856" s="9">
        <f>IF(ISNA(MATCH(843,Engine!$C$2:$C$1369,0)),"",INDEX('Compliance Database'!$D$2:$D$1369,MATCH(843,Engine!$C$2:$C$1369,0)))</f>
        <v/>
      </c>
      <c r="E856" s="8">
        <f>IF(ISNA(MATCH(843,Engine!$C$2:$C$1369,0)),"",INDEX('Compliance Database'!$E$2:$E$1369,MATCH(843,Engine!$C$2:$C$1369,0)))</f>
        <v/>
      </c>
      <c r="F856" s="8">
        <f>IF(ISNA(MATCH(843,Engine!$C$2:$C$1369,0)),"",INDEX('Compliance Database'!$F$2:$F$1369,MATCH(843,Engine!$C$2:$C$1369,0)))</f>
        <v/>
      </c>
      <c r="G856" s="8">
        <f>IF(ISNA(MATCH(843,Engine!$C$2:$C$1369,0)),"",INDEX('Compliance Database'!$G$2:$G$1369,MATCH(843,Engine!$C$2:$C$1369,0)))</f>
        <v/>
      </c>
      <c r="H856" s="9">
        <f>IF(ISNA(MATCH(843,Engine!$C$2:$C$1369,0)),"",INDEX('Compliance Database'!$H$2:$H$1369,MATCH(843,Engine!$C$2:$C$1369,0)))</f>
        <v/>
      </c>
      <c r="I856" s="9">
        <f>IF(ISNA(MATCH(843,Engine!$C$2:$C$1369,0)),"",INDEX('Compliance Database'!$I$2:$I$1369,MATCH(843,Engine!$C$2:$C$1369,0)))</f>
        <v/>
      </c>
      <c r="J856" s="8">
        <f>IF(ISNA(MATCH(843,Engine!$C$2:$C$1369,0)),"",INDEX('Compliance Database'!$J$2:$J$1369,MATCH(843,Engine!$C$2:$C$1369,0)))</f>
        <v/>
      </c>
      <c r="K856" s="9">
        <f>IF(ISNA(MATCH(843,Engine!$C$2:$C$1369,0)),"",INDEX('Compliance Database'!$K$2:$K$1369,MATCH(843,Engine!$C$2:$C$1369,0)))</f>
        <v/>
      </c>
      <c r="L856" s="9">
        <f>IF(ISNA(MATCH(843,Engine!$C$2:$C$1369,0)),"",INDEX('Compliance Database'!$L$2:$L$1369,MATCH(843,Engine!$C$2:$C$1369,0)))</f>
        <v/>
      </c>
      <c r="M856" s="9">
        <f>IF(ISNA(MATCH(843,Engine!$C$2:$C$1369,0)),"",INDEX('Compliance Database'!$M$2:$M$1369,MATCH(843,Engine!$C$2:$C$1369,0)))</f>
        <v/>
      </c>
      <c r="N856" s="9">
        <f>IF(ISNA(MATCH(843,Engine!$C$2:$C$1369,0)),"",INDEX('Compliance Database'!$N$2:$N$1369,MATCH(843,Engine!$C$2:$C$1369,0)))</f>
        <v/>
      </c>
      <c r="O856" s="8">
        <f>IF(ISNA(MATCH(843,Engine!$C$2:$C$1369,0)),"",HYPERLINK(INDEX('Compliance Database'!$O$2:$O$1369,MATCH(843,Engine!$C$2:$C$1369,0)),"Open PDF"))</f>
        <v/>
      </c>
    </row>
    <row r="857" ht="188" customHeight="1">
      <c r="A857" s="8">
        <f>IF(ISNA(MATCH(844,Engine!$C$2:$C$1369,0)),"",INDEX('Compliance Database'!$A$2:$A$1369,MATCH(844,Engine!$C$2:$C$1369,0)))</f>
        <v/>
      </c>
      <c r="B857" s="8">
        <f>IF(ISNA(MATCH(844,Engine!$C$2:$C$1369,0)),"",INDEX('Compliance Database'!$B$2:$B$1369,MATCH(844,Engine!$C$2:$C$1369,0)))</f>
        <v/>
      </c>
      <c r="C857" s="8">
        <f>IF(ISNA(MATCH(844,Engine!$C$2:$C$1369,0)),"",INDEX('Compliance Database'!$C$2:$C$1369,MATCH(844,Engine!$C$2:$C$1369,0)))</f>
        <v/>
      </c>
      <c r="D857" s="9">
        <f>IF(ISNA(MATCH(844,Engine!$C$2:$C$1369,0)),"",INDEX('Compliance Database'!$D$2:$D$1369,MATCH(844,Engine!$C$2:$C$1369,0)))</f>
        <v/>
      </c>
      <c r="E857" s="8">
        <f>IF(ISNA(MATCH(844,Engine!$C$2:$C$1369,0)),"",INDEX('Compliance Database'!$E$2:$E$1369,MATCH(844,Engine!$C$2:$C$1369,0)))</f>
        <v/>
      </c>
      <c r="F857" s="8">
        <f>IF(ISNA(MATCH(844,Engine!$C$2:$C$1369,0)),"",INDEX('Compliance Database'!$F$2:$F$1369,MATCH(844,Engine!$C$2:$C$1369,0)))</f>
        <v/>
      </c>
      <c r="G857" s="8">
        <f>IF(ISNA(MATCH(844,Engine!$C$2:$C$1369,0)),"",INDEX('Compliance Database'!$G$2:$G$1369,MATCH(844,Engine!$C$2:$C$1369,0)))</f>
        <v/>
      </c>
      <c r="H857" s="9">
        <f>IF(ISNA(MATCH(844,Engine!$C$2:$C$1369,0)),"",INDEX('Compliance Database'!$H$2:$H$1369,MATCH(844,Engine!$C$2:$C$1369,0)))</f>
        <v/>
      </c>
      <c r="I857" s="9">
        <f>IF(ISNA(MATCH(844,Engine!$C$2:$C$1369,0)),"",INDEX('Compliance Database'!$I$2:$I$1369,MATCH(844,Engine!$C$2:$C$1369,0)))</f>
        <v/>
      </c>
      <c r="J857" s="8">
        <f>IF(ISNA(MATCH(844,Engine!$C$2:$C$1369,0)),"",INDEX('Compliance Database'!$J$2:$J$1369,MATCH(844,Engine!$C$2:$C$1369,0)))</f>
        <v/>
      </c>
      <c r="K857" s="9">
        <f>IF(ISNA(MATCH(844,Engine!$C$2:$C$1369,0)),"",INDEX('Compliance Database'!$K$2:$K$1369,MATCH(844,Engine!$C$2:$C$1369,0)))</f>
        <v/>
      </c>
      <c r="L857" s="9">
        <f>IF(ISNA(MATCH(844,Engine!$C$2:$C$1369,0)),"",INDEX('Compliance Database'!$L$2:$L$1369,MATCH(844,Engine!$C$2:$C$1369,0)))</f>
        <v/>
      </c>
      <c r="M857" s="9">
        <f>IF(ISNA(MATCH(844,Engine!$C$2:$C$1369,0)),"",INDEX('Compliance Database'!$M$2:$M$1369,MATCH(844,Engine!$C$2:$C$1369,0)))</f>
        <v/>
      </c>
      <c r="N857" s="9">
        <f>IF(ISNA(MATCH(844,Engine!$C$2:$C$1369,0)),"",INDEX('Compliance Database'!$N$2:$N$1369,MATCH(844,Engine!$C$2:$C$1369,0)))</f>
        <v/>
      </c>
      <c r="O857" s="8">
        <f>IF(ISNA(MATCH(844,Engine!$C$2:$C$1369,0)),"",HYPERLINK(INDEX('Compliance Database'!$O$2:$O$1369,MATCH(844,Engine!$C$2:$C$1369,0)),"Open PDF"))</f>
        <v/>
      </c>
    </row>
    <row r="858" ht="188" customHeight="1">
      <c r="A858" s="8">
        <f>IF(ISNA(MATCH(845,Engine!$C$2:$C$1369,0)),"",INDEX('Compliance Database'!$A$2:$A$1369,MATCH(845,Engine!$C$2:$C$1369,0)))</f>
        <v/>
      </c>
      <c r="B858" s="8">
        <f>IF(ISNA(MATCH(845,Engine!$C$2:$C$1369,0)),"",INDEX('Compliance Database'!$B$2:$B$1369,MATCH(845,Engine!$C$2:$C$1369,0)))</f>
        <v/>
      </c>
      <c r="C858" s="8">
        <f>IF(ISNA(MATCH(845,Engine!$C$2:$C$1369,0)),"",INDEX('Compliance Database'!$C$2:$C$1369,MATCH(845,Engine!$C$2:$C$1369,0)))</f>
        <v/>
      </c>
      <c r="D858" s="9">
        <f>IF(ISNA(MATCH(845,Engine!$C$2:$C$1369,0)),"",INDEX('Compliance Database'!$D$2:$D$1369,MATCH(845,Engine!$C$2:$C$1369,0)))</f>
        <v/>
      </c>
      <c r="E858" s="8">
        <f>IF(ISNA(MATCH(845,Engine!$C$2:$C$1369,0)),"",INDEX('Compliance Database'!$E$2:$E$1369,MATCH(845,Engine!$C$2:$C$1369,0)))</f>
        <v/>
      </c>
      <c r="F858" s="8">
        <f>IF(ISNA(MATCH(845,Engine!$C$2:$C$1369,0)),"",INDEX('Compliance Database'!$F$2:$F$1369,MATCH(845,Engine!$C$2:$C$1369,0)))</f>
        <v/>
      </c>
      <c r="G858" s="8">
        <f>IF(ISNA(MATCH(845,Engine!$C$2:$C$1369,0)),"",INDEX('Compliance Database'!$G$2:$G$1369,MATCH(845,Engine!$C$2:$C$1369,0)))</f>
        <v/>
      </c>
      <c r="H858" s="9">
        <f>IF(ISNA(MATCH(845,Engine!$C$2:$C$1369,0)),"",INDEX('Compliance Database'!$H$2:$H$1369,MATCH(845,Engine!$C$2:$C$1369,0)))</f>
        <v/>
      </c>
      <c r="I858" s="9">
        <f>IF(ISNA(MATCH(845,Engine!$C$2:$C$1369,0)),"",INDEX('Compliance Database'!$I$2:$I$1369,MATCH(845,Engine!$C$2:$C$1369,0)))</f>
        <v/>
      </c>
      <c r="J858" s="8">
        <f>IF(ISNA(MATCH(845,Engine!$C$2:$C$1369,0)),"",INDEX('Compliance Database'!$J$2:$J$1369,MATCH(845,Engine!$C$2:$C$1369,0)))</f>
        <v/>
      </c>
      <c r="K858" s="9">
        <f>IF(ISNA(MATCH(845,Engine!$C$2:$C$1369,0)),"",INDEX('Compliance Database'!$K$2:$K$1369,MATCH(845,Engine!$C$2:$C$1369,0)))</f>
        <v/>
      </c>
      <c r="L858" s="9">
        <f>IF(ISNA(MATCH(845,Engine!$C$2:$C$1369,0)),"",INDEX('Compliance Database'!$L$2:$L$1369,MATCH(845,Engine!$C$2:$C$1369,0)))</f>
        <v/>
      </c>
      <c r="M858" s="9">
        <f>IF(ISNA(MATCH(845,Engine!$C$2:$C$1369,0)),"",INDEX('Compliance Database'!$M$2:$M$1369,MATCH(845,Engine!$C$2:$C$1369,0)))</f>
        <v/>
      </c>
      <c r="N858" s="9">
        <f>IF(ISNA(MATCH(845,Engine!$C$2:$C$1369,0)),"",INDEX('Compliance Database'!$N$2:$N$1369,MATCH(845,Engine!$C$2:$C$1369,0)))</f>
        <v/>
      </c>
      <c r="O858" s="8">
        <f>IF(ISNA(MATCH(845,Engine!$C$2:$C$1369,0)),"",HYPERLINK(INDEX('Compliance Database'!$O$2:$O$1369,MATCH(845,Engine!$C$2:$C$1369,0)),"Open PDF"))</f>
        <v/>
      </c>
    </row>
    <row r="859" ht="188" customHeight="1">
      <c r="A859" s="8">
        <f>IF(ISNA(MATCH(846,Engine!$C$2:$C$1369,0)),"",INDEX('Compliance Database'!$A$2:$A$1369,MATCH(846,Engine!$C$2:$C$1369,0)))</f>
        <v/>
      </c>
      <c r="B859" s="8">
        <f>IF(ISNA(MATCH(846,Engine!$C$2:$C$1369,0)),"",INDEX('Compliance Database'!$B$2:$B$1369,MATCH(846,Engine!$C$2:$C$1369,0)))</f>
        <v/>
      </c>
      <c r="C859" s="8">
        <f>IF(ISNA(MATCH(846,Engine!$C$2:$C$1369,0)),"",INDEX('Compliance Database'!$C$2:$C$1369,MATCH(846,Engine!$C$2:$C$1369,0)))</f>
        <v/>
      </c>
      <c r="D859" s="9">
        <f>IF(ISNA(MATCH(846,Engine!$C$2:$C$1369,0)),"",INDEX('Compliance Database'!$D$2:$D$1369,MATCH(846,Engine!$C$2:$C$1369,0)))</f>
        <v/>
      </c>
      <c r="E859" s="8">
        <f>IF(ISNA(MATCH(846,Engine!$C$2:$C$1369,0)),"",INDEX('Compliance Database'!$E$2:$E$1369,MATCH(846,Engine!$C$2:$C$1369,0)))</f>
        <v/>
      </c>
      <c r="F859" s="8">
        <f>IF(ISNA(MATCH(846,Engine!$C$2:$C$1369,0)),"",INDEX('Compliance Database'!$F$2:$F$1369,MATCH(846,Engine!$C$2:$C$1369,0)))</f>
        <v/>
      </c>
      <c r="G859" s="8">
        <f>IF(ISNA(MATCH(846,Engine!$C$2:$C$1369,0)),"",INDEX('Compliance Database'!$G$2:$G$1369,MATCH(846,Engine!$C$2:$C$1369,0)))</f>
        <v/>
      </c>
      <c r="H859" s="9">
        <f>IF(ISNA(MATCH(846,Engine!$C$2:$C$1369,0)),"",INDEX('Compliance Database'!$H$2:$H$1369,MATCH(846,Engine!$C$2:$C$1369,0)))</f>
        <v/>
      </c>
      <c r="I859" s="9">
        <f>IF(ISNA(MATCH(846,Engine!$C$2:$C$1369,0)),"",INDEX('Compliance Database'!$I$2:$I$1369,MATCH(846,Engine!$C$2:$C$1369,0)))</f>
        <v/>
      </c>
      <c r="J859" s="8">
        <f>IF(ISNA(MATCH(846,Engine!$C$2:$C$1369,0)),"",INDEX('Compliance Database'!$J$2:$J$1369,MATCH(846,Engine!$C$2:$C$1369,0)))</f>
        <v/>
      </c>
      <c r="K859" s="9">
        <f>IF(ISNA(MATCH(846,Engine!$C$2:$C$1369,0)),"",INDEX('Compliance Database'!$K$2:$K$1369,MATCH(846,Engine!$C$2:$C$1369,0)))</f>
        <v/>
      </c>
      <c r="L859" s="9">
        <f>IF(ISNA(MATCH(846,Engine!$C$2:$C$1369,0)),"",INDEX('Compliance Database'!$L$2:$L$1369,MATCH(846,Engine!$C$2:$C$1369,0)))</f>
        <v/>
      </c>
      <c r="M859" s="9">
        <f>IF(ISNA(MATCH(846,Engine!$C$2:$C$1369,0)),"",INDEX('Compliance Database'!$M$2:$M$1369,MATCH(846,Engine!$C$2:$C$1369,0)))</f>
        <v/>
      </c>
      <c r="N859" s="9">
        <f>IF(ISNA(MATCH(846,Engine!$C$2:$C$1369,0)),"",INDEX('Compliance Database'!$N$2:$N$1369,MATCH(846,Engine!$C$2:$C$1369,0)))</f>
        <v/>
      </c>
      <c r="O859" s="8">
        <f>IF(ISNA(MATCH(846,Engine!$C$2:$C$1369,0)),"",HYPERLINK(INDEX('Compliance Database'!$O$2:$O$1369,MATCH(846,Engine!$C$2:$C$1369,0)),"Open PDF"))</f>
        <v/>
      </c>
    </row>
    <row r="860" ht="188" customHeight="1">
      <c r="A860" s="8">
        <f>IF(ISNA(MATCH(847,Engine!$C$2:$C$1369,0)),"",INDEX('Compliance Database'!$A$2:$A$1369,MATCH(847,Engine!$C$2:$C$1369,0)))</f>
        <v/>
      </c>
      <c r="B860" s="8">
        <f>IF(ISNA(MATCH(847,Engine!$C$2:$C$1369,0)),"",INDEX('Compliance Database'!$B$2:$B$1369,MATCH(847,Engine!$C$2:$C$1369,0)))</f>
        <v/>
      </c>
      <c r="C860" s="8">
        <f>IF(ISNA(MATCH(847,Engine!$C$2:$C$1369,0)),"",INDEX('Compliance Database'!$C$2:$C$1369,MATCH(847,Engine!$C$2:$C$1369,0)))</f>
        <v/>
      </c>
      <c r="D860" s="9">
        <f>IF(ISNA(MATCH(847,Engine!$C$2:$C$1369,0)),"",INDEX('Compliance Database'!$D$2:$D$1369,MATCH(847,Engine!$C$2:$C$1369,0)))</f>
        <v/>
      </c>
      <c r="E860" s="8">
        <f>IF(ISNA(MATCH(847,Engine!$C$2:$C$1369,0)),"",INDEX('Compliance Database'!$E$2:$E$1369,MATCH(847,Engine!$C$2:$C$1369,0)))</f>
        <v/>
      </c>
      <c r="F860" s="8">
        <f>IF(ISNA(MATCH(847,Engine!$C$2:$C$1369,0)),"",INDEX('Compliance Database'!$F$2:$F$1369,MATCH(847,Engine!$C$2:$C$1369,0)))</f>
        <v/>
      </c>
      <c r="G860" s="8">
        <f>IF(ISNA(MATCH(847,Engine!$C$2:$C$1369,0)),"",INDEX('Compliance Database'!$G$2:$G$1369,MATCH(847,Engine!$C$2:$C$1369,0)))</f>
        <v/>
      </c>
      <c r="H860" s="9">
        <f>IF(ISNA(MATCH(847,Engine!$C$2:$C$1369,0)),"",INDEX('Compliance Database'!$H$2:$H$1369,MATCH(847,Engine!$C$2:$C$1369,0)))</f>
        <v/>
      </c>
      <c r="I860" s="9">
        <f>IF(ISNA(MATCH(847,Engine!$C$2:$C$1369,0)),"",INDEX('Compliance Database'!$I$2:$I$1369,MATCH(847,Engine!$C$2:$C$1369,0)))</f>
        <v/>
      </c>
      <c r="J860" s="8">
        <f>IF(ISNA(MATCH(847,Engine!$C$2:$C$1369,0)),"",INDEX('Compliance Database'!$J$2:$J$1369,MATCH(847,Engine!$C$2:$C$1369,0)))</f>
        <v/>
      </c>
      <c r="K860" s="9">
        <f>IF(ISNA(MATCH(847,Engine!$C$2:$C$1369,0)),"",INDEX('Compliance Database'!$K$2:$K$1369,MATCH(847,Engine!$C$2:$C$1369,0)))</f>
        <v/>
      </c>
      <c r="L860" s="9">
        <f>IF(ISNA(MATCH(847,Engine!$C$2:$C$1369,0)),"",INDEX('Compliance Database'!$L$2:$L$1369,MATCH(847,Engine!$C$2:$C$1369,0)))</f>
        <v/>
      </c>
      <c r="M860" s="9">
        <f>IF(ISNA(MATCH(847,Engine!$C$2:$C$1369,0)),"",INDEX('Compliance Database'!$M$2:$M$1369,MATCH(847,Engine!$C$2:$C$1369,0)))</f>
        <v/>
      </c>
      <c r="N860" s="9">
        <f>IF(ISNA(MATCH(847,Engine!$C$2:$C$1369,0)),"",INDEX('Compliance Database'!$N$2:$N$1369,MATCH(847,Engine!$C$2:$C$1369,0)))</f>
        <v/>
      </c>
      <c r="O860" s="8">
        <f>IF(ISNA(MATCH(847,Engine!$C$2:$C$1369,0)),"",HYPERLINK(INDEX('Compliance Database'!$O$2:$O$1369,MATCH(847,Engine!$C$2:$C$1369,0)),"Open PDF"))</f>
        <v/>
      </c>
    </row>
    <row r="861" ht="188" customHeight="1">
      <c r="A861" s="8">
        <f>IF(ISNA(MATCH(848,Engine!$C$2:$C$1369,0)),"",INDEX('Compliance Database'!$A$2:$A$1369,MATCH(848,Engine!$C$2:$C$1369,0)))</f>
        <v/>
      </c>
      <c r="B861" s="8">
        <f>IF(ISNA(MATCH(848,Engine!$C$2:$C$1369,0)),"",INDEX('Compliance Database'!$B$2:$B$1369,MATCH(848,Engine!$C$2:$C$1369,0)))</f>
        <v/>
      </c>
      <c r="C861" s="8">
        <f>IF(ISNA(MATCH(848,Engine!$C$2:$C$1369,0)),"",INDEX('Compliance Database'!$C$2:$C$1369,MATCH(848,Engine!$C$2:$C$1369,0)))</f>
        <v/>
      </c>
      <c r="D861" s="9">
        <f>IF(ISNA(MATCH(848,Engine!$C$2:$C$1369,0)),"",INDEX('Compliance Database'!$D$2:$D$1369,MATCH(848,Engine!$C$2:$C$1369,0)))</f>
        <v/>
      </c>
      <c r="E861" s="8">
        <f>IF(ISNA(MATCH(848,Engine!$C$2:$C$1369,0)),"",INDEX('Compliance Database'!$E$2:$E$1369,MATCH(848,Engine!$C$2:$C$1369,0)))</f>
        <v/>
      </c>
      <c r="F861" s="8">
        <f>IF(ISNA(MATCH(848,Engine!$C$2:$C$1369,0)),"",INDEX('Compliance Database'!$F$2:$F$1369,MATCH(848,Engine!$C$2:$C$1369,0)))</f>
        <v/>
      </c>
      <c r="G861" s="8">
        <f>IF(ISNA(MATCH(848,Engine!$C$2:$C$1369,0)),"",INDEX('Compliance Database'!$G$2:$G$1369,MATCH(848,Engine!$C$2:$C$1369,0)))</f>
        <v/>
      </c>
      <c r="H861" s="9">
        <f>IF(ISNA(MATCH(848,Engine!$C$2:$C$1369,0)),"",INDEX('Compliance Database'!$H$2:$H$1369,MATCH(848,Engine!$C$2:$C$1369,0)))</f>
        <v/>
      </c>
      <c r="I861" s="9">
        <f>IF(ISNA(MATCH(848,Engine!$C$2:$C$1369,0)),"",INDEX('Compliance Database'!$I$2:$I$1369,MATCH(848,Engine!$C$2:$C$1369,0)))</f>
        <v/>
      </c>
      <c r="J861" s="8">
        <f>IF(ISNA(MATCH(848,Engine!$C$2:$C$1369,0)),"",INDEX('Compliance Database'!$J$2:$J$1369,MATCH(848,Engine!$C$2:$C$1369,0)))</f>
        <v/>
      </c>
      <c r="K861" s="9">
        <f>IF(ISNA(MATCH(848,Engine!$C$2:$C$1369,0)),"",INDEX('Compliance Database'!$K$2:$K$1369,MATCH(848,Engine!$C$2:$C$1369,0)))</f>
        <v/>
      </c>
      <c r="L861" s="9">
        <f>IF(ISNA(MATCH(848,Engine!$C$2:$C$1369,0)),"",INDEX('Compliance Database'!$L$2:$L$1369,MATCH(848,Engine!$C$2:$C$1369,0)))</f>
        <v/>
      </c>
      <c r="M861" s="9">
        <f>IF(ISNA(MATCH(848,Engine!$C$2:$C$1369,0)),"",INDEX('Compliance Database'!$M$2:$M$1369,MATCH(848,Engine!$C$2:$C$1369,0)))</f>
        <v/>
      </c>
      <c r="N861" s="9">
        <f>IF(ISNA(MATCH(848,Engine!$C$2:$C$1369,0)),"",INDEX('Compliance Database'!$N$2:$N$1369,MATCH(848,Engine!$C$2:$C$1369,0)))</f>
        <v/>
      </c>
      <c r="O861" s="8">
        <f>IF(ISNA(MATCH(848,Engine!$C$2:$C$1369,0)),"",HYPERLINK(INDEX('Compliance Database'!$O$2:$O$1369,MATCH(848,Engine!$C$2:$C$1369,0)),"Open PDF"))</f>
        <v/>
      </c>
    </row>
    <row r="862" ht="188" customHeight="1">
      <c r="A862" s="8">
        <f>IF(ISNA(MATCH(849,Engine!$C$2:$C$1369,0)),"",INDEX('Compliance Database'!$A$2:$A$1369,MATCH(849,Engine!$C$2:$C$1369,0)))</f>
        <v/>
      </c>
      <c r="B862" s="8">
        <f>IF(ISNA(MATCH(849,Engine!$C$2:$C$1369,0)),"",INDEX('Compliance Database'!$B$2:$B$1369,MATCH(849,Engine!$C$2:$C$1369,0)))</f>
        <v/>
      </c>
      <c r="C862" s="8">
        <f>IF(ISNA(MATCH(849,Engine!$C$2:$C$1369,0)),"",INDEX('Compliance Database'!$C$2:$C$1369,MATCH(849,Engine!$C$2:$C$1369,0)))</f>
        <v/>
      </c>
      <c r="D862" s="9">
        <f>IF(ISNA(MATCH(849,Engine!$C$2:$C$1369,0)),"",INDEX('Compliance Database'!$D$2:$D$1369,MATCH(849,Engine!$C$2:$C$1369,0)))</f>
        <v/>
      </c>
      <c r="E862" s="8">
        <f>IF(ISNA(MATCH(849,Engine!$C$2:$C$1369,0)),"",INDEX('Compliance Database'!$E$2:$E$1369,MATCH(849,Engine!$C$2:$C$1369,0)))</f>
        <v/>
      </c>
      <c r="F862" s="8">
        <f>IF(ISNA(MATCH(849,Engine!$C$2:$C$1369,0)),"",INDEX('Compliance Database'!$F$2:$F$1369,MATCH(849,Engine!$C$2:$C$1369,0)))</f>
        <v/>
      </c>
      <c r="G862" s="8">
        <f>IF(ISNA(MATCH(849,Engine!$C$2:$C$1369,0)),"",INDEX('Compliance Database'!$G$2:$G$1369,MATCH(849,Engine!$C$2:$C$1369,0)))</f>
        <v/>
      </c>
      <c r="H862" s="9">
        <f>IF(ISNA(MATCH(849,Engine!$C$2:$C$1369,0)),"",INDEX('Compliance Database'!$H$2:$H$1369,MATCH(849,Engine!$C$2:$C$1369,0)))</f>
        <v/>
      </c>
      <c r="I862" s="9">
        <f>IF(ISNA(MATCH(849,Engine!$C$2:$C$1369,0)),"",INDEX('Compliance Database'!$I$2:$I$1369,MATCH(849,Engine!$C$2:$C$1369,0)))</f>
        <v/>
      </c>
      <c r="J862" s="8">
        <f>IF(ISNA(MATCH(849,Engine!$C$2:$C$1369,0)),"",INDEX('Compliance Database'!$J$2:$J$1369,MATCH(849,Engine!$C$2:$C$1369,0)))</f>
        <v/>
      </c>
      <c r="K862" s="9">
        <f>IF(ISNA(MATCH(849,Engine!$C$2:$C$1369,0)),"",INDEX('Compliance Database'!$K$2:$K$1369,MATCH(849,Engine!$C$2:$C$1369,0)))</f>
        <v/>
      </c>
      <c r="L862" s="9">
        <f>IF(ISNA(MATCH(849,Engine!$C$2:$C$1369,0)),"",INDEX('Compliance Database'!$L$2:$L$1369,MATCH(849,Engine!$C$2:$C$1369,0)))</f>
        <v/>
      </c>
      <c r="M862" s="9">
        <f>IF(ISNA(MATCH(849,Engine!$C$2:$C$1369,0)),"",INDEX('Compliance Database'!$M$2:$M$1369,MATCH(849,Engine!$C$2:$C$1369,0)))</f>
        <v/>
      </c>
      <c r="N862" s="9">
        <f>IF(ISNA(MATCH(849,Engine!$C$2:$C$1369,0)),"",INDEX('Compliance Database'!$N$2:$N$1369,MATCH(849,Engine!$C$2:$C$1369,0)))</f>
        <v/>
      </c>
      <c r="O862" s="8">
        <f>IF(ISNA(MATCH(849,Engine!$C$2:$C$1369,0)),"",HYPERLINK(INDEX('Compliance Database'!$O$2:$O$1369,MATCH(849,Engine!$C$2:$C$1369,0)),"Open PDF"))</f>
        <v/>
      </c>
    </row>
    <row r="863" ht="188" customHeight="1">
      <c r="A863" s="8">
        <f>IF(ISNA(MATCH(850,Engine!$C$2:$C$1369,0)),"",INDEX('Compliance Database'!$A$2:$A$1369,MATCH(850,Engine!$C$2:$C$1369,0)))</f>
        <v/>
      </c>
      <c r="B863" s="8">
        <f>IF(ISNA(MATCH(850,Engine!$C$2:$C$1369,0)),"",INDEX('Compliance Database'!$B$2:$B$1369,MATCH(850,Engine!$C$2:$C$1369,0)))</f>
        <v/>
      </c>
      <c r="C863" s="8">
        <f>IF(ISNA(MATCH(850,Engine!$C$2:$C$1369,0)),"",INDEX('Compliance Database'!$C$2:$C$1369,MATCH(850,Engine!$C$2:$C$1369,0)))</f>
        <v/>
      </c>
      <c r="D863" s="9">
        <f>IF(ISNA(MATCH(850,Engine!$C$2:$C$1369,0)),"",INDEX('Compliance Database'!$D$2:$D$1369,MATCH(850,Engine!$C$2:$C$1369,0)))</f>
        <v/>
      </c>
      <c r="E863" s="8">
        <f>IF(ISNA(MATCH(850,Engine!$C$2:$C$1369,0)),"",INDEX('Compliance Database'!$E$2:$E$1369,MATCH(850,Engine!$C$2:$C$1369,0)))</f>
        <v/>
      </c>
      <c r="F863" s="8">
        <f>IF(ISNA(MATCH(850,Engine!$C$2:$C$1369,0)),"",INDEX('Compliance Database'!$F$2:$F$1369,MATCH(850,Engine!$C$2:$C$1369,0)))</f>
        <v/>
      </c>
      <c r="G863" s="8">
        <f>IF(ISNA(MATCH(850,Engine!$C$2:$C$1369,0)),"",INDEX('Compliance Database'!$G$2:$G$1369,MATCH(850,Engine!$C$2:$C$1369,0)))</f>
        <v/>
      </c>
      <c r="H863" s="9">
        <f>IF(ISNA(MATCH(850,Engine!$C$2:$C$1369,0)),"",INDEX('Compliance Database'!$H$2:$H$1369,MATCH(850,Engine!$C$2:$C$1369,0)))</f>
        <v/>
      </c>
      <c r="I863" s="9">
        <f>IF(ISNA(MATCH(850,Engine!$C$2:$C$1369,0)),"",INDEX('Compliance Database'!$I$2:$I$1369,MATCH(850,Engine!$C$2:$C$1369,0)))</f>
        <v/>
      </c>
      <c r="J863" s="8">
        <f>IF(ISNA(MATCH(850,Engine!$C$2:$C$1369,0)),"",INDEX('Compliance Database'!$J$2:$J$1369,MATCH(850,Engine!$C$2:$C$1369,0)))</f>
        <v/>
      </c>
      <c r="K863" s="9">
        <f>IF(ISNA(MATCH(850,Engine!$C$2:$C$1369,0)),"",INDEX('Compliance Database'!$K$2:$K$1369,MATCH(850,Engine!$C$2:$C$1369,0)))</f>
        <v/>
      </c>
      <c r="L863" s="9">
        <f>IF(ISNA(MATCH(850,Engine!$C$2:$C$1369,0)),"",INDEX('Compliance Database'!$L$2:$L$1369,MATCH(850,Engine!$C$2:$C$1369,0)))</f>
        <v/>
      </c>
      <c r="M863" s="9">
        <f>IF(ISNA(MATCH(850,Engine!$C$2:$C$1369,0)),"",INDEX('Compliance Database'!$M$2:$M$1369,MATCH(850,Engine!$C$2:$C$1369,0)))</f>
        <v/>
      </c>
      <c r="N863" s="9">
        <f>IF(ISNA(MATCH(850,Engine!$C$2:$C$1369,0)),"",INDEX('Compliance Database'!$N$2:$N$1369,MATCH(850,Engine!$C$2:$C$1369,0)))</f>
        <v/>
      </c>
      <c r="O863" s="8">
        <f>IF(ISNA(MATCH(850,Engine!$C$2:$C$1369,0)),"",HYPERLINK(INDEX('Compliance Database'!$O$2:$O$1369,MATCH(850,Engine!$C$2:$C$1369,0)),"Open PDF"))</f>
        <v/>
      </c>
    </row>
    <row r="864" ht="188" customHeight="1">
      <c r="A864" s="8">
        <f>IF(ISNA(MATCH(851,Engine!$C$2:$C$1369,0)),"",INDEX('Compliance Database'!$A$2:$A$1369,MATCH(851,Engine!$C$2:$C$1369,0)))</f>
        <v/>
      </c>
      <c r="B864" s="8">
        <f>IF(ISNA(MATCH(851,Engine!$C$2:$C$1369,0)),"",INDEX('Compliance Database'!$B$2:$B$1369,MATCH(851,Engine!$C$2:$C$1369,0)))</f>
        <v/>
      </c>
      <c r="C864" s="8">
        <f>IF(ISNA(MATCH(851,Engine!$C$2:$C$1369,0)),"",INDEX('Compliance Database'!$C$2:$C$1369,MATCH(851,Engine!$C$2:$C$1369,0)))</f>
        <v/>
      </c>
      <c r="D864" s="9">
        <f>IF(ISNA(MATCH(851,Engine!$C$2:$C$1369,0)),"",INDEX('Compliance Database'!$D$2:$D$1369,MATCH(851,Engine!$C$2:$C$1369,0)))</f>
        <v/>
      </c>
      <c r="E864" s="8">
        <f>IF(ISNA(MATCH(851,Engine!$C$2:$C$1369,0)),"",INDEX('Compliance Database'!$E$2:$E$1369,MATCH(851,Engine!$C$2:$C$1369,0)))</f>
        <v/>
      </c>
      <c r="F864" s="8">
        <f>IF(ISNA(MATCH(851,Engine!$C$2:$C$1369,0)),"",INDEX('Compliance Database'!$F$2:$F$1369,MATCH(851,Engine!$C$2:$C$1369,0)))</f>
        <v/>
      </c>
      <c r="G864" s="8">
        <f>IF(ISNA(MATCH(851,Engine!$C$2:$C$1369,0)),"",INDEX('Compliance Database'!$G$2:$G$1369,MATCH(851,Engine!$C$2:$C$1369,0)))</f>
        <v/>
      </c>
      <c r="H864" s="9">
        <f>IF(ISNA(MATCH(851,Engine!$C$2:$C$1369,0)),"",INDEX('Compliance Database'!$H$2:$H$1369,MATCH(851,Engine!$C$2:$C$1369,0)))</f>
        <v/>
      </c>
      <c r="I864" s="9">
        <f>IF(ISNA(MATCH(851,Engine!$C$2:$C$1369,0)),"",INDEX('Compliance Database'!$I$2:$I$1369,MATCH(851,Engine!$C$2:$C$1369,0)))</f>
        <v/>
      </c>
      <c r="J864" s="8">
        <f>IF(ISNA(MATCH(851,Engine!$C$2:$C$1369,0)),"",INDEX('Compliance Database'!$J$2:$J$1369,MATCH(851,Engine!$C$2:$C$1369,0)))</f>
        <v/>
      </c>
      <c r="K864" s="9">
        <f>IF(ISNA(MATCH(851,Engine!$C$2:$C$1369,0)),"",INDEX('Compliance Database'!$K$2:$K$1369,MATCH(851,Engine!$C$2:$C$1369,0)))</f>
        <v/>
      </c>
      <c r="L864" s="9">
        <f>IF(ISNA(MATCH(851,Engine!$C$2:$C$1369,0)),"",INDEX('Compliance Database'!$L$2:$L$1369,MATCH(851,Engine!$C$2:$C$1369,0)))</f>
        <v/>
      </c>
      <c r="M864" s="9">
        <f>IF(ISNA(MATCH(851,Engine!$C$2:$C$1369,0)),"",INDEX('Compliance Database'!$M$2:$M$1369,MATCH(851,Engine!$C$2:$C$1369,0)))</f>
        <v/>
      </c>
      <c r="N864" s="9">
        <f>IF(ISNA(MATCH(851,Engine!$C$2:$C$1369,0)),"",INDEX('Compliance Database'!$N$2:$N$1369,MATCH(851,Engine!$C$2:$C$1369,0)))</f>
        <v/>
      </c>
      <c r="O864" s="8">
        <f>IF(ISNA(MATCH(851,Engine!$C$2:$C$1369,0)),"",HYPERLINK(INDEX('Compliance Database'!$O$2:$O$1369,MATCH(851,Engine!$C$2:$C$1369,0)),"Open PDF"))</f>
        <v/>
      </c>
    </row>
    <row r="865" ht="188" customHeight="1">
      <c r="A865" s="8">
        <f>IF(ISNA(MATCH(852,Engine!$C$2:$C$1369,0)),"",INDEX('Compliance Database'!$A$2:$A$1369,MATCH(852,Engine!$C$2:$C$1369,0)))</f>
        <v/>
      </c>
      <c r="B865" s="8">
        <f>IF(ISNA(MATCH(852,Engine!$C$2:$C$1369,0)),"",INDEX('Compliance Database'!$B$2:$B$1369,MATCH(852,Engine!$C$2:$C$1369,0)))</f>
        <v/>
      </c>
      <c r="C865" s="8">
        <f>IF(ISNA(MATCH(852,Engine!$C$2:$C$1369,0)),"",INDEX('Compliance Database'!$C$2:$C$1369,MATCH(852,Engine!$C$2:$C$1369,0)))</f>
        <v/>
      </c>
      <c r="D865" s="9">
        <f>IF(ISNA(MATCH(852,Engine!$C$2:$C$1369,0)),"",INDEX('Compliance Database'!$D$2:$D$1369,MATCH(852,Engine!$C$2:$C$1369,0)))</f>
        <v/>
      </c>
      <c r="E865" s="8">
        <f>IF(ISNA(MATCH(852,Engine!$C$2:$C$1369,0)),"",INDEX('Compliance Database'!$E$2:$E$1369,MATCH(852,Engine!$C$2:$C$1369,0)))</f>
        <v/>
      </c>
      <c r="F865" s="8">
        <f>IF(ISNA(MATCH(852,Engine!$C$2:$C$1369,0)),"",INDEX('Compliance Database'!$F$2:$F$1369,MATCH(852,Engine!$C$2:$C$1369,0)))</f>
        <v/>
      </c>
      <c r="G865" s="8">
        <f>IF(ISNA(MATCH(852,Engine!$C$2:$C$1369,0)),"",INDEX('Compliance Database'!$G$2:$G$1369,MATCH(852,Engine!$C$2:$C$1369,0)))</f>
        <v/>
      </c>
      <c r="H865" s="9">
        <f>IF(ISNA(MATCH(852,Engine!$C$2:$C$1369,0)),"",INDEX('Compliance Database'!$H$2:$H$1369,MATCH(852,Engine!$C$2:$C$1369,0)))</f>
        <v/>
      </c>
      <c r="I865" s="9">
        <f>IF(ISNA(MATCH(852,Engine!$C$2:$C$1369,0)),"",INDEX('Compliance Database'!$I$2:$I$1369,MATCH(852,Engine!$C$2:$C$1369,0)))</f>
        <v/>
      </c>
      <c r="J865" s="8">
        <f>IF(ISNA(MATCH(852,Engine!$C$2:$C$1369,0)),"",INDEX('Compliance Database'!$J$2:$J$1369,MATCH(852,Engine!$C$2:$C$1369,0)))</f>
        <v/>
      </c>
      <c r="K865" s="9">
        <f>IF(ISNA(MATCH(852,Engine!$C$2:$C$1369,0)),"",INDEX('Compliance Database'!$K$2:$K$1369,MATCH(852,Engine!$C$2:$C$1369,0)))</f>
        <v/>
      </c>
      <c r="L865" s="9">
        <f>IF(ISNA(MATCH(852,Engine!$C$2:$C$1369,0)),"",INDEX('Compliance Database'!$L$2:$L$1369,MATCH(852,Engine!$C$2:$C$1369,0)))</f>
        <v/>
      </c>
      <c r="M865" s="9">
        <f>IF(ISNA(MATCH(852,Engine!$C$2:$C$1369,0)),"",INDEX('Compliance Database'!$M$2:$M$1369,MATCH(852,Engine!$C$2:$C$1369,0)))</f>
        <v/>
      </c>
      <c r="N865" s="9">
        <f>IF(ISNA(MATCH(852,Engine!$C$2:$C$1369,0)),"",INDEX('Compliance Database'!$N$2:$N$1369,MATCH(852,Engine!$C$2:$C$1369,0)))</f>
        <v/>
      </c>
      <c r="O865" s="8">
        <f>IF(ISNA(MATCH(852,Engine!$C$2:$C$1369,0)),"",HYPERLINK(INDEX('Compliance Database'!$O$2:$O$1369,MATCH(852,Engine!$C$2:$C$1369,0)),"Open PDF"))</f>
        <v/>
      </c>
    </row>
    <row r="866" ht="188" customHeight="1">
      <c r="A866" s="8">
        <f>IF(ISNA(MATCH(853,Engine!$C$2:$C$1369,0)),"",INDEX('Compliance Database'!$A$2:$A$1369,MATCH(853,Engine!$C$2:$C$1369,0)))</f>
        <v/>
      </c>
      <c r="B866" s="8">
        <f>IF(ISNA(MATCH(853,Engine!$C$2:$C$1369,0)),"",INDEX('Compliance Database'!$B$2:$B$1369,MATCH(853,Engine!$C$2:$C$1369,0)))</f>
        <v/>
      </c>
      <c r="C866" s="8">
        <f>IF(ISNA(MATCH(853,Engine!$C$2:$C$1369,0)),"",INDEX('Compliance Database'!$C$2:$C$1369,MATCH(853,Engine!$C$2:$C$1369,0)))</f>
        <v/>
      </c>
      <c r="D866" s="9">
        <f>IF(ISNA(MATCH(853,Engine!$C$2:$C$1369,0)),"",INDEX('Compliance Database'!$D$2:$D$1369,MATCH(853,Engine!$C$2:$C$1369,0)))</f>
        <v/>
      </c>
      <c r="E866" s="8">
        <f>IF(ISNA(MATCH(853,Engine!$C$2:$C$1369,0)),"",INDEX('Compliance Database'!$E$2:$E$1369,MATCH(853,Engine!$C$2:$C$1369,0)))</f>
        <v/>
      </c>
      <c r="F866" s="8">
        <f>IF(ISNA(MATCH(853,Engine!$C$2:$C$1369,0)),"",INDEX('Compliance Database'!$F$2:$F$1369,MATCH(853,Engine!$C$2:$C$1369,0)))</f>
        <v/>
      </c>
      <c r="G866" s="8">
        <f>IF(ISNA(MATCH(853,Engine!$C$2:$C$1369,0)),"",INDEX('Compliance Database'!$G$2:$G$1369,MATCH(853,Engine!$C$2:$C$1369,0)))</f>
        <v/>
      </c>
      <c r="H866" s="9">
        <f>IF(ISNA(MATCH(853,Engine!$C$2:$C$1369,0)),"",INDEX('Compliance Database'!$H$2:$H$1369,MATCH(853,Engine!$C$2:$C$1369,0)))</f>
        <v/>
      </c>
      <c r="I866" s="9">
        <f>IF(ISNA(MATCH(853,Engine!$C$2:$C$1369,0)),"",INDEX('Compliance Database'!$I$2:$I$1369,MATCH(853,Engine!$C$2:$C$1369,0)))</f>
        <v/>
      </c>
      <c r="J866" s="8">
        <f>IF(ISNA(MATCH(853,Engine!$C$2:$C$1369,0)),"",INDEX('Compliance Database'!$J$2:$J$1369,MATCH(853,Engine!$C$2:$C$1369,0)))</f>
        <v/>
      </c>
      <c r="K866" s="9">
        <f>IF(ISNA(MATCH(853,Engine!$C$2:$C$1369,0)),"",INDEX('Compliance Database'!$K$2:$K$1369,MATCH(853,Engine!$C$2:$C$1369,0)))</f>
        <v/>
      </c>
      <c r="L866" s="9">
        <f>IF(ISNA(MATCH(853,Engine!$C$2:$C$1369,0)),"",INDEX('Compliance Database'!$L$2:$L$1369,MATCH(853,Engine!$C$2:$C$1369,0)))</f>
        <v/>
      </c>
      <c r="M866" s="9">
        <f>IF(ISNA(MATCH(853,Engine!$C$2:$C$1369,0)),"",INDEX('Compliance Database'!$M$2:$M$1369,MATCH(853,Engine!$C$2:$C$1369,0)))</f>
        <v/>
      </c>
      <c r="N866" s="9">
        <f>IF(ISNA(MATCH(853,Engine!$C$2:$C$1369,0)),"",INDEX('Compliance Database'!$N$2:$N$1369,MATCH(853,Engine!$C$2:$C$1369,0)))</f>
        <v/>
      </c>
      <c r="O866" s="8">
        <f>IF(ISNA(MATCH(853,Engine!$C$2:$C$1369,0)),"",HYPERLINK(INDEX('Compliance Database'!$O$2:$O$1369,MATCH(853,Engine!$C$2:$C$1369,0)),"Open PDF"))</f>
        <v/>
      </c>
    </row>
    <row r="867" ht="188" customHeight="1">
      <c r="A867" s="8">
        <f>IF(ISNA(MATCH(854,Engine!$C$2:$C$1369,0)),"",INDEX('Compliance Database'!$A$2:$A$1369,MATCH(854,Engine!$C$2:$C$1369,0)))</f>
        <v/>
      </c>
      <c r="B867" s="8">
        <f>IF(ISNA(MATCH(854,Engine!$C$2:$C$1369,0)),"",INDEX('Compliance Database'!$B$2:$B$1369,MATCH(854,Engine!$C$2:$C$1369,0)))</f>
        <v/>
      </c>
      <c r="C867" s="8">
        <f>IF(ISNA(MATCH(854,Engine!$C$2:$C$1369,0)),"",INDEX('Compliance Database'!$C$2:$C$1369,MATCH(854,Engine!$C$2:$C$1369,0)))</f>
        <v/>
      </c>
      <c r="D867" s="9">
        <f>IF(ISNA(MATCH(854,Engine!$C$2:$C$1369,0)),"",INDEX('Compliance Database'!$D$2:$D$1369,MATCH(854,Engine!$C$2:$C$1369,0)))</f>
        <v/>
      </c>
      <c r="E867" s="8">
        <f>IF(ISNA(MATCH(854,Engine!$C$2:$C$1369,0)),"",INDEX('Compliance Database'!$E$2:$E$1369,MATCH(854,Engine!$C$2:$C$1369,0)))</f>
        <v/>
      </c>
      <c r="F867" s="8">
        <f>IF(ISNA(MATCH(854,Engine!$C$2:$C$1369,0)),"",INDEX('Compliance Database'!$F$2:$F$1369,MATCH(854,Engine!$C$2:$C$1369,0)))</f>
        <v/>
      </c>
      <c r="G867" s="8">
        <f>IF(ISNA(MATCH(854,Engine!$C$2:$C$1369,0)),"",INDEX('Compliance Database'!$G$2:$G$1369,MATCH(854,Engine!$C$2:$C$1369,0)))</f>
        <v/>
      </c>
      <c r="H867" s="9">
        <f>IF(ISNA(MATCH(854,Engine!$C$2:$C$1369,0)),"",INDEX('Compliance Database'!$H$2:$H$1369,MATCH(854,Engine!$C$2:$C$1369,0)))</f>
        <v/>
      </c>
      <c r="I867" s="9">
        <f>IF(ISNA(MATCH(854,Engine!$C$2:$C$1369,0)),"",INDEX('Compliance Database'!$I$2:$I$1369,MATCH(854,Engine!$C$2:$C$1369,0)))</f>
        <v/>
      </c>
      <c r="J867" s="8">
        <f>IF(ISNA(MATCH(854,Engine!$C$2:$C$1369,0)),"",INDEX('Compliance Database'!$J$2:$J$1369,MATCH(854,Engine!$C$2:$C$1369,0)))</f>
        <v/>
      </c>
      <c r="K867" s="9">
        <f>IF(ISNA(MATCH(854,Engine!$C$2:$C$1369,0)),"",INDEX('Compliance Database'!$K$2:$K$1369,MATCH(854,Engine!$C$2:$C$1369,0)))</f>
        <v/>
      </c>
      <c r="L867" s="9">
        <f>IF(ISNA(MATCH(854,Engine!$C$2:$C$1369,0)),"",INDEX('Compliance Database'!$L$2:$L$1369,MATCH(854,Engine!$C$2:$C$1369,0)))</f>
        <v/>
      </c>
      <c r="M867" s="9">
        <f>IF(ISNA(MATCH(854,Engine!$C$2:$C$1369,0)),"",INDEX('Compliance Database'!$M$2:$M$1369,MATCH(854,Engine!$C$2:$C$1369,0)))</f>
        <v/>
      </c>
      <c r="N867" s="9">
        <f>IF(ISNA(MATCH(854,Engine!$C$2:$C$1369,0)),"",INDEX('Compliance Database'!$N$2:$N$1369,MATCH(854,Engine!$C$2:$C$1369,0)))</f>
        <v/>
      </c>
      <c r="O867" s="8">
        <f>IF(ISNA(MATCH(854,Engine!$C$2:$C$1369,0)),"",HYPERLINK(INDEX('Compliance Database'!$O$2:$O$1369,MATCH(854,Engine!$C$2:$C$1369,0)),"Open PDF"))</f>
        <v/>
      </c>
    </row>
    <row r="868" ht="188" customHeight="1">
      <c r="A868" s="8">
        <f>IF(ISNA(MATCH(855,Engine!$C$2:$C$1369,0)),"",INDEX('Compliance Database'!$A$2:$A$1369,MATCH(855,Engine!$C$2:$C$1369,0)))</f>
        <v/>
      </c>
      <c r="B868" s="8">
        <f>IF(ISNA(MATCH(855,Engine!$C$2:$C$1369,0)),"",INDEX('Compliance Database'!$B$2:$B$1369,MATCH(855,Engine!$C$2:$C$1369,0)))</f>
        <v/>
      </c>
      <c r="C868" s="8">
        <f>IF(ISNA(MATCH(855,Engine!$C$2:$C$1369,0)),"",INDEX('Compliance Database'!$C$2:$C$1369,MATCH(855,Engine!$C$2:$C$1369,0)))</f>
        <v/>
      </c>
      <c r="D868" s="9">
        <f>IF(ISNA(MATCH(855,Engine!$C$2:$C$1369,0)),"",INDEX('Compliance Database'!$D$2:$D$1369,MATCH(855,Engine!$C$2:$C$1369,0)))</f>
        <v/>
      </c>
      <c r="E868" s="8">
        <f>IF(ISNA(MATCH(855,Engine!$C$2:$C$1369,0)),"",INDEX('Compliance Database'!$E$2:$E$1369,MATCH(855,Engine!$C$2:$C$1369,0)))</f>
        <v/>
      </c>
      <c r="F868" s="8">
        <f>IF(ISNA(MATCH(855,Engine!$C$2:$C$1369,0)),"",INDEX('Compliance Database'!$F$2:$F$1369,MATCH(855,Engine!$C$2:$C$1369,0)))</f>
        <v/>
      </c>
      <c r="G868" s="8">
        <f>IF(ISNA(MATCH(855,Engine!$C$2:$C$1369,0)),"",INDEX('Compliance Database'!$G$2:$G$1369,MATCH(855,Engine!$C$2:$C$1369,0)))</f>
        <v/>
      </c>
      <c r="H868" s="9">
        <f>IF(ISNA(MATCH(855,Engine!$C$2:$C$1369,0)),"",INDEX('Compliance Database'!$H$2:$H$1369,MATCH(855,Engine!$C$2:$C$1369,0)))</f>
        <v/>
      </c>
      <c r="I868" s="9">
        <f>IF(ISNA(MATCH(855,Engine!$C$2:$C$1369,0)),"",INDEX('Compliance Database'!$I$2:$I$1369,MATCH(855,Engine!$C$2:$C$1369,0)))</f>
        <v/>
      </c>
      <c r="J868" s="8">
        <f>IF(ISNA(MATCH(855,Engine!$C$2:$C$1369,0)),"",INDEX('Compliance Database'!$J$2:$J$1369,MATCH(855,Engine!$C$2:$C$1369,0)))</f>
        <v/>
      </c>
      <c r="K868" s="9">
        <f>IF(ISNA(MATCH(855,Engine!$C$2:$C$1369,0)),"",INDEX('Compliance Database'!$K$2:$K$1369,MATCH(855,Engine!$C$2:$C$1369,0)))</f>
        <v/>
      </c>
      <c r="L868" s="9">
        <f>IF(ISNA(MATCH(855,Engine!$C$2:$C$1369,0)),"",INDEX('Compliance Database'!$L$2:$L$1369,MATCH(855,Engine!$C$2:$C$1369,0)))</f>
        <v/>
      </c>
      <c r="M868" s="9">
        <f>IF(ISNA(MATCH(855,Engine!$C$2:$C$1369,0)),"",INDEX('Compliance Database'!$M$2:$M$1369,MATCH(855,Engine!$C$2:$C$1369,0)))</f>
        <v/>
      </c>
      <c r="N868" s="9">
        <f>IF(ISNA(MATCH(855,Engine!$C$2:$C$1369,0)),"",INDEX('Compliance Database'!$N$2:$N$1369,MATCH(855,Engine!$C$2:$C$1369,0)))</f>
        <v/>
      </c>
      <c r="O868" s="8">
        <f>IF(ISNA(MATCH(855,Engine!$C$2:$C$1369,0)),"",HYPERLINK(INDEX('Compliance Database'!$O$2:$O$1369,MATCH(855,Engine!$C$2:$C$1369,0)),"Open PDF"))</f>
        <v/>
      </c>
    </row>
    <row r="869" ht="188" customHeight="1">
      <c r="A869" s="8">
        <f>IF(ISNA(MATCH(856,Engine!$C$2:$C$1369,0)),"",INDEX('Compliance Database'!$A$2:$A$1369,MATCH(856,Engine!$C$2:$C$1369,0)))</f>
        <v/>
      </c>
      <c r="B869" s="8">
        <f>IF(ISNA(MATCH(856,Engine!$C$2:$C$1369,0)),"",INDEX('Compliance Database'!$B$2:$B$1369,MATCH(856,Engine!$C$2:$C$1369,0)))</f>
        <v/>
      </c>
      <c r="C869" s="8">
        <f>IF(ISNA(MATCH(856,Engine!$C$2:$C$1369,0)),"",INDEX('Compliance Database'!$C$2:$C$1369,MATCH(856,Engine!$C$2:$C$1369,0)))</f>
        <v/>
      </c>
      <c r="D869" s="9">
        <f>IF(ISNA(MATCH(856,Engine!$C$2:$C$1369,0)),"",INDEX('Compliance Database'!$D$2:$D$1369,MATCH(856,Engine!$C$2:$C$1369,0)))</f>
        <v/>
      </c>
      <c r="E869" s="8">
        <f>IF(ISNA(MATCH(856,Engine!$C$2:$C$1369,0)),"",INDEX('Compliance Database'!$E$2:$E$1369,MATCH(856,Engine!$C$2:$C$1369,0)))</f>
        <v/>
      </c>
      <c r="F869" s="8">
        <f>IF(ISNA(MATCH(856,Engine!$C$2:$C$1369,0)),"",INDEX('Compliance Database'!$F$2:$F$1369,MATCH(856,Engine!$C$2:$C$1369,0)))</f>
        <v/>
      </c>
      <c r="G869" s="8">
        <f>IF(ISNA(MATCH(856,Engine!$C$2:$C$1369,0)),"",INDEX('Compliance Database'!$G$2:$G$1369,MATCH(856,Engine!$C$2:$C$1369,0)))</f>
        <v/>
      </c>
      <c r="H869" s="9">
        <f>IF(ISNA(MATCH(856,Engine!$C$2:$C$1369,0)),"",INDEX('Compliance Database'!$H$2:$H$1369,MATCH(856,Engine!$C$2:$C$1369,0)))</f>
        <v/>
      </c>
      <c r="I869" s="9">
        <f>IF(ISNA(MATCH(856,Engine!$C$2:$C$1369,0)),"",INDEX('Compliance Database'!$I$2:$I$1369,MATCH(856,Engine!$C$2:$C$1369,0)))</f>
        <v/>
      </c>
      <c r="J869" s="8">
        <f>IF(ISNA(MATCH(856,Engine!$C$2:$C$1369,0)),"",INDEX('Compliance Database'!$J$2:$J$1369,MATCH(856,Engine!$C$2:$C$1369,0)))</f>
        <v/>
      </c>
      <c r="K869" s="9">
        <f>IF(ISNA(MATCH(856,Engine!$C$2:$C$1369,0)),"",INDEX('Compliance Database'!$K$2:$K$1369,MATCH(856,Engine!$C$2:$C$1369,0)))</f>
        <v/>
      </c>
      <c r="L869" s="9">
        <f>IF(ISNA(MATCH(856,Engine!$C$2:$C$1369,0)),"",INDEX('Compliance Database'!$L$2:$L$1369,MATCH(856,Engine!$C$2:$C$1369,0)))</f>
        <v/>
      </c>
      <c r="M869" s="9">
        <f>IF(ISNA(MATCH(856,Engine!$C$2:$C$1369,0)),"",INDEX('Compliance Database'!$M$2:$M$1369,MATCH(856,Engine!$C$2:$C$1369,0)))</f>
        <v/>
      </c>
      <c r="N869" s="9">
        <f>IF(ISNA(MATCH(856,Engine!$C$2:$C$1369,0)),"",INDEX('Compliance Database'!$N$2:$N$1369,MATCH(856,Engine!$C$2:$C$1369,0)))</f>
        <v/>
      </c>
      <c r="O869" s="8">
        <f>IF(ISNA(MATCH(856,Engine!$C$2:$C$1369,0)),"",HYPERLINK(INDEX('Compliance Database'!$O$2:$O$1369,MATCH(856,Engine!$C$2:$C$1369,0)),"Open PDF"))</f>
        <v/>
      </c>
    </row>
    <row r="870" ht="188" customHeight="1">
      <c r="A870" s="8">
        <f>IF(ISNA(MATCH(857,Engine!$C$2:$C$1369,0)),"",INDEX('Compliance Database'!$A$2:$A$1369,MATCH(857,Engine!$C$2:$C$1369,0)))</f>
        <v/>
      </c>
      <c r="B870" s="8">
        <f>IF(ISNA(MATCH(857,Engine!$C$2:$C$1369,0)),"",INDEX('Compliance Database'!$B$2:$B$1369,MATCH(857,Engine!$C$2:$C$1369,0)))</f>
        <v/>
      </c>
      <c r="C870" s="8">
        <f>IF(ISNA(MATCH(857,Engine!$C$2:$C$1369,0)),"",INDEX('Compliance Database'!$C$2:$C$1369,MATCH(857,Engine!$C$2:$C$1369,0)))</f>
        <v/>
      </c>
      <c r="D870" s="9">
        <f>IF(ISNA(MATCH(857,Engine!$C$2:$C$1369,0)),"",INDEX('Compliance Database'!$D$2:$D$1369,MATCH(857,Engine!$C$2:$C$1369,0)))</f>
        <v/>
      </c>
      <c r="E870" s="8">
        <f>IF(ISNA(MATCH(857,Engine!$C$2:$C$1369,0)),"",INDEX('Compliance Database'!$E$2:$E$1369,MATCH(857,Engine!$C$2:$C$1369,0)))</f>
        <v/>
      </c>
      <c r="F870" s="8">
        <f>IF(ISNA(MATCH(857,Engine!$C$2:$C$1369,0)),"",INDEX('Compliance Database'!$F$2:$F$1369,MATCH(857,Engine!$C$2:$C$1369,0)))</f>
        <v/>
      </c>
      <c r="G870" s="8">
        <f>IF(ISNA(MATCH(857,Engine!$C$2:$C$1369,0)),"",INDEX('Compliance Database'!$G$2:$G$1369,MATCH(857,Engine!$C$2:$C$1369,0)))</f>
        <v/>
      </c>
      <c r="H870" s="9">
        <f>IF(ISNA(MATCH(857,Engine!$C$2:$C$1369,0)),"",INDEX('Compliance Database'!$H$2:$H$1369,MATCH(857,Engine!$C$2:$C$1369,0)))</f>
        <v/>
      </c>
      <c r="I870" s="9">
        <f>IF(ISNA(MATCH(857,Engine!$C$2:$C$1369,0)),"",INDEX('Compliance Database'!$I$2:$I$1369,MATCH(857,Engine!$C$2:$C$1369,0)))</f>
        <v/>
      </c>
      <c r="J870" s="8">
        <f>IF(ISNA(MATCH(857,Engine!$C$2:$C$1369,0)),"",INDEX('Compliance Database'!$J$2:$J$1369,MATCH(857,Engine!$C$2:$C$1369,0)))</f>
        <v/>
      </c>
      <c r="K870" s="9">
        <f>IF(ISNA(MATCH(857,Engine!$C$2:$C$1369,0)),"",INDEX('Compliance Database'!$K$2:$K$1369,MATCH(857,Engine!$C$2:$C$1369,0)))</f>
        <v/>
      </c>
      <c r="L870" s="9">
        <f>IF(ISNA(MATCH(857,Engine!$C$2:$C$1369,0)),"",INDEX('Compliance Database'!$L$2:$L$1369,MATCH(857,Engine!$C$2:$C$1369,0)))</f>
        <v/>
      </c>
      <c r="M870" s="9">
        <f>IF(ISNA(MATCH(857,Engine!$C$2:$C$1369,0)),"",INDEX('Compliance Database'!$M$2:$M$1369,MATCH(857,Engine!$C$2:$C$1369,0)))</f>
        <v/>
      </c>
      <c r="N870" s="9">
        <f>IF(ISNA(MATCH(857,Engine!$C$2:$C$1369,0)),"",INDEX('Compliance Database'!$N$2:$N$1369,MATCH(857,Engine!$C$2:$C$1369,0)))</f>
        <v/>
      </c>
      <c r="O870" s="8">
        <f>IF(ISNA(MATCH(857,Engine!$C$2:$C$1369,0)),"",HYPERLINK(INDEX('Compliance Database'!$O$2:$O$1369,MATCH(857,Engine!$C$2:$C$1369,0)),"Open PDF"))</f>
        <v/>
      </c>
    </row>
    <row r="871" ht="188" customHeight="1">
      <c r="A871" s="8">
        <f>IF(ISNA(MATCH(858,Engine!$C$2:$C$1369,0)),"",INDEX('Compliance Database'!$A$2:$A$1369,MATCH(858,Engine!$C$2:$C$1369,0)))</f>
        <v/>
      </c>
      <c r="B871" s="8">
        <f>IF(ISNA(MATCH(858,Engine!$C$2:$C$1369,0)),"",INDEX('Compliance Database'!$B$2:$B$1369,MATCH(858,Engine!$C$2:$C$1369,0)))</f>
        <v/>
      </c>
      <c r="C871" s="8">
        <f>IF(ISNA(MATCH(858,Engine!$C$2:$C$1369,0)),"",INDEX('Compliance Database'!$C$2:$C$1369,MATCH(858,Engine!$C$2:$C$1369,0)))</f>
        <v/>
      </c>
      <c r="D871" s="9">
        <f>IF(ISNA(MATCH(858,Engine!$C$2:$C$1369,0)),"",INDEX('Compliance Database'!$D$2:$D$1369,MATCH(858,Engine!$C$2:$C$1369,0)))</f>
        <v/>
      </c>
      <c r="E871" s="8">
        <f>IF(ISNA(MATCH(858,Engine!$C$2:$C$1369,0)),"",INDEX('Compliance Database'!$E$2:$E$1369,MATCH(858,Engine!$C$2:$C$1369,0)))</f>
        <v/>
      </c>
      <c r="F871" s="8">
        <f>IF(ISNA(MATCH(858,Engine!$C$2:$C$1369,0)),"",INDEX('Compliance Database'!$F$2:$F$1369,MATCH(858,Engine!$C$2:$C$1369,0)))</f>
        <v/>
      </c>
      <c r="G871" s="8">
        <f>IF(ISNA(MATCH(858,Engine!$C$2:$C$1369,0)),"",INDEX('Compliance Database'!$G$2:$G$1369,MATCH(858,Engine!$C$2:$C$1369,0)))</f>
        <v/>
      </c>
      <c r="H871" s="9">
        <f>IF(ISNA(MATCH(858,Engine!$C$2:$C$1369,0)),"",INDEX('Compliance Database'!$H$2:$H$1369,MATCH(858,Engine!$C$2:$C$1369,0)))</f>
        <v/>
      </c>
      <c r="I871" s="9">
        <f>IF(ISNA(MATCH(858,Engine!$C$2:$C$1369,0)),"",INDEX('Compliance Database'!$I$2:$I$1369,MATCH(858,Engine!$C$2:$C$1369,0)))</f>
        <v/>
      </c>
      <c r="J871" s="8">
        <f>IF(ISNA(MATCH(858,Engine!$C$2:$C$1369,0)),"",INDEX('Compliance Database'!$J$2:$J$1369,MATCH(858,Engine!$C$2:$C$1369,0)))</f>
        <v/>
      </c>
      <c r="K871" s="9">
        <f>IF(ISNA(MATCH(858,Engine!$C$2:$C$1369,0)),"",INDEX('Compliance Database'!$K$2:$K$1369,MATCH(858,Engine!$C$2:$C$1369,0)))</f>
        <v/>
      </c>
      <c r="L871" s="9">
        <f>IF(ISNA(MATCH(858,Engine!$C$2:$C$1369,0)),"",INDEX('Compliance Database'!$L$2:$L$1369,MATCH(858,Engine!$C$2:$C$1369,0)))</f>
        <v/>
      </c>
      <c r="M871" s="9">
        <f>IF(ISNA(MATCH(858,Engine!$C$2:$C$1369,0)),"",INDEX('Compliance Database'!$M$2:$M$1369,MATCH(858,Engine!$C$2:$C$1369,0)))</f>
        <v/>
      </c>
      <c r="N871" s="9">
        <f>IF(ISNA(MATCH(858,Engine!$C$2:$C$1369,0)),"",INDEX('Compliance Database'!$N$2:$N$1369,MATCH(858,Engine!$C$2:$C$1369,0)))</f>
        <v/>
      </c>
      <c r="O871" s="8">
        <f>IF(ISNA(MATCH(858,Engine!$C$2:$C$1369,0)),"",HYPERLINK(INDEX('Compliance Database'!$O$2:$O$1369,MATCH(858,Engine!$C$2:$C$1369,0)),"Open PDF"))</f>
        <v/>
      </c>
    </row>
    <row r="872" ht="188" customHeight="1">
      <c r="A872" s="8">
        <f>IF(ISNA(MATCH(859,Engine!$C$2:$C$1369,0)),"",INDEX('Compliance Database'!$A$2:$A$1369,MATCH(859,Engine!$C$2:$C$1369,0)))</f>
        <v/>
      </c>
      <c r="B872" s="8">
        <f>IF(ISNA(MATCH(859,Engine!$C$2:$C$1369,0)),"",INDEX('Compliance Database'!$B$2:$B$1369,MATCH(859,Engine!$C$2:$C$1369,0)))</f>
        <v/>
      </c>
      <c r="C872" s="8">
        <f>IF(ISNA(MATCH(859,Engine!$C$2:$C$1369,0)),"",INDEX('Compliance Database'!$C$2:$C$1369,MATCH(859,Engine!$C$2:$C$1369,0)))</f>
        <v/>
      </c>
      <c r="D872" s="9">
        <f>IF(ISNA(MATCH(859,Engine!$C$2:$C$1369,0)),"",INDEX('Compliance Database'!$D$2:$D$1369,MATCH(859,Engine!$C$2:$C$1369,0)))</f>
        <v/>
      </c>
      <c r="E872" s="8">
        <f>IF(ISNA(MATCH(859,Engine!$C$2:$C$1369,0)),"",INDEX('Compliance Database'!$E$2:$E$1369,MATCH(859,Engine!$C$2:$C$1369,0)))</f>
        <v/>
      </c>
      <c r="F872" s="8">
        <f>IF(ISNA(MATCH(859,Engine!$C$2:$C$1369,0)),"",INDEX('Compliance Database'!$F$2:$F$1369,MATCH(859,Engine!$C$2:$C$1369,0)))</f>
        <v/>
      </c>
      <c r="G872" s="8">
        <f>IF(ISNA(MATCH(859,Engine!$C$2:$C$1369,0)),"",INDEX('Compliance Database'!$G$2:$G$1369,MATCH(859,Engine!$C$2:$C$1369,0)))</f>
        <v/>
      </c>
      <c r="H872" s="9">
        <f>IF(ISNA(MATCH(859,Engine!$C$2:$C$1369,0)),"",INDEX('Compliance Database'!$H$2:$H$1369,MATCH(859,Engine!$C$2:$C$1369,0)))</f>
        <v/>
      </c>
      <c r="I872" s="9">
        <f>IF(ISNA(MATCH(859,Engine!$C$2:$C$1369,0)),"",INDEX('Compliance Database'!$I$2:$I$1369,MATCH(859,Engine!$C$2:$C$1369,0)))</f>
        <v/>
      </c>
      <c r="J872" s="8">
        <f>IF(ISNA(MATCH(859,Engine!$C$2:$C$1369,0)),"",INDEX('Compliance Database'!$J$2:$J$1369,MATCH(859,Engine!$C$2:$C$1369,0)))</f>
        <v/>
      </c>
      <c r="K872" s="9">
        <f>IF(ISNA(MATCH(859,Engine!$C$2:$C$1369,0)),"",INDEX('Compliance Database'!$K$2:$K$1369,MATCH(859,Engine!$C$2:$C$1369,0)))</f>
        <v/>
      </c>
      <c r="L872" s="9">
        <f>IF(ISNA(MATCH(859,Engine!$C$2:$C$1369,0)),"",INDEX('Compliance Database'!$L$2:$L$1369,MATCH(859,Engine!$C$2:$C$1369,0)))</f>
        <v/>
      </c>
      <c r="M872" s="9">
        <f>IF(ISNA(MATCH(859,Engine!$C$2:$C$1369,0)),"",INDEX('Compliance Database'!$M$2:$M$1369,MATCH(859,Engine!$C$2:$C$1369,0)))</f>
        <v/>
      </c>
      <c r="N872" s="9">
        <f>IF(ISNA(MATCH(859,Engine!$C$2:$C$1369,0)),"",INDEX('Compliance Database'!$N$2:$N$1369,MATCH(859,Engine!$C$2:$C$1369,0)))</f>
        <v/>
      </c>
      <c r="O872" s="8">
        <f>IF(ISNA(MATCH(859,Engine!$C$2:$C$1369,0)),"",HYPERLINK(INDEX('Compliance Database'!$O$2:$O$1369,MATCH(859,Engine!$C$2:$C$1369,0)),"Open PDF"))</f>
        <v/>
      </c>
    </row>
    <row r="873" ht="188" customHeight="1">
      <c r="A873" s="8">
        <f>IF(ISNA(MATCH(860,Engine!$C$2:$C$1369,0)),"",INDEX('Compliance Database'!$A$2:$A$1369,MATCH(860,Engine!$C$2:$C$1369,0)))</f>
        <v/>
      </c>
      <c r="B873" s="8">
        <f>IF(ISNA(MATCH(860,Engine!$C$2:$C$1369,0)),"",INDEX('Compliance Database'!$B$2:$B$1369,MATCH(860,Engine!$C$2:$C$1369,0)))</f>
        <v/>
      </c>
      <c r="C873" s="8">
        <f>IF(ISNA(MATCH(860,Engine!$C$2:$C$1369,0)),"",INDEX('Compliance Database'!$C$2:$C$1369,MATCH(860,Engine!$C$2:$C$1369,0)))</f>
        <v/>
      </c>
      <c r="D873" s="9">
        <f>IF(ISNA(MATCH(860,Engine!$C$2:$C$1369,0)),"",INDEX('Compliance Database'!$D$2:$D$1369,MATCH(860,Engine!$C$2:$C$1369,0)))</f>
        <v/>
      </c>
      <c r="E873" s="8">
        <f>IF(ISNA(MATCH(860,Engine!$C$2:$C$1369,0)),"",INDEX('Compliance Database'!$E$2:$E$1369,MATCH(860,Engine!$C$2:$C$1369,0)))</f>
        <v/>
      </c>
      <c r="F873" s="8">
        <f>IF(ISNA(MATCH(860,Engine!$C$2:$C$1369,0)),"",INDEX('Compliance Database'!$F$2:$F$1369,MATCH(860,Engine!$C$2:$C$1369,0)))</f>
        <v/>
      </c>
      <c r="G873" s="8">
        <f>IF(ISNA(MATCH(860,Engine!$C$2:$C$1369,0)),"",INDEX('Compliance Database'!$G$2:$G$1369,MATCH(860,Engine!$C$2:$C$1369,0)))</f>
        <v/>
      </c>
      <c r="H873" s="9">
        <f>IF(ISNA(MATCH(860,Engine!$C$2:$C$1369,0)),"",INDEX('Compliance Database'!$H$2:$H$1369,MATCH(860,Engine!$C$2:$C$1369,0)))</f>
        <v/>
      </c>
      <c r="I873" s="9">
        <f>IF(ISNA(MATCH(860,Engine!$C$2:$C$1369,0)),"",INDEX('Compliance Database'!$I$2:$I$1369,MATCH(860,Engine!$C$2:$C$1369,0)))</f>
        <v/>
      </c>
      <c r="J873" s="8">
        <f>IF(ISNA(MATCH(860,Engine!$C$2:$C$1369,0)),"",INDEX('Compliance Database'!$J$2:$J$1369,MATCH(860,Engine!$C$2:$C$1369,0)))</f>
        <v/>
      </c>
      <c r="K873" s="9">
        <f>IF(ISNA(MATCH(860,Engine!$C$2:$C$1369,0)),"",INDEX('Compliance Database'!$K$2:$K$1369,MATCH(860,Engine!$C$2:$C$1369,0)))</f>
        <v/>
      </c>
      <c r="L873" s="9">
        <f>IF(ISNA(MATCH(860,Engine!$C$2:$C$1369,0)),"",INDEX('Compliance Database'!$L$2:$L$1369,MATCH(860,Engine!$C$2:$C$1369,0)))</f>
        <v/>
      </c>
      <c r="M873" s="9">
        <f>IF(ISNA(MATCH(860,Engine!$C$2:$C$1369,0)),"",INDEX('Compliance Database'!$M$2:$M$1369,MATCH(860,Engine!$C$2:$C$1369,0)))</f>
        <v/>
      </c>
      <c r="N873" s="9">
        <f>IF(ISNA(MATCH(860,Engine!$C$2:$C$1369,0)),"",INDEX('Compliance Database'!$N$2:$N$1369,MATCH(860,Engine!$C$2:$C$1369,0)))</f>
        <v/>
      </c>
      <c r="O873" s="8">
        <f>IF(ISNA(MATCH(860,Engine!$C$2:$C$1369,0)),"",HYPERLINK(INDEX('Compliance Database'!$O$2:$O$1369,MATCH(860,Engine!$C$2:$C$1369,0)),"Open PDF"))</f>
        <v/>
      </c>
    </row>
    <row r="874" ht="188" customHeight="1">
      <c r="A874" s="8">
        <f>IF(ISNA(MATCH(861,Engine!$C$2:$C$1369,0)),"",INDEX('Compliance Database'!$A$2:$A$1369,MATCH(861,Engine!$C$2:$C$1369,0)))</f>
        <v/>
      </c>
      <c r="B874" s="8">
        <f>IF(ISNA(MATCH(861,Engine!$C$2:$C$1369,0)),"",INDEX('Compliance Database'!$B$2:$B$1369,MATCH(861,Engine!$C$2:$C$1369,0)))</f>
        <v/>
      </c>
      <c r="C874" s="8">
        <f>IF(ISNA(MATCH(861,Engine!$C$2:$C$1369,0)),"",INDEX('Compliance Database'!$C$2:$C$1369,MATCH(861,Engine!$C$2:$C$1369,0)))</f>
        <v/>
      </c>
      <c r="D874" s="9">
        <f>IF(ISNA(MATCH(861,Engine!$C$2:$C$1369,0)),"",INDEX('Compliance Database'!$D$2:$D$1369,MATCH(861,Engine!$C$2:$C$1369,0)))</f>
        <v/>
      </c>
      <c r="E874" s="8">
        <f>IF(ISNA(MATCH(861,Engine!$C$2:$C$1369,0)),"",INDEX('Compliance Database'!$E$2:$E$1369,MATCH(861,Engine!$C$2:$C$1369,0)))</f>
        <v/>
      </c>
      <c r="F874" s="8">
        <f>IF(ISNA(MATCH(861,Engine!$C$2:$C$1369,0)),"",INDEX('Compliance Database'!$F$2:$F$1369,MATCH(861,Engine!$C$2:$C$1369,0)))</f>
        <v/>
      </c>
      <c r="G874" s="8">
        <f>IF(ISNA(MATCH(861,Engine!$C$2:$C$1369,0)),"",INDEX('Compliance Database'!$G$2:$G$1369,MATCH(861,Engine!$C$2:$C$1369,0)))</f>
        <v/>
      </c>
      <c r="H874" s="9">
        <f>IF(ISNA(MATCH(861,Engine!$C$2:$C$1369,0)),"",INDEX('Compliance Database'!$H$2:$H$1369,MATCH(861,Engine!$C$2:$C$1369,0)))</f>
        <v/>
      </c>
      <c r="I874" s="9">
        <f>IF(ISNA(MATCH(861,Engine!$C$2:$C$1369,0)),"",INDEX('Compliance Database'!$I$2:$I$1369,MATCH(861,Engine!$C$2:$C$1369,0)))</f>
        <v/>
      </c>
      <c r="J874" s="8">
        <f>IF(ISNA(MATCH(861,Engine!$C$2:$C$1369,0)),"",INDEX('Compliance Database'!$J$2:$J$1369,MATCH(861,Engine!$C$2:$C$1369,0)))</f>
        <v/>
      </c>
      <c r="K874" s="9">
        <f>IF(ISNA(MATCH(861,Engine!$C$2:$C$1369,0)),"",INDEX('Compliance Database'!$K$2:$K$1369,MATCH(861,Engine!$C$2:$C$1369,0)))</f>
        <v/>
      </c>
      <c r="L874" s="9">
        <f>IF(ISNA(MATCH(861,Engine!$C$2:$C$1369,0)),"",INDEX('Compliance Database'!$L$2:$L$1369,MATCH(861,Engine!$C$2:$C$1369,0)))</f>
        <v/>
      </c>
      <c r="M874" s="9">
        <f>IF(ISNA(MATCH(861,Engine!$C$2:$C$1369,0)),"",INDEX('Compliance Database'!$M$2:$M$1369,MATCH(861,Engine!$C$2:$C$1369,0)))</f>
        <v/>
      </c>
      <c r="N874" s="9">
        <f>IF(ISNA(MATCH(861,Engine!$C$2:$C$1369,0)),"",INDEX('Compliance Database'!$N$2:$N$1369,MATCH(861,Engine!$C$2:$C$1369,0)))</f>
        <v/>
      </c>
      <c r="O874" s="8">
        <f>IF(ISNA(MATCH(861,Engine!$C$2:$C$1369,0)),"",HYPERLINK(INDEX('Compliance Database'!$O$2:$O$1369,MATCH(861,Engine!$C$2:$C$1369,0)),"Open PDF"))</f>
        <v/>
      </c>
    </row>
    <row r="875" ht="188" customHeight="1">
      <c r="A875" s="8">
        <f>IF(ISNA(MATCH(862,Engine!$C$2:$C$1369,0)),"",INDEX('Compliance Database'!$A$2:$A$1369,MATCH(862,Engine!$C$2:$C$1369,0)))</f>
        <v/>
      </c>
      <c r="B875" s="8">
        <f>IF(ISNA(MATCH(862,Engine!$C$2:$C$1369,0)),"",INDEX('Compliance Database'!$B$2:$B$1369,MATCH(862,Engine!$C$2:$C$1369,0)))</f>
        <v/>
      </c>
      <c r="C875" s="8">
        <f>IF(ISNA(MATCH(862,Engine!$C$2:$C$1369,0)),"",INDEX('Compliance Database'!$C$2:$C$1369,MATCH(862,Engine!$C$2:$C$1369,0)))</f>
        <v/>
      </c>
      <c r="D875" s="9">
        <f>IF(ISNA(MATCH(862,Engine!$C$2:$C$1369,0)),"",INDEX('Compliance Database'!$D$2:$D$1369,MATCH(862,Engine!$C$2:$C$1369,0)))</f>
        <v/>
      </c>
      <c r="E875" s="8">
        <f>IF(ISNA(MATCH(862,Engine!$C$2:$C$1369,0)),"",INDEX('Compliance Database'!$E$2:$E$1369,MATCH(862,Engine!$C$2:$C$1369,0)))</f>
        <v/>
      </c>
      <c r="F875" s="8">
        <f>IF(ISNA(MATCH(862,Engine!$C$2:$C$1369,0)),"",INDEX('Compliance Database'!$F$2:$F$1369,MATCH(862,Engine!$C$2:$C$1369,0)))</f>
        <v/>
      </c>
      <c r="G875" s="8">
        <f>IF(ISNA(MATCH(862,Engine!$C$2:$C$1369,0)),"",INDEX('Compliance Database'!$G$2:$G$1369,MATCH(862,Engine!$C$2:$C$1369,0)))</f>
        <v/>
      </c>
      <c r="H875" s="9">
        <f>IF(ISNA(MATCH(862,Engine!$C$2:$C$1369,0)),"",INDEX('Compliance Database'!$H$2:$H$1369,MATCH(862,Engine!$C$2:$C$1369,0)))</f>
        <v/>
      </c>
      <c r="I875" s="9">
        <f>IF(ISNA(MATCH(862,Engine!$C$2:$C$1369,0)),"",INDEX('Compliance Database'!$I$2:$I$1369,MATCH(862,Engine!$C$2:$C$1369,0)))</f>
        <v/>
      </c>
      <c r="J875" s="8">
        <f>IF(ISNA(MATCH(862,Engine!$C$2:$C$1369,0)),"",INDEX('Compliance Database'!$J$2:$J$1369,MATCH(862,Engine!$C$2:$C$1369,0)))</f>
        <v/>
      </c>
      <c r="K875" s="9">
        <f>IF(ISNA(MATCH(862,Engine!$C$2:$C$1369,0)),"",INDEX('Compliance Database'!$K$2:$K$1369,MATCH(862,Engine!$C$2:$C$1369,0)))</f>
        <v/>
      </c>
      <c r="L875" s="9">
        <f>IF(ISNA(MATCH(862,Engine!$C$2:$C$1369,0)),"",INDEX('Compliance Database'!$L$2:$L$1369,MATCH(862,Engine!$C$2:$C$1369,0)))</f>
        <v/>
      </c>
      <c r="M875" s="9">
        <f>IF(ISNA(MATCH(862,Engine!$C$2:$C$1369,0)),"",INDEX('Compliance Database'!$M$2:$M$1369,MATCH(862,Engine!$C$2:$C$1369,0)))</f>
        <v/>
      </c>
      <c r="N875" s="9">
        <f>IF(ISNA(MATCH(862,Engine!$C$2:$C$1369,0)),"",INDEX('Compliance Database'!$N$2:$N$1369,MATCH(862,Engine!$C$2:$C$1369,0)))</f>
        <v/>
      </c>
      <c r="O875" s="8">
        <f>IF(ISNA(MATCH(862,Engine!$C$2:$C$1369,0)),"",HYPERLINK(INDEX('Compliance Database'!$O$2:$O$1369,MATCH(862,Engine!$C$2:$C$1369,0)),"Open PDF"))</f>
        <v/>
      </c>
    </row>
    <row r="876" ht="188" customHeight="1">
      <c r="A876" s="8">
        <f>IF(ISNA(MATCH(863,Engine!$C$2:$C$1369,0)),"",INDEX('Compliance Database'!$A$2:$A$1369,MATCH(863,Engine!$C$2:$C$1369,0)))</f>
        <v/>
      </c>
      <c r="B876" s="8">
        <f>IF(ISNA(MATCH(863,Engine!$C$2:$C$1369,0)),"",INDEX('Compliance Database'!$B$2:$B$1369,MATCH(863,Engine!$C$2:$C$1369,0)))</f>
        <v/>
      </c>
      <c r="C876" s="8">
        <f>IF(ISNA(MATCH(863,Engine!$C$2:$C$1369,0)),"",INDEX('Compliance Database'!$C$2:$C$1369,MATCH(863,Engine!$C$2:$C$1369,0)))</f>
        <v/>
      </c>
      <c r="D876" s="9">
        <f>IF(ISNA(MATCH(863,Engine!$C$2:$C$1369,0)),"",INDEX('Compliance Database'!$D$2:$D$1369,MATCH(863,Engine!$C$2:$C$1369,0)))</f>
        <v/>
      </c>
      <c r="E876" s="8">
        <f>IF(ISNA(MATCH(863,Engine!$C$2:$C$1369,0)),"",INDEX('Compliance Database'!$E$2:$E$1369,MATCH(863,Engine!$C$2:$C$1369,0)))</f>
        <v/>
      </c>
      <c r="F876" s="8">
        <f>IF(ISNA(MATCH(863,Engine!$C$2:$C$1369,0)),"",INDEX('Compliance Database'!$F$2:$F$1369,MATCH(863,Engine!$C$2:$C$1369,0)))</f>
        <v/>
      </c>
      <c r="G876" s="8">
        <f>IF(ISNA(MATCH(863,Engine!$C$2:$C$1369,0)),"",INDEX('Compliance Database'!$G$2:$G$1369,MATCH(863,Engine!$C$2:$C$1369,0)))</f>
        <v/>
      </c>
      <c r="H876" s="9">
        <f>IF(ISNA(MATCH(863,Engine!$C$2:$C$1369,0)),"",INDEX('Compliance Database'!$H$2:$H$1369,MATCH(863,Engine!$C$2:$C$1369,0)))</f>
        <v/>
      </c>
      <c r="I876" s="9">
        <f>IF(ISNA(MATCH(863,Engine!$C$2:$C$1369,0)),"",INDEX('Compliance Database'!$I$2:$I$1369,MATCH(863,Engine!$C$2:$C$1369,0)))</f>
        <v/>
      </c>
      <c r="J876" s="8">
        <f>IF(ISNA(MATCH(863,Engine!$C$2:$C$1369,0)),"",INDEX('Compliance Database'!$J$2:$J$1369,MATCH(863,Engine!$C$2:$C$1369,0)))</f>
        <v/>
      </c>
      <c r="K876" s="9">
        <f>IF(ISNA(MATCH(863,Engine!$C$2:$C$1369,0)),"",INDEX('Compliance Database'!$K$2:$K$1369,MATCH(863,Engine!$C$2:$C$1369,0)))</f>
        <v/>
      </c>
      <c r="L876" s="9">
        <f>IF(ISNA(MATCH(863,Engine!$C$2:$C$1369,0)),"",INDEX('Compliance Database'!$L$2:$L$1369,MATCH(863,Engine!$C$2:$C$1369,0)))</f>
        <v/>
      </c>
      <c r="M876" s="9">
        <f>IF(ISNA(MATCH(863,Engine!$C$2:$C$1369,0)),"",INDEX('Compliance Database'!$M$2:$M$1369,MATCH(863,Engine!$C$2:$C$1369,0)))</f>
        <v/>
      </c>
      <c r="N876" s="9">
        <f>IF(ISNA(MATCH(863,Engine!$C$2:$C$1369,0)),"",INDEX('Compliance Database'!$N$2:$N$1369,MATCH(863,Engine!$C$2:$C$1369,0)))</f>
        <v/>
      </c>
      <c r="O876" s="8">
        <f>IF(ISNA(MATCH(863,Engine!$C$2:$C$1369,0)),"",HYPERLINK(INDEX('Compliance Database'!$O$2:$O$1369,MATCH(863,Engine!$C$2:$C$1369,0)),"Open PDF"))</f>
        <v/>
      </c>
    </row>
    <row r="877" ht="188" customHeight="1">
      <c r="A877" s="8">
        <f>IF(ISNA(MATCH(864,Engine!$C$2:$C$1369,0)),"",INDEX('Compliance Database'!$A$2:$A$1369,MATCH(864,Engine!$C$2:$C$1369,0)))</f>
        <v/>
      </c>
      <c r="B877" s="8">
        <f>IF(ISNA(MATCH(864,Engine!$C$2:$C$1369,0)),"",INDEX('Compliance Database'!$B$2:$B$1369,MATCH(864,Engine!$C$2:$C$1369,0)))</f>
        <v/>
      </c>
      <c r="C877" s="8">
        <f>IF(ISNA(MATCH(864,Engine!$C$2:$C$1369,0)),"",INDEX('Compliance Database'!$C$2:$C$1369,MATCH(864,Engine!$C$2:$C$1369,0)))</f>
        <v/>
      </c>
      <c r="D877" s="9">
        <f>IF(ISNA(MATCH(864,Engine!$C$2:$C$1369,0)),"",INDEX('Compliance Database'!$D$2:$D$1369,MATCH(864,Engine!$C$2:$C$1369,0)))</f>
        <v/>
      </c>
      <c r="E877" s="8">
        <f>IF(ISNA(MATCH(864,Engine!$C$2:$C$1369,0)),"",INDEX('Compliance Database'!$E$2:$E$1369,MATCH(864,Engine!$C$2:$C$1369,0)))</f>
        <v/>
      </c>
      <c r="F877" s="8">
        <f>IF(ISNA(MATCH(864,Engine!$C$2:$C$1369,0)),"",INDEX('Compliance Database'!$F$2:$F$1369,MATCH(864,Engine!$C$2:$C$1369,0)))</f>
        <v/>
      </c>
      <c r="G877" s="8">
        <f>IF(ISNA(MATCH(864,Engine!$C$2:$C$1369,0)),"",INDEX('Compliance Database'!$G$2:$G$1369,MATCH(864,Engine!$C$2:$C$1369,0)))</f>
        <v/>
      </c>
      <c r="H877" s="9">
        <f>IF(ISNA(MATCH(864,Engine!$C$2:$C$1369,0)),"",INDEX('Compliance Database'!$H$2:$H$1369,MATCH(864,Engine!$C$2:$C$1369,0)))</f>
        <v/>
      </c>
      <c r="I877" s="9">
        <f>IF(ISNA(MATCH(864,Engine!$C$2:$C$1369,0)),"",INDEX('Compliance Database'!$I$2:$I$1369,MATCH(864,Engine!$C$2:$C$1369,0)))</f>
        <v/>
      </c>
      <c r="J877" s="8">
        <f>IF(ISNA(MATCH(864,Engine!$C$2:$C$1369,0)),"",INDEX('Compliance Database'!$J$2:$J$1369,MATCH(864,Engine!$C$2:$C$1369,0)))</f>
        <v/>
      </c>
      <c r="K877" s="9">
        <f>IF(ISNA(MATCH(864,Engine!$C$2:$C$1369,0)),"",INDEX('Compliance Database'!$K$2:$K$1369,MATCH(864,Engine!$C$2:$C$1369,0)))</f>
        <v/>
      </c>
      <c r="L877" s="9">
        <f>IF(ISNA(MATCH(864,Engine!$C$2:$C$1369,0)),"",INDEX('Compliance Database'!$L$2:$L$1369,MATCH(864,Engine!$C$2:$C$1369,0)))</f>
        <v/>
      </c>
      <c r="M877" s="9">
        <f>IF(ISNA(MATCH(864,Engine!$C$2:$C$1369,0)),"",INDEX('Compliance Database'!$M$2:$M$1369,MATCH(864,Engine!$C$2:$C$1369,0)))</f>
        <v/>
      </c>
      <c r="N877" s="9">
        <f>IF(ISNA(MATCH(864,Engine!$C$2:$C$1369,0)),"",INDEX('Compliance Database'!$N$2:$N$1369,MATCH(864,Engine!$C$2:$C$1369,0)))</f>
        <v/>
      </c>
      <c r="O877" s="8">
        <f>IF(ISNA(MATCH(864,Engine!$C$2:$C$1369,0)),"",HYPERLINK(INDEX('Compliance Database'!$O$2:$O$1369,MATCH(864,Engine!$C$2:$C$1369,0)),"Open PDF"))</f>
        <v/>
      </c>
    </row>
    <row r="878" ht="188" customHeight="1">
      <c r="A878" s="8">
        <f>IF(ISNA(MATCH(865,Engine!$C$2:$C$1369,0)),"",INDEX('Compliance Database'!$A$2:$A$1369,MATCH(865,Engine!$C$2:$C$1369,0)))</f>
        <v/>
      </c>
      <c r="B878" s="8">
        <f>IF(ISNA(MATCH(865,Engine!$C$2:$C$1369,0)),"",INDEX('Compliance Database'!$B$2:$B$1369,MATCH(865,Engine!$C$2:$C$1369,0)))</f>
        <v/>
      </c>
      <c r="C878" s="8">
        <f>IF(ISNA(MATCH(865,Engine!$C$2:$C$1369,0)),"",INDEX('Compliance Database'!$C$2:$C$1369,MATCH(865,Engine!$C$2:$C$1369,0)))</f>
        <v/>
      </c>
      <c r="D878" s="9">
        <f>IF(ISNA(MATCH(865,Engine!$C$2:$C$1369,0)),"",INDEX('Compliance Database'!$D$2:$D$1369,MATCH(865,Engine!$C$2:$C$1369,0)))</f>
        <v/>
      </c>
      <c r="E878" s="8">
        <f>IF(ISNA(MATCH(865,Engine!$C$2:$C$1369,0)),"",INDEX('Compliance Database'!$E$2:$E$1369,MATCH(865,Engine!$C$2:$C$1369,0)))</f>
        <v/>
      </c>
      <c r="F878" s="8">
        <f>IF(ISNA(MATCH(865,Engine!$C$2:$C$1369,0)),"",INDEX('Compliance Database'!$F$2:$F$1369,MATCH(865,Engine!$C$2:$C$1369,0)))</f>
        <v/>
      </c>
      <c r="G878" s="8">
        <f>IF(ISNA(MATCH(865,Engine!$C$2:$C$1369,0)),"",INDEX('Compliance Database'!$G$2:$G$1369,MATCH(865,Engine!$C$2:$C$1369,0)))</f>
        <v/>
      </c>
      <c r="H878" s="9">
        <f>IF(ISNA(MATCH(865,Engine!$C$2:$C$1369,0)),"",INDEX('Compliance Database'!$H$2:$H$1369,MATCH(865,Engine!$C$2:$C$1369,0)))</f>
        <v/>
      </c>
      <c r="I878" s="9">
        <f>IF(ISNA(MATCH(865,Engine!$C$2:$C$1369,0)),"",INDEX('Compliance Database'!$I$2:$I$1369,MATCH(865,Engine!$C$2:$C$1369,0)))</f>
        <v/>
      </c>
      <c r="J878" s="8">
        <f>IF(ISNA(MATCH(865,Engine!$C$2:$C$1369,0)),"",INDEX('Compliance Database'!$J$2:$J$1369,MATCH(865,Engine!$C$2:$C$1369,0)))</f>
        <v/>
      </c>
      <c r="K878" s="9">
        <f>IF(ISNA(MATCH(865,Engine!$C$2:$C$1369,0)),"",INDEX('Compliance Database'!$K$2:$K$1369,MATCH(865,Engine!$C$2:$C$1369,0)))</f>
        <v/>
      </c>
      <c r="L878" s="9">
        <f>IF(ISNA(MATCH(865,Engine!$C$2:$C$1369,0)),"",INDEX('Compliance Database'!$L$2:$L$1369,MATCH(865,Engine!$C$2:$C$1369,0)))</f>
        <v/>
      </c>
      <c r="M878" s="9">
        <f>IF(ISNA(MATCH(865,Engine!$C$2:$C$1369,0)),"",INDEX('Compliance Database'!$M$2:$M$1369,MATCH(865,Engine!$C$2:$C$1369,0)))</f>
        <v/>
      </c>
      <c r="N878" s="9">
        <f>IF(ISNA(MATCH(865,Engine!$C$2:$C$1369,0)),"",INDEX('Compliance Database'!$N$2:$N$1369,MATCH(865,Engine!$C$2:$C$1369,0)))</f>
        <v/>
      </c>
      <c r="O878" s="8">
        <f>IF(ISNA(MATCH(865,Engine!$C$2:$C$1369,0)),"",HYPERLINK(INDEX('Compliance Database'!$O$2:$O$1369,MATCH(865,Engine!$C$2:$C$1369,0)),"Open PDF"))</f>
        <v/>
      </c>
    </row>
    <row r="879" ht="188" customHeight="1">
      <c r="A879" s="8">
        <f>IF(ISNA(MATCH(866,Engine!$C$2:$C$1369,0)),"",INDEX('Compliance Database'!$A$2:$A$1369,MATCH(866,Engine!$C$2:$C$1369,0)))</f>
        <v/>
      </c>
      <c r="B879" s="8">
        <f>IF(ISNA(MATCH(866,Engine!$C$2:$C$1369,0)),"",INDEX('Compliance Database'!$B$2:$B$1369,MATCH(866,Engine!$C$2:$C$1369,0)))</f>
        <v/>
      </c>
      <c r="C879" s="8">
        <f>IF(ISNA(MATCH(866,Engine!$C$2:$C$1369,0)),"",INDEX('Compliance Database'!$C$2:$C$1369,MATCH(866,Engine!$C$2:$C$1369,0)))</f>
        <v/>
      </c>
      <c r="D879" s="9">
        <f>IF(ISNA(MATCH(866,Engine!$C$2:$C$1369,0)),"",INDEX('Compliance Database'!$D$2:$D$1369,MATCH(866,Engine!$C$2:$C$1369,0)))</f>
        <v/>
      </c>
      <c r="E879" s="8">
        <f>IF(ISNA(MATCH(866,Engine!$C$2:$C$1369,0)),"",INDEX('Compliance Database'!$E$2:$E$1369,MATCH(866,Engine!$C$2:$C$1369,0)))</f>
        <v/>
      </c>
      <c r="F879" s="8">
        <f>IF(ISNA(MATCH(866,Engine!$C$2:$C$1369,0)),"",INDEX('Compliance Database'!$F$2:$F$1369,MATCH(866,Engine!$C$2:$C$1369,0)))</f>
        <v/>
      </c>
      <c r="G879" s="8">
        <f>IF(ISNA(MATCH(866,Engine!$C$2:$C$1369,0)),"",INDEX('Compliance Database'!$G$2:$G$1369,MATCH(866,Engine!$C$2:$C$1369,0)))</f>
        <v/>
      </c>
      <c r="H879" s="9">
        <f>IF(ISNA(MATCH(866,Engine!$C$2:$C$1369,0)),"",INDEX('Compliance Database'!$H$2:$H$1369,MATCH(866,Engine!$C$2:$C$1369,0)))</f>
        <v/>
      </c>
      <c r="I879" s="9">
        <f>IF(ISNA(MATCH(866,Engine!$C$2:$C$1369,0)),"",INDEX('Compliance Database'!$I$2:$I$1369,MATCH(866,Engine!$C$2:$C$1369,0)))</f>
        <v/>
      </c>
      <c r="J879" s="8">
        <f>IF(ISNA(MATCH(866,Engine!$C$2:$C$1369,0)),"",INDEX('Compliance Database'!$J$2:$J$1369,MATCH(866,Engine!$C$2:$C$1369,0)))</f>
        <v/>
      </c>
      <c r="K879" s="9">
        <f>IF(ISNA(MATCH(866,Engine!$C$2:$C$1369,0)),"",INDEX('Compliance Database'!$K$2:$K$1369,MATCH(866,Engine!$C$2:$C$1369,0)))</f>
        <v/>
      </c>
      <c r="L879" s="9">
        <f>IF(ISNA(MATCH(866,Engine!$C$2:$C$1369,0)),"",INDEX('Compliance Database'!$L$2:$L$1369,MATCH(866,Engine!$C$2:$C$1369,0)))</f>
        <v/>
      </c>
      <c r="M879" s="9">
        <f>IF(ISNA(MATCH(866,Engine!$C$2:$C$1369,0)),"",INDEX('Compliance Database'!$M$2:$M$1369,MATCH(866,Engine!$C$2:$C$1369,0)))</f>
        <v/>
      </c>
      <c r="N879" s="9">
        <f>IF(ISNA(MATCH(866,Engine!$C$2:$C$1369,0)),"",INDEX('Compliance Database'!$N$2:$N$1369,MATCH(866,Engine!$C$2:$C$1369,0)))</f>
        <v/>
      </c>
      <c r="O879" s="8">
        <f>IF(ISNA(MATCH(866,Engine!$C$2:$C$1369,0)),"",HYPERLINK(INDEX('Compliance Database'!$O$2:$O$1369,MATCH(866,Engine!$C$2:$C$1369,0)),"Open PDF"))</f>
        <v/>
      </c>
    </row>
    <row r="880" ht="188" customHeight="1">
      <c r="A880" s="8">
        <f>IF(ISNA(MATCH(867,Engine!$C$2:$C$1369,0)),"",INDEX('Compliance Database'!$A$2:$A$1369,MATCH(867,Engine!$C$2:$C$1369,0)))</f>
        <v/>
      </c>
      <c r="B880" s="8">
        <f>IF(ISNA(MATCH(867,Engine!$C$2:$C$1369,0)),"",INDEX('Compliance Database'!$B$2:$B$1369,MATCH(867,Engine!$C$2:$C$1369,0)))</f>
        <v/>
      </c>
      <c r="C880" s="8">
        <f>IF(ISNA(MATCH(867,Engine!$C$2:$C$1369,0)),"",INDEX('Compliance Database'!$C$2:$C$1369,MATCH(867,Engine!$C$2:$C$1369,0)))</f>
        <v/>
      </c>
      <c r="D880" s="9">
        <f>IF(ISNA(MATCH(867,Engine!$C$2:$C$1369,0)),"",INDEX('Compliance Database'!$D$2:$D$1369,MATCH(867,Engine!$C$2:$C$1369,0)))</f>
        <v/>
      </c>
      <c r="E880" s="8">
        <f>IF(ISNA(MATCH(867,Engine!$C$2:$C$1369,0)),"",INDEX('Compliance Database'!$E$2:$E$1369,MATCH(867,Engine!$C$2:$C$1369,0)))</f>
        <v/>
      </c>
      <c r="F880" s="8">
        <f>IF(ISNA(MATCH(867,Engine!$C$2:$C$1369,0)),"",INDEX('Compliance Database'!$F$2:$F$1369,MATCH(867,Engine!$C$2:$C$1369,0)))</f>
        <v/>
      </c>
      <c r="G880" s="8">
        <f>IF(ISNA(MATCH(867,Engine!$C$2:$C$1369,0)),"",INDEX('Compliance Database'!$G$2:$G$1369,MATCH(867,Engine!$C$2:$C$1369,0)))</f>
        <v/>
      </c>
      <c r="H880" s="9">
        <f>IF(ISNA(MATCH(867,Engine!$C$2:$C$1369,0)),"",INDEX('Compliance Database'!$H$2:$H$1369,MATCH(867,Engine!$C$2:$C$1369,0)))</f>
        <v/>
      </c>
      <c r="I880" s="9">
        <f>IF(ISNA(MATCH(867,Engine!$C$2:$C$1369,0)),"",INDEX('Compliance Database'!$I$2:$I$1369,MATCH(867,Engine!$C$2:$C$1369,0)))</f>
        <v/>
      </c>
      <c r="J880" s="8">
        <f>IF(ISNA(MATCH(867,Engine!$C$2:$C$1369,0)),"",INDEX('Compliance Database'!$J$2:$J$1369,MATCH(867,Engine!$C$2:$C$1369,0)))</f>
        <v/>
      </c>
      <c r="K880" s="9">
        <f>IF(ISNA(MATCH(867,Engine!$C$2:$C$1369,0)),"",INDEX('Compliance Database'!$K$2:$K$1369,MATCH(867,Engine!$C$2:$C$1369,0)))</f>
        <v/>
      </c>
      <c r="L880" s="9">
        <f>IF(ISNA(MATCH(867,Engine!$C$2:$C$1369,0)),"",INDEX('Compliance Database'!$L$2:$L$1369,MATCH(867,Engine!$C$2:$C$1369,0)))</f>
        <v/>
      </c>
      <c r="M880" s="9">
        <f>IF(ISNA(MATCH(867,Engine!$C$2:$C$1369,0)),"",INDEX('Compliance Database'!$M$2:$M$1369,MATCH(867,Engine!$C$2:$C$1369,0)))</f>
        <v/>
      </c>
      <c r="N880" s="9">
        <f>IF(ISNA(MATCH(867,Engine!$C$2:$C$1369,0)),"",INDEX('Compliance Database'!$N$2:$N$1369,MATCH(867,Engine!$C$2:$C$1369,0)))</f>
        <v/>
      </c>
      <c r="O880" s="8">
        <f>IF(ISNA(MATCH(867,Engine!$C$2:$C$1369,0)),"",HYPERLINK(INDEX('Compliance Database'!$O$2:$O$1369,MATCH(867,Engine!$C$2:$C$1369,0)),"Open PDF"))</f>
        <v/>
      </c>
    </row>
    <row r="881" ht="188" customHeight="1">
      <c r="A881" s="8">
        <f>IF(ISNA(MATCH(868,Engine!$C$2:$C$1369,0)),"",INDEX('Compliance Database'!$A$2:$A$1369,MATCH(868,Engine!$C$2:$C$1369,0)))</f>
        <v/>
      </c>
      <c r="B881" s="8">
        <f>IF(ISNA(MATCH(868,Engine!$C$2:$C$1369,0)),"",INDEX('Compliance Database'!$B$2:$B$1369,MATCH(868,Engine!$C$2:$C$1369,0)))</f>
        <v/>
      </c>
      <c r="C881" s="8">
        <f>IF(ISNA(MATCH(868,Engine!$C$2:$C$1369,0)),"",INDEX('Compliance Database'!$C$2:$C$1369,MATCH(868,Engine!$C$2:$C$1369,0)))</f>
        <v/>
      </c>
      <c r="D881" s="9">
        <f>IF(ISNA(MATCH(868,Engine!$C$2:$C$1369,0)),"",INDEX('Compliance Database'!$D$2:$D$1369,MATCH(868,Engine!$C$2:$C$1369,0)))</f>
        <v/>
      </c>
      <c r="E881" s="8">
        <f>IF(ISNA(MATCH(868,Engine!$C$2:$C$1369,0)),"",INDEX('Compliance Database'!$E$2:$E$1369,MATCH(868,Engine!$C$2:$C$1369,0)))</f>
        <v/>
      </c>
      <c r="F881" s="8">
        <f>IF(ISNA(MATCH(868,Engine!$C$2:$C$1369,0)),"",INDEX('Compliance Database'!$F$2:$F$1369,MATCH(868,Engine!$C$2:$C$1369,0)))</f>
        <v/>
      </c>
      <c r="G881" s="8">
        <f>IF(ISNA(MATCH(868,Engine!$C$2:$C$1369,0)),"",INDEX('Compliance Database'!$G$2:$G$1369,MATCH(868,Engine!$C$2:$C$1369,0)))</f>
        <v/>
      </c>
      <c r="H881" s="9">
        <f>IF(ISNA(MATCH(868,Engine!$C$2:$C$1369,0)),"",INDEX('Compliance Database'!$H$2:$H$1369,MATCH(868,Engine!$C$2:$C$1369,0)))</f>
        <v/>
      </c>
      <c r="I881" s="9">
        <f>IF(ISNA(MATCH(868,Engine!$C$2:$C$1369,0)),"",INDEX('Compliance Database'!$I$2:$I$1369,MATCH(868,Engine!$C$2:$C$1369,0)))</f>
        <v/>
      </c>
      <c r="J881" s="8">
        <f>IF(ISNA(MATCH(868,Engine!$C$2:$C$1369,0)),"",INDEX('Compliance Database'!$J$2:$J$1369,MATCH(868,Engine!$C$2:$C$1369,0)))</f>
        <v/>
      </c>
      <c r="K881" s="9">
        <f>IF(ISNA(MATCH(868,Engine!$C$2:$C$1369,0)),"",INDEX('Compliance Database'!$K$2:$K$1369,MATCH(868,Engine!$C$2:$C$1369,0)))</f>
        <v/>
      </c>
      <c r="L881" s="9">
        <f>IF(ISNA(MATCH(868,Engine!$C$2:$C$1369,0)),"",INDEX('Compliance Database'!$L$2:$L$1369,MATCH(868,Engine!$C$2:$C$1369,0)))</f>
        <v/>
      </c>
      <c r="M881" s="9">
        <f>IF(ISNA(MATCH(868,Engine!$C$2:$C$1369,0)),"",INDEX('Compliance Database'!$M$2:$M$1369,MATCH(868,Engine!$C$2:$C$1369,0)))</f>
        <v/>
      </c>
      <c r="N881" s="9">
        <f>IF(ISNA(MATCH(868,Engine!$C$2:$C$1369,0)),"",INDEX('Compliance Database'!$N$2:$N$1369,MATCH(868,Engine!$C$2:$C$1369,0)))</f>
        <v/>
      </c>
      <c r="O881" s="8">
        <f>IF(ISNA(MATCH(868,Engine!$C$2:$C$1369,0)),"",HYPERLINK(INDEX('Compliance Database'!$O$2:$O$1369,MATCH(868,Engine!$C$2:$C$1369,0)),"Open PDF"))</f>
        <v/>
      </c>
    </row>
    <row r="882" ht="188" customHeight="1">
      <c r="A882" s="8">
        <f>IF(ISNA(MATCH(869,Engine!$C$2:$C$1369,0)),"",INDEX('Compliance Database'!$A$2:$A$1369,MATCH(869,Engine!$C$2:$C$1369,0)))</f>
        <v/>
      </c>
      <c r="B882" s="8">
        <f>IF(ISNA(MATCH(869,Engine!$C$2:$C$1369,0)),"",INDEX('Compliance Database'!$B$2:$B$1369,MATCH(869,Engine!$C$2:$C$1369,0)))</f>
        <v/>
      </c>
      <c r="C882" s="8">
        <f>IF(ISNA(MATCH(869,Engine!$C$2:$C$1369,0)),"",INDEX('Compliance Database'!$C$2:$C$1369,MATCH(869,Engine!$C$2:$C$1369,0)))</f>
        <v/>
      </c>
      <c r="D882" s="9">
        <f>IF(ISNA(MATCH(869,Engine!$C$2:$C$1369,0)),"",INDEX('Compliance Database'!$D$2:$D$1369,MATCH(869,Engine!$C$2:$C$1369,0)))</f>
        <v/>
      </c>
      <c r="E882" s="8">
        <f>IF(ISNA(MATCH(869,Engine!$C$2:$C$1369,0)),"",INDEX('Compliance Database'!$E$2:$E$1369,MATCH(869,Engine!$C$2:$C$1369,0)))</f>
        <v/>
      </c>
      <c r="F882" s="8">
        <f>IF(ISNA(MATCH(869,Engine!$C$2:$C$1369,0)),"",INDEX('Compliance Database'!$F$2:$F$1369,MATCH(869,Engine!$C$2:$C$1369,0)))</f>
        <v/>
      </c>
      <c r="G882" s="8">
        <f>IF(ISNA(MATCH(869,Engine!$C$2:$C$1369,0)),"",INDEX('Compliance Database'!$G$2:$G$1369,MATCH(869,Engine!$C$2:$C$1369,0)))</f>
        <v/>
      </c>
      <c r="H882" s="9">
        <f>IF(ISNA(MATCH(869,Engine!$C$2:$C$1369,0)),"",INDEX('Compliance Database'!$H$2:$H$1369,MATCH(869,Engine!$C$2:$C$1369,0)))</f>
        <v/>
      </c>
      <c r="I882" s="9">
        <f>IF(ISNA(MATCH(869,Engine!$C$2:$C$1369,0)),"",INDEX('Compliance Database'!$I$2:$I$1369,MATCH(869,Engine!$C$2:$C$1369,0)))</f>
        <v/>
      </c>
      <c r="J882" s="8">
        <f>IF(ISNA(MATCH(869,Engine!$C$2:$C$1369,0)),"",INDEX('Compliance Database'!$J$2:$J$1369,MATCH(869,Engine!$C$2:$C$1369,0)))</f>
        <v/>
      </c>
      <c r="K882" s="9">
        <f>IF(ISNA(MATCH(869,Engine!$C$2:$C$1369,0)),"",INDEX('Compliance Database'!$K$2:$K$1369,MATCH(869,Engine!$C$2:$C$1369,0)))</f>
        <v/>
      </c>
      <c r="L882" s="9">
        <f>IF(ISNA(MATCH(869,Engine!$C$2:$C$1369,0)),"",INDEX('Compliance Database'!$L$2:$L$1369,MATCH(869,Engine!$C$2:$C$1369,0)))</f>
        <v/>
      </c>
      <c r="M882" s="9">
        <f>IF(ISNA(MATCH(869,Engine!$C$2:$C$1369,0)),"",INDEX('Compliance Database'!$M$2:$M$1369,MATCH(869,Engine!$C$2:$C$1369,0)))</f>
        <v/>
      </c>
      <c r="N882" s="9">
        <f>IF(ISNA(MATCH(869,Engine!$C$2:$C$1369,0)),"",INDEX('Compliance Database'!$N$2:$N$1369,MATCH(869,Engine!$C$2:$C$1369,0)))</f>
        <v/>
      </c>
      <c r="O882" s="8">
        <f>IF(ISNA(MATCH(869,Engine!$C$2:$C$1369,0)),"",HYPERLINK(INDEX('Compliance Database'!$O$2:$O$1369,MATCH(869,Engine!$C$2:$C$1369,0)),"Open PDF"))</f>
        <v/>
      </c>
    </row>
    <row r="883" ht="188" customHeight="1">
      <c r="A883" s="8">
        <f>IF(ISNA(MATCH(870,Engine!$C$2:$C$1369,0)),"",INDEX('Compliance Database'!$A$2:$A$1369,MATCH(870,Engine!$C$2:$C$1369,0)))</f>
        <v/>
      </c>
      <c r="B883" s="8">
        <f>IF(ISNA(MATCH(870,Engine!$C$2:$C$1369,0)),"",INDEX('Compliance Database'!$B$2:$B$1369,MATCH(870,Engine!$C$2:$C$1369,0)))</f>
        <v/>
      </c>
      <c r="C883" s="8">
        <f>IF(ISNA(MATCH(870,Engine!$C$2:$C$1369,0)),"",INDEX('Compliance Database'!$C$2:$C$1369,MATCH(870,Engine!$C$2:$C$1369,0)))</f>
        <v/>
      </c>
      <c r="D883" s="9">
        <f>IF(ISNA(MATCH(870,Engine!$C$2:$C$1369,0)),"",INDEX('Compliance Database'!$D$2:$D$1369,MATCH(870,Engine!$C$2:$C$1369,0)))</f>
        <v/>
      </c>
      <c r="E883" s="8">
        <f>IF(ISNA(MATCH(870,Engine!$C$2:$C$1369,0)),"",INDEX('Compliance Database'!$E$2:$E$1369,MATCH(870,Engine!$C$2:$C$1369,0)))</f>
        <v/>
      </c>
      <c r="F883" s="8">
        <f>IF(ISNA(MATCH(870,Engine!$C$2:$C$1369,0)),"",INDEX('Compliance Database'!$F$2:$F$1369,MATCH(870,Engine!$C$2:$C$1369,0)))</f>
        <v/>
      </c>
      <c r="G883" s="8">
        <f>IF(ISNA(MATCH(870,Engine!$C$2:$C$1369,0)),"",INDEX('Compliance Database'!$G$2:$G$1369,MATCH(870,Engine!$C$2:$C$1369,0)))</f>
        <v/>
      </c>
      <c r="H883" s="9">
        <f>IF(ISNA(MATCH(870,Engine!$C$2:$C$1369,0)),"",INDEX('Compliance Database'!$H$2:$H$1369,MATCH(870,Engine!$C$2:$C$1369,0)))</f>
        <v/>
      </c>
      <c r="I883" s="9">
        <f>IF(ISNA(MATCH(870,Engine!$C$2:$C$1369,0)),"",INDEX('Compliance Database'!$I$2:$I$1369,MATCH(870,Engine!$C$2:$C$1369,0)))</f>
        <v/>
      </c>
      <c r="J883" s="8">
        <f>IF(ISNA(MATCH(870,Engine!$C$2:$C$1369,0)),"",INDEX('Compliance Database'!$J$2:$J$1369,MATCH(870,Engine!$C$2:$C$1369,0)))</f>
        <v/>
      </c>
      <c r="K883" s="9">
        <f>IF(ISNA(MATCH(870,Engine!$C$2:$C$1369,0)),"",INDEX('Compliance Database'!$K$2:$K$1369,MATCH(870,Engine!$C$2:$C$1369,0)))</f>
        <v/>
      </c>
      <c r="L883" s="9">
        <f>IF(ISNA(MATCH(870,Engine!$C$2:$C$1369,0)),"",INDEX('Compliance Database'!$L$2:$L$1369,MATCH(870,Engine!$C$2:$C$1369,0)))</f>
        <v/>
      </c>
      <c r="M883" s="9">
        <f>IF(ISNA(MATCH(870,Engine!$C$2:$C$1369,0)),"",INDEX('Compliance Database'!$M$2:$M$1369,MATCH(870,Engine!$C$2:$C$1369,0)))</f>
        <v/>
      </c>
      <c r="N883" s="9">
        <f>IF(ISNA(MATCH(870,Engine!$C$2:$C$1369,0)),"",INDEX('Compliance Database'!$N$2:$N$1369,MATCH(870,Engine!$C$2:$C$1369,0)))</f>
        <v/>
      </c>
      <c r="O883" s="8">
        <f>IF(ISNA(MATCH(870,Engine!$C$2:$C$1369,0)),"",HYPERLINK(INDEX('Compliance Database'!$O$2:$O$1369,MATCH(870,Engine!$C$2:$C$1369,0)),"Open PDF"))</f>
        <v/>
      </c>
    </row>
    <row r="884" ht="188" customHeight="1">
      <c r="A884" s="8">
        <f>IF(ISNA(MATCH(871,Engine!$C$2:$C$1369,0)),"",INDEX('Compliance Database'!$A$2:$A$1369,MATCH(871,Engine!$C$2:$C$1369,0)))</f>
        <v/>
      </c>
      <c r="B884" s="8">
        <f>IF(ISNA(MATCH(871,Engine!$C$2:$C$1369,0)),"",INDEX('Compliance Database'!$B$2:$B$1369,MATCH(871,Engine!$C$2:$C$1369,0)))</f>
        <v/>
      </c>
      <c r="C884" s="8">
        <f>IF(ISNA(MATCH(871,Engine!$C$2:$C$1369,0)),"",INDEX('Compliance Database'!$C$2:$C$1369,MATCH(871,Engine!$C$2:$C$1369,0)))</f>
        <v/>
      </c>
      <c r="D884" s="9">
        <f>IF(ISNA(MATCH(871,Engine!$C$2:$C$1369,0)),"",INDEX('Compliance Database'!$D$2:$D$1369,MATCH(871,Engine!$C$2:$C$1369,0)))</f>
        <v/>
      </c>
      <c r="E884" s="8">
        <f>IF(ISNA(MATCH(871,Engine!$C$2:$C$1369,0)),"",INDEX('Compliance Database'!$E$2:$E$1369,MATCH(871,Engine!$C$2:$C$1369,0)))</f>
        <v/>
      </c>
      <c r="F884" s="8">
        <f>IF(ISNA(MATCH(871,Engine!$C$2:$C$1369,0)),"",INDEX('Compliance Database'!$F$2:$F$1369,MATCH(871,Engine!$C$2:$C$1369,0)))</f>
        <v/>
      </c>
      <c r="G884" s="8">
        <f>IF(ISNA(MATCH(871,Engine!$C$2:$C$1369,0)),"",INDEX('Compliance Database'!$G$2:$G$1369,MATCH(871,Engine!$C$2:$C$1369,0)))</f>
        <v/>
      </c>
      <c r="H884" s="9">
        <f>IF(ISNA(MATCH(871,Engine!$C$2:$C$1369,0)),"",INDEX('Compliance Database'!$H$2:$H$1369,MATCH(871,Engine!$C$2:$C$1369,0)))</f>
        <v/>
      </c>
      <c r="I884" s="9">
        <f>IF(ISNA(MATCH(871,Engine!$C$2:$C$1369,0)),"",INDEX('Compliance Database'!$I$2:$I$1369,MATCH(871,Engine!$C$2:$C$1369,0)))</f>
        <v/>
      </c>
      <c r="J884" s="8">
        <f>IF(ISNA(MATCH(871,Engine!$C$2:$C$1369,0)),"",INDEX('Compliance Database'!$J$2:$J$1369,MATCH(871,Engine!$C$2:$C$1369,0)))</f>
        <v/>
      </c>
      <c r="K884" s="9">
        <f>IF(ISNA(MATCH(871,Engine!$C$2:$C$1369,0)),"",INDEX('Compliance Database'!$K$2:$K$1369,MATCH(871,Engine!$C$2:$C$1369,0)))</f>
        <v/>
      </c>
      <c r="L884" s="9">
        <f>IF(ISNA(MATCH(871,Engine!$C$2:$C$1369,0)),"",INDEX('Compliance Database'!$L$2:$L$1369,MATCH(871,Engine!$C$2:$C$1369,0)))</f>
        <v/>
      </c>
      <c r="M884" s="9">
        <f>IF(ISNA(MATCH(871,Engine!$C$2:$C$1369,0)),"",INDEX('Compliance Database'!$M$2:$M$1369,MATCH(871,Engine!$C$2:$C$1369,0)))</f>
        <v/>
      </c>
      <c r="N884" s="9">
        <f>IF(ISNA(MATCH(871,Engine!$C$2:$C$1369,0)),"",INDEX('Compliance Database'!$N$2:$N$1369,MATCH(871,Engine!$C$2:$C$1369,0)))</f>
        <v/>
      </c>
      <c r="O884" s="8">
        <f>IF(ISNA(MATCH(871,Engine!$C$2:$C$1369,0)),"",HYPERLINK(INDEX('Compliance Database'!$O$2:$O$1369,MATCH(871,Engine!$C$2:$C$1369,0)),"Open PDF"))</f>
        <v/>
      </c>
    </row>
    <row r="885" ht="188" customHeight="1">
      <c r="A885" s="8">
        <f>IF(ISNA(MATCH(872,Engine!$C$2:$C$1369,0)),"",INDEX('Compliance Database'!$A$2:$A$1369,MATCH(872,Engine!$C$2:$C$1369,0)))</f>
        <v/>
      </c>
      <c r="B885" s="8">
        <f>IF(ISNA(MATCH(872,Engine!$C$2:$C$1369,0)),"",INDEX('Compliance Database'!$B$2:$B$1369,MATCH(872,Engine!$C$2:$C$1369,0)))</f>
        <v/>
      </c>
      <c r="C885" s="8">
        <f>IF(ISNA(MATCH(872,Engine!$C$2:$C$1369,0)),"",INDEX('Compliance Database'!$C$2:$C$1369,MATCH(872,Engine!$C$2:$C$1369,0)))</f>
        <v/>
      </c>
      <c r="D885" s="9">
        <f>IF(ISNA(MATCH(872,Engine!$C$2:$C$1369,0)),"",INDEX('Compliance Database'!$D$2:$D$1369,MATCH(872,Engine!$C$2:$C$1369,0)))</f>
        <v/>
      </c>
      <c r="E885" s="8">
        <f>IF(ISNA(MATCH(872,Engine!$C$2:$C$1369,0)),"",INDEX('Compliance Database'!$E$2:$E$1369,MATCH(872,Engine!$C$2:$C$1369,0)))</f>
        <v/>
      </c>
      <c r="F885" s="8">
        <f>IF(ISNA(MATCH(872,Engine!$C$2:$C$1369,0)),"",INDEX('Compliance Database'!$F$2:$F$1369,MATCH(872,Engine!$C$2:$C$1369,0)))</f>
        <v/>
      </c>
      <c r="G885" s="8">
        <f>IF(ISNA(MATCH(872,Engine!$C$2:$C$1369,0)),"",INDEX('Compliance Database'!$G$2:$G$1369,MATCH(872,Engine!$C$2:$C$1369,0)))</f>
        <v/>
      </c>
      <c r="H885" s="9">
        <f>IF(ISNA(MATCH(872,Engine!$C$2:$C$1369,0)),"",INDEX('Compliance Database'!$H$2:$H$1369,MATCH(872,Engine!$C$2:$C$1369,0)))</f>
        <v/>
      </c>
      <c r="I885" s="9">
        <f>IF(ISNA(MATCH(872,Engine!$C$2:$C$1369,0)),"",INDEX('Compliance Database'!$I$2:$I$1369,MATCH(872,Engine!$C$2:$C$1369,0)))</f>
        <v/>
      </c>
      <c r="J885" s="8">
        <f>IF(ISNA(MATCH(872,Engine!$C$2:$C$1369,0)),"",INDEX('Compliance Database'!$J$2:$J$1369,MATCH(872,Engine!$C$2:$C$1369,0)))</f>
        <v/>
      </c>
      <c r="K885" s="9">
        <f>IF(ISNA(MATCH(872,Engine!$C$2:$C$1369,0)),"",INDEX('Compliance Database'!$K$2:$K$1369,MATCH(872,Engine!$C$2:$C$1369,0)))</f>
        <v/>
      </c>
      <c r="L885" s="9">
        <f>IF(ISNA(MATCH(872,Engine!$C$2:$C$1369,0)),"",INDEX('Compliance Database'!$L$2:$L$1369,MATCH(872,Engine!$C$2:$C$1369,0)))</f>
        <v/>
      </c>
      <c r="M885" s="9">
        <f>IF(ISNA(MATCH(872,Engine!$C$2:$C$1369,0)),"",INDEX('Compliance Database'!$M$2:$M$1369,MATCH(872,Engine!$C$2:$C$1369,0)))</f>
        <v/>
      </c>
      <c r="N885" s="9">
        <f>IF(ISNA(MATCH(872,Engine!$C$2:$C$1369,0)),"",INDEX('Compliance Database'!$N$2:$N$1369,MATCH(872,Engine!$C$2:$C$1369,0)))</f>
        <v/>
      </c>
      <c r="O885" s="8">
        <f>IF(ISNA(MATCH(872,Engine!$C$2:$C$1369,0)),"",HYPERLINK(INDEX('Compliance Database'!$O$2:$O$1369,MATCH(872,Engine!$C$2:$C$1369,0)),"Open PDF"))</f>
        <v/>
      </c>
    </row>
    <row r="886" ht="188" customHeight="1">
      <c r="A886" s="8">
        <f>IF(ISNA(MATCH(873,Engine!$C$2:$C$1369,0)),"",INDEX('Compliance Database'!$A$2:$A$1369,MATCH(873,Engine!$C$2:$C$1369,0)))</f>
        <v/>
      </c>
      <c r="B886" s="8">
        <f>IF(ISNA(MATCH(873,Engine!$C$2:$C$1369,0)),"",INDEX('Compliance Database'!$B$2:$B$1369,MATCH(873,Engine!$C$2:$C$1369,0)))</f>
        <v/>
      </c>
      <c r="C886" s="8">
        <f>IF(ISNA(MATCH(873,Engine!$C$2:$C$1369,0)),"",INDEX('Compliance Database'!$C$2:$C$1369,MATCH(873,Engine!$C$2:$C$1369,0)))</f>
        <v/>
      </c>
      <c r="D886" s="9">
        <f>IF(ISNA(MATCH(873,Engine!$C$2:$C$1369,0)),"",INDEX('Compliance Database'!$D$2:$D$1369,MATCH(873,Engine!$C$2:$C$1369,0)))</f>
        <v/>
      </c>
      <c r="E886" s="8">
        <f>IF(ISNA(MATCH(873,Engine!$C$2:$C$1369,0)),"",INDEX('Compliance Database'!$E$2:$E$1369,MATCH(873,Engine!$C$2:$C$1369,0)))</f>
        <v/>
      </c>
      <c r="F886" s="8">
        <f>IF(ISNA(MATCH(873,Engine!$C$2:$C$1369,0)),"",INDEX('Compliance Database'!$F$2:$F$1369,MATCH(873,Engine!$C$2:$C$1369,0)))</f>
        <v/>
      </c>
      <c r="G886" s="8">
        <f>IF(ISNA(MATCH(873,Engine!$C$2:$C$1369,0)),"",INDEX('Compliance Database'!$G$2:$G$1369,MATCH(873,Engine!$C$2:$C$1369,0)))</f>
        <v/>
      </c>
      <c r="H886" s="9">
        <f>IF(ISNA(MATCH(873,Engine!$C$2:$C$1369,0)),"",INDEX('Compliance Database'!$H$2:$H$1369,MATCH(873,Engine!$C$2:$C$1369,0)))</f>
        <v/>
      </c>
      <c r="I886" s="9">
        <f>IF(ISNA(MATCH(873,Engine!$C$2:$C$1369,0)),"",INDEX('Compliance Database'!$I$2:$I$1369,MATCH(873,Engine!$C$2:$C$1369,0)))</f>
        <v/>
      </c>
      <c r="J886" s="8">
        <f>IF(ISNA(MATCH(873,Engine!$C$2:$C$1369,0)),"",INDEX('Compliance Database'!$J$2:$J$1369,MATCH(873,Engine!$C$2:$C$1369,0)))</f>
        <v/>
      </c>
      <c r="K886" s="9">
        <f>IF(ISNA(MATCH(873,Engine!$C$2:$C$1369,0)),"",INDEX('Compliance Database'!$K$2:$K$1369,MATCH(873,Engine!$C$2:$C$1369,0)))</f>
        <v/>
      </c>
      <c r="L886" s="9">
        <f>IF(ISNA(MATCH(873,Engine!$C$2:$C$1369,0)),"",INDEX('Compliance Database'!$L$2:$L$1369,MATCH(873,Engine!$C$2:$C$1369,0)))</f>
        <v/>
      </c>
      <c r="M886" s="9">
        <f>IF(ISNA(MATCH(873,Engine!$C$2:$C$1369,0)),"",INDEX('Compliance Database'!$M$2:$M$1369,MATCH(873,Engine!$C$2:$C$1369,0)))</f>
        <v/>
      </c>
      <c r="N886" s="9">
        <f>IF(ISNA(MATCH(873,Engine!$C$2:$C$1369,0)),"",INDEX('Compliance Database'!$N$2:$N$1369,MATCH(873,Engine!$C$2:$C$1369,0)))</f>
        <v/>
      </c>
      <c r="O886" s="8">
        <f>IF(ISNA(MATCH(873,Engine!$C$2:$C$1369,0)),"",HYPERLINK(INDEX('Compliance Database'!$O$2:$O$1369,MATCH(873,Engine!$C$2:$C$1369,0)),"Open PDF"))</f>
        <v/>
      </c>
    </row>
    <row r="887" ht="188" customHeight="1">
      <c r="A887" s="8">
        <f>IF(ISNA(MATCH(874,Engine!$C$2:$C$1369,0)),"",INDEX('Compliance Database'!$A$2:$A$1369,MATCH(874,Engine!$C$2:$C$1369,0)))</f>
        <v/>
      </c>
      <c r="B887" s="8">
        <f>IF(ISNA(MATCH(874,Engine!$C$2:$C$1369,0)),"",INDEX('Compliance Database'!$B$2:$B$1369,MATCH(874,Engine!$C$2:$C$1369,0)))</f>
        <v/>
      </c>
      <c r="C887" s="8">
        <f>IF(ISNA(MATCH(874,Engine!$C$2:$C$1369,0)),"",INDEX('Compliance Database'!$C$2:$C$1369,MATCH(874,Engine!$C$2:$C$1369,0)))</f>
        <v/>
      </c>
      <c r="D887" s="9">
        <f>IF(ISNA(MATCH(874,Engine!$C$2:$C$1369,0)),"",INDEX('Compliance Database'!$D$2:$D$1369,MATCH(874,Engine!$C$2:$C$1369,0)))</f>
        <v/>
      </c>
      <c r="E887" s="8">
        <f>IF(ISNA(MATCH(874,Engine!$C$2:$C$1369,0)),"",INDEX('Compliance Database'!$E$2:$E$1369,MATCH(874,Engine!$C$2:$C$1369,0)))</f>
        <v/>
      </c>
      <c r="F887" s="8">
        <f>IF(ISNA(MATCH(874,Engine!$C$2:$C$1369,0)),"",INDEX('Compliance Database'!$F$2:$F$1369,MATCH(874,Engine!$C$2:$C$1369,0)))</f>
        <v/>
      </c>
      <c r="G887" s="8">
        <f>IF(ISNA(MATCH(874,Engine!$C$2:$C$1369,0)),"",INDEX('Compliance Database'!$G$2:$G$1369,MATCH(874,Engine!$C$2:$C$1369,0)))</f>
        <v/>
      </c>
      <c r="H887" s="9">
        <f>IF(ISNA(MATCH(874,Engine!$C$2:$C$1369,0)),"",INDEX('Compliance Database'!$H$2:$H$1369,MATCH(874,Engine!$C$2:$C$1369,0)))</f>
        <v/>
      </c>
      <c r="I887" s="9">
        <f>IF(ISNA(MATCH(874,Engine!$C$2:$C$1369,0)),"",INDEX('Compliance Database'!$I$2:$I$1369,MATCH(874,Engine!$C$2:$C$1369,0)))</f>
        <v/>
      </c>
      <c r="J887" s="8">
        <f>IF(ISNA(MATCH(874,Engine!$C$2:$C$1369,0)),"",INDEX('Compliance Database'!$J$2:$J$1369,MATCH(874,Engine!$C$2:$C$1369,0)))</f>
        <v/>
      </c>
      <c r="K887" s="9">
        <f>IF(ISNA(MATCH(874,Engine!$C$2:$C$1369,0)),"",INDEX('Compliance Database'!$K$2:$K$1369,MATCH(874,Engine!$C$2:$C$1369,0)))</f>
        <v/>
      </c>
      <c r="L887" s="9">
        <f>IF(ISNA(MATCH(874,Engine!$C$2:$C$1369,0)),"",INDEX('Compliance Database'!$L$2:$L$1369,MATCH(874,Engine!$C$2:$C$1369,0)))</f>
        <v/>
      </c>
      <c r="M887" s="9">
        <f>IF(ISNA(MATCH(874,Engine!$C$2:$C$1369,0)),"",INDEX('Compliance Database'!$M$2:$M$1369,MATCH(874,Engine!$C$2:$C$1369,0)))</f>
        <v/>
      </c>
      <c r="N887" s="9">
        <f>IF(ISNA(MATCH(874,Engine!$C$2:$C$1369,0)),"",INDEX('Compliance Database'!$N$2:$N$1369,MATCH(874,Engine!$C$2:$C$1369,0)))</f>
        <v/>
      </c>
      <c r="O887" s="8">
        <f>IF(ISNA(MATCH(874,Engine!$C$2:$C$1369,0)),"",HYPERLINK(INDEX('Compliance Database'!$O$2:$O$1369,MATCH(874,Engine!$C$2:$C$1369,0)),"Open PDF"))</f>
        <v/>
      </c>
    </row>
    <row r="888" ht="188" customHeight="1">
      <c r="A888" s="8">
        <f>IF(ISNA(MATCH(875,Engine!$C$2:$C$1369,0)),"",INDEX('Compliance Database'!$A$2:$A$1369,MATCH(875,Engine!$C$2:$C$1369,0)))</f>
        <v/>
      </c>
      <c r="B888" s="8">
        <f>IF(ISNA(MATCH(875,Engine!$C$2:$C$1369,0)),"",INDEX('Compliance Database'!$B$2:$B$1369,MATCH(875,Engine!$C$2:$C$1369,0)))</f>
        <v/>
      </c>
      <c r="C888" s="8">
        <f>IF(ISNA(MATCH(875,Engine!$C$2:$C$1369,0)),"",INDEX('Compliance Database'!$C$2:$C$1369,MATCH(875,Engine!$C$2:$C$1369,0)))</f>
        <v/>
      </c>
      <c r="D888" s="9">
        <f>IF(ISNA(MATCH(875,Engine!$C$2:$C$1369,0)),"",INDEX('Compliance Database'!$D$2:$D$1369,MATCH(875,Engine!$C$2:$C$1369,0)))</f>
        <v/>
      </c>
      <c r="E888" s="8">
        <f>IF(ISNA(MATCH(875,Engine!$C$2:$C$1369,0)),"",INDEX('Compliance Database'!$E$2:$E$1369,MATCH(875,Engine!$C$2:$C$1369,0)))</f>
        <v/>
      </c>
      <c r="F888" s="8">
        <f>IF(ISNA(MATCH(875,Engine!$C$2:$C$1369,0)),"",INDEX('Compliance Database'!$F$2:$F$1369,MATCH(875,Engine!$C$2:$C$1369,0)))</f>
        <v/>
      </c>
      <c r="G888" s="8">
        <f>IF(ISNA(MATCH(875,Engine!$C$2:$C$1369,0)),"",INDEX('Compliance Database'!$G$2:$G$1369,MATCH(875,Engine!$C$2:$C$1369,0)))</f>
        <v/>
      </c>
      <c r="H888" s="9">
        <f>IF(ISNA(MATCH(875,Engine!$C$2:$C$1369,0)),"",INDEX('Compliance Database'!$H$2:$H$1369,MATCH(875,Engine!$C$2:$C$1369,0)))</f>
        <v/>
      </c>
      <c r="I888" s="9">
        <f>IF(ISNA(MATCH(875,Engine!$C$2:$C$1369,0)),"",INDEX('Compliance Database'!$I$2:$I$1369,MATCH(875,Engine!$C$2:$C$1369,0)))</f>
        <v/>
      </c>
      <c r="J888" s="8">
        <f>IF(ISNA(MATCH(875,Engine!$C$2:$C$1369,0)),"",INDEX('Compliance Database'!$J$2:$J$1369,MATCH(875,Engine!$C$2:$C$1369,0)))</f>
        <v/>
      </c>
      <c r="K888" s="9">
        <f>IF(ISNA(MATCH(875,Engine!$C$2:$C$1369,0)),"",INDEX('Compliance Database'!$K$2:$K$1369,MATCH(875,Engine!$C$2:$C$1369,0)))</f>
        <v/>
      </c>
      <c r="L888" s="9">
        <f>IF(ISNA(MATCH(875,Engine!$C$2:$C$1369,0)),"",INDEX('Compliance Database'!$L$2:$L$1369,MATCH(875,Engine!$C$2:$C$1369,0)))</f>
        <v/>
      </c>
      <c r="M888" s="9">
        <f>IF(ISNA(MATCH(875,Engine!$C$2:$C$1369,0)),"",INDEX('Compliance Database'!$M$2:$M$1369,MATCH(875,Engine!$C$2:$C$1369,0)))</f>
        <v/>
      </c>
      <c r="N888" s="9">
        <f>IF(ISNA(MATCH(875,Engine!$C$2:$C$1369,0)),"",INDEX('Compliance Database'!$N$2:$N$1369,MATCH(875,Engine!$C$2:$C$1369,0)))</f>
        <v/>
      </c>
      <c r="O888" s="8">
        <f>IF(ISNA(MATCH(875,Engine!$C$2:$C$1369,0)),"",HYPERLINK(INDEX('Compliance Database'!$O$2:$O$1369,MATCH(875,Engine!$C$2:$C$1369,0)),"Open PDF"))</f>
        <v/>
      </c>
    </row>
    <row r="889" ht="188" customHeight="1">
      <c r="A889" s="8">
        <f>IF(ISNA(MATCH(876,Engine!$C$2:$C$1369,0)),"",INDEX('Compliance Database'!$A$2:$A$1369,MATCH(876,Engine!$C$2:$C$1369,0)))</f>
        <v/>
      </c>
      <c r="B889" s="8">
        <f>IF(ISNA(MATCH(876,Engine!$C$2:$C$1369,0)),"",INDEX('Compliance Database'!$B$2:$B$1369,MATCH(876,Engine!$C$2:$C$1369,0)))</f>
        <v/>
      </c>
      <c r="C889" s="8">
        <f>IF(ISNA(MATCH(876,Engine!$C$2:$C$1369,0)),"",INDEX('Compliance Database'!$C$2:$C$1369,MATCH(876,Engine!$C$2:$C$1369,0)))</f>
        <v/>
      </c>
      <c r="D889" s="9">
        <f>IF(ISNA(MATCH(876,Engine!$C$2:$C$1369,0)),"",INDEX('Compliance Database'!$D$2:$D$1369,MATCH(876,Engine!$C$2:$C$1369,0)))</f>
        <v/>
      </c>
      <c r="E889" s="8">
        <f>IF(ISNA(MATCH(876,Engine!$C$2:$C$1369,0)),"",INDEX('Compliance Database'!$E$2:$E$1369,MATCH(876,Engine!$C$2:$C$1369,0)))</f>
        <v/>
      </c>
      <c r="F889" s="8">
        <f>IF(ISNA(MATCH(876,Engine!$C$2:$C$1369,0)),"",INDEX('Compliance Database'!$F$2:$F$1369,MATCH(876,Engine!$C$2:$C$1369,0)))</f>
        <v/>
      </c>
      <c r="G889" s="8">
        <f>IF(ISNA(MATCH(876,Engine!$C$2:$C$1369,0)),"",INDEX('Compliance Database'!$G$2:$G$1369,MATCH(876,Engine!$C$2:$C$1369,0)))</f>
        <v/>
      </c>
      <c r="H889" s="9">
        <f>IF(ISNA(MATCH(876,Engine!$C$2:$C$1369,0)),"",INDEX('Compliance Database'!$H$2:$H$1369,MATCH(876,Engine!$C$2:$C$1369,0)))</f>
        <v/>
      </c>
      <c r="I889" s="9">
        <f>IF(ISNA(MATCH(876,Engine!$C$2:$C$1369,0)),"",INDEX('Compliance Database'!$I$2:$I$1369,MATCH(876,Engine!$C$2:$C$1369,0)))</f>
        <v/>
      </c>
      <c r="J889" s="8">
        <f>IF(ISNA(MATCH(876,Engine!$C$2:$C$1369,0)),"",INDEX('Compliance Database'!$J$2:$J$1369,MATCH(876,Engine!$C$2:$C$1369,0)))</f>
        <v/>
      </c>
      <c r="K889" s="9">
        <f>IF(ISNA(MATCH(876,Engine!$C$2:$C$1369,0)),"",INDEX('Compliance Database'!$K$2:$K$1369,MATCH(876,Engine!$C$2:$C$1369,0)))</f>
        <v/>
      </c>
      <c r="L889" s="9">
        <f>IF(ISNA(MATCH(876,Engine!$C$2:$C$1369,0)),"",INDEX('Compliance Database'!$L$2:$L$1369,MATCH(876,Engine!$C$2:$C$1369,0)))</f>
        <v/>
      </c>
      <c r="M889" s="9">
        <f>IF(ISNA(MATCH(876,Engine!$C$2:$C$1369,0)),"",INDEX('Compliance Database'!$M$2:$M$1369,MATCH(876,Engine!$C$2:$C$1369,0)))</f>
        <v/>
      </c>
      <c r="N889" s="9">
        <f>IF(ISNA(MATCH(876,Engine!$C$2:$C$1369,0)),"",INDEX('Compliance Database'!$N$2:$N$1369,MATCH(876,Engine!$C$2:$C$1369,0)))</f>
        <v/>
      </c>
      <c r="O889" s="8">
        <f>IF(ISNA(MATCH(876,Engine!$C$2:$C$1369,0)),"",HYPERLINK(INDEX('Compliance Database'!$O$2:$O$1369,MATCH(876,Engine!$C$2:$C$1369,0)),"Open PDF"))</f>
        <v/>
      </c>
    </row>
    <row r="890" ht="188" customHeight="1">
      <c r="A890" s="8">
        <f>IF(ISNA(MATCH(877,Engine!$C$2:$C$1369,0)),"",INDEX('Compliance Database'!$A$2:$A$1369,MATCH(877,Engine!$C$2:$C$1369,0)))</f>
        <v/>
      </c>
      <c r="B890" s="8">
        <f>IF(ISNA(MATCH(877,Engine!$C$2:$C$1369,0)),"",INDEX('Compliance Database'!$B$2:$B$1369,MATCH(877,Engine!$C$2:$C$1369,0)))</f>
        <v/>
      </c>
      <c r="C890" s="8">
        <f>IF(ISNA(MATCH(877,Engine!$C$2:$C$1369,0)),"",INDEX('Compliance Database'!$C$2:$C$1369,MATCH(877,Engine!$C$2:$C$1369,0)))</f>
        <v/>
      </c>
      <c r="D890" s="9">
        <f>IF(ISNA(MATCH(877,Engine!$C$2:$C$1369,0)),"",INDEX('Compliance Database'!$D$2:$D$1369,MATCH(877,Engine!$C$2:$C$1369,0)))</f>
        <v/>
      </c>
      <c r="E890" s="8">
        <f>IF(ISNA(MATCH(877,Engine!$C$2:$C$1369,0)),"",INDEX('Compliance Database'!$E$2:$E$1369,MATCH(877,Engine!$C$2:$C$1369,0)))</f>
        <v/>
      </c>
      <c r="F890" s="8">
        <f>IF(ISNA(MATCH(877,Engine!$C$2:$C$1369,0)),"",INDEX('Compliance Database'!$F$2:$F$1369,MATCH(877,Engine!$C$2:$C$1369,0)))</f>
        <v/>
      </c>
      <c r="G890" s="8">
        <f>IF(ISNA(MATCH(877,Engine!$C$2:$C$1369,0)),"",INDEX('Compliance Database'!$G$2:$G$1369,MATCH(877,Engine!$C$2:$C$1369,0)))</f>
        <v/>
      </c>
      <c r="H890" s="9">
        <f>IF(ISNA(MATCH(877,Engine!$C$2:$C$1369,0)),"",INDEX('Compliance Database'!$H$2:$H$1369,MATCH(877,Engine!$C$2:$C$1369,0)))</f>
        <v/>
      </c>
      <c r="I890" s="9">
        <f>IF(ISNA(MATCH(877,Engine!$C$2:$C$1369,0)),"",INDEX('Compliance Database'!$I$2:$I$1369,MATCH(877,Engine!$C$2:$C$1369,0)))</f>
        <v/>
      </c>
      <c r="J890" s="8">
        <f>IF(ISNA(MATCH(877,Engine!$C$2:$C$1369,0)),"",INDEX('Compliance Database'!$J$2:$J$1369,MATCH(877,Engine!$C$2:$C$1369,0)))</f>
        <v/>
      </c>
      <c r="K890" s="9">
        <f>IF(ISNA(MATCH(877,Engine!$C$2:$C$1369,0)),"",INDEX('Compliance Database'!$K$2:$K$1369,MATCH(877,Engine!$C$2:$C$1369,0)))</f>
        <v/>
      </c>
      <c r="L890" s="9">
        <f>IF(ISNA(MATCH(877,Engine!$C$2:$C$1369,0)),"",INDEX('Compliance Database'!$L$2:$L$1369,MATCH(877,Engine!$C$2:$C$1369,0)))</f>
        <v/>
      </c>
      <c r="M890" s="9">
        <f>IF(ISNA(MATCH(877,Engine!$C$2:$C$1369,0)),"",INDEX('Compliance Database'!$M$2:$M$1369,MATCH(877,Engine!$C$2:$C$1369,0)))</f>
        <v/>
      </c>
      <c r="N890" s="9">
        <f>IF(ISNA(MATCH(877,Engine!$C$2:$C$1369,0)),"",INDEX('Compliance Database'!$N$2:$N$1369,MATCH(877,Engine!$C$2:$C$1369,0)))</f>
        <v/>
      </c>
      <c r="O890" s="8">
        <f>IF(ISNA(MATCH(877,Engine!$C$2:$C$1369,0)),"",HYPERLINK(INDEX('Compliance Database'!$O$2:$O$1369,MATCH(877,Engine!$C$2:$C$1369,0)),"Open PDF"))</f>
        <v/>
      </c>
    </row>
    <row r="891" ht="188" customHeight="1">
      <c r="A891" s="8">
        <f>IF(ISNA(MATCH(878,Engine!$C$2:$C$1369,0)),"",INDEX('Compliance Database'!$A$2:$A$1369,MATCH(878,Engine!$C$2:$C$1369,0)))</f>
        <v/>
      </c>
      <c r="B891" s="8">
        <f>IF(ISNA(MATCH(878,Engine!$C$2:$C$1369,0)),"",INDEX('Compliance Database'!$B$2:$B$1369,MATCH(878,Engine!$C$2:$C$1369,0)))</f>
        <v/>
      </c>
      <c r="C891" s="8">
        <f>IF(ISNA(MATCH(878,Engine!$C$2:$C$1369,0)),"",INDEX('Compliance Database'!$C$2:$C$1369,MATCH(878,Engine!$C$2:$C$1369,0)))</f>
        <v/>
      </c>
      <c r="D891" s="9">
        <f>IF(ISNA(MATCH(878,Engine!$C$2:$C$1369,0)),"",INDEX('Compliance Database'!$D$2:$D$1369,MATCH(878,Engine!$C$2:$C$1369,0)))</f>
        <v/>
      </c>
      <c r="E891" s="8">
        <f>IF(ISNA(MATCH(878,Engine!$C$2:$C$1369,0)),"",INDEX('Compliance Database'!$E$2:$E$1369,MATCH(878,Engine!$C$2:$C$1369,0)))</f>
        <v/>
      </c>
      <c r="F891" s="8">
        <f>IF(ISNA(MATCH(878,Engine!$C$2:$C$1369,0)),"",INDEX('Compliance Database'!$F$2:$F$1369,MATCH(878,Engine!$C$2:$C$1369,0)))</f>
        <v/>
      </c>
      <c r="G891" s="8">
        <f>IF(ISNA(MATCH(878,Engine!$C$2:$C$1369,0)),"",INDEX('Compliance Database'!$G$2:$G$1369,MATCH(878,Engine!$C$2:$C$1369,0)))</f>
        <v/>
      </c>
      <c r="H891" s="9">
        <f>IF(ISNA(MATCH(878,Engine!$C$2:$C$1369,0)),"",INDEX('Compliance Database'!$H$2:$H$1369,MATCH(878,Engine!$C$2:$C$1369,0)))</f>
        <v/>
      </c>
      <c r="I891" s="9">
        <f>IF(ISNA(MATCH(878,Engine!$C$2:$C$1369,0)),"",INDEX('Compliance Database'!$I$2:$I$1369,MATCH(878,Engine!$C$2:$C$1369,0)))</f>
        <v/>
      </c>
      <c r="J891" s="8">
        <f>IF(ISNA(MATCH(878,Engine!$C$2:$C$1369,0)),"",INDEX('Compliance Database'!$J$2:$J$1369,MATCH(878,Engine!$C$2:$C$1369,0)))</f>
        <v/>
      </c>
      <c r="K891" s="9">
        <f>IF(ISNA(MATCH(878,Engine!$C$2:$C$1369,0)),"",INDEX('Compliance Database'!$K$2:$K$1369,MATCH(878,Engine!$C$2:$C$1369,0)))</f>
        <v/>
      </c>
      <c r="L891" s="9">
        <f>IF(ISNA(MATCH(878,Engine!$C$2:$C$1369,0)),"",INDEX('Compliance Database'!$L$2:$L$1369,MATCH(878,Engine!$C$2:$C$1369,0)))</f>
        <v/>
      </c>
      <c r="M891" s="9">
        <f>IF(ISNA(MATCH(878,Engine!$C$2:$C$1369,0)),"",INDEX('Compliance Database'!$M$2:$M$1369,MATCH(878,Engine!$C$2:$C$1369,0)))</f>
        <v/>
      </c>
      <c r="N891" s="9">
        <f>IF(ISNA(MATCH(878,Engine!$C$2:$C$1369,0)),"",INDEX('Compliance Database'!$N$2:$N$1369,MATCH(878,Engine!$C$2:$C$1369,0)))</f>
        <v/>
      </c>
      <c r="O891" s="8">
        <f>IF(ISNA(MATCH(878,Engine!$C$2:$C$1369,0)),"",HYPERLINK(INDEX('Compliance Database'!$O$2:$O$1369,MATCH(878,Engine!$C$2:$C$1369,0)),"Open PDF"))</f>
        <v/>
      </c>
    </row>
    <row r="892" ht="188" customHeight="1">
      <c r="A892" s="8">
        <f>IF(ISNA(MATCH(879,Engine!$C$2:$C$1369,0)),"",INDEX('Compliance Database'!$A$2:$A$1369,MATCH(879,Engine!$C$2:$C$1369,0)))</f>
        <v/>
      </c>
      <c r="B892" s="8">
        <f>IF(ISNA(MATCH(879,Engine!$C$2:$C$1369,0)),"",INDEX('Compliance Database'!$B$2:$B$1369,MATCH(879,Engine!$C$2:$C$1369,0)))</f>
        <v/>
      </c>
      <c r="C892" s="8">
        <f>IF(ISNA(MATCH(879,Engine!$C$2:$C$1369,0)),"",INDEX('Compliance Database'!$C$2:$C$1369,MATCH(879,Engine!$C$2:$C$1369,0)))</f>
        <v/>
      </c>
      <c r="D892" s="9">
        <f>IF(ISNA(MATCH(879,Engine!$C$2:$C$1369,0)),"",INDEX('Compliance Database'!$D$2:$D$1369,MATCH(879,Engine!$C$2:$C$1369,0)))</f>
        <v/>
      </c>
      <c r="E892" s="8">
        <f>IF(ISNA(MATCH(879,Engine!$C$2:$C$1369,0)),"",INDEX('Compliance Database'!$E$2:$E$1369,MATCH(879,Engine!$C$2:$C$1369,0)))</f>
        <v/>
      </c>
      <c r="F892" s="8">
        <f>IF(ISNA(MATCH(879,Engine!$C$2:$C$1369,0)),"",INDEX('Compliance Database'!$F$2:$F$1369,MATCH(879,Engine!$C$2:$C$1369,0)))</f>
        <v/>
      </c>
      <c r="G892" s="8">
        <f>IF(ISNA(MATCH(879,Engine!$C$2:$C$1369,0)),"",INDEX('Compliance Database'!$G$2:$G$1369,MATCH(879,Engine!$C$2:$C$1369,0)))</f>
        <v/>
      </c>
      <c r="H892" s="9">
        <f>IF(ISNA(MATCH(879,Engine!$C$2:$C$1369,0)),"",INDEX('Compliance Database'!$H$2:$H$1369,MATCH(879,Engine!$C$2:$C$1369,0)))</f>
        <v/>
      </c>
      <c r="I892" s="9">
        <f>IF(ISNA(MATCH(879,Engine!$C$2:$C$1369,0)),"",INDEX('Compliance Database'!$I$2:$I$1369,MATCH(879,Engine!$C$2:$C$1369,0)))</f>
        <v/>
      </c>
      <c r="J892" s="8">
        <f>IF(ISNA(MATCH(879,Engine!$C$2:$C$1369,0)),"",INDEX('Compliance Database'!$J$2:$J$1369,MATCH(879,Engine!$C$2:$C$1369,0)))</f>
        <v/>
      </c>
      <c r="K892" s="9">
        <f>IF(ISNA(MATCH(879,Engine!$C$2:$C$1369,0)),"",INDEX('Compliance Database'!$K$2:$K$1369,MATCH(879,Engine!$C$2:$C$1369,0)))</f>
        <v/>
      </c>
      <c r="L892" s="9">
        <f>IF(ISNA(MATCH(879,Engine!$C$2:$C$1369,0)),"",INDEX('Compliance Database'!$L$2:$L$1369,MATCH(879,Engine!$C$2:$C$1369,0)))</f>
        <v/>
      </c>
      <c r="M892" s="9">
        <f>IF(ISNA(MATCH(879,Engine!$C$2:$C$1369,0)),"",INDEX('Compliance Database'!$M$2:$M$1369,MATCH(879,Engine!$C$2:$C$1369,0)))</f>
        <v/>
      </c>
      <c r="N892" s="9">
        <f>IF(ISNA(MATCH(879,Engine!$C$2:$C$1369,0)),"",INDEX('Compliance Database'!$N$2:$N$1369,MATCH(879,Engine!$C$2:$C$1369,0)))</f>
        <v/>
      </c>
      <c r="O892" s="8">
        <f>IF(ISNA(MATCH(879,Engine!$C$2:$C$1369,0)),"",HYPERLINK(INDEX('Compliance Database'!$O$2:$O$1369,MATCH(879,Engine!$C$2:$C$1369,0)),"Open PDF"))</f>
        <v/>
      </c>
    </row>
    <row r="893" ht="188" customHeight="1">
      <c r="A893" s="8">
        <f>IF(ISNA(MATCH(880,Engine!$C$2:$C$1369,0)),"",INDEX('Compliance Database'!$A$2:$A$1369,MATCH(880,Engine!$C$2:$C$1369,0)))</f>
        <v/>
      </c>
      <c r="B893" s="8">
        <f>IF(ISNA(MATCH(880,Engine!$C$2:$C$1369,0)),"",INDEX('Compliance Database'!$B$2:$B$1369,MATCH(880,Engine!$C$2:$C$1369,0)))</f>
        <v/>
      </c>
      <c r="C893" s="8">
        <f>IF(ISNA(MATCH(880,Engine!$C$2:$C$1369,0)),"",INDEX('Compliance Database'!$C$2:$C$1369,MATCH(880,Engine!$C$2:$C$1369,0)))</f>
        <v/>
      </c>
      <c r="D893" s="9">
        <f>IF(ISNA(MATCH(880,Engine!$C$2:$C$1369,0)),"",INDEX('Compliance Database'!$D$2:$D$1369,MATCH(880,Engine!$C$2:$C$1369,0)))</f>
        <v/>
      </c>
      <c r="E893" s="8">
        <f>IF(ISNA(MATCH(880,Engine!$C$2:$C$1369,0)),"",INDEX('Compliance Database'!$E$2:$E$1369,MATCH(880,Engine!$C$2:$C$1369,0)))</f>
        <v/>
      </c>
      <c r="F893" s="8">
        <f>IF(ISNA(MATCH(880,Engine!$C$2:$C$1369,0)),"",INDEX('Compliance Database'!$F$2:$F$1369,MATCH(880,Engine!$C$2:$C$1369,0)))</f>
        <v/>
      </c>
      <c r="G893" s="8">
        <f>IF(ISNA(MATCH(880,Engine!$C$2:$C$1369,0)),"",INDEX('Compliance Database'!$G$2:$G$1369,MATCH(880,Engine!$C$2:$C$1369,0)))</f>
        <v/>
      </c>
      <c r="H893" s="9">
        <f>IF(ISNA(MATCH(880,Engine!$C$2:$C$1369,0)),"",INDEX('Compliance Database'!$H$2:$H$1369,MATCH(880,Engine!$C$2:$C$1369,0)))</f>
        <v/>
      </c>
      <c r="I893" s="9">
        <f>IF(ISNA(MATCH(880,Engine!$C$2:$C$1369,0)),"",INDEX('Compliance Database'!$I$2:$I$1369,MATCH(880,Engine!$C$2:$C$1369,0)))</f>
        <v/>
      </c>
      <c r="J893" s="8">
        <f>IF(ISNA(MATCH(880,Engine!$C$2:$C$1369,0)),"",INDEX('Compliance Database'!$J$2:$J$1369,MATCH(880,Engine!$C$2:$C$1369,0)))</f>
        <v/>
      </c>
      <c r="K893" s="9">
        <f>IF(ISNA(MATCH(880,Engine!$C$2:$C$1369,0)),"",INDEX('Compliance Database'!$K$2:$K$1369,MATCH(880,Engine!$C$2:$C$1369,0)))</f>
        <v/>
      </c>
      <c r="L893" s="9">
        <f>IF(ISNA(MATCH(880,Engine!$C$2:$C$1369,0)),"",INDEX('Compliance Database'!$L$2:$L$1369,MATCH(880,Engine!$C$2:$C$1369,0)))</f>
        <v/>
      </c>
      <c r="M893" s="9">
        <f>IF(ISNA(MATCH(880,Engine!$C$2:$C$1369,0)),"",INDEX('Compliance Database'!$M$2:$M$1369,MATCH(880,Engine!$C$2:$C$1369,0)))</f>
        <v/>
      </c>
      <c r="N893" s="9">
        <f>IF(ISNA(MATCH(880,Engine!$C$2:$C$1369,0)),"",INDEX('Compliance Database'!$N$2:$N$1369,MATCH(880,Engine!$C$2:$C$1369,0)))</f>
        <v/>
      </c>
      <c r="O893" s="8">
        <f>IF(ISNA(MATCH(880,Engine!$C$2:$C$1369,0)),"",HYPERLINK(INDEX('Compliance Database'!$O$2:$O$1369,MATCH(880,Engine!$C$2:$C$1369,0)),"Open PDF"))</f>
        <v/>
      </c>
    </row>
    <row r="894" ht="188" customHeight="1">
      <c r="A894" s="8">
        <f>IF(ISNA(MATCH(881,Engine!$C$2:$C$1369,0)),"",INDEX('Compliance Database'!$A$2:$A$1369,MATCH(881,Engine!$C$2:$C$1369,0)))</f>
        <v/>
      </c>
      <c r="B894" s="8">
        <f>IF(ISNA(MATCH(881,Engine!$C$2:$C$1369,0)),"",INDEX('Compliance Database'!$B$2:$B$1369,MATCH(881,Engine!$C$2:$C$1369,0)))</f>
        <v/>
      </c>
      <c r="C894" s="8">
        <f>IF(ISNA(MATCH(881,Engine!$C$2:$C$1369,0)),"",INDEX('Compliance Database'!$C$2:$C$1369,MATCH(881,Engine!$C$2:$C$1369,0)))</f>
        <v/>
      </c>
      <c r="D894" s="9">
        <f>IF(ISNA(MATCH(881,Engine!$C$2:$C$1369,0)),"",INDEX('Compliance Database'!$D$2:$D$1369,MATCH(881,Engine!$C$2:$C$1369,0)))</f>
        <v/>
      </c>
      <c r="E894" s="8">
        <f>IF(ISNA(MATCH(881,Engine!$C$2:$C$1369,0)),"",INDEX('Compliance Database'!$E$2:$E$1369,MATCH(881,Engine!$C$2:$C$1369,0)))</f>
        <v/>
      </c>
      <c r="F894" s="8">
        <f>IF(ISNA(MATCH(881,Engine!$C$2:$C$1369,0)),"",INDEX('Compliance Database'!$F$2:$F$1369,MATCH(881,Engine!$C$2:$C$1369,0)))</f>
        <v/>
      </c>
      <c r="G894" s="8">
        <f>IF(ISNA(MATCH(881,Engine!$C$2:$C$1369,0)),"",INDEX('Compliance Database'!$G$2:$G$1369,MATCH(881,Engine!$C$2:$C$1369,0)))</f>
        <v/>
      </c>
      <c r="H894" s="9">
        <f>IF(ISNA(MATCH(881,Engine!$C$2:$C$1369,0)),"",INDEX('Compliance Database'!$H$2:$H$1369,MATCH(881,Engine!$C$2:$C$1369,0)))</f>
        <v/>
      </c>
      <c r="I894" s="9">
        <f>IF(ISNA(MATCH(881,Engine!$C$2:$C$1369,0)),"",INDEX('Compliance Database'!$I$2:$I$1369,MATCH(881,Engine!$C$2:$C$1369,0)))</f>
        <v/>
      </c>
      <c r="J894" s="8">
        <f>IF(ISNA(MATCH(881,Engine!$C$2:$C$1369,0)),"",INDEX('Compliance Database'!$J$2:$J$1369,MATCH(881,Engine!$C$2:$C$1369,0)))</f>
        <v/>
      </c>
      <c r="K894" s="9">
        <f>IF(ISNA(MATCH(881,Engine!$C$2:$C$1369,0)),"",INDEX('Compliance Database'!$K$2:$K$1369,MATCH(881,Engine!$C$2:$C$1369,0)))</f>
        <v/>
      </c>
      <c r="L894" s="9">
        <f>IF(ISNA(MATCH(881,Engine!$C$2:$C$1369,0)),"",INDEX('Compliance Database'!$L$2:$L$1369,MATCH(881,Engine!$C$2:$C$1369,0)))</f>
        <v/>
      </c>
      <c r="M894" s="9">
        <f>IF(ISNA(MATCH(881,Engine!$C$2:$C$1369,0)),"",INDEX('Compliance Database'!$M$2:$M$1369,MATCH(881,Engine!$C$2:$C$1369,0)))</f>
        <v/>
      </c>
      <c r="N894" s="9">
        <f>IF(ISNA(MATCH(881,Engine!$C$2:$C$1369,0)),"",INDEX('Compliance Database'!$N$2:$N$1369,MATCH(881,Engine!$C$2:$C$1369,0)))</f>
        <v/>
      </c>
      <c r="O894" s="8">
        <f>IF(ISNA(MATCH(881,Engine!$C$2:$C$1369,0)),"",HYPERLINK(INDEX('Compliance Database'!$O$2:$O$1369,MATCH(881,Engine!$C$2:$C$1369,0)),"Open PDF"))</f>
        <v/>
      </c>
    </row>
    <row r="895" ht="188" customHeight="1">
      <c r="A895" s="8">
        <f>IF(ISNA(MATCH(882,Engine!$C$2:$C$1369,0)),"",INDEX('Compliance Database'!$A$2:$A$1369,MATCH(882,Engine!$C$2:$C$1369,0)))</f>
        <v/>
      </c>
      <c r="B895" s="8">
        <f>IF(ISNA(MATCH(882,Engine!$C$2:$C$1369,0)),"",INDEX('Compliance Database'!$B$2:$B$1369,MATCH(882,Engine!$C$2:$C$1369,0)))</f>
        <v/>
      </c>
      <c r="C895" s="8">
        <f>IF(ISNA(MATCH(882,Engine!$C$2:$C$1369,0)),"",INDEX('Compliance Database'!$C$2:$C$1369,MATCH(882,Engine!$C$2:$C$1369,0)))</f>
        <v/>
      </c>
      <c r="D895" s="9">
        <f>IF(ISNA(MATCH(882,Engine!$C$2:$C$1369,0)),"",INDEX('Compliance Database'!$D$2:$D$1369,MATCH(882,Engine!$C$2:$C$1369,0)))</f>
        <v/>
      </c>
      <c r="E895" s="8">
        <f>IF(ISNA(MATCH(882,Engine!$C$2:$C$1369,0)),"",INDEX('Compliance Database'!$E$2:$E$1369,MATCH(882,Engine!$C$2:$C$1369,0)))</f>
        <v/>
      </c>
      <c r="F895" s="8">
        <f>IF(ISNA(MATCH(882,Engine!$C$2:$C$1369,0)),"",INDEX('Compliance Database'!$F$2:$F$1369,MATCH(882,Engine!$C$2:$C$1369,0)))</f>
        <v/>
      </c>
      <c r="G895" s="8">
        <f>IF(ISNA(MATCH(882,Engine!$C$2:$C$1369,0)),"",INDEX('Compliance Database'!$G$2:$G$1369,MATCH(882,Engine!$C$2:$C$1369,0)))</f>
        <v/>
      </c>
      <c r="H895" s="9">
        <f>IF(ISNA(MATCH(882,Engine!$C$2:$C$1369,0)),"",INDEX('Compliance Database'!$H$2:$H$1369,MATCH(882,Engine!$C$2:$C$1369,0)))</f>
        <v/>
      </c>
      <c r="I895" s="9">
        <f>IF(ISNA(MATCH(882,Engine!$C$2:$C$1369,0)),"",INDEX('Compliance Database'!$I$2:$I$1369,MATCH(882,Engine!$C$2:$C$1369,0)))</f>
        <v/>
      </c>
      <c r="J895" s="8">
        <f>IF(ISNA(MATCH(882,Engine!$C$2:$C$1369,0)),"",INDEX('Compliance Database'!$J$2:$J$1369,MATCH(882,Engine!$C$2:$C$1369,0)))</f>
        <v/>
      </c>
      <c r="K895" s="9">
        <f>IF(ISNA(MATCH(882,Engine!$C$2:$C$1369,0)),"",INDEX('Compliance Database'!$K$2:$K$1369,MATCH(882,Engine!$C$2:$C$1369,0)))</f>
        <v/>
      </c>
      <c r="L895" s="9">
        <f>IF(ISNA(MATCH(882,Engine!$C$2:$C$1369,0)),"",INDEX('Compliance Database'!$L$2:$L$1369,MATCH(882,Engine!$C$2:$C$1369,0)))</f>
        <v/>
      </c>
      <c r="M895" s="9">
        <f>IF(ISNA(MATCH(882,Engine!$C$2:$C$1369,0)),"",INDEX('Compliance Database'!$M$2:$M$1369,MATCH(882,Engine!$C$2:$C$1369,0)))</f>
        <v/>
      </c>
      <c r="N895" s="9">
        <f>IF(ISNA(MATCH(882,Engine!$C$2:$C$1369,0)),"",INDEX('Compliance Database'!$N$2:$N$1369,MATCH(882,Engine!$C$2:$C$1369,0)))</f>
        <v/>
      </c>
      <c r="O895" s="8">
        <f>IF(ISNA(MATCH(882,Engine!$C$2:$C$1369,0)),"",HYPERLINK(INDEX('Compliance Database'!$O$2:$O$1369,MATCH(882,Engine!$C$2:$C$1369,0)),"Open PDF"))</f>
        <v/>
      </c>
    </row>
    <row r="896" ht="188" customHeight="1">
      <c r="A896" s="8">
        <f>IF(ISNA(MATCH(883,Engine!$C$2:$C$1369,0)),"",INDEX('Compliance Database'!$A$2:$A$1369,MATCH(883,Engine!$C$2:$C$1369,0)))</f>
        <v/>
      </c>
      <c r="B896" s="8">
        <f>IF(ISNA(MATCH(883,Engine!$C$2:$C$1369,0)),"",INDEX('Compliance Database'!$B$2:$B$1369,MATCH(883,Engine!$C$2:$C$1369,0)))</f>
        <v/>
      </c>
      <c r="C896" s="8">
        <f>IF(ISNA(MATCH(883,Engine!$C$2:$C$1369,0)),"",INDEX('Compliance Database'!$C$2:$C$1369,MATCH(883,Engine!$C$2:$C$1369,0)))</f>
        <v/>
      </c>
      <c r="D896" s="9">
        <f>IF(ISNA(MATCH(883,Engine!$C$2:$C$1369,0)),"",INDEX('Compliance Database'!$D$2:$D$1369,MATCH(883,Engine!$C$2:$C$1369,0)))</f>
        <v/>
      </c>
      <c r="E896" s="8">
        <f>IF(ISNA(MATCH(883,Engine!$C$2:$C$1369,0)),"",INDEX('Compliance Database'!$E$2:$E$1369,MATCH(883,Engine!$C$2:$C$1369,0)))</f>
        <v/>
      </c>
      <c r="F896" s="8">
        <f>IF(ISNA(MATCH(883,Engine!$C$2:$C$1369,0)),"",INDEX('Compliance Database'!$F$2:$F$1369,MATCH(883,Engine!$C$2:$C$1369,0)))</f>
        <v/>
      </c>
      <c r="G896" s="8">
        <f>IF(ISNA(MATCH(883,Engine!$C$2:$C$1369,0)),"",INDEX('Compliance Database'!$G$2:$G$1369,MATCH(883,Engine!$C$2:$C$1369,0)))</f>
        <v/>
      </c>
      <c r="H896" s="9">
        <f>IF(ISNA(MATCH(883,Engine!$C$2:$C$1369,0)),"",INDEX('Compliance Database'!$H$2:$H$1369,MATCH(883,Engine!$C$2:$C$1369,0)))</f>
        <v/>
      </c>
      <c r="I896" s="9">
        <f>IF(ISNA(MATCH(883,Engine!$C$2:$C$1369,0)),"",INDEX('Compliance Database'!$I$2:$I$1369,MATCH(883,Engine!$C$2:$C$1369,0)))</f>
        <v/>
      </c>
      <c r="J896" s="8">
        <f>IF(ISNA(MATCH(883,Engine!$C$2:$C$1369,0)),"",INDEX('Compliance Database'!$J$2:$J$1369,MATCH(883,Engine!$C$2:$C$1369,0)))</f>
        <v/>
      </c>
      <c r="K896" s="9">
        <f>IF(ISNA(MATCH(883,Engine!$C$2:$C$1369,0)),"",INDEX('Compliance Database'!$K$2:$K$1369,MATCH(883,Engine!$C$2:$C$1369,0)))</f>
        <v/>
      </c>
      <c r="L896" s="9">
        <f>IF(ISNA(MATCH(883,Engine!$C$2:$C$1369,0)),"",INDEX('Compliance Database'!$L$2:$L$1369,MATCH(883,Engine!$C$2:$C$1369,0)))</f>
        <v/>
      </c>
      <c r="M896" s="9">
        <f>IF(ISNA(MATCH(883,Engine!$C$2:$C$1369,0)),"",INDEX('Compliance Database'!$M$2:$M$1369,MATCH(883,Engine!$C$2:$C$1369,0)))</f>
        <v/>
      </c>
      <c r="N896" s="9">
        <f>IF(ISNA(MATCH(883,Engine!$C$2:$C$1369,0)),"",INDEX('Compliance Database'!$N$2:$N$1369,MATCH(883,Engine!$C$2:$C$1369,0)))</f>
        <v/>
      </c>
      <c r="O896" s="8">
        <f>IF(ISNA(MATCH(883,Engine!$C$2:$C$1369,0)),"",HYPERLINK(INDEX('Compliance Database'!$O$2:$O$1369,MATCH(883,Engine!$C$2:$C$1369,0)),"Open PDF"))</f>
        <v/>
      </c>
    </row>
    <row r="897" ht="188" customHeight="1">
      <c r="A897" s="8">
        <f>IF(ISNA(MATCH(884,Engine!$C$2:$C$1369,0)),"",INDEX('Compliance Database'!$A$2:$A$1369,MATCH(884,Engine!$C$2:$C$1369,0)))</f>
        <v/>
      </c>
      <c r="B897" s="8">
        <f>IF(ISNA(MATCH(884,Engine!$C$2:$C$1369,0)),"",INDEX('Compliance Database'!$B$2:$B$1369,MATCH(884,Engine!$C$2:$C$1369,0)))</f>
        <v/>
      </c>
      <c r="C897" s="8">
        <f>IF(ISNA(MATCH(884,Engine!$C$2:$C$1369,0)),"",INDEX('Compliance Database'!$C$2:$C$1369,MATCH(884,Engine!$C$2:$C$1369,0)))</f>
        <v/>
      </c>
      <c r="D897" s="9">
        <f>IF(ISNA(MATCH(884,Engine!$C$2:$C$1369,0)),"",INDEX('Compliance Database'!$D$2:$D$1369,MATCH(884,Engine!$C$2:$C$1369,0)))</f>
        <v/>
      </c>
      <c r="E897" s="8">
        <f>IF(ISNA(MATCH(884,Engine!$C$2:$C$1369,0)),"",INDEX('Compliance Database'!$E$2:$E$1369,MATCH(884,Engine!$C$2:$C$1369,0)))</f>
        <v/>
      </c>
      <c r="F897" s="8">
        <f>IF(ISNA(MATCH(884,Engine!$C$2:$C$1369,0)),"",INDEX('Compliance Database'!$F$2:$F$1369,MATCH(884,Engine!$C$2:$C$1369,0)))</f>
        <v/>
      </c>
      <c r="G897" s="8">
        <f>IF(ISNA(MATCH(884,Engine!$C$2:$C$1369,0)),"",INDEX('Compliance Database'!$G$2:$G$1369,MATCH(884,Engine!$C$2:$C$1369,0)))</f>
        <v/>
      </c>
      <c r="H897" s="9">
        <f>IF(ISNA(MATCH(884,Engine!$C$2:$C$1369,0)),"",INDEX('Compliance Database'!$H$2:$H$1369,MATCH(884,Engine!$C$2:$C$1369,0)))</f>
        <v/>
      </c>
      <c r="I897" s="9">
        <f>IF(ISNA(MATCH(884,Engine!$C$2:$C$1369,0)),"",INDEX('Compliance Database'!$I$2:$I$1369,MATCH(884,Engine!$C$2:$C$1369,0)))</f>
        <v/>
      </c>
      <c r="J897" s="8">
        <f>IF(ISNA(MATCH(884,Engine!$C$2:$C$1369,0)),"",INDEX('Compliance Database'!$J$2:$J$1369,MATCH(884,Engine!$C$2:$C$1369,0)))</f>
        <v/>
      </c>
      <c r="K897" s="9">
        <f>IF(ISNA(MATCH(884,Engine!$C$2:$C$1369,0)),"",INDEX('Compliance Database'!$K$2:$K$1369,MATCH(884,Engine!$C$2:$C$1369,0)))</f>
        <v/>
      </c>
      <c r="L897" s="9">
        <f>IF(ISNA(MATCH(884,Engine!$C$2:$C$1369,0)),"",INDEX('Compliance Database'!$L$2:$L$1369,MATCH(884,Engine!$C$2:$C$1369,0)))</f>
        <v/>
      </c>
      <c r="M897" s="9">
        <f>IF(ISNA(MATCH(884,Engine!$C$2:$C$1369,0)),"",INDEX('Compliance Database'!$M$2:$M$1369,MATCH(884,Engine!$C$2:$C$1369,0)))</f>
        <v/>
      </c>
      <c r="N897" s="9">
        <f>IF(ISNA(MATCH(884,Engine!$C$2:$C$1369,0)),"",INDEX('Compliance Database'!$N$2:$N$1369,MATCH(884,Engine!$C$2:$C$1369,0)))</f>
        <v/>
      </c>
      <c r="O897" s="8">
        <f>IF(ISNA(MATCH(884,Engine!$C$2:$C$1369,0)),"",HYPERLINK(INDEX('Compliance Database'!$O$2:$O$1369,MATCH(884,Engine!$C$2:$C$1369,0)),"Open PDF"))</f>
        <v/>
      </c>
    </row>
    <row r="898" ht="188" customHeight="1">
      <c r="A898" s="8">
        <f>IF(ISNA(MATCH(885,Engine!$C$2:$C$1369,0)),"",INDEX('Compliance Database'!$A$2:$A$1369,MATCH(885,Engine!$C$2:$C$1369,0)))</f>
        <v/>
      </c>
      <c r="B898" s="8">
        <f>IF(ISNA(MATCH(885,Engine!$C$2:$C$1369,0)),"",INDEX('Compliance Database'!$B$2:$B$1369,MATCH(885,Engine!$C$2:$C$1369,0)))</f>
        <v/>
      </c>
      <c r="C898" s="8">
        <f>IF(ISNA(MATCH(885,Engine!$C$2:$C$1369,0)),"",INDEX('Compliance Database'!$C$2:$C$1369,MATCH(885,Engine!$C$2:$C$1369,0)))</f>
        <v/>
      </c>
      <c r="D898" s="9">
        <f>IF(ISNA(MATCH(885,Engine!$C$2:$C$1369,0)),"",INDEX('Compliance Database'!$D$2:$D$1369,MATCH(885,Engine!$C$2:$C$1369,0)))</f>
        <v/>
      </c>
      <c r="E898" s="8">
        <f>IF(ISNA(MATCH(885,Engine!$C$2:$C$1369,0)),"",INDEX('Compliance Database'!$E$2:$E$1369,MATCH(885,Engine!$C$2:$C$1369,0)))</f>
        <v/>
      </c>
      <c r="F898" s="8">
        <f>IF(ISNA(MATCH(885,Engine!$C$2:$C$1369,0)),"",INDEX('Compliance Database'!$F$2:$F$1369,MATCH(885,Engine!$C$2:$C$1369,0)))</f>
        <v/>
      </c>
      <c r="G898" s="8">
        <f>IF(ISNA(MATCH(885,Engine!$C$2:$C$1369,0)),"",INDEX('Compliance Database'!$G$2:$G$1369,MATCH(885,Engine!$C$2:$C$1369,0)))</f>
        <v/>
      </c>
      <c r="H898" s="9">
        <f>IF(ISNA(MATCH(885,Engine!$C$2:$C$1369,0)),"",INDEX('Compliance Database'!$H$2:$H$1369,MATCH(885,Engine!$C$2:$C$1369,0)))</f>
        <v/>
      </c>
      <c r="I898" s="9">
        <f>IF(ISNA(MATCH(885,Engine!$C$2:$C$1369,0)),"",INDEX('Compliance Database'!$I$2:$I$1369,MATCH(885,Engine!$C$2:$C$1369,0)))</f>
        <v/>
      </c>
      <c r="J898" s="8">
        <f>IF(ISNA(MATCH(885,Engine!$C$2:$C$1369,0)),"",INDEX('Compliance Database'!$J$2:$J$1369,MATCH(885,Engine!$C$2:$C$1369,0)))</f>
        <v/>
      </c>
      <c r="K898" s="9">
        <f>IF(ISNA(MATCH(885,Engine!$C$2:$C$1369,0)),"",INDEX('Compliance Database'!$K$2:$K$1369,MATCH(885,Engine!$C$2:$C$1369,0)))</f>
        <v/>
      </c>
      <c r="L898" s="9">
        <f>IF(ISNA(MATCH(885,Engine!$C$2:$C$1369,0)),"",INDEX('Compliance Database'!$L$2:$L$1369,MATCH(885,Engine!$C$2:$C$1369,0)))</f>
        <v/>
      </c>
      <c r="M898" s="9">
        <f>IF(ISNA(MATCH(885,Engine!$C$2:$C$1369,0)),"",INDEX('Compliance Database'!$M$2:$M$1369,MATCH(885,Engine!$C$2:$C$1369,0)))</f>
        <v/>
      </c>
      <c r="N898" s="9">
        <f>IF(ISNA(MATCH(885,Engine!$C$2:$C$1369,0)),"",INDEX('Compliance Database'!$N$2:$N$1369,MATCH(885,Engine!$C$2:$C$1369,0)))</f>
        <v/>
      </c>
      <c r="O898" s="8">
        <f>IF(ISNA(MATCH(885,Engine!$C$2:$C$1369,0)),"",HYPERLINK(INDEX('Compliance Database'!$O$2:$O$1369,MATCH(885,Engine!$C$2:$C$1369,0)),"Open PDF"))</f>
        <v/>
      </c>
    </row>
    <row r="899" ht="188" customHeight="1">
      <c r="A899" s="8">
        <f>IF(ISNA(MATCH(886,Engine!$C$2:$C$1369,0)),"",INDEX('Compliance Database'!$A$2:$A$1369,MATCH(886,Engine!$C$2:$C$1369,0)))</f>
        <v/>
      </c>
      <c r="B899" s="8">
        <f>IF(ISNA(MATCH(886,Engine!$C$2:$C$1369,0)),"",INDEX('Compliance Database'!$B$2:$B$1369,MATCH(886,Engine!$C$2:$C$1369,0)))</f>
        <v/>
      </c>
      <c r="C899" s="8">
        <f>IF(ISNA(MATCH(886,Engine!$C$2:$C$1369,0)),"",INDEX('Compliance Database'!$C$2:$C$1369,MATCH(886,Engine!$C$2:$C$1369,0)))</f>
        <v/>
      </c>
      <c r="D899" s="9">
        <f>IF(ISNA(MATCH(886,Engine!$C$2:$C$1369,0)),"",INDEX('Compliance Database'!$D$2:$D$1369,MATCH(886,Engine!$C$2:$C$1369,0)))</f>
        <v/>
      </c>
      <c r="E899" s="8">
        <f>IF(ISNA(MATCH(886,Engine!$C$2:$C$1369,0)),"",INDEX('Compliance Database'!$E$2:$E$1369,MATCH(886,Engine!$C$2:$C$1369,0)))</f>
        <v/>
      </c>
      <c r="F899" s="8">
        <f>IF(ISNA(MATCH(886,Engine!$C$2:$C$1369,0)),"",INDEX('Compliance Database'!$F$2:$F$1369,MATCH(886,Engine!$C$2:$C$1369,0)))</f>
        <v/>
      </c>
      <c r="G899" s="8">
        <f>IF(ISNA(MATCH(886,Engine!$C$2:$C$1369,0)),"",INDEX('Compliance Database'!$G$2:$G$1369,MATCH(886,Engine!$C$2:$C$1369,0)))</f>
        <v/>
      </c>
      <c r="H899" s="9">
        <f>IF(ISNA(MATCH(886,Engine!$C$2:$C$1369,0)),"",INDEX('Compliance Database'!$H$2:$H$1369,MATCH(886,Engine!$C$2:$C$1369,0)))</f>
        <v/>
      </c>
      <c r="I899" s="9">
        <f>IF(ISNA(MATCH(886,Engine!$C$2:$C$1369,0)),"",INDEX('Compliance Database'!$I$2:$I$1369,MATCH(886,Engine!$C$2:$C$1369,0)))</f>
        <v/>
      </c>
      <c r="J899" s="8">
        <f>IF(ISNA(MATCH(886,Engine!$C$2:$C$1369,0)),"",INDEX('Compliance Database'!$J$2:$J$1369,MATCH(886,Engine!$C$2:$C$1369,0)))</f>
        <v/>
      </c>
      <c r="K899" s="9">
        <f>IF(ISNA(MATCH(886,Engine!$C$2:$C$1369,0)),"",INDEX('Compliance Database'!$K$2:$K$1369,MATCH(886,Engine!$C$2:$C$1369,0)))</f>
        <v/>
      </c>
      <c r="L899" s="9">
        <f>IF(ISNA(MATCH(886,Engine!$C$2:$C$1369,0)),"",INDEX('Compliance Database'!$L$2:$L$1369,MATCH(886,Engine!$C$2:$C$1369,0)))</f>
        <v/>
      </c>
      <c r="M899" s="9">
        <f>IF(ISNA(MATCH(886,Engine!$C$2:$C$1369,0)),"",INDEX('Compliance Database'!$M$2:$M$1369,MATCH(886,Engine!$C$2:$C$1369,0)))</f>
        <v/>
      </c>
      <c r="N899" s="9">
        <f>IF(ISNA(MATCH(886,Engine!$C$2:$C$1369,0)),"",INDEX('Compliance Database'!$N$2:$N$1369,MATCH(886,Engine!$C$2:$C$1369,0)))</f>
        <v/>
      </c>
      <c r="O899" s="8">
        <f>IF(ISNA(MATCH(886,Engine!$C$2:$C$1369,0)),"",HYPERLINK(INDEX('Compliance Database'!$O$2:$O$1369,MATCH(886,Engine!$C$2:$C$1369,0)),"Open PDF"))</f>
        <v/>
      </c>
    </row>
    <row r="900" ht="188" customHeight="1">
      <c r="A900" s="8">
        <f>IF(ISNA(MATCH(887,Engine!$C$2:$C$1369,0)),"",INDEX('Compliance Database'!$A$2:$A$1369,MATCH(887,Engine!$C$2:$C$1369,0)))</f>
        <v/>
      </c>
      <c r="B900" s="8">
        <f>IF(ISNA(MATCH(887,Engine!$C$2:$C$1369,0)),"",INDEX('Compliance Database'!$B$2:$B$1369,MATCH(887,Engine!$C$2:$C$1369,0)))</f>
        <v/>
      </c>
      <c r="C900" s="8">
        <f>IF(ISNA(MATCH(887,Engine!$C$2:$C$1369,0)),"",INDEX('Compliance Database'!$C$2:$C$1369,MATCH(887,Engine!$C$2:$C$1369,0)))</f>
        <v/>
      </c>
      <c r="D900" s="9">
        <f>IF(ISNA(MATCH(887,Engine!$C$2:$C$1369,0)),"",INDEX('Compliance Database'!$D$2:$D$1369,MATCH(887,Engine!$C$2:$C$1369,0)))</f>
        <v/>
      </c>
      <c r="E900" s="8">
        <f>IF(ISNA(MATCH(887,Engine!$C$2:$C$1369,0)),"",INDEX('Compliance Database'!$E$2:$E$1369,MATCH(887,Engine!$C$2:$C$1369,0)))</f>
        <v/>
      </c>
      <c r="F900" s="8">
        <f>IF(ISNA(MATCH(887,Engine!$C$2:$C$1369,0)),"",INDEX('Compliance Database'!$F$2:$F$1369,MATCH(887,Engine!$C$2:$C$1369,0)))</f>
        <v/>
      </c>
      <c r="G900" s="8">
        <f>IF(ISNA(MATCH(887,Engine!$C$2:$C$1369,0)),"",INDEX('Compliance Database'!$G$2:$G$1369,MATCH(887,Engine!$C$2:$C$1369,0)))</f>
        <v/>
      </c>
      <c r="H900" s="9">
        <f>IF(ISNA(MATCH(887,Engine!$C$2:$C$1369,0)),"",INDEX('Compliance Database'!$H$2:$H$1369,MATCH(887,Engine!$C$2:$C$1369,0)))</f>
        <v/>
      </c>
      <c r="I900" s="9">
        <f>IF(ISNA(MATCH(887,Engine!$C$2:$C$1369,0)),"",INDEX('Compliance Database'!$I$2:$I$1369,MATCH(887,Engine!$C$2:$C$1369,0)))</f>
        <v/>
      </c>
      <c r="J900" s="8">
        <f>IF(ISNA(MATCH(887,Engine!$C$2:$C$1369,0)),"",INDEX('Compliance Database'!$J$2:$J$1369,MATCH(887,Engine!$C$2:$C$1369,0)))</f>
        <v/>
      </c>
      <c r="K900" s="9">
        <f>IF(ISNA(MATCH(887,Engine!$C$2:$C$1369,0)),"",INDEX('Compliance Database'!$K$2:$K$1369,MATCH(887,Engine!$C$2:$C$1369,0)))</f>
        <v/>
      </c>
      <c r="L900" s="9">
        <f>IF(ISNA(MATCH(887,Engine!$C$2:$C$1369,0)),"",INDEX('Compliance Database'!$L$2:$L$1369,MATCH(887,Engine!$C$2:$C$1369,0)))</f>
        <v/>
      </c>
      <c r="M900" s="9">
        <f>IF(ISNA(MATCH(887,Engine!$C$2:$C$1369,0)),"",INDEX('Compliance Database'!$M$2:$M$1369,MATCH(887,Engine!$C$2:$C$1369,0)))</f>
        <v/>
      </c>
      <c r="N900" s="9">
        <f>IF(ISNA(MATCH(887,Engine!$C$2:$C$1369,0)),"",INDEX('Compliance Database'!$N$2:$N$1369,MATCH(887,Engine!$C$2:$C$1369,0)))</f>
        <v/>
      </c>
      <c r="O900" s="8">
        <f>IF(ISNA(MATCH(887,Engine!$C$2:$C$1369,0)),"",HYPERLINK(INDEX('Compliance Database'!$O$2:$O$1369,MATCH(887,Engine!$C$2:$C$1369,0)),"Open PDF"))</f>
        <v/>
      </c>
    </row>
    <row r="901" ht="188" customHeight="1">
      <c r="A901" s="8">
        <f>IF(ISNA(MATCH(888,Engine!$C$2:$C$1369,0)),"",INDEX('Compliance Database'!$A$2:$A$1369,MATCH(888,Engine!$C$2:$C$1369,0)))</f>
        <v/>
      </c>
      <c r="B901" s="8">
        <f>IF(ISNA(MATCH(888,Engine!$C$2:$C$1369,0)),"",INDEX('Compliance Database'!$B$2:$B$1369,MATCH(888,Engine!$C$2:$C$1369,0)))</f>
        <v/>
      </c>
      <c r="C901" s="8">
        <f>IF(ISNA(MATCH(888,Engine!$C$2:$C$1369,0)),"",INDEX('Compliance Database'!$C$2:$C$1369,MATCH(888,Engine!$C$2:$C$1369,0)))</f>
        <v/>
      </c>
      <c r="D901" s="9">
        <f>IF(ISNA(MATCH(888,Engine!$C$2:$C$1369,0)),"",INDEX('Compliance Database'!$D$2:$D$1369,MATCH(888,Engine!$C$2:$C$1369,0)))</f>
        <v/>
      </c>
      <c r="E901" s="8">
        <f>IF(ISNA(MATCH(888,Engine!$C$2:$C$1369,0)),"",INDEX('Compliance Database'!$E$2:$E$1369,MATCH(888,Engine!$C$2:$C$1369,0)))</f>
        <v/>
      </c>
      <c r="F901" s="8">
        <f>IF(ISNA(MATCH(888,Engine!$C$2:$C$1369,0)),"",INDEX('Compliance Database'!$F$2:$F$1369,MATCH(888,Engine!$C$2:$C$1369,0)))</f>
        <v/>
      </c>
      <c r="G901" s="8">
        <f>IF(ISNA(MATCH(888,Engine!$C$2:$C$1369,0)),"",INDEX('Compliance Database'!$G$2:$G$1369,MATCH(888,Engine!$C$2:$C$1369,0)))</f>
        <v/>
      </c>
      <c r="H901" s="9">
        <f>IF(ISNA(MATCH(888,Engine!$C$2:$C$1369,0)),"",INDEX('Compliance Database'!$H$2:$H$1369,MATCH(888,Engine!$C$2:$C$1369,0)))</f>
        <v/>
      </c>
      <c r="I901" s="9">
        <f>IF(ISNA(MATCH(888,Engine!$C$2:$C$1369,0)),"",INDEX('Compliance Database'!$I$2:$I$1369,MATCH(888,Engine!$C$2:$C$1369,0)))</f>
        <v/>
      </c>
      <c r="J901" s="8">
        <f>IF(ISNA(MATCH(888,Engine!$C$2:$C$1369,0)),"",INDEX('Compliance Database'!$J$2:$J$1369,MATCH(888,Engine!$C$2:$C$1369,0)))</f>
        <v/>
      </c>
      <c r="K901" s="9">
        <f>IF(ISNA(MATCH(888,Engine!$C$2:$C$1369,0)),"",INDEX('Compliance Database'!$K$2:$K$1369,MATCH(888,Engine!$C$2:$C$1369,0)))</f>
        <v/>
      </c>
      <c r="L901" s="9">
        <f>IF(ISNA(MATCH(888,Engine!$C$2:$C$1369,0)),"",INDEX('Compliance Database'!$L$2:$L$1369,MATCH(888,Engine!$C$2:$C$1369,0)))</f>
        <v/>
      </c>
      <c r="M901" s="9">
        <f>IF(ISNA(MATCH(888,Engine!$C$2:$C$1369,0)),"",INDEX('Compliance Database'!$M$2:$M$1369,MATCH(888,Engine!$C$2:$C$1369,0)))</f>
        <v/>
      </c>
      <c r="N901" s="9">
        <f>IF(ISNA(MATCH(888,Engine!$C$2:$C$1369,0)),"",INDEX('Compliance Database'!$N$2:$N$1369,MATCH(888,Engine!$C$2:$C$1369,0)))</f>
        <v/>
      </c>
      <c r="O901" s="8">
        <f>IF(ISNA(MATCH(888,Engine!$C$2:$C$1369,0)),"",HYPERLINK(INDEX('Compliance Database'!$O$2:$O$1369,MATCH(888,Engine!$C$2:$C$1369,0)),"Open PDF"))</f>
        <v/>
      </c>
    </row>
    <row r="902" ht="188" customHeight="1">
      <c r="A902" s="8">
        <f>IF(ISNA(MATCH(889,Engine!$C$2:$C$1369,0)),"",INDEX('Compliance Database'!$A$2:$A$1369,MATCH(889,Engine!$C$2:$C$1369,0)))</f>
        <v/>
      </c>
      <c r="B902" s="8">
        <f>IF(ISNA(MATCH(889,Engine!$C$2:$C$1369,0)),"",INDEX('Compliance Database'!$B$2:$B$1369,MATCH(889,Engine!$C$2:$C$1369,0)))</f>
        <v/>
      </c>
      <c r="C902" s="8">
        <f>IF(ISNA(MATCH(889,Engine!$C$2:$C$1369,0)),"",INDEX('Compliance Database'!$C$2:$C$1369,MATCH(889,Engine!$C$2:$C$1369,0)))</f>
        <v/>
      </c>
      <c r="D902" s="9">
        <f>IF(ISNA(MATCH(889,Engine!$C$2:$C$1369,0)),"",INDEX('Compliance Database'!$D$2:$D$1369,MATCH(889,Engine!$C$2:$C$1369,0)))</f>
        <v/>
      </c>
      <c r="E902" s="8">
        <f>IF(ISNA(MATCH(889,Engine!$C$2:$C$1369,0)),"",INDEX('Compliance Database'!$E$2:$E$1369,MATCH(889,Engine!$C$2:$C$1369,0)))</f>
        <v/>
      </c>
      <c r="F902" s="8">
        <f>IF(ISNA(MATCH(889,Engine!$C$2:$C$1369,0)),"",INDEX('Compliance Database'!$F$2:$F$1369,MATCH(889,Engine!$C$2:$C$1369,0)))</f>
        <v/>
      </c>
      <c r="G902" s="8">
        <f>IF(ISNA(MATCH(889,Engine!$C$2:$C$1369,0)),"",INDEX('Compliance Database'!$G$2:$G$1369,MATCH(889,Engine!$C$2:$C$1369,0)))</f>
        <v/>
      </c>
      <c r="H902" s="9">
        <f>IF(ISNA(MATCH(889,Engine!$C$2:$C$1369,0)),"",INDEX('Compliance Database'!$H$2:$H$1369,MATCH(889,Engine!$C$2:$C$1369,0)))</f>
        <v/>
      </c>
      <c r="I902" s="9">
        <f>IF(ISNA(MATCH(889,Engine!$C$2:$C$1369,0)),"",INDEX('Compliance Database'!$I$2:$I$1369,MATCH(889,Engine!$C$2:$C$1369,0)))</f>
        <v/>
      </c>
      <c r="J902" s="8">
        <f>IF(ISNA(MATCH(889,Engine!$C$2:$C$1369,0)),"",INDEX('Compliance Database'!$J$2:$J$1369,MATCH(889,Engine!$C$2:$C$1369,0)))</f>
        <v/>
      </c>
      <c r="K902" s="9">
        <f>IF(ISNA(MATCH(889,Engine!$C$2:$C$1369,0)),"",INDEX('Compliance Database'!$K$2:$K$1369,MATCH(889,Engine!$C$2:$C$1369,0)))</f>
        <v/>
      </c>
      <c r="L902" s="9">
        <f>IF(ISNA(MATCH(889,Engine!$C$2:$C$1369,0)),"",INDEX('Compliance Database'!$L$2:$L$1369,MATCH(889,Engine!$C$2:$C$1369,0)))</f>
        <v/>
      </c>
      <c r="M902" s="9">
        <f>IF(ISNA(MATCH(889,Engine!$C$2:$C$1369,0)),"",INDEX('Compliance Database'!$M$2:$M$1369,MATCH(889,Engine!$C$2:$C$1369,0)))</f>
        <v/>
      </c>
      <c r="N902" s="9">
        <f>IF(ISNA(MATCH(889,Engine!$C$2:$C$1369,0)),"",INDEX('Compliance Database'!$N$2:$N$1369,MATCH(889,Engine!$C$2:$C$1369,0)))</f>
        <v/>
      </c>
      <c r="O902" s="8">
        <f>IF(ISNA(MATCH(889,Engine!$C$2:$C$1369,0)),"",HYPERLINK(INDEX('Compliance Database'!$O$2:$O$1369,MATCH(889,Engine!$C$2:$C$1369,0)),"Open PDF"))</f>
        <v/>
      </c>
    </row>
    <row r="903" ht="188" customHeight="1">
      <c r="A903" s="8">
        <f>IF(ISNA(MATCH(890,Engine!$C$2:$C$1369,0)),"",INDEX('Compliance Database'!$A$2:$A$1369,MATCH(890,Engine!$C$2:$C$1369,0)))</f>
        <v/>
      </c>
      <c r="B903" s="8">
        <f>IF(ISNA(MATCH(890,Engine!$C$2:$C$1369,0)),"",INDEX('Compliance Database'!$B$2:$B$1369,MATCH(890,Engine!$C$2:$C$1369,0)))</f>
        <v/>
      </c>
      <c r="C903" s="8">
        <f>IF(ISNA(MATCH(890,Engine!$C$2:$C$1369,0)),"",INDEX('Compliance Database'!$C$2:$C$1369,MATCH(890,Engine!$C$2:$C$1369,0)))</f>
        <v/>
      </c>
      <c r="D903" s="9">
        <f>IF(ISNA(MATCH(890,Engine!$C$2:$C$1369,0)),"",INDEX('Compliance Database'!$D$2:$D$1369,MATCH(890,Engine!$C$2:$C$1369,0)))</f>
        <v/>
      </c>
      <c r="E903" s="8">
        <f>IF(ISNA(MATCH(890,Engine!$C$2:$C$1369,0)),"",INDEX('Compliance Database'!$E$2:$E$1369,MATCH(890,Engine!$C$2:$C$1369,0)))</f>
        <v/>
      </c>
      <c r="F903" s="8">
        <f>IF(ISNA(MATCH(890,Engine!$C$2:$C$1369,0)),"",INDEX('Compliance Database'!$F$2:$F$1369,MATCH(890,Engine!$C$2:$C$1369,0)))</f>
        <v/>
      </c>
      <c r="G903" s="8">
        <f>IF(ISNA(MATCH(890,Engine!$C$2:$C$1369,0)),"",INDEX('Compliance Database'!$G$2:$G$1369,MATCH(890,Engine!$C$2:$C$1369,0)))</f>
        <v/>
      </c>
      <c r="H903" s="9">
        <f>IF(ISNA(MATCH(890,Engine!$C$2:$C$1369,0)),"",INDEX('Compliance Database'!$H$2:$H$1369,MATCH(890,Engine!$C$2:$C$1369,0)))</f>
        <v/>
      </c>
      <c r="I903" s="9">
        <f>IF(ISNA(MATCH(890,Engine!$C$2:$C$1369,0)),"",INDEX('Compliance Database'!$I$2:$I$1369,MATCH(890,Engine!$C$2:$C$1369,0)))</f>
        <v/>
      </c>
      <c r="J903" s="8">
        <f>IF(ISNA(MATCH(890,Engine!$C$2:$C$1369,0)),"",INDEX('Compliance Database'!$J$2:$J$1369,MATCH(890,Engine!$C$2:$C$1369,0)))</f>
        <v/>
      </c>
      <c r="K903" s="9">
        <f>IF(ISNA(MATCH(890,Engine!$C$2:$C$1369,0)),"",INDEX('Compliance Database'!$K$2:$K$1369,MATCH(890,Engine!$C$2:$C$1369,0)))</f>
        <v/>
      </c>
      <c r="L903" s="9">
        <f>IF(ISNA(MATCH(890,Engine!$C$2:$C$1369,0)),"",INDEX('Compliance Database'!$L$2:$L$1369,MATCH(890,Engine!$C$2:$C$1369,0)))</f>
        <v/>
      </c>
      <c r="M903" s="9">
        <f>IF(ISNA(MATCH(890,Engine!$C$2:$C$1369,0)),"",INDEX('Compliance Database'!$M$2:$M$1369,MATCH(890,Engine!$C$2:$C$1369,0)))</f>
        <v/>
      </c>
      <c r="N903" s="9">
        <f>IF(ISNA(MATCH(890,Engine!$C$2:$C$1369,0)),"",INDEX('Compliance Database'!$N$2:$N$1369,MATCH(890,Engine!$C$2:$C$1369,0)))</f>
        <v/>
      </c>
      <c r="O903" s="8">
        <f>IF(ISNA(MATCH(890,Engine!$C$2:$C$1369,0)),"",HYPERLINK(INDEX('Compliance Database'!$O$2:$O$1369,MATCH(890,Engine!$C$2:$C$1369,0)),"Open PDF"))</f>
        <v/>
      </c>
    </row>
    <row r="904" ht="188" customHeight="1">
      <c r="A904" s="8">
        <f>IF(ISNA(MATCH(891,Engine!$C$2:$C$1369,0)),"",INDEX('Compliance Database'!$A$2:$A$1369,MATCH(891,Engine!$C$2:$C$1369,0)))</f>
        <v/>
      </c>
      <c r="B904" s="8">
        <f>IF(ISNA(MATCH(891,Engine!$C$2:$C$1369,0)),"",INDEX('Compliance Database'!$B$2:$B$1369,MATCH(891,Engine!$C$2:$C$1369,0)))</f>
        <v/>
      </c>
      <c r="C904" s="8">
        <f>IF(ISNA(MATCH(891,Engine!$C$2:$C$1369,0)),"",INDEX('Compliance Database'!$C$2:$C$1369,MATCH(891,Engine!$C$2:$C$1369,0)))</f>
        <v/>
      </c>
      <c r="D904" s="9">
        <f>IF(ISNA(MATCH(891,Engine!$C$2:$C$1369,0)),"",INDEX('Compliance Database'!$D$2:$D$1369,MATCH(891,Engine!$C$2:$C$1369,0)))</f>
        <v/>
      </c>
      <c r="E904" s="8">
        <f>IF(ISNA(MATCH(891,Engine!$C$2:$C$1369,0)),"",INDEX('Compliance Database'!$E$2:$E$1369,MATCH(891,Engine!$C$2:$C$1369,0)))</f>
        <v/>
      </c>
      <c r="F904" s="8">
        <f>IF(ISNA(MATCH(891,Engine!$C$2:$C$1369,0)),"",INDEX('Compliance Database'!$F$2:$F$1369,MATCH(891,Engine!$C$2:$C$1369,0)))</f>
        <v/>
      </c>
      <c r="G904" s="8">
        <f>IF(ISNA(MATCH(891,Engine!$C$2:$C$1369,0)),"",INDEX('Compliance Database'!$G$2:$G$1369,MATCH(891,Engine!$C$2:$C$1369,0)))</f>
        <v/>
      </c>
      <c r="H904" s="9">
        <f>IF(ISNA(MATCH(891,Engine!$C$2:$C$1369,0)),"",INDEX('Compliance Database'!$H$2:$H$1369,MATCH(891,Engine!$C$2:$C$1369,0)))</f>
        <v/>
      </c>
      <c r="I904" s="9">
        <f>IF(ISNA(MATCH(891,Engine!$C$2:$C$1369,0)),"",INDEX('Compliance Database'!$I$2:$I$1369,MATCH(891,Engine!$C$2:$C$1369,0)))</f>
        <v/>
      </c>
      <c r="J904" s="8">
        <f>IF(ISNA(MATCH(891,Engine!$C$2:$C$1369,0)),"",INDEX('Compliance Database'!$J$2:$J$1369,MATCH(891,Engine!$C$2:$C$1369,0)))</f>
        <v/>
      </c>
      <c r="K904" s="9">
        <f>IF(ISNA(MATCH(891,Engine!$C$2:$C$1369,0)),"",INDEX('Compliance Database'!$K$2:$K$1369,MATCH(891,Engine!$C$2:$C$1369,0)))</f>
        <v/>
      </c>
      <c r="L904" s="9">
        <f>IF(ISNA(MATCH(891,Engine!$C$2:$C$1369,0)),"",INDEX('Compliance Database'!$L$2:$L$1369,MATCH(891,Engine!$C$2:$C$1369,0)))</f>
        <v/>
      </c>
      <c r="M904" s="9">
        <f>IF(ISNA(MATCH(891,Engine!$C$2:$C$1369,0)),"",INDEX('Compliance Database'!$M$2:$M$1369,MATCH(891,Engine!$C$2:$C$1369,0)))</f>
        <v/>
      </c>
      <c r="N904" s="9">
        <f>IF(ISNA(MATCH(891,Engine!$C$2:$C$1369,0)),"",INDEX('Compliance Database'!$N$2:$N$1369,MATCH(891,Engine!$C$2:$C$1369,0)))</f>
        <v/>
      </c>
      <c r="O904" s="8">
        <f>IF(ISNA(MATCH(891,Engine!$C$2:$C$1369,0)),"",HYPERLINK(INDEX('Compliance Database'!$O$2:$O$1369,MATCH(891,Engine!$C$2:$C$1369,0)),"Open PDF"))</f>
        <v/>
      </c>
    </row>
    <row r="905" ht="188" customHeight="1">
      <c r="A905" s="8">
        <f>IF(ISNA(MATCH(892,Engine!$C$2:$C$1369,0)),"",INDEX('Compliance Database'!$A$2:$A$1369,MATCH(892,Engine!$C$2:$C$1369,0)))</f>
        <v/>
      </c>
      <c r="B905" s="8">
        <f>IF(ISNA(MATCH(892,Engine!$C$2:$C$1369,0)),"",INDEX('Compliance Database'!$B$2:$B$1369,MATCH(892,Engine!$C$2:$C$1369,0)))</f>
        <v/>
      </c>
      <c r="C905" s="8">
        <f>IF(ISNA(MATCH(892,Engine!$C$2:$C$1369,0)),"",INDEX('Compliance Database'!$C$2:$C$1369,MATCH(892,Engine!$C$2:$C$1369,0)))</f>
        <v/>
      </c>
      <c r="D905" s="9">
        <f>IF(ISNA(MATCH(892,Engine!$C$2:$C$1369,0)),"",INDEX('Compliance Database'!$D$2:$D$1369,MATCH(892,Engine!$C$2:$C$1369,0)))</f>
        <v/>
      </c>
      <c r="E905" s="8">
        <f>IF(ISNA(MATCH(892,Engine!$C$2:$C$1369,0)),"",INDEX('Compliance Database'!$E$2:$E$1369,MATCH(892,Engine!$C$2:$C$1369,0)))</f>
        <v/>
      </c>
      <c r="F905" s="8">
        <f>IF(ISNA(MATCH(892,Engine!$C$2:$C$1369,0)),"",INDEX('Compliance Database'!$F$2:$F$1369,MATCH(892,Engine!$C$2:$C$1369,0)))</f>
        <v/>
      </c>
      <c r="G905" s="8">
        <f>IF(ISNA(MATCH(892,Engine!$C$2:$C$1369,0)),"",INDEX('Compliance Database'!$G$2:$G$1369,MATCH(892,Engine!$C$2:$C$1369,0)))</f>
        <v/>
      </c>
      <c r="H905" s="9">
        <f>IF(ISNA(MATCH(892,Engine!$C$2:$C$1369,0)),"",INDEX('Compliance Database'!$H$2:$H$1369,MATCH(892,Engine!$C$2:$C$1369,0)))</f>
        <v/>
      </c>
      <c r="I905" s="9">
        <f>IF(ISNA(MATCH(892,Engine!$C$2:$C$1369,0)),"",INDEX('Compliance Database'!$I$2:$I$1369,MATCH(892,Engine!$C$2:$C$1369,0)))</f>
        <v/>
      </c>
      <c r="J905" s="8">
        <f>IF(ISNA(MATCH(892,Engine!$C$2:$C$1369,0)),"",INDEX('Compliance Database'!$J$2:$J$1369,MATCH(892,Engine!$C$2:$C$1369,0)))</f>
        <v/>
      </c>
      <c r="K905" s="9">
        <f>IF(ISNA(MATCH(892,Engine!$C$2:$C$1369,0)),"",INDEX('Compliance Database'!$K$2:$K$1369,MATCH(892,Engine!$C$2:$C$1369,0)))</f>
        <v/>
      </c>
      <c r="L905" s="9">
        <f>IF(ISNA(MATCH(892,Engine!$C$2:$C$1369,0)),"",INDEX('Compliance Database'!$L$2:$L$1369,MATCH(892,Engine!$C$2:$C$1369,0)))</f>
        <v/>
      </c>
      <c r="M905" s="9">
        <f>IF(ISNA(MATCH(892,Engine!$C$2:$C$1369,0)),"",INDEX('Compliance Database'!$M$2:$M$1369,MATCH(892,Engine!$C$2:$C$1369,0)))</f>
        <v/>
      </c>
      <c r="N905" s="9">
        <f>IF(ISNA(MATCH(892,Engine!$C$2:$C$1369,0)),"",INDEX('Compliance Database'!$N$2:$N$1369,MATCH(892,Engine!$C$2:$C$1369,0)))</f>
        <v/>
      </c>
      <c r="O905" s="8">
        <f>IF(ISNA(MATCH(892,Engine!$C$2:$C$1369,0)),"",HYPERLINK(INDEX('Compliance Database'!$O$2:$O$1369,MATCH(892,Engine!$C$2:$C$1369,0)),"Open PDF"))</f>
        <v/>
      </c>
    </row>
    <row r="906" ht="188" customHeight="1">
      <c r="A906" s="8">
        <f>IF(ISNA(MATCH(893,Engine!$C$2:$C$1369,0)),"",INDEX('Compliance Database'!$A$2:$A$1369,MATCH(893,Engine!$C$2:$C$1369,0)))</f>
        <v/>
      </c>
      <c r="B906" s="8">
        <f>IF(ISNA(MATCH(893,Engine!$C$2:$C$1369,0)),"",INDEX('Compliance Database'!$B$2:$B$1369,MATCH(893,Engine!$C$2:$C$1369,0)))</f>
        <v/>
      </c>
      <c r="C906" s="8">
        <f>IF(ISNA(MATCH(893,Engine!$C$2:$C$1369,0)),"",INDEX('Compliance Database'!$C$2:$C$1369,MATCH(893,Engine!$C$2:$C$1369,0)))</f>
        <v/>
      </c>
      <c r="D906" s="9">
        <f>IF(ISNA(MATCH(893,Engine!$C$2:$C$1369,0)),"",INDEX('Compliance Database'!$D$2:$D$1369,MATCH(893,Engine!$C$2:$C$1369,0)))</f>
        <v/>
      </c>
      <c r="E906" s="8">
        <f>IF(ISNA(MATCH(893,Engine!$C$2:$C$1369,0)),"",INDEX('Compliance Database'!$E$2:$E$1369,MATCH(893,Engine!$C$2:$C$1369,0)))</f>
        <v/>
      </c>
      <c r="F906" s="8">
        <f>IF(ISNA(MATCH(893,Engine!$C$2:$C$1369,0)),"",INDEX('Compliance Database'!$F$2:$F$1369,MATCH(893,Engine!$C$2:$C$1369,0)))</f>
        <v/>
      </c>
      <c r="G906" s="8">
        <f>IF(ISNA(MATCH(893,Engine!$C$2:$C$1369,0)),"",INDEX('Compliance Database'!$G$2:$G$1369,MATCH(893,Engine!$C$2:$C$1369,0)))</f>
        <v/>
      </c>
      <c r="H906" s="9">
        <f>IF(ISNA(MATCH(893,Engine!$C$2:$C$1369,0)),"",INDEX('Compliance Database'!$H$2:$H$1369,MATCH(893,Engine!$C$2:$C$1369,0)))</f>
        <v/>
      </c>
      <c r="I906" s="9">
        <f>IF(ISNA(MATCH(893,Engine!$C$2:$C$1369,0)),"",INDEX('Compliance Database'!$I$2:$I$1369,MATCH(893,Engine!$C$2:$C$1369,0)))</f>
        <v/>
      </c>
      <c r="J906" s="8">
        <f>IF(ISNA(MATCH(893,Engine!$C$2:$C$1369,0)),"",INDEX('Compliance Database'!$J$2:$J$1369,MATCH(893,Engine!$C$2:$C$1369,0)))</f>
        <v/>
      </c>
      <c r="K906" s="9">
        <f>IF(ISNA(MATCH(893,Engine!$C$2:$C$1369,0)),"",INDEX('Compliance Database'!$K$2:$K$1369,MATCH(893,Engine!$C$2:$C$1369,0)))</f>
        <v/>
      </c>
      <c r="L906" s="9">
        <f>IF(ISNA(MATCH(893,Engine!$C$2:$C$1369,0)),"",INDEX('Compliance Database'!$L$2:$L$1369,MATCH(893,Engine!$C$2:$C$1369,0)))</f>
        <v/>
      </c>
      <c r="M906" s="9">
        <f>IF(ISNA(MATCH(893,Engine!$C$2:$C$1369,0)),"",INDEX('Compliance Database'!$M$2:$M$1369,MATCH(893,Engine!$C$2:$C$1369,0)))</f>
        <v/>
      </c>
      <c r="N906" s="9">
        <f>IF(ISNA(MATCH(893,Engine!$C$2:$C$1369,0)),"",INDEX('Compliance Database'!$N$2:$N$1369,MATCH(893,Engine!$C$2:$C$1369,0)))</f>
        <v/>
      </c>
      <c r="O906" s="8">
        <f>IF(ISNA(MATCH(893,Engine!$C$2:$C$1369,0)),"",HYPERLINK(INDEX('Compliance Database'!$O$2:$O$1369,MATCH(893,Engine!$C$2:$C$1369,0)),"Open PDF"))</f>
        <v/>
      </c>
    </row>
    <row r="907" ht="188" customHeight="1">
      <c r="A907" s="8">
        <f>IF(ISNA(MATCH(894,Engine!$C$2:$C$1369,0)),"",INDEX('Compliance Database'!$A$2:$A$1369,MATCH(894,Engine!$C$2:$C$1369,0)))</f>
        <v/>
      </c>
      <c r="B907" s="8">
        <f>IF(ISNA(MATCH(894,Engine!$C$2:$C$1369,0)),"",INDEX('Compliance Database'!$B$2:$B$1369,MATCH(894,Engine!$C$2:$C$1369,0)))</f>
        <v/>
      </c>
      <c r="C907" s="8">
        <f>IF(ISNA(MATCH(894,Engine!$C$2:$C$1369,0)),"",INDEX('Compliance Database'!$C$2:$C$1369,MATCH(894,Engine!$C$2:$C$1369,0)))</f>
        <v/>
      </c>
      <c r="D907" s="9">
        <f>IF(ISNA(MATCH(894,Engine!$C$2:$C$1369,0)),"",INDEX('Compliance Database'!$D$2:$D$1369,MATCH(894,Engine!$C$2:$C$1369,0)))</f>
        <v/>
      </c>
      <c r="E907" s="8">
        <f>IF(ISNA(MATCH(894,Engine!$C$2:$C$1369,0)),"",INDEX('Compliance Database'!$E$2:$E$1369,MATCH(894,Engine!$C$2:$C$1369,0)))</f>
        <v/>
      </c>
      <c r="F907" s="8">
        <f>IF(ISNA(MATCH(894,Engine!$C$2:$C$1369,0)),"",INDEX('Compliance Database'!$F$2:$F$1369,MATCH(894,Engine!$C$2:$C$1369,0)))</f>
        <v/>
      </c>
      <c r="G907" s="8">
        <f>IF(ISNA(MATCH(894,Engine!$C$2:$C$1369,0)),"",INDEX('Compliance Database'!$G$2:$G$1369,MATCH(894,Engine!$C$2:$C$1369,0)))</f>
        <v/>
      </c>
      <c r="H907" s="9">
        <f>IF(ISNA(MATCH(894,Engine!$C$2:$C$1369,0)),"",INDEX('Compliance Database'!$H$2:$H$1369,MATCH(894,Engine!$C$2:$C$1369,0)))</f>
        <v/>
      </c>
      <c r="I907" s="9">
        <f>IF(ISNA(MATCH(894,Engine!$C$2:$C$1369,0)),"",INDEX('Compliance Database'!$I$2:$I$1369,MATCH(894,Engine!$C$2:$C$1369,0)))</f>
        <v/>
      </c>
      <c r="J907" s="8">
        <f>IF(ISNA(MATCH(894,Engine!$C$2:$C$1369,0)),"",INDEX('Compliance Database'!$J$2:$J$1369,MATCH(894,Engine!$C$2:$C$1369,0)))</f>
        <v/>
      </c>
      <c r="K907" s="9">
        <f>IF(ISNA(MATCH(894,Engine!$C$2:$C$1369,0)),"",INDEX('Compliance Database'!$K$2:$K$1369,MATCH(894,Engine!$C$2:$C$1369,0)))</f>
        <v/>
      </c>
      <c r="L907" s="9">
        <f>IF(ISNA(MATCH(894,Engine!$C$2:$C$1369,0)),"",INDEX('Compliance Database'!$L$2:$L$1369,MATCH(894,Engine!$C$2:$C$1369,0)))</f>
        <v/>
      </c>
      <c r="M907" s="9">
        <f>IF(ISNA(MATCH(894,Engine!$C$2:$C$1369,0)),"",INDEX('Compliance Database'!$M$2:$M$1369,MATCH(894,Engine!$C$2:$C$1369,0)))</f>
        <v/>
      </c>
      <c r="N907" s="9">
        <f>IF(ISNA(MATCH(894,Engine!$C$2:$C$1369,0)),"",INDEX('Compliance Database'!$N$2:$N$1369,MATCH(894,Engine!$C$2:$C$1369,0)))</f>
        <v/>
      </c>
      <c r="O907" s="8">
        <f>IF(ISNA(MATCH(894,Engine!$C$2:$C$1369,0)),"",HYPERLINK(INDEX('Compliance Database'!$O$2:$O$1369,MATCH(894,Engine!$C$2:$C$1369,0)),"Open PDF"))</f>
        <v/>
      </c>
    </row>
    <row r="908" ht="188" customHeight="1">
      <c r="A908" s="8">
        <f>IF(ISNA(MATCH(895,Engine!$C$2:$C$1369,0)),"",INDEX('Compliance Database'!$A$2:$A$1369,MATCH(895,Engine!$C$2:$C$1369,0)))</f>
        <v/>
      </c>
      <c r="B908" s="8">
        <f>IF(ISNA(MATCH(895,Engine!$C$2:$C$1369,0)),"",INDEX('Compliance Database'!$B$2:$B$1369,MATCH(895,Engine!$C$2:$C$1369,0)))</f>
        <v/>
      </c>
      <c r="C908" s="8">
        <f>IF(ISNA(MATCH(895,Engine!$C$2:$C$1369,0)),"",INDEX('Compliance Database'!$C$2:$C$1369,MATCH(895,Engine!$C$2:$C$1369,0)))</f>
        <v/>
      </c>
      <c r="D908" s="9">
        <f>IF(ISNA(MATCH(895,Engine!$C$2:$C$1369,0)),"",INDEX('Compliance Database'!$D$2:$D$1369,MATCH(895,Engine!$C$2:$C$1369,0)))</f>
        <v/>
      </c>
      <c r="E908" s="8">
        <f>IF(ISNA(MATCH(895,Engine!$C$2:$C$1369,0)),"",INDEX('Compliance Database'!$E$2:$E$1369,MATCH(895,Engine!$C$2:$C$1369,0)))</f>
        <v/>
      </c>
      <c r="F908" s="8">
        <f>IF(ISNA(MATCH(895,Engine!$C$2:$C$1369,0)),"",INDEX('Compliance Database'!$F$2:$F$1369,MATCH(895,Engine!$C$2:$C$1369,0)))</f>
        <v/>
      </c>
      <c r="G908" s="8">
        <f>IF(ISNA(MATCH(895,Engine!$C$2:$C$1369,0)),"",INDEX('Compliance Database'!$G$2:$G$1369,MATCH(895,Engine!$C$2:$C$1369,0)))</f>
        <v/>
      </c>
      <c r="H908" s="9">
        <f>IF(ISNA(MATCH(895,Engine!$C$2:$C$1369,0)),"",INDEX('Compliance Database'!$H$2:$H$1369,MATCH(895,Engine!$C$2:$C$1369,0)))</f>
        <v/>
      </c>
      <c r="I908" s="9">
        <f>IF(ISNA(MATCH(895,Engine!$C$2:$C$1369,0)),"",INDEX('Compliance Database'!$I$2:$I$1369,MATCH(895,Engine!$C$2:$C$1369,0)))</f>
        <v/>
      </c>
      <c r="J908" s="8">
        <f>IF(ISNA(MATCH(895,Engine!$C$2:$C$1369,0)),"",INDEX('Compliance Database'!$J$2:$J$1369,MATCH(895,Engine!$C$2:$C$1369,0)))</f>
        <v/>
      </c>
      <c r="K908" s="9">
        <f>IF(ISNA(MATCH(895,Engine!$C$2:$C$1369,0)),"",INDEX('Compliance Database'!$K$2:$K$1369,MATCH(895,Engine!$C$2:$C$1369,0)))</f>
        <v/>
      </c>
      <c r="L908" s="9">
        <f>IF(ISNA(MATCH(895,Engine!$C$2:$C$1369,0)),"",INDEX('Compliance Database'!$L$2:$L$1369,MATCH(895,Engine!$C$2:$C$1369,0)))</f>
        <v/>
      </c>
      <c r="M908" s="9">
        <f>IF(ISNA(MATCH(895,Engine!$C$2:$C$1369,0)),"",INDEX('Compliance Database'!$M$2:$M$1369,MATCH(895,Engine!$C$2:$C$1369,0)))</f>
        <v/>
      </c>
      <c r="N908" s="9">
        <f>IF(ISNA(MATCH(895,Engine!$C$2:$C$1369,0)),"",INDEX('Compliance Database'!$N$2:$N$1369,MATCH(895,Engine!$C$2:$C$1369,0)))</f>
        <v/>
      </c>
      <c r="O908" s="8">
        <f>IF(ISNA(MATCH(895,Engine!$C$2:$C$1369,0)),"",HYPERLINK(INDEX('Compliance Database'!$O$2:$O$1369,MATCH(895,Engine!$C$2:$C$1369,0)),"Open PDF"))</f>
        <v/>
      </c>
    </row>
    <row r="909" ht="188" customHeight="1">
      <c r="A909" s="8">
        <f>IF(ISNA(MATCH(896,Engine!$C$2:$C$1369,0)),"",INDEX('Compliance Database'!$A$2:$A$1369,MATCH(896,Engine!$C$2:$C$1369,0)))</f>
        <v/>
      </c>
      <c r="B909" s="8">
        <f>IF(ISNA(MATCH(896,Engine!$C$2:$C$1369,0)),"",INDEX('Compliance Database'!$B$2:$B$1369,MATCH(896,Engine!$C$2:$C$1369,0)))</f>
        <v/>
      </c>
      <c r="C909" s="8">
        <f>IF(ISNA(MATCH(896,Engine!$C$2:$C$1369,0)),"",INDEX('Compliance Database'!$C$2:$C$1369,MATCH(896,Engine!$C$2:$C$1369,0)))</f>
        <v/>
      </c>
      <c r="D909" s="9">
        <f>IF(ISNA(MATCH(896,Engine!$C$2:$C$1369,0)),"",INDEX('Compliance Database'!$D$2:$D$1369,MATCH(896,Engine!$C$2:$C$1369,0)))</f>
        <v/>
      </c>
      <c r="E909" s="8">
        <f>IF(ISNA(MATCH(896,Engine!$C$2:$C$1369,0)),"",INDEX('Compliance Database'!$E$2:$E$1369,MATCH(896,Engine!$C$2:$C$1369,0)))</f>
        <v/>
      </c>
      <c r="F909" s="8">
        <f>IF(ISNA(MATCH(896,Engine!$C$2:$C$1369,0)),"",INDEX('Compliance Database'!$F$2:$F$1369,MATCH(896,Engine!$C$2:$C$1369,0)))</f>
        <v/>
      </c>
      <c r="G909" s="8">
        <f>IF(ISNA(MATCH(896,Engine!$C$2:$C$1369,0)),"",INDEX('Compliance Database'!$G$2:$G$1369,MATCH(896,Engine!$C$2:$C$1369,0)))</f>
        <v/>
      </c>
      <c r="H909" s="9">
        <f>IF(ISNA(MATCH(896,Engine!$C$2:$C$1369,0)),"",INDEX('Compliance Database'!$H$2:$H$1369,MATCH(896,Engine!$C$2:$C$1369,0)))</f>
        <v/>
      </c>
      <c r="I909" s="9">
        <f>IF(ISNA(MATCH(896,Engine!$C$2:$C$1369,0)),"",INDEX('Compliance Database'!$I$2:$I$1369,MATCH(896,Engine!$C$2:$C$1369,0)))</f>
        <v/>
      </c>
      <c r="J909" s="8">
        <f>IF(ISNA(MATCH(896,Engine!$C$2:$C$1369,0)),"",INDEX('Compliance Database'!$J$2:$J$1369,MATCH(896,Engine!$C$2:$C$1369,0)))</f>
        <v/>
      </c>
      <c r="K909" s="9">
        <f>IF(ISNA(MATCH(896,Engine!$C$2:$C$1369,0)),"",INDEX('Compliance Database'!$K$2:$K$1369,MATCH(896,Engine!$C$2:$C$1369,0)))</f>
        <v/>
      </c>
      <c r="L909" s="9">
        <f>IF(ISNA(MATCH(896,Engine!$C$2:$C$1369,0)),"",INDEX('Compliance Database'!$L$2:$L$1369,MATCH(896,Engine!$C$2:$C$1369,0)))</f>
        <v/>
      </c>
      <c r="M909" s="9">
        <f>IF(ISNA(MATCH(896,Engine!$C$2:$C$1369,0)),"",INDEX('Compliance Database'!$M$2:$M$1369,MATCH(896,Engine!$C$2:$C$1369,0)))</f>
        <v/>
      </c>
      <c r="N909" s="9">
        <f>IF(ISNA(MATCH(896,Engine!$C$2:$C$1369,0)),"",INDEX('Compliance Database'!$N$2:$N$1369,MATCH(896,Engine!$C$2:$C$1369,0)))</f>
        <v/>
      </c>
      <c r="O909" s="8">
        <f>IF(ISNA(MATCH(896,Engine!$C$2:$C$1369,0)),"",HYPERLINK(INDEX('Compliance Database'!$O$2:$O$1369,MATCH(896,Engine!$C$2:$C$1369,0)),"Open PDF"))</f>
        <v/>
      </c>
    </row>
    <row r="910" ht="188" customHeight="1">
      <c r="A910" s="8">
        <f>IF(ISNA(MATCH(897,Engine!$C$2:$C$1369,0)),"",INDEX('Compliance Database'!$A$2:$A$1369,MATCH(897,Engine!$C$2:$C$1369,0)))</f>
        <v/>
      </c>
      <c r="B910" s="8">
        <f>IF(ISNA(MATCH(897,Engine!$C$2:$C$1369,0)),"",INDEX('Compliance Database'!$B$2:$B$1369,MATCH(897,Engine!$C$2:$C$1369,0)))</f>
        <v/>
      </c>
      <c r="C910" s="8">
        <f>IF(ISNA(MATCH(897,Engine!$C$2:$C$1369,0)),"",INDEX('Compliance Database'!$C$2:$C$1369,MATCH(897,Engine!$C$2:$C$1369,0)))</f>
        <v/>
      </c>
      <c r="D910" s="9">
        <f>IF(ISNA(MATCH(897,Engine!$C$2:$C$1369,0)),"",INDEX('Compliance Database'!$D$2:$D$1369,MATCH(897,Engine!$C$2:$C$1369,0)))</f>
        <v/>
      </c>
      <c r="E910" s="8">
        <f>IF(ISNA(MATCH(897,Engine!$C$2:$C$1369,0)),"",INDEX('Compliance Database'!$E$2:$E$1369,MATCH(897,Engine!$C$2:$C$1369,0)))</f>
        <v/>
      </c>
      <c r="F910" s="8">
        <f>IF(ISNA(MATCH(897,Engine!$C$2:$C$1369,0)),"",INDEX('Compliance Database'!$F$2:$F$1369,MATCH(897,Engine!$C$2:$C$1369,0)))</f>
        <v/>
      </c>
      <c r="G910" s="8">
        <f>IF(ISNA(MATCH(897,Engine!$C$2:$C$1369,0)),"",INDEX('Compliance Database'!$G$2:$G$1369,MATCH(897,Engine!$C$2:$C$1369,0)))</f>
        <v/>
      </c>
      <c r="H910" s="9">
        <f>IF(ISNA(MATCH(897,Engine!$C$2:$C$1369,0)),"",INDEX('Compliance Database'!$H$2:$H$1369,MATCH(897,Engine!$C$2:$C$1369,0)))</f>
        <v/>
      </c>
      <c r="I910" s="9">
        <f>IF(ISNA(MATCH(897,Engine!$C$2:$C$1369,0)),"",INDEX('Compliance Database'!$I$2:$I$1369,MATCH(897,Engine!$C$2:$C$1369,0)))</f>
        <v/>
      </c>
      <c r="J910" s="8">
        <f>IF(ISNA(MATCH(897,Engine!$C$2:$C$1369,0)),"",INDEX('Compliance Database'!$J$2:$J$1369,MATCH(897,Engine!$C$2:$C$1369,0)))</f>
        <v/>
      </c>
      <c r="K910" s="9">
        <f>IF(ISNA(MATCH(897,Engine!$C$2:$C$1369,0)),"",INDEX('Compliance Database'!$K$2:$K$1369,MATCH(897,Engine!$C$2:$C$1369,0)))</f>
        <v/>
      </c>
      <c r="L910" s="9">
        <f>IF(ISNA(MATCH(897,Engine!$C$2:$C$1369,0)),"",INDEX('Compliance Database'!$L$2:$L$1369,MATCH(897,Engine!$C$2:$C$1369,0)))</f>
        <v/>
      </c>
      <c r="M910" s="9">
        <f>IF(ISNA(MATCH(897,Engine!$C$2:$C$1369,0)),"",INDEX('Compliance Database'!$M$2:$M$1369,MATCH(897,Engine!$C$2:$C$1369,0)))</f>
        <v/>
      </c>
      <c r="N910" s="9">
        <f>IF(ISNA(MATCH(897,Engine!$C$2:$C$1369,0)),"",INDEX('Compliance Database'!$N$2:$N$1369,MATCH(897,Engine!$C$2:$C$1369,0)))</f>
        <v/>
      </c>
      <c r="O910" s="8">
        <f>IF(ISNA(MATCH(897,Engine!$C$2:$C$1369,0)),"",HYPERLINK(INDEX('Compliance Database'!$O$2:$O$1369,MATCH(897,Engine!$C$2:$C$1369,0)),"Open PDF"))</f>
        <v/>
      </c>
    </row>
    <row r="911" ht="188" customHeight="1">
      <c r="A911" s="8">
        <f>IF(ISNA(MATCH(898,Engine!$C$2:$C$1369,0)),"",INDEX('Compliance Database'!$A$2:$A$1369,MATCH(898,Engine!$C$2:$C$1369,0)))</f>
        <v/>
      </c>
      <c r="B911" s="8">
        <f>IF(ISNA(MATCH(898,Engine!$C$2:$C$1369,0)),"",INDEX('Compliance Database'!$B$2:$B$1369,MATCH(898,Engine!$C$2:$C$1369,0)))</f>
        <v/>
      </c>
      <c r="C911" s="8">
        <f>IF(ISNA(MATCH(898,Engine!$C$2:$C$1369,0)),"",INDEX('Compliance Database'!$C$2:$C$1369,MATCH(898,Engine!$C$2:$C$1369,0)))</f>
        <v/>
      </c>
      <c r="D911" s="9">
        <f>IF(ISNA(MATCH(898,Engine!$C$2:$C$1369,0)),"",INDEX('Compliance Database'!$D$2:$D$1369,MATCH(898,Engine!$C$2:$C$1369,0)))</f>
        <v/>
      </c>
      <c r="E911" s="8">
        <f>IF(ISNA(MATCH(898,Engine!$C$2:$C$1369,0)),"",INDEX('Compliance Database'!$E$2:$E$1369,MATCH(898,Engine!$C$2:$C$1369,0)))</f>
        <v/>
      </c>
      <c r="F911" s="8">
        <f>IF(ISNA(MATCH(898,Engine!$C$2:$C$1369,0)),"",INDEX('Compliance Database'!$F$2:$F$1369,MATCH(898,Engine!$C$2:$C$1369,0)))</f>
        <v/>
      </c>
      <c r="G911" s="8">
        <f>IF(ISNA(MATCH(898,Engine!$C$2:$C$1369,0)),"",INDEX('Compliance Database'!$G$2:$G$1369,MATCH(898,Engine!$C$2:$C$1369,0)))</f>
        <v/>
      </c>
      <c r="H911" s="9">
        <f>IF(ISNA(MATCH(898,Engine!$C$2:$C$1369,0)),"",INDEX('Compliance Database'!$H$2:$H$1369,MATCH(898,Engine!$C$2:$C$1369,0)))</f>
        <v/>
      </c>
      <c r="I911" s="9">
        <f>IF(ISNA(MATCH(898,Engine!$C$2:$C$1369,0)),"",INDEX('Compliance Database'!$I$2:$I$1369,MATCH(898,Engine!$C$2:$C$1369,0)))</f>
        <v/>
      </c>
      <c r="J911" s="8">
        <f>IF(ISNA(MATCH(898,Engine!$C$2:$C$1369,0)),"",INDEX('Compliance Database'!$J$2:$J$1369,MATCH(898,Engine!$C$2:$C$1369,0)))</f>
        <v/>
      </c>
      <c r="K911" s="9">
        <f>IF(ISNA(MATCH(898,Engine!$C$2:$C$1369,0)),"",INDEX('Compliance Database'!$K$2:$K$1369,MATCH(898,Engine!$C$2:$C$1369,0)))</f>
        <v/>
      </c>
      <c r="L911" s="9">
        <f>IF(ISNA(MATCH(898,Engine!$C$2:$C$1369,0)),"",INDEX('Compliance Database'!$L$2:$L$1369,MATCH(898,Engine!$C$2:$C$1369,0)))</f>
        <v/>
      </c>
      <c r="M911" s="9">
        <f>IF(ISNA(MATCH(898,Engine!$C$2:$C$1369,0)),"",INDEX('Compliance Database'!$M$2:$M$1369,MATCH(898,Engine!$C$2:$C$1369,0)))</f>
        <v/>
      </c>
      <c r="N911" s="9">
        <f>IF(ISNA(MATCH(898,Engine!$C$2:$C$1369,0)),"",INDEX('Compliance Database'!$N$2:$N$1369,MATCH(898,Engine!$C$2:$C$1369,0)))</f>
        <v/>
      </c>
      <c r="O911" s="8">
        <f>IF(ISNA(MATCH(898,Engine!$C$2:$C$1369,0)),"",HYPERLINK(INDEX('Compliance Database'!$O$2:$O$1369,MATCH(898,Engine!$C$2:$C$1369,0)),"Open PDF"))</f>
        <v/>
      </c>
    </row>
    <row r="912" ht="188" customHeight="1">
      <c r="A912" s="8">
        <f>IF(ISNA(MATCH(899,Engine!$C$2:$C$1369,0)),"",INDEX('Compliance Database'!$A$2:$A$1369,MATCH(899,Engine!$C$2:$C$1369,0)))</f>
        <v/>
      </c>
      <c r="B912" s="8">
        <f>IF(ISNA(MATCH(899,Engine!$C$2:$C$1369,0)),"",INDEX('Compliance Database'!$B$2:$B$1369,MATCH(899,Engine!$C$2:$C$1369,0)))</f>
        <v/>
      </c>
      <c r="C912" s="8">
        <f>IF(ISNA(MATCH(899,Engine!$C$2:$C$1369,0)),"",INDEX('Compliance Database'!$C$2:$C$1369,MATCH(899,Engine!$C$2:$C$1369,0)))</f>
        <v/>
      </c>
      <c r="D912" s="9">
        <f>IF(ISNA(MATCH(899,Engine!$C$2:$C$1369,0)),"",INDEX('Compliance Database'!$D$2:$D$1369,MATCH(899,Engine!$C$2:$C$1369,0)))</f>
        <v/>
      </c>
      <c r="E912" s="8">
        <f>IF(ISNA(MATCH(899,Engine!$C$2:$C$1369,0)),"",INDEX('Compliance Database'!$E$2:$E$1369,MATCH(899,Engine!$C$2:$C$1369,0)))</f>
        <v/>
      </c>
      <c r="F912" s="8">
        <f>IF(ISNA(MATCH(899,Engine!$C$2:$C$1369,0)),"",INDEX('Compliance Database'!$F$2:$F$1369,MATCH(899,Engine!$C$2:$C$1369,0)))</f>
        <v/>
      </c>
      <c r="G912" s="8">
        <f>IF(ISNA(MATCH(899,Engine!$C$2:$C$1369,0)),"",INDEX('Compliance Database'!$G$2:$G$1369,MATCH(899,Engine!$C$2:$C$1369,0)))</f>
        <v/>
      </c>
      <c r="H912" s="9">
        <f>IF(ISNA(MATCH(899,Engine!$C$2:$C$1369,0)),"",INDEX('Compliance Database'!$H$2:$H$1369,MATCH(899,Engine!$C$2:$C$1369,0)))</f>
        <v/>
      </c>
      <c r="I912" s="9">
        <f>IF(ISNA(MATCH(899,Engine!$C$2:$C$1369,0)),"",INDEX('Compliance Database'!$I$2:$I$1369,MATCH(899,Engine!$C$2:$C$1369,0)))</f>
        <v/>
      </c>
      <c r="J912" s="8">
        <f>IF(ISNA(MATCH(899,Engine!$C$2:$C$1369,0)),"",INDEX('Compliance Database'!$J$2:$J$1369,MATCH(899,Engine!$C$2:$C$1369,0)))</f>
        <v/>
      </c>
      <c r="K912" s="9">
        <f>IF(ISNA(MATCH(899,Engine!$C$2:$C$1369,0)),"",INDEX('Compliance Database'!$K$2:$K$1369,MATCH(899,Engine!$C$2:$C$1369,0)))</f>
        <v/>
      </c>
      <c r="L912" s="9">
        <f>IF(ISNA(MATCH(899,Engine!$C$2:$C$1369,0)),"",INDEX('Compliance Database'!$L$2:$L$1369,MATCH(899,Engine!$C$2:$C$1369,0)))</f>
        <v/>
      </c>
      <c r="M912" s="9">
        <f>IF(ISNA(MATCH(899,Engine!$C$2:$C$1369,0)),"",INDEX('Compliance Database'!$M$2:$M$1369,MATCH(899,Engine!$C$2:$C$1369,0)))</f>
        <v/>
      </c>
      <c r="N912" s="9">
        <f>IF(ISNA(MATCH(899,Engine!$C$2:$C$1369,0)),"",INDEX('Compliance Database'!$N$2:$N$1369,MATCH(899,Engine!$C$2:$C$1369,0)))</f>
        <v/>
      </c>
      <c r="O912" s="8">
        <f>IF(ISNA(MATCH(899,Engine!$C$2:$C$1369,0)),"",HYPERLINK(INDEX('Compliance Database'!$O$2:$O$1369,MATCH(899,Engine!$C$2:$C$1369,0)),"Open PDF"))</f>
        <v/>
      </c>
    </row>
    <row r="913" ht="188" customHeight="1">
      <c r="A913" s="8">
        <f>IF(ISNA(MATCH(900,Engine!$C$2:$C$1369,0)),"",INDEX('Compliance Database'!$A$2:$A$1369,MATCH(900,Engine!$C$2:$C$1369,0)))</f>
        <v/>
      </c>
      <c r="B913" s="8">
        <f>IF(ISNA(MATCH(900,Engine!$C$2:$C$1369,0)),"",INDEX('Compliance Database'!$B$2:$B$1369,MATCH(900,Engine!$C$2:$C$1369,0)))</f>
        <v/>
      </c>
      <c r="C913" s="8">
        <f>IF(ISNA(MATCH(900,Engine!$C$2:$C$1369,0)),"",INDEX('Compliance Database'!$C$2:$C$1369,MATCH(900,Engine!$C$2:$C$1369,0)))</f>
        <v/>
      </c>
      <c r="D913" s="9">
        <f>IF(ISNA(MATCH(900,Engine!$C$2:$C$1369,0)),"",INDEX('Compliance Database'!$D$2:$D$1369,MATCH(900,Engine!$C$2:$C$1369,0)))</f>
        <v/>
      </c>
      <c r="E913" s="8">
        <f>IF(ISNA(MATCH(900,Engine!$C$2:$C$1369,0)),"",INDEX('Compliance Database'!$E$2:$E$1369,MATCH(900,Engine!$C$2:$C$1369,0)))</f>
        <v/>
      </c>
      <c r="F913" s="8">
        <f>IF(ISNA(MATCH(900,Engine!$C$2:$C$1369,0)),"",INDEX('Compliance Database'!$F$2:$F$1369,MATCH(900,Engine!$C$2:$C$1369,0)))</f>
        <v/>
      </c>
      <c r="G913" s="8">
        <f>IF(ISNA(MATCH(900,Engine!$C$2:$C$1369,0)),"",INDEX('Compliance Database'!$G$2:$G$1369,MATCH(900,Engine!$C$2:$C$1369,0)))</f>
        <v/>
      </c>
      <c r="H913" s="9">
        <f>IF(ISNA(MATCH(900,Engine!$C$2:$C$1369,0)),"",INDEX('Compliance Database'!$H$2:$H$1369,MATCH(900,Engine!$C$2:$C$1369,0)))</f>
        <v/>
      </c>
      <c r="I913" s="9">
        <f>IF(ISNA(MATCH(900,Engine!$C$2:$C$1369,0)),"",INDEX('Compliance Database'!$I$2:$I$1369,MATCH(900,Engine!$C$2:$C$1369,0)))</f>
        <v/>
      </c>
      <c r="J913" s="8">
        <f>IF(ISNA(MATCH(900,Engine!$C$2:$C$1369,0)),"",INDEX('Compliance Database'!$J$2:$J$1369,MATCH(900,Engine!$C$2:$C$1369,0)))</f>
        <v/>
      </c>
      <c r="K913" s="9">
        <f>IF(ISNA(MATCH(900,Engine!$C$2:$C$1369,0)),"",INDEX('Compliance Database'!$K$2:$K$1369,MATCH(900,Engine!$C$2:$C$1369,0)))</f>
        <v/>
      </c>
      <c r="L913" s="9">
        <f>IF(ISNA(MATCH(900,Engine!$C$2:$C$1369,0)),"",INDEX('Compliance Database'!$L$2:$L$1369,MATCH(900,Engine!$C$2:$C$1369,0)))</f>
        <v/>
      </c>
      <c r="M913" s="9">
        <f>IF(ISNA(MATCH(900,Engine!$C$2:$C$1369,0)),"",INDEX('Compliance Database'!$M$2:$M$1369,MATCH(900,Engine!$C$2:$C$1369,0)))</f>
        <v/>
      </c>
      <c r="N913" s="9">
        <f>IF(ISNA(MATCH(900,Engine!$C$2:$C$1369,0)),"",INDEX('Compliance Database'!$N$2:$N$1369,MATCH(900,Engine!$C$2:$C$1369,0)))</f>
        <v/>
      </c>
      <c r="O913" s="8">
        <f>IF(ISNA(MATCH(900,Engine!$C$2:$C$1369,0)),"",HYPERLINK(INDEX('Compliance Database'!$O$2:$O$1369,MATCH(900,Engine!$C$2:$C$1369,0)),"Open PDF"))</f>
        <v/>
      </c>
    </row>
    <row r="914" ht="188" customHeight="1">
      <c r="A914" s="8">
        <f>IF(ISNA(MATCH(901,Engine!$C$2:$C$1369,0)),"",INDEX('Compliance Database'!$A$2:$A$1369,MATCH(901,Engine!$C$2:$C$1369,0)))</f>
        <v/>
      </c>
      <c r="B914" s="8">
        <f>IF(ISNA(MATCH(901,Engine!$C$2:$C$1369,0)),"",INDEX('Compliance Database'!$B$2:$B$1369,MATCH(901,Engine!$C$2:$C$1369,0)))</f>
        <v/>
      </c>
      <c r="C914" s="8">
        <f>IF(ISNA(MATCH(901,Engine!$C$2:$C$1369,0)),"",INDEX('Compliance Database'!$C$2:$C$1369,MATCH(901,Engine!$C$2:$C$1369,0)))</f>
        <v/>
      </c>
      <c r="D914" s="9">
        <f>IF(ISNA(MATCH(901,Engine!$C$2:$C$1369,0)),"",INDEX('Compliance Database'!$D$2:$D$1369,MATCH(901,Engine!$C$2:$C$1369,0)))</f>
        <v/>
      </c>
      <c r="E914" s="8">
        <f>IF(ISNA(MATCH(901,Engine!$C$2:$C$1369,0)),"",INDEX('Compliance Database'!$E$2:$E$1369,MATCH(901,Engine!$C$2:$C$1369,0)))</f>
        <v/>
      </c>
      <c r="F914" s="8">
        <f>IF(ISNA(MATCH(901,Engine!$C$2:$C$1369,0)),"",INDEX('Compliance Database'!$F$2:$F$1369,MATCH(901,Engine!$C$2:$C$1369,0)))</f>
        <v/>
      </c>
      <c r="G914" s="8">
        <f>IF(ISNA(MATCH(901,Engine!$C$2:$C$1369,0)),"",INDEX('Compliance Database'!$G$2:$G$1369,MATCH(901,Engine!$C$2:$C$1369,0)))</f>
        <v/>
      </c>
      <c r="H914" s="9">
        <f>IF(ISNA(MATCH(901,Engine!$C$2:$C$1369,0)),"",INDEX('Compliance Database'!$H$2:$H$1369,MATCH(901,Engine!$C$2:$C$1369,0)))</f>
        <v/>
      </c>
      <c r="I914" s="9">
        <f>IF(ISNA(MATCH(901,Engine!$C$2:$C$1369,0)),"",INDEX('Compliance Database'!$I$2:$I$1369,MATCH(901,Engine!$C$2:$C$1369,0)))</f>
        <v/>
      </c>
      <c r="J914" s="8">
        <f>IF(ISNA(MATCH(901,Engine!$C$2:$C$1369,0)),"",INDEX('Compliance Database'!$J$2:$J$1369,MATCH(901,Engine!$C$2:$C$1369,0)))</f>
        <v/>
      </c>
      <c r="K914" s="9">
        <f>IF(ISNA(MATCH(901,Engine!$C$2:$C$1369,0)),"",INDEX('Compliance Database'!$K$2:$K$1369,MATCH(901,Engine!$C$2:$C$1369,0)))</f>
        <v/>
      </c>
      <c r="L914" s="9">
        <f>IF(ISNA(MATCH(901,Engine!$C$2:$C$1369,0)),"",INDEX('Compliance Database'!$L$2:$L$1369,MATCH(901,Engine!$C$2:$C$1369,0)))</f>
        <v/>
      </c>
      <c r="M914" s="9">
        <f>IF(ISNA(MATCH(901,Engine!$C$2:$C$1369,0)),"",INDEX('Compliance Database'!$M$2:$M$1369,MATCH(901,Engine!$C$2:$C$1369,0)))</f>
        <v/>
      </c>
      <c r="N914" s="9">
        <f>IF(ISNA(MATCH(901,Engine!$C$2:$C$1369,0)),"",INDEX('Compliance Database'!$N$2:$N$1369,MATCH(901,Engine!$C$2:$C$1369,0)))</f>
        <v/>
      </c>
      <c r="O914" s="8">
        <f>IF(ISNA(MATCH(901,Engine!$C$2:$C$1369,0)),"",HYPERLINK(INDEX('Compliance Database'!$O$2:$O$1369,MATCH(901,Engine!$C$2:$C$1369,0)),"Open PDF"))</f>
        <v/>
      </c>
    </row>
    <row r="915" ht="188" customHeight="1">
      <c r="A915" s="8">
        <f>IF(ISNA(MATCH(902,Engine!$C$2:$C$1369,0)),"",INDEX('Compliance Database'!$A$2:$A$1369,MATCH(902,Engine!$C$2:$C$1369,0)))</f>
        <v/>
      </c>
      <c r="B915" s="8">
        <f>IF(ISNA(MATCH(902,Engine!$C$2:$C$1369,0)),"",INDEX('Compliance Database'!$B$2:$B$1369,MATCH(902,Engine!$C$2:$C$1369,0)))</f>
        <v/>
      </c>
      <c r="C915" s="8">
        <f>IF(ISNA(MATCH(902,Engine!$C$2:$C$1369,0)),"",INDEX('Compliance Database'!$C$2:$C$1369,MATCH(902,Engine!$C$2:$C$1369,0)))</f>
        <v/>
      </c>
      <c r="D915" s="9">
        <f>IF(ISNA(MATCH(902,Engine!$C$2:$C$1369,0)),"",INDEX('Compliance Database'!$D$2:$D$1369,MATCH(902,Engine!$C$2:$C$1369,0)))</f>
        <v/>
      </c>
      <c r="E915" s="8">
        <f>IF(ISNA(MATCH(902,Engine!$C$2:$C$1369,0)),"",INDEX('Compliance Database'!$E$2:$E$1369,MATCH(902,Engine!$C$2:$C$1369,0)))</f>
        <v/>
      </c>
      <c r="F915" s="8">
        <f>IF(ISNA(MATCH(902,Engine!$C$2:$C$1369,0)),"",INDEX('Compliance Database'!$F$2:$F$1369,MATCH(902,Engine!$C$2:$C$1369,0)))</f>
        <v/>
      </c>
      <c r="G915" s="8">
        <f>IF(ISNA(MATCH(902,Engine!$C$2:$C$1369,0)),"",INDEX('Compliance Database'!$G$2:$G$1369,MATCH(902,Engine!$C$2:$C$1369,0)))</f>
        <v/>
      </c>
      <c r="H915" s="9">
        <f>IF(ISNA(MATCH(902,Engine!$C$2:$C$1369,0)),"",INDEX('Compliance Database'!$H$2:$H$1369,MATCH(902,Engine!$C$2:$C$1369,0)))</f>
        <v/>
      </c>
      <c r="I915" s="9">
        <f>IF(ISNA(MATCH(902,Engine!$C$2:$C$1369,0)),"",INDEX('Compliance Database'!$I$2:$I$1369,MATCH(902,Engine!$C$2:$C$1369,0)))</f>
        <v/>
      </c>
      <c r="J915" s="8">
        <f>IF(ISNA(MATCH(902,Engine!$C$2:$C$1369,0)),"",INDEX('Compliance Database'!$J$2:$J$1369,MATCH(902,Engine!$C$2:$C$1369,0)))</f>
        <v/>
      </c>
      <c r="K915" s="9">
        <f>IF(ISNA(MATCH(902,Engine!$C$2:$C$1369,0)),"",INDEX('Compliance Database'!$K$2:$K$1369,MATCH(902,Engine!$C$2:$C$1369,0)))</f>
        <v/>
      </c>
      <c r="L915" s="9">
        <f>IF(ISNA(MATCH(902,Engine!$C$2:$C$1369,0)),"",INDEX('Compliance Database'!$L$2:$L$1369,MATCH(902,Engine!$C$2:$C$1369,0)))</f>
        <v/>
      </c>
      <c r="M915" s="9">
        <f>IF(ISNA(MATCH(902,Engine!$C$2:$C$1369,0)),"",INDEX('Compliance Database'!$M$2:$M$1369,MATCH(902,Engine!$C$2:$C$1369,0)))</f>
        <v/>
      </c>
      <c r="N915" s="9">
        <f>IF(ISNA(MATCH(902,Engine!$C$2:$C$1369,0)),"",INDEX('Compliance Database'!$N$2:$N$1369,MATCH(902,Engine!$C$2:$C$1369,0)))</f>
        <v/>
      </c>
      <c r="O915" s="8">
        <f>IF(ISNA(MATCH(902,Engine!$C$2:$C$1369,0)),"",HYPERLINK(INDEX('Compliance Database'!$O$2:$O$1369,MATCH(902,Engine!$C$2:$C$1369,0)),"Open PDF"))</f>
        <v/>
      </c>
    </row>
    <row r="916" ht="188" customHeight="1">
      <c r="A916" s="8">
        <f>IF(ISNA(MATCH(903,Engine!$C$2:$C$1369,0)),"",INDEX('Compliance Database'!$A$2:$A$1369,MATCH(903,Engine!$C$2:$C$1369,0)))</f>
        <v/>
      </c>
      <c r="B916" s="8">
        <f>IF(ISNA(MATCH(903,Engine!$C$2:$C$1369,0)),"",INDEX('Compliance Database'!$B$2:$B$1369,MATCH(903,Engine!$C$2:$C$1369,0)))</f>
        <v/>
      </c>
      <c r="C916" s="8">
        <f>IF(ISNA(MATCH(903,Engine!$C$2:$C$1369,0)),"",INDEX('Compliance Database'!$C$2:$C$1369,MATCH(903,Engine!$C$2:$C$1369,0)))</f>
        <v/>
      </c>
      <c r="D916" s="9">
        <f>IF(ISNA(MATCH(903,Engine!$C$2:$C$1369,0)),"",INDEX('Compliance Database'!$D$2:$D$1369,MATCH(903,Engine!$C$2:$C$1369,0)))</f>
        <v/>
      </c>
      <c r="E916" s="8">
        <f>IF(ISNA(MATCH(903,Engine!$C$2:$C$1369,0)),"",INDEX('Compliance Database'!$E$2:$E$1369,MATCH(903,Engine!$C$2:$C$1369,0)))</f>
        <v/>
      </c>
      <c r="F916" s="8">
        <f>IF(ISNA(MATCH(903,Engine!$C$2:$C$1369,0)),"",INDEX('Compliance Database'!$F$2:$F$1369,MATCH(903,Engine!$C$2:$C$1369,0)))</f>
        <v/>
      </c>
      <c r="G916" s="8">
        <f>IF(ISNA(MATCH(903,Engine!$C$2:$C$1369,0)),"",INDEX('Compliance Database'!$G$2:$G$1369,MATCH(903,Engine!$C$2:$C$1369,0)))</f>
        <v/>
      </c>
      <c r="H916" s="9">
        <f>IF(ISNA(MATCH(903,Engine!$C$2:$C$1369,0)),"",INDEX('Compliance Database'!$H$2:$H$1369,MATCH(903,Engine!$C$2:$C$1369,0)))</f>
        <v/>
      </c>
      <c r="I916" s="9">
        <f>IF(ISNA(MATCH(903,Engine!$C$2:$C$1369,0)),"",INDEX('Compliance Database'!$I$2:$I$1369,MATCH(903,Engine!$C$2:$C$1369,0)))</f>
        <v/>
      </c>
      <c r="J916" s="8">
        <f>IF(ISNA(MATCH(903,Engine!$C$2:$C$1369,0)),"",INDEX('Compliance Database'!$J$2:$J$1369,MATCH(903,Engine!$C$2:$C$1369,0)))</f>
        <v/>
      </c>
      <c r="K916" s="9">
        <f>IF(ISNA(MATCH(903,Engine!$C$2:$C$1369,0)),"",INDEX('Compliance Database'!$K$2:$K$1369,MATCH(903,Engine!$C$2:$C$1369,0)))</f>
        <v/>
      </c>
      <c r="L916" s="9">
        <f>IF(ISNA(MATCH(903,Engine!$C$2:$C$1369,0)),"",INDEX('Compliance Database'!$L$2:$L$1369,MATCH(903,Engine!$C$2:$C$1369,0)))</f>
        <v/>
      </c>
      <c r="M916" s="9">
        <f>IF(ISNA(MATCH(903,Engine!$C$2:$C$1369,0)),"",INDEX('Compliance Database'!$M$2:$M$1369,MATCH(903,Engine!$C$2:$C$1369,0)))</f>
        <v/>
      </c>
      <c r="N916" s="9">
        <f>IF(ISNA(MATCH(903,Engine!$C$2:$C$1369,0)),"",INDEX('Compliance Database'!$N$2:$N$1369,MATCH(903,Engine!$C$2:$C$1369,0)))</f>
        <v/>
      </c>
      <c r="O916" s="8">
        <f>IF(ISNA(MATCH(903,Engine!$C$2:$C$1369,0)),"",HYPERLINK(INDEX('Compliance Database'!$O$2:$O$1369,MATCH(903,Engine!$C$2:$C$1369,0)),"Open PDF"))</f>
        <v/>
      </c>
    </row>
    <row r="917" ht="188" customHeight="1">
      <c r="A917" s="8">
        <f>IF(ISNA(MATCH(904,Engine!$C$2:$C$1369,0)),"",INDEX('Compliance Database'!$A$2:$A$1369,MATCH(904,Engine!$C$2:$C$1369,0)))</f>
        <v/>
      </c>
      <c r="B917" s="8">
        <f>IF(ISNA(MATCH(904,Engine!$C$2:$C$1369,0)),"",INDEX('Compliance Database'!$B$2:$B$1369,MATCH(904,Engine!$C$2:$C$1369,0)))</f>
        <v/>
      </c>
      <c r="C917" s="8">
        <f>IF(ISNA(MATCH(904,Engine!$C$2:$C$1369,0)),"",INDEX('Compliance Database'!$C$2:$C$1369,MATCH(904,Engine!$C$2:$C$1369,0)))</f>
        <v/>
      </c>
      <c r="D917" s="9">
        <f>IF(ISNA(MATCH(904,Engine!$C$2:$C$1369,0)),"",INDEX('Compliance Database'!$D$2:$D$1369,MATCH(904,Engine!$C$2:$C$1369,0)))</f>
        <v/>
      </c>
      <c r="E917" s="8">
        <f>IF(ISNA(MATCH(904,Engine!$C$2:$C$1369,0)),"",INDEX('Compliance Database'!$E$2:$E$1369,MATCH(904,Engine!$C$2:$C$1369,0)))</f>
        <v/>
      </c>
      <c r="F917" s="8">
        <f>IF(ISNA(MATCH(904,Engine!$C$2:$C$1369,0)),"",INDEX('Compliance Database'!$F$2:$F$1369,MATCH(904,Engine!$C$2:$C$1369,0)))</f>
        <v/>
      </c>
      <c r="G917" s="8">
        <f>IF(ISNA(MATCH(904,Engine!$C$2:$C$1369,0)),"",INDEX('Compliance Database'!$G$2:$G$1369,MATCH(904,Engine!$C$2:$C$1369,0)))</f>
        <v/>
      </c>
      <c r="H917" s="9">
        <f>IF(ISNA(MATCH(904,Engine!$C$2:$C$1369,0)),"",INDEX('Compliance Database'!$H$2:$H$1369,MATCH(904,Engine!$C$2:$C$1369,0)))</f>
        <v/>
      </c>
      <c r="I917" s="9">
        <f>IF(ISNA(MATCH(904,Engine!$C$2:$C$1369,0)),"",INDEX('Compliance Database'!$I$2:$I$1369,MATCH(904,Engine!$C$2:$C$1369,0)))</f>
        <v/>
      </c>
      <c r="J917" s="8">
        <f>IF(ISNA(MATCH(904,Engine!$C$2:$C$1369,0)),"",INDEX('Compliance Database'!$J$2:$J$1369,MATCH(904,Engine!$C$2:$C$1369,0)))</f>
        <v/>
      </c>
      <c r="K917" s="9">
        <f>IF(ISNA(MATCH(904,Engine!$C$2:$C$1369,0)),"",INDEX('Compliance Database'!$K$2:$K$1369,MATCH(904,Engine!$C$2:$C$1369,0)))</f>
        <v/>
      </c>
      <c r="L917" s="9">
        <f>IF(ISNA(MATCH(904,Engine!$C$2:$C$1369,0)),"",INDEX('Compliance Database'!$L$2:$L$1369,MATCH(904,Engine!$C$2:$C$1369,0)))</f>
        <v/>
      </c>
      <c r="M917" s="9">
        <f>IF(ISNA(MATCH(904,Engine!$C$2:$C$1369,0)),"",INDEX('Compliance Database'!$M$2:$M$1369,MATCH(904,Engine!$C$2:$C$1369,0)))</f>
        <v/>
      </c>
      <c r="N917" s="9">
        <f>IF(ISNA(MATCH(904,Engine!$C$2:$C$1369,0)),"",INDEX('Compliance Database'!$N$2:$N$1369,MATCH(904,Engine!$C$2:$C$1369,0)))</f>
        <v/>
      </c>
      <c r="O917" s="8">
        <f>IF(ISNA(MATCH(904,Engine!$C$2:$C$1369,0)),"",HYPERLINK(INDEX('Compliance Database'!$O$2:$O$1369,MATCH(904,Engine!$C$2:$C$1369,0)),"Open PDF"))</f>
        <v/>
      </c>
    </row>
    <row r="918" ht="188" customHeight="1">
      <c r="A918" s="8">
        <f>IF(ISNA(MATCH(905,Engine!$C$2:$C$1369,0)),"",INDEX('Compliance Database'!$A$2:$A$1369,MATCH(905,Engine!$C$2:$C$1369,0)))</f>
        <v/>
      </c>
      <c r="B918" s="8">
        <f>IF(ISNA(MATCH(905,Engine!$C$2:$C$1369,0)),"",INDEX('Compliance Database'!$B$2:$B$1369,MATCH(905,Engine!$C$2:$C$1369,0)))</f>
        <v/>
      </c>
      <c r="C918" s="8">
        <f>IF(ISNA(MATCH(905,Engine!$C$2:$C$1369,0)),"",INDEX('Compliance Database'!$C$2:$C$1369,MATCH(905,Engine!$C$2:$C$1369,0)))</f>
        <v/>
      </c>
      <c r="D918" s="9">
        <f>IF(ISNA(MATCH(905,Engine!$C$2:$C$1369,0)),"",INDEX('Compliance Database'!$D$2:$D$1369,MATCH(905,Engine!$C$2:$C$1369,0)))</f>
        <v/>
      </c>
      <c r="E918" s="8">
        <f>IF(ISNA(MATCH(905,Engine!$C$2:$C$1369,0)),"",INDEX('Compliance Database'!$E$2:$E$1369,MATCH(905,Engine!$C$2:$C$1369,0)))</f>
        <v/>
      </c>
      <c r="F918" s="8">
        <f>IF(ISNA(MATCH(905,Engine!$C$2:$C$1369,0)),"",INDEX('Compliance Database'!$F$2:$F$1369,MATCH(905,Engine!$C$2:$C$1369,0)))</f>
        <v/>
      </c>
      <c r="G918" s="8">
        <f>IF(ISNA(MATCH(905,Engine!$C$2:$C$1369,0)),"",INDEX('Compliance Database'!$G$2:$G$1369,MATCH(905,Engine!$C$2:$C$1369,0)))</f>
        <v/>
      </c>
      <c r="H918" s="9">
        <f>IF(ISNA(MATCH(905,Engine!$C$2:$C$1369,0)),"",INDEX('Compliance Database'!$H$2:$H$1369,MATCH(905,Engine!$C$2:$C$1369,0)))</f>
        <v/>
      </c>
      <c r="I918" s="9">
        <f>IF(ISNA(MATCH(905,Engine!$C$2:$C$1369,0)),"",INDEX('Compliance Database'!$I$2:$I$1369,MATCH(905,Engine!$C$2:$C$1369,0)))</f>
        <v/>
      </c>
      <c r="J918" s="8">
        <f>IF(ISNA(MATCH(905,Engine!$C$2:$C$1369,0)),"",INDEX('Compliance Database'!$J$2:$J$1369,MATCH(905,Engine!$C$2:$C$1369,0)))</f>
        <v/>
      </c>
      <c r="K918" s="9">
        <f>IF(ISNA(MATCH(905,Engine!$C$2:$C$1369,0)),"",INDEX('Compliance Database'!$K$2:$K$1369,MATCH(905,Engine!$C$2:$C$1369,0)))</f>
        <v/>
      </c>
      <c r="L918" s="9">
        <f>IF(ISNA(MATCH(905,Engine!$C$2:$C$1369,0)),"",INDEX('Compliance Database'!$L$2:$L$1369,MATCH(905,Engine!$C$2:$C$1369,0)))</f>
        <v/>
      </c>
      <c r="M918" s="9">
        <f>IF(ISNA(MATCH(905,Engine!$C$2:$C$1369,0)),"",INDEX('Compliance Database'!$M$2:$M$1369,MATCH(905,Engine!$C$2:$C$1369,0)))</f>
        <v/>
      </c>
      <c r="N918" s="9">
        <f>IF(ISNA(MATCH(905,Engine!$C$2:$C$1369,0)),"",INDEX('Compliance Database'!$N$2:$N$1369,MATCH(905,Engine!$C$2:$C$1369,0)))</f>
        <v/>
      </c>
      <c r="O918" s="8">
        <f>IF(ISNA(MATCH(905,Engine!$C$2:$C$1369,0)),"",HYPERLINK(INDEX('Compliance Database'!$O$2:$O$1369,MATCH(905,Engine!$C$2:$C$1369,0)),"Open PDF"))</f>
        <v/>
      </c>
    </row>
    <row r="919" ht="188" customHeight="1">
      <c r="A919" s="8">
        <f>IF(ISNA(MATCH(906,Engine!$C$2:$C$1369,0)),"",INDEX('Compliance Database'!$A$2:$A$1369,MATCH(906,Engine!$C$2:$C$1369,0)))</f>
        <v/>
      </c>
      <c r="B919" s="8">
        <f>IF(ISNA(MATCH(906,Engine!$C$2:$C$1369,0)),"",INDEX('Compliance Database'!$B$2:$B$1369,MATCH(906,Engine!$C$2:$C$1369,0)))</f>
        <v/>
      </c>
      <c r="C919" s="8">
        <f>IF(ISNA(MATCH(906,Engine!$C$2:$C$1369,0)),"",INDEX('Compliance Database'!$C$2:$C$1369,MATCH(906,Engine!$C$2:$C$1369,0)))</f>
        <v/>
      </c>
      <c r="D919" s="9">
        <f>IF(ISNA(MATCH(906,Engine!$C$2:$C$1369,0)),"",INDEX('Compliance Database'!$D$2:$D$1369,MATCH(906,Engine!$C$2:$C$1369,0)))</f>
        <v/>
      </c>
      <c r="E919" s="8">
        <f>IF(ISNA(MATCH(906,Engine!$C$2:$C$1369,0)),"",INDEX('Compliance Database'!$E$2:$E$1369,MATCH(906,Engine!$C$2:$C$1369,0)))</f>
        <v/>
      </c>
      <c r="F919" s="8">
        <f>IF(ISNA(MATCH(906,Engine!$C$2:$C$1369,0)),"",INDEX('Compliance Database'!$F$2:$F$1369,MATCH(906,Engine!$C$2:$C$1369,0)))</f>
        <v/>
      </c>
      <c r="G919" s="8">
        <f>IF(ISNA(MATCH(906,Engine!$C$2:$C$1369,0)),"",INDEX('Compliance Database'!$G$2:$G$1369,MATCH(906,Engine!$C$2:$C$1369,0)))</f>
        <v/>
      </c>
      <c r="H919" s="9">
        <f>IF(ISNA(MATCH(906,Engine!$C$2:$C$1369,0)),"",INDEX('Compliance Database'!$H$2:$H$1369,MATCH(906,Engine!$C$2:$C$1369,0)))</f>
        <v/>
      </c>
      <c r="I919" s="9">
        <f>IF(ISNA(MATCH(906,Engine!$C$2:$C$1369,0)),"",INDEX('Compliance Database'!$I$2:$I$1369,MATCH(906,Engine!$C$2:$C$1369,0)))</f>
        <v/>
      </c>
      <c r="J919" s="8">
        <f>IF(ISNA(MATCH(906,Engine!$C$2:$C$1369,0)),"",INDEX('Compliance Database'!$J$2:$J$1369,MATCH(906,Engine!$C$2:$C$1369,0)))</f>
        <v/>
      </c>
      <c r="K919" s="9">
        <f>IF(ISNA(MATCH(906,Engine!$C$2:$C$1369,0)),"",INDEX('Compliance Database'!$K$2:$K$1369,MATCH(906,Engine!$C$2:$C$1369,0)))</f>
        <v/>
      </c>
      <c r="L919" s="9">
        <f>IF(ISNA(MATCH(906,Engine!$C$2:$C$1369,0)),"",INDEX('Compliance Database'!$L$2:$L$1369,MATCH(906,Engine!$C$2:$C$1369,0)))</f>
        <v/>
      </c>
      <c r="M919" s="9">
        <f>IF(ISNA(MATCH(906,Engine!$C$2:$C$1369,0)),"",INDEX('Compliance Database'!$M$2:$M$1369,MATCH(906,Engine!$C$2:$C$1369,0)))</f>
        <v/>
      </c>
      <c r="N919" s="9">
        <f>IF(ISNA(MATCH(906,Engine!$C$2:$C$1369,0)),"",INDEX('Compliance Database'!$N$2:$N$1369,MATCH(906,Engine!$C$2:$C$1369,0)))</f>
        <v/>
      </c>
      <c r="O919" s="8">
        <f>IF(ISNA(MATCH(906,Engine!$C$2:$C$1369,0)),"",HYPERLINK(INDEX('Compliance Database'!$O$2:$O$1369,MATCH(906,Engine!$C$2:$C$1369,0)),"Open PDF"))</f>
        <v/>
      </c>
    </row>
    <row r="920" ht="188" customHeight="1">
      <c r="A920" s="8">
        <f>IF(ISNA(MATCH(907,Engine!$C$2:$C$1369,0)),"",INDEX('Compliance Database'!$A$2:$A$1369,MATCH(907,Engine!$C$2:$C$1369,0)))</f>
        <v/>
      </c>
      <c r="B920" s="8">
        <f>IF(ISNA(MATCH(907,Engine!$C$2:$C$1369,0)),"",INDEX('Compliance Database'!$B$2:$B$1369,MATCH(907,Engine!$C$2:$C$1369,0)))</f>
        <v/>
      </c>
      <c r="C920" s="8">
        <f>IF(ISNA(MATCH(907,Engine!$C$2:$C$1369,0)),"",INDEX('Compliance Database'!$C$2:$C$1369,MATCH(907,Engine!$C$2:$C$1369,0)))</f>
        <v/>
      </c>
      <c r="D920" s="9">
        <f>IF(ISNA(MATCH(907,Engine!$C$2:$C$1369,0)),"",INDEX('Compliance Database'!$D$2:$D$1369,MATCH(907,Engine!$C$2:$C$1369,0)))</f>
        <v/>
      </c>
      <c r="E920" s="8">
        <f>IF(ISNA(MATCH(907,Engine!$C$2:$C$1369,0)),"",INDEX('Compliance Database'!$E$2:$E$1369,MATCH(907,Engine!$C$2:$C$1369,0)))</f>
        <v/>
      </c>
      <c r="F920" s="8">
        <f>IF(ISNA(MATCH(907,Engine!$C$2:$C$1369,0)),"",INDEX('Compliance Database'!$F$2:$F$1369,MATCH(907,Engine!$C$2:$C$1369,0)))</f>
        <v/>
      </c>
      <c r="G920" s="8">
        <f>IF(ISNA(MATCH(907,Engine!$C$2:$C$1369,0)),"",INDEX('Compliance Database'!$G$2:$G$1369,MATCH(907,Engine!$C$2:$C$1369,0)))</f>
        <v/>
      </c>
      <c r="H920" s="9">
        <f>IF(ISNA(MATCH(907,Engine!$C$2:$C$1369,0)),"",INDEX('Compliance Database'!$H$2:$H$1369,MATCH(907,Engine!$C$2:$C$1369,0)))</f>
        <v/>
      </c>
      <c r="I920" s="9">
        <f>IF(ISNA(MATCH(907,Engine!$C$2:$C$1369,0)),"",INDEX('Compliance Database'!$I$2:$I$1369,MATCH(907,Engine!$C$2:$C$1369,0)))</f>
        <v/>
      </c>
      <c r="J920" s="8">
        <f>IF(ISNA(MATCH(907,Engine!$C$2:$C$1369,0)),"",INDEX('Compliance Database'!$J$2:$J$1369,MATCH(907,Engine!$C$2:$C$1369,0)))</f>
        <v/>
      </c>
      <c r="K920" s="9">
        <f>IF(ISNA(MATCH(907,Engine!$C$2:$C$1369,0)),"",INDEX('Compliance Database'!$K$2:$K$1369,MATCH(907,Engine!$C$2:$C$1369,0)))</f>
        <v/>
      </c>
      <c r="L920" s="9">
        <f>IF(ISNA(MATCH(907,Engine!$C$2:$C$1369,0)),"",INDEX('Compliance Database'!$L$2:$L$1369,MATCH(907,Engine!$C$2:$C$1369,0)))</f>
        <v/>
      </c>
      <c r="M920" s="9">
        <f>IF(ISNA(MATCH(907,Engine!$C$2:$C$1369,0)),"",INDEX('Compliance Database'!$M$2:$M$1369,MATCH(907,Engine!$C$2:$C$1369,0)))</f>
        <v/>
      </c>
      <c r="N920" s="9">
        <f>IF(ISNA(MATCH(907,Engine!$C$2:$C$1369,0)),"",INDEX('Compliance Database'!$N$2:$N$1369,MATCH(907,Engine!$C$2:$C$1369,0)))</f>
        <v/>
      </c>
      <c r="O920" s="8">
        <f>IF(ISNA(MATCH(907,Engine!$C$2:$C$1369,0)),"",HYPERLINK(INDEX('Compliance Database'!$O$2:$O$1369,MATCH(907,Engine!$C$2:$C$1369,0)),"Open PDF"))</f>
        <v/>
      </c>
    </row>
    <row r="921" ht="188" customHeight="1">
      <c r="A921" s="8">
        <f>IF(ISNA(MATCH(908,Engine!$C$2:$C$1369,0)),"",INDEX('Compliance Database'!$A$2:$A$1369,MATCH(908,Engine!$C$2:$C$1369,0)))</f>
        <v/>
      </c>
      <c r="B921" s="8">
        <f>IF(ISNA(MATCH(908,Engine!$C$2:$C$1369,0)),"",INDEX('Compliance Database'!$B$2:$B$1369,MATCH(908,Engine!$C$2:$C$1369,0)))</f>
        <v/>
      </c>
      <c r="C921" s="8">
        <f>IF(ISNA(MATCH(908,Engine!$C$2:$C$1369,0)),"",INDEX('Compliance Database'!$C$2:$C$1369,MATCH(908,Engine!$C$2:$C$1369,0)))</f>
        <v/>
      </c>
      <c r="D921" s="9">
        <f>IF(ISNA(MATCH(908,Engine!$C$2:$C$1369,0)),"",INDEX('Compliance Database'!$D$2:$D$1369,MATCH(908,Engine!$C$2:$C$1369,0)))</f>
        <v/>
      </c>
      <c r="E921" s="8">
        <f>IF(ISNA(MATCH(908,Engine!$C$2:$C$1369,0)),"",INDEX('Compliance Database'!$E$2:$E$1369,MATCH(908,Engine!$C$2:$C$1369,0)))</f>
        <v/>
      </c>
      <c r="F921" s="8">
        <f>IF(ISNA(MATCH(908,Engine!$C$2:$C$1369,0)),"",INDEX('Compliance Database'!$F$2:$F$1369,MATCH(908,Engine!$C$2:$C$1369,0)))</f>
        <v/>
      </c>
      <c r="G921" s="8">
        <f>IF(ISNA(MATCH(908,Engine!$C$2:$C$1369,0)),"",INDEX('Compliance Database'!$G$2:$G$1369,MATCH(908,Engine!$C$2:$C$1369,0)))</f>
        <v/>
      </c>
      <c r="H921" s="9">
        <f>IF(ISNA(MATCH(908,Engine!$C$2:$C$1369,0)),"",INDEX('Compliance Database'!$H$2:$H$1369,MATCH(908,Engine!$C$2:$C$1369,0)))</f>
        <v/>
      </c>
      <c r="I921" s="9">
        <f>IF(ISNA(MATCH(908,Engine!$C$2:$C$1369,0)),"",INDEX('Compliance Database'!$I$2:$I$1369,MATCH(908,Engine!$C$2:$C$1369,0)))</f>
        <v/>
      </c>
      <c r="J921" s="8">
        <f>IF(ISNA(MATCH(908,Engine!$C$2:$C$1369,0)),"",INDEX('Compliance Database'!$J$2:$J$1369,MATCH(908,Engine!$C$2:$C$1369,0)))</f>
        <v/>
      </c>
      <c r="K921" s="9">
        <f>IF(ISNA(MATCH(908,Engine!$C$2:$C$1369,0)),"",INDEX('Compliance Database'!$K$2:$K$1369,MATCH(908,Engine!$C$2:$C$1369,0)))</f>
        <v/>
      </c>
      <c r="L921" s="9">
        <f>IF(ISNA(MATCH(908,Engine!$C$2:$C$1369,0)),"",INDEX('Compliance Database'!$L$2:$L$1369,MATCH(908,Engine!$C$2:$C$1369,0)))</f>
        <v/>
      </c>
      <c r="M921" s="9">
        <f>IF(ISNA(MATCH(908,Engine!$C$2:$C$1369,0)),"",INDEX('Compliance Database'!$M$2:$M$1369,MATCH(908,Engine!$C$2:$C$1369,0)))</f>
        <v/>
      </c>
      <c r="N921" s="9">
        <f>IF(ISNA(MATCH(908,Engine!$C$2:$C$1369,0)),"",INDEX('Compliance Database'!$N$2:$N$1369,MATCH(908,Engine!$C$2:$C$1369,0)))</f>
        <v/>
      </c>
      <c r="O921" s="8">
        <f>IF(ISNA(MATCH(908,Engine!$C$2:$C$1369,0)),"",HYPERLINK(INDEX('Compliance Database'!$O$2:$O$1369,MATCH(908,Engine!$C$2:$C$1369,0)),"Open PDF"))</f>
        <v/>
      </c>
    </row>
    <row r="922" ht="188" customHeight="1">
      <c r="A922" s="8">
        <f>IF(ISNA(MATCH(909,Engine!$C$2:$C$1369,0)),"",INDEX('Compliance Database'!$A$2:$A$1369,MATCH(909,Engine!$C$2:$C$1369,0)))</f>
        <v/>
      </c>
      <c r="B922" s="8">
        <f>IF(ISNA(MATCH(909,Engine!$C$2:$C$1369,0)),"",INDEX('Compliance Database'!$B$2:$B$1369,MATCH(909,Engine!$C$2:$C$1369,0)))</f>
        <v/>
      </c>
      <c r="C922" s="8">
        <f>IF(ISNA(MATCH(909,Engine!$C$2:$C$1369,0)),"",INDEX('Compliance Database'!$C$2:$C$1369,MATCH(909,Engine!$C$2:$C$1369,0)))</f>
        <v/>
      </c>
      <c r="D922" s="9">
        <f>IF(ISNA(MATCH(909,Engine!$C$2:$C$1369,0)),"",INDEX('Compliance Database'!$D$2:$D$1369,MATCH(909,Engine!$C$2:$C$1369,0)))</f>
        <v/>
      </c>
      <c r="E922" s="8">
        <f>IF(ISNA(MATCH(909,Engine!$C$2:$C$1369,0)),"",INDEX('Compliance Database'!$E$2:$E$1369,MATCH(909,Engine!$C$2:$C$1369,0)))</f>
        <v/>
      </c>
      <c r="F922" s="8">
        <f>IF(ISNA(MATCH(909,Engine!$C$2:$C$1369,0)),"",INDEX('Compliance Database'!$F$2:$F$1369,MATCH(909,Engine!$C$2:$C$1369,0)))</f>
        <v/>
      </c>
      <c r="G922" s="8">
        <f>IF(ISNA(MATCH(909,Engine!$C$2:$C$1369,0)),"",INDEX('Compliance Database'!$G$2:$G$1369,MATCH(909,Engine!$C$2:$C$1369,0)))</f>
        <v/>
      </c>
      <c r="H922" s="9">
        <f>IF(ISNA(MATCH(909,Engine!$C$2:$C$1369,0)),"",INDEX('Compliance Database'!$H$2:$H$1369,MATCH(909,Engine!$C$2:$C$1369,0)))</f>
        <v/>
      </c>
      <c r="I922" s="9">
        <f>IF(ISNA(MATCH(909,Engine!$C$2:$C$1369,0)),"",INDEX('Compliance Database'!$I$2:$I$1369,MATCH(909,Engine!$C$2:$C$1369,0)))</f>
        <v/>
      </c>
      <c r="J922" s="8">
        <f>IF(ISNA(MATCH(909,Engine!$C$2:$C$1369,0)),"",INDEX('Compliance Database'!$J$2:$J$1369,MATCH(909,Engine!$C$2:$C$1369,0)))</f>
        <v/>
      </c>
      <c r="K922" s="9">
        <f>IF(ISNA(MATCH(909,Engine!$C$2:$C$1369,0)),"",INDEX('Compliance Database'!$K$2:$K$1369,MATCH(909,Engine!$C$2:$C$1369,0)))</f>
        <v/>
      </c>
      <c r="L922" s="9">
        <f>IF(ISNA(MATCH(909,Engine!$C$2:$C$1369,0)),"",INDEX('Compliance Database'!$L$2:$L$1369,MATCH(909,Engine!$C$2:$C$1369,0)))</f>
        <v/>
      </c>
      <c r="M922" s="9">
        <f>IF(ISNA(MATCH(909,Engine!$C$2:$C$1369,0)),"",INDEX('Compliance Database'!$M$2:$M$1369,MATCH(909,Engine!$C$2:$C$1369,0)))</f>
        <v/>
      </c>
      <c r="N922" s="9">
        <f>IF(ISNA(MATCH(909,Engine!$C$2:$C$1369,0)),"",INDEX('Compliance Database'!$N$2:$N$1369,MATCH(909,Engine!$C$2:$C$1369,0)))</f>
        <v/>
      </c>
      <c r="O922" s="8">
        <f>IF(ISNA(MATCH(909,Engine!$C$2:$C$1369,0)),"",HYPERLINK(INDEX('Compliance Database'!$O$2:$O$1369,MATCH(909,Engine!$C$2:$C$1369,0)),"Open PDF"))</f>
        <v/>
      </c>
    </row>
    <row r="923" ht="188" customHeight="1">
      <c r="A923" s="8">
        <f>IF(ISNA(MATCH(910,Engine!$C$2:$C$1369,0)),"",INDEX('Compliance Database'!$A$2:$A$1369,MATCH(910,Engine!$C$2:$C$1369,0)))</f>
        <v/>
      </c>
      <c r="B923" s="8">
        <f>IF(ISNA(MATCH(910,Engine!$C$2:$C$1369,0)),"",INDEX('Compliance Database'!$B$2:$B$1369,MATCH(910,Engine!$C$2:$C$1369,0)))</f>
        <v/>
      </c>
      <c r="C923" s="8">
        <f>IF(ISNA(MATCH(910,Engine!$C$2:$C$1369,0)),"",INDEX('Compliance Database'!$C$2:$C$1369,MATCH(910,Engine!$C$2:$C$1369,0)))</f>
        <v/>
      </c>
      <c r="D923" s="9">
        <f>IF(ISNA(MATCH(910,Engine!$C$2:$C$1369,0)),"",INDEX('Compliance Database'!$D$2:$D$1369,MATCH(910,Engine!$C$2:$C$1369,0)))</f>
        <v/>
      </c>
      <c r="E923" s="8">
        <f>IF(ISNA(MATCH(910,Engine!$C$2:$C$1369,0)),"",INDEX('Compliance Database'!$E$2:$E$1369,MATCH(910,Engine!$C$2:$C$1369,0)))</f>
        <v/>
      </c>
      <c r="F923" s="8">
        <f>IF(ISNA(MATCH(910,Engine!$C$2:$C$1369,0)),"",INDEX('Compliance Database'!$F$2:$F$1369,MATCH(910,Engine!$C$2:$C$1369,0)))</f>
        <v/>
      </c>
      <c r="G923" s="8">
        <f>IF(ISNA(MATCH(910,Engine!$C$2:$C$1369,0)),"",INDEX('Compliance Database'!$G$2:$G$1369,MATCH(910,Engine!$C$2:$C$1369,0)))</f>
        <v/>
      </c>
      <c r="H923" s="9">
        <f>IF(ISNA(MATCH(910,Engine!$C$2:$C$1369,0)),"",INDEX('Compliance Database'!$H$2:$H$1369,MATCH(910,Engine!$C$2:$C$1369,0)))</f>
        <v/>
      </c>
      <c r="I923" s="9">
        <f>IF(ISNA(MATCH(910,Engine!$C$2:$C$1369,0)),"",INDEX('Compliance Database'!$I$2:$I$1369,MATCH(910,Engine!$C$2:$C$1369,0)))</f>
        <v/>
      </c>
      <c r="J923" s="8">
        <f>IF(ISNA(MATCH(910,Engine!$C$2:$C$1369,0)),"",INDEX('Compliance Database'!$J$2:$J$1369,MATCH(910,Engine!$C$2:$C$1369,0)))</f>
        <v/>
      </c>
      <c r="K923" s="9">
        <f>IF(ISNA(MATCH(910,Engine!$C$2:$C$1369,0)),"",INDEX('Compliance Database'!$K$2:$K$1369,MATCH(910,Engine!$C$2:$C$1369,0)))</f>
        <v/>
      </c>
      <c r="L923" s="9">
        <f>IF(ISNA(MATCH(910,Engine!$C$2:$C$1369,0)),"",INDEX('Compliance Database'!$L$2:$L$1369,MATCH(910,Engine!$C$2:$C$1369,0)))</f>
        <v/>
      </c>
      <c r="M923" s="9">
        <f>IF(ISNA(MATCH(910,Engine!$C$2:$C$1369,0)),"",INDEX('Compliance Database'!$M$2:$M$1369,MATCH(910,Engine!$C$2:$C$1369,0)))</f>
        <v/>
      </c>
      <c r="N923" s="9">
        <f>IF(ISNA(MATCH(910,Engine!$C$2:$C$1369,0)),"",INDEX('Compliance Database'!$N$2:$N$1369,MATCH(910,Engine!$C$2:$C$1369,0)))</f>
        <v/>
      </c>
      <c r="O923" s="8">
        <f>IF(ISNA(MATCH(910,Engine!$C$2:$C$1369,0)),"",HYPERLINK(INDEX('Compliance Database'!$O$2:$O$1369,MATCH(910,Engine!$C$2:$C$1369,0)),"Open PDF"))</f>
        <v/>
      </c>
    </row>
    <row r="924" ht="188" customHeight="1">
      <c r="A924" s="8">
        <f>IF(ISNA(MATCH(911,Engine!$C$2:$C$1369,0)),"",INDEX('Compliance Database'!$A$2:$A$1369,MATCH(911,Engine!$C$2:$C$1369,0)))</f>
        <v/>
      </c>
      <c r="B924" s="8">
        <f>IF(ISNA(MATCH(911,Engine!$C$2:$C$1369,0)),"",INDEX('Compliance Database'!$B$2:$B$1369,MATCH(911,Engine!$C$2:$C$1369,0)))</f>
        <v/>
      </c>
      <c r="C924" s="8">
        <f>IF(ISNA(MATCH(911,Engine!$C$2:$C$1369,0)),"",INDEX('Compliance Database'!$C$2:$C$1369,MATCH(911,Engine!$C$2:$C$1369,0)))</f>
        <v/>
      </c>
      <c r="D924" s="9">
        <f>IF(ISNA(MATCH(911,Engine!$C$2:$C$1369,0)),"",INDEX('Compliance Database'!$D$2:$D$1369,MATCH(911,Engine!$C$2:$C$1369,0)))</f>
        <v/>
      </c>
      <c r="E924" s="8">
        <f>IF(ISNA(MATCH(911,Engine!$C$2:$C$1369,0)),"",INDEX('Compliance Database'!$E$2:$E$1369,MATCH(911,Engine!$C$2:$C$1369,0)))</f>
        <v/>
      </c>
      <c r="F924" s="8">
        <f>IF(ISNA(MATCH(911,Engine!$C$2:$C$1369,0)),"",INDEX('Compliance Database'!$F$2:$F$1369,MATCH(911,Engine!$C$2:$C$1369,0)))</f>
        <v/>
      </c>
      <c r="G924" s="8">
        <f>IF(ISNA(MATCH(911,Engine!$C$2:$C$1369,0)),"",INDEX('Compliance Database'!$G$2:$G$1369,MATCH(911,Engine!$C$2:$C$1369,0)))</f>
        <v/>
      </c>
      <c r="H924" s="9">
        <f>IF(ISNA(MATCH(911,Engine!$C$2:$C$1369,0)),"",INDEX('Compliance Database'!$H$2:$H$1369,MATCH(911,Engine!$C$2:$C$1369,0)))</f>
        <v/>
      </c>
      <c r="I924" s="9">
        <f>IF(ISNA(MATCH(911,Engine!$C$2:$C$1369,0)),"",INDEX('Compliance Database'!$I$2:$I$1369,MATCH(911,Engine!$C$2:$C$1369,0)))</f>
        <v/>
      </c>
      <c r="J924" s="8">
        <f>IF(ISNA(MATCH(911,Engine!$C$2:$C$1369,0)),"",INDEX('Compliance Database'!$J$2:$J$1369,MATCH(911,Engine!$C$2:$C$1369,0)))</f>
        <v/>
      </c>
      <c r="K924" s="9">
        <f>IF(ISNA(MATCH(911,Engine!$C$2:$C$1369,0)),"",INDEX('Compliance Database'!$K$2:$K$1369,MATCH(911,Engine!$C$2:$C$1369,0)))</f>
        <v/>
      </c>
      <c r="L924" s="9">
        <f>IF(ISNA(MATCH(911,Engine!$C$2:$C$1369,0)),"",INDEX('Compliance Database'!$L$2:$L$1369,MATCH(911,Engine!$C$2:$C$1369,0)))</f>
        <v/>
      </c>
      <c r="M924" s="9">
        <f>IF(ISNA(MATCH(911,Engine!$C$2:$C$1369,0)),"",INDEX('Compliance Database'!$M$2:$M$1369,MATCH(911,Engine!$C$2:$C$1369,0)))</f>
        <v/>
      </c>
      <c r="N924" s="9">
        <f>IF(ISNA(MATCH(911,Engine!$C$2:$C$1369,0)),"",INDEX('Compliance Database'!$N$2:$N$1369,MATCH(911,Engine!$C$2:$C$1369,0)))</f>
        <v/>
      </c>
      <c r="O924" s="8">
        <f>IF(ISNA(MATCH(911,Engine!$C$2:$C$1369,0)),"",HYPERLINK(INDEX('Compliance Database'!$O$2:$O$1369,MATCH(911,Engine!$C$2:$C$1369,0)),"Open PDF"))</f>
        <v/>
      </c>
    </row>
    <row r="925" ht="188" customHeight="1">
      <c r="A925" s="8">
        <f>IF(ISNA(MATCH(912,Engine!$C$2:$C$1369,0)),"",INDEX('Compliance Database'!$A$2:$A$1369,MATCH(912,Engine!$C$2:$C$1369,0)))</f>
        <v/>
      </c>
      <c r="B925" s="8">
        <f>IF(ISNA(MATCH(912,Engine!$C$2:$C$1369,0)),"",INDEX('Compliance Database'!$B$2:$B$1369,MATCH(912,Engine!$C$2:$C$1369,0)))</f>
        <v/>
      </c>
      <c r="C925" s="8">
        <f>IF(ISNA(MATCH(912,Engine!$C$2:$C$1369,0)),"",INDEX('Compliance Database'!$C$2:$C$1369,MATCH(912,Engine!$C$2:$C$1369,0)))</f>
        <v/>
      </c>
      <c r="D925" s="9">
        <f>IF(ISNA(MATCH(912,Engine!$C$2:$C$1369,0)),"",INDEX('Compliance Database'!$D$2:$D$1369,MATCH(912,Engine!$C$2:$C$1369,0)))</f>
        <v/>
      </c>
      <c r="E925" s="8">
        <f>IF(ISNA(MATCH(912,Engine!$C$2:$C$1369,0)),"",INDEX('Compliance Database'!$E$2:$E$1369,MATCH(912,Engine!$C$2:$C$1369,0)))</f>
        <v/>
      </c>
      <c r="F925" s="8">
        <f>IF(ISNA(MATCH(912,Engine!$C$2:$C$1369,0)),"",INDEX('Compliance Database'!$F$2:$F$1369,MATCH(912,Engine!$C$2:$C$1369,0)))</f>
        <v/>
      </c>
      <c r="G925" s="8">
        <f>IF(ISNA(MATCH(912,Engine!$C$2:$C$1369,0)),"",INDEX('Compliance Database'!$G$2:$G$1369,MATCH(912,Engine!$C$2:$C$1369,0)))</f>
        <v/>
      </c>
      <c r="H925" s="9">
        <f>IF(ISNA(MATCH(912,Engine!$C$2:$C$1369,0)),"",INDEX('Compliance Database'!$H$2:$H$1369,MATCH(912,Engine!$C$2:$C$1369,0)))</f>
        <v/>
      </c>
      <c r="I925" s="9">
        <f>IF(ISNA(MATCH(912,Engine!$C$2:$C$1369,0)),"",INDEX('Compliance Database'!$I$2:$I$1369,MATCH(912,Engine!$C$2:$C$1369,0)))</f>
        <v/>
      </c>
      <c r="J925" s="8">
        <f>IF(ISNA(MATCH(912,Engine!$C$2:$C$1369,0)),"",INDEX('Compliance Database'!$J$2:$J$1369,MATCH(912,Engine!$C$2:$C$1369,0)))</f>
        <v/>
      </c>
      <c r="K925" s="9">
        <f>IF(ISNA(MATCH(912,Engine!$C$2:$C$1369,0)),"",INDEX('Compliance Database'!$K$2:$K$1369,MATCH(912,Engine!$C$2:$C$1369,0)))</f>
        <v/>
      </c>
      <c r="L925" s="9">
        <f>IF(ISNA(MATCH(912,Engine!$C$2:$C$1369,0)),"",INDEX('Compliance Database'!$L$2:$L$1369,MATCH(912,Engine!$C$2:$C$1369,0)))</f>
        <v/>
      </c>
      <c r="M925" s="9">
        <f>IF(ISNA(MATCH(912,Engine!$C$2:$C$1369,0)),"",INDEX('Compliance Database'!$M$2:$M$1369,MATCH(912,Engine!$C$2:$C$1369,0)))</f>
        <v/>
      </c>
      <c r="N925" s="9">
        <f>IF(ISNA(MATCH(912,Engine!$C$2:$C$1369,0)),"",INDEX('Compliance Database'!$N$2:$N$1369,MATCH(912,Engine!$C$2:$C$1369,0)))</f>
        <v/>
      </c>
      <c r="O925" s="8">
        <f>IF(ISNA(MATCH(912,Engine!$C$2:$C$1369,0)),"",HYPERLINK(INDEX('Compliance Database'!$O$2:$O$1369,MATCH(912,Engine!$C$2:$C$1369,0)),"Open PDF"))</f>
        <v/>
      </c>
    </row>
    <row r="926" ht="188" customHeight="1">
      <c r="A926" s="8">
        <f>IF(ISNA(MATCH(913,Engine!$C$2:$C$1369,0)),"",INDEX('Compliance Database'!$A$2:$A$1369,MATCH(913,Engine!$C$2:$C$1369,0)))</f>
        <v/>
      </c>
      <c r="B926" s="8">
        <f>IF(ISNA(MATCH(913,Engine!$C$2:$C$1369,0)),"",INDEX('Compliance Database'!$B$2:$B$1369,MATCH(913,Engine!$C$2:$C$1369,0)))</f>
        <v/>
      </c>
      <c r="C926" s="8">
        <f>IF(ISNA(MATCH(913,Engine!$C$2:$C$1369,0)),"",INDEX('Compliance Database'!$C$2:$C$1369,MATCH(913,Engine!$C$2:$C$1369,0)))</f>
        <v/>
      </c>
      <c r="D926" s="9">
        <f>IF(ISNA(MATCH(913,Engine!$C$2:$C$1369,0)),"",INDEX('Compliance Database'!$D$2:$D$1369,MATCH(913,Engine!$C$2:$C$1369,0)))</f>
        <v/>
      </c>
      <c r="E926" s="8">
        <f>IF(ISNA(MATCH(913,Engine!$C$2:$C$1369,0)),"",INDEX('Compliance Database'!$E$2:$E$1369,MATCH(913,Engine!$C$2:$C$1369,0)))</f>
        <v/>
      </c>
      <c r="F926" s="8">
        <f>IF(ISNA(MATCH(913,Engine!$C$2:$C$1369,0)),"",INDEX('Compliance Database'!$F$2:$F$1369,MATCH(913,Engine!$C$2:$C$1369,0)))</f>
        <v/>
      </c>
      <c r="G926" s="8">
        <f>IF(ISNA(MATCH(913,Engine!$C$2:$C$1369,0)),"",INDEX('Compliance Database'!$G$2:$G$1369,MATCH(913,Engine!$C$2:$C$1369,0)))</f>
        <v/>
      </c>
      <c r="H926" s="9">
        <f>IF(ISNA(MATCH(913,Engine!$C$2:$C$1369,0)),"",INDEX('Compliance Database'!$H$2:$H$1369,MATCH(913,Engine!$C$2:$C$1369,0)))</f>
        <v/>
      </c>
      <c r="I926" s="9">
        <f>IF(ISNA(MATCH(913,Engine!$C$2:$C$1369,0)),"",INDEX('Compliance Database'!$I$2:$I$1369,MATCH(913,Engine!$C$2:$C$1369,0)))</f>
        <v/>
      </c>
      <c r="J926" s="8">
        <f>IF(ISNA(MATCH(913,Engine!$C$2:$C$1369,0)),"",INDEX('Compliance Database'!$J$2:$J$1369,MATCH(913,Engine!$C$2:$C$1369,0)))</f>
        <v/>
      </c>
      <c r="K926" s="9">
        <f>IF(ISNA(MATCH(913,Engine!$C$2:$C$1369,0)),"",INDEX('Compliance Database'!$K$2:$K$1369,MATCH(913,Engine!$C$2:$C$1369,0)))</f>
        <v/>
      </c>
      <c r="L926" s="9">
        <f>IF(ISNA(MATCH(913,Engine!$C$2:$C$1369,0)),"",INDEX('Compliance Database'!$L$2:$L$1369,MATCH(913,Engine!$C$2:$C$1369,0)))</f>
        <v/>
      </c>
      <c r="M926" s="9">
        <f>IF(ISNA(MATCH(913,Engine!$C$2:$C$1369,0)),"",INDEX('Compliance Database'!$M$2:$M$1369,MATCH(913,Engine!$C$2:$C$1369,0)))</f>
        <v/>
      </c>
      <c r="N926" s="9">
        <f>IF(ISNA(MATCH(913,Engine!$C$2:$C$1369,0)),"",INDEX('Compliance Database'!$N$2:$N$1369,MATCH(913,Engine!$C$2:$C$1369,0)))</f>
        <v/>
      </c>
      <c r="O926" s="8">
        <f>IF(ISNA(MATCH(913,Engine!$C$2:$C$1369,0)),"",HYPERLINK(INDEX('Compliance Database'!$O$2:$O$1369,MATCH(913,Engine!$C$2:$C$1369,0)),"Open PDF"))</f>
        <v/>
      </c>
    </row>
    <row r="927" ht="188" customHeight="1">
      <c r="A927" s="8">
        <f>IF(ISNA(MATCH(914,Engine!$C$2:$C$1369,0)),"",INDEX('Compliance Database'!$A$2:$A$1369,MATCH(914,Engine!$C$2:$C$1369,0)))</f>
        <v/>
      </c>
      <c r="B927" s="8">
        <f>IF(ISNA(MATCH(914,Engine!$C$2:$C$1369,0)),"",INDEX('Compliance Database'!$B$2:$B$1369,MATCH(914,Engine!$C$2:$C$1369,0)))</f>
        <v/>
      </c>
      <c r="C927" s="8">
        <f>IF(ISNA(MATCH(914,Engine!$C$2:$C$1369,0)),"",INDEX('Compliance Database'!$C$2:$C$1369,MATCH(914,Engine!$C$2:$C$1369,0)))</f>
        <v/>
      </c>
      <c r="D927" s="9">
        <f>IF(ISNA(MATCH(914,Engine!$C$2:$C$1369,0)),"",INDEX('Compliance Database'!$D$2:$D$1369,MATCH(914,Engine!$C$2:$C$1369,0)))</f>
        <v/>
      </c>
      <c r="E927" s="8">
        <f>IF(ISNA(MATCH(914,Engine!$C$2:$C$1369,0)),"",INDEX('Compliance Database'!$E$2:$E$1369,MATCH(914,Engine!$C$2:$C$1369,0)))</f>
        <v/>
      </c>
      <c r="F927" s="8">
        <f>IF(ISNA(MATCH(914,Engine!$C$2:$C$1369,0)),"",INDEX('Compliance Database'!$F$2:$F$1369,MATCH(914,Engine!$C$2:$C$1369,0)))</f>
        <v/>
      </c>
      <c r="G927" s="8">
        <f>IF(ISNA(MATCH(914,Engine!$C$2:$C$1369,0)),"",INDEX('Compliance Database'!$G$2:$G$1369,MATCH(914,Engine!$C$2:$C$1369,0)))</f>
        <v/>
      </c>
      <c r="H927" s="9">
        <f>IF(ISNA(MATCH(914,Engine!$C$2:$C$1369,0)),"",INDEX('Compliance Database'!$H$2:$H$1369,MATCH(914,Engine!$C$2:$C$1369,0)))</f>
        <v/>
      </c>
      <c r="I927" s="9">
        <f>IF(ISNA(MATCH(914,Engine!$C$2:$C$1369,0)),"",INDEX('Compliance Database'!$I$2:$I$1369,MATCH(914,Engine!$C$2:$C$1369,0)))</f>
        <v/>
      </c>
      <c r="J927" s="8">
        <f>IF(ISNA(MATCH(914,Engine!$C$2:$C$1369,0)),"",INDEX('Compliance Database'!$J$2:$J$1369,MATCH(914,Engine!$C$2:$C$1369,0)))</f>
        <v/>
      </c>
      <c r="K927" s="9">
        <f>IF(ISNA(MATCH(914,Engine!$C$2:$C$1369,0)),"",INDEX('Compliance Database'!$K$2:$K$1369,MATCH(914,Engine!$C$2:$C$1369,0)))</f>
        <v/>
      </c>
      <c r="L927" s="9">
        <f>IF(ISNA(MATCH(914,Engine!$C$2:$C$1369,0)),"",INDEX('Compliance Database'!$L$2:$L$1369,MATCH(914,Engine!$C$2:$C$1369,0)))</f>
        <v/>
      </c>
      <c r="M927" s="9">
        <f>IF(ISNA(MATCH(914,Engine!$C$2:$C$1369,0)),"",INDEX('Compliance Database'!$M$2:$M$1369,MATCH(914,Engine!$C$2:$C$1369,0)))</f>
        <v/>
      </c>
      <c r="N927" s="9">
        <f>IF(ISNA(MATCH(914,Engine!$C$2:$C$1369,0)),"",INDEX('Compliance Database'!$N$2:$N$1369,MATCH(914,Engine!$C$2:$C$1369,0)))</f>
        <v/>
      </c>
      <c r="O927" s="8">
        <f>IF(ISNA(MATCH(914,Engine!$C$2:$C$1369,0)),"",HYPERLINK(INDEX('Compliance Database'!$O$2:$O$1369,MATCH(914,Engine!$C$2:$C$1369,0)),"Open PDF"))</f>
        <v/>
      </c>
    </row>
    <row r="928" ht="188" customHeight="1">
      <c r="A928" s="8">
        <f>IF(ISNA(MATCH(915,Engine!$C$2:$C$1369,0)),"",INDEX('Compliance Database'!$A$2:$A$1369,MATCH(915,Engine!$C$2:$C$1369,0)))</f>
        <v/>
      </c>
      <c r="B928" s="8">
        <f>IF(ISNA(MATCH(915,Engine!$C$2:$C$1369,0)),"",INDEX('Compliance Database'!$B$2:$B$1369,MATCH(915,Engine!$C$2:$C$1369,0)))</f>
        <v/>
      </c>
      <c r="C928" s="8">
        <f>IF(ISNA(MATCH(915,Engine!$C$2:$C$1369,0)),"",INDEX('Compliance Database'!$C$2:$C$1369,MATCH(915,Engine!$C$2:$C$1369,0)))</f>
        <v/>
      </c>
      <c r="D928" s="9">
        <f>IF(ISNA(MATCH(915,Engine!$C$2:$C$1369,0)),"",INDEX('Compliance Database'!$D$2:$D$1369,MATCH(915,Engine!$C$2:$C$1369,0)))</f>
        <v/>
      </c>
      <c r="E928" s="8">
        <f>IF(ISNA(MATCH(915,Engine!$C$2:$C$1369,0)),"",INDEX('Compliance Database'!$E$2:$E$1369,MATCH(915,Engine!$C$2:$C$1369,0)))</f>
        <v/>
      </c>
      <c r="F928" s="8">
        <f>IF(ISNA(MATCH(915,Engine!$C$2:$C$1369,0)),"",INDEX('Compliance Database'!$F$2:$F$1369,MATCH(915,Engine!$C$2:$C$1369,0)))</f>
        <v/>
      </c>
      <c r="G928" s="8">
        <f>IF(ISNA(MATCH(915,Engine!$C$2:$C$1369,0)),"",INDEX('Compliance Database'!$G$2:$G$1369,MATCH(915,Engine!$C$2:$C$1369,0)))</f>
        <v/>
      </c>
      <c r="H928" s="9">
        <f>IF(ISNA(MATCH(915,Engine!$C$2:$C$1369,0)),"",INDEX('Compliance Database'!$H$2:$H$1369,MATCH(915,Engine!$C$2:$C$1369,0)))</f>
        <v/>
      </c>
      <c r="I928" s="9">
        <f>IF(ISNA(MATCH(915,Engine!$C$2:$C$1369,0)),"",INDEX('Compliance Database'!$I$2:$I$1369,MATCH(915,Engine!$C$2:$C$1369,0)))</f>
        <v/>
      </c>
      <c r="J928" s="8">
        <f>IF(ISNA(MATCH(915,Engine!$C$2:$C$1369,0)),"",INDEX('Compliance Database'!$J$2:$J$1369,MATCH(915,Engine!$C$2:$C$1369,0)))</f>
        <v/>
      </c>
      <c r="K928" s="9">
        <f>IF(ISNA(MATCH(915,Engine!$C$2:$C$1369,0)),"",INDEX('Compliance Database'!$K$2:$K$1369,MATCH(915,Engine!$C$2:$C$1369,0)))</f>
        <v/>
      </c>
      <c r="L928" s="9">
        <f>IF(ISNA(MATCH(915,Engine!$C$2:$C$1369,0)),"",INDEX('Compliance Database'!$L$2:$L$1369,MATCH(915,Engine!$C$2:$C$1369,0)))</f>
        <v/>
      </c>
      <c r="M928" s="9">
        <f>IF(ISNA(MATCH(915,Engine!$C$2:$C$1369,0)),"",INDEX('Compliance Database'!$M$2:$M$1369,MATCH(915,Engine!$C$2:$C$1369,0)))</f>
        <v/>
      </c>
      <c r="N928" s="9">
        <f>IF(ISNA(MATCH(915,Engine!$C$2:$C$1369,0)),"",INDEX('Compliance Database'!$N$2:$N$1369,MATCH(915,Engine!$C$2:$C$1369,0)))</f>
        <v/>
      </c>
      <c r="O928" s="8">
        <f>IF(ISNA(MATCH(915,Engine!$C$2:$C$1369,0)),"",HYPERLINK(INDEX('Compliance Database'!$O$2:$O$1369,MATCH(915,Engine!$C$2:$C$1369,0)),"Open PDF"))</f>
        <v/>
      </c>
    </row>
    <row r="929" ht="188" customHeight="1">
      <c r="A929" s="8">
        <f>IF(ISNA(MATCH(916,Engine!$C$2:$C$1369,0)),"",INDEX('Compliance Database'!$A$2:$A$1369,MATCH(916,Engine!$C$2:$C$1369,0)))</f>
        <v/>
      </c>
      <c r="B929" s="8">
        <f>IF(ISNA(MATCH(916,Engine!$C$2:$C$1369,0)),"",INDEX('Compliance Database'!$B$2:$B$1369,MATCH(916,Engine!$C$2:$C$1369,0)))</f>
        <v/>
      </c>
      <c r="C929" s="8">
        <f>IF(ISNA(MATCH(916,Engine!$C$2:$C$1369,0)),"",INDEX('Compliance Database'!$C$2:$C$1369,MATCH(916,Engine!$C$2:$C$1369,0)))</f>
        <v/>
      </c>
      <c r="D929" s="9">
        <f>IF(ISNA(MATCH(916,Engine!$C$2:$C$1369,0)),"",INDEX('Compliance Database'!$D$2:$D$1369,MATCH(916,Engine!$C$2:$C$1369,0)))</f>
        <v/>
      </c>
      <c r="E929" s="8">
        <f>IF(ISNA(MATCH(916,Engine!$C$2:$C$1369,0)),"",INDEX('Compliance Database'!$E$2:$E$1369,MATCH(916,Engine!$C$2:$C$1369,0)))</f>
        <v/>
      </c>
      <c r="F929" s="8">
        <f>IF(ISNA(MATCH(916,Engine!$C$2:$C$1369,0)),"",INDEX('Compliance Database'!$F$2:$F$1369,MATCH(916,Engine!$C$2:$C$1369,0)))</f>
        <v/>
      </c>
      <c r="G929" s="8">
        <f>IF(ISNA(MATCH(916,Engine!$C$2:$C$1369,0)),"",INDEX('Compliance Database'!$G$2:$G$1369,MATCH(916,Engine!$C$2:$C$1369,0)))</f>
        <v/>
      </c>
      <c r="H929" s="9">
        <f>IF(ISNA(MATCH(916,Engine!$C$2:$C$1369,0)),"",INDEX('Compliance Database'!$H$2:$H$1369,MATCH(916,Engine!$C$2:$C$1369,0)))</f>
        <v/>
      </c>
      <c r="I929" s="9">
        <f>IF(ISNA(MATCH(916,Engine!$C$2:$C$1369,0)),"",INDEX('Compliance Database'!$I$2:$I$1369,MATCH(916,Engine!$C$2:$C$1369,0)))</f>
        <v/>
      </c>
      <c r="J929" s="8">
        <f>IF(ISNA(MATCH(916,Engine!$C$2:$C$1369,0)),"",INDEX('Compliance Database'!$J$2:$J$1369,MATCH(916,Engine!$C$2:$C$1369,0)))</f>
        <v/>
      </c>
      <c r="K929" s="9">
        <f>IF(ISNA(MATCH(916,Engine!$C$2:$C$1369,0)),"",INDEX('Compliance Database'!$K$2:$K$1369,MATCH(916,Engine!$C$2:$C$1369,0)))</f>
        <v/>
      </c>
      <c r="L929" s="9">
        <f>IF(ISNA(MATCH(916,Engine!$C$2:$C$1369,0)),"",INDEX('Compliance Database'!$L$2:$L$1369,MATCH(916,Engine!$C$2:$C$1369,0)))</f>
        <v/>
      </c>
      <c r="M929" s="9">
        <f>IF(ISNA(MATCH(916,Engine!$C$2:$C$1369,0)),"",INDEX('Compliance Database'!$M$2:$M$1369,MATCH(916,Engine!$C$2:$C$1369,0)))</f>
        <v/>
      </c>
      <c r="N929" s="9">
        <f>IF(ISNA(MATCH(916,Engine!$C$2:$C$1369,0)),"",INDEX('Compliance Database'!$N$2:$N$1369,MATCH(916,Engine!$C$2:$C$1369,0)))</f>
        <v/>
      </c>
      <c r="O929" s="8">
        <f>IF(ISNA(MATCH(916,Engine!$C$2:$C$1369,0)),"",HYPERLINK(INDEX('Compliance Database'!$O$2:$O$1369,MATCH(916,Engine!$C$2:$C$1369,0)),"Open PDF"))</f>
        <v/>
      </c>
    </row>
    <row r="930" ht="188" customHeight="1">
      <c r="A930" s="8">
        <f>IF(ISNA(MATCH(917,Engine!$C$2:$C$1369,0)),"",INDEX('Compliance Database'!$A$2:$A$1369,MATCH(917,Engine!$C$2:$C$1369,0)))</f>
        <v/>
      </c>
      <c r="B930" s="8">
        <f>IF(ISNA(MATCH(917,Engine!$C$2:$C$1369,0)),"",INDEX('Compliance Database'!$B$2:$B$1369,MATCH(917,Engine!$C$2:$C$1369,0)))</f>
        <v/>
      </c>
      <c r="C930" s="8">
        <f>IF(ISNA(MATCH(917,Engine!$C$2:$C$1369,0)),"",INDEX('Compliance Database'!$C$2:$C$1369,MATCH(917,Engine!$C$2:$C$1369,0)))</f>
        <v/>
      </c>
      <c r="D930" s="9">
        <f>IF(ISNA(MATCH(917,Engine!$C$2:$C$1369,0)),"",INDEX('Compliance Database'!$D$2:$D$1369,MATCH(917,Engine!$C$2:$C$1369,0)))</f>
        <v/>
      </c>
      <c r="E930" s="8">
        <f>IF(ISNA(MATCH(917,Engine!$C$2:$C$1369,0)),"",INDEX('Compliance Database'!$E$2:$E$1369,MATCH(917,Engine!$C$2:$C$1369,0)))</f>
        <v/>
      </c>
      <c r="F930" s="8">
        <f>IF(ISNA(MATCH(917,Engine!$C$2:$C$1369,0)),"",INDEX('Compliance Database'!$F$2:$F$1369,MATCH(917,Engine!$C$2:$C$1369,0)))</f>
        <v/>
      </c>
      <c r="G930" s="8">
        <f>IF(ISNA(MATCH(917,Engine!$C$2:$C$1369,0)),"",INDEX('Compliance Database'!$G$2:$G$1369,MATCH(917,Engine!$C$2:$C$1369,0)))</f>
        <v/>
      </c>
      <c r="H930" s="9">
        <f>IF(ISNA(MATCH(917,Engine!$C$2:$C$1369,0)),"",INDEX('Compliance Database'!$H$2:$H$1369,MATCH(917,Engine!$C$2:$C$1369,0)))</f>
        <v/>
      </c>
      <c r="I930" s="9">
        <f>IF(ISNA(MATCH(917,Engine!$C$2:$C$1369,0)),"",INDEX('Compliance Database'!$I$2:$I$1369,MATCH(917,Engine!$C$2:$C$1369,0)))</f>
        <v/>
      </c>
      <c r="J930" s="8">
        <f>IF(ISNA(MATCH(917,Engine!$C$2:$C$1369,0)),"",INDEX('Compliance Database'!$J$2:$J$1369,MATCH(917,Engine!$C$2:$C$1369,0)))</f>
        <v/>
      </c>
      <c r="K930" s="9">
        <f>IF(ISNA(MATCH(917,Engine!$C$2:$C$1369,0)),"",INDEX('Compliance Database'!$K$2:$K$1369,MATCH(917,Engine!$C$2:$C$1369,0)))</f>
        <v/>
      </c>
      <c r="L930" s="9">
        <f>IF(ISNA(MATCH(917,Engine!$C$2:$C$1369,0)),"",INDEX('Compliance Database'!$L$2:$L$1369,MATCH(917,Engine!$C$2:$C$1369,0)))</f>
        <v/>
      </c>
      <c r="M930" s="9">
        <f>IF(ISNA(MATCH(917,Engine!$C$2:$C$1369,0)),"",INDEX('Compliance Database'!$M$2:$M$1369,MATCH(917,Engine!$C$2:$C$1369,0)))</f>
        <v/>
      </c>
      <c r="N930" s="9">
        <f>IF(ISNA(MATCH(917,Engine!$C$2:$C$1369,0)),"",INDEX('Compliance Database'!$N$2:$N$1369,MATCH(917,Engine!$C$2:$C$1369,0)))</f>
        <v/>
      </c>
      <c r="O930" s="8">
        <f>IF(ISNA(MATCH(917,Engine!$C$2:$C$1369,0)),"",HYPERLINK(INDEX('Compliance Database'!$O$2:$O$1369,MATCH(917,Engine!$C$2:$C$1369,0)),"Open PDF"))</f>
        <v/>
      </c>
    </row>
    <row r="931" ht="188" customHeight="1">
      <c r="A931" s="8">
        <f>IF(ISNA(MATCH(918,Engine!$C$2:$C$1369,0)),"",INDEX('Compliance Database'!$A$2:$A$1369,MATCH(918,Engine!$C$2:$C$1369,0)))</f>
        <v/>
      </c>
      <c r="B931" s="8">
        <f>IF(ISNA(MATCH(918,Engine!$C$2:$C$1369,0)),"",INDEX('Compliance Database'!$B$2:$B$1369,MATCH(918,Engine!$C$2:$C$1369,0)))</f>
        <v/>
      </c>
      <c r="C931" s="8">
        <f>IF(ISNA(MATCH(918,Engine!$C$2:$C$1369,0)),"",INDEX('Compliance Database'!$C$2:$C$1369,MATCH(918,Engine!$C$2:$C$1369,0)))</f>
        <v/>
      </c>
      <c r="D931" s="9">
        <f>IF(ISNA(MATCH(918,Engine!$C$2:$C$1369,0)),"",INDEX('Compliance Database'!$D$2:$D$1369,MATCH(918,Engine!$C$2:$C$1369,0)))</f>
        <v/>
      </c>
      <c r="E931" s="8">
        <f>IF(ISNA(MATCH(918,Engine!$C$2:$C$1369,0)),"",INDEX('Compliance Database'!$E$2:$E$1369,MATCH(918,Engine!$C$2:$C$1369,0)))</f>
        <v/>
      </c>
      <c r="F931" s="8">
        <f>IF(ISNA(MATCH(918,Engine!$C$2:$C$1369,0)),"",INDEX('Compliance Database'!$F$2:$F$1369,MATCH(918,Engine!$C$2:$C$1369,0)))</f>
        <v/>
      </c>
      <c r="G931" s="8">
        <f>IF(ISNA(MATCH(918,Engine!$C$2:$C$1369,0)),"",INDEX('Compliance Database'!$G$2:$G$1369,MATCH(918,Engine!$C$2:$C$1369,0)))</f>
        <v/>
      </c>
      <c r="H931" s="9">
        <f>IF(ISNA(MATCH(918,Engine!$C$2:$C$1369,0)),"",INDEX('Compliance Database'!$H$2:$H$1369,MATCH(918,Engine!$C$2:$C$1369,0)))</f>
        <v/>
      </c>
      <c r="I931" s="9">
        <f>IF(ISNA(MATCH(918,Engine!$C$2:$C$1369,0)),"",INDEX('Compliance Database'!$I$2:$I$1369,MATCH(918,Engine!$C$2:$C$1369,0)))</f>
        <v/>
      </c>
      <c r="J931" s="8">
        <f>IF(ISNA(MATCH(918,Engine!$C$2:$C$1369,0)),"",INDEX('Compliance Database'!$J$2:$J$1369,MATCH(918,Engine!$C$2:$C$1369,0)))</f>
        <v/>
      </c>
      <c r="K931" s="9">
        <f>IF(ISNA(MATCH(918,Engine!$C$2:$C$1369,0)),"",INDEX('Compliance Database'!$K$2:$K$1369,MATCH(918,Engine!$C$2:$C$1369,0)))</f>
        <v/>
      </c>
      <c r="L931" s="9">
        <f>IF(ISNA(MATCH(918,Engine!$C$2:$C$1369,0)),"",INDEX('Compliance Database'!$L$2:$L$1369,MATCH(918,Engine!$C$2:$C$1369,0)))</f>
        <v/>
      </c>
      <c r="M931" s="9">
        <f>IF(ISNA(MATCH(918,Engine!$C$2:$C$1369,0)),"",INDEX('Compliance Database'!$M$2:$M$1369,MATCH(918,Engine!$C$2:$C$1369,0)))</f>
        <v/>
      </c>
      <c r="N931" s="9">
        <f>IF(ISNA(MATCH(918,Engine!$C$2:$C$1369,0)),"",INDEX('Compliance Database'!$N$2:$N$1369,MATCH(918,Engine!$C$2:$C$1369,0)))</f>
        <v/>
      </c>
      <c r="O931" s="8">
        <f>IF(ISNA(MATCH(918,Engine!$C$2:$C$1369,0)),"",HYPERLINK(INDEX('Compliance Database'!$O$2:$O$1369,MATCH(918,Engine!$C$2:$C$1369,0)),"Open PDF"))</f>
        <v/>
      </c>
    </row>
    <row r="932" ht="188" customHeight="1">
      <c r="A932" s="8">
        <f>IF(ISNA(MATCH(919,Engine!$C$2:$C$1369,0)),"",INDEX('Compliance Database'!$A$2:$A$1369,MATCH(919,Engine!$C$2:$C$1369,0)))</f>
        <v/>
      </c>
      <c r="B932" s="8">
        <f>IF(ISNA(MATCH(919,Engine!$C$2:$C$1369,0)),"",INDEX('Compliance Database'!$B$2:$B$1369,MATCH(919,Engine!$C$2:$C$1369,0)))</f>
        <v/>
      </c>
      <c r="C932" s="8">
        <f>IF(ISNA(MATCH(919,Engine!$C$2:$C$1369,0)),"",INDEX('Compliance Database'!$C$2:$C$1369,MATCH(919,Engine!$C$2:$C$1369,0)))</f>
        <v/>
      </c>
      <c r="D932" s="9">
        <f>IF(ISNA(MATCH(919,Engine!$C$2:$C$1369,0)),"",INDEX('Compliance Database'!$D$2:$D$1369,MATCH(919,Engine!$C$2:$C$1369,0)))</f>
        <v/>
      </c>
      <c r="E932" s="8">
        <f>IF(ISNA(MATCH(919,Engine!$C$2:$C$1369,0)),"",INDEX('Compliance Database'!$E$2:$E$1369,MATCH(919,Engine!$C$2:$C$1369,0)))</f>
        <v/>
      </c>
      <c r="F932" s="8">
        <f>IF(ISNA(MATCH(919,Engine!$C$2:$C$1369,0)),"",INDEX('Compliance Database'!$F$2:$F$1369,MATCH(919,Engine!$C$2:$C$1369,0)))</f>
        <v/>
      </c>
      <c r="G932" s="8">
        <f>IF(ISNA(MATCH(919,Engine!$C$2:$C$1369,0)),"",INDEX('Compliance Database'!$G$2:$G$1369,MATCH(919,Engine!$C$2:$C$1369,0)))</f>
        <v/>
      </c>
      <c r="H932" s="9">
        <f>IF(ISNA(MATCH(919,Engine!$C$2:$C$1369,0)),"",INDEX('Compliance Database'!$H$2:$H$1369,MATCH(919,Engine!$C$2:$C$1369,0)))</f>
        <v/>
      </c>
      <c r="I932" s="9">
        <f>IF(ISNA(MATCH(919,Engine!$C$2:$C$1369,0)),"",INDEX('Compliance Database'!$I$2:$I$1369,MATCH(919,Engine!$C$2:$C$1369,0)))</f>
        <v/>
      </c>
      <c r="J932" s="8">
        <f>IF(ISNA(MATCH(919,Engine!$C$2:$C$1369,0)),"",INDEX('Compliance Database'!$J$2:$J$1369,MATCH(919,Engine!$C$2:$C$1369,0)))</f>
        <v/>
      </c>
      <c r="K932" s="9">
        <f>IF(ISNA(MATCH(919,Engine!$C$2:$C$1369,0)),"",INDEX('Compliance Database'!$K$2:$K$1369,MATCH(919,Engine!$C$2:$C$1369,0)))</f>
        <v/>
      </c>
      <c r="L932" s="9">
        <f>IF(ISNA(MATCH(919,Engine!$C$2:$C$1369,0)),"",INDEX('Compliance Database'!$L$2:$L$1369,MATCH(919,Engine!$C$2:$C$1369,0)))</f>
        <v/>
      </c>
      <c r="M932" s="9">
        <f>IF(ISNA(MATCH(919,Engine!$C$2:$C$1369,0)),"",INDEX('Compliance Database'!$M$2:$M$1369,MATCH(919,Engine!$C$2:$C$1369,0)))</f>
        <v/>
      </c>
      <c r="N932" s="9">
        <f>IF(ISNA(MATCH(919,Engine!$C$2:$C$1369,0)),"",INDEX('Compliance Database'!$N$2:$N$1369,MATCH(919,Engine!$C$2:$C$1369,0)))</f>
        <v/>
      </c>
      <c r="O932" s="8">
        <f>IF(ISNA(MATCH(919,Engine!$C$2:$C$1369,0)),"",HYPERLINK(INDEX('Compliance Database'!$O$2:$O$1369,MATCH(919,Engine!$C$2:$C$1369,0)),"Open PDF"))</f>
        <v/>
      </c>
    </row>
    <row r="933" ht="188" customHeight="1">
      <c r="A933" s="8">
        <f>IF(ISNA(MATCH(920,Engine!$C$2:$C$1369,0)),"",INDEX('Compliance Database'!$A$2:$A$1369,MATCH(920,Engine!$C$2:$C$1369,0)))</f>
        <v/>
      </c>
      <c r="B933" s="8">
        <f>IF(ISNA(MATCH(920,Engine!$C$2:$C$1369,0)),"",INDEX('Compliance Database'!$B$2:$B$1369,MATCH(920,Engine!$C$2:$C$1369,0)))</f>
        <v/>
      </c>
      <c r="C933" s="8">
        <f>IF(ISNA(MATCH(920,Engine!$C$2:$C$1369,0)),"",INDEX('Compliance Database'!$C$2:$C$1369,MATCH(920,Engine!$C$2:$C$1369,0)))</f>
        <v/>
      </c>
      <c r="D933" s="9">
        <f>IF(ISNA(MATCH(920,Engine!$C$2:$C$1369,0)),"",INDEX('Compliance Database'!$D$2:$D$1369,MATCH(920,Engine!$C$2:$C$1369,0)))</f>
        <v/>
      </c>
      <c r="E933" s="8">
        <f>IF(ISNA(MATCH(920,Engine!$C$2:$C$1369,0)),"",INDEX('Compliance Database'!$E$2:$E$1369,MATCH(920,Engine!$C$2:$C$1369,0)))</f>
        <v/>
      </c>
      <c r="F933" s="8">
        <f>IF(ISNA(MATCH(920,Engine!$C$2:$C$1369,0)),"",INDEX('Compliance Database'!$F$2:$F$1369,MATCH(920,Engine!$C$2:$C$1369,0)))</f>
        <v/>
      </c>
      <c r="G933" s="8">
        <f>IF(ISNA(MATCH(920,Engine!$C$2:$C$1369,0)),"",INDEX('Compliance Database'!$G$2:$G$1369,MATCH(920,Engine!$C$2:$C$1369,0)))</f>
        <v/>
      </c>
      <c r="H933" s="9">
        <f>IF(ISNA(MATCH(920,Engine!$C$2:$C$1369,0)),"",INDEX('Compliance Database'!$H$2:$H$1369,MATCH(920,Engine!$C$2:$C$1369,0)))</f>
        <v/>
      </c>
      <c r="I933" s="9">
        <f>IF(ISNA(MATCH(920,Engine!$C$2:$C$1369,0)),"",INDEX('Compliance Database'!$I$2:$I$1369,MATCH(920,Engine!$C$2:$C$1369,0)))</f>
        <v/>
      </c>
      <c r="J933" s="8">
        <f>IF(ISNA(MATCH(920,Engine!$C$2:$C$1369,0)),"",INDEX('Compliance Database'!$J$2:$J$1369,MATCH(920,Engine!$C$2:$C$1369,0)))</f>
        <v/>
      </c>
      <c r="K933" s="9">
        <f>IF(ISNA(MATCH(920,Engine!$C$2:$C$1369,0)),"",INDEX('Compliance Database'!$K$2:$K$1369,MATCH(920,Engine!$C$2:$C$1369,0)))</f>
        <v/>
      </c>
      <c r="L933" s="9">
        <f>IF(ISNA(MATCH(920,Engine!$C$2:$C$1369,0)),"",INDEX('Compliance Database'!$L$2:$L$1369,MATCH(920,Engine!$C$2:$C$1369,0)))</f>
        <v/>
      </c>
      <c r="M933" s="9">
        <f>IF(ISNA(MATCH(920,Engine!$C$2:$C$1369,0)),"",INDEX('Compliance Database'!$M$2:$M$1369,MATCH(920,Engine!$C$2:$C$1369,0)))</f>
        <v/>
      </c>
      <c r="N933" s="9">
        <f>IF(ISNA(MATCH(920,Engine!$C$2:$C$1369,0)),"",INDEX('Compliance Database'!$N$2:$N$1369,MATCH(920,Engine!$C$2:$C$1369,0)))</f>
        <v/>
      </c>
      <c r="O933" s="8">
        <f>IF(ISNA(MATCH(920,Engine!$C$2:$C$1369,0)),"",HYPERLINK(INDEX('Compliance Database'!$O$2:$O$1369,MATCH(920,Engine!$C$2:$C$1369,0)),"Open PDF"))</f>
        <v/>
      </c>
    </row>
    <row r="934" ht="188" customHeight="1">
      <c r="A934" s="8">
        <f>IF(ISNA(MATCH(921,Engine!$C$2:$C$1369,0)),"",INDEX('Compliance Database'!$A$2:$A$1369,MATCH(921,Engine!$C$2:$C$1369,0)))</f>
        <v/>
      </c>
      <c r="B934" s="8">
        <f>IF(ISNA(MATCH(921,Engine!$C$2:$C$1369,0)),"",INDEX('Compliance Database'!$B$2:$B$1369,MATCH(921,Engine!$C$2:$C$1369,0)))</f>
        <v/>
      </c>
      <c r="C934" s="8">
        <f>IF(ISNA(MATCH(921,Engine!$C$2:$C$1369,0)),"",INDEX('Compliance Database'!$C$2:$C$1369,MATCH(921,Engine!$C$2:$C$1369,0)))</f>
        <v/>
      </c>
      <c r="D934" s="9">
        <f>IF(ISNA(MATCH(921,Engine!$C$2:$C$1369,0)),"",INDEX('Compliance Database'!$D$2:$D$1369,MATCH(921,Engine!$C$2:$C$1369,0)))</f>
        <v/>
      </c>
      <c r="E934" s="8">
        <f>IF(ISNA(MATCH(921,Engine!$C$2:$C$1369,0)),"",INDEX('Compliance Database'!$E$2:$E$1369,MATCH(921,Engine!$C$2:$C$1369,0)))</f>
        <v/>
      </c>
      <c r="F934" s="8">
        <f>IF(ISNA(MATCH(921,Engine!$C$2:$C$1369,0)),"",INDEX('Compliance Database'!$F$2:$F$1369,MATCH(921,Engine!$C$2:$C$1369,0)))</f>
        <v/>
      </c>
      <c r="G934" s="8">
        <f>IF(ISNA(MATCH(921,Engine!$C$2:$C$1369,0)),"",INDEX('Compliance Database'!$G$2:$G$1369,MATCH(921,Engine!$C$2:$C$1369,0)))</f>
        <v/>
      </c>
      <c r="H934" s="9">
        <f>IF(ISNA(MATCH(921,Engine!$C$2:$C$1369,0)),"",INDEX('Compliance Database'!$H$2:$H$1369,MATCH(921,Engine!$C$2:$C$1369,0)))</f>
        <v/>
      </c>
      <c r="I934" s="9">
        <f>IF(ISNA(MATCH(921,Engine!$C$2:$C$1369,0)),"",INDEX('Compliance Database'!$I$2:$I$1369,MATCH(921,Engine!$C$2:$C$1369,0)))</f>
        <v/>
      </c>
      <c r="J934" s="8">
        <f>IF(ISNA(MATCH(921,Engine!$C$2:$C$1369,0)),"",INDEX('Compliance Database'!$J$2:$J$1369,MATCH(921,Engine!$C$2:$C$1369,0)))</f>
        <v/>
      </c>
      <c r="K934" s="9">
        <f>IF(ISNA(MATCH(921,Engine!$C$2:$C$1369,0)),"",INDEX('Compliance Database'!$K$2:$K$1369,MATCH(921,Engine!$C$2:$C$1369,0)))</f>
        <v/>
      </c>
      <c r="L934" s="9">
        <f>IF(ISNA(MATCH(921,Engine!$C$2:$C$1369,0)),"",INDEX('Compliance Database'!$L$2:$L$1369,MATCH(921,Engine!$C$2:$C$1369,0)))</f>
        <v/>
      </c>
      <c r="M934" s="9">
        <f>IF(ISNA(MATCH(921,Engine!$C$2:$C$1369,0)),"",INDEX('Compliance Database'!$M$2:$M$1369,MATCH(921,Engine!$C$2:$C$1369,0)))</f>
        <v/>
      </c>
      <c r="N934" s="9">
        <f>IF(ISNA(MATCH(921,Engine!$C$2:$C$1369,0)),"",INDEX('Compliance Database'!$N$2:$N$1369,MATCH(921,Engine!$C$2:$C$1369,0)))</f>
        <v/>
      </c>
      <c r="O934" s="8">
        <f>IF(ISNA(MATCH(921,Engine!$C$2:$C$1369,0)),"",HYPERLINK(INDEX('Compliance Database'!$O$2:$O$1369,MATCH(921,Engine!$C$2:$C$1369,0)),"Open PDF"))</f>
        <v/>
      </c>
    </row>
    <row r="935" ht="188" customHeight="1">
      <c r="A935" s="8">
        <f>IF(ISNA(MATCH(922,Engine!$C$2:$C$1369,0)),"",INDEX('Compliance Database'!$A$2:$A$1369,MATCH(922,Engine!$C$2:$C$1369,0)))</f>
        <v/>
      </c>
      <c r="B935" s="8">
        <f>IF(ISNA(MATCH(922,Engine!$C$2:$C$1369,0)),"",INDEX('Compliance Database'!$B$2:$B$1369,MATCH(922,Engine!$C$2:$C$1369,0)))</f>
        <v/>
      </c>
      <c r="C935" s="8">
        <f>IF(ISNA(MATCH(922,Engine!$C$2:$C$1369,0)),"",INDEX('Compliance Database'!$C$2:$C$1369,MATCH(922,Engine!$C$2:$C$1369,0)))</f>
        <v/>
      </c>
      <c r="D935" s="9">
        <f>IF(ISNA(MATCH(922,Engine!$C$2:$C$1369,0)),"",INDEX('Compliance Database'!$D$2:$D$1369,MATCH(922,Engine!$C$2:$C$1369,0)))</f>
        <v/>
      </c>
      <c r="E935" s="8">
        <f>IF(ISNA(MATCH(922,Engine!$C$2:$C$1369,0)),"",INDEX('Compliance Database'!$E$2:$E$1369,MATCH(922,Engine!$C$2:$C$1369,0)))</f>
        <v/>
      </c>
      <c r="F935" s="8">
        <f>IF(ISNA(MATCH(922,Engine!$C$2:$C$1369,0)),"",INDEX('Compliance Database'!$F$2:$F$1369,MATCH(922,Engine!$C$2:$C$1369,0)))</f>
        <v/>
      </c>
      <c r="G935" s="8">
        <f>IF(ISNA(MATCH(922,Engine!$C$2:$C$1369,0)),"",INDEX('Compliance Database'!$G$2:$G$1369,MATCH(922,Engine!$C$2:$C$1369,0)))</f>
        <v/>
      </c>
      <c r="H935" s="9">
        <f>IF(ISNA(MATCH(922,Engine!$C$2:$C$1369,0)),"",INDEX('Compliance Database'!$H$2:$H$1369,MATCH(922,Engine!$C$2:$C$1369,0)))</f>
        <v/>
      </c>
      <c r="I935" s="9">
        <f>IF(ISNA(MATCH(922,Engine!$C$2:$C$1369,0)),"",INDEX('Compliance Database'!$I$2:$I$1369,MATCH(922,Engine!$C$2:$C$1369,0)))</f>
        <v/>
      </c>
      <c r="J935" s="8">
        <f>IF(ISNA(MATCH(922,Engine!$C$2:$C$1369,0)),"",INDEX('Compliance Database'!$J$2:$J$1369,MATCH(922,Engine!$C$2:$C$1369,0)))</f>
        <v/>
      </c>
      <c r="K935" s="9">
        <f>IF(ISNA(MATCH(922,Engine!$C$2:$C$1369,0)),"",INDEX('Compliance Database'!$K$2:$K$1369,MATCH(922,Engine!$C$2:$C$1369,0)))</f>
        <v/>
      </c>
      <c r="L935" s="9">
        <f>IF(ISNA(MATCH(922,Engine!$C$2:$C$1369,0)),"",INDEX('Compliance Database'!$L$2:$L$1369,MATCH(922,Engine!$C$2:$C$1369,0)))</f>
        <v/>
      </c>
      <c r="M935" s="9">
        <f>IF(ISNA(MATCH(922,Engine!$C$2:$C$1369,0)),"",INDEX('Compliance Database'!$M$2:$M$1369,MATCH(922,Engine!$C$2:$C$1369,0)))</f>
        <v/>
      </c>
      <c r="N935" s="9">
        <f>IF(ISNA(MATCH(922,Engine!$C$2:$C$1369,0)),"",INDEX('Compliance Database'!$N$2:$N$1369,MATCH(922,Engine!$C$2:$C$1369,0)))</f>
        <v/>
      </c>
      <c r="O935" s="8">
        <f>IF(ISNA(MATCH(922,Engine!$C$2:$C$1369,0)),"",HYPERLINK(INDEX('Compliance Database'!$O$2:$O$1369,MATCH(922,Engine!$C$2:$C$1369,0)),"Open PDF"))</f>
        <v/>
      </c>
    </row>
    <row r="936" ht="188" customHeight="1">
      <c r="A936" s="8">
        <f>IF(ISNA(MATCH(923,Engine!$C$2:$C$1369,0)),"",INDEX('Compliance Database'!$A$2:$A$1369,MATCH(923,Engine!$C$2:$C$1369,0)))</f>
        <v/>
      </c>
      <c r="B936" s="8">
        <f>IF(ISNA(MATCH(923,Engine!$C$2:$C$1369,0)),"",INDEX('Compliance Database'!$B$2:$B$1369,MATCH(923,Engine!$C$2:$C$1369,0)))</f>
        <v/>
      </c>
      <c r="C936" s="8">
        <f>IF(ISNA(MATCH(923,Engine!$C$2:$C$1369,0)),"",INDEX('Compliance Database'!$C$2:$C$1369,MATCH(923,Engine!$C$2:$C$1369,0)))</f>
        <v/>
      </c>
      <c r="D936" s="9">
        <f>IF(ISNA(MATCH(923,Engine!$C$2:$C$1369,0)),"",INDEX('Compliance Database'!$D$2:$D$1369,MATCH(923,Engine!$C$2:$C$1369,0)))</f>
        <v/>
      </c>
      <c r="E936" s="8">
        <f>IF(ISNA(MATCH(923,Engine!$C$2:$C$1369,0)),"",INDEX('Compliance Database'!$E$2:$E$1369,MATCH(923,Engine!$C$2:$C$1369,0)))</f>
        <v/>
      </c>
      <c r="F936" s="8">
        <f>IF(ISNA(MATCH(923,Engine!$C$2:$C$1369,0)),"",INDEX('Compliance Database'!$F$2:$F$1369,MATCH(923,Engine!$C$2:$C$1369,0)))</f>
        <v/>
      </c>
      <c r="G936" s="8">
        <f>IF(ISNA(MATCH(923,Engine!$C$2:$C$1369,0)),"",INDEX('Compliance Database'!$G$2:$G$1369,MATCH(923,Engine!$C$2:$C$1369,0)))</f>
        <v/>
      </c>
      <c r="H936" s="9">
        <f>IF(ISNA(MATCH(923,Engine!$C$2:$C$1369,0)),"",INDEX('Compliance Database'!$H$2:$H$1369,MATCH(923,Engine!$C$2:$C$1369,0)))</f>
        <v/>
      </c>
      <c r="I936" s="9">
        <f>IF(ISNA(MATCH(923,Engine!$C$2:$C$1369,0)),"",INDEX('Compliance Database'!$I$2:$I$1369,MATCH(923,Engine!$C$2:$C$1369,0)))</f>
        <v/>
      </c>
      <c r="J936" s="8">
        <f>IF(ISNA(MATCH(923,Engine!$C$2:$C$1369,0)),"",INDEX('Compliance Database'!$J$2:$J$1369,MATCH(923,Engine!$C$2:$C$1369,0)))</f>
        <v/>
      </c>
      <c r="K936" s="9">
        <f>IF(ISNA(MATCH(923,Engine!$C$2:$C$1369,0)),"",INDEX('Compliance Database'!$K$2:$K$1369,MATCH(923,Engine!$C$2:$C$1369,0)))</f>
        <v/>
      </c>
      <c r="L936" s="9">
        <f>IF(ISNA(MATCH(923,Engine!$C$2:$C$1369,0)),"",INDEX('Compliance Database'!$L$2:$L$1369,MATCH(923,Engine!$C$2:$C$1369,0)))</f>
        <v/>
      </c>
      <c r="M936" s="9">
        <f>IF(ISNA(MATCH(923,Engine!$C$2:$C$1369,0)),"",INDEX('Compliance Database'!$M$2:$M$1369,MATCH(923,Engine!$C$2:$C$1369,0)))</f>
        <v/>
      </c>
      <c r="N936" s="9">
        <f>IF(ISNA(MATCH(923,Engine!$C$2:$C$1369,0)),"",INDEX('Compliance Database'!$N$2:$N$1369,MATCH(923,Engine!$C$2:$C$1369,0)))</f>
        <v/>
      </c>
      <c r="O936" s="8">
        <f>IF(ISNA(MATCH(923,Engine!$C$2:$C$1369,0)),"",HYPERLINK(INDEX('Compliance Database'!$O$2:$O$1369,MATCH(923,Engine!$C$2:$C$1369,0)),"Open PDF"))</f>
        <v/>
      </c>
    </row>
    <row r="937" ht="188" customHeight="1">
      <c r="A937" s="8">
        <f>IF(ISNA(MATCH(924,Engine!$C$2:$C$1369,0)),"",INDEX('Compliance Database'!$A$2:$A$1369,MATCH(924,Engine!$C$2:$C$1369,0)))</f>
        <v/>
      </c>
      <c r="B937" s="8">
        <f>IF(ISNA(MATCH(924,Engine!$C$2:$C$1369,0)),"",INDEX('Compliance Database'!$B$2:$B$1369,MATCH(924,Engine!$C$2:$C$1369,0)))</f>
        <v/>
      </c>
      <c r="C937" s="8">
        <f>IF(ISNA(MATCH(924,Engine!$C$2:$C$1369,0)),"",INDEX('Compliance Database'!$C$2:$C$1369,MATCH(924,Engine!$C$2:$C$1369,0)))</f>
        <v/>
      </c>
      <c r="D937" s="9">
        <f>IF(ISNA(MATCH(924,Engine!$C$2:$C$1369,0)),"",INDEX('Compliance Database'!$D$2:$D$1369,MATCH(924,Engine!$C$2:$C$1369,0)))</f>
        <v/>
      </c>
      <c r="E937" s="8">
        <f>IF(ISNA(MATCH(924,Engine!$C$2:$C$1369,0)),"",INDEX('Compliance Database'!$E$2:$E$1369,MATCH(924,Engine!$C$2:$C$1369,0)))</f>
        <v/>
      </c>
      <c r="F937" s="8">
        <f>IF(ISNA(MATCH(924,Engine!$C$2:$C$1369,0)),"",INDEX('Compliance Database'!$F$2:$F$1369,MATCH(924,Engine!$C$2:$C$1369,0)))</f>
        <v/>
      </c>
      <c r="G937" s="8">
        <f>IF(ISNA(MATCH(924,Engine!$C$2:$C$1369,0)),"",INDEX('Compliance Database'!$G$2:$G$1369,MATCH(924,Engine!$C$2:$C$1369,0)))</f>
        <v/>
      </c>
      <c r="H937" s="9">
        <f>IF(ISNA(MATCH(924,Engine!$C$2:$C$1369,0)),"",INDEX('Compliance Database'!$H$2:$H$1369,MATCH(924,Engine!$C$2:$C$1369,0)))</f>
        <v/>
      </c>
      <c r="I937" s="9">
        <f>IF(ISNA(MATCH(924,Engine!$C$2:$C$1369,0)),"",INDEX('Compliance Database'!$I$2:$I$1369,MATCH(924,Engine!$C$2:$C$1369,0)))</f>
        <v/>
      </c>
      <c r="J937" s="8">
        <f>IF(ISNA(MATCH(924,Engine!$C$2:$C$1369,0)),"",INDEX('Compliance Database'!$J$2:$J$1369,MATCH(924,Engine!$C$2:$C$1369,0)))</f>
        <v/>
      </c>
      <c r="K937" s="9">
        <f>IF(ISNA(MATCH(924,Engine!$C$2:$C$1369,0)),"",INDEX('Compliance Database'!$K$2:$K$1369,MATCH(924,Engine!$C$2:$C$1369,0)))</f>
        <v/>
      </c>
      <c r="L937" s="9">
        <f>IF(ISNA(MATCH(924,Engine!$C$2:$C$1369,0)),"",INDEX('Compliance Database'!$L$2:$L$1369,MATCH(924,Engine!$C$2:$C$1369,0)))</f>
        <v/>
      </c>
      <c r="M937" s="9">
        <f>IF(ISNA(MATCH(924,Engine!$C$2:$C$1369,0)),"",INDEX('Compliance Database'!$M$2:$M$1369,MATCH(924,Engine!$C$2:$C$1369,0)))</f>
        <v/>
      </c>
      <c r="N937" s="9">
        <f>IF(ISNA(MATCH(924,Engine!$C$2:$C$1369,0)),"",INDEX('Compliance Database'!$N$2:$N$1369,MATCH(924,Engine!$C$2:$C$1369,0)))</f>
        <v/>
      </c>
      <c r="O937" s="8">
        <f>IF(ISNA(MATCH(924,Engine!$C$2:$C$1369,0)),"",HYPERLINK(INDEX('Compliance Database'!$O$2:$O$1369,MATCH(924,Engine!$C$2:$C$1369,0)),"Open PDF"))</f>
        <v/>
      </c>
    </row>
    <row r="938" ht="188" customHeight="1">
      <c r="A938" s="8">
        <f>IF(ISNA(MATCH(925,Engine!$C$2:$C$1369,0)),"",INDEX('Compliance Database'!$A$2:$A$1369,MATCH(925,Engine!$C$2:$C$1369,0)))</f>
        <v/>
      </c>
      <c r="B938" s="8">
        <f>IF(ISNA(MATCH(925,Engine!$C$2:$C$1369,0)),"",INDEX('Compliance Database'!$B$2:$B$1369,MATCH(925,Engine!$C$2:$C$1369,0)))</f>
        <v/>
      </c>
      <c r="C938" s="8">
        <f>IF(ISNA(MATCH(925,Engine!$C$2:$C$1369,0)),"",INDEX('Compliance Database'!$C$2:$C$1369,MATCH(925,Engine!$C$2:$C$1369,0)))</f>
        <v/>
      </c>
      <c r="D938" s="9">
        <f>IF(ISNA(MATCH(925,Engine!$C$2:$C$1369,0)),"",INDEX('Compliance Database'!$D$2:$D$1369,MATCH(925,Engine!$C$2:$C$1369,0)))</f>
        <v/>
      </c>
      <c r="E938" s="8">
        <f>IF(ISNA(MATCH(925,Engine!$C$2:$C$1369,0)),"",INDEX('Compliance Database'!$E$2:$E$1369,MATCH(925,Engine!$C$2:$C$1369,0)))</f>
        <v/>
      </c>
      <c r="F938" s="8">
        <f>IF(ISNA(MATCH(925,Engine!$C$2:$C$1369,0)),"",INDEX('Compliance Database'!$F$2:$F$1369,MATCH(925,Engine!$C$2:$C$1369,0)))</f>
        <v/>
      </c>
      <c r="G938" s="8">
        <f>IF(ISNA(MATCH(925,Engine!$C$2:$C$1369,0)),"",INDEX('Compliance Database'!$G$2:$G$1369,MATCH(925,Engine!$C$2:$C$1369,0)))</f>
        <v/>
      </c>
      <c r="H938" s="9">
        <f>IF(ISNA(MATCH(925,Engine!$C$2:$C$1369,0)),"",INDEX('Compliance Database'!$H$2:$H$1369,MATCH(925,Engine!$C$2:$C$1369,0)))</f>
        <v/>
      </c>
      <c r="I938" s="9">
        <f>IF(ISNA(MATCH(925,Engine!$C$2:$C$1369,0)),"",INDEX('Compliance Database'!$I$2:$I$1369,MATCH(925,Engine!$C$2:$C$1369,0)))</f>
        <v/>
      </c>
      <c r="J938" s="8">
        <f>IF(ISNA(MATCH(925,Engine!$C$2:$C$1369,0)),"",INDEX('Compliance Database'!$J$2:$J$1369,MATCH(925,Engine!$C$2:$C$1369,0)))</f>
        <v/>
      </c>
      <c r="K938" s="9">
        <f>IF(ISNA(MATCH(925,Engine!$C$2:$C$1369,0)),"",INDEX('Compliance Database'!$K$2:$K$1369,MATCH(925,Engine!$C$2:$C$1369,0)))</f>
        <v/>
      </c>
      <c r="L938" s="9">
        <f>IF(ISNA(MATCH(925,Engine!$C$2:$C$1369,0)),"",INDEX('Compliance Database'!$L$2:$L$1369,MATCH(925,Engine!$C$2:$C$1369,0)))</f>
        <v/>
      </c>
      <c r="M938" s="9">
        <f>IF(ISNA(MATCH(925,Engine!$C$2:$C$1369,0)),"",INDEX('Compliance Database'!$M$2:$M$1369,MATCH(925,Engine!$C$2:$C$1369,0)))</f>
        <v/>
      </c>
      <c r="N938" s="9">
        <f>IF(ISNA(MATCH(925,Engine!$C$2:$C$1369,0)),"",INDEX('Compliance Database'!$N$2:$N$1369,MATCH(925,Engine!$C$2:$C$1369,0)))</f>
        <v/>
      </c>
      <c r="O938" s="8">
        <f>IF(ISNA(MATCH(925,Engine!$C$2:$C$1369,0)),"",HYPERLINK(INDEX('Compliance Database'!$O$2:$O$1369,MATCH(925,Engine!$C$2:$C$1369,0)),"Open PDF"))</f>
        <v/>
      </c>
    </row>
    <row r="939" ht="188" customHeight="1">
      <c r="A939" s="8">
        <f>IF(ISNA(MATCH(926,Engine!$C$2:$C$1369,0)),"",INDEX('Compliance Database'!$A$2:$A$1369,MATCH(926,Engine!$C$2:$C$1369,0)))</f>
        <v/>
      </c>
      <c r="B939" s="8">
        <f>IF(ISNA(MATCH(926,Engine!$C$2:$C$1369,0)),"",INDEX('Compliance Database'!$B$2:$B$1369,MATCH(926,Engine!$C$2:$C$1369,0)))</f>
        <v/>
      </c>
      <c r="C939" s="8">
        <f>IF(ISNA(MATCH(926,Engine!$C$2:$C$1369,0)),"",INDEX('Compliance Database'!$C$2:$C$1369,MATCH(926,Engine!$C$2:$C$1369,0)))</f>
        <v/>
      </c>
      <c r="D939" s="9">
        <f>IF(ISNA(MATCH(926,Engine!$C$2:$C$1369,0)),"",INDEX('Compliance Database'!$D$2:$D$1369,MATCH(926,Engine!$C$2:$C$1369,0)))</f>
        <v/>
      </c>
      <c r="E939" s="8">
        <f>IF(ISNA(MATCH(926,Engine!$C$2:$C$1369,0)),"",INDEX('Compliance Database'!$E$2:$E$1369,MATCH(926,Engine!$C$2:$C$1369,0)))</f>
        <v/>
      </c>
      <c r="F939" s="8">
        <f>IF(ISNA(MATCH(926,Engine!$C$2:$C$1369,0)),"",INDEX('Compliance Database'!$F$2:$F$1369,MATCH(926,Engine!$C$2:$C$1369,0)))</f>
        <v/>
      </c>
      <c r="G939" s="8">
        <f>IF(ISNA(MATCH(926,Engine!$C$2:$C$1369,0)),"",INDEX('Compliance Database'!$G$2:$G$1369,MATCH(926,Engine!$C$2:$C$1369,0)))</f>
        <v/>
      </c>
      <c r="H939" s="9">
        <f>IF(ISNA(MATCH(926,Engine!$C$2:$C$1369,0)),"",INDEX('Compliance Database'!$H$2:$H$1369,MATCH(926,Engine!$C$2:$C$1369,0)))</f>
        <v/>
      </c>
      <c r="I939" s="9">
        <f>IF(ISNA(MATCH(926,Engine!$C$2:$C$1369,0)),"",INDEX('Compliance Database'!$I$2:$I$1369,MATCH(926,Engine!$C$2:$C$1369,0)))</f>
        <v/>
      </c>
      <c r="J939" s="8">
        <f>IF(ISNA(MATCH(926,Engine!$C$2:$C$1369,0)),"",INDEX('Compliance Database'!$J$2:$J$1369,MATCH(926,Engine!$C$2:$C$1369,0)))</f>
        <v/>
      </c>
      <c r="K939" s="9">
        <f>IF(ISNA(MATCH(926,Engine!$C$2:$C$1369,0)),"",INDEX('Compliance Database'!$K$2:$K$1369,MATCH(926,Engine!$C$2:$C$1369,0)))</f>
        <v/>
      </c>
      <c r="L939" s="9">
        <f>IF(ISNA(MATCH(926,Engine!$C$2:$C$1369,0)),"",INDEX('Compliance Database'!$L$2:$L$1369,MATCH(926,Engine!$C$2:$C$1369,0)))</f>
        <v/>
      </c>
      <c r="M939" s="9">
        <f>IF(ISNA(MATCH(926,Engine!$C$2:$C$1369,0)),"",INDEX('Compliance Database'!$M$2:$M$1369,MATCH(926,Engine!$C$2:$C$1369,0)))</f>
        <v/>
      </c>
      <c r="N939" s="9">
        <f>IF(ISNA(MATCH(926,Engine!$C$2:$C$1369,0)),"",INDEX('Compliance Database'!$N$2:$N$1369,MATCH(926,Engine!$C$2:$C$1369,0)))</f>
        <v/>
      </c>
      <c r="O939" s="8">
        <f>IF(ISNA(MATCH(926,Engine!$C$2:$C$1369,0)),"",HYPERLINK(INDEX('Compliance Database'!$O$2:$O$1369,MATCH(926,Engine!$C$2:$C$1369,0)),"Open PDF"))</f>
        <v/>
      </c>
    </row>
    <row r="940" ht="188" customHeight="1">
      <c r="A940" s="8">
        <f>IF(ISNA(MATCH(927,Engine!$C$2:$C$1369,0)),"",INDEX('Compliance Database'!$A$2:$A$1369,MATCH(927,Engine!$C$2:$C$1369,0)))</f>
        <v/>
      </c>
      <c r="B940" s="8">
        <f>IF(ISNA(MATCH(927,Engine!$C$2:$C$1369,0)),"",INDEX('Compliance Database'!$B$2:$B$1369,MATCH(927,Engine!$C$2:$C$1369,0)))</f>
        <v/>
      </c>
      <c r="C940" s="8">
        <f>IF(ISNA(MATCH(927,Engine!$C$2:$C$1369,0)),"",INDEX('Compliance Database'!$C$2:$C$1369,MATCH(927,Engine!$C$2:$C$1369,0)))</f>
        <v/>
      </c>
      <c r="D940" s="9">
        <f>IF(ISNA(MATCH(927,Engine!$C$2:$C$1369,0)),"",INDEX('Compliance Database'!$D$2:$D$1369,MATCH(927,Engine!$C$2:$C$1369,0)))</f>
        <v/>
      </c>
      <c r="E940" s="8">
        <f>IF(ISNA(MATCH(927,Engine!$C$2:$C$1369,0)),"",INDEX('Compliance Database'!$E$2:$E$1369,MATCH(927,Engine!$C$2:$C$1369,0)))</f>
        <v/>
      </c>
      <c r="F940" s="8">
        <f>IF(ISNA(MATCH(927,Engine!$C$2:$C$1369,0)),"",INDEX('Compliance Database'!$F$2:$F$1369,MATCH(927,Engine!$C$2:$C$1369,0)))</f>
        <v/>
      </c>
      <c r="G940" s="8">
        <f>IF(ISNA(MATCH(927,Engine!$C$2:$C$1369,0)),"",INDEX('Compliance Database'!$G$2:$G$1369,MATCH(927,Engine!$C$2:$C$1369,0)))</f>
        <v/>
      </c>
      <c r="H940" s="9">
        <f>IF(ISNA(MATCH(927,Engine!$C$2:$C$1369,0)),"",INDEX('Compliance Database'!$H$2:$H$1369,MATCH(927,Engine!$C$2:$C$1369,0)))</f>
        <v/>
      </c>
      <c r="I940" s="9">
        <f>IF(ISNA(MATCH(927,Engine!$C$2:$C$1369,0)),"",INDEX('Compliance Database'!$I$2:$I$1369,MATCH(927,Engine!$C$2:$C$1369,0)))</f>
        <v/>
      </c>
      <c r="J940" s="8">
        <f>IF(ISNA(MATCH(927,Engine!$C$2:$C$1369,0)),"",INDEX('Compliance Database'!$J$2:$J$1369,MATCH(927,Engine!$C$2:$C$1369,0)))</f>
        <v/>
      </c>
      <c r="K940" s="9">
        <f>IF(ISNA(MATCH(927,Engine!$C$2:$C$1369,0)),"",INDEX('Compliance Database'!$K$2:$K$1369,MATCH(927,Engine!$C$2:$C$1369,0)))</f>
        <v/>
      </c>
      <c r="L940" s="9">
        <f>IF(ISNA(MATCH(927,Engine!$C$2:$C$1369,0)),"",INDEX('Compliance Database'!$L$2:$L$1369,MATCH(927,Engine!$C$2:$C$1369,0)))</f>
        <v/>
      </c>
      <c r="M940" s="9">
        <f>IF(ISNA(MATCH(927,Engine!$C$2:$C$1369,0)),"",INDEX('Compliance Database'!$M$2:$M$1369,MATCH(927,Engine!$C$2:$C$1369,0)))</f>
        <v/>
      </c>
      <c r="N940" s="9">
        <f>IF(ISNA(MATCH(927,Engine!$C$2:$C$1369,0)),"",INDEX('Compliance Database'!$N$2:$N$1369,MATCH(927,Engine!$C$2:$C$1369,0)))</f>
        <v/>
      </c>
      <c r="O940" s="8">
        <f>IF(ISNA(MATCH(927,Engine!$C$2:$C$1369,0)),"",HYPERLINK(INDEX('Compliance Database'!$O$2:$O$1369,MATCH(927,Engine!$C$2:$C$1369,0)),"Open PDF"))</f>
        <v/>
      </c>
    </row>
    <row r="941" ht="188" customHeight="1">
      <c r="A941" s="8">
        <f>IF(ISNA(MATCH(928,Engine!$C$2:$C$1369,0)),"",INDEX('Compliance Database'!$A$2:$A$1369,MATCH(928,Engine!$C$2:$C$1369,0)))</f>
        <v/>
      </c>
      <c r="B941" s="8">
        <f>IF(ISNA(MATCH(928,Engine!$C$2:$C$1369,0)),"",INDEX('Compliance Database'!$B$2:$B$1369,MATCH(928,Engine!$C$2:$C$1369,0)))</f>
        <v/>
      </c>
      <c r="C941" s="8">
        <f>IF(ISNA(MATCH(928,Engine!$C$2:$C$1369,0)),"",INDEX('Compliance Database'!$C$2:$C$1369,MATCH(928,Engine!$C$2:$C$1369,0)))</f>
        <v/>
      </c>
      <c r="D941" s="9">
        <f>IF(ISNA(MATCH(928,Engine!$C$2:$C$1369,0)),"",INDEX('Compliance Database'!$D$2:$D$1369,MATCH(928,Engine!$C$2:$C$1369,0)))</f>
        <v/>
      </c>
      <c r="E941" s="8">
        <f>IF(ISNA(MATCH(928,Engine!$C$2:$C$1369,0)),"",INDEX('Compliance Database'!$E$2:$E$1369,MATCH(928,Engine!$C$2:$C$1369,0)))</f>
        <v/>
      </c>
      <c r="F941" s="8">
        <f>IF(ISNA(MATCH(928,Engine!$C$2:$C$1369,0)),"",INDEX('Compliance Database'!$F$2:$F$1369,MATCH(928,Engine!$C$2:$C$1369,0)))</f>
        <v/>
      </c>
      <c r="G941" s="8">
        <f>IF(ISNA(MATCH(928,Engine!$C$2:$C$1369,0)),"",INDEX('Compliance Database'!$G$2:$G$1369,MATCH(928,Engine!$C$2:$C$1369,0)))</f>
        <v/>
      </c>
      <c r="H941" s="9">
        <f>IF(ISNA(MATCH(928,Engine!$C$2:$C$1369,0)),"",INDEX('Compliance Database'!$H$2:$H$1369,MATCH(928,Engine!$C$2:$C$1369,0)))</f>
        <v/>
      </c>
      <c r="I941" s="9">
        <f>IF(ISNA(MATCH(928,Engine!$C$2:$C$1369,0)),"",INDEX('Compliance Database'!$I$2:$I$1369,MATCH(928,Engine!$C$2:$C$1369,0)))</f>
        <v/>
      </c>
      <c r="J941" s="8">
        <f>IF(ISNA(MATCH(928,Engine!$C$2:$C$1369,0)),"",INDEX('Compliance Database'!$J$2:$J$1369,MATCH(928,Engine!$C$2:$C$1369,0)))</f>
        <v/>
      </c>
      <c r="K941" s="9">
        <f>IF(ISNA(MATCH(928,Engine!$C$2:$C$1369,0)),"",INDEX('Compliance Database'!$K$2:$K$1369,MATCH(928,Engine!$C$2:$C$1369,0)))</f>
        <v/>
      </c>
      <c r="L941" s="9">
        <f>IF(ISNA(MATCH(928,Engine!$C$2:$C$1369,0)),"",INDEX('Compliance Database'!$L$2:$L$1369,MATCH(928,Engine!$C$2:$C$1369,0)))</f>
        <v/>
      </c>
      <c r="M941" s="9">
        <f>IF(ISNA(MATCH(928,Engine!$C$2:$C$1369,0)),"",INDEX('Compliance Database'!$M$2:$M$1369,MATCH(928,Engine!$C$2:$C$1369,0)))</f>
        <v/>
      </c>
      <c r="N941" s="9">
        <f>IF(ISNA(MATCH(928,Engine!$C$2:$C$1369,0)),"",INDEX('Compliance Database'!$N$2:$N$1369,MATCH(928,Engine!$C$2:$C$1369,0)))</f>
        <v/>
      </c>
      <c r="O941" s="8">
        <f>IF(ISNA(MATCH(928,Engine!$C$2:$C$1369,0)),"",HYPERLINK(INDEX('Compliance Database'!$O$2:$O$1369,MATCH(928,Engine!$C$2:$C$1369,0)),"Open PDF"))</f>
        <v/>
      </c>
    </row>
    <row r="942" ht="188" customHeight="1">
      <c r="A942" s="8">
        <f>IF(ISNA(MATCH(929,Engine!$C$2:$C$1369,0)),"",INDEX('Compliance Database'!$A$2:$A$1369,MATCH(929,Engine!$C$2:$C$1369,0)))</f>
        <v/>
      </c>
      <c r="B942" s="8">
        <f>IF(ISNA(MATCH(929,Engine!$C$2:$C$1369,0)),"",INDEX('Compliance Database'!$B$2:$B$1369,MATCH(929,Engine!$C$2:$C$1369,0)))</f>
        <v/>
      </c>
      <c r="C942" s="8">
        <f>IF(ISNA(MATCH(929,Engine!$C$2:$C$1369,0)),"",INDEX('Compliance Database'!$C$2:$C$1369,MATCH(929,Engine!$C$2:$C$1369,0)))</f>
        <v/>
      </c>
      <c r="D942" s="9">
        <f>IF(ISNA(MATCH(929,Engine!$C$2:$C$1369,0)),"",INDEX('Compliance Database'!$D$2:$D$1369,MATCH(929,Engine!$C$2:$C$1369,0)))</f>
        <v/>
      </c>
      <c r="E942" s="8">
        <f>IF(ISNA(MATCH(929,Engine!$C$2:$C$1369,0)),"",INDEX('Compliance Database'!$E$2:$E$1369,MATCH(929,Engine!$C$2:$C$1369,0)))</f>
        <v/>
      </c>
      <c r="F942" s="8">
        <f>IF(ISNA(MATCH(929,Engine!$C$2:$C$1369,0)),"",INDEX('Compliance Database'!$F$2:$F$1369,MATCH(929,Engine!$C$2:$C$1369,0)))</f>
        <v/>
      </c>
      <c r="G942" s="8">
        <f>IF(ISNA(MATCH(929,Engine!$C$2:$C$1369,0)),"",INDEX('Compliance Database'!$G$2:$G$1369,MATCH(929,Engine!$C$2:$C$1369,0)))</f>
        <v/>
      </c>
      <c r="H942" s="9">
        <f>IF(ISNA(MATCH(929,Engine!$C$2:$C$1369,0)),"",INDEX('Compliance Database'!$H$2:$H$1369,MATCH(929,Engine!$C$2:$C$1369,0)))</f>
        <v/>
      </c>
      <c r="I942" s="9">
        <f>IF(ISNA(MATCH(929,Engine!$C$2:$C$1369,0)),"",INDEX('Compliance Database'!$I$2:$I$1369,MATCH(929,Engine!$C$2:$C$1369,0)))</f>
        <v/>
      </c>
      <c r="J942" s="8">
        <f>IF(ISNA(MATCH(929,Engine!$C$2:$C$1369,0)),"",INDEX('Compliance Database'!$J$2:$J$1369,MATCH(929,Engine!$C$2:$C$1369,0)))</f>
        <v/>
      </c>
      <c r="K942" s="9">
        <f>IF(ISNA(MATCH(929,Engine!$C$2:$C$1369,0)),"",INDEX('Compliance Database'!$K$2:$K$1369,MATCH(929,Engine!$C$2:$C$1369,0)))</f>
        <v/>
      </c>
      <c r="L942" s="9">
        <f>IF(ISNA(MATCH(929,Engine!$C$2:$C$1369,0)),"",INDEX('Compliance Database'!$L$2:$L$1369,MATCH(929,Engine!$C$2:$C$1369,0)))</f>
        <v/>
      </c>
      <c r="M942" s="9">
        <f>IF(ISNA(MATCH(929,Engine!$C$2:$C$1369,0)),"",INDEX('Compliance Database'!$M$2:$M$1369,MATCH(929,Engine!$C$2:$C$1369,0)))</f>
        <v/>
      </c>
      <c r="N942" s="9">
        <f>IF(ISNA(MATCH(929,Engine!$C$2:$C$1369,0)),"",INDEX('Compliance Database'!$N$2:$N$1369,MATCH(929,Engine!$C$2:$C$1369,0)))</f>
        <v/>
      </c>
      <c r="O942" s="8">
        <f>IF(ISNA(MATCH(929,Engine!$C$2:$C$1369,0)),"",HYPERLINK(INDEX('Compliance Database'!$O$2:$O$1369,MATCH(929,Engine!$C$2:$C$1369,0)),"Open PDF"))</f>
        <v/>
      </c>
    </row>
    <row r="943" ht="188" customHeight="1">
      <c r="A943" s="8">
        <f>IF(ISNA(MATCH(930,Engine!$C$2:$C$1369,0)),"",INDEX('Compliance Database'!$A$2:$A$1369,MATCH(930,Engine!$C$2:$C$1369,0)))</f>
        <v/>
      </c>
      <c r="B943" s="8">
        <f>IF(ISNA(MATCH(930,Engine!$C$2:$C$1369,0)),"",INDEX('Compliance Database'!$B$2:$B$1369,MATCH(930,Engine!$C$2:$C$1369,0)))</f>
        <v/>
      </c>
      <c r="C943" s="8">
        <f>IF(ISNA(MATCH(930,Engine!$C$2:$C$1369,0)),"",INDEX('Compliance Database'!$C$2:$C$1369,MATCH(930,Engine!$C$2:$C$1369,0)))</f>
        <v/>
      </c>
      <c r="D943" s="9">
        <f>IF(ISNA(MATCH(930,Engine!$C$2:$C$1369,0)),"",INDEX('Compliance Database'!$D$2:$D$1369,MATCH(930,Engine!$C$2:$C$1369,0)))</f>
        <v/>
      </c>
      <c r="E943" s="8">
        <f>IF(ISNA(MATCH(930,Engine!$C$2:$C$1369,0)),"",INDEX('Compliance Database'!$E$2:$E$1369,MATCH(930,Engine!$C$2:$C$1369,0)))</f>
        <v/>
      </c>
      <c r="F943" s="8">
        <f>IF(ISNA(MATCH(930,Engine!$C$2:$C$1369,0)),"",INDEX('Compliance Database'!$F$2:$F$1369,MATCH(930,Engine!$C$2:$C$1369,0)))</f>
        <v/>
      </c>
      <c r="G943" s="8">
        <f>IF(ISNA(MATCH(930,Engine!$C$2:$C$1369,0)),"",INDEX('Compliance Database'!$G$2:$G$1369,MATCH(930,Engine!$C$2:$C$1369,0)))</f>
        <v/>
      </c>
      <c r="H943" s="9">
        <f>IF(ISNA(MATCH(930,Engine!$C$2:$C$1369,0)),"",INDEX('Compliance Database'!$H$2:$H$1369,MATCH(930,Engine!$C$2:$C$1369,0)))</f>
        <v/>
      </c>
      <c r="I943" s="9">
        <f>IF(ISNA(MATCH(930,Engine!$C$2:$C$1369,0)),"",INDEX('Compliance Database'!$I$2:$I$1369,MATCH(930,Engine!$C$2:$C$1369,0)))</f>
        <v/>
      </c>
      <c r="J943" s="8">
        <f>IF(ISNA(MATCH(930,Engine!$C$2:$C$1369,0)),"",INDEX('Compliance Database'!$J$2:$J$1369,MATCH(930,Engine!$C$2:$C$1369,0)))</f>
        <v/>
      </c>
      <c r="K943" s="9">
        <f>IF(ISNA(MATCH(930,Engine!$C$2:$C$1369,0)),"",INDEX('Compliance Database'!$K$2:$K$1369,MATCH(930,Engine!$C$2:$C$1369,0)))</f>
        <v/>
      </c>
      <c r="L943" s="9">
        <f>IF(ISNA(MATCH(930,Engine!$C$2:$C$1369,0)),"",INDEX('Compliance Database'!$L$2:$L$1369,MATCH(930,Engine!$C$2:$C$1369,0)))</f>
        <v/>
      </c>
      <c r="M943" s="9">
        <f>IF(ISNA(MATCH(930,Engine!$C$2:$C$1369,0)),"",INDEX('Compliance Database'!$M$2:$M$1369,MATCH(930,Engine!$C$2:$C$1369,0)))</f>
        <v/>
      </c>
      <c r="N943" s="9">
        <f>IF(ISNA(MATCH(930,Engine!$C$2:$C$1369,0)),"",INDEX('Compliance Database'!$N$2:$N$1369,MATCH(930,Engine!$C$2:$C$1369,0)))</f>
        <v/>
      </c>
      <c r="O943" s="8">
        <f>IF(ISNA(MATCH(930,Engine!$C$2:$C$1369,0)),"",HYPERLINK(INDEX('Compliance Database'!$O$2:$O$1369,MATCH(930,Engine!$C$2:$C$1369,0)),"Open PDF"))</f>
        <v/>
      </c>
    </row>
    <row r="944" ht="188" customHeight="1">
      <c r="A944" s="8">
        <f>IF(ISNA(MATCH(931,Engine!$C$2:$C$1369,0)),"",INDEX('Compliance Database'!$A$2:$A$1369,MATCH(931,Engine!$C$2:$C$1369,0)))</f>
        <v/>
      </c>
      <c r="B944" s="8">
        <f>IF(ISNA(MATCH(931,Engine!$C$2:$C$1369,0)),"",INDEX('Compliance Database'!$B$2:$B$1369,MATCH(931,Engine!$C$2:$C$1369,0)))</f>
        <v/>
      </c>
      <c r="C944" s="8">
        <f>IF(ISNA(MATCH(931,Engine!$C$2:$C$1369,0)),"",INDEX('Compliance Database'!$C$2:$C$1369,MATCH(931,Engine!$C$2:$C$1369,0)))</f>
        <v/>
      </c>
      <c r="D944" s="9">
        <f>IF(ISNA(MATCH(931,Engine!$C$2:$C$1369,0)),"",INDEX('Compliance Database'!$D$2:$D$1369,MATCH(931,Engine!$C$2:$C$1369,0)))</f>
        <v/>
      </c>
      <c r="E944" s="8">
        <f>IF(ISNA(MATCH(931,Engine!$C$2:$C$1369,0)),"",INDEX('Compliance Database'!$E$2:$E$1369,MATCH(931,Engine!$C$2:$C$1369,0)))</f>
        <v/>
      </c>
      <c r="F944" s="8">
        <f>IF(ISNA(MATCH(931,Engine!$C$2:$C$1369,0)),"",INDEX('Compliance Database'!$F$2:$F$1369,MATCH(931,Engine!$C$2:$C$1369,0)))</f>
        <v/>
      </c>
      <c r="G944" s="8">
        <f>IF(ISNA(MATCH(931,Engine!$C$2:$C$1369,0)),"",INDEX('Compliance Database'!$G$2:$G$1369,MATCH(931,Engine!$C$2:$C$1369,0)))</f>
        <v/>
      </c>
      <c r="H944" s="9">
        <f>IF(ISNA(MATCH(931,Engine!$C$2:$C$1369,0)),"",INDEX('Compliance Database'!$H$2:$H$1369,MATCH(931,Engine!$C$2:$C$1369,0)))</f>
        <v/>
      </c>
      <c r="I944" s="9">
        <f>IF(ISNA(MATCH(931,Engine!$C$2:$C$1369,0)),"",INDEX('Compliance Database'!$I$2:$I$1369,MATCH(931,Engine!$C$2:$C$1369,0)))</f>
        <v/>
      </c>
      <c r="J944" s="8">
        <f>IF(ISNA(MATCH(931,Engine!$C$2:$C$1369,0)),"",INDEX('Compliance Database'!$J$2:$J$1369,MATCH(931,Engine!$C$2:$C$1369,0)))</f>
        <v/>
      </c>
      <c r="K944" s="9">
        <f>IF(ISNA(MATCH(931,Engine!$C$2:$C$1369,0)),"",INDEX('Compliance Database'!$K$2:$K$1369,MATCH(931,Engine!$C$2:$C$1369,0)))</f>
        <v/>
      </c>
      <c r="L944" s="9">
        <f>IF(ISNA(MATCH(931,Engine!$C$2:$C$1369,0)),"",INDEX('Compliance Database'!$L$2:$L$1369,MATCH(931,Engine!$C$2:$C$1369,0)))</f>
        <v/>
      </c>
      <c r="M944" s="9">
        <f>IF(ISNA(MATCH(931,Engine!$C$2:$C$1369,0)),"",INDEX('Compliance Database'!$M$2:$M$1369,MATCH(931,Engine!$C$2:$C$1369,0)))</f>
        <v/>
      </c>
      <c r="N944" s="9">
        <f>IF(ISNA(MATCH(931,Engine!$C$2:$C$1369,0)),"",INDEX('Compliance Database'!$N$2:$N$1369,MATCH(931,Engine!$C$2:$C$1369,0)))</f>
        <v/>
      </c>
      <c r="O944" s="8">
        <f>IF(ISNA(MATCH(931,Engine!$C$2:$C$1369,0)),"",HYPERLINK(INDEX('Compliance Database'!$O$2:$O$1369,MATCH(931,Engine!$C$2:$C$1369,0)),"Open PDF"))</f>
        <v/>
      </c>
    </row>
    <row r="945" ht="188" customHeight="1">
      <c r="A945" s="8">
        <f>IF(ISNA(MATCH(932,Engine!$C$2:$C$1369,0)),"",INDEX('Compliance Database'!$A$2:$A$1369,MATCH(932,Engine!$C$2:$C$1369,0)))</f>
        <v/>
      </c>
      <c r="B945" s="8">
        <f>IF(ISNA(MATCH(932,Engine!$C$2:$C$1369,0)),"",INDEX('Compliance Database'!$B$2:$B$1369,MATCH(932,Engine!$C$2:$C$1369,0)))</f>
        <v/>
      </c>
      <c r="C945" s="8">
        <f>IF(ISNA(MATCH(932,Engine!$C$2:$C$1369,0)),"",INDEX('Compliance Database'!$C$2:$C$1369,MATCH(932,Engine!$C$2:$C$1369,0)))</f>
        <v/>
      </c>
      <c r="D945" s="9">
        <f>IF(ISNA(MATCH(932,Engine!$C$2:$C$1369,0)),"",INDEX('Compliance Database'!$D$2:$D$1369,MATCH(932,Engine!$C$2:$C$1369,0)))</f>
        <v/>
      </c>
      <c r="E945" s="8">
        <f>IF(ISNA(MATCH(932,Engine!$C$2:$C$1369,0)),"",INDEX('Compliance Database'!$E$2:$E$1369,MATCH(932,Engine!$C$2:$C$1369,0)))</f>
        <v/>
      </c>
      <c r="F945" s="8">
        <f>IF(ISNA(MATCH(932,Engine!$C$2:$C$1369,0)),"",INDEX('Compliance Database'!$F$2:$F$1369,MATCH(932,Engine!$C$2:$C$1369,0)))</f>
        <v/>
      </c>
      <c r="G945" s="8">
        <f>IF(ISNA(MATCH(932,Engine!$C$2:$C$1369,0)),"",INDEX('Compliance Database'!$G$2:$G$1369,MATCH(932,Engine!$C$2:$C$1369,0)))</f>
        <v/>
      </c>
      <c r="H945" s="9">
        <f>IF(ISNA(MATCH(932,Engine!$C$2:$C$1369,0)),"",INDEX('Compliance Database'!$H$2:$H$1369,MATCH(932,Engine!$C$2:$C$1369,0)))</f>
        <v/>
      </c>
      <c r="I945" s="9">
        <f>IF(ISNA(MATCH(932,Engine!$C$2:$C$1369,0)),"",INDEX('Compliance Database'!$I$2:$I$1369,MATCH(932,Engine!$C$2:$C$1369,0)))</f>
        <v/>
      </c>
      <c r="J945" s="8">
        <f>IF(ISNA(MATCH(932,Engine!$C$2:$C$1369,0)),"",INDEX('Compliance Database'!$J$2:$J$1369,MATCH(932,Engine!$C$2:$C$1369,0)))</f>
        <v/>
      </c>
      <c r="K945" s="9">
        <f>IF(ISNA(MATCH(932,Engine!$C$2:$C$1369,0)),"",INDEX('Compliance Database'!$K$2:$K$1369,MATCH(932,Engine!$C$2:$C$1369,0)))</f>
        <v/>
      </c>
      <c r="L945" s="9">
        <f>IF(ISNA(MATCH(932,Engine!$C$2:$C$1369,0)),"",INDEX('Compliance Database'!$L$2:$L$1369,MATCH(932,Engine!$C$2:$C$1369,0)))</f>
        <v/>
      </c>
      <c r="M945" s="9">
        <f>IF(ISNA(MATCH(932,Engine!$C$2:$C$1369,0)),"",INDEX('Compliance Database'!$M$2:$M$1369,MATCH(932,Engine!$C$2:$C$1369,0)))</f>
        <v/>
      </c>
      <c r="N945" s="9">
        <f>IF(ISNA(MATCH(932,Engine!$C$2:$C$1369,0)),"",INDEX('Compliance Database'!$N$2:$N$1369,MATCH(932,Engine!$C$2:$C$1369,0)))</f>
        <v/>
      </c>
      <c r="O945" s="8">
        <f>IF(ISNA(MATCH(932,Engine!$C$2:$C$1369,0)),"",HYPERLINK(INDEX('Compliance Database'!$O$2:$O$1369,MATCH(932,Engine!$C$2:$C$1369,0)),"Open PDF"))</f>
        <v/>
      </c>
    </row>
    <row r="946" ht="188" customHeight="1">
      <c r="A946" s="8">
        <f>IF(ISNA(MATCH(933,Engine!$C$2:$C$1369,0)),"",INDEX('Compliance Database'!$A$2:$A$1369,MATCH(933,Engine!$C$2:$C$1369,0)))</f>
        <v/>
      </c>
      <c r="B946" s="8">
        <f>IF(ISNA(MATCH(933,Engine!$C$2:$C$1369,0)),"",INDEX('Compliance Database'!$B$2:$B$1369,MATCH(933,Engine!$C$2:$C$1369,0)))</f>
        <v/>
      </c>
      <c r="C946" s="8">
        <f>IF(ISNA(MATCH(933,Engine!$C$2:$C$1369,0)),"",INDEX('Compliance Database'!$C$2:$C$1369,MATCH(933,Engine!$C$2:$C$1369,0)))</f>
        <v/>
      </c>
      <c r="D946" s="9">
        <f>IF(ISNA(MATCH(933,Engine!$C$2:$C$1369,0)),"",INDEX('Compliance Database'!$D$2:$D$1369,MATCH(933,Engine!$C$2:$C$1369,0)))</f>
        <v/>
      </c>
      <c r="E946" s="8">
        <f>IF(ISNA(MATCH(933,Engine!$C$2:$C$1369,0)),"",INDEX('Compliance Database'!$E$2:$E$1369,MATCH(933,Engine!$C$2:$C$1369,0)))</f>
        <v/>
      </c>
      <c r="F946" s="8">
        <f>IF(ISNA(MATCH(933,Engine!$C$2:$C$1369,0)),"",INDEX('Compliance Database'!$F$2:$F$1369,MATCH(933,Engine!$C$2:$C$1369,0)))</f>
        <v/>
      </c>
      <c r="G946" s="8">
        <f>IF(ISNA(MATCH(933,Engine!$C$2:$C$1369,0)),"",INDEX('Compliance Database'!$G$2:$G$1369,MATCH(933,Engine!$C$2:$C$1369,0)))</f>
        <v/>
      </c>
      <c r="H946" s="9">
        <f>IF(ISNA(MATCH(933,Engine!$C$2:$C$1369,0)),"",INDEX('Compliance Database'!$H$2:$H$1369,MATCH(933,Engine!$C$2:$C$1369,0)))</f>
        <v/>
      </c>
      <c r="I946" s="9">
        <f>IF(ISNA(MATCH(933,Engine!$C$2:$C$1369,0)),"",INDEX('Compliance Database'!$I$2:$I$1369,MATCH(933,Engine!$C$2:$C$1369,0)))</f>
        <v/>
      </c>
      <c r="J946" s="8">
        <f>IF(ISNA(MATCH(933,Engine!$C$2:$C$1369,0)),"",INDEX('Compliance Database'!$J$2:$J$1369,MATCH(933,Engine!$C$2:$C$1369,0)))</f>
        <v/>
      </c>
      <c r="K946" s="9">
        <f>IF(ISNA(MATCH(933,Engine!$C$2:$C$1369,0)),"",INDEX('Compliance Database'!$K$2:$K$1369,MATCH(933,Engine!$C$2:$C$1369,0)))</f>
        <v/>
      </c>
      <c r="L946" s="9">
        <f>IF(ISNA(MATCH(933,Engine!$C$2:$C$1369,0)),"",INDEX('Compliance Database'!$L$2:$L$1369,MATCH(933,Engine!$C$2:$C$1369,0)))</f>
        <v/>
      </c>
      <c r="M946" s="9">
        <f>IF(ISNA(MATCH(933,Engine!$C$2:$C$1369,0)),"",INDEX('Compliance Database'!$M$2:$M$1369,MATCH(933,Engine!$C$2:$C$1369,0)))</f>
        <v/>
      </c>
      <c r="N946" s="9">
        <f>IF(ISNA(MATCH(933,Engine!$C$2:$C$1369,0)),"",INDEX('Compliance Database'!$N$2:$N$1369,MATCH(933,Engine!$C$2:$C$1369,0)))</f>
        <v/>
      </c>
      <c r="O946" s="8">
        <f>IF(ISNA(MATCH(933,Engine!$C$2:$C$1369,0)),"",HYPERLINK(INDEX('Compliance Database'!$O$2:$O$1369,MATCH(933,Engine!$C$2:$C$1369,0)),"Open PDF"))</f>
        <v/>
      </c>
    </row>
    <row r="947" ht="188" customHeight="1">
      <c r="A947" s="8">
        <f>IF(ISNA(MATCH(934,Engine!$C$2:$C$1369,0)),"",INDEX('Compliance Database'!$A$2:$A$1369,MATCH(934,Engine!$C$2:$C$1369,0)))</f>
        <v/>
      </c>
      <c r="B947" s="8">
        <f>IF(ISNA(MATCH(934,Engine!$C$2:$C$1369,0)),"",INDEX('Compliance Database'!$B$2:$B$1369,MATCH(934,Engine!$C$2:$C$1369,0)))</f>
        <v/>
      </c>
      <c r="C947" s="8">
        <f>IF(ISNA(MATCH(934,Engine!$C$2:$C$1369,0)),"",INDEX('Compliance Database'!$C$2:$C$1369,MATCH(934,Engine!$C$2:$C$1369,0)))</f>
        <v/>
      </c>
      <c r="D947" s="9">
        <f>IF(ISNA(MATCH(934,Engine!$C$2:$C$1369,0)),"",INDEX('Compliance Database'!$D$2:$D$1369,MATCH(934,Engine!$C$2:$C$1369,0)))</f>
        <v/>
      </c>
      <c r="E947" s="8">
        <f>IF(ISNA(MATCH(934,Engine!$C$2:$C$1369,0)),"",INDEX('Compliance Database'!$E$2:$E$1369,MATCH(934,Engine!$C$2:$C$1369,0)))</f>
        <v/>
      </c>
      <c r="F947" s="8">
        <f>IF(ISNA(MATCH(934,Engine!$C$2:$C$1369,0)),"",INDEX('Compliance Database'!$F$2:$F$1369,MATCH(934,Engine!$C$2:$C$1369,0)))</f>
        <v/>
      </c>
      <c r="G947" s="8">
        <f>IF(ISNA(MATCH(934,Engine!$C$2:$C$1369,0)),"",INDEX('Compliance Database'!$G$2:$G$1369,MATCH(934,Engine!$C$2:$C$1369,0)))</f>
        <v/>
      </c>
      <c r="H947" s="9">
        <f>IF(ISNA(MATCH(934,Engine!$C$2:$C$1369,0)),"",INDEX('Compliance Database'!$H$2:$H$1369,MATCH(934,Engine!$C$2:$C$1369,0)))</f>
        <v/>
      </c>
      <c r="I947" s="9">
        <f>IF(ISNA(MATCH(934,Engine!$C$2:$C$1369,0)),"",INDEX('Compliance Database'!$I$2:$I$1369,MATCH(934,Engine!$C$2:$C$1369,0)))</f>
        <v/>
      </c>
      <c r="J947" s="8">
        <f>IF(ISNA(MATCH(934,Engine!$C$2:$C$1369,0)),"",INDEX('Compliance Database'!$J$2:$J$1369,MATCH(934,Engine!$C$2:$C$1369,0)))</f>
        <v/>
      </c>
      <c r="K947" s="9">
        <f>IF(ISNA(MATCH(934,Engine!$C$2:$C$1369,0)),"",INDEX('Compliance Database'!$K$2:$K$1369,MATCH(934,Engine!$C$2:$C$1369,0)))</f>
        <v/>
      </c>
      <c r="L947" s="9">
        <f>IF(ISNA(MATCH(934,Engine!$C$2:$C$1369,0)),"",INDEX('Compliance Database'!$L$2:$L$1369,MATCH(934,Engine!$C$2:$C$1369,0)))</f>
        <v/>
      </c>
      <c r="M947" s="9">
        <f>IF(ISNA(MATCH(934,Engine!$C$2:$C$1369,0)),"",INDEX('Compliance Database'!$M$2:$M$1369,MATCH(934,Engine!$C$2:$C$1369,0)))</f>
        <v/>
      </c>
      <c r="N947" s="9">
        <f>IF(ISNA(MATCH(934,Engine!$C$2:$C$1369,0)),"",INDEX('Compliance Database'!$N$2:$N$1369,MATCH(934,Engine!$C$2:$C$1369,0)))</f>
        <v/>
      </c>
      <c r="O947" s="8">
        <f>IF(ISNA(MATCH(934,Engine!$C$2:$C$1369,0)),"",HYPERLINK(INDEX('Compliance Database'!$O$2:$O$1369,MATCH(934,Engine!$C$2:$C$1369,0)),"Open PDF"))</f>
        <v/>
      </c>
    </row>
    <row r="948" ht="188" customHeight="1">
      <c r="A948" s="8">
        <f>IF(ISNA(MATCH(935,Engine!$C$2:$C$1369,0)),"",INDEX('Compliance Database'!$A$2:$A$1369,MATCH(935,Engine!$C$2:$C$1369,0)))</f>
        <v/>
      </c>
      <c r="B948" s="8">
        <f>IF(ISNA(MATCH(935,Engine!$C$2:$C$1369,0)),"",INDEX('Compliance Database'!$B$2:$B$1369,MATCH(935,Engine!$C$2:$C$1369,0)))</f>
        <v/>
      </c>
      <c r="C948" s="8">
        <f>IF(ISNA(MATCH(935,Engine!$C$2:$C$1369,0)),"",INDEX('Compliance Database'!$C$2:$C$1369,MATCH(935,Engine!$C$2:$C$1369,0)))</f>
        <v/>
      </c>
      <c r="D948" s="9">
        <f>IF(ISNA(MATCH(935,Engine!$C$2:$C$1369,0)),"",INDEX('Compliance Database'!$D$2:$D$1369,MATCH(935,Engine!$C$2:$C$1369,0)))</f>
        <v/>
      </c>
      <c r="E948" s="8">
        <f>IF(ISNA(MATCH(935,Engine!$C$2:$C$1369,0)),"",INDEX('Compliance Database'!$E$2:$E$1369,MATCH(935,Engine!$C$2:$C$1369,0)))</f>
        <v/>
      </c>
      <c r="F948" s="8">
        <f>IF(ISNA(MATCH(935,Engine!$C$2:$C$1369,0)),"",INDEX('Compliance Database'!$F$2:$F$1369,MATCH(935,Engine!$C$2:$C$1369,0)))</f>
        <v/>
      </c>
      <c r="G948" s="8">
        <f>IF(ISNA(MATCH(935,Engine!$C$2:$C$1369,0)),"",INDEX('Compliance Database'!$G$2:$G$1369,MATCH(935,Engine!$C$2:$C$1369,0)))</f>
        <v/>
      </c>
      <c r="H948" s="9">
        <f>IF(ISNA(MATCH(935,Engine!$C$2:$C$1369,0)),"",INDEX('Compliance Database'!$H$2:$H$1369,MATCH(935,Engine!$C$2:$C$1369,0)))</f>
        <v/>
      </c>
      <c r="I948" s="9">
        <f>IF(ISNA(MATCH(935,Engine!$C$2:$C$1369,0)),"",INDEX('Compliance Database'!$I$2:$I$1369,MATCH(935,Engine!$C$2:$C$1369,0)))</f>
        <v/>
      </c>
      <c r="J948" s="8">
        <f>IF(ISNA(MATCH(935,Engine!$C$2:$C$1369,0)),"",INDEX('Compliance Database'!$J$2:$J$1369,MATCH(935,Engine!$C$2:$C$1369,0)))</f>
        <v/>
      </c>
      <c r="K948" s="9">
        <f>IF(ISNA(MATCH(935,Engine!$C$2:$C$1369,0)),"",INDEX('Compliance Database'!$K$2:$K$1369,MATCH(935,Engine!$C$2:$C$1369,0)))</f>
        <v/>
      </c>
      <c r="L948" s="9">
        <f>IF(ISNA(MATCH(935,Engine!$C$2:$C$1369,0)),"",INDEX('Compliance Database'!$L$2:$L$1369,MATCH(935,Engine!$C$2:$C$1369,0)))</f>
        <v/>
      </c>
      <c r="M948" s="9">
        <f>IF(ISNA(MATCH(935,Engine!$C$2:$C$1369,0)),"",INDEX('Compliance Database'!$M$2:$M$1369,MATCH(935,Engine!$C$2:$C$1369,0)))</f>
        <v/>
      </c>
      <c r="N948" s="9">
        <f>IF(ISNA(MATCH(935,Engine!$C$2:$C$1369,0)),"",INDEX('Compliance Database'!$N$2:$N$1369,MATCH(935,Engine!$C$2:$C$1369,0)))</f>
        <v/>
      </c>
      <c r="O948" s="8">
        <f>IF(ISNA(MATCH(935,Engine!$C$2:$C$1369,0)),"",HYPERLINK(INDEX('Compliance Database'!$O$2:$O$1369,MATCH(935,Engine!$C$2:$C$1369,0)),"Open PDF"))</f>
        <v/>
      </c>
    </row>
    <row r="949" ht="188" customHeight="1">
      <c r="A949" s="8">
        <f>IF(ISNA(MATCH(936,Engine!$C$2:$C$1369,0)),"",INDEX('Compliance Database'!$A$2:$A$1369,MATCH(936,Engine!$C$2:$C$1369,0)))</f>
        <v/>
      </c>
      <c r="B949" s="8">
        <f>IF(ISNA(MATCH(936,Engine!$C$2:$C$1369,0)),"",INDEX('Compliance Database'!$B$2:$B$1369,MATCH(936,Engine!$C$2:$C$1369,0)))</f>
        <v/>
      </c>
      <c r="C949" s="8">
        <f>IF(ISNA(MATCH(936,Engine!$C$2:$C$1369,0)),"",INDEX('Compliance Database'!$C$2:$C$1369,MATCH(936,Engine!$C$2:$C$1369,0)))</f>
        <v/>
      </c>
      <c r="D949" s="9">
        <f>IF(ISNA(MATCH(936,Engine!$C$2:$C$1369,0)),"",INDEX('Compliance Database'!$D$2:$D$1369,MATCH(936,Engine!$C$2:$C$1369,0)))</f>
        <v/>
      </c>
      <c r="E949" s="8">
        <f>IF(ISNA(MATCH(936,Engine!$C$2:$C$1369,0)),"",INDEX('Compliance Database'!$E$2:$E$1369,MATCH(936,Engine!$C$2:$C$1369,0)))</f>
        <v/>
      </c>
      <c r="F949" s="8">
        <f>IF(ISNA(MATCH(936,Engine!$C$2:$C$1369,0)),"",INDEX('Compliance Database'!$F$2:$F$1369,MATCH(936,Engine!$C$2:$C$1369,0)))</f>
        <v/>
      </c>
      <c r="G949" s="8">
        <f>IF(ISNA(MATCH(936,Engine!$C$2:$C$1369,0)),"",INDEX('Compliance Database'!$G$2:$G$1369,MATCH(936,Engine!$C$2:$C$1369,0)))</f>
        <v/>
      </c>
      <c r="H949" s="9">
        <f>IF(ISNA(MATCH(936,Engine!$C$2:$C$1369,0)),"",INDEX('Compliance Database'!$H$2:$H$1369,MATCH(936,Engine!$C$2:$C$1369,0)))</f>
        <v/>
      </c>
      <c r="I949" s="9">
        <f>IF(ISNA(MATCH(936,Engine!$C$2:$C$1369,0)),"",INDEX('Compliance Database'!$I$2:$I$1369,MATCH(936,Engine!$C$2:$C$1369,0)))</f>
        <v/>
      </c>
      <c r="J949" s="8">
        <f>IF(ISNA(MATCH(936,Engine!$C$2:$C$1369,0)),"",INDEX('Compliance Database'!$J$2:$J$1369,MATCH(936,Engine!$C$2:$C$1369,0)))</f>
        <v/>
      </c>
      <c r="K949" s="9">
        <f>IF(ISNA(MATCH(936,Engine!$C$2:$C$1369,0)),"",INDEX('Compliance Database'!$K$2:$K$1369,MATCH(936,Engine!$C$2:$C$1369,0)))</f>
        <v/>
      </c>
      <c r="L949" s="9">
        <f>IF(ISNA(MATCH(936,Engine!$C$2:$C$1369,0)),"",INDEX('Compliance Database'!$L$2:$L$1369,MATCH(936,Engine!$C$2:$C$1369,0)))</f>
        <v/>
      </c>
      <c r="M949" s="9">
        <f>IF(ISNA(MATCH(936,Engine!$C$2:$C$1369,0)),"",INDEX('Compliance Database'!$M$2:$M$1369,MATCH(936,Engine!$C$2:$C$1369,0)))</f>
        <v/>
      </c>
      <c r="N949" s="9">
        <f>IF(ISNA(MATCH(936,Engine!$C$2:$C$1369,0)),"",INDEX('Compliance Database'!$N$2:$N$1369,MATCH(936,Engine!$C$2:$C$1369,0)))</f>
        <v/>
      </c>
      <c r="O949" s="8">
        <f>IF(ISNA(MATCH(936,Engine!$C$2:$C$1369,0)),"",HYPERLINK(INDEX('Compliance Database'!$O$2:$O$1369,MATCH(936,Engine!$C$2:$C$1369,0)),"Open PDF"))</f>
        <v/>
      </c>
    </row>
    <row r="950" ht="188" customHeight="1">
      <c r="A950" s="8">
        <f>IF(ISNA(MATCH(937,Engine!$C$2:$C$1369,0)),"",INDEX('Compliance Database'!$A$2:$A$1369,MATCH(937,Engine!$C$2:$C$1369,0)))</f>
        <v/>
      </c>
      <c r="B950" s="8">
        <f>IF(ISNA(MATCH(937,Engine!$C$2:$C$1369,0)),"",INDEX('Compliance Database'!$B$2:$B$1369,MATCH(937,Engine!$C$2:$C$1369,0)))</f>
        <v/>
      </c>
      <c r="C950" s="8">
        <f>IF(ISNA(MATCH(937,Engine!$C$2:$C$1369,0)),"",INDEX('Compliance Database'!$C$2:$C$1369,MATCH(937,Engine!$C$2:$C$1369,0)))</f>
        <v/>
      </c>
      <c r="D950" s="9">
        <f>IF(ISNA(MATCH(937,Engine!$C$2:$C$1369,0)),"",INDEX('Compliance Database'!$D$2:$D$1369,MATCH(937,Engine!$C$2:$C$1369,0)))</f>
        <v/>
      </c>
      <c r="E950" s="8">
        <f>IF(ISNA(MATCH(937,Engine!$C$2:$C$1369,0)),"",INDEX('Compliance Database'!$E$2:$E$1369,MATCH(937,Engine!$C$2:$C$1369,0)))</f>
        <v/>
      </c>
      <c r="F950" s="8">
        <f>IF(ISNA(MATCH(937,Engine!$C$2:$C$1369,0)),"",INDEX('Compliance Database'!$F$2:$F$1369,MATCH(937,Engine!$C$2:$C$1369,0)))</f>
        <v/>
      </c>
      <c r="G950" s="8">
        <f>IF(ISNA(MATCH(937,Engine!$C$2:$C$1369,0)),"",INDEX('Compliance Database'!$G$2:$G$1369,MATCH(937,Engine!$C$2:$C$1369,0)))</f>
        <v/>
      </c>
      <c r="H950" s="9">
        <f>IF(ISNA(MATCH(937,Engine!$C$2:$C$1369,0)),"",INDEX('Compliance Database'!$H$2:$H$1369,MATCH(937,Engine!$C$2:$C$1369,0)))</f>
        <v/>
      </c>
      <c r="I950" s="9">
        <f>IF(ISNA(MATCH(937,Engine!$C$2:$C$1369,0)),"",INDEX('Compliance Database'!$I$2:$I$1369,MATCH(937,Engine!$C$2:$C$1369,0)))</f>
        <v/>
      </c>
      <c r="J950" s="8">
        <f>IF(ISNA(MATCH(937,Engine!$C$2:$C$1369,0)),"",INDEX('Compliance Database'!$J$2:$J$1369,MATCH(937,Engine!$C$2:$C$1369,0)))</f>
        <v/>
      </c>
      <c r="K950" s="9">
        <f>IF(ISNA(MATCH(937,Engine!$C$2:$C$1369,0)),"",INDEX('Compliance Database'!$K$2:$K$1369,MATCH(937,Engine!$C$2:$C$1369,0)))</f>
        <v/>
      </c>
      <c r="L950" s="9">
        <f>IF(ISNA(MATCH(937,Engine!$C$2:$C$1369,0)),"",INDEX('Compliance Database'!$L$2:$L$1369,MATCH(937,Engine!$C$2:$C$1369,0)))</f>
        <v/>
      </c>
      <c r="M950" s="9">
        <f>IF(ISNA(MATCH(937,Engine!$C$2:$C$1369,0)),"",INDEX('Compliance Database'!$M$2:$M$1369,MATCH(937,Engine!$C$2:$C$1369,0)))</f>
        <v/>
      </c>
      <c r="N950" s="9">
        <f>IF(ISNA(MATCH(937,Engine!$C$2:$C$1369,0)),"",INDEX('Compliance Database'!$N$2:$N$1369,MATCH(937,Engine!$C$2:$C$1369,0)))</f>
        <v/>
      </c>
      <c r="O950" s="8">
        <f>IF(ISNA(MATCH(937,Engine!$C$2:$C$1369,0)),"",HYPERLINK(INDEX('Compliance Database'!$O$2:$O$1369,MATCH(937,Engine!$C$2:$C$1369,0)),"Open PDF"))</f>
        <v/>
      </c>
    </row>
    <row r="951" ht="188" customHeight="1">
      <c r="A951" s="8">
        <f>IF(ISNA(MATCH(938,Engine!$C$2:$C$1369,0)),"",INDEX('Compliance Database'!$A$2:$A$1369,MATCH(938,Engine!$C$2:$C$1369,0)))</f>
        <v/>
      </c>
      <c r="B951" s="8">
        <f>IF(ISNA(MATCH(938,Engine!$C$2:$C$1369,0)),"",INDEX('Compliance Database'!$B$2:$B$1369,MATCH(938,Engine!$C$2:$C$1369,0)))</f>
        <v/>
      </c>
      <c r="C951" s="8">
        <f>IF(ISNA(MATCH(938,Engine!$C$2:$C$1369,0)),"",INDEX('Compliance Database'!$C$2:$C$1369,MATCH(938,Engine!$C$2:$C$1369,0)))</f>
        <v/>
      </c>
      <c r="D951" s="9">
        <f>IF(ISNA(MATCH(938,Engine!$C$2:$C$1369,0)),"",INDEX('Compliance Database'!$D$2:$D$1369,MATCH(938,Engine!$C$2:$C$1369,0)))</f>
        <v/>
      </c>
      <c r="E951" s="8">
        <f>IF(ISNA(MATCH(938,Engine!$C$2:$C$1369,0)),"",INDEX('Compliance Database'!$E$2:$E$1369,MATCH(938,Engine!$C$2:$C$1369,0)))</f>
        <v/>
      </c>
      <c r="F951" s="8">
        <f>IF(ISNA(MATCH(938,Engine!$C$2:$C$1369,0)),"",INDEX('Compliance Database'!$F$2:$F$1369,MATCH(938,Engine!$C$2:$C$1369,0)))</f>
        <v/>
      </c>
      <c r="G951" s="8">
        <f>IF(ISNA(MATCH(938,Engine!$C$2:$C$1369,0)),"",INDEX('Compliance Database'!$G$2:$G$1369,MATCH(938,Engine!$C$2:$C$1369,0)))</f>
        <v/>
      </c>
      <c r="H951" s="9">
        <f>IF(ISNA(MATCH(938,Engine!$C$2:$C$1369,0)),"",INDEX('Compliance Database'!$H$2:$H$1369,MATCH(938,Engine!$C$2:$C$1369,0)))</f>
        <v/>
      </c>
      <c r="I951" s="9">
        <f>IF(ISNA(MATCH(938,Engine!$C$2:$C$1369,0)),"",INDEX('Compliance Database'!$I$2:$I$1369,MATCH(938,Engine!$C$2:$C$1369,0)))</f>
        <v/>
      </c>
      <c r="J951" s="8">
        <f>IF(ISNA(MATCH(938,Engine!$C$2:$C$1369,0)),"",INDEX('Compliance Database'!$J$2:$J$1369,MATCH(938,Engine!$C$2:$C$1369,0)))</f>
        <v/>
      </c>
      <c r="K951" s="9">
        <f>IF(ISNA(MATCH(938,Engine!$C$2:$C$1369,0)),"",INDEX('Compliance Database'!$K$2:$K$1369,MATCH(938,Engine!$C$2:$C$1369,0)))</f>
        <v/>
      </c>
      <c r="L951" s="9">
        <f>IF(ISNA(MATCH(938,Engine!$C$2:$C$1369,0)),"",INDEX('Compliance Database'!$L$2:$L$1369,MATCH(938,Engine!$C$2:$C$1369,0)))</f>
        <v/>
      </c>
      <c r="M951" s="9">
        <f>IF(ISNA(MATCH(938,Engine!$C$2:$C$1369,0)),"",INDEX('Compliance Database'!$M$2:$M$1369,MATCH(938,Engine!$C$2:$C$1369,0)))</f>
        <v/>
      </c>
      <c r="N951" s="9">
        <f>IF(ISNA(MATCH(938,Engine!$C$2:$C$1369,0)),"",INDEX('Compliance Database'!$N$2:$N$1369,MATCH(938,Engine!$C$2:$C$1369,0)))</f>
        <v/>
      </c>
      <c r="O951" s="8">
        <f>IF(ISNA(MATCH(938,Engine!$C$2:$C$1369,0)),"",HYPERLINK(INDEX('Compliance Database'!$O$2:$O$1369,MATCH(938,Engine!$C$2:$C$1369,0)),"Open PDF"))</f>
        <v/>
      </c>
    </row>
    <row r="952" ht="188" customHeight="1">
      <c r="A952" s="8">
        <f>IF(ISNA(MATCH(939,Engine!$C$2:$C$1369,0)),"",INDEX('Compliance Database'!$A$2:$A$1369,MATCH(939,Engine!$C$2:$C$1369,0)))</f>
        <v/>
      </c>
      <c r="B952" s="8">
        <f>IF(ISNA(MATCH(939,Engine!$C$2:$C$1369,0)),"",INDEX('Compliance Database'!$B$2:$B$1369,MATCH(939,Engine!$C$2:$C$1369,0)))</f>
        <v/>
      </c>
      <c r="C952" s="8">
        <f>IF(ISNA(MATCH(939,Engine!$C$2:$C$1369,0)),"",INDEX('Compliance Database'!$C$2:$C$1369,MATCH(939,Engine!$C$2:$C$1369,0)))</f>
        <v/>
      </c>
      <c r="D952" s="9">
        <f>IF(ISNA(MATCH(939,Engine!$C$2:$C$1369,0)),"",INDEX('Compliance Database'!$D$2:$D$1369,MATCH(939,Engine!$C$2:$C$1369,0)))</f>
        <v/>
      </c>
      <c r="E952" s="8">
        <f>IF(ISNA(MATCH(939,Engine!$C$2:$C$1369,0)),"",INDEX('Compliance Database'!$E$2:$E$1369,MATCH(939,Engine!$C$2:$C$1369,0)))</f>
        <v/>
      </c>
      <c r="F952" s="8">
        <f>IF(ISNA(MATCH(939,Engine!$C$2:$C$1369,0)),"",INDEX('Compliance Database'!$F$2:$F$1369,MATCH(939,Engine!$C$2:$C$1369,0)))</f>
        <v/>
      </c>
      <c r="G952" s="8">
        <f>IF(ISNA(MATCH(939,Engine!$C$2:$C$1369,0)),"",INDEX('Compliance Database'!$G$2:$G$1369,MATCH(939,Engine!$C$2:$C$1369,0)))</f>
        <v/>
      </c>
      <c r="H952" s="9">
        <f>IF(ISNA(MATCH(939,Engine!$C$2:$C$1369,0)),"",INDEX('Compliance Database'!$H$2:$H$1369,MATCH(939,Engine!$C$2:$C$1369,0)))</f>
        <v/>
      </c>
      <c r="I952" s="9">
        <f>IF(ISNA(MATCH(939,Engine!$C$2:$C$1369,0)),"",INDEX('Compliance Database'!$I$2:$I$1369,MATCH(939,Engine!$C$2:$C$1369,0)))</f>
        <v/>
      </c>
      <c r="J952" s="8">
        <f>IF(ISNA(MATCH(939,Engine!$C$2:$C$1369,0)),"",INDEX('Compliance Database'!$J$2:$J$1369,MATCH(939,Engine!$C$2:$C$1369,0)))</f>
        <v/>
      </c>
      <c r="K952" s="9">
        <f>IF(ISNA(MATCH(939,Engine!$C$2:$C$1369,0)),"",INDEX('Compliance Database'!$K$2:$K$1369,MATCH(939,Engine!$C$2:$C$1369,0)))</f>
        <v/>
      </c>
      <c r="L952" s="9">
        <f>IF(ISNA(MATCH(939,Engine!$C$2:$C$1369,0)),"",INDEX('Compliance Database'!$L$2:$L$1369,MATCH(939,Engine!$C$2:$C$1369,0)))</f>
        <v/>
      </c>
      <c r="M952" s="9">
        <f>IF(ISNA(MATCH(939,Engine!$C$2:$C$1369,0)),"",INDEX('Compliance Database'!$M$2:$M$1369,MATCH(939,Engine!$C$2:$C$1369,0)))</f>
        <v/>
      </c>
      <c r="N952" s="9">
        <f>IF(ISNA(MATCH(939,Engine!$C$2:$C$1369,0)),"",INDEX('Compliance Database'!$N$2:$N$1369,MATCH(939,Engine!$C$2:$C$1369,0)))</f>
        <v/>
      </c>
      <c r="O952" s="8">
        <f>IF(ISNA(MATCH(939,Engine!$C$2:$C$1369,0)),"",HYPERLINK(INDEX('Compliance Database'!$O$2:$O$1369,MATCH(939,Engine!$C$2:$C$1369,0)),"Open PDF"))</f>
        <v/>
      </c>
    </row>
    <row r="953" ht="188" customHeight="1">
      <c r="A953" s="8">
        <f>IF(ISNA(MATCH(940,Engine!$C$2:$C$1369,0)),"",INDEX('Compliance Database'!$A$2:$A$1369,MATCH(940,Engine!$C$2:$C$1369,0)))</f>
        <v/>
      </c>
      <c r="B953" s="8">
        <f>IF(ISNA(MATCH(940,Engine!$C$2:$C$1369,0)),"",INDEX('Compliance Database'!$B$2:$B$1369,MATCH(940,Engine!$C$2:$C$1369,0)))</f>
        <v/>
      </c>
      <c r="C953" s="8">
        <f>IF(ISNA(MATCH(940,Engine!$C$2:$C$1369,0)),"",INDEX('Compliance Database'!$C$2:$C$1369,MATCH(940,Engine!$C$2:$C$1369,0)))</f>
        <v/>
      </c>
      <c r="D953" s="9">
        <f>IF(ISNA(MATCH(940,Engine!$C$2:$C$1369,0)),"",INDEX('Compliance Database'!$D$2:$D$1369,MATCH(940,Engine!$C$2:$C$1369,0)))</f>
        <v/>
      </c>
      <c r="E953" s="8">
        <f>IF(ISNA(MATCH(940,Engine!$C$2:$C$1369,0)),"",INDEX('Compliance Database'!$E$2:$E$1369,MATCH(940,Engine!$C$2:$C$1369,0)))</f>
        <v/>
      </c>
      <c r="F953" s="8">
        <f>IF(ISNA(MATCH(940,Engine!$C$2:$C$1369,0)),"",INDEX('Compliance Database'!$F$2:$F$1369,MATCH(940,Engine!$C$2:$C$1369,0)))</f>
        <v/>
      </c>
      <c r="G953" s="8">
        <f>IF(ISNA(MATCH(940,Engine!$C$2:$C$1369,0)),"",INDEX('Compliance Database'!$G$2:$G$1369,MATCH(940,Engine!$C$2:$C$1369,0)))</f>
        <v/>
      </c>
      <c r="H953" s="9">
        <f>IF(ISNA(MATCH(940,Engine!$C$2:$C$1369,0)),"",INDEX('Compliance Database'!$H$2:$H$1369,MATCH(940,Engine!$C$2:$C$1369,0)))</f>
        <v/>
      </c>
      <c r="I953" s="9">
        <f>IF(ISNA(MATCH(940,Engine!$C$2:$C$1369,0)),"",INDEX('Compliance Database'!$I$2:$I$1369,MATCH(940,Engine!$C$2:$C$1369,0)))</f>
        <v/>
      </c>
      <c r="J953" s="8">
        <f>IF(ISNA(MATCH(940,Engine!$C$2:$C$1369,0)),"",INDEX('Compliance Database'!$J$2:$J$1369,MATCH(940,Engine!$C$2:$C$1369,0)))</f>
        <v/>
      </c>
      <c r="K953" s="9">
        <f>IF(ISNA(MATCH(940,Engine!$C$2:$C$1369,0)),"",INDEX('Compliance Database'!$K$2:$K$1369,MATCH(940,Engine!$C$2:$C$1369,0)))</f>
        <v/>
      </c>
      <c r="L953" s="9">
        <f>IF(ISNA(MATCH(940,Engine!$C$2:$C$1369,0)),"",INDEX('Compliance Database'!$L$2:$L$1369,MATCH(940,Engine!$C$2:$C$1369,0)))</f>
        <v/>
      </c>
      <c r="M953" s="9">
        <f>IF(ISNA(MATCH(940,Engine!$C$2:$C$1369,0)),"",INDEX('Compliance Database'!$M$2:$M$1369,MATCH(940,Engine!$C$2:$C$1369,0)))</f>
        <v/>
      </c>
      <c r="N953" s="9">
        <f>IF(ISNA(MATCH(940,Engine!$C$2:$C$1369,0)),"",INDEX('Compliance Database'!$N$2:$N$1369,MATCH(940,Engine!$C$2:$C$1369,0)))</f>
        <v/>
      </c>
      <c r="O953" s="8">
        <f>IF(ISNA(MATCH(940,Engine!$C$2:$C$1369,0)),"",HYPERLINK(INDEX('Compliance Database'!$O$2:$O$1369,MATCH(940,Engine!$C$2:$C$1369,0)),"Open PDF"))</f>
        <v/>
      </c>
    </row>
    <row r="954" ht="188" customHeight="1">
      <c r="A954" s="8">
        <f>IF(ISNA(MATCH(941,Engine!$C$2:$C$1369,0)),"",INDEX('Compliance Database'!$A$2:$A$1369,MATCH(941,Engine!$C$2:$C$1369,0)))</f>
        <v/>
      </c>
      <c r="B954" s="8">
        <f>IF(ISNA(MATCH(941,Engine!$C$2:$C$1369,0)),"",INDEX('Compliance Database'!$B$2:$B$1369,MATCH(941,Engine!$C$2:$C$1369,0)))</f>
        <v/>
      </c>
      <c r="C954" s="8">
        <f>IF(ISNA(MATCH(941,Engine!$C$2:$C$1369,0)),"",INDEX('Compliance Database'!$C$2:$C$1369,MATCH(941,Engine!$C$2:$C$1369,0)))</f>
        <v/>
      </c>
      <c r="D954" s="9">
        <f>IF(ISNA(MATCH(941,Engine!$C$2:$C$1369,0)),"",INDEX('Compliance Database'!$D$2:$D$1369,MATCH(941,Engine!$C$2:$C$1369,0)))</f>
        <v/>
      </c>
      <c r="E954" s="8">
        <f>IF(ISNA(MATCH(941,Engine!$C$2:$C$1369,0)),"",INDEX('Compliance Database'!$E$2:$E$1369,MATCH(941,Engine!$C$2:$C$1369,0)))</f>
        <v/>
      </c>
      <c r="F954" s="8">
        <f>IF(ISNA(MATCH(941,Engine!$C$2:$C$1369,0)),"",INDEX('Compliance Database'!$F$2:$F$1369,MATCH(941,Engine!$C$2:$C$1369,0)))</f>
        <v/>
      </c>
      <c r="G954" s="8">
        <f>IF(ISNA(MATCH(941,Engine!$C$2:$C$1369,0)),"",INDEX('Compliance Database'!$G$2:$G$1369,MATCH(941,Engine!$C$2:$C$1369,0)))</f>
        <v/>
      </c>
      <c r="H954" s="9">
        <f>IF(ISNA(MATCH(941,Engine!$C$2:$C$1369,0)),"",INDEX('Compliance Database'!$H$2:$H$1369,MATCH(941,Engine!$C$2:$C$1369,0)))</f>
        <v/>
      </c>
      <c r="I954" s="9">
        <f>IF(ISNA(MATCH(941,Engine!$C$2:$C$1369,0)),"",INDEX('Compliance Database'!$I$2:$I$1369,MATCH(941,Engine!$C$2:$C$1369,0)))</f>
        <v/>
      </c>
      <c r="J954" s="8">
        <f>IF(ISNA(MATCH(941,Engine!$C$2:$C$1369,0)),"",INDEX('Compliance Database'!$J$2:$J$1369,MATCH(941,Engine!$C$2:$C$1369,0)))</f>
        <v/>
      </c>
      <c r="K954" s="9">
        <f>IF(ISNA(MATCH(941,Engine!$C$2:$C$1369,0)),"",INDEX('Compliance Database'!$K$2:$K$1369,MATCH(941,Engine!$C$2:$C$1369,0)))</f>
        <v/>
      </c>
      <c r="L954" s="9">
        <f>IF(ISNA(MATCH(941,Engine!$C$2:$C$1369,0)),"",INDEX('Compliance Database'!$L$2:$L$1369,MATCH(941,Engine!$C$2:$C$1369,0)))</f>
        <v/>
      </c>
      <c r="M954" s="9">
        <f>IF(ISNA(MATCH(941,Engine!$C$2:$C$1369,0)),"",INDEX('Compliance Database'!$M$2:$M$1369,MATCH(941,Engine!$C$2:$C$1369,0)))</f>
        <v/>
      </c>
      <c r="N954" s="9">
        <f>IF(ISNA(MATCH(941,Engine!$C$2:$C$1369,0)),"",INDEX('Compliance Database'!$N$2:$N$1369,MATCH(941,Engine!$C$2:$C$1369,0)))</f>
        <v/>
      </c>
      <c r="O954" s="8">
        <f>IF(ISNA(MATCH(941,Engine!$C$2:$C$1369,0)),"",HYPERLINK(INDEX('Compliance Database'!$O$2:$O$1369,MATCH(941,Engine!$C$2:$C$1369,0)),"Open PDF"))</f>
        <v/>
      </c>
    </row>
    <row r="955" ht="188" customHeight="1">
      <c r="A955" s="8">
        <f>IF(ISNA(MATCH(942,Engine!$C$2:$C$1369,0)),"",INDEX('Compliance Database'!$A$2:$A$1369,MATCH(942,Engine!$C$2:$C$1369,0)))</f>
        <v/>
      </c>
      <c r="B955" s="8">
        <f>IF(ISNA(MATCH(942,Engine!$C$2:$C$1369,0)),"",INDEX('Compliance Database'!$B$2:$B$1369,MATCH(942,Engine!$C$2:$C$1369,0)))</f>
        <v/>
      </c>
      <c r="C955" s="8">
        <f>IF(ISNA(MATCH(942,Engine!$C$2:$C$1369,0)),"",INDEX('Compliance Database'!$C$2:$C$1369,MATCH(942,Engine!$C$2:$C$1369,0)))</f>
        <v/>
      </c>
      <c r="D955" s="9">
        <f>IF(ISNA(MATCH(942,Engine!$C$2:$C$1369,0)),"",INDEX('Compliance Database'!$D$2:$D$1369,MATCH(942,Engine!$C$2:$C$1369,0)))</f>
        <v/>
      </c>
      <c r="E955" s="8">
        <f>IF(ISNA(MATCH(942,Engine!$C$2:$C$1369,0)),"",INDEX('Compliance Database'!$E$2:$E$1369,MATCH(942,Engine!$C$2:$C$1369,0)))</f>
        <v/>
      </c>
      <c r="F955" s="8">
        <f>IF(ISNA(MATCH(942,Engine!$C$2:$C$1369,0)),"",INDEX('Compliance Database'!$F$2:$F$1369,MATCH(942,Engine!$C$2:$C$1369,0)))</f>
        <v/>
      </c>
      <c r="G955" s="8">
        <f>IF(ISNA(MATCH(942,Engine!$C$2:$C$1369,0)),"",INDEX('Compliance Database'!$G$2:$G$1369,MATCH(942,Engine!$C$2:$C$1369,0)))</f>
        <v/>
      </c>
      <c r="H955" s="9">
        <f>IF(ISNA(MATCH(942,Engine!$C$2:$C$1369,0)),"",INDEX('Compliance Database'!$H$2:$H$1369,MATCH(942,Engine!$C$2:$C$1369,0)))</f>
        <v/>
      </c>
      <c r="I955" s="9">
        <f>IF(ISNA(MATCH(942,Engine!$C$2:$C$1369,0)),"",INDEX('Compliance Database'!$I$2:$I$1369,MATCH(942,Engine!$C$2:$C$1369,0)))</f>
        <v/>
      </c>
      <c r="J955" s="8">
        <f>IF(ISNA(MATCH(942,Engine!$C$2:$C$1369,0)),"",INDEX('Compliance Database'!$J$2:$J$1369,MATCH(942,Engine!$C$2:$C$1369,0)))</f>
        <v/>
      </c>
      <c r="K955" s="9">
        <f>IF(ISNA(MATCH(942,Engine!$C$2:$C$1369,0)),"",INDEX('Compliance Database'!$K$2:$K$1369,MATCH(942,Engine!$C$2:$C$1369,0)))</f>
        <v/>
      </c>
      <c r="L955" s="9">
        <f>IF(ISNA(MATCH(942,Engine!$C$2:$C$1369,0)),"",INDEX('Compliance Database'!$L$2:$L$1369,MATCH(942,Engine!$C$2:$C$1369,0)))</f>
        <v/>
      </c>
      <c r="M955" s="9">
        <f>IF(ISNA(MATCH(942,Engine!$C$2:$C$1369,0)),"",INDEX('Compliance Database'!$M$2:$M$1369,MATCH(942,Engine!$C$2:$C$1369,0)))</f>
        <v/>
      </c>
      <c r="N955" s="9">
        <f>IF(ISNA(MATCH(942,Engine!$C$2:$C$1369,0)),"",INDEX('Compliance Database'!$N$2:$N$1369,MATCH(942,Engine!$C$2:$C$1369,0)))</f>
        <v/>
      </c>
      <c r="O955" s="8">
        <f>IF(ISNA(MATCH(942,Engine!$C$2:$C$1369,0)),"",HYPERLINK(INDEX('Compliance Database'!$O$2:$O$1369,MATCH(942,Engine!$C$2:$C$1369,0)),"Open PDF"))</f>
        <v/>
      </c>
    </row>
    <row r="956" ht="188" customHeight="1">
      <c r="A956" s="8">
        <f>IF(ISNA(MATCH(943,Engine!$C$2:$C$1369,0)),"",INDEX('Compliance Database'!$A$2:$A$1369,MATCH(943,Engine!$C$2:$C$1369,0)))</f>
        <v/>
      </c>
      <c r="B956" s="8">
        <f>IF(ISNA(MATCH(943,Engine!$C$2:$C$1369,0)),"",INDEX('Compliance Database'!$B$2:$B$1369,MATCH(943,Engine!$C$2:$C$1369,0)))</f>
        <v/>
      </c>
      <c r="C956" s="8">
        <f>IF(ISNA(MATCH(943,Engine!$C$2:$C$1369,0)),"",INDEX('Compliance Database'!$C$2:$C$1369,MATCH(943,Engine!$C$2:$C$1369,0)))</f>
        <v/>
      </c>
      <c r="D956" s="9">
        <f>IF(ISNA(MATCH(943,Engine!$C$2:$C$1369,0)),"",INDEX('Compliance Database'!$D$2:$D$1369,MATCH(943,Engine!$C$2:$C$1369,0)))</f>
        <v/>
      </c>
      <c r="E956" s="8">
        <f>IF(ISNA(MATCH(943,Engine!$C$2:$C$1369,0)),"",INDEX('Compliance Database'!$E$2:$E$1369,MATCH(943,Engine!$C$2:$C$1369,0)))</f>
        <v/>
      </c>
      <c r="F956" s="8">
        <f>IF(ISNA(MATCH(943,Engine!$C$2:$C$1369,0)),"",INDEX('Compliance Database'!$F$2:$F$1369,MATCH(943,Engine!$C$2:$C$1369,0)))</f>
        <v/>
      </c>
      <c r="G956" s="8">
        <f>IF(ISNA(MATCH(943,Engine!$C$2:$C$1369,0)),"",INDEX('Compliance Database'!$G$2:$G$1369,MATCH(943,Engine!$C$2:$C$1369,0)))</f>
        <v/>
      </c>
      <c r="H956" s="9">
        <f>IF(ISNA(MATCH(943,Engine!$C$2:$C$1369,0)),"",INDEX('Compliance Database'!$H$2:$H$1369,MATCH(943,Engine!$C$2:$C$1369,0)))</f>
        <v/>
      </c>
      <c r="I956" s="9">
        <f>IF(ISNA(MATCH(943,Engine!$C$2:$C$1369,0)),"",INDEX('Compliance Database'!$I$2:$I$1369,MATCH(943,Engine!$C$2:$C$1369,0)))</f>
        <v/>
      </c>
      <c r="J956" s="8">
        <f>IF(ISNA(MATCH(943,Engine!$C$2:$C$1369,0)),"",INDEX('Compliance Database'!$J$2:$J$1369,MATCH(943,Engine!$C$2:$C$1369,0)))</f>
        <v/>
      </c>
      <c r="K956" s="9">
        <f>IF(ISNA(MATCH(943,Engine!$C$2:$C$1369,0)),"",INDEX('Compliance Database'!$K$2:$K$1369,MATCH(943,Engine!$C$2:$C$1369,0)))</f>
        <v/>
      </c>
      <c r="L956" s="9">
        <f>IF(ISNA(MATCH(943,Engine!$C$2:$C$1369,0)),"",INDEX('Compliance Database'!$L$2:$L$1369,MATCH(943,Engine!$C$2:$C$1369,0)))</f>
        <v/>
      </c>
      <c r="M956" s="9">
        <f>IF(ISNA(MATCH(943,Engine!$C$2:$C$1369,0)),"",INDEX('Compliance Database'!$M$2:$M$1369,MATCH(943,Engine!$C$2:$C$1369,0)))</f>
        <v/>
      </c>
      <c r="N956" s="9">
        <f>IF(ISNA(MATCH(943,Engine!$C$2:$C$1369,0)),"",INDEX('Compliance Database'!$N$2:$N$1369,MATCH(943,Engine!$C$2:$C$1369,0)))</f>
        <v/>
      </c>
      <c r="O956" s="8">
        <f>IF(ISNA(MATCH(943,Engine!$C$2:$C$1369,0)),"",HYPERLINK(INDEX('Compliance Database'!$O$2:$O$1369,MATCH(943,Engine!$C$2:$C$1369,0)),"Open PDF"))</f>
        <v/>
      </c>
    </row>
    <row r="957" ht="188" customHeight="1">
      <c r="A957" s="8">
        <f>IF(ISNA(MATCH(944,Engine!$C$2:$C$1369,0)),"",INDEX('Compliance Database'!$A$2:$A$1369,MATCH(944,Engine!$C$2:$C$1369,0)))</f>
        <v/>
      </c>
      <c r="B957" s="8">
        <f>IF(ISNA(MATCH(944,Engine!$C$2:$C$1369,0)),"",INDEX('Compliance Database'!$B$2:$B$1369,MATCH(944,Engine!$C$2:$C$1369,0)))</f>
        <v/>
      </c>
      <c r="C957" s="8">
        <f>IF(ISNA(MATCH(944,Engine!$C$2:$C$1369,0)),"",INDEX('Compliance Database'!$C$2:$C$1369,MATCH(944,Engine!$C$2:$C$1369,0)))</f>
        <v/>
      </c>
      <c r="D957" s="9">
        <f>IF(ISNA(MATCH(944,Engine!$C$2:$C$1369,0)),"",INDEX('Compliance Database'!$D$2:$D$1369,MATCH(944,Engine!$C$2:$C$1369,0)))</f>
        <v/>
      </c>
      <c r="E957" s="8">
        <f>IF(ISNA(MATCH(944,Engine!$C$2:$C$1369,0)),"",INDEX('Compliance Database'!$E$2:$E$1369,MATCH(944,Engine!$C$2:$C$1369,0)))</f>
        <v/>
      </c>
      <c r="F957" s="8">
        <f>IF(ISNA(MATCH(944,Engine!$C$2:$C$1369,0)),"",INDEX('Compliance Database'!$F$2:$F$1369,MATCH(944,Engine!$C$2:$C$1369,0)))</f>
        <v/>
      </c>
      <c r="G957" s="8">
        <f>IF(ISNA(MATCH(944,Engine!$C$2:$C$1369,0)),"",INDEX('Compliance Database'!$G$2:$G$1369,MATCH(944,Engine!$C$2:$C$1369,0)))</f>
        <v/>
      </c>
      <c r="H957" s="9">
        <f>IF(ISNA(MATCH(944,Engine!$C$2:$C$1369,0)),"",INDEX('Compliance Database'!$H$2:$H$1369,MATCH(944,Engine!$C$2:$C$1369,0)))</f>
        <v/>
      </c>
      <c r="I957" s="9">
        <f>IF(ISNA(MATCH(944,Engine!$C$2:$C$1369,0)),"",INDEX('Compliance Database'!$I$2:$I$1369,MATCH(944,Engine!$C$2:$C$1369,0)))</f>
        <v/>
      </c>
      <c r="J957" s="8">
        <f>IF(ISNA(MATCH(944,Engine!$C$2:$C$1369,0)),"",INDEX('Compliance Database'!$J$2:$J$1369,MATCH(944,Engine!$C$2:$C$1369,0)))</f>
        <v/>
      </c>
      <c r="K957" s="9">
        <f>IF(ISNA(MATCH(944,Engine!$C$2:$C$1369,0)),"",INDEX('Compliance Database'!$K$2:$K$1369,MATCH(944,Engine!$C$2:$C$1369,0)))</f>
        <v/>
      </c>
      <c r="L957" s="9">
        <f>IF(ISNA(MATCH(944,Engine!$C$2:$C$1369,0)),"",INDEX('Compliance Database'!$L$2:$L$1369,MATCH(944,Engine!$C$2:$C$1369,0)))</f>
        <v/>
      </c>
      <c r="M957" s="9">
        <f>IF(ISNA(MATCH(944,Engine!$C$2:$C$1369,0)),"",INDEX('Compliance Database'!$M$2:$M$1369,MATCH(944,Engine!$C$2:$C$1369,0)))</f>
        <v/>
      </c>
      <c r="N957" s="9">
        <f>IF(ISNA(MATCH(944,Engine!$C$2:$C$1369,0)),"",INDEX('Compliance Database'!$N$2:$N$1369,MATCH(944,Engine!$C$2:$C$1369,0)))</f>
        <v/>
      </c>
      <c r="O957" s="8">
        <f>IF(ISNA(MATCH(944,Engine!$C$2:$C$1369,0)),"",HYPERLINK(INDEX('Compliance Database'!$O$2:$O$1369,MATCH(944,Engine!$C$2:$C$1369,0)),"Open PDF"))</f>
        <v/>
      </c>
    </row>
    <row r="958" ht="188" customHeight="1">
      <c r="A958" s="8">
        <f>IF(ISNA(MATCH(945,Engine!$C$2:$C$1369,0)),"",INDEX('Compliance Database'!$A$2:$A$1369,MATCH(945,Engine!$C$2:$C$1369,0)))</f>
        <v/>
      </c>
      <c r="B958" s="8">
        <f>IF(ISNA(MATCH(945,Engine!$C$2:$C$1369,0)),"",INDEX('Compliance Database'!$B$2:$B$1369,MATCH(945,Engine!$C$2:$C$1369,0)))</f>
        <v/>
      </c>
      <c r="C958" s="8">
        <f>IF(ISNA(MATCH(945,Engine!$C$2:$C$1369,0)),"",INDEX('Compliance Database'!$C$2:$C$1369,MATCH(945,Engine!$C$2:$C$1369,0)))</f>
        <v/>
      </c>
      <c r="D958" s="9">
        <f>IF(ISNA(MATCH(945,Engine!$C$2:$C$1369,0)),"",INDEX('Compliance Database'!$D$2:$D$1369,MATCH(945,Engine!$C$2:$C$1369,0)))</f>
        <v/>
      </c>
      <c r="E958" s="8">
        <f>IF(ISNA(MATCH(945,Engine!$C$2:$C$1369,0)),"",INDEX('Compliance Database'!$E$2:$E$1369,MATCH(945,Engine!$C$2:$C$1369,0)))</f>
        <v/>
      </c>
      <c r="F958" s="8">
        <f>IF(ISNA(MATCH(945,Engine!$C$2:$C$1369,0)),"",INDEX('Compliance Database'!$F$2:$F$1369,MATCH(945,Engine!$C$2:$C$1369,0)))</f>
        <v/>
      </c>
      <c r="G958" s="8">
        <f>IF(ISNA(MATCH(945,Engine!$C$2:$C$1369,0)),"",INDEX('Compliance Database'!$G$2:$G$1369,MATCH(945,Engine!$C$2:$C$1369,0)))</f>
        <v/>
      </c>
      <c r="H958" s="9">
        <f>IF(ISNA(MATCH(945,Engine!$C$2:$C$1369,0)),"",INDEX('Compliance Database'!$H$2:$H$1369,MATCH(945,Engine!$C$2:$C$1369,0)))</f>
        <v/>
      </c>
      <c r="I958" s="9">
        <f>IF(ISNA(MATCH(945,Engine!$C$2:$C$1369,0)),"",INDEX('Compliance Database'!$I$2:$I$1369,MATCH(945,Engine!$C$2:$C$1369,0)))</f>
        <v/>
      </c>
      <c r="J958" s="8">
        <f>IF(ISNA(MATCH(945,Engine!$C$2:$C$1369,0)),"",INDEX('Compliance Database'!$J$2:$J$1369,MATCH(945,Engine!$C$2:$C$1369,0)))</f>
        <v/>
      </c>
      <c r="K958" s="9">
        <f>IF(ISNA(MATCH(945,Engine!$C$2:$C$1369,0)),"",INDEX('Compliance Database'!$K$2:$K$1369,MATCH(945,Engine!$C$2:$C$1369,0)))</f>
        <v/>
      </c>
      <c r="L958" s="9">
        <f>IF(ISNA(MATCH(945,Engine!$C$2:$C$1369,0)),"",INDEX('Compliance Database'!$L$2:$L$1369,MATCH(945,Engine!$C$2:$C$1369,0)))</f>
        <v/>
      </c>
      <c r="M958" s="9">
        <f>IF(ISNA(MATCH(945,Engine!$C$2:$C$1369,0)),"",INDEX('Compliance Database'!$M$2:$M$1369,MATCH(945,Engine!$C$2:$C$1369,0)))</f>
        <v/>
      </c>
      <c r="N958" s="9">
        <f>IF(ISNA(MATCH(945,Engine!$C$2:$C$1369,0)),"",INDEX('Compliance Database'!$N$2:$N$1369,MATCH(945,Engine!$C$2:$C$1369,0)))</f>
        <v/>
      </c>
      <c r="O958" s="8">
        <f>IF(ISNA(MATCH(945,Engine!$C$2:$C$1369,0)),"",HYPERLINK(INDEX('Compliance Database'!$O$2:$O$1369,MATCH(945,Engine!$C$2:$C$1369,0)),"Open PDF"))</f>
        <v/>
      </c>
    </row>
    <row r="959" ht="188" customHeight="1">
      <c r="A959" s="8">
        <f>IF(ISNA(MATCH(946,Engine!$C$2:$C$1369,0)),"",INDEX('Compliance Database'!$A$2:$A$1369,MATCH(946,Engine!$C$2:$C$1369,0)))</f>
        <v/>
      </c>
      <c r="B959" s="8">
        <f>IF(ISNA(MATCH(946,Engine!$C$2:$C$1369,0)),"",INDEX('Compliance Database'!$B$2:$B$1369,MATCH(946,Engine!$C$2:$C$1369,0)))</f>
        <v/>
      </c>
      <c r="C959" s="8">
        <f>IF(ISNA(MATCH(946,Engine!$C$2:$C$1369,0)),"",INDEX('Compliance Database'!$C$2:$C$1369,MATCH(946,Engine!$C$2:$C$1369,0)))</f>
        <v/>
      </c>
      <c r="D959" s="9">
        <f>IF(ISNA(MATCH(946,Engine!$C$2:$C$1369,0)),"",INDEX('Compliance Database'!$D$2:$D$1369,MATCH(946,Engine!$C$2:$C$1369,0)))</f>
        <v/>
      </c>
      <c r="E959" s="8">
        <f>IF(ISNA(MATCH(946,Engine!$C$2:$C$1369,0)),"",INDEX('Compliance Database'!$E$2:$E$1369,MATCH(946,Engine!$C$2:$C$1369,0)))</f>
        <v/>
      </c>
      <c r="F959" s="8">
        <f>IF(ISNA(MATCH(946,Engine!$C$2:$C$1369,0)),"",INDEX('Compliance Database'!$F$2:$F$1369,MATCH(946,Engine!$C$2:$C$1369,0)))</f>
        <v/>
      </c>
      <c r="G959" s="8">
        <f>IF(ISNA(MATCH(946,Engine!$C$2:$C$1369,0)),"",INDEX('Compliance Database'!$G$2:$G$1369,MATCH(946,Engine!$C$2:$C$1369,0)))</f>
        <v/>
      </c>
      <c r="H959" s="9">
        <f>IF(ISNA(MATCH(946,Engine!$C$2:$C$1369,0)),"",INDEX('Compliance Database'!$H$2:$H$1369,MATCH(946,Engine!$C$2:$C$1369,0)))</f>
        <v/>
      </c>
      <c r="I959" s="9">
        <f>IF(ISNA(MATCH(946,Engine!$C$2:$C$1369,0)),"",INDEX('Compliance Database'!$I$2:$I$1369,MATCH(946,Engine!$C$2:$C$1369,0)))</f>
        <v/>
      </c>
      <c r="J959" s="8">
        <f>IF(ISNA(MATCH(946,Engine!$C$2:$C$1369,0)),"",INDEX('Compliance Database'!$J$2:$J$1369,MATCH(946,Engine!$C$2:$C$1369,0)))</f>
        <v/>
      </c>
      <c r="K959" s="9">
        <f>IF(ISNA(MATCH(946,Engine!$C$2:$C$1369,0)),"",INDEX('Compliance Database'!$K$2:$K$1369,MATCH(946,Engine!$C$2:$C$1369,0)))</f>
        <v/>
      </c>
      <c r="L959" s="9">
        <f>IF(ISNA(MATCH(946,Engine!$C$2:$C$1369,0)),"",INDEX('Compliance Database'!$L$2:$L$1369,MATCH(946,Engine!$C$2:$C$1369,0)))</f>
        <v/>
      </c>
      <c r="M959" s="9">
        <f>IF(ISNA(MATCH(946,Engine!$C$2:$C$1369,0)),"",INDEX('Compliance Database'!$M$2:$M$1369,MATCH(946,Engine!$C$2:$C$1369,0)))</f>
        <v/>
      </c>
      <c r="N959" s="9">
        <f>IF(ISNA(MATCH(946,Engine!$C$2:$C$1369,0)),"",INDEX('Compliance Database'!$N$2:$N$1369,MATCH(946,Engine!$C$2:$C$1369,0)))</f>
        <v/>
      </c>
      <c r="O959" s="8">
        <f>IF(ISNA(MATCH(946,Engine!$C$2:$C$1369,0)),"",HYPERLINK(INDEX('Compliance Database'!$O$2:$O$1369,MATCH(946,Engine!$C$2:$C$1369,0)),"Open PDF"))</f>
        <v/>
      </c>
    </row>
    <row r="960" ht="188" customHeight="1">
      <c r="A960" s="8">
        <f>IF(ISNA(MATCH(947,Engine!$C$2:$C$1369,0)),"",INDEX('Compliance Database'!$A$2:$A$1369,MATCH(947,Engine!$C$2:$C$1369,0)))</f>
        <v/>
      </c>
      <c r="B960" s="8">
        <f>IF(ISNA(MATCH(947,Engine!$C$2:$C$1369,0)),"",INDEX('Compliance Database'!$B$2:$B$1369,MATCH(947,Engine!$C$2:$C$1369,0)))</f>
        <v/>
      </c>
      <c r="C960" s="8">
        <f>IF(ISNA(MATCH(947,Engine!$C$2:$C$1369,0)),"",INDEX('Compliance Database'!$C$2:$C$1369,MATCH(947,Engine!$C$2:$C$1369,0)))</f>
        <v/>
      </c>
      <c r="D960" s="9">
        <f>IF(ISNA(MATCH(947,Engine!$C$2:$C$1369,0)),"",INDEX('Compliance Database'!$D$2:$D$1369,MATCH(947,Engine!$C$2:$C$1369,0)))</f>
        <v/>
      </c>
      <c r="E960" s="8">
        <f>IF(ISNA(MATCH(947,Engine!$C$2:$C$1369,0)),"",INDEX('Compliance Database'!$E$2:$E$1369,MATCH(947,Engine!$C$2:$C$1369,0)))</f>
        <v/>
      </c>
      <c r="F960" s="8">
        <f>IF(ISNA(MATCH(947,Engine!$C$2:$C$1369,0)),"",INDEX('Compliance Database'!$F$2:$F$1369,MATCH(947,Engine!$C$2:$C$1369,0)))</f>
        <v/>
      </c>
      <c r="G960" s="8">
        <f>IF(ISNA(MATCH(947,Engine!$C$2:$C$1369,0)),"",INDEX('Compliance Database'!$G$2:$G$1369,MATCH(947,Engine!$C$2:$C$1369,0)))</f>
        <v/>
      </c>
      <c r="H960" s="9">
        <f>IF(ISNA(MATCH(947,Engine!$C$2:$C$1369,0)),"",INDEX('Compliance Database'!$H$2:$H$1369,MATCH(947,Engine!$C$2:$C$1369,0)))</f>
        <v/>
      </c>
      <c r="I960" s="9">
        <f>IF(ISNA(MATCH(947,Engine!$C$2:$C$1369,0)),"",INDEX('Compliance Database'!$I$2:$I$1369,MATCH(947,Engine!$C$2:$C$1369,0)))</f>
        <v/>
      </c>
      <c r="J960" s="8">
        <f>IF(ISNA(MATCH(947,Engine!$C$2:$C$1369,0)),"",INDEX('Compliance Database'!$J$2:$J$1369,MATCH(947,Engine!$C$2:$C$1369,0)))</f>
        <v/>
      </c>
      <c r="K960" s="9">
        <f>IF(ISNA(MATCH(947,Engine!$C$2:$C$1369,0)),"",INDEX('Compliance Database'!$K$2:$K$1369,MATCH(947,Engine!$C$2:$C$1369,0)))</f>
        <v/>
      </c>
      <c r="L960" s="9">
        <f>IF(ISNA(MATCH(947,Engine!$C$2:$C$1369,0)),"",INDEX('Compliance Database'!$L$2:$L$1369,MATCH(947,Engine!$C$2:$C$1369,0)))</f>
        <v/>
      </c>
      <c r="M960" s="9">
        <f>IF(ISNA(MATCH(947,Engine!$C$2:$C$1369,0)),"",INDEX('Compliance Database'!$M$2:$M$1369,MATCH(947,Engine!$C$2:$C$1369,0)))</f>
        <v/>
      </c>
      <c r="N960" s="9">
        <f>IF(ISNA(MATCH(947,Engine!$C$2:$C$1369,0)),"",INDEX('Compliance Database'!$N$2:$N$1369,MATCH(947,Engine!$C$2:$C$1369,0)))</f>
        <v/>
      </c>
      <c r="O960" s="8">
        <f>IF(ISNA(MATCH(947,Engine!$C$2:$C$1369,0)),"",HYPERLINK(INDEX('Compliance Database'!$O$2:$O$1369,MATCH(947,Engine!$C$2:$C$1369,0)),"Open PDF"))</f>
        <v/>
      </c>
    </row>
    <row r="961" ht="188" customHeight="1">
      <c r="A961" s="8">
        <f>IF(ISNA(MATCH(948,Engine!$C$2:$C$1369,0)),"",INDEX('Compliance Database'!$A$2:$A$1369,MATCH(948,Engine!$C$2:$C$1369,0)))</f>
        <v/>
      </c>
      <c r="B961" s="8">
        <f>IF(ISNA(MATCH(948,Engine!$C$2:$C$1369,0)),"",INDEX('Compliance Database'!$B$2:$B$1369,MATCH(948,Engine!$C$2:$C$1369,0)))</f>
        <v/>
      </c>
      <c r="C961" s="8">
        <f>IF(ISNA(MATCH(948,Engine!$C$2:$C$1369,0)),"",INDEX('Compliance Database'!$C$2:$C$1369,MATCH(948,Engine!$C$2:$C$1369,0)))</f>
        <v/>
      </c>
      <c r="D961" s="9">
        <f>IF(ISNA(MATCH(948,Engine!$C$2:$C$1369,0)),"",INDEX('Compliance Database'!$D$2:$D$1369,MATCH(948,Engine!$C$2:$C$1369,0)))</f>
        <v/>
      </c>
      <c r="E961" s="8">
        <f>IF(ISNA(MATCH(948,Engine!$C$2:$C$1369,0)),"",INDEX('Compliance Database'!$E$2:$E$1369,MATCH(948,Engine!$C$2:$C$1369,0)))</f>
        <v/>
      </c>
      <c r="F961" s="8">
        <f>IF(ISNA(MATCH(948,Engine!$C$2:$C$1369,0)),"",INDEX('Compliance Database'!$F$2:$F$1369,MATCH(948,Engine!$C$2:$C$1369,0)))</f>
        <v/>
      </c>
      <c r="G961" s="8">
        <f>IF(ISNA(MATCH(948,Engine!$C$2:$C$1369,0)),"",INDEX('Compliance Database'!$G$2:$G$1369,MATCH(948,Engine!$C$2:$C$1369,0)))</f>
        <v/>
      </c>
      <c r="H961" s="9">
        <f>IF(ISNA(MATCH(948,Engine!$C$2:$C$1369,0)),"",INDEX('Compliance Database'!$H$2:$H$1369,MATCH(948,Engine!$C$2:$C$1369,0)))</f>
        <v/>
      </c>
      <c r="I961" s="9">
        <f>IF(ISNA(MATCH(948,Engine!$C$2:$C$1369,0)),"",INDEX('Compliance Database'!$I$2:$I$1369,MATCH(948,Engine!$C$2:$C$1369,0)))</f>
        <v/>
      </c>
      <c r="J961" s="8">
        <f>IF(ISNA(MATCH(948,Engine!$C$2:$C$1369,0)),"",INDEX('Compliance Database'!$J$2:$J$1369,MATCH(948,Engine!$C$2:$C$1369,0)))</f>
        <v/>
      </c>
      <c r="K961" s="9">
        <f>IF(ISNA(MATCH(948,Engine!$C$2:$C$1369,0)),"",INDEX('Compliance Database'!$K$2:$K$1369,MATCH(948,Engine!$C$2:$C$1369,0)))</f>
        <v/>
      </c>
      <c r="L961" s="9">
        <f>IF(ISNA(MATCH(948,Engine!$C$2:$C$1369,0)),"",INDEX('Compliance Database'!$L$2:$L$1369,MATCH(948,Engine!$C$2:$C$1369,0)))</f>
        <v/>
      </c>
      <c r="M961" s="9">
        <f>IF(ISNA(MATCH(948,Engine!$C$2:$C$1369,0)),"",INDEX('Compliance Database'!$M$2:$M$1369,MATCH(948,Engine!$C$2:$C$1369,0)))</f>
        <v/>
      </c>
      <c r="N961" s="9">
        <f>IF(ISNA(MATCH(948,Engine!$C$2:$C$1369,0)),"",INDEX('Compliance Database'!$N$2:$N$1369,MATCH(948,Engine!$C$2:$C$1369,0)))</f>
        <v/>
      </c>
      <c r="O961" s="8">
        <f>IF(ISNA(MATCH(948,Engine!$C$2:$C$1369,0)),"",HYPERLINK(INDEX('Compliance Database'!$O$2:$O$1369,MATCH(948,Engine!$C$2:$C$1369,0)),"Open PDF"))</f>
        <v/>
      </c>
    </row>
    <row r="962" ht="188" customHeight="1">
      <c r="A962" s="8">
        <f>IF(ISNA(MATCH(949,Engine!$C$2:$C$1369,0)),"",INDEX('Compliance Database'!$A$2:$A$1369,MATCH(949,Engine!$C$2:$C$1369,0)))</f>
        <v/>
      </c>
      <c r="B962" s="8">
        <f>IF(ISNA(MATCH(949,Engine!$C$2:$C$1369,0)),"",INDEX('Compliance Database'!$B$2:$B$1369,MATCH(949,Engine!$C$2:$C$1369,0)))</f>
        <v/>
      </c>
      <c r="C962" s="8">
        <f>IF(ISNA(MATCH(949,Engine!$C$2:$C$1369,0)),"",INDEX('Compliance Database'!$C$2:$C$1369,MATCH(949,Engine!$C$2:$C$1369,0)))</f>
        <v/>
      </c>
      <c r="D962" s="9">
        <f>IF(ISNA(MATCH(949,Engine!$C$2:$C$1369,0)),"",INDEX('Compliance Database'!$D$2:$D$1369,MATCH(949,Engine!$C$2:$C$1369,0)))</f>
        <v/>
      </c>
      <c r="E962" s="8">
        <f>IF(ISNA(MATCH(949,Engine!$C$2:$C$1369,0)),"",INDEX('Compliance Database'!$E$2:$E$1369,MATCH(949,Engine!$C$2:$C$1369,0)))</f>
        <v/>
      </c>
      <c r="F962" s="8">
        <f>IF(ISNA(MATCH(949,Engine!$C$2:$C$1369,0)),"",INDEX('Compliance Database'!$F$2:$F$1369,MATCH(949,Engine!$C$2:$C$1369,0)))</f>
        <v/>
      </c>
      <c r="G962" s="8">
        <f>IF(ISNA(MATCH(949,Engine!$C$2:$C$1369,0)),"",INDEX('Compliance Database'!$G$2:$G$1369,MATCH(949,Engine!$C$2:$C$1369,0)))</f>
        <v/>
      </c>
      <c r="H962" s="9">
        <f>IF(ISNA(MATCH(949,Engine!$C$2:$C$1369,0)),"",INDEX('Compliance Database'!$H$2:$H$1369,MATCH(949,Engine!$C$2:$C$1369,0)))</f>
        <v/>
      </c>
      <c r="I962" s="9">
        <f>IF(ISNA(MATCH(949,Engine!$C$2:$C$1369,0)),"",INDEX('Compliance Database'!$I$2:$I$1369,MATCH(949,Engine!$C$2:$C$1369,0)))</f>
        <v/>
      </c>
      <c r="J962" s="8">
        <f>IF(ISNA(MATCH(949,Engine!$C$2:$C$1369,0)),"",INDEX('Compliance Database'!$J$2:$J$1369,MATCH(949,Engine!$C$2:$C$1369,0)))</f>
        <v/>
      </c>
      <c r="K962" s="9">
        <f>IF(ISNA(MATCH(949,Engine!$C$2:$C$1369,0)),"",INDEX('Compliance Database'!$K$2:$K$1369,MATCH(949,Engine!$C$2:$C$1369,0)))</f>
        <v/>
      </c>
      <c r="L962" s="9">
        <f>IF(ISNA(MATCH(949,Engine!$C$2:$C$1369,0)),"",INDEX('Compliance Database'!$L$2:$L$1369,MATCH(949,Engine!$C$2:$C$1369,0)))</f>
        <v/>
      </c>
      <c r="M962" s="9">
        <f>IF(ISNA(MATCH(949,Engine!$C$2:$C$1369,0)),"",INDEX('Compliance Database'!$M$2:$M$1369,MATCH(949,Engine!$C$2:$C$1369,0)))</f>
        <v/>
      </c>
      <c r="N962" s="9">
        <f>IF(ISNA(MATCH(949,Engine!$C$2:$C$1369,0)),"",INDEX('Compliance Database'!$N$2:$N$1369,MATCH(949,Engine!$C$2:$C$1369,0)))</f>
        <v/>
      </c>
      <c r="O962" s="8">
        <f>IF(ISNA(MATCH(949,Engine!$C$2:$C$1369,0)),"",HYPERLINK(INDEX('Compliance Database'!$O$2:$O$1369,MATCH(949,Engine!$C$2:$C$1369,0)),"Open PDF"))</f>
        <v/>
      </c>
    </row>
    <row r="963" ht="188" customHeight="1">
      <c r="A963" s="8">
        <f>IF(ISNA(MATCH(950,Engine!$C$2:$C$1369,0)),"",INDEX('Compliance Database'!$A$2:$A$1369,MATCH(950,Engine!$C$2:$C$1369,0)))</f>
        <v/>
      </c>
      <c r="B963" s="8">
        <f>IF(ISNA(MATCH(950,Engine!$C$2:$C$1369,0)),"",INDEX('Compliance Database'!$B$2:$B$1369,MATCH(950,Engine!$C$2:$C$1369,0)))</f>
        <v/>
      </c>
      <c r="C963" s="8">
        <f>IF(ISNA(MATCH(950,Engine!$C$2:$C$1369,0)),"",INDEX('Compliance Database'!$C$2:$C$1369,MATCH(950,Engine!$C$2:$C$1369,0)))</f>
        <v/>
      </c>
      <c r="D963" s="9">
        <f>IF(ISNA(MATCH(950,Engine!$C$2:$C$1369,0)),"",INDEX('Compliance Database'!$D$2:$D$1369,MATCH(950,Engine!$C$2:$C$1369,0)))</f>
        <v/>
      </c>
      <c r="E963" s="8">
        <f>IF(ISNA(MATCH(950,Engine!$C$2:$C$1369,0)),"",INDEX('Compliance Database'!$E$2:$E$1369,MATCH(950,Engine!$C$2:$C$1369,0)))</f>
        <v/>
      </c>
      <c r="F963" s="8">
        <f>IF(ISNA(MATCH(950,Engine!$C$2:$C$1369,0)),"",INDEX('Compliance Database'!$F$2:$F$1369,MATCH(950,Engine!$C$2:$C$1369,0)))</f>
        <v/>
      </c>
      <c r="G963" s="8">
        <f>IF(ISNA(MATCH(950,Engine!$C$2:$C$1369,0)),"",INDEX('Compliance Database'!$G$2:$G$1369,MATCH(950,Engine!$C$2:$C$1369,0)))</f>
        <v/>
      </c>
      <c r="H963" s="9">
        <f>IF(ISNA(MATCH(950,Engine!$C$2:$C$1369,0)),"",INDEX('Compliance Database'!$H$2:$H$1369,MATCH(950,Engine!$C$2:$C$1369,0)))</f>
        <v/>
      </c>
      <c r="I963" s="9">
        <f>IF(ISNA(MATCH(950,Engine!$C$2:$C$1369,0)),"",INDEX('Compliance Database'!$I$2:$I$1369,MATCH(950,Engine!$C$2:$C$1369,0)))</f>
        <v/>
      </c>
      <c r="J963" s="8">
        <f>IF(ISNA(MATCH(950,Engine!$C$2:$C$1369,0)),"",INDEX('Compliance Database'!$J$2:$J$1369,MATCH(950,Engine!$C$2:$C$1369,0)))</f>
        <v/>
      </c>
      <c r="K963" s="9">
        <f>IF(ISNA(MATCH(950,Engine!$C$2:$C$1369,0)),"",INDEX('Compliance Database'!$K$2:$K$1369,MATCH(950,Engine!$C$2:$C$1369,0)))</f>
        <v/>
      </c>
      <c r="L963" s="9">
        <f>IF(ISNA(MATCH(950,Engine!$C$2:$C$1369,0)),"",INDEX('Compliance Database'!$L$2:$L$1369,MATCH(950,Engine!$C$2:$C$1369,0)))</f>
        <v/>
      </c>
      <c r="M963" s="9">
        <f>IF(ISNA(MATCH(950,Engine!$C$2:$C$1369,0)),"",INDEX('Compliance Database'!$M$2:$M$1369,MATCH(950,Engine!$C$2:$C$1369,0)))</f>
        <v/>
      </c>
      <c r="N963" s="9">
        <f>IF(ISNA(MATCH(950,Engine!$C$2:$C$1369,0)),"",INDEX('Compliance Database'!$N$2:$N$1369,MATCH(950,Engine!$C$2:$C$1369,0)))</f>
        <v/>
      </c>
      <c r="O963" s="8">
        <f>IF(ISNA(MATCH(950,Engine!$C$2:$C$1369,0)),"",HYPERLINK(INDEX('Compliance Database'!$O$2:$O$1369,MATCH(950,Engine!$C$2:$C$1369,0)),"Open PDF"))</f>
        <v/>
      </c>
    </row>
    <row r="964" ht="188" customHeight="1">
      <c r="A964" s="8">
        <f>IF(ISNA(MATCH(951,Engine!$C$2:$C$1369,0)),"",INDEX('Compliance Database'!$A$2:$A$1369,MATCH(951,Engine!$C$2:$C$1369,0)))</f>
        <v/>
      </c>
      <c r="B964" s="8">
        <f>IF(ISNA(MATCH(951,Engine!$C$2:$C$1369,0)),"",INDEX('Compliance Database'!$B$2:$B$1369,MATCH(951,Engine!$C$2:$C$1369,0)))</f>
        <v/>
      </c>
      <c r="C964" s="8">
        <f>IF(ISNA(MATCH(951,Engine!$C$2:$C$1369,0)),"",INDEX('Compliance Database'!$C$2:$C$1369,MATCH(951,Engine!$C$2:$C$1369,0)))</f>
        <v/>
      </c>
      <c r="D964" s="9">
        <f>IF(ISNA(MATCH(951,Engine!$C$2:$C$1369,0)),"",INDEX('Compliance Database'!$D$2:$D$1369,MATCH(951,Engine!$C$2:$C$1369,0)))</f>
        <v/>
      </c>
      <c r="E964" s="8">
        <f>IF(ISNA(MATCH(951,Engine!$C$2:$C$1369,0)),"",INDEX('Compliance Database'!$E$2:$E$1369,MATCH(951,Engine!$C$2:$C$1369,0)))</f>
        <v/>
      </c>
      <c r="F964" s="8">
        <f>IF(ISNA(MATCH(951,Engine!$C$2:$C$1369,0)),"",INDEX('Compliance Database'!$F$2:$F$1369,MATCH(951,Engine!$C$2:$C$1369,0)))</f>
        <v/>
      </c>
      <c r="G964" s="8">
        <f>IF(ISNA(MATCH(951,Engine!$C$2:$C$1369,0)),"",INDEX('Compliance Database'!$G$2:$G$1369,MATCH(951,Engine!$C$2:$C$1369,0)))</f>
        <v/>
      </c>
      <c r="H964" s="9">
        <f>IF(ISNA(MATCH(951,Engine!$C$2:$C$1369,0)),"",INDEX('Compliance Database'!$H$2:$H$1369,MATCH(951,Engine!$C$2:$C$1369,0)))</f>
        <v/>
      </c>
      <c r="I964" s="9">
        <f>IF(ISNA(MATCH(951,Engine!$C$2:$C$1369,0)),"",INDEX('Compliance Database'!$I$2:$I$1369,MATCH(951,Engine!$C$2:$C$1369,0)))</f>
        <v/>
      </c>
      <c r="J964" s="8">
        <f>IF(ISNA(MATCH(951,Engine!$C$2:$C$1369,0)),"",INDEX('Compliance Database'!$J$2:$J$1369,MATCH(951,Engine!$C$2:$C$1369,0)))</f>
        <v/>
      </c>
      <c r="K964" s="9">
        <f>IF(ISNA(MATCH(951,Engine!$C$2:$C$1369,0)),"",INDEX('Compliance Database'!$K$2:$K$1369,MATCH(951,Engine!$C$2:$C$1369,0)))</f>
        <v/>
      </c>
      <c r="L964" s="9">
        <f>IF(ISNA(MATCH(951,Engine!$C$2:$C$1369,0)),"",INDEX('Compliance Database'!$L$2:$L$1369,MATCH(951,Engine!$C$2:$C$1369,0)))</f>
        <v/>
      </c>
      <c r="M964" s="9">
        <f>IF(ISNA(MATCH(951,Engine!$C$2:$C$1369,0)),"",INDEX('Compliance Database'!$M$2:$M$1369,MATCH(951,Engine!$C$2:$C$1369,0)))</f>
        <v/>
      </c>
      <c r="N964" s="9">
        <f>IF(ISNA(MATCH(951,Engine!$C$2:$C$1369,0)),"",INDEX('Compliance Database'!$N$2:$N$1369,MATCH(951,Engine!$C$2:$C$1369,0)))</f>
        <v/>
      </c>
      <c r="O964" s="8">
        <f>IF(ISNA(MATCH(951,Engine!$C$2:$C$1369,0)),"",HYPERLINK(INDEX('Compliance Database'!$O$2:$O$1369,MATCH(951,Engine!$C$2:$C$1369,0)),"Open PDF"))</f>
        <v/>
      </c>
    </row>
    <row r="965" ht="188" customHeight="1">
      <c r="A965" s="8">
        <f>IF(ISNA(MATCH(952,Engine!$C$2:$C$1369,0)),"",INDEX('Compliance Database'!$A$2:$A$1369,MATCH(952,Engine!$C$2:$C$1369,0)))</f>
        <v/>
      </c>
      <c r="B965" s="8">
        <f>IF(ISNA(MATCH(952,Engine!$C$2:$C$1369,0)),"",INDEX('Compliance Database'!$B$2:$B$1369,MATCH(952,Engine!$C$2:$C$1369,0)))</f>
        <v/>
      </c>
      <c r="C965" s="8">
        <f>IF(ISNA(MATCH(952,Engine!$C$2:$C$1369,0)),"",INDEX('Compliance Database'!$C$2:$C$1369,MATCH(952,Engine!$C$2:$C$1369,0)))</f>
        <v/>
      </c>
      <c r="D965" s="9">
        <f>IF(ISNA(MATCH(952,Engine!$C$2:$C$1369,0)),"",INDEX('Compliance Database'!$D$2:$D$1369,MATCH(952,Engine!$C$2:$C$1369,0)))</f>
        <v/>
      </c>
      <c r="E965" s="8">
        <f>IF(ISNA(MATCH(952,Engine!$C$2:$C$1369,0)),"",INDEX('Compliance Database'!$E$2:$E$1369,MATCH(952,Engine!$C$2:$C$1369,0)))</f>
        <v/>
      </c>
      <c r="F965" s="8">
        <f>IF(ISNA(MATCH(952,Engine!$C$2:$C$1369,0)),"",INDEX('Compliance Database'!$F$2:$F$1369,MATCH(952,Engine!$C$2:$C$1369,0)))</f>
        <v/>
      </c>
      <c r="G965" s="8">
        <f>IF(ISNA(MATCH(952,Engine!$C$2:$C$1369,0)),"",INDEX('Compliance Database'!$G$2:$G$1369,MATCH(952,Engine!$C$2:$C$1369,0)))</f>
        <v/>
      </c>
      <c r="H965" s="9">
        <f>IF(ISNA(MATCH(952,Engine!$C$2:$C$1369,0)),"",INDEX('Compliance Database'!$H$2:$H$1369,MATCH(952,Engine!$C$2:$C$1369,0)))</f>
        <v/>
      </c>
      <c r="I965" s="9">
        <f>IF(ISNA(MATCH(952,Engine!$C$2:$C$1369,0)),"",INDEX('Compliance Database'!$I$2:$I$1369,MATCH(952,Engine!$C$2:$C$1369,0)))</f>
        <v/>
      </c>
      <c r="J965" s="8">
        <f>IF(ISNA(MATCH(952,Engine!$C$2:$C$1369,0)),"",INDEX('Compliance Database'!$J$2:$J$1369,MATCH(952,Engine!$C$2:$C$1369,0)))</f>
        <v/>
      </c>
      <c r="K965" s="9">
        <f>IF(ISNA(MATCH(952,Engine!$C$2:$C$1369,0)),"",INDEX('Compliance Database'!$K$2:$K$1369,MATCH(952,Engine!$C$2:$C$1369,0)))</f>
        <v/>
      </c>
      <c r="L965" s="9">
        <f>IF(ISNA(MATCH(952,Engine!$C$2:$C$1369,0)),"",INDEX('Compliance Database'!$L$2:$L$1369,MATCH(952,Engine!$C$2:$C$1369,0)))</f>
        <v/>
      </c>
      <c r="M965" s="9">
        <f>IF(ISNA(MATCH(952,Engine!$C$2:$C$1369,0)),"",INDEX('Compliance Database'!$M$2:$M$1369,MATCH(952,Engine!$C$2:$C$1369,0)))</f>
        <v/>
      </c>
      <c r="N965" s="9">
        <f>IF(ISNA(MATCH(952,Engine!$C$2:$C$1369,0)),"",INDEX('Compliance Database'!$N$2:$N$1369,MATCH(952,Engine!$C$2:$C$1369,0)))</f>
        <v/>
      </c>
      <c r="O965" s="8">
        <f>IF(ISNA(MATCH(952,Engine!$C$2:$C$1369,0)),"",HYPERLINK(INDEX('Compliance Database'!$O$2:$O$1369,MATCH(952,Engine!$C$2:$C$1369,0)),"Open PDF"))</f>
        <v/>
      </c>
    </row>
    <row r="966" ht="188" customHeight="1">
      <c r="A966" s="8">
        <f>IF(ISNA(MATCH(953,Engine!$C$2:$C$1369,0)),"",INDEX('Compliance Database'!$A$2:$A$1369,MATCH(953,Engine!$C$2:$C$1369,0)))</f>
        <v/>
      </c>
      <c r="B966" s="8">
        <f>IF(ISNA(MATCH(953,Engine!$C$2:$C$1369,0)),"",INDEX('Compliance Database'!$B$2:$B$1369,MATCH(953,Engine!$C$2:$C$1369,0)))</f>
        <v/>
      </c>
      <c r="C966" s="8">
        <f>IF(ISNA(MATCH(953,Engine!$C$2:$C$1369,0)),"",INDEX('Compliance Database'!$C$2:$C$1369,MATCH(953,Engine!$C$2:$C$1369,0)))</f>
        <v/>
      </c>
      <c r="D966" s="9">
        <f>IF(ISNA(MATCH(953,Engine!$C$2:$C$1369,0)),"",INDEX('Compliance Database'!$D$2:$D$1369,MATCH(953,Engine!$C$2:$C$1369,0)))</f>
        <v/>
      </c>
      <c r="E966" s="8">
        <f>IF(ISNA(MATCH(953,Engine!$C$2:$C$1369,0)),"",INDEX('Compliance Database'!$E$2:$E$1369,MATCH(953,Engine!$C$2:$C$1369,0)))</f>
        <v/>
      </c>
      <c r="F966" s="8">
        <f>IF(ISNA(MATCH(953,Engine!$C$2:$C$1369,0)),"",INDEX('Compliance Database'!$F$2:$F$1369,MATCH(953,Engine!$C$2:$C$1369,0)))</f>
        <v/>
      </c>
      <c r="G966" s="8">
        <f>IF(ISNA(MATCH(953,Engine!$C$2:$C$1369,0)),"",INDEX('Compliance Database'!$G$2:$G$1369,MATCH(953,Engine!$C$2:$C$1369,0)))</f>
        <v/>
      </c>
      <c r="H966" s="9">
        <f>IF(ISNA(MATCH(953,Engine!$C$2:$C$1369,0)),"",INDEX('Compliance Database'!$H$2:$H$1369,MATCH(953,Engine!$C$2:$C$1369,0)))</f>
        <v/>
      </c>
      <c r="I966" s="9">
        <f>IF(ISNA(MATCH(953,Engine!$C$2:$C$1369,0)),"",INDEX('Compliance Database'!$I$2:$I$1369,MATCH(953,Engine!$C$2:$C$1369,0)))</f>
        <v/>
      </c>
      <c r="J966" s="8">
        <f>IF(ISNA(MATCH(953,Engine!$C$2:$C$1369,0)),"",INDEX('Compliance Database'!$J$2:$J$1369,MATCH(953,Engine!$C$2:$C$1369,0)))</f>
        <v/>
      </c>
      <c r="K966" s="9">
        <f>IF(ISNA(MATCH(953,Engine!$C$2:$C$1369,0)),"",INDEX('Compliance Database'!$K$2:$K$1369,MATCH(953,Engine!$C$2:$C$1369,0)))</f>
        <v/>
      </c>
      <c r="L966" s="9">
        <f>IF(ISNA(MATCH(953,Engine!$C$2:$C$1369,0)),"",INDEX('Compliance Database'!$L$2:$L$1369,MATCH(953,Engine!$C$2:$C$1369,0)))</f>
        <v/>
      </c>
      <c r="M966" s="9">
        <f>IF(ISNA(MATCH(953,Engine!$C$2:$C$1369,0)),"",INDEX('Compliance Database'!$M$2:$M$1369,MATCH(953,Engine!$C$2:$C$1369,0)))</f>
        <v/>
      </c>
      <c r="N966" s="9">
        <f>IF(ISNA(MATCH(953,Engine!$C$2:$C$1369,0)),"",INDEX('Compliance Database'!$N$2:$N$1369,MATCH(953,Engine!$C$2:$C$1369,0)))</f>
        <v/>
      </c>
      <c r="O966" s="8">
        <f>IF(ISNA(MATCH(953,Engine!$C$2:$C$1369,0)),"",HYPERLINK(INDEX('Compliance Database'!$O$2:$O$1369,MATCH(953,Engine!$C$2:$C$1369,0)),"Open PDF"))</f>
        <v/>
      </c>
    </row>
    <row r="967" ht="188" customHeight="1">
      <c r="A967" s="8">
        <f>IF(ISNA(MATCH(954,Engine!$C$2:$C$1369,0)),"",INDEX('Compliance Database'!$A$2:$A$1369,MATCH(954,Engine!$C$2:$C$1369,0)))</f>
        <v/>
      </c>
      <c r="B967" s="8">
        <f>IF(ISNA(MATCH(954,Engine!$C$2:$C$1369,0)),"",INDEX('Compliance Database'!$B$2:$B$1369,MATCH(954,Engine!$C$2:$C$1369,0)))</f>
        <v/>
      </c>
      <c r="C967" s="8">
        <f>IF(ISNA(MATCH(954,Engine!$C$2:$C$1369,0)),"",INDEX('Compliance Database'!$C$2:$C$1369,MATCH(954,Engine!$C$2:$C$1369,0)))</f>
        <v/>
      </c>
      <c r="D967" s="9">
        <f>IF(ISNA(MATCH(954,Engine!$C$2:$C$1369,0)),"",INDEX('Compliance Database'!$D$2:$D$1369,MATCH(954,Engine!$C$2:$C$1369,0)))</f>
        <v/>
      </c>
      <c r="E967" s="8">
        <f>IF(ISNA(MATCH(954,Engine!$C$2:$C$1369,0)),"",INDEX('Compliance Database'!$E$2:$E$1369,MATCH(954,Engine!$C$2:$C$1369,0)))</f>
        <v/>
      </c>
      <c r="F967" s="8">
        <f>IF(ISNA(MATCH(954,Engine!$C$2:$C$1369,0)),"",INDEX('Compliance Database'!$F$2:$F$1369,MATCH(954,Engine!$C$2:$C$1369,0)))</f>
        <v/>
      </c>
      <c r="G967" s="8">
        <f>IF(ISNA(MATCH(954,Engine!$C$2:$C$1369,0)),"",INDEX('Compliance Database'!$G$2:$G$1369,MATCH(954,Engine!$C$2:$C$1369,0)))</f>
        <v/>
      </c>
      <c r="H967" s="9">
        <f>IF(ISNA(MATCH(954,Engine!$C$2:$C$1369,0)),"",INDEX('Compliance Database'!$H$2:$H$1369,MATCH(954,Engine!$C$2:$C$1369,0)))</f>
        <v/>
      </c>
      <c r="I967" s="9">
        <f>IF(ISNA(MATCH(954,Engine!$C$2:$C$1369,0)),"",INDEX('Compliance Database'!$I$2:$I$1369,MATCH(954,Engine!$C$2:$C$1369,0)))</f>
        <v/>
      </c>
      <c r="J967" s="8">
        <f>IF(ISNA(MATCH(954,Engine!$C$2:$C$1369,0)),"",INDEX('Compliance Database'!$J$2:$J$1369,MATCH(954,Engine!$C$2:$C$1369,0)))</f>
        <v/>
      </c>
      <c r="K967" s="9">
        <f>IF(ISNA(MATCH(954,Engine!$C$2:$C$1369,0)),"",INDEX('Compliance Database'!$K$2:$K$1369,MATCH(954,Engine!$C$2:$C$1369,0)))</f>
        <v/>
      </c>
      <c r="L967" s="9">
        <f>IF(ISNA(MATCH(954,Engine!$C$2:$C$1369,0)),"",INDEX('Compliance Database'!$L$2:$L$1369,MATCH(954,Engine!$C$2:$C$1369,0)))</f>
        <v/>
      </c>
      <c r="M967" s="9">
        <f>IF(ISNA(MATCH(954,Engine!$C$2:$C$1369,0)),"",INDEX('Compliance Database'!$M$2:$M$1369,MATCH(954,Engine!$C$2:$C$1369,0)))</f>
        <v/>
      </c>
      <c r="N967" s="9">
        <f>IF(ISNA(MATCH(954,Engine!$C$2:$C$1369,0)),"",INDEX('Compliance Database'!$N$2:$N$1369,MATCH(954,Engine!$C$2:$C$1369,0)))</f>
        <v/>
      </c>
      <c r="O967" s="8">
        <f>IF(ISNA(MATCH(954,Engine!$C$2:$C$1369,0)),"",HYPERLINK(INDEX('Compliance Database'!$O$2:$O$1369,MATCH(954,Engine!$C$2:$C$1369,0)),"Open PDF"))</f>
        <v/>
      </c>
    </row>
    <row r="968" ht="188" customHeight="1">
      <c r="A968" s="8">
        <f>IF(ISNA(MATCH(955,Engine!$C$2:$C$1369,0)),"",INDEX('Compliance Database'!$A$2:$A$1369,MATCH(955,Engine!$C$2:$C$1369,0)))</f>
        <v/>
      </c>
      <c r="B968" s="8">
        <f>IF(ISNA(MATCH(955,Engine!$C$2:$C$1369,0)),"",INDEX('Compliance Database'!$B$2:$B$1369,MATCH(955,Engine!$C$2:$C$1369,0)))</f>
        <v/>
      </c>
      <c r="C968" s="8">
        <f>IF(ISNA(MATCH(955,Engine!$C$2:$C$1369,0)),"",INDEX('Compliance Database'!$C$2:$C$1369,MATCH(955,Engine!$C$2:$C$1369,0)))</f>
        <v/>
      </c>
      <c r="D968" s="9">
        <f>IF(ISNA(MATCH(955,Engine!$C$2:$C$1369,0)),"",INDEX('Compliance Database'!$D$2:$D$1369,MATCH(955,Engine!$C$2:$C$1369,0)))</f>
        <v/>
      </c>
      <c r="E968" s="8">
        <f>IF(ISNA(MATCH(955,Engine!$C$2:$C$1369,0)),"",INDEX('Compliance Database'!$E$2:$E$1369,MATCH(955,Engine!$C$2:$C$1369,0)))</f>
        <v/>
      </c>
      <c r="F968" s="8">
        <f>IF(ISNA(MATCH(955,Engine!$C$2:$C$1369,0)),"",INDEX('Compliance Database'!$F$2:$F$1369,MATCH(955,Engine!$C$2:$C$1369,0)))</f>
        <v/>
      </c>
      <c r="G968" s="8">
        <f>IF(ISNA(MATCH(955,Engine!$C$2:$C$1369,0)),"",INDEX('Compliance Database'!$G$2:$G$1369,MATCH(955,Engine!$C$2:$C$1369,0)))</f>
        <v/>
      </c>
      <c r="H968" s="9">
        <f>IF(ISNA(MATCH(955,Engine!$C$2:$C$1369,0)),"",INDEX('Compliance Database'!$H$2:$H$1369,MATCH(955,Engine!$C$2:$C$1369,0)))</f>
        <v/>
      </c>
      <c r="I968" s="9">
        <f>IF(ISNA(MATCH(955,Engine!$C$2:$C$1369,0)),"",INDEX('Compliance Database'!$I$2:$I$1369,MATCH(955,Engine!$C$2:$C$1369,0)))</f>
        <v/>
      </c>
      <c r="J968" s="8">
        <f>IF(ISNA(MATCH(955,Engine!$C$2:$C$1369,0)),"",INDEX('Compliance Database'!$J$2:$J$1369,MATCH(955,Engine!$C$2:$C$1369,0)))</f>
        <v/>
      </c>
      <c r="K968" s="9">
        <f>IF(ISNA(MATCH(955,Engine!$C$2:$C$1369,0)),"",INDEX('Compliance Database'!$K$2:$K$1369,MATCH(955,Engine!$C$2:$C$1369,0)))</f>
        <v/>
      </c>
      <c r="L968" s="9">
        <f>IF(ISNA(MATCH(955,Engine!$C$2:$C$1369,0)),"",INDEX('Compliance Database'!$L$2:$L$1369,MATCH(955,Engine!$C$2:$C$1369,0)))</f>
        <v/>
      </c>
      <c r="M968" s="9">
        <f>IF(ISNA(MATCH(955,Engine!$C$2:$C$1369,0)),"",INDEX('Compliance Database'!$M$2:$M$1369,MATCH(955,Engine!$C$2:$C$1369,0)))</f>
        <v/>
      </c>
      <c r="N968" s="9">
        <f>IF(ISNA(MATCH(955,Engine!$C$2:$C$1369,0)),"",INDEX('Compliance Database'!$N$2:$N$1369,MATCH(955,Engine!$C$2:$C$1369,0)))</f>
        <v/>
      </c>
      <c r="O968" s="8">
        <f>IF(ISNA(MATCH(955,Engine!$C$2:$C$1369,0)),"",HYPERLINK(INDEX('Compliance Database'!$O$2:$O$1369,MATCH(955,Engine!$C$2:$C$1369,0)),"Open PDF"))</f>
        <v/>
      </c>
    </row>
    <row r="969" ht="188" customHeight="1">
      <c r="A969" s="8">
        <f>IF(ISNA(MATCH(956,Engine!$C$2:$C$1369,0)),"",INDEX('Compliance Database'!$A$2:$A$1369,MATCH(956,Engine!$C$2:$C$1369,0)))</f>
        <v/>
      </c>
      <c r="B969" s="8">
        <f>IF(ISNA(MATCH(956,Engine!$C$2:$C$1369,0)),"",INDEX('Compliance Database'!$B$2:$B$1369,MATCH(956,Engine!$C$2:$C$1369,0)))</f>
        <v/>
      </c>
      <c r="C969" s="8">
        <f>IF(ISNA(MATCH(956,Engine!$C$2:$C$1369,0)),"",INDEX('Compliance Database'!$C$2:$C$1369,MATCH(956,Engine!$C$2:$C$1369,0)))</f>
        <v/>
      </c>
      <c r="D969" s="9">
        <f>IF(ISNA(MATCH(956,Engine!$C$2:$C$1369,0)),"",INDEX('Compliance Database'!$D$2:$D$1369,MATCH(956,Engine!$C$2:$C$1369,0)))</f>
        <v/>
      </c>
      <c r="E969" s="8">
        <f>IF(ISNA(MATCH(956,Engine!$C$2:$C$1369,0)),"",INDEX('Compliance Database'!$E$2:$E$1369,MATCH(956,Engine!$C$2:$C$1369,0)))</f>
        <v/>
      </c>
      <c r="F969" s="8">
        <f>IF(ISNA(MATCH(956,Engine!$C$2:$C$1369,0)),"",INDEX('Compliance Database'!$F$2:$F$1369,MATCH(956,Engine!$C$2:$C$1369,0)))</f>
        <v/>
      </c>
      <c r="G969" s="8">
        <f>IF(ISNA(MATCH(956,Engine!$C$2:$C$1369,0)),"",INDEX('Compliance Database'!$G$2:$G$1369,MATCH(956,Engine!$C$2:$C$1369,0)))</f>
        <v/>
      </c>
      <c r="H969" s="9">
        <f>IF(ISNA(MATCH(956,Engine!$C$2:$C$1369,0)),"",INDEX('Compliance Database'!$H$2:$H$1369,MATCH(956,Engine!$C$2:$C$1369,0)))</f>
        <v/>
      </c>
      <c r="I969" s="9">
        <f>IF(ISNA(MATCH(956,Engine!$C$2:$C$1369,0)),"",INDEX('Compliance Database'!$I$2:$I$1369,MATCH(956,Engine!$C$2:$C$1369,0)))</f>
        <v/>
      </c>
      <c r="J969" s="8">
        <f>IF(ISNA(MATCH(956,Engine!$C$2:$C$1369,0)),"",INDEX('Compliance Database'!$J$2:$J$1369,MATCH(956,Engine!$C$2:$C$1369,0)))</f>
        <v/>
      </c>
      <c r="K969" s="9">
        <f>IF(ISNA(MATCH(956,Engine!$C$2:$C$1369,0)),"",INDEX('Compliance Database'!$K$2:$K$1369,MATCH(956,Engine!$C$2:$C$1369,0)))</f>
        <v/>
      </c>
      <c r="L969" s="9">
        <f>IF(ISNA(MATCH(956,Engine!$C$2:$C$1369,0)),"",INDEX('Compliance Database'!$L$2:$L$1369,MATCH(956,Engine!$C$2:$C$1369,0)))</f>
        <v/>
      </c>
      <c r="M969" s="9">
        <f>IF(ISNA(MATCH(956,Engine!$C$2:$C$1369,0)),"",INDEX('Compliance Database'!$M$2:$M$1369,MATCH(956,Engine!$C$2:$C$1369,0)))</f>
        <v/>
      </c>
      <c r="N969" s="9">
        <f>IF(ISNA(MATCH(956,Engine!$C$2:$C$1369,0)),"",INDEX('Compliance Database'!$N$2:$N$1369,MATCH(956,Engine!$C$2:$C$1369,0)))</f>
        <v/>
      </c>
      <c r="O969" s="8">
        <f>IF(ISNA(MATCH(956,Engine!$C$2:$C$1369,0)),"",HYPERLINK(INDEX('Compliance Database'!$O$2:$O$1369,MATCH(956,Engine!$C$2:$C$1369,0)),"Open PDF"))</f>
        <v/>
      </c>
    </row>
    <row r="970" ht="188" customHeight="1">
      <c r="A970" s="8">
        <f>IF(ISNA(MATCH(957,Engine!$C$2:$C$1369,0)),"",INDEX('Compliance Database'!$A$2:$A$1369,MATCH(957,Engine!$C$2:$C$1369,0)))</f>
        <v/>
      </c>
      <c r="B970" s="8">
        <f>IF(ISNA(MATCH(957,Engine!$C$2:$C$1369,0)),"",INDEX('Compliance Database'!$B$2:$B$1369,MATCH(957,Engine!$C$2:$C$1369,0)))</f>
        <v/>
      </c>
      <c r="C970" s="8">
        <f>IF(ISNA(MATCH(957,Engine!$C$2:$C$1369,0)),"",INDEX('Compliance Database'!$C$2:$C$1369,MATCH(957,Engine!$C$2:$C$1369,0)))</f>
        <v/>
      </c>
      <c r="D970" s="9">
        <f>IF(ISNA(MATCH(957,Engine!$C$2:$C$1369,0)),"",INDEX('Compliance Database'!$D$2:$D$1369,MATCH(957,Engine!$C$2:$C$1369,0)))</f>
        <v/>
      </c>
      <c r="E970" s="8">
        <f>IF(ISNA(MATCH(957,Engine!$C$2:$C$1369,0)),"",INDEX('Compliance Database'!$E$2:$E$1369,MATCH(957,Engine!$C$2:$C$1369,0)))</f>
        <v/>
      </c>
      <c r="F970" s="8">
        <f>IF(ISNA(MATCH(957,Engine!$C$2:$C$1369,0)),"",INDEX('Compliance Database'!$F$2:$F$1369,MATCH(957,Engine!$C$2:$C$1369,0)))</f>
        <v/>
      </c>
      <c r="G970" s="8">
        <f>IF(ISNA(MATCH(957,Engine!$C$2:$C$1369,0)),"",INDEX('Compliance Database'!$G$2:$G$1369,MATCH(957,Engine!$C$2:$C$1369,0)))</f>
        <v/>
      </c>
      <c r="H970" s="9">
        <f>IF(ISNA(MATCH(957,Engine!$C$2:$C$1369,0)),"",INDEX('Compliance Database'!$H$2:$H$1369,MATCH(957,Engine!$C$2:$C$1369,0)))</f>
        <v/>
      </c>
      <c r="I970" s="9">
        <f>IF(ISNA(MATCH(957,Engine!$C$2:$C$1369,0)),"",INDEX('Compliance Database'!$I$2:$I$1369,MATCH(957,Engine!$C$2:$C$1369,0)))</f>
        <v/>
      </c>
      <c r="J970" s="8">
        <f>IF(ISNA(MATCH(957,Engine!$C$2:$C$1369,0)),"",INDEX('Compliance Database'!$J$2:$J$1369,MATCH(957,Engine!$C$2:$C$1369,0)))</f>
        <v/>
      </c>
      <c r="K970" s="9">
        <f>IF(ISNA(MATCH(957,Engine!$C$2:$C$1369,0)),"",INDEX('Compliance Database'!$K$2:$K$1369,MATCH(957,Engine!$C$2:$C$1369,0)))</f>
        <v/>
      </c>
      <c r="L970" s="9">
        <f>IF(ISNA(MATCH(957,Engine!$C$2:$C$1369,0)),"",INDEX('Compliance Database'!$L$2:$L$1369,MATCH(957,Engine!$C$2:$C$1369,0)))</f>
        <v/>
      </c>
      <c r="M970" s="9">
        <f>IF(ISNA(MATCH(957,Engine!$C$2:$C$1369,0)),"",INDEX('Compliance Database'!$M$2:$M$1369,MATCH(957,Engine!$C$2:$C$1369,0)))</f>
        <v/>
      </c>
      <c r="N970" s="9">
        <f>IF(ISNA(MATCH(957,Engine!$C$2:$C$1369,0)),"",INDEX('Compliance Database'!$N$2:$N$1369,MATCH(957,Engine!$C$2:$C$1369,0)))</f>
        <v/>
      </c>
      <c r="O970" s="8">
        <f>IF(ISNA(MATCH(957,Engine!$C$2:$C$1369,0)),"",HYPERLINK(INDEX('Compliance Database'!$O$2:$O$1369,MATCH(957,Engine!$C$2:$C$1369,0)),"Open PDF"))</f>
        <v/>
      </c>
    </row>
    <row r="971" ht="188" customHeight="1">
      <c r="A971" s="8">
        <f>IF(ISNA(MATCH(958,Engine!$C$2:$C$1369,0)),"",INDEX('Compliance Database'!$A$2:$A$1369,MATCH(958,Engine!$C$2:$C$1369,0)))</f>
        <v/>
      </c>
      <c r="B971" s="8">
        <f>IF(ISNA(MATCH(958,Engine!$C$2:$C$1369,0)),"",INDEX('Compliance Database'!$B$2:$B$1369,MATCH(958,Engine!$C$2:$C$1369,0)))</f>
        <v/>
      </c>
      <c r="C971" s="8">
        <f>IF(ISNA(MATCH(958,Engine!$C$2:$C$1369,0)),"",INDEX('Compliance Database'!$C$2:$C$1369,MATCH(958,Engine!$C$2:$C$1369,0)))</f>
        <v/>
      </c>
      <c r="D971" s="9">
        <f>IF(ISNA(MATCH(958,Engine!$C$2:$C$1369,0)),"",INDEX('Compliance Database'!$D$2:$D$1369,MATCH(958,Engine!$C$2:$C$1369,0)))</f>
        <v/>
      </c>
      <c r="E971" s="8">
        <f>IF(ISNA(MATCH(958,Engine!$C$2:$C$1369,0)),"",INDEX('Compliance Database'!$E$2:$E$1369,MATCH(958,Engine!$C$2:$C$1369,0)))</f>
        <v/>
      </c>
      <c r="F971" s="8">
        <f>IF(ISNA(MATCH(958,Engine!$C$2:$C$1369,0)),"",INDEX('Compliance Database'!$F$2:$F$1369,MATCH(958,Engine!$C$2:$C$1369,0)))</f>
        <v/>
      </c>
      <c r="G971" s="8">
        <f>IF(ISNA(MATCH(958,Engine!$C$2:$C$1369,0)),"",INDEX('Compliance Database'!$G$2:$G$1369,MATCH(958,Engine!$C$2:$C$1369,0)))</f>
        <v/>
      </c>
      <c r="H971" s="9">
        <f>IF(ISNA(MATCH(958,Engine!$C$2:$C$1369,0)),"",INDEX('Compliance Database'!$H$2:$H$1369,MATCH(958,Engine!$C$2:$C$1369,0)))</f>
        <v/>
      </c>
      <c r="I971" s="9">
        <f>IF(ISNA(MATCH(958,Engine!$C$2:$C$1369,0)),"",INDEX('Compliance Database'!$I$2:$I$1369,MATCH(958,Engine!$C$2:$C$1369,0)))</f>
        <v/>
      </c>
      <c r="J971" s="8">
        <f>IF(ISNA(MATCH(958,Engine!$C$2:$C$1369,0)),"",INDEX('Compliance Database'!$J$2:$J$1369,MATCH(958,Engine!$C$2:$C$1369,0)))</f>
        <v/>
      </c>
      <c r="K971" s="9">
        <f>IF(ISNA(MATCH(958,Engine!$C$2:$C$1369,0)),"",INDEX('Compliance Database'!$K$2:$K$1369,MATCH(958,Engine!$C$2:$C$1369,0)))</f>
        <v/>
      </c>
      <c r="L971" s="9">
        <f>IF(ISNA(MATCH(958,Engine!$C$2:$C$1369,0)),"",INDEX('Compliance Database'!$L$2:$L$1369,MATCH(958,Engine!$C$2:$C$1369,0)))</f>
        <v/>
      </c>
      <c r="M971" s="9">
        <f>IF(ISNA(MATCH(958,Engine!$C$2:$C$1369,0)),"",INDEX('Compliance Database'!$M$2:$M$1369,MATCH(958,Engine!$C$2:$C$1369,0)))</f>
        <v/>
      </c>
      <c r="N971" s="9">
        <f>IF(ISNA(MATCH(958,Engine!$C$2:$C$1369,0)),"",INDEX('Compliance Database'!$N$2:$N$1369,MATCH(958,Engine!$C$2:$C$1369,0)))</f>
        <v/>
      </c>
      <c r="O971" s="8">
        <f>IF(ISNA(MATCH(958,Engine!$C$2:$C$1369,0)),"",HYPERLINK(INDEX('Compliance Database'!$O$2:$O$1369,MATCH(958,Engine!$C$2:$C$1369,0)),"Open PDF"))</f>
        <v/>
      </c>
    </row>
    <row r="972" ht="188" customHeight="1">
      <c r="A972" s="8">
        <f>IF(ISNA(MATCH(959,Engine!$C$2:$C$1369,0)),"",INDEX('Compliance Database'!$A$2:$A$1369,MATCH(959,Engine!$C$2:$C$1369,0)))</f>
        <v/>
      </c>
      <c r="B972" s="8">
        <f>IF(ISNA(MATCH(959,Engine!$C$2:$C$1369,0)),"",INDEX('Compliance Database'!$B$2:$B$1369,MATCH(959,Engine!$C$2:$C$1369,0)))</f>
        <v/>
      </c>
      <c r="C972" s="8">
        <f>IF(ISNA(MATCH(959,Engine!$C$2:$C$1369,0)),"",INDEX('Compliance Database'!$C$2:$C$1369,MATCH(959,Engine!$C$2:$C$1369,0)))</f>
        <v/>
      </c>
      <c r="D972" s="9">
        <f>IF(ISNA(MATCH(959,Engine!$C$2:$C$1369,0)),"",INDEX('Compliance Database'!$D$2:$D$1369,MATCH(959,Engine!$C$2:$C$1369,0)))</f>
        <v/>
      </c>
      <c r="E972" s="8">
        <f>IF(ISNA(MATCH(959,Engine!$C$2:$C$1369,0)),"",INDEX('Compliance Database'!$E$2:$E$1369,MATCH(959,Engine!$C$2:$C$1369,0)))</f>
        <v/>
      </c>
      <c r="F972" s="8">
        <f>IF(ISNA(MATCH(959,Engine!$C$2:$C$1369,0)),"",INDEX('Compliance Database'!$F$2:$F$1369,MATCH(959,Engine!$C$2:$C$1369,0)))</f>
        <v/>
      </c>
      <c r="G972" s="8">
        <f>IF(ISNA(MATCH(959,Engine!$C$2:$C$1369,0)),"",INDEX('Compliance Database'!$G$2:$G$1369,MATCH(959,Engine!$C$2:$C$1369,0)))</f>
        <v/>
      </c>
      <c r="H972" s="9">
        <f>IF(ISNA(MATCH(959,Engine!$C$2:$C$1369,0)),"",INDEX('Compliance Database'!$H$2:$H$1369,MATCH(959,Engine!$C$2:$C$1369,0)))</f>
        <v/>
      </c>
      <c r="I972" s="9">
        <f>IF(ISNA(MATCH(959,Engine!$C$2:$C$1369,0)),"",INDEX('Compliance Database'!$I$2:$I$1369,MATCH(959,Engine!$C$2:$C$1369,0)))</f>
        <v/>
      </c>
      <c r="J972" s="8">
        <f>IF(ISNA(MATCH(959,Engine!$C$2:$C$1369,0)),"",INDEX('Compliance Database'!$J$2:$J$1369,MATCH(959,Engine!$C$2:$C$1369,0)))</f>
        <v/>
      </c>
      <c r="K972" s="9">
        <f>IF(ISNA(MATCH(959,Engine!$C$2:$C$1369,0)),"",INDEX('Compliance Database'!$K$2:$K$1369,MATCH(959,Engine!$C$2:$C$1369,0)))</f>
        <v/>
      </c>
      <c r="L972" s="9">
        <f>IF(ISNA(MATCH(959,Engine!$C$2:$C$1369,0)),"",INDEX('Compliance Database'!$L$2:$L$1369,MATCH(959,Engine!$C$2:$C$1369,0)))</f>
        <v/>
      </c>
      <c r="M972" s="9">
        <f>IF(ISNA(MATCH(959,Engine!$C$2:$C$1369,0)),"",INDEX('Compliance Database'!$M$2:$M$1369,MATCH(959,Engine!$C$2:$C$1369,0)))</f>
        <v/>
      </c>
      <c r="N972" s="9">
        <f>IF(ISNA(MATCH(959,Engine!$C$2:$C$1369,0)),"",INDEX('Compliance Database'!$N$2:$N$1369,MATCH(959,Engine!$C$2:$C$1369,0)))</f>
        <v/>
      </c>
      <c r="O972" s="8">
        <f>IF(ISNA(MATCH(959,Engine!$C$2:$C$1369,0)),"",HYPERLINK(INDEX('Compliance Database'!$O$2:$O$1369,MATCH(959,Engine!$C$2:$C$1369,0)),"Open PDF"))</f>
        <v/>
      </c>
    </row>
    <row r="973" ht="188" customHeight="1">
      <c r="A973" s="8">
        <f>IF(ISNA(MATCH(960,Engine!$C$2:$C$1369,0)),"",INDEX('Compliance Database'!$A$2:$A$1369,MATCH(960,Engine!$C$2:$C$1369,0)))</f>
        <v/>
      </c>
      <c r="B973" s="8">
        <f>IF(ISNA(MATCH(960,Engine!$C$2:$C$1369,0)),"",INDEX('Compliance Database'!$B$2:$B$1369,MATCH(960,Engine!$C$2:$C$1369,0)))</f>
        <v/>
      </c>
      <c r="C973" s="8">
        <f>IF(ISNA(MATCH(960,Engine!$C$2:$C$1369,0)),"",INDEX('Compliance Database'!$C$2:$C$1369,MATCH(960,Engine!$C$2:$C$1369,0)))</f>
        <v/>
      </c>
      <c r="D973" s="9">
        <f>IF(ISNA(MATCH(960,Engine!$C$2:$C$1369,0)),"",INDEX('Compliance Database'!$D$2:$D$1369,MATCH(960,Engine!$C$2:$C$1369,0)))</f>
        <v/>
      </c>
      <c r="E973" s="8">
        <f>IF(ISNA(MATCH(960,Engine!$C$2:$C$1369,0)),"",INDEX('Compliance Database'!$E$2:$E$1369,MATCH(960,Engine!$C$2:$C$1369,0)))</f>
        <v/>
      </c>
      <c r="F973" s="8">
        <f>IF(ISNA(MATCH(960,Engine!$C$2:$C$1369,0)),"",INDEX('Compliance Database'!$F$2:$F$1369,MATCH(960,Engine!$C$2:$C$1369,0)))</f>
        <v/>
      </c>
      <c r="G973" s="8">
        <f>IF(ISNA(MATCH(960,Engine!$C$2:$C$1369,0)),"",INDEX('Compliance Database'!$G$2:$G$1369,MATCH(960,Engine!$C$2:$C$1369,0)))</f>
        <v/>
      </c>
      <c r="H973" s="9">
        <f>IF(ISNA(MATCH(960,Engine!$C$2:$C$1369,0)),"",INDEX('Compliance Database'!$H$2:$H$1369,MATCH(960,Engine!$C$2:$C$1369,0)))</f>
        <v/>
      </c>
      <c r="I973" s="9">
        <f>IF(ISNA(MATCH(960,Engine!$C$2:$C$1369,0)),"",INDEX('Compliance Database'!$I$2:$I$1369,MATCH(960,Engine!$C$2:$C$1369,0)))</f>
        <v/>
      </c>
      <c r="J973" s="8">
        <f>IF(ISNA(MATCH(960,Engine!$C$2:$C$1369,0)),"",INDEX('Compliance Database'!$J$2:$J$1369,MATCH(960,Engine!$C$2:$C$1369,0)))</f>
        <v/>
      </c>
      <c r="K973" s="9">
        <f>IF(ISNA(MATCH(960,Engine!$C$2:$C$1369,0)),"",INDEX('Compliance Database'!$K$2:$K$1369,MATCH(960,Engine!$C$2:$C$1369,0)))</f>
        <v/>
      </c>
      <c r="L973" s="9">
        <f>IF(ISNA(MATCH(960,Engine!$C$2:$C$1369,0)),"",INDEX('Compliance Database'!$L$2:$L$1369,MATCH(960,Engine!$C$2:$C$1369,0)))</f>
        <v/>
      </c>
      <c r="M973" s="9">
        <f>IF(ISNA(MATCH(960,Engine!$C$2:$C$1369,0)),"",INDEX('Compliance Database'!$M$2:$M$1369,MATCH(960,Engine!$C$2:$C$1369,0)))</f>
        <v/>
      </c>
      <c r="N973" s="9">
        <f>IF(ISNA(MATCH(960,Engine!$C$2:$C$1369,0)),"",INDEX('Compliance Database'!$N$2:$N$1369,MATCH(960,Engine!$C$2:$C$1369,0)))</f>
        <v/>
      </c>
      <c r="O973" s="8">
        <f>IF(ISNA(MATCH(960,Engine!$C$2:$C$1369,0)),"",HYPERLINK(INDEX('Compliance Database'!$O$2:$O$1369,MATCH(960,Engine!$C$2:$C$1369,0)),"Open PDF"))</f>
        <v/>
      </c>
    </row>
    <row r="974" ht="188" customHeight="1">
      <c r="A974" s="8">
        <f>IF(ISNA(MATCH(961,Engine!$C$2:$C$1369,0)),"",INDEX('Compliance Database'!$A$2:$A$1369,MATCH(961,Engine!$C$2:$C$1369,0)))</f>
        <v/>
      </c>
      <c r="B974" s="8">
        <f>IF(ISNA(MATCH(961,Engine!$C$2:$C$1369,0)),"",INDEX('Compliance Database'!$B$2:$B$1369,MATCH(961,Engine!$C$2:$C$1369,0)))</f>
        <v/>
      </c>
      <c r="C974" s="8">
        <f>IF(ISNA(MATCH(961,Engine!$C$2:$C$1369,0)),"",INDEX('Compliance Database'!$C$2:$C$1369,MATCH(961,Engine!$C$2:$C$1369,0)))</f>
        <v/>
      </c>
      <c r="D974" s="9">
        <f>IF(ISNA(MATCH(961,Engine!$C$2:$C$1369,0)),"",INDEX('Compliance Database'!$D$2:$D$1369,MATCH(961,Engine!$C$2:$C$1369,0)))</f>
        <v/>
      </c>
      <c r="E974" s="8">
        <f>IF(ISNA(MATCH(961,Engine!$C$2:$C$1369,0)),"",INDEX('Compliance Database'!$E$2:$E$1369,MATCH(961,Engine!$C$2:$C$1369,0)))</f>
        <v/>
      </c>
      <c r="F974" s="8">
        <f>IF(ISNA(MATCH(961,Engine!$C$2:$C$1369,0)),"",INDEX('Compliance Database'!$F$2:$F$1369,MATCH(961,Engine!$C$2:$C$1369,0)))</f>
        <v/>
      </c>
      <c r="G974" s="8">
        <f>IF(ISNA(MATCH(961,Engine!$C$2:$C$1369,0)),"",INDEX('Compliance Database'!$G$2:$G$1369,MATCH(961,Engine!$C$2:$C$1369,0)))</f>
        <v/>
      </c>
      <c r="H974" s="9">
        <f>IF(ISNA(MATCH(961,Engine!$C$2:$C$1369,0)),"",INDEX('Compliance Database'!$H$2:$H$1369,MATCH(961,Engine!$C$2:$C$1369,0)))</f>
        <v/>
      </c>
      <c r="I974" s="9">
        <f>IF(ISNA(MATCH(961,Engine!$C$2:$C$1369,0)),"",INDEX('Compliance Database'!$I$2:$I$1369,MATCH(961,Engine!$C$2:$C$1369,0)))</f>
        <v/>
      </c>
      <c r="J974" s="8">
        <f>IF(ISNA(MATCH(961,Engine!$C$2:$C$1369,0)),"",INDEX('Compliance Database'!$J$2:$J$1369,MATCH(961,Engine!$C$2:$C$1369,0)))</f>
        <v/>
      </c>
      <c r="K974" s="9">
        <f>IF(ISNA(MATCH(961,Engine!$C$2:$C$1369,0)),"",INDEX('Compliance Database'!$K$2:$K$1369,MATCH(961,Engine!$C$2:$C$1369,0)))</f>
        <v/>
      </c>
      <c r="L974" s="9">
        <f>IF(ISNA(MATCH(961,Engine!$C$2:$C$1369,0)),"",INDEX('Compliance Database'!$L$2:$L$1369,MATCH(961,Engine!$C$2:$C$1369,0)))</f>
        <v/>
      </c>
      <c r="M974" s="9">
        <f>IF(ISNA(MATCH(961,Engine!$C$2:$C$1369,0)),"",INDEX('Compliance Database'!$M$2:$M$1369,MATCH(961,Engine!$C$2:$C$1369,0)))</f>
        <v/>
      </c>
      <c r="N974" s="9">
        <f>IF(ISNA(MATCH(961,Engine!$C$2:$C$1369,0)),"",INDEX('Compliance Database'!$N$2:$N$1369,MATCH(961,Engine!$C$2:$C$1369,0)))</f>
        <v/>
      </c>
      <c r="O974" s="8">
        <f>IF(ISNA(MATCH(961,Engine!$C$2:$C$1369,0)),"",HYPERLINK(INDEX('Compliance Database'!$O$2:$O$1369,MATCH(961,Engine!$C$2:$C$1369,0)),"Open PDF"))</f>
        <v/>
      </c>
    </row>
    <row r="975" ht="188" customHeight="1">
      <c r="A975" s="8">
        <f>IF(ISNA(MATCH(962,Engine!$C$2:$C$1369,0)),"",INDEX('Compliance Database'!$A$2:$A$1369,MATCH(962,Engine!$C$2:$C$1369,0)))</f>
        <v/>
      </c>
      <c r="B975" s="8">
        <f>IF(ISNA(MATCH(962,Engine!$C$2:$C$1369,0)),"",INDEX('Compliance Database'!$B$2:$B$1369,MATCH(962,Engine!$C$2:$C$1369,0)))</f>
        <v/>
      </c>
      <c r="C975" s="8">
        <f>IF(ISNA(MATCH(962,Engine!$C$2:$C$1369,0)),"",INDEX('Compliance Database'!$C$2:$C$1369,MATCH(962,Engine!$C$2:$C$1369,0)))</f>
        <v/>
      </c>
      <c r="D975" s="9">
        <f>IF(ISNA(MATCH(962,Engine!$C$2:$C$1369,0)),"",INDEX('Compliance Database'!$D$2:$D$1369,MATCH(962,Engine!$C$2:$C$1369,0)))</f>
        <v/>
      </c>
      <c r="E975" s="8">
        <f>IF(ISNA(MATCH(962,Engine!$C$2:$C$1369,0)),"",INDEX('Compliance Database'!$E$2:$E$1369,MATCH(962,Engine!$C$2:$C$1369,0)))</f>
        <v/>
      </c>
      <c r="F975" s="8">
        <f>IF(ISNA(MATCH(962,Engine!$C$2:$C$1369,0)),"",INDEX('Compliance Database'!$F$2:$F$1369,MATCH(962,Engine!$C$2:$C$1369,0)))</f>
        <v/>
      </c>
      <c r="G975" s="8">
        <f>IF(ISNA(MATCH(962,Engine!$C$2:$C$1369,0)),"",INDEX('Compliance Database'!$G$2:$G$1369,MATCH(962,Engine!$C$2:$C$1369,0)))</f>
        <v/>
      </c>
      <c r="H975" s="9">
        <f>IF(ISNA(MATCH(962,Engine!$C$2:$C$1369,0)),"",INDEX('Compliance Database'!$H$2:$H$1369,MATCH(962,Engine!$C$2:$C$1369,0)))</f>
        <v/>
      </c>
      <c r="I975" s="9">
        <f>IF(ISNA(MATCH(962,Engine!$C$2:$C$1369,0)),"",INDEX('Compliance Database'!$I$2:$I$1369,MATCH(962,Engine!$C$2:$C$1369,0)))</f>
        <v/>
      </c>
      <c r="J975" s="8">
        <f>IF(ISNA(MATCH(962,Engine!$C$2:$C$1369,0)),"",INDEX('Compliance Database'!$J$2:$J$1369,MATCH(962,Engine!$C$2:$C$1369,0)))</f>
        <v/>
      </c>
      <c r="K975" s="9">
        <f>IF(ISNA(MATCH(962,Engine!$C$2:$C$1369,0)),"",INDEX('Compliance Database'!$K$2:$K$1369,MATCH(962,Engine!$C$2:$C$1369,0)))</f>
        <v/>
      </c>
      <c r="L975" s="9">
        <f>IF(ISNA(MATCH(962,Engine!$C$2:$C$1369,0)),"",INDEX('Compliance Database'!$L$2:$L$1369,MATCH(962,Engine!$C$2:$C$1369,0)))</f>
        <v/>
      </c>
      <c r="M975" s="9">
        <f>IF(ISNA(MATCH(962,Engine!$C$2:$C$1369,0)),"",INDEX('Compliance Database'!$M$2:$M$1369,MATCH(962,Engine!$C$2:$C$1369,0)))</f>
        <v/>
      </c>
      <c r="N975" s="9">
        <f>IF(ISNA(MATCH(962,Engine!$C$2:$C$1369,0)),"",INDEX('Compliance Database'!$N$2:$N$1369,MATCH(962,Engine!$C$2:$C$1369,0)))</f>
        <v/>
      </c>
      <c r="O975" s="8">
        <f>IF(ISNA(MATCH(962,Engine!$C$2:$C$1369,0)),"",HYPERLINK(INDEX('Compliance Database'!$O$2:$O$1369,MATCH(962,Engine!$C$2:$C$1369,0)),"Open PDF"))</f>
        <v/>
      </c>
    </row>
    <row r="976" ht="188" customHeight="1">
      <c r="A976" s="8">
        <f>IF(ISNA(MATCH(963,Engine!$C$2:$C$1369,0)),"",INDEX('Compliance Database'!$A$2:$A$1369,MATCH(963,Engine!$C$2:$C$1369,0)))</f>
        <v/>
      </c>
      <c r="B976" s="8">
        <f>IF(ISNA(MATCH(963,Engine!$C$2:$C$1369,0)),"",INDEX('Compliance Database'!$B$2:$B$1369,MATCH(963,Engine!$C$2:$C$1369,0)))</f>
        <v/>
      </c>
      <c r="C976" s="8">
        <f>IF(ISNA(MATCH(963,Engine!$C$2:$C$1369,0)),"",INDEX('Compliance Database'!$C$2:$C$1369,MATCH(963,Engine!$C$2:$C$1369,0)))</f>
        <v/>
      </c>
      <c r="D976" s="9">
        <f>IF(ISNA(MATCH(963,Engine!$C$2:$C$1369,0)),"",INDEX('Compliance Database'!$D$2:$D$1369,MATCH(963,Engine!$C$2:$C$1369,0)))</f>
        <v/>
      </c>
      <c r="E976" s="8">
        <f>IF(ISNA(MATCH(963,Engine!$C$2:$C$1369,0)),"",INDEX('Compliance Database'!$E$2:$E$1369,MATCH(963,Engine!$C$2:$C$1369,0)))</f>
        <v/>
      </c>
      <c r="F976" s="8">
        <f>IF(ISNA(MATCH(963,Engine!$C$2:$C$1369,0)),"",INDEX('Compliance Database'!$F$2:$F$1369,MATCH(963,Engine!$C$2:$C$1369,0)))</f>
        <v/>
      </c>
      <c r="G976" s="8">
        <f>IF(ISNA(MATCH(963,Engine!$C$2:$C$1369,0)),"",INDEX('Compliance Database'!$G$2:$G$1369,MATCH(963,Engine!$C$2:$C$1369,0)))</f>
        <v/>
      </c>
      <c r="H976" s="9">
        <f>IF(ISNA(MATCH(963,Engine!$C$2:$C$1369,0)),"",INDEX('Compliance Database'!$H$2:$H$1369,MATCH(963,Engine!$C$2:$C$1369,0)))</f>
        <v/>
      </c>
      <c r="I976" s="9">
        <f>IF(ISNA(MATCH(963,Engine!$C$2:$C$1369,0)),"",INDEX('Compliance Database'!$I$2:$I$1369,MATCH(963,Engine!$C$2:$C$1369,0)))</f>
        <v/>
      </c>
      <c r="J976" s="8">
        <f>IF(ISNA(MATCH(963,Engine!$C$2:$C$1369,0)),"",INDEX('Compliance Database'!$J$2:$J$1369,MATCH(963,Engine!$C$2:$C$1369,0)))</f>
        <v/>
      </c>
      <c r="K976" s="9">
        <f>IF(ISNA(MATCH(963,Engine!$C$2:$C$1369,0)),"",INDEX('Compliance Database'!$K$2:$K$1369,MATCH(963,Engine!$C$2:$C$1369,0)))</f>
        <v/>
      </c>
      <c r="L976" s="9">
        <f>IF(ISNA(MATCH(963,Engine!$C$2:$C$1369,0)),"",INDEX('Compliance Database'!$L$2:$L$1369,MATCH(963,Engine!$C$2:$C$1369,0)))</f>
        <v/>
      </c>
      <c r="M976" s="9">
        <f>IF(ISNA(MATCH(963,Engine!$C$2:$C$1369,0)),"",INDEX('Compliance Database'!$M$2:$M$1369,MATCH(963,Engine!$C$2:$C$1369,0)))</f>
        <v/>
      </c>
      <c r="N976" s="9">
        <f>IF(ISNA(MATCH(963,Engine!$C$2:$C$1369,0)),"",INDEX('Compliance Database'!$N$2:$N$1369,MATCH(963,Engine!$C$2:$C$1369,0)))</f>
        <v/>
      </c>
      <c r="O976" s="8">
        <f>IF(ISNA(MATCH(963,Engine!$C$2:$C$1369,0)),"",HYPERLINK(INDEX('Compliance Database'!$O$2:$O$1369,MATCH(963,Engine!$C$2:$C$1369,0)),"Open PDF"))</f>
        <v/>
      </c>
    </row>
    <row r="977" ht="188" customHeight="1">
      <c r="A977" s="8">
        <f>IF(ISNA(MATCH(964,Engine!$C$2:$C$1369,0)),"",INDEX('Compliance Database'!$A$2:$A$1369,MATCH(964,Engine!$C$2:$C$1369,0)))</f>
        <v/>
      </c>
      <c r="B977" s="8">
        <f>IF(ISNA(MATCH(964,Engine!$C$2:$C$1369,0)),"",INDEX('Compliance Database'!$B$2:$B$1369,MATCH(964,Engine!$C$2:$C$1369,0)))</f>
        <v/>
      </c>
      <c r="C977" s="8">
        <f>IF(ISNA(MATCH(964,Engine!$C$2:$C$1369,0)),"",INDEX('Compliance Database'!$C$2:$C$1369,MATCH(964,Engine!$C$2:$C$1369,0)))</f>
        <v/>
      </c>
      <c r="D977" s="9">
        <f>IF(ISNA(MATCH(964,Engine!$C$2:$C$1369,0)),"",INDEX('Compliance Database'!$D$2:$D$1369,MATCH(964,Engine!$C$2:$C$1369,0)))</f>
        <v/>
      </c>
      <c r="E977" s="8">
        <f>IF(ISNA(MATCH(964,Engine!$C$2:$C$1369,0)),"",INDEX('Compliance Database'!$E$2:$E$1369,MATCH(964,Engine!$C$2:$C$1369,0)))</f>
        <v/>
      </c>
      <c r="F977" s="8">
        <f>IF(ISNA(MATCH(964,Engine!$C$2:$C$1369,0)),"",INDEX('Compliance Database'!$F$2:$F$1369,MATCH(964,Engine!$C$2:$C$1369,0)))</f>
        <v/>
      </c>
      <c r="G977" s="8">
        <f>IF(ISNA(MATCH(964,Engine!$C$2:$C$1369,0)),"",INDEX('Compliance Database'!$G$2:$G$1369,MATCH(964,Engine!$C$2:$C$1369,0)))</f>
        <v/>
      </c>
      <c r="H977" s="9">
        <f>IF(ISNA(MATCH(964,Engine!$C$2:$C$1369,0)),"",INDEX('Compliance Database'!$H$2:$H$1369,MATCH(964,Engine!$C$2:$C$1369,0)))</f>
        <v/>
      </c>
      <c r="I977" s="9">
        <f>IF(ISNA(MATCH(964,Engine!$C$2:$C$1369,0)),"",INDEX('Compliance Database'!$I$2:$I$1369,MATCH(964,Engine!$C$2:$C$1369,0)))</f>
        <v/>
      </c>
      <c r="J977" s="8">
        <f>IF(ISNA(MATCH(964,Engine!$C$2:$C$1369,0)),"",INDEX('Compliance Database'!$J$2:$J$1369,MATCH(964,Engine!$C$2:$C$1369,0)))</f>
        <v/>
      </c>
      <c r="K977" s="9">
        <f>IF(ISNA(MATCH(964,Engine!$C$2:$C$1369,0)),"",INDEX('Compliance Database'!$K$2:$K$1369,MATCH(964,Engine!$C$2:$C$1369,0)))</f>
        <v/>
      </c>
      <c r="L977" s="9">
        <f>IF(ISNA(MATCH(964,Engine!$C$2:$C$1369,0)),"",INDEX('Compliance Database'!$L$2:$L$1369,MATCH(964,Engine!$C$2:$C$1369,0)))</f>
        <v/>
      </c>
      <c r="M977" s="9">
        <f>IF(ISNA(MATCH(964,Engine!$C$2:$C$1369,0)),"",INDEX('Compliance Database'!$M$2:$M$1369,MATCH(964,Engine!$C$2:$C$1369,0)))</f>
        <v/>
      </c>
      <c r="N977" s="9">
        <f>IF(ISNA(MATCH(964,Engine!$C$2:$C$1369,0)),"",INDEX('Compliance Database'!$N$2:$N$1369,MATCH(964,Engine!$C$2:$C$1369,0)))</f>
        <v/>
      </c>
      <c r="O977" s="8">
        <f>IF(ISNA(MATCH(964,Engine!$C$2:$C$1369,0)),"",HYPERLINK(INDEX('Compliance Database'!$O$2:$O$1369,MATCH(964,Engine!$C$2:$C$1369,0)),"Open PDF"))</f>
        <v/>
      </c>
    </row>
    <row r="978" ht="188" customHeight="1">
      <c r="A978" s="8">
        <f>IF(ISNA(MATCH(965,Engine!$C$2:$C$1369,0)),"",INDEX('Compliance Database'!$A$2:$A$1369,MATCH(965,Engine!$C$2:$C$1369,0)))</f>
        <v/>
      </c>
      <c r="B978" s="8">
        <f>IF(ISNA(MATCH(965,Engine!$C$2:$C$1369,0)),"",INDEX('Compliance Database'!$B$2:$B$1369,MATCH(965,Engine!$C$2:$C$1369,0)))</f>
        <v/>
      </c>
      <c r="C978" s="8">
        <f>IF(ISNA(MATCH(965,Engine!$C$2:$C$1369,0)),"",INDEX('Compliance Database'!$C$2:$C$1369,MATCH(965,Engine!$C$2:$C$1369,0)))</f>
        <v/>
      </c>
      <c r="D978" s="9">
        <f>IF(ISNA(MATCH(965,Engine!$C$2:$C$1369,0)),"",INDEX('Compliance Database'!$D$2:$D$1369,MATCH(965,Engine!$C$2:$C$1369,0)))</f>
        <v/>
      </c>
      <c r="E978" s="8">
        <f>IF(ISNA(MATCH(965,Engine!$C$2:$C$1369,0)),"",INDEX('Compliance Database'!$E$2:$E$1369,MATCH(965,Engine!$C$2:$C$1369,0)))</f>
        <v/>
      </c>
      <c r="F978" s="8">
        <f>IF(ISNA(MATCH(965,Engine!$C$2:$C$1369,0)),"",INDEX('Compliance Database'!$F$2:$F$1369,MATCH(965,Engine!$C$2:$C$1369,0)))</f>
        <v/>
      </c>
      <c r="G978" s="8">
        <f>IF(ISNA(MATCH(965,Engine!$C$2:$C$1369,0)),"",INDEX('Compliance Database'!$G$2:$G$1369,MATCH(965,Engine!$C$2:$C$1369,0)))</f>
        <v/>
      </c>
      <c r="H978" s="9">
        <f>IF(ISNA(MATCH(965,Engine!$C$2:$C$1369,0)),"",INDEX('Compliance Database'!$H$2:$H$1369,MATCH(965,Engine!$C$2:$C$1369,0)))</f>
        <v/>
      </c>
      <c r="I978" s="9">
        <f>IF(ISNA(MATCH(965,Engine!$C$2:$C$1369,0)),"",INDEX('Compliance Database'!$I$2:$I$1369,MATCH(965,Engine!$C$2:$C$1369,0)))</f>
        <v/>
      </c>
      <c r="J978" s="8">
        <f>IF(ISNA(MATCH(965,Engine!$C$2:$C$1369,0)),"",INDEX('Compliance Database'!$J$2:$J$1369,MATCH(965,Engine!$C$2:$C$1369,0)))</f>
        <v/>
      </c>
      <c r="K978" s="9">
        <f>IF(ISNA(MATCH(965,Engine!$C$2:$C$1369,0)),"",INDEX('Compliance Database'!$K$2:$K$1369,MATCH(965,Engine!$C$2:$C$1369,0)))</f>
        <v/>
      </c>
      <c r="L978" s="9">
        <f>IF(ISNA(MATCH(965,Engine!$C$2:$C$1369,0)),"",INDEX('Compliance Database'!$L$2:$L$1369,MATCH(965,Engine!$C$2:$C$1369,0)))</f>
        <v/>
      </c>
      <c r="M978" s="9">
        <f>IF(ISNA(MATCH(965,Engine!$C$2:$C$1369,0)),"",INDEX('Compliance Database'!$M$2:$M$1369,MATCH(965,Engine!$C$2:$C$1369,0)))</f>
        <v/>
      </c>
      <c r="N978" s="9">
        <f>IF(ISNA(MATCH(965,Engine!$C$2:$C$1369,0)),"",INDEX('Compliance Database'!$N$2:$N$1369,MATCH(965,Engine!$C$2:$C$1369,0)))</f>
        <v/>
      </c>
      <c r="O978" s="8">
        <f>IF(ISNA(MATCH(965,Engine!$C$2:$C$1369,0)),"",HYPERLINK(INDEX('Compliance Database'!$O$2:$O$1369,MATCH(965,Engine!$C$2:$C$1369,0)),"Open PDF"))</f>
        <v/>
      </c>
    </row>
    <row r="979" ht="188" customHeight="1">
      <c r="A979" s="8">
        <f>IF(ISNA(MATCH(966,Engine!$C$2:$C$1369,0)),"",INDEX('Compliance Database'!$A$2:$A$1369,MATCH(966,Engine!$C$2:$C$1369,0)))</f>
        <v/>
      </c>
      <c r="B979" s="8">
        <f>IF(ISNA(MATCH(966,Engine!$C$2:$C$1369,0)),"",INDEX('Compliance Database'!$B$2:$B$1369,MATCH(966,Engine!$C$2:$C$1369,0)))</f>
        <v/>
      </c>
      <c r="C979" s="8">
        <f>IF(ISNA(MATCH(966,Engine!$C$2:$C$1369,0)),"",INDEX('Compliance Database'!$C$2:$C$1369,MATCH(966,Engine!$C$2:$C$1369,0)))</f>
        <v/>
      </c>
      <c r="D979" s="9">
        <f>IF(ISNA(MATCH(966,Engine!$C$2:$C$1369,0)),"",INDEX('Compliance Database'!$D$2:$D$1369,MATCH(966,Engine!$C$2:$C$1369,0)))</f>
        <v/>
      </c>
      <c r="E979" s="8">
        <f>IF(ISNA(MATCH(966,Engine!$C$2:$C$1369,0)),"",INDEX('Compliance Database'!$E$2:$E$1369,MATCH(966,Engine!$C$2:$C$1369,0)))</f>
        <v/>
      </c>
      <c r="F979" s="8">
        <f>IF(ISNA(MATCH(966,Engine!$C$2:$C$1369,0)),"",INDEX('Compliance Database'!$F$2:$F$1369,MATCH(966,Engine!$C$2:$C$1369,0)))</f>
        <v/>
      </c>
      <c r="G979" s="8">
        <f>IF(ISNA(MATCH(966,Engine!$C$2:$C$1369,0)),"",INDEX('Compliance Database'!$G$2:$G$1369,MATCH(966,Engine!$C$2:$C$1369,0)))</f>
        <v/>
      </c>
      <c r="H979" s="9">
        <f>IF(ISNA(MATCH(966,Engine!$C$2:$C$1369,0)),"",INDEX('Compliance Database'!$H$2:$H$1369,MATCH(966,Engine!$C$2:$C$1369,0)))</f>
        <v/>
      </c>
      <c r="I979" s="9">
        <f>IF(ISNA(MATCH(966,Engine!$C$2:$C$1369,0)),"",INDEX('Compliance Database'!$I$2:$I$1369,MATCH(966,Engine!$C$2:$C$1369,0)))</f>
        <v/>
      </c>
      <c r="J979" s="8">
        <f>IF(ISNA(MATCH(966,Engine!$C$2:$C$1369,0)),"",INDEX('Compliance Database'!$J$2:$J$1369,MATCH(966,Engine!$C$2:$C$1369,0)))</f>
        <v/>
      </c>
      <c r="K979" s="9">
        <f>IF(ISNA(MATCH(966,Engine!$C$2:$C$1369,0)),"",INDEX('Compliance Database'!$K$2:$K$1369,MATCH(966,Engine!$C$2:$C$1369,0)))</f>
        <v/>
      </c>
      <c r="L979" s="9">
        <f>IF(ISNA(MATCH(966,Engine!$C$2:$C$1369,0)),"",INDEX('Compliance Database'!$L$2:$L$1369,MATCH(966,Engine!$C$2:$C$1369,0)))</f>
        <v/>
      </c>
      <c r="M979" s="9">
        <f>IF(ISNA(MATCH(966,Engine!$C$2:$C$1369,0)),"",INDEX('Compliance Database'!$M$2:$M$1369,MATCH(966,Engine!$C$2:$C$1369,0)))</f>
        <v/>
      </c>
      <c r="N979" s="9">
        <f>IF(ISNA(MATCH(966,Engine!$C$2:$C$1369,0)),"",INDEX('Compliance Database'!$N$2:$N$1369,MATCH(966,Engine!$C$2:$C$1369,0)))</f>
        <v/>
      </c>
      <c r="O979" s="8">
        <f>IF(ISNA(MATCH(966,Engine!$C$2:$C$1369,0)),"",HYPERLINK(INDEX('Compliance Database'!$O$2:$O$1369,MATCH(966,Engine!$C$2:$C$1369,0)),"Open PDF"))</f>
        <v/>
      </c>
    </row>
    <row r="980" ht="188" customHeight="1">
      <c r="A980" s="8">
        <f>IF(ISNA(MATCH(967,Engine!$C$2:$C$1369,0)),"",INDEX('Compliance Database'!$A$2:$A$1369,MATCH(967,Engine!$C$2:$C$1369,0)))</f>
        <v/>
      </c>
      <c r="B980" s="8">
        <f>IF(ISNA(MATCH(967,Engine!$C$2:$C$1369,0)),"",INDEX('Compliance Database'!$B$2:$B$1369,MATCH(967,Engine!$C$2:$C$1369,0)))</f>
        <v/>
      </c>
      <c r="C980" s="8">
        <f>IF(ISNA(MATCH(967,Engine!$C$2:$C$1369,0)),"",INDEX('Compliance Database'!$C$2:$C$1369,MATCH(967,Engine!$C$2:$C$1369,0)))</f>
        <v/>
      </c>
      <c r="D980" s="9">
        <f>IF(ISNA(MATCH(967,Engine!$C$2:$C$1369,0)),"",INDEX('Compliance Database'!$D$2:$D$1369,MATCH(967,Engine!$C$2:$C$1369,0)))</f>
        <v/>
      </c>
      <c r="E980" s="8">
        <f>IF(ISNA(MATCH(967,Engine!$C$2:$C$1369,0)),"",INDEX('Compliance Database'!$E$2:$E$1369,MATCH(967,Engine!$C$2:$C$1369,0)))</f>
        <v/>
      </c>
      <c r="F980" s="8">
        <f>IF(ISNA(MATCH(967,Engine!$C$2:$C$1369,0)),"",INDEX('Compliance Database'!$F$2:$F$1369,MATCH(967,Engine!$C$2:$C$1369,0)))</f>
        <v/>
      </c>
      <c r="G980" s="8">
        <f>IF(ISNA(MATCH(967,Engine!$C$2:$C$1369,0)),"",INDEX('Compliance Database'!$G$2:$G$1369,MATCH(967,Engine!$C$2:$C$1369,0)))</f>
        <v/>
      </c>
      <c r="H980" s="9">
        <f>IF(ISNA(MATCH(967,Engine!$C$2:$C$1369,0)),"",INDEX('Compliance Database'!$H$2:$H$1369,MATCH(967,Engine!$C$2:$C$1369,0)))</f>
        <v/>
      </c>
      <c r="I980" s="9">
        <f>IF(ISNA(MATCH(967,Engine!$C$2:$C$1369,0)),"",INDEX('Compliance Database'!$I$2:$I$1369,MATCH(967,Engine!$C$2:$C$1369,0)))</f>
        <v/>
      </c>
      <c r="J980" s="8">
        <f>IF(ISNA(MATCH(967,Engine!$C$2:$C$1369,0)),"",INDEX('Compliance Database'!$J$2:$J$1369,MATCH(967,Engine!$C$2:$C$1369,0)))</f>
        <v/>
      </c>
      <c r="K980" s="9">
        <f>IF(ISNA(MATCH(967,Engine!$C$2:$C$1369,0)),"",INDEX('Compliance Database'!$K$2:$K$1369,MATCH(967,Engine!$C$2:$C$1369,0)))</f>
        <v/>
      </c>
      <c r="L980" s="9">
        <f>IF(ISNA(MATCH(967,Engine!$C$2:$C$1369,0)),"",INDEX('Compliance Database'!$L$2:$L$1369,MATCH(967,Engine!$C$2:$C$1369,0)))</f>
        <v/>
      </c>
      <c r="M980" s="9">
        <f>IF(ISNA(MATCH(967,Engine!$C$2:$C$1369,0)),"",INDEX('Compliance Database'!$M$2:$M$1369,MATCH(967,Engine!$C$2:$C$1369,0)))</f>
        <v/>
      </c>
      <c r="N980" s="9">
        <f>IF(ISNA(MATCH(967,Engine!$C$2:$C$1369,0)),"",INDEX('Compliance Database'!$N$2:$N$1369,MATCH(967,Engine!$C$2:$C$1369,0)))</f>
        <v/>
      </c>
      <c r="O980" s="8">
        <f>IF(ISNA(MATCH(967,Engine!$C$2:$C$1369,0)),"",HYPERLINK(INDEX('Compliance Database'!$O$2:$O$1369,MATCH(967,Engine!$C$2:$C$1369,0)),"Open PDF"))</f>
        <v/>
      </c>
    </row>
    <row r="981" ht="188" customHeight="1">
      <c r="A981" s="8">
        <f>IF(ISNA(MATCH(968,Engine!$C$2:$C$1369,0)),"",INDEX('Compliance Database'!$A$2:$A$1369,MATCH(968,Engine!$C$2:$C$1369,0)))</f>
        <v/>
      </c>
      <c r="B981" s="8">
        <f>IF(ISNA(MATCH(968,Engine!$C$2:$C$1369,0)),"",INDEX('Compliance Database'!$B$2:$B$1369,MATCH(968,Engine!$C$2:$C$1369,0)))</f>
        <v/>
      </c>
      <c r="C981" s="8">
        <f>IF(ISNA(MATCH(968,Engine!$C$2:$C$1369,0)),"",INDEX('Compliance Database'!$C$2:$C$1369,MATCH(968,Engine!$C$2:$C$1369,0)))</f>
        <v/>
      </c>
      <c r="D981" s="9">
        <f>IF(ISNA(MATCH(968,Engine!$C$2:$C$1369,0)),"",INDEX('Compliance Database'!$D$2:$D$1369,MATCH(968,Engine!$C$2:$C$1369,0)))</f>
        <v/>
      </c>
      <c r="E981" s="8">
        <f>IF(ISNA(MATCH(968,Engine!$C$2:$C$1369,0)),"",INDEX('Compliance Database'!$E$2:$E$1369,MATCH(968,Engine!$C$2:$C$1369,0)))</f>
        <v/>
      </c>
      <c r="F981" s="8">
        <f>IF(ISNA(MATCH(968,Engine!$C$2:$C$1369,0)),"",INDEX('Compliance Database'!$F$2:$F$1369,MATCH(968,Engine!$C$2:$C$1369,0)))</f>
        <v/>
      </c>
      <c r="G981" s="8">
        <f>IF(ISNA(MATCH(968,Engine!$C$2:$C$1369,0)),"",INDEX('Compliance Database'!$G$2:$G$1369,MATCH(968,Engine!$C$2:$C$1369,0)))</f>
        <v/>
      </c>
      <c r="H981" s="9">
        <f>IF(ISNA(MATCH(968,Engine!$C$2:$C$1369,0)),"",INDEX('Compliance Database'!$H$2:$H$1369,MATCH(968,Engine!$C$2:$C$1369,0)))</f>
        <v/>
      </c>
      <c r="I981" s="9">
        <f>IF(ISNA(MATCH(968,Engine!$C$2:$C$1369,0)),"",INDEX('Compliance Database'!$I$2:$I$1369,MATCH(968,Engine!$C$2:$C$1369,0)))</f>
        <v/>
      </c>
      <c r="J981" s="8">
        <f>IF(ISNA(MATCH(968,Engine!$C$2:$C$1369,0)),"",INDEX('Compliance Database'!$J$2:$J$1369,MATCH(968,Engine!$C$2:$C$1369,0)))</f>
        <v/>
      </c>
      <c r="K981" s="9">
        <f>IF(ISNA(MATCH(968,Engine!$C$2:$C$1369,0)),"",INDEX('Compliance Database'!$K$2:$K$1369,MATCH(968,Engine!$C$2:$C$1369,0)))</f>
        <v/>
      </c>
      <c r="L981" s="9">
        <f>IF(ISNA(MATCH(968,Engine!$C$2:$C$1369,0)),"",INDEX('Compliance Database'!$L$2:$L$1369,MATCH(968,Engine!$C$2:$C$1369,0)))</f>
        <v/>
      </c>
      <c r="M981" s="9">
        <f>IF(ISNA(MATCH(968,Engine!$C$2:$C$1369,0)),"",INDEX('Compliance Database'!$M$2:$M$1369,MATCH(968,Engine!$C$2:$C$1369,0)))</f>
        <v/>
      </c>
      <c r="N981" s="9">
        <f>IF(ISNA(MATCH(968,Engine!$C$2:$C$1369,0)),"",INDEX('Compliance Database'!$N$2:$N$1369,MATCH(968,Engine!$C$2:$C$1369,0)))</f>
        <v/>
      </c>
      <c r="O981" s="8">
        <f>IF(ISNA(MATCH(968,Engine!$C$2:$C$1369,0)),"",HYPERLINK(INDEX('Compliance Database'!$O$2:$O$1369,MATCH(968,Engine!$C$2:$C$1369,0)),"Open PDF"))</f>
        <v/>
      </c>
    </row>
    <row r="982" ht="188" customHeight="1">
      <c r="A982" s="8">
        <f>IF(ISNA(MATCH(969,Engine!$C$2:$C$1369,0)),"",INDEX('Compliance Database'!$A$2:$A$1369,MATCH(969,Engine!$C$2:$C$1369,0)))</f>
        <v/>
      </c>
      <c r="B982" s="8">
        <f>IF(ISNA(MATCH(969,Engine!$C$2:$C$1369,0)),"",INDEX('Compliance Database'!$B$2:$B$1369,MATCH(969,Engine!$C$2:$C$1369,0)))</f>
        <v/>
      </c>
      <c r="C982" s="8">
        <f>IF(ISNA(MATCH(969,Engine!$C$2:$C$1369,0)),"",INDEX('Compliance Database'!$C$2:$C$1369,MATCH(969,Engine!$C$2:$C$1369,0)))</f>
        <v/>
      </c>
      <c r="D982" s="9">
        <f>IF(ISNA(MATCH(969,Engine!$C$2:$C$1369,0)),"",INDEX('Compliance Database'!$D$2:$D$1369,MATCH(969,Engine!$C$2:$C$1369,0)))</f>
        <v/>
      </c>
      <c r="E982" s="8">
        <f>IF(ISNA(MATCH(969,Engine!$C$2:$C$1369,0)),"",INDEX('Compliance Database'!$E$2:$E$1369,MATCH(969,Engine!$C$2:$C$1369,0)))</f>
        <v/>
      </c>
      <c r="F982" s="8">
        <f>IF(ISNA(MATCH(969,Engine!$C$2:$C$1369,0)),"",INDEX('Compliance Database'!$F$2:$F$1369,MATCH(969,Engine!$C$2:$C$1369,0)))</f>
        <v/>
      </c>
      <c r="G982" s="8">
        <f>IF(ISNA(MATCH(969,Engine!$C$2:$C$1369,0)),"",INDEX('Compliance Database'!$G$2:$G$1369,MATCH(969,Engine!$C$2:$C$1369,0)))</f>
        <v/>
      </c>
      <c r="H982" s="9">
        <f>IF(ISNA(MATCH(969,Engine!$C$2:$C$1369,0)),"",INDEX('Compliance Database'!$H$2:$H$1369,MATCH(969,Engine!$C$2:$C$1369,0)))</f>
        <v/>
      </c>
      <c r="I982" s="9">
        <f>IF(ISNA(MATCH(969,Engine!$C$2:$C$1369,0)),"",INDEX('Compliance Database'!$I$2:$I$1369,MATCH(969,Engine!$C$2:$C$1369,0)))</f>
        <v/>
      </c>
      <c r="J982" s="8">
        <f>IF(ISNA(MATCH(969,Engine!$C$2:$C$1369,0)),"",INDEX('Compliance Database'!$J$2:$J$1369,MATCH(969,Engine!$C$2:$C$1369,0)))</f>
        <v/>
      </c>
      <c r="K982" s="9">
        <f>IF(ISNA(MATCH(969,Engine!$C$2:$C$1369,0)),"",INDEX('Compliance Database'!$K$2:$K$1369,MATCH(969,Engine!$C$2:$C$1369,0)))</f>
        <v/>
      </c>
      <c r="L982" s="9">
        <f>IF(ISNA(MATCH(969,Engine!$C$2:$C$1369,0)),"",INDEX('Compliance Database'!$L$2:$L$1369,MATCH(969,Engine!$C$2:$C$1369,0)))</f>
        <v/>
      </c>
      <c r="M982" s="9">
        <f>IF(ISNA(MATCH(969,Engine!$C$2:$C$1369,0)),"",INDEX('Compliance Database'!$M$2:$M$1369,MATCH(969,Engine!$C$2:$C$1369,0)))</f>
        <v/>
      </c>
      <c r="N982" s="9">
        <f>IF(ISNA(MATCH(969,Engine!$C$2:$C$1369,0)),"",INDEX('Compliance Database'!$N$2:$N$1369,MATCH(969,Engine!$C$2:$C$1369,0)))</f>
        <v/>
      </c>
      <c r="O982" s="8">
        <f>IF(ISNA(MATCH(969,Engine!$C$2:$C$1369,0)),"",HYPERLINK(INDEX('Compliance Database'!$O$2:$O$1369,MATCH(969,Engine!$C$2:$C$1369,0)),"Open PDF"))</f>
        <v/>
      </c>
    </row>
    <row r="983" ht="188" customHeight="1">
      <c r="A983" s="8">
        <f>IF(ISNA(MATCH(970,Engine!$C$2:$C$1369,0)),"",INDEX('Compliance Database'!$A$2:$A$1369,MATCH(970,Engine!$C$2:$C$1369,0)))</f>
        <v/>
      </c>
      <c r="B983" s="8">
        <f>IF(ISNA(MATCH(970,Engine!$C$2:$C$1369,0)),"",INDEX('Compliance Database'!$B$2:$B$1369,MATCH(970,Engine!$C$2:$C$1369,0)))</f>
        <v/>
      </c>
      <c r="C983" s="8">
        <f>IF(ISNA(MATCH(970,Engine!$C$2:$C$1369,0)),"",INDEX('Compliance Database'!$C$2:$C$1369,MATCH(970,Engine!$C$2:$C$1369,0)))</f>
        <v/>
      </c>
      <c r="D983" s="9">
        <f>IF(ISNA(MATCH(970,Engine!$C$2:$C$1369,0)),"",INDEX('Compliance Database'!$D$2:$D$1369,MATCH(970,Engine!$C$2:$C$1369,0)))</f>
        <v/>
      </c>
      <c r="E983" s="8">
        <f>IF(ISNA(MATCH(970,Engine!$C$2:$C$1369,0)),"",INDEX('Compliance Database'!$E$2:$E$1369,MATCH(970,Engine!$C$2:$C$1369,0)))</f>
        <v/>
      </c>
      <c r="F983" s="8">
        <f>IF(ISNA(MATCH(970,Engine!$C$2:$C$1369,0)),"",INDEX('Compliance Database'!$F$2:$F$1369,MATCH(970,Engine!$C$2:$C$1369,0)))</f>
        <v/>
      </c>
      <c r="G983" s="8">
        <f>IF(ISNA(MATCH(970,Engine!$C$2:$C$1369,0)),"",INDEX('Compliance Database'!$G$2:$G$1369,MATCH(970,Engine!$C$2:$C$1369,0)))</f>
        <v/>
      </c>
      <c r="H983" s="9">
        <f>IF(ISNA(MATCH(970,Engine!$C$2:$C$1369,0)),"",INDEX('Compliance Database'!$H$2:$H$1369,MATCH(970,Engine!$C$2:$C$1369,0)))</f>
        <v/>
      </c>
      <c r="I983" s="9">
        <f>IF(ISNA(MATCH(970,Engine!$C$2:$C$1369,0)),"",INDEX('Compliance Database'!$I$2:$I$1369,MATCH(970,Engine!$C$2:$C$1369,0)))</f>
        <v/>
      </c>
      <c r="J983" s="8">
        <f>IF(ISNA(MATCH(970,Engine!$C$2:$C$1369,0)),"",INDEX('Compliance Database'!$J$2:$J$1369,MATCH(970,Engine!$C$2:$C$1369,0)))</f>
        <v/>
      </c>
      <c r="K983" s="9">
        <f>IF(ISNA(MATCH(970,Engine!$C$2:$C$1369,0)),"",INDEX('Compliance Database'!$K$2:$K$1369,MATCH(970,Engine!$C$2:$C$1369,0)))</f>
        <v/>
      </c>
      <c r="L983" s="9">
        <f>IF(ISNA(MATCH(970,Engine!$C$2:$C$1369,0)),"",INDEX('Compliance Database'!$L$2:$L$1369,MATCH(970,Engine!$C$2:$C$1369,0)))</f>
        <v/>
      </c>
      <c r="M983" s="9">
        <f>IF(ISNA(MATCH(970,Engine!$C$2:$C$1369,0)),"",INDEX('Compliance Database'!$M$2:$M$1369,MATCH(970,Engine!$C$2:$C$1369,0)))</f>
        <v/>
      </c>
      <c r="N983" s="9">
        <f>IF(ISNA(MATCH(970,Engine!$C$2:$C$1369,0)),"",INDEX('Compliance Database'!$N$2:$N$1369,MATCH(970,Engine!$C$2:$C$1369,0)))</f>
        <v/>
      </c>
      <c r="O983" s="8">
        <f>IF(ISNA(MATCH(970,Engine!$C$2:$C$1369,0)),"",HYPERLINK(INDEX('Compliance Database'!$O$2:$O$1369,MATCH(970,Engine!$C$2:$C$1369,0)),"Open PDF"))</f>
        <v/>
      </c>
    </row>
    <row r="984" ht="188" customHeight="1">
      <c r="A984" s="8">
        <f>IF(ISNA(MATCH(971,Engine!$C$2:$C$1369,0)),"",INDEX('Compliance Database'!$A$2:$A$1369,MATCH(971,Engine!$C$2:$C$1369,0)))</f>
        <v/>
      </c>
      <c r="B984" s="8">
        <f>IF(ISNA(MATCH(971,Engine!$C$2:$C$1369,0)),"",INDEX('Compliance Database'!$B$2:$B$1369,MATCH(971,Engine!$C$2:$C$1369,0)))</f>
        <v/>
      </c>
      <c r="C984" s="8">
        <f>IF(ISNA(MATCH(971,Engine!$C$2:$C$1369,0)),"",INDEX('Compliance Database'!$C$2:$C$1369,MATCH(971,Engine!$C$2:$C$1369,0)))</f>
        <v/>
      </c>
      <c r="D984" s="9">
        <f>IF(ISNA(MATCH(971,Engine!$C$2:$C$1369,0)),"",INDEX('Compliance Database'!$D$2:$D$1369,MATCH(971,Engine!$C$2:$C$1369,0)))</f>
        <v/>
      </c>
      <c r="E984" s="8">
        <f>IF(ISNA(MATCH(971,Engine!$C$2:$C$1369,0)),"",INDEX('Compliance Database'!$E$2:$E$1369,MATCH(971,Engine!$C$2:$C$1369,0)))</f>
        <v/>
      </c>
      <c r="F984" s="8">
        <f>IF(ISNA(MATCH(971,Engine!$C$2:$C$1369,0)),"",INDEX('Compliance Database'!$F$2:$F$1369,MATCH(971,Engine!$C$2:$C$1369,0)))</f>
        <v/>
      </c>
      <c r="G984" s="8">
        <f>IF(ISNA(MATCH(971,Engine!$C$2:$C$1369,0)),"",INDEX('Compliance Database'!$G$2:$G$1369,MATCH(971,Engine!$C$2:$C$1369,0)))</f>
        <v/>
      </c>
      <c r="H984" s="9">
        <f>IF(ISNA(MATCH(971,Engine!$C$2:$C$1369,0)),"",INDEX('Compliance Database'!$H$2:$H$1369,MATCH(971,Engine!$C$2:$C$1369,0)))</f>
        <v/>
      </c>
      <c r="I984" s="9">
        <f>IF(ISNA(MATCH(971,Engine!$C$2:$C$1369,0)),"",INDEX('Compliance Database'!$I$2:$I$1369,MATCH(971,Engine!$C$2:$C$1369,0)))</f>
        <v/>
      </c>
      <c r="J984" s="8">
        <f>IF(ISNA(MATCH(971,Engine!$C$2:$C$1369,0)),"",INDEX('Compliance Database'!$J$2:$J$1369,MATCH(971,Engine!$C$2:$C$1369,0)))</f>
        <v/>
      </c>
      <c r="K984" s="9">
        <f>IF(ISNA(MATCH(971,Engine!$C$2:$C$1369,0)),"",INDEX('Compliance Database'!$K$2:$K$1369,MATCH(971,Engine!$C$2:$C$1369,0)))</f>
        <v/>
      </c>
      <c r="L984" s="9">
        <f>IF(ISNA(MATCH(971,Engine!$C$2:$C$1369,0)),"",INDEX('Compliance Database'!$L$2:$L$1369,MATCH(971,Engine!$C$2:$C$1369,0)))</f>
        <v/>
      </c>
      <c r="M984" s="9">
        <f>IF(ISNA(MATCH(971,Engine!$C$2:$C$1369,0)),"",INDEX('Compliance Database'!$M$2:$M$1369,MATCH(971,Engine!$C$2:$C$1369,0)))</f>
        <v/>
      </c>
      <c r="N984" s="9">
        <f>IF(ISNA(MATCH(971,Engine!$C$2:$C$1369,0)),"",INDEX('Compliance Database'!$N$2:$N$1369,MATCH(971,Engine!$C$2:$C$1369,0)))</f>
        <v/>
      </c>
      <c r="O984" s="8">
        <f>IF(ISNA(MATCH(971,Engine!$C$2:$C$1369,0)),"",HYPERLINK(INDEX('Compliance Database'!$O$2:$O$1369,MATCH(971,Engine!$C$2:$C$1369,0)),"Open PDF"))</f>
        <v/>
      </c>
    </row>
    <row r="985" ht="188" customHeight="1">
      <c r="A985" s="8">
        <f>IF(ISNA(MATCH(972,Engine!$C$2:$C$1369,0)),"",INDEX('Compliance Database'!$A$2:$A$1369,MATCH(972,Engine!$C$2:$C$1369,0)))</f>
        <v/>
      </c>
      <c r="B985" s="8">
        <f>IF(ISNA(MATCH(972,Engine!$C$2:$C$1369,0)),"",INDEX('Compliance Database'!$B$2:$B$1369,MATCH(972,Engine!$C$2:$C$1369,0)))</f>
        <v/>
      </c>
      <c r="C985" s="8">
        <f>IF(ISNA(MATCH(972,Engine!$C$2:$C$1369,0)),"",INDEX('Compliance Database'!$C$2:$C$1369,MATCH(972,Engine!$C$2:$C$1369,0)))</f>
        <v/>
      </c>
      <c r="D985" s="9">
        <f>IF(ISNA(MATCH(972,Engine!$C$2:$C$1369,0)),"",INDEX('Compliance Database'!$D$2:$D$1369,MATCH(972,Engine!$C$2:$C$1369,0)))</f>
        <v/>
      </c>
      <c r="E985" s="8">
        <f>IF(ISNA(MATCH(972,Engine!$C$2:$C$1369,0)),"",INDEX('Compliance Database'!$E$2:$E$1369,MATCH(972,Engine!$C$2:$C$1369,0)))</f>
        <v/>
      </c>
      <c r="F985" s="8">
        <f>IF(ISNA(MATCH(972,Engine!$C$2:$C$1369,0)),"",INDEX('Compliance Database'!$F$2:$F$1369,MATCH(972,Engine!$C$2:$C$1369,0)))</f>
        <v/>
      </c>
      <c r="G985" s="8">
        <f>IF(ISNA(MATCH(972,Engine!$C$2:$C$1369,0)),"",INDEX('Compliance Database'!$G$2:$G$1369,MATCH(972,Engine!$C$2:$C$1369,0)))</f>
        <v/>
      </c>
      <c r="H985" s="9">
        <f>IF(ISNA(MATCH(972,Engine!$C$2:$C$1369,0)),"",INDEX('Compliance Database'!$H$2:$H$1369,MATCH(972,Engine!$C$2:$C$1369,0)))</f>
        <v/>
      </c>
      <c r="I985" s="9">
        <f>IF(ISNA(MATCH(972,Engine!$C$2:$C$1369,0)),"",INDEX('Compliance Database'!$I$2:$I$1369,MATCH(972,Engine!$C$2:$C$1369,0)))</f>
        <v/>
      </c>
      <c r="J985" s="8">
        <f>IF(ISNA(MATCH(972,Engine!$C$2:$C$1369,0)),"",INDEX('Compliance Database'!$J$2:$J$1369,MATCH(972,Engine!$C$2:$C$1369,0)))</f>
        <v/>
      </c>
      <c r="K985" s="9">
        <f>IF(ISNA(MATCH(972,Engine!$C$2:$C$1369,0)),"",INDEX('Compliance Database'!$K$2:$K$1369,MATCH(972,Engine!$C$2:$C$1369,0)))</f>
        <v/>
      </c>
      <c r="L985" s="9">
        <f>IF(ISNA(MATCH(972,Engine!$C$2:$C$1369,0)),"",INDEX('Compliance Database'!$L$2:$L$1369,MATCH(972,Engine!$C$2:$C$1369,0)))</f>
        <v/>
      </c>
      <c r="M985" s="9">
        <f>IF(ISNA(MATCH(972,Engine!$C$2:$C$1369,0)),"",INDEX('Compliance Database'!$M$2:$M$1369,MATCH(972,Engine!$C$2:$C$1369,0)))</f>
        <v/>
      </c>
      <c r="N985" s="9">
        <f>IF(ISNA(MATCH(972,Engine!$C$2:$C$1369,0)),"",INDEX('Compliance Database'!$N$2:$N$1369,MATCH(972,Engine!$C$2:$C$1369,0)))</f>
        <v/>
      </c>
      <c r="O985" s="8">
        <f>IF(ISNA(MATCH(972,Engine!$C$2:$C$1369,0)),"",HYPERLINK(INDEX('Compliance Database'!$O$2:$O$1369,MATCH(972,Engine!$C$2:$C$1369,0)),"Open PDF"))</f>
        <v/>
      </c>
    </row>
    <row r="986" ht="188" customHeight="1">
      <c r="A986" s="8">
        <f>IF(ISNA(MATCH(973,Engine!$C$2:$C$1369,0)),"",INDEX('Compliance Database'!$A$2:$A$1369,MATCH(973,Engine!$C$2:$C$1369,0)))</f>
        <v/>
      </c>
      <c r="B986" s="8">
        <f>IF(ISNA(MATCH(973,Engine!$C$2:$C$1369,0)),"",INDEX('Compliance Database'!$B$2:$B$1369,MATCH(973,Engine!$C$2:$C$1369,0)))</f>
        <v/>
      </c>
      <c r="C986" s="8">
        <f>IF(ISNA(MATCH(973,Engine!$C$2:$C$1369,0)),"",INDEX('Compliance Database'!$C$2:$C$1369,MATCH(973,Engine!$C$2:$C$1369,0)))</f>
        <v/>
      </c>
      <c r="D986" s="9">
        <f>IF(ISNA(MATCH(973,Engine!$C$2:$C$1369,0)),"",INDEX('Compliance Database'!$D$2:$D$1369,MATCH(973,Engine!$C$2:$C$1369,0)))</f>
        <v/>
      </c>
      <c r="E986" s="8">
        <f>IF(ISNA(MATCH(973,Engine!$C$2:$C$1369,0)),"",INDEX('Compliance Database'!$E$2:$E$1369,MATCH(973,Engine!$C$2:$C$1369,0)))</f>
        <v/>
      </c>
      <c r="F986" s="8">
        <f>IF(ISNA(MATCH(973,Engine!$C$2:$C$1369,0)),"",INDEX('Compliance Database'!$F$2:$F$1369,MATCH(973,Engine!$C$2:$C$1369,0)))</f>
        <v/>
      </c>
      <c r="G986" s="8">
        <f>IF(ISNA(MATCH(973,Engine!$C$2:$C$1369,0)),"",INDEX('Compliance Database'!$G$2:$G$1369,MATCH(973,Engine!$C$2:$C$1369,0)))</f>
        <v/>
      </c>
      <c r="H986" s="9">
        <f>IF(ISNA(MATCH(973,Engine!$C$2:$C$1369,0)),"",INDEX('Compliance Database'!$H$2:$H$1369,MATCH(973,Engine!$C$2:$C$1369,0)))</f>
        <v/>
      </c>
      <c r="I986" s="9">
        <f>IF(ISNA(MATCH(973,Engine!$C$2:$C$1369,0)),"",INDEX('Compliance Database'!$I$2:$I$1369,MATCH(973,Engine!$C$2:$C$1369,0)))</f>
        <v/>
      </c>
      <c r="J986" s="8">
        <f>IF(ISNA(MATCH(973,Engine!$C$2:$C$1369,0)),"",INDEX('Compliance Database'!$J$2:$J$1369,MATCH(973,Engine!$C$2:$C$1369,0)))</f>
        <v/>
      </c>
      <c r="K986" s="9">
        <f>IF(ISNA(MATCH(973,Engine!$C$2:$C$1369,0)),"",INDEX('Compliance Database'!$K$2:$K$1369,MATCH(973,Engine!$C$2:$C$1369,0)))</f>
        <v/>
      </c>
      <c r="L986" s="9">
        <f>IF(ISNA(MATCH(973,Engine!$C$2:$C$1369,0)),"",INDEX('Compliance Database'!$L$2:$L$1369,MATCH(973,Engine!$C$2:$C$1369,0)))</f>
        <v/>
      </c>
      <c r="M986" s="9">
        <f>IF(ISNA(MATCH(973,Engine!$C$2:$C$1369,0)),"",INDEX('Compliance Database'!$M$2:$M$1369,MATCH(973,Engine!$C$2:$C$1369,0)))</f>
        <v/>
      </c>
      <c r="N986" s="9">
        <f>IF(ISNA(MATCH(973,Engine!$C$2:$C$1369,0)),"",INDEX('Compliance Database'!$N$2:$N$1369,MATCH(973,Engine!$C$2:$C$1369,0)))</f>
        <v/>
      </c>
      <c r="O986" s="8">
        <f>IF(ISNA(MATCH(973,Engine!$C$2:$C$1369,0)),"",HYPERLINK(INDEX('Compliance Database'!$O$2:$O$1369,MATCH(973,Engine!$C$2:$C$1369,0)),"Open PDF"))</f>
        <v/>
      </c>
    </row>
    <row r="987" ht="188" customHeight="1">
      <c r="A987" s="8">
        <f>IF(ISNA(MATCH(974,Engine!$C$2:$C$1369,0)),"",INDEX('Compliance Database'!$A$2:$A$1369,MATCH(974,Engine!$C$2:$C$1369,0)))</f>
        <v/>
      </c>
      <c r="B987" s="8">
        <f>IF(ISNA(MATCH(974,Engine!$C$2:$C$1369,0)),"",INDEX('Compliance Database'!$B$2:$B$1369,MATCH(974,Engine!$C$2:$C$1369,0)))</f>
        <v/>
      </c>
      <c r="C987" s="8">
        <f>IF(ISNA(MATCH(974,Engine!$C$2:$C$1369,0)),"",INDEX('Compliance Database'!$C$2:$C$1369,MATCH(974,Engine!$C$2:$C$1369,0)))</f>
        <v/>
      </c>
      <c r="D987" s="9">
        <f>IF(ISNA(MATCH(974,Engine!$C$2:$C$1369,0)),"",INDEX('Compliance Database'!$D$2:$D$1369,MATCH(974,Engine!$C$2:$C$1369,0)))</f>
        <v/>
      </c>
      <c r="E987" s="8">
        <f>IF(ISNA(MATCH(974,Engine!$C$2:$C$1369,0)),"",INDEX('Compliance Database'!$E$2:$E$1369,MATCH(974,Engine!$C$2:$C$1369,0)))</f>
        <v/>
      </c>
      <c r="F987" s="8">
        <f>IF(ISNA(MATCH(974,Engine!$C$2:$C$1369,0)),"",INDEX('Compliance Database'!$F$2:$F$1369,MATCH(974,Engine!$C$2:$C$1369,0)))</f>
        <v/>
      </c>
      <c r="G987" s="8">
        <f>IF(ISNA(MATCH(974,Engine!$C$2:$C$1369,0)),"",INDEX('Compliance Database'!$G$2:$G$1369,MATCH(974,Engine!$C$2:$C$1369,0)))</f>
        <v/>
      </c>
      <c r="H987" s="9">
        <f>IF(ISNA(MATCH(974,Engine!$C$2:$C$1369,0)),"",INDEX('Compliance Database'!$H$2:$H$1369,MATCH(974,Engine!$C$2:$C$1369,0)))</f>
        <v/>
      </c>
      <c r="I987" s="9">
        <f>IF(ISNA(MATCH(974,Engine!$C$2:$C$1369,0)),"",INDEX('Compliance Database'!$I$2:$I$1369,MATCH(974,Engine!$C$2:$C$1369,0)))</f>
        <v/>
      </c>
      <c r="J987" s="8">
        <f>IF(ISNA(MATCH(974,Engine!$C$2:$C$1369,0)),"",INDEX('Compliance Database'!$J$2:$J$1369,MATCH(974,Engine!$C$2:$C$1369,0)))</f>
        <v/>
      </c>
      <c r="K987" s="9">
        <f>IF(ISNA(MATCH(974,Engine!$C$2:$C$1369,0)),"",INDEX('Compliance Database'!$K$2:$K$1369,MATCH(974,Engine!$C$2:$C$1369,0)))</f>
        <v/>
      </c>
      <c r="L987" s="9">
        <f>IF(ISNA(MATCH(974,Engine!$C$2:$C$1369,0)),"",INDEX('Compliance Database'!$L$2:$L$1369,MATCH(974,Engine!$C$2:$C$1369,0)))</f>
        <v/>
      </c>
      <c r="M987" s="9">
        <f>IF(ISNA(MATCH(974,Engine!$C$2:$C$1369,0)),"",INDEX('Compliance Database'!$M$2:$M$1369,MATCH(974,Engine!$C$2:$C$1369,0)))</f>
        <v/>
      </c>
      <c r="N987" s="9">
        <f>IF(ISNA(MATCH(974,Engine!$C$2:$C$1369,0)),"",INDEX('Compliance Database'!$N$2:$N$1369,MATCH(974,Engine!$C$2:$C$1369,0)))</f>
        <v/>
      </c>
      <c r="O987" s="8">
        <f>IF(ISNA(MATCH(974,Engine!$C$2:$C$1369,0)),"",HYPERLINK(INDEX('Compliance Database'!$O$2:$O$1369,MATCH(974,Engine!$C$2:$C$1369,0)),"Open PDF"))</f>
        <v/>
      </c>
    </row>
    <row r="988" ht="188" customHeight="1">
      <c r="A988" s="8">
        <f>IF(ISNA(MATCH(975,Engine!$C$2:$C$1369,0)),"",INDEX('Compliance Database'!$A$2:$A$1369,MATCH(975,Engine!$C$2:$C$1369,0)))</f>
        <v/>
      </c>
      <c r="B988" s="8">
        <f>IF(ISNA(MATCH(975,Engine!$C$2:$C$1369,0)),"",INDEX('Compliance Database'!$B$2:$B$1369,MATCH(975,Engine!$C$2:$C$1369,0)))</f>
        <v/>
      </c>
      <c r="C988" s="8">
        <f>IF(ISNA(MATCH(975,Engine!$C$2:$C$1369,0)),"",INDEX('Compliance Database'!$C$2:$C$1369,MATCH(975,Engine!$C$2:$C$1369,0)))</f>
        <v/>
      </c>
      <c r="D988" s="9">
        <f>IF(ISNA(MATCH(975,Engine!$C$2:$C$1369,0)),"",INDEX('Compliance Database'!$D$2:$D$1369,MATCH(975,Engine!$C$2:$C$1369,0)))</f>
        <v/>
      </c>
      <c r="E988" s="8">
        <f>IF(ISNA(MATCH(975,Engine!$C$2:$C$1369,0)),"",INDEX('Compliance Database'!$E$2:$E$1369,MATCH(975,Engine!$C$2:$C$1369,0)))</f>
        <v/>
      </c>
      <c r="F988" s="8">
        <f>IF(ISNA(MATCH(975,Engine!$C$2:$C$1369,0)),"",INDEX('Compliance Database'!$F$2:$F$1369,MATCH(975,Engine!$C$2:$C$1369,0)))</f>
        <v/>
      </c>
      <c r="G988" s="8">
        <f>IF(ISNA(MATCH(975,Engine!$C$2:$C$1369,0)),"",INDEX('Compliance Database'!$G$2:$G$1369,MATCH(975,Engine!$C$2:$C$1369,0)))</f>
        <v/>
      </c>
      <c r="H988" s="9">
        <f>IF(ISNA(MATCH(975,Engine!$C$2:$C$1369,0)),"",INDEX('Compliance Database'!$H$2:$H$1369,MATCH(975,Engine!$C$2:$C$1369,0)))</f>
        <v/>
      </c>
      <c r="I988" s="9">
        <f>IF(ISNA(MATCH(975,Engine!$C$2:$C$1369,0)),"",INDEX('Compliance Database'!$I$2:$I$1369,MATCH(975,Engine!$C$2:$C$1369,0)))</f>
        <v/>
      </c>
      <c r="J988" s="8">
        <f>IF(ISNA(MATCH(975,Engine!$C$2:$C$1369,0)),"",INDEX('Compliance Database'!$J$2:$J$1369,MATCH(975,Engine!$C$2:$C$1369,0)))</f>
        <v/>
      </c>
      <c r="K988" s="9">
        <f>IF(ISNA(MATCH(975,Engine!$C$2:$C$1369,0)),"",INDEX('Compliance Database'!$K$2:$K$1369,MATCH(975,Engine!$C$2:$C$1369,0)))</f>
        <v/>
      </c>
      <c r="L988" s="9">
        <f>IF(ISNA(MATCH(975,Engine!$C$2:$C$1369,0)),"",INDEX('Compliance Database'!$L$2:$L$1369,MATCH(975,Engine!$C$2:$C$1369,0)))</f>
        <v/>
      </c>
      <c r="M988" s="9">
        <f>IF(ISNA(MATCH(975,Engine!$C$2:$C$1369,0)),"",INDEX('Compliance Database'!$M$2:$M$1369,MATCH(975,Engine!$C$2:$C$1369,0)))</f>
        <v/>
      </c>
      <c r="N988" s="9">
        <f>IF(ISNA(MATCH(975,Engine!$C$2:$C$1369,0)),"",INDEX('Compliance Database'!$N$2:$N$1369,MATCH(975,Engine!$C$2:$C$1369,0)))</f>
        <v/>
      </c>
      <c r="O988" s="8">
        <f>IF(ISNA(MATCH(975,Engine!$C$2:$C$1369,0)),"",HYPERLINK(INDEX('Compliance Database'!$O$2:$O$1369,MATCH(975,Engine!$C$2:$C$1369,0)),"Open PDF"))</f>
        <v/>
      </c>
    </row>
    <row r="989" ht="188" customHeight="1">
      <c r="A989" s="8">
        <f>IF(ISNA(MATCH(976,Engine!$C$2:$C$1369,0)),"",INDEX('Compliance Database'!$A$2:$A$1369,MATCH(976,Engine!$C$2:$C$1369,0)))</f>
        <v/>
      </c>
      <c r="B989" s="8">
        <f>IF(ISNA(MATCH(976,Engine!$C$2:$C$1369,0)),"",INDEX('Compliance Database'!$B$2:$B$1369,MATCH(976,Engine!$C$2:$C$1369,0)))</f>
        <v/>
      </c>
      <c r="C989" s="8">
        <f>IF(ISNA(MATCH(976,Engine!$C$2:$C$1369,0)),"",INDEX('Compliance Database'!$C$2:$C$1369,MATCH(976,Engine!$C$2:$C$1369,0)))</f>
        <v/>
      </c>
      <c r="D989" s="9">
        <f>IF(ISNA(MATCH(976,Engine!$C$2:$C$1369,0)),"",INDEX('Compliance Database'!$D$2:$D$1369,MATCH(976,Engine!$C$2:$C$1369,0)))</f>
        <v/>
      </c>
      <c r="E989" s="8">
        <f>IF(ISNA(MATCH(976,Engine!$C$2:$C$1369,0)),"",INDEX('Compliance Database'!$E$2:$E$1369,MATCH(976,Engine!$C$2:$C$1369,0)))</f>
        <v/>
      </c>
      <c r="F989" s="8">
        <f>IF(ISNA(MATCH(976,Engine!$C$2:$C$1369,0)),"",INDEX('Compliance Database'!$F$2:$F$1369,MATCH(976,Engine!$C$2:$C$1369,0)))</f>
        <v/>
      </c>
      <c r="G989" s="8">
        <f>IF(ISNA(MATCH(976,Engine!$C$2:$C$1369,0)),"",INDEX('Compliance Database'!$G$2:$G$1369,MATCH(976,Engine!$C$2:$C$1369,0)))</f>
        <v/>
      </c>
      <c r="H989" s="9">
        <f>IF(ISNA(MATCH(976,Engine!$C$2:$C$1369,0)),"",INDEX('Compliance Database'!$H$2:$H$1369,MATCH(976,Engine!$C$2:$C$1369,0)))</f>
        <v/>
      </c>
      <c r="I989" s="9">
        <f>IF(ISNA(MATCH(976,Engine!$C$2:$C$1369,0)),"",INDEX('Compliance Database'!$I$2:$I$1369,MATCH(976,Engine!$C$2:$C$1369,0)))</f>
        <v/>
      </c>
      <c r="J989" s="8">
        <f>IF(ISNA(MATCH(976,Engine!$C$2:$C$1369,0)),"",INDEX('Compliance Database'!$J$2:$J$1369,MATCH(976,Engine!$C$2:$C$1369,0)))</f>
        <v/>
      </c>
      <c r="K989" s="9">
        <f>IF(ISNA(MATCH(976,Engine!$C$2:$C$1369,0)),"",INDEX('Compliance Database'!$K$2:$K$1369,MATCH(976,Engine!$C$2:$C$1369,0)))</f>
        <v/>
      </c>
      <c r="L989" s="9">
        <f>IF(ISNA(MATCH(976,Engine!$C$2:$C$1369,0)),"",INDEX('Compliance Database'!$L$2:$L$1369,MATCH(976,Engine!$C$2:$C$1369,0)))</f>
        <v/>
      </c>
      <c r="M989" s="9">
        <f>IF(ISNA(MATCH(976,Engine!$C$2:$C$1369,0)),"",INDEX('Compliance Database'!$M$2:$M$1369,MATCH(976,Engine!$C$2:$C$1369,0)))</f>
        <v/>
      </c>
      <c r="N989" s="9">
        <f>IF(ISNA(MATCH(976,Engine!$C$2:$C$1369,0)),"",INDEX('Compliance Database'!$N$2:$N$1369,MATCH(976,Engine!$C$2:$C$1369,0)))</f>
        <v/>
      </c>
      <c r="O989" s="8">
        <f>IF(ISNA(MATCH(976,Engine!$C$2:$C$1369,0)),"",HYPERLINK(INDEX('Compliance Database'!$O$2:$O$1369,MATCH(976,Engine!$C$2:$C$1369,0)),"Open PDF"))</f>
        <v/>
      </c>
    </row>
    <row r="990" ht="188" customHeight="1">
      <c r="A990" s="8">
        <f>IF(ISNA(MATCH(977,Engine!$C$2:$C$1369,0)),"",INDEX('Compliance Database'!$A$2:$A$1369,MATCH(977,Engine!$C$2:$C$1369,0)))</f>
        <v/>
      </c>
      <c r="B990" s="8">
        <f>IF(ISNA(MATCH(977,Engine!$C$2:$C$1369,0)),"",INDEX('Compliance Database'!$B$2:$B$1369,MATCH(977,Engine!$C$2:$C$1369,0)))</f>
        <v/>
      </c>
      <c r="C990" s="8">
        <f>IF(ISNA(MATCH(977,Engine!$C$2:$C$1369,0)),"",INDEX('Compliance Database'!$C$2:$C$1369,MATCH(977,Engine!$C$2:$C$1369,0)))</f>
        <v/>
      </c>
      <c r="D990" s="9">
        <f>IF(ISNA(MATCH(977,Engine!$C$2:$C$1369,0)),"",INDEX('Compliance Database'!$D$2:$D$1369,MATCH(977,Engine!$C$2:$C$1369,0)))</f>
        <v/>
      </c>
      <c r="E990" s="8">
        <f>IF(ISNA(MATCH(977,Engine!$C$2:$C$1369,0)),"",INDEX('Compliance Database'!$E$2:$E$1369,MATCH(977,Engine!$C$2:$C$1369,0)))</f>
        <v/>
      </c>
      <c r="F990" s="8">
        <f>IF(ISNA(MATCH(977,Engine!$C$2:$C$1369,0)),"",INDEX('Compliance Database'!$F$2:$F$1369,MATCH(977,Engine!$C$2:$C$1369,0)))</f>
        <v/>
      </c>
      <c r="G990" s="8">
        <f>IF(ISNA(MATCH(977,Engine!$C$2:$C$1369,0)),"",INDEX('Compliance Database'!$G$2:$G$1369,MATCH(977,Engine!$C$2:$C$1369,0)))</f>
        <v/>
      </c>
      <c r="H990" s="9">
        <f>IF(ISNA(MATCH(977,Engine!$C$2:$C$1369,0)),"",INDEX('Compliance Database'!$H$2:$H$1369,MATCH(977,Engine!$C$2:$C$1369,0)))</f>
        <v/>
      </c>
      <c r="I990" s="9">
        <f>IF(ISNA(MATCH(977,Engine!$C$2:$C$1369,0)),"",INDEX('Compliance Database'!$I$2:$I$1369,MATCH(977,Engine!$C$2:$C$1369,0)))</f>
        <v/>
      </c>
      <c r="J990" s="8">
        <f>IF(ISNA(MATCH(977,Engine!$C$2:$C$1369,0)),"",INDEX('Compliance Database'!$J$2:$J$1369,MATCH(977,Engine!$C$2:$C$1369,0)))</f>
        <v/>
      </c>
      <c r="K990" s="9">
        <f>IF(ISNA(MATCH(977,Engine!$C$2:$C$1369,0)),"",INDEX('Compliance Database'!$K$2:$K$1369,MATCH(977,Engine!$C$2:$C$1369,0)))</f>
        <v/>
      </c>
      <c r="L990" s="9">
        <f>IF(ISNA(MATCH(977,Engine!$C$2:$C$1369,0)),"",INDEX('Compliance Database'!$L$2:$L$1369,MATCH(977,Engine!$C$2:$C$1369,0)))</f>
        <v/>
      </c>
      <c r="M990" s="9">
        <f>IF(ISNA(MATCH(977,Engine!$C$2:$C$1369,0)),"",INDEX('Compliance Database'!$M$2:$M$1369,MATCH(977,Engine!$C$2:$C$1369,0)))</f>
        <v/>
      </c>
      <c r="N990" s="9">
        <f>IF(ISNA(MATCH(977,Engine!$C$2:$C$1369,0)),"",INDEX('Compliance Database'!$N$2:$N$1369,MATCH(977,Engine!$C$2:$C$1369,0)))</f>
        <v/>
      </c>
      <c r="O990" s="8">
        <f>IF(ISNA(MATCH(977,Engine!$C$2:$C$1369,0)),"",HYPERLINK(INDEX('Compliance Database'!$O$2:$O$1369,MATCH(977,Engine!$C$2:$C$1369,0)),"Open PDF"))</f>
        <v/>
      </c>
    </row>
    <row r="991" ht="188" customHeight="1">
      <c r="A991" s="8">
        <f>IF(ISNA(MATCH(978,Engine!$C$2:$C$1369,0)),"",INDEX('Compliance Database'!$A$2:$A$1369,MATCH(978,Engine!$C$2:$C$1369,0)))</f>
        <v/>
      </c>
      <c r="B991" s="8">
        <f>IF(ISNA(MATCH(978,Engine!$C$2:$C$1369,0)),"",INDEX('Compliance Database'!$B$2:$B$1369,MATCH(978,Engine!$C$2:$C$1369,0)))</f>
        <v/>
      </c>
      <c r="C991" s="8">
        <f>IF(ISNA(MATCH(978,Engine!$C$2:$C$1369,0)),"",INDEX('Compliance Database'!$C$2:$C$1369,MATCH(978,Engine!$C$2:$C$1369,0)))</f>
        <v/>
      </c>
      <c r="D991" s="9">
        <f>IF(ISNA(MATCH(978,Engine!$C$2:$C$1369,0)),"",INDEX('Compliance Database'!$D$2:$D$1369,MATCH(978,Engine!$C$2:$C$1369,0)))</f>
        <v/>
      </c>
      <c r="E991" s="8">
        <f>IF(ISNA(MATCH(978,Engine!$C$2:$C$1369,0)),"",INDEX('Compliance Database'!$E$2:$E$1369,MATCH(978,Engine!$C$2:$C$1369,0)))</f>
        <v/>
      </c>
      <c r="F991" s="8">
        <f>IF(ISNA(MATCH(978,Engine!$C$2:$C$1369,0)),"",INDEX('Compliance Database'!$F$2:$F$1369,MATCH(978,Engine!$C$2:$C$1369,0)))</f>
        <v/>
      </c>
      <c r="G991" s="8">
        <f>IF(ISNA(MATCH(978,Engine!$C$2:$C$1369,0)),"",INDEX('Compliance Database'!$G$2:$G$1369,MATCH(978,Engine!$C$2:$C$1369,0)))</f>
        <v/>
      </c>
      <c r="H991" s="9">
        <f>IF(ISNA(MATCH(978,Engine!$C$2:$C$1369,0)),"",INDEX('Compliance Database'!$H$2:$H$1369,MATCH(978,Engine!$C$2:$C$1369,0)))</f>
        <v/>
      </c>
      <c r="I991" s="9">
        <f>IF(ISNA(MATCH(978,Engine!$C$2:$C$1369,0)),"",INDEX('Compliance Database'!$I$2:$I$1369,MATCH(978,Engine!$C$2:$C$1369,0)))</f>
        <v/>
      </c>
      <c r="J991" s="8">
        <f>IF(ISNA(MATCH(978,Engine!$C$2:$C$1369,0)),"",INDEX('Compliance Database'!$J$2:$J$1369,MATCH(978,Engine!$C$2:$C$1369,0)))</f>
        <v/>
      </c>
      <c r="K991" s="9">
        <f>IF(ISNA(MATCH(978,Engine!$C$2:$C$1369,0)),"",INDEX('Compliance Database'!$K$2:$K$1369,MATCH(978,Engine!$C$2:$C$1369,0)))</f>
        <v/>
      </c>
      <c r="L991" s="9">
        <f>IF(ISNA(MATCH(978,Engine!$C$2:$C$1369,0)),"",INDEX('Compliance Database'!$L$2:$L$1369,MATCH(978,Engine!$C$2:$C$1369,0)))</f>
        <v/>
      </c>
      <c r="M991" s="9">
        <f>IF(ISNA(MATCH(978,Engine!$C$2:$C$1369,0)),"",INDEX('Compliance Database'!$M$2:$M$1369,MATCH(978,Engine!$C$2:$C$1369,0)))</f>
        <v/>
      </c>
      <c r="N991" s="9">
        <f>IF(ISNA(MATCH(978,Engine!$C$2:$C$1369,0)),"",INDEX('Compliance Database'!$N$2:$N$1369,MATCH(978,Engine!$C$2:$C$1369,0)))</f>
        <v/>
      </c>
      <c r="O991" s="8">
        <f>IF(ISNA(MATCH(978,Engine!$C$2:$C$1369,0)),"",HYPERLINK(INDEX('Compliance Database'!$O$2:$O$1369,MATCH(978,Engine!$C$2:$C$1369,0)),"Open PDF"))</f>
        <v/>
      </c>
    </row>
    <row r="992" ht="188" customHeight="1">
      <c r="A992" s="8">
        <f>IF(ISNA(MATCH(979,Engine!$C$2:$C$1369,0)),"",INDEX('Compliance Database'!$A$2:$A$1369,MATCH(979,Engine!$C$2:$C$1369,0)))</f>
        <v/>
      </c>
      <c r="B992" s="8">
        <f>IF(ISNA(MATCH(979,Engine!$C$2:$C$1369,0)),"",INDEX('Compliance Database'!$B$2:$B$1369,MATCH(979,Engine!$C$2:$C$1369,0)))</f>
        <v/>
      </c>
      <c r="C992" s="8">
        <f>IF(ISNA(MATCH(979,Engine!$C$2:$C$1369,0)),"",INDEX('Compliance Database'!$C$2:$C$1369,MATCH(979,Engine!$C$2:$C$1369,0)))</f>
        <v/>
      </c>
      <c r="D992" s="9">
        <f>IF(ISNA(MATCH(979,Engine!$C$2:$C$1369,0)),"",INDEX('Compliance Database'!$D$2:$D$1369,MATCH(979,Engine!$C$2:$C$1369,0)))</f>
        <v/>
      </c>
      <c r="E992" s="8">
        <f>IF(ISNA(MATCH(979,Engine!$C$2:$C$1369,0)),"",INDEX('Compliance Database'!$E$2:$E$1369,MATCH(979,Engine!$C$2:$C$1369,0)))</f>
        <v/>
      </c>
      <c r="F992" s="8">
        <f>IF(ISNA(MATCH(979,Engine!$C$2:$C$1369,0)),"",INDEX('Compliance Database'!$F$2:$F$1369,MATCH(979,Engine!$C$2:$C$1369,0)))</f>
        <v/>
      </c>
      <c r="G992" s="8">
        <f>IF(ISNA(MATCH(979,Engine!$C$2:$C$1369,0)),"",INDEX('Compliance Database'!$G$2:$G$1369,MATCH(979,Engine!$C$2:$C$1369,0)))</f>
        <v/>
      </c>
      <c r="H992" s="9">
        <f>IF(ISNA(MATCH(979,Engine!$C$2:$C$1369,0)),"",INDEX('Compliance Database'!$H$2:$H$1369,MATCH(979,Engine!$C$2:$C$1369,0)))</f>
        <v/>
      </c>
      <c r="I992" s="9">
        <f>IF(ISNA(MATCH(979,Engine!$C$2:$C$1369,0)),"",INDEX('Compliance Database'!$I$2:$I$1369,MATCH(979,Engine!$C$2:$C$1369,0)))</f>
        <v/>
      </c>
      <c r="J992" s="8">
        <f>IF(ISNA(MATCH(979,Engine!$C$2:$C$1369,0)),"",INDEX('Compliance Database'!$J$2:$J$1369,MATCH(979,Engine!$C$2:$C$1369,0)))</f>
        <v/>
      </c>
      <c r="K992" s="9">
        <f>IF(ISNA(MATCH(979,Engine!$C$2:$C$1369,0)),"",INDEX('Compliance Database'!$K$2:$K$1369,MATCH(979,Engine!$C$2:$C$1369,0)))</f>
        <v/>
      </c>
      <c r="L992" s="9">
        <f>IF(ISNA(MATCH(979,Engine!$C$2:$C$1369,0)),"",INDEX('Compliance Database'!$L$2:$L$1369,MATCH(979,Engine!$C$2:$C$1369,0)))</f>
        <v/>
      </c>
      <c r="M992" s="9">
        <f>IF(ISNA(MATCH(979,Engine!$C$2:$C$1369,0)),"",INDEX('Compliance Database'!$M$2:$M$1369,MATCH(979,Engine!$C$2:$C$1369,0)))</f>
        <v/>
      </c>
      <c r="N992" s="9">
        <f>IF(ISNA(MATCH(979,Engine!$C$2:$C$1369,0)),"",INDEX('Compliance Database'!$N$2:$N$1369,MATCH(979,Engine!$C$2:$C$1369,0)))</f>
        <v/>
      </c>
      <c r="O992" s="8">
        <f>IF(ISNA(MATCH(979,Engine!$C$2:$C$1369,0)),"",HYPERLINK(INDEX('Compliance Database'!$O$2:$O$1369,MATCH(979,Engine!$C$2:$C$1369,0)),"Open PDF"))</f>
        <v/>
      </c>
    </row>
    <row r="993" ht="188" customHeight="1">
      <c r="A993" s="8">
        <f>IF(ISNA(MATCH(980,Engine!$C$2:$C$1369,0)),"",INDEX('Compliance Database'!$A$2:$A$1369,MATCH(980,Engine!$C$2:$C$1369,0)))</f>
        <v/>
      </c>
      <c r="B993" s="8">
        <f>IF(ISNA(MATCH(980,Engine!$C$2:$C$1369,0)),"",INDEX('Compliance Database'!$B$2:$B$1369,MATCH(980,Engine!$C$2:$C$1369,0)))</f>
        <v/>
      </c>
      <c r="C993" s="8">
        <f>IF(ISNA(MATCH(980,Engine!$C$2:$C$1369,0)),"",INDEX('Compliance Database'!$C$2:$C$1369,MATCH(980,Engine!$C$2:$C$1369,0)))</f>
        <v/>
      </c>
      <c r="D993" s="9">
        <f>IF(ISNA(MATCH(980,Engine!$C$2:$C$1369,0)),"",INDEX('Compliance Database'!$D$2:$D$1369,MATCH(980,Engine!$C$2:$C$1369,0)))</f>
        <v/>
      </c>
      <c r="E993" s="8">
        <f>IF(ISNA(MATCH(980,Engine!$C$2:$C$1369,0)),"",INDEX('Compliance Database'!$E$2:$E$1369,MATCH(980,Engine!$C$2:$C$1369,0)))</f>
        <v/>
      </c>
      <c r="F993" s="8">
        <f>IF(ISNA(MATCH(980,Engine!$C$2:$C$1369,0)),"",INDEX('Compliance Database'!$F$2:$F$1369,MATCH(980,Engine!$C$2:$C$1369,0)))</f>
        <v/>
      </c>
      <c r="G993" s="8">
        <f>IF(ISNA(MATCH(980,Engine!$C$2:$C$1369,0)),"",INDEX('Compliance Database'!$G$2:$G$1369,MATCH(980,Engine!$C$2:$C$1369,0)))</f>
        <v/>
      </c>
      <c r="H993" s="9">
        <f>IF(ISNA(MATCH(980,Engine!$C$2:$C$1369,0)),"",INDEX('Compliance Database'!$H$2:$H$1369,MATCH(980,Engine!$C$2:$C$1369,0)))</f>
        <v/>
      </c>
      <c r="I993" s="9">
        <f>IF(ISNA(MATCH(980,Engine!$C$2:$C$1369,0)),"",INDEX('Compliance Database'!$I$2:$I$1369,MATCH(980,Engine!$C$2:$C$1369,0)))</f>
        <v/>
      </c>
      <c r="J993" s="8">
        <f>IF(ISNA(MATCH(980,Engine!$C$2:$C$1369,0)),"",INDEX('Compliance Database'!$J$2:$J$1369,MATCH(980,Engine!$C$2:$C$1369,0)))</f>
        <v/>
      </c>
      <c r="K993" s="9">
        <f>IF(ISNA(MATCH(980,Engine!$C$2:$C$1369,0)),"",INDEX('Compliance Database'!$K$2:$K$1369,MATCH(980,Engine!$C$2:$C$1369,0)))</f>
        <v/>
      </c>
      <c r="L993" s="9">
        <f>IF(ISNA(MATCH(980,Engine!$C$2:$C$1369,0)),"",INDEX('Compliance Database'!$L$2:$L$1369,MATCH(980,Engine!$C$2:$C$1369,0)))</f>
        <v/>
      </c>
      <c r="M993" s="9">
        <f>IF(ISNA(MATCH(980,Engine!$C$2:$C$1369,0)),"",INDEX('Compliance Database'!$M$2:$M$1369,MATCH(980,Engine!$C$2:$C$1369,0)))</f>
        <v/>
      </c>
      <c r="N993" s="9">
        <f>IF(ISNA(MATCH(980,Engine!$C$2:$C$1369,0)),"",INDEX('Compliance Database'!$N$2:$N$1369,MATCH(980,Engine!$C$2:$C$1369,0)))</f>
        <v/>
      </c>
      <c r="O993" s="8">
        <f>IF(ISNA(MATCH(980,Engine!$C$2:$C$1369,0)),"",HYPERLINK(INDEX('Compliance Database'!$O$2:$O$1369,MATCH(980,Engine!$C$2:$C$1369,0)),"Open PDF"))</f>
        <v/>
      </c>
    </row>
    <row r="994" ht="188" customHeight="1">
      <c r="A994" s="8">
        <f>IF(ISNA(MATCH(981,Engine!$C$2:$C$1369,0)),"",INDEX('Compliance Database'!$A$2:$A$1369,MATCH(981,Engine!$C$2:$C$1369,0)))</f>
        <v/>
      </c>
      <c r="B994" s="8">
        <f>IF(ISNA(MATCH(981,Engine!$C$2:$C$1369,0)),"",INDEX('Compliance Database'!$B$2:$B$1369,MATCH(981,Engine!$C$2:$C$1369,0)))</f>
        <v/>
      </c>
      <c r="C994" s="8">
        <f>IF(ISNA(MATCH(981,Engine!$C$2:$C$1369,0)),"",INDEX('Compliance Database'!$C$2:$C$1369,MATCH(981,Engine!$C$2:$C$1369,0)))</f>
        <v/>
      </c>
      <c r="D994" s="9">
        <f>IF(ISNA(MATCH(981,Engine!$C$2:$C$1369,0)),"",INDEX('Compliance Database'!$D$2:$D$1369,MATCH(981,Engine!$C$2:$C$1369,0)))</f>
        <v/>
      </c>
      <c r="E994" s="8">
        <f>IF(ISNA(MATCH(981,Engine!$C$2:$C$1369,0)),"",INDEX('Compliance Database'!$E$2:$E$1369,MATCH(981,Engine!$C$2:$C$1369,0)))</f>
        <v/>
      </c>
      <c r="F994" s="8">
        <f>IF(ISNA(MATCH(981,Engine!$C$2:$C$1369,0)),"",INDEX('Compliance Database'!$F$2:$F$1369,MATCH(981,Engine!$C$2:$C$1369,0)))</f>
        <v/>
      </c>
      <c r="G994" s="8">
        <f>IF(ISNA(MATCH(981,Engine!$C$2:$C$1369,0)),"",INDEX('Compliance Database'!$G$2:$G$1369,MATCH(981,Engine!$C$2:$C$1369,0)))</f>
        <v/>
      </c>
      <c r="H994" s="9">
        <f>IF(ISNA(MATCH(981,Engine!$C$2:$C$1369,0)),"",INDEX('Compliance Database'!$H$2:$H$1369,MATCH(981,Engine!$C$2:$C$1369,0)))</f>
        <v/>
      </c>
      <c r="I994" s="9">
        <f>IF(ISNA(MATCH(981,Engine!$C$2:$C$1369,0)),"",INDEX('Compliance Database'!$I$2:$I$1369,MATCH(981,Engine!$C$2:$C$1369,0)))</f>
        <v/>
      </c>
      <c r="J994" s="8">
        <f>IF(ISNA(MATCH(981,Engine!$C$2:$C$1369,0)),"",INDEX('Compliance Database'!$J$2:$J$1369,MATCH(981,Engine!$C$2:$C$1369,0)))</f>
        <v/>
      </c>
      <c r="K994" s="9">
        <f>IF(ISNA(MATCH(981,Engine!$C$2:$C$1369,0)),"",INDEX('Compliance Database'!$K$2:$K$1369,MATCH(981,Engine!$C$2:$C$1369,0)))</f>
        <v/>
      </c>
      <c r="L994" s="9">
        <f>IF(ISNA(MATCH(981,Engine!$C$2:$C$1369,0)),"",INDEX('Compliance Database'!$L$2:$L$1369,MATCH(981,Engine!$C$2:$C$1369,0)))</f>
        <v/>
      </c>
      <c r="M994" s="9">
        <f>IF(ISNA(MATCH(981,Engine!$C$2:$C$1369,0)),"",INDEX('Compliance Database'!$M$2:$M$1369,MATCH(981,Engine!$C$2:$C$1369,0)))</f>
        <v/>
      </c>
      <c r="N994" s="9">
        <f>IF(ISNA(MATCH(981,Engine!$C$2:$C$1369,0)),"",INDEX('Compliance Database'!$N$2:$N$1369,MATCH(981,Engine!$C$2:$C$1369,0)))</f>
        <v/>
      </c>
      <c r="O994" s="8">
        <f>IF(ISNA(MATCH(981,Engine!$C$2:$C$1369,0)),"",HYPERLINK(INDEX('Compliance Database'!$O$2:$O$1369,MATCH(981,Engine!$C$2:$C$1369,0)),"Open PDF"))</f>
        <v/>
      </c>
    </row>
    <row r="995" ht="188" customHeight="1">
      <c r="A995" s="8">
        <f>IF(ISNA(MATCH(982,Engine!$C$2:$C$1369,0)),"",INDEX('Compliance Database'!$A$2:$A$1369,MATCH(982,Engine!$C$2:$C$1369,0)))</f>
        <v/>
      </c>
      <c r="B995" s="8">
        <f>IF(ISNA(MATCH(982,Engine!$C$2:$C$1369,0)),"",INDEX('Compliance Database'!$B$2:$B$1369,MATCH(982,Engine!$C$2:$C$1369,0)))</f>
        <v/>
      </c>
      <c r="C995" s="8">
        <f>IF(ISNA(MATCH(982,Engine!$C$2:$C$1369,0)),"",INDEX('Compliance Database'!$C$2:$C$1369,MATCH(982,Engine!$C$2:$C$1369,0)))</f>
        <v/>
      </c>
      <c r="D995" s="9">
        <f>IF(ISNA(MATCH(982,Engine!$C$2:$C$1369,0)),"",INDEX('Compliance Database'!$D$2:$D$1369,MATCH(982,Engine!$C$2:$C$1369,0)))</f>
        <v/>
      </c>
      <c r="E995" s="8">
        <f>IF(ISNA(MATCH(982,Engine!$C$2:$C$1369,0)),"",INDEX('Compliance Database'!$E$2:$E$1369,MATCH(982,Engine!$C$2:$C$1369,0)))</f>
        <v/>
      </c>
      <c r="F995" s="8">
        <f>IF(ISNA(MATCH(982,Engine!$C$2:$C$1369,0)),"",INDEX('Compliance Database'!$F$2:$F$1369,MATCH(982,Engine!$C$2:$C$1369,0)))</f>
        <v/>
      </c>
      <c r="G995" s="8">
        <f>IF(ISNA(MATCH(982,Engine!$C$2:$C$1369,0)),"",INDEX('Compliance Database'!$G$2:$G$1369,MATCH(982,Engine!$C$2:$C$1369,0)))</f>
        <v/>
      </c>
      <c r="H995" s="9">
        <f>IF(ISNA(MATCH(982,Engine!$C$2:$C$1369,0)),"",INDEX('Compliance Database'!$H$2:$H$1369,MATCH(982,Engine!$C$2:$C$1369,0)))</f>
        <v/>
      </c>
      <c r="I995" s="9">
        <f>IF(ISNA(MATCH(982,Engine!$C$2:$C$1369,0)),"",INDEX('Compliance Database'!$I$2:$I$1369,MATCH(982,Engine!$C$2:$C$1369,0)))</f>
        <v/>
      </c>
      <c r="J995" s="8">
        <f>IF(ISNA(MATCH(982,Engine!$C$2:$C$1369,0)),"",INDEX('Compliance Database'!$J$2:$J$1369,MATCH(982,Engine!$C$2:$C$1369,0)))</f>
        <v/>
      </c>
      <c r="K995" s="9">
        <f>IF(ISNA(MATCH(982,Engine!$C$2:$C$1369,0)),"",INDEX('Compliance Database'!$K$2:$K$1369,MATCH(982,Engine!$C$2:$C$1369,0)))</f>
        <v/>
      </c>
      <c r="L995" s="9">
        <f>IF(ISNA(MATCH(982,Engine!$C$2:$C$1369,0)),"",INDEX('Compliance Database'!$L$2:$L$1369,MATCH(982,Engine!$C$2:$C$1369,0)))</f>
        <v/>
      </c>
      <c r="M995" s="9">
        <f>IF(ISNA(MATCH(982,Engine!$C$2:$C$1369,0)),"",INDEX('Compliance Database'!$M$2:$M$1369,MATCH(982,Engine!$C$2:$C$1369,0)))</f>
        <v/>
      </c>
      <c r="N995" s="9">
        <f>IF(ISNA(MATCH(982,Engine!$C$2:$C$1369,0)),"",INDEX('Compliance Database'!$N$2:$N$1369,MATCH(982,Engine!$C$2:$C$1369,0)))</f>
        <v/>
      </c>
      <c r="O995" s="8">
        <f>IF(ISNA(MATCH(982,Engine!$C$2:$C$1369,0)),"",HYPERLINK(INDEX('Compliance Database'!$O$2:$O$1369,MATCH(982,Engine!$C$2:$C$1369,0)),"Open PDF"))</f>
        <v/>
      </c>
    </row>
    <row r="996" ht="188" customHeight="1">
      <c r="A996" s="8">
        <f>IF(ISNA(MATCH(983,Engine!$C$2:$C$1369,0)),"",INDEX('Compliance Database'!$A$2:$A$1369,MATCH(983,Engine!$C$2:$C$1369,0)))</f>
        <v/>
      </c>
      <c r="B996" s="8">
        <f>IF(ISNA(MATCH(983,Engine!$C$2:$C$1369,0)),"",INDEX('Compliance Database'!$B$2:$B$1369,MATCH(983,Engine!$C$2:$C$1369,0)))</f>
        <v/>
      </c>
      <c r="C996" s="8">
        <f>IF(ISNA(MATCH(983,Engine!$C$2:$C$1369,0)),"",INDEX('Compliance Database'!$C$2:$C$1369,MATCH(983,Engine!$C$2:$C$1369,0)))</f>
        <v/>
      </c>
      <c r="D996" s="9">
        <f>IF(ISNA(MATCH(983,Engine!$C$2:$C$1369,0)),"",INDEX('Compliance Database'!$D$2:$D$1369,MATCH(983,Engine!$C$2:$C$1369,0)))</f>
        <v/>
      </c>
      <c r="E996" s="8">
        <f>IF(ISNA(MATCH(983,Engine!$C$2:$C$1369,0)),"",INDEX('Compliance Database'!$E$2:$E$1369,MATCH(983,Engine!$C$2:$C$1369,0)))</f>
        <v/>
      </c>
      <c r="F996" s="8">
        <f>IF(ISNA(MATCH(983,Engine!$C$2:$C$1369,0)),"",INDEX('Compliance Database'!$F$2:$F$1369,MATCH(983,Engine!$C$2:$C$1369,0)))</f>
        <v/>
      </c>
      <c r="G996" s="8">
        <f>IF(ISNA(MATCH(983,Engine!$C$2:$C$1369,0)),"",INDEX('Compliance Database'!$G$2:$G$1369,MATCH(983,Engine!$C$2:$C$1369,0)))</f>
        <v/>
      </c>
      <c r="H996" s="9">
        <f>IF(ISNA(MATCH(983,Engine!$C$2:$C$1369,0)),"",INDEX('Compliance Database'!$H$2:$H$1369,MATCH(983,Engine!$C$2:$C$1369,0)))</f>
        <v/>
      </c>
      <c r="I996" s="9">
        <f>IF(ISNA(MATCH(983,Engine!$C$2:$C$1369,0)),"",INDEX('Compliance Database'!$I$2:$I$1369,MATCH(983,Engine!$C$2:$C$1369,0)))</f>
        <v/>
      </c>
      <c r="J996" s="8">
        <f>IF(ISNA(MATCH(983,Engine!$C$2:$C$1369,0)),"",INDEX('Compliance Database'!$J$2:$J$1369,MATCH(983,Engine!$C$2:$C$1369,0)))</f>
        <v/>
      </c>
      <c r="K996" s="9">
        <f>IF(ISNA(MATCH(983,Engine!$C$2:$C$1369,0)),"",INDEX('Compliance Database'!$K$2:$K$1369,MATCH(983,Engine!$C$2:$C$1369,0)))</f>
        <v/>
      </c>
      <c r="L996" s="9">
        <f>IF(ISNA(MATCH(983,Engine!$C$2:$C$1369,0)),"",INDEX('Compliance Database'!$L$2:$L$1369,MATCH(983,Engine!$C$2:$C$1369,0)))</f>
        <v/>
      </c>
      <c r="M996" s="9">
        <f>IF(ISNA(MATCH(983,Engine!$C$2:$C$1369,0)),"",INDEX('Compliance Database'!$M$2:$M$1369,MATCH(983,Engine!$C$2:$C$1369,0)))</f>
        <v/>
      </c>
      <c r="N996" s="9">
        <f>IF(ISNA(MATCH(983,Engine!$C$2:$C$1369,0)),"",INDEX('Compliance Database'!$N$2:$N$1369,MATCH(983,Engine!$C$2:$C$1369,0)))</f>
        <v/>
      </c>
      <c r="O996" s="8">
        <f>IF(ISNA(MATCH(983,Engine!$C$2:$C$1369,0)),"",HYPERLINK(INDEX('Compliance Database'!$O$2:$O$1369,MATCH(983,Engine!$C$2:$C$1369,0)),"Open PDF"))</f>
        <v/>
      </c>
    </row>
    <row r="997" ht="188" customHeight="1">
      <c r="A997" s="8">
        <f>IF(ISNA(MATCH(984,Engine!$C$2:$C$1369,0)),"",INDEX('Compliance Database'!$A$2:$A$1369,MATCH(984,Engine!$C$2:$C$1369,0)))</f>
        <v/>
      </c>
      <c r="B997" s="8">
        <f>IF(ISNA(MATCH(984,Engine!$C$2:$C$1369,0)),"",INDEX('Compliance Database'!$B$2:$B$1369,MATCH(984,Engine!$C$2:$C$1369,0)))</f>
        <v/>
      </c>
      <c r="C997" s="8">
        <f>IF(ISNA(MATCH(984,Engine!$C$2:$C$1369,0)),"",INDEX('Compliance Database'!$C$2:$C$1369,MATCH(984,Engine!$C$2:$C$1369,0)))</f>
        <v/>
      </c>
      <c r="D997" s="9">
        <f>IF(ISNA(MATCH(984,Engine!$C$2:$C$1369,0)),"",INDEX('Compliance Database'!$D$2:$D$1369,MATCH(984,Engine!$C$2:$C$1369,0)))</f>
        <v/>
      </c>
      <c r="E997" s="8">
        <f>IF(ISNA(MATCH(984,Engine!$C$2:$C$1369,0)),"",INDEX('Compliance Database'!$E$2:$E$1369,MATCH(984,Engine!$C$2:$C$1369,0)))</f>
        <v/>
      </c>
      <c r="F997" s="8">
        <f>IF(ISNA(MATCH(984,Engine!$C$2:$C$1369,0)),"",INDEX('Compliance Database'!$F$2:$F$1369,MATCH(984,Engine!$C$2:$C$1369,0)))</f>
        <v/>
      </c>
      <c r="G997" s="8">
        <f>IF(ISNA(MATCH(984,Engine!$C$2:$C$1369,0)),"",INDEX('Compliance Database'!$G$2:$G$1369,MATCH(984,Engine!$C$2:$C$1369,0)))</f>
        <v/>
      </c>
      <c r="H997" s="9">
        <f>IF(ISNA(MATCH(984,Engine!$C$2:$C$1369,0)),"",INDEX('Compliance Database'!$H$2:$H$1369,MATCH(984,Engine!$C$2:$C$1369,0)))</f>
        <v/>
      </c>
      <c r="I997" s="9">
        <f>IF(ISNA(MATCH(984,Engine!$C$2:$C$1369,0)),"",INDEX('Compliance Database'!$I$2:$I$1369,MATCH(984,Engine!$C$2:$C$1369,0)))</f>
        <v/>
      </c>
      <c r="J997" s="8">
        <f>IF(ISNA(MATCH(984,Engine!$C$2:$C$1369,0)),"",INDEX('Compliance Database'!$J$2:$J$1369,MATCH(984,Engine!$C$2:$C$1369,0)))</f>
        <v/>
      </c>
      <c r="K997" s="9">
        <f>IF(ISNA(MATCH(984,Engine!$C$2:$C$1369,0)),"",INDEX('Compliance Database'!$K$2:$K$1369,MATCH(984,Engine!$C$2:$C$1369,0)))</f>
        <v/>
      </c>
      <c r="L997" s="9">
        <f>IF(ISNA(MATCH(984,Engine!$C$2:$C$1369,0)),"",INDEX('Compliance Database'!$L$2:$L$1369,MATCH(984,Engine!$C$2:$C$1369,0)))</f>
        <v/>
      </c>
      <c r="M997" s="9">
        <f>IF(ISNA(MATCH(984,Engine!$C$2:$C$1369,0)),"",INDEX('Compliance Database'!$M$2:$M$1369,MATCH(984,Engine!$C$2:$C$1369,0)))</f>
        <v/>
      </c>
      <c r="N997" s="9">
        <f>IF(ISNA(MATCH(984,Engine!$C$2:$C$1369,0)),"",INDEX('Compliance Database'!$N$2:$N$1369,MATCH(984,Engine!$C$2:$C$1369,0)))</f>
        <v/>
      </c>
      <c r="O997" s="8">
        <f>IF(ISNA(MATCH(984,Engine!$C$2:$C$1369,0)),"",HYPERLINK(INDEX('Compliance Database'!$O$2:$O$1369,MATCH(984,Engine!$C$2:$C$1369,0)),"Open PDF"))</f>
        <v/>
      </c>
    </row>
    <row r="998" ht="188" customHeight="1">
      <c r="A998" s="8">
        <f>IF(ISNA(MATCH(985,Engine!$C$2:$C$1369,0)),"",INDEX('Compliance Database'!$A$2:$A$1369,MATCH(985,Engine!$C$2:$C$1369,0)))</f>
        <v/>
      </c>
      <c r="B998" s="8">
        <f>IF(ISNA(MATCH(985,Engine!$C$2:$C$1369,0)),"",INDEX('Compliance Database'!$B$2:$B$1369,MATCH(985,Engine!$C$2:$C$1369,0)))</f>
        <v/>
      </c>
      <c r="C998" s="8">
        <f>IF(ISNA(MATCH(985,Engine!$C$2:$C$1369,0)),"",INDEX('Compliance Database'!$C$2:$C$1369,MATCH(985,Engine!$C$2:$C$1369,0)))</f>
        <v/>
      </c>
      <c r="D998" s="9">
        <f>IF(ISNA(MATCH(985,Engine!$C$2:$C$1369,0)),"",INDEX('Compliance Database'!$D$2:$D$1369,MATCH(985,Engine!$C$2:$C$1369,0)))</f>
        <v/>
      </c>
      <c r="E998" s="8">
        <f>IF(ISNA(MATCH(985,Engine!$C$2:$C$1369,0)),"",INDEX('Compliance Database'!$E$2:$E$1369,MATCH(985,Engine!$C$2:$C$1369,0)))</f>
        <v/>
      </c>
      <c r="F998" s="8">
        <f>IF(ISNA(MATCH(985,Engine!$C$2:$C$1369,0)),"",INDEX('Compliance Database'!$F$2:$F$1369,MATCH(985,Engine!$C$2:$C$1369,0)))</f>
        <v/>
      </c>
      <c r="G998" s="8">
        <f>IF(ISNA(MATCH(985,Engine!$C$2:$C$1369,0)),"",INDEX('Compliance Database'!$G$2:$G$1369,MATCH(985,Engine!$C$2:$C$1369,0)))</f>
        <v/>
      </c>
      <c r="H998" s="9">
        <f>IF(ISNA(MATCH(985,Engine!$C$2:$C$1369,0)),"",INDEX('Compliance Database'!$H$2:$H$1369,MATCH(985,Engine!$C$2:$C$1369,0)))</f>
        <v/>
      </c>
      <c r="I998" s="9">
        <f>IF(ISNA(MATCH(985,Engine!$C$2:$C$1369,0)),"",INDEX('Compliance Database'!$I$2:$I$1369,MATCH(985,Engine!$C$2:$C$1369,0)))</f>
        <v/>
      </c>
      <c r="J998" s="8">
        <f>IF(ISNA(MATCH(985,Engine!$C$2:$C$1369,0)),"",INDEX('Compliance Database'!$J$2:$J$1369,MATCH(985,Engine!$C$2:$C$1369,0)))</f>
        <v/>
      </c>
      <c r="K998" s="9">
        <f>IF(ISNA(MATCH(985,Engine!$C$2:$C$1369,0)),"",INDEX('Compliance Database'!$K$2:$K$1369,MATCH(985,Engine!$C$2:$C$1369,0)))</f>
        <v/>
      </c>
      <c r="L998" s="9">
        <f>IF(ISNA(MATCH(985,Engine!$C$2:$C$1369,0)),"",INDEX('Compliance Database'!$L$2:$L$1369,MATCH(985,Engine!$C$2:$C$1369,0)))</f>
        <v/>
      </c>
      <c r="M998" s="9">
        <f>IF(ISNA(MATCH(985,Engine!$C$2:$C$1369,0)),"",INDEX('Compliance Database'!$M$2:$M$1369,MATCH(985,Engine!$C$2:$C$1369,0)))</f>
        <v/>
      </c>
      <c r="N998" s="9">
        <f>IF(ISNA(MATCH(985,Engine!$C$2:$C$1369,0)),"",INDEX('Compliance Database'!$N$2:$N$1369,MATCH(985,Engine!$C$2:$C$1369,0)))</f>
        <v/>
      </c>
      <c r="O998" s="8">
        <f>IF(ISNA(MATCH(985,Engine!$C$2:$C$1369,0)),"",HYPERLINK(INDEX('Compliance Database'!$O$2:$O$1369,MATCH(985,Engine!$C$2:$C$1369,0)),"Open PDF"))</f>
        <v/>
      </c>
    </row>
    <row r="999" ht="188" customHeight="1">
      <c r="A999" s="8">
        <f>IF(ISNA(MATCH(986,Engine!$C$2:$C$1369,0)),"",INDEX('Compliance Database'!$A$2:$A$1369,MATCH(986,Engine!$C$2:$C$1369,0)))</f>
        <v/>
      </c>
      <c r="B999" s="8">
        <f>IF(ISNA(MATCH(986,Engine!$C$2:$C$1369,0)),"",INDEX('Compliance Database'!$B$2:$B$1369,MATCH(986,Engine!$C$2:$C$1369,0)))</f>
        <v/>
      </c>
      <c r="C999" s="8">
        <f>IF(ISNA(MATCH(986,Engine!$C$2:$C$1369,0)),"",INDEX('Compliance Database'!$C$2:$C$1369,MATCH(986,Engine!$C$2:$C$1369,0)))</f>
        <v/>
      </c>
      <c r="D999" s="9">
        <f>IF(ISNA(MATCH(986,Engine!$C$2:$C$1369,0)),"",INDEX('Compliance Database'!$D$2:$D$1369,MATCH(986,Engine!$C$2:$C$1369,0)))</f>
        <v/>
      </c>
      <c r="E999" s="8">
        <f>IF(ISNA(MATCH(986,Engine!$C$2:$C$1369,0)),"",INDEX('Compliance Database'!$E$2:$E$1369,MATCH(986,Engine!$C$2:$C$1369,0)))</f>
        <v/>
      </c>
      <c r="F999" s="8">
        <f>IF(ISNA(MATCH(986,Engine!$C$2:$C$1369,0)),"",INDEX('Compliance Database'!$F$2:$F$1369,MATCH(986,Engine!$C$2:$C$1369,0)))</f>
        <v/>
      </c>
      <c r="G999" s="8">
        <f>IF(ISNA(MATCH(986,Engine!$C$2:$C$1369,0)),"",INDEX('Compliance Database'!$G$2:$G$1369,MATCH(986,Engine!$C$2:$C$1369,0)))</f>
        <v/>
      </c>
      <c r="H999" s="9">
        <f>IF(ISNA(MATCH(986,Engine!$C$2:$C$1369,0)),"",INDEX('Compliance Database'!$H$2:$H$1369,MATCH(986,Engine!$C$2:$C$1369,0)))</f>
        <v/>
      </c>
      <c r="I999" s="9">
        <f>IF(ISNA(MATCH(986,Engine!$C$2:$C$1369,0)),"",INDEX('Compliance Database'!$I$2:$I$1369,MATCH(986,Engine!$C$2:$C$1369,0)))</f>
        <v/>
      </c>
      <c r="J999" s="8">
        <f>IF(ISNA(MATCH(986,Engine!$C$2:$C$1369,0)),"",INDEX('Compliance Database'!$J$2:$J$1369,MATCH(986,Engine!$C$2:$C$1369,0)))</f>
        <v/>
      </c>
      <c r="K999" s="9">
        <f>IF(ISNA(MATCH(986,Engine!$C$2:$C$1369,0)),"",INDEX('Compliance Database'!$K$2:$K$1369,MATCH(986,Engine!$C$2:$C$1369,0)))</f>
        <v/>
      </c>
      <c r="L999" s="9">
        <f>IF(ISNA(MATCH(986,Engine!$C$2:$C$1369,0)),"",INDEX('Compliance Database'!$L$2:$L$1369,MATCH(986,Engine!$C$2:$C$1369,0)))</f>
        <v/>
      </c>
      <c r="M999" s="9">
        <f>IF(ISNA(MATCH(986,Engine!$C$2:$C$1369,0)),"",INDEX('Compliance Database'!$M$2:$M$1369,MATCH(986,Engine!$C$2:$C$1369,0)))</f>
        <v/>
      </c>
      <c r="N999" s="9">
        <f>IF(ISNA(MATCH(986,Engine!$C$2:$C$1369,0)),"",INDEX('Compliance Database'!$N$2:$N$1369,MATCH(986,Engine!$C$2:$C$1369,0)))</f>
        <v/>
      </c>
      <c r="O999" s="8">
        <f>IF(ISNA(MATCH(986,Engine!$C$2:$C$1369,0)),"",HYPERLINK(INDEX('Compliance Database'!$O$2:$O$1369,MATCH(986,Engine!$C$2:$C$1369,0)),"Open PDF"))</f>
        <v/>
      </c>
    </row>
    <row r="1000" ht="188" customHeight="1">
      <c r="A1000" s="8">
        <f>IF(ISNA(MATCH(987,Engine!$C$2:$C$1369,0)),"",INDEX('Compliance Database'!$A$2:$A$1369,MATCH(987,Engine!$C$2:$C$1369,0)))</f>
        <v/>
      </c>
      <c r="B1000" s="8">
        <f>IF(ISNA(MATCH(987,Engine!$C$2:$C$1369,0)),"",INDEX('Compliance Database'!$B$2:$B$1369,MATCH(987,Engine!$C$2:$C$1369,0)))</f>
        <v/>
      </c>
      <c r="C1000" s="8">
        <f>IF(ISNA(MATCH(987,Engine!$C$2:$C$1369,0)),"",INDEX('Compliance Database'!$C$2:$C$1369,MATCH(987,Engine!$C$2:$C$1369,0)))</f>
        <v/>
      </c>
      <c r="D1000" s="9">
        <f>IF(ISNA(MATCH(987,Engine!$C$2:$C$1369,0)),"",INDEX('Compliance Database'!$D$2:$D$1369,MATCH(987,Engine!$C$2:$C$1369,0)))</f>
        <v/>
      </c>
      <c r="E1000" s="8">
        <f>IF(ISNA(MATCH(987,Engine!$C$2:$C$1369,0)),"",INDEX('Compliance Database'!$E$2:$E$1369,MATCH(987,Engine!$C$2:$C$1369,0)))</f>
        <v/>
      </c>
      <c r="F1000" s="8">
        <f>IF(ISNA(MATCH(987,Engine!$C$2:$C$1369,0)),"",INDEX('Compliance Database'!$F$2:$F$1369,MATCH(987,Engine!$C$2:$C$1369,0)))</f>
        <v/>
      </c>
      <c r="G1000" s="8">
        <f>IF(ISNA(MATCH(987,Engine!$C$2:$C$1369,0)),"",INDEX('Compliance Database'!$G$2:$G$1369,MATCH(987,Engine!$C$2:$C$1369,0)))</f>
        <v/>
      </c>
      <c r="H1000" s="9">
        <f>IF(ISNA(MATCH(987,Engine!$C$2:$C$1369,0)),"",INDEX('Compliance Database'!$H$2:$H$1369,MATCH(987,Engine!$C$2:$C$1369,0)))</f>
        <v/>
      </c>
      <c r="I1000" s="9">
        <f>IF(ISNA(MATCH(987,Engine!$C$2:$C$1369,0)),"",INDEX('Compliance Database'!$I$2:$I$1369,MATCH(987,Engine!$C$2:$C$1369,0)))</f>
        <v/>
      </c>
      <c r="J1000" s="8">
        <f>IF(ISNA(MATCH(987,Engine!$C$2:$C$1369,0)),"",INDEX('Compliance Database'!$J$2:$J$1369,MATCH(987,Engine!$C$2:$C$1369,0)))</f>
        <v/>
      </c>
      <c r="K1000" s="9">
        <f>IF(ISNA(MATCH(987,Engine!$C$2:$C$1369,0)),"",INDEX('Compliance Database'!$K$2:$K$1369,MATCH(987,Engine!$C$2:$C$1369,0)))</f>
        <v/>
      </c>
      <c r="L1000" s="9">
        <f>IF(ISNA(MATCH(987,Engine!$C$2:$C$1369,0)),"",INDEX('Compliance Database'!$L$2:$L$1369,MATCH(987,Engine!$C$2:$C$1369,0)))</f>
        <v/>
      </c>
      <c r="M1000" s="9">
        <f>IF(ISNA(MATCH(987,Engine!$C$2:$C$1369,0)),"",INDEX('Compliance Database'!$M$2:$M$1369,MATCH(987,Engine!$C$2:$C$1369,0)))</f>
        <v/>
      </c>
      <c r="N1000" s="9">
        <f>IF(ISNA(MATCH(987,Engine!$C$2:$C$1369,0)),"",INDEX('Compliance Database'!$N$2:$N$1369,MATCH(987,Engine!$C$2:$C$1369,0)))</f>
        <v/>
      </c>
      <c r="O1000" s="8">
        <f>IF(ISNA(MATCH(987,Engine!$C$2:$C$1369,0)),"",HYPERLINK(INDEX('Compliance Database'!$O$2:$O$1369,MATCH(987,Engine!$C$2:$C$1369,0)),"Open PDF"))</f>
        <v/>
      </c>
    </row>
    <row r="1001" ht="188" customHeight="1">
      <c r="A1001" s="8">
        <f>IF(ISNA(MATCH(988,Engine!$C$2:$C$1369,0)),"",INDEX('Compliance Database'!$A$2:$A$1369,MATCH(988,Engine!$C$2:$C$1369,0)))</f>
        <v/>
      </c>
      <c r="B1001" s="8">
        <f>IF(ISNA(MATCH(988,Engine!$C$2:$C$1369,0)),"",INDEX('Compliance Database'!$B$2:$B$1369,MATCH(988,Engine!$C$2:$C$1369,0)))</f>
        <v/>
      </c>
      <c r="C1001" s="8">
        <f>IF(ISNA(MATCH(988,Engine!$C$2:$C$1369,0)),"",INDEX('Compliance Database'!$C$2:$C$1369,MATCH(988,Engine!$C$2:$C$1369,0)))</f>
        <v/>
      </c>
      <c r="D1001" s="9">
        <f>IF(ISNA(MATCH(988,Engine!$C$2:$C$1369,0)),"",INDEX('Compliance Database'!$D$2:$D$1369,MATCH(988,Engine!$C$2:$C$1369,0)))</f>
        <v/>
      </c>
      <c r="E1001" s="8">
        <f>IF(ISNA(MATCH(988,Engine!$C$2:$C$1369,0)),"",INDEX('Compliance Database'!$E$2:$E$1369,MATCH(988,Engine!$C$2:$C$1369,0)))</f>
        <v/>
      </c>
      <c r="F1001" s="8">
        <f>IF(ISNA(MATCH(988,Engine!$C$2:$C$1369,0)),"",INDEX('Compliance Database'!$F$2:$F$1369,MATCH(988,Engine!$C$2:$C$1369,0)))</f>
        <v/>
      </c>
      <c r="G1001" s="8">
        <f>IF(ISNA(MATCH(988,Engine!$C$2:$C$1369,0)),"",INDEX('Compliance Database'!$G$2:$G$1369,MATCH(988,Engine!$C$2:$C$1369,0)))</f>
        <v/>
      </c>
      <c r="H1001" s="9">
        <f>IF(ISNA(MATCH(988,Engine!$C$2:$C$1369,0)),"",INDEX('Compliance Database'!$H$2:$H$1369,MATCH(988,Engine!$C$2:$C$1369,0)))</f>
        <v/>
      </c>
      <c r="I1001" s="9">
        <f>IF(ISNA(MATCH(988,Engine!$C$2:$C$1369,0)),"",INDEX('Compliance Database'!$I$2:$I$1369,MATCH(988,Engine!$C$2:$C$1369,0)))</f>
        <v/>
      </c>
      <c r="J1001" s="8">
        <f>IF(ISNA(MATCH(988,Engine!$C$2:$C$1369,0)),"",INDEX('Compliance Database'!$J$2:$J$1369,MATCH(988,Engine!$C$2:$C$1369,0)))</f>
        <v/>
      </c>
      <c r="K1001" s="9">
        <f>IF(ISNA(MATCH(988,Engine!$C$2:$C$1369,0)),"",INDEX('Compliance Database'!$K$2:$K$1369,MATCH(988,Engine!$C$2:$C$1369,0)))</f>
        <v/>
      </c>
      <c r="L1001" s="9">
        <f>IF(ISNA(MATCH(988,Engine!$C$2:$C$1369,0)),"",INDEX('Compliance Database'!$L$2:$L$1369,MATCH(988,Engine!$C$2:$C$1369,0)))</f>
        <v/>
      </c>
      <c r="M1001" s="9">
        <f>IF(ISNA(MATCH(988,Engine!$C$2:$C$1369,0)),"",INDEX('Compliance Database'!$M$2:$M$1369,MATCH(988,Engine!$C$2:$C$1369,0)))</f>
        <v/>
      </c>
      <c r="N1001" s="9">
        <f>IF(ISNA(MATCH(988,Engine!$C$2:$C$1369,0)),"",INDEX('Compliance Database'!$N$2:$N$1369,MATCH(988,Engine!$C$2:$C$1369,0)))</f>
        <v/>
      </c>
      <c r="O1001" s="8">
        <f>IF(ISNA(MATCH(988,Engine!$C$2:$C$1369,0)),"",HYPERLINK(INDEX('Compliance Database'!$O$2:$O$1369,MATCH(988,Engine!$C$2:$C$1369,0)),"Open PDF"))</f>
        <v/>
      </c>
    </row>
    <row r="1002" ht="188" customHeight="1">
      <c r="A1002" s="8">
        <f>IF(ISNA(MATCH(989,Engine!$C$2:$C$1369,0)),"",INDEX('Compliance Database'!$A$2:$A$1369,MATCH(989,Engine!$C$2:$C$1369,0)))</f>
        <v/>
      </c>
      <c r="B1002" s="8">
        <f>IF(ISNA(MATCH(989,Engine!$C$2:$C$1369,0)),"",INDEX('Compliance Database'!$B$2:$B$1369,MATCH(989,Engine!$C$2:$C$1369,0)))</f>
        <v/>
      </c>
      <c r="C1002" s="8">
        <f>IF(ISNA(MATCH(989,Engine!$C$2:$C$1369,0)),"",INDEX('Compliance Database'!$C$2:$C$1369,MATCH(989,Engine!$C$2:$C$1369,0)))</f>
        <v/>
      </c>
      <c r="D1002" s="9">
        <f>IF(ISNA(MATCH(989,Engine!$C$2:$C$1369,0)),"",INDEX('Compliance Database'!$D$2:$D$1369,MATCH(989,Engine!$C$2:$C$1369,0)))</f>
        <v/>
      </c>
      <c r="E1002" s="8">
        <f>IF(ISNA(MATCH(989,Engine!$C$2:$C$1369,0)),"",INDEX('Compliance Database'!$E$2:$E$1369,MATCH(989,Engine!$C$2:$C$1369,0)))</f>
        <v/>
      </c>
      <c r="F1002" s="8">
        <f>IF(ISNA(MATCH(989,Engine!$C$2:$C$1369,0)),"",INDEX('Compliance Database'!$F$2:$F$1369,MATCH(989,Engine!$C$2:$C$1369,0)))</f>
        <v/>
      </c>
      <c r="G1002" s="8">
        <f>IF(ISNA(MATCH(989,Engine!$C$2:$C$1369,0)),"",INDEX('Compliance Database'!$G$2:$G$1369,MATCH(989,Engine!$C$2:$C$1369,0)))</f>
        <v/>
      </c>
      <c r="H1002" s="9">
        <f>IF(ISNA(MATCH(989,Engine!$C$2:$C$1369,0)),"",INDEX('Compliance Database'!$H$2:$H$1369,MATCH(989,Engine!$C$2:$C$1369,0)))</f>
        <v/>
      </c>
      <c r="I1002" s="9">
        <f>IF(ISNA(MATCH(989,Engine!$C$2:$C$1369,0)),"",INDEX('Compliance Database'!$I$2:$I$1369,MATCH(989,Engine!$C$2:$C$1369,0)))</f>
        <v/>
      </c>
      <c r="J1002" s="8">
        <f>IF(ISNA(MATCH(989,Engine!$C$2:$C$1369,0)),"",INDEX('Compliance Database'!$J$2:$J$1369,MATCH(989,Engine!$C$2:$C$1369,0)))</f>
        <v/>
      </c>
      <c r="K1002" s="9">
        <f>IF(ISNA(MATCH(989,Engine!$C$2:$C$1369,0)),"",INDEX('Compliance Database'!$K$2:$K$1369,MATCH(989,Engine!$C$2:$C$1369,0)))</f>
        <v/>
      </c>
      <c r="L1002" s="9">
        <f>IF(ISNA(MATCH(989,Engine!$C$2:$C$1369,0)),"",INDEX('Compliance Database'!$L$2:$L$1369,MATCH(989,Engine!$C$2:$C$1369,0)))</f>
        <v/>
      </c>
      <c r="M1002" s="9">
        <f>IF(ISNA(MATCH(989,Engine!$C$2:$C$1369,0)),"",INDEX('Compliance Database'!$M$2:$M$1369,MATCH(989,Engine!$C$2:$C$1369,0)))</f>
        <v/>
      </c>
      <c r="N1002" s="9">
        <f>IF(ISNA(MATCH(989,Engine!$C$2:$C$1369,0)),"",INDEX('Compliance Database'!$N$2:$N$1369,MATCH(989,Engine!$C$2:$C$1369,0)))</f>
        <v/>
      </c>
      <c r="O1002" s="8">
        <f>IF(ISNA(MATCH(989,Engine!$C$2:$C$1369,0)),"",HYPERLINK(INDEX('Compliance Database'!$O$2:$O$1369,MATCH(989,Engine!$C$2:$C$1369,0)),"Open PDF"))</f>
        <v/>
      </c>
    </row>
    <row r="1003" ht="188" customHeight="1">
      <c r="A1003" s="8">
        <f>IF(ISNA(MATCH(990,Engine!$C$2:$C$1369,0)),"",INDEX('Compliance Database'!$A$2:$A$1369,MATCH(990,Engine!$C$2:$C$1369,0)))</f>
        <v/>
      </c>
      <c r="B1003" s="8">
        <f>IF(ISNA(MATCH(990,Engine!$C$2:$C$1369,0)),"",INDEX('Compliance Database'!$B$2:$B$1369,MATCH(990,Engine!$C$2:$C$1369,0)))</f>
        <v/>
      </c>
      <c r="C1003" s="8">
        <f>IF(ISNA(MATCH(990,Engine!$C$2:$C$1369,0)),"",INDEX('Compliance Database'!$C$2:$C$1369,MATCH(990,Engine!$C$2:$C$1369,0)))</f>
        <v/>
      </c>
      <c r="D1003" s="9">
        <f>IF(ISNA(MATCH(990,Engine!$C$2:$C$1369,0)),"",INDEX('Compliance Database'!$D$2:$D$1369,MATCH(990,Engine!$C$2:$C$1369,0)))</f>
        <v/>
      </c>
      <c r="E1003" s="8">
        <f>IF(ISNA(MATCH(990,Engine!$C$2:$C$1369,0)),"",INDEX('Compliance Database'!$E$2:$E$1369,MATCH(990,Engine!$C$2:$C$1369,0)))</f>
        <v/>
      </c>
      <c r="F1003" s="8">
        <f>IF(ISNA(MATCH(990,Engine!$C$2:$C$1369,0)),"",INDEX('Compliance Database'!$F$2:$F$1369,MATCH(990,Engine!$C$2:$C$1369,0)))</f>
        <v/>
      </c>
      <c r="G1003" s="8">
        <f>IF(ISNA(MATCH(990,Engine!$C$2:$C$1369,0)),"",INDEX('Compliance Database'!$G$2:$G$1369,MATCH(990,Engine!$C$2:$C$1369,0)))</f>
        <v/>
      </c>
      <c r="H1003" s="9">
        <f>IF(ISNA(MATCH(990,Engine!$C$2:$C$1369,0)),"",INDEX('Compliance Database'!$H$2:$H$1369,MATCH(990,Engine!$C$2:$C$1369,0)))</f>
        <v/>
      </c>
      <c r="I1003" s="9">
        <f>IF(ISNA(MATCH(990,Engine!$C$2:$C$1369,0)),"",INDEX('Compliance Database'!$I$2:$I$1369,MATCH(990,Engine!$C$2:$C$1369,0)))</f>
        <v/>
      </c>
      <c r="J1003" s="8">
        <f>IF(ISNA(MATCH(990,Engine!$C$2:$C$1369,0)),"",INDEX('Compliance Database'!$J$2:$J$1369,MATCH(990,Engine!$C$2:$C$1369,0)))</f>
        <v/>
      </c>
      <c r="K1003" s="9">
        <f>IF(ISNA(MATCH(990,Engine!$C$2:$C$1369,0)),"",INDEX('Compliance Database'!$K$2:$K$1369,MATCH(990,Engine!$C$2:$C$1369,0)))</f>
        <v/>
      </c>
      <c r="L1003" s="9">
        <f>IF(ISNA(MATCH(990,Engine!$C$2:$C$1369,0)),"",INDEX('Compliance Database'!$L$2:$L$1369,MATCH(990,Engine!$C$2:$C$1369,0)))</f>
        <v/>
      </c>
      <c r="M1003" s="9">
        <f>IF(ISNA(MATCH(990,Engine!$C$2:$C$1369,0)),"",INDEX('Compliance Database'!$M$2:$M$1369,MATCH(990,Engine!$C$2:$C$1369,0)))</f>
        <v/>
      </c>
      <c r="N1003" s="9">
        <f>IF(ISNA(MATCH(990,Engine!$C$2:$C$1369,0)),"",INDEX('Compliance Database'!$N$2:$N$1369,MATCH(990,Engine!$C$2:$C$1369,0)))</f>
        <v/>
      </c>
      <c r="O1003" s="8">
        <f>IF(ISNA(MATCH(990,Engine!$C$2:$C$1369,0)),"",HYPERLINK(INDEX('Compliance Database'!$O$2:$O$1369,MATCH(990,Engine!$C$2:$C$1369,0)),"Open PDF"))</f>
        <v/>
      </c>
    </row>
    <row r="1004" ht="188" customHeight="1">
      <c r="A1004" s="8">
        <f>IF(ISNA(MATCH(991,Engine!$C$2:$C$1369,0)),"",INDEX('Compliance Database'!$A$2:$A$1369,MATCH(991,Engine!$C$2:$C$1369,0)))</f>
        <v/>
      </c>
      <c r="B1004" s="8">
        <f>IF(ISNA(MATCH(991,Engine!$C$2:$C$1369,0)),"",INDEX('Compliance Database'!$B$2:$B$1369,MATCH(991,Engine!$C$2:$C$1369,0)))</f>
        <v/>
      </c>
      <c r="C1004" s="8">
        <f>IF(ISNA(MATCH(991,Engine!$C$2:$C$1369,0)),"",INDEX('Compliance Database'!$C$2:$C$1369,MATCH(991,Engine!$C$2:$C$1369,0)))</f>
        <v/>
      </c>
      <c r="D1004" s="9">
        <f>IF(ISNA(MATCH(991,Engine!$C$2:$C$1369,0)),"",INDEX('Compliance Database'!$D$2:$D$1369,MATCH(991,Engine!$C$2:$C$1369,0)))</f>
        <v/>
      </c>
      <c r="E1004" s="8">
        <f>IF(ISNA(MATCH(991,Engine!$C$2:$C$1369,0)),"",INDEX('Compliance Database'!$E$2:$E$1369,MATCH(991,Engine!$C$2:$C$1369,0)))</f>
        <v/>
      </c>
      <c r="F1004" s="8">
        <f>IF(ISNA(MATCH(991,Engine!$C$2:$C$1369,0)),"",INDEX('Compliance Database'!$F$2:$F$1369,MATCH(991,Engine!$C$2:$C$1369,0)))</f>
        <v/>
      </c>
      <c r="G1004" s="8">
        <f>IF(ISNA(MATCH(991,Engine!$C$2:$C$1369,0)),"",INDEX('Compliance Database'!$G$2:$G$1369,MATCH(991,Engine!$C$2:$C$1369,0)))</f>
        <v/>
      </c>
      <c r="H1004" s="9">
        <f>IF(ISNA(MATCH(991,Engine!$C$2:$C$1369,0)),"",INDEX('Compliance Database'!$H$2:$H$1369,MATCH(991,Engine!$C$2:$C$1369,0)))</f>
        <v/>
      </c>
      <c r="I1004" s="9">
        <f>IF(ISNA(MATCH(991,Engine!$C$2:$C$1369,0)),"",INDEX('Compliance Database'!$I$2:$I$1369,MATCH(991,Engine!$C$2:$C$1369,0)))</f>
        <v/>
      </c>
      <c r="J1004" s="8">
        <f>IF(ISNA(MATCH(991,Engine!$C$2:$C$1369,0)),"",INDEX('Compliance Database'!$J$2:$J$1369,MATCH(991,Engine!$C$2:$C$1369,0)))</f>
        <v/>
      </c>
      <c r="K1004" s="9">
        <f>IF(ISNA(MATCH(991,Engine!$C$2:$C$1369,0)),"",INDEX('Compliance Database'!$K$2:$K$1369,MATCH(991,Engine!$C$2:$C$1369,0)))</f>
        <v/>
      </c>
      <c r="L1004" s="9">
        <f>IF(ISNA(MATCH(991,Engine!$C$2:$C$1369,0)),"",INDEX('Compliance Database'!$L$2:$L$1369,MATCH(991,Engine!$C$2:$C$1369,0)))</f>
        <v/>
      </c>
      <c r="M1004" s="9">
        <f>IF(ISNA(MATCH(991,Engine!$C$2:$C$1369,0)),"",INDEX('Compliance Database'!$M$2:$M$1369,MATCH(991,Engine!$C$2:$C$1369,0)))</f>
        <v/>
      </c>
      <c r="N1004" s="9">
        <f>IF(ISNA(MATCH(991,Engine!$C$2:$C$1369,0)),"",INDEX('Compliance Database'!$N$2:$N$1369,MATCH(991,Engine!$C$2:$C$1369,0)))</f>
        <v/>
      </c>
      <c r="O1004" s="8">
        <f>IF(ISNA(MATCH(991,Engine!$C$2:$C$1369,0)),"",HYPERLINK(INDEX('Compliance Database'!$O$2:$O$1369,MATCH(991,Engine!$C$2:$C$1369,0)),"Open PDF"))</f>
        <v/>
      </c>
    </row>
    <row r="1005" ht="188" customHeight="1">
      <c r="A1005" s="8">
        <f>IF(ISNA(MATCH(992,Engine!$C$2:$C$1369,0)),"",INDEX('Compliance Database'!$A$2:$A$1369,MATCH(992,Engine!$C$2:$C$1369,0)))</f>
        <v/>
      </c>
      <c r="B1005" s="8">
        <f>IF(ISNA(MATCH(992,Engine!$C$2:$C$1369,0)),"",INDEX('Compliance Database'!$B$2:$B$1369,MATCH(992,Engine!$C$2:$C$1369,0)))</f>
        <v/>
      </c>
      <c r="C1005" s="8">
        <f>IF(ISNA(MATCH(992,Engine!$C$2:$C$1369,0)),"",INDEX('Compliance Database'!$C$2:$C$1369,MATCH(992,Engine!$C$2:$C$1369,0)))</f>
        <v/>
      </c>
      <c r="D1005" s="9">
        <f>IF(ISNA(MATCH(992,Engine!$C$2:$C$1369,0)),"",INDEX('Compliance Database'!$D$2:$D$1369,MATCH(992,Engine!$C$2:$C$1369,0)))</f>
        <v/>
      </c>
      <c r="E1005" s="8">
        <f>IF(ISNA(MATCH(992,Engine!$C$2:$C$1369,0)),"",INDEX('Compliance Database'!$E$2:$E$1369,MATCH(992,Engine!$C$2:$C$1369,0)))</f>
        <v/>
      </c>
      <c r="F1005" s="8">
        <f>IF(ISNA(MATCH(992,Engine!$C$2:$C$1369,0)),"",INDEX('Compliance Database'!$F$2:$F$1369,MATCH(992,Engine!$C$2:$C$1369,0)))</f>
        <v/>
      </c>
      <c r="G1005" s="8">
        <f>IF(ISNA(MATCH(992,Engine!$C$2:$C$1369,0)),"",INDEX('Compliance Database'!$G$2:$G$1369,MATCH(992,Engine!$C$2:$C$1369,0)))</f>
        <v/>
      </c>
      <c r="H1005" s="9">
        <f>IF(ISNA(MATCH(992,Engine!$C$2:$C$1369,0)),"",INDEX('Compliance Database'!$H$2:$H$1369,MATCH(992,Engine!$C$2:$C$1369,0)))</f>
        <v/>
      </c>
      <c r="I1005" s="9">
        <f>IF(ISNA(MATCH(992,Engine!$C$2:$C$1369,0)),"",INDEX('Compliance Database'!$I$2:$I$1369,MATCH(992,Engine!$C$2:$C$1369,0)))</f>
        <v/>
      </c>
      <c r="J1005" s="8">
        <f>IF(ISNA(MATCH(992,Engine!$C$2:$C$1369,0)),"",INDEX('Compliance Database'!$J$2:$J$1369,MATCH(992,Engine!$C$2:$C$1369,0)))</f>
        <v/>
      </c>
      <c r="K1005" s="9">
        <f>IF(ISNA(MATCH(992,Engine!$C$2:$C$1369,0)),"",INDEX('Compliance Database'!$K$2:$K$1369,MATCH(992,Engine!$C$2:$C$1369,0)))</f>
        <v/>
      </c>
      <c r="L1005" s="9">
        <f>IF(ISNA(MATCH(992,Engine!$C$2:$C$1369,0)),"",INDEX('Compliance Database'!$L$2:$L$1369,MATCH(992,Engine!$C$2:$C$1369,0)))</f>
        <v/>
      </c>
      <c r="M1005" s="9">
        <f>IF(ISNA(MATCH(992,Engine!$C$2:$C$1369,0)),"",INDEX('Compliance Database'!$M$2:$M$1369,MATCH(992,Engine!$C$2:$C$1369,0)))</f>
        <v/>
      </c>
      <c r="N1005" s="9">
        <f>IF(ISNA(MATCH(992,Engine!$C$2:$C$1369,0)),"",INDEX('Compliance Database'!$N$2:$N$1369,MATCH(992,Engine!$C$2:$C$1369,0)))</f>
        <v/>
      </c>
      <c r="O1005" s="8">
        <f>IF(ISNA(MATCH(992,Engine!$C$2:$C$1369,0)),"",HYPERLINK(INDEX('Compliance Database'!$O$2:$O$1369,MATCH(992,Engine!$C$2:$C$1369,0)),"Open PDF"))</f>
        <v/>
      </c>
    </row>
    <row r="1006" ht="188" customHeight="1">
      <c r="A1006" s="8">
        <f>IF(ISNA(MATCH(993,Engine!$C$2:$C$1369,0)),"",INDEX('Compliance Database'!$A$2:$A$1369,MATCH(993,Engine!$C$2:$C$1369,0)))</f>
        <v/>
      </c>
      <c r="B1006" s="8">
        <f>IF(ISNA(MATCH(993,Engine!$C$2:$C$1369,0)),"",INDEX('Compliance Database'!$B$2:$B$1369,MATCH(993,Engine!$C$2:$C$1369,0)))</f>
        <v/>
      </c>
      <c r="C1006" s="8">
        <f>IF(ISNA(MATCH(993,Engine!$C$2:$C$1369,0)),"",INDEX('Compliance Database'!$C$2:$C$1369,MATCH(993,Engine!$C$2:$C$1369,0)))</f>
        <v/>
      </c>
      <c r="D1006" s="9">
        <f>IF(ISNA(MATCH(993,Engine!$C$2:$C$1369,0)),"",INDEX('Compliance Database'!$D$2:$D$1369,MATCH(993,Engine!$C$2:$C$1369,0)))</f>
        <v/>
      </c>
      <c r="E1006" s="8">
        <f>IF(ISNA(MATCH(993,Engine!$C$2:$C$1369,0)),"",INDEX('Compliance Database'!$E$2:$E$1369,MATCH(993,Engine!$C$2:$C$1369,0)))</f>
        <v/>
      </c>
      <c r="F1006" s="8">
        <f>IF(ISNA(MATCH(993,Engine!$C$2:$C$1369,0)),"",INDEX('Compliance Database'!$F$2:$F$1369,MATCH(993,Engine!$C$2:$C$1369,0)))</f>
        <v/>
      </c>
      <c r="G1006" s="8">
        <f>IF(ISNA(MATCH(993,Engine!$C$2:$C$1369,0)),"",INDEX('Compliance Database'!$G$2:$G$1369,MATCH(993,Engine!$C$2:$C$1369,0)))</f>
        <v/>
      </c>
      <c r="H1006" s="9">
        <f>IF(ISNA(MATCH(993,Engine!$C$2:$C$1369,0)),"",INDEX('Compliance Database'!$H$2:$H$1369,MATCH(993,Engine!$C$2:$C$1369,0)))</f>
        <v/>
      </c>
      <c r="I1006" s="9">
        <f>IF(ISNA(MATCH(993,Engine!$C$2:$C$1369,0)),"",INDEX('Compliance Database'!$I$2:$I$1369,MATCH(993,Engine!$C$2:$C$1369,0)))</f>
        <v/>
      </c>
      <c r="J1006" s="8">
        <f>IF(ISNA(MATCH(993,Engine!$C$2:$C$1369,0)),"",INDEX('Compliance Database'!$J$2:$J$1369,MATCH(993,Engine!$C$2:$C$1369,0)))</f>
        <v/>
      </c>
      <c r="K1006" s="9">
        <f>IF(ISNA(MATCH(993,Engine!$C$2:$C$1369,0)),"",INDEX('Compliance Database'!$K$2:$K$1369,MATCH(993,Engine!$C$2:$C$1369,0)))</f>
        <v/>
      </c>
      <c r="L1006" s="9">
        <f>IF(ISNA(MATCH(993,Engine!$C$2:$C$1369,0)),"",INDEX('Compliance Database'!$L$2:$L$1369,MATCH(993,Engine!$C$2:$C$1369,0)))</f>
        <v/>
      </c>
      <c r="M1006" s="9">
        <f>IF(ISNA(MATCH(993,Engine!$C$2:$C$1369,0)),"",INDEX('Compliance Database'!$M$2:$M$1369,MATCH(993,Engine!$C$2:$C$1369,0)))</f>
        <v/>
      </c>
      <c r="N1006" s="9">
        <f>IF(ISNA(MATCH(993,Engine!$C$2:$C$1369,0)),"",INDEX('Compliance Database'!$N$2:$N$1369,MATCH(993,Engine!$C$2:$C$1369,0)))</f>
        <v/>
      </c>
      <c r="O1006" s="8">
        <f>IF(ISNA(MATCH(993,Engine!$C$2:$C$1369,0)),"",HYPERLINK(INDEX('Compliance Database'!$O$2:$O$1369,MATCH(993,Engine!$C$2:$C$1369,0)),"Open PDF"))</f>
        <v/>
      </c>
    </row>
    <row r="1007" ht="188" customHeight="1">
      <c r="A1007" s="8">
        <f>IF(ISNA(MATCH(994,Engine!$C$2:$C$1369,0)),"",INDEX('Compliance Database'!$A$2:$A$1369,MATCH(994,Engine!$C$2:$C$1369,0)))</f>
        <v/>
      </c>
      <c r="B1007" s="8">
        <f>IF(ISNA(MATCH(994,Engine!$C$2:$C$1369,0)),"",INDEX('Compliance Database'!$B$2:$B$1369,MATCH(994,Engine!$C$2:$C$1369,0)))</f>
        <v/>
      </c>
      <c r="C1007" s="8">
        <f>IF(ISNA(MATCH(994,Engine!$C$2:$C$1369,0)),"",INDEX('Compliance Database'!$C$2:$C$1369,MATCH(994,Engine!$C$2:$C$1369,0)))</f>
        <v/>
      </c>
      <c r="D1007" s="9">
        <f>IF(ISNA(MATCH(994,Engine!$C$2:$C$1369,0)),"",INDEX('Compliance Database'!$D$2:$D$1369,MATCH(994,Engine!$C$2:$C$1369,0)))</f>
        <v/>
      </c>
      <c r="E1007" s="8">
        <f>IF(ISNA(MATCH(994,Engine!$C$2:$C$1369,0)),"",INDEX('Compliance Database'!$E$2:$E$1369,MATCH(994,Engine!$C$2:$C$1369,0)))</f>
        <v/>
      </c>
      <c r="F1007" s="8">
        <f>IF(ISNA(MATCH(994,Engine!$C$2:$C$1369,0)),"",INDEX('Compliance Database'!$F$2:$F$1369,MATCH(994,Engine!$C$2:$C$1369,0)))</f>
        <v/>
      </c>
      <c r="G1007" s="8">
        <f>IF(ISNA(MATCH(994,Engine!$C$2:$C$1369,0)),"",INDEX('Compliance Database'!$G$2:$G$1369,MATCH(994,Engine!$C$2:$C$1369,0)))</f>
        <v/>
      </c>
      <c r="H1007" s="9">
        <f>IF(ISNA(MATCH(994,Engine!$C$2:$C$1369,0)),"",INDEX('Compliance Database'!$H$2:$H$1369,MATCH(994,Engine!$C$2:$C$1369,0)))</f>
        <v/>
      </c>
      <c r="I1007" s="9">
        <f>IF(ISNA(MATCH(994,Engine!$C$2:$C$1369,0)),"",INDEX('Compliance Database'!$I$2:$I$1369,MATCH(994,Engine!$C$2:$C$1369,0)))</f>
        <v/>
      </c>
      <c r="J1007" s="8">
        <f>IF(ISNA(MATCH(994,Engine!$C$2:$C$1369,0)),"",INDEX('Compliance Database'!$J$2:$J$1369,MATCH(994,Engine!$C$2:$C$1369,0)))</f>
        <v/>
      </c>
      <c r="K1007" s="9">
        <f>IF(ISNA(MATCH(994,Engine!$C$2:$C$1369,0)),"",INDEX('Compliance Database'!$K$2:$K$1369,MATCH(994,Engine!$C$2:$C$1369,0)))</f>
        <v/>
      </c>
      <c r="L1007" s="9">
        <f>IF(ISNA(MATCH(994,Engine!$C$2:$C$1369,0)),"",INDEX('Compliance Database'!$L$2:$L$1369,MATCH(994,Engine!$C$2:$C$1369,0)))</f>
        <v/>
      </c>
      <c r="M1007" s="9">
        <f>IF(ISNA(MATCH(994,Engine!$C$2:$C$1369,0)),"",INDEX('Compliance Database'!$M$2:$M$1369,MATCH(994,Engine!$C$2:$C$1369,0)))</f>
        <v/>
      </c>
      <c r="N1007" s="9">
        <f>IF(ISNA(MATCH(994,Engine!$C$2:$C$1369,0)),"",INDEX('Compliance Database'!$N$2:$N$1369,MATCH(994,Engine!$C$2:$C$1369,0)))</f>
        <v/>
      </c>
      <c r="O1007" s="8">
        <f>IF(ISNA(MATCH(994,Engine!$C$2:$C$1369,0)),"",HYPERLINK(INDEX('Compliance Database'!$O$2:$O$1369,MATCH(994,Engine!$C$2:$C$1369,0)),"Open PDF"))</f>
        <v/>
      </c>
    </row>
    <row r="1008" ht="188" customHeight="1">
      <c r="A1008" s="8">
        <f>IF(ISNA(MATCH(995,Engine!$C$2:$C$1369,0)),"",INDEX('Compliance Database'!$A$2:$A$1369,MATCH(995,Engine!$C$2:$C$1369,0)))</f>
        <v/>
      </c>
      <c r="B1008" s="8">
        <f>IF(ISNA(MATCH(995,Engine!$C$2:$C$1369,0)),"",INDEX('Compliance Database'!$B$2:$B$1369,MATCH(995,Engine!$C$2:$C$1369,0)))</f>
        <v/>
      </c>
      <c r="C1008" s="8">
        <f>IF(ISNA(MATCH(995,Engine!$C$2:$C$1369,0)),"",INDEX('Compliance Database'!$C$2:$C$1369,MATCH(995,Engine!$C$2:$C$1369,0)))</f>
        <v/>
      </c>
      <c r="D1008" s="9">
        <f>IF(ISNA(MATCH(995,Engine!$C$2:$C$1369,0)),"",INDEX('Compliance Database'!$D$2:$D$1369,MATCH(995,Engine!$C$2:$C$1369,0)))</f>
        <v/>
      </c>
      <c r="E1008" s="8">
        <f>IF(ISNA(MATCH(995,Engine!$C$2:$C$1369,0)),"",INDEX('Compliance Database'!$E$2:$E$1369,MATCH(995,Engine!$C$2:$C$1369,0)))</f>
        <v/>
      </c>
      <c r="F1008" s="8">
        <f>IF(ISNA(MATCH(995,Engine!$C$2:$C$1369,0)),"",INDEX('Compliance Database'!$F$2:$F$1369,MATCH(995,Engine!$C$2:$C$1369,0)))</f>
        <v/>
      </c>
      <c r="G1008" s="8">
        <f>IF(ISNA(MATCH(995,Engine!$C$2:$C$1369,0)),"",INDEX('Compliance Database'!$G$2:$G$1369,MATCH(995,Engine!$C$2:$C$1369,0)))</f>
        <v/>
      </c>
      <c r="H1008" s="9">
        <f>IF(ISNA(MATCH(995,Engine!$C$2:$C$1369,0)),"",INDEX('Compliance Database'!$H$2:$H$1369,MATCH(995,Engine!$C$2:$C$1369,0)))</f>
        <v/>
      </c>
      <c r="I1008" s="9">
        <f>IF(ISNA(MATCH(995,Engine!$C$2:$C$1369,0)),"",INDEX('Compliance Database'!$I$2:$I$1369,MATCH(995,Engine!$C$2:$C$1369,0)))</f>
        <v/>
      </c>
      <c r="J1008" s="8">
        <f>IF(ISNA(MATCH(995,Engine!$C$2:$C$1369,0)),"",INDEX('Compliance Database'!$J$2:$J$1369,MATCH(995,Engine!$C$2:$C$1369,0)))</f>
        <v/>
      </c>
      <c r="K1008" s="9">
        <f>IF(ISNA(MATCH(995,Engine!$C$2:$C$1369,0)),"",INDEX('Compliance Database'!$K$2:$K$1369,MATCH(995,Engine!$C$2:$C$1369,0)))</f>
        <v/>
      </c>
      <c r="L1008" s="9">
        <f>IF(ISNA(MATCH(995,Engine!$C$2:$C$1369,0)),"",INDEX('Compliance Database'!$L$2:$L$1369,MATCH(995,Engine!$C$2:$C$1369,0)))</f>
        <v/>
      </c>
      <c r="M1008" s="9">
        <f>IF(ISNA(MATCH(995,Engine!$C$2:$C$1369,0)),"",INDEX('Compliance Database'!$M$2:$M$1369,MATCH(995,Engine!$C$2:$C$1369,0)))</f>
        <v/>
      </c>
      <c r="N1008" s="9">
        <f>IF(ISNA(MATCH(995,Engine!$C$2:$C$1369,0)),"",INDEX('Compliance Database'!$N$2:$N$1369,MATCH(995,Engine!$C$2:$C$1369,0)))</f>
        <v/>
      </c>
      <c r="O1008" s="8">
        <f>IF(ISNA(MATCH(995,Engine!$C$2:$C$1369,0)),"",HYPERLINK(INDEX('Compliance Database'!$O$2:$O$1369,MATCH(995,Engine!$C$2:$C$1369,0)),"Open PDF"))</f>
        <v/>
      </c>
    </row>
    <row r="1009" ht="188" customHeight="1">
      <c r="A1009" s="8">
        <f>IF(ISNA(MATCH(996,Engine!$C$2:$C$1369,0)),"",INDEX('Compliance Database'!$A$2:$A$1369,MATCH(996,Engine!$C$2:$C$1369,0)))</f>
        <v/>
      </c>
      <c r="B1009" s="8">
        <f>IF(ISNA(MATCH(996,Engine!$C$2:$C$1369,0)),"",INDEX('Compliance Database'!$B$2:$B$1369,MATCH(996,Engine!$C$2:$C$1369,0)))</f>
        <v/>
      </c>
      <c r="C1009" s="8">
        <f>IF(ISNA(MATCH(996,Engine!$C$2:$C$1369,0)),"",INDEX('Compliance Database'!$C$2:$C$1369,MATCH(996,Engine!$C$2:$C$1369,0)))</f>
        <v/>
      </c>
      <c r="D1009" s="9">
        <f>IF(ISNA(MATCH(996,Engine!$C$2:$C$1369,0)),"",INDEX('Compliance Database'!$D$2:$D$1369,MATCH(996,Engine!$C$2:$C$1369,0)))</f>
        <v/>
      </c>
      <c r="E1009" s="8">
        <f>IF(ISNA(MATCH(996,Engine!$C$2:$C$1369,0)),"",INDEX('Compliance Database'!$E$2:$E$1369,MATCH(996,Engine!$C$2:$C$1369,0)))</f>
        <v/>
      </c>
      <c r="F1009" s="8">
        <f>IF(ISNA(MATCH(996,Engine!$C$2:$C$1369,0)),"",INDEX('Compliance Database'!$F$2:$F$1369,MATCH(996,Engine!$C$2:$C$1369,0)))</f>
        <v/>
      </c>
      <c r="G1009" s="8">
        <f>IF(ISNA(MATCH(996,Engine!$C$2:$C$1369,0)),"",INDEX('Compliance Database'!$G$2:$G$1369,MATCH(996,Engine!$C$2:$C$1369,0)))</f>
        <v/>
      </c>
      <c r="H1009" s="9">
        <f>IF(ISNA(MATCH(996,Engine!$C$2:$C$1369,0)),"",INDEX('Compliance Database'!$H$2:$H$1369,MATCH(996,Engine!$C$2:$C$1369,0)))</f>
        <v/>
      </c>
      <c r="I1009" s="9">
        <f>IF(ISNA(MATCH(996,Engine!$C$2:$C$1369,0)),"",INDEX('Compliance Database'!$I$2:$I$1369,MATCH(996,Engine!$C$2:$C$1369,0)))</f>
        <v/>
      </c>
      <c r="J1009" s="8">
        <f>IF(ISNA(MATCH(996,Engine!$C$2:$C$1369,0)),"",INDEX('Compliance Database'!$J$2:$J$1369,MATCH(996,Engine!$C$2:$C$1369,0)))</f>
        <v/>
      </c>
      <c r="K1009" s="9">
        <f>IF(ISNA(MATCH(996,Engine!$C$2:$C$1369,0)),"",INDEX('Compliance Database'!$K$2:$K$1369,MATCH(996,Engine!$C$2:$C$1369,0)))</f>
        <v/>
      </c>
      <c r="L1009" s="9">
        <f>IF(ISNA(MATCH(996,Engine!$C$2:$C$1369,0)),"",INDEX('Compliance Database'!$L$2:$L$1369,MATCH(996,Engine!$C$2:$C$1369,0)))</f>
        <v/>
      </c>
      <c r="M1009" s="9">
        <f>IF(ISNA(MATCH(996,Engine!$C$2:$C$1369,0)),"",INDEX('Compliance Database'!$M$2:$M$1369,MATCH(996,Engine!$C$2:$C$1369,0)))</f>
        <v/>
      </c>
      <c r="N1009" s="9">
        <f>IF(ISNA(MATCH(996,Engine!$C$2:$C$1369,0)),"",INDEX('Compliance Database'!$N$2:$N$1369,MATCH(996,Engine!$C$2:$C$1369,0)))</f>
        <v/>
      </c>
      <c r="O1009" s="8">
        <f>IF(ISNA(MATCH(996,Engine!$C$2:$C$1369,0)),"",HYPERLINK(INDEX('Compliance Database'!$O$2:$O$1369,MATCH(996,Engine!$C$2:$C$1369,0)),"Open PDF"))</f>
        <v/>
      </c>
    </row>
    <row r="1010" ht="188" customHeight="1">
      <c r="A1010" s="8">
        <f>IF(ISNA(MATCH(997,Engine!$C$2:$C$1369,0)),"",INDEX('Compliance Database'!$A$2:$A$1369,MATCH(997,Engine!$C$2:$C$1369,0)))</f>
        <v/>
      </c>
      <c r="B1010" s="8">
        <f>IF(ISNA(MATCH(997,Engine!$C$2:$C$1369,0)),"",INDEX('Compliance Database'!$B$2:$B$1369,MATCH(997,Engine!$C$2:$C$1369,0)))</f>
        <v/>
      </c>
      <c r="C1010" s="8">
        <f>IF(ISNA(MATCH(997,Engine!$C$2:$C$1369,0)),"",INDEX('Compliance Database'!$C$2:$C$1369,MATCH(997,Engine!$C$2:$C$1369,0)))</f>
        <v/>
      </c>
      <c r="D1010" s="9">
        <f>IF(ISNA(MATCH(997,Engine!$C$2:$C$1369,0)),"",INDEX('Compliance Database'!$D$2:$D$1369,MATCH(997,Engine!$C$2:$C$1369,0)))</f>
        <v/>
      </c>
      <c r="E1010" s="8">
        <f>IF(ISNA(MATCH(997,Engine!$C$2:$C$1369,0)),"",INDEX('Compliance Database'!$E$2:$E$1369,MATCH(997,Engine!$C$2:$C$1369,0)))</f>
        <v/>
      </c>
      <c r="F1010" s="8">
        <f>IF(ISNA(MATCH(997,Engine!$C$2:$C$1369,0)),"",INDEX('Compliance Database'!$F$2:$F$1369,MATCH(997,Engine!$C$2:$C$1369,0)))</f>
        <v/>
      </c>
      <c r="G1010" s="8">
        <f>IF(ISNA(MATCH(997,Engine!$C$2:$C$1369,0)),"",INDEX('Compliance Database'!$G$2:$G$1369,MATCH(997,Engine!$C$2:$C$1369,0)))</f>
        <v/>
      </c>
      <c r="H1010" s="9">
        <f>IF(ISNA(MATCH(997,Engine!$C$2:$C$1369,0)),"",INDEX('Compliance Database'!$H$2:$H$1369,MATCH(997,Engine!$C$2:$C$1369,0)))</f>
        <v/>
      </c>
      <c r="I1010" s="9">
        <f>IF(ISNA(MATCH(997,Engine!$C$2:$C$1369,0)),"",INDEX('Compliance Database'!$I$2:$I$1369,MATCH(997,Engine!$C$2:$C$1369,0)))</f>
        <v/>
      </c>
      <c r="J1010" s="8">
        <f>IF(ISNA(MATCH(997,Engine!$C$2:$C$1369,0)),"",INDEX('Compliance Database'!$J$2:$J$1369,MATCH(997,Engine!$C$2:$C$1369,0)))</f>
        <v/>
      </c>
      <c r="K1010" s="9">
        <f>IF(ISNA(MATCH(997,Engine!$C$2:$C$1369,0)),"",INDEX('Compliance Database'!$K$2:$K$1369,MATCH(997,Engine!$C$2:$C$1369,0)))</f>
        <v/>
      </c>
      <c r="L1010" s="9">
        <f>IF(ISNA(MATCH(997,Engine!$C$2:$C$1369,0)),"",INDEX('Compliance Database'!$L$2:$L$1369,MATCH(997,Engine!$C$2:$C$1369,0)))</f>
        <v/>
      </c>
      <c r="M1010" s="9">
        <f>IF(ISNA(MATCH(997,Engine!$C$2:$C$1369,0)),"",INDEX('Compliance Database'!$M$2:$M$1369,MATCH(997,Engine!$C$2:$C$1369,0)))</f>
        <v/>
      </c>
      <c r="N1010" s="9">
        <f>IF(ISNA(MATCH(997,Engine!$C$2:$C$1369,0)),"",INDEX('Compliance Database'!$N$2:$N$1369,MATCH(997,Engine!$C$2:$C$1369,0)))</f>
        <v/>
      </c>
      <c r="O1010" s="8">
        <f>IF(ISNA(MATCH(997,Engine!$C$2:$C$1369,0)),"",HYPERLINK(INDEX('Compliance Database'!$O$2:$O$1369,MATCH(997,Engine!$C$2:$C$1369,0)),"Open PDF"))</f>
        <v/>
      </c>
    </row>
    <row r="1011" ht="188" customHeight="1">
      <c r="A1011" s="8">
        <f>IF(ISNA(MATCH(998,Engine!$C$2:$C$1369,0)),"",INDEX('Compliance Database'!$A$2:$A$1369,MATCH(998,Engine!$C$2:$C$1369,0)))</f>
        <v/>
      </c>
      <c r="B1011" s="8">
        <f>IF(ISNA(MATCH(998,Engine!$C$2:$C$1369,0)),"",INDEX('Compliance Database'!$B$2:$B$1369,MATCH(998,Engine!$C$2:$C$1369,0)))</f>
        <v/>
      </c>
      <c r="C1011" s="8">
        <f>IF(ISNA(MATCH(998,Engine!$C$2:$C$1369,0)),"",INDEX('Compliance Database'!$C$2:$C$1369,MATCH(998,Engine!$C$2:$C$1369,0)))</f>
        <v/>
      </c>
      <c r="D1011" s="9">
        <f>IF(ISNA(MATCH(998,Engine!$C$2:$C$1369,0)),"",INDEX('Compliance Database'!$D$2:$D$1369,MATCH(998,Engine!$C$2:$C$1369,0)))</f>
        <v/>
      </c>
      <c r="E1011" s="8">
        <f>IF(ISNA(MATCH(998,Engine!$C$2:$C$1369,0)),"",INDEX('Compliance Database'!$E$2:$E$1369,MATCH(998,Engine!$C$2:$C$1369,0)))</f>
        <v/>
      </c>
      <c r="F1011" s="8">
        <f>IF(ISNA(MATCH(998,Engine!$C$2:$C$1369,0)),"",INDEX('Compliance Database'!$F$2:$F$1369,MATCH(998,Engine!$C$2:$C$1369,0)))</f>
        <v/>
      </c>
      <c r="G1011" s="8">
        <f>IF(ISNA(MATCH(998,Engine!$C$2:$C$1369,0)),"",INDEX('Compliance Database'!$G$2:$G$1369,MATCH(998,Engine!$C$2:$C$1369,0)))</f>
        <v/>
      </c>
      <c r="H1011" s="9">
        <f>IF(ISNA(MATCH(998,Engine!$C$2:$C$1369,0)),"",INDEX('Compliance Database'!$H$2:$H$1369,MATCH(998,Engine!$C$2:$C$1369,0)))</f>
        <v/>
      </c>
      <c r="I1011" s="9">
        <f>IF(ISNA(MATCH(998,Engine!$C$2:$C$1369,0)),"",INDEX('Compliance Database'!$I$2:$I$1369,MATCH(998,Engine!$C$2:$C$1369,0)))</f>
        <v/>
      </c>
      <c r="J1011" s="8">
        <f>IF(ISNA(MATCH(998,Engine!$C$2:$C$1369,0)),"",INDEX('Compliance Database'!$J$2:$J$1369,MATCH(998,Engine!$C$2:$C$1369,0)))</f>
        <v/>
      </c>
      <c r="K1011" s="9">
        <f>IF(ISNA(MATCH(998,Engine!$C$2:$C$1369,0)),"",INDEX('Compliance Database'!$K$2:$K$1369,MATCH(998,Engine!$C$2:$C$1369,0)))</f>
        <v/>
      </c>
      <c r="L1011" s="9">
        <f>IF(ISNA(MATCH(998,Engine!$C$2:$C$1369,0)),"",INDEX('Compliance Database'!$L$2:$L$1369,MATCH(998,Engine!$C$2:$C$1369,0)))</f>
        <v/>
      </c>
      <c r="M1011" s="9">
        <f>IF(ISNA(MATCH(998,Engine!$C$2:$C$1369,0)),"",INDEX('Compliance Database'!$M$2:$M$1369,MATCH(998,Engine!$C$2:$C$1369,0)))</f>
        <v/>
      </c>
      <c r="N1011" s="9">
        <f>IF(ISNA(MATCH(998,Engine!$C$2:$C$1369,0)),"",INDEX('Compliance Database'!$N$2:$N$1369,MATCH(998,Engine!$C$2:$C$1369,0)))</f>
        <v/>
      </c>
      <c r="O1011" s="8">
        <f>IF(ISNA(MATCH(998,Engine!$C$2:$C$1369,0)),"",HYPERLINK(INDEX('Compliance Database'!$O$2:$O$1369,MATCH(998,Engine!$C$2:$C$1369,0)),"Open PDF"))</f>
        <v/>
      </c>
    </row>
    <row r="1012" ht="188" customHeight="1">
      <c r="A1012" s="8">
        <f>IF(ISNA(MATCH(999,Engine!$C$2:$C$1369,0)),"",INDEX('Compliance Database'!$A$2:$A$1369,MATCH(999,Engine!$C$2:$C$1369,0)))</f>
        <v/>
      </c>
      <c r="B1012" s="8">
        <f>IF(ISNA(MATCH(999,Engine!$C$2:$C$1369,0)),"",INDEX('Compliance Database'!$B$2:$B$1369,MATCH(999,Engine!$C$2:$C$1369,0)))</f>
        <v/>
      </c>
      <c r="C1012" s="8">
        <f>IF(ISNA(MATCH(999,Engine!$C$2:$C$1369,0)),"",INDEX('Compliance Database'!$C$2:$C$1369,MATCH(999,Engine!$C$2:$C$1369,0)))</f>
        <v/>
      </c>
      <c r="D1012" s="9">
        <f>IF(ISNA(MATCH(999,Engine!$C$2:$C$1369,0)),"",INDEX('Compliance Database'!$D$2:$D$1369,MATCH(999,Engine!$C$2:$C$1369,0)))</f>
        <v/>
      </c>
      <c r="E1012" s="8">
        <f>IF(ISNA(MATCH(999,Engine!$C$2:$C$1369,0)),"",INDEX('Compliance Database'!$E$2:$E$1369,MATCH(999,Engine!$C$2:$C$1369,0)))</f>
        <v/>
      </c>
      <c r="F1012" s="8">
        <f>IF(ISNA(MATCH(999,Engine!$C$2:$C$1369,0)),"",INDEX('Compliance Database'!$F$2:$F$1369,MATCH(999,Engine!$C$2:$C$1369,0)))</f>
        <v/>
      </c>
      <c r="G1012" s="8">
        <f>IF(ISNA(MATCH(999,Engine!$C$2:$C$1369,0)),"",INDEX('Compliance Database'!$G$2:$G$1369,MATCH(999,Engine!$C$2:$C$1369,0)))</f>
        <v/>
      </c>
      <c r="H1012" s="9">
        <f>IF(ISNA(MATCH(999,Engine!$C$2:$C$1369,0)),"",INDEX('Compliance Database'!$H$2:$H$1369,MATCH(999,Engine!$C$2:$C$1369,0)))</f>
        <v/>
      </c>
      <c r="I1012" s="9">
        <f>IF(ISNA(MATCH(999,Engine!$C$2:$C$1369,0)),"",INDEX('Compliance Database'!$I$2:$I$1369,MATCH(999,Engine!$C$2:$C$1369,0)))</f>
        <v/>
      </c>
      <c r="J1012" s="8">
        <f>IF(ISNA(MATCH(999,Engine!$C$2:$C$1369,0)),"",INDEX('Compliance Database'!$J$2:$J$1369,MATCH(999,Engine!$C$2:$C$1369,0)))</f>
        <v/>
      </c>
      <c r="K1012" s="9">
        <f>IF(ISNA(MATCH(999,Engine!$C$2:$C$1369,0)),"",INDEX('Compliance Database'!$K$2:$K$1369,MATCH(999,Engine!$C$2:$C$1369,0)))</f>
        <v/>
      </c>
      <c r="L1012" s="9">
        <f>IF(ISNA(MATCH(999,Engine!$C$2:$C$1369,0)),"",INDEX('Compliance Database'!$L$2:$L$1369,MATCH(999,Engine!$C$2:$C$1369,0)))</f>
        <v/>
      </c>
      <c r="M1012" s="9">
        <f>IF(ISNA(MATCH(999,Engine!$C$2:$C$1369,0)),"",INDEX('Compliance Database'!$M$2:$M$1369,MATCH(999,Engine!$C$2:$C$1369,0)))</f>
        <v/>
      </c>
      <c r="N1012" s="9">
        <f>IF(ISNA(MATCH(999,Engine!$C$2:$C$1369,0)),"",INDEX('Compliance Database'!$N$2:$N$1369,MATCH(999,Engine!$C$2:$C$1369,0)))</f>
        <v/>
      </c>
      <c r="O1012" s="8">
        <f>IF(ISNA(MATCH(999,Engine!$C$2:$C$1369,0)),"",HYPERLINK(INDEX('Compliance Database'!$O$2:$O$1369,MATCH(999,Engine!$C$2:$C$1369,0)),"Open PDF"))</f>
        <v/>
      </c>
    </row>
    <row r="1013" ht="188" customHeight="1">
      <c r="A1013" s="8">
        <f>IF(ISNA(MATCH(1000,Engine!$C$2:$C$1369,0)),"",INDEX('Compliance Database'!$A$2:$A$1369,MATCH(1000,Engine!$C$2:$C$1369,0)))</f>
        <v/>
      </c>
      <c r="B1013" s="8">
        <f>IF(ISNA(MATCH(1000,Engine!$C$2:$C$1369,0)),"",INDEX('Compliance Database'!$B$2:$B$1369,MATCH(1000,Engine!$C$2:$C$1369,0)))</f>
        <v/>
      </c>
      <c r="C1013" s="8">
        <f>IF(ISNA(MATCH(1000,Engine!$C$2:$C$1369,0)),"",INDEX('Compliance Database'!$C$2:$C$1369,MATCH(1000,Engine!$C$2:$C$1369,0)))</f>
        <v/>
      </c>
      <c r="D1013" s="9">
        <f>IF(ISNA(MATCH(1000,Engine!$C$2:$C$1369,0)),"",INDEX('Compliance Database'!$D$2:$D$1369,MATCH(1000,Engine!$C$2:$C$1369,0)))</f>
        <v/>
      </c>
      <c r="E1013" s="8">
        <f>IF(ISNA(MATCH(1000,Engine!$C$2:$C$1369,0)),"",INDEX('Compliance Database'!$E$2:$E$1369,MATCH(1000,Engine!$C$2:$C$1369,0)))</f>
        <v/>
      </c>
      <c r="F1013" s="8">
        <f>IF(ISNA(MATCH(1000,Engine!$C$2:$C$1369,0)),"",INDEX('Compliance Database'!$F$2:$F$1369,MATCH(1000,Engine!$C$2:$C$1369,0)))</f>
        <v/>
      </c>
      <c r="G1013" s="8">
        <f>IF(ISNA(MATCH(1000,Engine!$C$2:$C$1369,0)),"",INDEX('Compliance Database'!$G$2:$G$1369,MATCH(1000,Engine!$C$2:$C$1369,0)))</f>
        <v/>
      </c>
      <c r="H1013" s="9">
        <f>IF(ISNA(MATCH(1000,Engine!$C$2:$C$1369,0)),"",INDEX('Compliance Database'!$H$2:$H$1369,MATCH(1000,Engine!$C$2:$C$1369,0)))</f>
        <v/>
      </c>
      <c r="I1013" s="9">
        <f>IF(ISNA(MATCH(1000,Engine!$C$2:$C$1369,0)),"",INDEX('Compliance Database'!$I$2:$I$1369,MATCH(1000,Engine!$C$2:$C$1369,0)))</f>
        <v/>
      </c>
      <c r="J1013" s="8">
        <f>IF(ISNA(MATCH(1000,Engine!$C$2:$C$1369,0)),"",INDEX('Compliance Database'!$J$2:$J$1369,MATCH(1000,Engine!$C$2:$C$1369,0)))</f>
        <v/>
      </c>
      <c r="K1013" s="9">
        <f>IF(ISNA(MATCH(1000,Engine!$C$2:$C$1369,0)),"",INDEX('Compliance Database'!$K$2:$K$1369,MATCH(1000,Engine!$C$2:$C$1369,0)))</f>
        <v/>
      </c>
      <c r="L1013" s="9">
        <f>IF(ISNA(MATCH(1000,Engine!$C$2:$C$1369,0)),"",INDEX('Compliance Database'!$L$2:$L$1369,MATCH(1000,Engine!$C$2:$C$1369,0)))</f>
        <v/>
      </c>
      <c r="M1013" s="9">
        <f>IF(ISNA(MATCH(1000,Engine!$C$2:$C$1369,0)),"",INDEX('Compliance Database'!$M$2:$M$1369,MATCH(1000,Engine!$C$2:$C$1369,0)))</f>
        <v/>
      </c>
      <c r="N1013" s="9">
        <f>IF(ISNA(MATCH(1000,Engine!$C$2:$C$1369,0)),"",INDEX('Compliance Database'!$N$2:$N$1369,MATCH(1000,Engine!$C$2:$C$1369,0)))</f>
        <v/>
      </c>
      <c r="O1013" s="8">
        <f>IF(ISNA(MATCH(1000,Engine!$C$2:$C$1369,0)),"",HYPERLINK(INDEX('Compliance Database'!$O$2:$O$1369,MATCH(1000,Engine!$C$2:$C$1369,0)),"Open PDF"))</f>
        <v/>
      </c>
    </row>
    <row r="1014" ht="188" customHeight="1">
      <c r="A1014" s="8">
        <f>IF(ISNA(MATCH(1001,Engine!$C$2:$C$1369,0)),"",INDEX('Compliance Database'!$A$2:$A$1369,MATCH(1001,Engine!$C$2:$C$1369,0)))</f>
        <v/>
      </c>
      <c r="B1014" s="8">
        <f>IF(ISNA(MATCH(1001,Engine!$C$2:$C$1369,0)),"",INDEX('Compliance Database'!$B$2:$B$1369,MATCH(1001,Engine!$C$2:$C$1369,0)))</f>
        <v/>
      </c>
      <c r="C1014" s="8">
        <f>IF(ISNA(MATCH(1001,Engine!$C$2:$C$1369,0)),"",INDEX('Compliance Database'!$C$2:$C$1369,MATCH(1001,Engine!$C$2:$C$1369,0)))</f>
        <v/>
      </c>
      <c r="D1014" s="9">
        <f>IF(ISNA(MATCH(1001,Engine!$C$2:$C$1369,0)),"",INDEX('Compliance Database'!$D$2:$D$1369,MATCH(1001,Engine!$C$2:$C$1369,0)))</f>
        <v/>
      </c>
      <c r="E1014" s="8">
        <f>IF(ISNA(MATCH(1001,Engine!$C$2:$C$1369,0)),"",INDEX('Compliance Database'!$E$2:$E$1369,MATCH(1001,Engine!$C$2:$C$1369,0)))</f>
        <v/>
      </c>
      <c r="F1014" s="8">
        <f>IF(ISNA(MATCH(1001,Engine!$C$2:$C$1369,0)),"",INDEX('Compliance Database'!$F$2:$F$1369,MATCH(1001,Engine!$C$2:$C$1369,0)))</f>
        <v/>
      </c>
      <c r="G1014" s="8">
        <f>IF(ISNA(MATCH(1001,Engine!$C$2:$C$1369,0)),"",INDEX('Compliance Database'!$G$2:$G$1369,MATCH(1001,Engine!$C$2:$C$1369,0)))</f>
        <v/>
      </c>
      <c r="H1014" s="9">
        <f>IF(ISNA(MATCH(1001,Engine!$C$2:$C$1369,0)),"",INDEX('Compliance Database'!$H$2:$H$1369,MATCH(1001,Engine!$C$2:$C$1369,0)))</f>
        <v/>
      </c>
      <c r="I1014" s="9">
        <f>IF(ISNA(MATCH(1001,Engine!$C$2:$C$1369,0)),"",INDEX('Compliance Database'!$I$2:$I$1369,MATCH(1001,Engine!$C$2:$C$1369,0)))</f>
        <v/>
      </c>
      <c r="J1014" s="8">
        <f>IF(ISNA(MATCH(1001,Engine!$C$2:$C$1369,0)),"",INDEX('Compliance Database'!$J$2:$J$1369,MATCH(1001,Engine!$C$2:$C$1369,0)))</f>
        <v/>
      </c>
      <c r="K1014" s="9">
        <f>IF(ISNA(MATCH(1001,Engine!$C$2:$C$1369,0)),"",INDEX('Compliance Database'!$K$2:$K$1369,MATCH(1001,Engine!$C$2:$C$1369,0)))</f>
        <v/>
      </c>
      <c r="L1014" s="9">
        <f>IF(ISNA(MATCH(1001,Engine!$C$2:$C$1369,0)),"",INDEX('Compliance Database'!$L$2:$L$1369,MATCH(1001,Engine!$C$2:$C$1369,0)))</f>
        <v/>
      </c>
      <c r="M1014" s="9">
        <f>IF(ISNA(MATCH(1001,Engine!$C$2:$C$1369,0)),"",INDEX('Compliance Database'!$M$2:$M$1369,MATCH(1001,Engine!$C$2:$C$1369,0)))</f>
        <v/>
      </c>
      <c r="N1014" s="9">
        <f>IF(ISNA(MATCH(1001,Engine!$C$2:$C$1369,0)),"",INDEX('Compliance Database'!$N$2:$N$1369,MATCH(1001,Engine!$C$2:$C$1369,0)))</f>
        <v/>
      </c>
      <c r="O1014" s="8">
        <f>IF(ISNA(MATCH(1001,Engine!$C$2:$C$1369,0)),"",HYPERLINK(INDEX('Compliance Database'!$O$2:$O$1369,MATCH(1001,Engine!$C$2:$C$1369,0)),"Open PDF"))</f>
        <v/>
      </c>
    </row>
    <row r="1015" ht="188" customHeight="1">
      <c r="A1015" s="8">
        <f>IF(ISNA(MATCH(1002,Engine!$C$2:$C$1369,0)),"",INDEX('Compliance Database'!$A$2:$A$1369,MATCH(1002,Engine!$C$2:$C$1369,0)))</f>
        <v/>
      </c>
      <c r="B1015" s="8">
        <f>IF(ISNA(MATCH(1002,Engine!$C$2:$C$1369,0)),"",INDEX('Compliance Database'!$B$2:$B$1369,MATCH(1002,Engine!$C$2:$C$1369,0)))</f>
        <v/>
      </c>
      <c r="C1015" s="8">
        <f>IF(ISNA(MATCH(1002,Engine!$C$2:$C$1369,0)),"",INDEX('Compliance Database'!$C$2:$C$1369,MATCH(1002,Engine!$C$2:$C$1369,0)))</f>
        <v/>
      </c>
      <c r="D1015" s="9">
        <f>IF(ISNA(MATCH(1002,Engine!$C$2:$C$1369,0)),"",INDEX('Compliance Database'!$D$2:$D$1369,MATCH(1002,Engine!$C$2:$C$1369,0)))</f>
        <v/>
      </c>
      <c r="E1015" s="8">
        <f>IF(ISNA(MATCH(1002,Engine!$C$2:$C$1369,0)),"",INDEX('Compliance Database'!$E$2:$E$1369,MATCH(1002,Engine!$C$2:$C$1369,0)))</f>
        <v/>
      </c>
      <c r="F1015" s="8">
        <f>IF(ISNA(MATCH(1002,Engine!$C$2:$C$1369,0)),"",INDEX('Compliance Database'!$F$2:$F$1369,MATCH(1002,Engine!$C$2:$C$1369,0)))</f>
        <v/>
      </c>
      <c r="G1015" s="8">
        <f>IF(ISNA(MATCH(1002,Engine!$C$2:$C$1369,0)),"",INDEX('Compliance Database'!$G$2:$G$1369,MATCH(1002,Engine!$C$2:$C$1369,0)))</f>
        <v/>
      </c>
      <c r="H1015" s="9">
        <f>IF(ISNA(MATCH(1002,Engine!$C$2:$C$1369,0)),"",INDEX('Compliance Database'!$H$2:$H$1369,MATCH(1002,Engine!$C$2:$C$1369,0)))</f>
        <v/>
      </c>
      <c r="I1015" s="9">
        <f>IF(ISNA(MATCH(1002,Engine!$C$2:$C$1369,0)),"",INDEX('Compliance Database'!$I$2:$I$1369,MATCH(1002,Engine!$C$2:$C$1369,0)))</f>
        <v/>
      </c>
      <c r="J1015" s="8">
        <f>IF(ISNA(MATCH(1002,Engine!$C$2:$C$1369,0)),"",INDEX('Compliance Database'!$J$2:$J$1369,MATCH(1002,Engine!$C$2:$C$1369,0)))</f>
        <v/>
      </c>
      <c r="K1015" s="9">
        <f>IF(ISNA(MATCH(1002,Engine!$C$2:$C$1369,0)),"",INDEX('Compliance Database'!$K$2:$K$1369,MATCH(1002,Engine!$C$2:$C$1369,0)))</f>
        <v/>
      </c>
      <c r="L1015" s="9">
        <f>IF(ISNA(MATCH(1002,Engine!$C$2:$C$1369,0)),"",INDEX('Compliance Database'!$L$2:$L$1369,MATCH(1002,Engine!$C$2:$C$1369,0)))</f>
        <v/>
      </c>
      <c r="M1015" s="9">
        <f>IF(ISNA(MATCH(1002,Engine!$C$2:$C$1369,0)),"",INDEX('Compliance Database'!$M$2:$M$1369,MATCH(1002,Engine!$C$2:$C$1369,0)))</f>
        <v/>
      </c>
      <c r="N1015" s="9">
        <f>IF(ISNA(MATCH(1002,Engine!$C$2:$C$1369,0)),"",INDEX('Compliance Database'!$N$2:$N$1369,MATCH(1002,Engine!$C$2:$C$1369,0)))</f>
        <v/>
      </c>
      <c r="O1015" s="8">
        <f>IF(ISNA(MATCH(1002,Engine!$C$2:$C$1369,0)),"",HYPERLINK(INDEX('Compliance Database'!$O$2:$O$1369,MATCH(1002,Engine!$C$2:$C$1369,0)),"Open PDF"))</f>
        <v/>
      </c>
    </row>
    <row r="1016" ht="188" customHeight="1">
      <c r="A1016" s="8">
        <f>IF(ISNA(MATCH(1003,Engine!$C$2:$C$1369,0)),"",INDEX('Compliance Database'!$A$2:$A$1369,MATCH(1003,Engine!$C$2:$C$1369,0)))</f>
        <v/>
      </c>
      <c r="B1016" s="8">
        <f>IF(ISNA(MATCH(1003,Engine!$C$2:$C$1369,0)),"",INDEX('Compliance Database'!$B$2:$B$1369,MATCH(1003,Engine!$C$2:$C$1369,0)))</f>
        <v/>
      </c>
      <c r="C1016" s="8">
        <f>IF(ISNA(MATCH(1003,Engine!$C$2:$C$1369,0)),"",INDEX('Compliance Database'!$C$2:$C$1369,MATCH(1003,Engine!$C$2:$C$1369,0)))</f>
        <v/>
      </c>
      <c r="D1016" s="9">
        <f>IF(ISNA(MATCH(1003,Engine!$C$2:$C$1369,0)),"",INDEX('Compliance Database'!$D$2:$D$1369,MATCH(1003,Engine!$C$2:$C$1369,0)))</f>
        <v/>
      </c>
      <c r="E1016" s="8">
        <f>IF(ISNA(MATCH(1003,Engine!$C$2:$C$1369,0)),"",INDEX('Compliance Database'!$E$2:$E$1369,MATCH(1003,Engine!$C$2:$C$1369,0)))</f>
        <v/>
      </c>
      <c r="F1016" s="8">
        <f>IF(ISNA(MATCH(1003,Engine!$C$2:$C$1369,0)),"",INDEX('Compliance Database'!$F$2:$F$1369,MATCH(1003,Engine!$C$2:$C$1369,0)))</f>
        <v/>
      </c>
      <c r="G1016" s="8">
        <f>IF(ISNA(MATCH(1003,Engine!$C$2:$C$1369,0)),"",INDEX('Compliance Database'!$G$2:$G$1369,MATCH(1003,Engine!$C$2:$C$1369,0)))</f>
        <v/>
      </c>
      <c r="H1016" s="9">
        <f>IF(ISNA(MATCH(1003,Engine!$C$2:$C$1369,0)),"",INDEX('Compliance Database'!$H$2:$H$1369,MATCH(1003,Engine!$C$2:$C$1369,0)))</f>
        <v/>
      </c>
      <c r="I1016" s="9">
        <f>IF(ISNA(MATCH(1003,Engine!$C$2:$C$1369,0)),"",INDEX('Compliance Database'!$I$2:$I$1369,MATCH(1003,Engine!$C$2:$C$1369,0)))</f>
        <v/>
      </c>
      <c r="J1016" s="8">
        <f>IF(ISNA(MATCH(1003,Engine!$C$2:$C$1369,0)),"",INDEX('Compliance Database'!$J$2:$J$1369,MATCH(1003,Engine!$C$2:$C$1369,0)))</f>
        <v/>
      </c>
      <c r="K1016" s="9">
        <f>IF(ISNA(MATCH(1003,Engine!$C$2:$C$1369,0)),"",INDEX('Compliance Database'!$K$2:$K$1369,MATCH(1003,Engine!$C$2:$C$1369,0)))</f>
        <v/>
      </c>
      <c r="L1016" s="9">
        <f>IF(ISNA(MATCH(1003,Engine!$C$2:$C$1369,0)),"",INDEX('Compliance Database'!$L$2:$L$1369,MATCH(1003,Engine!$C$2:$C$1369,0)))</f>
        <v/>
      </c>
      <c r="M1016" s="9">
        <f>IF(ISNA(MATCH(1003,Engine!$C$2:$C$1369,0)),"",INDEX('Compliance Database'!$M$2:$M$1369,MATCH(1003,Engine!$C$2:$C$1369,0)))</f>
        <v/>
      </c>
      <c r="N1016" s="9">
        <f>IF(ISNA(MATCH(1003,Engine!$C$2:$C$1369,0)),"",INDEX('Compliance Database'!$N$2:$N$1369,MATCH(1003,Engine!$C$2:$C$1369,0)))</f>
        <v/>
      </c>
      <c r="O1016" s="8">
        <f>IF(ISNA(MATCH(1003,Engine!$C$2:$C$1369,0)),"",HYPERLINK(INDEX('Compliance Database'!$O$2:$O$1369,MATCH(1003,Engine!$C$2:$C$1369,0)),"Open PDF"))</f>
        <v/>
      </c>
    </row>
    <row r="1017" ht="188" customHeight="1">
      <c r="A1017" s="8">
        <f>IF(ISNA(MATCH(1004,Engine!$C$2:$C$1369,0)),"",INDEX('Compliance Database'!$A$2:$A$1369,MATCH(1004,Engine!$C$2:$C$1369,0)))</f>
        <v/>
      </c>
      <c r="B1017" s="8">
        <f>IF(ISNA(MATCH(1004,Engine!$C$2:$C$1369,0)),"",INDEX('Compliance Database'!$B$2:$B$1369,MATCH(1004,Engine!$C$2:$C$1369,0)))</f>
        <v/>
      </c>
      <c r="C1017" s="8">
        <f>IF(ISNA(MATCH(1004,Engine!$C$2:$C$1369,0)),"",INDEX('Compliance Database'!$C$2:$C$1369,MATCH(1004,Engine!$C$2:$C$1369,0)))</f>
        <v/>
      </c>
      <c r="D1017" s="9">
        <f>IF(ISNA(MATCH(1004,Engine!$C$2:$C$1369,0)),"",INDEX('Compliance Database'!$D$2:$D$1369,MATCH(1004,Engine!$C$2:$C$1369,0)))</f>
        <v/>
      </c>
      <c r="E1017" s="8">
        <f>IF(ISNA(MATCH(1004,Engine!$C$2:$C$1369,0)),"",INDEX('Compliance Database'!$E$2:$E$1369,MATCH(1004,Engine!$C$2:$C$1369,0)))</f>
        <v/>
      </c>
      <c r="F1017" s="8">
        <f>IF(ISNA(MATCH(1004,Engine!$C$2:$C$1369,0)),"",INDEX('Compliance Database'!$F$2:$F$1369,MATCH(1004,Engine!$C$2:$C$1369,0)))</f>
        <v/>
      </c>
      <c r="G1017" s="8">
        <f>IF(ISNA(MATCH(1004,Engine!$C$2:$C$1369,0)),"",INDEX('Compliance Database'!$G$2:$G$1369,MATCH(1004,Engine!$C$2:$C$1369,0)))</f>
        <v/>
      </c>
      <c r="H1017" s="9">
        <f>IF(ISNA(MATCH(1004,Engine!$C$2:$C$1369,0)),"",INDEX('Compliance Database'!$H$2:$H$1369,MATCH(1004,Engine!$C$2:$C$1369,0)))</f>
        <v/>
      </c>
      <c r="I1017" s="9">
        <f>IF(ISNA(MATCH(1004,Engine!$C$2:$C$1369,0)),"",INDEX('Compliance Database'!$I$2:$I$1369,MATCH(1004,Engine!$C$2:$C$1369,0)))</f>
        <v/>
      </c>
      <c r="J1017" s="8">
        <f>IF(ISNA(MATCH(1004,Engine!$C$2:$C$1369,0)),"",INDEX('Compliance Database'!$J$2:$J$1369,MATCH(1004,Engine!$C$2:$C$1369,0)))</f>
        <v/>
      </c>
      <c r="K1017" s="9">
        <f>IF(ISNA(MATCH(1004,Engine!$C$2:$C$1369,0)),"",INDEX('Compliance Database'!$K$2:$K$1369,MATCH(1004,Engine!$C$2:$C$1369,0)))</f>
        <v/>
      </c>
      <c r="L1017" s="9">
        <f>IF(ISNA(MATCH(1004,Engine!$C$2:$C$1369,0)),"",INDEX('Compliance Database'!$L$2:$L$1369,MATCH(1004,Engine!$C$2:$C$1369,0)))</f>
        <v/>
      </c>
      <c r="M1017" s="9">
        <f>IF(ISNA(MATCH(1004,Engine!$C$2:$C$1369,0)),"",INDEX('Compliance Database'!$M$2:$M$1369,MATCH(1004,Engine!$C$2:$C$1369,0)))</f>
        <v/>
      </c>
      <c r="N1017" s="9">
        <f>IF(ISNA(MATCH(1004,Engine!$C$2:$C$1369,0)),"",INDEX('Compliance Database'!$N$2:$N$1369,MATCH(1004,Engine!$C$2:$C$1369,0)))</f>
        <v/>
      </c>
      <c r="O1017" s="8">
        <f>IF(ISNA(MATCH(1004,Engine!$C$2:$C$1369,0)),"",HYPERLINK(INDEX('Compliance Database'!$O$2:$O$1369,MATCH(1004,Engine!$C$2:$C$1369,0)),"Open PDF"))</f>
        <v/>
      </c>
    </row>
    <row r="1018" ht="188" customHeight="1">
      <c r="A1018" s="8">
        <f>IF(ISNA(MATCH(1005,Engine!$C$2:$C$1369,0)),"",INDEX('Compliance Database'!$A$2:$A$1369,MATCH(1005,Engine!$C$2:$C$1369,0)))</f>
        <v/>
      </c>
      <c r="B1018" s="8">
        <f>IF(ISNA(MATCH(1005,Engine!$C$2:$C$1369,0)),"",INDEX('Compliance Database'!$B$2:$B$1369,MATCH(1005,Engine!$C$2:$C$1369,0)))</f>
        <v/>
      </c>
      <c r="C1018" s="8">
        <f>IF(ISNA(MATCH(1005,Engine!$C$2:$C$1369,0)),"",INDEX('Compliance Database'!$C$2:$C$1369,MATCH(1005,Engine!$C$2:$C$1369,0)))</f>
        <v/>
      </c>
      <c r="D1018" s="9">
        <f>IF(ISNA(MATCH(1005,Engine!$C$2:$C$1369,0)),"",INDEX('Compliance Database'!$D$2:$D$1369,MATCH(1005,Engine!$C$2:$C$1369,0)))</f>
        <v/>
      </c>
      <c r="E1018" s="8">
        <f>IF(ISNA(MATCH(1005,Engine!$C$2:$C$1369,0)),"",INDEX('Compliance Database'!$E$2:$E$1369,MATCH(1005,Engine!$C$2:$C$1369,0)))</f>
        <v/>
      </c>
      <c r="F1018" s="8">
        <f>IF(ISNA(MATCH(1005,Engine!$C$2:$C$1369,0)),"",INDEX('Compliance Database'!$F$2:$F$1369,MATCH(1005,Engine!$C$2:$C$1369,0)))</f>
        <v/>
      </c>
      <c r="G1018" s="8">
        <f>IF(ISNA(MATCH(1005,Engine!$C$2:$C$1369,0)),"",INDEX('Compliance Database'!$G$2:$G$1369,MATCH(1005,Engine!$C$2:$C$1369,0)))</f>
        <v/>
      </c>
      <c r="H1018" s="9">
        <f>IF(ISNA(MATCH(1005,Engine!$C$2:$C$1369,0)),"",INDEX('Compliance Database'!$H$2:$H$1369,MATCH(1005,Engine!$C$2:$C$1369,0)))</f>
        <v/>
      </c>
      <c r="I1018" s="9">
        <f>IF(ISNA(MATCH(1005,Engine!$C$2:$C$1369,0)),"",INDEX('Compliance Database'!$I$2:$I$1369,MATCH(1005,Engine!$C$2:$C$1369,0)))</f>
        <v/>
      </c>
      <c r="J1018" s="8">
        <f>IF(ISNA(MATCH(1005,Engine!$C$2:$C$1369,0)),"",INDEX('Compliance Database'!$J$2:$J$1369,MATCH(1005,Engine!$C$2:$C$1369,0)))</f>
        <v/>
      </c>
      <c r="K1018" s="9">
        <f>IF(ISNA(MATCH(1005,Engine!$C$2:$C$1369,0)),"",INDEX('Compliance Database'!$K$2:$K$1369,MATCH(1005,Engine!$C$2:$C$1369,0)))</f>
        <v/>
      </c>
      <c r="L1018" s="9">
        <f>IF(ISNA(MATCH(1005,Engine!$C$2:$C$1369,0)),"",INDEX('Compliance Database'!$L$2:$L$1369,MATCH(1005,Engine!$C$2:$C$1369,0)))</f>
        <v/>
      </c>
      <c r="M1018" s="9">
        <f>IF(ISNA(MATCH(1005,Engine!$C$2:$C$1369,0)),"",INDEX('Compliance Database'!$M$2:$M$1369,MATCH(1005,Engine!$C$2:$C$1369,0)))</f>
        <v/>
      </c>
      <c r="N1018" s="9">
        <f>IF(ISNA(MATCH(1005,Engine!$C$2:$C$1369,0)),"",INDEX('Compliance Database'!$N$2:$N$1369,MATCH(1005,Engine!$C$2:$C$1369,0)))</f>
        <v/>
      </c>
      <c r="O1018" s="8">
        <f>IF(ISNA(MATCH(1005,Engine!$C$2:$C$1369,0)),"",HYPERLINK(INDEX('Compliance Database'!$O$2:$O$1369,MATCH(1005,Engine!$C$2:$C$1369,0)),"Open PDF"))</f>
        <v/>
      </c>
    </row>
    <row r="1019" ht="188" customHeight="1">
      <c r="A1019" s="8">
        <f>IF(ISNA(MATCH(1006,Engine!$C$2:$C$1369,0)),"",INDEX('Compliance Database'!$A$2:$A$1369,MATCH(1006,Engine!$C$2:$C$1369,0)))</f>
        <v/>
      </c>
      <c r="B1019" s="8">
        <f>IF(ISNA(MATCH(1006,Engine!$C$2:$C$1369,0)),"",INDEX('Compliance Database'!$B$2:$B$1369,MATCH(1006,Engine!$C$2:$C$1369,0)))</f>
        <v/>
      </c>
      <c r="C1019" s="8">
        <f>IF(ISNA(MATCH(1006,Engine!$C$2:$C$1369,0)),"",INDEX('Compliance Database'!$C$2:$C$1369,MATCH(1006,Engine!$C$2:$C$1369,0)))</f>
        <v/>
      </c>
      <c r="D1019" s="9">
        <f>IF(ISNA(MATCH(1006,Engine!$C$2:$C$1369,0)),"",INDEX('Compliance Database'!$D$2:$D$1369,MATCH(1006,Engine!$C$2:$C$1369,0)))</f>
        <v/>
      </c>
      <c r="E1019" s="8">
        <f>IF(ISNA(MATCH(1006,Engine!$C$2:$C$1369,0)),"",INDEX('Compliance Database'!$E$2:$E$1369,MATCH(1006,Engine!$C$2:$C$1369,0)))</f>
        <v/>
      </c>
      <c r="F1019" s="8">
        <f>IF(ISNA(MATCH(1006,Engine!$C$2:$C$1369,0)),"",INDEX('Compliance Database'!$F$2:$F$1369,MATCH(1006,Engine!$C$2:$C$1369,0)))</f>
        <v/>
      </c>
      <c r="G1019" s="8">
        <f>IF(ISNA(MATCH(1006,Engine!$C$2:$C$1369,0)),"",INDEX('Compliance Database'!$G$2:$G$1369,MATCH(1006,Engine!$C$2:$C$1369,0)))</f>
        <v/>
      </c>
      <c r="H1019" s="9">
        <f>IF(ISNA(MATCH(1006,Engine!$C$2:$C$1369,0)),"",INDEX('Compliance Database'!$H$2:$H$1369,MATCH(1006,Engine!$C$2:$C$1369,0)))</f>
        <v/>
      </c>
      <c r="I1019" s="9">
        <f>IF(ISNA(MATCH(1006,Engine!$C$2:$C$1369,0)),"",INDEX('Compliance Database'!$I$2:$I$1369,MATCH(1006,Engine!$C$2:$C$1369,0)))</f>
        <v/>
      </c>
      <c r="J1019" s="8">
        <f>IF(ISNA(MATCH(1006,Engine!$C$2:$C$1369,0)),"",INDEX('Compliance Database'!$J$2:$J$1369,MATCH(1006,Engine!$C$2:$C$1369,0)))</f>
        <v/>
      </c>
      <c r="K1019" s="9">
        <f>IF(ISNA(MATCH(1006,Engine!$C$2:$C$1369,0)),"",INDEX('Compliance Database'!$K$2:$K$1369,MATCH(1006,Engine!$C$2:$C$1369,0)))</f>
        <v/>
      </c>
      <c r="L1019" s="9">
        <f>IF(ISNA(MATCH(1006,Engine!$C$2:$C$1369,0)),"",INDEX('Compliance Database'!$L$2:$L$1369,MATCH(1006,Engine!$C$2:$C$1369,0)))</f>
        <v/>
      </c>
      <c r="M1019" s="9">
        <f>IF(ISNA(MATCH(1006,Engine!$C$2:$C$1369,0)),"",INDEX('Compliance Database'!$M$2:$M$1369,MATCH(1006,Engine!$C$2:$C$1369,0)))</f>
        <v/>
      </c>
      <c r="N1019" s="9">
        <f>IF(ISNA(MATCH(1006,Engine!$C$2:$C$1369,0)),"",INDEX('Compliance Database'!$N$2:$N$1369,MATCH(1006,Engine!$C$2:$C$1369,0)))</f>
        <v/>
      </c>
      <c r="O1019" s="8">
        <f>IF(ISNA(MATCH(1006,Engine!$C$2:$C$1369,0)),"",HYPERLINK(INDEX('Compliance Database'!$O$2:$O$1369,MATCH(1006,Engine!$C$2:$C$1369,0)),"Open PDF"))</f>
        <v/>
      </c>
    </row>
    <row r="1020" ht="188" customHeight="1">
      <c r="A1020" s="8">
        <f>IF(ISNA(MATCH(1007,Engine!$C$2:$C$1369,0)),"",INDEX('Compliance Database'!$A$2:$A$1369,MATCH(1007,Engine!$C$2:$C$1369,0)))</f>
        <v/>
      </c>
      <c r="B1020" s="8">
        <f>IF(ISNA(MATCH(1007,Engine!$C$2:$C$1369,0)),"",INDEX('Compliance Database'!$B$2:$B$1369,MATCH(1007,Engine!$C$2:$C$1369,0)))</f>
        <v/>
      </c>
      <c r="C1020" s="8">
        <f>IF(ISNA(MATCH(1007,Engine!$C$2:$C$1369,0)),"",INDEX('Compliance Database'!$C$2:$C$1369,MATCH(1007,Engine!$C$2:$C$1369,0)))</f>
        <v/>
      </c>
      <c r="D1020" s="9">
        <f>IF(ISNA(MATCH(1007,Engine!$C$2:$C$1369,0)),"",INDEX('Compliance Database'!$D$2:$D$1369,MATCH(1007,Engine!$C$2:$C$1369,0)))</f>
        <v/>
      </c>
      <c r="E1020" s="8">
        <f>IF(ISNA(MATCH(1007,Engine!$C$2:$C$1369,0)),"",INDEX('Compliance Database'!$E$2:$E$1369,MATCH(1007,Engine!$C$2:$C$1369,0)))</f>
        <v/>
      </c>
      <c r="F1020" s="8">
        <f>IF(ISNA(MATCH(1007,Engine!$C$2:$C$1369,0)),"",INDEX('Compliance Database'!$F$2:$F$1369,MATCH(1007,Engine!$C$2:$C$1369,0)))</f>
        <v/>
      </c>
      <c r="G1020" s="8">
        <f>IF(ISNA(MATCH(1007,Engine!$C$2:$C$1369,0)),"",INDEX('Compliance Database'!$G$2:$G$1369,MATCH(1007,Engine!$C$2:$C$1369,0)))</f>
        <v/>
      </c>
      <c r="H1020" s="9">
        <f>IF(ISNA(MATCH(1007,Engine!$C$2:$C$1369,0)),"",INDEX('Compliance Database'!$H$2:$H$1369,MATCH(1007,Engine!$C$2:$C$1369,0)))</f>
        <v/>
      </c>
      <c r="I1020" s="9">
        <f>IF(ISNA(MATCH(1007,Engine!$C$2:$C$1369,0)),"",INDEX('Compliance Database'!$I$2:$I$1369,MATCH(1007,Engine!$C$2:$C$1369,0)))</f>
        <v/>
      </c>
      <c r="J1020" s="8">
        <f>IF(ISNA(MATCH(1007,Engine!$C$2:$C$1369,0)),"",INDEX('Compliance Database'!$J$2:$J$1369,MATCH(1007,Engine!$C$2:$C$1369,0)))</f>
        <v/>
      </c>
      <c r="K1020" s="9">
        <f>IF(ISNA(MATCH(1007,Engine!$C$2:$C$1369,0)),"",INDEX('Compliance Database'!$K$2:$K$1369,MATCH(1007,Engine!$C$2:$C$1369,0)))</f>
        <v/>
      </c>
      <c r="L1020" s="9">
        <f>IF(ISNA(MATCH(1007,Engine!$C$2:$C$1369,0)),"",INDEX('Compliance Database'!$L$2:$L$1369,MATCH(1007,Engine!$C$2:$C$1369,0)))</f>
        <v/>
      </c>
      <c r="M1020" s="9">
        <f>IF(ISNA(MATCH(1007,Engine!$C$2:$C$1369,0)),"",INDEX('Compliance Database'!$M$2:$M$1369,MATCH(1007,Engine!$C$2:$C$1369,0)))</f>
        <v/>
      </c>
      <c r="N1020" s="9">
        <f>IF(ISNA(MATCH(1007,Engine!$C$2:$C$1369,0)),"",INDEX('Compliance Database'!$N$2:$N$1369,MATCH(1007,Engine!$C$2:$C$1369,0)))</f>
        <v/>
      </c>
      <c r="O1020" s="8">
        <f>IF(ISNA(MATCH(1007,Engine!$C$2:$C$1369,0)),"",HYPERLINK(INDEX('Compliance Database'!$O$2:$O$1369,MATCH(1007,Engine!$C$2:$C$1369,0)),"Open PDF"))</f>
        <v/>
      </c>
    </row>
    <row r="1021" ht="188" customHeight="1">
      <c r="A1021" s="8">
        <f>IF(ISNA(MATCH(1008,Engine!$C$2:$C$1369,0)),"",INDEX('Compliance Database'!$A$2:$A$1369,MATCH(1008,Engine!$C$2:$C$1369,0)))</f>
        <v/>
      </c>
      <c r="B1021" s="8">
        <f>IF(ISNA(MATCH(1008,Engine!$C$2:$C$1369,0)),"",INDEX('Compliance Database'!$B$2:$B$1369,MATCH(1008,Engine!$C$2:$C$1369,0)))</f>
        <v/>
      </c>
      <c r="C1021" s="8">
        <f>IF(ISNA(MATCH(1008,Engine!$C$2:$C$1369,0)),"",INDEX('Compliance Database'!$C$2:$C$1369,MATCH(1008,Engine!$C$2:$C$1369,0)))</f>
        <v/>
      </c>
      <c r="D1021" s="9">
        <f>IF(ISNA(MATCH(1008,Engine!$C$2:$C$1369,0)),"",INDEX('Compliance Database'!$D$2:$D$1369,MATCH(1008,Engine!$C$2:$C$1369,0)))</f>
        <v/>
      </c>
      <c r="E1021" s="8">
        <f>IF(ISNA(MATCH(1008,Engine!$C$2:$C$1369,0)),"",INDEX('Compliance Database'!$E$2:$E$1369,MATCH(1008,Engine!$C$2:$C$1369,0)))</f>
        <v/>
      </c>
      <c r="F1021" s="8">
        <f>IF(ISNA(MATCH(1008,Engine!$C$2:$C$1369,0)),"",INDEX('Compliance Database'!$F$2:$F$1369,MATCH(1008,Engine!$C$2:$C$1369,0)))</f>
        <v/>
      </c>
      <c r="G1021" s="8">
        <f>IF(ISNA(MATCH(1008,Engine!$C$2:$C$1369,0)),"",INDEX('Compliance Database'!$G$2:$G$1369,MATCH(1008,Engine!$C$2:$C$1369,0)))</f>
        <v/>
      </c>
      <c r="H1021" s="9">
        <f>IF(ISNA(MATCH(1008,Engine!$C$2:$C$1369,0)),"",INDEX('Compliance Database'!$H$2:$H$1369,MATCH(1008,Engine!$C$2:$C$1369,0)))</f>
        <v/>
      </c>
      <c r="I1021" s="9">
        <f>IF(ISNA(MATCH(1008,Engine!$C$2:$C$1369,0)),"",INDEX('Compliance Database'!$I$2:$I$1369,MATCH(1008,Engine!$C$2:$C$1369,0)))</f>
        <v/>
      </c>
      <c r="J1021" s="8">
        <f>IF(ISNA(MATCH(1008,Engine!$C$2:$C$1369,0)),"",INDEX('Compliance Database'!$J$2:$J$1369,MATCH(1008,Engine!$C$2:$C$1369,0)))</f>
        <v/>
      </c>
      <c r="K1021" s="9">
        <f>IF(ISNA(MATCH(1008,Engine!$C$2:$C$1369,0)),"",INDEX('Compliance Database'!$K$2:$K$1369,MATCH(1008,Engine!$C$2:$C$1369,0)))</f>
        <v/>
      </c>
      <c r="L1021" s="9">
        <f>IF(ISNA(MATCH(1008,Engine!$C$2:$C$1369,0)),"",INDEX('Compliance Database'!$L$2:$L$1369,MATCH(1008,Engine!$C$2:$C$1369,0)))</f>
        <v/>
      </c>
      <c r="M1021" s="9">
        <f>IF(ISNA(MATCH(1008,Engine!$C$2:$C$1369,0)),"",INDEX('Compliance Database'!$M$2:$M$1369,MATCH(1008,Engine!$C$2:$C$1369,0)))</f>
        <v/>
      </c>
      <c r="N1021" s="9">
        <f>IF(ISNA(MATCH(1008,Engine!$C$2:$C$1369,0)),"",INDEX('Compliance Database'!$N$2:$N$1369,MATCH(1008,Engine!$C$2:$C$1369,0)))</f>
        <v/>
      </c>
      <c r="O1021" s="8">
        <f>IF(ISNA(MATCH(1008,Engine!$C$2:$C$1369,0)),"",HYPERLINK(INDEX('Compliance Database'!$O$2:$O$1369,MATCH(1008,Engine!$C$2:$C$1369,0)),"Open PDF"))</f>
        <v/>
      </c>
    </row>
    <row r="1022" ht="188" customHeight="1">
      <c r="A1022" s="8">
        <f>IF(ISNA(MATCH(1009,Engine!$C$2:$C$1369,0)),"",INDEX('Compliance Database'!$A$2:$A$1369,MATCH(1009,Engine!$C$2:$C$1369,0)))</f>
        <v/>
      </c>
      <c r="B1022" s="8">
        <f>IF(ISNA(MATCH(1009,Engine!$C$2:$C$1369,0)),"",INDEX('Compliance Database'!$B$2:$B$1369,MATCH(1009,Engine!$C$2:$C$1369,0)))</f>
        <v/>
      </c>
      <c r="C1022" s="8">
        <f>IF(ISNA(MATCH(1009,Engine!$C$2:$C$1369,0)),"",INDEX('Compliance Database'!$C$2:$C$1369,MATCH(1009,Engine!$C$2:$C$1369,0)))</f>
        <v/>
      </c>
      <c r="D1022" s="9">
        <f>IF(ISNA(MATCH(1009,Engine!$C$2:$C$1369,0)),"",INDEX('Compliance Database'!$D$2:$D$1369,MATCH(1009,Engine!$C$2:$C$1369,0)))</f>
        <v/>
      </c>
      <c r="E1022" s="8">
        <f>IF(ISNA(MATCH(1009,Engine!$C$2:$C$1369,0)),"",INDEX('Compliance Database'!$E$2:$E$1369,MATCH(1009,Engine!$C$2:$C$1369,0)))</f>
        <v/>
      </c>
      <c r="F1022" s="8">
        <f>IF(ISNA(MATCH(1009,Engine!$C$2:$C$1369,0)),"",INDEX('Compliance Database'!$F$2:$F$1369,MATCH(1009,Engine!$C$2:$C$1369,0)))</f>
        <v/>
      </c>
      <c r="G1022" s="8">
        <f>IF(ISNA(MATCH(1009,Engine!$C$2:$C$1369,0)),"",INDEX('Compliance Database'!$G$2:$G$1369,MATCH(1009,Engine!$C$2:$C$1369,0)))</f>
        <v/>
      </c>
      <c r="H1022" s="9">
        <f>IF(ISNA(MATCH(1009,Engine!$C$2:$C$1369,0)),"",INDEX('Compliance Database'!$H$2:$H$1369,MATCH(1009,Engine!$C$2:$C$1369,0)))</f>
        <v/>
      </c>
      <c r="I1022" s="9">
        <f>IF(ISNA(MATCH(1009,Engine!$C$2:$C$1369,0)),"",INDEX('Compliance Database'!$I$2:$I$1369,MATCH(1009,Engine!$C$2:$C$1369,0)))</f>
        <v/>
      </c>
      <c r="J1022" s="8">
        <f>IF(ISNA(MATCH(1009,Engine!$C$2:$C$1369,0)),"",INDEX('Compliance Database'!$J$2:$J$1369,MATCH(1009,Engine!$C$2:$C$1369,0)))</f>
        <v/>
      </c>
      <c r="K1022" s="9">
        <f>IF(ISNA(MATCH(1009,Engine!$C$2:$C$1369,0)),"",INDEX('Compliance Database'!$K$2:$K$1369,MATCH(1009,Engine!$C$2:$C$1369,0)))</f>
        <v/>
      </c>
      <c r="L1022" s="9">
        <f>IF(ISNA(MATCH(1009,Engine!$C$2:$C$1369,0)),"",INDEX('Compliance Database'!$L$2:$L$1369,MATCH(1009,Engine!$C$2:$C$1369,0)))</f>
        <v/>
      </c>
      <c r="M1022" s="9">
        <f>IF(ISNA(MATCH(1009,Engine!$C$2:$C$1369,0)),"",INDEX('Compliance Database'!$M$2:$M$1369,MATCH(1009,Engine!$C$2:$C$1369,0)))</f>
        <v/>
      </c>
      <c r="N1022" s="9">
        <f>IF(ISNA(MATCH(1009,Engine!$C$2:$C$1369,0)),"",INDEX('Compliance Database'!$N$2:$N$1369,MATCH(1009,Engine!$C$2:$C$1369,0)))</f>
        <v/>
      </c>
      <c r="O1022" s="8">
        <f>IF(ISNA(MATCH(1009,Engine!$C$2:$C$1369,0)),"",HYPERLINK(INDEX('Compliance Database'!$O$2:$O$1369,MATCH(1009,Engine!$C$2:$C$1369,0)),"Open PDF"))</f>
        <v/>
      </c>
    </row>
    <row r="1023" ht="188" customHeight="1">
      <c r="A1023" s="8">
        <f>IF(ISNA(MATCH(1010,Engine!$C$2:$C$1369,0)),"",INDEX('Compliance Database'!$A$2:$A$1369,MATCH(1010,Engine!$C$2:$C$1369,0)))</f>
        <v/>
      </c>
      <c r="B1023" s="8">
        <f>IF(ISNA(MATCH(1010,Engine!$C$2:$C$1369,0)),"",INDEX('Compliance Database'!$B$2:$B$1369,MATCH(1010,Engine!$C$2:$C$1369,0)))</f>
        <v/>
      </c>
      <c r="C1023" s="8">
        <f>IF(ISNA(MATCH(1010,Engine!$C$2:$C$1369,0)),"",INDEX('Compliance Database'!$C$2:$C$1369,MATCH(1010,Engine!$C$2:$C$1369,0)))</f>
        <v/>
      </c>
      <c r="D1023" s="9">
        <f>IF(ISNA(MATCH(1010,Engine!$C$2:$C$1369,0)),"",INDEX('Compliance Database'!$D$2:$D$1369,MATCH(1010,Engine!$C$2:$C$1369,0)))</f>
        <v/>
      </c>
      <c r="E1023" s="8">
        <f>IF(ISNA(MATCH(1010,Engine!$C$2:$C$1369,0)),"",INDEX('Compliance Database'!$E$2:$E$1369,MATCH(1010,Engine!$C$2:$C$1369,0)))</f>
        <v/>
      </c>
      <c r="F1023" s="8">
        <f>IF(ISNA(MATCH(1010,Engine!$C$2:$C$1369,0)),"",INDEX('Compliance Database'!$F$2:$F$1369,MATCH(1010,Engine!$C$2:$C$1369,0)))</f>
        <v/>
      </c>
      <c r="G1023" s="8">
        <f>IF(ISNA(MATCH(1010,Engine!$C$2:$C$1369,0)),"",INDEX('Compliance Database'!$G$2:$G$1369,MATCH(1010,Engine!$C$2:$C$1369,0)))</f>
        <v/>
      </c>
      <c r="H1023" s="9">
        <f>IF(ISNA(MATCH(1010,Engine!$C$2:$C$1369,0)),"",INDEX('Compliance Database'!$H$2:$H$1369,MATCH(1010,Engine!$C$2:$C$1369,0)))</f>
        <v/>
      </c>
      <c r="I1023" s="9">
        <f>IF(ISNA(MATCH(1010,Engine!$C$2:$C$1369,0)),"",INDEX('Compliance Database'!$I$2:$I$1369,MATCH(1010,Engine!$C$2:$C$1369,0)))</f>
        <v/>
      </c>
      <c r="J1023" s="8">
        <f>IF(ISNA(MATCH(1010,Engine!$C$2:$C$1369,0)),"",INDEX('Compliance Database'!$J$2:$J$1369,MATCH(1010,Engine!$C$2:$C$1369,0)))</f>
        <v/>
      </c>
      <c r="K1023" s="9">
        <f>IF(ISNA(MATCH(1010,Engine!$C$2:$C$1369,0)),"",INDEX('Compliance Database'!$K$2:$K$1369,MATCH(1010,Engine!$C$2:$C$1369,0)))</f>
        <v/>
      </c>
      <c r="L1023" s="9">
        <f>IF(ISNA(MATCH(1010,Engine!$C$2:$C$1369,0)),"",INDEX('Compliance Database'!$L$2:$L$1369,MATCH(1010,Engine!$C$2:$C$1369,0)))</f>
        <v/>
      </c>
      <c r="M1023" s="9">
        <f>IF(ISNA(MATCH(1010,Engine!$C$2:$C$1369,0)),"",INDEX('Compliance Database'!$M$2:$M$1369,MATCH(1010,Engine!$C$2:$C$1369,0)))</f>
        <v/>
      </c>
      <c r="N1023" s="9">
        <f>IF(ISNA(MATCH(1010,Engine!$C$2:$C$1369,0)),"",INDEX('Compliance Database'!$N$2:$N$1369,MATCH(1010,Engine!$C$2:$C$1369,0)))</f>
        <v/>
      </c>
      <c r="O1023" s="8">
        <f>IF(ISNA(MATCH(1010,Engine!$C$2:$C$1369,0)),"",HYPERLINK(INDEX('Compliance Database'!$O$2:$O$1369,MATCH(1010,Engine!$C$2:$C$1369,0)),"Open PDF"))</f>
        <v/>
      </c>
    </row>
    <row r="1024" ht="188" customHeight="1">
      <c r="A1024" s="8">
        <f>IF(ISNA(MATCH(1011,Engine!$C$2:$C$1369,0)),"",INDEX('Compliance Database'!$A$2:$A$1369,MATCH(1011,Engine!$C$2:$C$1369,0)))</f>
        <v/>
      </c>
      <c r="B1024" s="8">
        <f>IF(ISNA(MATCH(1011,Engine!$C$2:$C$1369,0)),"",INDEX('Compliance Database'!$B$2:$B$1369,MATCH(1011,Engine!$C$2:$C$1369,0)))</f>
        <v/>
      </c>
      <c r="C1024" s="8">
        <f>IF(ISNA(MATCH(1011,Engine!$C$2:$C$1369,0)),"",INDEX('Compliance Database'!$C$2:$C$1369,MATCH(1011,Engine!$C$2:$C$1369,0)))</f>
        <v/>
      </c>
      <c r="D1024" s="9">
        <f>IF(ISNA(MATCH(1011,Engine!$C$2:$C$1369,0)),"",INDEX('Compliance Database'!$D$2:$D$1369,MATCH(1011,Engine!$C$2:$C$1369,0)))</f>
        <v/>
      </c>
      <c r="E1024" s="8">
        <f>IF(ISNA(MATCH(1011,Engine!$C$2:$C$1369,0)),"",INDEX('Compliance Database'!$E$2:$E$1369,MATCH(1011,Engine!$C$2:$C$1369,0)))</f>
        <v/>
      </c>
      <c r="F1024" s="8">
        <f>IF(ISNA(MATCH(1011,Engine!$C$2:$C$1369,0)),"",INDEX('Compliance Database'!$F$2:$F$1369,MATCH(1011,Engine!$C$2:$C$1369,0)))</f>
        <v/>
      </c>
      <c r="G1024" s="8">
        <f>IF(ISNA(MATCH(1011,Engine!$C$2:$C$1369,0)),"",INDEX('Compliance Database'!$G$2:$G$1369,MATCH(1011,Engine!$C$2:$C$1369,0)))</f>
        <v/>
      </c>
      <c r="H1024" s="9">
        <f>IF(ISNA(MATCH(1011,Engine!$C$2:$C$1369,0)),"",INDEX('Compliance Database'!$H$2:$H$1369,MATCH(1011,Engine!$C$2:$C$1369,0)))</f>
        <v/>
      </c>
      <c r="I1024" s="9">
        <f>IF(ISNA(MATCH(1011,Engine!$C$2:$C$1369,0)),"",INDEX('Compliance Database'!$I$2:$I$1369,MATCH(1011,Engine!$C$2:$C$1369,0)))</f>
        <v/>
      </c>
      <c r="J1024" s="8">
        <f>IF(ISNA(MATCH(1011,Engine!$C$2:$C$1369,0)),"",INDEX('Compliance Database'!$J$2:$J$1369,MATCH(1011,Engine!$C$2:$C$1369,0)))</f>
        <v/>
      </c>
      <c r="K1024" s="9">
        <f>IF(ISNA(MATCH(1011,Engine!$C$2:$C$1369,0)),"",INDEX('Compliance Database'!$K$2:$K$1369,MATCH(1011,Engine!$C$2:$C$1369,0)))</f>
        <v/>
      </c>
      <c r="L1024" s="9">
        <f>IF(ISNA(MATCH(1011,Engine!$C$2:$C$1369,0)),"",INDEX('Compliance Database'!$L$2:$L$1369,MATCH(1011,Engine!$C$2:$C$1369,0)))</f>
        <v/>
      </c>
      <c r="M1024" s="9">
        <f>IF(ISNA(MATCH(1011,Engine!$C$2:$C$1369,0)),"",INDEX('Compliance Database'!$M$2:$M$1369,MATCH(1011,Engine!$C$2:$C$1369,0)))</f>
        <v/>
      </c>
      <c r="N1024" s="9">
        <f>IF(ISNA(MATCH(1011,Engine!$C$2:$C$1369,0)),"",INDEX('Compliance Database'!$N$2:$N$1369,MATCH(1011,Engine!$C$2:$C$1369,0)))</f>
        <v/>
      </c>
      <c r="O1024" s="8">
        <f>IF(ISNA(MATCH(1011,Engine!$C$2:$C$1369,0)),"",HYPERLINK(INDEX('Compliance Database'!$O$2:$O$1369,MATCH(1011,Engine!$C$2:$C$1369,0)),"Open PDF"))</f>
        <v/>
      </c>
    </row>
    <row r="1025" ht="188" customHeight="1">
      <c r="A1025" s="8">
        <f>IF(ISNA(MATCH(1012,Engine!$C$2:$C$1369,0)),"",INDEX('Compliance Database'!$A$2:$A$1369,MATCH(1012,Engine!$C$2:$C$1369,0)))</f>
        <v/>
      </c>
      <c r="B1025" s="8">
        <f>IF(ISNA(MATCH(1012,Engine!$C$2:$C$1369,0)),"",INDEX('Compliance Database'!$B$2:$B$1369,MATCH(1012,Engine!$C$2:$C$1369,0)))</f>
        <v/>
      </c>
      <c r="C1025" s="8">
        <f>IF(ISNA(MATCH(1012,Engine!$C$2:$C$1369,0)),"",INDEX('Compliance Database'!$C$2:$C$1369,MATCH(1012,Engine!$C$2:$C$1369,0)))</f>
        <v/>
      </c>
      <c r="D1025" s="9">
        <f>IF(ISNA(MATCH(1012,Engine!$C$2:$C$1369,0)),"",INDEX('Compliance Database'!$D$2:$D$1369,MATCH(1012,Engine!$C$2:$C$1369,0)))</f>
        <v/>
      </c>
      <c r="E1025" s="8">
        <f>IF(ISNA(MATCH(1012,Engine!$C$2:$C$1369,0)),"",INDEX('Compliance Database'!$E$2:$E$1369,MATCH(1012,Engine!$C$2:$C$1369,0)))</f>
        <v/>
      </c>
      <c r="F1025" s="8">
        <f>IF(ISNA(MATCH(1012,Engine!$C$2:$C$1369,0)),"",INDEX('Compliance Database'!$F$2:$F$1369,MATCH(1012,Engine!$C$2:$C$1369,0)))</f>
        <v/>
      </c>
      <c r="G1025" s="8">
        <f>IF(ISNA(MATCH(1012,Engine!$C$2:$C$1369,0)),"",INDEX('Compliance Database'!$G$2:$G$1369,MATCH(1012,Engine!$C$2:$C$1369,0)))</f>
        <v/>
      </c>
      <c r="H1025" s="9">
        <f>IF(ISNA(MATCH(1012,Engine!$C$2:$C$1369,0)),"",INDEX('Compliance Database'!$H$2:$H$1369,MATCH(1012,Engine!$C$2:$C$1369,0)))</f>
        <v/>
      </c>
      <c r="I1025" s="9">
        <f>IF(ISNA(MATCH(1012,Engine!$C$2:$C$1369,0)),"",INDEX('Compliance Database'!$I$2:$I$1369,MATCH(1012,Engine!$C$2:$C$1369,0)))</f>
        <v/>
      </c>
      <c r="J1025" s="8">
        <f>IF(ISNA(MATCH(1012,Engine!$C$2:$C$1369,0)),"",INDEX('Compliance Database'!$J$2:$J$1369,MATCH(1012,Engine!$C$2:$C$1369,0)))</f>
        <v/>
      </c>
      <c r="K1025" s="9">
        <f>IF(ISNA(MATCH(1012,Engine!$C$2:$C$1369,0)),"",INDEX('Compliance Database'!$K$2:$K$1369,MATCH(1012,Engine!$C$2:$C$1369,0)))</f>
        <v/>
      </c>
      <c r="L1025" s="9">
        <f>IF(ISNA(MATCH(1012,Engine!$C$2:$C$1369,0)),"",INDEX('Compliance Database'!$L$2:$L$1369,MATCH(1012,Engine!$C$2:$C$1369,0)))</f>
        <v/>
      </c>
      <c r="M1025" s="9">
        <f>IF(ISNA(MATCH(1012,Engine!$C$2:$C$1369,0)),"",INDEX('Compliance Database'!$M$2:$M$1369,MATCH(1012,Engine!$C$2:$C$1369,0)))</f>
        <v/>
      </c>
      <c r="N1025" s="9">
        <f>IF(ISNA(MATCH(1012,Engine!$C$2:$C$1369,0)),"",INDEX('Compliance Database'!$N$2:$N$1369,MATCH(1012,Engine!$C$2:$C$1369,0)))</f>
        <v/>
      </c>
      <c r="O1025" s="8">
        <f>IF(ISNA(MATCH(1012,Engine!$C$2:$C$1369,0)),"",HYPERLINK(INDEX('Compliance Database'!$O$2:$O$1369,MATCH(1012,Engine!$C$2:$C$1369,0)),"Open PDF"))</f>
        <v/>
      </c>
    </row>
    <row r="1026" ht="188" customHeight="1">
      <c r="A1026" s="8">
        <f>IF(ISNA(MATCH(1013,Engine!$C$2:$C$1369,0)),"",INDEX('Compliance Database'!$A$2:$A$1369,MATCH(1013,Engine!$C$2:$C$1369,0)))</f>
        <v/>
      </c>
      <c r="B1026" s="8">
        <f>IF(ISNA(MATCH(1013,Engine!$C$2:$C$1369,0)),"",INDEX('Compliance Database'!$B$2:$B$1369,MATCH(1013,Engine!$C$2:$C$1369,0)))</f>
        <v/>
      </c>
      <c r="C1026" s="8">
        <f>IF(ISNA(MATCH(1013,Engine!$C$2:$C$1369,0)),"",INDEX('Compliance Database'!$C$2:$C$1369,MATCH(1013,Engine!$C$2:$C$1369,0)))</f>
        <v/>
      </c>
      <c r="D1026" s="9">
        <f>IF(ISNA(MATCH(1013,Engine!$C$2:$C$1369,0)),"",INDEX('Compliance Database'!$D$2:$D$1369,MATCH(1013,Engine!$C$2:$C$1369,0)))</f>
        <v/>
      </c>
      <c r="E1026" s="8">
        <f>IF(ISNA(MATCH(1013,Engine!$C$2:$C$1369,0)),"",INDEX('Compliance Database'!$E$2:$E$1369,MATCH(1013,Engine!$C$2:$C$1369,0)))</f>
        <v/>
      </c>
      <c r="F1026" s="8">
        <f>IF(ISNA(MATCH(1013,Engine!$C$2:$C$1369,0)),"",INDEX('Compliance Database'!$F$2:$F$1369,MATCH(1013,Engine!$C$2:$C$1369,0)))</f>
        <v/>
      </c>
      <c r="G1026" s="8">
        <f>IF(ISNA(MATCH(1013,Engine!$C$2:$C$1369,0)),"",INDEX('Compliance Database'!$G$2:$G$1369,MATCH(1013,Engine!$C$2:$C$1369,0)))</f>
        <v/>
      </c>
      <c r="H1026" s="9">
        <f>IF(ISNA(MATCH(1013,Engine!$C$2:$C$1369,0)),"",INDEX('Compliance Database'!$H$2:$H$1369,MATCH(1013,Engine!$C$2:$C$1369,0)))</f>
        <v/>
      </c>
      <c r="I1026" s="9">
        <f>IF(ISNA(MATCH(1013,Engine!$C$2:$C$1369,0)),"",INDEX('Compliance Database'!$I$2:$I$1369,MATCH(1013,Engine!$C$2:$C$1369,0)))</f>
        <v/>
      </c>
      <c r="J1026" s="8">
        <f>IF(ISNA(MATCH(1013,Engine!$C$2:$C$1369,0)),"",INDEX('Compliance Database'!$J$2:$J$1369,MATCH(1013,Engine!$C$2:$C$1369,0)))</f>
        <v/>
      </c>
      <c r="K1026" s="9">
        <f>IF(ISNA(MATCH(1013,Engine!$C$2:$C$1369,0)),"",INDEX('Compliance Database'!$K$2:$K$1369,MATCH(1013,Engine!$C$2:$C$1369,0)))</f>
        <v/>
      </c>
      <c r="L1026" s="9">
        <f>IF(ISNA(MATCH(1013,Engine!$C$2:$C$1369,0)),"",INDEX('Compliance Database'!$L$2:$L$1369,MATCH(1013,Engine!$C$2:$C$1369,0)))</f>
        <v/>
      </c>
      <c r="M1026" s="9">
        <f>IF(ISNA(MATCH(1013,Engine!$C$2:$C$1369,0)),"",INDEX('Compliance Database'!$M$2:$M$1369,MATCH(1013,Engine!$C$2:$C$1369,0)))</f>
        <v/>
      </c>
      <c r="N1026" s="9">
        <f>IF(ISNA(MATCH(1013,Engine!$C$2:$C$1369,0)),"",INDEX('Compliance Database'!$N$2:$N$1369,MATCH(1013,Engine!$C$2:$C$1369,0)))</f>
        <v/>
      </c>
      <c r="O1026" s="8">
        <f>IF(ISNA(MATCH(1013,Engine!$C$2:$C$1369,0)),"",HYPERLINK(INDEX('Compliance Database'!$O$2:$O$1369,MATCH(1013,Engine!$C$2:$C$1369,0)),"Open PDF"))</f>
        <v/>
      </c>
    </row>
    <row r="1027" ht="188" customHeight="1">
      <c r="A1027" s="8">
        <f>IF(ISNA(MATCH(1014,Engine!$C$2:$C$1369,0)),"",INDEX('Compliance Database'!$A$2:$A$1369,MATCH(1014,Engine!$C$2:$C$1369,0)))</f>
        <v/>
      </c>
      <c r="B1027" s="8">
        <f>IF(ISNA(MATCH(1014,Engine!$C$2:$C$1369,0)),"",INDEX('Compliance Database'!$B$2:$B$1369,MATCH(1014,Engine!$C$2:$C$1369,0)))</f>
        <v/>
      </c>
      <c r="C1027" s="8">
        <f>IF(ISNA(MATCH(1014,Engine!$C$2:$C$1369,0)),"",INDEX('Compliance Database'!$C$2:$C$1369,MATCH(1014,Engine!$C$2:$C$1369,0)))</f>
        <v/>
      </c>
      <c r="D1027" s="9">
        <f>IF(ISNA(MATCH(1014,Engine!$C$2:$C$1369,0)),"",INDEX('Compliance Database'!$D$2:$D$1369,MATCH(1014,Engine!$C$2:$C$1369,0)))</f>
        <v/>
      </c>
      <c r="E1027" s="8">
        <f>IF(ISNA(MATCH(1014,Engine!$C$2:$C$1369,0)),"",INDEX('Compliance Database'!$E$2:$E$1369,MATCH(1014,Engine!$C$2:$C$1369,0)))</f>
        <v/>
      </c>
      <c r="F1027" s="8">
        <f>IF(ISNA(MATCH(1014,Engine!$C$2:$C$1369,0)),"",INDEX('Compliance Database'!$F$2:$F$1369,MATCH(1014,Engine!$C$2:$C$1369,0)))</f>
        <v/>
      </c>
      <c r="G1027" s="8">
        <f>IF(ISNA(MATCH(1014,Engine!$C$2:$C$1369,0)),"",INDEX('Compliance Database'!$G$2:$G$1369,MATCH(1014,Engine!$C$2:$C$1369,0)))</f>
        <v/>
      </c>
      <c r="H1027" s="9">
        <f>IF(ISNA(MATCH(1014,Engine!$C$2:$C$1369,0)),"",INDEX('Compliance Database'!$H$2:$H$1369,MATCH(1014,Engine!$C$2:$C$1369,0)))</f>
        <v/>
      </c>
      <c r="I1027" s="9">
        <f>IF(ISNA(MATCH(1014,Engine!$C$2:$C$1369,0)),"",INDEX('Compliance Database'!$I$2:$I$1369,MATCH(1014,Engine!$C$2:$C$1369,0)))</f>
        <v/>
      </c>
      <c r="J1027" s="8">
        <f>IF(ISNA(MATCH(1014,Engine!$C$2:$C$1369,0)),"",INDEX('Compliance Database'!$J$2:$J$1369,MATCH(1014,Engine!$C$2:$C$1369,0)))</f>
        <v/>
      </c>
      <c r="K1027" s="9">
        <f>IF(ISNA(MATCH(1014,Engine!$C$2:$C$1369,0)),"",INDEX('Compliance Database'!$K$2:$K$1369,MATCH(1014,Engine!$C$2:$C$1369,0)))</f>
        <v/>
      </c>
      <c r="L1027" s="9">
        <f>IF(ISNA(MATCH(1014,Engine!$C$2:$C$1369,0)),"",INDEX('Compliance Database'!$L$2:$L$1369,MATCH(1014,Engine!$C$2:$C$1369,0)))</f>
        <v/>
      </c>
      <c r="M1027" s="9">
        <f>IF(ISNA(MATCH(1014,Engine!$C$2:$C$1369,0)),"",INDEX('Compliance Database'!$M$2:$M$1369,MATCH(1014,Engine!$C$2:$C$1369,0)))</f>
        <v/>
      </c>
      <c r="N1027" s="9">
        <f>IF(ISNA(MATCH(1014,Engine!$C$2:$C$1369,0)),"",INDEX('Compliance Database'!$N$2:$N$1369,MATCH(1014,Engine!$C$2:$C$1369,0)))</f>
        <v/>
      </c>
      <c r="O1027" s="8">
        <f>IF(ISNA(MATCH(1014,Engine!$C$2:$C$1369,0)),"",HYPERLINK(INDEX('Compliance Database'!$O$2:$O$1369,MATCH(1014,Engine!$C$2:$C$1369,0)),"Open PDF"))</f>
        <v/>
      </c>
    </row>
    <row r="1028" ht="188" customHeight="1">
      <c r="A1028" s="8">
        <f>IF(ISNA(MATCH(1015,Engine!$C$2:$C$1369,0)),"",INDEX('Compliance Database'!$A$2:$A$1369,MATCH(1015,Engine!$C$2:$C$1369,0)))</f>
        <v/>
      </c>
      <c r="B1028" s="8">
        <f>IF(ISNA(MATCH(1015,Engine!$C$2:$C$1369,0)),"",INDEX('Compliance Database'!$B$2:$B$1369,MATCH(1015,Engine!$C$2:$C$1369,0)))</f>
        <v/>
      </c>
      <c r="C1028" s="8">
        <f>IF(ISNA(MATCH(1015,Engine!$C$2:$C$1369,0)),"",INDEX('Compliance Database'!$C$2:$C$1369,MATCH(1015,Engine!$C$2:$C$1369,0)))</f>
        <v/>
      </c>
      <c r="D1028" s="9">
        <f>IF(ISNA(MATCH(1015,Engine!$C$2:$C$1369,0)),"",INDEX('Compliance Database'!$D$2:$D$1369,MATCH(1015,Engine!$C$2:$C$1369,0)))</f>
        <v/>
      </c>
      <c r="E1028" s="8">
        <f>IF(ISNA(MATCH(1015,Engine!$C$2:$C$1369,0)),"",INDEX('Compliance Database'!$E$2:$E$1369,MATCH(1015,Engine!$C$2:$C$1369,0)))</f>
        <v/>
      </c>
      <c r="F1028" s="8">
        <f>IF(ISNA(MATCH(1015,Engine!$C$2:$C$1369,0)),"",INDEX('Compliance Database'!$F$2:$F$1369,MATCH(1015,Engine!$C$2:$C$1369,0)))</f>
        <v/>
      </c>
      <c r="G1028" s="8">
        <f>IF(ISNA(MATCH(1015,Engine!$C$2:$C$1369,0)),"",INDEX('Compliance Database'!$G$2:$G$1369,MATCH(1015,Engine!$C$2:$C$1369,0)))</f>
        <v/>
      </c>
      <c r="H1028" s="9">
        <f>IF(ISNA(MATCH(1015,Engine!$C$2:$C$1369,0)),"",INDEX('Compliance Database'!$H$2:$H$1369,MATCH(1015,Engine!$C$2:$C$1369,0)))</f>
        <v/>
      </c>
      <c r="I1028" s="9">
        <f>IF(ISNA(MATCH(1015,Engine!$C$2:$C$1369,0)),"",INDEX('Compliance Database'!$I$2:$I$1369,MATCH(1015,Engine!$C$2:$C$1369,0)))</f>
        <v/>
      </c>
      <c r="J1028" s="8">
        <f>IF(ISNA(MATCH(1015,Engine!$C$2:$C$1369,0)),"",INDEX('Compliance Database'!$J$2:$J$1369,MATCH(1015,Engine!$C$2:$C$1369,0)))</f>
        <v/>
      </c>
      <c r="K1028" s="9">
        <f>IF(ISNA(MATCH(1015,Engine!$C$2:$C$1369,0)),"",INDEX('Compliance Database'!$K$2:$K$1369,MATCH(1015,Engine!$C$2:$C$1369,0)))</f>
        <v/>
      </c>
      <c r="L1028" s="9">
        <f>IF(ISNA(MATCH(1015,Engine!$C$2:$C$1369,0)),"",INDEX('Compliance Database'!$L$2:$L$1369,MATCH(1015,Engine!$C$2:$C$1369,0)))</f>
        <v/>
      </c>
      <c r="M1028" s="9">
        <f>IF(ISNA(MATCH(1015,Engine!$C$2:$C$1369,0)),"",INDEX('Compliance Database'!$M$2:$M$1369,MATCH(1015,Engine!$C$2:$C$1369,0)))</f>
        <v/>
      </c>
      <c r="N1028" s="9">
        <f>IF(ISNA(MATCH(1015,Engine!$C$2:$C$1369,0)),"",INDEX('Compliance Database'!$N$2:$N$1369,MATCH(1015,Engine!$C$2:$C$1369,0)))</f>
        <v/>
      </c>
      <c r="O1028" s="8">
        <f>IF(ISNA(MATCH(1015,Engine!$C$2:$C$1369,0)),"",HYPERLINK(INDEX('Compliance Database'!$O$2:$O$1369,MATCH(1015,Engine!$C$2:$C$1369,0)),"Open PDF"))</f>
        <v/>
      </c>
    </row>
    <row r="1029" ht="188" customHeight="1">
      <c r="A1029" s="8">
        <f>IF(ISNA(MATCH(1016,Engine!$C$2:$C$1369,0)),"",INDEX('Compliance Database'!$A$2:$A$1369,MATCH(1016,Engine!$C$2:$C$1369,0)))</f>
        <v/>
      </c>
      <c r="B1029" s="8">
        <f>IF(ISNA(MATCH(1016,Engine!$C$2:$C$1369,0)),"",INDEX('Compliance Database'!$B$2:$B$1369,MATCH(1016,Engine!$C$2:$C$1369,0)))</f>
        <v/>
      </c>
      <c r="C1029" s="8">
        <f>IF(ISNA(MATCH(1016,Engine!$C$2:$C$1369,0)),"",INDEX('Compliance Database'!$C$2:$C$1369,MATCH(1016,Engine!$C$2:$C$1369,0)))</f>
        <v/>
      </c>
      <c r="D1029" s="9">
        <f>IF(ISNA(MATCH(1016,Engine!$C$2:$C$1369,0)),"",INDEX('Compliance Database'!$D$2:$D$1369,MATCH(1016,Engine!$C$2:$C$1369,0)))</f>
        <v/>
      </c>
      <c r="E1029" s="8">
        <f>IF(ISNA(MATCH(1016,Engine!$C$2:$C$1369,0)),"",INDEX('Compliance Database'!$E$2:$E$1369,MATCH(1016,Engine!$C$2:$C$1369,0)))</f>
        <v/>
      </c>
      <c r="F1029" s="8">
        <f>IF(ISNA(MATCH(1016,Engine!$C$2:$C$1369,0)),"",INDEX('Compliance Database'!$F$2:$F$1369,MATCH(1016,Engine!$C$2:$C$1369,0)))</f>
        <v/>
      </c>
      <c r="G1029" s="8">
        <f>IF(ISNA(MATCH(1016,Engine!$C$2:$C$1369,0)),"",INDEX('Compliance Database'!$G$2:$G$1369,MATCH(1016,Engine!$C$2:$C$1369,0)))</f>
        <v/>
      </c>
      <c r="H1029" s="9">
        <f>IF(ISNA(MATCH(1016,Engine!$C$2:$C$1369,0)),"",INDEX('Compliance Database'!$H$2:$H$1369,MATCH(1016,Engine!$C$2:$C$1369,0)))</f>
        <v/>
      </c>
      <c r="I1029" s="9">
        <f>IF(ISNA(MATCH(1016,Engine!$C$2:$C$1369,0)),"",INDEX('Compliance Database'!$I$2:$I$1369,MATCH(1016,Engine!$C$2:$C$1369,0)))</f>
        <v/>
      </c>
      <c r="J1029" s="8">
        <f>IF(ISNA(MATCH(1016,Engine!$C$2:$C$1369,0)),"",INDEX('Compliance Database'!$J$2:$J$1369,MATCH(1016,Engine!$C$2:$C$1369,0)))</f>
        <v/>
      </c>
      <c r="K1029" s="9">
        <f>IF(ISNA(MATCH(1016,Engine!$C$2:$C$1369,0)),"",INDEX('Compliance Database'!$K$2:$K$1369,MATCH(1016,Engine!$C$2:$C$1369,0)))</f>
        <v/>
      </c>
      <c r="L1029" s="9">
        <f>IF(ISNA(MATCH(1016,Engine!$C$2:$C$1369,0)),"",INDEX('Compliance Database'!$L$2:$L$1369,MATCH(1016,Engine!$C$2:$C$1369,0)))</f>
        <v/>
      </c>
      <c r="M1029" s="9">
        <f>IF(ISNA(MATCH(1016,Engine!$C$2:$C$1369,0)),"",INDEX('Compliance Database'!$M$2:$M$1369,MATCH(1016,Engine!$C$2:$C$1369,0)))</f>
        <v/>
      </c>
      <c r="N1029" s="9">
        <f>IF(ISNA(MATCH(1016,Engine!$C$2:$C$1369,0)),"",INDEX('Compliance Database'!$N$2:$N$1369,MATCH(1016,Engine!$C$2:$C$1369,0)))</f>
        <v/>
      </c>
      <c r="O1029" s="8">
        <f>IF(ISNA(MATCH(1016,Engine!$C$2:$C$1369,0)),"",HYPERLINK(INDEX('Compliance Database'!$O$2:$O$1369,MATCH(1016,Engine!$C$2:$C$1369,0)),"Open PDF"))</f>
        <v/>
      </c>
    </row>
    <row r="1030" ht="188" customHeight="1">
      <c r="A1030" s="8">
        <f>IF(ISNA(MATCH(1017,Engine!$C$2:$C$1369,0)),"",INDEX('Compliance Database'!$A$2:$A$1369,MATCH(1017,Engine!$C$2:$C$1369,0)))</f>
        <v/>
      </c>
      <c r="B1030" s="8">
        <f>IF(ISNA(MATCH(1017,Engine!$C$2:$C$1369,0)),"",INDEX('Compliance Database'!$B$2:$B$1369,MATCH(1017,Engine!$C$2:$C$1369,0)))</f>
        <v/>
      </c>
      <c r="C1030" s="8">
        <f>IF(ISNA(MATCH(1017,Engine!$C$2:$C$1369,0)),"",INDEX('Compliance Database'!$C$2:$C$1369,MATCH(1017,Engine!$C$2:$C$1369,0)))</f>
        <v/>
      </c>
      <c r="D1030" s="9">
        <f>IF(ISNA(MATCH(1017,Engine!$C$2:$C$1369,0)),"",INDEX('Compliance Database'!$D$2:$D$1369,MATCH(1017,Engine!$C$2:$C$1369,0)))</f>
        <v/>
      </c>
      <c r="E1030" s="8">
        <f>IF(ISNA(MATCH(1017,Engine!$C$2:$C$1369,0)),"",INDEX('Compliance Database'!$E$2:$E$1369,MATCH(1017,Engine!$C$2:$C$1369,0)))</f>
        <v/>
      </c>
      <c r="F1030" s="8">
        <f>IF(ISNA(MATCH(1017,Engine!$C$2:$C$1369,0)),"",INDEX('Compliance Database'!$F$2:$F$1369,MATCH(1017,Engine!$C$2:$C$1369,0)))</f>
        <v/>
      </c>
      <c r="G1030" s="8">
        <f>IF(ISNA(MATCH(1017,Engine!$C$2:$C$1369,0)),"",INDEX('Compliance Database'!$G$2:$G$1369,MATCH(1017,Engine!$C$2:$C$1369,0)))</f>
        <v/>
      </c>
      <c r="H1030" s="9">
        <f>IF(ISNA(MATCH(1017,Engine!$C$2:$C$1369,0)),"",INDEX('Compliance Database'!$H$2:$H$1369,MATCH(1017,Engine!$C$2:$C$1369,0)))</f>
        <v/>
      </c>
      <c r="I1030" s="9">
        <f>IF(ISNA(MATCH(1017,Engine!$C$2:$C$1369,0)),"",INDEX('Compliance Database'!$I$2:$I$1369,MATCH(1017,Engine!$C$2:$C$1369,0)))</f>
        <v/>
      </c>
      <c r="J1030" s="8">
        <f>IF(ISNA(MATCH(1017,Engine!$C$2:$C$1369,0)),"",INDEX('Compliance Database'!$J$2:$J$1369,MATCH(1017,Engine!$C$2:$C$1369,0)))</f>
        <v/>
      </c>
      <c r="K1030" s="9">
        <f>IF(ISNA(MATCH(1017,Engine!$C$2:$C$1369,0)),"",INDEX('Compliance Database'!$K$2:$K$1369,MATCH(1017,Engine!$C$2:$C$1369,0)))</f>
        <v/>
      </c>
      <c r="L1030" s="9">
        <f>IF(ISNA(MATCH(1017,Engine!$C$2:$C$1369,0)),"",INDEX('Compliance Database'!$L$2:$L$1369,MATCH(1017,Engine!$C$2:$C$1369,0)))</f>
        <v/>
      </c>
      <c r="M1030" s="9">
        <f>IF(ISNA(MATCH(1017,Engine!$C$2:$C$1369,0)),"",INDEX('Compliance Database'!$M$2:$M$1369,MATCH(1017,Engine!$C$2:$C$1369,0)))</f>
        <v/>
      </c>
      <c r="N1030" s="9">
        <f>IF(ISNA(MATCH(1017,Engine!$C$2:$C$1369,0)),"",INDEX('Compliance Database'!$N$2:$N$1369,MATCH(1017,Engine!$C$2:$C$1369,0)))</f>
        <v/>
      </c>
      <c r="O1030" s="8">
        <f>IF(ISNA(MATCH(1017,Engine!$C$2:$C$1369,0)),"",HYPERLINK(INDEX('Compliance Database'!$O$2:$O$1369,MATCH(1017,Engine!$C$2:$C$1369,0)),"Open PDF"))</f>
        <v/>
      </c>
    </row>
    <row r="1031" ht="188" customHeight="1">
      <c r="A1031" s="8">
        <f>IF(ISNA(MATCH(1018,Engine!$C$2:$C$1369,0)),"",INDEX('Compliance Database'!$A$2:$A$1369,MATCH(1018,Engine!$C$2:$C$1369,0)))</f>
        <v/>
      </c>
      <c r="B1031" s="8">
        <f>IF(ISNA(MATCH(1018,Engine!$C$2:$C$1369,0)),"",INDEX('Compliance Database'!$B$2:$B$1369,MATCH(1018,Engine!$C$2:$C$1369,0)))</f>
        <v/>
      </c>
      <c r="C1031" s="8">
        <f>IF(ISNA(MATCH(1018,Engine!$C$2:$C$1369,0)),"",INDEX('Compliance Database'!$C$2:$C$1369,MATCH(1018,Engine!$C$2:$C$1369,0)))</f>
        <v/>
      </c>
      <c r="D1031" s="9">
        <f>IF(ISNA(MATCH(1018,Engine!$C$2:$C$1369,0)),"",INDEX('Compliance Database'!$D$2:$D$1369,MATCH(1018,Engine!$C$2:$C$1369,0)))</f>
        <v/>
      </c>
      <c r="E1031" s="8">
        <f>IF(ISNA(MATCH(1018,Engine!$C$2:$C$1369,0)),"",INDEX('Compliance Database'!$E$2:$E$1369,MATCH(1018,Engine!$C$2:$C$1369,0)))</f>
        <v/>
      </c>
      <c r="F1031" s="8">
        <f>IF(ISNA(MATCH(1018,Engine!$C$2:$C$1369,0)),"",INDEX('Compliance Database'!$F$2:$F$1369,MATCH(1018,Engine!$C$2:$C$1369,0)))</f>
        <v/>
      </c>
      <c r="G1031" s="8">
        <f>IF(ISNA(MATCH(1018,Engine!$C$2:$C$1369,0)),"",INDEX('Compliance Database'!$G$2:$G$1369,MATCH(1018,Engine!$C$2:$C$1369,0)))</f>
        <v/>
      </c>
      <c r="H1031" s="9">
        <f>IF(ISNA(MATCH(1018,Engine!$C$2:$C$1369,0)),"",INDEX('Compliance Database'!$H$2:$H$1369,MATCH(1018,Engine!$C$2:$C$1369,0)))</f>
        <v/>
      </c>
      <c r="I1031" s="9">
        <f>IF(ISNA(MATCH(1018,Engine!$C$2:$C$1369,0)),"",INDEX('Compliance Database'!$I$2:$I$1369,MATCH(1018,Engine!$C$2:$C$1369,0)))</f>
        <v/>
      </c>
      <c r="J1031" s="8">
        <f>IF(ISNA(MATCH(1018,Engine!$C$2:$C$1369,0)),"",INDEX('Compliance Database'!$J$2:$J$1369,MATCH(1018,Engine!$C$2:$C$1369,0)))</f>
        <v/>
      </c>
      <c r="K1031" s="9">
        <f>IF(ISNA(MATCH(1018,Engine!$C$2:$C$1369,0)),"",INDEX('Compliance Database'!$K$2:$K$1369,MATCH(1018,Engine!$C$2:$C$1369,0)))</f>
        <v/>
      </c>
      <c r="L1031" s="9">
        <f>IF(ISNA(MATCH(1018,Engine!$C$2:$C$1369,0)),"",INDEX('Compliance Database'!$L$2:$L$1369,MATCH(1018,Engine!$C$2:$C$1369,0)))</f>
        <v/>
      </c>
      <c r="M1031" s="9">
        <f>IF(ISNA(MATCH(1018,Engine!$C$2:$C$1369,0)),"",INDEX('Compliance Database'!$M$2:$M$1369,MATCH(1018,Engine!$C$2:$C$1369,0)))</f>
        <v/>
      </c>
      <c r="N1031" s="9">
        <f>IF(ISNA(MATCH(1018,Engine!$C$2:$C$1369,0)),"",INDEX('Compliance Database'!$N$2:$N$1369,MATCH(1018,Engine!$C$2:$C$1369,0)))</f>
        <v/>
      </c>
      <c r="O1031" s="8">
        <f>IF(ISNA(MATCH(1018,Engine!$C$2:$C$1369,0)),"",HYPERLINK(INDEX('Compliance Database'!$O$2:$O$1369,MATCH(1018,Engine!$C$2:$C$1369,0)),"Open PDF"))</f>
        <v/>
      </c>
    </row>
    <row r="1032" ht="188" customHeight="1">
      <c r="A1032" s="8">
        <f>IF(ISNA(MATCH(1019,Engine!$C$2:$C$1369,0)),"",INDEX('Compliance Database'!$A$2:$A$1369,MATCH(1019,Engine!$C$2:$C$1369,0)))</f>
        <v/>
      </c>
      <c r="B1032" s="8">
        <f>IF(ISNA(MATCH(1019,Engine!$C$2:$C$1369,0)),"",INDEX('Compliance Database'!$B$2:$B$1369,MATCH(1019,Engine!$C$2:$C$1369,0)))</f>
        <v/>
      </c>
      <c r="C1032" s="8">
        <f>IF(ISNA(MATCH(1019,Engine!$C$2:$C$1369,0)),"",INDEX('Compliance Database'!$C$2:$C$1369,MATCH(1019,Engine!$C$2:$C$1369,0)))</f>
        <v/>
      </c>
      <c r="D1032" s="9">
        <f>IF(ISNA(MATCH(1019,Engine!$C$2:$C$1369,0)),"",INDEX('Compliance Database'!$D$2:$D$1369,MATCH(1019,Engine!$C$2:$C$1369,0)))</f>
        <v/>
      </c>
      <c r="E1032" s="8">
        <f>IF(ISNA(MATCH(1019,Engine!$C$2:$C$1369,0)),"",INDEX('Compliance Database'!$E$2:$E$1369,MATCH(1019,Engine!$C$2:$C$1369,0)))</f>
        <v/>
      </c>
      <c r="F1032" s="8">
        <f>IF(ISNA(MATCH(1019,Engine!$C$2:$C$1369,0)),"",INDEX('Compliance Database'!$F$2:$F$1369,MATCH(1019,Engine!$C$2:$C$1369,0)))</f>
        <v/>
      </c>
      <c r="G1032" s="8">
        <f>IF(ISNA(MATCH(1019,Engine!$C$2:$C$1369,0)),"",INDEX('Compliance Database'!$G$2:$G$1369,MATCH(1019,Engine!$C$2:$C$1369,0)))</f>
        <v/>
      </c>
      <c r="H1032" s="9">
        <f>IF(ISNA(MATCH(1019,Engine!$C$2:$C$1369,0)),"",INDEX('Compliance Database'!$H$2:$H$1369,MATCH(1019,Engine!$C$2:$C$1369,0)))</f>
        <v/>
      </c>
      <c r="I1032" s="9">
        <f>IF(ISNA(MATCH(1019,Engine!$C$2:$C$1369,0)),"",INDEX('Compliance Database'!$I$2:$I$1369,MATCH(1019,Engine!$C$2:$C$1369,0)))</f>
        <v/>
      </c>
      <c r="J1032" s="8">
        <f>IF(ISNA(MATCH(1019,Engine!$C$2:$C$1369,0)),"",INDEX('Compliance Database'!$J$2:$J$1369,MATCH(1019,Engine!$C$2:$C$1369,0)))</f>
        <v/>
      </c>
      <c r="K1032" s="9">
        <f>IF(ISNA(MATCH(1019,Engine!$C$2:$C$1369,0)),"",INDEX('Compliance Database'!$K$2:$K$1369,MATCH(1019,Engine!$C$2:$C$1369,0)))</f>
        <v/>
      </c>
      <c r="L1032" s="9">
        <f>IF(ISNA(MATCH(1019,Engine!$C$2:$C$1369,0)),"",INDEX('Compliance Database'!$L$2:$L$1369,MATCH(1019,Engine!$C$2:$C$1369,0)))</f>
        <v/>
      </c>
      <c r="M1032" s="9">
        <f>IF(ISNA(MATCH(1019,Engine!$C$2:$C$1369,0)),"",INDEX('Compliance Database'!$M$2:$M$1369,MATCH(1019,Engine!$C$2:$C$1369,0)))</f>
        <v/>
      </c>
      <c r="N1032" s="9">
        <f>IF(ISNA(MATCH(1019,Engine!$C$2:$C$1369,0)),"",INDEX('Compliance Database'!$N$2:$N$1369,MATCH(1019,Engine!$C$2:$C$1369,0)))</f>
        <v/>
      </c>
      <c r="O1032" s="8">
        <f>IF(ISNA(MATCH(1019,Engine!$C$2:$C$1369,0)),"",HYPERLINK(INDEX('Compliance Database'!$O$2:$O$1369,MATCH(1019,Engine!$C$2:$C$1369,0)),"Open PDF"))</f>
        <v/>
      </c>
    </row>
    <row r="1033" ht="188" customHeight="1">
      <c r="A1033" s="8">
        <f>IF(ISNA(MATCH(1020,Engine!$C$2:$C$1369,0)),"",INDEX('Compliance Database'!$A$2:$A$1369,MATCH(1020,Engine!$C$2:$C$1369,0)))</f>
        <v/>
      </c>
      <c r="B1033" s="8">
        <f>IF(ISNA(MATCH(1020,Engine!$C$2:$C$1369,0)),"",INDEX('Compliance Database'!$B$2:$B$1369,MATCH(1020,Engine!$C$2:$C$1369,0)))</f>
        <v/>
      </c>
      <c r="C1033" s="8">
        <f>IF(ISNA(MATCH(1020,Engine!$C$2:$C$1369,0)),"",INDEX('Compliance Database'!$C$2:$C$1369,MATCH(1020,Engine!$C$2:$C$1369,0)))</f>
        <v/>
      </c>
      <c r="D1033" s="9">
        <f>IF(ISNA(MATCH(1020,Engine!$C$2:$C$1369,0)),"",INDEX('Compliance Database'!$D$2:$D$1369,MATCH(1020,Engine!$C$2:$C$1369,0)))</f>
        <v/>
      </c>
      <c r="E1033" s="8">
        <f>IF(ISNA(MATCH(1020,Engine!$C$2:$C$1369,0)),"",INDEX('Compliance Database'!$E$2:$E$1369,MATCH(1020,Engine!$C$2:$C$1369,0)))</f>
        <v/>
      </c>
      <c r="F1033" s="8">
        <f>IF(ISNA(MATCH(1020,Engine!$C$2:$C$1369,0)),"",INDEX('Compliance Database'!$F$2:$F$1369,MATCH(1020,Engine!$C$2:$C$1369,0)))</f>
        <v/>
      </c>
      <c r="G1033" s="8">
        <f>IF(ISNA(MATCH(1020,Engine!$C$2:$C$1369,0)),"",INDEX('Compliance Database'!$G$2:$G$1369,MATCH(1020,Engine!$C$2:$C$1369,0)))</f>
        <v/>
      </c>
      <c r="H1033" s="9">
        <f>IF(ISNA(MATCH(1020,Engine!$C$2:$C$1369,0)),"",INDEX('Compliance Database'!$H$2:$H$1369,MATCH(1020,Engine!$C$2:$C$1369,0)))</f>
        <v/>
      </c>
      <c r="I1033" s="9">
        <f>IF(ISNA(MATCH(1020,Engine!$C$2:$C$1369,0)),"",INDEX('Compliance Database'!$I$2:$I$1369,MATCH(1020,Engine!$C$2:$C$1369,0)))</f>
        <v/>
      </c>
      <c r="J1033" s="8">
        <f>IF(ISNA(MATCH(1020,Engine!$C$2:$C$1369,0)),"",INDEX('Compliance Database'!$J$2:$J$1369,MATCH(1020,Engine!$C$2:$C$1369,0)))</f>
        <v/>
      </c>
      <c r="K1033" s="9">
        <f>IF(ISNA(MATCH(1020,Engine!$C$2:$C$1369,0)),"",INDEX('Compliance Database'!$K$2:$K$1369,MATCH(1020,Engine!$C$2:$C$1369,0)))</f>
        <v/>
      </c>
      <c r="L1033" s="9">
        <f>IF(ISNA(MATCH(1020,Engine!$C$2:$C$1369,0)),"",INDEX('Compliance Database'!$L$2:$L$1369,MATCH(1020,Engine!$C$2:$C$1369,0)))</f>
        <v/>
      </c>
      <c r="M1033" s="9">
        <f>IF(ISNA(MATCH(1020,Engine!$C$2:$C$1369,0)),"",INDEX('Compliance Database'!$M$2:$M$1369,MATCH(1020,Engine!$C$2:$C$1369,0)))</f>
        <v/>
      </c>
      <c r="N1033" s="9">
        <f>IF(ISNA(MATCH(1020,Engine!$C$2:$C$1369,0)),"",INDEX('Compliance Database'!$N$2:$N$1369,MATCH(1020,Engine!$C$2:$C$1369,0)))</f>
        <v/>
      </c>
      <c r="O1033" s="8">
        <f>IF(ISNA(MATCH(1020,Engine!$C$2:$C$1369,0)),"",HYPERLINK(INDEX('Compliance Database'!$O$2:$O$1369,MATCH(1020,Engine!$C$2:$C$1369,0)),"Open PDF"))</f>
        <v/>
      </c>
    </row>
    <row r="1034" ht="188" customHeight="1">
      <c r="A1034" s="8">
        <f>IF(ISNA(MATCH(1021,Engine!$C$2:$C$1369,0)),"",INDEX('Compliance Database'!$A$2:$A$1369,MATCH(1021,Engine!$C$2:$C$1369,0)))</f>
        <v/>
      </c>
      <c r="B1034" s="8">
        <f>IF(ISNA(MATCH(1021,Engine!$C$2:$C$1369,0)),"",INDEX('Compliance Database'!$B$2:$B$1369,MATCH(1021,Engine!$C$2:$C$1369,0)))</f>
        <v/>
      </c>
      <c r="C1034" s="8">
        <f>IF(ISNA(MATCH(1021,Engine!$C$2:$C$1369,0)),"",INDEX('Compliance Database'!$C$2:$C$1369,MATCH(1021,Engine!$C$2:$C$1369,0)))</f>
        <v/>
      </c>
      <c r="D1034" s="9">
        <f>IF(ISNA(MATCH(1021,Engine!$C$2:$C$1369,0)),"",INDEX('Compliance Database'!$D$2:$D$1369,MATCH(1021,Engine!$C$2:$C$1369,0)))</f>
        <v/>
      </c>
      <c r="E1034" s="8">
        <f>IF(ISNA(MATCH(1021,Engine!$C$2:$C$1369,0)),"",INDEX('Compliance Database'!$E$2:$E$1369,MATCH(1021,Engine!$C$2:$C$1369,0)))</f>
        <v/>
      </c>
      <c r="F1034" s="8">
        <f>IF(ISNA(MATCH(1021,Engine!$C$2:$C$1369,0)),"",INDEX('Compliance Database'!$F$2:$F$1369,MATCH(1021,Engine!$C$2:$C$1369,0)))</f>
        <v/>
      </c>
      <c r="G1034" s="8">
        <f>IF(ISNA(MATCH(1021,Engine!$C$2:$C$1369,0)),"",INDEX('Compliance Database'!$G$2:$G$1369,MATCH(1021,Engine!$C$2:$C$1369,0)))</f>
        <v/>
      </c>
      <c r="H1034" s="9">
        <f>IF(ISNA(MATCH(1021,Engine!$C$2:$C$1369,0)),"",INDEX('Compliance Database'!$H$2:$H$1369,MATCH(1021,Engine!$C$2:$C$1369,0)))</f>
        <v/>
      </c>
      <c r="I1034" s="9">
        <f>IF(ISNA(MATCH(1021,Engine!$C$2:$C$1369,0)),"",INDEX('Compliance Database'!$I$2:$I$1369,MATCH(1021,Engine!$C$2:$C$1369,0)))</f>
        <v/>
      </c>
      <c r="J1034" s="8">
        <f>IF(ISNA(MATCH(1021,Engine!$C$2:$C$1369,0)),"",INDEX('Compliance Database'!$J$2:$J$1369,MATCH(1021,Engine!$C$2:$C$1369,0)))</f>
        <v/>
      </c>
      <c r="K1034" s="9">
        <f>IF(ISNA(MATCH(1021,Engine!$C$2:$C$1369,0)),"",INDEX('Compliance Database'!$K$2:$K$1369,MATCH(1021,Engine!$C$2:$C$1369,0)))</f>
        <v/>
      </c>
      <c r="L1034" s="9">
        <f>IF(ISNA(MATCH(1021,Engine!$C$2:$C$1369,0)),"",INDEX('Compliance Database'!$L$2:$L$1369,MATCH(1021,Engine!$C$2:$C$1369,0)))</f>
        <v/>
      </c>
      <c r="M1034" s="9">
        <f>IF(ISNA(MATCH(1021,Engine!$C$2:$C$1369,0)),"",INDEX('Compliance Database'!$M$2:$M$1369,MATCH(1021,Engine!$C$2:$C$1369,0)))</f>
        <v/>
      </c>
      <c r="N1034" s="9">
        <f>IF(ISNA(MATCH(1021,Engine!$C$2:$C$1369,0)),"",INDEX('Compliance Database'!$N$2:$N$1369,MATCH(1021,Engine!$C$2:$C$1369,0)))</f>
        <v/>
      </c>
      <c r="O1034" s="8">
        <f>IF(ISNA(MATCH(1021,Engine!$C$2:$C$1369,0)),"",HYPERLINK(INDEX('Compliance Database'!$O$2:$O$1369,MATCH(1021,Engine!$C$2:$C$1369,0)),"Open PDF"))</f>
        <v/>
      </c>
    </row>
    <row r="1035" ht="188" customHeight="1">
      <c r="A1035" s="8">
        <f>IF(ISNA(MATCH(1022,Engine!$C$2:$C$1369,0)),"",INDEX('Compliance Database'!$A$2:$A$1369,MATCH(1022,Engine!$C$2:$C$1369,0)))</f>
        <v/>
      </c>
      <c r="B1035" s="8">
        <f>IF(ISNA(MATCH(1022,Engine!$C$2:$C$1369,0)),"",INDEX('Compliance Database'!$B$2:$B$1369,MATCH(1022,Engine!$C$2:$C$1369,0)))</f>
        <v/>
      </c>
      <c r="C1035" s="8">
        <f>IF(ISNA(MATCH(1022,Engine!$C$2:$C$1369,0)),"",INDEX('Compliance Database'!$C$2:$C$1369,MATCH(1022,Engine!$C$2:$C$1369,0)))</f>
        <v/>
      </c>
      <c r="D1035" s="9">
        <f>IF(ISNA(MATCH(1022,Engine!$C$2:$C$1369,0)),"",INDEX('Compliance Database'!$D$2:$D$1369,MATCH(1022,Engine!$C$2:$C$1369,0)))</f>
        <v/>
      </c>
      <c r="E1035" s="8">
        <f>IF(ISNA(MATCH(1022,Engine!$C$2:$C$1369,0)),"",INDEX('Compliance Database'!$E$2:$E$1369,MATCH(1022,Engine!$C$2:$C$1369,0)))</f>
        <v/>
      </c>
      <c r="F1035" s="8">
        <f>IF(ISNA(MATCH(1022,Engine!$C$2:$C$1369,0)),"",INDEX('Compliance Database'!$F$2:$F$1369,MATCH(1022,Engine!$C$2:$C$1369,0)))</f>
        <v/>
      </c>
      <c r="G1035" s="8">
        <f>IF(ISNA(MATCH(1022,Engine!$C$2:$C$1369,0)),"",INDEX('Compliance Database'!$G$2:$G$1369,MATCH(1022,Engine!$C$2:$C$1369,0)))</f>
        <v/>
      </c>
      <c r="H1035" s="9">
        <f>IF(ISNA(MATCH(1022,Engine!$C$2:$C$1369,0)),"",INDEX('Compliance Database'!$H$2:$H$1369,MATCH(1022,Engine!$C$2:$C$1369,0)))</f>
        <v/>
      </c>
      <c r="I1035" s="9">
        <f>IF(ISNA(MATCH(1022,Engine!$C$2:$C$1369,0)),"",INDEX('Compliance Database'!$I$2:$I$1369,MATCH(1022,Engine!$C$2:$C$1369,0)))</f>
        <v/>
      </c>
      <c r="J1035" s="8">
        <f>IF(ISNA(MATCH(1022,Engine!$C$2:$C$1369,0)),"",INDEX('Compliance Database'!$J$2:$J$1369,MATCH(1022,Engine!$C$2:$C$1369,0)))</f>
        <v/>
      </c>
      <c r="K1035" s="9">
        <f>IF(ISNA(MATCH(1022,Engine!$C$2:$C$1369,0)),"",INDEX('Compliance Database'!$K$2:$K$1369,MATCH(1022,Engine!$C$2:$C$1369,0)))</f>
        <v/>
      </c>
      <c r="L1035" s="9">
        <f>IF(ISNA(MATCH(1022,Engine!$C$2:$C$1369,0)),"",INDEX('Compliance Database'!$L$2:$L$1369,MATCH(1022,Engine!$C$2:$C$1369,0)))</f>
        <v/>
      </c>
      <c r="M1035" s="9">
        <f>IF(ISNA(MATCH(1022,Engine!$C$2:$C$1369,0)),"",INDEX('Compliance Database'!$M$2:$M$1369,MATCH(1022,Engine!$C$2:$C$1369,0)))</f>
        <v/>
      </c>
      <c r="N1035" s="9">
        <f>IF(ISNA(MATCH(1022,Engine!$C$2:$C$1369,0)),"",INDEX('Compliance Database'!$N$2:$N$1369,MATCH(1022,Engine!$C$2:$C$1369,0)))</f>
        <v/>
      </c>
      <c r="O1035" s="8">
        <f>IF(ISNA(MATCH(1022,Engine!$C$2:$C$1369,0)),"",HYPERLINK(INDEX('Compliance Database'!$O$2:$O$1369,MATCH(1022,Engine!$C$2:$C$1369,0)),"Open PDF"))</f>
        <v/>
      </c>
    </row>
    <row r="1036" ht="188" customHeight="1">
      <c r="A1036" s="8">
        <f>IF(ISNA(MATCH(1023,Engine!$C$2:$C$1369,0)),"",INDEX('Compliance Database'!$A$2:$A$1369,MATCH(1023,Engine!$C$2:$C$1369,0)))</f>
        <v/>
      </c>
      <c r="B1036" s="8">
        <f>IF(ISNA(MATCH(1023,Engine!$C$2:$C$1369,0)),"",INDEX('Compliance Database'!$B$2:$B$1369,MATCH(1023,Engine!$C$2:$C$1369,0)))</f>
        <v/>
      </c>
      <c r="C1036" s="8">
        <f>IF(ISNA(MATCH(1023,Engine!$C$2:$C$1369,0)),"",INDEX('Compliance Database'!$C$2:$C$1369,MATCH(1023,Engine!$C$2:$C$1369,0)))</f>
        <v/>
      </c>
      <c r="D1036" s="9">
        <f>IF(ISNA(MATCH(1023,Engine!$C$2:$C$1369,0)),"",INDEX('Compliance Database'!$D$2:$D$1369,MATCH(1023,Engine!$C$2:$C$1369,0)))</f>
        <v/>
      </c>
      <c r="E1036" s="8">
        <f>IF(ISNA(MATCH(1023,Engine!$C$2:$C$1369,0)),"",INDEX('Compliance Database'!$E$2:$E$1369,MATCH(1023,Engine!$C$2:$C$1369,0)))</f>
        <v/>
      </c>
      <c r="F1036" s="8">
        <f>IF(ISNA(MATCH(1023,Engine!$C$2:$C$1369,0)),"",INDEX('Compliance Database'!$F$2:$F$1369,MATCH(1023,Engine!$C$2:$C$1369,0)))</f>
        <v/>
      </c>
      <c r="G1036" s="8">
        <f>IF(ISNA(MATCH(1023,Engine!$C$2:$C$1369,0)),"",INDEX('Compliance Database'!$G$2:$G$1369,MATCH(1023,Engine!$C$2:$C$1369,0)))</f>
        <v/>
      </c>
      <c r="H1036" s="9">
        <f>IF(ISNA(MATCH(1023,Engine!$C$2:$C$1369,0)),"",INDEX('Compliance Database'!$H$2:$H$1369,MATCH(1023,Engine!$C$2:$C$1369,0)))</f>
        <v/>
      </c>
      <c r="I1036" s="9">
        <f>IF(ISNA(MATCH(1023,Engine!$C$2:$C$1369,0)),"",INDEX('Compliance Database'!$I$2:$I$1369,MATCH(1023,Engine!$C$2:$C$1369,0)))</f>
        <v/>
      </c>
      <c r="J1036" s="8">
        <f>IF(ISNA(MATCH(1023,Engine!$C$2:$C$1369,0)),"",INDEX('Compliance Database'!$J$2:$J$1369,MATCH(1023,Engine!$C$2:$C$1369,0)))</f>
        <v/>
      </c>
      <c r="K1036" s="9">
        <f>IF(ISNA(MATCH(1023,Engine!$C$2:$C$1369,0)),"",INDEX('Compliance Database'!$K$2:$K$1369,MATCH(1023,Engine!$C$2:$C$1369,0)))</f>
        <v/>
      </c>
      <c r="L1036" s="9">
        <f>IF(ISNA(MATCH(1023,Engine!$C$2:$C$1369,0)),"",INDEX('Compliance Database'!$L$2:$L$1369,MATCH(1023,Engine!$C$2:$C$1369,0)))</f>
        <v/>
      </c>
      <c r="M1036" s="9">
        <f>IF(ISNA(MATCH(1023,Engine!$C$2:$C$1369,0)),"",INDEX('Compliance Database'!$M$2:$M$1369,MATCH(1023,Engine!$C$2:$C$1369,0)))</f>
        <v/>
      </c>
      <c r="N1036" s="9">
        <f>IF(ISNA(MATCH(1023,Engine!$C$2:$C$1369,0)),"",INDEX('Compliance Database'!$N$2:$N$1369,MATCH(1023,Engine!$C$2:$C$1369,0)))</f>
        <v/>
      </c>
      <c r="O1036" s="8">
        <f>IF(ISNA(MATCH(1023,Engine!$C$2:$C$1369,0)),"",HYPERLINK(INDEX('Compliance Database'!$O$2:$O$1369,MATCH(1023,Engine!$C$2:$C$1369,0)),"Open PDF"))</f>
        <v/>
      </c>
    </row>
    <row r="1037" ht="188" customHeight="1">
      <c r="A1037" s="8">
        <f>IF(ISNA(MATCH(1024,Engine!$C$2:$C$1369,0)),"",INDEX('Compliance Database'!$A$2:$A$1369,MATCH(1024,Engine!$C$2:$C$1369,0)))</f>
        <v/>
      </c>
      <c r="B1037" s="8">
        <f>IF(ISNA(MATCH(1024,Engine!$C$2:$C$1369,0)),"",INDEX('Compliance Database'!$B$2:$B$1369,MATCH(1024,Engine!$C$2:$C$1369,0)))</f>
        <v/>
      </c>
      <c r="C1037" s="8">
        <f>IF(ISNA(MATCH(1024,Engine!$C$2:$C$1369,0)),"",INDEX('Compliance Database'!$C$2:$C$1369,MATCH(1024,Engine!$C$2:$C$1369,0)))</f>
        <v/>
      </c>
      <c r="D1037" s="9">
        <f>IF(ISNA(MATCH(1024,Engine!$C$2:$C$1369,0)),"",INDEX('Compliance Database'!$D$2:$D$1369,MATCH(1024,Engine!$C$2:$C$1369,0)))</f>
        <v/>
      </c>
      <c r="E1037" s="8">
        <f>IF(ISNA(MATCH(1024,Engine!$C$2:$C$1369,0)),"",INDEX('Compliance Database'!$E$2:$E$1369,MATCH(1024,Engine!$C$2:$C$1369,0)))</f>
        <v/>
      </c>
      <c r="F1037" s="8">
        <f>IF(ISNA(MATCH(1024,Engine!$C$2:$C$1369,0)),"",INDEX('Compliance Database'!$F$2:$F$1369,MATCH(1024,Engine!$C$2:$C$1369,0)))</f>
        <v/>
      </c>
      <c r="G1037" s="8">
        <f>IF(ISNA(MATCH(1024,Engine!$C$2:$C$1369,0)),"",INDEX('Compliance Database'!$G$2:$G$1369,MATCH(1024,Engine!$C$2:$C$1369,0)))</f>
        <v/>
      </c>
      <c r="H1037" s="9">
        <f>IF(ISNA(MATCH(1024,Engine!$C$2:$C$1369,0)),"",INDEX('Compliance Database'!$H$2:$H$1369,MATCH(1024,Engine!$C$2:$C$1369,0)))</f>
        <v/>
      </c>
      <c r="I1037" s="9">
        <f>IF(ISNA(MATCH(1024,Engine!$C$2:$C$1369,0)),"",INDEX('Compliance Database'!$I$2:$I$1369,MATCH(1024,Engine!$C$2:$C$1369,0)))</f>
        <v/>
      </c>
      <c r="J1037" s="8">
        <f>IF(ISNA(MATCH(1024,Engine!$C$2:$C$1369,0)),"",INDEX('Compliance Database'!$J$2:$J$1369,MATCH(1024,Engine!$C$2:$C$1369,0)))</f>
        <v/>
      </c>
      <c r="K1037" s="9">
        <f>IF(ISNA(MATCH(1024,Engine!$C$2:$C$1369,0)),"",INDEX('Compliance Database'!$K$2:$K$1369,MATCH(1024,Engine!$C$2:$C$1369,0)))</f>
        <v/>
      </c>
      <c r="L1037" s="9">
        <f>IF(ISNA(MATCH(1024,Engine!$C$2:$C$1369,0)),"",INDEX('Compliance Database'!$L$2:$L$1369,MATCH(1024,Engine!$C$2:$C$1369,0)))</f>
        <v/>
      </c>
      <c r="M1037" s="9">
        <f>IF(ISNA(MATCH(1024,Engine!$C$2:$C$1369,0)),"",INDEX('Compliance Database'!$M$2:$M$1369,MATCH(1024,Engine!$C$2:$C$1369,0)))</f>
        <v/>
      </c>
      <c r="N1037" s="9">
        <f>IF(ISNA(MATCH(1024,Engine!$C$2:$C$1369,0)),"",INDEX('Compliance Database'!$N$2:$N$1369,MATCH(1024,Engine!$C$2:$C$1369,0)))</f>
        <v/>
      </c>
      <c r="O1037" s="8">
        <f>IF(ISNA(MATCH(1024,Engine!$C$2:$C$1369,0)),"",HYPERLINK(INDEX('Compliance Database'!$O$2:$O$1369,MATCH(1024,Engine!$C$2:$C$1369,0)),"Open PDF"))</f>
        <v/>
      </c>
    </row>
    <row r="1038" ht="188" customHeight="1">
      <c r="A1038" s="8">
        <f>IF(ISNA(MATCH(1025,Engine!$C$2:$C$1369,0)),"",INDEX('Compliance Database'!$A$2:$A$1369,MATCH(1025,Engine!$C$2:$C$1369,0)))</f>
        <v/>
      </c>
      <c r="B1038" s="8">
        <f>IF(ISNA(MATCH(1025,Engine!$C$2:$C$1369,0)),"",INDEX('Compliance Database'!$B$2:$B$1369,MATCH(1025,Engine!$C$2:$C$1369,0)))</f>
        <v/>
      </c>
      <c r="C1038" s="8">
        <f>IF(ISNA(MATCH(1025,Engine!$C$2:$C$1369,0)),"",INDEX('Compliance Database'!$C$2:$C$1369,MATCH(1025,Engine!$C$2:$C$1369,0)))</f>
        <v/>
      </c>
      <c r="D1038" s="9">
        <f>IF(ISNA(MATCH(1025,Engine!$C$2:$C$1369,0)),"",INDEX('Compliance Database'!$D$2:$D$1369,MATCH(1025,Engine!$C$2:$C$1369,0)))</f>
        <v/>
      </c>
      <c r="E1038" s="8">
        <f>IF(ISNA(MATCH(1025,Engine!$C$2:$C$1369,0)),"",INDEX('Compliance Database'!$E$2:$E$1369,MATCH(1025,Engine!$C$2:$C$1369,0)))</f>
        <v/>
      </c>
      <c r="F1038" s="8">
        <f>IF(ISNA(MATCH(1025,Engine!$C$2:$C$1369,0)),"",INDEX('Compliance Database'!$F$2:$F$1369,MATCH(1025,Engine!$C$2:$C$1369,0)))</f>
        <v/>
      </c>
      <c r="G1038" s="8">
        <f>IF(ISNA(MATCH(1025,Engine!$C$2:$C$1369,0)),"",INDEX('Compliance Database'!$G$2:$G$1369,MATCH(1025,Engine!$C$2:$C$1369,0)))</f>
        <v/>
      </c>
      <c r="H1038" s="9">
        <f>IF(ISNA(MATCH(1025,Engine!$C$2:$C$1369,0)),"",INDEX('Compliance Database'!$H$2:$H$1369,MATCH(1025,Engine!$C$2:$C$1369,0)))</f>
        <v/>
      </c>
      <c r="I1038" s="9">
        <f>IF(ISNA(MATCH(1025,Engine!$C$2:$C$1369,0)),"",INDEX('Compliance Database'!$I$2:$I$1369,MATCH(1025,Engine!$C$2:$C$1369,0)))</f>
        <v/>
      </c>
      <c r="J1038" s="8">
        <f>IF(ISNA(MATCH(1025,Engine!$C$2:$C$1369,0)),"",INDEX('Compliance Database'!$J$2:$J$1369,MATCH(1025,Engine!$C$2:$C$1369,0)))</f>
        <v/>
      </c>
      <c r="K1038" s="9">
        <f>IF(ISNA(MATCH(1025,Engine!$C$2:$C$1369,0)),"",INDEX('Compliance Database'!$K$2:$K$1369,MATCH(1025,Engine!$C$2:$C$1369,0)))</f>
        <v/>
      </c>
      <c r="L1038" s="9">
        <f>IF(ISNA(MATCH(1025,Engine!$C$2:$C$1369,0)),"",INDEX('Compliance Database'!$L$2:$L$1369,MATCH(1025,Engine!$C$2:$C$1369,0)))</f>
        <v/>
      </c>
      <c r="M1038" s="9">
        <f>IF(ISNA(MATCH(1025,Engine!$C$2:$C$1369,0)),"",INDEX('Compliance Database'!$M$2:$M$1369,MATCH(1025,Engine!$C$2:$C$1369,0)))</f>
        <v/>
      </c>
      <c r="N1038" s="9">
        <f>IF(ISNA(MATCH(1025,Engine!$C$2:$C$1369,0)),"",INDEX('Compliance Database'!$N$2:$N$1369,MATCH(1025,Engine!$C$2:$C$1369,0)))</f>
        <v/>
      </c>
      <c r="O1038" s="8">
        <f>IF(ISNA(MATCH(1025,Engine!$C$2:$C$1369,0)),"",HYPERLINK(INDEX('Compliance Database'!$O$2:$O$1369,MATCH(1025,Engine!$C$2:$C$1369,0)),"Open PDF"))</f>
        <v/>
      </c>
    </row>
    <row r="1039" ht="188" customHeight="1">
      <c r="A1039" s="8">
        <f>IF(ISNA(MATCH(1026,Engine!$C$2:$C$1369,0)),"",INDEX('Compliance Database'!$A$2:$A$1369,MATCH(1026,Engine!$C$2:$C$1369,0)))</f>
        <v/>
      </c>
      <c r="B1039" s="8">
        <f>IF(ISNA(MATCH(1026,Engine!$C$2:$C$1369,0)),"",INDEX('Compliance Database'!$B$2:$B$1369,MATCH(1026,Engine!$C$2:$C$1369,0)))</f>
        <v/>
      </c>
      <c r="C1039" s="8">
        <f>IF(ISNA(MATCH(1026,Engine!$C$2:$C$1369,0)),"",INDEX('Compliance Database'!$C$2:$C$1369,MATCH(1026,Engine!$C$2:$C$1369,0)))</f>
        <v/>
      </c>
      <c r="D1039" s="9">
        <f>IF(ISNA(MATCH(1026,Engine!$C$2:$C$1369,0)),"",INDEX('Compliance Database'!$D$2:$D$1369,MATCH(1026,Engine!$C$2:$C$1369,0)))</f>
        <v/>
      </c>
      <c r="E1039" s="8">
        <f>IF(ISNA(MATCH(1026,Engine!$C$2:$C$1369,0)),"",INDEX('Compliance Database'!$E$2:$E$1369,MATCH(1026,Engine!$C$2:$C$1369,0)))</f>
        <v/>
      </c>
      <c r="F1039" s="8">
        <f>IF(ISNA(MATCH(1026,Engine!$C$2:$C$1369,0)),"",INDEX('Compliance Database'!$F$2:$F$1369,MATCH(1026,Engine!$C$2:$C$1369,0)))</f>
        <v/>
      </c>
      <c r="G1039" s="8">
        <f>IF(ISNA(MATCH(1026,Engine!$C$2:$C$1369,0)),"",INDEX('Compliance Database'!$G$2:$G$1369,MATCH(1026,Engine!$C$2:$C$1369,0)))</f>
        <v/>
      </c>
      <c r="H1039" s="9">
        <f>IF(ISNA(MATCH(1026,Engine!$C$2:$C$1369,0)),"",INDEX('Compliance Database'!$H$2:$H$1369,MATCH(1026,Engine!$C$2:$C$1369,0)))</f>
        <v/>
      </c>
      <c r="I1039" s="9">
        <f>IF(ISNA(MATCH(1026,Engine!$C$2:$C$1369,0)),"",INDEX('Compliance Database'!$I$2:$I$1369,MATCH(1026,Engine!$C$2:$C$1369,0)))</f>
        <v/>
      </c>
      <c r="J1039" s="8">
        <f>IF(ISNA(MATCH(1026,Engine!$C$2:$C$1369,0)),"",INDEX('Compliance Database'!$J$2:$J$1369,MATCH(1026,Engine!$C$2:$C$1369,0)))</f>
        <v/>
      </c>
      <c r="K1039" s="9">
        <f>IF(ISNA(MATCH(1026,Engine!$C$2:$C$1369,0)),"",INDEX('Compliance Database'!$K$2:$K$1369,MATCH(1026,Engine!$C$2:$C$1369,0)))</f>
        <v/>
      </c>
      <c r="L1039" s="9">
        <f>IF(ISNA(MATCH(1026,Engine!$C$2:$C$1369,0)),"",INDEX('Compliance Database'!$L$2:$L$1369,MATCH(1026,Engine!$C$2:$C$1369,0)))</f>
        <v/>
      </c>
      <c r="M1039" s="9">
        <f>IF(ISNA(MATCH(1026,Engine!$C$2:$C$1369,0)),"",INDEX('Compliance Database'!$M$2:$M$1369,MATCH(1026,Engine!$C$2:$C$1369,0)))</f>
        <v/>
      </c>
      <c r="N1039" s="9">
        <f>IF(ISNA(MATCH(1026,Engine!$C$2:$C$1369,0)),"",INDEX('Compliance Database'!$N$2:$N$1369,MATCH(1026,Engine!$C$2:$C$1369,0)))</f>
        <v/>
      </c>
      <c r="O1039" s="8">
        <f>IF(ISNA(MATCH(1026,Engine!$C$2:$C$1369,0)),"",HYPERLINK(INDEX('Compliance Database'!$O$2:$O$1369,MATCH(1026,Engine!$C$2:$C$1369,0)),"Open PDF"))</f>
        <v/>
      </c>
    </row>
    <row r="1040" ht="188" customHeight="1">
      <c r="A1040" s="8">
        <f>IF(ISNA(MATCH(1027,Engine!$C$2:$C$1369,0)),"",INDEX('Compliance Database'!$A$2:$A$1369,MATCH(1027,Engine!$C$2:$C$1369,0)))</f>
        <v/>
      </c>
      <c r="B1040" s="8">
        <f>IF(ISNA(MATCH(1027,Engine!$C$2:$C$1369,0)),"",INDEX('Compliance Database'!$B$2:$B$1369,MATCH(1027,Engine!$C$2:$C$1369,0)))</f>
        <v/>
      </c>
      <c r="C1040" s="8">
        <f>IF(ISNA(MATCH(1027,Engine!$C$2:$C$1369,0)),"",INDEX('Compliance Database'!$C$2:$C$1369,MATCH(1027,Engine!$C$2:$C$1369,0)))</f>
        <v/>
      </c>
      <c r="D1040" s="9">
        <f>IF(ISNA(MATCH(1027,Engine!$C$2:$C$1369,0)),"",INDEX('Compliance Database'!$D$2:$D$1369,MATCH(1027,Engine!$C$2:$C$1369,0)))</f>
        <v/>
      </c>
      <c r="E1040" s="8">
        <f>IF(ISNA(MATCH(1027,Engine!$C$2:$C$1369,0)),"",INDEX('Compliance Database'!$E$2:$E$1369,MATCH(1027,Engine!$C$2:$C$1369,0)))</f>
        <v/>
      </c>
      <c r="F1040" s="8">
        <f>IF(ISNA(MATCH(1027,Engine!$C$2:$C$1369,0)),"",INDEX('Compliance Database'!$F$2:$F$1369,MATCH(1027,Engine!$C$2:$C$1369,0)))</f>
        <v/>
      </c>
      <c r="G1040" s="8">
        <f>IF(ISNA(MATCH(1027,Engine!$C$2:$C$1369,0)),"",INDEX('Compliance Database'!$G$2:$G$1369,MATCH(1027,Engine!$C$2:$C$1369,0)))</f>
        <v/>
      </c>
      <c r="H1040" s="9">
        <f>IF(ISNA(MATCH(1027,Engine!$C$2:$C$1369,0)),"",INDEX('Compliance Database'!$H$2:$H$1369,MATCH(1027,Engine!$C$2:$C$1369,0)))</f>
        <v/>
      </c>
      <c r="I1040" s="9">
        <f>IF(ISNA(MATCH(1027,Engine!$C$2:$C$1369,0)),"",INDEX('Compliance Database'!$I$2:$I$1369,MATCH(1027,Engine!$C$2:$C$1369,0)))</f>
        <v/>
      </c>
      <c r="J1040" s="8">
        <f>IF(ISNA(MATCH(1027,Engine!$C$2:$C$1369,0)),"",INDEX('Compliance Database'!$J$2:$J$1369,MATCH(1027,Engine!$C$2:$C$1369,0)))</f>
        <v/>
      </c>
      <c r="K1040" s="9">
        <f>IF(ISNA(MATCH(1027,Engine!$C$2:$C$1369,0)),"",INDEX('Compliance Database'!$K$2:$K$1369,MATCH(1027,Engine!$C$2:$C$1369,0)))</f>
        <v/>
      </c>
      <c r="L1040" s="9">
        <f>IF(ISNA(MATCH(1027,Engine!$C$2:$C$1369,0)),"",INDEX('Compliance Database'!$L$2:$L$1369,MATCH(1027,Engine!$C$2:$C$1369,0)))</f>
        <v/>
      </c>
      <c r="M1040" s="9">
        <f>IF(ISNA(MATCH(1027,Engine!$C$2:$C$1369,0)),"",INDEX('Compliance Database'!$M$2:$M$1369,MATCH(1027,Engine!$C$2:$C$1369,0)))</f>
        <v/>
      </c>
      <c r="N1040" s="9">
        <f>IF(ISNA(MATCH(1027,Engine!$C$2:$C$1369,0)),"",INDEX('Compliance Database'!$N$2:$N$1369,MATCH(1027,Engine!$C$2:$C$1369,0)))</f>
        <v/>
      </c>
      <c r="O1040" s="8">
        <f>IF(ISNA(MATCH(1027,Engine!$C$2:$C$1369,0)),"",HYPERLINK(INDEX('Compliance Database'!$O$2:$O$1369,MATCH(1027,Engine!$C$2:$C$1369,0)),"Open PDF"))</f>
        <v/>
      </c>
    </row>
    <row r="1041" ht="188" customHeight="1">
      <c r="A1041" s="8">
        <f>IF(ISNA(MATCH(1028,Engine!$C$2:$C$1369,0)),"",INDEX('Compliance Database'!$A$2:$A$1369,MATCH(1028,Engine!$C$2:$C$1369,0)))</f>
        <v/>
      </c>
      <c r="B1041" s="8">
        <f>IF(ISNA(MATCH(1028,Engine!$C$2:$C$1369,0)),"",INDEX('Compliance Database'!$B$2:$B$1369,MATCH(1028,Engine!$C$2:$C$1369,0)))</f>
        <v/>
      </c>
      <c r="C1041" s="8">
        <f>IF(ISNA(MATCH(1028,Engine!$C$2:$C$1369,0)),"",INDEX('Compliance Database'!$C$2:$C$1369,MATCH(1028,Engine!$C$2:$C$1369,0)))</f>
        <v/>
      </c>
      <c r="D1041" s="9">
        <f>IF(ISNA(MATCH(1028,Engine!$C$2:$C$1369,0)),"",INDEX('Compliance Database'!$D$2:$D$1369,MATCH(1028,Engine!$C$2:$C$1369,0)))</f>
        <v/>
      </c>
      <c r="E1041" s="8">
        <f>IF(ISNA(MATCH(1028,Engine!$C$2:$C$1369,0)),"",INDEX('Compliance Database'!$E$2:$E$1369,MATCH(1028,Engine!$C$2:$C$1369,0)))</f>
        <v/>
      </c>
      <c r="F1041" s="8">
        <f>IF(ISNA(MATCH(1028,Engine!$C$2:$C$1369,0)),"",INDEX('Compliance Database'!$F$2:$F$1369,MATCH(1028,Engine!$C$2:$C$1369,0)))</f>
        <v/>
      </c>
      <c r="G1041" s="8">
        <f>IF(ISNA(MATCH(1028,Engine!$C$2:$C$1369,0)),"",INDEX('Compliance Database'!$G$2:$G$1369,MATCH(1028,Engine!$C$2:$C$1369,0)))</f>
        <v/>
      </c>
      <c r="H1041" s="9">
        <f>IF(ISNA(MATCH(1028,Engine!$C$2:$C$1369,0)),"",INDEX('Compliance Database'!$H$2:$H$1369,MATCH(1028,Engine!$C$2:$C$1369,0)))</f>
        <v/>
      </c>
      <c r="I1041" s="9">
        <f>IF(ISNA(MATCH(1028,Engine!$C$2:$C$1369,0)),"",INDEX('Compliance Database'!$I$2:$I$1369,MATCH(1028,Engine!$C$2:$C$1369,0)))</f>
        <v/>
      </c>
      <c r="J1041" s="8">
        <f>IF(ISNA(MATCH(1028,Engine!$C$2:$C$1369,0)),"",INDEX('Compliance Database'!$J$2:$J$1369,MATCH(1028,Engine!$C$2:$C$1369,0)))</f>
        <v/>
      </c>
      <c r="K1041" s="9">
        <f>IF(ISNA(MATCH(1028,Engine!$C$2:$C$1369,0)),"",INDEX('Compliance Database'!$K$2:$K$1369,MATCH(1028,Engine!$C$2:$C$1369,0)))</f>
        <v/>
      </c>
      <c r="L1041" s="9">
        <f>IF(ISNA(MATCH(1028,Engine!$C$2:$C$1369,0)),"",INDEX('Compliance Database'!$L$2:$L$1369,MATCH(1028,Engine!$C$2:$C$1369,0)))</f>
        <v/>
      </c>
      <c r="M1041" s="9">
        <f>IF(ISNA(MATCH(1028,Engine!$C$2:$C$1369,0)),"",INDEX('Compliance Database'!$M$2:$M$1369,MATCH(1028,Engine!$C$2:$C$1369,0)))</f>
        <v/>
      </c>
      <c r="N1041" s="9">
        <f>IF(ISNA(MATCH(1028,Engine!$C$2:$C$1369,0)),"",INDEX('Compliance Database'!$N$2:$N$1369,MATCH(1028,Engine!$C$2:$C$1369,0)))</f>
        <v/>
      </c>
      <c r="O1041" s="8">
        <f>IF(ISNA(MATCH(1028,Engine!$C$2:$C$1369,0)),"",HYPERLINK(INDEX('Compliance Database'!$O$2:$O$1369,MATCH(1028,Engine!$C$2:$C$1369,0)),"Open PDF"))</f>
        <v/>
      </c>
    </row>
    <row r="1042" ht="188" customHeight="1">
      <c r="A1042" s="8">
        <f>IF(ISNA(MATCH(1029,Engine!$C$2:$C$1369,0)),"",INDEX('Compliance Database'!$A$2:$A$1369,MATCH(1029,Engine!$C$2:$C$1369,0)))</f>
        <v/>
      </c>
      <c r="B1042" s="8">
        <f>IF(ISNA(MATCH(1029,Engine!$C$2:$C$1369,0)),"",INDEX('Compliance Database'!$B$2:$B$1369,MATCH(1029,Engine!$C$2:$C$1369,0)))</f>
        <v/>
      </c>
      <c r="C1042" s="8">
        <f>IF(ISNA(MATCH(1029,Engine!$C$2:$C$1369,0)),"",INDEX('Compliance Database'!$C$2:$C$1369,MATCH(1029,Engine!$C$2:$C$1369,0)))</f>
        <v/>
      </c>
      <c r="D1042" s="9">
        <f>IF(ISNA(MATCH(1029,Engine!$C$2:$C$1369,0)),"",INDEX('Compliance Database'!$D$2:$D$1369,MATCH(1029,Engine!$C$2:$C$1369,0)))</f>
        <v/>
      </c>
      <c r="E1042" s="8">
        <f>IF(ISNA(MATCH(1029,Engine!$C$2:$C$1369,0)),"",INDEX('Compliance Database'!$E$2:$E$1369,MATCH(1029,Engine!$C$2:$C$1369,0)))</f>
        <v/>
      </c>
      <c r="F1042" s="8">
        <f>IF(ISNA(MATCH(1029,Engine!$C$2:$C$1369,0)),"",INDEX('Compliance Database'!$F$2:$F$1369,MATCH(1029,Engine!$C$2:$C$1369,0)))</f>
        <v/>
      </c>
      <c r="G1042" s="8">
        <f>IF(ISNA(MATCH(1029,Engine!$C$2:$C$1369,0)),"",INDEX('Compliance Database'!$G$2:$G$1369,MATCH(1029,Engine!$C$2:$C$1369,0)))</f>
        <v/>
      </c>
      <c r="H1042" s="9">
        <f>IF(ISNA(MATCH(1029,Engine!$C$2:$C$1369,0)),"",INDEX('Compliance Database'!$H$2:$H$1369,MATCH(1029,Engine!$C$2:$C$1369,0)))</f>
        <v/>
      </c>
      <c r="I1042" s="9">
        <f>IF(ISNA(MATCH(1029,Engine!$C$2:$C$1369,0)),"",INDEX('Compliance Database'!$I$2:$I$1369,MATCH(1029,Engine!$C$2:$C$1369,0)))</f>
        <v/>
      </c>
      <c r="J1042" s="8">
        <f>IF(ISNA(MATCH(1029,Engine!$C$2:$C$1369,0)),"",INDEX('Compliance Database'!$J$2:$J$1369,MATCH(1029,Engine!$C$2:$C$1369,0)))</f>
        <v/>
      </c>
      <c r="K1042" s="9">
        <f>IF(ISNA(MATCH(1029,Engine!$C$2:$C$1369,0)),"",INDEX('Compliance Database'!$K$2:$K$1369,MATCH(1029,Engine!$C$2:$C$1369,0)))</f>
        <v/>
      </c>
      <c r="L1042" s="9">
        <f>IF(ISNA(MATCH(1029,Engine!$C$2:$C$1369,0)),"",INDEX('Compliance Database'!$L$2:$L$1369,MATCH(1029,Engine!$C$2:$C$1369,0)))</f>
        <v/>
      </c>
      <c r="M1042" s="9">
        <f>IF(ISNA(MATCH(1029,Engine!$C$2:$C$1369,0)),"",INDEX('Compliance Database'!$M$2:$M$1369,MATCH(1029,Engine!$C$2:$C$1369,0)))</f>
        <v/>
      </c>
      <c r="N1042" s="9">
        <f>IF(ISNA(MATCH(1029,Engine!$C$2:$C$1369,0)),"",INDEX('Compliance Database'!$N$2:$N$1369,MATCH(1029,Engine!$C$2:$C$1369,0)))</f>
        <v/>
      </c>
      <c r="O1042" s="8">
        <f>IF(ISNA(MATCH(1029,Engine!$C$2:$C$1369,0)),"",HYPERLINK(INDEX('Compliance Database'!$O$2:$O$1369,MATCH(1029,Engine!$C$2:$C$1369,0)),"Open PDF"))</f>
        <v/>
      </c>
    </row>
    <row r="1043" ht="188" customHeight="1">
      <c r="A1043" s="8">
        <f>IF(ISNA(MATCH(1030,Engine!$C$2:$C$1369,0)),"",INDEX('Compliance Database'!$A$2:$A$1369,MATCH(1030,Engine!$C$2:$C$1369,0)))</f>
        <v/>
      </c>
      <c r="B1043" s="8">
        <f>IF(ISNA(MATCH(1030,Engine!$C$2:$C$1369,0)),"",INDEX('Compliance Database'!$B$2:$B$1369,MATCH(1030,Engine!$C$2:$C$1369,0)))</f>
        <v/>
      </c>
      <c r="C1043" s="8">
        <f>IF(ISNA(MATCH(1030,Engine!$C$2:$C$1369,0)),"",INDEX('Compliance Database'!$C$2:$C$1369,MATCH(1030,Engine!$C$2:$C$1369,0)))</f>
        <v/>
      </c>
      <c r="D1043" s="9">
        <f>IF(ISNA(MATCH(1030,Engine!$C$2:$C$1369,0)),"",INDEX('Compliance Database'!$D$2:$D$1369,MATCH(1030,Engine!$C$2:$C$1369,0)))</f>
        <v/>
      </c>
      <c r="E1043" s="8">
        <f>IF(ISNA(MATCH(1030,Engine!$C$2:$C$1369,0)),"",INDEX('Compliance Database'!$E$2:$E$1369,MATCH(1030,Engine!$C$2:$C$1369,0)))</f>
        <v/>
      </c>
      <c r="F1043" s="8">
        <f>IF(ISNA(MATCH(1030,Engine!$C$2:$C$1369,0)),"",INDEX('Compliance Database'!$F$2:$F$1369,MATCH(1030,Engine!$C$2:$C$1369,0)))</f>
        <v/>
      </c>
      <c r="G1043" s="8">
        <f>IF(ISNA(MATCH(1030,Engine!$C$2:$C$1369,0)),"",INDEX('Compliance Database'!$G$2:$G$1369,MATCH(1030,Engine!$C$2:$C$1369,0)))</f>
        <v/>
      </c>
      <c r="H1043" s="9">
        <f>IF(ISNA(MATCH(1030,Engine!$C$2:$C$1369,0)),"",INDEX('Compliance Database'!$H$2:$H$1369,MATCH(1030,Engine!$C$2:$C$1369,0)))</f>
        <v/>
      </c>
      <c r="I1043" s="9">
        <f>IF(ISNA(MATCH(1030,Engine!$C$2:$C$1369,0)),"",INDEX('Compliance Database'!$I$2:$I$1369,MATCH(1030,Engine!$C$2:$C$1369,0)))</f>
        <v/>
      </c>
      <c r="J1043" s="8">
        <f>IF(ISNA(MATCH(1030,Engine!$C$2:$C$1369,0)),"",INDEX('Compliance Database'!$J$2:$J$1369,MATCH(1030,Engine!$C$2:$C$1369,0)))</f>
        <v/>
      </c>
      <c r="K1043" s="9">
        <f>IF(ISNA(MATCH(1030,Engine!$C$2:$C$1369,0)),"",INDEX('Compliance Database'!$K$2:$K$1369,MATCH(1030,Engine!$C$2:$C$1369,0)))</f>
        <v/>
      </c>
      <c r="L1043" s="9">
        <f>IF(ISNA(MATCH(1030,Engine!$C$2:$C$1369,0)),"",INDEX('Compliance Database'!$L$2:$L$1369,MATCH(1030,Engine!$C$2:$C$1369,0)))</f>
        <v/>
      </c>
      <c r="M1043" s="9">
        <f>IF(ISNA(MATCH(1030,Engine!$C$2:$C$1369,0)),"",INDEX('Compliance Database'!$M$2:$M$1369,MATCH(1030,Engine!$C$2:$C$1369,0)))</f>
        <v/>
      </c>
      <c r="N1043" s="9">
        <f>IF(ISNA(MATCH(1030,Engine!$C$2:$C$1369,0)),"",INDEX('Compliance Database'!$N$2:$N$1369,MATCH(1030,Engine!$C$2:$C$1369,0)))</f>
        <v/>
      </c>
      <c r="O1043" s="8">
        <f>IF(ISNA(MATCH(1030,Engine!$C$2:$C$1369,0)),"",HYPERLINK(INDEX('Compliance Database'!$O$2:$O$1369,MATCH(1030,Engine!$C$2:$C$1369,0)),"Open PDF"))</f>
        <v/>
      </c>
    </row>
    <row r="1044" ht="188" customHeight="1">
      <c r="A1044" s="8">
        <f>IF(ISNA(MATCH(1031,Engine!$C$2:$C$1369,0)),"",INDEX('Compliance Database'!$A$2:$A$1369,MATCH(1031,Engine!$C$2:$C$1369,0)))</f>
        <v/>
      </c>
      <c r="B1044" s="8">
        <f>IF(ISNA(MATCH(1031,Engine!$C$2:$C$1369,0)),"",INDEX('Compliance Database'!$B$2:$B$1369,MATCH(1031,Engine!$C$2:$C$1369,0)))</f>
        <v/>
      </c>
      <c r="C1044" s="8">
        <f>IF(ISNA(MATCH(1031,Engine!$C$2:$C$1369,0)),"",INDEX('Compliance Database'!$C$2:$C$1369,MATCH(1031,Engine!$C$2:$C$1369,0)))</f>
        <v/>
      </c>
      <c r="D1044" s="9">
        <f>IF(ISNA(MATCH(1031,Engine!$C$2:$C$1369,0)),"",INDEX('Compliance Database'!$D$2:$D$1369,MATCH(1031,Engine!$C$2:$C$1369,0)))</f>
        <v/>
      </c>
      <c r="E1044" s="8">
        <f>IF(ISNA(MATCH(1031,Engine!$C$2:$C$1369,0)),"",INDEX('Compliance Database'!$E$2:$E$1369,MATCH(1031,Engine!$C$2:$C$1369,0)))</f>
        <v/>
      </c>
      <c r="F1044" s="8">
        <f>IF(ISNA(MATCH(1031,Engine!$C$2:$C$1369,0)),"",INDEX('Compliance Database'!$F$2:$F$1369,MATCH(1031,Engine!$C$2:$C$1369,0)))</f>
        <v/>
      </c>
      <c r="G1044" s="8">
        <f>IF(ISNA(MATCH(1031,Engine!$C$2:$C$1369,0)),"",INDEX('Compliance Database'!$G$2:$G$1369,MATCH(1031,Engine!$C$2:$C$1369,0)))</f>
        <v/>
      </c>
      <c r="H1044" s="9">
        <f>IF(ISNA(MATCH(1031,Engine!$C$2:$C$1369,0)),"",INDEX('Compliance Database'!$H$2:$H$1369,MATCH(1031,Engine!$C$2:$C$1369,0)))</f>
        <v/>
      </c>
      <c r="I1044" s="9">
        <f>IF(ISNA(MATCH(1031,Engine!$C$2:$C$1369,0)),"",INDEX('Compliance Database'!$I$2:$I$1369,MATCH(1031,Engine!$C$2:$C$1369,0)))</f>
        <v/>
      </c>
      <c r="J1044" s="8">
        <f>IF(ISNA(MATCH(1031,Engine!$C$2:$C$1369,0)),"",INDEX('Compliance Database'!$J$2:$J$1369,MATCH(1031,Engine!$C$2:$C$1369,0)))</f>
        <v/>
      </c>
      <c r="K1044" s="9">
        <f>IF(ISNA(MATCH(1031,Engine!$C$2:$C$1369,0)),"",INDEX('Compliance Database'!$K$2:$K$1369,MATCH(1031,Engine!$C$2:$C$1369,0)))</f>
        <v/>
      </c>
      <c r="L1044" s="9">
        <f>IF(ISNA(MATCH(1031,Engine!$C$2:$C$1369,0)),"",INDEX('Compliance Database'!$L$2:$L$1369,MATCH(1031,Engine!$C$2:$C$1369,0)))</f>
        <v/>
      </c>
      <c r="M1044" s="9">
        <f>IF(ISNA(MATCH(1031,Engine!$C$2:$C$1369,0)),"",INDEX('Compliance Database'!$M$2:$M$1369,MATCH(1031,Engine!$C$2:$C$1369,0)))</f>
        <v/>
      </c>
      <c r="N1044" s="9">
        <f>IF(ISNA(MATCH(1031,Engine!$C$2:$C$1369,0)),"",INDEX('Compliance Database'!$N$2:$N$1369,MATCH(1031,Engine!$C$2:$C$1369,0)))</f>
        <v/>
      </c>
      <c r="O1044" s="8">
        <f>IF(ISNA(MATCH(1031,Engine!$C$2:$C$1369,0)),"",HYPERLINK(INDEX('Compliance Database'!$O$2:$O$1369,MATCH(1031,Engine!$C$2:$C$1369,0)),"Open PDF"))</f>
        <v/>
      </c>
    </row>
    <row r="1045" ht="188" customHeight="1">
      <c r="A1045" s="8">
        <f>IF(ISNA(MATCH(1032,Engine!$C$2:$C$1369,0)),"",INDEX('Compliance Database'!$A$2:$A$1369,MATCH(1032,Engine!$C$2:$C$1369,0)))</f>
        <v/>
      </c>
      <c r="B1045" s="8">
        <f>IF(ISNA(MATCH(1032,Engine!$C$2:$C$1369,0)),"",INDEX('Compliance Database'!$B$2:$B$1369,MATCH(1032,Engine!$C$2:$C$1369,0)))</f>
        <v/>
      </c>
      <c r="C1045" s="8">
        <f>IF(ISNA(MATCH(1032,Engine!$C$2:$C$1369,0)),"",INDEX('Compliance Database'!$C$2:$C$1369,MATCH(1032,Engine!$C$2:$C$1369,0)))</f>
        <v/>
      </c>
      <c r="D1045" s="9">
        <f>IF(ISNA(MATCH(1032,Engine!$C$2:$C$1369,0)),"",INDEX('Compliance Database'!$D$2:$D$1369,MATCH(1032,Engine!$C$2:$C$1369,0)))</f>
        <v/>
      </c>
      <c r="E1045" s="8">
        <f>IF(ISNA(MATCH(1032,Engine!$C$2:$C$1369,0)),"",INDEX('Compliance Database'!$E$2:$E$1369,MATCH(1032,Engine!$C$2:$C$1369,0)))</f>
        <v/>
      </c>
      <c r="F1045" s="8">
        <f>IF(ISNA(MATCH(1032,Engine!$C$2:$C$1369,0)),"",INDEX('Compliance Database'!$F$2:$F$1369,MATCH(1032,Engine!$C$2:$C$1369,0)))</f>
        <v/>
      </c>
      <c r="G1045" s="8">
        <f>IF(ISNA(MATCH(1032,Engine!$C$2:$C$1369,0)),"",INDEX('Compliance Database'!$G$2:$G$1369,MATCH(1032,Engine!$C$2:$C$1369,0)))</f>
        <v/>
      </c>
      <c r="H1045" s="9">
        <f>IF(ISNA(MATCH(1032,Engine!$C$2:$C$1369,0)),"",INDEX('Compliance Database'!$H$2:$H$1369,MATCH(1032,Engine!$C$2:$C$1369,0)))</f>
        <v/>
      </c>
      <c r="I1045" s="9">
        <f>IF(ISNA(MATCH(1032,Engine!$C$2:$C$1369,0)),"",INDEX('Compliance Database'!$I$2:$I$1369,MATCH(1032,Engine!$C$2:$C$1369,0)))</f>
        <v/>
      </c>
      <c r="J1045" s="8">
        <f>IF(ISNA(MATCH(1032,Engine!$C$2:$C$1369,0)),"",INDEX('Compliance Database'!$J$2:$J$1369,MATCH(1032,Engine!$C$2:$C$1369,0)))</f>
        <v/>
      </c>
      <c r="K1045" s="9">
        <f>IF(ISNA(MATCH(1032,Engine!$C$2:$C$1369,0)),"",INDEX('Compliance Database'!$K$2:$K$1369,MATCH(1032,Engine!$C$2:$C$1369,0)))</f>
        <v/>
      </c>
      <c r="L1045" s="9">
        <f>IF(ISNA(MATCH(1032,Engine!$C$2:$C$1369,0)),"",INDEX('Compliance Database'!$L$2:$L$1369,MATCH(1032,Engine!$C$2:$C$1369,0)))</f>
        <v/>
      </c>
      <c r="M1045" s="9">
        <f>IF(ISNA(MATCH(1032,Engine!$C$2:$C$1369,0)),"",INDEX('Compliance Database'!$M$2:$M$1369,MATCH(1032,Engine!$C$2:$C$1369,0)))</f>
        <v/>
      </c>
      <c r="N1045" s="9">
        <f>IF(ISNA(MATCH(1032,Engine!$C$2:$C$1369,0)),"",INDEX('Compliance Database'!$N$2:$N$1369,MATCH(1032,Engine!$C$2:$C$1369,0)))</f>
        <v/>
      </c>
      <c r="O1045" s="8">
        <f>IF(ISNA(MATCH(1032,Engine!$C$2:$C$1369,0)),"",HYPERLINK(INDEX('Compliance Database'!$O$2:$O$1369,MATCH(1032,Engine!$C$2:$C$1369,0)),"Open PDF"))</f>
        <v/>
      </c>
    </row>
    <row r="1046" ht="188" customHeight="1">
      <c r="A1046" s="8">
        <f>IF(ISNA(MATCH(1033,Engine!$C$2:$C$1369,0)),"",INDEX('Compliance Database'!$A$2:$A$1369,MATCH(1033,Engine!$C$2:$C$1369,0)))</f>
        <v/>
      </c>
      <c r="B1046" s="8">
        <f>IF(ISNA(MATCH(1033,Engine!$C$2:$C$1369,0)),"",INDEX('Compliance Database'!$B$2:$B$1369,MATCH(1033,Engine!$C$2:$C$1369,0)))</f>
        <v/>
      </c>
      <c r="C1046" s="8">
        <f>IF(ISNA(MATCH(1033,Engine!$C$2:$C$1369,0)),"",INDEX('Compliance Database'!$C$2:$C$1369,MATCH(1033,Engine!$C$2:$C$1369,0)))</f>
        <v/>
      </c>
      <c r="D1046" s="9">
        <f>IF(ISNA(MATCH(1033,Engine!$C$2:$C$1369,0)),"",INDEX('Compliance Database'!$D$2:$D$1369,MATCH(1033,Engine!$C$2:$C$1369,0)))</f>
        <v/>
      </c>
      <c r="E1046" s="8">
        <f>IF(ISNA(MATCH(1033,Engine!$C$2:$C$1369,0)),"",INDEX('Compliance Database'!$E$2:$E$1369,MATCH(1033,Engine!$C$2:$C$1369,0)))</f>
        <v/>
      </c>
      <c r="F1046" s="8">
        <f>IF(ISNA(MATCH(1033,Engine!$C$2:$C$1369,0)),"",INDEX('Compliance Database'!$F$2:$F$1369,MATCH(1033,Engine!$C$2:$C$1369,0)))</f>
        <v/>
      </c>
      <c r="G1046" s="8">
        <f>IF(ISNA(MATCH(1033,Engine!$C$2:$C$1369,0)),"",INDEX('Compliance Database'!$G$2:$G$1369,MATCH(1033,Engine!$C$2:$C$1369,0)))</f>
        <v/>
      </c>
      <c r="H1046" s="9">
        <f>IF(ISNA(MATCH(1033,Engine!$C$2:$C$1369,0)),"",INDEX('Compliance Database'!$H$2:$H$1369,MATCH(1033,Engine!$C$2:$C$1369,0)))</f>
        <v/>
      </c>
      <c r="I1046" s="9">
        <f>IF(ISNA(MATCH(1033,Engine!$C$2:$C$1369,0)),"",INDEX('Compliance Database'!$I$2:$I$1369,MATCH(1033,Engine!$C$2:$C$1369,0)))</f>
        <v/>
      </c>
      <c r="J1046" s="8">
        <f>IF(ISNA(MATCH(1033,Engine!$C$2:$C$1369,0)),"",INDEX('Compliance Database'!$J$2:$J$1369,MATCH(1033,Engine!$C$2:$C$1369,0)))</f>
        <v/>
      </c>
      <c r="K1046" s="9">
        <f>IF(ISNA(MATCH(1033,Engine!$C$2:$C$1369,0)),"",INDEX('Compliance Database'!$K$2:$K$1369,MATCH(1033,Engine!$C$2:$C$1369,0)))</f>
        <v/>
      </c>
      <c r="L1046" s="9">
        <f>IF(ISNA(MATCH(1033,Engine!$C$2:$C$1369,0)),"",INDEX('Compliance Database'!$L$2:$L$1369,MATCH(1033,Engine!$C$2:$C$1369,0)))</f>
        <v/>
      </c>
      <c r="M1046" s="9">
        <f>IF(ISNA(MATCH(1033,Engine!$C$2:$C$1369,0)),"",INDEX('Compliance Database'!$M$2:$M$1369,MATCH(1033,Engine!$C$2:$C$1369,0)))</f>
        <v/>
      </c>
      <c r="N1046" s="9">
        <f>IF(ISNA(MATCH(1033,Engine!$C$2:$C$1369,0)),"",INDEX('Compliance Database'!$N$2:$N$1369,MATCH(1033,Engine!$C$2:$C$1369,0)))</f>
        <v/>
      </c>
      <c r="O1046" s="8">
        <f>IF(ISNA(MATCH(1033,Engine!$C$2:$C$1369,0)),"",HYPERLINK(INDEX('Compliance Database'!$O$2:$O$1369,MATCH(1033,Engine!$C$2:$C$1369,0)),"Open PDF"))</f>
        <v/>
      </c>
    </row>
    <row r="1047" ht="188" customHeight="1">
      <c r="A1047" s="8">
        <f>IF(ISNA(MATCH(1034,Engine!$C$2:$C$1369,0)),"",INDEX('Compliance Database'!$A$2:$A$1369,MATCH(1034,Engine!$C$2:$C$1369,0)))</f>
        <v/>
      </c>
      <c r="B1047" s="8">
        <f>IF(ISNA(MATCH(1034,Engine!$C$2:$C$1369,0)),"",INDEX('Compliance Database'!$B$2:$B$1369,MATCH(1034,Engine!$C$2:$C$1369,0)))</f>
        <v/>
      </c>
      <c r="C1047" s="8">
        <f>IF(ISNA(MATCH(1034,Engine!$C$2:$C$1369,0)),"",INDEX('Compliance Database'!$C$2:$C$1369,MATCH(1034,Engine!$C$2:$C$1369,0)))</f>
        <v/>
      </c>
      <c r="D1047" s="9">
        <f>IF(ISNA(MATCH(1034,Engine!$C$2:$C$1369,0)),"",INDEX('Compliance Database'!$D$2:$D$1369,MATCH(1034,Engine!$C$2:$C$1369,0)))</f>
        <v/>
      </c>
      <c r="E1047" s="8">
        <f>IF(ISNA(MATCH(1034,Engine!$C$2:$C$1369,0)),"",INDEX('Compliance Database'!$E$2:$E$1369,MATCH(1034,Engine!$C$2:$C$1369,0)))</f>
        <v/>
      </c>
      <c r="F1047" s="8">
        <f>IF(ISNA(MATCH(1034,Engine!$C$2:$C$1369,0)),"",INDEX('Compliance Database'!$F$2:$F$1369,MATCH(1034,Engine!$C$2:$C$1369,0)))</f>
        <v/>
      </c>
      <c r="G1047" s="8">
        <f>IF(ISNA(MATCH(1034,Engine!$C$2:$C$1369,0)),"",INDEX('Compliance Database'!$G$2:$G$1369,MATCH(1034,Engine!$C$2:$C$1369,0)))</f>
        <v/>
      </c>
      <c r="H1047" s="9">
        <f>IF(ISNA(MATCH(1034,Engine!$C$2:$C$1369,0)),"",INDEX('Compliance Database'!$H$2:$H$1369,MATCH(1034,Engine!$C$2:$C$1369,0)))</f>
        <v/>
      </c>
      <c r="I1047" s="9">
        <f>IF(ISNA(MATCH(1034,Engine!$C$2:$C$1369,0)),"",INDEX('Compliance Database'!$I$2:$I$1369,MATCH(1034,Engine!$C$2:$C$1369,0)))</f>
        <v/>
      </c>
      <c r="J1047" s="8">
        <f>IF(ISNA(MATCH(1034,Engine!$C$2:$C$1369,0)),"",INDEX('Compliance Database'!$J$2:$J$1369,MATCH(1034,Engine!$C$2:$C$1369,0)))</f>
        <v/>
      </c>
      <c r="K1047" s="9">
        <f>IF(ISNA(MATCH(1034,Engine!$C$2:$C$1369,0)),"",INDEX('Compliance Database'!$K$2:$K$1369,MATCH(1034,Engine!$C$2:$C$1369,0)))</f>
        <v/>
      </c>
      <c r="L1047" s="9">
        <f>IF(ISNA(MATCH(1034,Engine!$C$2:$C$1369,0)),"",INDEX('Compliance Database'!$L$2:$L$1369,MATCH(1034,Engine!$C$2:$C$1369,0)))</f>
        <v/>
      </c>
      <c r="M1047" s="9">
        <f>IF(ISNA(MATCH(1034,Engine!$C$2:$C$1369,0)),"",INDEX('Compliance Database'!$M$2:$M$1369,MATCH(1034,Engine!$C$2:$C$1369,0)))</f>
        <v/>
      </c>
      <c r="N1047" s="9">
        <f>IF(ISNA(MATCH(1034,Engine!$C$2:$C$1369,0)),"",INDEX('Compliance Database'!$N$2:$N$1369,MATCH(1034,Engine!$C$2:$C$1369,0)))</f>
        <v/>
      </c>
      <c r="O1047" s="8">
        <f>IF(ISNA(MATCH(1034,Engine!$C$2:$C$1369,0)),"",HYPERLINK(INDEX('Compliance Database'!$O$2:$O$1369,MATCH(1034,Engine!$C$2:$C$1369,0)),"Open PDF"))</f>
        <v/>
      </c>
    </row>
    <row r="1048" ht="188" customHeight="1">
      <c r="A1048" s="8">
        <f>IF(ISNA(MATCH(1035,Engine!$C$2:$C$1369,0)),"",INDEX('Compliance Database'!$A$2:$A$1369,MATCH(1035,Engine!$C$2:$C$1369,0)))</f>
        <v/>
      </c>
      <c r="B1048" s="8">
        <f>IF(ISNA(MATCH(1035,Engine!$C$2:$C$1369,0)),"",INDEX('Compliance Database'!$B$2:$B$1369,MATCH(1035,Engine!$C$2:$C$1369,0)))</f>
        <v/>
      </c>
      <c r="C1048" s="8">
        <f>IF(ISNA(MATCH(1035,Engine!$C$2:$C$1369,0)),"",INDEX('Compliance Database'!$C$2:$C$1369,MATCH(1035,Engine!$C$2:$C$1369,0)))</f>
        <v/>
      </c>
      <c r="D1048" s="9">
        <f>IF(ISNA(MATCH(1035,Engine!$C$2:$C$1369,0)),"",INDEX('Compliance Database'!$D$2:$D$1369,MATCH(1035,Engine!$C$2:$C$1369,0)))</f>
        <v/>
      </c>
      <c r="E1048" s="8">
        <f>IF(ISNA(MATCH(1035,Engine!$C$2:$C$1369,0)),"",INDEX('Compliance Database'!$E$2:$E$1369,MATCH(1035,Engine!$C$2:$C$1369,0)))</f>
        <v/>
      </c>
      <c r="F1048" s="8">
        <f>IF(ISNA(MATCH(1035,Engine!$C$2:$C$1369,0)),"",INDEX('Compliance Database'!$F$2:$F$1369,MATCH(1035,Engine!$C$2:$C$1369,0)))</f>
        <v/>
      </c>
      <c r="G1048" s="8">
        <f>IF(ISNA(MATCH(1035,Engine!$C$2:$C$1369,0)),"",INDEX('Compliance Database'!$G$2:$G$1369,MATCH(1035,Engine!$C$2:$C$1369,0)))</f>
        <v/>
      </c>
      <c r="H1048" s="9">
        <f>IF(ISNA(MATCH(1035,Engine!$C$2:$C$1369,0)),"",INDEX('Compliance Database'!$H$2:$H$1369,MATCH(1035,Engine!$C$2:$C$1369,0)))</f>
        <v/>
      </c>
      <c r="I1048" s="9">
        <f>IF(ISNA(MATCH(1035,Engine!$C$2:$C$1369,0)),"",INDEX('Compliance Database'!$I$2:$I$1369,MATCH(1035,Engine!$C$2:$C$1369,0)))</f>
        <v/>
      </c>
      <c r="J1048" s="8">
        <f>IF(ISNA(MATCH(1035,Engine!$C$2:$C$1369,0)),"",INDEX('Compliance Database'!$J$2:$J$1369,MATCH(1035,Engine!$C$2:$C$1369,0)))</f>
        <v/>
      </c>
      <c r="K1048" s="9">
        <f>IF(ISNA(MATCH(1035,Engine!$C$2:$C$1369,0)),"",INDEX('Compliance Database'!$K$2:$K$1369,MATCH(1035,Engine!$C$2:$C$1369,0)))</f>
        <v/>
      </c>
      <c r="L1048" s="9">
        <f>IF(ISNA(MATCH(1035,Engine!$C$2:$C$1369,0)),"",INDEX('Compliance Database'!$L$2:$L$1369,MATCH(1035,Engine!$C$2:$C$1369,0)))</f>
        <v/>
      </c>
      <c r="M1048" s="9">
        <f>IF(ISNA(MATCH(1035,Engine!$C$2:$C$1369,0)),"",INDEX('Compliance Database'!$M$2:$M$1369,MATCH(1035,Engine!$C$2:$C$1369,0)))</f>
        <v/>
      </c>
      <c r="N1048" s="9">
        <f>IF(ISNA(MATCH(1035,Engine!$C$2:$C$1369,0)),"",INDEX('Compliance Database'!$N$2:$N$1369,MATCH(1035,Engine!$C$2:$C$1369,0)))</f>
        <v/>
      </c>
      <c r="O1048" s="8">
        <f>IF(ISNA(MATCH(1035,Engine!$C$2:$C$1369,0)),"",HYPERLINK(INDEX('Compliance Database'!$O$2:$O$1369,MATCH(1035,Engine!$C$2:$C$1369,0)),"Open PDF"))</f>
        <v/>
      </c>
    </row>
    <row r="1049" ht="188" customHeight="1">
      <c r="A1049" s="8">
        <f>IF(ISNA(MATCH(1036,Engine!$C$2:$C$1369,0)),"",INDEX('Compliance Database'!$A$2:$A$1369,MATCH(1036,Engine!$C$2:$C$1369,0)))</f>
        <v/>
      </c>
      <c r="B1049" s="8">
        <f>IF(ISNA(MATCH(1036,Engine!$C$2:$C$1369,0)),"",INDEX('Compliance Database'!$B$2:$B$1369,MATCH(1036,Engine!$C$2:$C$1369,0)))</f>
        <v/>
      </c>
      <c r="C1049" s="8">
        <f>IF(ISNA(MATCH(1036,Engine!$C$2:$C$1369,0)),"",INDEX('Compliance Database'!$C$2:$C$1369,MATCH(1036,Engine!$C$2:$C$1369,0)))</f>
        <v/>
      </c>
      <c r="D1049" s="9">
        <f>IF(ISNA(MATCH(1036,Engine!$C$2:$C$1369,0)),"",INDEX('Compliance Database'!$D$2:$D$1369,MATCH(1036,Engine!$C$2:$C$1369,0)))</f>
        <v/>
      </c>
      <c r="E1049" s="8">
        <f>IF(ISNA(MATCH(1036,Engine!$C$2:$C$1369,0)),"",INDEX('Compliance Database'!$E$2:$E$1369,MATCH(1036,Engine!$C$2:$C$1369,0)))</f>
        <v/>
      </c>
      <c r="F1049" s="8">
        <f>IF(ISNA(MATCH(1036,Engine!$C$2:$C$1369,0)),"",INDEX('Compliance Database'!$F$2:$F$1369,MATCH(1036,Engine!$C$2:$C$1369,0)))</f>
        <v/>
      </c>
      <c r="G1049" s="8">
        <f>IF(ISNA(MATCH(1036,Engine!$C$2:$C$1369,0)),"",INDEX('Compliance Database'!$G$2:$G$1369,MATCH(1036,Engine!$C$2:$C$1369,0)))</f>
        <v/>
      </c>
      <c r="H1049" s="9">
        <f>IF(ISNA(MATCH(1036,Engine!$C$2:$C$1369,0)),"",INDEX('Compliance Database'!$H$2:$H$1369,MATCH(1036,Engine!$C$2:$C$1369,0)))</f>
        <v/>
      </c>
      <c r="I1049" s="9">
        <f>IF(ISNA(MATCH(1036,Engine!$C$2:$C$1369,0)),"",INDEX('Compliance Database'!$I$2:$I$1369,MATCH(1036,Engine!$C$2:$C$1369,0)))</f>
        <v/>
      </c>
      <c r="J1049" s="8">
        <f>IF(ISNA(MATCH(1036,Engine!$C$2:$C$1369,0)),"",INDEX('Compliance Database'!$J$2:$J$1369,MATCH(1036,Engine!$C$2:$C$1369,0)))</f>
        <v/>
      </c>
      <c r="K1049" s="9">
        <f>IF(ISNA(MATCH(1036,Engine!$C$2:$C$1369,0)),"",INDEX('Compliance Database'!$K$2:$K$1369,MATCH(1036,Engine!$C$2:$C$1369,0)))</f>
        <v/>
      </c>
      <c r="L1049" s="9">
        <f>IF(ISNA(MATCH(1036,Engine!$C$2:$C$1369,0)),"",INDEX('Compliance Database'!$L$2:$L$1369,MATCH(1036,Engine!$C$2:$C$1369,0)))</f>
        <v/>
      </c>
      <c r="M1049" s="9">
        <f>IF(ISNA(MATCH(1036,Engine!$C$2:$C$1369,0)),"",INDEX('Compliance Database'!$M$2:$M$1369,MATCH(1036,Engine!$C$2:$C$1369,0)))</f>
        <v/>
      </c>
      <c r="N1049" s="9">
        <f>IF(ISNA(MATCH(1036,Engine!$C$2:$C$1369,0)),"",INDEX('Compliance Database'!$N$2:$N$1369,MATCH(1036,Engine!$C$2:$C$1369,0)))</f>
        <v/>
      </c>
      <c r="O1049" s="8">
        <f>IF(ISNA(MATCH(1036,Engine!$C$2:$C$1369,0)),"",HYPERLINK(INDEX('Compliance Database'!$O$2:$O$1369,MATCH(1036,Engine!$C$2:$C$1369,0)),"Open PDF"))</f>
        <v/>
      </c>
    </row>
    <row r="1050" ht="188" customHeight="1">
      <c r="A1050" s="8">
        <f>IF(ISNA(MATCH(1037,Engine!$C$2:$C$1369,0)),"",INDEX('Compliance Database'!$A$2:$A$1369,MATCH(1037,Engine!$C$2:$C$1369,0)))</f>
        <v/>
      </c>
      <c r="B1050" s="8">
        <f>IF(ISNA(MATCH(1037,Engine!$C$2:$C$1369,0)),"",INDEX('Compliance Database'!$B$2:$B$1369,MATCH(1037,Engine!$C$2:$C$1369,0)))</f>
        <v/>
      </c>
      <c r="C1050" s="8">
        <f>IF(ISNA(MATCH(1037,Engine!$C$2:$C$1369,0)),"",INDEX('Compliance Database'!$C$2:$C$1369,MATCH(1037,Engine!$C$2:$C$1369,0)))</f>
        <v/>
      </c>
      <c r="D1050" s="9">
        <f>IF(ISNA(MATCH(1037,Engine!$C$2:$C$1369,0)),"",INDEX('Compliance Database'!$D$2:$D$1369,MATCH(1037,Engine!$C$2:$C$1369,0)))</f>
        <v/>
      </c>
      <c r="E1050" s="8">
        <f>IF(ISNA(MATCH(1037,Engine!$C$2:$C$1369,0)),"",INDEX('Compliance Database'!$E$2:$E$1369,MATCH(1037,Engine!$C$2:$C$1369,0)))</f>
        <v/>
      </c>
      <c r="F1050" s="8">
        <f>IF(ISNA(MATCH(1037,Engine!$C$2:$C$1369,0)),"",INDEX('Compliance Database'!$F$2:$F$1369,MATCH(1037,Engine!$C$2:$C$1369,0)))</f>
        <v/>
      </c>
      <c r="G1050" s="8">
        <f>IF(ISNA(MATCH(1037,Engine!$C$2:$C$1369,0)),"",INDEX('Compliance Database'!$G$2:$G$1369,MATCH(1037,Engine!$C$2:$C$1369,0)))</f>
        <v/>
      </c>
      <c r="H1050" s="9">
        <f>IF(ISNA(MATCH(1037,Engine!$C$2:$C$1369,0)),"",INDEX('Compliance Database'!$H$2:$H$1369,MATCH(1037,Engine!$C$2:$C$1369,0)))</f>
        <v/>
      </c>
      <c r="I1050" s="9">
        <f>IF(ISNA(MATCH(1037,Engine!$C$2:$C$1369,0)),"",INDEX('Compliance Database'!$I$2:$I$1369,MATCH(1037,Engine!$C$2:$C$1369,0)))</f>
        <v/>
      </c>
      <c r="J1050" s="8">
        <f>IF(ISNA(MATCH(1037,Engine!$C$2:$C$1369,0)),"",INDEX('Compliance Database'!$J$2:$J$1369,MATCH(1037,Engine!$C$2:$C$1369,0)))</f>
        <v/>
      </c>
      <c r="K1050" s="9">
        <f>IF(ISNA(MATCH(1037,Engine!$C$2:$C$1369,0)),"",INDEX('Compliance Database'!$K$2:$K$1369,MATCH(1037,Engine!$C$2:$C$1369,0)))</f>
        <v/>
      </c>
      <c r="L1050" s="9">
        <f>IF(ISNA(MATCH(1037,Engine!$C$2:$C$1369,0)),"",INDEX('Compliance Database'!$L$2:$L$1369,MATCH(1037,Engine!$C$2:$C$1369,0)))</f>
        <v/>
      </c>
      <c r="M1050" s="9">
        <f>IF(ISNA(MATCH(1037,Engine!$C$2:$C$1369,0)),"",INDEX('Compliance Database'!$M$2:$M$1369,MATCH(1037,Engine!$C$2:$C$1369,0)))</f>
        <v/>
      </c>
      <c r="N1050" s="9">
        <f>IF(ISNA(MATCH(1037,Engine!$C$2:$C$1369,0)),"",INDEX('Compliance Database'!$N$2:$N$1369,MATCH(1037,Engine!$C$2:$C$1369,0)))</f>
        <v/>
      </c>
      <c r="O1050" s="8">
        <f>IF(ISNA(MATCH(1037,Engine!$C$2:$C$1369,0)),"",HYPERLINK(INDEX('Compliance Database'!$O$2:$O$1369,MATCH(1037,Engine!$C$2:$C$1369,0)),"Open PDF"))</f>
        <v/>
      </c>
    </row>
    <row r="1051" ht="188" customHeight="1">
      <c r="A1051" s="8">
        <f>IF(ISNA(MATCH(1038,Engine!$C$2:$C$1369,0)),"",INDEX('Compliance Database'!$A$2:$A$1369,MATCH(1038,Engine!$C$2:$C$1369,0)))</f>
        <v/>
      </c>
      <c r="B1051" s="8">
        <f>IF(ISNA(MATCH(1038,Engine!$C$2:$C$1369,0)),"",INDEX('Compliance Database'!$B$2:$B$1369,MATCH(1038,Engine!$C$2:$C$1369,0)))</f>
        <v/>
      </c>
      <c r="C1051" s="8">
        <f>IF(ISNA(MATCH(1038,Engine!$C$2:$C$1369,0)),"",INDEX('Compliance Database'!$C$2:$C$1369,MATCH(1038,Engine!$C$2:$C$1369,0)))</f>
        <v/>
      </c>
      <c r="D1051" s="9">
        <f>IF(ISNA(MATCH(1038,Engine!$C$2:$C$1369,0)),"",INDEX('Compliance Database'!$D$2:$D$1369,MATCH(1038,Engine!$C$2:$C$1369,0)))</f>
        <v/>
      </c>
      <c r="E1051" s="8">
        <f>IF(ISNA(MATCH(1038,Engine!$C$2:$C$1369,0)),"",INDEX('Compliance Database'!$E$2:$E$1369,MATCH(1038,Engine!$C$2:$C$1369,0)))</f>
        <v/>
      </c>
      <c r="F1051" s="8">
        <f>IF(ISNA(MATCH(1038,Engine!$C$2:$C$1369,0)),"",INDEX('Compliance Database'!$F$2:$F$1369,MATCH(1038,Engine!$C$2:$C$1369,0)))</f>
        <v/>
      </c>
      <c r="G1051" s="8">
        <f>IF(ISNA(MATCH(1038,Engine!$C$2:$C$1369,0)),"",INDEX('Compliance Database'!$G$2:$G$1369,MATCH(1038,Engine!$C$2:$C$1369,0)))</f>
        <v/>
      </c>
      <c r="H1051" s="9">
        <f>IF(ISNA(MATCH(1038,Engine!$C$2:$C$1369,0)),"",INDEX('Compliance Database'!$H$2:$H$1369,MATCH(1038,Engine!$C$2:$C$1369,0)))</f>
        <v/>
      </c>
      <c r="I1051" s="9">
        <f>IF(ISNA(MATCH(1038,Engine!$C$2:$C$1369,0)),"",INDEX('Compliance Database'!$I$2:$I$1369,MATCH(1038,Engine!$C$2:$C$1369,0)))</f>
        <v/>
      </c>
      <c r="J1051" s="8">
        <f>IF(ISNA(MATCH(1038,Engine!$C$2:$C$1369,0)),"",INDEX('Compliance Database'!$J$2:$J$1369,MATCH(1038,Engine!$C$2:$C$1369,0)))</f>
        <v/>
      </c>
      <c r="K1051" s="9">
        <f>IF(ISNA(MATCH(1038,Engine!$C$2:$C$1369,0)),"",INDEX('Compliance Database'!$K$2:$K$1369,MATCH(1038,Engine!$C$2:$C$1369,0)))</f>
        <v/>
      </c>
      <c r="L1051" s="9">
        <f>IF(ISNA(MATCH(1038,Engine!$C$2:$C$1369,0)),"",INDEX('Compliance Database'!$L$2:$L$1369,MATCH(1038,Engine!$C$2:$C$1369,0)))</f>
        <v/>
      </c>
      <c r="M1051" s="9">
        <f>IF(ISNA(MATCH(1038,Engine!$C$2:$C$1369,0)),"",INDEX('Compliance Database'!$M$2:$M$1369,MATCH(1038,Engine!$C$2:$C$1369,0)))</f>
        <v/>
      </c>
      <c r="N1051" s="9">
        <f>IF(ISNA(MATCH(1038,Engine!$C$2:$C$1369,0)),"",INDEX('Compliance Database'!$N$2:$N$1369,MATCH(1038,Engine!$C$2:$C$1369,0)))</f>
        <v/>
      </c>
      <c r="O1051" s="8">
        <f>IF(ISNA(MATCH(1038,Engine!$C$2:$C$1369,0)),"",HYPERLINK(INDEX('Compliance Database'!$O$2:$O$1369,MATCH(1038,Engine!$C$2:$C$1369,0)),"Open PDF"))</f>
        <v/>
      </c>
    </row>
    <row r="1052" ht="188" customHeight="1">
      <c r="A1052" s="8">
        <f>IF(ISNA(MATCH(1039,Engine!$C$2:$C$1369,0)),"",INDEX('Compliance Database'!$A$2:$A$1369,MATCH(1039,Engine!$C$2:$C$1369,0)))</f>
        <v/>
      </c>
      <c r="B1052" s="8">
        <f>IF(ISNA(MATCH(1039,Engine!$C$2:$C$1369,0)),"",INDEX('Compliance Database'!$B$2:$B$1369,MATCH(1039,Engine!$C$2:$C$1369,0)))</f>
        <v/>
      </c>
      <c r="C1052" s="8">
        <f>IF(ISNA(MATCH(1039,Engine!$C$2:$C$1369,0)),"",INDEX('Compliance Database'!$C$2:$C$1369,MATCH(1039,Engine!$C$2:$C$1369,0)))</f>
        <v/>
      </c>
      <c r="D1052" s="9">
        <f>IF(ISNA(MATCH(1039,Engine!$C$2:$C$1369,0)),"",INDEX('Compliance Database'!$D$2:$D$1369,MATCH(1039,Engine!$C$2:$C$1369,0)))</f>
        <v/>
      </c>
      <c r="E1052" s="8">
        <f>IF(ISNA(MATCH(1039,Engine!$C$2:$C$1369,0)),"",INDEX('Compliance Database'!$E$2:$E$1369,MATCH(1039,Engine!$C$2:$C$1369,0)))</f>
        <v/>
      </c>
      <c r="F1052" s="8">
        <f>IF(ISNA(MATCH(1039,Engine!$C$2:$C$1369,0)),"",INDEX('Compliance Database'!$F$2:$F$1369,MATCH(1039,Engine!$C$2:$C$1369,0)))</f>
        <v/>
      </c>
      <c r="G1052" s="8">
        <f>IF(ISNA(MATCH(1039,Engine!$C$2:$C$1369,0)),"",INDEX('Compliance Database'!$G$2:$G$1369,MATCH(1039,Engine!$C$2:$C$1369,0)))</f>
        <v/>
      </c>
      <c r="H1052" s="9">
        <f>IF(ISNA(MATCH(1039,Engine!$C$2:$C$1369,0)),"",INDEX('Compliance Database'!$H$2:$H$1369,MATCH(1039,Engine!$C$2:$C$1369,0)))</f>
        <v/>
      </c>
      <c r="I1052" s="9">
        <f>IF(ISNA(MATCH(1039,Engine!$C$2:$C$1369,0)),"",INDEX('Compliance Database'!$I$2:$I$1369,MATCH(1039,Engine!$C$2:$C$1369,0)))</f>
        <v/>
      </c>
      <c r="J1052" s="8">
        <f>IF(ISNA(MATCH(1039,Engine!$C$2:$C$1369,0)),"",INDEX('Compliance Database'!$J$2:$J$1369,MATCH(1039,Engine!$C$2:$C$1369,0)))</f>
        <v/>
      </c>
      <c r="K1052" s="9">
        <f>IF(ISNA(MATCH(1039,Engine!$C$2:$C$1369,0)),"",INDEX('Compliance Database'!$K$2:$K$1369,MATCH(1039,Engine!$C$2:$C$1369,0)))</f>
        <v/>
      </c>
      <c r="L1052" s="9">
        <f>IF(ISNA(MATCH(1039,Engine!$C$2:$C$1369,0)),"",INDEX('Compliance Database'!$L$2:$L$1369,MATCH(1039,Engine!$C$2:$C$1369,0)))</f>
        <v/>
      </c>
      <c r="M1052" s="9">
        <f>IF(ISNA(MATCH(1039,Engine!$C$2:$C$1369,0)),"",INDEX('Compliance Database'!$M$2:$M$1369,MATCH(1039,Engine!$C$2:$C$1369,0)))</f>
        <v/>
      </c>
      <c r="N1052" s="9">
        <f>IF(ISNA(MATCH(1039,Engine!$C$2:$C$1369,0)),"",INDEX('Compliance Database'!$N$2:$N$1369,MATCH(1039,Engine!$C$2:$C$1369,0)))</f>
        <v/>
      </c>
      <c r="O1052" s="8">
        <f>IF(ISNA(MATCH(1039,Engine!$C$2:$C$1369,0)),"",HYPERLINK(INDEX('Compliance Database'!$O$2:$O$1369,MATCH(1039,Engine!$C$2:$C$1369,0)),"Open PDF"))</f>
        <v/>
      </c>
    </row>
    <row r="1053" ht="188" customHeight="1">
      <c r="A1053" s="8">
        <f>IF(ISNA(MATCH(1040,Engine!$C$2:$C$1369,0)),"",INDEX('Compliance Database'!$A$2:$A$1369,MATCH(1040,Engine!$C$2:$C$1369,0)))</f>
        <v/>
      </c>
      <c r="B1053" s="8">
        <f>IF(ISNA(MATCH(1040,Engine!$C$2:$C$1369,0)),"",INDEX('Compliance Database'!$B$2:$B$1369,MATCH(1040,Engine!$C$2:$C$1369,0)))</f>
        <v/>
      </c>
      <c r="C1053" s="8">
        <f>IF(ISNA(MATCH(1040,Engine!$C$2:$C$1369,0)),"",INDEX('Compliance Database'!$C$2:$C$1369,MATCH(1040,Engine!$C$2:$C$1369,0)))</f>
        <v/>
      </c>
      <c r="D1053" s="9">
        <f>IF(ISNA(MATCH(1040,Engine!$C$2:$C$1369,0)),"",INDEX('Compliance Database'!$D$2:$D$1369,MATCH(1040,Engine!$C$2:$C$1369,0)))</f>
        <v/>
      </c>
      <c r="E1053" s="8">
        <f>IF(ISNA(MATCH(1040,Engine!$C$2:$C$1369,0)),"",INDEX('Compliance Database'!$E$2:$E$1369,MATCH(1040,Engine!$C$2:$C$1369,0)))</f>
        <v/>
      </c>
      <c r="F1053" s="8">
        <f>IF(ISNA(MATCH(1040,Engine!$C$2:$C$1369,0)),"",INDEX('Compliance Database'!$F$2:$F$1369,MATCH(1040,Engine!$C$2:$C$1369,0)))</f>
        <v/>
      </c>
      <c r="G1053" s="8">
        <f>IF(ISNA(MATCH(1040,Engine!$C$2:$C$1369,0)),"",INDEX('Compliance Database'!$G$2:$G$1369,MATCH(1040,Engine!$C$2:$C$1369,0)))</f>
        <v/>
      </c>
      <c r="H1053" s="9">
        <f>IF(ISNA(MATCH(1040,Engine!$C$2:$C$1369,0)),"",INDEX('Compliance Database'!$H$2:$H$1369,MATCH(1040,Engine!$C$2:$C$1369,0)))</f>
        <v/>
      </c>
      <c r="I1053" s="9">
        <f>IF(ISNA(MATCH(1040,Engine!$C$2:$C$1369,0)),"",INDEX('Compliance Database'!$I$2:$I$1369,MATCH(1040,Engine!$C$2:$C$1369,0)))</f>
        <v/>
      </c>
      <c r="J1053" s="8">
        <f>IF(ISNA(MATCH(1040,Engine!$C$2:$C$1369,0)),"",INDEX('Compliance Database'!$J$2:$J$1369,MATCH(1040,Engine!$C$2:$C$1369,0)))</f>
        <v/>
      </c>
      <c r="K1053" s="9">
        <f>IF(ISNA(MATCH(1040,Engine!$C$2:$C$1369,0)),"",INDEX('Compliance Database'!$K$2:$K$1369,MATCH(1040,Engine!$C$2:$C$1369,0)))</f>
        <v/>
      </c>
      <c r="L1053" s="9">
        <f>IF(ISNA(MATCH(1040,Engine!$C$2:$C$1369,0)),"",INDEX('Compliance Database'!$L$2:$L$1369,MATCH(1040,Engine!$C$2:$C$1369,0)))</f>
        <v/>
      </c>
      <c r="M1053" s="9">
        <f>IF(ISNA(MATCH(1040,Engine!$C$2:$C$1369,0)),"",INDEX('Compliance Database'!$M$2:$M$1369,MATCH(1040,Engine!$C$2:$C$1369,0)))</f>
        <v/>
      </c>
      <c r="N1053" s="9">
        <f>IF(ISNA(MATCH(1040,Engine!$C$2:$C$1369,0)),"",INDEX('Compliance Database'!$N$2:$N$1369,MATCH(1040,Engine!$C$2:$C$1369,0)))</f>
        <v/>
      </c>
      <c r="O1053" s="8">
        <f>IF(ISNA(MATCH(1040,Engine!$C$2:$C$1369,0)),"",HYPERLINK(INDEX('Compliance Database'!$O$2:$O$1369,MATCH(1040,Engine!$C$2:$C$1369,0)),"Open PDF"))</f>
        <v/>
      </c>
    </row>
    <row r="1054" ht="188" customHeight="1">
      <c r="A1054" s="8">
        <f>IF(ISNA(MATCH(1041,Engine!$C$2:$C$1369,0)),"",INDEX('Compliance Database'!$A$2:$A$1369,MATCH(1041,Engine!$C$2:$C$1369,0)))</f>
        <v/>
      </c>
      <c r="B1054" s="8">
        <f>IF(ISNA(MATCH(1041,Engine!$C$2:$C$1369,0)),"",INDEX('Compliance Database'!$B$2:$B$1369,MATCH(1041,Engine!$C$2:$C$1369,0)))</f>
        <v/>
      </c>
      <c r="C1054" s="8">
        <f>IF(ISNA(MATCH(1041,Engine!$C$2:$C$1369,0)),"",INDEX('Compliance Database'!$C$2:$C$1369,MATCH(1041,Engine!$C$2:$C$1369,0)))</f>
        <v/>
      </c>
      <c r="D1054" s="9">
        <f>IF(ISNA(MATCH(1041,Engine!$C$2:$C$1369,0)),"",INDEX('Compliance Database'!$D$2:$D$1369,MATCH(1041,Engine!$C$2:$C$1369,0)))</f>
        <v/>
      </c>
      <c r="E1054" s="8">
        <f>IF(ISNA(MATCH(1041,Engine!$C$2:$C$1369,0)),"",INDEX('Compliance Database'!$E$2:$E$1369,MATCH(1041,Engine!$C$2:$C$1369,0)))</f>
        <v/>
      </c>
      <c r="F1054" s="8">
        <f>IF(ISNA(MATCH(1041,Engine!$C$2:$C$1369,0)),"",INDEX('Compliance Database'!$F$2:$F$1369,MATCH(1041,Engine!$C$2:$C$1369,0)))</f>
        <v/>
      </c>
      <c r="G1054" s="8">
        <f>IF(ISNA(MATCH(1041,Engine!$C$2:$C$1369,0)),"",INDEX('Compliance Database'!$G$2:$G$1369,MATCH(1041,Engine!$C$2:$C$1369,0)))</f>
        <v/>
      </c>
      <c r="H1054" s="9">
        <f>IF(ISNA(MATCH(1041,Engine!$C$2:$C$1369,0)),"",INDEX('Compliance Database'!$H$2:$H$1369,MATCH(1041,Engine!$C$2:$C$1369,0)))</f>
        <v/>
      </c>
      <c r="I1054" s="9">
        <f>IF(ISNA(MATCH(1041,Engine!$C$2:$C$1369,0)),"",INDEX('Compliance Database'!$I$2:$I$1369,MATCH(1041,Engine!$C$2:$C$1369,0)))</f>
        <v/>
      </c>
      <c r="J1054" s="8">
        <f>IF(ISNA(MATCH(1041,Engine!$C$2:$C$1369,0)),"",INDEX('Compliance Database'!$J$2:$J$1369,MATCH(1041,Engine!$C$2:$C$1369,0)))</f>
        <v/>
      </c>
      <c r="K1054" s="9">
        <f>IF(ISNA(MATCH(1041,Engine!$C$2:$C$1369,0)),"",INDEX('Compliance Database'!$K$2:$K$1369,MATCH(1041,Engine!$C$2:$C$1369,0)))</f>
        <v/>
      </c>
      <c r="L1054" s="9">
        <f>IF(ISNA(MATCH(1041,Engine!$C$2:$C$1369,0)),"",INDEX('Compliance Database'!$L$2:$L$1369,MATCH(1041,Engine!$C$2:$C$1369,0)))</f>
        <v/>
      </c>
      <c r="M1054" s="9">
        <f>IF(ISNA(MATCH(1041,Engine!$C$2:$C$1369,0)),"",INDEX('Compliance Database'!$M$2:$M$1369,MATCH(1041,Engine!$C$2:$C$1369,0)))</f>
        <v/>
      </c>
      <c r="N1054" s="9">
        <f>IF(ISNA(MATCH(1041,Engine!$C$2:$C$1369,0)),"",INDEX('Compliance Database'!$N$2:$N$1369,MATCH(1041,Engine!$C$2:$C$1369,0)))</f>
        <v/>
      </c>
      <c r="O1054" s="8">
        <f>IF(ISNA(MATCH(1041,Engine!$C$2:$C$1369,0)),"",HYPERLINK(INDEX('Compliance Database'!$O$2:$O$1369,MATCH(1041,Engine!$C$2:$C$1369,0)),"Open PDF"))</f>
        <v/>
      </c>
    </row>
    <row r="1055" ht="188" customHeight="1">
      <c r="A1055" s="8">
        <f>IF(ISNA(MATCH(1042,Engine!$C$2:$C$1369,0)),"",INDEX('Compliance Database'!$A$2:$A$1369,MATCH(1042,Engine!$C$2:$C$1369,0)))</f>
        <v/>
      </c>
      <c r="B1055" s="8">
        <f>IF(ISNA(MATCH(1042,Engine!$C$2:$C$1369,0)),"",INDEX('Compliance Database'!$B$2:$B$1369,MATCH(1042,Engine!$C$2:$C$1369,0)))</f>
        <v/>
      </c>
      <c r="C1055" s="8">
        <f>IF(ISNA(MATCH(1042,Engine!$C$2:$C$1369,0)),"",INDEX('Compliance Database'!$C$2:$C$1369,MATCH(1042,Engine!$C$2:$C$1369,0)))</f>
        <v/>
      </c>
      <c r="D1055" s="9">
        <f>IF(ISNA(MATCH(1042,Engine!$C$2:$C$1369,0)),"",INDEX('Compliance Database'!$D$2:$D$1369,MATCH(1042,Engine!$C$2:$C$1369,0)))</f>
        <v/>
      </c>
      <c r="E1055" s="8">
        <f>IF(ISNA(MATCH(1042,Engine!$C$2:$C$1369,0)),"",INDEX('Compliance Database'!$E$2:$E$1369,MATCH(1042,Engine!$C$2:$C$1369,0)))</f>
        <v/>
      </c>
      <c r="F1055" s="8">
        <f>IF(ISNA(MATCH(1042,Engine!$C$2:$C$1369,0)),"",INDEX('Compliance Database'!$F$2:$F$1369,MATCH(1042,Engine!$C$2:$C$1369,0)))</f>
        <v/>
      </c>
      <c r="G1055" s="8">
        <f>IF(ISNA(MATCH(1042,Engine!$C$2:$C$1369,0)),"",INDEX('Compliance Database'!$G$2:$G$1369,MATCH(1042,Engine!$C$2:$C$1369,0)))</f>
        <v/>
      </c>
      <c r="H1055" s="9">
        <f>IF(ISNA(MATCH(1042,Engine!$C$2:$C$1369,0)),"",INDEX('Compliance Database'!$H$2:$H$1369,MATCH(1042,Engine!$C$2:$C$1369,0)))</f>
        <v/>
      </c>
      <c r="I1055" s="9">
        <f>IF(ISNA(MATCH(1042,Engine!$C$2:$C$1369,0)),"",INDEX('Compliance Database'!$I$2:$I$1369,MATCH(1042,Engine!$C$2:$C$1369,0)))</f>
        <v/>
      </c>
      <c r="J1055" s="8">
        <f>IF(ISNA(MATCH(1042,Engine!$C$2:$C$1369,0)),"",INDEX('Compliance Database'!$J$2:$J$1369,MATCH(1042,Engine!$C$2:$C$1369,0)))</f>
        <v/>
      </c>
      <c r="K1055" s="9">
        <f>IF(ISNA(MATCH(1042,Engine!$C$2:$C$1369,0)),"",INDEX('Compliance Database'!$K$2:$K$1369,MATCH(1042,Engine!$C$2:$C$1369,0)))</f>
        <v/>
      </c>
      <c r="L1055" s="9">
        <f>IF(ISNA(MATCH(1042,Engine!$C$2:$C$1369,0)),"",INDEX('Compliance Database'!$L$2:$L$1369,MATCH(1042,Engine!$C$2:$C$1369,0)))</f>
        <v/>
      </c>
      <c r="M1055" s="9">
        <f>IF(ISNA(MATCH(1042,Engine!$C$2:$C$1369,0)),"",INDEX('Compliance Database'!$M$2:$M$1369,MATCH(1042,Engine!$C$2:$C$1369,0)))</f>
        <v/>
      </c>
      <c r="N1055" s="9">
        <f>IF(ISNA(MATCH(1042,Engine!$C$2:$C$1369,0)),"",INDEX('Compliance Database'!$N$2:$N$1369,MATCH(1042,Engine!$C$2:$C$1369,0)))</f>
        <v/>
      </c>
      <c r="O1055" s="8">
        <f>IF(ISNA(MATCH(1042,Engine!$C$2:$C$1369,0)),"",HYPERLINK(INDEX('Compliance Database'!$O$2:$O$1369,MATCH(1042,Engine!$C$2:$C$1369,0)),"Open PDF"))</f>
        <v/>
      </c>
    </row>
    <row r="1056" ht="188" customHeight="1">
      <c r="A1056" s="8">
        <f>IF(ISNA(MATCH(1043,Engine!$C$2:$C$1369,0)),"",INDEX('Compliance Database'!$A$2:$A$1369,MATCH(1043,Engine!$C$2:$C$1369,0)))</f>
        <v/>
      </c>
      <c r="B1056" s="8">
        <f>IF(ISNA(MATCH(1043,Engine!$C$2:$C$1369,0)),"",INDEX('Compliance Database'!$B$2:$B$1369,MATCH(1043,Engine!$C$2:$C$1369,0)))</f>
        <v/>
      </c>
      <c r="C1056" s="8">
        <f>IF(ISNA(MATCH(1043,Engine!$C$2:$C$1369,0)),"",INDEX('Compliance Database'!$C$2:$C$1369,MATCH(1043,Engine!$C$2:$C$1369,0)))</f>
        <v/>
      </c>
      <c r="D1056" s="9">
        <f>IF(ISNA(MATCH(1043,Engine!$C$2:$C$1369,0)),"",INDEX('Compliance Database'!$D$2:$D$1369,MATCH(1043,Engine!$C$2:$C$1369,0)))</f>
        <v/>
      </c>
      <c r="E1056" s="8">
        <f>IF(ISNA(MATCH(1043,Engine!$C$2:$C$1369,0)),"",INDEX('Compliance Database'!$E$2:$E$1369,MATCH(1043,Engine!$C$2:$C$1369,0)))</f>
        <v/>
      </c>
      <c r="F1056" s="8">
        <f>IF(ISNA(MATCH(1043,Engine!$C$2:$C$1369,0)),"",INDEX('Compliance Database'!$F$2:$F$1369,MATCH(1043,Engine!$C$2:$C$1369,0)))</f>
        <v/>
      </c>
      <c r="G1056" s="8">
        <f>IF(ISNA(MATCH(1043,Engine!$C$2:$C$1369,0)),"",INDEX('Compliance Database'!$G$2:$G$1369,MATCH(1043,Engine!$C$2:$C$1369,0)))</f>
        <v/>
      </c>
      <c r="H1056" s="9">
        <f>IF(ISNA(MATCH(1043,Engine!$C$2:$C$1369,0)),"",INDEX('Compliance Database'!$H$2:$H$1369,MATCH(1043,Engine!$C$2:$C$1369,0)))</f>
        <v/>
      </c>
      <c r="I1056" s="9">
        <f>IF(ISNA(MATCH(1043,Engine!$C$2:$C$1369,0)),"",INDEX('Compliance Database'!$I$2:$I$1369,MATCH(1043,Engine!$C$2:$C$1369,0)))</f>
        <v/>
      </c>
      <c r="J1056" s="8">
        <f>IF(ISNA(MATCH(1043,Engine!$C$2:$C$1369,0)),"",INDEX('Compliance Database'!$J$2:$J$1369,MATCH(1043,Engine!$C$2:$C$1369,0)))</f>
        <v/>
      </c>
      <c r="K1056" s="9">
        <f>IF(ISNA(MATCH(1043,Engine!$C$2:$C$1369,0)),"",INDEX('Compliance Database'!$K$2:$K$1369,MATCH(1043,Engine!$C$2:$C$1369,0)))</f>
        <v/>
      </c>
      <c r="L1056" s="9">
        <f>IF(ISNA(MATCH(1043,Engine!$C$2:$C$1369,0)),"",INDEX('Compliance Database'!$L$2:$L$1369,MATCH(1043,Engine!$C$2:$C$1369,0)))</f>
        <v/>
      </c>
      <c r="M1056" s="9">
        <f>IF(ISNA(MATCH(1043,Engine!$C$2:$C$1369,0)),"",INDEX('Compliance Database'!$M$2:$M$1369,MATCH(1043,Engine!$C$2:$C$1369,0)))</f>
        <v/>
      </c>
      <c r="N1056" s="9">
        <f>IF(ISNA(MATCH(1043,Engine!$C$2:$C$1369,0)),"",INDEX('Compliance Database'!$N$2:$N$1369,MATCH(1043,Engine!$C$2:$C$1369,0)))</f>
        <v/>
      </c>
      <c r="O1056" s="8">
        <f>IF(ISNA(MATCH(1043,Engine!$C$2:$C$1369,0)),"",HYPERLINK(INDEX('Compliance Database'!$O$2:$O$1369,MATCH(1043,Engine!$C$2:$C$1369,0)),"Open PDF"))</f>
        <v/>
      </c>
    </row>
    <row r="1057" ht="188" customHeight="1">
      <c r="A1057" s="8">
        <f>IF(ISNA(MATCH(1044,Engine!$C$2:$C$1369,0)),"",INDEX('Compliance Database'!$A$2:$A$1369,MATCH(1044,Engine!$C$2:$C$1369,0)))</f>
        <v/>
      </c>
      <c r="B1057" s="8">
        <f>IF(ISNA(MATCH(1044,Engine!$C$2:$C$1369,0)),"",INDEX('Compliance Database'!$B$2:$B$1369,MATCH(1044,Engine!$C$2:$C$1369,0)))</f>
        <v/>
      </c>
      <c r="C1057" s="8">
        <f>IF(ISNA(MATCH(1044,Engine!$C$2:$C$1369,0)),"",INDEX('Compliance Database'!$C$2:$C$1369,MATCH(1044,Engine!$C$2:$C$1369,0)))</f>
        <v/>
      </c>
      <c r="D1057" s="9">
        <f>IF(ISNA(MATCH(1044,Engine!$C$2:$C$1369,0)),"",INDEX('Compliance Database'!$D$2:$D$1369,MATCH(1044,Engine!$C$2:$C$1369,0)))</f>
        <v/>
      </c>
      <c r="E1057" s="8">
        <f>IF(ISNA(MATCH(1044,Engine!$C$2:$C$1369,0)),"",INDEX('Compliance Database'!$E$2:$E$1369,MATCH(1044,Engine!$C$2:$C$1369,0)))</f>
        <v/>
      </c>
      <c r="F1057" s="8">
        <f>IF(ISNA(MATCH(1044,Engine!$C$2:$C$1369,0)),"",INDEX('Compliance Database'!$F$2:$F$1369,MATCH(1044,Engine!$C$2:$C$1369,0)))</f>
        <v/>
      </c>
      <c r="G1057" s="8">
        <f>IF(ISNA(MATCH(1044,Engine!$C$2:$C$1369,0)),"",INDEX('Compliance Database'!$G$2:$G$1369,MATCH(1044,Engine!$C$2:$C$1369,0)))</f>
        <v/>
      </c>
      <c r="H1057" s="9">
        <f>IF(ISNA(MATCH(1044,Engine!$C$2:$C$1369,0)),"",INDEX('Compliance Database'!$H$2:$H$1369,MATCH(1044,Engine!$C$2:$C$1369,0)))</f>
        <v/>
      </c>
      <c r="I1057" s="9">
        <f>IF(ISNA(MATCH(1044,Engine!$C$2:$C$1369,0)),"",INDEX('Compliance Database'!$I$2:$I$1369,MATCH(1044,Engine!$C$2:$C$1369,0)))</f>
        <v/>
      </c>
      <c r="J1057" s="8">
        <f>IF(ISNA(MATCH(1044,Engine!$C$2:$C$1369,0)),"",INDEX('Compliance Database'!$J$2:$J$1369,MATCH(1044,Engine!$C$2:$C$1369,0)))</f>
        <v/>
      </c>
      <c r="K1057" s="9">
        <f>IF(ISNA(MATCH(1044,Engine!$C$2:$C$1369,0)),"",INDEX('Compliance Database'!$K$2:$K$1369,MATCH(1044,Engine!$C$2:$C$1369,0)))</f>
        <v/>
      </c>
      <c r="L1057" s="9">
        <f>IF(ISNA(MATCH(1044,Engine!$C$2:$C$1369,0)),"",INDEX('Compliance Database'!$L$2:$L$1369,MATCH(1044,Engine!$C$2:$C$1369,0)))</f>
        <v/>
      </c>
      <c r="M1057" s="9">
        <f>IF(ISNA(MATCH(1044,Engine!$C$2:$C$1369,0)),"",INDEX('Compliance Database'!$M$2:$M$1369,MATCH(1044,Engine!$C$2:$C$1369,0)))</f>
        <v/>
      </c>
      <c r="N1057" s="9">
        <f>IF(ISNA(MATCH(1044,Engine!$C$2:$C$1369,0)),"",INDEX('Compliance Database'!$N$2:$N$1369,MATCH(1044,Engine!$C$2:$C$1369,0)))</f>
        <v/>
      </c>
      <c r="O1057" s="8">
        <f>IF(ISNA(MATCH(1044,Engine!$C$2:$C$1369,0)),"",HYPERLINK(INDEX('Compliance Database'!$O$2:$O$1369,MATCH(1044,Engine!$C$2:$C$1369,0)),"Open PDF"))</f>
        <v/>
      </c>
    </row>
    <row r="1058" ht="188" customHeight="1">
      <c r="A1058" s="8">
        <f>IF(ISNA(MATCH(1045,Engine!$C$2:$C$1369,0)),"",INDEX('Compliance Database'!$A$2:$A$1369,MATCH(1045,Engine!$C$2:$C$1369,0)))</f>
        <v/>
      </c>
      <c r="B1058" s="8">
        <f>IF(ISNA(MATCH(1045,Engine!$C$2:$C$1369,0)),"",INDEX('Compliance Database'!$B$2:$B$1369,MATCH(1045,Engine!$C$2:$C$1369,0)))</f>
        <v/>
      </c>
      <c r="C1058" s="8">
        <f>IF(ISNA(MATCH(1045,Engine!$C$2:$C$1369,0)),"",INDEX('Compliance Database'!$C$2:$C$1369,MATCH(1045,Engine!$C$2:$C$1369,0)))</f>
        <v/>
      </c>
      <c r="D1058" s="9">
        <f>IF(ISNA(MATCH(1045,Engine!$C$2:$C$1369,0)),"",INDEX('Compliance Database'!$D$2:$D$1369,MATCH(1045,Engine!$C$2:$C$1369,0)))</f>
        <v/>
      </c>
      <c r="E1058" s="8">
        <f>IF(ISNA(MATCH(1045,Engine!$C$2:$C$1369,0)),"",INDEX('Compliance Database'!$E$2:$E$1369,MATCH(1045,Engine!$C$2:$C$1369,0)))</f>
        <v/>
      </c>
      <c r="F1058" s="8">
        <f>IF(ISNA(MATCH(1045,Engine!$C$2:$C$1369,0)),"",INDEX('Compliance Database'!$F$2:$F$1369,MATCH(1045,Engine!$C$2:$C$1369,0)))</f>
        <v/>
      </c>
      <c r="G1058" s="8">
        <f>IF(ISNA(MATCH(1045,Engine!$C$2:$C$1369,0)),"",INDEX('Compliance Database'!$G$2:$G$1369,MATCH(1045,Engine!$C$2:$C$1369,0)))</f>
        <v/>
      </c>
      <c r="H1058" s="9">
        <f>IF(ISNA(MATCH(1045,Engine!$C$2:$C$1369,0)),"",INDEX('Compliance Database'!$H$2:$H$1369,MATCH(1045,Engine!$C$2:$C$1369,0)))</f>
        <v/>
      </c>
      <c r="I1058" s="9">
        <f>IF(ISNA(MATCH(1045,Engine!$C$2:$C$1369,0)),"",INDEX('Compliance Database'!$I$2:$I$1369,MATCH(1045,Engine!$C$2:$C$1369,0)))</f>
        <v/>
      </c>
      <c r="J1058" s="8">
        <f>IF(ISNA(MATCH(1045,Engine!$C$2:$C$1369,0)),"",INDEX('Compliance Database'!$J$2:$J$1369,MATCH(1045,Engine!$C$2:$C$1369,0)))</f>
        <v/>
      </c>
      <c r="K1058" s="9">
        <f>IF(ISNA(MATCH(1045,Engine!$C$2:$C$1369,0)),"",INDEX('Compliance Database'!$K$2:$K$1369,MATCH(1045,Engine!$C$2:$C$1369,0)))</f>
        <v/>
      </c>
      <c r="L1058" s="9">
        <f>IF(ISNA(MATCH(1045,Engine!$C$2:$C$1369,0)),"",INDEX('Compliance Database'!$L$2:$L$1369,MATCH(1045,Engine!$C$2:$C$1369,0)))</f>
        <v/>
      </c>
      <c r="M1058" s="9">
        <f>IF(ISNA(MATCH(1045,Engine!$C$2:$C$1369,0)),"",INDEX('Compliance Database'!$M$2:$M$1369,MATCH(1045,Engine!$C$2:$C$1369,0)))</f>
        <v/>
      </c>
      <c r="N1058" s="9">
        <f>IF(ISNA(MATCH(1045,Engine!$C$2:$C$1369,0)),"",INDEX('Compliance Database'!$N$2:$N$1369,MATCH(1045,Engine!$C$2:$C$1369,0)))</f>
        <v/>
      </c>
      <c r="O1058" s="8">
        <f>IF(ISNA(MATCH(1045,Engine!$C$2:$C$1369,0)),"",HYPERLINK(INDEX('Compliance Database'!$O$2:$O$1369,MATCH(1045,Engine!$C$2:$C$1369,0)),"Open PDF"))</f>
        <v/>
      </c>
    </row>
    <row r="1059" ht="188" customHeight="1">
      <c r="A1059" s="8">
        <f>IF(ISNA(MATCH(1046,Engine!$C$2:$C$1369,0)),"",INDEX('Compliance Database'!$A$2:$A$1369,MATCH(1046,Engine!$C$2:$C$1369,0)))</f>
        <v/>
      </c>
      <c r="B1059" s="8">
        <f>IF(ISNA(MATCH(1046,Engine!$C$2:$C$1369,0)),"",INDEX('Compliance Database'!$B$2:$B$1369,MATCH(1046,Engine!$C$2:$C$1369,0)))</f>
        <v/>
      </c>
      <c r="C1059" s="8">
        <f>IF(ISNA(MATCH(1046,Engine!$C$2:$C$1369,0)),"",INDEX('Compliance Database'!$C$2:$C$1369,MATCH(1046,Engine!$C$2:$C$1369,0)))</f>
        <v/>
      </c>
      <c r="D1059" s="9">
        <f>IF(ISNA(MATCH(1046,Engine!$C$2:$C$1369,0)),"",INDEX('Compliance Database'!$D$2:$D$1369,MATCH(1046,Engine!$C$2:$C$1369,0)))</f>
        <v/>
      </c>
      <c r="E1059" s="8">
        <f>IF(ISNA(MATCH(1046,Engine!$C$2:$C$1369,0)),"",INDEX('Compliance Database'!$E$2:$E$1369,MATCH(1046,Engine!$C$2:$C$1369,0)))</f>
        <v/>
      </c>
      <c r="F1059" s="8">
        <f>IF(ISNA(MATCH(1046,Engine!$C$2:$C$1369,0)),"",INDEX('Compliance Database'!$F$2:$F$1369,MATCH(1046,Engine!$C$2:$C$1369,0)))</f>
        <v/>
      </c>
      <c r="G1059" s="8">
        <f>IF(ISNA(MATCH(1046,Engine!$C$2:$C$1369,0)),"",INDEX('Compliance Database'!$G$2:$G$1369,MATCH(1046,Engine!$C$2:$C$1369,0)))</f>
        <v/>
      </c>
      <c r="H1059" s="9">
        <f>IF(ISNA(MATCH(1046,Engine!$C$2:$C$1369,0)),"",INDEX('Compliance Database'!$H$2:$H$1369,MATCH(1046,Engine!$C$2:$C$1369,0)))</f>
        <v/>
      </c>
      <c r="I1059" s="9">
        <f>IF(ISNA(MATCH(1046,Engine!$C$2:$C$1369,0)),"",INDEX('Compliance Database'!$I$2:$I$1369,MATCH(1046,Engine!$C$2:$C$1369,0)))</f>
        <v/>
      </c>
      <c r="J1059" s="8">
        <f>IF(ISNA(MATCH(1046,Engine!$C$2:$C$1369,0)),"",INDEX('Compliance Database'!$J$2:$J$1369,MATCH(1046,Engine!$C$2:$C$1369,0)))</f>
        <v/>
      </c>
      <c r="K1059" s="9">
        <f>IF(ISNA(MATCH(1046,Engine!$C$2:$C$1369,0)),"",INDEX('Compliance Database'!$K$2:$K$1369,MATCH(1046,Engine!$C$2:$C$1369,0)))</f>
        <v/>
      </c>
      <c r="L1059" s="9">
        <f>IF(ISNA(MATCH(1046,Engine!$C$2:$C$1369,0)),"",INDEX('Compliance Database'!$L$2:$L$1369,MATCH(1046,Engine!$C$2:$C$1369,0)))</f>
        <v/>
      </c>
      <c r="M1059" s="9">
        <f>IF(ISNA(MATCH(1046,Engine!$C$2:$C$1369,0)),"",INDEX('Compliance Database'!$M$2:$M$1369,MATCH(1046,Engine!$C$2:$C$1369,0)))</f>
        <v/>
      </c>
      <c r="N1059" s="9">
        <f>IF(ISNA(MATCH(1046,Engine!$C$2:$C$1369,0)),"",INDEX('Compliance Database'!$N$2:$N$1369,MATCH(1046,Engine!$C$2:$C$1369,0)))</f>
        <v/>
      </c>
      <c r="O1059" s="8">
        <f>IF(ISNA(MATCH(1046,Engine!$C$2:$C$1369,0)),"",HYPERLINK(INDEX('Compliance Database'!$O$2:$O$1369,MATCH(1046,Engine!$C$2:$C$1369,0)),"Open PDF"))</f>
        <v/>
      </c>
    </row>
    <row r="1060" ht="188" customHeight="1">
      <c r="A1060" s="8">
        <f>IF(ISNA(MATCH(1047,Engine!$C$2:$C$1369,0)),"",INDEX('Compliance Database'!$A$2:$A$1369,MATCH(1047,Engine!$C$2:$C$1369,0)))</f>
        <v/>
      </c>
      <c r="B1060" s="8">
        <f>IF(ISNA(MATCH(1047,Engine!$C$2:$C$1369,0)),"",INDEX('Compliance Database'!$B$2:$B$1369,MATCH(1047,Engine!$C$2:$C$1369,0)))</f>
        <v/>
      </c>
      <c r="C1060" s="8">
        <f>IF(ISNA(MATCH(1047,Engine!$C$2:$C$1369,0)),"",INDEX('Compliance Database'!$C$2:$C$1369,MATCH(1047,Engine!$C$2:$C$1369,0)))</f>
        <v/>
      </c>
      <c r="D1060" s="9">
        <f>IF(ISNA(MATCH(1047,Engine!$C$2:$C$1369,0)),"",INDEX('Compliance Database'!$D$2:$D$1369,MATCH(1047,Engine!$C$2:$C$1369,0)))</f>
        <v/>
      </c>
      <c r="E1060" s="8">
        <f>IF(ISNA(MATCH(1047,Engine!$C$2:$C$1369,0)),"",INDEX('Compliance Database'!$E$2:$E$1369,MATCH(1047,Engine!$C$2:$C$1369,0)))</f>
        <v/>
      </c>
      <c r="F1060" s="8">
        <f>IF(ISNA(MATCH(1047,Engine!$C$2:$C$1369,0)),"",INDEX('Compliance Database'!$F$2:$F$1369,MATCH(1047,Engine!$C$2:$C$1369,0)))</f>
        <v/>
      </c>
      <c r="G1060" s="8">
        <f>IF(ISNA(MATCH(1047,Engine!$C$2:$C$1369,0)),"",INDEX('Compliance Database'!$G$2:$G$1369,MATCH(1047,Engine!$C$2:$C$1369,0)))</f>
        <v/>
      </c>
      <c r="H1060" s="9">
        <f>IF(ISNA(MATCH(1047,Engine!$C$2:$C$1369,0)),"",INDEX('Compliance Database'!$H$2:$H$1369,MATCH(1047,Engine!$C$2:$C$1369,0)))</f>
        <v/>
      </c>
      <c r="I1060" s="9">
        <f>IF(ISNA(MATCH(1047,Engine!$C$2:$C$1369,0)),"",INDEX('Compliance Database'!$I$2:$I$1369,MATCH(1047,Engine!$C$2:$C$1369,0)))</f>
        <v/>
      </c>
      <c r="J1060" s="8">
        <f>IF(ISNA(MATCH(1047,Engine!$C$2:$C$1369,0)),"",INDEX('Compliance Database'!$J$2:$J$1369,MATCH(1047,Engine!$C$2:$C$1369,0)))</f>
        <v/>
      </c>
      <c r="K1060" s="9">
        <f>IF(ISNA(MATCH(1047,Engine!$C$2:$C$1369,0)),"",INDEX('Compliance Database'!$K$2:$K$1369,MATCH(1047,Engine!$C$2:$C$1369,0)))</f>
        <v/>
      </c>
      <c r="L1060" s="9">
        <f>IF(ISNA(MATCH(1047,Engine!$C$2:$C$1369,0)),"",INDEX('Compliance Database'!$L$2:$L$1369,MATCH(1047,Engine!$C$2:$C$1369,0)))</f>
        <v/>
      </c>
      <c r="M1060" s="9">
        <f>IF(ISNA(MATCH(1047,Engine!$C$2:$C$1369,0)),"",INDEX('Compliance Database'!$M$2:$M$1369,MATCH(1047,Engine!$C$2:$C$1369,0)))</f>
        <v/>
      </c>
      <c r="N1060" s="9">
        <f>IF(ISNA(MATCH(1047,Engine!$C$2:$C$1369,0)),"",INDEX('Compliance Database'!$N$2:$N$1369,MATCH(1047,Engine!$C$2:$C$1369,0)))</f>
        <v/>
      </c>
      <c r="O1060" s="8">
        <f>IF(ISNA(MATCH(1047,Engine!$C$2:$C$1369,0)),"",HYPERLINK(INDEX('Compliance Database'!$O$2:$O$1369,MATCH(1047,Engine!$C$2:$C$1369,0)),"Open PDF"))</f>
        <v/>
      </c>
    </row>
    <row r="1061" ht="188" customHeight="1">
      <c r="A1061" s="8">
        <f>IF(ISNA(MATCH(1048,Engine!$C$2:$C$1369,0)),"",INDEX('Compliance Database'!$A$2:$A$1369,MATCH(1048,Engine!$C$2:$C$1369,0)))</f>
        <v/>
      </c>
      <c r="B1061" s="8">
        <f>IF(ISNA(MATCH(1048,Engine!$C$2:$C$1369,0)),"",INDEX('Compliance Database'!$B$2:$B$1369,MATCH(1048,Engine!$C$2:$C$1369,0)))</f>
        <v/>
      </c>
      <c r="C1061" s="8">
        <f>IF(ISNA(MATCH(1048,Engine!$C$2:$C$1369,0)),"",INDEX('Compliance Database'!$C$2:$C$1369,MATCH(1048,Engine!$C$2:$C$1369,0)))</f>
        <v/>
      </c>
      <c r="D1061" s="9">
        <f>IF(ISNA(MATCH(1048,Engine!$C$2:$C$1369,0)),"",INDEX('Compliance Database'!$D$2:$D$1369,MATCH(1048,Engine!$C$2:$C$1369,0)))</f>
        <v/>
      </c>
      <c r="E1061" s="8">
        <f>IF(ISNA(MATCH(1048,Engine!$C$2:$C$1369,0)),"",INDEX('Compliance Database'!$E$2:$E$1369,MATCH(1048,Engine!$C$2:$C$1369,0)))</f>
        <v/>
      </c>
      <c r="F1061" s="8">
        <f>IF(ISNA(MATCH(1048,Engine!$C$2:$C$1369,0)),"",INDEX('Compliance Database'!$F$2:$F$1369,MATCH(1048,Engine!$C$2:$C$1369,0)))</f>
        <v/>
      </c>
      <c r="G1061" s="8">
        <f>IF(ISNA(MATCH(1048,Engine!$C$2:$C$1369,0)),"",INDEX('Compliance Database'!$G$2:$G$1369,MATCH(1048,Engine!$C$2:$C$1369,0)))</f>
        <v/>
      </c>
      <c r="H1061" s="9">
        <f>IF(ISNA(MATCH(1048,Engine!$C$2:$C$1369,0)),"",INDEX('Compliance Database'!$H$2:$H$1369,MATCH(1048,Engine!$C$2:$C$1369,0)))</f>
        <v/>
      </c>
      <c r="I1061" s="9">
        <f>IF(ISNA(MATCH(1048,Engine!$C$2:$C$1369,0)),"",INDEX('Compliance Database'!$I$2:$I$1369,MATCH(1048,Engine!$C$2:$C$1369,0)))</f>
        <v/>
      </c>
      <c r="J1061" s="8">
        <f>IF(ISNA(MATCH(1048,Engine!$C$2:$C$1369,0)),"",INDEX('Compliance Database'!$J$2:$J$1369,MATCH(1048,Engine!$C$2:$C$1369,0)))</f>
        <v/>
      </c>
      <c r="K1061" s="9">
        <f>IF(ISNA(MATCH(1048,Engine!$C$2:$C$1369,0)),"",INDEX('Compliance Database'!$K$2:$K$1369,MATCH(1048,Engine!$C$2:$C$1369,0)))</f>
        <v/>
      </c>
      <c r="L1061" s="9">
        <f>IF(ISNA(MATCH(1048,Engine!$C$2:$C$1369,0)),"",INDEX('Compliance Database'!$L$2:$L$1369,MATCH(1048,Engine!$C$2:$C$1369,0)))</f>
        <v/>
      </c>
      <c r="M1061" s="9">
        <f>IF(ISNA(MATCH(1048,Engine!$C$2:$C$1369,0)),"",INDEX('Compliance Database'!$M$2:$M$1369,MATCH(1048,Engine!$C$2:$C$1369,0)))</f>
        <v/>
      </c>
      <c r="N1061" s="9">
        <f>IF(ISNA(MATCH(1048,Engine!$C$2:$C$1369,0)),"",INDEX('Compliance Database'!$N$2:$N$1369,MATCH(1048,Engine!$C$2:$C$1369,0)))</f>
        <v/>
      </c>
      <c r="O1061" s="8">
        <f>IF(ISNA(MATCH(1048,Engine!$C$2:$C$1369,0)),"",HYPERLINK(INDEX('Compliance Database'!$O$2:$O$1369,MATCH(1048,Engine!$C$2:$C$1369,0)),"Open PDF"))</f>
        <v/>
      </c>
    </row>
    <row r="1062" ht="188" customHeight="1">
      <c r="A1062" s="8">
        <f>IF(ISNA(MATCH(1049,Engine!$C$2:$C$1369,0)),"",INDEX('Compliance Database'!$A$2:$A$1369,MATCH(1049,Engine!$C$2:$C$1369,0)))</f>
        <v/>
      </c>
      <c r="B1062" s="8">
        <f>IF(ISNA(MATCH(1049,Engine!$C$2:$C$1369,0)),"",INDEX('Compliance Database'!$B$2:$B$1369,MATCH(1049,Engine!$C$2:$C$1369,0)))</f>
        <v/>
      </c>
      <c r="C1062" s="8">
        <f>IF(ISNA(MATCH(1049,Engine!$C$2:$C$1369,0)),"",INDEX('Compliance Database'!$C$2:$C$1369,MATCH(1049,Engine!$C$2:$C$1369,0)))</f>
        <v/>
      </c>
      <c r="D1062" s="9">
        <f>IF(ISNA(MATCH(1049,Engine!$C$2:$C$1369,0)),"",INDEX('Compliance Database'!$D$2:$D$1369,MATCH(1049,Engine!$C$2:$C$1369,0)))</f>
        <v/>
      </c>
      <c r="E1062" s="8">
        <f>IF(ISNA(MATCH(1049,Engine!$C$2:$C$1369,0)),"",INDEX('Compliance Database'!$E$2:$E$1369,MATCH(1049,Engine!$C$2:$C$1369,0)))</f>
        <v/>
      </c>
      <c r="F1062" s="8">
        <f>IF(ISNA(MATCH(1049,Engine!$C$2:$C$1369,0)),"",INDEX('Compliance Database'!$F$2:$F$1369,MATCH(1049,Engine!$C$2:$C$1369,0)))</f>
        <v/>
      </c>
      <c r="G1062" s="8">
        <f>IF(ISNA(MATCH(1049,Engine!$C$2:$C$1369,0)),"",INDEX('Compliance Database'!$G$2:$G$1369,MATCH(1049,Engine!$C$2:$C$1369,0)))</f>
        <v/>
      </c>
      <c r="H1062" s="9">
        <f>IF(ISNA(MATCH(1049,Engine!$C$2:$C$1369,0)),"",INDEX('Compliance Database'!$H$2:$H$1369,MATCH(1049,Engine!$C$2:$C$1369,0)))</f>
        <v/>
      </c>
      <c r="I1062" s="9">
        <f>IF(ISNA(MATCH(1049,Engine!$C$2:$C$1369,0)),"",INDEX('Compliance Database'!$I$2:$I$1369,MATCH(1049,Engine!$C$2:$C$1369,0)))</f>
        <v/>
      </c>
      <c r="J1062" s="8">
        <f>IF(ISNA(MATCH(1049,Engine!$C$2:$C$1369,0)),"",INDEX('Compliance Database'!$J$2:$J$1369,MATCH(1049,Engine!$C$2:$C$1369,0)))</f>
        <v/>
      </c>
      <c r="K1062" s="9">
        <f>IF(ISNA(MATCH(1049,Engine!$C$2:$C$1369,0)),"",INDEX('Compliance Database'!$K$2:$K$1369,MATCH(1049,Engine!$C$2:$C$1369,0)))</f>
        <v/>
      </c>
      <c r="L1062" s="9">
        <f>IF(ISNA(MATCH(1049,Engine!$C$2:$C$1369,0)),"",INDEX('Compliance Database'!$L$2:$L$1369,MATCH(1049,Engine!$C$2:$C$1369,0)))</f>
        <v/>
      </c>
      <c r="M1062" s="9">
        <f>IF(ISNA(MATCH(1049,Engine!$C$2:$C$1369,0)),"",INDEX('Compliance Database'!$M$2:$M$1369,MATCH(1049,Engine!$C$2:$C$1369,0)))</f>
        <v/>
      </c>
      <c r="N1062" s="9">
        <f>IF(ISNA(MATCH(1049,Engine!$C$2:$C$1369,0)),"",INDEX('Compliance Database'!$N$2:$N$1369,MATCH(1049,Engine!$C$2:$C$1369,0)))</f>
        <v/>
      </c>
      <c r="O1062" s="8">
        <f>IF(ISNA(MATCH(1049,Engine!$C$2:$C$1369,0)),"",HYPERLINK(INDEX('Compliance Database'!$O$2:$O$1369,MATCH(1049,Engine!$C$2:$C$1369,0)),"Open PDF"))</f>
        <v/>
      </c>
    </row>
    <row r="1063" ht="188" customHeight="1">
      <c r="A1063" s="8">
        <f>IF(ISNA(MATCH(1050,Engine!$C$2:$C$1369,0)),"",INDEX('Compliance Database'!$A$2:$A$1369,MATCH(1050,Engine!$C$2:$C$1369,0)))</f>
        <v/>
      </c>
      <c r="B1063" s="8">
        <f>IF(ISNA(MATCH(1050,Engine!$C$2:$C$1369,0)),"",INDEX('Compliance Database'!$B$2:$B$1369,MATCH(1050,Engine!$C$2:$C$1369,0)))</f>
        <v/>
      </c>
      <c r="C1063" s="8">
        <f>IF(ISNA(MATCH(1050,Engine!$C$2:$C$1369,0)),"",INDEX('Compliance Database'!$C$2:$C$1369,MATCH(1050,Engine!$C$2:$C$1369,0)))</f>
        <v/>
      </c>
      <c r="D1063" s="9">
        <f>IF(ISNA(MATCH(1050,Engine!$C$2:$C$1369,0)),"",INDEX('Compliance Database'!$D$2:$D$1369,MATCH(1050,Engine!$C$2:$C$1369,0)))</f>
        <v/>
      </c>
      <c r="E1063" s="8">
        <f>IF(ISNA(MATCH(1050,Engine!$C$2:$C$1369,0)),"",INDEX('Compliance Database'!$E$2:$E$1369,MATCH(1050,Engine!$C$2:$C$1369,0)))</f>
        <v/>
      </c>
      <c r="F1063" s="8">
        <f>IF(ISNA(MATCH(1050,Engine!$C$2:$C$1369,0)),"",INDEX('Compliance Database'!$F$2:$F$1369,MATCH(1050,Engine!$C$2:$C$1369,0)))</f>
        <v/>
      </c>
      <c r="G1063" s="8">
        <f>IF(ISNA(MATCH(1050,Engine!$C$2:$C$1369,0)),"",INDEX('Compliance Database'!$G$2:$G$1369,MATCH(1050,Engine!$C$2:$C$1369,0)))</f>
        <v/>
      </c>
      <c r="H1063" s="9">
        <f>IF(ISNA(MATCH(1050,Engine!$C$2:$C$1369,0)),"",INDEX('Compliance Database'!$H$2:$H$1369,MATCH(1050,Engine!$C$2:$C$1369,0)))</f>
        <v/>
      </c>
      <c r="I1063" s="9">
        <f>IF(ISNA(MATCH(1050,Engine!$C$2:$C$1369,0)),"",INDEX('Compliance Database'!$I$2:$I$1369,MATCH(1050,Engine!$C$2:$C$1369,0)))</f>
        <v/>
      </c>
      <c r="J1063" s="8">
        <f>IF(ISNA(MATCH(1050,Engine!$C$2:$C$1369,0)),"",INDEX('Compliance Database'!$J$2:$J$1369,MATCH(1050,Engine!$C$2:$C$1369,0)))</f>
        <v/>
      </c>
      <c r="K1063" s="9">
        <f>IF(ISNA(MATCH(1050,Engine!$C$2:$C$1369,0)),"",INDEX('Compliance Database'!$K$2:$K$1369,MATCH(1050,Engine!$C$2:$C$1369,0)))</f>
        <v/>
      </c>
      <c r="L1063" s="9">
        <f>IF(ISNA(MATCH(1050,Engine!$C$2:$C$1369,0)),"",INDEX('Compliance Database'!$L$2:$L$1369,MATCH(1050,Engine!$C$2:$C$1369,0)))</f>
        <v/>
      </c>
      <c r="M1063" s="9">
        <f>IF(ISNA(MATCH(1050,Engine!$C$2:$C$1369,0)),"",INDEX('Compliance Database'!$M$2:$M$1369,MATCH(1050,Engine!$C$2:$C$1369,0)))</f>
        <v/>
      </c>
      <c r="N1063" s="9">
        <f>IF(ISNA(MATCH(1050,Engine!$C$2:$C$1369,0)),"",INDEX('Compliance Database'!$N$2:$N$1369,MATCH(1050,Engine!$C$2:$C$1369,0)))</f>
        <v/>
      </c>
      <c r="O1063" s="8">
        <f>IF(ISNA(MATCH(1050,Engine!$C$2:$C$1369,0)),"",HYPERLINK(INDEX('Compliance Database'!$O$2:$O$1369,MATCH(1050,Engine!$C$2:$C$1369,0)),"Open PDF"))</f>
        <v/>
      </c>
    </row>
    <row r="1064" ht="188" customHeight="1">
      <c r="A1064" s="8">
        <f>IF(ISNA(MATCH(1051,Engine!$C$2:$C$1369,0)),"",INDEX('Compliance Database'!$A$2:$A$1369,MATCH(1051,Engine!$C$2:$C$1369,0)))</f>
        <v/>
      </c>
      <c r="B1064" s="8">
        <f>IF(ISNA(MATCH(1051,Engine!$C$2:$C$1369,0)),"",INDEX('Compliance Database'!$B$2:$B$1369,MATCH(1051,Engine!$C$2:$C$1369,0)))</f>
        <v/>
      </c>
      <c r="C1064" s="8">
        <f>IF(ISNA(MATCH(1051,Engine!$C$2:$C$1369,0)),"",INDEX('Compliance Database'!$C$2:$C$1369,MATCH(1051,Engine!$C$2:$C$1369,0)))</f>
        <v/>
      </c>
      <c r="D1064" s="9">
        <f>IF(ISNA(MATCH(1051,Engine!$C$2:$C$1369,0)),"",INDEX('Compliance Database'!$D$2:$D$1369,MATCH(1051,Engine!$C$2:$C$1369,0)))</f>
        <v/>
      </c>
      <c r="E1064" s="8">
        <f>IF(ISNA(MATCH(1051,Engine!$C$2:$C$1369,0)),"",INDEX('Compliance Database'!$E$2:$E$1369,MATCH(1051,Engine!$C$2:$C$1369,0)))</f>
        <v/>
      </c>
      <c r="F1064" s="8">
        <f>IF(ISNA(MATCH(1051,Engine!$C$2:$C$1369,0)),"",INDEX('Compliance Database'!$F$2:$F$1369,MATCH(1051,Engine!$C$2:$C$1369,0)))</f>
        <v/>
      </c>
      <c r="G1064" s="8">
        <f>IF(ISNA(MATCH(1051,Engine!$C$2:$C$1369,0)),"",INDEX('Compliance Database'!$G$2:$G$1369,MATCH(1051,Engine!$C$2:$C$1369,0)))</f>
        <v/>
      </c>
      <c r="H1064" s="9">
        <f>IF(ISNA(MATCH(1051,Engine!$C$2:$C$1369,0)),"",INDEX('Compliance Database'!$H$2:$H$1369,MATCH(1051,Engine!$C$2:$C$1369,0)))</f>
        <v/>
      </c>
      <c r="I1064" s="9">
        <f>IF(ISNA(MATCH(1051,Engine!$C$2:$C$1369,0)),"",INDEX('Compliance Database'!$I$2:$I$1369,MATCH(1051,Engine!$C$2:$C$1369,0)))</f>
        <v/>
      </c>
      <c r="J1064" s="8">
        <f>IF(ISNA(MATCH(1051,Engine!$C$2:$C$1369,0)),"",INDEX('Compliance Database'!$J$2:$J$1369,MATCH(1051,Engine!$C$2:$C$1369,0)))</f>
        <v/>
      </c>
      <c r="K1064" s="9">
        <f>IF(ISNA(MATCH(1051,Engine!$C$2:$C$1369,0)),"",INDEX('Compliance Database'!$K$2:$K$1369,MATCH(1051,Engine!$C$2:$C$1369,0)))</f>
        <v/>
      </c>
      <c r="L1064" s="9">
        <f>IF(ISNA(MATCH(1051,Engine!$C$2:$C$1369,0)),"",INDEX('Compliance Database'!$L$2:$L$1369,MATCH(1051,Engine!$C$2:$C$1369,0)))</f>
        <v/>
      </c>
      <c r="M1064" s="9">
        <f>IF(ISNA(MATCH(1051,Engine!$C$2:$C$1369,0)),"",INDEX('Compliance Database'!$M$2:$M$1369,MATCH(1051,Engine!$C$2:$C$1369,0)))</f>
        <v/>
      </c>
      <c r="N1064" s="9">
        <f>IF(ISNA(MATCH(1051,Engine!$C$2:$C$1369,0)),"",INDEX('Compliance Database'!$N$2:$N$1369,MATCH(1051,Engine!$C$2:$C$1369,0)))</f>
        <v/>
      </c>
      <c r="O1064" s="8">
        <f>IF(ISNA(MATCH(1051,Engine!$C$2:$C$1369,0)),"",HYPERLINK(INDEX('Compliance Database'!$O$2:$O$1369,MATCH(1051,Engine!$C$2:$C$1369,0)),"Open PDF"))</f>
        <v/>
      </c>
    </row>
    <row r="1065" ht="188" customHeight="1">
      <c r="A1065" s="8">
        <f>IF(ISNA(MATCH(1052,Engine!$C$2:$C$1369,0)),"",INDEX('Compliance Database'!$A$2:$A$1369,MATCH(1052,Engine!$C$2:$C$1369,0)))</f>
        <v/>
      </c>
      <c r="B1065" s="8">
        <f>IF(ISNA(MATCH(1052,Engine!$C$2:$C$1369,0)),"",INDEX('Compliance Database'!$B$2:$B$1369,MATCH(1052,Engine!$C$2:$C$1369,0)))</f>
        <v/>
      </c>
      <c r="C1065" s="8">
        <f>IF(ISNA(MATCH(1052,Engine!$C$2:$C$1369,0)),"",INDEX('Compliance Database'!$C$2:$C$1369,MATCH(1052,Engine!$C$2:$C$1369,0)))</f>
        <v/>
      </c>
      <c r="D1065" s="9">
        <f>IF(ISNA(MATCH(1052,Engine!$C$2:$C$1369,0)),"",INDEX('Compliance Database'!$D$2:$D$1369,MATCH(1052,Engine!$C$2:$C$1369,0)))</f>
        <v/>
      </c>
      <c r="E1065" s="8">
        <f>IF(ISNA(MATCH(1052,Engine!$C$2:$C$1369,0)),"",INDEX('Compliance Database'!$E$2:$E$1369,MATCH(1052,Engine!$C$2:$C$1369,0)))</f>
        <v/>
      </c>
      <c r="F1065" s="8">
        <f>IF(ISNA(MATCH(1052,Engine!$C$2:$C$1369,0)),"",INDEX('Compliance Database'!$F$2:$F$1369,MATCH(1052,Engine!$C$2:$C$1369,0)))</f>
        <v/>
      </c>
      <c r="G1065" s="8">
        <f>IF(ISNA(MATCH(1052,Engine!$C$2:$C$1369,0)),"",INDEX('Compliance Database'!$G$2:$G$1369,MATCH(1052,Engine!$C$2:$C$1369,0)))</f>
        <v/>
      </c>
      <c r="H1065" s="9">
        <f>IF(ISNA(MATCH(1052,Engine!$C$2:$C$1369,0)),"",INDEX('Compliance Database'!$H$2:$H$1369,MATCH(1052,Engine!$C$2:$C$1369,0)))</f>
        <v/>
      </c>
      <c r="I1065" s="9">
        <f>IF(ISNA(MATCH(1052,Engine!$C$2:$C$1369,0)),"",INDEX('Compliance Database'!$I$2:$I$1369,MATCH(1052,Engine!$C$2:$C$1369,0)))</f>
        <v/>
      </c>
      <c r="J1065" s="8">
        <f>IF(ISNA(MATCH(1052,Engine!$C$2:$C$1369,0)),"",INDEX('Compliance Database'!$J$2:$J$1369,MATCH(1052,Engine!$C$2:$C$1369,0)))</f>
        <v/>
      </c>
      <c r="K1065" s="9">
        <f>IF(ISNA(MATCH(1052,Engine!$C$2:$C$1369,0)),"",INDEX('Compliance Database'!$K$2:$K$1369,MATCH(1052,Engine!$C$2:$C$1369,0)))</f>
        <v/>
      </c>
      <c r="L1065" s="9">
        <f>IF(ISNA(MATCH(1052,Engine!$C$2:$C$1369,0)),"",INDEX('Compliance Database'!$L$2:$L$1369,MATCH(1052,Engine!$C$2:$C$1369,0)))</f>
        <v/>
      </c>
      <c r="M1065" s="9">
        <f>IF(ISNA(MATCH(1052,Engine!$C$2:$C$1369,0)),"",INDEX('Compliance Database'!$M$2:$M$1369,MATCH(1052,Engine!$C$2:$C$1369,0)))</f>
        <v/>
      </c>
      <c r="N1065" s="9">
        <f>IF(ISNA(MATCH(1052,Engine!$C$2:$C$1369,0)),"",INDEX('Compliance Database'!$N$2:$N$1369,MATCH(1052,Engine!$C$2:$C$1369,0)))</f>
        <v/>
      </c>
      <c r="O1065" s="8">
        <f>IF(ISNA(MATCH(1052,Engine!$C$2:$C$1369,0)),"",HYPERLINK(INDEX('Compliance Database'!$O$2:$O$1369,MATCH(1052,Engine!$C$2:$C$1369,0)),"Open PDF"))</f>
        <v/>
      </c>
    </row>
    <row r="1066" ht="188" customHeight="1">
      <c r="A1066" s="8">
        <f>IF(ISNA(MATCH(1053,Engine!$C$2:$C$1369,0)),"",INDEX('Compliance Database'!$A$2:$A$1369,MATCH(1053,Engine!$C$2:$C$1369,0)))</f>
        <v/>
      </c>
      <c r="B1066" s="8">
        <f>IF(ISNA(MATCH(1053,Engine!$C$2:$C$1369,0)),"",INDEX('Compliance Database'!$B$2:$B$1369,MATCH(1053,Engine!$C$2:$C$1369,0)))</f>
        <v/>
      </c>
      <c r="C1066" s="8">
        <f>IF(ISNA(MATCH(1053,Engine!$C$2:$C$1369,0)),"",INDEX('Compliance Database'!$C$2:$C$1369,MATCH(1053,Engine!$C$2:$C$1369,0)))</f>
        <v/>
      </c>
      <c r="D1066" s="9">
        <f>IF(ISNA(MATCH(1053,Engine!$C$2:$C$1369,0)),"",INDEX('Compliance Database'!$D$2:$D$1369,MATCH(1053,Engine!$C$2:$C$1369,0)))</f>
        <v/>
      </c>
      <c r="E1066" s="8">
        <f>IF(ISNA(MATCH(1053,Engine!$C$2:$C$1369,0)),"",INDEX('Compliance Database'!$E$2:$E$1369,MATCH(1053,Engine!$C$2:$C$1369,0)))</f>
        <v/>
      </c>
      <c r="F1066" s="8">
        <f>IF(ISNA(MATCH(1053,Engine!$C$2:$C$1369,0)),"",INDEX('Compliance Database'!$F$2:$F$1369,MATCH(1053,Engine!$C$2:$C$1369,0)))</f>
        <v/>
      </c>
      <c r="G1066" s="8">
        <f>IF(ISNA(MATCH(1053,Engine!$C$2:$C$1369,0)),"",INDEX('Compliance Database'!$G$2:$G$1369,MATCH(1053,Engine!$C$2:$C$1369,0)))</f>
        <v/>
      </c>
      <c r="H1066" s="9">
        <f>IF(ISNA(MATCH(1053,Engine!$C$2:$C$1369,0)),"",INDEX('Compliance Database'!$H$2:$H$1369,MATCH(1053,Engine!$C$2:$C$1369,0)))</f>
        <v/>
      </c>
      <c r="I1066" s="9">
        <f>IF(ISNA(MATCH(1053,Engine!$C$2:$C$1369,0)),"",INDEX('Compliance Database'!$I$2:$I$1369,MATCH(1053,Engine!$C$2:$C$1369,0)))</f>
        <v/>
      </c>
      <c r="J1066" s="8">
        <f>IF(ISNA(MATCH(1053,Engine!$C$2:$C$1369,0)),"",INDEX('Compliance Database'!$J$2:$J$1369,MATCH(1053,Engine!$C$2:$C$1369,0)))</f>
        <v/>
      </c>
      <c r="K1066" s="9">
        <f>IF(ISNA(MATCH(1053,Engine!$C$2:$C$1369,0)),"",INDEX('Compliance Database'!$K$2:$K$1369,MATCH(1053,Engine!$C$2:$C$1369,0)))</f>
        <v/>
      </c>
      <c r="L1066" s="9">
        <f>IF(ISNA(MATCH(1053,Engine!$C$2:$C$1369,0)),"",INDEX('Compliance Database'!$L$2:$L$1369,MATCH(1053,Engine!$C$2:$C$1369,0)))</f>
        <v/>
      </c>
      <c r="M1066" s="9">
        <f>IF(ISNA(MATCH(1053,Engine!$C$2:$C$1369,0)),"",INDEX('Compliance Database'!$M$2:$M$1369,MATCH(1053,Engine!$C$2:$C$1369,0)))</f>
        <v/>
      </c>
      <c r="N1066" s="9">
        <f>IF(ISNA(MATCH(1053,Engine!$C$2:$C$1369,0)),"",INDEX('Compliance Database'!$N$2:$N$1369,MATCH(1053,Engine!$C$2:$C$1369,0)))</f>
        <v/>
      </c>
      <c r="O1066" s="8">
        <f>IF(ISNA(MATCH(1053,Engine!$C$2:$C$1369,0)),"",HYPERLINK(INDEX('Compliance Database'!$O$2:$O$1369,MATCH(1053,Engine!$C$2:$C$1369,0)),"Open PDF"))</f>
        <v/>
      </c>
    </row>
    <row r="1067" ht="188" customHeight="1">
      <c r="A1067" s="8">
        <f>IF(ISNA(MATCH(1054,Engine!$C$2:$C$1369,0)),"",INDEX('Compliance Database'!$A$2:$A$1369,MATCH(1054,Engine!$C$2:$C$1369,0)))</f>
        <v/>
      </c>
      <c r="B1067" s="8">
        <f>IF(ISNA(MATCH(1054,Engine!$C$2:$C$1369,0)),"",INDEX('Compliance Database'!$B$2:$B$1369,MATCH(1054,Engine!$C$2:$C$1369,0)))</f>
        <v/>
      </c>
      <c r="C1067" s="8">
        <f>IF(ISNA(MATCH(1054,Engine!$C$2:$C$1369,0)),"",INDEX('Compliance Database'!$C$2:$C$1369,MATCH(1054,Engine!$C$2:$C$1369,0)))</f>
        <v/>
      </c>
      <c r="D1067" s="9">
        <f>IF(ISNA(MATCH(1054,Engine!$C$2:$C$1369,0)),"",INDEX('Compliance Database'!$D$2:$D$1369,MATCH(1054,Engine!$C$2:$C$1369,0)))</f>
        <v/>
      </c>
      <c r="E1067" s="8">
        <f>IF(ISNA(MATCH(1054,Engine!$C$2:$C$1369,0)),"",INDEX('Compliance Database'!$E$2:$E$1369,MATCH(1054,Engine!$C$2:$C$1369,0)))</f>
        <v/>
      </c>
      <c r="F1067" s="8">
        <f>IF(ISNA(MATCH(1054,Engine!$C$2:$C$1369,0)),"",INDEX('Compliance Database'!$F$2:$F$1369,MATCH(1054,Engine!$C$2:$C$1369,0)))</f>
        <v/>
      </c>
      <c r="G1067" s="8">
        <f>IF(ISNA(MATCH(1054,Engine!$C$2:$C$1369,0)),"",INDEX('Compliance Database'!$G$2:$G$1369,MATCH(1054,Engine!$C$2:$C$1369,0)))</f>
        <v/>
      </c>
      <c r="H1067" s="9">
        <f>IF(ISNA(MATCH(1054,Engine!$C$2:$C$1369,0)),"",INDEX('Compliance Database'!$H$2:$H$1369,MATCH(1054,Engine!$C$2:$C$1369,0)))</f>
        <v/>
      </c>
      <c r="I1067" s="9">
        <f>IF(ISNA(MATCH(1054,Engine!$C$2:$C$1369,0)),"",INDEX('Compliance Database'!$I$2:$I$1369,MATCH(1054,Engine!$C$2:$C$1369,0)))</f>
        <v/>
      </c>
      <c r="J1067" s="8">
        <f>IF(ISNA(MATCH(1054,Engine!$C$2:$C$1369,0)),"",INDEX('Compliance Database'!$J$2:$J$1369,MATCH(1054,Engine!$C$2:$C$1369,0)))</f>
        <v/>
      </c>
      <c r="K1067" s="9">
        <f>IF(ISNA(MATCH(1054,Engine!$C$2:$C$1369,0)),"",INDEX('Compliance Database'!$K$2:$K$1369,MATCH(1054,Engine!$C$2:$C$1369,0)))</f>
        <v/>
      </c>
      <c r="L1067" s="9">
        <f>IF(ISNA(MATCH(1054,Engine!$C$2:$C$1369,0)),"",INDEX('Compliance Database'!$L$2:$L$1369,MATCH(1054,Engine!$C$2:$C$1369,0)))</f>
        <v/>
      </c>
      <c r="M1067" s="9">
        <f>IF(ISNA(MATCH(1054,Engine!$C$2:$C$1369,0)),"",INDEX('Compliance Database'!$M$2:$M$1369,MATCH(1054,Engine!$C$2:$C$1369,0)))</f>
        <v/>
      </c>
      <c r="N1067" s="9">
        <f>IF(ISNA(MATCH(1054,Engine!$C$2:$C$1369,0)),"",INDEX('Compliance Database'!$N$2:$N$1369,MATCH(1054,Engine!$C$2:$C$1369,0)))</f>
        <v/>
      </c>
      <c r="O1067" s="8">
        <f>IF(ISNA(MATCH(1054,Engine!$C$2:$C$1369,0)),"",HYPERLINK(INDEX('Compliance Database'!$O$2:$O$1369,MATCH(1054,Engine!$C$2:$C$1369,0)),"Open PDF"))</f>
        <v/>
      </c>
    </row>
    <row r="1068" ht="188" customHeight="1">
      <c r="A1068" s="8">
        <f>IF(ISNA(MATCH(1055,Engine!$C$2:$C$1369,0)),"",INDEX('Compliance Database'!$A$2:$A$1369,MATCH(1055,Engine!$C$2:$C$1369,0)))</f>
        <v/>
      </c>
      <c r="B1068" s="8">
        <f>IF(ISNA(MATCH(1055,Engine!$C$2:$C$1369,0)),"",INDEX('Compliance Database'!$B$2:$B$1369,MATCH(1055,Engine!$C$2:$C$1369,0)))</f>
        <v/>
      </c>
      <c r="C1068" s="8">
        <f>IF(ISNA(MATCH(1055,Engine!$C$2:$C$1369,0)),"",INDEX('Compliance Database'!$C$2:$C$1369,MATCH(1055,Engine!$C$2:$C$1369,0)))</f>
        <v/>
      </c>
      <c r="D1068" s="9">
        <f>IF(ISNA(MATCH(1055,Engine!$C$2:$C$1369,0)),"",INDEX('Compliance Database'!$D$2:$D$1369,MATCH(1055,Engine!$C$2:$C$1369,0)))</f>
        <v/>
      </c>
      <c r="E1068" s="8">
        <f>IF(ISNA(MATCH(1055,Engine!$C$2:$C$1369,0)),"",INDEX('Compliance Database'!$E$2:$E$1369,MATCH(1055,Engine!$C$2:$C$1369,0)))</f>
        <v/>
      </c>
      <c r="F1068" s="8">
        <f>IF(ISNA(MATCH(1055,Engine!$C$2:$C$1369,0)),"",INDEX('Compliance Database'!$F$2:$F$1369,MATCH(1055,Engine!$C$2:$C$1369,0)))</f>
        <v/>
      </c>
      <c r="G1068" s="8">
        <f>IF(ISNA(MATCH(1055,Engine!$C$2:$C$1369,0)),"",INDEX('Compliance Database'!$G$2:$G$1369,MATCH(1055,Engine!$C$2:$C$1369,0)))</f>
        <v/>
      </c>
      <c r="H1068" s="9">
        <f>IF(ISNA(MATCH(1055,Engine!$C$2:$C$1369,0)),"",INDEX('Compliance Database'!$H$2:$H$1369,MATCH(1055,Engine!$C$2:$C$1369,0)))</f>
        <v/>
      </c>
      <c r="I1068" s="9">
        <f>IF(ISNA(MATCH(1055,Engine!$C$2:$C$1369,0)),"",INDEX('Compliance Database'!$I$2:$I$1369,MATCH(1055,Engine!$C$2:$C$1369,0)))</f>
        <v/>
      </c>
      <c r="J1068" s="8">
        <f>IF(ISNA(MATCH(1055,Engine!$C$2:$C$1369,0)),"",INDEX('Compliance Database'!$J$2:$J$1369,MATCH(1055,Engine!$C$2:$C$1369,0)))</f>
        <v/>
      </c>
      <c r="K1068" s="9">
        <f>IF(ISNA(MATCH(1055,Engine!$C$2:$C$1369,0)),"",INDEX('Compliance Database'!$K$2:$K$1369,MATCH(1055,Engine!$C$2:$C$1369,0)))</f>
        <v/>
      </c>
      <c r="L1068" s="9">
        <f>IF(ISNA(MATCH(1055,Engine!$C$2:$C$1369,0)),"",INDEX('Compliance Database'!$L$2:$L$1369,MATCH(1055,Engine!$C$2:$C$1369,0)))</f>
        <v/>
      </c>
      <c r="M1068" s="9">
        <f>IF(ISNA(MATCH(1055,Engine!$C$2:$C$1369,0)),"",INDEX('Compliance Database'!$M$2:$M$1369,MATCH(1055,Engine!$C$2:$C$1369,0)))</f>
        <v/>
      </c>
      <c r="N1068" s="9">
        <f>IF(ISNA(MATCH(1055,Engine!$C$2:$C$1369,0)),"",INDEX('Compliance Database'!$N$2:$N$1369,MATCH(1055,Engine!$C$2:$C$1369,0)))</f>
        <v/>
      </c>
      <c r="O1068" s="8">
        <f>IF(ISNA(MATCH(1055,Engine!$C$2:$C$1369,0)),"",HYPERLINK(INDEX('Compliance Database'!$O$2:$O$1369,MATCH(1055,Engine!$C$2:$C$1369,0)),"Open PDF"))</f>
        <v/>
      </c>
    </row>
    <row r="1069" ht="188" customHeight="1">
      <c r="A1069" s="8">
        <f>IF(ISNA(MATCH(1056,Engine!$C$2:$C$1369,0)),"",INDEX('Compliance Database'!$A$2:$A$1369,MATCH(1056,Engine!$C$2:$C$1369,0)))</f>
        <v/>
      </c>
      <c r="B1069" s="8">
        <f>IF(ISNA(MATCH(1056,Engine!$C$2:$C$1369,0)),"",INDEX('Compliance Database'!$B$2:$B$1369,MATCH(1056,Engine!$C$2:$C$1369,0)))</f>
        <v/>
      </c>
      <c r="C1069" s="8">
        <f>IF(ISNA(MATCH(1056,Engine!$C$2:$C$1369,0)),"",INDEX('Compliance Database'!$C$2:$C$1369,MATCH(1056,Engine!$C$2:$C$1369,0)))</f>
        <v/>
      </c>
      <c r="D1069" s="9">
        <f>IF(ISNA(MATCH(1056,Engine!$C$2:$C$1369,0)),"",INDEX('Compliance Database'!$D$2:$D$1369,MATCH(1056,Engine!$C$2:$C$1369,0)))</f>
        <v/>
      </c>
      <c r="E1069" s="8">
        <f>IF(ISNA(MATCH(1056,Engine!$C$2:$C$1369,0)),"",INDEX('Compliance Database'!$E$2:$E$1369,MATCH(1056,Engine!$C$2:$C$1369,0)))</f>
        <v/>
      </c>
      <c r="F1069" s="8">
        <f>IF(ISNA(MATCH(1056,Engine!$C$2:$C$1369,0)),"",INDEX('Compliance Database'!$F$2:$F$1369,MATCH(1056,Engine!$C$2:$C$1369,0)))</f>
        <v/>
      </c>
      <c r="G1069" s="8">
        <f>IF(ISNA(MATCH(1056,Engine!$C$2:$C$1369,0)),"",INDEX('Compliance Database'!$G$2:$G$1369,MATCH(1056,Engine!$C$2:$C$1369,0)))</f>
        <v/>
      </c>
      <c r="H1069" s="9">
        <f>IF(ISNA(MATCH(1056,Engine!$C$2:$C$1369,0)),"",INDEX('Compliance Database'!$H$2:$H$1369,MATCH(1056,Engine!$C$2:$C$1369,0)))</f>
        <v/>
      </c>
      <c r="I1069" s="9">
        <f>IF(ISNA(MATCH(1056,Engine!$C$2:$C$1369,0)),"",INDEX('Compliance Database'!$I$2:$I$1369,MATCH(1056,Engine!$C$2:$C$1369,0)))</f>
        <v/>
      </c>
      <c r="J1069" s="8">
        <f>IF(ISNA(MATCH(1056,Engine!$C$2:$C$1369,0)),"",INDEX('Compliance Database'!$J$2:$J$1369,MATCH(1056,Engine!$C$2:$C$1369,0)))</f>
        <v/>
      </c>
      <c r="K1069" s="9">
        <f>IF(ISNA(MATCH(1056,Engine!$C$2:$C$1369,0)),"",INDEX('Compliance Database'!$K$2:$K$1369,MATCH(1056,Engine!$C$2:$C$1369,0)))</f>
        <v/>
      </c>
      <c r="L1069" s="9">
        <f>IF(ISNA(MATCH(1056,Engine!$C$2:$C$1369,0)),"",INDEX('Compliance Database'!$L$2:$L$1369,MATCH(1056,Engine!$C$2:$C$1369,0)))</f>
        <v/>
      </c>
      <c r="M1069" s="9">
        <f>IF(ISNA(MATCH(1056,Engine!$C$2:$C$1369,0)),"",INDEX('Compliance Database'!$M$2:$M$1369,MATCH(1056,Engine!$C$2:$C$1369,0)))</f>
        <v/>
      </c>
      <c r="N1069" s="9">
        <f>IF(ISNA(MATCH(1056,Engine!$C$2:$C$1369,0)),"",INDEX('Compliance Database'!$N$2:$N$1369,MATCH(1056,Engine!$C$2:$C$1369,0)))</f>
        <v/>
      </c>
      <c r="O1069" s="8">
        <f>IF(ISNA(MATCH(1056,Engine!$C$2:$C$1369,0)),"",HYPERLINK(INDEX('Compliance Database'!$O$2:$O$1369,MATCH(1056,Engine!$C$2:$C$1369,0)),"Open PDF"))</f>
        <v/>
      </c>
    </row>
    <row r="1070" ht="188" customHeight="1">
      <c r="A1070" s="8">
        <f>IF(ISNA(MATCH(1057,Engine!$C$2:$C$1369,0)),"",INDEX('Compliance Database'!$A$2:$A$1369,MATCH(1057,Engine!$C$2:$C$1369,0)))</f>
        <v/>
      </c>
      <c r="B1070" s="8">
        <f>IF(ISNA(MATCH(1057,Engine!$C$2:$C$1369,0)),"",INDEX('Compliance Database'!$B$2:$B$1369,MATCH(1057,Engine!$C$2:$C$1369,0)))</f>
        <v/>
      </c>
      <c r="C1070" s="8">
        <f>IF(ISNA(MATCH(1057,Engine!$C$2:$C$1369,0)),"",INDEX('Compliance Database'!$C$2:$C$1369,MATCH(1057,Engine!$C$2:$C$1369,0)))</f>
        <v/>
      </c>
      <c r="D1070" s="9">
        <f>IF(ISNA(MATCH(1057,Engine!$C$2:$C$1369,0)),"",INDEX('Compliance Database'!$D$2:$D$1369,MATCH(1057,Engine!$C$2:$C$1369,0)))</f>
        <v/>
      </c>
      <c r="E1070" s="8">
        <f>IF(ISNA(MATCH(1057,Engine!$C$2:$C$1369,0)),"",INDEX('Compliance Database'!$E$2:$E$1369,MATCH(1057,Engine!$C$2:$C$1369,0)))</f>
        <v/>
      </c>
      <c r="F1070" s="8">
        <f>IF(ISNA(MATCH(1057,Engine!$C$2:$C$1369,0)),"",INDEX('Compliance Database'!$F$2:$F$1369,MATCH(1057,Engine!$C$2:$C$1369,0)))</f>
        <v/>
      </c>
      <c r="G1070" s="8">
        <f>IF(ISNA(MATCH(1057,Engine!$C$2:$C$1369,0)),"",INDEX('Compliance Database'!$G$2:$G$1369,MATCH(1057,Engine!$C$2:$C$1369,0)))</f>
        <v/>
      </c>
      <c r="H1070" s="9">
        <f>IF(ISNA(MATCH(1057,Engine!$C$2:$C$1369,0)),"",INDEX('Compliance Database'!$H$2:$H$1369,MATCH(1057,Engine!$C$2:$C$1369,0)))</f>
        <v/>
      </c>
      <c r="I1070" s="9">
        <f>IF(ISNA(MATCH(1057,Engine!$C$2:$C$1369,0)),"",INDEX('Compliance Database'!$I$2:$I$1369,MATCH(1057,Engine!$C$2:$C$1369,0)))</f>
        <v/>
      </c>
      <c r="J1070" s="8">
        <f>IF(ISNA(MATCH(1057,Engine!$C$2:$C$1369,0)),"",INDEX('Compliance Database'!$J$2:$J$1369,MATCH(1057,Engine!$C$2:$C$1369,0)))</f>
        <v/>
      </c>
      <c r="K1070" s="9">
        <f>IF(ISNA(MATCH(1057,Engine!$C$2:$C$1369,0)),"",INDEX('Compliance Database'!$K$2:$K$1369,MATCH(1057,Engine!$C$2:$C$1369,0)))</f>
        <v/>
      </c>
      <c r="L1070" s="9">
        <f>IF(ISNA(MATCH(1057,Engine!$C$2:$C$1369,0)),"",INDEX('Compliance Database'!$L$2:$L$1369,MATCH(1057,Engine!$C$2:$C$1369,0)))</f>
        <v/>
      </c>
      <c r="M1070" s="9">
        <f>IF(ISNA(MATCH(1057,Engine!$C$2:$C$1369,0)),"",INDEX('Compliance Database'!$M$2:$M$1369,MATCH(1057,Engine!$C$2:$C$1369,0)))</f>
        <v/>
      </c>
      <c r="N1070" s="9">
        <f>IF(ISNA(MATCH(1057,Engine!$C$2:$C$1369,0)),"",INDEX('Compliance Database'!$N$2:$N$1369,MATCH(1057,Engine!$C$2:$C$1369,0)))</f>
        <v/>
      </c>
      <c r="O1070" s="8">
        <f>IF(ISNA(MATCH(1057,Engine!$C$2:$C$1369,0)),"",HYPERLINK(INDEX('Compliance Database'!$O$2:$O$1369,MATCH(1057,Engine!$C$2:$C$1369,0)),"Open PDF"))</f>
        <v/>
      </c>
    </row>
    <row r="1071" ht="188" customHeight="1">
      <c r="A1071" s="8">
        <f>IF(ISNA(MATCH(1058,Engine!$C$2:$C$1369,0)),"",INDEX('Compliance Database'!$A$2:$A$1369,MATCH(1058,Engine!$C$2:$C$1369,0)))</f>
        <v/>
      </c>
      <c r="B1071" s="8">
        <f>IF(ISNA(MATCH(1058,Engine!$C$2:$C$1369,0)),"",INDEX('Compliance Database'!$B$2:$B$1369,MATCH(1058,Engine!$C$2:$C$1369,0)))</f>
        <v/>
      </c>
      <c r="C1071" s="8">
        <f>IF(ISNA(MATCH(1058,Engine!$C$2:$C$1369,0)),"",INDEX('Compliance Database'!$C$2:$C$1369,MATCH(1058,Engine!$C$2:$C$1369,0)))</f>
        <v/>
      </c>
      <c r="D1071" s="9">
        <f>IF(ISNA(MATCH(1058,Engine!$C$2:$C$1369,0)),"",INDEX('Compliance Database'!$D$2:$D$1369,MATCH(1058,Engine!$C$2:$C$1369,0)))</f>
        <v/>
      </c>
      <c r="E1071" s="8">
        <f>IF(ISNA(MATCH(1058,Engine!$C$2:$C$1369,0)),"",INDEX('Compliance Database'!$E$2:$E$1369,MATCH(1058,Engine!$C$2:$C$1369,0)))</f>
        <v/>
      </c>
      <c r="F1071" s="8">
        <f>IF(ISNA(MATCH(1058,Engine!$C$2:$C$1369,0)),"",INDEX('Compliance Database'!$F$2:$F$1369,MATCH(1058,Engine!$C$2:$C$1369,0)))</f>
        <v/>
      </c>
      <c r="G1071" s="8">
        <f>IF(ISNA(MATCH(1058,Engine!$C$2:$C$1369,0)),"",INDEX('Compliance Database'!$G$2:$G$1369,MATCH(1058,Engine!$C$2:$C$1369,0)))</f>
        <v/>
      </c>
      <c r="H1071" s="9">
        <f>IF(ISNA(MATCH(1058,Engine!$C$2:$C$1369,0)),"",INDEX('Compliance Database'!$H$2:$H$1369,MATCH(1058,Engine!$C$2:$C$1369,0)))</f>
        <v/>
      </c>
      <c r="I1071" s="9">
        <f>IF(ISNA(MATCH(1058,Engine!$C$2:$C$1369,0)),"",INDEX('Compliance Database'!$I$2:$I$1369,MATCH(1058,Engine!$C$2:$C$1369,0)))</f>
        <v/>
      </c>
      <c r="J1071" s="8">
        <f>IF(ISNA(MATCH(1058,Engine!$C$2:$C$1369,0)),"",INDEX('Compliance Database'!$J$2:$J$1369,MATCH(1058,Engine!$C$2:$C$1369,0)))</f>
        <v/>
      </c>
      <c r="K1071" s="9">
        <f>IF(ISNA(MATCH(1058,Engine!$C$2:$C$1369,0)),"",INDEX('Compliance Database'!$K$2:$K$1369,MATCH(1058,Engine!$C$2:$C$1369,0)))</f>
        <v/>
      </c>
      <c r="L1071" s="9">
        <f>IF(ISNA(MATCH(1058,Engine!$C$2:$C$1369,0)),"",INDEX('Compliance Database'!$L$2:$L$1369,MATCH(1058,Engine!$C$2:$C$1369,0)))</f>
        <v/>
      </c>
      <c r="M1071" s="9">
        <f>IF(ISNA(MATCH(1058,Engine!$C$2:$C$1369,0)),"",INDEX('Compliance Database'!$M$2:$M$1369,MATCH(1058,Engine!$C$2:$C$1369,0)))</f>
        <v/>
      </c>
      <c r="N1071" s="9">
        <f>IF(ISNA(MATCH(1058,Engine!$C$2:$C$1369,0)),"",INDEX('Compliance Database'!$N$2:$N$1369,MATCH(1058,Engine!$C$2:$C$1369,0)))</f>
        <v/>
      </c>
      <c r="O1071" s="8">
        <f>IF(ISNA(MATCH(1058,Engine!$C$2:$C$1369,0)),"",HYPERLINK(INDEX('Compliance Database'!$O$2:$O$1369,MATCH(1058,Engine!$C$2:$C$1369,0)),"Open PDF"))</f>
        <v/>
      </c>
    </row>
    <row r="1072" ht="188" customHeight="1">
      <c r="A1072" s="8">
        <f>IF(ISNA(MATCH(1059,Engine!$C$2:$C$1369,0)),"",INDEX('Compliance Database'!$A$2:$A$1369,MATCH(1059,Engine!$C$2:$C$1369,0)))</f>
        <v/>
      </c>
      <c r="B1072" s="8">
        <f>IF(ISNA(MATCH(1059,Engine!$C$2:$C$1369,0)),"",INDEX('Compliance Database'!$B$2:$B$1369,MATCH(1059,Engine!$C$2:$C$1369,0)))</f>
        <v/>
      </c>
      <c r="C1072" s="8">
        <f>IF(ISNA(MATCH(1059,Engine!$C$2:$C$1369,0)),"",INDEX('Compliance Database'!$C$2:$C$1369,MATCH(1059,Engine!$C$2:$C$1369,0)))</f>
        <v/>
      </c>
      <c r="D1072" s="9">
        <f>IF(ISNA(MATCH(1059,Engine!$C$2:$C$1369,0)),"",INDEX('Compliance Database'!$D$2:$D$1369,MATCH(1059,Engine!$C$2:$C$1369,0)))</f>
        <v/>
      </c>
      <c r="E1072" s="8">
        <f>IF(ISNA(MATCH(1059,Engine!$C$2:$C$1369,0)),"",INDEX('Compliance Database'!$E$2:$E$1369,MATCH(1059,Engine!$C$2:$C$1369,0)))</f>
        <v/>
      </c>
      <c r="F1072" s="8">
        <f>IF(ISNA(MATCH(1059,Engine!$C$2:$C$1369,0)),"",INDEX('Compliance Database'!$F$2:$F$1369,MATCH(1059,Engine!$C$2:$C$1369,0)))</f>
        <v/>
      </c>
      <c r="G1072" s="8">
        <f>IF(ISNA(MATCH(1059,Engine!$C$2:$C$1369,0)),"",INDEX('Compliance Database'!$G$2:$G$1369,MATCH(1059,Engine!$C$2:$C$1369,0)))</f>
        <v/>
      </c>
      <c r="H1072" s="9">
        <f>IF(ISNA(MATCH(1059,Engine!$C$2:$C$1369,0)),"",INDEX('Compliance Database'!$H$2:$H$1369,MATCH(1059,Engine!$C$2:$C$1369,0)))</f>
        <v/>
      </c>
      <c r="I1072" s="9">
        <f>IF(ISNA(MATCH(1059,Engine!$C$2:$C$1369,0)),"",INDEX('Compliance Database'!$I$2:$I$1369,MATCH(1059,Engine!$C$2:$C$1369,0)))</f>
        <v/>
      </c>
      <c r="J1072" s="8">
        <f>IF(ISNA(MATCH(1059,Engine!$C$2:$C$1369,0)),"",INDEX('Compliance Database'!$J$2:$J$1369,MATCH(1059,Engine!$C$2:$C$1369,0)))</f>
        <v/>
      </c>
      <c r="K1072" s="9">
        <f>IF(ISNA(MATCH(1059,Engine!$C$2:$C$1369,0)),"",INDEX('Compliance Database'!$K$2:$K$1369,MATCH(1059,Engine!$C$2:$C$1369,0)))</f>
        <v/>
      </c>
      <c r="L1072" s="9">
        <f>IF(ISNA(MATCH(1059,Engine!$C$2:$C$1369,0)),"",INDEX('Compliance Database'!$L$2:$L$1369,MATCH(1059,Engine!$C$2:$C$1369,0)))</f>
        <v/>
      </c>
      <c r="M1072" s="9">
        <f>IF(ISNA(MATCH(1059,Engine!$C$2:$C$1369,0)),"",INDEX('Compliance Database'!$M$2:$M$1369,MATCH(1059,Engine!$C$2:$C$1369,0)))</f>
        <v/>
      </c>
      <c r="N1072" s="9">
        <f>IF(ISNA(MATCH(1059,Engine!$C$2:$C$1369,0)),"",INDEX('Compliance Database'!$N$2:$N$1369,MATCH(1059,Engine!$C$2:$C$1369,0)))</f>
        <v/>
      </c>
      <c r="O1072" s="8">
        <f>IF(ISNA(MATCH(1059,Engine!$C$2:$C$1369,0)),"",HYPERLINK(INDEX('Compliance Database'!$O$2:$O$1369,MATCH(1059,Engine!$C$2:$C$1369,0)),"Open PDF"))</f>
        <v/>
      </c>
    </row>
    <row r="1073" ht="188" customHeight="1">
      <c r="A1073" s="8">
        <f>IF(ISNA(MATCH(1060,Engine!$C$2:$C$1369,0)),"",INDEX('Compliance Database'!$A$2:$A$1369,MATCH(1060,Engine!$C$2:$C$1369,0)))</f>
        <v/>
      </c>
      <c r="B1073" s="8">
        <f>IF(ISNA(MATCH(1060,Engine!$C$2:$C$1369,0)),"",INDEX('Compliance Database'!$B$2:$B$1369,MATCH(1060,Engine!$C$2:$C$1369,0)))</f>
        <v/>
      </c>
      <c r="C1073" s="8">
        <f>IF(ISNA(MATCH(1060,Engine!$C$2:$C$1369,0)),"",INDEX('Compliance Database'!$C$2:$C$1369,MATCH(1060,Engine!$C$2:$C$1369,0)))</f>
        <v/>
      </c>
      <c r="D1073" s="9">
        <f>IF(ISNA(MATCH(1060,Engine!$C$2:$C$1369,0)),"",INDEX('Compliance Database'!$D$2:$D$1369,MATCH(1060,Engine!$C$2:$C$1369,0)))</f>
        <v/>
      </c>
      <c r="E1073" s="8">
        <f>IF(ISNA(MATCH(1060,Engine!$C$2:$C$1369,0)),"",INDEX('Compliance Database'!$E$2:$E$1369,MATCH(1060,Engine!$C$2:$C$1369,0)))</f>
        <v/>
      </c>
      <c r="F1073" s="8">
        <f>IF(ISNA(MATCH(1060,Engine!$C$2:$C$1369,0)),"",INDEX('Compliance Database'!$F$2:$F$1369,MATCH(1060,Engine!$C$2:$C$1369,0)))</f>
        <v/>
      </c>
      <c r="G1073" s="8">
        <f>IF(ISNA(MATCH(1060,Engine!$C$2:$C$1369,0)),"",INDEX('Compliance Database'!$G$2:$G$1369,MATCH(1060,Engine!$C$2:$C$1369,0)))</f>
        <v/>
      </c>
      <c r="H1073" s="9">
        <f>IF(ISNA(MATCH(1060,Engine!$C$2:$C$1369,0)),"",INDEX('Compliance Database'!$H$2:$H$1369,MATCH(1060,Engine!$C$2:$C$1369,0)))</f>
        <v/>
      </c>
      <c r="I1073" s="9">
        <f>IF(ISNA(MATCH(1060,Engine!$C$2:$C$1369,0)),"",INDEX('Compliance Database'!$I$2:$I$1369,MATCH(1060,Engine!$C$2:$C$1369,0)))</f>
        <v/>
      </c>
      <c r="J1073" s="8">
        <f>IF(ISNA(MATCH(1060,Engine!$C$2:$C$1369,0)),"",INDEX('Compliance Database'!$J$2:$J$1369,MATCH(1060,Engine!$C$2:$C$1369,0)))</f>
        <v/>
      </c>
      <c r="K1073" s="9">
        <f>IF(ISNA(MATCH(1060,Engine!$C$2:$C$1369,0)),"",INDEX('Compliance Database'!$K$2:$K$1369,MATCH(1060,Engine!$C$2:$C$1369,0)))</f>
        <v/>
      </c>
      <c r="L1073" s="9">
        <f>IF(ISNA(MATCH(1060,Engine!$C$2:$C$1369,0)),"",INDEX('Compliance Database'!$L$2:$L$1369,MATCH(1060,Engine!$C$2:$C$1369,0)))</f>
        <v/>
      </c>
      <c r="M1073" s="9">
        <f>IF(ISNA(MATCH(1060,Engine!$C$2:$C$1369,0)),"",INDEX('Compliance Database'!$M$2:$M$1369,MATCH(1060,Engine!$C$2:$C$1369,0)))</f>
        <v/>
      </c>
      <c r="N1073" s="9">
        <f>IF(ISNA(MATCH(1060,Engine!$C$2:$C$1369,0)),"",INDEX('Compliance Database'!$N$2:$N$1369,MATCH(1060,Engine!$C$2:$C$1369,0)))</f>
        <v/>
      </c>
      <c r="O1073" s="8">
        <f>IF(ISNA(MATCH(1060,Engine!$C$2:$C$1369,0)),"",HYPERLINK(INDEX('Compliance Database'!$O$2:$O$1369,MATCH(1060,Engine!$C$2:$C$1369,0)),"Open PDF"))</f>
        <v/>
      </c>
    </row>
    <row r="1074" ht="188" customHeight="1">
      <c r="A1074" s="8">
        <f>IF(ISNA(MATCH(1061,Engine!$C$2:$C$1369,0)),"",INDEX('Compliance Database'!$A$2:$A$1369,MATCH(1061,Engine!$C$2:$C$1369,0)))</f>
        <v/>
      </c>
      <c r="B1074" s="8">
        <f>IF(ISNA(MATCH(1061,Engine!$C$2:$C$1369,0)),"",INDEX('Compliance Database'!$B$2:$B$1369,MATCH(1061,Engine!$C$2:$C$1369,0)))</f>
        <v/>
      </c>
      <c r="C1074" s="8">
        <f>IF(ISNA(MATCH(1061,Engine!$C$2:$C$1369,0)),"",INDEX('Compliance Database'!$C$2:$C$1369,MATCH(1061,Engine!$C$2:$C$1369,0)))</f>
        <v/>
      </c>
      <c r="D1074" s="9">
        <f>IF(ISNA(MATCH(1061,Engine!$C$2:$C$1369,0)),"",INDEX('Compliance Database'!$D$2:$D$1369,MATCH(1061,Engine!$C$2:$C$1369,0)))</f>
        <v/>
      </c>
      <c r="E1074" s="8">
        <f>IF(ISNA(MATCH(1061,Engine!$C$2:$C$1369,0)),"",INDEX('Compliance Database'!$E$2:$E$1369,MATCH(1061,Engine!$C$2:$C$1369,0)))</f>
        <v/>
      </c>
      <c r="F1074" s="8">
        <f>IF(ISNA(MATCH(1061,Engine!$C$2:$C$1369,0)),"",INDEX('Compliance Database'!$F$2:$F$1369,MATCH(1061,Engine!$C$2:$C$1369,0)))</f>
        <v/>
      </c>
      <c r="G1074" s="8">
        <f>IF(ISNA(MATCH(1061,Engine!$C$2:$C$1369,0)),"",INDEX('Compliance Database'!$G$2:$G$1369,MATCH(1061,Engine!$C$2:$C$1369,0)))</f>
        <v/>
      </c>
      <c r="H1074" s="9">
        <f>IF(ISNA(MATCH(1061,Engine!$C$2:$C$1369,0)),"",INDEX('Compliance Database'!$H$2:$H$1369,MATCH(1061,Engine!$C$2:$C$1369,0)))</f>
        <v/>
      </c>
      <c r="I1074" s="9">
        <f>IF(ISNA(MATCH(1061,Engine!$C$2:$C$1369,0)),"",INDEX('Compliance Database'!$I$2:$I$1369,MATCH(1061,Engine!$C$2:$C$1369,0)))</f>
        <v/>
      </c>
      <c r="J1074" s="8">
        <f>IF(ISNA(MATCH(1061,Engine!$C$2:$C$1369,0)),"",INDEX('Compliance Database'!$J$2:$J$1369,MATCH(1061,Engine!$C$2:$C$1369,0)))</f>
        <v/>
      </c>
      <c r="K1074" s="9">
        <f>IF(ISNA(MATCH(1061,Engine!$C$2:$C$1369,0)),"",INDEX('Compliance Database'!$K$2:$K$1369,MATCH(1061,Engine!$C$2:$C$1369,0)))</f>
        <v/>
      </c>
      <c r="L1074" s="9">
        <f>IF(ISNA(MATCH(1061,Engine!$C$2:$C$1369,0)),"",INDEX('Compliance Database'!$L$2:$L$1369,MATCH(1061,Engine!$C$2:$C$1369,0)))</f>
        <v/>
      </c>
      <c r="M1074" s="9">
        <f>IF(ISNA(MATCH(1061,Engine!$C$2:$C$1369,0)),"",INDEX('Compliance Database'!$M$2:$M$1369,MATCH(1061,Engine!$C$2:$C$1369,0)))</f>
        <v/>
      </c>
      <c r="N1074" s="9">
        <f>IF(ISNA(MATCH(1061,Engine!$C$2:$C$1369,0)),"",INDEX('Compliance Database'!$N$2:$N$1369,MATCH(1061,Engine!$C$2:$C$1369,0)))</f>
        <v/>
      </c>
      <c r="O1074" s="8">
        <f>IF(ISNA(MATCH(1061,Engine!$C$2:$C$1369,0)),"",HYPERLINK(INDEX('Compliance Database'!$O$2:$O$1369,MATCH(1061,Engine!$C$2:$C$1369,0)),"Open PDF"))</f>
        <v/>
      </c>
    </row>
    <row r="1075" ht="188" customHeight="1">
      <c r="A1075" s="8">
        <f>IF(ISNA(MATCH(1062,Engine!$C$2:$C$1369,0)),"",INDEX('Compliance Database'!$A$2:$A$1369,MATCH(1062,Engine!$C$2:$C$1369,0)))</f>
        <v/>
      </c>
      <c r="B1075" s="8">
        <f>IF(ISNA(MATCH(1062,Engine!$C$2:$C$1369,0)),"",INDEX('Compliance Database'!$B$2:$B$1369,MATCH(1062,Engine!$C$2:$C$1369,0)))</f>
        <v/>
      </c>
      <c r="C1075" s="8">
        <f>IF(ISNA(MATCH(1062,Engine!$C$2:$C$1369,0)),"",INDEX('Compliance Database'!$C$2:$C$1369,MATCH(1062,Engine!$C$2:$C$1369,0)))</f>
        <v/>
      </c>
      <c r="D1075" s="9">
        <f>IF(ISNA(MATCH(1062,Engine!$C$2:$C$1369,0)),"",INDEX('Compliance Database'!$D$2:$D$1369,MATCH(1062,Engine!$C$2:$C$1369,0)))</f>
        <v/>
      </c>
      <c r="E1075" s="8">
        <f>IF(ISNA(MATCH(1062,Engine!$C$2:$C$1369,0)),"",INDEX('Compliance Database'!$E$2:$E$1369,MATCH(1062,Engine!$C$2:$C$1369,0)))</f>
        <v/>
      </c>
      <c r="F1075" s="8">
        <f>IF(ISNA(MATCH(1062,Engine!$C$2:$C$1369,0)),"",INDEX('Compliance Database'!$F$2:$F$1369,MATCH(1062,Engine!$C$2:$C$1369,0)))</f>
        <v/>
      </c>
      <c r="G1075" s="8">
        <f>IF(ISNA(MATCH(1062,Engine!$C$2:$C$1369,0)),"",INDEX('Compliance Database'!$G$2:$G$1369,MATCH(1062,Engine!$C$2:$C$1369,0)))</f>
        <v/>
      </c>
      <c r="H1075" s="9">
        <f>IF(ISNA(MATCH(1062,Engine!$C$2:$C$1369,0)),"",INDEX('Compliance Database'!$H$2:$H$1369,MATCH(1062,Engine!$C$2:$C$1369,0)))</f>
        <v/>
      </c>
      <c r="I1075" s="9">
        <f>IF(ISNA(MATCH(1062,Engine!$C$2:$C$1369,0)),"",INDEX('Compliance Database'!$I$2:$I$1369,MATCH(1062,Engine!$C$2:$C$1369,0)))</f>
        <v/>
      </c>
      <c r="J1075" s="8">
        <f>IF(ISNA(MATCH(1062,Engine!$C$2:$C$1369,0)),"",INDEX('Compliance Database'!$J$2:$J$1369,MATCH(1062,Engine!$C$2:$C$1369,0)))</f>
        <v/>
      </c>
      <c r="K1075" s="9">
        <f>IF(ISNA(MATCH(1062,Engine!$C$2:$C$1369,0)),"",INDEX('Compliance Database'!$K$2:$K$1369,MATCH(1062,Engine!$C$2:$C$1369,0)))</f>
        <v/>
      </c>
      <c r="L1075" s="9">
        <f>IF(ISNA(MATCH(1062,Engine!$C$2:$C$1369,0)),"",INDEX('Compliance Database'!$L$2:$L$1369,MATCH(1062,Engine!$C$2:$C$1369,0)))</f>
        <v/>
      </c>
      <c r="M1075" s="9">
        <f>IF(ISNA(MATCH(1062,Engine!$C$2:$C$1369,0)),"",INDEX('Compliance Database'!$M$2:$M$1369,MATCH(1062,Engine!$C$2:$C$1369,0)))</f>
        <v/>
      </c>
      <c r="N1075" s="9">
        <f>IF(ISNA(MATCH(1062,Engine!$C$2:$C$1369,0)),"",INDEX('Compliance Database'!$N$2:$N$1369,MATCH(1062,Engine!$C$2:$C$1369,0)))</f>
        <v/>
      </c>
      <c r="O1075" s="8">
        <f>IF(ISNA(MATCH(1062,Engine!$C$2:$C$1369,0)),"",HYPERLINK(INDEX('Compliance Database'!$O$2:$O$1369,MATCH(1062,Engine!$C$2:$C$1369,0)),"Open PDF"))</f>
        <v/>
      </c>
    </row>
    <row r="1076" ht="188" customHeight="1">
      <c r="A1076" s="8">
        <f>IF(ISNA(MATCH(1063,Engine!$C$2:$C$1369,0)),"",INDEX('Compliance Database'!$A$2:$A$1369,MATCH(1063,Engine!$C$2:$C$1369,0)))</f>
        <v/>
      </c>
      <c r="B1076" s="8">
        <f>IF(ISNA(MATCH(1063,Engine!$C$2:$C$1369,0)),"",INDEX('Compliance Database'!$B$2:$B$1369,MATCH(1063,Engine!$C$2:$C$1369,0)))</f>
        <v/>
      </c>
      <c r="C1076" s="8">
        <f>IF(ISNA(MATCH(1063,Engine!$C$2:$C$1369,0)),"",INDEX('Compliance Database'!$C$2:$C$1369,MATCH(1063,Engine!$C$2:$C$1369,0)))</f>
        <v/>
      </c>
      <c r="D1076" s="9">
        <f>IF(ISNA(MATCH(1063,Engine!$C$2:$C$1369,0)),"",INDEX('Compliance Database'!$D$2:$D$1369,MATCH(1063,Engine!$C$2:$C$1369,0)))</f>
        <v/>
      </c>
      <c r="E1076" s="8">
        <f>IF(ISNA(MATCH(1063,Engine!$C$2:$C$1369,0)),"",INDEX('Compliance Database'!$E$2:$E$1369,MATCH(1063,Engine!$C$2:$C$1369,0)))</f>
        <v/>
      </c>
      <c r="F1076" s="8">
        <f>IF(ISNA(MATCH(1063,Engine!$C$2:$C$1369,0)),"",INDEX('Compliance Database'!$F$2:$F$1369,MATCH(1063,Engine!$C$2:$C$1369,0)))</f>
        <v/>
      </c>
      <c r="G1076" s="8">
        <f>IF(ISNA(MATCH(1063,Engine!$C$2:$C$1369,0)),"",INDEX('Compliance Database'!$G$2:$G$1369,MATCH(1063,Engine!$C$2:$C$1369,0)))</f>
        <v/>
      </c>
      <c r="H1076" s="9">
        <f>IF(ISNA(MATCH(1063,Engine!$C$2:$C$1369,0)),"",INDEX('Compliance Database'!$H$2:$H$1369,MATCH(1063,Engine!$C$2:$C$1369,0)))</f>
        <v/>
      </c>
      <c r="I1076" s="9">
        <f>IF(ISNA(MATCH(1063,Engine!$C$2:$C$1369,0)),"",INDEX('Compliance Database'!$I$2:$I$1369,MATCH(1063,Engine!$C$2:$C$1369,0)))</f>
        <v/>
      </c>
      <c r="J1076" s="8">
        <f>IF(ISNA(MATCH(1063,Engine!$C$2:$C$1369,0)),"",INDEX('Compliance Database'!$J$2:$J$1369,MATCH(1063,Engine!$C$2:$C$1369,0)))</f>
        <v/>
      </c>
      <c r="K1076" s="9">
        <f>IF(ISNA(MATCH(1063,Engine!$C$2:$C$1369,0)),"",INDEX('Compliance Database'!$K$2:$K$1369,MATCH(1063,Engine!$C$2:$C$1369,0)))</f>
        <v/>
      </c>
      <c r="L1076" s="9">
        <f>IF(ISNA(MATCH(1063,Engine!$C$2:$C$1369,0)),"",INDEX('Compliance Database'!$L$2:$L$1369,MATCH(1063,Engine!$C$2:$C$1369,0)))</f>
        <v/>
      </c>
      <c r="M1076" s="9">
        <f>IF(ISNA(MATCH(1063,Engine!$C$2:$C$1369,0)),"",INDEX('Compliance Database'!$M$2:$M$1369,MATCH(1063,Engine!$C$2:$C$1369,0)))</f>
        <v/>
      </c>
      <c r="N1076" s="9">
        <f>IF(ISNA(MATCH(1063,Engine!$C$2:$C$1369,0)),"",INDEX('Compliance Database'!$N$2:$N$1369,MATCH(1063,Engine!$C$2:$C$1369,0)))</f>
        <v/>
      </c>
      <c r="O1076" s="8">
        <f>IF(ISNA(MATCH(1063,Engine!$C$2:$C$1369,0)),"",HYPERLINK(INDEX('Compliance Database'!$O$2:$O$1369,MATCH(1063,Engine!$C$2:$C$1369,0)),"Open PDF"))</f>
        <v/>
      </c>
    </row>
    <row r="1077" ht="188" customHeight="1">
      <c r="A1077" s="8">
        <f>IF(ISNA(MATCH(1064,Engine!$C$2:$C$1369,0)),"",INDEX('Compliance Database'!$A$2:$A$1369,MATCH(1064,Engine!$C$2:$C$1369,0)))</f>
        <v/>
      </c>
      <c r="B1077" s="8">
        <f>IF(ISNA(MATCH(1064,Engine!$C$2:$C$1369,0)),"",INDEX('Compliance Database'!$B$2:$B$1369,MATCH(1064,Engine!$C$2:$C$1369,0)))</f>
        <v/>
      </c>
      <c r="C1077" s="8">
        <f>IF(ISNA(MATCH(1064,Engine!$C$2:$C$1369,0)),"",INDEX('Compliance Database'!$C$2:$C$1369,MATCH(1064,Engine!$C$2:$C$1369,0)))</f>
        <v/>
      </c>
      <c r="D1077" s="9">
        <f>IF(ISNA(MATCH(1064,Engine!$C$2:$C$1369,0)),"",INDEX('Compliance Database'!$D$2:$D$1369,MATCH(1064,Engine!$C$2:$C$1369,0)))</f>
        <v/>
      </c>
      <c r="E1077" s="8">
        <f>IF(ISNA(MATCH(1064,Engine!$C$2:$C$1369,0)),"",INDEX('Compliance Database'!$E$2:$E$1369,MATCH(1064,Engine!$C$2:$C$1369,0)))</f>
        <v/>
      </c>
      <c r="F1077" s="8">
        <f>IF(ISNA(MATCH(1064,Engine!$C$2:$C$1369,0)),"",INDEX('Compliance Database'!$F$2:$F$1369,MATCH(1064,Engine!$C$2:$C$1369,0)))</f>
        <v/>
      </c>
      <c r="G1077" s="8">
        <f>IF(ISNA(MATCH(1064,Engine!$C$2:$C$1369,0)),"",INDEX('Compliance Database'!$G$2:$G$1369,MATCH(1064,Engine!$C$2:$C$1369,0)))</f>
        <v/>
      </c>
      <c r="H1077" s="9">
        <f>IF(ISNA(MATCH(1064,Engine!$C$2:$C$1369,0)),"",INDEX('Compliance Database'!$H$2:$H$1369,MATCH(1064,Engine!$C$2:$C$1369,0)))</f>
        <v/>
      </c>
      <c r="I1077" s="9">
        <f>IF(ISNA(MATCH(1064,Engine!$C$2:$C$1369,0)),"",INDEX('Compliance Database'!$I$2:$I$1369,MATCH(1064,Engine!$C$2:$C$1369,0)))</f>
        <v/>
      </c>
      <c r="J1077" s="8">
        <f>IF(ISNA(MATCH(1064,Engine!$C$2:$C$1369,0)),"",INDEX('Compliance Database'!$J$2:$J$1369,MATCH(1064,Engine!$C$2:$C$1369,0)))</f>
        <v/>
      </c>
      <c r="K1077" s="9">
        <f>IF(ISNA(MATCH(1064,Engine!$C$2:$C$1369,0)),"",INDEX('Compliance Database'!$K$2:$K$1369,MATCH(1064,Engine!$C$2:$C$1369,0)))</f>
        <v/>
      </c>
      <c r="L1077" s="9">
        <f>IF(ISNA(MATCH(1064,Engine!$C$2:$C$1369,0)),"",INDEX('Compliance Database'!$L$2:$L$1369,MATCH(1064,Engine!$C$2:$C$1369,0)))</f>
        <v/>
      </c>
      <c r="M1077" s="9">
        <f>IF(ISNA(MATCH(1064,Engine!$C$2:$C$1369,0)),"",INDEX('Compliance Database'!$M$2:$M$1369,MATCH(1064,Engine!$C$2:$C$1369,0)))</f>
        <v/>
      </c>
      <c r="N1077" s="9">
        <f>IF(ISNA(MATCH(1064,Engine!$C$2:$C$1369,0)),"",INDEX('Compliance Database'!$N$2:$N$1369,MATCH(1064,Engine!$C$2:$C$1369,0)))</f>
        <v/>
      </c>
      <c r="O1077" s="8">
        <f>IF(ISNA(MATCH(1064,Engine!$C$2:$C$1369,0)),"",HYPERLINK(INDEX('Compliance Database'!$O$2:$O$1369,MATCH(1064,Engine!$C$2:$C$1369,0)),"Open PDF"))</f>
        <v/>
      </c>
    </row>
    <row r="1078" ht="188" customHeight="1">
      <c r="A1078" s="8">
        <f>IF(ISNA(MATCH(1065,Engine!$C$2:$C$1369,0)),"",INDEX('Compliance Database'!$A$2:$A$1369,MATCH(1065,Engine!$C$2:$C$1369,0)))</f>
        <v/>
      </c>
      <c r="B1078" s="8">
        <f>IF(ISNA(MATCH(1065,Engine!$C$2:$C$1369,0)),"",INDEX('Compliance Database'!$B$2:$B$1369,MATCH(1065,Engine!$C$2:$C$1369,0)))</f>
        <v/>
      </c>
      <c r="C1078" s="8">
        <f>IF(ISNA(MATCH(1065,Engine!$C$2:$C$1369,0)),"",INDEX('Compliance Database'!$C$2:$C$1369,MATCH(1065,Engine!$C$2:$C$1369,0)))</f>
        <v/>
      </c>
      <c r="D1078" s="9">
        <f>IF(ISNA(MATCH(1065,Engine!$C$2:$C$1369,0)),"",INDEX('Compliance Database'!$D$2:$D$1369,MATCH(1065,Engine!$C$2:$C$1369,0)))</f>
        <v/>
      </c>
      <c r="E1078" s="8">
        <f>IF(ISNA(MATCH(1065,Engine!$C$2:$C$1369,0)),"",INDEX('Compliance Database'!$E$2:$E$1369,MATCH(1065,Engine!$C$2:$C$1369,0)))</f>
        <v/>
      </c>
      <c r="F1078" s="8">
        <f>IF(ISNA(MATCH(1065,Engine!$C$2:$C$1369,0)),"",INDEX('Compliance Database'!$F$2:$F$1369,MATCH(1065,Engine!$C$2:$C$1369,0)))</f>
        <v/>
      </c>
      <c r="G1078" s="8">
        <f>IF(ISNA(MATCH(1065,Engine!$C$2:$C$1369,0)),"",INDEX('Compliance Database'!$G$2:$G$1369,MATCH(1065,Engine!$C$2:$C$1369,0)))</f>
        <v/>
      </c>
      <c r="H1078" s="9">
        <f>IF(ISNA(MATCH(1065,Engine!$C$2:$C$1369,0)),"",INDEX('Compliance Database'!$H$2:$H$1369,MATCH(1065,Engine!$C$2:$C$1369,0)))</f>
        <v/>
      </c>
      <c r="I1078" s="9">
        <f>IF(ISNA(MATCH(1065,Engine!$C$2:$C$1369,0)),"",INDEX('Compliance Database'!$I$2:$I$1369,MATCH(1065,Engine!$C$2:$C$1369,0)))</f>
        <v/>
      </c>
      <c r="J1078" s="8">
        <f>IF(ISNA(MATCH(1065,Engine!$C$2:$C$1369,0)),"",INDEX('Compliance Database'!$J$2:$J$1369,MATCH(1065,Engine!$C$2:$C$1369,0)))</f>
        <v/>
      </c>
      <c r="K1078" s="9">
        <f>IF(ISNA(MATCH(1065,Engine!$C$2:$C$1369,0)),"",INDEX('Compliance Database'!$K$2:$K$1369,MATCH(1065,Engine!$C$2:$C$1369,0)))</f>
        <v/>
      </c>
      <c r="L1078" s="9">
        <f>IF(ISNA(MATCH(1065,Engine!$C$2:$C$1369,0)),"",INDEX('Compliance Database'!$L$2:$L$1369,MATCH(1065,Engine!$C$2:$C$1369,0)))</f>
        <v/>
      </c>
      <c r="M1078" s="9">
        <f>IF(ISNA(MATCH(1065,Engine!$C$2:$C$1369,0)),"",INDEX('Compliance Database'!$M$2:$M$1369,MATCH(1065,Engine!$C$2:$C$1369,0)))</f>
        <v/>
      </c>
      <c r="N1078" s="9">
        <f>IF(ISNA(MATCH(1065,Engine!$C$2:$C$1369,0)),"",INDEX('Compliance Database'!$N$2:$N$1369,MATCH(1065,Engine!$C$2:$C$1369,0)))</f>
        <v/>
      </c>
      <c r="O1078" s="8">
        <f>IF(ISNA(MATCH(1065,Engine!$C$2:$C$1369,0)),"",HYPERLINK(INDEX('Compliance Database'!$O$2:$O$1369,MATCH(1065,Engine!$C$2:$C$1369,0)),"Open PDF"))</f>
        <v/>
      </c>
    </row>
    <row r="1079" ht="188" customHeight="1">
      <c r="A1079" s="8">
        <f>IF(ISNA(MATCH(1066,Engine!$C$2:$C$1369,0)),"",INDEX('Compliance Database'!$A$2:$A$1369,MATCH(1066,Engine!$C$2:$C$1369,0)))</f>
        <v/>
      </c>
      <c r="B1079" s="8">
        <f>IF(ISNA(MATCH(1066,Engine!$C$2:$C$1369,0)),"",INDEX('Compliance Database'!$B$2:$B$1369,MATCH(1066,Engine!$C$2:$C$1369,0)))</f>
        <v/>
      </c>
      <c r="C1079" s="8">
        <f>IF(ISNA(MATCH(1066,Engine!$C$2:$C$1369,0)),"",INDEX('Compliance Database'!$C$2:$C$1369,MATCH(1066,Engine!$C$2:$C$1369,0)))</f>
        <v/>
      </c>
      <c r="D1079" s="9">
        <f>IF(ISNA(MATCH(1066,Engine!$C$2:$C$1369,0)),"",INDEX('Compliance Database'!$D$2:$D$1369,MATCH(1066,Engine!$C$2:$C$1369,0)))</f>
        <v/>
      </c>
      <c r="E1079" s="8">
        <f>IF(ISNA(MATCH(1066,Engine!$C$2:$C$1369,0)),"",INDEX('Compliance Database'!$E$2:$E$1369,MATCH(1066,Engine!$C$2:$C$1369,0)))</f>
        <v/>
      </c>
      <c r="F1079" s="8">
        <f>IF(ISNA(MATCH(1066,Engine!$C$2:$C$1369,0)),"",INDEX('Compliance Database'!$F$2:$F$1369,MATCH(1066,Engine!$C$2:$C$1369,0)))</f>
        <v/>
      </c>
      <c r="G1079" s="8">
        <f>IF(ISNA(MATCH(1066,Engine!$C$2:$C$1369,0)),"",INDEX('Compliance Database'!$G$2:$G$1369,MATCH(1066,Engine!$C$2:$C$1369,0)))</f>
        <v/>
      </c>
      <c r="H1079" s="9">
        <f>IF(ISNA(MATCH(1066,Engine!$C$2:$C$1369,0)),"",INDEX('Compliance Database'!$H$2:$H$1369,MATCH(1066,Engine!$C$2:$C$1369,0)))</f>
        <v/>
      </c>
      <c r="I1079" s="9">
        <f>IF(ISNA(MATCH(1066,Engine!$C$2:$C$1369,0)),"",INDEX('Compliance Database'!$I$2:$I$1369,MATCH(1066,Engine!$C$2:$C$1369,0)))</f>
        <v/>
      </c>
      <c r="J1079" s="8">
        <f>IF(ISNA(MATCH(1066,Engine!$C$2:$C$1369,0)),"",INDEX('Compliance Database'!$J$2:$J$1369,MATCH(1066,Engine!$C$2:$C$1369,0)))</f>
        <v/>
      </c>
      <c r="K1079" s="9">
        <f>IF(ISNA(MATCH(1066,Engine!$C$2:$C$1369,0)),"",INDEX('Compliance Database'!$K$2:$K$1369,MATCH(1066,Engine!$C$2:$C$1369,0)))</f>
        <v/>
      </c>
      <c r="L1079" s="9">
        <f>IF(ISNA(MATCH(1066,Engine!$C$2:$C$1369,0)),"",INDEX('Compliance Database'!$L$2:$L$1369,MATCH(1066,Engine!$C$2:$C$1369,0)))</f>
        <v/>
      </c>
      <c r="M1079" s="9">
        <f>IF(ISNA(MATCH(1066,Engine!$C$2:$C$1369,0)),"",INDEX('Compliance Database'!$M$2:$M$1369,MATCH(1066,Engine!$C$2:$C$1369,0)))</f>
        <v/>
      </c>
      <c r="N1079" s="9">
        <f>IF(ISNA(MATCH(1066,Engine!$C$2:$C$1369,0)),"",INDEX('Compliance Database'!$N$2:$N$1369,MATCH(1066,Engine!$C$2:$C$1369,0)))</f>
        <v/>
      </c>
      <c r="O1079" s="8">
        <f>IF(ISNA(MATCH(1066,Engine!$C$2:$C$1369,0)),"",HYPERLINK(INDEX('Compliance Database'!$O$2:$O$1369,MATCH(1066,Engine!$C$2:$C$1369,0)),"Open PDF"))</f>
        <v/>
      </c>
    </row>
    <row r="1080" ht="188" customHeight="1">
      <c r="A1080" s="8">
        <f>IF(ISNA(MATCH(1067,Engine!$C$2:$C$1369,0)),"",INDEX('Compliance Database'!$A$2:$A$1369,MATCH(1067,Engine!$C$2:$C$1369,0)))</f>
        <v/>
      </c>
      <c r="B1080" s="8">
        <f>IF(ISNA(MATCH(1067,Engine!$C$2:$C$1369,0)),"",INDEX('Compliance Database'!$B$2:$B$1369,MATCH(1067,Engine!$C$2:$C$1369,0)))</f>
        <v/>
      </c>
      <c r="C1080" s="8">
        <f>IF(ISNA(MATCH(1067,Engine!$C$2:$C$1369,0)),"",INDEX('Compliance Database'!$C$2:$C$1369,MATCH(1067,Engine!$C$2:$C$1369,0)))</f>
        <v/>
      </c>
      <c r="D1080" s="9">
        <f>IF(ISNA(MATCH(1067,Engine!$C$2:$C$1369,0)),"",INDEX('Compliance Database'!$D$2:$D$1369,MATCH(1067,Engine!$C$2:$C$1369,0)))</f>
        <v/>
      </c>
      <c r="E1080" s="8">
        <f>IF(ISNA(MATCH(1067,Engine!$C$2:$C$1369,0)),"",INDEX('Compliance Database'!$E$2:$E$1369,MATCH(1067,Engine!$C$2:$C$1369,0)))</f>
        <v/>
      </c>
      <c r="F1080" s="8">
        <f>IF(ISNA(MATCH(1067,Engine!$C$2:$C$1369,0)),"",INDEX('Compliance Database'!$F$2:$F$1369,MATCH(1067,Engine!$C$2:$C$1369,0)))</f>
        <v/>
      </c>
      <c r="G1080" s="8">
        <f>IF(ISNA(MATCH(1067,Engine!$C$2:$C$1369,0)),"",INDEX('Compliance Database'!$G$2:$G$1369,MATCH(1067,Engine!$C$2:$C$1369,0)))</f>
        <v/>
      </c>
      <c r="H1080" s="9">
        <f>IF(ISNA(MATCH(1067,Engine!$C$2:$C$1369,0)),"",INDEX('Compliance Database'!$H$2:$H$1369,MATCH(1067,Engine!$C$2:$C$1369,0)))</f>
        <v/>
      </c>
      <c r="I1080" s="9">
        <f>IF(ISNA(MATCH(1067,Engine!$C$2:$C$1369,0)),"",INDEX('Compliance Database'!$I$2:$I$1369,MATCH(1067,Engine!$C$2:$C$1369,0)))</f>
        <v/>
      </c>
      <c r="J1080" s="8">
        <f>IF(ISNA(MATCH(1067,Engine!$C$2:$C$1369,0)),"",INDEX('Compliance Database'!$J$2:$J$1369,MATCH(1067,Engine!$C$2:$C$1369,0)))</f>
        <v/>
      </c>
      <c r="K1080" s="9">
        <f>IF(ISNA(MATCH(1067,Engine!$C$2:$C$1369,0)),"",INDEX('Compliance Database'!$K$2:$K$1369,MATCH(1067,Engine!$C$2:$C$1369,0)))</f>
        <v/>
      </c>
      <c r="L1080" s="9">
        <f>IF(ISNA(MATCH(1067,Engine!$C$2:$C$1369,0)),"",INDEX('Compliance Database'!$L$2:$L$1369,MATCH(1067,Engine!$C$2:$C$1369,0)))</f>
        <v/>
      </c>
      <c r="M1080" s="9">
        <f>IF(ISNA(MATCH(1067,Engine!$C$2:$C$1369,0)),"",INDEX('Compliance Database'!$M$2:$M$1369,MATCH(1067,Engine!$C$2:$C$1369,0)))</f>
        <v/>
      </c>
      <c r="N1080" s="9">
        <f>IF(ISNA(MATCH(1067,Engine!$C$2:$C$1369,0)),"",INDEX('Compliance Database'!$N$2:$N$1369,MATCH(1067,Engine!$C$2:$C$1369,0)))</f>
        <v/>
      </c>
      <c r="O1080" s="8">
        <f>IF(ISNA(MATCH(1067,Engine!$C$2:$C$1369,0)),"",HYPERLINK(INDEX('Compliance Database'!$O$2:$O$1369,MATCH(1067,Engine!$C$2:$C$1369,0)),"Open PDF"))</f>
        <v/>
      </c>
    </row>
    <row r="1081" ht="188" customHeight="1">
      <c r="A1081" s="8">
        <f>IF(ISNA(MATCH(1068,Engine!$C$2:$C$1369,0)),"",INDEX('Compliance Database'!$A$2:$A$1369,MATCH(1068,Engine!$C$2:$C$1369,0)))</f>
        <v/>
      </c>
      <c r="B1081" s="8">
        <f>IF(ISNA(MATCH(1068,Engine!$C$2:$C$1369,0)),"",INDEX('Compliance Database'!$B$2:$B$1369,MATCH(1068,Engine!$C$2:$C$1369,0)))</f>
        <v/>
      </c>
      <c r="C1081" s="8">
        <f>IF(ISNA(MATCH(1068,Engine!$C$2:$C$1369,0)),"",INDEX('Compliance Database'!$C$2:$C$1369,MATCH(1068,Engine!$C$2:$C$1369,0)))</f>
        <v/>
      </c>
      <c r="D1081" s="9">
        <f>IF(ISNA(MATCH(1068,Engine!$C$2:$C$1369,0)),"",INDEX('Compliance Database'!$D$2:$D$1369,MATCH(1068,Engine!$C$2:$C$1369,0)))</f>
        <v/>
      </c>
      <c r="E1081" s="8">
        <f>IF(ISNA(MATCH(1068,Engine!$C$2:$C$1369,0)),"",INDEX('Compliance Database'!$E$2:$E$1369,MATCH(1068,Engine!$C$2:$C$1369,0)))</f>
        <v/>
      </c>
      <c r="F1081" s="8">
        <f>IF(ISNA(MATCH(1068,Engine!$C$2:$C$1369,0)),"",INDEX('Compliance Database'!$F$2:$F$1369,MATCH(1068,Engine!$C$2:$C$1369,0)))</f>
        <v/>
      </c>
      <c r="G1081" s="8">
        <f>IF(ISNA(MATCH(1068,Engine!$C$2:$C$1369,0)),"",INDEX('Compliance Database'!$G$2:$G$1369,MATCH(1068,Engine!$C$2:$C$1369,0)))</f>
        <v/>
      </c>
      <c r="H1081" s="9">
        <f>IF(ISNA(MATCH(1068,Engine!$C$2:$C$1369,0)),"",INDEX('Compliance Database'!$H$2:$H$1369,MATCH(1068,Engine!$C$2:$C$1369,0)))</f>
        <v/>
      </c>
      <c r="I1081" s="9">
        <f>IF(ISNA(MATCH(1068,Engine!$C$2:$C$1369,0)),"",INDEX('Compliance Database'!$I$2:$I$1369,MATCH(1068,Engine!$C$2:$C$1369,0)))</f>
        <v/>
      </c>
      <c r="J1081" s="8">
        <f>IF(ISNA(MATCH(1068,Engine!$C$2:$C$1369,0)),"",INDEX('Compliance Database'!$J$2:$J$1369,MATCH(1068,Engine!$C$2:$C$1369,0)))</f>
        <v/>
      </c>
      <c r="K1081" s="9">
        <f>IF(ISNA(MATCH(1068,Engine!$C$2:$C$1369,0)),"",INDEX('Compliance Database'!$K$2:$K$1369,MATCH(1068,Engine!$C$2:$C$1369,0)))</f>
        <v/>
      </c>
      <c r="L1081" s="9">
        <f>IF(ISNA(MATCH(1068,Engine!$C$2:$C$1369,0)),"",INDEX('Compliance Database'!$L$2:$L$1369,MATCH(1068,Engine!$C$2:$C$1369,0)))</f>
        <v/>
      </c>
      <c r="M1081" s="9">
        <f>IF(ISNA(MATCH(1068,Engine!$C$2:$C$1369,0)),"",INDEX('Compliance Database'!$M$2:$M$1369,MATCH(1068,Engine!$C$2:$C$1369,0)))</f>
        <v/>
      </c>
      <c r="N1081" s="9">
        <f>IF(ISNA(MATCH(1068,Engine!$C$2:$C$1369,0)),"",INDEX('Compliance Database'!$N$2:$N$1369,MATCH(1068,Engine!$C$2:$C$1369,0)))</f>
        <v/>
      </c>
      <c r="O1081" s="8">
        <f>IF(ISNA(MATCH(1068,Engine!$C$2:$C$1369,0)),"",HYPERLINK(INDEX('Compliance Database'!$O$2:$O$1369,MATCH(1068,Engine!$C$2:$C$1369,0)),"Open PDF"))</f>
        <v/>
      </c>
    </row>
    <row r="1082" ht="188" customHeight="1">
      <c r="A1082" s="8">
        <f>IF(ISNA(MATCH(1069,Engine!$C$2:$C$1369,0)),"",INDEX('Compliance Database'!$A$2:$A$1369,MATCH(1069,Engine!$C$2:$C$1369,0)))</f>
        <v/>
      </c>
      <c r="B1082" s="8">
        <f>IF(ISNA(MATCH(1069,Engine!$C$2:$C$1369,0)),"",INDEX('Compliance Database'!$B$2:$B$1369,MATCH(1069,Engine!$C$2:$C$1369,0)))</f>
        <v/>
      </c>
      <c r="C1082" s="8">
        <f>IF(ISNA(MATCH(1069,Engine!$C$2:$C$1369,0)),"",INDEX('Compliance Database'!$C$2:$C$1369,MATCH(1069,Engine!$C$2:$C$1369,0)))</f>
        <v/>
      </c>
      <c r="D1082" s="9">
        <f>IF(ISNA(MATCH(1069,Engine!$C$2:$C$1369,0)),"",INDEX('Compliance Database'!$D$2:$D$1369,MATCH(1069,Engine!$C$2:$C$1369,0)))</f>
        <v/>
      </c>
      <c r="E1082" s="8">
        <f>IF(ISNA(MATCH(1069,Engine!$C$2:$C$1369,0)),"",INDEX('Compliance Database'!$E$2:$E$1369,MATCH(1069,Engine!$C$2:$C$1369,0)))</f>
        <v/>
      </c>
      <c r="F1082" s="8">
        <f>IF(ISNA(MATCH(1069,Engine!$C$2:$C$1369,0)),"",INDEX('Compliance Database'!$F$2:$F$1369,MATCH(1069,Engine!$C$2:$C$1369,0)))</f>
        <v/>
      </c>
      <c r="G1082" s="8">
        <f>IF(ISNA(MATCH(1069,Engine!$C$2:$C$1369,0)),"",INDEX('Compliance Database'!$G$2:$G$1369,MATCH(1069,Engine!$C$2:$C$1369,0)))</f>
        <v/>
      </c>
      <c r="H1082" s="9">
        <f>IF(ISNA(MATCH(1069,Engine!$C$2:$C$1369,0)),"",INDEX('Compliance Database'!$H$2:$H$1369,MATCH(1069,Engine!$C$2:$C$1369,0)))</f>
        <v/>
      </c>
      <c r="I1082" s="9">
        <f>IF(ISNA(MATCH(1069,Engine!$C$2:$C$1369,0)),"",INDEX('Compliance Database'!$I$2:$I$1369,MATCH(1069,Engine!$C$2:$C$1369,0)))</f>
        <v/>
      </c>
      <c r="J1082" s="8">
        <f>IF(ISNA(MATCH(1069,Engine!$C$2:$C$1369,0)),"",INDEX('Compliance Database'!$J$2:$J$1369,MATCH(1069,Engine!$C$2:$C$1369,0)))</f>
        <v/>
      </c>
      <c r="K1082" s="9">
        <f>IF(ISNA(MATCH(1069,Engine!$C$2:$C$1369,0)),"",INDEX('Compliance Database'!$K$2:$K$1369,MATCH(1069,Engine!$C$2:$C$1369,0)))</f>
        <v/>
      </c>
      <c r="L1082" s="9">
        <f>IF(ISNA(MATCH(1069,Engine!$C$2:$C$1369,0)),"",INDEX('Compliance Database'!$L$2:$L$1369,MATCH(1069,Engine!$C$2:$C$1369,0)))</f>
        <v/>
      </c>
      <c r="M1082" s="9">
        <f>IF(ISNA(MATCH(1069,Engine!$C$2:$C$1369,0)),"",INDEX('Compliance Database'!$M$2:$M$1369,MATCH(1069,Engine!$C$2:$C$1369,0)))</f>
        <v/>
      </c>
      <c r="N1082" s="9">
        <f>IF(ISNA(MATCH(1069,Engine!$C$2:$C$1369,0)),"",INDEX('Compliance Database'!$N$2:$N$1369,MATCH(1069,Engine!$C$2:$C$1369,0)))</f>
        <v/>
      </c>
      <c r="O1082" s="8">
        <f>IF(ISNA(MATCH(1069,Engine!$C$2:$C$1369,0)),"",HYPERLINK(INDEX('Compliance Database'!$O$2:$O$1369,MATCH(1069,Engine!$C$2:$C$1369,0)),"Open PDF"))</f>
        <v/>
      </c>
    </row>
    <row r="1083" ht="188" customHeight="1">
      <c r="A1083" s="8">
        <f>IF(ISNA(MATCH(1070,Engine!$C$2:$C$1369,0)),"",INDEX('Compliance Database'!$A$2:$A$1369,MATCH(1070,Engine!$C$2:$C$1369,0)))</f>
        <v/>
      </c>
      <c r="B1083" s="8">
        <f>IF(ISNA(MATCH(1070,Engine!$C$2:$C$1369,0)),"",INDEX('Compliance Database'!$B$2:$B$1369,MATCH(1070,Engine!$C$2:$C$1369,0)))</f>
        <v/>
      </c>
      <c r="C1083" s="8">
        <f>IF(ISNA(MATCH(1070,Engine!$C$2:$C$1369,0)),"",INDEX('Compliance Database'!$C$2:$C$1369,MATCH(1070,Engine!$C$2:$C$1369,0)))</f>
        <v/>
      </c>
      <c r="D1083" s="9">
        <f>IF(ISNA(MATCH(1070,Engine!$C$2:$C$1369,0)),"",INDEX('Compliance Database'!$D$2:$D$1369,MATCH(1070,Engine!$C$2:$C$1369,0)))</f>
        <v/>
      </c>
      <c r="E1083" s="8">
        <f>IF(ISNA(MATCH(1070,Engine!$C$2:$C$1369,0)),"",INDEX('Compliance Database'!$E$2:$E$1369,MATCH(1070,Engine!$C$2:$C$1369,0)))</f>
        <v/>
      </c>
      <c r="F1083" s="8">
        <f>IF(ISNA(MATCH(1070,Engine!$C$2:$C$1369,0)),"",INDEX('Compliance Database'!$F$2:$F$1369,MATCH(1070,Engine!$C$2:$C$1369,0)))</f>
        <v/>
      </c>
      <c r="G1083" s="8">
        <f>IF(ISNA(MATCH(1070,Engine!$C$2:$C$1369,0)),"",INDEX('Compliance Database'!$G$2:$G$1369,MATCH(1070,Engine!$C$2:$C$1369,0)))</f>
        <v/>
      </c>
      <c r="H1083" s="9">
        <f>IF(ISNA(MATCH(1070,Engine!$C$2:$C$1369,0)),"",INDEX('Compliance Database'!$H$2:$H$1369,MATCH(1070,Engine!$C$2:$C$1369,0)))</f>
        <v/>
      </c>
      <c r="I1083" s="9">
        <f>IF(ISNA(MATCH(1070,Engine!$C$2:$C$1369,0)),"",INDEX('Compliance Database'!$I$2:$I$1369,MATCH(1070,Engine!$C$2:$C$1369,0)))</f>
        <v/>
      </c>
      <c r="J1083" s="8">
        <f>IF(ISNA(MATCH(1070,Engine!$C$2:$C$1369,0)),"",INDEX('Compliance Database'!$J$2:$J$1369,MATCH(1070,Engine!$C$2:$C$1369,0)))</f>
        <v/>
      </c>
      <c r="K1083" s="9">
        <f>IF(ISNA(MATCH(1070,Engine!$C$2:$C$1369,0)),"",INDEX('Compliance Database'!$K$2:$K$1369,MATCH(1070,Engine!$C$2:$C$1369,0)))</f>
        <v/>
      </c>
      <c r="L1083" s="9">
        <f>IF(ISNA(MATCH(1070,Engine!$C$2:$C$1369,0)),"",INDEX('Compliance Database'!$L$2:$L$1369,MATCH(1070,Engine!$C$2:$C$1369,0)))</f>
        <v/>
      </c>
      <c r="M1083" s="9">
        <f>IF(ISNA(MATCH(1070,Engine!$C$2:$C$1369,0)),"",INDEX('Compliance Database'!$M$2:$M$1369,MATCH(1070,Engine!$C$2:$C$1369,0)))</f>
        <v/>
      </c>
      <c r="N1083" s="9">
        <f>IF(ISNA(MATCH(1070,Engine!$C$2:$C$1369,0)),"",INDEX('Compliance Database'!$N$2:$N$1369,MATCH(1070,Engine!$C$2:$C$1369,0)))</f>
        <v/>
      </c>
      <c r="O1083" s="8">
        <f>IF(ISNA(MATCH(1070,Engine!$C$2:$C$1369,0)),"",HYPERLINK(INDEX('Compliance Database'!$O$2:$O$1369,MATCH(1070,Engine!$C$2:$C$1369,0)),"Open PDF"))</f>
        <v/>
      </c>
    </row>
    <row r="1084" ht="188" customHeight="1">
      <c r="A1084" s="8">
        <f>IF(ISNA(MATCH(1071,Engine!$C$2:$C$1369,0)),"",INDEX('Compliance Database'!$A$2:$A$1369,MATCH(1071,Engine!$C$2:$C$1369,0)))</f>
        <v/>
      </c>
      <c r="B1084" s="8">
        <f>IF(ISNA(MATCH(1071,Engine!$C$2:$C$1369,0)),"",INDEX('Compliance Database'!$B$2:$B$1369,MATCH(1071,Engine!$C$2:$C$1369,0)))</f>
        <v/>
      </c>
      <c r="C1084" s="8">
        <f>IF(ISNA(MATCH(1071,Engine!$C$2:$C$1369,0)),"",INDEX('Compliance Database'!$C$2:$C$1369,MATCH(1071,Engine!$C$2:$C$1369,0)))</f>
        <v/>
      </c>
      <c r="D1084" s="9">
        <f>IF(ISNA(MATCH(1071,Engine!$C$2:$C$1369,0)),"",INDEX('Compliance Database'!$D$2:$D$1369,MATCH(1071,Engine!$C$2:$C$1369,0)))</f>
        <v/>
      </c>
      <c r="E1084" s="8">
        <f>IF(ISNA(MATCH(1071,Engine!$C$2:$C$1369,0)),"",INDEX('Compliance Database'!$E$2:$E$1369,MATCH(1071,Engine!$C$2:$C$1369,0)))</f>
        <v/>
      </c>
      <c r="F1084" s="8">
        <f>IF(ISNA(MATCH(1071,Engine!$C$2:$C$1369,0)),"",INDEX('Compliance Database'!$F$2:$F$1369,MATCH(1071,Engine!$C$2:$C$1369,0)))</f>
        <v/>
      </c>
      <c r="G1084" s="8">
        <f>IF(ISNA(MATCH(1071,Engine!$C$2:$C$1369,0)),"",INDEX('Compliance Database'!$G$2:$G$1369,MATCH(1071,Engine!$C$2:$C$1369,0)))</f>
        <v/>
      </c>
      <c r="H1084" s="9">
        <f>IF(ISNA(MATCH(1071,Engine!$C$2:$C$1369,0)),"",INDEX('Compliance Database'!$H$2:$H$1369,MATCH(1071,Engine!$C$2:$C$1369,0)))</f>
        <v/>
      </c>
      <c r="I1084" s="9">
        <f>IF(ISNA(MATCH(1071,Engine!$C$2:$C$1369,0)),"",INDEX('Compliance Database'!$I$2:$I$1369,MATCH(1071,Engine!$C$2:$C$1369,0)))</f>
        <v/>
      </c>
      <c r="J1084" s="8">
        <f>IF(ISNA(MATCH(1071,Engine!$C$2:$C$1369,0)),"",INDEX('Compliance Database'!$J$2:$J$1369,MATCH(1071,Engine!$C$2:$C$1369,0)))</f>
        <v/>
      </c>
      <c r="K1084" s="9">
        <f>IF(ISNA(MATCH(1071,Engine!$C$2:$C$1369,0)),"",INDEX('Compliance Database'!$K$2:$K$1369,MATCH(1071,Engine!$C$2:$C$1369,0)))</f>
        <v/>
      </c>
      <c r="L1084" s="9">
        <f>IF(ISNA(MATCH(1071,Engine!$C$2:$C$1369,0)),"",INDEX('Compliance Database'!$L$2:$L$1369,MATCH(1071,Engine!$C$2:$C$1369,0)))</f>
        <v/>
      </c>
      <c r="M1084" s="9">
        <f>IF(ISNA(MATCH(1071,Engine!$C$2:$C$1369,0)),"",INDEX('Compliance Database'!$M$2:$M$1369,MATCH(1071,Engine!$C$2:$C$1369,0)))</f>
        <v/>
      </c>
      <c r="N1084" s="9">
        <f>IF(ISNA(MATCH(1071,Engine!$C$2:$C$1369,0)),"",INDEX('Compliance Database'!$N$2:$N$1369,MATCH(1071,Engine!$C$2:$C$1369,0)))</f>
        <v/>
      </c>
      <c r="O1084" s="8">
        <f>IF(ISNA(MATCH(1071,Engine!$C$2:$C$1369,0)),"",HYPERLINK(INDEX('Compliance Database'!$O$2:$O$1369,MATCH(1071,Engine!$C$2:$C$1369,0)),"Open PDF"))</f>
        <v/>
      </c>
    </row>
    <row r="1085" ht="188" customHeight="1">
      <c r="A1085" s="8">
        <f>IF(ISNA(MATCH(1072,Engine!$C$2:$C$1369,0)),"",INDEX('Compliance Database'!$A$2:$A$1369,MATCH(1072,Engine!$C$2:$C$1369,0)))</f>
        <v/>
      </c>
      <c r="B1085" s="8">
        <f>IF(ISNA(MATCH(1072,Engine!$C$2:$C$1369,0)),"",INDEX('Compliance Database'!$B$2:$B$1369,MATCH(1072,Engine!$C$2:$C$1369,0)))</f>
        <v/>
      </c>
      <c r="C1085" s="8">
        <f>IF(ISNA(MATCH(1072,Engine!$C$2:$C$1369,0)),"",INDEX('Compliance Database'!$C$2:$C$1369,MATCH(1072,Engine!$C$2:$C$1369,0)))</f>
        <v/>
      </c>
      <c r="D1085" s="9">
        <f>IF(ISNA(MATCH(1072,Engine!$C$2:$C$1369,0)),"",INDEX('Compliance Database'!$D$2:$D$1369,MATCH(1072,Engine!$C$2:$C$1369,0)))</f>
        <v/>
      </c>
      <c r="E1085" s="8">
        <f>IF(ISNA(MATCH(1072,Engine!$C$2:$C$1369,0)),"",INDEX('Compliance Database'!$E$2:$E$1369,MATCH(1072,Engine!$C$2:$C$1369,0)))</f>
        <v/>
      </c>
      <c r="F1085" s="8">
        <f>IF(ISNA(MATCH(1072,Engine!$C$2:$C$1369,0)),"",INDEX('Compliance Database'!$F$2:$F$1369,MATCH(1072,Engine!$C$2:$C$1369,0)))</f>
        <v/>
      </c>
      <c r="G1085" s="8">
        <f>IF(ISNA(MATCH(1072,Engine!$C$2:$C$1369,0)),"",INDEX('Compliance Database'!$G$2:$G$1369,MATCH(1072,Engine!$C$2:$C$1369,0)))</f>
        <v/>
      </c>
      <c r="H1085" s="9">
        <f>IF(ISNA(MATCH(1072,Engine!$C$2:$C$1369,0)),"",INDEX('Compliance Database'!$H$2:$H$1369,MATCH(1072,Engine!$C$2:$C$1369,0)))</f>
        <v/>
      </c>
      <c r="I1085" s="9">
        <f>IF(ISNA(MATCH(1072,Engine!$C$2:$C$1369,0)),"",INDEX('Compliance Database'!$I$2:$I$1369,MATCH(1072,Engine!$C$2:$C$1369,0)))</f>
        <v/>
      </c>
      <c r="J1085" s="8">
        <f>IF(ISNA(MATCH(1072,Engine!$C$2:$C$1369,0)),"",INDEX('Compliance Database'!$J$2:$J$1369,MATCH(1072,Engine!$C$2:$C$1369,0)))</f>
        <v/>
      </c>
      <c r="K1085" s="9">
        <f>IF(ISNA(MATCH(1072,Engine!$C$2:$C$1369,0)),"",INDEX('Compliance Database'!$K$2:$K$1369,MATCH(1072,Engine!$C$2:$C$1369,0)))</f>
        <v/>
      </c>
      <c r="L1085" s="9">
        <f>IF(ISNA(MATCH(1072,Engine!$C$2:$C$1369,0)),"",INDEX('Compliance Database'!$L$2:$L$1369,MATCH(1072,Engine!$C$2:$C$1369,0)))</f>
        <v/>
      </c>
      <c r="M1085" s="9">
        <f>IF(ISNA(MATCH(1072,Engine!$C$2:$C$1369,0)),"",INDEX('Compliance Database'!$M$2:$M$1369,MATCH(1072,Engine!$C$2:$C$1369,0)))</f>
        <v/>
      </c>
      <c r="N1085" s="9">
        <f>IF(ISNA(MATCH(1072,Engine!$C$2:$C$1369,0)),"",INDEX('Compliance Database'!$N$2:$N$1369,MATCH(1072,Engine!$C$2:$C$1369,0)))</f>
        <v/>
      </c>
      <c r="O1085" s="8">
        <f>IF(ISNA(MATCH(1072,Engine!$C$2:$C$1369,0)),"",HYPERLINK(INDEX('Compliance Database'!$O$2:$O$1369,MATCH(1072,Engine!$C$2:$C$1369,0)),"Open PDF"))</f>
        <v/>
      </c>
    </row>
    <row r="1086" ht="188" customHeight="1">
      <c r="A1086" s="8">
        <f>IF(ISNA(MATCH(1073,Engine!$C$2:$C$1369,0)),"",INDEX('Compliance Database'!$A$2:$A$1369,MATCH(1073,Engine!$C$2:$C$1369,0)))</f>
        <v/>
      </c>
      <c r="B1086" s="8">
        <f>IF(ISNA(MATCH(1073,Engine!$C$2:$C$1369,0)),"",INDEX('Compliance Database'!$B$2:$B$1369,MATCH(1073,Engine!$C$2:$C$1369,0)))</f>
        <v/>
      </c>
      <c r="C1086" s="8">
        <f>IF(ISNA(MATCH(1073,Engine!$C$2:$C$1369,0)),"",INDEX('Compliance Database'!$C$2:$C$1369,MATCH(1073,Engine!$C$2:$C$1369,0)))</f>
        <v/>
      </c>
      <c r="D1086" s="9">
        <f>IF(ISNA(MATCH(1073,Engine!$C$2:$C$1369,0)),"",INDEX('Compliance Database'!$D$2:$D$1369,MATCH(1073,Engine!$C$2:$C$1369,0)))</f>
        <v/>
      </c>
      <c r="E1086" s="8">
        <f>IF(ISNA(MATCH(1073,Engine!$C$2:$C$1369,0)),"",INDEX('Compliance Database'!$E$2:$E$1369,MATCH(1073,Engine!$C$2:$C$1369,0)))</f>
        <v/>
      </c>
      <c r="F1086" s="8">
        <f>IF(ISNA(MATCH(1073,Engine!$C$2:$C$1369,0)),"",INDEX('Compliance Database'!$F$2:$F$1369,MATCH(1073,Engine!$C$2:$C$1369,0)))</f>
        <v/>
      </c>
      <c r="G1086" s="8">
        <f>IF(ISNA(MATCH(1073,Engine!$C$2:$C$1369,0)),"",INDEX('Compliance Database'!$G$2:$G$1369,MATCH(1073,Engine!$C$2:$C$1369,0)))</f>
        <v/>
      </c>
      <c r="H1086" s="9">
        <f>IF(ISNA(MATCH(1073,Engine!$C$2:$C$1369,0)),"",INDEX('Compliance Database'!$H$2:$H$1369,MATCH(1073,Engine!$C$2:$C$1369,0)))</f>
        <v/>
      </c>
      <c r="I1086" s="9">
        <f>IF(ISNA(MATCH(1073,Engine!$C$2:$C$1369,0)),"",INDEX('Compliance Database'!$I$2:$I$1369,MATCH(1073,Engine!$C$2:$C$1369,0)))</f>
        <v/>
      </c>
      <c r="J1086" s="8">
        <f>IF(ISNA(MATCH(1073,Engine!$C$2:$C$1369,0)),"",INDEX('Compliance Database'!$J$2:$J$1369,MATCH(1073,Engine!$C$2:$C$1369,0)))</f>
        <v/>
      </c>
      <c r="K1086" s="9">
        <f>IF(ISNA(MATCH(1073,Engine!$C$2:$C$1369,0)),"",INDEX('Compliance Database'!$K$2:$K$1369,MATCH(1073,Engine!$C$2:$C$1369,0)))</f>
        <v/>
      </c>
      <c r="L1086" s="9">
        <f>IF(ISNA(MATCH(1073,Engine!$C$2:$C$1369,0)),"",INDEX('Compliance Database'!$L$2:$L$1369,MATCH(1073,Engine!$C$2:$C$1369,0)))</f>
        <v/>
      </c>
      <c r="M1086" s="9">
        <f>IF(ISNA(MATCH(1073,Engine!$C$2:$C$1369,0)),"",INDEX('Compliance Database'!$M$2:$M$1369,MATCH(1073,Engine!$C$2:$C$1369,0)))</f>
        <v/>
      </c>
      <c r="N1086" s="9">
        <f>IF(ISNA(MATCH(1073,Engine!$C$2:$C$1369,0)),"",INDEX('Compliance Database'!$N$2:$N$1369,MATCH(1073,Engine!$C$2:$C$1369,0)))</f>
        <v/>
      </c>
      <c r="O1086" s="8">
        <f>IF(ISNA(MATCH(1073,Engine!$C$2:$C$1369,0)),"",HYPERLINK(INDEX('Compliance Database'!$O$2:$O$1369,MATCH(1073,Engine!$C$2:$C$1369,0)),"Open PDF"))</f>
        <v/>
      </c>
    </row>
    <row r="1087" ht="188" customHeight="1">
      <c r="A1087" s="8">
        <f>IF(ISNA(MATCH(1074,Engine!$C$2:$C$1369,0)),"",INDEX('Compliance Database'!$A$2:$A$1369,MATCH(1074,Engine!$C$2:$C$1369,0)))</f>
        <v/>
      </c>
      <c r="B1087" s="8">
        <f>IF(ISNA(MATCH(1074,Engine!$C$2:$C$1369,0)),"",INDEX('Compliance Database'!$B$2:$B$1369,MATCH(1074,Engine!$C$2:$C$1369,0)))</f>
        <v/>
      </c>
      <c r="C1087" s="8">
        <f>IF(ISNA(MATCH(1074,Engine!$C$2:$C$1369,0)),"",INDEX('Compliance Database'!$C$2:$C$1369,MATCH(1074,Engine!$C$2:$C$1369,0)))</f>
        <v/>
      </c>
      <c r="D1087" s="9">
        <f>IF(ISNA(MATCH(1074,Engine!$C$2:$C$1369,0)),"",INDEX('Compliance Database'!$D$2:$D$1369,MATCH(1074,Engine!$C$2:$C$1369,0)))</f>
        <v/>
      </c>
      <c r="E1087" s="8">
        <f>IF(ISNA(MATCH(1074,Engine!$C$2:$C$1369,0)),"",INDEX('Compliance Database'!$E$2:$E$1369,MATCH(1074,Engine!$C$2:$C$1369,0)))</f>
        <v/>
      </c>
      <c r="F1087" s="8">
        <f>IF(ISNA(MATCH(1074,Engine!$C$2:$C$1369,0)),"",INDEX('Compliance Database'!$F$2:$F$1369,MATCH(1074,Engine!$C$2:$C$1369,0)))</f>
        <v/>
      </c>
      <c r="G1087" s="8">
        <f>IF(ISNA(MATCH(1074,Engine!$C$2:$C$1369,0)),"",INDEX('Compliance Database'!$G$2:$G$1369,MATCH(1074,Engine!$C$2:$C$1369,0)))</f>
        <v/>
      </c>
      <c r="H1087" s="9">
        <f>IF(ISNA(MATCH(1074,Engine!$C$2:$C$1369,0)),"",INDEX('Compliance Database'!$H$2:$H$1369,MATCH(1074,Engine!$C$2:$C$1369,0)))</f>
        <v/>
      </c>
      <c r="I1087" s="9">
        <f>IF(ISNA(MATCH(1074,Engine!$C$2:$C$1369,0)),"",INDEX('Compliance Database'!$I$2:$I$1369,MATCH(1074,Engine!$C$2:$C$1369,0)))</f>
        <v/>
      </c>
      <c r="J1087" s="8">
        <f>IF(ISNA(MATCH(1074,Engine!$C$2:$C$1369,0)),"",INDEX('Compliance Database'!$J$2:$J$1369,MATCH(1074,Engine!$C$2:$C$1369,0)))</f>
        <v/>
      </c>
      <c r="K1087" s="9">
        <f>IF(ISNA(MATCH(1074,Engine!$C$2:$C$1369,0)),"",INDEX('Compliance Database'!$K$2:$K$1369,MATCH(1074,Engine!$C$2:$C$1369,0)))</f>
        <v/>
      </c>
      <c r="L1087" s="9">
        <f>IF(ISNA(MATCH(1074,Engine!$C$2:$C$1369,0)),"",INDEX('Compliance Database'!$L$2:$L$1369,MATCH(1074,Engine!$C$2:$C$1369,0)))</f>
        <v/>
      </c>
      <c r="M1087" s="9">
        <f>IF(ISNA(MATCH(1074,Engine!$C$2:$C$1369,0)),"",INDEX('Compliance Database'!$M$2:$M$1369,MATCH(1074,Engine!$C$2:$C$1369,0)))</f>
        <v/>
      </c>
      <c r="N1087" s="9">
        <f>IF(ISNA(MATCH(1074,Engine!$C$2:$C$1369,0)),"",INDEX('Compliance Database'!$N$2:$N$1369,MATCH(1074,Engine!$C$2:$C$1369,0)))</f>
        <v/>
      </c>
      <c r="O1087" s="8">
        <f>IF(ISNA(MATCH(1074,Engine!$C$2:$C$1369,0)),"",HYPERLINK(INDEX('Compliance Database'!$O$2:$O$1369,MATCH(1074,Engine!$C$2:$C$1369,0)),"Open PDF"))</f>
        <v/>
      </c>
    </row>
    <row r="1088" ht="188" customHeight="1">
      <c r="A1088" s="8">
        <f>IF(ISNA(MATCH(1075,Engine!$C$2:$C$1369,0)),"",INDEX('Compliance Database'!$A$2:$A$1369,MATCH(1075,Engine!$C$2:$C$1369,0)))</f>
        <v/>
      </c>
      <c r="B1088" s="8">
        <f>IF(ISNA(MATCH(1075,Engine!$C$2:$C$1369,0)),"",INDEX('Compliance Database'!$B$2:$B$1369,MATCH(1075,Engine!$C$2:$C$1369,0)))</f>
        <v/>
      </c>
      <c r="C1088" s="8">
        <f>IF(ISNA(MATCH(1075,Engine!$C$2:$C$1369,0)),"",INDEX('Compliance Database'!$C$2:$C$1369,MATCH(1075,Engine!$C$2:$C$1369,0)))</f>
        <v/>
      </c>
      <c r="D1088" s="9">
        <f>IF(ISNA(MATCH(1075,Engine!$C$2:$C$1369,0)),"",INDEX('Compliance Database'!$D$2:$D$1369,MATCH(1075,Engine!$C$2:$C$1369,0)))</f>
        <v/>
      </c>
      <c r="E1088" s="8">
        <f>IF(ISNA(MATCH(1075,Engine!$C$2:$C$1369,0)),"",INDEX('Compliance Database'!$E$2:$E$1369,MATCH(1075,Engine!$C$2:$C$1369,0)))</f>
        <v/>
      </c>
      <c r="F1088" s="8">
        <f>IF(ISNA(MATCH(1075,Engine!$C$2:$C$1369,0)),"",INDEX('Compliance Database'!$F$2:$F$1369,MATCH(1075,Engine!$C$2:$C$1369,0)))</f>
        <v/>
      </c>
      <c r="G1088" s="8">
        <f>IF(ISNA(MATCH(1075,Engine!$C$2:$C$1369,0)),"",INDEX('Compliance Database'!$G$2:$G$1369,MATCH(1075,Engine!$C$2:$C$1369,0)))</f>
        <v/>
      </c>
      <c r="H1088" s="9">
        <f>IF(ISNA(MATCH(1075,Engine!$C$2:$C$1369,0)),"",INDEX('Compliance Database'!$H$2:$H$1369,MATCH(1075,Engine!$C$2:$C$1369,0)))</f>
        <v/>
      </c>
      <c r="I1088" s="9">
        <f>IF(ISNA(MATCH(1075,Engine!$C$2:$C$1369,0)),"",INDEX('Compliance Database'!$I$2:$I$1369,MATCH(1075,Engine!$C$2:$C$1369,0)))</f>
        <v/>
      </c>
      <c r="J1088" s="8">
        <f>IF(ISNA(MATCH(1075,Engine!$C$2:$C$1369,0)),"",INDEX('Compliance Database'!$J$2:$J$1369,MATCH(1075,Engine!$C$2:$C$1369,0)))</f>
        <v/>
      </c>
      <c r="K1088" s="9">
        <f>IF(ISNA(MATCH(1075,Engine!$C$2:$C$1369,0)),"",INDEX('Compliance Database'!$K$2:$K$1369,MATCH(1075,Engine!$C$2:$C$1369,0)))</f>
        <v/>
      </c>
      <c r="L1088" s="9">
        <f>IF(ISNA(MATCH(1075,Engine!$C$2:$C$1369,0)),"",INDEX('Compliance Database'!$L$2:$L$1369,MATCH(1075,Engine!$C$2:$C$1369,0)))</f>
        <v/>
      </c>
      <c r="M1088" s="9">
        <f>IF(ISNA(MATCH(1075,Engine!$C$2:$C$1369,0)),"",INDEX('Compliance Database'!$M$2:$M$1369,MATCH(1075,Engine!$C$2:$C$1369,0)))</f>
        <v/>
      </c>
      <c r="N1088" s="9">
        <f>IF(ISNA(MATCH(1075,Engine!$C$2:$C$1369,0)),"",INDEX('Compliance Database'!$N$2:$N$1369,MATCH(1075,Engine!$C$2:$C$1369,0)))</f>
        <v/>
      </c>
      <c r="O1088" s="8">
        <f>IF(ISNA(MATCH(1075,Engine!$C$2:$C$1369,0)),"",HYPERLINK(INDEX('Compliance Database'!$O$2:$O$1369,MATCH(1075,Engine!$C$2:$C$1369,0)),"Open PDF"))</f>
        <v/>
      </c>
    </row>
    <row r="1089" ht="188" customHeight="1">
      <c r="A1089" s="8">
        <f>IF(ISNA(MATCH(1076,Engine!$C$2:$C$1369,0)),"",INDEX('Compliance Database'!$A$2:$A$1369,MATCH(1076,Engine!$C$2:$C$1369,0)))</f>
        <v/>
      </c>
      <c r="B1089" s="8">
        <f>IF(ISNA(MATCH(1076,Engine!$C$2:$C$1369,0)),"",INDEX('Compliance Database'!$B$2:$B$1369,MATCH(1076,Engine!$C$2:$C$1369,0)))</f>
        <v/>
      </c>
      <c r="C1089" s="8">
        <f>IF(ISNA(MATCH(1076,Engine!$C$2:$C$1369,0)),"",INDEX('Compliance Database'!$C$2:$C$1369,MATCH(1076,Engine!$C$2:$C$1369,0)))</f>
        <v/>
      </c>
      <c r="D1089" s="9">
        <f>IF(ISNA(MATCH(1076,Engine!$C$2:$C$1369,0)),"",INDEX('Compliance Database'!$D$2:$D$1369,MATCH(1076,Engine!$C$2:$C$1369,0)))</f>
        <v/>
      </c>
      <c r="E1089" s="8">
        <f>IF(ISNA(MATCH(1076,Engine!$C$2:$C$1369,0)),"",INDEX('Compliance Database'!$E$2:$E$1369,MATCH(1076,Engine!$C$2:$C$1369,0)))</f>
        <v/>
      </c>
      <c r="F1089" s="8">
        <f>IF(ISNA(MATCH(1076,Engine!$C$2:$C$1369,0)),"",INDEX('Compliance Database'!$F$2:$F$1369,MATCH(1076,Engine!$C$2:$C$1369,0)))</f>
        <v/>
      </c>
      <c r="G1089" s="8">
        <f>IF(ISNA(MATCH(1076,Engine!$C$2:$C$1369,0)),"",INDEX('Compliance Database'!$G$2:$G$1369,MATCH(1076,Engine!$C$2:$C$1369,0)))</f>
        <v/>
      </c>
      <c r="H1089" s="9">
        <f>IF(ISNA(MATCH(1076,Engine!$C$2:$C$1369,0)),"",INDEX('Compliance Database'!$H$2:$H$1369,MATCH(1076,Engine!$C$2:$C$1369,0)))</f>
        <v/>
      </c>
      <c r="I1089" s="9">
        <f>IF(ISNA(MATCH(1076,Engine!$C$2:$C$1369,0)),"",INDEX('Compliance Database'!$I$2:$I$1369,MATCH(1076,Engine!$C$2:$C$1369,0)))</f>
        <v/>
      </c>
      <c r="J1089" s="8">
        <f>IF(ISNA(MATCH(1076,Engine!$C$2:$C$1369,0)),"",INDEX('Compliance Database'!$J$2:$J$1369,MATCH(1076,Engine!$C$2:$C$1369,0)))</f>
        <v/>
      </c>
      <c r="K1089" s="9">
        <f>IF(ISNA(MATCH(1076,Engine!$C$2:$C$1369,0)),"",INDEX('Compliance Database'!$K$2:$K$1369,MATCH(1076,Engine!$C$2:$C$1369,0)))</f>
        <v/>
      </c>
      <c r="L1089" s="9">
        <f>IF(ISNA(MATCH(1076,Engine!$C$2:$C$1369,0)),"",INDEX('Compliance Database'!$L$2:$L$1369,MATCH(1076,Engine!$C$2:$C$1369,0)))</f>
        <v/>
      </c>
      <c r="M1089" s="9">
        <f>IF(ISNA(MATCH(1076,Engine!$C$2:$C$1369,0)),"",INDEX('Compliance Database'!$M$2:$M$1369,MATCH(1076,Engine!$C$2:$C$1369,0)))</f>
        <v/>
      </c>
      <c r="N1089" s="9">
        <f>IF(ISNA(MATCH(1076,Engine!$C$2:$C$1369,0)),"",INDEX('Compliance Database'!$N$2:$N$1369,MATCH(1076,Engine!$C$2:$C$1369,0)))</f>
        <v/>
      </c>
      <c r="O1089" s="8">
        <f>IF(ISNA(MATCH(1076,Engine!$C$2:$C$1369,0)),"",HYPERLINK(INDEX('Compliance Database'!$O$2:$O$1369,MATCH(1076,Engine!$C$2:$C$1369,0)),"Open PDF"))</f>
        <v/>
      </c>
    </row>
    <row r="1090" ht="188" customHeight="1">
      <c r="A1090" s="8">
        <f>IF(ISNA(MATCH(1077,Engine!$C$2:$C$1369,0)),"",INDEX('Compliance Database'!$A$2:$A$1369,MATCH(1077,Engine!$C$2:$C$1369,0)))</f>
        <v/>
      </c>
      <c r="B1090" s="8">
        <f>IF(ISNA(MATCH(1077,Engine!$C$2:$C$1369,0)),"",INDEX('Compliance Database'!$B$2:$B$1369,MATCH(1077,Engine!$C$2:$C$1369,0)))</f>
        <v/>
      </c>
      <c r="C1090" s="8">
        <f>IF(ISNA(MATCH(1077,Engine!$C$2:$C$1369,0)),"",INDEX('Compliance Database'!$C$2:$C$1369,MATCH(1077,Engine!$C$2:$C$1369,0)))</f>
        <v/>
      </c>
      <c r="D1090" s="9">
        <f>IF(ISNA(MATCH(1077,Engine!$C$2:$C$1369,0)),"",INDEX('Compliance Database'!$D$2:$D$1369,MATCH(1077,Engine!$C$2:$C$1369,0)))</f>
        <v/>
      </c>
      <c r="E1090" s="8">
        <f>IF(ISNA(MATCH(1077,Engine!$C$2:$C$1369,0)),"",INDEX('Compliance Database'!$E$2:$E$1369,MATCH(1077,Engine!$C$2:$C$1369,0)))</f>
        <v/>
      </c>
      <c r="F1090" s="8">
        <f>IF(ISNA(MATCH(1077,Engine!$C$2:$C$1369,0)),"",INDEX('Compliance Database'!$F$2:$F$1369,MATCH(1077,Engine!$C$2:$C$1369,0)))</f>
        <v/>
      </c>
      <c r="G1090" s="8">
        <f>IF(ISNA(MATCH(1077,Engine!$C$2:$C$1369,0)),"",INDEX('Compliance Database'!$G$2:$G$1369,MATCH(1077,Engine!$C$2:$C$1369,0)))</f>
        <v/>
      </c>
      <c r="H1090" s="9">
        <f>IF(ISNA(MATCH(1077,Engine!$C$2:$C$1369,0)),"",INDEX('Compliance Database'!$H$2:$H$1369,MATCH(1077,Engine!$C$2:$C$1369,0)))</f>
        <v/>
      </c>
      <c r="I1090" s="9">
        <f>IF(ISNA(MATCH(1077,Engine!$C$2:$C$1369,0)),"",INDEX('Compliance Database'!$I$2:$I$1369,MATCH(1077,Engine!$C$2:$C$1369,0)))</f>
        <v/>
      </c>
      <c r="J1090" s="8">
        <f>IF(ISNA(MATCH(1077,Engine!$C$2:$C$1369,0)),"",INDEX('Compliance Database'!$J$2:$J$1369,MATCH(1077,Engine!$C$2:$C$1369,0)))</f>
        <v/>
      </c>
      <c r="K1090" s="9">
        <f>IF(ISNA(MATCH(1077,Engine!$C$2:$C$1369,0)),"",INDEX('Compliance Database'!$K$2:$K$1369,MATCH(1077,Engine!$C$2:$C$1369,0)))</f>
        <v/>
      </c>
      <c r="L1090" s="9">
        <f>IF(ISNA(MATCH(1077,Engine!$C$2:$C$1369,0)),"",INDEX('Compliance Database'!$L$2:$L$1369,MATCH(1077,Engine!$C$2:$C$1369,0)))</f>
        <v/>
      </c>
      <c r="M1090" s="9">
        <f>IF(ISNA(MATCH(1077,Engine!$C$2:$C$1369,0)),"",INDEX('Compliance Database'!$M$2:$M$1369,MATCH(1077,Engine!$C$2:$C$1369,0)))</f>
        <v/>
      </c>
      <c r="N1090" s="9">
        <f>IF(ISNA(MATCH(1077,Engine!$C$2:$C$1369,0)),"",INDEX('Compliance Database'!$N$2:$N$1369,MATCH(1077,Engine!$C$2:$C$1369,0)))</f>
        <v/>
      </c>
      <c r="O1090" s="8">
        <f>IF(ISNA(MATCH(1077,Engine!$C$2:$C$1369,0)),"",HYPERLINK(INDEX('Compliance Database'!$O$2:$O$1369,MATCH(1077,Engine!$C$2:$C$1369,0)),"Open PDF"))</f>
        <v/>
      </c>
    </row>
    <row r="1091" ht="188" customHeight="1">
      <c r="A1091" s="8">
        <f>IF(ISNA(MATCH(1078,Engine!$C$2:$C$1369,0)),"",INDEX('Compliance Database'!$A$2:$A$1369,MATCH(1078,Engine!$C$2:$C$1369,0)))</f>
        <v/>
      </c>
      <c r="B1091" s="8">
        <f>IF(ISNA(MATCH(1078,Engine!$C$2:$C$1369,0)),"",INDEX('Compliance Database'!$B$2:$B$1369,MATCH(1078,Engine!$C$2:$C$1369,0)))</f>
        <v/>
      </c>
      <c r="C1091" s="8">
        <f>IF(ISNA(MATCH(1078,Engine!$C$2:$C$1369,0)),"",INDEX('Compliance Database'!$C$2:$C$1369,MATCH(1078,Engine!$C$2:$C$1369,0)))</f>
        <v/>
      </c>
      <c r="D1091" s="9">
        <f>IF(ISNA(MATCH(1078,Engine!$C$2:$C$1369,0)),"",INDEX('Compliance Database'!$D$2:$D$1369,MATCH(1078,Engine!$C$2:$C$1369,0)))</f>
        <v/>
      </c>
      <c r="E1091" s="8">
        <f>IF(ISNA(MATCH(1078,Engine!$C$2:$C$1369,0)),"",INDEX('Compliance Database'!$E$2:$E$1369,MATCH(1078,Engine!$C$2:$C$1369,0)))</f>
        <v/>
      </c>
      <c r="F1091" s="8">
        <f>IF(ISNA(MATCH(1078,Engine!$C$2:$C$1369,0)),"",INDEX('Compliance Database'!$F$2:$F$1369,MATCH(1078,Engine!$C$2:$C$1369,0)))</f>
        <v/>
      </c>
      <c r="G1091" s="8">
        <f>IF(ISNA(MATCH(1078,Engine!$C$2:$C$1369,0)),"",INDEX('Compliance Database'!$G$2:$G$1369,MATCH(1078,Engine!$C$2:$C$1369,0)))</f>
        <v/>
      </c>
      <c r="H1091" s="9">
        <f>IF(ISNA(MATCH(1078,Engine!$C$2:$C$1369,0)),"",INDEX('Compliance Database'!$H$2:$H$1369,MATCH(1078,Engine!$C$2:$C$1369,0)))</f>
        <v/>
      </c>
      <c r="I1091" s="9">
        <f>IF(ISNA(MATCH(1078,Engine!$C$2:$C$1369,0)),"",INDEX('Compliance Database'!$I$2:$I$1369,MATCH(1078,Engine!$C$2:$C$1369,0)))</f>
        <v/>
      </c>
      <c r="J1091" s="8">
        <f>IF(ISNA(MATCH(1078,Engine!$C$2:$C$1369,0)),"",INDEX('Compliance Database'!$J$2:$J$1369,MATCH(1078,Engine!$C$2:$C$1369,0)))</f>
        <v/>
      </c>
      <c r="K1091" s="9">
        <f>IF(ISNA(MATCH(1078,Engine!$C$2:$C$1369,0)),"",INDEX('Compliance Database'!$K$2:$K$1369,MATCH(1078,Engine!$C$2:$C$1369,0)))</f>
        <v/>
      </c>
      <c r="L1091" s="9">
        <f>IF(ISNA(MATCH(1078,Engine!$C$2:$C$1369,0)),"",INDEX('Compliance Database'!$L$2:$L$1369,MATCH(1078,Engine!$C$2:$C$1369,0)))</f>
        <v/>
      </c>
      <c r="M1091" s="9">
        <f>IF(ISNA(MATCH(1078,Engine!$C$2:$C$1369,0)),"",INDEX('Compliance Database'!$M$2:$M$1369,MATCH(1078,Engine!$C$2:$C$1369,0)))</f>
        <v/>
      </c>
      <c r="N1091" s="9">
        <f>IF(ISNA(MATCH(1078,Engine!$C$2:$C$1369,0)),"",INDEX('Compliance Database'!$N$2:$N$1369,MATCH(1078,Engine!$C$2:$C$1369,0)))</f>
        <v/>
      </c>
      <c r="O1091" s="8">
        <f>IF(ISNA(MATCH(1078,Engine!$C$2:$C$1369,0)),"",HYPERLINK(INDEX('Compliance Database'!$O$2:$O$1369,MATCH(1078,Engine!$C$2:$C$1369,0)),"Open PDF"))</f>
        <v/>
      </c>
    </row>
    <row r="1092" ht="188" customHeight="1">
      <c r="A1092" s="8">
        <f>IF(ISNA(MATCH(1079,Engine!$C$2:$C$1369,0)),"",INDEX('Compliance Database'!$A$2:$A$1369,MATCH(1079,Engine!$C$2:$C$1369,0)))</f>
        <v/>
      </c>
      <c r="B1092" s="8">
        <f>IF(ISNA(MATCH(1079,Engine!$C$2:$C$1369,0)),"",INDEX('Compliance Database'!$B$2:$B$1369,MATCH(1079,Engine!$C$2:$C$1369,0)))</f>
        <v/>
      </c>
      <c r="C1092" s="8">
        <f>IF(ISNA(MATCH(1079,Engine!$C$2:$C$1369,0)),"",INDEX('Compliance Database'!$C$2:$C$1369,MATCH(1079,Engine!$C$2:$C$1369,0)))</f>
        <v/>
      </c>
      <c r="D1092" s="9">
        <f>IF(ISNA(MATCH(1079,Engine!$C$2:$C$1369,0)),"",INDEX('Compliance Database'!$D$2:$D$1369,MATCH(1079,Engine!$C$2:$C$1369,0)))</f>
        <v/>
      </c>
      <c r="E1092" s="8">
        <f>IF(ISNA(MATCH(1079,Engine!$C$2:$C$1369,0)),"",INDEX('Compliance Database'!$E$2:$E$1369,MATCH(1079,Engine!$C$2:$C$1369,0)))</f>
        <v/>
      </c>
      <c r="F1092" s="8">
        <f>IF(ISNA(MATCH(1079,Engine!$C$2:$C$1369,0)),"",INDEX('Compliance Database'!$F$2:$F$1369,MATCH(1079,Engine!$C$2:$C$1369,0)))</f>
        <v/>
      </c>
      <c r="G1092" s="8">
        <f>IF(ISNA(MATCH(1079,Engine!$C$2:$C$1369,0)),"",INDEX('Compliance Database'!$G$2:$G$1369,MATCH(1079,Engine!$C$2:$C$1369,0)))</f>
        <v/>
      </c>
      <c r="H1092" s="9">
        <f>IF(ISNA(MATCH(1079,Engine!$C$2:$C$1369,0)),"",INDEX('Compliance Database'!$H$2:$H$1369,MATCH(1079,Engine!$C$2:$C$1369,0)))</f>
        <v/>
      </c>
      <c r="I1092" s="9">
        <f>IF(ISNA(MATCH(1079,Engine!$C$2:$C$1369,0)),"",INDEX('Compliance Database'!$I$2:$I$1369,MATCH(1079,Engine!$C$2:$C$1369,0)))</f>
        <v/>
      </c>
      <c r="J1092" s="8">
        <f>IF(ISNA(MATCH(1079,Engine!$C$2:$C$1369,0)),"",INDEX('Compliance Database'!$J$2:$J$1369,MATCH(1079,Engine!$C$2:$C$1369,0)))</f>
        <v/>
      </c>
      <c r="K1092" s="9">
        <f>IF(ISNA(MATCH(1079,Engine!$C$2:$C$1369,0)),"",INDEX('Compliance Database'!$K$2:$K$1369,MATCH(1079,Engine!$C$2:$C$1369,0)))</f>
        <v/>
      </c>
      <c r="L1092" s="9">
        <f>IF(ISNA(MATCH(1079,Engine!$C$2:$C$1369,0)),"",INDEX('Compliance Database'!$L$2:$L$1369,MATCH(1079,Engine!$C$2:$C$1369,0)))</f>
        <v/>
      </c>
      <c r="M1092" s="9">
        <f>IF(ISNA(MATCH(1079,Engine!$C$2:$C$1369,0)),"",INDEX('Compliance Database'!$M$2:$M$1369,MATCH(1079,Engine!$C$2:$C$1369,0)))</f>
        <v/>
      </c>
      <c r="N1092" s="9">
        <f>IF(ISNA(MATCH(1079,Engine!$C$2:$C$1369,0)),"",INDEX('Compliance Database'!$N$2:$N$1369,MATCH(1079,Engine!$C$2:$C$1369,0)))</f>
        <v/>
      </c>
      <c r="O1092" s="8">
        <f>IF(ISNA(MATCH(1079,Engine!$C$2:$C$1369,0)),"",HYPERLINK(INDEX('Compliance Database'!$O$2:$O$1369,MATCH(1079,Engine!$C$2:$C$1369,0)),"Open PDF"))</f>
        <v/>
      </c>
    </row>
    <row r="1093" ht="188" customHeight="1">
      <c r="A1093" s="8">
        <f>IF(ISNA(MATCH(1080,Engine!$C$2:$C$1369,0)),"",INDEX('Compliance Database'!$A$2:$A$1369,MATCH(1080,Engine!$C$2:$C$1369,0)))</f>
        <v/>
      </c>
      <c r="B1093" s="8">
        <f>IF(ISNA(MATCH(1080,Engine!$C$2:$C$1369,0)),"",INDEX('Compliance Database'!$B$2:$B$1369,MATCH(1080,Engine!$C$2:$C$1369,0)))</f>
        <v/>
      </c>
      <c r="C1093" s="8">
        <f>IF(ISNA(MATCH(1080,Engine!$C$2:$C$1369,0)),"",INDEX('Compliance Database'!$C$2:$C$1369,MATCH(1080,Engine!$C$2:$C$1369,0)))</f>
        <v/>
      </c>
      <c r="D1093" s="9">
        <f>IF(ISNA(MATCH(1080,Engine!$C$2:$C$1369,0)),"",INDEX('Compliance Database'!$D$2:$D$1369,MATCH(1080,Engine!$C$2:$C$1369,0)))</f>
        <v/>
      </c>
      <c r="E1093" s="8">
        <f>IF(ISNA(MATCH(1080,Engine!$C$2:$C$1369,0)),"",INDEX('Compliance Database'!$E$2:$E$1369,MATCH(1080,Engine!$C$2:$C$1369,0)))</f>
        <v/>
      </c>
      <c r="F1093" s="8">
        <f>IF(ISNA(MATCH(1080,Engine!$C$2:$C$1369,0)),"",INDEX('Compliance Database'!$F$2:$F$1369,MATCH(1080,Engine!$C$2:$C$1369,0)))</f>
        <v/>
      </c>
      <c r="G1093" s="8">
        <f>IF(ISNA(MATCH(1080,Engine!$C$2:$C$1369,0)),"",INDEX('Compliance Database'!$G$2:$G$1369,MATCH(1080,Engine!$C$2:$C$1369,0)))</f>
        <v/>
      </c>
      <c r="H1093" s="9">
        <f>IF(ISNA(MATCH(1080,Engine!$C$2:$C$1369,0)),"",INDEX('Compliance Database'!$H$2:$H$1369,MATCH(1080,Engine!$C$2:$C$1369,0)))</f>
        <v/>
      </c>
      <c r="I1093" s="9">
        <f>IF(ISNA(MATCH(1080,Engine!$C$2:$C$1369,0)),"",INDEX('Compliance Database'!$I$2:$I$1369,MATCH(1080,Engine!$C$2:$C$1369,0)))</f>
        <v/>
      </c>
      <c r="J1093" s="8">
        <f>IF(ISNA(MATCH(1080,Engine!$C$2:$C$1369,0)),"",INDEX('Compliance Database'!$J$2:$J$1369,MATCH(1080,Engine!$C$2:$C$1369,0)))</f>
        <v/>
      </c>
      <c r="K1093" s="9">
        <f>IF(ISNA(MATCH(1080,Engine!$C$2:$C$1369,0)),"",INDEX('Compliance Database'!$K$2:$K$1369,MATCH(1080,Engine!$C$2:$C$1369,0)))</f>
        <v/>
      </c>
      <c r="L1093" s="9">
        <f>IF(ISNA(MATCH(1080,Engine!$C$2:$C$1369,0)),"",INDEX('Compliance Database'!$L$2:$L$1369,MATCH(1080,Engine!$C$2:$C$1369,0)))</f>
        <v/>
      </c>
      <c r="M1093" s="9">
        <f>IF(ISNA(MATCH(1080,Engine!$C$2:$C$1369,0)),"",INDEX('Compliance Database'!$M$2:$M$1369,MATCH(1080,Engine!$C$2:$C$1369,0)))</f>
        <v/>
      </c>
      <c r="N1093" s="9">
        <f>IF(ISNA(MATCH(1080,Engine!$C$2:$C$1369,0)),"",INDEX('Compliance Database'!$N$2:$N$1369,MATCH(1080,Engine!$C$2:$C$1369,0)))</f>
        <v/>
      </c>
      <c r="O1093" s="8">
        <f>IF(ISNA(MATCH(1080,Engine!$C$2:$C$1369,0)),"",HYPERLINK(INDEX('Compliance Database'!$O$2:$O$1369,MATCH(1080,Engine!$C$2:$C$1369,0)),"Open PDF"))</f>
        <v/>
      </c>
    </row>
    <row r="1094" ht="188" customHeight="1">
      <c r="A1094" s="8">
        <f>IF(ISNA(MATCH(1081,Engine!$C$2:$C$1369,0)),"",INDEX('Compliance Database'!$A$2:$A$1369,MATCH(1081,Engine!$C$2:$C$1369,0)))</f>
        <v/>
      </c>
      <c r="B1094" s="8">
        <f>IF(ISNA(MATCH(1081,Engine!$C$2:$C$1369,0)),"",INDEX('Compliance Database'!$B$2:$B$1369,MATCH(1081,Engine!$C$2:$C$1369,0)))</f>
        <v/>
      </c>
      <c r="C1094" s="8">
        <f>IF(ISNA(MATCH(1081,Engine!$C$2:$C$1369,0)),"",INDEX('Compliance Database'!$C$2:$C$1369,MATCH(1081,Engine!$C$2:$C$1369,0)))</f>
        <v/>
      </c>
      <c r="D1094" s="9">
        <f>IF(ISNA(MATCH(1081,Engine!$C$2:$C$1369,0)),"",INDEX('Compliance Database'!$D$2:$D$1369,MATCH(1081,Engine!$C$2:$C$1369,0)))</f>
        <v/>
      </c>
      <c r="E1094" s="8">
        <f>IF(ISNA(MATCH(1081,Engine!$C$2:$C$1369,0)),"",INDEX('Compliance Database'!$E$2:$E$1369,MATCH(1081,Engine!$C$2:$C$1369,0)))</f>
        <v/>
      </c>
      <c r="F1094" s="8">
        <f>IF(ISNA(MATCH(1081,Engine!$C$2:$C$1369,0)),"",INDEX('Compliance Database'!$F$2:$F$1369,MATCH(1081,Engine!$C$2:$C$1369,0)))</f>
        <v/>
      </c>
      <c r="G1094" s="8">
        <f>IF(ISNA(MATCH(1081,Engine!$C$2:$C$1369,0)),"",INDEX('Compliance Database'!$G$2:$G$1369,MATCH(1081,Engine!$C$2:$C$1369,0)))</f>
        <v/>
      </c>
      <c r="H1094" s="9">
        <f>IF(ISNA(MATCH(1081,Engine!$C$2:$C$1369,0)),"",INDEX('Compliance Database'!$H$2:$H$1369,MATCH(1081,Engine!$C$2:$C$1369,0)))</f>
        <v/>
      </c>
      <c r="I1094" s="9">
        <f>IF(ISNA(MATCH(1081,Engine!$C$2:$C$1369,0)),"",INDEX('Compliance Database'!$I$2:$I$1369,MATCH(1081,Engine!$C$2:$C$1369,0)))</f>
        <v/>
      </c>
      <c r="J1094" s="8">
        <f>IF(ISNA(MATCH(1081,Engine!$C$2:$C$1369,0)),"",INDEX('Compliance Database'!$J$2:$J$1369,MATCH(1081,Engine!$C$2:$C$1369,0)))</f>
        <v/>
      </c>
      <c r="K1094" s="9">
        <f>IF(ISNA(MATCH(1081,Engine!$C$2:$C$1369,0)),"",INDEX('Compliance Database'!$K$2:$K$1369,MATCH(1081,Engine!$C$2:$C$1369,0)))</f>
        <v/>
      </c>
      <c r="L1094" s="9">
        <f>IF(ISNA(MATCH(1081,Engine!$C$2:$C$1369,0)),"",INDEX('Compliance Database'!$L$2:$L$1369,MATCH(1081,Engine!$C$2:$C$1369,0)))</f>
        <v/>
      </c>
      <c r="M1094" s="9">
        <f>IF(ISNA(MATCH(1081,Engine!$C$2:$C$1369,0)),"",INDEX('Compliance Database'!$M$2:$M$1369,MATCH(1081,Engine!$C$2:$C$1369,0)))</f>
        <v/>
      </c>
      <c r="N1094" s="9">
        <f>IF(ISNA(MATCH(1081,Engine!$C$2:$C$1369,0)),"",INDEX('Compliance Database'!$N$2:$N$1369,MATCH(1081,Engine!$C$2:$C$1369,0)))</f>
        <v/>
      </c>
      <c r="O1094" s="8">
        <f>IF(ISNA(MATCH(1081,Engine!$C$2:$C$1369,0)),"",HYPERLINK(INDEX('Compliance Database'!$O$2:$O$1369,MATCH(1081,Engine!$C$2:$C$1369,0)),"Open PDF"))</f>
        <v/>
      </c>
    </row>
    <row r="1095" ht="188" customHeight="1">
      <c r="A1095" s="8">
        <f>IF(ISNA(MATCH(1082,Engine!$C$2:$C$1369,0)),"",INDEX('Compliance Database'!$A$2:$A$1369,MATCH(1082,Engine!$C$2:$C$1369,0)))</f>
        <v/>
      </c>
      <c r="B1095" s="8">
        <f>IF(ISNA(MATCH(1082,Engine!$C$2:$C$1369,0)),"",INDEX('Compliance Database'!$B$2:$B$1369,MATCH(1082,Engine!$C$2:$C$1369,0)))</f>
        <v/>
      </c>
      <c r="C1095" s="8">
        <f>IF(ISNA(MATCH(1082,Engine!$C$2:$C$1369,0)),"",INDEX('Compliance Database'!$C$2:$C$1369,MATCH(1082,Engine!$C$2:$C$1369,0)))</f>
        <v/>
      </c>
      <c r="D1095" s="9">
        <f>IF(ISNA(MATCH(1082,Engine!$C$2:$C$1369,0)),"",INDEX('Compliance Database'!$D$2:$D$1369,MATCH(1082,Engine!$C$2:$C$1369,0)))</f>
        <v/>
      </c>
      <c r="E1095" s="8">
        <f>IF(ISNA(MATCH(1082,Engine!$C$2:$C$1369,0)),"",INDEX('Compliance Database'!$E$2:$E$1369,MATCH(1082,Engine!$C$2:$C$1369,0)))</f>
        <v/>
      </c>
      <c r="F1095" s="8">
        <f>IF(ISNA(MATCH(1082,Engine!$C$2:$C$1369,0)),"",INDEX('Compliance Database'!$F$2:$F$1369,MATCH(1082,Engine!$C$2:$C$1369,0)))</f>
        <v/>
      </c>
      <c r="G1095" s="8">
        <f>IF(ISNA(MATCH(1082,Engine!$C$2:$C$1369,0)),"",INDEX('Compliance Database'!$G$2:$G$1369,MATCH(1082,Engine!$C$2:$C$1369,0)))</f>
        <v/>
      </c>
      <c r="H1095" s="9">
        <f>IF(ISNA(MATCH(1082,Engine!$C$2:$C$1369,0)),"",INDEX('Compliance Database'!$H$2:$H$1369,MATCH(1082,Engine!$C$2:$C$1369,0)))</f>
        <v/>
      </c>
      <c r="I1095" s="9">
        <f>IF(ISNA(MATCH(1082,Engine!$C$2:$C$1369,0)),"",INDEX('Compliance Database'!$I$2:$I$1369,MATCH(1082,Engine!$C$2:$C$1369,0)))</f>
        <v/>
      </c>
      <c r="J1095" s="8">
        <f>IF(ISNA(MATCH(1082,Engine!$C$2:$C$1369,0)),"",INDEX('Compliance Database'!$J$2:$J$1369,MATCH(1082,Engine!$C$2:$C$1369,0)))</f>
        <v/>
      </c>
      <c r="K1095" s="9">
        <f>IF(ISNA(MATCH(1082,Engine!$C$2:$C$1369,0)),"",INDEX('Compliance Database'!$K$2:$K$1369,MATCH(1082,Engine!$C$2:$C$1369,0)))</f>
        <v/>
      </c>
      <c r="L1095" s="9">
        <f>IF(ISNA(MATCH(1082,Engine!$C$2:$C$1369,0)),"",INDEX('Compliance Database'!$L$2:$L$1369,MATCH(1082,Engine!$C$2:$C$1369,0)))</f>
        <v/>
      </c>
      <c r="M1095" s="9">
        <f>IF(ISNA(MATCH(1082,Engine!$C$2:$C$1369,0)),"",INDEX('Compliance Database'!$M$2:$M$1369,MATCH(1082,Engine!$C$2:$C$1369,0)))</f>
        <v/>
      </c>
      <c r="N1095" s="9">
        <f>IF(ISNA(MATCH(1082,Engine!$C$2:$C$1369,0)),"",INDEX('Compliance Database'!$N$2:$N$1369,MATCH(1082,Engine!$C$2:$C$1369,0)))</f>
        <v/>
      </c>
      <c r="O1095" s="8">
        <f>IF(ISNA(MATCH(1082,Engine!$C$2:$C$1369,0)),"",HYPERLINK(INDEX('Compliance Database'!$O$2:$O$1369,MATCH(1082,Engine!$C$2:$C$1369,0)),"Open PDF"))</f>
        <v/>
      </c>
    </row>
    <row r="1096" ht="188" customHeight="1">
      <c r="A1096" s="8">
        <f>IF(ISNA(MATCH(1083,Engine!$C$2:$C$1369,0)),"",INDEX('Compliance Database'!$A$2:$A$1369,MATCH(1083,Engine!$C$2:$C$1369,0)))</f>
        <v/>
      </c>
      <c r="B1096" s="8">
        <f>IF(ISNA(MATCH(1083,Engine!$C$2:$C$1369,0)),"",INDEX('Compliance Database'!$B$2:$B$1369,MATCH(1083,Engine!$C$2:$C$1369,0)))</f>
        <v/>
      </c>
      <c r="C1096" s="8">
        <f>IF(ISNA(MATCH(1083,Engine!$C$2:$C$1369,0)),"",INDEX('Compliance Database'!$C$2:$C$1369,MATCH(1083,Engine!$C$2:$C$1369,0)))</f>
        <v/>
      </c>
      <c r="D1096" s="9">
        <f>IF(ISNA(MATCH(1083,Engine!$C$2:$C$1369,0)),"",INDEX('Compliance Database'!$D$2:$D$1369,MATCH(1083,Engine!$C$2:$C$1369,0)))</f>
        <v/>
      </c>
      <c r="E1096" s="8">
        <f>IF(ISNA(MATCH(1083,Engine!$C$2:$C$1369,0)),"",INDEX('Compliance Database'!$E$2:$E$1369,MATCH(1083,Engine!$C$2:$C$1369,0)))</f>
        <v/>
      </c>
      <c r="F1096" s="8">
        <f>IF(ISNA(MATCH(1083,Engine!$C$2:$C$1369,0)),"",INDEX('Compliance Database'!$F$2:$F$1369,MATCH(1083,Engine!$C$2:$C$1369,0)))</f>
        <v/>
      </c>
      <c r="G1096" s="8">
        <f>IF(ISNA(MATCH(1083,Engine!$C$2:$C$1369,0)),"",INDEX('Compliance Database'!$G$2:$G$1369,MATCH(1083,Engine!$C$2:$C$1369,0)))</f>
        <v/>
      </c>
      <c r="H1096" s="9">
        <f>IF(ISNA(MATCH(1083,Engine!$C$2:$C$1369,0)),"",INDEX('Compliance Database'!$H$2:$H$1369,MATCH(1083,Engine!$C$2:$C$1369,0)))</f>
        <v/>
      </c>
      <c r="I1096" s="9">
        <f>IF(ISNA(MATCH(1083,Engine!$C$2:$C$1369,0)),"",INDEX('Compliance Database'!$I$2:$I$1369,MATCH(1083,Engine!$C$2:$C$1369,0)))</f>
        <v/>
      </c>
      <c r="J1096" s="8">
        <f>IF(ISNA(MATCH(1083,Engine!$C$2:$C$1369,0)),"",INDEX('Compliance Database'!$J$2:$J$1369,MATCH(1083,Engine!$C$2:$C$1369,0)))</f>
        <v/>
      </c>
      <c r="K1096" s="9">
        <f>IF(ISNA(MATCH(1083,Engine!$C$2:$C$1369,0)),"",INDEX('Compliance Database'!$K$2:$K$1369,MATCH(1083,Engine!$C$2:$C$1369,0)))</f>
        <v/>
      </c>
      <c r="L1096" s="9">
        <f>IF(ISNA(MATCH(1083,Engine!$C$2:$C$1369,0)),"",INDEX('Compliance Database'!$L$2:$L$1369,MATCH(1083,Engine!$C$2:$C$1369,0)))</f>
        <v/>
      </c>
      <c r="M1096" s="9">
        <f>IF(ISNA(MATCH(1083,Engine!$C$2:$C$1369,0)),"",INDEX('Compliance Database'!$M$2:$M$1369,MATCH(1083,Engine!$C$2:$C$1369,0)))</f>
        <v/>
      </c>
      <c r="N1096" s="9">
        <f>IF(ISNA(MATCH(1083,Engine!$C$2:$C$1369,0)),"",INDEX('Compliance Database'!$N$2:$N$1369,MATCH(1083,Engine!$C$2:$C$1369,0)))</f>
        <v/>
      </c>
      <c r="O1096" s="8">
        <f>IF(ISNA(MATCH(1083,Engine!$C$2:$C$1369,0)),"",HYPERLINK(INDEX('Compliance Database'!$O$2:$O$1369,MATCH(1083,Engine!$C$2:$C$1369,0)),"Open PDF"))</f>
        <v/>
      </c>
    </row>
    <row r="1097" ht="188" customHeight="1">
      <c r="A1097" s="8">
        <f>IF(ISNA(MATCH(1084,Engine!$C$2:$C$1369,0)),"",INDEX('Compliance Database'!$A$2:$A$1369,MATCH(1084,Engine!$C$2:$C$1369,0)))</f>
        <v/>
      </c>
      <c r="B1097" s="8">
        <f>IF(ISNA(MATCH(1084,Engine!$C$2:$C$1369,0)),"",INDEX('Compliance Database'!$B$2:$B$1369,MATCH(1084,Engine!$C$2:$C$1369,0)))</f>
        <v/>
      </c>
      <c r="C1097" s="8">
        <f>IF(ISNA(MATCH(1084,Engine!$C$2:$C$1369,0)),"",INDEX('Compliance Database'!$C$2:$C$1369,MATCH(1084,Engine!$C$2:$C$1369,0)))</f>
        <v/>
      </c>
      <c r="D1097" s="9">
        <f>IF(ISNA(MATCH(1084,Engine!$C$2:$C$1369,0)),"",INDEX('Compliance Database'!$D$2:$D$1369,MATCH(1084,Engine!$C$2:$C$1369,0)))</f>
        <v/>
      </c>
      <c r="E1097" s="8">
        <f>IF(ISNA(MATCH(1084,Engine!$C$2:$C$1369,0)),"",INDEX('Compliance Database'!$E$2:$E$1369,MATCH(1084,Engine!$C$2:$C$1369,0)))</f>
        <v/>
      </c>
      <c r="F1097" s="8">
        <f>IF(ISNA(MATCH(1084,Engine!$C$2:$C$1369,0)),"",INDEX('Compliance Database'!$F$2:$F$1369,MATCH(1084,Engine!$C$2:$C$1369,0)))</f>
        <v/>
      </c>
      <c r="G1097" s="8">
        <f>IF(ISNA(MATCH(1084,Engine!$C$2:$C$1369,0)),"",INDEX('Compliance Database'!$G$2:$G$1369,MATCH(1084,Engine!$C$2:$C$1369,0)))</f>
        <v/>
      </c>
      <c r="H1097" s="9">
        <f>IF(ISNA(MATCH(1084,Engine!$C$2:$C$1369,0)),"",INDEX('Compliance Database'!$H$2:$H$1369,MATCH(1084,Engine!$C$2:$C$1369,0)))</f>
        <v/>
      </c>
      <c r="I1097" s="9">
        <f>IF(ISNA(MATCH(1084,Engine!$C$2:$C$1369,0)),"",INDEX('Compliance Database'!$I$2:$I$1369,MATCH(1084,Engine!$C$2:$C$1369,0)))</f>
        <v/>
      </c>
      <c r="J1097" s="8">
        <f>IF(ISNA(MATCH(1084,Engine!$C$2:$C$1369,0)),"",INDEX('Compliance Database'!$J$2:$J$1369,MATCH(1084,Engine!$C$2:$C$1369,0)))</f>
        <v/>
      </c>
      <c r="K1097" s="9">
        <f>IF(ISNA(MATCH(1084,Engine!$C$2:$C$1369,0)),"",INDEX('Compliance Database'!$K$2:$K$1369,MATCH(1084,Engine!$C$2:$C$1369,0)))</f>
        <v/>
      </c>
      <c r="L1097" s="9">
        <f>IF(ISNA(MATCH(1084,Engine!$C$2:$C$1369,0)),"",INDEX('Compliance Database'!$L$2:$L$1369,MATCH(1084,Engine!$C$2:$C$1369,0)))</f>
        <v/>
      </c>
      <c r="M1097" s="9">
        <f>IF(ISNA(MATCH(1084,Engine!$C$2:$C$1369,0)),"",INDEX('Compliance Database'!$M$2:$M$1369,MATCH(1084,Engine!$C$2:$C$1369,0)))</f>
        <v/>
      </c>
      <c r="N1097" s="9">
        <f>IF(ISNA(MATCH(1084,Engine!$C$2:$C$1369,0)),"",INDEX('Compliance Database'!$N$2:$N$1369,MATCH(1084,Engine!$C$2:$C$1369,0)))</f>
        <v/>
      </c>
      <c r="O1097" s="8">
        <f>IF(ISNA(MATCH(1084,Engine!$C$2:$C$1369,0)),"",HYPERLINK(INDEX('Compliance Database'!$O$2:$O$1369,MATCH(1084,Engine!$C$2:$C$1369,0)),"Open PDF"))</f>
        <v/>
      </c>
    </row>
    <row r="1098" ht="188" customHeight="1">
      <c r="A1098" s="8">
        <f>IF(ISNA(MATCH(1085,Engine!$C$2:$C$1369,0)),"",INDEX('Compliance Database'!$A$2:$A$1369,MATCH(1085,Engine!$C$2:$C$1369,0)))</f>
        <v/>
      </c>
      <c r="B1098" s="8">
        <f>IF(ISNA(MATCH(1085,Engine!$C$2:$C$1369,0)),"",INDEX('Compliance Database'!$B$2:$B$1369,MATCH(1085,Engine!$C$2:$C$1369,0)))</f>
        <v/>
      </c>
      <c r="C1098" s="8">
        <f>IF(ISNA(MATCH(1085,Engine!$C$2:$C$1369,0)),"",INDEX('Compliance Database'!$C$2:$C$1369,MATCH(1085,Engine!$C$2:$C$1369,0)))</f>
        <v/>
      </c>
      <c r="D1098" s="9">
        <f>IF(ISNA(MATCH(1085,Engine!$C$2:$C$1369,0)),"",INDEX('Compliance Database'!$D$2:$D$1369,MATCH(1085,Engine!$C$2:$C$1369,0)))</f>
        <v/>
      </c>
      <c r="E1098" s="8">
        <f>IF(ISNA(MATCH(1085,Engine!$C$2:$C$1369,0)),"",INDEX('Compliance Database'!$E$2:$E$1369,MATCH(1085,Engine!$C$2:$C$1369,0)))</f>
        <v/>
      </c>
      <c r="F1098" s="8">
        <f>IF(ISNA(MATCH(1085,Engine!$C$2:$C$1369,0)),"",INDEX('Compliance Database'!$F$2:$F$1369,MATCH(1085,Engine!$C$2:$C$1369,0)))</f>
        <v/>
      </c>
      <c r="G1098" s="8">
        <f>IF(ISNA(MATCH(1085,Engine!$C$2:$C$1369,0)),"",INDEX('Compliance Database'!$G$2:$G$1369,MATCH(1085,Engine!$C$2:$C$1369,0)))</f>
        <v/>
      </c>
      <c r="H1098" s="9">
        <f>IF(ISNA(MATCH(1085,Engine!$C$2:$C$1369,0)),"",INDEX('Compliance Database'!$H$2:$H$1369,MATCH(1085,Engine!$C$2:$C$1369,0)))</f>
        <v/>
      </c>
      <c r="I1098" s="9">
        <f>IF(ISNA(MATCH(1085,Engine!$C$2:$C$1369,0)),"",INDEX('Compliance Database'!$I$2:$I$1369,MATCH(1085,Engine!$C$2:$C$1369,0)))</f>
        <v/>
      </c>
      <c r="J1098" s="8">
        <f>IF(ISNA(MATCH(1085,Engine!$C$2:$C$1369,0)),"",INDEX('Compliance Database'!$J$2:$J$1369,MATCH(1085,Engine!$C$2:$C$1369,0)))</f>
        <v/>
      </c>
      <c r="K1098" s="9">
        <f>IF(ISNA(MATCH(1085,Engine!$C$2:$C$1369,0)),"",INDEX('Compliance Database'!$K$2:$K$1369,MATCH(1085,Engine!$C$2:$C$1369,0)))</f>
        <v/>
      </c>
      <c r="L1098" s="9">
        <f>IF(ISNA(MATCH(1085,Engine!$C$2:$C$1369,0)),"",INDEX('Compliance Database'!$L$2:$L$1369,MATCH(1085,Engine!$C$2:$C$1369,0)))</f>
        <v/>
      </c>
      <c r="M1098" s="9">
        <f>IF(ISNA(MATCH(1085,Engine!$C$2:$C$1369,0)),"",INDEX('Compliance Database'!$M$2:$M$1369,MATCH(1085,Engine!$C$2:$C$1369,0)))</f>
        <v/>
      </c>
      <c r="N1098" s="9">
        <f>IF(ISNA(MATCH(1085,Engine!$C$2:$C$1369,0)),"",INDEX('Compliance Database'!$N$2:$N$1369,MATCH(1085,Engine!$C$2:$C$1369,0)))</f>
        <v/>
      </c>
      <c r="O1098" s="8">
        <f>IF(ISNA(MATCH(1085,Engine!$C$2:$C$1369,0)),"",HYPERLINK(INDEX('Compliance Database'!$O$2:$O$1369,MATCH(1085,Engine!$C$2:$C$1369,0)),"Open PDF"))</f>
        <v/>
      </c>
    </row>
    <row r="1099" ht="188" customHeight="1">
      <c r="A1099" s="8">
        <f>IF(ISNA(MATCH(1086,Engine!$C$2:$C$1369,0)),"",INDEX('Compliance Database'!$A$2:$A$1369,MATCH(1086,Engine!$C$2:$C$1369,0)))</f>
        <v/>
      </c>
      <c r="B1099" s="8">
        <f>IF(ISNA(MATCH(1086,Engine!$C$2:$C$1369,0)),"",INDEX('Compliance Database'!$B$2:$B$1369,MATCH(1086,Engine!$C$2:$C$1369,0)))</f>
        <v/>
      </c>
      <c r="C1099" s="8">
        <f>IF(ISNA(MATCH(1086,Engine!$C$2:$C$1369,0)),"",INDEX('Compliance Database'!$C$2:$C$1369,MATCH(1086,Engine!$C$2:$C$1369,0)))</f>
        <v/>
      </c>
      <c r="D1099" s="9">
        <f>IF(ISNA(MATCH(1086,Engine!$C$2:$C$1369,0)),"",INDEX('Compliance Database'!$D$2:$D$1369,MATCH(1086,Engine!$C$2:$C$1369,0)))</f>
        <v/>
      </c>
      <c r="E1099" s="8">
        <f>IF(ISNA(MATCH(1086,Engine!$C$2:$C$1369,0)),"",INDEX('Compliance Database'!$E$2:$E$1369,MATCH(1086,Engine!$C$2:$C$1369,0)))</f>
        <v/>
      </c>
      <c r="F1099" s="8">
        <f>IF(ISNA(MATCH(1086,Engine!$C$2:$C$1369,0)),"",INDEX('Compliance Database'!$F$2:$F$1369,MATCH(1086,Engine!$C$2:$C$1369,0)))</f>
        <v/>
      </c>
      <c r="G1099" s="8">
        <f>IF(ISNA(MATCH(1086,Engine!$C$2:$C$1369,0)),"",INDEX('Compliance Database'!$G$2:$G$1369,MATCH(1086,Engine!$C$2:$C$1369,0)))</f>
        <v/>
      </c>
      <c r="H1099" s="9">
        <f>IF(ISNA(MATCH(1086,Engine!$C$2:$C$1369,0)),"",INDEX('Compliance Database'!$H$2:$H$1369,MATCH(1086,Engine!$C$2:$C$1369,0)))</f>
        <v/>
      </c>
      <c r="I1099" s="9">
        <f>IF(ISNA(MATCH(1086,Engine!$C$2:$C$1369,0)),"",INDEX('Compliance Database'!$I$2:$I$1369,MATCH(1086,Engine!$C$2:$C$1369,0)))</f>
        <v/>
      </c>
      <c r="J1099" s="8">
        <f>IF(ISNA(MATCH(1086,Engine!$C$2:$C$1369,0)),"",INDEX('Compliance Database'!$J$2:$J$1369,MATCH(1086,Engine!$C$2:$C$1369,0)))</f>
        <v/>
      </c>
      <c r="K1099" s="9">
        <f>IF(ISNA(MATCH(1086,Engine!$C$2:$C$1369,0)),"",INDEX('Compliance Database'!$K$2:$K$1369,MATCH(1086,Engine!$C$2:$C$1369,0)))</f>
        <v/>
      </c>
      <c r="L1099" s="9">
        <f>IF(ISNA(MATCH(1086,Engine!$C$2:$C$1369,0)),"",INDEX('Compliance Database'!$L$2:$L$1369,MATCH(1086,Engine!$C$2:$C$1369,0)))</f>
        <v/>
      </c>
      <c r="M1099" s="9">
        <f>IF(ISNA(MATCH(1086,Engine!$C$2:$C$1369,0)),"",INDEX('Compliance Database'!$M$2:$M$1369,MATCH(1086,Engine!$C$2:$C$1369,0)))</f>
        <v/>
      </c>
      <c r="N1099" s="9">
        <f>IF(ISNA(MATCH(1086,Engine!$C$2:$C$1369,0)),"",INDEX('Compliance Database'!$N$2:$N$1369,MATCH(1086,Engine!$C$2:$C$1369,0)))</f>
        <v/>
      </c>
      <c r="O1099" s="8">
        <f>IF(ISNA(MATCH(1086,Engine!$C$2:$C$1369,0)),"",HYPERLINK(INDEX('Compliance Database'!$O$2:$O$1369,MATCH(1086,Engine!$C$2:$C$1369,0)),"Open PDF"))</f>
        <v/>
      </c>
    </row>
    <row r="1100" ht="188" customHeight="1">
      <c r="A1100" s="8">
        <f>IF(ISNA(MATCH(1087,Engine!$C$2:$C$1369,0)),"",INDEX('Compliance Database'!$A$2:$A$1369,MATCH(1087,Engine!$C$2:$C$1369,0)))</f>
        <v/>
      </c>
      <c r="B1100" s="8">
        <f>IF(ISNA(MATCH(1087,Engine!$C$2:$C$1369,0)),"",INDEX('Compliance Database'!$B$2:$B$1369,MATCH(1087,Engine!$C$2:$C$1369,0)))</f>
        <v/>
      </c>
      <c r="C1100" s="8">
        <f>IF(ISNA(MATCH(1087,Engine!$C$2:$C$1369,0)),"",INDEX('Compliance Database'!$C$2:$C$1369,MATCH(1087,Engine!$C$2:$C$1369,0)))</f>
        <v/>
      </c>
      <c r="D1100" s="9">
        <f>IF(ISNA(MATCH(1087,Engine!$C$2:$C$1369,0)),"",INDEX('Compliance Database'!$D$2:$D$1369,MATCH(1087,Engine!$C$2:$C$1369,0)))</f>
        <v/>
      </c>
      <c r="E1100" s="8">
        <f>IF(ISNA(MATCH(1087,Engine!$C$2:$C$1369,0)),"",INDEX('Compliance Database'!$E$2:$E$1369,MATCH(1087,Engine!$C$2:$C$1369,0)))</f>
        <v/>
      </c>
      <c r="F1100" s="8">
        <f>IF(ISNA(MATCH(1087,Engine!$C$2:$C$1369,0)),"",INDEX('Compliance Database'!$F$2:$F$1369,MATCH(1087,Engine!$C$2:$C$1369,0)))</f>
        <v/>
      </c>
      <c r="G1100" s="8">
        <f>IF(ISNA(MATCH(1087,Engine!$C$2:$C$1369,0)),"",INDEX('Compliance Database'!$G$2:$G$1369,MATCH(1087,Engine!$C$2:$C$1369,0)))</f>
        <v/>
      </c>
      <c r="H1100" s="9">
        <f>IF(ISNA(MATCH(1087,Engine!$C$2:$C$1369,0)),"",INDEX('Compliance Database'!$H$2:$H$1369,MATCH(1087,Engine!$C$2:$C$1369,0)))</f>
        <v/>
      </c>
      <c r="I1100" s="9">
        <f>IF(ISNA(MATCH(1087,Engine!$C$2:$C$1369,0)),"",INDEX('Compliance Database'!$I$2:$I$1369,MATCH(1087,Engine!$C$2:$C$1369,0)))</f>
        <v/>
      </c>
      <c r="J1100" s="8">
        <f>IF(ISNA(MATCH(1087,Engine!$C$2:$C$1369,0)),"",INDEX('Compliance Database'!$J$2:$J$1369,MATCH(1087,Engine!$C$2:$C$1369,0)))</f>
        <v/>
      </c>
      <c r="K1100" s="9">
        <f>IF(ISNA(MATCH(1087,Engine!$C$2:$C$1369,0)),"",INDEX('Compliance Database'!$K$2:$K$1369,MATCH(1087,Engine!$C$2:$C$1369,0)))</f>
        <v/>
      </c>
      <c r="L1100" s="9">
        <f>IF(ISNA(MATCH(1087,Engine!$C$2:$C$1369,0)),"",INDEX('Compliance Database'!$L$2:$L$1369,MATCH(1087,Engine!$C$2:$C$1369,0)))</f>
        <v/>
      </c>
      <c r="M1100" s="9">
        <f>IF(ISNA(MATCH(1087,Engine!$C$2:$C$1369,0)),"",INDEX('Compliance Database'!$M$2:$M$1369,MATCH(1087,Engine!$C$2:$C$1369,0)))</f>
        <v/>
      </c>
      <c r="N1100" s="9">
        <f>IF(ISNA(MATCH(1087,Engine!$C$2:$C$1369,0)),"",INDEX('Compliance Database'!$N$2:$N$1369,MATCH(1087,Engine!$C$2:$C$1369,0)))</f>
        <v/>
      </c>
      <c r="O1100" s="8">
        <f>IF(ISNA(MATCH(1087,Engine!$C$2:$C$1369,0)),"",HYPERLINK(INDEX('Compliance Database'!$O$2:$O$1369,MATCH(1087,Engine!$C$2:$C$1369,0)),"Open PDF"))</f>
        <v/>
      </c>
    </row>
    <row r="1101" ht="188" customHeight="1">
      <c r="A1101" s="8">
        <f>IF(ISNA(MATCH(1088,Engine!$C$2:$C$1369,0)),"",INDEX('Compliance Database'!$A$2:$A$1369,MATCH(1088,Engine!$C$2:$C$1369,0)))</f>
        <v/>
      </c>
      <c r="B1101" s="8">
        <f>IF(ISNA(MATCH(1088,Engine!$C$2:$C$1369,0)),"",INDEX('Compliance Database'!$B$2:$B$1369,MATCH(1088,Engine!$C$2:$C$1369,0)))</f>
        <v/>
      </c>
      <c r="C1101" s="8">
        <f>IF(ISNA(MATCH(1088,Engine!$C$2:$C$1369,0)),"",INDEX('Compliance Database'!$C$2:$C$1369,MATCH(1088,Engine!$C$2:$C$1369,0)))</f>
        <v/>
      </c>
      <c r="D1101" s="9">
        <f>IF(ISNA(MATCH(1088,Engine!$C$2:$C$1369,0)),"",INDEX('Compliance Database'!$D$2:$D$1369,MATCH(1088,Engine!$C$2:$C$1369,0)))</f>
        <v/>
      </c>
      <c r="E1101" s="8">
        <f>IF(ISNA(MATCH(1088,Engine!$C$2:$C$1369,0)),"",INDEX('Compliance Database'!$E$2:$E$1369,MATCH(1088,Engine!$C$2:$C$1369,0)))</f>
        <v/>
      </c>
      <c r="F1101" s="8">
        <f>IF(ISNA(MATCH(1088,Engine!$C$2:$C$1369,0)),"",INDEX('Compliance Database'!$F$2:$F$1369,MATCH(1088,Engine!$C$2:$C$1369,0)))</f>
        <v/>
      </c>
      <c r="G1101" s="8">
        <f>IF(ISNA(MATCH(1088,Engine!$C$2:$C$1369,0)),"",INDEX('Compliance Database'!$G$2:$G$1369,MATCH(1088,Engine!$C$2:$C$1369,0)))</f>
        <v/>
      </c>
      <c r="H1101" s="9">
        <f>IF(ISNA(MATCH(1088,Engine!$C$2:$C$1369,0)),"",INDEX('Compliance Database'!$H$2:$H$1369,MATCH(1088,Engine!$C$2:$C$1369,0)))</f>
        <v/>
      </c>
      <c r="I1101" s="9">
        <f>IF(ISNA(MATCH(1088,Engine!$C$2:$C$1369,0)),"",INDEX('Compliance Database'!$I$2:$I$1369,MATCH(1088,Engine!$C$2:$C$1369,0)))</f>
        <v/>
      </c>
      <c r="J1101" s="8">
        <f>IF(ISNA(MATCH(1088,Engine!$C$2:$C$1369,0)),"",INDEX('Compliance Database'!$J$2:$J$1369,MATCH(1088,Engine!$C$2:$C$1369,0)))</f>
        <v/>
      </c>
      <c r="K1101" s="9">
        <f>IF(ISNA(MATCH(1088,Engine!$C$2:$C$1369,0)),"",INDEX('Compliance Database'!$K$2:$K$1369,MATCH(1088,Engine!$C$2:$C$1369,0)))</f>
        <v/>
      </c>
      <c r="L1101" s="9">
        <f>IF(ISNA(MATCH(1088,Engine!$C$2:$C$1369,0)),"",INDEX('Compliance Database'!$L$2:$L$1369,MATCH(1088,Engine!$C$2:$C$1369,0)))</f>
        <v/>
      </c>
      <c r="M1101" s="9">
        <f>IF(ISNA(MATCH(1088,Engine!$C$2:$C$1369,0)),"",INDEX('Compliance Database'!$M$2:$M$1369,MATCH(1088,Engine!$C$2:$C$1369,0)))</f>
        <v/>
      </c>
      <c r="N1101" s="9">
        <f>IF(ISNA(MATCH(1088,Engine!$C$2:$C$1369,0)),"",INDEX('Compliance Database'!$N$2:$N$1369,MATCH(1088,Engine!$C$2:$C$1369,0)))</f>
        <v/>
      </c>
      <c r="O1101" s="8">
        <f>IF(ISNA(MATCH(1088,Engine!$C$2:$C$1369,0)),"",HYPERLINK(INDEX('Compliance Database'!$O$2:$O$1369,MATCH(1088,Engine!$C$2:$C$1369,0)),"Open PDF"))</f>
        <v/>
      </c>
    </row>
    <row r="1102" ht="188" customHeight="1">
      <c r="A1102" s="8">
        <f>IF(ISNA(MATCH(1089,Engine!$C$2:$C$1369,0)),"",INDEX('Compliance Database'!$A$2:$A$1369,MATCH(1089,Engine!$C$2:$C$1369,0)))</f>
        <v/>
      </c>
      <c r="B1102" s="8">
        <f>IF(ISNA(MATCH(1089,Engine!$C$2:$C$1369,0)),"",INDEX('Compliance Database'!$B$2:$B$1369,MATCH(1089,Engine!$C$2:$C$1369,0)))</f>
        <v/>
      </c>
      <c r="C1102" s="8">
        <f>IF(ISNA(MATCH(1089,Engine!$C$2:$C$1369,0)),"",INDEX('Compliance Database'!$C$2:$C$1369,MATCH(1089,Engine!$C$2:$C$1369,0)))</f>
        <v/>
      </c>
      <c r="D1102" s="9">
        <f>IF(ISNA(MATCH(1089,Engine!$C$2:$C$1369,0)),"",INDEX('Compliance Database'!$D$2:$D$1369,MATCH(1089,Engine!$C$2:$C$1369,0)))</f>
        <v/>
      </c>
      <c r="E1102" s="8">
        <f>IF(ISNA(MATCH(1089,Engine!$C$2:$C$1369,0)),"",INDEX('Compliance Database'!$E$2:$E$1369,MATCH(1089,Engine!$C$2:$C$1369,0)))</f>
        <v/>
      </c>
      <c r="F1102" s="8">
        <f>IF(ISNA(MATCH(1089,Engine!$C$2:$C$1369,0)),"",INDEX('Compliance Database'!$F$2:$F$1369,MATCH(1089,Engine!$C$2:$C$1369,0)))</f>
        <v/>
      </c>
      <c r="G1102" s="8">
        <f>IF(ISNA(MATCH(1089,Engine!$C$2:$C$1369,0)),"",INDEX('Compliance Database'!$G$2:$G$1369,MATCH(1089,Engine!$C$2:$C$1369,0)))</f>
        <v/>
      </c>
      <c r="H1102" s="9">
        <f>IF(ISNA(MATCH(1089,Engine!$C$2:$C$1369,0)),"",INDEX('Compliance Database'!$H$2:$H$1369,MATCH(1089,Engine!$C$2:$C$1369,0)))</f>
        <v/>
      </c>
      <c r="I1102" s="9">
        <f>IF(ISNA(MATCH(1089,Engine!$C$2:$C$1369,0)),"",INDEX('Compliance Database'!$I$2:$I$1369,MATCH(1089,Engine!$C$2:$C$1369,0)))</f>
        <v/>
      </c>
      <c r="J1102" s="8">
        <f>IF(ISNA(MATCH(1089,Engine!$C$2:$C$1369,0)),"",INDEX('Compliance Database'!$J$2:$J$1369,MATCH(1089,Engine!$C$2:$C$1369,0)))</f>
        <v/>
      </c>
      <c r="K1102" s="9">
        <f>IF(ISNA(MATCH(1089,Engine!$C$2:$C$1369,0)),"",INDEX('Compliance Database'!$K$2:$K$1369,MATCH(1089,Engine!$C$2:$C$1369,0)))</f>
        <v/>
      </c>
      <c r="L1102" s="9">
        <f>IF(ISNA(MATCH(1089,Engine!$C$2:$C$1369,0)),"",INDEX('Compliance Database'!$L$2:$L$1369,MATCH(1089,Engine!$C$2:$C$1369,0)))</f>
        <v/>
      </c>
      <c r="M1102" s="9">
        <f>IF(ISNA(MATCH(1089,Engine!$C$2:$C$1369,0)),"",INDEX('Compliance Database'!$M$2:$M$1369,MATCH(1089,Engine!$C$2:$C$1369,0)))</f>
        <v/>
      </c>
      <c r="N1102" s="9">
        <f>IF(ISNA(MATCH(1089,Engine!$C$2:$C$1369,0)),"",INDEX('Compliance Database'!$N$2:$N$1369,MATCH(1089,Engine!$C$2:$C$1369,0)))</f>
        <v/>
      </c>
      <c r="O1102" s="8">
        <f>IF(ISNA(MATCH(1089,Engine!$C$2:$C$1369,0)),"",HYPERLINK(INDEX('Compliance Database'!$O$2:$O$1369,MATCH(1089,Engine!$C$2:$C$1369,0)),"Open PDF"))</f>
        <v/>
      </c>
    </row>
    <row r="1103" ht="188" customHeight="1">
      <c r="A1103" s="8">
        <f>IF(ISNA(MATCH(1090,Engine!$C$2:$C$1369,0)),"",INDEX('Compliance Database'!$A$2:$A$1369,MATCH(1090,Engine!$C$2:$C$1369,0)))</f>
        <v/>
      </c>
      <c r="B1103" s="8">
        <f>IF(ISNA(MATCH(1090,Engine!$C$2:$C$1369,0)),"",INDEX('Compliance Database'!$B$2:$B$1369,MATCH(1090,Engine!$C$2:$C$1369,0)))</f>
        <v/>
      </c>
      <c r="C1103" s="8">
        <f>IF(ISNA(MATCH(1090,Engine!$C$2:$C$1369,0)),"",INDEX('Compliance Database'!$C$2:$C$1369,MATCH(1090,Engine!$C$2:$C$1369,0)))</f>
        <v/>
      </c>
      <c r="D1103" s="9">
        <f>IF(ISNA(MATCH(1090,Engine!$C$2:$C$1369,0)),"",INDEX('Compliance Database'!$D$2:$D$1369,MATCH(1090,Engine!$C$2:$C$1369,0)))</f>
        <v/>
      </c>
      <c r="E1103" s="8">
        <f>IF(ISNA(MATCH(1090,Engine!$C$2:$C$1369,0)),"",INDEX('Compliance Database'!$E$2:$E$1369,MATCH(1090,Engine!$C$2:$C$1369,0)))</f>
        <v/>
      </c>
      <c r="F1103" s="8">
        <f>IF(ISNA(MATCH(1090,Engine!$C$2:$C$1369,0)),"",INDEX('Compliance Database'!$F$2:$F$1369,MATCH(1090,Engine!$C$2:$C$1369,0)))</f>
        <v/>
      </c>
      <c r="G1103" s="8">
        <f>IF(ISNA(MATCH(1090,Engine!$C$2:$C$1369,0)),"",INDEX('Compliance Database'!$G$2:$G$1369,MATCH(1090,Engine!$C$2:$C$1369,0)))</f>
        <v/>
      </c>
      <c r="H1103" s="9">
        <f>IF(ISNA(MATCH(1090,Engine!$C$2:$C$1369,0)),"",INDEX('Compliance Database'!$H$2:$H$1369,MATCH(1090,Engine!$C$2:$C$1369,0)))</f>
        <v/>
      </c>
      <c r="I1103" s="9">
        <f>IF(ISNA(MATCH(1090,Engine!$C$2:$C$1369,0)),"",INDEX('Compliance Database'!$I$2:$I$1369,MATCH(1090,Engine!$C$2:$C$1369,0)))</f>
        <v/>
      </c>
      <c r="J1103" s="8">
        <f>IF(ISNA(MATCH(1090,Engine!$C$2:$C$1369,0)),"",INDEX('Compliance Database'!$J$2:$J$1369,MATCH(1090,Engine!$C$2:$C$1369,0)))</f>
        <v/>
      </c>
      <c r="K1103" s="9">
        <f>IF(ISNA(MATCH(1090,Engine!$C$2:$C$1369,0)),"",INDEX('Compliance Database'!$K$2:$K$1369,MATCH(1090,Engine!$C$2:$C$1369,0)))</f>
        <v/>
      </c>
      <c r="L1103" s="9">
        <f>IF(ISNA(MATCH(1090,Engine!$C$2:$C$1369,0)),"",INDEX('Compliance Database'!$L$2:$L$1369,MATCH(1090,Engine!$C$2:$C$1369,0)))</f>
        <v/>
      </c>
      <c r="M1103" s="9">
        <f>IF(ISNA(MATCH(1090,Engine!$C$2:$C$1369,0)),"",INDEX('Compliance Database'!$M$2:$M$1369,MATCH(1090,Engine!$C$2:$C$1369,0)))</f>
        <v/>
      </c>
      <c r="N1103" s="9">
        <f>IF(ISNA(MATCH(1090,Engine!$C$2:$C$1369,0)),"",INDEX('Compliance Database'!$N$2:$N$1369,MATCH(1090,Engine!$C$2:$C$1369,0)))</f>
        <v/>
      </c>
      <c r="O1103" s="8">
        <f>IF(ISNA(MATCH(1090,Engine!$C$2:$C$1369,0)),"",HYPERLINK(INDEX('Compliance Database'!$O$2:$O$1369,MATCH(1090,Engine!$C$2:$C$1369,0)),"Open PDF"))</f>
        <v/>
      </c>
    </row>
    <row r="1104" ht="188" customHeight="1">
      <c r="A1104" s="8">
        <f>IF(ISNA(MATCH(1091,Engine!$C$2:$C$1369,0)),"",INDEX('Compliance Database'!$A$2:$A$1369,MATCH(1091,Engine!$C$2:$C$1369,0)))</f>
        <v/>
      </c>
      <c r="B1104" s="8">
        <f>IF(ISNA(MATCH(1091,Engine!$C$2:$C$1369,0)),"",INDEX('Compliance Database'!$B$2:$B$1369,MATCH(1091,Engine!$C$2:$C$1369,0)))</f>
        <v/>
      </c>
      <c r="C1104" s="8">
        <f>IF(ISNA(MATCH(1091,Engine!$C$2:$C$1369,0)),"",INDEX('Compliance Database'!$C$2:$C$1369,MATCH(1091,Engine!$C$2:$C$1369,0)))</f>
        <v/>
      </c>
      <c r="D1104" s="9">
        <f>IF(ISNA(MATCH(1091,Engine!$C$2:$C$1369,0)),"",INDEX('Compliance Database'!$D$2:$D$1369,MATCH(1091,Engine!$C$2:$C$1369,0)))</f>
        <v/>
      </c>
      <c r="E1104" s="8">
        <f>IF(ISNA(MATCH(1091,Engine!$C$2:$C$1369,0)),"",INDEX('Compliance Database'!$E$2:$E$1369,MATCH(1091,Engine!$C$2:$C$1369,0)))</f>
        <v/>
      </c>
      <c r="F1104" s="8">
        <f>IF(ISNA(MATCH(1091,Engine!$C$2:$C$1369,0)),"",INDEX('Compliance Database'!$F$2:$F$1369,MATCH(1091,Engine!$C$2:$C$1369,0)))</f>
        <v/>
      </c>
      <c r="G1104" s="8">
        <f>IF(ISNA(MATCH(1091,Engine!$C$2:$C$1369,0)),"",INDEX('Compliance Database'!$G$2:$G$1369,MATCH(1091,Engine!$C$2:$C$1369,0)))</f>
        <v/>
      </c>
      <c r="H1104" s="9">
        <f>IF(ISNA(MATCH(1091,Engine!$C$2:$C$1369,0)),"",INDEX('Compliance Database'!$H$2:$H$1369,MATCH(1091,Engine!$C$2:$C$1369,0)))</f>
        <v/>
      </c>
      <c r="I1104" s="9">
        <f>IF(ISNA(MATCH(1091,Engine!$C$2:$C$1369,0)),"",INDEX('Compliance Database'!$I$2:$I$1369,MATCH(1091,Engine!$C$2:$C$1369,0)))</f>
        <v/>
      </c>
      <c r="J1104" s="8">
        <f>IF(ISNA(MATCH(1091,Engine!$C$2:$C$1369,0)),"",INDEX('Compliance Database'!$J$2:$J$1369,MATCH(1091,Engine!$C$2:$C$1369,0)))</f>
        <v/>
      </c>
      <c r="K1104" s="9">
        <f>IF(ISNA(MATCH(1091,Engine!$C$2:$C$1369,0)),"",INDEX('Compliance Database'!$K$2:$K$1369,MATCH(1091,Engine!$C$2:$C$1369,0)))</f>
        <v/>
      </c>
      <c r="L1104" s="9">
        <f>IF(ISNA(MATCH(1091,Engine!$C$2:$C$1369,0)),"",INDEX('Compliance Database'!$L$2:$L$1369,MATCH(1091,Engine!$C$2:$C$1369,0)))</f>
        <v/>
      </c>
      <c r="M1104" s="9">
        <f>IF(ISNA(MATCH(1091,Engine!$C$2:$C$1369,0)),"",INDEX('Compliance Database'!$M$2:$M$1369,MATCH(1091,Engine!$C$2:$C$1369,0)))</f>
        <v/>
      </c>
      <c r="N1104" s="9">
        <f>IF(ISNA(MATCH(1091,Engine!$C$2:$C$1369,0)),"",INDEX('Compliance Database'!$N$2:$N$1369,MATCH(1091,Engine!$C$2:$C$1369,0)))</f>
        <v/>
      </c>
      <c r="O1104" s="8">
        <f>IF(ISNA(MATCH(1091,Engine!$C$2:$C$1369,0)),"",HYPERLINK(INDEX('Compliance Database'!$O$2:$O$1369,MATCH(1091,Engine!$C$2:$C$1369,0)),"Open PDF"))</f>
        <v/>
      </c>
    </row>
    <row r="1105" ht="188" customHeight="1">
      <c r="A1105" s="8">
        <f>IF(ISNA(MATCH(1092,Engine!$C$2:$C$1369,0)),"",INDEX('Compliance Database'!$A$2:$A$1369,MATCH(1092,Engine!$C$2:$C$1369,0)))</f>
        <v/>
      </c>
      <c r="B1105" s="8">
        <f>IF(ISNA(MATCH(1092,Engine!$C$2:$C$1369,0)),"",INDEX('Compliance Database'!$B$2:$B$1369,MATCH(1092,Engine!$C$2:$C$1369,0)))</f>
        <v/>
      </c>
      <c r="C1105" s="8">
        <f>IF(ISNA(MATCH(1092,Engine!$C$2:$C$1369,0)),"",INDEX('Compliance Database'!$C$2:$C$1369,MATCH(1092,Engine!$C$2:$C$1369,0)))</f>
        <v/>
      </c>
      <c r="D1105" s="9">
        <f>IF(ISNA(MATCH(1092,Engine!$C$2:$C$1369,0)),"",INDEX('Compliance Database'!$D$2:$D$1369,MATCH(1092,Engine!$C$2:$C$1369,0)))</f>
        <v/>
      </c>
      <c r="E1105" s="8">
        <f>IF(ISNA(MATCH(1092,Engine!$C$2:$C$1369,0)),"",INDEX('Compliance Database'!$E$2:$E$1369,MATCH(1092,Engine!$C$2:$C$1369,0)))</f>
        <v/>
      </c>
      <c r="F1105" s="8">
        <f>IF(ISNA(MATCH(1092,Engine!$C$2:$C$1369,0)),"",INDEX('Compliance Database'!$F$2:$F$1369,MATCH(1092,Engine!$C$2:$C$1369,0)))</f>
        <v/>
      </c>
      <c r="G1105" s="8">
        <f>IF(ISNA(MATCH(1092,Engine!$C$2:$C$1369,0)),"",INDEX('Compliance Database'!$G$2:$G$1369,MATCH(1092,Engine!$C$2:$C$1369,0)))</f>
        <v/>
      </c>
      <c r="H1105" s="9">
        <f>IF(ISNA(MATCH(1092,Engine!$C$2:$C$1369,0)),"",INDEX('Compliance Database'!$H$2:$H$1369,MATCH(1092,Engine!$C$2:$C$1369,0)))</f>
        <v/>
      </c>
      <c r="I1105" s="9">
        <f>IF(ISNA(MATCH(1092,Engine!$C$2:$C$1369,0)),"",INDEX('Compliance Database'!$I$2:$I$1369,MATCH(1092,Engine!$C$2:$C$1369,0)))</f>
        <v/>
      </c>
      <c r="J1105" s="8">
        <f>IF(ISNA(MATCH(1092,Engine!$C$2:$C$1369,0)),"",INDEX('Compliance Database'!$J$2:$J$1369,MATCH(1092,Engine!$C$2:$C$1369,0)))</f>
        <v/>
      </c>
      <c r="K1105" s="9">
        <f>IF(ISNA(MATCH(1092,Engine!$C$2:$C$1369,0)),"",INDEX('Compliance Database'!$K$2:$K$1369,MATCH(1092,Engine!$C$2:$C$1369,0)))</f>
        <v/>
      </c>
      <c r="L1105" s="9">
        <f>IF(ISNA(MATCH(1092,Engine!$C$2:$C$1369,0)),"",INDEX('Compliance Database'!$L$2:$L$1369,MATCH(1092,Engine!$C$2:$C$1369,0)))</f>
        <v/>
      </c>
      <c r="M1105" s="9">
        <f>IF(ISNA(MATCH(1092,Engine!$C$2:$C$1369,0)),"",INDEX('Compliance Database'!$M$2:$M$1369,MATCH(1092,Engine!$C$2:$C$1369,0)))</f>
        <v/>
      </c>
      <c r="N1105" s="9">
        <f>IF(ISNA(MATCH(1092,Engine!$C$2:$C$1369,0)),"",INDEX('Compliance Database'!$N$2:$N$1369,MATCH(1092,Engine!$C$2:$C$1369,0)))</f>
        <v/>
      </c>
      <c r="O1105" s="8">
        <f>IF(ISNA(MATCH(1092,Engine!$C$2:$C$1369,0)),"",HYPERLINK(INDEX('Compliance Database'!$O$2:$O$1369,MATCH(1092,Engine!$C$2:$C$1369,0)),"Open PDF"))</f>
        <v/>
      </c>
    </row>
    <row r="1106" ht="188" customHeight="1">
      <c r="A1106" s="8">
        <f>IF(ISNA(MATCH(1093,Engine!$C$2:$C$1369,0)),"",INDEX('Compliance Database'!$A$2:$A$1369,MATCH(1093,Engine!$C$2:$C$1369,0)))</f>
        <v/>
      </c>
      <c r="B1106" s="8">
        <f>IF(ISNA(MATCH(1093,Engine!$C$2:$C$1369,0)),"",INDEX('Compliance Database'!$B$2:$B$1369,MATCH(1093,Engine!$C$2:$C$1369,0)))</f>
        <v/>
      </c>
      <c r="C1106" s="8">
        <f>IF(ISNA(MATCH(1093,Engine!$C$2:$C$1369,0)),"",INDEX('Compliance Database'!$C$2:$C$1369,MATCH(1093,Engine!$C$2:$C$1369,0)))</f>
        <v/>
      </c>
      <c r="D1106" s="9">
        <f>IF(ISNA(MATCH(1093,Engine!$C$2:$C$1369,0)),"",INDEX('Compliance Database'!$D$2:$D$1369,MATCH(1093,Engine!$C$2:$C$1369,0)))</f>
        <v/>
      </c>
      <c r="E1106" s="8">
        <f>IF(ISNA(MATCH(1093,Engine!$C$2:$C$1369,0)),"",INDEX('Compliance Database'!$E$2:$E$1369,MATCH(1093,Engine!$C$2:$C$1369,0)))</f>
        <v/>
      </c>
      <c r="F1106" s="8">
        <f>IF(ISNA(MATCH(1093,Engine!$C$2:$C$1369,0)),"",INDEX('Compliance Database'!$F$2:$F$1369,MATCH(1093,Engine!$C$2:$C$1369,0)))</f>
        <v/>
      </c>
      <c r="G1106" s="8">
        <f>IF(ISNA(MATCH(1093,Engine!$C$2:$C$1369,0)),"",INDEX('Compliance Database'!$G$2:$G$1369,MATCH(1093,Engine!$C$2:$C$1369,0)))</f>
        <v/>
      </c>
      <c r="H1106" s="9">
        <f>IF(ISNA(MATCH(1093,Engine!$C$2:$C$1369,0)),"",INDEX('Compliance Database'!$H$2:$H$1369,MATCH(1093,Engine!$C$2:$C$1369,0)))</f>
        <v/>
      </c>
      <c r="I1106" s="9">
        <f>IF(ISNA(MATCH(1093,Engine!$C$2:$C$1369,0)),"",INDEX('Compliance Database'!$I$2:$I$1369,MATCH(1093,Engine!$C$2:$C$1369,0)))</f>
        <v/>
      </c>
      <c r="J1106" s="8">
        <f>IF(ISNA(MATCH(1093,Engine!$C$2:$C$1369,0)),"",INDEX('Compliance Database'!$J$2:$J$1369,MATCH(1093,Engine!$C$2:$C$1369,0)))</f>
        <v/>
      </c>
      <c r="K1106" s="9">
        <f>IF(ISNA(MATCH(1093,Engine!$C$2:$C$1369,0)),"",INDEX('Compliance Database'!$K$2:$K$1369,MATCH(1093,Engine!$C$2:$C$1369,0)))</f>
        <v/>
      </c>
      <c r="L1106" s="9">
        <f>IF(ISNA(MATCH(1093,Engine!$C$2:$C$1369,0)),"",INDEX('Compliance Database'!$L$2:$L$1369,MATCH(1093,Engine!$C$2:$C$1369,0)))</f>
        <v/>
      </c>
      <c r="M1106" s="9">
        <f>IF(ISNA(MATCH(1093,Engine!$C$2:$C$1369,0)),"",INDEX('Compliance Database'!$M$2:$M$1369,MATCH(1093,Engine!$C$2:$C$1369,0)))</f>
        <v/>
      </c>
      <c r="N1106" s="9">
        <f>IF(ISNA(MATCH(1093,Engine!$C$2:$C$1369,0)),"",INDEX('Compliance Database'!$N$2:$N$1369,MATCH(1093,Engine!$C$2:$C$1369,0)))</f>
        <v/>
      </c>
      <c r="O1106" s="8">
        <f>IF(ISNA(MATCH(1093,Engine!$C$2:$C$1369,0)),"",HYPERLINK(INDEX('Compliance Database'!$O$2:$O$1369,MATCH(1093,Engine!$C$2:$C$1369,0)),"Open PDF"))</f>
        <v/>
      </c>
    </row>
    <row r="1107" ht="188" customHeight="1">
      <c r="A1107" s="8">
        <f>IF(ISNA(MATCH(1094,Engine!$C$2:$C$1369,0)),"",INDEX('Compliance Database'!$A$2:$A$1369,MATCH(1094,Engine!$C$2:$C$1369,0)))</f>
        <v/>
      </c>
      <c r="B1107" s="8">
        <f>IF(ISNA(MATCH(1094,Engine!$C$2:$C$1369,0)),"",INDEX('Compliance Database'!$B$2:$B$1369,MATCH(1094,Engine!$C$2:$C$1369,0)))</f>
        <v/>
      </c>
      <c r="C1107" s="8">
        <f>IF(ISNA(MATCH(1094,Engine!$C$2:$C$1369,0)),"",INDEX('Compliance Database'!$C$2:$C$1369,MATCH(1094,Engine!$C$2:$C$1369,0)))</f>
        <v/>
      </c>
      <c r="D1107" s="9">
        <f>IF(ISNA(MATCH(1094,Engine!$C$2:$C$1369,0)),"",INDEX('Compliance Database'!$D$2:$D$1369,MATCH(1094,Engine!$C$2:$C$1369,0)))</f>
        <v/>
      </c>
      <c r="E1107" s="8">
        <f>IF(ISNA(MATCH(1094,Engine!$C$2:$C$1369,0)),"",INDEX('Compliance Database'!$E$2:$E$1369,MATCH(1094,Engine!$C$2:$C$1369,0)))</f>
        <v/>
      </c>
      <c r="F1107" s="8">
        <f>IF(ISNA(MATCH(1094,Engine!$C$2:$C$1369,0)),"",INDEX('Compliance Database'!$F$2:$F$1369,MATCH(1094,Engine!$C$2:$C$1369,0)))</f>
        <v/>
      </c>
      <c r="G1107" s="8">
        <f>IF(ISNA(MATCH(1094,Engine!$C$2:$C$1369,0)),"",INDEX('Compliance Database'!$G$2:$G$1369,MATCH(1094,Engine!$C$2:$C$1369,0)))</f>
        <v/>
      </c>
      <c r="H1107" s="9">
        <f>IF(ISNA(MATCH(1094,Engine!$C$2:$C$1369,0)),"",INDEX('Compliance Database'!$H$2:$H$1369,MATCH(1094,Engine!$C$2:$C$1369,0)))</f>
        <v/>
      </c>
      <c r="I1107" s="9">
        <f>IF(ISNA(MATCH(1094,Engine!$C$2:$C$1369,0)),"",INDEX('Compliance Database'!$I$2:$I$1369,MATCH(1094,Engine!$C$2:$C$1369,0)))</f>
        <v/>
      </c>
      <c r="J1107" s="8">
        <f>IF(ISNA(MATCH(1094,Engine!$C$2:$C$1369,0)),"",INDEX('Compliance Database'!$J$2:$J$1369,MATCH(1094,Engine!$C$2:$C$1369,0)))</f>
        <v/>
      </c>
      <c r="K1107" s="9">
        <f>IF(ISNA(MATCH(1094,Engine!$C$2:$C$1369,0)),"",INDEX('Compliance Database'!$K$2:$K$1369,MATCH(1094,Engine!$C$2:$C$1369,0)))</f>
        <v/>
      </c>
      <c r="L1107" s="9">
        <f>IF(ISNA(MATCH(1094,Engine!$C$2:$C$1369,0)),"",INDEX('Compliance Database'!$L$2:$L$1369,MATCH(1094,Engine!$C$2:$C$1369,0)))</f>
        <v/>
      </c>
      <c r="M1107" s="9">
        <f>IF(ISNA(MATCH(1094,Engine!$C$2:$C$1369,0)),"",INDEX('Compliance Database'!$M$2:$M$1369,MATCH(1094,Engine!$C$2:$C$1369,0)))</f>
        <v/>
      </c>
      <c r="N1107" s="9">
        <f>IF(ISNA(MATCH(1094,Engine!$C$2:$C$1369,0)),"",INDEX('Compliance Database'!$N$2:$N$1369,MATCH(1094,Engine!$C$2:$C$1369,0)))</f>
        <v/>
      </c>
      <c r="O1107" s="8">
        <f>IF(ISNA(MATCH(1094,Engine!$C$2:$C$1369,0)),"",HYPERLINK(INDEX('Compliance Database'!$O$2:$O$1369,MATCH(1094,Engine!$C$2:$C$1369,0)),"Open PDF"))</f>
        <v/>
      </c>
    </row>
    <row r="1108" ht="188" customHeight="1">
      <c r="A1108" s="8">
        <f>IF(ISNA(MATCH(1095,Engine!$C$2:$C$1369,0)),"",INDEX('Compliance Database'!$A$2:$A$1369,MATCH(1095,Engine!$C$2:$C$1369,0)))</f>
        <v/>
      </c>
      <c r="B1108" s="8">
        <f>IF(ISNA(MATCH(1095,Engine!$C$2:$C$1369,0)),"",INDEX('Compliance Database'!$B$2:$B$1369,MATCH(1095,Engine!$C$2:$C$1369,0)))</f>
        <v/>
      </c>
      <c r="C1108" s="8">
        <f>IF(ISNA(MATCH(1095,Engine!$C$2:$C$1369,0)),"",INDEX('Compliance Database'!$C$2:$C$1369,MATCH(1095,Engine!$C$2:$C$1369,0)))</f>
        <v/>
      </c>
      <c r="D1108" s="9">
        <f>IF(ISNA(MATCH(1095,Engine!$C$2:$C$1369,0)),"",INDEX('Compliance Database'!$D$2:$D$1369,MATCH(1095,Engine!$C$2:$C$1369,0)))</f>
        <v/>
      </c>
      <c r="E1108" s="8">
        <f>IF(ISNA(MATCH(1095,Engine!$C$2:$C$1369,0)),"",INDEX('Compliance Database'!$E$2:$E$1369,MATCH(1095,Engine!$C$2:$C$1369,0)))</f>
        <v/>
      </c>
      <c r="F1108" s="8">
        <f>IF(ISNA(MATCH(1095,Engine!$C$2:$C$1369,0)),"",INDEX('Compliance Database'!$F$2:$F$1369,MATCH(1095,Engine!$C$2:$C$1369,0)))</f>
        <v/>
      </c>
      <c r="G1108" s="8">
        <f>IF(ISNA(MATCH(1095,Engine!$C$2:$C$1369,0)),"",INDEX('Compliance Database'!$G$2:$G$1369,MATCH(1095,Engine!$C$2:$C$1369,0)))</f>
        <v/>
      </c>
      <c r="H1108" s="9">
        <f>IF(ISNA(MATCH(1095,Engine!$C$2:$C$1369,0)),"",INDEX('Compliance Database'!$H$2:$H$1369,MATCH(1095,Engine!$C$2:$C$1369,0)))</f>
        <v/>
      </c>
      <c r="I1108" s="9">
        <f>IF(ISNA(MATCH(1095,Engine!$C$2:$C$1369,0)),"",INDEX('Compliance Database'!$I$2:$I$1369,MATCH(1095,Engine!$C$2:$C$1369,0)))</f>
        <v/>
      </c>
      <c r="J1108" s="8">
        <f>IF(ISNA(MATCH(1095,Engine!$C$2:$C$1369,0)),"",INDEX('Compliance Database'!$J$2:$J$1369,MATCH(1095,Engine!$C$2:$C$1369,0)))</f>
        <v/>
      </c>
      <c r="K1108" s="9">
        <f>IF(ISNA(MATCH(1095,Engine!$C$2:$C$1369,0)),"",INDEX('Compliance Database'!$K$2:$K$1369,MATCH(1095,Engine!$C$2:$C$1369,0)))</f>
        <v/>
      </c>
      <c r="L1108" s="9">
        <f>IF(ISNA(MATCH(1095,Engine!$C$2:$C$1369,0)),"",INDEX('Compliance Database'!$L$2:$L$1369,MATCH(1095,Engine!$C$2:$C$1369,0)))</f>
        <v/>
      </c>
      <c r="M1108" s="9">
        <f>IF(ISNA(MATCH(1095,Engine!$C$2:$C$1369,0)),"",INDEX('Compliance Database'!$M$2:$M$1369,MATCH(1095,Engine!$C$2:$C$1369,0)))</f>
        <v/>
      </c>
      <c r="N1108" s="9">
        <f>IF(ISNA(MATCH(1095,Engine!$C$2:$C$1369,0)),"",INDEX('Compliance Database'!$N$2:$N$1369,MATCH(1095,Engine!$C$2:$C$1369,0)))</f>
        <v/>
      </c>
      <c r="O1108" s="8">
        <f>IF(ISNA(MATCH(1095,Engine!$C$2:$C$1369,0)),"",HYPERLINK(INDEX('Compliance Database'!$O$2:$O$1369,MATCH(1095,Engine!$C$2:$C$1369,0)),"Open PDF"))</f>
        <v/>
      </c>
    </row>
    <row r="1109" ht="188" customHeight="1">
      <c r="A1109" s="8">
        <f>IF(ISNA(MATCH(1096,Engine!$C$2:$C$1369,0)),"",INDEX('Compliance Database'!$A$2:$A$1369,MATCH(1096,Engine!$C$2:$C$1369,0)))</f>
        <v/>
      </c>
      <c r="B1109" s="8">
        <f>IF(ISNA(MATCH(1096,Engine!$C$2:$C$1369,0)),"",INDEX('Compliance Database'!$B$2:$B$1369,MATCH(1096,Engine!$C$2:$C$1369,0)))</f>
        <v/>
      </c>
      <c r="C1109" s="8">
        <f>IF(ISNA(MATCH(1096,Engine!$C$2:$C$1369,0)),"",INDEX('Compliance Database'!$C$2:$C$1369,MATCH(1096,Engine!$C$2:$C$1369,0)))</f>
        <v/>
      </c>
      <c r="D1109" s="9">
        <f>IF(ISNA(MATCH(1096,Engine!$C$2:$C$1369,0)),"",INDEX('Compliance Database'!$D$2:$D$1369,MATCH(1096,Engine!$C$2:$C$1369,0)))</f>
        <v/>
      </c>
      <c r="E1109" s="8">
        <f>IF(ISNA(MATCH(1096,Engine!$C$2:$C$1369,0)),"",INDEX('Compliance Database'!$E$2:$E$1369,MATCH(1096,Engine!$C$2:$C$1369,0)))</f>
        <v/>
      </c>
      <c r="F1109" s="8">
        <f>IF(ISNA(MATCH(1096,Engine!$C$2:$C$1369,0)),"",INDEX('Compliance Database'!$F$2:$F$1369,MATCH(1096,Engine!$C$2:$C$1369,0)))</f>
        <v/>
      </c>
      <c r="G1109" s="8">
        <f>IF(ISNA(MATCH(1096,Engine!$C$2:$C$1369,0)),"",INDEX('Compliance Database'!$G$2:$G$1369,MATCH(1096,Engine!$C$2:$C$1369,0)))</f>
        <v/>
      </c>
      <c r="H1109" s="9">
        <f>IF(ISNA(MATCH(1096,Engine!$C$2:$C$1369,0)),"",INDEX('Compliance Database'!$H$2:$H$1369,MATCH(1096,Engine!$C$2:$C$1369,0)))</f>
        <v/>
      </c>
      <c r="I1109" s="9">
        <f>IF(ISNA(MATCH(1096,Engine!$C$2:$C$1369,0)),"",INDEX('Compliance Database'!$I$2:$I$1369,MATCH(1096,Engine!$C$2:$C$1369,0)))</f>
        <v/>
      </c>
      <c r="J1109" s="8">
        <f>IF(ISNA(MATCH(1096,Engine!$C$2:$C$1369,0)),"",INDEX('Compliance Database'!$J$2:$J$1369,MATCH(1096,Engine!$C$2:$C$1369,0)))</f>
        <v/>
      </c>
      <c r="K1109" s="9">
        <f>IF(ISNA(MATCH(1096,Engine!$C$2:$C$1369,0)),"",INDEX('Compliance Database'!$K$2:$K$1369,MATCH(1096,Engine!$C$2:$C$1369,0)))</f>
        <v/>
      </c>
      <c r="L1109" s="9">
        <f>IF(ISNA(MATCH(1096,Engine!$C$2:$C$1369,0)),"",INDEX('Compliance Database'!$L$2:$L$1369,MATCH(1096,Engine!$C$2:$C$1369,0)))</f>
        <v/>
      </c>
      <c r="M1109" s="9">
        <f>IF(ISNA(MATCH(1096,Engine!$C$2:$C$1369,0)),"",INDEX('Compliance Database'!$M$2:$M$1369,MATCH(1096,Engine!$C$2:$C$1369,0)))</f>
        <v/>
      </c>
      <c r="N1109" s="9">
        <f>IF(ISNA(MATCH(1096,Engine!$C$2:$C$1369,0)),"",INDEX('Compliance Database'!$N$2:$N$1369,MATCH(1096,Engine!$C$2:$C$1369,0)))</f>
        <v/>
      </c>
      <c r="O1109" s="8">
        <f>IF(ISNA(MATCH(1096,Engine!$C$2:$C$1369,0)),"",HYPERLINK(INDEX('Compliance Database'!$O$2:$O$1369,MATCH(1096,Engine!$C$2:$C$1369,0)),"Open PDF"))</f>
        <v/>
      </c>
    </row>
    <row r="1110" ht="188" customHeight="1">
      <c r="A1110" s="8">
        <f>IF(ISNA(MATCH(1097,Engine!$C$2:$C$1369,0)),"",INDEX('Compliance Database'!$A$2:$A$1369,MATCH(1097,Engine!$C$2:$C$1369,0)))</f>
        <v/>
      </c>
      <c r="B1110" s="8">
        <f>IF(ISNA(MATCH(1097,Engine!$C$2:$C$1369,0)),"",INDEX('Compliance Database'!$B$2:$B$1369,MATCH(1097,Engine!$C$2:$C$1369,0)))</f>
        <v/>
      </c>
      <c r="C1110" s="8">
        <f>IF(ISNA(MATCH(1097,Engine!$C$2:$C$1369,0)),"",INDEX('Compliance Database'!$C$2:$C$1369,MATCH(1097,Engine!$C$2:$C$1369,0)))</f>
        <v/>
      </c>
      <c r="D1110" s="9">
        <f>IF(ISNA(MATCH(1097,Engine!$C$2:$C$1369,0)),"",INDEX('Compliance Database'!$D$2:$D$1369,MATCH(1097,Engine!$C$2:$C$1369,0)))</f>
        <v/>
      </c>
      <c r="E1110" s="8">
        <f>IF(ISNA(MATCH(1097,Engine!$C$2:$C$1369,0)),"",INDEX('Compliance Database'!$E$2:$E$1369,MATCH(1097,Engine!$C$2:$C$1369,0)))</f>
        <v/>
      </c>
      <c r="F1110" s="8">
        <f>IF(ISNA(MATCH(1097,Engine!$C$2:$C$1369,0)),"",INDEX('Compliance Database'!$F$2:$F$1369,MATCH(1097,Engine!$C$2:$C$1369,0)))</f>
        <v/>
      </c>
      <c r="G1110" s="8">
        <f>IF(ISNA(MATCH(1097,Engine!$C$2:$C$1369,0)),"",INDEX('Compliance Database'!$G$2:$G$1369,MATCH(1097,Engine!$C$2:$C$1369,0)))</f>
        <v/>
      </c>
      <c r="H1110" s="9">
        <f>IF(ISNA(MATCH(1097,Engine!$C$2:$C$1369,0)),"",INDEX('Compliance Database'!$H$2:$H$1369,MATCH(1097,Engine!$C$2:$C$1369,0)))</f>
        <v/>
      </c>
      <c r="I1110" s="9">
        <f>IF(ISNA(MATCH(1097,Engine!$C$2:$C$1369,0)),"",INDEX('Compliance Database'!$I$2:$I$1369,MATCH(1097,Engine!$C$2:$C$1369,0)))</f>
        <v/>
      </c>
      <c r="J1110" s="8">
        <f>IF(ISNA(MATCH(1097,Engine!$C$2:$C$1369,0)),"",INDEX('Compliance Database'!$J$2:$J$1369,MATCH(1097,Engine!$C$2:$C$1369,0)))</f>
        <v/>
      </c>
      <c r="K1110" s="9">
        <f>IF(ISNA(MATCH(1097,Engine!$C$2:$C$1369,0)),"",INDEX('Compliance Database'!$K$2:$K$1369,MATCH(1097,Engine!$C$2:$C$1369,0)))</f>
        <v/>
      </c>
      <c r="L1110" s="9">
        <f>IF(ISNA(MATCH(1097,Engine!$C$2:$C$1369,0)),"",INDEX('Compliance Database'!$L$2:$L$1369,MATCH(1097,Engine!$C$2:$C$1369,0)))</f>
        <v/>
      </c>
      <c r="M1110" s="9">
        <f>IF(ISNA(MATCH(1097,Engine!$C$2:$C$1369,0)),"",INDEX('Compliance Database'!$M$2:$M$1369,MATCH(1097,Engine!$C$2:$C$1369,0)))</f>
        <v/>
      </c>
      <c r="N1110" s="9">
        <f>IF(ISNA(MATCH(1097,Engine!$C$2:$C$1369,0)),"",INDEX('Compliance Database'!$N$2:$N$1369,MATCH(1097,Engine!$C$2:$C$1369,0)))</f>
        <v/>
      </c>
      <c r="O1110" s="8">
        <f>IF(ISNA(MATCH(1097,Engine!$C$2:$C$1369,0)),"",HYPERLINK(INDEX('Compliance Database'!$O$2:$O$1369,MATCH(1097,Engine!$C$2:$C$1369,0)),"Open PDF"))</f>
        <v/>
      </c>
    </row>
    <row r="1111" ht="188" customHeight="1">
      <c r="A1111" s="8">
        <f>IF(ISNA(MATCH(1098,Engine!$C$2:$C$1369,0)),"",INDEX('Compliance Database'!$A$2:$A$1369,MATCH(1098,Engine!$C$2:$C$1369,0)))</f>
        <v/>
      </c>
      <c r="B1111" s="8">
        <f>IF(ISNA(MATCH(1098,Engine!$C$2:$C$1369,0)),"",INDEX('Compliance Database'!$B$2:$B$1369,MATCH(1098,Engine!$C$2:$C$1369,0)))</f>
        <v/>
      </c>
      <c r="C1111" s="8">
        <f>IF(ISNA(MATCH(1098,Engine!$C$2:$C$1369,0)),"",INDEX('Compliance Database'!$C$2:$C$1369,MATCH(1098,Engine!$C$2:$C$1369,0)))</f>
        <v/>
      </c>
      <c r="D1111" s="9">
        <f>IF(ISNA(MATCH(1098,Engine!$C$2:$C$1369,0)),"",INDEX('Compliance Database'!$D$2:$D$1369,MATCH(1098,Engine!$C$2:$C$1369,0)))</f>
        <v/>
      </c>
      <c r="E1111" s="8">
        <f>IF(ISNA(MATCH(1098,Engine!$C$2:$C$1369,0)),"",INDEX('Compliance Database'!$E$2:$E$1369,MATCH(1098,Engine!$C$2:$C$1369,0)))</f>
        <v/>
      </c>
      <c r="F1111" s="8">
        <f>IF(ISNA(MATCH(1098,Engine!$C$2:$C$1369,0)),"",INDEX('Compliance Database'!$F$2:$F$1369,MATCH(1098,Engine!$C$2:$C$1369,0)))</f>
        <v/>
      </c>
      <c r="G1111" s="8">
        <f>IF(ISNA(MATCH(1098,Engine!$C$2:$C$1369,0)),"",INDEX('Compliance Database'!$G$2:$G$1369,MATCH(1098,Engine!$C$2:$C$1369,0)))</f>
        <v/>
      </c>
      <c r="H1111" s="9">
        <f>IF(ISNA(MATCH(1098,Engine!$C$2:$C$1369,0)),"",INDEX('Compliance Database'!$H$2:$H$1369,MATCH(1098,Engine!$C$2:$C$1369,0)))</f>
        <v/>
      </c>
      <c r="I1111" s="9">
        <f>IF(ISNA(MATCH(1098,Engine!$C$2:$C$1369,0)),"",INDEX('Compliance Database'!$I$2:$I$1369,MATCH(1098,Engine!$C$2:$C$1369,0)))</f>
        <v/>
      </c>
      <c r="J1111" s="8">
        <f>IF(ISNA(MATCH(1098,Engine!$C$2:$C$1369,0)),"",INDEX('Compliance Database'!$J$2:$J$1369,MATCH(1098,Engine!$C$2:$C$1369,0)))</f>
        <v/>
      </c>
      <c r="K1111" s="9">
        <f>IF(ISNA(MATCH(1098,Engine!$C$2:$C$1369,0)),"",INDEX('Compliance Database'!$K$2:$K$1369,MATCH(1098,Engine!$C$2:$C$1369,0)))</f>
        <v/>
      </c>
      <c r="L1111" s="9">
        <f>IF(ISNA(MATCH(1098,Engine!$C$2:$C$1369,0)),"",INDEX('Compliance Database'!$L$2:$L$1369,MATCH(1098,Engine!$C$2:$C$1369,0)))</f>
        <v/>
      </c>
      <c r="M1111" s="9">
        <f>IF(ISNA(MATCH(1098,Engine!$C$2:$C$1369,0)),"",INDEX('Compliance Database'!$M$2:$M$1369,MATCH(1098,Engine!$C$2:$C$1369,0)))</f>
        <v/>
      </c>
      <c r="N1111" s="9">
        <f>IF(ISNA(MATCH(1098,Engine!$C$2:$C$1369,0)),"",INDEX('Compliance Database'!$N$2:$N$1369,MATCH(1098,Engine!$C$2:$C$1369,0)))</f>
        <v/>
      </c>
      <c r="O1111" s="8">
        <f>IF(ISNA(MATCH(1098,Engine!$C$2:$C$1369,0)),"",HYPERLINK(INDEX('Compliance Database'!$O$2:$O$1369,MATCH(1098,Engine!$C$2:$C$1369,0)),"Open PDF"))</f>
        <v/>
      </c>
    </row>
    <row r="1112" ht="188" customHeight="1">
      <c r="A1112" s="8">
        <f>IF(ISNA(MATCH(1099,Engine!$C$2:$C$1369,0)),"",INDEX('Compliance Database'!$A$2:$A$1369,MATCH(1099,Engine!$C$2:$C$1369,0)))</f>
        <v/>
      </c>
      <c r="B1112" s="8">
        <f>IF(ISNA(MATCH(1099,Engine!$C$2:$C$1369,0)),"",INDEX('Compliance Database'!$B$2:$B$1369,MATCH(1099,Engine!$C$2:$C$1369,0)))</f>
        <v/>
      </c>
      <c r="C1112" s="8">
        <f>IF(ISNA(MATCH(1099,Engine!$C$2:$C$1369,0)),"",INDEX('Compliance Database'!$C$2:$C$1369,MATCH(1099,Engine!$C$2:$C$1369,0)))</f>
        <v/>
      </c>
      <c r="D1112" s="9">
        <f>IF(ISNA(MATCH(1099,Engine!$C$2:$C$1369,0)),"",INDEX('Compliance Database'!$D$2:$D$1369,MATCH(1099,Engine!$C$2:$C$1369,0)))</f>
        <v/>
      </c>
      <c r="E1112" s="8">
        <f>IF(ISNA(MATCH(1099,Engine!$C$2:$C$1369,0)),"",INDEX('Compliance Database'!$E$2:$E$1369,MATCH(1099,Engine!$C$2:$C$1369,0)))</f>
        <v/>
      </c>
      <c r="F1112" s="8">
        <f>IF(ISNA(MATCH(1099,Engine!$C$2:$C$1369,0)),"",INDEX('Compliance Database'!$F$2:$F$1369,MATCH(1099,Engine!$C$2:$C$1369,0)))</f>
        <v/>
      </c>
      <c r="G1112" s="8">
        <f>IF(ISNA(MATCH(1099,Engine!$C$2:$C$1369,0)),"",INDEX('Compliance Database'!$G$2:$G$1369,MATCH(1099,Engine!$C$2:$C$1369,0)))</f>
        <v/>
      </c>
      <c r="H1112" s="9">
        <f>IF(ISNA(MATCH(1099,Engine!$C$2:$C$1369,0)),"",INDEX('Compliance Database'!$H$2:$H$1369,MATCH(1099,Engine!$C$2:$C$1369,0)))</f>
        <v/>
      </c>
      <c r="I1112" s="9">
        <f>IF(ISNA(MATCH(1099,Engine!$C$2:$C$1369,0)),"",INDEX('Compliance Database'!$I$2:$I$1369,MATCH(1099,Engine!$C$2:$C$1369,0)))</f>
        <v/>
      </c>
      <c r="J1112" s="8">
        <f>IF(ISNA(MATCH(1099,Engine!$C$2:$C$1369,0)),"",INDEX('Compliance Database'!$J$2:$J$1369,MATCH(1099,Engine!$C$2:$C$1369,0)))</f>
        <v/>
      </c>
      <c r="K1112" s="9">
        <f>IF(ISNA(MATCH(1099,Engine!$C$2:$C$1369,0)),"",INDEX('Compliance Database'!$K$2:$K$1369,MATCH(1099,Engine!$C$2:$C$1369,0)))</f>
        <v/>
      </c>
      <c r="L1112" s="9">
        <f>IF(ISNA(MATCH(1099,Engine!$C$2:$C$1369,0)),"",INDEX('Compliance Database'!$L$2:$L$1369,MATCH(1099,Engine!$C$2:$C$1369,0)))</f>
        <v/>
      </c>
      <c r="M1112" s="9">
        <f>IF(ISNA(MATCH(1099,Engine!$C$2:$C$1369,0)),"",INDEX('Compliance Database'!$M$2:$M$1369,MATCH(1099,Engine!$C$2:$C$1369,0)))</f>
        <v/>
      </c>
      <c r="N1112" s="9">
        <f>IF(ISNA(MATCH(1099,Engine!$C$2:$C$1369,0)),"",INDEX('Compliance Database'!$N$2:$N$1369,MATCH(1099,Engine!$C$2:$C$1369,0)))</f>
        <v/>
      </c>
      <c r="O1112" s="8">
        <f>IF(ISNA(MATCH(1099,Engine!$C$2:$C$1369,0)),"",HYPERLINK(INDEX('Compliance Database'!$O$2:$O$1369,MATCH(1099,Engine!$C$2:$C$1369,0)),"Open PDF"))</f>
        <v/>
      </c>
    </row>
    <row r="1113" ht="188" customHeight="1">
      <c r="A1113" s="8">
        <f>IF(ISNA(MATCH(1100,Engine!$C$2:$C$1369,0)),"",INDEX('Compliance Database'!$A$2:$A$1369,MATCH(1100,Engine!$C$2:$C$1369,0)))</f>
        <v/>
      </c>
      <c r="B1113" s="8">
        <f>IF(ISNA(MATCH(1100,Engine!$C$2:$C$1369,0)),"",INDEX('Compliance Database'!$B$2:$B$1369,MATCH(1100,Engine!$C$2:$C$1369,0)))</f>
        <v/>
      </c>
      <c r="C1113" s="8">
        <f>IF(ISNA(MATCH(1100,Engine!$C$2:$C$1369,0)),"",INDEX('Compliance Database'!$C$2:$C$1369,MATCH(1100,Engine!$C$2:$C$1369,0)))</f>
        <v/>
      </c>
      <c r="D1113" s="9">
        <f>IF(ISNA(MATCH(1100,Engine!$C$2:$C$1369,0)),"",INDEX('Compliance Database'!$D$2:$D$1369,MATCH(1100,Engine!$C$2:$C$1369,0)))</f>
        <v/>
      </c>
      <c r="E1113" s="8">
        <f>IF(ISNA(MATCH(1100,Engine!$C$2:$C$1369,0)),"",INDEX('Compliance Database'!$E$2:$E$1369,MATCH(1100,Engine!$C$2:$C$1369,0)))</f>
        <v/>
      </c>
      <c r="F1113" s="8">
        <f>IF(ISNA(MATCH(1100,Engine!$C$2:$C$1369,0)),"",INDEX('Compliance Database'!$F$2:$F$1369,MATCH(1100,Engine!$C$2:$C$1369,0)))</f>
        <v/>
      </c>
      <c r="G1113" s="8">
        <f>IF(ISNA(MATCH(1100,Engine!$C$2:$C$1369,0)),"",INDEX('Compliance Database'!$G$2:$G$1369,MATCH(1100,Engine!$C$2:$C$1369,0)))</f>
        <v/>
      </c>
      <c r="H1113" s="9">
        <f>IF(ISNA(MATCH(1100,Engine!$C$2:$C$1369,0)),"",INDEX('Compliance Database'!$H$2:$H$1369,MATCH(1100,Engine!$C$2:$C$1369,0)))</f>
        <v/>
      </c>
      <c r="I1113" s="9">
        <f>IF(ISNA(MATCH(1100,Engine!$C$2:$C$1369,0)),"",INDEX('Compliance Database'!$I$2:$I$1369,MATCH(1100,Engine!$C$2:$C$1369,0)))</f>
        <v/>
      </c>
      <c r="J1113" s="8">
        <f>IF(ISNA(MATCH(1100,Engine!$C$2:$C$1369,0)),"",INDEX('Compliance Database'!$J$2:$J$1369,MATCH(1100,Engine!$C$2:$C$1369,0)))</f>
        <v/>
      </c>
      <c r="K1113" s="9">
        <f>IF(ISNA(MATCH(1100,Engine!$C$2:$C$1369,0)),"",INDEX('Compliance Database'!$K$2:$K$1369,MATCH(1100,Engine!$C$2:$C$1369,0)))</f>
        <v/>
      </c>
      <c r="L1113" s="9">
        <f>IF(ISNA(MATCH(1100,Engine!$C$2:$C$1369,0)),"",INDEX('Compliance Database'!$L$2:$L$1369,MATCH(1100,Engine!$C$2:$C$1369,0)))</f>
        <v/>
      </c>
      <c r="M1113" s="9">
        <f>IF(ISNA(MATCH(1100,Engine!$C$2:$C$1369,0)),"",INDEX('Compliance Database'!$M$2:$M$1369,MATCH(1100,Engine!$C$2:$C$1369,0)))</f>
        <v/>
      </c>
      <c r="N1113" s="9">
        <f>IF(ISNA(MATCH(1100,Engine!$C$2:$C$1369,0)),"",INDEX('Compliance Database'!$N$2:$N$1369,MATCH(1100,Engine!$C$2:$C$1369,0)))</f>
        <v/>
      </c>
      <c r="O1113" s="8">
        <f>IF(ISNA(MATCH(1100,Engine!$C$2:$C$1369,0)),"",HYPERLINK(INDEX('Compliance Database'!$O$2:$O$1369,MATCH(1100,Engine!$C$2:$C$1369,0)),"Open PDF"))</f>
        <v/>
      </c>
    </row>
    <row r="1114" ht="188" customHeight="1">
      <c r="A1114" s="8">
        <f>IF(ISNA(MATCH(1101,Engine!$C$2:$C$1369,0)),"",INDEX('Compliance Database'!$A$2:$A$1369,MATCH(1101,Engine!$C$2:$C$1369,0)))</f>
        <v/>
      </c>
      <c r="B1114" s="8">
        <f>IF(ISNA(MATCH(1101,Engine!$C$2:$C$1369,0)),"",INDEX('Compliance Database'!$B$2:$B$1369,MATCH(1101,Engine!$C$2:$C$1369,0)))</f>
        <v/>
      </c>
      <c r="C1114" s="8">
        <f>IF(ISNA(MATCH(1101,Engine!$C$2:$C$1369,0)),"",INDEX('Compliance Database'!$C$2:$C$1369,MATCH(1101,Engine!$C$2:$C$1369,0)))</f>
        <v/>
      </c>
      <c r="D1114" s="9">
        <f>IF(ISNA(MATCH(1101,Engine!$C$2:$C$1369,0)),"",INDEX('Compliance Database'!$D$2:$D$1369,MATCH(1101,Engine!$C$2:$C$1369,0)))</f>
        <v/>
      </c>
      <c r="E1114" s="8">
        <f>IF(ISNA(MATCH(1101,Engine!$C$2:$C$1369,0)),"",INDEX('Compliance Database'!$E$2:$E$1369,MATCH(1101,Engine!$C$2:$C$1369,0)))</f>
        <v/>
      </c>
      <c r="F1114" s="8">
        <f>IF(ISNA(MATCH(1101,Engine!$C$2:$C$1369,0)),"",INDEX('Compliance Database'!$F$2:$F$1369,MATCH(1101,Engine!$C$2:$C$1369,0)))</f>
        <v/>
      </c>
      <c r="G1114" s="8">
        <f>IF(ISNA(MATCH(1101,Engine!$C$2:$C$1369,0)),"",INDEX('Compliance Database'!$G$2:$G$1369,MATCH(1101,Engine!$C$2:$C$1369,0)))</f>
        <v/>
      </c>
      <c r="H1114" s="9">
        <f>IF(ISNA(MATCH(1101,Engine!$C$2:$C$1369,0)),"",INDEX('Compliance Database'!$H$2:$H$1369,MATCH(1101,Engine!$C$2:$C$1369,0)))</f>
        <v/>
      </c>
      <c r="I1114" s="9">
        <f>IF(ISNA(MATCH(1101,Engine!$C$2:$C$1369,0)),"",INDEX('Compliance Database'!$I$2:$I$1369,MATCH(1101,Engine!$C$2:$C$1369,0)))</f>
        <v/>
      </c>
      <c r="J1114" s="8">
        <f>IF(ISNA(MATCH(1101,Engine!$C$2:$C$1369,0)),"",INDEX('Compliance Database'!$J$2:$J$1369,MATCH(1101,Engine!$C$2:$C$1369,0)))</f>
        <v/>
      </c>
      <c r="K1114" s="9">
        <f>IF(ISNA(MATCH(1101,Engine!$C$2:$C$1369,0)),"",INDEX('Compliance Database'!$K$2:$K$1369,MATCH(1101,Engine!$C$2:$C$1369,0)))</f>
        <v/>
      </c>
      <c r="L1114" s="9">
        <f>IF(ISNA(MATCH(1101,Engine!$C$2:$C$1369,0)),"",INDEX('Compliance Database'!$L$2:$L$1369,MATCH(1101,Engine!$C$2:$C$1369,0)))</f>
        <v/>
      </c>
      <c r="M1114" s="9">
        <f>IF(ISNA(MATCH(1101,Engine!$C$2:$C$1369,0)),"",INDEX('Compliance Database'!$M$2:$M$1369,MATCH(1101,Engine!$C$2:$C$1369,0)))</f>
        <v/>
      </c>
      <c r="N1114" s="9">
        <f>IF(ISNA(MATCH(1101,Engine!$C$2:$C$1369,0)),"",INDEX('Compliance Database'!$N$2:$N$1369,MATCH(1101,Engine!$C$2:$C$1369,0)))</f>
        <v/>
      </c>
      <c r="O1114" s="8">
        <f>IF(ISNA(MATCH(1101,Engine!$C$2:$C$1369,0)),"",HYPERLINK(INDEX('Compliance Database'!$O$2:$O$1369,MATCH(1101,Engine!$C$2:$C$1369,0)),"Open PDF"))</f>
        <v/>
      </c>
    </row>
    <row r="1115" ht="188" customHeight="1">
      <c r="A1115" s="8">
        <f>IF(ISNA(MATCH(1102,Engine!$C$2:$C$1369,0)),"",INDEX('Compliance Database'!$A$2:$A$1369,MATCH(1102,Engine!$C$2:$C$1369,0)))</f>
        <v/>
      </c>
      <c r="B1115" s="8">
        <f>IF(ISNA(MATCH(1102,Engine!$C$2:$C$1369,0)),"",INDEX('Compliance Database'!$B$2:$B$1369,MATCH(1102,Engine!$C$2:$C$1369,0)))</f>
        <v/>
      </c>
      <c r="C1115" s="8">
        <f>IF(ISNA(MATCH(1102,Engine!$C$2:$C$1369,0)),"",INDEX('Compliance Database'!$C$2:$C$1369,MATCH(1102,Engine!$C$2:$C$1369,0)))</f>
        <v/>
      </c>
      <c r="D1115" s="9">
        <f>IF(ISNA(MATCH(1102,Engine!$C$2:$C$1369,0)),"",INDEX('Compliance Database'!$D$2:$D$1369,MATCH(1102,Engine!$C$2:$C$1369,0)))</f>
        <v/>
      </c>
      <c r="E1115" s="8">
        <f>IF(ISNA(MATCH(1102,Engine!$C$2:$C$1369,0)),"",INDEX('Compliance Database'!$E$2:$E$1369,MATCH(1102,Engine!$C$2:$C$1369,0)))</f>
        <v/>
      </c>
      <c r="F1115" s="8">
        <f>IF(ISNA(MATCH(1102,Engine!$C$2:$C$1369,0)),"",INDEX('Compliance Database'!$F$2:$F$1369,MATCH(1102,Engine!$C$2:$C$1369,0)))</f>
        <v/>
      </c>
      <c r="G1115" s="8">
        <f>IF(ISNA(MATCH(1102,Engine!$C$2:$C$1369,0)),"",INDEX('Compliance Database'!$G$2:$G$1369,MATCH(1102,Engine!$C$2:$C$1369,0)))</f>
        <v/>
      </c>
      <c r="H1115" s="9">
        <f>IF(ISNA(MATCH(1102,Engine!$C$2:$C$1369,0)),"",INDEX('Compliance Database'!$H$2:$H$1369,MATCH(1102,Engine!$C$2:$C$1369,0)))</f>
        <v/>
      </c>
      <c r="I1115" s="9">
        <f>IF(ISNA(MATCH(1102,Engine!$C$2:$C$1369,0)),"",INDEX('Compliance Database'!$I$2:$I$1369,MATCH(1102,Engine!$C$2:$C$1369,0)))</f>
        <v/>
      </c>
      <c r="J1115" s="8">
        <f>IF(ISNA(MATCH(1102,Engine!$C$2:$C$1369,0)),"",INDEX('Compliance Database'!$J$2:$J$1369,MATCH(1102,Engine!$C$2:$C$1369,0)))</f>
        <v/>
      </c>
      <c r="K1115" s="9">
        <f>IF(ISNA(MATCH(1102,Engine!$C$2:$C$1369,0)),"",INDEX('Compliance Database'!$K$2:$K$1369,MATCH(1102,Engine!$C$2:$C$1369,0)))</f>
        <v/>
      </c>
      <c r="L1115" s="9">
        <f>IF(ISNA(MATCH(1102,Engine!$C$2:$C$1369,0)),"",INDEX('Compliance Database'!$L$2:$L$1369,MATCH(1102,Engine!$C$2:$C$1369,0)))</f>
        <v/>
      </c>
      <c r="M1115" s="9">
        <f>IF(ISNA(MATCH(1102,Engine!$C$2:$C$1369,0)),"",INDEX('Compliance Database'!$M$2:$M$1369,MATCH(1102,Engine!$C$2:$C$1369,0)))</f>
        <v/>
      </c>
      <c r="N1115" s="9">
        <f>IF(ISNA(MATCH(1102,Engine!$C$2:$C$1369,0)),"",INDEX('Compliance Database'!$N$2:$N$1369,MATCH(1102,Engine!$C$2:$C$1369,0)))</f>
        <v/>
      </c>
      <c r="O1115" s="8">
        <f>IF(ISNA(MATCH(1102,Engine!$C$2:$C$1369,0)),"",HYPERLINK(INDEX('Compliance Database'!$O$2:$O$1369,MATCH(1102,Engine!$C$2:$C$1369,0)),"Open PDF"))</f>
        <v/>
      </c>
    </row>
    <row r="1116" ht="188" customHeight="1">
      <c r="A1116" s="8">
        <f>IF(ISNA(MATCH(1103,Engine!$C$2:$C$1369,0)),"",INDEX('Compliance Database'!$A$2:$A$1369,MATCH(1103,Engine!$C$2:$C$1369,0)))</f>
        <v/>
      </c>
      <c r="B1116" s="8">
        <f>IF(ISNA(MATCH(1103,Engine!$C$2:$C$1369,0)),"",INDEX('Compliance Database'!$B$2:$B$1369,MATCH(1103,Engine!$C$2:$C$1369,0)))</f>
        <v/>
      </c>
      <c r="C1116" s="8">
        <f>IF(ISNA(MATCH(1103,Engine!$C$2:$C$1369,0)),"",INDEX('Compliance Database'!$C$2:$C$1369,MATCH(1103,Engine!$C$2:$C$1369,0)))</f>
        <v/>
      </c>
      <c r="D1116" s="9">
        <f>IF(ISNA(MATCH(1103,Engine!$C$2:$C$1369,0)),"",INDEX('Compliance Database'!$D$2:$D$1369,MATCH(1103,Engine!$C$2:$C$1369,0)))</f>
        <v/>
      </c>
      <c r="E1116" s="8">
        <f>IF(ISNA(MATCH(1103,Engine!$C$2:$C$1369,0)),"",INDEX('Compliance Database'!$E$2:$E$1369,MATCH(1103,Engine!$C$2:$C$1369,0)))</f>
        <v/>
      </c>
      <c r="F1116" s="8">
        <f>IF(ISNA(MATCH(1103,Engine!$C$2:$C$1369,0)),"",INDEX('Compliance Database'!$F$2:$F$1369,MATCH(1103,Engine!$C$2:$C$1369,0)))</f>
        <v/>
      </c>
      <c r="G1116" s="8">
        <f>IF(ISNA(MATCH(1103,Engine!$C$2:$C$1369,0)),"",INDEX('Compliance Database'!$G$2:$G$1369,MATCH(1103,Engine!$C$2:$C$1369,0)))</f>
        <v/>
      </c>
      <c r="H1116" s="9">
        <f>IF(ISNA(MATCH(1103,Engine!$C$2:$C$1369,0)),"",INDEX('Compliance Database'!$H$2:$H$1369,MATCH(1103,Engine!$C$2:$C$1369,0)))</f>
        <v/>
      </c>
      <c r="I1116" s="9">
        <f>IF(ISNA(MATCH(1103,Engine!$C$2:$C$1369,0)),"",INDEX('Compliance Database'!$I$2:$I$1369,MATCH(1103,Engine!$C$2:$C$1369,0)))</f>
        <v/>
      </c>
      <c r="J1116" s="8">
        <f>IF(ISNA(MATCH(1103,Engine!$C$2:$C$1369,0)),"",INDEX('Compliance Database'!$J$2:$J$1369,MATCH(1103,Engine!$C$2:$C$1369,0)))</f>
        <v/>
      </c>
      <c r="K1116" s="9">
        <f>IF(ISNA(MATCH(1103,Engine!$C$2:$C$1369,0)),"",INDEX('Compliance Database'!$K$2:$K$1369,MATCH(1103,Engine!$C$2:$C$1369,0)))</f>
        <v/>
      </c>
      <c r="L1116" s="9">
        <f>IF(ISNA(MATCH(1103,Engine!$C$2:$C$1369,0)),"",INDEX('Compliance Database'!$L$2:$L$1369,MATCH(1103,Engine!$C$2:$C$1369,0)))</f>
        <v/>
      </c>
      <c r="M1116" s="9">
        <f>IF(ISNA(MATCH(1103,Engine!$C$2:$C$1369,0)),"",INDEX('Compliance Database'!$M$2:$M$1369,MATCH(1103,Engine!$C$2:$C$1369,0)))</f>
        <v/>
      </c>
      <c r="N1116" s="9">
        <f>IF(ISNA(MATCH(1103,Engine!$C$2:$C$1369,0)),"",INDEX('Compliance Database'!$N$2:$N$1369,MATCH(1103,Engine!$C$2:$C$1369,0)))</f>
        <v/>
      </c>
      <c r="O1116" s="8">
        <f>IF(ISNA(MATCH(1103,Engine!$C$2:$C$1369,0)),"",HYPERLINK(INDEX('Compliance Database'!$O$2:$O$1369,MATCH(1103,Engine!$C$2:$C$1369,0)),"Open PDF"))</f>
        <v/>
      </c>
    </row>
    <row r="1117" ht="188" customHeight="1">
      <c r="A1117" s="8">
        <f>IF(ISNA(MATCH(1104,Engine!$C$2:$C$1369,0)),"",INDEX('Compliance Database'!$A$2:$A$1369,MATCH(1104,Engine!$C$2:$C$1369,0)))</f>
        <v/>
      </c>
      <c r="B1117" s="8">
        <f>IF(ISNA(MATCH(1104,Engine!$C$2:$C$1369,0)),"",INDEX('Compliance Database'!$B$2:$B$1369,MATCH(1104,Engine!$C$2:$C$1369,0)))</f>
        <v/>
      </c>
      <c r="C1117" s="8">
        <f>IF(ISNA(MATCH(1104,Engine!$C$2:$C$1369,0)),"",INDEX('Compliance Database'!$C$2:$C$1369,MATCH(1104,Engine!$C$2:$C$1369,0)))</f>
        <v/>
      </c>
      <c r="D1117" s="9">
        <f>IF(ISNA(MATCH(1104,Engine!$C$2:$C$1369,0)),"",INDEX('Compliance Database'!$D$2:$D$1369,MATCH(1104,Engine!$C$2:$C$1369,0)))</f>
        <v/>
      </c>
      <c r="E1117" s="8">
        <f>IF(ISNA(MATCH(1104,Engine!$C$2:$C$1369,0)),"",INDEX('Compliance Database'!$E$2:$E$1369,MATCH(1104,Engine!$C$2:$C$1369,0)))</f>
        <v/>
      </c>
      <c r="F1117" s="8">
        <f>IF(ISNA(MATCH(1104,Engine!$C$2:$C$1369,0)),"",INDEX('Compliance Database'!$F$2:$F$1369,MATCH(1104,Engine!$C$2:$C$1369,0)))</f>
        <v/>
      </c>
      <c r="G1117" s="8">
        <f>IF(ISNA(MATCH(1104,Engine!$C$2:$C$1369,0)),"",INDEX('Compliance Database'!$G$2:$G$1369,MATCH(1104,Engine!$C$2:$C$1369,0)))</f>
        <v/>
      </c>
      <c r="H1117" s="9">
        <f>IF(ISNA(MATCH(1104,Engine!$C$2:$C$1369,0)),"",INDEX('Compliance Database'!$H$2:$H$1369,MATCH(1104,Engine!$C$2:$C$1369,0)))</f>
        <v/>
      </c>
      <c r="I1117" s="9">
        <f>IF(ISNA(MATCH(1104,Engine!$C$2:$C$1369,0)),"",INDEX('Compliance Database'!$I$2:$I$1369,MATCH(1104,Engine!$C$2:$C$1369,0)))</f>
        <v/>
      </c>
      <c r="J1117" s="8">
        <f>IF(ISNA(MATCH(1104,Engine!$C$2:$C$1369,0)),"",INDEX('Compliance Database'!$J$2:$J$1369,MATCH(1104,Engine!$C$2:$C$1369,0)))</f>
        <v/>
      </c>
      <c r="K1117" s="9">
        <f>IF(ISNA(MATCH(1104,Engine!$C$2:$C$1369,0)),"",INDEX('Compliance Database'!$K$2:$K$1369,MATCH(1104,Engine!$C$2:$C$1369,0)))</f>
        <v/>
      </c>
      <c r="L1117" s="9">
        <f>IF(ISNA(MATCH(1104,Engine!$C$2:$C$1369,0)),"",INDEX('Compliance Database'!$L$2:$L$1369,MATCH(1104,Engine!$C$2:$C$1369,0)))</f>
        <v/>
      </c>
      <c r="M1117" s="9">
        <f>IF(ISNA(MATCH(1104,Engine!$C$2:$C$1369,0)),"",INDEX('Compliance Database'!$M$2:$M$1369,MATCH(1104,Engine!$C$2:$C$1369,0)))</f>
        <v/>
      </c>
      <c r="N1117" s="9">
        <f>IF(ISNA(MATCH(1104,Engine!$C$2:$C$1369,0)),"",INDEX('Compliance Database'!$N$2:$N$1369,MATCH(1104,Engine!$C$2:$C$1369,0)))</f>
        <v/>
      </c>
      <c r="O1117" s="8">
        <f>IF(ISNA(MATCH(1104,Engine!$C$2:$C$1369,0)),"",HYPERLINK(INDEX('Compliance Database'!$O$2:$O$1369,MATCH(1104,Engine!$C$2:$C$1369,0)),"Open PDF"))</f>
        <v/>
      </c>
    </row>
    <row r="1118" ht="188" customHeight="1">
      <c r="A1118" s="8">
        <f>IF(ISNA(MATCH(1105,Engine!$C$2:$C$1369,0)),"",INDEX('Compliance Database'!$A$2:$A$1369,MATCH(1105,Engine!$C$2:$C$1369,0)))</f>
        <v/>
      </c>
      <c r="B1118" s="8">
        <f>IF(ISNA(MATCH(1105,Engine!$C$2:$C$1369,0)),"",INDEX('Compliance Database'!$B$2:$B$1369,MATCH(1105,Engine!$C$2:$C$1369,0)))</f>
        <v/>
      </c>
      <c r="C1118" s="8">
        <f>IF(ISNA(MATCH(1105,Engine!$C$2:$C$1369,0)),"",INDEX('Compliance Database'!$C$2:$C$1369,MATCH(1105,Engine!$C$2:$C$1369,0)))</f>
        <v/>
      </c>
      <c r="D1118" s="9">
        <f>IF(ISNA(MATCH(1105,Engine!$C$2:$C$1369,0)),"",INDEX('Compliance Database'!$D$2:$D$1369,MATCH(1105,Engine!$C$2:$C$1369,0)))</f>
        <v/>
      </c>
      <c r="E1118" s="8">
        <f>IF(ISNA(MATCH(1105,Engine!$C$2:$C$1369,0)),"",INDEX('Compliance Database'!$E$2:$E$1369,MATCH(1105,Engine!$C$2:$C$1369,0)))</f>
        <v/>
      </c>
      <c r="F1118" s="8">
        <f>IF(ISNA(MATCH(1105,Engine!$C$2:$C$1369,0)),"",INDEX('Compliance Database'!$F$2:$F$1369,MATCH(1105,Engine!$C$2:$C$1369,0)))</f>
        <v/>
      </c>
      <c r="G1118" s="8">
        <f>IF(ISNA(MATCH(1105,Engine!$C$2:$C$1369,0)),"",INDEX('Compliance Database'!$G$2:$G$1369,MATCH(1105,Engine!$C$2:$C$1369,0)))</f>
        <v/>
      </c>
      <c r="H1118" s="9">
        <f>IF(ISNA(MATCH(1105,Engine!$C$2:$C$1369,0)),"",INDEX('Compliance Database'!$H$2:$H$1369,MATCH(1105,Engine!$C$2:$C$1369,0)))</f>
        <v/>
      </c>
      <c r="I1118" s="9">
        <f>IF(ISNA(MATCH(1105,Engine!$C$2:$C$1369,0)),"",INDEX('Compliance Database'!$I$2:$I$1369,MATCH(1105,Engine!$C$2:$C$1369,0)))</f>
        <v/>
      </c>
      <c r="J1118" s="8">
        <f>IF(ISNA(MATCH(1105,Engine!$C$2:$C$1369,0)),"",INDEX('Compliance Database'!$J$2:$J$1369,MATCH(1105,Engine!$C$2:$C$1369,0)))</f>
        <v/>
      </c>
      <c r="K1118" s="9">
        <f>IF(ISNA(MATCH(1105,Engine!$C$2:$C$1369,0)),"",INDEX('Compliance Database'!$K$2:$K$1369,MATCH(1105,Engine!$C$2:$C$1369,0)))</f>
        <v/>
      </c>
      <c r="L1118" s="9">
        <f>IF(ISNA(MATCH(1105,Engine!$C$2:$C$1369,0)),"",INDEX('Compliance Database'!$L$2:$L$1369,MATCH(1105,Engine!$C$2:$C$1369,0)))</f>
        <v/>
      </c>
      <c r="M1118" s="9">
        <f>IF(ISNA(MATCH(1105,Engine!$C$2:$C$1369,0)),"",INDEX('Compliance Database'!$M$2:$M$1369,MATCH(1105,Engine!$C$2:$C$1369,0)))</f>
        <v/>
      </c>
      <c r="N1118" s="9">
        <f>IF(ISNA(MATCH(1105,Engine!$C$2:$C$1369,0)),"",INDEX('Compliance Database'!$N$2:$N$1369,MATCH(1105,Engine!$C$2:$C$1369,0)))</f>
        <v/>
      </c>
      <c r="O1118" s="8">
        <f>IF(ISNA(MATCH(1105,Engine!$C$2:$C$1369,0)),"",HYPERLINK(INDEX('Compliance Database'!$O$2:$O$1369,MATCH(1105,Engine!$C$2:$C$1369,0)),"Open PDF"))</f>
        <v/>
      </c>
    </row>
    <row r="1119" ht="188" customHeight="1">
      <c r="A1119" s="8">
        <f>IF(ISNA(MATCH(1106,Engine!$C$2:$C$1369,0)),"",INDEX('Compliance Database'!$A$2:$A$1369,MATCH(1106,Engine!$C$2:$C$1369,0)))</f>
        <v/>
      </c>
      <c r="B1119" s="8">
        <f>IF(ISNA(MATCH(1106,Engine!$C$2:$C$1369,0)),"",INDEX('Compliance Database'!$B$2:$B$1369,MATCH(1106,Engine!$C$2:$C$1369,0)))</f>
        <v/>
      </c>
      <c r="C1119" s="8">
        <f>IF(ISNA(MATCH(1106,Engine!$C$2:$C$1369,0)),"",INDEX('Compliance Database'!$C$2:$C$1369,MATCH(1106,Engine!$C$2:$C$1369,0)))</f>
        <v/>
      </c>
      <c r="D1119" s="9">
        <f>IF(ISNA(MATCH(1106,Engine!$C$2:$C$1369,0)),"",INDEX('Compliance Database'!$D$2:$D$1369,MATCH(1106,Engine!$C$2:$C$1369,0)))</f>
        <v/>
      </c>
      <c r="E1119" s="8">
        <f>IF(ISNA(MATCH(1106,Engine!$C$2:$C$1369,0)),"",INDEX('Compliance Database'!$E$2:$E$1369,MATCH(1106,Engine!$C$2:$C$1369,0)))</f>
        <v/>
      </c>
      <c r="F1119" s="8">
        <f>IF(ISNA(MATCH(1106,Engine!$C$2:$C$1369,0)),"",INDEX('Compliance Database'!$F$2:$F$1369,MATCH(1106,Engine!$C$2:$C$1369,0)))</f>
        <v/>
      </c>
      <c r="G1119" s="8">
        <f>IF(ISNA(MATCH(1106,Engine!$C$2:$C$1369,0)),"",INDEX('Compliance Database'!$G$2:$G$1369,MATCH(1106,Engine!$C$2:$C$1369,0)))</f>
        <v/>
      </c>
      <c r="H1119" s="9">
        <f>IF(ISNA(MATCH(1106,Engine!$C$2:$C$1369,0)),"",INDEX('Compliance Database'!$H$2:$H$1369,MATCH(1106,Engine!$C$2:$C$1369,0)))</f>
        <v/>
      </c>
      <c r="I1119" s="9">
        <f>IF(ISNA(MATCH(1106,Engine!$C$2:$C$1369,0)),"",INDEX('Compliance Database'!$I$2:$I$1369,MATCH(1106,Engine!$C$2:$C$1369,0)))</f>
        <v/>
      </c>
      <c r="J1119" s="8">
        <f>IF(ISNA(MATCH(1106,Engine!$C$2:$C$1369,0)),"",INDEX('Compliance Database'!$J$2:$J$1369,MATCH(1106,Engine!$C$2:$C$1369,0)))</f>
        <v/>
      </c>
      <c r="K1119" s="9">
        <f>IF(ISNA(MATCH(1106,Engine!$C$2:$C$1369,0)),"",INDEX('Compliance Database'!$K$2:$K$1369,MATCH(1106,Engine!$C$2:$C$1369,0)))</f>
        <v/>
      </c>
      <c r="L1119" s="9">
        <f>IF(ISNA(MATCH(1106,Engine!$C$2:$C$1369,0)),"",INDEX('Compliance Database'!$L$2:$L$1369,MATCH(1106,Engine!$C$2:$C$1369,0)))</f>
        <v/>
      </c>
      <c r="M1119" s="9">
        <f>IF(ISNA(MATCH(1106,Engine!$C$2:$C$1369,0)),"",INDEX('Compliance Database'!$M$2:$M$1369,MATCH(1106,Engine!$C$2:$C$1369,0)))</f>
        <v/>
      </c>
      <c r="N1119" s="9">
        <f>IF(ISNA(MATCH(1106,Engine!$C$2:$C$1369,0)),"",INDEX('Compliance Database'!$N$2:$N$1369,MATCH(1106,Engine!$C$2:$C$1369,0)))</f>
        <v/>
      </c>
      <c r="O1119" s="8">
        <f>IF(ISNA(MATCH(1106,Engine!$C$2:$C$1369,0)),"",HYPERLINK(INDEX('Compliance Database'!$O$2:$O$1369,MATCH(1106,Engine!$C$2:$C$1369,0)),"Open PDF"))</f>
        <v/>
      </c>
    </row>
    <row r="1120" ht="188" customHeight="1">
      <c r="A1120" s="8">
        <f>IF(ISNA(MATCH(1107,Engine!$C$2:$C$1369,0)),"",INDEX('Compliance Database'!$A$2:$A$1369,MATCH(1107,Engine!$C$2:$C$1369,0)))</f>
        <v/>
      </c>
      <c r="B1120" s="8">
        <f>IF(ISNA(MATCH(1107,Engine!$C$2:$C$1369,0)),"",INDEX('Compliance Database'!$B$2:$B$1369,MATCH(1107,Engine!$C$2:$C$1369,0)))</f>
        <v/>
      </c>
      <c r="C1120" s="8">
        <f>IF(ISNA(MATCH(1107,Engine!$C$2:$C$1369,0)),"",INDEX('Compliance Database'!$C$2:$C$1369,MATCH(1107,Engine!$C$2:$C$1369,0)))</f>
        <v/>
      </c>
      <c r="D1120" s="9">
        <f>IF(ISNA(MATCH(1107,Engine!$C$2:$C$1369,0)),"",INDEX('Compliance Database'!$D$2:$D$1369,MATCH(1107,Engine!$C$2:$C$1369,0)))</f>
        <v/>
      </c>
      <c r="E1120" s="8">
        <f>IF(ISNA(MATCH(1107,Engine!$C$2:$C$1369,0)),"",INDEX('Compliance Database'!$E$2:$E$1369,MATCH(1107,Engine!$C$2:$C$1369,0)))</f>
        <v/>
      </c>
      <c r="F1120" s="8">
        <f>IF(ISNA(MATCH(1107,Engine!$C$2:$C$1369,0)),"",INDEX('Compliance Database'!$F$2:$F$1369,MATCH(1107,Engine!$C$2:$C$1369,0)))</f>
        <v/>
      </c>
      <c r="G1120" s="8">
        <f>IF(ISNA(MATCH(1107,Engine!$C$2:$C$1369,0)),"",INDEX('Compliance Database'!$G$2:$G$1369,MATCH(1107,Engine!$C$2:$C$1369,0)))</f>
        <v/>
      </c>
      <c r="H1120" s="9">
        <f>IF(ISNA(MATCH(1107,Engine!$C$2:$C$1369,0)),"",INDEX('Compliance Database'!$H$2:$H$1369,MATCH(1107,Engine!$C$2:$C$1369,0)))</f>
        <v/>
      </c>
      <c r="I1120" s="9">
        <f>IF(ISNA(MATCH(1107,Engine!$C$2:$C$1369,0)),"",INDEX('Compliance Database'!$I$2:$I$1369,MATCH(1107,Engine!$C$2:$C$1369,0)))</f>
        <v/>
      </c>
      <c r="J1120" s="8">
        <f>IF(ISNA(MATCH(1107,Engine!$C$2:$C$1369,0)),"",INDEX('Compliance Database'!$J$2:$J$1369,MATCH(1107,Engine!$C$2:$C$1369,0)))</f>
        <v/>
      </c>
      <c r="K1120" s="9">
        <f>IF(ISNA(MATCH(1107,Engine!$C$2:$C$1369,0)),"",INDEX('Compliance Database'!$K$2:$K$1369,MATCH(1107,Engine!$C$2:$C$1369,0)))</f>
        <v/>
      </c>
      <c r="L1120" s="9">
        <f>IF(ISNA(MATCH(1107,Engine!$C$2:$C$1369,0)),"",INDEX('Compliance Database'!$L$2:$L$1369,MATCH(1107,Engine!$C$2:$C$1369,0)))</f>
        <v/>
      </c>
      <c r="M1120" s="9">
        <f>IF(ISNA(MATCH(1107,Engine!$C$2:$C$1369,0)),"",INDEX('Compliance Database'!$M$2:$M$1369,MATCH(1107,Engine!$C$2:$C$1369,0)))</f>
        <v/>
      </c>
      <c r="N1120" s="9">
        <f>IF(ISNA(MATCH(1107,Engine!$C$2:$C$1369,0)),"",INDEX('Compliance Database'!$N$2:$N$1369,MATCH(1107,Engine!$C$2:$C$1369,0)))</f>
        <v/>
      </c>
      <c r="O1120" s="8">
        <f>IF(ISNA(MATCH(1107,Engine!$C$2:$C$1369,0)),"",HYPERLINK(INDEX('Compliance Database'!$O$2:$O$1369,MATCH(1107,Engine!$C$2:$C$1369,0)),"Open PDF"))</f>
        <v/>
      </c>
    </row>
    <row r="1121" ht="188" customHeight="1">
      <c r="A1121" s="8">
        <f>IF(ISNA(MATCH(1108,Engine!$C$2:$C$1369,0)),"",INDEX('Compliance Database'!$A$2:$A$1369,MATCH(1108,Engine!$C$2:$C$1369,0)))</f>
        <v/>
      </c>
      <c r="B1121" s="8">
        <f>IF(ISNA(MATCH(1108,Engine!$C$2:$C$1369,0)),"",INDEX('Compliance Database'!$B$2:$B$1369,MATCH(1108,Engine!$C$2:$C$1369,0)))</f>
        <v/>
      </c>
      <c r="C1121" s="8">
        <f>IF(ISNA(MATCH(1108,Engine!$C$2:$C$1369,0)),"",INDEX('Compliance Database'!$C$2:$C$1369,MATCH(1108,Engine!$C$2:$C$1369,0)))</f>
        <v/>
      </c>
      <c r="D1121" s="9">
        <f>IF(ISNA(MATCH(1108,Engine!$C$2:$C$1369,0)),"",INDEX('Compliance Database'!$D$2:$D$1369,MATCH(1108,Engine!$C$2:$C$1369,0)))</f>
        <v/>
      </c>
      <c r="E1121" s="8">
        <f>IF(ISNA(MATCH(1108,Engine!$C$2:$C$1369,0)),"",INDEX('Compliance Database'!$E$2:$E$1369,MATCH(1108,Engine!$C$2:$C$1369,0)))</f>
        <v/>
      </c>
      <c r="F1121" s="8">
        <f>IF(ISNA(MATCH(1108,Engine!$C$2:$C$1369,0)),"",INDEX('Compliance Database'!$F$2:$F$1369,MATCH(1108,Engine!$C$2:$C$1369,0)))</f>
        <v/>
      </c>
      <c r="G1121" s="8">
        <f>IF(ISNA(MATCH(1108,Engine!$C$2:$C$1369,0)),"",INDEX('Compliance Database'!$G$2:$G$1369,MATCH(1108,Engine!$C$2:$C$1369,0)))</f>
        <v/>
      </c>
      <c r="H1121" s="9">
        <f>IF(ISNA(MATCH(1108,Engine!$C$2:$C$1369,0)),"",INDEX('Compliance Database'!$H$2:$H$1369,MATCH(1108,Engine!$C$2:$C$1369,0)))</f>
        <v/>
      </c>
      <c r="I1121" s="9">
        <f>IF(ISNA(MATCH(1108,Engine!$C$2:$C$1369,0)),"",INDEX('Compliance Database'!$I$2:$I$1369,MATCH(1108,Engine!$C$2:$C$1369,0)))</f>
        <v/>
      </c>
      <c r="J1121" s="8">
        <f>IF(ISNA(MATCH(1108,Engine!$C$2:$C$1369,0)),"",INDEX('Compliance Database'!$J$2:$J$1369,MATCH(1108,Engine!$C$2:$C$1369,0)))</f>
        <v/>
      </c>
      <c r="K1121" s="9">
        <f>IF(ISNA(MATCH(1108,Engine!$C$2:$C$1369,0)),"",INDEX('Compliance Database'!$K$2:$K$1369,MATCH(1108,Engine!$C$2:$C$1369,0)))</f>
        <v/>
      </c>
      <c r="L1121" s="9">
        <f>IF(ISNA(MATCH(1108,Engine!$C$2:$C$1369,0)),"",INDEX('Compliance Database'!$L$2:$L$1369,MATCH(1108,Engine!$C$2:$C$1369,0)))</f>
        <v/>
      </c>
      <c r="M1121" s="9">
        <f>IF(ISNA(MATCH(1108,Engine!$C$2:$C$1369,0)),"",INDEX('Compliance Database'!$M$2:$M$1369,MATCH(1108,Engine!$C$2:$C$1369,0)))</f>
        <v/>
      </c>
      <c r="N1121" s="9">
        <f>IF(ISNA(MATCH(1108,Engine!$C$2:$C$1369,0)),"",INDEX('Compliance Database'!$N$2:$N$1369,MATCH(1108,Engine!$C$2:$C$1369,0)))</f>
        <v/>
      </c>
      <c r="O1121" s="8">
        <f>IF(ISNA(MATCH(1108,Engine!$C$2:$C$1369,0)),"",HYPERLINK(INDEX('Compliance Database'!$O$2:$O$1369,MATCH(1108,Engine!$C$2:$C$1369,0)),"Open PDF"))</f>
        <v/>
      </c>
    </row>
    <row r="1122" ht="188" customHeight="1">
      <c r="A1122" s="8">
        <f>IF(ISNA(MATCH(1109,Engine!$C$2:$C$1369,0)),"",INDEX('Compliance Database'!$A$2:$A$1369,MATCH(1109,Engine!$C$2:$C$1369,0)))</f>
        <v/>
      </c>
      <c r="B1122" s="8">
        <f>IF(ISNA(MATCH(1109,Engine!$C$2:$C$1369,0)),"",INDEX('Compliance Database'!$B$2:$B$1369,MATCH(1109,Engine!$C$2:$C$1369,0)))</f>
        <v/>
      </c>
      <c r="C1122" s="8">
        <f>IF(ISNA(MATCH(1109,Engine!$C$2:$C$1369,0)),"",INDEX('Compliance Database'!$C$2:$C$1369,MATCH(1109,Engine!$C$2:$C$1369,0)))</f>
        <v/>
      </c>
      <c r="D1122" s="9">
        <f>IF(ISNA(MATCH(1109,Engine!$C$2:$C$1369,0)),"",INDEX('Compliance Database'!$D$2:$D$1369,MATCH(1109,Engine!$C$2:$C$1369,0)))</f>
        <v/>
      </c>
      <c r="E1122" s="8">
        <f>IF(ISNA(MATCH(1109,Engine!$C$2:$C$1369,0)),"",INDEX('Compliance Database'!$E$2:$E$1369,MATCH(1109,Engine!$C$2:$C$1369,0)))</f>
        <v/>
      </c>
      <c r="F1122" s="8">
        <f>IF(ISNA(MATCH(1109,Engine!$C$2:$C$1369,0)),"",INDEX('Compliance Database'!$F$2:$F$1369,MATCH(1109,Engine!$C$2:$C$1369,0)))</f>
        <v/>
      </c>
      <c r="G1122" s="8">
        <f>IF(ISNA(MATCH(1109,Engine!$C$2:$C$1369,0)),"",INDEX('Compliance Database'!$G$2:$G$1369,MATCH(1109,Engine!$C$2:$C$1369,0)))</f>
        <v/>
      </c>
      <c r="H1122" s="9">
        <f>IF(ISNA(MATCH(1109,Engine!$C$2:$C$1369,0)),"",INDEX('Compliance Database'!$H$2:$H$1369,MATCH(1109,Engine!$C$2:$C$1369,0)))</f>
        <v/>
      </c>
      <c r="I1122" s="9">
        <f>IF(ISNA(MATCH(1109,Engine!$C$2:$C$1369,0)),"",INDEX('Compliance Database'!$I$2:$I$1369,MATCH(1109,Engine!$C$2:$C$1369,0)))</f>
        <v/>
      </c>
      <c r="J1122" s="8">
        <f>IF(ISNA(MATCH(1109,Engine!$C$2:$C$1369,0)),"",INDEX('Compliance Database'!$J$2:$J$1369,MATCH(1109,Engine!$C$2:$C$1369,0)))</f>
        <v/>
      </c>
      <c r="K1122" s="9">
        <f>IF(ISNA(MATCH(1109,Engine!$C$2:$C$1369,0)),"",INDEX('Compliance Database'!$K$2:$K$1369,MATCH(1109,Engine!$C$2:$C$1369,0)))</f>
        <v/>
      </c>
      <c r="L1122" s="9">
        <f>IF(ISNA(MATCH(1109,Engine!$C$2:$C$1369,0)),"",INDEX('Compliance Database'!$L$2:$L$1369,MATCH(1109,Engine!$C$2:$C$1369,0)))</f>
        <v/>
      </c>
      <c r="M1122" s="9">
        <f>IF(ISNA(MATCH(1109,Engine!$C$2:$C$1369,0)),"",INDEX('Compliance Database'!$M$2:$M$1369,MATCH(1109,Engine!$C$2:$C$1369,0)))</f>
        <v/>
      </c>
      <c r="N1122" s="9">
        <f>IF(ISNA(MATCH(1109,Engine!$C$2:$C$1369,0)),"",INDEX('Compliance Database'!$N$2:$N$1369,MATCH(1109,Engine!$C$2:$C$1369,0)))</f>
        <v/>
      </c>
      <c r="O1122" s="8">
        <f>IF(ISNA(MATCH(1109,Engine!$C$2:$C$1369,0)),"",HYPERLINK(INDEX('Compliance Database'!$O$2:$O$1369,MATCH(1109,Engine!$C$2:$C$1369,0)),"Open PDF"))</f>
        <v/>
      </c>
    </row>
    <row r="1123" ht="188" customHeight="1">
      <c r="A1123" s="8">
        <f>IF(ISNA(MATCH(1110,Engine!$C$2:$C$1369,0)),"",INDEX('Compliance Database'!$A$2:$A$1369,MATCH(1110,Engine!$C$2:$C$1369,0)))</f>
        <v/>
      </c>
      <c r="B1123" s="8">
        <f>IF(ISNA(MATCH(1110,Engine!$C$2:$C$1369,0)),"",INDEX('Compliance Database'!$B$2:$B$1369,MATCH(1110,Engine!$C$2:$C$1369,0)))</f>
        <v/>
      </c>
      <c r="C1123" s="8">
        <f>IF(ISNA(MATCH(1110,Engine!$C$2:$C$1369,0)),"",INDEX('Compliance Database'!$C$2:$C$1369,MATCH(1110,Engine!$C$2:$C$1369,0)))</f>
        <v/>
      </c>
      <c r="D1123" s="9">
        <f>IF(ISNA(MATCH(1110,Engine!$C$2:$C$1369,0)),"",INDEX('Compliance Database'!$D$2:$D$1369,MATCH(1110,Engine!$C$2:$C$1369,0)))</f>
        <v/>
      </c>
      <c r="E1123" s="8">
        <f>IF(ISNA(MATCH(1110,Engine!$C$2:$C$1369,0)),"",INDEX('Compliance Database'!$E$2:$E$1369,MATCH(1110,Engine!$C$2:$C$1369,0)))</f>
        <v/>
      </c>
      <c r="F1123" s="8">
        <f>IF(ISNA(MATCH(1110,Engine!$C$2:$C$1369,0)),"",INDEX('Compliance Database'!$F$2:$F$1369,MATCH(1110,Engine!$C$2:$C$1369,0)))</f>
        <v/>
      </c>
      <c r="G1123" s="8">
        <f>IF(ISNA(MATCH(1110,Engine!$C$2:$C$1369,0)),"",INDEX('Compliance Database'!$G$2:$G$1369,MATCH(1110,Engine!$C$2:$C$1369,0)))</f>
        <v/>
      </c>
      <c r="H1123" s="9">
        <f>IF(ISNA(MATCH(1110,Engine!$C$2:$C$1369,0)),"",INDEX('Compliance Database'!$H$2:$H$1369,MATCH(1110,Engine!$C$2:$C$1369,0)))</f>
        <v/>
      </c>
      <c r="I1123" s="9">
        <f>IF(ISNA(MATCH(1110,Engine!$C$2:$C$1369,0)),"",INDEX('Compliance Database'!$I$2:$I$1369,MATCH(1110,Engine!$C$2:$C$1369,0)))</f>
        <v/>
      </c>
      <c r="J1123" s="8">
        <f>IF(ISNA(MATCH(1110,Engine!$C$2:$C$1369,0)),"",INDEX('Compliance Database'!$J$2:$J$1369,MATCH(1110,Engine!$C$2:$C$1369,0)))</f>
        <v/>
      </c>
      <c r="K1123" s="9">
        <f>IF(ISNA(MATCH(1110,Engine!$C$2:$C$1369,0)),"",INDEX('Compliance Database'!$K$2:$K$1369,MATCH(1110,Engine!$C$2:$C$1369,0)))</f>
        <v/>
      </c>
      <c r="L1123" s="9">
        <f>IF(ISNA(MATCH(1110,Engine!$C$2:$C$1369,0)),"",INDEX('Compliance Database'!$L$2:$L$1369,MATCH(1110,Engine!$C$2:$C$1369,0)))</f>
        <v/>
      </c>
      <c r="M1123" s="9">
        <f>IF(ISNA(MATCH(1110,Engine!$C$2:$C$1369,0)),"",INDEX('Compliance Database'!$M$2:$M$1369,MATCH(1110,Engine!$C$2:$C$1369,0)))</f>
        <v/>
      </c>
      <c r="N1123" s="9">
        <f>IF(ISNA(MATCH(1110,Engine!$C$2:$C$1369,0)),"",INDEX('Compliance Database'!$N$2:$N$1369,MATCH(1110,Engine!$C$2:$C$1369,0)))</f>
        <v/>
      </c>
      <c r="O1123" s="8">
        <f>IF(ISNA(MATCH(1110,Engine!$C$2:$C$1369,0)),"",HYPERLINK(INDEX('Compliance Database'!$O$2:$O$1369,MATCH(1110,Engine!$C$2:$C$1369,0)),"Open PDF"))</f>
        <v/>
      </c>
    </row>
    <row r="1124" ht="188" customHeight="1">
      <c r="A1124" s="8">
        <f>IF(ISNA(MATCH(1111,Engine!$C$2:$C$1369,0)),"",INDEX('Compliance Database'!$A$2:$A$1369,MATCH(1111,Engine!$C$2:$C$1369,0)))</f>
        <v/>
      </c>
      <c r="B1124" s="8">
        <f>IF(ISNA(MATCH(1111,Engine!$C$2:$C$1369,0)),"",INDEX('Compliance Database'!$B$2:$B$1369,MATCH(1111,Engine!$C$2:$C$1369,0)))</f>
        <v/>
      </c>
      <c r="C1124" s="8">
        <f>IF(ISNA(MATCH(1111,Engine!$C$2:$C$1369,0)),"",INDEX('Compliance Database'!$C$2:$C$1369,MATCH(1111,Engine!$C$2:$C$1369,0)))</f>
        <v/>
      </c>
      <c r="D1124" s="9">
        <f>IF(ISNA(MATCH(1111,Engine!$C$2:$C$1369,0)),"",INDEX('Compliance Database'!$D$2:$D$1369,MATCH(1111,Engine!$C$2:$C$1369,0)))</f>
        <v/>
      </c>
      <c r="E1124" s="8">
        <f>IF(ISNA(MATCH(1111,Engine!$C$2:$C$1369,0)),"",INDEX('Compliance Database'!$E$2:$E$1369,MATCH(1111,Engine!$C$2:$C$1369,0)))</f>
        <v/>
      </c>
      <c r="F1124" s="8">
        <f>IF(ISNA(MATCH(1111,Engine!$C$2:$C$1369,0)),"",INDEX('Compliance Database'!$F$2:$F$1369,MATCH(1111,Engine!$C$2:$C$1369,0)))</f>
        <v/>
      </c>
      <c r="G1124" s="8">
        <f>IF(ISNA(MATCH(1111,Engine!$C$2:$C$1369,0)),"",INDEX('Compliance Database'!$G$2:$G$1369,MATCH(1111,Engine!$C$2:$C$1369,0)))</f>
        <v/>
      </c>
      <c r="H1124" s="9">
        <f>IF(ISNA(MATCH(1111,Engine!$C$2:$C$1369,0)),"",INDEX('Compliance Database'!$H$2:$H$1369,MATCH(1111,Engine!$C$2:$C$1369,0)))</f>
        <v/>
      </c>
      <c r="I1124" s="9">
        <f>IF(ISNA(MATCH(1111,Engine!$C$2:$C$1369,0)),"",INDEX('Compliance Database'!$I$2:$I$1369,MATCH(1111,Engine!$C$2:$C$1369,0)))</f>
        <v/>
      </c>
      <c r="J1124" s="8">
        <f>IF(ISNA(MATCH(1111,Engine!$C$2:$C$1369,0)),"",INDEX('Compliance Database'!$J$2:$J$1369,MATCH(1111,Engine!$C$2:$C$1369,0)))</f>
        <v/>
      </c>
      <c r="K1124" s="9">
        <f>IF(ISNA(MATCH(1111,Engine!$C$2:$C$1369,0)),"",INDEX('Compliance Database'!$K$2:$K$1369,MATCH(1111,Engine!$C$2:$C$1369,0)))</f>
        <v/>
      </c>
      <c r="L1124" s="9">
        <f>IF(ISNA(MATCH(1111,Engine!$C$2:$C$1369,0)),"",INDEX('Compliance Database'!$L$2:$L$1369,MATCH(1111,Engine!$C$2:$C$1369,0)))</f>
        <v/>
      </c>
      <c r="M1124" s="9">
        <f>IF(ISNA(MATCH(1111,Engine!$C$2:$C$1369,0)),"",INDEX('Compliance Database'!$M$2:$M$1369,MATCH(1111,Engine!$C$2:$C$1369,0)))</f>
        <v/>
      </c>
      <c r="N1124" s="9">
        <f>IF(ISNA(MATCH(1111,Engine!$C$2:$C$1369,0)),"",INDEX('Compliance Database'!$N$2:$N$1369,MATCH(1111,Engine!$C$2:$C$1369,0)))</f>
        <v/>
      </c>
      <c r="O1124" s="8">
        <f>IF(ISNA(MATCH(1111,Engine!$C$2:$C$1369,0)),"",HYPERLINK(INDEX('Compliance Database'!$O$2:$O$1369,MATCH(1111,Engine!$C$2:$C$1369,0)),"Open PDF"))</f>
        <v/>
      </c>
    </row>
    <row r="1125" ht="188" customHeight="1">
      <c r="A1125" s="8">
        <f>IF(ISNA(MATCH(1112,Engine!$C$2:$C$1369,0)),"",INDEX('Compliance Database'!$A$2:$A$1369,MATCH(1112,Engine!$C$2:$C$1369,0)))</f>
        <v/>
      </c>
      <c r="B1125" s="8">
        <f>IF(ISNA(MATCH(1112,Engine!$C$2:$C$1369,0)),"",INDEX('Compliance Database'!$B$2:$B$1369,MATCH(1112,Engine!$C$2:$C$1369,0)))</f>
        <v/>
      </c>
      <c r="C1125" s="8">
        <f>IF(ISNA(MATCH(1112,Engine!$C$2:$C$1369,0)),"",INDEX('Compliance Database'!$C$2:$C$1369,MATCH(1112,Engine!$C$2:$C$1369,0)))</f>
        <v/>
      </c>
      <c r="D1125" s="9">
        <f>IF(ISNA(MATCH(1112,Engine!$C$2:$C$1369,0)),"",INDEX('Compliance Database'!$D$2:$D$1369,MATCH(1112,Engine!$C$2:$C$1369,0)))</f>
        <v/>
      </c>
      <c r="E1125" s="8">
        <f>IF(ISNA(MATCH(1112,Engine!$C$2:$C$1369,0)),"",INDEX('Compliance Database'!$E$2:$E$1369,MATCH(1112,Engine!$C$2:$C$1369,0)))</f>
        <v/>
      </c>
      <c r="F1125" s="8">
        <f>IF(ISNA(MATCH(1112,Engine!$C$2:$C$1369,0)),"",INDEX('Compliance Database'!$F$2:$F$1369,MATCH(1112,Engine!$C$2:$C$1369,0)))</f>
        <v/>
      </c>
      <c r="G1125" s="8">
        <f>IF(ISNA(MATCH(1112,Engine!$C$2:$C$1369,0)),"",INDEX('Compliance Database'!$G$2:$G$1369,MATCH(1112,Engine!$C$2:$C$1369,0)))</f>
        <v/>
      </c>
      <c r="H1125" s="9">
        <f>IF(ISNA(MATCH(1112,Engine!$C$2:$C$1369,0)),"",INDEX('Compliance Database'!$H$2:$H$1369,MATCH(1112,Engine!$C$2:$C$1369,0)))</f>
        <v/>
      </c>
      <c r="I1125" s="9">
        <f>IF(ISNA(MATCH(1112,Engine!$C$2:$C$1369,0)),"",INDEX('Compliance Database'!$I$2:$I$1369,MATCH(1112,Engine!$C$2:$C$1369,0)))</f>
        <v/>
      </c>
      <c r="J1125" s="8">
        <f>IF(ISNA(MATCH(1112,Engine!$C$2:$C$1369,0)),"",INDEX('Compliance Database'!$J$2:$J$1369,MATCH(1112,Engine!$C$2:$C$1369,0)))</f>
        <v/>
      </c>
      <c r="K1125" s="9">
        <f>IF(ISNA(MATCH(1112,Engine!$C$2:$C$1369,0)),"",INDEX('Compliance Database'!$K$2:$K$1369,MATCH(1112,Engine!$C$2:$C$1369,0)))</f>
        <v/>
      </c>
      <c r="L1125" s="9">
        <f>IF(ISNA(MATCH(1112,Engine!$C$2:$C$1369,0)),"",INDEX('Compliance Database'!$L$2:$L$1369,MATCH(1112,Engine!$C$2:$C$1369,0)))</f>
        <v/>
      </c>
      <c r="M1125" s="9">
        <f>IF(ISNA(MATCH(1112,Engine!$C$2:$C$1369,0)),"",INDEX('Compliance Database'!$M$2:$M$1369,MATCH(1112,Engine!$C$2:$C$1369,0)))</f>
        <v/>
      </c>
      <c r="N1125" s="9">
        <f>IF(ISNA(MATCH(1112,Engine!$C$2:$C$1369,0)),"",INDEX('Compliance Database'!$N$2:$N$1369,MATCH(1112,Engine!$C$2:$C$1369,0)))</f>
        <v/>
      </c>
      <c r="O1125" s="8">
        <f>IF(ISNA(MATCH(1112,Engine!$C$2:$C$1369,0)),"",HYPERLINK(INDEX('Compliance Database'!$O$2:$O$1369,MATCH(1112,Engine!$C$2:$C$1369,0)),"Open PDF"))</f>
        <v/>
      </c>
    </row>
    <row r="1126" ht="188" customHeight="1">
      <c r="A1126" s="8">
        <f>IF(ISNA(MATCH(1113,Engine!$C$2:$C$1369,0)),"",INDEX('Compliance Database'!$A$2:$A$1369,MATCH(1113,Engine!$C$2:$C$1369,0)))</f>
        <v/>
      </c>
      <c r="B1126" s="8">
        <f>IF(ISNA(MATCH(1113,Engine!$C$2:$C$1369,0)),"",INDEX('Compliance Database'!$B$2:$B$1369,MATCH(1113,Engine!$C$2:$C$1369,0)))</f>
        <v/>
      </c>
      <c r="C1126" s="8">
        <f>IF(ISNA(MATCH(1113,Engine!$C$2:$C$1369,0)),"",INDEX('Compliance Database'!$C$2:$C$1369,MATCH(1113,Engine!$C$2:$C$1369,0)))</f>
        <v/>
      </c>
      <c r="D1126" s="9">
        <f>IF(ISNA(MATCH(1113,Engine!$C$2:$C$1369,0)),"",INDEX('Compliance Database'!$D$2:$D$1369,MATCH(1113,Engine!$C$2:$C$1369,0)))</f>
        <v/>
      </c>
      <c r="E1126" s="8">
        <f>IF(ISNA(MATCH(1113,Engine!$C$2:$C$1369,0)),"",INDEX('Compliance Database'!$E$2:$E$1369,MATCH(1113,Engine!$C$2:$C$1369,0)))</f>
        <v/>
      </c>
      <c r="F1126" s="8">
        <f>IF(ISNA(MATCH(1113,Engine!$C$2:$C$1369,0)),"",INDEX('Compliance Database'!$F$2:$F$1369,MATCH(1113,Engine!$C$2:$C$1369,0)))</f>
        <v/>
      </c>
      <c r="G1126" s="8">
        <f>IF(ISNA(MATCH(1113,Engine!$C$2:$C$1369,0)),"",INDEX('Compliance Database'!$G$2:$G$1369,MATCH(1113,Engine!$C$2:$C$1369,0)))</f>
        <v/>
      </c>
      <c r="H1126" s="9">
        <f>IF(ISNA(MATCH(1113,Engine!$C$2:$C$1369,0)),"",INDEX('Compliance Database'!$H$2:$H$1369,MATCH(1113,Engine!$C$2:$C$1369,0)))</f>
        <v/>
      </c>
      <c r="I1126" s="9">
        <f>IF(ISNA(MATCH(1113,Engine!$C$2:$C$1369,0)),"",INDEX('Compliance Database'!$I$2:$I$1369,MATCH(1113,Engine!$C$2:$C$1369,0)))</f>
        <v/>
      </c>
      <c r="J1126" s="8">
        <f>IF(ISNA(MATCH(1113,Engine!$C$2:$C$1369,0)),"",INDEX('Compliance Database'!$J$2:$J$1369,MATCH(1113,Engine!$C$2:$C$1369,0)))</f>
        <v/>
      </c>
      <c r="K1126" s="9">
        <f>IF(ISNA(MATCH(1113,Engine!$C$2:$C$1369,0)),"",INDEX('Compliance Database'!$K$2:$K$1369,MATCH(1113,Engine!$C$2:$C$1369,0)))</f>
        <v/>
      </c>
      <c r="L1126" s="9">
        <f>IF(ISNA(MATCH(1113,Engine!$C$2:$C$1369,0)),"",INDEX('Compliance Database'!$L$2:$L$1369,MATCH(1113,Engine!$C$2:$C$1369,0)))</f>
        <v/>
      </c>
      <c r="M1126" s="9">
        <f>IF(ISNA(MATCH(1113,Engine!$C$2:$C$1369,0)),"",INDEX('Compliance Database'!$M$2:$M$1369,MATCH(1113,Engine!$C$2:$C$1369,0)))</f>
        <v/>
      </c>
      <c r="N1126" s="9">
        <f>IF(ISNA(MATCH(1113,Engine!$C$2:$C$1369,0)),"",INDEX('Compliance Database'!$N$2:$N$1369,MATCH(1113,Engine!$C$2:$C$1369,0)))</f>
        <v/>
      </c>
      <c r="O1126" s="8">
        <f>IF(ISNA(MATCH(1113,Engine!$C$2:$C$1369,0)),"",HYPERLINK(INDEX('Compliance Database'!$O$2:$O$1369,MATCH(1113,Engine!$C$2:$C$1369,0)),"Open PDF"))</f>
        <v/>
      </c>
    </row>
    <row r="1127" ht="188" customHeight="1">
      <c r="A1127" s="8">
        <f>IF(ISNA(MATCH(1114,Engine!$C$2:$C$1369,0)),"",INDEX('Compliance Database'!$A$2:$A$1369,MATCH(1114,Engine!$C$2:$C$1369,0)))</f>
        <v/>
      </c>
      <c r="B1127" s="8">
        <f>IF(ISNA(MATCH(1114,Engine!$C$2:$C$1369,0)),"",INDEX('Compliance Database'!$B$2:$B$1369,MATCH(1114,Engine!$C$2:$C$1369,0)))</f>
        <v/>
      </c>
      <c r="C1127" s="8">
        <f>IF(ISNA(MATCH(1114,Engine!$C$2:$C$1369,0)),"",INDEX('Compliance Database'!$C$2:$C$1369,MATCH(1114,Engine!$C$2:$C$1369,0)))</f>
        <v/>
      </c>
      <c r="D1127" s="9">
        <f>IF(ISNA(MATCH(1114,Engine!$C$2:$C$1369,0)),"",INDEX('Compliance Database'!$D$2:$D$1369,MATCH(1114,Engine!$C$2:$C$1369,0)))</f>
        <v/>
      </c>
      <c r="E1127" s="8">
        <f>IF(ISNA(MATCH(1114,Engine!$C$2:$C$1369,0)),"",INDEX('Compliance Database'!$E$2:$E$1369,MATCH(1114,Engine!$C$2:$C$1369,0)))</f>
        <v/>
      </c>
      <c r="F1127" s="8">
        <f>IF(ISNA(MATCH(1114,Engine!$C$2:$C$1369,0)),"",INDEX('Compliance Database'!$F$2:$F$1369,MATCH(1114,Engine!$C$2:$C$1369,0)))</f>
        <v/>
      </c>
      <c r="G1127" s="8">
        <f>IF(ISNA(MATCH(1114,Engine!$C$2:$C$1369,0)),"",INDEX('Compliance Database'!$G$2:$G$1369,MATCH(1114,Engine!$C$2:$C$1369,0)))</f>
        <v/>
      </c>
      <c r="H1127" s="9">
        <f>IF(ISNA(MATCH(1114,Engine!$C$2:$C$1369,0)),"",INDEX('Compliance Database'!$H$2:$H$1369,MATCH(1114,Engine!$C$2:$C$1369,0)))</f>
        <v/>
      </c>
      <c r="I1127" s="9">
        <f>IF(ISNA(MATCH(1114,Engine!$C$2:$C$1369,0)),"",INDEX('Compliance Database'!$I$2:$I$1369,MATCH(1114,Engine!$C$2:$C$1369,0)))</f>
        <v/>
      </c>
      <c r="J1127" s="8">
        <f>IF(ISNA(MATCH(1114,Engine!$C$2:$C$1369,0)),"",INDEX('Compliance Database'!$J$2:$J$1369,MATCH(1114,Engine!$C$2:$C$1369,0)))</f>
        <v/>
      </c>
      <c r="K1127" s="9">
        <f>IF(ISNA(MATCH(1114,Engine!$C$2:$C$1369,0)),"",INDEX('Compliance Database'!$K$2:$K$1369,MATCH(1114,Engine!$C$2:$C$1369,0)))</f>
        <v/>
      </c>
      <c r="L1127" s="9">
        <f>IF(ISNA(MATCH(1114,Engine!$C$2:$C$1369,0)),"",INDEX('Compliance Database'!$L$2:$L$1369,MATCH(1114,Engine!$C$2:$C$1369,0)))</f>
        <v/>
      </c>
      <c r="M1127" s="9">
        <f>IF(ISNA(MATCH(1114,Engine!$C$2:$C$1369,0)),"",INDEX('Compliance Database'!$M$2:$M$1369,MATCH(1114,Engine!$C$2:$C$1369,0)))</f>
        <v/>
      </c>
      <c r="N1127" s="9">
        <f>IF(ISNA(MATCH(1114,Engine!$C$2:$C$1369,0)),"",INDEX('Compliance Database'!$N$2:$N$1369,MATCH(1114,Engine!$C$2:$C$1369,0)))</f>
        <v/>
      </c>
      <c r="O1127" s="8">
        <f>IF(ISNA(MATCH(1114,Engine!$C$2:$C$1369,0)),"",HYPERLINK(INDEX('Compliance Database'!$O$2:$O$1369,MATCH(1114,Engine!$C$2:$C$1369,0)),"Open PDF"))</f>
        <v/>
      </c>
    </row>
    <row r="1128" ht="188" customHeight="1">
      <c r="A1128" s="8">
        <f>IF(ISNA(MATCH(1115,Engine!$C$2:$C$1369,0)),"",INDEX('Compliance Database'!$A$2:$A$1369,MATCH(1115,Engine!$C$2:$C$1369,0)))</f>
        <v/>
      </c>
      <c r="B1128" s="8">
        <f>IF(ISNA(MATCH(1115,Engine!$C$2:$C$1369,0)),"",INDEX('Compliance Database'!$B$2:$B$1369,MATCH(1115,Engine!$C$2:$C$1369,0)))</f>
        <v/>
      </c>
      <c r="C1128" s="8">
        <f>IF(ISNA(MATCH(1115,Engine!$C$2:$C$1369,0)),"",INDEX('Compliance Database'!$C$2:$C$1369,MATCH(1115,Engine!$C$2:$C$1369,0)))</f>
        <v/>
      </c>
      <c r="D1128" s="9">
        <f>IF(ISNA(MATCH(1115,Engine!$C$2:$C$1369,0)),"",INDEX('Compliance Database'!$D$2:$D$1369,MATCH(1115,Engine!$C$2:$C$1369,0)))</f>
        <v/>
      </c>
      <c r="E1128" s="8">
        <f>IF(ISNA(MATCH(1115,Engine!$C$2:$C$1369,0)),"",INDEX('Compliance Database'!$E$2:$E$1369,MATCH(1115,Engine!$C$2:$C$1369,0)))</f>
        <v/>
      </c>
      <c r="F1128" s="8">
        <f>IF(ISNA(MATCH(1115,Engine!$C$2:$C$1369,0)),"",INDEX('Compliance Database'!$F$2:$F$1369,MATCH(1115,Engine!$C$2:$C$1369,0)))</f>
        <v/>
      </c>
      <c r="G1128" s="8">
        <f>IF(ISNA(MATCH(1115,Engine!$C$2:$C$1369,0)),"",INDEX('Compliance Database'!$G$2:$G$1369,MATCH(1115,Engine!$C$2:$C$1369,0)))</f>
        <v/>
      </c>
      <c r="H1128" s="9">
        <f>IF(ISNA(MATCH(1115,Engine!$C$2:$C$1369,0)),"",INDEX('Compliance Database'!$H$2:$H$1369,MATCH(1115,Engine!$C$2:$C$1369,0)))</f>
        <v/>
      </c>
      <c r="I1128" s="9">
        <f>IF(ISNA(MATCH(1115,Engine!$C$2:$C$1369,0)),"",INDEX('Compliance Database'!$I$2:$I$1369,MATCH(1115,Engine!$C$2:$C$1369,0)))</f>
        <v/>
      </c>
      <c r="J1128" s="8">
        <f>IF(ISNA(MATCH(1115,Engine!$C$2:$C$1369,0)),"",INDEX('Compliance Database'!$J$2:$J$1369,MATCH(1115,Engine!$C$2:$C$1369,0)))</f>
        <v/>
      </c>
      <c r="K1128" s="9">
        <f>IF(ISNA(MATCH(1115,Engine!$C$2:$C$1369,0)),"",INDEX('Compliance Database'!$K$2:$K$1369,MATCH(1115,Engine!$C$2:$C$1369,0)))</f>
        <v/>
      </c>
      <c r="L1128" s="9">
        <f>IF(ISNA(MATCH(1115,Engine!$C$2:$C$1369,0)),"",INDEX('Compliance Database'!$L$2:$L$1369,MATCH(1115,Engine!$C$2:$C$1369,0)))</f>
        <v/>
      </c>
      <c r="M1128" s="9">
        <f>IF(ISNA(MATCH(1115,Engine!$C$2:$C$1369,0)),"",INDEX('Compliance Database'!$M$2:$M$1369,MATCH(1115,Engine!$C$2:$C$1369,0)))</f>
        <v/>
      </c>
      <c r="N1128" s="9">
        <f>IF(ISNA(MATCH(1115,Engine!$C$2:$C$1369,0)),"",INDEX('Compliance Database'!$N$2:$N$1369,MATCH(1115,Engine!$C$2:$C$1369,0)))</f>
        <v/>
      </c>
      <c r="O1128" s="8">
        <f>IF(ISNA(MATCH(1115,Engine!$C$2:$C$1369,0)),"",HYPERLINK(INDEX('Compliance Database'!$O$2:$O$1369,MATCH(1115,Engine!$C$2:$C$1369,0)),"Open PDF"))</f>
        <v/>
      </c>
    </row>
    <row r="1129" ht="188" customHeight="1">
      <c r="A1129" s="8">
        <f>IF(ISNA(MATCH(1116,Engine!$C$2:$C$1369,0)),"",INDEX('Compliance Database'!$A$2:$A$1369,MATCH(1116,Engine!$C$2:$C$1369,0)))</f>
        <v/>
      </c>
      <c r="B1129" s="8">
        <f>IF(ISNA(MATCH(1116,Engine!$C$2:$C$1369,0)),"",INDEX('Compliance Database'!$B$2:$B$1369,MATCH(1116,Engine!$C$2:$C$1369,0)))</f>
        <v/>
      </c>
      <c r="C1129" s="8">
        <f>IF(ISNA(MATCH(1116,Engine!$C$2:$C$1369,0)),"",INDEX('Compliance Database'!$C$2:$C$1369,MATCH(1116,Engine!$C$2:$C$1369,0)))</f>
        <v/>
      </c>
      <c r="D1129" s="9">
        <f>IF(ISNA(MATCH(1116,Engine!$C$2:$C$1369,0)),"",INDEX('Compliance Database'!$D$2:$D$1369,MATCH(1116,Engine!$C$2:$C$1369,0)))</f>
        <v/>
      </c>
      <c r="E1129" s="8">
        <f>IF(ISNA(MATCH(1116,Engine!$C$2:$C$1369,0)),"",INDEX('Compliance Database'!$E$2:$E$1369,MATCH(1116,Engine!$C$2:$C$1369,0)))</f>
        <v/>
      </c>
      <c r="F1129" s="8">
        <f>IF(ISNA(MATCH(1116,Engine!$C$2:$C$1369,0)),"",INDEX('Compliance Database'!$F$2:$F$1369,MATCH(1116,Engine!$C$2:$C$1369,0)))</f>
        <v/>
      </c>
      <c r="G1129" s="8">
        <f>IF(ISNA(MATCH(1116,Engine!$C$2:$C$1369,0)),"",INDEX('Compliance Database'!$G$2:$G$1369,MATCH(1116,Engine!$C$2:$C$1369,0)))</f>
        <v/>
      </c>
      <c r="H1129" s="9">
        <f>IF(ISNA(MATCH(1116,Engine!$C$2:$C$1369,0)),"",INDEX('Compliance Database'!$H$2:$H$1369,MATCH(1116,Engine!$C$2:$C$1369,0)))</f>
        <v/>
      </c>
      <c r="I1129" s="9">
        <f>IF(ISNA(MATCH(1116,Engine!$C$2:$C$1369,0)),"",INDEX('Compliance Database'!$I$2:$I$1369,MATCH(1116,Engine!$C$2:$C$1369,0)))</f>
        <v/>
      </c>
      <c r="J1129" s="8">
        <f>IF(ISNA(MATCH(1116,Engine!$C$2:$C$1369,0)),"",INDEX('Compliance Database'!$J$2:$J$1369,MATCH(1116,Engine!$C$2:$C$1369,0)))</f>
        <v/>
      </c>
      <c r="K1129" s="9">
        <f>IF(ISNA(MATCH(1116,Engine!$C$2:$C$1369,0)),"",INDEX('Compliance Database'!$K$2:$K$1369,MATCH(1116,Engine!$C$2:$C$1369,0)))</f>
        <v/>
      </c>
      <c r="L1129" s="9">
        <f>IF(ISNA(MATCH(1116,Engine!$C$2:$C$1369,0)),"",INDEX('Compliance Database'!$L$2:$L$1369,MATCH(1116,Engine!$C$2:$C$1369,0)))</f>
        <v/>
      </c>
      <c r="M1129" s="9">
        <f>IF(ISNA(MATCH(1116,Engine!$C$2:$C$1369,0)),"",INDEX('Compliance Database'!$M$2:$M$1369,MATCH(1116,Engine!$C$2:$C$1369,0)))</f>
        <v/>
      </c>
      <c r="N1129" s="9">
        <f>IF(ISNA(MATCH(1116,Engine!$C$2:$C$1369,0)),"",INDEX('Compliance Database'!$N$2:$N$1369,MATCH(1116,Engine!$C$2:$C$1369,0)))</f>
        <v/>
      </c>
      <c r="O1129" s="8">
        <f>IF(ISNA(MATCH(1116,Engine!$C$2:$C$1369,0)),"",HYPERLINK(INDEX('Compliance Database'!$O$2:$O$1369,MATCH(1116,Engine!$C$2:$C$1369,0)),"Open PDF"))</f>
        <v/>
      </c>
    </row>
    <row r="1130" ht="188" customHeight="1">
      <c r="A1130" s="8">
        <f>IF(ISNA(MATCH(1117,Engine!$C$2:$C$1369,0)),"",INDEX('Compliance Database'!$A$2:$A$1369,MATCH(1117,Engine!$C$2:$C$1369,0)))</f>
        <v/>
      </c>
      <c r="B1130" s="8">
        <f>IF(ISNA(MATCH(1117,Engine!$C$2:$C$1369,0)),"",INDEX('Compliance Database'!$B$2:$B$1369,MATCH(1117,Engine!$C$2:$C$1369,0)))</f>
        <v/>
      </c>
      <c r="C1130" s="8">
        <f>IF(ISNA(MATCH(1117,Engine!$C$2:$C$1369,0)),"",INDEX('Compliance Database'!$C$2:$C$1369,MATCH(1117,Engine!$C$2:$C$1369,0)))</f>
        <v/>
      </c>
      <c r="D1130" s="9">
        <f>IF(ISNA(MATCH(1117,Engine!$C$2:$C$1369,0)),"",INDEX('Compliance Database'!$D$2:$D$1369,MATCH(1117,Engine!$C$2:$C$1369,0)))</f>
        <v/>
      </c>
      <c r="E1130" s="8">
        <f>IF(ISNA(MATCH(1117,Engine!$C$2:$C$1369,0)),"",INDEX('Compliance Database'!$E$2:$E$1369,MATCH(1117,Engine!$C$2:$C$1369,0)))</f>
        <v/>
      </c>
      <c r="F1130" s="8">
        <f>IF(ISNA(MATCH(1117,Engine!$C$2:$C$1369,0)),"",INDEX('Compliance Database'!$F$2:$F$1369,MATCH(1117,Engine!$C$2:$C$1369,0)))</f>
        <v/>
      </c>
      <c r="G1130" s="8">
        <f>IF(ISNA(MATCH(1117,Engine!$C$2:$C$1369,0)),"",INDEX('Compliance Database'!$G$2:$G$1369,MATCH(1117,Engine!$C$2:$C$1369,0)))</f>
        <v/>
      </c>
      <c r="H1130" s="9">
        <f>IF(ISNA(MATCH(1117,Engine!$C$2:$C$1369,0)),"",INDEX('Compliance Database'!$H$2:$H$1369,MATCH(1117,Engine!$C$2:$C$1369,0)))</f>
        <v/>
      </c>
      <c r="I1130" s="9">
        <f>IF(ISNA(MATCH(1117,Engine!$C$2:$C$1369,0)),"",INDEX('Compliance Database'!$I$2:$I$1369,MATCH(1117,Engine!$C$2:$C$1369,0)))</f>
        <v/>
      </c>
      <c r="J1130" s="8">
        <f>IF(ISNA(MATCH(1117,Engine!$C$2:$C$1369,0)),"",INDEX('Compliance Database'!$J$2:$J$1369,MATCH(1117,Engine!$C$2:$C$1369,0)))</f>
        <v/>
      </c>
      <c r="K1130" s="9">
        <f>IF(ISNA(MATCH(1117,Engine!$C$2:$C$1369,0)),"",INDEX('Compliance Database'!$K$2:$K$1369,MATCH(1117,Engine!$C$2:$C$1369,0)))</f>
        <v/>
      </c>
      <c r="L1130" s="9">
        <f>IF(ISNA(MATCH(1117,Engine!$C$2:$C$1369,0)),"",INDEX('Compliance Database'!$L$2:$L$1369,MATCH(1117,Engine!$C$2:$C$1369,0)))</f>
        <v/>
      </c>
      <c r="M1130" s="9">
        <f>IF(ISNA(MATCH(1117,Engine!$C$2:$C$1369,0)),"",INDEX('Compliance Database'!$M$2:$M$1369,MATCH(1117,Engine!$C$2:$C$1369,0)))</f>
        <v/>
      </c>
      <c r="N1130" s="9">
        <f>IF(ISNA(MATCH(1117,Engine!$C$2:$C$1369,0)),"",INDEX('Compliance Database'!$N$2:$N$1369,MATCH(1117,Engine!$C$2:$C$1369,0)))</f>
        <v/>
      </c>
      <c r="O1130" s="8">
        <f>IF(ISNA(MATCH(1117,Engine!$C$2:$C$1369,0)),"",HYPERLINK(INDEX('Compliance Database'!$O$2:$O$1369,MATCH(1117,Engine!$C$2:$C$1369,0)),"Open PDF"))</f>
        <v/>
      </c>
    </row>
    <row r="1131" ht="188" customHeight="1">
      <c r="A1131" s="8">
        <f>IF(ISNA(MATCH(1118,Engine!$C$2:$C$1369,0)),"",INDEX('Compliance Database'!$A$2:$A$1369,MATCH(1118,Engine!$C$2:$C$1369,0)))</f>
        <v/>
      </c>
      <c r="B1131" s="8">
        <f>IF(ISNA(MATCH(1118,Engine!$C$2:$C$1369,0)),"",INDEX('Compliance Database'!$B$2:$B$1369,MATCH(1118,Engine!$C$2:$C$1369,0)))</f>
        <v/>
      </c>
      <c r="C1131" s="8">
        <f>IF(ISNA(MATCH(1118,Engine!$C$2:$C$1369,0)),"",INDEX('Compliance Database'!$C$2:$C$1369,MATCH(1118,Engine!$C$2:$C$1369,0)))</f>
        <v/>
      </c>
      <c r="D1131" s="9">
        <f>IF(ISNA(MATCH(1118,Engine!$C$2:$C$1369,0)),"",INDEX('Compliance Database'!$D$2:$D$1369,MATCH(1118,Engine!$C$2:$C$1369,0)))</f>
        <v/>
      </c>
      <c r="E1131" s="8">
        <f>IF(ISNA(MATCH(1118,Engine!$C$2:$C$1369,0)),"",INDEX('Compliance Database'!$E$2:$E$1369,MATCH(1118,Engine!$C$2:$C$1369,0)))</f>
        <v/>
      </c>
      <c r="F1131" s="8">
        <f>IF(ISNA(MATCH(1118,Engine!$C$2:$C$1369,0)),"",INDEX('Compliance Database'!$F$2:$F$1369,MATCH(1118,Engine!$C$2:$C$1369,0)))</f>
        <v/>
      </c>
      <c r="G1131" s="8">
        <f>IF(ISNA(MATCH(1118,Engine!$C$2:$C$1369,0)),"",INDEX('Compliance Database'!$G$2:$G$1369,MATCH(1118,Engine!$C$2:$C$1369,0)))</f>
        <v/>
      </c>
      <c r="H1131" s="9">
        <f>IF(ISNA(MATCH(1118,Engine!$C$2:$C$1369,0)),"",INDEX('Compliance Database'!$H$2:$H$1369,MATCH(1118,Engine!$C$2:$C$1369,0)))</f>
        <v/>
      </c>
      <c r="I1131" s="9">
        <f>IF(ISNA(MATCH(1118,Engine!$C$2:$C$1369,0)),"",INDEX('Compliance Database'!$I$2:$I$1369,MATCH(1118,Engine!$C$2:$C$1369,0)))</f>
        <v/>
      </c>
      <c r="J1131" s="8">
        <f>IF(ISNA(MATCH(1118,Engine!$C$2:$C$1369,0)),"",INDEX('Compliance Database'!$J$2:$J$1369,MATCH(1118,Engine!$C$2:$C$1369,0)))</f>
        <v/>
      </c>
      <c r="K1131" s="9">
        <f>IF(ISNA(MATCH(1118,Engine!$C$2:$C$1369,0)),"",INDEX('Compliance Database'!$K$2:$K$1369,MATCH(1118,Engine!$C$2:$C$1369,0)))</f>
        <v/>
      </c>
      <c r="L1131" s="9">
        <f>IF(ISNA(MATCH(1118,Engine!$C$2:$C$1369,0)),"",INDEX('Compliance Database'!$L$2:$L$1369,MATCH(1118,Engine!$C$2:$C$1369,0)))</f>
        <v/>
      </c>
      <c r="M1131" s="9">
        <f>IF(ISNA(MATCH(1118,Engine!$C$2:$C$1369,0)),"",INDEX('Compliance Database'!$M$2:$M$1369,MATCH(1118,Engine!$C$2:$C$1369,0)))</f>
        <v/>
      </c>
      <c r="N1131" s="9">
        <f>IF(ISNA(MATCH(1118,Engine!$C$2:$C$1369,0)),"",INDEX('Compliance Database'!$N$2:$N$1369,MATCH(1118,Engine!$C$2:$C$1369,0)))</f>
        <v/>
      </c>
      <c r="O1131" s="8">
        <f>IF(ISNA(MATCH(1118,Engine!$C$2:$C$1369,0)),"",HYPERLINK(INDEX('Compliance Database'!$O$2:$O$1369,MATCH(1118,Engine!$C$2:$C$1369,0)),"Open PDF"))</f>
        <v/>
      </c>
    </row>
    <row r="1132" ht="188" customHeight="1">
      <c r="A1132" s="8">
        <f>IF(ISNA(MATCH(1119,Engine!$C$2:$C$1369,0)),"",INDEX('Compliance Database'!$A$2:$A$1369,MATCH(1119,Engine!$C$2:$C$1369,0)))</f>
        <v/>
      </c>
      <c r="B1132" s="8">
        <f>IF(ISNA(MATCH(1119,Engine!$C$2:$C$1369,0)),"",INDEX('Compliance Database'!$B$2:$B$1369,MATCH(1119,Engine!$C$2:$C$1369,0)))</f>
        <v/>
      </c>
      <c r="C1132" s="8">
        <f>IF(ISNA(MATCH(1119,Engine!$C$2:$C$1369,0)),"",INDEX('Compliance Database'!$C$2:$C$1369,MATCH(1119,Engine!$C$2:$C$1369,0)))</f>
        <v/>
      </c>
      <c r="D1132" s="9">
        <f>IF(ISNA(MATCH(1119,Engine!$C$2:$C$1369,0)),"",INDEX('Compliance Database'!$D$2:$D$1369,MATCH(1119,Engine!$C$2:$C$1369,0)))</f>
        <v/>
      </c>
      <c r="E1132" s="8">
        <f>IF(ISNA(MATCH(1119,Engine!$C$2:$C$1369,0)),"",INDEX('Compliance Database'!$E$2:$E$1369,MATCH(1119,Engine!$C$2:$C$1369,0)))</f>
        <v/>
      </c>
      <c r="F1132" s="8">
        <f>IF(ISNA(MATCH(1119,Engine!$C$2:$C$1369,0)),"",INDEX('Compliance Database'!$F$2:$F$1369,MATCH(1119,Engine!$C$2:$C$1369,0)))</f>
        <v/>
      </c>
      <c r="G1132" s="8">
        <f>IF(ISNA(MATCH(1119,Engine!$C$2:$C$1369,0)),"",INDEX('Compliance Database'!$G$2:$G$1369,MATCH(1119,Engine!$C$2:$C$1369,0)))</f>
        <v/>
      </c>
      <c r="H1132" s="9">
        <f>IF(ISNA(MATCH(1119,Engine!$C$2:$C$1369,0)),"",INDEX('Compliance Database'!$H$2:$H$1369,MATCH(1119,Engine!$C$2:$C$1369,0)))</f>
        <v/>
      </c>
      <c r="I1132" s="9">
        <f>IF(ISNA(MATCH(1119,Engine!$C$2:$C$1369,0)),"",INDEX('Compliance Database'!$I$2:$I$1369,MATCH(1119,Engine!$C$2:$C$1369,0)))</f>
        <v/>
      </c>
      <c r="J1132" s="8">
        <f>IF(ISNA(MATCH(1119,Engine!$C$2:$C$1369,0)),"",INDEX('Compliance Database'!$J$2:$J$1369,MATCH(1119,Engine!$C$2:$C$1369,0)))</f>
        <v/>
      </c>
      <c r="K1132" s="9">
        <f>IF(ISNA(MATCH(1119,Engine!$C$2:$C$1369,0)),"",INDEX('Compliance Database'!$K$2:$K$1369,MATCH(1119,Engine!$C$2:$C$1369,0)))</f>
        <v/>
      </c>
      <c r="L1132" s="9">
        <f>IF(ISNA(MATCH(1119,Engine!$C$2:$C$1369,0)),"",INDEX('Compliance Database'!$L$2:$L$1369,MATCH(1119,Engine!$C$2:$C$1369,0)))</f>
        <v/>
      </c>
      <c r="M1132" s="9">
        <f>IF(ISNA(MATCH(1119,Engine!$C$2:$C$1369,0)),"",INDEX('Compliance Database'!$M$2:$M$1369,MATCH(1119,Engine!$C$2:$C$1369,0)))</f>
        <v/>
      </c>
      <c r="N1132" s="9">
        <f>IF(ISNA(MATCH(1119,Engine!$C$2:$C$1369,0)),"",INDEX('Compliance Database'!$N$2:$N$1369,MATCH(1119,Engine!$C$2:$C$1369,0)))</f>
        <v/>
      </c>
      <c r="O1132" s="8">
        <f>IF(ISNA(MATCH(1119,Engine!$C$2:$C$1369,0)),"",HYPERLINK(INDEX('Compliance Database'!$O$2:$O$1369,MATCH(1119,Engine!$C$2:$C$1369,0)),"Open PDF"))</f>
        <v/>
      </c>
    </row>
    <row r="1133" ht="188" customHeight="1">
      <c r="A1133" s="8">
        <f>IF(ISNA(MATCH(1120,Engine!$C$2:$C$1369,0)),"",INDEX('Compliance Database'!$A$2:$A$1369,MATCH(1120,Engine!$C$2:$C$1369,0)))</f>
        <v/>
      </c>
      <c r="B1133" s="8">
        <f>IF(ISNA(MATCH(1120,Engine!$C$2:$C$1369,0)),"",INDEX('Compliance Database'!$B$2:$B$1369,MATCH(1120,Engine!$C$2:$C$1369,0)))</f>
        <v/>
      </c>
      <c r="C1133" s="8">
        <f>IF(ISNA(MATCH(1120,Engine!$C$2:$C$1369,0)),"",INDEX('Compliance Database'!$C$2:$C$1369,MATCH(1120,Engine!$C$2:$C$1369,0)))</f>
        <v/>
      </c>
      <c r="D1133" s="9">
        <f>IF(ISNA(MATCH(1120,Engine!$C$2:$C$1369,0)),"",INDEX('Compliance Database'!$D$2:$D$1369,MATCH(1120,Engine!$C$2:$C$1369,0)))</f>
        <v/>
      </c>
      <c r="E1133" s="8">
        <f>IF(ISNA(MATCH(1120,Engine!$C$2:$C$1369,0)),"",INDEX('Compliance Database'!$E$2:$E$1369,MATCH(1120,Engine!$C$2:$C$1369,0)))</f>
        <v/>
      </c>
      <c r="F1133" s="8">
        <f>IF(ISNA(MATCH(1120,Engine!$C$2:$C$1369,0)),"",INDEX('Compliance Database'!$F$2:$F$1369,MATCH(1120,Engine!$C$2:$C$1369,0)))</f>
        <v/>
      </c>
      <c r="G1133" s="8">
        <f>IF(ISNA(MATCH(1120,Engine!$C$2:$C$1369,0)),"",INDEX('Compliance Database'!$G$2:$G$1369,MATCH(1120,Engine!$C$2:$C$1369,0)))</f>
        <v/>
      </c>
      <c r="H1133" s="9">
        <f>IF(ISNA(MATCH(1120,Engine!$C$2:$C$1369,0)),"",INDEX('Compliance Database'!$H$2:$H$1369,MATCH(1120,Engine!$C$2:$C$1369,0)))</f>
        <v/>
      </c>
      <c r="I1133" s="9">
        <f>IF(ISNA(MATCH(1120,Engine!$C$2:$C$1369,0)),"",INDEX('Compliance Database'!$I$2:$I$1369,MATCH(1120,Engine!$C$2:$C$1369,0)))</f>
        <v/>
      </c>
      <c r="J1133" s="8">
        <f>IF(ISNA(MATCH(1120,Engine!$C$2:$C$1369,0)),"",INDEX('Compliance Database'!$J$2:$J$1369,MATCH(1120,Engine!$C$2:$C$1369,0)))</f>
        <v/>
      </c>
      <c r="K1133" s="9">
        <f>IF(ISNA(MATCH(1120,Engine!$C$2:$C$1369,0)),"",INDEX('Compliance Database'!$K$2:$K$1369,MATCH(1120,Engine!$C$2:$C$1369,0)))</f>
        <v/>
      </c>
      <c r="L1133" s="9">
        <f>IF(ISNA(MATCH(1120,Engine!$C$2:$C$1369,0)),"",INDEX('Compliance Database'!$L$2:$L$1369,MATCH(1120,Engine!$C$2:$C$1369,0)))</f>
        <v/>
      </c>
      <c r="M1133" s="9">
        <f>IF(ISNA(MATCH(1120,Engine!$C$2:$C$1369,0)),"",INDEX('Compliance Database'!$M$2:$M$1369,MATCH(1120,Engine!$C$2:$C$1369,0)))</f>
        <v/>
      </c>
      <c r="N1133" s="9">
        <f>IF(ISNA(MATCH(1120,Engine!$C$2:$C$1369,0)),"",INDEX('Compliance Database'!$N$2:$N$1369,MATCH(1120,Engine!$C$2:$C$1369,0)))</f>
        <v/>
      </c>
      <c r="O1133" s="8">
        <f>IF(ISNA(MATCH(1120,Engine!$C$2:$C$1369,0)),"",HYPERLINK(INDEX('Compliance Database'!$O$2:$O$1369,MATCH(1120,Engine!$C$2:$C$1369,0)),"Open PDF"))</f>
        <v/>
      </c>
    </row>
    <row r="1134" ht="188" customHeight="1">
      <c r="A1134" s="8">
        <f>IF(ISNA(MATCH(1121,Engine!$C$2:$C$1369,0)),"",INDEX('Compliance Database'!$A$2:$A$1369,MATCH(1121,Engine!$C$2:$C$1369,0)))</f>
        <v/>
      </c>
      <c r="B1134" s="8">
        <f>IF(ISNA(MATCH(1121,Engine!$C$2:$C$1369,0)),"",INDEX('Compliance Database'!$B$2:$B$1369,MATCH(1121,Engine!$C$2:$C$1369,0)))</f>
        <v/>
      </c>
      <c r="C1134" s="8">
        <f>IF(ISNA(MATCH(1121,Engine!$C$2:$C$1369,0)),"",INDEX('Compliance Database'!$C$2:$C$1369,MATCH(1121,Engine!$C$2:$C$1369,0)))</f>
        <v/>
      </c>
      <c r="D1134" s="9">
        <f>IF(ISNA(MATCH(1121,Engine!$C$2:$C$1369,0)),"",INDEX('Compliance Database'!$D$2:$D$1369,MATCH(1121,Engine!$C$2:$C$1369,0)))</f>
        <v/>
      </c>
      <c r="E1134" s="8">
        <f>IF(ISNA(MATCH(1121,Engine!$C$2:$C$1369,0)),"",INDEX('Compliance Database'!$E$2:$E$1369,MATCH(1121,Engine!$C$2:$C$1369,0)))</f>
        <v/>
      </c>
      <c r="F1134" s="8">
        <f>IF(ISNA(MATCH(1121,Engine!$C$2:$C$1369,0)),"",INDEX('Compliance Database'!$F$2:$F$1369,MATCH(1121,Engine!$C$2:$C$1369,0)))</f>
        <v/>
      </c>
      <c r="G1134" s="8">
        <f>IF(ISNA(MATCH(1121,Engine!$C$2:$C$1369,0)),"",INDEX('Compliance Database'!$G$2:$G$1369,MATCH(1121,Engine!$C$2:$C$1369,0)))</f>
        <v/>
      </c>
      <c r="H1134" s="9">
        <f>IF(ISNA(MATCH(1121,Engine!$C$2:$C$1369,0)),"",INDEX('Compliance Database'!$H$2:$H$1369,MATCH(1121,Engine!$C$2:$C$1369,0)))</f>
        <v/>
      </c>
      <c r="I1134" s="9">
        <f>IF(ISNA(MATCH(1121,Engine!$C$2:$C$1369,0)),"",INDEX('Compliance Database'!$I$2:$I$1369,MATCH(1121,Engine!$C$2:$C$1369,0)))</f>
        <v/>
      </c>
      <c r="J1134" s="8">
        <f>IF(ISNA(MATCH(1121,Engine!$C$2:$C$1369,0)),"",INDEX('Compliance Database'!$J$2:$J$1369,MATCH(1121,Engine!$C$2:$C$1369,0)))</f>
        <v/>
      </c>
      <c r="K1134" s="9">
        <f>IF(ISNA(MATCH(1121,Engine!$C$2:$C$1369,0)),"",INDEX('Compliance Database'!$K$2:$K$1369,MATCH(1121,Engine!$C$2:$C$1369,0)))</f>
        <v/>
      </c>
      <c r="L1134" s="9">
        <f>IF(ISNA(MATCH(1121,Engine!$C$2:$C$1369,0)),"",INDEX('Compliance Database'!$L$2:$L$1369,MATCH(1121,Engine!$C$2:$C$1369,0)))</f>
        <v/>
      </c>
      <c r="M1134" s="9">
        <f>IF(ISNA(MATCH(1121,Engine!$C$2:$C$1369,0)),"",INDEX('Compliance Database'!$M$2:$M$1369,MATCH(1121,Engine!$C$2:$C$1369,0)))</f>
        <v/>
      </c>
      <c r="N1134" s="9">
        <f>IF(ISNA(MATCH(1121,Engine!$C$2:$C$1369,0)),"",INDEX('Compliance Database'!$N$2:$N$1369,MATCH(1121,Engine!$C$2:$C$1369,0)))</f>
        <v/>
      </c>
      <c r="O1134" s="8">
        <f>IF(ISNA(MATCH(1121,Engine!$C$2:$C$1369,0)),"",HYPERLINK(INDEX('Compliance Database'!$O$2:$O$1369,MATCH(1121,Engine!$C$2:$C$1369,0)),"Open PDF"))</f>
        <v/>
      </c>
    </row>
    <row r="1135" ht="188" customHeight="1">
      <c r="A1135" s="8">
        <f>IF(ISNA(MATCH(1122,Engine!$C$2:$C$1369,0)),"",INDEX('Compliance Database'!$A$2:$A$1369,MATCH(1122,Engine!$C$2:$C$1369,0)))</f>
        <v/>
      </c>
      <c r="B1135" s="8">
        <f>IF(ISNA(MATCH(1122,Engine!$C$2:$C$1369,0)),"",INDEX('Compliance Database'!$B$2:$B$1369,MATCH(1122,Engine!$C$2:$C$1369,0)))</f>
        <v/>
      </c>
      <c r="C1135" s="8">
        <f>IF(ISNA(MATCH(1122,Engine!$C$2:$C$1369,0)),"",INDEX('Compliance Database'!$C$2:$C$1369,MATCH(1122,Engine!$C$2:$C$1369,0)))</f>
        <v/>
      </c>
      <c r="D1135" s="9">
        <f>IF(ISNA(MATCH(1122,Engine!$C$2:$C$1369,0)),"",INDEX('Compliance Database'!$D$2:$D$1369,MATCH(1122,Engine!$C$2:$C$1369,0)))</f>
        <v/>
      </c>
      <c r="E1135" s="8">
        <f>IF(ISNA(MATCH(1122,Engine!$C$2:$C$1369,0)),"",INDEX('Compliance Database'!$E$2:$E$1369,MATCH(1122,Engine!$C$2:$C$1369,0)))</f>
        <v/>
      </c>
      <c r="F1135" s="8">
        <f>IF(ISNA(MATCH(1122,Engine!$C$2:$C$1369,0)),"",INDEX('Compliance Database'!$F$2:$F$1369,MATCH(1122,Engine!$C$2:$C$1369,0)))</f>
        <v/>
      </c>
      <c r="G1135" s="8">
        <f>IF(ISNA(MATCH(1122,Engine!$C$2:$C$1369,0)),"",INDEX('Compliance Database'!$G$2:$G$1369,MATCH(1122,Engine!$C$2:$C$1369,0)))</f>
        <v/>
      </c>
      <c r="H1135" s="9">
        <f>IF(ISNA(MATCH(1122,Engine!$C$2:$C$1369,0)),"",INDEX('Compliance Database'!$H$2:$H$1369,MATCH(1122,Engine!$C$2:$C$1369,0)))</f>
        <v/>
      </c>
      <c r="I1135" s="9">
        <f>IF(ISNA(MATCH(1122,Engine!$C$2:$C$1369,0)),"",INDEX('Compliance Database'!$I$2:$I$1369,MATCH(1122,Engine!$C$2:$C$1369,0)))</f>
        <v/>
      </c>
      <c r="J1135" s="8">
        <f>IF(ISNA(MATCH(1122,Engine!$C$2:$C$1369,0)),"",INDEX('Compliance Database'!$J$2:$J$1369,MATCH(1122,Engine!$C$2:$C$1369,0)))</f>
        <v/>
      </c>
      <c r="K1135" s="9">
        <f>IF(ISNA(MATCH(1122,Engine!$C$2:$C$1369,0)),"",INDEX('Compliance Database'!$K$2:$K$1369,MATCH(1122,Engine!$C$2:$C$1369,0)))</f>
        <v/>
      </c>
      <c r="L1135" s="9">
        <f>IF(ISNA(MATCH(1122,Engine!$C$2:$C$1369,0)),"",INDEX('Compliance Database'!$L$2:$L$1369,MATCH(1122,Engine!$C$2:$C$1369,0)))</f>
        <v/>
      </c>
      <c r="M1135" s="9">
        <f>IF(ISNA(MATCH(1122,Engine!$C$2:$C$1369,0)),"",INDEX('Compliance Database'!$M$2:$M$1369,MATCH(1122,Engine!$C$2:$C$1369,0)))</f>
        <v/>
      </c>
      <c r="N1135" s="9">
        <f>IF(ISNA(MATCH(1122,Engine!$C$2:$C$1369,0)),"",INDEX('Compliance Database'!$N$2:$N$1369,MATCH(1122,Engine!$C$2:$C$1369,0)))</f>
        <v/>
      </c>
      <c r="O1135" s="8">
        <f>IF(ISNA(MATCH(1122,Engine!$C$2:$C$1369,0)),"",HYPERLINK(INDEX('Compliance Database'!$O$2:$O$1369,MATCH(1122,Engine!$C$2:$C$1369,0)),"Open PDF"))</f>
        <v/>
      </c>
    </row>
    <row r="1136" ht="188" customHeight="1">
      <c r="A1136" s="8">
        <f>IF(ISNA(MATCH(1123,Engine!$C$2:$C$1369,0)),"",INDEX('Compliance Database'!$A$2:$A$1369,MATCH(1123,Engine!$C$2:$C$1369,0)))</f>
        <v/>
      </c>
      <c r="B1136" s="8">
        <f>IF(ISNA(MATCH(1123,Engine!$C$2:$C$1369,0)),"",INDEX('Compliance Database'!$B$2:$B$1369,MATCH(1123,Engine!$C$2:$C$1369,0)))</f>
        <v/>
      </c>
      <c r="C1136" s="8">
        <f>IF(ISNA(MATCH(1123,Engine!$C$2:$C$1369,0)),"",INDEX('Compliance Database'!$C$2:$C$1369,MATCH(1123,Engine!$C$2:$C$1369,0)))</f>
        <v/>
      </c>
      <c r="D1136" s="9">
        <f>IF(ISNA(MATCH(1123,Engine!$C$2:$C$1369,0)),"",INDEX('Compliance Database'!$D$2:$D$1369,MATCH(1123,Engine!$C$2:$C$1369,0)))</f>
        <v/>
      </c>
      <c r="E1136" s="8">
        <f>IF(ISNA(MATCH(1123,Engine!$C$2:$C$1369,0)),"",INDEX('Compliance Database'!$E$2:$E$1369,MATCH(1123,Engine!$C$2:$C$1369,0)))</f>
        <v/>
      </c>
      <c r="F1136" s="8">
        <f>IF(ISNA(MATCH(1123,Engine!$C$2:$C$1369,0)),"",INDEX('Compliance Database'!$F$2:$F$1369,MATCH(1123,Engine!$C$2:$C$1369,0)))</f>
        <v/>
      </c>
      <c r="G1136" s="8">
        <f>IF(ISNA(MATCH(1123,Engine!$C$2:$C$1369,0)),"",INDEX('Compliance Database'!$G$2:$G$1369,MATCH(1123,Engine!$C$2:$C$1369,0)))</f>
        <v/>
      </c>
      <c r="H1136" s="9">
        <f>IF(ISNA(MATCH(1123,Engine!$C$2:$C$1369,0)),"",INDEX('Compliance Database'!$H$2:$H$1369,MATCH(1123,Engine!$C$2:$C$1369,0)))</f>
        <v/>
      </c>
      <c r="I1136" s="9">
        <f>IF(ISNA(MATCH(1123,Engine!$C$2:$C$1369,0)),"",INDEX('Compliance Database'!$I$2:$I$1369,MATCH(1123,Engine!$C$2:$C$1369,0)))</f>
        <v/>
      </c>
      <c r="J1136" s="8">
        <f>IF(ISNA(MATCH(1123,Engine!$C$2:$C$1369,0)),"",INDEX('Compliance Database'!$J$2:$J$1369,MATCH(1123,Engine!$C$2:$C$1369,0)))</f>
        <v/>
      </c>
      <c r="K1136" s="9">
        <f>IF(ISNA(MATCH(1123,Engine!$C$2:$C$1369,0)),"",INDEX('Compliance Database'!$K$2:$K$1369,MATCH(1123,Engine!$C$2:$C$1369,0)))</f>
        <v/>
      </c>
      <c r="L1136" s="9">
        <f>IF(ISNA(MATCH(1123,Engine!$C$2:$C$1369,0)),"",INDEX('Compliance Database'!$L$2:$L$1369,MATCH(1123,Engine!$C$2:$C$1369,0)))</f>
        <v/>
      </c>
      <c r="M1136" s="9">
        <f>IF(ISNA(MATCH(1123,Engine!$C$2:$C$1369,0)),"",INDEX('Compliance Database'!$M$2:$M$1369,MATCH(1123,Engine!$C$2:$C$1369,0)))</f>
        <v/>
      </c>
      <c r="N1136" s="9">
        <f>IF(ISNA(MATCH(1123,Engine!$C$2:$C$1369,0)),"",INDEX('Compliance Database'!$N$2:$N$1369,MATCH(1123,Engine!$C$2:$C$1369,0)))</f>
        <v/>
      </c>
      <c r="O1136" s="8">
        <f>IF(ISNA(MATCH(1123,Engine!$C$2:$C$1369,0)),"",HYPERLINK(INDEX('Compliance Database'!$O$2:$O$1369,MATCH(1123,Engine!$C$2:$C$1369,0)),"Open PDF"))</f>
        <v/>
      </c>
    </row>
    <row r="1137" ht="188" customHeight="1">
      <c r="A1137" s="8">
        <f>IF(ISNA(MATCH(1124,Engine!$C$2:$C$1369,0)),"",INDEX('Compliance Database'!$A$2:$A$1369,MATCH(1124,Engine!$C$2:$C$1369,0)))</f>
        <v/>
      </c>
      <c r="B1137" s="8">
        <f>IF(ISNA(MATCH(1124,Engine!$C$2:$C$1369,0)),"",INDEX('Compliance Database'!$B$2:$B$1369,MATCH(1124,Engine!$C$2:$C$1369,0)))</f>
        <v/>
      </c>
      <c r="C1137" s="8">
        <f>IF(ISNA(MATCH(1124,Engine!$C$2:$C$1369,0)),"",INDEX('Compliance Database'!$C$2:$C$1369,MATCH(1124,Engine!$C$2:$C$1369,0)))</f>
        <v/>
      </c>
      <c r="D1137" s="9">
        <f>IF(ISNA(MATCH(1124,Engine!$C$2:$C$1369,0)),"",INDEX('Compliance Database'!$D$2:$D$1369,MATCH(1124,Engine!$C$2:$C$1369,0)))</f>
        <v/>
      </c>
      <c r="E1137" s="8">
        <f>IF(ISNA(MATCH(1124,Engine!$C$2:$C$1369,0)),"",INDEX('Compliance Database'!$E$2:$E$1369,MATCH(1124,Engine!$C$2:$C$1369,0)))</f>
        <v/>
      </c>
      <c r="F1137" s="8">
        <f>IF(ISNA(MATCH(1124,Engine!$C$2:$C$1369,0)),"",INDEX('Compliance Database'!$F$2:$F$1369,MATCH(1124,Engine!$C$2:$C$1369,0)))</f>
        <v/>
      </c>
      <c r="G1137" s="8">
        <f>IF(ISNA(MATCH(1124,Engine!$C$2:$C$1369,0)),"",INDEX('Compliance Database'!$G$2:$G$1369,MATCH(1124,Engine!$C$2:$C$1369,0)))</f>
        <v/>
      </c>
      <c r="H1137" s="9">
        <f>IF(ISNA(MATCH(1124,Engine!$C$2:$C$1369,0)),"",INDEX('Compliance Database'!$H$2:$H$1369,MATCH(1124,Engine!$C$2:$C$1369,0)))</f>
        <v/>
      </c>
      <c r="I1137" s="9">
        <f>IF(ISNA(MATCH(1124,Engine!$C$2:$C$1369,0)),"",INDEX('Compliance Database'!$I$2:$I$1369,MATCH(1124,Engine!$C$2:$C$1369,0)))</f>
        <v/>
      </c>
      <c r="J1137" s="8">
        <f>IF(ISNA(MATCH(1124,Engine!$C$2:$C$1369,0)),"",INDEX('Compliance Database'!$J$2:$J$1369,MATCH(1124,Engine!$C$2:$C$1369,0)))</f>
        <v/>
      </c>
      <c r="K1137" s="9">
        <f>IF(ISNA(MATCH(1124,Engine!$C$2:$C$1369,0)),"",INDEX('Compliance Database'!$K$2:$K$1369,MATCH(1124,Engine!$C$2:$C$1369,0)))</f>
        <v/>
      </c>
      <c r="L1137" s="9">
        <f>IF(ISNA(MATCH(1124,Engine!$C$2:$C$1369,0)),"",INDEX('Compliance Database'!$L$2:$L$1369,MATCH(1124,Engine!$C$2:$C$1369,0)))</f>
        <v/>
      </c>
      <c r="M1137" s="9">
        <f>IF(ISNA(MATCH(1124,Engine!$C$2:$C$1369,0)),"",INDEX('Compliance Database'!$M$2:$M$1369,MATCH(1124,Engine!$C$2:$C$1369,0)))</f>
        <v/>
      </c>
      <c r="N1137" s="9">
        <f>IF(ISNA(MATCH(1124,Engine!$C$2:$C$1369,0)),"",INDEX('Compliance Database'!$N$2:$N$1369,MATCH(1124,Engine!$C$2:$C$1369,0)))</f>
        <v/>
      </c>
      <c r="O1137" s="8">
        <f>IF(ISNA(MATCH(1124,Engine!$C$2:$C$1369,0)),"",HYPERLINK(INDEX('Compliance Database'!$O$2:$O$1369,MATCH(1124,Engine!$C$2:$C$1369,0)),"Open PDF"))</f>
        <v/>
      </c>
    </row>
    <row r="1138" ht="188" customHeight="1">
      <c r="A1138" s="8">
        <f>IF(ISNA(MATCH(1125,Engine!$C$2:$C$1369,0)),"",INDEX('Compliance Database'!$A$2:$A$1369,MATCH(1125,Engine!$C$2:$C$1369,0)))</f>
        <v/>
      </c>
      <c r="B1138" s="8">
        <f>IF(ISNA(MATCH(1125,Engine!$C$2:$C$1369,0)),"",INDEX('Compliance Database'!$B$2:$B$1369,MATCH(1125,Engine!$C$2:$C$1369,0)))</f>
        <v/>
      </c>
      <c r="C1138" s="8">
        <f>IF(ISNA(MATCH(1125,Engine!$C$2:$C$1369,0)),"",INDEX('Compliance Database'!$C$2:$C$1369,MATCH(1125,Engine!$C$2:$C$1369,0)))</f>
        <v/>
      </c>
      <c r="D1138" s="9">
        <f>IF(ISNA(MATCH(1125,Engine!$C$2:$C$1369,0)),"",INDEX('Compliance Database'!$D$2:$D$1369,MATCH(1125,Engine!$C$2:$C$1369,0)))</f>
        <v/>
      </c>
      <c r="E1138" s="8">
        <f>IF(ISNA(MATCH(1125,Engine!$C$2:$C$1369,0)),"",INDEX('Compliance Database'!$E$2:$E$1369,MATCH(1125,Engine!$C$2:$C$1369,0)))</f>
        <v/>
      </c>
      <c r="F1138" s="8">
        <f>IF(ISNA(MATCH(1125,Engine!$C$2:$C$1369,0)),"",INDEX('Compliance Database'!$F$2:$F$1369,MATCH(1125,Engine!$C$2:$C$1369,0)))</f>
        <v/>
      </c>
      <c r="G1138" s="8">
        <f>IF(ISNA(MATCH(1125,Engine!$C$2:$C$1369,0)),"",INDEX('Compliance Database'!$G$2:$G$1369,MATCH(1125,Engine!$C$2:$C$1369,0)))</f>
        <v/>
      </c>
      <c r="H1138" s="9">
        <f>IF(ISNA(MATCH(1125,Engine!$C$2:$C$1369,0)),"",INDEX('Compliance Database'!$H$2:$H$1369,MATCH(1125,Engine!$C$2:$C$1369,0)))</f>
        <v/>
      </c>
      <c r="I1138" s="9">
        <f>IF(ISNA(MATCH(1125,Engine!$C$2:$C$1369,0)),"",INDEX('Compliance Database'!$I$2:$I$1369,MATCH(1125,Engine!$C$2:$C$1369,0)))</f>
        <v/>
      </c>
      <c r="J1138" s="8">
        <f>IF(ISNA(MATCH(1125,Engine!$C$2:$C$1369,0)),"",INDEX('Compliance Database'!$J$2:$J$1369,MATCH(1125,Engine!$C$2:$C$1369,0)))</f>
        <v/>
      </c>
      <c r="K1138" s="9">
        <f>IF(ISNA(MATCH(1125,Engine!$C$2:$C$1369,0)),"",INDEX('Compliance Database'!$K$2:$K$1369,MATCH(1125,Engine!$C$2:$C$1369,0)))</f>
        <v/>
      </c>
      <c r="L1138" s="9">
        <f>IF(ISNA(MATCH(1125,Engine!$C$2:$C$1369,0)),"",INDEX('Compliance Database'!$L$2:$L$1369,MATCH(1125,Engine!$C$2:$C$1369,0)))</f>
        <v/>
      </c>
      <c r="M1138" s="9">
        <f>IF(ISNA(MATCH(1125,Engine!$C$2:$C$1369,0)),"",INDEX('Compliance Database'!$M$2:$M$1369,MATCH(1125,Engine!$C$2:$C$1369,0)))</f>
        <v/>
      </c>
      <c r="N1138" s="9">
        <f>IF(ISNA(MATCH(1125,Engine!$C$2:$C$1369,0)),"",INDEX('Compliance Database'!$N$2:$N$1369,MATCH(1125,Engine!$C$2:$C$1369,0)))</f>
        <v/>
      </c>
      <c r="O1138" s="8">
        <f>IF(ISNA(MATCH(1125,Engine!$C$2:$C$1369,0)),"",HYPERLINK(INDEX('Compliance Database'!$O$2:$O$1369,MATCH(1125,Engine!$C$2:$C$1369,0)),"Open PDF"))</f>
        <v/>
      </c>
    </row>
    <row r="1139" ht="188" customHeight="1">
      <c r="A1139" s="8">
        <f>IF(ISNA(MATCH(1126,Engine!$C$2:$C$1369,0)),"",INDEX('Compliance Database'!$A$2:$A$1369,MATCH(1126,Engine!$C$2:$C$1369,0)))</f>
        <v/>
      </c>
      <c r="B1139" s="8">
        <f>IF(ISNA(MATCH(1126,Engine!$C$2:$C$1369,0)),"",INDEX('Compliance Database'!$B$2:$B$1369,MATCH(1126,Engine!$C$2:$C$1369,0)))</f>
        <v/>
      </c>
      <c r="C1139" s="8">
        <f>IF(ISNA(MATCH(1126,Engine!$C$2:$C$1369,0)),"",INDEX('Compliance Database'!$C$2:$C$1369,MATCH(1126,Engine!$C$2:$C$1369,0)))</f>
        <v/>
      </c>
      <c r="D1139" s="9">
        <f>IF(ISNA(MATCH(1126,Engine!$C$2:$C$1369,0)),"",INDEX('Compliance Database'!$D$2:$D$1369,MATCH(1126,Engine!$C$2:$C$1369,0)))</f>
        <v/>
      </c>
      <c r="E1139" s="8">
        <f>IF(ISNA(MATCH(1126,Engine!$C$2:$C$1369,0)),"",INDEX('Compliance Database'!$E$2:$E$1369,MATCH(1126,Engine!$C$2:$C$1369,0)))</f>
        <v/>
      </c>
      <c r="F1139" s="8">
        <f>IF(ISNA(MATCH(1126,Engine!$C$2:$C$1369,0)),"",INDEX('Compliance Database'!$F$2:$F$1369,MATCH(1126,Engine!$C$2:$C$1369,0)))</f>
        <v/>
      </c>
      <c r="G1139" s="8">
        <f>IF(ISNA(MATCH(1126,Engine!$C$2:$C$1369,0)),"",INDEX('Compliance Database'!$G$2:$G$1369,MATCH(1126,Engine!$C$2:$C$1369,0)))</f>
        <v/>
      </c>
      <c r="H1139" s="9">
        <f>IF(ISNA(MATCH(1126,Engine!$C$2:$C$1369,0)),"",INDEX('Compliance Database'!$H$2:$H$1369,MATCH(1126,Engine!$C$2:$C$1369,0)))</f>
        <v/>
      </c>
      <c r="I1139" s="9">
        <f>IF(ISNA(MATCH(1126,Engine!$C$2:$C$1369,0)),"",INDEX('Compliance Database'!$I$2:$I$1369,MATCH(1126,Engine!$C$2:$C$1369,0)))</f>
        <v/>
      </c>
      <c r="J1139" s="8">
        <f>IF(ISNA(MATCH(1126,Engine!$C$2:$C$1369,0)),"",INDEX('Compliance Database'!$J$2:$J$1369,MATCH(1126,Engine!$C$2:$C$1369,0)))</f>
        <v/>
      </c>
      <c r="K1139" s="9">
        <f>IF(ISNA(MATCH(1126,Engine!$C$2:$C$1369,0)),"",INDEX('Compliance Database'!$K$2:$K$1369,MATCH(1126,Engine!$C$2:$C$1369,0)))</f>
        <v/>
      </c>
      <c r="L1139" s="9">
        <f>IF(ISNA(MATCH(1126,Engine!$C$2:$C$1369,0)),"",INDEX('Compliance Database'!$L$2:$L$1369,MATCH(1126,Engine!$C$2:$C$1369,0)))</f>
        <v/>
      </c>
      <c r="M1139" s="9">
        <f>IF(ISNA(MATCH(1126,Engine!$C$2:$C$1369,0)),"",INDEX('Compliance Database'!$M$2:$M$1369,MATCH(1126,Engine!$C$2:$C$1369,0)))</f>
        <v/>
      </c>
      <c r="N1139" s="9">
        <f>IF(ISNA(MATCH(1126,Engine!$C$2:$C$1369,0)),"",INDEX('Compliance Database'!$N$2:$N$1369,MATCH(1126,Engine!$C$2:$C$1369,0)))</f>
        <v/>
      </c>
      <c r="O1139" s="8">
        <f>IF(ISNA(MATCH(1126,Engine!$C$2:$C$1369,0)),"",HYPERLINK(INDEX('Compliance Database'!$O$2:$O$1369,MATCH(1126,Engine!$C$2:$C$1369,0)),"Open PDF"))</f>
        <v/>
      </c>
    </row>
    <row r="1140" ht="188" customHeight="1">
      <c r="A1140" s="8">
        <f>IF(ISNA(MATCH(1127,Engine!$C$2:$C$1369,0)),"",INDEX('Compliance Database'!$A$2:$A$1369,MATCH(1127,Engine!$C$2:$C$1369,0)))</f>
        <v/>
      </c>
      <c r="B1140" s="8">
        <f>IF(ISNA(MATCH(1127,Engine!$C$2:$C$1369,0)),"",INDEX('Compliance Database'!$B$2:$B$1369,MATCH(1127,Engine!$C$2:$C$1369,0)))</f>
        <v/>
      </c>
      <c r="C1140" s="8">
        <f>IF(ISNA(MATCH(1127,Engine!$C$2:$C$1369,0)),"",INDEX('Compliance Database'!$C$2:$C$1369,MATCH(1127,Engine!$C$2:$C$1369,0)))</f>
        <v/>
      </c>
      <c r="D1140" s="9">
        <f>IF(ISNA(MATCH(1127,Engine!$C$2:$C$1369,0)),"",INDEX('Compliance Database'!$D$2:$D$1369,MATCH(1127,Engine!$C$2:$C$1369,0)))</f>
        <v/>
      </c>
      <c r="E1140" s="8">
        <f>IF(ISNA(MATCH(1127,Engine!$C$2:$C$1369,0)),"",INDEX('Compliance Database'!$E$2:$E$1369,MATCH(1127,Engine!$C$2:$C$1369,0)))</f>
        <v/>
      </c>
      <c r="F1140" s="8">
        <f>IF(ISNA(MATCH(1127,Engine!$C$2:$C$1369,0)),"",INDEX('Compliance Database'!$F$2:$F$1369,MATCH(1127,Engine!$C$2:$C$1369,0)))</f>
        <v/>
      </c>
      <c r="G1140" s="8">
        <f>IF(ISNA(MATCH(1127,Engine!$C$2:$C$1369,0)),"",INDEX('Compliance Database'!$G$2:$G$1369,MATCH(1127,Engine!$C$2:$C$1369,0)))</f>
        <v/>
      </c>
      <c r="H1140" s="9">
        <f>IF(ISNA(MATCH(1127,Engine!$C$2:$C$1369,0)),"",INDEX('Compliance Database'!$H$2:$H$1369,MATCH(1127,Engine!$C$2:$C$1369,0)))</f>
        <v/>
      </c>
      <c r="I1140" s="9">
        <f>IF(ISNA(MATCH(1127,Engine!$C$2:$C$1369,0)),"",INDEX('Compliance Database'!$I$2:$I$1369,MATCH(1127,Engine!$C$2:$C$1369,0)))</f>
        <v/>
      </c>
      <c r="J1140" s="8">
        <f>IF(ISNA(MATCH(1127,Engine!$C$2:$C$1369,0)),"",INDEX('Compliance Database'!$J$2:$J$1369,MATCH(1127,Engine!$C$2:$C$1369,0)))</f>
        <v/>
      </c>
      <c r="K1140" s="9">
        <f>IF(ISNA(MATCH(1127,Engine!$C$2:$C$1369,0)),"",INDEX('Compliance Database'!$K$2:$K$1369,MATCH(1127,Engine!$C$2:$C$1369,0)))</f>
        <v/>
      </c>
      <c r="L1140" s="9">
        <f>IF(ISNA(MATCH(1127,Engine!$C$2:$C$1369,0)),"",INDEX('Compliance Database'!$L$2:$L$1369,MATCH(1127,Engine!$C$2:$C$1369,0)))</f>
        <v/>
      </c>
      <c r="M1140" s="9">
        <f>IF(ISNA(MATCH(1127,Engine!$C$2:$C$1369,0)),"",INDEX('Compliance Database'!$M$2:$M$1369,MATCH(1127,Engine!$C$2:$C$1369,0)))</f>
        <v/>
      </c>
      <c r="N1140" s="9">
        <f>IF(ISNA(MATCH(1127,Engine!$C$2:$C$1369,0)),"",INDEX('Compliance Database'!$N$2:$N$1369,MATCH(1127,Engine!$C$2:$C$1369,0)))</f>
        <v/>
      </c>
      <c r="O1140" s="8">
        <f>IF(ISNA(MATCH(1127,Engine!$C$2:$C$1369,0)),"",HYPERLINK(INDEX('Compliance Database'!$O$2:$O$1369,MATCH(1127,Engine!$C$2:$C$1369,0)),"Open PDF"))</f>
        <v/>
      </c>
    </row>
    <row r="1141" ht="188" customHeight="1">
      <c r="A1141" s="8">
        <f>IF(ISNA(MATCH(1128,Engine!$C$2:$C$1369,0)),"",INDEX('Compliance Database'!$A$2:$A$1369,MATCH(1128,Engine!$C$2:$C$1369,0)))</f>
        <v/>
      </c>
      <c r="B1141" s="8">
        <f>IF(ISNA(MATCH(1128,Engine!$C$2:$C$1369,0)),"",INDEX('Compliance Database'!$B$2:$B$1369,MATCH(1128,Engine!$C$2:$C$1369,0)))</f>
        <v/>
      </c>
      <c r="C1141" s="8">
        <f>IF(ISNA(MATCH(1128,Engine!$C$2:$C$1369,0)),"",INDEX('Compliance Database'!$C$2:$C$1369,MATCH(1128,Engine!$C$2:$C$1369,0)))</f>
        <v/>
      </c>
      <c r="D1141" s="9">
        <f>IF(ISNA(MATCH(1128,Engine!$C$2:$C$1369,0)),"",INDEX('Compliance Database'!$D$2:$D$1369,MATCH(1128,Engine!$C$2:$C$1369,0)))</f>
        <v/>
      </c>
      <c r="E1141" s="8">
        <f>IF(ISNA(MATCH(1128,Engine!$C$2:$C$1369,0)),"",INDEX('Compliance Database'!$E$2:$E$1369,MATCH(1128,Engine!$C$2:$C$1369,0)))</f>
        <v/>
      </c>
      <c r="F1141" s="8">
        <f>IF(ISNA(MATCH(1128,Engine!$C$2:$C$1369,0)),"",INDEX('Compliance Database'!$F$2:$F$1369,MATCH(1128,Engine!$C$2:$C$1369,0)))</f>
        <v/>
      </c>
      <c r="G1141" s="8">
        <f>IF(ISNA(MATCH(1128,Engine!$C$2:$C$1369,0)),"",INDEX('Compliance Database'!$G$2:$G$1369,MATCH(1128,Engine!$C$2:$C$1369,0)))</f>
        <v/>
      </c>
      <c r="H1141" s="9">
        <f>IF(ISNA(MATCH(1128,Engine!$C$2:$C$1369,0)),"",INDEX('Compliance Database'!$H$2:$H$1369,MATCH(1128,Engine!$C$2:$C$1369,0)))</f>
        <v/>
      </c>
      <c r="I1141" s="9">
        <f>IF(ISNA(MATCH(1128,Engine!$C$2:$C$1369,0)),"",INDEX('Compliance Database'!$I$2:$I$1369,MATCH(1128,Engine!$C$2:$C$1369,0)))</f>
        <v/>
      </c>
      <c r="J1141" s="8">
        <f>IF(ISNA(MATCH(1128,Engine!$C$2:$C$1369,0)),"",INDEX('Compliance Database'!$J$2:$J$1369,MATCH(1128,Engine!$C$2:$C$1369,0)))</f>
        <v/>
      </c>
      <c r="K1141" s="9">
        <f>IF(ISNA(MATCH(1128,Engine!$C$2:$C$1369,0)),"",INDEX('Compliance Database'!$K$2:$K$1369,MATCH(1128,Engine!$C$2:$C$1369,0)))</f>
        <v/>
      </c>
      <c r="L1141" s="9">
        <f>IF(ISNA(MATCH(1128,Engine!$C$2:$C$1369,0)),"",INDEX('Compliance Database'!$L$2:$L$1369,MATCH(1128,Engine!$C$2:$C$1369,0)))</f>
        <v/>
      </c>
      <c r="M1141" s="9">
        <f>IF(ISNA(MATCH(1128,Engine!$C$2:$C$1369,0)),"",INDEX('Compliance Database'!$M$2:$M$1369,MATCH(1128,Engine!$C$2:$C$1369,0)))</f>
        <v/>
      </c>
      <c r="N1141" s="9">
        <f>IF(ISNA(MATCH(1128,Engine!$C$2:$C$1369,0)),"",INDEX('Compliance Database'!$N$2:$N$1369,MATCH(1128,Engine!$C$2:$C$1369,0)))</f>
        <v/>
      </c>
      <c r="O1141" s="8">
        <f>IF(ISNA(MATCH(1128,Engine!$C$2:$C$1369,0)),"",HYPERLINK(INDEX('Compliance Database'!$O$2:$O$1369,MATCH(1128,Engine!$C$2:$C$1369,0)),"Open PDF"))</f>
        <v/>
      </c>
    </row>
    <row r="1142" ht="188" customHeight="1">
      <c r="A1142" s="8">
        <f>IF(ISNA(MATCH(1129,Engine!$C$2:$C$1369,0)),"",INDEX('Compliance Database'!$A$2:$A$1369,MATCH(1129,Engine!$C$2:$C$1369,0)))</f>
        <v/>
      </c>
      <c r="B1142" s="8">
        <f>IF(ISNA(MATCH(1129,Engine!$C$2:$C$1369,0)),"",INDEX('Compliance Database'!$B$2:$B$1369,MATCH(1129,Engine!$C$2:$C$1369,0)))</f>
        <v/>
      </c>
      <c r="C1142" s="8">
        <f>IF(ISNA(MATCH(1129,Engine!$C$2:$C$1369,0)),"",INDEX('Compliance Database'!$C$2:$C$1369,MATCH(1129,Engine!$C$2:$C$1369,0)))</f>
        <v/>
      </c>
      <c r="D1142" s="9">
        <f>IF(ISNA(MATCH(1129,Engine!$C$2:$C$1369,0)),"",INDEX('Compliance Database'!$D$2:$D$1369,MATCH(1129,Engine!$C$2:$C$1369,0)))</f>
        <v/>
      </c>
      <c r="E1142" s="8">
        <f>IF(ISNA(MATCH(1129,Engine!$C$2:$C$1369,0)),"",INDEX('Compliance Database'!$E$2:$E$1369,MATCH(1129,Engine!$C$2:$C$1369,0)))</f>
        <v/>
      </c>
      <c r="F1142" s="8">
        <f>IF(ISNA(MATCH(1129,Engine!$C$2:$C$1369,0)),"",INDEX('Compliance Database'!$F$2:$F$1369,MATCH(1129,Engine!$C$2:$C$1369,0)))</f>
        <v/>
      </c>
      <c r="G1142" s="8">
        <f>IF(ISNA(MATCH(1129,Engine!$C$2:$C$1369,0)),"",INDEX('Compliance Database'!$G$2:$G$1369,MATCH(1129,Engine!$C$2:$C$1369,0)))</f>
        <v/>
      </c>
      <c r="H1142" s="9">
        <f>IF(ISNA(MATCH(1129,Engine!$C$2:$C$1369,0)),"",INDEX('Compliance Database'!$H$2:$H$1369,MATCH(1129,Engine!$C$2:$C$1369,0)))</f>
        <v/>
      </c>
      <c r="I1142" s="9">
        <f>IF(ISNA(MATCH(1129,Engine!$C$2:$C$1369,0)),"",INDEX('Compliance Database'!$I$2:$I$1369,MATCH(1129,Engine!$C$2:$C$1369,0)))</f>
        <v/>
      </c>
      <c r="J1142" s="8">
        <f>IF(ISNA(MATCH(1129,Engine!$C$2:$C$1369,0)),"",INDEX('Compliance Database'!$J$2:$J$1369,MATCH(1129,Engine!$C$2:$C$1369,0)))</f>
        <v/>
      </c>
      <c r="K1142" s="9">
        <f>IF(ISNA(MATCH(1129,Engine!$C$2:$C$1369,0)),"",INDEX('Compliance Database'!$K$2:$K$1369,MATCH(1129,Engine!$C$2:$C$1369,0)))</f>
        <v/>
      </c>
      <c r="L1142" s="9">
        <f>IF(ISNA(MATCH(1129,Engine!$C$2:$C$1369,0)),"",INDEX('Compliance Database'!$L$2:$L$1369,MATCH(1129,Engine!$C$2:$C$1369,0)))</f>
        <v/>
      </c>
      <c r="M1142" s="9">
        <f>IF(ISNA(MATCH(1129,Engine!$C$2:$C$1369,0)),"",INDEX('Compliance Database'!$M$2:$M$1369,MATCH(1129,Engine!$C$2:$C$1369,0)))</f>
        <v/>
      </c>
      <c r="N1142" s="9">
        <f>IF(ISNA(MATCH(1129,Engine!$C$2:$C$1369,0)),"",INDEX('Compliance Database'!$N$2:$N$1369,MATCH(1129,Engine!$C$2:$C$1369,0)))</f>
        <v/>
      </c>
      <c r="O1142" s="8">
        <f>IF(ISNA(MATCH(1129,Engine!$C$2:$C$1369,0)),"",HYPERLINK(INDEX('Compliance Database'!$O$2:$O$1369,MATCH(1129,Engine!$C$2:$C$1369,0)),"Open PDF"))</f>
        <v/>
      </c>
    </row>
    <row r="1143" ht="188" customHeight="1">
      <c r="A1143" s="8">
        <f>IF(ISNA(MATCH(1130,Engine!$C$2:$C$1369,0)),"",INDEX('Compliance Database'!$A$2:$A$1369,MATCH(1130,Engine!$C$2:$C$1369,0)))</f>
        <v/>
      </c>
      <c r="B1143" s="8">
        <f>IF(ISNA(MATCH(1130,Engine!$C$2:$C$1369,0)),"",INDEX('Compliance Database'!$B$2:$B$1369,MATCH(1130,Engine!$C$2:$C$1369,0)))</f>
        <v/>
      </c>
      <c r="C1143" s="8">
        <f>IF(ISNA(MATCH(1130,Engine!$C$2:$C$1369,0)),"",INDEX('Compliance Database'!$C$2:$C$1369,MATCH(1130,Engine!$C$2:$C$1369,0)))</f>
        <v/>
      </c>
      <c r="D1143" s="9">
        <f>IF(ISNA(MATCH(1130,Engine!$C$2:$C$1369,0)),"",INDEX('Compliance Database'!$D$2:$D$1369,MATCH(1130,Engine!$C$2:$C$1369,0)))</f>
        <v/>
      </c>
      <c r="E1143" s="8">
        <f>IF(ISNA(MATCH(1130,Engine!$C$2:$C$1369,0)),"",INDEX('Compliance Database'!$E$2:$E$1369,MATCH(1130,Engine!$C$2:$C$1369,0)))</f>
        <v/>
      </c>
      <c r="F1143" s="8">
        <f>IF(ISNA(MATCH(1130,Engine!$C$2:$C$1369,0)),"",INDEX('Compliance Database'!$F$2:$F$1369,MATCH(1130,Engine!$C$2:$C$1369,0)))</f>
        <v/>
      </c>
      <c r="G1143" s="8">
        <f>IF(ISNA(MATCH(1130,Engine!$C$2:$C$1369,0)),"",INDEX('Compliance Database'!$G$2:$G$1369,MATCH(1130,Engine!$C$2:$C$1369,0)))</f>
        <v/>
      </c>
      <c r="H1143" s="9">
        <f>IF(ISNA(MATCH(1130,Engine!$C$2:$C$1369,0)),"",INDEX('Compliance Database'!$H$2:$H$1369,MATCH(1130,Engine!$C$2:$C$1369,0)))</f>
        <v/>
      </c>
      <c r="I1143" s="9">
        <f>IF(ISNA(MATCH(1130,Engine!$C$2:$C$1369,0)),"",INDEX('Compliance Database'!$I$2:$I$1369,MATCH(1130,Engine!$C$2:$C$1369,0)))</f>
        <v/>
      </c>
      <c r="J1143" s="8">
        <f>IF(ISNA(MATCH(1130,Engine!$C$2:$C$1369,0)),"",INDEX('Compliance Database'!$J$2:$J$1369,MATCH(1130,Engine!$C$2:$C$1369,0)))</f>
        <v/>
      </c>
      <c r="K1143" s="9">
        <f>IF(ISNA(MATCH(1130,Engine!$C$2:$C$1369,0)),"",INDEX('Compliance Database'!$K$2:$K$1369,MATCH(1130,Engine!$C$2:$C$1369,0)))</f>
        <v/>
      </c>
      <c r="L1143" s="9">
        <f>IF(ISNA(MATCH(1130,Engine!$C$2:$C$1369,0)),"",INDEX('Compliance Database'!$L$2:$L$1369,MATCH(1130,Engine!$C$2:$C$1369,0)))</f>
        <v/>
      </c>
      <c r="M1143" s="9">
        <f>IF(ISNA(MATCH(1130,Engine!$C$2:$C$1369,0)),"",INDEX('Compliance Database'!$M$2:$M$1369,MATCH(1130,Engine!$C$2:$C$1369,0)))</f>
        <v/>
      </c>
      <c r="N1143" s="9">
        <f>IF(ISNA(MATCH(1130,Engine!$C$2:$C$1369,0)),"",INDEX('Compliance Database'!$N$2:$N$1369,MATCH(1130,Engine!$C$2:$C$1369,0)))</f>
        <v/>
      </c>
      <c r="O1143" s="8">
        <f>IF(ISNA(MATCH(1130,Engine!$C$2:$C$1369,0)),"",HYPERLINK(INDEX('Compliance Database'!$O$2:$O$1369,MATCH(1130,Engine!$C$2:$C$1369,0)),"Open PDF"))</f>
        <v/>
      </c>
    </row>
    <row r="1144" ht="188" customHeight="1">
      <c r="A1144" s="8">
        <f>IF(ISNA(MATCH(1131,Engine!$C$2:$C$1369,0)),"",INDEX('Compliance Database'!$A$2:$A$1369,MATCH(1131,Engine!$C$2:$C$1369,0)))</f>
        <v/>
      </c>
      <c r="B1144" s="8">
        <f>IF(ISNA(MATCH(1131,Engine!$C$2:$C$1369,0)),"",INDEX('Compliance Database'!$B$2:$B$1369,MATCH(1131,Engine!$C$2:$C$1369,0)))</f>
        <v/>
      </c>
      <c r="C1144" s="8">
        <f>IF(ISNA(MATCH(1131,Engine!$C$2:$C$1369,0)),"",INDEX('Compliance Database'!$C$2:$C$1369,MATCH(1131,Engine!$C$2:$C$1369,0)))</f>
        <v/>
      </c>
      <c r="D1144" s="9">
        <f>IF(ISNA(MATCH(1131,Engine!$C$2:$C$1369,0)),"",INDEX('Compliance Database'!$D$2:$D$1369,MATCH(1131,Engine!$C$2:$C$1369,0)))</f>
        <v/>
      </c>
      <c r="E1144" s="8">
        <f>IF(ISNA(MATCH(1131,Engine!$C$2:$C$1369,0)),"",INDEX('Compliance Database'!$E$2:$E$1369,MATCH(1131,Engine!$C$2:$C$1369,0)))</f>
        <v/>
      </c>
      <c r="F1144" s="8">
        <f>IF(ISNA(MATCH(1131,Engine!$C$2:$C$1369,0)),"",INDEX('Compliance Database'!$F$2:$F$1369,MATCH(1131,Engine!$C$2:$C$1369,0)))</f>
        <v/>
      </c>
      <c r="G1144" s="8">
        <f>IF(ISNA(MATCH(1131,Engine!$C$2:$C$1369,0)),"",INDEX('Compliance Database'!$G$2:$G$1369,MATCH(1131,Engine!$C$2:$C$1369,0)))</f>
        <v/>
      </c>
      <c r="H1144" s="9">
        <f>IF(ISNA(MATCH(1131,Engine!$C$2:$C$1369,0)),"",INDEX('Compliance Database'!$H$2:$H$1369,MATCH(1131,Engine!$C$2:$C$1369,0)))</f>
        <v/>
      </c>
      <c r="I1144" s="9">
        <f>IF(ISNA(MATCH(1131,Engine!$C$2:$C$1369,0)),"",INDEX('Compliance Database'!$I$2:$I$1369,MATCH(1131,Engine!$C$2:$C$1369,0)))</f>
        <v/>
      </c>
      <c r="J1144" s="8">
        <f>IF(ISNA(MATCH(1131,Engine!$C$2:$C$1369,0)),"",INDEX('Compliance Database'!$J$2:$J$1369,MATCH(1131,Engine!$C$2:$C$1369,0)))</f>
        <v/>
      </c>
      <c r="K1144" s="9">
        <f>IF(ISNA(MATCH(1131,Engine!$C$2:$C$1369,0)),"",INDEX('Compliance Database'!$K$2:$K$1369,MATCH(1131,Engine!$C$2:$C$1369,0)))</f>
        <v/>
      </c>
      <c r="L1144" s="9">
        <f>IF(ISNA(MATCH(1131,Engine!$C$2:$C$1369,0)),"",INDEX('Compliance Database'!$L$2:$L$1369,MATCH(1131,Engine!$C$2:$C$1369,0)))</f>
        <v/>
      </c>
      <c r="M1144" s="9">
        <f>IF(ISNA(MATCH(1131,Engine!$C$2:$C$1369,0)),"",INDEX('Compliance Database'!$M$2:$M$1369,MATCH(1131,Engine!$C$2:$C$1369,0)))</f>
        <v/>
      </c>
      <c r="N1144" s="9">
        <f>IF(ISNA(MATCH(1131,Engine!$C$2:$C$1369,0)),"",INDEX('Compliance Database'!$N$2:$N$1369,MATCH(1131,Engine!$C$2:$C$1369,0)))</f>
        <v/>
      </c>
      <c r="O1144" s="8">
        <f>IF(ISNA(MATCH(1131,Engine!$C$2:$C$1369,0)),"",HYPERLINK(INDEX('Compliance Database'!$O$2:$O$1369,MATCH(1131,Engine!$C$2:$C$1369,0)),"Open PDF"))</f>
        <v/>
      </c>
    </row>
    <row r="1145" ht="188" customHeight="1">
      <c r="A1145" s="8">
        <f>IF(ISNA(MATCH(1132,Engine!$C$2:$C$1369,0)),"",INDEX('Compliance Database'!$A$2:$A$1369,MATCH(1132,Engine!$C$2:$C$1369,0)))</f>
        <v/>
      </c>
      <c r="B1145" s="8">
        <f>IF(ISNA(MATCH(1132,Engine!$C$2:$C$1369,0)),"",INDEX('Compliance Database'!$B$2:$B$1369,MATCH(1132,Engine!$C$2:$C$1369,0)))</f>
        <v/>
      </c>
      <c r="C1145" s="8">
        <f>IF(ISNA(MATCH(1132,Engine!$C$2:$C$1369,0)),"",INDEX('Compliance Database'!$C$2:$C$1369,MATCH(1132,Engine!$C$2:$C$1369,0)))</f>
        <v/>
      </c>
      <c r="D1145" s="9">
        <f>IF(ISNA(MATCH(1132,Engine!$C$2:$C$1369,0)),"",INDEX('Compliance Database'!$D$2:$D$1369,MATCH(1132,Engine!$C$2:$C$1369,0)))</f>
        <v/>
      </c>
      <c r="E1145" s="8">
        <f>IF(ISNA(MATCH(1132,Engine!$C$2:$C$1369,0)),"",INDEX('Compliance Database'!$E$2:$E$1369,MATCH(1132,Engine!$C$2:$C$1369,0)))</f>
        <v/>
      </c>
      <c r="F1145" s="8">
        <f>IF(ISNA(MATCH(1132,Engine!$C$2:$C$1369,0)),"",INDEX('Compliance Database'!$F$2:$F$1369,MATCH(1132,Engine!$C$2:$C$1369,0)))</f>
        <v/>
      </c>
      <c r="G1145" s="8">
        <f>IF(ISNA(MATCH(1132,Engine!$C$2:$C$1369,0)),"",INDEX('Compliance Database'!$G$2:$G$1369,MATCH(1132,Engine!$C$2:$C$1369,0)))</f>
        <v/>
      </c>
      <c r="H1145" s="9">
        <f>IF(ISNA(MATCH(1132,Engine!$C$2:$C$1369,0)),"",INDEX('Compliance Database'!$H$2:$H$1369,MATCH(1132,Engine!$C$2:$C$1369,0)))</f>
        <v/>
      </c>
      <c r="I1145" s="9">
        <f>IF(ISNA(MATCH(1132,Engine!$C$2:$C$1369,0)),"",INDEX('Compliance Database'!$I$2:$I$1369,MATCH(1132,Engine!$C$2:$C$1369,0)))</f>
        <v/>
      </c>
      <c r="J1145" s="8">
        <f>IF(ISNA(MATCH(1132,Engine!$C$2:$C$1369,0)),"",INDEX('Compliance Database'!$J$2:$J$1369,MATCH(1132,Engine!$C$2:$C$1369,0)))</f>
        <v/>
      </c>
      <c r="K1145" s="9">
        <f>IF(ISNA(MATCH(1132,Engine!$C$2:$C$1369,0)),"",INDEX('Compliance Database'!$K$2:$K$1369,MATCH(1132,Engine!$C$2:$C$1369,0)))</f>
        <v/>
      </c>
      <c r="L1145" s="9">
        <f>IF(ISNA(MATCH(1132,Engine!$C$2:$C$1369,0)),"",INDEX('Compliance Database'!$L$2:$L$1369,MATCH(1132,Engine!$C$2:$C$1369,0)))</f>
        <v/>
      </c>
      <c r="M1145" s="9">
        <f>IF(ISNA(MATCH(1132,Engine!$C$2:$C$1369,0)),"",INDEX('Compliance Database'!$M$2:$M$1369,MATCH(1132,Engine!$C$2:$C$1369,0)))</f>
        <v/>
      </c>
      <c r="N1145" s="9">
        <f>IF(ISNA(MATCH(1132,Engine!$C$2:$C$1369,0)),"",INDEX('Compliance Database'!$N$2:$N$1369,MATCH(1132,Engine!$C$2:$C$1369,0)))</f>
        <v/>
      </c>
      <c r="O1145" s="8">
        <f>IF(ISNA(MATCH(1132,Engine!$C$2:$C$1369,0)),"",HYPERLINK(INDEX('Compliance Database'!$O$2:$O$1369,MATCH(1132,Engine!$C$2:$C$1369,0)),"Open PDF"))</f>
        <v/>
      </c>
    </row>
    <row r="1146" ht="188" customHeight="1">
      <c r="A1146" s="8">
        <f>IF(ISNA(MATCH(1133,Engine!$C$2:$C$1369,0)),"",INDEX('Compliance Database'!$A$2:$A$1369,MATCH(1133,Engine!$C$2:$C$1369,0)))</f>
        <v/>
      </c>
      <c r="B1146" s="8">
        <f>IF(ISNA(MATCH(1133,Engine!$C$2:$C$1369,0)),"",INDEX('Compliance Database'!$B$2:$B$1369,MATCH(1133,Engine!$C$2:$C$1369,0)))</f>
        <v/>
      </c>
      <c r="C1146" s="8">
        <f>IF(ISNA(MATCH(1133,Engine!$C$2:$C$1369,0)),"",INDEX('Compliance Database'!$C$2:$C$1369,MATCH(1133,Engine!$C$2:$C$1369,0)))</f>
        <v/>
      </c>
      <c r="D1146" s="9">
        <f>IF(ISNA(MATCH(1133,Engine!$C$2:$C$1369,0)),"",INDEX('Compliance Database'!$D$2:$D$1369,MATCH(1133,Engine!$C$2:$C$1369,0)))</f>
        <v/>
      </c>
      <c r="E1146" s="8">
        <f>IF(ISNA(MATCH(1133,Engine!$C$2:$C$1369,0)),"",INDEX('Compliance Database'!$E$2:$E$1369,MATCH(1133,Engine!$C$2:$C$1369,0)))</f>
        <v/>
      </c>
      <c r="F1146" s="8">
        <f>IF(ISNA(MATCH(1133,Engine!$C$2:$C$1369,0)),"",INDEX('Compliance Database'!$F$2:$F$1369,MATCH(1133,Engine!$C$2:$C$1369,0)))</f>
        <v/>
      </c>
      <c r="G1146" s="8">
        <f>IF(ISNA(MATCH(1133,Engine!$C$2:$C$1369,0)),"",INDEX('Compliance Database'!$G$2:$G$1369,MATCH(1133,Engine!$C$2:$C$1369,0)))</f>
        <v/>
      </c>
      <c r="H1146" s="9">
        <f>IF(ISNA(MATCH(1133,Engine!$C$2:$C$1369,0)),"",INDEX('Compliance Database'!$H$2:$H$1369,MATCH(1133,Engine!$C$2:$C$1369,0)))</f>
        <v/>
      </c>
      <c r="I1146" s="9">
        <f>IF(ISNA(MATCH(1133,Engine!$C$2:$C$1369,0)),"",INDEX('Compliance Database'!$I$2:$I$1369,MATCH(1133,Engine!$C$2:$C$1369,0)))</f>
        <v/>
      </c>
      <c r="J1146" s="8">
        <f>IF(ISNA(MATCH(1133,Engine!$C$2:$C$1369,0)),"",INDEX('Compliance Database'!$J$2:$J$1369,MATCH(1133,Engine!$C$2:$C$1369,0)))</f>
        <v/>
      </c>
      <c r="K1146" s="9">
        <f>IF(ISNA(MATCH(1133,Engine!$C$2:$C$1369,0)),"",INDEX('Compliance Database'!$K$2:$K$1369,MATCH(1133,Engine!$C$2:$C$1369,0)))</f>
        <v/>
      </c>
      <c r="L1146" s="9">
        <f>IF(ISNA(MATCH(1133,Engine!$C$2:$C$1369,0)),"",INDEX('Compliance Database'!$L$2:$L$1369,MATCH(1133,Engine!$C$2:$C$1369,0)))</f>
        <v/>
      </c>
      <c r="M1146" s="9">
        <f>IF(ISNA(MATCH(1133,Engine!$C$2:$C$1369,0)),"",INDEX('Compliance Database'!$M$2:$M$1369,MATCH(1133,Engine!$C$2:$C$1369,0)))</f>
        <v/>
      </c>
      <c r="N1146" s="9">
        <f>IF(ISNA(MATCH(1133,Engine!$C$2:$C$1369,0)),"",INDEX('Compliance Database'!$N$2:$N$1369,MATCH(1133,Engine!$C$2:$C$1369,0)))</f>
        <v/>
      </c>
      <c r="O1146" s="8">
        <f>IF(ISNA(MATCH(1133,Engine!$C$2:$C$1369,0)),"",HYPERLINK(INDEX('Compliance Database'!$O$2:$O$1369,MATCH(1133,Engine!$C$2:$C$1369,0)),"Open PDF"))</f>
        <v/>
      </c>
    </row>
    <row r="1147" ht="188" customHeight="1">
      <c r="A1147" s="8">
        <f>IF(ISNA(MATCH(1134,Engine!$C$2:$C$1369,0)),"",INDEX('Compliance Database'!$A$2:$A$1369,MATCH(1134,Engine!$C$2:$C$1369,0)))</f>
        <v/>
      </c>
      <c r="B1147" s="8">
        <f>IF(ISNA(MATCH(1134,Engine!$C$2:$C$1369,0)),"",INDEX('Compliance Database'!$B$2:$B$1369,MATCH(1134,Engine!$C$2:$C$1369,0)))</f>
        <v/>
      </c>
      <c r="C1147" s="8">
        <f>IF(ISNA(MATCH(1134,Engine!$C$2:$C$1369,0)),"",INDEX('Compliance Database'!$C$2:$C$1369,MATCH(1134,Engine!$C$2:$C$1369,0)))</f>
        <v/>
      </c>
      <c r="D1147" s="9">
        <f>IF(ISNA(MATCH(1134,Engine!$C$2:$C$1369,0)),"",INDEX('Compliance Database'!$D$2:$D$1369,MATCH(1134,Engine!$C$2:$C$1369,0)))</f>
        <v/>
      </c>
      <c r="E1147" s="8">
        <f>IF(ISNA(MATCH(1134,Engine!$C$2:$C$1369,0)),"",INDEX('Compliance Database'!$E$2:$E$1369,MATCH(1134,Engine!$C$2:$C$1369,0)))</f>
        <v/>
      </c>
      <c r="F1147" s="8">
        <f>IF(ISNA(MATCH(1134,Engine!$C$2:$C$1369,0)),"",INDEX('Compliance Database'!$F$2:$F$1369,MATCH(1134,Engine!$C$2:$C$1369,0)))</f>
        <v/>
      </c>
      <c r="G1147" s="8">
        <f>IF(ISNA(MATCH(1134,Engine!$C$2:$C$1369,0)),"",INDEX('Compliance Database'!$G$2:$G$1369,MATCH(1134,Engine!$C$2:$C$1369,0)))</f>
        <v/>
      </c>
      <c r="H1147" s="9">
        <f>IF(ISNA(MATCH(1134,Engine!$C$2:$C$1369,0)),"",INDEX('Compliance Database'!$H$2:$H$1369,MATCH(1134,Engine!$C$2:$C$1369,0)))</f>
        <v/>
      </c>
      <c r="I1147" s="9">
        <f>IF(ISNA(MATCH(1134,Engine!$C$2:$C$1369,0)),"",INDEX('Compliance Database'!$I$2:$I$1369,MATCH(1134,Engine!$C$2:$C$1369,0)))</f>
        <v/>
      </c>
      <c r="J1147" s="8">
        <f>IF(ISNA(MATCH(1134,Engine!$C$2:$C$1369,0)),"",INDEX('Compliance Database'!$J$2:$J$1369,MATCH(1134,Engine!$C$2:$C$1369,0)))</f>
        <v/>
      </c>
      <c r="K1147" s="9">
        <f>IF(ISNA(MATCH(1134,Engine!$C$2:$C$1369,0)),"",INDEX('Compliance Database'!$K$2:$K$1369,MATCH(1134,Engine!$C$2:$C$1369,0)))</f>
        <v/>
      </c>
      <c r="L1147" s="9">
        <f>IF(ISNA(MATCH(1134,Engine!$C$2:$C$1369,0)),"",INDEX('Compliance Database'!$L$2:$L$1369,MATCH(1134,Engine!$C$2:$C$1369,0)))</f>
        <v/>
      </c>
      <c r="M1147" s="9">
        <f>IF(ISNA(MATCH(1134,Engine!$C$2:$C$1369,0)),"",INDEX('Compliance Database'!$M$2:$M$1369,MATCH(1134,Engine!$C$2:$C$1369,0)))</f>
        <v/>
      </c>
      <c r="N1147" s="9">
        <f>IF(ISNA(MATCH(1134,Engine!$C$2:$C$1369,0)),"",INDEX('Compliance Database'!$N$2:$N$1369,MATCH(1134,Engine!$C$2:$C$1369,0)))</f>
        <v/>
      </c>
      <c r="O1147" s="8">
        <f>IF(ISNA(MATCH(1134,Engine!$C$2:$C$1369,0)),"",HYPERLINK(INDEX('Compliance Database'!$O$2:$O$1369,MATCH(1134,Engine!$C$2:$C$1369,0)),"Open PDF"))</f>
        <v/>
      </c>
    </row>
    <row r="1148" ht="188" customHeight="1">
      <c r="A1148" s="8">
        <f>IF(ISNA(MATCH(1135,Engine!$C$2:$C$1369,0)),"",INDEX('Compliance Database'!$A$2:$A$1369,MATCH(1135,Engine!$C$2:$C$1369,0)))</f>
        <v/>
      </c>
      <c r="B1148" s="8">
        <f>IF(ISNA(MATCH(1135,Engine!$C$2:$C$1369,0)),"",INDEX('Compliance Database'!$B$2:$B$1369,MATCH(1135,Engine!$C$2:$C$1369,0)))</f>
        <v/>
      </c>
      <c r="C1148" s="8">
        <f>IF(ISNA(MATCH(1135,Engine!$C$2:$C$1369,0)),"",INDEX('Compliance Database'!$C$2:$C$1369,MATCH(1135,Engine!$C$2:$C$1369,0)))</f>
        <v/>
      </c>
      <c r="D1148" s="9">
        <f>IF(ISNA(MATCH(1135,Engine!$C$2:$C$1369,0)),"",INDEX('Compliance Database'!$D$2:$D$1369,MATCH(1135,Engine!$C$2:$C$1369,0)))</f>
        <v/>
      </c>
      <c r="E1148" s="8">
        <f>IF(ISNA(MATCH(1135,Engine!$C$2:$C$1369,0)),"",INDEX('Compliance Database'!$E$2:$E$1369,MATCH(1135,Engine!$C$2:$C$1369,0)))</f>
        <v/>
      </c>
      <c r="F1148" s="8">
        <f>IF(ISNA(MATCH(1135,Engine!$C$2:$C$1369,0)),"",INDEX('Compliance Database'!$F$2:$F$1369,MATCH(1135,Engine!$C$2:$C$1369,0)))</f>
        <v/>
      </c>
      <c r="G1148" s="8">
        <f>IF(ISNA(MATCH(1135,Engine!$C$2:$C$1369,0)),"",INDEX('Compliance Database'!$G$2:$G$1369,MATCH(1135,Engine!$C$2:$C$1369,0)))</f>
        <v/>
      </c>
      <c r="H1148" s="9">
        <f>IF(ISNA(MATCH(1135,Engine!$C$2:$C$1369,0)),"",INDEX('Compliance Database'!$H$2:$H$1369,MATCH(1135,Engine!$C$2:$C$1369,0)))</f>
        <v/>
      </c>
      <c r="I1148" s="9">
        <f>IF(ISNA(MATCH(1135,Engine!$C$2:$C$1369,0)),"",INDEX('Compliance Database'!$I$2:$I$1369,MATCH(1135,Engine!$C$2:$C$1369,0)))</f>
        <v/>
      </c>
      <c r="J1148" s="8">
        <f>IF(ISNA(MATCH(1135,Engine!$C$2:$C$1369,0)),"",INDEX('Compliance Database'!$J$2:$J$1369,MATCH(1135,Engine!$C$2:$C$1369,0)))</f>
        <v/>
      </c>
      <c r="K1148" s="9">
        <f>IF(ISNA(MATCH(1135,Engine!$C$2:$C$1369,0)),"",INDEX('Compliance Database'!$K$2:$K$1369,MATCH(1135,Engine!$C$2:$C$1369,0)))</f>
        <v/>
      </c>
      <c r="L1148" s="9">
        <f>IF(ISNA(MATCH(1135,Engine!$C$2:$C$1369,0)),"",INDEX('Compliance Database'!$L$2:$L$1369,MATCH(1135,Engine!$C$2:$C$1369,0)))</f>
        <v/>
      </c>
      <c r="M1148" s="9">
        <f>IF(ISNA(MATCH(1135,Engine!$C$2:$C$1369,0)),"",INDEX('Compliance Database'!$M$2:$M$1369,MATCH(1135,Engine!$C$2:$C$1369,0)))</f>
        <v/>
      </c>
      <c r="N1148" s="9">
        <f>IF(ISNA(MATCH(1135,Engine!$C$2:$C$1369,0)),"",INDEX('Compliance Database'!$N$2:$N$1369,MATCH(1135,Engine!$C$2:$C$1369,0)))</f>
        <v/>
      </c>
      <c r="O1148" s="8">
        <f>IF(ISNA(MATCH(1135,Engine!$C$2:$C$1369,0)),"",HYPERLINK(INDEX('Compliance Database'!$O$2:$O$1369,MATCH(1135,Engine!$C$2:$C$1369,0)),"Open PDF"))</f>
        <v/>
      </c>
    </row>
    <row r="1149" ht="188" customHeight="1">
      <c r="A1149" s="8">
        <f>IF(ISNA(MATCH(1136,Engine!$C$2:$C$1369,0)),"",INDEX('Compliance Database'!$A$2:$A$1369,MATCH(1136,Engine!$C$2:$C$1369,0)))</f>
        <v/>
      </c>
      <c r="B1149" s="8">
        <f>IF(ISNA(MATCH(1136,Engine!$C$2:$C$1369,0)),"",INDEX('Compliance Database'!$B$2:$B$1369,MATCH(1136,Engine!$C$2:$C$1369,0)))</f>
        <v/>
      </c>
      <c r="C1149" s="8">
        <f>IF(ISNA(MATCH(1136,Engine!$C$2:$C$1369,0)),"",INDEX('Compliance Database'!$C$2:$C$1369,MATCH(1136,Engine!$C$2:$C$1369,0)))</f>
        <v/>
      </c>
      <c r="D1149" s="9">
        <f>IF(ISNA(MATCH(1136,Engine!$C$2:$C$1369,0)),"",INDEX('Compliance Database'!$D$2:$D$1369,MATCH(1136,Engine!$C$2:$C$1369,0)))</f>
        <v/>
      </c>
      <c r="E1149" s="8">
        <f>IF(ISNA(MATCH(1136,Engine!$C$2:$C$1369,0)),"",INDEX('Compliance Database'!$E$2:$E$1369,MATCH(1136,Engine!$C$2:$C$1369,0)))</f>
        <v/>
      </c>
      <c r="F1149" s="8">
        <f>IF(ISNA(MATCH(1136,Engine!$C$2:$C$1369,0)),"",INDEX('Compliance Database'!$F$2:$F$1369,MATCH(1136,Engine!$C$2:$C$1369,0)))</f>
        <v/>
      </c>
      <c r="G1149" s="8">
        <f>IF(ISNA(MATCH(1136,Engine!$C$2:$C$1369,0)),"",INDEX('Compliance Database'!$G$2:$G$1369,MATCH(1136,Engine!$C$2:$C$1369,0)))</f>
        <v/>
      </c>
      <c r="H1149" s="9">
        <f>IF(ISNA(MATCH(1136,Engine!$C$2:$C$1369,0)),"",INDEX('Compliance Database'!$H$2:$H$1369,MATCH(1136,Engine!$C$2:$C$1369,0)))</f>
        <v/>
      </c>
      <c r="I1149" s="9">
        <f>IF(ISNA(MATCH(1136,Engine!$C$2:$C$1369,0)),"",INDEX('Compliance Database'!$I$2:$I$1369,MATCH(1136,Engine!$C$2:$C$1369,0)))</f>
        <v/>
      </c>
      <c r="J1149" s="8">
        <f>IF(ISNA(MATCH(1136,Engine!$C$2:$C$1369,0)),"",INDEX('Compliance Database'!$J$2:$J$1369,MATCH(1136,Engine!$C$2:$C$1369,0)))</f>
        <v/>
      </c>
      <c r="K1149" s="9">
        <f>IF(ISNA(MATCH(1136,Engine!$C$2:$C$1369,0)),"",INDEX('Compliance Database'!$K$2:$K$1369,MATCH(1136,Engine!$C$2:$C$1369,0)))</f>
        <v/>
      </c>
      <c r="L1149" s="9">
        <f>IF(ISNA(MATCH(1136,Engine!$C$2:$C$1369,0)),"",INDEX('Compliance Database'!$L$2:$L$1369,MATCH(1136,Engine!$C$2:$C$1369,0)))</f>
        <v/>
      </c>
      <c r="M1149" s="9">
        <f>IF(ISNA(MATCH(1136,Engine!$C$2:$C$1369,0)),"",INDEX('Compliance Database'!$M$2:$M$1369,MATCH(1136,Engine!$C$2:$C$1369,0)))</f>
        <v/>
      </c>
      <c r="N1149" s="9">
        <f>IF(ISNA(MATCH(1136,Engine!$C$2:$C$1369,0)),"",INDEX('Compliance Database'!$N$2:$N$1369,MATCH(1136,Engine!$C$2:$C$1369,0)))</f>
        <v/>
      </c>
      <c r="O1149" s="8">
        <f>IF(ISNA(MATCH(1136,Engine!$C$2:$C$1369,0)),"",HYPERLINK(INDEX('Compliance Database'!$O$2:$O$1369,MATCH(1136,Engine!$C$2:$C$1369,0)),"Open PDF"))</f>
        <v/>
      </c>
    </row>
    <row r="1150" ht="188" customHeight="1">
      <c r="A1150" s="8">
        <f>IF(ISNA(MATCH(1137,Engine!$C$2:$C$1369,0)),"",INDEX('Compliance Database'!$A$2:$A$1369,MATCH(1137,Engine!$C$2:$C$1369,0)))</f>
        <v/>
      </c>
      <c r="B1150" s="8">
        <f>IF(ISNA(MATCH(1137,Engine!$C$2:$C$1369,0)),"",INDEX('Compliance Database'!$B$2:$B$1369,MATCH(1137,Engine!$C$2:$C$1369,0)))</f>
        <v/>
      </c>
      <c r="C1150" s="8">
        <f>IF(ISNA(MATCH(1137,Engine!$C$2:$C$1369,0)),"",INDEX('Compliance Database'!$C$2:$C$1369,MATCH(1137,Engine!$C$2:$C$1369,0)))</f>
        <v/>
      </c>
      <c r="D1150" s="9">
        <f>IF(ISNA(MATCH(1137,Engine!$C$2:$C$1369,0)),"",INDEX('Compliance Database'!$D$2:$D$1369,MATCH(1137,Engine!$C$2:$C$1369,0)))</f>
        <v/>
      </c>
      <c r="E1150" s="8">
        <f>IF(ISNA(MATCH(1137,Engine!$C$2:$C$1369,0)),"",INDEX('Compliance Database'!$E$2:$E$1369,MATCH(1137,Engine!$C$2:$C$1369,0)))</f>
        <v/>
      </c>
      <c r="F1150" s="8">
        <f>IF(ISNA(MATCH(1137,Engine!$C$2:$C$1369,0)),"",INDEX('Compliance Database'!$F$2:$F$1369,MATCH(1137,Engine!$C$2:$C$1369,0)))</f>
        <v/>
      </c>
      <c r="G1150" s="8">
        <f>IF(ISNA(MATCH(1137,Engine!$C$2:$C$1369,0)),"",INDEX('Compliance Database'!$G$2:$G$1369,MATCH(1137,Engine!$C$2:$C$1369,0)))</f>
        <v/>
      </c>
      <c r="H1150" s="9">
        <f>IF(ISNA(MATCH(1137,Engine!$C$2:$C$1369,0)),"",INDEX('Compliance Database'!$H$2:$H$1369,MATCH(1137,Engine!$C$2:$C$1369,0)))</f>
        <v/>
      </c>
      <c r="I1150" s="9">
        <f>IF(ISNA(MATCH(1137,Engine!$C$2:$C$1369,0)),"",INDEX('Compliance Database'!$I$2:$I$1369,MATCH(1137,Engine!$C$2:$C$1369,0)))</f>
        <v/>
      </c>
      <c r="J1150" s="8">
        <f>IF(ISNA(MATCH(1137,Engine!$C$2:$C$1369,0)),"",INDEX('Compliance Database'!$J$2:$J$1369,MATCH(1137,Engine!$C$2:$C$1369,0)))</f>
        <v/>
      </c>
      <c r="K1150" s="9">
        <f>IF(ISNA(MATCH(1137,Engine!$C$2:$C$1369,0)),"",INDEX('Compliance Database'!$K$2:$K$1369,MATCH(1137,Engine!$C$2:$C$1369,0)))</f>
        <v/>
      </c>
      <c r="L1150" s="9">
        <f>IF(ISNA(MATCH(1137,Engine!$C$2:$C$1369,0)),"",INDEX('Compliance Database'!$L$2:$L$1369,MATCH(1137,Engine!$C$2:$C$1369,0)))</f>
        <v/>
      </c>
      <c r="M1150" s="9">
        <f>IF(ISNA(MATCH(1137,Engine!$C$2:$C$1369,0)),"",INDEX('Compliance Database'!$M$2:$M$1369,MATCH(1137,Engine!$C$2:$C$1369,0)))</f>
        <v/>
      </c>
      <c r="N1150" s="9">
        <f>IF(ISNA(MATCH(1137,Engine!$C$2:$C$1369,0)),"",INDEX('Compliance Database'!$N$2:$N$1369,MATCH(1137,Engine!$C$2:$C$1369,0)))</f>
        <v/>
      </c>
      <c r="O1150" s="8">
        <f>IF(ISNA(MATCH(1137,Engine!$C$2:$C$1369,0)),"",HYPERLINK(INDEX('Compliance Database'!$O$2:$O$1369,MATCH(1137,Engine!$C$2:$C$1369,0)),"Open PDF"))</f>
        <v/>
      </c>
    </row>
    <row r="1151" ht="188" customHeight="1">
      <c r="A1151" s="8">
        <f>IF(ISNA(MATCH(1138,Engine!$C$2:$C$1369,0)),"",INDEX('Compliance Database'!$A$2:$A$1369,MATCH(1138,Engine!$C$2:$C$1369,0)))</f>
        <v/>
      </c>
      <c r="B1151" s="8">
        <f>IF(ISNA(MATCH(1138,Engine!$C$2:$C$1369,0)),"",INDEX('Compliance Database'!$B$2:$B$1369,MATCH(1138,Engine!$C$2:$C$1369,0)))</f>
        <v/>
      </c>
      <c r="C1151" s="8">
        <f>IF(ISNA(MATCH(1138,Engine!$C$2:$C$1369,0)),"",INDEX('Compliance Database'!$C$2:$C$1369,MATCH(1138,Engine!$C$2:$C$1369,0)))</f>
        <v/>
      </c>
      <c r="D1151" s="9">
        <f>IF(ISNA(MATCH(1138,Engine!$C$2:$C$1369,0)),"",INDEX('Compliance Database'!$D$2:$D$1369,MATCH(1138,Engine!$C$2:$C$1369,0)))</f>
        <v/>
      </c>
      <c r="E1151" s="8">
        <f>IF(ISNA(MATCH(1138,Engine!$C$2:$C$1369,0)),"",INDEX('Compliance Database'!$E$2:$E$1369,MATCH(1138,Engine!$C$2:$C$1369,0)))</f>
        <v/>
      </c>
      <c r="F1151" s="8">
        <f>IF(ISNA(MATCH(1138,Engine!$C$2:$C$1369,0)),"",INDEX('Compliance Database'!$F$2:$F$1369,MATCH(1138,Engine!$C$2:$C$1369,0)))</f>
        <v/>
      </c>
      <c r="G1151" s="8">
        <f>IF(ISNA(MATCH(1138,Engine!$C$2:$C$1369,0)),"",INDEX('Compliance Database'!$G$2:$G$1369,MATCH(1138,Engine!$C$2:$C$1369,0)))</f>
        <v/>
      </c>
      <c r="H1151" s="9">
        <f>IF(ISNA(MATCH(1138,Engine!$C$2:$C$1369,0)),"",INDEX('Compliance Database'!$H$2:$H$1369,MATCH(1138,Engine!$C$2:$C$1369,0)))</f>
        <v/>
      </c>
      <c r="I1151" s="9">
        <f>IF(ISNA(MATCH(1138,Engine!$C$2:$C$1369,0)),"",INDEX('Compliance Database'!$I$2:$I$1369,MATCH(1138,Engine!$C$2:$C$1369,0)))</f>
        <v/>
      </c>
      <c r="J1151" s="8">
        <f>IF(ISNA(MATCH(1138,Engine!$C$2:$C$1369,0)),"",INDEX('Compliance Database'!$J$2:$J$1369,MATCH(1138,Engine!$C$2:$C$1369,0)))</f>
        <v/>
      </c>
      <c r="K1151" s="9">
        <f>IF(ISNA(MATCH(1138,Engine!$C$2:$C$1369,0)),"",INDEX('Compliance Database'!$K$2:$K$1369,MATCH(1138,Engine!$C$2:$C$1369,0)))</f>
        <v/>
      </c>
      <c r="L1151" s="9">
        <f>IF(ISNA(MATCH(1138,Engine!$C$2:$C$1369,0)),"",INDEX('Compliance Database'!$L$2:$L$1369,MATCH(1138,Engine!$C$2:$C$1369,0)))</f>
        <v/>
      </c>
      <c r="M1151" s="9">
        <f>IF(ISNA(MATCH(1138,Engine!$C$2:$C$1369,0)),"",INDEX('Compliance Database'!$M$2:$M$1369,MATCH(1138,Engine!$C$2:$C$1369,0)))</f>
        <v/>
      </c>
      <c r="N1151" s="9">
        <f>IF(ISNA(MATCH(1138,Engine!$C$2:$C$1369,0)),"",INDEX('Compliance Database'!$N$2:$N$1369,MATCH(1138,Engine!$C$2:$C$1369,0)))</f>
        <v/>
      </c>
      <c r="O1151" s="8">
        <f>IF(ISNA(MATCH(1138,Engine!$C$2:$C$1369,0)),"",HYPERLINK(INDEX('Compliance Database'!$O$2:$O$1369,MATCH(1138,Engine!$C$2:$C$1369,0)),"Open PDF"))</f>
        <v/>
      </c>
    </row>
    <row r="1152" ht="188" customHeight="1">
      <c r="A1152" s="8">
        <f>IF(ISNA(MATCH(1139,Engine!$C$2:$C$1369,0)),"",INDEX('Compliance Database'!$A$2:$A$1369,MATCH(1139,Engine!$C$2:$C$1369,0)))</f>
        <v/>
      </c>
      <c r="B1152" s="8">
        <f>IF(ISNA(MATCH(1139,Engine!$C$2:$C$1369,0)),"",INDEX('Compliance Database'!$B$2:$B$1369,MATCH(1139,Engine!$C$2:$C$1369,0)))</f>
        <v/>
      </c>
      <c r="C1152" s="8">
        <f>IF(ISNA(MATCH(1139,Engine!$C$2:$C$1369,0)),"",INDEX('Compliance Database'!$C$2:$C$1369,MATCH(1139,Engine!$C$2:$C$1369,0)))</f>
        <v/>
      </c>
      <c r="D1152" s="9">
        <f>IF(ISNA(MATCH(1139,Engine!$C$2:$C$1369,0)),"",INDEX('Compliance Database'!$D$2:$D$1369,MATCH(1139,Engine!$C$2:$C$1369,0)))</f>
        <v/>
      </c>
      <c r="E1152" s="8">
        <f>IF(ISNA(MATCH(1139,Engine!$C$2:$C$1369,0)),"",INDEX('Compliance Database'!$E$2:$E$1369,MATCH(1139,Engine!$C$2:$C$1369,0)))</f>
        <v/>
      </c>
      <c r="F1152" s="8">
        <f>IF(ISNA(MATCH(1139,Engine!$C$2:$C$1369,0)),"",INDEX('Compliance Database'!$F$2:$F$1369,MATCH(1139,Engine!$C$2:$C$1369,0)))</f>
        <v/>
      </c>
      <c r="G1152" s="8">
        <f>IF(ISNA(MATCH(1139,Engine!$C$2:$C$1369,0)),"",INDEX('Compliance Database'!$G$2:$G$1369,MATCH(1139,Engine!$C$2:$C$1369,0)))</f>
        <v/>
      </c>
      <c r="H1152" s="9">
        <f>IF(ISNA(MATCH(1139,Engine!$C$2:$C$1369,0)),"",INDEX('Compliance Database'!$H$2:$H$1369,MATCH(1139,Engine!$C$2:$C$1369,0)))</f>
        <v/>
      </c>
      <c r="I1152" s="9">
        <f>IF(ISNA(MATCH(1139,Engine!$C$2:$C$1369,0)),"",INDEX('Compliance Database'!$I$2:$I$1369,MATCH(1139,Engine!$C$2:$C$1369,0)))</f>
        <v/>
      </c>
      <c r="J1152" s="8">
        <f>IF(ISNA(MATCH(1139,Engine!$C$2:$C$1369,0)),"",INDEX('Compliance Database'!$J$2:$J$1369,MATCH(1139,Engine!$C$2:$C$1369,0)))</f>
        <v/>
      </c>
      <c r="K1152" s="9">
        <f>IF(ISNA(MATCH(1139,Engine!$C$2:$C$1369,0)),"",INDEX('Compliance Database'!$K$2:$K$1369,MATCH(1139,Engine!$C$2:$C$1369,0)))</f>
        <v/>
      </c>
      <c r="L1152" s="9">
        <f>IF(ISNA(MATCH(1139,Engine!$C$2:$C$1369,0)),"",INDEX('Compliance Database'!$L$2:$L$1369,MATCH(1139,Engine!$C$2:$C$1369,0)))</f>
        <v/>
      </c>
      <c r="M1152" s="9">
        <f>IF(ISNA(MATCH(1139,Engine!$C$2:$C$1369,0)),"",INDEX('Compliance Database'!$M$2:$M$1369,MATCH(1139,Engine!$C$2:$C$1369,0)))</f>
        <v/>
      </c>
      <c r="N1152" s="9">
        <f>IF(ISNA(MATCH(1139,Engine!$C$2:$C$1369,0)),"",INDEX('Compliance Database'!$N$2:$N$1369,MATCH(1139,Engine!$C$2:$C$1369,0)))</f>
        <v/>
      </c>
      <c r="O1152" s="8">
        <f>IF(ISNA(MATCH(1139,Engine!$C$2:$C$1369,0)),"",HYPERLINK(INDEX('Compliance Database'!$O$2:$O$1369,MATCH(1139,Engine!$C$2:$C$1369,0)),"Open PDF"))</f>
        <v/>
      </c>
    </row>
    <row r="1153" ht="188" customHeight="1">
      <c r="A1153" s="8">
        <f>IF(ISNA(MATCH(1140,Engine!$C$2:$C$1369,0)),"",INDEX('Compliance Database'!$A$2:$A$1369,MATCH(1140,Engine!$C$2:$C$1369,0)))</f>
        <v/>
      </c>
      <c r="B1153" s="8">
        <f>IF(ISNA(MATCH(1140,Engine!$C$2:$C$1369,0)),"",INDEX('Compliance Database'!$B$2:$B$1369,MATCH(1140,Engine!$C$2:$C$1369,0)))</f>
        <v/>
      </c>
      <c r="C1153" s="8">
        <f>IF(ISNA(MATCH(1140,Engine!$C$2:$C$1369,0)),"",INDEX('Compliance Database'!$C$2:$C$1369,MATCH(1140,Engine!$C$2:$C$1369,0)))</f>
        <v/>
      </c>
      <c r="D1153" s="9">
        <f>IF(ISNA(MATCH(1140,Engine!$C$2:$C$1369,0)),"",INDEX('Compliance Database'!$D$2:$D$1369,MATCH(1140,Engine!$C$2:$C$1369,0)))</f>
        <v/>
      </c>
      <c r="E1153" s="8">
        <f>IF(ISNA(MATCH(1140,Engine!$C$2:$C$1369,0)),"",INDEX('Compliance Database'!$E$2:$E$1369,MATCH(1140,Engine!$C$2:$C$1369,0)))</f>
        <v/>
      </c>
      <c r="F1153" s="8">
        <f>IF(ISNA(MATCH(1140,Engine!$C$2:$C$1369,0)),"",INDEX('Compliance Database'!$F$2:$F$1369,MATCH(1140,Engine!$C$2:$C$1369,0)))</f>
        <v/>
      </c>
      <c r="G1153" s="8">
        <f>IF(ISNA(MATCH(1140,Engine!$C$2:$C$1369,0)),"",INDEX('Compliance Database'!$G$2:$G$1369,MATCH(1140,Engine!$C$2:$C$1369,0)))</f>
        <v/>
      </c>
      <c r="H1153" s="9">
        <f>IF(ISNA(MATCH(1140,Engine!$C$2:$C$1369,0)),"",INDEX('Compliance Database'!$H$2:$H$1369,MATCH(1140,Engine!$C$2:$C$1369,0)))</f>
        <v/>
      </c>
      <c r="I1153" s="9">
        <f>IF(ISNA(MATCH(1140,Engine!$C$2:$C$1369,0)),"",INDEX('Compliance Database'!$I$2:$I$1369,MATCH(1140,Engine!$C$2:$C$1369,0)))</f>
        <v/>
      </c>
      <c r="J1153" s="8">
        <f>IF(ISNA(MATCH(1140,Engine!$C$2:$C$1369,0)),"",INDEX('Compliance Database'!$J$2:$J$1369,MATCH(1140,Engine!$C$2:$C$1369,0)))</f>
        <v/>
      </c>
      <c r="K1153" s="9">
        <f>IF(ISNA(MATCH(1140,Engine!$C$2:$C$1369,0)),"",INDEX('Compliance Database'!$K$2:$K$1369,MATCH(1140,Engine!$C$2:$C$1369,0)))</f>
        <v/>
      </c>
      <c r="L1153" s="9">
        <f>IF(ISNA(MATCH(1140,Engine!$C$2:$C$1369,0)),"",INDEX('Compliance Database'!$L$2:$L$1369,MATCH(1140,Engine!$C$2:$C$1369,0)))</f>
        <v/>
      </c>
      <c r="M1153" s="9">
        <f>IF(ISNA(MATCH(1140,Engine!$C$2:$C$1369,0)),"",INDEX('Compliance Database'!$M$2:$M$1369,MATCH(1140,Engine!$C$2:$C$1369,0)))</f>
        <v/>
      </c>
      <c r="N1153" s="9">
        <f>IF(ISNA(MATCH(1140,Engine!$C$2:$C$1369,0)),"",INDEX('Compliance Database'!$N$2:$N$1369,MATCH(1140,Engine!$C$2:$C$1369,0)))</f>
        <v/>
      </c>
      <c r="O1153" s="8">
        <f>IF(ISNA(MATCH(1140,Engine!$C$2:$C$1369,0)),"",HYPERLINK(INDEX('Compliance Database'!$O$2:$O$1369,MATCH(1140,Engine!$C$2:$C$1369,0)),"Open PDF"))</f>
        <v/>
      </c>
    </row>
    <row r="1154" ht="188" customHeight="1">
      <c r="A1154" s="8">
        <f>IF(ISNA(MATCH(1141,Engine!$C$2:$C$1369,0)),"",INDEX('Compliance Database'!$A$2:$A$1369,MATCH(1141,Engine!$C$2:$C$1369,0)))</f>
        <v/>
      </c>
      <c r="B1154" s="8">
        <f>IF(ISNA(MATCH(1141,Engine!$C$2:$C$1369,0)),"",INDEX('Compliance Database'!$B$2:$B$1369,MATCH(1141,Engine!$C$2:$C$1369,0)))</f>
        <v/>
      </c>
      <c r="C1154" s="8">
        <f>IF(ISNA(MATCH(1141,Engine!$C$2:$C$1369,0)),"",INDEX('Compliance Database'!$C$2:$C$1369,MATCH(1141,Engine!$C$2:$C$1369,0)))</f>
        <v/>
      </c>
      <c r="D1154" s="9">
        <f>IF(ISNA(MATCH(1141,Engine!$C$2:$C$1369,0)),"",INDEX('Compliance Database'!$D$2:$D$1369,MATCH(1141,Engine!$C$2:$C$1369,0)))</f>
        <v/>
      </c>
      <c r="E1154" s="8">
        <f>IF(ISNA(MATCH(1141,Engine!$C$2:$C$1369,0)),"",INDEX('Compliance Database'!$E$2:$E$1369,MATCH(1141,Engine!$C$2:$C$1369,0)))</f>
        <v/>
      </c>
      <c r="F1154" s="8">
        <f>IF(ISNA(MATCH(1141,Engine!$C$2:$C$1369,0)),"",INDEX('Compliance Database'!$F$2:$F$1369,MATCH(1141,Engine!$C$2:$C$1369,0)))</f>
        <v/>
      </c>
      <c r="G1154" s="8">
        <f>IF(ISNA(MATCH(1141,Engine!$C$2:$C$1369,0)),"",INDEX('Compliance Database'!$G$2:$G$1369,MATCH(1141,Engine!$C$2:$C$1369,0)))</f>
        <v/>
      </c>
      <c r="H1154" s="9">
        <f>IF(ISNA(MATCH(1141,Engine!$C$2:$C$1369,0)),"",INDEX('Compliance Database'!$H$2:$H$1369,MATCH(1141,Engine!$C$2:$C$1369,0)))</f>
        <v/>
      </c>
      <c r="I1154" s="9">
        <f>IF(ISNA(MATCH(1141,Engine!$C$2:$C$1369,0)),"",INDEX('Compliance Database'!$I$2:$I$1369,MATCH(1141,Engine!$C$2:$C$1369,0)))</f>
        <v/>
      </c>
      <c r="J1154" s="8">
        <f>IF(ISNA(MATCH(1141,Engine!$C$2:$C$1369,0)),"",INDEX('Compliance Database'!$J$2:$J$1369,MATCH(1141,Engine!$C$2:$C$1369,0)))</f>
        <v/>
      </c>
      <c r="K1154" s="9">
        <f>IF(ISNA(MATCH(1141,Engine!$C$2:$C$1369,0)),"",INDEX('Compliance Database'!$K$2:$K$1369,MATCH(1141,Engine!$C$2:$C$1369,0)))</f>
        <v/>
      </c>
      <c r="L1154" s="9">
        <f>IF(ISNA(MATCH(1141,Engine!$C$2:$C$1369,0)),"",INDEX('Compliance Database'!$L$2:$L$1369,MATCH(1141,Engine!$C$2:$C$1369,0)))</f>
        <v/>
      </c>
      <c r="M1154" s="9">
        <f>IF(ISNA(MATCH(1141,Engine!$C$2:$C$1369,0)),"",INDEX('Compliance Database'!$M$2:$M$1369,MATCH(1141,Engine!$C$2:$C$1369,0)))</f>
        <v/>
      </c>
      <c r="N1154" s="9">
        <f>IF(ISNA(MATCH(1141,Engine!$C$2:$C$1369,0)),"",INDEX('Compliance Database'!$N$2:$N$1369,MATCH(1141,Engine!$C$2:$C$1369,0)))</f>
        <v/>
      </c>
      <c r="O1154" s="8">
        <f>IF(ISNA(MATCH(1141,Engine!$C$2:$C$1369,0)),"",HYPERLINK(INDEX('Compliance Database'!$O$2:$O$1369,MATCH(1141,Engine!$C$2:$C$1369,0)),"Open PDF"))</f>
        <v/>
      </c>
    </row>
    <row r="1155" ht="188" customHeight="1">
      <c r="A1155" s="8">
        <f>IF(ISNA(MATCH(1142,Engine!$C$2:$C$1369,0)),"",INDEX('Compliance Database'!$A$2:$A$1369,MATCH(1142,Engine!$C$2:$C$1369,0)))</f>
        <v/>
      </c>
      <c r="B1155" s="8">
        <f>IF(ISNA(MATCH(1142,Engine!$C$2:$C$1369,0)),"",INDEX('Compliance Database'!$B$2:$B$1369,MATCH(1142,Engine!$C$2:$C$1369,0)))</f>
        <v/>
      </c>
      <c r="C1155" s="8">
        <f>IF(ISNA(MATCH(1142,Engine!$C$2:$C$1369,0)),"",INDEX('Compliance Database'!$C$2:$C$1369,MATCH(1142,Engine!$C$2:$C$1369,0)))</f>
        <v/>
      </c>
      <c r="D1155" s="9">
        <f>IF(ISNA(MATCH(1142,Engine!$C$2:$C$1369,0)),"",INDEX('Compliance Database'!$D$2:$D$1369,MATCH(1142,Engine!$C$2:$C$1369,0)))</f>
        <v/>
      </c>
      <c r="E1155" s="8">
        <f>IF(ISNA(MATCH(1142,Engine!$C$2:$C$1369,0)),"",INDEX('Compliance Database'!$E$2:$E$1369,MATCH(1142,Engine!$C$2:$C$1369,0)))</f>
        <v/>
      </c>
      <c r="F1155" s="8">
        <f>IF(ISNA(MATCH(1142,Engine!$C$2:$C$1369,0)),"",INDEX('Compliance Database'!$F$2:$F$1369,MATCH(1142,Engine!$C$2:$C$1369,0)))</f>
        <v/>
      </c>
      <c r="G1155" s="8">
        <f>IF(ISNA(MATCH(1142,Engine!$C$2:$C$1369,0)),"",INDEX('Compliance Database'!$G$2:$G$1369,MATCH(1142,Engine!$C$2:$C$1369,0)))</f>
        <v/>
      </c>
      <c r="H1155" s="9">
        <f>IF(ISNA(MATCH(1142,Engine!$C$2:$C$1369,0)),"",INDEX('Compliance Database'!$H$2:$H$1369,MATCH(1142,Engine!$C$2:$C$1369,0)))</f>
        <v/>
      </c>
      <c r="I1155" s="9">
        <f>IF(ISNA(MATCH(1142,Engine!$C$2:$C$1369,0)),"",INDEX('Compliance Database'!$I$2:$I$1369,MATCH(1142,Engine!$C$2:$C$1369,0)))</f>
        <v/>
      </c>
      <c r="J1155" s="8">
        <f>IF(ISNA(MATCH(1142,Engine!$C$2:$C$1369,0)),"",INDEX('Compliance Database'!$J$2:$J$1369,MATCH(1142,Engine!$C$2:$C$1369,0)))</f>
        <v/>
      </c>
      <c r="K1155" s="9">
        <f>IF(ISNA(MATCH(1142,Engine!$C$2:$C$1369,0)),"",INDEX('Compliance Database'!$K$2:$K$1369,MATCH(1142,Engine!$C$2:$C$1369,0)))</f>
        <v/>
      </c>
      <c r="L1155" s="9">
        <f>IF(ISNA(MATCH(1142,Engine!$C$2:$C$1369,0)),"",INDEX('Compliance Database'!$L$2:$L$1369,MATCH(1142,Engine!$C$2:$C$1369,0)))</f>
        <v/>
      </c>
      <c r="M1155" s="9">
        <f>IF(ISNA(MATCH(1142,Engine!$C$2:$C$1369,0)),"",INDEX('Compliance Database'!$M$2:$M$1369,MATCH(1142,Engine!$C$2:$C$1369,0)))</f>
        <v/>
      </c>
      <c r="N1155" s="9">
        <f>IF(ISNA(MATCH(1142,Engine!$C$2:$C$1369,0)),"",INDEX('Compliance Database'!$N$2:$N$1369,MATCH(1142,Engine!$C$2:$C$1369,0)))</f>
        <v/>
      </c>
      <c r="O1155" s="8">
        <f>IF(ISNA(MATCH(1142,Engine!$C$2:$C$1369,0)),"",HYPERLINK(INDEX('Compliance Database'!$O$2:$O$1369,MATCH(1142,Engine!$C$2:$C$1369,0)),"Open PDF"))</f>
        <v/>
      </c>
    </row>
    <row r="1156" ht="188" customHeight="1">
      <c r="A1156" s="8">
        <f>IF(ISNA(MATCH(1143,Engine!$C$2:$C$1369,0)),"",INDEX('Compliance Database'!$A$2:$A$1369,MATCH(1143,Engine!$C$2:$C$1369,0)))</f>
        <v/>
      </c>
      <c r="B1156" s="8">
        <f>IF(ISNA(MATCH(1143,Engine!$C$2:$C$1369,0)),"",INDEX('Compliance Database'!$B$2:$B$1369,MATCH(1143,Engine!$C$2:$C$1369,0)))</f>
        <v/>
      </c>
      <c r="C1156" s="8">
        <f>IF(ISNA(MATCH(1143,Engine!$C$2:$C$1369,0)),"",INDEX('Compliance Database'!$C$2:$C$1369,MATCH(1143,Engine!$C$2:$C$1369,0)))</f>
        <v/>
      </c>
      <c r="D1156" s="9">
        <f>IF(ISNA(MATCH(1143,Engine!$C$2:$C$1369,0)),"",INDEX('Compliance Database'!$D$2:$D$1369,MATCH(1143,Engine!$C$2:$C$1369,0)))</f>
        <v/>
      </c>
      <c r="E1156" s="8">
        <f>IF(ISNA(MATCH(1143,Engine!$C$2:$C$1369,0)),"",INDEX('Compliance Database'!$E$2:$E$1369,MATCH(1143,Engine!$C$2:$C$1369,0)))</f>
        <v/>
      </c>
      <c r="F1156" s="8">
        <f>IF(ISNA(MATCH(1143,Engine!$C$2:$C$1369,0)),"",INDEX('Compliance Database'!$F$2:$F$1369,MATCH(1143,Engine!$C$2:$C$1369,0)))</f>
        <v/>
      </c>
      <c r="G1156" s="8">
        <f>IF(ISNA(MATCH(1143,Engine!$C$2:$C$1369,0)),"",INDEX('Compliance Database'!$G$2:$G$1369,MATCH(1143,Engine!$C$2:$C$1369,0)))</f>
        <v/>
      </c>
      <c r="H1156" s="9">
        <f>IF(ISNA(MATCH(1143,Engine!$C$2:$C$1369,0)),"",INDEX('Compliance Database'!$H$2:$H$1369,MATCH(1143,Engine!$C$2:$C$1369,0)))</f>
        <v/>
      </c>
      <c r="I1156" s="9">
        <f>IF(ISNA(MATCH(1143,Engine!$C$2:$C$1369,0)),"",INDEX('Compliance Database'!$I$2:$I$1369,MATCH(1143,Engine!$C$2:$C$1369,0)))</f>
        <v/>
      </c>
      <c r="J1156" s="8">
        <f>IF(ISNA(MATCH(1143,Engine!$C$2:$C$1369,0)),"",INDEX('Compliance Database'!$J$2:$J$1369,MATCH(1143,Engine!$C$2:$C$1369,0)))</f>
        <v/>
      </c>
      <c r="K1156" s="9">
        <f>IF(ISNA(MATCH(1143,Engine!$C$2:$C$1369,0)),"",INDEX('Compliance Database'!$K$2:$K$1369,MATCH(1143,Engine!$C$2:$C$1369,0)))</f>
        <v/>
      </c>
      <c r="L1156" s="9">
        <f>IF(ISNA(MATCH(1143,Engine!$C$2:$C$1369,0)),"",INDEX('Compliance Database'!$L$2:$L$1369,MATCH(1143,Engine!$C$2:$C$1369,0)))</f>
        <v/>
      </c>
      <c r="M1156" s="9">
        <f>IF(ISNA(MATCH(1143,Engine!$C$2:$C$1369,0)),"",INDEX('Compliance Database'!$M$2:$M$1369,MATCH(1143,Engine!$C$2:$C$1369,0)))</f>
        <v/>
      </c>
      <c r="N1156" s="9">
        <f>IF(ISNA(MATCH(1143,Engine!$C$2:$C$1369,0)),"",INDEX('Compliance Database'!$N$2:$N$1369,MATCH(1143,Engine!$C$2:$C$1369,0)))</f>
        <v/>
      </c>
      <c r="O1156" s="8">
        <f>IF(ISNA(MATCH(1143,Engine!$C$2:$C$1369,0)),"",HYPERLINK(INDEX('Compliance Database'!$O$2:$O$1369,MATCH(1143,Engine!$C$2:$C$1369,0)),"Open PDF"))</f>
        <v/>
      </c>
    </row>
    <row r="1157" ht="188" customHeight="1">
      <c r="A1157" s="8">
        <f>IF(ISNA(MATCH(1144,Engine!$C$2:$C$1369,0)),"",INDEX('Compliance Database'!$A$2:$A$1369,MATCH(1144,Engine!$C$2:$C$1369,0)))</f>
        <v/>
      </c>
      <c r="B1157" s="8">
        <f>IF(ISNA(MATCH(1144,Engine!$C$2:$C$1369,0)),"",INDEX('Compliance Database'!$B$2:$B$1369,MATCH(1144,Engine!$C$2:$C$1369,0)))</f>
        <v/>
      </c>
      <c r="C1157" s="8">
        <f>IF(ISNA(MATCH(1144,Engine!$C$2:$C$1369,0)),"",INDEX('Compliance Database'!$C$2:$C$1369,MATCH(1144,Engine!$C$2:$C$1369,0)))</f>
        <v/>
      </c>
      <c r="D1157" s="9">
        <f>IF(ISNA(MATCH(1144,Engine!$C$2:$C$1369,0)),"",INDEX('Compliance Database'!$D$2:$D$1369,MATCH(1144,Engine!$C$2:$C$1369,0)))</f>
        <v/>
      </c>
      <c r="E1157" s="8">
        <f>IF(ISNA(MATCH(1144,Engine!$C$2:$C$1369,0)),"",INDEX('Compliance Database'!$E$2:$E$1369,MATCH(1144,Engine!$C$2:$C$1369,0)))</f>
        <v/>
      </c>
      <c r="F1157" s="8">
        <f>IF(ISNA(MATCH(1144,Engine!$C$2:$C$1369,0)),"",INDEX('Compliance Database'!$F$2:$F$1369,MATCH(1144,Engine!$C$2:$C$1369,0)))</f>
        <v/>
      </c>
      <c r="G1157" s="8">
        <f>IF(ISNA(MATCH(1144,Engine!$C$2:$C$1369,0)),"",INDEX('Compliance Database'!$G$2:$G$1369,MATCH(1144,Engine!$C$2:$C$1369,0)))</f>
        <v/>
      </c>
      <c r="H1157" s="9">
        <f>IF(ISNA(MATCH(1144,Engine!$C$2:$C$1369,0)),"",INDEX('Compliance Database'!$H$2:$H$1369,MATCH(1144,Engine!$C$2:$C$1369,0)))</f>
        <v/>
      </c>
      <c r="I1157" s="9">
        <f>IF(ISNA(MATCH(1144,Engine!$C$2:$C$1369,0)),"",INDEX('Compliance Database'!$I$2:$I$1369,MATCH(1144,Engine!$C$2:$C$1369,0)))</f>
        <v/>
      </c>
      <c r="J1157" s="8">
        <f>IF(ISNA(MATCH(1144,Engine!$C$2:$C$1369,0)),"",INDEX('Compliance Database'!$J$2:$J$1369,MATCH(1144,Engine!$C$2:$C$1369,0)))</f>
        <v/>
      </c>
      <c r="K1157" s="9">
        <f>IF(ISNA(MATCH(1144,Engine!$C$2:$C$1369,0)),"",INDEX('Compliance Database'!$K$2:$K$1369,MATCH(1144,Engine!$C$2:$C$1369,0)))</f>
        <v/>
      </c>
      <c r="L1157" s="9">
        <f>IF(ISNA(MATCH(1144,Engine!$C$2:$C$1369,0)),"",INDEX('Compliance Database'!$L$2:$L$1369,MATCH(1144,Engine!$C$2:$C$1369,0)))</f>
        <v/>
      </c>
      <c r="M1157" s="9">
        <f>IF(ISNA(MATCH(1144,Engine!$C$2:$C$1369,0)),"",INDEX('Compliance Database'!$M$2:$M$1369,MATCH(1144,Engine!$C$2:$C$1369,0)))</f>
        <v/>
      </c>
      <c r="N1157" s="9">
        <f>IF(ISNA(MATCH(1144,Engine!$C$2:$C$1369,0)),"",INDEX('Compliance Database'!$N$2:$N$1369,MATCH(1144,Engine!$C$2:$C$1369,0)))</f>
        <v/>
      </c>
      <c r="O1157" s="8">
        <f>IF(ISNA(MATCH(1144,Engine!$C$2:$C$1369,0)),"",HYPERLINK(INDEX('Compliance Database'!$O$2:$O$1369,MATCH(1144,Engine!$C$2:$C$1369,0)),"Open PDF"))</f>
        <v/>
      </c>
    </row>
    <row r="1158" ht="188" customHeight="1">
      <c r="A1158" s="8">
        <f>IF(ISNA(MATCH(1145,Engine!$C$2:$C$1369,0)),"",INDEX('Compliance Database'!$A$2:$A$1369,MATCH(1145,Engine!$C$2:$C$1369,0)))</f>
        <v/>
      </c>
      <c r="B1158" s="8">
        <f>IF(ISNA(MATCH(1145,Engine!$C$2:$C$1369,0)),"",INDEX('Compliance Database'!$B$2:$B$1369,MATCH(1145,Engine!$C$2:$C$1369,0)))</f>
        <v/>
      </c>
      <c r="C1158" s="8">
        <f>IF(ISNA(MATCH(1145,Engine!$C$2:$C$1369,0)),"",INDEX('Compliance Database'!$C$2:$C$1369,MATCH(1145,Engine!$C$2:$C$1369,0)))</f>
        <v/>
      </c>
      <c r="D1158" s="9">
        <f>IF(ISNA(MATCH(1145,Engine!$C$2:$C$1369,0)),"",INDEX('Compliance Database'!$D$2:$D$1369,MATCH(1145,Engine!$C$2:$C$1369,0)))</f>
        <v/>
      </c>
      <c r="E1158" s="8">
        <f>IF(ISNA(MATCH(1145,Engine!$C$2:$C$1369,0)),"",INDEX('Compliance Database'!$E$2:$E$1369,MATCH(1145,Engine!$C$2:$C$1369,0)))</f>
        <v/>
      </c>
      <c r="F1158" s="8">
        <f>IF(ISNA(MATCH(1145,Engine!$C$2:$C$1369,0)),"",INDEX('Compliance Database'!$F$2:$F$1369,MATCH(1145,Engine!$C$2:$C$1369,0)))</f>
        <v/>
      </c>
      <c r="G1158" s="8">
        <f>IF(ISNA(MATCH(1145,Engine!$C$2:$C$1369,0)),"",INDEX('Compliance Database'!$G$2:$G$1369,MATCH(1145,Engine!$C$2:$C$1369,0)))</f>
        <v/>
      </c>
      <c r="H1158" s="9">
        <f>IF(ISNA(MATCH(1145,Engine!$C$2:$C$1369,0)),"",INDEX('Compliance Database'!$H$2:$H$1369,MATCH(1145,Engine!$C$2:$C$1369,0)))</f>
        <v/>
      </c>
      <c r="I1158" s="9">
        <f>IF(ISNA(MATCH(1145,Engine!$C$2:$C$1369,0)),"",INDEX('Compliance Database'!$I$2:$I$1369,MATCH(1145,Engine!$C$2:$C$1369,0)))</f>
        <v/>
      </c>
      <c r="J1158" s="8">
        <f>IF(ISNA(MATCH(1145,Engine!$C$2:$C$1369,0)),"",INDEX('Compliance Database'!$J$2:$J$1369,MATCH(1145,Engine!$C$2:$C$1369,0)))</f>
        <v/>
      </c>
      <c r="K1158" s="9">
        <f>IF(ISNA(MATCH(1145,Engine!$C$2:$C$1369,0)),"",INDEX('Compliance Database'!$K$2:$K$1369,MATCH(1145,Engine!$C$2:$C$1369,0)))</f>
        <v/>
      </c>
      <c r="L1158" s="9">
        <f>IF(ISNA(MATCH(1145,Engine!$C$2:$C$1369,0)),"",INDEX('Compliance Database'!$L$2:$L$1369,MATCH(1145,Engine!$C$2:$C$1369,0)))</f>
        <v/>
      </c>
      <c r="M1158" s="9">
        <f>IF(ISNA(MATCH(1145,Engine!$C$2:$C$1369,0)),"",INDEX('Compliance Database'!$M$2:$M$1369,MATCH(1145,Engine!$C$2:$C$1369,0)))</f>
        <v/>
      </c>
      <c r="N1158" s="9">
        <f>IF(ISNA(MATCH(1145,Engine!$C$2:$C$1369,0)),"",INDEX('Compliance Database'!$N$2:$N$1369,MATCH(1145,Engine!$C$2:$C$1369,0)))</f>
        <v/>
      </c>
      <c r="O1158" s="8">
        <f>IF(ISNA(MATCH(1145,Engine!$C$2:$C$1369,0)),"",HYPERLINK(INDEX('Compliance Database'!$O$2:$O$1369,MATCH(1145,Engine!$C$2:$C$1369,0)),"Open PDF"))</f>
        <v/>
      </c>
    </row>
    <row r="1159" ht="188" customHeight="1">
      <c r="A1159" s="8">
        <f>IF(ISNA(MATCH(1146,Engine!$C$2:$C$1369,0)),"",INDEX('Compliance Database'!$A$2:$A$1369,MATCH(1146,Engine!$C$2:$C$1369,0)))</f>
        <v/>
      </c>
      <c r="B1159" s="8">
        <f>IF(ISNA(MATCH(1146,Engine!$C$2:$C$1369,0)),"",INDEX('Compliance Database'!$B$2:$B$1369,MATCH(1146,Engine!$C$2:$C$1369,0)))</f>
        <v/>
      </c>
      <c r="C1159" s="8">
        <f>IF(ISNA(MATCH(1146,Engine!$C$2:$C$1369,0)),"",INDEX('Compliance Database'!$C$2:$C$1369,MATCH(1146,Engine!$C$2:$C$1369,0)))</f>
        <v/>
      </c>
      <c r="D1159" s="9">
        <f>IF(ISNA(MATCH(1146,Engine!$C$2:$C$1369,0)),"",INDEX('Compliance Database'!$D$2:$D$1369,MATCH(1146,Engine!$C$2:$C$1369,0)))</f>
        <v/>
      </c>
      <c r="E1159" s="8">
        <f>IF(ISNA(MATCH(1146,Engine!$C$2:$C$1369,0)),"",INDEX('Compliance Database'!$E$2:$E$1369,MATCH(1146,Engine!$C$2:$C$1369,0)))</f>
        <v/>
      </c>
      <c r="F1159" s="8">
        <f>IF(ISNA(MATCH(1146,Engine!$C$2:$C$1369,0)),"",INDEX('Compliance Database'!$F$2:$F$1369,MATCH(1146,Engine!$C$2:$C$1369,0)))</f>
        <v/>
      </c>
      <c r="G1159" s="8">
        <f>IF(ISNA(MATCH(1146,Engine!$C$2:$C$1369,0)),"",INDEX('Compliance Database'!$G$2:$G$1369,MATCH(1146,Engine!$C$2:$C$1369,0)))</f>
        <v/>
      </c>
      <c r="H1159" s="9">
        <f>IF(ISNA(MATCH(1146,Engine!$C$2:$C$1369,0)),"",INDEX('Compliance Database'!$H$2:$H$1369,MATCH(1146,Engine!$C$2:$C$1369,0)))</f>
        <v/>
      </c>
      <c r="I1159" s="9">
        <f>IF(ISNA(MATCH(1146,Engine!$C$2:$C$1369,0)),"",INDEX('Compliance Database'!$I$2:$I$1369,MATCH(1146,Engine!$C$2:$C$1369,0)))</f>
        <v/>
      </c>
      <c r="J1159" s="8">
        <f>IF(ISNA(MATCH(1146,Engine!$C$2:$C$1369,0)),"",INDEX('Compliance Database'!$J$2:$J$1369,MATCH(1146,Engine!$C$2:$C$1369,0)))</f>
        <v/>
      </c>
      <c r="K1159" s="9">
        <f>IF(ISNA(MATCH(1146,Engine!$C$2:$C$1369,0)),"",INDEX('Compliance Database'!$K$2:$K$1369,MATCH(1146,Engine!$C$2:$C$1369,0)))</f>
        <v/>
      </c>
      <c r="L1159" s="9">
        <f>IF(ISNA(MATCH(1146,Engine!$C$2:$C$1369,0)),"",INDEX('Compliance Database'!$L$2:$L$1369,MATCH(1146,Engine!$C$2:$C$1369,0)))</f>
        <v/>
      </c>
      <c r="M1159" s="9">
        <f>IF(ISNA(MATCH(1146,Engine!$C$2:$C$1369,0)),"",INDEX('Compliance Database'!$M$2:$M$1369,MATCH(1146,Engine!$C$2:$C$1369,0)))</f>
        <v/>
      </c>
      <c r="N1159" s="9">
        <f>IF(ISNA(MATCH(1146,Engine!$C$2:$C$1369,0)),"",INDEX('Compliance Database'!$N$2:$N$1369,MATCH(1146,Engine!$C$2:$C$1369,0)))</f>
        <v/>
      </c>
      <c r="O1159" s="8">
        <f>IF(ISNA(MATCH(1146,Engine!$C$2:$C$1369,0)),"",HYPERLINK(INDEX('Compliance Database'!$O$2:$O$1369,MATCH(1146,Engine!$C$2:$C$1369,0)),"Open PDF"))</f>
        <v/>
      </c>
    </row>
    <row r="1160" ht="188" customHeight="1">
      <c r="A1160" s="8">
        <f>IF(ISNA(MATCH(1147,Engine!$C$2:$C$1369,0)),"",INDEX('Compliance Database'!$A$2:$A$1369,MATCH(1147,Engine!$C$2:$C$1369,0)))</f>
        <v/>
      </c>
      <c r="B1160" s="8">
        <f>IF(ISNA(MATCH(1147,Engine!$C$2:$C$1369,0)),"",INDEX('Compliance Database'!$B$2:$B$1369,MATCH(1147,Engine!$C$2:$C$1369,0)))</f>
        <v/>
      </c>
      <c r="C1160" s="8">
        <f>IF(ISNA(MATCH(1147,Engine!$C$2:$C$1369,0)),"",INDEX('Compliance Database'!$C$2:$C$1369,MATCH(1147,Engine!$C$2:$C$1369,0)))</f>
        <v/>
      </c>
      <c r="D1160" s="9">
        <f>IF(ISNA(MATCH(1147,Engine!$C$2:$C$1369,0)),"",INDEX('Compliance Database'!$D$2:$D$1369,MATCH(1147,Engine!$C$2:$C$1369,0)))</f>
        <v/>
      </c>
      <c r="E1160" s="8">
        <f>IF(ISNA(MATCH(1147,Engine!$C$2:$C$1369,0)),"",INDEX('Compliance Database'!$E$2:$E$1369,MATCH(1147,Engine!$C$2:$C$1369,0)))</f>
        <v/>
      </c>
      <c r="F1160" s="8">
        <f>IF(ISNA(MATCH(1147,Engine!$C$2:$C$1369,0)),"",INDEX('Compliance Database'!$F$2:$F$1369,MATCH(1147,Engine!$C$2:$C$1369,0)))</f>
        <v/>
      </c>
      <c r="G1160" s="8">
        <f>IF(ISNA(MATCH(1147,Engine!$C$2:$C$1369,0)),"",INDEX('Compliance Database'!$G$2:$G$1369,MATCH(1147,Engine!$C$2:$C$1369,0)))</f>
        <v/>
      </c>
      <c r="H1160" s="9">
        <f>IF(ISNA(MATCH(1147,Engine!$C$2:$C$1369,0)),"",INDEX('Compliance Database'!$H$2:$H$1369,MATCH(1147,Engine!$C$2:$C$1369,0)))</f>
        <v/>
      </c>
      <c r="I1160" s="9">
        <f>IF(ISNA(MATCH(1147,Engine!$C$2:$C$1369,0)),"",INDEX('Compliance Database'!$I$2:$I$1369,MATCH(1147,Engine!$C$2:$C$1369,0)))</f>
        <v/>
      </c>
      <c r="J1160" s="8">
        <f>IF(ISNA(MATCH(1147,Engine!$C$2:$C$1369,0)),"",INDEX('Compliance Database'!$J$2:$J$1369,MATCH(1147,Engine!$C$2:$C$1369,0)))</f>
        <v/>
      </c>
      <c r="K1160" s="9">
        <f>IF(ISNA(MATCH(1147,Engine!$C$2:$C$1369,0)),"",INDEX('Compliance Database'!$K$2:$K$1369,MATCH(1147,Engine!$C$2:$C$1369,0)))</f>
        <v/>
      </c>
      <c r="L1160" s="9">
        <f>IF(ISNA(MATCH(1147,Engine!$C$2:$C$1369,0)),"",INDEX('Compliance Database'!$L$2:$L$1369,MATCH(1147,Engine!$C$2:$C$1369,0)))</f>
        <v/>
      </c>
      <c r="M1160" s="9">
        <f>IF(ISNA(MATCH(1147,Engine!$C$2:$C$1369,0)),"",INDEX('Compliance Database'!$M$2:$M$1369,MATCH(1147,Engine!$C$2:$C$1369,0)))</f>
        <v/>
      </c>
      <c r="N1160" s="9">
        <f>IF(ISNA(MATCH(1147,Engine!$C$2:$C$1369,0)),"",INDEX('Compliance Database'!$N$2:$N$1369,MATCH(1147,Engine!$C$2:$C$1369,0)))</f>
        <v/>
      </c>
      <c r="O1160" s="8">
        <f>IF(ISNA(MATCH(1147,Engine!$C$2:$C$1369,0)),"",HYPERLINK(INDEX('Compliance Database'!$O$2:$O$1369,MATCH(1147,Engine!$C$2:$C$1369,0)),"Open PDF"))</f>
        <v/>
      </c>
    </row>
    <row r="1161" ht="188" customHeight="1">
      <c r="A1161" s="8">
        <f>IF(ISNA(MATCH(1148,Engine!$C$2:$C$1369,0)),"",INDEX('Compliance Database'!$A$2:$A$1369,MATCH(1148,Engine!$C$2:$C$1369,0)))</f>
        <v/>
      </c>
      <c r="B1161" s="8">
        <f>IF(ISNA(MATCH(1148,Engine!$C$2:$C$1369,0)),"",INDEX('Compliance Database'!$B$2:$B$1369,MATCH(1148,Engine!$C$2:$C$1369,0)))</f>
        <v/>
      </c>
      <c r="C1161" s="8">
        <f>IF(ISNA(MATCH(1148,Engine!$C$2:$C$1369,0)),"",INDEX('Compliance Database'!$C$2:$C$1369,MATCH(1148,Engine!$C$2:$C$1369,0)))</f>
        <v/>
      </c>
      <c r="D1161" s="9">
        <f>IF(ISNA(MATCH(1148,Engine!$C$2:$C$1369,0)),"",INDEX('Compliance Database'!$D$2:$D$1369,MATCH(1148,Engine!$C$2:$C$1369,0)))</f>
        <v/>
      </c>
      <c r="E1161" s="8">
        <f>IF(ISNA(MATCH(1148,Engine!$C$2:$C$1369,0)),"",INDEX('Compliance Database'!$E$2:$E$1369,MATCH(1148,Engine!$C$2:$C$1369,0)))</f>
        <v/>
      </c>
      <c r="F1161" s="8">
        <f>IF(ISNA(MATCH(1148,Engine!$C$2:$C$1369,0)),"",INDEX('Compliance Database'!$F$2:$F$1369,MATCH(1148,Engine!$C$2:$C$1369,0)))</f>
        <v/>
      </c>
      <c r="G1161" s="8">
        <f>IF(ISNA(MATCH(1148,Engine!$C$2:$C$1369,0)),"",INDEX('Compliance Database'!$G$2:$G$1369,MATCH(1148,Engine!$C$2:$C$1369,0)))</f>
        <v/>
      </c>
      <c r="H1161" s="9">
        <f>IF(ISNA(MATCH(1148,Engine!$C$2:$C$1369,0)),"",INDEX('Compliance Database'!$H$2:$H$1369,MATCH(1148,Engine!$C$2:$C$1369,0)))</f>
        <v/>
      </c>
      <c r="I1161" s="9">
        <f>IF(ISNA(MATCH(1148,Engine!$C$2:$C$1369,0)),"",INDEX('Compliance Database'!$I$2:$I$1369,MATCH(1148,Engine!$C$2:$C$1369,0)))</f>
        <v/>
      </c>
      <c r="J1161" s="8">
        <f>IF(ISNA(MATCH(1148,Engine!$C$2:$C$1369,0)),"",INDEX('Compliance Database'!$J$2:$J$1369,MATCH(1148,Engine!$C$2:$C$1369,0)))</f>
        <v/>
      </c>
      <c r="K1161" s="9">
        <f>IF(ISNA(MATCH(1148,Engine!$C$2:$C$1369,0)),"",INDEX('Compliance Database'!$K$2:$K$1369,MATCH(1148,Engine!$C$2:$C$1369,0)))</f>
        <v/>
      </c>
      <c r="L1161" s="9">
        <f>IF(ISNA(MATCH(1148,Engine!$C$2:$C$1369,0)),"",INDEX('Compliance Database'!$L$2:$L$1369,MATCH(1148,Engine!$C$2:$C$1369,0)))</f>
        <v/>
      </c>
      <c r="M1161" s="9">
        <f>IF(ISNA(MATCH(1148,Engine!$C$2:$C$1369,0)),"",INDEX('Compliance Database'!$M$2:$M$1369,MATCH(1148,Engine!$C$2:$C$1369,0)))</f>
        <v/>
      </c>
      <c r="N1161" s="9">
        <f>IF(ISNA(MATCH(1148,Engine!$C$2:$C$1369,0)),"",INDEX('Compliance Database'!$N$2:$N$1369,MATCH(1148,Engine!$C$2:$C$1369,0)))</f>
        <v/>
      </c>
      <c r="O1161" s="8">
        <f>IF(ISNA(MATCH(1148,Engine!$C$2:$C$1369,0)),"",HYPERLINK(INDEX('Compliance Database'!$O$2:$O$1369,MATCH(1148,Engine!$C$2:$C$1369,0)),"Open PDF"))</f>
        <v/>
      </c>
    </row>
    <row r="1162" ht="188" customHeight="1">
      <c r="A1162" s="8">
        <f>IF(ISNA(MATCH(1149,Engine!$C$2:$C$1369,0)),"",INDEX('Compliance Database'!$A$2:$A$1369,MATCH(1149,Engine!$C$2:$C$1369,0)))</f>
        <v/>
      </c>
      <c r="B1162" s="8">
        <f>IF(ISNA(MATCH(1149,Engine!$C$2:$C$1369,0)),"",INDEX('Compliance Database'!$B$2:$B$1369,MATCH(1149,Engine!$C$2:$C$1369,0)))</f>
        <v/>
      </c>
      <c r="C1162" s="8">
        <f>IF(ISNA(MATCH(1149,Engine!$C$2:$C$1369,0)),"",INDEX('Compliance Database'!$C$2:$C$1369,MATCH(1149,Engine!$C$2:$C$1369,0)))</f>
        <v/>
      </c>
      <c r="D1162" s="9">
        <f>IF(ISNA(MATCH(1149,Engine!$C$2:$C$1369,0)),"",INDEX('Compliance Database'!$D$2:$D$1369,MATCH(1149,Engine!$C$2:$C$1369,0)))</f>
        <v/>
      </c>
      <c r="E1162" s="8">
        <f>IF(ISNA(MATCH(1149,Engine!$C$2:$C$1369,0)),"",INDEX('Compliance Database'!$E$2:$E$1369,MATCH(1149,Engine!$C$2:$C$1369,0)))</f>
        <v/>
      </c>
      <c r="F1162" s="8">
        <f>IF(ISNA(MATCH(1149,Engine!$C$2:$C$1369,0)),"",INDEX('Compliance Database'!$F$2:$F$1369,MATCH(1149,Engine!$C$2:$C$1369,0)))</f>
        <v/>
      </c>
      <c r="G1162" s="8">
        <f>IF(ISNA(MATCH(1149,Engine!$C$2:$C$1369,0)),"",INDEX('Compliance Database'!$G$2:$G$1369,MATCH(1149,Engine!$C$2:$C$1369,0)))</f>
        <v/>
      </c>
      <c r="H1162" s="9">
        <f>IF(ISNA(MATCH(1149,Engine!$C$2:$C$1369,0)),"",INDEX('Compliance Database'!$H$2:$H$1369,MATCH(1149,Engine!$C$2:$C$1369,0)))</f>
        <v/>
      </c>
      <c r="I1162" s="9">
        <f>IF(ISNA(MATCH(1149,Engine!$C$2:$C$1369,0)),"",INDEX('Compliance Database'!$I$2:$I$1369,MATCH(1149,Engine!$C$2:$C$1369,0)))</f>
        <v/>
      </c>
      <c r="J1162" s="8">
        <f>IF(ISNA(MATCH(1149,Engine!$C$2:$C$1369,0)),"",INDEX('Compliance Database'!$J$2:$J$1369,MATCH(1149,Engine!$C$2:$C$1369,0)))</f>
        <v/>
      </c>
      <c r="K1162" s="9">
        <f>IF(ISNA(MATCH(1149,Engine!$C$2:$C$1369,0)),"",INDEX('Compliance Database'!$K$2:$K$1369,MATCH(1149,Engine!$C$2:$C$1369,0)))</f>
        <v/>
      </c>
      <c r="L1162" s="9">
        <f>IF(ISNA(MATCH(1149,Engine!$C$2:$C$1369,0)),"",INDEX('Compliance Database'!$L$2:$L$1369,MATCH(1149,Engine!$C$2:$C$1369,0)))</f>
        <v/>
      </c>
      <c r="M1162" s="9">
        <f>IF(ISNA(MATCH(1149,Engine!$C$2:$C$1369,0)),"",INDEX('Compliance Database'!$M$2:$M$1369,MATCH(1149,Engine!$C$2:$C$1369,0)))</f>
        <v/>
      </c>
      <c r="N1162" s="9">
        <f>IF(ISNA(MATCH(1149,Engine!$C$2:$C$1369,0)),"",INDEX('Compliance Database'!$N$2:$N$1369,MATCH(1149,Engine!$C$2:$C$1369,0)))</f>
        <v/>
      </c>
      <c r="O1162" s="8">
        <f>IF(ISNA(MATCH(1149,Engine!$C$2:$C$1369,0)),"",HYPERLINK(INDEX('Compliance Database'!$O$2:$O$1369,MATCH(1149,Engine!$C$2:$C$1369,0)),"Open PDF"))</f>
        <v/>
      </c>
    </row>
    <row r="1163" ht="188" customHeight="1">
      <c r="A1163" s="8">
        <f>IF(ISNA(MATCH(1150,Engine!$C$2:$C$1369,0)),"",INDEX('Compliance Database'!$A$2:$A$1369,MATCH(1150,Engine!$C$2:$C$1369,0)))</f>
        <v/>
      </c>
      <c r="B1163" s="8">
        <f>IF(ISNA(MATCH(1150,Engine!$C$2:$C$1369,0)),"",INDEX('Compliance Database'!$B$2:$B$1369,MATCH(1150,Engine!$C$2:$C$1369,0)))</f>
        <v/>
      </c>
      <c r="C1163" s="8">
        <f>IF(ISNA(MATCH(1150,Engine!$C$2:$C$1369,0)),"",INDEX('Compliance Database'!$C$2:$C$1369,MATCH(1150,Engine!$C$2:$C$1369,0)))</f>
        <v/>
      </c>
      <c r="D1163" s="9">
        <f>IF(ISNA(MATCH(1150,Engine!$C$2:$C$1369,0)),"",INDEX('Compliance Database'!$D$2:$D$1369,MATCH(1150,Engine!$C$2:$C$1369,0)))</f>
        <v/>
      </c>
      <c r="E1163" s="8">
        <f>IF(ISNA(MATCH(1150,Engine!$C$2:$C$1369,0)),"",INDEX('Compliance Database'!$E$2:$E$1369,MATCH(1150,Engine!$C$2:$C$1369,0)))</f>
        <v/>
      </c>
      <c r="F1163" s="8">
        <f>IF(ISNA(MATCH(1150,Engine!$C$2:$C$1369,0)),"",INDEX('Compliance Database'!$F$2:$F$1369,MATCH(1150,Engine!$C$2:$C$1369,0)))</f>
        <v/>
      </c>
      <c r="G1163" s="8">
        <f>IF(ISNA(MATCH(1150,Engine!$C$2:$C$1369,0)),"",INDEX('Compliance Database'!$G$2:$G$1369,MATCH(1150,Engine!$C$2:$C$1369,0)))</f>
        <v/>
      </c>
      <c r="H1163" s="9">
        <f>IF(ISNA(MATCH(1150,Engine!$C$2:$C$1369,0)),"",INDEX('Compliance Database'!$H$2:$H$1369,MATCH(1150,Engine!$C$2:$C$1369,0)))</f>
        <v/>
      </c>
      <c r="I1163" s="9">
        <f>IF(ISNA(MATCH(1150,Engine!$C$2:$C$1369,0)),"",INDEX('Compliance Database'!$I$2:$I$1369,MATCH(1150,Engine!$C$2:$C$1369,0)))</f>
        <v/>
      </c>
      <c r="J1163" s="8">
        <f>IF(ISNA(MATCH(1150,Engine!$C$2:$C$1369,0)),"",INDEX('Compliance Database'!$J$2:$J$1369,MATCH(1150,Engine!$C$2:$C$1369,0)))</f>
        <v/>
      </c>
      <c r="K1163" s="9">
        <f>IF(ISNA(MATCH(1150,Engine!$C$2:$C$1369,0)),"",INDEX('Compliance Database'!$K$2:$K$1369,MATCH(1150,Engine!$C$2:$C$1369,0)))</f>
        <v/>
      </c>
      <c r="L1163" s="9">
        <f>IF(ISNA(MATCH(1150,Engine!$C$2:$C$1369,0)),"",INDEX('Compliance Database'!$L$2:$L$1369,MATCH(1150,Engine!$C$2:$C$1369,0)))</f>
        <v/>
      </c>
      <c r="M1163" s="9">
        <f>IF(ISNA(MATCH(1150,Engine!$C$2:$C$1369,0)),"",INDEX('Compliance Database'!$M$2:$M$1369,MATCH(1150,Engine!$C$2:$C$1369,0)))</f>
        <v/>
      </c>
      <c r="N1163" s="9">
        <f>IF(ISNA(MATCH(1150,Engine!$C$2:$C$1369,0)),"",INDEX('Compliance Database'!$N$2:$N$1369,MATCH(1150,Engine!$C$2:$C$1369,0)))</f>
        <v/>
      </c>
      <c r="O1163" s="8">
        <f>IF(ISNA(MATCH(1150,Engine!$C$2:$C$1369,0)),"",HYPERLINK(INDEX('Compliance Database'!$O$2:$O$1369,MATCH(1150,Engine!$C$2:$C$1369,0)),"Open PDF"))</f>
        <v/>
      </c>
    </row>
    <row r="1164" ht="188" customHeight="1">
      <c r="A1164" s="8">
        <f>IF(ISNA(MATCH(1151,Engine!$C$2:$C$1369,0)),"",INDEX('Compliance Database'!$A$2:$A$1369,MATCH(1151,Engine!$C$2:$C$1369,0)))</f>
        <v/>
      </c>
      <c r="B1164" s="8">
        <f>IF(ISNA(MATCH(1151,Engine!$C$2:$C$1369,0)),"",INDEX('Compliance Database'!$B$2:$B$1369,MATCH(1151,Engine!$C$2:$C$1369,0)))</f>
        <v/>
      </c>
      <c r="C1164" s="8">
        <f>IF(ISNA(MATCH(1151,Engine!$C$2:$C$1369,0)),"",INDEX('Compliance Database'!$C$2:$C$1369,MATCH(1151,Engine!$C$2:$C$1369,0)))</f>
        <v/>
      </c>
      <c r="D1164" s="9">
        <f>IF(ISNA(MATCH(1151,Engine!$C$2:$C$1369,0)),"",INDEX('Compliance Database'!$D$2:$D$1369,MATCH(1151,Engine!$C$2:$C$1369,0)))</f>
        <v/>
      </c>
      <c r="E1164" s="8">
        <f>IF(ISNA(MATCH(1151,Engine!$C$2:$C$1369,0)),"",INDEX('Compliance Database'!$E$2:$E$1369,MATCH(1151,Engine!$C$2:$C$1369,0)))</f>
        <v/>
      </c>
      <c r="F1164" s="8">
        <f>IF(ISNA(MATCH(1151,Engine!$C$2:$C$1369,0)),"",INDEX('Compliance Database'!$F$2:$F$1369,MATCH(1151,Engine!$C$2:$C$1369,0)))</f>
        <v/>
      </c>
      <c r="G1164" s="8">
        <f>IF(ISNA(MATCH(1151,Engine!$C$2:$C$1369,0)),"",INDEX('Compliance Database'!$G$2:$G$1369,MATCH(1151,Engine!$C$2:$C$1369,0)))</f>
        <v/>
      </c>
      <c r="H1164" s="9">
        <f>IF(ISNA(MATCH(1151,Engine!$C$2:$C$1369,0)),"",INDEX('Compliance Database'!$H$2:$H$1369,MATCH(1151,Engine!$C$2:$C$1369,0)))</f>
        <v/>
      </c>
      <c r="I1164" s="9">
        <f>IF(ISNA(MATCH(1151,Engine!$C$2:$C$1369,0)),"",INDEX('Compliance Database'!$I$2:$I$1369,MATCH(1151,Engine!$C$2:$C$1369,0)))</f>
        <v/>
      </c>
      <c r="J1164" s="8">
        <f>IF(ISNA(MATCH(1151,Engine!$C$2:$C$1369,0)),"",INDEX('Compliance Database'!$J$2:$J$1369,MATCH(1151,Engine!$C$2:$C$1369,0)))</f>
        <v/>
      </c>
      <c r="K1164" s="9">
        <f>IF(ISNA(MATCH(1151,Engine!$C$2:$C$1369,0)),"",INDEX('Compliance Database'!$K$2:$K$1369,MATCH(1151,Engine!$C$2:$C$1369,0)))</f>
        <v/>
      </c>
      <c r="L1164" s="9">
        <f>IF(ISNA(MATCH(1151,Engine!$C$2:$C$1369,0)),"",INDEX('Compliance Database'!$L$2:$L$1369,MATCH(1151,Engine!$C$2:$C$1369,0)))</f>
        <v/>
      </c>
      <c r="M1164" s="9">
        <f>IF(ISNA(MATCH(1151,Engine!$C$2:$C$1369,0)),"",INDEX('Compliance Database'!$M$2:$M$1369,MATCH(1151,Engine!$C$2:$C$1369,0)))</f>
        <v/>
      </c>
      <c r="N1164" s="9">
        <f>IF(ISNA(MATCH(1151,Engine!$C$2:$C$1369,0)),"",INDEX('Compliance Database'!$N$2:$N$1369,MATCH(1151,Engine!$C$2:$C$1369,0)))</f>
        <v/>
      </c>
      <c r="O1164" s="8">
        <f>IF(ISNA(MATCH(1151,Engine!$C$2:$C$1369,0)),"",HYPERLINK(INDEX('Compliance Database'!$O$2:$O$1369,MATCH(1151,Engine!$C$2:$C$1369,0)),"Open PDF"))</f>
        <v/>
      </c>
    </row>
    <row r="1165" ht="188" customHeight="1">
      <c r="A1165" s="8">
        <f>IF(ISNA(MATCH(1152,Engine!$C$2:$C$1369,0)),"",INDEX('Compliance Database'!$A$2:$A$1369,MATCH(1152,Engine!$C$2:$C$1369,0)))</f>
        <v/>
      </c>
      <c r="B1165" s="8">
        <f>IF(ISNA(MATCH(1152,Engine!$C$2:$C$1369,0)),"",INDEX('Compliance Database'!$B$2:$B$1369,MATCH(1152,Engine!$C$2:$C$1369,0)))</f>
        <v/>
      </c>
      <c r="C1165" s="8">
        <f>IF(ISNA(MATCH(1152,Engine!$C$2:$C$1369,0)),"",INDEX('Compliance Database'!$C$2:$C$1369,MATCH(1152,Engine!$C$2:$C$1369,0)))</f>
        <v/>
      </c>
      <c r="D1165" s="9">
        <f>IF(ISNA(MATCH(1152,Engine!$C$2:$C$1369,0)),"",INDEX('Compliance Database'!$D$2:$D$1369,MATCH(1152,Engine!$C$2:$C$1369,0)))</f>
        <v/>
      </c>
      <c r="E1165" s="8">
        <f>IF(ISNA(MATCH(1152,Engine!$C$2:$C$1369,0)),"",INDEX('Compliance Database'!$E$2:$E$1369,MATCH(1152,Engine!$C$2:$C$1369,0)))</f>
        <v/>
      </c>
      <c r="F1165" s="8">
        <f>IF(ISNA(MATCH(1152,Engine!$C$2:$C$1369,0)),"",INDEX('Compliance Database'!$F$2:$F$1369,MATCH(1152,Engine!$C$2:$C$1369,0)))</f>
        <v/>
      </c>
      <c r="G1165" s="8">
        <f>IF(ISNA(MATCH(1152,Engine!$C$2:$C$1369,0)),"",INDEX('Compliance Database'!$G$2:$G$1369,MATCH(1152,Engine!$C$2:$C$1369,0)))</f>
        <v/>
      </c>
      <c r="H1165" s="9">
        <f>IF(ISNA(MATCH(1152,Engine!$C$2:$C$1369,0)),"",INDEX('Compliance Database'!$H$2:$H$1369,MATCH(1152,Engine!$C$2:$C$1369,0)))</f>
        <v/>
      </c>
      <c r="I1165" s="9">
        <f>IF(ISNA(MATCH(1152,Engine!$C$2:$C$1369,0)),"",INDEX('Compliance Database'!$I$2:$I$1369,MATCH(1152,Engine!$C$2:$C$1369,0)))</f>
        <v/>
      </c>
      <c r="J1165" s="8">
        <f>IF(ISNA(MATCH(1152,Engine!$C$2:$C$1369,0)),"",INDEX('Compliance Database'!$J$2:$J$1369,MATCH(1152,Engine!$C$2:$C$1369,0)))</f>
        <v/>
      </c>
      <c r="K1165" s="9">
        <f>IF(ISNA(MATCH(1152,Engine!$C$2:$C$1369,0)),"",INDEX('Compliance Database'!$K$2:$K$1369,MATCH(1152,Engine!$C$2:$C$1369,0)))</f>
        <v/>
      </c>
      <c r="L1165" s="9">
        <f>IF(ISNA(MATCH(1152,Engine!$C$2:$C$1369,0)),"",INDEX('Compliance Database'!$L$2:$L$1369,MATCH(1152,Engine!$C$2:$C$1369,0)))</f>
        <v/>
      </c>
      <c r="M1165" s="9">
        <f>IF(ISNA(MATCH(1152,Engine!$C$2:$C$1369,0)),"",INDEX('Compliance Database'!$M$2:$M$1369,MATCH(1152,Engine!$C$2:$C$1369,0)))</f>
        <v/>
      </c>
      <c r="N1165" s="9">
        <f>IF(ISNA(MATCH(1152,Engine!$C$2:$C$1369,0)),"",INDEX('Compliance Database'!$N$2:$N$1369,MATCH(1152,Engine!$C$2:$C$1369,0)))</f>
        <v/>
      </c>
      <c r="O1165" s="8">
        <f>IF(ISNA(MATCH(1152,Engine!$C$2:$C$1369,0)),"",HYPERLINK(INDEX('Compliance Database'!$O$2:$O$1369,MATCH(1152,Engine!$C$2:$C$1369,0)),"Open PDF"))</f>
        <v/>
      </c>
    </row>
    <row r="1166" ht="188" customHeight="1">
      <c r="A1166" s="8">
        <f>IF(ISNA(MATCH(1153,Engine!$C$2:$C$1369,0)),"",INDEX('Compliance Database'!$A$2:$A$1369,MATCH(1153,Engine!$C$2:$C$1369,0)))</f>
        <v/>
      </c>
      <c r="B1166" s="8">
        <f>IF(ISNA(MATCH(1153,Engine!$C$2:$C$1369,0)),"",INDEX('Compliance Database'!$B$2:$B$1369,MATCH(1153,Engine!$C$2:$C$1369,0)))</f>
        <v/>
      </c>
      <c r="C1166" s="8">
        <f>IF(ISNA(MATCH(1153,Engine!$C$2:$C$1369,0)),"",INDEX('Compliance Database'!$C$2:$C$1369,MATCH(1153,Engine!$C$2:$C$1369,0)))</f>
        <v/>
      </c>
      <c r="D1166" s="9">
        <f>IF(ISNA(MATCH(1153,Engine!$C$2:$C$1369,0)),"",INDEX('Compliance Database'!$D$2:$D$1369,MATCH(1153,Engine!$C$2:$C$1369,0)))</f>
        <v/>
      </c>
      <c r="E1166" s="8">
        <f>IF(ISNA(MATCH(1153,Engine!$C$2:$C$1369,0)),"",INDEX('Compliance Database'!$E$2:$E$1369,MATCH(1153,Engine!$C$2:$C$1369,0)))</f>
        <v/>
      </c>
      <c r="F1166" s="8">
        <f>IF(ISNA(MATCH(1153,Engine!$C$2:$C$1369,0)),"",INDEX('Compliance Database'!$F$2:$F$1369,MATCH(1153,Engine!$C$2:$C$1369,0)))</f>
        <v/>
      </c>
      <c r="G1166" s="8">
        <f>IF(ISNA(MATCH(1153,Engine!$C$2:$C$1369,0)),"",INDEX('Compliance Database'!$G$2:$G$1369,MATCH(1153,Engine!$C$2:$C$1369,0)))</f>
        <v/>
      </c>
      <c r="H1166" s="9">
        <f>IF(ISNA(MATCH(1153,Engine!$C$2:$C$1369,0)),"",INDEX('Compliance Database'!$H$2:$H$1369,MATCH(1153,Engine!$C$2:$C$1369,0)))</f>
        <v/>
      </c>
      <c r="I1166" s="9">
        <f>IF(ISNA(MATCH(1153,Engine!$C$2:$C$1369,0)),"",INDEX('Compliance Database'!$I$2:$I$1369,MATCH(1153,Engine!$C$2:$C$1369,0)))</f>
        <v/>
      </c>
      <c r="J1166" s="8">
        <f>IF(ISNA(MATCH(1153,Engine!$C$2:$C$1369,0)),"",INDEX('Compliance Database'!$J$2:$J$1369,MATCH(1153,Engine!$C$2:$C$1369,0)))</f>
        <v/>
      </c>
      <c r="K1166" s="9">
        <f>IF(ISNA(MATCH(1153,Engine!$C$2:$C$1369,0)),"",INDEX('Compliance Database'!$K$2:$K$1369,MATCH(1153,Engine!$C$2:$C$1369,0)))</f>
        <v/>
      </c>
      <c r="L1166" s="9">
        <f>IF(ISNA(MATCH(1153,Engine!$C$2:$C$1369,0)),"",INDEX('Compliance Database'!$L$2:$L$1369,MATCH(1153,Engine!$C$2:$C$1369,0)))</f>
        <v/>
      </c>
      <c r="M1166" s="9">
        <f>IF(ISNA(MATCH(1153,Engine!$C$2:$C$1369,0)),"",INDEX('Compliance Database'!$M$2:$M$1369,MATCH(1153,Engine!$C$2:$C$1369,0)))</f>
        <v/>
      </c>
      <c r="N1166" s="9">
        <f>IF(ISNA(MATCH(1153,Engine!$C$2:$C$1369,0)),"",INDEX('Compliance Database'!$N$2:$N$1369,MATCH(1153,Engine!$C$2:$C$1369,0)))</f>
        <v/>
      </c>
      <c r="O1166" s="8">
        <f>IF(ISNA(MATCH(1153,Engine!$C$2:$C$1369,0)),"",HYPERLINK(INDEX('Compliance Database'!$O$2:$O$1369,MATCH(1153,Engine!$C$2:$C$1369,0)),"Open PDF"))</f>
        <v/>
      </c>
    </row>
    <row r="1167" ht="188" customHeight="1">
      <c r="A1167" s="8">
        <f>IF(ISNA(MATCH(1154,Engine!$C$2:$C$1369,0)),"",INDEX('Compliance Database'!$A$2:$A$1369,MATCH(1154,Engine!$C$2:$C$1369,0)))</f>
        <v/>
      </c>
      <c r="B1167" s="8">
        <f>IF(ISNA(MATCH(1154,Engine!$C$2:$C$1369,0)),"",INDEX('Compliance Database'!$B$2:$B$1369,MATCH(1154,Engine!$C$2:$C$1369,0)))</f>
        <v/>
      </c>
      <c r="C1167" s="8">
        <f>IF(ISNA(MATCH(1154,Engine!$C$2:$C$1369,0)),"",INDEX('Compliance Database'!$C$2:$C$1369,MATCH(1154,Engine!$C$2:$C$1369,0)))</f>
        <v/>
      </c>
      <c r="D1167" s="9">
        <f>IF(ISNA(MATCH(1154,Engine!$C$2:$C$1369,0)),"",INDEX('Compliance Database'!$D$2:$D$1369,MATCH(1154,Engine!$C$2:$C$1369,0)))</f>
        <v/>
      </c>
      <c r="E1167" s="8">
        <f>IF(ISNA(MATCH(1154,Engine!$C$2:$C$1369,0)),"",INDEX('Compliance Database'!$E$2:$E$1369,MATCH(1154,Engine!$C$2:$C$1369,0)))</f>
        <v/>
      </c>
      <c r="F1167" s="8">
        <f>IF(ISNA(MATCH(1154,Engine!$C$2:$C$1369,0)),"",INDEX('Compliance Database'!$F$2:$F$1369,MATCH(1154,Engine!$C$2:$C$1369,0)))</f>
        <v/>
      </c>
      <c r="G1167" s="8">
        <f>IF(ISNA(MATCH(1154,Engine!$C$2:$C$1369,0)),"",INDEX('Compliance Database'!$G$2:$G$1369,MATCH(1154,Engine!$C$2:$C$1369,0)))</f>
        <v/>
      </c>
      <c r="H1167" s="9">
        <f>IF(ISNA(MATCH(1154,Engine!$C$2:$C$1369,0)),"",INDEX('Compliance Database'!$H$2:$H$1369,MATCH(1154,Engine!$C$2:$C$1369,0)))</f>
        <v/>
      </c>
      <c r="I1167" s="9">
        <f>IF(ISNA(MATCH(1154,Engine!$C$2:$C$1369,0)),"",INDEX('Compliance Database'!$I$2:$I$1369,MATCH(1154,Engine!$C$2:$C$1369,0)))</f>
        <v/>
      </c>
      <c r="J1167" s="8">
        <f>IF(ISNA(MATCH(1154,Engine!$C$2:$C$1369,0)),"",INDEX('Compliance Database'!$J$2:$J$1369,MATCH(1154,Engine!$C$2:$C$1369,0)))</f>
        <v/>
      </c>
      <c r="K1167" s="9">
        <f>IF(ISNA(MATCH(1154,Engine!$C$2:$C$1369,0)),"",INDEX('Compliance Database'!$K$2:$K$1369,MATCH(1154,Engine!$C$2:$C$1369,0)))</f>
        <v/>
      </c>
      <c r="L1167" s="9">
        <f>IF(ISNA(MATCH(1154,Engine!$C$2:$C$1369,0)),"",INDEX('Compliance Database'!$L$2:$L$1369,MATCH(1154,Engine!$C$2:$C$1369,0)))</f>
        <v/>
      </c>
      <c r="M1167" s="9">
        <f>IF(ISNA(MATCH(1154,Engine!$C$2:$C$1369,0)),"",INDEX('Compliance Database'!$M$2:$M$1369,MATCH(1154,Engine!$C$2:$C$1369,0)))</f>
        <v/>
      </c>
      <c r="N1167" s="9">
        <f>IF(ISNA(MATCH(1154,Engine!$C$2:$C$1369,0)),"",INDEX('Compliance Database'!$N$2:$N$1369,MATCH(1154,Engine!$C$2:$C$1369,0)))</f>
        <v/>
      </c>
      <c r="O1167" s="8">
        <f>IF(ISNA(MATCH(1154,Engine!$C$2:$C$1369,0)),"",HYPERLINK(INDEX('Compliance Database'!$O$2:$O$1369,MATCH(1154,Engine!$C$2:$C$1369,0)),"Open PDF"))</f>
        <v/>
      </c>
    </row>
    <row r="1168" ht="188" customHeight="1">
      <c r="A1168" s="8">
        <f>IF(ISNA(MATCH(1155,Engine!$C$2:$C$1369,0)),"",INDEX('Compliance Database'!$A$2:$A$1369,MATCH(1155,Engine!$C$2:$C$1369,0)))</f>
        <v/>
      </c>
      <c r="B1168" s="8">
        <f>IF(ISNA(MATCH(1155,Engine!$C$2:$C$1369,0)),"",INDEX('Compliance Database'!$B$2:$B$1369,MATCH(1155,Engine!$C$2:$C$1369,0)))</f>
        <v/>
      </c>
      <c r="C1168" s="8">
        <f>IF(ISNA(MATCH(1155,Engine!$C$2:$C$1369,0)),"",INDEX('Compliance Database'!$C$2:$C$1369,MATCH(1155,Engine!$C$2:$C$1369,0)))</f>
        <v/>
      </c>
      <c r="D1168" s="9">
        <f>IF(ISNA(MATCH(1155,Engine!$C$2:$C$1369,0)),"",INDEX('Compliance Database'!$D$2:$D$1369,MATCH(1155,Engine!$C$2:$C$1369,0)))</f>
        <v/>
      </c>
      <c r="E1168" s="8">
        <f>IF(ISNA(MATCH(1155,Engine!$C$2:$C$1369,0)),"",INDEX('Compliance Database'!$E$2:$E$1369,MATCH(1155,Engine!$C$2:$C$1369,0)))</f>
        <v/>
      </c>
      <c r="F1168" s="8">
        <f>IF(ISNA(MATCH(1155,Engine!$C$2:$C$1369,0)),"",INDEX('Compliance Database'!$F$2:$F$1369,MATCH(1155,Engine!$C$2:$C$1369,0)))</f>
        <v/>
      </c>
      <c r="G1168" s="8">
        <f>IF(ISNA(MATCH(1155,Engine!$C$2:$C$1369,0)),"",INDEX('Compliance Database'!$G$2:$G$1369,MATCH(1155,Engine!$C$2:$C$1369,0)))</f>
        <v/>
      </c>
      <c r="H1168" s="9">
        <f>IF(ISNA(MATCH(1155,Engine!$C$2:$C$1369,0)),"",INDEX('Compliance Database'!$H$2:$H$1369,MATCH(1155,Engine!$C$2:$C$1369,0)))</f>
        <v/>
      </c>
      <c r="I1168" s="9">
        <f>IF(ISNA(MATCH(1155,Engine!$C$2:$C$1369,0)),"",INDEX('Compliance Database'!$I$2:$I$1369,MATCH(1155,Engine!$C$2:$C$1369,0)))</f>
        <v/>
      </c>
      <c r="J1168" s="8">
        <f>IF(ISNA(MATCH(1155,Engine!$C$2:$C$1369,0)),"",INDEX('Compliance Database'!$J$2:$J$1369,MATCH(1155,Engine!$C$2:$C$1369,0)))</f>
        <v/>
      </c>
      <c r="K1168" s="9">
        <f>IF(ISNA(MATCH(1155,Engine!$C$2:$C$1369,0)),"",INDEX('Compliance Database'!$K$2:$K$1369,MATCH(1155,Engine!$C$2:$C$1369,0)))</f>
        <v/>
      </c>
      <c r="L1168" s="9">
        <f>IF(ISNA(MATCH(1155,Engine!$C$2:$C$1369,0)),"",INDEX('Compliance Database'!$L$2:$L$1369,MATCH(1155,Engine!$C$2:$C$1369,0)))</f>
        <v/>
      </c>
      <c r="M1168" s="9">
        <f>IF(ISNA(MATCH(1155,Engine!$C$2:$C$1369,0)),"",INDEX('Compliance Database'!$M$2:$M$1369,MATCH(1155,Engine!$C$2:$C$1369,0)))</f>
        <v/>
      </c>
      <c r="N1168" s="9">
        <f>IF(ISNA(MATCH(1155,Engine!$C$2:$C$1369,0)),"",INDEX('Compliance Database'!$N$2:$N$1369,MATCH(1155,Engine!$C$2:$C$1369,0)))</f>
        <v/>
      </c>
      <c r="O1168" s="8">
        <f>IF(ISNA(MATCH(1155,Engine!$C$2:$C$1369,0)),"",HYPERLINK(INDEX('Compliance Database'!$O$2:$O$1369,MATCH(1155,Engine!$C$2:$C$1369,0)),"Open PDF"))</f>
        <v/>
      </c>
    </row>
    <row r="1169" ht="188" customHeight="1">
      <c r="A1169" s="8">
        <f>IF(ISNA(MATCH(1156,Engine!$C$2:$C$1369,0)),"",INDEX('Compliance Database'!$A$2:$A$1369,MATCH(1156,Engine!$C$2:$C$1369,0)))</f>
        <v/>
      </c>
      <c r="B1169" s="8">
        <f>IF(ISNA(MATCH(1156,Engine!$C$2:$C$1369,0)),"",INDEX('Compliance Database'!$B$2:$B$1369,MATCH(1156,Engine!$C$2:$C$1369,0)))</f>
        <v/>
      </c>
      <c r="C1169" s="8">
        <f>IF(ISNA(MATCH(1156,Engine!$C$2:$C$1369,0)),"",INDEX('Compliance Database'!$C$2:$C$1369,MATCH(1156,Engine!$C$2:$C$1369,0)))</f>
        <v/>
      </c>
      <c r="D1169" s="9">
        <f>IF(ISNA(MATCH(1156,Engine!$C$2:$C$1369,0)),"",INDEX('Compliance Database'!$D$2:$D$1369,MATCH(1156,Engine!$C$2:$C$1369,0)))</f>
        <v/>
      </c>
      <c r="E1169" s="8">
        <f>IF(ISNA(MATCH(1156,Engine!$C$2:$C$1369,0)),"",INDEX('Compliance Database'!$E$2:$E$1369,MATCH(1156,Engine!$C$2:$C$1369,0)))</f>
        <v/>
      </c>
      <c r="F1169" s="8">
        <f>IF(ISNA(MATCH(1156,Engine!$C$2:$C$1369,0)),"",INDEX('Compliance Database'!$F$2:$F$1369,MATCH(1156,Engine!$C$2:$C$1369,0)))</f>
        <v/>
      </c>
      <c r="G1169" s="8">
        <f>IF(ISNA(MATCH(1156,Engine!$C$2:$C$1369,0)),"",INDEX('Compliance Database'!$G$2:$G$1369,MATCH(1156,Engine!$C$2:$C$1369,0)))</f>
        <v/>
      </c>
      <c r="H1169" s="9">
        <f>IF(ISNA(MATCH(1156,Engine!$C$2:$C$1369,0)),"",INDEX('Compliance Database'!$H$2:$H$1369,MATCH(1156,Engine!$C$2:$C$1369,0)))</f>
        <v/>
      </c>
      <c r="I1169" s="9">
        <f>IF(ISNA(MATCH(1156,Engine!$C$2:$C$1369,0)),"",INDEX('Compliance Database'!$I$2:$I$1369,MATCH(1156,Engine!$C$2:$C$1369,0)))</f>
        <v/>
      </c>
      <c r="J1169" s="8">
        <f>IF(ISNA(MATCH(1156,Engine!$C$2:$C$1369,0)),"",INDEX('Compliance Database'!$J$2:$J$1369,MATCH(1156,Engine!$C$2:$C$1369,0)))</f>
        <v/>
      </c>
      <c r="K1169" s="9">
        <f>IF(ISNA(MATCH(1156,Engine!$C$2:$C$1369,0)),"",INDEX('Compliance Database'!$K$2:$K$1369,MATCH(1156,Engine!$C$2:$C$1369,0)))</f>
        <v/>
      </c>
      <c r="L1169" s="9">
        <f>IF(ISNA(MATCH(1156,Engine!$C$2:$C$1369,0)),"",INDEX('Compliance Database'!$L$2:$L$1369,MATCH(1156,Engine!$C$2:$C$1369,0)))</f>
        <v/>
      </c>
      <c r="M1169" s="9">
        <f>IF(ISNA(MATCH(1156,Engine!$C$2:$C$1369,0)),"",INDEX('Compliance Database'!$M$2:$M$1369,MATCH(1156,Engine!$C$2:$C$1369,0)))</f>
        <v/>
      </c>
      <c r="N1169" s="9">
        <f>IF(ISNA(MATCH(1156,Engine!$C$2:$C$1369,0)),"",INDEX('Compliance Database'!$N$2:$N$1369,MATCH(1156,Engine!$C$2:$C$1369,0)))</f>
        <v/>
      </c>
      <c r="O1169" s="8">
        <f>IF(ISNA(MATCH(1156,Engine!$C$2:$C$1369,0)),"",HYPERLINK(INDEX('Compliance Database'!$O$2:$O$1369,MATCH(1156,Engine!$C$2:$C$1369,0)),"Open PDF"))</f>
        <v/>
      </c>
    </row>
    <row r="1170" ht="188" customHeight="1">
      <c r="A1170" s="8">
        <f>IF(ISNA(MATCH(1157,Engine!$C$2:$C$1369,0)),"",INDEX('Compliance Database'!$A$2:$A$1369,MATCH(1157,Engine!$C$2:$C$1369,0)))</f>
        <v/>
      </c>
      <c r="B1170" s="8">
        <f>IF(ISNA(MATCH(1157,Engine!$C$2:$C$1369,0)),"",INDEX('Compliance Database'!$B$2:$B$1369,MATCH(1157,Engine!$C$2:$C$1369,0)))</f>
        <v/>
      </c>
      <c r="C1170" s="8">
        <f>IF(ISNA(MATCH(1157,Engine!$C$2:$C$1369,0)),"",INDEX('Compliance Database'!$C$2:$C$1369,MATCH(1157,Engine!$C$2:$C$1369,0)))</f>
        <v/>
      </c>
      <c r="D1170" s="9">
        <f>IF(ISNA(MATCH(1157,Engine!$C$2:$C$1369,0)),"",INDEX('Compliance Database'!$D$2:$D$1369,MATCH(1157,Engine!$C$2:$C$1369,0)))</f>
        <v/>
      </c>
      <c r="E1170" s="8">
        <f>IF(ISNA(MATCH(1157,Engine!$C$2:$C$1369,0)),"",INDEX('Compliance Database'!$E$2:$E$1369,MATCH(1157,Engine!$C$2:$C$1369,0)))</f>
        <v/>
      </c>
      <c r="F1170" s="8">
        <f>IF(ISNA(MATCH(1157,Engine!$C$2:$C$1369,0)),"",INDEX('Compliance Database'!$F$2:$F$1369,MATCH(1157,Engine!$C$2:$C$1369,0)))</f>
        <v/>
      </c>
      <c r="G1170" s="8">
        <f>IF(ISNA(MATCH(1157,Engine!$C$2:$C$1369,0)),"",INDEX('Compliance Database'!$G$2:$G$1369,MATCH(1157,Engine!$C$2:$C$1369,0)))</f>
        <v/>
      </c>
      <c r="H1170" s="9">
        <f>IF(ISNA(MATCH(1157,Engine!$C$2:$C$1369,0)),"",INDEX('Compliance Database'!$H$2:$H$1369,MATCH(1157,Engine!$C$2:$C$1369,0)))</f>
        <v/>
      </c>
      <c r="I1170" s="9">
        <f>IF(ISNA(MATCH(1157,Engine!$C$2:$C$1369,0)),"",INDEX('Compliance Database'!$I$2:$I$1369,MATCH(1157,Engine!$C$2:$C$1369,0)))</f>
        <v/>
      </c>
      <c r="J1170" s="8">
        <f>IF(ISNA(MATCH(1157,Engine!$C$2:$C$1369,0)),"",INDEX('Compliance Database'!$J$2:$J$1369,MATCH(1157,Engine!$C$2:$C$1369,0)))</f>
        <v/>
      </c>
      <c r="K1170" s="9">
        <f>IF(ISNA(MATCH(1157,Engine!$C$2:$C$1369,0)),"",INDEX('Compliance Database'!$K$2:$K$1369,MATCH(1157,Engine!$C$2:$C$1369,0)))</f>
        <v/>
      </c>
      <c r="L1170" s="9">
        <f>IF(ISNA(MATCH(1157,Engine!$C$2:$C$1369,0)),"",INDEX('Compliance Database'!$L$2:$L$1369,MATCH(1157,Engine!$C$2:$C$1369,0)))</f>
        <v/>
      </c>
      <c r="M1170" s="9">
        <f>IF(ISNA(MATCH(1157,Engine!$C$2:$C$1369,0)),"",INDEX('Compliance Database'!$M$2:$M$1369,MATCH(1157,Engine!$C$2:$C$1369,0)))</f>
        <v/>
      </c>
      <c r="N1170" s="9">
        <f>IF(ISNA(MATCH(1157,Engine!$C$2:$C$1369,0)),"",INDEX('Compliance Database'!$N$2:$N$1369,MATCH(1157,Engine!$C$2:$C$1369,0)))</f>
        <v/>
      </c>
      <c r="O1170" s="8">
        <f>IF(ISNA(MATCH(1157,Engine!$C$2:$C$1369,0)),"",HYPERLINK(INDEX('Compliance Database'!$O$2:$O$1369,MATCH(1157,Engine!$C$2:$C$1369,0)),"Open PDF"))</f>
        <v/>
      </c>
    </row>
    <row r="1171" ht="188" customHeight="1">
      <c r="A1171" s="8">
        <f>IF(ISNA(MATCH(1158,Engine!$C$2:$C$1369,0)),"",INDEX('Compliance Database'!$A$2:$A$1369,MATCH(1158,Engine!$C$2:$C$1369,0)))</f>
        <v/>
      </c>
      <c r="B1171" s="8">
        <f>IF(ISNA(MATCH(1158,Engine!$C$2:$C$1369,0)),"",INDEX('Compliance Database'!$B$2:$B$1369,MATCH(1158,Engine!$C$2:$C$1369,0)))</f>
        <v/>
      </c>
      <c r="C1171" s="8">
        <f>IF(ISNA(MATCH(1158,Engine!$C$2:$C$1369,0)),"",INDEX('Compliance Database'!$C$2:$C$1369,MATCH(1158,Engine!$C$2:$C$1369,0)))</f>
        <v/>
      </c>
      <c r="D1171" s="9">
        <f>IF(ISNA(MATCH(1158,Engine!$C$2:$C$1369,0)),"",INDEX('Compliance Database'!$D$2:$D$1369,MATCH(1158,Engine!$C$2:$C$1369,0)))</f>
        <v/>
      </c>
      <c r="E1171" s="8">
        <f>IF(ISNA(MATCH(1158,Engine!$C$2:$C$1369,0)),"",INDEX('Compliance Database'!$E$2:$E$1369,MATCH(1158,Engine!$C$2:$C$1369,0)))</f>
        <v/>
      </c>
      <c r="F1171" s="8">
        <f>IF(ISNA(MATCH(1158,Engine!$C$2:$C$1369,0)),"",INDEX('Compliance Database'!$F$2:$F$1369,MATCH(1158,Engine!$C$2:$C$1369,0)))</f>
        <v/>
      </c>
      <c r="G1171" s="8">
        <f>IF(ISNA(MATCH(1158,Engine!$C$2:$C$1369,0)),"",INDEX('Compliance Database'!$G$2:$G$1369,MATCH(1158,Engine!$C$2:$C$1369,0)))</f>
        <v/>
      </c>
      <c r="H1171" s="9">
        <f>IF(ISNA(MATCH(1158,Engine!$C$2:$C$1369,0)),"",INDEX('Compliance Database'!$H$2:$H$1369,MATCH(1158,Engine!$C$2:$C$1369,0)))</f>
        <v/>
      </c>
      <c r="I1171" s="9">
        <f>IF(ISNA(MATCH(1158,Engine!$C$2:$C$1369,0)),"",INDEX('Compliance Database'!$I$2:$I$1369,MATCH(1158,Engine!$C$2:$C$1369,0)))</f>
        <v/>
      </c>
      <c r="J1171" s="8">
        <f>IF(ISNA(MATCH(1158,Engine!$C$2:$C$1369,0)),"",INDEX('Compliance Database'!$J$2:$J$1369,MATCH(1158,Engine!$C$2:$C$1369,0)))</f>
        <v/>
      </c>
      <c r="K1171" s="9">
        <f>IF(ISNA(MATCH(1158,Engine!$C$2:$C$1369,0)),"",INDEX('Compliance Database'!$K$2:$K$1369,MATCH(1158,Engine!$C$2:$C$1369,0)))</f>
        <v/>
      </c>
      <c r="L1171" s="9">
        <f>IF(ISNA(MATCH(1158,Engine!$C$2:$C$1369,0)),"",INDEX('Compliance Database'!$L$2:$L$1369,MATCH(1158,Engine!$C$2:$C$1369,0)))</f>
        <v/>
      </c>
      <c r="M1171" s="9">
        <f>IF(ISNA(MATCH(1158,Engine!$C$2:$C$1369,0)),"",INDEX('Compliance Database'!$M$2:$M$1369,MATCH(1158,Engine!$C$2:$C$1369,0)))</f>
        <v/>
      </c>
      <c r="N1171" s="9">
        <f>IF(ISNA(MATCH(1158,Engine!$C$2:$C$1369,0)),"",INDEX('Compliance Database'!$N$2:$N$1369,MATCH(1158,Engine!$C$2:$C$1369,0)))</f>
        <v/>
      </c>
      <c r="O1171" s="8">
        <f>IF(ISNA(MATCH(1158,Engine!$C$2:$C$1369,0)),"",HYPERLINK(INDEX('Compliance Database'!$O$2:$O$1369,MATCH(1158,Engine!$C$2:$C$1369,0)),"Open PDF"))</f>
        <v/>
      </c>
    </row>
    <row r="1172" ht="188" customHeight="1">
      <c r="A1172" s="8">
        <f>IF(ISNA(MATCH(1159,Engine!$C$2:$C$1369,0)),"",INDEX('Compliance Database'!$A$2:$A$1369,MATCH(1159,Engine!$C$2:$C$1369,0)))</f>
        <v/>
      </c>
      <c r="B1172" s="8">
        <f>IF(ISNA(MATCH(1159,Engine!$C$2:$C$1369,0)),"",INDEX('Compliance Database'!$B$2:$B$1369,MATCH(1159,Engine!$C$2:$C$1369,0)))</f>
        <v/>
      </c>
      <c r="C1172" s="8">
        <f>IF(ISNA(MATCH(1159,Engine!$C$2:$C$1369,0)),"",INDEX('Compliance Database'!$C$2:$C$1369,MATCH(1159,Engine!$C$2:$C$1369,0)))</f>
        <v/>
      </c>
      <c r="D1172" s="9">
        <f>IF(ISNA(MATCH(1159,Engine!$C$2:$C$1369,0)),"",INDEX('Compliance Database'!$D$2:$D$1369,MATCH(1159,Engine!$C$2:$C$1369,0)))</f>
        <v/>
      </c>
      <c r="E1172" s="8">
        <f>IF(ISNA(MATCH(1159,Engine!$C$2:$C$1369,0)),"",INDEX('Compliance Database'!$E$2:$E$1369,MATCH(1159,Engine!$C$2:$C$1369,0)))</f>
        <v/>
      </c>
      <c r="F1172" s="8">
        <f>IF(ISNA(MATCH(1159,Engine!$C$2:$C$1369,0)),"",INDEX('Compliance Database'!$F$2:$F$1369,MATCH(1159,Engine!$C$2:$C$1369,0)))</f>
        <v/>
      </c>
      <c r="G1172" s="8">
        <f>IF(ISNA(MATCH(1159,Engine!$C$2:$C$1369,0)),"",INDEX('Compliance Database'!$G$2:$G$1369,MATCH(1159,Engine!$C$2:$C$1369,0)))</f>
        <v/>
      </c>
      <c r="H1172" s="9">
        <f>IF(ISNA(MATCH(1159,Engine!$C$2:$C$1369,0)),"",INDEX('Compliance Database'!$H$2:$H$1369,MATCH(1159,Engine!$C$2:$C$1369,0)))</f>
        <v/>
      </c>
      <c r="I1172" s="9">
        <f>IF(ISNA(MATCH(1159,Engine!$C$2:$C$1369,0)),"",INDEX('Compliance Database'!$I$2:$I$1369,MATCH(1159,Engine!$C$2:$C$1369,0)))</f>
        <v/>
      </c>
      <c r="J1172" s="8">
        <f>IF(ISNA(MATCH(1159,Engine!$C$2:$C$1369,0)),"",INDEX('Compliance Database'!$J$2:$J$1369,MATCH(1159,Engine!$C$2:$C$1369,0)))</f>
        <v/>
      </c>
      <c r="K1172" s="9">
        <f>IF(ISNA(MATCH(1159,Engine!$C$2:$C$1369,0)),"",INDEX('Compliance Database'!$K$2:$K$1369,MATCH(1159,Engine!$C$2:$C$1369,0)))</f>
        <v/>
      </c>
      <c r="L1172" s="9">
        <f>IF(ISNA(MATCH(1159,Engine!$C$2:$C$1369,0)),"",INDEX('Compliance Database'!$L$2:$L$1369,MATCH(1159,Engine!$C$2:$C$1369,0)))</f>
        <v/>
      </c>
      <c r="M1172" s="9">
        <f>IF(ISNA(MATCH(1159,Engine!$C$2:$C$1369,0)),"",INDEX('Compliance Database'!$M$2:$M$1369,MATCH(1159,Engine!$C$2:$C$1369,0)))</f>
        <v/>
      </c>
      <c r="N1172" s="9">
        <f>IF(ISNA(MATCH(1159,Engine!$C$2:$C$1369,0)),"",INDEX('Compliance Database'!$N$2:$N$1369,MATCH(1159,Engine!$C$2:$C$1369,0)))</f>
        <v/>
      </c>
      <c r="O1172" s="8">
        <f>IF(ISNA(MATCH(1159,Engine!$C$2:$C$1369,0)),"",HYPERLINK(INDEX('Compliance Database'!$O$2:$O$1369,MATCH(1159,Engine!$C$2:$C$1369,0)),"Open PDF"))</f>
        <v/>
      </c>
    </row>
    <row r="1173" ht="188" customHeight="1">
      <c r="A1173" s="8">
        <f>IF(ISNA(MATCH(1160,Engine!$C$2:$C$1369,0)),"",INDEX('Compliance Database'!$A$2:$A$1369,MATCH(1160,Engine!$C$2:$C$1369,0)))</f>
        <v/>
      </c>
      <c r="B1173" s="8">
        <f>IF(ISNA(MATCH(1160,Engine!$C$2:$C$1369,0)),"",INDEX('Compliance Database'!$B$2:$B$1369,MATCH(1160,Engine!$C$2:$C$1369,0)))</f>
        <v/>
      </c>
      <c r="C1173" s="8">
        <f>IF(ISNA(MATCH(1160,Engine!$C$2:$C$1369,0)),"",INDEX('Compliance Database'!$C$2:$C$1369,MATCH(1160,Engine!$C$2:$C$1369,0)))</f>
        <v/>
      </c>
      <c r="D1173" s="9">
        <f>IF(ISNA(MATCH(1160,Engine!$C$2:$C$1369,0)),"",INDEX('Compliance Database'!$D$2:$D$1369,MATCH(1160,Engine!$C$2:$C$1369,0)))</f>
        <v/>
      </c>
      <c r="E1173" s="8">
        <f>IF(ISNA(MATCH(1160,Engine!$C$2:$C$1369,0)),"",INDEX('Compliance Database'!$E$2:$E$1369,MATCH(1160,Engine!$C$2:$C$1369,0)))</f>
        <v/>
      </c>
      <c r="F1173" s="8">
        <f>IF(ISNA(MATCH(1160,Engine!$C$2:$C$1369,0)),"",INDEX('Compliance Database'!$F$2:$F$1369,MATCH(1160,Engine!$C$2:$C$1369,0)))</f>
        <v/>
      </c>
      <c r="G1173" s="8">
        <f>IF(ISNA(MATCH(1160,Engine!$C$2:$C$1369,0)),"",INDEX('Compliance Database'!$G$2:$G$1369,MATCH(1160,Engine!$C$2:$C$1369,0)))</f>
        <v/>
      </c>
      <c r="H1173" s="9">
        <f>IF(ISNA(MATCH(1160,Engine!$C$2:$C$1369,0)),"",INDEX('Compliance Database'!$H$2:$H$1369,MATCH(1160,Engine!$C$2:$C$1369,0)))</f>
        <v/>
      </c>
      <c r="I1173" s="9">
        <f>IF(ISNA(MATCH(1160,Engine!$C$2:$C$1369,0)),"",INDEX('Compliance Database'!$I$2:$I$1369,MATCH(1160,Engine!$C$2:$C$1369,0)))</f>
        <v/>
      </c>
      <c r="J1173" s="8">
        <f>IF(ISNA(MATCH(1160,Engine!$C$2:$C$1369,0)),"",INDEX('Compliance Database'!$J$2:$J$1369,MATCH(1160,Engine!$C$2:$C$1369,0)))</f>
        <v/>
      </c>
      <c r="K1173" s="9">
        <f>IF(ISNA(MATCH(1160,Engine!$C$2:$C$1369,0)),"",INDEX('Compliance Database'!$K$2:$K$1369,MATCH(1160,Engine!$C$2:$C$1369,0)))</f>
        <v/>
      </c>
      <c r="L1173" s="9">
        <f>IF(ISNA(MATCH(1160,Engine!$C$2:$C$1369,0)),"",INDEX('Compliance Database'!$L$2:$L$1369,MATCH(1160,Engine!$C$2:$C$1369,0)))</f>
        <v/>
      </c>
      <c r="M1173" s="9">
        <f>IF(ISNA(MATCH(1160,Engine!$C$2:$C$1369,0)),"",INDEX('Compliance Database'!$M$2:$M$1369,MATCH(1160,Engine!$C$2:$C$1369,0)))</f>
        <v/>
      </c>
      <c r="N1173" s="9">
        <f>IF(ISNA(MATCH(1160,Engine!$C$2:$C$1369,0)),"",INDEX('Compliance Database'!$N$2:$N$1369,MATCH(1160,Engine!$C$2:$C$1369,0)))</f>
        <v/>
      </c>
      <c r="O1173" s="8">
        <f>IF(ISNA(MATCH(1160,Engine!$C$2:$C$1369,0)),"",HYPERLINK(INDEX('Compliance Database'!$O$2:$O$1369,MATCH(1160,Engine!$C$2:$C$1369,0)),"Open PDF"))</f>
        <v/>
      </c>
    </row>
    <row r="1174" ht="188" customHeight="1">
      <c r="A1174" s="8">
        <f>IF(ISNA(MATCH(1161,Engine!$C$2:$C$1369,0)),"",INDEX('Compliance Database'!$A$2:$A$1369,MATCH(1161,Engine!$C$2:$C$1369,0)))</f>
        <v/>
      </c>
      <c r="B1174" s="8">
        <f>IF(ISNA(MATCH(1161,Engine!$C$2:$C$1369,0)),"",INDEX('Compliance Database'!$B$2:$B$1369,MATCH(1161,Engine!$C$2:$C$1369,0)))</f>
        <v/>
      </c>
      <c r="C1174" s="8">
        <f>IF(ISNA(MATCH(1161,Engine!$C$2:$C$1369,0)),"",INDEX('Compliance Database'!$C$2:$C$1369,MATCH(1161,Engine!$C$2:$C$1369,0)))</f>
        <v/>
      </c>
      <c r="D1174" s="9">
        <f>IF(ISNA(MATCH(1161,Engine!$C$2:$C$1369,0)),"",INDEX('Compliance Database'!$D$2:$D$1369,MATCH(1161,Engine!$C$2:$C$1369,0)))</f>
        <v/>
      </c>
      <c r="E1174" s="8">
        <f>IF(ISNA(MATCH(1161,Engine!$C$2:$C$1369,0)),"",INDEX('Compliance Database'!$E$2:$E$1369,MATCH(1161,Engine!$C$2:$C$1369,0)))</f>
        <v/>
      </c>
      <c r="F1174" s="8">
        <f>IF(ISNA(MATCH(1161,Engine!$C$2:$C$1369,0)),"",INDEX('Compliance Database'!$F$2:$F$1369,MATCH(1161,Engine!$C$2:$C$1369,0)))</f>
        <v/>
      </c>
      <c r="G1174" s="8">
        <f>IF(ISNA(MATCH(1161,Engine!$C$2:$C$1369,0)),"",INDEX('Compliance Database'!$G$2:$G$1369,MATCH(1161,Engine!$C$2:$C$1369,0)))</f>
        <v/>
      </c>
      <c r="H1174" s="9">
        <f>IF(ISNA(MATCH(1161,Engine!$C$2:$C$1369,0)),"",INDEX('Compliance Database'!$H$2:$H$1369,MATCH(1161,Engine!$C$2:$C$1369,0)))</f>
        <v/>
      </c>
      <c r="I1174" s="9">
        <f>IF(ISNA(MATCH(1161,Engine!$C$2:$C$1369,0)),"",INDEX('Compliance Database'!$I$2:$I$1369,MATCH(1161,Engine!$C$2:$C$1369,0)))</f>
        <v/>
      </c>
      <c r="J1174" s="8">
        <f>IF(ISNA(MATCH(1161,Engine!$C$2:$C$1369,0)),"",INDEX('Compliance Database'!$J$2:$J$1369,MATCH(1161,Engine!$C$2:$C$1369,0)))</f>
        <v/>
      </c>
      <c r="K1174" s="9">
        <f>IF(ISNA(MATCH(1161,Engine!$C$2:$C$1369,0)),"",INDEX('Compliance Database'!$K$2:$K$1369,MATCH(1161,Engine!$C$2:$C$1369,0)))</f>
        <v/>
      </c>
      <c r="L1174" s="9">
        <f>IF(ISNA(MATCH(1161,Engine!$C$2:$C$1369,0)),"",INDEX('Compliance Database'!$L$2:$L$1369,MATCH(1161,Engine!$C$2:$C$1369,0)))</f>
        <v/>
      </c>
      <c r="M1174" s="9">
        <f>IF(ISNA(MATCH(1161,Engine!$C$2:$C$1369,0)),"",INDEX('Compliance Database'!$M$2:$M$1369,MATCH(1161,Engine!$C$2:$C$1369,0)))</f>
        <v/>
      </c>
      <c r="N1174" s="9">
        <f>IF(ISNA(MATCH(1161,Engine!$C$2:$C$1369,0)),"",INDEX('Compliance Database'!$N$2:$N$1369,MATCH(1161,Engine!$C$2:$C$1369,0)))</f>
        <v/>
      </c>
      <c r="O1174" s="8">
        <f>IF(ISNA(MATCH(1161,Engine!$C$2:$C$1369,0)),"",HYPERLINK(INDEX('Compliance Database'!$O$2:$O$1369,MATCH(1161,Engine!$C$2:$C$1369,0)),"Open PDF"))</f>
        <v/>
      </c>
    </row>
    <row r="1175" ht="188" customHeight="1">
      <c r="A1175" s="8">
        <f>IF(ISNA(MATCH(1162,Engine!$C$2:$C$1369,0)),"",INDEX('Compliance Database'!$A$2:$A$1369,MATCH(1162,Engine!$C$2:$C$1369,0)))</f>
        <v/>
      </c>
      <c r="B1175" s="8">
        <f>IF(ISNA(MATCH(1162,Engine!$C$2:$C$1369,0)),"",INDEX('Compliance Database'!$B$2:$B$1369,MATCH(1162,Engine!$C$2:$C$1369,0)))</f>
        <v/>
      </c>
      <c r="C1175" s="8">
        <f>IF(ISNA(MATCH(1162,Engine!$C$2:$C$1369,0)),"",INDEX('Compliance Database'!$C$2:$C$1369,MATCH(1162,Engine!$C$2:$C$1369,0)))</f>
        <v/>
      </c>
      <c r="D1175" s="9">
        <f>IF(ISNA(MATCH(1162,Engine!$C$2:$C$1369,0)),"",INDEX('Compliance Database'!$D$2:$D$1369,MATCH(1162,Engine!$C$2:$C$1369,0)))</f>
        <v/>
      </c>
      <c r="E1175" s="8">
        <f>IF(ISNA(MATCH(1162,Engine!$C$2:$C$1369,0)),"",INDEX('Compliance Database'!$E$2:$E$1369,MATCH(1162,Engine!$C$2:$C$1369,0)))</f>
        <v/>
      </c>
      <c r="F1175" s="8">
        <f>IF(ISNA(MATCH(1162,Engine!$C$2:$C$1369,0)),"",INDEX('Compliance Database'!$F$2:$F$1369,MATCH(1162,Engine!$C$2:$C$1369,0)))</f>
        <v/>
      </c>
      <c r="G1175" s="8">
        <f>IF(ISNA(MATCH(1162,Engine!$C$2:$C$1369,0)),"",INDEX('Compliance Database'!$G$2:$G$1369,MATCH(1162,Engine!$C$2:$C$1369,0)))</f>
        <v/>
      </c>
      <c r="H1175" s="9">
        <f>IF(ISNA(MATCH(1162,Engine!$C$2:$C$1369,0)),"",INDEX('Compliance Database'!$H$2:$H$1369,MATCH(1162,Engine!$C$2:$C$1369,0)))</f>
        <v/>
      </c>
      <c r="I1175" s="9">
        <f>IF(ISNA(MATCH(1162,Engine!$C$2:$C$1369,0)),"",INDEX('Compliance Database'!$I$2:$I$1369,MATCH(1162,Engine!$C$2:$C$1369,0)))</f>
        <v/>
      </c>
      <c r="J1175" s="8">
        <f>IF(ISNA(MATCH(1162,Engine!$C$2:$C$1369,0)),"",INDEX('Compliance Database'!$J$2:$J$1369,MATCH(1162,Engine!$C$2:$C$1369,0)))</f>
        <v/>
      </c>
      <c r="K1175" s="9">
        <f>IF(ISNA(MATCH(1162,Engine!$C$2:$C$1369,0)),"",INDEX('Compliance Database'!$K$2:$K$1369,MATCH(1162,Engine!$C$2:$C$1369,0)))</f>
        <v/>
      </c>
      <c r="L1175" s="9">
        <f>IF(ISNA(MATCH(1162,Engine!$C$2:$C$1369,0)),"",INDEX('Compliance Database'!$L$2:$L$1369,MATCH(1162,Engine!$C$2:$C$1369,0)))</f>
        <v/>
      </c>
      <c r="M1175" s="9">
        <f>IF(ISNA(MATCH(1162,Engine!$C$2:$C$1369,0)),"",INDEX('Compliance Database'!$M$2:$M$1369,MATCH(1162,Engine!$C$2:$C$1369,0)))</f>
        <v/>
      </c>
      <c r="N1175" s="9">
        <f>IF(ISNA(MATCH(1162,Engine!$C$2:$C$1369,0)),"",INDEX('Compliance Database'!$N$2:$N$1369,MATCH(1162,Engine!$C$2:$C$1369,0)))</f>
        <v/>
      </c>
      <c r="O1175" s="8">
        <f>IF(ISNA(MATCH(1162,Engine!$C$2:$C$1369,0)),"",HYPERLINK(INDEX('Compliance Database'!$O$2:$O$1369,MATCH(1162,Engine!$C$2:$C$1369,0)),"Open PDF"))</f>
        <v/>
      </c>
    </row>
    <row r="1176" ht="188" customHeight="1">
      <c r="A1176" s="8">
        <f>IF(ISNA(MATCH(1163,Engine!$C$2:$C$1369,0)),"",INDEX('Compliance Database'!$A$2:$A$1369,MATCH(1163,Engine!$C$2:$C$1369,0)))</f>
        <v/>
      </c>
      <c r="B1176" s="8">
        <f>IF(ISNA(MATCH(1163,Engine!$C$2:$C$1369,0)),"",INDEX('Compliance Database'!$B$2:$B$1369,MATCH(1163,Engine!$C$2:$C$1369,0)))</f>
        <v/>
      </c>
      <c r="C1176" s="8">
        <f>IF(ISNA(MATCH(1163,Engine!$C$2:$C$1369,0)),"",INDEX('Compliance Database'!$C$2:$C$1369,MATCH(1163,Engine!$C$2:$C$1369,0)))</f>
        <v/>
      </c>
      <c r="D1176" s="9">
        <f>IF(ISNA(MATCH(1163,Engine!$C$2:$C$1369,0)),"",INDEX('Compliance Database'!$D$2:$D$1369,MATCH(1163,Engine!$C$2:$C$1369,0)))</f>
        <v/>
      </c>
      <c r="E1176" s="8">
        <f>IF(ISNA(MATCH(1163,Engine!$C$2:$C$1369,0)),"",INDEX('Compliance Database'!$E$2:$E$1369,MATCH(1163,Engine!$C$2:$C$1369,0)))</f>
        <v/>
      </c>
      <c r="F1176" s="8">
        <f>IF(ISNA(MATCH(1163,Engine!$C$2:$C$1369,0)),"",INDEX('Compliance Database'!$F$2:$F$1369,MATCH(1163,Engine!$C$2:$C$1369,0)))</f>
        <v/>
      </c>
      <c r="G1176" s="8">
        <f>IF(ISNA(MATCH(1163,Engine!$C$2:$C$1369,0)),"",INDEX('Compliance Database'!$G$2:$G$1369,MATCH(1163,Engine!$C$2:$C$1369,0)))</f>
        <v/>
      </c>
      <c r="H1176" s="9">
        <f>IF(ISNA(MATCH(1163,Engine!$C$2:$C$1369,0)),"",INDEX('Compliance Database'!$H$2:$H$1369,MATCH(1163,Engine!$C$2:$C$1369,0)))</f>
        <v/>
      </c>
      <c r="I1176" s="9">
        <f>IF(ISNA(MATCH(1163,Engine!$C$2:$C$1369,0)),"",INDEX('Compliance Database'!$I$2:$I$1369,MATCH(1163,Engine!$C$2:$C$1369,0)))</f>
        <v/>
      </c>
      <c r="J1176" s="8">
        <f>IF(ISNA(MATCH(1163,Engine!$C$2:$C$1369,0)),"",INDEX('Compliance Database'!$J$2:$J$1369,MATCH(1163,Engine!$C$2:$C$1369,0)))</f>
        <v/>
      </c>
      <c r="K1176" s="9">
        <f>IF(ISNA(MATCH(1163,Engine!$C$2:$C$1369,0)),"",INDEX('Compliance Database'!$K$2:$K$1369,MATCH(1163,Engine!$C$2:$C$1369,0)))</f>
        <v/>
      </c>
      <c r="L1176" s="9">
        <f>IF(ISNA(MATCH(1163,Engine!$C$2:$C$1369,0)),"",INDEX('Compliance Database'!$L$2:$L$1369,MATCH(1163,Engine!$C$2:$C$1369,0)))</f>
        <v/>
      </c>
      <c r="M1176" s="9">
        <f>IF(ISNA(MATCH(1163,Engine!$C$2:$C$1369,0)),"",INDEX('Compliance Database'!$M$2:$M$1369,MATCH(1163,Engine!$C$2:$C$1369,0)))</f>
        <v/>
      </c>
      <c r="N1176" s="9">
        <f>IF(ISNA(MATCH(1163,Engine!$C$2:$C$1369,0)),"",INDEX('Compliance Database'!$N$2:$N$1369,MATCH(1163,Engine!$C$2:$C$1369,0)))</f>
        <v/>
      </c>
      <c r="O1176" s="8">
        <f>IF(ISNA(MATCH(1163,Engine!$C$2:$C$1369,0)),"",HYPERLINK(INDEX('Compliance Database'!$O$2:$O$1369,MATCH(1163,Engine!$C$2:$C$1369,0)),"Open PDF"))</f>
        <v/>
      </c>
    </row>
    <row r="1177" ht="188" customHeight="1">
      <c r="A1177" s="8">
        <f>IF(ISNA(MATCH(1164,Engine!$C$2:$C$1369,0)),"",INDEX('Compliance Database'!$A$2:$A$1369,MATCH(1164,Engine!$C$2:$C$1369,0)))</f>
        <v/>
      </c>
      <c r="B1177" s="8">
        <f>IF(ISNA(MATCH(1164,Engine!$C$2:$C$1369,0)),"",INDEX('Compliance Database'!$B$2:$B$1369,MATCH(1164,Engine!$C$2:$C$1369,0)))</f>
        <v/>
      </c>
      <c r="C1177" s="8">
        <f>IF(ISNA(MATCH(1164,Engine!$C$2:$C$1369,0)),"",INDEX('Compliance Database'!$C$2:$C$1369,MATCH(1164,Engine!$C$2:$C$1369,0)))</f>
        <v/>
      </c>
      <c r="D1177" s="9">
        <f>IF(ISNA(MATCH(1164,Engine!$C$2:$C$1369,0)),"",INDEX('Compliance Database'!$D$2:$D$1369,MATCH(1164,Engine!$C$2:$C$1369,0)))</f>
        <v/>
      </c>
      <c r="E1177" s="8">
        <f>IF(ISNA(MATCH(1164,Engine!$C$2:$C$1369,0)),"",INDEX('Compliance Database'!$E$2:$E$1369,MATCH(1164,Engine!$C$2:$C$1369,0)))</f>
        <v/>
      </c>
      <c r="F1177" s="8">
        <f>IF(ISNA(MATCH(1164,Engine!$C$2:$C$1369,0)),"",INDEX('Compliance Database'!$F$2:$F$1369,MATCH(1164,Engine!$C$2:$C$1369,0)))</f>
        <v/>
      </c>
      <c r="G1177" s="8">
        <f>IF(ISNA(MATCH(1164,Engine!$C$2:$C$1369,0)),"",INDEX('Compliance Database'!$G$2:$G$1369,MATCH(1164,Engine!$C$2:$C$1369,0)))</f>
        <v/>
      </c>
      <c r="H1177" s="9">
        <f>IF(ISNA(MATCH(1164,Engine!$C$2:$C$1369,0)),"",INDEX('Compliance Database'!$H$2:$H$1369,MATCH(1164,Engine!$C$2:$C$1369,0)))</f>
        <v/>
      </c>
      <c r="I1177" s="9">
        <f>IF(ISNA(MATCH(1164,Engine!$C$2:$C$1369,0)),"",INDEX('Compliance Database'!$I$2:$I$1369,MATCH(1164,Engine!$C$2:$C$1369,0)))</f>
        <v/>
      </c>
      <c r="J1177" s="8">
        <f>IF(ISNA(MATCH(1164,Engine!$C$2:$C$1369,0)),"",INDEX('Compliance Database'!$J$2:$J$1369,MATCH(1164,Engine!$C$2:$C$1369,0)))</f>
        <v/>
      </c>
      <c r="K1177" s="9">
        <f>IF(ISNA(MATCH(1164,Engine!$C$2:$C$1369,0)),"",INDEX('Compliance Database'!$K$2:$K$1369,MATCH(1164,Engine!$C$2:$C$1369,0)))</f>
        <v/>
      </c>
      <c r="L1177" s="9">
        <f>IF(ISNA(MATCH(1164,Engine!$C$2:$C$1369,0)),"",INDEX('Compliance Database'!$L$2:$L$1369,MATCH(1164,Engine!$C$2:$C$1369,0)))</f>
        <v/>
      </c>
      <c r="M1177" s="9">
        <f>IF(ISNA(MATCH(1164,Engine!$C$2:$C$1369,0)),"",INDEX('Compliance Database'!$M$2:$M$1369,MATCH(1164,Engine!$C$2:$C$1369,0)))</f>
        <v/>
      </c>
      <c r="N1177" s="9">
        <f>IF(ISNA(MATCH(1164,Engine!$C$2:$C$1369,0)),"",INDEX('Compliance Database'!$N$2:$N$1369,MATCH(1164,Engine!$C$2:$C$1369,0)))</f>
        <v/>
      </c>
      <c r="O1177" s="8">
        <f>IF(ISNA(MATCH(1164,Engine!$C$2:$C$1369,0)),"",HYPERLINK(INDEX('Compliance Database'!$O$2:$O$1369,MATCH(1164,Engine!$C$2:$C$1369,0)),"Open PDF"))</f>
        <v/>
      </c>
    </row>
    <row r="1178" ht="188" customHeight="1">
      <c r="A1178" s="8">
        <f>IF(ISNA(MATCH(1165,Engine!$C$2:$C$1369,0)),"",INDEX('Compliance Database'!$A$2:$A$1369,MATCH(1165,Engine!$C$2:$C$1369,0)))</f>
        <v/>
      </c>
      <c r="B1178" s="8">
        <f>IF(ISNA(MATCH(1165,Engine!$C$2:$C$1369,0)),"",INDEX('Compliance Database'!$B$2:$B$1369,MATCH(1165,Engine!$C$2:$C$1369,0)))</f>
        <v/>
      </c>
      <c r="C1178" s="8">
        <f>IF(ISNA(MATCH(1165,Engine!$C$2:$C$1369,0)),"",INDEX('Compliance Database'!$C$2:$C$1369,MATCH(1165,Engine!$C$2:$C$1369,0)))</f>
        <v/>
      </c>
      <c r="D1178" s="9">
        <f>IF(ISNA(MATCH(1165,Engine!$C$2:$C$1369,0)),"",INDEX('Compliance Database'!$D$2:$D$1369,MATCH(1165,Engine!$C$2:$C$1369,0)))</f>
        <v/>
      </c>
      <c r="E1178" s="8">
        <f>IF(ISNA(MATCH(1165,Engine!$C$2:$C$1369,0)),"",INDEX('Compliance Database'!$E$2:$E$1369,MATCH(1165,Engine!$C$2:$C$1369,0)))</f>
        <v/>
      </c>
      <c r="F1178" s="8">
        <f>IF(ISNA(MATCH(1165,Engine!$C$2:$C$1369,0)),"",INDEX('Compliance Database'!$F$2:$F$1369,MATCH(1165,Engine!$C$2:$C$1369,0)))</f>
        <v/>
      </c>
      <c r="G1178" s="8">
        <f>IF(ISNA(MATCH(1165,Engine!$C$2:$C$1369,0)),"",INDEX('Compliance Database'!$G$2:$G$1369,MATCH(1165,Engine!$C$2:$C$1369,0)))</f>
        <v/>
      </c>
      <c r="H1178" s="9">
        <f>IF(ISNA(MATCH(1165,Engine!$C$2:$C$1369,0)),"",INDEX('Compliance Database'!$H$2:$H$1369,MATCH(1165,Engine!$C$2:$C$1369,0)))</f>
        <v/>
      </c>
      <c r="I1178" s="9">
        <f>IF(ISNA(MATCH(1165,Engine!$C$2:$C$1369,0)),"",INDEX('Compliance Database'!$I$2:$I$1369,MATCH(1165,Engine!$C$2:$C$1369,0)))</f>
        <v/>
      </c>
      <c r="J1178" s="8">
        <f>IF(ISNA(MATCH(1165,Engine!$C$2:$C$1369,0)),"",INDEX('Compliance Database'!$J$2:$J$1369,MATCH(1165,Engine!$C$2:$C$1369,0)))</f>
        <v/>
      </c>
      <c r="K1178" s="9">
        <f>IF(ISNA(MATCH(1165,Engine!$C$2:$C$1369,0)),"",INDEX('Compliance Database'!$K$2:$K$1369,MATCH(1165,Engine!$C$2:$C$1369,0)))</f>
        <v/>
      </c>
      <c r="L1178" s="9">
        <f>IF(ISNA(MATCH(1165,Engine!$C$2:$C$1369,0)),"",INDEX('Compliance Database'!$L$2:$L$1369,MATCH(1165,Engine!$C$2:$C$1369,0)))</f>
        <v/>
      </c>
      <c r="M1178" s="9">
        <f>IF(ISNA(MATCH(1165,Engine!$C$2:$C$1369,0)),"",INDEX('Compliance Database'!$M$2:$M$1369,MATCH(1165,Engine!$C$2:$C$1369,0)))</f>
        <v/>
      </c>
      <c r="N1178" s="9">
        <f>IF(ISNA(MATCH(1165,Engine!$C$2:$C$1369,0)),"",INDEX('Compliance Database'!$N$2:$N$1369,MATCH(1165,Engine!$C$2:$C$1369,0)))</f>
        <v/>
      </c>
      <c r="O1178" s="8">
        <f>IF(ISNA(MATCH(1165,Engine!$C$2:$C$1369,0)),"",HYPERLINK(INDEX('Compliance Database'!$O$2:$O$1369,MATCH(1165,Engine!$C$2:$C$1369,0)),"Open PDF"))</f>
        <v/>
      </c>
    </row>
    <row r="1179" ht="188" customHeight="1">
      <c r="A1179" s="8">
        <f>IF(ISNA(MATCH(1166,Engine!$C$2:$C$1369,0)),"",INDEX('Compliance Database'!$A$2:$A$1369,MATCH(1166,Engine!$C$2:$C$1369,0)))</f>
        <v/>
      </c>
      <c r="B1179" s="8">
        <f>IF(ISNA(MATCH(1166,Engine!$C$2:$C$1369,0)),"",INDEX('Compliance Database'!$B$2:$B$1369,MATCH(1166,Engine!$C$2:$C$1369,0)))</f>
        <v/>
      </c>
      <c r="C1179" s="8">
        <f>IF(ISNA(MATCH(1166,Engine!$C$2:$C$1369,0)),"",INDEX('Compliance Database'!$C$2:$C$1369,MATCH(1166,Engine!$C$2:$C$1369,0)))</f>
        <v/>
      </c>
      <c r="D1179" s="9">
        <f>IF(ISNA(MATCH(1166,Engine!$C$2:$C$1369,0)),"",INDEX('Compliance Database'!$D$2:$D$1369,MATCH(1166,Engine!$C$2:$C$1369,0)))</f>
        <v/>
      </c>
      <c r="E1179" s="8">
        <f>IF(ISNA(MATCH(1166,Engine!$C$2:$C$1369,0)),"",INDEX('Compliance Database'!$E$2:$E$1369,MATCH(1166,Engine!$C$2:$C$1369,0)))</f>
        <v/>
      </c>
      <c r="F1179" s="8">
        <f>IF(ISNA(MATCH(1166,Engine!$C$2:$C$1369,0)),"",INDEX('Compliance Database'!$F$2:$F$1369,MATCH(1166,Engine!$C$2:$C$1369,0)))</f>
        <v/>
      </c>
      <c r="G1179" s="8">
        <f>IF(ISNA(MATCH(1166,Engine!$C$2:$C$1369,0)),"",INDEX('Compliance Database'!$G$2:$G$1369,MATCH(1166,Engine!$C$2:$C$1369,0)))</f>
        <v/>
      </c>
      <c r="H1179" s="9">
        <f>IF(ISNA(MATCH(1166,Engine!$C$2:$C$1369,0)),"",INDEX('Compliance Database'!$H$2:$H$1369,MATCH(1166,Engine!$C$2:$C$1369,0)))</f>
        <v/>
      </c>
      <c r="I1179" s="9">
        <f>IF(ISNA(MATCH(1166,Engine!$C$2:$C$1369,0)),"",INDEX('Compliance Database'!$I$2:$I$1369,MATCH(1166,Engine!$C$2:$C$1369,0)))</f>
        <v/>
      </c>
      <c r="J1179" s="8">
        <f>IF(ISNA(MATCH(1166,Engine!$C$2:$C$1369,0)),"",INDEX('Compliance Database'!$J$2:$J$1369,MATCH(1166,Engine!$C$2:$C$1369,0)))</f>
        <v/>
      </c>
      <c r="K1179" s="9">
        <f>IF(ISNA(MATCH(1166,Engine!$C$2:$C$1369,0)),"",INDEX('Compliance Database'!$K$2:$K$1369,MATCH(1166,Engine!$C$2:$C$1369,0)))</f>
        <v/>
      </c>
      <c r="L1179" s="9">
        <f>IF(ISNA(MATCH(1166,Engine!$C$2:$C$1369,0)),"",INDEX('Compliance Database'!$L$2:$L$1369,MATCH(1166,Engine!$C$2:$C$1369,0)))</f>
        <v/>
      </c>
      <c r="M1179" s="9">
        <f>IF(ISNA(MATCH(1166,Engine!$C$2:$C$1369,0)),"",INDEX('Compliance Database'!$M$2:$M$1369,MATCH(1166,Engine!$C$2:$C$1369,0)))</f>
        <v/>
      </c>
      <c r="N1179" s="9">
        <f>IF(ISNA(MATCH(1166,Engine!$C$2:$C$1369,0)),"",INDEX('Compliance Database'!$N$2:$N$1369,MATCH(1166,Engine!$C$2:$C$1369,0)))</f>
        <v/>
      </c>
      <c r="O1179" s="8">
        <f>IF(ISNA(MATCH(1166,Engine!$C$2:$C$1369,0)),"",HYPERLINK(INDEX('Compliance Database'!$O$2:$O$1369,MATCH(1166,Engine!$C$2:$C$1369,0)),"Open PDF"))</f>
        <v/>
      </c>
    </row>
    <row r="1180" ht="188" customHeight="1">
      <c r="A1180" s="8">
        <f>IF(ISNA(MATCH(1167,Engine!$C$2:$C$1369,0)),"",INDEX('Compliance Database'!$A$2:$A$1369,MATCH(1167,Engine!$C$2:$C$1369,0)))</f>
        <v/>
      </c>
      <c r="B1180" s="8">
        <f>IF(ISNA(MATCH(1167,Engine!$C$2:$C$1369,0)),"",INDEX('Compliance Database'!$B$2:$B$1369,MATCH(1167,Engine!$C$2:$C$1369,0)))</f>
        <v/>
      </c>
      <c r="C1180" s="8">
        <f>IF(ISNA(MATCH(1167,Engine!$C$2:$C$1369,0)),"",INDEX('Compliance Database'!$C$2:$C$1369,MATCH(1167,Engine!$C$2:$C$1369,0)))</f>
        <v/>
      </c>
      <c r="D1180" s="9">
        <f>IF(ISNA(MATCH(1167,Engine!$C$2:$C$1369,0)),"",INDEX('Compliance Database'!$D$2:$D$1369,MATCH(1167,Engine!$C$2:$C$1369,0)))</f>
        <v/>
      </c>
      <c r="E1180" s="8">
        <f>IF(ISNA(MATCH(1167,Engine!$C$2:$C$1369,0)),"",INDEX('Compliance Database'!$E$2:$E$1369,MATCH(1167,Engine!$C$2:$C$1369,0)))</f>
        <v/>
      </c>
      <c r="F1180" s="8">
        <f>IF(ISNA(MATCH(1167,Engine!$C$2:$C$1369,0)),"",INDEX('Compliance Database'!$F$2:$F$1369,MATCH(1167,Engine!$C$2:$C$1369,0)))</f>
        <v/>
      </c>
      <c r="G1180" s="8">
        <f>IF(ISNA(MATCH(1167,Engine!$C$2:$C$1369,0)),"",INDEX('Compliance Database'!$G$2:$G$1369,MATCH(1167,Engine!$C$2:$C$1369,0)))</f>
        <v/>
      </c>
      <c r="H1180" s="9">
        <f>IF(ISNA(MATCH(1167,Engine!$C$2:$C$1369,0)),"",INDEX('Compliance Database'!$H$2:$H$1369,MATCH(1167,Engine!$C$2:$C$1369,0)))</f>
        <v/>
      </c>
      <c r="I1180" s="9">
        <f>IF(ISNA(MATCH(1167,Engine!$C$2:$C$1369,0)),"",INDEX('Compliance Database'!$I$2:$I$1369,MATCH(1167,Engine!$C$2:$C$1369,0)))</f>
        <v/>
      </c>
      <c r="J1180" s="8">
        <f>IF(ISNA(MATCH(1167,Engine!$C$2:$C$1369,0)),"",INDEX('Compliance Database'!$J$2:$J$1369,MATCH(1167,Engine!$C$2:$C$1369,0)))</f>
        <v/>
      </c>
      <c r="K1180" s="9">
        <f>IF(ISNA(MATCH(1167,Engine!$C$2:$C$1369,0)),"",INDEX('Compliance Database'!$K$2:$K$1369,MATCH(1167,Engine!$C$2:$C$1369,0)))</f>
        <v/>
      </c>
      <c r="L1180" s="9">
        <f>IF(ISNA(MATCH(1167,Engine!$C$2:$C$1369,0)),"",INDEX('Compliance Database'!$L$2:$L$1369,MATCH(1167,Engine!$C$2:$C$1369,0)))</f>
        <v/>
      </c>
      <c r="M1180" s="9">
        <f>IF(ISNA(MATCH(1167,Engine!$C$2:$C$1369,0)),"",INDEX('Compliance Database'!$M$2:$M$1369,MATCH(1167,Engine!$C$2:$C$1369,0)))</f>
        <v/>
      </c>
      <c r="N1180" s="9">
        <f>IF(ISNA(MATCH(1167,Engine!$C$2:$C$1369,0)),"",INDEX('Compliance Database'!$N$2:$N$1369,MATCH(1167,Engine!$C$2:$C$1369,0)))</f>
        <v/>
      </c>
      <c r="O1180" s="8">
        <f>IF(ISNA(MATCH(1167,Engine!$C$2:$C$1369,0)),"",HYPERLINK(INDEX('Compliance Database'!$O$2:$O$1369,MATCH(1167,Engine!$C$2:$C$1369,0)),"Open PDF"))</f>
        <v/>
      </c>
    </row>
    <row r="1181" ht="188" customHeight="1">
      <c r="A1181" s="8">
        <f>IF(ISNA(MATCH(1168,Engine!$C$2:$C$1369,0)),"",INDEX('Compliance Database'!$A$2:$A$1369,MATCH(1168,Engine!$C$2:$C$1369,0)))</f>
        <v/>
      </c>
      <c r="B1181" s="8">
        <f>IF(ISNA(MATCH(1168,Engine!$C$2:$C$1369,0)),"",INDEX('Compliance Database'!$B$2:$B$1369,MATCH(1168,Engine!$C$2:$C$1369,0)))</f>
        <v/>
      </c>
      <c r="C1181" s="8">
        <f>IF(ISNA(MATCH(1168,Engine!$C$2:$C$1369,0)),"",INDEX('Compliance Database'!$C$2:$C$1369,MATCH(1168,Engine!$C$2:$C$1369,0)))</f>
        <v/>
      </c>
      <c r="D1181" s="9">
        <f>IF(ISNA(MATCH(1168,Engine!$C$2:$C$1369,0)),"",INDEX('Compliance Database'!$D$2:$D$1369,MATCH(1168,Engine!$C$2:$C$1369,0)))</f>
        <v/>
      </c>
      <c r="E1181" s="8">
        <f>IF(ISNA(MATCH(1168,Engine!$C$2:$C$1369,0)),"",INDEX('Compliance Database'!$E$2:$E$1369,MATCH(1168,Engine!$C$2:$C$1369,0)))</f>
        <v/>
      </c>
      <c r="F1181" s="8">
        <f>IF(ISNA(MATCH(1168,Engine!$C$2:$C$1369,0)),"",INDEX('Compliance Database'!$F$2:$F$1369,MATCH(1168,Engine!$C$2:$C$1369,0)))</f>
        <v/>
      </c>
      <c r="G1181" s="8">
        <f>IF(ISNA(MATCH(1168,Engine!$C$2:$C$1369,0)),"",INDEX('Compliance Database'!$G$2:$G$1369,MATCH(1168,Engine!$C$2:$C$1369,0)))</f>
        <v/>
      </c>
      <c r="H1181" s="9">
        <f>IF(ISNA(MATCH(1168,Engine!$C$2:$C$1369,0)),"",INDEX('Compliance Database'!$H$2:$H$1369,MATCH(1168,Engine!$C$2:$C$1369,0)))</f>
        <v/>
      </c>
      <c r="I1181" s="9">
        <f>IF(ISNA(MATCH(1168,Engine!$C$2:$C$1369,0)),"",INDEX('Compliance Database'!$I$2:$I$1369,MATCH(1168,Engine!$C$2:$C$1369,0)))</f>
        <v/>
      </c>
      <c r="J1181" s="8">
        <f>IF(ISNA(MATCH(1168,Engine!$C$2:$C$1369,0)),"",INDEX('Compliance Database'!$J$2:$J$1369,MATCH(1168,Engine!$C$2:$C$1369,0)))</f>
        <v/>
      </c>
      <c r="K1181" s="9">
        <f>IF(ISNA(MATCH(1168,Engine!$C$2:$C$1369,0)),"",INDEX('Compliance Database'!$K$2:$K$1369,MATCH(1168,Engine!$C$2:$C$1369,0)))</f>
        <v/>
      </c>
      <c r="L1181" s="9">
        <f>IF(ISNA(MATCH(1168,Engine!$C$2:$C$1369,0)),"",INDEX('Compliance Database'!$L$2:$L$1369,MATCH(1168,Engine!$C$2:$C$1369,0)))</f>
        <v/>
      </c>
      <c r="M1181" s="9">
        <f>IF(ISNA(MATCH(1168,Engine!$C$2:$C$1369,0)),"",INDEX('Compliance Database'!$M$2:$M$1369,MATCH(1168,Engine!$C$2:$C$1369,0)))</f>
        <v/>
      </c>
      <c r="N1181" s="9">
        <f>IF(ISNA(MATCH(1168,Engine!$C$2:$C$1369,0)),"",INDEX('Compliance Database'!$N$2:$N$1369,MATCH(1168,Engine!$C$2:$C$1369,0)))</f>
        <v/>
      </c>
      <c r="O1181" s="8">
        <f>IF(ISNA(MATCH(1168,Engine!$C$2:$C$1369,0)),"",HYPERLINK(INDEX('Compliance Database'!$O$2:$O$1369,MATCH(1168,Engine!$C$2:$C$1369,0)),"Open PDF"))</f>
        <v/>
      </c>
    </row>
    <row r="1182" ht="188" customHeight="1">
      <c r="A1182" s="8">
        <f>IF(ISNA(MATCH(1169,Engine!$C$2:$C$1369,0)),"",INDEX('Compliance Database'!$A$2:$A$1369,MATCH(1169,Engine!$C$2:$C$1369,0)))</f>
        <v/>
      </c>
      <c r="B1182" s="8">
        <f>IF(ISNA(MATCH(1169,Engine!$C$2:$C$1369,0)),"",INDEX('Compliance Database'!$B$2:$B$1369,MATCH(1169,Engine!$C$2:$C$1369,0)))</f>
        <v/>
      </c>
      <c r="C1182" s="8">
        <f>IF(ISNA(MATCH(1169,Engine!$C$2:$C$1369,0)),"",INDEX('Compliance Database'!$C$2:$C$1369,MATCH(1169,Engine!$C$2:$C$1369,0)))</f>
        <v/>
      </c>
      <c r="D1182" s="9">
        <f>IF(ISNA(MATCH(1169,Engine!$C$2:$C$1369,0)),"",INDEX('Compliance Database'!$D$2:$D$1369,MATCH(1169,Engine!$C$2:$C$1369,0)))</f>
        <v/>
      </c>
      <c r="E1182" s="8">
        <f>IF(ISNA(MATCH(1169,Engine!$C$2:$C$1369,0)),"",INDEX('Compliance Database'!$E$2:$E$1369,MATCH(1169,Engine!$C$2:$C$1369,0)))</f>
        <v/>
      </c>
      <c r="F1182" s="8">
        <f>IF(ISNA(MATCH(1169,Engine!$C$2:$C$1369,0)),"",INDEX('Compliance Database'!$F$2:$F$1369,MATCH(1169,Engine!$C$2:$C$1369,0)))</f>
        <v/>
      </c>
      <c r="G1182" s="8">
        <f>IF(ISNA(MATCH(1169,Engine!$C$2:$C$1369,0)),"",INDEX('Compliance Database'!$G$2:$G$1369,MATCH(1169,Engine!$C$2:$C$1369,0)))</f>
        <v/>
      </c>
      <c r="H1182" s="9">
        <f>IF(ISNA(MATCH(1169,Engine!$C$2:$C$1369,0)),"",INDEX('Compliance Database'!$H$2:$H$1369,MATCH(1169,Engine!$C$2:$C$1369,0)))</f>
        <v/>
      </c>
      <c r="I1182" s="9">
        <f>IF(ISNA(MATCH(1169,Engine!$C$2:$C$1369,0)),"",INDEX('Compliance Database'!$I$2:$I$1369,MATCH(1169,Engine!$C$2:$C$1369,0)))</f>
        <v/>
      </c>
      <c r="J1182" s="8">
        <f>IF(ISNA(MATCH(1169,Engine!$C$2:$C$1369,0)),"",INDEX('Compliance Database'!$J$2:$J$1369,MATCH(1169,Engine!$C$2:$C$1369,0)))</f>
        <v/>
      </c>
      <c r="K1182" s="9">
        <f>IF(ISNA(MATCH(1169,Engine!$C$2:$C$1369,0)),"",INDEX('Compliance Database'!$K$2:$K$1369,MATCH(1169,Engine!$C$2:$C$1369,0)))</f>
        <v/>
      </c>
      <c r="L1182" s="9">
        <f>IF(ISNA(MATCH(1169,Engine!$C$2:$C$1369,0)),"",INDEX('Compliance Database'!$L$2:$L$1369,MATCH(1169,Engine!$C$2:$C$1369,0)))</f>
        <v/>
      </c>
      <c r="M1182" s="9">
        <f>IF(ISNA(MATCH(1169,Engine!$C$2:$C$1369,0)),"",INDEX('Compliance Database'!$M$2:$M$1369,MATCH(1169,Engine!$C$2:$C$1369,0)))</f>
        <v/>
      </c>
      <c r="N1182" s="9">
        <f>IF(ISNA(MATCH(1169,Engine!$C$2:$C$1369,0)),"",INDEX('Compliance Database'!$N$2:$N$1369,MATCH(1169,Engine!$C$2:$C$1369,0)))</f>
        <v/>
      </c>
      <c r="O1182" s="8">
        <f>IF(ISNA(MATCH(1169,Engine!$C$2:$C$1369,0)),"",HYPERLINK(INDEX('Compliance Database'!$O$2:$O$1369,MATCH(1169,Engine!$C$2:$C$1369,0)),"Open PDF"))</f>
        <v/>
      </c>
    </row>
    <row r="1183" ht="188" customHeight="1">
      <c r="A1183" s="8">
        <f>IF(ISNA(MATCH(1170,Engine!$C$2:$C$1369,0)),"",INDEX('Compliance Database'!$A$2:$A$1369,MATCH(1170,Engine!$C$2:$C$1369,0)))</f>
        <v/>
      </c>
      <c r="B1183" s="8">
        <f>IF(ISNA(MATCH(1170,Engine!$C$2:$C$1369,0)),"",INDEX('Compliance Database'!$B$2:$B$1369,MATCH(1170,Engine!$C$2:$C$1369,0)))</f>
        <v/>
      </c>
      <c r="C1183" s="8">
        <f>IF(ISNA(MATCH(1170,Engine!$C$2:$C$1369,0)),"",INDEX('Compliance Database'!$C$2:$C$1369,MATCH(1170,Engine!$C$2:$C$1369,0)))</f>
        <v/>
      </c>
      <c r="D1183" s="9">
        <f>IF(ISNA(MATCH(1170,Engine!$C$2:$C$1369,0)),"",INDEX('Compliance Database'!$D$2:$D$1369,MATCH(1170,Engine!$C$2:$C$1369,0)))</f>
        <v/>
      </c>
      <c r="E1183" s="8">
        <f>IF(ISNA(MATCH(1170,Engine!$C$2:$C$1369,0)),"",INDEX('Compliance Database'!$E$2:$E$1369,MATCH(1170,Engine!$C$2:$C$1369,0)))</f>
        <v/>
      </c>
      <c r="F1183" s="8">
        <f>IF(ISNA(MATCH(1170,Engine!$C$2:$C$1369,0)),"",INDEX('Compliance Database'!$F$2:$F$1369,MATCH(1170,Engine!$C$2:$C$1369,0)))</f>
        <v/>
      </c>
      <c r="G1183" s="8">
        <f>IF(ISNA(MATCH(1170,Engine!$C$2:$C$1369,0)),"",INDEX('Compliance Database'!$G$2:$G$1369,MATCH(1170,Engine!$C$2:$C$1369,0)))</f>
        <v/>
      </c>
      <c r="H1183" s="9">
        <f>IF(ISNA(MATCH(1170,Engine!$C$2:$C$1369,0)),"",INDEX('Compliance Database'!$H$2:$H$1369,MATCH(1170,Engine!$C$2:$C$1369,0)))</f>
        <v/>
      </c>
      <c r="I1183" s="9">
        <f>IF(ISNA(MATCH(1170,Engine!$C$2:$C$1369,0)),"",INDEX('Compliance Database'!$I$2:$I$1369,MATCH(1170,Engine!$C$2:$C$1369,0)))</f>
        <v/>
      </c>
      <c r="J1183" s="8">
        <f>IF(ISNA(MATCH(1170,Engine!$C$2:$C$1369,0)),"",INDEX('Compliance Database'!$J$2:$J$1369,MATCH(1170,Engine!$C$2:$C$1369,0)))</f>
        <v/>
      </c>
      <c r="K1183" s="9">
        <f>IF(ISNA(MATCH(1170,Engine!$C$2:$C$1369,0)),"",INDEX('Compliance Database'!$K$2:$K$1369,MATCH(1170,Engine!$C$2:$C$1369,0)))</f>
        <v/>
      </c>
      <c r="L1183" s="9">
        <f>IF(ISNA(MATCH(1170,Engine!$C$2:$C$1369,0)),"",INDEX('Compliance Database'!$L$2:$L$1369,MATCH(1170,Engine!$C$2:$C$1369,0)))</f>
        <v/>
      </c>
      <c r="M1183" s="9">
        <f>IF(ISNA(MATCH(1170,Engine!$C$2:$C$1369,0)),"",INDEX('Compliance Database'!$M$2:$M$1369,MATCH(1170,Engine!$C$2:$C$1369,0)))</f>
        <v/>
      </c>
      <c r="N1183" s="9">
        <f>IF(ISNA(MATCH(1170,Engine!$C$2:$C$1369,0)),"",INDEX('Compliance Database'!$N$2:$N$1369,MATCH(1170,Engine!$C$2:$C$1369,0)))</f>
        <v/>
      </c>
      <c r="O1183" s="8">
        <f>IF(ISNA(MATCH(1170,Engine!$C$2:$C$1369,0)),"",HYPERLINK(INDEX('Compliance Database'!$O$2:$O$1369,MATCH(1170,Engine!$C$2:$C$1369,0)),"Open PDF"))</f>
        <v/>
      </c>
    </row>
    <row r="1184" ht="188" customHeight="1">
      <c r="A1184" s="8">
        <f>IF(ISNA(MATCH(1171,Engine!$C$2:$C$1369,0)),"",INDEX('Compliance Database'!$A$2:$A$1369,MATCH(1171,Engine!$C$2:$C$1369,0)))</f>
        <v/>
      </c>
      <c r="B1184" s="8">
        <f>IF(ISNA(MATCH(1171,Engine!$C$2:$C$1369,0)),"",INDEX('Compliance Database'!$B$2:$B$1369,MATCH(1171,Engine!$C$2:$C$1369,0)))</f>
        <v/>
      </c>
      <c r="C1184" s="8">
        <f>IF(ISNA(MATCH(1171,Engine!$C$2:$C$1369,0)),"",INDEX('Compliance Database'!$C$2:$C$1369,MATCH(1171,Engine!$C$2:$C$1369,0)))</f>
        <v/>
      </c>
      <c r="D1184" s="9">
        <f>IF(ISNA(MATCH(1171,Engine!$C$2:$C$1369,0)),"",INDEX('Compliance Database'!$D$2:$D$1369,MATCH(1171,Engine!$C$2:$C$1369,0)))</f>
        <v/>
      </c>
      <c r="E1184" s="8">
        <f>IF(ISNA(MATCH(1171,Engine!$C$2:$C$1369,0)),"",INDEX('Compliance Database'!$E$2:$E$1369,MATCH(1171,Engine!$C$2:$C$1369,0)))</f>
        <v/>
      </c>
      <c r="F1184" s="8">
        <f>IF(ISNA(MATCH(1171,Engine!$C$2:$C$1369,0)),"",INDEX('Compliance Database'!$F$2:$F$1369,MATCH(1171,Engine!$C$2:$C$1369,0)))</f>
        <v/>
      </c>
      <c r="G1184" s="8">
        <f>IF(ISNA(MATCH(1171,Engine!$C$2:$C$1369,0)),"",INDEX('Compliance Database'!$G$2:$G$1369,MATCH(1171,Engine!$C$2:$C$1369,0)))</f>
        <v/>
      </c>
      <c r="H1184" s="9">
        <f>IF(ISNA(MATCH(1171,Engine!$C$2:$C$1369,0)),"",INDEX('Compliance Database'!$H$2:$H$1369,MATCH(1171,Engine!$C$2:$C$1369,0)))</f>
        <v/>
      </c>
      <c r="I1184" s="9">
        <f>IF(ISNA(MATCH(1171,Engine!$C$2:$C$1369,0)),"",INDEX('Compliance Database'!$I$2:$I$1369,MATCH(1171,Engine!$C$2:$C$1369,0)))</f>
        <v/>
      </c>
      <c r="J1184" s="8">
        <f>IF(ISNA(MATCH(1171,Engine!$C$2:$C$1369,0)),"",INDEX('Compliance Database'!$J$2:$J$1369,MATCH(1171,Engine!$C$2:$C$1369,0)))</f>
        <v/>
      </c>
      <c r="K1184" s="9">
        <f>IF(ISNA(MATCH(1171,Engine!$C$2:$C$1369,0)),"",INDEX('Compliance Database'!$K$2:$K$1369,MATCH(1171,Engine!$C$2:$C$1369,0)))</f>
        <v/>
      </c>
      <c r="L1184" s="9">
        <f>IF(ISNA(MATCH(1171,Engine!$C$2:$C$1369,0)),"",INDEX('Compliance Database'!$L$2:$L$1369,MATCH(1171,Engine!$C$2:$C$1369,0)))</f>
        <v/>
      </c>
      <c r="M1184" s="9">
        <f>IF(ISNA(MATCH(1171,Engine!$C$2:$C$1369,0)),"",INDEX('Compliance Database'!$M$2:$M$1369,MATCH(1171,Engine!$C$2:$C$1369,0)))</f>
        <v/>
      </c>
      <c r="N1184" s="9">
        <f>IF(ISNA(MATCH(1171,Engine!$C$2:$C$1369,0)),"",INDEX('Compliance Database'!$N$2:$N$1369,MATCH(1171,Engine!$C$2:$C$1369,0)))</f>
        <v/>
      </c>
      <c r="O1184" s="8">
        <f>IF(ISNA(MATCH(1171,Engine!$C$2:$C$1369,0)),"",HYPERLINK(INDEX('Compliance Database'!$O$2:$O$1369,MATCH(1171,Engine!$C$2:$C$1369,0)),"Open PDF"))</f>
        <v/>
      </c>
    </row>
    <row r="1185" ht="188" customHeight="1">
      <c r="A1185" s="8">
        <f>IF(ISNA(MATCH(1172,Engine!$C$2:$C$1369,0)),"",INDEX('Compliance Database'!$A$2:$A$1369,MATCH(1172,Engine!$C$2:$C$1369,0)))</f>
        <v/>
      </c>
      <c r="B1185" s="8">
        <f>IF(ISNA(MATCH(1172,Engine!$C$2:$C$1369,0)),"",INDEX('Compliance Database'!$B$2:$B$1369,MATCH(1172,Engine!$C$2:$C$1369,0)))</f>
        <v/>
      </c>
      <c r="C1185" s="8">
        <f>IF(ISNA(MATCH(1172,Engine!$C$2:$C$1369,0)),"",INDEX('Compliance Database'!$C$2:$C$1369,MATCH(1172,Engine!$C$2:$C$1369,0)))</f>
        <v/>
      </c>
      <c r="D1185" s="9">
        <f>IF(ISNA(MATCH(1172,Engine!$C$2:$C$1369,0)),"",INDEX('Compliance Database'!$D$2:$D$1369,MATCH(1172,Engine!$C$2:$C$1369,0)))</f>
        <v/>
      </c>
      <c r="E1185" s="8">
        <f>IF(ISNA(MATCH(1172,Engine!$C$2:$C$1369,0)),"",INDEX('Compliance Database'!$E$2:$E$1369,MATCH(1172,Engine!$C$2:$C$1369,0)))</f>
        <v/>
      </c>
      <c r="F1185" s="8">
        <f>IF(ISNA(MATCH(1172,Engine!$C$2:$C$1369,0)),"",INDEX('Compliance Database'!$F$2:$F$1369,MATCH(1172,Engine!$C$2:$C$1369,0)))</f>
        <v/>
      </c>
      <c r="G1185" s="8">
        <f>IF(ISNA(MATCH(1172,Engine!$C$2:$C$1369,0)),"",INDEX('Compliance Database'!$G$2:$G$1369,MATCH(1172,Engine!$C$2:$C$1369,0)))</f>
        <v/>
      </c>
      <c r="H1185" s="9">
        <f>IF(ISNA(MATCH(1172,Engine!$C$2:$C$1369,0)),"",INDEX('Compliance Database'!$H$2:$H$1369,MATCH(1172,Engine!$C$2:$C$1369,0)))</f>
        <v/>
      </c>
      <c r="I1185" s="9">
        <f>IF(ISNA(MATCH(1172,Engine!$C$2:$C$1369,0)),"",INDEX('Compliance Database'!$I$2:$I$1369,MATCH(1172,Engine!$C$2:$C$1369,0)))</f>
        <v/>
      </c>
      <c r="J1185" s="8">
        <f>IF(ISNA(MATCH(1172,Engine!$C$2:$C$1369,0)),"",INDEX('Compliance Database'!$J$2:$J$1369,MATCH(1172,Engine!$C$2:$C$1369,0)))</f>
        <v/>
      </c>
      <c r="K1185" s="9">
        <f>IF(ISNA(MATCH(1172,Engine!$C$2:$C$1369,0)),"",INDEX('Compliance Database'!$K$2:$K$1369,MATCH(1172,Engine!$C$2:$C$1369,0)))</f>
        <v/>
      </c>
      <c r="L1185" s="9">
        <f>IF(ISNA(MATCH(1172,Engine!$C$2:$C$1369,0)),"",INDEX('Compliance Database'!$L$2:$L$1369,MATCH(1172,Engine!$C$2:$C$1369,0)))</f>
        <v/>
      </c>
      <c r="M1185" s="9">
        <f>IF(ISNA(MATCH(1172,Engine!$C$2:$C$1369,0)),"",INDEX('Compliance Database'!$M$2:$M$1369,MATCH(1172,Engine!$C$2:$C$1369,0)))</f>
        <v/>
      </c>
      <c r="N1185" s="9">
        <f>IF(ISNA(MATCH(1172,Engine!$C$2:$C$1369,0)),"",INDEX('Compliance Database'!$N$2:$N$1369,MATCH(1172,Engine!$C$2:$C$1369,0)))</f>
        <v/>
      </c>
      <c r="O1185" s="8">
        <f>IF(ISNA(MATCH(1172,Engine!$C$2:$C$1369,0)),"",HYPERLINK(INDEX('Compliance Database'!$O$2:$O$1369,MATCH(1172,Engine!$C$2:$C$1369,0)),"Open PDF"))</f>
        <v/>
      </c>
    </row>
    <row r="1186" ht="188" customHeight="1">
      <c r="A1186" s="8">
        <f>IF(ISNA(MATCH(1173,Engine!$C$2:$C$1369,0)),"",INDEX('Compliance Database'!$A$2:$A$1369,MATCH(1173,Engine!$C$2:$C$1369,0)))</f>
        <v/>
      </c>
      <c r="B1186" s="8">
        <f>IF(ISNA(MATCH(1173,Engine!$C$2:$C$1369,0)),"",INDEX('Compliance Database'!$B$2:$B$1369,MATCH(1173,Engine!$C$2:$C$1369,0)))</f>
        <v/>
      </c>
      <c r="C1186" s="8">
        <f>IF(ISNA(MATCH(1173,Engine!$C$2:$C$1369,0)),"",INDEX('Compliance Database'!$C$2:$C$1369,MATCH(1173,Engine!$C$2:$C$1369,0)))</f>
        <v/>
      </c>
      <c r="D1186" s="9">
        <f>IF(ISNA(MATCH(1173,Engine!$C$2:$C$1369,0)),"",INDEX('Compliance Database'!$D$2:$D$1369,MATCH(1173,Engine!$C$2:$C$1369,0)))</f>
        <v/>
      </c>
      <c r="E1186" s="8">
        <f>IF(ISNA(MATCH(1173,Engine!$C$2:$C$1369,0)),"",INDEX('Compliance Database'!$E$2:$E$1369,MATCH(1173,Engine!$C$2:$C$1369,0)))</f>
        <v/>
      </c>
      <c r="F1186" s="8">
        <f>IF(ISNA(MATCH(1173,Engine!$C$2:$C$1369,0)),"",INDEX('Compliance Database'!$F$2:$F$1369,MATCH(1173,Engine!$C$2:$C$1369,0)))</f>
        <v/>
      </c>
      <c r="G1186" s="8">
        <f>IF(ISNA(MATCH(1173,Engine!$C$2:$C$1369,0)),"",INDEX('Compliance Database'!$G$2:$G$1369,MATCH(1173,Engine!$C$2:$C$1369,0)))</f>
        <v/>
      </c>
      <c r="H1186" s="9">
        <f>IF(ISNA(MATCH(1173,Engine!$C$2:$C$1369,0)),"",INDEX('Compliance Database'!$H$2:$H$1369,MATCH(1173,Engine!$C$2:$C$1369,0)))</f>
        <v/>
      </c>
      <c r="I1186" s="9">
        <f>IF(ISNA(MATCH(1173,Engine!$C$2:$C$1369,0)),"",INDEX('Compliance Database'!$I$2:$I$1369,MATCH(1173,Engine!$C$2:$C$1369,0)))</f>
        <v/>
      </c>
      <c r="J1186" s="8">
        <f>IF(ISNA(MATCH(1173,Engine!$C$2:$C$1369,0)),"",INDEX('Compliance Database'!$J$2:$J$1369,MATCH(1173,Engine!$C$2:$C$1369,0)))</f>
        <v/>
      </c>
      <c r="K1186" s="9">
        <f>IF(ISNA(MATCH(1173,Engine!$C$2:$C$1369,0)),"",INDEX('Compliance Database'!$K$2:$K$1369,MATCH(1173,Engine!$C$2:$C$1369,0)))</f>
        <v/>
      </c>
      <c r="L1186" s="9">
        <f>IF(ISNA(MATCH(1173,Engine!$C$2:$C$1369,0)),"",INDEX('Compliance Database'!$L$2:$L$1369,MATCH(1173,Engine!$C$2:$C$1369,0)))</f>
        <v/>
      </c>
      <c r="M1186" s="9">
        <f>IF(ISNA(MATCH(1173,Engine!$C$2:$C$1369,0)),"",INDEX('Compliance Database'!$M$2:$M$1369,MATCH(1173,Engine!$C$2:$C$1369,0)))</f>
        <v/>
      </c>
      <c r="N1186" s="9">
        <f>IF(ISNA(MATCH(1173,Engine!$C$2:$C$1369,0)),"",INDEX('Compliance Database'!$N$2:$N$1369,MATCH(1173,Engine!$C$2:$C$1369,0)))</f>
        <v/>
      </c>
      <c r="O1186" s="8">
        <f>IF(ISNA(MATCH(1173,Engine!$C$2:$C$1369,0)),"",HYPERLINK(INDEX('Compliance Database'!$O$2:$O$1369,MATCH(1173,Engine!$C$2:$C$1369,0)),"Open PDF"))</f>
        <v/>
      </c>
    </row>
    <row r="1187" ht="188" customHeight="1">
      <c r="A1187" s="8">
        <f>IF(ISNA(MATCH(1174,Engine!$C$2:$C$1369,0)),"",INDEX('Compliance Database'!$A$2:$A$1369,MATCH(1174,Engine!$C$2:$C$1369,0)))</f>
        <v/>
      </c>
      <c r="B1187" s="8">
        <f>IF(ISNA(MATCH(1174,Engine!$C$2:$C$1369,0)),"",INDEX('Compliance Database'!$B$2:$B$1369,MATCH(1174,Engine!$C$2:$C$1369,0)))</f>
        <v/>
      </c>
      <c r="C1187" s="8">
        <f>IF(ISNA(MATCH(1174,Engine!$C$2:$C$1369,0)),"",INDEX('Compliance Database'!$C$2:$C$1369,MATCH(1174,Engine!$C$2:$C$1369,0)))</f>
        <v/>
      </c>
      <c r="D1187" s="9">
        <f>IF(ISNA(MATCH(1174,Engine!$C$2:$C$1369,0)),"",INDEX('Compliance Database'!$D$2:$D$1369,MATCH(1174,Engine!$C$2:$C$1369,0)))</f>
        <v/>
      </c>
      <c r="E1187" s="8">
        <f>IF(ISNA(MATCH(1174,Engine!$C$2:$C$1369,0)),"",INDEX('Compliance Database'!$E$2:$E$1369,MATCH(1174,Engine!$C$2:$C$1369,0)))</f>
        <v/>
      </c>
      <c r="F1187" s="8">
        <f>IF(ISNA(MATCH(1174,Engine!$C$2:$C$1369,0)),"",INDEX('Compliance Database'!$F$2:$F$1369,MATCH(1174,Engine!$C$2:$C$1369,0)))</f>
        <v/>
      </c>
      <c r="G1187" s="8">
        <f>IF(ISNA(MATCH(1174,Engine!$C$2:$C$1369,0)),"",INDEX('Compliance Database'!$G$2:$G$1369,MATCH(1174,Engine!$C$2:$C$1369,0)))</f>
        <v/>
      </c>
      <c r="H1187" s="9">
        <f>IF(ISNA(MATCH(1174,Engine!$C$2:$C$1369,0)),"",INDEX('Compliance Database'!$H$2:$H$1369,MATCH(1174,Engine!$C$2:$C$1369,0)))</f>
        <v/>
      </c>
      <c r="I1187" s="9">
        <f>IF(ISNA(MATCH(1174,Engine!$C$2:$C$1369,0)),"",INDEX('Compliance Database'!$I$2:$I$1369,MATCH(1174,Engine!$C$2:$C$1369,0)))</f>
        <v/>
      </c>
      <c r="J1187" s="8">
        <f>IF(ISNA(MATCH(1174,Engine!$C$2:$C$1369,0)),"",INDEX('Compliance Database'!$J$2:$J$1369,MATCH(1174,Engine!$C$2:$C$1369,0)))</f>
        <v/>
      </c>
      <c r="K1187" s="9">
        <f>IF(ISNA(MATCH(1174,Engine!$C$2:$C$1369,0)),"",INDEX('Compliance Database'!$K$2:$K$1369,MATCH(1174,Engine!$C$2:$C$1369,0)))</f>
        <v/>
      </c>
      <c r="L1187" s="9">
        <f>IF(ISNA(MATCH(1174,Engine!$C$2:$C$1369,0)),"",INDEX('Compliance Database'!$L$2:$L$1369,MATCH(1174,Engine!$C$2:$C$1369,0)))</f>
        <v/>
      </c>
      <c r="M1187" s="9">
        <f>IF(ISNA(MATCH(1174,Engine!$C$2:$C$1369,0)),"",INDEX('Compliance Database'!$M$2:$M$1369,MATCH(1174,Engine!$C$2:$C$1369,0)))</f>
        <v/>
      </c>
      <c r="N1187" s="9">
        <f>IF(ISNA(MATCH(1174,Engine!$C$2:$C$1369,0)),"",INDEX('Compliance Database'!$N$2:$N$1369,MATCH(1174,Engine!$C$2:$C$1369,0)))</f>
        <v/>
      </c>
      <c r="O1187" s="8">
        <f>IF(ISNA(MATCH(1174,Engine!$C$2:$C$1369,0)),"",HYPERLINK(INDEX('Compliance Database'!$O$2:$O$1369,MATCH(1174,Engine!$C$2:$C$1369,0)),"Open PDF"))</f>
        <v/>
      </c>
    </row>
    <row r="1188" ht="188" customHeight="1">
      <c r="A1188" s="8">
        <f>IF(ISNA(MATCH(1175,Engine!$C$2:$C$1369,0)),"",INDEX('Compliance Database'!$A$2:$A$1369,MATCH(1175,Engine!$C$2:$C$1369,0)))</f>
        <v/>
      </c>
      <c r="B1188" s="8">
        <f>IF(ISNA(MATCH(1175,Engine!$C$2:$C$1369,0)),"",INDEX('Compliance Database'!$B$2:$B$1369,MATCH(1175,Engine!$C$2:$C$1369,0)))</f>
        <v/>
      </c>
      <c r="C1188" s="8">
        <f>IF(ISNA(MATCH(1175,Engine!$C$2:$C$1369,0)),"",INDEX('Compliance Database'!$C$2:$C$1369,MATCH(1175,Engine!$C$2:$C$1369,0)))</f>
        <v/>
      </c>
      <c r="D1188" s="9">
        <f>IF(ISNA(MATCH(1175,Engine!$C$2:$C$1369,0)),"",INDEX('Compliance Database'!$D$2:$D$1369,MATCH(1175,Engine!$C$2:$C$1369,0)))</f>
        <v/>
      </c>
      <c r="E1188" s="8">
        <f>IF(ISNA(MATCH(1175,Engine!$C$2:$C$1369,0)),"",INDEX('Compliance Database'!$E$2:$E$1369,MATCH(1175,Engine!$C$2:$C$1369,0)))</f>
        <v/>
      </c>
      <c r="F1188" s="8">
        <f>IF(ISNA(MATCH(1175,Engine!$C$2:$C$1369,0)),"",INDEX('Compliance Database'!$F$2:$F$1369,MATCH(1175,Engine!$C$2:$C$1369,0)))</f>
        <v/>
      </c>
      <c r="G1188" s="8">
        <f>IF(ISNA(MATCH(1175,Engine!$C$2:$C$1369,0)),"",INDEX('Compliance Database'!$G$2:$G$1369,MATCH(1175,Engine!$C$2:$C$1369,0)))</f>
        <v/>
      </c>
      <c r="H1188" s="9">
        <f>IF(ISNA(MATCH(1175,Engine!$C$2:$C$1369,0)),"",INDEX('Compliance Database'!$H$2:$H$1369,MATCH(1175,Engine!$C$2:$C$1369,0)))</f>
        <v/>
      </c>
      <c r="I1188" s="9">
        <f>IF(ISNA(MATCH(1175,Engine!$C$2:$C$1369,0)),"",INDEX('Compliance Database'!$I$2:$I$1369,MATCH(1175,Engine!$C$2:$C$1369,0)))</f>
        <v/>
      </c>
      <c r="J1188" s="8">
        <f>IF(ISNA(MATCH(1175,Engine!$C$2:$C$1369,0)),"",INDEX('Compliance Database'!$J$2:$J$1369,MATCH(1175,Engine!$C$2:$C$1369,0)))</f>
        <v/>
      </c>
      <c r="K1188" s="9">
        <f>IF(ISNA(MATCH(1175,Engine!$C$2:$C$1369,0)),"",INDEX('Compliance Database'!$K$2:$K$1369,MATCH(1175,Engine!$C$2:$C$1369,0)))</f>
        <v/>
      </c>
      <c r="L1188" s="9">
        <f>IF(ISNA(MATCH(1175,Engine!$C$2:$C$1369,0)),"",INDEX('Compliance Database'!$L$2:$L$1369,MATCH(1175,Engine!$C$2:$C$1369,0)))</f>
        <v/>
      </c>
      <c r="M1188" s="9">
        <f>IF(ISNA(MATCH(1175,Engine!$C$2:$C$1369,0)),"",INDEX('Compliance Database'!$M$2:$M$1369,MATCH(1175,Engine!$C$2:$C$1369,0)))</f>
        <v/>
      </c>
      <c r="N1188" s="9">
        <f>IF(ISNA(MATCH(1175,Engine!$C$2:$C$1369,0)),"",INDEX('Compliance Database'!$N$2:$N$1369,MATCH(1175,Engine!$C$2:$C$1369,0)))</f>
        <v/>
      </c>
      <c r="O1188" s="8">
        <f>IF(ISNA(MATCH(1175,Engine!$C$2:$C$1369,0)),"",HYPERLINK(INDEX('Compliance Database'!$O$2:$O$1369,MATCH(1175,Engine!$C$2:$C$1369,0)),"Open PDF"))</f>
        <v/>
      </c>
    </row>
    <row r="1189" ht="188" customHeight="1">
      <c r="A1189" s="8">
        <f>IF(ISNA(MATCH(1176,Engine!$C$2:$C$1369,0)),"",INDEX('Compliance Database'!$A$2:$A$1369,MATCH(1176,Engine!$C$2:$C$1369,0)))</f>
        <v/>
      </c>
      <c r="B1189" s="8">
        <f>IF(ISNA(MATCH(1176,Engine!$C$2:$C$1369,0)),"",INDEX('Compliance Database'!$B$2:$B$1369,MATCH(1176,Engine!$C$2:$C$1369,0)))</f>
        <v/>
      </c>
      <c r="C1189" s="8">
        <f>IF(ISNA(MATCH(1176,Engine!$C$2:$C$1369,0)),"",INDEX('Compliance Database'!$C$2:$C$1369,MATCH(1176,Engine!$C$2:$C$1369,0)))</f>
        <v/>
      </c>
      <c r="D1189" s="9">
        <f>IF(ISNA(MATCH(1176,Engine!$C$2:$C$1369,0)),"",INDEX('Compliance Database'!$D$2:$D$1369,MATCH(1176,Engine!$C$2:$C$1369,0)))</f>
        <v/>
      </c>
      <c r="E1189" s="8">
        <f>IF(ISNA(MATCH(1176,Engine!$C$2:$C$1369,0)),"",INDEX('Compliance Database'!$E$2:$E$1369,MATCH(1176,Engine!$C$2:$C$1369,0)))</f>
        <v/>
      </c>
      <c r="F1189" s="8">
        <f>IF(ISNA(MATCH(1176,Engine!$C$2:$C$1369,0)),"",INDEX('Compliance Database'!$F$2:$F$1369,MATCH(1176,Engine!$C$2:$C$1369,0)))</f>
        <v/>
      </c>
      <c r="G1189" s="8">
        <f>IF(ISNA(MATCH(1176,Engine!$C$2:$C$1369,0)),"",INDEX('Compliance Database'!$G$2:$G$1369,MATCH(1176,Engine!$C$2:$C$1369,0)))</f>
        <v/>
      </c>
      <c r="H1189" s="9">
        <f>IF(ISNA(MATCH(1176,Engine!$C$2:$C$1369,0)),"",INDEX('Compliance Database'!$H$2:$H$1369,MATCH(1176,Engine!$C$2:$C$1369,0)))</f>
        <v/>
      </c>
      <c r="I1189" s="9">
        <f>IF(ISNA(MATCH(1176,Engine!$C$2:$C$1369,0)),"",INDEX('Compliance Database'!$I$2:$I$1369,MATCH(1176,Engine!$C$2:$C$1369,0)))</f>
        <v/>
      </c>
      <c r="J1189" s="8">
        <f>IF(ISNA(MATCH(1176,Engine!$C$2:$C$1369,0)),"",INDEX('Compliance Database'!$J$2:$J$1369,MATCH(1176,Engine!$C$2:$C$1369,0)))</f>
        <v/>
      </c>
      <c r="K1189" s="9">
        <f>IF(ISNA(MATCH(1176,Engine!$C$2:$C$1369,0)),"",INDEX('Compliance Database'!$K$2:$K$1369,MATCH(1176,Engine!$C$2:$C$1369,0)))</f>
        <v/>
      </c>
      <c r="L1189" s="9">
        <f>IF(ISNA(MATCH(1176,Engine!$C$2:$C$1369,0)),"",INDEX('Compliance Database'!$L$2:$L$1369,MATCH(1176,Engine!$C$2:$C$1369,0)))</f>
        <v/>
      </c>
      <c r="M1189" s="9">
        <f>IF(ISNA(MATCH(1176,Engine!$C$2:$C$1369,0)),"",INDEX('Compliance Database'!$M$2:$M$1369,MATCH(1176,Engine!$C$2:$C$1369,0)))</f>
        <v/>
      </c>
      <c r="N1189" s="9">
        <f>IF(ISNA(MATCH(1176,Engine!$C$2:$C$1369,0)),"",INDEX('Compliance Database'!$N$2:$N$1369,MATCH(1176,Engine!$C$2:$C$1369,0)))</f>
        <v/>
      </c>
      <c r="O1189" s="8">
        <f>IF(ISNA(MATCH(1176,Engine!$C$2:$C$1369,0)),"",HYPERLINK(INDEX('Compliance Database'!$O$2:$O$1369,MATCH(1176,Engine!$C$2:$C$1369,0)),"Open PDF"))</f>
        <v/>
      </c>
    </row>
    <row r="1190" ht="188" customHeight="1">
      <c r="A1190" s="8">
        <f>IF(ISNA(MATCH(1177,Engine!$C$2:$C$1369,0)),"",INDEX('Compliance Database'!$A$2:$A$1369,MATCH(1177,Engine!$C$2:$C$1369,0)))</f>
        <v/>
      </c>
      <c r="B1190" s="8">
        <f>IF(ISNA(MATCH(1177,Engine!$C$2:$C$1369,0)),"",INDEX('Compliance Database'!$B$2:$B$1369,MATCH(1177,Engine!$C$2:$C$1369,0)))</f>
        <v/>
      </c>
      <c r="C1190" s="8">
        <f>IF(ISNA(MATCH(1177,Engine!$C$2:$C$1369,0)),"",INDEX('Compliance Database'!$C$2:$C$1369,MATCH(1177,Engine!$C$2:$C$1369,0)))</f>
        <v/>
      </c>
      <c r="D1190" s="9">
        <f>IF(ISNA(MATCH(1177,Engine!$C$2:$C$1369,0)),"",INDEX('Compliance Database'!$D$2:$D$1369,MATCH(1177,Engine!$C$2:$C$1369,0)))</f>
        <v/>
      </c>
      <c r="E1190" s="8">
        <f>IF(ISNA(MATCH(1177,Engine!$C$2:$C$1369,0)),"",INDEX('Compliance Database'!$E$2:$E$1369,MATCH(1177,Engine!$C$2:$C$1369,0)))</f>
        <v/>
      </c>
      <c r="F1190" s="8">
        <f>IF(ISNA(MATCH(1177,Engine!$C$2:$C$1369,0)),"",INDEX('Compliance Database'!$F$2:$F$1369,MATCH(1177,Engine!$C$2:$C$1369,0)))</f>
        <v/>
      </c>
      <c r="G1190" s="8">
        <f>IF(ISNA(MATCH(1177,Engine!$C$2:$C$1369,0)),"",INDEX('Compliance Database'!$G$2:$G$1369,MATCH(1177,Engine!$C$2:$C$1369,0)))</f>
        <v/>
      </c>
      <c r="H1190" s="9">
        <f>IF(ISNA(MATCH(1177,Engine!$C$2:$C$1369,0)),"",INDEX('Compliance Database'!$H$2:$H$1369,MATCH(1177,Engine!$C$2:$C$1369,0)))</f>
        <v/>
      </c>
      <c r="I1190" s="9">
        <f>IF(ISNA(MATCH(1177,Engine!$C$2:$C$1369,0)),"",INDEX('Compliance Database'!$I$2:$I$1369,MATCH(1177,Engine!$C$2:$C$1369,0)))</f>
        <v/>
      </c>
      <c r="J1190" s="8">
        <f>IF(ISNA(MATCH(1177,Engine!$C$2:$C$1369,0)),"",INDEX('Compliance Database'!$J$2:$J$1369,MATCH(1177,Engine!$C$2:$C$1369,0)))</f>
        <v/>
      </c>
      <c r="K1190" s="9">
        <f>IF(ISNA(MATCH(1177,Engine!$C$2:$C$1369,0)),"",INDEX('Compliance Database'!$K$2:$K$1369,MATCH(1177,Engine!$C$2:$C$1369,0)))</f>
        <v/>
      </c>
      <c r="L1190" s="9">
        <f>IF(ISNA(MATCH(1177,Engine!$C$2:$C$1369,0)),"",INDEX('Compliance Database'!$L$2:$L$1369,MATCH(1177,Engine!$C$2:$C$1369,0)))</f>
        <v/>
      </c>
      <c r="M1190" s="9">
        <f>IF(ISNA(MATCH(1177,Engine!$C$2:$C$1369,0)),"",INDEX('Compliance Database'!$M$2:$M$1369,MATCH(1177,Engine!$C$2:$C$1369,0)))</f>
        <v/>
      </c>
      <c r="N1190" s="9">
        <f>IF(ISNA(MATCH(1177,Engine!$C$2:$C$1369,0)),"",INDEX('Compliance Database'!$N$2:$N$1369,MATCH(1177,Engine!$C$2:$C$1369,0)))</f>
        <v/>
      </c>
      <c r="O1190" s="8">
        <f>IF(ISNA(MATCH(1177,Engine!$C$2:$C$1369,0)),"",HYPERLINK(INDEX('Compliance Database'!$O$2:$O$1369,MATCH(1177,Engine!$C$2:$C$1369,0)),"Open PDF"))</f>
        <v/>
      </c>
    </row>
    <row r="1191" ht="188" customHeight="1">
      <c r="A1191" s="8">
        <f>IF(ISNA(MATCH(1178,Engine!$C$2:$C$1369,0)),"",INDEX('Compliance Database'!$A$2:$A$1369,MATCH(1178,Engine!$C$2:$C$1369,0)))</f>
        <v/>
      </c>
      <c r="B1191" s="8">
        <f>IF(ISNA(MATCH(1178,Engine!$C$2:$C$1369,0)),"",INDEX('Compliance Database'!$B$2:$B$1369,MATCH(1178,Engine!$C$2:$C$1369,0)))</f>
        <v/>
      </c>
      <c r="C1191" s="8">
        <f>IF(ISNA(MATCH(1178,Engine!$C$2:$C$1369,0)),"",INDEX('Compliance Database'!$C$2:$C$1369,MATCH(1178,Engine!$C$2:$C$1369,0)))</f>
        <v/>
      </c>
      <c r="D1191" s="9">
        <f>IF(ISNA(MATCH(1178,Engine!$C$2:$C$1369,0)),"",INDEX('Compliance Database'!$D$2:$D$1369,MATCH(1178,Engine!$C$2:$C$1369,0)))</f>
        <v/>
      </c>
      <c r="E1191" s="8">
        <f>IF(ISNA(MATCH(1178,Engine!$C$2:$C$1369,0)),"",INDEX('Compliance Database'!$E$2:$E$1369,MATCH(1178,Engine!$C$2:$C$1369,0)))</f>
        <v/>
      </c>
      <c r="F1191" s="8">
        <f>IF(ISNA(MATCH(1178,Engine!$C$2:$C$1369,0)),"",INDEX('Compliance Database'!$F$2:$F$1369,MATCH(1178,Engine!$C$2:$C$1369,0)))</f>
        <v/>
      </c>
      <c r="G1191" s="8">
        <f>IF(ISNA(MATCH(1178,Engine!$C$2:$C$1369,0)),"",INDEX('Compliance Database'!$G$2:$G$1369,MATCH(1178,Engine!$C$2:$C$1369,0)))</f>
        <v/>
      </c>
      <c r="H1191" s="9">
        <f>IF(ISNA(MATCH(1178,Engine!$C$2:$C$1369,0)),"",INDEX('Compliance Database'!$H$2:$H$1369,MATCH(1178,Engine!$C$2:$C$1369,0)))</f>
        <v/>
      </c>
      <c r="I1191" s="9">
        <f>IF(ISNA(MATCH(1178,Engine!$C$2:$C$1369,0)),"",INDEX('Compliance Database'!$I$2:$I$1369,MATCH(1178,Engine!$C$2:$C$1369,0)))</f>
        <v/>
      </c>
      <c r="J1191" s="8">
        <f>IF(ISNA(MATCH(1178,Engine!$C$2:$C$1369,0)),"",INDEX('Compliance Database'!$J$2:$J$1369,MATCH(1178,Engine!$C$2:$C$1369,0)))</f>
        <v/>
      </c>
      <c r="K1191" s="9">
        <f>IF(ISNA(MATCH(1178,Engine!$C$2:$C$1369,0)),"",INDEX('Compliance Database'!$K$2:$K$1369,MATCH(1178,Engine!$C$2:$C$1369,0)))</f>
        <v/>
      </c>
      <c r="L1191" s="9">
        <f>IF(ISNA(MATCH(1178,Engine!$C$2:$C$1369,0)),"",INDEX('Compliance Database'!$L$2:$L$1369,MATCH(1178,Engine!$C$2:$C$1369,0)))</f>
        <v/>
      </c>
      <c r="M1191" s="9">
        <f>IF(ISNA(MATCH(1178,Engine!$C$2:$C$1369,0)),"",INDEX('Compliance Database'!$M$2:$M$1369,MATCH(1178,Engine!$C$2:$C$1369,0)))</f>
        <v/>
      </c>
      <c r="N1191" s="9">
        <f>IF(ISNA(MATCH(1178,Engine!$C$2:$C$1369,0)),"",INDEX('Compliance Database'!$N$2:$N$1369,MATCH(1178,Engine!$C$2:$C$1369,0)))</f>
        <v/>
      </c>
      <c r="O1191" s="8">
        <f>IF(ISNA(MATCH(1178,Engine!$C$2:$C$1369,0)),"",HYPERLINK(INDEX('Compliance Database'!$O$2:$O$1369,MATCH(1178,Engine!$C$2:$C$1369,0)),"Open PDF"))</f>
        <v/>
      </c>
    </row>
    <row r="1192" ht="188" customHeight="1">
      <c r="A1192" s="8">
        <f>IF(ISNA(MATCH(1179,Engine!$C$2:$C$1369,0)),"",INDEX('Compliance Database'!$A$2:$A$1369,MATCH(1179,Engine!$C$2:$C$1369,0)))</f>
        <v/>
      </c>
      <c r="B1192" s="8">
        <f>IF(ISNA(MATCH(1179,Engine!$C$2:$C$1369,0)),"",INDEX('Compliance Database'!$B$2:$B$1369,MATCH(1179,Engine!$C$2:$C$1369,0)))</f>
        <v/>
      </c>
      <c r="C1192" s="8">
        <f>IF(ISNA(MATCH(1179,Engine!$C$2:$C$1369,0)),"",INDEX('Compliance Database'!$C$2:$C$1369,MATCH(1179,Engine!$C$2:$C$1369,0)))</f>
        <v/>
      </c>
      <c r="D1192" s="9">
        <f>IF(ISNA(MATCH(1179,Engine!$C$2:$C$1369,0)),"",INDEX('Compliance Database'!$D$2:$D$1369,MATCH(1179,Engine!$C$2:$C$1369,0)))</f>
        <v/>
      </c>
      <c r="E1192" s="8">
        <f>IF(ISNA(MATCH(1179,Engine!$C$2:$C$1369,0)),"",INDEX('Compliance Database'!$E$2:$E$1369,MATCH(1179,Engine!$C$2:$C$1369,0)))</f>
        <v/>
      </c>
      <c r="F1192" s="8">
        <f>IF(ISNA(MATCH(1179,Engine!$C$2:$C$1369,0)),"",INDEX('Compliance Database'!$F$2:$F$1369,MATCH(1179,Engine!$C$2:$C$1369,0)))</f>
        <v/>
      </c>
      <c r="G1192" s="8">
        <f>IF(ISNA(MATCH(1179,Engine!$C$2:$C$1369,0)),"",INDEX('Compliance Database'!$G$2:$G$1369,MATCH(1179,Engine!$C$2:$C$1369,0)))</f>
        <v/>
      </c>
      <c r="H1192" s="9">
        <f>IF(ISNA(MATCH(1179,Engine!$C$2:$C$1369,0)),"",INDEX('Compliance Database'!$H$2:$H$1369,MATCH(1179,Engine!$C$2:$C$1369,0)))</f>
        <v/>
      </c>
      <c r="I1192" s="9">
        <f>IF(ISNA(MATCH(1179,Engine!$C$2:$C$1369,0)),"",INDEX('Compliance Database'!$I$2:$I$1369,MATCH(1179,Engine!$C$2:$C$1369,0)))</f>
        <v/>
      </c>
      <c r="J1192" s="8">
        <f>IF(ISNA(MATCH(1179,Engine!$C$2:$C$1369,0)),"",INDEX('Compliance Database'!$J$2:$J$1369,MATCH(1179,Engine!$C$2:$C$1369,0)))</f>
        <v/>
      </c>
      <c r="K1192" s="9">
        <f>IF(ISNA(MATCH(1179,Engine!$C$2:$C$1369,0)),"",INDEX('Compliance Database'!$K$2:$K$1369,MATCH(1179,Engine!$C$2:$C$1369,0)))</f>
        <v/>
      </c>
      <c r="L1192" s="9">
        <f>IF(ISNA(MATCH(1179,Engine!$C$2:$C$1369,0)),"",INDEX('Compliance Database'!$L$2:$L$1369,MATCH(1179,Engine!$C$2:$C$1369,0)))</f>
        <v/>
      </c>
      <c r="M1192" s="9">
        <f>IF(ISNA(MATCH(1179,Engine!$C$2:$C$1369,0)),"",INDEX('Compliance Database'!$M$2:$M$1369,MATCH(1179,Engine!$C$2:$C$1369,0)))</f>
        <v/>
      </c>
      <c r="N1192" s="9">
        <f>IF(ISNA(MATCH(1179,Engine!$C$2:$C$1369,0)),"",INDEX('Compliance Database'!$N$2:$N$1369,MATCH(1179,Engine!$C$2:$C$1369,0)))</f>
        <v/>
      </c>
      <c r="O1192" s="8">
        <f>IF(ISNA(MATCH(1179,Engine!$C$2:$C$1369,0)),"",HYPERLINK(INDEX('Compliance Database'!$O$2:$O$1369,MATCH(1179,Engine!$C$2:$C$1369,0)),"Open PDF"))</f>
        <v/>
      </c>
    </row>
    <row r="1193" ht="188" customHeight="1">
      <c r="A1193" s="8">
        <f>IF(ISNA(MATCH(1180,Engine!$C$2:$C$1369,0)),"",INDEX('Compliance Database'!$A$2:$A$1369,MATCH(1180,Engine!$C$2:$C$1369,0)))</f>
        <v/>
      </c>
      <c r="B1193" s="8">
        <f>IF(ISNA(MATCH(1180,Engine!$C$2:$C$1369,0)),"",INDEX('Compliance Database'!$B$2:$B$1369,MATCH(1180,Engine!$C$2:$C$1369,0)))</f>
        <v/>
      </c>
      <c r="C1193" s="8">
        <f>IF(ISNA(MATCH(1180,Engine!$C$2:$C$1369,0)),"",INDEX('Compliance Database'!$C$2:$C$1369,MATCH(1180,Engine!$C$2:$C$1369,0)))</f>
        <v/>
      </c>
      <c r="D1193" s="9">
        <f>IF(ISNA(MATCH(1180,Engine!$C$2:$C$1369,0)),"",INDEX('Compliance Database'!$D$2:$D$1369,MATCH(1180,Engine!$C$2:$C$1369,0)))</f>
        <v/>
      </c>
      <c r="E1193" s="8">
        <f>IF(ISNA(MATCH(1180,Engine!$C$2:$C$1369,0)),"",INDEX('Compliance Database'!$E$2:$E$1369,MATCH(1180,Engine!$C$2:$C$1369,0)))</f>
        <v/>
      </c>
      <c r="F1193" s="8">
        <f>IF(ISNA(MATCH(1180,Engine!$C$2:$C$1369,0)),"",INDEX('Compliance Database'!$F$2:$F$1369,MATCH(1180,Engine!$C$2:$C$1369,0)))</f>
        <v/>
      </c>
      <c r="G1193" s="8">
        <f>IF(ISNA(MATCH(1180,Engine!$C$2:$C$1369,0)),"",INDEX('Compliance Database'!$G$2:$G$1369,MATCH(1180,Engine!$C$2:$C$1369,0)))</f>
        <v/>
      </c>
      <c r="H1193" s="9">
        <f>IF(ISNA(MATCH(1180,Engine!$C$2:$C$1369,0)),"",INDEX('Compliance Database'!$H$2:$H$1369,MATCH(1180,Engine!$C$2:$C$1369,0)))</f>
        <v/>
      </c>
      <c r="I1193" s="9">
        <f>IF(ISNA(MATCH(1180,Engine!$C$2:$C$1369,0)),"",INDEX('Compliance Database'!$I$2:$I$1369,MATCH(1180,Engine!$C$2:$C$1369,0)))</f>
        <v/>
      </c>
      <c r="J1193" s="8">
        <f>IF(ISNA(MATCH(1180,Engine!$C$2:$C$1369,0)),"",INDEX('Compliance Database'!$J$2:$J$1369,MATCH(1180,Engine!$C$2:$C$1369,0)))</f>
        <v/>
      </c>
      <c r="K1193" s="9">
        <f>IF(ISNA(MATCH(1180,Engine!$C$2:$C$1369,0)),"",INDEX('Compliance Database'!$K$2:$K$1369,MATCH(1180,Engine!$C$2:$C$1369,0)))</f>
        <v/>
      </c>
      <c r="L1193" s="9">
        <f>IF(ISNA(MATCH(1180,Engine!$C$2:$C$1369,0)),"",INDEX('Compliance Database'!$L$2:$L$1369,MATCH(1180,Engine!$C$2:$C$1369,0)))</f>
        <v/>
      </c>
      <c r="M1193" s="9">
        <f>IF(ISNA(MATCH(1180,Engine!$C$2:$C$1369,0)),"",INDEX('Compliance Database'!$M$2:$M$1369,MATCH(1180,Engine!$C$2:$C$1369,0)))</f>
        <v/>
      </c>
      <c r="N1193" s="9">
        <f>IF(ISNA(MATCH(1180,Engine!$C$2:$C$1369,0)),"",INDEX('Compliance Database'!$N$2:$N$1369,MATCH(1180,Engine!$C$2:$C$1369,0)))</f>
        <v/>
      </c>
      <c r="O1193" s="8">
        <f>IF(ISNA(MATCH(1180,Engine!$C$2:$C$1369,0)),"",HYPERLINK(INDEX('Compliance Database'!$O$2:$O$1369,MATCH(1180,Engine!$C$2:$C$1369,0)),"Open PDF"))</f>
        <v/>
      </c>
    </row>
    <row r="1194" ht="188" customHeight="1">
      <c r="A1194" s="8">
        <f>IF(ISNA(MATCH(1181,Engine!$C$2:$C$1369,0)),"",INDEX('Compliance Database'!$A$2:$A$1369,MATCH(1181,Engine!$C$2:$C$1369,0)))</f>
        <v/>
      </c>
      <c r="B1194" s="8">
        <f>IF(ISNA(MATCH(1181,Engine!$C$2:$C$1369,0)),"",INDEX('Compliance Database'!$B$2:$B$1369,MATCH(1181,Engine!$C$2:$C$1369,0)))</f>
        <v/>
      </c>
      <c r="C1194" s="8">
        <f>IF(ISNA(MATCH(1181,Engine!$C$2:$C$1369,0)),"",INDEX('Compliance Database'!$C$2:$C$1369,MATCH(1181,Engine!$C$2:$C$1369,0)))</f>
        <v/>
      </c>
      <c r="D1194" s="9">
        <f>IF(ISNA(MATCH(1181,Engine!$C$2:$C$1369,0)),"",INDEX('Compliance Database'!$D$2:$D$1369,MATCH(1181,Engine!$C$2:$C$1369,0)))</f>
        <v/>
      </c>
      <c r="E1194" s="8">
        <f>IF(ISNA(MATCH(1181,Engine!$C$2:$C$1369,0)),"",INDEX('Compliance Database'!$E$2:$E$1369,MATCH(1181,Engine!$C$2:$C$1369,0)))</f>
        <v/>
      </c>
      <c r="F1194" s="8">
        <f>IF(ISNA(MATCH(1181,Engine!$C$2:$C$1369,0)),"",INDEX('Compliance Database'!$F$2:$F$1369,MATCH(1181,Engine!$C$2:$C$1369,0)))</f>
        <v/>
      </c>
      <c r="G1194" s="8">
        <f>IF(ISNA(MATCH(1181,Engine!$C$2:$C$1369,0)),"",INDEX('Compliance Database'!$G$2:$G$1369,MATCH(1181,Engine!$C$2:$C$1369,0)))</f>
        <v/>
      </c>
      <c r="H1194" s="9">
        <f>IF(ISNA(MATCH(1181,Engine!$C$2:$C$1369,0)),"",INDEX('Compliance Database'!$H$2:$H$1369,MATCH(1181,Engine!$C$2:$C$1369,0)))</f>
        <v/>
      </c>
      <c r="I1194" s="9">
        <f>IF(ISNA(MATCH(1181,Engine!$C$2:$C$1369,0)),"",INDEX('Compliance Database'!$I$2:$I$1369,MATCH(1181,Engine!$C$2:$C$1369,0)))</f>
        <v/>
      </c>
      <c r="J1194" s="8">
        <f>IF(ISNA(MATCH(1181,Engine!$C$2:$C$1369,0)),"",INDEX('Compliance Database'!$J$2:$J$1369,MATCH(1181,Engine!$C$2:$C$1369,0)))</f>
        <v/>
      </c>
      <c r="K1194" s="9">
        <f>IF(ISNA(MATCH(1181,Engine!$C$2:$C$1369,0)),"",INDEX('Compliance Database'!$K$2:$K$1369,MATCH(1181,Engine!$C$2:$C$1369,0)))</f>
        <v/>
      </c>
      <c r="L1194" s="9">
        <f>IF(ISNA(MATCH(1181,Engine!$C$2:$C$1369,0)),"",INDEX('Compliance Database'!$L$2:$L$1369,MATCH(1181,Engine!$C$2:$C$1369,0)))</f>
        <v/>
      </c>
      <c r="M1194" s="9">
        <f>IF(ISNA(MATCH(1181,Engine!$C$2:$C$1369,0)),"",INDEX('Compliance Database'!$M$2:$M$1369,MATCH(1181,Engine!$C$2:$C$1369,0)))</f>
        <v/>
      </c>
      <c r="N1194" s="9">
        <f>IF(ISNA(MATCH(1181,Engine!$C$2:$C$1369,0)),"",INDEX('Compliance Database'!$N$2:$N$1369,MATCH(1181,Engine!$C$2:$C$1369,0)))</f>
        <v/>
      </c>
      <c r="O1194" s="8">
        <f>IF(ISNA(MATCH(1181,Engine!$C$2:$C$1369,0)),"",HYPERLINK(INDEX('Compliance Database'!$O$2:$O$1369,MATCH(1181,Engine!$C$2:$C$1369,0)),"Open PDF"))</f>
        <v/>
      </c>
    </row>
    <row r="1195" ht="188" customHeight="1">
      <c r="A1195" s="8">
        <f>IF(ISNA(MATCH(1182,Engine!$C$2:$C$1369,0)),"",INDEX('Compliance Database'!$A$2:$A$1369,MATCH(1182,Engine!$C$2:$C$1369,0)))</f>
        <v/>
      </c>
      <c r="B1195" s="8">
        <f>IF(ISNA(MATCH(1182,Engine!$C$2:$C$1369,0)),"",INDEX('Compliance Database'!$B$2:$B$1369,MATCH(1182,Engine!$C$2:$C$1369,0)))</f>
        <v/>
      </c>
      <c r="C1195" s="8">
        <f>IF(ISNA(MATCH(1182,Engine!$C$2:$C$1369,0)),"",INDEX('Compliance Database'!$C$2:$C$1369,MATCH(1182,Engine!$C$2:$C$1369,0)))</f>
        <v/>
      </c>
      <c r="D1195" s="9">
        <f>IF(ISNA(MATCH(1182,Engine!$C$2:$C$1369,0)),"",INDEX('Compliance Database'!$D$2:$D$1369,MATCH(1182,Engine!$C$2:$C$1369,0)))</f>
        <v/>
      </c>
      <c r="E1195" s="8">
        <f>IF(ISNA(MATCH(1182,Engine!$C$2:$C$1369,0)),"",INDEX('Compliance Database'!$E$2:$E$1369,MATCH(1182,Engine!$C$2:$C$1369,0)))</f>
        <v/>
      </c>
      <c r="F1195" s="8">
        <f>IF(ISNA(MATCH(1182,Engine!$C$2:$C$1369,0)),"",INDEX('Compliance Database'!$F$2:$F$1369,MATCH(1182,Engine!$C$2:$C$1369,0)))</f>
        <v/>
      </c>
      <c r="G1195" s="8">
        <f>IF(ISNA(MATCH(1182,Engine!$C$2:$C$1369,0)),"",INDEX('Compliance Database'!$G$2:$G$1369,MATCH(1182,Engine!$C$2:$C$1369,0)))</f>
        <v/>
      </c>
      <c r="H1195" s="9">
        <f>IF(ISNA(MATCH(1182,Engine!$C$2:$C$1369,0)),"",INDEX('Compliance Database'!$H$2:$H$1369,MATCH(1182,Engine!$C$2:$C$1369,0)))</f>
        <v/>
      </c>
      <c r="I1195" s="9">
        <f>IF(ISNA(MATCH(1182,Engine!$C$2:$C$1369,0)),"",INDEX('Compliance Database'!$I$2:$I$1369,MATCH(1182,Engine!$C$2:$C$1369,0)))</f>
        <v/>
      </c>
      <c r="J1195" s="8">
        <f>IF(ISNA(MATCH(1182,Engine!$C$2:$C$1369,0)),"",INDEX('Compliance Database'!$J$2:$J$1369,MATCH(1182,Engine!$C$2:$C$1369,0)))</f>
        <v/>
      </c>
      <c r="K1195" s="9">
        <f>IF(ISNA(MATCH(1182,Engine!$C$2:$C$1369,0)),"",INDEX('Compliance Database'!$K$2:$K$1369,MATCH(1182,Engine!$C$2:$C$1369,0)))</f>
        <v/>
      </c>
      <c r="L1195" s="9">
        <f>IF(ISNA(MATCH(1182,Engine!$C$2:$C$1369,0)),"",INDEX('Compliance Database'!$L$2:$L$1369,MATCH(1182,Engine!$C$2:$C$1369,0)))</f>
        <v/>
      </c>
      <c r="M1195" s="9">
        <f>IF(ISNA(MATCH(1182,Engine!$C$2:$C$1369,0)),"",INDEX('Compliance Database'!$M$2:$M$1369,MATCH(1182,Engine!$C$2:$C$1369,0)))</f>
        <v/>
      </c>
      <c r="N1195" s="9">
        <f>IF(ISNA(MATCH(1182,Engine!$C$2:$C$1369,0)),"",INDEX('Compliance Database'!$N$2:$N$1369,MATCH(1182,Engine!$C$2:$C$1369,0)))</f>
        <v/>
      </c>
      <c r="O1195" s="8">
        <f>IF(ISNA(MATCH(1182,Engine!$C$2:$C$1369,0)),"",HYPERLINK(INDEX('Compliance Database'!$O$2:$O$1369,MATCH(1182,Engine!$C$2:$C$1369,0)),"Open PDF"))</f>
        <v/>
      </c>
    </row>
    <row r="1196" ht="188" customHeight="1">
      <c r="A1196" s="8">
        <f>IF(ISNA(MATCH(1183,Engine!$C$2:$C$1369,0)),"",INDEX('Compliance Database'!$A$2:$A$1369,MATCH(1183,Engine!$C$2:$C$1369,0)))</f>
        <v/>
      </c>
      <c r="B1196" s="8">
        <f>IF(ISNA(MATCH(1183,Engine!$C$2:$C$1369,0)),"",INDEX('Compliance Database'!$B$2:$B$1369,MATCH(1183,Engine!$C$2:$C$1369,0)))</f>
        <v/>
      </c>
      <c r="C1196" s="8">
        <f>IF(ISNA(MATCH(1183,Engine!$C$2:$C$1369,0)),"",INDEX('Compliance Database'!$C$2:$C$1369,MATCH(1183,Engine!$C$2:$C$1369,0)))</f>
        <v/>
      </c>
      <c r="D1196" s="9">
        <f>IF(ISNA(MATCH(1183,Engine!$C$2:$C$1369,0)),"",INDEX('Compliance Database'!$D$2:$D$1369,MATCH(1183,Engine!$C$2:$C$1369,0)))</f>
        <v/>
      </c>
      <c r="E1196" s="8">
        <f>IF(ISNA(MATCH(1183,Engine!$C$2:$C$1369,0)),"",INDEX('Compliance Database'!$E$2:$E$1369,MATCH(1183,Engine!$C$2:$C$1369,0)))</f>
        <v/>
      </c>
      <c r="F1196" s="8">
        <f>IF(ISNA(MATCH(1183,Engine!$C$2:$C$1369,0)),"",INDEX('Compliance Database'!$F$2:$F$1369,MATCH(1183,Engine!$C$2:$C$1369,0)))</f>
        <v/>
      </c>
      <c r="G1196" s="8">
        <f>IF(ISNA(MATCH(1183,Engine!$C$2:$C$1369,0)),"",INDEX('Compliance Database'!$G$2:$G$1369,MATCH(1183,Engine!$C$2:$C$1369,0)))</f>
        <v/>
      </c>
      <c r="H1196" s="9">
        <f>IF(ISNA(MATCH(1183,Engine!$C$2:$C$1369,0)),"",INDEX('Compliance Database'!$H$2:$H$1369,MATCH(1183,Engine!$C$2:$C$1369,0)))</f>
        <v/>
      </c>
      <c r="I1196" s="9">
        <f>IF(ISNA(MATCH(1183,Engine!$C$2:$C$1369,0)),"",INDEX('Compliance Database'!$I$2:$I$1369,MATCH(1183,Engine!$C$2:$C$1369,0)))</f>
        <v/>
      </c>
      <c r="J1196" s="8">
        <f>IF(ISNA(MATCH(1183,Engine!$C$2:$C$1369,0)),"",INDEX('Compliance Database'!$J$2:$J$1369,MATCH(1183,Engine!$C$2:$C$1369,0)))</f>
        <v/>
      </c>
      <c r="K1196" s="9">
        <f>IF(ISNA(MATCH(1183,Engine!$C$2:$C$1369,0)),"",INDEX('Compliance Database'!$K$2:$K$1369,MATCH(1183,Engine!$C$2:$C$1369,0)))</f>
        <v/>
      </c>
      <c r="L1196" s="9">
        <f>IF(ISNA(MATCH(1183,Engine!$C$2:$C$1369,0)),"",INDEX('Compliance Database'!$L$2:$L$1369,MATCH(1183,Engine!$C$2:$C$1369,0)))</f>
        <v/>
      </c>
      <c r="M1196" s="9">
        <f>IF(ISNA(MATCH(1183,Engine!$C$2:$C$1369,0)),"",INDEX('Compliance Database'!$M$2:$M$1369,MATCH(1183,Engine!$C$2:$C$1369,0)))</f>
        <v/>
      </c>
      <c r="N1196" s="9">
        <f>IF(ISNA(MATCH(1183,Engine!$C$2:$C$1369,0)),"",INDEX('Compliance Database'!$N$2:$N$1369,MATCH(1183,Engine!$C$2:$C$1369,0)))</f>
        <v/>
      </c>
      <c r="O1196" s="8">
        <f>IF(ISNA(MATCH(1183,Engine!$C$2:$C$1369,0)),"",HYPERLINK(INDEX('Compliance Database'!$O$2:$O$1369,MATCH(1183,Engine!$C$2:$C$1369,0)),"Open PDF"))</f>
        <v/>
      </c>
    </row>
    <row r="1197" ht="188" customHeight="1">
      <c r="A1197" s="8">
        <f>IF(ISNA(MATCH(1184,Engine!$C$2:$C$1369,0)),"",INDEX('Compliance Database'!$A$2:$A$1369,MATCH(1184,Engine!$C$2:$C$1369,0)))</f>
        <v/>
      </c>
      <c r="B1197" s="8">
        <f>IF(ISNA(MATCH(1184,Engine!$C$2:$C$1369,0)),"",INDEX('Compliance Database'!$B$2:$B$1369,MATCH(1184,Engine!$C$2:$C$1369,0)))</f>
        <v/>
      </c>
      <c r="C1197" s="8">
        <f>IF(ISNA(MATCH(1184,Engine!$C$2:$C$1369,0)),"",INDEX('Compliance Database'!$C$2:$C$1369,MATCH(1184,Engine!$C$2:$C$1369,0)))</f>
        <v/>
      </c>
      <c r="D1197" s="9">
        <f>IF(ISNA(MATCH(1184,Engine!$C$2:$C$1369,0)),"",INDEX('Compliance Database'!$D$2:$D$1369,MATCH(1184,Engine!$C$2:$C$1369,0)))</f>
        <v/>
      </c>
      <c r="E1197" s="8">
        <f>IF(ISNA(MATCH(1184,Engine!$C$2:$C$1369,0)),"",INDEX('Compliance Database'!$E$2:$E$1369,MATCH(1184,Engine!$C$2:$C$1369,0)))</f>
        <v/>
      </c>
      <c r="F1197" s="8">
        <f>IF(ISNA(MATCH(1184,Engine!$C$2:$C$1369,0)),"",INDEX('Compliance Database'!$F$2:$F$1369,MATCH(1184,Engine!$C$2:$C$1369,0)))</f>
        <v/>
      </c>
      <c r="G1197" s="8">
        <f>IF(ISNA(MATCH(1184,Engine!$C$2:$C$1369,0)),"",INDEX('Compliance Database'!$G$2:$G$1369,MATCH(1184,Engine!$C$2:$C$1369,0)))</f>
        <v/>
      </c>
      <c r="H1197" s="9">
        <f>IF(ISNA(MATCH(1184,Engine!$C$2:$C$1369,0)),"",INDEX('Compliance Database'!$H$2:$H$1369,MATCH(1184,Engine!$C$2:$C$1369,0)))</f>
        <v/>
      </c>
      <c r="I1197" s="9">
        <f>IF(ISNA(MATCH(1184,Engine!$C$2:$C$1369,0)),"",INDEX('Compliance Database'!$I$2:$I$1369,MATCH(1184,Engine!$C$2:$C$1369,0)))</f>
        <v/>
      </c>
      <c r="J1197" s="8">
        <f>IF(ISNA(MATCH(1184,Engine!$C$2:$C$1369,0)),"",INDEX('Compliance Database'!$J$2:$J$1369,MATCH(1184,Engine!$C$2:$C$1369,0)))</f>
        <v/>
      </c>
      <c r="K1197" s="9">
        <f>IF(ISNA(MATCH(1184,Engine!$C$2:$C$1369,0)),"",INDEX('Compliance Database'!$K$2:$K$1369,MATCH(1184,Engine!$C$2:$C$1369,0)))</f>
        <v/>
      </c>
      <c r="L1197" s="9">
        <f>IF(ISNA(MATCH(1184,Engine!$C$2:$C$1369,0)),"",INDEX('Compliance Database'!$L$2:$L$1369,MATCH(1184,Engine!$C$2:$C$1369,0)))</f>
        <v/>
      </c>
      <c r="M1197" s="9">
        <f>IF(ISNA(MATCH(1184,Engine!$C$2:$C$1369,0)),"",INDEX('Compliance Database'!$M$2:$M$1369,MATCH(1184,Engine!$C$2:$C$1369,0)))</f>
        <v/>
      </c>
      <c r="N1197" s="9">
        <f>IF(ISNA(MATCH(1184,Engine!$C$2:$C$1369,0)),"",INDEX('Compliance Database'!$N$2:$N$1369,MATCH(1184,Engine!$C$2:$C$1369,0)))</f>
        <v/>
      </c>
      <c r="O1197" s="8">
        <f>IF(ISNA(MATCH(1184,Engine!$C$2:$C$1369,0)),"",HYPERLINK(INDEX('Compliance Database'!$O$2:$O$1369,MATCH(1184,Engine!$C$2:$C$1369,0)),"Open PDF"))</f>
        <v/>
      </c>
    </row>
    <row r="1198" ht="188" customHeight="1">
      <c r="A1198" s="8">
        <f>IF(ISNA(MATCH(1185,Engine!$C$2:$C$1369,0)),"",INDEX('Compliance Database'!$A$2:$A$1369,MATCH(1185,Engine!$C$2:$C$1369,0)))</f>
        <v/>
      </c>
      <c r="B1198" s="8">
        <f>IF(ISNA(MATCH(1185,Engine!$C$2:$C$1369,0)),"",INDEX('Compliance Database'!$B$2:$B$1369,MATCH(1185,Engine!$C$2:$C$1369,0)))</f>
        <v/>
      </c>
      <c r="C1198" s="8">
        <f>IF(ISNA(MATCH(1185,Engine!$C$2:$C$1369,0)),"",INDEX('Compliance Database'!$C$2:$C$1369,MATCH(1185,Engine!$C$2:$C$1369,0)))</f>
        <v/>
      </c>
      <c r="D1198" s="9">
        <f>IF(ISNA(MATCH(1185,Engine!$C$2:$C$1369,0)),"",INDEX('Compliance Database'!$D$2:$D$1369,MATCH(1185,Engine!$C$2:$C$1369,0)))</f>
        <v/>
      </c>
      <c r="E1198" s="8">
        <f>IF(ISNA(MATCH(1185,Engine!$C$2:$C$1369,0)),"",INDEX('Compliance Database'!$E$2:$E$1369,MATCH(1185,Engine!$C$2:$C$1369,0)))</f>
        <v/>
      </c>
      <c r="F1198" s="8">
        <f>IF(ISNA(MATCH(1185,Engine!$C$2:$C$1369,0)),"",INDEX('Compliance Database'!$F$2:$F$1369,MATCH(1185,Engine!$C$2:$C$1369,0)))</f>
        <v/>
      </c>
      <c r="G1198" s="8">
        <f>IF(ISNA(MATCH(1185,Engine!$C$2:$C$1369,0)),"",INDEX('Compliance Database'!$G$2:$G$1369,MATCH(1185,Engine!$C$2:$C$1369,0)))</f>
        <v/>
      </c>
      <c r="H1198" s="9">
        <f>IF(ISNA(MATCH(1185,Engine!$C$2:$C$1369,0)),"",INDEX('Compliance Database'!$H$2:$H$1369,MATCH(1185,Engine!$C$2:$C$1369,0)))</f>
        <v/>
      </c>
      <c r="I1198" s="9">
        <f>IF(ISNA(MATCH(1185,Engine!$C$2:$C$1369,0)),"",INDEX('Compliance Database'!$I$2:$I$1369,MATCH(1185,Engine!$C$2:$C$1369,0)))</f>
        <v/>
      </c>
      <c r="J1198" s="8">
        <f>IF(ISNA(MATCH(1185,Engine!$C$2:$C$1369,0)),"",INDEX('Compliance Database'!$J$2:$J$1369,MATCH(1185,Engine!$C$2:$C$1369,0)))</f>
        <v/>
      </c>
      <c r="K1198" s="9">
        <f>IF(ISNA(MATCH(1185,Engine!$C$2:$C$1369,0)),"",INDEX('Compliance Database'!$K$2:$K$1369,MATCH(1185,Engine!$C$2:$C$1369,0)))</f>
        <v/>
      </c>
      <c r="L1198" s="9">
        <f>IF(ISNA(MATCH(1185,Engine!$C$2:$C$1369,0)),"",INDEX('Compliance Database'!$L$2:$L$1369,MATCH(1185,Engine!$C$2:$C$1369,0)))</f>
        <v/>
      </c>
      <c r="M1198" s="9">
        <f>IF(ISNA(MATCH(1185,Engine!$C$2:$C$1369,0)),"",INDEX('Compliance Database'!$M$2:$M$1369,MATCH(1185,Engine!$C$2:$C$1369,0)))</f>
        <v/>
      </c>
      <c r="N1198" s="9">
        <f>IF(ISNA(MATCH(1185,Engine!$C$2:$C$1369,0)),"",INDEX('Compliance Database'!$N$2:$N$1369,MATCH(1185,Engine!$C$2:$C$1369,0)))</f>
        <v/>
      </c>
      <c r="O1198" s="8">
        <f>IF(ISNA(MATCH(1185,Engine!$C$2:$C$1369,0)),"",HYPERLINK(INDEX('Compliance Database'!$O$2:$O$1369,MATCH(1185,Engine!$C$2:$C$1369,0)),"Open PDF"))</f>
        <v/>
      </c>
    </row>
    <row r="1199" ht="188" customHeight="1">
      <c r="A1199" s="8">
        <f>IF(ISNA(MATCH(1186,Engine!$C$2:$C$1369,0)),"",INDEX('Compliance Database'!$A$2:$A$1369,MATCH(1186,Engine!$C$2:$C$1369,0)))</f>
        <v/>
      </c>
      <c r="B1199" s="8">
        <f>IF(ISNA(MATCH(1186,Engine!$C$2:$C$1369,0)),"",INDEX('Compliance Database'!$B$2:$B$1369,MATCH(1186,Engine!$C$2:$C$1369,0)))</f>
        <v/>
      </c>
      <c r="C1199" s="8">
        <f>IF(ISNA(MATCH(1186,Engine!$C$2:$C$1369,0)),"",INDEX('Compliance Database'!$C$2:$C$1369,MATCH(1186,Engine!$C$2:$C$1369,0)))</f>
        <v/>
      </c>
      <c r="D1199" s="9">
        <f>IF(ISNA(MATCH(1186,Engine!$C$2:$C$1369,0)),"",INDEX('Compliance Database'!$D$2:$D$1369,MATCH(1186,Engine!$C$2:$C$1369,0)))</f>
        <v/>
      </c>
      <c r="E1199" s="8">
        <f>IF(ISNA(MATCH(1186,Engine!$C$2:$C$1369,0)),"",INDEX('Compliance Database'!$E$2:$E$1369,MATCH(1186,Engine!$C$2:$C$1369,0)))</f>
        <v/>
      </c>
      <c r="F1199" s="8">
        <f>IF(ISNA(MATCH(1186,Engine!$C$2:$C$1369,0)),"",INDEX('Compliance Database'!$F$2:$F$1369,MATCH(1186,Engine!$C$2:$C$1369,0)))</f>
        <v/>
      </c>
      <c r="G1199" s="8">
        <f>IF(ISNA(MATCH(1186,Engine!$C$2:$C$1369,0)),"",INDEX('Compliance Database'!$G$2:$G$1369,MATCH(1186,Engine!$C$2:$C$1369,0)))</f>
        <v/>
      </c>
      <c r="H1199" s="9">
        <f>IF(ISNA(MATCH(1186,Engine!$C$2:$C$1369,0)),"",INDEX('Compliance Database'!$H$2:$H$1369,MATCH(1186,Engine!$C$2:$C$1369,0)))</f>
        <v/>
      </c>
      <c r="I1199" s="9">
        <f>IF(ISNA(MATCH(1186,Engine!$C$2:$C$1369,0)),"",INDEX('Compliance Database'!$I$2:$I$1369,MATCH(1186,Engine!$C$2:$C$1369,0)))</f>
        <v/>
      </c>
      <c r="J1199" s="8">
        <f>IF(ISNA(MATCH(1186,Engine!$C$2:$C$1369,0)),"",INDEX('Compliance Database'!$J$2:$J$1369,MATCH(1186,Engine!$C$2:$C$1369,0)))</f>
        <v/>
      </c>
      <c r="K1199" s="9">
        <f>IF(ISNA(MATCH(1186,Engine!$C$2:$C$1369,0)),"",INDEX('Compliance Database'!$K$2:$K$1369,MATCH(1186,Engine!$C$2:$C$1369,0)))</f>
        <v/>
      </c>
      <c r="L1199" s="9">
        <f>IF(ISNA(MATCH(1186,Engine!$C$2:$C$1369,0)),"",INDEX('Compliance Database'!$L$2:$L$1369,MATCH(1186,Engine!$C$2:$C$1369,0)))</f>
        <v/>
      </c>
      <c r="M1199" s="9">
        <f>IF(ISNA(MATCH(1186,Engine!$C$2:$C$1369,0)),"",INDEX('Compliance Database'!$M$2:$M$1369,MATCH(1186,Engine!$C$2:$C$1369,0)))</f>
        <v/>
      </c>
      <c r="N1199" s="9">
        <f>IF(ISNA(MATCH(1186,Engine!$C$2:$C$1369,0)),"",INDEX('Compliance Database'!$N$2:$N$1369,MATCH(1186,Engine!$C$2:$C$1369,0)))</f>
        <v/>
      </c>
      <c r="O1199" s="8">
        <f>IF(ISNA(MATCH(1186,Engine!$C$2:$C$1369,0)),"",HYPERLINK(INDEX('Compliance Database'!$O$2:$O$1369,MATCH(1186,Engine!$C$2:$C$1369,0)),"Open PDF"))</f>
        <v/>
      </c>
    </row>
    <row r="1200" ht="188" customHeight="1">
      <c r="A1200" s="8">
        <f>IF(ISNA(MATCH(1187,Engine!$C$2:$C$1369,0)),"",INDEX('Compliance Database'!$A$2:$A$1369,MATCH(1187,Engine!$C$2:$C$1369,0)))</f>
        <v/>
      </c>
      <c r="B1200" s="8">
        <f>IF(ISNA(MATCH(1187,Engine!$C$2:$C$1369,0)),"",INDEX('Compliance Database'!$B$2:$B$1369,MATCH(1187,Engine!$C$2:$C$1369,0)))</f>
        <v/>
      </c>
      <c r="C1200" s="8">
        <f>IF(ISNA(MATCH(1187,Engine!$C$2:$C$1369,0)),"",INDEX('Compliance Database'!$C$2:$C$1369,MATCH(1187,Engine!$C$2:$C$1369,0)))</f>
        <v/>
      </c>
      <c r="D1200" s="9">
        <f>IF(ISNA(MATCH(1187,Engine!$C$2:$C$1369,0)),"",INDEX('Compliance Database'!$D$2:$D$1369,MATCH(1187,Engine!$C$2:$C$1369,0)))</f>
        <v/>
      </c>
      <c r="E1200" s="8">
        <f>IF(ISNA(MATCH(1187,Engine!$C$2:$C$1369,0)),"",INDEX('Compliance Database'!$E$2:$E$1369,MATCH(1187,Engine!$C$2:$C$1369,0)))</f>
        <v/>
      </c>
      <c r="F1200" s="8">
        <f>IF(ISNA(MATCH(1187,Engine!$C$2:$C$1369,0)),"",INDEX('Compliance Database'!$F$2:$F$1369,MATCH(1187,Engine!$C$2:$C$1369,0)))</f>
        <v/>
      </c>
      <c r="G1200" s="8">
        <f>IF(ISNA(MATCH(1187,Engine!$C$2:$C$1369,0)),"",INDEX('Compliance Database'!$G$2:$G$1369,MATCH(1187,Engine!$C$2:$C$1369,0)))</f>
        <v/>
      </c>
      <c r="H1200" s="9">
        <f>IF(ISNA(MATCH(1187,Engine!$C$2:$C$1369,0)),"",INDEX('Compliance Database'!$H$2:$H$1369,MATCH(1187,Engine!$C$2:$C$1369,0)))</f>
        <v/>
      </c>
      <c r="I1200" s="9">
        <f>IF(ISNA(MATCH(1187,Engine!$C$2:$C$1369,0)),"",INDEX('Compliance Database'!$I$2:$I$1369,MATCH(1187,Engine!$C$2:$C$1369,0)))</f>
        <v/>
      </c>
      <c r="J1200" s="8">
        <f>IF(ISNA(MATCH(1187,Engine!$C$2:$C$1369,0)),"",INDEX('Compliance Database'!$J$2:$J$1369,MATCH(1187,Engine!$C$2:$C$1369,0)))</f>
        <v/>
      </c>
      <c r="K1200" s="9">
        <f>IF(ISNA(MATCH(1187,Engine!$C$2:$C$1369,0)),"",INDEX('Compliance Database'!$K$2:$K$1369,MATCH(1187,Engine!$C$2:$C$1369,0)))</f>
        <v/>
      </c>
      <c r="L1200" s="9">
        <f>IF(ISNA(MATCH(1187,Engine!$C$2:$C$1369,0)),"",INDEX('Compliance Database'!$L$2:$L$1369,MATCH(1187,Engine!$C$2:$C$1369,0)))</f>
        <v/>
      </c>
      <c r="M1200" s="9">
        <f>IF(ISNA(MATCH(1187,Engine!$C$2:$C$1369,0)),"",INDEX('Compliance Database'!$M$2:$M$1369,MATCH(1187,Engine!$C$2:$C$1369,0)))</f>
        <v/>
      </c>
      <c r="N1200" s="9">
        <f>IF(ISNA(MATCH(1187,Engine!$C$2:$C$1369,0)),"",INDEX('Compliance Database'!$N$2:$N$1369,MATCH(1187,Engine!$C$2:$C$1369,0)))</f>
        <v/>
      </c>
      <c r="O1200" s="8">
        <f>IF(ISNA(MATCH(1187,Engine!$C$2:$C$1369,0)),"",HYPERLINK(INDEX('Compliance Database'!$O$2:$O$1369,MATCH(1187,Engine!$C$2:$C$1369,0)),"Open PDF"))</f>
        <v/>
      </c>
    </row>
    <row r="1201" ht="188" customHeight="1">
      <c r="A1201" s="8">
        <f>IF(ISNA(MATCH(1188,Engine!$C$2:$C$1369,0)),"",INDEX('Compliance Database'!$A$2:$A$1369,MATCH(1188,Engine!$C$2:$C$1369,0)))</f>
        <v/>
      </c>
      <c r="B1201" s="8">
        <f>IF(ISNA(MATCH(1188,Engine!$C$2:$C$1369,0)),"",INDEX('Compliance Database'!$B$2:$B$1369,MATCH(1188,Engine!$C$2:$C$1369,0)))</f>
        <v/>
      </c>
      <c r="C1201" s="8">
        <f>IF(ISNA(MATCH(1188,Engine!$C$2:$C$1369,0)),"",INDEX('Compliance Database'!$C$2:$C$1369,MATCH(1188,Engine!$C$2:$C$1369,0)))</f>
        <v/>
      </c>
      <c r="D1201" s="9">
        <f>IF(ISNA(MATCH(1188,Engine!$C$2:$C$1369,0)),"",INDEX('Compliance Database'!$D$2:$D$1369,MATCH(1188,Engine!$C$2:$C$1369,0)))</f>
        <v/>
      </c>
      <c r="E1201" s="8">
        <f>IF(ISNA(MATCH(1188,Engine!$C$2:$C$1369,0)),"",INDEX('Compliance Database'!$E$2:$E$1369,MATCH(1188,Engine!$C$2:$C$1369,0)))</f>
        <v/>
      </c>
      <c r="F1201" s="8">
        <f>IF(ISNA(MATCH(1188,Engine!$C$2:$C$1369,0)),"",INDEX('Compliance Database'!$F$2:$F$1369,MATCH(1188,Engine!$C$2:$C$1369,0)))</f>
        <v/>
      </c>
      <c r="G1201" s="8">
        <f>IF(ISNA(MATCH(1188,Engine!$C$2:$C$1369,0)),"",INDEX('Compliance Database'!$G$2:$G$1369,MATCH(1188,Engine!$C$2:$C$1369,0)))</f>
        <v/>
      </c>
      <c r="H1201" s="9">
        <f>IF(ISNA(MATCH(1188,Engine!$C$2:$C$1369,0)),"",INDEX('Compliance Database'!$H$2:$H$1369,MATCH(1188,Engine!$C$2:$C$1369,0)))</f>
        <v/>
      </c>
      <c r="I1201" s="9">
        <f>IF(ISNA(MATCH(1188,Engine!$C$2:$C$1369,0)),"",INDEX('Compliance Database'!$I$2:$I$1369,MATCH(1188,Engine!$C$2:$C$1369,0)))</f>
        <v/>
      </c>
      <c r="J1201" s="8">
        <f>IF(ISNA(MATCH(1188,Engine!$C$2:$C$1369,0)),"",INDEX('Compliance Database'!$J$2:$J$1369,MATCH(1188,Engine!$C$2:$C$1369,0)))</f>
        <v/>
      </c>
      <c r="K1201" s="9">
        <f>IF(ISNA(MATCH(1188,Engine!$C$2:$C$1369,0)),"",INDEX('Compliance Database'!$K$2:$K$1369,MATCH(1188,Engine!$C$2:$C$1369,0)))</f>
        <v/>
      </c>
      <c r="L1201" s="9">
        <f>IF(ISNA(MATCH(1188,Engine!$C$2:$C$1369,0)),"",INDEX('Compliance Database'!$L$2:$L$1369,MATCH(1188,Engine!$C$2:$C$1369,0)))</f>
        <v/>
      </c>
      <c r="M1201" s="9">
        <f>IF(ISNA(MATCH(1188,Engine!$C$2:$C$1369,0)),"",INDEX('Compliance Database'!$M$2:$M$1369,MATCH(1188,Engine!$C$2:$C$1369,0)))</f>
        <v/>
      </c>
      <c r="N1201" s="9">
        <f>IF(ISNA(MATCH(1188,Engine!$C$2:$C$1369,0)),"",INDEX('Compliance Database'!$N$2:$N$1369,MATCH(1188,Engine!$C$2:$C$1369,0)))</f>
        <v/>
      </c>
      <c r="O1201" s="8">
        <f>IF(ISNA(MATCH(1188,Engine!$C$2:$C$1369,0)),"",HYPERLINK(INDEX('Compliance Database'!$O$2:$O$1369,MATCH(1188,Engine!$C$2:$C$1369,0)),"Open PDF"))</f>
        <v/>
      </c>
    </row>
    <row r="1202" ht="188" customHeight="1">
      <c r="A1202" s="8">
        <f>IF(ISNA(MATCH(1189,Engine!$C$2:$C$1369,0)),"",INDEX('Compliance Database'!$A$2:$A$1369,MATCH(1189,Engine!$C$2:$C$1369,0)))</f>
        <v/>
      </c>
      <c r="B1202" s="8">
        <f>IF(ISNA(MATCH(1189,Engine!$C$2:$C$1369,0)),"",INDEX('Compliance Database'!$B$2:$B$1369,MATCH(1189,Engine!$C$2:$C$1369,0)))</f>
        <v/>
      </c>
      <c r="C1202" s="8">
        <f>IF(ISNA(MATCH(1189,Engine!$C$2:$C$1369,0)),"",INDEX('Compliance Database'!$C$2:$C$1369,MATCH(1189,Engine!$C$2:$C$1369,0)))</f>
        <v/>
      </c>
      <c r="D1202" s="9">
        <f>IF(ISNA(MATCH(1189,Engine!$C$2:$C$1369,0)),"",INDEX('Compliance Database'!$D$2:$D$1369,MATCH(1189,Engine!$C$2:$C$1369,0)))</f>
        <v/>
      </c>
      <c r="E1202" s="8">
        <f>IF(ISNA(MATCH(1189,Engine!$C$2:$C$1369,0)),"",INDEX('Compliance Database'!$E$2:$E$1369,MATCH(1189,Engine!$C$2:$C$1369,0)))</f>
        <v/>
      </c>
      <c r="F1202" s="8">
        <f>IF(ISNA(MATCH(1189,Engine!$C$2:$C$1369,0)),"",INDEX('Compliance Database'!$F$2:$F$1369,MATCH(1189,Engine!$C$2:$C$1369,0)))</f>
        <v/>
      </c>
      <c r="G1202" s="8">
        <f>IF(ISNA(MATCH(1189,Engine!$C$2:$C$1369,0)),"",INDEX('Compliance Database'!$G$2:$G$1369,MATCH(1189,Engine!$C$2:$C$1369,0)))</f>
        <v/>
      </c>
      <c r="H1202" s="9">
        <f>IF(ISNA(MATCH(1189,Engine!$C$2:$C$1369,0)),"",INDEX('Compliance Database'!$H$2:$H$1369,MATCH(1189,Engine!$C$2:$C$1369,0)))</f>
        <v/>
      </c>
      <c r="I1202" s="9">
        <f>IF(ISNA(MATCH(1189,Engine!$C$2:$C$1369,0)),"",INDEX('Compliance Database'!$I$2:$I$1369,MATCH(1189,Engine!$C$2:$C$1369,0)))</f>
        <v/>
      </c>
      <c r="J1202" s="8">
        <f>IF(ISNA(MATCH(1189,Engine!$C$2:$C$1369,0)),"",INDEX('Compliance Database'!$J$2:$J$1369,MATCH(1189,Engine!$C$2:$C$1369,0)))</f>
        <v/>
      </c>
      <c r="K1202" s="9">
        <f>IF(ISNA(MATCH(1189,Engine!$C$2:$C$1369,0)),"",INDEX('Compliance Database'!$K$2:$K$1369,MATCH(1189,Engine!$C$2:$C$1369,0)))</f>
        <v/>
      </c>
      <c r="L1202" s="9">
        <f>IF(ISNA(MATCH(1189,Engine!$C$2:$C$1369,0)),"",INDEX('Compliance Database'!$L$2:$L$1369,MATCH(1189,Engine!$C$2:$C$1369,0)))</f>
        <v/>
      </c>
      <c r="M1202" s="9">
        <f>IF(ISNA(MATCH(1189,Engine!$C$2:$C$1369,0)),"",INDEX('Compliance Database'!$M$2:$M$1369,MATCH(1189,Engine!$C$2:$C$1369,0)))</f>
        <v/>
      </c>
      <c r="N1202" s="9">
        <f>IF(ISNA(MATCH(1189,Engine!$C$2:$C$1369,0)),"",INDEX('Compliance Database'!$N$2:$N$1369,MATCH(1189,Engine!$C$2:$C$1369,0)))</f>
        <v/>
      </c>
      <c r="O1202" s="8">
        <f>IF(ISNA(MATCH(1189,Engine!$C$2:$C$1369,0)),"",HYPERLINK(INDEX('Compliance Database'!$O$2:$O$1369,MATCH(1189,Engine!$C$2:$C$1369,0)),"Open PDF"))</f>
        <v/>
      </c>
    </row>
    <row r="1203" ht="188" customHeight="1">
      <c r="A1203" s="8">
        <f>IF(ISNA(MATCH(1190,Engine!$C$2:$C$1369,0)),"",INDEX('Compliance Database'!$A$2:$A$1369,MATCH(1190,Engine!$C$2:$C$1369,0)))</f>
        <v/>
      </c>
      <c r="B1203" s="8">
        <f>IF(ISNA(MATCH(1190,Engine!$C$2:$C$1369,0)),"",INDEX('Compliance Database'!$B$2:$B$1369,MATCH(1190,Engine!$C$2:$C$1369,0)))</f>
        <v/>
      </c>
      <c r="C1203" s="8">
        <f>IF(ISNA(MATCH(1190,Engine!$C$2:$C$1369,0)),"",INDEX('Compliance Database'!$C$2:$C$1369,MATCH(1190,Engine!$C$2:$C$1369,0)))</f>
        <v/>
      </c>
      <c r="D1203" s="9">
        <f>IF(ISNA(MATCH(1190,Engine!$C$2:$C$1369,0)),"",INDEX('Compliance Database'!$D$2:$D$1369,MATCH(1190,Engine!$C$2:$C$1369,0)))</f>
        <v/>
      </c>
      <c r="E1203" s="8">
        <f>IF(ISNA(MATCH(1190,Engine!$C$2:$C$1369,0)),"",INDEX('Compliance Database'!$E$2:$E$1369,MATCH(1190,Engine!$C$2:$C$1369,0)))</f>
        <v/>
      </c>
      <c r="F1203" s="8">
        <f>IF(ISNA(MATCH(1190,Engine!$C$2:$C$1369,0)),"",INDEX('Compliance Database'!$F$2:$F$1369,MATCH(1190,Engine!$C$2:$C$1369,0)))</f>
        <v/>
      </c>
      <c r="G1203" s="8">
        <f>IF(ISNA(MATCH(1190,Engine!$C$2:$C$1369,0)),"",INDEX('Compliance Database'!$G$2:$G$1369,MATCH(1190,Engine!$C$2:$C$1369,0)))</f>
        <v/>
      </c>
      <c r="H1203" s="9">
        <f>IF(ISNA(MATCH(1190,Engine!$C$2:$C$1369,0)),"",INDEX('Compliance Database'!$H$2:$H$1369,MATCH(1190,Engine!$C$2:$C$1369,0)))</f>
        <v/>
      </c>
      <c r="I1203" s="9">
        <f>IF(ISNA(MATCH(1190,Engine!$C$2:$C$1369,0)),"",INDEX('Compliance Database'!$I$2:$I$1369,MATCH(1190,Engine!$C$2:$C$1369,0)))</f>
        <v/>
      </c>
      <c r="J1203" s="8">
        <f>IF(ISNA(MATCH(1190,Engine!$C$2:$C$1369,0)),"",INDEX('Compliance Database'!$J$2:$J$1369,MATCH(1190,Engine!$C$2:$C$1369,0)))</f>
        <v/>
      </c>
      <c r="K1203" s="9">
        <f>IF(ISNA(MATCH(1190,Engine!$C$2:$C$1369,0)),"",INDEX('Compliance Database'!$K$2:$K$1369,MATCH(1190,Engine!$C$2:$C$1369,0)))</f>
        <v/>
      </c>
      <c r="L1203" s="9">
        <f>IF(ISNA(MATCH(1190,Engine!$C$2:$C$1369,0)),"",INDEX('Compliance Database'!$L$2:$L$1369,MATCH(1190,Engine!$C$2:$C$1369,0)))</f>
        <v/>
      </c>
      <c r="M1203" s="9">
        <f>IF(ISNA(MATCH(1190,Engine!$C$2:$C$1369,0)),"",INDEX('Compliance Database'!$M$2:$M$1369,MATCH(1190,Engine!$C$2:$C$1369,0)))</f>
        <v/>
      </c>
      <c r="N1203" s="9">
        <f>IF(ISNA(MATCH(1190,Engine!$C$2:$C$1369,0)),"",INDEX('Compliance Database'!$N$2:$N$1369,MATCH(1190,Engine!$C$2:$C$1369,0)))</f>
        <v/>
      </c>
      <c r="O1203" s="8">
        <f>IF(ISNA(MATCH(1190,Engine!$C$2:$C$1369,0)),"",HYPERLINK(INDEX('Compliance Database'!$O$2:$O$1369,MATCH(1190,Engine!$C$2:$C$1369,0)),"Open PDF"))</f>
        <v/>
      </c>
    </row>
    <row r="1204" ht="188" customHeight="1">
      <c r="A1204" s="8">
        <f>IF(ISNA(MATCH(1191,Engine!$C$2:$C$1369,0)),"",INDEX('Compliance Database'!$A$2:$A$1369,MATCH(1191,Engine!$C$2:$C$1369,0)))</f>
        <v/>
      </c>
      <c r="B1204" s="8">
        <f>IF(ISNA(MATCH(1191,Engine!$C$2:$C$1369,0)),"",INDEX('Compliance Database'!$B$2:$B$1369,MATCH(1191,Engine!$C$2:$C$1369,0)))</f>
        <v/>
      </c>
      <c r="C1204" s="8">
        <f>IF(ISNA(MATCH(1191,Engine!$C$2:$C$1369,0)),"",INDEX('Compliance Database'!$C$2:$C$1369,MATCH(1191,Engine!$C$2:$C$1369,0)))</f>
        <v/>
      </c>
      <c r="D1204" s="9">
        <f>IF(ISNA(MATCH(1191,Engine!$C$2:$C$1369,0)),"",INDEX('Compliance Database'!$D$2:$D$1369,MATCH(1191,Engine!$C$2:$C$1369,0)))</f>
        <v/>
      </c>
      <c r="E1204" s="8">
        <f>IF(ISNA(MATCH(1191,Engine!$C$2:$C$1369,0)),"",INDEX('Compliance Database'!$E$2:$E$1369,MATCH(1191,Engine!$C$2:$C$1369,0)))</f>
        <v/>
      </c>
      <c r="F1204" s="8">
        <f>IF(ISNA(MATCH(1191,Engine!$C$2:$C$1369,0)),"",INDEX('Compliance Database'!$F$2:$F$1369,MATCH(1191,Engine!$C$2:$C$1369,0)))</f>
        <v/>
      </c>
      <c r="G1204" s="8">
        <f>IF(ISNA(MATCH(1191,Engine!$C$2:$C$1369,0)),"",INDEX('Compliance Database'!$G$2:$G$1369,MATCH(1191,Engine!$C$2:$C$1369,0)))</f>
        <v/>
      </c>
      <c r="H1204" s="9">
        <f>IF(ISNA(MATCH(1191,Engine!$C$2:$C$1369,0)),"",INDEX('Compliance Database'!$H$2:$H$1369,MATCH(1191,Engine!$C$2:$C$1369,0)))</f>
        <v/>
      </c>
      <c r="I1204" s="9">
        <f>IF(ISNA(MATCH(1191,Engine!$C$2:$C$1369,0)),"",INDEX('Compliance Database'!$I$2:$I$1369,MATCH(1191,Engine!$C$2:$C$1369,0)))</f>
        <v/>
      </c>
      <c r="J1204" s="8">
        <f>IF(ISNA(MATCH(1191,Engine!$C$2:$C$1369,0)),"",INDEX('Compliance Database'!$J$2:$J$1369,MATCH(1191,Engine!$C$2:$C$1369,0)))</f>
        <v/>
      </c>
      <c r="K1204" s="9">
        <f>IF(ISNA(MATCH(1191,Engine!$C$2:$C$1369,0)),"",INDEX('Compliance Database'!$K$2:$K$1369,MATCH(1191,Engine!$C$2:$C$1369,0)))</f>
        <v/>
      </c>
      <c r="L1204" s="9">
        <f>IF(ISNA(MATCH(1191,Engine!$C$2:$C$1369,0)),"",INDEX('Compliance Database'!$L$2:$L$1369,MATCH(1191,Engine!$C$2:$C$1369,0)))</f>
        <v/>
      </c>
      <c r="M1204" s="9">
        <f>IF(ISNA(MATCH(1191,Engine!$C$2:$C$1369,0)),"",INDEX('Compliance Database'!$M$2:$M$1369,MATCH(1191,Engine!$C$2:$C$1369,0)))</f>
        <v/>
      </c>
      <c r="N1204" s="9">
        <f>IF(ISNA(MATCH(1191,Engine!$C$2:$C$1369,0)),"",INDEX('Compliance Database'!$N$2:$N$1369,MATCH(1191,Engine!$C$2:$C$1369,0)))</f>
        <v/>
      </c>
      <c r="O1204" s="8">
        <f>IF(ISNA(MATCH(1191,Engine!$C$2:$C$1369,0)),"",HYPERLINK(INDEX('Compliance Database'!$O$2:$O$1369,MATCH(1191,Engine!$C$2:$C$1369,0)),"Open PDF"))</f>
        <v/>
      </c>
    </row>
    <row r="1205" ht="188" customHeight="1">
      <c r="A1205" s="8">
        <f>IF(ISNA(MATCH(1192,Engine!$C$2:$C$1369,0)),"",INDEX('Compliance Database'!$A$2:$A$1369,MATCH(1192,Engine!$C$2:$C$1369,0)))</f>
        <v/>
      </c>
      <c r="B1205" s="8">
        <f>IF(ISNA(MATCH(1192,Engine!$C$2:$C$1369,0)),"",INDEX('Compliance Database'!$B$2:$B$1369,MATCH(1192,Engine!$C$2:$C$1369,0)))</f>
        <v/>
      </c>
      <c r="C1205" s="8">
        <f>IF(ISNA(MATCH(1192,Engine!$C$2:$C$1369,0)),"",INDEX('Compliance Database'!$C$2:$C$1369,MATCH(1192,Engine!$C$2:$C$1369,0)))</f>
        <v/>
      </c>
      <c r="D1205" s="9">
        <f>IF(ISNA(MATCH(1192,Engine!$C$2:$C$1369,0)),"",INDEX('Compliance Database'!$D$2:$D$1369,MATCH(1192,Engine!$C$2:$C$1369,0)))</f>
        <v/>
      </c>
      <c r="E1205" s="8">
        <f>IF(ISNA(MATCH(1192,Engine!$C$2:$C$1369,0)),"",INDEX('Compliance Database'!$E$2:$E$1369,MATCH(1192,Engine!$C$2:$C$1369,0)))</f>
        <v/>
      </c>
      <c r="F1205" s="8">
        <f>IF(ISNA(MATCH(1192,Engine!$C$2:$C$1369,0)),"",INDEX('Compliance Database'!$F$2:$F$1369,MATCH(1192,Engine!$C$2:$C$1369,0)))</f>
        <v/>
      </c>
      <c r="G1205" s="8">
        <f>IF(ISNA(MATCH(1192,Engine!$C$2:$C$1369,0)),"",INDEX('Compliance Database'!$G$2:$G$1369,MATCH(1192,Engine!$C$2:$C$1369,0)))</f>
        <v/>
      </c>
      <c r="H1205" s="9">
        <f>IF(ISNA(MATCH(1192,Engine!$C$2:$C$1369,0)),"",INDEX('Compliance Database'!$H$2:$H$1369,MATCH(1192,Engine!$C$2:$C$1369,0)))</f>
        <v/>
      </c>
      <c r="I1205" s="9">
        <f>IF(ISNA(MATCH(1192,Engine!$C$2:$C$1369,0)),"",INDEX('Compliance Database'!$I$2:$I$1369,MATCH(1192,Engine!$C$2:$C$1369,0)))</f>
        <v/>
      </c>
      <c r="J1205" s="8">
        <f>IF(ISNA(MATCH(1192,Engine!$C$2:$C$1369,0)),"",INDEX('Compliance Database'!$J$2:$J$1369,MATCH(1192,Engine!$C$2:$C$1369,0)))</f>
        <v/>
      </c>
      <c r="K1205" s="9">
        <f>IF(ISNA(MATCH(1192,Engine!$C$2:$C$1369,0)),"",INDEX('Compliance Database'!$K$2:$K$1369,MATCH(1192,Engine!$C$2:$C$1369,0)))</f>
        <v/>
      </c>
      <c r="L1205" s="9">
        <f>IF(ISNA(MATCH(1192,Engine!$C$2:$C$1369,0)),"",INDEX('Compliance Database'!$L$2:$L$1369,MATCH(1192,Engine!$C$2:$C$1369,0)))</f>
        <v/>
      </c>
      <c r="M1205" s="9">
        <f>IF(ISNA(MATCH(1192,Engine!$C$2:$C$1369,0)),"",INDEX('Compliance Database'!$M$2:$M$1369,MATCH(1192,Engine!$C$2:$C$1369,0)))</f>
        <v/>
      </c>
      <c r="N1205" s="9">
        <f>IF(ISNA(MATCH(1192,Engine!$C$2:$C$1369,0)),"",INDEX('Compliance Database'!$N$2:$N$1369,MATCH(1192,Engine!$C$2:$C$1369,0)))</f>
        <v/>
      </c>
      <c r="O1205" s="8">
        <f>IF(ISNA(MATCH(1192,Engine!$C$2:$C$1369,0)),"",HYPERLINK(INDEX('Compliance Database'!$O$2:$O$1369,MATCH(1192,Engine!$C$2:$C$1369,0)),"Open PDF"))</f>
        <v/>
      </c>
    </row>
    <row r="1206" ht="188" customHeight="1">
      <c r="A1206" s="8">
        <f>IF(ISNA(MATCH(1193,Engine!$C$2:$C$1369,0)),"",INDEX('Compliance Database'!$A$2:$A$1369,MATCH(1193,Engine!$C$2:$C$1369,0)))</f>
        <v/>
      </c>
      <c r="B1206" s="8">
        <f>IF(ISNA(MATCH(1193,Engine!$C$2:$C$1369,0)),"",INDEX('Compliance Database'!$B$2:$B$1369,MATCH(1193,Engine!$C$2:$C$1369,0)))</f>
        <v/>
      </c>
      <c r="C1206" s="8">
        <f>IF(ISNA(MATCH(1193,Engine!$C$2:$C$1369,0)),"",INDEX('Compliance Database'!$C$2:$C$1369,MATCH(1193,Engine!$C$2:$C$1369,0)))</f>
        <v/>
      </c>
      <c r="D1206" s="9">
        <f>IF(ISNA(MATCH(1193,Engine!$C$2:$C$1369,0)),"",INDEX('Compliance Database'!$D$2:$D$1369,MATCH(1193,Engine!$C$2:$C$1369,0)))</f>
        <v/>
      </c>
      <c r="E1206" s="8">
        <f>IF(ISNA(MATCH(1193,Engine!$C$2:$C$1369,0)),"",INDEX('Compliance Database'!$E$2:$E$1369,MATCH(1193,Engine!$C$2:$C$1369,0)))</f>
        <v/>
      </c>
      <c r="F1206" s="8">
        <f>IF(ISNA(MATCH(1193,Engine!$C$2:$C$1369,0)),"",INDEX('Compliance Database'!$F$2:$F$1369,MATCH(1193,Engine!$C$2:$C$1369,0)))</f>
        <v/>
      </c>
      <c r="G1206" s="8">
        <f>IF(ISNA(MATCH(1193,Engine!$C$2:$C$1369,0)),"",INDEX('Compliance Database'!$G$2:$G$1369,MATCH(1193,Engine!$C$2:$C$1369,0)))</f>
        <v/>
      </c>
      <c r="H1206" s="9">
        <f>IF(ISNA(MATCH(1193,Engine!$C$2:$C$1369,0)),"",INDEX('Compliance Database'!$H$2:$H$1369,MATCH(1193,Engine!$C$2:$C$1369,0)))</f>
        <v/>
      </c>
      <c r="I1206" s="9">
        <f>IF(ISNA(MATCH(1193,Engine!$C$2:$C$1369,0)),"",INDEX('Compliance Database'!$I$2:$I$1369,MATCH(1193,Engine!$C$2:$C$1369,0)))</f>
        <v/>
      </c>
      <c r="J1206" s="8">
        <f>IF(ISNA(MATCH(1193,Engine!$C$2:$C$1369,0)),"",INDEX('Compliance Database'!$J$2:$J$1369,MATCH(1193,Engine!$C$2:$C$1369,0)))</f>
        <v/>
      </c>
      <c r="K1206" s="9">
        <f>IF(ISNA(MATCH(1193,Engine!$C$2:$C$1369,0)),"",INDEX('Compliance Database'!$K$2:$K$1369,MATCH(1193,Engine!$C$2:$C$1369,0)))</f>
        <v/>
      </c>
      <c r="L1206" s="9">
        <f>IF(ISNA(MATCH(1193,Engine!$C$2:$C$1369,0)),"",INDEX('Compliance Database'!$L$2:$L$1369,MATCH(1193,Engine!$C$2:$C$1369,0)))</f>
        <v/>
      </c>
      <c r="M1206" s="9">
        <f>IF(ISNA(MATCH(1193,Engine!$C$2:$C$1369,0)),"",INDEX('Compliance Database'!$M$2:$M$1369,MATCH(1193,Engine!$C$2:$C$1369,0)))</f>
        <v/>
      </c>
      <c r="N1206" s="9">
        <f>IF(ISNA(MATCH(1193,Engine!$C$2:$C$1369,0)),"",INDEX('Compliance Database'!$N$2:$N$1369,MATCH(1193,Engine!$C$2:$C$1369,0)))</f>
        <v/>
      </c>
      <c r="O1206" s="8">
        <f>IF(ISNA(MATCH(1193,Engine!$C$2:$C$1369,0)),"",HYPERLINK(INDEX('Compliance Database'!$O$2:$O$1369,MATCH(1193,Engine!$C$2:$C$1369,0)),"Open PDF"))</f>
        <v/>
      </c>
    </row>
    <row r="1207" ht="188" customHeight="1">
      <c r="A1207" s="8">
        <f>IF(ISNA(MATCH(1194,Engine!$C$2:$C$1369,0)),"",INDEX('Compliance Database'!$A$2:$A$1369,MATCH(1194,Engine!$C$2:$C$1369,0)))</f>
        <v/>
      </c>
      <c r="B1207" s="8">
        <f>IF(ISNA(MATCH(1194,Engine!$C$2:$C$1369,0)),"",INDEX('Compliance Database'!$B$2:$B$1369,MATCH(1194,Engine!$C$2:$C$1369,0)))</f>
        <v/>
      </c>
      <c r="C1207" s="8">
        <f>IF(ISNA(MATCH(1194,Engine!$C$2:$C$1369,0)),"",INDEX('Compliance Database'!$C$2:$C$1369,MATCH(1194,Engine!$C$2:$C$1369,0)))</f>
        <v/>
      </c>
      <c r="D1207" s="9">
        <f>IF(ISNA(MATCH(1194,Engine!$C$2:$C$1369,0)),"",INDEX('Compliance Database'!$D$2:$D$1369,MATCH(1194,Engine!$C$2:$C$1369,0)))</f>
        <v/>
      </c>
      <c r="E1207" s="8">
        <f>IF(ISNA(MATCH(1194,Engine!$C$2:$C$1369,0)),"",INDEX('Compliance Database'!$E$2:$E$1369,MATCH(1194,Engine!$C$2:$C$1369,0)))</f>
        <v/>
      </c>
      <c r="F1207" s="8">
        <f>IF(ISNA(MATCH(1194,Engine!$C$2:$C$1369,0)),"",INDEX('Compliance Database'!$F$2:$F$1369,MATCH(1194,Engine!$C$2:$C$1369,0)))</f>
        <v/>
      </c>
      <c r="G1207" s="8">
        <f>IF(ISNA(MATCH(1194,Engine!$C$2:$C$1369,0)),"",INDEX('Compliance Database'!$G$2:$G$1369,MATCH(1194,Engine!$C$2:$C$1369,0)))</f>
        <v/>
      </c>
      <c r="H1207" s="9">
        <f>IF(ISNA(MATCH(1194,Engine!$C$2:$C$1369,0)),"",INDEX('Compliance Database'!$H$2:$H$1369,MATCH(1194,Engine!$C$2:$C$1369,0)))</f>
        <v/>
      </c>
      <c r="I1207" s="9">
        <f>IF(ISNA(MATCH(1194,Engine!$C$2:$C$1369,0)),"",INDEX('Compliance Database'!$I$2:$I$1369,MATCH(1194,Engine!$C$2:$C$1369,0)))</f>
        <v/>
      </c>
      <c r="J1207" s="8">
        <f>IF(ISNA(MATCH(1194,Engine!$C$2:$C$1369,0)),"",INDEX('Compliance Database'!$J$2:$J$1369,MATCH(1194,Engine!$C$2:$C$1369,0)))</f>
        <v/>
      </c>
      <c r="K1207" s="9">
        <f>IF(ISNA(MATCH(1194,Engine!$C$2:$C$1369,0)),"",INDEX('Compliance Database'!$K$2:$K$1369,MATCH(1194,Engine!$C$2:$C$1369,0)))</f>
        <v/>
      </c>
      <c r="L1207" s="9">
        <f>IF(ISNA(MATCH(1194,Engine!$C$2:$C$1369,0)),"",INDEX('Compliance Database'!$L$2:$L$1369,MATCH(1194,Engine!$C$2:$C$1369,0)))</f>
        <v/>
      </c>
      <c r="M1207" s="9">
        <f>IF(ISNA(MATCH(1194,Engine!$C$2:$C$1369,0)),"",INDEX('Compliance Database'!$M$2:$M$1369,MATCH(1194,Engine!$C$2:$C$1369,0)))</f>
        <v/>
      </c>
      <c r="N1207" s="9">
        <f>IF(ISNA(MATCH(1194,Engine!$C$2:$C$1369,0)),"",INDEX('Compliance Database'!$N$2:$N$1369,MATCH(1194,Engine!$C$2:$C$1369,0)))</f>
        <v/>
      </c>
      <c r="O1207" s="8">
        <f>IF(ISNA(MATCH(1194,Engine!$C$2:$C$1369,0)),"",HYPERLINK(INDEX('Compliance Database'!$O$2:$O$1369,MATCH(1194,Engine!$C$2:$C$1369,0)),"Open PDF"))</f>
        <v/>
      </c>
    </row>
    <row r="1208" ht="188" customHeight="1">
      <c r="A1208" s="8">
        <f>IF(ISNA(MATCH(1195,Engine!$C$2:$C$1369,0)),"",INDEX('Compliance Database'!$A$2:$A$1369,MATCH(1195,Engine!$C$2:$C$1369,0)))</f>
        <v/>
      </c>
      <c r="B1208" s="8">
        <f>IF(ISNA(MATCH(1195,Engine!$C$2:$C$1369,0)),"",INDEX('Compliance Database'!$B$2:$B$1369,MATCH(1195,Engine!$C$2:$C$1369,0)))</f>
        <v/>
      </c>
      <c r="C1208" s="8">
        <f>IF(ISNA(MATCH(1195,Engine!$C$2:$C$1369,0)),"",INDEX('Compliance Database'!$C$2:$C$1369,MATCH(1195,Engine!$C$2:$C$1369,0)))</f>
        <v/>
      </c>
      <c r="D1208" s="9">
        <f>IF(ISNA(MATCH(1195,Engine!$C$2:$C$1369,0)),"",INDEX('Compliance Database'!$D$2:$D$1369,MATCH(1195,Engine!$C$2:$C$1369,0)))</f>
        <v/>
      </c>
      <c r="E1208" s="8">
        <f>IF(ISNA(MATCH(1195,Engine!$C$2:$C$1369,0)),"",INDEX('Compliance Database'!$E$2:$E$1369,MATCH(1195,Engine!$C$2:$C$1369,0)))</f>
        <v/>
      </c>
      <c r="F1208" s="8">
        <f>IF(ISNA(MATCH(1195,Engine!$C$2:$C$1369,0)),"",INDEX('Compliance Database'!$F$2:$F$1369,MATCH(1195,Engine!$C$2:$C$1369,0)))</f>
        <v/>
      </c>
      <c r="G1208" s="8">
        <f>IF(ISNA(MATCH(1195,Engine!$C$2:$C$1369,0)),"",INDEX('Compliance Database'!$G$2:$G$1369,MATCH(1195,Engine!$C$2:$C$1369,0)))</f>
        <v/>
      </c>
      <c r="H1208" s="9">
        <f>IF(ISNA(MATCH(1195,Engine!$C$2:$C$1369,0)),"",INDEX('Compliance Database'!$H$2:$H$1369,MATCH(1195,Engine!$C$2:$C$1369,0)))</f>
        <v/>
      </c>
      <c r="I1208" s="9">
        <f>IF(ISNA(MATCH(1195,Engine!$C$2:$C$1369,0)),"",INDEX('Compliance Database'!$I$2:$I$1369,MATCH(1195,Engine!$C$2:$C$1369,0)))</f>
        <v/>
      </c>
      <c r="J1208" s="8">
        <f>IF(ISNA(MATCH(1195,Engine!$C$2:$C$1369,0)),"",INDEX('Compliance Database'!$J$2:$J$1369,MATCH(1195,Engine!$C$2:$C$1369,0)))</f>
        <v/>
      </c>
      <c r="K1208" s="9">
        <f>IF(ISNA(MATCH(1195,Engine!$C$2:$C$1369,0)),"",INDEX('Compliance Database'!$K$2:$K$1369,MATCH(1195,Engine!$C$2:$C$1369,0)))</f>
        <v/>
      </c>
      <c r="L1208" s="9">
        <f>IF(ISNA(MATCH(1195,Engine!$C$2:$C$1369,0)),"",INDEX('Compliance Database'!$L$2:$L$1369,MATCH(1195,Engine!$C$2:$C$1369,0)))</f>
        <v/>
      </c>
      <c r="M1208" s="9">
        <f>IF(ISNA(MATCH(1195,Engine!$C$2:$C$1369,0)),"",INDEX('Compliance Database'!$M$2:$M$1369,MATCH(1195,Engine!$C$2:$C$1369,0)))</f>
        <v/>
      </c>
      <c r="N1208" s="9">
        <f>IF(ISNA(MATCH(1195,Engine!$C$2:$C$1369,0)),"",INDEX('Compliance Database'!$N$2:$N$1369,MATCH(1195,Engine!$C$2:$C$1369,0)))</f>
        <v/>
      </c>
      <c r="O1208" s="8">
        <f>IF(ISNA(MATCH(1195,Engine!$C$2:$C$1369,0)),"",HYPERLINK(INDEX('Compliance Database'!$O$2:$O$1369,MATCH(1195,Engine!$C$2:$C$1369,0)),"Open PDF"))</f>
        <v/>
      </c>
    </row>
    <row r="1209" ht="188" customHeight="1">
      <c r="A1209" s="8">
        <f>IF(ISNA(MATCH(1196,Engine!$C$2:$C$1369,0)),"",INDEX('Compliance Database'!$A$2:$A$1369,MATCH(1196,Engine!$C$2:$C$1369,0)))</f>
        <v/>
      </c>
      <c r="B1209" s="8">
        <f>IF(ISNA(MATCH(1196,Engine!$C$2:$C$1369,0)),"",INDEX('Compliance Database'!$B$2:$B$1369,MATCH(1196,Engine!$C$2:$C$1369,0)))</f>
        <v/>
      </c>
      <c r="C1209" s="8">
        <f>IF(ISNA(MATCH(1196,Engine!$C$2:$C$1369,0)),"",INDEX('Compliance Database'!$C$2:$C$1369,MATCH(1196,Engine!$C$2:$C$1369,0)))</f>
        <v/>
      </c>
      <c r="D1209" s="9">
        <f>IF(ISNA(MATCH(1196,Engine!$C$2:$C$1369,0)),"",INDEX('Compliance Database'!$D$2:$D$1369,MATCH(1196,Engine!$C$2:$C$1369,0)))</f>
        <v/>
      </c>
      <c r="E1209" s="8">
        <f>IF(ISNA(MATCH(1196,Engine!$C$2:$C$1369,0)),"",INDEX('Compliance Database'!$E$2:$E$1369,MATCH(1196,Engine!$C$2:$C$1369,0)))</f>
        <v/>
      </c>
      <c r="F1209" s="8">
        <f>IF(ISNA(MATCH(1196,Engine!$C$2:$C$1369,0)),"",INDEX('Compliance Database'!$F$2:$F$1369,MATCH(1196,Engine!$C$2:$C$1369,0)))</f>
        <v/>
      </c>
      <c r="G1209" s="8">
        <f>IF(ISNA(MATCH(1196,Engine!$C$2:$C$1369,0)),"",INDEX('Compliance Database'!$G$2:$G$1369,MATCH(1196,Engine!$C$2:$C$1369,0)))</f>
        <v/>
      </c>
      <c r="H1209" s="9">
        <f>IF(ISNA(MATCH(1196,Engine!$C$2:$C$1369,0)),"",INDEX('Compliance Database'!$H$2:$H$1369,MATCH(1196,Engine!$C$2:$C$1369,0)))</f>
        <v/>
      </c>
      <c r="I1209" s="9">
        <f>IF(ISNA(MATCH(1196,Engine!$C$2:$C$1369,0)),"",INDEX('Compliance Database'!$I$2:$I$1369,MATCH(1196,Engine!$C$2:$C$1369,0)))</f>
        <v/>
      </c>
      <c r="J1209" s="8">
        <f>IF(ISNA(MATCH(1196,Engine!$C$2:$C$1369,0)),"",INDEX('Compliance Database'!$J$2:$J$1369,MATCH(1196,Engine!$C$2:$C$1369,0)))</f>
        <v/>
      </c>
      <c r="K1209" s="9">
        <f>IF(ISNA(MATCH(1196,Engine!$C$2:$C$1369,0)),"",INDEX('Compliance Database'!$K$2:$K$1369,MATCH(1196,Engine!$C$2:$C$1369,0)))</f>
        <v/>
      </c>
      <c r="L1209" s="9">
        <f>IF(ISNA(MATCH(1196,Engine!$C$2:$C$1369,0)),"",INDEX('Compliance Database'!$L$2:$L$1369,MATCH(1196,Engine!$C$2:$C$1369,0)))</f>
        <v/>
      </c>
      <c r="M1209" s="9">
        <f>IF(ISNA(MATCH(1196,Engine!$C$2:$C$1369,0)),"",INDEX('Compliance Database'!$M$2:$M$1369,MATCH(1196,Engine!$C$2:$C$1369,0)))</f>
        <v/>
      </c>
      <c r="N1209" s="9">
        <f>IF(ISNA(MATCH(1196,Engine!$C$2:$C$1369,0)),"",INDEX('Compliance Database'!$N$2:$N$1369,MATCH(1196,Engine!$C$2:$C$1369,0)))</f>
        <v/>
      </c>
      <c r="O1209" s="8">
        <f>IF(ISNA(MATCH(1196,Engine!$C$2:$C$1369,0)),"",HYPERLINK(INDEX('Compliance Database'!$O$2:$O$1369,MATCH(1196,Engine!$C$2:$C$1369,0)),"Open PDF"))</f>
        <v/>
      </c>
    </row>
    <row r="1210" ht="188" customHeight="1">
      <c r="A1210" s="8">
        <f>IF(ISNA(MATCH(1197,Engine!$C$2:$C$1369,0)),"",INDEX('Compliance Database'!$A$2:$A$1369,MATCH(1197,Engine!$C$2:$C$1369,0)))</f>
        <v/>
      </c>
      <c r="B1210" s="8">
        <f>IF(ISNA(MATCH(1197,Engine!$C$2:$C$1369,0)),"",INDEX('Compliance Database'!$B$2:$B$1369,MATCH(1197,Engine!$C$2:$C$1369,0)))</f>
        <v/>
      </c>
      <c r="C1210" s="8">
        <f>IF(ISNA(MATCH(1197,Engine!$C$2:$C$1369,0)),"",INDEX('Compliance Database'!$C$2:$C$1369,MATCH(1197,Engine!$C$2:$C$1369,0)))</f>
        <v/>
      </c>
      <c r="D1210" s="9">
        <f>IF(ISNA(MATCH(1197,Engine!$C$2:$C$1369,0)),"",INDEX('Compliance Database'!$D$2:$D$1369,MATCH(1197,Engine!$C$2:$C$1369,0)))</f>
        <v/>
      </c>
      <c r="E1210" s="8">
        <f>IF(ISNA(MATCH(1197,Engine!$C$2:$C$1369,0)),"",INDEX('Compliance Database'!$E$2:$E$1369,MATCH(1197,Engine!$C$2:$C$1369,0)))</f>
        <v/>
      </c>
      <c r="F1210" s="8">
        <f>IF(ISNA(MATCH(1197,Engine!$C$2:$C$1369,0)),"",INDEX('Compliance Database'!$F$2:$F$1369,MATCH(1197,Engine!$C$2:$C$1369,0)))</f>
        <v/>
      </c>
      <c r="G1210" s="8">
        <f>IF(ISNA(MATCH(1197,Engine!$C$2:$C$1369,0)),"",INDEX('Compliance Database'!$G$2:$G$1369,MATCH(1197,Engine!$C$2:$C$1369,0)))</f>
        <v/>
      </c>
      <c r="H1210" s="9">
        <f>IF(ISNA(MATCH(1197,Engine!$C$2:$C$1369,0)),"",INDEX('Compliance Database'!$H$2:$H$1369,MATCH(1197,Engine!$C$2:$C$1369,0)))</f>
        <v/>
      </c>
      <c r="I1210" s="9">
        <f>IF(ISNA(MATCH(1197,Engine!$C$2:$C$1369,0)),"",INDEX('Compliance Database'!$I$2:$I$1369,MATCH(1197,Engine!$C$2:$C$1369,0)))</f>
        <v/>
      </c>
      <c r="J1210" s="8">
        <f>IF(ISNA(MATCH(1197,Engine!$C$2:$C$1369,0)),"",INDEX('Compliance Database'!$J$2:$J$1369,MATCH(1197,Engine!$C$2:$C$1369,0)))</f>
        <v/>
      </c>
      <c r="K1210" s="9">
        <f>IF(ISNA(MATCH(1197,Engine!$C$2:$C$1369,0)),"",INDEX('Compliance Database'!$K$2:$K$1369,MATCH(1197,Engine!$C$2:$C$1369,0)))</f>
        <v/>
      </c>
      <c r="L1210" s="9">
        <f>IF(ISNA(MATCH(1197,Engine!$C$2:$C$1369,0)),"",INDEX('Compliance Database'!$L$2:$L$1369,MATCH(1197,Engine!$C$2:$C$1369,0)))</f>
        <v/>
      </c>
      <c r="M1210" s="9">
        <f>IF(ISNA(MATCH(1197,Engine!$C$2:$C$1369,0)),"",INDEX('Compliance Database'!$M$2:$M$1369,MATCH(1197,Engine!$C$2:$C$1369,0)))</f>
        <v/>
      </c>
      <c r="N1210" s="9">
        <f>IF(ISNA(MATCH(1197,Engine!$C$2:$C$1369,0)),"",INDEX('Compliance Database'!$N$2:$N$1369,MATCH(1197,Engine!$C$2:$C$1369,0)))</f>
        <v/>
      </c>
      <c r="O1210" s="8">
        <f>IF(ISNA(MATCH(1197,Engine!$C$2:$C$1369,0)),"",HYPERLINK(INDEX('Compliance Database'!$O$2:$O$1369,MATCH(1197,Engine!$C$2:$C$1369,0)),"Open PDF"))</f>
        <v/>
      </c>
    </row>
    <row r="1211" ht="188" customHeight="1">
      <c r="A1211" s="8">
        <f>IF(ISNA(MATCH(1198,Engine!$C$2:$C$1369,0)),"",INDEX('Compliance Database'!$A$2:$A$1369,MATCH(1198,Engine!$C$2:$C$1369,0)))</f>
        <v/>
      </c>
      <c r="B1211" s="8">
        <f>IF(ISNA(MATCH(1198,Engine!$C$2:$C$1369,0)),"",INDEX('Compliance Database'!$B$2:$B$1369,MATCH(1198,Engine!$C$2:$C$1369,0)))</f>
        <v/>
      </c>
      <c r="C1211" s="8">
        <f>IF(ISNA(MATCH(1198,Engine!$C$2:$C$1369,0)),"",INDEX('Compliance Database'!$C$2:$C$1369,MATCH(1198,Engine!$C$2:$C$1369,0)))</f>
        <v/>
      </c>
      <c r="D1211" s="9">
        <f>IF(ISNA(MATCH(1198,Engine!$C$2:$C$1369,0)),"",INDEX('Compliance Database'!$D$2:$D$1369,MATCH(1198,Engine!$C$2:$C$1369,0)))</f>
        <v/>
      </c>
      <c r="E1211" s="8">
        <f>IF(ISNA(MATCH(1198,Engine!$C$2:$C$1369,0)),"",INDEX('Compliance Database'!$E$2:$E$1369,MATCH(1198,Engine!$C$2:$C$1369,0)))</f>
        <v/>
      </c>
      <c r="F1211" s="8">
        <f>IF(ISNA(MATCH(1198,Engine!$C$2:$C$1369,0)),"",INDEX('Compliance Database'!$F$2:$F$1369,MATCH(1198,Engine!$C$2:$C$1369,0)))</f>
        <v/>
      </c>
      <c r="G1211" s="8">
        <f>IF(ISNA(MATCH(1198,Engine!$C$2:$C$1369,0)),"",INDEX('Compliance Database'!$G$2:$G$1369,MATCH(1198,Engine!$C$2:$C$1369,0)))</f>
        <v/>
      </c>
      <c r="H1211" s="9">
        <f>IF(ISNA(MATCH(1198,Engine!$C$2:$C$1369,0)),"",INDEX('Compliance Database'!$H$2:$H$1369,MATCH(1198,Engine!$C$2:$C$1369,0)))</f>
        <v/>
      </c>
      <c r="I1211" s="9">
        <f>IF(ISNA(MATCH(1198,Engine!$C$2:$C$1369,0)),"",INDEX('Compliance Database'!$I$2:$I$1369,MATCH(1198,Engine!$C$2:$C$1369,0)))</f>
        <v/>
      </c>
      <c r="J1211" s="8">
        <f>IF(ISNA(MATCH(1198,Engine!$C$2:$C$1369,0)),"",INDEX('Compliance Database'!$J$2:$J$1369,MATCH(1198,Engine!$C$2:$C$1369,0)))</f>
        <v/>
      </c>
      <c r="K1211" s="9">
        <f>IF(ISNA(MATCH(1198,Engine!$C$2:$C$1369,0)),"",INDEX('Compliance Database'!$K$2:$K$1369,MATCH(1198,Engine!$C$2:$C$1369,0)))</f>
        <v/>
      </c>
      <c r="L1211" s="9">
        <f>IF(ISNA(MATCH(1198,Engine!$C$2:$C$1369,0)),"",INDEX('Compliance Database'!$L$2:$L$1369,MATCH(1198,Engine!$C$2:$C$1369,0)))</f>
        <v/>
      </c>
      <c r="M1211" s="9">
        <f>IF(ISNA(MATCH(1198,Engine!$C$2:$C$1369,0)),"",INDEX('Compliance Database'!$M$2:$M$1369,MATCH(1198,Engine!$C$2:$C$1369,0)))</f>
        <v/>
      </c>
      <c r="N1211" s="9">
        <f>IF(ISNA(MATCH(1198,Engine!$C$2:$C$1369,0)),"",INDEX('Compliance Database'!$N$2:$N$1369,MATCH(1198,Engine!$C$2:$C$1369,0)))</f>
        <v/>
      </c>
      <c r="O1211" s="8">
        <f>IF(ISNA(MATCH(1198,Engine!$C$2:$C$1369,0)),"",HYPERLINK(INDEX('Compliance Database'!$O$2:$O$1369,MATCH(1198,Engine!$C$2:$C$1369,0)),"Open PDF"))</f>
        <v/>
      </c>
    </row>
    <row r="1212" ht="188" customHeight="1">
      <c r="A1212" s="8">
        <f>IF(ISNA(MATCH(1199,Engine!$C$2:$C$1369,0)),"",INDEX('Compliance Database'!$A$2:$A$1369,MATCH(1199,Engine!$C$2:$C$1369,0)))</f>
        <v/>
      </c>
      <c r="B1212" s="8">
        <f>IF(ISNA(MATCH(1199,Engine!$C$2:$C$1369,0)),"",INDEX('Compliance Database'!$B$2:$B$1369,MATCH(1199,Engine!$C$2:$C$1369,0)))</f>
        <v/>
      </c>
      <c r="C1212" s="8">
        <f>IF(ISNA(MATCH(1199,Engine!$C$2:$C$1369,0)),"",INDEX('Compliance Database'!$C$2:$C$1369,MATCH(1199,Engine!$C$2:$C$1369,0)))</f>
        <v/>
      </c>
      <c r="D1212" s="9">
        <f>IF(ISNA(MATCH(1199,Engine!$C$2:$C$1369,0)),"",INDEX('Compliance Database'!$D$2:$D$1369,MATCH(1199,Engine!$C$2:$C$1369,0)))</f>
        <v/>
      </c>
      <c r="E1212" s="8">
        <f>IF(ISNA(MATCH(1199,Engine!$C$2:$C$1369,0)),"",INDEX('Compliance Database'!$E$2:$E$1369,MATCH(1199,Engine!$C$2:$C$1369,0)))</f>
        <v/>
      </c>
      <c r="F1212" s="8">
        <f>IF(ISNA(MATCH(1199,Engine!$C$2:$C$1369,0)),"",INDEX('Compliance Database'!$F$2:$F$1369,MATCH(1199,Engine!$C$2:$C$1369,0)))</f>
        <v/>
      </c>
      <c r="G1212" s="8">
        <f>IF(ISNA(MATCH(1199,Engine!$C$2:$C$1369,0)),"",INDEX('Compliance Database'!$G$2:$G$1369,MATCH(1199,Engine!$C$2:$C$1369,0)))</f>
        <v/>
      </c>
      <c r="H1212" s="9">
        <f>IF(ISNA(MATCH(1199,Engine!$C$2:$C$1369,0)),"",INDEX('Compliance Database'!$H$2:$H$1369,MATCH(1199,Engine!$C$2:$C$1369,0)))</f>
        <v/>
      </c>
      <c r="I1212" s="9">
        <f>IF(ISNA(MATCH(1199,Engine!$C$2:$C$1369,0)),"",INDEX('Compliance Database'!$I$2:$I$1369,MATCH(1199,Engine!$C$2:$C$1369,0)))</f>
        <v/>
      </c>
      <c r="J1212" s="8">
        <f>IF(ISNA(MATCH(1199,Engine!$C$2:$C$1369,0)),"",INDEX('Compliance Database'!$J$2:$J$1369,MATCH(1199,Engine!$C$2:$C$1369,0)))</f>
        <v/>
      </c>
      <c r="K1212" s="9">
        <f>IF(ISNA(MATCH(1199,Engine!$C$2:$C$1369,0)),"",INDEX('Compliance Database'!$K$2:$K$1369,MATCH(1199,Engine!$C$2:$C$1369,0)))</f>
        <v/>
      </c>
      <c r="L1212" s="9">
        <f>IF(ISNA(MATCH(1199,Engine!$C$2:$C$1369,0)),"",INDEX('Compliance Database'!$L$2:$L$1369,MATCH(1199,Engine!$C$2:$C$1369,0)))</f>
        <v/>
      </c>
      <c r="M1212" s="9">
        <f>IF(ISNA(MATCH(1199,Engine!$C$2:$C$1369,0)),"",INDEX('Compliance Database'!$M$2:$M$1369,MATCH(1199,Engine!$C$2:$C$1369,0)))</f>
        <v/>
      </c>
      <c r="N1212" s="9">
        <f>IF(ISNA(MATCH(1199,Engine!$C$2:$C$1369,0)),"",INDEX('Compliance Database'!$N$2:$N$1369,MATCH(1199,Engine!$C$2:$C$1369,0)))</f>
        <v/>
      </c>
      <c r="O1212" s="8">
        <f>IF(ISNA(MATCH(1199,Engine!$C$2:$C$1369,0)),"",HYPERLINK(INDEX('Compliance Database'!$O$2:$O$1369,MATCH(1199,Engine!$C$2:$C$1369,0)),"Open PDF"))</f>
        <v/>
      </c>
    </row>
    <row r="1213" ht="188" customHeight="1">
      <c r="A1213" s="8">
        <f>IF(ISNA(MATCH(1200,Engine!$C$2:$C$1369,0)),"",INDEX('Compliance Database'!$A$2:$A$1369,MATCH(1200,Engine!$C$2:$C$1369,0)))</f>
        <v/>
      </c>
      <c r="B1213" s="8">
        <f>IF(ISNA(MATCH(1200,Engine!$C$2:$C$1369,0)),"",INDEX('Compliance Database'!$B$2:$B$1369,MATCH(1200,Engine!$C$2:$C$1369,0)))</f>
        <v/>
      </c>
      <c r="C1213" s="8">
        <f>IF(ISNA(MATCH(1200,Engine!$C$2:$C$1369,0)),"",INDEX('Compliance Database'!$C$2:$C$1369,MATCH(1200,Engine!$C$2:$C$1369,0)))</f>
        <v/>
      </c>
      <c r="D1213" s="9">
        <f>IF(ISNA(MATCH(1200,Engine!$C$2:$C$1369,0)),"",INDEX('Compliance Database'!$D$2:$D$1369,MATCH(1200,Engine!$C$2:$C$1369,0)))</f>
        <v/>
      </c>
      <c r="E1213" s="8">
        <f>IF(ISNA(MATCH(1200,Engine!$C$2:$C$1369,0)),"",INDEX('Compliance Database'!$E$2:$E$1369,MATCH(1200,Engine!$C$2:$C$1369,0)))</f>
        <v/>
      </c>
      <c r="F1213" s="8">
        <f>IF(ISNA(MATCH(1200,Engine!$C$2:$C$1369,0)),"",INDEX('Compliance Database'!$F$2:$F$1369,MATCH(1200,Engine!$C$2:$C$1369,0)))</f>
        <v/>
      </c>
      <c r="G1213" s="8">
        <f>IF(ISNA(MATCH(1200,Engine!$C$2:$C$1369,0)),"",INDEX('Compliance Database'!$G$2:$G$1369,MATCH(1200,Engine!$C$2:$C$1369,0)))</f>
        <v/>
      </c>
      <c r="H1213" s="9">
        <f>IF(ISNA(MATCH(1200,Engine!$C$2:$C$1369,0)),"",INDEX('Compliance Database'!$H$2:$H$1369,MATCH(1200,Engine!$C$2:$C$1369,0)))</f>
        <v/>
      </c>
      <c r="I1213" s="9">
        <f>IF(ISNA(MATCH(1200,Engine!$C$2:$C$1369,0)),"",INDEX('Compliance Database'!$I$2:$I$1369,MATCH(1200,Engine!$C$2:$C$1369,0)))</f>
        <v/>
      </c>
      <c r="J1213" s="8">
        <f>IF(ISNA(MATCH(1200,Engine!$C$2:$C$1369,0)),"",INDEX('Compliance Database'!$J$2:$J$1369,MATCH(1200,Engine!$C$2:$C$1369,0)))</f>
        <v/>
      </c>
      <c r="K1213" s="9">
        <f>IF(ISNA(MATCH(1200,Engine!$C$2:$C$1369,0)),"",INDEX('Compliance Database'!$K$2:$K$1369,MATCH(1200,Engine!$C$2:$C$1369,0)))</f>
        <v/>
      </c>
      <c r="L1213" s="9">
        <f>IF(ISNA(MATCH(1200,Engine!$C$2:$C$1369,0)),"",INDEX('Compliance Database'!$L$2:$L$1369,MATCH(1200,Engine!$C$2:$C$1369,0)))</f>
        <v/>
      </c>
      <c r="M1213" s="9">
        <f>IF(ISNA(MATCH(1200,Engine!$C$2:$C$1369,0)),"",INDEX('Compliance Database'!$M$2:$M$1369,MATCH(1200,Engine!$C$2:$C$1369,0)))</f>
        <v/>
      </c>
      <c r="N1213" s="9">
        <f>IF(ISNA(MATCH(1200,Engine!$C$2:$C$1369,0)),"",INDEX('Compliance Database'!$N$2:$N$1369,MATCH(1200,Engine!$C$2:$C$1369,0)))</f>
        <v/>
      </c>
      <c r="O1213" s="8">
        <f>IF(ISNA(MATCH(1200,Engine!$C$2:$C$1369,0)),"",HYPERLINK(INDEX('Compliance Database'!$O$2:$O$1369,MATCH(1200,Engine!$C$2:$C$1369,0)),"Open PDF"))</f>
        <v/>
      </c>
    </row>
    <row r="1214" ht="188" customHeight="1">
      <c r="A1214" s="8">
        <f>IF(ISNA(MATCH(1201,Engine!$C$2:$C$1369,0)),"",INDEX('Compliance Database'!$A$2:$A$1369,MATCH(1201,Engine!$C$2:$C$1369,0)))</f>
        <v/>
      </c>
      <c r="B1214" s="8">
        <f>IF(ISNA(MATCH(1201,Engine!$C$2:$C$1369,0)),"",INDEX('Compliance Database'!$B$2:$B$1369,MATCH(1201,Engine!$C$2:$C$1369,0)))</f>
        <v/>
      </c>
      <c r="C1214" s="8">
        <f>IF(ISNA(MATCH(1201,Engine!$C$2:$C$1369,0)),"",INDEX('Compliance Database'!$C$2:$C$1369,MATCH(1201,Engine!$C$2:$C$1369,0)))</f>
        <v/>
      </c>
      <c r="D1214" s="9">
        <f>IF(ISNA(MATCH(1201,Engine!$C$2:$C$1369,0)),"",INDEX('Compliance Database'!$D$2:$D$1369,MATCH(1201,Engine!$C$2:$C$1369,0)))</f>
        <v/>
      </c>
      <c r="E1214" s="8">
        <f>IF(ISNA(MATCH(1201,Engine!$C$2:$C$1369,0)),"",INDEX('Compliance Database'!$E$2:$E$1369,MATCH(1201,Engine!$C$2:$C$1369,0)))</f>
        <v/>
      </c>
      <c r="F1214" s="8">
        <f>IF(ISNA(MATCH(1201,Engine!$C$2:$C$1369,0)),"",INDEX('Compliance Database'!$F$2:$F$1369,MATCH(1201,Engine!$C$2:$C$1369,0)))</f>
        <v/>
      </c>
      <c r="G1214" s="8">
        <f>IF(ISNA(MATCH(1201,Engine!$C$2:$C$1369,0)),"",INDEX('Compliance Database'!$G$2:$G$1369,MATCH(1201,Engine!$C$2:$C$1369,0)))</f>
        <v/>
      </c>
      <c r="H1214" s="9">
        <f>IF(ISNA(MATCH(1201,Engine!$C$2:$C$1369,0)),"",INDEX('Compliance Database'!$H$2:$H$1369,MATCH(1201,Engine!$C$2:$C$1369,0)))</f>
        <v/>
      </c>
      <c r="I1214" s="9">
        <f>IF(ISNA(MATCH(1201,Engine!$C$2:$C$1369,0)),"",INDEX('Compliance Database'!$I$2:$I$1369,MATCH(1201,Engine!$C$2:$C$1369,0)))</f>
        <v/>
      </c>
      <c r="J1214" s="8">
        <f>IF(ISNA(MATCH(1201,Engine!$C$2:$C$1369,0)),"",INDEX('Compliance Database'!$J$2:$J$1369,MATCH(1201,Engine!$C$2:$C$1369,0)))</f>
        <v/>
      </c>
      <c r="K1214" s="9">
        <f>IF(ISNA(MATCH(1201,Engine!$C$2:$C$1369,0)),"",INDEX('Compliance Database'!$K$2:$K$1369,MATCH(1201,Engine!$C$2:$C$1369,0)))</f>
        <v/>
      </c>
      <c r="L1214" s="9">
        <f>IF(ISNA(MATCH(1201,Engine!$C$2:$C$1369,0)),"",INDEX('Compliance Database'!$L$2:$L$1369,MATCH(1201,Engine!$C$2:$C$1369,0)))</f>
        <v/>
      </c>
      <c r="M1214" s="9">
        <f>IF(ISNA(MATCH(1201,Engine!$C$2:$C$1369,0)),"",INDEX('Compliance Database'!$M$2:$M$1369,MATCH(1201,Engine!$C$2:$C$1369,0)))</f>
        <v/>
      </c>
      <c r="N1214" s="9">
        <f>IF(ISNA(MATCH(1201,Engine!$C$2:$C$1369,0)),"",INDEX('Compliance Database'!$N$2:$N$1369,MATCH(1201,Engine!$C$2:$C$1369,0)))</f>
        <v/>
      </c>
      <c r="O1214" s="8">
        <f>IF(ISNA(MATCH(1201,Engine!$C$2:$C$1369,0)),"",HYPERLINK(INDEX('Compliance Database'!$O$2:$O$1369,MATCH(1201,Engine!$C$2:$C$1369,0)),"Open PDF"))</f>
        <v/>
      </c>
    </row>
    <row r="1215" ht="188" customHeight="1">
      <c r="A1215" s="8">
        <f>IF(ISNA(MATCH(1202,Engine!$C$2:$C$1369,0)),"",INDEX('Compliance Database'!$A$2:$A$1369,MATCH(1202,Engine!$C$2:$C$1369,0)))</f>
        <v/>
      </c>
      <c r="B1215" s="8">
        <f>IF(ISNA(MATCH(1202,Engine!$C$2:$C$1369,0)),"",INDEX('Compliance Database'!$B$2:$B$1369,MATCH(1202,Engine!$C$2:$C$1369,0)))</f>
        <v/>
      </c>
      <c r="C1215" s="8">
        <f>IF(ISNA(MATCH(1202,Engine!$C$2:$C$1369,0)),"",INDEX('Compliance Database'!$C$2:$C$1369,MATCH(1202,Engine!$C$2:$C$1369,0)))</f>
        <v/>
      </c>
      <c r="D1215" s="9">
        <f>IF(ISNA(MATCH(1202,Engine!$C$2:$C$1369,0)),"",INDEX('Compliance Database'!$D$2:$D$1369,MATCH(1202,Engine!$C$2:$C$1369,0)))</f>
        <v/>
      </c>
      <c r="E1215" s="8">
        <f>IF(ISNA(MATCH(1202,Engine!$C$2:$C$1369,0)),"",INDEX('Compliance Database'!$E$2:$E$1369,MATCH(1202,Engine!$C$2:$C$1369,0)))</f>
        <v/>
      </c>
      <c r="F1215" s="8">
        <f>IF(ISNA(MATCH(1202,Engine!$C$2:$C$1369,0)),"",INDEX('Compliance Database'!$F$2:$F$1369,MATCH(1202,Engine!$C$2:$C$1369,0)))</f>
        <v/>
      </c>
      <c r="G1215" s="8">
        <f>IF(ISNA(MATCH(1202,Engine!$C$2:$C$1369,0)),"",INDEX('Compliance Database'!$G$2:$G$1369,MATCH(1202,Engine!$C$2:$C$1369,0)))</f>
        <v/>
      </c>
      <c r="H1215" s="9">
        <f>IF(ISNA(MATCH(1202,Engine!$C$2:$C$1369,0)),"",INDEX('Compliance Database'!$H$2:$H$1369,MATCH(1202,Engine!$C$2:$C$1369,0)))</f>
        <v/>
      </c>
      <c r="I1215" s="9">
        <f>IF(ISNA(MATCH(1202,Engine!$C$2:$C$1369,0)),"",INDEX('Compliance Database'!$I$2:$I$1369,MATCH(1202,Engine!$C$2:$C$1369,0)))</f>
        <v/>
      </c>
      <c r="J1215" s="8">
        <f>IF(ISNA(MATCH(1202,Engine!$C$2:$C$1369,0)),"",INDEX('Compliance Database'!$J$2:$J$1369,MATCH(1202,Engine!$C$2:$C$1369,0)))</f>
        <v/>
      </c>
      <c r="K1215" s="9">
        <f>IF(ISNA(MATCH(1202,Engine!$C$2:$C$1369,0)),"",INDEX('Compliance Database'!$K$2:$K$1369,MATCH(1202,Engine!$C$2:$C$1369,0)))</f>
        <v/>
      </c>
      <c r="L1215" s="9">
        <f>IF(ISNA(MATCH(1202,Engine!$C$2:$C$1369,0)),"",INDEX('Compliance Database'!$L$2:$L$1369,MATCH(1202,Engine!$C$2:$C$1369,0)))</f>
        <v/>
      </c>
      <c r="M1215" s="9">
        <f>IF(ISNA(MATCH(1202,Engine!$C$2:$C$1369,0)),"",INDEX('Compliance Database'!$M$2:$M$1369,MATCH(1202,Engine!$C$2:$C$1369,0)))</f>
        <v/>
      </c>
      <c r="N1215" s="9">
        <f>IF(ISNA(MATCH(1202,Engine!$C$2:$C$1369,0)),"",INDEX('Compliance Database'!$N$2:$N$1369,MATCH(1202,Engine!$C$2:$C$1369,0)))</f>
        <v/>
      </c>
      <c r="O1215" s="8">
        <f>IF(ISNA(MATCH(1202,Engine!$C$2:$C$1369,0)),"",HYPERLINK(INDEX('Compliance Database'!$O$2:$O$1369,MATCH(1202,Engine!$C$2:$C$1369,0)),"Open PDF"))</f>
        <v/>
      </c>
    </row>
    <row r="1216" ht="188" customHeight="1">
      <c r="A1216" s="8">
        <f>IF(ISNA(MATCH(1203,Engine!$C$2:$C$1369,0)),"",INDEX('Compliance Database'!$A$2:$A$1369,MATCH(1203,Engine!$C$2:$C$1369,0)))</f>
        <v/>
      </c>
      <c r="B1216" s="8">
        <f>IF(ISNA(MATCH(1203,Engine!$C$2:$C$1369,0)),"",INDEX('Compliance Database'!$B$2:$B$1369,MATCH(1203,Engine!$C$2:$C$1369,0)))</f>
        <v/>
      </c>
      <c r="C1216" s="8">
        <f>IF(ISNA(MATCH(1203,Engine!$C$2:$C$1369,0)),"",INDEX('Compliance Database'!$C$2:$C$1369,MATCH(1203,Engine!$C$2:$C$1369,0)))</f>
        <v/>
      </c>
      <c r="D1216" s="9">
        <f>IF(ISNA(MATCH(1203,Engine!$C$2:$C$1369,0)),"",INDEX('Compliance Database'!$D$2:$D$1369,MATCH(1203,Engine!$C$2:$C$1369,0)))</f>
        <v/>
      </c>
      <c r="E1216" s="8">
        <f>IF(ISNA(MATCH(1203,Engine!$C$2:$C$1369,0)),"",INDEX('Compliance Database'!$E$2:$E$1369,MATCH(1203,Engine!$C$2:$C$1369,0)))</f>
        <v/>
      </c>
      <c r="F1216" s="8">
        <f>IF(ISNA(MATCH(1203,Engine!$C$2:$C$1369,0)),"",INDEX('Compliance Database'!$F$2:$F$1369,MATCH(1203,Engine!$C$2:$C$1369,0)))</f>
        <v/>
      </c>
      <c r="G1216" s="8">
        <f>IF(ISNA(MATCH(1203,Engine!$C$2:$C$1369,0)),"",INDEX('Compliance Database'!$G$2:$G$1369,MATCH(1203,Engine!$C$2:$C$1369,0)))</f>
        <v/>
      </c>
      <c r="H1216" s="9">
        <f>IF(ISNA(MATCH(1203,Engine!$C$2:$C$1369,0)),"",INDEX('Compliance Database'!$H$2:$H$1369,MATCH(1203,Engine!$C$2:$C$1369,0)))</f>
        <v/>
      </c>
      <c r="I1216" s="9">
        <f>IF(ISNA(MATCH(1203,Engine!$C$2:$C$1369,0)),"",INDEX('Compliance Database'!$I$2:$I$1369,MATCH(1203,Engine!$C$2:$C$1369,0)))</f>
        <v/>
      </c>
      <c r="J1216" s="8">
        <f>IF(ISNA(MATCH(1203,Engine!$C$2:$C$1369,0)),"",INDEX('Compliance Database'!$J$2:$J$1369,MATCH(1203,Engine!$C$2:$C$1369,0)))</f>
        <v/>
      </c>
      <c r="K1216" s="9">
        <f>IF(ISNA(MATCH(1203,Engine!$C$2:$C$1369,0)),"",INDEX('Compliance Database'!$K$2:$K$1369,MATCH(1203,Engine!$C$2:$C$1369,0)))</f>
        <v/>
      </c>
      <c r="L1216" s="9">
        <f>IF(ISNA(MATCH(1203,Engine!$C$2:$C$1369,0)),"",INDEX('Compliance Database'!$L$2:$L$1369,MATCH(1203,Engine!$C$2:$C$1369,0)))</f>
        <v/>
      </c>
      <c r="M1216" s="9">
        <f>IF(ISNA(MATCH(1203,Engine!$C$2:$C$1369,0)),"",INDEX('Compliance Database'!$M$2:$M$1369,MATCH(1203,Engine!$C$2:$C$1369,0)))</f>
        <v/>
      </c>
      <c r="N1216" s="9">
        <f>IF(ISNA(MATCH(1203,Engine!$C$2:$C$1369,0)),"",INDEX('Compliance Database'!$N$2:$N$1369,MATCH(1203,Engine!$C$2:$C$1369,0)))</f>
        <v/>
      </c>
      <c r="O1216" s="8">
        <f>IF(ISNA(MATCH(1203,Engine!$C$2:$C$1369,0)),"",HYPERLINK(INDEX('Compliance Database'!$O$2:$O$1369,MATCH(1203,Engine!$C$2:$C$1369,0)),"Open PDF"))</f>
        <v/>
      </c>
    </row>
    <row r="1217" ht="188" customHeight="1">
      <c r="A1217" s="8">
        <f>IF(ISNA(MATCH(1204,Engine!$C$2:$C$1369,0)),"",INDEX('Compliance Database'!$A$2:$A$1369,MATCH(1204,Engine!$C$2:$C$1369,0)))</f>
        <v/>
      </c>
      <c r="B1217" s="8">
        <f>IF(ISNA(MATCH(1204,Engine!$C$2:$C$1369,0)),"",INDEX('Compliance Database'!$B$2:$B$1369,MATCH(1204,Engine!$C$2:$C$1369,0)))</f>
        <v/>
      </c>
      <c r="C1217" s="8">
        <f>IF(ISNA(MATCH(1204,Engine!$C$2:$C$1369,0)),"",INDEX('Compliance Database'!$C$2:$C$1369,MATCH(1204,Engine!$C$2:$C$1369,0)))</f>
        <v/>
      </c>
      <c r="D1217" s="9">
        <f>IF(ISNA(MATCH(1204,Engine!$C$2:$C$1369,0)),"",INDEX('Compliance Database'!$D$2:$D$1369,MATCH(1204,Engine!$C$2:$C$1369,0)))</f>
        <v/>
      </c>
      <c r="E1217" s="8">
        <f>IF(ISNA(MATCH(1204,Engine!$C$2:$C$1369,0)),"",INDEX('Compliance Database'!$E$2:$E$1369,MATCH(1204,Engine!$C$2:$C$1369,0)))</f>
        <v/>
      </c>
      <c r="F1217" s="8">
        <f>IF(ISNA(MATCH(1204,Engine!$C$2:$C$1369,0)),"",INDEX('Compliance Database'!$F$2:$F$1369,MATCH(1204,Engine!$C$2:$C$1369,0)))</f>
        <v/>
      </c>
      <c r="G1217" s="8">
        <f>IF(ISNA(MATCH(1204,Engine!$C$2:$C$1369,0)),"",INDEX('Compliance Database'!$G$2:$G$1369,MATCH(1204,Engine!$C$2:$C$1369,0)))</f>
        <v/>
      </c>
      <c r="H1217" s="9">
        <f>IF(ISNA(MATCH(1204,Engine!$C$2:$C$1369,0)),"",INDEX('Compliance Database'!$H$2:$H$1369,MATCH(1204,Engine!$C$2:$C$1369,0)))</f>
        <v/>
      </c>
      <c r="I1217" s="9">
        <f>IF(ISNA(MATCH(1204,Engine!$C$2:$C$1369,0)),"",INDEX('Compliance Database'!$I$2:$I$1369,MATCH(1204,Engine!$C$2:$C$1369,0)))</f>
        <v/>
      </c>
      <c r="J1217" s="8">
        <f>IF(ISNA(MATCH(1204,Engine!$C$2:$C$1369,0)),"",INDEX('Compliance Database'!$J$2:$J$1369,MATCH(1204,Engine!$C$2:$C$1369,0)))</f>
        <v/>
      </c>
      <c r="K1217" s="9">
        <f>IF(ISNA(MATCH(1204,Engine!$C$2:$C$1369,0)),"",INDEX('Compliance Database'!$K$2:$K$1369,MATCH(1204,Engine!$C$2:$C$1369,0)))</f>
        <v/>
      </c>
      <c r="L1217" s="9">
        <f>IF(ISNA(MATCH(1204,Engine!$C$2:$C$1369,0)),"",INDEX('Compliance Database'!$L$2:$L$1369,MATCH(1204,Engine!$C$2:$C$1369,0)))</f>
        <v/>
      </c>
      <c r="M1217" s="9">
        <f>IF(ISNA(MATCH(1204,Engine!$C$2:$C$1369,0)),"",INDEX('Compliance Database'!$M$2:$M$1369,MATCH(1204,Engine!$C$2:$C$1369,0)))</f>
        <v/>
      </c>
      <c r="N1217" s="9">
        <f>IF(ISNA(MATCH(1204,Engine!$C$2:$C$1369,0)),"",INDEX('Compliance Database'!$N$2:$N$1369,MATCH(1204,Engine!$C$2:$C$1369,0)))</f>
        <v/>
      </c>
      <c r="O1217" s="8">
        <f>IF(ISNA(MATCH(1204,Engine!$C$2:$C$1369,0)),"",HYPERLINK(INDEX('Compliance Database'!$O$2:$O$1369,MATCH(1204,Engine!$C$2:$C$1369,0)),"Open PDF"))</f>
        <v/>
      </c>
    </row>
    <row r="1218" ht="188" customHeight="1">
      <c r="A1218" s="8">
        <f>IF(ISNA(MATCH(1205,Engine!$C$2:$C$1369,0)),"",INDEX('Compliance Database'!$A$2:$A$1369,MATCH(1205,Engine!$C$2:$C$1369,0)))</f>
        <v/>
      </c>
      <c r="B1218" s="8">
        <f>IF(ISNA(MATCH(1205,Engine!$C$2:$C$1369,0)),"",INDEX('Compliance Database'!$B$2:$B$1369,MATCH(1205,Engine!$C$2:$C$1369,0)))</f>
        <v/>
      </c>
      <c r="C1218" s="8">
        <f>IF(ISNA(MATCH(1205,Engine!$C$2:$C$1369,0)),"",INDEX('Compliance Database'!$C$2:$C$1369,MATCH(1205,Engine!$C$2:$C$1369,0)))</f>
        <v/>
      </c>
      <c r="D1218" s="9">
        <f>IF(ISNA(MATCH(1205,Engine!$C$2:$C$1369,0)),"",INDEX('Compliance Database'!$D$2:$D$1369,MATCH(1205,Engine!$C$2:$C$1369,0)))</f>
        <v/>
      </c>
      <c r="E1218" s="8">
        <f>IF(ISNA(MATCH(1205,Engine!$C$2:$C$1369,0)),"",INDEX('Compliance Database'!$E$2:$E$1369,MATCH(1205,Engine!$C$2:$C$1369,0)))</f>
        <v/>
      </c>
      <c r="F1218" s="8">
        <f>IF(ISNA(MATCH(1205,Engine!$C$2:$C$1369,0)),"",INDEX('Compliance Database'!$F$2:$F$1369,MATCH(1205,Engine!$C$2:$C$1369,0)))</f>
        <v/>
      </c>
      <c r="G1218" s="8">
        <f>IF(ISNA(MATCH(1205,Engine!$C$2:$C$1369,0)),"",INDEX('Compliance Database'!$G$2:$G$1369,MATCH(1205,Engine!$C$2:$C$1369,0)))</f>
        <v/>
      </c>
      <c r="H1218" s="9">
        <f>IF(ISNA(MATCH(1205,Engine!$C$2:$C$1369,0)),"",INDEX('Compliance Database'!$H$2:$H$1369,MATCH(1205,Engine!$C$2:$C$1369,0)))</f>
        <v/>
      </c>
      <c r="I1218" s="9">
        <f>IF(ISNA(MATCH(1205,Engine!$C$2:$C$1369,0)),"",INDEX('Compliance Database'!$I$2:$I$1369,MATCH(1205,Engine!$C$2:$C$1369,0)))</f>
        <v/>
      </c>
      <c r="J1218" s="8">
        <f>IF(ISNA(MATCH(1205,Engine!$C$2:$C$1369,0)),"",INDEX('Compliance Database'!$J$2:$J$1369,MATCH(1205,Engine!$C$2:$C$1369,0)))</f>
        <v/>
      </c>
      <c r="K1218" s="9">
        <f>IF(ISNA(MATCH(1205,Engine!$C$2:$C$1369,0)),"",INDEX('Compliance Database'!$K$2:$K$1369,MATCH(1205,Engine!$C$2:$C$1369,0)))</f>
        <v/>
      </c>
      <c r="L1218" s="9">
        <f>IF(ISNA(MATCH(1205,Engine!$C$2:$C$1369,0)),"",INDEX('Compliance Database'!$L$2:$L$1369,MATCH(1205,Engine!$C$2:$C$1369,0)))</f>
        <v/>
      </c>
      <c r="M1218" s="9">
        <f>IF(ISNA(MATCH(1205,Engine!$C$2:$C$1369,0)),"",INDEX('Compliance Database'!$M$2:$M$1369,MATCH(1205,Engine!$C$2:$C$1369,0)))</f>
        <v/>
      </c>
      <c r="N1218" s="9">
        <f>IF(ISNA(MATCH(1205,Engine!$C$2:$C$1369,0)),"",INDEX('Compliance Database'!$N$2:$N$1369,MATCH(1205,Engine!$C$2:$C$1369,0)))</f>
        <v/>
      </c>
      <c r="O1218" s="8">
        <f>IF(ISNA(MATCH(1205,Engine!$C$2:$C$1369,0)),"",HYPERLINK(INDEX('Compliance Database'!$O$2:$O$1369,MATCH(1205,Engine!$C$2:$C$1369,0)),"Open PDF"))</f>
        <v/>
      </c>
    </row>
    <row r="1219" ht="188" customHeight="1">
      <c r="A1219" s="8">
        <f>IF(ISNA(MATCH(1206,Engine!$C$2:$C$1369,0)),"",INDEX('Compliance Database'!$A$2:$A$1369,MATCH(1206,Engine!$C$2:$C$1369,0)))</f>
        <v/>
      </c>
      <c r="B1219" s="8">
        <f>IF(ISNA(MATCH(1206,Engine!$C$2:$C$1369,0)),"",INDEX('Compliance Database'!$B$2:$B$1369,MATCH(1206,Engine!$C$2:$C$1369,0)))</f>
        <v/>
      </c>
      <c r="C1219" s="8">
        <f>IF(ISNA(MATCH(1206,Engine!$C$2:$C$1369,0)),"",INDEX('Compliance Database'!$C$2:$C$1369,MATCH(1206,Engine!$C$2:$C$1369,0)))</f>
        <v/>
      </c>
      <c r="D1219" s="9">
        <f>IF(ISNA(MATCH(1206,Engine!$C$2:$C$1369,0)),"",INDEX('Compliance Database'!$D$2:$D$1369,MATCH(1206,Engine!$C$2:$C$1369,0)))</f>
        <v/>
      </c>
      <c r="E1219" s="8">
        <f>IF(ISNA(MATCH(1206,Engine!$C$2:$C$1369,0)),"",INDEX('Compliance Database'!$E$2:$E$1369,MATCH(1206,Engine!$C$2:$C$1369,0)))</f>
        <v/>
      </c>
      <c r="F1219" s="8">
        <f>IF(ISNA(MATCH(1206,Engine!$C$2:$C$1369,0)),"",INDEX('Compliance Database'!$F$2:$F$1369,MATCH(1206,Engine!$C$2:$C$1369,0)))</f>
        <v/>
      </c>
      <c r="G1219" s="8">
        <f>IF(ISNA(MATCH(1206,Engine!$C$2:$C$1369,0)),"",INDEX('Compliance Database'!$G$2:$G$1369,MATCH(1206,Engine!$C$2:$C$1369,0)))</f>
        <v/>
      </c>
      <c r="H1219" s="9">
        <f>IF(ISNA(MATCH(1206,Engine!$C$2:$C$1369,0)),"",INDEX('Compliance Database'!$H$2:$H$1369,MATCH(1206,Engine!$C$2:$C$1369,0)))</f>
        <v/>
      </c>
      <c r="I1219" s="9">
        <f>IF(ISNA(MATCH(1206,Engine!$C$2:$C$1369,0)),"",INDEX('Compliance Database'!$I$2:$I$1369,MATCH(1206,Engine!$C$2:$C$1369,0)))</f>
        <v/>
      </c>
      <c r="J1219" s="8">
        <f>IF(ISNA(MATCH(1206,Engine!$C$2:$C$1369,0)),"",INDEX('Compliance Database'!$J$2:$J$1369,MATCH(1206,Engine!$C$2:$C$1369,0)))</f>
        <v/>
      </c>
      <c r="K1219" s="9">
        <f>IF(ISNA(MATCH(1206,Engine!$C$2:$C$1369,0)),"",INDEX('Compliance Database'!$K$2:$K$1369,MATCH(1206,Engine!$C$2:$C$1369,0)))</f>
        <v/>
      </c>
      <c r="L1219" s="9">
        <f>IF(ISNA(MATCH(1206,Engine!$C$2:$C$1369,0)),"",INDEX('Compliance Database'!$L$2:$L$1369,MATCH(1206,Engine!$C$2:$C$1369,0)))</f>
        <v/>
      </c>
      <c r="M1219" s="9">
        <f>IF(ISNA(MATCH(1206,Engine!$C$2:$C$1369,0)),"",INDEX('Compliance Database'!$M$2:$M$1369,MATCH(1206,Engine!$C$2:$C$1369,0)))</f>
        <v/>
      </c>
      <c r="N1219" s="9">
        <f>IF(ISNA(MATCH(1206,Engine!$C$2:$C$1369,0)),"",INDEX('Compliance Database'!$N$2:$N$1369,MATCH(1206,Engine!$C$2:$C$1369,0)))</f>
        <v/>
      </c>
      <c r="O1219" s="8">
        <f>IF(ISNA(MATCH(1206,Engine!$C$2:$C$1369,0)),"",HYPERLINK(INDEX('Compliance Database'!$O$2:$O$1369,MATCH(1206,Engine!$C$2:$C$1369,0)),"Open PDF"))</f>
        <v/>
      </c>
    </row>
    <row r="1220" ht="188" customHeight="1">
      <c r="A1220" s="8">
        <f>IF(ISNA(MATCH(1207,Engine!$C$2:$C$1369,0)),"",INDEX('Compliance Database'!$A$2:$A$1369,MATCH(1207,Engine!$C$2:$C$1369,0)))</f>
        <v/>
      </c>
      <c r="B1220" s="8">
        <f>IF(ISNA(MATCH(1207,Engine!$C$2:$C$1369,0)),"",INDEX('Compliance Database'!$B$2:$B$1369,MATCH(1207,Engine!$C$2:$C$1369,0)))</f>
        <v/>
      </c>
      <c r="C1220" s="8">
        <f>IF(ISNA(MATCH(1207,Engine!$C$2:$C$1369,0)),"",INDEX('Compliance Database'!$C$2:$C$1369,MATCH(1207,Engine!$C$2:$C$1369,0)))</f>
        <v/>
      </c>
      <c r="D1220" s="9">
        <f>IF(ISNA(MATCH(1207,Engine!$C$2:$C$1369,0)),"",INDEX('Compliance Database'!$D$2:$D$1369,MATCH(1207,Engine!$C$2:$C$1369,0)))</f>
        <v/>
      </c>
      <c r="E1220" s="8">
        <f>IF(ISNA(MATCH(1207,Engine!$C$2:$C$1369,0)),"",INDEX('Compliance Database'!$E$2:$E$1369,MATCH(1207,Engine!$C$2:$C$1369,0)))</f>
        <v/>
      </c>
      <c r="F1220" s="8">
        <f>IF(ISNA(MATCH(1207,Engine!$C$2:$C$1369,0)),"",INDEX('Compliance Database'!$F$2:$F$1369,MATCH(1207,Engine!$C$2:$C$1369,0)))</f>
        <v/>
      </c>
      <c r="G1220" s="8">
        <f>IF(ISNA(MATCH(1207,Engine!$C$2:$C$1369,0)),"",INDEX('Compliance Database'!$G$2:$G$1369,MATCH(1207,Engine!$C$2:$C$1369,0)))</f>
        <v/>
      </c>
      <c r="H1220" s="9">
        <f>IF(ISNA(MATCH(1207,Engine!$C$2:$C$1369,0)),"",INDEX('Compliance Database'!$H$2:$H$1369,MATCH(1207,Engine!$C$2:$C$1369,0)))</f>
        <v/>
      </c>
      <c r="I1220" s="9">
        <f>IF(ISNA(MATCH(1207,Engine!$C$2:$C$1369,0)),"",INDEX('Compliance Database'!$I$2:$I$1369,MATCH(1207,Engine!$C$2:$C$1369,0)))</f>
        <v/>
      </c>
      <c r="J1220" s="8">
        <f>IF(ISNA(MATCH(1207,Engine!$C$2:$C$1369,0)),"",INDEX('Compliance Database'!$J$2:$J$1369,MATCH(1207,Engine!$C$2:$C$1369,0)))</f>
        <v/>
      </c>
      <c r="K1220" s="9">
        <f>IF(ISNA(MATCH(1207,Engine!$C$2:$C$1369,0)),"",INDEX('Compliance Database'!$K$2:$K$1369,MATCH(1207,Engine!$C$2:$C$1369,0)))</f>
        <v/>
      </c>
      <c r="L1220" s="9">
        <f>IF(ISNA(MATCH(1207,Engine!$C$2:$C$1369,0)),"",INDEX('Compliance Database'!$L$2:$L$1369,MATCH(1207,Engine!$C$2:$C$1369,0)))</f>
        <v/>
      </c>
      <c r="M1220" s="9">
        <f>IF(ISNA(MATCH(1207,Engine!$C$2:$C$1369,0)),"",INDEX('Compliance Database'!$M$2:$M$1369,MATCH(1207,Engine!$C$2:$C$1369,0)))</f>
        <v/>
      </c>
      <c r="N1220" s="9">
        <f>IF(ISNA(MATCH(1207,Engine!$C$2:$C$1369,0)),"",INDEX('Compliance Database'!$N$2:$N$1369,MATCH(1207,Engine!$C$2:$C$1369,0)))</f>
        <v/>
      </c>
      <c r="O1220" s="8">
        <f>IF(ISNA(MATCH(1207,Engine!$C$2:$C$1369,0)),"",HYPERLINK(INDEX('Compliance Database'!$O$2:$O$1369,MATCH(1207,Engine!$C$2:$C$1369,0)),"Open PDF"))</f>
        <v/>
      </c>
    </row>
    <row r="1221" ht="188" customHeight="1">
      <c r="A1221" s="8">
        <f>IF(ISNA(MATCH(1208,Engine!$C$2:$C$1369,0)),"",INDEX('Compliance Database'!$A$2:$A$1369,MATCH(1208,Engine!$C$2:$C$1369,0)))</f>
        <v/>
      </c>
      <c r="B1221" s="8">
        <f>IF(ISNA(MATCH(1208,Engine!$C$2:$C$1369,0)),"",INDEX('Compliance Database'!$B$2:$B$1369,MATCH(1208,Engine!$C$2:$C$1369,0)))</f>
        <v/>
      </c>
      <c r="C1221" s="8">
        <f>IF(ISNA(MATCH(1208,Engine!$C$2:$C$1369,0)),"",INDEX('Compliance Database'!$C$2:$C$1369,MATCH(1208,Engine!$C$2:$C$1369,0)))</f>
        <v/>
      </c>
      <c r="D1221" s="9">
        <f>IF(ISNA(MATCH(1208,Engine!$C$2:$C$1369,0)),"",INDEX('Compliance Database'!$D$2:$D$1369,MATCH(1208,Engine!$C$2:$C$1369,0)))</f>
        <v/>
      </c>
      <c r="E1221" s="8">
        <f>IF(ISNA(MATCH(1208,Engine!$C$2:$C$1369,0)),"",INDEX('Compliance Database'!$E$2:$E$1369,MATCH(1208,Engine!$C$2:$C$1369,0)))</f>
        <v/>
      </c>
      <c r="F1221" s="8">
        <f>IF(ISNA(MATCH(1208,Engine!$C$2:$C$1369,0)),"",INDEX('Compliance Database'!$F$2:$F$1369,MATCH(1208,Engine!$C$2:$C$1369,0)))</f>
        <v/>
      </c>
      <c r="G1221" s="8">
        <f>IF(ISNA(MATCH(1208,Engine!$C$2:$C$1369,0)),"",INDEX('Compliance Database'!$G$2:$G$1369,MATCH(1208,Engine!$C$2:$C$1369,0)))</f>
        <v/>
      </c>
      <c r="H1221" s="9">
        <f>IF(ISNA(MATCH(1208,Engine!$C$2:$C$1369,0)),"",INDEX('Compliance Database'!$H$2:$H$1369,MATCH(1208,Engine!$C$2:$C$1369,0)))</f>
        <v/>
      </c>
      <c r="I1221" s="9">
        <f>IF(ISNA(MATCH(1208,Engine!$C$2:$C$1369,0)),"",INDEX('Compliance Database'!$I$2:$I$1369,MATCH(1208,Engine!$C$2:$C$1369,0)))</f>
        <v/>
      </c>
      <c r="J1221" s="8">
        <f>IF(ISNA(MATCH(1208,Engine!$C$2:$C$1369,0)),"",INDEX('Compliance Database'!$J$2:$J$1369,MATCH(1208,Engine!$C$2:$C$1369,0)))</f>
        <v/>
      </c>
      <c r="K1221" s="9">
        <f>IF(ISNA(MATCH(1208,Engine!$C$2:$C$1369,0)),"",INDEX('Compliance Database'!$K$2:$K$1369,MATCH(1208,Engine!$C$2:$C$1369,0)))</f>
        <v/>
      </c>
      <c r="L1221" s="9">
        <f>IF(ISNA(MATCH(1208,Engine!$C$2:$C$1369,0)),"",INDEX('Compliance Database'!$L$2:$L$1369,MATCH(1208,Engine!$C$2:$C$1369,0)))</f>
        <v/>
      </c>
      <c r="M1221" s="9">
        <f>IF(ISNA(MATCH(1208,Engine!$C$2:$C$1369,0)),"",INDEX('Compliance Database'!$M$2:$M$1369,MATCH(1208,Engine!$C$2:$C$1369,0)))</f>
        <v/>
      </c>
      <c r="N1221" s="9">
        <f>IF(ISNA(MATCH(1208,Engine!$C$2:$C$1369,0)),"",INDEX('Compliance Database'!$N$2:$N$1369,MATCH(1208,Engine!$C$2:$C$1369,0)))</f>
        <v/>
      </c>
      <c r="O1221" s="8">
        <f>IF(ISNA(MATCH(1208,Engine!$C$2:$C$1369,0)),"",HYPERLINK(INDEX('Compliance Database'!$O$2:$O$1369,MATCH(1208,Engine!$C$2:$C$1369,0)),"Open PDF"))</f>
        <v/>
      </c>
    </row>
    <row r="1222" ht="188" customHeight="1">
      <c r="A1222" s="8">
        <f>IF(ISNA(MATCH(1209,Engine!$C$2:$C$1369,0)),"",INDEX('Compliance Database'!$A$2:$A$1369,MATCH(1209,Engine!$C$2:$C$1369,0)))</f>
        <v/>
      </c>
      <c r="B1222" s="8">
        <f>IF(ISNA(MATCH(1209,Engine!$C$2:$C$1369,0)),"",INDEX('Compliance Database'!$B$2:$B$1369,MATCH(1209,Engine!$C$2:$C$1369,0)))</f>
        <v/>
      </c>
      <c r="C1222" s="8">
        <f>IF(ISNA(MATCH(1209,Engine!$C$2:$C$1369,0)),"",INDEX('Compliance Database'!$C$2:$C$1369,MATCH(1209,Engine!$C$2:$C$1369,0)))</f>
        <v/>
      </c>
      <c r="D1222" s="9">
        <f>IF(ISNA(MATCH(1209,Engine!$C$2:$C$1369,0)),"",INDEX('Compliance Database'!$D$2:$D$1369,MATCH(1209,Engine!$C$2:$C$1369,0)))</f>
        <v/>
      </c>
      <c r="E1222" s="8">
        <f>IF(ISNA(MATCH(1209,Engine!$C$2:$C$1369,0)),"",INDEX('Compliance Database'!$E$2:$E$1369,MATCH(1209,Engine!$C$2:$C$1369,0)))</f>
        <v/>
      </c>
      <c r="F1222" s="8">
        <f>IF(ISNA(MATCH(1209,Engine!$C$2:$C$1369,0)),"",INDEX('Compliance Database'!$F$2:$F$1369,MATCH(1209,Engine!$C$2:$C$1369,0)))</f>
        <v/>
      </c>
      <c r="G1222" s="8">
        <f>IF(ISNA(MATCH(1209,Engine!$C$2:$C$1369,0)),"",INDEX('Compliance Database'!$G$2:$G$1369,MATCH(1209,Engine!$C$2:$C$1369,0)))</f>
        <v/>
      </c>
      <c r="H1222" s="9">
        <f>IF(ISNA(MATCH(1209,Engine!$C$2:$C$1369,0)),"",INDEX('Compliance Database'!$H$2:$H$1369,MATCH(1209,Engine!$C$2:$C$1369,0)))</f>
        <v/>
      </c>
      <c r="I1222" s="9">
        <f>IF(ISNA(MATCH(1209,Engine!$C$2:$C$1369,0)),"",INDEX('Compliance Database'!$I$2:$I$1369,MATCH(1209,Engine!$C$2:$C$1369,0)))</f>
        <v/>
      </c>
      <c r="J1222" s="8">
        <f>IF(ISNA(MATCH(1209,Engine!$C$2:$C$1369,0)),"",INDEX('Compliance Database'!$J$2:$J$1369,MATCH(1209,Engine!$C$2:$C$1369,0)))</f>
        <v/>
      </c>
      <c r="K1222" s="9">
        <f>IF(ISNA(MATCH(1209,Engine!$C$2:$C$1369,0)),"",INDEX('Compliance Database'!$K$2:$K$1369,MATCH(1209,Engine!$C$2:$C$1369,0)))</f>
        <v/>
      </c>
      <c r="L1222" s="9">
        <f>IF(ISNA(MATCH(1209,Engine!$C$2:$C$1369,0)),"",INDEX('Compliance Database'!$L$2:$L$1369,MATCH(1209,Engine!$C$2:$C$1369,0)))</f>
        <v/>
      </c>
      <c r="M1222" s="9">
        <f>IF(ISNA(MATCH(1209,Engine!$C$2:$C$1369,0)),"",INDEX('Compliance Database'!$M$2:$M$1369,MATCH(1209,Engine!$C$2:$C$1369,0)))</f>
        <v/>
      </c>
      <c r="N1222" s="9">
        <f>IF(ISNA(MATCH(1209,Engine!$C$2:$C$1369,0)),"",INDEX('Compliance Database'!$N$2:$N$1369,MATCH(1209,Engine!$C$2:$C$1369,0)))</f>
        <v/>
      </c>
      <c r="O1222" s="8">
        <f>IF(ISNA(MATCH(1209,Engine!$C$2:$C$1369,0)),"",HYPERLINK(INDEX('Compliance Database'!$O$2:$O$1369,MATCH(1209,Engine!$C$2:$C$1369,0)),"Open PDF"))</f>
        <v/>
      </c>
    </row>
    <row r="1223" ht="188" customHeight="1">
      <c r="A1223" s="8">
        <f>IF(ISNA(MATCH(1210,Engine!$C$2:$C$1369,0)),"",INDEX('Compliance Database'!$A$2:$A$1369,MATCH(1210,Engine!$C$2:$C$1369,0)))</f>
        <v/>
      </c>
      <c r="B1223" s="8">
        <f>IF(ISNA(MATCH(1210,Engine!$C$2:$C$1369,0)),"",INDEX('Compliance Database'!$B$2:$B$1369,MATCH(1210,Engine!$C$2:$C$1369,0)))</f>
        <v/>
      </c>
      <c r="C1223" s="8">
        <f>IF(ISNA(MATCH(1210,Engine!$C$2:$C$1369,0)),"",INDEX('Compliance Database'!$C$2:$C$1369,MATCH(1210,Engine!$C$2:$C$1369,0)))</f>
        <v/>
      </c>
      <c r="D1223" s="9">
        <f>IF(ISNA(MATCH(1210,Engine!$C$2:$C$1369,0)),"",INDEX('Compliance Database'!$D$2:$D$1369,MATCH(1210,Engine!$C$2:$C$1369,0)))</f>
        <v/>
      </c>
      <c r="E1223" s="8">
        <f>IF(ISNA(MATCH(1210,Engine!$C$2:$C$1369,0)),"",INDEX('Compliance Database'!$E$2:$E$1369,MATCH(1210,Engine!$C$2:$C$1369,0)))</f>
        <v/>
      </c>
      <c r="F1223" s="8">
        <f>IF(ISNA(MATCH(1210,Engine!$C$2:$C$1369,0)),"",INDEX('Compliance Database'!$F$2:$F$1369,MATCH(1210,Engine!$C$2:$C$1369,0)))</f>
        <v/>
      </c>
      <c r="G1223" s="8">
        <f>IF(ISNA(MATCH(1210,Engine!$C$2:$C$1369,0)),"",INDEX('Compliance Database'!$G$2:$G$1369,MATCH(1210,Engine!$C$2:$C$1369,0)))</f>
        <v/>
      </c>
      <c r="H1223" s="9">
        <f>IF(ISNA(MATCH(1210,Engine!$C$2:$C$1369,0)),"",INDEX('Compliance Database'!$H$2:$H$1369,MATCH(1210,Engine!$C$2:$C$1369,0)))</f>
        <v/>
      </c>
      <c r="I1223" s="9">
        <f>IF(ISNA(MATCH(1210,Engine!$C$2:$C$1369,0)),"",INDEX('Compliance Database'!$I$2:$I$1369,MATCH(1210,Engine!$C$2:$C$1369,0)))</f>
        <v/>
      </c>
      <c r="J1223" s="8">
        <f>IF(ISNA(MATCH(1210,Engine!$C$2:$C$1369,0)),"",INDEX('Compliance Database'!$J$2:$J$1369,MATCH(1210,Engine!$C$2:$C$1369,0)))</f>
        <v/>
      </c>
      <c r="K1223" s="9">
        <f>IF(ISNA(MATCH(1210,Engine!$C$2:$C$1369,0)),"",INDEX('Compliance Database'!$K$2:$K$1369,MATCH(1210,Engine!$C$2:$C$1369,0)))</f>
        <v/>
      </c>
      <c r="L1223" s="9">
        <f>IF(ISNA(MATCH(1210,Engine!$C$2:$C$1369,0)),"",INDEX('Compliance Database'!$L$2:$L$1369,MATCH(1210,Engine!$C$2:$C$1369,0)))</f>
        <v/>
      </c>
      <c r="M1223" s="9">
        <f>IF(ISNA(MATCH(1210,Engine!$C$2:$C$1369,0)),"",INDEX('Compliance Database'!$M$2:$M$1369,MATCH(1210,Engine!$C$2:$C$1369,0)))</f>
        <v/>
      </c>
      <c r="N1223" s="9">
        <f>IF(ISNA(MATCH(1210,Engine!$C$2:$C$1369,0)),"",INDEX('Compliance Database'!$N$2:$N$1369,MATCH(1210,Engine!$C$2:$C$1369,0)))</f>
        <v/>
      </c>
      <c r="O1223" s="8">
        <f>IF(ISNA(MATCH(1210,Engine!$C$2:$C$1369,0)),"",HYPERLINK(INDEX('Compliance Database'!$O$2:$O$1369,MATCH(1210,Engine!$C$2:$C$1369,0)),"Open PDF"))</f>
        <v/>
      </c>
    </row>
    <row r="1224" ht="188" customHeight="1">
      <c r="A1224" s="8">
        <f>IF(ISNA(MATCH(1211,Engine!$C$2:$C$1369,0)),"",INDEX('Compliance Database'!$A$2:$A$1369,MATCH(1211,Engine!$C$2:$C$1369,0)))</f>
        <v/>
      </c>
      <c r="B1224" s="8">
        <f>IF(ISNA(MATCH(1211,Engine!$C$2:$C$1369,0)),"",INDEX('Compliance Database'!$B$2:$B$1369,MATCH(1211,Engine!$C$2:$C$1369,0)))</f>
        <v/>
      </c>
      <c r="C1224" s="8">
        <f>IF(ISNA(MATCH(1211,Engine!$C$2:$C$1369,0)),"",INDEX('Compliance Database'!$C$2:$C$1369,MATCH(1211,Engine!$C$2:$C$1369,0)))</f>
        <v/>
      </c>
      <c r="D1224" s="9">
        <f>IF(ISNA(MATCH(1211,Engine!$C$2:$C$1369,0)),"",INDEX('Compliance Database'!$D$2:$D$1369,MATCH(1211,Engine!$C$2:$C$1369,0)))</f>
        <v/>
      </c>
      <c r="E1224" s="8">
        <f>IF(ISNA(MATCH(1211,Engine!$C$2:$C$1369,0)),"",INDEX('Compliance Database'!$E$2:$E$1369,MATCH(1211,Engine!$C$2:$C$1369,0)))</f>
        <v/>
      </c>
      <c r="F1224" s="8">
        <f>IF(ISNA(MATCH(1211,Engine!$C$2:$C$1369,0)),"",INDEX('Compliance Database'!$F$2:$F$1369,MATCH(1211,Engine!$C$2:$C$1369,0)))</f>
        <v/>
      </c>
      <c r="G1224" s="8">
        <f>IF(ISNA(MATCH(1211,Engine!$C$2:$C$1369,0)),"",INDEX('Compliance Database'!$G$2:$G$1369,MATCH(1211,Engine!$C$2:$C$1369,0)))</f>
        <v/>
      </c>
      <c r="H1224" s="9">
        <f>IF(ISNA(MATCH(1211,Engine!$C$2:$C$1369,0)),"",INDEX('Compliance Database'!$H$2:$H$1369,MATCH(1211,Engine!$C$2:$C$1369,0)))</f>
        <v/>
      </c>
      <c r="I1224" s="9">
        <f>IF(ISNA(MATCH(1211,Engine!$C$2:$C$1369,0)),"",INDEX('Compliance Database'!$I$2:$I$1369,MATCH(1211,Engine!$C$2:$C$1369,0)))</f>
        <v/>
      </c>
      <c r="J1224" s="8">
        <f>IF(ISNA(MATCH(1211,Engine!$C$2:$C$1369,0)),"",INDEX('Compliance Database'!$J$2:$J$1369,MATCH(1211,Engine!$C$2:$C$1369,0)))</f>
        <v/>
      </c>
      <c r="K1224" s="9">
        <f>IF(ISNA(MATCH(1211,Engine!$C$2:$C$1369,0)),"",INDEX('Compliance Database'!$K$2:$K$1369,MATCH(1211,Engine!$C$2:$C$1369,0)))</f>
        <v/>
      </c>
      <c r="L1224" s="9">
        <f>IF(ISNA(MATCH(1211,Engine!$C$2:$C$1369,0)),"",INDEX('Compliance Database'!$L$2:$L$1369,MATCH(1211,Engine!$C$2:$C$1369,0)))</f>
        <v/>
      </c>
      <c r="M1224" s="9">
        <f>IF(ISNA(MATCH(1211,Engine!$C$2:$C$1369,0)),"",INDEX('Compliance Database'!$M$2:$M$1369,MATCH(1211,Engine!$C$2:$C$1369,0)))</f>
        <v/>
      </c>
      <c r="N1224" s="9">
        <f>IF(ISNA(MATCH(1211,Engine!$C$2:$C$1369,0)),"",INDEX('Compliance Database'!$N$2:$N$1369,MATCH(1211,Engine!$C$2:$C$1369,0)))</f>
        <v/>
      </c>
      <c r="O1224" s="8">
        <f>IF(ISNA(MATCH(1211,Engine!$C$2:$C$1369,0)),"",HYPERLINK(INDEX('Compliance Database'!$O$2:$O$1369,MATCH(1211,Engine!$C$2:$C$1369,0)),"Open PDF"))</f>
        <v/>
      </c>
    </row>
    <row r="1225" ht="188" customHeight="1">
      <c r="A1225" s="8">
        <f>IF(ISNA(MATCH(1212,Engine!$C$2:$C$1369,0)),"",INDEX('Compliance Database'!$A$2:$A$1369,MATCH(1212,Engine!$C$2:$C$1369,0)))</f>
        <v/>
      </c>
      <c r="B1225" s="8">
        <f>IF(ISNA(MATCH(1212,Engine!$C$2:$C$1369,0)),"",INDEX('Compliance Database'!$B$2:$B$1369,MATCH(1212,Engine!$C$2:$C$1369,0)))</f>
        <v/>
      </c>
      <c r="C1225" s="8">
        <f>IF(ISNA(MATCH(1212,Engine!$C$2:$C$1369,0)),"",INDEX('Compliance Database'!$C$2:$C$1369,MATCH(1212,Engine!$C$2:$C$1369,0)))</f>
        <v/>
      </c>
      <c r="D1225" s="9">
        <f>IF(ISNA(MATCH(1212,Engine!$C$2:$C$1369,0)),"",INDEX('Compliance Database'!$D$2:$D$1369,MATCH(1212,Engine!$C$2:$C$1369,0)))</f>
        <v/>
      </c>
      <c r="E1225" s="8">
        <f>IF(ISNA(MATCH(1212,Engine!$C$2:$C$1369,0)),"",INDEX('Compliance Database'!$E$2:$E$1369,MATCH(1212,Engine!$C$2:$C$1369,0)))</f>
        <v/>
      </c>
      <c r="F1225" s="8">
        <f>IF(ISNA(MATCH(1212,Engine!$C$2:$C$1369,0)),"",INDEX('Compliance Database'!$F$2:$F$1369,MATCH(1212,Engine!$C$2:$C$1369,0)))</f>
        <v/>
      </c>
      <c r="G1225" s="8">
        <f>IF(ISNA(MATCH(1212,Engine!$C$2:$C$1369,0)),"",INDEX('Compliance Database'!$G$2:$G$1369,MATCH(1212,Engine!$C$2:$C$1369,0)))</f>
        <v/>
      </c>
      <c r="H1225" s="9">
        <f>IF(ISNA(MATCH(1212,Engine!$C$2:$C$1369,0)),"",INDEX('Compliance Database'!$H$2:$H$1369,MATCH(1212,Engine!$C$2:$C$1369,0)))</f>
        <v/>
      </c>
      <c r="I1225" s="9">
        <f>IF(ISNA(MATCH(1212,Engine!$C$2:$C$1369,0)),"",INDEX('Compliance Database'!$I$2:$I$1369,MATCH(1212,Engine!$C$2:$C$1369,0)))</f>
        <v/>
      </c>
      <c r="J1225" s="8">
        <f>IF(ISNA(MATCH(1212,Engine!$C$2:$C$1369,0)),"",INDEX('Compliance Database'!$J$2:$J$1369,MATCH(1212,Engine!$C$2:$C$1369,0)))</f>
        <v/>
      </c>
      <c r="K1225" s="9">
        <f>IF(ISNA(MATCH(1212,Engine!$C$2:$C$1369,0)),"",INDEX('Compliance Database'!$K$2:$K$1369,MATCH(1212,Engine!$C$2:$C$1369,0)))</f>
        <v/>
      </c>
      <c r="L1225" s="9">
        <f>IF(ISNA(MATCH(1212,Engine!$C$2:$C$1369,0)),"",INDEX('Compliance Database'!$L$2:$L$1369,MATCH(1212,Engine!$C$2:$C$1369,0)))</f>
        <v/>
      </c>
      <c r="M1225" s="9">
        <f>IF(ISNA(MATCH(1212,Engine!$C$2:$C$1369,0)),"",INDEX('Compliance Database'!$M$2:$M$1369,MATCH(1212,Engine!$C$2:$C$1369,0)))</f>
        <v/>
      </c>
      <c r="N1225" s="9">
        <f>IF(ISNA(MATCH(1212,Engine!$C$2:$C$1369,0)),"",INDEX('Compliance Database'!$N$2:$N$1369,MATCH(1212,Engine!$C$2:$C$1369,0)))</f>
        <v/>
      </c>
      <c r="O1225" s="8">
        <f>IF(ISNA(MATCH(1212,Engine!$C$2:$C$1369,0)),"",HYPERLINK(INDEX('Compliance Database'!$O$2:$O$1369,MATCH(1212,Engine!$C$2:$C$1369,0)),"Open PDF"))</f>
        <v/>
      </c>
    </row>
    <row r="1226" ht="188" customHeight="1">
      <c r="A1226" s="8">
        <f>IF(ISNA(MATCH(1213,Engine!$C$2:$C$1369,0)),"",INDEX('Compliance Database'!$A$2:$A$1369,MATCH(1213,Engine!$C$2:$C$1369,0)))</f>
        <v/>
      </c>
      <c r="B1226" s="8">
        <f>IF(ISNA(MATCH(1213,Engine!$C$2:$C$1369,0)),"",INDEX('Compliance Database'!$B$2:$B$1369,MATCH(1213,Engine!$C$2:$C$1369,0)))</f>
        <v/>
      </c>
      <c r="C1226" s="8">
        <f>IF(ISNA(MATCH(1213,Engine!$C$2:$C$1369,0)),"",INDEX('Compliance Database'!$C$2:$C$1369,MATCH(1213,Engine!$C$2:$C$1369,0)))</f>
        <v/>
      </c>
      <c r="D1226" s="9">
        <f>IF(ISNA(MATCH(1213,Engine!$C$2:$C$1369,0)),"",INDEX('Compliance Database'!$D$2:$D$1369,MATCH(1213,Engine!$C$2:$C$1369,0)))</f>
        <v/>
      </c>
      <c r="E1226" s="8">
        <f>IF(ISNA(MATCH(1213,Engine!$C$2:$C$1369,0)),"",INDEX('Compliance Database'!$E$2:$E$1369,MATCH(1213,Engine!$C$2:$C$1369,0)))</f>
        <v/>
      </c>
      <c r="F1226" s="8">
        <f>IF(ISNA(MATCH(1213,Engine!$C$2:$C$1369,0)),"",INDEX('Compliance Database'!$F$2:$F$1369,MATCH(1213,Engine!$C$2:$C$1369,0)))</f>
        <v/>
      </c>
      <c r="G1226" s="8">
        <f>IF(ISNA(MATCH(1213,Engine!$C$2:$C$1369,0)),"",INDEX('Compliance Database'!$G$2:$G$1369,MATCH(1213,Engine!$C$2:$C$1369,0)))</f>
        <v/>
      </c>
      <c r="H1226" s="9">
        <f>IF(ISNA(MATCH(1213,Engine!$C$2:$C$1369,0)),"",INDEX('Compliance Database'!$H$2:$H$1369,MATCH(1213,Engine!$C$2:$C$1369,0)))</f>
        <v/>
      </c>
      <c r="I1226" s="9">
        <f>IF(ISNA(MATCH(1213,Engine!$C$2:$C$1369,0)),"",INDEX('Compliance Database'!$I$2:$I$1369,MATCH(1213,Engine!$C$2:$C$1369,0)))</f>
        <v/>
      </c>
      <c r="J1226" s="8">
        <f>IF(ISNA(MATCH(1213,Engine!$C$2:$C$1369,0)),"",INDEX('Compliance Database'!$J$2:$J$1369,MATCH(1213,Engine!$C$2:$C$1369,0)))</f>
        <v/>
      </c>
      <c r="K1226" s="9">
        <f>IF(ISNA(MATCH(1213,Engine!$C$2:$C$1369,0)),"",INDEX('Compliance Database'!$K$2:$K$1369,MATCH(1213,Engine!$C$2:$C$1369,0)))</f>
        <v/>
      </c>
      <c r="L1226" s="9">
        <f>IF(ISNA(MATCH(1213,Engine!$C$2:$C$1369,0)),"",INDEX('Compliance Database'!$L$2:$L$1369,MATCH(1213,Engine!$C$2:$C$1369,0)))</f>
        <v/>
      </c>
      <c r="M1226" s="9">
        <f>IF(ISNA(MATCH(1213,Engine!$C$2:$C$1369,0)),"",INDEX('Compliance Database'!$M$2:$M$1369,MATCH(1213,Engine!$C$2:$C$1369,0)))</f>
        <v/>
      </c>
      <c r="N1226" s="9">
        <f>IF(ISNA(MATCH(1213,Engine!$C$2:$C$1369,0)),"",INDEX('Compliance Database'!$N$2:$N$1369,MATCH(1213,Engine!$C$2:$C$1369,0)))</f>
        <v/>
      </c>
      <c r="O1226" s="8">
        <f>IF(ISNA(MATCH(1213,Engine!$C$2:$C$1369,0)),"",HYPERLINK(INDEX('Compliance Database'!$O$2:$O$1369,MATCH(1213,Engine!$C$2:$C$1369,0)),"Open PDF"))</f>
        <v/>
      </c>
    </row>
    <row r="1227" ht="188" customHeight="1">
      <c r="A1227" s="8">
        <f>IF(ISNA(MATCH(1214,Engine!$C$2:$C$1369,0)),"",INDEX('Compliance Database'!$A$2:$A$1369,MATCH(1214,Engine!$C$2:$C$1369,0)))</f>
        <v/>
      </c>
      <c r="B1227" s="8">
        <f>IF(ISNA(MATCH(1214,Engine!$C$2:$C$1369,0)),"",INDEX('Compliance Database'!$B$2:$B$1369,MATCH(1214,Engine!$C$2:$C$1369,0)))</f>
        <v/>
      </c>
      <c r="C1227" s="8">
        <f>IF(ISNA(MATCH(1214,Engine!$C$2:$C$1369,0)),"",INDEX('Compliance Database'!$C$2:$C$1369,MATCH(1214,Engine!$C$2:$C$1369,0)))</f>
        <v/>
      </c>
      <c r="D1227" s="9">
        <f>IF(ISNA(MATCH(1214,Engine!$C$2:$C$1369,0)),"",INDEX('Compliance Database'!$D$2:$D$1369,MATCH(1214,Engine!$C$2:$C$1369,0)))</f>
        <v/>
      </c>
      <c r="E1227" s="8">
        <f>IF(ISNA(MATCH(1214,Engine!$C$2:$C$1369,0)),"",INDEX('Compliance Database'!$E$2:$E$1369,MATCH(1214,Engine!$C$2:$C$1369,0)))</f>
        <v/>
      </c>
      <c r="F1227" s="8">
        <f>IF(ISNA(MATCH(1214,Engine!$C$2:$C$1369,0)),"",INDEX('Compliance Database'!$F$2:$F$1369,MATCH(1214,Engine!$C$2:$C$1369,0)))</f>
        <v/>
      </c>
      <c r="G1227" s="8">
        <f>IF(ISNA(MATCH(1214,Engine!$C$2:$C$1369,0)),"",INDEX('Compliance Database'!$G$2:$G$1369,MATCH(1214,Engine!$C$2:$C$1369,0)))</f>
        <v/>
      </c>
      <c r="H1227" s="9">
        <f>IF(ISNA(MATCH(1214,Engine!$C$2:$C$1369,0)),"",INDEX('Compliance Database'!$H$2:$H$1369,MATCH(1214,Engine!$C$2:$C$1369,0)))</f>
        <v/>
      </c>
      <c r="I1227" s="9">
        <f>IF(ISNA(MATCH(1214,Engine!$C$2:$C$1369,0)),"",INDEX('Compliance Database'!$I$2:$I$1369,MATCH(1214,Engine!$C$2:$C$1369,0)))</f>
        <v/>
      </c>
      <c r="J1227" s="8">
        <f>IF(ISNA(MATCH(1214,Engine!$C$2:$C$1369,0)),"",INDEX('Compliance Database'!$J$2:$J$1369,MATCH(1214,Engine!$C$2:$C$1369,0)))</f>
        <v/>
      </c>
      <c r="K1227" s="9">
        <f>IF(ISNA(MATCH(1214,Engine!$C$2:$C$1369,0)),"",INDEX('Compliance Database'!$K$2:$K$1369,MATCH(1214,Engine!$C$2:$C$1369,0)))</f>
        <v/>
      </c>
      <c r="L1227" s="9">
        <f>IF(ISNA(MATCH(1214,Engine!$C$2:$C$1369,0)),"",INDEX('Compliance Database'!$L$2:$L$1369,MATCH(1214,Engine!$C$2:$C$1369,0)))</f>
        <v/>
      </c>
      <c r="M1227" s="9">
        <f>IF(ISNA(MATCH(1214,Engine!$C$2:$C$1369,0)),"",INDEX('Compliance Database'!$M$2:$M$1369,MATCH(1214,Engine!$C$2:$C$1369,0)))</f>
        <v/>
      </c>
      <c r="N1227" s="9">
        <f>IF(ISNA(MATCH(1214,Engine!$C$2:$C$1369,0)),"",INDEX('Compliance Database'!$N$2:$N$1369,MATCH(1214,Engine!$C$2:$C$1369,0)))</f>
        <v/>
      </c>
      <c r="O1227" s="8">
        <f>IF(ISNA(MATCH(1214,Engine!$C$2:$C$1369,0)),"",HYPERLINK(INDEX('Compliance Database'!$O$2:$O$1369,MATCH(1214,Engine!$C$2:$C$1369,0)),"Open PDF"))</f>
        <v/>
      </c>
    </row>
    <row r="1228" ht="188" customHeight="1">
      <c r="A1228" s="8">
        <f>IF(ISNA(MATCH(1215,Engine!$C$2:$C$1369,0)),"",INDEX('Compliance Database'!$A$2:$A$1369,MATCH(1215,Engine!$C$2:$C$1369,0)))</f>
        <v/>
      </c>
      <c r="B1228" s="8">
        <f>IF(ISNA(MATCH(1215,Engine!$C$2:$C$1369,0)),"",INDEX('Compliance Database'!$B$2:$B$1369,MATCH(1215,Engine!$C$2:$C$1369,0)))</f>
        <v/>
      </c>
      <c r="C1228" s="8">
        <f>IF(ISNA(MATCH(1215,Engine!$C$2:$C$1369,0)),"",INDEX('Compliance Database'!$C$2:$C$1369,MATCH(1215,Engine!$C$2:$C$1369,0)))</f>
        <v/>
      </c>
      <c r="D1228" s="9">
        <f>IF(ISNA(MATCH(1215,Engine!$C$2:$C$1369,0)),"",INDEX('Compliance Database'!$D$2:$D$1369,MATCH(1215,Engine!$C$2:$C$1369,0)))</f>
        <v/>
      </c>
      <c r="E1228" s="8">
        <f>IF(ISNA(MATCH(1215,Engine!$C$2:$C$1369,0)),"",INDEX('Compliance Database'!$E$2:$E$1369,MATCH(1215,Engine!$C$2:$C$1369,0)))</f>
        <v/>
      </c>
      <c r="F1228" s="8">
        <f>IF(ISNA(MATCH(1215,Engine!$C$2:$C$1369,0)),"",INDEX('Compliance Database'!$F$2:$F$1369,MATCH(1215,Engine!$C$2:$C$1369,0)))</f>
        <v/>
      </c>
      <c r="G1228" s="8">
        <f>IF(ISNA(MATCH(1215,Engine!$C$2:$C$1369,0)),"",INDEX('Compliance Database'!$G$2:$G$1369,MATCH(1215,Engine!$C$2:$C$1369,0)))</f>
        <v/>
      </c>
      <c r="H1228" s="9">
        <f>IF(ISNA(MATCH(1215,Engine!$C$2:$C$1369,0)),"",INDEX('Compliance Database'!$H$2:$H$1369,MATCH(1215,Engine!$C$2:$C$1369,0)))</f>
        <v/>
      </c>
      <c r="I1228" s="9">
        <f>IF(ISNA(MATCH(1215,Engine!$C$2:$C$1369,0)),"",INDEX('Compliance Database'!$I$2:$I$1369,MATCH(1215,Engine!$C$2:$C$1369,0)))</f>
        <v/>
      </c>
      <c r="J1228" s="8">
        <f>IF(ISNA(MATCH(1215,Engine!$C$2:$C$1369,0)),"",INDEX('Compliance Database'!$J$2:$J$1369,MATCH(1215,Engine!$C$2:$C$1369,0)))</f>
        <v/>
      </c>
      <c r="K1228" s="9">
        <f>IF(ISNA(MATCH(1215,Engine!$C$2:$C$1369,0)),"",INDEX('Compliance Database'!$K$2:$K$1369,MATCH(1215,Engine!$C$2:$C$1369,0)))</f>
        <v/>
      </c>
      <c r="L1228" s="9">
        <f>IF(ISNA(MATCH(1215,Engine!$C$2:$C$1369,0)),"",INDEX('Compliance Database'!$L$2:$L$1369,MATCH(1215,Engine!$C$2:$C$1369,0)))</f>
        <v/>
      </c>
      <c r="M1228" s="9">
        <f>IF(ISNA(MATCH(1215,Engine!$C$2:$C$1369,0)),"",INDEX('Compliance Database'!$M$2:$M$1369,MATCH(1215,Engine!$C$2:$C$1369,0)))</f>
        <v/>
      </c>
      <c r="N1228" s="9">
        <f>IF(ISNA(MATCH(1215,Engine!$C$2:$C$1369,0)),"",INDEX('Compliance Database'!$N$2:$N$1369,MATCH(1215,Engine!$C$2:$C$1369,0)))</f>
        <v/>
      </c>
      <c r="O1228" s="8">
        <f>IF(ISNA(MATCH(1215,Engine!$C$2:$C$1369,0)),"",HYPERLINK(INDEX('Compliance Database'!$O$2:$O$1369,MATCH(1215,Engine!$C$2:$C$1369,0)),"Open PDF"))</f>
        <v/>
      </c>
    </row>
    <row r="1229" ht="188" customHeight="1">
      <c r="A1229" s="8">
        <f>IF(ISNA(MATCH(1216,Engine!$C$2:$C$1369,0)),"",INDEX('Compliance Database'!$A$2:$A$1369,MATCH(1216,Engine!$C$2:$C$1369,0)))</f>
        <v/>
      </c>
      <c r="B1229" s="8">
        <f>IF(ISNA(MATCH(1216,Engine!$C$2:$C$1369,0)),"",INDEX('Compliance Database'!$B$2:$B$1369,MATCH(1216,Engine!$C$2:$C$1369,0)))</f>
        <v/>
      </c>
      <c r="C1229" s="8">
        <f>IF(ISNA(MATCH(1216,Engine!$C$2:$C$1369,0)),"",INDEX('Compliance Database'!$C$2:$C$1369,MATCH(1216,Engine!$C$2:$C$1369,0)))</f>
        <v/>
      </c>
      <c r="D1229" s="9">
        <f>IF(ISNA(MATCH(1216,Engine!$C$2:$C$1369,0)),"",INDEX('Compliance Database'!$D$2:$D$1369,MATCH(1216,Engine!$C$2:$C$1369,0)))</f>
        <v/>
      </c>
      <c r="E1229" s="8">
        <f>IF(ISNA(MATCH(1216,Engine!$C$2:$C$1369,0)),"",INDEX('Compliance Database'!$E$2:$E$1369,MATCH(1216,Engine!$C$2:$C$1369,0)))</f>
        <v/>
      </c>
      <c r="F1229" s="8">
        <f>IF(ISNA(MATCH(1216,Engine!$C$2:$C$1369,0)),"",INDEX('Compliance Database'!$F$2:$F$1369,MATCH(1216,Engine!$C$2:$C$1369,0)))</f>
        <v/>
      </c>
      <c r="G1229" s="8">
        <f>IF(ISNA(MATCH(1216,Engine!$C$2:$C$1369,0)),"",INDEX('Compliance Database'!$G$2:$G$1369,MATCH(1216,Engine!$C$2:$C$1369,0)))</f>
        <v/>
      </c>
      <c r="H1229" s="9">
        <f>IF(ISNA(MATCH(1216,Engine!$C$2:$C$1369,0)),"",INDEX('Compliance Database'!$H$2:$H$1369,MATCH(1216,Engine!$C$2:$C$1369,0)))</f>
        <v/>
      </c>
      <c r="I1229" s="9">
        <f>IF(ISNA(MATCH(1216,Engine!$C$2:$C$1369,0)),"",INDEX('Compliance Database'!$I$2:$I$1369,MATCH(1216,Engine!$C$2:$C$1369,0)))</f>
        <v/>
      </c>
      <c r="J1229" s="8">
        <f>IF(ISNA(MATCH(1216,Engine!$C$2:$C$1369,0)),"",INDEX('Compliance Database'!$J$2:$J$1369,MATCH(1216,Engine!$C$2:$C$1369,0)))</f>
        <v/>
      </c>
      <c r="K1229" s="9">
        <f>IF(ISNA(MATCH(1216,Engine!$C$2:$C$1369,0)),"",INDEX('Compliance Database'!$K$2:$K$1369,MATCH(1216,Engine!$C$2:$C$1369,0)))</f>
        <v/>
      </c>
      <c r="L1229" s="9">
        <f>IF(ISNA(MATCH(1216,Engine!$C$2:$C$1369,0)),"",INDEX('Compliance Database'!$L$2:$L$1369,MATCH(1216,Engine!$C$2:$C$1369,0)))</f>
        <v/>
      </c>
      <c r="M1229" s="9">
        <f>IF(ISNA(MATCH(1216,Engine!$C$2:$C$1369,0)),"",INDEX('Compliance Database'!$M$2:$M$1369,MATCH(1216,Engine!$C$2:$C$1369,0)))</f>
        <v/>
      </c>
      <c r="N1229" s="9">
        <f>IF(ISNA(MATCH(1216,Engine!$C$2:$C$1369,0)),"",INDEX('Compliance Database'!$N$2:$N$1369,MATCH(1216,Engine!$C$2:$C$1369,0)))</f>
        <v/>
      </c>
      <c r="O1229" s="8">
        <f>IF(ISNA(MATCH(1216,Engine!$C$2:$C$1369,0)),"",HYPERLINK(INDEX('Compliance Database'!$O$2:$O$1369,MATCH(1216,Engine!$C$2:$C$1369,0)),"Open PDF"))</f>
        <v/>
      </c>
    </row>
    <row r="1230" ht="188" customHeight="1">
      <c r="A1230" s="8">
        <f>IF(ISNA(MATCH(1217,Engine!$C$2:$C$1369,0)),"",INDEX('Compliance Database'!$A$2:$A$1369,MATCH(1217,Engine!$C$2:$C$1369,0)))</f>
        <v/>
      </c>
      <c r="B1230" s="8">
        <f>IF(ISNA(MATCH(1217,Engine!$C$2:$C$1369,0)),"",INDEX('Compliance Database'!$B$2:$B$1369,MATCH(1217,Engine!$C$2:$C$1369,0)))</f>
        <v/>
      </c>
      <c r="C1230" s="8">
        <f>IF(ISNA(MATCH(1217,Engine!$C$2:$C$1369,0)),"",INDEX('Compliance Database'!$C$2:$C$1369,MATCH(1217,Engine!$C$2:$C$1369,0)))</f>
        <v/>
      </c>
      <c r="D1230" s="9">
        <f>IF(ISNA(MATCH(1217,Engine!$C$2:$C$1369,0)),"",INDEX('Compliance Database'!$D$2:$D$1369,MATCH(1217,Engine!$C$2:$C$1369,0)))</f>
        <v/>
      </c>
      <c r="E1230" s="8">
        <f>IF(ISNA(MATCH(1217,Engine!$C$2:$C$1369,0)),"",INDEX('Compliance Database'!$E$2:$E$1369,MATCH(1217,Engine!$C$2:$C$1369,0)))</f>
        <v/>
      </c>
      <c r="F1230" s="8">
        <f>IF(ISNA(MATCH(1217,Engine!$C$2:$C$1369,0)),"",INDEX('Compliance Database'!$F$2:$F$1369,MATCH(1217,Engine!$C$2:$C$1369,0)))</f>
        <v/>
      </c>
      <c r="G1230" s="8">
        <f>IF(ISNA(MATCH(1217,Engine!$C$2:$C$1369,0)),"",INDEX('Compliance Database'!$G$2:$G$1369,MATCH(1217,Engine!$C$2:$C$1369,0)))</f>
        <v/>
      </c>
      <c r="H1230" s="9">
        <f>IF(ISNA(MATCH(1217,Engine!$C$2:$C$1369,0)),"",INDEX('Compliance Database'!$H$2:$H$1369,MATCH(1217,Engine!$C$2:$C$1369,0)))</f>
        <v/>
      </c>
      <c r="I1230" s="9">
        <f>IF(ISNA(MATCH(1217,Engine!$C$2:$C$1369,0)),"",INDEX('Compliance Database'!$I$2:$I$1369,MATCH(1217,Engine!$C$2:$C$1369,0)))</f>
        <v/>
      </c>
      <c r="J1230" s="8">
        <f>IF(ISNA(MATCH(1217,Engine!$C$2:$C$1369,0)),"",INDEX('Compliance Database'!$J$2:$J$1369,MATCH(1217,Engine!$C$2:$C$1369,0)))</f>
        <v/>
      </c>
      <c r="K1230" s="9">
        <f>IF(ISNA(MATCH(1217,Engine!$C$2:$C$1369,0)),"",INDEX('Compliance Database'!$K$2:$K$1369,MATCH(1217,Engine!$C$2:$C$1369,0)))</f>
        <v/>
      </c>
      <c r="L1230" s="9">
        <f>IF(ISNA(MATCH(1217,Engine!$C$2:$C$1369,0)),"",INDEX('Compliance Database'!$L$2:$L$1369,MATCH(1217,Engine!$C$2:$C$1369,0)))</f>
        <v/>
      </c>
      <c r="M1230" s="9">
        <f>IF(ISNA(MATCH(1217,Engine!$C$2:$C$1369,0)),"",INDEX('Compliance Database'!$M$2:$M$1369,MATCH(1217,Engine!$C$2:$C$1369,0)))</f>
        <v/>
      </c>
      <c r="N1230" s="9">
        <f>IF(ISNA(MATCH(1217,Engine!$C$2:$C$1369,0)),"",INDEX('Compliance Database'!$N$2:$N$1369,MATCH(1217,Engine!$C$2:$C$1369,0)))</f>
        <v/>
      </c>
      <c r="O1230" s="8">
        <f>IF(ISNA(MATCH(1217,Engine!$C$2:$C$1369,0)),"",HYPERLINK(INDEX('Compliance Database'!$O$2:$O$1369,MATCH(1217,Engine!$C$2:$C$1369,0)),"Open PDF"))</f>
        <v/>
      </c>
    </row>
    <row r="1231" ht="188" customHeight="1">
      <c r="A1231" s="8">
        <f>IF(ISNA(MATCH(1218,Engine!$C$2:$C$1369,0)),"",INDEX('Compliance Database'!$A$2:$A$1369,MATCH(1218,Engine!$C$2:$C$1369,0)))</f>
        <v/>
      </c>
      <c r="B1231" s="8">
        <f>IF(ISNA(MATCH(1218,Engine!$C$2:$C$1369,0)),"",INDEX('Compliance Database'!$B$2:$B$1369,MATCH(1218,Engine!$C$2:$C$1369,0)))</f>
        <v/>
      </c>
      <c r="C1231" s="8">
        <f>IF(ISNA(MATCH(1218,Engine!$C$2:$C$1369,0)),"",INDEX('Compliance Database'!$C$2:$C$1369,MATCH(1218,Engine!$C$2:$C$1369,0)))</f>
        <v/>
      </c>
      <c r="D1231" s="9">
        <f>IF(ISNA(MATCH(1218,Engine!$C$2:$C$1369,0)),"",INDEX('Compliance Database'!$D$2:$D$1369,MATCH(1218,Engine!$C$2:$C$1369,0)))</f>
        <v/>
      </c>
      <c r="E1231" s="8">
        <f>IF(ISNA(MATCH(1218,Engine!$C$2:$C$1369,0)),"",INDEX('Compliance Database'!$E$2:$E$1369,MATCH(1218,Engine!$C$2:$C$1369,0)))</f>
        <v/>
      </c>
      <c r="F1231" s="8">
        <f>IF(ISNA(MATCH(1218,Engine!$C$2:$C$1369,0)),"",INDEX('Compliance Database'!$F$2:$F$1369,MATCH(1218,Engine!$C$2:$C$1369,0)))</f>
        <v/>
      </c>
      <c r="G1231" s="8">
        <f>IF(ISNA(MATCH(1218,Engine!$C$2:$C$1369,0)),"",INDEX('Compliance Database'!$G$2:$G$1369,MATCH(1218,Engine!$C$2:$C$1369,0)))</f>
        <v/>
      </c>
      <c r="H1231" s="9">
        <f>IF(ISNA(MATCH(1218,Engine!$C$2:$C$1369,0)),"",INDEX('Compliance Database'!$H$2:$H$1369,MATCH(1218,Engine!$C$2:$C$1369,0)))</f>
        <v/>
      </c>
      <c r="I1231" s="9">
        <f>IF(ISNA(MATCH(1218,Engine!$C$2:$C$1369,0)),"",INDEX('Compliance Database'!$I$2:$I$1369,MATCH(1218,Engine!$C$2:$C$1369,0)))</f>
        <v/>
      </c>
      <c r="J1231" s="8">
        <f>IF(ISNA(MATCH(1218,Engine!$C$2:$C$1369,0)),"",INDEX('Compliance Database'!$J$2:$J$1369,MATCH(1218,Engine!$C$2:$C$1369,0)))</f>
        <v/>
      </c>
      <c r="K1231" s="9">
        <f>IF(ISNA(MATCH(1218,Engine!$C$2:$C$1369,0)),"",INDEX('Compliance Database'!$K$2:$K$1369,MATCH(1218,Engine!$C$2:$C$1369,0)))</f>
        <v/>
      </c>
      <c r="L1231" s="9">
        <f>IF(ISNA(MATCH(1218,Engine!$C$2:$C$1369,0)),"",INDEX('Compliance Database'!$L$2:$L$1369,MATCH(1218,Engine!$C$2:$C$1369,0)))</f>
        <v/>
      </c>
      <c r="M1231" s="9">
        <f>IF(ISNA(MATCH(1218,Engine!$C$2:$C$1369,0)),"",INDEX('Compliance Database'!$M$2:$M$1369,MATCH(1218,Engine!$C$2:$C$1369,0)))</f>
        <v/>
      </c>
      <c r="N1231" s="9">
        <f>IF(ISNA(MATCH(1218,Engine!$C$2:$C$1369,0)),"",INDEX('Compliance Database'!$N$2:$N$1369,MATCH(1218,Engine!$C$2:$C$1369,0)))</f>
        <v/>
      </c>
      <c r="O1231" s="8">
        <f>IF(ISNA(MATCH(1218,Engine!$C$2:$C$1369,0)),"",HYPERLINK(INDEX('Compliance Database'!$O$2:$O$1369,MATCH(1218,Engine!$C$2:$C$1369,0)),"Open PDF"))</f>
        <v/>
      </c>
    </row>
    <row r="1232" ht="188" customHeight="1">
      <c r="A1232" s="8">
        <f>IF(ISNA(MATCH(1219,Engine!$C$2:$C$1369,0)),"",INDEX('Compliance Database'!$A$2:$A$1369,MATCH(1219,Engine!$C$2:$C$1369,0)))</f>
        <v/>
      </c>
      <c r="B1232" s="8">
        <f>IF(ISNA(MATCH(1219,Engine!$C$2:$C$1369,0)),"",INDEX('Compliance Database'!$B$2:$B$1369,MATCH(1219,Engine!$C$2:$C$1369,0)))</f>
        <v/>
      </c>
      <c r="C1232" s="8">
        <f>IF(ISNA(MATCH(1219,Engine!$C$2:$C$1369,0)),"",INDEX('Compliance Database'!$C$2:$C$1369,MATCH(1219,Engine!$C$2:$C$1369,0)))</f>
        <v/>
      </c>
      <c r="D1232" s="9">
        <f>IF(ISNA(MATCH(1219,Engine!$C$2:$C$1369,0)),"",INDEX('Compliance Database'!$D$2:$D$1369,MATCH(1219,Engine!$C$2:$C$1369,0)))</f>
        <v/>
      </c>
      <c r="E1232" s="8">
        <f>IF(ISNA(MATCH(1219,Engine!$C$2:$C$1369,0)),"",INDEX('Compliance Database'!$E$2:$E$1369,MATCH(1219,Engine!$C$2:$C$1369,0)))</f>
        <v/>
      </c>
      <c r="F1232" s="8">
        <f>IF(ISNA(MATCH(1219,Engine!$C$2:$C$1369,0)),"",INDEX('Compliance Database'!$F$2:$F$1369,MATCH(1219,Engine!$C$2:$C$1369,0)))</f>
        <v/>
      </c>
      <c r="G1232" s="8">
        <f>IF(ISNA(MATCH(1219,Engine!$C$2:$C$1369,0)),"",INDEX('Compliance Database'!$G$2:$G$1369,MATCH(1219,Engine!$C$2:$C$1369,0)))</f>
        <v/>
      </c>
      <c r="H1232" s="9">
        <f>IF(ISNA(MATCH(1219,Engine!$C$2:$C$1369,0)),"",INDEX('Compliance Database'!$H$2:$H$1369,MATCH(1219,Engine!$C$2:$C$1369,0)))</f>
        <v/>
      </c>
      <c r="I1232" s="9">
        <f>IF(ISNA(MATCH(1219,Engine!$C$2:$C$1369,0)),"",INDEX('Compliance Database'!$I$2:$I$1369,MATCH(1219,Engine!$C$2:$C$1369,0)))</f>
        <v/>
      </c>
      <c r="J1232" s="8">
        <f>IF(ISNA(MATCH(1219,Engine!$C$2:$C$1369,0)),"",INDEX('Compliance Database'!$J$2:$J$1369,MATCH(1219,Engine!$C$2:$C$1369,0)))</f>
        <v/>
      </c>
      <c r="K1232" s="9">
        <f>IF(ISNA(MATCH(1219,Engine!$C$2:$C$1369,0)),"",INDEX('Compliance Database'!$K$2:$K$1369,MATCH(1219,Engine!$C$2:$C$1369,0)))</f>
        <v/>
      </c>
      <c r="L1232" s="9">
        <f>IF(ISNA(MATCH(1219,Engine!$C$2:$C$1369,0)),"",INDEX('Compliance Database'!$L$2:$L$1369,MATCH(1219,Engine!$C$2:$C$1369,0)))</f>
        <v/>
      </c>
      <c r="M1232" s="9">
        <f>IF(ISNA(MATCH(1219,Engine!$C$2:$C$1369,0)),"",INDEX('Compliance Database'!$M$2:$M$1369,MATCH(1219,Engine!$C$2:$C$1369,0)))</f>
        <v/>
      </c>
      <c r="N1232" s="9">
        <f>IF(ISNA(MATCH(1219,Engine!$C$2:$C$1369,0)),"",INDEX('Compliance Database'!$N$2:$N$1369,MATCH(1219,Engine!$C$2:$C$1369,0)))</f>
        <v/>
      </c>
      <c r="O1232" s="8">
        <f>IF(ISNA(MATCH(1219,Engine!$C$2:$C$1369,0)),"",HYPERLINK(INDEX('Compliance Database'!$O$2:$O$1369,MATCH(1219,Engine!$C$2:$C$1369,0)),"Open PDF"))</f>
        <v/>
      </c>
    </row>
    <row r="1233" ht="188" customHeight="1">
      <c r="A1233" s="8">
        <f>IF(ISNA(MATCH(1220,Engine!$C$2:$C$1369,0)),"",INDEX('Compliance Database'!$A$2:$A$1369,MATCH(1220,Engine!$C$2:$C$1369,0)))</f>
        <v/>
      </c>
      <c r="B1233" s="8">
        <f>IF(ISNA(MATCH(1220,Engine!$C$2:$C$1369,0)),"",INDEX('Compliance Database'!$B$2:$B$1369,MATCH(1220,Engine!$C$2:$C$1369,0)))</f>
        <v/>
      </c>
      <c r="C1233" s="8">
        <f>IF(ISNA(MATCH(1220,Engine!$C$2:$C$1369,0)),"",INDEX('Compliance Database'!$C$2:$C$1369,MATCH(1220,Engine!$C$2:$C$1369,0)))</f>
        <v/>
      </c>
      <c r="D1233" s="9">
        <f>IF(ISNA(MATCH(1220,Engine!$C$2:$C$1369,0)),"",INDEX('Compliance Database'!$D$2:$D$1369,MATCH(1220,Engine!$C$2:$C$1369,0)))</f>
        <v/>
      </c>
      <c r="E1233" s="8">
        <f>IF(ISNA(MATCH(1220,Engine!$C$2:$C$1369,0)),"",INDEX('Compliance Database'!$E$2:$E$1369,MATCH(1220,Engine!$C$2:$C$1369,0)))</f>
        <v/>
      </c>
      <c r="F1233" s="8">
        <f>IF(ISNA(MATCH(1220,Engine!$C$2:$C$1369,0)),"",INDEX('Compliance Database'!$F$2:$F$1369,MATCH(1220,Engine!$C$2:$C$1369,0)))</f>
        <v/>
      </c>
      <c r="G1233" s="8">
        <f>IF(ISNA(MATCH(1220,Engine!$C$2:$C$1369,0)),"",INDEX('Compliance Database'!$G$2:$G$1369,MATCH(1220,Engine!$C$2:$C$1369,0)))</f>
        <v/>
      </c>
      <c r="H1233" s="9">
        <f>IF(ISNA(MATCH(1220,Engine!$C$2:$C$1369,0)),"",INDEX('Compliance Database'!$H$2:$H$1369,MATCH(1220,Engine!$C$2:$C$1369,0)))</f>
        <v/>
      </c>
      <c r="I1233" s="9">
        <f>IF(ISNA(MATCH(1220,Engine!$C$2:$C$1369,0)),"",INDEX('Compliance Database'!$I$2:$I$1369,MATCH(1220,Engine!$C$2:$C$1369,0)))</f>
        <v/>
      </c>
      <c r="J1233" s="8">
        <f>IF(ISNA(MATCH(1220,Engine!$C$2:$C$1369,0)),"",INDEX('Compliance Database'!$J$2:$J$1369,MATCH(1220,Engine!$C$2:$C$1369,0)))</f>
        <v/>
      </c>
      <c r="K1233" s="9">
        <f>IF(ISNA(MATCH(1220,Engine!$C$2:$C$1369,0)),"",INDEX('Compliance Database'!$K$2:$K$1369,MATCH(1220,Engine!$C$2:$C$1369,0)))</f>
        <v/>
      </c>
      <c r="L1233" s="9">
        <f>IF(ISNA(MATCH(1220,Engine!$C$2:$C$1369,0)),"",INDEX('Compliance Database'!$L$2:$L$1369,MATCH(1220,Engine!$C$2:$C$1369,0)))</f>
        <v/>
      </c>
      <c r="M1233" s="9">
        <f>IF(ISNA(MATCH(1220,Engine!$C$2:$C$1369,0)),"",INDEX('Compliance Database'!$M$2:$M$1369,MATCH(1220,Engine!$C$2:$C$1369,0)))</f>
        <v/>
      </c>
      <c r="N1233" s="9">
        <f>IF(ISNA(MATCH(1220,Engine!$C$2:$C$1369,0)),"",INDEX('Compliance Database'!$N$2:$N$1369,MATCH(1220,Engine!$C$2:$C$1369,0)))</f>
        <v/>
      </c>
      <c r="O1233" s="8">
        <f>IF(ISNA(MATCH(1220,Engine!$C$2:$C$1369,0)),"",HYPERLINK(INDEX('Compliance Database'!$O$2:$O$1369,MATCH(1220,Engine!$C$2:$C$1369,0)),"Open PDF"))</f>
        <v/>
      </c>
    </row>
    <row r="1234" ht="188" customHeight="1">
      <c r="A1234" s="8">
        <f>IF(ISNA(MATCH(1221,Engine!$C$2:$C$1369,0)),"",INDEX('Compliance Database'!$A$2:$A$1369,MATCH(1221,Engine!$C$2:$C$1369,0)))</f>
        <v/>
      </c>
      <c r="B1234" s="8">
        <f>IF(ISNA(MATCH(1221,Engine!$C$2:$C$1369,0)),"",INDEX('Compliance Database'!$B$2:$B$1369,MATCH(1221,Engine!$C$2:$C$1369,0)))</f>
        <v/>
      </c>
      <c r="C1234" s="8">
        <f>IF(ISNA(MATCH(1221,Engine!$C$2:$C$1369,0)),"",INDEX('Compliance Database'!$C$2:$C$1369,MATCH(1221,Engine!$C$2:$C$1369,0)))</f>
        <v/>
      </c>
      <c r="D1234" s="9">
        <f>IF(ISNA(MATCH(1221,Engine!$C$2:$C$1369,0)),"",INDEX('Compliance Database'!$D$2:$D$1369,MATCH(1221,Engine!$C$2:$C$1369,0)))</f>
        <v/>
      </c>
      <c r="E1234" s="8">
        <f>IF(ISNA(MATCH(1221,Engine!$C$2:$C$1369,0)),"",INDEX('Compliance Database'!$E$2:$E$1369,MATCH(1221,Engine!$C$2:$C$1369,0)))</f>
        <v/>
      </c>
      <c r="F1234" s="8">
        <f>IF(ISNA(MATCH(1221,Engine!$C$2:$C$1369,0)),"",INDEX('Compliance Database'!$F$2:$F$1369,MATCH(1221,Engine!$C$2:$C$1369,0)))</f>
        <v/>
      </c>
      <c r="G1234" s="8">
        <f>IF(ISNA(MATCH(1221,Engine!$C$2:$C$1369,0)),"",INDEX('Compliance Database'!$G$2:$G$1369,MATCH(1221,Engine!$C$2:$C$1369,0)))</f>
        <v/>
      </c>
      <c r="H1234" s="9">
        <f>IF(ISNA(MATCH(1221,Engine!$C$2:$C$1369,0)),"",INDEX('Compliance Database'!$H$2:$H$1369,MATCH(1221,Engine!$C$2:$C$1369,0)))</f>
        <v/>
      </c>
      <c r="I1234" s="9">
        <f>IF(ISNA(MATCH(1221,Engine!$C$2:$C$1369,0)),"",INDEX('Compliance Database'!$I$2:$I$1369,MATCH(1221,Engine!$C$2:$C$1369,0)))</f>
        <v/>
      </c>
      <c r="J1234" s="8">
        <f>IF(ISNA(MATCH(1221,Engine!$C$2:$C$1369,0)),"",INDEX('Compliance Database'!$J$2:$J$1369,MATCH(1221,Engine!$C$2:$C$1369,0)))</f>
        <v/>
      </c>
      <c r="K1234" s="9">
        <f>IF(ISNA(MATCH(1221,Engine!$C$2:$C$1369,0)),"",INDEX('Compliance Database'!$K$2:$K$1369,MATCH(1221,Engine!$C$2:$C$1369,0)))</f>
        <v/>
      </c>
      <c r="L1234" s="9">
        <f>IF(ISNA(MATCH(1221,Engine!$C$2:$C$1369,0)),"",INDEX('Compliance Database'!$L$2:$L$1369,MATCH(1221,Engine!$C$2:$C$1369,0)))</f>
        <v/>
      </c>
      <c r="M1234" s="9">
        <f>IF(ISNA(MATCH(1221,Engine!$C$2:$C$1369,0)),"",INDEX('Compliance Database'!$M$2:$M$1369,MATCH(1221,Engine!$C$2:$C$1369,0)))</f>
        <v/>
      </c>
      <c r="N1234" s="9">
        <f>IF(ISNA(MATCH(1221,Engine!$C$2:$C$1369,0)),"",INDEX('Compliance Database'!$N$2:$N$1369,MATCH(1221,Engine!$C$2:$C$1369,0)))</f>
        <v/>
      </c>
      <c r="O1234" s="8">
        <f>IF(ISNA(MATCH(1221,Engine!$C$2:$C$1369,0)),"",HYPERLINK(INDEX('Compliance Database'!$O$2:$O$1369,MATCH(1221,Engine!$C$2:$C$1369,0)),"Open PDF"))</f>
        <v/>
      </c>
    </row>
    <row r="1235" ht="188" customHeight="1">
      <c r="A1235" s="8">
        <f>IF(ISNA(MATCH(1222,Engine!$C$2:$C$1369,0)),"",INDEX('Compliance Database'!$A$2:$A$1369,MATCH(1222,Engine!$C$2:$C$1369,0)))</f>
        <v/>
      </c>
      <c r="B1235" s="8">
        <f>IF(ISNA(MATCH(1222,Engine!$C$2:$C$1369,0)),"",INDEX('Compliance Database'!$B$2:$B$1369,MATCH(1222,Engine!$C$2:$C$1369,0)))</f>
        <v/>
      </c>
      <c r="C1235" s="8">
        <f>IF(ISNA(MATCH(1222,Engine!$C$2:$C$1369,0)),"",INDEX('Compliance Database'!$C$2:$C$1369,MATCH(1222,Engine!$C$2:$C$1369,0)))</f>
        <v/>
      </c>
      <c r="D1235" s="9">
        <f>IF(ISNA(MATCH(1222,Engine!$C$2:$C$1369,0)),"",INDEX('Compliance Database'!$D$2:$D$1369,MATCH(1222,Engine!$C$2:$C$1369,0)))</f>
        <v/>
      </c>
      <c r="E1235" s="8">
        <f>IF(ISNA(MATCH(1222,Engine!$C$2:$C$1369,0)),"",INDEX('Compliance Database'!$E$2:$E$1369,MATCH(1222,Engine!$C$2:$C$1369,0)))</f>
        <v/>
      </c>
      <c r="F1235" s="8">
        <f>IF(ISNA(MATCH(1222,Engine!$C$2:$C$1369,0)),"",INDEX('Compliance Database'!$F$2:$F$1369,MATCH(1222,Engine!$C$2:$C$1369,0)))</f>
        <v/>
      </c>
      <c r="G1235" s="8">
        <f>IF(ISNA(MATCH(1222,Engine!$C$2:$C$1369,0)),"",INDEX('Compliance Database'!$G$2:$G$1369,MATCH(1222,Engine!$C$2:$C$1369,0)))</f>
        <v/>
      </c>
      <c r="H1235" s="9">
        <f>IF(ISNA(MATCH(1222,Engine!$C$2:$C$1369,0)),"",INDEX('Compliance Database'!$H$2:$H$1369,MATCH(1222,Engine!$C$2:$C$1369,0)))</f>
        <v/>
      </c>
      <c r="I1235" s="9">
        <f>IF(ISNA(MATCH(1222,Engine!$C$2:$C$1369,0)),"",INDEX('Compliance Database'!$I$2:$I$1369,MATCH(1222,Engine!$C$2:$C$1369,0)))</f>
        <v/>
      </c>
      <c r="J1235" s="8">
        <f>IF(ISNA(MATCH(1222,Engine!$C$2:$C$1369,0)),"",INDEX('Compliance Database'!$J$2:$J$1369,MATCH(1222,Engine!$C$2:$C$1369,0)))</f>
        <v/>
      </c>
      <c r="K1235" s="9">
        <f>IF(ISNA(MATCH(1222,Engine!$C$2:$C$1369,0)),"",INDEX('Compliance Database'!$K$2:$K$1369,MATCH(1222,Engine!$C$2:$C$1369,0)))</f>
        <v/>
      </c>
      <c r="L1235" s="9">
        <f>IF(ISNA(MATCH(1222,Engine!$C$2:$C$1369,0)),"",INDEX('Compliance Database'!$L$2:$L$1369,MATCH(1222,Engine!$C$2:$C$1369,0)))</f>
        <v/>
      </c>
      <c r="M1235" s="9">
        <f>IF(ISNA(MATCH(1222,Engine!$C$2:$C$1369,0)),"",INDEX('Compliance Database'!$M$2:$M$1369,MATCH(1222,Engine!$C$2:$C$1369,0)))</f>
        <v/>
      </c>
      <c r="N1235" s="9">
        <f>IF(ISNA(MATCH(1222,Engine!$C$2:$C$1369,0)),"",INDEX('Compliance Database'!$N$2:$N$1369,MATCH(1222,Engine!$C$2:$C$1369,0)))</f>
        <v/>
      </c>
      <c r="O1235" s="8">
        <f>IF(ISNA(MATCH(1222,Engine!$C$2:$C$1369,0)),"",HYPERLINK(INDEX('Compliance Database'!$O$2:$O$1369,MATCH(1222,Engine!$C$2:$C$1369,0)),"Open PDF"))</f>
        <v/>
      </c>
    </row>
    <row r="1236" ht="188" customHeight="1">
      <c r="A1236" s="8">
        <f>IF(ISNA(MATCH(1223,Engine!$C$2:$C$1369,0)),"",INDEX('Compliance Database'!$A$2:$A$1369,MATCH(1223,Engine!$C$2:$C$1369,0)))</f>
        <v/>
      </c>
      <c r="B1236" s="8">
        <f>IF(ISNA(MATCH(1223,Engine!$C$2:$C$1369,0)),"",INDEX('Compliance Database'!$B$2:$B$1369,MATCH(1223,Engine!$C$2:$C$1369,0)))</f>
        <v/>
      </c>
      <c r="C1236" s="8">
        <f>IF(ISNA(MATCH(1223,Engine!$C$2:$C$1369,0)),"",INDEX('Compliance Database'!$C$2:$C$1369,MATCH(1223,Engine!$C$2:$C$1369,0)))</f>
        <v/>
      </c>
      <c r="D1236" s="9">
        <f>IF(ISNA(MATCH(1223,Engine!$C$2:$C$1369,0)),"",INDEX('Compliance Database'!$D$2:$D$1369,MATCH(1223,Engine!$C$2:$C$1369,0)))</f>
        <v/>
      </c>
      <c r="E1236" s="8">
        <f>IF(ISNA(MATCH(1223,Engine!$C$2:$C$1369,0)),"",INDEX('Compliance Database'!$E$2:$E$1369,MATCH(1223,Engine!$C$2:$C$1369,0)))</f>
        <v/>
      </c>
      <c r="F1236" s="8">
        <f>IF(ISNA(MATCH(1223,Engine!$C$2:$C$1369,0)),"",INDEX('Compliance Database'!$F$2:$F$1369,MATCH(1223,Engine!$C$2:$C$1369,0)))</f>
        <v/>
      </c>
      <c r="G1236" s="8">
        <f>IF(ISNA(MATCH(1223,Engine!$C$2:$C$1369,0)),"",INDEX('Compliance Database'!$G$2:$G$1369,MATCH(1223,Engine!$C$2:$C$1369,0)))</f>
        <v/>
      </c>
      <c r="H1236" s="9">
        <f>IF(ISNA(MATCH(1223,Engine!$C$2:$C$1369,0)),"",INDEX('Compliance Database'!$H$2:$H$1369,MATCH(1223,Engine!$C$2:$C$1369,0)))</f>
        <v/>
      </c>
      <c r="I1236" s="9">
        <f>IF(ISNA(MATCH(1223,Engine!$C$2:$C$1369,0)),"",INDEX('Compliance Database'!$I$2:$I$1369,MATCH(1223,Engine!$C$2:$C$1369,0)))</f>
        <v/>
      </c>
      <c r="J1236" s="8">
        <f>IF(ISNA(MATCH(1223,Engine!$C$2:$C$1369,0)),"",INDEX('Compliance Database'!$J$2:$J$1369,MATCH(1223,Engine!$C$2:$C$1369,0)))</f>
        <v/>
      </c>
      <c r="K1236" s="9">
        <f>IF(ISNA(MATCH(1223,Engine!$C$2:$C$1369,0)),"",INDEX('Compliance Database'!$K$2:$K$1369,MATCH(1223,Engine!$C$2:$C$1369,0)))</f>
        <v/>
      </c>
      <c r="L1236" s="9">
        <f>IF(ISNA(MATCH(1223,Engine!$C$2:$C$1369,0)),"",INDEX('Compliance Database'!$L$2:$L$1369,MATCH(1223,Engine!$C$2:$C$1369,0)))</f>
        <v/>
      </c>
      <c r="M1236" s="9">
        <f>IF(ISNA(MATCH(1223,Engine!$C$2:$C$1369,0)),"",INDEX('Compliance Database'!$M$2:$M$1369,MATCH(1223,Engine!$C$2:$C$1369,0)))</f>
        <v/>
      </c>
      <c r="N1236" s="9">
        <f>IF(ISNA(MATCH(1223,Engine!$C$2:$C$1369,0)),"",INDEX('Compliance Database'!$N$2:$N$1369,MATCH(1223,Engine!$C$2:$C$1369,0)))</f>
        <v/>
      </c>
      <c r="O1236" s="8">
        <f>IF(ISNA(MATCH(1223,Engine!$C$2:$C$1369,0)),"",HYPERLINK(INDEX('Compliance Database'!$O$2:$O$1369,MATCH(1223,Engine!$C$2:$C$1369,0)),"Open PDF"))</f>
        <v/>
      </c>
    </row>
    <row r="1237" ht="188" customHeight="1">
      <c r="A1237" s="8">
        <f>IF(ISNA(MATCH(1224,Engine!$C$2:$C$1369,0)),"",INDEX('Compliance Database'!$A$2:$A$1369,MATCH(1224,Engine!$C$2:$C$1369,0)))</f>
        <v/>
      </c>
      <c r="B1237" s="8">
        <f>IF(ISNA(MATCH(1224,Engine!$C$2:$C$1369,0)),"",INDEX('Compliance Database'!$B$2:$B$1369,MATCH(1224,Engine!$C$2:$C$1369,0)))</f>
        <v/>
      </c>
      <c r="C1237" s="8">
        <f>IF(ISNA(MATCH(1224,Engine!$C$2:$C$1369,0)),"",INDEX('Compliance Database'!$C$2:$C$1369,MATCH(1224,Engine!$C$2:$C$1369,0)))</f>
        <v/>
      </c>
      <c r="D1237" s="9">
        <f>IF(ISNA(MATCH(1224,Engine!$C$2:$C$1369,0)),"",INDEX('Compliance Database'!$D$2:$D$1369,MATCH(1224,Engine!$C$2:$C$1369,0)))</f>
        <v/>
      </c>
      <c r="E1237" s="8">
        <f>IF(ISNA(MATCH(1224,Engine!$C$2:$C$1369,0)),"",INDEX('Compliance Database'!$E$2:$E$1369,MATCH(1224,Engine!$C$2:$C$1369,0)))</f>
        <v/>
      </c>
      <c r="F1237" s="8">
        <f>IF(ISNA(MATCH(1224,Engine!$C$2:$C$1369,0)),"",INDEX('Compliance Database'!$F$2:$F$1369,MATCH(1224,Engine!$C$2:$C$1369,0)))</f>
        <v/>
      </c>
      <c r="G1237" s="8">
        <f>IF(ISNA(MATCH(1224,Engine!$C$2:$C$1369,0)),"",INDEX('Compliance Database'!$G$2:$G$1369,MATCH(1224,Engine!$C$2:$C$1369,0)))</f>
        <v/>
      </c>
      <c r="H1237" s="9">
        <f>IF(ISNA(MATCH(1224,Engine!$C$2:$C$1369,0)),"",INDEX('Compliance Database'!$H$2:$H$1369,MATCH(1224,Engine!$C$2:$C$1369,0)))</f>
        <v/>
      </c>
      <c r="I1237" s="9">
        <f>IF(ISNA(MATCH(1224,Engine!$C$2:$C$1369,0)),"",INDEX('Compliance Database'!$I$2:$I$1369,MATCH(1224,Engine!$C$2:$C$1369,0)))</f>
        <v/>
      </c>
      <c r="J1237" s="8">
        <f>IF(ISNA(MATCH(1224,Engine!$C$2:$C$1369,0)),"",INDEX('Compliance Database'!$J$2:$J$1369,MATCH(1224,Engine!$C$2:$C$1369,0)))</f>
        <v/>
      </c>
      <c r="K1237" s="9">
        <f>IF(ISNA(MATCH(1224,Engine!$C$2:$C$1369,0)),"",INDEX('Compliance Database'!$K$2:$K$1369,MATCH(1224,Engine!$C$2:$C$1369,0)))</f>
        <v/>
      </c>
      <c r="L1237" s="9">
        <f>IF(ISNA(MATCH(1224,Engine!$C$2:$C$1369,0)),"",INDEX('Compliance Database'!$L$2:$L$1369,MATCH(1224,Engine!$C$2:$C$1369,0)))</f>
        <v/>
      </c>
      <c r="M1237" s="9">
        <f>IF(ISNA(MATCH(1224,Engine!$C$2:$C$1369,0)),"",INDEX('Compliance Database'!$M$2:$M$1369,MATCH(1224,Engine!$C$2:$C$1369,0)))</f>
        <v/>
      </c>
      <c r="N1237" s="9">
        <f>IF(ISNA(MATCH(1224,Engine!$C$2:$C$1369,0)),"",INDEX('Compliance Database'!$N$2:$N$1369,MATCH(1224,Engine!$C$2:$C$1369,0)))</f>
        <v/>
      </c>
      <c r="O1237" s="8">
        <f>IF(ISNA(MATCH(1224,Engine!$C$2:$C$1369,0)),"",HYPERLINK(INDEX('Compliance Database'!$O$2:$O$1369,MATCH(1224,Engine!$C$2:$C$1369,0)),"Open PDF"))</f>
        <v/>
      </c>
    </row>
    <row r="1238" ht="188" customHeight="1">
      <c r="A1238" s="8">
        <f>IF(ISNA(MATCH(1225,Engine!$C$2:$C$1369,0)),"",INDEX('Compliance Database'!$A$2:$A$1369,MATCH(1225,Engine!$C$2:$C$1369,0)))</f>
        <v/>
      </c>
      <c r="B1238" s="8">
        <f>IF(ISNA(MATCH(1225,Engine!$C$2:$C$1369,0)),"",INDEX('Compliance Database'!$B$2:$B$1369,MATCH(1225,Engine!$C$2:$C$1369,0)))</f>
        <v/>
      </c>
      <c r="C1238" s="8">
        <f>IF(ISNA(MATCH(1225,Engine!$C$2:$C$1369,0)),"",INDEX('Compliance Database'!$C$2:$C$1369,MATCH(1225,Engine!$C$2:$C$1369,0)))</f>
        <v/>
      </c>
      <c r="D1238" s="9">
        <f>IF(ISNA(MATCH(1225,Engine!$C$2:$C$1369,0)),"",INDEX('Compliance Database'!$D$2:$D$1369,MATCH(1225,Engine!$C$2:$C$1369,0)))</f>
        <v/>
      </c>
      <c r="E1238" s="8">
        <f>IF(ISNA(MATCH(1225,Engine!$C$2:$C$1369,0)),"",INDEX('Compliance Database'!$E$2:$E$1369,MATCH(1225,Engine!$C$2:$C$1369,0)))</f>
        <v/>
      </c>
      <c r="F1238" s="8">
        <f>IF(ISNA(MATCH(1225,Engine!$C$2:$C$1369,0)),"",INDEX('Compliance Database'!$F$2:$F$1369,MATCH(1225,Engine!$C$2:$C$1369,0)))</f>
        <v/>
      </c>
      <c r="G1238" s="8">
        <f>IF(ISNA(MATCH(1225,Engine!$C$2:$C$1369,0)),"",INDEX('Compliance Database'!$G$2:$G$1369,MATCH(1225,Engine!$C$2:$C$1369,0)))</f>
        <v/>
      </c>
      <c r="H1238" s="9">
        <f>IF(ISNA(MATCH(1225,Engine!$C$2:$C$1369,0)),"",INDEX('Compliance Database'!$H$2:$H$1369,MATCH(1225,Engine!$C$2:$C$1369,0)))</f>
        <v/>
      </c>
      <c r="I1238" s="9">
        <f>IF(ISNA(MATCH(1225,Engine!$C$2:$C$1369,0)),"",INDEX('Compliance Database'!$I$2:$I$1369,MATCH(1225,Engine!$C$2:$C$1369,0)))</f>
        <v/>
      </c>
      <c r="J1238" s="8">
        <f>IF(ISNA(MATCH(1225,Engine!$C$2:$C$1369,0)),"",INDEX('Compliance Database'!$J$2:$J$1369,MATCH(1225,Engine!$C$2:$C$1369,0)))</f>
        <v/>
      </c>
      <c r="K1238" s="9">
        <f>IF(ISNA(MATCH(1225,Engine!$C$2:$C$1369,0)),"",INDEX('Compliance Database'!$K$2:$K$1369,MATCH(1225,Engine!$C$2:$C$1369,0)))</f>
        <v/>
      </c>
      <c r="L1238" s="9">
        <f>IF(ISNA(MATCH(1225,Engine!$C$2:$C$1369,0)),"",INDEX('Compliance Database'!$L$2:$L$1369,MATCH(1225,Engine!$C$2:$C$1369,0)))</f>
        <v/>
      </c>
      <c r="M1238" s="9">
        <f>IF(ISNA(MATCH(1225,Engine!$C$2:$C$1369,0)),"",INDEX('Compliance Database'!$M$2:$M$1369,MATCH(1225,Engine!$C$2:$C$1369,0)))</f>
        <v/>
      </c>
      <c r="N1238" s="9">
        <f>IF(ISNA(MATCH(1225,Engine!$C$2:$C$1369,0)),"",INDEX('Compliance Database'!$N$2:$N$1369,MATCH(1225,Engine!$C$2:$C$1369,0)))</f>
        <v/>
      </c>
      <c r="O1238" s="8">
        <f>IF(ISNA(MATCH(1225,Engine!$C$2:$C$1369,0)),"",HYPERLINK(INDEX('Compliance Database'!$O$2:$O$1369,MATCH(1225,Engine!$C$2:$C$1369,0)),"Open PDF"))</f>
        <v/>
      </c>
    </row>
    <row r="1239" ht="188" customHeight="1">
      <c r="A1239" s="8">
        <f>IF(ISNA(MATCH(1226,Engine!$C$2:$C$1369,0)),"",INDEX('Compliance Database'!$A$2:$A$1369,MATCH(1226,Engine!$C$2:$C$1369,0)))</f>
        <v/>
      </c>
      <c r="B1239" s="8">
        <f>IF(ISNA(MATCH(1226,Engine!$C$2:$C$1369,0)),"",INDEX('Compliance Database'!$B$2:$B$1369,MATCH(1226,Engine!$C$2:$C$1369,0)))</f>
        <v/>
      </c>
      <c r="C1239" s="8">
        <f>IF(ISNA(MATCH(1226,Engine!$C$2:$C$1369,0)),"",INDEX('Compliance Database'!$C$2:$C$1369,MATCH(1226,Engine!$C$2:$C$1369,0)))</f>
        <v/>
      </c>
      <c r="D1239" s="9">
        <f>IF(ISNA(MATCH(1226,Engine!$C$2:$C$1369,0)),"",INDEX('Compliance Database'!$D$2:$D$1369,MATCH(1226,Engine!$C$2:$C$1369,0)))</f>
        <v/>
      </c>
      <c r="E1239" s="8">
        <f>IF(ISNA(MATCH(1226,Engine!$C$2:$C$1369,0)),"",INDEX('Compliance Database'!$E$2:$E$1369,MATCH(1226,Engine!$C$2:$C$1369,0)))</f>
        <v/>
      </c>
      <c r="F1239" s="8">
        <f>IF(ISNA(MATCH(1226,Engine!$C$2:$C$1369,0)),"",INDEX('Compliance Database'!$F$2:$F$1369,MATCH(1226,Engine!$C$2:$C$1369,0)))</f>
        <v/>
      </c>
      <c r="G1239" s="8">
        <f>IF(ISNA(MATCH(1226,Engine!$C$2:$C$1369,0)),"",INDEX('Compliance Database'!$G$2:$G$1369,MATCH(1226,Engine!$C$2:$C$1369,0)))</f>
        <v/>
      </c>
      <c r="H1239" s="9">
        <f>IF(ISNA(MATCH(1226,Engine!$C$2:$C$1369,0)),"",INDEX('Compliance Database'!$H$2:$H$1369,MATCH(1226,Engine!$C$2:$C$1369,0)))</f>
        <v/>
      </c>
      <c r="I1239" s="9">
        <f>IF(ISNA(MATCH(1226,Engine!$C$2:$C$1369,0)),"",INDEX('Compliance Database'!$I$2:$I$1369,MATCH(1226,Engine!$C$2:$C$1369,0)))</f>
        <v/>
      </c>
      <c r="J1239" s="8">
        <f>IF(ISNA(MATCH(1226,Engine!$C$2:$C$1369,0)),"",INDEX('Compliance Database'!$J$2:$J$1369,MATCH(1226,Engine!$C$2:$C$1369,0)))</f>
        <v/>
      </c>
      <c r="K1239" s="9">
        <f>IF(ISNA(MATCH(1226,Engine!$C$2:$C$1369,0)),"",INDEX('Compliance Database'!$K$2:$K$1369,MATCH(1226,Engine!$C$2:$C$1369,0)))</f>
        <v/>
      </c>
      <c r="L1239" s="9">
        <f>IF(ISNA(MATCH(1226,Engine!$C$2:$C$1369,0)),"",INDEX('Compliance Database'!$L$2:$L$1369,MATCH(1226,Engine!$C$2:$C$1369,0)))</f>
        <v/>
      </c>
      <c r="M1239" s="9">
        <f>IF(ISNA(MATCH(1226,Engine!$C$2:$C$1369,0)),"",INDEX('Compliance Database'!$M$2:$M$1369,MATCH(1226,Engine!$C$2:$C$1369,0)))</f>
        <v/>
      </c>
      <c r="N1239" s="9">
        <f>IF(ISNA(MATCH(1226,Engine!$C$2:$C$1369,0)),"",INDEX('Compliance Database'!$N$2:$N$1369,MATCH(1226,Engine!$C$2:$C$1369,0)))</f>
        <v/>
      </c>
      <c r="O1239" s="8">
        <f>IF(ISNA(MATCH(1226,Engine!$C$2:$C$1369,0)),"",HYPERLINK(INDEX('Compliance Database'!$O$2:$O$1369,MATCH(1226,Engine!$C$2:$C$1369,0)),"Open PDF"))</f>
        <v/>
      </c>
    </row>
    <row r="1240" ht="188" customHeight="1">
      <c r="A1240" s="8">
        <f>IF(ISNA(MATCH(1227,Engine!$C$2:$C$1369,0)),"",INDEX('Compliance Database'!$A$2:$A$1369,MATCH(1227,Engine!$C$2:$C$1369,0)))</f>
        <v/>
      </c>
      <c r="B1240" s="8">
        <f>IF(ISNA(MATCH(1227,Engine!$C$2:$C$1369,0)),"",INDEX('Compliance Database'!$B$2:$B$1369,MATCH(1227,Engine!$C$2:$C$1369,0)))</f>
        <v/>
      </c>
      <c r="C1240" s="8">
        <f>IF(ISNA(MATCH(1227,Engine!$C$2:$C$1369,0)),"",INDEX('Compliance Database'!$C$2:$C$1369,MATCH(1227,Engine!$C$2:$C$1369,0)))</f>
        <v/>
      </c>
      <c r="D1240" s="9">
        <f>IF(ISNA(MATCH(1227,Engine!$C$2:$C$1369,0)),"",INDEX('Compliance Database'!$D$2:$D$1369,MATCH(1227,Engine!$C$2:$C$1369,0)))</f>
        <v/>
      </c>
      <c r="E1240" s="8">
        <f>IF(ISNA(MATCH(1227,Engine!$C$2:$C$1369,0)),"",INDEX('Compliance Database'!$E$2:$E$1369,MATCH(1227,Engine!$C$2:$C$1369,0)))</f>
        <v/>
      </c>
      <c r="F1240" s="8">
        <f>IF(ISNA(MATCH(1227,Engine!$C$2:$C$1369,0)),"",INDEX('Compliance Database'!$F$2:$F$1369,MATCH(1227,Engine!$C$2:$C$1369,0)))</f>
        <v/>
      </c>
      <c r="G1240" s="8">
        <f>IF(ISNA(MATCH(1227,Engine!$C$2:$C$1369,0)),"",INDEX('Compliance Database'!$G$2:$G$1369,MATCH(1227,Engine!$C$2:$C$1369,0)))</f>
        <v/>
      </c>
      <c r="H1240" s="9">
        <f>IF(ISNA(MATCH(1227,Engine!$C$2:$C$1369,0)),"",INDEX('Compliance Database'!$H$2:$H$1369,MATCH(1227,Engine!$C$2:$C$1369,0)))</f>
        <v/>
      </c>
      <c r="I1240" s="9">
        <f>IF(ISNA(MATCH(1227,Engine!$C$2:$C$1369,0)),"",INDEX('Compliance Database'!$I$2:$I$1369,MATCH(1227,Engine!$C$2:$C$1369,0)))</f>
        <v/>
      </c>
      <c r="J1240" s="8">
        <f>IF(ISNA(MATCH(1227,Engine!$C$2:$C$1369,0)),"",INDEX('Compliance Database'!$J$2:$J$1369,MATCH(1227,Engine!$C$2:$C$1369,0)))</f>
        <v/>
      </c>
      <c r="K1240" s="9">
        <f>IF(ISNA(MATCH(1227,Engine!$C$2:$C$1369,0)),"",INDEX('Compliance Database'!$K$2:$K$1369,MATCH(1227,Engine!$C$2:$C$1369,0)))</f>
        <v/>
      </c>
      <c r="L1240" s="9">
        <f>IF(ISNA(MATCH(1227,Engine!$C$2:$C$1369,0)),"",INDEX('Compliance Database'!$L$2:$L$1369,MATCH(1227,Engine!$C$2:$C$1369,0)))</f>
        <v/>
      </c>
      <c r="M1240" s="9">
        <f>IF(ISNA(MATCH(1227,Engine!$C$2:$C$1369,0)),"",INDEX('Compliance Database'!$M$2:$M$1369,MATCH(1227,Engine!$C$2:$C$1369,0)))</f>
        <v/>
      </c>
      <c r="N1240" s="9">
        <f>IF(ISNA(MATCH(1227,Engine!$C$2:$C$1369,0)),"",INDEX('Compliance Database'!$N$2:$N$1369,MATCH(1227,Engine!$C$2:$C$1369,0)))</f>
        <v/>
      </c>
      <c r="O1240" s="8">
        <f>IF(ISNA(MATCH(1227,Engine!$C$2:$C$1369,0)),"",HYPERLINK(INDEX('Compliance Database'!$O$2:$O$1369,MATCH(1227,Engine!$C$2:$C$1369,0)),"Open PDF"))</f>
        <v/>
      </c>
    </row>
    <row r="1241" ht="188" customHeight="1">
      <c r="A1241" s="8">
        <f>IF(ISNA(MATCH(1228,Engine!$C$2:$C$1369,0)),"",INDEX('Compliance Database'!$A$2:$A$1369,MATCH(1228,Engine!$C$2:$C$1369,0)))</f>
        <v/>
      </c>
      <c r="B1241" s="8">
        <f>IF(ISNA(MATCH(1228,Engine!$C$2:$C$1369,0)),"",INDEX('Compliance Database'!$B$2:$B$1369,MATCH(1228,Engine!$C$2:$C$1369,0)))</f>
        <v/>
      </c>
      <c r="C1241" s="8">
        <f>IF(ISNA(MATCH(1228,Engine!$C$2:$C$1369,0)),"",INDEX('Compliance Database'!$C$2:$C$1369,MATCH(1228,Engine!$C$2:$C$1369,0)))</f>
        <v/>
      </c>
      <c r="D1241" s="9">
        <f>IF(ISNA(MATCH(1228,Engine!$C$2:$C$1369,0)),"",INDEX('Compliance Database'!$D$2:$D$1369,MATCH(1228,Engine!$C$2:$C$1369,0)))</f>
        <v/>
      </c>
      <c r="E1241" s="8">
        <f>IF(ISNA(MATCH(1228,Engine!$C$2:$C$1369,0)),"",INDEX('Compliance Database'!$E$2:$E$1369,MATCH(1228,Engine!$C$2:$C$1369,0)))</f>
        <v/>
      </c>
      <c r="F1241" s="8">
        <f>IF(ISNA(MATCH(1228,Engine!$C$2:$C$1369,0)),"",INDEX('Compliance Database'!$F$2:$F$1369,MATCH(1228,Engine!$C$2:$C$1369,0)))</f>
        <v/>
      </c>
      <c r="G1241" s="8">
        <f>IF(ISNA(MATCH(1228,Engine!$C$2:$C$1369,0)),"",INDEX('Compliance Database'!$G$2:$G$1369,MATCH(1228,Engine!$C$2:$C$1369,0)))</f>
        <v/>
      </c>
      <c r="H1241" s="9">
        <f>IF(ISNA(MATCH(1228,Engine!$C$2:$C$1369,0)),"",INDEX('Compliance Database'!$H$2:$H$1369,MATCH(1228,Engine!$C$2:$C$1369,0)))</f>
        <v/>
      </c>
      <c r="I1241" s="9">
        <f>IF(ISNA(MATCH(1228,Engine!$C$2:$C$1369,0)),"",INDEX('Compliance Database'!$I$2:$I$1369,MATCH(1228,Engine!$C$2:$C$1369,0)))</f>
        <v/>
      </c>
      <c r="J1241" s="8">
        <f>IF(ISNA(MATCH(1228,Engine!$C$2:$C$1369,0)),"",INDEX('Compliance Database'!$J$2:$J$1369,MATCH(1228,Engine!$C$2:$C$1369,0)))</f>
        <v/>
      </c>
      <c r="K1241" s="9">
        <f>IF(ISNA(MATCH(1228,Engine!$C$2:$C$1369,0)),"",INDEX('Compliance Database'!$K$2:$K$1369,MATCH(1228,Engine!$C$2:$C$1369,0)))</f>
        <v/>
      </c>
      <c r="L1241" s="9">
        <f>IF(ISNA(MATCH(1228,Engine!$C$2:$C$1369,0)),"",INDEX('Compliance Database'!$L$2:$L$1369,MATCH(1228,Engine!$C$2:$C$1369,0)))</f>
        <v/>
      </c>
      <c r="M1241" s="9">
        <f>IF(ISNA(MATCH(1228,Engine!$C$2:$C$1369,0)),"",INDEX('Compliance Database'!$M$2:$M$1369,MATCH(1228,Engine!$C$2:$C$1369,0)))</f>
        <v/>
      </c>
      <c r="N1241" s="9">
        <f>IF(ISNA(MATCH(1228,Engine!$C$2:$C$1369,0)),"",INDEX('Compliance Database'!$N$2:$N$1369,MATCH(1228,Engine!$C$2:$C$1369,0)))</f>
        <v/>
      </c>
      <c r="O1241" s="8">
        <f>IF(ISNA(MATCH(1228,Engine!$C$2:$C$1369,0)),"",HYPERLINK(INDEX('Compliance Database'!$O$2:$O$1369,MATCH(1228,Engine!$C$2:$C$1369,0)),"Open PDF"))</f>
        <v/>
      </c>
    </row>
    <row r="1242" ht="188" customHeight="1">
      <c r="A1242" s="8">
        <f>IF(ISNA(MATCH(1229,Engine!$C$2:$C$1369,0)),"",INDEX('Compliance Database'!$A$2:$A$1369,MATCH(1229,Engine!$C$2:$C$1369,0)))</f>
        <v/>
      </c>
      <c r="B1242" s="8">
        <f>IF(ISNA(MATCH(1229,Engine!$C$2:$C$1369,0)),"",INDEX('Compliance Database'!$B$2:$B$1369,MATCH(1229,Engine!$C$2:$C$1369,0)))</f>
        <v/>
      </c>
      <c r="C1242" s="8">
        <f>IF(ISNA(MATCH(1229,Engine!$C$2:$C$1369,0)),"",INDEX('Compliance Database'!$C$2:$C$1369,MATCH(1229,Engine!$C$2:$C$1369,0)))</f>
        <v/>
      </c>
      <c r="D1242" s="9">
        <f>IF(ISNA(MATCH(1229,Engine!$C$2:$C$1369,0)),"",INDEX('Compliance Database'!$D$2:$D$1369,MATCH(1229,Engine!$C$2:$C$1369,0)))</f>
        <v/>
      </c>
      <c r="E1242" s="8">
        <f>IF(ISNA(MATCH(1229,Engine!$C$2:$C$1369,0)),"",INDEX('Compliance Database'!$E$2:$E$1369,MATCH(1229,Engine!$C$2:$C$1369,0)))</f>
        <v/>
      </c>
      <c r="F1242" s="8">
        <f>IF(ISNA(MATCH(1229,Engine!$C$2:$C$1369,0)),"",INDEX('Compliance Database'!$F$2:$F$1369,MATCH(1229,Engine!$C$2:$C$1369,0)))</f>
        <v/>
      </c>
      <c r="G1242" s="8">
        <f>IF(ISNA(MATCH(1229,Engine!$C$2:$C$1369,0)),"",INDEX('Compliance Database'!$G$2:$G$1369,MATCH(1229,Engine!$C$2:$C$1369,0)))</f>
        <v/>
      </c>
      <c r="H1242" s="9">
        <f>IF(ISNA(MATCH(1229,Engine!$C$2:$C$1369,0)),"",INDEX('Compliance Database'!$H$2:$H$1369,MATCH(1229,Engine!$C$2:$C$1369,0)))</f>
        <v/>
      </c>
      <c r="I1242" s="9">
        <f>IF(ISNA(MATCH(1229,Engine!$C$2:$C$1369,0)),"",INDEX('Compliance Database'!$I$2:$I$1369,MATCH(1229,Engine!$C$2:$C$1369,0)))</f>
        <v/>
      </c>
      <c r="J1242" s="8">
        <f>IF(ISNA(MATCH(1229,Engine!$C$2:$C$1369,0)),"",INDEX('Compliance Database'!$J$2:$J$1369,MATCH(1229,Engine!$C$2:$C$1369,0)))</f>
        <v/>
      </c>
      <c r="K1242" s="9">
        <f>IF(ISNA(MATCH(1229,Engine!$C$2:$C$1369,0)),"",INDEX('Compliance Database'!$K$2:$K$1369,MATCH(1229,Engine!$C$2:$C$1369,0)))</f>
        <v/>
      </c>
      <c r="L1242" s="9">
        <f>IF(ISNA(MATCH(1229,Engine!$C$2:$C$1369,0)),"",INDEX('Compliance Database'!$L$2:$L$1369,MATCH(1229,Engine!$C$2:$C$1369,0)))</f>
        <v/>
      </c>
      <c r="M1242" s="9">
        <f>IF(ISNA(MATCH(1229,Engine!$C$2:$C$1369,0)),"",INDEX('Compliance Database'!$M$2:$M$1369,MATCH(1229,Engine!$C$2:$C$1369,0)))</f>
        <v/>
      </c>
      <c r="N1242" s="9">
        <f>IF(ISNA(MATCH(1229,Engine!$C$2:$C$1369,0)),"",INDEX('Compliance Database'!$N$2:$N$1369,MATCH(1229,Engine!$C$2:$C$1369,0)))</f>
        <v/>
      </c>
      <c r="O1242" s="8">
        <f>IF(ISNA(MATCH(1229,Engine!$C$2:$C$1369,0)),"",HYPERLINK(INDEX('Compliance Database'!$O$2:$O$1369,MATCH(1229,Engine!$C$2:$C$1369,0)),"Open PDF"))</f>
        <v/>
      </c>
    </row>
    <row r="1243" ht="188" customHeight="1">
      <c r="A1243" s="8">
        <f>IF(ISNA(MATCH(1230,Engine!$C$2:$C$1369,0)),"",INDEX('Compliance Database'!$A$2:$A$1369,MATCH(1230,Engine!$C$2:$C$1369,0)))</f>
        <v/>
      </c>
      <c r="B1243" s="8">
        <f>IF(ISNA(MATCH(1230,Engine!$C$2:$C$1369,0)),"",INDEX('Compliance Database'!$B$2:$B$1369,MATCH(1230,Engine!$C$2:$C$1369,0)))</f>
        <v/>
      </c>
      <c r="C1243" s="8">
        <f>IF(ISNA(MATCH(1230,Engine!$C$2:$C$1369,0)),"",INDEX('Compliance Database'!$C$2:$C$1369,MATCH(1230,Engine!$C$2:$C$1369,0)))</f>
        <v/>
      </c>
      <c r="D1243" s="9">
        <f>IF(ISNA(MATCH(1230,Engine!$C$2:$C$1369,0)),"",INDEX('Compliance Database'!$D$2:$D$1369,MATCH(1230,Engine!$C$2:$C$1369,0)))</f>
        <v/>
      </c>
      <c r="E1243" s="8">
        <f>IF(ISNA(MATCH(1230,Engine!$C$2:$C$1369,0)),"",INDEX('Compliance Database'!$E$2:$E$1369,MATCH(1230,Engine!$C$2:$C$1369,0)))</f>
        <v/>
      </c>
      <c r="F1243" s="8">
        <f>IF(ISNA(MATCH(1230,Engine!$C$2:$C$1369,0)),"",INDEX('Compliance Database'!$F$2:$F$1369,MATCH(1230,Engine!$C$2:$C$1369,0)))</f>
        <v/>
      </c>
      <c r="G1243" s="8">
        <f>IF(ISNA(MATCH(1230,Engine!$C$2:$C$1369,0)),"",INDEX('Compliance Database'!$G$2:$G$1369,MATCH(1230,Engine!$C$2:$C$1369,0)))</f>
        <v/>
      </c>
      <c r="H1243" s="9">
        <f>IF(ISNA(MATCH(1230,Engine!$C$2:$C$1369,0)),"",INDEX('Compliance Database'!$H$2:$H$1369,MATCH(1230,Engine!$C$2:$C$1369,0)))</f>
        <v/>
      </c>
      <c r="I1243" s="9">
        <f>IF(ISNA(MATCH(1230,Engine!$C$2:$C$1369,0)),"",INDEX('Compliance Database'!$I$2:$I$1369,MATCH(1230,Engine!$C$2:$C$1369,0)))</f>
        <v/>
      </c>
      <c r="J1243" s="8">
        <f>IF(ISNA(MATCH(1230,Engine!$C$2:$C$1369,0)),"",INDEX('Compliance Database'!$J$2:$J$1369,MATCH(1230,Engine!$C$2:$C$1369,0)))</f>
        <v/>
      </c>
      <c r="K1243" s="9">
        <f>IF(ISNA(MATCH(1230,Engine!$C$2:$C$1369,0)),"",INDEX('Compliance Database'!$K$2:$K$1369,MATCH(1230,Engine!$C$2:$C$1369,0)))</f>
        <v/>
      </c>
      <c r="L1243" s="9">
        <f>IF(ISNA(MATCH(1230,Engine!$C$2:$C$1369,0)),"",INDEX('Compliance Database'!$L$2:$L$1369,MATCH(1230,Engine!$C$2:$C$1369,0)))</f>
        <v/>
      </c>
      <c r="M1243" s="9">
        <f>IF(ISNA(MATCH(1230,Engine!$C$2:$C$1369,0)),"",INDEX('Compliance Database'!$M$2:$M$1369,MATCH(1230,Engine!$C$2:$C$1369,0)))</f>
        <v/>
      </c>
      <c r="N1243" s="9">
        <f>IF(ISNA(MATCH(1230,Engine!$C$2:$C$1369,0)),"",INDEX('Compliance Database'!$N$2:$N$1369,MATCH(1230,Engine!$C$2:$C$1369,0)))</f>
        <v/>
      </c>
      <c r="O1243" s="8">
        <f>IF(ISNA(MATCH(1230,Engine!$C$2:$C$1369,0)),"",HYPERLINK(INDEX('Compliance Database'!$O$2:$O$1369,MATCH(1230,Engine!$C$2:$C$1369,0)),"Open PDF"))</f>
        <v/>
      </c>
    </row>
    <row r="1244" ht="188" customHeight="1">
      <c r="A1244" s="8">
        <f>IF(ISNA(MATCH(1231,Engine!$C$2:$C$1369,0)),"",INDEX('Compliance Database'!$A$2:$A$1369,MATCH(1231,Engine!$C$2:$C$1369,0)))</f>
        <v/>
      </c>
      <c r="B1244" s="8">
        <f>IF(ISNA(MATCH(1231,Engine!$C$2:$C$1369,0)),"",INDEX('Compliance Database'!$B$2:$B$1369,MATCH(1231,Engine!$C$2:$C$1369,0)))</f>
        <v/>
      </c>
      <c r="C1244" s="8">
        <f>IF(ISNA(MATCH(1231,Engine!$C$2:$C$1369,0)),"",INDEX('Compliance Database'!$C$2:$C$1369,MATCH(1231,Engine!$C$2:$C$1369,0)))</f>
        <v/>
      </c>
      <c r="D1244" s="9">
        <f>IF(ISNA(MATCH(1231,Engine!$C$2:$C$1369,0)),"",INDEX('Compliance Database'!$D$2:$D$1369,MATCH(1231,Engine!$C$2:$C$1369,0)))</f>
        <v/>
      </c>
      <c r="E1244" s="8">
        <f>IF(ISNA(MATCH(1231,Engine!$C$2:$C$1369,0)),"",INDEX('Compliance Database'!$E$2:$E$1369,MATCH(1231,Engine!$C$2:$C$1369,0)))</f>
        <v/>
      </c>
      <c r="F1244" s="8">
        <f>IF(ISNA(MATCH(1231,Engine!$C$2:$C$1369,0)),"",INDEX('Compliance Database'!$F$2:$F$1369,MATCH(1231,Engine!$C$2:$C$1369,0)))</f>
        <v/>
      </c>
      <c r="G1244" s="8">
        <f>IF(ISNA(MATCH(1231,Engine!$C$2:$C$1369,0)),"",INDEX('Compliance Database'!$G$2:$G$1369,MATCH(1231,Engine!$C$2:$C$1369,0)))</f>
        <v/>
      </c>
      <c r="H1244" s="9">
        <f>IF(ISNA(MATCH(1231,Engine!$C$2:$C$1369,0)),"",INDEX('Compliance Database'!$H$2:$H$1369,MATCH(1231,Engine!$C$2:$C$1369,0)))</f>
        <v/>
      </c>
      <c r="I1244" s="9">
        <f>IF(ISNA(MATCH(1231,Engine!$C$2:$C$1369,0)),"",INDEX('Compliance Database'!$I$2:$I$1369,MATCH(1231,Engine!$C$2:$C$1369,0)))</f>
        <v/>
      </c>
      <c r="J1244" s="8">
        <f>IF(ISNA(MATCH(1231,Engine!$C$2:$C$1369,0)),"",INDEX('Compliance Database'!$J$2:$J$1369,MATCH(1231,Engine!$C$2:$C$1369,0)))</f>
        <v/>
      </c>
      <c r="K1244" s="9">
        <f>IF(ISNA(MATCH(1231,Engine!$C$2:$C$1369,0)),"",INDEX('Compliance Database'!$K$2:$K$1369,MATCH(1231,Engine!$C$2:$C$1369,0)))</f>
        <v/>
      </c>
      <c r="L1244" s="9">
        <f>IF(ISNA(MATCH(1231,Engine!$C$2:$C$1369,0)),"",INDEX('Compliance Database'!$L$2:$L$1369,MATCH(1231,Engine!$C$2:$C$1369,0)))</f>
        <v/>
      </c>
      <c r="M1244" s="9">
        <f>IF(ISNA(MATCH(1231,Engine!$C$2:$C$1369,0)),"",INDEX('Compliance Database'!$M$2:$M$1369,MATCH(1231,Engine!$C$2:$C$1369,0)))</f>
        <v/>
      </c>
      <c r="N1244" s="9">
        <f>IF(ISNA(MATCH(1231,Engine!$C$2:$C$1369,0)),"",INDEX('Compliance Database'!$N$2:$N$1369,MATCH(1231,Engine!$C$2:$C$1369,0)))</f>
        <v/>
      </c>
      <c r="O1244" s="8">
        <f>IF(ISNA(MATCH(1231,Engine!$C$2:$C$1369,0)),"",HYPERLINK(INDEX('Compliance Database'!$O$2:$O$1369,MATCH(1231,Engine!$C$2:$C$1369,0)),"Open PDF"))</f>
        <v/>
      </c>
    </row>
    <row r="1245" ht="188" customHeight="1">
      <c r="A1245" s="8">
        <f>IF(ISNA(MATCH(1232,Engine!$C$2:$C$1369,0)),"",INDEX('Compliance Database'!$A$2:$A$1369,MATCH(1232,Engine!$C$2:$C$1369,0)))</f>
        <v/>
      </c>
      <c r="B1245" s="8">
        <f>IF(ISNA(MATCH(1232,Engine!$C$2:$C$1369,0)),"",INDEX('Compliance Database'!$B$2:$B$1369,MATCH(1232,Engine!$C$2:$C$1369,0)))</f>
        <v/>
      </c>
      <c r="C1245" s="8">
        <f>IF(ISNA(MATCH(1232,Engine!$C$2:$C$1369,0)),"",INDEX('Compliance Database'!$C$2:$C$1369,MATCH(1232,Engine!$C$2:$C$1369,0)))</f>
        <v/>
      </c>
      <c r="D1245" s="9">
        <f>IF(ISNA(MATCH(1232,Engine!$C$2:$C$1369,0)),"",INDEX('Compliance Database'!$D$2:$D$1369,MATCH(1232,Engine!$C$2:$C$1369,0)))</f>
        <v/>
      </c>
      <c r="E1245" s="8">
        <f>IF(ISNA(MATCH(1232,Engine!$C$2:$C$1369,0)),"",INDEX('Compliance Database'!$E$2:$E$1369,MATCH(1232,Engine!$C$2:$C$1369,0)))</f>
        <v/>
      </c>
      <c r="F1245" s="8">
        <f>IF(ISNA(MATCH(1232,Engine!$C$2:$C$1369,0)),"",INDEX('Compliance Database'!$F$2:$F$1369,MATCH(1232,Engine!$C$2:$C$1369,0)))</f>
        <v/>
      </c>
      <c r="G1245" s="8">
        <f>IF(ISNA(MATCH(1232,Engine!$C$2:$C$1369,0)),"",INDEX('Compliance Database'!$G$2:$G$1369,MATCH(1232,Engine!$C$2:$C$1369,0)))</f>
        <v/>
      </c>
      <c r="H1245" s="9">
        <f>IF(ISNA(MATCH(1232,Engine!$C$2:$C$1369,0)),"",INDEX('Compliance Database'!$H$2:$H$1369,MATCH(1232,Engine!$C$2:$C$1369,0)))</f>
        <v/>
      </c>
      <c r="I1245" s="9">
        <f>IF(ISNA(MATCH(1232,Engine!$C$2:$C$1369,0)),"",INDEX('Compliance Database'!$I$2:$I$1369,MATCH(1232,Engine!$C$2:$C$1369,0)))</f>
        <v/>
      </c>
      <c r="J1245" s="8">
        <f>IF(ISNA(MATCH(1232,Engine!$C$2:$C$1369,0)),"",INDEX('Compliance Database'!$J$2:$J$1369,MATCH(1232,Engine!$C$2:$C$1369,0)))</f>
        <v/>
      </c>
      <c r="K1245" s="9">
        <f>IF(ISNA(MATCH(1232,Engine!$C$2:$C$1369,0)),"",INDEX('Compliance Database'!$K$2:$K$1369,MATCH(1232,Engine!$C$2:$C$1369,0)))</f>
        <v/>
      </c>
      <c r="L1245" s="9">
        <f>IF(ISNA(MATCH(1232,Engine!$C$2:$C$1369,0)),"",INDEX('Compliance Database'!$L$2:$L$1369,MATCH(1232,Engine!$C$2:$C$1369,0)))</f>
        <v/>
      </c>
      <c r="M1245" s="9">
        <f>IF(ISNA(MATCH(1232,Engine!$C$2:$C$1369,0)),"",INDEX('Compliance Database'!$M$2:$M$1369,MATCH(1232,Engine!$C$2:$C$1369,0)))</f>
        <v/>
      </c>
      <c r="N1245" s="9">
        <f>IF(ISNA(MATCH(1232,Engine!$C$2:$C$1369,0)),"",INDEX('Compliance Database'!$N$2:$N$1369,MATCH(1232,Engine!$C$2:$C$1369,0)))</f>
        <v/>
      </c>
      <c r="O1245" s="8">
        <f>IF(ISNA(MATCH(1232,Engine!$C$2:$C$1369,0)),"",HYPERLINK(INDEX('Compliance Database'!$O$2:$O$1369,MATCH(1232,Engine!$C$2:$C$1369,0)),"Open PDF"))</f>
        <v/>
      </c>
    </row>
    <row r="1246" ht="188" customHeight="1">
      <c r="A1246" s="8">
        <f>IF(ISNA(MATCH(1233,Engine!$C$2:$C$1369,0)),"",INDEX('Compliance Database'!$A$2:$A$1369,MATCH(1233,Engine!$C$2:$C$1369,0)))</f>
        <v/>
      </c>
      <c r="B1246" s="8">
        <f>IF(ISNA(MATCH(1233,Engine!$C$2:$C$1369,0)),"",INDEX('Compliance Database'!$B$2:$B$1369,MATCH(1233,Engine!$C$2:$C$1369,0)))</f>
        <v/>
      </c>
      <c r="C1246" s="8">
        <f>IF(ISNA(MATCH(1233,Engine!$C$2:$C$1369,0)),"",INDEX('Compliance Database'!$C$2:$C$1369,MATCH(1233,Engine!$C$2:$C$1369,0)))</f>
        <v/>
      </c>
      <c r="D1246" s="9">
        <f>IF(ISNA(MATCH(1233,Engine!$C$2:$C$1369,0)),"",INDEX('Compliance Database'!$D$2:$D$1369,MATCH(1233,Engine!$C$2:$C$1369,0)))</f>
        <v/>
      </c>
      <c r="E1246" s="8">
        <f>IF(ISNA(MATCH(1233,Engine!$C$2:$C$1369,0)),"",INDEX('Compliance Database'!$E$2:$E$1369,MATCH(1233,Engine!$C$2:$C$1369,0)))</f>
        <v/>
      </c>
      <c r="F1246" s="8">
        <f>IF(ISNA(MATCH(1233,Engine!$C$2:$C$1369,0)),"",INDEX('Compliance Database'!$F$2:$F$1369,MATCH(1233,Engine!$C$2:$C$1369,0)))</f>
        <v/>
      </c>
      <c r="G1246" s="8">
        <f>IF(ISNA(MATCH(1233,Engine!$C$2:$C$1369,0)),"",INDEX('Compliance Database'!$G$2:$G$1369,MATCH(1233,Engine!$C$2:$C$1369,0)))</f>
        <v/>
      </c>
      <c r="H1246" s="9">
        <f>IF(ISNA(MATCH(1233,Engine!$C$2:$C$1369,0)),"",INDEX('Compliance Database'!$H$2:$H$1369,MATCH(1233,Engine!$C$2:$C$1369,0)))</f>
        <v/>
      </c>
      <c r="I1246" s="9">
        <f>IF(ISNA(MATCH(1233,Engine!$C$2:$C$1369,0)),"",INDEX('Compliance Database'!$I$2:$I$1369,MATCH(1233,Engine!$C$2:$C$1369,0)))</f>
        <v/>
      </c>
      <c r="J1246" s="8">
        <f>IF(ISNA(MATCH(1233,Engine!$C$2:$C$1369,0)),"",INDEX('Compliance Database'!$J$2:$J$1369,MATCH(1233,Engine!$C$2:$C$1369,0)))</f>
        <v/>
      </c>
      <c r="K1246" s="9">
        <f>IF(ISNA(MATCH(1233,Engine!$C$2:$C$1369,0)),"",INDEX('Compliance Database'!$K$2:$K$1369,MATCH(1233,Engine!$C$2:$C$1369,0)))</f>
        <v/>
      </c>
      <c r="L1246" s="9">
        <f>IF(ISNA(MATCH(1233,Engine!$C$2:$C$1369,0)),"",INDEX('Compliance Database'!$L$2:$L$1369,MATCH(1233,Engine!$C$2:$C$1369,0)))</f>
        <v/>
      </c>
      <c r="M1246" s="9">
        <f>IF(ISNA(MATCH(1233,Engine!$C$2:$C$1369,0)),"",INDEX('Compliance Database'!$M$2:$M$1369,MATCH(1233,Engine!$C$2:$C$1369,0)))</f>
        <v/>
      </c>
      <c r="N1246" s="9">
        <f>IF(ISNA(MATCH(1233,Engine!$C$2:$C$1369,0)),"",INDEX('Compliance Database'!$N$2:$N$1369,MATCH(1233,Engine!$C$2:$C$1369,0)))</f>
        <v/>
      </c>
      <c r="O1246" s="8">
        <f>IF(ISNA(MATCH(1233,Engine!$C$2:$C$1369,0)),"",HYPERLINK(INDEX('Compliance Database'!$O$2:$O$1369,MATCH(1233,Engine!$C$2:$C$1369,0)),"Open PDF"))</f>
        <v/>
      </c>
    </row>
    <row r="1247" ht="188" customHeight="1">
      <c r="A1247" s="8">
        <f>IF(ISNA(MATCH(1234,Engine!$C$2:$C$1369,0)),"",INDEX('Compliance Database'!$A$2:$A$1369,MATCH(1234,Engine!$C$2:$C$1369,0)))</f>
        <v/>
      </c>
      <c r="B1247" s="8">
        <f>IF(ISNA(MATCH(1234,Engine!$C$2:$C$1369,0)),"",INDEX('Compliance Database'!$B$2:$B$1369,MATCH(1234,Engine!$C$2:$C$1369,0)))</f>
        <v/>
      </c>
      <c r="C1247" s="8">
        <f>IF(ISNA(MATCH(1234,Engine!$C$2:$C$1369,0)),"",INDEX('Compliance Database'!$C$2:$C$1369,MATCH(1234,Engine!$C$2:$C$1369,0)))</f>
        <v/>
      </c>
      <c r="D1247" s="9">
        <f>IF(ISNA(MATCH(1234,Engine!$C$2:$C$1369,0)),"",INDEX('Compliance Database'!$D$2:$D$1369,MATCH(1234,Engine!$C$2:$C$1369,0)))</f>
        <v/>
      </c>
      <c r="E1247" s="8">
        <f>IF(ISNA(MATCH(1234,Engine!$C$2:$C$1369,0)),"",INDEX('Compliance Database'!$E$2:$E$1369,MATCH(1234,Engine!$C$2:$C$1369,0)))</f>
        <v/>
      </c>
      <c r="F1247" s="8">
        <f>IF(ISNA(MATCH(1234,Engine!$C$2:$C$1369,0)),"",INDEX('Compliance Database'!$F$2:$F$1369,MATCH(1234,Engine!$C$2:$C$1369,0)))</f>
        <v/>
      </c>
      <c r="G1247" s="8">
        <f>IF(ISNA(MATCH(1234,Engine!$C$2:$C$1369,0)),"",INDEX('Compliance Database'!$G$2:$G$1369,MATCH(1234,Engine!$C$2:$C$1369,0)))</f>
        <v/>
      </c>
      <c r="H1247" s="9">
        <f>IF(ISNA(MATCH(1234,Engine!$C$2:$C$1369,0)),"",INDEX('Compliance Database'!$H$2:$H$1369,MATCH(1234,Engine!$C$2:$C$1369,0)))</f>
        <v/>
      </c>
      <c r="I1247" s="9">
        <f>IF(ISNA(MATCH(1234,Engine!$C$2:$C$1369,0)),"",INDEX('Compliance Database'!$I$2:$I$1369,MATCH(1234,Engine!$C$2:$C$1369,0)))</f>
        <v/>
      </c>
      <c r="J1247" s="8">
        <f>IF(ISNA(MATCH(1234,Engine!$C$2:$C$1369,0)),"",INDEX('Compliance Database'!$J$2:$J$1369,MATCH(1234,Engine!$C$2:$C$1369,0)))</f>
        <v/>
      </c>
      <c r="K1247" s="9">
        <f>IF(ISNA(MATCH(1234,Engine!$C$2:$C$1369,0)),"",INDEX('Compliance Database'!$K$2:$K$1369,MATCH(1234,Engine!$C$2:$C$1369,0)))</f>
        <v/>
      </c>
      <c r="L1247" s="9">
        <f>IF(ISNA(MATCH(1234,Engine!$C$2:$C$1369,0)),"",INDEX('Compliance Database'!$L$2:$L$1369,MATCH(1234,Engine!$C$2:$C$1369,0)))</f>
        <v/>
      </c>
      <c r="M1247" s="9">
        <f>IF(ISNA(MATCH(1234,Engine!$C$2:$C$1369,0)),"",INDEX('Compliance Database'!$M$2:$M$1369,MATCH(1234,Engine!$C$2:$C$1369,0)))</f>
        <v/>
      </c>
      <c r="N1247" s="9">
        <f>IF(ISNA(MATCH(1234,Engine!$C$2:$C$1369,0)),"",INDEX('Compliance Database'!$N$2:$N$1369,MATCH(1234,Engine!$C$2:$C$1369,0)))</f>
        <v/>
      </c>
      <c r="O1247" s="8">
        <f>IF(ISNA(MATCH(1234,Engine!$C$2:$C$1369,0)),"",HYPERLINK(INDEX('Compliance Database'!$O$2:$O$1369,MATCH(1234,Engine!$C$2:$C$1369,0)),"Open PDF"))</f>
        <v/>
      </c>
    </row>
    <row r="1248" ht="188" customHeight="1">
      <c r="A1248" s="8">
        <f>IF(ISNA(MATCH(1235,Engine!$C$2:$C$1369,0)),"",INDEX('Compliance Database'!$A$2:$A$1369,MATCH(1235,Engine!$C$2:$C$1369,0)))</f>
        <v/>
      </c>
      <c r="B1248" s="8">
        <f>IF(ISNA(MATCH(1235,Engine!$C$2:$C$1369,0)),"",INDEX('Compliance Database'!$B$2:$B$1369,MATCH(1235,Engine!$C$2:$C$1369,0)))</f>
        <v/>
      </c>
      <c r="C1248" s="8">
        <f>IF(ISNA(MATCH(1235,Engine!$C$2:$C$1369,0)),"",INDEX('Compliance Database'!$C$2:$C$1369,MATCH(1235,Engine!$C$2:$C$1369,0)))</f>
        <v/>
      </c>
      <c r="D1248" s="9">
        <f>IF(ISNA(MATCH(1235,Engine!$C$2:$C$1369,0)),"",INDEX('Compliance Database'!$D$2:$D$1369,MATCH(1235,Engine!$C$2:$C$1369,0)))</f>
        <v/>
      </c>
      <c r="E1248" s="8">
        <f>IF(ISNA(MATCH(1235,Engine!$C$2:$C$1369,0)),"",INDEX('Compliance Database'!$E$2:$E$1369,MATCH(1235,Engine!$C$2:$C$1369,0)))</f>
        <v/>
      </c>
      <c r="F1248" s="8">
        <f>IF(ISNA(MATCH(1235,Engine!$C$2:$C$1369,0)),"",INDEX('Compliance Database'!$F$2:$F$1369,MATCH(1235,Engine!$C$2:$C$1369,0)))</f>
        <v/>
      </c>
      <c r="G1248" s="8">
        <f>IF(ISNA(MATCH(1235,Engine!$C$2:$C$1369,0)),"",INDEX('Compliance Database'!$G$2:$G$1369,MATCH(1235,Engine!$C$2:$C$1369,0)))</f>
        <v/>
      </c>
      <c r="H1248" s="9">
        <f>IF(ISNA(MATCH(1235,Engine!$C$2:$C$1369,0)),"",INDEX('Compliance Database'!$H$2:$H$1369,MATCH(1235,Engine!$C$2:$C$1369,0)))</f>
        <v/>
      </c>
      <c r="I1248" s="9">
        <f>IF(ISNA(MATCH(1235,Engine!$C$2:$C$1369,0)),"",INDEX('Compliance Database'!$I$2:$I$1369,MATCH(1235,Engine!$C$2:$C$1369,0)))</f>
        <v/>
      </c>
      <c r="J1248" s="8">
        <f>IF(ISNA(MATCH(1235,Engine!$C$2:$C$1369,0)),"",INDEX('Compliance Database'!$J$2:$J$1369,MATCH(1235,Engine!$C$2:$C$1369,0)))</f>
        <v/>
      </c>
      <c r="K1248" s="9">
        <f>IF(ISNA(MATCH(1235,Engine!$C$2:$C$1369,0)),"",INDEX('Compliance Database'!$K$2:$K$1369,MATCH(1235,Engine!$C$2:$C$1369,0)))</f>
        <v/>
      </c>
      <c r="L1248" s="9">
        <f>IF(ISNA(MATCH(1235,Engine!$C$2:$C$1369,0)),"",INDEX('Compliance Database'!$L$2:$L$1369,MATCH(1235,Engine!$C$2:$C$1369,0)))</f>
        <v/>
      </c>
      <c r="M1248" s="9">
        <f>IF(ISNA(MATCH(1235,Engine!$C$2:$C$1369,0)),"",INDEX('Compliance Database'!$M$2:$M$1369,MATCH(1235,Engine!$C$2:$C$1369,0)))</f>
        <v/>
      </c>
      <c r="N1248" s="9">
        <f>IF(ISNA(MATCH(1235,Engine!$C$2:$C$1369,0)),"",INDEX('Compliance Database'!$N$2:$N$1369,MATCH(1235,Engine!$C$2:$C$1369,0)))</f>
        <v/>
      </c>
      <c r="O1248" s="8">
        <f>IF(ISNA(MATCH(1235,Engine!$C$2:$C$1369,0)),"",HYPERLINK(INDEX('Compliance Database'!$O$2:$O$1369,MATCH(1235,Engine!$C$2:$C$1369,0)),"Open PDF"))</f>
        <v/>
      </c>
    </row>
    <row r="1249" ht="188" customHeight="1">
      <c r="A1249" s="8">
        <f>IF(ISNA(MATCH(1236,Engine!$C$2:$C$1369,0)),"",INDEX('Compliance Database'!$A$2:$A$1369,MATCH(1236,Engine!$C$2:$C$1369,0)))</f>
        <v/>
      </c>
      <c r="B1249" s="8">
        <f>IF(ISNA(MATCH(1236,Engine!$C$2:$C$1369,0)),"",INDEX('Compliance Database'!$B$2:$B$1369,MATCH(1236,Engine!$C$2:$C$1369,0)))</f>
        <v/>
      </c>
      <c r="C1249" s="8">
        <f>IF(ISNA(MATCH(1236,Engine!$C$2:$C$1369,0)),"",INDEX('Compliance Database'!$C$2:$C$1369,MATCH(1236,Engine!$C$2:$C$1369,0)))</f>
        <v/>
      </c>
      <c r="D1249" s="9">
        <f>IF(ISNA(MATCH(1236,Engine!$C$2:$C$1369,0)),"",INDEX('Compliance Database'!$D$2:$D$1369,MATCH(1236,Engine!$C$2:$C$1369,0)))</f>
        <v/>
      </c>
      <c r="E1249" s="8">
        <f>IF(ISNA(MATCH(1236,Engine!$C$2:$C$1369,0)),"",INDEX('Compliance Database'!$E$2:$E$1369,MATCH(1236,Engine!$C$2:$C$1369,0)))</f>
        <v/>
      </c>
      <c r="F1249" s="8">
        <f>IF(ISNA(MATCH(1236,Engine!$C$2:$C$1369,0)),"",INDEX('Compliance Database'!$F$2:$F$1369,MATCH(1236,Engine!$C$2:$C$1369,0)))</f>
        <v/>
      </c>
      <c r="G1249" s="8">
        <f>IF(ISNA(MATCH(1236,Engine!$C$2:$C$1369,0)),"",INDEX('Compliance Database'!$G$2:$G$1369,MATCH(1236,Engine!$C$2:$C$1369,0)))</f>
        <v/>
      </c>
      <c r="H1249" s="9">
        <f>IF(ISNA(MATCH(1236,Engine!$C$2:$C$1369,0)),"",INDEX('Compliance Database'!$H$2:$H$1369,MATCH(1236,Engine!$C$2:$C$1369,0)))</f>
        <v/>
      </c>
      <c r="I1249" s="9">
        <f>IF(ISNA(MATCH(1236,Engine!$C$2:$C$1369,0)),"",INDEX('Compliance Database'!$I$2:$I$1369,MATCH(1236,Engine!$C$2:$C$1369,0)))</f>
        <v/>
      </c>
      <c r="J1249" s="8">
        <f>IF(ISNA(MATCH(1236,Engine!$C$2:$C$1369,0)),"",INDEX('Compliance Database'!$J$2:$J$1369,MATCH(1236,Engine!$C$2:$C$1369,0)))</f>
        <v/>
      </c>
      <c r="K1249" s="9">
        <f>IF(ISNA(MATCH(1236,Engine!$C$2:$C$1369,0)),"",INDEX('Compliance Database'!$K$2:$K$1369,MATCH(1236,Engine!$C$2:$C$1369,0)))</f>
        <v/>
      </c>
      <c r="L1249" s="9">
        <f>IF(ISNA(MATCH(1236,Engine!$C$2:$C$1369,0)),"",INDEX('Compliance Database'!$L$2:$L$1369,MATCH(1236,Engine!$C$2:$C$1369,0)))</f>
        <v/>
      </c>
      <c r="M1249" s="9">
        <f>IF(ISNA(MATCH(1236,Engine!$C$2:$C$1369,0)),"",INDEX('Compliance Database'!$M$2:$M$1369,MATCH(1236,Engine!$C$2:$C$1369,0)))</f>
        <v/>
      </c>
      <c r="N1249" s="9">
        <f>IF(ISNA(MATCH(1236,Engine!$C$2:$C$1369,0)),"",INDEX('Compliance Database'!$N$2:$N$1369,MATCH(1236,Engine!$C$2:$C$1369,0)))</f>
        <v/>
      </c>
      <c r="O1249" s="8">
        <f>IF(ISNA(MATCH(1236,Engine!$C$2:$C$1369,0)),"",HYPERLINK(INDEX('Compliance Database'!$O$2:$O$1369,MATCH(1236,Engine!$C$2:$C$1369,0)),"Open PDF"))</f>
        <v/>
      </c>
    </row>
    <row r="1250" ht="188" customHeight="1">
      <c r="A1250" s="8">
        <f>IF(ISNA(MATCH(1237,Engine!$C$2:$C$1369,0)),"",INDEX('Compliance Database'!$A$2:$A$1369,MATCH(1237,Engine!$C$2:$C$1369,0)))</f>
        <v/>
      </c>
      <c r="B1250" s="8">
        <f>IF(ISNA(MATCH(1237,Engine!$C$2:$C$1369,0)),"",INDEX('Compliance Database'!$B$2:$B$1369,MATCH(1237,Engine!$C$2:$C$1369,0)))</f>
        <v/>
      </c>
      <c r="C1250" s="8">
        <f>IF(ISNA(MATCH(1237,Engine!$C$2:$C$1369,0)),"",INDEX('Compliance Database'!$C$2:$C$1369,MATCH(1237,Engine!$C$2:$C$1369,0)))</f>
        <v/>
      </c>
      <c r="D1250" s="9">
        <f>IF(ISNA(MATCH(1237,Engine!$C$2:$C$1369,0)),"",INDEX('Compliance Database'!$D$2:$D$1369,MATCH(1237,Engine!$C$2:$C$1369,0)))</f>
        <v/>
      </c>
      <c r="E1250" s="8">
        <f>IF(ISNA(MATCH(1237,Engine!$C$2:$C$1369,0)),"",INDEX('Compliance Database'!$E$2:$E$1369,MATCH(1237,Engine!$C$2:$C$1369,0)))</f>
        <v/>
      </c>
      <c r="F1250" s="8">
        <f>IF(ISNA(MATCH(1237,Engine!$C$2:$C$1369,0)),"",INDEX('Compliance Database'!$F$2:$F$1369,MATCH(1237,Engine!$C$2:$C$1369,0)))</f>
        <v/>
      </c>
      <c r="G1250" s="8">
        <f>IF(ISNA(MATCH(1237,Engine!$C$2:$C$1369,0)),"",INDEX('Compliance Database'!$G$2:$G$1369,MATCH(1237,Engine!$C$2:$C$1369,0)))</f>
        <v/>
      </c>
      <c r="H1250" s="9">
        <f>IF(ISNA(MATCH(1237,Engine!$C$2:$C$1369,0)),"",INDEX('Compliance Database'!$H$2:$H$1369,MATCH(1237,Engine!$C$2:$C$1369,0)))</f>
        <v/>
      </c>
      <c r="I1250" s="9">
        <f>IF(ISNA(MATCH(1237,Engine!$C$2:$C$1369,0)),"",INDEX('Compliance Database'!$I$2:$I$1369,MATCH(1237,Engine!$C$2:$C$1369,0)))</f>
        <v/>
      </c>
      <c r="J1250" s="8">
        <f>IF(ISNA(MATCH(1237,Engine!$C$2:$C$1369,0)),"",INDEX('Compliance Database'!$J$2:$J$1369,MATCH(1237,Engine!$C$2:$C$1369,0)))</f>
        <v/>
      </c>
      <c r="K1250" s="9">
        <f>IF(ISNA(MATCH(1237,Engine!$C$2:$C$1369,0)),"",INDEX('Compliance Database'!$K$2:$K$1369,MATCH(1237,Engine!$C$2:$C$1369,0)))</f>
        <v/>
      </c>
      <c r="L1250" s="9">
        <f>IF(ISNA(MATCH(1237,Engine!$C$2:$C$1369,0)),"",INDEX('Compliance Database'!$L$2:$L$1369,MATCH(1237,Engine!$C$2:$C$1369,0)))</f>
        <v/>
      </c>
      <c r="M1250" s="9">
        <f>IF(ISNA(MATCH(1237,Engine!$C$2:$C$1369,0)),"",INDEX('Compliance Database'!$M$2:$M$1369,MATCH(1237,Engine!$C$2:$C$1369,0)))</f>
        <v/>
      </c>
      <c r="N1250" s="9">
        <f>IF(ISNA(MATCH(1237,Engine!$C$2:$C$1369,0)),"",INDEX('Compliance Database'!$N$2:$N$1369,MATCH(1237,Engine!$C$2:$C$1369,0)))</f>
        <v/>
      </c>
      <c r="O1250" s="8">
        <f>IF(ISNA(MATCH(1237,Engine!$C$2:$C$1369,0)),"",HYPERLINK(INDEX('Compliance Database'!$O$2:$O$1369,MATCH(1237,Engine!$C$2:$C$1369,0)),"Open PDF"))</f>
        <v/>
      </c>
    </row>
    <row r="1251" ht="188" customHeight="1">
      <c r="A1251" s="8">
        <f>IF(ISNA(MATCH(1238,Engine!$C$2:$C$1369,0)),"",INDEX('Compliance Database'!$A$2:$A$1369,MATCH(1238,Engine!$C$2:$C$1369,0)))</f>
        <v/>
      </c>
      <c r="B1251" s="8">
        <f>IF(ISNA(MATCH(1238,Engine!$C$2:$C$1369,0)),"",INDEX('Compliance Database'!$B$2:$B$1369,MATCH(1238,Engine!$C$2:$C$1369,0)))</f>
        <v/>
      </c>
      <c r="C1251" s="8">
        <f>IF(ISNA(MATCH(1238,Engine!$C$2:$C$1369,0)),"",INDEX('Compliance Database'!$C$2:$C$1369,MATCH(1238,Engine!$C$2:$C$1369,0)))</f>
        <v/>
      </c>
      <c r="D1251" s="9">
        <f>IF(ISNA(MATCH(1238,Engine!$C$2:$C$1369,0)),"",INDEX('Compliance Database'!$D$2:$D$1369,MATCH(1238,Engine!$C$2:$C$1369,0)))</f>
        <v/>
      </c>
      <c r="E1251" s="8">
        <f>IF(ISNA(MATCH(1238,Engine!$C$2:$C$1369,0)),"",INDEX('Compliance Database'!$E$2:$E$1369,MATCH(1238,Engine!$C$2:$C$1369,0)))</f>
        <v/>
      </c>
      <c r="F1251" s="8">
        <f>IF(ISNA(MATCH(1238,Engine!$C$2:$C$1369,0)),"",INDEX('Compliance Database'!$F$2:$F$1369,MATCH(1238,Engine!$C$2:$C$1369,0)))</f>
        <v/>
      </c>
      <c r="G1251" s="8">
        <f>IF(ISNA(MATCH(1238,Engine!$C$2:$C$1369,0)),"",INDEX('Compliance Database'!$G$2:$G$1369,MATCH(1238,Engine!$C$2:$C$1369,0)))</f>
        <v/>
      </c>
      <c r="H1251" s="9">
        <f>IF(ISNA(MATCH(1238,Engine!$C$2:$C$1369,0)),"",INDEX('Compliance Database'!$H$2:$H$1369,MATCH(1238,Engine!$C$2:$C$1369,0)))</f>
        <v/>
      </c>
      <c r="I1251" s="9">
        <f>IF(ISNA(MATCH(1238,Engine!$C$2:$C$1369,0)),"",INDEX('Compliance Database'!$I$2:$I$1369,MATCH(1238,Engine!$C$2:$C$1369,0)))</f>
        <v/>
      </c>
      <c r="J1251" s="8">
        <f>IF(ISNA(MATCH(1238,Engine!$C$2:$C$1369,0)),"",INDEX('Compliance Database'!$J$2:$J$1369,MATCH(1238,Engine!$C$2:$C$1369,0)))</f>
        <v/>
      </c>
      <c r="K1251" s="9">
        <f>IF(ISNA(MATCH(1238,Engine!$C$2:$C$1369,0)),"",INDEX('Compliance Database'!$K$2:$K$1369,MATCH(1238,Engine!$C$2:$C$1369,0)))</f>
        <v/>
      </c>
      <c r="L1251" s="9">
        <f>IF(ISNA(MATCH(1238,Engine!$C$2:$C$1369,0)),"",INDEX('Compliance Database'!$L$2:$L$1369,MATCH(1238,Engine!$C$2:$C$1369,0)))</f>
        <v/>
      </c>
      <c r="M1251" s="9">
        <f>IF(ISNA(MATCH(1238,Engine!$C$2:$C$1369,0)),"",INDEX('Compliance Database'!$M$2:$M$1369,MATCH(1238,Engine!$C$2:$C$1369,0)))</f>
        <v/>
      </c>
      <c r="N1251" s="9">
        <f>IF(ISNA(MATCH(1238,Engine!$C$2:$C$1369,0)),"",INDEX('Compliance Database'!$N$2:$N$1369,MATCH(1238,Engine!$C$2:$C$1369,0)))</f>
        <v/>
      </c>
      <c r="O1251" s="8">
        <f>IF(ISNA(MATCH(1238,Engine!$C$2:$C$1369,0)),"",HYPERLINK(INDEX('Compliance Database'!$O$2:$O$1369,MATCH(1238,Engine!$C$2:$C$1369,0)),"Open PDF"))</f>
        <v/>
      </c>
    </row>
    <row r="1252" ht="188" customHeight="1">
      <c r="A1252" s="8">
        <f>IF(ISNA(MATCH(1239,Engine!$C$2:$C$1369,0)),"",INDEX('Compliance Database'!$A$2:$A$1369,MATCH(1239,Engine!$C$2:$C$1369,0)))</f>
        <v/>
      </c>
      <c r="B1252" s="8">
        <f>IF(ISNA(MATCH(1239,Engine!$C$2:$C$1369,0)),"",INDEX('Compliance Database'!$B$2:$B$1369,MATCH(1239,Engine!$C$2:$C$1369,0)))</f>
        <v/>
      </c>
      <c r="C1252" s="8">
        <f>IF(ISNA(MATCH(1239,Engine!$C$2:$C$1369,0)),"",INDEX('Compliance Database'!$C$2:$C$1369,MATCH(1239,Engine!$C$2:$C$1369,0)))</f>
        <v/>
      </c>
      <c r="D1252" s="9">
        <f>IF(ISNA(MATCH(1239,Engine!$C$2:$C$1369,0)),"",INDEX('Compliance Database'!$D$2:$D$1369,MATCH(1239,Engine!$C$2:$C$1369,0)))</f>
        <v/>
      </c>
      <c r="E1252" s="8">
        <f>IF(ISNA(MATCH(1239,Engine!$C$2:$C$1369,0)),"",INDEX('Compliance Database'!$E$2:$E$1369,MATCH(1239,Engine!$C$2:$C$1369,0)))</f>
        <v/>
      </c>
      <c r="F1252" s="8">
        <f>IF(ISNA(MATCH(1239,Engine!$C$2:$C$1369,0)),"",INDEX('Compliance Database'!$F$2:$F$1369,MATCH(1239,Engine!$C$2:$C$1369,0)))</f>
        <v/>
      </c>
      <c r="G1252" s="8">
        <f>IF(ISNA(MATCH(1239,Engine!$C$2:$C$1369,0)),"",INDEX('Compliance Database'!$G$2:$G$1369,MATCH(1239,Engine!$C$2:$C$1369,0)))</f>
        <v/>
      </c>
      <c r="H1252" s="9">
        <f>IF(ISNA(MATCH(1239,Engine!$C$2:$C$1369,0)),"",INDEX('Compliance Database'!$H$2:$H$1369,MATCH(1239,Engine!$C$2:$C$1369,0)))</f>
        <v/>
      </c>
      <c r="I1252" s="9">
        <f>IF(ISNA(MATCH(1239,Engine!$C$2:$C$1369,0)),"",INDEX('Compliance Database'!$I$2:$I$1369,MATCH(1239,Engine!$C$2:$C$1369,0)))</f>
        <v/>
      </c>
      <c r="J1252" s="8">
        <f>IF(ISNA(MATCH(1239,Engine!$C$2:$C$1369,0)),"",INDEX('Compliance Database'!$J$2:$J$1369,MATCH(1239,Engine!$C$2:$C$1369,0)))</f>
        <v/>
      </c>
      <c r="K1252" s="9">
        <f>IF(ISNA(MATCH(1239,Engine!$C$2:$C$1369,0)),"",INDEX('Compliance Database'!$K$2:$K$1369,MATCH(1239,Engine!$C$2:$C$1369,0)))</f>
        <v/>
      </c>
      <c r="L1252" s="9">
        <f>IF(ISNA(MATCH(1239,Engine!$C$2:$C$1369,0)),"",INDEX('Compliance Database'!$L$2:$L$1369,MATCH(1239,Engine!$C$2:$C$1369,0)))</f>
        <v/>
      </c>
      <c r="M1252" s="9">
        <f>IF(ISNA(MATCH(1239,Engine!$C$2:$C$1369,0)),"",INDEX('Compliance Database'!$M$2:$M$1369,MATCH(1239,Engine!$C$2:$C$1369,0)))</f>
        <v/>
      </c>
      <c r="N1252" s="9">
        <f>IF(ISNA(MATCH(1239,Engine!$C$2:$C$1369,0)),"",INDEX('Compliance Database'!$N$2:$N$1369,MATCH(1239,Engine!$C$2:$C$1369,0)))</f>
        <v/>
      </c>
      <c r="O1252" s="8">
        <f>IF(ISNA(MATCH(1239,Engine!$C$2:$C$1369,0)),"",HYPERLINK(INDEX('Compliance Database'!$O$2:$O$1369,MATCH(1239,Engine!$C$2:$C$1369,0)),"Open PDF"))</f>
        <v/>
      </c>
    </row>
    <row r="1253" ht="188" customHeight="1">
      <c r="A1253" s="8">
        <f>IF(ISNA(MATCH(1240,Engine!$C$2:$C$1369,0)),"",INDEX('Compliance Database'!$A$2:$A$1369,MATCH(1240,Engine!$C$2:$C$1369,0)))</f>
        <v/>
      </c>
      <c r="B1253" s="8">
        <f>IF(ISNA(MATCH(1240,Engine!$C$2:$C$1369,0)),"",INDEX('Compliance Database'!$B$2:$B$1369,MATCH(1240,Engine!$C$2:$C$1369,0)))</f>
        <v/>
      </c>
      <c r="C1253" s="8">
        <f>IF(ISNA(MATCH(1240,Engine!$C$2:$C$1369,0)),"",INDEX('Compliance Database'!$C$2:$C$1369,MATCH(1240,Engine!$C$2:$C$1369,0)))</f>
        <v/>
      </c>
      <c r="D1253" s="9">
        <f>IF(ISNA(MATCH(1240,Engine!$C$2:$C$1369,0)),"",INDEX('Compliance Database'!$D$2:$D$1369,MATCH(1240,Engine!$C$2:$C$1369,0)))</f>
        <v/>
      </c>
      <c r="E1253" s="8">
        <f>IF(ISNA(MATCH(1240,Engine!$C$2:$C$1369,0)),"",INDEX('Compliance Database'!$E$2:$E$1369,MATCH(1240,Engine!$C$2:$C$1369,0)))</f>
        <v/>
      </c>
      <c r="F1253" s="8">
        <f>IF(ISNA(MATCH(1240,Engine!$C$2:$C$1369,0)),"",INDEX('Compliance Database'!$F$2:$F$1369,MATCH(1240,Engine!$C$2:$C$1369,0)))</f>
        <v/>
      </c>
      <c r="G1253" s="8">
        <f>IF(ISNA(MATCH(1240,Engine!$C$2:$C$1369,0)),"",INDEX('Compliance Database'!$G$2:$G$1369,MATCH(1240,Engine!$C$2:$C$1369,0)))</f>
        <v/>
      </c>
      <c r="H1253" s="9">
        <f>IF(ISNA(MATCH(1240,Engine!$C$2:$C$1369,0)),"",INDEX('Compliance Database'!$H$2:$H$1369,MATCH(1240,Engine!$C$2:$C$1369,0)))</f>
        <v/>
      </c>
      <c r="I1253" s="9">
        <f>IF(ISNA(MATCH(1240,Engine!$C$2:$C$1369,0)),"",INDEX('Compliance Database'!$I$2:$I$1369,MATCH(1240,Engine!$C$2:$C$1369,0)))</f>
        <v/>
      </c>
      <c r="J1253" s="8">
        <f>IF(ISNA(MATCH(1240,Engine!$C$2:$C$1369,0)),"",INDEX('Compliance Database'!$J$2:$J$1369,MATCH(1240,Engine!$C$2:$C$1369,0)))</f>
        <v/>
      </c>
      <c r="K1253" s="9">
        <f>IF(ISNA(MATCH(1240,Engine!$C$2:$C$1369,0)),"",INDEX('Compliance Database'!$K$2:$K$1369,MATCH(1240,Engine!$C$2:$C$1369,0)))</f>
        <v/>
      </c>
      <c r="L1253" s="9">
        <f>IF(ISNA(MATCH(1240,Engine!$C$2:$C$1369,0)),"",INDEX('Compliance Database'!$L$2:$L$1369,MATCH(1240,Engine!$C$2:$C$1369,0)))</f>
        <v/>
      </c>
      <c r="M1253" s="9">
        <f>IF(ISNA(MATCH(1240,Engine!$C$2:$C$1369,0)),"",INDEX('Compliance Database'!$M$2:$M$1369,MATCH(1240,Engine!$C$2:$C$1369,0)))</f>
        <v/>
      </c>
      <c r="N1253" s="9">
        <f>IF(ISNA(MATCH(1240,Engine!$C$2:$C$1369,0)),"",INDEX('Compliance Database'!$N$2:$N$1369,MATCH(1240,Engine!$C$2:$C$1369,0)))</f>
        <v/>
      </c>
      <c r="O1253" s="8">
        <f>IF(ISNA(MATCH(1240,Engine!$C$2:$C$1369,0)),"",HYPERLINK(INDEX('Compliance Database'!$O$2:$O$1369,MATCH(1240,Engine!$C$2:$C$1369,0)),"Open PDF"))</f>
        <v/>
      </c>
    </row>
    <row r="1254" ht="188" customHeight="1">
      <c r="A1254" s="8">
        <f>IF(ISNA(MATCH(1241,Engine!$C$2:$C$1369,0)),"",INDEX('Compliance Database'!$A$2:$A$1369,MATCH(1241,Engine!$C$2:$C$1369,0)))</f>
        <v/>
      </c>
      <c r="B1254" s="8">
        <f>IF(ISNA(MATCH(1241,Engine!$C$2:$C$1369,0)),"",INDEX('Compliance Database'!$B$2:$B$1369,MATCH(1241,Engine!$C$2:$C$1369,0)))</f>
        <v/>
      </c>
      <c r="C1254" s="8">
        <f>IF(ISNA(MATCH(1241,Engine!$C$2:$C$1369,0)),"",INDEX('Compliance Database'!$C$2:$C$1369,MATCH(1241,Engine!$C$2:$C$1369,0)))</f>
        <v/>
      </c>
      <c r="D1254" s="9">
        <f>IF(ISNA(MATCH(1241,Engine!$C$2:$C$1369,0)),"",INDEX('Compliance Database'!$D$2:$D$1369,MATCH(1241,Engine!$C$2:$C$1369,0)))</f>
        <v/>
      </c>
      <c r="E1254" s="8">
        <f>IF(ISNA(MATCH(1241,Engine!$C$2:$C$1369,0)),"",INDEX('Compliance Database'!$E$2:$E$1369,MATCH(1241,Engine!$C$2:$C$1369,0)))</f>
        <v/>
      </c>
      <c r="F1254" s="8">
        <f>IF(ISNA(MATCH(1241,Engine!$C$2:$C$1369,0)),"",INDEX('Compliance Database'!$F$2:$F$1369,MATCH(1241,Engine!$C$2:$C$1369,0)))</f>
        <v/>
      </c>
      <c r="G1254" s="8">
        <f>IF(ISNA(MATCH(1241,Engine!$C$2:$C$1369,0)),"",INDEX('Compliance Database'!$G$2:$G$1369,MATCH(1241,Engine!$C$2:$C$1369,0)))</f>
        <v/>
      </c>
      <c r="H1254" s="9">
        <f>IF(ISNA(MATCH(1241,Engine!$C$2:$C$1369,0)),"",INDEX('Compliance Database'!$H$2:$H$1369,MATCH(1241,Engine!$C$2:$C$1369,0)))</f>
        <v/>
      </c>
      <c r="I1254" s="9">
        <f>IF(ISNA(MATCH(1241,Engine!$C$2:$C$1369,0)),"",INDEX('Compliance Database'!$I$2:$I$1369,MATCH(1241,Engine!$C$2:$C$1369,0)))</f>
        <v/>
      </c>
      <c r="J1254" s="8">
        <f>IF(ISNA(MATCH(1241,Engine!$C$2:$C$1369,0)),"",INDEX('Compliance Database'!$J$2:$J$1369,MATCH(1241,Engine!$C$2:$C$1369,0)))</f>
        <v/>
      </c>
      <c r="K1254" s="9">
        <f>IF(ISNA(MATCH(1241,Engine!$C$2:$C$1369,0)),"",INDEX('Compliance Database'!$K$2:$K$1369,MATCH(1241,Engine!$C$2:$C$1369,0)))</f>
        <v/>
      </c>
      <c r="L1254" s="9">
        <f>IF(ISNA(MATCH(1241,Engine!$C$2:$C$1369,0)),"",INDEX('Compliance Database'!$L$2:$L$1369,MATCH(1241,Engine!$C$2:$C$1369,0)))</f>
        <v/>
      </c>
      <c r="M1254" s="9">
        <f>IF(ISNA(MATCH(1241,Engine!$C$2:$C$1369,0)),"",INDEX('Compliance Database'!$M$2:$M$1369,MATCH(1241,Engine!$C$2:$C$1369,0)))</f>
        <v/>
      </c>
      <c r="N1254" s="9">
        <f>IF(ISNA(MATCH(1241,Engine!$C$2:$C$1369,0)),"",INDEX('Compliance Database'!$N$2:$N$1369,MATCH(1241,Engine!$C$2:$C$1369,0)))</f>
        <v/>
      </c>
      <c r="O1254" s="8">
        <f>IF(ISNA(MATCH(1241,Engine!$C$2:$C$1369,0)),"",HYPERLINK(INDEX('Compliance Database'!$O$2:$O$1369,MATCH(1241,Engine!$C$2:$C$1369,0)),"Open PDF"))</f>
        <v/>
      </c>
    </row>
    <row r="1255" ht="188" customHeight="1">
      <c r="A1255" s="8">
        <f>IF(ISNA(MATCH(1242,Engine!$C$2:$C$1369,0)),"",INDEX('Compliance Database'!$A$2:$A$1369,MATCH(1242,Engine!$C$2:$C$1369,0)))</f>
        <v/>
      </c>
      <c r="B1255" s="8">
        <f>IF(ISNA(MATCH(1242,Engine!$C$2:$C$1369,0)),"",INDEX('Compliance Database'!$B$2:$B$1369,MATCH(1242,Engine!$C$2:$C$1369,0)))</f>
        <v/>
      </c>
      <c r="C1255" s="8">
        <f>IF(ISNA(MATCH(1242,Engine!$C$2:$C$1369,0)),"",INDEX('Compliance Database'!$C$2:$C$1369,MATCH(1242,Engine!$C$2:$C$1369,0)))</f>
        <v/>
      </c>
      <c r="D1255" s="9">
        <f>IF(ISNA(MATCH(1242,Engine!$C$2:$C$1369,0)),"",INDEX('Compliance Database'!$D$2:$D$1369,MATCH(1242,Engine!$C$2:$C$1369,0)))</f>
        <v/>
      </c>
      <c r="E1255" s="8">
        <f>IF(ISNA(MATCH(1242,Engine!$C$2:$C$1369,0)),"",INDEX('Compliance Database'!$E$2:$E$1369,MATCH(1242,Engine!$C$2:$C$1369,0)))</f>
        <v/>
      </c>
      <c r="F1255" s="8">
        <f>IF(ISNA(MATCH(1242,Engine!$C$2:$C$1369,0)),"",INDEX('Compliance Database'!$F$2:$F$1369,MATCH(1242,Engine!$C$2:$C$1369,0)))</f>
        <v/>
      </c>
      <c r="G1255" s="8">
        <f>IF(ISNA(MATCH(1242,Engine!$C$2:$C$1369,0)),"",INDEX('Compliance Database'!$G$2:$G$1369,MATCH(1242,Engine!$C$2:$C$1369,0)))</f>
        <v/>
      </c>
      <c r="H1255" s="9">
        <f>IF(ISNA(MATCH(1242,Engine!$C$2:$C$1369,0)),"",INDEX('Compliance Database'!$H$2:$H$1369,MATCH(1242,Engine!$C$2:$C$1369,0)))</f>
        <v/>
      </c>
      <c r="I1255" s="9">
        <f>IF(ISNA(MATCH(1242,Engine!$C$2:$C$1369,0)),"",INDEX('Compliance Database'!$I$2:$I$1369,MATCH(1242,Engine!$C$2:$C$1369,0)))</f>
        <v/>
      </c>
      <c r="J1255" s="8">
        <f>IF(ISNA(MATCH(1242,Engine!$C$2:$C$1369,0)),"",INDEX('Compliance Database'!$J$2:$J$1369,MATCH(1242,Engine!$C$2:$C$1369,0)))</f>
        <v/>
      </c>
      <c r="K1255" s="9">
        <f>IF(ISNA(MATCH(1242,Engine!$C$2:$C$1369,0)),"",INDEX('Compliance Database'!$K$2:$K$1369,MATCH(1242,Engine!$C$2:$C$1369,0)))</f>
        <v/>
      </c>
      <c r="L1255" s="9">
        <f>IF(ISNA(MATCH(1242,Engine!$C$2:$C$1369,0)),"",INDEX('Compliance Database'!$L$2:$L$1369,MATCH(1242,Engine!$C$2:$C$1369,0)))</f>
        <v/>
      </c>
      <c r="M1255" s="9">
        <f>IF(ISNA(MATCH(1242,Engine!$C$2:$C$1369,0)),"",INDEX('Compliance Database'!$M$2:$M$1369,MATCH(1242,Engine!$C$2:$C$1369,0)))</f>
        <v/>
      </c>
      <c r="N1255" s="9">
        <f>IF(ISNA(MATCH(1242,Engine!$C$2:$C$1369,0)),"",INDEX('Compliance Database'!$N$2:$N$1369,MATCH(1242,Engine!$C$2:$C$1369,0)))</f>
        <v/>
      </c>
      <c r="O1255" s="8">
        <f>IF(ISNA(MATCH(1242,Engine!$C$2:$C$1369,0)),"",HYPERLINK(INDEX('Compliance Database'!$O$2:$O$1369,MATCH(1242,Engine!$C$2:$C$1369,0)),"Open PDF"))</f>
        <v/>
      </c>
    </row>
    <row r="1256" ht="188" customHeight="1">
      <c r="A1256" s="8">
        <f>IF(ISNA(MATCH(1243,Engine!$C$2:$C$1369,0)),"",INDEX('Compliance Database'!$A$2:$A$1369,MATCH(1243,Engine!$C$2:$C$1369,0)))</f>
        <v/>
      </c>
      <c r="B1256" s="8">
        <f>IF(ISNA(MATCH(1243,Engine!$C$2:$C$1369,0)),"",INDEX('Compliance Database'!$B$2:$B$1369,MATCH(1243,Engine!$C$2:$C$1369,0)))</f>
        <v/>
      </c>
      <c r="C1256" s="8">
        <f>IF(ISNA(MATCH(1243,Engine!$C$2:$C$1369,0)),"",INDEX('Compliance Database'!$C$2:$C$1369,MATCH(1243,Engine!$C$2:$C$1369,0)))</f>
        <v/>
      </c>
      <c r="D1256" s="9">
        <f>IF(ISNA(MATCH(1243,Engine!$C$2:$C$1369,0)),"",INDEX('Compliance Database'!$D$2:$D$1369,MATCH(1243,Engine!$C$2:$C$1369,0)))</f>
        <v/>
      </c>
      <c r="E1256" s="8">
        <f>IF(ISNA(MATCH(1243,Engine!$C$2:$C$1369,0)),"",INDEX('Compliance Database'!$E$2:$E$1369,MATCH(1243,Engine!$C$2:$C$1369,0)))</f>
        <v/>
      </c>
      <c r="F1256" s="8">
        <f>IF(ISNA(MATCH(1243,Engine!$C$2:$C$1369,0)),"",INDEX('Compliance Database'!$F$2:$F$1369,MATCH(1243,Engine!$C$2:$C$1369,0)))</f>
        <v/>
      </c>
      <c r="G1256" s="8">
        <f>IF(ISNA(MATCH(1243,Engine!$C$2:$C$1369,0)),"",INDEX('Compliance Database'!$G$2:$G$1369,MATCH(1243,Engine!$C$2:$C$1369,0)))</f>
        <v/>
      </c>
      <c r="H1256" s="9">
        <f>IF(ISNA(MATCH(1243,Engine!$C$2:$C$1369,0)),"",INDEX('Compliance Database'!$H$2:$H$1369,MATCH(1243,Engine!$C$2:$C$1369,0)))</f>
        <v/>
      </c>
      <c r="I1256" s="9">
        <f>IF(ISNA(MATCH(1243,Engine!$C$2:$C$1369,0)),"",INDEX('Compliance Database'!$I$2:$I$1369,MATCH(1243,Engine!$C$2:$C$1369,0)))</f>
        <v/>
      </c>
      <c r="J1256" s="8">
        <f>IF(ISNA(MATCH(1243,Engine!$C$2:$C$1369,0)),"",INDEX('Compliance Database'!$J$2:$J$1369,MATCH(1243,Engine!$C$2:$C$1369,0)))</f>
        <v/>
      </c>
      <c r="K1256" s="9">
        <f>IF(ISNA(MATCH(1243,Engine!$C$2:$C$1369,0)),"",INDEX('Compliance Database'!$K$2:$K$1369,MATCH(1243,Engine!$C$2:$C$1369,0)))</f>
        <v/>
      </c>
      <c r="L1256" s="9">
        <f>IF(ISNA(MATCH(1243,Engine!$C$2:$C$1369,0)),"",INDEX('Compliance Database'!$L$2:$L$1369,MATCH(1243,Engine!$C$2:$C$1369,0)))</f>
        <v/>
      </c>
      <c r="M1256" s="9">
        <f>IF(ISNA(MATCH(1243,Engine!$C$2:$C$1369,0)),"",INDEX('Compliance Database'!$M$2:$M$1369,MATCH(1243,Engine!$C$2:$C$1369,0)))</f>
        <v/>
      </c>
      <c r="N1256" s="9">
        <f>IF(ISNA(MATCH(1243,Engine!$C$2:$C$1369,0)),"",INDEX('Compliance Database'!$N$2:$N$1369,MATCH(1243,Engine!$C$2:$C$1369,0)))</f>
        <v/>
      </c>
      <c r="O1256" s="8">
        <f>IF(ISNA(MATCH(1243,Engine!$C$2:$C$1369,0)),"",HYPERLINK(INDEX('Compliance Database'!$O$2:$O$1369,MATCH(1243,Engine!$C$2:$C$1369,0)),"Open PDF"))</f>
        <v/>
      </c>
    </row>
    <row r="1257" ht="188" customHeight="1">
      <c r="A1257" s="8">
        <f>IF(ISNA(MATCH(1244,Engine!$C$2:$C$1369,0)),"",INDEX('Compliance Database'!$A$2:$A$1369,MATCH(1244,Engine!$C$2:$C$1369,0)))</f>
        <v/>
      </c>
      <c r="B1257" s="8">
        <f>IF(ISNA(MATCH(1244,Engine!$C$2:$C$1369,0)),"",INDEX('Compliance Database'!$B$2:$B$1369,MATCH(1244,Engine!$C$2:$C$1369,0)))</f>
        <v/>
      </c>
      <c r="C1257" s="8">
        <f>IF(ISNA(MATCH(1244,Engine!$C$2:$C$1369,0)),"",INDEX('Compliance Database'!$C$2:$C$1369,MATCH(1244,Engine!$C$2:$C$1369,0)))</f>
        <v/>
      </c>
      <c r="D1257" s="9">
        <f>IF(ISNA(MATCH(1244,Engine!$C$2:$C$1369,0)),"",INDEX('Compliance Database'!$D$2:$D$1369,MATCH(1244,Engine!$C$2:$C$1369,0)))</f>
        <v/>
      </c>
      <c r="E1257" s="8">
        <f>IF(ISNA(MATCH(1244,Engine!$C$2:$C$1369,0)),"",INDEX('Compliance Database'!$E$2:$E$1369,MATCH(1244,Engine!$C$2:$C$1369,0)))</f>
        <v/>
      </c>
      <c r="F1257" s="8">
        <f>IF(ISNA(MATCH(1244,Engine!$C$2:$C$1369,0)),"",INDEX('Compliance Database'!$F$2:$F$1369,MATCH(1244,Engine!$C$2:$C$1369,0)))</f>
        <v/>
      </c>
      <c r="G1257" s="8">
        <f>IF(ISNA(MATCH(1244,Engine!$C$2:$C$1369,0)),"",INDEX('Compliance Database'!$G$2:$G$1369,MATCH(1244,Engine!$C$2:$C$1369,0)))</f>
        <v/>
      </c>
      <c r="H1257" s="9">
        <f>IF(ISNA(MATCH(1244,Engine!$C$2:$C$1369,0)),"",INDEX('Compliance Database'!$H$2:$H$1369,MATCH(1244,Engine!$C$2:$C$1369,0)))</f>
        <v/>
      </c>
      <c r="I1257" s="9">
        <f>IF(ISNA(MATCH(1244,Engine!$C$2:$C$1369,0)),"",INDEX('Compliance Database'!$I$2:$I$1369,MATCH(1244,Engine!$C$2:$C$1369,0)))</f>
        <v/>
      </c>
      <c r="J1257" s="8">
        <f>IF(ISNA(MATCH(1244,Engine!$C$2:$C$1369,0)),"",INDEX('Compliance Database'!$J$2:$J$1369,MATCH(1244,Engine!$C$2:$C$1369,0)))</f>
        <v/>
      </c>
      <c r="K1257" s="9">
        <f>IF(ISNA(MATCH(1244,Engine!$C$2:$C$1369,0)),"",INDEX('Compliance Database'!$K$2:$K$1369,MATCH(1244,Engine!$C$2:$C$1369,0)))</f>
        <v/>
      </c>
      <c r="L1257" s="9">
        <f>IF(ISNA(MATCH(1244,Engine!$C$2:$C$1369,0)),"",INDEX('Compliance Database'!$L$2:$L$1369,MATCH(1244,Engine!$C$2:$C$1369,0)))</f>
        <v/>
      </c>
      <c r="M1257" s="9">
        <f>IF(ISNA(MATCH(1244,Engine!$C$2:$C$1369,0)),"",INDEX('Compliance Database'!$M$2:$M$1369,MATCH(1244,Engine!$C$2:$C$1369,0)))</f>
        <v/>
      </c>
      <c r="N1257" s="9">
        <f>IF(ISNA(MATCH(1244,Engine!$C$2:$C$1369,0)),"",INDEX('Compliance Database'!$N$2:$N$1369,MATCH(1244,Engine!$C$2:$C$1369,0)))</f>
        <v/>
      </c>
      <c r="O1257" s="8">
        <f>IF(ISNA(MATCH(1244,Engine!$C$2:$C$1369,0)),"",HYPERLINK(INDEX('Compliance Database'!$O$2:$O$1369,MATCH(1244,Engine!$C$2:$C$1369,0)),"Open PDF"))</f>
        <v/>
      </c>
    </row>
    <row r="1258" ht="188" customHeight="1">
      <c r="A1258" s="8">
        <f>IF(ISNA(MATCH(1245,Engine!$C$2:$C$1369,0)),"",INDEX('Compliance Database'!$A$2:$A$1369,MATCH(1245,Engine!$C$2:$C$1369,0)))</f>
        <v/>
      </c>
      <c r="B1258" s="8">
        <f>IF(ISNA(MATCH(1245,Engine!$C$2:$C$1369,0)),"",INDEX('Compliance Database'!$B$2:$B$1369,MATCH(1245,Engine!$C$2:$C$1369,0)))</f>
        <v/>
      </c>
      <c r="C1258" s="8">
        <f>IF(ISNA(MATCH(1245,Engine!$C$2:$C$1369,0)),"",INDEX('Compliance Database'!$C$2:$C$1369,MATCH(1245,Engine!$C$2:$C$1369,0)))</f>
        <v/>
      </c>
      <c r="D1258" s="9">
        <f>IF(ISNA(MATCH(1245,Engine!$C$2:$C$1369,0)),"",INDEX('Compliance Database'!$D$2:$D$1369,MATCH(1245,Engine!$C$2:$C$1369,0)))</f>
        <v/>
      </c>
      <c r="E1258" s="8">
        <f>IF(ISNA(MATCH(1245,Engine!$C$2:$C$1369,0)),"",INDEX('Compliance Database'!$E$2:$E$1369,MATCH(1245,Engine!$C$2:$C$1369,0)))</f>
        <v/>
      </c>
      <c r="F1258" s="8">
        <f>IF(ISNA(MATCH(1245,Engine!$C$2:$C$1369,0)),"",INDEX('Compliance Database'!$F$2:$F$1369,MATCH(1245,Engine!$C$2:$C$1369,0)))</f>
        <v/>
      </c>
      <c r="G1258" s="8">
        <f>IF(ISNA(MATCH(1245,Engine!$C$2:$C$1369,0)),"",INDEX('Compliance Database'!$G$2:$G$1369,MATCH(1245,Engine!$C$2:$C$1369,0)))</f>
        <v/>
      </c>
      <c r="H1258" s="9">
        <f>IF(ISNA(MATCH(1245,Engine!$C$2:$C$1369,0)),"",INDEX('Compliance Database'!$H$2:$H$1369,MATCH(1245,Engine!$C$2:$C$1369,0)))</f>
        <v/>
      </c>
      <c r="I1258" s="9">
        <f>IF(ISNA(MATCH(1245,Engine!$C$2:$C$1369,0)),"",INDEX('Compliance Database'!$I$2:$I$1369,MATCH(1245,Engine!$C$2:$C$1369,0)))</f>
        <v/>
      </c>
      <c r="J1258" s="8">
        <f>IF(ISNA(MATCH(1245,Engine!$C$2:$C$1369,0)),"",INDEX('Compliance Database'!$J$2:$J$1369,MATCH(1245,Engine!$C$2:$C$1369,0)))</f>
        <v/>
      </c>
      <c r="K1258" s="9">
        <f>IF(ISNA(MATCH(1245,Engine!$C$2:$C$1369,0)),"",INDEX('Compliance Database'!$K$2:$K$1369,MATCH(1245,Engine!$C$2:$C$1369,0)))</f>
        <v/>
      </c>
      <c r="L1258" s="9">
        <f>IF(ISNA(MATCH(1245,Engine!$C$2:$C$1369,0)),"",INDEX('Compliance Database'!$L$2:$L$1369,MATCH(1245,Engine!$C$2:$C$1369,0)))</f>
        <v/>
      </c>
      <c r="M1258" s="9">
        <f>IF(ISNA(MATCH(1245,Engine!$C$2:$C$1369,0)),"",INDEX('Compliance Database'!$M$2:$M$1369,MATCH(1245,Engine!$C$2:$C$1369,0)))</f>
        <v/>
      </c>
      <c r="N1258" s="9">
        <f>IF(ISNA(MATCH(1245,Engine!$C$2:$C$1369,0)),"",INDEX('Compliance Database'!$N$2:$N$1369,MATCH(1245,Engine!$C$2:$C$1369,0)))</f>
        <v/>
      </c>
      <c r="O1258" s="8">
        <f>IF(ISNA(MATCH(1245,Engine!$C$2:$C$1369,0)),"",HYPERLINK(INDEX('Compliance Database'!$O$2:$O$1369,MATCH(1245,Engine!$C$2:$C$1369,0)),"Open PDF"))</f>
        <v/>
      </c>
    </row>
    <row r="1259" ht="188" customHeight="1">
      <c r="A1259" s="8">
        <f>IF(ISNA(MATCH(1246,Engine!$C$2:$C$1369,0)),"",INDEX('Compliance Database'!$A$2:$A$1369,MATCH(1246,Engine!$C$2:$C$1369,0)))</f>
        <v/>
      </c>
      <c r="B1259" s="8">
        <f>IF(ISNA(MATCH(1246,Engine!$C$2:$C$1369,0)),"",INDEX('Compliance Database'!$B$2:$B$1369,MATCH(1246,Engine!$C$2:$C$1369,0)))</f>
        <v/>
      </c>
      <c r="C1259" s="8">
        <f>IF(ISNA(MATCH(1246,Engine!$C$2:$C$1369,0)),"",INDEX('Compliance Database'!$C$2:$C$1369,MATCH(1246,Engine!$C$2:$C$1369,0)))</f>
        <v/>
      </c>
      <c r="D1259" s="9">
        <f>IF(ISNA(MATCH(1246,Engine!$C$2:$C$1369,0)),"",INDEX('Compliance Database'!$D$2:$D$1369,MATCH(1246,Engine!$C$2:$C$1369,0)))</f>
        <v/>
      </c>
      <c r="E1259" s="8">
        <f>IF(ISNA(MATCH(1246,Engine!$C$2:$C$1369,0)),"",INDEX('Compliance Database'!$E$2:$E$1369,MATCH(1246,Engine!$C$2:$C$1369,0)))</f>
        <v/>
      </c>
      <c r="F1259" s="8">
        <f>IF(ISNA(MATCH(1246,Engine!$C$2:$C$1369,0)),"",INDEX('Compliance Database'!$F$2:$F$1369,MATCH(1246,Engine!$C$2:$C$1369,0)))</f>
        <v/>
      </c>
      <c r="G1259" s="8">
        <f>IF(ISNA(MATCH(1246,Engine!$C$2:$C$1369,0)),"",INDEX('Compliance Database'!$G$2:$G$1369,MATCH(1246,Engine!$C$2:$C$1369,0)))</f>
        <v/>
      </c>
      <c r="H1259" s="9">
        <f>IF(ISNA(MATCH(1246,Engine!$C$2:$C$1369,0)),"",INDEX('Compliance Database'!$H$2:$H$1369,MATCH(1246,Engine!$C$2:$C$1369,0)))</f>
        <v/>
      </c>
      <c r="I1259" s="9">
        <f>IF(ISNA(MATCH(1246,Engine!$C$2:$C$1369,0)),"",INDEX('Compliance Database'!$I$2:$I$1369,MATCH(1246,Engine!$C$2:$C$1369,0)))</f>
        <v/>
      </c>
      <c r="J1259" s="8">
        <f>IF(ISNA(MATCH(1246,Engine!$C$2:$C$1369,0)),"",INDEX('Compliance Database'!$J$2:$J$1369,MATCH(1246,Engine!$C$2:$C$1369,0)))</f>
        <v/>
      </c>
      <c r="K1259" s="9">
        <f>IF(ISNA(MATCH(1246,Engine!$C$2:$C$1369,0)),"",INDEX('Compliance Database'!$K$2:$K$1369,MATCH(1246,Engine!$C$2:$C$1369,0)))</f>
        <v/>
      </c>
      <c r="L1259" s="9">
        <f>IF(ISNA(MATCH(1246,Engine!$C$2:$C$1369,0)),"",INDEX('Compliance Database'!$L$2:$L$1369,MATCH(1246,Engine!$C$2:$C$1369,0)))</f>
        <v/>
      </c>
      <c r="M1259" s="9">
        <f>IF(ISNA(MATCH(1246,Engine!$C$2:$C$1369,0)),"",INDEX('Compliance Database'!$M$2:$M$1369,MATCH(1246,Engine!$C$2:$C$1369,0)))</f>
        <v/>
      </c>
      <c r="N1259" s="9">
        <f>IF(ISNA(MATCH(1246,Engine!$C$2:$C$1369,0)),"",INDEX('Compliance Database'!$N$2:$N$1369,MATCH(1246,Engine!$C$2:$C$1369,0)))</f>
        <v/>
      </c>
      <c r="O1259" s="8">
        <f>IF(ISNA(MATCH(1246,Engine!$C$2:$C$1369,0)),"",HYPERLINK(INDEX('Compliance Database'!$O$2:$O$1369,MATCH(1246,Engine!$C$2:$C$1369,0)),"Open PDF"))</f>
        <v/>
      </c>
    </row>
    <row r="1260" ht="188" customHeight="1">
      <c r="A1260" s="8">
        <f>IF(ISNA(MATCH(1247,Engine!$C$2:$C$1369,0)),"",INDEX('Compliance Database'!$A$2:$A$1369,MATCH(1247,Engine!$C$2:$C$1369,0)))</f>
        <v/>
      </c>
      <c r="B1260" s="8">
        <f>IF(ISNA(MATCH(1247,Engine!$C$2:$C$1369,0)),"",INDEX('Compliance Database'!$B$2:$B$1369,MATCH(1247,Engine!$C$2:$C$1369,0)))</f>
        <v/>
      </c>
      <c r="C1260" s="8">
        <f>IF(ISNA(MATCH(1247,Engine!$C$2:$C$1369,0)),"",INDEX('Compliance Database'!$C$2:$C$1369,MATCH(1247,Engine!$C$2:$C$1369,0)))</f>
        <v/>
      </c>
      <c r="D1260" s="9">
        <f>IF(ISNA(MATCH(1247,Engine!$C$2:$C$1369,0)),"",INDEX('Compliance Database'!$D$2:$D$1369,MATCH(1247,Engine!$C$2:$C$1369,0)))</f>
        <v/>
      </c>
      <c r="E1260" s="8">
        <f>IF(ISNA(MATCH(1247,Engine!$C$2:$C$1369,0)),"",INDEX('Compliance Database'!$E$2:$E$1369,MATCH(1247,Engine!$C$2:$C$1369,0)))</f>
        <v/>
      </c>
      <c r="F1260" s="8">
        <f>IF(ISNA(MATCH(1247,Engine!$C$2:$C$1369,0)),"",INDEX('Compliance Database'!$F$2:$F$1369,MATCH(1247,Engine!$C$2:$C$1369,0)))</f>
        <v/>
      </c>
      <c r="G1260" s="8">
        <f>IF(ISNA(MATCH(1247,Engine!$C$2:$C$1369,0)),"",INDEX('Compliance Database'!$G$2:$G$1369,MATCH(1247,Engine!$C$2:$C$1369,0)))</f>
        <v/>
      </c>
      <c r="H1260" s="9">
        <f>IF(ISNA(MATCH(1247,Engine!$C$2:$C$1369,0)),"",INDEX('Compliance Database'!$H$2:$H$1369,MATCH(1247,Engine!$C$2:$C$1369,0)))</f>
        <v/>
      </c>
      <c r="I1260" s="9">
        <f>IF(ISNA(MATCH(1247,Engine!$C$2:$C$1369,0)),"",INDEX('Compliance Database'!$I$2:$I$1369,MATCH(1247,Engine!$C$2:$C$1369,0)))</f>
        <v/>
      </c>
      <c r="J1260" s="8">
        <f>IF(ISNA(MATCH(1247,Engine!$C$2:$C$1369,0)),"",INDEX('Compliance Database'!$J$2:$J$1369,MATCH(1247,Engine!$C$2:$C$1369,0)))</f>
        <v/>
      </c>
      <c r="K1260" s="9">
        <f>IF(ISNA(MATCH(1247,Engine!$C$2:$C$1369,0)),"",INDEX('Compliance Database'!$K$2:$K$1369,MATCH(1247,Engine!$C$2:$C$1369,0)))</f>
        <v/>
      </c>
      <c r="L1260" s="9">
        <f>IF(ISNA(MATCH(1247,Engine!$C$2:$C$1369,0)),"",INDEX('Compliance Database'!$L$2:$L$1369,MATCH(1247,Engine!$C$2:$C$1369,0)))</f>
        <v/>
      </c>
      <c r="M1260" s="9">
        <f>IF(ISNA(MATCH(1247,Engine!$C$2:$C$1369,0)),"",INDEX('Compliance Database'!$M$2:$M$1369,MATCH(1247,Engine!$C$2:$C$1369,0)))</f>
        <v/>
      </c>
      <c r="N1260" s="9">
        <f>IF(ISNA(MATCH(1247,Engine!$C$2:$C$1369,0)),"",INDEX('Compliance Database'!$N$2:$N$1369,MATCH(1247,Engine!$C$2:$C$1369,0)))</f>
        <v/>
      </c>
      <c r="O1260" s="8">
        <f>IF(ISNA(MATCH(1247,Engine!$C$2:$C$1369,0)),"",HYPERLINK(INDEX('Compliance Database'!$O$2:$O$1369,MATCH(1247,Engine!$C$2:$C$1369,0)),"Open PDF"))</f>
        <v/>
      </c>
    </row>
    <row r="1261" ht="188" customHeight="1">
      <c r="A1261" s="8">
        <f>IF(ISNA(MATCH(1248,Engine!$C$2:$C$1369,0)),"",INDEX('Compliance Database'!$A$2:$A$1369,MATCH(1248,Engine!$C$2:$C$1369,0)))</f>
        <v/>
      </c>
      <c r="B1261" s="8">
        <f>IF(ISNA(MATCH(1248,Engine!$C$2:$C$1369,0)),"",INDEX('Compliance Database'!$B$2:$B$1369,MATCH(1248,Engine!$C$2:$C$1369,0)))</f>
        <v/>
      </c>
      <c r="C1261" s="8">
        <f>IF(ISNA(MATCH(1248,Engine!$C$2:$C$1369,0)),"",INDEX('Compliance Database'!$C$2:$C$1369,MATCH(1248,Engine!$C$2:$C$1369,0)))</f>
        <v/>
      </c>
      <c r="D1261" s="9">
        <f>IF(ISNA(MATCH(1248,Engine!$C$2:$C$1369,0)),"",INDEX('Compliance Database'!$D$2:$D$1369,MATCH(1248,Engine!$C$2:$C$1369,0)))</f>
        <v/>
      </c>
      <c r="E1261" s="8">
        <f>IF(ISNA(MATCH(1248,Engine!$C$2:$C$1369,0)),"",INDEX('Compliance Database'!$E$2:$E$1369,MATCH(1248,Engine!$C$2:$C$1369,0)))</f>
        <v/>
      </c>
      <c r="F1261" s="8">
        <f>IF(ISNA(MATCH(1248,Engine!$C$2:$C$1369,0)),"",INDEX('Compliance Database'!$F$2:$F$1369,MATCH(1248,Engine!$C$2:$C$1369,0)))</f>
        <v/>
      </c>
      <c r="G1261" s="8">
        <f>IF(ISNA(MATCH(1248,Engine!$C$2:$C$1369,0)),"",INDEX('Compliance Database'!$G$2:$G$1369,MATCH(1248,Engine!$C$2:$C$1369,0)))</f>
        <v/>
      </c>
      <c r="H1261" s="9">
        <f>IF(ISNA(MATCH(1248,Engine!$C$2:$C$1369,0)),"",INDEX('Compliance Database'!$H$2:$H$1369,MATCH(1248,Engine!$C$2:$C$1369,0)))</f>
        <v/>
      </c>
      <c r="I1261" s="9">
        <f>IF(ISNA(MATCH(1248,Engine!$C$2:$C$1369,0)),"",INDEX('Compliance Database'!$I$2:$I$1369,MATCH(1248,Engine!$C$2:$C$1369,0)))</f>
        <v/>
      </c>
      <c r="J1261" s="8">
        <f>IF(ISNA(MATCH(1248,Engine!$C$2:$C$1369,0)),"",INDEX('Compliance Database'!$J$2:$J$1369,MATCH(1248,Engine!$C$2:$C$1369,0)))</f>
        <v/>
      </c>
      <c r="K1261" s="9">
        <f>IF(ISNA(MATCH(1248,Engine!$C$2:$C$1369,0)),"",INDEX('Compliance Database'!$K$2:$K$1369,MATCH(1248,Engine!$C$2:$C$1369,0)))</f>
        <v/>
      </c>
      <c r="L1261" s="9">
        <f>IF(ISNA(MATCH(1248,Engine!$C$2:$C$1369,0)),"",INDEX('Compliance Database'!$L$2:$L$1369,MATCH(1248,Engine!$C$2:$C$1369,0)))</f>
        <v/>
      </c>
      <c r="M1261" s="9">
        <f>IF(ISNA(MATCH(1248,Engine!$C$2:$C$1369,0)),"",INDEX('Compliance Database'!$M$2:$M$1369,MATCH(1248,Engine!$C$2:$C$1369,0)))</f>
        <v/>
      </c>
      <c r="N1261" s="9">
        <f>IF(ISNA(MATCH(1248,Engine!$C$2:$C$1369,0)),"",INDEX('Compliance Database'!$N$2:$N$1369,MATCH(1248,Engine!$C$2:$C$1369,0)))</f>
        <v/>
      </c>
      <c r="O1261" s="8">
        <f>IF(ISNA(MATCH(1248,Engine!$C$2:$C$1369,0)),"",HYPERLINK(INDEX('Compliance Database'!$O$2:$O$1369,MATCH(1248,Engine!$C$2:$C$1369,0)),"Open PDF"))</f>
        <v/>
      </c>
    </row>
    <row r="1262" ht="188" customHeight="1">
      <c r="A1262" s="8">
        <f>IF(ISNA(MATCH(1249,Engine!$C$2:$C$1369,0)),"",INDEX('Compliance Database'!$A$2:$A$1369,MATCH(1249,Engine!$C$2:$C$1369,0)))</f>
        <v/>
      </c>
      <c r="B1262" s="8">
        <f>IF(ISNA(MATCH(1249,Engine!$C$2:$C$1369,0)),"",INDEX('Compliance Database'!$B$2:$B$1369,MATCH(1249,Engine!$C$2:$C$1369,0)))</f>
        <v/>
      </c>
      <c r="C1262" s="8">
        <f>IF(ISNA(MATCH(1249,Engine!$C$2:$C$1369,0)),"",INDEX('Compliance Database'!$C$2:$C$1369,MATCH(1249,Engine!$C$2:$C$1369,0)))</f>
        <v/>
      </c>
      <c r="D1262" s="9">
        <f>IF(ISNA(MATCH(1249,Engine!$C$2:$C$1369,0)),"",INDEX('Compliance Database'!$D$2:$D$1369,MATCH(1249,Engine!$C$2:$C$1369,0)))</f>
        <v/>
      </c>
      <c r="E1262" s="8">
        <f>IF(ISNA(MATCH(1249,Engine!$C$2:$C$1369,0)),"",INDEX('Compliance Database'!$E$2:$E$1369,MATCH(1249,Engine!$C$2:$C$1369,0)))</f>
        <v/>
      </c>
      <c r="F1262" s="8">
        <f>IF(ISNA(MATCH(1249,Engine!$C$2:$C$1369,0)),"",INDEX('Compliance Database'!$F$2:$F$1369,MATCH(1249,Engine!$C$2:$C$1369,0)))</f>
        <v/>
      </c>
      <c r="G1262" s="8">
        <f>IF(ISNA(MATCH(1249,Engine!$C$2:$C$1369,0)),"",INDEX('Compliance Database'!$G$2:$G$1369,MATCH(1249,Engine!$C$2:$C$1369,0)))</f>
        <v/>
      </c>
      <c r="H1262" s="9">
        <f>IF(ISNA(MATCH(1249,Engine!$C$2:$C$1369,0)),"",INDEX('Compliance Database'!$H$2:$H$1369,MATCH(1249,Engine!$C$2:$C$1369,0)))</f>
        <v/>
      </c>
      <c r="I1262" s="9">
        <f>IF(ISNA(MATCH(1249,Engine!$C$2:$C$1369,0)),"",INDEX('Compliance Database'!$I$2:$I$1369,MATCH(1249,Engine!$C$2:$C$1369,0)))</f>
        <v/>
      </c>
      <c r="J1262" s="8">
        <f>IF(ISNA(MATCH(1249,Engine!$C$2:$C$1369,0)),"",INDEX('Compliance Database'!$J$2:$J$1369,MATCH(1249,Engine!$C$2:$C$1369,0)))</f>
        <v/>
      </c>
      <c r="K1262" s="9">
        <f>IF(ISNA(MATCH(1249,Engine!$C$2:$C$1369,0)),"",INDEX('Compliance Database'!$K$2:$K$1369,MATCH(1249,Engine!$C$2:$C$1369,0)))</f>
        <v/>
      </c>
      <c r="L1262" s="9">
        <f>IF(ISNA(MATCH(1249,Engine!$C$2:$C$1369,0)),"",INDEX('Compliance Database'!$L$2:$L$1369,MATCH(1249,Engine!$C$2:$C$1369,0)))</f>
        <v/>
      </c>
      <c r="M1262" s="9">
        <f>IF(ISNA(MATCH(1249,Engine!$C$2:$C$1369,0)),"",INDEX('Compliance Database'!$M$2:$M$1369,MATCH(1249,Engine!$C$2:$C$1369,0)))</f>
        <v/>
      </c>
      <c r="N1262" s="9">
        <f>IF(ISNA(MATCH(1249,Engine!$C$2:$C$1369,0)),"",INDEX('Compliance Database'!$N$2:$N$1369,MATCH(1249,Engine!$C$2:$C$1369,0)))</f>
        <v/>
      </c>
      <c r="O1262" s="8">
        <f>IF(ISNA(MATCH(1249,Engine!$C$2:$C$1369,0)),"",HYPERLINK(INDEX('Compliance Database'!$O$2:$O$1369,MATCH(1249,Engine!$C$2:$C$1369,0)),"Open PDF"))</f>
        <v/>
      </c>
    </row>
    <row r="1263" ht="188" customHeight="1">
      <c r="A1263" s="8">
        <f>IF(ISNA(MATCH(1250,Engine!$C$2:$C$1369,0)),"",INDEX('Compliance Database'!$A$2:$A$1369,MATCH(1250,Engine!$C$2:$C$1369,0)))</f>
        <v/>
      </c>
      <c r="B1263" s="8">
        <f>IF(ISNA(MATCH(1250,Engine!$C$2:$C$1369,0)),"",INDEX('Compliance Database'!$B$2:$B$1369,MATCH(1250,Engine!$C$2:$C$1369,0)))</f>
        <v/>
      </c>
      <c r="C1263" s="8">
        <f>IF(ISNA(MATCH(1250,Engine!$C$2:$C$1369,0)),"",INDEX('Compliance Database'!$C$2:$C$1369,MATCH(1250,Engine!$C$2:$C$1369,0)))</f>
        <v/>
      </c>
      <c r="D1263" s="9">
        <f>IF(ISNA(MATCH(1250,Engine!$C$2:$C$1369,0)),"",INDEX('Compliance Database'!$D$2:$D$1369,MATCH(1250,Engine!$C$2:$C$1369,0)))</f>
        <v/>
      </c>
      <c r="E1263" s="8">
        <f>IF(ISNA(MATCH(1250,Engine!$C$2:$C$1369,0)),"",INDEX('Compliance Database'!$E$2:$E$1369,MATCH(1250,Engine!$C$2:$C$1369,0)))</f>
        <v/>
      </c>
      <c r="F1263" s="8">
        <f>IF(ISNA(MATCH(1250,Engine!$C$2:$C$1369,0)),"",INDEX('Compliance Database'!$F$2:$F$1369,MATCH(1250,Engine!$C$2:$C$1369,0)))</f>
        <v/>
      </c>
      <c r="G1263" s="8">
        <f>IF(ISNA(MATCH(1250,Engine!$C$2:$C$1369,0)),"",INDEX('Compliance Database'!$G$2:$G$1369,MATCH(1250,Engine!$C$2:$C$1369,0)))</f>
        <v/>
      </c>
      <c r="H1263" s="9">
        <f>IF(ISNA(MATCH(1250,Engine!$C$2:$C$1369,0)),"",INDEX('Compliance Database'!$H$2:$H$1369,MATCH(1250,Engine!$C$2:$C$1369,0)))</f>
        <v/>
      </c>
      <c r="I1263" s="9">
        <f>IF(ISNA(MATCH(1250,Engine!$C$2:$C$1369,0)),"",INDEX('Compliance Database'!$I$2:$I$1369,MATCH(1250,Engine!$C$2:$C$1369,0)))</f>
        <v/>
      </c>
      <c r="J1263" s="8">
        <f>IF(ISNA(MATCH(1250,Engine!$C$2:$C$1369,0)),"",INDEX('Compliance Database'!$J$2:$J$1369,MATCH(1250,Engine!$C$2:$C$1369,0)))</f>
        <v/>
      </c>
      <c r="K1263" s="9">
        <f>IF(ISNA(MATCH(1250,Engine!$C$2:$C$1369,0)),"",INDEX('Compliance Database'!$K$2:$K$1369,MATCH(1250,Engine!$C$2:$C$1369,0)))</f>
        <v/>
      </c>
      <c r="L1263" s="9">
        <f>IF(ISNA(MATCH(1250,Engine!$C$2:$C$1369,0)),"",INDEX('Compliance Database'!$L$2:$L$1369,MATCH(1250,Engine!$C$2:$C$1369,0)))</f>
        <v/>
      </c>
      <c r="M1263" s="9">
        <f>IF(ISNA(MATCH(1250,Engine!$C$2:$C$1369,0)),"",INDEX('Compliance Database'!$M$2:$M$1369,MATCH(1250,Engine!$C$2:$C$1369,0)))</f>
        <v/>
      </c>
      <c r="N1263" s="9">
        <f>IF(ISNA(MATCH(1250,Engine!$C$2:$C$1369,0)),"",INDEX('Compliance Database'!$N$2:$N$1369,MATCH(1250,Engine!$C$2:$C$1369,0)))</f>
        <v/>
      </c>
      <c r="O1263" s="8">
        <f>IF(ISNA(MATCH(1250,Engine!$C$2:$C$1369,0)),"",HYPERLINK(INDEX('Compliance Database'!$O$2:$O$1369,MATCH(1250,Engine!$C$2:$C$1369,0)),"Open PDF"))</f>
        <v/>
      </c>
    </row>
    <row r="1264" ht="188" customHeight="1">
      <c r="A1264" s="8">
        <f>IF(ISNA(MATCH(1251,Engine!$C$2:$C$1369,0)),"",INDEX('Compliance Database'!$A$2:$A$1369,MATCH(1251,Engine!$C$2:$C$1369,0)))</f>
        <v/>
      </c>
      <c r="B1264" s="8">
        <f>IF(ISNA(MATCH(1251,Engine!$C$2:$C$1369,0)),"",INDEX('Compliance Database'!$B$2:$B$1369,MATCH(1251,Engine!$C$2:$C$1369,0)))</f>
        <v/>
      </c>
      <c r="C1264" s="8">
        <f>IF(ISNA(MATCH(1251,Engine!$C$2:$C$1369,0)),"",INDEX('Compliance Database'!$C$2:$C$1369,MATCH(1251,Engine!$C$2:$C$1369,0)))</f>
        <v/>
      </c>
      <c r="D1264" s="9">
        <f>IF(ISNA(MATCH(1251,Engine!$C$2:$C$1369,0)),"",INDEX('Compliance Database'!$D$2:$D$1369,MATCH(1251,Engine!$C$2:$C$1369,0)))</f>
        <v/>
      </c>
      <c r="E1264" s="8">
        <f>IF(ISNA(MATCH(1251,Engine!$C$2:$C$1369,0)),"",INDEX('Compliance Database'!$E$2:$E$1369,MATCH(1251,Engine!$C$2:$C$1369,0)))</f>
        <v/>
      </c>
      <c r="F1264" s="8">
        <f>IF(ISNA(MATCH(1251,Engine!$C$2:$C$1369,0)),"",INDEX('Compliance Database'!$F$2:$F$1369,MATCH(1251,Engine!$C$2:$C$1369,0)))</f>
        <v/>
      </c>
      <c r="G1264" s="8">
        <f>IF(ISNA(MATCH(1251,Engine!$C$2:$C$1369,0)),"",INDEX('Compliance Database'!$G$2:$G$1369,MATCH(1251,Engine!$C$2:$C$1369,0)))</f>
        <v/>
      </c>
      <c r="H1264" s="9">
        <f>IF(ISNA(MATCH(1251,Engine!$C$2:$C$1369,0)),"",INDEX('Compliance Database'!$H$2:$H$1369,MATCH(1251,Engine!$C$2:$C$1369,0)))</f>
        <v/>
      </c>
      <c r="I1264" s="9">
        <f>IF(ISNA(MATCH(1251,Engine!$C$2:$C$1369,0)),"",INDEX('Compliance Database'!$I$2:$I$1369,MATCH(1251,Engine!$C$2:$C$1369,0)))</f>
        <v/>
      </c>
      <c r="J1264" s="8">
        <f>IF(ISNA(MATCH(1251,Engine!$C$2:$C$1369,0)),"",INDEX('Compliance Database'!$J$2:$J$1369,MATCH(1251,Engine!$C$2:$C$1369,0)))</f>
        <v/>
      </c>
      <c r="K1264" s="9">
        <f>IF(ISNA(MATCH(1251,Engine!$C$2:$C$1369,0)),"",INDEX('Compliance Database'!$K$2:$K$1369,MATCH(1251,Engine!$C$2:$C$1369,0)))</f>
        <v/>
      </c>
      <c r="L1264" s="9">
        <f>IF(ISNA(MATCH(1251,Engine!$C$2:$C$1369,0)),"",INDEX('Compliance Database'!$L$2:$L$1369,MATCH(1251,Engine!$C$2:$C$1369,0)))</f>
        <v/>
      </c>
      <c r="M1264" s="9">
        <f>IF(ISNA(MATCH(1251,Engine!$C$2:$C$1369,0)),"",INDEX('Compliance Database'!$M$2:$M$1369,MATCH(1251,Engine!$C$2:$C$1369,0)))</f>
        <v/>
      </c>
      <c r="N1264" s="9">
        <f>IF(ISNA(MATCH(1251,Engine!$C$2:$C$1369,0)),"",INDEX('Compliance Database'!$N$2:$N$1369,MATCH(1251,Engine!$C$2:$C$1369,0)))</f>
        <v/>
      </c>
      <c r="O1264" s="8">
        <f>IF(ISNA(MATCH(1251,Engine!$C$2:$C$1369,0)),"",HYPERLINK(INDEX('Compliance Database'!$O$2:$O$1369,MATCH(1251,Engine!$C$2:$C$1369,0)),"Open PDF"))</f>
        <v/>
      </c>
    </row>
    <row r="1265" ht="188" customHeight="1">
      <c r="A1265" s="8">
        <f>IF(ISNA(MATCH(1252,Engine!$C$2:$C$1369,0)),"",INDEX('Compliance Database'!$A$2:$A$1369,MATCH(1252,Engine!$C$2:$C$1369,0)))</f>
        <v/>
      </c>
      <c r="B1265" s="8">
        <f>IF(ISNA(MATCH(1252,Engine!$C$2:$C$1369,0)),"",INDEX('Compliance Database'!$B$2:$B$1369,MATCH(1252,Engine!$C$2:$C$1369,0)))</f>
        <v/>
      </c>
      <c r="C1265" s="8">
        <f>IF(ISNA(MATCH(1252,Engine!$C$2:$C$1369,0)),"",INDEX('Compliance Database'!$C$2:$C$1369,MATCH(1252,Engine!$C$2:$C$1369,0)))</f>
        <v/>
      </c>
      <c r="D1265" s="9">
        <f>IF(ISNA(MATCH(1252,Engine!$C$2:$C$1369,0)),"",INDEX('Compliance Database'!$D$2:$D$1369,MATCH(1252,Engine!$C$2:$C$1369,0)))</f>
        <v/>
      </c>
      <c r="E1265" s="8">
        <f>IF(ISNA(MATCH(1252,Engine!$C$2:$C$1369,0)),"",INDEX('Compliance Database'!$E$2:$E$1369,MATCH(1252,Engine!$C$2:$C$1369,0)))</f>
        <v/>
      </c>
      <c r="F1265" s="8">
        <f>IF(ISNA(MATCH(1252,Engine!$C$2:$C$1369,0)),"",INDEX('Compliance Database'!$F$2:$F$1369,MATCH(1252,Engine!$C$2:$C$1369,0)))</f>
        <v/>
      </c>
      <c r="G1265" s="8">
        <f>IF(ISNA(MATCH(1252,Engine!$C$2:$C$1369,0)),"",INDEX('Compliance Database'!$G$2:$G$1369,MATCH(1252,Engine!$C$2:$C$1369,0)))</f>
        <v/>
      </c>
      <c r="H1265" s="9">
        <f>IF(ISNA(MATCH(1252,Engine!$C$2:$C$1369,0)),"",INDEX('Compliance Database'!$H$2:$H$1369,MATCH(1252,Engine!$C$2:$C$1369,0)))</f>
        <v/>
      </c>
      <c r="I1265" s="9">
        <f>IF(ISNA(MATCH(1252,Engine!$C$2:$C$1369,0)),"",INDEX('Compliance Database'!$I$2:$I$1369,MATCH(1252,Engine!$C$2:$C$1369,0)))</f>
        <v/>
      </c>
      <c r="J1265" s="8">
        <f>IF(ISNA(MATCH(1252,Engine!$C$2:$C$1369,0)),"",INDEX('Compliance Database'!$J$2:$J$1369,MATCH(1252,Engine!$C$2:$C$1369,0)))</f>
        <v/>
      </c>
      <c r="K1265" s="9">
        <f>IF(ISNA(MATCH(1252,Engine!$C$2:$C$1369,0)),"",INDEX('Compliance Database'!$K$2:$K$1369,MATCH(1252,Engine!$C$2:$C$1369,0)))</f>
        <v/>
      </c>
      <c r="L1265" s="9">
        <f>IF(ISNA(MATCH(1252,Engine!$C$2:$C$1369,0)),"",INDEX('Compliance Database'!$L$2:$L$1369,MATCH(1252,Engine!$C$2:$C$1369,0)))</f>
        <v/>
      </c>
      <c r="M1265" s="9">
        <f>IF(ISNA(MATCH(1252,Engine!$C$2:$C$1369,0)),"",INDEX('Compliance Database'!$M$2:$M$1369,MATCH(1252,Engine!$C$2:$C$1369,0)))</f>
        <v/>
      </c>
      <c r="N1265" s="9">
        <f>IF(ISNA(MATCH(1252,Engine!$C$2:$C$1369,0)),"",INDEX('Compliance Database'!$N$2:$N$1369,MATCH(1252,Engine!$C$2:$C$1369,0)))</f>
        <v/>
      </c>
      <c r="O1265" s="8">
        <f>IF(ISNA(MATCH(1252,Engine!$C$2:$C$1369,0)),"",HYPERLINK(INDEX('Compliance Database'!$O$2:$O$1369,MATCH(1252,Engine!$C$2:$C$1369,0)),"Open PDF"))</f>
        <v/>
      </c>
    </row>
    <row r="1266" ht="188" customHeight="1">
      <c r="A1266" s="8">
        <f>IF(ISNA(MATCH(1253,Engine!$C$2:$C$1369,0)),"",INDEX('Compliance Database'!$A$2:$A$1369,MATCH(1253,Engine!$C$2:$C$1369,0)))</f>
        <v/>
      </c>
      <c r="B1266" s="8">
        <f>IF(ISNA(MATCH(1253,Engine!$C$2:$C$1369,0)),"",INDEX('Compliance Database'!$B$2:$B$1369,MATCH(1253,Engine!$C$2:$C$1369,0)))</f>
        <v/>
      </c>
      <c r="C1266" s="8">
        <f>IF(ISNA(MATCH(1253,Engine!$C$2:$C$1369,0)),"",INDEX('Compliance Database'!$C$2:$C$1369,MATCH(1253,Engine!$C$2:$C$1369,0)))</f>
        <v/>
      </c>
      <c r="D1266" s="9">
        <f>IF(ISNA(MATCH(1253,Engine!$C$2:$C$1369,0)),"",INDEX('Compliance Database'!$D$2:$D$1369,MATCH(1253,Engine!$C$2:$C$1369,0)))</f>
        <v/>
      </c>
      <c r="E1266" s="8">
        <f>IF(ISNA(MATCH(1253,Engine!$C$2:$C$1369,0)),"",INDEX('Compliance Database'!$E$2:$E$1369,MATCH(1253,Engine!$C$2:$C$1369,0)))</f>
        <v/>
      </c>
      <c r="F1266" s="8">
        <f>IF(ISNA(MATCH(1253,Engine!$C$2:$C$1369,0)),"",INDEX('Compliance Database'!$F$2:$F$1369,MATCH(1253,Engine!$C$2:$C$1369,0)))</f>
        <v/>
      </c>
      <c r="G1266" s="8">
        <f>IF(ISNA(MATCH(1253,Engine!$C$2:$C$1369,0)),"",INDEX('Compliance Database'!$G$2:$G$1369,MATCH(1253,Engine!$C$2:$C$1369,0)))</f>
        <v/>
      </c>
      <c r="H1266" s="9">
        <f>IF(ISNA(MATCH(1253,Engine!$C$2:$C$1369,0)),"",INDEX('Compliance Database'!$H$2:$H$1369,MATCH(1253,Engine!$C$2:$C$1369,0)))</f>
        <v/>
      </c>
      <c r="I1266" s="9">
        <f>IF(ISNA(MATCH(1253,Engine!$C$2:$C$1369,0)),"",INDEX('Compliance Database'!$I$2:$I$1369,MATCH(1253,Engine!$C$2:$C$1369,0)))</f>
        <v/>
      </c>
      <c r="J1266" s="8">
        <f>IF(ISNA(MATCH(1253,Engine!$C$2:$C$1369,0)),"",INDEX('Compliance Database'!$J$2:$J$1369,MATCH(1253,Engine!$C$2:$C$1369,0)))</f>
        <v/>
      </c>
      <c r="K1266" s="9">
        <f>IF(ISNA(MATCH(1253,Engine!$C$2:$C$1369,0)),"",INDEX('Compliance Database'!$K$2:$K$1369,MATCH(1253,Engine!$C$2:$C$1369,0)))</f>
        <v/>
      </c>
      <c r="L1266" s="9">
        <f>IF(ISNA(MATCH(1253,Engine!$C$2:$C$1369,0)),"",INDEX('Compliance Database'!$L$2:$L$1369,MATCH(1253,Engine!$C$2:$C$1369,0)))</f>
        <v/>
      </c>
      <c r="M1266" s="9">
        <f>IF(ISNA(MATCH(1253,Engine!$C$2:$C$1369,0)),"",INDEX('Compliance Database'!$M$2:$M$1369,MATCH(1253,Engine!$C$2:$C$1369,0)))</f>
        <v/>
      </c>
      <c r="N1266" s="9">
        <f>IF(ISNA(MATCH(1253,Engine!$C$2:$C$1369,0)),"",INDEX('Compliance Database'!$N$2:$N$1369,MATCH(1253,Engine!$C$2:$C$1369,0)))</f>
        <v/>
      </c>
      <c r="O1266" s="8">
        <f>IF(ISNA(MATCH(1253,Engine!$C$2:$C$1369,0)),"",HYPERLINK(INDEX('Compliance Database'!$O$2:$O$1369,MATCH(1253,Engine!$C$2:$C$1369,0)),"Open PDF"))</f>
        <v/>
      </c>
    </row>
    <row r="1267" ht="188" customHeight="1">
      <c r="A1267" s="8">
        <f>IF(ISNA(MATCH(1254,Engine!$C$2:$C$1369,0)),"",INDEX('Compliance Database'!$A$2:$A$1369,MATCH(1254,Engine!$C$2:$C$1369,0)))</f>
        <v/>
      </c>
      <c r="B1267" s="8">
        <f>IF(ISNA(MATCH(1254,Engine!$C$2:$C$1369,0)),"",INDEX('Compliance Database'!$B$2:$B$1369,MATCH(1254,Engine!$C$2:$C$1369,0)))</f>
        <v/>
      </c>
      <c r="C1267" s="8">
        <f>IF(ISNA(MATCH(1254,Engine!$C$2:$C$1369,0)),"",INDEX('Compliance Database'!$C$2:$C$1369,MATCH(1254,Engine!$C$2:$C$1369,0)))</f>
        <v/>
      </c>
      <c r="D1267" s="9">
        <f>IF(ISNA(MATCH(1254,Engine!$C$2:$C$1369,0)),"",INDEX('Compliance Database'!$D$2:$D$1369,MATCH(1254,Engine!$C$2:$C$1369,0)))</f>
        <v/>
      </c>
      <c r="E1267" s="8">
        <f>IF(ISNA(MATCH(1254,Engine!$C$2:$C$1369,0)),"",INDEX('Compliance Database'!$E$2:$E$1369,MATCH(1254,Engine!$C$2:$C$1369,0)))</f>
        <v/>
      </c>
      <c r="F1267" s="8">
        <f>IF(ISNA(MATCH(1254,Engine!$C$2:$C$1369,0)),"",INDEX('Compliance Database'!$F$2:$F$1369,MATCH(1254,Engine!$C$2:$C$1369,0)))</f>
        <v/>
      </c>
      <c r="G1267" s="8">
        <f>IF(ISNA(MATCH(1254,Engine!$C$2:$C$1369,0)),"",INDEX('Compliance Database'!$G$2:$G$1369,MATCH(1254,Engine!$C$2:$C$1369,0)))</f>
        <v/>
      </c>
      <c r="H1267" s="9">
        <f>IF(ISNA(MATCH(1254,Engine!$C$2:$C$1369,0)),"",INDEX('Compliance Database'!$H$2:$H$1369,MATCH(1254,Engine!$C$2:$C$1369,0)))</f>
        <v/>
      </c>
      <c r="I1267" s="9">
        <f>IF(ISNA(MATCH(1254,Engine!$C$2:$C$1369,0)),"",INDEX('Compliance Database'!$I$2:$I$1369,MATCH(1254,Engine!$C$2:$C$1369,0)))</f>
        <v/>
      </c>
      <c r="J1267" s="8">
        <f>IF(ISNA(MATCH(1254,Engine!$C$2:$C$1369,0)),"",INDEX('Compliance Database'!$J$2:$J$1369,MATCH(1254,Engine!$C$2:$C$1369,0)))</f>
        <v/>
      </c>
      <c r="K1267" s="9">
        <f>IF(ISNA(MATCH(1254,Engine!$C$2:$C$1369,0)),"",INDEX('Compliance Database'!$K$2:$K$1369,MATCH(1254,Engine!$C$2:$C$1369,0)))</f>
        <v/>
      </c>
      <c r="L1267" s="9">
        <f>IF(ISNA(MATCH(1254,Engine!$C$2:$C$1369,0)),"",INDEX('Compliance Database'!$L$2:$L$1369,MATCH(1254,Engine!$C$2:$C$1369,0)))</f>
        <v/>
      </c>
      <c r="M1267" s="9">
        <f>IF(ISNA(MATCH(1254,Engine!$C$2:$C$1369,0)),"",INDEX('Compliance Database'!$M$2:$M$1369,MATCH(1254,Engine!$C$2:$C$1369,0)))</f>
        <v/>
      </c>
      <c r="N1267" s="9">
        <f>IF(ISNA(MATCH(1254,Engine!$C$2:$C$1369,0)),"",INDEX('Compliance Database'!$N$2:$N$1369,MATCH(1254,Engine!$C$2:$C$1369,0)))</f>
        <v/>
      </c>
      <c r="O1267" s="8">
        <f>IF(ISNA(MATCH(1254,Engine!$C$2:$C$1369,0)),"",HYPERLINK(INDEX('Compliance Database'!$O$2:$O$1369,MATCH(1254,Engine!$C$2:$C$1369,0)),"Open PDF"))</f>
        <v/>
      </c>
    </row>
    <row r="1268" ht="188" customHeight="1">
      <c r="A1268" s="8">
        <f>IF(ISNA(MATCH(1255,Engine!$C$2:$C$1369,0)),"",INDEX('Compliance Database'!$A$2:$A$1369,MATCH(1255,Engine!$C$2:$C$1369,0)))</f>
        <v/>
      </c>
      <c r="B1268" s="8">
        <f>IF(ISNA(MATCH(1255,Engine!$C$2:$C$1369,0)),"",INDEX('Compliance Database'!$B$2:$B$1369,MATCH(1255,Engine!$C$2:$C$1369,0)))</f>
        <v/>
      </c>
      <c r="C1268" s="8">
        <f>IF(ISNA(MATCH(1255,Engine!$C$2:$C$1369,0)),"",INDEX('Compliance Database'!$C$2:$C$1369,MATCH(1255,Engine!$C$2:$C$1369,0)))</f>
        <v/>
      </c>
      <c r="D1268" s="9">
        <f>IF(ISNA(MATCH(1255,Engine!$C$2:$C$1369,0)),"",INDEX('Compliance Database'!$D$2:$D$1369,MATCH(1255,Engine!$C$2:$C$1369,0)))</f>
        <v/>
      </c>
      <c r="E1268" s="8">
        <f>IF(ISNA(MATCH(1255,Engine!$C$2:$C$1369,0)),"",INDEX('Compliance Database'!$E$2:$E$1369,MATCH(1255,Engine!$C$2:$C$1369,0)))</f>
        <v/>
      </c>
      <c r="F1268" s="8">
        <f>IF(ISNA(MATCH(1255,Engine!$C$2:$C$1369,0)),"",INDEX('Compliance Database'!$F$2:$F$1369,MATCH(1255,Engine!$C$2:$C$1369,0)))</f>
        <v/>
      </c>
      <c r="G1268" s="8">
        <f>IF(ISNA(MATCH(1255,Engine!$C$2:$C$1369,0)),"",INDEX('Compliance Database'!$G$2:$G$1369,MATCH(1255,Engine!$C$2:$C$1369,0)))</f>
        <v/>
      </c>
      <c r="H1268" s="9">
        <f>IF(ISNA(MATCH(1255,Engine!$C$2:$C$1369,0)),"",INDEX('Compliance Database'!$H$2:$H$1369,MATCH(1255,Engine!$C$2:$C$1369,0)))</f>
        <v/>
      </c>
      <c r="I1268" s="9">
        <f>IF(ISNA(MATCH(1255,Engine!$C$2:$C$1369,0)),"",INDEX('Compliance Database'!$I$2:$I$1369,MATCH(1255,Engine!$C$2:$C$1369,0)))</f>
        <v/>
      </c>
      <c r="J1268" s="8">
        <f>IF(ISNA(MATCH(1255,Engine!$C$2:$C$1369,0)),"",INDEX('Compliance Database'!$J$2:$J$1369,MATCH(1255,Engine!$C$2:$C$1369,0)))</f>
        <v/>
      </c>
      <c r="K1268" s="9">
        <f>IF(ISNA(MATCH(1255,Engine!$C$2:$C$1369,0)),"",INDEX('Compliance Database'!$K$2:$K$1369,MATCH(1255,Engine!$C$2:$C$1369,0)))</f>
        <v/>
      </c>
      <c r="L1268" s="9">
        <f>IF(ISNA(MATCH(1255,Engine!$C$2:$C$1369,0)),"",INDEX('Compliance Database'!$L$2:$L$1369,MATCH(1255,Engine!$C$2:$C$1369,0)))</f>
        <v/>
      </c>
      <c r="M1268" s="9">
        <f>IF(ISNA(MATCH(1255,Engine!$C$2:$C$1369,0)),"",INDEX('Compliance Database'!$M$2:$M$1369,MATCH(1255,Engine!$C$2:$C$1369,0)))</f>
        <v/>
      </c>
      <c r="N1268" s="9">
        <f>IF(ISNA(MATCH(1255,Engine!$C$2:$C$1369,0)),"",INDEX('Compliance Database'!$N$2:$N$1369,MATCH(1255,Engine!$C$2:$C$1369,0)))</f>
        <v/>
      </c>
      <c r="O1268" s="8">
        <f>IF(ISNA(MATCH(1255,Engine!$C$2:$C$1369,0)),"",HYPERLINK(INDEX('Compliance Database'!$O$2:$O$1369,MATCH(1255,Engine!$C$2:$C$1369,0)),"Open PDF"))</f>
        <v/>
      </c>
    </row>
    <row r="1269" ht="188" customHeight="1">
      <c r="A1269" s="8">
        <f>IF(ISNA(MATCH(1256,Engine!$C$2:$C$1369,0)),"",INDEX('Compliance Database'!$A$2:$A$1369,MATCH(1256,Engine!$C$2:$C$1369,0)))</f>
        <v/>
      </c>
      <c r="B1269" s="8">
        <f>IF(ISNA(MATCH(1256,Engine!$C$2:$C$1369,0)),"",INDEX('Compliance Database'!$B$2:$B$1369,MATCH(1256,Engine!$C$2:$C$1369,0)))</f>
        <v/>
      </c>
      <c r="C1269" s="8">
        <f>IF(ISNA(MATCH(1256,Engine!$C$2:$C$1369,0)),"",INDEX('Compliance Database'!$C$2:$C$1369,MATCH(1256,Engine!$C$2:$C$1369,0)))</f>
        <v/>
      </c>
      <c r="D1269" s="9">
        <f>IF(ISNA(MATCH(1256,Engine!$C$2:$C$1369,0)),"",INDEX('Compliance Database'!$D$2:$D$1369,MATCH(1256,Engine!$C$2:$C$1369,0)))</f>
        <v/>
      </c>
      <c r="E1269" s="8">
        <f>IF(ISNA(MATCH(1256,Engine!$C$2:$C$1369,0)),"",INDEX('Compliance Database'!$E$2:$E$1369,MATCH(1256,Engine!$C$2:$C$1369,0)))</f>
        <v/>
      </c>
      <c r="F1269" s="8">
        <f>IF(ISNA(MATCH(1256,Engine!$C$2:$C$1369,0)),"",INDEX('Compliance Database'!$F$2:$F$1369,MATCH(1256,Engine!$C$2:$C$1369,0)))</f>
        <v/>
      </c>
      <c r="G1269" s="8">
        <f>IF(ISNA(MATCH(1256,Engine!$C$2:$C$1369,0)),"",INDEX('Compliance Database'!$G$2:$G$1369,MATCH(1256,Engine!$C$2:$C$1369,0)))</f>
        <v/>
      </c>
      <c r="H1269" s="9">
        <f>IF(ISNA(MATCH(1256,Engine!$C$2:$C$1369,0)),"",INDEX('Compliance Database'!$H$2:$H$1369,MATCH(1256,Engine!$C$2:$C$1369,0)))</f>
        <v/>
      </c>
      <c r="I1269" s="9">
        <f>IF(ISNA(MATCH(1256,Engine!$C$2:$C$1369,0)),"",INDEX('Compliance Database'!$I$2:$I$1369,MATCH(1256,Engine!$C$2:$C$1369,0)))</f>
        <v/>
      </c>
      <c r="J1269" s="8">
        <f>IF(ISNA(MATCH(1256,Engine!$C$2:$C$1369,0)),"",INDEX('Compliance Database'!$J$2:$J$1369,MATCH(1256,Engine!$C$2:$C$1369,0)))</f>
        <v/>
      </c>
      <c r="K1269" s="9">
        <f>IF(ISNA(MATCH(1256,Engine!$C$2:$C$1369,0)),"",INDEX('Compliance Database'!$K$2:$K$1369,MATCH(1256,Engine!$C$2:$C$1369,0)))</f>
        <v/>
      </c>
      <c r="L1269" s="9">
        <f>IF(ISNA(MATCH(1256,Engine!$C$2:$C$1369,0)),"",INDEX('Compliance Database'!$L$2:$L$1369,MATCH(1256,Engine!$C$2:$C$1369,0)))</f>
        <v/>
      </c>
      <c r="M1269" s="9">
        <f>IF(ISNA(MATCH(1256,Engine!$C$2:$C$1369,0)),"",INDEX('Compliance Database'!$M$2:$M$1369,MATCH(1256,Engine!$C$2:$C$1369,0)))</f>
        <v/>
      </c>
      <c r="N1269" s="9">
        <f>IF(ISNA(MATCH(1256,Engine!$C$2:$C$1369,0)),"",INDEX('Compliance Database'!$N$2:$N$1369,MATCH(1256,Engine!$C$2:$C$1369,0)))</f>
        <v/>
      </c>
      <c r="O1269" s="8">
        <f>IF(ISNA(MATCH(1256,Engine!$C$2:$C$1369,0)),"",HYPERLINK(INDEX('Compliance Database'!$O$2:$O$1369,MATCH(1256,Engine!$C$2:$C$1369,0)),"Open PDF"))</f>
        <v/>
      </c>
    </row>
    <row r="1270" ht="188" customHeight="1">
      <c r="A1270" s="8">
        <f>IF(ISNA(MATCH(1257,Engine!$C$2:$C$1369,0)),"",INDEX('Compliance Database'!$A$2:$A$1369,MATCH(1257,Engine!$C$2:$C$1369,0)))</f>
        <v/>
      </c>
      <c r="B1270" s="8">
        <f>IF(ISNA(MATCH(1257,Engine!$C$2:$C$1369,0)),"",INDEX('Compliance Database'!$B$2:$B$1369,MATCH(1257,Engine!$C$2:$C$1369,0)))</f>
        <v/>
      </c>
      <c r="C1270" s="8">
        <f>IF(ISNA(MATCH(1257,Engine!$C$2:$C$1369,0)),"",INDEX('Compliance Database'!$C$2:$C$1369,MATCH(1257,Engine!$C$2:$C$1369,0)))</f>
        <v/>
      </c>
      <c r="D1270" s="9">
        <f>IF(ISNA(MATCH(1257,Engine!$C$2:$C$1369,0)),"",INDEX('Compliance Database'!$D$2:$D$1369,MATCH(1257,Engine!$C$2:$C$1369,0)))</f>
        <v/>
      </c>
      <c r="E1270" s="8">
        <f>IF(ISNA(MATCH(1257,Engine!$C$2:$C$1369,0)),"",INDEX('Compliance Database'!$E$2:$E$1369,MATCH(1257,Engine!$C$2:$C$1369,0)))</f>
        <v/>
      </c>
      <c r="F1270" s="8">
        <f>IF(ISNA(MATCH(1257,Engine!$C$2:$C$1369,0)),"",INDEX('Compliance Database'!$F$2:$F$1369,MATCH(1257,Engine!$C$2:$C$1369,0)))</f>
        <v/>
      </c>
      <c r="G1270" s="8">
        <f>IF(ISNA(MATCH(1257,Engine!$C$2:$C$1369,0)),"",INDEX('Compliance Database'!$G$2:$G$1369,MATCH(1257,Engine!$C$2:$C$1369,0)))</f>
        <v/>
      </c>
      <c r="H1270" s="9">
        <f>IF(ISNA(MATCH(1257,Engine!$C$2:$C$1369,0)),"",INDEX('Compliance Database'!$H$2:$H$1369,MATCH(1257,Engine!$C$2:$C$1369,0)))</f>
        <v/>
      </c>
      <c r="I1270" s="9">
        <f>IF(ISNA(MATCH(1257,Engine!$C$2:$C$1369,0)),"",INDEX('Compliance Database'!$I$2:$I$1369,MATCH(1257,Engine!$C$2:$C$1369,0)))</f>
        <v/>
      </c>
      <c r="J1270" s="8">
        <f>IF(ISNA(MATCH(1257,Engine!$C$2:$C$1369,0)),"",INDEX('Compliance Database'!$J$2:$J$1369,MATCH(1257,Engine!$C$2:$C$1369,0)))</f>
        <v/>
      </c>
      <c r="K1270" s="9">
        <f>IF(ISNA(MATCH(1257,Engine!$C$2:$C$1369,0)),"",INDEX('Compliance Database'!$K$2:$K$1369,MATCH(1257,Engine!$C$2:$C$1369,0)))</f>
        <v/>
      </c>
      <c r="L1270" s="9">
        <f>IF(ISNA(MATCH(1257,Engine!$C$2:$C$1369,0)),"",INDEX('Compliance Database'!$L$2:$L$1369,MATCH(1257,Engine!$C$2:$C$1369,0)))</f>
        <v/>
      </c>
      <c r="M1270" s="9">
        <f>IF(ISNA(MATCH(1257,Engine!$C$2:$C$1369,0)),"",INDEX('Compliance Database'!$M$2:$M$1369,MATCH(1257,Engine!$C$2:$C$1369,0)))</f>
        <v/>
      </c>
      <c r="N1270" s="9">
        <f>IF(ISNA(MATCH(1257,Engine!$C$2:$C$1369,0)),"",INDEX('Compliance Database'!$N$2:$N$1369,MATCH(1257,Engine!$C$2:$C$1369,0)))</f>
        <v/>
      </c>
      <c r="O1270" s="8">
        <f>IF(ISNA(MATCH(1257,Engine!$C$2:$C$1369,0)),"",HYPERLINK(INDEX('Compliance Database'!$O$2:$O$1369,MATCH(1257,Engine!$C$2:$C$1369,0)),"Open PDF"))</f>
        <v/>
      </c>
    </row>
    <row r="1271" ht="188" customHeight="1">
      <c r="A1271" s="8">
        <f>IF(ISNA(MATCH(1258,Engine!$C$2:$C$1369,0)),"",INDEX('Compliance Database'!$A$2:$A$1369,MATCH(1258,Engine!$C$2:$C$1369,0)))</f>
        <v/>
      </c>
      <c r="B1271" s="8">
        <f>IF(ISNA(MATCH(1258,Engine!$C$2:$C$1369,0)),"",INDEX('Compliance Database'!$B$2:$B$1369,MATCH(1258,Engine!$C$2:$C$1369,0)))</f>
        <v/>
      </c>
      <c r="C1271" s="8">
        <f>IF(ISNA(MATCH(1258,Engine!$C$2:$C$1369,0)),"",INDEX('Compliance Database'!$C$2:$C$1369,MATCH(1258,Engine!$C$2:$C$1369,0)))</f>
        <v/>
      </c>
      <c r="D1271" s="9">
        <f>IF(ISNA(MATCH(1258,Engine!$C$2:$C$1369,0)),"",INDEX('Compliance Database'!$D$2:$D$1369,MATCH(1258,Engine!$C$2:$C$1369,0)))</f>
        <v/>
      </c>
      <c r="E1271" s="8">
        <f>IF(ISNA(MATCH(1258,Engine!$C$2:$C$1369,0)),"",INDEX('Compliance Database'!$E$2:$E$1369,MATCH(1258,Engine!$C$2:$C$1369,0)))</f>
        <v/>
      </c>
      <c r="F1271" s="8">
        <f>IF(ISNA(MATCH(1258,Engine!$C$2:$C$1369,0)),"",INDEX('Compliance Database'!$F$2:$F$1369,MATCH(1258,Engine!$C$2:$C$1369,0)))</f>
        <v/>
      </c>
      <c r="G1271" s="8">
        <f>IF(ISNA(MATCH(1258,Engine!$C$2:$C$1369,0)),"",INDEX('Compliance Database'!$G$2:$G$1369,MATCH(1258,Engine!$C$2:$C$1369,0)))</f>
        <v/>
      </c>
      <c r="H1271" s="9">
        <f>IF(ISNA(MATCH(1258,Engine!$C$2:$C$1369,0)),"",INDEX('Compliance Database'!$H$2:$H$1369,MATCH(1258,Engine!$C$2:$C$1369,0)))</f>
        <v/>
      </c>
      <c r="I1271" s="9">
        <f>IF(ISNA(MATCH(1258,Engine!$C$2:$C$1369,0)),"",INDEX('Compliance Database'!$I$2:$I$1369,MATCH(1258,Engine!$C$2:$C$1369,0)))</f>
        <v/>
      </c>
      <c r="J1271" s="8">
        <f>IF(ISNA(MATCH(1258,Engine!$C$2:$C$1369,0)),"",INDEX('Compliance Database'!$J$2:$J$1369,MATCH(1258,Engine!$C$2:$C$1369,0)))</f>
        <v/>
      </c>
      <c r="K1271" s="9">
        <f>IF(ISNA(MATCH(1258,Engine!$C$2:$C$1369,0)),"",INDEX('Compliance Database'!$K$2:$K$1369,MATCH(1258,Engine!$C$2:$C$1369,0)))</f>
        <v/>
      </c>
      <c r="L1271" s="9">
        <f>IF(ISNA(MATCH(1258,Engine!$C$2:$C$1369,0)),"",INDEX('Compliance Database'!$L$2:$L$1369,MATCH(1258,Engine!$C$2:$C$1369,0)))</f>
        <v/>
      </c>
      <c r="M1271" s="9">
        <f>IF(ISNA(MATCH(1258,Engine!$C$2:$C$1369,0)),"",INDEX('Compliance Database'!$M$2:$M$1369,MATCH(1258,Engine!$C$2:$C$1369,0)))</f>
        <v/>
      </c>
      <c r="N1271" s="9">
        <f>IF(ISNA(MATCH(1258,Engine!$C$2:$C$1369,0)),"",INDEX('Compliance Database'!$N$2:$N$1369,MATCH(1258,Engine!$C$2:$C$1369,0)))</f>
        <v/>
      </c>
      <c r="O1271" s="8">
        <f>IF(ISNA(MATCH(1258,Engine!$C$2:$C$1369,0)),"",HYPERLINK(INDEX('Compliance Database'!$O$2:$O$1369,MATCH(1258,Engine!$C$2:$C$1369,0)),"Open PDF"))</f>
        <v/>
      </c>
    </row>
    <row r="1272" ht="188" customHeight="1">
      <c r="A1272" s="8">
        <f>IF(ISNA(MATCH(1259,Engine!$C$2:$C$1369,0)),"",INDEX('Compliance Database'!$A$2:$A$1369,MATCH(1259,Engine!$C$2:$C$1369,0)))</f>
        <v/>
      </c>
      <c r="B1272" s="8">
        <f>IF(ISNA(MATCH(1259,Engine!$C$2:$C$1369,0)),"",INDEX('Compliance Database'!$B$2:$B$1369,MATCH(1259,Engine!$C$2:$C$1369,0)))</f>
        <v/>
      </c>
      <c r="C1272" s="8">
        <f>IF(ISNA(MATCH(1259,Engine!$C$2:$C$1369,0)),"",INDEX('Compliance Database'!$C$2:$C$1369,MATCH(1259,Engine!$C$2:$C$1369,0)))</f>
        <v/>
      </c>
      <c r="D1272" s="9">
        <f>IF(ISNA(MATCH(1259,Engine!$C$2:$C$1369,0)),"",INDEX('Compliance Database'!$D$2:$D$1369,MATCH(1259,Engine!$C$2:$C$1369,0)))</f>
        <v/>
      </c>
      <c r="E1272" s="8">
        <f>IF(ISNA(MATCH(1259,Engine!$C$2:$C$1369,0)),"",INDEX('Compliance Database'!$E$2:$E$1369,MATCH(1259,Engine!$C$2:$C$1369,0)))</f>
        <v/>
      </c>
      <c r="F1272" s="8">
        <f>IF(ISNA(MATCH(1259,Engine!$C$2:$C$1369,0)),"",INDEX('Compliance Database'!$F$2:$F$1369,MATCH(1259,Engine!$C$2:$C$1369,0)))</f>
        <v/>
      </c>
      <c r="G1272" s="8">
        <f>IF(ISNA(MATCH(1259,Engine!$C$2:$C$1369,0)),"",INDEX('Compliance Database'!$G$2:$G$1369,MATCH(1259,Engine!$C$2:$C$1369,0)))</f>
        <v/>
      </c>
      <c r="H1272" s="9">
        <f>IF(ISNA(MATCH(1259,Engine!$C$2:$C$1369,0)),"",INDEX('Compliance Database'!$H$2:$H$1369,MATCH(1259,Engine!$C$2:$C$1369,0)))</f>
        <v/>
      </c>
      <c r="I1272" s="9">
        <f>IF(ISNA(MATCH(1259,Engine!$C$2:$C$1369,0)),"",INDEX('Compliance Database'!$I$2:$I$1369,MATCH(1259,Engine!$C$2:$C$1369,0)))</f>
        <v/>
      </c>
      <c r="J1272" s="8">
        <f>IF(ISNA(MATCH(1259,Engine!$C$2:$C$1369,0)),"",INDEX('Compliance Database'!$J$2:$J$1369,MATCH(1259,Engine!$C$2:$C$1369,0)))</f>
        <v/>
      </c>
      <c r="K1272" s="9">
        <f>IF(ISNA(MATCH(1259,Engine!$C$2:$C$1369,0)),"",INDEX('Compliance Database'!$K$2:$K$1369,MATCH(1259,Engine!$C$2:$C$1369,0)))</f>
        <v/>
      </c>
      <c r="L1272" s="9">
        <f>IF(ISNA(MATCH(1259,Engine!$C$2:$C$1369,0)),"",INDEX('Compliance Database'!$L$2:$L$1369,MATCH(1259,Engine!$C$2:$C$1369,0)))</f>
        <v/>
      </c>
      <c r="M1272" s="9">
        <f>IF(ISNA(MATCH(1259,Engine!$C$2:$C$1369,0)),"",INDEX('Compliance Database'!$M$2:$M$1369,MATCH(1259,Engine!$C$2:$C$1369,0)))</f>
        <v/>
      </c>
      <c r="N1272" s="9">
        <f>IF(ISNA(MATCH(1259,Engine!$C$2:$C$1369,0)),"",INDEX('Compliance Database'!$N$2:$N$1369,MATCH(1259,Engine!$C$2:$C$1369,0)))</f>
        <v/>
      </c>
      <c r="O1272" s="8">
        <f>IF(ISNA(MATCH(1259,Engine!$C$2:$C$1369,0)),"",HYPERLINK(INDEX('Compliance Database'!$O$2:$O$1369,MATCH(1259,Engine!$C$2:$C$1369,0)),"Open PDF"))</f>
        <v/>
      </c>
    </row>
    <row r="1273" ht="188" customHeight="1">
      <c r="A1273" s="8">
        <f>IF(ISNA(MATCH(1260,Engine!$C$2:$C$1369,0)),"",INDEX('Compliance Database'!$A$2:$A$1369,MATCH(1260,Engine!$C$2:$C$1369,0)))</f>
        <v/>
      </c>
      <c r="B1273" s="8">
        <f>IF(ISNA(MATCH(1260,Engine!$C$2:$C$1369,0)),"",INDEX('Compliance Database'!$B$2:$B$1369,MATCH(1260,Engine!$C$2:$C$1369,0)))</f>
        <v/>
      </c>
      <c r="C1273" s="8">
        <f>IF(ISNA(MATCH(1260,Engine!$C$2:$C$1369,0)),"",INDEX('Compliance Database'!$C$2:$C$1369,MATCH(1260,Engine!$C$2:$C$1369,0)))</f>
        <v/>
      </c>
      <c r="D1273" s="9">
        <f>IF(ISNA(MATCH(1260,Engine!$C$2:$C$1369,0)),"",INDEX('Compliance Database'!$D$2:$D$1369,MATCH(1260,Engine!$C$2:$C$1369,0)))</f>
        <v/>
      </c>
      <c r="E1273" s="8">
        <f>IF(ISNA(MATCH(1260,Engine!$C$2:$C$1369,0)),"",INDEX('Compliance Database'!$E$2:$E$1369,MATCH(1260,Engine!$C$2:$C$1369,0)))</f>
        <v/>
      </c>
      <c r="F1273" s="8">
        <f>IF(ISNA(MATCH(1260,Engine!$C$2:$C$1369,0)),"",INDEX('Compliance Database'!$F$2:$F$1369,MATCH(1260,Engine!$C$2:$C$1369,0)))</f>
        <v/>
      </c>
      <c r="G1273" s="8">
        <f>IF(ISNA(MATCH(1260,Engine!$C$2:$C$1369,0)),"",INDEX('Compliance Database'!$G$2:$G$1369,MATCH(1260,Engine!$C$2:$C$1369,0)))</f>
        <v/>
      </c>
      <c r="H1273" s="9">
        <f>IF(ISNA(MATCH(1260,Engine!$C$2:$C$1369,0)),"",INDEX('Compliance Database'!$H$2:$H$1369,MATCH(1260,Engine!$C$2:$C$1369,0)))</f>
        <v/>
      </c>
      <c r="I1273" s="9">
        <f>IF(ISNA(MATCH(1260,Engine!$C$2:$C$1369,0)),"",INDEX('Compliance Database'!$I$2:$I$1369,MATCH(1260,Engine!$C$2:$C$1369,0)))</f>
        <v/>
      </c>
      <c r="J1273" s="8">
        <f>IF(ISNA(MATCH(1260,Engine!$C$2:$C$1369,0)),"",INDEX('Compliance Database'!$J$2:$J$1369,MATCH(1260,Engine!$C$2:$C$1369,0)))</f>
        <v/>
      </c>
      <c r="K1273" s="9">
        <f>IF(ISNA(MATCH(1260,Engine!$C$2:$C$1369,0)),"",INDEX('Compliance Database'!$K$2:$K$1369,MATCH(1260,Engine!$C$2:$C$1369,0)))</f>
        <v/>
      </c>
      <c r="L1273" s="9">
        <f>IF(ISNA(MATCH(1260,Engine!$C$2:$C$1369,0)),"",INDEX('Compliance Database'!$L$2:$L$1369,MATCH(1260,Engine!$C$2:$C$1369,0)))</f>
        <v/>
      </c>
      <c r="M1273" s="9">
        <f>IF(ISNA(MATCH(1260,Engine!$C$2:$C$1369,0)),"",INDEX('Compliance Database'!$M$2:$M$1369,MATCH(1260,Engine!$C$2:$C$1369,0)))</f>
        <v/>
      </c>
      <c r="N1273" s="9">
        <f>IF(ISNA(MATCH(1260,Engine!$C$2:$C$1369,0)),"",INDEX('Compliance Database'!$N$2:$N$1369,MATCH(1260,Engine!$C$2:$C$1369,0)))</f>
        <v/>
      </c>
      <c r="O1273" s="8">
        <f>IF(ISNA(MATCH(1260,Engine!$C$2:$C$1369,0)),"",HYPERLINK(INDEX('Compliance Database'!$O$2:$O$1369,MATCH(1260,Engine!$C$2:$C$1369,0)),"Open PDF"))</f>
        <v/>
      </c>
    </row>
    <row r="1274" ht="188" customHeight="1">
      <c r="A1274" s="8">
        <f>IF(ISNA(MATCH(1261,Engine!$C$2:$C$1369,0)),"",INDEX('Compliance Database'!$A$2:$A$1369,MATCH(1261,Engine!$C$2:$C$1369,0)))</f>
        <v/>
      </c>
      <c r="B1274" s="8">
        <f>IF(ISNA(MATCH(1261,Engine!$C$2:$C$1369,0)),"",INDEX('Compliance Database'!$B$2:$B$1369,MATCH(1261,Engine!$C$2:$C$1369,0)))</f>
        <v/>
      </c>
      <c r="C1274" s="8">
        <f>IF(ISNA(MATCH(1261,Engine!$C$2:$C$1369,0)),"",INDEX('Compliance Database'!$C$2:$C$1369,MATCH(1261,Engine!$C$2:$C$1369,0)))</f>
        <v/>
      </c>
      <c r="D1274" s="9">
        <f>IF(ISNA(MATCH(1261,Engine!$C$2:$C$1369,0)),"",INDEX('Compliance Database'!$D$2:$D$1369,MATCH(1261,Engine!$C$2:$C$1369,0)))</f>
        <v/>
      </c>
      <c r="E1274" s="8">
        <f>IF(ISNA(MATCH(1261,Engine!$C$2:$C$1369,0)),"",INDEX('Compliance Database'!$E$2:$E$1369,MATCH(1261,Engine!$C$2:$C$1369,0)))</f>
        <v/>
      </c>
      <c r="F1274" s="8">
        <f>IF(ISNA(MATCH(1261,Engine!$C$2:$C$1369,0)),"",INDEX('Compliance Database'!$F$2:$F$1369,MATCH(1261,Engine!$C$2:$C$1369,0)))</f>
        <v/>
      </c>
      <c r="G1274" s="8">
        <f>IF(ISNA(MATCH(1261,Engine!$C$2:$C$1369,0)),"",INDEX('Compliance Database'!$G$2:$G$1369,MATCH(1261,Engine!$C$2:$C$1369,0)))</f>
        <v/>
      </c>
      <c r="H1274" s="9">
        <f>IF(ISNA(MATCH(1261,Engine!$C$2:$C$1369,0)),"",INDEX('Compliance Database'!$H$2:$H$1369,MATCH(1261,Engine!$C$2:$C$1369,0)))</f>
        <v/>
      </c>
      <c r="I1274" s="9">
        <f>IF(ISNA(MATCH(1261,Engine!$C$2:$C$1369,0)),"",INDEX('Compliance Database'!$I$2:$I$1369,MATCH(1261,Engine!$C$2:$C$1369,0)))</f>
        <v/>
      </c>
      <c r="J1274" s="8">
        <f>IF(ISNA(MATCH(1261,Engine!$C$2:$C$1369,0)),"",INDEX('Compliance Database'!$J$2:$J$1369,MATCH(1261,Engine!$C$2:$C$1369,0)))</f>
        <v/>
      </c>
      <c r="K1274" s="9">
        <f>IF(ISNA(MATCH(1261,Engine!$C$2:$C$1369,0)),"",INDEX('Compliance Database'!$K$2:$K$1369,MATCH(1261,Engine!$C$2:$C$1369,0)))</f>
        <v/>
      </c>
      <c r="L1274" s="9">
        <f>IF(ISNA(MATCH(1261,Engine!$C$2:$C$1369,0)),"",INDEX('Compliance Database'!$L$2:$L$1369,MATCH(1261,Engine!$C$2:$C$1369,0)))</f>
        <v/>
      </c>
      <c r="M1274" s="9">
        <f>IF(ISNA(MATCH(1261,Engine!$C$2:$C$1369,0)),"",INDEX('Compliance Database'!$M$2:$M$1369,MATCH(1261,Engine!$C$2:$C$1369,0)))</f>
        <v/>
      </c>
      <c r="N1274" s="9">
        <f>IF(ISNA(MATCH(1261,Engine!$C$2:$C$1369,0)),"",INDEX('Compliance Database'!$N$2:$N$1369,MATCH(1261,Engine!$C$2:$C$1369,0)))</f>
        <v/>
      </c>
      <c r="O1274" s="8">
        <f>IF(ISNA(MATCH(1261,Engine!$C$2:$C$1369,0)),"",HYPERLINK(INDEX('Compliance Database'!$O$2:$O$1369,MATCH(1261,Engine!$C$2:$C$1369,0)),"Open PDF"))</f>
        <v/>
      </c>
    </row>
    <row r="1275" ht="188" customHeight="1">
      <c r="A1275" s="8">
        <f>IF(ISNA(MATCH(1262,Engine!$C$2:$C$1369,0)),"",INDEX('Compliance Database'!$A$2:$A$1369,MATCH(1262,Engine!$C$2:$C$1369,0)))</f>
        <v/>
      </c>
      <c r="B1275" s="8">
        <f>IF(ISNA(MATCH(1262,Engine!$C$2:$C$1369,0)),"",INDEX('Compliance Database'!$B$2:$B$1369,MATCH(1262,Engine!$C$2:$C$1369,0)))</f>
        <v/>
      </c>
      <c r="C1275" s="8">
        <f>IF(ISNA(MATCH(1262,Engine!$C$2:$C$1369,0)),"",INDEX('Compliance Database'!$C$2:$C$1369,MATCH(1262,Engine!$C$2:$C$1369,0)))</f>
        <v/>
      </c>
      <c r="D1275" s="9">
        <f>IF(ISNA(MATCH(1262,Engine!$C$2:$C$1369,0)),"",INDEX('Compliance Database'!$D$2:$D$1369,MATCH(1262,Engine!$C$2:$C$1369,0)))</f>
        <v/>
      </c>
      <c r="E1275" s="8">
        <f>IF(ISNA(MATCH(1262,Engine!$C$2:$C$1369,0)),"",INDEX('Compliance Database'!$E$2:$E$1369,MATCH(1262,Engine!$C$2:$C$1369,0)))</f>
        <v/>
      </c>
      <c r="F1275" s="8">
        <f>IF(ISNA(MATCH(1262,Engine!$C$2:$C$1369,0)),"",INDEX('Compliance Database'!$F$2:$F$1369,MATCH(1262,Engine!$C$2:$C$1369,0)))</f>
        <v/>
      </c>
      <c r="G1275" s="8">
        <f>IF(ISNA(MATCH(1262,Engine!$C$2:$C$1369,0)),"",INDEX('Compliance Database'!$G$2:$G$1369,MATCH(1262,Engine!$C$2:$C$1369,0)))</f>
        <v/>
      </c>
      <c r="H1275" s="9">
        <f>IF(ISNA(MATCH(1262,Engine!$C$2:$C$1369,0)),"",INDEX('Compliance Database'!$H$2:$H$1369,MATCH(1262,Engine!$C$2:$C$1369,0)))</f>
        <v/>
      </c>
      <c r="I1275" s="9">
        <f>IF(ISNA(MATCH(1262,Engine!$C$2:$C$1369,0)),"",INDEX('Compliance Database'!$I$2:$I$1369,MATCH(1262,Engine!$C$2:$C$1369,0)))</f>
        <v/>
      </c>
      <c r="J1275" s="8">
        <f>IF(ISNA(MATCH(1262,Engine!$C$2:$C$1369,0)),"",INDEX('Compliance Database'!$J$2:$J$1369,MATCH(1262,Engine!$C$2:$C$1369,0)))</f>
        <v/>
      </c>
      <c r="K1275" s="9">
        <f>IF(ISNA(MATCH(1262,Engine!$C$2:$C$1369,0)),"",INDEX('Compliance Database'!$K$2:$K$1369,MATCH(1262,Engine!$C$2:$C$1369,0)))</f>
        <v/>
      </c>
      <c r="L1275" s="9">
        <f>IF(ISNA(MATCH(1262,Engine!$C$2:$C$1369,0)),"",INDEX('Compliance Database'!$L$2:$L$1369,MATCH(1262,Engine!$C$2:$C$1369,0)))</f>
        <v/>
      </c>
      <c r="M1275" s="9">
        <f>IF(ISNA(MATCH(1262,Engine!$C$2:$C$1369,0)),"",INDEX('Compliance Database'!$M$2:$M$1369,MATCH(1262,Engine!$C$2:$C$1369,0)))</f>
        <v/>
      </c>
      <c r="N1275" s="9">
        <f>IF(ISNA(MATCH(1262,Engine!$C$2:$C$1369,0)),"",INDEX('Compliance Database'!$N$2:$N$1369,MATCH(1262,Engine!$C$2:$C$1369,0)))</f>
        <v/>
      </c>
      <c r="O1275" s="8">
        <f>IF(ISNA(MATCH(1262,Engine!$C$2:$C$1369,0)),"",HYPERLINK(INDEX('Compliance Database'!$O$2:$O$1369,MATCH(1262,Engine!$C$2:$C$1369,0)),"Open PDF"))</f>
        <v/>
      </c>
    </row>
    <row r="1276" ht="188" customHeight="1">
      <c r="A1276" s="8">
        <f>IF(ISNA(MATCH(1263,Engine!$C$2:$C$1369,0)),"",INDEX('Compliance Database'!$A$2:$A$1369,MATCH(1263,Engine!$C$2:$C$1369,0)))</f>
        <v/>
      </c>
      <c r="B1276" s="8">
        <f>IF(ISNA(MATCH(1263,Engine!$C$2:$C$1369,0)),"",INDEX('Compliance Database'!$B$2:$B$1369,MATCH(1263,Engine!$C$2:$C$1369,0)))</f>
        <v/>
      </c>
      <c r="C1276" s="8">
        <f>IF(ISNA(MATCH(1263,Engine!$C$2:$C$1369,0)),"",INDEX('Compliance Database'!$C$2:$C$1369,MATCH(1263,Engine!$C$2:$C$1369,0)))</f>
        <v/>
      </c>
      <c r="D1276" s="9">
        <f>IF(ISNA(MATCH(1263,Engine!$C$2:$C$1369,0)),"",INDEX('Compliance Database'!$D$2:$D$1369,MATCH(1263,Engine!$C$2:$C$1369,0)))</f>
        <v/>
      </c>
      <c r="E1276" s="8">
        <f>IF(ISNA(MATCH(1263,Engine!$C$2:$C$1369,0)),"",INDEX('Compliance Database'!$E$2:$E$1369,MATCH(1263,Engine!$C$2:$C$1369,0)))</f>
        <v/>
      </c>
      <c r="F1276" s="8">
        <f>IF(ISNA(MATCH(1263,Engine!$C$2:$C$1369,0)),"",INDEX('Compliance Database'!$F$2:$F$1369,MATCH(1263,Engine!$C$2:$C$1369,0)))</f>
        <v/>
      </c>
      <c r="G1276" s="8">
        <f>IF(ISNA(MATCH(1263,Engine!$C$2:$C$1369,0)),"",INDEX('Compliance Database'!$G$2:$G$1369,MATCH(1263,Engine!$C$2:$C$1369,0)))</f>
        <v/>
      </c>
      <c r="H1276" s="9">
        <f>IF(ISNA(MATCH(1263,Engine!$C$2:$C$1369,0)),"",INDEX('Compliance Database'!$H$2:$H$1369,MATCH(1263,Engine!$C$2:$C$1369,0)))</f>
        <v/>
      </c>
      <c r="I1276" s="9">
        <f>IF(ISNA(MATCH(1263,Engine!$C$2:$C$1369,0)),"",INDEX('Compliance Database'!$I$2:$I$1369,MATCH(1263,Engine!$C$2:$C$1369,0)))</f>
        <v/>
      </c>
      <c r="J1276" s="8">
        <f>IF(ISNA(MATCH(1263,Engine!$C$2:$C$1369,0)),"",INDEX('Compliance Database'!$J$2:$J$1369,MATCH(1263,Engine!$C$2:$C$1369,0)))</f>
        <v/>
      </c>
      <c r="K1276" s="9">
        <f>IF(ISNA(MATCH(1263,Engine!$C$2:$C$1369,0)),"",INDEX('Compliance Database'!$K$2:$K$1369,MATCH(1263,Engine!$C$2:$C$1369,0)))</f>
        <v/>
      </c>
      <c r="L1276" s="9">
        <f>IF(ISNA(MATCH(1263,Engine!$C$2:$C$1369,0)),"",INDEX('Compliance Database'!$L$2:$L$1369,MATCH(1263,Engine!$C$2:$C$1369,0)))</f>
        <v/>
      </c>
      <c r="M1276" s="9">
        <f>IF(ISNA(MATCH(1263,Engine!$C$2:$C$1369,0)),"",INDEX('Compliance Database'!$M$2:$M$1369,MATCH(1263,Engine!$C$2:$C$1369,0)))</f>
        <v/>
      </c>
      <c r="N1276" s="9">
        <f>IF(ISNA(MATCH(1263,Engine!$C$2:$C$1369,0)),"",INDEX('Compliance Database'!$N$2:$N$1369,MATCH(1263,Engine!$C$2:$C$1369,0)))</f>
        <v/>
      </c>
      <c r="O1276" s="8">
        <f>IF(ISNA(MATCH(1263,Engine!$C$2:$C$1369,0)),"",HYPERLINK(INDEX('Compliance Database'!$O$2:$O$1369,MATCH(1263,Engine!$C$2:$C$1369,0)),"Open PDF"))</f>
        <v/>
      </c>
    </row>
    <row r="1277" ht="188" customHeight="1">
      <c r="A1277" s="8">
        <f>IF(ISNA(MATCH(1264,Engine!$C$2:$C$1369,0)),"",INDEX('Compliance Database'!$A$2:$A$1369,MATCH(1264,Engine!$C$2:$C$1369,0)))</f>
        <v/>
      </c>
      <c r="B1277" s="8">
        <f>IF(ISNA(MATCH(1264,Engine!$C$2:$C$1369,0)),"",INDEX('Compliance Database'!$B$2:$B$1369,MATCH(1264,Engine!$C$2:$C$1369,0)))</f>
        <v/>
      </c>
      <c r="C1277" s="8">
        <f>IF(ISNA(MATCH(1264,Engine!$C$2:$C$1369,0)),"",INDEX('Compliance Database'!$C$2:$C$1369,MATCH(1264,Engine!$C$2:$C$1369,0)))</f>
        <v/>
      </c>
      <c r="D1277" s="9">
        <f>IF(ISNA(MATCH(1264,Engine!$C$2:$C$1369,0)),"",INDEX('Compliance Database'!$D$2:$D$1369,MATCH(1264,Engine!$C$2:$C$1369,0)))</f>
        <v/>
      </c>
      <c r="E1277" s="8">
        <f>IF(ISNA(MATCH(1264,Engine!$C$2:$C$1369,0)),"",INDEX('Compliance Database'!$E$2:$E$1369,MATCH(1264,Engine!$C$2:$C$1369,0)))</f>
        <v/>
      </c>
      <c r="F1277" s="8">
        <f>IF(ISNA(MATCH(1264,Engine!$C$2:$C$1369,0)),"",INDEX('Compliance Database'!$F$2:$F$1369,MATCH(1264,Engine!$C$2:$C$1369,0)))</f>
        <v/>
      </c>
      <c r="G1277" s="8">
        <f>IF(ISNA(MATCH(1264,Engine!$C$2:$C$1369,0)),"",INDEX('Compliance Database'!$G$2:$G$1369,MATCH(1264,Engine!$C$2:$C$1369,0)))</f>
        <v/>
      </c>
      <c r="H1277" s="9">
        <f>IF(ISNA(MATCH(1264,Engine!$C$2:$C$1369,0)),"",INDEX('Compliance Database'!$H$2:$H$1369,MATCH(1264,Engine!$C$2:$C$1369,0)))</f>
        <v/>
      </c>
      <c r="I1277" s="9">
        <f>IF(ISNA(MATCH(1264,Engine!$C$2:$C$1369,0)),"",INDEX('Compliance Database'!$I$2:$I$1369,MATCH(1264,Engine!$C$2:$C$1369,0)))</f>
        <v/>
      </c>
      <c r="J1277" s="8">
        <f>IF(ISNA(MATCH(1264,Engine!$C$2:$C$1369,0)),"",INDEX('Compliance Database'!$J$2:$J$1369,MATCH(1264,Engine!$C$2:$C$1369,0)))</f>
        <v/>
      </c>
      <c r="K1277" s="9">
        <f>IF(ISNA(MATCH(1264,Engine!$C$2:$C$1369,0)),"",INDEX('Compliance Database'!$K$2:$K$1369,MATCH(1264,Engine!$C$2:$C$1369,0)))</f>
        <v/>
      </c>
      <c r="L1277" s="9">
        <f>IF(ISNA(MATCH(1264,Engine!$C$2:$C$1369,0)),"",INDEX('Compliance Database'!$L$2:$L$1369,MATCH(1264,Engine!$C$2:$C$1369,0)))</f>
        <v/>
      </c>
      <c r="M1277" s="9">
        <f>IF(ISNA(MATCH(1264,Engine!$C$2:$C$1369,0)),"",INDEX('Compliance Database'!$M$2:$M$1369,MATCH(1264,Engine!$C$2:$C$1369,0)))</f>
        <v/>
      </c>
      <c r="N1277" s="9">
        <f>IF(ISNA(MATCH(1264,Engine!$C$2:$C$1369,0)),"",INDEX('Compliance Database'!$N$2:$N$1369,MATCH(1264,Engine!$C$2:$C$1369,0)))</f>
        <v/>
      </c>
      <c r="O1277" s="8">
        <f>IF(ISNA(MATCH(1264,Engine!$C$2:$C$1369,0)),"",HYPERLINK(INDEX('Compliance Database'!$O$2:$O$1369,MATCH(1264,Engine!$C$2:$C$1369,0)),"Open PDF"))</f>
        <v/>
      </c>
    </row>
    <row r="1278" ht="188" customHeight="1">
      <c r="A1278" s="8">
        <f>IF(ISNA(MATCH(1265,Engine!$C$2:$C$1369,0)),"",INDEX('Compliance Database'!$A$2:$A$1369,MATCH(1265,Engine!$C$2:$C$1369,0)))</f>
        <v/>
      </c>
      <c r="B1278" s="8">
        <f>IF(ISNA(MATCH(1265,Engine!$C$2:$C$1369,0)),"",INDEX('Compliance Database'!$B$2:$B$1369,MATCH(1265,Engine!$C$2:$C$1369,0)))</f>
        <v/>
      </c>
      <c r="C1278" s="8">
        <f>IF(ISNA(MATCH(1265,Engine!$C$2:$C$1369,0)),"",INDEX('Compliance Database'!$C$2:$C$1369,MATCH(1265,Engine!$C$2:$C$1369,0)))</f>
        <v/>
      </c>
      <c r="D1278" s="9">
        <f>IF(ISNA(MATCH(1265,Engine!$C$2:$C$1369,0)),"",INDEX('Compliance Database'!$D$2:$D$1369,MATCH(1265,Engine!$C$2:$C$1369,0)))</f>
        <v/>
      </c>
      <c r="E1278" s="8">
        <f>IF(ISNA(MATCH(1265,Engine!$C$2:$C$1369,0)),"",INDEX('Compliance Database'!$E$2:$E$1369,MATCH(1265,Engine!$C$2:$C$1369,0)))</f>
        <v/>
      </c>
      <c r="F1278" s="8">
        <f>IF(ISNA(MATCH(1265,Engine!$C$2:$C$1369,0)),"",INDEX('Compliance Database'!$F$2:$F$1369,MATCH(1265,Engine!$C$2:$C$1369,0)))</f>
        <v/>
      </c>
      <c r="G1278" s="8">
        <f>IF(ISNA(MATCH(1265,Engine!$C$2:$C$1369,0)),"",INDEX('Compliance Database'!$G$2:$G$1369,MATCH(1265,Engine!$C$2:$C$1369,0)))</f>
        <v/>
      </c>
      <c r="H1278" s="9">
        <f>IF(ISNA(MATCH(1265,Engine!$C$2:$C$1369,0)),"",INDEX('Compliance Database'!$H$2:$H$1369,MATCH(1265,Engine!$C$2:$C$1369,0)))</f>
        <v/>
      </c>
      <c r="I1278" s="9">
        <f>IF(ISNA(MATCH(1265,Engine!$C$2:$C$1369,0)),"",INDEX('Compliance Database'!$I$2:$I$1369,MATCH(1265,Engine!$C$2:$C$1369,0)))</f>
        <v/>
      </c>
      <c r="J1278" s="8">
        <f>IF(ISNA(MATCH(1265,Engine!$C$2:$C$1369,0)),"",INDEX('Compliance Database'!$J$2:$J$1369,MATCH(1265,Engine!$C$2:$C$1369,0)))</f>
        <v/>
      </c>
      <c r="K1278" s="9">
        <f>IF(ISNA(MATCH(1265,Engine!$C$2:$C$1369,0)),"",INDEX('Compliance Database'!$K$2:$K$1369,MATCH(1265,Engine!$C$2:$C$1369,0)))</f>
        <v/>
      </c>
      <c r="L1278" s="9">
        <f>IF(ISNA(MATCH(1265,Engine!$C$2:$C$1369,0)),"",INDEX('Compliance Database'!$L$2:$L$1369,MATCH(1265,Engine!$C$2:$C$1369,0)))</f>
        <v/>
      </c>
      <c r="M1278" s="9">
        <f>IF(ISNA(MATCH(1265,Engine!$C$2:$C$1369,0)),"",INDEX('Compliance Database'!$M$2:$M$1369,MATCH(1265,Engine!$C$2:$C$1369,0)))</f>
        <v/>
      </c>
      <c r="N1278" s="9">
        <f>IF(ISNA(MATCH(1265,Engine!$C$2:$C$1369,0)),"",INDEX('Compliance Database'!$N$2:$N$1369,MATCH(1265,Engine!$C$2:$C$1369,0)))</f>
        <v/>
      </c>
      <c r="O1278" s="8">
        <f>IF(ISNA(MATCH(1265,Engine!$C$2:$C$1369,0)),"",HYPERLINK(INDEX('Compliance Database'!$O$2:$O$1369,MATCH(1265,Engine!$C$2:$C$1369,0)),"Open PDF"))</f>
        <v/>
      </c>
    </row>
    <row r="1279" ht="188" customHeight="1">
      <c r="A1279" s="8">
        <f>IF(ISNA(MATCH(1266,Engine!$C$2:$C$1369,0)),"",INDEX('Compliance Database'!$A$2:$A$1369,MATCH(1266,Engine!$C$2:$C$1369,0)))</f>
        <v/>
      </c>
      <c r="B1279" s="8">
        <f>IF(ISNA(MATCH(1266,Engine!$C$2:$C$1369,0)),"",INDEX('Compliance Database'!$B$2:$B$1369,MATCH(1266,Engine!$C$2:$C$1369,0)))</f>
        <v/>
      </c>
      <c r="C1279" s="8">
        <f>IF(ISNA(MATCH(1266,Engine!$C$2:$C$1369,0)),"",INDEX('Compliance Database'!$C$2:$C$1369,MATCH(1266,Engine!$C$2:$C$1369,0)))</f>
        <v/>
      </c>
      <c r="D1279" s="9">
        <f>IF(ISNA(MATCH(1266,Engine!$C$2:$C$1369,0)),"",INDEX('Compliance Database'!$D$2:$D$1369,MATCH(1266,Engine!$C$2:$C$1369,0)))</f>
        <v/>
      </c>
      <c r="E1279" s="8">
        <f>IF(ISNA(MATCH(1266,Engine!$C$2:$C$1369,0)),"",INDEX('Compliance Database'!$E$2:$E$1369,MATCH(1266,Engine!$C$2:$C$1369,0)))</f>
        <v/>
      </c>
      <c r="F1279" s="8">
        <f>IF(ISNA(MATCH(1266,Engine!$C$2:$C$1369,0)),"",INDEX('Compliance Database'!$F$2:$F$1369,MATCH(1266,Engine!$C$2:$C$1369,0)))</f>
        <v/>
      </c>
      <c r="G1279" s="8">
        <f>IF(ISNA(MATCH(1266,Engine!$C$2:$C$1369,0)),"",INDEX('Compliance Database'!$G$2:$G$1369,MATCH(1266,Engine!$C$2:$C$1369,0)))</f>
        <v/>
      </c>
      <c r="H1279" s="9">
        <f>IF(ISNA(MATCH(1266,Engine!$C$2:$C$1369,0)),"",INDEX('Compliance Database'!$H$2:$H$1369,MATCH(1266,Engine!$C$2:$C$1369,0)))</f>
        <v/>
      </c>
      <c r="I1279" s="9">
        <f>IF(ISNA(MATCH(1266,Engine!$C$2:$C$1369,0)),"",INDEX('Compliance Database'!$I$2:$I$1369,MATCH(1266,Engine!$C$2:$C$1369,0)))</f>
        <v/>
      </c>
      <c r="J1279" s="8">
        <f>IF(ISNA(MATCH(1266,Engine!$C$2:$C$1369,0)),"",INDEX('Compliance Database'!$J$2:$J$1369,MATCH(1266,Engine!$C$2:$C$1369,0)))</f>
        <v/>
      </c>
      <c r="K1279" s="9">
        <f>IF(ISNA(MATCH(1266,Engine!$C$2:$C$1369,0)),"",INDEX('Compliance Database'!$K$2:$K$1369,MATCH(1266,Engine!$C$2:$C$1369,0)))</f>
        <v/>
      </c>
      <c r="L1279" s="9">
        <f>IF(ISNA(MATCH(1266,Engine!$C$2:$C$1369,0)),"",INDEX('Compliance Database'!$L$2:$L$1369,MATCH(1266,Engine!$C$2:$C$1369,0)))</f>
        <v/>
      </c>
      <c r="M1279" s="9">
        <f>IF(ISNA(MATCH(1266,Engine!$C$2:$C$1369,0)),"",INDEX('Compliance Database'!$M$2:$M$1369,MATCH(1266,Engine!$C$2:$C$1369,0)))</f>
        <v/>
      </c>
      <c r="N1279" s="9">
        <f>IF(ISNA(MATCH(1266,Engine!$C$2:$C$1369,0)),"",INDEX('Compliance Database'!$N$2:$N$1369,MATCH(1266,Engine!$C$2:$C$1369,0)))</f>
        <v/>
      </c>
      <c r="O1279" s="8">
        <f>IF(ISNA(MATCH(1266,Engine!$C$2:$C$1369,0)),"",HYPERLINK(INDEX('Compliance Database'!$O$2:$O$1369,MATCH(1266,Engine!$C$2:$C$1369,0)),"Open PDF"))</f>
        <v/>
      </c>
    </row>
    <row r="1280" ht="188" customHeight="1">
      <c r="A1280" s="8">
        <f>IF(ISNA(MATCH(1267,Engine!$C$2:$C$1369,0)),"",INDEX('Compliance Database'!$A$2:$A$1369,MATCH(1267,Engine!$C$2:$C$1369,0)))</f>
        <v/>
      </c>
      <c r="B1280" s="8">
        <f>IF(ISNA(MATCH(1267,Engine!$C$2:$C$1369,0)),"",INDEX('Compliance Database'!$B$2:$B$1369,MATCH(1267,Engine!$C$2:$C$1369,0)))</f>
        <v/>
      </c>
      <c r="C1280" s="8">
        <f>IF(ISNA(MATCH(1267,Engine!$C$2:$C$1369,0)),"",INDEX('Compliance Database'!$C$2:$C$1369,MATCH(1267,Engine!$C$2:$C$1369,0)))</f>
        <v/>
      </c>
      <c r="D1280" s="9">
        <f>IF(ISNA(MATCH(1267,Engine!$C$2:$C$1369,0)),"",INDEX('Compliance Database'!$D$2:$D$1369,MATCH(1267,Engine!$C$2:$C$1369,0)))</f>
        <v/>
      </c>
      <c r="E1280" s="8">
        <f>IF(ISNA(MATCH(1267,Engine!$C$2:$C$1369,0)),"",INDEX('Compliance Database'!$E$2:$E$1369,MATCH(1267,Engine!$C$2:$C$1369,0)))</f>
        <v/>
      </c>
      <c r="F1280" s="8">
        <f>IF(ISNA(MATCH(1267,Engine!$C$2:$C$1369,0)),"",INDEX('Compliance Database'!$F$2:$F$1369,MATCH(1267,Engine!$C$2:$C$1369,0)))</f>
        <v/>
      </c>
      <c r="G1280" s="8">
        <f>IF(ISNA(MATCH(1267,Engine!$C$2:$C$1369,0)),"",INDEX('Compliance Database'!$G$2:$G$1369,MATCH(1267,Engine!$C$2:$C$1369,0)))</f>
        <v/>
      </c>
      <c r="H1280" s="9">
        <f>IF(ISNA(MATCH(1267,Engine!$C$2:$C$1369,0)),"",INDEX('Compliance Database'!$H$2:$H$1369,MATCH(1267,Engine!$C$2:$C$1369,0)))</f>
        <v/>
      </c>
      <c r="I1280" s="9">
        <f>IF(ISNA(MATCH(1267,Engine!$C$2:$C$1369,0)),"",INDEX('Compliance Database'!$I$2:$I$1369,MATCH(1267,Engine!$C$2:$C$1369,0)))</f>
        <v/>
      </c>
      <c r="J1280" s="8">
        <f>IF(ISNA(MATCH(1267,Engine!$C$2:$C$1369,0)),"",INDEX('Compliance Database'!$J$2:$J$1369,MATCH(1267,Engine!$C$2:$C$1369,0)))</f>
        <v/>
      </c>
      <c r="K1280" s="9">
        <f>IF(ISNA(MATCH(1267,Engine!$C$2:$C$1369,0)),"",INDEX('Compliance Database'!$K$2:$K$1369,MATCH(1267,Engine!$C$2:$C$1369,0)))</f>
        <v/>
      </c>
      <c r="L1280" s="9">
        <f>IF(ISNA(MATCH(1267,Engine!$C$2:$C$1369,0)),"",INDEX('Compliance Database'!$L$2:$L$1369,MATCH(1267,Engine!$C$2:$C$1369,0)))</f>
        <v/>
      </c>
      <c r="M1280" s="9">
        <f>IF(ISNA(MATCH(1267,Engine!$C$2:$C$1369,0)),"",INDEX('Compliance Database'!$M$2:$M$1369,MATCH(1267,Engine!$C$2:$C$1369,0)))</f>
        <v/>
      </c>
      <c r="N1280" s="9">
        <f>IF(ISNA(MATCH(1267,Engine!$C$2:$C$1369,0)),"",INDEX('Compliance Database'!$N$2:$N$1369,MATCH(1267,Engine!$C$2:$C$1369,0)))</f>
        <v/>
      </c>
      <c r="O1280" s="8">
        <f>IF(ISNA(MATCH(1267,Engine!$C$2:$C$1369,0)),"",HYPERLINK(INDEX('Compliance Database'!$O$2:$O$1369,MATCH(1267,Engine!$C$2:$C$1369,0)),"Open PDF"))</f>
        <v/>
      </c>
    </row>
    <row r="1281" ht="188" customHeight="1">
      <c r="A1281" s="8">
        <f>IF(ISNA(MATCH(1268,Engine!$C$2:$C$1369,0)),"",INDEX('Compliance Database'!$A$2:$A$1369,MATCH(1268,Engine!$C$2:$C$1369,0)))</f>
        <v/>
      </c>
      <c r="B1281" s="8">
        <f>IF(ISNA(MATCH(1268,Engine!$C$2:$C$1369,0)),"",INDEX('Compliance Database'!$B$2:$B$1369,MATCH(1268,Engine!$C$2:$C$1369,0)))</f>
        <v/>
      </c>
      <c r="C1281" s="8">
        <f>IF(ISNA(MATCH(1268,Engine!$C$2:$C$1369,0)),"",INDEX('Compliance Database'!$C$2:$C$1369,MATCH(1268,Engine!$C$2:$C$1369,0)))</f>
        <v/>
      </c>
      <c r="D1281" s="9">
        <f>IF(ISNA(MATCH(1268,Engine!$C$2:$C$1369,0)),"",INDEX('Compliance Database'!$D$2:$D$1369,MATCH(1268,Engine!$C$2:$C$1369,0)))</f>
        <v/>
      </c>
      <c r="E1281" s="8">
        <f>IF(ISNA(MATCH(1268,Engine!$C$2:$C$1369,0)),"",INDEX('Compliance Database'!$E$2:$E$1369,MATCH(1268,Engine!$C$2:$C$1369,0)))</f>
        <v/>
      </c>
      <c r="F1281" s="8">
        <f>IF(ISNA(MATCH(1268,Engine!$C$2:$C$1369,0)),"",INDEX('Compliance Database'!$F$2:$F$1369,MATCH(1268,Engine!$C$2:$C$1369,0)))</f>
        <v/>
      </c>
      <c r="G1281" s="8">
        <f>IF(ISNA(MATCH(1268,Engine!$C$2:$C$1369,0)),"",INDEX('Compliance Database'!$G$2:$G$1369,MATCH(1268,Engine!$C$2:$C$1369,0)))</f>
        <v/>
      </c>
      <c r="H1281" s="9">
        <f>IF(ISNA(MATCH(1268,Engine!$C$2:$C$1369,0)),"",INDEX('Compliance Database'!$H$2:$H$1369,MATCH(1268,Engine!$C$2:$C$1369,0)))</f>
        <v/>
      </c>
      <c r="I1281" s="9">
        <f>IF(ISNA(MATCH(1268,Engine!$C$2:$C$1369,0)),"",INDEX('Compliance Database'!$I$2:$I$1369,MATCH(1268,Engine!$C$2:$C$1369,0)))</f>
        <v/>
      </c>
      <c r="J1281" s="8">
        <f>IF(ISNA(MATCH(1268,Engine!$C$2:$C$1369,0)),"",INDEX('Compliance Database'!$J$2:$J$1369,MATCH(1268,Engine!$C$2:$C$1369,0)))</f>
        <v/>
      </c>
      <c r="K1281" s="9">
        <f>IF(ISNA(MATCH(1268,Engine!$C$2:$C$1369,0)),"",INDEX('Compliance Database'!$K$2:$K$1369,MATCH(1268,Engine!$C$2:$C$1369,0)))</f>
        <v/>
      </c>
      <c r="L1281" s="9">
        <f>IF(ISNA(MATCH(1268,Engine!$C$2:$C$1369,0)),"",INDEX('Compliance Database'!$L$2:$L$1369,MATCH(1268,Engine!$C$2:$C$1369,0)))</f>
        <v/>
      </c>
      <c r="M1281" s="9">
        <f>IF(ISNA(MATCH(1268,Engine!$C$2:$C$1369,0)),"",INDEX('Compliance Database'!$M$2:$M$1369,MATCH(1268,Engine!$C$2:$C$1369,0)))</f>
        <v/>
      </c>
      <c r="N1281" s="9">
        <f>IF(ISNA(MATCH(1268,Engine!$C$2:$C$1369,0)),"",INDEX('Compliance Database'!$N$2:$N$1369,MATCH(1268,Engine!$C$2:$C$1369,0)))</f>
        <v/>
      </c>
      <c r="O1281" s="8">
        <f>IF(ISNA(MATCH(1268,Engine!$C$2:$C$1369,0)),"",HYPERLINK(INDEX('Compliance Database'!$O$2:$O$1369,MATCH(1268,Engine!$C$2:$C$1369,0)),"Open PDF"))</f>
        <v/>
      </c>
    </row>
    <row r="1282" ht="188" customHeight="1">
      <c r="A1282" s="8">
        <f>IF(ISNA(MATCH(1269,Engine!$C$2:$C$1369,0)),"",INDEX('Compliance Database'!$A$2:$A$1369,MATCH(1269,Engine!$C$2:$C$1369,0)))</f>
        <v/>
      </c>
      <c r="B1282" s="8">
        <f>IF(ISNA(MATCH(1269,Engine!$C$2:$C$1369,0)),"",INDEX('Compliance Database'!$B$2:$B$1369,MATCH(1269,Engine!$C$2:$C$1369,0)))</f>
        <v/>
      </c>
      <c r="C1282" s="8">
        <f>IF(ISNA(MATCH(1269,Engine!$C$2:$C$1369,0)),"",INDEX('Compliance Database'!$C$2:$C$1369,MATCH(1269,Engine!$C$2:$C$1369,0)))</f>
        <v/>
      </c>
      <c r="D1282" s="9">
        <f>IF(ISNA(MATCH(1269,Engine!$C$2:$C$1369,0)),"",INDEX('Compliance Database'!$D$2:$D$1369,MATCH(1269,Engine!$C$2:$C$1369,0)))</f>
        <v/>
      </c>
      <c r="E1282" s="8">
        <f>IF(ISNA(MATCH(1269,Engine!$C$2:$C$1369,0)),"",INDEX('Compliance Database'!$E$2:$E$1369,MATCH(1269,Engine!$C$2:$C$1369,0)))</f>
        <v/>
      </c>
      <c r="F1282" s="8">
        <f>IF(ISNA(MATCH(1269,Engine!$C$2:$C$1369,0)),"",INDEX('Compliance Database'!$F$2:$F$1369,MATCH(1269,Engine!$C$2:$C$1369,0)))</f>
        <v/>
      </c>
      <c r="G1282" s="8">
        <f>IF(ISNA(MATCH(1269,Engine!$C$2:$C$1369,0)),"",INDEX('Compliance Database'!$G$2:$G$1369,MATCH(1269,Engine!$C$2:$C$1369,0)))</f>
        <v/>
      </c>
      <c r="H1282" s="9">
        <f>IF(ISNA(MATCH(1269,Engine!$C$2:$C$1369,0)),"",INDEX('Compliance Database'!$H$2:$H$1369,MATCH(1269,Engine!$C$2:$C$1369,0)))</f>
        <v/>
      </c>
      <c r="I1282" s="9">
        <f>IF(ISNA(MATCH(1269,Engine!$C$2:$C$1369,0)),"",INDEX('Compliance Database'!$I$2:$I$1369,MATCH(1269,Engine!$C$2:$C$1369,0)))</f>
        <v/>
      </c>
      <c r="J1282" s="8">
        <f>IF(ISNA(MATCH(1269,Engine!$C$2:$C$1369,0)),"",INDEX('Compliance Database'!$J$2:$J$1369,MATCH(1269,Engine!$C$2:$C$1369,0)))</f>
        <v/>
      </c>
      <c r="K1282" s="9">
        <f>IF(ISNA(MATCH(1269,Engine!$C$2:$C$1369,0)),"",INDEX('Compliance Database'!$K$2:$K$1369,MATCH(1269,Engine!$C$2:$C$1369,0)))</f>
        <v/>
      </c>
      <c r="L1282" s="9">
        <f>IF(ISNA(MATCH(1269,Engine!$C$2:$C$1369,0)),"",INDEX('Compliance Database'!$L$2:$L$1369,MATCH(1269,Engine!$C$2:$C$1369,0)))</f>
        <v/>
      </c>
      <c r="M1282" s="9">
        <f>IF(ISNA(MATCH(1269,Engine!$C$2:$C$1369,0)),"",INDEX('Compliance Database'!$M$2:$M$1369,MATCH(1269,Engine!$C$2:$C$1369,0)))</f>
        <v/>
      </c>
      <c r="N1282" s="9">
        <f>IF(ISNA(MATCH(1269,Engine!$C$2:$C$1369,0)),"",INDEX('Compliance Database'!$N$2:$N$1369,MATCH(1269,Engine!$C$2:$C$1369,0)))</f>
        <v/>
      </c>
      <c r="O1282" s="8">
        <f>IF(ISNA(MATCH(1269,Engine!$C$2:$C$1369,0)),"",HYPERLINK(INDEX('Compliance Database'!$O$2:$O$1369,MATCH(1269,Engine!$C$2:$C$1369,0)),"Open PDF"))</f>
        <v/>
      </c>
    </row>
    <row r="1283" ht="188" customHeight="1">
      <c r="A1283" s="8">
        <f>IF(ISNA(MATCH(1270,Engine!$C$2:$C$1369,0)),"",INDEX('Compliance Database'!$A$2:$A$1369,MATCH(1270,Engine!$C$2:$C$1369,0)))</f>
        <v/>
      </c>
      <c r="B1283" s="8">
        <f>IF(ISNA(MATCH(1270,Engine!$C$2:$C$1369,0)),"",INDEX('Compliance Database'!$B$2:$B$1369,MATCH(1270,Engine!$C$2:$C$1369,0)))</f>
        <v/>
      </c>
      <c r="C1283" s="8">
        <f>IF(ISNA(MATCH(1270,Engine!$C$2:$C$1369,0)),"",INDEX('Compliance Database'!$C$2:$C$1369,MATCH(1270,Engine!$C$2:$C$1369,0)))</f>
        <v/>
      </c>
      <c r="D1283" s="9">
        <f>IF(ISNA(MATCH(1270,Engine!$C$2:$C$1369,0)),"",INDEX('Compliance Database'!$D$2:$D$1369,MATCH(1270,Engine!$C$2:$C$1369,0)))</f>
        <v/>
      </c>
      <c r="E1283" s="8">
        <f>IF(ISNA(MATCH(1270,Engine!$C$2:$C$1369,0)),"",INDEX('Compliance Database'!$E$2:$E$1369,MATCH(1270,Engine!$C$2:$C$1369,0)))</f>
        <v/>
      </c>
      <c r="F1283" s="8">
        <f>IF(ISNA(MATCH(1270,Engine!$C$2:$C$1369,0)),"",INDEX('Compliance Database'!$F$2:$F$1369,MATCH(1270,Engine!$C$2:$C$1369,0)))</f>
        <v/>
      </c>
      <c r="G1283" s="8">
        <f>IF(ISNA(MATCH(1270,Engine!$C$2:$C$1369,0)),"",INDEX('Compliance Database'!$G$2:$G$1369,MATCH(1270,Engine!$C$2:$C$1369,0)))</f>
        <v/>
      </c>
      <c r="H1283" s="9">
        <f>IF(ISNA(MATCH(1270,Engine!$C$2:$C$1369,0)),"",INDEX('Compliance Database'!$H$2:$H$1369,MATCH(1270,Engine!$C$2:$C$1369,0)))</f>
        <v/>
      </c>
      <c r="I1283" s="9">
        <f>IF(ISNA(MATCH(1270,Engine!$C$2:$C$1369,0)),"",INDEX('Compliance Database'!$I$2:$I$1369,MATCH(1270,Engine!$C$2:$C$1369,0)))</f>
        <v/>
      </c>
      <c r="J1283" s="8">
        <f>IF(ISNA(MATCH(1270,Engine!$C$2:$C$1369,0)),"",INDEX('Compliance Database'!$J$2:$J$1369,MATCH(1270,Engine!$C$2:$C$1369,0)))</f>
        <v/>
      </c>
      <c r="K1283" s="9">
        <f>IF(ISNA(MATCH(1270,Engine!$C$2:$C$1369,0)),"",INDEX('Compliance Database'!$K$2:$K$1369,MATCH(1270,Engine!$C$2:$C$1369,0)))</f>
        <v/>
      </c>
      <c r="L1283" s="9">
        <f>IF(ISNA(MATCH(1270,Engine!$C$2:$C$1369,0)),"",INDEX('Compliance Database'!$L$2:$L$1369,MATCH(1270,Engine!$C$2:$C$1369,0)))</f>
        <v/>
      </c>
      <c r="M1283" s="9">
        <f>IF(ISNA(MATCH(1270,Engine!$C$2:$C$1369,0)),"",INDEX('Compliance Database'!$M$2:$M$1369,MATCH(1270,Engine!$C$2:$C$1369,0)))</f>
        <v/>
      </c>
      <c r="N1283" s="9">
        <f>IF(ISNA(MATCH(1270,Engine!$C$2:$C$1369,0)),"",INDEX('Compliance Database'!$N$2:$N$1369,MATCH(1270,Engine!$C$2:$C$1369,0)))</f>
        <v/>
      </c>
      <c r="O1283" s="8">
        <f>IF(ISNA(MATCH(1270,Engine!$C$2:$C$1369,0)),"",HYPERLINK(INDEX('Compliance Database'!$O$2:$O$1369,MATCH(1270,Engine!$C$2:$C$1369,0)),"Open PDF"))</f>
        <v/>
      </c>
    </row>
    <row r="1284" ht="188" customHeight="1">
      <c r="A1284" s="8">
        <f>IF(ISNA(MATCH(1271,Engine!$C$2:$C$1369,0)),"",INDEX('Compliance Database'!$A$2:$A$1369,MATCH(1271,Engine!$C$2:$C$1369,0)))</f>
        <v/>
      </c>
      <c r="B1284" s="8">
        <f>IF(ISNA(MATCH(1271,Engine!$C$2:$C$1369,0)),"",INDEX('Compliance Database'!$B$2:$B$1369,MATCH(1271,Engine!$C$2:$C$1369,0)))</f>
        <v/>
      </c>
      <c r="C1284" s="8">
        <f>IF(ISNA(MATCH(1271,Engine!$C$2:$C$1369,0)),"",INDEX('Compliance Database'!$C$2:$C$1369,MATCH(1271,Engine!$C$2:$C$1369,0)))</f>
        <v/>
      </c>
      <c r="D1284" s="9">
        <f>IF(ISNA(MATCH(1271,Engine!$C$2:$C$1369,0)),"",INDEX('Compliance Database'!$D$2:$D$1369,MATCH(1271,Engine!$C$2:$C$1369,0)))</f>
        <v/>
      </c>
      <c r="E1284" s="8">
        <f>IF(ISNA(MATCH(1271,Engine!$C$2:$C$1369,0)),"",INDEX('Compliance Database'!$E$2:$E$1369,MATCH(1271,Engine!$C$2:$C$1369,0)))</f>
        <v/>
      </c>
      <c r="F1284" s="8">
        <f>IF(ISNA(MATCH(1271,Engine!$C$2:$C$1369,0)),"",INDEX('Compliance Database'!$F$2:$F$1369,MATCH(1271,Engine!$C$2:$C$1369,0)))</f>
        <v/>
      </c>
      <c r="G1284" s="8">
        <f>IF(ISNA(MATCH(1271,Engine!$C$2:$C$1369,0)),"",INDEX('Compliance Database'!$G$2:$G$1369,MATCH(1271,Engine!$C$2:$C$1369,0)))</f>
        <v/>
      </c>
      <c r="H1284" s="9">
        <f>IF(ISNA(MATCH(1271,Engine!$C$2:$C$1369,0)),"",INDEX('Compliance Database'!$H$2:$H$1369,MATCH(1271,Engine!$C$2:$C$1369,0)))</f>
        <v/>
      </c>
      <c r="I1284" s="9">
        <f>IF(ISNA(MATCH(1271,Engine!$C$2:$C$1369,0)),"",INDEX('Compliance Database'!$I$2:$I$1369,MATCH(1271,Engine!$C$2:$C$1369,0)))</f>
        <v/>
      </c>
      <c r="J1284" s="8">
        <f>IF(ISNA(MATCH(1271,Engine!$C$2:$C$1369,0)),"",INDEX('Compliance Database'!$J$2:$J$1369,MATCH(1271,Engine!$C$2:$C$1369,0)))</f>
        <v/>
      </c>
      <c r="K1284" s="9">
        <f>IF(ISNA(MATCH(1271,Engine!$C$2:$C$1369,0)),"",INDEX('Compliance Database'!$K$2:$K$1369,MATCH(1271,Engine!$C$2:$C$1369,0)))</f>
        <v/>
      </c>
      <c r="L1284" s="9">
        <f>IF(ISNA(MATCH(1271,Engine!$C$2:$C$1369,0)),"",INDEX('Compliance Database'!$L$2:$L$1369,MATCH(1271,Engine!$C$2:$C$1369,0)))</f>
        <v/>
      </c>
      <c r="M1284" s="9">
        <f>IF(ISNA(MATCH(1271,Engine!$C$2:$C$1369,0)),"",INDEX('Compliance Database'!$M$2:$M$1369,MATCH(1271,Engine!$C$2:$C$1369,0)))</f>
        <v/>
      </c>
      <c r="N1284" s="9">
        <f>IF(ISNA(MATCH(1271,Engine!$C$2:$C$1369,0)),"",INDEX('Compliance Database'!$N$2:$N$1369,MATCH(1271,Engine!$C$2:$C$1369,0)))</f>
        <v/>
      </c>
      <c r="O1284" s="8">
        <f>IF(ISNA(MATCH(1271,Engine!$C$2:$C$1369,0)),"",HYPERLINK(INDEX('Compliance Database'!$O$2:$O$1369,MATCH(1271,Engine!$C$2:$C$1369,0)),"Open PDF"))</f>
        <v/>
      </c>
    </row>
    <row r="1285" ht="188" customHeight="1">
      <c r="A1285" s="8">
        <f>IF(ISNA(MATCH(1272,Engine!$C$2:$C$1369,0)),"",INDEX('Compliance Database'!$A$2:$A$1369,MATCH(1272,Engine!$C$2:$C$1369,0)))</f>
        <v/>
      </c>
      <c r="B1285" s="8">
        <f>IF(ISNA(MATCH(1272,Engine!$C$2:$C$1369,0)),"",INDEX('Compliance Database'!$B$2:$B$1369,MATCH(1272,Engine!$C$2:$C$1369,0)))</f>
        <v/>
      </c>
      <c r="C1285" s="8">
        <f>IF(ISNA(MATCH(1272,Engine!$C$2:$C$1369,0)),"",INDEX('Compliance Database'!$C$2:$C$1369,MATCH(1272,Engine!$C$2:$C$1369,0)))</f>
        <v/>
      </c>
      <c r="D1285" s="9">
        <f>IF(ISNA(MATCH(1272,Engine!$C$2:$C$1369,0)),"",INDEX('Compliance Database'!$D$2:$D$1369,MATCH(1272,Engine!$C$2:$C$1369,0)))</f>
        <v/>
      </c>
      <c r="E1285" s="8">
        <f>IF(ISNA(MATCH(1272,Engine!$C$2:$C$1369,0)),"",INDEX('Compliance Database'!$E$2:$E$1369,MATCH(1272,Engine!$C$2:$C$1369,0)))</f>
        <v/>
      </c>
      <c r="F1285" s="8">
        <f>IF(ISNA(MATCH(1272,Engine!$C$2:$C$1369,0)),"",INDEX('Compliance Database'!$F$2:$F$1369,MATCH(1272,Engine!$C$2:$C$1369,0)))</f>
        <v/>
      </c>
      <c r="G1285" s="8">
        <f>IF(ISNA(MATCH(1272,Engine!$C$2:$C$1369,0)),"",INDEX('Compliance Database'!$G$2:$G$1369,MATCH(1272,Engine!$C$2:$C$1369,0)))</f>
        <v/>
      </c>
      <c r="H1285" s="9">
        <f>IF(ISNA(MATCH(1272,Engine!$C$2:$C$1369,0)),"",INDEX('Compliance Database'!$H$2:$H$1369,MATCH(1272,Engine!$C$2:$C$1369,0)))</f>
        <v/>
      </c>
      <c r="I1285" s="9">
        <f>IF(ISNA(MATCH(1272,Engine!$C$2:$C$1369,0)),"",INDEX('Compliance Database'!$I$2:$I$1369,MATCH(1272,Engine!$C$2:$C$1369,0)))</f>
        <v/>
      </c>
      <c r="J1285" s="8">
        <f>IF(ISNA(MATCH(1272,Engine!$C$2:$C$1369,0)),"",INDEX('Compliance Database'!$J$2:$J$1369,MATCH(1272,Engine!$C$2:$C$1369,0)))</f>
        <v/>
      </c>
      <c r="K1285" s="9">
        <f>IF(ISNA(MATCH(1272,Engine!$C$2:$C$1369,0)),"",INDEX('Compliance Database'!$K$2:$K$1369,MATCH(1272,Engine!$C$2:$C$1369,0)))</f>
        <v/>
      </c>
      <c r="L1285" s="9">
        <f>IF(ISNA(MATCH(1272,Engine!$C$2:$C$1369,0)),"",INDEX('Compliance Database'!$L$2:$L$1369,MATCH(1272,Engine!$C$2:$C$1369,0)))</f>
        <v/>
      </c>
      <c r="M1285" s="9">
        <f>IF(ISNA(MATCH(1272,Engine!$C$2:$C$1369,0)),"",INDEX('Compliance Database'!$M$2:$M$1369,MATCH(1272,Engine!$C$2:$C$1369,0)))</f>
        <v/>
      </c>
      <c r="N1285" s="9">
        <f>IF(ISNA(MATCH(1272,Engine!$C$2:$C$1369,0)),"",INDEX('Compliance Database'!$N$2:$N$1369,MATCH(1272,Engine!$C$2:$C$1369,0)))</f>
        <v/>
      </c>
      <c r="O1285" s="8">
        <f>IF(ISNA(MATCH(1272,Engine!$C$2:$C$1369,0)),"",HYPERLINK(INDEX('Compliance Database'!$O$2:$O$1369,MATCH(1272,Engine!$C$2:$C$1369,0)),"Open PDF"))</f>
        <v/>
      </c>
    </row>
    <row r="1286" ht="188" customHeight="1">
      <c r="A1286" s="8">
        <f>IF(ISNA(MATCH(1273,Engine!$C$2:$C$1369,0)),"",INDEX('Compliance Database'!$A$2:$A$1369,MATCH(1273,Engine!$C$2:$C$1369,0)))</f>
        <v/>
      </c>
      <c r="B1286" s="8">
        <f>IF(ISNA(MATCH(1273,Engine!$C$2:$C$1369,0)),"",INDEX('Compliance Database'!$B$2:$B$1369,MATCH(1273,Engine!$C$2:$C$1369,0)))</f>
        <v/>
      </c>
      <c r="C1286" s="8">
        <f>IF(ISNA(MATCH(1273,Engine!$C$2:$C$1369,0)),"",INDEX('Compliance Database'!$C$2:$C$1369,MATCH(1273,Engine!$C$2:$C$1369,0)))</f>
        <v/>
      </c>
      <c r="D1286" s="9">
        <f>IF(ISNA(MATCH(1273,Engine!$C$2:$C$1369,0)),"",INDEX('Compliance Database'!$D$2:$D$1369,MATCH(1273,Engine!$C$2:$C$1369,0)))</f>
        <v/>
      </c>
      <c r="E1286" s="8">
        <f>IF(ISNA(MATCH(1273,Engine!$C$2:$C$1369,0)),"",INDEX('Compliance Database'!$E$2:$E$1369,MATCH(1273,Engine!$C$2:$C$1369,0)))</f>
        <v/>
      </c>
      <c r="F1286" s="8">
        <f>IF(ISNA(MATCH(1273,Engine!$C$2:$C$1369,0)),"",INDEX('Compliance Database'!$F$2:$F$1369,MATCH(1273,Engine!$C$2:$C$1369,0)))</f>
        <v/>
      </c>
      <c r="G1286" s="8">
        <f>IF(ISNA(MATCH(1273,Engine!$C$2:$C$1369,0)),"",INDEX('Compliance Database'!$G$2:$G$1369,MATCH(1273,Engine!$C$2:$C$1369,0)))</f>
        <v/>
      </c>
      <c r="H1286" s="9">
        <f>IF(ISNA(MATCH(1273,Engine!$C$2:$C$1369,0)),"",INDEX('Compliance Database'!$H$2:$H$1369,MATCH(1273,Engine!$C$2:$C$1369,0)))</f>
        <v/>
      </c>
      <c r="I1286" s="9">
        <f>IF(ISNA(MATCH(1273,Engine!$C$2:$C$1369,0)),"",INDEX('Compliance Database'!$I$2:$I$1369,MATCH(1273,Engine!$C$2:$C$1369,0)))</f>
        <v/>
      </c>
      <c r="J1286" s="8">
        <f>IF(ISNA(MATCH(1273,Engine!$C$2:$C$1369,0)),"",INDEX('Compliance Database'!$J$2:$J$1369,MATCH(1273,Engine!$C$2:$C$1369,0)))</f>
        <v/>
      </c>
      <c r="K1286" s="9">
        <f>IF(ISNA(MATCH(1273,Engine!$C$2:$C$1369,0)),"",INDEX('Compliance Database'!$K$2:$K$1369,MATCH(1273,Engine!$C$2:$C$1369,0)))</f>
        <v/>
      </c>
      <c r="L1286" s="9">
        <f>IF(ISNA(MATCH(1273,Engine!$C$2:$C$1369,0)),"",INDEX('Compliance Database'!$L$2:$L$1369,MATCH(1273,Engine!$C$2:$C$1369,0)))</f>
        <v/>
      </c>
      <c r="M1286" s="9">
        <f>IF(ISNA(MATCH(1273,Engine!$C$2:$C$1369,0)),"",INDEX('Compliance Database'!$M$2:$M$1369,MATCH(1273,Engine!$C$2:$C$1369,0)))</f>
        <v/>
      </c>
      <c r="N1286" s="9">
        <f>IF(ISNA(MATCH(1273,Engine!$C$2:$C$1369,0)),"",INDEX('Compliance Database'!$N$2:$N$1369,MATCH(1273,Engine!$C$2:$C$1369,0)))</f>
        <v/>
      </c>
      <c r="O1286" s="8">
        <f>IF(ISNA(MATCH(1273,Engine!$C$2:$C$1369,0)),"",HYPERLINK(INDEX('Compliance Database'!$O$2:$O$1369,MATCH(1273,Engine!$C$2:$C$1369,0)),"Open PDF"))</f>
        <v/>
      </c>
    </row>
    <row r="1287" ht="188" customHeight="1">
      <c r="A1287" s="8">
        <f>IF(ISNA(MATCH(1274,Engine!$C$2:$C$1369,0)),"",INDEX('Compliance Database'!$A$2:$A$1369,MATCH(1274,Engine!$C$2:$C$1369,0)))</f>
        <v/>
      </c>
      <c r="B1287" s="8">
        <f>IF(ISNA(MATCH(1274,Engine!$C$2:$C$1369,0)),"",INDEX('Compliance Database'!$B$2:$B$1369,MATCH(1274,Engine!$C$2:$C$1369,0)))</f>
        <v/>
      </c>
      <c r="C1287" s="8">
        <f>IF(ISNA(MATCH(1274,Engine!$C$2:$C$1369,0)),"",INDEX('Compliance Database'!$C$2:$C$1369,MATCH(1274,Engine!$C$2:$C$1369,0)))</f>
        <v/>
      </c>
      <c r="D1287" s="9">
        <f>IF(ISNA(MATCH(1274,Engine!$C$2:$C$1369,0)),"",INDEX('Compliance Database'!$D$2:$D$1369,MATCH(1274,Engine!$C$2:$C$1369,0)))</f>
        <v/>
      </c>
      <c r="E1287" s="8">
        <f>IF(ISNA(MATCH(1274,Engine!$C$2:$C$1369,0)),"",INDEX('Compliance Database'!$E$2:$E$1369,MATCH(1274,Engine!$C$2:$C$1369,0)))</f>
        <v/>
      </c>
      <c r="F1287" s="8">
        <f>IF(ISNA(MATCH(1274,Engine!$C$2:$C$1369,0)),"",INDEX('Compliance Database'!$F$2:$F$1369,MATCH(1274,Engine!$C$2:$C$1369,0)))</f>
        <v/>
      </c>
      <c r="G1287" s="8">
        <f>IF(ISNA(MATCH(1274,Engine!$C$2:$C$1369,0)),"",INDEX('Compliance Database'!$G$2:$G$1369,MATCH(1274,Engine!$C$2:$C$1369,0)))</f>
        <v/>
      </c>
      <c r="H1287" s="9">
        <f>IF(ISNA(MATCH(1274,Engine!$C$2:$C$1369,0)),"",INDEX('Compliance Database'!$H$2:$H$1369,MATCH(1274,Engine!$C$2:$C$1369,0)))</f>
        <v/>
      </c>
      <c r="I1287" s="9">
        <f>IF(ISNA(MATCH(1274,Engine!$C$2:$C$1369,0)),"",INDEX('Compliance Database'!$I$2:$I$1369,MATCH(1274,Engine!$C$2:$C$1369,0)))</f>
        <v/>
      </c>
      <c r="J1287" s="8">
        <f>IF(ISNA(MATCH(1274,Engine!$C$2:$C$1369,0)),"",INDEX('Compliance Database'!$J$2:$J$1369,MATCH(1274,Engine!$C$2:$C$1369,0)))</f>
        <v/>
      </c>
      <c r="K1287" s="9">
        <f>IF(ISNA(MATCH(1274,Engine!$C$2:$C$1369,0)),"",INDEX('Compliance Database'!$K$2:$K$1369,MATCH(1274,Engine!$C$2:$C$1369,0)))</f>
        <v/>
      </c>
      <c r="L1287" s="9">
        <f>IF(ISNA(MATCH(1274,Engine!$C$2:$C$1369,0)),"",INDEX('Compliance Database'!$L$2:$L$1369,MATCH(1274,Engine!$C$2:$C$1369,0)))</f>
        <v/>
      </c>
      <c r="M1287" s="9">
        <f>IF(ISNA(MATCH(1274,Engine!$C$2:$C$1369,0)),"",INDEX('Compliance Database'!$M$2:$M$1369,MATCH(1274,Engine!$C$2:$C$1369,0)))</f>
        <v/>
      </c>
      <c r="N1287" s="9">
        <f>IF(ISNA(MATCH(1274,Engine!$C$2:$C$1369,0)),"",INDEX('Compliance Database'!$N$2:$N$1369,MATCH(1274,Engine!$C$2:$C$1369,0)))</f>
        <v/>
      </c>
      <c r="O1287" s="8">
        <f>IF(ISNA(MATCH(1274,Engine!$C$2:$C$1369,0)),"",HYPERLINK(INDEX('Compliance Database'!$O$2:$O$1369,MATCH(1274,Engine!$C$2:$C$1369,0)),"Open PDF"))</f>
        <v/>
      </c>
    </row>
    <row r="1288" ht="188" customHeight="1">
      <c r="A1288" s="8">
        <f>IF(ISNA(MATCH(1275,Engine!$C$2:$C$1369,0)),"",INDEX('Compliance Database'!$A$2:$A$1369,MATCH(1275,Engine!$C$2:$C$1369,0)))</f>
        <v/>
      </c>
      <c r="B1288" s="8">
        <f>IF(ISNA(MATCH(1275,Engine!$C$2:$C$1369,0)),"",INDEX('Compliance Database'!$B$2:$B$1369,MATCH(1275,Engine!$C$2:$C$1369,0)))</f>
        <v/>
      </c>
      <c r="C1288" s="8">
        <f>IF(ISNA(MATCH(1275,Engine!$C$2:$C$1369,0)),"",INDEX('Compliance Database'!$C$2:$C$1369,MATCH(1275,Engine!$C$2:$C$1369,0)))</f>
        <v/>
      </c>
      <c r="D1288" s="9">
        <f>IF(ISNA(MATCH(1275,Engine!$C$2:$C$1369,0)),"",INDEX('Compliance Database'!$D$2:$D$1369,MATCH(1275,Engine!$C$2:$C$1369,0)))</f>
        <v/>
      </c>
      <c r="E1288" s="8">
        <f>IF(ISNA(MATCH(1275,Engine!$C$2:$C$1369,0)),"",INDEX('Compliance Database'!$E$2:$E$1369,MATCH(1275,Engine!$C$2:$C$1369,0)))</f>
        <v/>
      </c>
      <c r="F1288" s="8">
        <f>IF(ISNA(MATCH(1275,Engine!$C$2:$C$1369,0)),"",INDEX('Compliance Database'!$F$2:$F$1369,MATCH(1275,Engine!$C$2:$C$1369,0)))</f>
        <v/>
      </c>
      <c r="G1288" s="8">
        <f>IF(ISNA(MATCH(1275,Engine!$C$2:$C$1369,0)),"",INDEX('Compliance Database'!$G$2:$G$1369,MATCH(1275,Engine!$C$2:$C$1369,0)))</f>
        <v/>
      </c>
      <c r="H1288" s="9">
        <f>IF(ISNA(MATCH(1275,Engine!$C$2:$C$1369,0)),"",INDEX('Compliance Database'!$H$2:$H$1369,MATCH(1275,Engine!$C$2:$C$1369,0)))</f>
        <v/>
      </c>
      <c r="I1288" s="9">
        <f>IF(ISNA(MATCH(1275,Engine!$C$2:$C$1369,0)),"",INDEX('Compliance Database'!$I$2:$I$1369,MATCH(1275,Engine!$C$2:$C$1369,0)))</f>
        <v/>
      </c>
      <c r="J1288" s="8">
        <f>IF(ISNA(MATCH(1275,Engine!$C$2:$C$1369,0)),"",INDEX('Compliance Database'!$J$2:$J$1369,MATCH(1275,Engine!$C$2:$C$1369,0)))</f>
        <v/>
      </c>
      <c r="K1288" s="9">
        <f>IF(ISNA(MATCH(1275,Engine!$C$2:$C$1369,0)),"",INDEX('Compliance Database'!$K$2:$K$1369,MATCH(1275,Engine!$C$2:$C$1369,0)))</f>
        <v/>
      </c>
      <c r="L1288" s="9">
        <f>IF(ISNA(MATCH(1275,Engine!$C$2:$C$1369,0)),"",INDEX('Compliance Database'!$L$2:$L$1369,MATCH(1275,Engine!$C$2:$C$1369,0)))</f>
        <v/>
      </c>
      <c r="M1288" s="9">
        <f>IF(ISNA(MATCH(1275,Engine!$C$2:$C$1369,0)),"",INDEX('Compliance Database'!$M$2:$M$1369,MATCH(1275,Engine!$C$2:$C$1369,0)))</f>
        <v/>
      </c>
      <c r="N1288" s="9">
        <f>IF(ISNA(MATCH(1275,Engine!$C$2:$C$1369,0)),"",INDEX('Compliance Database'!$N$2:$N$1369,MATCH(1275,Engine!$C$2:$C$1369,0)))</f>
        <v/>
      </c>
      <c r="O1288" s="8">
        <f>IF(ISNA(MATCH(1275,Engine!$C$2:$C$1369,0)),"",HYPERLINK(INDEX('Compliance Database'!$O$2:$O$1369,MATCH(1275,Engine!$C$2:$C$1369,0)),"Open PDF"))</f>
        <v/>
      </c>
    </row>
    <row r="1289" ht="188" customHeight="1">
      <c r="A1289" s="8">
        <f>IF(ISNA(MATCH(1276,Engine!$C$2:$C$1369,0)),"",INDEX('Compliance Database'!$A$2:$A$1369,MATCH(1276,Engine!$C$2:$C$1369,0)))</f>
        <v/>
      </c>
      <c r="B1289" s="8">
        <f>IF(ISNA(MATCH(1276,Engine!$C$2:$C$1369,0)),"",INDEX('Compliance Database'!$B$2:$B$1369,MATCH(1276,Engine!$C$2:$C$1369,0)))</f>
        <v/>
      </c>
      <c r="C1289" s="8">
        <f>IF(ISNA(MATCH(1276,Engine!$C$2:$C$1369,0)),"",INDEX('Compliance Database'!$C$2:$C$1369,MATCH(1276,Engine!$C$2:$C$1369,0)))</f>
        <v/>
      </c>
      <c r="D1289" s="9">
        <f>IF(ISNA(MATCH(1276,Engine!$C$2:$C$1369,0)),"",INDEX('Compliance Database'!$D$2:$D$1369,MATCH(1276,Engine!$C$2:$C$1369,0)))</f>
        <v/>
      </c>
      <c r="E1289" s="8">
        <f>IF(ISNA(MATCH(1276,Engine!$C$2:$C$1369,0)),"",INDEX('Compliance Database'!$E$2:$E$1369,MATCH(1276,Engine!$C$2:$C$1369,0)))</f>
        <v/>
      </c>
      <c r="F1289" s="8">
        <f>IF(ISNA(MATCH(1276,Engine!$C$2:$C$1369,0)),"",INDEX('Compliance Database'!$F$2:$F$1369,MATCH(1276,Engine!$C$2:$C$1369,0)))</f>
        <v/>
      </c>
      <c r="G1289" s="8">
        <f>IF(ISNA(MATCH(1276,Engine!$C$2:$C$1369,0)),"",INDEX('Compliance Database'!$G$2:$G$1369,MATCH(1276,Engine!$C$2:$C$1369,0)))</f>
        <v/>
      </c>
      <c r="H1289" s="9">
        <f>IF(ISNA(MATCH(1276,Engine!$C$2:$C$1369,0)),"",INDEX('Compliance Database'!$H$2:$H$1369,MATCH(1276,Engine!$C$2:$C$1369,0)))</f>
        <v/>
      </c>
      <c r="I1289" s="9">
        <f>IF(ISNA(MATCH(1276,Engine!$C$2:$C$1369,0)),"",INDEX('Compliance Database'!$I$2:$I$1369,MATCH(1276,Engine!$C$2:$C$1369,0)))</f>
        <v/>
      </c>
      <c r="J1289" s="8">
        <f>IF(ISNA(MATCH(1276,Engine!$C$2:$C$1369,0)),"",INDEX('Compliance Database'!$J$2:$J$1369,MATCH(1276,Engine!$C$2:$C$1369,0)))</f>
        <v/>
      </c>
      <c r="K1289" s="9">
        <f>IF(ISNA(MATCH(1276,Engine!$C$2:$C$1369,0)),"",INDEX('Compliance Database'!$K$2:$K$1369,MATCH(1276,Engine!$C$2:$C$1369,0)))</f>
        <v/>
      </c>
      <c r="L1289" s="9">
        <f>IF(ISNA(MATCH(1276,Engine!$C$2:$C$1369,0)),"",INDEX('Compliance Database'!$L$2:$L$1369,MATCH(1276,Engine!$C$2:$C$1369,0)))</f>
        <v/>
      </c>
      <c r="M1289" s="9">
        <f>IF(ISNA(MATCH(1276,Engine!$C$2:$C$1369,0)),"",INDEX('Compliance Database'!$M$2:$M$1369,MATCH(1276,Engine!$C$2:$C$1369,0)))</f>
        <v/>
      </c>
      <c r="N1289" s="9">
        <f>IF(ISNA(MATCH(1276,Engine!$C$2:$C$1369,0)),"",INDEX('Compliance Database'!$N$2:$N$1369,MATCH(1276,Engine!$C$2:$C$1369,0)))</f>
        <v/>
      </c>
      <c r="O1289" s="8">
        <f>IF(ISNA(MATCH(1276,Engine!$C$2:$C$1369,0)),"",HYPERLINK(INDEX('Compliance Database'!$O$2:$O$1369,MATCH(1276,Engine!$C$2:$C$1369,0)),"Open PDF"))</f>
        <v/>
      </c>
    </row>
    <row r="1290" ht="188" customHeight="1">
      <c r="A1290" s="8">
        <f>IF(ISNA(MATCH(1277,Engine!$C$2:$C$1369,0)),"",INDEX('Compliance Database'!$A$2:$A$1369,MATCH(1277,Engine!$C$2:$C$1369,0)))</f>
        <v/>
      </c>
      <c r="B1290" s="8">
        <f>IF(ISNA(MATCH(1277,Engine!$C$2:$C$1369,0)),"",INDEX('Compliance Database'!$B$2:$B$1369,MATCH(1277,Engine!$C$2:$C$1369,0)))</f>
        <v/>
      </c>
      <c r="C1290" s="8">
        <f>IF(ISNA(MATCH(1277,Engine!$C$2:$C$1369,0)),"",INDEX('Compliance Database'!$C$2:$C$1369,MATCH(1277,Engine!$C$2:$C$1369,0)))</f>
        <v/>
      </c>
      <c r="D1290" s="9">
        <f>IF(ISNA(MATCH(1277,Engine!$C$2:$C$1369,0)),"",INDEX('Compliance Database'!$D$2:$D$1369,MATCH(1277,Engine!$C$2:$C$1369,0)))</f>
        <v/>
      </c>
      <c r="E1290" s="8">
        <f>IF(ISNA(MATCH(1277,Engine!$C$2:$C$1369,0)),"",INDEX('Compliance Database'!$E$2:$E$1369,MATCH(1277,Engine!$C$2:$C$1369,0)))</f>
        <v/>
      </c>
      <c r="F1290" s="8">
        <f>IF(ISNA(MATCH(1277,Engine!$C$2:$C$1369,0)),"",INDEX('Compliance Database'!$F$2:$F$1369,MATCH(1277,Engine!$C$2:$C$1369,0)))</f>
        <v/>
      </c>
      <c r="G1290" s="8">
        <f>IF(ISNA(MATCH(1277,Engine!$C$2:$C$1369,0)),"",INDEX('Compliance Database'!$G$2:$G$1369,MATCH(1277,Engine!$C$2:$C$1369,0)))</f>
        <v/>
      </c>
      <c r="H1290" s="9">
        <f>IF(ISNA(MATCH(1277,Engine!$C$2:$C$1369,0)),"",INDEX('Compliance Database'!$H$2:$H$1369,MATCH(1277,Engine!$C$2:$C$1369,0)))</f>
        <v/>
      </c>
      <c r="I1290" s="9">
        <f>IF(ISNA(MATCH(1277,Engine!$C$2:$C$1369,0)),"",INDEX('Compliance Database'!$I$2:$I$1369,MATCH(1277,Engine!$C$2:$C$1369,0)))</f>
        <v/>
      </c>
      <c r="J1290" s="8">
        <f>IF(ISNA(MATCH(1277,Engine!$C$2:$C$1369,0)),"",INDEX('Compliance Database'!$J$2:$J$1369,MATCH(1277,Engine!$C$2:$C$1369,0)))</f>
        <v/>
      </c>
      <c r="K1290" s="9">
        <f>IF(ISNA(MATCH(1277,Engine!$C$2:$C$1369,0)),"",INDEX('Compliance Database'!$K$2:$K$1369,MATCH(1277,Engine!$C$2:$C$1369,0)))</f>
        <v/>
      </c>
      <c r="L1290" s="9">
        <f>IF(ISNA(MATCH(1277,Engine!$C$2:$C$1369,0)),"",INDEX('Compliance Database'!$L$2:$L$1369,MATCH(1277,Engine!$C$2:$C$1369,0)))</f>
        <v/>
      </c>
      <c r="M1290" s="9">
        <f>IF(ISNA(MATCH(1277,Engine!$C$2:$C$1369,0)),"",INDEX('Compliance Database'!$M$2:$M$1369,MATCH(1277,Engine!$C$2:$C$1369,0)))</f>
        <v/>
      </c>
      <c r="N1290" s="9">
        <f>IF(ISNA(MATCH(1277,Engine!$C$2:$C$1369,0)),"",INDEX('Compliance Database'!$N$2:$N$1369,MATCH(1277,Engine!$C$2:$C$1369,0)))</f>
        <v/>
      </c>
      <c r="O1290" s="8">
        <f>IF(ISNA(MATCH(1277,Engine!$C$2:$C$1369,0)),"",HYPERLINK(INDEX('Compliance Database'!$O$2:$O$1369,MATCH(1277,Engine!$C$2:$C$1369,0)),"Open PDF"))</f>
        <v/>
      </c>
    </row>
    <row r="1291" ht="188" customHeight="1">
      <c r="A1291" s="8">
        <f>IF(ISNA(MATCH(1278,Engine!$C$2:$C$1369,0)),"",INDEX('Compliance Database'!$A$2:$A$1369,MATCH(1278,Engine!$C$2:$C$1369,0)))</f>
        <v/>
      </c>
      <c r="B1291" s="8">
        <f>IF(ISNA(MATCH(1278,Engine!$C$2:$C$1369,0)),"",INDEX('Compliance Database'!$B$2:$B$1369,MATCH(1278,Engine!$C$2:$C$1369,0)))</f>
        <v/>
      </c>
      <c r="C1291" s="8">
        <f>IF(ISNA(MATCH(1278,Engine!$C$2:$C$1369,0)),"",INDEX('Compliance Database'!$C$2:$C$1369,MATCH(1278,Engine!$C$2:$C$1369,0)))</f>
        <v/>
      </c>
      <c r="D1291" s="9">
        <f>IF(ISNA(MATCH(1278,Engine!$C$2:$C$1369,0)),"",INDEX('Compliance Database'!$D$2:$D$1369,MATCH(1278,Engine!$C$2:$C$1369,0)))</f>
        <v/>
      </c>
      <c r="E1291" s="8">
        <f>IF(ISNA(MATCH(1278,Engine!$C$2:$C$1369,0)),"",INDEX('Compliance Database'!$E$2:$E$1369,MATCH(1278,Engine!$C$2:$C$1369,0)))</f>
        <v/>
      </c>
      <c r="F1291" s="8">
        <f>IF(ISNA(MATCH(1278,Engine!$C$2:$C$1369,0)),"",INDEX('Compliance Database'!$F$2:$F$1369,MATCH(1278,Engine!$C$2:$C$1369,0)))</f>
        <v/>
      </c>
      <c r="G1291" s="8">
        <f>IF(ISNA(MATCH(1278,Engine!$C$2:$C$1369,0)),"",INDEX('Compliance Database'!$G$2:$G$1369,MATCH(1278,Engine!$C$2:$C$1369,0)))</f>
        <v/>
      </c>
      <c r="H1291" s="9">
        <f>IF(ISNA(MATCH(1278,Engine!$C$2:$C$1369,0)),"",INDEX('Compliance Database'!$H$2:$H$1369,MATCH(1278,Engine!$C$2:$C$1369,0)))</f>
        <v/>
      </c>
      <c r="I1291" s="9">
        <f>IF(ISNA(MATCH(1278,Engine!$C$2:$C$1369,0)),"",INDEX('Compliance Database'!$I$2:$I$1369,MATCH(1278,Engine!$C$2:$C$1369,0)))</f>
        <v/>
      </c>
      <c r="J1291" s="8">
        <f>IF(ISNA(MATCH(1278,Engine!$C$2:$C$1369,0)),"",INDEX('Compliance Database'!$J$2:$J$1369,MATCH(1278,Engine!$C$2:$C$1369,0)))</f>
        <v/>
      </c>
      <c r="K1291" s="9">
        <f>IF(ISNA(MATCH(1278,Engine!$C$2:$C$1369,0)),"",INDEX('Compliance Database'!$K$2:$K$1369,MATCH(1278,Engine!$C$2:$C$1369,0)))</f>
        <v/>
      </c>
      <c r="L1291" s="9">
        <f>IF(ISNA(MATCH(1278,Engine!$C$2:$C$1369,0)),"",INDEX('Compliance Database'!$L$2:$L$1369,MATCH(1278,Engine!$C$2:$C$1369,0)))</f>
        <v/>
      </c>
      <c r="M1291" s="9">
        <f>IF(ISNA(MATCH(1278,Engine!$C$2:$C$1369,0)),"",INDEX('Compliance Database'!$M$2:$M$1369,MATCH(1278,Engine!$C$2:$C$1369,0)))</f>
        <v/>
      </c>
      <c r="N1291" s="9">
        <f>IF(ISNA(MATCH(1278,Engine!$C$2:$C$1369,0)),"",INDEX('Compliance Database'!$N$2:$N$1369,MATCH(1278,Engine!$C$2:$C$1369,0)))</f>
        <v/>
      </c>
      <c r="O1291" s="8">
        <f>IF(ISNA(MATCH(1278,Engine!$C$2:$C$1369,0)),"",HYPERLINK(INDEX('Compliance Database'!$O$2:$O$1369,MATCH(1278,Engine!$C$2:$C$1369,0)),"Open PDF"))</f>
        <v/>
      </c>
    </row>
    <row r="1292" ht="188" customHeight="1">
      <c r="A1292" s="8">
        <f>IF(ISNA(MATCH(1279,Engine!$C$2:$C$1369,0)),"",INDEX('Compliance Database'!$A$2:$A$1369,MATCH(1279,Engine!$C$2:$C$1369,0)))</f>
        <v/>
      </c>
      <c r="B1292" s="8">
        <f>IF(ISNA(MATCH(1279,Engine!$C$2:$C$1369,0)),"",INDEX('Compliance Database'!$B$2:$B$1369,MATCH(1279,Engine!$C$2:$C$1369,0)))</f>
        <v/>
      </c>
      <c r="C1292" s="8">
        <f>IF(ISNA(MATCH(1279,Engine!$C$2:$C$1369,0)),"",INDEX('Compliance Database'!$C$2:$C$1369,MATCH(1279,Engine!$C$2:$C$1369,0)))</f>
        <v/>
      </c>
      <c r="D1292" s="9">
        <f>IF(ISNA(MATCH(1279,Engine!$C$2:$C$1369,0)),"",INDEX('Compliance Database'!$D$2:$D$1369,MATCH(1279,Engine!$C$2:$C$1369,0)))</f>
        <v/>
      </c>
      <c r="E1292" s="8">
        <f>IF(ISNA(MATCH(1279,Engine!$C$2:$C$1369,0)),"",INDEX('Compliance Database'!$E$2:$E$1369,MATCH(1279,Engine!$C$2:$C$1369,0)))</f>
        <v/>
      </c>
      <c r="F1292" s="8">
        <f>IF(ISNA(MATCH(1279,Engine!$C$2:$C$1369,0)),"",INDEX('Compliance Database'!$F$2:$F$1369,MATCH(1279,Engine!$C$2:$C$1369,0)))</f>
        <v/>
      </c>
      <c r="G1292" s="8">
        <f>IF(ISNA(MATCH(1279,Engine!$C$2:$C$1369,0)),"",INDEX('Compliance Database'!$G$2:$G$1369,MATCH(1279,Engine!$C$2:$C$1369,0)))</f>
        <v/>
      </c>
      <c r="H1292" s="9">
        <f>IF(ISNA(MATCH(1279,Engine!$C$2:$C$1369,0)),"",INDEX('Compliance Database'!$H$2:$H$1369,MATCH(1279,Engine!$C$2:$C$1369,0)))</f>
        <v/>
      </c>
      <c r="I1292" s="9">
        <f>IF(ISNA(MATCH(1279,Engine!$C$2:$C$1369,0)),"",INDEX('Compliance Database'!$I$2:$I$1369,MATCH(1279,Engine!$C$2:$C$1369,0)))</f>
        <v/>
      </c>
      <c r="J1292" s="8">
        <f>IF(ISNA(MATCH(1279,Engine!$C$2:$C$1369,0)),"",INDEX('Compliance Database'!$J$2:$J$1369,MATCH(1279,Engine!$C$2:$C$1369,0)))</f>
        <v/>
      </c>
      <c r="K1292" s="9">
        <f>IF(ISNA(MATCH(1279,Engine!$C$2:$C$1369,0)),"",INDEX('Compliance Database'!$K$2:$K$1369,MATCH(1279,Engine!$C$2:$C$1369,0)))</f>
        <v/>
      </c>
      <c r="L1292" s="9">
        <f>IF(ISNA(MATCH(1279,Engine!$C$2:$C$1369,0)),"",INDEX('Compliance Database'!$L$2:$L$1369,MATCH(1279,Engine!$C$2:$C$1369,0)))</f>
        <v/>
      </c>
      <c r="M1292" s="9">
        <f>IF(ISNA(MATCH(1279,Engine!$C$2:$C$1369,0)),"",INDEX('Compliance Database'!$M$2:$M$1369,MATCH(1279,Engine!$C$2:$C$1369,0)))</f>
        <v/>
      </c>
      <c r="N1292" s="9">
        <f>IF(ISNA(MATCH(1279,Engine!$C$2:$C$1369,0)),"",INDEX('Compliance Database'!$N$2:$N$1369,MATCH(1279,Engine!$C$2:$C$1369,0)))</f>
        <v/>
      </c>
      <c r="O1292" s="8">
        <f>IF(ISNA(MATCH(1279,Engine!$C$2:$C$1369,0)),"",HYPERLINK(INDEX('Compliance Database'!$O$2:$O$1369,MATCH(1279,Engine!$C$2:$C$1369,0)),"Open PDF"))</f>
        <v/>
      </c>
    </row>
    <row r="1293" ht="188" customHeight="1">
      <c r="A1293" s="8">
        <f>IF(ISNA(MATCH(1280,Engine!$C$2:$C$1369,0)),"",INDEX('Compliance Database'!$A$2:$A$1369,MATCH(1280,Engine!$C$2:$C$1369,0)))</f>
        <v/>
      </c>
      <c r="B1293" s="8">
        <f>IF(ISNA(MATCH(1280,Engine!$C$2:$C$1369,0)),"",INDEX('Compliance Database'!$B$2:$B$1369,MATCH(1280,Engine!$C$2:$C$1369,0)))</f>
        <v/>
      </c>
      <c r="C1293" s="8">
        <f>IF(ISNA(MATCH(1280,Engine!$C$2:$C$1369,0)),"",INDEX('Compliance Database'!$C$2:$C$1369,MATCH(1280,Engine!$C$2:$C$1369,0)))</f>
        <v/>
      </c>
      <c r="D1293" s="9">
        <f>IF(ISNA(MATCH(1280,Engine!$C$2:$C$1369,0)),"",INDEX('Compliance Database'!$D$2:$D$1369,MATCH(1280,Engine!$C$2:$C$1369,0)))</f>
        <v/>
      </c>
      <c r="E1293" s="8">
        <f>IF(ISNA(MATCH(1280,Engine!$C$2:$C$1369,0)),"",INDEX('Compliance Database'!$E$2:$E$1369,MATCH(1280,Engine!$C$2:$C$1369,0)))</f>
        <v/>
      </c>
      <c r="F1293" s="8">
        <f>IF(ISNA(MATCH(1280,Engine!$C$2:$C$1369,0)),"",INDEX('Compliance Database'!$F$2:$F$1369,MATCH(1280,Engine!$C$2:$C$1369,0)))</f>
        <v/>
      </c>
      <c r="G1293" s="8">
        <f>IF(ISNA(MATCH(1280,Engine!$C$2:$C$1369,0)),"",INDEX('Compliance Database'!$G$2:$G$1369,MATCH(1280,Engine!$C$2:$C$1369,0)))</f>
        <v/>
      </c>
      <c r="H1293" s="9">
        <f>IF(ISNA(MATCH(1280,Engine!$C$2:$C$1369,0)),"",INDEX('Compliance Database'!$H$2:$H$1369,MATCH(1280,Engine!$C$2:$C$1369,0)))</f>
        <v/>
      </c>
      <c r="I1293" s="9">
        <f>IF(ISNA(MATCH(1280,Engine!$C$2:$C$1369,0)),"",INDEX('Compliance Database'!$I$2:$I$1369,MATCH(1280,Engine!$C$2:$C$1369,0)))</f>
        <v/>
      </c>
      <c r="J1293" s="8">
        <f>IF(ISNA(MATCH(1280,Engine!$C$2:$C$1369,0)),"",INDEX('Compliance Database'!$J$2:$J$1369,MATCH(1280,Engine!$C$2:$C$1369,0)))</f>
        <v/>
      </c>
      <c r="K1293" s="9">
        <f>IF(ISNA(MATCH(1280,Engine!$C$2:$C$1369,0)),"",INDEX('Compliance Database'!$K$2:$K$1369,MATCH(1280,Engine!$C$2:$C$1369,0)))</f>
        <v/>
      </c>
      <c r="L1293" s="9">
        <f>IF(ISNA(MATCH(1280,Engine!$C$2:$C$1369,0)),"",INDEX('Compliance Database'!$L$2:$L$1369,MATCH(1280,Engine!$C$2:$C$1369,0)))</f>
        <v/>
      </c>
      <c r="M1293" s="9">
        <f>IF(ISNA(MATCH(1280,Engine!$C$2:$C$1369,0)),"",INDEX('Compliance Database'!$M$2:$M$1369,MATCH(1280,Engine!$C$2:$C$1369,0)))</f>
        <v/>
      </c>
      <c r="N1293" s="9">
        <f>IF(ISNA(MATCH(1280,Engine!$C$2:$C$1369,0)),"",INDEX('Compliance Database'!$N$2:$N$1369,MATCH(1280,Engine!$C$2:$C$1369,0)))</f>
        <v/>
      </c>
      <c r="O1293" s="8">
        <f>IF(ISNA(MATCH(1280,Engine!$C$2:$C$1369,0)),"",HYPERLINK(INDEX('Compliance Database'!$O$2:$O$1369,MATCH(1280,Engine!$C$2:$C$1369,0)),"Open PDF"))</f>
        <v/>
      </c>
    </row>
    <row r="1294" ht="188" customHeight="1">
      <c r="A1294" s="8">
        <f>IF(ISNA(MATCH(1281,Engine!$C$2:$C$1369,0)),"",INDEX('Compliance Database'!$A$2:$A$1369,MATCH(1281,Engine!$C$2:$C$1369,0)))</f>
        <v/>
      </c>
      <c r="B1294" s="8">
        <f>IF(ISNA(MATCH(1281,Engine!$C$2:$C$1369,0)),"",INDEX('Compliance Database'!$B$2:$B$1369,MATCH(1281,Engine!$C$2:$C$1369,0)))</f>
        <v/>
      </c>
      <c r="C1294" s="8">
        <f>IF(ISNA(MATCH(1281,Engine!$C$2:$C$1369,0)),"",INDEX('Compliance Database'!$C$2:$C$1369,MATCH(1281,Engine!$C$2:$C$1369,0)))</f>
        <v/>
      </c>
      <c r="D1294" s="9">
        <f>IF(ISNA(MATCH(1281,Engine!$C$2:$C$1369,0)),"",INDEX('Compliance Database'!$D$2:$D$1369,MATCH(1281,Engine!$C$2:$C$1369,0)))</f>
        <v/>
      </c>
      <c r="E1294" s="8">
        <f>IF(ISNA(MATCH(1281,Engine!$C$2:$C$1369,0)),"",INDEX('Compliance Database'!$E$2:$E$1369,MATCH(1281,Engine!$C$2:$C$1369,0)))</f>
        <v/>
      </c>
      <c r="F1294" s="8">
        <f>IF(ISNA(MATCH(1281,Engine!$C$2:$C$1369,0)),"",INDEX('Compliance Database'!$F$2:$F$1369,MATCH(1281,Engine!$C$2:$C$1369,0)))</f>
        <v/>
      </c>
      <c r="G1294" s="8">
        <f>IF(ISNA(MATCH(1281,Engine!$C$2:$C$1369,0)),"",INDEX('Compliance Database'!$G$2:$G$1369,MATCH(1281,Engine!$C$2:$C$1369,0)))</f>
        <v/>
      </c>
      <c r="H1294" s="9">
        <f>IF(ISNA(MATCH(1281,Engine!$C$2:$C$1369,0)),"",INDEX('Compliance Database'!$H$2:$H$1369,MATCH(1281,Engine!$C$2:$C$1369,0)))</f>
        <v/>
      </c>
      <c r="I1294" s="9">
        <f>IF(ISNA(MATCH(1281,Engine!$C$2:$C$1369,0)),"",INDEX('Compliance Database'!$I$2:$I$1369,MATCH(1281,Engine!$C$2:$C$1369,0)))</f>
        <v/>
      </c>
      <c r="J1294" s="8">
        <f>IF(ISNA(MATCH(1281,Engine!$C$2:$C$1369,0)),"",INDEX('Compliance Database'!$J$2:$J$1369,MATCH(1281,Engine!$C$2:$C$1369,0)))</f>
        <v/>
      </c>
      <c r="K1294" s="9">
        <f>IF(ISNA(MATCH(1281,Engine!$C$2:$C$1369,0)),"",INDEX('Compliance Database'!$K$2:$K$1369,MATCH(1281,Engine!$C$2:$C$1369,0)))</f>
        <v/>
      </c>
      <c r="L1294" s="9">
        <f>IF(ISNA(MATCH(1281,Engine!$C$2:$C$1369,0)),"",INDEX('Compliance Database'!$L$2:$L$1369,MATCH(1281,Engine!$C$2:$C$1369,0)))</f>
        <v/>
      </c>
      <c r="M1294" s="9">
        <f>IF(ISNA(MATCH(1281,Engine!$C$2:$C$1369,0)),"",INDEX('Compliance Database'!$M$2:$M$1369,MATCH(1281,Engine!$C$2:$C$1369,0)))</f>
        <v/>
      </c>
      <c r="N1294" s="9">
        <f>IF(ISNA(MATCH(1281,Engine!$C$2:$C$1369,0)),"",INDEX('Compliance Database'!$N$2:$N$1369,MATCH(1281,Engine!$C$2:$C$1369,0)))</f>
        <v/>
      </c>
      <c r="O1294" s="8">
        <f>IF(ISNA(MATCH(1281,Engine!$C$2:$C$1369,0)),"",HYPERLINK(INDEX('Compliance Database'!$O$2:$O$1369,MATCH(1281,Engine!$C$2:$C$1369,0)),"Open PDF"))</f>
        <v/>
      </c>
    </row>
    <row r="1295" ht="188" customHeight="1">
      <c r="A1295" s="8">
        <f>IF(ISNA(MATCH(1282,Engine!$C$2:$C$1369,0)),"",INDEX('Compliance Database'!$A$2:$A$1369,MATCH(1282,Engine!$C$2:$C$1369,0)))</f>
        <v/>
      </c>
      <c r="B1295" s="8">
        <f>IF(ISNA(MATCH(1282,Engine!$C$2:$C$1369,0)),"",INDEX('Compliance Database'!$B$2:$B$1369,MATCH(1282,Engine!$C$2:$C$1369,0)))</f>
        <v/>
      </c>
      <c r="C1295" s="8">
        <f>IF(ISNA(MATCH(1282,Engine!$C$2:$C$1369,0)),"",INDEX('Compliance Database'!$C$2:$C$1369,MATCH(1282,Engine!$C$2:$C$1369,0)))</f>
        <v/>
      </c>
      <c r="D1295" s="9">
        <f>IF(ISNA(MATCH(1282,Engine!$C$2:$C$1369,0)),"",INDEX('Compliance Database'!$D$2:$D$1369,MATCH(1282,Engine!$C$2:$C$1369,0)))</f>
        <v/>
      </c>
      <c r="E1295" s="8">
        <f>IF(ISNA(MATCH(1282,Engine!$C$2:$C$1369,0)),"",INDEX('Compliance Database'!$E$2:$E$1369,MATCH(1282,Engine!$C$2:$C$1369,0)))</f>
        <v/>
      </c>
      <c r="F1295" s="8">
        <f>IF(ISNA(MATCH(1282,Engine!$C$2:$C$1369,0)),"",INDEX('Compliance Database'!$F$2:$F$1369,MATCH(1282,Engine!$C$2:$C$1369,0)))</f>
        <v/>
      </c>
      <c r="G1295" s="8">
        <f>IF(ISNA(MATCH(1282,Engine!$C$2:$C$1369,0)),"",INDEX('Compliance Database'!$G$2:$G$1369,MATCH(1282,Engine!$C$2:$C$1369,0)))</f>
        <v/>
      </c>
      <c r="H1295" s="9">
        <f>IF(ISNA(MATCH(1282,Engine!$C$2:$C$1369,0)),"",INDEX('Compliance Database'!$H$2:$H$1369,MATCH(1282,Engine!$C$2:$C$1369,0)))</f>
        <v/>
      </c>
      <c r="I1295" s="9">
        <f>IF(ISNA(MATCH(1282,Engine!$C$2:$C$1369,0)),"",INDEX('Compliance Database'!$I$2:$I$1369,MATCH(1282,Engine!$C$2:$C$1369,0)))</f>
        <v/>
      </c>
      <c r="J1295" s="8">
        <f>IF(ISNA(MATCH(1282,Engine!$C$2:$C$1369,0)),"",INDEX('Compliance Database'!$J$2:$J$1369,MATCH(1282,Engine!$C$2:$C$1369,0)))</f>
        <v/>
      </c>
      <c r="K1295" s="9">
        <f>IF(ISNA(MATCH(1282,Engine!$C$2:$C$1369,0)),"",INDEX('Compliance Database'!$K$2:$K$1369,MATCH(1282,Engine!$C$2:$C$1369,0)))</f>
        <v/>
      </c>
      <c r="L1295" s="9">
        <f>IF(ISNA(MATCH(1282,Engine!$C$2:$C$1369,0)),"",INDEX('Compliance Database'!$L$2:$L$1369,MATCH(1282,Engine!$C$2:$C$1369,0)))</f>
        <v/>
      </c>
      <c r="M1295" s="9">
        <f>IF(ISNA(MATCH(1282,Engine!$C$2:$C$1369,0)),"",INDEX('Compliance Database'!$M$2:$M$1369,MATCH(1282,Engine!$C$2:$C$1369,0)))</f>
        <v/>
      </c>
      <c r="N1295" s="9">
        <f>IF(ISNA(MATCH(1282,Engine!$C$2:$C$1369,0)),"",INDEX('Compliance Database'!$N$2:$N$1369,MATCH(1282,Engine!$C$2:$C$1369,0)))</f>
        <v/>
      </c>
      <c r="O1295" s="8">
        <f>IF(ISNA(MATCH(1282,Engine!$C$2:$C$1369,0)),"",HYPERLINK(INDEX('Compliance Database'!$O$2:$O$1369,MATCH(1282,Engine!$C$2:$C$1369,0)),"Open PDF"))</f>
        <v/>
      </c>
    </row>
    <row r="1296" ht="188" customHeight="1">
      <c r="A1296" s="8">
        <f>IF(ISNA(MATCH(1283,Engine!$C$2:$C$1369,0)),"",INDEX('Compliance Database'!$A$2:$A$1369,MATCH(1283,Engine!$C$2:$C$1369,0)))</f>
        <v/>
      </c>
      <c r="B1296" s="8">
        <f>IF(ISNA(MATCH(1283,Engine!$C$2:$C$1369,0)),"",INDEX('Compliance Database'!$B$2:$B$1369,MATCH(1283,Engine!$C$2:$C$1369,0)))</f>
        <v/>
      </c>
      <c r="C1296" s="8">
        <f>IF(ISNA(MATCH(1283,Engine!$C$2:$C$1369,0)),"",INDEX('Compliance Database'!$C$2:$C$1369,MATCH(1283,Engine!$C$2:$C$1369,0)))</f>
        <v/>
      </c>
      <c r="D1296" s="9">
        <f>IF(ISNA(MATCH(1283,Engine!$C$2:$C$1369,0)),"",INDEX('Compliance Database'!$D$2:$D$1369,MATCH(1283,Engine!$C$2:$C$1369,0)))</f>
        <v/>
      </c>
      <c r="E1296" s="8">
        <f>IF(ISNA(MATCH(1283,Engine!$C$2:$C$1369,0)),"",INDEX('Compliance Database'!$E$2:$E$1369,MATCH(1283,Engine!$C$2:$C$1369,0)))</f>
        <v/>
      </c>
      <c r="F1296" s="8">
        <f>IF(ISNA(MATCH(1283,Engine!$C$2:$C$1369,0)),"",INDEX('Compliance Database'!$F$2:$F$1369,MATCH(1283,Engine!$C$2:$C$1369,0)))</f>
        <v/>
      </c>
      <c r="G1296" s="8">
        <f>IF(ISNA(MATCH(1283,Engine!$C$2:$C$1369,0)),"",INDEX('Compliance Database'!$G$2:$G$1369,MATCH(1283,Engine!$C$2:$C$1369,0)))</f>
        <v/>
      </c>
      <c r="H1296" s="9">
        <f>IF(ISNA(MATCH(1283,Engine!$C$2:$C$1369,0)),"",INDEX('Compliance Database'!$H$2:$H$1369,MATCH(1283,Engine!$C$2:$C$1369,0)))</f>
        <v/>
      </c>
      <c r="I1296" s="9">
        <f>IF(ISNA(MATCH(1283,Engine!$C$2:$C$1369,0)),"",INDEX('Compliance Database'!$I$2:$I$1369,MATCH(1283,Engine!$C$2:$C$1369,0)))</f>
        <v/>
      </c>
      <c r="J1296" s="8">
        <f>IF(ISNA(MATCH(1283,Engine!$C$2:$C$1369,0)),"",INDEX('Compliance Database'!$J$2:$J$1369,MATCH(1283,Engine!$C$2:$C$1369,0)))</f>
        <v/>
      </c>
      <c r="K1296" s="9">
        <f>IF(ISNA(MATCH(1283,Engine!$C$2:$C$1369,0)),"",INDEX('Compliance Database'!$K$2:$K$1369,MATCH(1283,Engine!$C$2:$C$1369,0)))</f>
        <v/>
      </c>
      <c r="L1296" s="9">
        <f>IF(ISNA(MATCH(1283,Engine!$C$2:$C$1369,0)),"",INDEX('Compliance Database'!$L$2:$L$1369,MATCH(1283,Engine!$C$2:$C$1369,0)))</f>
        <v/>
      </c>
      <c r="M1296" s="9">
        <f>IF(ISNA(MATCH(1283,Engine!$C$2:$C$1369,0)),"",INDEX('Compliance Database'!$M$2:$M$1369,MATCH(1283,Engine!$C$2:$C$1369,0)))</f>
        <v/>
      </c>
      <c r="N1296" s="9">
        <f>IF(ISNA(MATCH(1283,Engine!$C$2:$C$1369,0)),"",INDEX('Compliance Database'!$N$2:$N$1369,MATCH(1283,Engine!$C$2:$C$1369,0)))</f>
        <v/>
      </c>
      <c r="O1296" s="8">
        <f>IF(ISNA(MATCH(1283,Engine!$C$2:$C$1369,0)),"",HYPERLINK(INDEX('Compliance Database'!$O$2:$O$1369,MATCH(1283,Engine!$C$2:$C$1369,0)),"Open PDF"))</f>
        <v/>
      </c>
    </row>
    <row r="1297" ht="188" customHeight="1">
      <c r="A1297" s="8">
        <f>IF(ISNA(MATCH(1284,Engine!$C$2:$C$1369,0)),"",INDEX('Compliance Database'!$A$2:$A$1369,MATCH(1284,Engine!$C$2:$C$1369,0)))</f>
        <v/>
      </c>
      <c r="B1297" s="8">
        <f>IF(ISNA(MATCH(1284,Engine!$C$2:$C$1369,0)),"",INDEX('Compliance Database'!$B$2:$B$1369,MATCH(1284,Engine!$C$2:$C$1369,0)))</f>
        <v/>
      </c>
      <c r="C1297" s="8">
        <f>IF(ISNA(MATCH(1284,Engine!$C$2:$C$1369,0)),"",INDEX('Compliance Database'!$C$2:$C$1369,MATCH(1284,Engine!$C$2:$C$1369,0)))</f>
        <v/>
      </c>
      <c r="D1297" s="9">
        <f>IF(ISNA(MATCH(1284,Engine!$C$2:$C$1369,0)),"",INDEX('Compliance Database'!$D$2:$D$1369,MATCH(1284,Engine!$C$2:$C$1369,0)))</f>
        <v/>
      </c>
      <c r="E1297" s="8">
        <f>IF(ISNA(MATCH(1284,Engine!$C$2:$C$1369,0)),"",INDEX('Compliance Database'!$E$2:$E$1369,MATCH(1284,Engine!$C$2:$C$1369,0)))</f>
        <v/>
      </c>
      <c r="F1297" s="8">
        <f>IF(ISNA(MATCH(1284,Engine!$C$2:$C$1369,0)),"",INDEX('Compliance Database'!$F$2:$F$1369,MATCH(1284,Engine!$C$2:$C$1369,0)))</f>
        <v/>
      </c>
      <c r="G1297" s="8">
        <f>IF(ISNA(MATCH(1284,Engine!$C$2:$C$1369,0)),"",INDEX('Compliance Database'!$G$2:$G$1369,MATCH(1284,Engine!$C$2:$C$1369,0)))</f>
        <v/>
      </c>
      <c r="H1297" s="9">
        <f>IF(ISNA(MATCH(1284,Engine!$C$2:$C$1369,0)),"",INDEX('Compliance Database'!$H$2:$H$1369,MATCH(1284,Engine!$C$2:$C$1369,0)))</f>
        <v/>
      </c>
      <c r="I1297" s="9">
        <f>IF(ISNA(MATCH(1284,Engine!$C$2:$C$1369,0)),"",INDEX('Compliance Database'!$I$2:$I$1369,MATCH(1284,Engine!$C$2:$C$1369,0)))</f>
        <v/>
      </c>
      <c r="J1297" s="8">
        <f>IF(ISNA(MATCH(1284,Engine!$C$2:$C$1369,0)),"",INDEX('Compliance Database'!$J$2:$J$1369,MATCH(1284,Engine!$C$2:$C$1369,0)))</f>
        <v/>
      </c>
      <c r="K1297" s="9">
        <f>IF(ISNA(MATCH(1284,Engine!$C$2:$C$1369,0)),"",INDEX('Compliance Database'!$K$2:$K$1369,MATCH(1284,Engine!$C$2:$C$1369,0)))</f>
        <v/>
      </c>
      <c r="L1297" s="9">
        <f>IF(ISNA(MATCH(1284,Engine!$C$2:$C$1369,0)),"",INDEX('Compliance Database'!$L$2:$L$1369,MATCH(1284,Engine!$C$2:$C$1369,0)))</f>
        <v/>
      </c>
      <c r="M1297" s="9">
        <f>IF(ISNA(MATCH(1284,Engine!$C$2:$C$1369,0)),"",INDEX('Compliance Database'!$M$2:$M$1369,MATCH(1284,Engine!$C$2:$C$1369,0)))</f>
        <v/>
      </c>
      <c r="N1297" s="9">
        <f>IF(ISNA(MATCH(1284,Engine!$C$2:$C$1369,0)),"",INDEX('Compliance Database'!$N$2:$N$1369,MATCH(1284,Engine!$C$2:$C$1369,0)))</f>
        <v/>
      </c>
      <c r="O1297" s="8">
        <f>IF(ISNA(MATCH(1284,Engine!$C$2:$C$1369,0)),"",HYPERLINK(INDEX('Compliance Database'!$O$2:$O$1369,MATCH(1284,Engine!$C$2:$C$1369,0)),"Open PDF"))</f>
        <v/>
      </c>
    </row>
    <row r="1298" ht="188" customHeight="1">
      <c r="A1298" s="8">
        <f>IF(ISNA(MATCH(1285,Engine!$C$2:$C$1369,0)),"",INDEX('Compliance Database'!$A$2:$A$1369,MATCH(1285,Engine!$C$2:$C$1369,0)))</f>
        <v/>
      </c>
      <c r="B1298" s="8">
        <f>IF(ISNA(MATCH(1285,Engine!$C$2:$C$1369,0)),"",INDEX('Compliance Database'!$B$2:$B$1369,MATCH(1285,Engine!$C$2:$C$1369,0)))</f>
        <v/>
      </c>
      <c r="C1298" s="8">
        <f>IF(ISNA(MATCH(1285,Engine!$C$2:$C$1369,0)),"",INDEX('Compliance Database'!$C$2:$C$1369,MATCH(1285,Engine!$C$2:$C$1369,0)))</f>
        <v/>
      </c>
      <c r="D1298" s="9">
        <f>IF(ISNA(MATCH(1285,Engine!$C$2:$C$1369,0)),"",INDEX('Compliance Database'!$D$2:$D$1369,MATCH(1285,Engine!$C$2:$C$1369,0)))</f>
        <v/>
      </c>
      <c r="E1298" s="8">
        <f>IF(ISNA(MATCH(1285,Engine!$C$2:$C$1369,0)),"",INDEX('Compliance Database'!$E$2:$E$1369,MATCH(1285,Engine!$C$2:$C$1369,0)))</f>
        <v/>
      </c>
      <c r="F1298" s="8">
        <f>IF(ISNA(MATCH(1285,Engine!$C$2:$C$1369,0)),"",INDEX('Compliance Database'!$F$2:$F$1369,MATCH(1285,Engine!$C$2:$C$1369,0)))</f>
        <v/>
      </c>
      <c r="G1298" s="8">
        <f>IF(ISNA(MATCH(1285,Engine!$C$2:$C$1369,0)),"",INDEX('Compliance Database'!$G$2:$G$1369,MATCH(1285,Engine!$C$2:$C$1369,0)))</f>
        <v/>
      </c>
      <c r="H1298" s="9">
        <f>IF(ISNA(MATCH(1285,Engine!$C$2:$C$1369,0)),"",INDEX('Compliance Database'!$H$2:$H$1369,MATCH(1285,Engine!$C$2:$C$1369,0)))</f>
        <v/>
      </c>
      <c r="I1298" s="9">
        <f>IF(ISNA(MATCH(1285,Engine!$C$2:$C$1369,0)),"",INDEX('Compliance Database'!$I$2:$I$1369,MATCH(1285,Engine!$C$2:$C$1369,0)))</f>
        <v/>
      </c>
      <c r="J1298" s="8">
        <f>IF(ISNA(MATCH(1285,Engine!$C$2:$C$1369,0)),"",INDEX('Compliance Database'!$J$2:$J$1369,MATCH(1285,Engine!$C$2:$C$1369,0)))</f>
        <v/>
      </c>
      <c r="K1298" s="9">
        <f>IF(ISNA(MATCH(1285,Engine!$C$2:$C$1369,0)),"",INDEX('Compliance Database'!$K$2:$K$1369,MATCH(1285,Engine!$C$2:$C$1369,0)))</f>
        <v/>
      </c>
      <c r="L1298" s="9">
        <f>IF(ISNA(MATCH(1285,Engine!$C$2:$C$1369,0)),"",INDEX('Compliance Database'!$L$2:$L$1369,MATCH(1285,Engine!$C$2:$C$1369,0)))</f>
        <v/>
      </c>
      <c r="M1298" s="9">
        <f>IF(ISNA(MATCH(1285,Engine!$C$2:$C$1369,0)),"",INDEX('Compliance Database'!$M$2:$M$1369,MATCH(1285,Engine!$C$2:$C$1369,0)))</f>
        <v/>
      </c>
      <c r="N1298" s="9">
        <f>IF(ISNA(MATCH(1285,Engine!$C$2:$C$1369,0)),"",INDEX('Compliance Database'!$N$2:$N$1369,MATCH(1285,Engine!$C$2:$C$1369,0)))</f>
        <v/>
      </c>
      <c r="O1298" s="8">
        <f>IF(ISNA(MATCH(1285,Engine!$C$2:$C$1369,0)),"",HYPERLINK(INDEX('Compliance Database'!$O$2:$O$1369,MATCH(1285,Engine!$C$2:$C$1369,0)),"Open PDF"))</f>
        <v/>
      </c>
    </row>
    <row r="1299" ht="188" customHeight="1">
      <c r="A1299" s="8">
        <f>IF(ISNA(MATCH(1286,Engine!$C$2:$C$1369,0)),"",INDEX('Compliance Database'!$A$2:$A$1369,MATCH(1286,Engine!$C$2:$C$1369,0)))</f>
        <v/>
      </c>
      <c r="B1299" s="8">
        <f>IF(ISNA(MATCH(1286,Engine!$C$2:$C$1369,0)),"",INDEX('Compliance Database'!$B$2:$B$1369,MATCH(1286,Engine!$C$2:$C$1369,0)))</f>
        <v/>
      </c>
      <c r="C1299" s="8">
        <f>IF(ISNA(MATCH(1286,Engine!$C$2:$C$1369,0)),"",INDEX('Compliance Database'!$C$2:$C$1369,MATCH(1286,Engine!$C$2:$C$1369,0)))</f>
        <v/>
      </c>
      <c r="D1299" s="9">
        <f>IF(ISNA(MATCH(1286,Engine!$C$2:$C$1369,0)),"",INDEX('Compliance Database'!$D$2:$D$1369,MATCH(1286,Engine!$C$2:$C$1369,0)))</f>
        <v/>
      </c>
      <c r="E1299" s="8">
        <f>IF(ISNA(MATCH(1286,Engine!$C$2:$C$1369,0)),"",INDEX('Compliance Database'!$E$2:$E$1369,MATCH(1286,Engine!$C$2:$C$1369,0)))</f>
        <v/>
      </c>
      <c r="F1299" s="8">
        <f>IF(ISNA(MATCH(1286,Engine!$C$2:$C$1369,0)),"",INDEX('Compliance Database'!$F$2:$F$1369,MATCH(1286,Engine!$C$2:$C$1369,0)))</f>
        <v/>
      </c>
      <c r="G1299" s="8">
        <f>IF(ISNA(MATCH(1286,Engine!$C$2:$C$1369,0)),"",INDEX('Compliance Database'!$G$2:$G$1369,MATCH(1286,Engine!$C$2:$C$1369,0)))</f>
        <v/>
      </c>
      <c r="H1299" s="9">
        <f>IF(ISNA(MATCH(1286,Engine!$C$2:$C$1369,0)),"",INDEX('Compliance Database'!$H$2:$H$1369,MATCH(1286,Engine!$C$2:$C$1369,0)))</f>
        <v/>
      </c>
      <c r="I1299" s="9">
        <f>IF(ISNA(MATCH(1286,Engine!$C$2:$C$1369,0)),"",INDEX('Compliance Database'!$I$2:$I$1369,MATCH(1286,Engine!$C$2:$C$1369,0)))</f>
        <v/>
      </c>
      <c r="J1299" s="8">
        <f>IF(ISNA(MATCH(1286,Engine!$C$2:$C$1369,0)),"",INDEX('Compliance Database'!$J$2:$J$1369,MATCH(1286,Engine!$C$2:$C$1369,0)))</f>
        <v/>
      </c>
      <c r="K1299" s="9">
        <f>IF(ISNA(MATCH(1286,Engine!$C$2:$C$1369,0)),"",INDEX('Compliance Database'!$K$2:$K$1369,MATCH(1286,Engine!$C$2:$C$1369,0)))</f>
        <v/>
      </c>
      <c r="L1299" s="9">
        <f>IF(ISNA(MATCH(1286,Engine!$C$2:$C$1369,0)),"",INDEX('Compliance Database'!$L$2:$L$1369,MATCH(1286,Engine!$C$2:$C$1369,0)))</f>
        <v/>
      </c>
      <c r="M1299" s="9">
        <f>IF(ISNA(MATCH(1286,Engine!$C$2:$C$1369,0)),"",INDEX('Compliance Database'!$M$2:$M$1369,MATCH(1286,Engine!$C$2:$C$1369,0)))</f>
        <v/>
      </c>
      <c r="N1299" s="9">
        <f>IF(ISNA(MATCH(1286,Engine!$C$2:$C$1369,0)),"",INDEX('Compliance Database'!$N$2:$N$1369,MATCH(1286,Engine!$C$2:$C$1369,0)))</f>
        <v/>
      </c>
      <c r="O1299" s="8">
        <f>IF(ISNA(MATCH(1286,Engine!$C$2:$C$1369,0)),"",HYPERLINK(INDEX('Compliance Database'!$O$2:$O$1369,MATCH(1286,Engine!$C$2:$C$1369,0)),"Open PDF"))</f>
        <v/>
      </c>
    </row>
    <row r="1300" ht="188" customHeight="1">
      <c r="A1300" s="8">
        <f>IF(ISNA(MATCH(1287,Engine!$C$2:$C$1369,0)),"",INDEX('Compliance Database'!$A$2:$A$1369,MATCH(1287,Engine!$C$2:$C$1369,0)))</f>
        <v/>
      </c>
      <c r="B1300" s="8">
        <f>IF(ISNA(MATCH(1287,Engine!$C$2:$C$1369,0)),"",INDEX('Compliance Database'!$B$2:$B$1369,MATCH(1287,Engine!$C$2:$C$1369,0)))</f>
        <v/>
      </c>
      <c r="C1300" s="8">
        <f>IF(ISNA(MATCH(1287,Engine!$C$2:$C$1369,0)),"",INDEX('Compliance Database'!$C$2:$C$1369,MATCH(1287,Engine!$C$2:$C$1369,0)))</f>
        <v/>
      </c>
      <c r="D1300" s="9">
        <f>IF(ISNA(MATCH(1287,Engine!$C$2:$C$1369,0)),"",INDEX('Compliance Database'!$D$2:$D$1369,MATCH(1287,Engine!$C$2:$C$1369,0)))</f>
        <v/>
      </c>
      <c r="E1300" s="8">
        <f>IF(ISNA(MATCH(1287,Engine!$C$2:$C$1369,0)),"",INDEX('Compliance Database'!$E$2:$E$1369,MATCH(1287,Engine!$C$2:$C$1369,0)))</f>
        <v/>
      </c>
      <c r="F1300" s="8">
        <f>IF(ISNA(MATCH(1287,Engine!$C$2:$C$1369,0)),"",INDEX('Compliance Database'!$F$2:$F$1369,MATCH(1287,Engine!$C$2:$C$1369,0)))</f>
        <v/>
      </c>
      <c r="G1300" s="8">
        <f>IF(ISNA(MATCH(1287,Engine!$C$2:$C$1369,0)),"",INDEX('Compliance Database'!$G$2:$G$1369,MATCH(1287,Engine!$C$2:$C$1369,0)))</f>
        <v/>
      </c>
      <c r="H1300" s="9">
        <f>IF(ISNA(MATCH(1287,Engine!$C$2:$C$1369,0)),"",INDEX('Compliance Database'!$H$2:$H$1369,MATCH(1287,Engine!$C$2:$C$1369,0)))</f>
        <v/>
      </c>
      <c r="I1300" s="9">
        <f>IF(ISNA(MATCH(1287,Engine!$C$2:$C$1369,0)),"",INDEX('Compliance Database'!$I$2:$I$1369,MATCH(1287,Engine!$C$2:$C$1369,0)))</f>
        <v/>
      </c>
      <c r="J1300" s="8">
        <f>IF(ISNA(MATCH(1287,Engine!$C$2:$C$1369,0)),"",INDEX('Compliance Database'!$J$2:$J$1369,MATCH(1287,Engine!$C$2:$C$1369,0)))</f>
        <v/>
      </c>
      <c r="K1300" s="9">
        <f>IF(ISNA(MATCH(1287,Engine!$C$2:$C$1369,0)),"",INDEX('Compliance Database'!$K$2:$K$1369,MATCH(1287,Engine!$C$2:$C$1369,0)))</f>
        <v/>
      </c>
      <c r="L1300" s="9">
        <f>IF(ISNA(MATCH(1287,Engine!$C$2:$C$1369,0)),"",INDEX('Compliance Database'!$L$2:$L$1369,MATCH(1287,Engine!$C$2:$C$1369,0)))</f>
        <v/>
      </c>
      <c r="M1300" s="9">
        <f>IF(ISNA(MATCH(1287,Engine!$C$2:$C$1369,0)),"",INDEX('Compliance Database'!$M$2:$M$1369,MATCH(1287,Engine!$C$2:$C$1369,0)))</f>
        <v/>
      </c>
      <c r="N1300" s="9">
        <f>IF(ISNA(MATCH(1287,Engine!$C$2:$C$1369,0)),"",INDEX('Compliance Database'!$N$2:$N$1369,MATCH(1287,Engine!$C$2:$C$1369,0)))</f>
        <v/>
      </c>
      <c r="O1300" s="8">
        <f>IF(ISNA(MATCH(1287,Engine!$C$2:$C$1369,0)),"",HYPERLINK(INDEX('Compliance Database'!$O$2:$O$1369,MATCH(1287,Engine!$C$2:$C$1369,0)),"Open PDF"))</f>
        <v/>
      </c>
    </row>
    <row r="1301" ht="188" customHeight="1">
      <c r="A1301" s="8">
        <f>IF(ISNA(MATCH(1288,Engine!$C$2:$C$1369,0)),"",INDEX('Compliance Database'!$A$2:$A$1369,MATCH(1288,Engine!$C$2:$C$1369,0)))</f>
        <v/>
      </c>
      <c r="B1301" s="8">
        <f>IF(ISNA(MATCH(1288,Engine!$C$2:$C$1369,0)),"",INDEX('Compliance Database'!$B$2:$B$1369,MATCH(1288,Engine!$C$2:$C$1369,0)))</f>
        <v/>
      </c>
      <c r="C1301" s="8">
        <f>IF(ISNA(MATCH(1288,Engine!$C$2:$C$1369,0)),"",INDEX('Compliance Database'!$C$2:$C$1369,MATCH(1288,Engine!$C$2:$C$1369,0)))</f>
        <v/>
      </c>
      <c r="D1301" s="9">
        <f>IF(ISNA(MATCH(1288,Engine!$C$2:$C$1369,0)),"",INDEX('Compliance Database'!$D$2:$D$1369,MATCH(1288,Engine!$C$2:$C$1369,0)))</f>
        <v/>
      </c>
      <c r="E1301" s="8">
        <f>IF(ISNA(MATCH(1288,Engine!$C$2:$C$1369,0)),"",INDEX('Compliance Database'!$E$2:$E$1369,MATCH(1288,Engine!$C$2:$C$1369,0)))</f>
        <v/>
      </c>
      <c r="F1301" s="8">
        <f>IF(ISNA(MATCH(1288,Engine!$C$2:$C$1369,0)),"",INDEX('Compliance Database'!$F$2:$F$1369,MATCH(1288,Engine!$C$2:$C$1369,0)))</f>
        <v/>
      </c>
      <c r="G1301" s="8">
        <f>IF(ISNA(MATCH(1288,Engine!$C$2:$C$1369,0)),"",INDEX('Compliance Database'!$G$2:$G$1369,MATCH(1288,Engine!$C$2:$C$1369,0)))</f>
        <v/>
      </c>
      <c r="H1301" s="9">
        <f>IF(ISNA(MATCH(1288,Engine!$C$2:$C$1369,0)),"",INDEX('Compliance Database'!$H$2:$H$1369,MATCH(1288,Engine!$C$2:$C$1369,0)))</f>
        <v/>
      </c>
      <c r="I1301" s="9">
        <f>IF(ISNA(MATCH(1288,Engine!$C$2:$C$1369,0)),"",INDEX('Compliance Database'!$I$2:$I$1369,MATCH(1288,Engine!$C$2:$C$1369,0)))</f>
        <v/>
      </c>
      <c r="J1301" s="8">
        <f>IF(ISNA(MATCH(1288,Engine!$C$2:$C$1369,0)),"",INDEX('Compliance Database'!$J$2:$J$1369,MATCH(1288,Engine!$C$2:$C$1369,0)))</f>
        <v/>
      </c>
      <c r="K1301" s="9">
        <f>IF(ISNA(MATCH(1288,Engine!$C$2:$C$1369,0)),"",INDEX('Compliance Database'!$K$2:$K$1369,MATCH(1288,Engine!$C$2:$C$1369,0)))</f>
        <v/>
      </c>
      <c r="L1301" s="9">
        <f>IF(ISNA(MATCH(1288,Engine!$C$2:$C$1369,0)),"",INDEX('Compliance Database'!$L$2:$L$1369,MATCH(1288,Engine!$C$2:$C$1369,0)))</f>
        <v/>
      </c>
      <c r="M1301" s="9">
        <f>IF(ISNA(MATCH(1288,Engine!$C$2:$C$1369,0)),"",INDEX('Compliance Database'!$M$2:$M$1369,MATCH(1288,Engine!$C$2:$C$1369,0)))</f>
        <v/>
      </c>
      <c r="N1301" s="9">
        <f>IF(ISNA(MATCH(1288,Engine!$C$2:$C$1369,0)),"",INDEX('Compliance Database'!$N$2:$N$1369,MATCH(1288,Engine!$C$2:$C$1369,0)))</f>
        <v/>
      </c>
      <c r="O1301" s="8">
        <f>IF(ISNA(MATCH(1288,Engine!$C$2:$C$1369,0)),"",HYPERLINK(INDEX('Compliance Database'!$O$2:$O$1369,MATCH(1288,Engine!$C$2:$C$1369,0)),"Open PDF"))</f>
        <v/>
      </c>
    </row>
    <row r="1302" ht="188" customHeight="1">
      <c r="A1302" s="8">
        <f>IF(ISNA(MATCH(1289,Engine!$C$2:$C$1369,0)),"",INDEX('Compliance Database'!$A$2:$A$1369,MATCH(1289,Engine!$C$2:$C$1369,0)))</f>
        <v/>
      </c>
      <c r="B1302" s="8">
        <f>IF(ISNA(MATCH(1289,Engine!$C$2:$C$1369,0)),"",INDEX('Compliance Database'!$B$2:$B$1369,MATCH(1289,Engine!$C$2:$C$1369,0)))</f>
        <v/>
      </c>
      <c r="C1302" s="8">
        <f>IF(ISNA(MATCH(1289,Engine!$C$2:$C$1369,0)),"",INDEX('Compliance Database'!$C$2:$C$1369,MATCH(1289,Engine!$C$2:$C$1369,0)))</f>
        <v/>
      </c>
      <c r="D1302" s="9">
        <f>IF(ISNA(MATCH(1289,Engine!$C$2:$C$1369,0)),"",INDEX('Compliance Database'!$D$2:$D$1369,MATCH(1289,Engine!$C$2:$C$1369,0)))</f>
        <v/>
      </c>
      <c r="E1302" s="8">
        <f>IF(ISNA(MATCH(1289,Engine!$C$2:$C$1369,0)),"",INDEX('Compliance Database'!$E$2:$E$1369,MATCH(1289,Engine!$C$2:$C$1369,0)))</f>
        <v/>
      </c>
      <c r="F1302" s="8">
        <f>IF(ISNA(MATCH(1289,Engine!$C$2:$C$1369,0)),"",INDEX('Compliance Database'!$F$2:$F$1369,MATCH(1289,Engine!$C$2:$C$1369,0)))</f>
        <v/>
      </c>
      <c r="G1302" s="8">
        <f>IF(ISNA(MATCH(1289,Engine!$C$2:$C$1369,0)),"",INDEX('Compliance Database'!$G$2:$G$1369,MATCH(1289,Engine!$C$2:$C$1369,0)))</f>
        <v/>
      </c>
      <c r="H1302" s="9">
        <f>IF(ISNA(MATCH(1289,Engine!$C$2:$C$1369,0)),"",INDEX('Compliance Database'!$H$2:$H$1369,MATCH(1289,Engine!$C$2:$C$1369,0)))</f>
        <v/>
      </c>
      <c r="I1302" s="9">
        <f>IF(ISNA(MATCH(1289,Engine!$C$2:$C$1369,0)),"",INDEX('Compliance Database'!$I$2:$I$1369,MATCH(1289,Engine!$C$2:$C$1369,0)))</f>
        <v/>
      </c>
      <c r="J1302" s="8">
        <f>IF(ISNA(MATCH(1289,Engine!$C$2:$C$1369,0)),"",INDEX('Compliance Database'!$J$2:$J$1369,MATCH(1289,Engine!$C$2:$C$1369,0)))</f>
        <v/>
      </c>
      <c r="K1302" s="9">
        <f>IF(ISNA(MATCH(1289,Engine!$C$2:$C$1369,0)),"",INDEX('Compliance Database'!$K$2:$K$1369,MATCH(1289,Engine!$C$2:$C$1369,0)))</f>
        <v/>
      </c>
      <c r="L1302" s="9">
        <f>IF(ISNA(MATCH(1289,Engine!$C$2:$C$1369,0)),"",INDEX('Compliance Database'!$L$2:$L$1369,MATCH(1289,Engine!$C$2:$C$1369,0)))</f>
        <v/>
      </c>
      <c r="M1302" s="9">
        <f>IF(ISNA(MATCH(1289,Engine!$C$2:$C$1369,0)),"",INDEX('Compliance Database'!$M$2:$M$1369,MATCH(1289,Engine!$C$2:$C$1369,0)))</f>
        <v/>
      </c>
      <c r="N1302" s="9">
        <f>IF(ISNA(MATCH(1289,Engine!$C$2:$C$1369,0)),"",INDEX('Compliance Database'!$N$2:$N$1369,MATCH(1289,Engine!$C$2:$C$1369,0)))</f>
        <v/>
      </c>
      <c r="O1302" s="8">
        <f>IF(ISNA(MATCH(1289,Engine!$C$2:$C$1369,0)),"",HYPERLINK(INDEX('Compliance Database'!$O$2:$O$1369,MATCH(1289,Engine!$C$2:$C$1369,0)),"Open PDF"))</f>
        <v/>
      </c>
    </row>
    <row r="1303" ht="188" customHeight="1">
      <c r="A1303" s="8">
        <f>IF(ISNA(MATCH(1290,Engine!$C$2:$C$1369,0)),"",INDEX('Compliance Database'!$A$2:$A$1369,MATCH(1290,Engine!$C$2:$C$1369,0)))</f>
        <v/>
      </c>
      <c r="B1303" s="8">
        <f>IF(ISNA(MATCH(1290,Engine!$C$2:$C$1369,0)),"",INDEX('Compliance Database'!$B$2:$B$1369,MATCH(1290,Engine!$C$2:$C$1369,0)))</f>
        <v/>
      </c>
      <c r="C1303" s="8">
        <f>IF(ISNA(MATCH(1290,Engine!$C$2:$C$1369,0)),"",INDEX('Compliance Database'!$C$2:$C$1369,MATCH(1290,Engine!$C$2:$C$1369,0)))</f>
        <v/>
      </c>
      <c r="D1303" s="9">
        <f>IF(ISNA(MATCH(1290,Engine!$C$2:$C$1369,0)),"",INDEX('Compliance Database'!$D$2:$D$1369,MATCH(1290,Engine!$C$2:$C$1369,0)))</f>
        <v/>
      </c>
      <c r="E1303" s="8">
        <f>IF(ISNA(MATCH(1290,Engine!$C$2:$C$1369,0)),"",INDEX('Compliance Database'!$E$2:$E$1369,MATCH(1290,Engine!$C$2:$C$1369,0)))</f>
        <v/>
      </c>
      <c r="F1303" s="8">
        <f>IF(ISNA(MATCH(1290,Engine!$C$2:$C$1369,0)),"",INDEX('Compliance Database'!$F$2:$F$1369,MATCH(1290,Engine!$C$2:$C$1369,0)))</f>
        <v/>
      </c>
      <c r="G1303" s="8">
        <f>IF(ISNA(MATCH(1290,Engine!$C$2:$C$1369,0)),"",INDEX('Compliance Database'!$G$2:$G$1369,MATCH(1290,Engine!$C$2:$C$1369,0)))</f>
        <v/>
      </c>
      <c r="H1303" s="9">
        <f>IF(ISNA(MATCH(1290,Engine!$C$2:$C$1369,0)),"",INDEX('Compliance Database'!$H$2:$H$1369,MATCH(1290,Engine!$C$2:$C$1369,0)))</f>
        <v/>
      </c>
      <c r="I1303" s="9">
        <f>IF(ISNA(MATCH(1290,Engine!$C$2:$C$1369,0)),"",INDEX('Compliance Database'!$I$2:$I$1369,MATCH(1290,Engine!$C$2:$C$1369,0)))</f>
        <v/>
      </c>
      <c r="J1303" s="8">
        <f>IF(ISNA(MATCH(1290,Engine!$C$2:$C$1369,0)),"",INDEX('Compliance Database'!$J$2:$J$1369,MATCH(1290,Engine!$C$2:$C$1369,0)))</f>
        <v/>
      </c>
      <c r="K1303" s="9">
        <f>IF(ISNA(MATCH(1290,Engine!$C$2:$C$1369,0)),"",INDEX('Compliance Database'!$K$2:$K$1369,MATCH(1290,Engine!$C$2:$C$1369,0)))</f>
        <v/>
      </c>
      <c r="L1303" s="9">
        <f>IF(ISNA(MATCH(1290,Engine!$C$2:$C$1369,0)),"",INDEX('Compliance Database'!$L$2:$L$1369,MATCH(1290,Engine!$C$2:$C$1369,0)))</f>
        <v/>
      </c>
      <c r="M1303" s="9">
        <f>IF(ISNA(MATCH(1290,Engine!$C$2:$C$1369,0)),"",INDEX('Compliance Database'!$M$2:$M$1369,MATCH(1290,Engine!$C$2:$C$1369,0)))</f>
        <v/>
      </c>
      <c r="N1303" s="9">
        <f>IF(ISNA(MATCH(1290,Engine!$C$2:$C$1369,0)),"",INDEX('Compliance Database'!$N$2:$N$1369,MATCH(1290,Engine!$C$2:$C$1369,0)))</f>
        <v/>
      </c>
      <c r="O1303" s="8">
        <f>IF(ISNA(MATCH(1290,Engine!$C$2:$C$1369,0)),"",HYPERLINK(INDEX('Compliance Database'!$O$2:$O$1369,MATCH(1290,Engine!$C$2:$C$1369,0)),"Open PDF"))</f>
        <v/>
      </c>
    </row>
    <row r="1304" ht="188" customHeight="1">
      <c r="A1304" s="8">
        <f>IF(ISNA(MATCH(1291,Engine!$C$2:$C$1369,0)),"",INDEX('Compliance Database'!$A$2:$A$1369,MATCH(1291,Engine!$C$2:$C$1369,0)))</f>
        <v/>
      </c>
      <c r="B1304" s="8">
        <f>IF(ISNA(MATCH(1291,Engine!$C$2:$C$1369,0)),"",INDEX('Compliance Database'!$B$2:$B$1369,MATCH(1291,Engine!$C$2:$C$1369,0)))</f>
        <v/>
      </c>
      <c r="C1304" s="8">
        <f>IF(ISNA(MATCH(1291,Engine!$C$2:$C$1369,0)),"",INDEX('Compliance Database'!$C$2:$C$1369,MATCH(1291,Engine!$C$2:$C$1369,0)))</f>
        <v/>
      </c>
      <c r="D1304" s="9">
        <f>IF(ISNA(MATCH(1291,Engine!$C$2:$C$1369,0)),"",INDEX('Compliance Database'!$D$2:$D$1369,MATCH(1291,Engine!$C$2:$C$1369,0)))</f>
        <v/>
      </c>
      <c r="E1304" s="8">
        <f>IF(ISNA(MATCH(1291,Engine!$C$2:$C$1369,0)),"",INDEX('Compliance Database'!$E$2:$E$1369,MATCH(1291,Engine!$C$2:$C$1369,0)))</f>
        <v/>
      </c>
      <c r="F1304" s="8">
        <f>IF(ISNA(MATCH(1291,Engine!$C$2:$C$1369,0)),"",INDEX('Compliance Database'!$F$2:$F$1369,MATCH(1291,Engine!$C$2:$C$1369,0)))</f>
        <v/>
      </c>
      <c r="G1304" s="8">
        <f>IF(ISNA(MATCH(1291,Engine!$C$2:$C$1369,0)),"",INDEX('Compliance Database'!$G$2:$G$1369,MATCH(1291,Engine!$C$2:$C$1369,0)))</f>
        <v/>
      </c>
      <c r="H1304" s="9">
        <f>IF(ISNA(MATCH(1291,Engine!$C$2:$C$1369,0)),"",INDEX('Compliance Database'!$H$2:$H$1369,MATCH(1291,Engine!$C$2:$C$1369,0)))</f>
        <v/>
      </c>
      <c r="I1304" s="9">
        <f>IF(ISNA(MATCH(1291,Engine!$C$2:$C$1369,0)),"",INDEX('Compliance Database'!$I$2:$I$1369,MATCH(1291,Engine!$C$2:$C$1369,0)))</f>
        <v/>
      </c>
      <c r="J1304" s="8">
        <f>IF(ISNA(MATCH(1291,Engine!$C$2:$C$1369,0)),"",INDEX('Compliance Database'!$J$2:$J$1369,MATCH(1291,Engine!$C$2:$C$1369,0)))</f>
        <v/>
      </c>
      <c r="K1304" s="9">
        <f>IF(ISNA(MATCH(1291,Engine!$C$2:$C$1369,0)),"",INDEX('Compliance Database'!$K$2:$K$1369,MATCH(1291,Engine!$C$2:$C$1369,0)))</f>
        <v/>
      </c>
      <c r="L1304" s="9">
        <f>IF(ISNA(MATCH(1291,Engine!$C$2:$C$1369,0)),"",INDEX('Compliance Database'!$L$2:$L$1369,MATCH(1291,Engine!$C$2:$C$1369,0)))</f>
        <v/>
      </c>
      <c r="M1304" s="9">
        <f>IF(ISNA(MATCH(1291,Engine!$C$2:$C$1369,0)),"",INDEX('Compliance Database'!$M$2:$M$1369,MATCH(1291,Engine!$C$2:$C$1369,0)))</f>
        <v/>
      </c>
      <c r="N1304" s="9">
        <f>IF(ISNA(MATCH(1291,Engine!$C$2:$C$1369,0)),"",INDEX('Compliance Database'!$N$2:$N$1369,MATCH(1291,Engine!$C$2:$C$1369,0)))</f>
        <v/>
      </c>
      <c r="O1304" s="8">
        <f>IF(ISNA(MATCH(1291,Engine!$C$2:$C$1369,0)),"",HYPERLINK(INDEX('Compliance Database'!$O$2:$O$1369,MATCH(1291,Engine!$C$2:$C$1369,0)),"Open PDF"))</f>
        <v/>
      </c>
    </row>
    <row r="1305" ht="188" customHeight="1">
      <c r="A1305" s="8">
        <f>IF(ISNA(MATCH(1292,Engine!$C$2:$C$1369,0)),"",INDEX('Compliance Database'!$A$2:$A$1369,MATCH(1292,Engine!$C$2:$C$1369,0)))</f>
        <v/>
      </c>
      <c r="B1305" s="8">
        <f>IF(ISNA(MATCH(1292,Engine!$C$2:$C$1369,0)),"",INDEX('Compliance Database'!$B$2:$B$1369,MATCH(1292,Engine!$C$2:$C$1369,0)))</f>
        <v/>
      </c>
      <c r="C1305" s="8">
        <f>IF(ISNA(MATCH(1292,Engine!$C$2:$C$1369,0)),"",INDEX('Compliance Database'!$C$2:$C$1369,MATCH(1292,Engine!$C$2:$C$1369,0)))</f>
        <v/>
      </c>
      <c r="D1305" s="9">
        <f>IF(ISNA(MATCH(1292,Engine!$C$2:$C$1369,0)),"",INDEX('Compliance Database'!$D$2:$D$1369,MATCH(1292,Engine!$C$2:$C$1369,0)))</f>
        <v/>
      </c>
      <c r="E1305" s="8">
        <f>IF(ISNA(MATCH(1292,Engine!$C$2:$C$1369,0)),"",INDEX('Compliance Database'!$E$2:$E$1369,MATCH(1292,Engine!$C$2:$C$1369,0)))</f>
        <v/>
      </c>
      <c r="F1305" s="8">
        <f>IF(ISNA(MATCH(1292,Engine!$C$2:$C$1369,0)),"",INDEX('Compliance Database'!$F$2:$F$1369,MATCH(1292,Engine!$C$2:$C$1369,0)))</f>
        <v/>
      </c>
      <c r="G1305" s="8">
        <f>IF(ISNA(MATCH(1292,Engine!$C$2:$C$1369,0)),"",INDEX('Compliance Database'!$G$2:$G$1369,MATCH(1292,Engine!$C$2:$C$1369,0)))</f>
        <v/>
      </c>
      <c r="H1305" s="9">
        <f>IF(ISNA(MATCH(1292,Engine!$C$2:$C$1369,0)),"",INDEX('Compliance Database'!$H$2:$H$1369,MATCH(1292,Engine!$C$2:$C$1369,0)))</f>
        <v/>
      </c>
      <c r="I1305" s="9">
        <f>IF(ISNA(MATCH(1292,Engine!$C$2:$C$1369,0)),"",INDEX('Compliance Database'!$I$2:$I$1369,MATCH(1292,Engine!$C$2:$C$1369,0)))</f>
        <v/>
      </c>
      <c r="J1305" s="8">
        <f>IF(ISNA(MATCH(1292,Engine!$C$2:$C$1369,0)),"",INDEX('Compliance Database'!$J$2:$J$1369,MATCH(1292,Engine!$C$2:$C$1369,0)))</f>
        <v/>
      </c>
      <c r="K1305" s="9">
        <f>IF(ISNA(MATCH(1292,Engine!$C$2:$C$1369,0)),"",INDEX('Compliance Database'!$K$2:$K$1369,MATCH(1292,Engine!$C$2:$C$1369,0)))</f>
        <v/>
      </c>
      <c r="L1305" s="9">
        <f>IF(ISNA(MATCH(1292,Engine!$C$2:$C$1369,0)),"",INDEX('Compliance Database'!$L$2:$L$1369,MATCH(1292,Engine!$C$2:$C$1369,0)))</f>
        <v/>
      </c>
      <c r="M1305" s="9">
        <f>IF(ISNA(MATCH(1292,Engine!$C$2:$C$1369,0)),"",INDEX('Compliance Database'!$M$2:$M$1369,MATCH(1292,Engine!$C$2:$C$1369,0)))</f>
        <v/>
      </c>
      <c r="N1305" s="9">
        <f>IF(ISNA(MATCH(1292,Engine!$C$2:$C$1369,0)),"",INDEX('Compliance Database'!$N$2:$N$1369,MATCH(1292,Engine!$C$2:$C$1369,0)))</f>
        <v/>
      </c>
      <c r="O1305" s="8">
        <f>IF(ISNA(MATCH(1292,Engine!$C$2:$C$1369,0)),"",HYPERLINK(INDEX('Compliance Database'!$O$2:$O$1369,MATCH(1292,Engine!$C$2:$C$1369,0)),"Open PDF"))</f>
        <v/>
      </c>
    </row>
    <row r="1306" ht="188" customHeight="1">
      <c r="A1306" s="8">
        <f>IF(ISNA(MATCH(1293,Engine!$C$2:$C$1369,0)),"",INDEX('Compliance Database'!$A$2:$A$1369,MATCH(1293,Engine!$C$2:$C$1369,0)))</f>
        <v/>
      </c>
      <c r="B1306" s="8">
        <f>IF(ISNA(MATCH(1293,Engine!$C$2:$C$1369,0)),"",INDEX('Compliance Database'!$B$2:$B$1369,MATCH(1293,Engine!$C$2:$C$1369,0)))</f>
        <v/>
      </c>
      <c r="C1306" s="8">
        <f>IF(ISNA(MATCH(1293,Engine!$C$2:$C$1369,0)),"",INDEX('Compliance Database'!$C$2:$C$1369,MATCH(1293,Engine!$C$2:$C$1369,0)))</f>
        <v/>
      </c>
      <c r="D1306" s="9">
        <f>IF(ISNA(MATCH(1293,Engine!$C$2:$C$1369,0)),"",INDEX('Compliance Database'!$D$2:$D$1369,MATCH(1293,Engine!$C$2:$C$1369,0)))</f>
        <v/>
      </c>
      <c r="E1306" s="8">
        <f>IF(ISNA(MATCH(1293,Engine!$C$2:$C$1369,0)),"",INDEX('Compliance Database'!$E$2:$E$1369,MATCH(1293,Engine!$C$2:$C$1369,0)))</f>
        <v/>
      </c>
      <c r="F1306" s="8">
        <f>IF(ISNA(MATCH(1293,Engine!$C$2:$C$1369,0)),"",INDEX('Compliance Database'!$F$2:$F$1369,MATCH(1293,Engine!$C$2:$C$1369,0)))</f>
        <v/>
      </c>
      <c r="G1306" s="8">
        <f>IF(ISNA(MATCH(1293,Engine!$C$2:$C$1369,0)),"",INDEX('Compliance Database'!$G$2:$G$1369,MATCH(1293,Engine!$C$2:$C$1369,0)))</f>
        <v/>
      </c>
      <c r="H1306" s="9">
        <f>IF(ISNA(MATCH(1293,Engine!$C$2:$C$1369,0)),"",INDEX('Compliance Database'!$H$2:$H$1369,MATCH(1293,Engine!$C$2:$C$1369,0)))</f>
        <v/>
      </c>
      <c r="I1306" s="9">
        <f>IF(ISNA(MATCH(1293,Engine!$C$2:$C$1369,0)),"",INDEX('Compliance Database'!$I$2:$I$1369,MATCH(1293,Engine!$C$2:$C$1369,0)))</f>
        <v/>
      </c>
      <c r="J1306" s="8">
        <f>IF(ISNA(MATCH(1293,Engine!$C$2:$C$1369,0)),"",INDEX('Compliance Database'!$J$2:$J$1369,MATCH(1293,Engine!$C$2:$C$1369,0)))</f>
        <v/>
      </c>
      <c r="K1306" s="9">
        <f>IF(ISNA(MATCH(1293,Engine!$C$2:$C$1369,0)),"",INDEX('Compliance Database'!$K$2:$K$1369,MATCH(1293,Engine!$C$2:$C$1369,0)))</f>
        <v/>
      </c>
      <c r="L1306" s="9">
        <f>IF(ISNA(MATCH(1293,Engine!$C$2:$C$1369,0)),"",INDEX('Compliance Database'!$L$2:$L$1369,MATCH(1293,Engine!$C$2:$C$1369,0)))</f>
        <v/>
      </c>
      <c r="M1306" s="9">
        <f>IF(ISNA(MATCH(1293,Engine!$C$2:$C$1369,0)),"",INDEX('Compliance Database'!$M$2:$M$1369,MATCH(1293,Engine!$C$2:$C$1369,0)))</f>
        <v/>
      </c>
      <c r="N1306" s="9">
        <f>IF(ISNA(MATCH(1293,Engine!$C$2:$C$1369,0)),"",INDEX('Compliance Database'!$N$2:$N$1369,MATCH(1293,Engine!$C$2:$C$1369,0)))</f>
        <v/>
      </c>
      <c r="O1306" s="8">
        <f>IF(ISNA(MATCH(1293,Engine!$C$2:$C$1369,0)),"",HYPERLINK(INDEX('Compliance Database'!$O$2:$O$1369,MATCH(1293,Engine!$C$2:$C$1369,0)),"Open PDF"))</f>
        <v/>
      </c>
    </row>
    <row r="1307" ht="188" customHeight="1">
      <c r="A1307" s="8">
        <f>IF(ISNA(MATCH(1294,Engine!$C$2:$C$1369,0)),"",INDEX('Compliance Database'!$A$2:$A$1369,MATCH(1294,Engine!$C$2:$C$1369,0)))</f>
        <v/>
      </c>
      <c r="B1307" s="8">
        <f>IF(ISNA(MATCH(1294,Engine!$C$2:$C$1369,0)),"",INDEX('Compliance Database'!$B$2:$B$1369,MATCH(1294,Engine!$C$2:$C$1369,0)))</f>
        <v/>
      </c>
      <c r="C1307" s="8">
        <f>IF(ISNA(MATCH(1294,Engine!$C$2:$C$1369,0)),"",INDEX('Compliance Database'!$C$2:$C$1369,MATCH(1294,Engine!$C$2:$C$1369,0)))</f>
        <v/>
      </c>
      <c r="D1307" s="9">
        <f>IF(ISNA(MATCH(1294,Engine!$C$2:$C$1369,0)),"",INDEX('Compliance Database'!$D$2:$D$1369,MATCH(1294,Engine!$C$2:$C$1369,0)))</f>
        <v/>
      </c>
      <c r="E1307" s="8">
        <f>IF(ISNA(MATCH(1294,Engine!$C$2:$C$1369,0)),"",INDEX('Compliance Database'!$E$2:$E$1369,MATCH(1294,Engine!$C$2:$C$1369,0)))</f>
        <v/>
      </c>
      <c r="F1307" s="8">
        <f>IF(ISNA(MATCH(1294,Engine!$C$2:$C$1369,0)),"",INDEX('Compliance Database'!$F$2:$F$1369,MATCH(1294,Engine!$C$2:$C$1369,0)))</f>
        <v/>
      </c>
      <c r="G1307" s="8">
        <f>IF(ISNA(MATCH(1294,Engine!$C$2:$C$1369,0)),"",INDEX('Compliance Database'!$G$2:$G$1369,MATCH(1294,Engine!$C$2:$C$1369,0)))</f>
        <v/>
      </c>
      <c r="H1307" s="9">
        <f>IF(ISNA(MATCH(1294,Engine!$C$2:$C$1369,0)),"",INDEX('Compliance Database'!$H$2:$H$1369,MATCH(1294,Engine!$C$2:$C$1369,0)))</f>
        <v/>
      </c>
      <c r="I1307" s="9">
        <f>IF(ISNA(MATCH(1294,Engine!$C$2:$C$1369,0)),"",INDEX('Compliance Database'!$I$2:$I$1369,MATCH(1294,Engine!$C$2:$C$1369,0)))</f>
        <v/>
      </c>
      <c r="J1307" s="8">
        <f>IF(ISNA(MATCH(1294,Engine!$C$2:$C$1369,0)),"",INDEX('Compliance Database'!$J$2:$J$1369,MATCH(1294,Engine!$C$2:$C$1369,0)))</f>
        <v/>
      </c>
      <c r="K1307" s="9">
        <f>IF(ISNA(MATCH(1294,Engine!$C$2:$C$1369,0)),"",INDEX('Compliance Database'!$K$2:$K$1369,MATCH(1294,Engine!$C$2:$C$1369,0)))</f>
        <v/>
      </c>
      <c r="L1307" s="9">
        <f>IF(ISNA(MATCH(1294,Engine!$C$2:$C$1369,0)),"",INDEX('Compliance Database'!$L$2:$L$1369,MATCH(1294,Engine!$C$2:$C$1369,0)))</f>
        <v/>
      </c>
      <c r="M1307" s="9">
        <f>IF(ISNA(MATCH(1294,Engine!$C$2:$C$1369,0)),"",INDEX('Compliance Database'!$M$2:$M$1369,MATCH(1294,Engine!$C$2:$C$1369,0)))</f>
        <v/>
      </c>
      <c r="N1307" s="9">
        <f>IF(ISNA(MATCH(1294,Engine!$C$2:$C$1369,0)),"",INDEX('Compliance Database'!$N$2:$N$1369,MATCH(1294,Engine!$C$2:$C$1369,0)))</f>
        <v/>
      </c>
      <c r="O1307" s="8">
        <f>IF(ISNA(MATCH(1294,Engine!$C$2:$C$1369,0)),"",HYPERLINK(INDEX('Compliance Database'!$O$2:$O$1369,MATCH(1294,Engine!$C$2:$C$1369,0)),"Open PDF"))</f>
        <v/>
      </c>
    </row>
    <row r="1308" ht="188" customHeight="1">
      <c r="A1308" s="8">
        <f>IF(ISNA(MATCH(1295,Engine!$C$2:$C$1369,0)),"",INDEX('Compliance Database'!$A$2:$A$1369,MATCH(1295,Engine!$C$2:$C$1369,0)))</f>
        <v/>
      </c>
      <c r="B1308" s="8">
        <f>IF(ISNA(MATCH(1295,Engine!$C$2:$C$1369,0)),"",INDEX('Compliance Database'!$B$2:$B$1369,MATCH(1295,Engine!$C$2:$C$1369,0)))</f>
        <v/>
      </c>
      <c r="C1308" s="8">
        <f>IF(ISNA(MATCH(1295,Engine!$C$2:$C$1369,0)),"",INDEX('Compliance Database'!$C$2:$C$1369,MATCH(1295,Engine!$C$2:$C$1369,0)))</f>
        <v/>
      </c>
      <c r="D1308" s="9">
        <f>IF(ISNA(MATCH(1295,Engine!$C$2:$C$1369,0)),"",INDEX('Compliance Database'!$D$2:$D$1369,MATCH(1295,Engine!$C$2:$C$1369,0)))</f>
        <v/>
      </c>
      <c r="E1308" s="8">
        <f>IF(ISNA(MATCH(1295,Engine!$C$2:$C$1369,0)),"",INDEX('Compliance Database'!$E$2:$E$1369,MATCH(1295,Engine!$C$2:$C$1369,0)))</f>
        <v/>
      </c>
      <c r="F1308" s="8">
        <f>IF(ISNA(MATCH(1295,Engine!$C$2:$C$1369,0)),"",INDEX('Compliance Database'!$F$2:$F$1369,MATCH(1295,Engine!$C$2:$C$1369,0)))</f>
        <v/>
      </c>
      <c r="G1308" s="8">
        <f>IF(ISNA(MATCH(1295,Engine!$C$2:$C$1369,0)),"",INDEX('Compliance Database'!$G$2:$G$1369,MATCH(1295,Engine!$C$2:$C$1369,0)))</f>
        <v/>
      </c>
      <c r="H1308" s="9">
        <f>IF(ISNA(MATCH(1295,Engine!$C$2:$C$1369,0)),"",INDEX('Compliance Database'!$H$2:$H$1369,MATCH(1295,Engine!$C$2:$C$1369,0)))</f>
        <v/>
      </c>
      <c r="I1308" s="9">
        <f>IF(ISNA(MATCH(1295,Engine!$C$2:$C$1369,0)),"",INDEX('Compliance Database'!$I$2:$I$1369,MATCH(1295,Engine!$C$2:$C$1369,0)))</f>
        <v/>
      </c>
      <c r="J1308" s="8">
        <f>IF(ISNA(MATCH(1295,Engine!$C$2:$C$1369,0)),"",INDEX('Compliance Database'!$J$2:$J$1369,MATCH(1295,Engine!$C$2:$C$1369,0)))</f>
        <v/>
      </c>
      <c r="K1308" s="9">
        <f>IF(ISNA(MATCH(1295,Engine!$C$2:$C$1369,0)),"",INDEX('Compliance Database'!$K$2:$K$1369,MATCH(1295,Engine!$C$2:$C$1369,0)))</f>
        <v/>
      </c>
      <c r="L1308" s="9">
        <f>IF(ISNA(MATCH(1295,Engine!$C$2:$C$1369,0)),"",INDEX('Compliance Database'!$L$2:$L$1369,MATCH(1295,Engine!$C$2:$C$1369,0)))</f>
        <v/>
      </c>
      <c r="M1308" s="9">
        <f>IF(ISNA(MATCH(1295,Engine!$C$2:$C$1369,0)),"",INDEX('Compliance Database'!$M$2:$M$1369,MATCH(1295,Engine!$C$2:$C$1369,0)))</f>
        <v/>
      </c>
      <c r="N1308" s="9">
        <f>IF(ISNA(MATCH(1295,Engine!$C$2:$C$1369,0)),"",INDEX('Compliance Database'!$N$2:$N$1369,MATCH(1295,Engine!$C$2:$C$1369,0)))</f>
        <v/>
      </c>
      <c r="O1308" s="8">
        <f>IF(ISNA(MATCH(1295,Engine!$C$2:$C$1369,0)),"",HYPERLINK(INDEX('Compliance Database'!$O$2:$O$1369,MATCH(1295,Engine!$C$2:$C$1369,0)),"Open PDF"))</f>
        <v/>
      </c>
    </row>
    <row r="1309" ht="188" customHeight="1">
      <c r="A1309" s="8">
        <f>IF(ISNA(MATCH(1296,Engine!$C$2:$C$1369,0)),"",INDEX('Compliance Database'!$A$2:$A$1369,MATCH(1296,Engine!$C$2:$C$1369,0)))</f>
        <v/>
      </c>
      <c r="B1309" s="8">
        <f>IF(ISNA(MATCH(1296,Engine!$C$2:$C$1369,0)),"",INDEX('Compliance Database'!$B$2:$B$1369,MATCH(1296,Engine!$C$2:$C$1369,0)))</f>
        <v/>
      </c>
      <c r="C1309" s="8">
        <f>IF(ISNA(MATCH(1296,Engine!$C$2:$C$1369,0)),"",INDEX('Compliance Database'!$C$2:$C$1369,MATCH(1296,Engine!$C$2:$C$1369,0)))</f>
        <v/>
      </c>
      <c r="D1309" s="9">
        <f>IF(ISNA(MATCH(1296,Engine!$C$2:$C$1369,0)),"",INDEX('Compliance Database'!$D$2:$D$1369,MATCH(1296,Engine!$C$2:$C$1369,0)))</f>
        <v/>
      </c>
      <c r="E1309" s="8">
        <f>IF(ISNA(MATCH(1296,Engine!$C$2:$C$1369,0)),"",INDEX('Compliance Database'!$E$2:$E$1369,MATCH(1296,Engine!$C$2:$C$1369,0)))</f>
        <v/>
      </c>
      <c r="F1309" s="8">
        <f>IF(ISNA(MATCH(1296,Engine!$C$2:$C$1369,0)),"",INDEX('Compliance Database'!$F$2:$F$1369,MATCH(1296,Engine!$C$2:$C$1369,0)))</f>
        <v/>
      </c>
      <c r="G1309" s="8">
        <f>IF(ISNA(MATCH(1296,Engine!$C$2:$C$1369,0)),"",INDEX('Compliance Database'!$G$2:$G$1369,MATCH(1296,Engine!$C$2:$C$1369,0)))</f>
        <v/>
      </c>
      <c r="H1309" s="9">
        <f>IF(ISNA(MATCH(1296,Engine!$C$2:$C$1369,0)),"",INDEX('Compliance Database'!$H$2:$H$1369,MATCH(1296,Engine!$C$2:$C$1369,0)))</f>
        <v/>
      </c>
      <c r="I1309" s="9">
        <f>IF(ISNA(MATCH(1296,Engine!$C$2:$C$1369,0)),"",INDEX('Compliance Database'!$I$2:$I$1369,MATCH(1296,Engine!$C$2:$C$1369,0)))</f>
        <v/>
      </c>
      <c r="J1309" s="8">
        <f>IF(ISNA(MATCH(1296,Engine!$C$2:$C$1369,0)),"",INDEX('Compliance Database'!$J$2:$J$1369,MATCH(1296,Engine!$C$2:$C$1369,0)))</f>
        <v/>
      </c>
      <c r="K1309" s="9">
        <f>IF(ISNA(MATCH(1296,Engine!$C$2:$C$1369,0)),"",INDEX('Compliance Database'!$K$2:$K$1369,MATCH(1296,Engine!$C$2:$C$1369,0)))</f>
        <v/>
      </c>
      <c r="L1309" s="9">
        <f>IF(ISNA(MATCH(1296,Engine!$C$2:$C$1369,0)),"",INDEX('Compliance Database'!$L$2:$L$1369,MATCH(1296,Engine!$C$2:$C$1369,0)))</f>
        <v/>
      </c>
      <c r="M1309" s="9">
        <f>IF(ISNA(MATCH(1296,Engine!$C$2:$C$1369,0)),"",INDEX('Compliance Database'!$M$2:$M$1369,MATCH(1296,Engine!$C$2:$C$1369,0)))</f>
        <v/>
      </c>
      <c r="N1309" s="9">
        <f>IF(ISNA(MATCH(1296,Engine!$C$2:$C$1369,0)),"",INDEX('Compliance Database'!$N$2:$N$1369,MATCH(1296,Engine!$C$2:$C$1369,0)))</f>
        <v/>
      </c>
      <c r="O1309" s="8">
        <f>IF(ISNA(MATCH(1296,Engine!$C$2:$C$1369,0)),"",HYPERLINK(INDEX('Compliance Database'!$O$2:$O$1369,MATCH(1296,Engine!$C$2:$C$1369,0)),"Open PDF"))</f>
        <v/>
      </c>
    </row>
    <row r="1310" ht="188" customHeight="1">
      <c r="A1310" s="8">
        <f>IF(ISNA(MATCH(1297,Engine!$C$2:$C$1369,0)),"",INDEX('Compliance Database'!$A$2:$A$1369,MATCH(1297,Engine!$C$2:$C$1369,0)))</f>
        <v/>
      </c>
      <c r="B1310" s="8">
        <f>IF(ISNA(MATCH(1297,Engine!$C$2:$C$1369,0)),"",INDEX('Compliance Database'!$B$2:$B$1369,MATCH(1297,Engine!$C$2:$C$1369,0)))</f>
        <v/>
      </c>
      <c r="C1310" s="8">
        <f>IF(ISNA(MATCH(1297,Engine!$C$2:$C$1369,0)),"",INDEX('Compliance Database'!$C$2:$C$1369,MATCH(1297,Engine!$C$2:$C$1369,0)))</f>
        <v/>
      </c>
      <c r="D1310" s="9">
        <f>IF(ISNA(MATCH(1297,Engine!$C$2:$C$1369,0)),"",INDEX('Compliance Database'!$D$2:$D$1369,MATCH(1297,Engine!$C$2:$C$1369,0)))</f>
        <v/>
      </c>
      <c r="E1310" s="8">
        <f>IF(ISNA(MATCH(1297,Engine!$C$2:$C$1369,0)),"",INDEX('Compliance Database'!$E$2:$E$1369,MATCH(1297,Engine!$C$2:$C$1369,0)))</f>
        <v/>
      </c>
      <c r="F1310" s="8">
        <f>IF(ISNA(MATCH(1297,Engine!$C$2:$C$1369,0)),"",INDEX('Compliance Database'!$F$2:$F$1369,MATCH(1297,Engine!$C$2:$C$1369,0)))</f>
        <v/>
      </c>
      <c r="G1310" s="8">
        <f>IF(ISNA(MATCH(1297,Engine!$C$2:$C$1369,0)),"",INDEX('Compliance Database'!$G$2:$G$1369,MATCH(1297,Engine!$C$2:$C$1369,0)))</f>
        <v/>
      </c>
      <c r="H1310" s="9">
        <f>IF(ISNA(MATCH(1297,Engine!$C$2:$C$1369,0)),"",INDEX('Compliance Database'!$H$2:$H$1369,MATCH(1297,Engine!$C$2:$C$1369,0)))</f>
        <v/>
      </c>
      <c r="I1310" s="9">
        <f>IF(ISNA(MATCH(1297,Engine!$C$2:$C$1369,0)),"",INDEX('Compliance Database'!$I$2:$I$1369,MATCH(1297,Engine!$C$2:$C$1369,0)))</f>
        <v/>
      </c>
      <c r="J1310" s="8">
        <f>IF(ISNA(MATCH(1297,Engine!$C$2:$C$1369,0)),"",INDEX('Compliance Database'!$J$2:$J$1369,MATCH(1297,Engine!$C$2:$C$1369,0)))</f>
        <v/>
      </c>
      <c r="K1310" s="9">
        <f>IF(ISNA(MATCH(1297,Engine!$C$2:$C$1369,0)),"",INDEX('Compliance Database'!$K$2:$K$1369,MATCH(1297,Engine!$C$2:$C$1369,0)))</f>
        <v/>
      </c>
      <c r="L1310" s="9">
        <f>IF(ISNA(MATCH(1297,Engine!$C$2:$C$1369,0)),"",INDEX('Compliance Database'!$L$2:$L$1369,MATCH(1297,Engine!$C$2:$C$1369,0)))</f>
        <v/>
      </c>
      <c r="M1310" s="9">
        <f>IF(ISNA(MATCH(1297,Engine!$C$2:$C$1369,0)),"",INDEX('Compliance Database'!$M$2:$M$1369,MATCH(1297,Engine!$C$2:$C$1369,0)))</f>
        <v/>
      </c>
      <c r="N1310" s="9">
        <f>IF(ISNA(MATCH(1297,Engine!$C$2:$C$1369,0)),"",INDEX('Compliance Database'!$N$2:$N$1369,MATCH(1297,Engine!$C$2:$C$1369,0)))</f>
        <v/>
      </c>
      <c r="O1310" s="8">
        <f>IF(ISNA(MATCH(1297,Engine!$C$2:$C$1369,0)),"",HYPERLINK(INDEX('Compliance Database'!$O$2:$O$1369,MATCH(1297,Engine!$C$2:$C$1369,0)),"Open PDF"))</f>
        <v/>
      </c>
    </row>
    <row r="1311" ht="188" customHeight="1">
      <c r="A1311" s="8">
        <f>IF(ISNA(MATCH(1298,Engine!$C$2:$C$1369,0)),"",INDEX('Compliance Database'!$A$2:$A$1369,MATCH(1298,Engine!$C$2:$C$1369,0)))</f>
        <v/>
      </c>
      <c r="B1311" s="8">
        <f>IF(ISNA(MATCH(1298,Engine!$C$2:$C$1369,0)),"",INDEX('Compliance Database'!$B$2:$B$1369,MATCH(1298,Engine!$C$2:$C$1369,0)))</f>
        <v/>
      </c>
      <c r="C1311" s="8">
        <f>IF(ISNA(MATCH(1298,Engine!$C$2:$C$1369,0)),"",INDEX('Compliance Database'!$C$2:$C$1369,MATCH(1298,Engine!$C$2:$C$1369,0)))</f>
        <v/>
      </c>
      <c r="D1311" s="9">
        <f>IF(ISNA(MATCH(1298,Engine!$C$2:$C$1369,0)),"",INDEX('Compliance Database'!$D$2:$D$1369,MATCH(1298,Engine!$C$2:$C$1369,0)))</f>
        <v/>
      </c>
      <c r="E1311" s="8">
        <f>IF(ISNA(MATCH(1298,Engine!$C$2:$C$1369,0)),"",INDEX('Compliance Database'!$E$2:$E$1369,MATCH(1298,Engine!$C$2:$C$1369,0)))</f>
        <v/>
      </c>
      <c r="F1311" s="8">
        <f>IF(ISNA(MATCH(1298,Engine!$C$2:$C$1369,0)),"",INDEX('Compliance Database'!$F$2:$F$1369,MATCH(1298,Engine!$C$2:$C$1369,0)))</f>
        <v/>
      </c>
      <c r="G1311" s="8">
        <f>IF(ISNA(MATCH(1298,Engine!$C$2:$C$1369,0)),"",INDEX('Compliance Database'!$G$2:$G$1369,MATCH(1298,Engine!$C$2:$C$1369,0)))</f>
        <v/>
      </c>
      <c r="H1311" s="9">
        <f>IF(ISNA(MATCH(1298,Engine!$C$2:$C$1369,0)),"",INDEX('Compliance Database'!$H$2:$H$1369,MATCH(1298,Engine!$C$2:$C$1369,0)))</f>
        <v/>
      </c>
      <c r="I1311" s="9">
        <f>IF(ISNA(MATCH(1298,Engine!$C$2:$C$1369,0)),"",INDEX('Compliance Database'!$I$2:$I$1369,MATCH(1298,Engine!$C$2:$C$1369,0)))</f>
        <v/>
      </c>
      <c r="J1311" s="8">
        <f>IF(ISNA(MATCH(1298,Engine!$C$2:$C$1369,0)),"",INDEX('Compliance Database'!$J$2:$J$1369,MATCH(1298,Engine!$C$2:$C$1369,0)))</f>
        <v/>
      </c>
      <c r="K1311" s="9">
        <f>IF(ISNA(MATCH(1298,Engine!$C$2:$C$1369,0)),"",INDEX('Compliance Database'!$K$2:$K$1369,MATCH(1298,Engine!$C$2:$C$1369,0)))</f>
        <v/>
      </c>
      <c r="L1311" s="9">
        <f>IF(ISNA(MATCH(1298,Engine!$C$2:$C$1369,0)),"",INDEX('Compliance Database'!$L$2:$L$1369,MATCH(1298,Engine!$C$2:$C$1369,0)))</f>
        <v/>
      </c>
      <c r="M1311" s="9">
        <f>IF(ISNA(MATCH(1298,Engine!$C$2:$C$1369,0)),"",INDEX('Compliance Database'!$M$2:$M$1369,MATCH(1298,Engine!$C$2:$C$1369,0)))</f>
        <v/>
      </c>
      <c r="N1311" s="9">
        <f>IF(ISNA(MATCH(1298,Engine!$C$2:$C$1369,0)),"",INDEX('Compliance Database'!$N$2:$N$1369,MATCH(1298,Engine!$C$2:$C$1369,0)))</f>
        <v/>
      </c>
      <c r="O1311" s="8">
        <f>IF(ISNA(MATCH(1298,Engine!$C$2:$C$1369,0)),"",HYPERLINK(INDEX('Compliance Database'!$O$2:$O$1369,MATCH(1298,Engine!$C$2:$C$1369,0)),"Open PDF"))</f>
        <v/>
      </c>
    </row>
    <row r="1312" ht="188" customHeight="1">
      <c r="A1312" s="8">
        <f>IF(ISNA(MATCH(1299,Engine!$C$2:$C$1369,0)),"",INDEX('Compliance Database'!$A$2:$A$1369,MATCH(1299,Engine!$C$2:$C$1369,0)))</f>
        <v/>
      </c>
      <c r="B1312" s="8">
        <f>IF(ISNA(MATCH(1299,Engine!$C$2:$C$1369,0)),"",INDEX('Compliance Database'!$B$2:$B$1369,MATCH(1299,Engine!$C$2:$C$1369,0)))</f>
        <v/>
      </c>
      <c r="C1312" s="8">
        <f>IF(ISNA(MATCH(1299,Engine!$C$2:$C$1369,0)),"",INDEX('Compliance Database'!$C$2:$C$1369,MATCH(1299,Engine!$C$2:$C$1369,0)))</f>
        <v/>
      </c>
      <c r="D1312" s="9">
        <f>IF(ISNA(MATCH(1299,Engine!$C$2:$C$1369,0)),"",INDEX('Compliance Database'!$D$2:$D$1369,MATCH(1299,Engine!$C$2:$C$1369,0)))</f>
        <v/>
      </c>
      <c r="E1312" s="8">
        <f>IF(ISNA(MATCH(1299,Engine!$C$2:$C$1369,0)),"",INDEX('Compliance Database'!$E$2:$E$1369,MATCH(1299,Engine!$C$2:$C$1369,0)))</f>
        <v/>
      </c>
      <c r="F1312" s="8">
        <f>IF(ISNA(MATCH(1299,Engine!$C$2:$C$1369,0)),"",INDEX('Compliance Database'!$F$2:$F$1369,MATCH(1299,Engine!$C$2:$C$1369,0)))</f>
        <v/>
      </c>
      <c r="G1312" s="8">
        <f>IF(ISNA(MATCH(1299,Engine!$C$2:$C$1369,0)),"",INDEX('Compliance Database'!$G$2:$G$1369,MATCH(1299,Engine!$C$2:$C$1369,0)))</f>
        <v/>
      </c>
      <c r="H1312" s="9">
        <f>IF(ISNA(MATCH(1299,Engine!$C$2:$C$1369,0)),"",INDEX('Compliance Database'!$H$2:$H$1369,MATCH(1299,Engine!$C$2:$C$1369,0)))</f>
        <v/>
      </c>
      <c r="I1312" s="9">
        <f>IF(ISNA(MATCH(1299,Engine!$C$2:$C$1369,0)),"",INDEX('Compliance Database'!$I$2:$I$1369,MATCH(1299,Engine!$C$2:$C$1369,0)))</f>
        <v/>
      </c>
      <c r="J1312" s="8">
        <f>IF(ISNA(MATCH(1299,Engine!$C$2:$C$1369,0)),"",INDEX('Compliance Database'!$J$2:$J$1369,MATCH(1299,Engine!$C$2:$C$1369,0)))</f>
        <v/>
      </c>
      <c r="K1312" s="9">
        <f>IF(ISNA(MATCH(1299,Engine!$C$2:$C$1369,0)),"",INDEX('Compliance Database'!$K$2:$K$1369,MATCH(1299,Engine!$C$2:$C$1369,0)))</f>
        <v/>
      </c>
      <c r="L1312" s="9">
        <f>IF(ISNA(MATCH(1299,Engine!$C$2:$C$1369,0)),"",INDEX('Compliance Database'!$L$2:$L$1369,MATCH(1299,Engine!$C$2:$C$1369,0)))</f>
        <v/>
      </c>
      <c r="M1312" s="9">
        <f>IF(ISNA(MATCH(1299,Engine!$C$2:$C$1369,0)),"",INDEX('Compliance Database'!$M$2:$M$1369,MATCH(1299,Engine!$C$2:$C$1369,0)))</f>
        <v/>
      </c>
      <c r="N1312" s="9">
        <f>IF(ISNA(MATCH(1299,Engine!$C$2:$C$1369,0)),"",INDEX('Compliance Database'!$N$2:$N$1369,MATCH(1299,Engine!$C$2:$C$1369,0)))</f>
        <v/>
      </c>
      <c r="O1312" s="8">
        <f>IF(ISNA(MATCH(1299,Engine!$C$2:$C$1369,0)),"",HYPERLINK(INDEX('Compliance Database'!$O$2:$O$1369,MATCH(1299,Engine!$C$2:$C$1369,0)),"Open PDF"))</f>
        <v/>
      </c>
    </row>
    <row r="1313" ht="188" customHeight="1">
      <c r="A1313" s="8">
        <f>IF(ISNA(MATCH(1300,Engine!$C$2:$C$1369,0)),"",INDEX('Compliance Database'!$A$2:$A$1369,MATCH(1300,Engine!$C$2:$C$1369,0)))</f>
        <v/>
      </c>
      <c r="B1313" s="8">
        <f>IF(ISNA(MATCH(1300,Engine!$C$2:$C$1369,0)),"",INDEX('Compliance Database'!$B$2:$B$1369,MATCH(1300,Engine!$C$2:$C$1369,0)))</f>
        <v/>
      </c>
      <c r="C1313" s="8">
        <f>IF(ISNA(MATCH(1300,Engine!$C$2:$C$1369,0)),"",INDEX('Compliance Database'!$C$2:$C$1369,MATCH(1300,Engine!$C$2:$C$1369,0)))</f>
        <v/>
      </c>
      <c r="D1313" s="9">
        <f>IF(ISNA(MATCH(1300,Engine!$C$2:$C$1369,0)),"",INDEX('Compliance Database'!$D$2:$D$1369,MATCH(1300,Engine!$C$2:$C$1369,0)))</f>
        <v/>
      </c>
      <c r="E1313" s="8">
        <f>IF(ISNA(MATCH(1300,Engine!$C$2:$C$1369,0)),"",INDEX('Compliance Database'!$E$2:$E$1369,MATCH(1300,Engine!$C$2:$C$1369,0)))</f>
        <v/>
      </c>
      <c r="F1313" s="8">
        <f>IF(ISNA(MATCH(1300,Engine!$C$2:$C$1369,0)),"",INDEX('Compliance Database'!$F$2:$F$1369,MATCH(1300,Engine!$C$2:$C$1369,0)))</f>
        <v/>
      </c>
      <c r="G1313" s="8">
        <f>IF(ISNA(MATCH(1300,Engine!$C$2:$C$1369,0)),"",INDEX('Compliance Database'!$G$2:$G$1369,MATCH(1300,Engine!$C$2:$C$1369,0)))</f>
        <v/>
      </c>
      <c r="H1313" s="9">
        <f>IF(ISNA(MATCH(1300,Engine!$C$2:$C$1369,0)),"",INDEX('Compliance Database'!$H$2:$H$1369,MATCH(1300,Engine!$C$2:$C$1369,0)))</f>
        <v/>
      </c>
      <c r="I1313" s="9">
        <f>IF(ISNA(MATCH(1300,Engine!$C$2:$C$1369,0)),"",INDEX('Compliance Database'!$I$2:$I$1369,MATCH(1300,Engine!$C$2:$C$1369,0)))</f>
        <v/>
      </c>
      <c r="J1313" s="8">
        <f>IF(ISNA(MATCH(1300,Engine!$C$2:$C$1369,0)),"",INDEX('Compliance Database'!$J$2:$J$1369,MATCH(1300,Engine!$C$2:$C$1369,0)))</f>
        <v/>
      </c>
      <c r="K1313" s="9">
        <f>IF(ISNA(MATCH(1300,Engine!$C$2:$C$1369,0)),"",INDEX('Compliance Database'!$K$2:$K$1369,MATCH(1300,Engine!$C$2:$C$1369,0)))</f>
        <v/>
      </c>
      <c r="L1313" s="9">
        <f>IF(ISNA(MATCH(1300,Engine!$C$2:$C$1369,0)),"",INDEX('Compliance Database'!$L$2:$L$1369,MATCH(1300,Engine!$C$2:$C$1369,0)))</f>
        <v/>
      </c>
      <c r="M1313" s="9">
        <f>IF(ISNA(MATCH(1300,Engine!$C$2:$C$1369,0)),"",INDEX('Compliance Database'!$M$2:$M$1369,MATCH(1300,Engine!$C$2:$C$1369,0)))</f>
        <v/>
      </c>
      <c r="N1313" s="9">
        <f>IF(ISNA(MATCH(1300,Engine!$C$2:$C$1369,0)),"",INDEX('Compliance Database'!$N$2:$N$1369,MATCH(1300,Engine!$C$2:$C$1369,0)))</f>
        <v/>
      </c>
      <c r="O1313" s="8">
        <f>IF(ISNA(MATCH(1300,Engine!$C$2:$C$1369,0)),"",HYPERLINK(INDEX('Compliance Database'!$O$2:$O$1369,MATCH(1300,Engine!$C$2:$C$1369,0)),"Open PDF"))</f>
        <v/>
      </c>
    </row>
    <row r="1314" ht="188" customHeight="1">
      <c r="A1314" s="8">
        <f>IF(ISNA(MATCH(1301,Engine!$C$2:$C$1369,0)),"",INDEX('Compliance Database'!$A$2:$A$1369,MATCH(1301,Engine!$C$2:$C$1369,0)))</f>
        <v/>
      </c>
      <c r="B1314" s="8">
        <f>IF(ISNA(MATCH(1301,Engine!$C$2:$C$1369,0)),"",INDEX('Compliance Database'!$B$2:$B$1369,MATCH(1301,Engine!$C$2:$C$1369,0)))</f>
        <v/>
      </c>
      <c r="C1314" s="8">
        <f>IF(ISNA(MATCH(1301,Engine!$C$2:$C$1369,0)),"",INDEX('Compliance Database'!$C$2:$C$1369,MATCH(1301,Engine!$C$2:$C$1369,0)))</f>
        <v/>
      </c>
      <c r="D1314" s="9">
        <f>IF(ISNA(MATCH(1301,Engine!$C$2:$C$1369,0)),"",INDEX('Compliance Database'!$D$2:$D$1369,MATCH(1301,Engine!$C$2:$C$1369,0)))</f>
        <v/>
      </c>
      <c r="E1314" s="8">
        <f>IF(ISNA(MATCH(1301,Engine!$C$2:$C$1369,0)),"",INDEX('Compliance Database'!$E$2:$E$1369,MATCH(1301,Engine!$C$2:$C$1369,0)))</f>
        <v/>
      </c>
      <c r="F1314" s="8">
        <f>IF(ISNA(MATCH(1301,Engine!$C$2:$C$1369,0)),"",INDEX('Compliance Database'!$F$2:$F$1369,MATCH(1301,Engine!$C$2:$C$1369,0)))</f>
        <v/>
      </c>
      <c r="G1314" s="8">
        <f>IF(ISNA(MATCH(1301,Engine!$C$2:$C$1369,0)),"",INDEX('Compliance Database'!$G$2:$G$1369,MATCH(1301,Engine!$C$2:$C$1369,0)))</f>
        <v/>
      </c>
      <c r="H1314" s="9">
        <f>IF(ISNA(MATCH(1301,Engine!$C$2:$C$1369,0)),"",INDEX('Compliance Database'!$H$2:$H$1369,MATCH(1301,Engine!$C$2:$C$1369,0)))</f>
        <v/>
      </c>
      <c r="I1314" s="9">
        <f>IF(ISNA(MATCH(1301,Engine!$C$2:$C$1369,0)),"",INDEX('Compliance Database'!$I$2:$I$1369,MATCH(1301,Engine!$C$2:$C$1369,0)))</f>
        <v/>
      </c>
      <c r="J1314" s="8">
        <f>IF(ISNA(MATCH(1301,Engine!$C$2:$C$1369,0)),"",INDEX('Compliance Database'!$J$2:$J$1369,MATCH(1301,Engine!$C$2:$C$1369,0)))</f>
        <v/>
      </c>
      <c r="K1314" s="9">
        <f>IF(ISNA(MATCH(1301,Engine!$C$2:$C$1369,0)),"",INDEX('Compliance Database'!$K$2:$K$1369,MATCH(1301,Engine!$C$2:$C$1369,0)))</f>
        <v/>
      </c>
      <c r="L1314" s="9">
        <f>IF(ISNA(MATCH(1301,Engine!$C$2:$C$1369,0)),"",INDEX('Compliance Database'!$L$2:$L$1369,MATCH(1301,Engine!$C$2:$C$1369,0)))</f>
        <v/>
      </c>
      <c r="M1314" s="9">
        <f>IF(ISNA(MATCH(1301,Engine!$C$2:$C$1369,0)),"",INDEX('Compliance Database'!$M$2:$M$1369,MATCH(1301,Engine!$C$2:$C$1369,0)))</f>
        <v/>
      </c>
      <c r="N1314" s="9">
        <f>IF(ISNA(MATCH(1301,Engine!$C$2:$C$1369,0)),"",INDEX('Compliance Database'!$N$2:$N$1369,MATCH(1301,Engine!$C$2:$C$1369,0)))</f>
        <v/>
      </c>
      <c r="O1314" s="8">
        <f>IF(ISNA(MATCH(1301,Engine!$C$2:$C$1369,0)),"",HYPERLINK(INDEX('Compliance Database'!$O$2:$O$1369,MATCH(1301,Engine!$C$2:$C$1369,0)),"Open PDF"))</f>
        <v/>
      </c>
    </row>
    <row r="1315" ht="188" customHeight="1">
      <c r="A1315" s="8">
        <f>IF(ISNA(MATCH(1302,Engine!$C$2:$C$1369,0)),"",INDEX('Compliance Database'!$A$2:$A$1369,MATCH(1302,Engine!$C$2:$C$1369,0)))</f>
        <v/>
      </c>
      <c r="B1315" s="8">
        <f>IF(ISNA(MATCH(1302,Engine!$C$2:$C$1369,0)),"",INDEX('Compliance Database'!$B$2:$B$1369,MATCH(1302,Engine!$C$2:$C$1369,0)))</f>
        <v/>
      </c>
      <c r="C1315" s="8">
        <f>IF(ISNA(MATCH(1302,Engine!$C$2:$C$1369,0)),"",INDEX('Compliance Database'!$C$2:$C$1369,MATCH(1302,Engine!$C$2:$C$1369,0)))</f>
        <v/>
      </c>
      <c r="D1315" s="9">
        <f>IF(ISNA(MATCH(1302,Engine!$C$2:$C$1369,0)),"",INDEX('Compliance Database'!$D$2:$D$1369,MATCH(1302,Engine!$C$2:$C$1369,0)))</f>
        <v/>
      </c>
      <c r="E1315" s="8">
        <f>IF(ISNA(MATCH(1302,Engine!$C$2:$C$1369,0)),"",INDEX('Compliance Database'!$E$2:$E$1369,MATCH(1302,Engine!$C$2:$C$1369,0)))</f>
        <v/>
      </c>
      <c r="F1315" s="8">
        <f>IF(ISNA(MATCH(1302,Engine!$C$2:$C$1369,0)),"",INDEX('Compliance Database'!$F$2:$F$1369,MATCH(1302,Engine!$C$2:$C$1369,0)))</f>
        <v/>
      </c>
      <c r="G1315" s="8">
        <f>IF(ISNA(MATCH(1302,Engine!$C$2:$C$1369,0)),"",INDEX('Compliance Database'!$G$2:$G$1369,MATCH(1302,Engine!$C$2:$C$1369,0)))</f>
        <v/>
      </c>
      <c r="H1315" s="9">
        <f>IF(ISNA(MATCH(1302,Engine!$C$2:$C$1369,0)),"",INDEX('Compliance Database'!$H$2:$H$1369,MATCH(1302,Engine!$C$2:$C$1369,0)))</f>
        <v/>
      </c>
      <c r="I1315" s="9">
        <f>IF(ISNA(MATCH(1302,Engine!$C$2:$C$1369,0)),"",INDEX('Compliance Database'!$I$2:$I$1369,MATCH(1302,Engine!$C$2:$C$1369,0)))</f>
        <v/>
      </c>
      <c r="J1315" s="8">
        <f>IF(ISNA(MATCH(1302,Engine!$C$2:$C$1369,0)),"",INDEX('Compliance Database'!$J$2:$J$1369,MATCH(1302,Engine!$C$2:$C$1369,0)))</f>
        <v/>
      </c>
      <c r="K1315" s="9">
        <f>IF(ISNA(MATCH(1302,Engine!$C$2:$C$1369,0)),"",INDEX('Compliance Database'!$K$2:$K$1369,MATCH(1302,Engine!$C$2:$C$1369,0)))</f>
        <v/>
      </c>
      <c r="L1315" s="9">
        <f>IF(ISNA(MATCH(1302,Engine!$C$2:$C$1369,0)),"",INDEX('Compliance Database'!$L$2:$L$1369,MATCH(1302,Engine!$C$2:$C$1369,0)))</f>
        <v/>
      </c>
      <c r="M1315" s="9">
        <f>IF(ISNA(MATCH(1302,Engine!$C$2:$C$1369,0)),"",INDEX('Compliance Database'!$M$2:$M$1369,MATCH(1302,Engine!$C$2:$C$1369,0)))</f>
        <v/>
      </c>
      <c r="N1315" s="9">
        <f>IF(ISNA(MATCH(1302,Engine!$C$2:$C$1369,0)),"",INDEX('Compliance Database'!$N$2:$N$1369,MATCH(1302,Engine!$C$2:$C$1369,0)))</f>
        <v/>
      </c>
      <c r="O1315" s="8">
        <f>IF(ISNA(MATCH(1302,Engine!$C$2:$C$1369,0)),"",HYPERLINK(INDEX('Compliance Database'!$O$2:$O$1369,MATCH(1302,Engine!$C$2:$C$1369,0)),"Open PDF"))</f>
        <v/>
      </c>
    </row>
    <row r="1316" ht="188" customHeight="1">
      <c r="A1316" s="8">
        <f>IF(ISNA(MATCH(1303,Engine!$C$2:$C$1369,0)),"",INDEX('Compliance Database'!$A$2:$A$1369,MATCH(1303,Engine!$C$2:$C$1369,0)))</f>
        <v/>
      </c>
      <c r="B1316" s="8">
        <f>IF(ISNA(MATCH(1303,Engine!$C$2:$C$1369,0)),"",INDEX('Compliance Database'!$B$2:$B$1369,MATCH(1303,Engine!$C$2:$C$1369,0)))</f>
        <v/>
      </c>
      <c r="C1316" s="8">
        <f>IF(ISNA(MATCH(1303,Engine!$C$2:$C$1369,0)),"",INDEX('Compliance Database'!$C$2:$C$1369,MATCH(1303,Engine!$C$2:$C$1369,0)))</f>
        <v/>
      </c>
      <c r="D1316" s="9">
        <f>IF(ISNA(MATCH(1303,Engine!$C$2:$C$1369,0)),"",INDEX('Compliance Database'!$D$2:$D$1369,MATCH(1303,Engine!$C$2:$C$1369,0)))</f>
        <v/>
      </c>
      <c r="E1316" s="8">
        <f>IF(ISNA(MATCH(1303,Engine!$C$2:$C$1369,0)),"",INDEX('Compliance Database'!$E$2:$E$1369,MATCH(1303,Engine!$C$2:$C$1369,0)))</f>
        <v/>
      </c>
      <c r="F1316" s="8">
        <f>IF(ISNA(MATCH(1303,Engine!$C$2:$C$1369,0)),"",INDEX('Compliance Database'!$F$2:$F$1369,MATCH(1303,Engine!$C$2:$C$1369,0)))</f>
        <v/>
      </c>
      <c r="G1316" s="8">
        <f>IF(ISNA(MATCH(1303,Engine!$C$2:$C$1369,0)),"",INDEX('Compliance Database'!$G$2:$G$1369,MATCH(1303,Engine!$C$2:$C$1369,0)))</f>
        <v/>
      </c>
      <c r="H1316" s="9">
        <f>IF(ISNA(MATCH(1303,Engine!$C$2:$C$1369,0)),"",INDEX('Compliance Database'!$H$2:$H$1369,MATCH(1303,Engine!$C$2:$C$1369,0)))</f>
        <v/>
      </c>
      <c r="I1316" s="9">
        <f>IF(ISNA(MATCH(1303,Engine!$C$2:$C$1369,0)),"",INDEX('Compliance Database'!$I$2:$I$1369,MATCH(1303,Engine!$C$2:$C$1369,0)))</f>
        <v/>
      </c>
      <c r="J1316" s="8">
        <f>IF(ISNA(MATCH(1303,Engine!$C$2:$C$1369,0)),"",INDEX('Compliance Database'!$J$2:$J$1369,MATCH(1303,Engine!$C$2:$C$1369,0)))</f>
        <v/>
      </c>
      <c r="K1316" s="9">
        <f>IF(ISNA(MATCH(1303,Engine!$C$2:$C$1369,0)),"",INDEX('Compliance Database'!$K$2:$K$1369,MATCH(1303,Engine!$C$2:$C$1369,0)))</f>
        <v/>
      </c>
      <c r="L1316" s="9">
        <f>IF(ISNA(MATCH(1303,Engine!$C$2:$C$1369,0)),"",INDEX('Compliance Database'!$L$2:$L$1369,MATCH(1303,Engine!$C$2:$C$1369,0)))</f>
        <v/>
      </c>
      <c r="M1316" s="9">
        <f>IF(ISNA(MATCH(1303,Engine!$C$2:$C$1369,0)),"",INDEX('Compliance Database'!$M$2:$M$1369,MATCH(1303,Engine!$C$2:$C$1369,0)))</f>
        <v/>
      </c>
      <c r="N1316" s="9">
        <f>IF(ISNA(MATCH(1303,Engine!$C$2:$C$1369,0)),"",INDEX('Compliance Database'!$N$2:$N$1369,MATCH(1303,Engine!$C$2:$C$1369,0)))</f>
        <v/>
      </c>
      <c r="O1316" s="8">
        <f>IF(ISNA(MATCH(1303,Engine!$C$2:$C$1369,0)),"",HYPERLINK(INDEX('Compliance Database'!$O$2:$O$1369,MATCH(1303,Engine!$C$2:$C$1369,0)),"Open PDF"))</f>
        <v/>
      </c>
    </row>
    <row r="1317" ht="188" customHeight="1">
      <c r="A1317" s="8">
        <f>IF(ISNA(MATCH(1304,Engine!$C$2:$C$1369,0)),"",INDEX('Compliance Database'!$A$2:$A$1369,MATCH(1304,Engine!$C$2:$C$1369,0)))</f>
        <v/>
      </c>
      <c r="B1317" s="8">
        <f>IF(ISNA(MATCH(1304,Engine!$C$2:$C$1369,0)),"",INDEX('Compliance Database'!$B$2:$B$1369,MATCH(1304,Engine!$C$2:$C$1369,0)))</f>
        <v/>
      </c>
      <c r="C1317" s="8">
        <f>IF(ISNA(MATCH(1304,Engine!$C$2:$C$1369,0)),"",INDEX('Compliance Database'!$C$2:$C$1369,MATCH(1304,Engine!$C$2:$C$1369,0)))</f>
        <v/>
      </c>
      <c r="D1317" s="9">
        <f>IF(ISNA(MATCH(1304,Engine!$C$2:$C$1369,0)),"",INDEX('Compliance Database'!$D$2:$D$1369,MATCH(1304,Engine!$C$2:$C$1369,0)))</f>
        <v/>
      </c>
      <c r="E1317" s="8">
        <f>IF(ISNA(MATCH(1304,Engine!$C$2:$C$1369,0)),"",INDEX('Compliance Database'!$E$2:$E$1369,MATCH(1304,Engine!$C$2:$C$1369,0)))</f>
        <v/>
      </c>
      <c r="F1317" s="8">
        <f>IF(ISNA(MATCH(1304,Engine!$C$2:$C$1369,0)),"",INDEX('Compliance Database'!$F$2:$F$1369,MATCH(1304,Engine!$C$2:$C$1369,0)))</f>
        <v/>
      </c>
      <c r="G1317" s="8">
        <f>IF(ISNA(MATCH(1304,Engine!$C$2:$C$1369,0)),"",INDEX('Compliance Database'!$G$2:$G$1369,MATCH(1304,Engine!$C$2:$C$1369,0)))</f>
        <v/>
      </c>
      <c r="H1317" s="9">
        <f>IF(ISNA(MATCH(1304,Engine!$C$2:$C$1369,0)),"",INDEX('Compliance Database'!$H$2:$H$1369,MATCH(1304,Engine!$C$2:$C$1369,0)))</f>
        <v/>
      </c>
      <c r="I1317" s="9">
        <f>IF(ISNA(MATCH(1304,Engine!$C$2:$C$1369,0)),"",INDEX('Compliance Database'!$I$2:$I$1369,MATCH(1304,Engine!$C$2:$C$1369,0)))</f>
        <v/>
      </c>
      <c r="J1317" s="8">
        <f>IF(ISNA(MATCH(1304,Engine!$C$2:$C$1369,0)),"",INDEX('Compliance Database'!$J$2:$J$1369,MATCH(1304,Engine!$C$2:$C$1369,0)))</f>
        <v/>
      </c>
      <c r="K1317" s="9">
        <f>IF(ISNA(MATCH(1304,Engine!$C$2:$C$1369,0)),"",INDEX('Compliance Database'!$K$2:$K$1369,MATCH(1304,Engine!$C$2:$C$1369,0)))</f>
        <v/>
      </c>
      <c r="L1317" s="9">
        <f>IF(ISNA(MATCH(1304,Engine!$C$2:$C$1369,0)),"",INDEX('Compliance Database'!$L$2:$L$1369,MATCH(1304,Engine!$C$2:$C$1369,0)))</f>
        <v/>
      </c>
      <c r="M1317" s="9">
        <f>IF(ISNA(MATCH(1304,Engine!$C$2:$C$1369,0)),"",INDEX('Compliance Database'!$M$2:$M$1369,MATCH(1304,Engine!$C$2:$C$1369,0)))</f>
        <v/>
      </c>
      <c r="N1317" s="9">
        <f>IF(ISNA(MATCH(1304,Engine!$C$2:$C$1369,0)),"",INDEX('Compliance Database'!$N$2:$N$1369,MATCH(1304,Engine!$C$2:$C$1369,0)))</f>
        <v/>
      </c>
      <c r="O1317" s="8">
        <f>IF(ISNA(MATCH(1304,Engine!$C$2:$C$1369,0)),"",HYPERLINK(INDEX('Compliance Database'!$O$2:$O$1369,MATCH(1304,Engine!$C$2:$C$1369,0)),"Open PDF"))</f>
        <v/>
      </c>
    </row>
    <row r="1318" ht="188" customHeight="1">
      <c r="A1318" s="8">
        <f>IF(ISNA(MATCH(1305,Engine!$C$2:$C$1369,0)),"",INDEX('Compliance Database'!$A$2:$A$1369,MATCH(1305,Engine!$C$2:$C$1369,0)))</f>
        <v/>
      </c>
      <c r="B1318" s="8">
        <f>IF(ISNA(MATCH(1305,Engine!$C$2:$C$1369,0)),"",INDEX('Compliance Database'!$B$2:$B$1369,MATCH(1305,Engine!$C$2:$C$1369,0)))</f>
        <v/>
      </c>
      <c r="C1318" s="8">
        <f>IF(ISNA(MATCH(1305,Engine!$C$2:$C$1369,0)),"",INDEX('Compliance Database'!$C$2:$C$1369,MATCH(1305,Engine!$C$2:$C$1369,0)))</f>
        <v/>
      </c>
      <c r="D1318" s="9">
        <f>IF(ISNA(MATCH(1305,Engine!$C$2:$C$1369,0)),"",INDEX('Compliance Database'!$D$2:$D$1369,MATCH(1305,Engine!$C$2:$C$1369,0)))</f>
        <v/>
      </c>
      <c r="E1318" s="8">
        <f>IF(ISNA(MATCH(1305,Engine!$C$2:$C$1369,0)),"",INDEX('Compliance Database'!$E$2:$E$1369,MATCH(1305,Engine!$C$2:$C$1369,0)))</f>
        <v/>
      </c>
      <c r="F1318" s="8">
        <f>IF(ISNA(MATCH(1305,Engine!$C$2:$C$1369,0)),"",INDEX('Compliance Database'!$F$2:$F$1369,MATCH(1305,Engine!$C$2:$C$1369,0)))</f>
        <v/>
      </c>
      <c r="G1318" s="8">
        <f>IF(ISNA(MATCH(1305,Engine!$C$2:$C$1369,0)),"",INDEX('Compliance Database'!$G$2:$G$1369,MATCH(1305,Engine!$C$2:$C$1369,0)))</f>
        <v/>
      </c>
      <c r="H1318" s="9">
        <f>IF(ISNA(MATCH(1305,Engine!$C$2:$C$1369,0)),"",INDEX('Compliance Database'!$H$2:$H$1369,MATCH(1305,Engine!$C$2:$C$1369,0)))</f>
        <v/>
      </c>
      <c r="I1318" s="9">
        <f>IF(ISNA(MATCH(1305,Engine!$C$2:$C$1369,0)),"",INDEX('Compliance Database'!$I$2:$I$1369,MATCH(1305,Engine!$C$2:$C$1369,0)))</f>
        <v/>
      </c>
      <c r="J1318" s="8">
        <f>IF(ISNA(MATCH(1305,Engine!$C$2:$C$1369,0)),"",INDEX('Compliance Database'!$J$2:$J$1369,MATCH(1305,Engine!$C$2:$C$1369,0)))</f>
        <v/>
      </c>
      <c r="K1318" s="9">
        <f>IF(ISNA(MATCH(1305,Engine!$C$2:$C$1369,0)),"",INDEX('Compliance Database'!$K$2:$K$1369,MATCH(1305,Engine!$C$2:$C$1369,0)))</f>
        <v/>
      </c>
      <c r="L1318" s="9">
        <f>IF(ISNA(MATCH(1305,Engine!$C$2:$C$1369,0)),"",INDEX('Compliance Database'!$L$2:$L$1369,MATCH(1305,Engine!$C$2:$C$1369,0)))</f>
        <v/>
      </c>
      <c r="M1318" s="9">
        <f>IF(ISNA(MATCH(1305,Engine!$C$2:$C$1369,0)),"",INDEX('Compliance Database'!$M$2:$M$1369,MATCH(1305,Engine!$C$2:$C$1369,0)))</f>
        <v/>
      </c>
      <c r="N1318" s="9">
        <f>IF(ISNA(MATCH(1305,Engine!$C$2:$C$1369,0)),"",INDEX('Compliance Database'!$N$2:$N$1369,MATCH(1305,Engine!$C$2:$C$1369,0)))</f>
        <v/>
      </c>
      <c r="O1318" s="8">
        <f>IF(ISNA(MATCH(1305,Engine!$C$2:$C$1369,0)),"",HYPERLINK(INDEX('Compliance Database'!$O$2:$O$1369,MATCH(1305,Engine!$C$2:$C$1369,0)),"Open PDF"))</f>
        <v/>
      </c>
    </row>
    <row r="1319" ht="188" customHeight="1">
      <c r="A1319" s="8">
        <f>IF(ISNA(MATCH(1306,Engine!$C$2:$C$1369,0)),"",INDEX('Compliance Database'!$A$2:$A$1369,MATCH(1306,Engine!$C$2:$C$1369,0)))</f>
        <v/>
      </c>
      <c r="B1319" s="8">
        <f>IF(ISNA(MATCH(1306,Engine!$C$2:$C$1369,0)),"",INDEX('Compliance Database'!$B$2:$B$1369,MATCH(1306,Engine!$C$2:$C$1369,0)))</f>
        <v/>
      </c>
      <c r="C1319" s="8">
        <f>IF(ISNA(MATCH(1306,Engine!$C$2:$C$1369,0)),"",INDEX('Compliance Database'!$C$2:$C$1369,MATCH(1306,Engine!$C$2:$C$1369,0)))</f>
        <v/>
      </c>
      <c r="D1319" s="9">
        <f>IF(ISNA(MATCH(1306,Engine!$C$2:$C$1369,0)),"",INDEX('Compliance Database'!$D$2:$D$1369,MATCH(1306,Engine!$C$2:$C$1369,0)))</f>
        <v/>
      </c>
      <c r="E1319" s="8">
        <f>IF(ISNA(MATCH(1306,Engine!$C$2:$C$1369,0)),"",INDEX('Compliance Database'!$E$2:$E$1369,MATCH(1306,Engine!$C$2:$C$1369,0)))</f>
        <v/>
      </c>
      <c r="F1319" s="8">
        <f>IF(ISNA(MATCH(1306,Engine!$C$2:$C$1369,0)),"",INDEX('Compliance Database'!$F$2:$F$1369,MATCH(1306,Engine!$C$2:$C$1369,0)))</f>
        <v/>
      </c>
      <c r="G1319" s="8">
        <f>IF(ISNA(MATCH(1306,Engine!$C$2:$C$1369,0)),"",INDEX('Compliance Database'!$G$2:$G$1369,MATCH(1306,Engine!$C$2:$C$1369,0)))</f>
        <v/>
      </c>
      <c r="H1319" s="9">
        <f>IF(ISNA(MATCH(1306,Engine!$C$2:$C$1369,0)),"",INDEX('Compliance Database'!$H$2:$H$1369,MATCH(1306,Engine!$C$2:$C$1369,0)))</f>
        <v/>
      </c>
      <c r="I1319" s="9">
        <f>IF(ISNA(MATCH(1306,Engine!$C$2:$C$1369,0)),"",INDEX('Compliance Database'!$I$2:$I$1369,MATCH(1306,Engine!$C$2:$C$1369,0)))</f>
        <v/>
      </c>
      <c r="J1319" s="8">
        <f>IF(ISNA(MATCH(1306,Engine!$C$2:$C$1369,0)),"",INDEX('Compliance Database'!$J$2:$J$1369,MATCH(1306,Engine!$C$2:$C$1369,0)))</f>
        <v/>
      </c>
      <c r="K1319" s="9">
        <f>IF(ISNA(MATCH(1306,Engine!$C$2:$C$1369,0)),"",INDEX('Compliance Database'!$K$2:$K$1369,MATCH(1306,Engine!$C$2:$C$1369,0)))</f>
        <v/>
      </c>
      <c r="L1319" s="9">
        <f>IF(ISNA(MATCH(1306,Engine!$C$2:$C$1369,0)),"",INDEX('Compliance Database'!$L$2:$L$1369,MATCH(1306,Engine!$C$2:$C$1369,0)))</f>
        <v/>
      </c>
      <c r="M1319" s="9">
        <f>IF(ISNA(MATCH(1306,Engine!$C$2:$C$1369,0)),"",INDEX('Compliance Database'!$M$2:$M$1369,MATCH(1306,Engine!$C$2:$C$1369,0)))</f>
        <v/>
      </c>
      <c r="N1319" s="9">
        <f>IF(ISNA(MATCH(1306,Engine!$C$2:$C$1369,0)),"",INDEX('Compliance Database'!$N$2:$N$1369,MATCH(1306,Engine!$C$2:$C$1369,0)))</f>
        <v/>
      </c>
      <c r="O1319" s="8">
        <f>IF(ISNA(MATCH(1306,Engine!$C$2:$C$1369,0)),"",HYPERLINK(INDEX('Compliance Database'!$O$2:$O$1369,MATCH(1306,Engine!$C$2:$C$1369,0)),"Open PDF"))</f>
        <v/>
      </c>
    </row>
    <row r="1320" ht="188" customHeight="1">
      <c r="A1320" s="8">
        <f>IF(ISNA(MATCH(1307,Engine!$C$2:$C$1369,0)),"",INDEX('Compliance Database'!$A$2:$A$1369,MATCH(1307,Engine!$C$2:$C$1369,0)))</f>
        <v/>
      </c>
      <c r="B1320" s="8">
        <f>IF(ISNA(MATCH(1307,Engine!$C$2:$C$1369,0)),"",INDEX('Compliance Database'!$B$2:$B$1369,MATCH(1307,Engine!$C$2:$C$1369,0)))</f>
        <v/>
      </c>
      <c r="C1320" s="8">
        <f>IF(ISNA(MATCH(1307,Engine!$C$2:$C$1369,0)),"",INDEX('Compliance Database'!$C$2:$C$1369,MATCH(1307,Engine!$C$2:$C$1369,0)))</f>
        <v/>
      </c>
      <c r="D1320" s="9">
        <f>IF(ISNA(MATCH(1307,Engine!$C$2:$C$1369,0)),"",INDEX('Compliance Database'!$D$2:$D$1369,MATCH(1307,Engine!$C$2:$C$1369,0)))</f>
        <v/>
      </c>
      <c r="E1320" s="8">
        <f>IF(ISNA(MATCH(1307,Engine!$C$2:$C$1369,0)),"",INDEX('Compliance Database'!$E$2:$E$1369,MATCH(1307,Engine!$C$2:$C$1369,0)))</f>
        <v/>
      </c>
      <c r="F1320" s="8">
        <f>IF(ISNA(MATCH(1307,Engine!$C$2:$C$1369,0)),"",INDEX('Compliance Database'!$F$2:$F$1369,MATCH(1307,Engine!$C$2:$C$1369,0)))</f>
        <v/>
      </c>
      <c r="G1320" s="8">
        <f>IF(ISNA(MATCH(1307,Engine!$C$2:$C$1369,0)),"",INDEX('Compliance Database'!$G$2:$G$1369,MATCH(1307,Engine!$C$2:$C$1369,0)))</f>
        <v/>
      </c>
      <c r="H1320" s="9">
        <f>IF(ISNA(MATCH(1307,Engine!$C$2:$C$1369,0)),"",INDEX('Compliance Database'!$H$2:$H$1369,MATCH(1307,Engine!$C$2:$C$1369,0)))</f>
        <v/>
      </c>
      <c r="I1320" s="9">
        <f>IF(ISNA(MATCH(1307,Engine!$C$2:$C$1369,0)),"",INDEX('Compliance Database'!$I$2:$I$1369,MATCH(1307,Engine!$C$2:$C$1369,0)))</f>
        <v/>
      </c>
      <c r="J1320" s="8">
        <f>IF(ISNA(MATCH(1307,Engine!$C$2:$C$1369,0)),"",INDEX('Compliance Database'!$J$2:$J$1369,MATCH(1307,Engine!$C$2:$C$1369,0)))</f>
        <v/>
      </c>
      <c r="K1320" s="9">
        <f>IF(ISNA(MATCH(1307,Engine!$C$2:$C$1369,0)),"",INDEX('Compliance Database'!$K$2:$K$1369,MATCH(1307,Engine!$C$2:$C$1369,0)))</f>
        <v/>
      </c>
      <c r="L1320" s="9">
        <f>IF(ISNA(MATCH(1307,Engine!$C$2:$C$1369,0)),"",INDEX('Compliance Database'!$L$2:$L$1369,MATCH(1307,Engine!$C$2:$C$1369,0)))</f>
        <v/>
      </c>
      <c r="M1320" s="9">
        <f>IF(ISNA(MATCH(1307,Engine!$C$2:$C$1369,0)),"",INDEX('Compliance Database'!$M$2:$M$1369,MATCH(1307,Engine!$C$2:$C$1369,0)))</f>
        <v/>
      </c>
      <c r="N1320" s="9">
        <f>IF(ISNA(MATCH(1307,Engine!$C$2:$C$1369,0)),"",INDEX('Compliance Database'!$N$2:$N$1369,MATCH(1307,Engine!$C$2:$C$1369,0)))</f>
        <v/>
      </c>
      <c r="O1320" s="8">
        <f>IF(ISNA(MATCH(1307,Engine!$C$2:$C$1369,0)),"",HYPERLINK(INDEX('Compliance Database'!$O$2:$O$1369,MATCH(1307,Engine!$C$2:$C$1369,0)),"Open PDF"))</f>
        <v/>
      </c>
    </row>
    <row r="1321" ht="188" customHeight="1">
      <c r="A1321" s="8">
        <f>IF(ISNA(MATCH(1308,Engine!$C$2:$C$1369,0)),"",INDEX('Compliance Database'!$A$2:$A$1369,MATCH(1308,Engine!$C$2:$C$1369,0)))</f>
        <v/>
      </c>
      <c r="B1321" s="8">
        <f>IF(ISNA(MATCH(1308,Engine!$C$2:$C$1369,0)),"",INDEX('Compliance Database'!$B$2:$B$1369,MATCH(1308,Engine!$C$2:$C$1369,0)))</f>
        <v/>
      </c>
      <c r="C1321" s="8">
        <f>IF(ISNA(MATCH(1308,Engine!$C$2:$C$1369,0)),"",INDEX('Compliance Database'!$C$2:$C$1369,MATCH(1308,Engine!$C$2:$C$1369,0)))</f>
        <v/>
      </c>
      <c r="D1321" s="9">
        <f>IF(ISNA(MATCH(1308,Engine!$C$2:$C$1369,0)),"",INDEX('Compliance Database'!$D$2:$D$1369,MATCH(1308,Engine!$C$2:$C$1369,0)))</f>
        <v/>
      </c>
      <c r="E1321" s="8">
        <f>IF(ISNA(MATCH(1308,Engine!$C$2:$C$1369,0)),"",INDEX('Compliance Database'!$E$2:$E$1369,MATCH(1308,Engine!$C$2:$C$1369,0)))</f>
        <v/>
      </c>
      <c r="F1321" s="8">
        <f>IF(ISNA(MATCH(1308,Engine!$C$2:$C$1369,0)),"",INDEX('Compliance Database'!$F$2:$F$1369,MATCH(1308,Engine!$C$2:$C$1369,0)))</f>
        <v/>
      </c>
      <c r="G1321" s="8">
        <f>IF(ISNA(MATCH(1308,Engine!$C$2:$C$1369,0)),"",INDEX('Compliance Database'!$G$2:$G$1369,MATCH(1308,Engine!$C$2:$C$1369,0)))</f>
        <v/>
      </c>
      <c r="H1321" s="9">
        <f>IF(ISNA(MATCH(1308,Engine!$C$2:$C$1369,0)),"",INDEX('Compliance Database'!$H$2:$H$1369,MATCH(1308,Engine!$C$2:$C$1369,0)))</f>
        <v/>
      </c>
      <c r="I1321" s="9">
        <f>IF(ISNA(MATCH(1308,Engine!$C$2:$C$1369,0)),"",INDEX('Compliance Database'!$I$2:$I$1369,MATCH(1308,Engine!$C$2:$C$1369,0)))</f>
        <v/>
      </c>
      <c r="J1321" s="8">
        <f>IF(ISNA(MATCH(1308,Engine!$C$2:$C$1369,0)),"",INDEX('Compliance Database'!$J$2:$J$1369,MATCH(1308,Engine!$C$2:$C$1369,0)))</f>
        <v/>
      </c>
      <c r="K1321" s="9">
        <f>IF(ISNA(MATCH(1308,Engine!$C$2:$C$1369,0)),"",INDEX('Compliance Database'!$K$2:$K$1369,MATCH(1308,Engine!$C$2:$C$1369,0)))</f>
        <v/>
      </c>
      <c r="L1321" s="9">
        <f>IF(ISNA(MATCH(1308,Engine!$C$2:$C$1369,0)),"",INDEX('Compliance Database'!$L$2:$L$1369,MATCH(1308,Engine!$C$2:$C$1369,0)))</f>
        <v/>
      </c>
      <c r="M1321" s="9">
        <f>IF(ISNA(MATCH(1308,Engine!$C$2:$C$1369,0)),"",INDEX('Compliance Database'!$M$2:$M$1369,MATCH(1308,Engine!$C$2:$C$1369,0)))</f>
        <v/>
      </c>
      <c r="N1321" s="9">
        <f>IF(ISNA(MATCH(1308,Engine!$C$2:$C$1369,0)),"",INDEX('Compliance Database'!$N$2:$N$1369,MATCH(1308,Engine!$C$2:$C$1369,0)))</f>
        <v/>
      </c>
      <c r="O1321" s="8">
        <f>IF(ISNA(MATCH(1308,Engine!$C$2:$C$1369,0)),"",HYPERLINK(INDEX('Compliance Database'!$O$2:$O$1369,MATCH(1308,Engine!$C$2:$C$1369,0)),"Open PDF"))</f>
        <v/>
      </c>
    </row>
    <row r="1322" ht="188" customHeight="1">
      <c r="A1322" s="8">
        <f>IF(ISNA(MATCH(1309,Engine!$C$2:$C$1369,0)),"",INDEX('Compliance Database'!$A$2:$A$1369,MATCH(1309,Engine!$C$2:$C$1369,0)))</f>
        <v/>
      </c>
      <c r="B1322" s="8">
        <f>IF(ISNA(MATCH(1309,Engine!$C$2:$C$1369,0)),"",INDEX('Compliance Database'!$B$2:$B$1369,MATCH(1309,Engine!$C$2:$C$1369,0)))</f>
        <v/>
      </c>
      <c r="C1322" s="8">
        <f>IF(ISNA(MATCH(1309,Engine!$C$2:$C$1369,0)),"",INDEX('Compliance Database'!$C$2:$C$1369,MATCH(1309,Engine!$C$2:$C$1369,0)))</f>
        <v/>
      </c>
      <c r="D1322" s="9">
        <f>IF(ISNA(MATCH(1309,Engine!$C$2:$C$1369,0)),"",INDEX('Compliance Database'!$D$2:$D$1369,MATCH(1309,Engine!$C$2:$C$1369,0)))</f>
        <v/>
      </c>
      <c r="E1322" s="8">
        <f>IF(ISNA(MATCH(1309,Engine!$C$2:$C$1369,0)),"",INDEX('Compliance Database'!$E$2:$E$1369,MATCH(1309,Engine!$C$2:$C$1369,0)))</f>
        <v/>
      </c>
      <c r="F1322" s="8">
        <f>IF(ISNA(MATCH(1309,Engine!$C$2:$C$1369,0)),"",INDEX('Compliance Database'!$F$2:$F$1369,MATCH(1309,Engine!$C$2:$C$1369,0)))</f>
        <v/>
      </c>
      <c r="G1322" s="8">
        <f>IF(ISNA(MATCH(1309,Engine!$C$2:$C$1369,0)),"",INDEX('Compliance Database'!$G$2:$G$1369,MATCH(1309,Engine!$C$2:$C$1369,0)))</f>
        <v/>
      </c>
      <c r="H1322" s="9">
        <f>IF(ISNA(MATCH(1309,Engine!$C$2:$C$1369,0)),"",INDEX('Compliance Database'!$H$2:$H$1369,MATCH(1309,Engine!$C$2:$C$1369,0)))</f>
        <v/>
      </c>
      <c r="I1322" s="9">
        <f>IF(ISNA(MATCH(1309,Engine!$C$2:$C$1369,0)),"",INDEX('Compliance Database'!$I$2:$I$1369,MATCH(1309,Engine!$C$2:$C$1369,0)))</f>
        <v/>
      </c>
      <c r="J1322" s="8">
        <f>IF(ISNA(MATCH(1309,Engine!$C$2:$C$1369,0)),"",INDEX('Compliance Database'!$J$2:$J$1369,MATCH(1309,Engine!$C$2:$C$1369,0)))</f>
        <v/>
      </c>
      <c r="K1322" s="9">
        <f>IF(ISNA(MATCH(1309,Engine!$C$2:$C$1369,0)),"",INDEX('Compliance Database'!$K$2:$K$1369,MATCH(1309,Engine!$C$2:$C$1369,0)))</f>
        <v/>
      </c>
      <c r="L1322" s="9">
        <f>IF(ISNA(MATCH(1309,Engine!$C$2:$C$1369,0)),"",INDEX('Compliance Database'!$L$2:$L$1369,MATCH(1309,Engine!$C$2:$C$1369,0)))</f>
        <v/>
      </c>
      <c r="M1322" s="9">
        <f>IF(ISNA(MATCH(1309,Engine!$C$2:$C$1369,0)),"",INDEX('Compliance Database'!$M$2:$M$1369,MATCH(1309,Engine!$C$2:$C$1369,0)))</f>
        <v/>
      </c>
      <c r="N1322" s="9">
        <f>IF(ISNA(MATCH(1309,Engine!$C$2:$C$1369,0)),"",INDEX('Compliance Database'!$N$2:$N$1369,MATCH(1309,Engine!$C$2:$C$1369,0)))</f>
        <v/>
      </c>
      <c r="O1322" s="8">
        <f>IF(ISNA(MATCH(1309,Engine!$C$2:$C$1369,0)),"",HYPERLINK(INDEX('Compliance Database'!$O$2:$O$1369,MATCH(1309,Engine!$C$2:$C$1369,0)),"Open PDF"))</f>
        <v/>
      </c>
    </row>
    <row r="1323" ht="188" customHeight="1">
      <c r="A1323" s="8">
        <f>IF(ISNA(MATCH(1310,Engine!$C$2:$C$1369,0)),"",INDEX('Compliance Database'!$A$2:$A$1369,MATCH(1310,Engine!$C$2:$C$1369,0)))</f>
        <v/>
      </c>
      <c r="B1323" s="8">
        <f>IF(ISNA(MATCH(1310,Engine!$C$2:$C$1369,0)),"",INDEX('Compliance Database'!$B$2:$B$1369,MATCH(1310,Engine!$C$2:$C$1369,0)))</f>
        <v/>
      </c>
      <c r="C1323" s="8">
        <f>IF(ISNA(MATCH(1310,Engine!$C$2:$C$1369,0)),"",INDEX('Compliance Database'!$C$2:$C$1369,MATCH(1310,Engine!$C$2:$C$1369,0)))</f>
        <v/>
      </c>
      <c r="D1323" s="9">
        <f>IF(ISNA(MATCH(1310,Engine!$C$2:$C$1369,0)),"",INDEX('Compliance Database'!$D$2:$D$1369,MATCH(1310,Engine!$C$2:$C$1369,0)))</f>
        <v/>
      </c>
      <c r="E1323" s="8">
        <f>IF(ISNA(MATCH(1310,Engine!$C$2:$C$1369,0)),"",INDEX('Compliance Database'!$E$2:$E$1369,MATCH(1310,Engine!$C$2:$C$1369,0)))</f>
        <v/>
      </c>
      <c r="F1323" s="8">
        <f>IF(ISNA(MATCH(1310,Engine!$C$2:$C$1369,0)),"",INDEX('Compliance Database'!$F$2:$F$1369,MATCH(1310,Engine!$C$2:$C$1369,0)))</f>
        <v/>
      </c>
      <c r="G1323" s="8">
        <f>IF(ISNA(MATCH(1310,Engine!$C$2:$C$1369,0)),"",INDEX('Compliance Database'!$G$2:$G$1369,MATCH(1310,Engine!$C$2:$C$1369,0)))</f>
        <v/>
      </c>
      <c r="H1323" s="9">
        <f>IF(ISNA(MATCH(1310,Engine!$C$2:$C$1369,0)),"",INDEX('Compliance Database'!$H$2:$H$1369,MATCH(1310,Engine!$C$2:$C$1369,0)))</f>
        <v/>
      </c>
      <c r="I1323" s="9">
        <f>IF(ISNA(MATCH(1310,Engine!$C$2:$C$1369,0)),"",INDEX('Compliance Database'!$I$2:$I$1369,MATCH(1310,Engine!$C$2:$C$1369,0)))</f>
        <v/>
      </c>
      <c r="J1323" s="8">
        <f>IF(ISNA(MATCH(1310,Engine!$C$2:$C$1369,0)),"",INDEX('Compliance Database'!$J$2:$J$1369,MATCH(1310,Engine!$C$2:$C$1369,0)))</f>
        <v/>
      </c>
      <c r="K1323" s="9">
        <f>IF(ISNA(MATCH(1310,Engine!$C$2:$C$1369,0)),"",INDEX('Compliance Database'!$K$2:$K$1369,MATCH(1310,Engine!$C$2:$C$1369,0)))</f>
        <v/>
      </c>
      <c r="L1323" s="9">
        <f>IF(ISNA(MATCH(1310,Engine!$C$2:$C$1369,0)),"",INDEX('Compliance Database'!$L$2:$L$1369,MATCH(1310,Engine!$C$2:$C$1369,0)))</f>
        <v/>
      </c>
      <c r="M1323" s="9">
        <f>IF(ISNA(MATCH(1310,Engine!$C$2:$C$1369,0)),"",INDEX('Compliance Database'!$M$2:$M$1369,MATCH(1310,Engine!$C$2:$C$1369,0)))</f>
        <v/>
      </c>
      <c r="N1323" s="9">
        <f>IF(ISNA(MATCH(1310,Engine!$C$2:$C$1369,0)),"",INDEX('Compliance Database'!$N$2:$N$1369,MATCH(1310,Engine!$C$2:$C$1369,0)))</f>
        <v/>
      </c>
      <c r="O1323" s="8">
        <f>IF(ISNA(MATCH(1310,Engine!$C$2:$C$1369,0)),"",HYPERLINK(INDEX('Compliance Database'!$O$2:$O$1369,MATCH(1310,Engine!$C$2:$C$1369,0)),"Open PDF"))</f>
        <v/>
      </c>
    </row>
    <row r="1324" ht="188" customHeight="1">
      <c r="A1324" s="8">
        <f>IF(ISNA(MATCH(1311,Engine!$C$2:$C$1369,0)),"",INDEX('Compliance Database'!$A$2:$A$1369,MATCH(1311,Engine!$C$2:$C$1369,0)))</f>
        <v/>
      </c>
      <c r="B1324" s="8">
        <f>IF(ISNA(MATCH(1311,Engine!$C$2:$C$1369,0)),"",INDEX('Compliance Database'!$B$2:$B$1369,MATCH(1311,Engine!$C$2:$C$1369,0)))</f>
        <v/>
      </c>
      <c r="C1324" s="8">
        <f>IF(ISNA(MATCH(1311,Engine!$C$2:$C$1369,0)),"",INDEX('Compliance Database'!$C$2:$C$1369,MATCH(1311,Engine!$C$2:$C$1369,0)))</f>
        <v/>
      </c>
      <c r="D1324" s="9">
        <f>IF(ISNA(MATCH(1311,Engine!$C$2:$C$1369,0)),"",INDEX('Compliance Database'!$D$2:$D$1369,MATCH(1311,Engine!$C$2:$C$1369,0)))</f>
        <v/>
      </c>
      <c r="E1324" s="8">
        <f>IF(ISNA(MATCH(1311,Engine!$C$2:$C$1369,0)),"",INDEX('Compliance Database'!$E$2:$E$1369,MATCH(1311,Engine!$C$2:$C$1369,0)))</f>
        <v/>
      </c>
      <c r="F1324" s="8">
        <f>IF(ISNA(MATCH(1311,Engine!$C$2:$C$1369,0)),"",INDEX('Compliance Database'!$F$2:$F$1369,MATCH(1311,Engine!$C$2:$C$1369,0)))</f>
        <v/>
      </c>
      <c r="G1324" s="8">
        <f>IF(ISNA(MATCH(1311,Engine!$C$2:$C$1369,0)),"",INDEX('Compliance Database'!$G$2:$G$1369,MATCH(1311,Engine!$C$2:$C$1369,0)))</f>
        <v/>
      </c>
      <c r="H1324" s="9">
        <f>IF(ISNA(MATCH(1311,Engine!$C$2:$C$1369,0)),"",INDEX('Compliance Database'!$H$2:$H$1369,MATCH(1311,Engine!$C$2:$C$1369,0)))</f>
        <v/>
      </c>
      <c r="I1324" s="9">
        <f>IF(ISNA(MATCH(1311,Engine!$C$2:$C$1369,0)),"",INDEX('Compliance Database'!$I$2:$I$1369,MATCH(1311,Engine!$C$2:$C$1369,0)))</f>
        <v/>
      </c>
      <c r="J1324" s="8">
        <f>IF(ISNA(MATCH(1311,Engine!$C$2:$C$1369,0)),"",INDEX('Compliance Database'!$J$2:$J$1369,MATCH(1311,Engine!$C$2:$C$1369,0)))</f>
        <v/>
      </c>
      <c r="K1324" s="9">
        <f>IF(ISNA(MATCH(1311,Engine!$C$2:$C$1369,0)),"",INDEX('Compliance Database'!$K$2:$K$1369,MATCH(1311,Engine!$C$2:$C$1369,0)))</f>
        <v/>
      </c>
      <c r="L1324" s="9">
        <f>IF(ISNA(MATCH(1311,Engine!$C$2:$C$1369,0)),"",INDEX('Compliance Database'!$L$2:$L$1369,MATCH(1311,Engine!$C$2:$C$1369,0)))</f>
        <v/>
      </c>
      <c r="M1324" s="9">
        <f>IF(ISNA(MATCH(1311,Engine!$C$2:$C$1369,0)),"",INDEX('Compliance Database'!$M$2:$M$1369,MATCH(1311,Engine!$C$2:$C$1369,0)))</f>
        <v/>
      </c>
      <c r="N1324" s="9">
        <f>IF(ISNA(MATCH(1311,Engine!$C$2:$C$1369,0)),"",INDEX('Compliance Database'!$N$2:$N$1369,MATCH(1311,Engine!$C$2:$C$1369,0)))</f>
        <v/>
      </c>
      <c r="O1324" s="8">
        <f>IF(ISNA(MATCH(1311,Engine!$C$2:$C$1369,0)),"",HYPERLINK(INDEX('Compliance Database'!$O$2:$O$1369,MATCH(1311,Engine!$C$2:$C$1369,0)),"Open PDF"))</f>
        <v/>
      </c>
    </row>
    <row r="1325" ht="188" customHeight="1">
      <c r="A1325" s="8">
        <f>IF(ISNA(MATCH(1312,Engine!$C$2:$C$1369,0)),"",INDEX('Compliance Database'!$A$2:$A$1369,MATCH(1312,Engine!$C$2:$C$1369,0)))</f>
        <v/>
      </c>
      <c r="B1325" s="8">
        <f>IF(ISNA(MATCH(1312,Engine!$C$2:$C$1369,0)),"",INDEX('Compliance Database'!$B$2:$B$1369,MATCH(1312,Engine!$C$2:$C$1369,0)))</f>
        <v/>
      </c>
      <c r="C1325" s="8">
        <f>IF(ISNA(MATCH(1312,Engine!$C$2:$C$1369,0)),"",INDEX('Compliance Database'!$C$2:$C$1369,MATCH(1312,Engine!$C$2:$C$1369,0)))</f>
        <v/>
      </c>
      <c r="D1325" s="9">
        <f>IF(ISNA(MATCH(1312,Engine!$C$2:$C$1369,0)),"",INDEX('Compliance Database'!$D$2:$D$1369,MATCH(1312,Engine!$C$2:$C$1369,0)))</f>
        <v/>
      </c>
      <c r="E1325" s="8">
        <f>IF(ISNA(MATCH(1312,Engine!$C$2:$C$1369,0)),"",INDEX('Compliance Database'!$E$2:$E$1369,MATCH(1312,Engine!$C$2:$C$1369,0)))</f>
        <v/>
      </c>
      <c r="F1325" s="8">
        <f>IF(ISNA(MATCH(1312,Engine!$C$2:$C$1369,0)),"",INDEX('Compliance Database'!$F$2:$F$1369,MATCH(1312,Engine!$C$2:$C$1369,0)))</f>
        <v/>
      </c>
      <c r="G1325" s="8">
        <f>IF(ISNA(MATCH(1312,Engine!$C$2:$C$1369,0)),"",INDEX('Compliance Database'!$G$2:$G$1369,MATCH(1312,Engine!$C$2:$C$1369,0)))</f>
        <v/>
      </c>
      <c r="H1325" s="9">
        <f>IF(ISNA(MATCH(1312,Engine!$C$2:$C$1369,0)),"",INDEX('Compliance Database'!$H$2:$H$1369,MATCH(1312,Engine!$C$2:$C$1369,0)))</f>
        <v/>
      </c>
      <c r="I1325" s="9">
        <f>IF(ISNA(MATCH(1312,Engine!$C$2:$C$1369,0)),"",INDEX('Compliance Database'!$I$2:$I$1369,MATCH(1312,Engine!$C$2:$C$1369,0)))</f>
        <v/>
      </c>
      <c r="J1325" s="8">
        <f>IF(ISNA(MATCH(1312,Engine!$C$2:$C$1369,0)),"",INDEX('Compliance Database'!$J$2:$J$1369,MATCH(1312,Engine!$C$2:$C$1369,0)))</f>
        <v/>
      </c>
      <c r="K1325" s="9">
        <f>IF(ISNA(MATCH(1312,Engine!$C$2:$C$1369,0)),"",INDEX('Compliance Database'!$K$2:$K$1369,MATCH(1312,Engine!$C$2:$C$1369,0)))</f>
        <v/>
      </c>
      <c r="L1325" s="9">
        <f>IF(ISNA(MATCH(1312,Engine!$C$2:$C$1369,0)),"",INDEX('Compliance Database'!$L$2:$L$1369,MATCH(1312,Engine!$C$2:$C$1369,0)))</f>
        <v/>
      </c>
      <c r="M1325" s="9">
        <f>IF(ISNA(MATCH(1312,Engine!$C$2:$C$1369,0)),"",INDEX('Compliance Database'!$M$2:$M$1369,MATCH(1312,Engine!$C$2:$C$1369,0)))</f>
        <v/>
      </c>
      <c r="N1325" s="9">
        <f>IF(ISNA(MATCH(1312,Engine!$C$2:$C$1369,0)),"",INDEX('Compliance Database'!$N$2:$N$1369,MATCH(1312,Engine!$C$2:$C$1369,0)))</f>
        <v/>
      </c>
      <c r="O1325" s="8">
        <f>IF(ISNA(MATCH(1312,Engine!$C$2:$C$1369,0)),"",HYPERLINK(INDEX('Compliance Database'!$O$2:$O$1369,MATCH(1312,Engine!$C$2:$C$1369,0)),"Open PDF"))</f>
        <v/>
      </c>
    </row>
    <row r="1326" ht="188" customHeight="1">
      <c r="A1326" s="8">
        <f>IF(ISNA(MATCH(1313,Engine!$C$2:$C$1369,0)),"",INDEX('Compliance Database'!$A$2:$A$1369,MATCH(1313,Engine!$C$2:$C$1369,0)))</f>
        <v/>
      </c>
      <c r="B1326" s="8">
        <f>IF(ISNA(MATCH(1313,Engine!$C$2:$C$1369,0)),"",INDEX('Compliance Database'!$B$2:$B$1369,MATCH(1313,Engine!$C$2:$C$1369,0)))</f>
        <v/>
      </c>
      <c r="C1326" s="8">
        <f>IF(ISNA(MATCH(1313,Engine!$C$2:$C$1369,0)),"",INDEX('Compliance Database'!$C$2:$C$1369,MATCH(1313,Engine!$C$2:$C$1369,0)))</f>
        <v/>
      </c>
      <c r="D1326" s="9">
        <f>IF(ISNA(MATCH(1313,Engine!$C$2:$C$1369,0)),"",INDEX('Compliance Database'!$D$2:$D$1369,MATCH(1313,Engine!$C$2:$C$1369,0)))</f>
        <v/>
      </c>
      <c r="E1326" s="8">
        <f>IF(ISNA(MATCH(1313,Engine!$C$2:$C$1369,0)),"",INDEX('Compliance Database'!$E$2:$E$1369,MATCH(1313,Engine!$C$2:$C$1369,0)))</f>
        <v/>
      </c>
      <c r="F1326" s="8">
        <f>IF(ISNA(MATCH(1313,Engine!$C$2:$C$1369,0)),"",INDEX('Compliance Database'!$F$2:$F$1369,MATCH(1313,Engine!$C$2:$C$1369,0)))</f>
        <v/>
      </c>
      <c r="G1326" s="8">
        <f>IF(ISNA(MATCH(1313,Engine!$C$2:$C$1369,0)),"",INDEX('Compliance Database'!$G$2:$G$1369,MATCH(1313,Engine!$C$2:$C$1369,0)))</f>
        <v/>
      </c>
      <c r="H1326" s="9">
        <f>IF(ISNA(MATCH(1313,Engine!$C$2:$C$1369,0)),"",INDEX('Compliance Database'!$H$2:$H$1369,MATCH(1313,Engine!$C$2:$C$1369,0)))</f>
        <v/>
      </c>
      <c r="I1326" s="9">
        <f>IF(ISNA(MATCH(1313,Engine!$C$2:$C$1369,0)),"",INDEX('Compliance Database'!$I$2:$I$1369,MATCH(1313,Engine!$C$2:$C$1369,0)))</f>
        <v/>
      </c>
      <c r="J1326" s="8">
        <f>IF(ISNA(MATCH(1313,Engine!$C$2:$C$1369,0)),"",INDEX('Compliance Database'!$J$2:$J$1369,MATCH(1313,Engine!$C$2:$C$1369,0)))</f>
        <v/>
      </c>
      <c r="K1326" s="9">
        <f>IF(ISNA(MATCH(1313,Engine!$C$2:$C$1369,0)),"",INDEX('Compliance Database'!$K$2:$K$1369,MATCH(1313,Engine!$C$2:$C$1369,0)))</f>
        <v/>
      </c>
      <c r="L1326" s="9">
        <f>IF(ISNA(MATCH(1313,Engine!$C$2:$C$1369,0)),"",INDEX('Compliance Database'!$L$2:$L$1369,MATCH(1313,Engine!$C$2:$C$1369,0)))</f>
        <v/>
      </c>
      <c r="M1326" s="9">
        <f>IF(ISNA(MATCH(1313,Engine!$C$2:$C$1369,0)),"",INDEX('Compliance Database'!$M$2:$M$1369,MATCH(1313,Engine!$C$2:$C$1369,0)))</f>
        <v/>
      </c>
      <c r="N1326" s="9">
        <f>IF(ISNA(MATCH(1313,Engine!$C$2:$C$1369,0)),"",INDEX('Compliance Database'!$N$2:$N$1369,MATCH(1313,Engine!$C$2:$C$1369,0)))</f>
        <v/>
      </c>
      <c r="O1326" s="8">
        <f>IF(ISNA(MATCH(1313,Engine!$C$2:$C$1369,0)),"",HYPERLINK(INDEX('Compliance Database'!$O$2:$O$1369,MATCH(1313,Engine!$C$2:$C$1369,0)),"Open PDF"))</f>
        <v/>
      </c>
    </row>
    <row r="1327" ht="188" customHeight="1">
      <c r="A1327" s="8">
        <f>IF(ISNA(MATCH(1314,Engine!$C$2:$C$1369,0)),"",INDEX('Compliance Database'!$A$2:$A$1369,MATCH(1314,Engine!$C$2:$C$1369,0)))</f>
        <v/>
      </c>
      <c r="B1327" s="8">
        <f>IF(ISNA(MATCH(1314,Engine!$C$2:$C$1369,0)),"",INDEX('Compliance Database'!$B$2:$B$1369,MATCH(1314,Engine!$C$2:$C$1369,0)))</f>
        <v/>
      </c>
      <c r="C1327" s="8">
        <f>IF(ISNA(MATCH(1314,Engine!$C$2:$C$1369,0)),"",INDEX('Compliance Database'!$C$2:$C$1369,MATCH(1314,Engine!$C$2:$C$1369,0)))</f>
        <v/>
      </c>
      <c r="D1327" s="9">
        <f>IF(ISNA(MATCH(1314,Engine!$C$2:$C$1369,0)),"",INDEX('Compliance Database'!$D$2:$D$1369,MATCH(1314,Engine!$C$2:$C$1369,0)))</f>
        <v/>
      </c>
      <c r="E1327" s="8">
        <f>IF(ISNA(MATCH(1314,Engine!$C$2:$C$1369,0)),"",INDEX('Compliance Database'!$E$2:$E$1369,MATCH(1314,Engine!$C$2:$C$1369,0)))</f>
        <v/>
      </c>
      <c r="F1327" s="8">
        <f>IF(ISNA(MATCH(1314,Engine!$C$2:$C$1369,0)),"",INDEX('Compliance Database'!$F$2:$F$1369,MATCH(1314,Engine!$C$2:$C$1369,0)))</f>
        <v/>
      </c>
      <c r="G1327" s="8">
        <f>IF(ISNA(MATCH(1314,Engine!$C$2:$C$1369,0)),"",INDEX('Compliance Database'!$G$2:$G$1369,MATCH(1314,Engine!$C$2:$C$1369,0)))</f>
        <v/>
      </c>
      <c r="H1327" s="9">
        <f>IF(ISNA(MATCH(1314,Engine!$C$2:$C$1369,0)),"",INDEX('Compliance Database'!$H$2:$H$1369,MATCH(1314,Engine!$C$2:$C$1369,0)))</f>
        <v/>
      </c>
      <c r="I1327" s="9">
        <f>IF(ISNA(MATCH(1314,Engine!$C$2:$C$1369,0)),"",INDEX('Compliance Database'!$I$2:$I$1369,MATCH(1314,Engine!$C$2:$C$1369,0)))</f>
        <v/>
      </c>
      <c r="J1327" s="8">
        <f>IF(ISNA(MATCH(1314,Engine!$C$2:$C$1369,0)),"",INDEX('Compliance Database'!$J$2:$J$1369,MATCH(1314,Engine!$C$2:$C$1369,0)))</f>
        <v/>
      </c>
      <c r="K1327" s="9">
        <f>IF(ISNA(MATCH(1314,Engine!$C$2:$C$1369,0)),"",INDEX('Compliance Database'!$K$2:$K$1369,MATCH(1314,Engine!$C$2:$C$1369,0)))</f>
        <v/>
      </c>
      <c r="L1327" s="9">
        <f>IF(ISNA(MATCH(1314,Engine!$C$2:$C$1369,0)),"",INDEX('Compliance Database'!$L$2:$L$1369,MATCH(1314,Engine!$C$2:$C$1369,0)))</f>
        <v/>
      </c>
      <c r="M1327" s="9">
        <f>IF(ISNA(MATCH(1314,Engine!$C$2:$C$1369,0)),"",INDEX('Compliance Database'!$M$2:$M$1369,MATCH(1314,Engine!$C$2:$C$1369,0)))</f>
        <v/>
      </c>
      <c r="N1327" s="9">
        <f>IF(ISNA(MATCH(1314,Engine!$C$2:$C$1369,0)),"",INDEX('Compliance Database'!$N$2:$N$1369,MATCH(1314,Engine!$C$2:$C$1369,0)))</f>
        <v/>
      </c>
      <c r="O1327" s="8">
        <f>IF(ISNA(MATCH(1314,Engine!$C$2:$C$1369,0)),"",HYPERLINK(INDEX('Compliance Database'!$O$2:$O$1369,MATCH(1314,Engine!$C$2:$C$1369,0)),"Open PDF"))</f>
        <v/>
      </c>
    </row>
    <row r="1328" ht="188" customHeight="1">
      <c r="A1328" s="8">
        <f>IF(ISNA(MATCH(1315,Engine!$C$2:$C$1369,0)),"",INDEX('Compliance Database'!$A$2:$A$1369,MATCH(1315,Engine!$C$2:$C$1369,0)))</f>
        <v/>
      </c>
      <c r="B1328" s="8">
        <f>IF(ISNA(MATCH(1315,Engine!$C$2:$C$1369,0)),"",INDEX('Compliance Database'!$B$2:$B$1369,MATCH(1315,Engine!$C$2:$C$1369,0)))</f>
        <v/>
      </c>
      <c r="C1328" s="8">
        <f>IF(ISNA(MATCH(1315,Engine!$C$2:$C$1369,0)),"",INDEX('Compliance Database'!$C$2:$C$1369,MATCH(1315,Engine!$C$2:$C$1369,0)))</f>
        <v/>
      </c>
      <c r="D1328" s="9">
        <f>IF(ISNA(MATCH(1315,Engine!$C$2:$C$1369,0)),"",INDEX('Compliance Database'!$D$2:$D$1369,MATCH(1315,Engine!$C$2:$C$1369,0)))</f>
        <v/>
      </c>
      <c r="E1328" s="8">
        <f>IF(ISNA(MATCH(1315,Engine!$C$2:$C$1369,0)),"",INDEX('Compliance Database'!$E$2:$E$1369,MATCH(1315,Engine!$C$2:$C$1369,0)))</f>
        <v/>
      </c>
      <c r="F1328" s="8">
        <f>IF(ISNA(MATCH(1315,Engine!$C$2:$C$1369,0)),"",INDEX('Compliance Database'!$F$2:$F$1369,MATCH(1315,Engine!$C$2:$C$1369,0)))</f>
        <v/>
      </c>
      <c r="G1328" s="8">
        <f>IF(ISNA(MATCH(1315,Engine!$C$2:$C$1369,0)),"",INDEX('Compliance Database'!$G$2:$G$1369,MATCH(1315,Engine!$C$2:$C$1369,0)))</f>
        <v/>
      </c>
      <c r="H1328" s="9">
        <f>IF(ISNA(MATCH(1315,Engine!$C$2:$C$1369,0)),"",INDEX('Compliance Database'!$H$2:$H$1369,MATCH(1315,Engine!$C$2:$C$1369,0)))</f>
        <v/>
      </c>
      <c r="I1328" s="9">
        <f>IF(ISNA(MATCH(1315,Engine!$C$2:$C$1369,0)),"",INDEX('Compliance Database'!$I$2:$I$1369,MATCH(1315,Engine!$C$2:$C$1369,0)))</f>
        <v/>
      </c>
      <c r="J1328" s="8">
        <f>IF(ISNA(MATCH(1315,Engine!$C$2:$C$1369,0)),"",INDEX('Compliance Database'!$J$2:$J$1369,MATCH(1315,Engine!$C$2:$C$1369,0)))</f>
        <v/>
      </c>
      <c r="K1328" s="9">
        <f>IF(ISNA(MATCH(1315,Engine!$C$2:$C$1369,0)),"",INDEX('Compliance Database'!$K$2:$K$1369,MATCH(1315,Engine!$C$2:$C$1369,0)))</f>
        <v/>
      </c>
      <c r="L1328" s="9">
        <f>IF(ISNA(MATCH(1315,Engine!$C$2:$C$1369,0)),"",INDEX('Compliance Database'!$L$2:$L$1369,MATCH(1315,Engine!$C$2:$C$1369,0)))</f>
        <v/>
      </c>
      <c r="M1328" s="9">
        <f>IF(ISNA(MATCH(1315,Engine!$C$2:$C$1369,0)),"",INDEX('Compliance Database'!$M$2:$M$1369,MATCH(1315,Engine!$C$2:$C$1369,0)))</f>
        <v/>
      </c>
      <c r="N1328" s="9">
        <f>IF(ISNA(MATCH(1315,Engine!$C$2:$C$1369,0)),"",INDEX('Compliance Database'!$N$2:$N$1369,MATCH(1315,Engine!$C$2:$C$1369,0)))</f>
        <v/>
      </c>
      <c r="O1328" s="8">
        <f>IF(ISNA(MATCH(1315,Engine!$C$2:$C$1369,0)),"",HYPERLINK(INDEX('Compliance Database'!$O$2:$O$1369,MATCH(1315,Engine!$C$2:$C$1369,0)),"Open PDF"))</f>
        <v/>
      </c>
    </row>
    <row r="1329" ht="188" customHeight="1">
      <c r="A1329" s="8">
        <f>IF(ISNA(MATCH(1316,Engine!$C$2:$C$1369,0)),"",INDEX('Compliance Database'!$A$2:$A$1369,MATCH(1316,Engine!$C$2:$C$1369,0)))</f>
        <v/>
      </c>
      <c r="B1329" s="8">
        <f>IF(ISNA(MATCH(1316,Engine!$C$2:$C$1369,0)),"",INDEX('Compliance Database'!$B$2:$B$1369,MATCH(1316,Engine!$C$2:$C$1369,0)))</f>
        <v/>
      </c>
      <c r="C1329" s="8">
        <f>IF(ISNA(MATCH(1316,Engine!$C$2:$C$1369,0)),"",INDEX('Compliance Database'!$C$2:$C$1369,MATCH(1316,Engine!$C$2:$C$1369,0)))</f>
        <v/>
      </c>
      <c r="D1329" s="9">
        <f>IF(ISNA(MATCH(1316,Engine!$C$2:$C$1369,0)),"",INDEX('Compliance Database'!$D$2:$D$1369,MATCH(1316,Engine!$C$2:$C$1369,0)))</f>
        <v/>
      </c>
      <c r="E1329" s="8">
        <f>IF(ISNA(MATCH(1316,Engine!$C$2:$C$1369,0)),"",INDEX('Compliance Database'!$E$2:$E$1369,MATCH(1316,Engine!$C$2:$C$1369,0)))</f>
        <v/>
      </c>
      <c r="F1329" s="8">
        <f>IF(ISNA(MATCH(1316,Engine!$C$2:$C$1369,0)),"",INDEX('Compliance Database'!$F$2:$F$1369,MATCH(1316,Engine!$C$2:$C$1369,0)))</f>
        <v/>
      </c>
      <c r="G1329" s="8">
        <f>IF(ISNA(MATCH(1316,Engine!$C$2:$C$1369,0)),"",INDEX('Compliance Database'!$G$2:$G$1369,MATCH(1316,Engine!$C$2:$C$1369,0)))</f>
        <v/>
      </c>
      <c r="H1329" s="9">
        <f>IF(ISNA(MATCH(1316,Engine!$C$2:$C$1369,0)),"",INDEX('Compliance Database'!$H$2:$H$1369,MATCH(1316,Engine!$C$2:$C$1369,0)))</f>
        <v/>
      </c>
      <c r="I1329" s="9">
        <f>IF(ISNA(MATCH(1316,Engine!$C$2:$C$1369,0)),"",INDEX('Compliance Database'!$I$2:$I$1369,MATCH(1316,Engine!$C$2:$C$1369,0)))</f>
        <v/>
      </c>
      <c r="J1329" s="8">
        <f>IF(ISNA(MATCH(1316,Engine!$C$2:$C$1369,0)),"",INDEX('Compliance Database'!$J$2:$J$1369,MATCH(1316,Engine!$C$2:$C$1369,0)))</f>
        <v/>
      </c>
      <c r="K1329" s="9">
        <f>IF(ISNA(MATCH(1316,Engine!$C$2:$C$1369,0)),"",INDEX('Compliance Database'!$K$2:$K$1369,MATCH(1316,Engine!$C$2:$C$1369,0)))</f>
        <v/>
      </c>
      <c r="L1329" s="9">
        <f>IF(ISNA(MATCH(1316,Engine!$C$2:$C$1369,0)),"",INDEX('Compliance Database'!$L$2:$L$1369,MATCH(1316,Engine!$C$2:$C$1369,0)))</f>
        <v/>
      </c>
      <c r="M1329" s="9">
        <f>IF(ISNA(MATCH(1316,Engine!$C$2:$C$1369,0)),"",INDEX('Compliance Database'!$M$2:$M$1369,MATCH(1316,Engine!$C$2:$C$1369,0)))</f>
        <v/>
      </c>
      <c r="N1329" s="9">
        <f>IF(ISNA(MATCH(1316,Engine!$C$2:$C$1369,0)),"",INDEX('Compliance Database'!$N$2:$N$1369,MATCH(1316,Engine!$C$2:$C$1369,0)))</f>
        <v/>
      </c>
      <c r="O1329" s="8">
        <f>IF(ISNA(MATCH(1316,Engine!$C$2:$C$1369,0)),"",HYPERLINK(INDEX('Compliance Database'!$O$2:$O$1369,MATCH(1316,Engine!$C$2:$C$1369,0)),"Open PDF"))</f>
        <v/>
      </c>
    </row>
    <row r="1330" ht="188" customHeight="1">
      <c r="A1330" s="8">
        <f>IF(ISNA(MATCH(1317,Engine!$C$2:$C$1369,0)),"",INDEX('Compliance Database'!$A$2:$A$1369,MATCH(1317,Engine!$C$2:$C$1369,0)))</f>
        <v/>
      </c>
      <c r="B1330" s="8">
        <f>IF(ISNA(MATCH(1317,Engine!$C$2:$C$1369,0)),"",INDEX('Compliance Database'!$B$2:$B$1369,MATCH(1317,Engine!$C$2:$C$1369,0)))</f>
        <v/>
      </c>
      <c r="C1330" s="8">
        <f>IF(ISNA(MATCH(1317,Engine!$C$2:$C$1369,0)),"",INDEX('Compliance Database'!$C$2:$C$1369,MATCH(1317,Engine!$C$2:$C$1369,0)))</f>
        <v/>
      </c>
      <c r="D1330" s="9">
        <f>IF(ISNA(MATCH(1317,Engine!$C$2:$C$1369,0)),"",INDEX('Compliance Database'!$D$2:$D$1369,MATCH(1317,Engine!$C$2:$C$1369,0)))</f>
        <v/>
      </c>
      <c r="E1330" s="8">
        <f>IF(ISNA(MATCH(1317,Engine!$C$2:$C$1369,0)),"",INDEX('Compliance Database'!$E$2:$E$1369,MATCH(1317,Engine!$C$2:$C$1369,0)))</f>
        <v/>
      </c>
      <c r="F1330" s="8">
        <f>IF(ISNA(MATCH(1317,Engine!$C$2:$C$1369,0)),"",INDEX('Compliance Database'!$F$2:$F$1369,MATCH(1317,Engine!$C$2:$C$1369,0)))</f>
        <v/>
      </c>
      <c r="G1330" s="8">
        <f>IF(ISNA(MATCH(1317,Engine!$C$2:$C$1369,0)),"",INDEX('Compliance Database'!$G$2:$G$1369,MATCH(1317,Engine!$C$2:$C$1369,0)))</f>
        <v/>
      </c>
      <c r="H1330" s="9">
        <f>IF(ISNA(MATCH(1317,Engine!$C$2:$C$1369,0)),"",INDEX('Compliance Database'!$H$2:$H$1369,MATCH(1317,Engine!$C$2:$C$1369,0)))</f>
        <v/>
      </c>
      <c r="I1330" s="9">
        <f>IF(ISNA(MATCH(1317,Engine!$C$2:$C$1369,0)),"",INDEX('Compliance Database'!$I$2:$I$1369,MATCH(1317,Engine!$C$2:$C$1369,0)))</f>
        <v/>
      </c>
      <c r="J1330" s="8">
        <f>IF(ISNA(MATCH(1317,Engine!$C$2:$C$1369,0)),"",INDEX('Compliance Database'!$J$2:$J$1369,MATCH(1317,Engine!$C$2:$C$1369,0)))</f>
        <v/>
      </c>
      <c r="K1330" s="9">
        <f>IF(ISNA(MATCH(1317,Engine!$C$2:$C$1369,0)),"",INDEX('Compliance Database'!$K$2:$K$1369,MATCH(1317,Engine!$C$2:$C$1369,0)))</f>
        <v/>
      </c>
      <c r="L1330" s="9">
        <f>IF(ISNA(MATCH(1317,Engine!$C$2:$C$1369,0)),"",INDEX('Compliance Database'!$L$2:$L$1369,MATCH(1317,Engine!$C$2:$C$1369,0)))</f>
        <v/>
      </c>
      <c r="M1330" s="9">
        <f>IF(ISNA(MATCH(1317,Engine!$C$2:$C$1369,0)),"",INDEX('Compliance Database'!$M$2:$M$1369,MATCH(1317,Engine!$C$2:$C$1369,0)))</f>
        <v/>
      </c>
      <c r="N1330" s="9">
        <f>IF(ISNA(MATCH(1317,Engine!$C$2:$C$1369,0)),"",INDEX('Compliance Database'!$N$2:$N$1369,MATCH(1317,Engine!$C$2:$C$1369,0)))</f>
        <v/>
      </c>
      <c r="O1330" s="8">
        <f>IF(ISNA(MATCH(1317,Engine!$C$2:$C$1369,0)),"",HYPERLINK(INDEX('Compliance Database'!$O$2:$O$1369,MATCH(1317,Engine!$C$2:$C$1369,0)),"Open PDF"))</f>
        <v/>
      </c>
    </row>
    <row r="1331" ht="188" customHeight="1">
      <c r="A1331" s="8">
        <f>IF(ISNA(MATCH(1318,Engine!$C$2:$C$1369,0)),"",INDEX('Compliance Database'!$A$2:$A$1369,MATCH(1318,Engine!$C$2:$C$1369,0)))</f>
        <v/>
      </c>
      <c r="B1331" s="8">
        <f>IF(ISNA(MATCH(1318,Engine!$C$2:$C$1369,0)),"",INDEX('Compliance Database'!$B$2:$B$1369,MATCH(1318,Engine!$C$2:$C$1369,0)))</f>
        <v/>
      </c>
      <c r="C1331" s="8">
        <f>IF(ISNA(MATCH(1318,Engine!$C$2:$C$1369,0)),"",INDEX('Compliance Database'!$C$2:$C$1369,MATCH(1318,Engine!$C$2:$C$1369,0)))</f>
        <v/>
      </c>
      <c r="D1331" s="9">
        <f>IF(ISNA(MATCH(1318,Engine!$C$2:$C$1369,0)),"",INDEX('Compliance Database'!$D$2:$D$1369,MATCH(1318,Engine!$C$2:$C$1369,0)))</f>
        <v/>
      </c>
      <c r="E1331" s="8">
        <f>IF(ISNA(MATCH(1318,Engine!$C$2:$C$1369,0)),"",INDEX('Compliance Database'!$E$2:$E$1369,MATCH(1318,Engine!$C$2:$C$1369,0)))</f>
        <v/>
      </c>
      <c r="F1331" s="8">
        <f>IF(ISNA(MATCH(1318,Engine!$C$2:$C$1369,0)),"",INDEX('Compliance Database'!$F$2:$F$1369,MATCH(1318,Engine!$C$2:$C$1369,0)))</f>
        <v/>
      </c>
      <c r="G1331" s="8">
        <f>IF(ISNA(MATCH(1318,Engine!$C$2:$C$1369,0)),"",INDEX('Compliance Database'!$G$2:$G$1369,MATCH(1318,Engine!$C$2:$C$1369,0)))</f>
        <v/>
      </c>
      <c r="H1331" s="9">
        <f>IF(ISNA(MATCH(1318,Engine!$C$2:$C$1369,0)),"",INDEX('Compliance Database'!$H$2:$H$1369,MATCH(1318,Engine!$C$2:$C$1369,0)))</f>
        <v/>
      </c>
      <c r="I1331" s="9">
        <f>IF(ISNA(MATCH(1318,Engine!$C$2:$C$1369,0)),"",INDEX('Compliance Database'!$I$2:$I$1369,MATCH(1318,Engine!$C$2:$C$1369,0)))</f>
        <v/>
      </c>
      <c r="J1331" s="8">
        <f>IF(ISNA(MATCH(1318,Engine!$C$2:$C$1369,0)),"",INDEX('Compliance Database'!$J$2:$J$1369,MATCH(1318,Engine!$C$2:$C$1369,0)))</f>
        <v/>
      </c>
      <c r="K1331" s="9">
        <f>IF(ISNA(MATCH(1318,Engine!$C$2:$C$1369,0)),"",INDEX('Compliance Database'!$K$2:$K$1369,MATCH(1318,Engine!$C$2:$C$1369,0)))</f>
        <v/>
      </c>
      <c r="L1331" s="9">
        <f>IF(ISNA(MATCH(1318,Engine!$C$2:$C$1369,0)),"",INDEX('Compliance Database'!$L$2:$L$1369,MATCH(1318,Engine!$C$2:$C$1369,0)))</f>
        <v/>
      </c>
      <c r="M1331" s="9">
        <f>IF(ISNA(MATCH(1318,Engine!$C$2:$C$1369,0)),"",INDEX('Compliance Database'!$M$2:$M$1369,MATCH(1318,Engine!$C$2:$C$1369,0)))</f>
        <v/>
      </c>
      <c r="N1331" s="9">
        <f>IF(ISNA(MATCH(1318,Engine!$C$2:$C$1369,0)),"",INDEX('Compliance Database'!$N$2:$N$1369,MATCH(1318,Engine!$C$2:$C$1369,0)))</f>
        <v/>
      </c>
      <c r="O1331" s="8">
        <f>IF(ISNA(MATCH(1318,Engine!$C$2:$C$1369,0)),"",HYPERLINK(INDEX('Compliance Database'!$O$2:$O$1369,MATCH(1318,Engine!$C$2:$C$1369,0)),"Open PDF"))</f>
        <v/>
      </c>
    </row>
    <row r="1332" ht="188" customHeight="1">
      <c r="A1332" s="8">
        <f>IF(ISNA(MATCH(1319,Engine!$C$2:$C$1369,0)),"",INDEX('Compliance Database'!$A$2:$A$1369,MATCH(1319,Engine!$C$2:$C$1369,0)))</f>
        <v/>
      </c>
      <c r="B1332" s="8">
        <f>IF(ISNA(MATCH(1319,Engine!$C$2:$C$1369,0)),"",INDEX('Compliance Database'!$B$2:$B$1369,MATCH(1319,Engine!$C$2:$C$1369,0)))</f>
        <v/>
      </c>
      <c r="C1332" s="8">
        <f>IF(ISNA(MATCH(1319,Engine!$C$2:$C$1369,0)),"",INDEX('Compliance Database'!$C$2:$C$1369,MATCH(1319,Engine!$C$2:$C$1369,0)))</f>
        <v/>
      </c>
      <c r="D1332" s="9">
        <f>IF(ISNA(MATCH(1319,Engine!$C$2:$C$1369,0)),"",INDEX('Compliance Database'!$D$2:$D$1369,MATCH(1319,Engine!$C$2:$C$1369,0)))</f>
        <v/>
      </c>
      <c r="E1332" s="8">
        <f>IF(ISNA(MATCH(1319,Engine!$C$2:$C$1369,0)),"",INDEX('Compliance Database'!$E$2:$E$1369,MATCH(1319,Engine!$C$2:$C$1369,0)))</f>
        <v/>
      </c>
      <c r="F1332" s="8">
        <f>IF(ISNA(MATCH(1319,Engine!$C$2:$C$1369,0)),"",INDEX('Compliance Database'!$F$2:$F$1369,MATCH(1319,Engine!$C$2:$C$1369,0)))</f>
        <v/>
      </c>
      <c r="G1332" s="8">
        <f>IF(ISNA(MATCH(1319,Engine!$C$2:$C$1369,0)),"",INDEX('Compliance Database'!$G$2:$G$1369,MATCH(1319,Engine!$C$2:$C$1369,0)))</f>
        <v/>
      </c>
      <c r="H1332" s="9">
        <f>IF(ISNA(MATCH(1319,Engine!$C$2:$C$1369,0)),"",INDEX('Compliance Database'!$H$2:$H$1369,MATCH(1319,Engine!$C$2:$C$1369,0)))</f>
        <v/>
      </c>
      <c r="I1332" s="9">
        <f>IF(ISNA(MATCH(1319,Engine!$C$2:$C$1369,0)),"",INDEX('Compliance Database'!$I$2:$I$1369,MATCH(1319,Engine!$C$2:$C$1369,0)))</f>
        <v/>
      </c>
      <c r="J1332" s="8">
        <f>IF(ISNA(MATCH(1319,Engine!$C$2:$C$1369,0)),"",INDEX('Compliance Database'!$J$2:$J$1369,MATCH(1319,Engine!$C$2:$C$1369,0)))</f>
        <v/>
      </c>
      <c r="K1332" s="9">
        <f>IF(ISNA(MATCH(1319,Engine!$C$2:$C$1369,0)),"",INDEX('Compliance Database'!$K$2:$K$1369,MATCH(1319,Engine!$C$2:$C$1369,0)))</f>
        <v/>
      </c>
      <c r="L1332" s="9">
        <f>IF(ISNA(MATCH(1319,Engine!$C$2:$C$1369,0)),"",INDEX('Compliance Database'!$L$2:$L$1369,MATCH(1319,Engine!$C$2:$C$1369,0)))</f>
        <v/>
      </c>
      <c r="M1332" s="9">
        <f>IF(ISNA(MATCH(1319,Engine!$C$2:$C$1369,0)),"",INDEX('Compliance Database'!$M$2:$M$1369,MATCH(1319,Engine!$C$2:$C$1369,0)))</f>
        <v/>
      </c>
      <c r="N1332" s="9">
        <f>IF(ISNA(MATCH(1319,Engine!$C$2:$C$1369,0)),"",INDEX('Compliance Database'!$N$2:$N$1369,MATCH(1319,Engine!$C$2:$C$1369,0)))</f>
        <v/>
      </c>
      <c r="O1332" s="8">
        <f>IF(ISNA(MATCH(1319,Engine!$C$2:$C$1369,0)),"",HYPERLINK(INDEX('Compliance Database'!$O$2:$O$1369,MATCH(1319,Engine!$C$2:$C$1369,0)),"Open PDF"))</f>
        <v/>
      </c>
    </row>
    <row r="1333" ht="188" customHeight="1">
      <c r="A1333" s="8">
        <f>IF(ISNA(MATCH(1320,Engine!$C$2:$C$1369,0)),"",INDEX('Compliance Database'!$A$2:$A$1369,MATCH(1320,Engine!$C$2:$C$1369,0)))</f>
        <v/>
      </c>
      <c r="B1333" s="8">
        <f>IF(ISNA(MATCH(1320,Engine!$C$2:$C$1369,0)),"",INDEX('Compliance Database'!$B$2:$B$1369,MATCH(1320,Engine!$C$2:$C$1369,0)))</f>
        <v/>
      </c>
      <c r="C1333" s="8">
        <f>IF(ISNA(MATCH(1320,Engine!$C$2:$C$1369,0)),"",INDEX('Compliance Database'!$C$2:$C$1369,MATCH(1320,Engine!$C$2:$C$1369,0)))</f>
        <v/>
      </c>
      <c r="D1333" s="9">
        <f>IF(ISNA(MATCH(1320,Engine!$C$2:$C$1369,0)),"",INDEX('Compliance Database'!$D$2:$D$1369,MATCH(1320,Engine!$C$2:$C$1369,0)))</f>
        <v/>
      </c>
      <c r="E1333" s="8">
        <f>IF(ISNA(MATCH(1320,Engine!$C$2:$C$1369,0)),"",INDEX('Compliance Database'!$E$2:$E$1369,MATCH(1320,Engine!$C$2:$C$1369,0)))</f>
        <v/>
      </c>
      <c r="F1333" s="8">
        <f>IF(ISNA(MATCH(1320,Engine!$C$2:$C$1369,0)),"",INDEX('Compliance Database'!$F$2:$F$1369,MATCH(1320,Engine!$C$2:$C$1369,0)))</f>
        <v/>
      </c>
      <c r="G1333" s="8">
        <f>IF(ISNA(MATCH(1320,Engine!$C$2:$C$1369,0)),"",INDEX('Compliance Database'!$G$2:$G$1369,MATCH(1320,Engine!$C$2:$C$1369,0)))</f>
        <v/>
      </c>
      <c r="H1333" s="9">
        <f>IF(ISNA(MATCH(1320,Engine!$C$2:$C$1369,0)),"",INDEX('Compliance Database'!$H$2:$H$1369,MATCH(1320,Engine!$C$2:$C$1369,0)))</f>
        <v/>
      </c>
      <c r="I1333" s="9">
        <f>IF(ISNA(MATCH(1320,Engine!$C$2:$C$1369,0)),"",INDEX('Compliance Database'!$I$2:$I$1369,MATCH(1320,Engine!$C$2:$C$1369,0)))</f>
        <v/>
      </c>
      <c r="J1333" s="8">
        <f>IF(ISNA(MATCH(1320,Engine!$C$2:$C$1369,0)),"",INDEX('Compliance Database'!$J$2:$J$1369,MATCH(1320,Engine!$C$2:$C$1369,0)))</f>
        <v/>
      </c>
      <c r="K1333" s="9">
        <f>IF(ISNA(MATCH(1320,Engine!$C$2:$C$1369,0)),"",INDEX('Compliance Database'!$K$2:$K$1369,MATCH(1320,Engine!$C$2:$C$1369,0)))</f>
        <v/>
      </c>
      <c r="L1333" s="9">
        <f>IF(ISNA(MATCH(1320,Engine!$C$2:$C$1369,0)),"",INDEX('Compliance Database'!$L$2:$L$1369,MATCH(1320,Engine!$C$2:$C$1369,0)))</f>
        <v/>
      </c>
      <c r="M1333" s="9">
        <f>IF(ISNA(MATCH(1320,Engine!$C$2:$C$1369,0)),"",INDEX('Compliance Database'!$M$2:$M$1369,MATCH(1320,Engine!$C$2:$C$1369,0)))</f>
        <v/>
      </c>
      <c r="N1333" s="9">
        <f>IF(ISNA(MATCH(1320,Engine!$C$2:$C$1369,0)),"",INDEX('Compliance Database'!$N$2:$N$1369,MATCH(1320,Engine!$C$2:$C$1369,0)))</f>
        <v/>
      </c>
      <c r="O1333" s="8">
        <f>IF(ISNA(MATCH(1320,Engine!$C$2:$C$1369,0)),"",HYPERLINK(INDEX('Compliance Database'!$O$2:$O$1369,MATCH(1320,Engine!$C$2:$C$1369,0)),"Open PDF"))</f>
        <v/>
      </c>
    </row>
    <row r="1334" ht="188" customHeight="1">
      <c r="A1334" s="8">
        <f>IF(ISNA(MATCH(1321,Engine!$C$2:$C$1369,0)),"",INDEX('Compliance Database'!$A$2:$A$1369,MATCH(1321,Engine!$C$2:$C$1369,0)))</f>
        <v/>
      </c>
      <c r="B1334" s="8">
        <f>IF(ISNA(MATCH(1321,Engine!$C$2:$C$1369,0)),"",INDEX('Compliance Database'!$B$2:$B$1369,MATCH(1321,Engine!$C$2:$C$1369,0)))</f>
        <v/>
      </c>
      <c r="C1334" s="8">
        <f>IF(ISNA(MATCH(1321,Engine!$C$2:$C$1369,0)),"",INDEX('Compliance Database'!$C$2:$C$1369,MATCH(1321,Engine!$C$2:$C$1369,0)))</f>
        <v/>
      </c>
      <c r="D1334" s="9">
        <f>IF(ISNA(MATCH(1321,Engine!$C$2:$C$1369,0)),"",INDEX('Compliance Database'!$D$2:$D$1369,MATCH(1321,Engine!$C$2:$C$1369,0)))</f>
        <v/>
      </c>
      <c r="E1334" s="8">
        <f>IF(ISNA(MATCH(1321,Engine!$C$2:$C$1369,0)),"",INDEX('Compliance Database'!$E$2:$E$1369,MATCH(1321,Engine!$C$2:$C$1369,0)))</f>
        <v/>
      </c>
      <c r="F1334" s="8">
        <f>IF(ISNA(MATCH(1321,Engine!$C$2:$C$1369,0)),"",INDEX('Compliance Database'!$F$2:$F$1369,MATCH(1321,Engine!$C$2:$C$1369,0)))</f>
        <v/>
      </c>
      <c r="G1334" s="8">
        <f>IF(ISNA(MATCH(1321,Engine!$C$2:$C$1369,0)),"",INDEX('Compliance Database'!$G$2:$G$1369,MATCH(1321,Engine!$C$2:$C$1369,0)))</f>
        <v/>
      </c>
      <c r="H1334" s="9">
        <f>IF(ISNA(MATCH(1321,Engine!$C$2:$C$1369,0)),"",INDEX('Compliance Database'!$H$2:$H$1369,MATCH(1321,Engine!$C$2:$C$1369,0)))</f>
        <v/>
      </c>
      <c r="I1334" s="9">
        <f>IF(ISNA(MATCH(1321,Engine!$C$2:$C$1369,0)),"",INDEX('Compliance Database'!$I$2:$I$1369,MATCH(1321,Engine!$C$2:$C$1369,0)))</f>
        <v/>
      </c>
      <c r="J1334" s="8">
        <f>IF(ISNA(MATCH(1321,Engine!$C$2:$C$1369,0)),"",INDEX('Compliance Database'!$J$2:$J$1369,MATCH(1321,Engine!$C$2:$C$1369,0)))</f>
        <v/>
      </c>
      <c r="K1334" s="9">
        <f>IF(ISNA(MATCH(1321,Engine!$C$2:$C$1369,0)),"",INDEX('Compliance Database'!$K$2:$K$1369,MATCH(1321,Engine!$C$2:$C$1369,0)))</f>
        <v/>
      </c>
      <c r="L1334" s="9">
        <f>IF(ISNA(MATCH(1321,Engine!$C$2:$C$1369,0)),"",INDEX('Compliance Database'!$L$2:$L$1369,MATCH(1321,Engine!$C$2:$C$1369,0)))</f>
        <v/>
      </c>
      <c r="M1334" s="9">
        <f>IF(ISNA(MATCH(1321,Engine!$C$2:$C$1369,0)),"",INDEX('Compliance Database'!$M$2:$M$1369,MATCH(1321,Engine!$C$2:$C$1369,0)))</f>
        <v/>
      </c>
      <c r="N1334" s="9">
        <f>IF(ISNA(MATCH(1321,Engine!$C$2:$C$1369,0)),"",INDEX('Compliance Database'!$N$2:$N$1369,MATCH(1321,Engine!$C$2:$C$1369,0)))</f>
        <v/>
      </c>
      <c r="O1334" s="8">
        <f>IF(ISNA(MATCH(1321,Engine!$C$2:$C$1369,0)),"",HYPERLINK(INDEX('Compliance Database'!$O$2:$O$1369,MATCH(1321,Engine!$C$2:$C$1369,0)),"Open PDF"))</f>
        <v/>
      </c>
    </row>
    <row r="1335" ht="188" customHeight="1">
      <c r="A1335" s="8">
        <f>IF(ISNA(MATCH(1322,Engine!$C$2:$C$1369,0)),"",INDEX('Compliance Database'!$A$2:$A$1369,MATCH(1322,Engine!$C$2:$C$1369,0)))</f>
        <v/>
      </c>
      <c r="B1335" s="8">
        <f>IF(ISNA(MATCH(1322,Engine!$C$2:$C$1369,0)),"",INDEX('Compliance Database'!$B$2:$B$1369,MATCH(1322,Engine!$C$2:$C$1369,0)))</f>
        <v/>
      </c>
      <c r="C1335" s="8">
        <f>IF(ISNA(MATCH(1322,Engine!$C$2:$C$1369,0)),"",INDEX('Compliance Database'!$C$2:$C$1369,MATCH(1322,Engine!$C$2:$C$1369,0)))</f>
        <v/>
      </c>
      <c r="D1335" s="9">
        <f>IF(ISNA(MATCH(1322,Engine!$C$2:$C$1369,0)),"",INDEX('Compliance Database'!$D$2:$D$1369,MATCH(1322,Engine!$C$2:$C$1369,0)))</f>
        <v/>
      </c>
      <c r="E1335" s="8">
        <f>IF(ISNA(MATCH(1322,Engine!$C$2:$C$1369,0)),"",INDEX('Compliance Database'!$E$2:$E$1369,MATCH(1322,Engine!$C$2:$C$1369,0)))</f>
        <v/>
      </c>
      <c r="F1335" s="8">
        <f>IF(ISNA(MATCH(1322,Engine!$C$2:$C$1369,0)),"",INDEX('Compliance Database'!$F$2:$F$1369,MATCH(1322,Engine!$C$2:$C$1369,0)))</f>
        <v/>
      </c>
      <c r="G1335" s="8">
        <f>IF(ISNA(MATCH(1322,Engine!$C$2:$C$1369,0)),"",INDEX('Compliance Database'!$G$2:$G$1369,MATCH(1322,Engine!$C$2:$C$1369,0)))</f>
        <v/>
      </c>
      <c r="H1335" s="9">
        <f>IF(ISNA(MATCH(1322,Engine!$C$2:$C$1369,0)),"",INDEX('Compliance Database'!$H$2:$H$1369,MATCH(1322,Engine!$C$2:$C$1369,0)))</f>
        <v/>
      </c>
      <c r="I1335" s="9">
        <f>IF(ISNA(MATCH(1322,Engine!$C$2:$C$1369,0)),"",INDEX('Compliance Database'!$I$2:$I$1369,MATCH(1322,Engine!$C$2:$C$1369,0)))</f>
        <v/>
      </c>
      <c r="J1335" s="8">
        <f>IF(ISNA(MATCH(1322,Engine!$C$2:$C$1369,0)),"",INDEX('Compliance Database'!$J$2:$J$1369,MATCH(1322,Engine!$C$2:$C$1369,0)))</f>
        <v/>
      </c>
      <c r="K1335" s="9">
        <f>IF(ISNA(MATCH(1322,Engine!$C$2:$C$1369,0)),"",INDEX('Compliance Database'!$K$2:$K$1369,MATCH(1322,Engine!$C$2:$C$1369,0)))</f>
        <v/>
      </c>
      <c r="L1335" s="9">
        <f>IF(ISNA(MATCH(1322,Engine!$C$2:$C$1369,0)),"",INDEX('Compliance Database'!$L$2:$L$1369,MATCH(1322,Engine!$C$2:$C$1369,0)))</f>
        <v/>
      </c>
      <c r="M1335" s="9">
        <f>IF(ISNA(MATCH(1322,Engine!$C$2:$C$1369,0)),"",INDEX('Compliance Database'!$M$2:$M$1369,MATCH(1322,Engine!$C$2:$C$1369,0)))</f>
        <v/>
      </c>
      <c r="N1335" s="9">
        <f>IF(ISNA(MATCH(1322,Engine!$C$2:$C$1369,0)),"",INDEX('Compliance Database'!$N$2:$N$1369,MATCH(1322,Engine!$C$2:$C$1369,0)))</f>
        <v/>
      </c>
      <c r="O1335" s="8">
        <f>IF(ISNA(MATCH(1322,Engine!$C$2:$C$1369,0)),"",HYPERLINK(INDEX('Compliance Database'!$O$2:$O$1369,MATCH(1322,Engine!$C$2:$C$1369,0)),"Open PDF"))</f>
        <v/>
      </c>
    </row>
    <row r="1336" ht="188" customHeight="1">
      <c r="A1336" s="8">
        <f>IF(ISNA(MATCH(1323,Engine!$C$2:$C$1369,0)),"",INDEX('Compliance Database'!$A$2:$A$1369,MATCH(1323,Engine!$C$2:$C$1369,0)))</f>
        <v/>
      </c>
      <c r="B1336" s="8">
        <f>IF(ISNA(MATCH(1323,Engine!$C$2:$C$1369,0)),"",INDEX('Compliance Database'!$B$2:$B$1369,MATCH(1323,Engine!$C$2:$C$1369,0)))</f>
        <v/>
      </c>
      <c r="C1336" s="8">
        <f>IF(ISNA(MATCH(1323,Engine!$C$2:$C$1369,0)),"",INDEX('Compliance Database'!$C$2:$C$1369,MATCH(1323,Engine!$C$2:$C$1369,0)))</f>
        <v/>
      </c>
      <c r="D1336" s="9">
        <f>IF(ISNA(MATCH(1323,Engine!$C$2:$C$1369,0)),"",INDEX('Compliance Database'!$D$2:$D$1369,MATCH(1323,Engine!$C$2:$C$1369,0)))</f>
        <v/>
      </c>
      <c r="E1336" s="8">
        <f>IF(ISNA(MATCH(1323,Engine!$C$2:$C$1369,0)),"",INDEX('Compliance Database'!$E$2:$E$1369,MATCH(1323,Engine!$C$2:$C$1369,0)))</f>
        <v/>
      </c>
      <c r="F1336" s="8">
        <f>IF(ISNA(MATCH(1323,Engine!$C$2:$C$1369,0)),"",INDEX('Compliance Database'!$F$2:$F$1369,MATCH(1323,Engine!$C$2:$C$1369,0)))</f>
        <v/>
      </c>
      <c r="G1336" s="8">
        <f>IF(ISNA(MATCH(1323,Engine!$C$2:$C$1369,0)),"",INDEX('Compliance Database'!$G$2:$G$1369,MATCH(1323,Engine!$C$2:$C$1369,0)))</f>
        <v/>
      </c>
      <c r="H1336" s="9">
        <f>IF(ISNA(MATCH(1323,Engine!$C$2:$C$1369,0)),"",INDEX('Compliance Database'!$H$2:$H$1369,MATCH(1323,Engine!$C$2:$C$1369,0)))</f>
        <v/>
      </c>
      <c r="I1336" s="9">
        <f>IF(ISNA(MATCH(1323,Engine!$C$2:$C$1369,0)),"",INDEX('Compliance Database'!$I$2:$I$1369,MATCH(1323,Engine!$C$2:$C$1369,0)))</f>
        <v/>
      </c>
      <c r="J1336" s="8">
        <f>IF(ISNA(MATCH(1323,Engine!$C$2:$C$1369,0)),"",INDEX('Compliance Database'!$J$2:$J$1369,MATCH(1323,Engine!$C$2:$C$1369,0)))</f>
        <v/>
      </c>
      <c r="K1336" s="9">
        <f>IF(ISNA(MATCH(1323,Engine!$C$2:$C$1369,0)),"",INDEX('Compliance Database'!$K$2:$K$1369,MATCH(1323,Engine!$C$2:$C$1369,0)))</f>
        <v/>
      </c>
      <c r="L1336" s="9">
        <f>IF(ISNA(MATCH(1323,Engine!$C$2:$C$1369,0)),"",INDEX('Compliance Database'!$L$2:$L$1369,MATCH(1323,Engine!$C$2:$C$1369,0)))</f>
        <v/>
      </c>
      <c r="M1336" s="9">
        <f>IF(ISNA(MATCH(1323,Engine!$C$2:$C$1369,0)),"",INDEX('Compliance Database'!$M$2:$M$1369,MATCH(1323,Engine!$C$2:$C$1369,0)))</f>
        <v/>
      </c>
      <c r="N1336" s="9">
        <f>IF(ISNA(MATCH(1323,Engine!$C$2:$C$1369,0)),"",INDEX('Compliance Database'!$N$2:$N$1369,MATCH(1323,Engine!$C$2:$C$1369,0)))</f>
        <v/>
      </c>
      <c r="O1336" s="8">
        <f>IF(ISNA(MATCH(1323,Engine!$C$2:$C$1369,0)),"",HYPERLINK(INDEX('Compliance Database'!$O$2:$O$1369,MATCH(1323,Engine!$C$2:$C$1369,0)),"Open PDF"))</f>
        <v/>
      </c>
    </row>
    <row r="1337" ht="188" customHeight="1">
      <c r="A1337" s="8">
        <f>IF(ISNA(MATCH(1324,Engine!$C$2:$C$1369,0)),"",INDEX('Compliance Database'!$A$2:$A$1369,MATCH(1324,Engine!$C$2:$C$1369,0)))</f>
        <v/>
      </c>
      <c r="B1337" s="8">
        <f>IF(ISNA(MATCH(1324,Engine!$C$2:$C$1369,0)),"",INDEX('Compliance Database'!$B$2:$B$1369,MATCH(1324,Engine!$C$2:$C$1369,0)))</f>
        <v/>
      </c>
      <c r="C1337" s="8">
        <f>IF(ISNA(MATCH(1324,Engine!$C$2:$C$1369,0)),"",INDEX('Compliance Database'!$C$2:$C$1369,MATCH(1324,Engine!$C$2:$C$1369,0)))</f>
        <v/>
      </c>
      <c r="D1337" s="9">
        <f>IF(ISNA(MATCH(1324,Engine!$C$2:$C$1369,0)),"",INDEX('Compliance Database'!$D$2:$D$1369,MATCH(1324,Engine!$C$2:$C$1369,0)))</f>
        <v/>
      </c>
      <c r="E1337" s="8">
        <f>IF(ISNA(MATCH(1324,Engine!$C$2:$C$1369,0)),"",INDEX('Compliance Database'!$E$2:$E$1369,MATCH(1324,Engine!$C$2:$C$1369,0)))</f>
        <v/>
      </c>
      <c r="F1337" s="8">
        <f>IF(ISNA(MATCH(1324,Engine!$C$2:$C$1369,0)),"",INDEX('Compliance Database'!$F$2:$F$1369,MATCH(1324,Engine!$C$2:$C$1369,0)))</f>
        <v/>
      </c>
      <c r="G1337" s="8">
        <f>IF(ISNA(MATCH(1324,Engine!$C$2:$C$1369,0)),"",INDEX('Compliance Database'!$G$2:$G$1369,MATCH(1324,Engine!$C$2:$C$1369,0)))</f>
        <v/>
      </c>
      <c r="H1337" s="9">
        <f>IF(ISNA(MATCH(1324,Engine!$C$2:$C$1369,0)),"",INDEX('Compliance Database'!$H$2:$H$1369,MATCH(1324,Engine!$C$2:$C$1369,0)))</f>
        <v/>
      </c>
      <c r="I1337" s="9">
        <f>IF(ISNA(MATCH(1324,Engine!$C$2:$C$1369,0)),"",INDEX('Compliance Database'!$I$2:$I$1369,MATCH(1324,Engine!$C$2:$C$1369,0)))</f>
        <v/>
      </c>
      <c r="J1337" s="8">
        <f>IF(ISNA(MATCH(1324,Engine!$C$2:$C$1369,0)),"",INDEX('Compliance Database'!$J$2:$J$1369,MATCH(1324,Engine!$C$2:$C$1369,0)))</f>
        <v/>
      </c>
      <c r="K1337" s="9">
        <f>IF(ISNA(MATCH(1324,Engine!$C$2:$C$1369,0)),"",INDEX('Compliance Database'!$K$2:$K$1369,MATCH(1324,Engine!$C$2:$C$1369,0)))</f>
        <v/>
      </c>
      <c r="L1337" s="9">
        <f>IF(ISNA(MATCH(1324,Engine!$C$2:$C$1369,0)),"",INDEX('Compliance Database'!$L$2:$L$1369,MATCH(1324,Engine!$C$2:$C$1369,0)))</f>
        <v/>
      </c>
      <c r="M1337" s="9">
        <f>IF(ISNA(MATCH(1324,Engine!$C$2:$C$1369,0)),"",INDEX('Compliance Database'!$M$2:$M$1369,MATCH(1324,Engine!$C$2:$C$1369,0)))</f>
        <v/>
      </c>
      <c r="N1337" s="9">
        <f>IF(ISNA(MATCH(1324,Engine!$C$2:$C$1369,0)),"",INDEX('Compliance Database'!$N$2:$N$1369,MATCH(1324,Engine!$C$2:$C$1369,0)))</f>
        <v/>
      </c>
      <c r="O1337" s="8">
        <f>IF(ISNA(MATCH(1324,Engine!$C$2:$C$1369,0)),"",HYPERLINK(INDEX('Compliance Database'!$O$2:$O$1369,MATCH(1324,Engine!$C$2:$C$1369,0)),"Open PDF"))</f>
        <v/>
      </c>
    </row>
    <row r="1338" ht="188" customHeight="1">
      <c r="A1338" s="8">
        <f>IF(ISNA(MATCH(1325,Engine!$C$2:$C$1369,0)),"",INDEX('Compliance Database'!$A$2:$A$1369,MATCH(1325,Engine!$C$2:$C$1369,0)))</f>
        <v/>
      </c>
      <c r="B1338" s="8">
        <f>IF(ISNA(MATCH(1325,Engine!$C$2:$C$1369,0)),"",INDEX('Compliance Database'!$B$2:$B$1369,MATCH(1325,Engine!$C$2:$C$1369,0)))</f>
        <v/>
      </c>
      <c r="C1338" s="8">
        <f>IF(ISNA(MATCH(1325,Engine!$C$2:$C$1369,0)),"",INDEX('Compliance Database'!$C$2:$C$1369,MATCH(1325,Engine!$C$2:$C$1369,0)))</f>
        <v/>
      </c>
      <c r="D1338" s="9">
        <f>IF(ISNA(MATCH(1325,Engine!$C$2:$C$1369,0)),"",INDEX('Compliance Database'!$D$2:$D$1369,MATCH(1325,Engine!$C$2:$C$1369,0)))</f>
        <v/>
      </c>
      <c r="E1338" s="8">
        <f>IF(ISNA(MATCH(1325,Engine!$C$2:$C$1369,0)),"",INDEX('Compliance Database'!$E$2:$E$1369,MATCH(1325,Engine!$C$2:$C$1369,0)))</f>
        <v/>
      </c>
      <c r="F1338" s="8">
        <f>IF(ISNA(MATCH(1325,Engine!$C$2:$C$1369,0)),"",INDEX('Compliance Database'!$F$2:$F$1369,MATCH(1325,Engine!$C$2:$C$1369,0)))</f>
        <v/>
      </c>
      <c r="G1338" s="8">
        <f>IF(ISNA(MATCH(1325,Engine!$C$2:$C$1369,0)),"",INDEX('Compliance Database'!$G$2:$G$1369,MATCH(1325,Engine!$C$2:$C$1369,0)))</f>
        <v/>
      </c>
      <c r="H1338" s="9">
        <f>IF(ISNA(MATCH(1325,Engine!$C$2:$C$1369,0)),"",INDEX('Compliance Database'!$H$2:$H$1369,MATCH(1325,Engine!$C$2:$C$1369,0)))</f>
        <v/>
      </c>
      <c r="I1338" s="9">
        <f>IF(ISNA(MATCH(1325,Engine!$C$2:$C$1369,0)),"",INDEX('Compliance Database'!$I$2:$I$1369,MATCH(1325,Engine!$C$2:$C$1369,0)))</f>
        <v/>
      </c>
      <c r="J1338" s="8">
        <f>IF(ISNA(MATCH(1325,Engine!$C$2:$C$1369,0)),"",INDEX('Compliance Database'!$J$2:$J$1369,MATCH(1325,Engine!$C$2:$C$1369,0)))</f>
        <v/>
      </c>
      <c r="K1338" s="9">
        <f>IF(ISNA(MATCH(1325,Engine!$C$2:$C$1369,0)),"",INDEX('Compliance Database'!$K$2:$K$1369,MATCH(1325,Engine!$C$2:$C$1369,0)))</f>
        <v/>
      </c>
      <c r="L1338" s="9">
        <f>IF(ISNA(MATCH(1325,Engine!$C$2:$C$1369,0)),"",INDEX('Compliance Database'!$L$2:$L$1369,MATCH(1325,Engine!$C$2:$C$1369,0)))</f>
        <v/>
      </c>
      <c r="M1338" s="9">
        <f>IF(ISNA(MATCH(1325,Engine!$C$2:$C$1369,0)),"",INDEX('Compliance Database'!$M$2:$M$1369,MATCH(1325,Engine!$C$2:$C$1369,0)))</f>
        <v/>
      </c>
      <c r="N1338" s="9">
        <f>IF(ISNA(MATCH(1325,Engine!$C$2:$C$1369,0)),"",INDEX('Compliance Database'!$N$2:$N$1369,MATCH(1325,Engine!$C$2:$C$1369,0)))</f>
        <v/>
      </c>
      <c r="O1338" s="8">
        <f>IF(ISNA(MATCH(1325,Engine!$C$2:$C$1369,0)),"",HYPERLINK(INDEX('Compliance Database'!$O$2:$O$1369,MATCH(1325,Engine!$C$2:$C$1369,0)),"Open PDF"))</f>
        <v/>
      </c>
    </row>
    <row r="1339" ht="188" customHeight="1">
      <c r="A1339" s="8">
        <f>IF(ISNA(MATCH(1326,Engine!$C$2:$C$1369,0)),"",INDEX('Compliance Database'!$A$2:$A$1369,MATCH(1326,Engine!$C$2:$C$1369,0)))</f>
        <v/>
      </c>
      <c r="B1339" s="8">
        <f>IF(ISNA(MATCH(1326,Engine!$C$2:$C$1369,0)),"",INDEX('Compliance Database'!$B$2:$B$1369,MATCH(1326,Engine!$C$2:$C$1369,0)))</f>
        <v/>
      </c>
      <c r="C1339" s="8">
        <f>IF(ISNA(MATCH(1326,Engine!$C$2:$C$1369,0)),"",INDEX('Compliance Database'!$C$2:$C$1369,MATCH(1326,Engine!$C$2:$C$1369,0)))</f>
        <v/>
      </c>
      <c r="D1339" s="9">
        <f>IF(ISNA(MATCH(1326,Engine!$C$2:$C$1369,0)),"",INDEX('Compliance Database'!$D$2:$D$1369,MATCH(1326,Engine!$C$2:$C$1369,0)))</f>
        <v/>
      </c>
      <c r="E1339" s="8">
        <f>IF(ISNA(MATCH(1326,Engine!$C$2:$C$1369,0)),"",INDEX('Compliance Database'!$E$2:$E$1369,MATCH(1326,Engine!$C$2:$C$1369,0)))</f>
        <v/>
      </c>
      <c r="F1339" s="8">
        <f>IF(ISNA(MATCH(1326,Engine!$C$2:$C$1369,0)),"",INDEX('Compliance Database'!$F$2:$F$1369,MATCH(1326,Engine!$C$2:$C$1369,0)))</f>
        <v/>
      </c>
      <c r="G1339" s="8">
        <f>IF(ISNA(MATCH(1326,Engine!$C$2:$C$1369,0)),"",INDEX('Compliance Database'!$G$2:$G$1369,MATCH(1326,Engine!$C$2:$C$1369,0)))</f>
        <v/>
      </c>
      <c r="H1339" s="9">
        <f>IF(ISNA(MATCH(1326,Engine!$C$2:$C$1369,0)),"",INDEX('Compliance Database'!$H$2:$H$1369,MATCH(1326,Engine!$C$2:$C$1369,0)))</f>
        <v/>
      </c>
      <c r="I1339" s="9">
        <f>IF(ISNA(MATCH(1326,Engine!$C$2:$C$1369,0)),"",INDEX('Compliance Database'!$I$2:$I$1369,MATCH(1326,Engine!$C$2:$C$1369,0)))</f>
        <v/>
      </c>
      <c r="J1339" s="8">
        <f>IF(ISNA(MATCH(1326,Engine!$C$2:$C$1369,0)),"",INDEX('Compliance Database'!$J$2:$J$1369,MATCH(1326,Engine!$C$2:$C$1369,0)))</f>
        <v/>
      </c>
      <c r="K1339" s="9">
        <f>IF(ISNA(MATCH(1326,Engine!$C$2:$C$1369,0)),"",INDEX('Compliance Database'!$K$2:$K$1369,MATCH(1326,Engine!$C$2:$C$1369,0)))</f>
        <v/>
      </c>
      <c r="L1339" s="9">
        <f>IF(ISNA(MATCH(1326,Engine!$C$2:$C$1369,0)),"",INDEX('Compliance Database'!$L$2:$L$1369,MATCH(1326,Engine!$C$2:$C$1369,0)))</f>
        <v/>
      </c>
      <c r="M1339" s="9">
        <f>IF(ISNA(MATCH(1326,Engine!$C$2:$C$1369,0)),"",INDEX('Compliance Database'!$M$2:$M$1369,MATCH(1326,Engine!$C$2:$C$1369,0)))</f>
        <v/>
      </c>
      <c r="N1339" s="9">
        <f>IF(ISNA(MATCH(1326,Engine!$C$2:$C$1369,0)),"",INDEX('Compliance Database'!$N$2:$N$1369,MATCH(1326,Engine!$C$2:$C$1369,0)))</f>
        <v/>
      </c>
      <c r="O1339" s="8">
        <f>IF(ISNA(MATCH(1326,Engine!$C$2:$C$1369,0)),"",HYPERLINK(INDEX('Compliance Database'!$O$2:$O$1369,MATCH(1326,Engine!$C$2:$C$1369,0)),"Open PDF"))</f>
        <v/>
      </c>
    </row>
    <row r="1340" ht="188" customHeight="1">
      <c r="A1340" s="8">
        <f>IF(ISNA(MATCH(1327,Engine!$C$2:$C$1369,0)),"",INDEX('Compliance Database'!$A$2:$A$1369,MATCH(1327,Engine!$C$2:$C$1369,0)))</f>
        <v/>
      </c>
      <c r="B1340" s="8">
        <f>IF(ISNA(MATCH(1327,Engine!$C$2:$C$1369,0)),"",INDEX('Compliance Database'!$B$2:$B$1369,MATCH(1327,Engine!$C$2:$C$1369,0)))</f>
        <v/>
      </c>
      <c r="C1340" s="8">
        <f>IF(ISNA(MATCH(1327,Engine!$C$2:$C$1369,0)),"",INDEX('Compliance Database'!$C$2:$C$1369,MATCH(1327,Engine!$C$2:$C$1369,0)))</f>
        <v/>
      </c>
      <c r="D1340" s="9">
        <f>IF(ISNA(MATCH(1327,Engine!$C$2:$C$1369,0)),"",INDEX('Compliance Database'!$D$2:$D$1369,MATCH(1327,Engine!$C$2:$C$1369,0)))</f>
        <v/>
      </c>
      <c r="E1340" s="8">
        <f>IF(ISNA(MATCH(1327,Engine!$C$2:$C$1369,0)),"",INDEX('Compliance Database'!$E$2:$E$1369,MATCH(1327,Engine!$C$2:$C$1369,0)))</f>
        <v/>
      </c>
      <c r="F1340" s="8">
        <f>IF(ISNA(MATCH(1327,Engine!$C$2:$C$1369,0)),"",INDEX('Compliance Database'!$F$2:$F$1369,MATCH(1327,Engine!$C$2:$C$1369,0)))</f>
        <v/>
      </c>
      <c r="G1340" s="8">
        <f>IF(ISNA(MATCH(1327,Engine!$C$2:$C$1369,0)),"",INDEX('Compliance Database'!$G$2:$G$1369,MATCH(1327,Engine!$C$2:$C$1369,0)))</f>
        <v/>
      </c>
      <c r="H1340" s="9">
        <f>IF(ISNA(MATCH(1327,Engine!$C$2:$C$1369,0)),"",INDEX('Compliance Database'!$H$2:$H$1369,MATCH(1327,Engine!$C$2:$C$1369,0)))</f>
        <v/>
      </c>
      <c r="I1340" s="9">
        <f>IF(ISNA(MATCH(1327,Engine!$C$2:$C$1369,0)),"",INDEX('Compliance Database'!$I$2:$I$1369,MATCH(1327,Engine!$C$2:$C$1369,0)))</f>
        <v/>
      </c>
      <c r="J1340" s="8">
        <f>IF(ISNA(MATCH(1327,Engine!$C$2:$C$1369,0)),"",INDEX('Compliance Database'!$J$2:$J$1369,MATCH(1327,Engine!$C$2:$C$1369,0)))</f>
        <v/>
      </c>
      <c r="K1340" s="9">
        <f>IF(ISNA(MATCH(1327,Engine!$C$2:$C$1369,0)),"",INDEX('Compliance Database'!$K$2:$K$1369,MATCH(1327,Engine!$C$2:$C$1369,0)))</f>
        <v/>
      </c>
      <c r="L1340" s="9">
        <f>IF(ISNA(MATCH(1327,Engine!$C$2:$C$1369,0)),"",INDEX('Compliance Database'!$L$2:$L$1369,MATCH(1327,Engine!$C$2:$C$1369,0)))</f>
        <v/>
      </c>
      <c r="M1340" s="9">
        <f>IF(ISNA(MATCH(1327,Engine!$C$2:$C$1369,0)),"",INDEX('Compliance Database'!$M$2:$M$1369,MATCH(1327,Engine!$C$2:$C$1369,0)))</f>
        <v/>
      </c>
      <c r="N1340" s="9">
        <f>IF(ISNA(MATCH(1327,Engine!$C$2:$C$1369,0)),"",INDEX('Compliance Database'!$N$2:$N$1369,MATCH(1327,Engine!$C$2:$C$1369,0)))</f>
        <v/>
      </c>
      <c r="O1340" s="8">
        <f>IF(ISNA(MATCH(1327,Engine!$C$2:$C$1369,0)),"",HYPERLINK(INDEX('Compliance Database'!$O$2:$O$1369,MATCH(1327,Engine!$C$2:$C$1369,0)),"Open PDF"))</f>
        <v/>
      </c>
    </row>
    <row r="1341" ht="188" customHeight="1">
      <c r="A1341" s="8">
        <f>IF(ISNA(MATCH(1328,Engine!$C$2:$C$1369,0)),"",INDEX('Compliance Database'!$A$2:$A$1369,MATCH(1328,Engine!$C$2:$C$1369,0)))</f>
        <v/>
      </c>
      <c r="B1341" s="8">
        <f>IF(ISNA(MATCH(1328,Engine!$C$2:$C$1369,0)),"",INDEX('Compliance Database'!$B$2:$B$1369,MATCH(1328,Engine!$C$2:$C$1369,0)))</f>
        <v/>
      </c>
      <c r="C1341" s="8">
        <f>IF(ISNA(MATCH(1328,Engine!$C$2:$C$1369,0)),"",INDEX('Compliance Database'!$C$2:$C$1369,MATCH(1328,Engine!$C$2:$C$1369,0)))</f>
        <v/>
      </c>
      <c r="D1341" s="9">
        <f>IF(ISNA(MATCH(1328,Engine!$C$2:$C$1369,0)),"",INDEX('Compliance Database'!$D$2:$D$1369,MATCH(1328,Engine!$C$2:$C$1369,0)))</f>
        <v/>
      </c>
      <c r="E1341" s="8">
        <f>IF(ISNA(MATCH(1328,Engine!$C$2:$C$1369,0)),"",INDEX('Compliance Database'!$E$2:$E$1369,MATCH(1328,Engine!$C$2:$C$1369,0)))</f>
        <v/>
      </c>
      <c r="F1341" s="8">
        <f>IF(ISNA(MATCH(1328,Engine!$C$2:$C$1369,0)),"",INDEX('Compliance Database'!$F$2:$F$1369,MATCH(1328,Engine!$C$2:$C$1369,0)))</f>
        <v/>
      </c>
      <c r="G1341" s="8">
        <f>IF(ISNA(MATCH(1328,Engine!$C$2:$C$1369,0)),"",INDEX('Compliance Database'!$G$2:$G$1369,MATCH(1328,Engine!$C$2:$C$1369,0)))</f>
        <v/>
      </c>
      <c r="H1341" s="9">
        <f>IF(ISNA(MATCH(1328,Engine!$C$2:$C$1369,0)),"",INDEX('Compliance Database'!$H$2:$H$1369,MATCH(1328,Engine!$C$2:$C$1369,0)))</f>
        <v/>
      </c>
      <c r="I1341" s="9">
        <f>IF(ISNA(MATCH(1328,Engine!$C$2:$C$1369,0)),"",INDEX('Compliance Database'!$I$2:$I$1369,MATCH(1328,Engine!$C$2:$C$1369,0)))</f>
        <v/>
      </c>
      <c r="J1341" s="8">
        <f>IF(ISNA(MATCH(1328,Engine!$C$2:$C$1369,0)),"",INDEX('Compliance Database'!$J$2:$J$1369,MATCH(1328,Engine!$C$2:$C$1369,0)))</f>
        <v/>
      </c>
      <c r="K1341" s="9">
        <f>IF(ISNA(MATCH(1328,Engine!$C$2:$C$1369,0)),"",INDEX('Compliance Database'!$K$2:$K$1369,MATCH(1328,Engine!$C$2:$C$1369,0)))</f>
        <v/>
      </c>
      <c r="L1341" s="9">
        <f>IF(ISNA(MATCH(1328,Engine!$C$2:$C$1369,0)),"",INDEX('Compliance Database'!$L$2:$L$1369,MATCH(1328,Engine!$C$2:$C$1369,0)))</f>
        <v/>
      </c>
      <c r="M1341" s="9">
        <f>IF(ISNA(MATCH(1328,Engine!$C$2:$C$1369,0)),"",INDEX('Compliance Database'!$M$2:$M$1369,MATCH(1328,Engine!$C$2:$C$1369,0)))</f>
        <v/>
      </c>
      <c r="N1341" s="9">
        <f>IF(ISNA(MATCH(1328,Engine!$C$2:$C$1369,0)),"",INDEX('Compliance Database'!$N$2:$N$1369,MATCH(1328,Engine!$C$2:$C$1369,0)))</f>
        <v/>
      </c>
      <c r="O1341" s="8">
        <f>IF(ISNA(MATCH(1328,Engine!$C$2:$C$1369,0)),"",HYPERLINK(INDEX('Compliance Database'!$O$2:$O$1369,MATCH(1328,Engine!$C$2:$C$1369,0)),"Open PDF"))</f>
        <v/>
      </c>
    </row>
    <row r="1342" ht="188" customHeight="1">
      <c r="A1342" s="8">
        <f>IF(ISNA(MATCH(1329,Engine!$C$2:$C$1369,0)),"",INDEX('Compliance Database'!$A$2:$A$1369,MATCH(1329,Engine!$C$2:$C$1369,0)))</f>
        <v/>
      </c>
      <c r="B1342" s="8">
        <f>IF(ISNA(MATCH(1329,Engine!$C$2:$C$1369,0)),"",INDEX('Compliance Database'!$B$2:$B$1369,MATCH(1329,Engine!$C$2:$C$1369,0)))</f>
        <v/>
      </c>
      <c r="C1342" s="8">
        <f>IF(ISNA(MATCH(1329,Engine!$C$2:$C$1369,0)),"",INDEX('Compliance Database'!$C$2:$C$1369,MATCH(1329,Engine!$C$2:$C$1369,0)))</f>
        <v/>
      </c>
      <c r="D1342" s="9">
        <f>IF(ISNA(MATCH(1329,Engine!$C$2:$C$1369,0)),"",INDEX('Compliance Database'!$D$2:$D$1369,MATCH(1329,Engine!$C$2:$C$1369,0)))</f>
        <v/>
      </c>
      <c r="E1342" s="8">
        <f>IF(ISNA(MATCH(1329,Engine!$C$2:$C$1369,0)),"",INDEX('Compliance Database'!$E$2:$E$1369,MATCH(1329,Engine!$C$2:$C$1369,0)))</f>
        <v/>
      </c>
      <c r="F1342" s="8">
        <f>IF(ISNA(MATCH(1329,Engine!$C$2:$C$1369,0)),"",INDEX('Compliance Database'!$F$2:$F$1369,MATCH(1329,Engine!$C$2:$C$1369,0)))</f>
        <v/>
      </c>
      <c r="G1342" s="8">
        <f>IF(ISNA(MATCH(1329,Engine!$C$2:$C$1369,0)),"",INDEX('Compliance Database'!$G$2:$G$1369,MATCH(1329,Engine!$C$2:$C$1369,0)))</f>
        <v/>
      </c>
      <c r="H1342" s="9">
        <f>IF(ISNA(MATCH(1329,Engine!$C$2:$C$1369,0)),"",INDEX('Compliance Database'!$H$2:$H$1369,MATCH(1329,Engine!$C$2:$C$1369,0)))</f>
        <v/>
      </c>
      <c r="I1342" s="9">
        <f>IF(ISNA(MATCH(1329,Engine!$C$2:$C$1369,0)),"",INDEX('Compliance Database'!$I$2:$I$1369,MATCH(1329,Engine!$C$2:$C$1369,0)))</f>
        <v/>
      </c>
      <c r="J1342" s="8">
        <f>IF(ISNA(MATCH(1329,Engine!$C$2:$C$1369,0)),"",INDEX('Compliance Database'!$J$2:$J$1369,MATCH(1329,Engine!$C$2:$C$1369,0)))</f>
        <v/>
      </c>
      <c r="K1342" s="9">
        <f>IF(ISNA(MATCH(1329,Engine!$C$2:$C$1369,0)),"",INDEX('Compliance Database'!$K$2:$K$1369,MATCH(1329,Engine!$C$2:$C$1369,0)))</f>
        <v/>
      </c>
      <c r="L1342" s="9">
        <f>IF(ISNA(MATCH(1329,Engine!$C$2:$C$1369,0)),"",INDEX('Compliance Database'!$L$2:$L$1369,MATCH(1329,Engine!$C$2:$C$1369,0)))</f>
        <v/>
      </c>
      <c r="M1342" s="9">
        <f>IF(ISNA(MATCH(1329,Engine!$C$2:$C$1369,0)),"",INDEX('Compliance Database'!$M$2:$M$1369,MATCH(1329,Engine!$C$2:$C$1369,0)))</f>
        <v/>
      </c>
      <c r="N1342" s="9">
        <f>IF(ISNA(MATCH(1329,Engine!$C$2:$C$1369,0)),"",INDEX('Compliance Database'!$N$2:$N$1369,MATCH(1329,Engine!$C$2:$C$1369,0)))</f>
        <v/>
      </c>
      <c r="O1342" s="8">
        <f>IF(ISNA(MATCH(1329,Engine!$C$2:$C$1369,0)),"",HYPERLINK(INDEX('Compliance Database'!$O$2:$O$1369,MATCH(1329,Engine!$C$2:$C$1369,0)),"Open PDF"))</f>
        <v/>
      </c>
    </row>
    <row r="1343" ht="188" customHeight="1">
      <c r="A1343" s="8">
        <f>IF(ISNA(MATCH(1330,Engine!$C$2:$C$1369,0)),"",INDEX('Compliance Database'!$A$2:$A$1369,MATCH(1330,Engine!$C$2:$C$1369,0)))</f>
        <v/>
      </c>
      <c r="B1343" s="8">
        <f>IF(ISNA(MATCH(1330,Engine!$C$2:$C$1369,0)),"",INDEX('Compliance Database'!$B$2:$B$1369,MATCH(1330,Engine!$C$2:$C$1369,0)))</f>
        <v/>
      </c>
      <c r="C1343" s="8">
        <f>IF(ISNA(MATCH(1330,Engine!$C$2:$C$1369,0)),"",INDEX('Compliance Database'!$C$2:$C$1369,MATCH(1330,Engine!$C$2:$C$1369,0)))</f>
        <v/>
      </c>
      <c r="D1343" s="9">
        <f>IF(ISNA(MATCH(1330,Engine!$C$2:$C$1369,0)),"",INDEX('Compliance Database'!$D$2:$D$1369,MATCH(1330,Engine!$C$2:$C$1369,0)))</f>
        <v/>
      </c>
      <c r="E1343" s="8">
        <f>IF(ISNA(MATCH(1330,Engine!$C$2:$C$1369,0)),"",INDEX('Compliance Database'!$E$2:$E$1369,MATCH(1330,Engine!$C$2:$C$1369,0)))</f>
        <v/>
      </c>
      <c r="F1343" s="8">
        <f>IF(ISNA(MATCH(1330,Engine!$C$2:$C$1369,0)),"",INDEX('Compliance Database'!$F$2:$F$1369,MATCH(1330,Engine!$C$2:$C$1369,0)))</f>
        <v/>
      </c>
      <c r="G1343" s="8">
        <f>IF(ISNA(MATCH(1330,Engine!$C$2:$C$1369,0)),"",INDEX('Compliance Database'!$G$2:$G$1369,MATCH(1330,Engine!$C$2:$C$1369,0)))</f>
        <v/>
      </c>
      <c r="H1343" s="9">
        <f>IF(ISNA(MATCH(1330,Engine!$C$2:$C$1369,0)),"",INDEX('Compliance Database'!$H$2:$H$1369,MATCH(1330,Engine!$C$2:$C$1369,0)))</f>
        <v/>
      </c>
      <c r="I1343" s="9">
        <f>IF(ISNA(MATCH(1330,Engine!$C$2:$C$1369,0)),"",INDEX('Compliance Database'!$I$2:$I$1369,MATCH(1330,Engine!$C$2:$C$1369,0)))</f>
        <v/>
      </c>
      <c r="J1343" s="8">
        <f>IF(ISNA(MATCH(1330,Engine!$C$2:$C$1369,0)),"",INDEX('Compliance Database'!$J$2:$J$1369,MATCH(1330,Engine!$C$2:$C$1369,0)))</f>
        <v/>
      </c>
      <c r="K1343" s="9">
        <f>IF(ISNA(MATCH(1330,Engine!$C$2:$C$1369,0)),"",INDEX('Compliance Database'!$K$2:$K$1369,MATCH(1330,Engine!$C$2:$C$1369,0)))</f>
        <v/>
      </c>
      <c r="L1343" s="9">
        <f>IF(ISNA(MATCH(1330,Engine!$C$2:$C$1369,0)),"",INDEX('Compliance Database'!$L$2:$L$1369,MATCH(1330,Engine!$C$2:$C$1369,0)))</f>
        <v/>
      </c>
      <c r="M1343" s="9">
        <f>IF(ISNA(MATCH(1330,Engine!$C$2:$C$1369,0)),"",INDEX('Compliance Database'!$M$2:$M$1369,MATCH(1330,Engine!$C$2:$C$1369,0)))</f>
        <v/>
      </c>
      <c r="N1343" s="9">
        <f>IF(ISNA(MATCH(1330,Engine!$C$2:$C$1369,0)),"",INDEX('Compliance Database'!$N$2:$N$1369,MATCH(1330,Engine!$C$2:$C$1369,0)))</f>
        <v/>
      </c>
      <c r="O1343" s="8">
        <f>IF(ISNA(MATCH(1330,Engine!$C$2:$C$1369,0)),"",HYPERLINK(INDEX('Compliance Database'!$O$2:$O$1369,MATCH(1330,Engine!$C$2:$C$1369,0)),"Open PDF"))</f>
        <v/>
      </c>
    </row>
    <row r="1344" ht="188" customHeight="1">
      <c r="A1344" s="8">
        <f>IF(ISNA(MATCH(1331,Engine!$C$2:$C$1369,0)),"",INDEX('Compliance Database'!$A$2:$A$1369,MATCH(1331,Engine!$C$2:$C$1369,0)))</f>
        <v/>
      </c>
      <c r="B1344" s="8">
        <f>IF(ISNA(MATCH(1331,Engine!$C$2:$C$1369,0)),"",INDEX('Compliance Database'!$B$2:$B$1369,MATCH(1331,Engine!$C$2:$C$1369,0)))</f>
        <v/>
      </c>
      <c r="C1344" s="8">
        <f>IF(ISNA(MATCH(1331,Engine!$C$2:$C$1369,0)),"",INDEX('Compliance Database'!$C$2:$C$1369,MATCH(1331,Engine!$C$2:$C$1369,0)))</f>
        <v/>
      </c>
      <c r="D1344" s="9">
        <f>IF(ISNA(MATCH(1331,Engine!$C$2:$C$1369,0)),"",INDEX('Compliance Database'!$D$2:$D$1369,MATCH(1331,Engine!$C$2:$C$1369,0)))</f>
        <v/>
      </c>
      <c r="E1344" s="8">
        <f>IF(ISNA(MATCH(1331,Engine!$C$2:$C$1369,0)),"",INDEX('Compliance Database'!$E$2:$E$1369,MATCH(1331,Engine!$C$2:$C$1369,0)))</f>
        <v/>
      </c>
      <c r="F1344" s="8">
        <f>IF(ISNA(MATCH(1331,Engine!$C$2:$C$1369,0)),"",INDEX('Compliance Database'!$F$2:$F$1369,MATCH(1331,Engine!$C$2:$C$1369,0)))</f>
        <v/>
      </c>
      <c r="G1344" s="8">
        <f>IF(ISNA(MATCH(1331,Engine!$C$2:$C$1369,0)),"",INDEX('Compliance Database'!$G$2:$G$1369,MATCH(1331,Engine!$C$2:$C$1369,0)))</f>
        <v/>
      </c>
      <c r="H1344" s="9">
        <f>IF(ISNA(MATCH(1331,Engine!$C$2:$C$1369,0)),"",INDEX('Compliance Database'!$H$2:$H$1369,MATCH(1331,Engine!$C$2:$C$1369,0)))</f>
        <v/>
      </c>
      <c r="I1344" s="9">
        <f>IF(ISNA(MATCH(1331,Engine!$C$2:$C$1369,0)),"",INDEX('Compliance Database'!$I$2:$I$1369,MATCH(1331,Engine!$C$2:$C$1369,0)))</f>
        <v/>
      </c>
      <c r="J1344" s="8">
        <f>IF(ISNA(MATCH(1331,Engine!$C$2:$C$1369,0)),"",INDEX('Compliance Database'!$J$2:$J$1369,MATCH(1331,Engine!$C$2:$C$1369,0)))</f>
        <v/>
      </c>
      <c r="K1344" s="9">
        <f>IF(ISNA(MATCH(1331,Engine!$C$2:$C$1369,0)),"",INDEX('Compliance Database'!$K$2:$K$1369,MATCH(1331,Engine!$C$2:$C$1369,0)))</f>
        <v/>
      </c>
      <c r="L1344" s="9">
        <f>IF(ISNA(MATCH(1331,Engine!$C$2:$C$1369,0)),"",INDEX('Compliance Database'!$L$2:$L$1369,MATCH(1331,Engine!$C$2:$C$1369,0)))</f>
        <v/>
      </c>
      <c r="M1344" s="9">
        <f>IF(ISNA(MATCH(1331,Engine!$C$2:$C$1369,0)),"",INDEX('Compliance Database'!$M$2:$M$1369,MATCH(1331,Engine!$C$2:$C$1369,0)))</f>
        <v/>
      </c>
      <c r="N1344" s="9">
        <f>IF(ISNA(MATCH(1331,Engine!$C$2:$C$1369,0)),"",INDEX('Compliance Database'!$N$2:$N$1369,MATCH(1331,Engine!$C$2:$C$1369,0)))</f>
        <v/>
      </c>
      <c r="O1344" s="8">
        <f>IF(ISNA(MATCH(1331,Engine!$C$2:$C$1369,0)),"",HYPERLINK(INDEX('Compliance Database'!$O$2:$O$1369,MATCH(1331,Engine!$C$2:$C$1369,0)),"Open PDF"))</f>
        <v/>
      </c>
    </row>
    <row r="1345" ht="188" customHeight="1">
      <c r="A1345" s="8">
        <f>IF(ISNA(MATCH(1332,Engine!$C$2:$C$1369,0)),"",INDEX('Compliance Database'!$A$2:$A$1369,MATCH(1332,Engine!$C$2:$C$1369,0)))</f>
        <v/>
      </c>
      <c r="B1345" s="8">
        <f>IF(ISNA(MATCH(1332,Engine!$C$2:$C$1369,0)),"",INDEX('Compliance Database'!$B$2:$B$1369,MATCH(1332,Engine!$C$2:$C$1369,0)))</f>
        <v/>
      </c>
      <c r="C1345" s="8">
        <f>IF(ISNA(MATCH(1332,Engine!$C$2:$C$1369,0)),"",INDEX('Compliance Database'!$C$2:$C$1369,MATCH(1332,Engine!$C$2:$C$1369,0)))</f>
        <v/>
      </c>
      <c r="D1345" s="9">
        <f>IF(ISNA(MATCH(1332,Engine!$C$2:$C$1369,0)),"",INDEX('Compliance Database'!$D$2:$D$1369,MATCH(1332,Engine!$C$2:$C$1369,0)))</f>
        <v/>
      </c>
      <c r="E1345" s="8">
        <f>IF(ISNA(MATCH(1332,Engine!$C$2:$C$1369,0)),"",INDEX('Compliance Database'!$E$2:$E$1369,MATCH(1332,Engine!$C$2:$C$1369,0)))</f>
        <v/>
      </c>
      <c r="F1345" s="8">
        <f>IF(ISNA(MATCH(1332,Engine!$C$2:$C$1369,0)),"",INDEX('Compliance Database'!$F$2:$F$1369,MATCH(1332,Engine!$C$2:$C$1369,0)))</f>
        <v/>
      </c>
      <c r="G1345" s="8">
        <f>IF(ISNA(MATCH(1332,Engine!$C$2:$C$1369,0)),"",INDEX('Compliance Database'!$G$2:$G$1369,MATCH(1332,Engine!$C$2:$C$1369,0)))</f>
        <v/>
      </c>
      <c r="H1345" s="9">
        <f>IF(ISNA(MATCH(1332,Engine!$C$2:$C$1369,0)),"",INDEX('Compliance Database'!$H$2:$H$1369,MATCH(1332,Engine!$C$2:$C$1369,0)))</f>
        <v/>
      </c>
      <c r="I1345" s="9">
        <f>IF(ISNA(MATCH(1332,Engine!$C$2:$C$1369,0)),"",INDEX('Compliance Database'!$I$2:$I$1369,MATCH(1332,Engine!$C$2:$C$1369,0)))</f>
        <v/>
      </c>
      <c r="J1345" s="8">
        <f>IF(ISNA(MATCH(1332,Engine!$C$2:$C$1369,0)),"",INDEX('Compliance Database'!$J$2:$J$1369,MATCH(1332,Engine!$C$2:$C$1369,0)))</f>
        <v/>
      </c>
      <c r="K1345" s="9">
        <f>IF(ISNA(MATCH(1332,Engine!$C$2:$C$1369,0)),"",INDEX('Compliance Database'!$K$2:$K$1369,MATCH(1332,Engine!$C$2:$C$1369,0)))</f>
        <v/>
      </c>
      <c r="L1345" s="9">
        <f>IF(ISNA(MATCH(1332,Engine!$C$2:$C$1369,0)),"",INDEX('Compliance Database'!$L$2:$L$1369,MATCH(1332,Engine!$C$2:$C$1369,0)))</f>
        <v/>
      </c>
      <c r="M1345" s="9">
        <f>IF(ISNA(MATCH(1332,Engine!$C$2:$C$1369,0)),"",INDEX('Compliance Database'!$M$2:$M$1369,MATCH(1332,Engine!$C$2:$C$1369,0)))</f>
        <v/>
      </c>
      <c r="N1345" s="9">
        <f>IF(ISNA(MATCH(1332,Engine!$C$2:$C$1369,0)),"",INDEX('Compliance Database'!$N$2:$N$1369,MATCH(1332,Engine!$C$2:$C$1369,0)))</f>
        <v/>
      </c>
      <c r="O1345" s="8">
        <f>IF(ISNA(MATCH(1332,Engine!$C$2:$C$1369,0)),"",HYPERLINK(INDEX('Compliance Database'!$O$2:$O$1369,MATCH(1332,Engine!$C$2:$C$1369,0)),"Open PDF"))</f>
        <v/>
      </c>
    </row>
    <row r="1346" ht="188" customHeight="1">
      <c r="A1346" s="8">
        <f>IF(ISNA(MATCH(1333,Engine!$C$2:$C$1369,0)),"",INDEX('Compliance Database'!$A$2:$A$1369,MATCH(1333,Engine!$C$2:$C$1369,0)))</f>
        <v/>
      </c>
      <c r="B1346" s="8">
        <f>IF(ISNA(MATCH(1333,Engine!$C$2:$C$1369,0)),"",INDEX('Compliance Database'!$B$2:$B$1369,MATCH(1333,Engine!$C$2:$C$1369,0)))</f>
        <v/>
      </c>
      <c r="C1346" s="8">
        <f>IF(ISNA(MATCH(1333,Engine!$C$2:$C$1369,0)),"",INDEX('Compliance Database'!$C$2:$C$1369,MATCH(1333,Engine!$C$2:$C$1369,0)))</f>
        <v/>
      </c>
      <c r="D1346" s="9">
        <f>IF(ISNA(MATCH(1333,Engine!$C$2:$C$1369,0)),"",INDEX('Compliance Database'!$D$2:$D$1369,MATCH(1333,Engine!$C$2:$C$1369,0)))</f>
        <v/>
      </c>
      <c r="E1346" s="8">
        <f>IF(ISNA(MATCH(1333,Engine!$C$2:$C$1369,0)),"",INDEX('Compliance Database'!$E$2:$E$1369,MATCH(1333,Engine!$C$2:$C$1369,0)))</f>
        <v/>
      </c>
      <c r="F1346" s="8">
        <f>IF(ISNA(MATCH(1333,Engine!$C$2:$C$1369,0)),"",INDEX('Compliance Database'!$F$2:$F$1369,MATCH(1333,Engine!$C$2:$C$1369,0)))</f>
        <v/>
      </c>
      <c r="G1346" s="8">
        <f>IF(ISNA(MATCH(1333,Engine!$C$2:$C$1369,0)),"",INDEX('Compliance Database'!$G$2:$G$1369,MATCH(1333,Engine!$C$2:$C$1369,0)))</f>
        <v/>
      </c>
      <c r="H1346" s="9">
        <f>IF(ISNA(MATCH(1333,Engine!$C$2:$C$1369,0)),"",INDEX('Compliance Database'!$H$2:$H$1369,MATCH(1333,Engine!$C$2:$C$1369,0)))</f>
        <v/>
      </c>
      <c r="I1346" s="9">
        <f>IF(ISNA(MATCH(1333,Engine!$C$2:$C$1369,0)),"",INDEX('Compliance Database'!$I$2:$I$1369,MATCH(1333,Engine!$C$2:$C$1369,0)))</f>
        <v/>
      </c>
      <c r="J1346" s="8">
        <f>IF(ISNA(MATCH(1333,Engine!$C$2:$C$1369,0)),"",INDEX('Compliance Database'!$J$2:$J$1369,MATCH(1333,Engine!$C$2:$C$1369,0)))</f>
        <v/>
      </c>
      <c r="K1346" s="9">
        <f>IF(ISNA(MATCH(1333,Engine!$C$2:$C$1369,0)),"",INDEX('Compliance Database'!$K$2:$K$1369,MATCH(1333,Engine!$C$2:$C$1369,0)))</f>
        <v/>
      </c>
      <c r="L1346" s="9">
        <f>IF(ISNA(MATCH(1333,Engine!$C$2:$C$1369,0)),"",INDEX('Compliance Database'!$L$2:$L$1369,MATCH(1333,Engine!$C$2:$C$1369,0)))</f>
        <v/>
      </c>
      <c r="M1346" s="9">
        <f>IF(ISNA(MATCH(1333,Engine!$C$2:$C$1369,0)),"",INDEX('Compliance Database'!$M$2:$M$1369,MATCH(1333,Engine!$C$2:$C$1369,0)))</f>
        <v/>
      </c>
      <c r="N1346" s="9">
        <f>IF(ISNA(MATCH(1333,Engine!$C$2:$C$1369,0)),"",INDEX('Compliance Database'!$N$2:$N$1369,MATCH(1333,Engine!$C$2:$C$1369,0)))</f>
        <v/>
      </c>
      <c r="O1346" s="8">
        <f>IF(ISNA(MATCH(1333,Engine!$C$2:$C$1369,0)),"",HYPERLINK(INDEX('Compliance Database'!$O$2:$O$1369,MATCH(1333,Engine!$C$2:$C$1369,0)),"Open PDF"))</f>
        <v/>
      </c>
    </row>
    <row r="1347" ht="188" customHeight="1">
      <c r="A1347" s="8">
        <f>IF(ISNA(MATCH(1334,Engine!$C$2:$C$1369,0)),"",INDEX('Compliance Database'!$A$2:$A$1369,MATCH(1334,Engine!$C$2:$C$1369,0)))</f>
        <v/>
      </c>
      <c r="B1347" s="8">
        <f>IF(ISNA(MATCH(1334,Engine!$C$2:$C$1369,0)),"",INDEX('Compliance Database'!$B$2:$B$1369,MATCH(1334,Engine!$C$2:$C$1369,0)))</f>
        <v/>
      </c>
      <c r="C1347" s="8">
        <f>IF(ISNA(MATCH(1334,Engine!$C$2:$C$1369,0)),"",INDEX('Compliance Database'!$C$2:$C$1369,MATCH(1334,Engine!$C$2:$C$1369,0)))</f>
        <v/>
      </c>
      <c r="D1347" s="9">
        <f>IF(ISNA(MATCH(1334,Engine!$C$2:$C$1369,0)),"",INDEX('Compliance Database'!$D$2:$D$1369,MATCH(1334,Engine!$C$2:$C$1369,0)))</f>
        <v/>
      </c>
      <c r="E1347" s="8">
        <f>IF(ISNA(MATCH(1334,Engine!$C$2:$C$1369,0)),"",INDEX('Compliance Database'!$E$2:$E$1369,MATCH(1334,Engine!$C$2:$C$1369,0)))</f>
        <v/>
      </c>
      <c r="F1347" s="8">
        <f>IF(ISNA(MATCH(1334,Engine!$C$2:$C$1369,0)),"",INDEX('Compliance Database'!$F$2:$F$1369,MATCH(1334,Engine!$C$2:$C$1369,0)))</f>
        <v/>
      </c>
      <c r="G1347" s="8">
        <f>IF(ISNA(MATCH(1334,Engine!$C$2:$C$1369,0)),"",INDEX('Compliance Database'!$G$2:$G$1369,MATCH(1334,Engine!$C$2:$C$1369,0)))</f>
        <v/>
      </c>
      <c r="H1347" s="9">
        <f>IF(ISNA(MATCH(1334,Engine!$C$2:$C$1369,0)),"",INDEX('Compliance Database'!$H$2:$H$1369,MATCH(1334,Engine!$C$2:$C$1369,0)))</f>
        <v/>
      </c>
      <c r="I1347" s="9">
        <f>IF(ISNA(MATCH(1334,Engine!$C$2:$C$1369,0)),"",INDEX('Compliance Database'!$I$2:$I$1369,MATCH(1334,Engine!$C$2:$C$1369,0)))</f>
        <v/>
      </c>
      <c r="J1347" s="8">
        <f>IF(ISNA(MATCH(1334,Engine!$C$2:$C$1369,0)),"",INDEX('Compliance Database'!$J$2:$J$1369,MATCH(1334,Engine!$C$2:$C$1369,0)))</f>
        <v/>
      </c>
      <c r="K1347" s="9">
        <f>IF(ISNA(MATCH(1334,Engine!$C$2:$C$1369,0)),"",INDEX('Compliance Database'!$K$2:$K$1369,MATCH(1334,Engine!$C$2:$C$1369,0)))</f>
        <v/>
      </c>
      <c r="L1347" s="9">
        <f>IF(ISNA(MATCH(1334,Engine!$C$2:$C$1369,0)),"",INDEX('Compliance Database'!$L$2:$L$1369,MATCH(1334,Engine!$C$2:$C$1369,0)))</f>
        <v/>
      </c>
      <c r="M1347" s="9">
        <f>IF(ISNA(MATCH(1334,Engine!$C$2:$C$1369,0)),"",INDEX('Compliance Database'!$M$2:$M$1369,MATCH(1334,Engine!$C$2:$C$1369,0)))</f>
        <v/>
      </c>
      <c r="N1347" s="9">
        <f>IF(ISNA(MATCH(1334,Engine!$C$2:$C$1369,0)),"",INDEX('Compliance Database'!$N$2:$N$1369,MATCH(1334,Engine!$C$2:$C$1369,0)))</f>
        <v/>
      </c>
      <c r="O1347" s="8">
        <f>IF(ISNA(MATCH(1334,Engine!$C$2:$C$1369,0)),"",HYPERLINK(INDEX('Compliance Database'!$O$2:$O$1369,MATCH(1334,Engine!$C$2:$C$1369,0)),"Open PDF"))</f>
        <v/>
      </c>
    </row>
    <row r="1348" ht="188" customHeight="1">
      <c r="A1348" s="8">
        <f>IF(ISNA(MATCH(1335,Engine!$C$2:$C$1369,0)),"",INDEX('Compliance Database'!$A$2:$A$1369,MATCH(1335,Engine!$C$2:$C$1369,0)))</f>
        <v/>
      </c>
      <c r="B1348" s="8">
        <f>IF(ISNA(MATCH(1335,Engine!$C$2:$C$1369,0)),"",INDEX('Compliance Database'!$B$2:$B$1369,MATCH(1335,Engine!$C$2:$C$1369,0)))</f>
        <v/>
      </c>
      <c r="C1348" s="8">
        <f>IF(ISNA(MATCH(1335,Engine!$C$2:$C$1369,0)),"",INDEX('Compliance Database'!$C$2:$C$1369,MATCH(1335,Engine!$C$2:$C$1369,0)))</f>
        <v/>
      </c>
      <c r="D1348" s="9">
        <f>IF(ISNA(MATCH(1335,Engine!$C$2:$C$1369,0)),"",INDEX('Compliance Database'!$D$2:$D$1369,MATCH(1335,Engine!$C$2:$C$1369,0)))</f>
        <v/>
      </c>
      <c r="E1348" s="8">
        <f>IF(ISNA(MATCH(1335,Engine!$C$2:$C$1369,0)),"",INDEX('Compliance Database'!$E$2:$E$1369,MATCH(1335,Engine!$C$2:$C$1369,0)))</f>
        <v/>
      </c>
      <c r="F1348" s="8">
        <f>IF(ISNA(MATCH(1335,Engine!$C$2:$C$1369,0)),"",INDEX('Compliance Database'!$F$2:$F$1369,MATCH(1335,Engine!$C$2:$C$1369,0)))</f>
        <v/>
      </c>
      <c r="G1348" s="8">
        <f>IF(ISNA(MATCH(1335,Engine!$C$2:$C$1369,0)),"",INDEX('Compliance Database'!$G$2:$G$1369,MATCH(1335,Engine!$C$2:$C$1369,0)))</f>
        <v/>
      </c>
      <c r="H1348" s="9">
        <f>IF(ISNA(MATCH(1335,Engine!$C$2:$C$1369,0)),"",INDEX('Compliance Database'!$H$2:$H$1369,MATCH(1335,Engine!$C$2:$C$1369,0)))</f>
        <v/>
      </c>
      <c r="I1348" s="9">
        <f>IF(ISNA(MATCH(1335,Engine!$C$2:$C$1369,0)),"",INDEX('Compliance Database'!$I$2:$I$1369,MATCH(1335,Engine!$C$2:$C$1369,0)))</f>
        <v/>
      </c>
      <c r="J1348" s="8">
        <f>IF(ISNA(MATCH(1335,Engine!$C$2:$C$1369,0)),"",INDEX('Compliance Database'!$J$2:$J$1369,MATCH(1335,Engine!$C$2:$C$1369,0)))</f>
        <v/>
      </c>
      <c r="K1348" s="9">
        <f>IF(ISNA(MATCH(1335,Engine!$C$2:$C$1369,0)),"",INDEX('Compliance Database'!$K$2:$K$1369,MATCH(1335,Engine!$C$2:$C$1369,0)))</f>
        <v/>
      </c>
      <c r="L1348" s="9">
        <f>IF(ISNA(MATCH(1335,Engine!$C$2:$C$1369,0)),"",INDEX('Compliance Database'!$L$2:$L$1369,MATCH(1335,Engine!$C$2:$C$1369,0)))</f>
        <v/>
      </c>
      <c r="M1348" s="9">
        <f>IF(ISNA(MATCH(1335,Engine!$C$2:$C$1369,0)),"",INDEX('Compliance Database'!$M$2:$M$1369,MATCH(1335,Engine!$C$2:$C$1369,0)))</f>
        <v/>
      </c>
      <c r="N1348" s="9">
        <f>IF(ISNA(MATCH(1335,Engine!$C$2:$C$1369,0)),"",INDEX('Compliance Database'!$N$2:$N$1369,MATCH(1335,Engine!$C$2:$C$1369,0)))</f>
        <v/>
      </c>
      <c r="O1348" s="8">
        <f>IF(ISNA(MATCH(1335,Engine!$C$2:$C$1369,0)),"",HYPERLINK(INDEX('Compliance Database'!$O$2:$O$1369,MATCH(1335,Engine!$C$2:$C$1369,0)),"Open PDF"))</f>
        <v/>
      </c>
    </row>
    <row r="1349" ht="188" customHeight="1">
      <c r="A1349" s="8">
        <f>IF(ISNA(MATCH(1336,Engine!$C$2:$C$1369,0)),"",INDEX('Compliance Database'!$A$2:$A$1369,MATCH(1336,Engine!$C$2:$C$1369,0)))</f>
        <v/>
      </c>
      <c r="B1349" s="8">
        <f>IF(ISNA(MATCH(1336,Engine!$C$2:$C$1369,0)),"",INDEX('Compliance Database'!$B$2:$B$1369,MATCH(1336,Engine!$C$2:$C$1369,0)))</f>
        <v/>
      </c>
      <c r="C1349" s="8">
        <f>IF(ISNA(MATCH(1336,Engine!$C$2:$C$1369,0)),"",INDEX('Compliance Database'!$C$2:$C$1369,MATCH(1336,Engine!$C$2:$C$1369,0)))</f>
        <v/>
      </c>
      <c r="D1349" s="9">
        <f>IF(ISNA(MATCH(1336,Engine!$C$2:$C$1369,0)),"",INDEX('Compliance Database'!$D$2:$D$1369,MATCH(1336,Engine!$C$2:$C$1369,0)))</f>
        <v/>
      </c>
      <c r="E1349" s="8">
        <f>IF(ISNA(MATCH(1336,Engine!$C$2:$C$1369,0)),"",INDEX('Compliance Database'!$E$2:$E$1369,MATCH(1336,Engine!$C$2:$C$1369,0)))</f>
        <v/>
      </c>
      <c r="F1349" s="8">
        <f>IF(ISNA(MATCH(1336,Engine!$C$2:$C$1369,0)),"",INDEX('Compliance Database'!$F$2:$F$1369,MATCH(1336,Engine!$C$2:$C$1369,0)))</f>
        <v/>
      </c>
      <c r="G1349" s="8">
        <f>IF(ISNA(MATCH(1336,Engine!$C$2:$C$1369,0)),"",INDEX('Compliance Database'!$G$2:$G$1369,MATCH(1336,Engine!$C$2:$C$1369,0)))</f>
        <v/>
      </c>
      <c r="H1349" s="9">
        <f>IF(ISNA(MATCH(1336,Engine!$C$2:$C$1369,0)),"",INDEX('Compliance Database'!$H$2:$H$1369,MATCH(1336,Engine!$C$2:$C$1369,0)))</f>
        <v/>
      </c>
      <c r="I1349" s="9">
        <f>IF(ISNA(MATCH(1336,Engine!$C$2:$C$1369,0)),"",INDEX('Compliance Database'!$I$2:$I$1369,MATCH(1336,Engine!$C$2:$C$1369,0)))</f>
        <v/>
      </c>
      <c r="J1349" s="8">
        <f>IF(ISNA(MATCH(1336,Engine!$C$2:$C$1369,0)),"",INDEX('Compliance Database'!$J$2:$J$1369,MATCH(1336,Engine!$C$2:$C$1369,0)))</f>
        <v/>
      </c>
      <c r="K1349" s="9">
        <f>IF(ISNA(MATCH(1336,Engine!$C$2:$C$1369,0)),"",INDEX('Compliance Database'!$K$2:$K$1369,MATCH(1336,Engine!$C$2:$C$1369,0)))</f>
        <v/>
      </c>
      <c r="L1349" s="9">
        <f>IF(ISNA(MATCH(1336,Engine!$C$2:$C$1369,0)),"",INDEX('Compliance Database'!$L$2:$L$1369,MATCH(1336,Engine!$C$2:$C$1369,0)))</f>
        <v/>
      </c>
      <c r="M1349" s="9">
        <f>IF(ISNA(MATCH(1336,Engine!$C$2:$C$1369,0)),"",INDEX('Compliance Database'!$M$2:$M$1369,MATCH(1336,Engine!$C$2:$C$1369,0)))</f>
        <v/>
      </c>
      <c r="N1349" s="9">
        <f>IF(ISNA(MATCH(1336,Engine!$C$2:$C$1369,0)),"",INDEX('Compliance Database'!$N$2:$N$1369,MATCH(1336,Engine!$C$2:$C$1369,0)))</f>
        <v/>
      </c>
      <c r="O1349" s="8">
        <f>IF(ISNA(MATCH(1336,Engine!$C$2:$C$1369,0)),"",HYPERLINK(INDEX('Compliance Database'!$O$2:$O$1369,MATCH(1336,Engine!$C$2:$C$1369,0)),"Open PDF"))</f>
        <v/>
      </c>
    </row>
    <row r="1350" ht="188" customHeight="1">
      <c r="A1350" s="8">
        <f>IF(ISNA(MATCH(1337,Engine!$C$2:$C$1369,0)),"",INDEX('Compliance Database'!$A$2:$A$1369,MATCH(1337,Engine!$C$2:$C$1369,0)))</f>
        <v/>
      </c>
      <c r="B1350" s="8">
        <f>IF(ISNA(MATCH(1337,Engine!$C$2:$C$1369,0)),"",INDEX('Compliance Database'!$B$2:$B$1369,MATCH(1337,Engine!$C$2:$C$1369,0)))</f>
        <v/>
      </c>
      <c r="C1350" s="8">
        <f>IF(ISNA(MATCH(1337,Engine!$C$2:$C$1369,0)),"",INDEX('Compliance Database'!$C$2:$C$1369,MATCH(1337,Engine!$C$2:$C$1369,0)))</f>
        <v/>
      </c>
      <c r="D1350" s="9">
        <f>IF(ISNA(MATCH(1337,Engine!$C$2:$C$1369,0)),"",INDEX('Compliance Database'!$D$2:$D$1369,MATCH(1337,Engine!$C$2:$C$1369,0)))</f>
        <v/>
      </c>
      <c r="E1350" s="8">
        <f>IF(ISNA(MATCH(1337,Engine!$C$2:$C$1369,0)),"",INDEX('Compliance Database'!$E$2:$E$1369,MATCH(1337,Engine!$C$2:$C$1369,0)))</f>
        <v/>
      </c>
      <c r="F1350" s="8">
        <f>IF(ISNA(MATCH(1337,Engine!$C$2:$C$1369,0)),"",INDEX('Compliance Database'!$F$2:$F$1369,MATCH(1337,Engine!$C$2:$C$1369,0)))</f>
        <v/>
      </c>
      <c r="G1350" s="8">
        <f>IF(ISNA(MATCH(1337,Engine!$C$2:$C$1369,0)),"",INDEX('Compliance Database'!$G$2:$G$1369,MATCH(1337,Engine!$C$2:$C$1369,0)))</f>
        <v/>
      </c>
      <c r="H1350" s="9">
        <f>IF(ISNA(MATCH(1337,Engine!$C$2:$C$1369,0)),"",INDEX('Compliance Database'!$H$2:$H$1369,MATCH(1337,Engine!$C$2:$C$1369,0)))</f>
        <v/>
      </c>
      <c r="I1350" s="9">
        <f>IF(ISNA(MATCH(1337,Engine!$C$2:$C$1369,0)),"",INDEX('Compliance Database'!$I$2:$I$1369,MATCH(1337,Engine!$C$2:$C$1369,0)))</f>
        <v/>
      </c>
      <c r="J1350" s="8">
        <f>IF(ISNA(MATCH(1337,Engine!$C$2:$C$1369,0)),"",INDEX('Compliance Database'!$J$2:$J$1369,MATCH(1337,Engine!$C$2:$C$1369,0)))</f>
        <v/>
      </c>
      <c r="K1350" s="9">
        <f>IF(ISNA(MATCH(1337,Engine!$C$2:$C$1369,0)),"",INDEX('Compliance Database'!$K$2:$K$1369,MATCH(1337,Engine!$C$2:$C$1369,0)))</f>
        <v/>
      </c>
      <c r="L1350" s="9">
        <f>IF(ISNA(MATCH(1337,Engine!$C$2:$C$1369,0)),"",INDEX('Compliance Database'!$L$2:$L$1369,MATCH(1337,Engine!$C$2:$C$1369,0)))</f>
        <v/>
      </c>
      <c r="M1350" s="9">
        <f>IF(ISNA(MATCH(1337,Engine!$C$2:$C$1369,0)),"",INDEX('Compliance Database'!$M$2:$M$1369,MATCH(1337,Engine!$C$2:$C$1369,0)))</f>
        <v/>
      </c>
      <c r="N1350" s="9">
        <f>IF(ISNA(MATCH(1337,Engine!$C$2:$C$1369,0)),"",INDEX('Compliance Database'!$N$2:$N$1369,MATCH(1337,Engine!$C$2:$C$1369,0)))</f>
        <v/>
      </c>
      <c r="O1350" s="8">
        <f>IF(ISNA(MATCH(1337,Engine!$C$2:$C$1369,0)),"",HYPERLINK(INDEX('Compliance Database'!$O$2:$O$1369,MATCH(1337,Engine!$C$2:$C$1369,0)),"Open PDF"))</f>
        <v/>
      </c>
    </row>
    <row r="1351" ht="188" customHeight="1">
      <c r="A1351" s="8">
        <f>IF(ISNA(MATCH(1338,Engine!$C$2:$C$1369,0)),"",INDEX('Compliance Database'!$A$2:$A$1369,MATCH(1338,Engine!$C$2:$C$1369,0)))</f>
        <v/>
      </c>
      <c r="B1351" s="8">
        <f>IF(ISNA(MATCH(1338,Engine!$C$2:$C$1369,0)),"",INDEX('Compliance Database'!$B$2:$B$1369,MATCH(1338,Engine!$C$2:$C$1369,0)))</f>
        <v/>
      </c>
      <c r="C1351" s="8">
        <f>IF(ISNA(MATCH(1338,Engine!$C$2:$C$1369,0)),"",INDEX('Compliance Database'!$C$2:$C$1369,MATCH(1338,Engine!$C$2:$C$1369,0)))</f>
        <v/>
      </c>
      <c r="D1351" s="9">
        <f>IF(ISNA(MATCH(1338,Engine!$C$2:$C$1369,0)),"",INDEX('Compliance Database'!$D$2:$D$1369,MATCH(1338,Engine!$C$2:$C$1369,0)))</f>
        <v/>
      </c>
      <c r="E1351" s="8">
        <f>IF(ISNA(MATCH(1338,Engine!$C$2:$C$1369,0)),"",INDEX('Compliance Database'!$E$2:$E$1369,MATCH(1338,Engine!$C$2:$C$1369,0)))</f>
        <v/>
      </c>
      <c r="F1351" s="8">
        <f>IF(ISNA(MATCH(1338,Engine!$C$2:$C$1369,0)),"",INDEX('Compliance Database'!$F$2:$F$1369,MATCH(1338,Engine!$C$2:$C$1369,0)))</f>
        <v/>
      </c>
      <c r="G1351" s="8">
        <f>IF(ISNA(MATCH(1338,Engine!$C$2:$C$1369,0)),"",INDEX('Compliance Database'!$G$2:$G$1369,MATCH(1338,Engine!$C$2:$C$1369,0)))</f>
        <v/>
      </c>
      <c r="H1351" s="9">
        <f>IF(ISNA(MATCH(1338,Engine!$C$2:$C$1369,0)),"",INDEX('Compliance Database'!$H$2:$H$1369,MATCH(1338,Engine!$C$2:$C$1369,0)))</f>
        <v/>
      </c>
      <c r="I1351" s="9">
        <f>IF(ISNA(MATCH(1338,Engine!$C$2:$C$1369,0)),"",INDEX('Compliance Database'!$I$2:$I$1369,MATCH(1338,Engine!$C$2:$C$1369,0)))</f>
        <v/>
      </c>
      <c r="J1351" s="8">
        <f>IF(ISNA(MATCH(1338,Engine!$C$2:$C$1369,0)),"",INDEX('Compliance Database'!$J$2:$J$1369,MATCH(1338,Engine!$C$2:$C$1369,0)))</f>
        <v/>
      </c>
      <c r="K1351" s="9">
        <f>IF(ISNA(MATCH(1338,Engine!$C$2:$C$1369,0)),"",INDEX('Compliance Database'!$K$2:$K$1369,MATCH(1338,Engine!$C$2:$C$1369,0)))</f>
        <v/>
      </c>
      <c r="L1351" s="9">
        <f>IF(ISNA(MATCH(1338,Engine!$C$2:$C$1369,0)),"",INDEX('Compliance Database'!$L$2:$L$1369,MATCH(1338,Engine!$C$2:$C$1369,0)))</f>
        <v/>
      </c>
      <c r="M1351" s="9">
        <f>IF(ISNA(MATCH(1338,Engine!$C$2:$C$1369,0)),"",INDEX('Compliance Database'!$M$2:$M$1369,MATCH(1338,Engine!$C$2:$C$1369,0)))</f>
        <v/>
      </c>
      <c r="N1351" s="9">
        <f>IF(ISNA(MATCH(1338,Engine!$C$2:$C$1369,0)),"",INDEX('Compliance Database'!$N$2:$N$1369,MATCH(1338,Engine!$C$2:$C$1369,0)))</f>
        <v/>
      </c>
      <c r="O1351" s="8">
        <f>IF(ISNA(MATCH(1338,Engine!$C$2:$C$1369,0)),"",HYPERLINK(INDEX('Compliance Database'!$O$2:$O$1369,MATCH(1338,Engine!$C$2:$C$1369,0)),"Open PDF"))</f>
        <v/>
      </c>
    </row>
    <row r="1352" ht="188" customHeight="1">
      <c r="A1352" s="8">
        <f>IF(ISNA(MATCH(1339,Engine!$C$2:$C$1369,0)),"",INDEX('Compliance Database'!$A$2:$A$1369,MATCH(1339,Engine!$C$2:$C$1369,0)))</f>
        <v/>
      </c>
      <c r="B1352" s="8">
        <f>IF(ISNA(MATCH(1339,Engine!$C$2:$C$1369,0)),"",INDEX('Compliance Database'!$B$2:$B$1369,MATCH(1339,Engine!$C$2:$C$1369,0)))</f>
        <v/>
      </c>
      <c r="C1352" s="8">
        <f>IF(ISNA(MATCH(1339,Engine!$C$2:$C$1369,0)),"",INDEX('Compliance Database'!$C$2:$C$1369,MATCH(1339,Engine!$C$2:$C$1369,0)))</f>
        <v/>
      </c>
      <c r="D1352" s="9">
        <f>IF(ISNA(MATCH(1339,Engine!$C$2:$C$1369,0)),"",INDEX('Compliance Database'!$D$2:$D$1369,MATCH(1339,Engine!$C$2:$C$1369,0)))</f>
        <v/>
      </c>
      <c r="E1352" s="8">
        <f>IF(ISNA(MATCH(1339,Engine!$C$2:$C$1369,0)),"",INDEX('Compliance Database'!$E$2:$E$1369,MATCH(1339,Engine!$C$2:$C$1369,0)))</f>
        <v/>
      </c>
      <c r="F1352" s="8">
        <f>IF(ISNA(MATCH(1339,Engine!$C$2:$C$1369,0)),"",INDEX('Compliance Database'!$F$2:$F$1369,MATCH(1339,Engine!$C$2:$C$1369,0)))</f>
        <v/>
      </c>
      <c r="G1352" s="8">
        <f>IF(ISNA(MATCH(1339,Engine!$C$2:$C$1369,0)),"",INDEX('Compliance Database'!$G$2:$G$1369,MATCH(1339,Engine!$C$2:$C$1369,0)))</f>
        <v/>
      </c>
      <c r="H1352" s="9">
        <f>IF(ISNA(MATCH(1339,Engine!$C$2:$C$1369,0)),"",INDEX('Compliance Database'!$H$2:$H$1369,MATCH(1339,Engine!$C$2:$C$1369,0)))</f>
        <v/>
      </c>
      <c r="I1352" s="9">
        <f>IF(ISNA(MATCH(1339,Engine!$C$2:$C$1369,0)),"",INDEX('Compliance Database'!$I$2:$I$1369,MATCH(1339,Engine!$C$2:$C$1369,0)))</f>
        <v/>
      </c>
      <c r="J1352" s="8">
        <f>IF(ISNA(MATCH(1339,Engine!$C$2:$C$1369,0)),"",INDEX('Compliance Database'!$J$2:$J$1369,MATCH(1339,Engine!$C$2:$C$1369,0)))</f>
        <v/>
      </c>
      <c r="K1352" s="9">
        <f>IF(ISNA(MATCH(1339,Engine!$C$2:$C$1369,0)),"",INDEX('Compliance Database'!$K$2:$K$1369,MATCH(1339,Engine!$C$2:$C$1369,0)))</f>
        <v/>
      </c>
      <c r="L1352" s="9">
        <f>IF(ISNA(MATCH(1339,Engine!$C$2:$C$1369,0)),"",INDEX('Compliance Database'!$L$2:$L$1369,MATCH(1339,Engine!$C$2:$C$1369,0)))</f>
        <v/>
      </c>
      <c r="M1352" s="9">
        <f>IF(ISNA(MATCH(1339,Engine!$C$2:$C$1369,0)),"",INDEX('Compliance Database'!$M$2:$M$1369,MATCH(1339,Engine!$C$2:$C$1369,0)))</f>
        <v/>
      </c>
      <c r="N1352" s="9">
        <f>IF(ISNA(MATCH(1339,Engine!$C$2:$C$1369,0)),"",INDEX('Compliance Database'!$N$2:$N$1369,MATCH(1339,Engine!$C$2:$C$1369,0)))</f>
        <v/>
      </c>
      <c r="O1352" s="8">
        <f>IF(ISNA(MATCH(1339,Engine!$C$2:$C$1369,0)),"",HYPERLINK(INDEX('Compliance Database'!$O$2:$O$1369,MATCH(1339,Engine!$C$2:$C$1369,0)),"Open PDF"))</f>
        <v/>
      </c>
    </row>
    <row r="1353" ht="188" customHeight="1">
      <c r="A1353" s="8">
        <f>IF(ISNA(MATCH(1340,Engine!$C$2:$C$1369,0)),"",INDEX('Compliance Database'!$A$2:$A$1369,MATCH(1340,Engine!$C$2:$C$1369,0)))</f>
        <v/>
      </c>
      <c r="B1353" s="8">
        <f>IF(ISNA(MATCH(1340,Engine!$C$2:$C$1369,0)),"",INDEX('Compliance Database'!$B$2:$B$1369,MATCH(1340,Engine!$C$2:$C$1369,0)))</f>
        <v/>
      </c>
      <c r="C1353" s="8">
        <f>IF(ISNA(MATCH(1340,Engine!$C$2:$C$1369,0)),"",INDEX('Compliance Database'!$C$2:$C$1369,MATCH(1340,Engine!$C$2:$C$1369,0)))</f>
        <v/>
      </c>
      <c r="D1353" s="9">
        <f>IF(ISNA(MATCH(1340,Engine!$C$2:$C$1369,0)),"",INDEX('Compliance Database'!$D$2:$D$1369,MATCH(1340,Engine!$C$2:$C$1369,0)))</f>
        <v/>
      </c>
      <c r="E1353" s="8">
        <f>IF(ISNA(MATCH(1340,Engine!$C$2:$C$1369,0)),"",INDEX('Compliance Database'!$E$2:$E$1369,MATCH(1340,Engine!$C$2:$C$1369,0)))</f>
        <v/>
      </c>
      <c r="F1353" s="8">
        <f>IF(ISNA(MATCH(1340,Engine!$C$2:$C$1369,0)),"",INDEX('Compliance Database'!$F$2:$F$1369,MATCH(1340,Engine!$C$2:$C$1369,0)))</f>
        <v/>
      </c>
      <c r="G1353" s="8">
        <f>IF(ISNA(MATCH(1340,Engine!$C$2:$C$1369,0)),"",INDEX('Compliance Database'!$G$2:$G$1369,MATCH(1340,Engine!$C$2:$C$1369,0)))</f>
        <v/>
      </c>
      <c r="H1353" s="9">
        <f>IF(ISNA(MATCH(1340,Engine!$C$2:$C$1369,0)),"",INDEX('Compliance Database'!$H$2:$H$1369,MATCH(1340,Engine!$C$2:$C$1369,0)))</f>
        <v/>
      </c>
      <c r="I1353" s="9">
        <f>IF(ISNA(MATCH(1340,Engine!$C$2:$C$1369,0)),"",INDEX('Compliance Database'!$I$2:$I$1369,MATCH(1340,Engine!$C$2:$C$1369,0)))</f>
        <v/>
      </c>
      <c r="J1353" s="8">
        <f>IF(ISNA(MATCH(1340,Engine!$C$2:$C$1369,0)),"",INDEX('Compliance Database'!$J$2:$J$1369,MATCH(1340,Engine!$C$2:$C$1369,0)))</f>
        <v/>
      </c>
      <c r="K1353" s="9">
        <f>IF(ISNA(MATCH(1340,Engine!$C$2:$C$1369,0)),"",INDEX('Compliance Database'!$K$2:$K$1369,MATCH(1340,Engine!$C$2:$C$1369,0)))</f>
        <v/>
      </c>
      <c r="L1353" s="9">
        <f>IF(ISNA(MATCH(1340,Engine!$C$2:$C$1369,0)),"",INDEX('Compliance Database'!$L$2:$L$1369,MATCH(1340,Engine!$C$2:$C$1369,0)))</f>
        <v/>
      </c>
      <c r="M1353" s="9">
        <f>IF(ISNA(MATCH(1340,Engine!$C$2:$C$1369,0)),"",INDEX('Compliance Database'!$M$2:$M$1369,MATCH(1340,Engine!$C$2:$C$1369,0)))</f>
        <v/>
      </c>
      <c r="N1353" s="9">
        <f>IF(ISNA(MATCH(1340,Engine!$C$2:$C$1369,0)),"",INDEX('Compliance Database'!$N$2:$N$1369,MATCH(1340,Engine!$C$2:$C$1369,0)))</f>
        <v/>
      </c>
      <c r="O1353" s="8">
        <f>IF(ISNA(MATCH(1340,Engine!$C$2:$C$1369,0)),"",HYPERLINK(INDEX('Compliance Database'!$O$2:$O$1369,MATCH(1340,Engine!$C$2:$C$1369,0)),"Open PDF"))</f>
        <v/>
      </c>
    </row>
    <row r="1354" ht="188" customHeight="1">
      <c r="A1354" s="8">
        <f>IF(ISNA(MATCH(1341,Engine!$C$2:$C$1369,0)),"",INDEX('Compliance Database'!$A$2:$A$1369,MATCH(1341,Engine!$C$2:$C$1369,0)))</f>
        <v/>
      </c>
      <c r="B1354" s="8">
        <f>IF(ISNA(MATCH(1341,Engine!$C$2:$C$1369,0)),"",INDEX('Compliance Database'!$B$2:$B$1369,MATCH(1341,Engine!$C$2:$C$1369,0)))</f>
        <v/>
      </c>
      <c r="C1354" s="8">
        <f>IF(ISNA(MATCH(1341,Engine!$C$2:$C$1369,0)),"",INDEX('Compliance Database'!$C$2:$C$1369,MATCH(1341,Engine!$C$2:$C$1369,0)))</f>
        <v/>
      </c>
      <c r="D1354" s="9">
        <f>IF(ISNA(MATCH(1341,Engine!$C$2:$C$1369,0)),"",INDEX('Compliance Database'!$D$2:$D$1369,MATCH(1341,Engine!$C$2:$C$1369,0)))</f>
        <v/>
      </c>
      <c r="E1354" s="8">
        <f>IF(ISNA(MATCH(1341,Engine!$C$2:$C$1369,0)),"",INDEX('Compliance Database'!$E$2:$E$1369,MATCH(1341,Engine!$C$2:$C$1369,0)))</f>
        <v/>
      </c>
      <c r="F1354" s="8">
        <f>IF(ISNA(MATCH(1341,Engine!$C$2:$C$1369,0)),"",INDEX('Compliance Database'!$F$2:$F$1369,MATCH(1341,Engine!$C$2:$C$1369,0)))</f>
        <v/>
      </c>
      <c r="G1354" s="8">
        <f>IF(ISNA(MATCH(1341,Engine!$C$2:$C$1369,0)),"",INDEX('Compliance Database'!$G$2:$G$1369,MATCH(1341,Engine!$C$2:$C$1369,0)))</f>
        <v/>
      </c>
      <c r="H1354" s="9">
        <f>IF(ISNA(MATCH(1341,Engine!$C$2:$C$1369,0)),"",INDEX('Compliance Database'!$H$2:$H$1369,MATCH(1341,Engine!$C$2:$C$1369,0)))</f>
        <v/>
      </c>
      <c r="I1354" s="9">
        <f>IF(ISNA(MATCH(1341,Engine!$C$2:$C$1369,0)),"",INDEX('Compliance Database'!$I$2:$I$1369,MATCH(1341,Engine!$C$2:$C$1369,0)))</f>
        <v/>
      </c>
      <c r="J1354" s="8">
        <f>IF(ISNA(MATCH(1341,Engine!$C$2:$C$1369,0)),"",INDEX('Compliance Database'!$J$2:$J$1369,MATCH(1341,Engine!$C$2:$C$1369,0)))</f>
        <v/>
      </c>
      <c r="K1354" s="9">
        <f>IF(ISNA(MATCH(1341,Engine!$C$2:$C$1369,0)),"",INDEX('Compliance Database'!$K$2:$K$1369,MATCH(1341,Engine!$C$2:$C$1369,0)))</f>
        <v/>
      </c>
      <c r="L1354" s="9">
        <f>IF(ISNA(MATCH(1341,Engine!$C$2:$C$1369,0)),"",INDEX('Compliance Database'!$L$2:$L$1369,MATCH(1341,Engine!$C$2:$C$1369,0)))</f>
        <v/>
      </c>
      <c r="M1354" s="9">
        <f>IF(ISNA(MATCH(1341,Engine!$C$2:$C$1369,0)),"",INDEX('Compliance Database'!$M$2:$M$1369,MATCH(1341,Engine!$C$2:$C$1369,0)))</f>
        <v/>
      </c>
      <c r="N1354" s="9">
        <f>IF(ISNA(MATCH(1341,Engine!$C$2:$C$1369,0)),"",INDEX('Compliance Database'!$N$2:$N$1369,MATCH(1341,Engine!$C$2:$C$1369,0)))</f>
        <v/>
      </c>
      <c r="O1354" s="8">
        <f>IF(ISNA(MATCH(1341,Engine!$C$2:$C$1369,0)),"",HYPERLINK(INDEX('Compliance Database'!$O$2:$O$1369,MATCH(1341,Engine!$C$2:$C$1369,0)),"Open PDF"))</f>
        <v/>
      </c>
    </row>
    <row r="1355" ht="188" customHeight="1">
      <c r="A1355" s="8">
        <f>IF(ISNA(MATCH(1342,Engine!$C$2:$C$1369,0)),"",INDEX('Compliance Database'!$A$2:$A$1369,MATCH(1342,Engine!$C$2:$C$1369,0)))</f>
        <v/>
      </c>
      <c r="B1355" s="8">
        <f>IF(ISNA(MATCH(1342,Engine!$C$2:$C$1369,0)),"",INDEX('Compliance Database'!$B$2:$B$1369,MATCH(1342,Engine!$C$2:$C$1369,0)))</f>
        <v/>
      </c>
      <c r="C1355" s="8">
        <f>IF(ISNA(MATCH(1342,Engine!$C$2:$C$1369,0)),"",INDEX('Compliance Database'!$C$2:$C$1369,MATCH(1342,Engine!$C$2:$C$1369,0)))</f>
        <v/>
      </c>
      <c r="D1355" s="9">
        <f>IF(ISNA(MATCH(1342,Engine!$C$2:$C$1369,0)),"",INDEX('Compliance Database'!$D$2:$D$1369,MATCH(1342,Engine!$C$2:$C$1369,0)))</f>
        <v/>
      </c>
      <c r="E1355" s="8">
        <f>IF(ISNA(MATCH(1342,Engine!$C$2:$C$1369,0)),"",INDEX('Compliance Database'!$E$2:$E$1369,MATCH(1342,Engine!$C$2:$C$1369,0)))</f>
        <v/>
      </c>
      <c r="F1355" s="8">
        <f>IF(ISNA(MATCH(1342,Engine!$C$2:$C$1369,0)),"",INDEX('Compliance Database'!$F$2:$F$1369,MATCH(1342,Engine!$C$2:$C$1369,0)))</f>
        <v/>
      </c>
      <c r="G1355" s="8">
        <f>IF(ISNA(MATCH(1342,Engine!$C$2:$C$1369,0)),"",INDEX('Compliance Database'!$G$2:$G$1369,MATCH(1342,Engine!$C$2:$C$1369,0)))</f>
        <v/>
      </c>
      <c r="H1355" s="9">
        <f>IF(ISNA(MATCH(1342,Engine!$C$2:$C$1369,0)),"",INDEX('Compliance Database'!$H$2:$H$1369,MATCH(1342,Engine!$C$2:$C$1369,0)))</f>
        <v/>
      </c>
      <c r="I1355" s="9">
        <f>IF(ISNA(MATCH(1342,Engine!$C$2:$C$1369,0)),"",INDEX('Compliance Database'!$I$2:$I$1369,MATCH(1342,Engine!$C$2:$C$1369,0)))</f>
        <v/>
      </c>
      <c r="J1355" s="8">
        <f>IF(ISNA(MATCH(1342,Engine!$C$2:$C$1369,0)),"",INDEX('Compliance Database'!$J$2:$J$1369,MATCH(1342,Engine!$C$2:$C$1369,0)))</f>
        <v/>
      </c>
      <c r="K1355" s="9">
        <f>IF(ISNA(MATCH(1342,Engine!$C$2:$C$1369,0)),"",INDEX('Compliance Database'!$K$2:$K$1369,MATCH(1342,Engine!$C$2:$C$1369,0)))</f>
        <v/>
      </c>
      <c r="L1355" s="9">
        <f>IF(ISNA(MATCH(1342,Engine!$C$2:$C$1369,0)),"",INDEX('Compliance Database'!$L$2:$L$1369,MATCH(1342,Engine!$C$2:$C$1369,0)))</f>
        <v/>
      </c>
      <c r="M1355" s="9">
        <f>IF(ISNA(MATCH(1342,Engine!$C$2:$C$1369,0)),"",INDEX('Compliance Database'!$M$2:$M$1369,MATCH(1342,Engine!$C$2:$C$1369,0)))</f>
        <v/>
      </c>
      <c r="N1355" s="9">
        <f>IF(ISNA(MATCH(1342,Engine!$C$2:$C$1369,0)),"",INDEX('Compliance Database'!$N$2:$N$1369,MATCH(1342,Engine!$C$2:$C$1369,0)))</f>
        <v/>
      </c>
      <c r="O1355" s="8">
        <f>IF(ISNA(MATCH(1342,Engine!$C$2:$C$1369,0)),"",HYPERLINK(INDEX('Compliance Database'!$O$2:$O$1369,MATCH(1342,Engine!$C$2:$C$1369,0)),"Open PDF"))</f>
        <v/>
      </c>
    </row>
    <row r="1356" ht="188" customHeight="1">
      <c r="A1356" s="8">
        <f>IF(ISNA(MATCH(1343,Engine!$C$2:$C$1369,0)),"",INDEX('Compliance Database'!$A$2:$A$1369,MATCH(1343,Engine!$C$2:$C$1369,0)))</f>
        <v/>
      </c>
      <c r="B1356" s="8">
        <f>IF(ISNA(MATCH(1343,Engine!$C$2:$C$1369,0)),"",INDEX('Compliance Database'!$B$2:$B$1369,MATCH(1343,Engine!$C$2:$C$1369,0)))</f>
        <v/>
      </c>
      <c r="C1356" s="8">
        <f>IF(ISNA(MATCH(1343,Engine!$C$2:$C$1369,0)),"",INDEX('Compliance Database'!$C$2:$C$1369,MATCH(1343,Engine!$C$2:$C$1369,0)))</f>
        <v/>
      </c>
      <c r="D1356" s="9">
        <f>IF(ISNA(MATCH(1343,Engine!$C$2:$C$1369,0)),"",INDEX('Compliance Database'!$D$2:$D$1369,MATCH(1343,Engine!$C$2:$C$1369,0)))</f>
        <v/>
      </c>
      <c r="E1356" s="8">
        <f>IF(ISNA(MATCH(1343,Engine!$C$2:$C$1369,0)),"",INDEX('Compliance Database'!$E$2:$E$1369,MATCH(1343,Engine!$C$2:$C$1369,0)))</f>
        <v/>
      </c>
      <c r="F1356" s="8">
        <f>IF(ISNA(MATCH(1343,Engine!$C$2:$C$1369,0)),"",INDEX('Compliance Database'!$F$2:$F$1369,MATCH(1343,Engine!$C$2:$C$1369,0)))</f>
        <v/>
      </c>
      <c r="G1356" s="8">
        <f>IF(ISNA(MATCH(1343,Engine!$C$2:$C$1369,0)),"",INDEX('Compliance Database'!$G$2:$G$1369,MATCH(1343,Engine!$C$2:$C$1369,0)))</f>
        <v/>
      </c>
      <c r="H1356" s="9">
        <f>IF(ISNA(MATCH(1343,Engine!$C$2:$C$1369,0)),"",INDEX('Compliance Database'!$H$2:$H$1369,MATCH(1343,Engine!$C$2:$C$1369,0)))</f>
        <v/>
      </c>
      <c r="I1356" s="9">
        <f>IF(ISNA(MATCH(1343,Engine!$C$2:$C$1369,0)),"",INDEX('Compliance Database'!$I$2:$I$1369,MATCH(1343,Engine!$C$2:$C$1369,0)))</f>
        <v/>
      </c>
      <c r="J1356" s="8">
        <f>IF(ISNA(MATCH(1343,Engine!$C$2:$C$1369,0)),"",INDEX('Compliance Database'!$J$2:$J$1369,MATCH(1343,Engine!$C$2:$C$1369,0)))</f>
        <v/>
      </c>
      <c r="K1356" s="9">
        <f>IF(ISNA(MATCH(1343,Engine!$C$2:$C$1369,0)),"",INDEX('Compliance Database'!$K$2:$K$1369,MATCH(1343,Engine!$C$2:$C$1369,0)))</f>
        <v/>
      </c>
      <c r="L1356" s="9">
        <f>IF(ISNA(MATCH(1343,Engine!$C$2:$C$1369,0)),"",INDEX('Compliance Database'!$L$2:$L$1369,MATCH(1343,Engine!$C$2:$C$1369,0)))</f>
        <v/>
      </c>
      <c r="M1356" s="9">
        <f>IF(ISNA(MATCH(1343,Engine!$C$2:$C$1369,0)),"",INDEX('Compliance Database'!$M$2:$M$1369,MATCH(1343,Engine!$C$2:$C$1369,0)))</f>
        <v/>
      </c>
      <c r="N1356" s="9">
        <f>IF(ISNA(MATCH(1343,Engine!$C$2:$C$1369,0)),"",INDEX('Compliance Database'!$N$2:$N$1369,MATCH(1343,Engine!$C$2:$C$1369,0)))</f>
        <v/>
      </c>
      <c r="O1356" s="8">
        <f>IF(ISNA(MATCH(1343,Engine!$C$2:$C$1369,0)),"",HYPERLINK(INDEX('Compliance Database'!$O$2:$O$1369,MATCH(1343,Engine!$C$2:$C$1369,0)),"Open PDF"))</f>
        <v/>
      </c>
    </row>
    <row r="1357" ht="188" customHeight="1">
      <c r="A1357" s="8">
        <f>IF(ISNA(MATCH(1344,Engine!$C$2:$C$1369,0)),"",INDEX('Compliance Database'!$A$2:$A$1369,MATCH(1344,Engine!$C$2:$C$1369,0)))</f>
        <v/>
      </c>
      <c r="B1357" s="8">
        <f>IF(ISNA(MATCH(1344,Engine!$C$2:$C$1369,0)),"",INDEX('Compliance Database'!$B$2:$B$1369,MATCH(1344,Engine!$C$2:$C$1369,0)))</f>
        <v/>
      </c>
      <c r="C1357" s="8">
        <f>IF(ISNA(MATCH(1344,Engine!$C$2:$C$1369,0)),"",INDEX('Compliance Database'!$C$2:$C$1369,MATCH(1344,Engine!$C$2:$C$1369,0)))</f>
        <v/>
      </c>
      <c r="D1357" s="9">
        <f>IF(ISNA(MATCH(1344,Engine!$C$2:$C$1369,0)),"",INDEX('Compliance Database'!$D$2:$D$1369,MATCH(1344,Engine!$C$2:$C$1369,0)))</f>
        <v/>
      </c>
      <c r="E1357" s="8">
        <f>IF(ISNA(MATCH(1344,Engine!$C$2:$C$1369,0)),"",INDEX('Compliance Database'!$E$2:$E$1369,MATCH(1344,Engine!$C$2:$C$1369,0)))</f>
        <v/>
      </c>
      <c r="F1357" s="8">
        <f>IF(ISNA(MATCH(1344,Engine!$C$2:$C$1369,0)),"",INDEX('Compliance Database'!$F$2:$F$1369,MATCH(1344,Engine!$C$2:$C$1369,0)))</f>
        <v/>
      </c>
      <c r="G1357" s="8">
        <f>IF(ISNA(MATCH(1344,Engine!$C$2:$C$1369,0)),"",INDEX('Compliance Database'!$G$2:$G$1369,MATCH(1344,Engine!$C$2:$C$1369,0)))</f>
        <v/>
      </c>
      <c r="H1357" s="9">
        <f>IF(ISNA(MATCH(1344,Engine!$C$2:$C$1369,0)),"",INDEX('Compliance Database'!$H$2:$H$1369,MATCH(1344,Engine!$C$2:$C$1369,0)))</f>
        <v/>
      </c>
      <c r="I1357" s="9">
        <f>IF(ISNA(MATCH(1344,Engine!$C$2:$C$1369,0)),"",INDEX('Compliance Database'!$I$2:$I$1369,MATCH(1344,Engine!$C$2:$C$1369,0)))</f>
        <v/>
      </c>
      <c r="J1357" s="8">
        <f>IF(ISNA(MATCH(1344,Engine!$C$2:$C$1369,0)),"",INDEX('Compliance Database'!$J$2:$J$1369,MATCH(1344,Engine!$C$2:$C$1369,0)))</f>
        <v/>
      </c>
      <c r="K1357" s="9">
        <f>IF(ISNA(MATCH(1344,Engine!$C$2:$C$1369,0)),"",INDEX('Compliance Database'!$K$2:$K$1369,MATCH(1344,Engine!$C$2:$C$1369,0)))</f>
        <v/>
      </c>
      <c r="L1357" s="9">
        <f>IF(ISNA(MATCH(1344,Engine!$C$2:$C$1369,0)),"",INDEX('Compliance Database'!$L$2:$L$1369,MATCH(1344,Engine!$C$2:$C$1369,0)))</f>
        <v/>
      </c>
      <c r="M1357" s="9">
        <f>IF(ISNA(MATCH(1344,Engine!$C$2:$C$1369,0)),"",INDEX('Compliance Database'!$M$2:$M$1369,MATCH(1344,Engine!$C$2:$C$1369,0)))</f>
        <v/>
      </c>
      <c r="N1357" s="9">
        <f>IF(ISNA(MATCH(1344,Engine!$C$2:$C$1369,0)),"",INDEX('Compliance Database'!$N$2:$N$1369,MATCH(1344,Engine!$C$2:$C$1369,0)))</f>
        <v/>
      </c>
      <c r="O1357" s="8">
        <f>IF(ISNA(MATCH(1344,Engine!$C$2:$C$1369,0)),"",HYPERLINK(INDEX('Compliance Database'!$O$2:$O$1369,MATCH(1344,Engine!$C$2:$C$1369,0)),"Open PDF"))</f>
        <v/>
      </c>
    </row>
    <row r="1358" ht="188" customHeight="1">
      <c r="A1358" s="8">
        <f>IF(ISNA(MATCH(1345,Engine!$C$2:$C$1369,0)),"",INDEX('Compliance Database'!$A$2:$A$1369,MATCH(1345,Engine!$C$2:$C$1369,0)))</f>
        <v/>
      </c>
      <c r="B1358" s="8">
        <f>IF(ISNA(MATCH(1345,Engine!$C$2:$C$1369,0)),"",INDEX('Compliance Database'!$B$2:$B$1369,MATCH(1345,Engine!$C$2:$C$1369,0)))</f>
        <v/>
      </c>
      <c r="C1358" s="8">
        <f>IF(ISNA(MATCH(1345,Engine!$C$2:$C$1369,0)),"",INDEX('Compliance Database'!$C$2:$C$1369,MATCH(1345,Engine!$C$2:$C$1369,0)))</f>
        <v/>
      </c>
      <c r="D1358" s="9">
        <f>IF(ISNA(MATCH(1345,Engine!$C$2:$C$1369,0)),"",INDEX('Compliance Database'!$D$2:$D$1369,MATCH(1345,Engine!$C$2:$C$1369,0)))</f>
        <v/>
      </c>
      <c r="E1358" s="8">
        <f>IF(ISNA(MATCH(1345,Engine!$C$2:$C$1369,0)),"",INDEX('Compliance Database'!$E$2:$E$1369,MATCH(1345,Engine!$C$2:$C$1369,0)))</f>
        <v/>
      </c>
      <c r="F1358" s="8">
        <f>IF(ISNA(MATCH(1345,Engine!$C$2:$C$1369,0)),"",INDEX('Compliance Database'!$F$2:$F$1369,MATCH(1345,Engine!$C$2:$C$1369,0)))</f>
        <v/>
      </c>
      <c r="G1358" s="8">
        <f>IF(ISNA(MATCH(1345,Engine!$C$2:$C$1369,0)),"",INDEX('Compliance Database'!$G$2:$G$1369,MATCH(1345,Engine!$C$2:$C$1369,0)))</f>
        <v/>
      </c>
      <c r="H1358" s="9">
        <f>IF(ISNA(MATCH(1345,Engine!$C$2:$C$1369,0)),"",INDEX('Compliance Database'!$H$2:$H$1369,MATCH(1345,Engine!$C$2:$C$1369,0)))</f>
        <v/>
      </c>
      <c r="I1358" s="9">
        <f>IF(ISNA(MATCH(1345,Engine!$C$2:$C$1369,0)),"",INDEX('Compliance Database'!$I$2:$I$1369,MATCH(1345,Engine!$C$2:$C$1369,0)))</f>
        <v/>
      </c>
      <c r="J1358" s="8">
        <f>IF(ISNA(MATCH(1345,Engine!$C$2:$C$1369,0)),"",INDEX('Compliance Database'!$J$2:$J$1369,MATCH(1345,Engine!$C$2:$C$1369,0)))</f>
        <v/>
      </c>
      <c r="K1358" s="9">
        <f>IF(ISNA(MATCH(1345,Engine!$C$2:$C$1369,0)),"",INDEX('Compliance Database'!$K$2:$K$1369,MATCH(1345,Engine!$C$2:$C$1369,0)))</f>
        <v/>
      </c>
      <c r="L1358" s="9">
        <f>IF(ISNA(MATCH(1345,Engine!$C$2:$C$1369,0)),"",INDEX('Compliance Database'!$L$2:$L$1369,MATCH(1345,Engine!$C$2:$C$1369,0)))</f>
        <v/>
      </c>
      <c r="M1358" s="9">
        <f>IF(ISNA(MATCH(1345,Engine!$C$2:$C$1369,0)),"",INDEX('Compliance Database'!$M$2:$M$1369,MATCH(1345,Engine!$C$2:$C$1369,0)))</f>
        <v/>
      </c>
      <c r="N1358" s="9">
        <f>IF(ISNA(MATCH(1345,Engine!$C$2:$C$1369,0)),"",INDEX('Compliance Database'!$N$2:$N$1369,MATCH(1345,Engine!$C$2:$C$1369,0)))</f>
        <v/>
      </c>
      <c r="O1358" s="8">
        <f>IF(ISNA(MATCH(1345,Engine!$C$2:$C$1369,0)),"",HYPERLINK(INDEX('Compliance Database'!$O$2:$O$1369,MATCH(1345,Engine!$C$2:$C$1369,0)),"Open PDF"))</f>
        <v/>
      </c>
    </row>
    <row r="1359" ht="188" customHeight="1">
      <c r="A1359" s="8">
        <f>IF(ISNA(MATCH(1346,Engine!$C$2:$C$1369,0)),"",INDEX('Compliance Database'!$A$2:$A$1369,MATCH(1346,Engine!$C$2:$C$1369,0)))</f>
        <v/>
      </c>
      <c r="B1359" s="8">
        <f>IF(ISNA(MATCH(1346,Engine!$C$2:$C$1369,0)),"",INDEX('Compliance Database'!$B$2:$B$1369,MATCH(1346,Engine!$C$2:$C$1369,0)))</f>
        <v/>
      </c>
      <c r="C1359" s="8">
        <f>IF(ISNA(MATCH(1346,Engine!$C$2:$C$1369,0)),"",INDEX('Compliance Database'!$C$2:$C$1369,MATCH(1346,Engine!$C$2:$C$1369,0)))</f>
        <v/>
      </c>
      <c r="D1359" s="9">
        <f>IF(ISNA(MATCH(1346,Engine!$C$2:$C$1369,0)),"",INDEX('Compliance Database'!$D$2:$D$1369,MATCH(1346,Engine!$C$2:$C$1369,0)))</f>
        <v/>
      </c>
      <c r="E1359" s="8">
        <f>IF(ISNA(MATCH(1346,Engine!$C$2:$C$1369,0)),"",INDEX('Compliance Database'!$E$2:$E$1369,MATCH(1346,Engine!$C$2:$C$1369,0)))</f>
        <v/>
      </c>
      <c r="F1359" s="8">
        <f>IF(ISNA(MATCH(1346,Engine!$C$2:$C$1369,0)),"",INDEX('Compliance Database'!$F$2:$F$1369,MATCH(1346,Engine!$C$2:$C$1369,0)))</f>
        <v/>
      </c>
      <c r="G1359" s="8">
        <f>IF(ISNA(MATCH(1346,Engine!$C$2:$C$1369,0)),"",INDEX('Compliance Database'!$G$2:$G$1369,MATCH(1346,Engine!$C$2:$C$1369,0)))</f>
        <v/>
      </c>
      <c r="H1359" s="9">
        <f>IF(ISNA(MATCH(1346,Engine!$C$2:$C$1369,0)),"",INDEX('Compliance Database'!$H$2:$H$1369,MATCH(1346,Engine!$C$2:$C$1369,0)))</f>
        <v/>
      </c>
      <c r="I1359" s="9">
        <f>IF(ISNA(MATCH(1346,Engine!$C$2:$C$1369,0)),"",INDEX('Compliance Database'!$I$2:$I$1369,MATCH(1346,Engine!$C$2:$C$1369,0)))</f>
        <v/>
      </c>
      <c r="J1359" s="8">
        <f>IF(ISNA(MATCH(1346,Engine!$C$2:$C$1369,0)),"",INDEX('Compliance Database'!$J$2:$J$1369,MATCH(1346,Engine!$C$2:$C$1369,0)))</f>
        <v/>
      </c>
      <c r="K1359" s="9">
        <f>IF(ISNA(MATCH(1346,Engine!$C$2:$C$1369,0)),"",INDEX('Compliance Database'!$K$2:$K$1369,MATCH(1346,Engine!$C$2:$C$1369,0)))</f>
        <v/>
      </c>
      <c r="L1359" s="9">
        <f>IF(ISNA(MATCH(1346,Engine!$C$2:$C$1369,0)),"",INDEX('Compliance Database'!$L$2:$L$1369,MATCH(1346,Engine!$C$2:$C$1369,0)))</f>
        <v/>
      </c>
      <c r="M1359" s="9">
        <f>IF(ISNA(MATCH(1346,Engine!$C$2:$C$1369,0)),"",INDEX('Compliance Database'!$M$2:$M$1369,MATCH(1346,Engine!$C$2:$C$1369,0)))</f>
        <v/>
      </c>
      <c r="N1359" s="9">
        <f>IF(ISNA(MATCH(1346,Engine!$C$2:$C$1369,0)),"",INDEX('Compliance Database'!$N$2:$N$1369,MATCH(1346,Engine!$C$2:$C$1369,0)))</f>
        <v/>
      </c>
      <c r="O1359" s="8">
        <f>IF(ISNA(MATCH(1346,Engine!$C$2:$C$1369,0)),"",HYPERLINK(INDEX('Compliance Database'!$O$2:$O$1369,MATCH(1346,Engine!$C$2:$C$1369,0)),"Open PDF"))</f>
        <v/>
      </c>
    </row>
    <row r="1360" ht="188" customHeight="1">
      <c r="A1360" s="8">
        <f>IF(ISNA(MATCH(1347,Engine!$C$2:$C$1369,0)),"",INDEX('Compliance Database'!$A$2:$A$1369,MATCH(1347,Engine!$C$2:$C$1369,0)))</f>
        <v/>
      </c>
      <c r="B1360" s="8">
        <f>IF(ISNA(MATCH(1347,Engine!$C$2:$C$1369,0)),"",INDEX('Compliance Database'!$B$2:$B$1369,MATCH(1347,Engine!$C$2:$C$1369,0)))</f>
        <v/>
      </c>
      <c r="C1360" s="8">
        <f>IF(ISNA(MATCH(1347,Engine!$C$2:$C$1369,0)),"",INDEX('Compliance Database'!$C$2:$C$1369,MATCH(1347,Engine!$C$2:$C$1369,0)))</f>
        <v/>
      </c>
      <c r="D1360" s="9">
        <f>IF(ISNA(MATCH(1347,Engine!$C$2:$C$1369,0)),"",INDEX('Compliance Database'!$D$2:$D$1369,MATCH(1347,Engine!$C$2:$C$1369,0)))</f>
        <v/>
      </c>
      <c r="E1360" s="8">
        <f>IF(ISNA(MATCH(1347,Engine!$C$2:$C$1369,0)),"",INDEX('Compliance Database'!$E$2:$E$1369,MATCH(1347,Engine!$C$2:$C$1369,0)))</f>
        <v/>
      </c>
      <c r="F1360" s="8">
        <f>IF(ISNA(MATCH(1347,Engine!$C$2:$C$1369,0)),"",INDEX('Compliance Database'!$F$2:$F$1369,MATCH(1347,Engine!$C$2:$C$1369,0)))</f>
        <v/>
      </c>
      <c r="G1360" s="8">
        <f>IF(ISNA(MATCH(1347,Engine!$C$2:$C$1369,0)),"",INDEX('Compliance Database'!$G$2:$G$1369,MATCH(1347,Engine!$C$2:$C$1369,0)))</f>
        <v/>
      </c>
      <c r="H1360" s="9">
        <f>IF(ISNA(MATCH(1347,Engine!$C$2:$C$1369,0)),"",INDEX('Compliance Database'!$H$2:$H$1369,MATCH(1347,Engine!$C$2:$C$1369,0)))</f>
        <v/>
      </c>
      <c r="I1360" s="9">
        <f>IF(ISNA(MATCH(1347,Engine!$C$2:$C$1369,0)),"",INDEX('Compliance Database'!$I$2:$I$1369,MATCH(1347,Engine!$C$2:$C$1369,0)))</f>
        <v/>
      </c>
      <c r="J1360" s="8">
        <f>IF(ISNA(MATCH(1347,Engine!$C$2:$C$1369,0)),"",INDEX('Compliance Database'!$J$2:$J$1369,MATCH(1347,Engine!$C$2:$C$1369,0)))</f>
        <v/>
      </c>
      <c r="K1360" s="9">
        <f>IF(ISNA(MATCH(1347,Engine!$C$2:$C$1369,0)),"",INDEX('Compliance Database'!$K$2:$K$1369,MATCH(1347,Engine!$C$2:$C$1369,0)))</f>
        <v/>
      </c>
      <c r="L1360" s="9">
        <f>IF(ISNA(MATCH(1347,Engine!$C$2:$C$1369,0)),"",INDEX('Compliance Database'!$L$2:$L$1369,MATCH(1347,Engine!$C$2:$C$1369,0)))</f>
        <v/>
      </c>
      <c r="M1360" s="9">
        <f>IF(ISNA(MATCH(1347,Engine!$C$2:$C$1369,0)),"",INDEX('Compliance Database'!$M$2:$M$1369,MATCH(1347,Engine!$C$2:$C$1369,0)))</f>
        <v/>
      </c>
      <c r="N1360" s="9">
        <f>IF(ISNA(MATCH(1347,Engine!$C$2:$C$1369,0)),"",INDEX('Compliance Database'!$N$2:$N$1369,MATCH(1347,Engine!$C$2:$C$1369,0)))</f>
        <v/>
      </c>
      <c r="O1360" s="8">
        <f>IF(ISNA(MATCH(1347,Engine!$C$2:$C$1369,0)),"",HYPERLINK(INDEX('Compliance Database'!$O$2:$O$1369,MATCH(1347,Engine!$C$2:$C$1369,0)),"Open PDF"))</f>
        <v/>
      </c>
    </row>
    <row r="1361" ht="188" customHeight="1">
      <c r="A1361" s="8">
        <f>IF(ISNA(MATCH(1348,Engine!$C$2:$C$1369,0)),"",INDEX('Compliance Database'!$A$2:$A$1369,MATCH(1348,Engine!$C$2:$C$1369,0)))</f>
        <v/>
      </c>
      <c r="B1361" s="8">
        <f>IF(ISNA(MATCH(1348,Engine!$C$2:$C$1369,0)),"",INDEX('Compliance Database'!$B$2:$B$1369,MATCH(1348,Engine!$C$2:$C$1369,0)))</f>
        <v/>
      </c>
      <c r="C1361" s="8">
        <f>IF(ISNA(MATCH(1348,Engine!$C$2:$C$1369,0)),"",INDEX('Compliance Database'!$C$2:$C$1369,MATCH(1348,Engine!$C$2:$C$1369,0)))</f>
        <v/>
      </c>
      <c r="D1361" s="9">
        <f>IF(ISNA(MATCH(1348,Engine!$C$2:$C$1369,0)),"",INDEX('Compliance Database'!$D$2:$D$1369,MATCH(1348,Engine!$C$2:$C$1369,0)))</f>
        <v/>
      </c>
      <c r="E1361" s="8">
        <f>IF(ISNA(MATCH(1348,Engine!$C$2:$C$1369,0)),"",INDEX('Compliance Database'!$E$2:$E$1369,MATCH(1348,Engine!$C$2:$C$1369,0)))</f>
        <v/>
      </c>
      <c r="F1361" s="8">
        <f>IF(ISNA(MATCH(1348,Engine!$C$2:$C$1369,0)),"",INDEX('Compliance Database'!$F$2:$F$1369,MATCH(1348,Engine!$C$2:$C$1369,0)))</f>
        <v/>
      </c>
      <c r="G1361" s="8">
        <f>IF(ISNA(MATCH(1348,Engine!$C$2:$C$1369,0)),"",INDEX('Compliance Database'!$G$2:$G$1369,MATCH(1348,Engine!$C$2:$C$1369,0)))</f>
        <v/>
      </c>
      <c r="H1361" s="9">
        <f>IF(ISNA(MATCH(1348,Engine!$C$2:$C$1369,0)),"",INDEX('Compliance Database'!$H$2:$H$1369,MATCH(1348,Engine!$C$2:$C$1369,0)))</f>
        <v/>
      </c>
      <c r="I1361" s="9">
        <f>IF(ISNA(MATCH(1348,Engine!$C$2:$C$1369,0)),"",INDEX('Compliance Database'!$I$2:$I$1369,MATCH(1348,Engine!$C$2:$C$1369,0)))</f>
        <v/>
      </c>
      <c r="J1361" s="8">
        <f>IF(ISNA(MATCH(1348,Engine!$C$2:$C$1369,0)),"",INDEX('Compliance Database'!$J$2:$J$1369,MATCH(1348,Engine!$C$2:$C$1369,0)))</f>
        <v/>
      </c>
      <c r="K1361" s="9">
        <f>IF(ISNA(MATCH(1348,Engine!$C$2:$C$1369,0)),"",INDEX('Compliance Database'!$K$2:$K$1369,MATCH(1348,Engine!$C$2:$C$1369,0)))</f>
        <v/>
      </c>
      <c r="L1361" s="9">
        <f>IF(ISNA(MATCH(1348,Engine!$C$2:$C$1369,0)),"",INDEX('Compliance Database'!$L$2:$L$1369,MATCH(1348,Engine!$C$2:$C$1369,0)))</f>
        <v/>
      </c>
      <c r="M1361" s="9">
        <f>IF(ISNA(MATCH(1348,Engine!$C$2:$C$1369,0)),"",INDEX('Compliance Database'!$M$2:$M$1369,MATCH(1348,Engine!$C$2:$C$1369,0)))</f>
        <v/>
      </c>
      <c r="N1361" s="9">
        <f>IF(ISNA(MATCH(1348,Engine!$C$2:$C$1369,0)),"",INDEX('Compliance Database'!$N$2:$N$1369,MATCH(1348,Engine!$C$2:$C$1369,0)))</f>
        <v/>
      </c>
      <c r="O1361" s="8">
        <f>IF(ISNA(MATCH(1348,Engine!$C$2:$C$1369,0)),"",HYPERLINK(INDEX('Compliance Database'!$O$2:$O$1369,MATCH(1348,Engine!$C$2:$C$1369,0)),"Open PDF"))</f>
        <v/>
      </c>
    </row>
    <row r="1362" ht="188" customHeight="1">
      <c r="A1362" s="8">
        <f>IF(ISNA(MATCH(1349,Engine!$C$2:$C$1369,0)),"",INDEX('Compliance Database'!$A$2:$A$1369,MATCH(1349,Engine!$C$2:$C$1369,0)))</f>
        <v/>
      </c>
      <c r="B1362" s="8">
        <f>IF(ISNA(MATCH(1349,Engine!$C$2:$C$1369,0)),"",INDEX('Compliance Database'!$B$2:$B$1369,MATCH(1349,Engine!$C$2:$C$1369,0)))</f>
        <v/>
      </c>
      <c r="C1362" s="8">
        <f>IF(ISNA(MATCH(1349,Engine!$C$2:$C$1369,0)),"",INDEX('Compliance Database'!$C$2:$C$1369,MATCH(1349,Engine!$C$2:$C$1369,0)))</f>
        <v/>
      </c>
      <c r="D1362" s="9">
        <f>IF(ISNA(MATCH(1349,Engine!$C$2:$C$1369,0)),"",INDEX('Compliance Database'!$D$2:$D$1369,MATCH(1349,Engine!$C$2:$C$1369,0)))</f>
        <v/>
      </c>
      <c r="E1362" s="8">
        <f>IF(ISNA(MATCH(1349,Engine!$C$2:$C$1369,0)),"",INDEX('Compliance Database'!$E$2:$E$1369,MATCH(1349,Engine!$C$2:$C$1369,0)))</f>
        <v/>
      </c>
      <c r="F1362" s="8">
        <f>IF(ISNA(MATCH(1349,Engine!$C$2:$C$1369,0)),"",INDEX('Compliance Database'!$F$2:$F$1369,MATCH(1349,Engine!$C$2:$C$1369,0)))</f>
        <v/>
      </c>
      <c r="G1362" s="8">
        <f>IF(ISNA(MATCH(1349,Engine!$C$2:$C$1369,0)),"",INDEX('Compliance Database'!$G$2:$G$1369,MATCH(1349,Engine!$C$2:$C$1369,0)))</f>
        <v/>
      </c>
      <c r="H1362" s="9">
        <f>IF(ISNA(MATCH(1349,Engine!$C$2:$C$1369,0)),"",INDEX('Compliance Database'!$H$2:$H$1369,MATCH(1349,Engine!$C$2:$C$1369,0)))</f>
        <v/>
      </c>
      <c r="I1362" s="9">
        <f>IF(ISNA(MATCH(1349,Engine!$C$2:$C$1369,0)),"",INDEX('Compliance Database'!$I$2:$I$1369,MATCH(1349,Engine!$C$2:$C$1369,0)))</f>
        <v/>
      </c>
      <c r="J1362" s="8">
        <f>IF(ISNA(MATCH(1349,Engine!$C$2:$C$1369,0)),"",INDEX('Compliance Database'!$J$2:$J$1369,MATCH(1349,Engine!$C$2:$C$1369,0)))</f>
        <v/>
      </c>
      <c r="K1362" s="9">
        <f>IF(ISNA(MATCH(1349,Engine!$C$2:$C$1369,0)),"",INDEX('Compliance Database'!$K$2:$K$1369,MATCH(1349,Engine!$C$2:$C$1369,0)))</f>
        <v/>
      </c>
      <c r="L1362" s="9">
        <f>IF(ISNA(MATCH(1349,Engine!$C$2:$C$1369,0)),"",INDEX('Compliance Database'!$L$2:$L$1369,MATCH(1349,Engine!$C$2:$C$1369,0)))</f>
        <v/>
      </c>
      <c r="M1362" s="9">
        <f>IF(ISNA(MATCH(1349,Engine!$C$2:$C$1369,0)),"",INDEX('Compliance Database'!$M$2:$M$1369,MATCH(1349,Engine!$C$2:$C$1369,0)))</f>
        <v/>
      </c>
      <c r="N1362" s="9">
        <f>IF(ISNA(MATCH(1349,Engine!$C$2:$C$1369,0)),"",INDEX('Compliance Database'!$N$2:$N$1369,MATCH(1349,Engine!$C$2:$C$1369,0)))</f>
        <v/>
      </c>
      <c r="O1362" s="8">
        <f>IF(ISNA(MATCH(1349,Engine!$C$2:$C$1369,0)),"",HYPERLINK(INDEX('Compliance Database'!$O$2:$O$1369,MATCH(1349,Engine!$C$2:$C$1369,0)),"Open PDF"))</f>
        <v/>
      </c>
    </row>
    <row r="1363" ht="188" customHeight="1">
      <c r="A1363" s="8">
        <f>IF(ISNA(MATCH(1350,Engine!$C$2:$C$1369,0)),"",INDEX('Compliance Database'!$A$2:$A$1369,MATCH(1350,Engine!$C$2:$C$1369,0)))</f>
        <v/>
      </c>
      <c r="B1363" s="8">
        <f>IF(ISNA(MATCH(1350,Engine!$C$2:$C$1369,0)),"",INDEX('Compliance Database'!$B$2:$B$1369,MATCH(1350,Engine!$C$2:$C$1369,0)))</f>
        <v/>
      </c>
      <c r="C1363" s="8">
        <f>IF(ISNA(MATCH(1350,Engine!$C$2:$C$1369,0)),"",INDEX('Compliance Database'!$C$2:$C$1369,MATCH(1350,Engine!$C$2:$C$1369,0)))</f>
        <v/>
      </c>
      <c r="D1363" s="9">
        <f>IF(ISNA(MATCH(1350,Engine!$C$2:$C$1369,0)),"",INDEX('Compliance Database'!$D$2:$D$1369,MATCH(1350,Engine!$C$2:$C$1369,0)))</f>
        <v/>
      </c>
      <c r="E1363" s="8">
        <f>IF(ISNA(MATCH(1350,Engine!$C$2:$C$1369,0)),"",INDEX('Compliance Database'!$E$2:$E$1369,MATCH(1350,Engine!$C$2:$C$1369,0)))</f>
        <v/>
      </c>
      <c r="F1363" s="8">
        <f>IF(ISNA(MATCH(1350,Engine!$C$2:$C$1369,0)),"",INDEX('Compliance Database'!$F$2:$F$1369,MATCH(1350,Engine!$C$2:$C$1369,0)))</f>
        <v/>
      </c>
      <c r="G1363" s="8">
        <f>IF(ISNA(MATCH(1350,Engine!$C$2:$C$1369,0)),"",INDEX('Compliance Database'!$G$2:$G$1369,MATCH(1350,Engine!$C$2:$C$1369,0)))</f>
        <v/>
      </c>
      <c r="H1363" s="9">
        <f>IF(ISNA(MATCH(1350,Engine!$C$2:$C$1369,0)),"",INDEX('Compliance Database'!$H$2:$H$1369,MATCH(1350,Engine!$C$2:$C$1369,0)))</f>
        <v/>
      </c>
      <c r="I1363" s="9">
        <f>IF(ISNA(MATCH(1350,Engine!$C$2:$C$1369,0)),"",INDEX('Compliance Database'!$I$2:$I$1369,MATCH(1350,Engine!$C$2:$C$1369,0)))</f>
        <v/>
      </c>
      <c r="J1363" s="8">
        <f>IF(ISNA(MATCH(1350,Engine!$C$2:$C$1369,0)),"",INDEX('Compliance Database'!$J$2:$J$1369,MATCH(1350,Engine!$C$2:$C$1369,0)))</f>
        <v/>
      </c>
      <c r="K1363" s="9">
        <f>IF(ISNA(MATCH(1350,Engine!$C$2:$C$1369,0)),"",INDEX('Compliance Database'!$K$2:$K$1369,MATCH(1350,Engine!$C$2:$C$1369,0)))</f>
        <v/>
      </c>
      <c r="L1363" s="9">
        <f>IF(ISNA(MATCH(1350,Engine!$C$2:$C$1369,0)),"",INDEX('Compliance Database'!$L$2:$L$1369,MATCH(1350,Engine!$C$2:$C$1369,0)))</f>
        <v/>
      </c>
      <c r="M1363" s="9">
        <f>IF(ISNA(MATCH(1350,Engine!$C$2:$C$1369,0)),"",INDEX('Compliance Database'!$M$2:$M$1369,MATCH(1350,Engine!$C$2:$C$1369,0)))</f>
        <v/>
      </c>
      <c r="N1363" s="9">
        <f>IF(ISNA(MATCH(1350,Engine!$C$2:$C$1369,0)),"",INDEX('Compliance Database'!$N$2:$N$1369,MATCH(1350,Engine!$C$2:$C$1369,0)))</f>
        <v/>
      </c>
      <c r="O1363" s="8">
        <f>IF(ISNA(MATCH(1350,Engine!$C$2:$C$1369,0)),"",HYPERLINK(INDEX('Compliance Database'!$O$2:$O$1369,MATCH(1350,Engine!$C$2:$C$1369,0)),"Open PDF"))</f>
        <v/>
      </c>
    </row>
    <row r="1364" ht="188" customHeight="1">
      <c r="A1364" s="8">
        <f>IF(ISNA(MATCH(1351,Engine!$C$2:$C$1369,0)),"",INDEX('Compliance Database'!$A$2:$A$1369,MATCH(1351,Engine!$C$2:$C$1369,0)))</f>
        <v/>
      </c>
      <c r="B1364" s="8">
        <f>IF(ISNA(MATCH(1351,Engine!$C$2:$C$1369,0)),"",INDEX('Compliance Database'!$B$2:$B$1369,MATCH(1351,Engine!$C$2:$C$1369,0)))</f>
        <v/>
      </c>
      <c r="C1364" s="8">
        <f>IF(ISNA(MATCH(1351,Engine!$C$2:$C$1369,0)),"",INDEX('Compliance Database'!$C$2:$C$1369,MATCH(1351,Engine!$C$2:$C$1369,0)))</f>
        <v/>
      </c>
      <c r="D1364" s="9">
        <f>IF(ISNA(MATCH(1351,Engine!$C$2:$C$1369,0)),"",INDEX('Compliance Database'!$D$2:$D$1369,MATCH(1351,Engine!$C$2:$C$1369,0)))</f>
        <v/>
      </c>
      <c r="E1364" s="8">
        <f>IF(ISNA(MATCH(1351,Engine!$C$2:$C$1369,0)),"",INDEX('Compliance Database'!$E$2:$E$1369,MATCH(1351,Engine!$C$2:$C$1369,0)))</f>
        <v/>
      </c>
      <c r="F1364" s="8">
        <f>IF(ISNA(MATCH(1351,Engine!$C$2:$C$1369,0)),"",INDEX('Compliance Database'!$F$2:$F$1369,MATCH(1351,Engine!$C$2:$C$1369,0)))</f>
        <v/>
      </c>
      <c r="G1364" s="8">
        <f>IF(ISNA(MATCH(1351,Engine!$C$2:$C$1369,0)),"",INDEX('Compliance Database'!$G$2:$G$1369,MATCH(1351,Engine!$C$2:$C$1369,0)))</f>
        <v/>
      </c>
      <c r="H1364" s="9">
        <f>IF(ISNA(MATCH(1351,Engine!$C$2:$C$1369,0)),"",INDEX('Compliance Database'!$H$2:$H$1369,MATCH(1351,Engine!$C$2:$C$1369,0)))</f>
        <v/>
      </c>
      <c r="I1364" s="9">
        <f>IF(ISNA(MATCH(1351,Engine!$C$2:$C$1369,0)),"",INDEX('Compliance Database'!$I$2:$I$1369,MATCH(1351,Engine!$C$2:$C$1369,0)))</f>
        <v/>
      </c>
      <c r="J1364" s="8">
        <f>IF(ISNA(MATCH(1351,Engine!$C$2:$C$1369,0)),"",INDEX('Compliance Database'!$J$2:$J$1369,MATCH(1351,Engine!$C$2:$C$1369,0)))</f>
        <v/>
      </c>
      <c r="K1364" s="9">
        <f>IF(ISNA(MATCH(1351,Engine!$C$2:$C$1369,0)),"",INDEX('Compliance Database'!$K$2:$K$1369,MATCH(1351,Engine!$C$2:$C$1369,0)))</f>
        <v/>
      </c>
      <c r="L1364" s="9">
        <f>IF(ISNA(MATCH(1351,Engine!$C$2:$C$1369,0)),"",INDEX('Compliance Database'!$L$2:$L$1369,MATCH(1351,Engine!$C$2:$C$1369,0)))</f>
        <v/>
      </c>
      <c r="M1364" s="9">
        <f>IF(ISNA(MATCH(1351,Engine!$C$2:$C$1369,0)),"",INDEX('Compliance Database'!$M$2:$M$1369,MATCH(1351,Engine!$C$2:$C$1369,0)))</f>
        <v/>
      </c>
      <c r="N1364" s="9">
        <f>IF(ISNA(MATCH(1351,Engine!$C$2:$C$1369,0)),"",INDEX('Compliance Database'!$N$2:$N$1369,MATCH(1351,Engine!$C$2:$C$1369,0)))</f>
        <v/>
      </c>
      <c r="O1364" s="8">
        <f>IF(ISNA(MATCH(1351,Engine!$C$2:$C$1369,0)),"",HYPERLINK(INDEX('Compliance Database'!$O$2:$O$1369,MATCH(1351,Engine!$C$2:$C$1369,0)),"Open PDF"))</f>
        <v/>
      </c>
    </row>
    <row r="1365" ht="188" customHeight="1">
      <c r="A1365" s="8">
        <f>IF(ISNA(MATCH(1352,Engine!$C$2:$C$1369,0)),"",INDEX('Compliance Database'!$A$2:$A$1369,MATCH(1352,Engine!$C$2:$C$1369,0)))</f>
        <v/>
      </c>
      <c r="B1365" s="8">
        <f>IF(ISNA(MATCH(1352,Engine!$C$2:$C$1369,0)),"",INDEX('Compliance Database'!$B$2:$B$1369,MATCH(1352,Engine!$C$2:$C$1369,0)))</f>
        <v/>
      </c>
      <c r="C1365" s="8">
        <f>IF(ISNA(MATCH(1352,Engine!$C$2:$C$1369,0)),"",INDEX('Compliance Database'!$C$2:$C$1369,MATCH(1352,Engine!$C$2:$C$1369,0)))</f>
        <v/>
      </c>
      <c r="D1365" s="9">
        <f>IF(ISNA(MATCH(1352,Engine!$C$2:$C$1369,0)),"",INDEX('Compliance Database'!$D$2:$D$1369,MATCH(1352,Engine!$C$2:$C$1369,0)))</f>
        <v/>
      </c>
      <c r="E1365" s="8">
        <f>IF(ISNA(MATCH(1352,Engine!$C$2:$C$1369,0)),"",INDEX('Compliance Database'!$E$2:$E$1369,MATCH(1352,Engine!$C$2:$C$1369,0)))</f>
        <v/>
      </c>
      <c r="F1365" s="8">
        <f>IF(ISNA(MATCH(1352,Engine!$C$2:$C$1369,0)),"",INDEX('Compliance Database'!$F$2:$F$1369,MATCH(1352,Engine!$C$2:$C$1369,0)))</f>
        <v/>
      </c>
      <c r="G1365" s="8">
        <f>IF(ISNA(MATCH(1352,Engine!$C$2:$C$1369,0)),"",INDEX('Compliance Database'!$G$2:$G$1369,MATCH(1352,Engine!$C$2:$C$1369,0)))</f>
        <v/>
      </c>
      <c r="H1365" s="9">
        <f>IF(ISNA(MATCH(1352,Engine!$C$2:$C$1369,0)),"",INDEX('Compliance Database'!$H$2:$H$1369,MATCH(1352,Engine!$C$2:$C$1369,0)))</f>
        <v/>
      </c>
      <c r="I1365" s="9">
        <f>IF(ISNA(MATCH(1352,Engine!$C$2:$C$1369,0)),"",INDEX('Compliance Database'!$I$2:$I$1369,MATCH(1352,Engine!$C$2:$C$1369,0)))</f>
        <v/>
      </c>
      <c r="J1365" s="8">
        <f>IF(ISNA(MATCH(1352,Engine!$C$2:$C$1369,0)),"",INDEX('Compliance Database'!$J$2:$J$1369,MATCH(1352,Engine!$C$2:$C$1369,0)))</f>
        <v/>
      </c>
      <c r="K1365" s="9">
        <f>IF(ISNA(MATCH(1352,Engine!$C$2:$C$1369,0)),"",INDEX('Compliance Database'!$K$2:$K$1369,MATCH(1352,Engine!$C$2:$C$1369,0)))</f>
        <v/>
      </c>
      <c r="L1365" s="9">
        <f>IF(ISNA(MATCH(1352,Engine!$C$2:$C$1369,0)),"",INDEX('Compliance Database'!$L$2:$L$1369,MATCH(1352,Engine!$C$2:$C$1369,0)))</f>
        <v/>
      </c>
      <c r="M1365" s="9">
        <f>IF(ISNA(MATCH(1352,Engine!$C$2:$C$1369,0)),"",INDEX('Compliance Database'!$M$2:$M$1369,MATCH(1352,Engine!$C$2:$C$1369,0)))</f>
        <v/>
      </c>
      <c r="N1365" s="9">
        <f>IF(ISNA(MATCH(1352,Engine!$C$2:$C$1369,0)),"",INDEX('Compliance Database'!$N$2:$N$1369,MATCH(1352,Engine!$C$2:$C$1369,0)))</f>
        <v/>
      </c>
      <c r="O1365" s="8">
        <f>IF(ISNA(MATCH(1352,Engine!$C$2:$C$1369,0)),"",HYPERLINK(INDEX('Compliance Database'!$O$2:$O$1369,MATCH(1352,Engine!$C$2:$C$1369,0)),"Open PDF"))</f>
        <v/>
      </c>
    </row>
    <row r="1366" ht="188" customHeight="1">
      <c r="A1366" s="8">
        <f>IF(ISNA(MATCH(1353,Engine!$C$2:$C$1369,0)),"",INDEX('Compliance Database'!$A$2:$A$1369,MATCH(1353,Engine!$C$2:$C$1369,0)))</f>
        <v/>
      </c>
      <c r="B1366" s="8">
        <f>IF(ISNA(MATCH(1353,Engine!$C$2:$C$1369,0)),"",INDEX('Compliance Database'!$B$2:$B$1369,MATCH(1353,Engine!$C$2:$C$1369,0)))</f>
        <v/>
      </c>
      <c r="C1366" s="8">
        <f>IF(ISNA(MATCH(1353,Engine!$C$2:$C$1369,0)),"",INDEX('Compliance Database'!$C$2:$C$1369,MATCH(1353,Engine!$C$2:$C$1369,0)))</f>
        <v/>
      </c>
      <c r="D1366" s="9">
        <f>IF(ISNA(MATCH(1353,Engine!$C$2:$C$1369,0)),"",INDEX('Compliance Database'!$D$2:$D$1369,MATCH(1353,Engine!$C$2:$C$1369,0)))</f>
        <v/>
      </c>
      <c r="E1366" s="8">
        <f>IF(ISNA(MATCH(1353,Engine!$C$2:$C$1369,0)),"",INDEX('Compliance Database'!$E$2:$E$1369,MATCH(1353,Engine!$C$2:$C$1369,0)))</f>
        <v/>
      </c>
      <c r="F1366" s="8">
        <f>IF(ISNA(MATCH(1353,Engine!$C$2:$C$1369,0)),"",INDEX('Compliance Database'!$F$2:$F$1369,MATCH(1353,Engine!$C$2:$C$1369,0)))</f>
        <v/>
      </c>
      <c r="G1366" s="8">
        <f>IF(ISNA(MATCH(1353,Engine!$C$2:$C$1369,0)),"",INDEX('Compliance Database'!$G$2:$G$1369,MATCH(1353,Engine!$C$2:$C$1369,0)))</f>
        <v/>
      </c>
      <c r="H1366" s="9">
        <f>IF(ISNA(MATCH(1353,Engine!$C$2:$C$1369,0)),"",INDEX('Compliance Database'!$H$2:$H$1369,MATCH(1353,Engine!$C$2:$C$1369,0)))</f>
        <v/>
      </c>
      <c r="I1366" s="9">
        <f>IF(ISNA(MATCH(1353,Engine!$C$2:$C$1369,0)),"",INDEX('Compliance Database'!$I$2:$I$1369,MATCH(1353,Engine!$C$2:$C$1369,0)))</f>
        <v/>
      </c>
      <c r="J1366" s="8">
        <f>IF(ISNA(MATCH(1353,Engine!$C$2:$C$1369,0)),"",INDEX('Compliance Database'!$J$2:$J$1369,MATCH(1353,Engine!$C$2:$C$1369,0)))</f>
        <v/>
      </c>
      <c r="K1366" s="9">
        <f>IF(ISNA(MATCH(1353,Engine!$C$2:$C$1369,0)),"",INDEX('Compliance Database'!$K$2:$K$1369,MATCH(1353,Engine!$C$2:$C$1369,0)))</f>
        <v/>
      </c>
      <c r="L1366" s="9">
        <f>IF(ISNA(MATCH(1353,Engine!$C$2:$C$1369,0)),"",INDEX('Compliance Database'!$L$2:$L$1369,MATCH(1353,Engine!$C$2:$C$1369,0)))</f>
        <v/>
      </c>
      <c r="M1366" s="9">
        <f>IF(ISNA(MATCH(1353,Engine!$C$2:$C$1369,0)),"",INDEX('Compliance Database'!$M$2:$M$1369,MATCH(1353,Engine!$C$2:$C$1369,0)))</f>
        <v/>
      </c>
      <c r="N1366" s="9">
        <f>IF(ISNA(MATCH(1353,Engine!$C$2:$C$1369,0)),"",INDEX('Compliance Database'!$N$2:$N$1369,MATCH(1353,Engine!$C$2:$C$1369,0)))</f>
        <v/>
      </c>
      <c r="O1366" s="8">
        <f>IF(ISNA(MATCH(1353,Engine!$C$2:$C$1369,0)),"",HYPERLINK(INDEX('Compliance Database'!$O$2:$O$1369,MATCH(1353,Engine!$C$2:$C$1369,0)),"Open PDF"))</f>
        <v/>
      </c>
    </row>
    <row r="1367" ht="188" customHeight="1">
      <c r="A1367" s="8">
        <f>IF(ISNA(MATCH(1354,Engine!$C$2:$C$1369,0)),"",INDEX('Compliance Database'!$A$2:$A$1369,MATCH(1354,Engine!$C$2:$C$1369,0)))</f>
        <v/>
      </c>
      <c r="B1367" s="8">
        <f>IF(ISNA(MATCH(1354,Engine!$C$2:$C$1369,0)),"",INDEX('Compliance Database'!$B$2:$B$1369,MATCH(1354,Engine!$C$2:$C$1369,0)))</f>
        <v/>
      </c>
      <c r="C1367" s="8">
        <f>IF(ISNA(MATCH(1354,Engine!$C$2:$C$1369,0)),"",INDEX('Compliance Database'!$C$2:$C$1369,MATCH(1354,Engine!$C$2:$C$1369,0)))</f>
        <v/>
      </c>
      <c r="D1367" s="9">
        <f>IF(ISNA(MATCH(1354,Engine!$C$2:$C$1369,0)),"",INDEX('Compliance Database'!$D$2:$D$1369,MATCH(1354,Engine!$C$2:$C$1369,0)))</f>
        <v/>
      </c>
      <c r="E1367" s="8">
        <f>IF(ISNA(MATCH(1354,Engine!$C$2:$C$1369,0)),"",INDEX('Compliance Database'!$E$2:$E$1369,MATCH(1354,Engine!$C$2:$C$1369,0)))</f>
        <v/>
      </c>
      <c r="F1367" s="8">
        <f>IF(ISNA(MATCH(1354,Engine!$C$2:$C$1369,0)),"",INDEX('Compliance Database'!$F$2:$F$1369,MATCH(1354,Engine!$C$2:$C$1369,0)))</f>
        <v/>
      </c>
      <c r="G1367" s="8">
        <f>IF(ISNA(MATCH(1354,Engine!$C$2:$C$1369,0)),"",INDEX('Compliance Database'!$G$2:$G$1369,MATCH(1354,Engine!$C$2:$C$1369,0)))</f>
        <v/>
      </c>
      <c r="H1367" s="9">
        <f>IF(ISNA(MATCH(1354,Engine!$C$2:$C$1369,0)),"",INDEX('Compliance Database'!$H$2:$H$1369,MATCH(1354,Engine!$C$2:$C$1369,0)))</f>
        <v/>
      </c>
      <c r="I1367" s="9">
        <f>IF(ISNA(MATCH(1354,Engine!$C$2:$C$1369,0)),"",INDEX('Compliance Database'!$I$2:$I$1369,MATCH(1354,Engine!$C$2:$C$1369,0)))</f>
        <v/>
      </c>
      <c r="J1367" s="8">
        <f>IF(ISNA(MATCH(1354,Engine!$C$2:$C$1369,0)),"",INDEX('Compliance Database'!$J$2:$J$1369,MATCH(1354,Engine!$C$2:$C$1369,0)))</f>
        <v/>
      </c>
      <c r="K1367" s="9">
        <f>IF(ISNA(MATCH(1354,Engine!$C$2:$C$1369,0)),"",INDEX('Compliance Database'!$K$2:$K$1369,MATCH(1354,Engine!$C$2:$C$1369,0)))</f>
        <v/>
      </c>
      <c r="L1367" s="9">
        <f>IF(ISNA(MATCH(1354,Engine!$C$2:$C$1369,0)),"",INDEX('Compliance Database'!$L$2:$L$1369,MATCH(1354,Engine!$C$2:$C$1369,0)))</f>
        <v/>
      </c>
      <c r="M1367" s="9">
        <f>IF(ISNA(MATCH(1354,Engine!$C$2:$C$1369,0)),"",INDEX('Compliance Database'!$M$2:$M$1369,MATCH(1354,Engine!$C$2:$C$1369,0)))</f>
        <v/>
      </c>
      <c r="N1367" s="9">
        <f>IF(ISNA(MATCH(1354,Engine!$C$2:$C$1369,0)),"",INDEX('Compliance Database'!$N$2:$N$1369,MATCH(1354,Engine!$C$2:$C$1369,0)))</f>
        <v/>
      </c>
      <c r="O1367" s="8">
        <f>IF(ISNA(MATCH(1354,Engine!$C$2:$C$1369,0)),"",HYPERLINK(INDEX('Compliance Database'!$O$2:$O$1369,MATCH(1354,Engine!$C$2:$C$1369,0)),"Open PDF"))</f>
        <v/>
      </c>
    </row>
    <row r="1368" ht="188" customHeight="1">
      <c r="A1368" s="8">
        <f>IF(ISNA(MATCH(1355,Engine!$C$2:$C$1369,0)),"",INDEX('Compliance Database'!$A$2:$A$1369,MATCH(1355,Engine!$C$2:$C$1369,0)))</f>
        <v/>
      </c>
      <c r="B1368" s="8">
        <f>IF(ISNA(MATCH(1355,Engine!$C$2:$C$1369,0)),"",INDEX('Compliance Database'!$B$2:$B$1369,MATCH(1355,Engine!$C$2:$C$1369,0)))</f>
        <v/>
      </c>
      <c r="C1368" s="8">
        <f>IF(ISNA(MATCH(1355,Engine!$C$2:$C$1369,0)),"",INDEX('Compliance Database'!$C$2:$C$1369,MATCH(1355,Engine!$C$2:$C$1369,0)))</f>
        <v/>
      </c>
      <c r="D1368" s="9">
        <f>IF(ISNA(MATCH(1355,Engine!$C$2:$C$1369,0)),"",INDEX('Compliance Database'!$D$2:$D$1369,MATCH(1355,Engine!$C$2:$C$1369,0)))</f>
        <v/>
      </c>
      <c r="E1368" s="8">
        <f>IF(ISNA(MATCH(1355,Engine!$C$2:$C$1369,0)),"",INDEX('Compliance Database'!$E$2:$E$1369,MATCH(1355,Engine!$C$2:$C$1369,0)))</f>
        <v/>
      </c>
      <c r="F1368" s="8">
        <f>IF(ISNA(MATCH(1355,Engine!$C$2:$C$1369,0)),"",INDEX('Compliance Database'!$F$2:$F$1369,MATCH(1355,Engine!$C$2:$C$1369,0)))</f>
        <v/>
      </c>
      <c r="G1368" s="8">
        <f>IF(ISNA(MATCH(1355,Engine!$C$2:$C$1369,0)),"",INDEX('Compliance Database'!$G$2:$G$1369,MATCH(1355,Engine!$C$2:$C$1369,0)))</f>
        <v/>
      </c>
      <c r="H1368" s="9">
        <f>IF(ISNA(MATCH(1355,Engine!$C$2:$C$1369,0)),"",INDEX('Compliance Database'!$H$2:$H$1369,MATCH(1355,Engine!$C$2:$C$1369,0)))</f>
        <v/>
      </c>
      <c r="I1368" s="9">
        <f>IF(ISNA(MATCH(1355,Engine!$C$2:$C$1369,0)),"",INDEX('Compliance Database'!$I$2:$I$1369,MATCH(1355,Engine!$C$2:$C$1369,0)))</f>
        <v/>
      </c>
      <c r="J1368" s="8">
        <f>IF(ISNA(MATCH(1355,Engine!$C$2:$C$1369,0)),"",INDEX('Compliance Database'!$J$2:$J$1369,MATCH(1355,Engine!$C$2:$C$1369,0)))</f>
        <v/>
      </c>
      <c r="K1368" s="9">
        <f>IF(ISNA(MATCH(1355,Engine!$C$2:$C$1369,0)),"",INDEX('Compliance Database'!$K$2:$K$1369,MATCH(1355,Engine!$C$2:$C$1369,0)))</f>
        <v/>
      </c>
      <c r="L1368" s="9">
        <f>IF(ISNA(MATCH(1355,Engine!$C$2:$C$1369,0)),"",INDEX('Compliance Database'!$L$2:$L$1369,MATCH(1355,Engine!$C$2:$C$1369,0)))</f>
        <v/>
      </c>
      <c r="M1368" s="9">
        <f>IF(ISNA(MATCH(1355,Engine!$C$2:$C$1369,0)),"",INDEX('Compliance Database'!$M$2:$M$1369,MATCH(1355,Engine!$C$2:$C$1369,0)))</f>
        <v/>
      </c>
      <c r="N1368" s="9">
        <f>IF(ISNA(MATCH(1355,Engine!$C$2:$C$1369,0)),"",INDEX('Compliance Database'!$N$2:$N$1369,MATCH(1355,Engine!$C$2:$C$1369,0)))</f>
        <v/>
      </c>
      <c r="O1368" s="8">
        <f>IF(ISNA(MATCH(1355,Engine!$C$2:$C$1369,0)),"",HYPERLINK(INDEX('Compliance Database'!$O$2:$O$1369,MATCH(1355,Engine!$C$2:$C$1369,0)),"Open PDF"))</f>
        <v/>
      </c>
    </row>
    <row r="1369" ht="188" customHeight="1">
      <c r="A1369" s="8">
        <f>IF(ISNA(MATCH(1356,Engine!$C$2:$C$1369,0)),"",INDEX('Compliance Database'!$A$2:$A$1369,MATCH(1356,Engine!$C$2:$C$1369,0)))</f>
        <v/>
      </c>
      <c r="B1369" s="8">
        <f>IF(ISNA(MATCH(1356,Engine!$C$2:$C$1369,0)),"",INDEX('Compliance Database'!$B$2:$B$1369,MATCH(1356,Engine!$C$2:$C$1369,0)))</f>
        <v/>
      </c>
      <c r="C1369" s="8">
        <f>IF(ISNA(MATCH(1356,Engine!$C$2:$C$1369,0)),"",INDEX('Compliance Database'!$C$2:$C$1369,MATCH(1356,Engine!$C$2:$C$1369,0)))</f>
        <v/>
      </c>
      <c r="D1369" s="9">
        <f>IF(ISNA(MATCH(1356,Engine!$C$2:$C$1369,0)),"",INDEX('Compliance Database'!$D$2:$D$1369,MATCH(1356,Engine!$C$2:$C$1369,0)))</f>
        <v/>
      </c>
      <c r="E1369" s="8">
        <f>IF(ISNA(MATCH(1356,Engine!$C$2:$C$1369,0)),"",INDEX('Compliance Database'!$E$2:$E$1369,MATCH(1356,Engine!$C$2:$C$1369,0)))</f>
        <v/>
      </c>
      <c r="F1369" s="8">
        <f>IF(ISNA(MATCH(1356,Engine!$C$2:$C$1369,0)),"",INDEX('Compliance Database'!$F$2:$F$1369,MATCH(1356,Engine!$C$2:$C$1369,0)))</f>
        <v/>
      </c>
      <c r="G1369" s="8">
        <f>IF(ISNA(MATCH(1356,Engine!$C$2:$C$1369,0)),"",INDEX('Compliance Database'!$G$2:$G$1369,MATCH(1356,Engine!$C$2:$C$1369,0)))</f>
        <v/>
      </c>
      <c r="H1369" s="9">
        <f>IF(ISNA(MATCH(1356,Engine!$C$2:$C$1369,0)),"",INDEX('Compliance Database'!$H$2:$H$1369,MATCH(1356,Engine!$C$2:$C$1369,0)))</f>
        <v/>
      </c>
      <c r="I1369" s="9">
        <f>IF(ISNA(MATCH(1356,Engine!$C$2:$C$1369,0)),"",INDEX('Compliance Database'!$I$2:$I$1369,MATCH(1356,Engine!$C$2:$C$1369,0)))</f>
        <v/>
      </c>
      <c r="J1369" s="8">
        <f>IF(ISNA(MATCH(1356,Engine!$C$2:$C$1369,0)),"",INDEX('Compliance Database'!$J$2:$J$1369,MATCH(1356,Engine!$C$2:$C$1369,0)))</f>
        <v/>
      </c>
      <c r="K1369" s="9">
        <f>IF(ISNA(MATCH(1356,Engine!$C$2:$C$1369,0)),"",INDEX('Compliance Database'!$K$2:$K$1369,MATCH(1356,Engine!$C$2:$C$1369,0)))</f>
        <v/>
      </c>
      <c r="L1369" s="9">
        <f>IF(ISNA(MATCH(1356,Engine!$C$2:$C$1369,0)),"",INDEX('Compliance Database'!$L$2:$L$1369,MATCH(1356,Engine!$C$2:$C$1369,0)))</f>
        <v/>
      </c>
      <c r="M1369" s="9">
        <f>IF(ISNA(MATCH(1356,Engine!$C$2:$C$1369,0)),"",INDEX('Compliance Database'!$M$2:$M$1369,MATCH(1356,Engine!$C$2:$C$1369,0)))</f>
        <v/>
      </c>
      <c r="N1369" s="9">
        <f>IF(ISNA(MATCH(1356,Engine!$C$2:$C$1369,0)),"",INDEX('Compliance Database'!$N$2:$N$1369,MATCH(1356,Engine!$C$2:$C$1369,0)))</f>
        <v/>
      </c>
      <c r="O1369" s="8">
        <f>IF(ISNA(MATCH(1356,Engine!$C$2:$C$1369,0)),"",HYPERLINK(INDEX('Compliance Database'!$O$2:$O$1369,MATCH(1356,Engine!$C$2:$C$1369,0)),"Open PDF"))</f>
        <v/>
      </c>
    </row>
    <row r="1370" ht="188" customHeight="1">
      <c r="A1370" s="8">
        <f>IF(ISNA(MATCH(1357,Engine!$C$2:$C$1369,0)),"",INDEX('Compliance Database'!$A$2:$A$1369,MATCH(1357,Engine!$C$2:$C$1369,0)))</f>
        <v/>
      </c>
      <c r="B1370" s="8">
        <f>IF(ISNA(MATCH(1357,Engine!$C$2:$C$1369,0)),"",INDEX('Compliance Database'!$B$2:$B$1369,MATCH(1357,Engine!$C$2:$C$1369,0)))</f>
        <v/>
      </c>
      <c r="C1370" s="8">
        <f>IF(ISNA(MATCH(1357,Engine!$C$2:$C$1369,0)),"",INDEX('Compliance Database'!$C$2:$C$1369,MATCH(1357,Engine!$C$2:$C$1369,0)))</f>
        <v/>
      </c>
      <c r="D1370" s="9">
        <f>IF(ISNA(MATCH(1357,Engine!$C$2:$C$1369,0)),"",INDEX('Compliance Database'!$D$2:$D$1369,MATCH(1357,Engine!$C$2:$C$1369,0)))</f>
        <v/>
      </c>
      <c r="E1370" s="8">
        <f>IF(ISNA(MATCH(1357,Engine!$C$2:$C$1369,0)),"",INDEX('Compliance Database'!$E$2:$E$1369,MATCH(1357,Engine!$C$2:$C$1369,0)))</f>
        <v/>
      </c>
      <c r="F1370" s="8">
        <f>IF(ISNA(MATCH(1357,Engine!$C$2:$C$1369,0)),"",INDEX('Compliance Database'!$F$2:$F$1369,MATCH(1357,Engine!$C$2:$C$1369,0)))</f>
        <v/>
      </c>
      <c r="G1370" s="8">
        <f>IF(ISNA(MATCH(1357,Engine!$C$2:$C$1369,0)),"",INDEX('Compliance Database'!$G$2:$G$1369,MATCH(1357,Engine!$C$2:$C$1369,0)))</f>
        <v/>
      </c>
      <c r="H1370" s="9">
        <f>IF(ISNA(MATCH(1357,Engine!$C$2:$C$1369,0)),"",INDEX('Compliance Database'!$H$2:$H$1369,MATCH(1357,Engine!$C$2:$C$1369,0)))</f>
        <v/>
      </c>
      <c r="I1370" s="9">
        <f>IF(ISNA(MATCH(1357,Engine!$C$2:$C$1369,0)),"",INDEX('Compliance Database'!$I$2:$I$1369,MATCH(1357,Engine!$C$2:$C$1369,0)))</f>
        <v/>
      </c>
      <c r="J1370" s="8">
        <f>IF(ISNA(MATCH(1357,Engine!$C$2:$C$1369,0)),"",INDEX('Compliance Database'!$J$2:$J$1369,MATCH(1357,Engine!$C$2:$C$1369,0)))</f>
        <v/>
      </c>
      <c r="K1370" s="9">
        <f>IF(ISNA(MATCH(1357,Engine!$C$2:$C$1369,0)),"",INDEX('Compliance Database'!$K$2:$K$1369,MATCH(1357,Engine!$C$2:$C$1369,0)))</f>
        <v/>
      </c>
      <c r="L1370" s="9">
        <f>IF(ISNA(MATCH(1357,Engine!$C$2:$C$1369,0)),"",INDEX('Compliance Database'!$L$2:$L$1369,MATCH(1357,Engine!$C$2:$C$1369,0)))</f>
        <v/>
      </c>
      <c r="M1370" s="9">
        <f>IF(ISNA(MATCH(1357,Engine!$C$2:$C$1369,0)),"",INDEX('Compliance Database'!$M$2:$M$1369,MATCH(1357,Engine!$C$2:$C$1369,0)))</f>
        <v/>
      </c>
      <c r="N1370" s="9">
        <f>IF(ISNA(MATCH(1357,Engine!$C$2:$C$1369,0)),"",INDEX('Compliance Database'!$N$2:$N$1369,MATCH(1357,Engine!$C$2:$C$1369,0)))</f>
        <v/>
      </c>
      <c r="O1370" s="8">
        <f>IF(ISNA(MATCH(1357,Engine!$C$2:$C$1369,0)),"",HYPERLINK(INDEX('Compliance Database'!$O$2:$O$1369,MATCH(1357,Engine!$C$2:$C$1369,0)),"Open PDF"))</f>
        <v/>
      </c>
    </row>
    <row r="1371" ht="188" customHeight="1">
      <c r="A1371" s="8">
        <f>IF(ISNA(MATCH(1358,Engine!$C$2:$C$1369,0)),"",INDEX('Compliance Database'!$A$2:$A$1369,MATCH(1358,Engine!$C$2:$C$1369,0)))</f>
        <v/>
      </c>
      <c r="B1371" s="8">
        <f>IF(ISNA(MATCH(1358,Engine!$C$2:$C$1369,0)),"",INDEX('Compliance Database'!$B$2:$B$1369,MATCH(1358,Engine!$C$2:$C$1369,0)))</f>
        <v/>
      </c>
      <c r="C1371" s="8">
        <f>IF(ISNA(MATCH(1358,Engine!$C$2:$C$1369,0)),"",INDEX('Compliance Database'!$C$2:$C$1369,MATCH(1358,Engine!$C$2:$C$1369,0)))</f>
        <v/>
      </c>
      <c r="D1371" s="9">
        <f>IF(ISNA(MATCH(1358,Engine!$C$2:$C$1369,0)),"",INDEX('Compliance Database'!$D$2:$D$1369,MATCH(1358,Engine!$C$2:$C$1369,0)))</f>
        <v/>
      </c>
      <c r="E1371" s="8">
        <f>IF(ISNA(MATCH(1358,Engine!$C$2:$C$1369,0)),"",INDEX('Compliance Database'!$E$2:$E$1369,MATCH(1358,Engine!$C$2:$C$1369,0)))</f>
        <v/>
      </c>
      <c r="F1371" s="8">
        <f>IF(ISNA(MATCH(1358,Engine!$C$2:$C$1369,0)),"",INDEX('Compliance Database'!$F$2:$F$1369,MATCH(1358,Engine!$C$2:$C$1369,0)))</f>
        <v/>
      </c>
      <c r="G1371" s="8">
        <f>IF(ISNA(MATCH(1358,Engine!$C$2:$C$1369,0)),"",INDEX('Compliance Database'!$G$2:$G$1369,MATCH(1358,Engine!$C$2:$C$1369,0)))</f>
        <v/>
      </c>
      <c r="H1371" s="9">
        <f>IF(ISNA(MATCH(1358,Engine!$C$2:$C$1369,0)),"",INDEX('Compliance Database'!$H$2:$H$1369,MATCH(1358,Engine!$C$2:$C$1369,0)))</f>
        <v/>
      </c>
      <c r="I1371" s="9">
        <f>IF(ISNA(MATCH(1358,Engine!$C$2:$C$1369,0)),"",INDEX('Compliance Database'!$I$2:$I$1369,MATCH(1358,Engine!$C$2:$C$1369,0)))</f>
        <v/>
      </c>
      <c r="J1371" s="8">
        <f>IF(ISNA(MATCH(1358,Engine!$C$2:$C$1369,0)),"",INDEX('Compliance Database'!$J$2:$J$1369,MATCH(1358,Engine!$C$2:$C$1369,0)))</f>
        <v/>
      </c>
      <c r="K1371" s="9">
        <f>IF(ISNA(MATCH(1358,Engine!$C$2:$C$1369,0)),"",INDEX('Compliance Database'!$K$2:$K$1369,MATCH(1358,Engine!$C$2:$C$1369,0)))</f>
        <v/>
      </c>
      <c r="L1371" s="9">
        <f>IF(ISNA(MATCH(1358,Engine!$C$2:$C$1369,0)),"",INDEX('Compliance Database'!$L$2:$L$1369,MATCH(1358,Engine!$C$2:$C$1369,0)))</f>
        <v/>
      </c>
      <c r="M1371" s="9">
        <f>IF(ISNA(MATCH(1358,Engine!$C$2:$C$1369,0)),"",INDEX('Compliance Database'!$M$2:$M$1369,MATCH(1358,Engine!$C$2:$C$1369,0)))</f>
        <v/>
      </c>
      <c r="N1371" s="9">
        <f>IF(ISNA(MATCH(1358,Engine!$C$2:$C$1369,0)),"",INDEX('Compliance Database'!$N$2:$N$1369,MATCH(1358,Engine!$C$2:$C$1369,0)))</f>
        <v/>
      </c>
      <c r="O1371" s="8">
        <f>IF(ISNA(MATCH(1358,Engine!$C$2:$C$1369,0)),"",HYPERLINK(INDEX('Compliance Database'!$O$2:$O$1369,MATCH(1358,Engine!$C$2:$C$1369,0)),"Open PDF"))</f>
        <v/>
      </c>
    </row>
    <row r="1372" ht="188" customHeight="1">
      <c r="A1372" s="8">
        <f>IF(ISNA(MATCH(1359,Engine!$C$2:$C$1369,0)),"",INDEX('Compliance Database'!$A$2:$A$1369,MATCH(1359,Engine!$C$2:$C$1369,0)))</f>
        <v/>
      </c>
      <c r="B1372" s="8">
        <f>IF(ISNA(MATCH(1359,Engine!$C$2:$C$1369,0)),"",INDEX('Compliance Database'!$B$2:$B$1369,MATCH(1359,Engine!$C$2:$C$1369,0)))</f>
        <v/>
      </c>
      <c r="C1372" s="8">
        <f>IF(ISNA(MATCH(1359,Engine!$C$2:$C$1369,0)),"",INDEX('Compliance Database'!$C$2:$C$1369,MATCH(1359,Engine!$C$2:$C$1369,0)))</f>
        <v/>
      </c>
      <c r="D1372" s="9">
        <f>IF(ISNA(MATCH(1359,Engine!$C$2:$C$1369,0)),"",INDEX('Compliance Database'!$D$2:$D$1369,MATCH(1359,Engine!$C$2:$C$1369,0)))</f>
        <v/>
      </c>
      <c r="E1372" s="8">
        <f>IF(ISNA(MATCH(1359,Engine!$C$2:$C$1369,0)),"",INDEX('Compliance Database'!$E$2:$E$1369,MATCH(1359,Engine!$C$2:$C$1369,0)))</f>
        <v/>
      </c>
      <c r="F1372" s="8">
        <f>IF(ISNA(MATCH(1359,Engine!$C$2:$C$1369,0)),"",INDEX('Compliance Database'!$F$2:$F$1369,MATCH(1359,Engine!$C$2:$C$1369,0)))</f>
        <v/>
      </c>
      <c r="G1372" s="8">
        <f>IF(ISNA(MATCH(1359,Engine!$C$2:$C$1369,0)),"",INDEX('Compliance Database'!$G$2:$G$1369,MATCH(1359,Engine!$C$2:$C$1369,0)))</f>
        <v/>
      </c>
      <c r="H1372" s="9">
        <f>IF(ISNA(MATCH(1359,Engine!$C$2:$C$1369,0)),"",INDEX('Compliance Database'!$H$2:$H$1369,MATCH(1359,Engine!$C$2:$C$1369,0)))</f>
        <v/>
      </c>
      <c r="I1372" s="9">
        <f>IF(ISNA(MATCH(1359,Engine!$C$2:$C$1369,0)),"",INDEX('Compliance Database'!$I$2:$I$1369,MATCH(1359,Engine!$C$2:$C$1369,0)))</f>
        <v/>
      </c>
      <c r="J1372" s="8">
        <f>IF(ISNA(MATCH(1359,Engine!$C$2:$C$1369,0)),"",INDEX('Compliance Database'!$J$2:$J$1369,MATCH(1359,Engine!$C$2:$C$1369,0)))</f>
        <v/>
      </c>
      <c r="K1372" s="9">
        <f>IF(ISNA(MATCH(1359,Engine!$C$2:$C$1369,0)),"",INDEX('Compliance Database'!$K$2:$K$1369,MATCH(1359,Engine!$C$2:$C$1369,0)))</f>
        <v/>
      </c>
      <c r="L1372" s="9">
        <f>IF(ISNA(MATCH(1359,Engine!$C$2:$C$1369,0)),"",INDEX('Compliance Database'!$L$2:$L$1369,MATCH(1359,Engine!$C$2:$C$1369,0)))</f>
        <v/>
      </c>
      <c r="M1372" s="9">
        <f>IF(ISNA(MATCH(1359,Engine!$C$2:$C$1369,0)),"",INDEX('Compliance Database'!$M$2:$M$1369,MATCH(1359,Engine!$C$2:$C$1369,0)))</f>
        <v/>
      </c>
      <c r="N1372" s="9">
        <f>IF(ISNA(MATCH(1359,Engine!$C$2:$C$1369,0)),"",INDEX('Compliance Database'!$N$2:$N$1369,MATCH(1359,Engine!$C$2:$C$1369,0)))</f>
        <v/>
      </c>
      <c r="O1372" s="8">
        <f>IF(ISNA(MATCH(1359,Engine!$C$2:$C$1369,0)),"",HYPERLINK(INDEX('Compliance Database'!$O$2:$O$1369,MATCH(1359,Engine!$C$2:$C$1369,0)),"Open PDF"))</f>
        <v/>
      </c>
    </row>
    <row r="1373" ht="188" customHeight="1">
      <c r="A1373" s="8">
        <f>IF(ISNA(MATCH(1360,Engine!$C$2:$C$1369,0)),"",INDEX('Compliance Database'!$A$2:$A$1369,MATCH(1360,Engine!$C$2:$C$1369,0)))</f>
        <v/>
      </c>
      <c r="B1373" s="8">
        <f>IF(ISNA(MATCH(1360,Engine!$C$2:$C$1369,0)),"",INDEX('Compliance Database'!$B$2:$B$1369,MATCH(1360,Engine!$C$2:$C$1369,0)))</f>
        <v/>
      </c>
      <c r="C1373" s="8">
        <f>IF(ISNA(MATCH(1360,Engine!$C$2:$C$1369,0)),"",INDEX('Compliance Database'!$C$2:$C$1369,MATCH(1360,Engine!$C$2:$C$1369,0)))</f>
        <v/>
      </c>
      <c r="D1373" s="9">
        <f>IF(ISNA(MATCH(1360,Engine!$C$2:$C$1369,0)),"",INDEX('Compliance Database'!$D$2:$D$1369,MATCH(1360,Engine!$C$2:$C$1369,0)))</f>
        <v/>
      </c>
      <c r="E1373" s="8">
        <f>IF(ISNA(MATCH(1360,Engine!$C$2:$C$1369,0)),"",INDEX('Compliance Database'!$E$2:$E$1369,MATCH(1360,Engine!$C$2:$C$1369,0)))</f>
        <v/>
      </c>
      <c r="F1373" s="8">
        <f>IF(ISNA(MATCH(1360,Engine!$C$2:$C$1369,0)),"",INDEX('Compliance Database'!$F$2:$F$1369,MATCH(1360,Engine!$C$2:$C$1369,0)))</f>
        <v/>
      </c>
      <c r="G1373" s="8">
        <f>IF(ISNA(MATCH(1360,Engine!$C$2:$C$1369,0)),"",INDEX('Compliance Database'!$G$2:$G$1369,MATCH(1360,Engine!$C$2:$C$1369,0)))</f>
        <v/>
      </c>
      <c r="H1373" s="9">
        <f>IF(ISNA(MATCH(1360,Engine!$C$2:$C$1369,0)),"",INDEX('Compliance Database'!$H$2:$H$1369,MATCH(1360,Engine!$C$2:$C$1369,0)))</f>
        <v/>
      </c>
      <c r="I1373" s="9">
        <f>IF(ISNA(MATCH(1360,Engine!$C$2:$C$1369,0)),"",INDEX('Compliance Database'!$I$2:$I$1369,MATCH(1360,Engine!$C$2:$C$1369,0)))</f>
        <v/>
      </c>
      <c r="J1373" s="8">
        <f>IF(ISNA(MATCH(1360,Engine!$C$2:$C$1369,0)),"",INDEX('Compliance Database'!$J$2:$J$1369,MATCH(1360,Engine!$C$2:$C$1369,0)))</f>
        <v/>
      </c>
      <c r="K1373" s="9">
        <f>IF(ISNA(MATCH(1360,Engine!$C$2:$C$1369,0)),"",INDEX('Compliance Database'!$K$2:$K$1369,MATCH(1360,Engine!$C$2:$C$1369,0)))</f>
        <v/>
      </c>
      <c r="L1373" s="9">
        <f>IF(ISNA(MATCH(1360,Engine!$C$2:$C$1369,0)),"",INDEX('Compliance Database'!$L$2:$L$1369,MATCH(1360,Engine!$C$2:$C$1369,0)))</f>
        <v/>
      </c>
      <c r="M1373" s="9">
        <f>IF(ISNA(MATCH(1360,Engine!$C$2:$C$1369,0)),"",INDEX('Compliance Database'!$M$2:$M$1369,MATCH(1360,Engine!$C$2:$C$1369,0)))</f>
        <v/>
      </c>
      <c r="N1373" s="9">
        <f>IF(ISNA(MATCH(1360,Engine!$C$2:$C$1369,0)),"",INDEX('Compliance Database'!$N$2:$N$1369,MATCH(1360,Engine!$C$2:$C$1369,0)))</f>
        <v/>
      </c>
      <c r="O1373" s="8">
        <f>IF(ISNA(MATCH(1360,Engine!$C$2:$C$1369,0)),"",HYPERLINK(INDEX('Compliance Database'!$O$2:$O$1369,MATCH(1360,Engine!$C$2:$C$1369,0)),"Open PDF"))</f>
        <v/>
      </c>
    </row>
    <row r="1374" ht="188" customHeight="1">
      <c r="A1374" s="8">
        <f>IF(ISNA(MATCH(1361,Engine!$C$2:$C$1369,0)),"",INDEX('Compliance Database'!$A$2:$A$1369,MATCH(1361,Engine!$C$2:$C$1369,0)))</f>
        <v/>
      </c>
      <c r="B1374" s="8">
        <f>IF(ISNA(MATCH(1361,Engine!$C$2:$C$1369,0)),"",INDEX('Compliance Database'!$B$2:$B$1369,MATCH(1361,Engine!$C$2:$C$1369,0)))</f>
        <v/>
      </c>
      <c r="C1374" s="8">
        <f>IF(ISNA(MATCH(1361,Engine!$C$2:$C$1369,0)),"",INDEX('Compliance Database'!$C$2:$C$1369,MATCH(1361,Engine!$C$2:$C$1369,0)))</f>
        <v/>
      </c>
      <c r="D1374" s="9">
        <f>IF(ISNA(MATCH(1361,Engine!$C$2:$C$1369,0)),"",INDEX('Compliance Database'!$D$2:$D$1369,MATCH(1361,Engine!$C$2:$C$1369,0)))</f>
        <v/>
      </c>
      <c r="E1374" s="8">
        <f>IF(ISNA(MATCH(1361,Engine!$C$2:$C$1369,0)),"",INDEX('Compliance Database'!$E$2:$E$1369,MATCH(1361,Engine!$C$2:$C$1369,0)))</f>
        <v/>
      </c>
      <c r="F1374" s="8">
        <f>IF(ISNA(MATCH(1361,Engine!$C$2:$C$1369,0)),"",INDEX('Compliance Database'!$F$2:$F$1369,MATCH(1361,Engine!$C$2:$C$1369,0)))</f>
        <v/>
      </c>
      <c r="G1374" s="8">
        <f>IF(ISNA(MATCH(1361,Engine!$C$2:$C$1369,0)),"",INDEX('Compliance Database'!$G$2:$G$1369,MATCH(1361,Engine!$C$2:$C$1369,0)))</f>
        <v/>
      </c>
      <c r="H1374" s="9">
        <f>IF(ISNA(MATCH(1361,Engine!$C$2:$C$1369,0)),"",INDEX('Compliance Database'!$H$2:$H$1369,MATCH(1361,Engine!$C$2:$C$1369,0)))</f>
        <v/>
      </c>
      <c r="I1374" s="9">
        <f>IF(ISNA(MATCH(1361,Engine!$C$2:$C$1369,0)),"",INDEX('Compliance Database'!$I$2:$I$1369,MATCH(1361,Engine!$C$2:$C$1369,0)))</f>
        <v/>
      </c>
      <c r="J1374" s="8">
        <f>IF(ISNA(MATCH(1361,Engine!$C$2:$C$1369,0)),"",INDEX('Compliance Database'!$J$2:$J$1369,MATCH(1361,Engine!$C$2:$C$1369,0)))</f>
        <v/>
      </c>
      <c r="K1374" s="9">
        <f>IF(ISNA(MATCH(1361,Engine!$C$2:$C$1369,0)),"",INDEX('Compliance Database'!$K$2:$K$1369,MATCH(1361,Engine!$C$2:$C$1369,0)))</f>
        <v/>
      </c>
      <c r="L1374" s="9">
        <f>IF(ISNA(MATCH(1361,Engine!$C$2:$C$1369,0)),"",INDEX('Compliance Database'!$L$2:$L$1369,MATCH(1361,Engine!$C$2:$C$1369,0)))</f>
        <v/>
      </c>
      <c r="M1374" s="9">
        <f>IF(ISNA(MATCH(1361,Engine!$C$2:$C$1369,0)),"",INDEX('Compliance Database'!$M$2:$M$1369,MATCH(1361,Engine!$C$2:$C$1369,0)))</f>
        <v/>
      </c>
      <c r="N1374" s="9">
        <f>IF(ISNA(MATCH(1361,Engine!$C$2:$C$1369,0)),"",INDEX('Compliance Database'!$N$2:$N$1369,MATCH(1361,Engine!$C$2:$C$1369,0)))</f>
        <v/>
      </c>
      <c r="O1374" s="8">
        <f>IF(ISNA(MATCH(1361,Engine!$C$2:$C$1369,0)),"",HYPERLINK(INDEX('Compliance Database'!$O$2:$O$1369,MATCH(1361,Engine!$C$2:$C$1369,0)),"Open PDF"))</f>
        <v/>
      </c>
    </row>
    <row r="1375" ht="188" customHeight="1">
      <c r="A1375" s="8">
        <f>IF(ISNA(MATCH(1362,Engine!$C$2:$C$1369,0)),"",INDEX('Compliance Database'!$A$2:$A$1369,MATCH(1362,Engine!$C$2:$C$1369,0)))</f>
        <v/>
      </c>
      <c r="B1375" s="8">
        <f>IF(ISNA(MATCH(1362,Engine!$C$2:$C$1369,0)),"",INDEX('Compliance Database'!$B$2:$B$1369,MATCH(1362,Engine!$C$2:$C$1369,0)))</f>
        <v/>
      </c>
      <c r="C1375" s="8">
        <f>IF(ISNA(MATCH(1362,Engine!$C$2:$C$1369,0)),"",INDEX('Compliance Database'!$C$2:$C$1369,MATCH(1362,Engine!$C$2:$C$1369,0)))</f>
        <v/>
      </c>
      <c r="D1375" s="9">
        <f>IF(ISNA(MATCH(1362,Engine!$C$2:$C$1369,0)),"",INDEX('Compliance Database'!$D$2:$D$1369,MATCH(1362,Engine!$C$2:$C$1369,0)))</f>
        <v/>
      </c>
      <c r="E1375" s="8">
        <f>IF(ISNA(MATCH(1362,Engine!$C$2:$C$1369,0)),"",INDEX('Compliance Database'!$E$2:$E$1369,MATCH(1362,Engine!$C$2:$C$1369,0)))</f>
        <v/>
      </c>
      <c r="F1375" s="8">
        <f>IF(ISNA(MATCH(1362,Engine!$C$2:$C$1369,0)),"",INDEX('Compliance Database'!$F$2:$F$1369,MATCH(1362,Engine!$C$2:$C$1369,0)))</f>
        <v/>
      </c>
      <c r="G1375" s="8">
        <f>IF(ISNA(MATCH(1362,Engine!$C$2:$C$1369,0)),"",INDEX('Compliance Database'!$G$2:$G$1369,MATCH(1362,Engine!$C$2:$C$1369,0)))</f>
        <v/>
      </c>
      <c r="H1375" s="9">
        <f>IF(ISNA(MATCH(1362,Engine!$C$2:$C$1369,0)),"",INDEX('Compliance Database'!$H$2:$H$1369,MATCH(1362,Engine!$C$2:$C$1369,0)))</f>
        <v/>
      </c>
      <c r="I1375" s="9">
        <f>IF(ISNA(MATCH(1362,Engine!$C$2:$C$1369,0)),"",INDEX('Compliance Database'!$I$2:$I$1369,MATCH(1362,Engine!$C$2:$C$1369,0)))</f>
        <v/>
      </c>
      <c r="J1375" s="8">
        <f>IF(ISNA(MATCH(1362,Engine!$C$2:$C$1369,0)),"",INDEX('Compliance Database'!$J$2:$J$1369,MATCH(1362,Engine!$C$2:$C$1369,0)))</f>
        <v/>
      </c>
      <c r="K1375" s="9">
        <f>IF(ISNA(MATCH(1362,Engine!$C$2:$C$1369,0)),"",INDEX('Compliance Database'!$K$2:$K$1369,MATCH(1362,Engine!$C$2:$C$1369,0)))</f>
        <v/>
      </c>
      <c r="L1375" s="9">
        <f>IF(ISNA(MATCH(1362,Engine!$C$2:$C$1369,0)),"",INDEX('Compliance Database'!$L$2:$L$1369,MATCH(1362,Engine!$C$2:$C$1369,0)))</f>
        <v/>
      </c>
      <c r="M1375" s="9">
        <f>IF(ISNA(MATCH(1362,Engine!$C$2:$C$1369,0)),"",INDEX('Compliance Database'!$M$2:$M$1369,MATCH(1362,Engine!$C$2:$C$1369,0)))</f>
        <v/>
      </c>
      <c r="N1375" s="9">
        <f>IF(ISNA(MATCH(1362,Engine!$C$2:$C$1369,0)),"",INDEX('Compliance Database'!$N$2:$N$1369,MATCH(1362,Engine!$C$2:$C$1369,0)))</f>
        <v/>
      </c>
      <c r="O1375" s="8">
        <f>IF(ISNA(MATCH(1362,Engine!$C$2:$C$1369,0)),"",HYPERLINK(INDEX('Compliance Database'!$O$2:$O$1369,MATCH(1362,Engine!$C$2:$C$1369,0)),"Open PDF"))</f>
        <v/>
      </c>
    </row>
    <row r="1376" ht="188" customHeight="1">
      <c r="A1376" s="8">
        <f>IF(ISNA(MATCH(1363,Engine!$C$2:$C$1369,0)),"",INDEX('Compliance Database'!$A$2:$A$1369,MATCH(1363,Engine!$C$2:$C$1369,0)))</f>
        <v/>
      </c>
      <c r="B1376" s="8">
        <f>IF(ISNA(MATCH(1363,Engine!$C$2:$C$1369,0)),"",INDEX('Compliance Database'!$B$2:$B$1369,MATCH(1363,Engine!$C$2:$C$1369,0)))</f>
        <v/>
      </c>
      <c r="C1376" s="8">
        <f>IF(ISNA(MATCH(1363,Engine!$C$2:$C$1369,0)),"",INDEX('Compliance Database'!$C$2:$C$1369,MATCH(1363,Engine!$C$2:$C$1369,0)))</f>
        <v/>
      </c>
      <c r="D1376" s="9">
        <f>IF(ISNA(MATCH(1363,Engine!$C$2:$C$1369,0)),"",INDEX('Compliance Database'!$D$2:$D$1369,MATCH(1363,Engine!$C$2:$C$1369,0)))</f>
        <v/>
      </c>
      <c r="E1376" s="8">
        <f>IF(ISNA(MATCH(1363,Engine!$C$2:$C$1369,0)),"",INDEX('Compliance Database'!$E$2:$E$1369,MATCH(1363,Engine!$C$2:$C$1369,0)))</f>
        <v/>
      </c>
      <c r="F1376" s="8">
        <f>IF(ISNA(MATCH(1363,Engine!$C$2:$C$1369,0)),"",INDEX('Compliance Database'!$F$2:$F$1369,MATCH(1363,Engine!$C$2:$C$1369,0)))</f>
        <v/>
      </c>
      <c r="G1376" s="8">
        <f>IF(ISNA(MATCH(1363,Engine!$C$2:$C$1369,0)),"",INDEX('Compliance Database'!$G$2:$G$1369,MATCH(1363,Engine!$C$2:$C$1369,0)))</f>
        <v/>
      </c>
      <c r="H1376" s="9">
        <f>IF(ISNA(MATCH(1363,Engine!$C$2:$C$1369,0)),"",INDEX('Compliance Database'!$H$2:$H$1369,MATCH(1363,Engine!$C$2:$C$1369,0)))</f>
        <v/>
      </c>
      <c r="I1376" s="9">
        <f>IF(ISNA(MATCH(1363,Engine!$C$2:$C$1369,0)),"",INDEX('Compliance Database'!$I$2:$I$1369,MATCH(1363,Engine!$C$2:$C$1369,0)))</f>
        <v/>
      </c>
      <c r="J1376" s="8">
        <f>IF(ISNA(MATCH(1363,Engine!$C$2:$C$1369,0)),"",INDEX('Compliance Database'!$J$2:$J$1369,MATCH(1363,Engine!$C$2:$C$1369,0)))</f>
        <v/>
      </c>
      <c r="K1376" s="9">
        <f>IF(ISNA(MATCH(1363,Engine!$C$2:$C$1369,0)),"",INDEX('Compliance Database'!$K$2:$K$1369,MATCH(1363,Engine!$C$2:$C$1369,0)))</f>
        <v/>
      </c>
      <c r="L1376" s="9">
        <f>IF(ISNA(MATCH(1363,Engine!$C$2:$C$1369,0)),"",INDEX('Compliance Database'!$L$2:$L$1369,MATCH(1363,Engine!$C$2:$C$1369,0)))</f>
        <v/>
      </c>
      <c r="M1376" s="9">
        <f>IF(ISNA(MATCH(1363,Engine!$C$2:$C$1369,0)),"",INDEX('Compliance Database'!$M$2:$M$1369,MATCH(1363,Engine!$C$2:$C$1369,0)))</f>
        <v/>
      </c>
      <c r="N1376" s="9">
        <f>IF(ISNA(MATCH(1363,Engine!$C$2:$C$1369,0)),"",INDEX('Compliance Database'!$N$2:$N$1369,MATCH(1363,Engine!$C$2:$C$1369,0)))</f>
        <v/>
      </c>
      <c r="O1376" s="8">
        <f>IF(ISNA(MATCH(1363,Engine!$C$2:$C$1369,0)),"",HYPERLINK(INDEX('Compliance Database'!$O$2:$O$1369,MATCH(1363,Engine!$C$2:$C$1369,0)),"Open PDF"))</f>
        <v/>
      </c>
    </row>
    <row r="1377" ht="188" customHeight="1">
      <c r="A1377" s="8">
        <f>IF(ISNA(MATCH(1364,Engine!$C$2:$C$1369,0)),"",INDEX('Compliance Database'!$A$2:$A$1369,MATCH(1364,Engine!$C$2:$C$1369,0)))</f>
        <v/>
      </c>
      <c r="B1377" s="8">
        <f>IF(ISNA(MATCH(1364,Engine!$C$2:$C$1369,0)),"",INDEX('Compliance Database'!$B$2:$B$1369,MATCH(1364,Engine!$C$2:$C$1369,0)))</f>
        <v/>
      </c>
      <c r="C1377" s="8">
        <f>IF(ISNA(MATCH(1364,Engine!$C$2:$C$1369,0)),"",INDEX('Compliance Database'!$C$2:$C$1369,MATCH(1364,Engine!$C$2:$C$1369,0)))</f>
        <v/>
      </c>
      <c r="D1377" s="9">
        <f>IF(ISNA(MATCH(1364,Engine!$C$2:$C$1369,0)),"",INDEX('Compliance Database'!$D$2:$D$1369,MATCH(1364,Engine!$C$2:$C$1369,0)))</f>
        <v/>
      </c>
      <c r="E1377" s="8">
        <f>IF(ISNA(MATCH(1364,Engine!$C$2:$C$1369,0)),"",INDEX('Compliance Database'!$E$2:$E$1369,MATCH(1364,Engine!$C$2:$C$1369,0)))</f>
        <v/>
      </c>
      <c r="F1377" s="8">
        <f>IF(ISNA(MATCH(1364,Engine!$C$2:$C$1369,0)),"",INDEX('Compliance Database'!$F$2:$F$1369,MATCH(1364,Engine!$C$2:$C$1369,0)))</f>
        <v/>
      </c>
      <c r="G1377" s="8">
        <f>IF(ISNA(MATCH(1364,Engine!$C$2:$C$1369,0)),"",INDEX('Compliance Database'!$G$2:$G$1369,MATCH(1364,Engine!$C$2:$C$1369,0)))</f>
        <v/>
      </c>
      <c r="H1377" s="9">
        <f>IF(ISNA(MATCH(1364,Engine!$C$2:$C$1369,0)),"",INDEX('Compliance Database'!$H$2:$H$1369,MATCH(1364,Engine!$C$2:$C$1369,0)))</f>
        <v/>
      </c>
      <c r="I1377" s="9">
        <f>IF(ISNA(MATCH(1364,Engine!$C$2:$C$1369,0)),"",INDEX('Compliance Database'!$I$2:$I$1369,MATCH(1364,Engine!$C$2:$C$1369,0)))</f>
        <v/>
      </c>
      <c r="J1377" s="8">
        <f>IF(ISNA(MATCH(1364,Engine!$C$2:$C$1369,0)),"",INDEX('Compliance Database'!$J$2:$J$1369,MATCH(1364,Engine!$C$2:$C$1369,0)))</f>
        <v/>
      </c>
      <c r="K1377" s="9">
        <f>IF(ISNA(MATCH(1364,Engine!$C$2:$C$1369,0)),"",INDEX('Compliance Database'!$K$2:$K$1369,MATCH(1364,Engine!$C$2:$C$1369,0)))</f>
        <v/>
      </c>
      <c r="L1377" s="9">
        <f>IF(ISNA(MATCH(1364,Engine!$C$2:$C$1369,0)),"",INDEX('Compliance Database'!$L$2:$L$1369,MATCH(1364,Engine!$C$2:$C$1369,0)))</f>
        <v/>
      </c>
      <c r="M1377" s="9">
        <f>IF(ISNA(MATCH(1364,Engine!$C$2:$C$1369,0)),"",INDEX('Compliance Database'!$M$2:$M$1369,MATCH(1364,Engine!$C$2:$C$1369,0)))</f>
        <v/>
      </c>
      <c r="N1377" s="9">
        <f>IF(ISNA(MATCH(1364,Engine!$C$2:$C$1369,0)),"",INDEX('Compliance Database'!$N$2:$N$1369,MATCH(1364,Engine!$C$2:$C$1369,0)))</f>
        <v/>
      </c>
      <c r="O1377" s="8">
        <f>IF(ISNA(MATCH(1364,Engine!$C$2:$C$1369,0)),"",HYPERLINK(INDEX('Compliance Database'!$O$2:$O$1369,MATCH(1364,Engine!$C$2:$C$1369,0)),"Open PDF"))</f>
        <v/>
      </c>
    </row>
    <row r="1378" ht="188" customHeight="1">
      <c r="A1378" s="8">
        <f>IF(ISNA(MATCH(1365,Engine!$C$2:$C$1369,0)),"",INDEX('Compliance Database'!$A$2:$A$1369,MATCH(1365,Engine!$C$2:$C$1369,0)))</f>
        <v/>
      </c>
      <c r="B1378" s="8">
        <f>IF(ISNA(MATCH(1365,Engine!$C$2:$C$1369,0)),"",INDEX('Compliance Database'!$B$2:$B$1369,MATCH(1365,Engine!$C$2:$C$1369,0)))</f>
        <v/>
      </c>
      <c r="C1378" s="8">
        <f>IF(ISNA(MATCH(1365,Engine!$C$2:$C$1369,0)),"",INDEX('Compliance Database'!$C$2:$C$1369,MATCH(1365,Engine!$C$2:$C$1369,0)))</f>
        <v/>
      </c>
      <c r="D1378" s="9">
        <f>IF(ISNA(MATCH(1365,Engine!$C$2:$C$1369,0)),"",INDEX('Compliance Database'!$D$2:$D$1369,MATCH(1365,Engine!$C$2:$C$1369,0)))</f>
        <v/>
      </c>
      <c r="E1378" s="8">
        <f>IF(ISNA(MATCH(1365,Engine!$C$2:$C$1369,0)),"",INDEX('Compliance Database'!$E$2:$E$1369,MATCH(1365,Engine!$C$2:$C$1369,0)))</f>
        <v/>
      </c>
      <c r="F1378" s="8">
        <f>IF(ISNA(MATCH(1365,Engine!$C$2:$C$1369,0)),"",INDEX('Compliance Database'!$F$2:$F$1369,MATCH(1365,Engine!$C$2:$C$1369,0)))</f>
        <v/>
      </c>
      <c r="G1378" s="8">
        <f>IF(ISNA(MATCH(1365,Engine!$C$2:$C$1369,0)),"",INDEX('Compliance Database'!$G$2:$G$1369,MATCH(1365,Engine!$C$2:$C$1369,0)))</f>
        <v/>
      </c>
      <c r="H1378" s="9">
        <f>IF(ISNA(MATCH(1365,Engine!$C$2:$C$1369,0)),"",INDEX('Compliance Database'!$H$2:$H$1369,MATCH(1365,Engine!$C$2:$C$1369,0)))</f>
        <v/>
      </c>
      <c r="I1378" s="9">
        <f>IF(ISNA(MATCH(1365,Engine!$C$2:$C$1369,0)),"",INDEX('Compliance Database'!$I$2:$I$1369,MATCH(1365,Engine!$C$2:$C$1369,0)))</f>
        <v/>
      </c>
      <c r="J1378" s="8">
        <f>IF(ISNA(MATCH(1365,Engine!$C$2:$C$1369,0)),"",INDEX('Compliance Database'!$J$2:$J$1369,MATCH(1365,Engine!$C$2:$C$1369,0)))</f>
        <v/>
      </c>
      <c r="K1378" s="9">
        <f>IF(ISNA(MATCH(1365,Engine!$C$2:$C$1369,0)),"",INDEX('Compliance Database'!$K$2:$K$1369,MATCH(1365,Engine!$C$2:$C$1369,0)))</f>
        <v/>
      </c>
      <c r="L1378" s="9">
        <f>IF(ISNA(MATCH(1365,Engine!$C$2:$C$1369,0)),"",INDEX('Compliance Database'!$L$2:$L$1369,MATCH(1365,Engine!$C$2:$C$1369,0)))</f>
        <v/>
      </c>
      <c r="M1378" s="9">
        <f>IF(ISNA(MATCH(1365,Engine!$C$2:$C$1369,0)),"",INDEX('Compliance Database'!$M$2:$M$1369,MATCH(1365,Engine!$C$2:$C$1369,0)))</f>
        <v/>
      </c>
      <c r="N1378" s="9">
        <f>IF(ISNA(MATCH(1365,Engine!$C$2:$C$1369,0)),"",INDEX('Compliance Database'!$N$2:$N$1369,MATCH(1365,Engine!$C$2:$C$1369,0)))</f>
        <v/>
      </c>
      <c r="O1378" s="8">
        <f>IF(ISNA(MATCH(1365,Engine!$C$2:$C$1369,0)),"",HYPERLINK(INDEX('Compliance Database'!$O$2:$O$1369,MATCH(1365,Engine!$C$2:$C$1369,0)),"Open PDF"))</f>
        <v/>
      </c>
    </row>
    <row r="1379" ht="188" customHeight="1">
      <c r="A1379" s="8">
        <f>IF(ISNA(MATCH(1366,Engine!$C$2:$C$1369,0)),"",INDEX('Compliance Database'!$A$2:$A$1369,MATCH(1366,Engine!$C$2:$C$1369,0)))</f>
        <v/>
      </c>
      <c r="B1379" s="8">
        <f>IF(ISNA(MATCH(1366,Engine!$C$2:$C$1369,0)),"",INDEX('Compliance Database'!$B$2:$B$1369,MATCH(1366,Engine!$C$2:$C$1369,0)))</f>
        <v/>
      </c>
      <c r="C1379" s="8">
        <f>IF(ISNA(MATCH(1366,Engine!$C$2:$C$1369,0)),"",INDEX('Compliance Database'!$C$2:$C$1369,MATCH(1366,Engine!$C$2:$C$1369,0)))</f>
        <v/>
      </c>
      <c r="D1379" s="9">
        <f>IF(ISNA(MATCH(1366,Engine!$C$2:$C$1369,0)),"",INDEX('Compliance Database'!$D$2:$D$1369,MATCH(1366,Engine!$C$2:$C$1369,0)))</f>
        <v/>
      </c>
      <c r="E1379" s="8">
        <f>IF(ISNA(MATCH(1366,Engine!$C$2:$C$1369,0)),"",INDEX('Compliance Database'!$E$2:$E$1369,MATCH(1366,Engine!$C$2:$C$1369,0)))</f>
        <v/>
      </c>
      <c r="F1379" s="8">
        <f>IF(ISNA(MATCH(1366,Engine!$C$2:$C$1369,0)),"",INDEX('Compliance Database'!$F$2:$F$1369,MATCH(1366,Engine!$C$2:$C$1369,0)))</f>
        <v/>
      </c>
      <c r="G1379" s="8">
        <f>IF(ISNA(MATCH(1366,Engine!$C$2:$C$1369,0)),"",INDEX('Compliance Database'!$G$2:$G$1369,MATCH(1366,Engine!$C$2:$C$1369,0)))</f>
        <v/>
      </c>
      <c r="H1379" s="9">
        <f>IF(ISNA(MATCH(1366,Engine!$C$2:$C$1369,0)),"",INDEX('Compliance Database'!$H$2:$H$1369,MATCH(1366,Engine!$C$2:$C$1369,0)))</f>
        <v/>
      </c>
      <c r="I1379" s="9">
        <f>IF(ISNA(MATCH(1366,Engine!$C$2:$C$1369,0)),"",INDEX('Compliance Database'!$I$2:$I$1369,MATCH(1366,Engine!$C$2:$C$1369,0)))</f>
        <v/>
      </c>
      <c r="J1379" s="8">
        <f>IF(ISNA(MATCH(1366,Engine!$C$2:$C$1369,0)),"",INDEX('Compliance Database'!$J$2:$J$1369,MATCH(1366,Engine!$C$2:$C$1369,0)))</f>
        <v/>
      </c>
      <c r="K1379" s="9">
        <f>IF(ISNA(MATCH(1366,Engine!$C$2:$C$1369,0)),"",INDEX('Compliance Database'!$K$2:$K$1369,MATCH(1366,Engine!$C$2:$C$1369,0)))</f>
        <v/>
      </c>
      <c r="L1379" s="9">
        <f>IF(ISNA(MATCH(1366,Engine!$C$2:$C$1369,0)),"",INDEX('Compliance Database'!$L$2:$L$1369,MATCH(1366,Engine!$C$2:$C$1369,0)))</f>
        <v/>
      </c>
      <c r="M1379" s="9">
        <f>IF(ISNA(MATCH(1366,Engine!$C$2:$C$1369,0)),"",INDEX('Compliance Database'!$M$2:$M$1369,MATCH(1366,Engine!$C$2:$C$1369,0)))</f>
        <v/>
      </c>
      <c r="N1379" s="9">
        <f>IF(ISNA(MATCH(1366,Engine!$C$2:$C$1369,0)),"",INDEX('Compliance Database'!$N$2:$N$1369,MATCH(1366,Engine!$C$2:$C$1369,0)))</f>
        <v/>
      </c>
      <c r="O1379" s="8">
        <f>IF(ISNA(MATCH(1366,Engine!$C$2:$C$1369,0)),"",HYPERLINK(INDEX('Compliance Database'!$O$2:$O$1369,MATCH(1366,Engine!$C$2:$C$1369,0)),"Open PDF"))</f>
        <v/>
      </c>
    </row>
    <row r="1380" ht="188" customHeight="1">
      <c r="A1380" s="8">
        <f>IF(ISNA(MATCH(1367,Engine!$C$2:$C$1369,0)),"",INDEX('Compliance Database'!$A$2:$A$1369,MATCH(1367,Engine!$C$2:$C$1369,0)))</f>
        <v/>
      </c>
      <c r="B1380" s="8">
        <f>IF(ISNA(MATCH(1367,Engine!$C$2:$C$1369,0)),"",INDEX('Compliance Database'!$B$2:$B$1369,MATCH(1367,Engine!$C$2:$C$1369,0)))</f>
        <v/>
      </c>
      <c r="C1380" s="8">
        <f>IF(ISNA(MATCH(1367,Engine!$C$2:$C$1369,0)),"",INDEX('Compliance Database'!$C$2:$C$1369,MATCH(1367,Engine!$C$2:$C$1369,0)))</f>
        <v/>
      </c>
      <c r="D1380" s="9">
        <f>IF(ISNA(MATCH(1367,Engine!$C$2:$C$1369,0)),"",INDEX('Compliance Database'!$D$2:$D$1369,MATCH(1367,Engine!$C$2:$C$1369,0)))</f>
        <v/>
      </c>
      <c r="E1380" s="8">
        <f>IF(ISNA(MATCH(1367,Engine!$C$2:$C$1369,0)),"",INDEX('Compliance Database'!$E$2:$E$1369,MATCH(1367,Engine!$C$2:$C$1369,0)))</f>
        <v/>
      </c>
      <c r="F1380" s="8">
        <f>IF(ISNA(MATCH(1367,Engine!$C$2:$C$1369,0)),"",INDEX('Compliance Database'!$F$2:$F$1369,MATCH(1367,Engine!$C$2:$C$1369,0)))</f>
        <v/>
      </c>
      <c r="G1380" s="8">
        <f>IF(ISNA(MATCH(1367,Engine!$C$2:$C$1369,0)),"",INDEX('Compliance Database'!$G$2:$G$1369,MATCH(1367,Engine!$C$2:$C$1369,0)))</f>
        <v/>
      </c>
      <c r="H1380" s="9">
        <f>IF(ISNA(MATCH(1367,Engine!$C$2:$C$1369,0)),"",INDEX('Compliance Database'!$H$2:$H$1369,MATCH(1367,Engine!$C$2:$C$1369,0)))</f>
        <v/>
      </c>
      <c r="I1380" s="9">
        <f>IF(ISNA(MATCH(1367,Engine!$C$2:$C$1369,0)),"",INDEX('Compliance Database'!$I$2:$I$1369,MATCH(1367,Engine!$C$2:$C$1369,0)))</f>
        <v/>
      </c>
      <c r="J1380" s="8">
        <f>IF(ISNA(MATCH(1367,Engine!$C$2:$C$1369,0)),"",INDEX('Compliance Database'!$J$2:$J$1369,MATCH(1367,Engine!$C$2:$C$1369,0)))</f>
        <v/>
      </c>
      <c r="K1380" s="9">
        <f>IF(ISNA(MATCH(1367,Engine!$C$2:$C$1369,0)),"",INDEX('Compliance Database'!$K$2:$K$1369,MATCH(1367,Engine!$C$2:$C$1369,0)))</f>
        <v/>
      </c>
      <c r="L1380" s="9">
        <f>IF(ISNA(MATCH(1367,Engine!$C$2:$C$1369,0)),"",INDEX('Compliance Database'!$L$2:$L$1369,MATCH(1367,Engine!$C$2:$C$1369,0)))</f>
        <v/>
      </c>
      <c r="M1380" s="9">
        <f>IF(ISNA(MATCH(1367,Engine!$C$2:$C$1369,0)),"",INDEX('Compliance Database'!$M$2:$M$1369,MATCH(1367,Engine!$C$2:$C$1369,0)))</f>
        <v/>
      </c>
      <c r="N1380" s="9">
        <f>IF(ISNA(MATCH(1367,Engine!$C$2:$C$1369,0)),"",INDEX('Compliance Database'!$N$2:$N$1369,MATCH(1367,Engine!$C$2:$C$1369,0)))</f>
        <v/>
      </c>
      <c r="O1380" s="8">
        <f>IF(ISNA(MATCH(1367,Engine!$C$2:$C$1369,0)),"",HYPERLINK(INDEX('Compliance Database'!$O$2:$O$1369,MATCH(1367,Engine!$C$2:$C$1369,0)),"Open PDF"))</f>
        <v/>
      </c>
    </row>
    <row r="1381" ht="188" customHeight="1">
      <c r="A1381" s="8">
        <f>IF(ISNA(MATCH(1368,Engine!$C$2:$C$1369,0)),"",INDEX('Compliance Database'!$A$2:$A$1369,MATCH(1368,Engine!$C$2:$C$1369,0)))</f>
        <v/>
      </c>
      <c r="B1381" s="8">
        <f>IF(ISNA(MATCH(1368,Engine!$C$2:$C$1369,0)),"",INDEX('Compliance Database'!$B$2:$B$1369,MATCH(1368,Engine!$C$2:$C$1369,0)))</f>
        <v/>
      </c>
      <c r="C1381" s="8">
        <f>IF(ISNA(MATCH(1368,Engine!$C$2:$C$1369,0)),"",INDEX('Compliance Database'!$C$2:$C$1369,MATCH(1368,Engine!$C$2:$C$1369,0)))</f>
        <v/>
      </c>
      <c r="D1381" s="9">
        <f>IF(ISNA(MATCH(1368,Engine!$C$2:$C$1369,0)),"",INDEX('Compliance Database'!$D$2:$D$1369,MATCH(1368,Engine!$C$2:$C$1369,0)))</f>
        <v/>
      </c>
      <c r="E1381" s="8">
        <f>IF(ISNA(MATCH(1368,Engine!$C$2:$C$1369,0)),"",INDEX('Compliance Database'!$E$2:$E$1369,MATCH(1368,Engine!$C$2:$C$1369,0)))</f>
        <v/>
      </c>
      <c r="F1381" s="8">
        <f>IF(ISNA(MATCH(1368,Engine!$C$2:$C$1369,0)),"",INDEX('Compliance Database'!$F$2:$F$1369,MATCH(1368,Engine!$C$2:$C$1369,0)))</f>
        <v/>
      </c>
      <c r="G1381" s="8">
        <f>IF(ISNA(MATCH(1368,Engine!$C$2:$C$1369,0)),"",INDEX('Compliance Database'!$G$2:$G$1369,MATCH(1368,Engine!$C$2:$C$1369,0)))</f>
        <v/>
      </c>
      <c r="H1381" s="9">
        <f>IF(ISNA(MATCH(1368,Engine!$C$2:$C$1369,0)),"",INDEX('Compliance Database'!$H$2:$H$1369,MATCH(1368,Engine!$C$2:$C$1369,0)))</f>
        <v/>
      </c>
      <c r="I1381" s="9">
        <f>IF(ISNA(MATCH(1368,Engine!$C$2:$C$1369,0)),"",INDEX('Compliance Database'!$I$2:$I$1369,MATCH(1368,Engine!$C$2:$C$1369,0)))</f>
        <v/>
      </c>
      <c r="J1381" s="8">
        <f>IF(ISNA(MATCH(1368,Engine!$C$2:$C$1369,0)),"",INDEX('Compliance Database'!$J$2:$J$1369,MATCH(1368,Engine!$C$2:$C$1369,0)))</f>
        <v/>
      </c>
      <c r="K1381" s="9">
        <f>IF(ISNA(MATCH(1368,Engine!$C$2:$C$1369,0)),"",INDEX('Compliance Database'!$K$2:$K$1369,MATCH(1368,Engine!$C$2:$C$1369,0)))</f>
        <v/>
      </c>
      <c r="L1381" s="9">
        <f>IF(ISNA(MATCH(1368,Engine!$C$2:$C$1369,0)),"",INDEX('Compliance Database'!$L$2:$L$1369,MATCH(1368,Engine!$C$2:$C$1369,0)))</f>
        <v/>
      </c>
      <c r="M1381" s="9">
        <f>IF(ISNA(MATCH(1368,Engine!$C$2:$C$1369,0)),"",INDEX('Compliance Database'!$M$2:$M$1369,MATCH(1368,Engine!$C$2:$C$1369,0)))</f>
        <v/>
      </c>
      <c r="N1381" s="9">
        <f>IF(ISNA(MATCH(1368,Engine!$C$2:$C$1369,0)),"",INDEX('Compliance Database'!$N$2:$N$1369,MATCH(1368,Engine!$C$2:$C$1369,0)))</f>
        <v/>
      </c>
      <c r="O1381" s="8">
        <f>IF(ISNA(MATCH(1368,Engine!$C$2:$C$1369,0)),"",HYPERLINK(INDEX('Compliance Database'!$O$2:$O$1369,MATCH(1368,Engine!$C$2:$C$1369,0)),"Open PDF"))</f>
        <v/>
      </c>
    </row>
  </sheetData>
  <mergeCells count="1">
    <mergeCell ref="A1:D1"/>
  </mergeCells>
  <dataValidations count="5">
    <dataValidation sqref="B4" showDropDown="0" showInputMessage="0" showErrorMessage="0" allowBlank="1" type="list">
      <formula1>Lists!$A$2:$A$6</formula1>
    </dataValidation>
    <dataValidation sqref="B5" showDropDown="0" showInputMessage="0" showErrorMessage="0" allowBlank="1" type="list">
      <formula1>Lists!$B$2:$B$29</formula1>
    </dataValidation>
    <dataValidation sqref="B6" showDropDown="0" showInputMessage="0" showErrorMessage="0" allowBlank="1" type="list">
      <formula1>Lists!$C$2:$C$10</formula1>
    </dataValidation>
    <dataValidation sqref="B7" showDropDown="0" showInputMessage="0" showErrorMessage="0" allowBlank="1" type="list">
      <formula1>Lists!$D$2:$D$6</formula1>
    </dataValidation>
    <dataValidation sqref="B8" showDropDown="0" showInputMessage="0" showErrorMessage="0" allowBlank="1" type="list">
      <formula1>Lists!$E$2:$E$45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77"/>
  <sheetViews>
    <sheetView showGridLines="0" workbookViewId="0">
      <pane ySplit="9" topLeftCell="A10"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45" customWidth="1" min="8" max="8"/>
    <col width="45" customWidth="1" min="9" max="9"/>
    <col width="18" customWidth="1" min="10" max="10"/>
    <col width="45" customWidth="1" min="11" max="11"/>
    <col width="45" customWidth="1" min="12" max="12"/>
    <col width="100" customWidth="1" min="13" max="13"/>
    <col width="45" customWidth="1" min="14" max="14"/>
    <col width="18" customWidth="1" min="15" max="15"/>
  </cols>
  <sheetData>
    <row r="1">
      <c r="A1" s="1" t="inlineStr">
        <is>
          <t>Cross-Border Data Transfer</t>
        </is>
      </c>
    </row>
    <row r="3">
      <c r="A3" s="5" t="inlineStr">
        <is>
          <t>Pick the two countries involved in the transfer. Every relevant act/section from either country is listed below; add a keyword to narrow it.</t>
        </is>
      </c>
    </row>
    <row r="4">
      <c r="A4" s="2" t="inlineStr">
        <is>
          <t>Country A (from)</t>
        </is>
      </c>
      <c r="B4" s="6" t="inlineStr">
        <is>
          <t>Australia</t>
        </is>
      </c>
    </row>
    <row r="5">
      <c r="A5" s="2" t="inlineStr">
        <is>
          <t>Country B (to)</t>
        </is>
      </c>
      <c r="B5" s="6" t="inlineStr">
        <is>
          <t>GDPR</t>
        </is>
      </c>
    </row>
    <row r="6">
      <c r="A6" s="2" t="inlineStr">
        <is>
          <t>Keyword (free text)</t>
        </is>
      </c>
      <c r="B6" s="6" t="inlineStr"/>
    </row>
    <row r="8">
      <c r="A8" s="2" t="inlineStr">
        <is>
          <t>Matching sections (of 1368 total):</t>
        </is>
      </c>
      <c r="C8" s="2">
        <f>'Transfer Engine'!$D$1</f>
        <v/>
      </c>
    </row>
    <row r="9">
      <c r="A9" s="7" t="inlineStr">
        <is>
          <t>Country</t>
        </is>
      </c>
      <c r="B9" s="7" t="inlineStr">
        <is>
          <t>Act</t>
        </is>
      </c>
      <c r="C9" s="7" t="inlineStr">
        <is>
          <t>Section</t>
        </is>
      </c>
      <c r="D9" s="7" t="inlineStr">
        <is>
          <t>Heading</t>
        </is>
      </c>
      <c r="E9" s="7" t="inlineStr">
        <is>
          <t>Pages</t>
        </is>
      </c>
      <c r="F9" s="7" t="inlineStr">
        <is>
          <t>Financial Relevance</t>
        </is>
      </c>
      <c r="G9" s="7" t="inlineStr">
        <is>
          <t>Confidence</t>
        </is>
      </c>
      <c r="H9" s="7" t="inlineStr">
        <is>
          <t>Topics</t>
        </is>
      </c>
      <c r="I9" s="7" t="inlineStr">
        <is>
          <t>Data Types</t>
        </is>
      </c>
      <c r="J9" s="7" t="inlineStr">
        <is>
          <t>Authority</t>
        </is>
      </c>
      <c r="K9" s="7" t="inlineStr">
        <is>
          <t>Summary</t>
        </is>
      </c>
      <c r="L9" s="7" t="inlineStr">
        <is>
          <t>DTIA Summary</t>
        </is>
      </c>
      <c r="M9" s="7" t="inlineStr">
        <is>
          <t>Requirements</t>
        </is>
      </c>
      <c r="N9" s="7" t="inlineStr">
        <is>
          <t>Source Quote</t>
        </is>
      </c>
      <c r="O9" s="7" t="inlineStr">
        <is>
          <t>Source</t>
        </is>
      </c>
    </row>
    <row r="10" ht="188" customHeight="1">
      <c r="A10" s="8">
        <f>IF(ISNA(MATCH(1,'Transfer Engine'!$C$2:$C$1369,0)),"",INDEX('Compliance Database'!$A$2:$A$1369,MATCH(1,'Transfer Engine'!$C$2:$C$1369,0)))</f>
        <v/>
      </c>
      <c r="B10" s="8">
        <f>IF(ISNA(MATCH(1,'Transfer Engine'!$C$2:$C$1369,0)),"",INDEX('Compliance Database'!$B$2:$B$1369,MATCH(1,'Transfer Engine'!$C$2:$C$1369,0)))</f>
        <v/>
      </c>
      <c r="C10" s="8">
        <f>IF(ISNA(MATCH(1,'Transfer Engine'!$C$2:$C$1369,0)),"",INDEX('Compliance Database'!$C$2:$C$1369,MATCH(1,'Transfer Engine'!$C$2:$C$1369,0)))</f>
        <v/>
      </c>
      <c r="D10" s="9">
        <f>IF(ISNA(MATCH(1,'Transfer Engine'!$C$2:$C$1369,0)),"",INDEX('Compliance Database'!$D$2:$D$1369,MATCH(1,'Transfer Engine'!$C$2:$C$1369,0)))</f>
        <v/>
      </c>
      <c r="E10" s="8">
        <f>IF(ISNA(MATCH(1,'Transfer Engine'!$C$2:$C$1369,0)),"",INDEX('Compliance Database'!$E$2:$E$1369,MATCH(1,'Transfer Engine'!$C$2:$C$1369,0)))</f>
        <v/>
      </c>
      <c r="F10" s="8">
        <f>IF(ISNA(MATCH(1,'Transfer Engine'!$C$2:$C$1369,0)),"",INDEX('Compliance Database'!$F$2:$F$1369,MATCH(1,'Transfer Engine'!$C$2:$C$1369,0)))</f>
        <v/>
      </c>
      <c r="G10" s="8">
        <f>IF(ISNA(MATCH(1,'Transfer Engine'!$C$2:$C$1369,0)),"",INDEX('Compliance Database'!$G$2:$G$1369,MATCH(1,'Transfer Engine'!$C$2:$C$1369,0)))</f>
        <v/>
      </c>
      <c r="H10" s="9">
        <f>IF(ISNA(MATCH(1,'Transfer Engine'!$C$2:$C$1369,0)),"",INDEX('Compliance Database'!$H$2:$H$1369,MATCH(1,'Transfer Engine'!$C$2:$C$1369,0)))</f>
        <v/>
      </c>
      <c r="I10" s="9">
        <f>IF(ISNA(MATCH(1,'Transfer Engine'!$C$2:$C$1369,0)),"",INDEX('Compliance Database'!$I$2:$I$1369,MATCH(1,'Transfer Engine'!$C$2:$C$1369,0)))</f>
        <v/>
      </c>
      <c r="J10" s="8">
        <f>IF(ISNA(MATCH(1,'Transfer Engine'!$C$2:$C$1369,0)),"",INDEX('Compliance Database'!$J$2:$J$1369,MATCH(1,'Transfer Engine'!$C$2:$C$1369,0)))</f>
        <v/>
      </c>
      <c r="K10" s="9">
        <f>IF(ISNA(MATCH(1,'Transfer Engine'!$C$2:$C$1369,0)),"",INDEX('Compliance Database'!$K$2:$K$1369,MATCH(1,'Transfer Engine'!$C$2:$C$1369,0)))</f>
        <v/>
      </c>
      <c r="L10" s="9">
        <f>IF(ISNA(MATCH(1,'Transfer Engine'!$C$2:$C$1369,0)),"",INDEX('Compliance Database'!$L$2:$L$1369,MATCH(1,'Transfer Engine'!$C$2:$C$1369,0)))</f>
        <v/>
      </c>
      <c r="M10" s="9">
        <f>IF(ISNA(MATCH(1,'Transfer Engine'!$C$2:$C$1369,0)),"",INDEX('Compliance Database'!$M$2:$M$1369,MATCH(1,'Transfer Engine'!$C$2:$C$1369,0)))</f>
        <v/>
      </c>
      <c r="N10" s="9">
        <f>IF(ISNA(MATCH(1,'Transfer Engine'!$C$2:$C$1369,0)),"",INDEX('Compliance Database'!$N$2:$N$1369,MATCH(1,'Transfer Engine'!$C$2:$C$1369,0)))</f>
        <v/>
      </c>
      <c r="O10" s="8">
        <f>IF(ISNA(MATCH(1,'Transfer Engine'!$C$2:$C$1369,0)),"",HYPERLINK(INDEX('Compliance Database'!$O$2:$O$1369,MATCH(1,'Transfer Engine'!$C$2:$C$1369,0)),"Open PDF"))</f>
        <v/>
      </c>
    </row>
    <row r="11" ht="188" customHeight="1">
      <c r="A11" s="8">
        <f>IF(ISNA(MATCH(2,'Transfer Engine'!$C$2:$C$1369,0)),"",INDEX('Compliance Database'!$A$2:$A$1369,MATCH(2,'Transfer Engine'!$C$2:$C$1369,0)))</f>
        <v/>
      </c>
      <c r="B11" s="8">
        <f>IF(ISNA(MATCH(2,'Transfer Engine'!$C$2:$C$1369,0)),"",INDEX('Compliance Database'!$B$2:$B$1369,MATCH(2,'Transfer Engine'!$C$2:$C$1369,0)))</f>
        <v/>
      </c>
      <c r="C11" s="8">
        <f>IF(ISNA(MATCH(2,'Transfer Engine'!$C$2:$C$1369,0)),"",INDEX('Compliance Database'!$C$2:$C$1369,MATCH(2,'Transfer Engine'!$C$2:$C$1369,0)))</f>
        <v/>
      </c>
      <c r="D11" s="9">
        <f>IF(ISNA(MATCH(2,'Transfer Engine'!$C$2:$C$1369,0)),"",INDEX('Compliance Database'!$D$2:$D$1369,MATCH(2,'Transfer Engine'!$C$2:$C$1369,0)))</f>
        <v/>
      </c>
      <c r="E11" s="8">
        <f>IF(ISNA(MATCH(2,'Transfer Engine'!$C$2:$C$1369,0)),"",INDEX('Compliance Database'!$E$2:$E$1369,MATCH(2,'Transfer Engine'!$C$2:$C$1369,0)))</f>
        <v/>
      </c>
      <c r="F11" s="8">
        <f>IF(ISNA(MATCH(2,'Transfer Engine'!$C$2:$C$1369,0)),"",INDEX('Compliance Database'!$F$2:$F$1369,MATCH(2,'Transfer Engine'!$C$2:$C$1369,0)))</f>
        <v/>
      </c>
      <c r="G11" s="8">
        <f>IF(ISNA(MATCH(2,'Transfer Engine'!$C$2:$C$1369,0)),"",INDEX('Compliance Database'!$G$2:$G$1369,MATCH(2,'Transfer Engine'!$C$2:$C$1369,0)))</f>
        <v/>
      </c>
      <c r="H11" s="9">
        <f>IF(ISNA(MATCH(2,'Transfer Engine'!$C$2:$C$1369,0)),"",INDEX('Compliance Database'!$H$2:$H$1369,MATCH(2,'Transfer Engine'!$C$2:$C$1369,0)))</f>
        <v/>
      </c>
      <c r="I11" s="9">
        <f>IF(ISNA(MATCH(2,'Transfer Engine'!$C$2:$C$1369,0)),"",INDEX('Compliance Database'!$I$2:$I$1369,MATCH(2,'Transfer Engine'!$C$2:$C$1369,0)))</f>
        <v/>
      </c>
      <c r="J11" s="8">
        <f>IF(ISNA(MATCH(2,'Transfer Engine'!$C$2:$C$1369,0)),"",INDEX('Compliance Database'!$J$2:$J$1369,MATCH(2,'Transfer Engine'!$C$2:$C$1369,0)))</f>
        <v/>
      </c>
      <c r="K11" s="9">
        <f>IF(ISNA(MATCH(2,'Transfer Engine'!$C$2:$C$1369,0)),"",INDEX('Compliance Database'!$K$2:$K$1369,MATCH(2,'Transfer Engine'!$C$2:$C$1369,0)))</f>
        <v/>
      </c>
      <c r="L11" s="9">
        <f>IF(ISNA(MATCH(2,'Transfer Engine'!$C$2:$C$1369,0)),"",INDEX('Compliance Database'!$L$2:$L$1369,MATCH(2,'Transfer Engine'!$C$2:$C$1369,0)))</f>
        <v/>
      </c>
      <c r="M11" s="9">
        <f>IF(ISNA(MATCH(2,'Transfer Engine'!$C$2:$C$1369,0)),"",INDEX('Compliance Database'!$M$2:$M$1369,MATCH(2,'Transfer Engine'!$C$2:$C$1369,0)))</f>
        <v/>
      </c>
      <c r="N11" s="9">
        <f>IF(ISNA(MATCH(2,'Transfer Engine'!$C$2:$C$1369,0)),"",INDEX('Compliance Database'!$N$2:$N$1369,MATCH(2,'Transfer Engine'!$C$2:$C$1369,0)))</f>
        <v/>
      </c>
      <c r="O11" s="8">
        <f>IF(ISNA(MATCH(2,'Transfer Engine'!$C$2:$C$1369,0)),"",HYPERLINK(INDEX('Compliance Database'!$O$2:$O$1369,MATCH(2,'Transfer Engine'!$C$2:$C$1369,0)),"Open PDF"))</f>
        <v/>
      </c>
    </row>
    <row r="12" ht="188" customHeight="1">
      <c r="A12" s="8">
        <f>IF(ISNA(MATCH(3,'Transfer Engine'!$C$2:$C$1369,0)),"",INDEX('Compliance Database'!$A$2:$A$1369,MATCH(3,'Transfer Engine'!$C$2:$C$1369,0)))</f>
        <v/>
      </c>
      <c r="B12" s="8">
        <f>IF(ISNA(MATCH(3,'Transfer Engine'!$C$2:$C$1369,0)),"",INDEX('Compliance Database'!$B$2:$B$1369,MATCH(3,'Transfer Engine'!$C$2:$C$1369,0)))</f>
        <v/>
      </c>
      <c r="C12" s="8">
        <f>IF(ISNA(MATCH(3,'Transfer Engine'!$C$2:$C$1369,0)),"",INDEX('Compliance Database'!$C$2:$C$1369,MATCH(3,'Transfer Engine'!$C$2:$C$1369,0)))</f>
        <v/>
      </c>
      <c r="D12" s="9">
        <f>IF(ISNA(MATCH(3,'Transfer Engine'!$C$2:$C$1369,0)),"",INDEX('Compliance Database'!$D$2:$D$1369,MATCH(3,'Transfer Engine'!$C$2:$C$1369,0)))</f>
        <v/>
      </c>
      <c r="E12" s="8">
        <f>IF(ISNA(MATCH(3,'Transfer Engine'!$C$2:$C$1369,0)),"",INDEX('Compliance Database'!$E$2:$E$1369,MATCH(3,'Transfer Engine'!$C$2:$C$1369,0)))</f>
        <v/>
      </c>
      <c r="F12" s="8">
        <f>IF(ISNA(MATCH(3,'Transfer Engine'!$C$2:$C$1369,0)),"",INDEX('Compliance Database'!$F$2:$F$1369,MATCH(3,'Transfer Engine'!$C$2:$C$1369,0)))</f>
        <v/>
      </c>
      <c r="G12" s="8">
        <f>IF(ISNA(MATCH(3,'Transfer Engine'!$C$2:$C$1369,0)),"",INDEX('Compliance Database'!$G$2:$G$1369,MATCH(3,'Transfer Engine'!$C$2:$C$1369,0)))</f>
        <v/>
      </c>
      <c r="H12" s="9">
        <f>IF(ISNA(MATCH(3,'Transfer Engine'!$C$2:$C$1369,0)),"",INDEX('Compliance Database'!$H$2:$H$1369,MATCH(3,'Transfer Engine'!$C$2:$C$1369,0)))</f>
        <v/>
      </c>
      <c r="I12" s="9">
        <f>IF(ISNA(MATCH(3,'Transfer Engine'!$C$2:$C$1369,0)),"",INDEX('Compliance Database'!$I$2:$I$1369,MATCH(3,'Transfer Engine'!$C$2:$C$1369,0)))</f>
        <v/>
      </c>
      <c r="J12" s="8">
        <f>IF(ISNA(MATCH(3,'Transfer Engine'!$C$2:$C$1369,0)),"",INDEX('Compliance Database'!$J$2:$J$1369,MATCH(3,'Transfer Engine'!$C$2:$C$1369,0)))</f>
        <v/>
      </c>
      <c r="K12" s="9">
        <f>IF(ISNA(MATCH(3,'Transfer Engine'!$C$2:$C$1369,0)),"",INDEX('Compliance Database'!$K$2:$K$1369,MATCH(3,'Transfer Engine'!$C$2:$C$1369,0)))</f>
        <v/>
      </c>
      <c r="L12" s="9">
        <f>IF(ISNA(MATCH(3,'Transfer Engine'!$C$2:$C$1369,0)),"",INDEX('Compliance Database'!$L$2:$L$1369,MATCH(3,'Transfer Engine'!$C$2:$C$1369,0)))</f>
        <v/>
      </c>
      <c r="M12" s="9">
        <f>IF(ISNA(MATCH(3,'Transfer Engine'!$C$2:$C$1369,0)),"",INDEX('Compliance Database'!$M$2:$M$1369,MATCH(3,'Transfer Engine'!$C$2:$C$1369,0)))</f>
        <v/>
      </c>
      <c r="N12" s="9">
        <f>IF(ISNA(MATCH(3,'Transfer Engine'!$C$2:$C$1369,0)),"",INDEX('Compliance Database'!$N$2:$N$1369,MATCH(3,'Transfer Engine'!$C$2:$C$1369,0)))</f>
        <v/>
      </c>
      <c r="O12" s="8">
        <f>IF(ISNA(MATCH(3,'Transfer Engine'!$C$2:$C$1369,0)),"",HYPERLINK(INDEX('Compliance Database'!$O$2:$O$1369,MATCH(3,'Transfer Engine'!$C$2:$C$1369,0)),"Open PDF"))</f>
        <v/>
      </c>
    </row>
    <row r="13" ht="188" customHeight="1">
      <c r="A13" s="8">
        <f>IF(ISNA(MATCH(4,'Transfer Engine'!$C$2:$C$1369,0)),"",INDEX('Compliance Database'!$A$2:$A$1369,MATCH(4,'Transfer Engine'!$C$2:$C$1369,0)))</f>
        <v/>
      </c>
      <c r="B13" s="8">
        <f>IF(ISNA(MATCH(4,'Transfer Engine'!$C$2:$C$1369,0)),"",INDEX('Compliance Database'!$B$2:$B$1369,MATCH(4,'Transfer Engine'!$C$2:$C$1369,0)))</f>
        <v/>
      </c>
      <c r="C13" s="8">
        <f>IF(ISNA(MATCH(4,'Transfer Engine'!$C$2:$C$1369,0)),"",INDEX('Compliance Database'!$C$2:$C$1369,MATCH(4,'Transfer Engine'!$C$2:$C$1369,0)))</f>
        <v/>
      </c>
      <c r="D13" s="9">
        <f>IF(ISNA(MATCH(4,'Transfer Engine'!$C$2:$C$1369,0)),"",INDEX('Compliance Database'!$D$2:$D$1369,MATCH(4,'Transfer Engine'!$C$2:$C$1369,0)))</f>
        <v/>
      </c>
      <c r="E13" s="8">
        <f>IF(ISNA(MATCH(4,'Transfer Engine'!$C$2:$C$1369,0)),"",INDEX('Compliance Database'!$E$2:$E$1369,MATCH(4,'Transfer Engine'!$C$2:$C$1369,0)))</f>
        <v/>
      </c>
      <c r="F13" s="8">
        <f>IF(ISNA(MATCH(4,'Transfer Engine'!$C$2:$C$1369,0)),"",INDEX('Compliance Database'!$F$2:$F$1369,MATCH(4,'Transfer Engine'!$C$2:$C$1369,0)))</f>
        <v/>
      </c>
      <c r="G13" s="8">
        <f>IF(ISNA(MATCH(4,'Transfer Engine'!$C$2:$C$1369,0)),"",INDEX('Compliance Database'!$G$2:$G$1369,MATCH(4,'Transfer Engine'!$C$2:$C$1369,0)))</f>
        <v/>
      </c>
      <c r="H13" s="9">
        <f>IF(ISNA(MATCH(4,'Transfer Engine'!$C$2:$C$1369,0)),"",INDEX('Compliance Database'!$H$2:$H$1369,MATCH(4,'Transfer Engine'!$C$2:$C$1369,0)))</f>
        <v/>
      </c>
      <c r="I13" s="9">
        <f>IF(ISNA(MATCH(4,'Transfer Engine'!$C$2:$C$1369,0)),"",INDEX('Compliance Database'!$I$2:$I$1369,MATCH(4,'Transfer Engine'!$C$2:$C$1369,0)))</f>
        <v/>
      </c>
      <c r="J13" s="8">
        <f>IF(ISNA(MATCH(4,'Transfer Engine'!$C$2:$C$1369,0)),"",INDEX('Compliance Database'!$J$2:$J$1369,MATCH(4,'Transfer Engine'!$C$2:$C$1369,0)))</f>
        <v/>
      </c>
      <c r="K13" s="9">
        <f>IF(ISNA(MATCH(4,'Transfer Engine'!$C$2:$C$1369,0)),"",INDEX('Compliance Database'!$K$2:$K$1369,MATCH(4,'Transfer Engine'!$C$2:$C$1369,0)))</f>
        <v/>
      </c>
      <c r="L13" s="9">
        <f>IF(ISNA(MATCH(4,'Transfer Engine'!$C$2:$C$1369,0)),"",INDEX('Compliance Database'!$L$2:$L$1369,MATCH(4,'Transfer Engine'!$C$2:$C$1369,0)))</f>
        <v/>
      </c>
      <c r="M13" s="9">
        <f>IF(ISNA(MATCH(4,'Transfer Engine'!$C$2:$C$1369,0)),"",INDEX('Compliance Database'!$M$2:$M$1369,MATCH(4,'Transfer Engine'!$C$2:$C$1369,0)))</f>
        <v/>
      </c>
      <c r="N13" s="9">
        <f>IF(ISNA(MATCH(4,'Transfer Engine'!$C$2:$C$1369,0)),"",INDEX('Compliance Database'!$N$2:$N$1369,MATCH(4,'Transfer Engine'!$C$2:$C$1369,0)))</f>
        <v/>
      </c>
      <c r="O13" s="8">
        <f>IF(ISNA(MATCH(4,'Transfer Engine'!$C$2:$C$1369,0)),"",HYPERLINK(INDEX('Compliance Database'!$O$2:$O$1369,MATCH(4,'Transfer Engine'!$C$2:$C$1369,0)),"Open PDF"))</f>
        <v/>
      </c>
    </row>
    <row r="14" ht="188" customHeight="1">
      <c r="A14" s="8">
        <f>IF(ISNA(MATCH(5,'Transfer Engine'!$C$2:$C$1369,0)),"",INDEX('Compliance Database'!$A$2:$A$1369,MATCH(5,'Transfer Engine'!$C$2:$C$1369,0)))</f>
        <v/>
      </c>
      <c r="B14" s="8">
        <f>IF(ISNA(MATCH(5,'Transfer Engine'!$C$2:$C$1369,0)),"",INDEX('Compliance Database'!$B$2:$B$1369,MATCH(5,'Transfer Engine'!$C$2:$C$1369,0)))</f>
        <v/>
      </c>
      <c r="C14" s="8">
        <f>IF(ISNA(MATCH(5,'Transfer Engine'!$C$2:$C$1369,0)),"",INDEX('Compliance Database'!$C$2:$C$1369,MATCH(5,'Transfer Engine'!$C$2:$C$1369,0)))</f>
        <v/>
      </c>
      <c r="D14" s="9">
        <f>IF(ISNA(MATCH(5,'Transfer Engine'!$C$2:$C$1369,0)),"",INDEX('Compliance Database'!$D$2:$D$1369,MATCH(5,'Transfer Engine'!$C$2:$C$1369,0)))</f>
        <v/>
      </c>
      <c r="E14" s="8">
        <f>IF(ISNA(MATCH(5,'Transfer Engine'!$C$2:$C$1369,0)),"",INDEX('Compliance Database'!$E$2:$E$1369,MATCH(5,'Transfer Engine'!$C$2:$C$1369,0)))</f>
        <v/>
      </c>
      <c r="F14" s="8">
        <f>IF(ISNA(MATCH(5,'Transfer Engine'!$C$2:$C$1369,0)),"",INDEX('Compliance Database'!$F$2:$F$1369,MATCH(5,'Transfer Engine'!$C$2:$C$1369,0)))</f>
        <v/>
      </c>
      <c r="G14" s="8">
        <f>IF(ISNA(MATCH(5,'Transfer Engine'!$C$2:$C$1369,0)),"",INDEX('Compliance Database'!$G$2:$G$1369,MATCH(5,'Transfer Engine'!$C$2:$C$1369,0)))</f>
        <v/>
      </c>
      <c r="H14" s="9">
        <f>IF(ISNA(MATCH(5,'Transfer Engine'!$C$2:$C$1369,0)),"",INDEX('Compliance Database'!$H$2:$H$1369,MATCH(5,'Transfer Engine'!$C$2:$C$1369,0)))</f>
        <v/>
      </c>
      <c r="I14" s="9">
        <f>IF(ISNA(MATCH(5,'Transfer Engine'!$C$2:$C$1369,0)),"",INDEX('Compliance Database'!$I$2:$I$1369,MATCH(5,'Transfer Engine'!$C$2:$C$1369,0)))</f>
        <v/>
      </c>
      <c r="J14" s="8">
        <f>IF(ISNA(MATCH(5,'Transfer Engine'!$C$2:$C$1369,0)),"",INDEX('Compliance Database'!$J$2:$J$1369,MATCH(5,'Transfer Engine'!$C$2:$C$1369,0)))</f>
        <v/>
      </c>
      <c r="K14" s="9">
        <f>IF(ISNA(MATCH(5,'Transfer Engine'!$C$2:$C$1369,0)),"",INDEX('Compliance Database'!$K$2:$K$1369,MATCH(5,'Transfer Engine'!$C$2:$C$1369,0)))</f>
        <v/>
      </c>
      <c r="L14" s="9">
        <f>IF(ISNA(MATCH(5,'Transfer Engine'!$C$2:$C$1369,0)),"",INDEX('Compliance Database'!$L$2:$L$1369,MATCH(5,'Transfer Engine'!$C$2:$C$1369,0)))</f>
        <v/>
      </c>
      <c r="M14" s="9">
        <f>IF(ISNA(MATCH(5,'Transfer Engine'!$C$2:$C$1369,0)),"",INDEX('Compliance Database'!$M$2:$M$1369,MATCH(5,'Transfer Engine'!$C$2:$C$1369,0)))</f>
        <v/>
      </c>
      <c r="N14" s="9">
        <f>IF(ISNA(MATCH(5,'Transfer Engine'!$C$2:$C$1369,0)),"",INDEX('Compliance Database'!$N$2:$N$1369,MATCH(5,'Transfer Engine'!$C$2:$C$1369,0)))</f>
        <v/>
      </c>
      <c r="O14" s="8">
        <f>IF(ISNA(MATCH(5,'Transfer Engine'!$C$2:$C$1369,0)),"",HYPERLINK(INDEX('Compliance Database'!$O$2:$O$1369,MATCH(5,'Transfer Engine'!$C$2:$C$1369,0)),"Open PDF"))</f>
        <v/>
      </c>
    </row>
    <row r="15" ht="188" customHeight="1">
      <c r="A15" s="8">
        <f>IF(ISNA(MATCH(6,'Transfer Engine'!$C$2:$C$1369,0)),"",INDEX('Compliance Database'!$A$2:$A$1369,MATCH(6,'Transfer Engine'!$C$2:$C$1369,0)))</f>
        <v/>
      </c>
      <c r="B15" s="8">
        <f>IF(ISNA(MATCH(6,'Transfer Engine'!$C$2:$C$1369,0)),"",INDEX('Compliance Database'!$B$2:$B$1369,MATCH(6,'Transfer Engine'!$C$2:$C$1369,0)))</f>
        <v/>
      </c>
      <c r="C15" s="8">
        <f>IF(ISNA(MATCH(6,'Transfer Engine'!$C$2:$C$1369,0)),"",INDEX('Compliance Database'!$C$2:$C$1369,MATCH(6,'Transfer Engine'!$C$2:$C$1369,0)))</f>
        <v/>
      </c>
      <c r="D15" s="9">
        <f>IF(ISNA(MATCH(6,'Transfer Engine'!$C$2:$C$1369,0)),"",INDEX('Compliance Database'!$D$2:$D$1369,MATCH(6,'Transfer Engine'!$C$2:$C$1369,0)))</f>
        <v/>
      </c>
      <c r="E15" s="8">
        <f>IF(ISNA(MATCH(6,'Transfer Engine'!$C$2:$C$1369,0)),"",INDEX('Compliance Database'!$E$2:$E$1369,MATCH(6,'Transfer Engine'!$C$2:$C$1369,0)))</f>
        <v/>
      </c>
      <c r="F15" s="8">
        <f>IF(ISNA(MATCH(6,'Transfer Engine'!$C$2:$C$1369,0)),"",INDEX('Compliance Database'!$F$2:$F$1369,MATCH(6,'Transfer Engine'!$C$2:$C$1369,0)))</f>
        <v/>
      </c>
      <c r="G15" s="8">
        <f>IF(ISNA(MATCH(6,'Transfer Engine'!$C$2:$C$1369,0)),"",INDEX('Compliance Database'!$G$2:$G$1369,MATCH(6,'Transfer Engine'!$C$2:$C$1369,0)))</f>
        <v/>
      </c>
      <c r="H15" s="9">
        <f>IF(ISNA(MATCH(6,'Transfer Engine'!$C$2:$C$1369,0)),"",INDEX('Compliance Database'!$H$2:$H$1369,MATCH(6,'Transfer Engine'!$C$2:$C$1369,0)))</f>
        <v/>
      </c>
      <c r="I15" s="9">
        <f>IF(ISNA(MATCH(6,'Transfer Engine'!$C$2:$C$1369,0)),"",INDEX('Compliance Database'!$I$2:$I$1369,MATCH(6,'Transfer Engine'!$C$2:$C$1369,0)))</f>
        <v/>
      </c>
      <c r="J15" s="8">
        <f>IF(ISNA(MATCH(6,'Transfer Engine'!$C$2:$C$1369,0)),"",INDEX('Compliance Database'!$J$2:$J$1369,MATCH(6,'Transfer Engine'!$C$2:$C$1369,0)))</f>
        <v/>
      </c>
      <c r="K15" s="9">
        <f>IF(ISNA(MATCH(6,'Transfer Engine'!$C$2:$C$1369,0)),"",INDEX('Compliance Database'!$K$2:$K$1369,MATCH(6,'Transfer Engine'!$C$2:$C$1369,0)))</f>
        <v/>
      </c>
      <c r="L15" s="9">
        <f>IF(ISNA(MATCH(6,'Transfer Engine'!$C$2:$C$1369,0)),"",INDEX('Compliance Database'!$L$2:$L$1369,MATCH(6,'Transfer Engine'!$C$2:$C$1369,0)))</f>
        <v/>
      </c>
      <c r="M15" s="9">
        <f>IF(ISNA(MATCH(6,'Transfer Engine'!$C$2:$C$1369,0)),"",INDEX('Compliance Database'!$M$2:$M$1369,MATCH(6,'Transfer Engine'!$C$2:$C$1369,0)))</f>
        <v/>
      </c>
      <c r="N15" s="9">
        <f>IF(ISNA(MATCH(6,'Transfer Engine'!$C$2:$C$1369,0)),"",INDEX('Compliance Database'!$N$2:$N$1369,MATCH(6,'Transfer Engine'!$C$2:$C$1369,0)))</f>
        <v/>
      </c>
      <c r="O15" s="8">
        <f>IF(ISNA(MATCH(6,'Transfer Engine'!$C$2:$C$1369,0)),"",HYPERLINK(INDEX('Compliance Database'!$O$2:$O$1369,MATCH(6,'Transfer Engine'!$C$2:$C$1369,0)),"Open PDF"))</f>
        <v/>
      </c>
    </row>
    <row r="16" ht="188" customHeight="1">
      <c r="A16" s="8">
        <f>IF(ISNA(MATCH(7,'Transfer Engine'!$C$2:$C$1369,0)),"",INDEX('Compliance Database'!$A$2:$A$1369,MATCH(7,'Transfer Engine'!$C$2:$C$1369,0)))</f>
        <v/>
      </c>
      <c r="B16" s="8">
        <f>IF(ISNA(MATCH(7,'Transfer Engine'!$C$2:$C$1369,0)),"",INDEX('Compliance Database'!$B$2:$B$1369,MATCH(7,'Transfer Engine'!$C$2:$C$1369,0)))</f>
        <v/>
      </c>
      <c r="C16" s="8">
        <f>IF(ISNA(MATCH(7,'Transfer Engine'!$C$2:$C$1369,0)),"",INDEX('Compliance Database'!$C$2:$C$1369,MATCH(7,'Transfer Engine'!$C$2:$C$1369,0)))</f>
        <v/>
      </c>
      <c r="D16" s="9">
        <f>IF(ISNA(MATCH(7,'Transfer Engine'!$C$2:$C$1369,0)),"",INDEX('Compliance Database'!$D$2:$D$1369,MATCH(7,'Transfer Engine'!$C$2:$C$1369,0)))</f>
        <v/>
      </c>
      <c r="E16" s="8">
        <f>IF(ISNA(MATCH(7,'Transfer Engine'!$C$2:$C$1369,0)),"",INDEX('Compliance Database'!$E$2:$E$1369,MATCH(7,'Transfer Engine'!$C$2:$C$1369,0)))</f>
        <v/>
      </c>
      <c r="F16" s="8">
        <f>IF(ISNA(MATCH(7,'Transfer Engine'!$C$2:$C$1369,0)),"",INDEX('Compliance Database'!$F$2:$F$1369,MATCH(7,'Transfer Engine'!$C$2:$C$1369,0)))</f>
        <v/>
      </c>
      <c r="G16" s="8">
        <f>IF(ISNA(MATCH(7,'Transfer Engine'!$C$2:$C$1369,0)),"",INDEX('Compliance Database'!$G$2:$G$1369,MATCH(7,'Transfer Engine'!$C$2:$C$1369,0)))</f>
        <v/>
      </c>
      <c r="H16" s="9">
        <f>IF(ISNA(MATCH(7,'Transfer Engine'!$C$2:$C$1369,0)),"",INDEX('Compliance Database'!$H$2:$H$1369,MATCH(7,'Transfer Engine'!$C$2:$C$1369,0)))</f>
        <v/>
      </c>
      <c r="I16" s="9">
        <f>IF(ISNA(MATCH(7,'Transfer Engine'!$C$2:$C$1369,0)),"",INDEX('Compliance Database'!$I$2:$I$1369,MATCH(7,'Transfer Engine'!$C$2:$C$1369,0)))</f>
        <v/>
      </c>
      <c r="J16" s="8">
        <f>IF(ISNA(MATCH(7,'Transfer Engine'!$C$2:$C$1369,0)),"",INDEX('Compliance Database'!$J$2:$J$1369,MATCH(7,'Transfer Engine'!$C$2:$C$1369,0)))</f>
        <v/>
      </c>
      <c r="K16" s="9">
        <f>IF(ISNA(MATCH(7,'Transfer Engine'!$C$2:$C$1369,0)),"",INDEX('Compliance Database'!$K$2:$K$1369,MATCH(7,'Transfer Engine'!$C$2:$C$1369,0)))</f>
        <v/>
      </c>
      <c r="L16" s="9">
        <f>IF(ISNA(MATCH(7,'Transfer Engine'!$C$2:$C$1369,0)),"",INDEX('Compliance Database'!$L$2:$L$1369,MATCH(7,'Transfer Engine'!$C$2:$C$1369,0)))</f>
        <v/>
      </c>
      <c r="M16" s="9">
        <f>IF(ISNA(MATCH(7,'Transfer Engine'!$C$2:$C$1369,0)),"",INDEX('Compliance Database'!$M$2:$M$1369,MATCH(7,'Transfer Engine'!$C$2:$C$1369,0)))</f>
        <v/>
      </c>
      <c r="N16" s="9">
        <f>IF(ISNA(MATCH(7,'Transfer Engine'!$C$2:$C$1369,0)),"",INDEX('Compliance Database'!$N$2:$N$1369,MATCH(7,'Transfer Engine'!$C$2:$C$1369,0)))</f>
        <v/>
      </c>
      <c r="O16" s="8">
        <f>IF(ISNA(MATCH(7,'Transfer Engine'!$C$2:$C$1369,0)),"",HYPERLINK(INDEX('Compliance Database'!$O$2:$O$1369,MATCH(7,'Transfer Engine'!$C$2:$C$1369,0)),"Open PDF"))</f>
        <v/>
      </c>
    </row>
    <row r="17" ht="188" customHeight="1">
      <c r="A17" s="8">
        <f>IF(ISNA(MATCH(8,'Transfer Engine'!$C$2:$C$1369,0)),"",INDEX('Compliance Database'!$A$2:$A$1369,MATCH(8,'Transfer Engine'!$C$2:$C$1369,0)))</f>
        <v/>
      </c>
      <c r="B17" s="8">
        <f>IF(ISNA(MATCH(8,'Transfer Engine'!$C$2:$C$1369,0)),"",INDEX('Compliance Database'!$B$2:$B$1369,MATCH(8,'Transfer Engine'!$C$2:$C$1369,0)))</f>
        <v/>
      </c>
      <c r="C17" s="8">
        <f>IF(ISNA(MATCH(8,'Transfer Engine'!$C$2:$C$1369,0)),"",INDEX('Compliance Database'!$C$2:$C$1369,MATCH(8,'Transfer Engine'!$C$2:$C$1369,0)))</f>
        <v/>
      </c>
      <c r="D17" s="9">
        <f>IF(ISNA(MATCH(8,'Transfer Engine'!$C$2:$C$1369,0)),"",INDEX('Compliance Database'!$D$2:$D$1369,MATCH(8,'Transfer Engine'!$C$2:$C$1369,0)))</f>
        <v/>
      </c>
      <c r="E17" s="8">
        <f>IF(ISNA(MATCH(8,'Transfer Engine'!$C$2:$C$1369,0)),"",INDEX('Compliance Database'!$E$2:$E$1369,MATCH(8,'Transfer Engine'!$C$2:$C$1369,0)))</f>
        <v/>
      </c>
      <c r="F17" s="8">
        <f>IF(ISNA(MATCH(8,'Transfer Engine'!$C$2:$C$1369,0)),"",INDEX('Compliance Database'!$F$2:$F$1369,MATCH(8,'Transfer Engine'!$C$2:$C$1369,0)))</f>
        <v/>
      </c>
      <c r="G17" s="8">
        <f>IF(ISNA(MATCH(8,'Transfer Engine'!$C$2:$C$1369,0)),"",INDEX('Compliance Database'!$G$2:$G$1369,MATCH(8,'Transfer Engine'!$C$2:$C$1369,0)))</f>
        <v/>
      </c>
      <c r="H17" s="9">
        <f>IF(ISNA(MATCH(8,'Transfer Engine'!$C$2:$C$1369,0)),"",INDEX('Compliance Database'!$H$2:$H$1369,MATCH(8,'Transfer Engine'!$C$2:$C$1369,0)))</f>
        <v/>
      </c>
      <c r="I17" s="9">
        <f>IF(ISNA(MATCH(8,'Transfer Engine'!$C$2:$C$1369,0)),"",INDEX('Compliance Database'!$I$2:$I$1369,MATCH(8,'Transfer Engine'!$C$2:$C$1369,0)))</f>
        <v/>
      </c>
      <c r="J17" s="8">
        <f>IF(ISNA(MATCH(8,'Transfer Engine'!$C$2:$C$1369,0)),"",INDEX('Compliance Database'!$J$2:$J$1369,MATCH(8,'Transfer Engine'!$C$2:$C$1369,0)))</f>
        <v/>
      </c>
      <c r="K17" s="9">
        <f>IF(ISNA(MATCH(8,'Transfer Engine'!$C$2:$C$1369,0)),"",INDEX('Compliance Database'!$K$2:$K$1369,MATCH(8,'Transfer Engine'!$C$2:$C$1369,0)))</f>
        <v/>
      </c>
      <c r="L17" s="9">
        <f>IF(ISNA(MATCH(8,'Transfer Engine'!$C$2:$C$1369,0)),"",INDEX('Compliance Database'!$L$2:$L$1369,MATCH(8,'Transfer Engine'!$C$2:$C$1369,0)))</f>
        <v/>
      </c>
      <c r="M17" s="9">
        <f>IF(ISNA(MATCH(8,'Transfer Engine'!$C$2:$C$1369,0)),"",INDEX('Compliance Database'!$M$2:$M$1369,MATCH(8,'Transfer Engine'!$C$2:$C$1369,0)))</f>
        <v/>
      </c>
      <c r="N17" s="9">
        <f>IF(ISNA(MATCH(8,'Transfer Engine'!$C$2:$C$1369,0)),"",INDEX('Compliance Database'!$N$2:$N$1369,MATCH(8,'Transfer Engine'!$C$2:$C$1369,0)))</f>
        <v/>
      </c>
      <c r="O17" s="8">
        <f>IF(ISNA(MATCH(8,'Transfer Engine'!$C$2:$C$1369,0)),"",HYPERLINK(INDEX('Compliance Database'!$O$2:$O$1369,MATCH(8,'Transfer Engine'!$C$2:$C$1369,0)),"Open PDF"))</f>
        <v/>
      </c>
    </row>
    <row r="18" ht="188" customHeight="1">
      <c r="A18" s="8">
        <f>IF(ISNA(MATCH(9,'Transfer Engine'!$C$2:$C$1369,0)),"",INDEX('Compliance Database'!$A$2:$A$1369,MATCH(9,'Transfer Engine'!$C$2:$C$1369,0)))</f>
        <v/>
      </c>
      <c r="B18" s="8">
        <f>IF(ISNA(MATCH(9,'Transfer Engine'!$C$2:$C$1369,0)),"",INDEX('Compliance Database'!$B$2:$B$1369,MATCH(9,'Transfer Engine'!$C$2:$C$1369,0)))</f>
        <v/>
      </c>
      <c r="C18" s="8">
        <f>IF(ISNA(MATCH(9,'Transfer Engine'!$C$2:$C$1369,0)),"",INDEX('Compliance Database'!$C$2:$C$1369,MATCH(9,'Transfer Engine'!$C$2:$C$1369,0)))</f>
        <v/>
      </c>
      <c r="D18" s="9">
        <f>IF(ISNA(MATCH(9,'Transfer Engine'!$C$2:$C$1369,0)),"",INDEX('Compliance Database'!$D$2:$D$1369,MATCH(9,'Transfer Engine'!$C$2:$C$1369,0)))</f>
        <v/>
      </c>
      <c r="E18" s="8">
        <f>IF(ISNA(MATCH(9,'Transfer Engine'!$C$2:$C$1369,0)),"",INDEX('Compliance Database'!$E$2:$E$1369,MATCH(9,'Transfer Engine'!$C$2:$C$1369,0)))</f>
        <v/>
      </c>
      <c r="F18" s="8">
        <f>IF(ISNA(MATCH(9,'Transfer Engine'!$C$2:$C$1369,0)),"",INDEX('Compliance Database'!$F$2:$F$1369,MATCH(9,'Transfer Engine'!$C$2:$C$1369,0)))</f>
        <v/>
      </c>
      <c r="G18" s="8">
        <f>IF(ISNA(MATCH(9,'Transfer Engine'!$C$2:$C$1369,0)),"",INDEX('Compliance Database'!$G$2:$G$1369,MATCH(9,'Transfer Engine'!$C$2:$C$1369,0)))</f>
        <v/>
      </c>
      <c r="H18" s="9">
        <f>IF(ISNA(MATCH(9,'Transfer Engine'!$C$2:$C$1369,0)),"",INDEX('Compliance Database'!$H$2:$H$1369,MATCH(9,'Transfer Engine'!$C$2:$C$1369,0)))</f>
        <v/>
      </c>
      <c r="I18" s="9">
        <f>IF(ISNA(MATCH(9,'Transfer Engine'!$C$2:$C$1369,0)),"",INDEX('Compliance Database'!$I$2:$I$1369,MATCH(9,'Transfer Engine'!$C$2:$C$1369,0)))</f>
        <v/>
      </c>
      <c r="J18" s="8">
        <f>IF(ISNA(MATCH(9,'Transfer Engine'!$C$2:$C$1369,0)),"",INDEX('Compliance Database'!$J$2:$J$1369,MATCH(9,'Transfer Engine'!$C$2:$C$1369,0)))</f>
        <v/>
      </c>
      <c r="K18" s="9">
        <f>IF(ISNA(MATCH(9,'Transfer Engine'!$C$2:$C$1369,0)),"",INDEX('Compliance Database'!$K$2:$K$1369,MATCH(9,'Transfer Engine'!$C$2:$C$1369,0)))</f>
        <v/>
      </c>
      <c r="L18" s="9">
        <f>IF(ISNA(MATCH(9,'Transfer Engine'!$C$2:$C$1369,0)),"",INDEX('Compliance Database'!$L$2:$L$1369,MATCH(9,'Transfer Engine'!$C$2:$C$1369,0)))</f>
        <v/>
      </c>
      <c r="M18" s="9">
        <f>IF(ISNA(MATCH(9,'Transfer Engine'!$C$2:$C$1369,0)),"",INDEX('Compliance Database'!$M$2:$M$1369,MATCH(9,'Transfer Engine'!$C$2:$C$1369,0)))</f>
        <v/>
      </c>
      <c r="N18" s="9">
        <f>IF(ISNA(MATCH(9,'Transfer Engine'!$C$2:$C$1369,0)),"",INDEX('Compliance Database'!$N$2:$N$1369,MATCH(9,'Transfer Engine'!$C$2:$C$1369,0)))</f>
        <v/>
      </c>
      <c r="O18" s="8">
        <f>IF(ISNA(MATCH(9,'Transfer Engine'!$C$2:$C$1369,0)),"",HYPERLINK(INDEX('Compliance Database'!$O$2:$O$1369,MATCH(9,'Transfer Engine'!$C$2:$C$1369,0)),"Open PDF"))</f>
        <v/>
      </c>
    </row>
    <row r="19" ht="188" customHeight="1">
      <c r="A19" s="8">
        <f>IF(ISNA(MATCH(10,'Transfer Engine'!$C$2:$C$1369,0)),"",INDEX('Compliance Database'!$A$2:$A$1369,MATCH(10,'Transfer Engine'!$C$2:$C$1369,0)))</f>
        <v/>
      </c>
      <c r="B19" s="8">
        <f>IF(ISNA(MATCH(10,'Transfer Engine'!$C$2:$C$1369,0)),"",INDEX('Compliance Database'!$B$2:$B$1369,MATCH(10,'Transfer Engine'!$C$2:$C$1369,0)))</f>
        <v/>
      </c>
      <c r="C19" s="8">
        <f>IF(ISNA(MATCH(10,'Transfer Engine'!$C$2:$C$1369,0)),"",INDEX('Compliance Database'!$C$2:$C$1369,MATCH(10,'Transfer Engine'!$C$2:$C$1369,0)))</f>
        <v/>
      </c>
      <c r="D19" s="9">
        <f>IF(ISNA(MATCH(10,'Transfer Engine'!$C$2:$C$1369,0)),"",INDEX('Compliance Database'!$D$2:$D$1369,MATCH(10,'Transfer Engine'!$C$2:$C$1369,0)))</f>
        <v/>
      </c>
      <c r="E19" s="8">
        <f>IF(ISNA(MATCH(10,'Transfer Engine'!$C$2:$C$1369,0)),"",INDEX('Compliance Database'!$E$2:$E$1369,MATCH(10,'Transfer Engine'!$C$2:$C$1369,0)))</f>
        <v/>
      </c>
      <c r="F19" s="8">
        <f>IF(ISNA(MATCH(10,'Transfer Engine'!$C$2:$C$1369,0)),"",INDEX('Compliance Database'!$F$2:$F$1369,MATCH(10,'Transfer Engine'!$C$2:$C$1369,0)))</f>
        <v/>
      </c>
      <c r="G19" s="8">
        <f>IF(ISNA(MATCH(10,'Transfer Engine'!$C$2:$C$1369,0)),"",INDEX('Compliance Database'!$G$2:$G$1369,MATCH(10,'Transfer Engine'!$C$2:$C$1369,0)))</f>
        <v/>
      </c>
      <c r="H19" s="9">
        <f>IF(ISNA(MATCH(10,'Transfer Engine'!$C$2:$C$1369,0)),"",INDEX('Compliance Database'!$H$2:$H$1369,MATCH(10,'Transfer Engine'!$C$2:$C$1369,0)))</f>
        <v/>
      </c>
      <c r="I19" s="9">
        <f>IF(ISNA(MATCH(10,'Transfer Engine'!$C$2:$C$1369,0)),"",INDEX('Compliance Database'!$I$2:$I$1369,MATCH(10,'Transfer Engine'!$C$2:$C$1369,0)))</f>
        <v/>
      </c>
      <c r="J19" s="8">
        <f>IF(ISNA(MATCH(10,'Transfer Engine'!$C$2:$C$1369,0)),"",INDEX('Compliance Database'!$J$2:$J$1369,MATCH(10,'Transfer Engine'!$C$2:$C$1369,0)))</f>
        <v/>
      </c>
      <c r="K19" s="9">
        <f>IF(ISNA(MATCH(10,'Transfer Engine'!$C$2:$C$1369,0)),"",INDEX('Compliance Database'!$K$2:$K$1369,MATCH(10,'Transfer Engine'!$C$2:$C$1369,0)))</f>
        <v/>
      </c>
      <c r="L19" s="9">
        <f>IF(ISNA(MATCH(10,'Transfer Engine'!$C$2:$C$1369,0)),"",INDEX('Compliance Database'!$L$2:$L$1369,MATCH(10,'Transfer Engine'!$C$2:$C$1369,0)))</f>
        <v/>
      </c>
      <c r="M19" s="9">
        <f>IF(ISNA(MATCH(10,'Transfer Engine'!$C$2:$C$1369,0)),"",INDEX('Compliance Database'!$M$2:$M$1369,MATCH(10,'Transfer Engine'!$C$2:$C$1369,0)))</f>
        <v/>
      </c>
      <c r="N19" s="9">
        <f>IF(ISNA(MATCH(10,'Transfer Engine'!$C$2:$C$1369,0)),"",INDEX('Compliance Database'!$N$2:$N$1369,MATCH(10,'Transfer Engine'!$C$2:$C$1369,0)))</f>
        <v/>
      </c>
      <c r="O19" s="8">
        <f>IF(ISNA(MATCH(10,'Transfer Engine'!$C$2:$C$1369,0)),"",HYPERLINK(INDEX('Compliance Database'!$O$2:$O$1369,MATCH(10,'Transfer Engine'!$C$2:$C$1369,0)),"Open PDF"))</f>
        <v/>
      </c>
    </row>
    <row r="20" ht="188" customHeight="1">
      <c r="A20" s="8">
        <f>IF(ISNA(MATCH(11,'Transfer Engine'!$C$2:$C$1369,0)),"",INDEX('Compliance Database'!$A$2:$A$1369,MATCH(11,'Transfer Engine'!$C$2:$C$1369,0)))</f>
        <v/>
      </c>
      <c r="B20" s="8">
        <f>IF(ISNA(MATCH(11,'Transfer Engine'!$C$2:$C$1369,0)),"",INDEX('Compliance Database'!$B$2:$B$1369,MATCH(11,'Transfer Engine'!$C$2:$C$1369,0)))</f>
        <v/>
      </c>
      <c r="C20" s="8">
        <f>IF(ISNA(MATCH(11,'Transfer Engine'!$C$2:$C$1369,0)),"",INDEX('Compliance Database'!$C$2:$C$1369,MATCH(11,'Transfer Engine'!$C$2:$C$1369,0)))</f>
        <v/>
      </c>
      <c r="D20" s="9">
        <f>IF(ISNA(MATCH(11,'Transfer Engine'!$C$2:$C$1369,0)),"",INDEX('Compliance Database'!$D$2:$D$1369,MATCH(11,'Transfer Engine'!$C$2:$C$1369,0)))</f>
        <v/>
      </c>
      <c r="E20" s="8">
        <f>IF(ISNA(MATCH(11,'Transfer Engine'!$C$2:$C$1369,0)),"",INDEX('Compliance Database'!$E$2:$E$1369,MATCH(11,'Transfer Engine'!$C$2:$C$1369,0)))</f>
        <v/>
      </c>
      <c r="F20" s="8">
        <f>IF(ISNA(MATCH(11,'Transfer Engine'!$C$2:$C$1369,0)),"",INDEX('Compliance Database'!$F$2:$F$1369,MATCH(11,'Transfer Engine'!$C$2:$C$1369,0)))</f>
        <v/>
      </c>
      <c r="G20" s="8">
        <f>IF(ISNA(MATCH(11,'Transfer Engine'!$C$2:$C$1369,0)),"",INDEX('Compliance Database'!$G$2:$G$1369,MATCH(11,'Transfer Engine'!$C$2:$C$1369,0)))</f>
        <v/>
      </c>
      <c r="H20" s="9">
        <f>IF(ISNA(MATCH(11,'Transfer Engine'!$C$2:$C$1369,0)),"",INDEX('Compliance Database'!$H$2:$H$1369,MATCH(11,'Transfer Engine'!$C$2:$C$1369,0)))</f>
        <v/>
      </c>
      <c r="I20" s="9">
        <f>IF(ISNA(MATCH(11,'Transfer Engine'!$C$2:$C$1369,0)),"",INDEX('Compliance Database'!$I$2:$I$1369,MATCH(11,'Transfer Engine'!$C$2:$C$1369,0)))</f>
        <v/>
      </c>
      <c r="J20" s="8">
        <f>IF(ISNA(MATCH(11,'Transfer Engine'!$C$2:$C$1369,0)),"",INDEX('Compliance Database'!$J$2:$J$1369,MATCH(11,'Transfer Engine'!$C$2:$C$1369,0)))</f>
        <v/>
      </c>
      <c r="K20" s="9">
        <f>IF(ISNA(MATCH(11,'Transfer Engine'!$C$2:$C$1369,0)),"",INDEX('Compliance Database'!$K$2:$K$1369,MATCH(11,'Transfer Engine'!$C$2:$C$1369,0)))</f>
        <v/>
      </c>
      <c r="L20" s="9">
        <f>IF(ISNA(MATCH(11,'Transfer Engine'!$C$2:$C$1369,0)),"",INDEX('Compliance Database'!$L$2:$L$1369,MATCH(11,'Transfer Engine'!$C$2:$C$1369,0)))</f>
        <v/>
      </c>
      <c r="M20" s="9">
        <f>IF(ISNA(MATCH(11,'Transfer Engine'!$C$2:$C$1369,0)),"",INDEX('Compliance Database'!$M$2:$M$1369,MATCH(11,'Transfer Engine'!$C$2:$C$1369,0)))</f>
        <v/>
      </c>
      <c r="N20" s="9">
        <f>IF(ISNA(MATCH(11,'Transfer Engine'!$C$2:$C$1369,0)),"",INDEX('Compliance Database'!$N$2:$N$1369,MATCH(11,'Transfer Engine'!$C$2:$C$1369,0)))</f>
        <v/>
      </c>
      <c r="O20" s="8">
        <f>IF(ISNA(MATCH(11,'Transfer Engine'!$C$2:$C$1369,0)),"",HYPERLINK(INDEX('Compliance Database'!$O$2:$O$1369,MATCH(11,'Transfer Engine'!$C$2:$C$1369,0)),"Open PDF"))</f>
        <v/>
      </c>
    </row>
    <row r="21" ht="188" customHeight="1">
      <c r="A21" s="8">
        <f>IF(ISNA(MATCH(12,'Transfer Engine'!$C$2:$C$1369,0)),"",INDEX('Compliance Database'!$A$2:$A$1369,MATCH(12,'Transfer Engine'!$C$2:$C$1369,0)))</f>
        <v/>
      </c>
      <c r="B21" s="8">
        <f>IF(ISNA(MATCH(12,'Transfer Engine'!$C$2:$C$1369,0)),"",INDEX('Compliance Database'!$B$2:$B$1369,MATCH(12,'Transfer Engine'!$C$2:$C$1369,0)))</f>
        <v/>
      </c>
      <c r="C21" s="8">
        <f>IF(ISNA(MATCH(12,'Transfer Engine'!$C$2:$C$1369,0)),"",INDEX('Compliance Database'!$C$2:$C$1369,MATCH(12,'Transfer Engine'!$C$2:$C$1369,0)))</f>
        <v/>
      </c>
      <c r="D21" s="9">
        <f>IF(ISNA(MATCH(12,'Transfer Engine'!$C$2:$C$1369,0)),"",INDEX('Compliance Database'!$D$2:$D$1369,MATCH(12,'Transfer Engine'!$C$2:$C$1369,0)))</f>
        <v/>
      </c>
      <c r="E21" s="8">
        <f>IF(ISNA(MATCH(12,'Transfer Engine'!$C$2:$C$1369,0)),"",INDEX('Compliance Database'!$E$2:$E$1369,MATCH(12,'Transfer Engine'!$C$2:$C$1369,0)))</f>
        <v/>
      </c>
      <c r="F21" s="8">
        <f>IF(ISNA(MATCH(12,'Transfer Engine'!$C$2:$C$1369,0)),"",INDEX('Compliance Database'!$F$2:$F$1369,MATCH(12,'Transfer Engine'!$C$2:$C$1369,0)))</f>
        <v/>
      </c>
      <c r="G21" s="8">
        <f>IF(ISNA(MATCH(12,'Transfer Engine'!$C$2:$C$1369,0)),"",INDEX('Compliance Database'!$G$2:$G$1369,MATCH(12,'Transfer Engine'!$C$2:$C$1369,0)))</f>
        <v/>
      </c>
      <c r="H21" s="9">
        <f>IF(ISNA(MATCH(12,'Transfer Engine'!$C$2:$C$1369,0)),"",INDEX('Compliance Database'!$H$2:$H$1369,MATCH(12,'Transfer Engine'!$C$2:$C$1369,0)))</f>
        <v/>
      </c>
      <c r="I21" s="9">
        <f>IF(ISNA(MATCH(12,'Transfer Engine'!$C$2:$C$1369,0)),"",INDEX('Compliance Database'!$I$2:$I$1369,MATCH(12,'Transfer Engine'!$C$2:$C$1369,0)))</f>
        <v/>
      </c>
      <c r="J21" s="8">
        <f>IF(ISNA(MATCH(12,'Transfer Engine'!$C$2:$C$1369,0)),"",INDEX('Compliance Database'!$J$2:$J$1369,MATCH(12,'Transfer Engine'!$C$2:$C$1369,0)))</f>
        <v/>
      </c>
      <c r="K21" s="9">
        <f>IF(ISNA(MATCH(12,'Transfer Engine'!$C$2:$C$1369,0)),"",INDEX('Compliance Database'!$K$2:$K$1369,MATCH(12,'Transfer Engine'!$C$2:$C$1369,0)))</f>
        <v/>
      </c>
      <c r="L21" s="9">
        <f>IF(ISNA(MATCH(12,'Transfer Engine'!$C$2:$C$1369,0)),"",INDEX('Compliance Database'!$L$2:$L$1369,MATCH(12,'Transfer Engine'!$C$2:$C$1369,0)))</f>
        <v/>
      </c>
      <c r="M21" s="9">
        <f>IF(ISNA(MATCH(12,'Transfer Engine'!$C$2:$C$1369,0)),"",INDEX('Compliance Database'!$M$2:$M$1369,MATCH(12,'Transfer Engine'!$C$2:$C$1369,0)))</f>
        <v/>
      </c>
      <c r="N21" s="9">
        <f>IF(ISNA(MATCH(12,'Transfer Engine'!$C$2:$C$1369,0)),"",INDEX('Compliance Database'!$N$2:$N$1369,MATCH(12,'Transfer Engine'!$C$2:$C$1369,0)))</f>
        <v/>
      </c>
      <c r="O21" s="8">
        <f>IF(ISNA(MATCH(12,'Transfer Engine'!$C$2:$C$1369,0)),"",HYPERLINK(INDEX('Compliance Database'!$O$2:$O$1369,MATCH(12,'Transfer Engine'!$C$2:$C$1369,0)),"Open PDF"))</f>
        <v/>
      </c>
    </row>
    <row r="22" ht="188" customHeight="1">
      <c r="A22" s="8">
        <f>IF(ISNA(MATCH(13,'Transfer Engine'!$C$2:$C$1369,0)),"",INDEX('Compliance Database'!$A$2:$A$1369,MATCH(13,'Transfer Engine'!$C$2:$C$1369,0)))</f>
        <v/>
      </c>
      <c r="B22" s="8">
        <f>IF(ISNA(MATCH(13,'Transfer Engine'!$C$2:$C$1369,0)),"",INDEX('Compliance Database'!$B$2:$B$1369,MATCH(13,'Transfer Engine'!$C$2:$C$1369,0)))</f>
        <v/>
      </c>
      <c r="C22" s="8">
        <f>IF(ISNA(MATCH(13,'Transfer Engine'!$C$2:$C$1369,0)),"",INDEX('Compliance Database'!$C$2:$C$1369,MATCH(13,'Transfer Engine'!$C$2:$C$1369,0)))</f>
        <v/>
      </c>
      <c r="D22" s="9">
        <f>IF(ISNA(MATCH(13,'Transfer Engine'!$C$2:$C$1369,0)),"",INDEX('Compliance Database'!$D$2:$D$1369,MATCH(13,'Transfer Engine'!$C$2:$C$1369,0)))</f>
        <v/>
      </c>
      <c r="E22" s="8">
        <f>IF(ISNA(MATCH(13,'Transfer Engine'!$C$2:$C$1369,0)),"",INDEX('Compliance Database'!$E$2:$E$1369,MATCH(13,'Transfer Engine'!$C$2:$C$1369,0)))</f>
        <v/>
      </c>
      <c r="F22" s="8">
        <f>IF(ISNA(MATCH(13,'Transfer Engine'!$C$2:$C$1369,0)),"",INDEX('Compliance Database'!$F$2:$F$1369,MATCH(13,'Transfer Engine'!$C$2:$C$1369,0)))</f>
        <v/>
      </c>
      <c r="G22" s="8">
        <f>IF(ISNA(MATCH(13,'Transfer Engine'!$C$2:$C$1369,0)),"",INDEX('Compliance Database'!$G$2:$G$1369,MATCH(13,'Transfer Engine'!$C$2:$C$1369,0)))</f>
        <v/>
      </c>
      <c r="H22" s="9">
        <f>IF(ISNA(MATCH(13,'Transfer Engine'!$C$2:$C$1369,0)),"",INDEX('Compliance Database'!$H$2:$H$1369,MATCH(13,'Transfer Engine'!$C$2:$C$1369,0)))</f>
        <v/>
      </c>
      <c r="I22" s="9">
        <f>IF(ISNA(MATCH(13,'Transfer Engine'!$C$2:$C$1369,0)),"",INDEX('Compliance Database'!$I$2:$I$1369,MATCH(13,'Transfer Engine'!$C$2:$C$1369,0)))</f>
        <v/>
      </c>
      <c r="J22" s="8">
        <f>IF(ISNA(MATCH(13,'Transfer Engine'!$C$2:$C$1369,0)),"",INDEX('Compliance Database'!$J$2:$J$1369,MATCH(13,'Transfer Engine'!$C$2:$C$1369,0)))</f>
        <v/>
      </c>
      <c r="K22" s="9">
        <f>IF(ISNA(MATCH(13,'Transfer Engine'!$C$2:$C$1369,0)),"",INDEX('Compliance Database'!$K$2:$K$1369,MATCH(13,'Transfer Engine'!$C$2:$C$1369,0)))</f>
        <v/>
      </c>
      <c r="L22" s="9">
        <f>IF(ISNA(MATCH(13,'Transfer Engine'!$C$2:$C$1369,0)),"",INDEX('Compliance Database'!$L$2:$L$1369,MATCH(13,'Transfer Engine'!$C$2:$C$1369,0)))</f>
        <v/>
      </c>
      <c r="M22" s="9">
        <f>IF(ISNA(MATCH(13,'Transfer Engine'!$C$2:$C$1369,0)),"",INDEX('Compliance Database'!$M$2:$M$1369,MATCH(13,'Transfer Engine'!$C$2:$C$1369,0)))</f>
        <v/>
      </c>
      <c r="N22" s="9">
        <f>IF(ISNA(MATCH(13,'Transfer Engine'!$C$2:$C$1369,0)),"",INDEX('Compliance Database'!$N$2:$N$1369,MATCH(13,'Transfer Engine'!$C$2:$C$1369,0)))</f>
        <v/>
      </c>
      <c r="O22" s="8">
        <f>IF(ISNA(MATCH(13,'Transfer Engine'!$C$2:$C$1369,0)),"",HYPERLINK(INDEX('Compliance Database'!$O$2:$O$1369,MATCH(13,'Transfer Engine'!$C$2:$C$1369,0)),"Open PDF"))</f>
        <v/>
      </c>
    </row>
    <row r="23" ht="188" customHeight="1">
      <c r="A23" s="8">
        <f>IF(ISNA(MATCH(14,'Transfer Engine'!$C$2:$C$1369,0)),"",INDEX('Compliance Database'!$A$2:$A$1369,MATCH(14,'Transfer Engine'!$C$2:$C$1369,0)))</f>
        <v/>
      </c>
      <c r="B23" s="8">
        <f>IF(ISNA(MATCH(14,'Transfer Engine'!$C$2:$C$1369,0)),"",INDEX('Compliance Database'!$B$2:$B$1369,MATCH(14,'Transfer Engine'!$C$2:$C$1369,0)))</f>
        <v/>
      </c>
      <c r="C23" s="8">
        <f>IF(ISNA(MATCH(14,'Transfer Engine'!$C$2:$C$1369,0)),"",INDEX('Compliance Database'!$C$2:$C$1369,MATCH(14,'Transfer Engine'!$C$2:$C$1369,0)))</f>
        <v/>
      </c>
      <c r="D23" s="9">
        <f>IF(ISNA(MATCH(14,'Transfer Engine'!$C$2:$C$1369,0)),"",INDEX('Compliance Database'!$D$2:$D$1369,MATCH(14,'Transfer Engine'!$C$2:$C$1369,0)))</f>
        <v/>
      </c>
      <c r="E23" s="8">
        <f>IF(ISNA(MATCH(14,'Transfer Engine'!$C$2:$C$1369,0)),"",INDEX('Compliance Database'!$E$2:$E$1369,MATCH(14,'Transfer Engine'!$C$2:$C$1369,0)))</f>
        <v/>
      </c>
      <c r="F23" s="8">
        <f>IF(ISNA(MATCH(14,'Transfer Engine'!$C$2:$C$1369,0)),"",INDEX('Compliance Database'!$F$2:$F$1369,MATCH(14,'Transfer Engine'!$C$2:$C$1369,0)))</f>
        <v/>
      </c>
      <c r="G23" s="8">
        <f>IF(ISNA(MATCH(14,'Transfer Engine'!$C$2:$C$1369,0)),"",INDEX('Compliance Database'!$G$2:$G$1369,MATCH(14,'Transfer Engine'!$C$2:$C$1369,0)))</f>
        <v/>
      </c>
      <c r="H23" s="9">
        <f>IF(ISNA(MATCH(14,'Transfer Engine'!$C$2:$C$1369,0)),"",INDEX('Compliance Database'!$H$2:$H$1369,MATCH(14,'Transfer Engine'!$C$2:$C$1369,0)))</f>
        <v/>
      </c>
      <c r="I23" s="9">
        <f>IF(ISNA(MATCH(14,'Transfer Engine'!$C$2:$C$1369,0)),"",INDEX('Compliance Database'!$I$2:$I$1369,MATCH(14,'Transfer Engine'!$C$2:$C$1369,0)))</f>
        <v/>
      </c>
      <c r="J23" s="8">
        <f>IF(ISNA(MATCH(14,'Transfer Engine'!$C$2:$C$1369,0)),"",INDEX('Compliance Database'!$J$2:$J$1369,MATCH(14,'Transfer Engine'!$C$2:$C$1369,0)))</f>
        <v/>
      </c>
      <c r="K23" s="9">
        <f>IF(ISNA(MATCH(14,'Transfer Engine'!$C$2:$C$1369,0)),"",INDEX('Compliance Database'!$K$2:$K$1369,MATCH(14,'Transfer Engine'!$C$2:$C$1369,0)))</f>
        <v/>
      </c>
      <c r="L23" s="9">
        <f>IF(ISNA(MATCH(14,'Transfer Engine'!$C$2:$C$1369,0)),"",INDEX('Compliance Database'!$L$2:$L$1369,MATCH(14,'Transfer Engine'!$C$2:$C$1369,0)))</f>
        <v/>
      </c>
      <c r="M23" s="9">
        <f>IF(ISNA(MATCH(14,'Transfer Engine'!$C$2:$C$1369,0)),"",INDEX('Compliance Database'!$M$2:$M$1369,MATCH(14,'Transfer Engine'!$C$2:$C$1369,0)))</f>
        <v/>
      </c>
      <c r="N23" s="9">
        <f>IF(ISNA(MATCH(14,'Transfer Engine'!$C$2:$C$1369,0)),"",INDEX('Compliance Database'!$N$2:$N$1369,MATCH(14,'Transfer Engine'!$C$2:$C$1369,0)))</f>
        <v/>
      </c>
      <c r="O23" s="8">
        <f>IF(ISNA(MATCH(14,'Transfer Engine'!$C$2:$C$1369,0)),"",HYPERLINK(INDEX('Compliance Database'!$O$2:$O$1369,MATCH(14,'Transfer Engine'!$C$2:$C$1369,0)),"Open PDF"))</f>
        <v/>
      </c>
    </row>
    <row r="24" ht="188" customHeight="1">
      <c r="A24" s="8">
        <f>IF(ISNA(MATCH(15,'Transfer Engine'!$C$2:$C$1369,0)),"",INDEX('Compliance Database'!$A$2:$A$1369,MATCH(15,'Transfer Engine'!$C$2:$C$1369,0)))</f>
        <v/>
      </c>
      <c r="B24" s="8">
        <f>IF(ISNA(MATCH(15,'Transfer Engine'!$C$2:$C$1369,0)),"",INDEX('Compliance Database'!$B$2:$B$1369,MATCH(15,'Transfer Engine'!$C$2:$C$1369,0)))</f>
        <v/>
      </c>
      <c r="C24" s="8">
        <f>IF(ISNA(MATCH(15,'Transfer Engine'!$C$2:$C$1369,0)),"",INDEX('Compliance Database'!$C$2:$C$1369,MATCH(15,'Transfer Engine'!$C$2:$C$1369,0)))</f>
        <v/>
      </c>
      <c r="D24" s="9">
        <f>IF(ISNA(MATCH(15,'Transfer Engine'!$C$2:$C$1369,0)),"",INDEX('Compliance Database'!$D$2:$D$1369,MATCH(15,'Transfer Engine'!$C$2:$C$1369,0)))</f>
        <v/>
      </c>
      <c r="E24" s="8">
        <f>IF(ISNA(MATCH(15,'Transfer Engine'!$C$2:$C$1369,0)),"",INDEX('Compliance Database'!$E$2:$E$1369,MATCH(15,'Transfer Engine'!$C$2:$C$1369,0)))</f>
        <v/>
      </c>
      <c r="F24" s="8">
        <f>IF(ISNA(MATCH(15,'Transfer Engine'!$C$2:$C$1369,0)),"",INDEX('Compliance Database'!$F$2:$F$1369,MATCH(15,'Transfer Engine'!$C$2:$C$1369,0)))</f>
        <v/>
      </c>
      <c r="G24" s="8">
        <f>IF(ISNA(MATCH(15,'Transfer Engine'!$C$2:$C$1369,0)),"",INDEX('Compliance Database'!$G$2:$G$1369,MATCH(15,'Transfer Engine'!$C$2:$C$1369,0)))</f>
        <v/>
      </c>
      <c r="H24" s="9">
        <f>IF(ISNA(MATCH(15,'Transfer Engine'!$C$2:$C$1369,0)),"",INDEX('Compliance Database'!$H$2:$H$1369,MATCH(15,'Transfer Engine'!$C$2:$C$1369,0)))</f>
        <v/>
      </c>
      <c r="I24" s="9">
        <f>IF(ISNA(MATCH(15,'Transfer Engine'!$C$2:$C$1369,0)),"",INDEX('Compliance Database'!$I$2:$I$1369,MATCH(15,'Transfer Engine'!$C$2:$C$1369,0)))</f>
        <v/>
      </c>
      <c r="J24" s="8">
        <f>IF(ISNA(MATCH(15,'Transfer Engine'!$C$2:$C$1369,0)),"",INDEX('Compliance Database'!$J$2:$J$1369,MATCH(15,'Transfer Engine'!$C$2:$C$1369,0)))</f>
        <v/>
      </c>
      <c r="K24" s="9">
        <f>IF(ISNA(MATCH(15,'Transfer Engine'!$C$2:$C$1369,0)),"",INDEX('Compliance Database'!$K$2:$K$1369,MATCH(15,'Transfer Engine'!$C$2:$C$1369,0)))</f>
        <v/>
      </c>
      <c r="L24" s="9">
        <f>IF(ISNA(MATCH(15,'Transfer Engine'!$C$2:$C$1369,0)),"",INDEX('Compliance Database'!$L$2:$L$1369,MATCH(15,'Transfer Engine'!$C$2:$C$1369,0)))</f>
        <v/>
      </c>
      <c r="M24" s="9">
        <f>IF(ISNA(MATCH(15,'Transfer Engine'!$C$2:$C$1369,0)),"",INDEX('Compliance Database'!$M$2:$M$1369,MATCH(15,'Transfer Engine'!$C$2:$C$1369,0)))</f>
        <v/>
      </c>
      <c r="N24" s="9">
        <f>IF(ISNA(MATCH(15,'Transfer Engine'!$C$2:$C$1369,0)),"",INDEX('Compliance Database'!$N$2:$N$1369,MATCH(15,'Transfer Engine'!$C$2:$C$1369,0)))</f>
        <v/>
      </c>
      <c r="O24" s="8">
        <f>IF(ISNA(MATCH(15,'Transfer Engine'!$C$2:$C$1369,0)),"",HYPERLINK(INDEX('Compliance Database'!$O$2:$O$1369,MATCH(15,'Transfer Engine'!$C$2:$C$1369,0)),"Open PDF"))</f>
        <v/>
      </c>
    </row>
    <row r="25" ht="188" customHeight="1">
      <c r="A25" s="8">
        <f>IF(ISNA(MATCH(16,'Transfer Engine'!$C$2:$C$1369,0)),"",INDEX('Compliance Database'!$A$2:$A$1369,MATCH(16,'Transfer Engine'!$C$2:$C$1369,0)))</f>
        <v/>
      </c>
      <c r="B25" s="8">
        <f>IF(ISNA(MATCH(16,'Transfer Engine'!$C$2:$C$1369,0)),"",INDEX('Compliance Database'!$B$2:$B$1369,MATCH(16,'Transfer Engine'!$C$2:$C$1369,0)))</f>
        <v/>
      </c>
      <c r="C25" s="8">
        <f>IF(ISNA(MATCH(16,'Transfer Engine'!$C$2:$C$1369,0)),"",INDEX('Compliance Database'!$C$2:$C$1369,MATCH(16,'Transfer Engine'!$C$2:$C$1369,0)))</f>
        <v/>
      </c>
      <c r="D25" s="9">
        <f>IF(ISNA(MATCH(16,'Transfer Engine'!$C$2:$C$1369,0)),"",INDEX('Compliance Database'!$D$2:$D$1369,MATCH(16,'Transfer Engine'!$C$2:$C$1369,0)))</f>
        <v/>
      </c>
      <c r="E25" s="8">
        <f>IF(ISNA(MATCH(16,'Transfer Engine'!$C$2:$C$1369,0)),"",INDEX('Compliance Database'!$E$2:$E$1369,MATCH(16,'Transfer Engine'!$C$2:$C$1369,0)))</f>
        <v/>
      </c>
      <c r="F25" s="8">
        <f>IF(ISNA(MATCH(16,'Transfer Engine'!$C$2:$C$1369,0)),"",INDEX('Compliance Database'!$F$2:$F$1369,MATCH(16,'Transfer Engine'!$C$2:$C$1369,0)))</f>
        <v/>
      </c>
      <c r="G25" s="8">
        <f>IF(ISNA(MATCH(16,'Transfer Engine'!$C$2:$C$1369,0)),"",INDEX('Compliance Database'!$G$2:$G$1369,MATCH(16,'Transfer Engine'!$C$2:$C$1369,0)))</f>
        <v/>
      </c>
      <c r="H25" s="9">
        <f>IF(ISNA(MATCH(16,'Transfer Engine'!$C$2:$C$1369,0)),"",INDEX('Compliance Database'!$H$2:$H$1369,MATCH(16,'Transfer Engine'!$C$2:$C$1369,0)))</f>
        <v/>
      </c>
      <c r="I25" s="9">
        <f>IF(ISNA(MATCH(16,'Transfer Engine'!$C$2:$C$1369,0)),"",INDEX('Compliance Database'!$I$2:$I$1369,MATCH(16,'Transfer Engine'!$C$2:$C$1369,0)))</f>
        <v/>
      </c>
      <c r="J25" s="8">
        <f>IF(ISNA(MATCH(16,'Transfer Engine'!$C$2:$C$1369,0)),"",INDEX('Compliance Database'!$J$2:$J$1369,MATCH(16,'Transfer Engine'!$C$2:$C$1369,0)))</f>
        <v/>
      </c>
      <c r="K25" s="9">
        <f>IF(ISNA(MATCH(16,'Transfer Engine'!$C$2:$C$1369,0)),"",INDEX('Compliance Database'!$K$2:$K$1369,MATCH(16,'Transfer Engine'!$C$2:$C$1369,0)))</f>
        <v/>
      </c>
      <c r="L25" s="9">
        <f>IF(ISNA(MATCH(16,'Transfer Engine'!$C$2:$C$1369,0)),"",INDEX('Compliance Database'!$L$2:$L$1369,MATCH(16,'Transfer Engine'!$C$2:$C$1369,0)))</f>
        <v/>
      </c>
      <c r="M25" s="9">
        <f>IF(ISNA(MATCH(16,'Transfer Engine'!$C$2:$C$1369,0)),"",INDEX('Compliance Database'!$M$2:$M$1369,MATCH(16,'Transfer Engine'!$C$2:$C$1369,0)))</f>
        <v/>
      </c>
      <c r="N25" s="9">
        <f>IF(ISNA(MATCH(16,'Transfer Engine'!$C$2:$C$1369,0)),"",INDEX('Compliance Database'!$N$2:$N$1369,MATCH(16,'Transfer Engine'!$C$2:$C$1369,0)))</f>
        <v/>
      </c>
      <c r="O25" s="8">
        <f>IF(ISNA(MATCH(16,'Transfer Engine'!$C$2:$C$1369,0)),"",HYPERLINK(INDEX('Compliance Database'!$O$2:$O$1369,MATCH(16,'Transfer Engine'!$C$2:$C$1369,0)),"Open PDF"))</f>
        <v/>
      </c>
    </row>
    <row r="26" ht="188" customHeight="1">
      <c r="A26" s="8">
        <f>IF(ISNA(MATCH(17,'Transfer Engine'!$C$2:$C$1369,0)),"",INDEX('Compliance Database'!$A$2:$A$1369,MATCH(17,'Transfer Engine'!$C$2:$C$1369,0)))</f>
        <v/>
      </c>
      <c r="B26" s="8">
        <f>IF(ISNA(MATCH(17,'Transfer Engine'!$C$2:$C$1369,0)),"",INDEX('Compliance Database'!$B$2:$B$1369,MATCH(17,'Transfer Engine'!$C$2:$C$1369,0)))</f>
        <v/>
      </c>
      <c r="C26" s="8">
        <f>IF(ISNA(MATCH(17,'Transfer Engine'!$C$2:$C$1369,0)),"",INDEX('Compliance Database'!$C$2:$C$1369,MATCH(17,'Transfer Engine'!$C$2:$C$1369,0)))</f>
        <v/>
      </c>
      <c r="D26" s="9">
        <f>IF(ISNA(MATCH(17,'Transfer Engine'!$C$2:$C$1369,0)),"",INDEX('Compliance Database'!$D$2:$D$1369,MATCH(17,'Transfer Engine'!$C$2:$C$1369,0)))</f>
        <v/>
      </c>
      <c r="E26" s="8">
        <f>IF(ISNA(MATCH(17,'Transfer Engine'!$C$2:$C$1369,0)),"",INDEX('Compliance Database'!$E$2:$E$1369,MATCH(17,'Transfer Engine'!$C$2:$C$1369,0)))</f>
        <v/>
      </c>
      <c r="F26" s="8">
        <f>IF(ISNA(MATCH(17,'Transfer Engine'!$C$2:$C$1369,0)),"",INDEX('Compliance Database'!$F$2:$F$1369,MATCH(17,'Transfer Engine'!$C$2:$C$1369,0)))</f>
        <v/>
      </c>
      <c r="G26" s="8">
        <f>IF(ISNA(MATCH(17,'Transfer Engine'!$C$2:$C$1369,0)),"",INDEX('Compliance Database'!$G$2:$G$1369,MATCH(17,'Transfer Engine'!$C$2:$C$1369,0)))</f>
        <v/>
      </c>
      <c r="H26" s="9">
        <f>IF(ISNA(MATCH(17,'Transfer Engine'!$C$2:$C$1369,0)),"",INDEX('Compliance Database'!$H$2:$H$1369,MATCH(17,'Transfer Engine'!$C$2:$C$1369,0)))</f>
        <v/>
      </c>
      <c r="I26" s="9">
        <f>IF(ISNA(MATCH(17,'Transfer Engine'!$C$2:$C$1369,0)),"",INDEX('Compliance Database'!$I$2:$I$1369,MATCH(17,'Transfer Engine'!$C$2:$C$1369,0)))</f>
        <v/>
      </c>
      <c r="J26" s="8">
        <f>IF(ISNA(MATCH(17,'Transfer Engine'!$C$2:$C$1369,0)),"",INDEX('Compliance Database'!$J$2:$J$1369,MATCH(17,'Transfer Engine'!$C$2:$C$1369,0)))</f>
        <v/>
      </c>
      <c r="K26" s="9">
        <f>IF(ISNA(MATCH(17,'Transfer Engine'!$C$2:$C$1369,0)),"",INDEX('Compliance Database'!$K$2:$K$1369,MATCH(17,'Transfer Engine'!$C$2:$C$1369,0)))</f>
        <v/>
      </c>
      <c r="L26" s="9">
        <f>IF(ISNA(MATCH(17,'Transfer Engine'!$C$2:$C$1369,0)),"",INDEX('Compliance Database'!$L$2:$L$1369,MATCH(17,'Transfer Engine'!$C$2:$C$1369,0)))</f>
        <v/>
      </c>
      <c r="M26" s="9">
        <f>IF(ISNA(MATCH(17,'Transfer Engine'!$C$2:$C$1369,0)),"",INDEX('Compliance Database'!$M$2:$M$1369,MATCH(17,'Transfer Engine'!$C$2:$C$1369,0)))</f>
        <v/>
      </c>
      <c r="N26" s="9">
        <f>IF(ISNA(MATCH(17,'Transfer Engine'!$C$2:$C$1369,0)),"",INDEX('Compliance Database'!$N$2:$N$1369,MATCH(17,'Transfer Engine'!$C$2:$C$1369,0)))</f>
        <v/>
      </c>
      <c r="O26" s="8">
        <f>IF(ISNA(MATCH(17,'Transfer Engine'!$C$2:$C$1369,0)),"",HYPERLINK(INDEX('Compliance Database'!$O$2:$O$1369,MATCH(17,'Transfer Engine'!$C$2:$C$1369,0)),"Open PDF"))</f>
        <v/>
      </c>
    </row>
    <row r="27" ht="188" customHeight="1">
      <c r="A27" s="8">
        <f>IF(ISNA(MATCH(18,'Transfer Engine'!$C$2:$C$1369,0)),"",INDEX('Compliance Database'!$A$2:$A$1369,MATCH(18,'Transfer Engine'!$C$2:$C$1369,0)))</f>
        <v/>
      </c>
      <c r="B27" s="8">
        <f>IF(ISNA(MATCH(18,'Transfer Engine'!$C$2:$C$1369,0)),"",INDEX('Compliance Database'!$B$2:$B$1369,MATCH(18,'Transfer Engine'!$C$2:$C$1369,0)))</f>
        <v/>
      </c>
      <c r="C27" s="8">
        <f>IF(ISNA(MATCH(18,'Transfer Engine'!$C$2:$C$1369,0)),"",INDEX('Compliance Database'!$C$2:$C$1369,MATCH(18,'Transfer Engine'!$C$2:$C$1369,0)))</f>
        <v/>
      </c>
      <c r="D27" s="9">
        <f>IF(ISNA(MATCH(18,'Transfer Engine'!$C$2:$C$1369,0)),"",INDEX('Compliance Database'!$D$2:$D$1369,MATCH(18,'Transfer Engine'!$C$2:$C$1369,0)))</f>
        <v/>
      </c>
      <c r="E27" s="8">
        <f>IF(ISNA(MATCH(18,'Transfer Engine'!$C$2:$C$1369,0)),"",INDEX('Compliance Database'!$E$2:$E$1369,MATCH(18,'Transfer Engine'!$C$2:$C$1369,0)))</f>
        <v/>
      </c>
      <c r="F27" s="8">
        <f>IF(ISNA(MATCH(18,'Transfer Engine'!$C$2:$C$1369,0)),"",INDEX('Compliance Database'!$F$2:$F$1369,MATCH(18,'Transfer Engine'!$C$2:$C$1369,0)))</f>
        <v/>
      </c>
      <c r="G27" s="8">
        <f>IF(ISNA(MATCH(18,'Transfer Engine'!$C$2:$C$1369,0)),"",INDEX('Compliance Database'!$G$2:$G$1369,MATCH(18,'Transfer Engine'!$C$2:$C$1369,0)))</f>
        <v/>
      </c>
      <c r="H27" s="9">
        <f>IF(ISNA(MATCH(18,'Transfer Engine'!$C$2:$C$1369,0)),"",INDEX('Compliance Database'!$H$2:$H$1369,MATCH(18,'Transfer Engine'!$C$2:$C$1369,0)))</f>
        <v/>
      </c>
      <c r="I27" s="9">
        <f>IF(ISNA(MATCH(18,'Transfer Engine'!$C$2:$C$1369,0)),"",INDEX('Compliance Database'!$I$2:$I$1369,MATCH(18,'Transfer Engine'!$C$2:$C$1369,0)))</f>
        <v/>
      </c>
      <c r="J27" s="8">
        <f>IF(ISNA(MATCH(18,'Transfer Engine'!$C$2:$C$1369,0)),"",INDEX('Compliance Database'!$J$2:$J$1369,MATCH(18,'Transfer Engine'!$C$2:$C$1369,0)))</f>
        <v/>
      </c>
      <c r="K27" s="9">
        <f>IF(ISNA(MATCH(18,'Transfer Engine'!$C$2:$C$1369,0)),"",INDEX('Compliance Database'!$K$2:$K$1369,MATCH(18,'Transfer Engine'!$C$2:$C$1369,0)))</f>
        <v/>
      </c>
      <c r="L27" s="9">
        <f>IF(ISNA(MATCH(18,'Transfer Engine'!$C$2:$C$1369,0)),"",INDEX('Compliance Database'!$L$2:$L$1369,MATCH(18,'Transfer Engine'!$C$2:$C$1369,0)))</f>
        <v/>
      </c>
      <c r="M27" s="9">
        <f>IF(ISNA(MATCH(18,'Transfer Engine'!$C$2:$C$1369,0)),"",INDEX('Compliance Database'!$M$2:$M$1369,MATCH(18,'Transfer Engine'!$C$2:$C$1369,0)))</f>
        <v/>
      </c>
      <c r="N27" s="9">
        <f>IF(ISNA(MATCH(18,'Transfer Engine'!$C$2:$C$1369,0)),"",INDEX('Compliance Database'!$N$2:$N$1369,MATCH(18,'Transfer Engine'!$C$2:$C$1369,0)))</f>
        <v/>
      </c>
      <c r="O27" s="8">
        <f>IF(ISNA(MATCH(18,'Transfer Engine'!$C$2:$C$1369,0)),"",HYPERLINK(INDEX('Compliance Database'!$O$2:$O$1369,MATCH(18,'Transfer Engine'!$C$2:$C$1369,0)),"Open PDF"))</f>
        <v/>
      </c>
    </row>
    <row r="28" ht="188" customHeight="1">
      <c r="A28" s="8">
        <f>IF(ISNA(MATCH(19,'Transfer Engine'!$C$2:$C$1369,0)),"",INDEX('Compliance Database'!$A$2:$A$1369,MATCH(19,'Transfer Engine'!$C$2:$C$1369,0)))</f>
        <v/>
      </c>
      <c r="B28" s="8">
        <f>IF(ISNA(MATCH(19,'Transfer Engine'!$C$2:$C$1369,0)),"",INDEX('Compliance Database'!$B$2:$B$1369,MATCH(19,'Transfer Engine'!$C$2:$C$1369,0)))</f>
        <v/>
      </c>
      <c r="C28" s="8">
        <f>IF(ISNA(MATCH(19,'Transfer Engine'!$C$2:$C$1369,0)),"",INDEX('Compliance Database'!$C$2:$C$1369,MATCH(19,'Transfer Engine'!$C$2:$C$1369,0)))</f>
        <v/>
      </c>
      <c r="D28" s="9">
        <f>IF(ISNA(MATCH(19,'Transfer Engine'!$C$2:$C$1369,0)),"",INDEX('Compliance Database'!$D$2:$D$1369,MATCH(19,'Transfer Engine'!$C$2:$C$1369,0)))</f>
        <v/>
      </c>
      <c r="E28" s="8">
        <f>IF(ISNA(MATCH(19,'Transfer Engine'!$C$2:$C$1369,0)),"",INDEX('Compliance Database'!$E$2:$E$1369,MATCH(19,'Transfer Engine'!$C$2:$C$1369,0)))</f>
        <v/>
      </c>
      <c r="F28" s="8">
        <f>IF(ISNA(MATCH(19,'Transfer Engine'!$C$2:$C$1369,0)),"",INDEX('Compliance Database'!$F$2:$F$1369,MATCH(19,'Transfer Engine'!$C$2:$C$1369,0)))</f>
        <v/>
      </c>
      <c r="G28" s="8">
        <f>IF(ISNA(MATCH(19,'Transfer Engine'!$C$2:$C$1369,0)),"",INDEX('Compliance Database'!$G$2:$G$1369,MATCH(19,'Transfer Engine'!$C$2:$C$1369,0)))</f>
        <v/>
      </c>
      <c r="H28" s="9">
        <f>IF(ISNA(MATCH(19,'Transfer Engine'!$C$2:$C$1369,0)),"",INDEX('Compliance Database'!$H$2:$H$1369,MATCH(19,'Transfer Engine'!$C$2:$C$1369,0)))</f>
        <v/>
      </c>
      <c r="I28" s="9">
        <f>IF(ISNA(MATCH(19,'Transfer Engine'!$C$2:$C$1369,0)),"",INDEX('Compliance Database'!$I$2:$I$1369,MATCH(19,'Transfer Engine'!$C$2:$C$1369,0)))</f>
        <v/>
      </c>
      <c r="J28" s="8">
        <f>IF(ISNA(MATCH(19,'Transfer Engine'!$C$2:$C$1369,0)),"",INDEX('Compliance Database'!$J$2:$J$1369,MATCH(19,'Transfer Engine'!$C$2:$C$1369,0)))</f>
        <v/>
      </c>
      <c r="K28" s="9">
        <f>IF(ISNA(MATCH(19,'Transfer Engine'!$C$2:$C$1369,0)),"",INDEX('Compliance Database'!$K$2:$K$1369,MATCH(19,'Transfer Engine'!$C$2:$C$1369,0)))</f>
        <v/>
      </c>
      <c r="L28" s="9">
        <f>IF(ISNA(MATCH(19,'Transfer Engine'!$C$2:$C$1369,0)),"",INDEX('Compliance Database'!$L$2:$L$1369,MATCH(19,'Transfer Engine'!$C$2:$C$1369,0)))</f>
        <v/>
      </c>
      <c r="M28" s="9">
        <f>IF(ISNA(MATCH(19,'Transfer Engine'!$C$2:$C$1369,0)),"",INDEX('Compliance Database'!$M$2:$M$1369,MATCH(19,'Transfer Engine'!$C$2:$C$1369,0)))</f>
        <v/>
      </c>
      <c r="N28" s="9">
        <f>IF(ISNA(MATCH(19,'Transfer Engine'!$C$2:$C$1369,0)),"",INDEX('Compliance Database'!$N$2:$N$1369,MATCH(19,'Transfer Engine'!$C$2:$C$1369,0)))</f>
        <v/>
      </c>
      <c r="O28" s="8">
        <f>IF(ISNA(MATCH(19,'Transfer Engine'!$C$2:$C$1369,0)),"",HYPERLINK(INDEX('Compliance Database'!$O$2:$O$1369,MATCH(19,'Transfer Engine'!$C$2:$C$1369,0)),"Open PDF"))</f>
        <v/>
      </c>
    </row>
    <row r="29" ht="188" customHeight="1">
      <c r="A29" s="8">
        <f>IF(ISNA(MATCH(20,'Transfer Engine'!$C$2:$C$1369,0)),"",INDEX('Compliance Database'!$A$2:$A$1369,MATCH(20,'Transfer Engine'!$C$2:$C$1369,0)))</f>
        <v/>
      </c>
      <c r="B29" s="8">
        <f>IF(ISNA(MATCH(20,'Transfer Engine'!$C$2:$C$1369,0)),"",INDEX('Compliance Database'!$B$2:$B$1369,MATCH(20,'Transfer Engine'!$C$2:$C$1369,0)))</f>
        <v/>
      </c>
      <c r="C29" s="8">
        <f>IF(ISNA(MATCH(20,'Transfer Engine'!$C$2:$C$1369,0)),"",INDEX('Compliance Database'!$C$2:$C$1369,MATCH(20,'Transfer Engine'!$C$2:$C$1369,0)))</f>
        <v/>
      </c>
      <c r="D29" s="9">
        <f>IF(ISNA(MATCH(20,'Transfer Engine'!$C$2:$C$1369,0)),"",INDEX('Compliance Database'!$D$2:$D$1369,MATCH(20,'Transfer Engine'!$C$2:$C$1369,0)))</f>
        <v/>
      </c>
      <c r="E29" s="8">
        <f>IF(ISNA(MATCH(20,'Transfer Engine'!$C$2:$C$1369,0)),"",INDEX('Compliance Database'!$E$2:$E$1369,MATCH(20,'Transfer Engine'!$C$2:$C$1369,0)))</f>
        <v/>
      </c>
      <c r="F29" s="8">
        <f>IF(ISNA(MATCH(20,'Transfer Engine'!$C$2:$C$1369,0)),"",INDEX('Compliance Database'!$F$2:$F$1369,MATCH(20,'Transfer Engine'!$C$2:$C$1369,0)))</f>
        <v/>
      </c>
      <c r="G29" s="8">
        <f>IF(ISNA(MATCH(20,'Transfer Engine'!$C$2:$C$1369,0)),"",INDEX('Compliance Database'!$G$2:$G$1369,MATCH(20,'Transfer Engine'!$C$2:$C$1369,0)))</f>
        <v/>
      </c>
      <c r="H29" s="9">
        <f>IF(ISNA(MATCH(20,'Transfer Engine'!$C$2:$C$1369,0)),"",INDEX('Compliance Database'!$H$2:$H$1369,MATCH(20,'Transfer Engine'!$C$2:$C$1369,0)))</f>
        <v/>
      </c>
      <c r="I29" s="9">
        <f>IF(ISNA(MATCH(20,'Transfer Engine'!$C$2:$C$1369,0)),"",INDEX('Compliance Database'!$I$2:$I$1369,MATCH(20,'Transfer Engine'!$C$2:$C$1369,0)))</f>
        <v/>
      </c>
      <c r="J29" s="8">
        <f>IF(ISNA(MATCH(20,'Transfer Engine'!$C$2:$C$1369,0)),"",INDEX('Compliance Database'!$J$2:$J$1369,MATCH(20,'Transfer Engine'!$C$2:$C$1369,0)))</f>
        <v/>
      </c>
      <c r="K29" s="9">
        <f>IF(ISNA(MATCH(20,'Transfer Engine'!$C$2:$C$1369,0)),"",INDEX('Compliance Database'!$K$2:$K$1369,MATCH(20,'Transfer Engine'!$C$2:$C$1369,0)))</f>
        <v/>
      </c>
      <c r="L29" s="9">
        <f>IF(ISNA(MATCH(20,'Transfer Engine'!$C$2:$C$1369,0)),"",INDEX('Compliance Database'!$L$2:$L$1369,MATCH(20,'Transfer Engine'!$C$2:$C$1369,0)))</f>
        <v/>
      </c>
      <c r="M29" s="9">
        <f>IF(ISNA(MATCH(20,'Transfer Engine'!$C$2:$C$1369,0)),"",INDEX('Compliance Database'!$M$2:$M$1369,MATCH(20,'Transfer Engine'!$C$2:$C$1369,0)))</f>
        <v/>
      </c>
      <c r="N29" s="9">
        <f>IF(ISNA(MATCH(20,'Transfer Engine'!$C$2:$C$1369,0)),"",INDEX('Compliance Database'!$N$2:$N$1369,MATCH(20,'Transfer Engine'!$C$2:$C$1369,0)))</f>
        <v/>
      </c>
      <c r="O29" s="8">
        <f>IF(ISNA(MATCH(20,'Transfer Engine'!$C$2:$C$1369,0)),"",HYPERLINK(INDEX('Compliance Database'!$O$2:$O$1369,MATCH(20,'Transfer Engine'!$C$2:$C$1369,0)),"Open PDF"))</f>
        <v/>
      </c>
    </row>
    <row r="30" ht="188" customHeight="1">
      <c r="A30" s="8">
        <f>IF(ISNA(MATCH(21,'Transfer Engine'!$C$2:$C$1369,0)),"",INDEX('Compliance Database'!$A$2:$A$1369,MATCH(21,'Transfer Engine'!$C$2:$C$1369,0)))</f>
        <v/>
      </c>
      <c r="B30" s="8">
        <f>IF(ISNA(MATCH(21,'Transfer Engine'!$C$2:$C$1369,0)),"",INDEX('Compliance Database'!$B$2:$B$1369,MATCH(21,'Transfer Engine'!$C$2:$C$1369,0)))</f>
        <v/>
      </c>
      <c r="C30" s="8">
        <f>IF(ISNA(MATCH(21,'Transfer Engine'!$C$2:$C$1369,0)),"",INDEX('Compliance Database'!$C$2:$C$1369,MATCH(21,'Transfer Engine'!$C$2:$C$1369,0)))</f>
        <v/>
      </c>
      <c r="D30" s="9">
        <f>IF(ISNA(MATCH(21,'Transfer Engine'!$C$2:$C$1369,0)),"",INDEX('Compliance Database'!$D$2:$D$1369,MATCH(21,'Transfer Engine'!$C$2:$C$1369,0)))</f>
        <v/>
      </c>
      <c r="E30" s="8">
        <f>IF(ISNA(MATCH(21,'Transfer Engine'!$C$2:$C$1369,0)),"",INDEX('Compliance Database'!$E$2:$E$1369,MATCH(21,'Transfer Engine'!$C$2:$C$1369,0)))</f>
        <v/>
      </c>
      <c r="F30" s="8">
        <f>IF(ISNA(MATCH(21,'Transfer Engine'!$C$2:$C$1369,0)),"",INDEX('Compliance Database'!$F$2:$F$1369,MATCH(21,'Transfer Engine'!$C$2:$C$1369,0)))</f>
        <v/>
      </c>
      <c r="G30" s="8">
        <f>IF(ISNA(MATCH(21,'Transfer Engine'!$C$2:$C$1369,0)),"",INDEX('Compliance Database'!$G$2:$G$1369,MATCH(21,'Transfer Engine'!$C$2:$C$1369,0)))</f>
        <v/>
      </c>
      <c r="H30" s="9">
        <f>IF(ISNA(MATCH(21,'Transfer Engine'!$C$2:$C$1369,0)),"",INDEX('Compliance Database'!$H$2:$H$1369,MATCH(21,'Transfer Engine'!$C$2:$C$1369,0)))</f>
        <v/>
      </c>
      <c r="I30" s="9">
        <f>IF(ISNA(MATCH(21,'Transfer Engine'!$C$2:$C$1369,0)),"",INDEX('Compliance Database'!$I$2:$I$1369,MATCH(21,'Transfer Engine'!$C$2:$C$1369,0)))</f>
        <v/>
      </c>
      <c r="J30" s="8">
        <f>IF(ISNA(MATCH(21,'Transfer Engine'!$C$2:$C$1369,0)),"",INDEX('Compliance Database'!$J$2:$J$1369,MATCH(21,'Transfer Engine'!$C$2:$C$1369,0)))</f>
        <v/>
      </c>
      <c r="K30" s="9">
        <f>IF(ISNA(MATCH(21,'Transfer Engine'!$C$2:$C$1369,0)),"",INDEX('Compliance Database'!$K$2:$K$1369,MATCH(21,'Transfer Engine'!$C$2:$C$1369,0)))</f>
        <v/>
      </c>
      <c r="L30" s="9">
        <f>IF(ISNA(MATCH(21,'Transfer Engine'!$C$2:$C$1369,0)),"",INDEX('Compliance Database'!$L$2:$L$1369,MATCH(21,'Transfer Engine'!$C$2:$C$1369,0)))</f>
        <v/>
      </c>
      <c r="M30" s="9">
        <f>IF(ISNA(MATCH(21,'Transfer Engine'!$C$2:$C$1369,0)),"",INDEX('Compliance Database'!$M$2:$M$1369,MATCH(21,'Transfer Engine'!$C$2:$C$1369,0)))</f>
        <v/>
      </c>
      <c r="N30" s="9">
        <f>IF(ISNA(MATCH(21,'Transfer Engine'!$C$2:$C$1369,0)),"",INDEX('Compliance Database'!$N$2:$N$1369,MATCH(21,'Transfer Engine'!$C$2:$C$1369,0)))</f>
        <v/>
      </c>
      <c r="O30" s="8">
        <f>IF(ISNA(MATCH(21,'Transfer Engine'!$C$2:$C$1369,0)),"",HYPERLINK(INDEX('Compliance Database'!$O$2:$O$1369,MATCH(21,'Transfer Engine'!$C$2:$C$1369,0)),"Open PDF"))</f>
        <v/>
      </c>
    </row>
    <row r="31" ht="188" customHeight="1">
      <c r="A31" s="8">
        <f>IF(ISNA(MATCH(22,'Transfer Engine'!$C$2:$C$1369,0)),"",INDEX('Compliance Database'!$A$2:$A$1369,MATCH(22,'Transfer Engine'!$C$2:$C$1369,0)))</f>
        <v/>
      </c>
      <c r="B31" s="8">
        <f>IF(ISNA(MATCH(22,'Transfer Engine'!$C$2:$C$1369,0)),"",INDEX('Compliance Database'!$B$2:$B$1369,MATCH(22,'Transfer Engine'!$C$2:$C$1369,0)))</f>
        <v/>
      </c>
      <c r="C31" s="8">
        <f>IF(ISNA(MATCH(22,'Transfer Engine'!$C$2:$C$1369,0)),"",INDEX('Compliance Database'!$C$2:$C$1369,MATCH(22,'Transfer Engine'!$C$2:$C$1369,0)))</f>
        <v/>
      </c>
      <c r="D31" s="9">
        <f>IF(ISNA(MATCH(22,'Transfer Engine'!$C$2:$C$1369,0)),"",INDEX('Compliance Database'!$D$2:$D$1369,MATCH(22,'Transfer Engine'!$C$2:$C$1369,0)))</f>
        <v/>
      </c>
      <c r="E31" s="8">
        <f>IF(ISNA(MATCH(22,'Transfer Engine'!$C$2:$C$1369,0)),"",INDEX('Compliance Database'!$E$2:$E$1369,MATCH(22,'Transfer Engine'!$C$2:$C$1369,0)))</f>
        <v/>
      </c>
      <c r="F31" s="8">
        <f>IF(ISNA(MATCH(22,'Transfer Engine'!$C$2:$C$1369,0)),"",INDEX('Compliance Database'!$F$2:$F$1369,MATCH(22,'Transfer Engine'!$C$2:$C$1369,0)))</f>
        <v/>
      </c>
      <c r="G31" s="8">
        <f>IF(ISNA(MATCH(22,'Transfer Engine'!$C$2:$C$1369,0)),"",INDEX('Compliance Database'!$G$2:$G$1369,MATCH(22,'Transfer Engine'!$C$2:$C$1369,0)))</f>
        <v/>
      </c>
      <c r="H31" s="9">
        <f>IF(ISNA(MATCH(22,'Transfer Engine'!$C$2:$C$1369,0)),"",INDEX('Compliance Database'!$H$2:$H$1369,MATCH(22,'Transfer Engine'!$C$2:$C$1369,0)))</f>
        <v/>
      </c>
      <c r="I31" s="9">
        <f>IF(ISNA(MATCH(22,'Transfer Engine'!$C$2:$C$1369,0)),"",INDEX('Compliance Database'!$I$2:$I$1369,MATCH(22,'Transfer Engine'!$C$2:$C$1369,0)))</f>
        <v/>
      </c>
      <c r="J31" s="8">
        <f>IF(ISNA(MATCH(22,'Transfer Engine'!$C$2:$C$1369,0)),"",INDEX('Compliance Database'!$J$2:$J$1369,MATCH(22,'Transfer Engine'!$C$2:$C$1369,0)))</f>
        <v/>
      </c>
      <c r="K31" s="9">
        <f>IF(ISNA(MATCH(22,'Transfer Engine'!$C$2:$C$1369,0)),"",INDEX('Compliance Database'!$K$2:$K$1369,MATCH(22,'Transfer Engine'!$C$2:$C$1369,0)))</f>
        <v/>
      </c>
      <c r="L31" s="9">
        <f>IF(ISNA(MATCH(22,'Transfer Engine'!$C$2:$C$1369,0)),"",INDEX('Compliance Database'!$L$2:$L$1369,MATCH(22,'Transfer Engine'!$C$2:$C$1369,0)))</f>
        <v/>
      </c>
      <c r="M31" s="9">
        <f>IF(ISNA(MATCH(22,'Transfer Engine'!$C$2:$C$1369,0)),"",INDEX('Compliance Database'!$M$2:$M$1369,MATCH(22,'Transfer Engine'!$C$2:$C$1369,0)))</f>
        <v/>
      </c>
      <c r="N31" s="9">
        <f>IF(ISNA(MATCH(22,'Transfer Engine'!$C$2:$C$1369,0)),"",INDEX('Compliance Database'!$N$2:$N$1369,MATCH(22,'Transfer Engine'!$C$2:$C$1369,0)))</f>
        <v/>
      </c>
      <c r="O31" s="8">
        <f>IF(ISNA(MATCH(22,'Transfer Engine'!$C$2:$C$1369,0)),"",HYPERLINK(INDEX('Compliance Database'!$O$2:$O$1369,MATCH(22,'Transfer Engine'!$C$2:$C$1369,0)),"Open PDF"))</f>
        <v/>
      </c>
    </row>
    <row r="32" ht="188" customHeight="1">
      <c r="A32" s="8">
        <f>IF(ISNA(MATCH(23,'Transfer Engine'!$C$2:$C$1369,0)),"",INDEX('Compliance Database'!$A$2:$A$1369,MATCH(23,'Transfer Engine'!$C$2:$C$1369,0)))</f>
        <v/>
      </c>
      <c r="B32" s="8">
        <f>IF(ISNA(MATCH(23,'Transfer Engine'!$C$2:$C$1369,0)),"",INDEX('Compliance Database'!$B$2:$B$1369,MATCH(23,'Transfer Engine'!$C$2:$C$1369,0)))</f>
        <v/>
      </c>
      <c r="C32" s="8">
        <f>IF(ISNA(MATCH(23,'Transfer Engine'!$C$2:$C$1369,0)),"",INDEX('Compliance Database'!$C$2:$C$1369,MATCH(23,'Transfer Engine'!$C$2:$C$1369,0)))</f>
        <v/>
      </c>
      <c r="D32" s="9">
        <f>IF(ISNA(MATCH(23,'Transfer Engine'!$C$2:$C$1369,0)),"",INDEX('Compliance Database'!$D$2:$D$1369,MATCH(23,'Transfer Engine'!$C$2:$C$1369,0)))</f>
        <v/>
      </c>
      <c r="E32" s="8">
        <f>IF(ISNA(MATCH(23,'Transfer Engine'!$C$2:$C$1369,0)),"",INDEX('Compliance Database'!$E$2:$E$1369,MATCH(23,'Transfer Engine'!$C$2:$C$1369,0)))</f>
        <v/>
      </c>
      <c r="F32" s="8">
        <f>IF(ISNA(MATCH(23,'Transfer Engine'!$C$2:$C$1369,0)),"",INDEX('Compliance Database'!$F$2:$F$1369,MATCH(23,'Transfer Engine'!$C$2:$C$1369,0)))</f>
        <v/>
      </c>
      <c r="G32" s="8">
        <f>IF(ISNA(MATCH(23,'Transfer Engine'!$C$2:$C$1369,0)),"",INDEX('Compliance Database'!$G$2:$G$1369,MATCH(23,'Transfer Engine'!$C$2:$C$1369,0)))</f>
        <v/>
      </c>
      <c r="H32" s="9">
        <f>IF(ISNA(MATCH(23,'Transfer Engine'!$C$2:$C$1369,0)),"",INDEX('Compliance Database'!$H$2:$H$1369,MATCH(23,'Transfer Engine'!$C$2:$C$1369,0)))</f>
        <v/>
      </c>
      <c r="I32" s="9">
        <f>IF(ISNA(MATCH(23,'Transfer Engine'!$C$2:$C$1369,0)),"",INDEX('Compliance Database'!$I$2:$I$1369,MATCH(23,'Transfer Engine'!$C$2:$C$1369,0)))</f>
        <v/>
      </c>
      <c r="J32" s="8">
        <f>IF(ISNA(MATCH(23,'Transfer Engine'!$C$2:$C$1369,0)),"",INDEX('Compliance Database'!$J$2:$J$1369,MATCH(23,'Transfer Engine'!$C$2:$C$1369,0)))</f>
        <v/>
      </c>
      <c r="K32" s="9">
        <f>IF(ISNA(MATCH(23,'Transfer Engine'!$C$2:$C$1369,0)),"",INDEX('Compliance Database'!$K$2:$K$1369,MATCH(23,'Transfer Engine'!$C$2:$C$1369,0)))</f>
        <v/>
      </c>
      <c r="L32" s="9">
        <f>IF(ISNA(MATCH(23,'Transfer Engine'!$C$2:$C$1369,0)),"",INDEX('Compliance Database'!$L$2:$L$1369,MATCH(23,'Transfer Engine'!$C$2:$C$1369,0)))</f>
        <v/>
      </c>
      <c r="M32" s="9">
        <f>IF(ISNA(MATCH(23,'Transfer Engine'!$C$2:$C$1369,0)),"",INDEX('Compliance Database'!$M$2:$M$1369,MATCH(23,'Transfer Engine'!$C$2:$C$1369,0)))</f>
        <v/>
      </c>
      <c r="N32" s="9">
        <f>IF(ISNA(MATCH(23,'Transfer Engine'!$C$2:$C$1369,0)),"",INDEX('Compliance Database'!$N$2:$N$1369,MATCH(23,'Transfer Engine'!$C$2:$C$1369,0)))</f>
        <v/>
      </c>
      <c r="O32" s="8">
        <f>IF(ISNA(MATCH(23,'Transfer Engine'!$C$2:$C$1369,0)),"",HYPERLINK(INDEX('Compliance Database'!$O$2:$O$1369,MATCH(23,'Transfer Engine'!$C$2:$C$1369,0)),"Open PDF"))</f>
        <v/>
      </c>
    </row>
    <row r="33" ht="188" customHeight="1">
      <c r="A33" s="8">
        <f>IF(ISNA(MATCH(24,'Transfer Engine'!$C$2:$C$1369,0)),"",INDEX('Compliance Database'!$A$2:$A$1369,MATCH(24,'Transfer Engine'!$C$2:$C$1369,0)))</f>
        <v/>
      </c>
      <c r="B33" s="8">
        <f>IF(ISNA(MATCH(24,'Transfer Engine'!$C$2:$C$1369,0)),"",INDEX('Compliance Database'!$B$2:$B$1369,MATCH(24,'Transfer Engine'!$C$2:$C$1369,0)))</f>
        <v/>
      </c>
      <c r="C33" s="8">
        <f>IF(ISNA(MATCH(24,'Transfer Engine'!$C$2:$C$1369,0)),"",INDEX('Compliance Database'!$C$2:$C$1369,MATCH(24,'Transfer Engine'!$C$2:$C$1369,0)))</f>
        <v/>
      </c>
      <c r="D33" s="9">
        <f>IF(ISNA(MATCH(24,'Transfer Engine'!$C$2:$C$1369,0)),"",INDEX('Compliance Database'!$D$2:$D$1369,MATCH(24,'Transfer Engine'!$C$2:$C$1369,0)))</f>
        <v/>
      </c>
      <c r="E33" s="8">
        <f>IF(ISNA(MATCH(24,'Transfer Engine'!$C$2:$C$1369,0)),"",INDEX('Compliance Database'!$E$2:$E$1369,MATCH(24,'Transfer Engine'!$C$2:$C$1369,0)))</f>
        <v/>
      </c>
      <c r="F33" s="8">
        <f>IF(ISNA(MATCH(24,'Transfer Engine'!$C$2:$C$1369,0)),"",INDEX('Compliance Database'!$F$2:$F$1369,MATCH(24,'Transfer Engine'!$C$2:$C$1369,0)))</f>
        <v/>
      </c>
      <c r="G33" s="8">
        <f>IF(ISNA(MATCH(24,'Transfer Engine'!$C$2:$C$1369,0)),"",INDEX('Compliance Database'!$G$2:$G$1369,MATCH(24,'Transfer Engine'!$C$2:$C$1369,0)))</f>
        <v/>
      </c>
      <c r="H33" s="9">
        <f>IF(ISNA(MATCH(24,'Transfer Engine'!$C$2:$C$1369,0)),"",INDEX('Compliance Database'!$H$2:$H$1369,MATCH(24,'Transfer Engine'!$C$2:$C$1369,0)))</f>
        <v/>
      </c>
      <c r="I33" s="9">
        <f>IF(ISNA(MATCH(24,'Transfer Engine'!$C$2:$C$1369,0)),"",INDEX('Compliance Database'!$I$2:$I$1369,MATCH(24,'Transfer Engine'!$C$2:$C$1369,0)))</f>
        <v/>
      </c>
      <c r="J33" s="8">
        <f>IF(ISNA(MATCH(24,'Transfer Engine'!$C$2:$C$1369,0)),"",INDEX('Compliance Database'!$J$2:$J$1369,MATCH(24,'Transfer Engine'!$C$2:$C$1369,0)))</f>
        <v/>
      </c>
      <c r="K33" s="9">
        <f>IF(ISNA(MATCH(24,'Transfer Engine'!$C$2:$C$1369,0)),"",INDEX('Compliance Database'!$K$2:$K$1369,MATCH(24,'Transfer Engine'!$C$2:$C$1369,0)))</f>
        <v/>
      </c>
      <c r="L33" s="9">
        <f>IF(ISNA(MATCH(24,'Transfer Engine'!$C$2:$C$1369,0)),"",INDEX('Compliance Database'!$L$2:$L$1369,MATCH(24,'Transfer Engine'!$C$2:$C$1369,0)))</f>
        <v/>
      </c>
      <c r="M33" s="9">
        <f>IF(ISNA(MATCH(24,'Transfer Engine'!$C$2:$C$1369,0)),"",INDEX('Compliance Database'!$M$2:$M$1369,MATCH(24,'Transfer Engine'!$C$2:$C$1369,0)))</f>
        <v/>
      </c>
      <c r="N33" s="9">
        <f>IF(ISNA(MATCH(24,'Transfer Engine'!$C$2:$C$1369,0)),"",INDEX('Compliance Database'!$N$2:$N$1369,MATCH(24,'Transfer Engine'!$C$2:$C$1369,0)))</f>
        <v/>
      </c>
      <c r="O33" s="8">
        <f>IF(ISNA(MATCH(24,'Transfer Engine'!$C$2:$C$1369,0)),"",HYPERLINK(INDEX('Compliance Database'!$O$2:$O$1369,MATCH(24,'Transfer Engine'!$C$2:$C$1369,0)),"Open PDF"))</f>
        <v/>
      </c>
    </row>
    <row r="34" ht="188" customHeight="1">
      <c r="A34" s="8">
        <f>IF(ISNA(MATCH(25,'Transfer Engine'!$C$2:$C$1369,0)),"",INDEX('Compliance Database'!$A$2:$A$1369,MATCH(25,'Transfer Engine'!$C$2:$C$1369,0)))</f>
        <v/>
      </c>
      <c r="B34" s="8">
        <f>IF(ISNA(MATCH(25,'Transfer Engine'!$C$2:$C$1369,0)),"",INDEX('Compliance Database'!$B$2:$B$1369,MATCH(25,'Transfer Engine'!$C$2:$C$1369,0)))</f>
        <v/>
      </c>
      <c r="C34" s="8">
        <f>IF(ISNA(MATCH(25,'Transfer Engine'!$C$2:$C$1369,0)),"",INDEX('Compliance Database'!$C$2:$C$1369,MATCH(25,'Transfer Engine'!$C$2:$C$1369,0)))</f>
        <v/>
      </c>
      <c r="D34" s="9">
        <f>IF(ISNA(MATCH(25,'Transfer Engine'!$C$2:$C$1369,0)),"",INDEX('Compliance Database'!$D$2:$D$1369,MATCH(25,'Transfer Engine'!$C$2:$C$1369,0)))</f>
        <v/>
      </c>
      <c r="E34" s="8">
        <f>IF(ISNA(MATCH(25,'Transfer Engine'!$C$2:$C$1369,0)),"",INDEX('Compliance Database'!$E$2:$E$1369,MATCH(25,'Transfer Engine'!$C$2:$C$1369,0)))</f>
        <v/>
      </c>
      <c r="F34" s="8">
        <f>IF(ISNA(MATCH(25,'Transfer Engine'!$C$2:$C$1369,0)),"",INDEX('Compliance Database'!$F$2:$F$1369,MATCH(25,'Transfer Engine'!$C$2:$C$1369,0)))</f>
        <v/>
      </c>
      <c r="G34" s="8">
        <f>IF(ISNA(MATCH(25,'Transfer Engine'!$C$2:$C$1369,0)),"",INDEX('Compliance Database'!$G$2:$G$1369,MATCH(25,'Transfer Engine'!$C$2:$C$1369,0)))</f>
        <v/>
      </c>
      <c r="H34" s="9">
        <f>IF(ISNA(MATCH(25,'Transfer Engine'!$C$2:$C$1369,0)),"",INDEX('Compliance Database'!$H$2:$H$1369,MATCH(25,'Transfer Engine'!$C$2:$C$1369,0)))</f>
        <v/>
      </c>
      <c r="I34" s="9">
        <f>IF(ISNA(MATCH(25,'Transfer Engine'!$C$2:$C$1369,0)),"",INDEX('Compliance Database'!$I$2:$I$1369,MATCH(25,'Transfer Engine'!$C$2:$C$1369,0)))</f>
        <v/>
      </c>
      <c r="J34" s="8">
        <f>IF(ISNA(MATCH(25,'Transfer Engine'!$C$2:$C$1369,0)),"",INDEX('Compliance Database'!$J$2:$J$1369,MATCH(25,'Transfer Engine'!$C$2:$C$1369,0)))</f>
        <v/>
      </c>
      <c r="K34" s="9">
        <f>IF(ISNA(MATCH(25,'Transfer Engine'!$C$2:$C$1369,0)),"",INDEX('Compliance Database'!$K$2:$K$1369,MATCH(25,'Transfer Engine'!$C$2:$C$1369,0)))</f>
        <v/>
      </c>
      <c r="L34" s="9">
        <f>IF(ISNA(MATCH(25,'Transfer Engine'!$C$2:$C$1369,0)),"",INDEX('Compliance Database'!$L$2:$L$1369,MATCH(25,'Transfer Engine'!$C$2:$C$1369,0)))</f>
        <v/>
      </c>
      <c r="M34" s="9">
        <f>IF(ISNA(MATCH(25,'Transfer Engine'!$C$2:$C$1369,0)),"",INDEX('Compliance Database'!$M$2:$M$1369,MATCH(25,'Transfer Engine'!$C$2:$C$1369,0)))</f>
        <v/>
      </c>
      <c r="N34" s="9">
        <f>IF(ISNA(MATCH(25,'Transfer Engine'!$C$2:$C$1369,0)),"",INDEX('Compliance Database'!$N$2:$N$1369,MATCH(25,'Transfer Engine'!$C$2:$C$1369,0)))</f>
        <v/>
      </c>
      <c r="O34" s="8">
        <f>IF(ISNA(MATCH(25,'Transfer Engine'!$C$2:$C$1369,0)),"",HYPERLINK(INDEX('Compliance Database'!$O$2:$O$1369,MATCH(25,'Transfer Engine'!$C$2:$C$1369,0)),"Open PDF"))</f>
        <v/>
      </c>
    </row>
    <row r="35" ht="188" customHeight="1">
      <c r="A35" s="8">
        <f>IF(ISNA(MATCH(26,'Transfer Engine'!$C$2:$C$1369,0)),"",INDEX('Compliance Database'!$A$2:$A$1369,MATCH(26,'Transfer Engine'!$C$2:$C$1369,0)))</f>
        <v/>
      </c>
      <c r="B35" s="8">
        <f>IF(ISNA(MATCH(26,'Transfer Engine'!$C$2:$C$1369,0)),"",INDEX('Compliance Database'!$B$2:$B$1369,MATCH(26,'Transfer Engine'!$C$2:$C$1369,0)))</f>
        <v/>
      </c>
      <c r="C35" s="8">
        <f>IF(ISNA(MATCH(26,'Transfer Engine'!$C$2:$C$1369,0)),"",INDEX('Compliance Database'!$C$2:$C$1369,MATCH(26,'Transfer Engine'!$C$2:$C$1369,0)))</f>
        <v/>
      </c>
      <c r="D35" s="9">
        <f>IF(ISNA(MATCH(26,'Transfer Engine'!$C$2:$C$1369,0)),"",INDEX('Compliance Database'!$D$2:$D$1369,MATCH(26,'Transfer Engine'!$C$2:$C$1369,0)))</f>
        <v/>
      </c>
      <c r="E35" s="8">
        <f>IF(ISNA(MATCH(26,'Transfer Engine'!$C$2:$C$1369,0)),"",INDEX('Compliance Database'!$E$2:$E$1369,MATCH(26,'Transfer Engine'!$C$2:$C$1369,0)))</f>
        <v/>
      </c>
      <c r="F35" s="8">
        <f>IF(ISNA(MATCH(26,'Transfer Engine'!$C$2:$C$1369,0)),"",INDEX('Compliance Database'!$F$2:$F$1369,MATCH(26,'Transfer Engine'!$C$2:$C$1369,0)))</f>
        <v/>
      </c>
      <c r="G35" s="8">
        <f>IF(ISNA(MATCH(26,'Transfer Engine'!$C$2:$C$1369,0)),"",INDEX('Compliance Database'!$G$2:$G$1369,MATCH(26,'Transfer Engine'!$C$2:$C$1369,0)))</f>
        <v/>
      </c>
      <c r="H35" s="9">
        <f>IF(ISNA(MATCH(26,'Transfer Engine'!$C$2:$C$1369,0)),"",INDEX('Compliance Database'!$H$2:$H$1369,MATCH(26,'Transfer Engine'!$C$2:$C$1369,0)))</f>
        <v/>
      </c>
      <c r="I35" s="9">
        <f>IF(ISNA(MATCH(26,'Transfer Engine'!$C$2:$C$1369,0)),"",INDEX('Compliance Database'!$I$2:$I$1369,MATCH(26,'Transfer Engine'!$C$2:$C$1369,0)))</f>
        <v/>
      </c>
      <c r="J35" s="8">
        <f>IF(ISNA(MATCH(26,'Transfer Engine'!$C$2:$C$1369,0)),"",INDEX('Compliance Database'!$J$2:$J$1369,MATCH(26,'Transfer Engine'!$C$2:$C$1369,0)))</f>
        <v/>
      </c>
      <c r="K35" s="9">
        <f>IF(ISNA(MATCH(26,'Transfer Engine'!$C$2:$C$1369,0)),"",INDEX('Compliance Database'!$K$2:$K$1369,MATCH(26,'Transfer Engine'!$C$2:$C$1369,0)))</f>
        <v/>
      </c>
      <c r="L35" s="9">
        <f>IF(ISNA(MATCH(26,'Transfer Engine'!$C$2:$C$1369,0)),"",INDEX('Compliance Database'!$L$2:$L$1369,MATCH(26,'Transfer Engine'!$C$2:$C$1369,0)))</f>
        <v/>
      </c>
      <c r="M35" s="9">
        <f>IF(ISNA(MATCH(26,'Transfer Engine'!$C$2:$C$1369,0)),"",INDEX('Compliance Database'!$M$2:$M$1369,MATCH(26,'Transfer Engine'!$C$2:$C$1369,0)))</f>
        <v/>
      </c>
      <c r="N35" s="9">
        <f>IF(ISNA(MATCH(26,'Transfer Engine'!$C$2:$C$1369,0)),"",INDEX('Compliance Database'!$N$2:$N$1369,MATCH(26,'Transfer Engine'!$C$2:$C$1369,0)))</f>
        <v/>
      </c>
      <c r="O35" s="8">
        <f>IF(ISNA(MATCH(26,'Transfer Engine'!$C$2:$C$1369,0)),"",HYPERLINK(INDEX('Compliance Database'!$O$2:$O$1369,MATCH(26,'Transfer Engine'!$C$2:$C$1369,0)),"Open PDF"))</f>
        <v/>
      </c>
    </row>
    <row r="36" ht="188" customHeight="1">
      <c r="A36" s="8">
        <f>IF(ISNA(MATCH(27,'Transfer Engine'!$C$2:$C$1369,0)),"",INDEX('Compliance Database'!$A$2:$A$1369,MATCH(27,'Transfer Engine'!$C$2:$C$1369,0)))</f>
        <v/>
      </c>
      <c r="B36" s="8">
        <f>IF(ISNA(MATCH(27,'Transfer Engine'!$C$2:$C$1369,0)),"",INDEX('Compliance Database'!$B$2:$B$1369,MATCH(27,'Transfer Engine'!$C$2:$C$1369,0)))</f>
        <v/>
      </c>
      <c r="C36" s="8">
        <f>IF(ISNA(MATCH(27,'Transfer Engine'!$C$2:$C$1369,0)),"",INDEX('Compliance Database'!$C$2:$C$1369,MATCH(27,'Transfer Engine'!$C$2:$C$1369,0)))</f>
        <v/>
      </c>
      <c r="D36" s="9">
        <f>IF(ISNA(MATCH(27,'Transfer Engine'!$C$2:$C$1369,0)),"",INDEX('Compliance Database'!$D$2:$D$1369,MATCH(27,'Transfer Engine'!$C$2:$C$1369,0)))</f>
        <v/>
      </c>
      <c r="E36" s="8">
        <f>IF(ISNA(MATCH(27,'Transfer Engine'!$C$2:$C$1369,0)),"",INDEX('Compliance Database'!$E$2:$E$1369,MATCH(27,'Transfer Engine'!$C$2:$C$1369,0)))</f>
        <v/>
      </c>
      <c r="F36" s="8">
        <f>IF(ISNA(MATCH(27,'Transfer Engine'!$C$2:$C$1369,0)),"",INDEX('Compliance Database'!$F$2:$F$1369,MATCH(27,'Transfer Engine'!$C$2:$C$1369,0)))</f>
        <v/>
      </c>
      <c r="G36" s="8">
        <f>IF(ISNA(MATCH(27,'Transfer Engine'!$C$2:$C$1369,0)),"",INDEX('Compliance Database'!$G$2:$G$1369,MATCH(27,'Transfer Engine'!$C$2:$C$1369,0)))</f>
        <v/>
      </c>
      <c r="H36" s="9">
        <f>IF(ISNA(MATCH(27,'Transfer Engine'!$C$2:$C$1369,0)),"",INDEX('Compliance Database'!$H$2:$H$1369,MATCH(27,'Transfer Engine'!$C$2:$C$1369,0)))</f>
        <v/>
      </c>
      <c r="I36" s="9">
        <f>IF(ISNA(MATCH(27,'Transfer Engine'!$C$2:$C$1369,0)),"",INDEX('Compliance Database'!$I$2:$I$1369,MATCH(27,'Transfer Engine'!$C$2:$C$1369,0)))</f>
        <v/>
      </c>
      <c r="J36" s="8">
        <f>IF(ISNA(MATCH(27,'Transfer Engine'!$C$2:$C$1369,0)),"",INDEX('Compliance Database'!$J$2:$J$1369,MATCH(27,'Transfer Engine'!$C$2:$C$1369,0)))</f>
        <v/>
      </c>
      <c r="K36" s="9">
        <f>IF(ISNA(MATCH(27,'Transfer Engine'!$C$2:$C$1369,0)),"",INDEX('Compliance Database'!$K$2:$K$1369,MATCH(27,'Transfer Engine'!$C$2:$C$1369,0)))</f>
        <v/>
      </c>
      <c r="L36" s="9">
        <f>IF(ISNA(MATCH(27,'Transfer Engine'!$C$2:$C$1369,0)),"",INDEX('Compliance Database'!$L$2:$L$1369,MATCH(27,'Transfer Engine'!$C$2:$C$1369,0)))</f>
        <v/>
      </c>
      <c r="M36" s="9">
        <f>IF(ISNA(MATCH(27,'Transfer Engine'!$C$2:$C$1369,0)),"",INDEX('Compliance Database'!$M$2:$M$1369,MATCH(27,'Transfer Engine'!$C$2:$C$1369,0)))</f>
        <v/>
      </c>
      <c r="N36" s="9">
        <f>IF(ISNA(MATCH(27,'Transfer Engine'!$C$2:$C$1369,0)),"",INDEX('Compliance Database'!$N$2:$N$1369,MATCH(27,'Transfer Engine'!$C$2:$C$1369,0)))</f>
        <v/>
      </c>
      <c r="O36" s="8">
        <f>IF(ISNA(MATCH(27,'Transfer Engine'!$C$2:$C$1369,0)),"",HYPERLINK(INDEX('Compliance Database'!$O$2:$O$1369,MATCH(27,'Transfer Engine'!$C$2:$C$1369,0)),"Open PDF"))</f>
        <v/>
      </c>
    </row>
    <row r="37" ht="188" customHeight="1">
      <c r="A37" s="8">
        <f>IF(ISNA(MATCH(28,'Transfer Engine'!$C$2:$C$1369,0)),"",INDEX('Compliance Database'!$A$2:$A$1369,MATCH(28,'Transfer Engine'!$C$2:$C$1369,0)))</f>
        <v/>
      </c>
      <c r="B37" s="8">
        <f>IF(ISNA(MATCH(28,'Transfer Engine'!$C$2:$C$1369,0)),"",INDEX('Compliance Database'!$B$2:$B$1369,MATCH(28,'Transfer Engine'!$C$2:$C$1369,0)))</f>
        <v/>
      </c>
      <c r="C37" s="8">
        <f>IF(ISNA(MATCH(28,'Transfer Engine'!$C$2:$C$1369,0)),"",INDEX('Compliance Database'!$C$2:$C$1369,MATCH(28,'Transfer Engine'!$C$2:$C$1369,0)))</f>
        <v/>
      </c>
      <c r="D37" s="9">
        <f>IF(ISNA(MATCH(28,'Transfer Engine'!$C$2:$C$1369,0)),"",INDEX('Compliance Database'!$D$2:$D$1369,MATCH(28,'Transfer Engine'!$C$2:$C$1369,0)))</f>
        <v/>
      </c>
      <c r="E37" s="8">
        <f>IF(ISNA(MATCH(28,'Transfer Engine'!$C$2:$C$1369,0)),"",INDEX('Compliance Database'!$E$2:$E$1369,MATCH(28,'Transfer Engine'!$C$2:$C$1369,0)))</f>
        <v/>
      </c>
      <c r="F37" s="8">
        <f>IF(ISNA(MATCH(28,'Transfer Engine'!$C$2:$C$1369,0)),"",INDEX('Compliance Database'!$F$2:$F$1369,MATCH(28,'Transfer Engine'!$C$2:$C$1369,0)))</f>
        <v/>
      </c>
      <c r="G37" s="8">
        <f>IF(ISNA(MATCH(28,'Transfer Engine'!$C$2:$C$1369,0)),"",INDEX('Compliance Database'!$G$2:$G$1369,MATCH(28,'Transfer Engine'!$C$2:$C$1369,0)))</f>
        <v/>
      </c>
      <c r="H37" s="9">
        <f>IF(ISNA(MATCH(28,'Transfer Engine'!$C$2:$C$1369,0)),"",INDEX('Compliance Database'!$H$2:$H$1369,MATCH(28,'Transfer Engine'!$C$2:$C$1369,0)))</f>
        <v/>
      </c>
      <c r="I37" s="9">
        <f>IF(ISNA(MATCH(28,'Transfer Engine'!$C$2:$C$1369,0)),"",INDEX('Compliance Database'!$I$2:$I$1369,MATCH(28,'Transfer Engine'!$C$2:$C$1369,0)))</f>
        <v/>
      </c>
      <c r="J37" s="8">
        <f>IF(ISNA(MATCH(28,'Transfer Engine'!$C$2:$C$1369,0)),"",INDEX('Compliance Database'!$J$2:$J$1369,MATCH(28,'Transfer Engine'!$C$2:$C$1369,0)))</f>
        <v/>
      </c>
      <c r="K37" s="9">
        <f>IF(ISNA(MATCH(28,'Transfer Engine'!$C$2:$C$1369,0)),"",INDEX('Compliance Database'!$K$2:$K$1369,MATCH(28,'Transfer Engine'!$C$2:$C$1369,0)))</f>
        <v/>
      </c>
      <c r="L37" s="9">
        <f>IF(ISNA(MATCH(28,'Transfer Engine'!$C$2:$C$1369,0)),"",INDEX('Compliance Database'!$L$2:$L$1369,MATCH(28,'Transfer Engine'!$C$2:$C$1369,0)))</f>
        <v/>
      </c>
      <c r="M37" s="9">
        <f>IF(ISNA(MATCH(28,'Transfer Engine'!$C$2:$C$1369,0)),"",INDEX('Compliance Database'!$M$2:$M$1369,MATCH(28,'Transfer Engine'!$C$2:$C$1369,0)))</f>
        <v/>
      </c>
      <c r="N37" s="9">
        <f>IF(ISNA(MATCH(28,'Transfer Engine'!$C$2:$C$1369,0)),"",INDEX('Compliance Database'!$N$2:$N$1369,MATCH(28,'Transfer Engine'!$C$2:$C$1369,0)))</f>
        <v/>
      </c>
      <c r="O37" s="8">
        <f>IF(ISNA(MATCH(28,'Transfer Engine'!$C$2:$C$1369,0)),"",HYPERLINK(INDEX('Compliance Database'!$O$2:$O$1369,MATCH(28,'Transfer Engine'!$C$2:$C$1369,0)),"Open PDF"))</f>
        <v/>
      </c>
    </row>
    <row r="38" ht="188" customHeight="1">
      <c r="A38" s="8">
        <f>IF(ISNA(MATCH(29,'Transfer Engine'!$C$2:$C$1369,0)),"",INDEX('Compliance Database'!$A$2:$A$1369,MATCH(29,'Transfer Engine'!$C$2:$C$1369,0)))</f>
        <v/>
      </c>
      <c r="B38" s="8">
        <f>IF(ISNA(MATCH(29,'Transfer Engine'!$C$2:$C$1369,0)),"",INDEX('Compliance Database'!$B$2:$B$1369,MATCH(29,'Transfer Engine'!$C$2:$C$1369,0)))</f>
        <v/>
      </c>
      <c r="C38" s="8">
        <f>IF(ISNA(MATCH(29,'Transfer Engine'!$C$2:$C$1369,0)),"",INDEX('Compliance Database'!$C$2:$C$1369,MATCH(29,'Transfer Engine'!$C$2:$C$1369,0)))</f>
        <v/>
      </c>
      <c r="D38" s="9">
        <f>IF(ISNA(MATCH(29,'Transfer Engine'!$C$2:$C$1369,0)),"",INDEX('Compliance Database'!$D$2:$D$1369,MATCH(29,'Transfer Engine'!$C$2:$C$1369,0)))</f>
        <v/>
      </c>
      <c r="E38" s="8">
        <f>IF(ISNA(MATCH(29,'Transfer Engine'!$C$2:$C$1369,0)),"",INDEX('Compliance Database'!$E$2:$E$1369,MATCH(29,'Transfer Engine'!$C$2:$C$1369,0)))</f>
        <v/>
      </c>
      <c r="F38" s="8">
        <f>IF(ISNA(MATCH(29,'Transfer Engine'!$C$2:$C$1369,0)),"",INDEX('Compliance Database'!$F$2:$F$1369,MATCH(29,'Transfer Engine'!$C$2:$C$1369,0)))</f>
        <v/>
      </c>
      <c r="G38" s="8">
        <f>IF(ISNA(MATCH(29,'Transfer Engine'!$C$2:$C$1369,0)),"",INDEX('Compliance Database'!$G$2:$G$1369,MATCH(29,'Transfer Engine'!$C$2:$C$1369,0)))</f>
        <v/>
      </c>
      <c r="H38" s="9">
        <f>IF(ISNA(MATCH(29,'Transfer Engine'!$C$2:$C$1369,0)),"",INDEX('Compliance Database'!$H$2:$H$1369,MATCH(29,'Transfer Engine'!$C$2:$C$1369,0)))</f>
        <v/>
      </c>
      <c r="I38" s="9">
        <f>IF(ISNA(MATCH(29,'Transfer Engine'!$C$2:$C$1369,0)),"",INDEX('Compliance Database'!$I$2:$I$1369,MATCH(29,'Transfer Engine'!$C$2:$C$1369,0)))</f>
        <v/>
      </c>
      <c r="J38" s="8">
        <f>IF(ISNA(MATCH(29,'Transfer Engine'!$C$2:$C$1369,0)),"",INDEX('Compliance Database'!$J$2:$J$1369,MATCH(29,'Transfer Engine'!$C$2:$C$1369,0)))</f>
        <v/>
      </c>
      <c r="K38" s="9">
        <f>IF(ISNA(MATCH(29,'Transfer Engine'!$C$2:$C$1369,0)),"",INDEX('Compliance Database'!$K$2:$K$1369,MATCH(29,'Transfer Engine'!$C$2:$C$1369,0)))</f>
        <v/>
      </c>
      <c r="L38" s="9">
        <f>IF(ISNA(MATCH(29,'Transfer Engine'!$C$2:$C$1369,0)),"",INDEX('Compliance Database'!$L$2:$L$1369,MATCH(29,'Transfer Engine'!$C$2:$C$1369,0)))</f>
        <v/>
      </c>
      <c r="M38" s="9">
        <f>IF(ISNA(MATCH(29,'Transfer Engine'!$C$2:$C$1369,0)),"",INDEX('Compliance Database'!$M$2:$M$1369,MATCH(29,'Transfer Engine'!$C$2:$C$1369,0)))</f>
        <v/>
      </c>
      <c r="N38" s="9">
        <f>IF(ISNA(MATCH(29,'Transfer Engine'!$C$2:$C$1369,0)),"",INDEX('Compliance Database'!$N$2:$N$1369,MATCH(29,'Transfer Engine'!$C$2:$C$1369,0)))</f>
        <v/>
      </c>
      <c r="O38" s="8">
        <f>IF(ISNA(MATCH(29,'Transfer Engine'!$C$2:$C$1369,0)),"",HYPERLINK(INDEX('Compliance Database'!$O$2:$O$1369,MATCH(29,'Transfer Engine'!$C$2:$C$1369,0)),"Open PDF"))</f>
        <v/>
      </c>
    </row>
    <row r="39" ht="188" customHeight="1">
      <c r="A39" s="8">
        <f>IF(ISNA(MATCH(30,'Transfer Engine'!$C$2:$C$1369,0)),"",INDEX('Compliance Database'!$A$2:$A$1369,MATCH(30,'Transfer Engine'!$C$2:$C$1369,0)))</f>
        <v/>
      </c>
      <c r="B39" s="8">
        <f>IF(ISNA(MATCH(30,'Transfer Engine'!$C$2:$C$1369,0)),"",INDEX('Compliance Database'!$B$2:$B$1369,MATCH(30,'Transfer Engine'!$C$2:$C$1369,0)))</f>
        <v/>
      </c>
      <c r="C39" s="8">
        <f>IF(ISNA(MATCH(30,'Transfer Engine'!$C$2:$C$1369,0)),"",INDEX('Compliance Database'!$C$2:$C$1369,MATCH(30,'Transfer Engine'!$C$2:$C$1369,0)))</f>
        <v/>
      </c>
      <c r="D39" s="9">
        <f>IF(ISNA(MATCH(30,'Transfer Engine'!$C$2:$C$1369,0)),"",INDEX('Compliance Database'!$D$2:$D$1369,MATCH(30,'Transfer Engine'!$C$2:$C$1369,0)))</f>
        <v/>
      </c>
      <c r="E39" s="8">
        <f>IF(ISNA(MATCH(30,'Transfer Engine'!$C$2:$C$1369,0)),"",INDEX('Compliance Database'!$E$2:$E$1369,MATCH(30,'Transfer Engine'!$C$2:$C$1369,0)))</f>
        <v/>
      </c>
      <c r="F39" s="8">
        <f>IF(ISNA(MATCH(30,'Transfer Engine'!$C$2:$C$1369,0)),"",INDEX('Compliance Database'!$F$2:$F$1369,MATCH(30,'Transfer Engine'!$C$2:$C$1369,0)))</f>
        <v/>
      </c>
      <c r="G39" s="8">
        <f>IF(ISNA(MATCH(30,'Transfer Engine'!$C$2:$C$1369,0)),"",INDEX('Compliance Database'!$G$2:$G$1369,MATCH(30,'Transfer Engine'!$C$2:$C$1369,0)))</f>
        <v/>
      </c>
      <c r="H39" s="9">
        <f>IF(ISNA(MATCH(30,'Transfer Engine'!$C$2:$C$1369,0)),"",INDEX('Compliance Database'!$H$2:$H$1369,MATCH(30,'Transfer Engine'!$C$2:$C$1369,0)))</f>
        <v/>
      </c>
      <c r="I39" s="9">
        <f>IF(ISNA(MATCH(30,'Transfer Engine'!$C$2:$C$1369,0)),"",INDEX('Compliance Database'!$I$2:$I$1369,MATCH(30,'Transfer Engine'!$C$2:$C$1369,0)))</f>
        <v/>
      </c>
      <c r="J39" s="8">
        <f>IF(ISNA(MATCH(30,'Transfer Engine'!$C$2:$C$1369,0)),"",INDEX('Compliance Database'!$J$2:$J$1369,MATCH(30,'Transfer Engine'!$C$2:$C$1369,0)))</f>
        <v/>
      </c>
      <c r="K39" s="9">
        <f>IF(ISNA(MATCH(30,'Transfer Engine'!$C$2:$C$1369,0)),"",INDEX('Compliance Database'!$K$2:$K$1369,MATCH(30,'Transfer Engine'!$C$2:$C$1369,0)))</f>
        <v/>
      </c>
      <c r="L39" s="9">
        <f>IF(ISNA(MATCH(30,'Transfer Engine'!$C$2:$C$1369,0)),"",INDEX('Compliance Database'!$L$2:$L$1369,MATCH(30,'Transfer Engine'!$C$2:$C$1369,0)))</f>
        <v/>
      </c>
      <c r="M39" s="9">
        <f>IF(ISNA(MATCH(30,'Transfer Engine'!$C$2:$C$1369,0)),"",INDEX('Compliance Database'!$M$2:$M$1369,MATCH(30,'Transfer Engine'!$C$2:$C$1369,0)))</f>
        <v/>
      </c>
      <c r="N39" s="9">
        <f>IF(ISNA(MATCH(30,'Transfer Engine'!$C$2:$C$1369,0)),"",INDEX('Compliance Database'!$N$2:$N$1369,MATCH(30,'Transfer Engine'!$C$2:$C$1369,0)))</f>
        <v/>
      </c>
      <c r="O39" s="8">
        <f>IF(ISNA(MATCH(30,'Transfer Engine'!$C$2:$C$1369,0)),"",HYPERLINK(INDEX('Compliance Database'!$O$2:$O$1369,MATCH(30,'Transfer Engine'!$C$2:$C$1369,0)),"Open PDF"))</f>
        <v/>
      </c>
    </row>
    <row r="40" ht="188" customHeight="1">
      <c r="A40" s="8">
        <f>IF(ISNA(MATCH(31,'Transfer Engine'!$C$2:$C$1369,0)),"",INDEX('Compliance Database'!$A$2:$A$1369,MATCH(31,'Transfer Engine'!$C$2:$C$1369,0)))</f>
        <v/>
      </c>
      <c r="B40" s="8">
        <f>IF(ISNA(MATCH(31,'Transfer Engine'!$C$2:$C$1369,0)),"",INDEX('Compliance Database'!$B$2:$B$1369,MATCH(31,'Transfer Engine'!$C$2:$C$1369,0)))</f>
        <v/>
      </c>
      <c r="C40" s="8">
        <f>IF(ISNA(MATCH(31,'Transfer Engine'!$C$2:$C$1369,0)),"",INDEX('Compliance Database'!$C$2:$C$1369,MATCH(31,'Transfer Engine'!$C$2:$C$1369,0)))</f>
        <v/>
      </c>
      <c r="D40" s="9">
        <f>IF(ISNA(MATCH(31,'Transfer Engine'!$C$2:$C$1369,0)),"",INDEX('Compliance Database'!$D$2:$D$1369,MATCH(31,'Transfer Engine'!$C$2:$C$1369,0)))</f>
        <v/>
      </c>
      <c r="E40" s="8">
        <f>IF(ISNA(MATCH(31,'Transfer Engine'!$C$2:$C$1369,0)),"",INDEX('Compliance Database'!$E$2:$E$1369,MATCH(31,'Transfer Engine'!$C$2:$C$1369,0)))</f>
        <v/>
      </c>
      <c r="F40" s="8">
        <f>IF(ISNA(MATCH(31,'Transfer Engine'!$C$2:$C$1369,0)),"",INDEX('Compliance Database'!$F$2:$F$1369,MATCH(31,'Transfer Engine'!$C$2:$C$1369,0)))</f>
        <v/>
      </c>
      <c r="G40" s="8">
        <f>IF(ISNA(MATCH(31,'Transfer Engine'!$C$2:$C$1369,0)),"",INDEX('Compliance Database'!$G$2:$G$1369,MATCH(31,'Transfer Engine'!$C$2:$C$1369,0)))</f>
        <v/>
      </c>
      <c r="H40" s="9">
        <f>IF(ISNA(MATCH(31,'Transfer Engine'!$C$2:$C$1369,0)),"",INDEX('Compliance Database'!$H$2:$H$1369,MATCH(31,'Transfer Engine'!$C$2:$C$1369,0)))</f>
        <v/>
      </c>
      <c r="I40" s="9">
        <f>IF(ISNA(MATCH(31,'Transfer Engine'!$C$2:$C$1369,0)),"",INDEX('Compliance Database'!$I$2:$I$1369,MATCH(31,'Transfer Engine'!$C$2:$C$1369,0)))</f>
        <v/>
      </c>
      <c r="J40" s="8">
        <f>IF(ISNA(MATCH(31,'Transfer Engine'!$C$2:$C$1369,0)),"",INDEX('Compliance Database'!$J$2:$J$1369,MATCH(31,'Transfer Engine'!$C$2:$C$1369,0)))</f>
        <v/>
      </c>
      <c r="K40" s="9">
        <f>IF(ISNA(MATCH(31,'Transfer Engine'!$C$2:$C$1369,0)),"",INDEX('Compliance Database'!$K$2:$K$1369,MATCH(31,'Transfer Engine'!$C$2:$C$1369,0)))</f>
        <v/>
      </c>
      <c r="L40" s="9">
        <f>IF(ISNA(MATCH(31,'Transfer Engine'!$C$2:$C$1369,0)),"",INDEX('Compliance Database'!$L$2:$L$1369,MATCH(31,'Transfer Engine'!$C$2:$C$1369,0)))</f>
        <v/>
      </c>
      <c r="M40" s="9">
        <f>IF(ISNA(MATCH(31,'Transfer Engine'!$C$2:$C$1369,0)),"",INDEX('Compliance Database'!$M$2:$M$1369,MATCH(31,'Transfer Engine'!$C$2:$C$1369,0)))</f>
        <v/>
      </c>
      <c r="N40" s="9">
        <f>IF(ISNA(MATCH(31,'Transfer Engine'!$C$2:$C$1369,0)),"",INDEX('Compliance Database'!$N$2:$N$1369,MATCH(31,'Transfer Engine'!$C$2:$C$1369,0)))</f>
        <v/>
      </c>
      <c r="O40" s="8">
        <f>IF(ISNA(MATCH(31,'Transfer Engine'!$C$2:$C$1369,0)),"",HYPERLINK(INDEX('Compliance Database'!$O$2:$O$1369,MATCH(31,'Transfer Engine'!$C$2:$C$1369,0)),"Open PDF"))</f>
        <v/>
      </c>
    </row>
    <row r="41" ht="188" customHeight="1">
      <c r="A41" s="8">
        <f>IF(ISNA(MATCH(32,'Transfer Engine'!$C$2:$C$1369,0)),"",INDEX('Compliance Database'!$A$2:$A$1369,MATCH(32,'Transfer Engine'!$C$2:$C$1369,0)))</f>
        <v/>
      </c>
      <c r="B41" s="8">
        <f>IF(ISNA(MATCH(32,'Transfer Engine'!$C$2:$C$1369,0)),"",INDEX('Compliance Database'!$B$2:$B$1369,MATCH(32,'Transfer Engine'!$C$2:$C$1369,0)))</f>
        <v/>
      </c>
      <c r="C41" s="8">
        <f>IF(ISNA(MATCH(32,'Transfer Engine'!$C$2:$C$1369,0)),"",INDEX('Compliance Database'!$C$2:$C$1369,MATCH(32,'Transfer Engine'!$C$2:$C$1369,0)))</f>
        <v/>
      </c>
      <c r="D41" s="9">
        <f>IF(ISNA(MATCH(32,'Transfer Engine'!$C$2:$C$1369,0)),"",INDEX('Compliance Database'!$D$2:$D$1369,MATCH(32,'Transfer Engine'!$C$2:$C$1369,0)))</f>
        <v/>
      </c>
      <c r="E41" s="8">
        <f>IF(ISNA(MATCH(32,'Transfer Engine'!$C$2:$C$1369,0)),"",INDEX('Compliance Database'!$E$2:$E$1369,MATCH(32,'Transfer Engine'!$C$2:$C$1369,0)))</f>
        <v/>
      </c>
      <c r="F41" s="8">
        <f>IF(ISNA(MATCH(32,'Transfer Engine'!$C$2:$C$1369,0)),"",INDEX('Compliance Database'!$F$2:$F$1369,MATCH(32,'Transfer Engine'!$C$2:$C$1369,0)))</f>
        <v/>
      </c>
      <c r="G41" s="8">
        <f>IF(ISNA(MATCH(32,'Transfer Engine'!$C$2:$C$1369,0)),"",INDEX('Compliance Database'!$G$2:$G$1369,MATCH(32,'Transfer Engine'!$C$2:$C$1369,0)))</f>
        <v/>
      </c>
      <c r="H41" s="9">
        <f>IF(ISNA(MATCH(32,'Transfer Engine'!$C$2:$C$1369,0)),"",INDEX('Compliance Database'!$H$2:$H$1369,MATCH(32,'Transfer Engine'!$C$2:$C$1369,0)))</f>
        <v/>
      </c>
      <c r="I41" s="9">
        <f>IF(ISNA(MATCH(32,'Transfer Engine'!$C$2:$C$1369,0)),"",INDEX('Compliance Database'!$I$2:$I$1369,MATCH(32,'Transfer Engine'!$C$2:$C$1369,0)))</f>
        <v/>
      </c>
      <c r="J41" s="8">
        <f>IF(ISNA(MATCH(32,'Transfer Engine'!$C$2:$C$1369,0)),"",INDEX('Compliance Database'!$J$2:$J$1369,MATCH(32,'Transfer Engine'!$C$2:$C$1369,0)))</f>
        <v/>
      </c>
      <c r="K41" s="9">
        <f>IF(ISNA(MATCH(32,'Transfer Engine'!$C$2:$C$1369,0)),"",INDEX('Compliance Database'!$K$2:$K$1369,MATCH(32,'Transfer Engine'!$C$2:$C$1369,0)))</f>
        <v/>
      </c>
      <c r="L41" s="9">
        <f>IF(ISNA(MATCH(32,'Transfer Engine'!$C$2:$C$1369,0)),"",INDEX('Compliance Database'!$L$2:$L$1369,MATCH(32,'Transfer Engine'!$C$2:$C$1369,0)))</f>
        <v/>
      </c>
      <c r="M41" s="9">
        <f>IF(ISNA(MATCH(32,'Transfer Engine'!$C$2:$C$1369,0)),"",INDEX('Compliance Database'!$M$2:$M$1369,MATCH(32,'Transfer Engine'!$C$2:$C$1369,0)))</f>
        <v/>
      </c>
      <c r="N41" s="9">
        <f>IF(ISNA(MATCH(32,'Transfer Engine'!$C$2:$C$1369,0)),"",INDEX('Compliance Database'!$N$2:$N$1369,MATCH(32,'Transfer Engine'!$C$2:$C$1369,0)))</f>
        <v/>
      </c>
      <c r="O41" s="8">
        <f>IF(ISNA(MATCH(32,'Transfer Engine'!$C$2:$C$1369,0)),"",HYPERLINK(INDEX('Compliance Database'!$O$2:$O$1369,MATCH(32,'Transfer Engine'!$C$2:$C$1369,0)),"Open PDF"))</f>
        <v/>
      </c>
    </row>
    <row r="42" ht="188" customHeight="1">
      <c r="A42" s="8">
        <f>IF(ISNA(MATCH(33,'Transfer Engine'!$C$2:$C$1369,0)),"",INDEX('Compliance Database'!$A$2:$A$1369,MATCH(33,'Transfer Engine'!$C$2:$C$1369,0)))</f>
        <v/>
      </c>
      <c r="B42" s="8">
        <f>IF(ISNA(MATCH(33,'Transfer Engine'!$C$2:$C$1369,0)),"",INDEX('Compliance Database'!$B$2:$B$1369,MATCH(33,'Transfer Engine'!$C$2:$C$1369,0)))</f>
        <v/>
      </c>
      <c r="C42" s="8">
        <f>IF(ISNA(MATCH(33,'Transfer Engine'!$C$2:$C$1369,0)),"",INDEX('Compliance Database'!$C$2:$C$1369,MATCH(33,'Transfer Engine'!$C$2:$C$1369,0)))</f>
        <v/>
      </c>
      <c r="D42" s="9">
        <f>IF(ISNA(MATCH(33,'Transfer Engine'!$C$2:$C$1369,0)),"",INDEX('Compliance Database'!$D$2:$D$1369,MATCH(33,'Transfer Engine'!$C$2:$C$1369,0)))</f>
        <v/>
      </c>
      <c r="E42" s="8">
        <f>IF(ISNA(MATCH(33,'Transfer Engine'!$C$2:$C$1369,0)),"",INDEX('Compliance Database'!$E$2:$E$1369,MATCH(33,'Transfer Engine'!$C$2:$C$1369,0)))</f>
        <v/>
      </c>
      <c r="F42" s="8">
        <f>IF(ISNA(MATCH(33,'Transfer Engine'!$C$2:$C$1369,0)),"",INDEX('Compliance Database'!$F$2:$F$1369,MATCH(33,'Transfer Engine'!$C$2:$C$1369,0)))</f>
        <v/>
      </c>
      <c r="G42" s="8">
        <f>IF(ISNA(MATCH(33,'Transfer Engine'!$C$2:$C$1369,0)),"",INDEX('Compliance Database'!$G$2:$G$1369,MATCH(33,'Transfer Engine'!$C$2:$C$1369,0)))</f>
        <v/>
      </c>
      <c r="H42" s="9">
        <f>IF(ISNA(MATCH(33,'Transfer Engine'!$C$2:$C$1369,0)),"",INDEX('Compliance Database'!$H$2:$H$1369,MATCH(33,'Transfer Engine'!$C$2:$C$1369,0)))</f>
        <v/>
      </c>
      <c r="I42" s="9">
        <f>IF(ISNA(MATCH(33,'Transfer Engine'!$C$2:$C$1369,0)),"",INDEX('Compliance Database'!$I$2:$I$1369,MATCH(33,'Transfer Engine'!$C$2:$C$1369,0)))</f>
        <v/>
      </c>
      <c r="J42" s="8">
        <f>IF(ISNA(MATCH(33,'Transfer Engine'!$C$2:$C$1369,0)),"",INDEX('Compliance Database'!$J$2:$J$1369,MATCH(33,'Transfer Engine'!$C$2:$C$1369,0)))</f>
        <v/>
      </c>
      <c r="K42" s="9">
        <f>IF(ISNA(MATCH(33,'Transfer Engine'!$C$2:$C$1369,0)),"",INDEX('Compliance Database'!$K$2:$K$1369,MATCH(33,'Transfer Engine'!$C$2:$C$1369,0)))</f>
        <v/>
      </c>
      <c r="L42" s="9">
        <f>IF(ISNA(MATCH(33,'Transfer Engine'!$C$2:$C$1369,0)),"",INDEX('Compliance Database'!$L$2:$L$1369,MATCH(33,'Transfer Engine'!$C$2:$C$1369,0)))</f>
        <v/>
      </c>
      <c r="M42" s="9">
        <f>IF(ISNA(MATCH(33,'Transfer Engine'!$C$2:$C$1369,0)),"",INDEX('Compliance Database'!$M$2:$M$1369,MATCH(33,'Transfer Engine'!$C$2:$C$1369,0)))</f>
        <v/>
      </c>
      <c r="N42" s="9">
        <f>IF(ISNA(MATCH(33,'Transfer Engine'!$C$2:$C$1369,0)),"",INDEX('Compliance Database'!$N$2:$N$1369,MATCH(33,'Transfer Engine'!$C$2:$C$1369,0)))</f>
        <v/>
      </c>
      <c r="O42" s="8">
        <f>IF(ISNA(MATCH(33,'Transfer Engine'!$C$2:$C$1369,0)),"",HYPERLINK(INDEX('Compliance Database'!$O$2:$O$1369,MATCH(33,'Transfer Engine'!$C$2:$C$1369,0)),"Open PDF"))</f>
        <v/>
      </c>
    </row>
    <row r="43" ht="188" customHeight="1">
      <c r="A43" s="8">
        <f>IF(ISNA(MATCH(34,'Transfer Engine'!$C$2:$C$1369,0)),"",INDEX('Compliance Database'!$A$2:$A$1369,MATCH(34,'Transfer Engine'!$C$2:$C$1369,0)))</f>
        <v/>
      </c>
      <c r="B43" s="8">
        <f>IF(ISNA(MATCH(34,'Transfer Engine'!$C$2:$C$1369,0)),"",INDEX('Compliance Database'!$B$2:$B$1369,MATCH(34,'Transfer Engine'!$C$2:$C$1369,0)))</f>
        <v/>
      </c>
      <c r="C43" s="8">
        <f>IF(ISNA(MATCH(34,'Transfer Engine'!$C$2:$C$1369,0)),"",INDEX('Compliance Database'!$C$2:$C$1369,MATCH(34,'Transfer Engine'!$C$2:$C$1369,0)))</f>
        <v/>
      </c>
      <c r="D43" s="9">
        <f>IF(ISNA(MATCH(34,'Transfer Engine'!$C$2:$C$1369,0)),"",INDEX('Compliance Database'!$D$2:$D$1369,MATCH(34,'Transfer Engine'!$C$2:$C$1369,0)))</f>
        <v/>
      </c>
      <c r="E43" s="8">
        <f>IF(ISNA(MATCH(34,'Transfer Engine'!$C$2:$C$1369,0)),"",INDEX('Compliance Database'!$E$2:$E$1369,MATCH(34,'Transfer Engine'!$C$2:$C$1369,0)))</f>
        <v/>
      </c>
      <c r="F43" s="8">
        <f>IF(ISNA(MATCH(34,'Transfer Engine'!$C$2:$C$1369,0)),"",INDEX('Compliance Database'!$F$2:$F$1369,MATCH(34,'Transfer Engine'!$C$2:$C$1369,0)))</f>
        <v/>
      </c>
      <c r="G43" s="8">
        <f>IF(ISNA(MATCH(34,'Transfer Engine'!$C$2:$C$1369,0)),"",INDEX('Compliance Database'!$G$2:$G$1369,MATCH(34,'Transfer Engine'!$C$2:$C$1369,0)))</f>
        <v/>
      </c>
      <c r="H43" s="9">
        <f>IF(ISNA(MATCH(34,'Transfer Engine'!$C$2:$C$1369,0)),"",INDEX('Compliance Database'!$H$2:$H$1369,MATCH(34,'Transfer Engine'!$C$2:$C$1369,0)))</f>
        <v/>
      </c>
      <c r="I43" s="9">
        <f>IF(ISNA(MATCH(34,'Transfer Engine'!$C$2:$C$1369,0)),"",INDEX('Compliance Database'!$I$2:$I$1369,MATCH(34,'Transfer Engine'!$C$2:$C$1369,0)))</f>
        <v/>
      </c>
      <c r="J43" s="8">
        <f>IF(ISNA(MATCH(34,'Transfer Engine'!$C$2:$C$1369,0)),"",INDEX('Compliance Database'!$J$2:$J$1369,MATCH(34,'Transfer Engine'!$C$2:$C$1369,0)))</f>
        <v/>
      </c>
      <c r="K43" s="9">
        <f>IF(ISNA(MATCH(34,'Transfer Engine'!$C$2:$C$1369,0)),"",INDEX('Compliance Database'!$K$2:$K$1369,MATCH(34,'Transfer Engine'!$C$2:$C$1369,0)))</f>
        <v/>
      </c>
      <c r="L43" s="9">
        <f>IF(ISNA(MATCH(34,'Transfer Engine'!$C$2:$C$1369,0)),"",INDEX('Compliance Database'!$L$2:$L$1369,MATCH(34,'Transfer Engine'!$C$2:$C$1369,0)))</f>
        <v/>
      </c>
      <c r="M43" s="9">
        <f>IF(ISNA(MATCH(34,'Transfer Engine'!$C$2:$C$1369,0)),"",INDEX('Compliance Database'!$M$2:$M$1369,MATCH(34,'Transfer Engine'!$C$2:$C$1369,0)))</f>
        <v/>
      </c>
      <c r="N43" s="9">
        <f>IF(ISNA(MATCH(34,'Transfer Engine'!$C$2:$C$1369,0)),"",INDEX('Compliance Database'!$N$2:$N$1369,MATCH(34,'Transfer Engine'!$C$2:$C$1369,0)))</f>
        <v/>
      </c>
      <c r="O43" s="8">
        <f>IF(ISNA(MATCH(34,'Transfer Engine'!$C$2:$C$1369,0)),"",HYPERLINK(INDEX('Compliance Database'!$O$2:$O$1369,MATCH(34,'Transfer Engine'!$C$2:$C$1369,0)),"Open PDF"))</f>
        <v/>
      </c>
    </row>
    <row r="44" ht="188" customHeight="1">
      <c r="A44" s="8">
        <f>IF(ISNA(MATCH(35,'Transfer Engine'!$C$2:$C$1369,0)),"",INDEX('Compliance Database'!$A$2:$A$1369,MATCH(35,'Transfer Engine'!$C$2:$C$1369,0)))</f>
        <v/>
      </c>
      <c r="B44" s="8">
        <f>IF(ISNA(MATCH(35,'Transfer Engine'!$C$2:$C$1369,0)),"",INDEX('Compliance Database'!$B$2:$B$1369,MATCH(35,'Transfer Engine'!$C$2:$C$1369,0)))</f>
        <v/>
      </c>
      <c r="C44" s="8">
        <f>IF(ISNA(MATCH(35,'Transfer Engine'!$C$2:$C$1369,0)),"",INDEX('Compliance Database'!$C$2:$C$1369,MATCH(35,'Transfer Engine'!$C$2:$C$1369,0)))</f>
        <v/>
      </c>
      <c r="D44" s="9">
        <f>IF(ISNA(MATCH(35,'Transfer Engine'!$C$2:$C$1369,0)),"",INDEX('Compliance Database'!$D$2:$D$1369,MATCH(35,'Transfer Engine'!$C$2:$C$1369,0)))</f>
        <v/>
      </c>
      <c r="E44" s="8">
        <f>IF(ISNA(MATCH(35,'Transfer Engine'!$C$2:$C$1369,0)),"",INDEX('Compliance Database'!$E$2:$E$1369,MATCH(35,'Transfer Engine'!$C$2:$C$1369,0)))</f>
        <v/>
      </c>
      <c r="F44" s="8">
        <f>IF(ISNA(MATCH(35,'Transfer Engine'!$C$2:$C$1369,0)),"",INDEX('Compliance Database'!$F$2:$F$1369,MATCH(35,'Transfer Engine'!$C$2:$C$1369,0)))</f>
        <v/>
      </c>
      <c r="G44" s="8">
        <f>IF(ISNA(MATCH(35,'Transfer Engine'!$C$2:$C$1369,0)),"",INDEX('Compliance Database'!$G$2:$G$1369,MATCH(35,'Transfer Engine'!$C$2:$C$1369,0)))</f>
        <v/>
      </c>
      <c r="H44" s="9">
        <f>IF(ISNA(MATCH(35,'Transfer Engine'!$C$2:$C$1369,0)),"",INDEX('Compliance Database'!$H$2:$H$1369,MATCH(35,'Transfer Engine'!$C$2:$C$1369,0)))</f>
        <v/>
      </c>
      <c r="I44" s="9">
        <f>IF(ISNA(MATCH(35,'Transfer Engine'!$C$2:$C$1369,0)),"",INDEX('Compliance Database'!$I$2:$I$1369,MATCH(35,'Transfer Engine'!$C$2:$C$1369,0)))</f>
        <v/>
      </c>
      <c r="J44" s="8">
        <f>IF(ISNA(MATCH(35,'Transfer Engine'!$C$2:$C$1369,0)),"",INDEX('Compliance Database'!$J$2:$J$1369,MATCH(35,'Transfer Engine'!$C$2:$C$1369,0)))</f>
        <v/>
      </c>
      <c r="K44" s="9">
        <f>IF(ISNA(MATCH(35,'Transfer Engine'!$C$2:$C$1369,0)),"",INDEX('Compliance Database'!$K$2:$K$1369,MATCH(35,'Transfer Engine'!$C$2:$C$1369,0)))</f>
        <v/>
      </c>
      <c r="L44" s="9">
        <f>IF(ISNA(MATCH(35,'Transfer Engine'!$C$2:$C$1369,0)),"",INDEX('Compliance Database'!$L$2:$L$1369,MATCH(35,'Transfer Engine'!$C$2:$C$1369,0)))</f>
        <v/>
      </c>
      <c r="M44" s="9">
        <f>IF(ISNA(MATCH(35,'Transfer Engine'!$C$2:$C$1369,0)),"",INDEX('Compliance Database'!$M$2:$M$1369,MATCH(35,'Transfer Engine'!$C$2:$C$1369,0)))</f>
        <v/>
      </c>
      <c r="N44" s="9">
        <f>IF(ISNA(MATCH(35,'Transfer Engine'!$C$2:$C$1369,0)),"",INDEX('Compliance Database'!$N$2:$N$1369,MATCH(35,'Transfer Engine'!$C$2:$C$1369,0)))</f>
        <v/>
      </c>
      <c r="O44" s="8">
        <f>IF(ISNA(MATCH(35,'Transfer Engine'!$C$2:$C$1369,0)),"",HYPERLINK(INDEX('Compliance Database'!$O$2:$O$1369,MATCH(35,'Transfer Engine'!$C$2:$C$1369,0)),"Open PDF"))</f>
        <v/>
      </c>
    </row>
    <row r="45" ht="188" customHeight="1">
      <c r="A45" s="8">
        <f>IF(ISNA(MATCH(36,'Transfer Engine'!$C$2:$C$1369,0)),"",INDEX('Compliance Database'!$A$2:$A$1369,MATCH(36,'Transfer Engine'!$C$2:$C$1369,0)))</f>
        <v/>
      </c>
      <c r="B45" s="8">
        <f>IF(ISNA(MATCH(36,'Transfer Engine'!$C$2:$C$1369,0)),"",INDEX('Compliance Database'!$B$2:$B$1369,MATCH(36,'Transfer Engine'!$C$2:$C$1369,0)))</f>
        <v/>
      </c>
      <c r="C45" s="8">
        <f>IF(ISNA(MATCH(36,'Transfer Engine'!$C$2:$C$1369,0)),"",INDEX('Compliance Database'!$C$2:$C$1369,MATCH(36,'Transfer Engine'!$C$2:$C$1369,0)))</f>
        <v/>
      </c>
      <c r="D45" s="9">
        <f>IF(ISNA(MATCH(36,'Transfer Engine'!$C$2:$C$1369,0)),"",INDEX('Compliance Database'!$D$2:$D$1369,MATCH(36,'Transfer Engine'!$C$2:$C$1369,0)))</f>
        <v/>
      </c>
      <c r="E45" s="8">
        <f>IF(ISNA(MATCH(36,'Transfer Engine'!$C$2:$C$1369,0)),"",INDEX('Compliance Database'!$E$2:$E$1369,MATCH(36,'Transfer Engine'!$C$2:$C$1369,0)))</f>
        <v/>
      </c>
      <c r="F45" s="8">
        <f>IF(ISNA(MATCH(36,'Transfer Engine'!$C$2:$C$1369,0)),"",INDEX('Compliance Database'!$F$2:$F$1369,MATCH(36,'Transfer Engine'!$C$2:$C$1369,0)))</f>
        <v/>
      </c>
      <c r="G45" s="8">
        <f>IF(ISNA(MATCH(36,'Transfer Engine'!$C$2:$C$1369,0)),"",INDEX('Compliance Database'!$G$2:$G$1369,MATCH(36,'Transfer Engine'!$C$2:$C$1369,0)))</f>
        <v/>
      </c>
      <c r="H45" s="9">
        <f>IF(ISNA(MATCH(36,'Transfer Engine'!$C$2:$C$1369,0)),"",INDEX('Compliance Database'!$H$2:$H$1369,MATCH(36,'Transfer Engine'!$C$2:$C$1369,0)))</f>
        <v/>
      </c>
      <c r="I45" s="9">
        <f>IF(ISNA(MATCH(36,'Transfer Engine'!$C$2:$C$1369,0)),"",INDEX('Compliance Database'!$I$2:$I$1369,MATCH(36,'Transfer Engine'!$C$2:$C$1369,0)))</f>
        <v/>
      </c>
      <c r="J45" s="8">
        <f>IF(ISNA(MATCH(36,'Transfer Engine'!$C$2:$C$1369,0)),"",INDEX('Compliance Database'!$J$2:$J$1369,MATCH(36,'Transfer Engine'!$C$2:$C$1369,0)))</f>
        <v/>
      </c>
      <c r="K45" s="9">
        <f>IF(ISNA(MATCH(36,'Transfer Engine'!$C$2:$C$1369,0)),"",INDEX('Compliance Database'!$K$2:$K$1369,MATCH(36,'Transfer Engine'!$C$2:$C$1369,0)))</f>
        <v/>
      </c>
      <c r="L45" s="9">
        <f>IF(ISNA(MATCH(36,'Transfer Engine'!$C$2:$C$1369,0)),"",INDEX('Compliance Database'!$L$2:$L$1369,MATCH(36,'Transfer Engine'!$C$2:$C$1369,0)))</f>
        <v/>
      </c>
      <c r="M45" s="9">
        <f>IF(ISNA(MATCH(36,'Transfer Engine'!$C$2:$C$1369,0)),"",INDEX('Compliance Database'!$M$2:$M$1369,MATCH(36,'Transfer Engine'!$C$2:$C$1369,0)))</f>
        <v/>
      </c>
      <c r="N45" s="9">
        <f>IF(ISNA(MATCH(36,'Transfer Engine'!$C$2:$C$1369,0)),"",INDEX('Compliance Database'!$N$2:$N$1369,MATCH(36,'Transfer Engine'!$C$2:$C$1369,0)))</f>
        <v/>
      </c>
      <c r="O45" s="8">
        <f>IF(ISNA(MATCH(36,'Transfer Engine'!$C$2:$C$1369,0)),"",HYPERLINK(INDEX('Compliance Database'!$O$2:$O$1369,MATCH(36,'Transfer Engine'!$C$2:$C$1369,0)),"Open PDF"))</f>
        <v/>
      </c>
    </row>
    <row r="46" ht="188" customHeight="1">
      <c r="A46" s="8">
        <f>IF(ISNA(MATCH(37,'Transfer Engine'!$C$2:$C$1369,0)),"",INDEX('Compliance Database'!$A$2:$A$1369,MATCH(37,'Transfer Engine'!$C$2:$C$1369,0)))</f>
        <v/>
      </c>
      <c r="B46" s="8">
        <f>IF(ISNA(MATCH(37,'Transfer Engine'!$C$2:$C$1369,0)),"",INDEX('Compliance Database'!$B$2:$B$1369,MATCH(37,'Transfer Engine'!$C$2:$C$1369,0)))</f>
        <v/>
      </c>
      <c r="C46" s="8">
        <f>IF(ISNA(MATCH(37,'Transfer Engine'!$C$2:$C$1369,0)),"",INDEX('Compliance Database'!$C$2:$C$1369,MATCH(37,'Transfer Engine'!$C$2:$C$1369,0)))</f>
        <v/>
      </c>
      <c r="D46" s="9">
        <f>IF(ISNA(MATCH(37,'Transfer Engine'!$C$2:$C$1369,0)),"",INDEX('Compliance Database'!$D$2:$D$1369,MATCH(37,'Transfer Engine'!$C$2:$C$1369,0)))</f>
        <v/>
      </c>
      <c r="E46" s="8">
        <f>IF(ISNA(MATCH(37,'Transfer Engine'!$C$2:$C$1369,0)),"",INDEX('Compliance Database'!$E$2:$E$1369,MATCH(37,'Transfer Engine'!$C$2:$C$1369,0)))</f>
        <v/>
      </c>
      <c r="F46" s="8">
        <f>IF(ISNA(MATCH(37,'Transfer Engine'!$C$2:$C$1369,0)),"",INDEX('Compliance Database'!$F$2:$F$1369,MATCH(37,'Transfer Engine'!$C$2:$C$1369,0)))</f>
        <v/>
      </c>
      <c r="G46" s="8">
        <f>IF(ISNA(MATCH(37,'Transfer Engine'!$C$2:$C$1369,0)),"",INDEX('Compliance Database'!$G$2:$G$1369,MATCH(37,'Transfer Engine'!$C$2:$C$1369,0)))</f>
        <v/>
      </c>
      <c r="H46" s="9">
        <f>IF(ISNA(MATCH(37,'Transfer Engine'!$C$2:$C$1369,0)),"",INDEX('Compliance Database'!$H$2:$H$1369,MATCH(37,'Transfer Engine'!$C$2:$C$1369,0)))</f>
        <v/>
      </c>
      <c r="I46" s="9">
        <f>IF(ISNA(MATCH(37,'Transfer Engine'!$C$2:$C$1369,0)),"",INDEX('Compliance Database'!$I$2:$I$1369,MATCH(37,'Transfer Engine'!$C$2:$C$1369,0)))</f>
        <v/>
      </c>
      <c r="J46" s="8">
        <f>IF(ISNA(MATCH(37,'Transfer Engine'!$C$2:$C$1369,0)),"",INDEX('Compliance Database'!$J$2:$J$1369,MATCH(37,'Transfer Engine'!$C$2:$C$1369,0)))</f>
        <v/>
      </c>
      <c r="K46" s="9">
        <f>IF(ISNA(MATCH(37,'Transfer Engine'!$C$2:$C$1369,0)),"",INDEX('Compliance Database'!$K$2:$K$1369,MATCH(37,'Transfer Engine'!$C$2:$C$1369,0)))</f>
        <v/>
      </c>
      <c r="L46" s="9">
        <f>IF(ISNA(MATCH(37,'Transfer Engine'!$C$2:$C$1369,0)),"",INDEX('Compliance Database'!$L$2:$L$1369,MATCH(37,'Transfer Engine'!$C$2:$C$1369,0)))</f>
        <v/>
      </c>
      <c r="M46" s="9">
        <f>IF(ISNA(MATCH(37,'Transfer Engine'!$C$2:$C$1369,0)),"",INDEX('Compliance Database'!$M$2:$M$1369,MATCH(37,'Transfer Engine'!$C$2:$C$1369,0)))</f>
        <v/>
      </c>
      <c r="N46" s="9">
        <f>IF(ISNA(MATCH(37,'Transfer Engine'!$C$2:$C$1369,0)),"",INDEX('Compliance Database'!$N$2:$N$1369,MATCH(37,'Transfer Engine'!$C$2:$C$1369,0)))</f>
        <v/>
      </c>
      <c r="O46" s="8">
        <f>IF(ISNA(MATCH(37,'Transfer Engine'!$C$2:$C$1369,0)),"",HYPERLINK(INDEX('Compliance Database'!$O$2:$O$1369,MATCH(37,'Transfer Engine'!$C$2:$C$1369,0)),"Open PDF"))</f>
        <v/>
      </c>
    </row>
    <row r="47" ht="188" customHeight="1">
      <c r="A47" s="8">
        <f>IF(ISNA(MATCH(38,'Transfer Engine'!$C$2:$C$1369,0)),"",INDEX('Compliance Database'!$A$2:$A$1369,MATCH(38,'Transfer Engine'!$C$2:$C$1369,0)))</f>
        <v/>
      </c>
      <c r="B47" s="8">
        <f>IF(ISNA(MATCH(38,'Transfer Engine'!$C$2:$C$1369,0)),"",INDEX('Compliance Database'!$B$2:$B$1369,MATCH(38,'Transfer Engine'!$C$2:$C$1369,0)))</f>
        <v/>
      </c>
      <c r="C47" s="8">
        <f>IF(ISNA(MATCH(38,'Transfer Engine'!$C$2:$C$1369,0)),"",INDEX('Compliance Database'!$C$2:$C$1369,MATCH(38,'Transfer Engine'!$C$2:$C$1369,0)))</f>
        <v/>
      </c>
      <c r="D47" s="9">
        <f>IF(ISNA(MATCH(38,'Transfer Engine'!$C$2:$C$1369,0)),"",INDEX('Compliance Database'!$D$2:$D$1369,MATCH(38,'Transfer Engine'!$C$2:$C$1369,0)))</f>
        <v/>
      </c>
      <c r="E47" s="8">
        <f>IF(ISNA(MATCH(38,'Transfer Engine'!$C$2:$C$1369,0)),"",INDEX('Compliance Database'!$E$2:$E$1369,MATCH(38,'Transfer Engine'!$C$2:$C$1369,0)))</f>
        <v/>
      </c>
      <c r="F47" s="8">
        <f>IF(ISNA(MATCH(38,'Transfer Engine'!$C$2:$C$1369,0)),"",INDEX('Compliance Database'!$F$2:$F$1369,MATCH(38,'Transfer Engine'!$C$2:$C$1369,0)))</f>
        <v/>
      </c>
      <c r="G47" s="8">
        <f>IF(ISNA(MATCH(38,'Transfer Engine'!$C$2:$C$1369,0)),"",INDEX('Compliance Database'!$G$2:$G$1369,MATCH(38,'Transfer Engine'!$C$2:$C$1369,0)))</f>
        <v/>
      </c>
      <c r="H47" s="9">
        <f>IF(ISNA(MATCH(38,'Transfer Engine'!$C$2:$C$1369,0)),"",INDEX('Compliance Database'!$H$2:$H$1369,MATCH(38,'Transfer Engine'!$C$2:$C$1369,0)))</f>
        <v/>
      </c>
      <c r="I47" s="9">
        <f>IF(ISNA(MATCH(38,'Transfer Engine'!$C$2:$C$1369,0)),"",INDEX('Compliance Database'!$I$2:$I$1369,MATCH(38,'Transfer Engine'!$C$2:$C$1369,0)))</f>
        <v/>
      </c>
      <c r="J47" s="8">
        <f>IF(ISNA(MATCH(38,'Transfer Engine'!$C$2:$C$1369,0)),"",INDEX('Compliance Database'!$J$2:$J$1369,MATCH(38,'Transfer Engine'!$C$2:$C$1369,0)))</f>
        <v/>
      </c>
      <c r="K47" s="9">
        <f>IF(ISNA(MATCH(38,'Transfer Engine'!$C$2:$C$1369,0)),"",INDEX('Compliance Database'!$K$2:$K$1369,MATCH(38,'Transfer Engine'!$C$2:$C$1369,0)))</f>
        <v/>
      </c>
      <c r="L47" s="9">
        <f>IF(ISNA(MATCH(38,'Transfer Engine'!$C$2:$C$1369,0)),"",INDEX('Compliance Database'!$L$2:$L$1369,MATCH(38,'Transfer Engine'!$C$2:$C$1369,0)))</f>
        <v/>
      </c>
      <c r="M47" s="9">
        <f>IF(ISNA(MATCH(38,'Transfer Engine'!$C$2:$C$1369,0)),"",INDEX('Compliance Database'!$M$2:$M$1369,MATCH(38,'Transfer Engine'!$C$2:$C$1369,0)))</f>
        <v/>
      </c>
      <c r="N47" s="9">
        <f>IF(ISNA(MATCH(38,'Transfer Engine'!$C$2:$C$1369,0)),"",INDEX('Compliance Database'!$N$2:$N$1369,MATCH(38,'Transfer Engine'!$C$2:$C$1369,0)))</f>
        <v/>
      </c>
      <c r="O47" s="8">
        <f>IF(ISNA(MATCH(38,'Transfer Engine'!$C$2:$C$1369,0)),"",HYPERLINK(INDEX('Compliance Database'!$O$2:$O$1369,MATCH(38,'Transfer Engine'!$C$2:$C$1369,0)),"Open PDF"))</f>
        <v/>
      </c>
    </row>
    <row r="48" ht="188" customHeight="1">
      <c r="A48" s="8">
        <f>IF(ISNA(MATCH(39,'Transfer Engine'!$C$2:$C$1369,0)),"",INDEX('Compliance Database'!$A$2:$A$1369,MATCH(39,'Transfer Engine'!$C$2:$C$1369,0)))</f>
        <v/>
      </c>
      <c r="B48" s="8">
        <f>IF(ISNA(MATCH(39,'Transfer Engine'!$C$2:$C$1369,0)),"",INDEX('Compliance Database'!$B$2:$B$1369,MATCH(39,'Transfer Engine'!$C$2:$C$1369,0)))</f>
        <v/>
      </c>
      <c r="C48" s="8">
        <f>IF(ISNA(MATCH(39,'Transfer Engine'!$C$2:$C$1369,0)),"",INDEX('Compliance Database'!$C$2:$C$1369,MATCH(39,'Transfer Engine'!$C$2:$C$1369,0)))</f>
        <v/>
      </c>
      <c r="D48" s="9">
        <f>IF(ISNA(MATCH(39,'Transfer Engine'!$C$2:$C$1369,0)),"",INDEX('Compliance Database'!$D$2:$D$1369,MATCH(39,'Transfer Engine'!$C$2:$C$1369,0)))</f>
        <v/>
      </c>
      <c r="E48" s="8">
        <f>IF(ISNA(MATCH(39,'Transfer Engine'!$C$2:$C$1369,0)),"",INDEX('Compliance Database'!$E$2:$E$1369,MATCH(39,'Transfer Engine'!$C$2:$C$1369,0)))</f>
        <v/>
      </c>
      <c r="F48" s="8">
        <f>IF(ISNA(MATCH(39,'Transfer Engine'!$C$2:$C$1369,0)),"",INDEX('Compliance Database'!$F$2:$F$1369,MATCH(39,'Transfer Engine'!$C$2:$C$1369,0)))</f>
        <v/>
      </c>
      <c r="G48" s="8">
        <f>IF(ISNA(MATCH(39,'Transfer Engine'!$C$2:$C$1369,0)),"",INDEX('Compliance Database'!$G$2:$G$1369,MATCH(39,'Transfer Engine'!$C$2:$C$1369,0)))</f>
        <v/>
      </c>
      <c r="H48" s="9">
        <f>IF(ISNA(MATCH(39,'Transfer Engine'!$C$2:$C$1369,0)),"",INDEX('Compliance Database'!$H$2:$H$1369,MATCH(39,'Transfer Engine'!$C$2:$C$1369,0)))</f>
        <v/>
      </c>
      <c r="I48" s="9">
        <f>IF(ISNA(MATCH(39,'Transfer Engine'!$C$2:$C$1369,0)),"",INDEX('Compliance Database'!$I$2:$I$1369,MATCH(39,'Transfer Engine'!$C$2:$C$1369,0)))</f>
        <v/>
      </c>
      <c r="J48" s="8">
        <f>IF(ISNA(MATCH(39,'Transfer Engine'!$C$2:$C$1369,0)),"",INDEX('Compliance Database'!$J$2:$J$1369,MATCH(39,'Transfer Engine'!$C$2:$C$1369,0)))</f>
        <v/>
      </c>
      <c r="K48" s="9">
        <f>IF(ISNA(MATCH(39,'Transfer Engine'!$C$2:$C$1369,0)),"",INDEX('Compliance Database'!$K$2:$K$1369,MATCH(39,'Transfer Engine'!$C$2:$C$1369,0)))</f>
        <v/>
      </c>
      <c r="L48" s="9">
        <f>IF(ISNA(MATCH(39,'Transfer Engine'!$C$2:$C$1369,0)),"",INDEX('Compliance Database'!$L$2:$L$1369,MATCH(39,'Transfer Engine'!$C$2:$C$1369,0)))</f>
        <v/>
      </c>
      <c r="M48" s="9">
        <f>IF(ISNA(MATCH(39,'Transfer Engine'!$C$2:$C$1369,0)),"",INDEX('Compliance Database'!$M$2:$M$1369,MATCH(39,'Transfer Engine'!$C$2:$C$1369,0)))</f>
        <v/>
      </c>
      <c r="N48" s="9">
        <f>IF(ISNA(MATCH(39,'Transfer Engine'!$C$2:$C$1369,0)),"",INDEX('Compliance Database'!$N$2:$N$1369,MATCH(39,'Transfer Engine'!$C$2:$C$1369,0)))</f>
        <v/>
      </c>
      <c r="O48" s="8">
        <f>IF(ISNA(MATCH(39,'Transfer Engine'!$C$2:$C$1369,0)),"",HYPERLINK(INDEX('Compliance Database'!$O$2:$O$1369,MATCH(39,'Transfer Engine'!$C$2:$C$1369,0)),"Open PDF"))</f>
        <v/>
      </c>
    </row>
    <row r="49" ht="188" customHeight="1">
      <c r="A49" s="8">
        <f>IF(ISNA(MATCH(40,'Transfer Engine'!$C$2:$C$1369,0)),"",INDEX('Compliance Database'!$A$2:$A$1369,MATCH(40,'Transfer Engine'!$C$2:$C$1369,0)))</f>
        <v/>
      </c>
      <c r="B49" s="8">
        <f>IF(ISNA(MATCH(40,'Transfer Engine'!$C$2:$C$1369,0)),"",INDEX('Compliance Database'!$B$2:$B$1369,MATCH(40,'Transfer Engine'!$C$2:$C$1369,0)))</f>
        <v/>
      </c>
      <c r="C49" s="8">
        <f>IF(ISNA(MATCH(40,'Transfer Engine'!$C$2:$C$1369,0)),"",INDEX('Compliance Database'!$C$2:$C$1369,MATCH(40,'Transfer Engine'!$C$2:$C$1369,0)))</f>
        <v/>
      </c>
      <c r="D49" s="9">
        <f>IF(ISNA(MATCH(40,'Transfer Engine'!$C$2:$C$1369,0)),"",INDEX('Compliance Database'!$D$2:$D$1369,MATCH(40,'Transfer Engine'!$C$2:$C$1369,0)))</f>
        <v/>
      </c>
      <c r="E49" s="8">
        <f>IF(ISNA(MATCH(40,'Transfer Engine'!$C$2:$C$1369,0)),"",INDEX('Compliance Database'!$E$2:$E$1369,MATCH(40,'Transfer Engine'!$C$2:$C$1369,0)))</f>
        <v/>
      </c>
      <c r="F49" s="8">
        <f>IF(ISNA(MATCH(40,'Transfer Engine'!$C$2:$C$1369,0)),"",INDEX('Compliance Database'!$F$2:$F$1369,MATCH(40,'Transfer Engine'!$C$2:$C$1369,0)))</f>
        <v/>
      </c>
      <c r="G49" s="8">
        <f>IF(ISNA(MATCH(40,'Transfer Engine'!$C$2:$C$1369,0)),"",INDEX('Compliance Database'!$G$2:$G$1369,MATCH(40,'Transfer Engine'!$C$2:$C$1369,0)))</f>
        <v/>
      </c>
      <c r="H49" s="9">
        <f>IF(ISNA(MATCH(40,'Transfer Engine'!$C$2:$C$1369,0)),"",INDEX('Compliance Database'!$H$2:$H$1369,MATCH(40,'Transfer Engine'!$C$2:$C$1369,0)))</f>
        <v/>
      </c>
      <c r="I49" s="9">
        <f>IF(ISNA(MATCH(40,'Transfer Engine'!$C$2:$C$1369,0)),"",INDEX('Compliance Database'!$I$2:$I$1369,MATCH(40,'Transfer Engine'!$C$2:$C$1369,0)))</f>
        <v/>
      </c>
      <c r="J49" s="8">
        <f>IF(ISNA(MATCH(40,'Transfer Engine'!$C$2:$C$1369,0)),"",INDEX('Compliance Database'!$J$2:$J$1369,MATCH(40,'Transfer Engine'!$C$2:$C$1369,0)))</f>
        <v/>
      </c>
      <c r="K49" s="9">
        <f>IF(ISNA(MATCH(40,'Transfer Engine'!$C$2:$C$1369,0)),"",INDEX('Compliance Database'!$K$2:$K$1369,MATCH(40,'Transfer Engine'!$C$2:$C$1369,0)))</f>
        <v/>
      </c>
      <c r="L49" s="9">
        <f>IF(ISNA(MATCH(40,'Transfer Engine'!$C$2:$C$1369,0)),"",INDEX('Compliance Database'!$L$2:$L$1369,MATCH(40,'Transfer Engine'!$C$2:$C$1369,0)))</f>
        <v/>
      </c>
      <c r="M49" s="9">
        <f>IF(ISNA(MATCH(40,'Transfer Engine'!$C$2:$C$1369,0)),"",INDEX('Compliance Database'!$M$2:$M$1369,MATCH(40,'Transfer Engine'!$C$2:$C$1369,0)))</f>
        <v/>
      </c>
      <c r="N49" s="9">
        <f>IF(ISNA(MATCH(40,'Transfer Engine'!$C$2:$C$1369,0)),"",INDEX('Compliance Database'!$N$2:$N$1369,MATCH(40,'Transfer Engine'!$C$2:$C$1369,0)))</f>
        <v/>
      </c>
      <c r="O49" s="8">
        <f>IF(ISNA(MATCH(40,'Transfer Engine'!$C$2:$C$1369,0)),"",HYPERLINK(INDEX('Compliance Database'!$O$2:$O$1369,MATCH(40,'Transfer Engine'!$C$2:$C$1369,0)),"Open PDF"))</f>
        <v/>
      </c>
    </row>
    <row r="50" ht="188" customHeight="1">
      <c r="A50" s="8">
        <f>IF(ISNA(MATCH(41,'Transfer Engine'!$C$2:$C$1369,0)),"",INDEX('Compliance Database'!$A$2:$A$1369,MATCH(41,'Transfer Engine'!$C$2:$C$1369,0)))</f>
        <v/>
      </c>
      <c r="B50" s="8">
        <f>IF(ISNA(MATCH(41,'Transfer Engine'!$C$2:$C$1369,0)),"",INDEX('Compliance Database'!$B$2:$B$1369,MATCH(41,'Transfer Engine'!$C$2:$C$1369,0)))</f>
        <v/>
      </c>
      <c r="C50" s="8">
        <f>IF(ISNA(MATCH(41,'Transfer Engine'!$C$2:$C$1369,0)),"",INDEX('Compliance Database'!$C$2:$C$1369,MATCH(41,'Transfer Engine'!$C$2:$C$1369,0)))</f>
        <v/>
      </c>
      <c r="D50" s="9">
        <f>IF(ISNA(MATCH(41,'Transfer Engine'!$C$2:$C$1369,0)),"",INDEX('Compliance Database'!$D$2:$D$1369,MATCH(41,'Transfer Engine'!$C$2:$C$1369,0)))</f>
        <v/>
      </c>
      <c r="E50" s="8">
        <f>IF(ISNA(MATCH(41,'Transfer Engine'!$C$2:$C$1369,0)),"",INDEX('Compliance Database'!$E$2:$E$1369,MATCH(41,'Transfer Engine'!$C$2:$C$1369,0)))</f>
        <v/>
      </c>
      <c r="F50" s="8">
        <f>IF(ISNA(MATCH(41,'Transfer Engine'!$C$2:$C$1369,0)),"",INDEX('Compliance Database'!$F$2:$F$1369,MATCH(41,'Transfer Engine'!$C$2:$C$1369,0)))</f>
        <v/>
      </c>
      <c r="G50" s="8">
        <f>IF(ISNA(MATCH(41,'Transfer Engine'!$C$2:$C$1369,0)),"",INDEX('Compliance Database'!$G$2:$G$1369,MATCH(41,'Transfer Engine'!$C$2:$C$1369,0)))</f>
        <v/>
      </c>
      <c r="H50" s="9">
        <f>IF(ISNA(MATCH(41,'Transfer Engine'!$C$2:$C$1369,0)),"",INDEX('Compliance Database'!$H$2:$H$1369,MATCH(41,'Transfer Engine'!$C$2:$C$1369,0)))</f>
        <v/>
      </c>
      <c r="I50" s="9">
        <f>IF(ISNA(MATCH(41,'Transfer Engine'!$C$2:$C$1369,0)),"",INDEX('Compliance Database'!$I$2:$I$1369,MATCH(41,'Transfer Engine'!$C$2:$C$1369,0)))</f>
        <v/>
      </c>
      <c r="J50" s="8">
        <f>IF(ISNA(MATCH(41,'Transfer Engine'!$C$2:$C$1369,0)),"",INDEX('Compliance Database'!$J$2:$J$1369,MATCH(41,'Transfer Engine'!$C$2:$C$1369,0)))</f>
        <v/>
      </c>
      <c r="K50" s="9">
        <f>IF(ISNA(MATCH(41,'Transfer Engine'!$C$2:$C$1369,0)),"",INDEX('Compliance Database'!$K$2:$K$1369,MATCH(41,'Transfer Engine'!$C$2:$C$1369,0)))</f>
        <v/>
      </c>
      <c r="L50" s="9">
        <f>IF(ISNA(MATCH(41,'Transfer Engine'!$C$2:$C$1369,0)),"",INDEX('Compliance Database'!$L$2:$L$1369,MATCH(41,'Transfer Engine'!$C$2:$C$1369,0)))</f>
        <v/>
      </c>
      <c r="M50" s="9">
        <f>IF(ISNA(MATCH(41,'Transfer Engine'!$C$2:$C$1369,0)),"",INDEX('Compliance Database'!$M$2:$M$1369,MATCH(41,'Transfer Engine'!$C$2:$C$1369,0)))</f>
        <v/>
      </c>
      <c r="N50" s="9">
        <f>IF(ISNA(MATCH(41,'Transfer Engine'!$C$2:$C$1369,0)),"",INDEX('Compliance Database'!$N$2:$N$1369,MATCH(41,'Transfer Engine'!$C$2:$C$1369,0)))</f>
        <v/>
      </c>
      <c r="O50" s="8">
        <f>IF(ISNA(MATCH(41,'Transfer Engine'!$C$2:$C$1369,0)),"",HYPERLINK(INDEX('Compliance Database'!$O$2:$O$1369,MATCH(41,'Transfer Engine'!$C$2:$C$1369,0)),"Open PDF"))</f>
        <v/>
      </c>
    </row>
    <row r="51" ht="188" customHeight="1">
      <c r="A51" s="8">
        <f>IF(ISNA(MATCH(42,'Transfer Engine'!$C$2:$C$1369,0)),"",INDEX('Compliance Database'!$A$2:$A$1369,MATCH(42,'Transfer Engine'!$C$2:$C$1369,0)))</f>
        <v/>
      </c>
      <c r="B51" s="8">
        <f>IF(ISNA(MATCH(42,'Transfer Engine'!$C$2:$C$1369,0)),"",INDEX('Compliance Database'!$B$2:$B$1369,MATCH(42,'Transfer Engine'!$C$2:$C$1369,0)))</f>
        <v/>
      </c>
      <c r="C51" s="8">
        <f>IF(ISNA(MATCH(42,'Transfer Engine'!$C$2:$C$1369,0)),"",INDEX('Compliance Database'!$C$2:$C$1369,MATCH(42,'Transfer Engine'!$C$2:$C$1369,0)))</f>
        <v/>
      </c>
      <c r="D51" s="9">
        <f>IF(ISNA(MATCH(42,'Transfer Engine'!$C$2:$C$1369,0)),"",INDEX('Compliance Database'!$D$2:$D$1369,MATCH(42,'Transfer Engine'!$C$2:$C$1369,0)))</f>
        <v/>
      </c>
      <c r="E51" s="8">
        <f>IF(ISNA(MATCH(42,'Transfer Engine'!$C$2:$C$1369,0)),"",INDEX('Compliance Database'!$E$2:$E$1369,MATCH(42,'Transfer Engine'!$C$2:$C$1369,0)))</f>
        <v/>
      </c>
      <c r="F51" s="8">
        <f>IF(ISNA(MATCH(42,'Transfer Engine'!$C$2:$C$1369,0)),"",INDEX('Compliance Database'!$F$2:$F$1369,MATCH(42,'Transfer Engine'!$C$2:$C$1369,0)))</f>
        <v/>
      </c>
      <c r="G51" s="8">
        <f>IF(ISNA(MATCH(42,'Transfer Engine'!$C$2:$C$1369,0)),"",INDEX('Compliance Database'!$G$2:$G$1369,MATCH(42,'Transfer Engine'!$C$2:$C$1369,0)))</f>
        <v/>
      </c>
      <c r="H51" s="9">
        <f>IF(ISNA(MATCH(42,'Transfer Engine'!$C$2:$C$1369,0)),"",INDEX('Compliance Database'!$H$2:$H$1369,MATCH(42,'Transfer Engine'!$C$2:$C$1369,0)))</f>
        <v/>
      </c>
      <c r="I51" s="9">
        <f>IF(ISNA(MATCH(42,'Transfer Engine'!$C$2:$C$1369,0)),"",INDEX('Compliance Database'!$I$2:$I$1369,MATCH(42,'Transfer Engine'!$C$2:$C$1369,0)))</f>
        <v/>
      </c>
      <c r="J51" s="8">
        <f>IF(ISNA(MATCH(42,'Transfer Engine'!$C$2:$C$1369,0)),"",INDEX('Compliance Database'!$J$2:$J$1369,MATCH(42,'Transfer Engine'!$C$2:$C$1369,0)))</f>
        <v/>
      </c>
      <c r="K51" s="9">
        <f>IF(ISNA(MATCH(42,'Transfer Engine'!$C$2:$C$1369,0)),"",INDEX('Compliance Database'!$K$2:$K$1369,MATCH(42,'Transfer Engine'!$C$2:$C$1369,0)))</f>
        <v/>
      </c>
      <c r="L51" s="9">
        <f>IF(ISNA(MATCH(42,'Transfer Engine'!$C$2:$C$1369,0)),"",INDEX('Compliance Database'!$L$2:$L$1369,MATCH(42,'Transfer Engine'!$C$2:$C$1369,0)))</f>
        <v/>
      </c>
      <c r="M51" s="9">
        <f>IF(ISNA(MATCH(42,'Transfer Engine'!$C$2:$C$1369,0)),"",INDEX('Compliance Database'!$M$2:$M$1369,MATCH(42,'Transfer Engine'!$C$2:$C$1369,0)))</f>
        <v/>
      </c>
      <c r="N51" s="9">
        <f>IF(ISNA(MATCH(42,'Transfer Engine'!$C$2:$C$1369,0)),"",INDEX('Compliance Database'!$N$2:$N$1369,MATCH(42,'Transfer Engine'!$C$2:$C$1369,0)))</f>
        <v/>
      </c>
      <c r="O51" s="8">
        <f>IF(ISNA(MATCH(42,'Transfer Engine'!$C$2:$C$1369,0)),"",HYPERLINK(INDEX('Compliance Database'!$O$2:$O$1369,MATCH(42,'Transfer Engine'!$C$2:$C$1369,0)),"Open PDF"))</f>
        <v/>
      </c>
    </row>
    <row r="52" ht="188" customHeight="1">
      <c r="A52" s="8">
        <f>IF(ISNA(MATCH(43,'Transfer Engine'!$C$2:$C$1369,0)),"",INDEX('Compliance Database'!$A$2:$A$1369,MATCH(43,'Transfer Engine'!$C$2:$C$1369,0)))</f>
        <v/>
      </c>
      <c r="B52" s="8">
        <f>IF(ISNA(MATCH(43,'Transfer Engine'!$C$2:$C$1369,0)),"",INDEX('Compliance Database'!$B$2:$B$1369,MATCH(43,'Transfer Engine'!$C$2:$C$1369,0)))</f>
        <v/>
      </c>
      <c r="C52" s="8">
        <f>IF(ISNA(MATCH(43,'Transfer Engine'!$C$2:$C$1369,0)),"",INDEX('Compliance Database'!$C$2:$C$1369,MATCH(43,'Transfer Engine'!$C$2:$C$1369,0)))</f>
        <v/>
      </c>
      <c r="D52" s="9">
        <f>IF(ISNA(MATCH(43,'Transfer Engine'!$C$2:$C$1369,0)),"",INDEX('Compliance Database'!$D$2:$D$1369,MATCH(43,'Transfer Engine'!$C$2:$C$1369,0)))</f>
        <v/>
      </c>
      <c r="E52" s="8">
        <f>IF(ISNA(MATCH(43,'Transfer Engine'!$C$2:$C$1369,0)),"",INDEX('Compliance Database'!$E$2:$E$1369,MATCH(43,'Transfer Engine'!$C$2:$C$1369,0)))</f>
        <v/>
      </c>
      <c r="F52" s="8">
        <f>IF(ISNA(MATCH(43,'Transfer Engine'!$C$2:$C$1369,0)),"",INDEX('Compliance Database'!$F$2:$F$1369,MATCH(43,'Transfer Engine'!$C$2:$C$1369,0)))</f>
        <v/>
      </c>
      <c r="G52" s="8">
        <f>IF(ISNA(MATCH(43,'Transfer Engine'!$C$2:$C$1369,0)),"",INDEX('Compliance Database'!$G$2:$G$1369,MATCH(43,'Transfer Engine'!$C$2:$C$1369,0)))</f>
        <v/>
      </c>
      <c r="H52" s="9">
        <f>IF(ISNA(MATCH(43,'Transfer Engine'!$C$2:$C$1369,0)),"",INDEX('Compliance Database'!$H$2:$H$1369,MATCH(43,'Transfer Engine'!$C$2:$C$1369,0)))</f>
        <v/>
      </c>
      <c r="I52" s="9">
        <f>IF(ISNA(MATCH(43,'Transfer Engine'!$C$2:$C$1369,0)),"",INDEX('Compliance Database'!$I$2:$I$1369,MATCH(43,'Transfer Engine'!$C$2:$C$1369,0)))</f>
        <v/>
      </c>
      <c r="J52" s="8">
        <f>IF(ISNA(MATCH(43,'Transfer Engine'!$C$2:$C$1369,0)),"",INDEX('Compliance Database'!$J$2:$J$1369,MATCH(43,'Transfer Engine'!$C$2:$C$1369,0)))</f>
        <v/>
      </c>
      <c r="K52" s="9">
        <f>IF(ISNA(MATCH(43,'Transfer Engine'!$C$2:$C$1369,0)),"",INDEX('Compliance Database'!$K$2:$K$1369,MATCH(43,'Transfer Engine'!$C$2:$C$1369,0)))</f>
        <v/>
      </c>
      <c r="L52" s="9">
        <f>IF(ISNA(MATCH(43,'Transfer Engine'!$C$2:$C$1369,0)),"",INDEX('Compliance Database'!$L$2:$L$1369,MATCH(43,'Transfer Engine'!$C$2:$C$1369,0)))</f>
        <v/>
      </c>
      <c r="M52" s="9">
        <f>IF(ISNA(MATCH(43,'Transfer Engine'!$C$2:$C$1369,0)),"",INDEX('Compliance Database'!$M$2:$M$1369,MATCH(43,'Transfer Engine'!$C$2:$C$1369,0)))</f>
        <v/>
      </c>
      <c r="N52" s="9">
        <f>IF(ISNA(MATCH(43,'Transfer Engine'!$C$2:$C$1369,0)),"",INDEX('Compliance Database'!$N$2:$N$1369,MATCH(43,'Transfer Engine'!$C$2:$C$1369,0)))</f>
        <v/>
      </c>
      <c r="O52" s="8">
        <f>IF(ISNA(MATCH(43,'Transfer Engine'!$C$2:$C$1369,0)),"",HYPERLINK(INDEX('Compliance Database'!$O$2:$O$1369,MATCH(43,'Transfer Engine'!$C$2:$C$1369,0)),"Open PDF"))</f>
        <v/>
      </c>
    </row>
    <row r="53" ht="188" customHeight="1">
      <c r="A53" s="8">
        <f>IF(ISNA(MATCH(44,'Transfer Engine'!$C$2:$C$1369,0)),"",INDEX('Compliance Database'!$A$2:$A$1369,MATCH(44,'Transfer Engine'!$C$2:$C$1369,0)))</f>
        <v/>
      </c>
      <c r="B53" s="8">
        <f>IF(ISNA(MATCH(44,'Transfer Engine'!$C$2:$C$1369,0)),"",INDEX('Compliance Database'!$B$2:$B$1369,MATCH(44,'Transfer Engine'!$C$2:$C$1369,0)))</f>
        <v/>
      </c>
      <c r="C53" s="8">
        <f>IF(ISNA(MATCH(44,'Transfer Engine'!$C$2:$C$1369,0)),"",INDEX('Compliance Database'!$C$2:$C$1369,MATCH(44,'Transfer Engine'!$C$2:$C$1369,0)))</f>
        <v/>
      </c>
      <c r="D53" s="9">
        <f>IF(ISNA(MATCH(44,'Transfer Engine'!$C$2:$C$1369,0)),"",INDEX('Compliance Database'!$D$2:$D$1369,MATCH(44,'Transfer Engine'!$C$2:$C$1369,0)))</f>
        <v/>
      </c>
      <c r="E53" s="8">
        <f>IF(ISNA(MATCH(44,'Transfer Engine'!$C$2:$C$1369,0)),"",INDEX('Compliance Database'!$E$2:$E$1369,MATCH(44,'Transfer Engine'!$C$2:$C$1369,0)))</f>
        <v/>
      </c>
      <c r="F53" s="8">
        <f>IF(ISNA(MATCH(44,'Transfer Engine'!$C$2:$C$1369,0)),"",INDEX('Compliance Database'!$F$2:$F$1369,MATCH(44,'Transfer Engine'!$C$2:$C$1369,0)))</f>
        <v/>
      </c>
      <c r="G53" s="8">
        <f>IF(ISNA(MATCH(44,'Transfer Engine'!$C$2:$C$1369,0)),"",INDEX('Compliance Database'!$G$2:$G$1369,MATCH(44,'Transfer Engine'!$C$2:$C$1369,0)))</f>
        <v/>
      </c>
      <c r="H53" s="9">
        <f>IF(ISNA(MATCH(44,'Transfer Engine'!$C$2:$C$1369,0)),"",INDEX('Compliance Database'!$H$2:$H$1369,MATCH(44,'Transfer Engine'!$C$2:$C$1369,0)))</f>
        <v/>
      </c>
      <c r="I53" s="9">
        <f>IF(ISNA(MATCH(44,'Transfer Engine'!$C$2:$C$1369,0)),"",INDEX('Compliance Database'!$I$2:$I$1369,MATCH(44,'Transfer Engine'!$C$2:$C$1369,0)))</f>
        <v/>
      </c>
      <c r="J53" s="8">
        <f>IF(ISNA(MATCH(44,'Transfer Engine'!$C$2:$C$1369,0)),"",INDEX('Compliance Database'!$J$2:$J$1369,MATCH(44,'Transfer Engine'!$C$2:$C$1369,0)))</f>
        <v/>
      </c>
      <c r="K53" s="9">
        <f>IF(ISNA(MATCH(44,'Transfer Engine'!$C$2:$C$1369,0)),"",INDEX('Compliance Database'!$K$2:$K$1369,MATCH(44,'Transfer Engine'!$C$2:$C$1369,0)))</f>
        <v/>
      </c>
      <c r="L53" s="9">
        <f>IF(ISNA(MATCH(44,'Transfer Engine'!$C$2:$C$1369,0)),"",INDEX('Compliance Database'!$L$2:$L$1369,MATCH(44,'Transfer Engine'!$C$2:$C$1369,0)))</f>
        <v/>
      </c>
      <c r="M53" s="9">
        <f>IF(ISNA(MATCH(44,'Transfer Engine'!$C$2:$C$1369,0)),"",INDEX('Compliance Database'!$M$2:$M$1369,MATCH(44,'Transfer Engine'!$C$2:$C$1369,0)))</f>
        <v/>
      </c>
      <c r="N53" s="9">
        <f>IF(ISNA(MATCH(44,'Transfer Engine'!$C$2:$C$1369,0)),"",INDEX('Compliance Database'!$N$2:$N$1369,MATCH(44,'Transfer Engine'!$C$2:$C$1369,0)))</f>
        <v/>
      </c>
      <c r="O53" s="8">
        <f>IF(ISNA(MATCH(44,'Transfer Engine'!$C$2:$C$1369,0)),"",HYPERLINK(INDEX('Compliance Database'!$O$2:$O$1369,MATCH(44,'Transfer Engine'!$C$2:$C$1369,0)),"Open PDF"))</f>
        <v/>
      </c>
    </row>
    <row r="54" ht="188" customHeight="1">
      <c r="A54" s="8">
        <f>IF(ISNA(MATCH(45,'Transfer Engine'!$C$2:$C$1369,0)),"",INDEX('Compliance Database'!$A$2:$A$1369,MATCH(45,'Transfer Engine'!$C$2:$C$1369,0)))</f>
        <v/>
      </c>
      <c r="B54" s="8">
        <f>IF(ISNA(MATCH(45,'Transfer Engine'!$C$2:$C$1369,0)),"",INDEX('Compliance Database'!$B$2:$B$1369,MATCH(45,'Transfer Engine'!$C$2:$C$1369,0)))</f>
        <v/>
      </c>
      <c r="C54" s="8">
        <f>IF(ISNA(MATCH(45,'Transfer Engine'!$C$2:$C$1369,0)),"",INDEX('Compliance Database'!$C$2:$C$1369,MATCH(45,'Transfer Engine'!$C$2:$C$1369,0)))</f>
        <v/>
      </c>
      <c r="D54" s="9">
        <f>IF(ISNA(MATCH(45,'Transfer Engine'!$C$2:$C$1369,0)),"",INDEX('Compliance Database'!$D$2:$D$1369,MATCH(45,'Transfer Engine'!$C$2:$C$1369,0)))</f>
        <v/>
      </c>
      <c r="E54" s="8">
        <f>IF(ISNA(MATCH(45,'Transfer Engine'!$C$2:$C$1369,0)),"",INDEX('Compliance Database'!$E$2:$E$1369,MATCH(45,'Transfer Engine'!$C$2:$C$1369,0)))</f>
        <v/>
      </c>
      <c r="F54" s="8">
        <f>IF(ISNA(MATCH(45,'Transfer Engine'!$C$2:$C$1369,0)),"",INDEX('Compliance Database'!$F$2:$F$1369,MATCH(45,'Transfer Engine'!$C$2:$C$1369,0)))</f>
        <v/>
      </c>
      <c r="G54" s="8">
        <f>IF(ISNA(MATCH(45,'Transfer Engine'!$C$2:$C$1369,0)),"",INDEX('Compliance Database'!$G$2:$G$1369,MATCH(45,'Transfer Engine'!$C$2:$C$1369,0)))</f>
        <v/>
      </c>
      <c r="H54" s="9">
        <f>IF(ISNA(MATCH(45,'Transfer Engine'!$C$2:$C$1369,0)),"",INDEX('Compliance Database'!$H$2:$H$1369,MATCH(45,'Transfer Engine'!$C$2:$C$1369,0)))</f>
        <v/>
      </c>
      <c r="I54" s="9">
        <f>IF(ISNA(MATCH(45,'Transfer Engine'!$C$2:$C$1369,0)),"",INDEX('Compliance Database'!$I$2:$I$1369,MATCH(45,'Transfer Engine'!$C$2:$C$1369,0)))</f>
        <v/>
      </c>
      <c r="J54" s="8">
        <f>IF(ISNA(MATCH(45,'Transfer Engine'!$C$2:$C$1369,0)),"",INDEX('Compliance Database'!$J$2:$J$1369,MATCH(45,'Transfer Engine'!$C$2:$C$1369,0)))</f>
        <v/>
      </c>
      <c r="K54" s="9">
        <f>IF(ISNA(MATCH(45,'Transfer Engine'!$C$2:$C$1369,0)),"",INDEX('Compliance Database'!$K$2:$K$1369,MATCH(45,'Transfer Engine'!$C$2:$C$1369,0)))</f>
        <v/>
      </c>
      <c r="L54" s="9">
        <f>IF(ISNA(MATCH(45,'Transfer Engine'!$C$2:$C$1369,0)),"",INDEX('Compliance Database'!$L$2:$L$1369,MATCH(45,'Transfer Engine'!$C$2:$C$1369,0)))</f>
        <v/>
      </c>
      <c r="M54" s="9">
        <f>IF(ISNA(MATCH(45,'Transfer Engine'!$C$2:$C$1369,0)),"",INDEX('Compliance Database'!$M$2:$M$1369,MATCH(45,'Transfer Engine'!$C$2:$C$1369,0)))</f>
        <v/>
      </c>
      <c r="N54" s="9">
        <f>IF(ISNA(MATCH(45,'Transfer Engine'!$C$2:$C$1369,0)),"",INDEX('Compliance Database'!$N$2:$N$1369,MATCH(45,'Transfer Engine'!$C$2:$C$1369,0)))</f>
        <v/>
      </c>
      <c r="O54" s="8">
        <f>IF(ISNA(MATCH(45,'Transfer Engine'!$C$2:$C$1369,0)),"",HYPERLINK(INDEX('Compliance Database'!$O$2:$O$1369,MATCH(45,'Transfer Engine'!$C$2:$C$1369,0)),"Open PDF"))</f>
        <v/>
      </c>
    </row>
    <row r="55" ht="188" customHeight="1">
      <c r="A55" s="8">
        <f>IF(ISNA(MATCH(46,'Transfer Engine'!$C$2:$C$1369,0)),"",INDEX('Compliance Database'!$A$2:$A$1369,MATCH(46,'Transfer Engine'!$C$2:$C$1369,0)))</f>
        <v/>
      </c>
      <c r="B55" s="8">
        <f>IF(ISNA(MATCH(46,'Transfer Engine'!$C$2:$C$1369,0)),"",INDEX('Compliance Database'!$B$2:$B$1369,MATCH(46,'Transfer Engine'!$C$2:$C$1369,0)))</f>
        <v/>
      </c>
      <c r="C55" s="8">
        <f>IF(ISNA(MATCH(46,'Transfer Engine'!$C$2:$C$1369,0)),"",INDEX('Compliance Database'!$C$2:$C$1369,MATCH(46,'Transfer Engine'!$C$2:$C$1369,0)))</f>
        <v/>
      </c>
      <c r="D55" s="9">
        <f>IF(ISNA(MATCH(46,'Transfer Engine'!$C$2:$C$1369,0)),"",INDEX('Compliance Database'!$D$2:$D$1369,MATCH(46,'Transfer Engine'!$C$2:$C$1369,0)))</f>
        <v/>
      </c>
      <c r="E55" s="8">
        <f>IF(ISNA(MATCH(46,'Transfer Engine'!$C$2:$C$1369,0)),"",INDEX('Compliance Database'!$E$2:$E$1369,MATCH(46,'Transfer Engine'!$C$2:$C$1369,0)))</f>
        <v/>
      </c>
      <c r="F55" s="8">
        <f>IF(ISNA(MATCH(46,'Transfer Engine'!$C$2:$C$1369,0)),"",INDEX('Compliance Database'!$F$2:$F$1369,MATCH(46,'Transfer Engine'!$C$2:$C$1369,0)))</f>
        <v/>
      </c>
      <c r="G55" s="8">
        <f>IF(ISNA(MATCH(46,'Transfer Engine'!$C$2:$C$1369,0)),"",INDEX('Compliance Database'!$G$2:$G$1369,MATCH(46,'Transfer Engine'!$C$2:$C$1369,0)))</f>
        <v/>
      </c>
      <c r="H55" s="9">
        <f>IF(ISNA(MATCH(46,'Transfer Engine'!$C$2:$C$1369,0)),"",INDEX('Compliance Database'!$H$2:$H$1369,MATCH(46,'Transfer Engine'!$C$2:$C$1369,0)))</f>
        <v/>
      </c>
      <c r="I55" s="9">
        <f>IF(ISNA(MATCH(46,'Transfer Engine'!$C$2:$C$1369,0)),"",INDEX('Compliance Database'!$I$2:$I$1369,MATCH(46,'Transfer Engine'!$C$2:$C$1369,0)))</f>
        <v/>
      </c>
      <c r="J55" s="8">
        <f>IF(ISNA(MATCH(46,'Transfer Engine'!$C$2:$C$1369,0)),"",INDEX('Compliance Database'!$J$2:$J$1369,MATCH(46,'Transfer Engine'!$C$2:$C$1369,0)))</f>
        <v/>
      </c>
      <c r="K55" s="9">
        <f>IF(ISNA(MATCH(46,'Transfer Engine'!$C$2:$C$1369,0)),"",INDEX('Compliance Database'!$K$2:$K$1369,MATCH(46,'Transfer Engine'!$C$2:$C$1369,0)))</f>
        <v/>
      </c>
      <c r="L55" s="9">
        <f>IF(ISNA(MATCH(46,'Transfer Engine'!$C$2:$C$1369,0)),"",INDEX('Compliance Database'!$L$2:$L$1369,MATCH(46,'Transfer Engine'!$C$2:$C$1369,0)))</f>
        <v/>
      </c>
      <c r="M55" s="9">
        <f>IF(ISNA(MATCH(46,'Transfer Engine'!$C$2:$C$1369,0)),"",INDEX('Compliance Database'!$M$2:$M$1369,MATCH(46,'Transfer Engine'!$C$2:$C$1369,0)))</f>
        <v/>
      </c>
      <c r="N55" s="9">
        <f>IF(ISNA(MATCH(46,'Transfer Engine'!$C$2:$C$1369,0)),"",INDEX('Compliance Database'!$N$2:$N$1369,MATCH(46,'Transfer Engine'!$C$2:$C$1369,0)))</f>
        <v/>
      </c>
      <c r="O55" s="8">
        <f>IF(ISNA(MATCH(46,'Transfer Engine'!$C$2:$C$1369,0)),"",HYPERLINK(INDEX('Compliance Database'!$O$2:$O$1369,MATCH(46,'Transfer Engine'!$C$2:$C$1369,0)),"Open PDF"))</f>
        <v/>
      </c>
    </row>
    <row r="56" ht="188" customHeight="1">
      <c r="A56" s="8">
        <f>IF(ISNA(MATCH(47,'Transfer Engine'!$C$2:$C$1369,0)),"",INDEX('Compliance Database'!$A$2:$A$1369,MATCH(47,'Transfer Engine'!$C$2:$C$1369,0)))</f>
        <v/>
      </c>
      <c r="B56" s="8">
        <f>IF(ISNA(MATCH(47,'Transfer Engine'!$C$2:$C$1369,0)),"",INDEX('Compliance Database'!$B$2:$B$1369,MATCH(47,'Transfer Engine'!$C$2:$C$1369,0)))</f>
        <v/>
      </c>
      <c r="C56" s="8">
        <f>IF(ISNA(MATCH(47,'Transfer Engine'!$C$2:$C$1369,0)),"",INDEX('Compliance Database'!$C$2:$C$1369,MATCH(47,'Transfer Engine'!$C$2:$C$1369,0)))</f>
        <v/>
      </c>
      <c r="D56" s="9">
        <f>IF(ISNA(MATCH(47,'Transfer Engine'!$C$2:$C$1369,0)),"",INDEX('Compliance Database'!$D$2:$D$1369,MATCH(47,'Transfer Engine'!$C$2:$C$1369,0)))</f>
        <v/>
      </c>
      <c r="E56" s="8">
        <f>IF(ISNA(MATCH(47,'Transfer Engine'!$C$2:$C$1369,0)),"",INDEX('Compliance Database'!$E$2:$E$1369,MATCH(47,'Transfer Engine'!$C$2:$C$1369,0)))</f>
        <v/>
      </c>
      <c r="F56" s="8">
        <f>IF(ISNA(MATCH(47,'Transfer Engine'!$C$2:$C$1369,0)),"",INDEX('Compliance Database'!$F$2:$F$1369,MATCH(47,'Transfer Engine'!$C$2:$C$1369,0)))</f>
        <v/>
      </c>
      <c r="G56" s="8">
        <f>IF(ISNA(MATCH(47,'Transfer Engine'!$C$2:$C$1369,0)),"",INDEX('Compliance Database'!$G$2:$G$1369,MATCH(47,'Transfer Engine'!$C$2:$C$1369,0)))</f>
        <v/>
      </c>
      <c r="H56" s="9">
        <f>IF(ISNA(MATCH(47,'Transfer Engine'!$C$2:$C$1369,0)),"",INDEX('Compliance Database'!$H$2:$H$1369,MATCH(47,'Transfer Engine'!$C$2:$C$1369,0)))</f>
        <v/>
      </c>
      <c r="I56" s="9">
        <f>IF(ISNA(MATCH(47,'Transfer Engine'!$C$2:$C$1369,0)),"",INDEX('Compliance Database'!$I$2:$I$1369,MATCH(47,'Transfer Engine'!$C$2:$C$1369,0)))</f>
        <v/>
      </c>
      <c r="J56" s="8">
        <f>IF(ISNA(MATCH(47,'Transfer Engine'!$C$2:$C$1369,0)),"",INDEX('Compliance Database'!$J$2:$J$1369,MATCH(47,'Transfer Engine'!$C$2:$C$1369,0)))</f>
        <v/>
      </c>
      <c r="K56" s="9">
        <f>IF(ISNA(MATCH(47,'Transfer Engine'!$C$2:$C$1369,0)),"",INDEX('Compliance Database'!$K$2:$K$1369,MATCH(47,'Transfer Engine'!$C$2:$C$1369,0)))</f>
        <v/>
      </c>
      <c r="L56" s="9">
        <f>IF(ISNA(MATCH(47,'Transfer Engine'!$C$2:$C$1369,0)),"",INDEX('Compliance Database'!$L$2:$L$1369,MATCH(47,'Transfer Engine'!$C$2:$C$1369,0)))</f>
        <v/>
      </c>
      <c r="M56" s="9">
        <f>IF(ISNA(MATCH(47,'Transfer Engine'!$C$2:$C$1369,0)),"",INDEX('Compliance Database'!$M$2:$M$1369,MATCH(47,'Transfer Engine'!$C$2:$C$1369,0)))</f>
        <v/>
      </c>
      <c r="N56" s="9">
        <f>IF(ISNA(MATCH(47,'Transfer Engine'!$C$2:$C$1369,0)),"",INDEX('Compliance Database'!$N$2:$N$1369,MATCH(47,'Transfer Engine'!$C$2:$C$1369,0)))</f>
        <v/>
      </c>
      <c r="O56" s="8">
        <f>IF(ISNA(MATCH(47,'Transfer Engine'!$C$2:$C$1369,0)),"",HYPERLINK(INDEX('Compliance Database'!$O$2:$O$1369,MATCH(47,'Transfer Engine'!$C$2:$C$1369,0)),"Open PDF"))</f>
        <v/>
      </c>
    </row>
    <row r="57" ht="188" customHeight="1">
      <c r="A57" s="8">
        <f>IF(ISNA(MATCH(48,'Transfer Engine'!$C$2:$C$1369,0)),"",INDEX('Compliance Database'!$A$2:$A$1369,MATCH(48,'Transfer Engine'!$C$2:$C$1369,0)))</f>
        <v/>
      </c>
      <c r="B57" s="8">
        <f>IF(ISNA(MATCH(48,'Transfer Engine'!$C$2:$C$1369,0)),"",INDEX('Compliance Database'!$B$2:$B$1369,MATCH(48,'Transfer Engine'!$C$2:$C$1369,0)))</f>
        <v/>
      </c>
      <c r="C57" s="8">
        <f>IF(ISNA(MATCH(48,'Transfer Engine'!$C$2:$C$1369,0)),"",INDEX('Compliance Database'!$C$2:$C$1369,MATCH(48,'Transfer Engine'!$C$2:$C$1369,0)))</f>
        <v/>
      </c>
      <c r="D57" s="9">
        <f>IF(ISNA(MATCH(48,'Transfer Engine'!$C$2:$C$1369,0)),"",INDEX('Compliance Database'!$D$2:$D$1369,MATCH(48,'Transfer Engine'!$C$2:$C$1369,0)))</f>
        <v/>
      </c>
      <c r="E57" s="8">
        <f>IF(ISNA(MATCH(48,'Transfer Engine'!$C$2:$C$1369,0)),"",INDEX('Compliance Database'!$E$2:$E$1369,MATCH(48,'Transfer Engine'!$C$2:$C$1369,0)))</f>
        <v/>
      </c>
      <c r="F57" s="8">
        <f>IF(ISNA(MATCH(48,'Transfer Engine'!$C$2:$C$1369,0)),"",INDEX('Compliance Database'!$F$2:$F$1369,MATCH(48,'Transfer Engine'!$C$2:$C$1369,0)))</f>
        <v/>
      </c>
      <c r="G57" s="8">
        <f>IF(ISNA(MATCH(48,'Transfer Engine'!$C$2:$C$1369,0)),"",INDEX('Compliance Database'!$G$2:$G$1369,MATCH(48,'Transfer Engine'!$C$2:$C$1369,0)))</f>
        <v/>
      </c>
      <c r="H57" s="9">
        <f>IF(ISNA(MATCH(48,'Transfer Engine'!$C$2:$C$1369,0)),"",INDEX('Compliance Database'!$H$2:$H$1369,MATCH(48,'Transfer Engine'!$C$2:$C$1369,0)))</f>
        <v/>
      </c>
      <c r="I57" s="9">
        <f>IF(ISNA(MATCH(48,'Transfer Engine'!$C$2:$C$1369,0)),"",INDEX('Compliance Database'!$I$2:$I$1369,MATCH(48,'Transfer Engine'!$C$2:$C$1369,0)))</f>
        <v/>
      </c>
      <c r="J57" s="8">
        <f>IF(ISNA(MATCH(48,'Transfer Engine'!$C$2:$C$1369,0)),"",INDEX('Compliance Database'!$J$2:$J$1369,MATCH(48,'Transfer Engine'!$C$2:$C$1369,0)))</f>
        <v/>
      </c>
      <c r="K57" s="9">
        <f>IF(ISNA(MATCH(48,'Transfer Engine'!$C$2:$C$1369,0)),"",INDEX('Compliance Database'!$K$2:$K$1369,MATCH(48,'Transfer Engine'!$C$2:$C$1369,0)))</f>
        <v/>
      </c>
      <c r="L57" s="9">
        <f>IF(ISNA(MATCH(48,'Transfer Engine'!$C$2:$C$1369,0)),"",INDEX('Compliance Database'!$L$2:$L$1369,MATCH(48,'Transfer Engine'!$C$2:$C$1369,0)))</f>
        <v/>
      </c>
      <c r="M57" s="9">
        <f>IF(ISNA(MATCH(48,'Transfer Engine'!$C$2:$C$1369,0)),"",INDEX('Compliance Database'!$M$2:$M$1369,MATCH(48,'Transfer Engine'!$C$2:$C$1369,0)))</f>
        <v/>
      </c>
      <c r="N57" s="9">
        <f>IF(ISNA(MATCH(48,'Transfer Engine'!$C$2:$C$1369,0)),"",INDEX('Compliance Database'!$N$2:$N$1369,MATCH(48,'Transfer Engine'!$C$2:$C$1369,0)))</f>
        <v/>
      </c>
      <c r="O57" s="8">
        <f>IF(ISNA(MATCH(48,'Transfer Engine'!$C$2:$C$1369,0)),"",HYPERLINK(INDEX('Compliance Database'!$O$2:$O$1369,MATCH(48,'Transfer Engine'!$C$2:$C$1369,0)),"Open PDF"))</f>
        <v/>
      </c>
    </row>
    <row r="58" ht="188" customHeight="1">
      <c r="A58" s="8">
        <f>IF(ISNA(MATCH(49,'Transfer Engine'!$C$2:$C$1369,0)),"",INDEX('Compliance Database'!$A$2:$A$1369,MATCH(49,'Transfer Engine'!$C$2:$C$1369,0)))</f>
        <v/>
      </c>
      <c r="B58" s="8">
        <f>IF(ISNA(MATCH(49,'Transfer Engine'!$C$2:$C$1369,0)),"",INDEX('Compliance Database'!$B$2:$B$1369,MATCH(49,'Transfer Engine'!$C$2:$C$1369,0)))</f>
        <v/>
      </c>
      <c r="C58" s="8">
        <f>IF(ISNA(MATCH(49,'Transfer Engine'!$C$2:$C$1369,0)),"",INDEX('Compliance Database'!$C$2:$C$1369,MATCH(49,'Transfer Engine'!$C$2:$C$1369,0)))</f>
        <v/>
      </c>
      <c r="D58" s="9">
        <f>IF(ISNA(MATCH(49,'Transfer Engine'!$C$2:$C$1369,0)),"",INDEX('Compliance Database'!$D$2:$D$1369,MATCH(49,'Transfer Engine'!$C$2:$C$1369,0)))</f>
        <v/>
      </c>
      <c r="E58" s="8">
        <f>IF(ISNA(MATCH(49,'Transfer Engine'!$C$2:$C$1369,0)),"",INDEX('Compliance Database'!$E$2:$E$1369,MATCH(49,'Transfer Engine'!$C$2:$C$1369,0)))</f>
        <v/>
      </c>
      <c r="F58" s="8">
        <f>IF(ISNA(MATCH(49,'Transfer Engine'!$C$2:$C$1369,0)),"",INDEX('Compliance Database'!$F$2:$F$1369,MATCH(49,'Transfer Engine'!$C$2:$C$1369,0)))</f>
        <v/>
      </c>
      <c r="G58" s="8">
        <f>IF(ISNA(MATCH(49,'Transfer Engine'!$C$2:$C$1369,0)),"",INDEX('Compliance Database'!$G$2:$G$1369,MATCH(49,'Transfer Engine'!$C$2:$C$1369,0)))</f>
        <v/>
      </c>
      <c r="H58" s="9">
        <f>IF(ISNA(MATCH(49,'Transfer Engine'!$C$2:$C$1369,0)),"",INDEX('Compliance Database'!$H$2:$H$1369,MATCH(49,'Transfer Engine'!$C$2:$C$1369,0)))</f>
        <v/>
      </c>
      <c r="I58" s="9">
        <f>IF(ISNA(MATCH(49,'Transfer Engine'!$C$2:$C$1369,0)),"",INDEX('Compliance Database'!$I$2:$I$1369,MATCH(49,'Transfer Engine'!$C$2:$C$1369,0)))</f>
        <v/>
      </c>
      <c r="J58" s="8">
        <f>IF(ISNA(MATCH(49,'Transfer Engine'!$C$2:$C$1369,0)),"",INDEX('Compliance Database'!$J$2:$J$1369,MATCH(49,'Transfer Engine'!$C$2:$C$1369,0)))</f>
        <v/>
      </c>
      <c r="K58" s="9">
        <f>IF(ISNA(MATCH(49,'Transfer Engine'!$C$2:$C$1369,0)),"",INDEX('Compliance Database'!$K$2:$K$1369,MATCH(49,'Transfer Engine'!$C$2:$C$1369,0)))</f>
        <v/>
      </c>
      <c r="L58" s="9">
        <f>IF(ISNA(MATCH(49,'Transfer Engine'!$C$2:$C$1369,0)),"",INDEX('Compliance Database'!$L$2:$L$1369,MATCH(49,'Transfer Engine'!$C$2:$C$1369,0)))</f>
        <v/>
      </c>
      <c r="M58" s="9">
        <f>IF(ISNA(MATCH(49,'Transfer Engine'!$C$2:$C$1369,0)),"",INDEX('Compliance Database'!$M$2:$M$1369,MATCH(49,'Transfer Engine'!$C$2:$C$1369,0)))</f>
        <v/>
      </c>
      <c r="N58" s="9">
        <f>IF(ISNA(MATCH(49,'Transfer Engine'!$C$2:$C$1369,0)),"",INDEX('Compliance Database'!$N$2:$N$1369,MATCH(49,'Transfer Engine'!$C$2:$C$1369,0)))</f>
        <v/>
      </c>
      <c r="O58" s="8">
        <f>IF(ISNA(MATCH(49,'Transfer Engine'!$C$2:$C$1369,0)),"",HYPERLINK(INDEX('Compliance Database'!$O$2:$O$1369,MATCH(49,'Transfer Engine'!$C$2:$C$1369,0)),"Open PDF"))</f>
        <v/>
      </c>
    </row>
    <row r="59" ht="188" customHeight="1">
      <c r="A59" s="8">
        <f>IF(ISNA(MATCH(50,'Transfer Engine'!$C$2:$C$1369,0)),"",INDEX('Compliance Database'!$A$2:$A$1369,MATCH(50,'Transfer Engine'!$C$2:$C$1369,0)))</f>
        <v/>
      </c>
      <c r="B59" s="8">
        <f>IF(ISNA(MATCH(50,'Transfer Engine'!$C$2:$C$1369,0)),"",INDEX('Compliance Database'!$B$2:$B$1369,MATCH(50,'Transfer Engine'!$C$2:$C$1369,0)))</f>
        <v/>
      </c>
      <c r="C59" s="8">
        <f>IF(ISNA(MATCH(50,'Transfer Engine'!$C$2:$C$1369,0)),"",INDEX('Compliance Database'!$C$2:$C$1369,MATCH(50,'Transfer Engine'!$C$2:$C$1369,0)))</f>
        <v/>
      </c>
      <c r="D59" s="9">
        <f>IF(ISNA(MATCH(50,'Transfer Engine'!$C$2:$C$1369,0)),"",INDEX('Compliance Database'!$D$2:$D$1369,MATCH(50,'Transfer Engine'!$C$2:$C$1369,0)))</f>
        <v/>
      </c>
      <c r="E59" s="8">
        <f>IF(ISNA(MATCH(50,'Transfer Engine'!$C$2:$C$1369,0)),"",INDEX('Compliance Database'!$E$2:$E$1369,MATCH(50,'Transfer Engine'!$C$2:$C$1369,0)))</f>
        <v/>
      </c>
      <c r="F59" s="8">
        <f>IF(ISNA(MATCH(50,'Transfer Engine'!$C$2:$C$1369,0)),"",INDEX('Compliance Database'!$F$2:$F$1369,MATCH(50,'Transfer Engine'!$C$2:$C$1369,0)))</f>
        <v/>
      </c>
      <c r="G59" s="8">
        <f>IF(ISNA(MATCH(50,'Transfer Engine'!$C$2:$C$1369,0)),"",INDEX('Compliance Database'!$G$2:$G$1369,MATCH(50,'Transfer Engine'!$C$2:$C$1369,0)))</f>
        <v/>
      </c>
      <c r="H59" s="9">
        <f>IF(ISNA(MATCH(50,'Transfer Engine'!$C$2:$C$1369,0)),"",INDEX('Compliance Database'!$H$2:$H$1369,MATCH(50,'Transfer Engine'!$C$2:$C$1369,0)))</f>
        <v/>
      </c>
      <c r="I59" s="9">
        <f>IF(ISNA(MATCH(50,'Transfer Engine'!$C$2:$C$1369,0)),"",INDEX('Compliance Database'!$I$2:$I$1369,MATCH(50,'Transfer Engine'!$C$2:$C$1369,0)))</f>
        <v/>
      </c>
      <c r="J59" s="8">
        <f>IF(ISNA(MATCH(50,'Transfer Engine'!$C$2:$C$1369,0)),"",INDEX('Compliance Database'!$J$2:$J$1369,MATCH(50,'Transfer Engine'!$C$2:$C$1369,0)))</f>
        <v/>
      </c>
      <c r="K59" s="9">
        <f>IF(ISNA(MATCH(50,'Transfer Engine'!$C$2:$C$1369,0)),"",INDEX('Compliance Database'!$K$2:$K$1369,MATCH(50,'Transfer Engine'!$C$2:$C$1369,0)))</f>
        <v/>
      </c>
      <c r="L59" s="9">
        <f>IF(ISNA(MATCH(50,'Transfer Engine'!$C$2:$C$1369,0)),"",INDEX('Compliance Database'!$L$2:$L$1369,MATCH(50,'Transfer Engine'!$C$2:$C$1369,0)))</f>
        <v/>
      </c>
      <c r="M59" s="9">
        <f>IF(ISNA(MATCH(50,'Transfer Engine'!$C$2:$C$1369,0)),"",INDEX('Compliance Database'!$M$2:$M$1369,MATCH(50,'Transfer Engine'!$C$2:$C$1369,0)))</f>
        <v/>
      </c>
      <c r="N59" s="9">
        <f>IF(ISNA(MATCH(50,'Transfer Engine'!$C$2:$C$1369,0)),"",INDEX('Compliance Database'!$N$2:$N$1369,MATCH(50,'Transfer Engine'!$C$2:$C$1369,0)))</f>
        <v/>
      </c>
      <c r="O59" s="8">
        <f>IF(ISNA(MATCH(50,'Transfer Engine'!$C$2:$C$1369,0)),"",HYPERLINK(INDEX('Compliance Database'!$O$2:$O$1369,MATCH(50,'Transfer Engine'!$C$2:$C$1369,0)),"Open PDF"))</f>
        <v/>
      </c>
    </row>
    <row r="60" ht="188" customHeight="1">
      <c r="A60" s="8">
        <f>IF(ISNA(MATCH(51,'Transfer Engine'!$C$2:$C$1369,0)),"",INDEX('Compliance Database'!$A$2:$A$1369,MATCH(51,'Transfer Engine'!$C$2:$C$1369,0)))</f>
        <v/>
      </c>
      <c r="B60" s="8">
        <f>IF(ISNA(MATCH(51,'Transfer Engine'!$C$2:$C$1369,0)),"",INDEX('Compliance Database'!$B$2:$B$1369,MATCH(51,'Transfer Engine'!$C$2:$C$1369,0)))</f>
        <v/>
      </c>
      <c r="C60" s="8">
        <f>IF(ISNA(MATCH(51,'Transfer Engine'!$C$2:$C$1369,0)),"",INDEX('Compliance Database'!$C$2:$C$1369,MATCH(51,'Transfer Engine'!$C$2:$C$1369,0)))</f>
        <v/>
      </c>
      <c r="D60" s="9">
        <f>IF(ISNA(MATCH(51,'Transfer Engine'!$C$2:$C$1369,0)),"",INDEX('Compliance Database'!$D$2:$D$1369,MATCH(51,'Transfer Engine'!$C$2:$C$1369,0)))</f>
        <v/>
      </c>
      <c r="E60" s="8">
        <f>IF(ISNA(MATCH(51,'Transfer Engine'!$C$2:$C$1369,0)),"",INDEX('Compliance Database'!$E$2:$E$1369,MATCH(51,'Transfer Engine'!$C$2:$C$1369,0)))</f>
        <v/>
      </c>
      <c r="F60" s="8">
        <f>IF(ISNA(MATCH(51,'Transfer Engine'!$C$2:$C$1369,0)),"",INDEX('Compliance Database'!$F$2:$F$1369,MATCH(51,'Transfer Engine'!$C$2:$C$1369,0)))</f>
        <v/>
      </c>
      <c r="G60" s="8">
        <f>IF(ISNA(MATCH(51,'Transfer Engine'!$C$2:$C$1369,0)),"",INDEX('Compliance Database'!$G$2:$G$1369,MATCH(51,'Transfer Engine'!$C$2:$C$1369,0)))</f>
        <v/>
      </c>
      <c r="H60" s="9">
        <f>IF(ISNA(MATCH(51,'Transfer Engine'!$C$2:$C$1369,0)),"",INDEX('Compliance Database'!$H$2:$H$1369,MATCH(51,'Transfer Engine'!$C$2:$C$1369,0)))</f>
        <v/>
      </c>
      <c r="I60" s="9">
        <f>IF(ISNA(MATCH(51,'Transfer Engine'!$C$2:$C$1369,0)),"",INDEX('Compliance Database'!$I$2:$I$1369,MATCH(51,'Transfer Engine'!$C$2:$C$1369,0)))</f>
        <v/>
      </c>
      <c r="J60" s="8">
        <f>IF(ISNA(MATCH(51,'Transfer Engine'!$C$2:$C$1369,0)),"",INDEX('Compliance Database'!$J$2:$J$1369,MATCH(51,'Transfer Engine'!$C$2:$C$1369,0)))</f>
        <v/>
      </c>
      <c r="K60" s="9">
        <f>IF(ISNA(MATCH(51,'Transfer Engine'!$C$2:$C$1369,0)),"",INDEX('Compliance Database'!$K$2:$K$1369,MATCH(51,'Transfer Engine'!$C$2:$C$1369,0)))</f>
        <v/>
      </c>
      <c r="L60" s="9">
        <f>IF(ISNA(MATCH(51,'Transfer Engine'!$C$2:$C$1369,0)),"",INDEX('Compliance Database'!$L$2:$L$1369,MATCH(51,'Transfer Engine'!$C$2:$C$1369,0)))</f>
        <v/>
      </c>
      <c r="M60" s="9">
        <f>IF(ISNA(MATCH(51,'Transfer Engine'!$C$2:$C$1369,0)),"",INDEX('Compliance Database'!$M$2:$M$1369,MATCH(51,'Transfer Engine'!$C$2:$C$1369,0)))</f>
        <v/>
      </c>
      <c r="N60" s="9">
        <f>IF(ISNA(MATCH(51,'Transfer Engine'!$C$2:$C$1369,0)),"",INDEX('Compliance Database'!$N$2:$N$1369,MATCH(51,'Transfer Engine'!$C$2:$C$1369,0)))</f>
        <v/>
      </c>
      <c r="O60" s="8">
        <f>IF(ISNA(MATCH(51,'Transfer Engine'!$C$2:$C$1369,0)),"",HYPERLINK(INDEX('Compliance Database'!$O$2:$O$1369,MATCH(51,'Transfer Engine'!$C$2:$C$1369,0)),"Open PDF"))</f>
        <v/>
      </c>
    </row>
    <row r="61" ht="188" customHeight="1">
      <c r="A61" s="8">
        <f>IF(ISNA(MATCH(52,'Transfer Engine'!$C$2:$C$1369,0)),"",INDEX('Compliance Database'!$A$2:$A$1369,MATCH(52,'Transfer Engine'!$C$2:$C$1369,0)))</f>
        <v/>
      </c>
      <c r="B61" s="8">
        <f>IF(ISNA(MATCH(52,'Transfer Engine'!$C$2:$C$1369,0)),"",INDEX('Compliance Database'!$B$2:$B$1369,MATCH(52,'Transfer Engine'!$C$2:$C$1369,0)))</f>
        <v/>
      </c>
      <c r="C61" s="8">
        <f>IF(ISNA(MATCH(52,'Transfer Engine'!$C$2:$C$1369,0)),"",INDEX('Compliance Database'!$C$2:$C$1369,MATCH(52,'Transfer Engine'!$C$2:$C$1369,0)))</f>
        <v/>
      </c>
      <c r="D61" s="9">
        <f>IF(ISNA(MATCH(52,'Transfer Engine'!$C$2:$C$1369,0)),"",INDEX('Compliance Database'!$D$2:$D$1369,MATCH(52,'Transfer Engine'!$C$2:$C$1369,0)))</f>
        <v/>
      </c>
      <c r="E61" s="8">
        <f>IF(ISNA(MATCH(52,'Transfer Engine'!$C$2:$C$1369,0)),"",INDEX('Compliance Database'!$E$2:$E$1369,MATCH(52,'Transfer Engine'!$C$2:$C$1369,0)))</f>
        <v/>
      </c>
      <c r="F61" s="8">
        <f>IF(ISNA(MATCH(52,'Transfer Engine'!$C$2:$C$1369,0)),"",INDEX('Compliance Database'!$F$2:$F$1369,MATCH(52,'Transfer Engine'!$C$2:$C$1369,0)))</f>
        <v/>
      </c>
      <c r="G61" s="8">
        <f>IF(ISNA(MATCH(52,'Transfer Engine'!$C$2:$C$1369,0)),"",INDEX('Compliance Database'!$G$2:$G$1369,MATCH(52,'Transfer Engine'!$C$2:$C$1369,0)))</f>
        <v/>
      </c>
      <c r="H61" s="9">
        <f>IF(ISNA(MATCH(52,'Transfer Engine'!$C$2:$C$1369,0)),"",INDEX('Compliance Database'!$H$2:$H$1369,MATCH(52,'Transfer Engine'!$C$2:$C$1369,0)))</f>
        <v/>
      </c>
      <c r="I61" s="9">
        <f>IF(ISNA(MATCH(52,'Transfer Engine'!$C$2:$C$1369,0)),"",INDEX('Compliance Database'!$I$2:$I$1369,MATCH(52,'Transfer Engine'!$C$2:$C$1369,0)))</f>
        <v/>
      </c>
      <c r="J61" s="8">
        <f>IF(ISNA(MATCH(52,'Transfer Engine'!$C$2:$C$1369,0)),"",INDEX('Compliance Database'!$J$2:$J$1369,MATCH(52,'Transfer Engine'!$C$2:$C$1369,0)))</f>
        <v/>
      </c>
      <c r="K61" s="9">
        <f>IF(ISNA(MATCH(52,'Transfer Engine'!$C$2:$C$1369,0)),"",INDEX('Compliance Database'!$K$2:$K$1369,MATCH(52,'Transfer Engine'!$C$2:$C$1369,0)))</f>
        <v/>
      </c>
      <c r="L61" s="9">
        <f>IF(ISNA(MATCH(52,'Transfer Engine'!$C$2:$C$1369,0)),"",INDEX('Compliance Database'!$L$2:$L$1369,MATCH(52,'Transfer Engine'!$C$2:$C$1369,0)))</f>
        <v/>
      </c>
      <c r="M61" s="9">
        <f>IF(ISNA(MATCH(52,'Transfer Engine'!$C$2:$C$1369,0)),"",INDEX('Compliance Database'!$M$2:$M$1369,MATCH(52,'Transfer Engine'!$C$2:$C$1369,0)))</f>
        <v/>
      </c>
      <c r="N61" s="9">
        <f>IF(ISNA(MATCH(52,'Transfer Engine'!$C$2:$C$1369,0)),"",INDEX('Compliance Database'!$N$2:$N$1369,MATCH(52,'Transfer Engine'!$C$2:$C$1369,0)))</f>
        <v/>
      </c>
      <c r="O61" s="8">
        <f>IF(ISNA(MATCH(52,'Transfer Engine'!$C$2:$C$1369,0)),"",HYPERLINK(INDEX('Compliance Database'!$O$2:$O$1369,MATCH(52,'Transfer Engine'!$C$2:$C$1369,0)),"Open PDF"))</f>
        <v/>
      </c>
    </row>
    <row r="62" ht="188" customHeight="1">
      <c r="A62" s="8">
        <f>IF(ISNA(MATCH(53,'Transfer Engine'!$C$2:$C$1369,0)),"",INDEX('Compliance Database'!$A$2:$A$1369,MATCH(53,'Transfer Engine'!$C$2:$C$1369,0)))</f>
        <v/>
      </c>
      <c r="B62" s="8">
        <f>IF(ISNA(MATCH(53,'Transfer Engine'!$C$2:$C$1369,0)),"",INDEX('Compliance Database'!$B$2:$B$1369,MATCH(53,'Transfer Engine'!$C$2:$C$1369,0)))</f>
        <v/>
      </c>
      <c r="C62" s="8">
        <f>IF(ISNA(MATCH(53,'Transfer Engine'!$C$2:$C$1369,0)),"",INDEX('Compliance Database'!$C$2:$C$1369,MATCH(53,'Transfer Engine'!$C$2:$C$1369,0)))</f>
        <v/>
      </c>
      <c r="D62" s="9">
        <f>IF(ISNA(MATCH(53,'Transfer Engine'!$C$2:$C$1369,0)),"",INDEX('Compliance Database'!$D$2:$D$1369,MATCH(53,'Transfer Engine'!$C$2:$C$1369,0)))</f>
        <v/>
      </c>
      <c r="E62" s="8">
        <f>IF(ISNA(MATCH(53,'Transfer Engine'!$C$2:$C$1369,0)),"",INDEX('Compliance Database'!$E$2:$E$1369,MATCH(53,'Transfer Engine'!$C$2:$C$1369,0)))</f>
        <v/>
      </c>
      <c r="F62" s="8">
        <f>IF(ISNA(MATCH(53,'Transfer Engine'!$C$2:$C$1369,0)),"",INDEX('Compliance Database'!$F$2:$F$1369,MATCH(53,'Transfer Engine'!$C$2:$C$1369,0)))</f>
        <v/>
      </c>
      <c r="G62" s="8">
        <f>IF(ISNA(MATCH(53,'Transfer Engine'!$C$2:$C$1369,0)),"",INDEX('Compliance Database'!$G$2:$G$1369,MATCH(53,'Transfer Engine'!$C$2:$C$1369,0)))</f>
        <v/>
      </c>
      <c r="H62" s="9">
        <f>IF(ISNA(MATCH(53,'Transfer Engine'!$C$2:$C$1369,0)),"",INDEX('Compliance Database'!$H$2:$H$1369,MATCH(53,'Transfer Engine'!$C$2:$C$1369,0)))</f>
        <v/>
      </c>
      <c r="I62" s="9">
        <f>IF(ISNA(MATCH(53,'Transfer Engine'!$C$2:$C$1369,0)),"",INDEX('Compliance Database'!$I$2:$I$1369,MATCH(53,'Transfer Engine'!$C$2:$C$1369,0)))</f>
        <v/>
      </c>
      <c r="J62" s="8">
        <f>IF(ISNA(MATCH(53,'Transfer Engine'!$C$2:$C$1369,0)),"",INDEX('Compliance Database'!$J$2:$J$1369,MATCH(53,'Transfer Engine'!$C$2:$C$1369,0)))</f>
        <v/>
      </c>
      <c r="K62" s="9">
        <f>IF(ISNA(MATCH(53,'Transfer Engine'!$C$2:$C$1369,0)),"",INDEX('Compliance Database'!$K$2:$K$1369,MATCH(53,'Transfer Engine'!$C$2:$C$1369,0)))</f>
        <v/>
      </c>
      <c r="L62" s="9">
        <f>IF(ISNA(MATCH(53,'Transfer Engine'!$C$2:$C$1369,0)),"",INDEX('Compliance Database'!$L$2:$L$1369,MATCH(53,'Transfer Engine'!$C$2:$C$1369,0)))</f>
        <v/>
      </c>
      <c r="M62" s="9">
        <f>IF(ISNA(MATCH(53,'Transfer Engine'!$C$2:$C$1369,0)),"",INDEX('Compliance Database'!$M$2:$M$1369,MATCH(53,'Transfer Engine'!$C$2:$C$1369,0)))</f>
        <v/>
      </c>
      <c r="N62" s="9">
        <f>IF(ISNA(MATCH(53,'Transfer Engine'!$C$2:$C$1369,0)),"",INDEX('Compliance Database'!$N$2:$N$1369,MATCH(53,'Transfer Engine'!$C$2:$C$1369,0)))</f>
        <v/>
      </c>
      <c r="O62" s="8">
        <f>IF(ISNA(MATCH(53,'Transfer Engine'!$C$2:$C$1369,0)),"",HYPERLINK(INDEX('Compliance Database'!$O$2:$O$1369,MATCH(53,'Transfer Engine'!$C$2:$C$1369,0)),"Open PDF"))</f>
        <v/>
      </c>
    </row>
    <row r="63" ht="188" customHeight="1">
      <c r="A63" s="8">
        <f>IF(ISNA(MATCH(54,'Transfer Engine'!$C$2:$C$1369,0)),"",INDEX('Compliance Database'!$A$2:$A$1369,MATCH(54,'Transfer Engine'!$C$2:$C$1369,0)))</f>
        <v/>
      </c>
      <c r="B63" s="8">
        <f>IF(ISNA(MATCH(54,'Transfer Engine'!$C$2:$C$1369,0)),"",INDEX('Compliance Database'!$B$2:$B$1369,MATCH(54,'Transfer Engine'!$C$2:$C$1369,0)))</f>
        <v/>
      </c>
      <c r="C63" s="8">
        <f>IF(ISNA(MATCH(54,'Transfer Engine'!$C$2:$C$1369,0)),"",INDEX('Compliance Database'!$C$2:$C$1369,MATCH(54,'Transfer Engine'!$C$2:$C$1369,0)))</f>
        <v/>
      </c>
      <c r="D63" s="9">
        <f>IF(ISNA(MATCH(54,'Transfer Engine'!$C$2:$C$1369,0)),"",INDEX('Compliance Database'!$D$2:$D$1369,MATCH(54,'Transfer Engine'!$C$2:$C$1369,0)))</f>
        <v/>
      </c>
      <c r="E63" s="8">
        <f>IF(ISNA(MATCH(54,'Transfer Engine'!$C$2:$C$1369,0)),"",INDEX('Compliance Database'!$E$2:$E$1369,MATCH(54,'Transfer Engine'!$C$2:$C$1369,0)))</f>
        <v/>
      </c>
      <c r="F63" s="8">
        <f>IF(ISNA(MATCH(54,'Transfer Engine'!$C$2:$C$1369,0)),"",INDEX('Compliance Database'!$F$2:$F$1369,MATCH(54,'Transfer Engine'!$C$2:$C$1369,0)))</f>
        <v/>
      </c>
      <c r="G63" s="8">
        <f>IF(ISNA(MATCH(54,'Transfer Engine'!$C$2:$C$1369,0)),"",INDEX('Compliance Database'!$G$2:$G$1369,MATCH(54,'Transfer Engine'!$C$2:$C$1369,0)))</f>
        <v/>
      </c>
      <c r="H63" s="9">
        <f>IF(ISNA(MATCH(54,'Transfer Engine'!$C$2:$C$1369,0)),"",INDEX('Compliance Database'!$H$2:$H$1369,MATCH(54,'Transfer Engine'!$C$2:$C$1369,0)))</f>
        <v/>
      </c>
      <c r="I63" s="9">
        <f>IF(ISNA(MATCH(54,'Transfer Engine'!$C$2:$C$1369,0)),"",INDEX('Compliance Database'!$I$2:$I$1369,MATCH(54,'Transfer Engine'!$C$2:$C$1369,0)))</f>
        <v/>
      </c>
      <c r="J63" s="8">
        <f>IF(ISNA(MATCH(54,'Transfer Engine'!$C$2:$C$1369,0)),"",INDEX('Compliance Database'!$J$2:$J$1369,MATCH(54,'Transfer Engine'!$C$2:$C$1369,0)))</f>
        <v/>
      </c>
      <c r="K63" s="9">
        <f>IF(ISNA(MATCH(54,'Transfer Engine'!$C$2:$C$1369,0)),"",INDEX('Compliance Database'!$K$2:$K$1369,MATCH(54,'Transfer Engine'!$C$2:$C$1369,0)))</f>
        <v/>
      </c>
      <c r="L63" s="9">
        <f>IF(ISNA(MATCH(54,'Transfer Engine'!$C$2:$C$1369,0)),"",INDEX('Compliance Database'!$L$2:$L$1369,MATCH(54,'Transfer Engine'!$C$2:$C$1369,0)))</f>
        <v/>
      </c>
      <c r="M63" s="9">
        <f>IF(ISNA(MATCH(54,'Transfer Engine'!$C$2:$C$1369,0)),"",INDEX('Compliance Database'!$M$2:$M$1369,MATCH(54,'Transfer Engine'!$C$2:$C$1369,0)))</f>
        <v/>
      </c>
      <c r="N63" s="9">
        <f>IF(ISNA(MATCH(54,'Transfer Engine'!$C$2:$C$1369,0)),"",INDEX('Compliance Database'!$N$2:$N$1369,MATCH(54,'Transfer Engine'!$C$2:$C$1369,0)))</f>
        <v/>
      </c>
      <c r="O63" s="8">
        <f>IF(ISNA(MATCH(54,'Transfer Engine'!$C$2:$C$1369,0)),"",HYPERLINK(INDEX('Compliance Database'!$O$2:$O$1369,MATCH(54,'Transfer Engine'!$C$2:$C$1369,0)),"Open PDF"))</f>
        <v/>
      </c>
    </row>
    <row r="64" ht="188" customHeight="1">
      <c r="A64" s="8">
        <f>IF(ISNA(MATCH(55,'Transfer Engine'!$C$2:$C$1369,0)),"",INDEX('Compliance Database'!$A$2:$A$1369,MATCH(55,'Transfer Engine'!$C$2:$C$1369,0)))</f>
        <v/>
      </c>
      <c r="B64" s="8">
        <f>IF(ISNA(MATCH(55,'Transfer Engine'!$C$2:$C$1369,0)),"",INDEX('Compliance Database'!$B$2:$B$1369,MATCH(55,'Transfer Engine'!$C$2:$C$1369,0)))</f>
        <v/>
      </c>
      <c r="C64" s="8">
        <f>IF(ISNA(MATCH(55,'Transfer Engine'!$C$2:$C$1369,0)),"",INDEX('Compliance Database'!$C$2:$C$1369,MATCH(55,'Transfer Engine'!$C$2:$C$1369,0)))</f>
        <v/>
      </c>
      <c r="D64" s="9">
        <f>IF(ISNA(MATCH(55,'Transfer Engine'!$C$2:$C$1369,0)),"",INDEX('Compliance Database'!$D$2:$D$1369,MATCH(55,'Transfer Engine'!$C$2:$C$1369,0)))</f>
        <v/>
      </c>
      <c r="E64" s="8">
        <f>IF(ISNA(MATCH(55,'Transfer Engine'!$C$2:$C$1369,0)),"",INDEX('Compliance Database'!$E$2:$E$1369,MATCH(55,'Transfer Engine'!$C$2:$C$1369,0)))</f>
        <v/>
      </c>
      <c r="F64" s="8">
        <f>IF(ISNA(MATCH(55,'Transfer Engine'!$C$2:$C$1369,0)),"",INDEX('Compliance Database'!$F$2:$F$1369,MATCH(55,'Transfer Engine'!$C$2:$C$1369,0)))</f>
        <v/>
      </c>
      <c r="G64" s="8">
        <f>IF(ISNA(MATCH(55,'Transfer Engine'!$C$2:$C$1369,0)),"",INDEX('Compliance Database'!$G$2:$G$1369,MATCH(55,'Transfer Engine'!$C$2:$C$1369,0)))</f>
        <v/>
      </c>
      <c r="H64" s="9">
        <f>IF(ISNA(MATCH(55,'Transfer Engine'!$C$2:$C$1369,0)),"",INDEX('Compliance Database'!$H$2:$H$1369,MATCH(55,'Transfer Engine'!$C$2:$C$1369,0)))</f>
        <v/>
      </c>
      <c r="I64" s="9">
        <f>IF(ISNA(MATCH(55,'Transfer Engine'!$C$2:$C$1369,0)),"",INDEX('Compliance Database'!$I$2:$I$1369,MATCH(55,'Transfer Engine'!$C$2:$C$1369,0)))</f>
        <v/>
      </c>
      <c r="J64" s="8">
        <f>IF(ISNA(MATCH(55,'Transfer Engine'!$C$2:$C$1369,0)),"",INDEX('Compliance Database'!$J$2:$J$1369,MATCH(55,'Transfer Engine'!$C$2:$C$1369,0)))</f>
        <v/>
      </c>
      <c r="K64" s="9">
        <f>IF(ISNA(MATCH(55,'Transfer Engine'!$C$2:$C$1369,0)),"",INDEX('Compliance Database'!$K$2:$K$1369,MATCH(55,'Transfer Engine'!$C$2:$C$1369,0)))</f>
        <v/>
      </c>
      <c r="L64" s="9">
        <f>IF(ISNA(MATCH(55,'Transfer Engine'!$C$2:$C$1369,0)),"",INDEX('Compliance Database'!$L$2:$L$1369,MATCH(55,'Transfer Engine'!$C$2:$C$1369,0)))</f>
        <v/>
      </c>
      <c r="M64" s="9">
        <f>IF(ISNA(MATCH(55,'Transfer Engine'!$C$2:$C$1369,0)),"",INDEX('Compliance Database'!$M$2:$M$1369,MATCH(55,'Transfer Engine'!$C$2:$C$1369,0)))</f>
        <v/>
      </c>
      <c r="N64" s="9">
        <f>IF(ISNA(MATCH(55,'Transfer Engine'!$C$2:$C$1369,0)),"",INDEX('Compliance Database'!$N$2:$N$1369,MATCH(55,'Transfer Engine'!$C$2:$C$1369,0)))</f>
        <v/>
      </c>
      <c r="O64" s="8">
        <f>IF(ISNA(MATCH(55,'Transfer Engine'!$C$2:$C$1369,0)),"",HYPERLINK(INDEX('Compliance Database'!$O$2:$O$1369,MATCH(55,'Transfer Engine'!$C$2:$C$1369,0)),"Open PDF"))</f>
        <v/>
      </c>
    </row>
    <row r="65" ht="188" customHeight="1">
      <c r="A65" s="8">
        <f>IF(ISNA(MATCH(56,'Transfer Engine'!$C$2:$C$1369,0)),"",INDEX('Compliance Database'!$A$2:$A$1369,MATCH(56,'Transfer Engine'!$C$2:$C$1369,0)))</f>
        <v/>
      </c>
      <c r="B65" s="8">
        <f>IF(ISNA(MATCH(56,'Transfer Engine'!$C$2:$C$1369,0)),"",INDEX('Compliance Database'!$B$2:$B$1369,MATCH(56,'Transfer Engine'!$C$2:$C$1369,0)))</f>
        <v/>
      </c>
      <c r="C65" s="8">
        <f>IF(ISNA(MATCH(56,'Transfer Engine'!$C$2:$C$1369,0)),"",INDEX('Compliance Database'!$C$2:$C$1369,MATCH(56,'Transfer Engine'!$C$2:$C$1369,0)))</f>
        <v/>
      </c>
      <c r="D65" s="9">
        <f>IF(ISNA(MATCH(56,'Transfer Engine'!$C$2:$C$1369,0)),"",INDEX('Compliance Database'!$D$2:$D$1369,MATCH(56,'Transfer Engine'!$C$2:$C$1369,0)))</f>
        <v/>
      </c>
      <c r="E65" s="8">
        <f>IF(ISNA(MATCH(56,'Transfer Engine'!$C$2:$C$1369,0)),"",INDEX('Compliance Database'!$E$2:$E$1369,MATCH(56,'Transfer Engine'!$C$2:$C$1369,0)))</f>
        <v/>
      </c>
      <c r="F65" s="8">
        <f>IF(ISNA(MATCH(56,'Transfer Engine'!$C$2:$C$1369,0)),"",INDEX('Compliance Database'!$F$2:$F$1369,MATCH(56,'Transfer Engine'!$C$2:$C$1369,0)))</f>
        <v/>
      </c>
      <c r="G65" s="8">
        <f>IF(ISNA(MATCH(56,'Transfer Engine'!$C$2:$C$1369,0)),"",INDEX('Compliance Database'!$G$2:$G$1369,MATCH(56,'Transfer Engine'!$C$2:$C$1369,0)))</f>
        <v/>
      </c>
      <c r="H65" s="9">
        <f>IF(ISNA(MATCH(56,'Transfer Engine'!$C$2:$C$1369,0)),"",INDEX('Compliance Database'!$H$2:$H$1369,MATCH(56,'Transfer Engine'!$C$2:$C$1369,0)))</f>
        <v/>
      </c>
      <c r="I65" s="9">
        <f>IF(ISNA(MATCH(56,'Transfer Engine'!$C$2:$C$1369,0)),"",INDEX('Compliance Database'!$I$2:$I$1369,MATCH(56,'Transfer Engine'!$C$2:$C$1369,0)))</f>
        <v/>
      </c>
      <c r="J65" s="8">
        <f>IF(ISNA(MATCH(56,'Transfer Engine'!$C$2:$C$1369,0)),"",INDEX('Compliance Database'!$J$2:$J$1369,MATCH(56,'Transfer Engine'!$C$2:$C$1369,0)))</f>
        <v/>
      </c>
      <c r="K65" s="9">
        <f>IF(ISNA(MATCH(56,'Transfer Engine'!$C$2:$C$1369,0)),"",INDEX('Compliance Database'!$K$2:$K$1369,MATCH(56,'Transfer Engine'!$C$2:$C$1369,0)))</f>
        <v/>
      </c>
      <c r="L65" s="9">
        <f>IF(ISNA(MATCH(56,'Transfer Engine'!$C$2:$C$1369,0)),"",INDEX('Compliance Database'!$L$2:$L$1369,MATCH(56,'Transfer Engine'!$C$2:$C$1369,0)))</f>
        <v/>
      </c>
      <c r="M65" s="9">
        <f>IF(ISNA(MATCH(56,'Transfer Engine'!$C$2:$C$1369,0)),"",INDEX('Compliance Database'!$M$2:$M$1369,MATCH(56,'Transfer Engine'!$C$2:$C$1369,0)))</f>
        <v/>
      </c>
      <c r="N65" s="9">
        <f>IF(ISNA(MATCH(56,'Transfer Engine'!$C$2:$C$1369,0)),"",INDEX('Compliance Database'!$N$2:$N$1369,MATCH(56,'Transfer Engine'!$C$2:$C$1369,0)))</f>
        <v/>
      </c>
      <c r="O65" s="8">
        <f>IF(ISNA(MATCH(56,'Transfer Engine'!$C$2:$C$1369,0)),"",HYPERLINK(INDEX('Compliance Database'!$O$2:$O$1369,MATCH(56,'Transfer Engine'!$C$2:$C$1369,0)),"Open PDF"))</f>
        <v/>
      </c>
    </row>
    <row r="66" ht="188" customHeight="1">
      <c r="A66" s="8">
        <f>IF(ISNA(MATCH(57,'Transfer Engine'!$C$2:$C$1369,0)),"",INDEX('Compliance Database'!$A$2:$A$1369,MATCH(57,'Transfer Engine'!$C$2:$C$1369,0)))</f>
        <v/>
      </c>
      <c r="B66" s="8">
        <f>IF(ISNA(MATCH(57,'Transfer Engine'!$C$2:$C$1369,0)),"",INDEX('Compliance Database'!$B$2:$B$1369,MATCH(57,'Transfer Engine'!$C$2:$C$1369,0)))</f>
        <v/>
      </c>
      <c r="C66" s="8">
        <f>IF(ISNA(MATCH(57,'Transfer Engine'!$C$2:$C$1369,0)),"",INDEX('Compliance Database'!$C$2:$C$1369,MATCH(57,'Transfer Engine'!$C$2:$C$1369,0)))</f>
        <v/>
      </c>
      <c r="D66" s="9">
        <f>IF(ISNA(MATCH(57,'Transfer Engine'!$C$2:$C$1369,0)),"",INDEX('Compliance Database'!$D$2:$D$1369,MATCH(57,'Transfer Engine'!$C$2:$C$1369,0)))</f>
        <v/>
      </c>
      <c r="E66" s="8">
        <f>IF(ISNA(MATCH(57,'Transfer Engine'!$C$2:$C$1369,0)),"",INDEX('Compliance Database'!$E$2:$E$1369,MATCH(57,'Transfer Engine'!$C$2:$C$1369,0)))</f>
        <v/>
      </c>
      <c r="F66" s="8">
        <f>IF(ISNA(MATCH(57,'Transfer Engine'!$C$2:$C$1369,0)),"",INDEX('Compliance Database'!$F$2:$F$1369,MATCH(57,'Transfer Engine'!$C$2:$C$1369,0)))</f>
        <v/>
      </c>
      <c r="G66" s="8">
        <f>IF(ISNA(MATCH(57,'Transfer Engine'!$C$2:$C$1369,0)),"",INDEX('Compliance Database'!$G$2:$G$1369,MATCH(57,'Transfer Engine'!$C$2:$C$1369,0)))</f>
        <v/>
      </c>
      <c r="H66" s="9">
        <f>IF(ISNA(MATCH(57,'Transfer Engine'!$C$2:$C$1369,0)),"",INDEX('Compliance Database'!$H$2:$H$1369,MATCH(57,'Transfer Engine'!$C$2:$C$1369,0)))</f>
        <v/>
      </c>
      <c r="I66" s="9">
        <f>IF(ISNA(MATCH(57,'Transfer Engine'!$C$2:$C$1369,0)),"",INDEX('Compliance Database'!$I$2:$I$1369,MATCH(57,'Transfer Engine'!$C$2:$C$1369,0)))</f>
        <v/>
      </c>
      <c r="J66" s="8">
        <f>IF(ISNA(MATCH(57,'Transfer Engine'!$C$2:$C$1369,0)),"",INDEX('Compliance Database'!$J$2:$J$1369,MATCH(57,'Transfer Engine'!$C$2:$C$1369,0)))</f>
        <v/>
      </c>
      <c r="K66" s="9">
        <f>IF(ISNA(MATCH(57,'Transfer Engine'!$C$2:$C$1369,0)),"",INDEX('Compliance Database'!$K$2:$K$1369,MATCH(57,'Transfer Engine'!$C$2:$C$1369,0)))</f>
        <v/>
      </c>
      <c r="L66" s="9">
        <f>IF(ISNA(MATCH(57,'Transfer Engine'!$C$2:$C$1369,0)),"",INDEX('Compliance Database'!$L$2:$L$1369,MATCH(57,'Transfer Engine'!$C$2:$C$1369,0)))</f>
        <v/>
      </c>
      <c r="M66" s="9">
        <f>IF(ISNA(MATCH(57,'Transfer Engine'!$C$2:$C$1369,0)),"",INDEX('Compliance Database'!$M$2:$M$1369,MATCH(57,'Transfer Engine'!$C$2:$C$1369,0)))</f>
        <v/>
      </c>
      <c r="N66" s="9">
        <f>IF(ISNA(MATCH(57,'Transfer Engine'!$C$2:$C$1369,0)),"",INDEX('Compliance Database'!$N$2:$N$1369,MATCH(57,'Transfer Engine'!$C$2:$C$1369,0)))</f>
        <v/>
      </c>
      <c r="O66" s="8">
        <f>IF(ISNA(MATCH(57,'Transfer Engine'!$C$2:$C$1369,0)),"",HYPERLINK(INDEX('Compliance Database'!$O$2:$O$1369,MATCH(57,'Transfer Engine'!$C$2:$C$1369,0)),"Open PDF"))</f>
        <v/>
      </c>
    </row>
    <row r="67" ht="188" customHeight="1">
      <c r="A67" s="8">
        <f>IF(ISNA(MATCH(58,'Transfer Engine'!$C$2:$C$1369,0)),"",INDEX('Compliance Database'!$A$2:$A$1369,MATCH(58,'Transfer Engine'!$C$2:$C$1369,0)))</f>
        <v/>
      </c>
      <c r="B67" s="8">
        <f>IF(ISNA(MATCH(58,'Transfer Engine'!$C$2:$C$1369,0)),"",INDEX('Compliance Database'!$B$2:$B$1369,MATCH(58,'Transfer Engine'!$C$2:$C$1369,0)))</f>
        <v/>
      </c>
      <c r="C67" s="8">
        <f>IF(ISNA(MATCH(58,'Transfer Engine'!$C$2:$C$1369,0)),"",INDEX('Compliance Database'!$C$2:$C$1369,MATCH(58,'Transfer Engine'!$C$2:$C$1369,0)))</f>
        <v/>
      </c>
      <c r="D67" s="9">
        <f>IF(ISNA(MATCH(58,'Transfer Engine'!$C$2:$C$1369,0)),"",INDEX('Compliance Database'!$D$2:$D$1369,MATCH(58,'Transfer Engine'!$C$2:$C$1369,0)))</f>
        <v/>
      </c>
      <c r="E67" s="8">
        <f>IF(ISNA(MATCH(58,'Transfer Engine'!$C$2:$C$1369,0)),"",INDEX('Compliance Database'!$E$2:$E$1369,MATCH(58,'Transfer Engine'!$C$2:$C$1369,0)))</f>
        <v/>
      </c>
      <c r="F67" s="8">
        <f>IF(ISNA(MATCH(58,'Transfer Engine'!$C$2:$C$1369,0)),"",INDEX('Compliance Database'!$F$2:$F$1369,MATCH(58,'Transfer Engine'!$C$2:$C$1369,0)))</f>
        <v/>
      </c>
      <c r="G67" s="8">
        <f>IF(ISNA(MATCH(58,'Transfer Engine'!$C$2:$C$1369,0)),"",INDEX('Compliance Database'!$G$2:$G$1369,MATCH(58,'Transfer Engine'!$C$2:$C$1369,0)))</f>
        <v/>
      </c>
      <c r="H67" s="9">
        <f>IF(ISNA(MATCH(58,'Transfer Engine'!$C$2:$C$1369,0)),"",INDEX('Compliance Database'!$H$2:$H$1369,MATCH(58,'Transfer Engine'!$C$2:$C$1369,0)))</f>
        <v/>
      </c>
      <c r="I67" s="9">
        <f>IF(ISNA(MATCH(58,'Transfer Engine'!$C$2:$C$1369,0)),"",INDEX('Compliance Database'!$I$2:$I$1369,MATCH(58,'Transfer Engine'!$C$2:$C$1369,0)))</f>
        <v/>
      </c>
      <c r="J67" s="8">
        <f>IF(ISNA(MATCH(58,'Transfer Engine'!$C$2:$C$1369,0)),"",INDEX('Compliance Database'!$J$2:$J$1369,MATCH(58,'Transfer Engine'!$C$2:$C$1369,0)))</f>
        <v/>
      </c>
      <c r="K67" s="9">
        <f>IF(ISNA(MATCH(58,'Transfer Engine'!$C$2:$C$1369,0)),"",INDEX('Compliance Database'!$K$2:$K$1369,MATCH(58,'Transfer Engine'!$C$2:$C$1369,0)))</f>
        <v/>
      </c>
      <c r="L67" s="9">
        <f>IF(ISNA(MATCH(58,'Transfer Engine'!$C$2:$C$1369,0)),"",INDEX('Compliance Database'!$L$2:$L$1369,MATCH(58,'Transfer Engine'!$C$2:$C$1369,0)))</f>
        <v/>
      </c>
      <c r="M67" s="9">
        <f>IF(ISNA(MATCH(58,'Transfer Engine'!$C$2:$C$1369,0)),"",INDEX('Compliance Database'!$M$2:$M$1369,MATCH(58,'Transfer Engine'!$C$2:$C$1369,0)))</f>
        <v/>
      </c>
      <c r="N67" s="9">
        <f>IF(ISNA(MATCH(58,'Transfer Engine'!$C$2:$C$1369,0)),"",INDEX('Compliance Database'!$N$2:$N$1369,MATCH(58,'Transfer Engine'!$C$2:$C$1369,0)))</f>
        <v/>
      </c>
      <c r="O67" s="8">
        <f>IF(ISNA(MATCH(58,'Transfer Engine'!$C$2:$C$1369,0)),"",HYPERLINK(INDEX('Compliance Database'!$O$2:$O$1369,MATCH(58,'Transfer Engine'!$C$2:$C$1369,0)),"Open PDF"))</f>
        <v/>
      </c>
    </row>
    <row r="68" ht="188" customHeight="1">
      <c r="A68" s="8">
        <f>IF(ISNA(MATCH(59,'Transfer Engine'!$C$2:$C$1369,0)),"",INDEX('Compliance Database'!$A$2:$A$1369,MATCH(59,'Transfer Engine'!$C$2:$C$1369,0)))</f>
        <v/>
      </c>
      <c r="B68" s="8">
        <f>IF(ISNA(MATCH(59,'Transfer Engine'!$C$2:$C$1369,0)),"",INDEX('Compliance Database'!$B$2:$B$1369,MATCH(59,'Transfer Engine'!$C$2:$C$1369,0)))</f>
        <v/>
      </c>
      <c r="C68" s="8">
        <f>IF(ISNA(MATCH(59,'Transfer Engine'!$C$2:$C$1369,0)),"",INDEX('Compliance Database'!$C$2:$C$1369,MATCH(59,'Transfer Engine'!$C$2:$C$1369,0)))</f>
        <v/>
      </c>
      <c r="D68" s="9">
        <f>IF(ISNA(MATCH(59,'Transfer Engine'!$C$2:$C$1369,0)),"",INDEX('Compliance Database'!$D$2:$D$1369,MATCH(59,'Transfer Engine'!$C$2:$C$1369,0)))</f>
        <v/>
      </c>
      <c r="E68" s="8">
        <f>IF(ISNA(MATCH(59,'Transfer Engine'!$C$2:$C$1369,0)),"",INDEX('Compliance Database'!$E$2:$E$1369,MATCH(59,'Transfer Engine'!$C$2:$C$1369,0)))</f>
        <v/>
      </c>
      <c r="F68" s="8">
        <f>IF(ISNA(MATCH(59,'Transfer Engine'!$C$2:$C$1369,0)),"",INDEX('Compliance Database'!$F$2:$F$1369,MATCH(59,'Transfer Engine'!$C$2:$C$1369,0)))</f>
        <v/>
      </c>
      <c r="G68" s="8">
        <f>IF(ISNA(MATCH(59,'Transfer Engine'!$C$2:$C$1369,0)),"",INDEX('Compliance Database'!$G$2:$G$1369,MATCH(59,'Transfer Engine'!$C$2:$C$1369,0)))</f>
        <v/>
      </c>
      <c r="H68" s="9">
        <f>IF(ISNA(MATCH(59,'Transfer Engine'!$C$2:$C$1369,0)),"",INDEX('Compliance Database'!$H$2:$H$1369,MATCH(59,'Transfer Engine'!$C$2:$C$1369,0)))</f>
        <v/>
      </c>
      <c r="I68" s="9">
        <f>IF(ISNA(MATCH(59,'Transfer Engine'!$C$2:$C$1369,0)),"",INDEX('Compliance Database'!$I$2:$I$1369,MATCH(59,'Transfer Engine'!$C$2:$C$1369,0)))</f>
        <v/>
      </c>
      <c r="J68" s="8">
        <f>IF(ISNA(MATCH(59,'Transfer Engine'!$C$2:$C$1369,0)),"",INDEX('Compliance Database'!$J$2:$J$1369,MATCH(59,'Transfer Engine'!$C$2:$C$1369,0)))</f>
        <v/>
      </c>
      <c r="K68" s="9">
        <f>IF(ISNA(MATCH(59,'Transfer Engine'!$C$2:$C$1369,0)),"",INDEX('Compliance Database'!$K$2:$K$1369,MATCH(59,'Transfer Engine'!$C$2:$C$1369,0)))</f>
        <v/>
      </c>
      <c r="L68" s="9">
        <f>IF(ISNA(MATCH(59,'Transfer Engine'!$C$2:$C$1369,0)),"",INDEX('Compliance Database'!$L$2:$L$1369,MATCH(59,'Transfer Engine'!$C$2:$C$1369,0)))</f>
        <v/>
      </c>
      <c r="M68" s="9">
        <f>IF(ISNA(MATCH(59,'Transfer Engine'!$C$2:$C$1369,0)),"",INDEX('Compliance Database'!$M$2:$M$1369,MATCH(59,'Transfer Engine'!$C$2:$C$1369,0)))</f>
        <v/>
      </c>
      <c r="N68" s="9">
        <f>IF(ISNA(MATCH(59,'Transfer Engine'!$C$2:$C$1369,0)),"",INDEX('Compliance Database'!$N$2:$N$1369,MATCH(59,'Transfer Engine'!$C$2:$C$1369,0)))</f>
        <v/>
      </c>
      <c r="O68" s="8">
        <f>IF(ISNA(MATCH(59,'Transfer Engine'!$C$2:$C$1369,0)),"",HYPERLINK(INDEX('Compliance Database'!$O$2:$O$1369,MATCH(59,'Transfer Engine'!$C$2:$C$1369,0)),"Open PDF"))</f>
        <v/>
      </c>
    </row>
    <row r="69" ht="188" customHeight="1">
      <c r="A69" s="8">
        <f>IF(ISNA(MATCH(60,'Transfer Engine'!$C$2:$C$1369,0)),"",INDEX('Compliance Database'!$A$2:$A$1369,MATCH(60,'Transfer Engine'!$C$2:$C$1369,0)))</f>
        <v/>
      </c>
      <c r="B69" s="8">
        <f>IF(ISNA(MATCH(60,'Transfer Engine'!$C$2:$C$1369,0)),"",INDEX('Compliance Database'!$B$2:$B$1369,MATCH(60,'Transfer Engine'!$C$2:$C$1369,0)))</f>
        <v/>
      </c>
      <c r="C69" s="8">
        <f>IF(ISNA(MATCH(60,'Transfer Engine'!$C$2:$C$1369,0)),"",INDEX('Compliance Database'!$C$2:$C$1369,MATCH(60,'Transfer Engine'!$C$2:$C$1369,0)))</f>
        <v/>
      </c>
      <c r="D69" s="9">
        <f>IF(ISNA(MATCH(60,'Transfer Engine'!$C$2:$C$1369,0)),"",INDEX('Compliance Database'!$D$2:$D$1369,MATCH(60,'Transfer Engine'!$C$2:$C$1369,0)))</f>
        <v/>
      </c>
      <c r="E69" s="8">
        <f>IF(ISNA(MATCH(60,'Transfer Engine'!$C$2:$C$1369,0)),"",INDEX('Compliance Database'!$E$2:$E$1369,MATCH(60,'Transfer Engine'!$C$2:$C$1369,0)))</f>
        <v/>
      </c>
      <c r="F69" s="8">
        <f>IF(ISNA(MATCH(60,'Transfer Engine'!$C$2:$C$1369,0)),"",INDEX('Compliance Database'!$F$2:$F$1369,MATCH(60,'Transfer Engine'!$C$2:$C$1369,0)))</f>
        <v/>
      </c>
      <c r="G69" s="8">
        <f>IF(ISNA(MATCH(60,'Transfer Engine'!$C$2:$C$1369,0)),"",INDEX('Compliance Database'!$G$2:$G$1369,MATCH(60,'Transfer Engine'!$C$2:$C$1369,0)))</f>
        <v/>
      </c>
      <c r="H69" s="9">
        <f>IF(ISNA(MATCH(60,'Transfer Engine'!$C$2:$C$1369,0)),"",INDEX('Compliance Database'!$H$2:$H$1369,MATCH(60,'Transfer Engine'!$C$2:$C$1369,0)))</f>
        <v/>
      </c>
      <c r="I69" s="9">
        <f>IF(ISNA(MATCH(60,'Transfer Engine'!$C$2:$C$1369,0)),"",INDEX('Compliance Database'!$I$2:$I$1369,MATCH(60,'Transfer Engine'!$C$2:$C$1369,0)))</f>
        <v/>
      </c>
      <c r="J69" s="8">
        <f>IF(ISNA(MATCH(60,'Transfer Engine'!$C$2:$C$1369,0)),"",INDEX('Compliance Database'!$J$2:$J$1369,MATCH(60,'Transfer Engine'!$C$2:$C$1369,0)))</f>
        <v/>
      </c>
      <c r="K69" s="9">
        <f>IF(ISNA(MATCH(60,'Transfer Engine'!$C$2:$C$1369,0)),"",INDEX('Compliance Database'!$K$2:$K$1369,MATCH(60,'Transfer Engine'!$C$2:$C$1369,0)))</f>
        <v/>
      </c>
      <c r="L69" s="9">
        <f>IF(ISNA(MATCH(60,'Transfer Engine'!$C$2:$C$1369,0)),"",INDEX('Compliance Database'!$L$2:$L$1369,MATCH(60,'Transfer Engine'!$C$2:$C$1369,0)))</f>
        <v/>
      </c>
      <c r="M69" s="9">
        <f>IF(ISNA(MATCH(60,'Transfer Engine'!$C$2:$C$1369,0)),"",INDEX('Compliance Database'!$M$2:$M$1369,MATCH(60,'Transfer Engine'!$C$2:$C$1369,0)))</f>
        <v/>
      </c>
      <c r="N69" s="9">
        <f>IF(ISNA(MATCH(60,'Transfer Engine'!$C$2:$C$1369,0)),"",INDEX('Compliance Database'!$N$2:$N$1369,MATCH(60,'Transfer Engine'!$C$2:$C$1369,0)))</f>
        <v/>
      </c>
      <c r="O69" s="8">
        <f>IF(ISNA(MATCH(60,'Transfer Engine'!$C$2:$C$1369,0)),"",HYPERLINK(INDEX('Compliance Database'!$O$2:$O$1369,MATCH(60,'Transfer Engine'!$C$2:$C$1369,0)),"Open PDF"))</f>
        <v/>
      </c>
    </row>
    <row r="70" ht="188" customHeight="1">
      <c r="A70" s="8">
        <f>IF(ISNA(MATCH(61,'Transfer Engine'!$C$2:$C$1369,0)),"",INDEX('Compliance Database'!$A$2:$A$1369,MATCH(61,'Transfer Engine'!$C$2:$C$1369,0)))</f>
        <v/>
      </c>
      <c r="B70" s="8">
        <f>IF(ISNA(MATCH(61,'Transfer Engine'!$C$2:$C$1369,0)),"",INDEX('Compliance Database'!$B$2:$B$1369,MATCH(61,'Transfer Engine'!$C$2:$C$1369,0)))</f>
        <v/>
      </c>
      <c r="C70" s="8">
        <f>IF(ISNA(MATCH(61,'Transfer Engine'!$C$2:$C$1369,0)),"",INDEX('Compliance Database'!$C$2:$C$1369,MATCH(61,'Transfer Engine'!$C$2:$C$1369,0)))</f>
        <v/>
      </c>
      <c r="D70" s="9">
        <f>IF(ISNA(MATCH(61,'Transfer Engine'!$C$2:$C$1369,0)),"",INDEX('Compliance Database'!$D$2:$D$1369,MATCH(61,'Transfer Engine'!$C$2:$C$1369,0)))</f>
        <v/>
      </c>
      <c r="E70" s="8">
        <f>IF(ISNA(MATCH(61,'Transfer Engine'!$C$2:$C$1369,0)),"",INDEX('Compliance Database'!$E$2:$E$1369,MATCH(61,'Transfer Engine'!$C$2:$C$1369,0)))</f>
        <v/>
      </c>
      <c r="F70" s="8">
        <f>IF(ISNA(MATCH(61,'Transfer Engine'!$C$2:$C$1369,0)),"",INDEX('Compliance Database'!$F$2:$F$1369,MATCH(61,'Transfer Engine'!$C$2:$C$1369,0)))</f>
        <v/>
      </c>
      <c r="G70" s="8">
        <f>IF(ISNA(MATCH(61,'Transfer Engine'!$C$2:$C$1369,0)),"",INDEX('Compliance Database'!$G$2:$G$1369,MATCH(61,'Transfer Engine'!$C$2:$C$1369,0)))</f>
        <v/>
      </c>
      <c r="H70" s="9">
        <f>IF(ISNA(MATCH(61,'Transfer Engine'!$C$2:$C$1369,0)),"",INDEX('Compliance Database'!$H$2:$H$1369,MATCH(61,'Transfer Engine'!$C$2:$C$1369,0)))</f>
        <v/>
      </c>
      <c r="I70" s="9">
        <f>IF(ISNA(MATCH(61,'Transfer Engine'!$C$2:$C$1369,0)),"",INDEX('Compliance Database'!$I$2:$I$1369,MATCH(61,'Transfer Engine'!$C$2:$C$1369,0)))</f>
        <v/>
      </c>
      <c r="J70" s="8">
        <f>IF(ISNA(MATCH(61,'Transfer Engine'!$C$2:$C$1369,0)),"",INDEX('Compliance Database'!$J$2:$J$1369,MATCH(61,'Transfer Engine'!$C$2:$C$1369,0)))</f>
        <v/>
      </c>
      <c r="K70" s="9">
        <f>IF(ISNA(MATCH(61,'Transfer Engine'!$C$2:$C$1369,0)),"",INDEX('Compliance Database'!$K$2:$K$1369,MATCH(61,'Transfer Engine'!$C$2:$C$1369,0)))</f>
        <v/>
      </c>
      <c r="L70" s="9">
        <f>IF(ISNA(MATCH(61,'Transfer Engine'!$C$2:$C$1369,0)),"",INDEX('Compliance Database'!$L$2:$L$1369,MATCH(61,'Transfer Engine'!$C$2:$C$1369,0)))</f>
        <v/>
      </c>
      <c r="M70" s="9">
        <f>IF(ISNA(MATCH(61,'Transfer Engine'!$C$2:$C$1369,0)),"",INDEX('Compliance Database'!$M$2:$M$1369,MATCH(61,'Transfer Engine'!$C$2:$C$1369,0)))</f>
        <v/>
      </c>
      <c r="N70" s="9">
        <f>IF(ISNA(MATCH(61,'Transfer Engine'!$C$2:$C$1369,0)),"",INDEX('Compliance Database'!$N$2:$N$1369,MATCH(61,'Transfer Engine'!$C$2:$C$1369,0)))</f>
        <v/>
      </c>
      <c r="O70" s="8">
        <f>IF(ISNA(MATCH(61,'Transfer Engine'!$C$2:$C$1369,0)),"",HYPERLINK(INDEX('Compliance Database'!$O$2:$O$1369,MATCH(61,'Transfer Engine'!$C$2:$C$1369,0)),"Open PDF"))</f>
        <v/>
      </c>
    </row>
    <row r="71" ht="188" customHeight="1">
      <c r="A71" s="8">
        <f>IF(ISNA(MATCH(62,'Transfer Engine'!$C$2:$C$1369,0)),"",INDEX('Compliance Database'!$A$2:$A$1369,MATCH(62,'Transfer Engine'!$C$2:$C$1369,0)))</f>
        <v/>
      </c>
      <c r="B71" s="8">
        <f>IF(ISNA(MATCH(62,'Transfer Engine'!$C$2:$C$1369,0)),"",INDEX('Compliance Database'!$B$2:$B$1369,MATCH(62,'Transfer Engine'!$C$2:$C$1369,0)))</f>
        <v/>
      </c>
      <c r="C71" s="8">
        <f>IF(ISNA(MATCH(62,'Transfer Engine'!$C$2:$C$1369,0)),"",INDEX('Compliance Database'!$C$2:$C$1369,MATCH(62,'Transfer Engine'!$C$2:$C$1369,0)))</f>
        <v/>
      </c>
      <c r="D71" s="9">
        <f>IF(ISNA(MATCH(62,'Transfer Engine'!$C$2:$C$1369,0)),"",INDEX('Compliance Database'!$D$2:$D$1369,MATCH(62,'Transfer Engine'!$C$2:$C$1369,0)))</f>
        <v/>
      </c>
      <c r="E71" s="8">
        <f>IF(ISNA(MATCH(62,'Transfer Engine'!$C$2:$C$1369,0)),"",INDEX('Compliance Database'!$E$2:$E$1369,MATCH(62,'Transfer Engine'!$C$2:$C$1369,0)))</f>
        <v/>
      </c>
      <c r="F71" s="8">
        <f>IF(ISNA(MATCH(62,'Transfer Engine'!$C$2:$C$1369,0)),"",INDEX('Compliance Database'!$F$2:$F$1369,MATCH(62,'Transfer Engine'!$C$2:$C$1369,0)))</f>
        <v/>
      </c>
      <c r="G71" s="8">
        <f>IF(ISNA(MATCH(62,'Transfer Engine'!$C$2:$C$1369,0)),"",INDEX('Compliance Database'!$G$2:$G$1369,MATCH(62,'Transfer Engine'!$C$2:$C$1369,0)))</f>
        <v/>
      </c>
      <c r="H71" s="9">
        <f>IF(ISNA(MATCH(62,'Transfer Engine'!$C$2:$C$1369,0)),"",INDEX('Compliance Database'!$H$2:$H$1369,MATCH(62,'Transfer Engine'!$C$2:$C$1369,0)))</f>
        <v/>
      </c>
      <c r="I71" s="9">
        <f>IF(ISNA(MATCH(62,'Transfer Engine'!$C$2:$C$1369,0)),"",INDEX('Compliance Database'!$I$2:$I$1369,MATCH(62,'Transfer Engine'!$C$2:$C$1369,0)))</f>
        <v/>
      </c>
      <c r="J71" s="8">
        <f>IF(ISNA(MATCH(62,'Transfer Engine'!$C$2:$C$1369,0)),"",INDEX('Compliance Database'!$J$2:$J$1369,MATCH(62,'Transfer Engine'!$C$2:$C$1369,0)))</f>
        <v/>
      </c>
      <c r="K71" s="9">
        <f>IF(ISNA(MATCH(62,'Transfer Engine'!$C$2:$C$1369,0)),"",INDEX('Compliance Database'!$K$2:$K$1369,MATCH(62,'Transfer Engine'!$C$2:$C$1369,0)))</f>
        <v/>
      </c>
      <c r="L71" s="9">
        <f>IF(ISNA(MATCH(62,'Transfer Engine'!$C$2:$C$1369,0)),"",INDEX('Compliance Database'!$L$2:$L$1369,MATCH(62,'Transfer Engine'!$C$2:$C$1369,0)))</f>
        <v/>
      </c>
      <c r="M71" s="9">
        <f>IF(ISNA(MATCH(62,'Transfer Engine'!$C$2:$C$1369,0)),"",INDEX('Compliance Database'!$M$2:$M$1369,MATCH(62,'Transfer Engine'!$C$2:$C$1369,0)))</f>
        <v/>
      </c>
      <c r="N71" s="9">
        <f>IF(ISNA(MATCH(62,'Transfer Engine'!$C$2:$C$1369,0)),"",INDEX('Compliance Database'!$N$2:$N$1369,MATCH(62,'Transfer Engine'!$C$2:$C$1369,0)))</f>
        <v/>
      </c>
      <c r="O71" s="8">
        <f>IF(ISNA(MATCH(62,'Transfer Engine'!$C$2:$C$1369,0)),"",HYPERLINK(INDEX('Compliance Database'!$O$2:$O$1369,MATCH(62,'Transfer Engine'!$C$2:$C$1369,0)),"Open PDF"))</f>
        <v/>
      </c>
    </row>
    <row r="72" ht="188" customHeight="1">
      <c r="A72" s="8">
        <f>IF(ISNA(MATCH(63,'Transfer Engine'!$C$2:$C$1369,0)),"",INDEX('Compliance Database'!$A$2:$A$1369,MATCH(63,'Transfer Engine'!$C$2:$C$1369,0)))</f>
        <v/>
      </c>
      <c r="B72" s="8">
        <f>IF(ISNA(MATCH(63,'Transfer Engine'!$C$2:$C$1369,0)),"",INDEX('Compliance Database'!$B$2:$B$1369,MATCH(63,'Transfer Engine'!$C$2:$C$1369,0)))</f>
        <v/>
      </c>
      <c r="C72" s="8">
        <f>IF(ISNA(MATCH(63,'Transfer Engine'!$C$2:$C$1369,0)),"",INDEX('Compliance Database'!$C$2:$C$1369,MATCH(63,'Transfer Engine'!$C$2:$C$1369,0)))</f>
        <v/>
      </c>
      <c r="D72" s="9">
        <f>IF(ISNA(MATCH(63,'Transfer Engine'!$C$2:$C$1369,0)),"",INDEX('Compliance Database'!$D$2:$D$1369,MATCH(63,'Transfer Engine'!$C$2:$C$1369,0)))</f>
        <v/>
      </c>
      <c r="E72" s="8">
        <f>IF(ISNA(MATCH(63,'Transfer Engine'!$C$2:$C$1369,0)),"",INDEX('Compliance Database'!$E$2:$E$1369,MATCH(63,'Transfer Engine'!$C$2:$C$1369,0)))</f>
        <v/>
      </c>
      <c r="F72" s="8">
        <f>IF(ISNA(MATCH(63,'Transfer Engine'!$C$2:$C$1369,0)),"",INDEX('Compliance Database'!$F$2:$F$1369,MATCH(63,'Transfer Engine'!$C$2:$C$1369,0)))</f>
        <v/>
      </c>
      <c r="G72" s="8">
        <f>IF(ISNA(MATCH(63,'Transfer Engine'!$C$2:$C$1369,0)),"",INDEX('Compliance Database'!$G$2:$G$1369,MATCH(63,'Transfer Engine'!$C$2:$C$1369,0)))</f>
        <v/>
      </c>
      <c r="H72" s="9">
        <f>IF(ISNA(MATCH(63,'Transfer Engine'!$C$2:$C$1369,0)),"",INDEX('Compliance Database'!$H$2:$H$1369,MATCH(63,'Transfer Engine'!$C$2:$C$1369,0)))</f>
        <v/>
      </c>
      <c r="I72" s="9">
        <f>IF(ISNA(MATCH(63,'Transfer Engine'!$C$2:$C$1369,0)),"",INDEX('Compliance Database'!$I$2:$I$1369,MATCH(63,'Transfer Engine'!$C$2:$C$1369,0)))</f>
        <v/>
      </c>
      <c r="J72" s="8">
        <f>IF(ISNA(MATCH(63,'Transfer Engine'!$C$2:$C$1369,0)),"",INDEX('Compliance Database'!$J$2:$J$1369,MATCH(63,'Transfer Engine'!$C$2:$C$1369,0)))</f>
        <v/>
      </c>
      <c r="K72" s="9">
        <f>IF(ISNA(MATCH(63,'Transfer Engine'!$C$2:$C$1369,0)),"",INDEX('Compliance Database'!$K$2:$K$1369,MATCH(63,'Transfer Engine'!$C$2:$C$1369,0)))</f>
        <v/>
      </c>
      <c r="L72" s="9">
        <f>IF(ISNA(MATCH(63,'Transfer Engine'!$C$2:$C$1369,0)),"",INDEX('Compliance Database'!$L$2:$L$1369,MATCH(63,'Transfer Engine'!$C$2:$C$1369,0)))</f>
        <v/>
      </c>
      <c r="M72" s="9">
        <f>IF(ISNA(MATCH(63,'Transfer Engine'!$C$2:$C$1369,0)),"",INDEX('Compliance Database'!$M$2:$M$1369,MATCH(63,'Transfer Engine'!$C$2:$C$1369,0)))</f>
        <v/>
      </c>
      <c r="N72" s="9">
        <f>IF(ISNA(MATCH(63,'Transfer Engine'!$C$2:$C$1369,0)),"",INDEX('Compliance Database'!$N$2:$N$1369,MATCH(63,'Transfer Engine'!$C$2:$C$1369,0)))</f>
        <v/>
      </c>
      <c r="O72" s="8">
        <f>IF(ISNA(MATCH(63,'Transfer Engine'!$C$2:$C$1369,0)),"",HYPERLINK(INDEX('Compliance Database'!$O$2:$O$1369,MATCH(63,'Transfer Engine'!$C$2:$C$1369,0)),"Open PDF"))</f>
        <v/>
      </c>
    </row>
    <row r="73" ht="188" customHeight="1">
      <c r="A73" s="8">
        <f>IF(ISNA(MATCH(64,'Transfer Engine'!$C$2:$C$1369,0)),"",INDEX('Compliance Database'!$A$2:$A$1369,MATCH(64,'Transfer Engine'!$C$2:$C$1369,0)))</f>
        <v/>
      </c>
      <c r="B73" s="8">
        <f>IF(ISNA(MATCH(64,'Transfer Engine'!$C$2:$C$1369,0)),"",INDEX('Compliance Database'!$B$2:$B$1369,MATCH(64,'Transfer Engine'!$C$2:$C$1369,0)))</f>
        <v/>
      </c>
      <c r="C73" s="8">
        <f>IF(ISNA(MATCH(64,'Transfer Engine'!$C$2:$C$1369,0)),"",INDEX('Compliance Database'!$C$2:$C$1369,MATCH(64,'Transfer Engine'!$C$2:$C$1369,0)))</f>
        <v/>
      </c>
      <c r="D73" s="9">
        <f>IF(ISNA(MATCH(64,'Transfer Engine'!$C$2:$C$1369,0)),"",INDEX('Compliance Database'!$D$2:$D$1369,MATCH(64,'Transfer Engine'!$C$2:$C$1369,0)))</f>
        <v/>
      </c>
      <c r="E73" s="8">
        <f>IF(ISNA(MATCH(64,'Transfer Engine'!$C$2:$C$1369,0)),"",INDEX('Compliance Database'!$E$2:$E$1369,MATCH(64,'Transfer Engine'!$C$2:$C$1369,0)))</f>
        <v/>
      </c>
      <c r="F73" s="8">
        <f>IF(ISNA(MATCH(64,'Transfer Engine'!$C$2:$C$1369,0)),"",INDEX('Compliance Database'!$F$2:$F$1369,MATCH(64,'Transfer Engine'!$C$2:$C$1369,0)))</f>
        <v/>
      </c>
      <c r="G73" s="8">
        <f>IF(ISNA(MATCH(64,'Transfer Engine'!$C$2:$C$1369,0)),"",INDEX('Compliance Database'!$G$2:$G$1369,MATCH(64,'Transfer Engine'!$C$2:$C$1369,0)))</f>
        <v/>
      </c>
      <c r="H73" s="9">
        <f>IF(ISNA(MATCH(64,'Transfer Engine'!$C$2:$C$1369,0)),"",INDEX('Compliance Database'!$H$2:$H$1369,MATCH(64,'Transfer Engine'!$C$2:$C$1369,0)))</f>
        <v/>
      </c>
      <c r="I73" s="9">
        <f>IF(ISNA(MATCH(64,'Transfer Engine'!$C$2:$C$1369,0)),"",INDEX('Compliance Database'!$I$2:$I$1369,MATCH(64,'Transfer Engine'!$C$2:$C$1369,0)))</f>
        <v/>
      </c>
      <c r="J73" s="8">
        <f>IF(ISNA(MATCH(64,'Transfer Engine'!$C$2:$C$1369,0)),"",INDEX('Compliance Database'!$J$2:$J$1369,MATCH(64,'Transfer Engine'!$C$2:$C$1369,0)))</f>
        <v/>
      </c>
      <c r="K73" s="9">
        <f>IF(ISNA(MATCH(64,'Transfer Engine'!$C$2:$C$1369,0)),"",INDEX('Compliance Database'!$K$2:$K$1369,MATCH(64,'Transfer Engine'!$C$2:$C$1369,0)))</f>
        <v/>
      </c>
      <c r="L73" s="9">
        <f>IF(ISNA(MATCH(64,'Transfer Engine'!$C$2:$C$1369,0)),"",INDEX('Compliance Database'!$L$2:$L$1369,MATCH(64,'Transfer Engine'!$C$2:$C$1369,0)))</f>
        <v/>
      </c>
      <c r="M73" s="9">
        <f>IF(ISNA(MATCH(64,'Transfer Engine'!$C$2:$C$1369,0)),"",INDEX('Compliance Database'!$M$2:$M$1369,MATCH(64,'Transfer Engine'!$C$2:$C$1369,0)))</f>
        <v/>
      </c>
      <c r="N73" s="9">
        <f>IF(ISNA(MATCH(64,'Transfer Engine'!$C$2:$C$1369,0)),"",INDEX('Compliance Database'!$N$2:$N$1369,MATCH(64,'Transfer Engine'!$C$2:$C$1369,0)))</f>
        <v/>
      </c>
      <c r="O73" s="8">
        <f>IF(ISNA(MATCH(64,'Transfer Engine'!$C$2:$C$1369,0)),"",HYPERLINK(INDEX('Compliance Database'!$O$2:$O$1369,MATCH(64,'Transfer Engine'!$C$2:$C$1369,0)),"Open PDF"))</f>
        <v/>
      </c>
    </row>
    <row r="74" ht="188" customHeight="1">
      <c r="A74" s="8">
        <f>IF(ISNA(MATCH(65,'Transfer Engine'!$C$2:$C$1369,0)),"",INDEX('Compliance Database'!$A$2:$A$1369,MATCH(65,'Transfer Engine'!$C$2:$C$1369,0)))</f>
        <v/>
      </c>
      <c r="B74" s="8">
        <f>IF(ISNA(MATCH(65,'Transfer Engine'!$C$2:$C$1369,0)),"",INDEX('Compliance Database'!$B$2:$B$1369,MATCH(65,'Transfer Engine'!$C$2:$C$1369,0)))</f>
        <v/>
      </c>
      <c r="C74" s="8">
        <f>IF(ISNA(MATCH(65,'Transfer Engine'!$C$2:$C$1369,0)),"",INDEX('Compliance Database'!$C$2:$C$1369,MATCH(65,'Transfer Engine'!$C$2:$C$1369,0)))</f>
        <v/>
      </c>
      <c r="D74" s="9">
        <f>IF(ISNA(MATCH(65,'Transfer Engine'!$C$2:$C$1369,0)),"",INDEX('Compliance Database'!$D$2:$D$1369,MATCH(65,'Transfer Engine'!$C$2:$C$1369,0)))</f>
        <v/>
      </c>
      <c r="E74" s="8">
        <f>IF(ISNA(MATCH(65,'Transfer Engine'!$C$2:$C$1369,0)),"",INDEX('Compliance Database'!$E$2:$E$1369,MATCH(65,'Transfer Engine'!$C$2:$C$1369,0)))</f>
        <v/>
      </c>
      <c r="F74" s="8">
        <f>IF(ISNA(MATCH(65,'Transfer Engine'!$C$2:$C$1369,0)),"",INDEX('Compliance Database'!$F$2:$F$1369,MATCH(65,'Transfer Engine'!$C$2:$C$1369,0)))</f>
        <v/>
      </c>
      <c r="G74" s="8">
        <f>IF(ISNA(MATCH(65,'Transfer Engine'!$C$2:$C$1369,0)),"",INDEX('Compliance Database'!$G$2:$G$1369,MATCH(65,'Transfer Engine'!$C$2:$C$1369,0)))</f>
        <v/>
      </c>
      <c r="H74" s="9">
        <f>IF(ISNA(MATCH(65,'Transfer Engine'!$C$2:$C$1369,0)),"",INDEX('Compliance Database'!$H$2:$H$1369,MATCH(65,'Transfer Engine'!$C$2:$C$1369,0)))</f>
        <v/>
      </c>
      <c r="I74" s="9">
        <f>IF(ISNA(MATCH(65,'Transfer Engine'!$C$2:$C$1369,0)),"",INDEX('Compliance Database'!$I$2:$I$1369,MATCH(65,'Transfer Engine'!$C$2:$C$1369,0)))</f>
        <v/>
      </c>
      <c r="J74" s="8">
        <f>IF(ISNA(MATCH(65,'Transfer Engine'!$C$2:$C$1369,0)),"",INDEX('Compliance Database'!$J$2:$J$1369,MATCH(65,'Transfer Engine'!$C$2:$C$1369,0)))</f>
        <v/>
      </c>
      <c r="K74" s="9">
        <f>IF(ISNA(MATCH(65,'Transfer Engine'!$C$2:$C$1369,0)),"",INDEX('Compliance Database'!$K$2:$K$1369,MATCH(65,'Transfer Engine'!$C$2:$C$1369,0)))</f>
        <v/>
      </c>
      <c r="L74" s="9">
        <f>IF(ISNA(MATCH(65,'Transfer Engine'!$C$2:$C$1369,0)),"",INDEX('Compliance Database'!$L$2:$L$1369,MATCH(65,'Transfer Engine'!$C$2:$C$1369,0)))</f>
        <v/>
      </c>
      <c r="M74" s="9">
        <f>IF(ISNA(MATCH(65,'Transfer Engine'!$C$2:$C$1369,0)),"",INDEX('Compliance Database'!$M$2:$M$1369,MATCH(65,'Transfer Engine'!$C$2:$C$1369,0)))</f>
        <v/>
      </c>
      <c r="N74" s="9">
        <f>IF(ISNA(MATCH(65,'Transfer Engine'!$C$2:$C$1369,0)),"",INDEX('Compliance Database'!$N$2:$N$1369,MATCH(65,'Transfer Engine'!$C$2:$C$1369,0)))</f>
        <v/>
      </c>
      <c r="O74" s="8">
        <f>IF(ISNA(MATCH(65,'Transfer Engine'!$C$2:$C$1369,0)),"",HYPERLINK(INDEX('Compliance Database'!$O$2:$O$1369,MATCH(65,'Transfer Engine'!$C$2:$C$1369,0)),"Open PDF"))</f>
        <v/>
      </c>
    </row>
    <row r="75" ht="188" customHeight="1">
      <c r="A75" s="8">
        <f>IF(ISNA(MATCH(66,'Transfer Engine'!$C$2:$C$1369,0)),"",INDEX('Compliance Database'!$A$2:$A$1369,MATCH(66,'Transfer Engine'!$C$2:$C$1369,0)))</f>
        <v/>
      </c>
      <c r="B75" s="8">
        <f>IF(ISNA(MATCH(66,'Transfer Engine'!$C$2:$C$1369,0)),"",INDEX('Compliance Database'!$B$2:$B$1369,MATCH(66,'Transfer Engine'!$C$2:$C$1369,0)))</f>
        <v/>
      </c>
      <c r="C75" s="8">
        <f>IF(ISNA(MATCH(66,'Transfer Engine'!$C$2:$C$1369,0)),"",INDEX('Compliance Database'!$C$2:$C$1369,MATCH(66,'Transfer Engine'!$C$2:$C$1369,0)))</f>
        <v/>
      </c>
      <c r="D75" s="9">
        <f>IF(ISNA(MATCH(66,'Transfer Engine'!$C$2:$C$1369,0)),"",INDEX('Compliance Database'!$D$2:$D$1369,MATCH(66,'Transfer Engine'!$C$2:$C$1369,0)))</f>
        <v/>
      </c>
      <c r="E75" s="8">
        <f>IF(ISNA(MATCH(66,'Transfer Engine'!$C$2:$C$1369,0)),"",INDEX('Compliance Database'!$E$2:$E$1369,MATCH(66,'Transfer Engine'!$C$2:$C$1369,0)))</f>
        <v/>
      </c>
      <c r="F75" s="8">
        <f>IF(ISNA(MATCH(66,'Transfer Engine'!$C$2:$C$1369,0)),"",INDEX('Compliance Database'!$F$2:$F$1369,MATCH(66,'Transfer Engine'!$C$2:$C$1369,0)))</f>
        <v/>
      </c>
      <c r="G75" s="8">
        <f>IF(ISNA(MATCH(66,'Transfer Engine'!$C$2:$C$1369,0)),"",INDEX('Compliance Database'!$G$2:$G$1369,MATCH(66,'Transfer Engine'!$C$2:$C$1369,0)))</f>
        <v/>
      </c>
      <c r="H75" s="9">
        <f>IF(ISNA(MATCH(66,'Transfer Engine'!$C$2:$C$1369,0)),"",INDEX('Compliance Database'!$H$2:$H$1369,MATCH(66,'Transfer Engine'!$C$2:$C$1369,0)))</f>
        <v/>
      </c>
      <c r="I75" s="9">
        <f>IF(ISNA(MATCH(66,'Transfer Engine'!$C$2:$C$1369,0)),"",INDEX('Compliance Database'!$I$2:$I$1369,MATCH(66,'Transfer Engine'!$C$2:$C$1369,0)))</f>
        <v/>
      </c>
      <c r="J75" s="8">
        <f>IF(ISNA(MATCH(66,'Transfer Engine'!$C$2:$C$1369,0)),"",INDEX('Compliance Database'!$J$2:$J$1369,MATCH(66,'Transfer Engine'!$C$2:$C$1369,0)))</f>
        <v/>
      </c>
      <c r="K75" s="9">
        <f>IF(ISNA(MATCH(66,'Transfer Engine'!$C$2:$C$1369,0)),"",INDEX('Compliance Database'!$K$2:$K$1369,MATCH(66,'Transfer Engine'!$C$2:$C$1369,0)))</f>
        <v/>
      </c>
      <c r="L75" s="9">
        <f>IF(ISNA(MATCH(66,'Transfer Engine'!$C$2:$C$1369,0)),"",INDEX('Compliance Database'!$L$2:$L$1369,MATCH(66,'Transfer Engine'!$C$2:$C$1369,0)))</f>
        <v/>
      </c>
      <c r="M75" s="9">
        <f>IF(ISNA(MATCH(66,'Transfer Engine'!$C$2:$C$1369,0)),"",INDEX('Compliance Database'!$M$2:$M$1369,MATCH(66,'Transfer Engine'!$C$2:$C$1369,0)))</f>
        <v/>
      </c>
      <c r="N75" s="9">
        <f>IF(ISNA(MATCH(66,'Transfer Engine'!$C$2:$C$1369,0)),"",INDEX('Compliance Database'!$N$2:$N$1369,MATCH(66,'Transfer Engine'!$C$2:$C$1369,0)))</f>
        <v/>
      </c>
      <c r="O75" s="8">
        <f>IF(ISNA(MATCH(66,'Transfer Engine'!$C$2:$C$1369,0)),"",HYPERLINK(INDEX('Compliance Database'!$O$2:$O$1369,MATCH(66,'Transfer Engine'!$C$2:$C$1369,0)),"Open PDF"))</f>
        <v/>
      </c>
    </row>
    <row r="76" ht="188" customHeight="1">
      <c r="A76" s="8">
        <f>IF(ISNA(MATCH(67,'Transfer Engine'!$C$2:$C$1369,0)),"",INDEX('Compliance Database'!$A$2:$A$1369,MATCH(67,'Transfer Engine'!$C$2:$C$1369,0)))</f>
        <v/>
      </c>
      <c r="B76" s="8">
        <f>IF(ISNA(MATCH(67,'Transfer Engine'!$C$2:$C$1369,0)),"",INDEX('Compliance Database'!$B$2:$B$1369,MATCH(67,'Transfer Engine'!$C$2:$C$1369,0)))</f>
        <v/>
      </c>
      <c r="C76" s="8">
        <f>IF(ISNA(MATCH(67,'Transfer Engine'!$C$2:$C$1369,0)),"",INDEX('Compliance Database'!$C$2:$C$1369,MATCH(67,'Transfer Engine'!$C$2:$C$1369,0)))</f>
        <v/>
      </c>
      <c r="D76" s="9">
        <f>IF(ISNA(MATCH(67,'Transfer Engine'!$C$2:$C$1369,0)),"",INDEX('Compliance Database'!$D$2:$D$1369,MATCH(67,'Transfer Engine'!$C$2:$C$1369,0)))</f>
        <v/>
      </c>
      <c r="E76" s="8">
        <f>IF(ISNA(MATCH(67,'Transfer Engine'!$C$2:$C$1369,0)),"",INDEX('Compliance Database'!$E$2:$E$1369,MATCH(67,'Transfer Engine'!$C$2:$C$1369,0)))</f>
        <v/>
      </c>
      <c r="F76" s="8">
        <f>IF(ISNA(MATCH(67,'Transfer Engine'!$C$2:$C$1369,0)),"",INDEX('Compliance Database'!$F$2:$F$1369,MATCH(67,'Transfer Engine'!$C$2:$C$1369,0)))</f>
        <v/>
      </c>
      <c r="G76" s="8">
        <f>IF(ISNA(MATCH(67,'Transfer Engine'!$C$2:$C$1369,0)),"",INDEX('Compliance Database'!$G$2:$G$1369,MATCH(67,'Transfer Engine'!$C$2:$C$1369,0)))</f>
        <v/>
      </c>
      <c r="H76" s="9">
        <f>IF(ISNA(MATCH(67,'Transfer Engine'!$C$2:$C$1369,0)),"",INDEX('Compliance Database'!$H$2:$H$1369,MATCH(67,'Transfer Engine'!$C$2:$C$1369,0)))</f>
        <v/>
      </c>
      <c r="I76" s="9">
        <f>IF(ISNA(MATCH(67,'Transfer Engine'!$C$2:$C$1369,0)),"",INDEX('Compliance Database'!$I$2:$I$1369,MATCH(67,'Transfer Engine'!$C$2:$C$1369,0)))</f>
        <v/>
      </c>
      <c r="J76" s="8">
        <f>IF(ISNA(MATCH(67,'Transfer Engine'!$C$2:$C$1369,0)),"",INDEX('Compliance Database'!$J$2:$J$1369,MATCH(67,'Transfer Engine'!$C$2:$C$1369,0)))</f>
        <v/>
      </c>
      <c r="K76" s="9">
        <f>IF(ISNA(MATCH(67,'Transfer Engine'!$C$2:$C$1369,0)),"",INDEX('Compliance Database'!$K$2:$K$1369,MATCH(67,'Transfer Engine'!$C$2:$C$1369,0)))</f>
        <v/>
      </c>
      <c r="L76" s="9">
        <f>IF(ISNA(MATCH(67,'Transfer Engine'!$C$2:$C$1369,0)),"",INDEX('Compliance Database'!$L$2:$L$1369,MATCH(67,'Transfer Engine'!$C$2:$C$1369,0)))</f>
        <v/>
      </c>
      <c r="M76" s="9">
        <f>IF(ISNA(MATCH(67,'Transfer Engine'!$C$2:$C$1369,0)),"",INDEX('Compliance Database'!$M$2:$M$1369,MATCH(67,'Transfer Engine'!$C$2:$C$1369,0)))</f>
        <v/>
      </c>
      <c r="N76" s="9">
        <f>IF(ISNA(MATCH(67,'Transfer Engine'!$C$2:$C$1369,0)),"",INDEX('Compliance Database'!$N$2:$N$1369,MATCH(67,'Transfer Engine'!$C$2:$C$1369,0)))</f>
        <v/>
      </c>
      <c r="O76" s="8">
        <f>IF(ISNA(MATCH(67,'Transfer Engine'!$C$2:$C$1369,0)),"",HYPERLINK(INDEX('Compliance Database'!$O$2:$O$1369,MATCH(67,'Transfer Engine'!$C$2:$C$1369,0)),"Open PDF"))</f>
        <v/>
      </c>
    </row>
    <row r="77" ht="188" customHeight="1">
      <c r="A77" s="8">
        <f>IF(ISNA(MATCH(68,'Transfer Engine'!$C$2:$C$1369,0)),"",INDEX('Compliance Database'!$A$2:$A$1369,MATCH(68,'Transfer Engine'!$C$2:$C$1369,0)))</f>
        <v/>
      </c>
      <c r="B77" s="8">
        <f>IF(ISNA(MATCH(68,'Transfer Engine'!$C$2:$C$1369,0)),"",INDEX('Compliance Database'!$B$2:$B$1369,MATCH(68,'Transfer Engine'!$C$2:$C$1369,0)))</f>
        <v/>
      </c>
      <c r="C77" s="8">
        <f>IF(ISNA(MATCH(68,'Transfer Engine'!$C$2:$C$1369,0)),"",INDEX('Compliance Database'!$C$2:$C$1369,MATCH(68,'Transfer Engine'!$C$2:$C$1369,0)))</f>
        <v/>
      </c>
      <c r="D77" s="9">
        <f>IF(ISNA(MATCH(68,'Transfer Engine'!$C$2:$C$1369,0)),"",INDEX('Compliance Database'!$D$2:$D$1369,MATCH(68,'Transfer Engine'!$C$2:$C$1369,0)))</f>
        <v/>
      </c>
      <c r="E77" s="8">
        <f>IF(ISNA(MATCH(68,'Transfer Engine'!$C$2:$C$1369,0)),"",INDEX('Compliance Database'!$E$2:$E$1369,MATCH(68,'Transfer Engine'!$C$2:$C$1369,0)))</f>
        <v/>
      </c>
      <c r="F77" s="8">
        <f>IF(ISNA(MATCH(68,'Transfer Engine'!$C$2:$C$1369,0)),"",INDEX('Compliance Database'!$F$2:$F$1369,MATCH(68,'Transfer Engine'!$C$2:$C$1369,0)))</f>
        <v/>
      </c>
      <c r="G77" s="8">
        <f>IF(ISNA(MATCH(68,'Transfer Engine'!$C$2:$C$1369,0)),"",INDEX('Compliance Database'!$G$2:$G$1369,MATCH(68,'Transfer Engine'!$C$2:$C$1369,0)))</f>
        <v/>
      </c>
      <c r="H77" s="9">
        <f>IF(ISNA(MATCH(68,'Transfer Engine'!$C$2:$C$1369,0)),"",INDEX('Compliance Database'!$H$2:$H$1369,MATCH(68,'Transfer Engine'!$C$2:$C$1369,0)))</f>
        <v/>
      </c>
      <c r="I77" s="9">
        <f>IF(ISNA(MATCH(68,'Transfer Engine'!$C$2:$C$1369,0)),"",INDEX('Compliance Database'!$I$2:$I$1369,MATCH(68,'Transfer Engine'!$C$2:$C$1369,0)))</f>
        <v/>
      </c>
      <c r="J77" s="8">
        <f>IF(ISNA(MATCH(68,'Transfer Engine'!$C$2:$C$1369,0)),"",INDEX('Compliance Database'!$J$2:$J$1369,MATCH(68,'Transfer Engine'!$C$2:$C$1369,0)))</f>
        <v/>
      </c>
      <c r="K77" s="9">
        <f>IF(ISNA(MATCH(68,'Transfer Engine'!$C$2:$C$1369,0)),"",INDEX('Compliance Database'!$K$2:$K$1369,MATCH(68,'Transfer Engine'!$C$2:$C$1369,0)))</f>
        <v/>
      </c>
      <c r="L77" s="9">
        <f>IF(ISNA(MATCH(68,'Transfer Engine'!$C$2:$C$1369,0)),"",INDEX('Compliance Database'!$L$2:$L$1369,MATCH(68,'Transfer Engine'!$C$2:$C$1369,0)))</f>
        <v/>
      </c>
      <c r="M77" s="9">
        <f>IF(ISNA(MATCH(68,'Transfer Engine'!$C$2:$C$1369,0)),"",INDEX('Compliance Database'!$M$2:$M$1369,MATCH(68,'Transfer Engine'!$C$2:$C$1369,0)))</f>
        <v/>
      </c>
      <c r="N77" s="9">
        <f>IF(ISNA(MATCH(68,'Transfer Engine'!$C$2:$C$1369,0)),"",INDEX('Compliance Database'!$N$2:$N$1369,MATCH(68,'Transfer Engine'!$C$2:$C$1369,0)))</f>
        <v/>
      </c>
      <c r="O77" s="8">
        <f>IF(ISNA(MATCH(68,'Transfer Engine'!$C$2:$C$1369,0)),"",HYPERLINK(INDEX('Compliance Database'!$O$2:$O$1369,MATCH(68,'Transfer Engine'!$C$2:$C$1369,0)),"Open PDF"))</f>
        <v/>
      </c>
    </row>
    <row r="78" ht="188" customHeight="1">
      <c r="A78" s="8">
        <f>IF(ISNA(MATCH(69,'Transfer Engine'!$C$2:$C$1369,0)),"",INDEX('Compliance Database'!$A$2:$A$1369,MATCH(69,'Transfer Engine'!$C$2:$C$1369,0)))</f>
        <v/>
      </c>
      <c r="B78" s="8">
        <f>IF(ISNA(MATCH(69,'Transfer Engine'!$C$2:$C$1369,0)),"",INDEX('Compliance Database'!$B$2:$B$1369,MATCH(69,'Transfer Engine'!$C$2:$C$1369,0)))</f>
        <v/>
      </c>
      <c r="C78" s="8">
        <f>IF(ISNA(MATCH(69,'Transfer Engine'!$C$2:$C$1369,0)),"",INDEX('Compliance Database'!$C$2:$C$1369,MATCH(69,'Transfer Engine'!$C$2:$C$1369,0)))</f>
        <v/>
      </c>
      <c r="D78" s="9">
        <f>IF(ISNA(MATCH(69,'Transfer Engine'!$C$2:$C$1369,0)),"",INDEX('Compliance Database'!$D$2:$D$1369,MATCH(69,'Transfer Engine'!$C$2:$C$1369,0)))</f>
        <v/>
      </c>
      <c r="E78" s="8">
        <f>IF(ISNA(MATCH(69,'Transfer Engine'!$C$2:$C$1369,0)),"",INDEX('Compliance Database'!$E$2:$E$1369,MATCH(69,'Transfer Engine'!$C$2:$C$1369,0)))</f>
        <v/>
      </c>
      <c r="F78" s="8">
        <f>IF(ISNA(MATCH(69,'Transfer Engine'!$C$2:$C$1369,0)),"",INDEX('Compliance Database'!$F$2:$F$1369,MATCH(69,'Transfer Engine'!$C$2:$C$1369,0)))</f>
        <v/>
      </c>
      <c r="G78" s="8">
        <f>IF(ISNA(MATCH(69,'Transfer Engine'!$C$2:$C$1369,0)),"",INDEX('Compliance Database'!$G$2:$G$1369,MATCH(69,'Transfer Engine'!$C$2:$C$1369,0)))</f>
        <v/>
      </c>
      <c r="H78" s="9">
        <f>IF(ISNA(MATCH(69,'Transfer Engine'!$C$2:$C$1369,0)),"",INDEX('Compliance Database'!$H$2:$H$1369,MATCH(69,'Transfer Engine'!$C$2:$C$1369,0)))</f>
        <v/>
      </c>
      <c r="I78" s="9">
        <f>IF(ISNA(MATCH(69,'Transfer Engine'!$C$2:$C$1369,0)),"",INDEX('Compliance Database'!$I$2:$I$1369,MATCH(69,'Transfer Engine'!$C$2:$C$1369,0)))</f>
        <v/>
      </c>
      <c r="J78" s="8">
        <f>IF(ISNA(MATCH(69,'Transfer Engine'!$C$2:$C$1369,0)),"",INDEX('Compliance Database'!$J$2:$J$1369,MATCH(69,'Transfer Engine'!$C$2:$C$1369,0)))</f>
        <v/>
      </c>
      <c r="K78" s="9">
        <f>IF(ISNA(MATCH(69,'Transfer Engine'!$C$2:$C$1369,0)),"",INDEX('Compliance Database'!$K$2:$K$1369,MATCH(69,'Transfer Engine'!$C$2:$C$1369,0)))</f>
        <v/>
      </c>
      <c r="L78" s="9">
        <f>IF(ISNA(MATCH(69,'Transfer Engine'!$C$2:$C$1369,0)),"",INDEX('Compliance Database'!$L$2:$L$1369,MATCH(69,'Transfer Engine'!$C$2:$C$1369,0)))</f>
        <v/>
      </c>
      <c r="M78" s="9">
        <f>IF(ISNA(MATCH(69,'Transfer Engine'!$C$2:$C$1369,0)),"",INDEX('Compliance Database'!$M$2:$M$1369,MATCH(69,'Transfer Engine'!$C$2:$C$1369,0)))</f>
        <v/>
      </c>
      <c r="N78" s="9">
        <f>IF(ISNA(MATCH(69,'Transfer Engine'!$C$2:$C$1369,0)),"",INDEX('Compliance Database'!$N$2:$N$1369,MATCH(69,'Transfer Engine'!$C$2:$C$1369,0)))</f>
        <v/>
      </c>
      <c r="O78" s="8">
        <f>IF(ISNA(MATCH(69,'Transfer Engine'!$C$2:$C$1369,0)),"",HYPERLINK(INDEX('Compliance Database'!$O$2:$O$1369,MATCH(69,'Transfer Engine'!$C$2:$C$1369,0)),"Open PDF"))</f>
        <v/>
      </c>
    </row>
    <row r="79" ht="188" customHeight="1">
      <c r="A79" s="8">
        <f>IF(ISNA(MATCH(70,'Transfer Engine'!$C$2:$C$1369,0)),"",INDEX('Compliance Database'!$A$2:$A$1369,MATCH(70,'Transfer Engine'!$C$2:$C$1369,0)))</f>
        <v/>
      </c>
      <c r="B79" s="8">
        <f>IF(ISNA(MATCH(70,'Transfer Engine'!$C$2:$C$1369,0)),"",INDEX('Compliance Database'!$B$2:$B$1369,MATCH(70,'Transfer Engine'!$C$2:$C$1369,0)))</f>
        <v/>
      </c>
      <c r="C79" s="8">
        <f>IF(ISNA(MATCH(70,'Transfer Engine'!$C$2:$C$1369,0)),"",INDEX('Compliance Database'!$C$2:$C$1369,MATCH(70,'Transfer Engine'!$C$2:$C$1369,0)))</f>
        <v/>
      </c>
      <c r="D79" s="9">
        <f>IF(ISNA(MATCH(70,'Transfer Engine'!$C$2:$C$1369,0)),"",INDEX('Compliance Database'!$D$2:$D$1369,MATCH(70,'Transfer Engine'!$C$2:$C$1369,0)))</f>
        <v/>
      </c>
      <c r="E79" s="8">
        <f>IF(ISNA(MATCH(70,'Transfer Engine'!$C$2:$C$1369,0)),"",INDEX('Compliance Database'!$E$2:$E$1369,MATCH(70,'Transfer Engine'!$C$2:$C$1369,0)))</f>
        <v/>
      </c>
      <c r="F79" s="8">
        <f>IF(ISNA(MATCH(70,'Transfer Engine'!$C$2:$C$1369,0)),"",INDEX('Compliance Database'!$F$2:$F$1369,MATCH(70,'Transfer Engine'!$C$2:$C$1369,0)))</f>
        <v/>
      </c>
      <c r="G79" s="8">
        <f>IF(ISNA(MATCH(70,'Transfer Engine'!$C$2:$C$1369,0)),"",INDEX('Compliance Database'!$G$2:$G$1369,MATCH(70,'Transfer Engine'!$C$2:$C$1369,0)))</f>
        <v/>
      </c>
      <c r="H79" s="9">
        <f>IF(ISNA(MATCH(70,'Transfer Engine'!$C$2:$C$1369,0)),"",INDEX('Compliance Database'!$H$2:$H$1369,MATCH(70,'Transfer Engine'!$C$2:$C$1369,0)))</f>
        <v/>
      </c>
      <c r="I79" s="9">
        <f>IF(ISNA(MATCH(70,'Transfer Engine'!$C$2:$C$1369,0)),"",INDEX('Compliance Database'!$I$2:$I$1369,MATCH(70,'Transfer Engine'!$C$2:$C$1369,0)))</f>
        <v/>
      </c>
      <c r="J79" s="8">
        <f>IF(ISNA(MATCH(70,'Transfer Engine'!$C$2:$C$1369,0)),"",INDEX('Compliance Database'!$J$2:$J$1369,MATCH(70,'Transfer Engine'!$C$2:$C$1369,0)))</f>
        <v/>
      </c>
      <c r="K79" s="9">
        <f>IF(ISNA(MATCH(70,'Transfer Engine'!$C$2:$C$1369,0)),"",INDEX('Compliance Database'!$K$2:$K$1369,MATCH(70,'Transfer Engine'!$C$2:$C$1369,0)))</f>
        <v/>
      </c>
      <c r="L79" s="9">
        <f>IF(ISNA(MATCH(70,'Transfer Engine'!$C$2:$C$1369,0)),"",INDEX('Compliance Database'!$L$2:$L$1369,MATCH(70,'Transfer Engine'!$C$2:$C$1369,0)))</f>
        <v/>
      </c>
      <c r="M79" s="9">
        <f>IF(ISNA(MATCH(70,'Transfer Engine'!$C$2:$C$1369,0)),"",INDEX('Compliance Database'!$M$2:$M$1369,MATCH(70,'Transfer Engine'!$C$2:$C$1369,0)))</f>
        <v/>
      </c>
      <c r="N79" s="9">
        <f>IF(ISNA(MATCH(70,'Transfer Engine'!$C$2:$C$1369,0)),"",INDEX('Compliance Database'!$N$2:$N$1369,MATCH(70,'Transfer Engine'!$C$2:$C$1369,0)))</f>
        <v/>
      </c>
      <c r="O79" s="8">
        <f>IF(ISNA(MATCH(70,'Transfer Engine'!$C$2:$C$1369,0)),"",HYPERLINK(INDEX('Compliance Database'!$O$2:$O$1369,MATCH(70,'Transfer Engine'!$C$2:$C$1369,0)),"Open PDF"))</f>
        <v/>
      </c>
    </row>
    <row r="80" ht="188" customHeight="1">
      <c r="A80" s="8">
        <f>IF(ISNA(MATCH(71,'Transfer Engine'!$C$2:$C$1369,0)),"",INDEX('Compliance Database'!$A$2:$A$1369,MATCH(71,'Transfer Engine'!$C$2:$C$1369,0)))</f>
        <v/>
      </c>
      <c r="B80" s="8">
        <f>IF(ISNA(MATCH(71,'Transfer Engine'!$C$2:$C$1369,0)),"",INDEX('Compliance Database'!$B$2:$B$1369,MATCH(71,'Transfer Engine'!$C$2:$C$1369,0)))</f>
        <v/>
      </c>
      <c r="C80" s="8">
        <f>IF(ISNA(MATCH(71,'Transfer Engine'!$C$2:$C$1369,0)),"",INDEX('Compliance Database'!$C$2:$C$1369,MATCH(71,'Transfer Engine'!$C$2:$C$1369,0)))</f>
        <v/>
      </c>
      <c r="D80" s="9">
        <f>IF(ISNA(MATCH(71,'Transfer Engine'!$C$2:$C$1369,0)),"",INDEX('Compliance Database'!$D$2:$D$1369,MATCH(71,'Transfer Engine'!$C$2:$C$1369,0)))</f>
        <v/>
      </c>
      <c r="E80" s="8">
        <f>IF(ISNA(MATCH(71,'Transfer Engine'!$C$2:$C$1369,0)),"",INDEX('Compliance Database'!$E$2:$E$1369,MATCH(71,'Transfer Engine'!$C$2:$C$1369,0)))</f>
        <v/>
      </c>
      <c r="F80" s="8">
        <f>IF(ISNA(MATCH(71,'Transfer Engine'!$C$2:$C$1369,0)),"",INDEX('Compliance Database'!$F$2:$F$1369,MATCH(71,'Transfer Engine'!$C$2:$C$1369,0)))</f>
        <v/>
      </c>
      <c r="G80" s="8">
        <f>IF(ISNA(MATCH(71,'Transfer Engine'!$C$2:$C$1369,0)),"",INDEX('Compliance Database'!$G$2:$G$1369,MATCH(71,'Transfer Engine'!$C$2:$C$1369,0)))</f>
        <v/>
      </c>
      <c r="H80" s="9">
        <f>IF(ISNA(MATCH(71,'Transfer Engine'!$C$2:$C$1369,0)),"",INDEX('Compliance Database'!$H$2:$H$1369,MATCH(71,'Transfer Engine'!$C$2:$C$1369,0)))</f>
        <v/>
      </c>
      <c r="I80" s="9">
        <f>IF(ISNA(MATCH(71,'Transfer Engine'!$C$2:$C$1369,0)),"",INDEX('Compliance Database'!$I$2:$I$1369,MATCH(71,'Transfer Engine'!$C$2:$C$1369,0)))</f>
        <v/>
      </c>
      <c r="J80" s="8">
        <f>IF(ISNA(MATCH(71,'Transfer Engine'!$C$2:$C$1369,0)),"",INDEX('Compliance Database'!$J$2:$J$1369,MATCH(71,'Transfer Engine'!$C$2:$C$1369,0)))</f>
        <v/>
      </c>
      <c r="K80" s="9">
        <f>IF(ISNA(MATCH(71,'Transfer Engine'!$C$2:$C$1369,0)),"",INDEX('Compliance Database'!$K$2:$K$1369,MATCH(71,'Transfer Engine'!$C$2:$C$1369,0)))</f>
        <v/>
      </c>
      <c r="L80" s="9">
        <f>IF(ISNA(MATCH(71,'Transfer Engine'!$C$2:$C$1369,0)),"",INDEX('Compliance Database'!$L$2:$L$1369,MATCH(71,'Transfer Engine'!$C$2:$C$1369,0)))</f>
        <v/>
      </c>
      <c r="M80" s="9">
        <f>IF(ISNA(MATCH(71,'Transfer Engine'!$C$2:$C$1369,0)),"",INDEX('Compliance Database'!$M$2:$M$1369,MATCH(71,'Transfer Engine'!$C$2:$C$1369,0)))</f>
        <v/>
      </c>
      <c r="N80" s="9">
        <f>IF(ISNA(MATCH(71,'Transfer Engine'!$C$2:$C$1369,0)),"",INDEX('Compliance Database'!$N$2:$N$1369,MATCH(71,'Transfer Engine'!$C$2:$C$1369,0)))</f>
        <v/>
      </c>
      <c r="O80" s="8">
        <f>IF(ISNA(MATCH(71,'Transfer Engine'!$C$2:$C$1369,0)),"",HYPERLINK(INDEX('Compliance Database'!$O$2:$O$1369,MATCH(71,'Transfer Engine'!$C$2:$C$1369,0)),"Open PDF"))</f>
        <v/>
      </c>
    </row>
    <row r="81" ht="188" customHeight="1">
      <c r="A81" s="8">
        <f>IF(ISNA(MATCH(72,'Transfer Engine'!$C$2:$C$1369,0)),"",INDEX('Compliance Database'!$A$2:$A$1369,MATCH(72,'Transfer Engine'!$C$2:$C$1369,0)))</f>
        <v/>
      </c>
      <c r="B81" s="8">
        <f>IF(ISNA(MATCH(72,'Transfer Engine'!$C$2:$C$1369,0)),"",INDEX('Compliance Database'!$B$2:$B$1369,MATCH(72,'Transfer Engine'!$C$2:$C$1369,0)))</f>
        <v/>
      </c>
      <c r="C81" s="8">
        <f>IF(ISNA(MATCH(72,'Transfer Engine'!$C$2:$C$1369,0)),"",INDEX('Compliance Database'!$C$2:$C$1369,MATCH(72,'Transfer Engine'!$C$2:$C$1369,0)))</f>
        <v/>
      </c>
      <c r="D81" s="9">
        <f>IF(ISNA(MATCH(72,'Transfer Engine'!$C$2:$C$1369,0)),"",INDEX('Compliance Database'!$D$2:$D$1369,MATCH(72,'Transfer Engine'!$C$2:$C$1369,0)))</f>
        <v/>
      </c>
      <c r="E81" s="8">
        <f>IF(ISNA(MATCH(72,'Transfer Engine'!$C$2:$C$1369,0)),"",INDEX('Compliance Database'!$E$2:$E$1369,MATCH(72,'Transfer Engine'!$C$2:$C$1369,0)))</f>
        <v/>
      </c>
      <c r="F81" s="8">
        <f>IF(ISNA(MATCH(72,'Transfer Engine'!$C$2:$C$1369,0)),"",INDEX('Compliance Database'!$F$2:$F$1369,MATCH(72,'Transfer Engine'!$C$2:$C$1369,0)))</f>
        <v/>
      </c>
      <c r="G81" s="8">
        <f>IF(ISNA(MATCH(72,'Transfer Engine'!$C$2:$C$1369,0)),"",INDEX('Compliance Database'!$G$2:$G$1369,MATCH(72,'Transfer Engine'!$C$2:$C$1369,0)))</f>
        <v/>
      </c>
      <c r="H81" s="9">
        <f>IF(ISNA(MATCH(72,'Transfer Engine'!$C$2:$C$1369,0)),"",INDEX('Compliance Database'!$H$2:$H$1369,MATCH(72,'Transfer Engine'!$C$2:$C$1369,0)))</f>
        <v/>
      </c>
      <c r="I81" s="9">
        <f>IF(ISNA(MATCH(72,'Transfer Engine'!$C$2:$C$1369,0)),"",INDEX('Compliance Database'!$I$2:$I$1369,MATCH(72,'Transfer Engine'!$C$2:$C$1369,0)))</f>
        <v/>
      </c>
      <c r="J81" s="8">
        <f>IF(ISNA(MATCH(72,'Transfer Engine'!$C$2:$C$1369,0)),"",INDEX('Compliance Database'!$J$2:$J$1369,MATCH(72,'Transfer Engine'!$C$2:$C$1369,0)))</f>
        <v/>
      </c>
      <c r="K81" s="9">
        <f>IF(ISNA(MATCH(72,'Transfer Engine'!$C$2:$C$1369,0)),"",INDEX('Compliance Database'!$K$2:$K$1369,MATCH(72,'Transfer Engine'!$C$2:$C$1369,0)))</f>
        <v/>
      </c>
      <c r="L81" s="9">
        <f>IF(ISNA(MATCH(72,'Transfer Engine'!$C$2:$C$1369,0)),"",INDEX('Compliance Database'!$L$2:$L$1369,MATCH(72,'Transfer Engine'!$C$2:$C$1369,0)))</f>
        <v/>
      </c>
      <c r="M81" s="9">
        <f>IF(ISNA(MATCH(72,'Transfer Engine'!$C$2:$C$1369,0)),"",INDEX('Compliance Database'!$M$2:$M$1369,MATCH(72,'Transfer Engine'!$C$2:$C$1369,0)))</f>
        <v/>
      </c>
      <c r="N81" s="9">
        <f>IF(ISNA(MATCH(72,'Transfer Engine'!$C$2:$C$1369,0)),"",INDEX('Compliance Database'!$N$2:$N$1369,MATCH(72,'Transfer Engine'!$C$2:$C$1369,0)))</f>
        <v/>
      </c>
      <c r="O81" s="8">
        <f>IF(ISNA(MATCH(72,'Transfer Engine'!$C$2:$C$1369,0)),"",HYPERLINK(INDEX('Compliance Database'!$O$2:$O$1369,MATCH(72,'Transfer Engine'!$C$2:$C$1369,0)),"Open PDF"))</f>
        <v/>
      </c>
    </row>
    <row r="82" ht="188" customHeight="1">
      <c r="A82" s="8">
        <f>IF(ISNA(MATCH(73,'Transfer Engine'!$C$2:$C$1369,0)),"",INDEX('Compliance Database'!$A$2:$A$1369,MATCH(73,'Transfer Engine'!$C$2:$C$1369,0)))</f>
        <v/>
      </c>
      <c r="B82" s="8">
        <f>IF(ISNA(MATCH(73,'Transfer Engine'!$C$2:$C$1369,0)),"",INDEX('Compliance Database'!$B$2:$B$1369,MATCH(73,'Transfer Engine'!$C$2:$C$1369,0)))</f>
        <v/>
      </c>
      <c r="C82" s="8">
        <f>IF(ISNA(MATCH(73,'Transfer Engine'!$C$2:$C$1369,0)),"",INDEX('Compliance Database'!$C$2:$C$1369,MATCH(73,'Transfer Engine'!$C$2:$C$1369,0)))</f>
        <v/>
      </c>
      <c r="D82" s="9">
        <f>IF(ISNA(MATCH(73,'Transfer Engine'!$C$2:$C$1369,0)),"",INDEX('Compliance Database'!$D$2:$D$1369,MATCH(73,'Transfer Engine'!$C$2:$C$1369,0)))</f>
        <v/>
      </c>
      <c r="E82" s="8">
        <f>IF(ISNA(MATCH(73,'Transfer Engine'!$C$2:$C$1369,0)),"",INDEX('Compliance Database'!$E$2:$E$1369,MATCH(73,'Transfer Engine'!$C$2:$C$1369,0)))</f>
        <v/>
      </c>
      <c r="F82" s="8">
        <f>IF(ISNA(MATCH(73,'Transfer Engine'!$C$2:$C$1369,0)),"",INDEX('Compliance Database'!$F$2:$F$1369,MATCH(73,'Transfer Engine'!$C$2:$C$1369,0)))</f>
        <v/>
      </c>
      <c r="G82" s="8">
        <f>IF(ISNA(MATCH(73,'Transfer Engine'!$C$2:$C$1369,0)),"",INDEX('Compliance Database'!$G$2:$G$1369,MATCH(73,'Transfer Engine'!$C$2:$C$1369,0)))</f>
        <v/>
      </c>
      <c r="H82" s="9">
        <f>IF(ISNA(MATCH(73,'Transfer Engine'!$C$2:$C$1369,0)),"",INDEX('Compliance Database'!$H$2:$H$1369,MATCH(73,'Transfer Engine'!$C$2:$C$1369,0)))</f>
        <v/>
      </c>
      <c r="I82" s="9">
        <f>IF(ISNA(MATCH(73,'Transfer Engine'!$C$2:$C$1369,0)),"",INDEX('Compliance Database'!$I$2:$I$1369,MATCH(73,'Transfer Engine'!$C$2:$C$1369,0)))</f>
        <v/>
      </c>
      <c r="J82" s="8">
        <f>IF(ISNA(MATCH(73,'Transfer Engine'!$C$2:$C$1369,0)),"",INDEX('Compliance Database'!$J$2:$J$1369,MATCH(73,'Transfer Engine'!$C$2:$C$1369,0)))</f>
        <v/>
      </c>
      <c r="K82" s="9">
        <f>IF(ISNA(MATCH(73,'Transfer Engine'!$C$2:$C$1369,0)),"",INDEX('Compliance Database'!$K$2:$K$1369,MATCH(73,'Transfer Engine'!$C$2:$C$1369,0)))</f>
        <v/>
      </c>
      <c r="L82" s="9">
        <f>IF(ISNA(MATCH(73,'Transfer Engine'!$C$2:$C$1369,0)),"",INDEX('Compliance Database'!$L$2:$L$1369,MATCH(73,'Transfer Engine'!$C$2:$C$1369,0)))</f>
        <v/>
      </c>
      <c r="M82" s="9">
        <f>IF(ISNA(MATCH(73,'Transfer Engine'!$C$2:$C$1369,0)),"",INDEX('Compliance Database'!$M$2:$M$1369,MATCH(73,'Transfer Engine'!$C$2:$C$1369,0)))</f>
        <v/>
      </c>
      <c r="N82" s="9">
        <f>IF(ISNA(MATCH(73,'Transfer Engine'!$C$2:$C$1369,0)),"",INDEX('Compliance Database'!$N$2:$N$1369,MATCH(73,'Transfer Engine'!$C$2:$C$1369,0)))</f>
        <v/>
      </c>
      <c r="O82" s="8">
        <f>IF(ISNA(MATCH(73,'Transfer Engine'!$C$2:$C$1369,0)),"",HYPERLINK(INDEX('Compliance Database'!$O$2:$O$1369,MATCH(73,'Transfer Engine'!$C$2:$C$1369,0)),"Open PDF"))</f>
        <v/>
      </c>
    </row>
    <row r="83" ht="188" customHeight="1">
      <c r="A83" s="8">
        <f>IF(ISNA(MATCH(74,'Transfer Engine'!$C$2:$C$1369,0)),"",INDEX('Compliance Database'!$A$2:$A$1369,MATCH(74,'Transfer Engine'!$C$2:$C$1369,0)))</f>
        <v/>
      </c>
      <c r="B83" s="8">
        <f>IF(ISNA(MATCH(74,'Transfer Engine'!$C$2:$C$1369,0)),"",INDEX('Compliance Database'!$B$2:$B$1369,MATCH(74,'Transfer Engine'!$C$2:$C$1369,0)))</f>
        <v/>
      </c>
      <c r="C83" s="8">
        <f>IF(ISNA(MATCH(74,'Transfer Engine'!$C$2:$C$1369,0)),"",INDEX('Compliance Database'!$C$2:$C$1369,MATCH(74,'Transfer Engine'!$C$2:$C$1369,0)))</f>
        <v/>
      </c>
      <c r="D83" s="9">
        <f>IF(ISNA(MATCH(74,'Transfer Engine'!$C$2:$C$1369,0)),"",INDEX('Compliance Database'!$D$2:$D$1369,MATCH(74,'Transfer Engine'!$C$2:$C$1369,0)))</f>
        <v/>
      </c>
      <c r="E83" s="8">
        <f>IF(ISNA(MATCH(74,'Transfer Engine'!$C$2:$C$1369,0)),"",INDEX('Compliance Database'!$E$2:$E$1369,MATCH(74,'Transfer Engine'!$C$2:$C$1369,0)))</f>
        <v/>
      </c>
      <c r="F83" s="8">
        <f>IF(ISNA(MATCH(74,'Transfer Engine'!$C$2:$C$1369,0)),"",INDEX('Compliance Database'!$F$2:$F$1369,MATCH(74,'Transfer Engine'!$C$2:$C$1369,0)))</f>
        <v/>
      </c>
      <c r="G83" s="8">
        <f>IF(ISNA(MATCH(74,'Transfer Engine'!$C$2:$C$1369,0)),"",INDEX('Compliance Database'!$G$2:$G$1369,MATCH(74,'Transfer Engine'!$C$2:$C$1369,0)))</f>
        <v/>
      </c>
      <c r="H83" s="9">
        <f>IF(ISNA(MATCH(74,'Transfer Engine'!$C$2:$C$1369,0)),"",INDEX('Compliance Database'!$H$2:$H$1369,MATCH(74,'Transfer Engine'!$C$2:$C$1369,0)))</f>
        <v/>
      </c>
      <c r="I83" s="9">
        <f>IF(ISNA(MATCH(74,'Transfer Engine'!$C$2:$C$1369,0)),"",INDEX('Compliance Database'!$I$2:$I$1369,MATCH(74,'Transfer Engine'!$C$2:$C$1369,0)))</f>
        <v/>
      </c>
      <c r="J83" s="8">
        <f>IF(ISNA(MATCH(74,'Transfer Engine'!$C$2:$C$1369,0)),"",INDEX('Compliance Database'!$J$2:$J$1369,MATCH(74,'Transfer Engine'!$C$2:$C$1369,0)))</f>
        <v/>
      </c>
      <c r="K83" s="9">
        <f>IF(ISNA(MATCH(74,'Transfer Engine'!$C$2:$C$1369,0)),"",INDEX('Compliance Database'!$K$2:$K$1369,MATCH(74,'Transfer Engine'!$C$2:$C$1369,0)))</f>
        <v/>
      </c>
      <c r="L83" s="9">
        <f>IF(ISNA(MATCH(74,'Transfer Engine'!$C$2:$C$1369,0)),"",INDEX('Compliance Database'!$L$2:$L$1369,MATCH(74,'Transfer Engine'!$C$2:$C$1369,0)))</f>
        <v/>
      </c>
      <c r="M83" s="9">
        <f>IF(ISNA(MATCH(74,'Transfer Engine'!$C$2:$C$1369,0)),"",INDEX('Compliance Database'!$M$2:$M$1369,MATCH(74,'Transfer Engine'!$C$2:$C$1369,0)))</f>
        <v/>
      </c>
      <c r="N83" s="9">
        <f>IF(ISNA(MATCH(74,'Transfer Engine'!$C$2:$C$1369,0)),"",INDEX('Compliance Database'!$N$2:$N$1369,MATCH(74,'Transfer Engine'!$C$2:$C$1369,0)))</f>
        <v/>
      </c>
      <c r="O83" s="8">
        <f>IF(ISNA(MATCH(74,'Transfer Engine'!$C$2:$C$1369,0)),"",HYPERLINK(INDEX('Compliance Database'!$O$2:$O$1369,MATCH(74,'Transfer Engine'!$C$2:$C$1369,0)),"Open PDF"))</f>
        <v/>
      </c>
    </row>
    <row r="84" ht="188" customHeight="1">
      <c r="A84" s="8">
        <f>IF(ISNA(MATCH(75,'Transfer Engine'!$C$2:$C$1369,0)),"",INDEX('Compliance Database'!$A$2:$A$1369,MATCH(75,'Transfer Engine'!$C$2:$C$1369,0)))</f>
        <v/>
      </c>
      <c r="B84" s="8">
        <f>IF(ISNA(MATCH(75,'Transfer Engine'!$C$2:$C$1369,0)),"",INDEX('Compliance Database'!$B$2:$B$1369,MATCH(75,'Transfer Engine'!$C$2:$C$1369,0)))</f>
        <v/>
      </c>
      <c r="C84" s="8">
        <f>IF(ISNA(MATCH(75,'Transfer Engine'!$C$2:$C$1369,0)),"",INDEX('Compliance Database'!$C$2:$C$1369,MATCH(75,'Transfer Engine'!$C$2:$C$1369,0)))</f>
        <v/>
      </c>
      <c r="D84" s="9">
        <f>IF(ISNA(MATCH(75,'Transfer Engine'!$C$2:$C$1369,0)),"",INDEX('Compliance Database'!$D$2:$D$1369,MATCH(75,'Transfer Engine'!$C$2:$C$1369,0)))</f>
        <v/>
      </c>
      <c r="E84" s="8">
        <f>IF(ISNA(MATCH(75,'Transfer Engine'!$C$2:$C$1369,0)),"",INDEX('Compliance Database'!$E$2:$E$1369,MATCH(75,'Transfer Engine'!$C$2:$C$1369,0)))</f>
        <v/>
      </c>
      <c r="F84" s="8">
        <f>IF(ISNA(MATCH(75,'Transfer Engine'!$C$2:$C$1369,0)),"",INDEX('Compliance Database'!$F$2:$F$1369,MATCH(75,'Transfer Engine'!$C$2:$C$1369,0)))</f>
        <v/>
      </c>
      <c r="G84" s="8">
        <f>IF(ISNA(MATCH(75,'Transfer Engine'!$C$2:$C$1369,0)),"",INDEX('Compliance Database'!$G$2:$G$1369,MATCH(75,'Transfer Engine'!$C$2:$C$1369,0)))</f>
        <v/>
      </c>
      <c r="H84" s="9">
        <f>IF(ISNA(MATCH(75,'Transfer Engine'!$C$2:$C$1369,0)),"",INDEX('Compliance Database'!$H$2:$H$1369,MATCH(75,'Transfer Engine'!$C$2:$C$1369,0)))</f>
        <v/>
      </c>
      <c r="I84" s="9">
        <f>IF(ISNA(MATCH(75,'Transfer Engine'!$C$2:$C$1369,0)),"",INDEX('Compliance Database'!$I$2:$I$1369,MATCH(75,'Transfer Engine'!$C$2:$C$1369,0)))</f>
        <v/>
      </c>
      <c r="J84" s="8">
        <f>IF(ISNA(MATCH(75,'Transfer Engine'!$C$2:$C$1369,0)),"",INDEX('Compliance Database'!$J$2:$J$1369,MATCH(75,'Transfer Engine'!$C$2:$C$1369,0)))</f>
        <v/>
      </c>
      <c r="K84" s="9">
        <f>IF(ISNA(MATCH(75,'Transfer Engine'!$C$2:$C$1369,0)),"",INDEX('Compliance Database'!$K$2:$K$1369,MATCH(75,'Transfer Engine'!$C$2:$C$1369,0)))</f>
        <v/>
      </c>
      <c r="L84" s="9">
        <f>IF(ISNA(MATCH(75,'Transfer Engine'!$C$2:$C$1369,0)),"",INDEX('Compliance Database'!$L$2:$L$1369,MATCH(75,'Transfer Engine'!$C$2:$C$1369,0)))</f>
        <v/>
      </c>
      <c r="M84" s="9">
        <f>IF(ISNA(MATCH(75,'Transfer Engine'!$C$2:$C$1369,0)),"",INDEX('Compliance Database'!$M$2:$M$1369,MATCH(75,'Transfer Engine'!$C$2:$C$1369,0)))</f>
        <v/>
      </c>
      <c r="N84" s="9">
        <f>IF(ISNA(MATCH(75,'Transfer Engine'!$C$2:$C$1369,0)),"",INDEX('Compliance Database'!$N$2:$N$1369,MATCH(75,'Transfer Engine'!$C$2:$C$1369,0)))</f>
        <v/>
      </c>
      <c r="O84" s="8">
        <f>IF(ISNA(MATCH(75,'Transfer Engine'!$C$2:$C$1369,0)),"",HYPERLINK(INDEX('Compliance Database'!$O$2:$O$1369,MATCH(75,'Transfer Engine'!$C$2:$C$1369,0)),"Open PDF"))</f>
        <v/>
      </c>
    </row>
    <row r="85" ht="188" customHeight="1">
      <c r="A85" s="8">
        <f>IF(ISNA(MATCH(76,'Transfer Engine'!$C$2:$C$1369,0)),"",INDEX('Compliance Database'!$A$2:$A$1369,MATCH(76,'Transfer Engine'!$C$2:$C$1369,0)))</f>
        <v/>
      </c>
      <c r="B85" s="8">
        <f>IF(ISNA(MATCH(76,'Transfer Engine'!$C$2:$C$1369,0)),"",INDEX('Compliance Database'!$B$2:$B$1369,MATCH(76,'Transfer Engine'!$C$2:$C$1369,0)))</f>
        <v/>
      </c>
      <c r="C85" s="8">
        <f>IF(ISNA(MATCH(76,'Transfer Engine'!$C$2:$C$1369,0)),"",INDEX('Compliance Database'!$C$2:$C$1369,MATCH(76,'Transfer Engine'!$C$2:$C$1369,0)))</f>
        <v/>
      </c>
      <c r="D85" s="9">
        <f>IF(ISNA(MATCH(76,'Transfer Engine'!$C$2:$C$1369,0)),"",INDEX('Compliance Database'!$D$2:$D$1369,MATCH(76,'Transfer Engine'!$C$2:$C$1369,0)))</f>
        <v/>
      </c>
      <c r="E85" s="8">
        <f>IF(ISNA(MATCH(76,'Transfer Engine'!$C$2:$C$1369,0)),"",INDEX('Compliance Database'!$E$2:$E$1369,MATCH(76,'Transfer Engine'!$C$2:$C$1369,0)))</f>
        <v/>
      </c>
      <c r="F85" s="8">
        <f>IF(ISNA(MATCH(76,'Transfer Engine'!$C$2:$C$1369,0)),"",INDEX('Compliance Database'!$F$2:$F$1369,MATCH(76,'Transfer Engine'!$C$2:$C$1369,0)))</f>
        <v/>
      </c>
      <c r="G85" s="8">
        <f>IF(ISNA(MATCH(76,'Transfer Engine'!$C$2:$C$1369,0)),"",INDEX('Compliance Database'!$G$2:$G$1369,MATCH(76,'Transfer Engine'!$C$2:$C$1369,0)))</f>
        <v/>
      </c>
      <c r="H85" s="9">
        <f>IF(ISNA(MATCH(76,'Transfer Engine'!$C$2:$C$1369,0)),"",INDEX('Compliance Database'!$H$2:$H$1369,MATCH(76,'Transfer Engine'!$C$2:$C$1369,0)))</f>
        <v/>
      </c>
      <c r="I85" s="9">
        <f>IF(ISNA(MATCH(76,'Transfer Engine'!$C$2:$C$1369,0)),"",INDEX('Compliance Database'!$I$2:$I$1369,MATCH(76,'Transfer Engine'!$C$2:$C$1369,0)))</f>
        <v/>
      </c>
      <c r="J85" s="8">
        <f>IF(ISNA(MATCH(76,'Transfer Engine'!$C$2:$C$1369,0)),"",INDEX('Compliance Database'!$J$2:$J$1369,MATCH(76,'Transfer Engine'!$C$2:$C$1369,0)))</f>
        <v/>
      </c>
      <c r="K85" s="9">
        <f>IF(ISNA(MATCH(76,'Transfer Engine'!$C$2:$C$1369,0)),"",INDEX('Compliance Database'!$K$2:$K$1369,MATCH(76,'Transfer Engine'!$C$2:$C$1369,0)))</f>
        <v/>
      </c>
      <c r="L85" s="9">
        <f>IF(ISNA(MATCH(76,'Transfer Engine'!$C$2:$C$1369,0)),"",INDEX('Compliance Database'!$L$2:$L$1369,MATCH(76,'Transfer Engine'!$C$2:$C$1369,0)))</f>
        <v/>
      </c>
      <c r="M85" s="9">
        <f>IF(ISNA(MATCH(76,'Transfer Engine'!$C$2:$C$1369,0)),"",INDEX('Compliance Database'!$M$2:$M$1369,MATCH(76,'Transfer Engine'!$C$2:$C$1369,0)))</f>
        <v/>
      </c>
      <c r="N85" s="9">
        <f>IF(ISNA(MATCH(76,'Transfer Engine'!$C$2:$C$1369,0)),"",INDEX('Compliance Database'!$N$2:$N$1369,MATCH(76,'Transfer Engine'!$C$2:$C$1369,0)))</f>
        <v/>
      </c>
      <c r="O85" s="8">
        <f>IF(ISNA(MATCH(76,'Transfer Engine'!$C$2:$C$1369,0)),"",HYPERLINK(INDEX('Compliance Database'!$O$2:$O$1369,MATCH(76,'Transfer Engine'!$C$2:$C$1369,0)),"Open PDF"))</f>
        <v/>
      </c>
    </row>
    <row r="86" ht="188" customHeight="1">
      <c r="A86" s="8">
        <f>IF(ISNA(MATCH(77,'Transfer Engine'!$C$2:$C$1369,0)),"",INDEX('Compliance Database'!$A$2:$A$1369,MATCH(77,'Transfer Engine'!$C$2:$C$1369,0)))</f>
        <v/>
      </c>
      <c r="B86" s="8">
        <f>IF(ISNA(MATCH(77,'Transfer Engine'!$C$2:$C$1369,0)),"",INDEX('Compliance Database'!$B$2:$B$1369,MATCH(77,'Transfer Engine'!$C$2:$C$1369,0)))</f>
        <v/>
      </c>
      <c r="C86" s="8">
        <f>IF(ISNA(MATCH(77,'Transfer Engine'!$C$2:$C$1369,0)),"",INDEX('Compliance Database'!$C$2:$C$1369,MATCH(77,'Transfer Engine'!$C$2:$C$1369,0)))</f>
        <v/>
      </c>
      <c r="D86" s="9">
        <f>IF(ISNA(MATCH(77,'Transfer Engine'!$C$2:$C$1369,0)),"",INDEX('Compliance Database'!$D$2:$D$1369,MATCH(77,'Transfer Engine'!$C$2:$C$1369,0)))</f>
        <v/>
      </c>
      <c r="E86" s="8">
        <f>IF(ISNA(MATCH(77,'Transfer Engine'!$C$2:$C$1369,0)),"",INDEX('Compliance Database'!$E$2:$E$1369,MATCH(77,'Transfer Engine'!$C$2:$C$1369,0)))</f>
        <v/>
      </c>
      <c r="F86" s="8">
        <f>IF(ISNA(MATCH(77,'Transfer Engine'!$C$2:$C$1369,0)),"",INDEX('Compliance Database'!$F$2:$F$1369,MATCH(77,'Transfer Engine'!$C$2:$C$1369,0)))</f>
        <v/>
      </c>
      <c r="G86" s="8">
        <f>IF(ISNA(MATCH(77,'Transfer Engine'!$C$2:$C$1369,0)),"",INDEX('Compliance Database'!$G$2:$G$1369,MATCH(77,'Transfer Engine'!$C$2:$C$1369,0)))</f>
        <v/>
      </c>
      <c r="H86" s="9">
        <f>IF(ISNA(MATCH(77,'Transfer Engine'!$C$2:$C$1369,0)),"",INDEX('Compliance Database'!$H$2:$H$1369,MATCH(77,'Transfer Engine'!$C$2:$C$1369,0)))</f>
        <v/>
      </c>
      <c r="I86" s="9">
        <f>IF(ISNA(MATCH(77,'Transfer Engine'!$C$2:$C$1369,0)),"",INDEX('Compliance Database'!$I$2:$I$1369,MATCH(77,'Transfer Engine'!$C$2:$C$1369,0)))</f>
        <v/>
      </c>
      <c r="J86" s="8">
        <f>IF(ISNA(MATCH(77,'Transfer Engine'!$C$2:$C$1369,0)),"",INDEX('Compliance Database'!$J$2:$J$1369,MATCH(77,'Transfer Engine'!$C$2:$C$1369,0)))</f>
        <v/>
      </c>
      <c r="K86" s="9">
        <f>IF(ISNA(MATCH(77,'Transfer Engine'!$C$2:$C$1369,0)),"",INDEX('Compliance Database'!$K$2:$K$1369,MATCH(77,'Transfer Engine'!$C$2:$C$1369,0)))</f>
        <v/>
      </c>
      <c r="L86" s="9">
        <f>IF(ISNA(MATCH(77,'Transfer Engine'!$C$2:$C$1369,0)),"",INDEX('Compliance Database'!$L$2:$L$1369,MATCH(77,'Transfer Engine'!$C$2:$C$1369,0)))</f>
        <v/>
      </c>
      <c r="M86" s="9">
        <f>IF(ISNA(MATCH(77,'Transfer Engine'!$C$2:$C$1369,0)),"",INDEX('Compliance Database'!$M$2:$M$1369,MATCH(77,'Transfer Engine'!$C$2:$C$1369,0)))</f>
        <v/>
      </c>
      <c r="N86" s="9">
        <f>IF(ISNA(MATCH(77,'Transfer Engine'!$C$2:$C$1369,0)),"",INDEX('Compliance Database'!$N$2:$N$1369,MATCH(77,'Transfer Engine'!$C$2:$C$1369,0)))</f>
        <v/>
      </c>
      <c r="O86" s="8">
        <f>IF(ISNA(MATCH(77,'Transfer Engine'!$C$2:$C$1369,0)),"",HYPERLINK(INDEX('Compliance Database'!$O$2:$O$1369,MATCH(77,'Transfer Engine'!$C$2:$C$1369,0)),"Open PDF"))</f>
        <v/>
      </c>
    </row>
    <row r="87" ht="188" customHeight="1">
      <c r="A87" s="8">
        <f>IF(ISNA(MATCH(78,'Transfer Engine'!$C$2:$C$1369,0)),"",INDEX('Compliance Database'!$A$2:$A$1369,MATCH(78,'Transfer Engine'!$C$2:$C$1369,0)))</f>
        <v/>
      </c>
      <c r="B87" s="8">
        <f>IF(ISNA(MATCH(78,'Transfer Engine'!$C$2:$C$1369,0)),"",INDEX('Compliance Database'!$B$2:$B$1369,MATCH(78,'Transfer Engine'!$C$2:$C$1369,0)))</f>
        <v/>
      </c>
      <c r="C87" s="8">
        <f>IF(ISNA(MATCH(78,'Transfer Engine'!$C$2:$C$1369,0)),"",INDEX('Compliance Database'!$C$2:$C$1369,MATCH(78,'Transfer Engine'!$C$2:$C$1369,0)))</f>
        <v/>
      </c>
      <c r="D87" s="9">
        <f>IF(ISNA(MATCH(78,'Transfer Engine'!$C$2:$C$1369,0)),"",INDEX('Compliance Database'!$D$2:$D$1369,MATCH(78,'Transfer Engine'!$C$2:$C$1369,0)))</f>
        <v/>
      </c>
      <c r="E87" s="8">
        <f>IF(ISNA(MATCH(78,'Transfer Engine'!$C$2:$C$1369,0)),"",INDEX('Compliance Database'!$E$2:$E$1369,MATCH(78,'Transfer Engine'!$C$2:$C$1369,0)))</f>
        <v/>
      </c>
      <c r="F87" s="8">
        <f>IF(ISNA(MATCH(78,'Transfer Engine'!$C$2:$C$1369,0)),"",INDEX('Compliance Database'!$F$2:$F$1369,MATCH(78,'Transfer Engine'!$C$2:$C$1369,0)))</f>
        <v/>
      </c>
      <c r="G87" s="8">
        <f>IF(ISNA(MATCH(78,'Transfer Engine'!$C$2:$C$1369,0)),"",INDEX('Compliance Database'!$G$2:$G$1369,MATCH(78,'Transfer Engine'!$C$2:$C$1369,0)))</f>
        <v/>
      </c>
      <c r="H87" s="9">
        <f>IF(ISNA(MATCH(78,'Transfer Engine'!$C$2:$C$1369,0)),"",INDEX('Compliance Database'!$H$2:$H$1369,MATCH(78,'Transfer Engine'!$C$2:$C$1369,0)))</f>
        <v/>
      </c>
      <c r="I87" s="9">
        <f>IF(ISNA(MATCH(78,'Transfer Engine'!$C$2:$C$1369,0)),"",INDEX('Compliance Database'!$I$2:$I$1369,MATCH(78,'Transfer Engine'!$C$2:$C$1369,0)))</f>
        <v/>
      </c>
      <c r="J87" s="8">
        <f>IF(ISNA(MATCH(78,'Transfer Engine'!$C$2:$C$1369,0)),"",INDEX('Compliance Database'!$J$2:$J$1369,MATCH(78,'Transfer Engine'!$C$2:$C$1369,0)))</f>
        <v/>
      </c>
      <c r="K87" s="9">
        <f>IF(ISNA(MATCH(78,'Transfer Engine'!$C$2:$C$1369,0)),"",INDEX('Compliance Database'!$K$2:$K$1369,MATCH(78,'Transfer Engine'!$C$2:$C$1369,0)))</f>
        <v/>
      </c>
      <c r="L87" s="9">
        <f>IF(ISNA(MATCH(78,'Transfer Engine'!$C$2:$C$1369,0)),"",INDEX('Compliance Database'!$L$2:$L$1369,MATCH(78,'Transfer Engine'!$C$2:$C$1369,0)))</f>
        <v/>
      </c>
      <c r="M87" s="9">
        <f>IF(ISNA(MATCH(78,'Transfer Engine'!$C$2:$C$1369,0)),"",INDEX('Compliance Database'!$M$2:$M$1369,MATCH(78,'Transfer Engine'!$C$2:$C$1369,0)))</f>
        <v/>
      </c>
      <c r="N87" s="9">
        <f>IF(ISNA(MATCH(78,'Transfer Engine'!$C$2:$C$1369,0)),"",INDEX('Compliance Database'!$N$2:$N$1369,MATCH(78,'Transfer Engine'!$C$2:$C$1369,0)))</f>
        <v/>
      </c>
      <c r="O87" s="8">
        <f>IF(ISNA(MATCH(78,'Transfer Engine'!$C$2:$C$1369,0)),"",HYPERLINK(INDEX('Compliance Database'!$O$2:$O$1369,MATCH(78,'Transfer Engine'!$C$2:$C$1369,0)),"Open PDF"))</f>
        <v/>
      </c>
    </row>
    <row r="88" ht="188" customHeight="1">
      <c r="A88" s="8">
        <f>IF(ISNA(MATCH(79,'Transfer Engine'!$C$2:$C$1369,0)),"",INDEX('Compliance Database'!$A$2:$A$1369,MATCH(79,'Transfer Engine'!$C$2:$C$1369,0)))</f>
        <v/>
      </c>
      <c r="B88" s="8">
        <f>IF(ISNA(MATCH(79,'Transfer Engine'!$C$2:$C$1369,0)),"",INDEX('Compliance Database'!$B$2:$B$1369,MATCH(79,'Transfer Engine'!$C$2:$C$1369,0)))</f>
        <v/>
      </c>
      <c r="C88" s="8">
        <f>IF(ISNA(MATCH(79,'Transfer Engine'!$C$2:$C$1369,0)),"",INDEX('Compliance Database'!$C$2:$C$1369,MATCH(79,'Transfer Engine'!$C$2:$C$1369,0)))</f>
        <v/>
      </c>
      <c r="D88" s="9">
        <f>IF(ISNA(MATCH(79,'Transfer Engine'!$C$2:$C$1369,0)),"",INDEX('Compliance Database'!$D$2:$D$1369,MATCH(79,'Transfer Engine'!$C$2:$C$1369,0)))</f>
        <v/>
      </c>
      <c r="E88" s="8">
        <f>IF(ISNA(MATCH(79,'Transfer Engine'!$C$2:$C$1369,0)),"",INDEX('Compliance Database'!$E$2:$E$1369,MATCH(79,'Transfer Engine'!$C$2:$C$1369,0)))</f>
        <v/>
      </c>
      <c r="F88" s="8">
        <f>IF(ISNA(MATCH(79,'Transfer Engine'!$C$2:$C$1369,0)),"",INDEX('Compliance Database'!$F$2:$F$1369,MATCH(79,'Transfer Engine'!$C$2:$C$1369,0)))</f>
        <v/>
      </c>
      <c r="G88" s="8">
        <f>IF(ISNA(MATCH(79,'Transfer Engine'!$C$2:$C$1369,0)),"",INDEX('Compliance Database'!$G$2:$G$1369,MATCH(79,'Transfer Engine'!$C$2:$C$1369,0)))</f>
        <v/>
      </c>
      <c r="H88" s="9">
        <f>IF(ISNA(MATCH(79,'Transfer Engine'!$C$2:$C$1369,0)),"",INDEX('Compliance Database'!$H$2:$H$1369,MATCH(79,'Transfer Engine'!$C$2:$C$1369,0)))</f>
        <v/>
      </c>
      <c r="I88" s="9">
        <f>IF(ISNA(MATCH(79,'Transfer Engine'!$C$2:$C$1369,0)),"",INDEX('Compliance Database'!$I$2:$I$1369,MATCH(79,'Transfer Engine'!$C$2:$C$1369,0)))</f>
        <v/>
      </c>
      <c r="J88" s="8">
        <f>IF(ISNA(MATCH(79,'Transfer Engine'!$C$2:$C$1369,0)),"",INDEX('Compliance Database'!$J$2:$J$1369,MATCH(79,'Transfer Engine'!$C$2:$C$1369,0)))</f>
        <v/>
      </c>
      <c r="K88" s="9">
        <f>IF(ISNA(MATCH(79,'Transfer Engine'!$C$2:$C$1369,0)),"",INDEX('Compliance Database'!$K$2:$K$1369,MATCH(79,'Transfer Engine'!$C$2:$C$1369,0)))</f>
        <v/>
      </c>
      <c r="L88" s="9">
        <f>IF(ISNA(MATCH(79,'Transfer Engine'!$C$2:$C$1369,0)),"",INDEX('Compliance Database'!$L$2:$L$1369,MATCH(79,'Transfer Engine'!$C$2:$C$1369,0)))</f>
        <v/>
      </c>
      <c r="M88" s="9">
        <f>IF(ISNA(MATCH(79,'Transfer Engine'!$C$2:$C$1369,0)),"",INDEX('Compliance Database'!$M$2:$M$1369,MATCH(79,'Transfer Engine'!$C$2:$C$1369,0)))</f>
        <v/>
      </c>
      <c r="N88" s="9">
        <f>IF(ISNA(MATCH(79,'Transfer Engine'!$C$2:$C$1369,0)),"",INDEX('Compliance Database'!$N$2:$N$1369,MATCH(79,'Transfer Engine'!$C$2:$C$1369,0)))</f>
        <v/>
      </c>
      <c r="O88" s="8">
        <f>IF(ISNA(MATCH(79,'Transfer Engine'!$C$2:$C$1369,0)),"",HYPERLINK(INDEX('Compliance Database'!$O$2:$O$1369,MATCH(79,'Transfer Engine'!$C$2:$C$1369,0)),"Open PDF"))</f>
        <v/>
      </c>
    </row>
    <row r="89" ht="188" customHeight="1">
      <c r="A89" s="8">
        <f>IF(ISNA(MATCH(80,'Transfer Engine'!$C$2:$C$1369,0)),"",INDEX('Compliance Database'!$A$2:$A$1369,MATCH(80,'Transfer Engine'!$C$2:$C$1369,0)))</f>
        <v/>
      </c>
      <c r="B89" s="8">
        <f>IF(ISNA(MATCH(80,'Transfer Engine'!$C$2:$C$1369,0)),"",INDEX('Compliance Database'!$B$2:$B$1369,MATCH(80,'Transfer Engine'!$C$2:$C$1369,0)))</f>
        <v/>
      </c>
      <c r="C89" s="8">
        <f>IF(ISNA(MATCH(80,'Transfer Engine'!$C$2:$C$1369,0)),"",INDEX('Compliance Database'!$C$2:$C$1369,MATCH(80,'Transfer Engine'!$C$2:$C$1369,0)))</f>
        <v/>
      </c>
      <c r="D89" s="9">
        <f>IF(ISNA(MATCH(80,'Transfer Engine'!$C$2:$C$1369,0)),"",INDEX('Compliance Database'!$D$2:$D$1369,MATCH(80,'Transfer Engine'!$C$2:$C$1369,0)))</f>
        <v/>
      </c>
      <c r="E89" s="8">
        <f>IF(ISNA(MATCH(80,'Transfer Engine'!$C$2:$C$1369,0)),"",INDEX('Compliance Database'!$E$2:$E$1369,MATCH(80,'Transfer Engine'!$C$2:$C$1369,0)))</f>
        <v/>
      </c>
      <c r="F89" s="8">
        <f>IF(ISNA(MATCH(80,'Transfer Engine'!$C$2:$C$1369,0)),"",INDEX('Compliance Database'!$F$2:$F$1369,MATCH(80,'Transfer Engine'!$C$2:$C$1369,0)))</f>
        <v/>
      </c>
      <c r="G89" s="8">
        <f>IF(ISNA(MATCH(80,'Transfer Engine'!$C$2:$C$1369,0)),"",INDEX('Compliance Database'!$G$2:$G$1369,MATCH(80,'Transfer Engine'!$C$2:$C$1369,0)))</f>
        <v/>
      </c>
      <c r="H89" s="9">
        <f>IF(ISNA(MATCH(80,'Transfer Engine'!$C$2:$C$1369,0)),"",INDEX('Compliance Database'!$H$2:$H$1369,MATCH(80,'Transfer Engine'!$C$2:$C$1369,0)))</f>
        <v/>
      </c>
      <c r="I89" s="9">
        <f>IF(ISNA(MATCH(80,'Transfer Engine'!$C$2:$C$1369,0)),"",INDEX('Compliance Database'!$I$2:$I$1369,MATCH(80,'Transfer Engine'!$C$2:$C$1369,0)))</f>
        <v/>
      </c>
      <c r="J89" s="8">
        <f>IF(ISNA(MATCH(80,'Transfer Engine'!$C$2:$C$1369,0)),"",INDEX('Compliance Database'!$J$2:$J$1369,MATCH(80,'Transfer Engine'!$C$2:$C$1369,0)))</f>
        <v/>
      </c>
      <c r="K89" s="9">
        <f>IF(ISNA(MATCH(80,'Transfer Engine'!$C$2:$C$1369,0)),"",INDEX('Compliance Database'!$K$2:$K$1369,MATCH(80,'Transfer Engine'!$C$2:$C$1369,0)))</f>
        <v/>
      </c>
      <c r="L89" s="9">
        <f>IF(ISNA(MATCH(80,'Transfer Engine'!$C$2:$C$1369,0)),"",INDEX('Compliance Database'!$L$2:$L$1369,MATCH(80,'Transfer Engine'!$C$2:$C$1369,0)))</f>
        <v/>
      </c>
      <c r="M89" s="9">
        <f>IF(ISNA(MATCH(80,'Transfer Engine'!$C$2:$C$1369,0)),"",INDEX('Compliance Database'!$M$2:$M$1369,MATCH(80,'Transfer Engine'!$C$2:$C$1369,0)))</f>
        <v/>
      </c>
      <c r="N89" s="9">
        <f>IF(ISNA(MATCH(80,'Transfer Engine'!$C$2:$C$1369,0)),"",INDEX('Compliance Database'!$N$2:$N$1369,MATCH(80,'Transfer Engine'!$C$2:$C$1369,0)))</f>
        <v/>
      </c>
      <c r="O89" s="8">
        <f>IF(ISNA(MATCH(80,'Transfer Engine'!$C$2:$C$1369,0)),"",HYPERLINK(INDEX('Compliance Database'!$O$2:$O$1369,MATCH(80,'Transfer Engine'!$C$2:$C$1369,0)),"Open PDF"))</f>
        <v/>
      </c>
    </row>
    <row r="90" ht="188" customHeight="1">
      <c r="A90" s="8">
        <f>IF(ISNA(MATCH(81,'Transfer Engine'!$C$2:$C$1369,0)),"",INDEX('Compliance Database'!$A$2:$A$1369,MATCH(81,'Transfer Engine'!$C$2:$C$1369,0)))</f>
        <v/>
      </c>
      <c r="B90" s="8">
        <f>IF(ISNA(MATCH(81,'Transfer Engine'!$C$2:$C$1369,0)),"",INDEX('Compliance Database'!$B$2:$B$1369,MATCH(81,'Transfer Engine'!$C$2:$C$1369,0)))</f>
        <v/>
      </c>
      <c r="C90" s="8">
        <f>IF(ISNA(MATCH(81,'Transfer Engine'!$C$2:$C$1369,0)),"",INDEX('Compliance Database'!$C$2:$C$1369,MATCH(81,'Transfer Engine'!$C$2:$C$1369,0)))</f>
        <v/>
      </c>
      <c r="D90" s="9">
        <f>IF(ISNA(MATCH(81,'Transfer Engine'!$C$2:$C$1369,0)),"",INDEX('Compliance Database'!$D$2:$D$1369,MATCH(81,'Transfer Engine'!$C$2:$C$1369,0)))</f>
        <v/>
      </c>
      <c r="E90" s="8">
        <f>IF(ISNA(MATCH(81,'Transfer Engine'!$C$2:$C$1369,0)),"",INDEX('Compliance Database'!$E$2:$E$1369,MATCH(81,'Transfer Engine'!$C$2:$C$1369,0)))</f>
        <v/>
      </c>
      <c r="F90" s="8">
        <f>IF(ISNA(MATCH(81,'Transfer Engine'!$C$2:$C$1369,0)),"",INDEX('Compliance Database'!$F$2:$F$1369,MATCH(81,'Transfer Engine'!$C$2:$C$1369,0)))</f>
        <v/>
      </c>
      <c r="G90" s="8">
        <f>IF(ISNA(MATCH(81,'Transfer Engine'!$C$2:$C$1369,0)),"",INDEX('Compliance Database'!$G$2:$G$1369,MATCH(81,'Transfer Engine'!$C$2:$C$1369,0)))</f>
        <v/>
      </c>
      <c r="H90" s="9">
        <f>IF(ISNA(MATCH(81,'Transfer Engine'!$C$2:$C$1369,0)),"",INDEX('Compliance Database'!$H$2:$H$1369,MATCH(81,'Transfer Engine'!$C$2:$C$1369,0)))</f>
        <v/>
      </c>
      <c r="I90" s="9">
        <f>IF(ISNA(MATCH(81,'Transfer Engine'!$C$2:$C$1369,0)),"",INDEX('Compliance Database'!$I$2:$I$1369,MATCH(81,'Transfer Engine'!$C$2:$C$1369,0)))</f>
        <v/>
      </c>
      <c r="J90" s="8">
        <f>IF(ISNA(MATCH(81,'Transfer Engine'!$C$2:$C$1369,0)),"",INDEX('Compliance Database'!$J$2:$J$1369,MATCH(81,'Transfer Engine'!$C$2:$C$1369,0)))</f>
        <v/>
      </c>
      <c r="K90" s="9">
        <f>IF(ISNA(MATCH(81,'Transfer Engine'!$C$2:$C$1369,0)),"",INDEX('Compliance Database'!$K$2:$K$1369,MATCH(81,'Transfer Engine'!$C$2:$C$1369,0)))</f>
        <v/>
      </c>
      <c r="L90" s="9">
        <f>IF(ISNA(MATCH(81,'Transfer Engine'!$C$2:$C$1369,0)),"",INDEX('Compliance Database'!$L$2:$L$1369,MATCH(81,'Transfer Engine'!$C$2:$C$1369,0)))</f>
        <v/>
      </c>
      <c r="M90" s="9">
        <f>IF(ISNA(MATCH(81,'Transfer Engine'!$C$2:$C$1369,0)),"",INDEX('Compliance Database'!$M$2:$M$1369,MATCH(81,'Transfer Engine'!$C$2:$C$1369,0)))</f>
        <v/>
      </c>
      <c r="N90" s="9">
        <f>IF(ISNA(MATCH(81,'Transfer Engine'!$C$2:$C$1369,0)),"",INDEX('Compliance Database'!$N$2:$N$1369,MATCH(81,'Transfer Engine'!$C$2:$C$1369,0)))</f>
        <v/>
      </c>
      <c r="O90" s="8">
        <f>IF(ISNA(MATCH(81,'Transfer Engine'!$C$2:$C$1369,0)),"",HYPERLINK(INDEX('Compliance Database'!$O$2:$O$1369,MATCH(81,'Transfer Engine'!$C$2:$C$1369,0)),"Open PDF"))</f>
        <v/>
      </c>
    </row>
    <row r="91" ht="188" customHeight="1">
      <c r="A91" s="8">
        <f>IF(ISNA(MATCH(82,'Transfer Engine'!$C$2:$C$1369,0)),"",INDEX('Compliance Database'!$A$2:$A$1369,MATCH(82,'Transfer Engine'!$C$2:$C$1369,0)))</f>
        <v/>
      </c>
      <c r="B91" s="8">
        <f>IF(ISNA(MATCH(82,'Transfer Engine'!$C$2:$C$1369,0)),"",INDEX('Compliance Database'!$B$2:$B$1369,MATCH(82,'Transfer Engine'!$C$2:$C$1369,0)))</f>
        <v/>
      </c>
      <c r="C91" s="8">
        <f>IF(ISNA(MATCH(82,'Transfer Engine'!$C$2:$C$1369,0)),"",INDEX('Compliance Database'!$C$2:$C$1369,MATCH(82,'Transfer Engine'!$C$2:$C$1369,0)))</f>
        <v/>
      </c>
      <c r="D91" s="9">
        <f>IF(ISNA(MATCH(82,'Transfer Engine'!$C$2:$C$1369,0)),"",INDEX('Compliance Database'!$D$2:$D$1369,MATCH(82,'Transfer Engine'!$C$2:$C$1369,0)))</f>
        <v/>
      </c>
      <c r="E91" s="8">
        <f>IF(ISNA(MATCH(82,'Transfer Engine'!$C$2:$C$1369,0)),"",INDEX('Compliance Database'!$E$2:$E$1369,MATCH(82,'Transfer Engine'!$C$2:$C$1369,0)))</f>
        <v/>
      </c>
      <c r="F91" s="8">
        <f>IF(ISNA(MATCH(82,'Transfer Engine'!$C$2:$C$1369,0)),"",INDEX('Compliance Database'!$F$2:$F$1369,MATCH(82,'Transfer Engine'!$C$2:$C$1369,0)))</f>
        <v/>
      </c>
      <c r="G91" s="8">
        <f>IF(ISNA(MATCH(82,'Transfer Engine'!$C$2:$C$1369,0)),"",INDEX('Compliance Database'!$G$2:$G$1369,MATCH(82,'Transfer Engine'!$C$2:$C$1369,0)))</f>
        <v/>
      </c>
      <c r="H91" s="9">
        <f>IF(ISNA(MATCH(82,'Transfer Engine'!$C$2:$C$1369,0)),"",INDEX('Compliance Database'!$H$2:$H$1369,MATCH(82,'Transfer Engine'!$C$2:$C$1369,0)))</f>
        <v/>
      </c>
      <c r="I91" s="9">
        <f>IF(ISNA(MATCH(82,'Transfer Engine'!$C$2:$C$1369,0)),"",INDEX('Compliance Database'!$I$2:$I$1369,MATCH(82,'Transfer Engine'!$C$2:$C$1369,0)))</f>
        <v/>
      </c>
      <c r="J91" s="8">
        <f>IF(ISNA(MATCH(82,'Transfer Engine'!$C$2:$C$1369,0)),"",INDEX('Compliance Database'!$J$2:$J$1369,MATCH(82,'Transfer Engine'!$C$2:$C$1369,0)))</f>
        <v/>
      </c>
      <c r="K91" s="9">
        <f>IF(ISNA(MATCH(82,'Transfer Engine'!$C$2:$C$1369,0)),"",INDEX('Compliance Database'!$K$2:$K$1369,MATCH(82,'Transfer Engine'!$C$2:$C$1369,0)))</f>
        <v/>
      </c>
      <c r="L91" s="9">
        <f>IF(ISNA(MATCH(82,'Transfer Engine'!$C$2:$C$1369,0)),"",INDEX('Compliance Database'!$L$2:$L$1369,MATCH(82,'Transfer Engine'!$C$2:$C$1369,0)))</f>
        <v/>
      </c>
      <c r="M91" s="9">
        <f>IF(ISNA(MATCH(82,'Transfer Engine'!$C$2:$C$1369,0)),"",INDEX('Compliance Database'!$M$2:$M$1369,MATCH(82,'Transfer Engine'!$C$2:$C$1369,0)))</f>
        <v/>
      </c>
      <c r="N91" s="9">
        <f>IF(ISNA(MATCH(82,'Transfer Engine'!$C$2:$C$1369,0)),"",INDEX('Compliance Database'!$N$2:$N$1369,MATCH(82,'Transfer Engine'!$C$2:$C$1369,0)))</f>
        <v/>
      </c>
      <c r="O91" s="8">
        <f>IF(ISNA(MATCH(82,'Transfer Engine'!$C$2:$C$1369,0)),"",HYPERLINK(INDEX('Compliance Database'!$O$2:$O$1369,MATCH(82,'Transfer Engine'!$C$2:$C$1369,0)),"Open PDF"))</f>
        <v/>
      </c>
    </row>
    <row r="92" ht="188" customHeight="1">
      <c r="A92" s="8">
        <f>IF(ISNA(MATCH(83,'Transfer Engine'!$C$2:$C$1369,0)),"",INDEX('Compliance Database'!$A$2:$A$1369,MATCH(83,'Transfer Engine'!$C$2:$C$1369,0)))</f>
        <v/>
      </c>
      <c r="B92" s="8">
        <f>IF(ISNA(MATCH(83,'Transfer Engine'!$C$2:$C$1369,0)),"",INDEX('Compliance Database'!$B$2:$B$1369,MATCH(83,'Transfer Engine'!$C$2:$C$1369,0)))</f>
        <v/>
      </c>
      <c r="C92" s="8">
        <f>IF(ISNA(MATCH(83,'Transfer Engine'!$C$2:$C$1369,0)),"",INDEX('Compliance Database'!$C$2:$C$1369,MATCH(83,'Transfer Engine'!$C$2:$C$1369,0)))</f>
        <v/>
      </c>
      <c r="D92" s="9">
        <f>IF(ISNA(MATCH(83,'Transfer Engine'!$C$2:$C$1369,0)),"",INDEX('Compliance Database'!$D$2:$D$1369,MATCH(83,'Transfer Engine'!$C$2:$C$1369,0)))</f>
        <v/>
      </c>
      <c r="E92" s="8">
        <f>IF(ISNA(MATCH(83,'Transfer Engine'!$C$2:$C$1369,0)),"",INDEX('Compliance Database'!$E$2:$E$1369,MATCH(83,'Transfer Engine'!$C$2:$C$1369,0)))</f>
        <v/>
      </c>
      <c r="F92" s="8">
        <f>IF(ISNA(MATCH(83,'Transfer Engine'!$C$2:$C$1369,0)),"",INDEX('Compliance Database'!$F$2:$F$1369,MATCH(83,'Transfer Engine'!$C$2:$C$1369,0)))</f>
        <v/>
      </c>
      <c r="G92" s="8">
        <f>IF(ISNA(MATCH(83,'Transfer Engine'!$C$2:$C$1369,0)),"",INDEX('Compliance Database'!$G$2:$G$1369,MATCH(83,'Transfer Engine'!$C$2:$C$1369,0)))</f>
        <v/>
      </c>
      <c r="H92" s="9">
        <f>IF(ISNA(MATCH(83,'Transfer Engine'!$C$2:$C$1369,0)),"",INDEX('Compliance Database'!$H$2:$H$1369,MATCH(83,'Transfer Engine'!$C$2:$C$1369,0)))</f>
        <v/>
      </c>
      <c r="I92" s="9">
        <f>IF(ISNA(MATCH(83,'Transfer Engine'!$C$2:$C$1369,0)),"",INDEX('Compliance Database'!$I$2:$I$1369,MATCH(83,'Transfer Engine'!$C$2:$C$1369,0)))</f>
        <v/>
      </c>
      <c r="J92" s="8">
        <f>IF(ISNA(MATCH(83,'Transfer Engine'!$C$2:$C$1369,0)),"",INDEX('Compliance Database'!$J$2:$J$1369,MATCH(83,'Transfer Engine'!$C$2:$C$1369,0)))</f>
        <v/>
      </c>
      <c r="K92" s="9">
        <f>IF(ISNA(MATCH(83,'Transfer Engine'!$C$2:$C$1369,0)),"",INDEX('Compliance Database'!$K$2:$K$1369,MATCH(83,'Transfer Engine'!$C$2:$C$1369,0)))</f>
        <v/>
      </c>
      <c r="L92" s="9">
        <f>IF(ISNA(MATCH(83,'Transfer Engine'!$C$2:$C$1369,0)),"",INDEX('Compliance Database'!$L$2:$L$1369,MATCH(83,'Transfer Engine'!$C$2:$C$1369,0)))</f>
        <v/>
      </c>
      <c r="M92" s="9">
        <f>IF(ISNA(MATCH(83,'Transfer Engine'!$C$2:$C$1369,0)),"",INDEX('Compliance Database'!$M$2:$M$1369,MATCH(83,'Transfer Engine'!$C$2:$C$1369,0)))</f>
        <v/>
      </c>
      <c r="N92" s="9">
        <f>IF(ISNA(MATCH(83,'Transfer Engine'!$C$2:$C$1369,0)),"",INDEX('Compliance Database'!$N$2:$N$1369,MATCH(83,'Transfer Engine'!$C$2:$C$1369,0)))</f>
        <v/>
      </c>
      <c r="O92" s="8">
        <f>IF(ISNA(MATCH(83,'Transfer Engine'!$C$2:$C$1369,0)),"",HYPERLINK(INDEX('Compliance Database'!$O$2:$O$1369,MATCH(83,'Transfer Engine'!$C$2:$C$1369,0)),"Open PDF"))</f>
        <v/>
      </c>
    </row>
    <row r="93" ht="188" customHeight="1">
      <c r="A93" s="8">
        <f>IF(ISNA(MATCH(84,'Transfer Engine'!$C$2:$C$1369,0)),"",INDEX('Compliance Database'!$A$2:$A$1369,MATCH(84,'Transfer Engine'!$C$2:$C$1369,0)))</f>
        <v/>
      </c>
      <c r="B93" s="8">
        <f>IF(ISNA(MATCH(84,'Transfer Engine'!$C$2:$C$1369,0)),"",INDEX('Compliance Database'!$B$2:$B$1369,MATCH(84,'Transfer Engine'!$C$2:$C$1369,0)))</f>
        <v/>
      </c>
      <c r="C93" s="8">
        <f>IF(ISNA(MATCH(84,'Transfer Engine'!$C$2:$C$1369,0)),"",INDEX('Compliance Database'!$C$2:$C$1369,MATCH(84,'Transfer Engine'!$C$2:$C$1369,0)))</f>
        <v/>
      </c>
      <c r="D93" s="9">
        <f>IF(ISNA(MATCH(84,'Transfer Engine'!$C$2:$C$1369,0)),"",INDEX('Compliance Database'!$D$2:$D$1369,MATCH(84,'Transfer Engine'!$C$2:$C$1369,0)))</f>
        <v/>
      </c>
      <c r="E93" s="8">
        <f>IF(ISNA(MATCH(84,'Transfer Engine'!$C$2:$C$1369,0)),"",INDEX('Compliance Database'!$E$2:$E$1369,MATCH(84,'Transfer Engine'!$C$2:$C$1369,0)))</f>
        <v/>
      </c>
      <c r="F93" s="8">
        <f>IF(ISNA(MATCH(84,'Transfer Engine'!$C$2:$C$1369,0)),"",INDEX('Compliance Database'!$F$2:$F$1369,MATCH(84,'Transfer Engine'!$C$2:$C$1369,0)))</f>
        <v/>
      </c>
      <c r="G93" s="8">
        <f>IF(ISNA(MATCH(84,'Transfer Engine'!$C$2:$C$1369,0)),"",INDEX('Compliance Database'!$G$2:$G$1369,MATCH(84,'Transfer Engine'!$C$2:$C$1369,0)))</f>
        <v/>
      </c>
      <c r="H93" s="9">
        <f>IF(ISNA(MATCH(84,'Transfer Engine'!$C$2:$C$1369,0)),"",INDEX('Compliance Database'!$H$2:$H$1369,MATCH(84,'Transfer Engine'!$C$2:$C$1369,0)))</f>
        <v/>
      </c>
      <c r="I93" s="9">
        <f>IF(ISNA(MATCH(84,'Transfer Engine'!$C$2:$C$1369,0)),"",INDEX('Compliance Database'!$I$2:$I$1369,MATCH(84,'Transfer Engine'!$C$2:$C$1369,0)))</f>
        <v/>
      </c>
      <c r="J93" s="8">
        <f>IF(ISNA(MATCH(84,'Transfer Engine'!$C$2:$C$1369,0)),"",INDEX('Compliance Database'!$J$2:$J$1369,MATCH(84,'Transfer Engine'!$C$2:$C$1369,0)))</f>
        <v/>
      </c>
      <c r="K93" s="9">
        <f>IF(ISNA(MATCH(84,'Transfer Engine'!$C$2:$C$1369,0)),"",INDEX('Compliance Database'!$K$2:$K$1369,MATCH(84,'Transfer Engine'!$C$2:$C$1369,0)))</f>
        <v/>
      </c>
      <c r="L93" s="9">
        <f>IF(ISNA(MATCH(84,'Transfer Engine'!$C$2:$C$1369,0)),"",INDEX('Compliance Database'!$L$2:$L$1369,MATCH(84,'Transfer Engine'!$C$2:$C$1369,0)))</f>
        <v/>
      </c>
      <c r="M93" s="9">
        <f>IF(ISNA(MATCH(84,'Transfer Engine'!$C$2:$C$1369,0)),"",INDEX('Compliance Database'!$M$2:$M$1369,MATCH(84,'Transfer Engine'!$C$2:$C$1369,0)))</f>
        <v/>
      </c>
      <c r="N93" s="9">
        <f>IF(ISNA(MATCH(84,'Transfer Engine'!$C$2:$C$1369,0)),"",INDEX('Compliance Database'!$N$2:$N$1369,MATCH(84,'Transfer Engine'!$C$2:$C$1369,0)))</f>
        <v/>
      </c>
      <c r="O93" s="8">
        <f>IF(ISNA(MATCH(84,'Transfer Engine'!$C$2:$C$1369,0)),"",HYPERLINK(INDEX('Compliance Database'!$O$2:$O$1369,MATCH(84,'Transfer Engine'!$C$2:$C$1369,0)),"Open PDF"))</f>
        <v/>
      </c>
    </row>
    <row r="94" ht="188" customHeight="1">
      <c r="A94" s="8">
        <f>IF(ISNA(MATCH(85,'Transfer Engine'!$C$2:$C$1369,0)),"",INDEX('Compliance Database'!$A$2:$A$1369,MATCH(85,'Transfer Engine'!$C$2:$C$1369,0)))</f>
        <v/>
      </c>
      <c r="B94" s="8">
        <f>IF(ISNA(MATCH(85,'Transfer Engine'!$C$2:$C$1369,0)),"",INDEX('Compliance Database'!$B$2:$B$1369,MATCH(85,'Transfer Engine'!$C$2:$C$1369,0)))</f>
        <v/>
      </c>
      <c r="C94" s="8">
        <f>IF(ISNA(MATCH(85,'Transfer Engine'!$C$2:$C$1369,0)),"",INDEX('Compliance Database'!$C$2:$C$1369,MATCH(85,'Transfer Engine'!$C$2:$C$1369,0)))</f>
        <v/>
      </c>
      <c r="D94" s="9">
        <f>IF(ISNA(MATCH(85,'Transfer Engine'!$C$2:$C$1369,0)),"",INDEX('Compliance Database'!$D$2:$D$1369,MATCH(85,'Transfer Engine'!$C$2:$C$1369,0)))</f>
        <v/>
      </c>
      <c r="E94" s="8">
        <f>IF(ISNA(MATCH(85,'Transfer Engine'!$C$2:$C$1369,0)),"",INDEX('Compliance Database'!$E$2:$E$1369,MATCH(85,'Transfer Engine'!$C$2:$C$1369,0)))</f>
        <v/>
      </c>
      <c r="F94" s="8">
        <f>IF(ISNA(MATCH(85,'Transfer Engine'!$C$2:$C$1369,0)),"",INDEX('Compliance Database'!$F$2:$F$1369,MATCH(85,'Transfer Engine'!$C$2:$C$1369,0)))</f>
        <v/>
      </c>
      <c r="G94" s="8">
        <f>IF(ISNA(MATCH(85,'Transfer Engine'!$C$2:$C$1369,0)),"",INDEX('Compliance Database'!$G$2:$G$1369,MATCH(85,'Transfer Engine'!$C$2:$C$1369,0)))</f>
        <v/>
      </c>
      <c r="H94" s="9">
        <f>IF(ISNA(MATCH(85,'Transfer Engine'!$C$2:$C$1369,0)),"",INDEX('Compliance Database'!$H$2:$H$1369,MATCH(85,'Transfer Engine'!$C$2:$C$1369,0)))</f>
        <v/>
      </c>
      <c r="I94" s="9">
        <f>IF(ISNA(MATCH(85,'Transfer Engine'!$C$2:$C$1369,0)),"",INDEX('Compliance Database'!$I$2:$I$1369,MATCH(85,'Transfer Engine'!$C$2:$C$1369,0)))</f>
        <v/>
      </c>
      <c r="J94" s="8">
        <f>IF(ISNA(MATCH(85,'Transfer Engine'!$C$2:$C$1369,0)),"",INDEX('Compliance Database'!$J$2:$J$1369,MATCH(85,'Transfer Engine'!$C$2:$C$1369,0)))</f>
        <v/>
      </c>
      <c r="K94" s="9">
        <f>IF(ISNA(MATCH(85,'Transfer Engine'!$C$2:$C$1369,0)),"",INDEX('Compliance Database'!$K$2:$K$1369,MATCH(85,'Transfer Engine'!$C$2:$C$1369,0)))</f>
        <v/>
      </c>
      <c r="L94" s="9">
        <f>IF(ISNA(MATCH(85,'Transfer Engine'!$C$2:$C$1369,0)),"",INDEX('Compliance Database'!$L$2:$L$1369,MATCH(85,'Transfer Engine'!$C$2:$C$1369,0)))</f>
        <v/>
      </c>
      <c r="M94" s="9">
        <f>IF(ISNA(MATCH(85,'Transfer Engine'!$C$2:$C$1369,0)),"",INDEX('Compliance Database'!$M$2:$M$1369,MATCH(85,'Transfer Engine'!$C$2:$C$1369,0)))</f>
        <v/>
      </c>
      <c r="N94" s="9">
        <f>IF(ISNA(MATCH(85,'Transfer Engine'!$C$2:$C$1369,0)),"",INDEX('Compliance Database'!$N$2:$N$1369,MATCH(85,'Transfer Engine'!$C$2:$C$1369,0)))</f>
        <v/>
      </c>
      <c r="O94" s="8">
        <f>IF(ISNA(MATCH(85,'Transfer Engine'!$C$2:$C$1369,0)),"",HYPERLINK(INDEX('Compliance Database'!$O$2:$O$1369,MATCH(85,'Transfer Engine'!$C$2:$C$1369,0)),"Open PDF"))</f>
        <v/>
      </c>
    </row>
    <row r="95" ht="188" customHeight="1">
      <c r="A95" s="8">
        <f>IF(ISNA(MATCH(86,'Transfer Engine'!$C$2:$C$1369,0)),"",INDEX('Compliance Database'!$A$2:$A$1369,MATCH(86,'Transfer Engine'!$C$2:$C$1369,0)))</f>
        <v/>
      </c>
      <c r="B95" s="8">
        <f>IF(ISNA(MATCH(86,'Transfer Engine'!$C$2:$C$1369,0)),"",INDEX('Compliance Database'!$B$2:$B$1369,MATCH(86,'Transfer Engine'!$C$2:$C$1369,0)))</f>
        <v/>
      </c>
      <c r="C95" s="8">
        <f>IF(ISNA(MATCH(86,'Transfer Engine'!$C$2:$C$1369,0)),"",INDEX('Compliance Database'!$C$2:$C$1369,MATCH(86,'Transfer Engine'!$C$2:$C$1369,0)))</f>
        <v/>
      </c>
      <c r="D95" s="9">
        <f>IF(ISNA(MATCH(86,'Transfer Engine'!$C$2:$C$1369,0)),"",INDEX('Compliance Database'!$D$2:$D$1369,MATCH(86,'Transfer Engine'!$C$2:$C$1369,0)))</f>
        <v/>
      </c>
      <c r="E95" s="8">
        <f>IF(ISNA(MATCH(86,'Transfer Engine'!$C$2:$C$1369,0)),"",INDEX('Compliance Database'!$E$2:$E$1369,MATCH(86,'Transfer Engine'!$C$2:$C$1369,0)))</f>
        <v/>
      </c>
      <c r="F95" s="8">
        <f>IF(ISNA(MATCH(86,'Transfer Engine'!$C$2:$C$1369,0)),"",INDEX('Compliance Database'!$F$2:$F$1369,MATCH(86,'Transfer Engine'!$C$2:$C$1369,0)))</f>
        <v/>
      </c>
      <c r="G95" s="8">
        <f>IF(ISNA(MATCH(86,'Transfer Engine'!$C$2:$C$1369,0)),"",INDEX('Compliance Database'!$G$2:$G$1369,MATCH(86,'Transfer Engine'!$C$2:$C$1369,0)))</f>
        <v/>
      </c>
      <c r="H95" s="9">
        <f>IF(ISNA(MATCH(86,'Transfer Engine'!$C$2:$C$1369,0)),"",INDEX('Compliance Database'!$H$2:$H$1369,MATCH(86,'Transfer Engine'!$C$2:$C$1369,0)))</f>
        <v/>
      </c>
      <c r="I95" s="9">
        <f>IF(ISNA(MATCH(86,'Transfer Engine'!$C$2:$C$1369,0)),"",INDEX('Compliance Database'!$I$2:$I$1369,MATCH(86,'Transfer Engine'!$C$2:$C$1369,0)))</f>
        <v/>
      </c>
      <c r="J95" s="8">
        <f>IF(ISNA(MATCH(86,'Transfer Engine'!$C$2:$C$1369,0)),"",INDEX('Compliance Database'!$J$2:$J$1369,MATCH(86,'Transfer Engine'!$C$2:$C$1369,0)))</f>
        <v/>
      </c>
      <c r="K95" s="9">
        <f>IF(ISNA(MATCH(86,'Transfer Engine'!$C$2:$C$1369,0)),"",INDEX('Compliance Database'!$K$2:$K$1369,MATCH(86,'Transfer Engine'!$C$2:$C$1369,0)))</f>
        <v/>
      </c>
      <c r="L95" s="9">
        <f>IF(ISNA(MATCH(86,'Transfer Engine'!$C$2:$C$1369,0)),"",INDEX('Compliance Database'!$L$2:$L$1369,MATCH(86,'Transfer Engine'!$C$2:$C$1369,0)))</f>
        <v/>
      </c>
      <c r="M95" s="9">
        <f>IF(ISNA(MATCH(86,'Transfer Engine'!$C$2:$C$1369,0)),"",INDEX('Compliance Database'!$M$2:$M$1369,MATCH(86,'Transfer Engine'!$C$2:$C$1369,0)))</f>
        <v/>
      </c>
      <c r="N95" s="9">
        <f>IF(ISNA(MATCH(86,'Transfer Engine'!$C$2:$C$1369,0)),"",INDEX('Compliance Database'!$N$2:$N$1369,MATCH(86,'Transfer Engine'!$C$2:$C$1369,0)))</f>
        <v/>
      </c>
      <c r="O95" s="8">
        <f>IF(ISNA(MATCH(86,'Transfer Engine'!$C$2:$C$1369,0)),"",HYPERLINK(INDEX('Compliance Database'!$O$2:$O$1369,MATCH(86,'Transfer Engine'!$C$2:$C$1369,0)),"Open PDF"))</f>
        <v/>
      </c>
    </row>
    <row r="96" ht="188" customHeight="1">
      <c r="A96" s="8">
        <f>IF(ISNA(MATCH(87,'Transfer Engine'!$C$2:$C$1369,0)),"",INDEX('Compliance Database'!$A$2:$A$1369,MATCH(87,'Transfer Engine'!$C$2:$C$1369,0)))</f>
        <v/>
      </c>
      <c r="B96" s="8">
        <f>IF(ISNA(MATCH(87,'Transfer Engine'!$C$2:$C$1369,0)),"",INDEX('Compliance Database'!$B$2:$B$1369,MATCH(87,'Transfer Engine'!$C$2:$C$1369,0)))</f>
        <v/>
      </c>
      <c r="C96" s="8">
        <f>IF(ISNA(MATCH(87,'Transfer Engine'!$C$2:$C$1369,0)),"",INDEX('Compliance Database'!$C$2:$C$1369,MATCH(87,'Transfer Engine'!$C$2:$C$1369,0)))</f>
        <v/>
      </c>
      <c r="D96" s="9">
        <f>IF(ISNA(MATCH(87,'Transfer Engine'!$C$2:$C$1369,0)),"",INDEX('Compliance Database'!$D$2:$D$1369,MATCH(87,'Transfer Engine'!$C$2:$C$1369,0)))</f>
        <v/>
      </c>
      <c r="E96" s="8">
        <f>IF(ISNA(MATCH(87,'Transfer Engine'!$C$2:$C$1369,0)),"",INDEX('Compliance Database'!$E$2:$E$1369,MATCH(87,'Transfer Engine'!$C$2:$C$1369,0)))</f>
        <v/>
      </c>
      <c r="F96" s="8">
        <f>IF(ISNA(MATCH(87,'Transfer Engine'!$C$2:$C$1369,0)),"",INDEX('Compliance Database'!$F$2:$F$1369,MATCH(87,'Transfer Engine'!$C$2:$C$1369,0)))</f>
        <v/>
      </c>
      <c r="G96" s="8">
        <f>IF(ISNA(MATCH(87,'Transfer Engine'!$C$2:$C$1369,0)),"",INDEX('Compliance Database'!$G$2:$G$1369,MATCH(87,'Transfer Engine'!$C$2:$C$1369,0)))</f>
        <v/>
      </c>
      <c r="H96" s="9">
        <f>IF(ISNA(MATCH(87,'Transfer Engine'!$C$2:$C$1369,0)),"",INDEX('Compliance Database'!$H$2:$H$1369,MATCH(87,'Transfer Engine'!$C$2:$C$1369,0)))</f>
        <v/>
      </c>
      <c r="I96" s="9">
        <f>IF(ISNA(MATCH(87,'Transfer Engine'!$C$2:$C$1369,0)),"",INDEX('Compliance Database'!$I$2:$I$1369,MATCH(87,'Transfer Engine'!$C$2:$C$1369,0)))</f>
        <v/>
      </c>
      <c r="J96" s="8">
        <f>IF(ISNA(MATCH(87,'Transfer Engine'!$C$2:$C$1369,0)),"",INDEX('Compliance Database'!$J$2:$J$1369,MATCH(87,'Transfer Engine'!$C$2:$C$1369,0)))</f>
        <v/>
      </c>
      <c r="K96" s="9">
        <f>IF(ISNA(MATCH(87,'Transfer Engine'!$C$2:$C$1369,0)),"",INDEX('Compliance Database'!$K$2:$K$1369,MATCH(87,'Transfer Engine'!$C$2:$C$1369,0)))</f>
        <v/>
      </c>
      <c r="L96" s="9">
        <f>IF(ISNA(MATCH(87,'Transfer Engine'!$C$2:$C$1369,0)),"",INDEX('Compliance Database'!$L$2:$L$1369,MATCH(87,'Transfer Engine'!$C$2:$C$1369,0)))</f>
        <v/>
      </c>
      <c r="M96" s="9">
        <f>IF(ISNA(MATCH(87,'Transfer Engine'!$C$2:$C$1369,0)),"",INDEX('Compliance Database'!$M$2:$M$1369,MATCH(87,'Transfer Engine'!$C$2:$C$1369,0)))</f>
        <v/>
      </c>
      <c r="N96" s="9">
        <f>IF(ISNA(MATCH(87,'Transfer Engine'!$C$2:$C$1369,0)),"",INDEX('Compliance Database'!$N$2:$N$1369,MATCH(87,'Transfer Engine'!$C$2:$C$1369,0)))</f>
        <v/>
      </c>
      <c r="O96" s="8">
        <f>IF(ISNA(MATCH(87,'Transfer Engine'!$C$2:$C$1369,0)),"",HYPERLINK(INDEX('Compliance Database'!$O$2:$O$1369,MATCH(87,'Transfer Engine'!$C$2:$C$1369,0)),"Open PDF"))</f>
        <v/>
      </c>
    </row>
    <row r="97" ht="188" customHeight="1">
      <c r="A97" s="8">
        <f>IF(ISNA(MATCH(88,'Transfer Engine'!$C$2:$C$1369,0)),"",INDEX('Compliance Database'!$A$2:$A$1369,MATCH(88,'Transfer Engine'!$C$2:$C$1369,0)))</f>
        <v/>
      </c>
      <c r="B97" s="8">
        <f>IF(ISNA(MATCH(88,'Transfer Engine'!$C$2:$C$1369,0)),"",INDEX('Compliance Database'!$B$2:$B$1369,MATCH(88,'Transfer Engine'!$C$2:$C$1369,0)))</f>
        <v/>
      </c>
      <c r="C97" s="8">
        <f>IF(ISNA(MATCH(88,'Transfer Engine'!$C$2:$C$1369,0)),"",INDEX('Compliance Database'!$C$2:$C$1369,MATCH(88,'Transfer Engine'!$C$2:$C$1369,0)))</f>
        <v/>
      </c>
      <c r="D97" s="9">
        <f>IF(ISNA(MATCH(88,'Transfer Engine'!$C$2:$C$1369,0)),"",INDEX('Compliance Database'!$D$2:$D$1369,MATCH(88,'Transfer Engine'!$C$2:$C$1369,0)))</f>
        <v/>
      </c>
      <c r="E97" s="8">
        <f>IF(ISNA(MATCH(88,'Transfer Engine'!$C$2:$C$1369,0)),"",INDEX('Compliance Database'!$E$2:$E$1369,MATCH(88,'Transfer Engine'!$C$2:$C$1369,0)))</f>
        <v/>
      </c>
      <c r="F97" s="8">
        <f>IF(ISNA(MATCH(88,'Transfer Engine'!$C$2:$C$1369,0)),"",INDEX('Compliance Database'!$F$2:$F$1369,MATCH(88,'Transfer Engine'!$C$2:$C$1369,0)))</f>
        <v/>
      </c>
      <c r="G97" s="8">
        <f>IF(ISNA(MATCH(88,'Transfer Engine'!$C$2:$C$1369,0)),"",INDEX('Compliance Database'!$G$2:$G$1369,MATCH(88,'Transfer Engine'!$C$2:$C$1369,0)))</f>
        <v/>
      </c>
      <c r="H97" s="9">
        <f>IF(ISNA(MATCH(88,'Transfer Engine'!$C$2:$C$1369,0)),"",INDEX('Compliance Database'!$H$2:$H$1369,MATCH(88,'Transfer Engine'!$C$2:$C$1369,0)))</f>
        <v/>
      </c>
      <c r="I97" s="9">
        <f>IF(ISNA(MATCH(88,'Transfer Engine'!$C$2:$C$1369,0)),"",INDEX('Compliance Database'!$I$2:$I$1369,MATCH(88,'Transfer Engine'!$C$2:$C$1369,0)))</f>
        <v/>
      </c>
      <c r="J97" s="8">
        <f>IF(ISNA(MATCH(88,'Transfer Engine'!$C$2:$C$1369,0)),"",INDEX('Compliance Database'!$J$2:$J$1369,MATCH(88,'Transfer Engine'!$C$2:$C$1369,0)))</f>
        <v/>
      </c>
      <c r="K97" s="9">
        <f>IF(ISNA(MATCH(88,'Transfer Engine'!$C$2:$C$1369,0)),"",INDEX('Compliance Database'!$K$2:$K$1369,MATCH(88,'Transfer Engine'!$C$2:$C$1369,0)))</f>
        <v/>
      </c>
      <c r="L97" s="9">
        <f>IF(ISNA(MATCH(88,'Transfer Engine'!$C$2:$C$1369,0)),"",INDEX('Compliance Database'!$L$2:$L$1369,MATCH(88,'Transfer Engine'!$C$2:$C$1369,0)))</f>
        <v/>
      </c>
      <c r="M97" s="9">
        <f>IF(ISNA(MATCH(88,'Transfer Engine'!$C$2:$C$1369,0)),"",INDEX('Compliance Database'!$M$2:$M$1369,MATCH(88,'Transfer Engine'!$C$2:$C$1369,0)))</f>
        <v/>
      </c>
      <c r="N97" s="9">
        <f>IF(ISNA(MATCH(88,'Transfer Engine'!$C$2:$C$1369,0)),"",INDEX('Compliance Database'!$N$2:$N$1369,MATCH(88,'Transfer Engine'!$C$2:$C$1369,0)))</f>
        <v/>
      </c>
      <c r="O97" s="8">
        <f>IF(ISNA(MATCH(88,'Transfer Engine'!$C$2:$C$1369,0)),"",HYPERLINK(INDEX('Compliance Database'!$O$2:$O$1369,MATCH(88,'Transfer Engine'!$C$2:$C$1369,0)),"Open PDF"))</f>
        <v/>
      </c>
    </row>
    <row r="98" ht="188" customHeight="1">
      <c r="A98" s="8">
        <f>IF(ISNA(MATCH(89,'Transfer Engine'!$C$2:$C$1369,0)),"",INDEX('Compliance Database'!$A$2:$A$1369,MATCH(89,'Transfer Engine'!$C$2:$C$1369,0)))</f>
        <v/>
      </c>
      <c r="B98" s="8">
        <f>IF(ISNA(MATCH(89,'Transfer Engine'!$C$2:$C$1369,0)),"",INDEX('Compliance Database'!$B$2:$B$1369,MATCH(89,'Transfer Engine'!$C$2:$C$1369,0)))</f>
        <v/>
      </c>
      <c r="C98" s="8">
        <f>IF(ISNA(MATCH(89,'Transfer Engine'!$C$2:$C$1369,0)),"",INDEX('Compliance Database'!$C$2:$C$1369,MATCH(89,'Transfer Engine'!$C$2:$C$1369,0)))</f>
        <v/>
      </c>
      <c r="D98" s="9">
        <f>IF(ISNA(MATCH(89,'Transfer Engine'!$C$2:$C$1369,0)),"",INDEX('Compliance Database'!$D$2:$D$1369,MATCH(89,'Transfer Engine'!$C$2:$C$1369,0)))</f>
        <v/>
      </c>
      <c r="E98" s="8">
        <f>IF(ISNA(MATCH(89,'Transfer Engine'!$C$2:$C$1369,0)),"",INDEX('Compliance Database'!$E$2:$E$1369,MATCH(89,'Transfer Engine'!$C$2:$C$1369,0)))</f>
        <v/>
      </c>
      <c r="F98" s="8">
        <f>IF(ISNA(MATCH(89,'Transfer Engine'!$C$2:$C$1369,0)),"",INDEX('Compliance Database'!$F$2:$F$1369,MATCH(89,'Transfer Engine'!$C$2:$C$1369,0)))</f>
        <v/>
      </c>
      <c r="G98" s="8">
        <f>IF(ISNA(MATCH(89,'Transfer Engine'!$C$2:$C$1369,0)),"",INDEX('Compliance Database'!$G$2:$G$1369,MATCH(89,'Transfer Engine'!$C$2:$C$1369,0)))</f>
        <v/>
      </c>
      <c r="H98" s="9">
        <f>IF(ISNA(MATCH(89,'Transfer Engine'!$C$2:$C$1369,0)),"",INDEX('Compliance Database'!$H$2:$H$1369,MATCH(89,'Transfer Engine'!$C$2:$C$1369,0)))</f>
        <v/>
      </c>
      <c r="I98" s="9">
        <f>IF(ISNA(MATCH(89,'Transfer Engine'!$C$2:$C$1369,0)),"",INDEX('Compliance Database'!$I$2:$I$1369,MATCH(89,'Transfer Engine'!$C$2:$C$1369,0)))</f>
        <v/>
      </c>
      <c r="J98" s="8">
        <f>IF(ISNA(MATCH(89,'Transfer Engine'!$C$2:$C$1369,0)),"",INDEX('Compliance Database'!$J$2:$J$1369,MATCH(89,'Transfer Engine'!$C$2:$C$1369,0)))</f>
        <v/>
      </c>
      <c r="K98" s="9">
        <f>IF(ISNA(MATCH(89,'Transfer Engine'!$C$2:$C$1369,0)),"",INDEX('Compliance Database'!$K$2:$K$1369,MATCH(89,'Transfer Engine'!$C$2:$C$1369,0)))</f>
        <v/>
      </c>
      <c r="L98" s="9">
        <f>IF(ISNA(MATCH(89,'Transfer Engine'!$C$2:$C$1369,0)),"",INDEX('Compliance Database'!$L$2:$L$1369,MATCH(89,'Transfer Engine'!$C$2:$C$1369,0)))</f>
        <v/>
      </c>
      <c r="M98" s="9">
        <f>IF(ISNA(MATCH(89,'Transfer Engine'!$C$2:$C$1369,0)),"",INDEX('Compliance Database'!$M$2:$M$1369,MATCH(89,'Transfer Engine'!$C$2:$C$1369,0)))</f>
        <v/>
      </c>
      <c r="N98" s="9">
        <f>IF(ISNA(MATCH(89,'Transfer Engine'!$C$2:$C$1369,0)),"",INDEX('Compliance Database'!$N$2:$N$1369,MATCH(89,'Transfer Engine'!$C$2:$C$1369,0)))</f>
        <v/>
      </c>
      <c r="O98" s="8">
        <f>IF(ISNA(MATCH(89,'Transfer Engine'!$C$2:$C$1369,0)),"",HYPERLINK(INDEX('Compliance Database'!$O$2:$O$1369,MATCH(89,'Transfer Engine'!$C$2:$C$1369,0)),"Open PDF"))</f>
        <v/>
      </c>
    </row>
    <row r="99" ht="188" customHeight="1">
      <c r="A99" s="8">
        <f>IF(ISNA(MATCH(90,'Transfer Engine'!$C$2:$C$1369,0)),"",INDEX('Compliance Database'!$A$2:$A$1369,MATCH(90,'Transfer Engine'!$C$2:$C$1369,0)))</f>
        <v/>
      </c>
      <c r="B99" s="8">
        <f>IF(ISNA(MATCH(90,'Transfer Engine'!$C$2:$C$1369,0)),"",INDEX('Compliance Database'!$B$2:$B$1369,MATCH(90,'Transfer Engine'!$C$2:$C$1369,0)))</f>
        <v/>
      </c>
      <c r="C99" s="8">
        <f>IF(ISNA(MATCH(90,'Transfer Engine'!$C$2:$C$1369,0)),"",INDEX('Compliance Database'!$C$2:$C$1369,MATCH(90,'Transfer Engine'!$C$2:$C$1369,0)))</f>
        <v/>
      </c>
      <c r="D99" s="9">
        <f>IF(ISNA(MATCH(90,'Transfer Engine'!$C$2:$C$1369,0)),"",INDEX('Compliance Database'!$D$2:$D$1369,MATCH(90,'Transfer Engine'!$C$2:$C$1369,0)))</f>
        <v/>
      </c>
      <c r="E99" s="8">
        <f>IF(ISNA(MATCH(90,'Transfer Engine'!$C$2:$C$1369,0)),"",INDEX('Compliance Database'!$E$2:$E$1369,MATCH(90,'Transfer Engine'!$C$2:$C$1369,0)))</f>
        <v/>
      </c>
      <c r="F99" s="8">
        <f>IF(ISNA(MATCH(90,'Transfer Engine'!$C$2:$C$1369,0)),"",INDEX('Compliance Database'!$F$2:$F$1369,MATCH(90,'Transfer Engine'!$C$2:$C$1369,0)))</f>
        <v/>
      </c>
      <c r="G99" s="8">
        <f>IF(ISNA(MATCH(90,'Transfer Engine'!$C$2:$C$1369,0)),"",INDEX('Compliance Database'!$G$2:$G$1369,MATCH(90,'Transfer Engine'!$C$2:$C$1369,0)))</f>
        <v/>
      </c>
      <c r="H99" s="9">
        <f>IF(ISNA(MATCH(90,'Transfer Engine'!$C$2:$C$1369,0)),"",INDEX('Compliance Database'!$H$2:$H$1369,MATCH(90,'Transfer Engine'!$C$2:$C$1369,0)))</f>
        <v/>
      </c>
      <c r="I99" s="9">
        <f>IF(ISNA(MATCH(90,'Transfer Engine'!$C$2:$C$1369,0)),"",INDEX('Compliance Database'!$I$2:$I$1369,MATCH(90,'Transfer Engine'!$C$2:$C$1369,0)))</f>
        <v/>
      </c>
      <c r="J99" s="8">
        <f>IF(ISNA(MATCH(90,'Transfer Engine'!$C$2:$C$1369,0)),"",INDEX('Compliance Database'!$J$2:$J$1369,MATCH(90,'Transfer Engine'!$C$2:$C$1369,0)))</f>
        <v/>
      </c>
      <c r="K99" s="9">
        <f>IF(ISNA(MATCH(90,'Transfer Engine'!$C$2:$C$1369,0)),"",INDEX('Compliance Database'!$K$2:$K$1369,MATCH(90,'Transfer Engine'!$C$2:$C$1369,0)))</f>
        <v/>
      </c>
      <c r="L99" s="9">
        <f>IF(ISNA(MATCH(90,'Transfer Engine'!$C$2:$C$1369,0)),"",INDEX('Compliance Database'!$L$2:$L$1369,MATCH(90,'Transfer Engine'!$C$2:$C$1369,0)))</f>
        <v/>
      </c>
      <c r="M99" s="9">
        <f>IF(ISNA(MATCH(90,'Transfer Engine'!$C$2:$C$1369,0)),"",INDEX('Compliance Database'!$M$2:$M$1369,MATCH(90,'Transfer Engine'!$C$2:$C$1369,0)))</f>
        <v/>
      </c>
      <c r="N99" s="9">
        <f>IF(ISNA(MATCH(90,'Transfer Engine'!$C$2:$C$1369,0)),"",INDEX('Compliance Database'!$N$2:$N$1369,MATCH(90,'Transfer Engine'!$C$2:$C$1369,0)))</f>
        <v/>
      </c>
      <c r="O99" s="8">
        <f>IF(ISNA(MATCH(90,'Transfer Engine'!$C$2:$C$1369,0)),"",HYPERLINK(INDEX('Compliance Database'!$O$2:$O$1369,MATCH(90,'Transfer Engine'!$C$2:$C$1369,0)),"Open PDF"))</f>
        <v/>
      </c>
    </row>
    <row r="100" ht="188" customHeight="1">
      <c r="A100" s="8">
        <f>IF(ISNA(MATCH(91,'Transfer Engine'!$C$2:$C$1369,0)),"",INDEX('Compliance Database'!$A$2:$A$1369,MATCH(91,'Transfer Engine'!$C$2:$C$1369,0)))</f>
        <v/>
      </c>
      <c r="B100" s="8">
        <f>IF(ISNA(MATCH(91,'Transfer Engine'!$C$2:$C$1369,0)),"",INDEX('Compliance Database'!$B$2:$B$1369,MATCH(91,'Transfer Engine'!$C$2:$C$1369,0)))</f>
        <v/>
      </c>
      <c r="C100" s="8">
        <f>IF(ISNA(MATCH(91,'Transfer Engine'!$C$2:$C$1369,0)),"",INDEX('Compliance Database'!$C$2:$C$1369,MATCH(91,'Transfer Engine'!$C$2:$C$1369,0)))</f>
        <v/>
      </c>
      <c r="D100" s="9">
        <f>IF(ISNA(MATCH(91,'Transfer Engine'!$C$2:$C$1369,0)),"",INDEX('Compliance Database'!$D$2:$D$1369,MATCH(91,'Transfer Engine'!$C$2:$C$1369,0)))</f>
        <v/>
      </c>
      <c r="E100" s="8">
        <f>IF(ISNA(MATCH(91,'Transfer Engine'!$C$2:$C$1369,0)),"",INDEX('Compliance Database'!$E$2:$E$1369,MATCH(91,'Transfer Engine'!$C$2:$C$1369,0)))</f>
        <v/>
      </c>
      <c r="F100" s="8">
        <f>IF(ISNA(MATCH(91,'Transfer Engine'!$C$2:$C$1369,0)),"",INDEX('Compliance Database'!$F$2:$F$1369,MATCH(91,'Transfer Engine'!$C$2:$C$1369,0)))</f>
        <v/>
      </c>
      <c r="G100" s="8">
        <f>IF(ISNA(MATCH(91,'Transfer Engine'!$C$2:$C$1369,0)),"",INDEX('Compliance Database'!$G$2:$G$1369,MATCH(91,'Transfer Engine'!$C$2:$C$1369,0)))</f>
        <v/>
      </c>
      <c r="H100" s="9">
        <f>IF(ISNA(MATCH(91,'Transfer Engine'!$C$2:$C$1369,0)),"",INDEX('Compliance Database'!$H$2:$H$1369,MATCH(91,'Transfer Engine'!$C$2:$C$1369,0)))</f>
        <v/>
      </c>
      <c r="I100" s="9">
        <f>IF(ISNA(MATCH(91,'Transfer Engine'!$C$2:$C$1369,0)),"",INDEX('Compliance Database'!$I$2:$I$1369,MATCH(91,'Transfer Engine'!$C$2:$C$1369,0)))</f>
        <v/>
      </c>
      <c r="J100" s="8">
        <f>IF(ISNA(MATCH(91,'Transfer Engine'!$C$2:$C$1369,0)),"",INDEX('Compliance Database'!$J$2:$J$1369,MATCH(91,'Transfer Engine'!$C$2:$C$1369,0)))</f>
        <v/>
      </c>
      <c r="K100" s="9">
        <f>IF(ISNA(MATCH(91,'Transfer Engine'!$C$2:$C$1369,0)),"",INDEX('Compliance Database'!$K$2:$K$1369,MATCH(91,'Transfer Engine'!$C$2:$C$1369,0)))</f>
        <v/>
      </c>
      <c r="L100" s="9">
        <f>IF(ISNA(MATCH(91,'Transfer Engine'!$C$2:$C$1369,0)),"",INDEX('Compliance Database'!$L$2:$L$1369,MATCH(91,'Transfer Engine'!$C$2:$C$1369,0)))</f>
        <v/>
      </c>
      <c r="M100" s="9">
        <f>IF(ISNA(MATCH(91,'Transfer Engine'!$C$2:$C$1369,0)),"",INDEX('Compliance Database'!$M$2:$M$1369,MATCH(91,'Transfer Engine'!$C$2:$C$1369,0)))</f>
        <v/>
      </c>
      <c r="N100" s="9">
        <f>IF(ISNA(MATCH(91,'Transfer Engine'!$C$2:$C$1369,0)),"",INDEX('Compliance Database'!$N$2:$N$1369,MATCH(91,'Transfer Engine'!$C$2:$C$1369,0)))</f>
        <v/>
      </c>
      <c r="O100" s="8">
        <f>IF(ISNA(MATCH(91,'Transfer Engine'!$C$2:$C$1369,0)),"",HYPERLINK(INDEX('Compliance Database'!$O$2:$O$1369,MATCH(91,'Transfer Engine'!$C$2:$C$1369,0)),"Open PDF"))</f>
        <v/>
      </c>
    </row>
    <row r="101" ht="188" customHeight="1">
      <c r="A101" s="8">
        <f>IF(ISNA(MATCH(92,'Transfer Engine'!$C$2:$C$1369,0)),"",INDEX('Compliance Database'!$A$2:$A$1369,MATCH(92,'Transfer Engine'!$C$2:$C$1369,0)))</f>
        <v/>
      </c>
      <c r="B101" s="8">
        <f>IF(ISNA(MATCH(92,'Transfer Engine'!$C$2:$C$1369,0)),"",INDEX('Compliance Database'!$B$2:$B$1369,MATCH(92,'Transfer Engine'!$C$2:$C$1369,0)))</f>
        <v/>
      </c>
      <c r="C101" s="8">
        <f>IF(ISNA(MATCH(92,'Transfer Engine'!$C$2:$C$1369,0)),"",INDEX('Compliance Database'!$C$2:$C$1369,MATCH(92,'Transfer Engine'!$C$2:$C$1369,0)))</f>
        <v/>
      </c>
      <c r="D101" s="9">
        <f>IF(ISNA(MATCH(92,'Transfer Engine'!$C$2:$C$1369,0)),"",INDEX('Compliance Database'!$D$2:$D$1369,MATCH(92,'Transfer Engine'!$C$2:$C$1369,0)))</f>
        <v/>
      </c>
      <c r="E101" s="8">
        <f>IF(ISNA(MATCH(92,'Transfer Engine'!$C$2:$C$1369,0)),"",INDEX('Compliance Database'!$E$2:$E$1369,MATCH(92,'Transfer Engine'!$C$2:$C$1369,0)))</f>
        <v/>
      </c>
      <c r="F101" s="8">
        <f>IF(ISNA(MATCH(92,'Transfer Engine'!$C$2:$C$1369,0)),"",INDEX('Compliance Database'!$F$2:$F$1369,MATCH(92,'Transfer Engine'!$C$2:$C$1369,0)))</f>
        <v/>
      </c>
      <c r="G101" s="8">
        <f>IF(ISNA(MATCH(92,'Transfer Engine'!$C$2:$C$1369,0)),"",INDEX('Compliance Database'!$G$2:$G$1369,MATCH(92,'Transfer Engine'!$C$2:$C$1369,0)))</f>
        <v/>
      </c>
      <c r="H101" s="9">
        <f>IF(ISNA(MATCH(92,'Transfer Engine'!$C$2:$C$1369,0)),"",INDEX('Compliance Database'!$H$2:$H$1369,MATCH(92,'Transfer Engine'!$C$2:$C$1369,0)))</f>
        <v/>
      </c>
      <c r="I101" s="9">
        <f>IF(ISNA(MATCH(92,'Transfer Engine'!$C$2:$C$1369,0)),"",INDEX('Compliance Database'!$I$2:$I$1369,MATCH(92,'Transfer Engine'!$C$2:$C$1369,0)))</f>
        <v/>
      </c>
      <c r="J101" s="8">
        <f>IF(ISNA(MATCH(92,'Transfer Engine'!$C$2:$C$1369,0)),"",INDEX('Compliance Database'!$J$2:$J$1369,MATCH(92,'Transfer Engine'!$C$2:$C$1369,0)))</f>
        <v/>
      </c>
      <c r="K101" s="9">
        <f>IF(ISNA(MATCH(92,'Transfer Engine'!$C$2:$C$1369,0)),"",INDEX('Compliance Database'!$K$2:$K$1369,MATCH(92,'Transfer Engine'!$C$2:$C$1369,0)))</f>
        <v/>
      </c>
      <c r="L101" s="9">
        <f>IF(ISNA(MATCH(92,'Transfer Engine'!$C$2:$C$1369,0)),"",INDEX('Compliance Database'!$L$2:$L$1369,MATCH(92,'Transfer Engine'!$C$2:$C$1369,0)))</f>
        <v/>
      </c>
      <c r="M101" s="9">
        <f>IF(ISNA(MATCH(92,'Transfer Engine'!$C$2:$C$1369,0)),"",INDEX('Compliance Database'!$M$2:$M$1369,MATCH(92,'Transfer Engine'!$C$2:$C$1369,0)))</f>
        <v/>
      </c>
      <c r="N101" s="9">
        <f>IF(ISNA(MATCH(92,'Transfer Engine'!$C$2:$C$1369,0)),"",INDEX('Compliance Database'!$N$2:$N$1369,MATCH(92,'Transfer Engine'!$C$2:$C$1369,0)))</f>
        <v/>
      </c>
      <c r="O101" s="8">
        <f>IF(ISNA(MATCH(92,'Transfer Engine'!$C$2:$C$1369,0)),"",HYPERLINK(INDEX('Compliance Database'!$O$2:$O$1369,MATCH(92,'Transfer Engine'!$C$2:$C$1369,0)),"Open PDF"))</f>
        <v/>
      </c>
    </row>
    <row r="102" ht="188" customHeight="1">
      <c r="A102" s="8">
        <f>IF(ISNA(MATCH(93,'Transfer Engine'!$C$2:$C$1369,0)),"",INDEX('Compliance Database'!$A$2:$A$1369,MATCH(93,'Transfer Engine'!$C$2:$C$1369,0)))</f>
        <v/>
      </c>
      <c r="B102" s="8">
        <f>IF(ISNA(MATCH(93,'Transfer Engine'!$C$2:$C$1369,0)),"",INDEX('Compliance Database'!$B$2:$B$1369,MATCH(93,'Transfer Engine'!$C$2:$C$1369,0)))</f>
        <v/>
      </c>
      <c r="C102" s="8">
        <f>IF(ISNA(MATCH(93,'Transfer Engine'!$C$2:$C$1369,0)),"",INDEX('Compliance Database'!$C$2:$C$1369,MATCH(93,'Transfer Engine'!$C$2:$C$1369,0)))</f>
        <v/>
      </c>
      <c r="D102" s="9">
        <f>IF(ISNA(MATCH(93,'Transfer Engine'!$C$2:$C$1369,0)),"",INDEX('Compliance Database'!$D$2:$D$1369,MATCH(93,'Transfer Engine'!$C$2:$C$1369,0)))</f>
        <v/>
      </c>
      <c r="E102" s="8">
        <f>IF(ISNA(MATCH(93,'Transfer Engine'!$C$2:$C$1369,0)),"",INDEX('Compliance Database'!$E$2:$E$1369,MATCH(93,'Transfer Engine'!$C$2:$C$1369,0)))</f>
        <v/>
      </c>
      <c r="F102" s="8">
        <f>IF(ISNA(MATCH(93,'Transfer Engine'!$C$2:$C$1369,0)),"",INDEX('Compliance Database'!$F$2:$F$1369,MATCH(93,'Transfer Engine'!$C$2:$C$1369,0)))</f>
        <v/>
      </c>
      <c r="G102" s="8">
        <f>IF(ISNA(MATCH(93,'Transfer Engine'!$C$2:$C$1369,0)),"",INDEX('Compliance Database'!$G$2:$G$1369,MATCH(93,'Transfer Engine'!$C$2:$C$1369,0)))</f>
        <v/>
      </c>
      <c r="H102" s="9">
        <f>IF(ISNA(MATCH(93,'Transfer Engine'!$C$2:$C$1369,0)),"",INDEX('Compliance Database'!$H$2:$H$1369,MATCH(93,'Transfer Engine'!$C$2:$C$1369,0)))</f>
        <v/>
      </c>
      <c r="I102" s="9">
        <f>IF(ISNA(MATCH(93,'Transfer Engine'!$C$2:$C$1369,0)),"",INDEX('Compliance Database'!$I$2:$I$1369,MATCH(93,'Transfer Engine'!$C$2:$C$1369,0)))</f>
        <v/>
      </c>
      <c r="J102" s="8">
        <f>IF(ISNA(MATCH(93,'Transfer Engine'!$C$2:$C$1369,0)),"",INDEX('Compliance Database'!$J$2:$J$1369,MATCH(93,'Transfer Engine'!$C$2:$C$1369,0)))</f>
        <v/>
      </c>
      <c r="K102" s="9">
        <f>IF(ISNA(MATCH(93,'Transfer Engine'!$C$2:$C$1369,0)),"",INDEX('Compliance Database'!$K$2:$K$1369,MATCH(93,'Transfer Engine'!$C$2:$C$1369,0)))</f>
        <v/>
      </c>
      <c r="L102" s="9">
        <f>IF(ISNA(MATCH(93,'Transfer Engine'!$C$2:$C$1369,0)),"",INDEX('Compliance Database'!$L$2:$L$1369,MATCH(93,'Transfer Engine'!$C$2:$C$1369,0)))</f>
        <v/>
      </c>
      <c r="M102" s="9">
        <f>IF(ISNA(MATCH(93,'Transfer Engine'!$C$2:$C$1369,0)),"",INDEX('Compliance Database'!$M$2:$M$1369,MATCH(93,'Transfer Engine'!$C$2:$C$1369,0)))</f>
        <v/>
      </c>
      <c r="N102" s="9">
        <f>IF(ISNA(MATCH(93,'Transfer Engine'!$C$2:$C$1369,0)),"",INDEX('Compliance Database'!$N$2:$N$1369,MATCH(93,'Transfer Engine'!$C$2:$C$1369,0)))</f>
        <v/>
      </c>
      <c r="O102" s="8">
        <f>IF(ISNA(MATCH(93,'Transfer Engine'!$C$2:$C$1369,0)),"",HYPERLINK(INDEX('Compliance Database'!$O$2:$O$1369,MATCH(93,'Transfer Engine'!$C$2:$C$1369,0)),"Open PDF"))</f>
        <v/>
      </c>
    </row>
    <row r="103" ht="188" customHeight="1">
      <c r="A103" s="8">
        <f>IF(ISNA(MATCH(94,'Transfer Engine'!$C$2:$C$1369,0)),"",INDEX('Compliance Database'!$A$2:$A$1369,MATCH(94,'Transfer Engine'!$C$2:$C$1369,0)))</f>
        <v/>
      </c>
      <c r="B103" s="8">
        <f>IF(ISNA(MATCH(94,'Transfer Engine'!$C$2:$C$1369,0)),"",INDEX('Compliance Database'!$B$2:$B$1369,MATCH(94,'Transfer Engine'!$C$2:$C$1369,0)))</f>
        <v/>
      </c>
      <c r="C103" s="8">
        <f>IF(ISNA(MATCH(94,'Transfer Engine'!$C$2:$C$1369,0)),"",INDEX('Compliance Database'!$C$2:$C$1369,MATCH(94,'Transfer Engine'!$C$2:$C$1369,0)))</f>
        <v/>
      </c>
      <c r="D103" s="9">
        <f>IF(ISNA(MATCH(94,'Transfer Engine'!$C$2:$C$1369,0)),"",INDEX('Compliance Database'!$D$2:$D$1369,MATCH(94,'Transfer Engine'!$C$2:$C$1369,0)))</f>
        <v/>
      </c>
      <c r="E103" s="8">
        <f>IF(ISNA(MATCH(94,'Transfer Engine'!$C$2:$C$1369,0)),"",INDEX('Compliance Database'!$E$2:$E$1369,MATCH(94,'Transfer Engine'!$C$2:$C$1369,0)))</f>
        <v/>
      </c>
      <c r="F103" s="8">
        <f>IF(ISNA(MATCH(94,'Transfer Engine'!$C$2:$C$1369,0)),"",INDEX('Compliance Database'!$F$2:$F$1369,MATCH(94,'Transfer Engine'!$C$2:$C$1369,0)))</f>
        <v/>
      </c>
      <c r="G103" s="8">
        <f>IF(ISNA(MATCH(94,'Transfer Engine'!$C$2:$C$1369,0)),"",INDEX('Compliance Database'!$G$2:$G$1369,MATCH(94,'Transfer Engine'!$C$2:$C$1369,0)))</f>
        <v/>
      </c>
      <c r="H103" s="9">
        <f>IF(ISNA(MATCH(94,'Transfer Engine'!$C$2:$C$1369,0)),"",INDEX('Compliance Database'!$H$2:$H$1369,MATCH(94,'Transfer Engine'!$C$2:$C$1369,0)))</f>
        <v/>
      </c>
      <c r="I103" s="9">
        <f>IF(ISNA(MATCH(94,'Transfer Engine'!$C$2:$C$1369,0)),"",INDEX('Compliance Database'!$I$2:$I$1369,MATCH(94,'Transfer Engine'!$C$2:$C$1369,0)))</f>
        <v/>
      </c>
      <c r="J103" s="8">
        <f>IF(ISNA(MATCH(94,'Transfer Engine'!$C$2:$C$1369,0)),"",INDEX('Compliance Database'!$J$2:$J$1369,MATCH(94,'Transfer Engine'!$C$2:$C$1369,0)))</f>
        <v/>
      </c>
      <c r="K103" s="9">
        <f>IF(ISNA(MATCH(94,'Transfer Engine'!$C$2:$C$1369,0)),"",INDEX('Compliance Database'!$K$2:$K$1369,MATCH(94,'Transfer Engine'!$C$2:$C$1369,0)))</f>
        <v/>
      </c>
      <c r="L103" s="9">
        <f>IF(ISNA(MATCH(94,'Transfer Engine'!$C$2:$C$1369,0)),"",INDEX('Compliance Database'!$L$2:$L$1369,MATCH(94,'Transfer Engine'!$C$2:$C$1369,0)))</f>
        <v/>
      </c>
      <c r="M103" s="9">
        <f>IF(ISNA(MATCH(94,'Transfer Engine'!$C$2:$C$1369,0)),"",INDEX('Compliance Database'!$M$2:$M$1369,MATCH(94,'Transfer Engine'!$C$2:$C$1369,0)))</f>
        <v/>
      </c>
      <c r="N103" s="9">
        <f>IF(ISNA(MATCH(94,'Transfer Engine'!$C$2:$C$1369,0)),"",INDEX('Compliance Database'!$N$2:$N$1369,MATCH(94,'Transfer Engine'!$C$2:$C$1369,0)))</f>
        <v/>
      </c>
      <c r="O103" s="8">
        <f>IF(ISNA(MATCH(94,'Transfer Engine'!$C$2:$C$1369,0)),"",HYPERLINK(INDEX('Compliance Database'!$O$2:$O$1369,MATCH(94,'Transfer Engine'!$C$2:$C$1369,0)),"Open PDF"))</f>
        <v/>
      </c>
    </row>
    <row r="104" ht="188" customHeight="1">
      <c r="A104" s="8">
        <f>IF(ISNA(MATCH(95,'Transfer Engine'!$C$2:$C$1369,0)),"",INDEX('Compliance Database'!$A$2:$A$1369,MATCH(95,'Transfer Engine'!$C$2:$C$1369,0)))</f>
        <v/>
      </c>
      <c r="B104" s="8">
        <f>IF(ISNA(MATCH(95,'Transfer Engine'!$C$2:$C$1369,0)),"",INDEX('Compliance Database'!$B$2:$B$1369,MATCH(95,'Transfer Engine'!$C$2:$C$1369,0)))</f>
        <v/>
      </c>
      <c r="C104" s="8">
        <f>IF(ISNA(MATCH(95,'Transfer Engine'!$C$2:$C$1369,0)),"",INDEX('Compliance Database'!$C$2:$C$1369,MATCH(95,'Transfer Engine'!$C$2:$C$1369,0)))</f>
        <v/>
      </c>
      <c r="D104" s="9">
        <f>IF(ISNA(MATCH(95,'Transfer Engine'!$C$2:$C$1369,0)),"",INDEX('Compliance Database'!$D$2:$D$1369,MATCH(95,'Transfer Engine'!$C$2:$C$1369,0)))</f>
        <v/>
      </c>
      <c r="E104" s="8">
        <f>IF(ISNA(MATCH(95,'Transfer Engine'!$C$2:$C$1369,0)),"",INDEX('Compliance Database'!$E$2:$E$1369,MATCH(95,'Transfer Engine'!$C$2:$C$1369,0)))</f>
        <v/>
      </c>
      <c r="F104" s="8">
        <f>IF(ISNA(MATCH(95,'Transfer Engine'!$C$2:$C$1369,0)),"",INDEX('Compliance Database'!$F$2:$F$1369,MATCH(95,'Transfer Engine'!$C$2:$C$1369,0)))</f>
        <v/>
      </c>
      <c r="G104" s="8">
        <f>IF(ISNA(MATCH(95,'Transfer Engine'!$C$2:$C$1369,0)),"",INDEX('Compliance Database'!$G$2:$G$1369,MATCH(95,'Transfer Engine'!$C$2:$C$1369,0)))</f>
        <v/>
      </c>
      <c r="H104" s="9">
        <f>IF(ISNA(MATCH(95,'Transfer Engine'!$C$2:$C$1369,0)),"",INDEX('Compliance Database'!$H$2:$H$1369,MATCH(95,'Transfer Engine'!$C$2:$C$1369,0)))</f>
        <v/>
      </c>
      <c r="I104" s="9">
        <f>IF(ISNA(MATCH(95,'Transfer Engine'!$C$2:$C$1369,0)),"",INDEX('Compliance Database'!$I$2:$I$1369,MATCH(95,'Transfer Engine'!$C$2:$C$1369,0)))</f>
        <v/>
      </c>
      <c r="J104" s="8">
        <f>IF(ISNA(MATCH(95,'Transfer Engine'!$C$2:$C$1369,0)),"",INDEX('Compliance Database'!$J$2:$J$1369,MATCH(95,'Transfer Engine'!$C$2:$C$1369,0)))</f>
        <v/>
      </c>
      <c r="K104" s="9">
        <f>IF(ISNA(MATCH(95,'Transfer Engine'!$C$2:$C$1369,0)),"",INDEX('Compliance Database'!$K$2:$K$1369,MATCH(95,'Transfer Engine'!$C$2:$C$1369,0)))</f>
        <v/>
      </c>
      <c r="L104" s="9">
        <f>IF(ISNA(MATCH(95,'Transfer Engine'!$C$2:$C$1369,0)),"",INDEX('Compliance Database'!$L$2:$L$1369,MATCH(95,'Transfer Engine'!$C$2:$C$1369,0)))</f>
        <v/>
      </c>
      <c r="M104" s="9">
        <f>IF(ISNA(MATCH(95,'Transfer Engine'!$C$2:$C$1369,0)),"",INDEX('Compliance Database'!$M$2:$M$1369,MATCH(95,'Transfer Engine'!$C$2:$C$1369,0)))</f>
        <v/>
      </c>
      <c r="N104" s="9">
        <f>IF(ISNA(MATCH(95,'Transfer Engine'!$C$2:$C$1369,0)),"",INDEX('Compliance Database'!$N$2:$N$1369,MATCH(95,'Transfer Engine'!$C$2:$C$1369,0)))</f>
        <v/>
      </c>
      <c r="O104" s="8">
        <f>IF(ISNA(MATCH(95,'Transfer Engine'!$C$2:$C$1369,0)),"",HYPERLINK(INDEX('Compliance Database'!$O$2:$O$1369,MATCH(95,'Transfer Engine'!$C$2:$C$1369,0)),"Open PDF"))</f>
        <v/>
      </c>
    </row>
    <row r="105" ht="188" customHeight="1">
      <c r="A105" s="8">
        <f>IF(ISNA(MATCH(96,'Transfer Engine'!$C$2:$C$1369,0)),"",INDEX('Compliance Database'!$A$2:$A$1369,MATCH(96,'Transfer Engine'!$C$2:$C$1369,0)))</f>
        <v/>
      </c>
      <c r="B105" s="8">
        <f>IF(ISNA(MATCH(96,'Transfer Engine'!$C$2:$C$1369,0)),"",INDEX('Compliance Database'!$B$2:$B$1369,MATCH(96,'Transfer Engine'!$C$2:$C$1369,0)))</f>
        <v/>
      </c>
      <c r="C105" s="8">
        <f>IF(ISNA(MATCH(96,'Transfer Engine'!$C$2:$C$1369,0)),"",INDEX('Compliance Database'!$C$2:$C$1369,MATCH(96,'Transfer Engine'!$C$2:$C$1369,0)))</f>
        <v/>
      </c>
      <c r="D105" s="9">
        <f>IF(ISNA(MATCH(96,'Transfer Engine'!$C$2:$C$1369,0)),"",INDEX('Compliance Database'!$D$2:$D$1369,MATCH(96,'Transfer Engine'!$C$2:$C$1369,0)))</f>
        <v/>
      </c>
      <c r="E105" s="8">
        <f>IF(ISNA(MATCH(96,'Transfer Engine'!$C$2:$C$1369,0)),"",INDEX('Compliance Database'!$E$2:$E$1369,MATCH(96,'Transfer Engine'!$C$2:$C$1369,0)))</f>
        <v/>
      </c>
      <c r="F105" s="8">
        <f>IF(ISNA(MATCH(96,'Transfer Engine'!$C$2:$C$1369,0)),"",INDEX('Compliance Database'!$F$2:$F$1369,MATCH(96,'Transfer Engine'!$C$2:$C$1369,0)))</f>
        <v/>
      </c>
      <c r="G105" s="8">
        <f>IF(ISNA(MATCH(96,'Transfer Engine'!$C$2:$C$1369,0)),"",INDEX('Compliance Database'!$G$2:$G$1369,MATCH(96,'Transfer Engine'!$C$2:$C$1369,0)))</f>
        <v/>
      </c>
      <c r="H105" s="9">
        <f>IF(ISNA(MATCH(96,'Transfer Engine'!$C$2:$C$1369,0)),"",INDEX('Compliance Database'!$H$2:$H$1369,MATCH(96,'Transfer Engine'!$C$2:$C$1369,0)))</f>
        <v/>
      </c>
      <c r="I105" s="9">
        <f>IF(ISNA(MATCH(96,'Transfer Engine'!$C$2:$C$1369,0)),"",INDEX('Compliance Database'!$I$2:$I$1369,MATCH(96,'Transfer Engine'!$C$2:$C$1369,0)))</f>
        <v/>
      </c>
      <c r="J105" s="8">
        <f>IF(ISNA(MATCH(96,'Transfer Engine'!$C$2:$C$1369,0)),"",INDEX('Compliance Database'!$J$2:$J$1369,MATCH(96,'Transfer Engine'!$C$2:$C$1369,0)))</f>
        <v/>
      </c>
      <c r="K105" s="9">
        <f>IF(ISNA(MATCH(96,'Transfer Engine'!$C$2:$C$1369,0)),"",INDEX('Compliance Database'!$K$2:$K$1369,MATCH(96,'Transfer Engine'!$C$2:$C$1369,0)))</f>
        <v/>
      </c>
      <c r="L105" s="9">
        <f>IF(ISNA(MATCH(96,'Transfer Engine'!$C$2:$C$1369,0)),"",INDEX('Compliance Database'!$L$2:$L$1369,MATCH(96,'Transfer Engine'!$C$2:$C$1369,0)))</f>
        <v/>
      </c>
      <c r="M105" s="9">
        <f>IF(ISNA(MATCH(96,'Transfer Engine'!$C$2:$C$1369,0)),"",INDEX('Compliance Database'!$M$2:$M$1369,MATCH(96,'Transfer Engine'!$C$2:$C$1369,0)))</f>
        <v/>
      </c>
      <c r="N105" s="9">
        <f>IF(ISNA(MATCH(96,'Transfer Engine'!$C$2:$C$1369,0)),"",INDEX('Compliance Database'!$N$2:$N$1369,MATCH(96,'Transfer Engine'!$C$2:$C$1369,0)))</f>
        <v/>
      </c>
      <c r="O105" s="8">
        <f>IF(ISNA(MATCH(96,'Transfer Engine'!$C$2:$C$1369,0)),"",HYPERLINK(INDEX('Compliance Database'!$O$2:$O$1369,MATCH(96,'Transfer Engine'!$C$2:$C$1369,0)),"Open PDF"))</f>
        <v/>
      </c>
    </row>
    <row r="106" ht="188" customHeight="1">
      <c r="A106" s="8">
        <f>IF(ISNA(MATCH(97,'Transfer Engine'!$C$2:$C$1369,0)),"",INDEX('Compliance Database'!$A$2:$A$1369,MATCH(97,'Transfer Engine'!$C$2:$C$1369,0)))</f>
        <v/>
      </c>
      <c r="B106" s="8">
        <f>IF(ISNA(MATCH(97,'Transfer Engine'!$C$2:$C$1369,0)),"",INDEX('Compliance Database'!$B$2:$B$1369,MATCH(97,'Transfer Engine'!$C$2:$C$1369,0)))</f>
        <v/>
      </c>
      <c r="C106" s="8">
        <f>IF(ISNA(MATCH(97,'Transfer Engine'!$C$2:$C$1369,0)),"",INDEX('Compliance Database'!$C$2:$C$1369,MATCH(97,'Transfer Engine'!$C$2:$C$1369,0)))</f>
        <v/>
      </c>
      <c r="D106" s="9">
        <f>IF(ISNA(MATCH(97,'Transfer Engine'!$C$2:$C$1369,0)),"",INDEX('Compliance Database'!$D$2:$D$1369,MATCH(97,'Transfer Engine'!$C$2:$C$1369,0)))</f>
        <v/>
      </c>
      <c r="E106" s="8">
        <f>IF(ISNA(MATCH(97,'Transfer Engine'!$C$2:$C$1369,0)),"",INDEX('Compliance Database'!$E$2:$E$1369,MATCH(97,'Transfer Engine'!$C$2:$C$1369,0)))</f>
        <v/>
      </c>
      <c r="F106" s="8">
        <f>IF(ISNA(MATCH(97,'Transfer Engine'!$C$2:$C$1369,0)),"",INDEX('Compliance Database'!$F$2:$F$1369,MATCH(97,'Transfer Engine'!$C$2:$C$1369,0)))</f>
        <v/>
      </c>
      <c r="G106" s="8">
        <f>IF(ISNA(MATCH(97,'Transfer Engine'!$C$2:$C$1369,0)),"",INDEX('Compliance Database'!$G$2:$G$1369,MATCH(97,'Transfer Engine'!$C$2:$C$1369,0)))</f>
        <v/>
      </c>
      <c r="H106" s="9">
        <f>IF(ISNA(MATCH(97,'Transfer Engine'!$C$2:$C$1369,0)),"",INDEX('Compliance Database'!$H$2:$H$1369,MATCH(97,'Transfer Engine'!$C$2:$C$1369,0)))</f>
        <v/>
      </c>
      <c r="I106" s="9">
        <f>IF(ISNA(MATCH(97,'Transfer Engine'!$C$2:$C$1369,0)),"",INDEX('Compliance Database'!$I$2:$I$1369,MATCH(97,'Transfer Engine'!$C$2:$C$1369,0)))</f>
        <v/>
      </c>
      <c r="J106" s="8">
        <f>IF(ISNA(MATCH(97,'Transfer Engine'!$C$2:$C$1369,0)),"",INDEX('Compliance Database'!$J$2:$J$1369,MATCH(97,'Transfer Engine'!$C$2:$C$1369,0)))</f>
        <v/>
      </c>
      <c r="K106" s="9">
        <f>IF(ISNA(MATCH(97,'Transfer Engine'!$C$2:$C$1369,0)),"",INDEX('Compliance Database'!$K$2:$K$1369,MATCH(97,'Transfer Engine'!$C$2:$C$1369,0)))</f>
        <v/>
      </c>
      <c r="L106" s="9">
        <f>IF(ISNA(MATCH(97,'Transfer Engine'!$C$2:$C$1369,0)),"",INDEX('Compliance Database'!$L$2:$L$1369,MATCH(97,'Transfer Engine'!$C$2:$C$1369,0)))</f>
        <v/>
      </c>
      <c r="M106" s="9">
        <f>IF(ISNA(MATCH(97,'Transfer Engine'!$C$2:$C$1369,0)),"",INDEX('Compliance Database'!$M$2:$M$1369,MATCH(97,'Transfer Engine'!$C$2:$C$1369,0)))</f>
        <v/>
      </c>
      <c r="N106" s="9">
        <f>IF(ISNA(MATCH(97,'Transfer Engine'!$C$2:$C$1369,0)),"",INDEX('Compliance Database'!$N$2:$N$1369,MATCH(97,'Transfer Engine'!$C$2:$C$1369,0)))</f>
        <v/>
      </c>
      <c r="O106" s="8">
        <f>IF(ISNA(MATCH(97,'Transfer Engine'!$C$2:$C$1369,0)),"",HYPERLINK(INDEX('Compliance Database'!$O$2:$O$1369,MATCH(97,'Transfer Engine'!$C$2:$C$1369,0)),"Open PDF"))</f>
        <v/>
      </c>
    </row>
    <row r="107" ht="188" customHeight="1">
      <c r="A107" s="8">
        <f>IF(ISNA(MATCH(98,'Transfer Engine'!$C$2:$C$1369,0)),"",INDEX('Compliance Database'!$A$2:$A$1369,MATCH(98,'Transfer Engine'!$C$2:$C$1369,0)))</f>
        <v/>
      </c>
      <c r="B107" s="8">
        <f>IF(ISNA(MATCH(98,'Transfer Engine'!$C$2:$C$1369,0)),"",INDEX('Compliance Database'!$B$2:$B$1369,MATCH(98,'Transfer Engine'!$C$2:$C$1369,0)))</f>
        <v/>
      </c>
      <c r="C107" s="8">
        <f>IF(ISNA(MATCH(98,'Transfer Engine'!$C$2:$C$1369,0)),"",INDEX('Compliance Database'!$C$2:$C$1369,MATCH(98,'Transfer Engine'!$C$2:$C$1369,0)))</f>
        <v/>
      </c>
      <c r="D107" s="9">
        <f>IF(ISNA(MATCH(98,'Transfer Engine'!$C$2:$C$1369,0)),"",INDEX('Compliance Database'!$D$2:$D$1369,MATCH(98,'Transfer Engine'!$C$2:$C$1369,0)))</f>
        <v/>
      </c>
      <c r="E107" s="8">
        <f>IF(ISNA(MATCH(98,'Transfer Engine'!$C$2:$C$1369,0)),"",INDEX('Compliance Database'!$E$2:$E$1369,MATCH(98,'Transfer Engine'!$C$2:$C$1369,0)))</f>
        <v/>
      </c>
      <c r="F107" s="8">
        <f>IF(ISNA(MATCH(98,'Transfer Engine'!$C$2:$C$1369,0)),"",INDEX('Compliance Database'!$F$2:$F$1369,MATCH(98,'Transfer Engine'!$C$2:$C$1369,0)))</f>
        <v/>
      </c>
      <c r="G107" s="8">
        <f>IF(ISNA(MATCH(98,'Transfer Engine'!$C$2:$C$1369,0)),"",INDEX('Compliance Database'!$G$2:$G$1369,MATCH(98,'Transfer Engine'!$C$2:$C$1369,0)))</f>
        <v/>
      </c>
      <c r="H107" s="9">
        <f>IF(ISNA(MATCH(98,'Transfer Engine'!$C$2:$C$1369,0)),"",INDEX('Compliance Database'!$H$2:$H$1369,MATCH(98,'Transfer Engine'!$C$2:$C$1369,0)))</f>
        <v/>
      </c>
      <c r="I107" s="9">
        <f>IF(ISNA(MATCH(98,'Transfer Engine'!$C$2:$C$1369,0)),"",INDEX('Compliance Database'!$I$2:$I$1369,MATCH(98,'Transfer Engine'!$C$2:$C$1369,0)))</f>
        <v/>
      </c>
      <c r="J107" s="8">
        <f>IF(ISNA(MATCH(98,'Transfer Engine'!$C$2:$C$1369,0)),"",INDEX('Compliance Database'!$J$2:$J$1369,MATCH(98,'Transfer Engine'!$C$2:$C$1369,0)))</f>
        <v/>
      </c>
      <c r="K107" s="9">
        <f>IF(ISNA(MATCH(98,'Transfer Engine'!$C$2:$C$1369,0)),"",INDEX('Compliance Database'!$K$2:$K$1369,MATCH(98,'Transfer Engine'!$C$2:$C$1369,0)))</f>
        <v/>
      </c>
      <c r="L107" s="9">
        <f>IF(ISNA(MATCH(98,'Transfer Engine'!$C$2:$C$1369,0)),"",INDEX('Compliance Database'!$L$2:$L$1369,MATCH(98,'Transfer Engine'!$C$2:$C$1369,0)))</f>
        <v/>
      </c>
      <c r="M107" s="9">
        <f>IF(ISNA(MATCH(98,'Transfer Engine'!$C$2:$C$1369,0)),"",INDEX('Compliance Database'!$M$2:$M$1369,MATCH(98,'Transfer Engine'!$C$2:$C$1369,0)))</f>
        <v/>
      </c>
      <c r="N107" s="9">
        <f>IF(ISNA(MATCH(98,'Transfer Engine'!$C$2:$C$1369,0)),"",INDEX('Compliance Database'!$N$2:$N$1369,MATCH(98,'Transfer Engine'!$C$2:$C$1369,0)))</f>
        <v/>
      </c>
      <c r="O107" s="8">
        <f>IF(ISNA(MATCH(98,'Transfer Engine'!$C$2:$C$1369,0)),"",HYPERLINK(INDEX('Compliance Database'!$O$2:$O$1369,MATCH(98,'Transfer Engine'!$C$2:$C$1369,0)),"Open PDF"))</f>
        <v/>
      </c>
    </row>
    <row r="108" ht="188" customHeight="1">
      <c r="A108" s="8">
        <f>IF(ISNA(MATCH(99,'Transfer Engine'!$C$2:$C$1369,0)),"",INDEX('Compliance Database'!$A$2:$A$1369,MATCH(99,'Transfer Engine'!$C$2:$C$1369,0)))</f>
        <v/>
      </c>
      <c r="B108" s="8">
        <f>IF(ISNA(MATCH(99,'Transfer Engine'!$C$2:$C$1369,0)),"",INDEX('Compliance Database'!$B$2:$B$1369,MATCH(99,'Transfer Engine'!$C$2:$C$1369,0)))</f>
        <v/>
      </c>
      <c r="C108" s="8">
        <f>IF(ISNA(MATCH(99,'Transfer Engine'!$C$2:$C$1369,0)),"",INDEX('Compliance Database'!$C$2:$C$1369,MATCH(99,'Transfer Engine'!$C$2:$C$1369,0)))</f>
        <v/>
      </c>
      <c r="D108" s="9">
        <f>IF(ISNA(MATCH(99,'Transfer Engine'!$C$2:$C$1369,0)),"",INDEX('Compliance Database'!$D$2:$D$1369,MATCH(99,'Transfer Engine'!$C$2:$C$1369,0)))</f>
        <v/>
      </c>
      <c r="E108" s="8">
        <f>IF(ISNA(MATCH(99,'Transfer Engine'!$C$2:$C$1369,0)),"",INDEX('Compliance Database'!$E$2:$E$1369,MATCH(99,'Transfer Engine'!$C$2:$C$1369,0)))</f>
        <v/>
      </c>
      <c r="F108" s="8">
        <f>IF(ISNA(MATCH(99,'Transfer Engine'!$C$2:$C$1369,0)),"",INDEX('Compliance Database'!$F$2:$F$1369,MATCH(99,'Transfer Engine'!$C$2:$C$1369,0)))</f>
        <v/>
      </c>
      <c r="G108" s="8">
        <f>IF(ISNA(MATCH(99,'Transfer Engine'!$C$2:$C$1369,0)),"",INDEX('Compliance Database'!$G$2:$G$1369,MATCH(99,'Transfer Engine'!$C$2:$C$1369,0)))</f>
        <v/>
      </c>
      <c r="H108" s="9">
        <f>IF(ISNA(MATCH(99,'Transfer Engine'!$C$2:$C$1369,0)),"",INDEX('Compliance Database'!$H$2:$H$1369,MATCH(99,'Transfer Engine'!$C$2:$C$1369,0)))</f>
        <v/>
      </c>
      <c r="I108" s="9">
        <f>IF(ISNA(MATCH(99,'Transfer Engine'!$C$2:$C$1369,0)),"",INDEX('Compliance Database'!$I$2:$I$1369,MATCH(99,'Transfer Engine'!$C$2:$C$1369,0)))</f>
        <v/>
      </c>
      <c r="J108" s="8">
        <f>IF(ISNA(MATCH(99,'Transfer Engine'!$C$2:$C$1369,0)),"",INDEX('Compliance Database'!$J$2:$J$1369,MATCH(99,'Transfer Engine'!$C$2:$C$1369,0)))</f>
        <v/>
      </c>
      <c r="K108" s="9">
        <f>IF(ISNA(MATCH(99,'Transfer Engine'!$C$2:$C$1369,0)),"",INDEX('Compliance Database'!$K$2:$K$1369,MATCH(99,'Transfer Engine'!$C$2:$C$1369,0)))</f>
        <v/>
      </c>
      <c r="L108" s="9">
        <f>IF(ISNA(MATCH(99,'Transfer Engine'!$C$2:$C$1369,0)),"",INDEX('Compliance Database'!$L$2:$L$1369,MATCH(99,'Transfer Engine'!$C$2:$C$1369,0)))</f>
        <v/>
      </c>
      <c r="M108" s="9">
        <f>IF(ISNA(MATCH(99,'Transfer Engine'!$C$2:$C$1369,0)),"",INDEX('Compliance Database'!$M$2:$M$1369,MATCH(99,'Transfer Engine'!$C$2:$C$1369,0)))</f>
        <v/>
      </c>
      <c r="N108" s="9">
        <f>IF(ISNA(MATCH(99,'Transfer Engine'!$C$2:$C$1369,0)),"",INDEX('Compliance Database'!$N$2:$N$1369,MATCH(99,'Transfer Engine'!$C$2:$C$1369,0)))</f>
        <v/>
      </c>
      <c r="O108" s="8">
        <f>IF(ISNA(MATCH(99,'Transfer Engine'!$C$2:$C$1369,0)),"",HYPERLINK(INDEX('Compliance Database'!$O$2:$O$1369,MATCH(99,'Transfer Engine'!$C$2:$C$1369,0)),"Open PDF"))</f>
        <v/>
      </c>
    </row>
    <row r="109" ht="188" customHeight="1">
      <c r="A109" s="8">
        <f>IF(ISNA(MATCH(100,'Transfer Engine'!$C$2:$C$1369,0)),"",INDEX('Compliance Database'!$A$2:$A$1369,MATCH(100,'Transfer Engine'!$C$2:$C$1369,0)))</f>
        <v/>
      </c>
      <c r="B109" s="8">
        <f>IF(ISNA(MATCH(100,'Transfer Engine'!$C$2:$C$1369,0)),"",INDEX('Compliance Database'!$B$2:$B$1369,MATCH(100,'Transfer Engine'!$C$2:$C$1369,0)))</f>
        <v/>
      </c>
      <c r="C109" s="8">
        <f>IF(ISNA(MATCH(100,'Transfer Engine'!$C$2:$C$1369,0)),"",INDEX('Compliance Database'!$C$2:$C$1369,MATCH(100,'Transfer Engine'!$C$2:$C$1369,0)))</f>
        <v/>
      </c>
      <c r="D109" s="9">
        <f>IF(ISNA(MATCH(100,'Transfer Engine'!$C$2:$C$1369,0)),"",INDEX('Compliance Database'!$D$2:$D$1369,MATCH(100,'Transfer Engine'!$C$2:$C$1369,0)))</f>
        <v/>
      </c>
      <c r="E109" s="8">
        <f>IF(ISNA(MATCH(100,'Transfer Engine'!$C$2:$C$1369,0)),"",INDEX('Compliance Database'!$E$2:$E$1369,MATCH(100,'Transfer Engine'!$C$2:$C$1369,0)))</f>
        <v/>
      </c>
      <c r="F109" s="8">
        <f>IF(ISNA(MATCH(100,'Transfer Engine'!$C$2:$C$1369,0)),"",INDEX('Compliance Database'!$F$2:$F$1369,MATCH(100,'Transfer Engine'!$C$2:$C$1369,0)))</f>
        <v/>
      </c>
      <c r="G109" s="8">
        <f>IF(ISNA(MATCH(100,'Transfer Engine'!$C$2:$C$1369,0)),"",INDEX('Compliance Database'!$G$2:$G$1369,MATCH(100,'Transfer Engine'!$C$2:$C$1369,0)))</f>
        <v/>
      </c>
      <c r="H109" s="9">
        <f>IF(ISNA(MATCH(100,'Transfer Engine'!$C$2:$C$1369,0)),"",INDEX('Compliance Database'!$H$2:$H$1369,MATCH(100,'Transfer Engine'!$C$2:$C$1369,0)))</f>
        <v/>
      </c>
      <c r="I109" s="9">
        <f>IF(ISNA(MATCH(100,'Transfer Engine'!$C$2:$C$1369,0)),"",INDEX('Compliance Database'!$I$2:$I$1369,MATCH(100,'Transfer Engine'!$C$2:$C$1369,0)))</f>
        <v/>
      </c>
      <c r="J109" s="8">
        <f>IF(ISNA(MATCH(100,'Transfer Engine'!$C$2:$C$1369,0)),"",INDEX('Compliance Database'!$J$2:$J$1369,MATCH(100,'Transfer Engine'!$C$2:$C$1369,0)))</f>
        <v/>
      </c>
      <c r="K109" s="9">
        <f>IF(ISNA(MATCH(100,'Transfer Engine'!$C$2:$C$1369,0)),"",INDEX('Compliance Database'!$K$2:$K$1369,MATCH(100,'Transfer Engine'!$C$2:$C$1369,0)))</f>
        <v/>
      </c>
      <c r="L109" s="9">
        <f>IF(ISNA(MATCH(100,'Transfer Engine'!$C$2:$C$1369,0)),"",INDEX('Compliance Database'!$L$2:$L$1369,MATCH(100,'Transfer Engine'!$C$2:$C$1369,0)))</f>
        <v/>
      </c>
      <c r="M109" s="9">
        <f>IF(ISNA(MATCH(100,'Transfer Engine'!$C$2:$C$1369,0)),"",INDEX('Compliance Database'!$M$2:$M$1369,MATCH(100,'Transfer Engine'!$C$2:$C$1369,0)))</f>
        <v/>
      </c>
      <c r="N109" s="9">
        <f>IF(ISNA(MATCH(100,'Transfer Engine'!$C$2:$C$1369,0)),"",INDEX('Compliance Database'!$N$2:$N$1369,MATCH(100,'Transfer Engine'!$C$2:$C$1369,0)))</f>
        <v/>
      </c>
      <c r="O109" s="8">
        <f>IF(ISNA(MATCH(100,'Transfer Engine'!$C$2:$C$1369,0)),"",HYPERLINK(INDEX('Compliance Database'!$O$2:$O$1369,MATCH(100,'Transfer Engine'!$C$2:$C$1369,0)),"Open PDF"))</f>
        <v/>
      </c>
    </row>
    <row r="110" ht="188" customHeight="1">
      <c r="A110" s="8">
        <f>IF(ISNA(MATCH(101,'Transfer Engine'!$C$2:$C$1369,0)),"",INDEX('Compliance Database'!$A$2:$A$1369,MATCH(101,'Transfer Engine'!$C$2:$C$1369,0)))</f>
        <v/>
      </c>
      <c r="B110" s="8">
        <f>IF(ISNA(MATCH(101,'Transfer Engine'!$C$2:$C$1369,0)),"",INDEX('Compliance Database'!$B$2:$B$1369,MATCH(101,'Transfer Engine'!$C$2:$C$1369,0)))</f>
        <v/>
      </c>
      <c r="C110" s="8">
        <f>IF(ISNA(MATCH(101,'Transfer Engine'!$C$2:$C$1369,0)),"",INDEX('Compliance Database'!$C$2:$C$1369,MATCH(101,'Transfer Engine'!$C$2:$C$1369,0)))</f>
        <v/>
      </c>
      <c r="D110" s="9">
        <f>IF(ISNA(MATCH(101,'Transfer Engine'!$C$2:$C$1369,0)),"",INDEX('Compliance Database'!$D$2:$D$1369,MATCH(101,'Transfer Engine'!$C$2:$C$1369,0)))</f>
        <v/>
      </c>
      <c r="E110" s="8">
        <f>IF(ISNA(MATCH(101,'Transfer Engine'!$C$2:$C$1369,0)),"",INDEX('Compliance Database'!$E$2:$E$1369,MATCH(101,'Transfer Engine'!$C$2:$C$1369,0)))</f>
        <v/>
      </c>
      <c r="F110" s="8">
        <f>IF(ISNA(MATCH(101,'Transfer Engine'!$C$2:$C$1369,0)),"",INDEX('Compliance Database'!$F$2:$F$1369,MATCH(101,'Transfer Engine'!$C$2:$C$1369,0)))</f>
        <v/>
      </c>
      <c r="G110" s="8">
        <f>IF(ISNA(MATCH(101,'Transfer Engine'!$C$2:$C$1369,0)),"",INDEX('Compliance Database'!$G$2:$G$1369,MATCH(101,'Transfer Engine'!$C$2:$C$1369,0)))</f>
        <v/>
      </c>
      <c r="H110" s="9">
        <f>IF(ISNA(MATCH(101,'Transfer Engine'!$C$2:$C$1369,0)),"",INDEX('Compliance Database'!$H$2:$H$1369,MATCH(101,'Transfer Engine'!$C$2:$C$1369,0)))</f>
        <v/>
      </c>
      <c r="I110" s="9">
        <f>IF(ISNA(MATCH(101,'Transfer Engine'!$C$2:$C$1369,0)),"",INDEX('Compliance Database'!$I$2:$I$1369,MATCH(101,'Transfer Engine'!$C$2:$C$1369,0)))</f>
        <v/>
      </c>
      <c r="J110" s="8">
        <f>IF(ISNA(MATCH(101,'Transfer Engine'!$C$2:$C$1369,0)),"",INDEX('Compliance Database'!$J$2:$J$1369,MATCH(101,'Transfer Engine'!$C$2:$C$1369,0)))</f>
        <v/>
      </c>
      <c r="K110" s="9">
        <f>IF(ISNA(MATCH(101,'Transfer Engine'!$C$2:$C$1369,0)),"",INDEX('Compliance Database'!$K$2:$K$1369,MATCH(101,'Transfer Engine'!$C$2:$C$1369,0)))</f>
        <v/>
      </c>
      <c r="L110" s="9">
        <f>IF(ISNA(MATCH(101,'Transfer Engine'!$C$2:$C$1369,0)),"",INDEX('Compliance Database'!$L$2:$L$1369,MATCH(101,'Transfer Engine'!$C$2:$C$1369,0)))</f>
        <v/>
      </c>
      <c r="M110" s="9">
        <f>IF(ISNA(MATCH(101,'Transfer Engine'!$C$2:$C$1369,0)),"",INDEX('Compliance Database'!$M$2:$M$1369,MATCH(101,'Transfer Engine'!$C$2:$C$1369,0)))</f>
        <v/>
      </c>
      <c r="N110" s="9">
        <f>IF(ISNA(MATCH(101,'Transfer Engine'!$C$2:$C$1369,0)),"",INDEX('Compliance Database'!$N$2:$N$1369,MATCH(101,'Transfer Engine'!$C$2:$C$1369,0)))</f>
        <v/>
      </c>
      <c r="O110" s="8">
        <f>IF(ISNA(MATCH(101,'Transfer Engine'!$C$2:$C$1369,0)),"",HYPERLINK(INDEX('Compliance Database'!$O$2:$O$1369,MATCH(101,'Transfer Engine'!$C$2:$C$1369,0)),"Open PDF"))</f>
        <v/>
      </c>
    </row>
    <row r="111" ht="188" customHeight="1">
      <c r="A111" s="8">
        <f>IF(ISNA(MATCH(102,'Transfer Engine'!$C$2:$C$1369,0)),"",INDEX('Compliance Database'!$A$2:$A$1369,MATCH(102,'Transfer Engine'!$C$2:$C$1369,0)))</f>
        <v/>
      </c>
      <c r="B111" s="8">
        <f>IF(ISNA(MATCH(102,'Transfer Engine'!$C$2:$C$1369,0)),"",INDEX('Compliance Database'!$B$2:$B$1369,MATCH(102,'Transfer Engine'!$C$2:$C$1369,0)))</f>
        <v/>
      </c>
      <c r="C111" s="8">
        <f>IF(ISNA(MATCH(102,'Transfer Engine'!$C$2:$C$1369,0)),"",INDEX('Compliance Database'!$C$2:$C$1369,MATCH(102,'Transfer Engine'!$C$2:$C$1369,0)))</f>
        <v/>
      </c>
      <c r="D111" s="9">
        <f>IF(ISNA(MATCH(102,'Transfer Engine'!$C$2:$C$1369,0)),"",INDEX('Compliance Database'!$D$2:$D$1369,MATCH(102,'Transfer Engine'!$C$2:$C$1369,0)))</f>
        <v/>
      </c>
      <c r="E111" s="8">
        <f>IF(ISNA(MATCH(102,'Transfer Engine'!$C$2:$C$1369,0)),"",INDEX('Compliance Database'!$E$2:$E$1369,MATCH(102,'Transfer Engine'!$C$2:$C$1369,0)))</f>
        <v/>
      </c>
      <c r="F111" s="8">
        <f>IF(ISNA(MATCH(102,'Transfer Engine'!$C$2:$C$1369,0)),"",INDEX('Compliance Database'!$F$2:$F$1369,MATCH(102,'Transfer Engine'!$C$2:$C$1369,0)))</f>
        <v/>
      </c>
      <c r="G111" s="8">
        <f>IF(ISNA(MATCH(102,'Transfer Engine'!$C$2:$C$1369,0)),"",INDEX('Compliance Database'!$G$2:$G$1369,MATCH(102,'Transfer Engine'!$C$2:$C$1369,0)))</f>
        <v/>
      </c>
      <c r="H111" s="9">
        <f>IF(ISNA(MATCH(102,'Transfer Engine'!$C$2:$C$1369,0)),"",INDEX('Compliance Database'!$H$2:$H$1369,MATCH(102,'Transfer Engine'!$C$2:$C$1369,0)))</f>
        <v/>
      </c>
      <c r="I111" s="9">
        <f>IF(ISNA(MATCH(102,'Transfer Engine'!$C$2:$C$1369,0)),"",INDEX('Compliance Database'!$I$2:$I$1369,MATCH(102,'Transfer Engine'!$C$2:$C$1369,0)))</f>
        <v/>
      </c>
      <c r="J111" s="8">
        <f>IF(ISNA(MATCH(102,'Transfer Engine'!$C$2:$C$1369,0)),"",INDEX('Compliance Database'!$J$2:$J$1369,MATCH(102,'Transfer Engine'!$C$2:$C$1369,0)))</f>
        <v/>
      </c>
      <c r="K111" s="9">
        <f>IF(ISNA(MATCH(102,'Transfer Engine'!$C$2:$C$1369,0)),"",INDEX('Compliance Database'!$K$2:$K$1369,MATCH(102,'Transfer Engine'!$C$2:$C$1369,0)))</f>
        <v/>
      </c>
      <c r="L111" s="9">
        <f>IF(ISNA(MATCH(102,'Transfer Engine'!$C$2:$C$1369,0)),"",INDEX('Compliance Database'!$L$2:$L$1369,MATCH(102,'Transfer Engine'!$C$2:$C$1369,0)))</f>
        <v/>
      </c>
      <c r="M111" s="9">
        <f>IF(ISNA(MATCH(102,'Transfer Engine'!$C$2:$C$1369,0)),"",INDEX('Compliance Database'!$M$2:$M$1369,MATCH(102,'Transfer Engine'!$C$2:$C$1369,0)))</f>
        <v/>
      </c>
      <c r="N111" s="9">
        <f>IF(ISNA(MATCH(102,'Transfer Engine'!$C$2:$C$1369,0)),"",INDEX('Compliance Database'!$N$2:$N$1369,MATCH(102,'Transfer Engine'!$C$2:$C$1369,0)))</f>
        <v/>
      </c>
      <c r="O111" s="8">
        <f>IF(ISNA(MATCH(102,'Transfer Engine'!$C$2:$C$1369,0)),"",HYPERLINK(INDEX('Compliance Database'!$O$2:$O$1369,MATCH(102,'Transfer Engine'!$C$2:$C$1369,0)),"Open PDF"))</f>
        <v/>
      </c>
    </row>
    <row r="112" ht="188" customHeight="1">
      <c r="A112" s="8">
        <f>IF(ISNA(MATCH(103,'Transfer Engine'!$C$2:$C$1369,0)),"",INDEX('Compliance Database'!$A$2:$A$1369,MATCH(103,'Transfer Engine'!$C$2:$C$1369,0)))</f>
        <v/>
      </c>
      <c r="B112" s="8">
        <f>IF(ISNA(MATCH(103,'Transfer Engine'!$C$2:$C$1369,0)),"",INDEX('Compliance Database'!$B$2:$B$1369,MATCH(103,'Transfer Engine'!$C$2:$C$1369,0)))</f>
        <v/>
      </c>
      <c r="C112" s="8">
        <f>IF(ISNA(MATCH(103,'Transfer Engine'!$C$2:$C$1369,0)),"",INDEX('Compliance Database'!$C$2:$C$1369,MATCH(103,'Transfer Engine'!$C$2:$C$1369,0)))</f>
        <v/>
      </c>
      <c r="D112" s="9">
        <f>IF(ISNA(MATCH(103,'Transfer Engine'!$C$2:$C$1369,0)),"",INDEX('Compliance Database'!$D$2:$D$1369,MATCH(103,'Transfer Engine'!$C$2:$C$1369,0)))</f>
        <v/>
      </c>
      <c r="E112" s="8">
        <f>IF(ISNA(MATCH(103,'Transfer Engine'!$C$2:$C$1369,0)),"",INDEX('Compliance Database'!$E$2:$E$1369,MATCH(103,'Transfer Engine'!$C$2:$C$1369,0)))</f>
        <v/>
      </c>
      <c r="F112" s="8">
        <f>IF(ISNA(MATCH(103,'Transfer Engine'!$C$2:$C$1369,0)),"",INDEX('Compliance Database'!$F$2:$F$1369,MATCH(103,'Transfer Engine'!$C$2:$C$1369,0)))</f>
        <v/>
      </c>
      <c r="G112" s="8">
        <f>IF(ISNA(MATCH(103,'Transfer Engine'!$C$2:$C$1369,0)),"",INDEX('Compliance Database'!$G$2:$G$1369,MATCH(103,'Transfer Engine'!$C$2:$C$1369,0)))</f>
        <v/>
      </c>
      <c r="H112" s="9">
        <f>IF(ISNA(MATCH(103,'Transfer Engine'!$C$2:$C$1369,0)),"",INDEX('Compliance Database'!$H$2:$H$1369,MATCH(103,'Transfer Engine'!$C$2:$C$1369,0)))</f>
        <v/>
      </c>
      <c r="I112" s="9">
        <f>IF(ISNA(MATCH(103,'Transfer Engine'!$C$2:$C$1369,0)),"",INDEX('Compliance Database'!$I$2:$I$1369,MATCH(103,'Transfer Engine'!$C$2:$C$1369,0)))</f>
        <v/>
      </c>
      <c r="J112" s="8">
        <f>IF(ISNA(MATCH(103,'Transfer Engine'!$C$2:$C$1369,0)),"",INDEX('Compliance Database'!$J$2:$J$1369,MATCH(103,'Transfer Engine'!$C$2:$C$1369,0)))</f>
        <v/>
      </c>
      <c r="K112" s="9">
        <f>IF(ISNA(MATCH(103,'Transfer Engine'!$C$2:$C$1369,0)),"",INDEX('Compliance Database'!$K$2:$K$1369,MATCH(103,'Transfer Engine'!$C$2:$C$1369,0)))</f>
        <v/>
      </c>
      <c r="L112" s="9">
        <f>IF(ISNA(MATCH(103,'Transfer Engine'!$C$2:$C$1369,0)),"",INDEX('Compliance Database'!$L$2:$L$1369,MATCH(103,'Transfer Engine'!$C$2:$C$1369,0)))</f>
        <v/>
      </c>
      <c r="M112" s="9">
        <f>IF(ISNA(MATCH(103,'Transfer Engine'!$C$2:$C$1369,0)),"",INDEX('Compliance Database'!$M$2:$M$1369,MATCH(103,'Transfer Engine'!$C$2:$C$1369,0)))</f>
        <v/>
      </c>
      <c r="N112" s="9">
        <f>IF(ISNA(MATCH(103,'Transfer Engine'!$C$2:$C$1369,0)),"",INDEX('Compliance Database'!$N$2:$N$1369,MATCH(103,'Transfer Engine'!$C$2:$C$1369,0)))</f>
        <v/>
      </c>
      <c r="O112" s="8">
        <f>IF(ISNA(MATCH(103,'Transfer Engine'!$C$2:$C$1369,0)),"",HYPERLINK(INDEX('Compliance Database'!$O$2:$O$1369,MATCH(103,'Transfer Engine'!$C$2:$C$1369,0)),"Open PDF"))</f>
        <v/>
      </c>
    </row>
    <row r="113" ht="188" customHeight="1">
      <c r="A113" s="8">
        <f>IF(ISNA(MATCH(104,'Transfer Engine'!$C$2:$C$1369,0)),"",INDEX('Compliance Database'!$A$2:$A$1369,MATCH(104,'Transfer Engine'!$C$2:$C$1369,0)))</f>
        <v/>
      </c>
      <c r="B113" s="8">
        <f>IF(ISNA(MATCH(104,'Transfer Engine'!$C$2:$C$1369,0)),"",INDEX('Compliance Database'!$B$2:$B$1369,MATCH(104,'Transfer Engine'!$C$2:$C$1369,0)))</f>
        <v/>
      </c>
      <c r="C113" s="8">
        <f>IF(ISNA(MATCH(104,'Transfer Engine'!$C$2:$C$1369,0)),"",INDEX('Compliance Database'!$C$2:$C$1369,MATCH(104,'Transfer Engine'!$C$2:$C$1369,0)))</f>
        <v/>
      </c>
      <c r="D113" s="9">
        <f>IF(ISNA(MATCH(104,'Transfer Engine'!$C$2:$C$1369,0)),"",INDEX('Compliance Database'!$D$2:$D$1369,MATCH(104,'Transfer Engine'!$C$2:$C$1369,0)))</f>
        <v/>
      </c>
      <c r="E113" s="8">
        <f>IF(ISNA(MATCH(104,'Transfer Engine'!$C$2:$C$1369,0)),"",INDEX('Compliance Database'!$E$2:$E$1369,MATCH(104,'Transfer Engine'!$C$2:$C$1369,0)))</f>
        <v/>
      </c>
      <c r="F113" s="8">
        <f>IF(ISNA(MATCH(104,'Transfer Engine'!$C$2:$C$1369,0)),"",INDEX('Compliance Database'!$F$2:$F$1369,MATCH(104,'Transfer Engine'!$C$2:$C$1369,0)))</f>
        <v/>
      </c>
      <c r="G113" s="8">
        <f>IF(ISNA(MATCH(104,'Transfer Engine'!$C$2:$C$1369,0)),"",INDEX('Compliance Database'!$G$2:$G$1369,MATCH(104,'Transfer Engine'!$C$2:$C$1369,0)))</f>
        <v/>
      </c>
      <c r="H113" s="9">
        <f>IF(ISNA(MATCH(104,'Transfer Engine'!$C$2:$C$1369,0)),"",INDEX('Compliance Database'!$H$2:$H$1369,MATCH(104,'Transfer Engine'!$C$2:$C$1369,0)))</f>
        <v/>
      </c>
      <c r="I113" s="9">
        <f>IF(ISNA(MATCH(104,'Transfer Engine'!$C$2:$C$1369,0)),"",INDEX('Compliance Database'!$I$2:$I$1369,MATCH(104,'Transfer Engine'!$C$2:$C$1369,0)))</f>
        <v/>
      </c>
      <c r="J113" s="8">
        <f>IF(ISNA(MATCH(104,'Transfer Engine'!$C$2:$C$1369,0)),"",INDEX('Compliance Database'!$J$2:$J$1369,MATCH(104,'Transfer Engine'!$C$2:$C$1369,0)))</f>
        <v/>
      </c>
      <c r="K113" s="9">
        <f>IF(ISNA(MATCH(104,'Transfer Engine'!$C$2:$C$1369,0)),"",INDEX('Compliance Database'!$K$2:$K$1369,MATCH(104,'Transfer Engine'!$C$2:$C$1369,0)))</f>
        <v/>
      </c>
      <c r="L113" s="9">
        <f>IF(ISNA(MATCH(104,'Transfer Engine'!$C$2:$C$1369,0)),"",INDEX('Compliance Database'!$L$2:$L$1369,MATCH(104,'Transfer Engine'!$C$2:$C$1369,0)))</f>
        <v/>
      </c>
      <c r="M113" s="9">
        <f>IF(ISNA(MATCH(104,'Transfer Engine'!$C$2:$C$1369,0)),"",INDEX('Compliance Database'!$M$2:$M$1369,MATCH(104,'Transfer Engine'!$C$2:$C$1369,0)))</f>
        <v/>
      </c>
      <c r="N113" s="9">
        <f>IF(ISNA(MATCH(104,'Transfer Engine'!$C$2:$C$1369,0)),"",INDEX('Compliance Database'!$N$2:$N$1369,MATCH(104,'Transfer Engine'!$C$2:$C$1369,0)))</f>
        <v/>
      </c>
      <c r="O113" s="8">
        <f>IF(ISNA(MATCH(104,'Transfer Engine'!$C$2:$C$1369,0)),"",HYPERLINK(INDEX('Compliance Database'!$O$2:$O$1369,MATCH(104,'Transfer Engine'!$C$2:$C$1369,0)),"Open PDF"))</f>
        <v/>
      </c>
    </row>
    <row r="114" ht="188" customHeight="1">
      <c r="A114" s="8">
        <f>IF(ISNA(MATCH(105,'Transfer Engine'!$C$2:$C$1369,0)),"",INDEX('Compliance Database'!$A$2:$A$1369,MATCH(105,'Transfer Engine'!$C$2:$C$1369,0)))</f>
        <v/>
      </c>
      <c r="B114" s="8">
        <f>IF(ISNA(MATCH(105,'Transfer Engine'!$C$2:$C$1369,0)),"",INDEX('Compliance Database'!$B$2:$B$1369,MATCH(105,'Transfer Engine'!$C$2:$C$1369,0)))</f>
        <v/>
      </c>
      <c r="C114" s="8">
        <f>IF(ISNA(MATCH(105,'Transfer Engine'!$C$2:$C$1369,0)),"",INDEX('Compliance Database'!$C$2:$C$1369,MATCH(105,'Transfer Engine'!$C$2:$C$1369,0)))</f>
        <v/>
      </c>
      <c r="D114" s="9">
        <f>IF(ISNA(MATCH(105,'Transfer Engine'!$C$2:$C$1369,0)),"",INDEX('Compliance Database'!$D$2:$D$1369,MATCH(105,'Transfer Engine'!$C$2:$C$1369,0)))</f>
        <v/>
      </c>
      <c r="E114" s="8">
        <f>IF(ISNA(MATCH(105,'Transfer Engine'!$C$2:$C$1369,0)),"",INDEX('Compliance Database'!$E$2:$E$1369,MATCH(105,'Transfer Engine'!$C$2:$C$1369,0)))</f>
        <v/>
      </c>
      <c r="F114" s="8">
        <f>IF(ISNA(MATCH(105,'Transfer Engine'!$C$2:$C$1369,0)),"",INDEX('Compliance Database'!$F$2:$F$1369,MATCH(105,'Transfer Engine'!$C$2:$C$1369,0)))</f>
        <v/>
      </c>
      <c r="G114" s="8">
        <f>IF(ISNA(MATCH(105,'Transfer Engine'!$C$2:$C$1369,0)),"",INDEX('Compliance Database'!$G$2:$G$1369,MATCH(105,'Transfer Engine'!$C$2:$C$1369,0)))</f>
        <v/>
      </c>
      <c r="H114" s="9">
        <f>IF(ISNA(MATCH(105,'Transfer Engine'!$C$2:$C$1369,0)),"",INDEX('Compliance Database'!$H$2:$H$1369,MATCH(105,'Transfer Engine'!$C$2:$C$1369,0)))</f>
        <v/>
      </c>
      <c r="I114" s="9">
        <f>IF(ISNA(MATCH(105,'Transfer Engine'!$C$2:$C$1369,0)),"",INDEX('Compliance Database'!$I$2:$I$1369,MATCH(105,'Transfer Engine'!$C$2:$C$1369,0)))</f>
        <v/>
      </c>
      <c r="J114" s="8">
        <f>IF(ISNA(MATCH(105,'Transfer Engine'!$C$2:$C$1369,0)),"",INDEX('Compliance Database'!$J$2:$J$1369,MATCH(105,'Transfer Engine'!$C$2:$C$1369,0)))</f>
        <v/>
      </c>
      <c r="K114" s="9">
        <f>IF(ISNA(MATCH(105,'Transfer Engine'!$C$2:$C$1369,0)),"",INDEX('Compliance Database'!$K$2:$K$1369,MATCH(105,'Transfer Engine'!$C$2:$C$1369,0)))</f>
        <v/>
      </c>
      <c r="L114" s="9">
        <f>IF(ISNA(MATCH(105,'Transfer Engine'!$C$2:$C$1369,0)),"",INDEX('Compliance Database'!$L$2:$L$1369,MATCH(105,'Transfer Engine'!$C$2:$C$1369,0)))</f>
        <v/>
      </c>
      <c r="M114" s="9">
        <f>IF(ISNA(MATCH(105,'Transfer Engine'!$C$2:$C$1369,0)),"",INDEX('Compliance Database'!$M$2:$M$1369,MATCH(105,'Transfer Engine'!$C$2:$C$1369,0)))</f>
        <v/>
      </c>
      <c r="N114" s="9">
        <f>IF(ISNA(MATCH(105,'Transfer Engine'!$C$2:$C$1369,0)),"",INDEX('Compliance Database'!$N$2:$N$1369,MATCH(105,'Transfer Engine'!$C$2:$C$1369,0)))</f>
        <v/>
      </c>
      <c r="O114" s="8">
        <f>IF(ISNA(MATCH(105,'Transfer Engine'!$C$2:$C$1369,0)),"",HYPERLINK(INDEX('Compliance Database'!$O$2:$O$1369,MATCH(105,'Transfer Engine'!$C$2:$C$1369,0)),"Open PDF"))</f>
        <v/>
      </c>
    </row>
    <row r="115" ht="188" customHeight="1">
      <c r="A115" s="8">
        <f>IF(ISNA(MATCH(106,'Transfer Engine'!$C$2:$C$1369,0)),"",INDEX('Compliance Database'!$A$2:$A$1369,MATCH(106,'Transfer Engine'!$C$2:$C$1369,0)))</f>
        <v/>
      </c>
      <c r="B115" s="8">
        <f>IF(ISNA(MATCH(106,'Transfer Engine'!$C$2:$C$1369,0)),"",INDEX('Compliance Database'!$B$2:$B$1369,MATCH(106,'Transfer Engine'!$C$2:$C$1369,0)))</f>
        <v/>
      </c>
      <c r="C115" s="8">
        <f>IF(ISNA(MATCH(106,'Transfer Engine'!$C$2:$C$1369,0)),"",INDEX('Compliance Database'!$C$2:$C$1369,MATCH(106,'Transfer Engine'!$C$2:$C$1369,0)))</f>
        <v/>
      </c>
      <c r="D115" s="9">
        <f>IF(ISNA(MATCH(106,'Transfer Engine'!$C$2:$C$1369,0)),"",INDEX('Compliance Database'!$D$2:$D$1369,MATCH(106,'Transfer Engine'!$C$2:$C$1369,0)))</f>
        <v/>
      </c>
      <c r="E115" s="8">
        <f>IF(ISNA(MATCH(106,'Transfer Engine'!$C$2:$C$1369,0)),"",INDEX('Compliance Database'!$E$2:$E$1369,MATCH(106,'Transfer Engine'!$C$2:$C$1369,0)))</f>
        <v/>
      </c>
      <c r="F115" s="8">
        <f>IF(ISNA(MATCH(106,'Transfer Engine'!$C$2:$C$1369,0)),"",INDEX('Compliance Database'!$F$2:$F$1369,MATCH(106,'Transfer Engine'!$C$2:$C$1369,0)))</f>
        <v/>
      </c>
      <c r="G115" s="8">
        <f>IF(ISNA(MATCH(106,'Transfer Engine'!$C$2:$C$1369,0)),"",INDEX('Compliance Database'!$G$2:$G$1369,MATCH(106,'Transfer Engine'!$C$2:$C$1369,0)))</f>
        <v/>
      </c>
      <c r="H115" s="9">
        <f>IF(ISNA(MATCH(106,'Transfer Engine'!$C$2:$C$1369,0)),"",INDEX('Compliance Database'!$H$2:$H$1369,MATCH(106,'Transfer Engine'!$C$2:$C$1369,0)))</f>
        <v/>
      </c>
      <c r="I115" s="9">
        <f>IF(ISNA(MATCH(106,'Transfer Engine'!$C$2:$C$1369,0)),"",INDEX('Compliance Database'!$I$2:$I$1369,MATCH(106,'Transfer Engine'!$C$2:$C$1369,0)))</f>
        <v/>
      </c>
      <c r="J115" s="8">
        <f>IF(ISNA(MATCH(106,'Transfer Engine'!$C$2:$C$1369,0)),"",INDEX('Compliance Database'!$J$2:$J$1369,MATCH(106,'Transfer Engine'!$C$2:$C$1369,0)))</f>
        <v/>
      </c>
      <c r="K115" s="9">
        <f>IF(ISNA(MATCH(106,'Transfer Engine'!$C$2:$C$1369,0)),"",INDEX('Compliance Database'!$K$2:$K$1369,MATCH(106,'Transfer Engine'!$C$2:$C$1369,0)))</f>
        <v/>
      </c>
      <c r="L115" s="9">
        <f>IF(ISNA(MATCH(106,'Transfer Engine'!$C$2:$C$1369,0)),"",INDEX('Compliance Database'!$L$2:$L$1369,MATCH(106,'Transfer Engine'!$C$2:$C$1369,0)))</f>
        <v/>
      </c>
      <c r="M115" s="9">
        <f>IF(ISNA(MATCH(106,'Transfer Engine'!$C$2:$C$1369,0)),"",INDEX('Compliance Database'!$M$2:$M$1369,MATCH(106,'Transfer Engine'!$C$2:$C$1369,0)))</f>
        <v/>
      </c>
      <c r="N115" s="9">
        <f>IF(ISNA(MATCH(106,'Transfer Engine'!$C$2:$C$1369,0)),"",INDEX('Compliance Database'!$N$2:$N$1369,MATCH(106,'Transfer Engine'!$C$2:$C$1369,0)))</f>
        <v/>
      </c>
      <c r="O115" s="8">
        <f>IF(ISNA(MATCH(106,'Transfer Engine'!$C$2:$C$1369,0)),"",HYPERLINK(INDEX('Compliance Database'!$O$2:$O$1369,MATCH(106,'Transfer Engine'!$C$2:$C$1369,0)),"Open PDF"))</f>
        <v/>
      </c>
    </row>
    <row r="116" ht="188" customHeight="1">
      <c r="A116" s="8">
        <f>IF(ISNA(MATCH(107,'Transfer Engine'!$C$2:$C$1369,0)),"",INDEX('Compliance Database'!$A$2:$A$1369,MATCH(107,'Transfer Engine'!$C$2:$C$1369,0)))</f>
        <v/>
      </c>
      <c r="B116" s="8">
        <f>IF(ISNA(MATCH(107,'Transfer Engine'!$C$2:$C$1369,0)),"",INDEX('Compliance Database'!$B$2:$B$1369,MATCH(107,'Transfer Engine'!$C$2:$C$1369,0)))</f>
        <v/>
      </c>
      <c r="C116" s="8">
        <f>IF(ISNA(MATCH(107,'Transfer Engine'!$C$2:$C$1369,0)),"",INDEX('Compliance Database'!$C$2:$C$1369,MATCH(107,'Transfer Engine'!$C$2:$C$1369,0)))</f>
        <v/>
      </c>
      <c r="D116" s="9">
        <f>IF(ISNA(MATCH(107,'Transfer Engine'!$C$2:$C$1369,0)),"",INDEX('Compliance Database'!$D$2:$D$1369,MATCH(107,'Transfer Engine'!$C$2:$C$1369,0)))</f>
        <v/>
      </c>
      <c r="E116" s="8">
        <f>IF(ISNA(MATCH(107,'Transfer Engine'!$C$2:$C$1369,0)),"",INDEX('Compliance Database'!$E$2:$E$1369,MATCH(107,'Transfer Engine'!$C$2:$C$1369,0)))</f>
        <v/>
      </c>
      <c r="F116" s="8">
        <f>IF(ISNA(MATCH(107,'Transfer Engine'!$C$2:$C$1369,0)),"",INDEX('Compliance Database'!$F$2:$F$1369,MATCH(107,'Transfer Engine'!$C$2:$C$1369,0)))</f>
        <v/>
      </c>
      <c r="G116" s="8">
        <f>IF(ISNA(MATCH(107,'Transfer Engine'!$C$2:$C$1369,0)),"",INDEX('Compliance Database'!$G$2:$G$1369,MATCH(107,'Transfer Engine'!$C$2:$C$1369,0)))</f>
        <v/>
      </c>
      <c r="H116" s="9">
        <f>IF(ISNA(MATCH(107,'Transfer Engine'!$C$2:$C$1369,0)),"",INDEX('Compliance Database'!$H$2:$H$1369,MATCH(107,'Transfer Engine'!$C$2:$C$1369,0)))</f>
        <v/>
      </c>
      <c r="I116" s="9">
        <f>IF(ISNA(MATCH(107,'Transfer Engine'!$C$2:$C$1369,0)),"",INDEX('Compliance Database'!$I$2:$I$1369,MATCH(107,'Transfer Engine'!$C$2:$C$1369,0)))</f>
        <v/>
      </c>
      <c r="J116" s="8">
        <f>IF(ISNA(MATCH(107,'Transfer Engine'!$C$2:$C$1369,0)),"",INDEX('Compliance Database'!$J$2:$J$1369,MATCH(107,'Transfer Engine'!$C$2:$C$1369,0)))</f>
        <v/>
      </c>
      <c r="K116" s="9">
        <f>IF(ISNA(MATCH(107,'Transfer Engine'!$C$2:$C$1369,0)),"",INDEX('Compliance Database'!$K$2:$K$1369,MATCH(107,'Transfer Engine'!$C$2:$C$1369,0)))</f>
        <v/>
      </c>
      <c r="L116" s="9">
        <f>IF(ISNA(MATCH(107,'Transfer Engine'!$C$2:$C$1369,0)),"",INDEX('Compliance Database'!$L$2:$L$1369,MATCH(107,'Transfer Engine'!$C$2:$C$1369,0)))</f>
        <v/>
      </c>
      <c r="M116" s="9">
        <f>IF(ISNA(MATCH(107,'Transfer Engine'!$C$2:$C$1369,0)),"",INDEX('Compliance Database'!$M$2:$M$1369,MATCH(107,'Transfer Engine'!$C$2:$C$1369,0)))</f>
        <v/>
      </c>
      <c r="N116" s="9">
        <f>IF(ISNA(MATCH(107,'Transfer Engine'!$C$2:$C$1369,0)),"",INDEX('Compliance Database'!$N$2:$N$1369,MATCH(107,'Transfer Engine'!$C$2:$C$1369,0)))</f>
        <v/>
      </c>
      <c r="O116" s="8">
        <f>IF(ISNA(MATCH(107,'Transfer Engine'!$C$2:$C$1369,0)),"",HYPERLINK(INDEX('Compliance Database'!$O$2:$O$1369,MATCH(107,'Transfer Engine'!$C$2:$C$1369,0)),"Open PDF"))</f>
        <v/>
      </c>
    </row>
    <row r="117" ht="188" customHeight="1">
      <c r="A117" s="8">
        <f>IF(ISNA(MATCH(108,'Transfer Engine'!$C$2:$C$1369,0)),"",INDEX('Compliance Database'!$A$2:$A$1369,MATCH(108,'Transfer Engine'!$C$2:$C$1369,0)))</f>
        <v/>
      </c>
      <c r="B117" s="8">
        <f>IF(ISNA(MATCH(108,'Transfer Engine'!$C$2:$C$1369,0)),"",INDEX('Compliance Database'!$B$2:$B$1369,MATCH(108,'Transfer Engine'!$C$2:$C$1369,0)))</f>
        <v/>
      </c>
      <c r="C117" s="8">
        <f>IF(ISNA(MATCH(108,'Transfer Engine'!$C$2:$C$1369,0)),"",INDEX('Compliance Database'!$C$2:$C$1369,MATCH(108,'Transfer Engine'!$C$2:$C$1369,0)))</f>
        <v/>
      </c>
      <c r="D117" s="9">
        <f>IF(ISNA(MATCH(108,'Transfer Engine'!$C$2:$C$1369,0)),"",INDEX('Compliance Database'!$D$2:$D$1369,MATCH(108,'Transfer Engine'!$C$2:$C$1369,0)))</f>
        <v/>
      </c>
      <c r="E117" s="8">
        <f>IF(ISNA(MATCH(108,'Transfer Engine'!$C$2:$C$1369,0)),"",INDEX('Compliance Database'!$E$2:$E$1369,MATCH(108,'Transfer Engine'!$C$2:$C$1369,0)))</f>
        <v/>
      </c>
      <c r="F117" s="8">
        <f>IF(ISNA(MATCH(108,'Transfer Engine'!$C$2:$C$1369,0)),"",INDEX('Compliance Database'!$F$2:$F$1369,MATCH(108,'Transfer Engine'!$C$2:$C$1369,0)))</f>
        <v/>
      </c>
      <c r="G117" s="8">
        <f>IF(ISNA(MATCH(108,'Transfer Engine'!$C$2:$C$1369,0)),"",INDEX('Compliance Database'!$G$2:$G$1369,MATCH(108,'Transfer Engine'!$C$2:$C$1369,0)))</f>
        <v/>
      </c>
      <c r="H117" s="9">
        <f>IF(ISNA(MATCH(108,'Transfer Engine'!$C$2:$C$1369,0)),"",INDEX('Compliance Database'!$H$2:$H$1369,MATCH(108,'Transfer Engine'!$C$2:$C$1369,0)))</f>
        <v/>
      </c>
      <c r="I117" s="9">
        <f>IF(ISNA(MATCH(108,'Transfer Engine'!$C$2:$C$1369,0)),"",INDEX('Compliance Database'!$I$2:$I$1369,MATCH(108,'Transfer Engine'!$C$2:$C$1369,0)))</f>
        <v/>
      </c>
      <c r="J117" s="8">
        <f>IF(ISNA(MATCH(108,'Transfer Engine'!$C$2:$C$1369,0)),"",INDEX('Compliance Database'!$J$2:$J$1369,MATCH(108,'Transfer Engine'!$C$2:$C$1369,0)))</f>
        <v/>
      </c>
      <c r="K117" s="9">
        <f>IF(ISNA(MATCH(108,'Transfer Engine'!$C$2:$C$1369,0)),"",INDEX('Compliance Database'!$K$2:$K$1369,MATCH(108,'Transfer Engine'!$C$2:$C$1369,0)))</f>
        <v/>
      </c>
      <c r="L117" s="9">
        <f>IF(ISNA(MATCH(108,'Transfer Engine'!$C$2:$C$1369,0)),"",INDEX('Compliance Database'!$L$2:$L$1369,MATCH(108,'Transfer Engine'!$C$2:$C$1369,0)))</f>
        <v/>
      </c>
      <c r="M117" s="9">
        <f>IF(ISNA(MATCH(108,'Transfer Engine'!$C$2:$C$1369,0)),"",INDEX('Compliance Database'!$M$2:$M$1369,MATCH(108,'Transfer Engine'!$C$2:$C$1369,0)))</f>
        <v/>
      </c>
      <c r="N117" s="9">
        <f>IF(ISNA(MATCH(108,'Transfer Engine'!$C$2:$C$1369,0)),"",INDEX('Compliance Database'!$N$2:$N$1369,MATCH(108,'Transfer Engine'!$C$2:$C$1369,0)))</f>
        <v/>
      </c>
      <c r="O117" s="8">
        <f>IF(ISNA(MATCH(108,'Transfer Engine'!$C$2:$C$1369,0)),"",HYPERLINK(INDEX('Compliance Database'!$O$2:$O$1369,MATCH(108,'Transfer Engine'!$C$2:$C$1369,0)),"Open PDF"))</f>
        <v/>
      </c>
    </row>
    <row r="118" ht="188" customHeight="1">
      <c r="A118" s="8">
        <f>IF(ISNA(MATCH(109,'Transfer Engine'!$C$2:$C$1369,0)),"",INDEX('Compliance Database'!$A$2:$A$1369,MATCH(109,'Transfer Engine'!$C$2:$C$1369,0)))</f>
        <v/>
      </c>
      <c r="B118" s="8">
        <f>IF(ISNA(MATCH(109,'Transfer Engine'!$C$2:$C$1369,0)),"",INDEX('Compliance Database'!$B$2:$B$1369,MATCH(109,'Transfer Engine'!$C$2:$C$1369,0)))</f>
        <v/>
      </c>
      <c r="C118" s="8">
        <f>IF(ISNA(MATCH(109,'Transfer Engine'!$C$2:$C$1369,0)),"",INDEX('Compliance Database'!$C$2:$C$1369,MATCH(109,'Transfer Engine'!$C$2:$C$1369,0)))</f>
        <v/>
      </c>
      <c r="D118" s="9">
        <f>IF(ISNA(MATCH(109,'Transfer Engine'!$C$2:$C$1369,0)),"",INDEX('Compliance Database'!$D$2:$D$1369,MATCH(109,'Transfer Engine'!$C$2:$C$1369,0)))</f>
        <v/>
      </c>
      <c r="E118" s="8">
        <f>IF(ISNA(MATCH(109,'Transfer Engine'!$C$2:$C$1369,0)),"",INDEX('Compliance Database'!$E$2:$E$1369,MATCH(109,'Transfer Engine'!$C$2:$C$1369,0)))</f>
        <v/>
      </c>
      <c r="F118" s="8">
        <f>IF(ISNA(MATCH(109,'Transfer Engine'!$C$2:$C$1369,0)),"",INDEX('Compliance Database'!$F$2:$F$1369,MATCH(109,'Transfer Engine'!$C$2:$C$1369,0)))</f>
        <v/>
      </c>
      <c r="G118" s="8">
        <f>IF(ISNA(MATCH(109,'Transfer Engine'!$C$2:$C$1369,0)),"",INDEX('Compliance Database'!$G$2:$G$1369,MATCH(109,'Transfer Engine'!$C$2:$C$1369,0)))</f>
        <v/>
      </c>
      <c r="H118" s="9">
        <f>IF(ISNA(MATCH(109,'Transfer Engine'!$C$2:$C$1369,0)),"",INDEX('Compliance Database'!$H$2:$H$1369,MATCH(109,'Transfer Engine'!$C$2:$C$1369,0)))</f>
        <v/>
      </c>
      <c r="I118" s="9">
        <f>IF(ISNA(MATCH(109,'Transfer Engine'!$C$2:$C$1369,0)),"",INDEX('Compliance Database'!$I$2:$I$1369,MATCH(109,'Transfer Engine'!$C$2:$C$1369,0)))</f>
        <v/>
      </c>
      <c r="J118" s="8">
        <f>IF(ISNA(MATCH(109,'Transfer Engine'!$C$2:$C$1369,0)),"",INDEX('Compliance Database'!$J$2:$J$1369,MATCH(109,'Transfer Engine'!$C$2:$C$1369,0)))</f>
        <v/>
      </c>
      <c r="K118" s="9">
        <f>IF(ISNA(MATCH(109,'Transfer Engine'!$C$2:$C$1369,0)),"",INDEX('Compliance Database'!$K$2:$K$1369,MATCH(109,'Transfer Engine'!$C$2:$C$1369,0)))</f>
        <v/>
      </c>
      <c r="L118" s="9">
        <f>IF(ISNA(MATCH(109,'Transfer Engine'!$C$2:$C$1369,0)),"",INDEX('Compliance Database'!$L$2:$L$1369,MATCH(109,'Transfer Engine'!$C$2:$C$1369,0)))</f>
        <v/>
      </c>
      <c r="M118" s="9">
        <f>IF(ISNA(MATCH(109,'Transfer Engine'!$C$2:$C$1369,0)),"",INDEX('Compliance Database'!$M$2:$M$1369,MATCH(109,'Transfer Engine'!$C$2:$C$1369,0)))</f>
        <v/>
      </c>
      <c r="N118" s="9">
        <f>IF(ISNA(MATCH(109,'Transfer Engine'!$C$2:$C$1369,0)),"",INDEX('Compliance Database'!$N$2:$N$1369,MATCH(109,'Transfer Engine'!$C$2:$C$1369,0)))</f>
        <v/>
      </c>
      <c r="O118" s="8">
        <f>IF(ISNA(MATCH(109,'Transfer Engine'!$C$2:$C$1369,0)),"",HYPERLINK(INDEX('Compliance Database'!$O$2:$O$1369,MATCH(109,'Transfer Engine'!$C$2:$C$1369,0)),"Open PDF"))</f>
        <v/>
      </c>
    </row>
    <row r="119" ht="188" customHeight="1">
      <c r="A119" s="8">
        <f>IF(ISNA(MATCH(110,'Transfer Engine'!$C$2:$C$1369,0)),"",INDEX('Compliance Database'!$A$2:$A$1369,MATCH(110,'Transfer Engine'!$C$2:$C$1369,0)))</f>
        <v/>
      </c>
      <c r="B119" s="8">
        <f>IF(ISNA(MATCH(110,'Transfer Engine'!$C$2:$C$1369,0)),"",INDEX('Compliance Database'!$B$2:$B$1369,MATCH(110,'Transfer Engine'!$C$2:$C$1369,0)))</f>
        <v/>
      </c>
      <c r="C119" s="8">
        <f>IF(ISNA(MATCH(110,'Transfer Engine'!$C$2:$C$1369,0)),"",INDEX('Compliance Database'!$C$2:$C$1369,MATCH(110,'Transfer Engine'!$C$2:$C$1369,0)))</f>
        <v/>
      </c>
      <c r="D119" s="9">
        <f>IF(ISNA(MATCH(110,'Transfer Engine'!$C$2:$C$1369,0)),"",INDEX('Compliance Database'!$D$2:$D$1369,MATCH(110,'Transfer Engine'!$C$2:$C$1369,0)))</f>
        <v/>
      </c>
      <c r="E119" s="8">
        <f>IF(ISNA(MATCH(110,'Transfer Engine'!$C$2:$C$1369,0)),"",INDEX('Compliance Database'!$E$2:$E$1369,MATCH(110,'Transfer Engine'!$C$2:$C$1369,0)))</f>
        <v/>
      </c>
      <c r="F119" s="8">
        <f>IF(ISNA(MATCH(110,'Transfer Engine'!$C$2:$C$1369,0)),"",INDEX('Compliance Database'!$F$2:$F$1369,MATCH(110,'Transfer Engine'!$C$2:$C$1369,0)))</f>
        <v/>
      </c>
      <c r="G119" s="8">
        <f>IF(ISNA(MATCH(110,'Transfer Engine'!$C$2:$C$1369,0)),"",INDEX('Compliance Database'!$G$2:$G$1369,MATCH(110,'Transfer Engine'!$C$2:$C$1369,0)))</f>
        <v/>
      </c>
      <c r="H119" s="9">
        <f>IF(ISNA(MATCH(110,'Transfer Engine'!$C$2:$C$1369,0)),"",INDEX('Compliance Database'!$H$2:$H$1369,MATCH(110,'Transfer Engine'!$C$2:$C$1369,0)))</f>
        <v/>
      </c>
      <c r="I119" s="9">
        <f>IF(ISNA(MATCH(110,'Transfer Engine'!$C$2:$C$1369,0)),"",INDEX('Compliance Database'!$I$2:$I$1369,MATCH(110,'Transfer Engine'!$C$2:$C$1369,0)))</f>
        <v/>
      </c>
      <c r="J119" s="8">
        <f>IF(ISNA(MATCH(110,'Transfer Engine'!$C$2:$C$1369,0)),"",INDEX('Compliance Database'!$J$2:$J$1369,MATCH(110,'Transfer Engine'!$C$2:$C$1369,0)))</f>
        <v/>
      </c>
      <c r="K119" s="9">
        <f>IF(ISNA(MATCH(110,'Transfer Engine'!$C$2:$C$1369,0)),"",INDEX('Compliance Database'!$K$2:$K$1369,MATCH(110,'Transfer Engine'!$C$2:$C$1369,0)))</f>
        <v/>
      </c>
      <c r="L119" s="9">
        <f>IF(ISNA(MATCH(110,'Transfer Engine'!$C$2:$C$1369,0)),"",INDEX('Compliance Database'!$L$2:$L$1369,MATCH(110,'Transfer Engine'!$C$2:$C$1369,0)))</f>
        <v/>
      </c>
      <c r="M119" s="9">
        <f>IF(ISNA(MATCH(110,'Transfer Engine'!$C$2:$C$1369,0)),"",INDEX('Compliance Database'!$M$2:$M$1369,MATCH(110,'Transfer Engine'!$C$2:$C$1369,0)))</f>
        <v/>
      </c>
      <c r="N119" s="9">
        <f>IF(ISNA(MATCH(110,'Transfer Engine'!$C$2:$C$1369,0)),"",INDEX('Compliance Database'!$N$2:$N$1369,MATCH(110,'Transfer Engine'!$C$2:$C$1369,0)))</f>
        <v/>
      </c>
      <c r="O119" s="8">
        <f>IF(ISNA(MATCH(110,'Transfer Engine'!$C$2:$C$1369,0)),"",HYPERLINK(INDEX('Compliance Database'!$O$2:$O$1369,MATCH(110,'Transfer Engine'!$C$2:$C$1369,0)),"Open PDF"))</f>
        <v/>
      </c>
    </row>
    <row r="120" ht="188" customHeight="1">
      <c r="A120" s="8">
        <f>IF(ISNA(MATCH(111,'Transfer Engine'!$C$2:$C$1369,0)),"",INDEX('Compliance Database'!$A$2:$A$1369,MATCH(111,'Transfer Engine'!$C$2:$C$1369,0)))</f>
        <v/>
      </c>
      <c r="B120" s="8">
        <f>IF(ISNA(MATCH(111,'Transfer Engine'!$C$2:$C$1369,0)),"",INDEX('Compliance Database'!$B$2:$B$1369,MATCH(111,'Transfer Engine'!$C$2:$C$1369,0)))</f>
        <v/>
      </c>
      <c r="C120" s="8">
        <f>IF(ISNA(MATCH(111,'Transfer Engine'!$C$2:$C$1369,0)),"",INDEX('Compliance Database'!$C$2:$C$1369,MATCH(111,'Transfer Engine'!$C$2:$C$1369,0)))</f>
        <v/>
      </c>
      <c r="D120" s="9">
        <f>IF(ISNA(MATCH(111,'Transfer Engine'!$C$2:$C$1369,0)),"",INDEX('Compliance Database'!$D$2:$D$1369,MATCH(111,'Transfer Engine'!$C$2:$C$1369,0)))</f>
        <v/>
      </c>
      <c r="E120" s="8">
        <f>IF(ISNA(MATCH(111,'Transfer Engine'!$C$2:$C$1369,0)),"",INDEX('Compliance Database'!$E$2:$E$1369,MATCH(111,'Transfer Engine'!$C$2:$C$1369,0)))</f>
        <v/>
      </c>
      <c r="F120" s="8">
        <f>IF(ISNA(MATCH(111,'Transfer Engine'!$C$2:$C$1369,0)),"",INDEX('Compliance Database'!$F$2:$F$1369,MATCH(111,'Transfer Engine'!$C$2:$C$1369,0)))</f>
        <v/>
      </c>
      <c r="G120" s="8">
        <f>IF(ISNA(MATCH(111,'Transfer Engine'!$C$2:$C$1369,0)),"",INDEX('Compliance Database'!$G$2:$G$1369,MATCH(111,'Transfer Engine'!$C$2:$C$1369,0)))</f>
        <v/>
      </c>
      <c r="H120" s="9">
        <f>IF(ISNA(MATCH(111,'Transfer Engine'!$C$2:$C$1369,0)),"",INDEX('Compliance Database'!$H$2:$H$1369,MATCH(111,'Transfer Engine'!$C$2:$C$1369,0)))</f>
        <v/>
      </c>
      <c r="I120" s="9">
        <f>IF(ISNA(MATCH(111,'Transfer Engine'!$C$2:$C$1369,0)),"",INDEX('Compliance Database'!$I$2:$I$1369,MATCH(111,'Transfer Engine'!$C$2:$C$1369,0)))</f>
        <v/>
      </c>
      <c r="J120" s="8">
        <f>IF(ISNA(MATCH(111,'Transfer Engine'!$C$2:$C$1369,0)),"",INDEX('Compliance Database'!$J$2:$J$1369,MATCH(111,'Transfer Engine'!$C$2:$C$1369,0)))</f>
        <v/>
      </c>
      <c r="K120" s="9">
        <f>IF(ISNA(MATCH(111,'Transfer Engine'!$C$2:$C$1369,0)),"",INDEX('Compliance Database'!$K$2:$K$1369,MATCH(111,'Transfer Engine'!$C$2:$C$1369,0)))</f>
        <v/>
      </c>
      <c r="L120" s="9">
        <f>IF(ISNA(MATCH(111,'Transfer Engine'!$C$2:$C$1369,0)),"",INDEX('Compliance Database'!$L$2:$L$1369,MATCH(111,'Transfer Engine'!$C$2:$C$1369,0)))</f>
        <v/>
      </c>
      <c r="M120" s="9">
        <f>IF(ISNA(MATCH(111,'Transfer Engine'!$C$2:$C$1369,0)),"",INDEX('Compliance Database'!$M$2:$M$1369,MATCH(111,'Transfer Engine'!$C$2:$C$1369,0)))</f>
        <v/>
      </c>
      <c r="N120" s="9">
        <f>IF(ISNA(MATCH(111,'Transfer Engine'!$C$2:$C$1369,0)),"",INDEX('Compliance Database'!$N$2:$N$1369,MATCH(111,'Transfer Engine'!$C$2:$C$1369,0)))</f>
        <v/>
      </c>
      <c r="O120" s="8">
        <f>IF(ISNA(MATCH(111,'Transfer Engine'!$C$2:$C$1369,0)),"",HYPERLINK(INDEX('Compliance Database'!$O$2:$O$1369,MATCH(111,'Transfer Engine'!$C$2:$C$1369,0)),"Open PDF"))</f>
        <v/>
      </c>
    </row>
    <row r="121" ht="188" customHeight="1">
      <c r="A121" s="8">
        <f>IF(ISNA(MATCH(112,'Transfer Engine'!$C$2:$C$1369,0)),"",INDEX('Compliance Database'!$A$2:$A$1369,MATCH(112,'Transfer Engine'!$C$2:$C$1369,0)))</f>
        <v/>
      </c>
      <c r="B121" s="8">
        <f>IF(ISNA(MATCH(112,'Transfer Engine'!$C$2:$C$1369,0)),"",INDEX('Compliance Database'!$B$2:$B$1369,MATCH(112,'Transfer Engine'!$C$2:$C$1369,0)))</f>
        <v/>
      </c>
      <c r="C121" s="8">
        <f>IF(ISNA(MATCH(112,'Transfer Engine'!$C$2:$C$1369,0)),"",INDEX('Compliance Database'!$C$2:$C$1369,MATCH(112,'Transfer Engine'!$C$2:$C$1369,0)))</f>
        <v/>
      </c>
      <c r="D121" s="9">
        <f>IF(ISNA(MATCH(112,'Transfer Engine'!$C$2:$C$1369,0)),"",INDEX('Compliance Database'!$D$2:$D$1369,MATCH(112,'Transfer Engine'!$C$2:$C$1369,0)))</f>
        <v/>
      </c>
      <c r="E121" s="8">
        <f>IF(ISNA(MATCH(112,'Transfer Engine'!$C$2:$C$1369,0)),"",INDEX('Compliance Database'!$E$2:$E$1369,MATCH(112,'Transfer Engine'!$C$2:$C$1369,0)))</f>
        <v/>
      </c>
      <c r="F121" s="8">
        <f>IF(ISNA(MATCH(112,'Transfer Engine'!$C$2:$C$1369,0)),"",INDEX('Compliance Database'!$F$2:$F$1369,MATCH(112,'Transfer Engine'!$C$2:$C$1369,0)))</f>
        <v/>
      </c>
      <c r="G121" s="8">
        <f>IF(ISNA(MATCH(112,'Transfer Engine'!$C$2:$C$1369,0)),"",INDEX('Compliance Database'!$G$2:$G$1369,MATCH(112,'Transfer Engine'!$C$2:$C$1369,0)))</f>
        <v/>
      </c>
      <c r="H121" s="9">
        <f>IF(ISNA(MATCH(112,'Transfer Engine'!$C$2:$C$1369,0)),"",INDEX('Compliance Database'!$H$2:$H$1369,MATCH(112,'Transfer Engine'!$C$2:$C$1369,0)))</f>
        <v/>
      </c>
      <c r="I121" s="9">
        <f>IF(ISNA(MATCH(112,'Transfer Engine'!$C$2:$C$1369,0)),"",INDEX('Compliance Database'!$I$2:$I$1369,MATCH(112,'Transfer Engine'!$C$2:$C$1369,0)))</f>
        <v/>
      </c>
      <c r="J121" s="8">
        <f>IF(ISNA(MATCH(112,'Transfer Engine'!$C$2:$C$1369,0)),"",INDEX('Compliance Database'!$J$2:$J$1369,MATCH(112,'Transfer Engine'!$C$2:$C$1369,0)))</f>
        <v/>
      </c>
      <c r="K121" s="9">
        <f>IF(ISNA(MATCH(112,'Transfer Engine'!$C$2:$C$1369,0)),"",INDEX('Compliance Database'!$K$2:$K$1369,MATCH(112,'Transfer Engine'!$C$2:$C$1369,0)))</f>
        <v/>
      </c>
      <c r="L121" s="9">
        <f>IF(ISNA(MATCH(112,'Transfer Engine'!$C$2:$C$1369,0)),"",INDEX('Compliance Database'!$L$2:$L$1369,MATCH(112,'Transfer Engine'!$C$2:$C$1369,0)))</f>
        <v/>
      </c>
      <c r="M121" s="9">
        <f>IF(ISNA(MATCH(112,'Transfer Engine'!$C$2:$C$1369,0)),"",INDEX('Compliance Database'!$M$2:$M$1369,MATCH(112,'Transfer Engine'!$C$2:$C$1369,0)))</f>
        <v/>
      </c>
      <c r="N121" s="9">
        <f>IF(ISNA(MATCH(112,'Transfer Engine'!$C$2:$C$1369,0)),"",INDEX('Compliance Database'!$N$2:$N$1369,MATCH(112,'Transfer Engine'!$C$2:$C$1369,0)))</f>
        <v/>
      </c>
      <c r="O121" s="8">
        <f>IF(ISNA(MATCH(112,'Transfer Engine'!$C$2:$C$1369,0)),"",HYPERLINK(INDEX('Compliance Database'!$O$2:$O$1369,MATCH(112,'Transfer Engine'!$C$2:$C$1369,0)),"Open PDF"))</f>
        <v/>
      </c>
    </row>
    <row r="122" ht="188" customHeight="1">
      <c r="A122" s="8">
        <f>IF(ISNA(MATCH(113,'Transfer Engine'!$C$2:$C$1369,0)),"",INDEX('Compliance Database'!$A$2:$A$1369,MATCH(113,'Transfer Engine'!$C$2:$C$1369,0)))</f>
        <v/>
      </c>
      <c r="B122" s="8">
        <f>IF(ISNA(MATCH(113,'Transfer Engine'!$C$2:$C$1369,0)),"",INDEX('Compliance Database'!$B$2:$B$1369,MATCH(113,'Transfer Engine'!$C$2:$C$1369,0)))</f>
        <v/>
      </c>
      <c r="C122" s="8">
        <f>IF(ISNA(MATCH(113,'Transfer Engine'!$C$2:$C$1369,0)),"",INDEX('Compliance Database'!$C$2:$C$1369,MATCH(113,'Transfer Engine'!$C$2:$C$1369,0)))</f>
        <v/>
      </c>
      <c r="D122" s="9">
        <f>IF(ISNA(MATCH(113,'Transfer Engine'!$C$2:$C$1369,0)),"",INDEX('Compliance Database'!$D$2:$D$1369,MATCH(113,'Transfer Engine'!$C$2:$C$1369,0)))</f>
        <v/>
      </c>
      <c r="E122" s="8">
        <f>IF(ISNA(MATCH(113,'Transfer Engine'!$C$2:$C$1369,0)),"",INDEX('Compliance Database'!$E$2:$E$1369,MATCH(113,'Transfer Engine'!$C$2:$C$1369,0)))</f>
        <v/>
      </c>
      <c r="F122" s="8">
        <f>IF(ISNA(MATCH(113,'Transfer Engine'!$C$2:$C$1369,0)),"",INDEX('Compliance Database'!$F$2:$F$1369,MATCH(113,'Transfer Engine'!$C$2:$C$1369,0)))</f>
        <v/>
      </c>
      <c r="G122" s="8">
        <f>IF(ISNA(MATCH(113,'Transfer Engine'!$C$2:$C$1369,0)),"",INDEX('Compliance Database'!$G$2:$G$1369,MATCH(113,'Transfer Engine'!$C$2:$C$1369,0)))</f>
        <v/>
      </c>
      <c r="H122" s="9">
        <f>IF(ISNA(MATCH(113,'Transfer Engine'!$C$2:$C$1369,0)),"",INDEX('Compliance Database'!$H$2:$H$1369,MATCH(113,'Transfer Engine'!$C$2:$C$1369,0)))</f>
        <v/>
      </c>
      <c r="I122" s="9">
        <f>IF(ISNA(MATCH(113,'Transfer Engine'!$C$2:$C$1369,0)),"",INDEX('Compliance Database'!$I$2:$I$1369,MATCH(113,'Transfer Engine'!$C$2:$C$1369,0)))</f>
        <v/>
      </c>
      <c r="J122" s="8">
        <f>IF(ISNA(MATCH(113,'Transfer Engine'!$C$2:$C$1369,0)),"",INDEX('Compliance Database'!$J$2:$J$1369,MATCH(113,'Transfer Engine'!$C$2:$C$1369,0)))</f>
        <v/>
      </c>
      <c r="K122" s="9">
        <f>IF(ISNA(MATCH(113,'Transfer Engine'!$C$2:$C$1369,0)),"",INDEX('Compliance Database'!$K$2:$K$1369,MATCH(113,'Transfer Engine'!$C$2:$C$1369,0)))</f>
        <v/>
      </c>
      <c r="L122" s="9">
        <f>IF(ISNA(MATCH(113,'Transfer Engine'!$C$2:$C$1369,0)),"",INDEX('Compliance Database'!$L$2:$L$1369,MATCH(113,'Transfer Engine'!$C$2:$C$1369,0)))</f>
        <v/>
      </c>
      <c r="M122" s="9">
        <f>IF(ISNA(MATCH(113,'Transfer Engine'!$C$2:$C$1369,0)),"",INDEX('Compliance Database'!$M$2:$M$1369,MATCH(113,'Transfer Engine'!$C$2:$C$1369,0)))</f>
        <v/>
      </c>
      <c r="N122" s="9">
        <f>IF(ISNA(MATCH(113,'Transfer Engine'!$C$2:$C$1369,0)),"",INDEX('Compliance Database'!$N$2:$N$1369,MATCH(113,'Transfer Engine'!$C$2:$C$1369,0)))</f>
        <v/>
      </c>
      <c r="O122" s="8">
        <f>IF(ISNA(MATCH(113,'Transfer Engine'!$C$2:$C$1369,0)),"",HYPERLINK(INDEX('Compliance Database'!$O$2:$O$1369,MATCH(113,'Transfer Engine'!$C$2:$C$1369,0)),"Open PDF"))</f>
        <v/>
      </c>
    </row>
    <row r="123" ht="188" customHeight="1">
      <c r="A123" s="8">
        <f>IF(ISNA(MATCH(114,'Transfer Engine'!$C$2:$C$1369,0)),"",INDEX('Compliance Database'!$A$2:$A$1369,MATCH(114,'Transfer Engine'!$C$2:$C$1369,0)))</f>
        <v/>
      </c>
      <c r="B123" s="8">
        <f>IF(ISNA(MATCH(114,'Transfer Engine'!$C$2:$C$1369,0)),"",INDEX('Compliance Database'!$B$2:$B$1369,MATCH(114,'Transfer Engine'!$C$2:$C$1369,0)))</f>
        <v/>
      </c>
      <c r="C123" s="8">
        <f>IF(ISNA(MATCH(114,'Transfer Engine'!$C$2:$C$1369,0)),"",INDEX('Compliance Database'!$C$2:$C$1369,MATCH(114,'Transfer Engine'!$C$2:$C$1369,0)))</f>
        <v/>
      </c>
      <c r="D123" s="9">
        <f>IF(ISNA(MATCH(114,'Transfer Engine'!$C$2:$C$1369,0)),"",INDEX('Compliance Database'!$D$2:$D$1369,MATCH(114,'Transfer Engine'!$C$2:$C$1369,0)))</f>
        <v/>
      </c>
      <c r="E123" s="8">
        <f>IF(ISNA(MATCH(114,'Transfer Engine'!$C$2:$C$1369,0)),"",INDEX('Compliance Database'!$E$2:$E$1369,MATCH(114,'Transfer Engine'!$C$2:$C$1369,0)))</f>
        <v/>
      </c>
      <c r="F123" s="8">
        <f>IF(ISNA(MATCH(114,'Transfer Engine'!$C$2:$C$1369,0)),"",INDEX('Compliance Database'!$F$2:$F$1369,MATCH(114,'Transfer Engine'!$C$2:$C$1369,0)))</f>
        <v/>
      </c>
      <c r="G123" s="8">
        <f>IF(ISNA(MATCH(114,'Transfer Engine'!$C$2:$C$1369,0)),"",INDEX('Compliance Database'!$G$2:$G$1369,MATCH(114,'Transfer Engine'!$C$2:$C$1369,0)))</f>
        <v/>
      </c>
      <c r="H123" s="9">
        <f>IF(ISNA(MATCH(114,'Transfer Engine'!$C$2:$C$1369,0)),"",INDEX('Compliance Database'!$H$2:$H$1369,MATCH(114,'Transfer Engine'!$C$2:$C$1369,0)))</f>
        <v/>
      </c>
      <c r="I123" s="9">
        <f>IF(ISNA(MATCH(114,'Transfer Engine'!$C$2:$C$1369,0)),"",INDEX('Compliance Database'!$I$2:$I$1369,MATCH(114,'Transfer Engine'!$C$2:$C$1369,0)))</f>
        <v/>
      </c>
      <c r="J123" s="8">
        <f>IF(ISNA(MATCH(114,'Transfer Engine'!$C$2:$C$1369,0)),"",INDEX('Compliance Database'!$J$2:$J$1369,MATCH(114,'Transfer Engine'!$C$2:$C$1369,0)))</f>
        <v/>
      </c>
      <c r="K123" s="9">
        <f>IF(ISNA(MATCH(114,'Transfer Engine'!$C$2:$C$1369,0)),"",INDEX('Compliance Database'!$K$2:$K$1369,MATCH(114,'Transfer Engine'!$C$2:$C$1369,0)))</f>
        <v/>
      </c>
      <c r="L123" s="9">
        <f>IF(ISNA(MATCH(114,'Transfer Engine'!$C$2:$C$1369,0)),"",INDEX('Compliance Database'!$L$2:$L$1369,MATCH(114,'Transfer Engine'!$C$2:$C$1369,0)))</f>
        <v/>
      </c>
      <c r="M123" s="9">
        <f>IF(ISNA(MATCH(114,'Transfer Engine'!$C$2:$C$1369,0)),"",INDEX('Compliance Database'!$M$2:$M$1369,MATCH(114,'Transfer Engine'!$C$2:$C$1369,0)))</f>
        <v/>
      </c>
      <c r="N123" s="9">
        <f>IF(ISNA(MATCH(114,'Transfer Engine'!$C$2:$C$1369,0)),"",INDEX('Compliance Database'!$N$2:$N$1369,MATCH(114,'Transfer Engine'!$C$2:$C$1369,0)))</f>
        <v/>
      </c>
      <c r="O123" s="8">
        <f>IF(ISNA(MATCH(114,'Transfer Engine'!$C$2:$C$1369,0)),"",HYPERLINK(INDEX('Compliance Database'!$O$2:$O$1369,MATCH(114,'Transfer Engine'!$C$2:$C$1369,0)),"Open PDF"))</f>
        <v/>
      </c>
    </row>
    <row r="124" ht="188" customHeight="1">
      <c r="A124" s="8">
        <f>IF(ISNA(MATCH(115,'Transfer Engine'!$C$2:$C$1369,0)),"",INDEX('Compliance Database'!$A$2:$A$1369,MATCH(115,'Transfer Engine'!$C$2:$C$1369,0)))</f>
        <v/>
      </c>
      <c r="B124" s="8">
        <f>IF(ISNA(MATCH(115,'Transfer Engine'!$C$2:$C$1369,0)),"",INDEX('Compliance Database'!$B$2:$B$1369,MATCH(115,'Transfer Engine'!$C$2:$C$1369,0)))</f>
        <v/>
      </c>
      <c r="C124" s="8">
        <f>IF(ISNA(MATCH(115,'Transfer Engine'!$C$2:$C$1369,0)),"",INDEX('Compliance Database'!$C$2:$C$1369,MATCH(115,'Transfer Engine'!$C$2:$C$1369,0)))</f>
        <v/>
      </c>
      <c r="D124" s="9">
        <f>IF(ISNA(MATCH(115,'Transfer Engine'!$C$2:$C$1369,0)),"",INDEX('Compliance Database'!$D$2:$D$1369,MATCH(115,'Transfer Engine'!$C$2:$C$1369,0)))</f>
        <v/>
      </c>
      <c r="E124" s="8">
        <f>IF(ISNA(MATCH(115,'Transfer Engine'!$C$2:$C$1369,0)),"",INDEX('Compliance Database'!$E$2:$E$1369,MATCH(115,'Transfer Engine'!$C$2:$C$1369,0)))</f>
        <v/>
      </c>
      <c r="F124" s="8">
        <f>IF(ISNA(MATCH(115,'Transfer Engine'!$C$2:$C$1369,0)),"",INDEX('Compliance Database'!$F$2:$F$1369,MATCH(115,'Transfer Engine'!$C$2:$C$1369,0)))</f>
        <v/>
      </c>
      <c r="G124" s="8">
        <f>IF(ISNA(MATCH(115,'Transfer Engine'!$C$2:$C$1369,0)),"",INDEX('Compliance Database'!$G$2:$G$1369,MATCH(115,'Transfer Engine'!$C$2:$C$1369,0)))</f>
        <v/>
      </c>
      <c r="H124" s="9">
        <f>IF(ISNA(MATCH(115,'Transfer Engine'!$C$2:$C$1369,0)),"",INDEX('Compliance Database'!$H$2:$H$1369,MATCH(115,'Transfer Engine'!$C$2:$C$1369,0)))</f>
        <v/>
      </c>
      <c r="I124" s="9">
        <f>IF(ISNA(MATCH(115,'Transfer Engine'!$C$2:$C$1369,0)),"",INDEX('Compliance Database'!$I$2:$I$1369,MATCH(115,'Transfer Engine'!$C$2:$C$1369,0)))</f>
        <v/>
      </c>
      <c r="J124" s="8">
        <f>IF(ISNA(MATCH(115,'Transfer Engine'!$C$2:$C$1369,0)),"",INDEX('Compliance Database'!$J$2:$J$1369,MATCH(115,'Transfer Engine'!$C$2:$C$1369,0)))</f>
        <v/>
      </c>
      <c r="K124" s="9">
        <f>IF(ISNA(MATCH(115,'Transfer Engine'!$C$2:$C$1369,0)),"",INDEX('Compliance Database'!$K$2:$K$1369,MATCH(115,'Transfer Engine'!$C$2:$C$1369,0)))</f>
        <v/>
      </c>
      <c r="L124" s="9">
        <f>IF(ISNA(MATCH(115,'Transfer Engine'!$C$2:$C$1369,0)),"",INDEX('Compliance Database'!$L$2:$L$1369,MATCH(115,'Transfer Engine'!$C$2:$C$1369,0)))</f>
        <v/>
      </c>
      <c r="M124" s="9">
        <f>IF(ISNA(MATCH(115,'Transfer Engine'!$C$2:$C$1369,0)),"",INDEX('Compliance Database'!$M$2:$M$1369,MATCH(115,'Transfer Engine'!$C$2:$C$1369,0)))</f>
        <v/>
      </c>
      <c r="N124" s="9">
        <f>IF(ISNA(MATCH(115,'Transfer Engine'!$C$2:$C$1369,0)),"",INDEX('Compliance Database'!$N$2:$N$1369,MATCH(115,'Transfer Engine'!$C$2:$C$1369,0)))</f>
        <v/>
      </c>
      <c r="O124" s="8">
        <f>IF(ISNA(MATCH(115,'Transfer Engine'!$C$2:$C$1369,0)),"",HYPERLINK(INDEX('Compliance Database'!$O$2:$O$1369,MATCH(115,'Transfer Engine'!$C$2:$C$1369,0)),"Open PDF"))</f>
        <v/>
      </c>
    </row>
    <row r="125" ht="188" customHeight="1">
      <c r="A125" s="8">
        <f>IF(ISNA(MATCH(116,'Transfer Engine'!$C$2:$C$1369,0)),"",INDEX('Compliance Database'!$A$2:$A$1369,MATCH(116,'Transfer Engine'!$C$2:$C$1369,0)))</f>
        <v/>
      </c>
      <c r="B125" s="8">
        <f>IF(ISNA(MATCH(116,'Transfer Engine'!$C$2:$C$1369,0)),"",INDEX('Compliance Database'!$B$2:$B$1369,MATCH(116,'Transfer Engine'!$C$2:$C$1369,0)))</f>
        <v/>
      </c>
      <c r="C125" s="8">
        <f>IF(ISNA(MATCH(116,'Transfer Engine'!$C$2:$C$1369,0)),"",INDEX('Compliance Database'!$C$2:$C$1369,MATCH(116,'Transfer Engine'!$C$2:$C$1369,0)))</f>
        <v/>
      </c>
      <c r="D125" s="9">
        <f>IF(ISNA(MATCH(116,'Transfer Engine'!$C$2:$C$1369,0)),"",INDEX('Compliance Database'!$D$2:$D$1369,MATCH(116,'Transfer Engine'!$C$2:$C$1369,0)))</f>
        <v/>
      </c>
      <c r="E125" s="8">
        <f>IF(ISNA(MATCH(116,'Transfer Engine'!$C$2:$C$1369,0)),"",INDEX('Compliance Database'!$E$2:$E$1369,MATCH(116,'Transfer Engine'!$C$2:$C$1369,0)))</f>
        <v/>
      </c>
      <c r="F125" s="8">
        <f>IF(ISNA(MATCH(116,'Transfer Engine'!$C$2:$C$1369,0)),"",INDEX('Compliance Database'!$F$2:$F$1369,MATCH(116,'Transfer Engine'!$C$2:$C$1369,0)))</f>
        <v/>
      </c>
      <c r="G125" s="8">
        <f>IF(ISNA(MATCH(116,'Transfer Engine'!$C$2:$C$1369,0)),"",INDEX('Compliance Database'!$G$2:$G$1369,MATCH(116,'Transfer Engine'!$C$2:$C$1369,0)))</f>
        <v/>
      </c>
      <c r="H125" s="9">
        <f>IF(ISNA(MATCH(116,'Transfer Engine'!$C$2:$C$1369,0)),"",INDEX('Compliance Database'!$H$2:$H$1369,MATCH(116,'Transfer Engine'!$C$2:$C$1369,0)))</f>
        <v/>
      </c>
      <c r="I125" s="9">
        <f>IF(ISNA(MATCH(116,'Transfer Engine'!$C$2:$C$1369,0)),"",INDEX('Compliance Database'!$I$2:$I$1369,MATCH(116,'Transfer Engine'!$C$2:$C$1369,0)))</f>
        <v/>
      </c>
      <c r="J125" s="8">
        <f>IF(ISNA(MATCH(116,'Transfer Engine'!$C$2:$C$1369,0)),"",INDEX('Compliance Database'!$J$2:$J$1369,MATCH(116,'Transfer Engine'!$C$2:$C$1369,0)))</f>
        <v/>
      </c>
      <c r="K125" s="9">
        <f>IF(ISNA(MATCH(116,'Transfer Engine'!$C$2:$C$1369,0)),"",INDEX('Compliance Database'!$K$2:$K$1369,MATCH(116,'Transfer Engine'!$C$2:$C$1369,0)))</f>
        <v/>
      </c>
      <c r="L125" s="9">
        <f>IF(ISNA(MATCH(116,'Transfer Engine'!$C$2:$C$1369,0)),"",INDEX('Compliance Database'!$L$2:$L$1369,MATCH(116,'Transfer Engine'!$C$2:$C$1369,0)))</f>
        <v/>
      </c>
      <c r="M125" s="9">
        <f>IF(ISNA(MATCH(116,'Transfer Engine'!$C$2:$C$1369,0)),"",INDEX('Compliance Database'!$M$2:$M$1369,MATCH(116,'Transfer Engine'!$C$2:$C$1369,0)))</f>
        <v/>
      </c>
      <c r="N125" s="9">
        <f>IF(ISNA(MATCH(116,'Transfer Engine'!$C$2:$C$1369,0)),"",INDEX('Compliance Database'!$N$2:$N$1369,MATCH(116,'Transfer Engine'!$C$2:$C$1369,0)))</f>
        <v/>
      </c>
      <c r="O125" s="8">
        <f>IF(ISNA(MATCH(116,'Transfer Engine'!$C$2:$C$1369,0)),"",HYPERLINK(INDEX('Compliance Database'!$O$2:$O$1369,MATCH(116,'Transfer Engine'!$C$2:$C$1369,0)),"Open PDF"))</f>
        <v/>
      </c>
    </row>
    <row r="126" ht="188" customHeight="1">
      <c r="A126" s="8">
        <f>IF(ISNA(MATCH(117,'Transfer Engine'!$C$2:$C$1369,0)),"",INDEX('Compliance Database'!$A$2:$A$1369,MATCH(117,'Transfer Engine'!$C$2:$C$1369,0)))</f>
        <v/>
      </c>
      <c r="B126" s="8">
        <f>IF(ISNA(MATCH(117,'Transfer Engine'!$C$2:$C$1369,0)),"",INDEX('Compliance Database'!$B$2:$B$1369,MATCH(117,'Transfer Engine'!$C$2:$C$1369,0)))</f>
        <v/>
      </c>
      <c r="C126" s="8">
        <f>IF(ISNA(MATCH(117,'Transfer Engine'!$C$2:$C$1369,0)),"",INDEX('Compliance Database'!$C$2:$C$1369,MATCH(117,'Transfer Engine'!$C$2:$C$1369,0)))</f>
        <v/>
      </c>
      <c r="D126" s="9">
        <f>IF(ISNA(MATCH(117,'Transfer Engine'!$C$2:$C$1369,0)),"",INDEX('Compliance Database'!$D$2:$D$1369,MATCH(117,'Transfer Engine'!$C$2:$C$1369,0)))</f>
        <v/>
      </c>
      <c r="E126" s="8">
        <f>IF(ISNA(MATCH(117,'Transfer Engine'!$C$2:$C$1369,0)),"",INDEX('Compliance Database'!$E$2:$E$1369,MATCH(117,'Transfer Engine'!$C$2:$C$1369,0)))</f>
        <v/>
      </c>
      <c r="F126" s="8">
        <f>IF(ISNA(MATCH(117,'Transfer Engine'!$C$2:$C$1369,0)),"",INDEX('Compliance Database'!$F$2:$F$1369,MATCH(117,'Transfer Engine'!$C$2:$C$1369,0)))</f>
        <v/>
      </c>
      <c r="G126" s="8">
        <f>IF(ISNA(MATCH(117,'Transfer Engine'!$C$2:$C$1369,0)),"",INDEX('Compliance Database'!$G$2:$G$1369,MATCH(117,'Transfer Engine'!$C$2:$C$1369,0)))</f>
        <v/>
      </c>
      <c r="H126" s="9">
        <f>IF(ISNA(MATCH(117,'Transfer Engine'!$C$2:$C$1369,0)),"",INDEX('Compliance Database'!$H$2:$H$1369,MATCH(117,'Transfer Engine'!$C$2:$C$1369,0)))</f>
        <v/>
      </c>
      <c r="I126" s="9">
        <f>IF(ISNA(MATCH(117,'Transfer Engine'!$C$2:$C$1369,0)),"",INDEX('Compliance Database'!$I$2:$I$1369,MATCH(117,'Transfer Engine'!$C$2:$C$1369,0)))</f>
        <v/>
      </c>
      <c r="J126" s="8">
        <f>IF(ISNA(MATCH(117,'Transfer Engine'!$C$2:$C$1369,0)),"",INDEX('Compliance Database'!$J$2:$J$1369,MATCH(117,'Transfer Engine'!$C$2:$C$1369,0)))</f>
        <v/>
      </c>
      <c r="K126" s="9">
        <f>IF(ISNA(MATCH(117,'Transfer Engine'!$C$2:$C$1369,0)),"",INDEX('Compliance Database'!$K$2:$K$1369,MATCH(117,'Transfer Engine'!$C$2:$C$1369,0)))</f>
        <v/>
      </c>
      <c r="L126" s="9">
        <f>IF(ISNA(MATCH(117,'Transfer Engine'!$C$2:$C$1369,0)),"",INDEX('Compliance Database'!$L$2:$L$1369,MATCH(117,'Transfer Engine'!$C$2:$C$1369,0)))</f>
        <v/>
      </c>
      <c r="M126" s="9">
        <f>IF(ISNA(MATCH(117,'Transfer Engine'!$C$2:$C$1369,0)),"",INDEX('Compliance Database'!$M$2:$M$1369,MATCH(117,'Transfer Engine'!$C$2:$C$1369,0)))</f>
        <v/>
      </c>
      <c r="N126" s="9">
        <f>IF(ISNA(MATCH(117,'Transfer Engine'!$C$2:$C$1369,0)),"",INDEX('Compliance Database'!$N$2:$N$1369,MATCH(117,'Transfer Engine'!$C$2:$C$1369,0)))</f>
        <v/>
      </c>
      <c r="O126" s="8">
        <f>IF(ISNA(MATCH(117,'Transfer Engine'!$C$2:$C$1369,0)),"",HYPERLINK(INDEX('Compliance Database'!$O$2:$O$1369,MATCH(117,'Transfer Engine'!$C$2:$C$1369,0)),"Open PDF"))</f>
        <v/>
      </c>
    </row>
    <row r="127" ht="188" customHeight="1">
      <c r="A127" s="8">
        <f>IF(ISNA(MATCH(118,'Transfer Engine'!$C$2:$C$1369,0)),"",INDEX('Compliance Database'!$A$2:$A$1369,MATCH(118,'Transfer Engine'!$C$2:$C$1369,0)))</f>
        <v/>
      </c>
      <c r="B127" s="8">
        <f>IF(ISNA(MATCH(118,'Transfer Engine'!$C$2:$C$1369,0)),"",INDEX('Compliance Database'!$B$2:$B$1369,MATCH(118,'Transfer Engine'!$C$2:$C$1369,0)))</f>
        <v/>
      </c>
      <c r="C127" s="8">
        <f>IF(ISNA(MATCH(118,'Transfer Engine'!$C$2:$C$1369,0)),"",INDEX('Compliance Database'!$C$2:$C$1369,MATCH(118,'Transfer Engine'!$C$2:$C$1369,0)))</f>
        <v/>
      </c>
      <c r="D127" s="9">
        <f>IF(ISNA(MATCH(118,'Transfer Engine'!$C$2:$C$1369,0)),"",INDEX('Compliance Database'!$D$2:$D$1369,MATCH(118,'Transfer Engine'!$C$2:$C$1369,0)))</f>
        <v/>
      </c>
      <c r="E127" s="8">
        <f>IF(ISNA(MATCH(118,'Transfer Engine'!$C$2:$C$1369,0)),"",INDEX('Compliance Database'!$E$2:$E$1369,MATCH(118,'Transfer Engine'!$C$2:$C$1369,0)))</f>
        <v/>
      </c>
      <c r="F127" s="8">
        <f>IF(ISNA(MATCH(118,'Transfer Engine'!$C$2:$C$1369,0)),"",INDEX('Compliance Database'!$F$2:$F$1369,MATCH(118,'Transfer Engine'!$C$2:$C$1369,0)))</f>
        <v/>
      </c>
      <c r="G127" s="8">
        <f>IF(ISNA(MATCH(118,'Transfer Engine'!$C$2:$C$1369,0)),"",INDEX('Compliance Database'!$G$2:$G$1369,MATCH(118,'Transfer Engine'!$C$2:$C$1369,0)))</f>
        <v/>
      </c>
      <c r="H127" s="9">
        <f>IF(ISNA(MATCH(118,'Transfer Engine'!$C$2:$C$1369,0)),"",INDEX('Compliance Database'!$H$2:$H$1369,MATCH(118,'Transfer Engine'!$C$2:$C$1369,0)))</f>
        <v/>
      </c>
      <c r="I127" s="9">
        <f>IF(ISNA(MATCH(118,'Transfer Engine'!$C$2:$C$1369,0)),"",INDEX('Compliance Database'!$I$2:$I$1369,MATCH(118,'Transfer Engine'!$C$2:$C$1369,0)))</f>
        <v/>
      </c>
      <c r="J127" s="8">
        <f>IF(ISNA(MATCH(118,'Transfer Engine'!$C$2:$C$1369,0)),"",INDEX('Compliance Database'!$J$2:$J$1369,MATCH(118,'Transfer Engine'!$C$2:$C$1369,0)))</f>
        <v/>
      </c>
      <c r="K127" s="9">
        <f>IF(ISNA(MATCH(118,'Transfer Engine'!$C$2:$C$1369,0)),"",INDEX('Compliance Database'!$K$2:$K$1369,MATCH(118,'Transfer Engine'!$C$2:$C$1369,0)))</f>
        <v/>
      </c>
      <c r="L127" s="9">
        <f>IF(ISNA(MATCH(118,'Transfer Engine'!$C$2:$C$1369,0)),"",INDEX('Compliance Database'!$L$2:$L$1369,MATCH(118,'Transfer Engine'!$C$2:$C$1369,0)))</f>
        <v/>
      </c>
      <c r="M127" s="9">
        <f>IF(ISNA(MATCH(118,'Transfer Engine'!$C$2:$C$1369,0)),"",INDEX('Compliance Database'!$M$2:$M$1369,MATCH(118,'Transfer Engine'!$C$2:$C$1369,0)))</f>
        <v/>
      </c>
      <c r="N127" s="9">
        <f>IF(ISNA(MATCH(118,'Transfer Engine'!$C$2:$C$1369,0)),"",INDEX('Compliance Database'!$N$2:$N$1369,MATCH(118,'Transfer Engine'!$C$2:$C$1369,0)))</f>
        <v/>
      </c>
      <c r="O127" s="8">
        <f>IF(ISNA(MATCH(118,'Transfer Engine'!$C$2:$C$1369,0)),"",HYPERLINK(INDEX('Compliance Database'!$O$2:$O$1369,MATCH(118,'Transfer Engine'!$C$2:$C$1369,0)),"Open PDF"))</f>
        <v/>
      </c>
    </row>
    <row r="128" ht="188" customHeight="1">
      <c r="A128" s="8">
        <f>IF(ISNA(MATCH(119,'Transfer Engine'!$C$2:$C$1369,0)),"",INDEX('Compliance Database'!$A$2:$A$1369,MATCH(119,'Transfer Engine'!$C$2:$C$1369,0)))</f>
        <v/>
      </c>
      <c r="B128" s="8">
        <f>IF(ISNA(MATCH(119,'Transfer Engine'!$C$2:$C$1369,0)),"",INDEX('Compliance Database'!$B$2:$B$1369,MATCH(119,'Transfer Engine'!$C$2:$C$1369,0)))</f>
        <v/>
      </c>
      <c r="C128" s="8">
        <f>IF(ISNA(MATCH(119,'Transfer Engine'!$C$2:$C$1369,0)),"",INDEX('Compliance Database'!$C$2:$C$1369,MATCH(119,'Transfer Engine'!$C$2:$C$1369,0)))</f>
        <v/>
      </c>
      <c r="D128" s="9">
        <f>IF(ISNA(MATCH(119,'Transfer Engine'!$C$2:$C$1369,0)),"",INDEX('Compliance Database'!$D$2:$D$1369,MATCH(119,'Transfer Engine'!$C$2:$C$1369,0)))</f>
        <v/>
      </c>
      <c r="E128" s="8">
        <f>IF(ISNA(MATCH(119,'Transfer Engine'!$C$2:$C$1369,0)),"",INDEX('Compliance Database'!$E$2:$E$1369,MATCH(119,'Transfer Engine'!$C$2:$C$1369,0)))</f>
        <v/>
      </c>
      <c r="F128" s="8">
        <f>IF(ISNA(MATCH(119,'Transfer Engine'!$C$2:$C$1369,0)),"",INDEX('Compliance Database'!$F$2:$F$1369,MATCH(119,'Transfer Engine'!$C$2:$C$1369,0)))</f>
        <v/>
      </c>
      <c r="G128" s="8">
        <f>IF(ISNA(MATCH(119,'Transfer Engine'!$C$2:$C$1369,0)),"",INDEX('Compliance Database'!$G$2:$G$1369,MATCH(119,'Transfer Engine'!$C$2:$C$1369,0)))</f>
        <v/>
      </c>
      <c r="H128" s="9">
        <f>IF(ISNA(MATCH(119,'Transfer Engine'!$C$2:$C$1369,0)),"",INDEX('Compliance Database'!$H$2:$H$1369,MATCH(119,'Transfer Engine'!$C$2:$C$1369,0)))</f>
        <v/>
      </c>
      <c r="I128" s="9">
        <f>IF(ISNA(MATCH(119,'Transfer Engine'!$C$2:$C$1369,0)),"",INDEX('Compliance Database'!$I$2:$I$1369,MATCH(119,'Transfer Engine'!$C$2:$C$1369,0)))</f>
        <v/>
      </c>
      <c r="J128" s="8">
        <f>IF(ISNA(MATCH(119,'Transfer Engine'!$C$2:$C$1369,0)),"",INDEX('Compliance Database'!$J$2:$J$1369,MATCH(119,'Transfer Engine'!$C$2:$C$1369,0)))</f>
        <v/>
      </c>
      <c r="K128" s="9">
        <f>IF(ISNA(MATCH(119,'Transfer Engine'!$C$2:$C$1369,0)),"",INDEX('Compliance Database'!$K$2:$K$1369,MATCH(119,'Transfer Engine'!$C$2:$C$1369,0)))</f>
        <v/>
      </c>
      <c r="L128" s="9">
        <f>IF(ISNA(MATCH(119,'Transfer Engine'!$C$2:$C$1369,0)),"",INDEX('Compliance Database'!$L$2:$L$1369,MATCH(119,'Transfer Engine'!$C$2:$C$1369,0)))</f>
        <v/>
      </c>
      <c r="M128" s="9">
        <f>IF(ISNA(MATCH(119,'Transfer Engine'!$C$2:$C$1369,0)),"",INDEX('Compliance Database'!$M$2:$M$1369,MATCH(119,'Transfer Engine'!$C$2:$C$1369,0)))</f>
        <v/>
      </c>
      <c r="N128" s="9">
        <f>IF(ISNA(MATCH(119,'Transfer Engine'!$C$2:$C$1369,0)),"",INDEX('Compliance Database'!$N$2:$N$1369,MATCH(119,'Transfer Engine'!$C$2:$C$1369,0)))</f>
        <v/>
      </c>
      <c r="O128" s="8">
        <f>IF(ISNA(MATCH(119,'Transfer Engine'!$C$2:$C$1369,0)),"",HYPERLINK(INDEX('Compliance Database'!$O$2:$O$1369,MATCH(119,'Transfer Engine'!$C$2:$C$1369,0)),"Open PDF"))</f>
        <v/>
      </c>
    </row>
    <row r="129" ht="188" customHeight="1">
      <c r="A129" s="8">
        <f>IF(ISNA(MATCH(120,'Transfer Engine'!$C$2:$C$1369,0)),"",INDEX('Compliance Database'!$A$2:$A$1369,MATCH(120,'Transfer Engine'!$C$2:$C$1369,0)))</f>
        <v/>
      </c>
      <c r="B129" s="8">
        <f>IF(ISNA(MATCH(120,'Transfer Engine'!$C$2:$C$1369,0)),"",INDEX('Compliance Database'!$B$2:$B$1369,MATCH(120,'Transfer Engine'!$C$2:$C$1369,0)))</f>
        <v/>
      </c>
      <c r="C129" s="8">
        <f>IF(ISNA(MATCH(120,'Transfer Engine'!$C$2:$C$1369,0)),"",INDEX('Compliance Database'!$C$2:$C$1369,MATCH(120,'Transfer Engine'!$C$2:$C$1369,0)))</f>
        <v/>
      </c>
      <c r="D129" s="9">
        <f>IF(ISNA(MATCH(120,'Transfer Engine'!$C$2:$C$1369,0)),"",INDEX('Compliance Database'!$D$2:$D$1369,MATCH(120,'Transfer Engine'!$C$2:$C$1369,0)))</f>
        <v/>
      </c>
      <c r="E129" s="8">
        <f>IF(ISNA(MATCH(120,'Transfer Engine'!$C$2:$C$1369,0)),"",INDEX('Compliance Database'!$E$2:$E$1369,MATCH(120,'Transfer Engine'!$C$2:$C$1369,0)))</f>
        <v/>
      </c>
      <c r="F129" s="8">
        <f>IF(ISNA(MATCH(120,'Transfer Engine'!$C$2:$C$1369,0)),"",INDEX('Compliance Database'!$F$2:$F$1369,MATCH(120,'Transfer Engine'!$C$2:$C$1369,0)))</f>
        <v/>
      </c>
      <c r="G129" s="8">
        <f>IF(ISNA(MATCH(120,'Transfer Engine'!$C$2:$C$1369,0)),"",INDEX('Compliance Database'!$G$2:$G$1369,MATCH(120,'Transfer Engine'!$C$2:$C$1369,0)))</f>
        <v/>
      </c>
      <c r="H129" s="9">
        <f>IF(ISNA(MATCH(120,'Transfer Engine'!$C$2:$C$1369,0)),"",INDEX('Compliance Database'!$H$2:$H$1369,MATCH(120,'Transfer Engine'!$C$2:$C$1369,0)))</f>
        <v/>
      </c>
      <c r="I129" s="9">
        <f>IF(ISNA(MATCH(120,'Transfer Engine'!$C$2:$C$1369,0)),"",INDEX('Compliance Database'!$I$2:$I$1369,MATCH(120,'Transfer Engine'!$C$2:$C$1369,0)))</f>
        <v/>
      </c>
      <c r="J129" s="8">
        <f>IF(ISNA(MATCH(120,'Transfer Engine'!$C$2:$C$1369,0)),"",INDEX('Compliance Database'!$J$2:$J$1369,MATCH(120,'Transfer Engine'!$C$2:$C$1369,0)))</f>
        <v/>
      </c>
      <c r="K129" s="9">
        <f>IF(ISNA(MATCH(120,'Transfer Engine'!$C$2:$C$1369,0)),"",INDEX('Compliance Database'!$K$2:$K$1369,MATCH(120,'Transfer Engine'!$C$2:$C$1369,0)))</f>
        <v/>
      </c>
      <c r="L129" s="9">
        <f>IF(ISNA(MATCH(120,'Transfer Engine'!$C$2:$C$1369,0)),"",INDEX('Compliance Database'!$L$2:$L$1369,MATCH(120,'Transfer Engine'!$C$2:$C$1369,0)))</f>
        <v/>
      </c>
      <c r="M129" s="9">
        <f>IF(ISNA(MATCH(120,'Transfer Engine'!$C$2:$C$1369,0)),"",INDEX('Compliance Database'!$M$2:$M$1369,MATCH(120,'Transfer Engine'!$C$2:$C$1369,0)))</f>
        <v/>
      </c>
      <c r="N129" s="9">
        <f>IF(ISNA(MATCH(120,'Transfer Engine'!$C$2:$C$1369,0)),"",INDEX('Compliance Database'!$N$2:$N$1369,MATCH(120,'Transfer Engine'!$C$2:$C$1369,0)))</f>
        <v/>
      </c>
      <c r="O129" s="8">
        <f>IF(ISNA(MATCH(120,'Transfer Engine'!$C$2:$C$1369,0)),"",HYPERLINK(INDEX('Compliance Database'!$O$2:$O$1369,MATCH(120,'Transfer Engine'!$C$2:$C$1369,0)),"Open PDF"))</f>
        <v/>
      </c>
    </row>
    <row r="130" ht="188" customHeight="1">
      <c r="A130" s="8">
        <f>IF(ISNA(MATCH(121,'Transfer Engine'!$C$2:$C$1369,0)),"",INDEX('Compliance Database'!$A$2:$A$1369,MATCH(121,'Transfer Engine'!$C$2:$C$1369,0)))</f>
        <v/>
      </c>
      <c r="B130" s="8">
        <f>IF(ISNA(MATCH(121,'Transfer Engine'!$C$2:$C$1369,0)),"",INDEX('Compliance Database'!$B$2:$B$1369,MATCH(121,'Transfer Engine'!$C$2:$C$1369,0)))</f>
        <v/>
      </c>
      <c r="C130" s="8">
        <f>IF(ISNA(MATCH(121,'Transfer Engine'!$C$2:$C$1369,0)),"",INDEX('Compliance Database'!$C$2:$C$1369,MATCH(121,'Transfer Engine'!$C$2:$C$1369,0)))</f>
        <v/>
      </c>
      <c r="D130" s="9">
        <f>IF(ISNA(MATCH(121,'Transfer Engine'!$C$2:$C$1369,0)),"",INDEX('Compliance Database'!$D$2:$D$1369,MATCH(121,'Transfer Engine'!$C$2:$C$1369,0)))</f>
        <v/>
      </c>
      <c r="E130" s="8">
        <f>IF(ISNA(MATCH(121,'Transfer Engine'!$C$2:$C$1369,0)),"",INDEX('Compliance Database'!$E$2:$E$1369,MATCH(121,'Transfer Engine'!$C$2:$C$1369,0)))</f>
        <v/>
      </c>
      <c r="F130" s="8">
        <f>IF(ISNA(MATCH(121,'Transfer Engine'!$C$2:$C$1369,0)),"",INDEX('Compliance Database'!$F$2:$F$1369,MATCH(121,'Transfer Engine'!$C$2:$C$1369,0)))</f>
        <v/>
      </c>
      <c r="G130" s="8">
        <f>IF(ISNA(MATCH(121,'Transfer Engine'!$C$2:$C$1369,0)),"",INDEX('Compliance Database'!$G$2:$G$1369,MATCH(121,'Transfer Engine'!$C$2:$C$1369,0)))</f>
        <v/>
      </c>
      <c r="H130" s="9">
        <f>IF(ISNA(MATCH(121,'Transfer Engine'!$C$2:$C$1369,0)),"",INDEX('Compliance Database'!$H$2:$H$1369,MATCH(121,'Transfer Engine'!$C$2:$C$1369,0)))</f>
        <v/>
      </c>
      <c r="I130" s="9">
        <f>IF(ISNA(MATCH(121,'Transfer Engine'!$C$2:$C$1369,0)),"",INDEX('Compliance Database'!$I$2:$I$1369,MATCH(121,'Transfer Engine'!$C$2:$C$1369,0)))</f>
        <v/>
      </c>
      <c r="J130" s="8">
        <f>IF(ISNA(MATCH(121,'Transfer Engine'!$C$2:$C$1369,0)),"",INDEX('Compliance Database'!$J$2:$J$1369,MATCH(121,'Transfer Engine'!$C$2:$C$1369,0)))</f>
        <v/>
      </c>
      <c r="K130" s="9">
        <f>IF(ISNA(MATCH(121,'Transfer Engine'!$C$2:$C$1369,0)),"",INDEX('Compliance Database'!$K$2:$K$1369,MATCH(121,'Transfer Engine'!$C$2:$C$1369,0)))</f>
        <v/>
      </c>
      <c r="L130" s="9">
        <f>IF(ISNA(MATCH(121,'Transfer Engine'!$C$2:$C$1369,0)),"",INDEX('Compliance Database'!$L$2:$L$1369,MATCH(121,'Transfer Engine'!$C$2:$C$1369,0)))</f>
        <v/>
      </c>
      <c r="M130" s="9">
        <f>IF(ISNA(MATCH(121,'Transfer Engine'!$C$2:$C$1369,0)),"",INDEX('Compliance Database'!$M$2:$M$1369,MATCH(121,'Transfer Engine'!$C$2:$C$1369,0)))</f>
        <v/>
      </c>
      <c r="N130" s="9">
        <f>IF(ISNA(MATCH(121,'Transfer Engine'!$C$2:$C$1369,0)),"",INDEX('Compliance Database'!$N$2:$N$1369,MATCH(121,'Transfer Engine'!$C$2:$C$1369,0)))</f>
        <v/>
      </c>
      <c r="O130" s="8">
        <f>IF(ISNA(MATCH(121,'Transfer Engine'!$C$2:$C$1369,0)),"",HYPERLINK(INDEX('Compliance Database'!$O$2:$O$1369,MATCH(121,'Transfer Engine'!$C$2:$C$1369,0)),"Open PDF"))</f>
        <v/>
      </c>
    </row>
    <row r="131" ht="188" customHeight="1">
      <c r="A131" s="8">
        <f>IF(ISNA(MATCH(122,'Transfer Engine'!$C$2:$C$1369,0)),"",INDEX('Compliance Database'!$A$2:$A$1369,MATCH(122,'Transfer Engine'!$C$2:$C$1369,0)))</f>
        <v/>
      </c>
      <c r="B131" s="8">
        <f>IF(ISNA(MATCH(122,'Transfer Engine'!$C$2:$C$1369,0)),"",INDEX('Compliance Database'!$B$2:$B$1369,MATCH(122,'Transfer Engine'!$C$2:$C$1369,0)))</f>
        <v/>
      </c>
      <c r="C131" s="8">
        <f>IF(ISNA(MATCH(122,'Transfer Engine'!$C$2:$C$1369,0)),"",INDEX('Compliance Database'!$C$2:$C$1369,MATCH(122,'Transfer Engine'!$C$2:$C$1369,0)))</f>
        <v/>
      </c>
      <c r="D131" s="9">
        <f>IF(ISNA(MATCH(122,'Transfer Engine'!$C$2:$C$1369,0)),"",INDEX('Compliance Database'!$D$2:$D$1369,MATCH(122,'Transfer Engine'!$C$2:$C$1369,0)))</f>
        <v/>
      </c>
      <c r="E131" s="8">
        <f>IF(ISNA(MATCH(122,'Transfer Engine'!$C$2:$C$1369,0)),"",INDEX('Compliance Database'!$E$2:$E$1369,MATCH(122,'Transfer Engine'!$C$2:$C$1369,0)))</f>
        <v/>
      </c>
      <c r="F131" s="8">
        <f>IF(ISNA(MATCH(122,'Transfer Engine'!$C$2:$C$1369,0)),"",INDEX('Compliance Database'!$F$2:$F$1369,MATCH(122,'Transfer Engine'!$C$2:$C$1369,0)))</f>
        <v/>
      </c>
      <c r="G131" s="8">
        <f>IF(ISNA(MATCH(122,'Transfer Engine'!$C$2:$C$1369,0)),"",INDEX('Compliance Database'!$G$2:$G$1369,MATCH(122,'Transfer Engine'!$C$2:$C$1369,0)))</f>
        <v/>
      </c>
      <c r="H131" s="9">
        <f>IF(ISNA(MATCH(122,'Transfer Engine'!$C$2:$C$1369,0)),"",INDEX('Compliance Database'!$H$2:$H$1369,MATCH(122,'Transfer Engine'!$C$2:$C$1369,0)))</f>
        <v/>
      </c>
      <c r="I131" s="9">
        <f>IF(ISNA(MATCH(122,'Transfer Engine'!$C$2:$C$1369,0)),"",INDEX('Compliance Database'!$I$2:$I$1369,MATCH(122,'Transfer Engine'!$C$2:$C$1369,0)))</f>
        <v/>
      </c>
      <c r="J131" s="8">
        <f>IF(ISNA(MATCH(122,'Transfer Engine'!$C$2:$C$1369,0)),"",INDEX('Compliance Database'!$J$2:$J$1369,MATCH(122,'Transfer Engine'!$C$2:$C$1369,0)))</f>
        <v/>
      </c>
      <c r="K131" s="9">
        <f>IF(ISNA(MATCH(122,'Transfer Engine'!$C$2:$C$1369,0)),"",INDEX('Compliance Database'!$K$2:$K$1369,MATCH(122,'Transfer Engine'!$C$2:$C$1369,0)))</f>
        <v/>
      </c>
      <c r="L131" s="9">
        <f>IF(ISNA(MATCH(122,'Transfer Engine'!$C$2:$C$1369,0)),"",INDEX('Compliance Database'!$L$2:$L$1369,MATCH(122,'Transfer Engine'!$C$2:$C$1369,0)))</f>
        <v/>
      </c>
      <c r="M131" s="9">
        <f>IF(ISNA(MATCH(122,'Transfer Engine'!$C$2:$C$1369,0)),"",INDEX('Compliance Database'!$M$2:$M$1369,MATCH(122,'Transfer Engine'!$C$2:$C$1369,0)))</f>
        <v/>
      </c>
      <c r="N131" s="9">
        <f>IF(ISNA(MATCH(122,'Transfer Engine'!$C$2:$C$1369,0)),"",INDEX('Compliance Database'!$N$2:$N$1369,MATCH(122,'Transfer Engine'!$C$2:$C$1369,0)))</f>
        <v/>
      </c>
      <c r="O131" s="8">
        <f>IF(ISNA(MATCH(122,'Transfer Engine'!$C$2:$C$1369,0)),"",HYPERLINK(INDEX('Compliance Database'!$O$2:$O$1369,MATCH(122,'Transfer Engine'!$C$2:$C$1369,0)),"Open PDF"))</f>
        <v/>
      </c>
    </row>
    <row r="132" ht="188" customHeight="1">
      <c r="A132" s="8">
        <f>IF(ISNA(MATCH(123,'Transfer Engine'!$C$2:$C$1369,0)),"",INDEX('Compliance Database'!$A$2:$A$1369,MATCH(123,'Transfer Engine'!$C$2:$C$1369,0)))</f>
        <v/>
      </c>
      <c r="B132" s="8">
        <f>IF(ISNA(MATCH(123,'Transfer Engine'!$C$2:$C$1369,0)),"",INDEX('Compliance Database'!$B$2:$B$1369,MATCH(123,'Transfer Engine'!$C$2:$C$1369,0)))</f>
        <v/>
      </c>
      <c r="C132" s="8">
        <f>IF(ISNA(MATCH(123,'Transfer Engine'!$C$2:$C$1369,0)),"",INDEX('Compliance Database'!$C$2:$C$1369,MATCH(123,'Transfer Engine'!$C$2:$C$1369,0)))</f>
        <v/>
      </c>
      <c r="D132" s="9">
        <f>IF(ISNA(MATCH(123,'Transfer Engine'!$C$2:$C$1369,0)),"",INDEX('Compliance Database'!$D$2:$D$1369,MATCH(123,'Transfer Engine'!$C$2:$C$1369,0)))</f>
        <v/>
      </c>
      <c r="E132" s="8">
        <f>IF(ISNA(MATCH(123,'Transfer Engine'!$C$2:$C$1369,0)),"",INDEX('Compliance Database'!$E$2:$E$1369,MATCH(123,'Transfer Engine'!$C$2:$C$1369,0)))</f>
        <v/>
      </c>
      <c r="F132" s="8">
        <f>IF(ISNA(MATCH(123,'Transfer Engine'!$C$2:$C$1369,0)),"",INDEX('Compliance Database'!$F$2:$F$1369,MATCH(123,'Transfer Engine'!$C$2:$C$1369,0)))</f>
        <v/>
      </c>
      <c r="G132" s="8">
        <f>IF(ISNA(MATCH(123,'Transfer Engine'!$C$2:$C$1369,0)),"",INDEX('Compliance Database'!$G$2:$G$1369,MATCH(123,'Transfer Engine'!$C$2:$C$1369,0)))</f>
        <v/>
      </c>
      <c r="H132" s="9">
        <f>IF(ISNA(MATCH(123,'Transfer Engine'!$C$2:$C$1369,0)),"",INDEX('Compliance Database'!$H$2:$H$1369,MATCH(123,'Transfer Engine'!$C$2:$C$1369,0)))</f>
        <v/>
      </c>
      <c r="I132" s="9">
        <f>IF(ISNA(MATCH(123,'Transfer Engine'!$C$2:$C$1369,0)),"",INDEX('Compliance Database'!$I$2:$I$1369,MATCH(123,'Transfer Engine'!$C$2:$C$1369,0)))</f>
        <v/>
      </c>
      <c r="J132" s="8">
        <f>IF(ISNA(MATCH(123,'Transfer Engine'!$C$2:$C$1369,0)),"",INDEX('Compliance Database'!$J$2:$J$1369,MATCH(123,'Transfer Engine'!$C$2:$C$1369,0)))</f>
        <v/>
      </c>
      <c r="K132" s="9">
        <f>IF(ISNA(MATCH(123,'Transfer Engine'!$C$2:$C$1369,0)),"",INDEX('Compliance Database'!$K$2:$K$1369,MATCH(123,'Transfer Engine'!$C$2:$C$1369,0)))</f>
        <v/>
      </c>
      <c r="L132" s="9">
        <f>IF(ISNA(MATCH(123,'Transfer Engine'!$C$2:$C$1369,0)),"",INDEX('Compliance Database'!$L$2:$L$1369,MATCH(123,'Transfer Engine'!$C$2:$C$1369,0)))</f>
        <v/>
      </c>
      <c r="M132" s="9">
        <f>IF(ISNA(MATCH(123,'Transfer Engine'!$C$2:$C$1369,0)),"",INDEX('Compliance Database'!$M$2:$M$1369,MATCH(123,'Transfer Engine'!$C$2:$C$1369,0)))</f>
        <v/>
      </c>
      <c r="N132" s="9">
        <f>IF(ISNA(MATCH(123,'Transfer Engine'!$C$2:$C$1369,0)),"",INDEX('Compliance Database'!$N$2:$N$1369,MATCH(123,'Transfer Engine'!$C$2:$C$1369,0)))</f>
        <v/>
      </c>
      <c r="O132" s="8">
        <f>IF(ISNA(MATCH(123,'Transfer Engine'!$C$2:$C$1369,0)),"",HYPERLINK(INDEX('Compliance Database'!$O$2:$O$1369,MATCH(123,'Transfer Engine'!$C$2:$C$1369,0)),"Open PDF"))</f>
        <v/>
      </c>
    </row>
    <row r="133" ht="188" customHeight="1">
      <c r="A133" s="8">
        <f>IF(ISNA(MATCH(124,'Transfer Engine'!$C$2:$C$1369,0)),"",INDEX('Compliance Database'!$A$2:$A$1369,MATCH(124,'Transfer Engine'!$C$2:$C$1369,0)))</f>
        <v/>
      </c>
      <c r="B133" s="8">
        <f>IF(ISNA(MATCH(124,'Transfer Engine'!$C$2:$C$1369,0)),"",INDEX('Compliance Database'!$B$2:$B$1369,MATCH(124,'Transfer Engine'!$C$2:$C$1369,0)))</f>
        <v/>
      </c>
      <c r="C133" s="8">
        <f>IF(ISNA(MATCH(124,'Transfer Engine'!$C$2:$C$1369,0)),"",INDEX('Compliance Database'!$C$2:$C$1369,MATCH(124,'Transfer Engine'!$C$2:$C$1369,0)))</f>
        <v/>
      </c>
      <c r="D133" s="9">
        <f>IF(ISNA(MATCH(124,'Transfer Engine'!$C$2:$C$1369,0)),"",INDEX('Compliance Database'!$D$2:$D$1369,MATCH(124,'Transfer Engine'!$C$2:$C$1369,0)))</f>
        <v/>
      </c>
      <c r="E133" s="8">
        <f>IF(ISNA(MATCH(124,'Transfer Engine'!$C$2:$C$1369,0)),"",INDEX('Compliance Database'!$E$2:$E$1369,MATCH(124,'Transfer Engine'!$C$2:$C$1369,0)))</f>
        <v/>
      </c>
      <c r="F133" s="8">
        <f>IF(ISNA(MATCH(124,'Transfer Engine'!$C$2:$C$1369,0)),"",INDEX('Compliance Database'!$F$2:$F$1369,MATCH(124,'Transfer Engine'!$C$2:$C$1369,0)))</f>
        <v/>
      </c>
      <c r="G133" s="8">
        <f>IF(ISNA(MATCH(124,'Transfer Engine'!$C$2:$C$1369,0)),"",INDEX('Compliance Database'!$G$2:$G$1369,MATCH(124,'Transfer Engine'!$C$2:$C$1369,0)))</f>
        <v/>
      </c>
      <c r="H133" s="9">
        <f>IF(ISNA(MATCH(124,'Transfer Engine'!$C$2:$C$1369,0)),"",INDEX('Compliance Database'!$H$2:$H$1369,MATCH(124,'Transfer Engine'!$C$2:$C$1369,0)))</f>
        <v/>
      </c>
      <c r="I133" s="9">
        <f>IF(ISNA(MATCH(124,'Transfer Engine'!$C$2:$C$1369,0)),"",INDEX('Compliance Database'!$I$2:$I$1369,MATCH(124,'Transfer Engine'!$C$2:$C$1369,0)))</f>
        <v/>
      </c>
      <c r="J133" s="8">
        <f>IF(ISNA(MATCH(124,'Transfer Engine'!$C$2:$C$1369,0)),"",INDEX('Compliance Database'!$J$2:$J$1369,MATCH(124,'Transfer Engine'!$C$2:$C$1369,0)))</f>
        <v/>
      </c>
      <c r="K133" s="9">
        <f>IF(ISNA(MATCH(124,'Transfer Engine'!$C$2:$C$1369,0)),"",INDEX('Compliance Database'!$K$2:$K$1369,MATCH(124,'Transfer Engine'!$C$2:$C$1369,0)))</f>
        <v/>
      </c>
      <c r="L133" s="9">
        <f>IF(ISNA(MATCH(124,'Transfer Engine'!$C$2:$C$1369,0)),"",INDEX('Compliance Database'!$L$2:$L$1369,MATCH(124,'Transfer Engine'!$C$2:$C$1369,0)))</f>
        <v/>
      </c>
      <c r="M133" s="9">
        <f>IF(ISNA(MATCH(124,'Transfer Engine'!$C$2:$C$1369,0)),"",INDEX('Compliance Database'!$M$2:$M$1369,MATCH(124,'Transfer Engine'!$C$2:$C$1369,0)))</f>
        <v/>
      </c>
      <c r="N133" s="9">
        <f>IF(ISNA(MATCH(124,'Transfer Engine'!$C$2:$C$1369,0)),"",INDEX('Compliance Database'!$N$2:$N$1369,MATCH(124,'Transfer Engine'!$C$2:$C$1369,0)))</f>
        <v/>
      </c>
      <c r="O133" s="8">
        <f>IF(ISNA(MATCH(124,'Transfer Engine'!$C$2:$C$1369,0)),"",HYPERLINK(INDEX('Compliance Database'!$O$2:$O$1369,MATCH(124,'Transfer Engine'!$C$2:$C$1369,0)),"Open PDF"))</f>
        <v/>
      </c>
    </row>
    <row r="134" ht="188" customHeight="1">
      <c r="A134" s="8">
        <f>IF(ISNA(MATCH(125,'Transfer Engine'!$C$2:$C$1369,0)),"",INDEX('Compliance Database'!$A$2:$A$1369,MATCH(125,'Transfer Engine'!$C$2:$C$1369,0)))</f>
        <v/>
      </c>
      <c r="B134" s="8">
        <f>IF(ISNA(MATCH(125,'Transfer Engine'!$C$2:$C$1369,0)),"",INDEX('Compliance Database'!$B$2:$B$1369,MATCH(125,'Transfer Engine'!$C$2:$C$1369,0)))</f>
        <v/>
      </c>
      <c r="C134" s="8">
        <f>IF(ISNA(MATCH(125,'Transfer Engine'!$C$2:$C$1369,0)),"",INDEX('Compliance Database'!$C$2:$C$1369,MATCH(125,'Transfer Engine'!$C$2:$C$1369,0)))</f>
        <v/>
      </c>
      <c r="D134" s="9">
        <f>IF(ISNA(MATCH(125,'Transfer Engine'!$C$2:$C$1369,0)),"",INDEX('Compliance Database'!$D$2:$D$1369,MATCH(125,'Transfer Engine'!$C$2:$C$1369,0)))</f>
        <v/>
      </c>
      <c r="E134" s="8">
        <f>IF(ISNA(MATCH(125,'Transfer Engine'!$C$2:$C$1369,0)),"",INDEX('Compliance Database'!$E$2:$E$1369,MATCH(125,'Transfer Engine'!$C$2:$C$1369,0)))</f>
        <v/>
      </c>
      <c r="F134" s="8">
        <f>IF(ISNA(MATCH(125,'Transfer Engine'!$C$2:$C$1369,0)),"",INDEX('Compliance Database'!$F$2:$F$1369,MATCH(125,'Transfer Engine'!$C$2:$C$1369,0)))</f>
        <v/>
      </c>
      <c r="G134" s="8">
        <f>IF(ISNA(MATCH(125,'Transfer Engine'!$C$2:$C$1369,0)),"",INDEX('Compliance Database'!$G$2:$G$1369,MATCH(125,'Transfer Engine'!$C$2:$C$1369,0)))</f>
        <v/>
      </c>
      <c r="H134" s="9">
        <f>IF(ISNA(MATCH(125,'Transfer Engine'!$C$2:$C$1369,0)),"",INDEX('Compliance Database'!$H$2:$H$1369,MATCH(125,'Transfer Engine'!$C$2:$C$1369,0)))</f>
        <v/>
      </c>
      <c r="I134" s="9">
        <f>IF(ISNA(MATCH(125,'Transfer Engine'!$C$2:$C$1369,0)),"",INDEX('Compliance Database'!$I$2:$I$1369,MATCH(125,'Transfer Engine'!$C$2:$C$1369,0)))</f>
        <v/>
      </c>
      <c r="J134" s="8">
        <f>IF(ISNA(MATCH(125,'Transfer Engine'!$C$2:$C$1369,0)),"",INDEX('Compliance Database'!$J$2:$J$1369,MATCH(125,'Transfer Engine'!$C$2:$C$1369,0)))</f>
        <v/>
      </c>
      <c r="K134" s="9">
        <f>IF(ISNA(MATCH(125,'Transfer Engine'!$C$2:$C$1369,0)),"",INDEX('Compliance Database'!$K$2:$K$1369,MATCH(125,'Transfer Engine'!$C$2:$C$1369,0)))</f>
        <v/>
      </c>
      <c r="L134" s="9">
        <f>IF(ISNA(MATCH(125,'Transfer Engine'!$C$2:$C$1369,0)),"",INDEX('Compliance Database'!$L$2:$L$1369,MATCH(125,'Transfer Engine'!$C$2:$C$1369,0)))</f>
        <v/>
      </c>
      <c r="M134" s="9">
        <f>IF(ISNA(MATCH(125,'Transfer Engine'!$C$2:$C$1369,0)),"",INDEX('Compliance Database'!$M$2:$M$1369,MATCH(125,'Transfer Engine'!$C$2:$C$1369,0)))</f>
        <v/>
      </c>
      <c r="N134" s="9">
        <f>IF(ISNA(MATCH(125,'Transfer Engine'!$C$2:$C$1369,0)),"",INDEX('Compliance Database'!$N$2:$N$1369,MATCH(125,'Transfer Engine'!$C$2:$C$1369,0)))</f>
        <v/>
      </c>
      <c r="O134" s="8">
        <f>IF(ISNA(MATCH(125,'Transfer Engine'!$C$2:$C$1369,0)),"",HYPERLINK(INDEX('Compliance Database'!$O$2:$O$1369,MATCH(125,'Transfer Engine'!$C$2:$C$1369,0)),"Open PDF"))</f>
        <v/>
      </c>
    </row>
    <row r="135" ht="188" customHeight="1">
      <c r="A135" s="8">
        <f>IF(ISNA(MATCH(126,'Transfer Engine'!$C$2:$C$1369,0)),"",INDEX('Compliance Database'!$A$2:$A$1369,MATCH(126,'Transfer Engine'!$C$2:$C$1369,0)))</f>
        <v/>
      </c>
      <c r="B135" s="8">
        <f>IF(ISNA(MATCH(126,'Transfer Engine'!$C$2:$C$1369,0)),"",INDEX('Compliance Database'!$B$2:$B$1369,MATCH(126,'Transfer Engine'!$C$2:$C$1369,0)))</f>
        <v/>
      </c>
      <c r="C135" s="8">
        <f>IF(ISNA(MATCH(126,'Transfer Engine'!$C$2:$C$1369,0)),"",INDEX('Compliance Database'!$C$2:$C$1369,MATCH(126,'Transfer Engine'!$C$2:$C$1369,0)))</f>
        <v/>
      </c>
      <c r="D135" s="9">
        <f>IF(ISNA(MATCH(126,'Transfer Engine'!$C$2:$C$1369,0)),"",INDEX('Compliance Database'!$D$2:$D$1369,MATCH(126,'Transfer Engine'!$C$2:$C$1369,0)))</f>
        <v/>
      </c>
      <c r="E135" s="8">
        <f>IF(ISNA(MATCH(126,'Transfer Engine'!$C$2:$C$1369,0)),"",INDEX('Compliance Database'!$E$2:$E$1369,MATCH(126,'Transfer Engine'!$C$2:$C$1369,0)))</f>
        <v/>
      </c>
      <c r="F135" s="8">
        <f>IF(ISNA(MATCH(126,'Transfer Engine'!$C$2:$C$1369,0)),"",INDEX('Compliance Database'!$F$2:$F$1369,MATCH(126,'Transfer Engine'!$C$2:$C$1369,0)))</f>
        <v/>
      </c>
      <c r="G135" s="8">
        <f>IF(ISNA(MATCH(126,'Transfer Engine'!$C$2:$C$1369,0)),"",INDEX('Compliance Database'!$G$2:$G$1369,MATCH(126,'Transfer Engine'!$C$2:$C$1369,0)))</f>
        <v/>
      </c>
      <c r="H135" s="9">
        <f>IF(ISNA(MATCH(126,'Transfer Engine'!$C$2:$C$1369,0)),"",INDEX('Compliance Database'!$H$2:$H$1369,MATCH(126,'Transfer Engine'!$C$2:$C$1369,0)))</f>
        <v/>
      </c>
      <c r="I135" s="9">
        <f>IF(ISNA(MATCH(126,'Transfer Engine'!$C$2:$C$1369,0)),"",INDEX('Compliance Database'!$I$2:$I$1369,MATCH(126,'Transfer Engine'!$C$2:$C$1369,0)))</f>
        <v/>
      </c>
      <c r="J135" s="8">
        <f>IF(ISNA(MATCH(126,'Transfer Engine'!$C$2:$C$1369,0)),"",INDEX('Compliance Database'!$J$2:$J$1369,MATCH(126,'Transfer Engine'!$C$2:$C$1369,0)))</f>
        <v/>
      </c>
      <c r="K135" s="9">
        <f>IF(ISNA(MATCH(126,'Transfer Engine'!$C$2:$C$1369,0)),"",INDEX('Compliance Database'!$K$2:$K$1369,MATCH(126,'Transfer Engine'!$C$2:$C$1369,0)))</f>
        <v/>
      </c>
      <c r="L135" s="9">
        <f>IF(ISNA(MATCH(126,'Transfer Engine'!$C$2:$C$1369,0)),"",INDEX('Compliance Database'!$L$2:$L$1369,MATCH(126,'Transfer Engine'!$C$2:$C$1369,0)))</f>
        <v/>
      </c>
      <c r="M135" s="9">
        <f>IF(ISNA(MATCH(126,'Transfer Engine'!$C$2:$C$1369,0)),"",INDEX('Compliance Database'!$M$2:$M$1369,MATCH(126,'Transfer Engine'!$C$2:$C$1369,0)))</f>
        <v/>
      </c>
      <c r="N135" s="9">
        <f>IF(ISNA(MATCH(126,'Transfer Engine'!$C$2:$C$1369,0)),"",INDEX('Compliance Database'!$N$2:$N$1369,MATCH(126,'Transfer Engine'!$C$2:$C$1369,0)))</f>
        <v/>
      </c>
      <c r="O135" s="8">
        <f>IF(ISNA(MATCH(126,'Transfer Engine'!$C$2:$C$1369,0)),"",HYPERLINK(INDEX('Compliance Database'!$O$2:$O$1369,MATCH(126,'Transfer Engine'!$C$2:$C$1369,0)),"Open PDF"))</f>
        <v/>
      </c>
    </row>
    <row r="136" ht="188" customHeight="1">
      <c r="A136" s="8">
        <f>IF(ISNA(MATCH(127,'Transfer Engine'!$C$2:$C$1369,0)),"",INDEX('Compliance Database'!$A$2:$A$1369,MATCH(127,'Transfer Engine'!$C$2:$C$1369,0)))</f>
        <v/>
      </c>
      <c r="B136" s="8">
        <f>IF(ISNA(MATCH(127,'Transfer Engine'!$C$2:$C$1369,0)),"",INDEX('Compliance Database'!$B$2:$B$1369,MATCH(127,'Transfer Engine'!$C$2:$C$1369,0)))</f>
        <v/>
      </c>
      <c r="C136" s="8">
        <f>IF(ISNA(MATCH(127,'Transfer Engine'!$C$2:$C$1369,0)),"",INDEX('Compliance Database'!$C$2:$C$1369,MATCH(127,'Transfer Engine'!$C$2:$C$1369,0)))</f>
        <v/>
      </c>
      <c r="D136" s="9">
        <f>IF(ISNA(MATCH(127,'Transfer Engine'!$C$2:$C$1369,0)),"",INDEX('Compliance Database'!$D$2:$D$1369,MATCH(127,'Transfer Engine'!$C$2:$C$1369,0)))</f>
        <v/>
      </c>
      <c r="E136" s="8">
        <f>IF(ISNA(MATCH(127,'Transfer Engine'!$C$2:$C$1369,0)),"",INDEX('Compliance Database'!$E$2:$E$1369,MATCH(127,'Transfer Engine'!$C$2:$C$1369,0)))</f>
        <v/>
      </c>
      <c r="F136" s="8">
        <f>IF(ISNA(MATCH(127,'Transfer Engine'!$C$2:$C$1369,0)),"",INDEX('Compliance Database'!$F$2:$F$1369,MATCH(127,'Transfer Engine'!$C$2:$C$1369,0)))</f>
        <v/>
      </c>
      <c r="G136" s="8">
        <f>IF(ISNA(MATCH(127,'Transfer Engine'!$C$2:$C$1369,0)),"",INDEX('Compliance Database'!$G$2:$G$1369,MATCH(127,'Transfer Engine'!$C$2:$C$1369,0)))</f>
        <v/>
      </c>
      <c r="H136" s="9">
        <f>IF(ISNA(MATCH(127,'Transfer Engine'!$C$2:$C$1369,0)),"",INDEX('Compliance Database'!$H$2:$H$1369,MATCH(127,'Transfer Engine'!$C$2:$C$1369,0)))</f>
        <v/>
      </c>
      <c r="I136" s="9">
        <f>IF(ISNA(MATCH(127,'Transfer Engine'!$C$2:$C$1369,0)),"",INDEX('Compliance Database'!$I$2:$I$1369,MATCH(127,'Transfer Engine'!$C$2:$C$1369,0)))</f>
        <v/>
      </c>
      <c r="J136" s="8">
        <f>IF(ISNA(MATCH(127,'Transfer Engine'!$C$2:$C$1369,0)),"",INDEX('Compliance Database'!$J$2:$J$1369,MATCH(127,'Transfer Engine'!$C$2:$C$1369,0)))</f>
        <v/>
      </c>
      <c r="K136" s="9">
        <f>IF(ISNA(MATCH(127,'Transfer Engine'!$C$2:$C$1369,0)),"",INDEX('Compliance Database'!$K$2:$K$1369,MATCH(127,'Transfer Engine'!$C$2:$C$1369,0)))</f>
        <v/>
      </c>
      <c r="L136" s="9">
        <f>IF(ISNA(MATCH(127,'Transfer Engine'!$C$2:$C$1369,0)),"",INDEX('Compliance Database'!$L$2:$L$1369,MATCH(127,'Transfer Engine'!$C$2:$C$1369,0)))</f>
        <v/>
      </c>
      <c r="M136" s="9">
        <f>IF(ISNA(MATCH(127,'Transfer Engine'!$C$2:$C$1369,0)),"",INDEX('Compliance Database'!$M$2:$M$1369,MATCH(127,'Transfer Engine'!$C$2:$C$1369,0)))</f>
        <v/>
      </c>
      <c r="N136" s="9">
        <f>IF(ISNA(MATCH(127,'Transfer Engine'!$C$2:$C$1369,0)),"",INDEX('Compliance Database'!$N$2:$N$1369,MATCH(127,'Transfer Engine'!$C$2:$C$1369,0)))</f>
        <v/>
      </c>
      <c r="O136" s="8">
        <f>IF(ISNA(MATCH(127,'Transfer Engine'!$C$2:$C$1369,0)),"",HYPERLINK(INDEX('Compliance Database'!$O$2:$O$1369,MATCH(127,'Transfer Engine'!$C$2:$C$1369,0)),"Open PDF"))</f>
        <v/>
      </c>
    </row>
    <row r="137" ht="188" customHeight="1">
      <c r="A137" s="8">
        <f>IF(ISNA(MATCH(128,'Transfer Engine'!$C$2:$C$1369,0)),"",INDEX('Compliance Database'!$A$2:$A$1369,MATCH(128,'Transfer Engine'!$C$2:$C$1369,0)))</f>
        <v/>
      </c>
      <c r="B137" s="8">
        <f>IF(ISNA(MATCH(128,'Transfer Engine'!$C$2:$C$1369,0)),"",INDEX('Compliance Database'!$B$2:$B$1369,MATCH(128,'Transfer Engine'!$C$2:$C$1369,0)))</f>
        <v/>
      </c>
      <c r="C137" s="8">
        <f>IF(ISNA(MATCH(128,'Transfer Engine'!$C$2:$C$1369,0)),"",INDEX('Compliance Database'!$C$2:$C$1369,MATCH(128,'Transfer Engine'!$C$2:$C$1369,0)))</f>
        <v/>
      </c>
      <c r="D137" s="9">
        <f>IF(ISNA(MATCH(128,'Transfer Engine'!$C$2:$C$1369,0)),"",INDEX('Compliance Database'!$D$2:$D$1369,MATCH(128,'Transfer Engine'!$C$2:$C$1369,0)))</f>
        <v/>
      </c>
      <c r="E137" s="8">
        <f>IF(ISNA(MATCH(128,'Transfer Engine'!$C$2:$C$1369,0)),"",INDEX('Compliance Database'!$E$2:$E$1369,MATCH(128,'Transfer Engine'!$C$2:$C$1369,0)))</f>
        <v/>
      </c>
      <c r="F137" s="8">
        <f>IF(ISNA(MATCH(128,'Transfer Engine'!$C$2:$C$1369,0)),"",INDEX('Compliance Database'!$F$2:$F$1369,MATCH(128,'Transfer Engine'!$C$2:$C$1369,0)))</f>
        <v/>
      </c>
      <c r="G137" s="8">
        <f>IF(ISNA(MATCH(128,'Transfer Engine'!$C$2:$C$1369,0)),"",INDEX('Compliance Database'!$G$2:$G$1369,MATCH(128,'Transfer Engine'!$C$2:$C$1369,0)))</f>
        <v/>
      </c>
      <c r="H137" s="9">
        <f>IF(ISNA(MATCH(128,'Transfer Engine'!$C$2:$C$1369,0)),"",INDEX('Compliance Database'!$H$2:$H$1369,MATCH(128,'Transfer Engine'!$C$2:$C$1369,0)))</f>
        <v/>
      </c>
      <c r="I137" s="9">
        <f>IF(ISNA(MATCH(128,'Transfer Engine'!$C$2:$C$1369,0)),"",INDEX('Compliance Database'!$I$2:$I$1369,MATCH(128,'Transfer Engine'!$C$2:$C$1369,0)))</f>
        <v/>
      </c>
      <c r="J137" s="8">
        <f>IF(ISNA(MATCH(128,'Transfer Engine'!$C$2:$C$1369,0)),"",INDEX('Compliance Database'!$J$2:$J$1369,MATCH(128,'Transfer Engine'!$C$2:$C$1369,0)))</f>
        <v/>
      </c>
      <c r="K137" s="9">
        <f>IF(ISNA(MATCH(128,'Transfer Engine'!$C$2:$C$1369,0)),"",INDEX('Compliance Database'!$K$2:$K$1369,MATCH(128,'Transfer Engine'!$C$2:$C$1369,0)))</f>
        <v/>
      </c>
      <c r="L137" s="9">
        <f>IF(ISNA(MATCH(128,'Transfer Engine'!$C$2:$C$1369,0)),"",INDEX('Compliance Database'!$L$2:$L$1369,MATCH(128,'Transfer Engine'!$C$2:$C$1369,0)))</f>
        <v/>
      </c>
      <c r="M137" s="9">
        <f>IF(ISNA(MATCH(128,'Transfer Engine'!$C$2:$C$1369,0)),"",INDEX('Compliance Database'!$M$2:$M$1369,MATCH(128,'Transfer Engine'!$C$2:$C$1369,0)))</f>
        <v/>
      </c>
      <c r="N137" s="9">
        <f>IF(ISNA(MATCH(128,'Transfer Engine'!$C$2:$C$1369,0)),"",INDEX('Compliance Database'!$N$2:$N$1369,MATCH(128,'Transfer Engine'!$C$2:$C$1369,0)))</f>
        <v/>
      </c>
      <c r="O137" s="8">
        <f>IF(ISNA(MATCH(128,'Transfer Engine'!$C$2:$C$1369,0)),"",HYPERLINK(INDEX('Compliance Database'!$O$2:$O$1369,MATCH(128,'Transfer Engine'!$C$2:$C$1369,0)),"Open PDF"))</f>
        <v/>
      </c>
    </row>
    <row r="138" ht="188" customHeight="1">
      <c r="A138" s="8">
        <f>IF(ISNA(MATCH(129,'Transfer Engine'!$C$2:$C$1369,0)),"",INDEX('Compliance Database'!$A$2:$A$1369,MATCH(129,'Transfer Engine'!$C$2:$C$1369,0)))</f>
        <v/>
      </c>
      <c r="B138" s="8">
        <f>IF(ISNA(MATCH(129,'Transfer Engine'!$C$2:$C$1369,0)),"",INDEX('Compliance Database'!$B$2:$B$1369,MATCH(129,'Transfer Engine'!$C$2:$C$1369,0)))</f>
        <v/>
      </c>
      <c r="C138" s="8">
        <f>IF(ISNA(MATCH(129,'Transfer Engine'!$C$2:$C$1369,0)),"",INDEX('Compliance Database'!$C$2:$C$1369,MATCH(129,'Transfer Engine'!$C$2:$C$1369,0)))</f>
        <v/>
      </c>
      <c r="D138" s="9">
        <f>IF(ISNA(MATCH(129,'Transfer Engine'!$C$2:$C$1369,0)),"",INDEX('Compliance Database'!$D$2:$D$1369,MATCH(129,'Transfer Engine'!$C$2:$C$1369,0)))</f>
        <v/>
      </c>
      <c r="E138" s="8">
        <f>IF(ISNA(MATCH(129,'Transfer Engine'!$C$2:$C$1369,0)),"",INDEX('Compliance Database'!$E$2:$E$1369,MATCH(129,'Transfer Engine'!$C$2:$C$1369,0)))</f>
        <v/>
      </c>
      <c r="F138" s="8">
        <f>IF(ISNA(MATCH(129,'Transfer Engine'!$C$2:$C$1369,0)),"",INDEX('Compliance Database'!$F$2:$F$1369,MATCH(129,'Transfer Engine'!$C$2:$C$1369,0)))</f>
        <v/>
      </c>
      <c r="G138" s="8">
        <f>IF(ISNA(MATCH(129,'Transfer Engine'!$C$2:$C$1369,0)),"",INDEX('Compliance Database'!$G$2:$G$1369,MATCH(129,'Transfer Engine'!$C$2:$C$1369,0)))</f>
        <v/>
      </c>
      <c r="H138" s="9">
        <f>IF(ISNA(MATCH(129,'Transfer Engine'!$C$2:$C$1369,0)),"",INDEX('Compliance Database'!$H$2:$H$1369,MATCH(129,'Transfer Engine'!$C$2:$C$1369,0)))</f>
        <v/>
      </c>
      <c r="I138" s="9">
        <f>IF(ISNA(MATCH(129,'Transfer Engine'!$C$2:$C$1369,0)),"",INDEX('Compliance Database'!$I$2:$I$1369,MATCH(129,'Transfer Engine'!$C$2:$C$1369,0)))</f>
        <v/>
      </c>
      <c r="J138" s="8">
        <f>IF(ISNA(MATCH(129,'Transfer Engine'!$C$2:$C$1369,0)),"",INDEX('Compliance Database'!$J$2:$J$1369,MATCH(129,'Transfer Engine'!$C$2:$C$1369,0)))</f>
        <v/>
      </c>
      <c r="K138" s="9">
        <f>IF(ISNA(MATCH(129,'Transfer Engine'!$C$2:$C$1369,0)),"",INDEX('Compliance Database'!$K$2:$K$1369,MATCH(129,'Transfer Engine'!$C$2:$C$1369,0)))</f>
        <v/>
      </c>
      <c r="L138" s="9">
        <f>IF(ISNA(MATCH(129,'Transfer Engine'!$C$2:$C$1369,0)),"",INDEX('Compliance Database'!$L$2:$L$1369,MATCH(129,'Transfer Engine'!$C$2:$C$1369,0)))</f>
        <v/>
      </c>
      <c r="M138" s="9">
        <f>IF(ISNA(MATCH(129,'Transfer Engine'!$C$2:$C$1369,0)),"",INDEX('Compliance Database'!$M$2:$M$1369,MATCH(129,'Transfer Engine'!$C$2:$C$1369,0)))</f>
        <v/>
      </c>
      <c r="N138" s="9">
        <f>IF(ISNA(MATCH(129,'Transfer Engine'!$C$2:$C$1369,0)),"",INDEX('Compliance Database'!$N$2:$N$1369,MATCH(129,'Transfer Engine'!$C$2:$C$1369,0)))</f>
        <v/>
      </c>
      <c r="O138" s="8">
        <f>IF(ISNA(MATCH(129,'Transfer Engine'!$C$2:$C$1369,0)),"",HYPERLINK(INDEX('Compliance Database'!$O$2:$O$1369,MATCH(129,'Transfer Engine'!$C$2:$C$1369,0)),"Open PDF"))</f>
        <v/>
      </c>
    </row>
    <row r="139" ht="188" customHeight="1">
      <c r="A139" s="8">
        <f>IF(ISNA(MATCH(130,'Transfer Engine'!$C$2:$C$1369,0)),"",INDEX('Compliance Database'!$A$2:$A$1369,MATCH(130,'Transfer Engine'!$C$2:$C$1369,0)))</f>
        <v/>
      </c>
      <c r="B139" s="8">
        <f>IF(ISNA(MATCH(130,'Transfer Engine'!$C$2:$C$1369,0)),"",INDEX('Compliance Database'!$B$2:$B$1369,MATCH(130,'Transfer Engine'!$C$2:$C$1369,0)))</f>
        <v/>
      </c>
      <c r="C139" s="8">
        <f>IF(ISNA(MATCH(130,'Transfer Engine'!$C$2:$C$1369,0)),"",INDEX('Compliance Database'!$C$2:$C$1369,MATCH(130,'Transfer Engine'!$C$2:$C$1369,0)))</f>
        <v/>
      </c>
      <c r="D139" s="9">
        <f>IF(ISNA(MATCH(130,'Transfer Engine'!$C$2:$C$1369,0)),"",INDEX('Compliance Database'!$D$2:$D$1369,MATCH(130,'Transfer Engine'!$C$2:$C$1369,0)))</f>
        <v/>
      </c>
      <c r="E139" s="8">
        <f>IF(ISNA(MATCH(130,'Transfer Engine'!$C$2:$C$1369,0)),"",INDEX('Compliance Database'!$E$2:$E$1369,MATCH(130,'Transfer Engine'!$C$2:$C$1369,0)))</f>
        <v/>
      </c>
      <c r="F139" s="8">
        <f>IF(ISNA(MATCH(130,'Transfer Engine'!$C$2:$C$1369,0)),"",INDEX('Compliance Database'!$F$2:$F$1369,MATCH(130,'Transfer Engine'!$C$2:$C$1369,0)))</f>
        <v/>
      </c>
      <c r="G139" s="8">
        <f>IF(ISNA(MATCH(130,'Transfer Engine'!$C$2:$C$1369,0)),"",INDEX('Compliance Database'!$G$2:$G$1369,MATCH(130,'Transfer Engine'!$C$2:$C$1369,0)))</f>
        <v/>
      </c>
      <c r="H139" s="9">
        <f>IF(ISNA(MATCH(130,'Transfer Engine'!$C$2:$C$1369,0)),"",INDEX('Compliance Database'!$H$2:$H$1369,MATCH(130,'Transfer Engine'!$C$2:$C$1369,0)))</f>
        <v/>
      </c>
      <c r="I139" s="9">
        <f>IF(ISNA(MATCH(130,'Transfer Engine'!$C$2:$C$1369,0)),"",INDEX('Compliance Database'!$I$2:$I$1369,MATCH(130,'Transfer Engine'!$C$2:$C$1369,0)))</f>
        <v/>
      </c>
      <c r="J139" s="8">
        <f>IF(ISNA(MATCH(130,'Transfer Engine'!$C$2:$C$1369,0)),"",INDEX('Compliance Database'!$J$2:$J$1369,MATCH(130,'Transfer Engine'!$C$2:$C$1369,0)))</f>
        <v/>
      </c>
      <c r="K139" s="9">
        <f>IF(ISNA(MATCH(130,'Transfer Engine'!$C$2:$C$1369,0)),"",INDEX('Compliance Database'!$K$2:$K$1369,MATCH(130,'Transfer Engine'!$C$2:$C$1369,0)))</f>
        <v/>
      </c>
      <c r="L139" s="9">
        <f>IF(ISNA(MATCH(130,'Transfer Engine'!$C$2:$C$1369,0)),"",INDEX('Compliance Database'!$L$2:$L$1369,MATCH(130,'Transfer Engine'!$C$2:$C$1369,0)))</f>
        <v/>
      </c>
      <c r="M139" s="9">
        <f>IF(ISNA(MATCH(130,'Transfer Engine'!$C$2:$C$1369,0)),"",INDEX('Compliance Database'!$M$2:$M$1369,MATCH(130,'Transfer Engine'!$C$2:$C$1369,0)))</f>
        <v/>
      </c>
      <c r="N139" s="9">
        <f>IF(ISNA(MATCH(130,'Transfer Engine'!$C$2:$C$1369,0)),"",INDEX('Compliance Database'!$N$2:$N$1369,MATCH(130,'Transfer Engine'!$C$2:$C$1369,0)))</f>
        <v/>
      </c>
      <c r="O139" s="8">
        <f>IF(ISNA(MATCH(130,'Transfer Engine'!$C$2:$C$1369,0)),"",HYPERLINK(INDEX('Compliance Database'!$O$2:$O$1369,MATCH(130,'Transfer Engine'!$C$2:$C$1369,0)),"Open PDF"))</f>
        <v/>
      </c>
    </row>
    <row r="140" ht="188" customHeight="1">
      <c r="A140" s="8">
        <f>IF(ISNA(MATCH(131,'Transfer Engine'!$C$2:$C$1369,0)),"",INDEX('Compliance Database'!$A$2:$A$1369,MATCH(131,'Transfer Engine'!$C$2:$C$1369,0)))</f>
        <v/>
      </c>
      <c r="B140" s="8">
        <f>IF(ISNA(MATCH(131,'Transfer Engine'!$C$2:$C$1369,0)),"",INDEX('Compliance Database'!$B$2:$B$1369,MATCH(131,'Transfer Engine'!$C$2:$C$1369,0)))</f>
        <v/>
      </c>
      <c r="C140" s="8">
        <f>IF(ISNA(MATCH(131,'Transfer Engine'!$C$2:$C$1369,0)),"",INDEX('Compliance Database'!$C$2:$C$1369,MATCH(131,'Transfer Engine'!$C$2:$C$1369,0)))</f>
        <v/>
      </c>
      <c r="D140" s="9">
        <f>IF(ISNA(MATCH(131,'Transfer Engine'!$C$2:$C$1369,0)),"",INDEX('Compliance Database'!$D$2:$D$1369,MATCH(131,'Transfer Engine'!$C$2:$C$1369,0)))</f>
        <v/>
      </c>
      <c r="E140" s="8">
        <f>IF(ISNA(MATCH(131,'Transfer Engine'!$C$2:$C$1369,0)),"",INDEX('Compliance Database'!$E$2:$E$1369,MATCH(131,'Transfer Engine'!$C$2:$C$1369,0)))</f>
        <v/>
      </c>
      <c r="F140" s="8">
        <f>IF(ISNA(MATCH(131,'Transfer Engine'!$C$2:$C$1369,0)),"",INDEX('Compliance Database'!$F$2:$F$1369,MATCH(131,'Transfer Engine'!$C$2:$C$1369,0)))</f>
        <v/>
      </c>
      <c r="G140" s="8">
        <f>IF(ISNA(MATCH(131,'Transfer Engine'!$C$2:$C$1369,0)),"",INDEX('Compliance Database'!$G$2:$G$1369,MATCH(131,'Transfer Engine'!$C$2:$C$1369,0)))</f>
        <v/>
      </c>
      <c r="H140" s="9">
        <f>IF(ISNA(MATCH(131,'Transfer Engine'!$C$2:$C$1369,0)),"",INDEX('Compliance Database'!$H$2:$H$1369,MATCH(131,'Transfer Engine'!$C$2:$C$1369,0)))</f>
        <v/>
      </c>
      <c r="I140" s="9">
        <f>IF(ISNA(MATCH(131,'Transfer Engine'!$C$2:$C$1369,0)),"",INDEX('Compliance Database'!$I$2:$I$1369,MATCH(131,'Transfer Engine'!$C$2:$C$1369,0)))</f>
        <v/>
      </c>
      <c r="J140" s="8">
        <f>IF(ISNA(MATCH(131,'Transfer Engine'!$C$2:$C$1369,0)),"",INDEX('Compliance Database'!$J$2:$J$1369,MATCH(131,'Transfer Engine'!$C$2:$C$1369,0)))</f>
        <v/>
      </c>
      <c r="K140" s="9">
        <f>IF(ISNA(MATCH(131,'Transfer Engine'!$C$2:$C$1369,0)),"",INDEX('Compliance Database'!$K$2:$K$1369,MATCH(131,'Transfer Engine'!$C$2:$C$1369,0)))</f>
        <v/>
      </c>
      <c r="L140" s="9">
        <f>IF(ISNA(MATCH(131,'Transfer Engine'!$C$2:$C$1369,0)),"",INDEX('Compliance Database'!$L$2:$L$1369,MATCH(131,'Transfer Engine'!$C$2:$C$1369,0)))</f>
        <v/>
      </c>
      <c r="M140" s="9">
        <f>IF(ISNA(MATCH(131,'Transfer Engine'!$C$2:$C$1369,0)),"",INDEX('Compliance Database'!$M$2:$M$1369,MATCH(131,'Transfer Engine'!$C$2:$C$1369,0)))</f>
        <v/>
      </c>
      <c r="N140" s="9">
        <f>IF(ISNA(MATCH(131,'Transfer Engine'!$C$2:$C$1369,0)),"",INDEX('Compliance Database'!$N$2:$N$1369,MATCH(131,'Transfer Engine'!$C$2:$C$1369,0)))</f>
        <v/>
      </c>
      <c r="O140" s="8">
        <f>IF(ISNA(MATCH(131,'Transfer Engine'!$C$2:$C$1369,0)),"",HYPERLINK(INDEX('Compliance Database'!$O$2:$O$1369,MATCH(131,'Transfer Engine'!$C$2:$C$1369,0)),"Open PDF"))</f>
        <v/>
      </c>
    </row>
    <row r="141" ht="188" customHeight="1">
      <c r="A141" s="8">
        <f>IF(ISNA(MATCH(132,'Transfer Engine'!$C$2:$C$1369,0)),"",INDEX('Compliance Database'!$A$2:$A$1369,MATCH(132,'Transfer Engine'!$C$2:$C$1369,0)))</f>
        <v/>
      </c>
      <c r="B141" s="8">
        <f>IF(ISNA(MATCH(132,'Transfer Engine'!$C$2:$C$1369,0)),"",INDEX('Compliance Database'!$B$2:$B$1369,MATCH(132,'Transfer Engine'!$C$2:$C$1369,0)))</f>
        <v/>
      </c>
      <c r="C141" s="8">
        <f>IF(ISNA(MATCH(132,'Transfer Engine'!$C$2:$C$1369,0)),"",INDEX('Compliance Database'!$C$2:$C$1369,MATCH(132,'Transfer Engine'!$C$2:$C$1369,0)))</f>
        <v/>
      </c>
      <c r="D141" s="9">
        <f>IF(ISNA(MATCH(132,'Transfer Engine'!$C$2:$C$1369,0)),"",INDEX('Compliance Database'!$D$2:$D$1369,MATCH(132,'Transfer Engine'!$C$2:$C$1369,0)))</f>
        <v/>
      </c>
      <c r="E141" s="8">
        <f>IF(ISNA(MATCH(132,'Transfer Engine'!$C$2:$C$1369,0)),"",INDEX('Compliance Database'!$E$2:$E$1369,MATCH(132,'Transfer Engine'!$C$2:$C$1369,0)))</f>
        <v/>
      </c>
      <c r="F141" s="8">
        <f>IF(ISNA(MATCH(132,'Transfer Engine'!$C$2:$C$1369,0)),"",INDEX('Compliance Database'!$F$2:$F$1369,MATCH(132,'Transfer Engine'!$C$2:$C$1369,0)))</f>
        <v/>
      </c>
      <c r="G141" s="8">
        <f>IF(ISNA(MATCH(132,'Transfer Engine'!$C$2:$C$1369,0)),"",INDEX('Compliance Database'!$G$2:$G$1369,MATCH(132,'Transfer Engine'!$C$2:$C$1369,0)))</f>
        <v/>
      </c>
      <c r="H141" s="9">
        <f>IF(ISNA(MATCH(132,'Transfer Engine'!$C$2:$C$1369,0)),"",INDEX('Compliance Database'!$H$2:$H$1369,MATCH(132,'Transfer Engine'!$C$2:$C$1369,0)))</f>
        <v/>
      </c>
      <c r="I141" s="9">
        <f>IF(ISNA(MATCH(132,'Transfer Engine'!$C$2:$C$1369,0)),"",INDEX('Compliance Database'!$I$2:$I$1369,MATCH(132,'Transfer Engine'!$C$2:$C$1369,0)))</f>
        <v/>
      </c>
      <c r="J141" s="8">
        <f>IF(ISNA(MATCH(132,'Transfer Engine'!$C$2:$C$1369,0)),"",INDEX('Compliance Database'!$J$2:$J$1369,MATCH(132,'Transfer Engine'!$C$2:$C$1369,0)))</f>
        <v/>
      </c>
      <c r="K141" s="9">
        <f>IF(ISNA(MATCH(132,'Transfer Engine'!$C$2:$C$1369,0)),"",INDEX('Compliance Database'!$K$2:$K$1369,MATCH(132,'Transfer Engine'!$C$2:$C$1369,0)))</f>
        <v/>
      </c>
      <c r="L141" s="9">
        <f>IF(ISNA(MATCH(132,'Transfer Engine'!$C$2:$C$1369,0)),"",INDEX('Compliance Database'!$L$2:$L$1369,MATCH(132,'Transfer Engine'!$C$2:$C$1369,0)))</f>
        <v/>
      </c>
      <c r="M141" s="9">
        <f>IF(ISNA(MATCH(132,'Transfer Engine'!$C$2:$C$1369,0)),"",INDEX('Compliance Database'!$M$2:$M$1369,MATCH(132,'Transfer Engine'!$C$2:$C$1369,0)))</f>
        <v/>
      </c>
      <c r="N141" s="9">
        <f>IF(ISNA(MATCH(132,'Transfer Engine'!$C$2:$C$1369,0)),"",INDEX('Compliance Database'!$N$2:$N$1369,MATCH(132,'Transfer Engine'!$C$2:$C$1369,0)))</f>
        <v/>
      </c>
      <c r="O141" s="8">
        <f>IF(ISNA(MATCH(132,'Transfer Engine'!$C$2:$C$1369,0)),"",HYPERLINK(INDEX('Compliance Database'!$O$2:$O$1369,MATCH(132,'Transfer Engine'!$C$2:$C$1369,0)),"Open PDF"))</f>
        <v/>
      </c>
    </row>
    <row r="142" ht="188" customHeight="1">
      <c r="A142" s="8">
        <f>IF(ISNA(MATCH(133,'Transfer Engine'!$C$2:$C$1369,0)),"",INDEX('Compliance Database'!$A$2:$A$1369,MATCH(133,'Transfer Engine'!$C$2:$C$1369,0)))</f>
        <v/>
      </c>
      <c r="B142" s="8">
        <f>IF(ISNA(MATCH(133,'Transfer Engine'!$C$2:$C$1369,0)),"",INDEX('Compliance Database'!$B$2:$B$1369,MATCH(133,'Transfer Engine'!$C$2:$C$1369,0)))</f>
        <v/>
      </c>
      <c r="C142" s="8">
        <f>IF(ISNA(MATCH(133,'Transfer Engine'!$C$2:$C$1369,0)),"",INDEX('Compliance Database'!$C$2:$C$1369,MATCH(133,'Transfer Engine'!$C$2:$C$1369,0)))</f>
        <v/>
      </c>
      <c r="D142" s="9">
        <f>IF(ISNA(MATCH(133,'Transfer Engine'!$C$2:$C$1369,0)),"",INDEX('Compliance Database'!$D$2:$D$1369,MATCH(133,'Transfer Engine'!$C$2:$C$1369,0)))</f>
        <v/>
      </c>
      <c r="E142" s="8">
        <f>IF(ISNA(MATCH(133,'Transfer Engine'!$C$2:$C$1369,0)),"",INDEX('Compliance Database'!$E$2:$E$1369,MATCH(133,'Transfer Engine'!$C$2:$C$1369,0)))</f>
        <v/>
      </c>
      <c r="F142" s="8">
        <f>IF(ISNA(MATCH(133,'Transfer Engine'!$C$2:$C$1369,0)),"",INDEX('Compliance Database'!$F$2:$F$1369,MATCH(133,'Transfer Engine'!$C$2:$C$1369,0)))</f>
        <v/>
      </c>
      <c r="G142" s="8">
        <f>IF(ISNA(MATCH(133,'Transfer Engine'!$C$2:$C$1369,0)),"",INDEX('Compliance Database'!$G$2:$G$1369,MATCH(133,'Transfer Engine'!$C$2:$C$1369,0)))</f>
        <v/>
      </c>
      <c r="H142" s="9">
        <f>IF(ISNA(MATCH(133,'Transfer Engine'!$C$2:$C$1369,0)),"",INDEX('Compliance Database'!$H$2:$H$1369,MATCH(133,'Transfer Engine'!$C$2:$C$1369,0)))</f>
        <v/>
      </c>
      <c r="I142" s="9">
        <f>IF(ISNA(MATCH(133,'Transfer Engine'!$C$2:$C$1369,0)),"",INDEX('Compliance Database'!$I$2:$I$1369,MATCH(133,'Transfer Engine'!$C$2:$C$1369,0)))</f>
        <v/>
      </c>
      <c r="J142" s="8">
        <f>IF(ISNA(MATCH(133,'Transfer Engine'!$C$2:$C$1369,0)),"",INDEX('Compliance Database'!$J$2:$J$1369,MATCH(133,'Transfer Engine'!$C$2:$C$1369,0)))</f>
        <v/>
      </c>
      <c r="K142" s="9">
        <f>IF(ISNA(MATCH(133,'Transfer Engine'!$C$2:$C$1369,0)),"",INDEX('Compliance Database'!$K$2:$K$1369,MATCH(133,'Transfer Engine'!$C$2:$C$1369,0)))</f>
        <v/>
      </c>
      <c r="L142" s="9">
        <f>IF(ISNA(MATCH(133,'Transfer Engine'!$C$2:$C$1369,0)),"",INDEX('Compliance Database'!$L$2:$L$1369,MATCH(133,'Transfer Engine'!$C$2:$C$1369,0)))</f>
        <v/>
      </c>
      <c r="M142" s="9">
        <f>IF(ISNA(MATCH(133,'Transfer Engine'!$C$2:$C$1369,0)),"",INDEX('Compliance Database'!$M$2:$M$1369,MATCH(133,'Transfer Engine'!$C$2:$C$1369,0)))</f>
        <v/>
      </c>
      <c r="N142" s="9">
        <f>IF(ISNA(MATCH(133,'Transfer Engine'!$C$2:$C$1369,0)),"",INDEX('Compliance Database'!$N$2:$N$1369,MATCH(133,'Transfer Engine'!$C$2:$C$1369,0)))</f>
        <v/>
      </c>
      <c r="O142" s="8">
        <f>IF(ISNA(MATCH(133,'Transfer Engine'!$C$2:$C$1369,0)),"",HYPERLINK(INDEX('Compliance Database'!$O$2:$O$1369,MATCH(133,'Transfer Engine'!$C$2:$C$1369,0)),"Open PDF"))</f>
        <v/>
      </c>
    </row>
    <row r="143" ht="188" customHeight="1">
      <c r="A143" s="8">
        <f>IF(ISNA(MATCH(134,'Transfer Engine'!$C$2:$C$1369,0)),"",INDEX('Compliance Database'!$A$2:$A$1369,MATCH(134,'Transfer Engine'!$C$2:$C$1369,0)))</f>
        <v/>
      </c>
      <c r="B143" s="8">
        <f>IF(ISNA(MATCH(134,'Transfer Engine'!$C$2:$C$1369,0)),"",INDEX('Compliance Database'!$B$2:$B$1369,MATCH(134,'Transfer Engine'!$C$2:$C$1369,0)))</f>
        <v/>
      </c>
      <c r="C143" s="8">
        <f>IF(ISNA(MATCH(134,'Transfer Engine'!$C$2:$C$1369,0)),"",INDEX('Compliance Database'!$C$2:$C$1369,MATCH(134,'Transfer Engine'!$C$2:$C$1369,0)))</f>
        <v/>
      </c>
      <c r="D143" s="9">
        <f>IF(ISNA(MATCH(134,'Transfer Engine'!$C$2:$C$1369,0)),"",INDEX('Compliance Database'!$D$2:$D$1369,MATCH(134,'Transfer Engine'!$C$2:$C$1369,0)))</f>
        <v/>
      </c>
      <c r="E143" s="8">
        <f>IF(ISNA(MATCH(134,'Transfer Engine'!$C$2:$C$1369,0)),"",INDEX('Compliance Database'!$E$2:$E$1369,MATCH(134,'Transfer Engine'!$C$2:$C$1369,0)))</f>
        <v/>
      </c>
      <c r="F143" s="8">
        <f>IF(ISNA(MATCH(134,'Transfer Engine'!$C$2:$C$1369,0)),"",INDEX('Compliance Database'!$F$2:$F$1369,MATCH(134,'Transfer Engine'!$C$2:$C$1369,0)))</f>
        <v/>
      </c>
      <c r="G143" s="8">
        <f>IF(ISNA(MATCH(134,'Transfer Engine'!$C$2:$C$1369,0)),"",INDEX('Compliance Database'!$G$2:$G$1369,MATCH(134,'Transfer Engine'!$C$2:$C$1369,0)))</f>
        <v/>
      </c>
      <c r="H143" s="9">
        <f>IF(ISNA(MATCH(134,'Transfer Engine'!$C$2:$C$1369,0)),"",INDEX('Compliance Database'!$H$2:$H$1369,MATCH(134,'Transfer Engine'!$C$2:$C$1369,0)))</f>
        <v/>
      </c>
      <c r="I143" s="9">
        <f>IF(ISNA(MATCH(134,'Transfer Engine'!$C$2:$C$1369,0)),"",INDEX('Compliance Database'!$I$2:$I$1369,MATCH(134,'Transfer Engine'!$C$2:$C$1369,0)))</f>
        <v/>
      </c>
      <c r="J143" s="8">
        <f>IF(ISNA(MATCH(134,'Transfer Engine'!$C$2:$C$1369,0)),"",INDEX('Compliance Database'!$J$2:$J$1369,MATCH(134,'Transfer Engine'!$C$2:$C$1369,0)))</f>
        <v/>
      </c>
      <c r="K143" s="9">
        <f>IF(ISNA(MATCH(134,'Transfer Engine'!$C$2:$C$1369,0)),"",INDEX('Compliance Database'!$K$2:$K$1369,MATCH(134,'Transfer Engine'!$C$2:$C$1369,0)))</f>
        <v/>
      </c>
      <c r="L143" s="9">
        <f>IF(ISNA(MATCH(134,'Transfer Engine'!$C$2:$C$1369,0)),"",INDEX('Compliance Database'!$L$2:$L$1369,MATCH(134,'Transfer Engine'!$C$2:$C$1369,0)))</f>
        <v/>
      </c>
      <c r="M143" s="9">
        <f>IF(ISNA(MATCH(134,'Transfer Engine'!$C$2:$C$1369,0)),"",INDEX('Compliance Database'!$M$2:$M$1369,MATCH(134,'Transfer Engine'!$C$2:$C$1369,0)))</f>
        <v/>
      </c>
      <c r="N143" s="9">
        <f>IF(ISNA(MATCH(134,'Transfer Engine'!$C$2:$C$1369,0)),"",INDEX('Compliance Database'!$N$2:$N$1369,MATCH(134,'Transfer Engine'!$C$2:$C$1369,0)))</f>
        <v/>
      </c>
      <c r="O143" s="8">
        <f>IF(ISNA(MATCH(134,'Transfer Engine'!$C$2:$C$1369,0)),"",HYPERLINK(INDEX('Compliance Database'!$O$2:$O$1369,MATCH(134,'Transfer Engine'!$C$2:$C$1369,0)),"Open PDF"))</f>
        <v/>
      </c>
    </row>
    <row r="144" ht="188" customHeight="1">
      <c r="A144" s="8">
        <f>IF(ISNA(MATCH(135,'Transfer Engine'!$C$2:$C$1369,0)),"",INDEX('Compliance Database'!$A$2:$A$1369,MATCH(135,'Transfer Engine'!$C$2:$C$1369,0)))</f>
        <v/>
      </c>
      <c r="B144" s="8">
        <f>IF(ISNA(MATCH(135,'Transfer Engine'!$C$2:$C$1369,0)),"",INDEX('Compliance Database'!$B$2:$B$1369,MATCH(135,'Transfer Engine'!$C$2:$C$1369,0)))</f>
        <v/>
      </c>
      <c r="C144" s="8">
        <f>IF(ISNA(MATCH(135,'Transfer Engine'!$C$2:$C$1369,0)),"",INDEX('Compliance Database'!$C$2:$C$1369,MATCH(135,'Transfer Engine'!$C$2:$C$1369,0)))</f>
        <v/>
      </c>
      <c r="D144" s="9">
        <f>IF(ISNA(MATCH(135,'Transfer Engine'!$C$2:$C$1369,0)),"",INDEX('Compliance Database'!$D$2:$D$1369,MATCH(135,'Transfer Engine'!$C$2:$C$1369,0)))</f>
        <v/>
      </c>
      <c r="E144" s="8">
        <f>IF(ISNA(MATCH(135,'Transfer Engine'!$C$2:$C$1369,0)),"",INDEX('Compliance Database'!$E$2:$E$1369,MATCH(135,'Transfer Engine'!$C$2:$C$1369,0)))</f>
        <v/>
      </c>
      <c r="F144" s="8">
        <f>IF(ISNA(MATCH(135,'Transfer Engine'!$C$2:$C$1369,0)),"",INDEX('Compliance Database'!$F$2:$F$1369,MATCH(135,'Transfer Engine'!$C$2:$C$1369,0)))</f>
        <v/>
      </c>
      <c r="G144" s="8">
        <f>IF(ISNA(MATCH(135,'Transfer Engine'!$C$2:$C$1369,0)),"",INDEX('Compliance Database'!$G$2:$G$1369,MATCH(135,'Transfer Engine'!$C$2:$C$1369,0)))</f>
        <v/>
      </c>
      <c r="H144" s="9">
        <f>IF(ISNA(MATCH(135,'Transfer Engine'!$C$2:$C$1369,0)),"",INDEX('Compliance Database'!$H$2:$H$1369,MATCH(135,'Transfer Engine'!$C$2:$C$1369,0)))</f>
        <v/>
      </c>
      <c r="I144" s="9">
        <f>IF(ISNA(MATCH(135,'Transfer Engine'!$C$2:$C$1369,0)),"",INDEX('Compliance Database'!$I$2:$I$1369,MATCH(135,'Transfer Engine'!$C$2:$C$1369,0)))</f>
        <v/>
      </c>
      <c r="J144" s="8">
        <f>IF(ISNA(MATCH(135,'Transfer Engine'!$C$2:$C$1369,0)),"",INDEX('Compliance Database'!$J$2:$J$1369,MATCH(135,'Transfer Engine'!$C$2:$C$1369,0)))</f>
        <v/>
      </c>
      <c r="K144" s="9">
        <f>IF(ISNA(MATCH(135,'Transfer Engine'!$C$2:$C$1369,0)),"",INDEX('Compliance Database'!$K$2:$K$1369,MATCH(135,'Transfer Engine'!$C$2:$C$1369,0)))</f>
        <v/>
      </c>
      <c r="L144" s="9">
        <f>IF(ISNA(MATCH(135,'Transfer Engine'!$C$2:$C$1369,0)),"",INDEX('Compliance Database'!$L$2:$L$1369,MATCH(135,'Transfer Engine'!$C$2:$C$1369,0)))</f>
        <v/>
      </c>
      <c r="M144" s="9">
        <f>IF(ISNA(MATCH(135,'Transfer Engine'!$C$2:$C$1369,0)),"",INDEX('Compliance Database'!$M$2:$M$1369,MATCH(135,'Transfer Engine'!$C$2:$C$1369,0)))</f>
        <v/>
      </c>
      <c r="N144" s="9">
        <f>IF(ISNA(MATCH(135,'Transfer Engine'!$C$2:$C$1369,0)),"",INDEX('Compliance Database'!$N$2:$N$1369,MATCH(135,'Transfer Engine'!$C$2:$C$1369,0)))</f>
        <v/>
      </c>
      <c r="O144" s="8">
        <f>IF(ISNA(MATCH(135,'Transfer Engine'!$C$2:$C$1369,0)),"",HYPERLINK(INDEX('Compliance Database'!$O$2:$O$1369,MATCH(135,'Transfer Engine'!$C$2:$C$1369,0)),"Open PDF"))</f>
        <v/>
      </c>
    </row>
    <row r="145" ht="188" customHeight="1">
      <c r="A145" s="8">
        <f>IF(ISNA(MATCH(136,'Transfer Engine'!$C$2:$C$1369,0)),"",INDEX('Compliance Database'!$A$2:$A$1369,MATCH(136,'Transfer Engine'!$C$2:$C$1369,0)))</f>
        <v/>
      </c>
      <c r="B145" s="8">
        <f>IF(ISNA(MATCH(136,'Transfer Engine'!$C$2:$C$1369,0)),"",INDEX('Compliance Database'!$B$2:$B$1369,MATCH(136,'Transfer Engine'!$C$2:$C$1369,0)))</f>
        <v/>
      </c>
      <c r="C145" s="8">
        <f>IF(ISNA(MATCH(136,'Transfer Engine'!$C$2:$C$1369,0)),"",INDEX('Compliance Database'!$C$2:$C$1369,MATCH(136,'Transfer Engine'!$C$2:$C$1369,0)))</f>
        <v/>
      </c>
      <c r="D145" s="9">
        <f>IF(ISNA(MATCH(136,'Transfer Engine'!$C$2:$C$1369,0)),"",INDEX('Compliance Database'!$D$2:$D$1369,MATCH(136,'Transfer Engine'!$C$2:$C$1369,0)))</f>
        <v/>
      </c>
      <c r="E145" s="8">
        <f>IF(ISNA(MATCH(136,'Transfer Engine'!$C$2:$C$1369,0)),"",INDEX('Compliance Database'!$E$2:$E$1369,MATCH(136,'Transfer Engine'!$C$2:$C$1369,0)))</f>
        <v/>
      </c>
      <c r="F145" s="8">
        <f>IF(ISNA(MATCH(136,'Transfer Engine'!$C$2:$C$1369,0)),"",INDEX('Compliance Database'!$F$2:$F$1369,MATCH(136,'Transfer Engine'!$C$2:$C$1369,0)))</f>
        <v/>
      </c>
      <c r="G145" s="8">
        <f>IF(ISNA(MATCH(136,'Transfer Engine'!$C$2:$C$1369,0)),"",INDEX('Compliance Database'!$G$2:$G$1369,MATCH(136,'Transfer Engine'!$C$2:$C$1369,0)))</f>
        <v/>
      </c>
      <c r="H145" s="9">
        <f>IF(ISNA(MATCH(136,'Transfer Engine'!$C$2:$C$1369,0)),"",INDEX('Compliance Database'!$H$2:$H$1369,MATCH(136,'Transfer Engine'!$C$2:$C$1369,0)))</f>
        <v/>
      </c>
      <c r="I145" s="9">
        <f>IF(ISNA(MATCH(136,'Transfer Engine'!$C$2:$C$1369,0)),"",INDEX('Compliance Database'!$I$2:$I$1369,MATCH(136,'Transfer Engine'!$C$2:$C$1369,0)))</f>
        <v/>
      </c>
      <c r="J145" s="8">
        <f>IF(ISNA(MATCH(136,'Transfer Engine'!$C$2:$C$1369,0)),"",INDEX('Compliance Database'!$J$2:$J$1369,MATCH(136,'Transfer Engine'!$C$2:$C$1369,0)))</f>
        <v/>
      </c>
      <c r="K145" s="9">
        <f>IF(ISNA(MATCH(136,'Transfer Engine'!$C$2:$C$1369,0)),"",INDEX('Compliance Database'!$K$2:$K$1369,MATCH(136,'Transfer Engine'!$C$2:$C$1369,0)))</f>
        <v/>
      </c>
      <c r="L145" s="9">
        <f>IF(ISNA(MATCH(136,'Transfer Engine'!$C$2:$C$1369,0)),"",INDEX('Compliance Database'!$L$2:$L$1369,MATCH(136,'Transfer Engine'!$C$2:$C$1369,0)))</f>
        <v/>
      </c>
      <c r="M145" s="9">
        <f>IF(ISNA(MATCH(136,'Transfer Engine'!$C$2:$C$1369,0)),"",INDEX('Compliance Database'!$M$2:$M$1369,MATCH(136,'Transfer Engine'!$C$2:$C$1369,0)))</f>
        <v/>
      </c>
      <c r="N145" s="9">
        <f>IF(ISNA(MATCH(136,'Transfer Engine'!$C$2:$C$1369,0)),"",INDEX('Compliance Database'!$N$2:$N$1369,MATCH(136,'Transfer Engine'!$C$2:$C$1369,0)))</f>
        <v/>
      </c>
      <c r="O145" s="8">
        <f>IF(ISNA(MATCH(136,'Transfer Engine'!$C$2:$C$1369,0)),"",HYPERLINK(INDEX('Compliance Database'!$O$2:$O$1369,MATCH(136,'Transfer Engine'!$C$2:$C$1369,0)),"Open PDF"))</f>
        <v/>
      </c>
    </row>
    <row r="146" ht="188" customHeight="1">
      <c r="A146" s="8">
        <f>IF(ISNA(MATCH(137,'Transfer Engine'!$C$2:$C$1369,0)),"",INDEX('Compliance Database'!$A$2:$A$1369,MATCH(137,'Transfer Engine'!$C$2:$C$1369,0)))</f>
        <v/>
      </c>
      <c r="B146" s="8">
        <f>IF(ISNA(MATCH(137,'Transfer Engine'!$C$2:$C$1369,0)),"",INDEX('Compliance Database'!$B$2:$B$1369,MATCH(137,'Transfer Engine'!$C$2:$C$1369,0)))</f>
        <v/>
      </c>
      <c r="C146" s="8">
        <f>IF(ISNA(MATCH(137,'Transfer Engine'!$C$2:$C$1369,0)),"",INDEX('Compliance Database'!$C$2:$C$1369,MATCH(137,'Transfer Engine'!$C$2:$C$1369,0)))</f>
        <v/>
      </c>
      <c r="D146" s="9">
        <f>IF(ISNA(MATCH(137,'Transfer Engine'!$C$2:$C$1369,0)),"",INDEX('Compliance Database'!$D$2:$D$1369,MATCH(137,'Transfer Engine'!$C$2:$C$1369,0)))</f>
        <v/>
      </c>
      <c r="E146" s="8">
        <f>IF(ISNA(MATCH(137,'Transfer Engine'!$C$2:$C$1369,0)),"",INDEX('Compliance Database'!$E$2:$E$1369,MATCH(137,'Transfer Engine'!$C$2:$C$1369,0)))</f>
        <v/>
      </c>
      <c r="F146" s="8">
        <f>IF(ISNA(MATCH(137,'Transfer Engine'!$C$2:$C$1369,0)),"",INDEX('Compliance Database'!$F$2:$F$1369,MATCH(137,'Transfer Engine'!$C$2:$C$1369,0)))</f>
        <v/>
      </c>
      <c r="G146" s="8">
        <f>IF(ISNA(MATCH(137,'Transfer Engine'!$C$2:$C$1369,0)),"",INDEX('Compliance Database'!$G$2:$G$1369,MATCH(137,'Transfer Engine'!$C$2:$C$1369,0)))</f>
        <v/>
      </c>
      <c r="H146" s="9">
        <f>IF(ISNA(MATCH(137,'Transfer Engine'!$C$2:$C$1369,0)),"",INDEX('Compliance Database'!$H$2:$H$1369,MATCH(137,'Transfer Engine'!$C$2:$C$1369,0)))</f>
        <v/>
      </c>
      <c r="I146" s="9">
        <f>IF(ISNA(MATCH(137,'Transfer Engine'!$C$2:$C$1369,0)),"",INDEX('Compliance Database'!$I$2:$I$1369,MATCH(137,'Transfer Engine'!$C$2:$C$1369,0)))</f>
        <v/>
      </c>
      <c r="J146" s="8">
        <f>IF(ISNA(MATCH(137,'Transfer Engine'!$C$2:$C$1369,0)),"",INDEX('Compliance Database'!$J$2:$J$1369,MATCH(137,'Transfer Engine'!$C$2:$C$1369,0)))</f>
        <v/>
      </c>
      <c r="K146" s="9">
        <f>IF(ISNA(MATCH(137,'Transfer Engine'!$C$2:$C$1369,0)),"",INDEX('Compliance Database'!$K$2:$K$1369,MATCH(137,'Transfer Engine'!$C$2:$C$1369,0)))</f>
        <v/>
      </c>
      <c r="L146" s="9">
        <f>IF(ISNA(MATCH(137,'Transfer Engine'!$C$2:$C$1369,0)),"",INDEX('Compliance Database'!$L$2:$L$1369,MATCH(137,'Transfer Engine'!$C$2:$C$1369,0)))</f>
        <v/>
      </c>
      <c r="M146" s="9">
        <f>IF(ISNA(MATCH(137,'Transfer Engine'!$C$2:$C$1369,0)),"",INDEX('Compliance Database'!$M$2:$M$1369,MATCH(137,'Transfer Engine'!$C$2:$C$1369,0)))</f>
        <v/>
      </c>
      <c r="N146" s="9">
        <f>IF(ISNA(MATCH(137,'Transfer Engine'!$C$2:$C$1369,0)),"",INDEX('Compliance Database'!$N$2:$N$1369,MATCH(137,'Transfer Engine'!$C$2:$C$1369,0)))</f>
        <v/>
      </c>
      <c r="O146" s="8">
        <f>IF(ISNA(MATCH(137,'Transfer Engine'!$C$2:$C$1369,0)),"",HYPERLINK(INDEX('Compliance Database'!$O$2:$O$1369,MATCH(137,'Transfer Engine'!$C$2:$C$1369,0)),"Open PDF"))</f>
        <v/>
      </c>
    </row>
    <row r="147" ht="188" customHeight="1">
      <c r="A147" s="8">
        <f>IF(ISNA(MATCH(138,'Transfer Engine'!$C$2:$C$1369,0)),"",INDEX('Compliance Database'!$A$2:$A$1369,MATCH(138,'Transfer Engine'!$C$2:$C$1369,0)))</f>
        <v/>
      </c>
      <c r="B147" s="8">
        <f>IF(ISNA(MATCH(138,'Transfer Engine'!$C$2:$C$1369,0)),"",INDEX('Compliance Database'!$B$2:$B$1369,MATCH(138,'Transfer Engine'!$C$2:$C$1369,0)))</f>
        <v/>
      </c>
      <c r="C147" s="8">
        <f>IF(ISNA(MATCH(138,'Transfer Engine'!$C$2:$C$1369,0)),"",INDEX('Compliance Database'!$C$2:$C$1369,MATCH(138,'Transfer Engine'!$C$2:$C$1369,0)))</f>
        <v/>
      </c>
      <c r="D147" s="9">
        <f>IF(ISNA(MATCH(138,'Transfer Engine'!$C$2:$C$1369,0)),"",INDEX('Compliance Database'!$D$2:$D$1369,MATCH(138,'Transfer Engine'!$C$2:$C$1369,0)))</f>
        <v/>
      </c>
      <c r="E147" s="8">
        <f>IF(ISNA(MATCH(138,'Transfer Engine'!$C$2:$C$1369,0)),"",INDEX('Compliance Database'!$E$2:$E$1369,MATCH(138,'Transfer Engine'!$C$2:$C$1369,0)))</f>
        <v/>
      </c>
      <c r="F147" s="8">
        <f>IF(ISNA(MATCH(138,'Transfer Engine'!$C$2:$C$1369,0)),"",INDEX('Compliance Database'!$F$2:$F$1369,MATCH(138,'Transfer Engine'!$C$2:$C$1369,0)))</f>
        <v/>
      </c>
      <c r="G147" s="8">
        <f>IF(ISNA(MATCH(138,'Transfer Engine'!$C$2:$C$1369,0)),"",INDEX('Compliance Database'!$G$2:$G$1369,MATCH(138,'Transfer Engine'!$C$2:$C$1369,0)))</f>
        <v/>
      </c>
      <c r="H147" s="9">
        <f>IF(ISNA(MATCH(138,'Transfer Engine'!$C$2:$C$1369,0)),"",INDEX('Compliance Database'!$H$2:$H$1369,MATCH(138,'Transfer Engine'!$C$2:$C$1369,0)))</f>
        <v/>
      </c>
      <c r="I147" s="9">
        <f>IF(ISNA(MATCH(138,'Transfer Engine'!$C$2:$C$1369,0)),"",INDEX('Compliance Database'!$I$2:$I$1369,MATCH(138,'Transfer Engine'!$C$2:$C$1369,0)))</f>
        <v/>
      </c>
      <c r="J147" s="8">
        <f>IF(ISNA(MATCH(138,'Transfer Engine'!$C$2:$C$1369,0)),"",INDEX('Compliance Database'!$J$2:$J$1369,MATCH(138,'Transfer Engine'!$C$2:$C$1369,0)))</f>
        <v/>
      </c>
      <c r="K147" s="9">
        <f>IF(ISNA(MATCH(138,'Transfer Engine'!$C$2:$C$1369,0)),"",INDEX('Compliance Database'!$K$2:$K$1369,MATCH(138,'Transfer Engine'!$C$2:$C$1369,0)))</f>
        <v/>
      </c>
      <c r="L147" s="9">
        <f>IF(ISNA(MATCH(138,'Transfer Engine'!$C$2:$C$1369,0)),"",INDEX('Compliance Database'!$L$2:$L$1369,MATCH(138,'Transfer Engine'!$C$2:$C$1369,0)))</f>
        <v/>
      </c>
      <c r="M147" s="9">
        <f>IF(ISNA(MATCH(138,'Transfer Engine'!$C$2:$C$1369,0)),"",INDEX('Compliance Database'!$M$2:$M$1369,MATCH(138,'Transfer Engine'!$C$2:$C$1369,0)))</f>
        <v/>
      </c>
      <c r="N147" s="9">
        <f>IF(ISNA(MATCH(138,'Transfer Engine'!$C$2:$C$1369,0)),"",INDEX('Compliance Database'!$N$2:$N$1369,MATCH(138,'Transfer Engine'!$C$2:$C$1369,0)))</f>
        <v/>
      </c>
      <c r="O147" s="8">
        <f>IF(ISNA(MATCH(138,'Transfer Engine'!$C$2:$C$1369,0)),"",HYPERLINK(INDEX('Compliance Database'!$O$2:$O$1369,MATCH(138,'Transfer Engine'!$C$2:$C$1369,0)),"Open PDF"))</f>
        <v/>
      </c>
    </row>
    <row r="148" ht="188" customHeight="1">
      <c r="A148" s="8">
        <f>IF(ISNA(MATCH(139,'Transfer Engine'!$C$2:$C$1369,0)),"",INDEX('Compliance Database'!$A$2:$A$1369,MATCH(139,'Transfer Engine'!$C$2:$C$1369,0)))</f>
        <v/>
      </c>
      <c r="B148" s="8">
        <f>IF(ISNA(MATCH(139,'Transfer Engine'!$C$2:$C$1369,0)),"",INDEX('Compliance Database'!$B$2:$B$1369,MATCH(139,'Transfer Engine'!$C$2:$C$1369,0)))</f>
        <v/>
      </c>
      <c r="C148" s="8">
        <f>IF(ISNA(MATCH(139,'Transfer Engine'!$C$2:$C$1369,0)),"",INDEX('Compliance Database'!$C$2:$C$1369,MATCH(139,'Transfer Engine'!$C$2:$C$1369,0)))</f>
        <v/>
      </c>
      <c r="D148" s="9">
        <f>IF(ISNA(MATCH(139,'Transfer Engine'!$C$2:$C$1369,0)),"",INDEX('Compliance Database'!$D$2:$D$1369,MATCH(139,'Transfer Engine'!$C$2:$C$1369,0)))</f>
        <v/>
      </c>
      <c r="E148" s="8">
        <f>IF(ISNA(MATCH(139,'Transfer Engine'!$C$2:$C$1369,0)),"",INDEX('Compliance Database'!$E$2:$E$1369,MATCH(139,'Transfer Engine'!$C$2:$C$1369,0)))</f>
        <v/>
      </c>
      <c r="F148" s="8">
        <f>IF(ISNA(MATCH(139,'Transfer Engine'!$C$2:$C$1369,0)),"",INDEX('Compliance Database'!$F$2:$F$1369,MATCH(139,'Transfer Engine'!$C$2:$C$1369,0)))</f>
        <v/>
      </c>
      <c r="G148" s="8">
        <f>IF(ISNA(MATCH(139,'Transfer Engine'!$C$2:$C$1369,0)),"",INDEX('Compliance Database'!$G$2:$G$1369,MATCH(139,'Transfer Engine'!$C$2:$C$1369,0)))</f>
        <v/>
      </c>
      <c r="H148" s="9">
        <f>IF(ISNA(MATCH(139,'Transfer Engine'!$C$2:$C$1369,0)),"",INDEX('Compliance Database'!$H$2:$H$1369,MATCH(139,'Transfer Engine'!$C$2:$C$1369,0)))</f>
        <v/>
      </c>
      <c r="I148" s="9">
        <f>IF(ISNA(MATCH(139,'Transfer Engine'!$C$2:$C$1369,0)),"",INDEX('Compliance Database'!$I$2:$I$1369,MATCH(139,'Transfer Engine'!$C$2:$C$1369,0)))</f>
        <v/>
      </c>
      <c r="J148" s="8">
        <f>IF(ISNA(MATCH(139,'Transfer Engine'!$C$2:$C$1369,0)),"",INDEX('Compliance Database'!$J$2:$J$1369,MATCH(139,'Transfer Engine'!$C$2:$C$1369,0)))</f>
        <v/>
      </c>
      <c r="K148" s="9">
        <f>IF(ISNA(MATCH(139,'Transfer Engine'!$C$2:$C$1369,0)),"",INDEX('Compliance Database'!$K$2:$K$1369,MATCH(139,'Transfer Engine'!$C$2:$C$1369,0)))</f>
        <v/>
      </c>
      <c r="L148" s="9">
        <f>IF(ISNA(MATCH(139,'Transfer Engine'!$C$2:$C$1369,0)),"",INDEX('Compliance Database'!$L$2:$L$1369,MATCH(139,'Transfer Engine'!$C$2:$C$1369,0)))</f>
        <v/>
      </c>
      <c r="M148" s="9">
        <f>IF(ISNA(MATCH(139,'Transfer Engine'!$C$2:$C$1369,0)),"",INDEX('Compliance Database'!$M$2:$M$1369,MATCH(139,'Transfer Engine'!$C$2:$C$1369,0)))</f>
        <v/>
      </c>
      <c r="N148" s="9">
        <f>IF(ISNA(MATCH(139,'Transfer Engine'!$C$2:$C$1369,0)),"",INDEX('Compliance Database'!$N$2:$N$1369,MATCH(139,'Transfer Engine'!$C$2:$C$1369,0)))</f>
        <v/>
      </c>
      <c r="O148" s="8">
        <f>IF(ISNA(MATCH(139,'Transfer Engine'!$C$2:$C$1369,0)),"",HYPERLINK(INDEX('Compliance Database'!$O$2:$O$1369,MATCH(139,'Transfer Engine'!$C$2:$C$1369,0)),"Open PDF"))</f>
        <v/>
      </c>
    </row>
    <row r="149" ht="188" customHeight="1">
      <c r="A149" s="8">
        <f>IF(ISNA(MATCH(140,'Transfer Engine'!$C$2:$C$1369,0)),"",INDEX('Compliance Database'!$A$2:$A$1369,MATCH(140,'Transfer Engine'!$C$2:$C$1369,0)))</f>
        <v/>
      </c>
      <c r="B149" s="8">
        <f>IF(ISNA(MATCH(140,'Transfer Engine'!$C$2:$C$1369,0)),"",INDEX('Compliance Database'!$B$2:$B$1369,MATCH(140,'Transfer Engine'!$C$2:$C$1369,0)))</f>
        <v/>
      </c>
      <c r="C149" s="8">
        <f>IF(ISNA(MATCH(140,'Transfer Engine'!$C$2:$C$1369,0)),"",INDEX('Compliance Database'!$C$2:$C$1369,MATCH(140,'Transfer Engine'!$C$2:$C$1369,0)))</f>
        <v/>
      </c>
      <c r="D149" s="9">
        <f>IF(ISNA(MATCH(140,'Transfer Engine'!$C$2:$C$1369,0)),"",INDEX('Compliance Database'!$D$2:$D$1369,MATCH(140,'Transfer Engine'!$C$2:$C$1369,0)))</f>
        <v/>
      </c>
      <c r="E149" s="8">
        <f>IF(ISNA(MATCH(140,'Transfer Engine'!$C$2:$C$1369,0)),"",INDEX('Compliance Database'!$E$2:$E$1369,MATCH(140,'Transfer Engine'!$C$2:$C$1369,0)))</f>
        <v/>
      </c>
      <c r="F149" s="8">
        <f>IF(ISNA(MATCH(140,'Transfer Engine'!$C$2:$C$1369,0)),"",INDEX('Compliance Database'!$F$2:$F$1369,MATCH(140,'Transfer Engine'!$C$2:$C$1369,0)))</f>
        <v/>
      </c>
      <c r="G149" s="8">
        <f>IF(ISNA(MATCH(140,'Transfer Engine'!$C$2:$C$1369,0)),"",INDEX('Compliance Database'!$G$2:$G$1369,MATCH(140,'Transfer Engine'!$C$2:$C$1369,0)))</f>
        <v/>
      </c>
      <c r="H149" s="9">
        <f>IF(ISNA(MATCH(140,'Transfer Engine'!$C$2:$C$1369,0)),"",INDEX('Compliance Database'!$H$2:$H$1369,MATCH(140,'Transfer Engine'!$C$2:$C$1369,0)))</f>
        <v/>
      </c>
      <c r="I149" s="9">
        <f>IF(ISNA(MATCH(140,'Transfer Engine'!$C$2:$C$1369,0)),"",INDEX('Compliance Database'!$I$2:$I$1369,MATCH(140,'Transfer Engine'!$C$2:$C$1369,0)))</f>
        <v/>
      </c>
      <c r="J149" s="8">
        <f>IF(ISNA(MATCH(140,'Transfer Engine'!$C$2:$C$1369,0)),"",INDEX('Compliance Database'!$J$2:$J$1369,MATCH(140,'Transfer Engine'!$C$2:$C$1369,0)))</f>
        <v/>
      </c>
      <c r="K149" s="9">
        <f>IF(ISNA(MATCH(140,'Transfer Engine'!$C$2:$C$1369,0)),"",INDEX('Compliance Database'!$K$2:$K$1369,MATCH(140,'Transfer Engine'!$C$2:$C$1369,0)))</f>
        <v/>
      </c>
      <c r="L149" s="9">
        <f>IF(ISNA(MATCH(140,'Transfer Engine'!$C$2:$C$1369,0)),"",INDEX('Compliance Database'!$L$2:$L$1369,MATCH(140,'Transfer Engine'!$C$2:$C$1369,0)))</f>
        <v/>
      </c>
      <c r="M149" s="9">
        <f>IF(ISNA(MATCH(140,'Transfer Engine'!$C$2:$C$1369,0)),"",INDEX('Compliance Database'!$M$2:$M$1369,MATCH(140,'Transfer Engine'!$C$2:$C$1369,0)))</f>
        <v/>
      </c>
      <c r="N149" s="9">
        <f>IF(ISNA(MATCH(140,'Transfer Engine'!$C$2:$C$1369,0)),"",INDEX('Compliance Database'!$N$2:$N$1369,MATCH(140,'Transfer Engine'!$C$2:$C$1369,0)))</f>
        <v/>
      </c>
      <c r="O149" s="8">
        <f>IF(ISNA(MATCH(140,'Transfer Engine'!$C$2:$C$1369,0)),"",HYPERLINK(INDEX('Compliance Database'!$O$2:$O$1369,MATCH(140,'Transfer Engine'!$C$2:$C$1369,0)),"Open PDF"))</f>
        <v/>
      </c>
    </row>
    <row r="150" ht="188" customHeight="1">
      <c r="A150" s="8">
        <f>IF(ISNA(MATCH(141,'Transfer Engine'!$C$2:$C$1369,0)),"",INDEX('Compliance Database'!$A$2:$A$1369,MATCH(141,'Transfer Engine'!$C$2:$C$1369,0)))</f>
        <v/>
      </c>
      <c r="B150" s="8">
        <f>IF(ISNA(MATCH(141,'Transfer Engine'!$C$2:$C$1369,0)),"",INDEX('Compliance Database'!$B$2:$B$1369,MATCH(141,'Transfer Engine'!$C$2:$C$1369,0)))</f>
        <v/>
      </c>
      <c r="C150" s="8">
        <f>IF(ISNA(MATCH(141,'Transfer Engine'!$C$2:$C$1369,0)),"",INDEX('Compliance Database'!$C$2:$C$1369,MATCH(141,'Transfer Engine'!$C$2:$C$1369,0)))</f>
        <v/>
      </c>
      <c r="D150" s="9">
        <f>IF(ISNA(MATCH(141,'Transfer Engine'!$C$2:$C$1369,0)),"",INDEX('Compliance Database'!$D$2:$D$1369,MATCH(141,'Transfer Engine'!$C$2:$C$1369,0)))</f>
        <v/>
      </c>
      <c r="E150" s="8">
        <f>IF(ISNA(MATCH(141,'Transfer Engine'!$C$2:$C$1369,0)),"",INDEX('Compliance Database'!$E$2:$E$1369,MATCH(141,'Transfer Engine'!$C$2:$C$1369,0)))</f>
        <v/>
      </c>
      <c r="F150" s="8">
        <f>IF(ISNA(MATCH(141,'Transfer Engine'!$C$2:$C$1369,0)),"",INDEX('Compliance Database'!$F$2:$F$1369,MATCH(141,'Transfer Engine'!$C$2:$C$1369,0)))</f>
        <v/>
      </c>
      <c r="G150" s="8">
        <f>IF(ISNA(MATCH(141,'Transfer Engine'!$C$2:$C$1369,0)),"",INDEX('Compliance Database'!$G$2:$G$1369,MATCH(141,'Transfer Engine'!$C$2:$C$1369,0)))</f>
        <v/>
      </c>
      <c r="H150" s="9">
        <f>IF(ISNA(MATCH(141,'Transfer Engine'!$C$2:$C$1369,0)),"",INDEX('Compliance Database'!$H$2:$H$1369,MATCH(141,'Transfer Engine'!$C$2:$C$1369,0)))</f>
        <v/>
      </c>
      <c r="I150" s="9">
        <f>IF(ISNA(MATCH(141,'Transfer Engine'!$C$2:$C$1369,0)),"",INDEX('Compliance Database'!$I$2:$I$1369,MATCH(141,'Transfer Engine'!$C$2:$C$1369,0)))</f>
        <v/>
      </c>
      <c r="J150" s="8">
        <f>IF(ISNA(MATCH(141,'Transfer Engine'!$C$2:$C$1369,0)),"",INDEX('Compliance Database'!$J$2:$J$1369,MATCH(141,'Transfer Engine'!$C$2:$C$1369,0)))</f>
        <v/>
      </c>
      <c r="K150" s="9">
        <f>IF(ISNA(MATCH(141,'Transfer Engine'!$C$2:$C$1369,0)),"",INDEX('Compliance Database'!$K$2:$K$1369,MATCH(141,'Transfer Engine'!$C$2:$C$1369,0)))</f>
        <v/>
      </c>
      <c r="L150" s="9">
        <f>IF(ISNA(MATCH(141,'Transfer Engine'!$C$2:$C$1369,0)),"",INDEX('Compliance Database'!$L$2:$L$1369,MATCH(141,'Transfer Engine'!$C$2:$C$1369,0)))</f>
        <v/>
      </c>
      <c r="M150" s="9">
        <f>IF(ISNA(MATCH(141,'Transfer Engine'!$C$2:$C$1369,0)),"",INDEX('Compliance Database'!$M$2:$M$1369,MATCH(141,'Transfer Engine'!$C$2:$C$1369,0)))</f>
        <v/>
      </c>
      <c r="N150" s="9">
        <f>IF(ISNA(MATCH(141,'Transfer Engine'!$C$2:$C$1369,0)),"",INDEX('Compliance Database'!$N$2:$N$1369,MATCH(141,'Transfer Engine'!$C$2:$C$1369,0)))</f>
        <v/>
      </c>
      <c r="O150" s="8">
        <f>IF(ISNA(MATCH(141,'Transfer Engine'!$C$2:$C$1369,0)),"",HYPERLINK(INDEX('Compliance Database'!$O$2:$O$1369,MATCH(141,'Transfer Engine'!$C$2:$C$1369,0)),"Open PDF"))</f>
        <v/>
      </c>
    </row>
    <row r="151" ht="188" customHeight="1">
      <c r="A151" s="8">
        <f>IF(ISNA(MATCH(142,'Transfer Engine'!$C$2:$C$1369,0)),"",INDEX('Compliance Database'!$A$2:$A$1369,MATCH(142,'Transfer Engine'!$C$2:$C$1369,0)))</f>
        <v/>
      </c>
      <c r="B151" s="8">
        <f>IF(ISNA(MATCH(142,'Transfer Engine'!$C$2:$C$1369,0)),"",INDEX('Compliance Database'!$B$2:$B$1369,MATCH(142,'Transfer Engine'!$C$2:$C$1369,0)))</f>
        <v/>
      </c>
      <c r="C151" s="8">
        <f>IF(ISNA(MATCH(142,'Transfer Engine'!$C$2:$C$1369,0)),"",INDEX('Compliance Database'!$C$2:$C$1369,MATCH(142,'Transfer Engine'!$C$2:$C$1369,0)))</f>
        <v/>
      </c>
      <c r="D151" s="9">
        <f>IF(ISNA(MATCH(142,'Transfer Engine'!$C$2:$C$1369,0)),"",INDEX('Compliance Database'!$D$2:$D$1369,MATCH(142,'Transfer Engine'!$C$2:$C$1369,0)))</f>
        <v/>
      </c>
      <c r="E151" s="8">
        <f>IF(ISNA(MATCH(142,'Transfer Engine'!$C$2:$C$1369,0)),"",INDEX('Compliance Database'!$E$2:$E$1369,MATCH(142,'Transfer Engine'!$C$2:$C$1369,0)))</f>
        <v/>
      </c>
      <c r="F151" s="8">
        <f>IF(ISNA(MATCH(142,'Transfer Engine'!$C$2:$C$1369,0)),"",INDEX('Compliance Database'!$F$2:$F$1369,MATCH(142,'Transfer Engine'!$C$2:$C$1369,0)))</f>
        <v/>
      </c>
      <c r="G151" s="8">
        <f>IF(ISNA(MATCH(142,'Transfer Engine'!$C$2:$C$1369,0)),"",INDEX('Compliance Database'!$G$2:$G$1369,MATCH(142,'Transfer Engine'!$C$2:$C$1369,0)))</f>
        <v/>
      </c>
      <c r="H151" s="9">
        <f>IF(ISNA(MATCH(142,'Transfer Engine'!$C$2:$C$1369,0)),"",INDEX('Compliance Database'!$H$2:$H$1369,MATCH(142,'Transfer Engine'!$C$2:$C$1369,0)))</f>
        <v/>
      </c>
      <c r="I151" s="9">
        <f>IF(ISNA(MATCH(142,'Transfer Engine'!$C$2:$C$1369,0)),"",INDEX('Compliance Database'!$I$2:$I$1369,MATCH(142,'Transfer Engine'!$C$2:$C$1369,0)))</f>
        <v/>
      </c>
      <c r="J151" s="8">
        <f>IF(ISNA(MATCH(142,'Transfer Engine'!$C$2:$C$1369,0)),"",INDEX('Compliance Database'!$J$2:$J$1369,MATCH(142,'Transfer Engine'!$C$2:$C$1369,0)))</f>
        <v/>
      </c>
      <c r="K151" s="9">
        <f>IF(ISNA(MATCH(142,'Transfer Engine'!$C$2:$C$1369,0)),"",INDEX('Compliance Database'!$K$2:$K$1369,MATCH(142,'Transfer Engine'!$C$2:$C$1369,0)))</f>
        <v/>
      </c>
      <c r="L151" s="9">
        <f>IF(ISNA(MATCH(142,'Transfer Engine'!$C$2:$C$1369,0)),"",INDEX('Compliance Database'!$L$2:$L$1369,MATCH(142,'Transfer Engine'!$C$2:$C$1369,0)))</f>
        <v/>
      </c>
      <c r="M151" s="9">
        <f>IF(ISNA(MATCH(142,'Transfer Engine'!$C$2:$C$1369,0)),"",INDEX('Compliance Database'!$M$2:$M$1369,MATCH(142,'Transfer Engine'!$C$2:$C$1369,0)))</f>
        <v/>
      </c>
      <c r="N151" s="9">
        <f>IF(ISNA(MATCH(142,'Transfer Engine'!$C$2:$C$1369,0)),"",INDEX('Compliance Database'!$N$2:$N$1369,MATCH(142,'Transfer Engine'!$C$2:$C$1369,0)))</f>
        <v/>
      </c>
      <c r="O151" s="8">
        <f>IF(ISNA(MATCH(142,'Transfer Engine'!$C$2:$C$1369,0)),"",HYPERLINK(INDEX('Compliance Database'!$O$2:$O$1369,MATCH(142,'Transfer Engine'!$C$2:$C$1369,0)),"Open PDF"))</f>
        <v/>
      </c>
    </row>
    <row r="152" ht="188" customHeight="1">
      <c r="A152" s="8">
        <f>IF(ISNA(MATCH(143,'Transfer Engine'!$C$2:$C$1369,0)),"",INDEX('Compliance Database'!$A$2:$A$1369,MATCH(143,'Transfer Engine'!$C$2:$C$1369,0)))</f>
        <v/>
      </c>
      <c r="B152" s="8">
        <f>IF(ISNA(MATCH(143,'Transfer Engine'!$C$2:$C$1369,0)),"",INDEX('Compliance Database'!$B$2:$B$1369,MATCH(143,'Transfer Engine'!$C$2:$C$1369,0)))</f>
        <v/>
      </c>
      <c r="C152" s="8">
        <f>IF(ISNA(MATCH(143,'Transfer Engine'!$C$2:$C$1369,0)),"",INDEX('Compliance Database'!$C$2:$C$1369,MATCH(143,'Transfer Engine'!$C$2:$C$1369,0)))</f>
        <v/>
      </c>
      <c r="D152" s="9">
        <f>IF(ISNA(MATCH(143,'Transfer Engine'!$C$2:$C$1369,0)),"",INDEX('Compliance Database'!$D$2:$D$1369,MATCH(143,'Transfer Engine'!$C$2:$C$1369,0)))</f>
        <v/>
      </c>
      <c r="E152" s="8">
        <f>IF(ISNA(MATCH(143,'Transfer Engine'!$C$2:$C$1369,0)),"",INDEX('Compliance Database'!$E$2:$E$1369,MATCH(143,'Transfer Engine'!$C$2:$C$1369,0)))</f>
        <v/>
      </c>
      <c r="F152" s="8">
        <f>IF(ISNA(MATCH(143,'Transfer Engine'!$C$2:$C$1369,0)),"",INDEX('Compliance Database'!$F$2:$F$1369,MATCH(143,'Transfer Engine'!$C$2:$C$1369,0)))</f>
        <v/>
      </c>
      <c r="G152" s="8">
        <f>IF(ISNA(MATCH(143,'Transfer Engine'!$C$2:$C$1369,0)),"",INDEX('Compliance Database'!$G$2:$G$1369,MATCH(143,'Transfer Engine'!$C$2:$C$1369,0)))</f>
        <v/>
      </c>
      <c r="H152" s="9">
        <f>IF(ISNA(MATCH(143,'Transfer Engine'!$C$2:$C$1369,0)),"",INDEX('Compliance Database'!$H$2:$H$1369,MATCH(143,'Transfer Engine'!$C$2:$C$1369,0)))</f>
        <v/>
      </c>
      <c r="I152" s="9">
        <f>IF(ISNA(MATCH(143,'Transfer Engine'!$C$2:$C$1369,0)),"",INDEX('Compliance Database'!$I$2:$I$1369,MATCH(143,'Transfer Engine'!$C$2:$C$1369,0)))</f>
        <v/>
      </c>
      <c r="J152" s="8">
        <f>IF(ISNA(MATCH(143,'Transfer Engine'!$C$2:$C$1369,0)),"",INDEX('Compliance Database'!$J$2:$J$1369,MATCH(143,'Transfer Engine'!$C$2:$C$1369,0)))</f>
        <v/>
      </c>
      <c r="K152" s="9">
        <f>IF(ISNA(MATCH(143,'Transfer Engine'!$C$2:$C$1369,0)),"",INDEX('Compliance Database'!$K$2:$K$1369,MATCH(143,'Transfer Engine'!$C$2:$C$1369,0)))</f>
        <v/>
      </c>
      <c r="L152" s="9">
        <f>IF(ISNA(MATCH(143,'Transfer Engine'!$C$2:$C$1369,0)),"",INDEX('Compliance Database'!$L$2:$L$1369,MATCH(143,'Transfer Engine'!$C$2:$C$1369,0)))</f>
        <v/>
      </c>
      <c r="M152" s="9">
        <f>IF(ISNA(MATCH(143,'Transfer Engine'!$C$2:$C$1369,0)),"",INDEX('Compliance Database'!$M$2:$M$1369,MATCH(143,'Transfer Engine'!$C$2:$C$1369,0)))</f>
        <v/>
      </c>
      <c r="N152" s="9">
        <f>IF(ISNA(MATCH(143,'Transfer Engine'!$C$2:$C$1369,0)),"",INDEX('Compliance Database'!$N$2:$N$1369,MATCH(143,'Transfer Engine'!$C$2:$C$1369,0)))</f>
        <v/>
      </c>
      <c r="O152" s="8">
        <f>IF(ISNA(MATCH(143,'Transfer Engine'!$C$2:$C$1369,0)),"",HYPERLINK(INDEX('Compliance Database'!$O$2:$O$1369,MATCH(143,'Transfer Engine'!$C$2:$C$1369,0)),"Open PDF"))</f>
        <v/>
      </c>
    </row>
    <row r="153" ht="188" customHeight="1">
      <c r="A153" s="8">
        <f>IF(ISNA(MATCH(144,'Transfer Engine'!$C$2:$C$1369,0)),"",INDEX('Compliance Database'!$A$2:$A$1369,MATCH(144,'Transfer Engine'!$C$2:$C$1369,0)))</f>
        <v/>
      </c>
      <c r="B153" s="8">
        <f>IF(ISNA(MATCH(144,'Transfer Engine'!$C$2:$C$1369,0)),"",INDEX('Compliance Database'!$B$2:$B$1369,MATCH(144,'Transfer Engine'!$C$2:$C$1369,0)))</f>
        <v/>
      </c>
      <c r="C153" s="8">
        <f>IF(ISNA(MATCH(144,'Transfer Engine'!$C$2:$C$1369,0)),"",INDEX('Compliance Database'!$C$2:$C$1369,MATCH(144,'Transfer Engine'!$C$2:$C$1369,0)))</f>
        <v/>
      </c>
      <c r="D153" s="9">
        <f>IF(ISNA(MATCH(144,'Transfer Engine'!$C$2:$C$1369,0)),"",INDEX('Compliance Database'!$D$2:$D$1369,MATCH(144,'Transfer Engine'!$C$2:$C$1369,0)))</f>
        <v/>
      </c>
      <c r="E153" s="8">
        <f>IF(ISNA(MATCH(144,'Transfer Engine'!$C$2:$C$1369,0)),"",INDEX('Compliance Database'!$E$2:$E$1369,MATCH(144,'Transfer Engine'!$C$2:$C$1369,0)))</f>
        <v/>
      </c>
      <c r="F153" s="8">
        <f>IF(ISNA(MATCH(144,'Transfer Engine'!$C$2:$C$1369,0)),"",INDEX('Compliance Database'!$F$2:$F$1369,MATCH(144,'Transfer Engine'!$C$2:$C$1369,0)))</f>
        <v/>
      </c>
      <c r="G153" s="8">
        <f>IF(ISNA(MATCH(144,'Transfer Engine'!$C$2:$C$1369,0)),"",INDEX('Compliance Database'!$G$2:$G$1369,MATCH(144,'Transfer Engine'!$C$2:$C$1369,0)))</f>
        <v/>
      </c>
      <c r="H153" s="9">
        <f>IF(ISNA(MATCH(144,'Transfer Engine'!$C$2:$C$1369,0)),"",INDEX('Compliance Database'!$H$2:$H$1369,MATCH(144,'Transfer Engine'!$C$2:$C$1369,0)))</f>
        <v/>
      </c>
      <c r="I153" s="9">
        <f>IF(ISNA(MATCH(144,'Transfer Engine'!$C$2:$C$1369,0)),"",INDEX('Compliance Database'!$I$2:$I$1369,MATCH(144,'Transfer Engine'!$C$2:$C$1369,0)))</f>
        <v/>
      </c>
      <c r="J153" s="8">
        <f>IF(ISNA(MATCH(144,'Transfer Engine'!$C$2:$C$1369,0)),"",INDEX('Compliance Database'!$J$2:$J$1369,MATCH(144,'Transfer Engine'!$C$2:$C$1369,0)))</f>
        <v/>
      </c>
      <c r="K153" s="9">
        <f>IF(ISNA(MATCH(144,'Transfer Engine'!$C$2:$C$1369,0)),"",INDEX('Compliance Database'!$K$2:$K$1369,MATCH(144,'Transfer Engine'!$C$2:$C$1369,0)))</f>
        <v/>
      </c>
      <c r="L153" s="9">
        <f>IF(ISNA(MATCH(144,'Transfer Engine'!$C$2:$C$1369,0)),"",INDEX('Compliance Database'!$L$2:$L$1369,MATCH(144,'Transfer Engine'!$C$2:$C$1369,0)))</f>
        <v/>
      </c>
      <c r="M153" s="9">
        <f>IF(ISNA(MATCH(144,'Transfer Engine'!$C$2:$C$1369,0)),"",INDEX('Compliance Database'!$M$2:$M$1369,MATCH(144,'Transfer Engine'!$C$2:$C$1369,0)))</f>
        <v/>
      </c>
      <c r="N153" s="9">
        <f>IF(ISNA(MATCH(144,'Transfer Engine'!$C$2:$C$1369,0)),"",INDEX('Compliance Database'!$N$2:$N$1369,MATCH(144,'Transfer Engine'!$C$2:$C$1369,0)))</f>
        <v/>
      </c>
      <c r="O153" s="8">
        <f>IF(ISNA(MATCH(144,'Transfer Engine'!$C$2:$C$1369,0)),"",HYPERLINK(INDEX('Compliance Database'!$O$2:$O$1369,MATCH(144,'Transfer Engine'!$C$2:$C$1369,0)),"Open PDF"))</f>
        <v/>
      </c>
    </row>
    <row r="154" ht="188" customHeight="1">
      <c r="A154" s="8">
        <f>IF(ISNA(MATCH(145,'Transfer Engine'!$C$2:$C$1369,0)),"",INDEX('Compliance Database'!$A$2:$A$1369,MATCH(145,'Transfer Engine'!$C$2:$C$1369,0)))</f>
        <v/>
      </c>
      <c r="B154" s="8">
        <f>IF(ISNA(MATCH(145,'Transfer Engine'!$C$2:$C$1369,0)),"",INDEX('Compliance Database'!$B$2:$B$1369,MATCH(145,'Transfer Engine'!$C$2:$C$1369,0)))</f>
        <v/>
      </c>
      <c r="C154" s="8">
        <f>IF(ISNA(MATCH(145,'Transfer Engine'!$C$2:$C$1369,0)),"",INDEX('Compliance Database'!$C$2:$C$1369,MATCH(145,'Transfer Engine'!$C$2:$C$1369,0)))</f>
        <v/>
      </c>
      <c r="D154" s="9">
        <f>IF(ISNA(MATCH(145,'Transfer Engine'!$C$2:$C$1369,0)),"",INDEX('Compliance Database'!$D$2:$D$1369,MATCH(145,'Transfer Engine'!$C$2:$C$1369,0)))</f>
        <v/>
      </c>
      <c r="E154" s="8">
        <f>IF(ISNA(MATCH(145,'Transfer Engine'!$C$2:$C$1369,0)),"",INDEX('Compliance Database'!$E$2:$E$1369,MATCH(145,'Transfer Engine'!$C$2:$C$1369,0)))</f>
        <v/>
      </c>
      <c r="F154" s="8">
        <f>IF(ISNA(MATCH(145,'Transfer Engine'!$C$2:$C$1369,0)),"",INDEX('Compliance Database'!$F$2:$F$1369,MATCH(145,'Transfer Engine'!$C$2:$C$1369,0)))</f>
        <v/>
      </c>
      <c r="G154" s="8">
        <f>IF(ISNA(MATCH(145,'Transfer Engine'!$C$2:$C$1369,0)),"",INDEX('Compliance Database'!$G$2:$G$1369,MATCH(145,'Transfer Engine'!$C$2:$C$1369,0)))</f>
        <v/>
      </c>
      <c r="H154" s="9">
        <f>IF(ISNA(MATCH(145,'Transfer Engine'!$C$2:$C$1369,0)),"",INDEX('Compliance Database'!$H$2:$H$1369,MATCH(145,'Transfer Engine'!$C$2:$C$1369,0)))</f>
        <v/>
      </c>
      <c r="I154" s="9">
        <f>IF(ISNA(MATCH(145,'Transfer Engine'!$C$2:$C$1369,0)),"",INDEX('Compliance Database'!$I$2:$I$1369,MATCH(145,'Transfer Engine'!$C$2:$C$1369,0)))</f>
        <v/>
      </c>
      <c r="J154" s="8">
        <f>IF(ISNA(MATCH(145,'Transfer Engine'!$C$2:$C$1369,0)),"",INDEX('Compliance Database'!$J$2:$J$1369,MATCH(145,'Transfer Engine'!$C$2:$C$1369,0)))</f>
        <v/>
      </c>
      <c r="K154" s="9">
        <f>IF(ISNA(MATCH(145,'Transfer Engine'!$C$2:$C$1369,0)),"",INDEX('Compliance Database'!$K$2:$K$1369,MATCH(145,'Transfer Engine'!$C$2:$C$1369,0)))</f>
        <v/>
      </c>
      <c r="L154" s="9">
        <f>IF(ISNA(MATCH(145,'Transfer Engine'!$C$2:$C$1369,0)),"",INDEX('Compliance Database'!$L$2:$L$1369,MATCH(145,'Transfer Engine'!$C$2:$C$1369,0)))</f>
        <v/>
      </c>
      <c r="M154" s="9">
        <f>IF(ISNA(MATCH(145,'Transfer Engine'!$C$2:$C$1369,0)),"",INDEX('Compliance Database'!$M$2:$M$1369,MATCH(145,'Transfer Engine'!$C$2:$C$1369,0)))</f>
        <v/>
      </c>
      <c r="N154" s="9">
        <f>IF(ISNA(MATCH(145,'Transfer Engine'!$C$2:$C$1369,0)),"",INDEX('Compliance Database'!$N$2:$N$1369,MATCH(145,'Transfer Engine'!$C$2:$C$1369,0)))</f>
        <v/>
      </c>
      <c r="O154" s="8">
        <f>IF(ISNA(MATCH(145,'Transfer Engine'!$C$2:$C$1369,0)),"",HYPERLINK(INDEX('Compliance Database'!$O$2:$O$1369,MATCH(145,'Transfer Engine'!$C$2:$C$1369,0)),"Open PDF"))</f>
        <v/>
      </c>
    </row>
    <row r="155" ht="188" customHeight="1">
      <c r="A155" s="8">
        <f>IF(ISNA(MATCH(146,'Transfer Engine'!$C$2:$C$1369,0)),"",INDEX('Compliance Database'!$A$2:$A$1369,MATCH(146,'Transfer Engine'!$C$2:$C$1369,0)))</f>
        <v/>
      </c>
      <c r="B155" s="8">
        <f>IF(ISNA(MATCH(146,'Transfer Engine'!$C$2:$C$1369,0)),"",INDEX('Compliance Database'!$B$2:$B$1369,MATCH(146,'Transfer Engine'!$C$2:$C$1369,0)))</f>
        <v/>
      </c>
      <c r="C155" s="8">
        <f>IF(ISNA(MATCH(146,'Transfer Engine'!$C$2:$C$1369,0)),"",INDEX('Compliance Database'!$C$2:$C$1369,MATCH(146,'Transfer Engine'!$C$2:$C$1369,0)))</f>
        <v/>
      </c>
      <c r="D155" s="9">
        <f>IF(ISNA(MATCH(146,'Transfer Engine'!$C$2:$C$1369,0)),"",INDEX('Compliance Database'!$D$2:$D$1369,MATCH(146,'Transfer Engine'!$C$2:$C$1369,0)))</f>
        <v/>
      </c>
      <c r="E155" s="8">
        <f>IF(ISNA(MATCH(146,'Transfer Engine'!$C$2:$C$1369,0)),"",INDEX('Compliance Database'!$E$2:$E$1369,MATCH(146,'Transfer Engine'!$C$2:$C$1369,0)))</f>
        <v/>
      </c>
      <c r="F155" s="8">
        <f>IF(ISNA(MATCH(146,'Transfer Engine'!$C$2:$C$1369,0)),"",INDEX('Compliance Database'!$F$2:$F$1369,MATCH(146,'Transfer Engine'!$C$2:$C$1369,0)))</f>
        <v/>
      </c>
      <c r="G155" s="8">
        <f>IF(ISNA(MATCH(146,'Transfer Engine'!$C$2:$C$1369,0)),"",INDEX('Compliance Database'!$G$2:$G$1369,MATCH(146,'Transfer Engine'!$C$2:$C$1369,0)))</f>
        <v/>
      </c>
      <c r="H155" s="9">
        <f>IF(ISNA(MATCH(146,'Transfer Engine'!$C$2:$C$1369,0)),"",INDEX('Compliance Database'!$H$2:$H$1369,MATCH(146,'Transfer Engine'!$C$2:$C$1369,0)))</f>
        <v/>
      </c>
      <c r="I155" s="9">
        <f>IF(ISNA(MATCH(146,'Transfer Engine'!$C$2:$C$1369,0)),"",INDEX('Compliance Database'!$I$2:$I$1369,MATCH(146,'Transfer Engine'!$C$2:$C$1369,0)))</f>
        <v/>
      </c>
      <c r="J155" s="8">
        <f>IF(ISNA(MATCH(146,'Transfer Engine'!$C$2:$C$1369,0)),"",INDEX('Compliance Database'!$J$2:$J$1369,MATCH(146,'Transfer Engine'!$C$2:$C$1369,0)))</f>
        <v/>
      </c>
      <c r="K155" s="9">
        <f>IF(ISNA(MATCH(146,'Transfer Engine'!$C$2:$C$1369,0)),"",INDEX('Compliance Database'!$K$2:$K$1369,MATCH(146,'Transfer Engine'!$C$2:$C$1369,0)))</f>
        <v/>
      </c>
      <c r="L155" s="9">
        <f>IF(ISNA(MATCH(146,'Transfer Engine'!$C$2:$C$1369,0)),"",INDEX('Compliance Database'!$L$2:$L$1369,MATCH(146,'Transfer Engine'!$C$2:$C$1369,0)))</f>
        <v/>
      </c>
      <c r="M155" s="9">
        <f>IF(ISNA(MATCH(146,'Transfer Engine'!$C$2:$C$1369,0)),"",INDEX('Compliance Database'!$M$2:$M$1369,MATCH(146,'Transfer Engine'!$C$2:$C$1369,0)))</f>
        <v/>
      </c>
      <c r="N155" s="9">
        <f>IF(ISNA(MATCH(146,'Transfer Engine'!$C$2:$C$1369,0)),"",INDEX('Compliance Database'!$N$2:$N$1369,MATCH(146,'Transfer Engine'!$C$2:$C$1369,0)))</f>
        <v/>
      </c>
      <c r="O155" s="8">
        <f>IF(ISNA(MATCH(146,'Transfer Engine'!$C$2:$C$1369,0)),"",HYPERLINK(INDEX('Compliance Database'!$O$2:$O$1369,MATCH(146,'Transfer Engine'!$C$2:$C$1369,0)),"Open PDF"))</f>
        <v/>
      </c>
    </row>
    <row r="156" ht="188" customHeight="1">
      <c r="A156" s="8">
        <f>IF(ISNA(MATCH(147,'Transfer Engine'!$C$2:$C$1369,0)),"",INDEX('Compliance Database'!$A$2:$A$1369,MATCH(147,'Transfer Engine'!$C$2:$C$1369,0)))</f>
        <v/>
      </c>
      <c r="B156" s="8">
        <f>IF(ISNA(MATCH(147,'Transfer Engine'!$C$2:$C$1369,0)),"",INDEX('Compliance Database'!$B$2:$B$1369,MATCH(147,'Transfer Engine'!$C$2:$C$1369,0)))</f>
        <v/>
      </c>
      <c r="C156" s="8">
        <f>IF(ISNA(MATCH(147,'Transfer Engine'!$C$2:$C$1369,0)),"",INDEX('Compliance Database'!$C$2:$C$1369,MATCH(147,'Transfer Engine'!$C$2:$C$1369,0)))</f>
        <v/>
      </c>
      <c r="D156" s="9">
        <f>IF(ISNA(MATCH(147,'Transfer Engine'!$C$2:$C$1369,0)),"",INDEX('Compliance Database'!$D$2:$D$1369,MATCH(147,'Transfer Engine'!$C$2:$C$1369,0)))</f>
        <v/>
      </c>
      <c r="E156" s="8">
        <f>IF(ISNA(MATCH(147,'Transfer Engine'!$C$2:$C$1369,0)),"",INDEX('Compliance Database'!$E$2:$E$1369,MATCH(147,'Transfer Engine'!$C$2:$C$1369,0)))</f>
        <v/>
      </c>
      <c r="F156" s="8">
        <f>IF(ISNA(MATCH(147,'Transfer Engine'!$C$2:$C$1369,0)),"",INDEX('Compliance Database'!$F$2:$F$1369,MATCH(147,'Transfer Engine'!$C$2:$C$1369,0)))</f>
        <v/>
      </c>
      <c r="G156" s="8">
        <f>IF(ISNA(MATCH(147,'Transfer Engine'!$C$2:$C$1369,0)),"",INDEX('Compliance Database'!$G$2:$G$1369,MATCH(147,'Transfer Engine'!$C$2:$C$1369,0)))</f>
        <v/>
      </c>
      <c r="H156" s="9">
        <f>IF(ISNA(MATCH(147,'Transfer Engine'!$C$2:$C$1369,0)),"",INDEX('Compliance Database'!$H$2:$H$1369,MATCH(147,'Transfer Engine'!$C$2:$C$1369,0)))</f>
        <v/>
      </c>
      <c r="I156" s="9">
        <f>IF(ISNA(MATCH(147,'Transfer Engine'!$C$2:$C$1369,0)),"",INDEX('Compliance Database'!$I$2:$I$1369,MATCH(147,'Transfer Engine'!$C$2:$C$1369,0)))</f>
        <v/>
      </c>
      <c r="J156" s="8">
        <f>IF(ISNA(MATCH(147,'Transfer Engine'!$C$2:$C$1369,0)),"",INDEX('Compliance Database'!$J$2:$J$1369,MATCH(147,'Transfer Engine'!$C$2:$C$1369,0)))</f>
        <v/>
      </c>
      <c r="K156" s="9">
        <f>IF(ISNA(MATCH(147,'Transfer Engine'!$C$2:$C$1369,0)),"",INDEX('Compliance Database'!$K$2:$K$1369,MATCH(147,'Transfer Engine'!$C$2:$C$1369,0)))</f>
        <v/>
      </c>
      <c r="L156" s="9">
        <f>IF(ISNA(MATCH(147,'Transfer Engine'!$C$2:$C$1369,0)),"",INDEX('Compliance Database'!$L$2:$L$1369,MATCH(147,'Transfer Engine'!$C$2:$C$1369,0)))</f>
        <v/>
      </c>
      <c r="M156" s="9">
        <f>IF(ISNA(MATCH(147,'Transfer Engine'!$C$2:$C$1369,0)),"",INDEX('Compliance Database'!$M$2:$M$1369,MATCH(147,'Transfer Engine'!$C$2:$C$1369,0)))</f>
        <v/>
      </c>
      <c r="N156" s="9">
        <f>IF(ISNA(MATCH(147,'Transfer Engine'!$C$2:$C$1369,0)),"",INDEX('Compliance Database'!$N$2:$N$1369,MATCH(147,'Transfer Engine'!$C$2:$C$1369,0)))</f>
        <v/>
      </c>
      <c r="O156" s="8">
        <f>IF(ISNA(MATCH(147,'Transfer Engine'!$C$2:$C$1369,0)),"",HYPERLINK(INDEX('Compliance Database'!$O$2:$O$1369,MATCH(147,'Transfer Engine'!$C$2:$C$1369,0)),"Open PDF"))</f>
        <v/>
      </c>
    </row>
    <row r="157" ht="188" customHeight="1">
      <c r="A157" s="8">
        <f>IF(ISNA(MATCH(148,'Transfer Engine'!$C$2:$C$1369,0)),"",INDEX('Compliance Database'!$A$2:$A$1369,MATCH(148,'Transfer Engine'!$C$2:$C$1369,0)))</f>
        <v/>
      </c>
      <c r="B157" s="8">
        <f>IF(ISNA(MATCH(148,'Transfer Engine'!$C$2:$C$1369,0)),"",INDEX('Compliance Database'!$B$2:$B$1369,MATCH(148,'Transfer Engine'!$C$2:$C$1369,0)))</f>
        <v/>
      </c>
      <c r="C157" s="8">
        <f>IF(ISNA(MATCH(148,'Transfer Engine'!$C$2:$C$1369,0)),"",INDEX('Compliance Database'!$C$2:$C$1369,MATCH(148,'Transfer Engine'!$C$2:$C$1369,0)))</f>
        <v/>
      </c>
      <c r="D157" s="9">
        <f>IF(ISNA(MATCH(148,'Transfer Engine'!$C$2:$C$1369,0)),"",INDEX('Compliance Database'!$D$2:$D$1369,MATCH(148,'Transfer Engine'!$C$2:$C$1369,0)))</f>
        <v/>
      </c>
      <c r="E157" s="8">
        <f>IF(ISNA(MATCH(148,'Transfer Engine'!$C$2:$C$1369,0)),"",INDEX('Compliance Database'!$E$2:$E$1369,MATCH(148,'Transfer Engine'!$C$2:$C$1369,0)))</f>
        <v/>
      </c>
      <c r="F157" s="8">
        <f>IF(ISNA(MATCH(148,'Transfer Engine'!$C$2:$C$1369,0)),"",INDEX('Compliance Database'!$F$2:$F$1369,MATCH(148,'Transfer Engine'!$C$2:$C$1369,0)))</f>
        <v/>
      </c>
      <c r="G157" s="8">
        <f>IF(ISNA(MATCH(148,'Transfer Engine'!$C$2:$C$1369,0)),"",INDEX('Compliance Database'!$G$2:$G$1369,MATCH(148,'Transfer Engine'!$C$2:$C$1369,0)))</f>
        <v/>
      </c>
      <c r="H157" s="9">
        <f>IF(ISNA(MATCH(148,'Transfer Engine'!$C$2:$C$1369,0)),"",INDEX('Compliance Database'!$H$2:$H$1369,MATCH(148,'Transfer Engine'!$C$2:$C$1369,0)))</f>
        <v/>
      </c>
      <c r="I157" s="9">
        <f>IF(ISNA(MATCH(148,'Transfer Engine'!$C$2:$C$1369,0)),"",INDEX('Compliance Database'!$I$2:$I$1369,MATCH(148,'Transfer Engine'!$C$2:$C$1369,0)))</f>
        <v/>
      </c>
      <c r="J157" s="8">
        <f>IF(ISNA(MATCH(148,'Transfer Engine'!$C$2:$C$1369,0)),"",INDEX('Compliance Database'!$J$2:$J$1369,MATCH(148,'Transfer Engine'!$C$2:$C$1369,0)))</f>
        <v/>
      </c>
      <c r="K157" s="9">
        <f>IF(ISNA(MATCH(148,'Transfer Engine'!$C$2:$C$1369,0)),"",INDEX('Compliance Database'!$K$2:$K$1369,MATCH(148,'Transfer Engine'!$C$2:$C$1369,0)))</f>
        <v/>
      </c>
      <c r="L157" s="9">
        <f>IF(ISNA(MATCH(148,'Transfer Engine'!$C$2:$C$1369,0)),"",INDEX('Compliance Database'!$L$2:$L$1369,MATCH(148,'Transfer Engine'!$C$2:$C$1369,0)))</f>
        <v/>
      </c>
      <c r="M157" s="9">
        <f>IF(ISNA(MATCH(148,'Transfer Engine'!$C$2:$C$1369,0)),"",INDEX('Compliance Database'!$M$2:$M$1369,MATCH(148,'Transfer Engine'!$C$2:$C$1369,0)))</f>
        <v/>
      </c>
      <c r="N157" s="9">
        <f>IF(ISNA(MATCH(148,'Transfer Engine'!$C$2:$C$1369,0)),"",INDEX('Compliance Database'!$N$2:$N$1369,MATCH(148,'Transfer Engine'!$C$2:$C$1369,0)))</f>
        <v/>
      </c>
      <c r="O157" s="8">
        <f>IF(ISNA(MATCH(148,'Transfer Engine'!$C$2:$C$1369,0)),"",HYPERLINK(INDEX('Compliance Database'!$O$2:$O$1369,MATCH(148,'Transfer Engine'!$C$2:$C$1369,0)),"Open PDF"))</f>
        <v/>
      </c>
    </row>
    <row r="158" ht="188" customHeight="1">
      <c r="A158" s="8">
        <f>IF(ISNA(MATCH(149,'Transfer Engine'!$C$2:$C$1369,0)),"",INDEX('Compliance Database'!$A$2:$A$1369,MATCH(149,'Transfer Engine'!$C$2:$C$1369,0)))</f>
        <v/>
      </c>
      <c r="B158" s="8">
        <f>IF(ISNA(MATCH(149,'Transfer Engine'!$C$2:$C$1369,0)),"",INDEX('Compliance Database'!$B$2:$B$1369,MATCH(149,'Transfer Engine'!$C$2:$C$1369,0)))</f>
        <v/>
      </c>
      <c r="C158" s="8">
        <f>IF(ISNA(MATCH(149,'Transfer Engine'!$C$2:$C$1369,0)),"",INDEX('Compliance Database'!$C$2:$C$1369,MATCH(149,'Transfer Engine'!$C$2:$C$1369,0)))</f>
        <v/>
      </c>
      <c r="D158" s="9">
        <f>IF(ISNA(MATCH(149,'Transfer Engine'!$C$2:$C$1369,0)),"",INDEX('Compliance Database'!$D$2:$D$1369,MATCH(149,'Transfer Engine'!$C$2:$C$1369,0)))</f>
        <v/>
      </c>
      <c r="E158" s="8">
        <f>IF(ISNA(MATCH(149,'Transfer Engine'!$C$2:$C$1369,0)),"",INDEX('Compliance Database'!$E$2:$E$1369,MATCH(149,'Transfer Engine'!$C$2:$C$1369,0)))</f>
        <v/>
      </c>
      <c r="F158" s="8">
        <f>IF(ISNA(MATCH(149,'Transfer Engine'!$C$2:$C$1369,0)),"",INDEX('Compliance Database'!$F$2:$F$1369,MATCH(149,'Transfer Engine'!$C$2:$C$1369,0)))</f>
        <v/>
      </c>
      <c r="G158" s="8">
        <f>IF(ISNA(MATCH(149,'Transfer Engine'!$C$2:$C$1369,0)),"",INDEX('Compliance Database'!$G$2:$G$1369,MATCH(149,'Transfer Engine'!$C$2:$C$1369,0)))</f>
        <v/>
      </c>
      <c r="H158" s="9">
        <f>IF(ISNA(MATCH(149,'Transfer Engine'!$C$2:$C$1369,0)),"",INDEX('Compliance Database'!$H$2:$H$1369,MATCH(149,'Transfer Engine'!$C$2:$C$1369,0)))</f>
        <v/>
      </c>
      <c r="I158" s="9">
        <f>IF(ISNA(MATCH(149,'Transfer Engine'!$C$2:$C$1369,0)),"",INDEX('Compliance Database'!$I$2:$I$1369,MATCH(149,'Transfer Engine'!$C$2:$C$1369,0)))</f>
        <v/>
      </c>
      <c r="J158" s="8">
        <f>IF(ISNA(MATCH(149,'Transfer Engine'!$C$2:$C$1369,0)),"",INDEX('Compliance Database'!$J$2:$J$1369,MATCH(149,'Transfer Engine'!$C$2:$C$1369,0)))</f>
        <v/>
      </c>
      <c r="K158" s="9">
        <f>IF(ISNA(MATCH(149,'Transfer Engine'!$C$2:$C$1369,0)),"",INDEX('Compliance Database'!$K$2:$K$1369,MATCH(149,'Transfer Engine'!$C$2:$C$1369,0)))</f>
        <v/>
      </c>
      <c r="L158" s="9">
        <f>IF(ISNA(MATCH(149,'Transfer Engine'!$C$2:$C$1369,0)),"",INDEX('Compliance Database'!$L$2:$L$1369,MATCH(149,'Transfer Engine'!$C$2:$C$1369,0)))</f>
        <v/>
      </c>
      <c r="M158" s="9">
        <f>IF(ISNA(MATCH(149,'Transfer Engine'!$C$2:$C$1369,0)),"",INDEX('Compliance Database'!$M$2:$M$1369,MATCH(149,'Transfer Engine'!$C$2:$C$1369,0)))</f>
        <v/>
      </c>
      <c r="N158" s="9">
        <f>IF(ISNA(MATCH(149,'Transfer Engine'!$C$2:$C$1369,0)),"",INDEX('Compliance Database'!$N$2:$N$1369,MATCH(149,'Transfer Engine'!$C$2:$C$1369,0)))</f>
        <v/>
      </c>
      <c r="O158" s="8">
        <f>IF(ISNA(MATCH(149,'Transfer Engine'!$C$2:$C$1369,0)),"",HYPERLINK(INDEX('Compliance Database'!$O$2:$O$1369,MATCH(149,'Transfer Engine'!$C$2:$C$1369,0)),"Open PDF"))</f>
        <v/>
      </c>
    </row>
    <row r="159" ht="188" customHeight="1">
      <c r="A159" s="8">
        <f>IF(ISNA(MATCH(150,'Transfer Engine'!$C$2:$C$1369,0)),"",INDEX('Compliance Database'!$A$2:$A$1369,MATCH(150,'Transfer Engine'!$C$2:$C$1369,0)))</f>
        <v/>
      </c>
      <c r="B159" s="8">
        <f>IF(ISNA(MATCH(150,'Transfer Engine'!$C$2:$C$1369,0)),"",INDEX('Compliance Database'!$B$2:$B$1369,MATCH(150,'Transfer Engine'!$C$2:$C$1369,0)))</f>
        <v/>
      </c>
      <c r="C159" s="8">
        <f>IF(ISNA(MATCH(150,'Transfer Engine'!$C$2:$C$1369,0)),"",INDEX('Compliance Database'!$C$2:$C$1369,MATCH(150,'Transfer Engine'!$C$2:$C$1369,0)))</f>
        <v/>
      </c>
      <c r="D159" s="9">
        <f>IF(ISNA(MATCH(150,'Transfer Engine'!$C$2:$C$1369,0)),"",INDEX('Compliance Database'!$D$2:$D$1369,MATCH(150,'Transfer Engine'!$C$2:$C$1369,0)))</f>
        <v/>
      </c>
      <c r="E159" s="8">
        <f>IF(ISNA(MATCH(150,'Transfer Engine'!$C$2:$C$1369,0)),"",INDEX('Compliance Database'!$E$2:$E$1369,MATCH(150,'Transfer Engine'!$C$2:$C$1369,0)))</f>
        <v/>
      </c>
      <c r="F159" s="8">
        <f>IF(ISNA(MATCH(150,'Transfer Engine'!$C$2:$C$1369,0)),"",INDEX('Compliance Database'!$F$2:$F$1369,MATCH(150,'Transfer Engine'!$C$2:$C$1369,0)))</f>
        <v/>
      </c>
      <c r="G159" s="8">
        <f>IF(ISNA(MATCH(150,'Transfer Engine'!$C$2:$C$1369,0)),"",INDEX('Compliance Database'!$G$2:$G$1369,MATCH(150,'Transfer Engine'!$C$2:$C$1369,0)))</f>
        <v/>
      </c>
      <c r="H159" s="9">
        <f>IF(ISNA(MATCH(150,'Transfer Engine'!$C$2:$C$1369,0)),"",INDEX('Compliance Database'!$H$2:$H$1369,MATCH(150,'Transfer Engine'!$C$2:$C$1369,0)))</f>
        <v/>
      </c>
      <c r="I159" s="9">
        <f>IF(ISNA(MATCH(150,'Transfer Engine'!$C$2:$C$1369,0)),"",INDEX('Compliance Database'!$I$2:$I$1369,MATCH(150,'Transfer Engine'!$C$2:$C$1369,0)))</f>
        <v/>
      </c>
      <c r="J159" s="8">
        <f>IF(ISNA(MATCH(150,'Transfer Engine'!$C$2:$C$1369,0)),"",INDEX('Compliance Database'!$J$2:$J$1369,MATCH(150,'Transfer Engine'!$C$2:$C$1369,0)))</f>
        <v/>
      </c>
      <c r="K159" s="9">
        <f>IF(ISNA(MATCH(150,'Transfer Engine'!$C$2:$C$1369,0)),"",INDEX('Compliance Database'!$K$2:$K$1369,MATCH(150,'Transfer Engine'!$C$2:$C$1369,0)))</f>
        <v/>
      </c>
      <c r="L159" s="9">
        <f>IF(ISNA(MATCH(150,'Transfer Engine'!$C$2:$C$1369,0)),"",INDEX('Compliance Database'!$L$2:$L$1369,MATCH(150,'Transfer Engine'!$C$2:$C$1369,0)))</f>
        <v/>
      </c>
      <c r="M159" s="9">
        <f>IF(ISNA(MATCH(150,'Transfer Engine'!$C$2:$C$1369,0)),"",INDEX('Compliance Database'!$M$2:$M$1369,MATCH(150,'Transfer Engine'!$C$2:$C$1369,0)))</f>
        <v/>
      </c>
      <c r="N159" s="9">
        <f>IF(ISNA(MATCH(150,'Transfer Engine'!$C$2:$C$1369,0)),"",INDEX('Compliance Database'!$N$2:$N$1369,MATCH(150,'Transfer Engine'!$C$2:$C$1369,0)))</f>
        <v/>
      </c>
      <c r="O159" s="8">
        <f>IF(ISNA(MATCH(150,'Transfer Engine'!$C$2:$C$1369,0)),"",HYPERLINK(INDEX('Compliance Database'!$O$2:$O$1369,MATCH(150,'Transfer Engine'!$C$2:$C$1369,0)),"Open PDF"))</f>
        <v/>
      </c>
    </row>
    <row r="160" ht="188" customHeight="1">
      <c r="A160" s="8">
        <f>IF(ISNA(MATCH(151,'Transfer Engine'!$C$2:$C$1369,0)),"",INDEX('Compliance Database'!$A$2:$A$1369,MATCH(151,'Transfer Engine'!$C$2:$C$1369,0)))</f>
        <v/>
      </c>
      <c r="B160" s="8">
        <f>IF(ISNA(MATCH(151,'Transfer Engine'!$C$2:$C$1369,0)),"",INDEX('Compliance Database'!$B$2:$B$1369,MATCH(151,'Transfer Engine'!$C$2:$C$1369,0)))</f>
        <v/>
      </c>
      <c r="C160" s="8">
        <f>IF(ISNA(MATCH(151,'Transfer Engine'!$C$2:$C$1369,0)),"",INDEX('Compliance Database'!$C$2:$C$1369,MATCH(151,'Transfer Engine'!$C$2:$C$1369,0)))</f>
        <v/>
      </c>
      <c r="D160" s="9">
        <f>IF(ISNA(MATCH(151,'Transfer Engine'!$C$2:$C$1369,0)),"",INDEX('Compliance Database'!$D$2:$D$1369,MATCH(151,'Transfer Engine'!$C$2:$C$1369,0)))</f>
        <v/>
      </c>
      <c r="E160" s="8">
        <f>IF(ISNA(MATCH(151,'Transfer Engine'!$C$2:$C$1369,0)),"",INDEX('Compliance Database'!$E$2:$E$1369,MATCH(151,'Transfer Engine'!$C$2:$C$1369,0)))</f>
        <v/>
      </c>
      <c r="F160" s="8">
        <f>IF(ISNA(MATCH(151,'Transfer Engine'!$C$2:$C$1369,0)),"",INDEX('Compliance Database'!$F$2:$F$1369,MATCH(151,'Transfer Engine'!$C$2:$C$1369,0)))</f>
        <v/>
      </c>
      <c r="G160" s="8">
        <f>IF(ISNA(MATCH(151,'Transfer Engine'!$C$2:$C$1369,0)),"",INDEX('Compliance Database'!$G$2:$G$1369,MATCH(151,'Transfer Engine'!$C$2:$C$1369,0)))</f>
        <v/>
      </c>
      <c r="H160" s="9">
        <f>IF(ISNA(MATCH(151,'Transfer Engine'!$C$2:$C$1369,0)),"",INDEX('Compliance Database'!$H$2:$H$1369,MATCH(151,'Transfer Engine'!$C$2:$C$1369,0)))</f>
        <v/>
      </c>
      <c r="I160" s="9">
        <f>IF(ISNA(MATCH(151,'Transfer Engine'!$C$2:$C$1369,0)),"",INDEX('Compliance Database'!$I$2:$I$1369,MATCH(151,'Transfer Engine'!$C$2:$C$1369,0)))</f>
        <v/>
      </c>
      <c r="J160" s="8">
        <f>IF(ISNA(MATCH(151,'Transfer Engine'!$C$2:$C$1369,0)),"",INDEX('Compliance Database'!$J$2:$J$1369,MATCH(151,'Transfer Engine'!$C$2:$C$1369,0)))</f>
        <v/>
      </c>
      <c r="K160" s="9">
        <f>IF(ISNA(MATCH(151,'Transfer Engine'!$C$2:$C$1369,0)),"",INDEX('Compliance Database'!$K$2:$K$1369,MATCH(151,'Transfer Engine'!$C$2:$C$1369,0)))</f>
        <v/>
      </c>
      <c r="L160" s="9">
        <f>IF(ISNA(MATCH(151,'Transfer Engine'!$C$2:$C$1369,0)),"",INDEX('Compliance Database'!$L$2:$L$1369,MATCH(151,'Transfer Engine'!$C$2:$C$1369,0)))</f>
        <v/>
      </c>
      <c r="M160" s="9">
        <f>IF(ISNA(MATCH(151,'Transfer Engine'!$C$2:$C$1369,0)),"",INDEX('Compliance Database'!$M$2:$M$1369,MATCH(151,'Transfer Engine'!$C$2:$C$1369,0)))</f>
        <v/>
      </c>
      <c r="N160" s="9">
        <f>IF(ISNA(MATCH(151,'Transfer Engine'!$C$2:$C$1369,0)),"",INDEX('Compliance Database'!$N$2:$N$1369,MATCH(151,'Transfer Engine'!$C$2:$C$1369,0)))</f>
        <v/>
      </c>
      <c r="O160" s="8">
        <f>IF(ISNA(MATCH(151,'Transfer Engine'!$C$2:$C$1369,0)),"",HYPERLINK(INDEX('Compliance Database'!$O$2:$O$1369,MATCH(151,'Transfer Engine'!$C$2:$C$1369,0)),"Open PDF"))</f>
        <v/>
      </c>
    </row>
    <row r="161" ht="188" customHeight="1">
      <c r="A161" s="8">
        <f>IF(ISNA(MATCH(152,'Transfer Engine'!$C$2:$C$1369,0)),"",INDEX('Compliance Database'!$A$2:$A$1369,MATCH(152,'Transfer Engine'!$C$2:$C$1369,0)))</f>
        <v/>
      </c>
      <c r="B161" s="8">
        <f>IF(ISNA(MATCH(152,'Transfer Engine'!$C$2:$C$1369,0)),"",INDEX('Compliance Database'!$B$2:$B$1369,MATCH(152,'Transfer Engine'!$C$2:$C$1369,0)))</f>
        <v/>
      </c>
      <c r="C161" s="8">
        <f>IF(ISNA(MATCH(152,'Transfer Engine'!$C$2:$C$1369,0)),"",INDEX('Compliance Database'!$C$2:$C$1369,MATCH(152,'Transfer Engine'!$C$2:$C$1369,0)))</f>
        <v/>
      </c>
      <c r="D161" s="9">
        <f>IF(ISNA(MATCH(152,'Transfer Engine'!$C$2:$C$1369,0)),"",INDEX('Compliance Database'!$D$2:$D$1369,MATCH(152,'Transfer Engine'!$C$2:$C$1369,0)))</f>
        <v/>
      </c>
      <c r="E161" s="8">
        <f>IF(ISNA(MATCH(152,'Transfer Engine'!$C$2:$C$1369,0)),"",INDEX('Compliance Database'!$E$2:$E$1369,MATCH(152,'Transfer Engine'!$C$2:$C$1369,0)))</f>
        <v/>
      </c>
      <c r="F161" s="8">
        <f>IF(ISNA(MATCH(152,'Transfer Engine'!$C$2:$C$1369,0)),"",INDEX('Compliance Database'!$F$2:$F$1369,MATCH(152,'Transfer Engine'!$C$2:$C$1369,0)))</f>
        <v/>
      </c>
      <c r="G161" s="8">
        <f>IF(ISNA(MATCH(152,'Transfer Engine'!$C$2:$C$1369,0)),"",INDEX('Compliance Database'!$G$2:$G$1369,MATCH(152,'Transfer Engine'!$C$2:$C$1369,0)))</f>
        <v/>
      </c>
      <c r="H161" s="9">
        <f>IF(ISNA(MATCH(152,'Transfer Engine'!$C$2:$C$1369,0)),"",INDEX('Compliance Database'!$H$2:$H$1369,MATCH(152,'Transfer Engine'!$C$2:$C$1369,0)))</f>
        <v/>
      </c>
      <c r="I161" s="9">
        <f>IF(ISNA(MATCH(152,'Transfer Engine'!$C$2:$C$1369,0)),"",INDEX('Compliance Database'!$I$2:$I$1369,MATCH(152,'Transfer Engine'!$C$2:$C$1369,0)))</f>
        <v/>
      </c>
      <c r="J161" s="8">
        <f>IF(ISNA(MATCH(152,'Transfer Engine'!$C$2:$C$1369,0)),"",INDEX('Compliance Database'!$J$2:$J$1369,MATCH(152,'Transfer Engine'!$C$2:$C$1369,0)))</f>
        <v/>
      </c>
      <c r="K161" s="9">
        <f>IF(ISNA(MATCH(152,'Transfer Engine'!$C$2:$C$1369,0)),"",INDEX('Compliance Database'!$K$2:$K$1369,MATCH(152,'Transfer Engine'!$C$2:$C$1369,0)))</f>
        <v/>
      </c>
      <c r="L161" s="9">
        <f>IF(ISNA(MATCH(152,'Transfer Engine'!$C$2:$C$1369,0)),"",INDEX('Compliance Database'!$L$2:$L$1369,MATCH(152,'Transfer Engine'!$C$2:$C$1369,0)))</f>
        <v/>
      </c>
      <c r="M161" s="9">
        <f>IF(ISNA(MATCH(152,'Transfer Engine'!$C$2:$C$1369,0)),"",INDEX('Compliance Database'!$M$2:$M$1369,MATCH(152,'Transfer Engine'!$C$2:$C$1369,0)))</f>
        <v/>
      </c>
      <c r="N161" s="9">
        <f>IF(ISNA(MATCH(152,'Transfer Engine'!$C$2:$C$1369,0)),"",INDEX('Compliance Database'!$N$2:$N$1369,MATCH(152,'Transfer Engine'!$C$2:$C$1369,0)))</f>
        <v/>
      </c>
      <c r="O161" s="8">
        <f>IF(ISNA(MATCH(152,'Transfer Engine'!$C$2:$C$1369,0)),"",HYPERLINK(INDEX('Compliance Database'!$O$2:$O$1369,MATCH(152,'Transfer Engine'!$C$2:$C$1369,0)),"Open PDF"))</f>
        <v/>
      </c>
    </row>
    <row r="162" ht="188" customHeight="1">
      <c r="A162" s="8">
        <f>IF(ISNA(MATCH(153,'Transfer Engine'!$C$2:$C$1369,0)),"",INDEX('Compliance Database'!$A$2:$A$1369,MATCH(153,'Transfer Engine'!$C$2:$C$1369,0)))</f>
        <v/>
      </c>
      <c r="B162" s="8">
        <f>IF(ISNA(MATCH(153,'Transfer Engine'!$C$2:$C$1369,0)),"",INDEX('Compliance Database'!$B$2:$B$1369,MATCH(153,'Transfer Engine'!$C$2:$C$1369,0)))</f>
        <v/>
      </c>
      <c r="C162" s="8">
        <f>IF(ISNA(MATCH(153,'Transfer Engine'!$C$2:$C$1369,0)),"",INDEX('Compliance Database'!$C$2:$C$1369,MATCH(153,'Transfer Engine'!$C$2:$C$1369,0)))</f>
        <v/>
      </c>
      <c r="D162" s="9">
        <f>IF(ISNA(MATCH(153,'Transfer Engine'!$C$2:$C$1369,0)),"",INDEX('Compliance Database'!$D$2:$D$1369,MATCH(153,'Transfer Engine'!$C$2:$C$1369,0)))</f>
        <v/>
      </c>
      <c r="E162" s="8">
        <f>IF(ISNA(MATCH(153,'Transfer Engine'!$C$2:$C$1369,0)),"",INDEX('Compliance Database'!$E$2:$E$1369,MATCH(153,'Transfer Engine'!$C$2:$C$1369,0)))</f>
        <v/>
      </c>
      <c r="F162" s="8">
        <f>IF(ISNA(MATCH(153,'Transfer Engine'!$C$2:$C$1369,0)),"",INDEX('Compliance Database'!$F$2:$F$1369,MATCH(153,'Transfer Engine'!$C$2:$C$1369,0)))</f>
        <v/>
      </c>
      <c r="G162" s="8">
        <f>IF(ISNA(MATCH(153,'Transfer Engine'!$C$2:$C$1369,0)),"",INDEX('Compliance Database'!$G$2:$G$1369,MATCH(153,'Transfer Engine'!$C$2:$C$1369,0)))</f>
        <v/>
      </c>
      <c r="H162" s="9">
        <f>IF(ISNA(MATCH(153,'Transfer Engine'!$C$2:$C$1369,0)),"",INDEX('Compliance Database'!$H$2:$H$1369,MATCH(153,'Transfer Engine'!$C$2:$C$1369,0)))</f>
        <v/>
      </c>
      <c r="I162" s="9">
        <f>IF(ISNA(MATCH(153,'Transfer Engine'!$C$2:$C$1369,0)),"",INDEX('Compliance Database'!$I$2:$I$1369,MATCH(153,'Transfer Engine'!$C$2:$C$1369,0)))</f>
        <v/>
      </c>
      <c r="J162" s="8">
        <f>IF(ISNA(MATCH(153,'Transfer Engine'!$C$2:$C$1369,0)),"",INDEX('Compliance Database'!$J$2:$J$1369,MATCH(153,'Transfer Engine'!$C$2:$C$1369,0)))</f>
        <v/>
      </c>
      <c r="K162" s="9">
        <f>IF(ISNA(MATCH(153,'Transfer Engine'!$C$2:$C$1369,0)),"",INDEX('Compliance Database'!$K$2:$K$1369,MATCH(153,'Transfer Engine'!$C$2:$C$1369,0)))</f>
        <v/>
      </c>
      <c r="L162" s="9">
        <f>IF(ISNA(MATCH(153,'Transfer Engine'!$C$2:$C$1369,0)),"",INDEX('Compliance Database'!$L$2:$L$1369,MATCH(153,'Transfer Engine'!$C$2:$C$1369,0)))</f>
        <v/>
      </c>
      <c r="M162" s="9">
        <f>IF(ISNA(MATCH(153,'Transfer Engine'!$C$2:$C$1369,0)),"",INDEX('Compliance Database'!$M$2:$M$1369,MATCH(153,'Transfer Engine'!$C$2:$C$1369,0)))</f>
        <v/>
      </c>
      <c r="N162" s="9">
        <f>IF(ISNA(MATCH(153,'Transfer Engine'!$C$2:$C$1369,0)),"",INDEX('Compliance Database'!$N$2:$N$1369,MATCH(153,'Transfer Engine'!$C$2:$C$1369,0)))</f>
        <v/>
      </c>
      <c r="O162" s="8">
        <f>IF(ISNA(MATCH(153,'Transfer Engine'!$C$2:$C$1369,0)),"",HYPERLINK(INDEX('Compliance Database'!$O$2:$O$1369,MATCH(153,'Transfer Engine'!$C$2:$C$1369,0)),"Open PDF"))</f>
        <v/>
      </c>
    </row>
    <row r="163" ht="188" customHeight="1">
      <c r="A163" s="8">
        <f>IF(ISNA(MATCH(154,'Transfer Engine'!$C$2:$C$1369,0)),"",INDEX('Compliance Database'!$A$2:$A$1369,MATCH(154,'Transfer Engine'!$C$2:$C$1369,0)))</f>
        <v/>
      </c>
      <c r="B163" s="8">
        <f>IF(ISNA(MATCH(154,'Transfer Engine'!$C$2:$C$1369,0)),"",INDEX('Compliance Database'!$B$2:$B$1369,MATCH(154,'Transfer Engine'!$C$2:$C$1369,0)))</f>
        <v/>
      </c>
      <c r="C163" s="8">
        <f>IF(ISNA(MATCH(154,'Transfer Engine'!$C$2:$C$1369,0)),"",INDEX('Compliance Database'!$C$2:$C$1369,MATCH(154,'Transfer Engine'!$C$2:$C$1369,0)))</f>
        <v/>
      </c>
      <c r="D163" s="9">
        <f>IF(ISNA(MATCH(154,'Transfer Engine'!$C$2:$C$1369,0)),"",INDEX('Compliance Database'!$D$2:$D$1369,MATCH(154,'Transfer Engine'!$C$2:$C$1369,0)))</f>
        <v/>
      </c>
      <c r="E163" s="8">
        <f>IF(ISNA(MATCH(154,'Transfer Engine'!$C$2:$C$1369,0)),"",INDEX('Compliance Database'!$E$2:$E$1369,MATCH(154,'Transfer Engine'!$C$2:$C$1369,0)))</f>
        <v/>
      </c>
      <c r="F163" s="8">
        <f>IF(ISNA(MATCH(154,'Transfer Engine'!$C$2:$C$1369,0)),"",INDEX('Compliance Database'!$F$2:$F$1369,MATCH(154,'Transfer Engine'!$C$2:$C$1369,0)))</f>
        <v/>
      </c>
      <c r="G163" s="8">
        <f>IF(ISNA(MATCH(154,'Transfer Engine'!$C$2:$C$1369,0)),"",INDEX('Compliance Database'!$G$2:$G$1369,MATCH(154,'Transfer Engine'!$C$2:$C$1369,0)))</f>
        <v/>
      </c>
      <c r="H163" s="9">
        <f>IF(ISNA(MATCH(154,'Transfer Engine'!$C$2:$C$1369,0)),"",INDEX('Compliance Database'!$H$2:$H$1369,MATCH(154,'Transfer Engine'!$C$2:$C$1369,0)))</f>
        <v/>
      </c>
      <c r="I163" s="9">
        <f>IF(ISNA(MATCH(154,'Transfer Engine'!$C$2:$C$1369,0)),"",INDEX('Compliance Database'!$I$2:$I$1369,MATCH(154,'Transfer Engine'!$C$2:$C$1369,0)))</f>
        <v/>
      </c>
      <c r="J163" s="8">
        <f>IF(ISNA(MATCH(154,'Transfer Engine'!$C$2:$C$1369,0)),"",INDEX('Compliance Database'!$J$2:$J$1369,MATCH(154,'Transfer Engine'!$C$2:$C$1369,0)))</f>
        <v/>
      </c>
      <c r="K163" s="9">
        <f>IF(ISNA(MATCH(154,'Transfer Engine'!$C$2:$C$1369,0)),"",INDEX('Compliance Database'!$K$2:$K$1369,MATCH(154,'Transfer Engine'!$C$2:$C$1369,0)))</f>
        <v/>
      </c>
      <c r="L163" s="9">
        <f>IF(ISNA(MATCH(154,'Transfer Engine'!$C$2:$C$1369,0)),"",INDEX('Compliance Database'!$L$2:$L$1369,MATCH(154,'Transfer Engine'!$C$2:$C$1369,0)))</f>
        <v/>
      </c>
      <c r="M163" s="9">
        <f>IF(ISNA(MATCH(154,'Transfer Engine'!$C$2:$C$1369,0)),"",INDEX('Compliance Database'!$M$2:$M$1369,MATCH(154,'Transfer Engine'!$C$2:$C$1369,0)))</f>
        <v/>
      </c>
      <c r="N163" s="9">
        <f>IF(ISNA(MATCH(154,'Transfer Engine'!$C$2:$C$1369,0)),"",INDEX('Compliance Database'!$N$2:$N$1369,MATCH(154,'Transfer Engine'!$C$2:$C$1369,0)))</f>
        <v/>
      </c>
      <c r="O163" s="8">
        <f>IF(ISNA(MATCH(154,'Transfer Engine'!$C$2:$C$1369,0)),"",HYPERLINK(INDEX('Compliance Database'!$O$2:$O$1369,MATCH(154,'Transfer Engine'!$C$2:$C$1369,0)),"Open PDF"))</f>
        <v/>
      </c>
    </row>
    <row r="164" ht="188" customHeight="1">
      <c r="A164" s="8">
        <f>IF(ISNA(MATCH(155,'Transfer Engine'!$C$2:$C$1369,0)),"",INDEX('Compliance Database'!$A$2:$A$1369,MATCH(155,'Transfer Engine'!$C$2:$C$1369,0)))</f>
        <v/>
      </c>
      <c r="B164" s="8">
        <f>IF(ISNA(MATCH(155,'Transfer Engine'!$C$2:$C$1369,0)),"",INDEX('Compliance Database'!$B$2:$B$1369,MATCH(155,'Transfer Engine'!$C$2:$C$1369,0)))</f>
        <v/>
      </c>
      <c r="C164" s="8">
        <f>IF(ISNA(MATCH(155,'Transfer Engine'!$C$2:$C$1369,0)),"",INDEX('Compliance Database'!$C$2:$C$1369,MATCH(155,'Transfer Engine'!$C$2:$C$1369,0)))</f>
        <v/>
      </c>
      <c r="D164" s="9">
        <f>IF(ISNA(MATCH(155,'Transfer Engine'!$C$2:$C$1369,0)),"",INDEX('Compliance Database'!$D$2:$D$1369,MATCH(155,'Transfer Engine'!$C$2:$C$1369,0)))</f>
        <v/>
      </c>
      <c r="E164" s="8">
        <f>IF(ISNA(MATCH(155,'Transfer Engine'!$C$2:$C$1369,0)),"",INDEX('Compliance Database'!$E$2:$E$1369,MATCH(155,'Transfer Engine'!$C$2:$C$1369,0)))</f>
        <v/>
      </c>
      <c r="F164" s="8">
        <f>IF(ISNA(MATCH(155,'Transfer Engine'!$C$2:$C$1369,0)),"",INDEX('Compliance Database'!$F$2:$F$1369,MATCH(155,'Transfer Engine'!$C$2:$C$1369,0)))</f>
        <v/>
      </c>
      <c r="G164" s="8">
        <f>IF(ISNA(MATCH(155,'Transfer Engine'!$C$2:$C$1369,0)),"",INDEX('Compliance Database'!$G$2:$G$1369,MATCH(155,'Transfer Engine'!$C$2:$C$1369,0)))</f>
        <v/>
      </c>
      <c r="H164" s="9">
        <f>IF(ISNA(MATCH(155,'Transfer Engine'!$C$2:$C$1369,0)),"",INDEX('Compliance Database'!$H$2:$H$1369,MATCH(155,'Transfer Engine'!$C$2:$C$1369,0)))</f>
        <v/>
      </c>
      <c r="I164" s="9">
        <f>IF(ISNA(MATCH(155,'Transfer Engine'!$C$2:$C$1369,0)),"",INDEX('Compliance Database'!$I$2:$I$1369,MATCH(155,'Transfer Engine'!$C$2:$C$1369,0)))</f>
        <v/>
      </c>
      <c r="J164" s="8">
        <f>IF(ISNA(MATCH(155,'Transfer Engine'!$C$2:$C$1369,0)),"",INDEX('Compliance Database'!$J$2:$J$1369,MATCH(155,'Transfer Engine'!$C$2:$C$1369,0)))</f>
        <v/>
      </c>
      <c r="K164" s="9">
        <f>IF(ISNA(MATCH(155,'Transfer Engine'!$C$2:$C$1369,0)),"",INDEX('Compliance Database'!$K$2:$K$1369,MATCH(155,'Transfer Engine'!$C$2:$C$1369,0)))</f>
        <v/>
      </c>
      <c r="L164" s="9">
        <f>IF(ISNA(MATCH(155,'Transfer Engine'!$C$2:$C$1369,0)),"",INDEX('Compliance Database'!$L$2:$L$1369,MATCH(155,'Transfer Engine'!$C$2:$C$1369,0)))</f>
        <v/>
      </c>
      <c r="M164" s="9">
        <f>IF(ISNA(MATCH(155,'Transfer Engine'!$C$2:$C$1369,0)),"",INDEX('Compliance Database'!$M$2:$M$1369,MATCH(155,'Transfer Engine'!$C$2:$C$1369,0)))</f>
        <v/>
      </c>
      <c r="N164" s="9">
        <f>IF(ISNA(MATCH(155,'Transfer Engine'!$C$2:$C$1369,0)),"",INDEX('Compliance Database'!$N$2:$N$1369,MATCH(155,'Transfer Engine'!$C$2:$C$1369,0)))</f>
        <v/>
      </c>
      <c r="O164" s="8">
        <f>IF(ISNA(MATCH(155,'Transfer Engine'!$C$2:$C$1369,0)),"",HYPERLINK(INDEX('Compliance Database'!$O$2:$O$1369,MATCH(155,'Transfer Engine'!$C$2:$C$1369,0)),"Open PDF"))</f>
        <v/>
      </c>
    </row>
    <row r="165" ht="188" customHeight="1">
      <c r="A165" s="8">
        <f>IF(ISNA(MATCH(156,'Transfer Engine'!$C$2:$C$1369,0)),"",INDEX('Compliance Database'!$A$2:$A$1369,MATCH(156,'Transfer Engine'!$C$2:$C$1369,0)))</f>
        <v/>
      </c>
      <c r="B165" s="8">
        <f>IF(ISNA(MATCH(156,'Transfer Engine'!$C$2:$C$1369,0)),"",INDEX('Compliance Database'!$B$2:$B$1369,MATCH(156,'Transfer Engine'!$C$2:$C$1369,0)))</f>
        <v/>
      </c>
      <c r="C165" s="8">
        <f>IF(ISNA(MATCH(156,'Transfer Engine'!$C$2:$C$1369,0)),"",INDEX('Compliance Database'!$C$2:$C$1369,MATCH(156,'Transfer Engine'!$C$2:$C$1369,0)))</f>
        <v/>
      </c>
      <c r="D165" s="9">
        <f>IF(ISNA(MATCH(156,'Transfer Engine'!$C$2:$C$1369,0)),"",INDEX('Compliance Database'!$D$2:$D$1369,MATCH(156,'Transfer Engine'!$C$2:$C$1369,0)))</f>
        <v/>
      </c>
      <c r="E165" s="8">
        <f>IF(ISNA(MATCH(156,'Transfer Engine'!$C$2:$C$1369,0)),"",INDEX('Compliance Database'!$E$2:$E$1369,MATCH(156,'Transfer Engine'!$C$2:$C$1369,0)))</f>
        <v/>
      </c>
      <c r="F165" s="8">
        <f>IF(ISNA(MATCH(156,'Transfer Engine'!$C$2:$C$1369,0)),"",INDEX('Compliance Database'!$F$2:$F$1369,MATCH(156,'Transfer Engine'!$C$2:$C$1369,0)))</f>
        <v/>
      </c>
      <c r="G165" s="8">
        <f>IF(ISNA(MATCH(156,'Transfer Engine'!$C$2:$C$1369,0)),"",INDEX('Compliance Database'!$G$2:$G$1369,MATCH(156,'Transfer Engine'!$C$2:$C$1369,0)))</f>
        <v/>
      </c>
      <c r="H165" s="9">
        <f>IF(ISNA(MATCH(156,'Transfer Engine'!$C$2:$C$1369,0)),"",INDEX('Compliance Database'!$H$2:$H$1369,MATCH(156,'Transfer Engine'!$C$2:$C$1369,0)))</f>
        <v/>
      </c>
      <c r="I165" s="9">
        <f>IF(ISNA(MATCH(156,'Transfer Engine'!$C$2:$C$1369,0)),"",INDEX('Compliance Database'!$I$2:$I$1369,MATCH(156,'Transfer Engine'!$C$2:$C$1369,0)))</f>
        <v/>
      </c>
      <c r="J165" s="8">
        <f>IF(ISNA(MATCH(156,'Transfer Engine'!$C$2:$C$1369,0)),"",INDEX('Compliance Database'!$J$2:$J$1369,MATCH(156,'Transfer Engine'!$C$2:$C$1369,0)))</f>
        <v/>
      </c>
      <c r="K165" s="9">
        <f>IF(ISNA(MATCH(156,'Transfer Engine'!$C$2:$C$1369,0)),"",INDEX('Compliance Database'!$K$2:$K$1369,MATCH(156,'Transfer Engine'!$C$2:$C$1369,0)))</f>
        <v/>
      </c>
      <c r="L165" s="9">
        <f>IF(ISNA(MATCH(156,'Transfer Engine'!$C$2:$C$1369,0)),"",INDEX('Compliance Database'!$L$2:$L$1369,MATCH(156,'Transfer Engine'!$C$2:$C$1369,0)))</f>
        <v/>
      </c>
      <c r="M165" s="9">
        <f>IF(ISNA(MATCH(156,'Transfer Engine'!$C$2:$C$1369,0)),"",INDEX('Compliance Database'!$M$2:$M$1369,MATCH(156,'Transfer Engine'!$C$2:$C$1369,0)))</f>
        <v/>
      </c>
      <c r="N165" s="9">
        <f>IF(ISNA(MATCH(156,'Transfer Engine'!$C$2:$C$1369,0)),"",INDEX('Compliance Database'!$N$2:$N$1369,MATCH(156,'Transfer Engine'!$C$2:$C$1369,0)))</f>
        <v/>
      </c>
      <c r="O165" s="8">
        <f>IF(ISNA(MATCH(156,'Transfer Engine'!$C$2:$C$1369,0)),"",HYPERLINK(INDEX('Compliance Database'!$O$2:$O$1369,MATCH(156,'Transfer Engine'!$C$2:$C$1369,0)),"Open PDF"))</f>
        <v/>
      </c>
    </row>
    <row r="166" ht="188" customHeight="1">
      <c r="A166" s="8">
        <f>IF(ISNA(MATCH(157,'Transfer Engine'!$C$2:$C$1369,0)),"",INDEX('Compliance Database'!$A$2:$A$1369,MATCH(157,'Transfer Engine'!$C$2:$C$1369,0)))</f>
        <v/>
      </c>
      <c r="B166" s="8">
        <f>IF(ISNA(MATCH(157,'Transfer Engine'!$C$2:$C$1369,0)),"",INDEX('Compliance Database'!$B$2:$B$1369,MATCH(157,'Transfer Engine'!$C$2:$C$1369,0)))</f>
        <v/>
      </c>
      <c r="C166" s="8">
        <f>IF(ISNA(MATCH(157,'Transfer Engine'!$C$2:$C$1369,0)),"",INDEX('Compliance Database'!$C$2:$C$1369,MATCH(157,'Transfer Engine'!$C$2:$C$1369,0)))</f>
        <v/>
      </c>
      <c r="D166" s="9">
        <f>IF(ISNA(MATCH(157,'Transfer Engine'!$C$2:$C$1369,0)),"",INDEX('Compliance Database'!$D$2:$D$1369,MATCH(157,'Transfer Engine'!$C$2:$C$1369,0)))</f>
        <v/>
      </c>
      <c r="E166" s="8">
        <f>IF(ISNA(MATCH(157,'Transfer Engine'!$C$2:$C$1369,0)),"",INDEX('Compliance Database'!$E$2:$E$1369,MATCH(157,'Transfer Engine'!$C$2:$C$1369,0)))</f>
        <v/>
      </c>
      <c r="F166" s="8">
        <f>IF(ISNA(MATCH(157,'Transfer Engine'!$C$2:$C$1369,0)),"",INDEX('Compliance Database'!$F$2:$F$1369,MATCH(157,'Transfer Engine'!$C$2:$C$1369,0)))</f>
        <v/>
      </c>
      <c r="G166" s="8">
        <f>IF(ISNA(MATCH(157,'Transfer Engine'!$C$2:$C$1369,0)),"",INDEX('Compliance Database'!$G$2:$G$1369,MATCH(157,'Transfer Engine'!$C$2:$C$1369,0)))</f>
        <v/>
      </c>
      <c r="H166" s="9">
        <f>IF(ISNA(MATCH(157,'Transfer Engine'!$C$2:$C$1369,0)),"",INDEX('Compliance Database'!$H$2:$H$1369,MATCH(157,'Transfer Engine'!$C$2:$C$1369,0)))</f>
        <v/>
      </c>
      <c r="I166" s="9">
        <f>IF(ISNA(MATCH(157,'Transfer Engine'!$C$2:$C$1369,0)),"",INDEX('Compliance Database'!$I$2:$I$1369,MATCH(157,'Transfer Engine'!$C$2:$C$1369,0)))</f>
        <v/>
      </c>
      <c r="J166" s="8">
        <f>IF(ISNA(MATCH(157,'Transfer Engine'!$C$2:$C$1369,0)),"",INDEX('Compliance Database'!$J$2:$J$1369,MATCH(157,'Transfer Engine'!$C$2:$C$1369,0)))</f>
        <v/>
      </c>
      <c r="K166" s="9">
        <f>IF(ISNA(MATCH(157,'Transfer Engine'!$C$2:$C$1369,0)),"",INDEX('Compliance Database'!$K$2:$K$1369,MATCH(157,'Transfer Engine'!$C$2:$C$1369,0)))</f>
        <v/>
      </c>
      <c r="L166" s="9">
        <f>IF(ISNA(MATCH(157,'Transfer Engine'!$C$2:$C$1369,0)),"",INDEX('Compliance Database'!$L$2:$L$1369,MATCH(157,'Transfer Engine'!$C$2:$C$1369,0)))</f>
        <v/>
      </c>
      <c r="M166" s="9">
        <f>IF(ISNA(MATCH(157,'Transfer Engine'!$C$2:$C$1369,0)),"",INDEX('Compliance Database'!$M$2:$M$1369,MATCH(157,'Transfer Engine'!$C$2:$C$1369,0)))</f>
        <v/>
      </c>
      <c r="N166" s="9">
        <f>IF(ISNA(MATCH(157,'Transfer Engine'!$C$2:$C$1369,0)),"",INDEX('Compliance Database'!$N$2:$N$1369,MATCH(157,'Transfer Engine'!$C$2:$C$1369,0)))</f>
        <v/>
      </c>
      <c r="O166" s="8">
        <f>IF(ISNA(MATCH(157,'Transfer Engine'!$C$2:$C$1369,0)),"",HYPERLINK(INDEX('Compliance Database'!$O$2:$O$1369,MATCH(157,'Transfer Engine'!$C$2:$C$1369,0)),"Open PDF"))</f>
        <v/>
      </c>
    </row>
    <row r="167" ht="188" customHeight="1">
      <c r="A167" s="8">
        <f>IF(ISNA(MATCH(158,'Transfer Engine'!$C$2:$C$1369,0)),"",INDEX('Compliance Database'!$A$2:$A$1369,MATCH(158,'Transfer Engine'!$C$2:$C$1369,0)))</f>
        <v/>
      </c>
      <c r="B167" s="8">
        <f>IF(ISNA(MATCH(158,'Transfer Engine'!$C$2:$C$1369,0)),"",INDEX('Compliance Database'!$B$2:$B$1369,MATCH(158,'Transfer Engine'!$C$2:$C$1369,0)))</f>
        <v/>
      </c>
      <c r="C167" s="8">
        <f>IF(ISNA(MATCH(158,'Transfer Engine'!$C$2:$C$1369,0)),"",INDEX('Compliance Database'!$C$2:$C$1369,MATCH(158,'Transfer Engine'!$C$2:$C$1369,0)))</f>
        <v/>
      </c>
      <c r="D167" s="9">
        <f>IF(ISNA(MATCH(158,'Transfer Engine'!$C$2:$C$1369,0)),"",INDEX('Compliance Database'!$D$2:$D$1369,MATCH(158,'Transfer Engine'!$C$2:$C$1369,0)))</f>
        <v/>
      </c>
      <c r="E167" s="8">
        <f>IF(ISNA(MATCH(158,'Transfer Engine'!$C$2:$C$1369,0)),"",INDEX('Compliance Database'!$E$2:$E$1369,MATCH(158,'Transfer Engine'!$C$2:$C$1369,0)))</f>
        <v/>
      </c>
      <c r="F167" s="8">
        <f>IF(ISNA(MATCH(158,'Transfer Engine'!$C$2:$C$1369,0)),"",INDEX('Compliance Database'!$F$2:$F$1369,MATCH(158,'Transfer Engine'!$C$2:$C$1369,0)))</f>
        <v/>
      </c>
      <c r="G167" s="8">
        <f>IF(ISNA(MATCH(158,'Transfer Engine'!$C$2:$C$1369,0)),"",INDEX('Compliance Database'!$G$2:$G$1369,MATCH(158,'Transfer Engine'!$C$2:$C$1369,0)))</f>
        <v/>
      </c>
      <c r="H167" s="9">
        <f>IF(ISNA(MATCH(158,'Transfer Engine'!$C$2:$C$1369,0)),"",INDEX('Compliance Database'!$H$2:$H$1369,MATCH(158,'Transfer Engine'!$C$2:$C$1369,0)))</f>
        <v/>
      </c>
      <c r="I167" s="9">
        <f>IF(ISNA(MATCH(158,'Transfer Engine'!$C$2:$C$1369,0)),"",INDEX('Compliance Database'!$I$2:$I$1369,MATCH(158,'Transfer Engine'!$C$2:$C$1369,0)))</f>
        <v/>
      </c>
      <c r="J167" s="8">
        <f>IF(ISNA(MATCH(158,'Transfer Engine'!$C$2:$C$1369,0)),"",INDEX('Compliance Database'!$J$2:$J$1369,MATCH(158,'Transfer Engine'!$C$2:$C$1369,0)))</f>
        <v/>
      </c>
      <c r="K167" s="9">
        <f>IF(ISNA(MATCH(158,'Transfer Engine'!$C$2:$C$1369,0)),"",INDEX('Compliance Database'!$K$2:$K$1369,MATCH(158,'Transfer Engine'!$C$2:$C$1369,0)))</f>
        <v/>
      </c>
      <c r="L167" s="9">
        <f>IF(ISNA(MATCH(158,'Transfer Engine'!$C$2:$C$1369,0)),"",INDEX('Compliance Database'!$L$2:$L$1369,MATCH(158,'Transfer Engine'!$C$2:$C$1369,0)))</f>
        <v/>
      </c>
      <c r="M167" s="9">
        <f>IF(ISNA(MATCH(158,'Transfer Engine'!$C$2:$C$1369,0)),"",INDEX('Compliance Database'!$M$2:$M$1369,MATCH(158,'Transfer Engine'!$C$2:$C$1369,0)))</f>
        <v/>
      </c>
      <c r="N167" s="9">
        <f>IF(ISNA(MATCH(158,'Transfer Engine'!$C$2:$C$1369,0)),"",INDEX('Compliance Database'!$N$2:$N$1369,MATCH(158,'Transfer Engine'!$C$2:$C$1369,0)))</f>
        <v/>
      </c>
      <c r="O167" s="8">
        <f>IF(ISNA(MATCH(158,'Transfer Engine'!$C$2:$C$1369,0)),"",HYPERLINK(INDEX('Compliance Database'!$O$2:$O$1369,MATCH(158,'Transfer Engine'!$C$2:$C$1369,0)),"Open PDF"))</f>
        <v/>
      </c>
    </row>
    <row r="168" ht="188" customHeight="1">
      <c r="A168" s="8">
        <f>IF(ISNA(MATCH(159,'Transfer Engine'!$C$2:$C$1369,0)),"",INDEX('Compliance Database'!$A$2:$A$1369,MATCH(159,'Transfer Engine'!$C$2:$C$1369,0)))</f>
        <v/>
      </c>
      <c r="B168" s="8">
        <f>IF(ISNA(MATCH(159,'Transfer Engine'!$C$2:$C$1369,0)),"",INDEX('Compliance Database'!$B$2:$B$1369,MATCH(159,'Transfer Engine'!$C$2:$C$1369,0)))</f>
        <v/>
      </c>
      <c r="C168" s="8">
        <f>IF(ISNA(MATCH(159,'Transfer Engine'!$C$2:$C$1369,0)),"",INDEX('Compliance Database'!$C$2:$C$1369,MATCH(159,'Transfer Engine'!$C$2:$C$1369,0)))</f>
        <v/>
      </c>
      <c r="D168" s="9">
        <f>IF(ISNA(MATCH(159,'Transfer Engine'!$C$2:$C$1369,0)),"",INDEX('Compliance Database'!$D$2:$D$1369,MATCH(159,'Transfer Engine'!$C$2:$C$1369,0)))</f>
        <v/>
      </c>
      <c r="E168" s="8">
        <f>IF(ISNA(MATCH(159,'Transfer Engine'!$C$2:$C$1369,0)),"",INDEX('Compliance Database'!$E$2:$E$1369,MATCH(159,'Transfer Engine'!$C$2:$C$1369,0)))</f>
        <v/>
      </c>
      <c r="F168" s="8">
        <f>IF(ISNA(MATCH(159,'Transfer Engine'!$C$2:$C$1369,0)),"",INDEX('Compliance Database'!$F$2:$F$1369,MATCH(159,'Transfer Engine'!$C$2:$C$1369,0)))</f>
        <v/>
      </c>
      <c r="G168" s="8">
        <f>IF(ISNA(MATCH(159,'Transfer Engine'!$C$2:$C$1369,0)),"",INDEX('Compliance Database'!$G$2:$G$1369,MATCH(159,'Transfer Engine'!$C$2:$C$1369,0)))</f>
        <v/>
      </c>
      <c r="H168" s="9">
        <f>IF(ISNA(MATCH(159,'Transfer Engine'!$C$2:$C$1369,0)),"",INDEX('Compliance Database'!$H$2:$H$1369,MATCH(159,'Transfer Engine'!$C$2:$C$1369,0)))</f>
        <v/>
      </c>
      <c r="I168" s="9">
        <f>IF(ISNA(MATCH(159,'Transfer Engine'!$C$2:$C$1369,0)),"",INDEX('Compliance Database'!$I$2:$I$1369,MATCH(159,'Transfer Engine'!$C$2:$C$1369,0)))</f>
        <v/>
      </c>
      <c r="J168" s="8">
        <f>IF(ISNA(MATCH(159,'Transfer Engine'!$C$2:$C$1369,0)),"",INDEX('Compliance Database'!$J$2:$J$1369,MATCH(159,'Transfer Engine'!$C$2:$C$1369,0)))</f>
        <v/>
      </c>
      <c r="K168" s="9">
        <f>IF(ISNA(MATCH(159,'Transfer Engine'!$C$2:$C$1369,0)),"",INDEX('Compliance Database'!$K$2:$K$1369,MATCH(159,'Transfer Engine'!$C$2:$C$1369,0)))</f>
        <v/>
      </c>
      <c r="L168" s="9">
        <f>IF(ISNA(MATCH(159,'Transfer Engine'!$C$2:$C$1369,0)),"",INDEX('Compliance Database'!$L$2:$L$1369,MATCH(159,'Transfer Engine'!$C$2:$C$1369,0)))</f>
        <v/>
      </c>
      <c r="M168" s="9">
        <f>IF(ISNA(MATCH(159,'Transfer Engine'!$C$2:$C$1369,0)),"",INDEX('Compliance Database'!$M$2:$M$1369,MATCH(159,'Transfer Engine'!$C$2:$C$1369,0)))</f>
        <v/>
      </c>
      <c r="N168" s="9">
        <f>IF(ISNA(MATCH(159,'Transfer Engine'!$C$2:$C$1369,0)),"",INDEX('Compliance Database'!$N$2:$N$1369,MATCH(159,'Transfer Engine'!$C$2:$C$1369,0)))</f>
        <v/>
      </c>
      <c r="O168" s="8">
        <f>IF(ISNA(MATCH(159,'Transfer Engine'!$C$2:$C$1369,0)),"",HYPERLINK(INDEX('Compliance Database'!$O$2:$O$1369,MATCH(159,'Transfer Engine'!$C$2:$C$1369,0)),"Open PDF"))</f>
        <v/>
      </c>
    </row>
    <row r="169" ht="188" customHeight="1">
      <c r="A169" s="8">
        <f>IF(ISNA(MATCH(160,'Transfer Engine'!$C$2:$C$1369,0)),"",INDEX('Compliance Database'!$A$2:$A$1369,MATCH(160,'Transfer Engine'!$C$2:$C$1369,0)))</f>
        <v/>
      </c>
      <c r="B169" s="8">
        <f>IF(ISNA(MATCH(160,'Transfer Engine'!$C$2:$C$1369,0)),"",INDEX('Compliance Database'!$B$2:$B$1369,MATCH(160,'Transfer Engine'!$C$2:$C$1369,0)))</f>
        <v/>
      </c>
      <c r="C169" s="8">
        <f>IF(ISNA(MATCH(160,'Transfer Engine'!$C$2:$C$1369,0)),"",INDEX('Compliance Database'!$C$2:$C$1369,MATCH(160,'Transfer Engine'!$C$2:$C$1369,0)))</f>
        <v/>
      </c>
      <c r="D169" s="9">
        <f>IF(ISNA(MATCH(160,'Transfer Engine'!$C$2:$C$1369,0)),"",INDEX('Compliance Database'!$D$2:$D$1369,MATCH(160,'Transfer Engine'!$C$2:$C$1369,0)))</f>
        <v/>
      </c>
      <c r="E169" s="8">
        <f>IF(ISNA(MATCH(160,'Transfer Engine'!$C$2:$C$1369,0)),"",INDEX('Compliance Database'!$E$2:$E$1369,MATCH(160,'Transfer Engine'!$C$2:$C$1369,0)))</f>
        <v/>
      </c>
      <c r="F169" s="8">
        <f>IF(ISNA(MATCH(160,'Transfer Engine'!$C$2:$C$1369,0)),"",INDEX('Compliance Database'!$F$2:$F$1369,MATCH(160,'Transfer Engine'!$C$2:$C$1369,0)))</f>
        <v/>
      </c>
      <c r="G169" s="8">
        <f>IF(ISNA(MATCH(160,'Transfer Engine'!$C$2:$C$1369,0)),"",INDEX('Compliance Database'!$G$2:$G$1369,MATCH(160,'Transfer Engine'!$C$2:$C$1369,0)))</f>
        <v/>
      </c>
      <c r="H169" s="9">
        <f>IF(ISNA(MATCH(160,'Transfer Engine'!$C$2:$C$1369,0)),"",INDEX('Compliance Database'!$H$2:$H$1369,MATCH(160,'Transfer Engine'!$C$2:$C$1369,0)))</f>
        <v/>
      </c>
      <c r="I169" s="9">
        <f>IF(ISNA(MATCH(160,'Transfer Engine'!$C$2:$C$1369,0)),"",INDEX('Compliance Database'!$I$2:$I$1369,MATCH(160,'Transfer Engine'!$C$2:$C$1369,0)))</f>
        <v/>
      </c>
      <c r="J169" s="8">
        <f>IF(ISNA(MATCH(160,'Transfer Engine'!$C$2:$C$1369,0)),"",INDEX('Compliance Database'!$J$2:$J$1369,MATCH(160,'Transfer Engine'!$C$2:$C$1369,0)))</f>
        <v/>
      </c>
      <c r="K169" s="9">
        <f>IF(ISNA(MATCH(160,'Transfer Engine'!$C$2:$C$1369,0)),"",INDEX('Compliance Database'!$K$2:$K$1369,MATCH(160,'Transfer Engine'!$C$2:$C$1369,0)))</f>
        <v/>
      </c>
      <c r="L169" s="9">
        <f>IF(ISNA(MATCH(160,'Transfer Engine'!$C$2:$C$1369,0)),"",INDEX('Compliance Database'!$L$2:$L$1369,MATCH(160,'Transfer Engine'!$C$2:$C$1369,0)))</f>
        <v/>
      </c>
      <c r="M169" s="9">
        <f>IF(ISNA(MATCH(160,'Transfer Engine'!$C$2:$C$1369,0)),"",INDEX('Compliance Database'!$M$2:$M$1369,MATCH(160,'Transfer Engine'!$C$2:$C$1369,0)))</f>
        <v/>
      </c>
      <c r="N169" s="9">
        <f>IF(ISNA(MATCH(160,'Transfer Engine'!$C$2:$C$1369,0)),"",INDEX('Compliance Database'!$N$2:$N$1369,MATCH(160,'Transfer Engine'!$C$2:$C$1369,0)))</f>
        <v/>
      </c>
      <c r="O169" s="8">
        <f>IF(ISNA(MATCH(160,'Transfer Engine'!$C$2:$C$1369,0)),"",HYPERLINK(INDEX('Compliance Database'!$O$2:$O$1369,MATCH(160,'Transfer Engine'!$C$2:$C$1369,0)),"Open PDF"))</f>
        <v/>
      </c>
    </row>
    <row r="170" ht="188" customHeight="1">
      <c r="A170" s="8">
        <f>IF(ISNA(MATCH(161,'Transfer Engine'!$C$2:$C$1369,0)),"",INDEX('Compliance Database'!$A$2:$A$1369,MATCH(161,'Transfer Engine'!$C$2:$C$1369,0)))</f>
        <v/>
      </c>
      <c r="B170" s="8">
        <f>IF(ISNA(MATCH(161,'Transfer Engine'!$C$2:$C$1369,0)),"",INDEX('Compliance Database'!$B$2:$B$1369,MATCH(161,'Transfer Engine'!$C$2:$C$1369,0)))</f>
        <v/>
      </c>
      <c r="C170" s="8">
        <f>IF(ISNA(MATCH(161,'Transfer Engine'!$C$2:$C$1369,0)),"",INDEX('Compliance Database'!$C$2:$C$1369,MATCH(161,'Transfer Engine'!$C$2:$C$1369,0)))</f>
        <v/>
      </c>
      <c r="D170" s="9">
        <f>IF(ISNA(MATCH(161,'Transfer Engine'!$C$2:$C$1369,0)),"",INDEX('Compliance Database'!$D$2:$D$1369,MATCH(161,'Transfer Engine'!$C$2:$C$1369,0)))</f>
        <v/>
      </c>
      <c r="E170" s="8">
        <f>IF(ISNA(MATCH(161,'Transfer Engine'!$C$2:$C$1369,0)),"",INDEX('Compliance Database'!$E$2:$E$1369,MATCH(161,'Transfer Engine'!$C$2:$C$1369,0)))</f>
        <v/>
      </c>
      <c r="F170" s="8">
        <f>IF(ISNA(MATCH(161,'Transfer Engine'!$C$2:$C$1369,0)),"",INDEX('Compliance Database'!$F$2:$F$1369,MATCH(161,'Transfer Engine'!$C$2:$C$1369,0)))</f>
        <v/>
      </c>
      <c r="G170" s="8">
        <f>IF(ISNA(MATCH(161,'Transfer Engine'!$C$2:$C$1369,0)),"",INDEX('Compliance Database'!$G$2:$G$1369,MATCH(161,'Transfer Engine'!$C$2:$C$1369,0)))</f>
        <v/>
      </c>
      <c r="H170" s="9">
        <f>IF(ISNA(MATCH(161,'Transfer Engine'!$C$2:$C$1369,0)),"",INDEX('Compliance Database'!$H$2:$H$1369,MATCH(161,'Transfer Engine'!$C$2:$C$1369,0)))</f>
        <v/>
      </c>
      <c r="I170" s="9">
        <f>IF(ISNA(MATCH(161,'Transfer Engine'!$C$2:$C$1369,0)),"",INDEX('Compliance Database'!$I$2:$I$1369,MATCH(161,'Transfer Engine'!$C$2:$C$1369,0)))</f>
        <v/>
      </c>
      <c r="J170" s="8">
        <f>IF(ISNA(MATCH(161,'Transfer Engine'!$C$2:$C$1369,0)),"",INDEX('Compliance Database'!$J$2:$J$1369,MATCH(161,'Transfer Engine'!$C$2:$C$1369,0)))</f>
        <v/>
      </c>
      <c r="K170" s="9">
        <f>IF(ISNA(MATCH(161,'Transfer Engine'!$C$2:$C$1369,0)),"",INDEX('Compliance Database'!$K$2:$K$1369,MATCH(161,'Transfer Engine'!$C$2:$C$1369,0)))</f>
        <v/>
      </c>
      <c r="L170" s="9">
        <f>IF(ISNA(MATCH(161,'Transfer Engine'!$C$2:$C$1369,0)),"",INDEX('Compliance Database'!$L$2:$L$1369,MATCH(161,'Transfer Engine'!$C$2:$C$1369,0)))</f>
        <v/>
      </c>
      <c r="M170" s="9">
        <f>IF(ISNA(MATCH(161,'Transfer Engine'!$C$2:$C$1369,0)),"",INDEX('Compliance Database'!$M$2:$M$1369,MATCH(161,'Transfer Engine'!$C$2:$C$1369,0)))</f>
        <v/>
      </c>
      <c r="N170" s="9">
        <f>IF(ISNA(MATCH(161,'Transfer Engine'!$C$2:$C$1369,0)),"",INDEX('Compliance Database'!$N$2:$N$1369,MATCH(161,'Transfer Engine'!$C$2:$C$1369,0)))</f>
        <v/>
      </c>
      <c r="O170" s="8">
        <f>IF(ISNA(MATCH(161,'Transfer Engine'!$C$2:$C$1369,0)),"",HYPERLINK(INDEX('Compliance Database'!$O$2:$O$1369,MATCH(161,'Transfer Engine'!$C$2:$C$1369,0)),"Open PDF"))</f>
        <v/>
      </c>
    </row>
    <row r="171" ht="188" customHeight="1">
      <c r="A171" s="8">
        <f>IF(ISNA(MATCH(162,'Transfer Engine'!$C$2:$C$1369,0)),"",INDEX('Compliance Database'!$A$2:$A$1369,MATCH(162,'Transfer Engine'!$C$2:$C$1369,0)))</f>
        <v/>
      </c>
      <c r="B171" s="8">
        <f>IF(ISNA(MATCH(162,'Transfer Engine'!$C$2:$C$1369,0)),"",INDEX('Compliance Database'!$B$2:$B$1369,MATCH(162,'Transfer Engine'!$C$2:$C$1369,0)))</f>
        <v/>
      </c>
      <c r="C171" s="8">
        <f>IF(ISNA(MATCH(162,'Transfer Engine'!$C$2:$C$1369,0)),"",INDEX('Compliance Database'!$C$2:$C$1369,MATCH(162,'Transfer Engine'!$C$2:$C$1369,0)))</f>
        <v/>
      </c>
      <c r="D171" s="9">
        <f>IF(ISNA(MATCH(162,'Transfer Engine'!$C$2:$C$1369,0)),"",INDEX('Compliance Database'!$D$2:$D$1369,MATCH(162,'Transfer Engine'!$C$2:$C$1369,0)))</f>
        <v/>
      </c>
      <c r="E171" s="8">
        <f>IF(ISNA(MATCH(162,'Transfer Engine'!$C$2:$C$1369,0)),"",INDEX('Compliance Database'!$E$2:$E$1369,MATCH(162,'Transfer Engine'!$C$2:$C$1369,0)))</f>
        <v/>
      </c>
      <c r="F171" s="8">
        <f>IF(ISNA(MATCH(162,'Transfer Engine'!$C$2:$C$1369,0)),"",INDEX('Compliance Database'!$F$2:$F$1369,MATCH(162,'Transfer Engine'!$C$2:$C$1369,0)))</f>
        <v/>
      </c>
      <c r="G171" s="8">
        <f>IF(ISNA(MATCH(162,'Transfer Engine'!$C$2:$C$1369,0)),"",INDEX('Compliance Database'!$G$2:$G$1369,MATCH(162,'Transfer Engine'!$C$2:$C$1369,0)))</f>
        <v/>
      </c>
      <c r="H171" s="9">
        <f>IF(ISNA(MATCH(162,'Transfer Engine'!$C$2:$C$1369,0)),"",INDEX('Compliance Database'!$H$2:$H$1369,MATCH(162,'Transfer Engine'!$C$2:$C$1369,0)))</f>
        <v/>
      </c>
      <c r="I171" s="9">
        <f>IF(ISNA(MATCH(162,'Transfer Engine'!$C$2:$C$1369,0)),"",INDEX('Compliance Database'!$I$2:$I$1369,MATCH(162,'Transfer Engine'!$C$2:$C$1369,0)))</f>
        <v/>
      </c>
      <c r="J171" s="8">
        <f>IF(ISNA(MATCH(162,'Transfer Engine'!$C$2:$C$1369,0)),"",INDEX('Compliance Database'!$J$2:$J$1369,MATCH(162,'Transfer Engine'!$C$2:$C$1369,0)))</f>
        <v/>
      </c>
      <c r="K171" s="9">
        <f>IF(ISNA(MATCH(162,'Transfer Engine'!$C$2:$C$1369,0)),"",INDEX('Compliance Database'!$K$2:$K$1369,MATCH(162,'Transfer Engine'!$C$2:$C$1369,0)))</f>
        <v/>
      </c>
      <c r="L171" s="9">
        <f>IF(ISNA(MATCH(162,'Transfer Engine'!$C$2:$C$1369,0)),"",INDEX('Compliance Database'!$L$2:$L$1369,MATCH(162,'Transfer Engine'!$C$2:$C$1369,0)))</f>
        <v/>
      </c>
      <c r="M171" s="9">
        <f>IF(ISNA(MATCH(162,'Transfer Engine'!$C$2:$C$1369,0)),"",INDEX('Compliance Database'!$M$2:$M$1369,MATCH(162,'Transfer Engine'!$C$2:$C$1369,0)))</f>
        <v/>
      </c>
      <c r="N171" s="9">
        <f>IF(ISNA(MATCH(162,'Transfer Engine'!$C$2:$C$1369,0)),"",INDEX('Compliance Database'!$N$2:$N$1369,MATCH(162,'Transfer Engine'!$C$2:$C$1369,0)))</f>
        <v/>
      </c>
      <c r="O171" s="8">
        <f>IF(ISNA(MATCH(162,'Transfer Engine'!$C$2:$C$1369,0)),"",HYPERLINK(INDEX('Compliance Database'!$O$2:$O$1369,MATCH(162,'Transfer Engine'!$C$2:$C$1369,0)),"Open PDF"))</f>
        <v/>
      </c>
    </row>
    <row r="172" ht="188" customHeight="1">
      <c r="A172" s="8">
        <f>IF(ISNA(MATCH(163,'Transfer Engine'!$C$2:$C$1369,0)),"",INDEX('Compliance Database'!$A$2:$A$1369,MATCH(163,'Transfer Engine'!$C$2:$C$1369,0)))</f>
        <v/>
      </c>
      <c r="B172" s="8">
        <f>IF(ISNA(MATCH(163,'Transfer Engine'!$C$2:$C$1369,0)),"",INDEX('Compliance Database'!$B$2:$B$1369,MATCH(163,'Transfer Engine'!$C$2:$C$1369,0)))</f>
        <v/>
      </c>
      <c r="C172" s="8">
        <f>IF(ISNA(MATCH(163,'Transfer Engine'!$C$2:$C$1369,0)),"",INDEX('Compliance Database'!$C$2:$C$1369,MATCH(163,'Transfer Engine'!$C$2:$C$1369,0)))</f>
        <v/>
      </c>
      <c r="D172" s="9">
        <f>IF(ISNA(MATCH(163,'Transfer Engine'!$C$2:$C$1369,0)),"",INDEX('Compliance Database'!$D$2:$D$1369,MATCH(163,'Transfer Engine'!$C$2:$C$1369,0)))</f>
        <v/>
      </c>
      <c r="E172" s="8">
        <f>IF(ISNA(MATCH(163,'Transfer Engine'!$C$2:$C$1369,0)),"",INDEX('Compliance Database'!$E$2:$E$1369,MATCH(163,'Transfer Engine'!$C$2:$C$1369,0)))</f>
        <v/>
      </c>
      <c r="F172" s="8">
        <f>IF(ISNA(MATCH(163,'Transfer Engine'!$C$2:$C$1369,0)),"",INDEX('Compliance Database'!$F$2:$F$1369,MATCH(163,'Transfer Engine'!$C$2:$C$1369,0)))</f>
        <v/>
      </c>
      <c r="G172" s="8">
        <f>IF(ISNA(MATCH(163,'Transfer Engine'!$C$2:$C$1369,0)),"",INDEX('Compliance Database'!$G$2:$G$1369,MATCH(163,'Transfer Engine'!$C$2:$C$1369,0)))</f>
        <v/>
      </c>
      <c r="H172" s="9">
        <f>IF(ISNA(MATCH(163,'Transfer Engine'!$C$2:$C$1369,0)),"",INDEX('Compliance Database'!$H$2:$H$1369,MATCH(163,'Transfer Engine'!$C$2:$C$1369,0)))</f>
        <v/>
      </c>
      <c r="I172" s="9">
        <f>IF(ISNA(MATCH(163,'Transfer Engine'!$C$2:$C$1369,0)),"",INDEX('Compliance Database'!$I$2:$I$1369,MATCH(163,'Transfer Engine'!$C$2:$C$1369,0)))</f>
        <v/>
      </c>
      <c r="J172" s="8">
        <f>IF(ISNA(MATCH(163,'Transfer Engine'!$C$2:$C$1369,0)),"",INDEX('Compliance Database'!$J$2:$J$1369,MATCH(163,'Transfer Engine'!$C$2:$C$1369,0)))</f>
        <v/>
      </c>
      <c r="K172" s="9">
        <f>IF(ISNA(MATCH(163,'Transfer Engine'!$C$2:$C$1369,0)),"",INDEX('Compliance Database'!$K$2:$K$1369,MATCH(163,'Transfer Engine'!$C$2:$C$1369,0)))</f>
        <v/>
      </c>
      <c r="L172" s="9">
        <f>IF(ISNA(MATCH(163,'Transfer Engine'!$C$2:$C$1369,0)),"",INDEX('Compliance Database'!$L$2:$L$1369,MATCH(163,'Transfer Engine'!$C$2:$C$1369,0)))</f>
        <v/>
      </c>
      <c r="M172" s="9">
        <f>IF(ISNA(MATCH(163,'Transfer Engine'!$C$2:$C$1369,0)),"",INDEX('Compliance Database'!$M$2:$M$1369,MATCH(163,'Transfer Engine'!$C$2:$C$1369,0)))</f>
        <v/>
      </c>
      <c r="N172" s="9">
        <f>IF(ISNA(MATCH(163,'Transfer Engine'!$C$2:$C$1369,0)),"",INDEX('Compliance Database'!$N$2:$N$1369,MATCH(163,'Transfer Engine'!$C$2:$C$1369,0)))</f>
        <v/>
      </c>
      <c r="O172" s="8">
        <f>IF(ISNA(MATCH(163,'Transfer Engine'!$C$2:$C$1369,0)),"",HYPERLINK(INDEX('Compliance Database'!$O$2:$O$1369,MATCH(163,'Transfer Engine'!$C$2:$C$1369,0)),"Open PDF"))</f>
        <v/>
      </c>
    </row>
    <row r="173" ht="188" customHeight="1">
      <c r="A173" s="8">
        <f>IF(ISNA(MATCH(164,'Transfer Engine'!$C$2:$C$1369,0)),"",INDEX('Compliance Database'!$A$2:$A$1369,MATCH(164,'Transfer Engine'!$C$2:$C$1369,0)))</f>
        <v/>
      </c>
      <c r="B173" s="8">
        <f>IF(ISNA(MATCH(164,'Transfer Engine'!$C$2:$C$1369,0)),"",INDEX('Compliance Database'!$B$2:$B$1369,MATCH(164,'Transfer Engine'!$C$2:$C$1369,0)))</f>
        <v/>
      </c>
      <c r="C173" s="8">
        <f>IF(ISNA(MATCH(164,'Transfer Engine'!$C$2:$C$1369,0)),"",INDEX('Compliance Database'!$C$2:$C$1369,MATCH(164,'Transfer Engine'!$C$2:$C$1369,0)))</f>
        <v/>
      </c>
      <c r="D173" s="9">
        <f>IF(ISNA(MATCH(164,'Transfer Engine'!$C$2:$C$1369,0)),"",INDEX('Compliance Database'!$D$2:$D$1369,MATCH(164,'Transfer Engine'!$C$2:$C$1369,0)))</f>
        <v/>
      </c>
      <c r="E173" s="8">
        <f>IF(ISNA(MATCH(164,'Transfer Engine'!$C$2:$C$1369,0)),"",INDEX('Compliance Database'!$E$2:$E$1369,MATCH(164,'Transfer Engine'!$C$2:$C$1369,0)))</f>
        <v/>
      </c>
      <c r="F173" s="8">
        <f>IF(ISNA(MATCH(164,'Transfer Engine'!$C$2:$C$1369,0)),"",INDEX('Compliance Database'!$F$2:$F$1369,MATCH(164,'Transfer Engine'!$C$2:$C$1369,0)))</f>
        <v/>
      </c>
      <c r="G173" s="8">
        <f>IF(ISNA(MATCH(164,'Transfer Engine'!$C$2:$C$1369,0)),"",INDEX('Compliance Database'!$G$2:$G$1369,MATCH(164,'Transfer Engine'!$C$2:$C$1369,0)))</f>
        <v/>
      </c>
      <c r="H173" s="9">
        <f>IF(ISNA(MATCH(164,'Transfer Engine'!$C$2:$C$1369,0)),"",INDEX('Compliance Database'!$H$2:$H$1369,MATCH(164,'Transfer Engine'!$C$2:$C$1369,0)))</f>
        <v/>
      </c>
      <c r="I173" s="9">
        <f>IF(ISNA(MATCH(164,'Transfer Engine'!$C$2:$C$1369,0)),"",INDEX('Compliance Database'!$I$2:$I$1369,MATCH(164,'Transfer Engine'!$C$2:$C$1369,0)))</f>
        <v/>
      </c>
      <c r="J173" s="8">
        <f>IF(ISNA(MATCH(164,'Transfer Engine'!$C$2:$C$1369,0)),"",INDEX('Compliance Database'!$J$2:$J$1369,MATCH(164,'Transfer Engine'!$C$2:$C$1369,0)))</f>
        <v/>
      </c>
      <c r="K173" s="9">
        <f>IF(ISNA(MATCH(164,'Transfer Engine'!$C$2:$C$1369,0)),"",INDEX('Compliance Database'!$K$2:$K$1369,MATCH(164,'Transfer Engine'!$C$2:$C$1369,0)))</f>
        <v/>
      </c>
      <c r="L173" s="9">
        <f>IF(ISNA(MATCH(164,'Transfer Engine'!$C$2:$C$1369,0)),"",INDEX('Compliance Database'!$L$2:$L$1369,MATCH(164,'Transfer Engine'!$C$2:$C$1369,0)))</f>
        <v/>
      </c>
      <c r="M173" s="9">
        <f>IF(ISNA(MATCH(164,'Transfer Engine'!$C$2:$C$1369,0)),"",INDEX('Compliance Database'!$M$2:$M$1369,MATCH(164,'Transfer Engine'!$C$2:$C$1369,0)))</f>
        <v/>
      </c>
      <c r="N173" s="9">
        <f>IF(ISNA(MATCH(164,'Transfer Engine'!$C$2:$C$1369,0)),"",INDEX('Compliance Database'!$N$2:$N$1369,MATCH(164,'Transfer Engine'!$C$2:$C$1369,0)))</f>
        <v/>
      </c>
      <c r="O173" s="8">
        <f>IF(ISNA(MATCH(164,'Transfer Engine'!$C$2:$C$1369,0)),"",HYPERLINK(INDEX('Compliance Database'!$O$2:$O$1369,MATCH(164,'Transfer Engine'!$C$2:$C$1369,0)),"Open PDF"))</f>
        <v/>
      </c>
    </row>
    <row r="174" ht="188" customHeight="1">
      <c r="A174" s="8">
        <f>IF(ISNA(MATCH(165,'Transfer Engine'!$C$2:$C$1369,0)),"",INDEX('Compliance Database'!$A$2:$A$1369,MATCH(165,'Transfer Engine'!$C$2:$C$1369,0)))</f>
        <v/>
      </c>
      <c r="B174" s="8">
        <f>IF(ISNA(MATCH(165,'Transfer Engine'!$C$2:$C$1369,0)),"",INDEX('Compliance Database'!$B$2:$B$1369,MATCH(165,'Transfer Engine'!$C$2:$C$1369,0)))</f>
        <v/>
      </c>
      <c r="C174" s="8">
        <f>IF(ISNA(MATCH(165,'Transfer Engine'!$C$2:$C$1369,0)),"",INDEX('Compliance Database'!$C$2:$C$1369,MATCH(165,'Transfer Engine'!$C$2:$C$1369,0)))</f>
        <v/>
      </c>
      <c r="D174" s="9">
        <f>IF(ISNA(MATCH(165,'Transfer Engine'!$C$2:$C$1369,0)),"",INDEX('Compliance Database'!$D$2:$D$1369,MATCH(165,'Transfer Engine'!$C$2:$C$1369,0)))</f>
        <v/>
      </c>
      <c r="E174" s="8">
        <f>IF(ISNA(MATCH(165,'Transfer Engine'!$C$2:$C$1369,0)),"",INDEX('Compliance Database'!$E$2:$E$1369,MATCH(165,'Transfer Engine'!$C$2:$C$1369,0)))</f>
        <v/>
      </c>
      <c r="F174" s="8">
        <f>IF(ISNA(MATCH(165,'Transfer Engine'!$C$2:$C$1369,0)),"",INDEX('Compliance Database'!$F$2:$F$1369,MATCH(165,'Transfer Engine'!$C$2:$C$1369,0)))</f>
        <v/>
      </c>
      <c r="G174" s="8">
        <f>IF(ISNA(MATCH(165,'Transfer Engine'!$C$2:$C$1369,0)),"",INDEX('Compliance Database'!$G$2:$G$1369,MATCH(165,'Transfer Engine'!$C$2:$C$1369,0)))</f>
        <v/>
      </c>
      <c r="H174" s="9">
        <f>IF(ISNA(MATCH(165,'Transfer Engine'!$C$2:$C$1369,0)),"",INDEX('Compliance Database'!$H$2:$H$1369,MATCH(165,'Transfer Engine'!$C$2:$C$1369,0)))</f>
        <v/>
      </c>
      <c r="I174" s="9">
        <f>IF(ISNA(MATCH(165,'Transfer Engine'!$C$2:$C$1369,0)),"",INDEX('Compliance Database'!$I$2:$I$1369,MATCH(165,'Transfer Engine'!$C$2:$C$1369,0)))</f>
        <v/>
      </c>
      <c r="J174" s="8">
        <f>IF(ISNA(MATCH(165,'Transfer Engine'!$C$2:$C$1369,0)),"",INDEX('Compliance Database'!$J$2:$J$1369,MATCH(165,'Transfer Engine'!$C$2:$C$1369,0)))</f>
        <v/>
      </c>
      <c r="K174" s="9">
        <f>IF(ISNA(MATCH(165,'Transfer Engine'!$C$2:$C$1369,0)),"",INDEX('Compliance Database'!$K$2:$K$1369,MATCH(165,'Transfer Engine'!$C$2:$C$1369,0)))</f>
        <v/>
      </c>
      <c r="L174" s="9">
        <f>IF(ISNA(MATCH(165,'Transfer Engine'!$C$2:$C$1369,0)),"",INDEX('Compliance Database'!$L$2:$L$1369,MATCH(165,'Transfer Engine'!$C$2:$C$1369,0)))</f>
        <v/>
      </c>
      <c r="M174" s="9">
        <f>IF(ISNA(MATCH(165,'Transfer Engine'!$C$2:$C$1369,0)),"",INDEX('Compliance Database'!$M$2:$M$1369,MATCH(165,'Transfer Engine'!$C$2:$C$1369,0)))</f>
        <v/>
      </c>
      <c r="N174" s="9">
        <f>IF(ISNA(MATCH(165,'Transfer Engine'!$C$2:$C$1369,0)),"",INDEX('Compliance Database'!$N$2:$N$1369,MATCH(165,'Transfer Engine'!$C$2:$C$1369,0)))</f>
        <v/>
      </c>
      <c r="O174" s="8">
        <f>IF(ISNA(MATCH(165,'Transfer Engine'!$C$2:$C$1369,0)),"",HYPERLINK(INDEX('Compliance Database'!$O$2:$O$1369,MATCH(165,'Transfer Engine'!$C$2:$C$1369,0)),"Open PDF"))</f>
        <v/>
      </c>
    </row>
    <row r="175" ht="188" customHeight="1">
      <c r="A175" s="8">
        <f>IF(ISNA(MATCH(166,'Transfer Engine'!$C$2:$C$1369,0)),"",INDEX('Compliance Database'!$A$2:$A$1369,MATCH(166,'Transfer Engine'!$C$2:$C$1369,0)))</f>
        <v/>
      </c>
      <c r="B175" s="8">
        <f>IF(ISNA(MATCH(166,'Transfer Engine'!$C$2:$C$1369,0)),"",INDEX('Compliance Database'!$B$2:$B$1369,MATCH(166,'Transfer Engine'!$C$2:$C$1369,0)))</f>
        <v/>
      </c>
      <c r="C175" s="8">
        <f>IF(ISNA(MATCH(166,'Transfer Engine'!$C$2:$C$1369,0)),"",INDEX('Compliance Database'!$C$2:$C$1369,MATCH(166,'Transfer Engine'!$C$2:$C$1369,0)))</f>
        <v/>
      </c>
      <c r="D175" s="9">
        <f>IF(ISNA(MATCH(166,'Transfer Engine'!$C$2:$C$1369,0)),"",INDEX('Compliance Database'!$D$2:$D$1369,MATCH(166,'Transfer Engine'!$C$2:$C$1369,0)))</f>
        <v/>
      </c>
      <c r="E175" s="8">
        <f>IF(ISNA(MATCH(166,'Transfer Engine'!$C$2:$C$1369,0)),"",INDEX('Compliance Database'!$E$2:$E$1369,MATCH(166,'Transfer Engine'!$C$2:$C$1369,0)))</f>
        <v/>
      </c>
      <c r="F175" s="8">
        <f>IF(ISNA(MATCH(166,'Transfer Engine'!$C$2:$C$1369,0)),"",INDEX('Compliance Database'!$F$2:$F$1369,MATCH(166,'Transfer Engine'!$C$2:$C$1369,0)))</f>
        <v/>
      </c>
      <c r="G175" s="8">
        <f>IF(ISNA(MATCH(166,'Transfer Engine'!$C$2:$C$1369,0)),"",INDEX('Compliance Database'!$G$2:$G$1369,MATCH(166,'Transfer Engine'!$C$2:$C$1369,0)))</f>
        <v/>
      </c>
      <c r="H175" s="9">
        <f>IF(ISNA(MATCH(166,'Transfer Engine'!$C$2:$C$1369,0)),"",INDEX('Compliance Database'!$H$2:$H$1369,MATCH(166,'Transfer Engine'!$C$2:$C$1369,0)))</f>
        <v/>
      </c>
      <c r="I175" s="9">
        <f>IF(ISNA(MATCH(166,'Transfer Engine'!$C$2:$C$1369,0)),"",INDEX('Compliance Database'!$I$2:$I$1369,MATCH(166,'Transfer Engine'!$C$2:$C$1369,0)))</f>
        <v/>
      </c>
      <c r="J175" s="8">
        <f>IF(ISNA(MATCH(166,'Transfer Engine'!$C$2:$C$1369,0)),"",INDEX('Compliance Database'!$J$2:$J$1369,MATCH(166,'Transfer Engine'!$C$2:$C$1369,0)))</f>
        <v/>
      </c>
      <c r="K175" s="9">
        <f>IF(ISNA(MATCH(166,'Transfer Engine'!$C$2:$C$1369,0)),"",INDEX('Compliance Database'!$K$2:$K$1369,MATCH(166,'Transfer Engine'!$C$2:$C$1369,0)))</f>
        <v/>
      </c>
      <c r="L175" s="9">
        <f>IF(ISNA(MATCH(166,'Transfer Engine'!$C$2:$C$1369,0)),"",INDEX('Compliance Database'!$L$2:$L$1369,MATCH(166,'Transfer Engine'!$C$2:$C$1369,0)))</f>
        <v/>
      </c>
      <c r="M175" s="9">
        <f>IF(ISNA(MATCH(166,'Transfer Engine'!$C$2:$C$1369,0)),"",INDEX('Compliance Database'!$M$2:$M$1369,MATCH(166,'Transfer Engine'!$C$2:$C$1369,0)))</f>
        <v/>
      </c>
      <c r="N175" s="9">
        <f>IF(ISNA(MATCH(166,'Transfer Engine'!$C$2:$C$1369,0)),"",INDEX('Compliance Database'!$N$2:$N$1369,MATCH(166,'Transfer Engine'!$C$2:$C$1369,0)))</f>
        <v/>
      </c>
      <c r="O175" s="8">
        <f>IF(ISNA(MATCH(166,'Transfer Engine'!$C$2:$C$1369,0)),"",HYPERLINK(INDEX('Compliance Database'!$O$2:$O$1369,MATCH(166,'Transfer Engine'!$C$2:$C$1369,0)),"Open PDF"))</f>
        <v/>
      </c>
    </row>
    <row r="176" ht="188" customHeight="1">
      <c r="A176" s="8">
        <f>IF(ISNA(MATCH(167,'Transfer Engine'!$C$2:$C$1369,0)),"",INDEX('Compliance Database'!$A$2:$A$1369,MATCH(167,'Transfer Engine'!$C$2:$C$1369,0)))</f>
        <v/>
      </c>
      <c r="B176" s="8">
        <f>IF(ISNA(MATCH(167,'Transfer Engine'!$C$2:$C$1369,0)),"",INDEX('Compliance Database'!$B$2:$B$1369,MATCH(167,'Transfer Engine'!$C$2:$C$1369,0)))</f>
        <v/>
      </c>
      <c r="C176" s="8">
        <f>IF(ISNA(MATCH(167,'Transfer Engine'!$C$2:$C$1369,0)),"",INDEX('Compliance Database'!$C$2:$C$1369,MATCH(167,'Transfer Engine'!$C$2:$C$1369,0)))</f>
        <v/>
      </c>
      <c r="D176" s="9">
        <f>IF(ISNA(MATCH(167,'Transfer Engine'!$C$2:$C$1369,0)),"",INDEX('Compliance Database'!$D$2:$D$1369,MATCH(167,'Transfer Engine'!$C$2:$C$1369,0)))</f>
        <v/>
      </c>
      <c r="E176" s="8">
        <f>IF(ISNA(MATCH(167,'Transfer Engine'!$C$2:$C$1369,0)),"",INDEX('Compliance Database'!$E$2:$E$1369,MATCH(167,'Transfer Engine'!$C$2:$C$1369,0)))</f>
        <v/>
      </c>
      <c r="F176" s="8">
        <f>IF(ISNA(MATCH(167,'Transfer Engine'!$C$2:$C$1369,0)),"",INDEX('Compliance Database'!$F$2:$F$1369,MATCH(167,'Transfer Engine'!$C$2:$C$1369,0)))</f>
        <v/>
      </c>
      <c r="G176" s="8">
        <f>IF(ISNA(MATCH(167,'Transfer Engine'!$C$2:$C$1369,0)),"",INDEX('Compliance Database'!$G$2:$G$1369,MATCH(167,'Transfer Engine'!$C$2:$C$1369,0)))</f>
        <v/>
      </c>
      <c r="H176" s="9">
        <f>IF(ISNA(MATCH(167,'Transfer Engine'!$C$2:$C$1369,0)),"",INDEX('Compliance Database'!$H$2:$H$1369,MATCH(167,'Transfer Engine'!$C$2:$C$1369,0)))</f>
        <v/>
      </c>
      <c r="I176" s="9">
        <f>IF(ISNA(MATCH(167,'Transfer Engine'!$C$2:$C$1369,0)),"",INDEX('Compliance Database'!$I$2:$I$1369,MATCH(167,'Transfer Engine'!$C$2:$C$1369,0)))</f>
        <v/>
      </c>
      <c r="J176" s="8">
        <f>IF(ISNA(MATCH(167,'Transfer Engine'!$C$2:$C$1369,0)),"",INDEX('Compliance Database'!$J$2:$J$1369,MATCH(167,'Transfer Engine'!$C$2:$C$1369,0)))</f>
        <v/>
      </c>
      <c r="K176" s="9">
        <f>IF(ISNA(MATCH(167,'Transfer Engine'!$C$2:$C$1369,0)),"",INDEX('Compliance Database'!$K$2:$K$1369,MATCH(167,'Transfer Engine'!$C$2:$C$1369,0)))</f>
        <v/>
      </c>
      <c r="L176" s="9">
        <f>IF(ISNA(MATCH(167,'Transfer Engine'!$C$2:$C$1369,0)),"",INDEX('Compliance Database'!$L$2:$L$1369,MATCH(167,'Transfer Engine'!$C$2:$C$1369,0)))</f>
        <v/>
      </c>
      <c r="M176" s="9">
        <f>IF(ISNA(MATCH(167,'Transfer Engine'!$C$2:$C$1369,0)),"",INDEX('Compliance Database'!$M$2:$M$1369,MATCH(167,'Transfer Engine'!$C$2:$C$1369,0)))</f>
        <v/>
      </c>
      <c r="N176" s="9">
        <f>IF(ISNA(MATCH(167,'Transfer Engine'!$C$2:$C$1369,0)),"",INDEX('Compliance Database'!$N$2:$N$1369,MATCH(167,'Transfer Engine'!$C$2:$C$1369,0)))</f>
        <v/>
      </c>
      <c r="O176" s="8">
        <f>IF(ISNA(MATCH(167,'Transfer Engine'!$C$2:$C$1369,0)),"",HYPERLINK(INDEX('Compliance Database'!$O$2:$O$1369,MATCH(167,'Transfer Engine'!$C$2:$C$1369,0)),"Open PDF"))</f>
        <v/>
      </c>
    </row>
    <row r="177" ht="188" customHeight="1">
      <c r="A177" s="8">
        <f>IF(ISNA(MATCH(168,'Transfer Engine'!$C$2:$C$1369,0)),"",INDEX('Compliance Database'!$A$2:$A$1369,MATCH(168,'Transfer Engine'!$C$2:$C$1369,0)))</f>
        <v/>
      </c>
      <c r="B177" s="8">
        <f>IF(ISNA(MATCH(168,'Transfer Engine'!$C$2:$C$1369,0)),"",INDEX('Compliance Database'!$B$2:$B$1369,MATCH(168,'Transfer Engine'!$C$2:$C$1369,0)))</f>
        <v/>
      </c>
      <c r="C177" s="8">
        <f>IF(ISNA(MATCH(168,'Transfer Engine'!$C$2:$C$1369,0)),"",INDEX('Compliance Database'!$C$2:$C$1369,MATCH(168,'Transfer Engine'!$C$2:$C$1369,0)))</f>
        <v/>
      </c>
      <c r="D177" s="9">
        <f>IF(ISNA(MATCH(168,'Transfer Engine'!$C$2:$C$1369,0)),"",INDEX('Compliance Database'!$D$2:$D$1369,MATCH(168,'Transfer Engine'!$C$2:$C$1369,0)))</f>
        <v/>
      </c>
      <c r="E177" s="8">
        <f>IF(ISNA(MATCH(168,'Transfer Engine'!$C$2:$C$1369,0)),"",INDEX('Compliance Database'!$E$2:$E$1369,MATCH(168,'Transfer Engine'!$C$2:$C$1369,0)))</f>
        <v/>
      </c>
      <c r="F177" s="8">
        <f>IF(ISNA(MATCH(168,'Transfer Engine'!$C$2:$C$1369,0)),"",INDEX('Compliance Database'!$F$2:$F$1369,MATCH(168,'Transfer Engine'!$C$2:$C$1369,0)))</f>
        <v/>
      </c>
      <c r="G177" s="8">
        <f>IF(ISNA(MATCH(168,'Transfer Engine'!$C$2:$C$1369,0)),"",INDEX('Compliance Database'!$G$2:$G$1369,MATCH(168,'Transfer Engine'!$C$2:$C$1369,0)))</f>
        <v/>
      </c>
      <c r="H177" s="9">
        <f>IF(ISNA(MATCH(168,'Transfer Engine'!$C$2:$C$1369,0)),"",INDEX('Compliance Database'!$H$2:$H$1369,MATCH(168,'Transfer Engine'!$C$2:$C$1369,0)))</f>
        <v/>
      </c>
      <c r="I177" s="9">
        <f>IF(ISNA(MATCH(168,'Transfer Engine'!$C$2:$C$1369,0)),"",INDEX('Compliance Database'!$I$2:$I$1369,MATCH(168,'Transfer Engine'!$C$2:$C$1369,0)))</f>
        <v/>
      </c>
      <c r="J177" s="8">
        <f>IF(ISNA(MATCH(168,'Transfer Engine'!$C$2:$C$1369,0)),"",INDEX('Compliance Database'!$J$2:$J$1369,MATCH(168,'Transfer Engine'!$C$2:$C$1369,0)))</f>
        <v/>
      </c>
      <c r="K177" s="9">
        <f>IF(ISNA(MATCH(168,'Transfer Engine'!$C$2:$C$1369,0)),"",INDEX('Compliance Database'!$K$2:$K$1369,MATCH(168,'Transfer Engine'!$C$2:$C$1369,0)))</f>
        <v/>
      </c>
      <c r="L177" s="9">
        <f>IF(ISNA(MATCH(168,'Transfer Engine'!$C$2:$C$1369,0)),"",INDEX('Compliance Database'!$L$2:$L$1369,MATCH(168,'Transfer Engine'!$C$2:$C$1369,0)))</f>
        <v/>
      </c>
      <c r="M177" s="9">
        <f>IF(ISNA(MATCH(168,'Transfer Engine'!$C$2:$C$1369,0)),"",INDEX('Compliance Database'!$M$2:$M$1369,MATCH(168,'Transfer Engine'!$C$2:$C$1369,0)))</f>
        <v/>
      </c>
      <c r="N177" s="9">
        <f>IF(ISNA(MATCH(168,'Transfer Engine'!$C$2:$C$1369,0)),"",INDEX('Compliance Database'!$N$2:$N$1369,MATCH(168,'Transfer Engine'!$C$2:$C$1369,0)))</f>
        <v/>
      </c>
      <c r="O177" s="8">
        <f>IF(ISNA(MATCH(168,'Transfer Engine'!$C$2:$C$1369,0)),"",HYPERLINK(INDEX('Compliance Database'!$O$2:$O$1369,MATCH(168,'Transfer Engine'!$C$2:$C$1369,0)),"Open PDF"))</f>
        <v/>
      </c>
    </row>
    <row r="178" ht="188" customHeight="1">
      <c r="A178" s="8">
        <f>IF(ISNA(MATCH(169,'Transfer Engine'!$C$2:$C$1369,0)),"",INDEX('Compliance Database'!$A$2:$A$1369,MATCH(169,'Transfer Engine'!$C$2:$C$1369,0)))</f>
        <v/>
      </c>
      <c r="B178" s="8">
        <f>IF(ISNA(MATCH(169,'Transfer Engine'!$C$2:$C$1369,0)),"",INDEX('Compliance Database'!$B$2:$B$1369,MATCH(169,'Transfer Engine'!$C$2:$C$1369,0)))</f>
        <v/>
      </c>
      <c r="C178" s="8">
        <f>IF(ISNA(MATCH(169,'Transfer Engine'!$C$2:$C$1369,0)),"",INDEX('Compliance Database'!$C$2:$C$1369,MATCH(169,'Transfer Engine'!$C$2:$C$1369,0)))</f>
        <v/>
      </c>
      <c r="D178" s="9">
        <f>IF(ISNA(MATCH(169,'Transfer Engine'!$C$2:$C$1369,0)),"",INDEX('Compliance Database'!$D$2:$D$1369,MATCH(169,'Transfer Engine'!$C$2:$C$1369,0)))</f>
        <v/>
      </c>
      <c r="E178" s="8">
        <f>IF(ISNA(MATCH(169,'Transfer Engine'!$C$2:$C$1369,0)),"",INDEX('Compliance Database'!$E$2:$E$1369,MATCH(169,'Transfer Engine'!$C$2:$C$1369,0)))</f>
        <v/>
      </c>
      <c r="F178" s="8">
        <f>IF(ISNA(MATCH(169,'Transfer Engine'!$C$2:$C$1369,0)),"",INDEX('Compliance Database'!$F$2:$F$1369,MATCH(169,'Transfer Engine'!$C$2:$C$1369,0)))</f>
        <v/>
      </c>
      <c r="G178" s="8">
        <f>IF(ISNA(MATCH(169,'Transfer Engine'!$C$2:$C$1369,0)),"",INDEX('Compliance Database'!$G$2:$G$1369,MATCH(169,'Transfer Engine'!$C$2:$C$1369,0)))</f>
        <v/>
      </c>
      <c r="H178" s="9">
        <f>IF(ISNA(MATCH(169,'Transfer Engine'!$C$2:$C$1369,0)),"",INDEX('Compliance Database'!$H$2:$H$1369,MATCH(169,'Transfer Engine'!$C$2:$C$1369,0)))</f>
        <v/>
      </c>
      <c r="I178" s="9">
        <f>IF(ISNA(MATCH(169,'Transfer Engine'!$C$2:$C$1369,0)),"",INDEX('Compliance Database'!$I$2:$I$1369,MATCH(169,'Transfer Engine'!$C$2:$C$1369,0)))</f>
        <v/>
      </c>
      <c r="J178" s="8">
        <f>IF(ISNA(MATCH(169,'Transfer Engine'!$C$2:$C$1369,0)),"",INDEX('Compliance Database'!$J$2:$J$1369,MATCH(169,'Transfer Engine'!$C$2:$C$1369,0)))</f>
        <v/>
      </c>
      <c r="K178" s="9">
        <f>IF(ISNA(MATCH(169,'Transfer Engine'!$C$2:$C$1369,0)),"",INDEX('Compliance Database'!$K$2:$K$1369,MATCH(169,'Transfer Engine'!$C$2:$C$1369,0)))</f>
        <v/>
      </c>
      <c r="L178" s="9">
        <f>IF(ISNA(MATCH(169,'Transfer Engine'!$C$2:$C$1369,0)),"",INDEX('Compliance Database'!$L$2:$L$1369,MATCH(169,'Transfer Engine'!$C$2:$C$1369,0)))</f>
        <v/>
      </c>
      <c r="M178" s="9">
        <f>IF(ISNA(MATCH(169,'Transfer Engine'!$C$2:$C$1369,0)),"",INDEX('Compliance Database'!$M$2:$M$1369,MATCH(169,'Transfer Engine'!$C$2:$C$1369,0)))</f>
        <v/>
      </c>
      <c r="N178" s="9">
        <f>IF(ISNA(MATCH(169,'Transfer Engine'!$C$2:$C$1369,0)),"",INDEX('Compliance Database'!$N$2:$N$1369,MATCH(169,'Transfer Engine'!$C$2:$C$1369,0)))</f>
        <v/>
      </c>
      <c r="O178" s="8">
        <f>IF(ISNA(MATCH(169,'Transfer Engine'!$C$2:$C$1369,0)),"",HYPERLINK(INDEX('Compliance Database'!$O$2:$O$1369,MATCH(169,'Transfer Engine'!$C$2:$C$1369,0)),"Open PDF"))</f>
        <v/>
      </c>
    </row>
    <row r="179" ht="188" customHeight="1">
      <c r="A179" s="8">
        <f>IF(ISNA(MATCH(170,'Transfer Engine'!$C$2:$C$1369,0)),"",INDEX('Compliance Database'!$A$2:$A$1369,MATCH(170,'Transfer Engine'!$C$2:$C$1369,0)))</f>
        <v/>
      </c>
      <c r="B179" s="8">
        <f>IF(ISNA(MATCH(170,'Transfer Engine'!$C$2:$C$1369,0)),"",INDEX('Compliance Database'!$B$2:$B$1369,MATCH(170,'Transfer Engine'!$C$2:$C$1369,0)))</f>
        <v/>
      </c>
      <c r="C179" s="8">
        <f>IF(ISNA(MATCH(170,'Transfer Engine'!$C$2:$C$1369,0)),"",INDEX('Compliance Database'!$C$2:$C$1369,MATCH(170,'Transfer Engine'!$C$2:$C$1369,0)))</f>
        <v/>
      </c>
      <c r="D179" s="9">
        <f>IF(ISNA(MATCH(170,'Transfer Engine'!$C$2:$C$1369,0)),"",INDEX('Compliance Database'!$D$2:$D$1369,MATCH(170,'Transfer Engine'!$C$2:$C$1369,0)))</f>
        <v/>
      </c>
      <c r="E179" s="8">
        <f>IF(ISNA(MATCH(170,'Transfer Engine'!$C$2:$C$1369,0)),"",INDEX('Compliance Database'!$E$2:$E$1369,MATCH(170,'Transfer Engine'!$C$2:$C$1369,0)))</f>
        <v/>
      </c>
      <c r="F179" s="8">
        <f>IF(ISNA(MATCH(170,'Transfer Engine'!$C$2:$C$1369,0)),"",INDEX('Compliance Database'!$F$2:$F$1369,MATCH(170,'Transfer Engine'!$C$2:$C$1369,0)))</f>
        <v/>
      </c>
      <c r="G179" s="8">
        <f>IF(ISNA(MATCH(170,'Transfer Engine'!$C$2:$C$1369,0)),"",INDEX('Compliance Database'!$G$2:$G$1369,MATCH(170,'Transfer Engine'!$C$2:$C$1369,0)))</f>
        <v/>
      </c>
      <c r="H179" s="9">
        <f>IF(ISNA(MATCH(170,'Transfer Engine'!$C$2:$C$1369,0)),"",INDEX('Compliance Database'!$H$2:$H$1369,MATCH(170,'Transfer Engine'!$C$2:$C$1369,0)))</f>
        <v/>
      </c>
      <c r="I179" s="9">
        <f>IF(ISNA(MATCH(170,'Transfer Engine'!$C$2:$C$1369,0)),"",INDEX('Compliance Database'!$I$2:$I$1369,MATCH(170,'Transfer Engine'!$C$2:$C$1369,0)))</f>
        <v/>
      </c>
      <c r="J179" s="8">
        <f>IF(ISNA(MATCH(170,'Transfer Engine'!$C$2:$C$1369,0)),"",INDEX('Compliance Database'!$J$2:$J$1369,MATCH(170,'Transfer Engine'!$C$2:$C$1369,0)))</f>
        <v/>
      </c>
      <c r="K179" s="9">
        <f>IF(ISNA(MATCH(170,'Transfer Engine'!$C$2:$C$1369,0)),"",INDEX('Compliance Database'!$K$2:$K$1369,MATCH(170,'Transfer Engine'!$C$2:$C$1369,0)))</f>
        <v/>
      </c>
      <c r="L179" s="9">
        <f>IF(ISNA(MATCH(170,'Transfer Engine'!$C$2:$C$1369,0)),"",INDEX('Compliance Database'!$L$2:$L$1369,MATCH(170,'Transfer Engine'!$C$2:$C$1369,0)))</f>
        <v/>
      </c>
      <c r="M179" s="9">
        <f>IF(ISNA(MATCH(170,'Transfer Engine'!$C$2:$C$1369,0)),"",INDEX('Compliance Database'!$M$2:$M$1369,MATCH(170,'Transfer Engine'!$C$2:$C$1369,0)))</f>
        <v/>
      </c>
      <c r="N179" s="9">
        <f>IF(ISNA(MATCH(170,'Transfer Engine'!$C$2:$C$1369,0)),"",INDEX('Compliance Database'!$N$2:$N$1369,MATCH(170,'Transfer Engine'!$C$2:$C$1369,0)))</f>
        <v/>
      </c>
      <c r="O179" s="8">
        <f>IF(ISNA(MATCH(170,'Transfer Engine'!$C$2:$C$1369,0)),"",HYPERLINK(INDEX('Compliance Database'!$O$2:$O$1369,MATCH(170,'Transfer Engine'!$C$2:$C$1369,0)),"Open PDF"))</f>
        <v/>
      </c>
    </row>
    <row r="180" ht="188" customHeight="1">
      <c r="A180" s="8">
        <f>IF(ISNA(MATCH(171,'Transfer Engine'!$C$2:$C$1369,0)),"",INDEX('Compliance Database'!$A$2:$A$1369,MATCH(171,'Transfer Engine'!$C$2:$C$1369,0)))</f>
        <v/>
      </c>
      <c r="B180" s="8">
        <f>IF(ISNA(MATCH(171,'Transfer Engine'!$C$2:$C$1369,0)),"",INDEX('Compliance Database'!$B$2:$B$1369,MATCH(171,'Transfer Engine'!$C$2:$C$1369,0)))</f>
        <v/>
      </c>
      <c r="C180" s="8">
        <f>IF(ISNA(MATCH(171,'Transfer Engine'!$C$2:$C$1369,0)),"",INDEX('Compliance Database'!$C$2:$C$1369,MATCH(171,'Transfer Engine'!$C$2:$C$1369,0)))</f>
        <v/>
      </c>
      <c r="D180" s="9">
        <f>IF(ISNA(MATCH(171,'Transfer Engine'!$C$2:$C$1369,0)),"",INDEX('Compliance Database'!$D$2:$D$1369,MATCH(171,'Transfer Engine'!$C$2:$C$1369,0)))</f>
        <v/>
      </c>
      <c r="E180" s="8">
        <f>IF(ISNA(MATCH(171,'Transfer Engine'!$C$2:$C$1369,0)),"",INDEX('Compliance Database'!$E$2:$E$1369,MATCH(171,'Transfer Engine'!$C$2:$C$1369,0)))</f>
        <v/>
      </c>
      <c r="F180" s="8">
        <f>IF(ISNA(MATCH(171,'Transfer Engine'!$C$2:$C$1369,0)),"",INDEX('Compliance Database'!$F$2:$F$1369,MATCH(171,'Transfer Engine'!$C$2:$C$1369,0)))</f>
        <v/>
      </c>
      <c r="G180" s="8">
        <f>IF(ISNA(MATCH(171,'Transfer Engine'!$C$2:$C$1369,0)),"",INDEX('Compliance Database'!$G$2:$G$1369,MATCH(171,'Transfer Engine'!$C$2:$C$1369,0)))</f>
        <v/>
      </c>
      <c r="H180" s="9">
        <f>IF(ISNA(MATCH(171,'Transfer Engine'!$C$2:$C$1369,0)),"",INDEX('Compliance Database'!$H$2:$H$1369,MATCH(171,'Transfer Engine'!$C$2:$C$1369,0)))</f>
        <v/>
      </c>
      <c r="I180" s="9">
        <f>IF(ISNA(MATCH(171,'Transfer Engine'!$C$2:$C$1369,0)),"",INDEX('Compliance Database'!$I$2:$I$1369,MATCH(171,'Transfer Engine'!$C$2:$C$1369,0)))</f>
        <v/>
      </c>
      <c r="J180" s="8">
        <f>IF(ISNA(MATCH(171,'Transfer Engine'!$C$2:$C$1369,0)),"",INDEX('Compliance Database'!$J$2:$J$1369,MATCH(171,'Transfer Engine'!$C$2:$C$1369,0)))</f>
        <v/>
      </c>
      <c r="K180" s="9">
        <f>IF(ISNA(MATCH(171,'Transfer Engine'!$C$2:$C$1369,0)),"",INDEX('Compliance Database'!$K$2:$K$1369,MATCH(171,'Transfer Engine'!$C$2:$C$1369,0)))</f>
        <v/>
      </c>
      <c r="L180" s="9">
        <f>IF(ISNA(MATCH(171,'Transfer Engine'!$C$2:$C$1369,0)),"",INDEX('Compliance Database'!$L$2:$L$1369,MATCH(171,'Transfer Engine'!$C$2:$C$1369,0)))</f>
        <v/>
      </c>
      <c r="M180" s="9">
        <f>IF(ISNA(MATCH(171,'Transfer Engine'!$C$2:$C$1369,0)),"",INDEX('Compliance Database'!$M$2:$M$1369,MATCH(171,'Transfer Engine'!$C$2:$C$1369,0)))</f>
        <v/>
      </c>
      <c r="N180" s="9">
        <f>IF(ISNA(MATCH(171,'Transfer Engine'!$C$2:$C$1369,0)),"",INDEX('Compliance Database'!$N$2:$N$1369,MATCH(171,'Transfer Engine'!$C$2:$C$1369,0)))</f>
        <v/>
      </c>
      <c r="O180" s="8">
        <f>IF(ISNA(MATCH(171,'Transfer Engine'!$C$2:$C$1369,0)),"",HYPERLINK(INDEX('Compliance Database'!$O$2:$O$1369,MATCH(171,'Transfer Engine'!$C$2:$C$1369,0)),"Open PDF"))</f>
        <v/>
      </c>
    </row>
    <row r="181" ht="188" customHeight="1">
      <c r="A181" s="8">
        <f>IF(ISNA(MATCH(172,'Transfer Engine'!$C$2:$C$1369,0)),"",INDEX('Compliance Database'!$A$2:$A$1369,MATCH(172,'Transfer Engine'!$C$2:$C$1369,0)))</f>
        <v/>
      </c>
      <c r="B181" s="8">
        <f>IF(ISNA(MATCH(172,'Transfer Engine'!$C$2:$C$1369,0)),"",INDEX('Compliance Database'!$B$2:$B$1369,MATCH(172,'Transfer Engine'!$C$2:$C$1369,0)))</f>
        <v/>
      </c>
      <c r="C181" s="8">
        <f>IF(ISNA(MATCH(172,'Transfer Engine'!$C$2:$C$1369,0)),"",INDEX('Compliance Database'!$C$2:$C$1369,MATCH(172,'Transfer Engine'!$C$2:$C$1369,0)))</f>
        <v/>
      </c>
      <c r="D181" s="9">
        <f>IF(ISNA(MATCH(172,'Transfer Engine'!$C$2:$C$1369,0)),"",INDEX('Compliance Database'!$D$2:$D$1369,MATCH(172,'Transfer Engine'!$C$2:$C$1369,0)))</f>
        <v/>
      </c>
      <c r="E181" s="8">
        <f>IF(ISNA(MATCH(172,'Transfer Engine'!$C$2:$C$1369,0)),"",INDEX('Compliance Database'!$E$2:$E$1369,MATCH(172,'Transfer Engine'!$C$2:$C$1369,0)))</f>
        <v/>
      </c>
      <c r="F181" s="8">
        <f>IF(ISNA(MATCH(172,'Transfer Engine'!$C$2:$C$1369,0)),"",INDEX('Compliance Database'!$F$2:$F$1369,MATCH(172,'Transfer Engine'!$C$2:$C$1369,0)))</f>
        <v/>
      </c>
      <c r="G181" s="8">
        <f>IF(ISNA(MATCH(172,'Transfer Engine'!$C$2:$C$1369,0)),"",INDEX('Compliance Database'!$G$2:$G$1369,MATCH(172,'Transfer Engine'!$C$2:$C$1369,0)))</f>
        <v/>
      </c>
      <c r="H181" s="9">
        <f>IF(ISNA(MATCH(172,'Transfer Engine'!$C$2:$C$1369,0)),"",INDEX('Compliance Database'!$H$2:$H$1369,MATCH(172,'Transfer Engine'!$C$2:$C$1369,0)))</f>
        <v/>
      </c>
      <c r="I181" s="9">
        <f>IF(ISNA(MATCH(172,'Transfer Engine'!$C$2:$C$1369,0)),"",INDEX('Compliance Database'!$I$2:$I$1369,MATCH(172,'Transfer Engine'!$C$2:$C$1369,0)))</f>
        <v/>
      </c>
      <c r="J181" s="8">
        <f>IF(ISNA(MATCH(172,'Transfer Engine'!$C$2:$C$1369,0)),"",INDEX('Compliance Database'!$J$2:$J$1369,MATCH(172,'Transfer Engine'!$C$2:$C$1369,0)))</f>
        <v/>
      </c>
      <c r="K181" s="9">
        <f>IF(ISNA(MATCH(172,'Transfer Engine'!$C$2:$C$1369,0)),"",INDEX('Compliance Database'!$K$2:$K$1369,MATCH(172,'Transfer Engine'!$C$2:$C$1369,0)))</f>
        <v/>
      </c>
      <c r="L181" s="9">
        <f>IF(ISNA(MATCH(172,'Transfer Engine'!$C$2:$C$1369,0)),"",INDEX('Compliance Database'!$L$2:$L$1369,MATCH(172,'Transfer Engine'!$C$2:$C$1369,0)))</f>
        <v/>
      </c>
      <c r="M181" s="9">
        <f>IF(ISNA(MATCH(172,'Transfer Engine'!$C$2:$C$1369,0)),"",INDEX('Compliance Database'!$M$2:$M$1369,MATCH(172,'Transfer Engine'!$C$2:$C$1369,0)))</f>
        <v/>
      </c>
      <c r="N181" s="9">
        <f>IF(ISNA(MATCH(172,'Transfer Engine'!$C$2:$C$1369,0)),"",INDEX('Compliance Database'!$N$2:$N$1369,MATCH(172,'Transfer Engine'!$C$2:$C$1369,0)))</f>
        <v/>
      </c>
      <c r="O181" s="8">
        <f>IF(ISNA(MATCH(172,'Transfer Engine'!$C$2:$C$1369,0)),"",HYPERLINK(INDEX('Compliance Database'!$O$2:$O$1369,MATCH(172,'Transfer Engine'!$C$2:$C$1369,0)),"Open PDF"))</f>
        <v/>
      </c>
    </row>
    <row r="182" ht="188" customHeight="1">
      <c r="A182" s="8">
        <f>IF(ISNA(MATCH(173,'Transfer Engine'!$C$2:$C$1369,0)),"",INDEX('Compliance Database'!$A$2:$A$1369,MATCH(173,'Transfer Engine'!$C$2:$C$1369,0)))</f>
        <v/>
      </c>
      <c r="B182" s="8">
        <f>IF(ISNA(MATCH(173,'Transfer Engine'!$C$2:$C$1369,0)),"",INDEX('Compliance Database'!$B$2:$B$1369,MATCH(173,'Transfer Engine'!$C$2:$C$1369,0)))</f>
        <v/>
      </c>
      <c r="C182" s="8">
        <f>IF(ISNA(MATCH(173,'Transfer Engine'!$C$2:$C$1369,0)),"",INDEX('Compliance Database'!$C$2:$C$1369,MATCH(173,'Transfer Engine'!$C$2:$C$1369,0)))</f>
        <v/>
      </c>
      <c r="D182" s="9">
        <f>IF(ISNA(MATCH(173,'Transfer Engine'!$C$2:$C$1369,0)),"",INDEX('Compliance Database'!$D$2:$D$1369,MATCH(173,'Transfer Engine'!$C$2:$C$1369,0)))</f>
        <v/>
      </c>
      <c r="E182" s="8">
        <f>IF(ISNA(MATCH(173,'Transfer Engine'!$C$2:$C$1369,0)),"",INDEX('Compliance Database'!$E$2:$E$1369,MATCH(173,'Transfer Engine'!$C$2:$C$1369,0)))</f>
        <v/>
      </c>
      <c r="F182" s="8">
        <f>IF(ISNA(MATCH(173,'Transfer Engine'!$C$2:$C$1369,0)),"",INDEX('Compliance Database'!$F$2:$F$1369,MATCH(173,'Transfer Engine'!$C$2:$C$1369,0)))</f>
        <v/>
      </c>
      <c r="G182" s="8">
        <f>IF(ISNA(MATCH(173,'Transfer Engine'!$C$2:$C$1369,0)),"",INDEX('Compliance Database'!$G$2:$G$1369,MATCH(173,'Transfer Engine'!$C$2:$C$1369,0)))</f>
        <v/>
      </c>
      <c r="H182" s="9">
        <f>IF(ISNA(MATCH(173,'Transfer Engine'!$C$2:$C$1369,0)),"",INDEX('Compliance Database'!$H$2:$H$1369,MATCH(173,'Transfer Engine'!$C$2:$C$1369,0)))</f>
        <v/>
      </c>
      <c r="I182" s="9">
        <f>IF(ISNA(MATCH(173,'Transfer Engine'!$C$2:$C$1369,0)),"",INDEX('Compliance Database'!$I$2:$I$1369,MATCH(173,'Transfer Engine'!$C$2:$C$1369,0)))</f>
        <v/>
      </c>
      <c r="J182" s="8">
        <f>IF(ISNA(MATCH(173,'Transfer Engine'!$C$2:$C$1369,0)),"",INDEX('Compliance Database'!$J$2:$J$1369,MATCH(173,'Transfer Engine'!$C$2:$C$1369,0)))</f>
        <v/>
      </c>
      <c r="K182" s="9">
        <f>IF(ISNA(MATCH(173,'Transfer Engine'!$C$2:$C$1369,0)),"",INDEX('Compliance Database'!$K$2:$K$1369,MATCH(173,'Transfer Engine'!$C$2:$C$1369,0)))</f>
        <v/>
      </c>
      <c r="L182" s="9">
        <f>IF(ISNA(MATCH(173,'Transfer Engine'!$C$2:$C$1369,0)),"",INDEX('Compliance Database'!$L$2:$L$1369,MATCH(173,'Transfer Engine'!$C$2:$C$1369,0)))</f>
        <v/>
      </c>
      <c r="M182" s="9">
        <f>IF(ISNA(MATCH(173,'Transfer Engine'!$C$2:$C$1369,0)),"",INDEX('Compliance Database'!$M$2:$M$1369,MATCH(173,'Transfer Engine'!$C$2:$C$1369,0)))</f>
        <v/>
      </c>
      <c r="N182" s="9">
        <f>IF(ISNA(MATCH(173,'Transfer Engine'!$C$2:$C$1369,0)),"",INDEX('Compliance Database'!$N$2:$N$1369,MATCH(173,'Transfer Engine'!$C$2:$C$1369,0)))</f>
        <v/>
      </c>
      <c r="O182" s="8">
        <f>IF(ISNA(MATCH(173,'Transfer Engine'!$C$2:$C$1369,0)),"",HYPERLINK(INDEX('Compliance Database'!$O$2:$O$1369,MATCH(173,'Transfer Engine'!$C$2:$C$1369,0)),"Open PDF"))</f>
        <v/>
      </c>
    </row>
    <row r="183" ht="188" customHeight="1">
      <c r="A183" s="8">
        <f>IF(ISNA(MATCH(174,'Transfer Engine'!$C$2:$C$1369,0)),"",INDEX('Compliance Database'!$A$2:$A$1369,MATCH(174,'Transfer Engine'!$C$2:$C$1369,0)))</f>
        <v/>
      </c>
      <c r="B183" s="8">
        <f>IF(ISNA(MATCH(174,'Transfer Engine'!$C$2:$C$1369,0)),"",INDEX('Compliance Database'!$B$2:$B$1369,MATCH(174,'Transfer Engine'!$C$2:$C$1369,0)))</f>
        <v/>
      </c>
      <c r="C183" s="8">
        <f>IF(ISNA(MATCH(174,'Transfer Engine'!$C$2:$C$1369,0)),"",INDEX('Compliance Database'!$C$2:$C$1369,MATCH(174,'Transfer Engine'!$C$2:$C$1369,0)))</f>
        <v/>
      </c>
      <c r="D183" s="9">
        <f>IF(ISNA(MATCH(174,'Transfer Engine'!$C$2:$C$1369,0)),"",INDEX('Compliance Database'!$D$2:$D$1369,MATCH(174,'Transfer Engine'!$C$2:$C$1369,0)))</f>
        <v/>
      </c>
      <c r="E183" s="8">
        <f>IF(ISNA(MATCH(174,'Transfer Engine'!$C$2:$C$1369,0)),"",INDEX('Compliance Database'!$E$2:$E$1369,MATCH(174,'Transfer Engine'!$C$2:$C$1369,0)))</f>
        <v/>
      </c>
      <c r="F183" s="8">
        <f>IF(ISNA(MATCH(174,'Transfer Engine'!$C$2:$C$1369,0)),"",INDEX('Compliance Database'!$F$2:$F$1369,MATCH(174,'Transfer Engine'!$C$2:$C$1369,0)))</f>
        <v/>
      </c>
      <c r="G183" s="8">
        <f>IF(ISNA(MATCH(174,'Transfer Engine'!$C$2:$C$1369,0)),"",INDEX('Compliance Database'!$G$2:$G$1369,MATCH(174,'Transfer Engine'!$C$2:$C$1369,0)))</f>
        <v/>
      </c>
      <c r="H183" s="9">
        <f>IF(ISNA(MATCH(174,'Transfer Engine'!$C$2:$C$1369,0)),"",INDEX('Compliance Database'!$H$2:$H$1369,MATCH(174,'Transfer Engine'!$C$2:$C$1369,0)))</f>
        <v/>
      </c>
      <c r="I183" s="9">
        <f>IF(ISNA(MATCH(174,'Transfer Engine'!$C$2:$C$1369,0)),"",INDEX('Compliance Database'!$I$2:$I$1369,MATCH(174,'Transfer Engine'!$C$2:$C$1369,0)))</f>
        <v/>
      </c>
      <c r="J183" s="8">
        <f>IF(ISNA(MATCH(174,'Transfer Engine'!$C$2:$C$1369,0)),"",INDEX('Compliance Database'!$J$2:$J$1369,MATCH(174,'Transfer Engine'!$C$2:$C$1369,0)))</f>
        <v/>
      </c>
      <c r="K183" s="9">
        <f>IF(ISNA(MATCH(174,'Transfer Engine'!$C$2:$C$1369,0)),"",INDEX('Compliance Database'!$K$2:$K$1369,MATCH(174,'Transfer Engine'!$C$2:$C$1369,0)))</f>
        <v/>
      </c>
      <c r="L183" s="9">
        <f>IF(ISNA(MATCH(174,'Transfer Engine'!$C$2:$C$1369,0)),"",INDEX('Compliance Database'!$L$2:$L$1369,MATCH(174,'Transfer Engine'!$C$2:$C$1369,0)))</f>
        <v/>
      </c>
      <c r="M183" s="9">
        <f>IF(ISNA(MATCH(174,'Transfer Engine'!$C$2:$C$1369,0)),"",INDEX('Compliance Database'!$M$2:$M$1369,MATCH(174,'Transfer Engine'!$C$2:$C$1369,0)))</f>
        <v/>
      </c>
      <c r="N183" s="9">
        <f>IF(ISNA(MATCH(174,'Transfer Engine'!$C$2:$C$1369,0)),"",INDEX('Compliance Database'!$N$2:$N$1369,MATCH(174,'Transfer Engine'!$C$2:$C$1369,0)))</f>
        <v/>
      </c>
      <c r="O183" s="8">
        <f>IF(ISNA(MATCH(174,'Transfer Engine'!$C$2:$C$1369,0)),"",HYPERLINK(INDEX('Compliance Database'!$O$2:$O$1369,MATCH(174,'Transfer Engine'!$C$2:$C$1369,0)),"Open PDF"))</f>
        <v/>
      </c>
    </row>
    <row r="184" ht="188" customHeight="1">
      <c r="A184" s="8">
        <f>IF(ISNA(MATCH(175,'Transfer Engine'!$C$2:$C$1369,0)),"",INDEX('Compliance Database'!$A$2:$A$1369,MATCH(175,'Transfer Engine'!$C$2:$C$1369,0)))</f>
        <v/>
      </c>
      <c r="B184" s="8">
        <f>IF(ISNA(MATCH(175,'Transfer Engine'!$C$2:$C$1369,0)),"",INDEX('Compliance Database'!$B$2:$B$1369,MATCH(175,'Transfer Engine'!$C$2:$C$1369,0)))</f>
        <v/>
      </c>
      <c r="C184" s="8">
        <f>IF(ISNA(MATCH(175,'Transfer Engine'!$C$2:$C$1369,0)),"",INDEX('Compliance Database'!$C$2:$C$1369,MATCH(175,'Transfer Engine'!$C$2:$C$1369,0)))</f>
        <v/>
      </c>
      <c r="D184" s="9">
        <f>IF(ISNA(MATCH(175,'Transfer Engine'!$C$2:$C$1369,0)),"",INDEX('Compliance Database'!$D$2:$D$1369,MATCH(175,'Transfer Engine'!$C$2:$C$1369,0)))</f>
        <v/>
      </c>
      <c r="E184" s="8">
        <f>IF(ISNA(MATCH(175,'Transfer Engine'!$C$2:$C$1369,0)),"",INDEX('Compliance Database'!$E$2:$E$1369,MATCH(175,'Transfer Engine'!$C$2:$C$1369,0)))</f>
        <v/>
      </c>
      <c r="F184" s="8">
        <f>IF(ISNA(MATCH(175,'Transfer Engine'!$C$2:$C$1369,0)),"",INDEX('Compliance Database'!$F$2:$F$1369,MATCH(175,'Transfer Engine'!$C$2:$C$1369,0)))</f>
        <v/>
      </c>
      <c r="G184" s="8">
        <f>IF(ISNA(MATCH(175,'Transfer Engine'!$C$2:$C$1369,0)),"",INDEX('Compliance Database'!$G$2:$G$1369,MATCH(175,'Transfer Engine'!$C$2:$C$1369,0)))</f>
        <v/>
      </c>
      <c r="H184" s="9">
        <f>IF(ISNA(MATCH(175,'Transfer Engine'!$C$2:$C$1369,0)),"",INDEX('Compliance Database'!$H$2:$H$1369,MATCH(175,'Transfer Engine'!$C$2:$C$1369,0)))</f>
        <v/>
      </c>
      <c r="I184" s="9">
        <f>IF(ISNA(MATCH(175,'Transfer Engine'!$C$2:$C$1369,0)),"",INDEX('Compliance Database'!$I$2:$I$1369,MATCH(175,'Transfer Engine'!$C$2:$C$1369,0)))</f>
        <v/>
      </c>
      <c r="J184" s="8">
        <f>IF(ISNA(MATCH(175,'Transfer Engine'!$C$2:$C$1369,0)),"",INDEX('Compliance Database'!$J$2:$J$1369,MATCH(175,'Transfer Engine'!$C$2:$C$1369,0)))</f>
        <v/>
      </c>
      <c r="K184" s="9">
        <f>IF(ISNA(MATCH(175,'Transfer Engine'!$C$2:$C$1369,0)),"",INDEX('Compliance Database'!$K$2:$K$1369,MATCH(175,'Transfer Engine'!$C$2:$C$1369,0)))</f>
        <v/>
      </c>
      <c r="L184" s="9">
        <f>IF(ISNA(MATCH(175,'Transfer Engine'!$C$2:$C$1369,0)),"",INDEX('Compliance Database'!$L$2:$L$1369,MATCH(175,'Transfer Engine'!$C$2:$C$1369,0)))</f>
        <v/>
      </c>
      <c r="M184" s="9">
        <f>IF(ISNA(MATCH(175,'Transfer Engine'!$C$2:$C$1369,0)),"",INDEX('Compliance Database'!$M$2:$M$1369,MATCH(175,'Transfer Engine'!$C$2:$C$1369,0)))</f>
        <v/>
      </c>
      <c r="N184" s="9">
        <f>IF(ISNA(MATCH(175,'Transfer Engine'!$C$2:$C$1369,0)),"",INDEX('Compliance Database'!$N$2:$N$1369,MATCH(175,'Transfer Engine'!$C$2:$C$1369,0)))</f>
        <v/>
      </c>
      <c r="O184" s="8">
        <f>IF(ISNA(MATCH(175,'Transfer Engine'!$C$2:$C$1369,0)),"",HYPERLINK(INDEX('Compliance Database'!$O$2:$O$1369,MATCH(175,'Transfer Engine'!$C$2:$C$1369,0)),"Open PDF"))</f>
        <v/>
      </c>
    </row>
    <row r="185" ht="188" customHeight="1">
      <c r="A185" s="8">
        <f>IF(ISNA(MATCH(176,'Transfer Engine'!$C$2:$C$1369,0)),"",INDEX('Compliance Database'!$A$2:$A$1369,MATCH(176,'Transfer Engine'!$C$2:$C$1369,0)))</f>
        <v/>
      </c>
      <c r="B185" s="8">
        <f>IF(ISNA(MATCH(176,'Transfer Engine'!$C$2:$C$1369,0)),"",INDEX('Compliance Database'!$B$2:$B$1369,MATCH(176,'Transfer Engine'!$C$2:$C$1369,0)))</f>
        <v/>
      </c>
      <c r="C185" s="8">
        <f>IF(ISNA(MATCH(176,'Transfer Engine'!$C$2:$C$1369,0)),"",INDEX('Compliance Database'!$C$2:$C$1369,MATCH(176,'Transfer Engine'!$C$2:$C$1369,0)))</f>
        <v/>
      </c>
      <c r="D185" s="9">
        <f>IF(ISNA(MATCH(176,'Transfer Engine'!$C$2:$C$1369,0)),"",INDEX('Compliance Database'!$D$2:$D$1369,MATCH(176,'Transfer Engine'!$C$2:$C$1369,0)))</f>
        <v/>
      </c>
      <c r="E185" s="8">
        <f>IF(ISNA(MATCH(176,'Transfer Engine'!$C$2:$C$1369,0)),"",INDEX('Compliance Database'!$E$2:$E$1369,MATCH(176,'Transfer Engine'!$C$2:$C$1369,0)))</f>
        <v/>
      </c>
      <c r="F185" s="8">
        <f>IF(ISNA(MATCH(176,'Transfer Engine'!$C$2:$C$1369,0)),"",INDEX('Compliance Database'!$F$2:$F$1369,MATCH(176,'Transfer Engine'!$C$2:$C$1369,0)))</f>
        <v/>
      </c>
      <c r="G185" s="8">
        <f>IF(ISNA(MATCH(176,'Transfer Engine'!$C$2:$C$1369,0)),"",INDEX('Compliance Database'!$G$2:$G$1369,MATCH(176,'Transfer Engine'!$C$2:$C$1369,0)))</f>
        <v/>
      </c>
      <c r="H185" s="9">
        <f>IF(ISNA(MATCH(176,'Transfer Engine'!$C$2:$C$1369,0)),"",INDEX('Compliance Database'!$H$2:$H$1369,MATCH(176,'Transfer Engine'!$C$2:$C$1369,0)))</f>
        <v/>
      </c>
      <c r="I185" s="9">
        <f>IF(ISNA(MATCH(176,'Transfer Engine'!$C$2:$C$1369,0)),"",INDEX('Compliance Database'!$I$2:$I$1369,MATCH(176,'Transfer Engine'!$C$2:$C$1369,0)))</f>
        <v/>
      </c>
      <c r="J185" s="8">
        <f>IF(ISNA(MATCH(176,'Transfer Engine'!$C$2:$C$1369,0)),"",INDEX('Compliance Database'!$J$2:$J$1369,MATCH(176,'Transfer Engine'!$C$2:$C$1369,0)))</f>
        <v/>
      </c>
      <c r="K185" s="9">
        <f>IF(ISNA(MATCH(176,'Transfer Engine'!$C$2:$C$1369,0)),"",INDEX('Compliance Database'!$K$2:$K$1369,MATCH(176,'Transfer Engine'!$C$2:$C$1369,0)))</f>
        <v/>
      </c>
      <c r="L185" s="9">
        <f>IF(ISNA(MATCH(176,'Transfer Engine'!$C$2:$C$1369,0)),"",INDEX('Compliance Database'!$L$2:$L$1369,MATCH(176,'Transfer Engine'!$C$2:$C$1369,0)))</f>
        <v/>
      </c>
      <c r="M185" s="9">
        <f>IF(ISNA(MATCH(176,'Transfer Engine'!$C$2:$C$1369,0)),"",INDEX('Compliance Database'!$M$2:$M$1369,MATCH(176,'Transfer Engine'!$C$2:$C$1369,0)))</f>
        <v/>
      </c>
      <c r="N185" s="9">
        <f>IF(ISNA(MATCH(176,'Transfer Engine'!$C$2:$C$1369,0)),"",INDEX('Compliance Database'!$N$2:$N$1369,MATCH(176,'Transfer Engine'!$C$2:$C$1369,0)))</f>
        <v/>
      </c>
      <c r="O185" s="8">
        <f>IF(ISNA(MATCH(176,'Transfer Engine'!$C$2:$C$1369,0)),"",HYPERLINK(INDEX('Compliance Database'!$O$2:$O$1369,MATCH(176,'Transfer Engine'!$C$2:$C$1369,0)),"Open PDF"))</f>
        <v/>
      </c>
    </row>
    <row r="186" ht="188" customHeight="1">
      <c r="A186" s="8">
        <f>IF(ISNA(MATCH(177,'Transfer Engine'!$C$2:$C$1369,0)),"",INDEX('Compliance Database'!$A$2:$A$1369,MATCH(177,'Transfer Engine'!$C$2:$C$1369,0)))</f>
        <v/>
      </c>
      <c r="B186" s="8">
        <f>IF(ISNA(MATCH(177,'Transfer Engine'!$C$2:$C$1369,0)),"",INDEX('Compliance Database'!$B$2:$B$1369,MATCH(177,'Transfer Engine'!$C$2:$C$1369,0)))</f>
        <v/>
      </c>
      <c r="C186" s="8">
        <f>IF(ISNA(MATCH(177,'Transfer Engine'!$C$2:$C$1369,0)),"",INDEX('Compliance Database'!$C$2:$C$1369,MATCH(177,'Transfer Engine'!$C$2:$C$1369,0)))</f>
        <v/>
      </c>
      <c r="D186" s="9">
        <f>IF(ISNA(MATCH(177,'Transfer Engine'!$C$2:$C$1369,0)),"",INDEX('Compliance Database'!$D$2:$D$1369,MATCH(177,'Transfer Engine'!$C$2:$C$1369,0)))</f>
        <v/>
      </c>
      <c r="E186" s="8">
        <f>IF(ISNA(MATCH(177,'Transfer Engine'!$C$2:$C$1369,0)),"",INDEX('Compliance Database'!$E$2:$E$1369,MATCH(177,'Transfer Engine'!$C$2:$C$1369,0)))</f>
        <v/>
      </c>
      <c r="F186" s="8">
        <f>IF(ISNA(MATCH(177,'Transfer Engine'!$C$2:$C$1369,0)),"",INDEX('Compliance Database'!$F$2:$F$1369,MATCH(177,'Transfer Engine'!$C$2:$C$1369,0)))</f>
        <v/>
      </c>
      <c r="G186" s="8">
        <f>IF(ISNA(MATCH(177,'Transfer Engine'!$C$2:$C$1369,0)),"",INDEX('Compliance Database'!$G$2:$G$1369,MATCH(177,'Transfer Engine'!$C$2:$C$1369,0)))</f>
        <v/>
      </c>
      <c r="H186" s="9">
        <f>IF(ISNA(MATCH(177,'Transfer Engine'!$C$2:$C$1369,0)),"",INDEX('Compliance Database'!$H$2:$H$1369,MATCH(177,'Transfer Engine'!$C$2:$C$1369,0)))</f>
        <v/>
      </c>
      <c r="I186" s="9">
        <f>IF(ISNA(MATCH(177,'Transfer Engine'!$C$2:$C$1369,0)),"",INDEX('Compliance Database'!$I$2:$I$1369,MATCH(177,'Transfer Engine'!$C$2:$C$1369,0)))</f>
        <v/>
      </c>
      <c r="J186" s="8">
        <f>IF(ISNA(MATCH(177,'Transfer Engine'!$C$2:$C$1369,0)),"",INDEX('Compliance Database'!$J$2:$J$1369,MATCH(177,'Transfer Engine'!$C$2:$C$1369,0)))</f>
        <v/>
      </c>
      <c r="K186" s="9">
        <f>IF(ISNA(MATCH(177,'Transfer Engine'!$C$2:$C$1369,0)),"",INDEX('Compliance Database'!$K$2:$K$1369,MATCH(177,'Transfer Engine'!$C$2:$C$1369,0)))</f>
        <v/>
      </c>
      <c r="L186" s="9">
        <f>IF(ISNA(MATCH(177,'Transfer Engine'!$C$2:$C$1369,0)),"",INDEX('Compliance Database'!$L$2:$L$1369,MATCH(177,'Transfer Engine'!$C$2:$C$1369,0)))</f>
        <v/>
      </c>
      <c r="M186" s="9">
        <f>IF(ISNA(MATCH(177,'Transfer Engine'!$C$2:$C$1369,0)),"",INDEX('Compliance Database'!$M$2:$M$1369,MATCH(177,'Transfer Engine'!$C$2:$C$1369,0)))</f>
        <v/>
      </c>
      <c r="N186" s="9">
        <f>IF(ISNA(MATCH(177,'Transfer Engine'!$C$2:$C$1369,0)),"",INDEX('Compliance Database'!$N$2:$N$1369,MATCH(177,'Transfer Engine'!$C$2:$C$1369,0)))</f>
        <v/>
      </c>
      <c r="O186" s="8">
        <f>IF(ISNA(MATCH(177,'Transfer Engine'!$C$2:$C$1369,0)),"",HYPERLINK(INDEX('Compliance Database'!$O$2:$O$1369,MATCH(177,'Transfer Engine'!$C$2:$C$1369,0)),"Open PDF"))</f>
        <v/>
      </c>
    </row>
    <row r="187" ht="188" customHeight="1">
      <c r="A187" s="8">
        <f>IF(ISNA(MATCH(178,'Transfer Engine'!$C$2:$C$1369,0)),"",INDEX('Compliance Database'!$A$2:$A$1369,MATCH(178,'Transfer Engine'!$C$2:$C$1369,0)))</f>
        <v/>
      </c>
      <c r="B187" s="8">
        <f>IF(ISNA(MATCH(178,'Transfer Engine'!$C$2:$C$1369,0)),"",INDEX('Compliance Database'!$B$2:$B$1369,MATCH(178,'Transfer Engine'!$C$2:$C$1369,0)))</f>
        <v/>
      </c>
      <c r="C187" s="8">
        <f>IF(ISNA(MATCH(178,'Transfer Engine'!$C$2:$C$1369,0)),"",INDEX('Compliance Database'!$C$2:$C$1369,MATCH(178,'Transfer Engine'!$C$2:$C$1369,0)))</f>
        <v/>
      </c>
      <c r="D187" s="9">
        <f>IF(ISNA(MATCH(178,'Transfer Engine'!$C$2:$C$1369,0)),"",INDEX('Compliance Database'!$D$2:$D$1369,MATCH(178,'Transfer Engine'!$C$2:$C$1369,0)))</f>
        <v/>
      </c>
      <c r="E187" s="8">
        <f>IF(ISNA(MATCH(178,'Transfer Engine'!$C$2:$C$1369,0)),"",INDEX('Compliance Database'!$E$2:$E$1369,MATCH(178,'Transfer Engine'!$C$2:$C$1369,0)))</f>
        <v/>
      </c>
      <c r="F187" s="8">
        <f>IF(ISNA(MATCH(178,'Transfer Engine'!$C$2:$C$1369,0)),"",INDEX('Compliance Database'!$F$2:$F$1369,MATCH(178,'Transfer Engine'!$C$2:$C$1369,0)))</f>
        <v/>
      </c>
      <c r="G187" s="8">
        <f>IF(ISNA(MATCH(178,'Transfer Engine'!$C$2:$C$1369,0)),"",INDEX('Compliance Database'!$G$2:$G$1369,MATCH(178,'Transfer Engine'!$C$2:$C$1369,0)))</f>
        <v/>
      </c>
      <c r="H187" s="9">
        <f>IF(ISNA(MATCH(178,'Transfer Engine'!$C$2:$C$1369,0)),"",INDEX('Compliance Database'!$H$2:$H$1369,MATCH(178,'Transfer Engine'!$C$2:$C$1369,0)))</f>
        <v/>
      </c>
      <c r="I187" s="9">
        <f>IF(ISNA(MATCH(178,'Transfer Engine'!$C$2:$C$1369,0)),"",INDEX('Compliance Database'!$I$2:$I$1369,MATCH(178,'Transfer Engine'!$C$2:$C$1369,0)))</f>
        <v/>
      </c>
      <c r="J187" s="8">
        <f>IF(ISNA(MATCH(178,'Transfer Engine'!$C$2:$C$1369,0)),"",INDEX('Compliance Database'!$J$2:$J$1369,MATCH(178,'Transfer Engine'!$C$2:$C$1369,0)))</f>
        <v/>
      </c>
      <c r="K187" s="9">
        <f>IF(ISNA(MATCH(178,'Transfer Engine'!$C$2:$C$1369,0)),"",INDEX('Compliance Database'!$K$2:$K$1369,MATCH(178,'Transfer Engine'!$C$2:$C$1369,0)))</f>
        <v/>
      </c>
      <c r="L187" s="9">
        <f>IF(ISNA(MATCH(178,'Transfer Engine'!$C$2:$C$1369,0)),"",INDEX('Compliance Database'!$L$2:$L$1369,MATCH(178,'Transfer Engine'!$C$2:$C$1369,0)))</f>
        <v/>
      </c>
      <c r="M187" s="9">
        <f>IF(ISNA(MATCH(178,'Transfer Engine'!$C$2:$C$1369,0)),"",INDEX('Compliance Database'!$M$2:$M$1369,MATCH(178,'Transfer Engine'!$C$2:$C$1369,0)))</f>
        <v/>
      </c>
      <c r="N187" s="9">
        <f>IF(ISNA(MATCH(178,'Transfer Engine'!$C$2:$C$1369,0)),"",INDEX('Compliance Database'!$N$2:$N$1369,MATCH(178,'Transfer Engine'!$C$2:$C$1369,0)))</f>
        <v/>
      </c>
      <c r="O187" s="8">
        <f>IF(ISNA(MATCH(178,'Transfer Engine'!$C$2:$C$1369,0)),"",HYPERLINK(INDEX('Compliance Database'!$O$2:$O$1369,MATCH(178,'Transfer Engine'!$C$2:$C$1369,0)),"Open PDF"))</f>
        <v/>
      </c>
    </row>
    <row r="188" ht="188" customHeight="1">
      <c r="A188" s="8">
        <f>IF(ISNA(MATCH(179,'Transfer Engine'!$C$2:$C$1369,0)),"",INDEX('Compliance Database'!$A$2:$A$1369,MATCH(179,'Transfer Engine'!$C$2:$C$1369,0)))</f>
        <v/>
      </c>
      <c r="B188" s="8">
        <f>IF(ISNA(MATCH(179,'Transfer Engine'!$C$2:$C$1369,0)),"",INDEX('Compliance Database'!$B$2:$B$1369,MATCH(179,'Transfer Engine'!$C$2:$C$1369,0)))</f>
        <v/>
      </c>
      <c r="C188" s="8">
        <f>IF(ISNA(MATCH(179,'Transfer Engine'!$C$2:$C$1369,0)),"",INDEX('Compliance Database'!$C$2:$C$1369,MATCH(179,'Transfer Engine'!$C$2:$C$1369,0)))</f>
        <v/>
      </c>
      <c r="D188" s="9">
        <f>IF(ISNA(MATCH(179,'Transfer Engine'!$C$2:$C$1369,0)),"",INDEX('Compliance Database'!$D$2:$D$1369,MATCH(179,'Transfer Engine'!$C$2:$C$1369,0)))</f>
        <v/>
      </c>
      <c r="E188" s="8">
        <f>IF(ISNA(MATCH(179,'Transfer Engine'!$C$2:$C$1369,0)),"",INDEX('Compliance Database'!$E$2:$E$1369,MATCH(179,'Transfer Engine'!$C$2:$C$1369,0)))</f>
        <v/>
      </c>
      <c r="F188" s="8">
        <f>IF(ISNA(MATCH(179,'Transfer Engine'!$C$2:$C$1369,0)),"",INDEX('Compliance Database'!$F$2:$F$1369,MATCH(179,'Transfer Engine'!$C$2:$C$1369,0)))</f>
        <v/>
      </c>
      <c r="G188" s="8">
        <f>IF(ISNA(MATCH(179,'Transfer Engine'!$C$2:$C$1369,0)),"",INDEX('Compliance Database'!$G$2:$G$1369,MATCH(179,'Transfer Engine'!$C$2:$C$1369,0)))</f>
        <v/>
      </c>
      <c r="H188" s="9">
        <f>IF(ISNA(MATCH(179,'Transfer Engine'!$C$2:$C$1369,0)),"",INDEX('Compliance Database'!$H$2:$H$1369,MATCH(179,'Transfer Engine'!$C$2:$C$1369,0)))</f>
        <v/>
      </c>
      <c r="I188" s="9">
        <f>IF(ISNA(MATCH(179,'Transfer Engine'!$C$2:$C$1369,0)),"",INDEX('Compliance Database'!$I$2:$I$1369,MATCH(179,'Transfer Engine'!$C$2:$C$1369,0)))</f>
        <v/>
      </c>
      <c r="J188" s="8">
        <f>IF(ISNA(MATCH(179,'Transfer Engine'!$C$2:$C$1369,0)),"",INDEX('Compliance Database'!$J$2:$J$1369,MATCH(179,'Transfer Engine'!$C$2:$C$1369,0)))</f>
        <v/>
      </c>
      <c r="K188" s="9">
        <f>IF(ISNA(MATCH(179,'Transfer Engine'!$C$2:$C$1369,0)),"",INDEX('Compliance Database'!$K$2:$K$1369,MATCH(179,'Transfer Engine'!$C$2:$C$1369,0)))</f>
        <v/>
      </c>
      <c r="L188" s="9">
        <f>IF(ISNA(MATCH(179,'Transfer Engine'!$C$2:$C$1369,0)),"",INDEX('Compliance Database'!$L$2:$L$1369,MATCH(179,'Transfer Engine'!$C$2:$C$1369,0)))</f>
        <v/>
      </c>
      <c r="M188" s="9">
        <f>IF(ISNA(MATCH(179,'Transfer Engine'!$C$2:$C$1369,0)),"",INDEX('Compliance Database'!$M$2:$M$1369,MATCH(179,'Transfer Engine'!$C$2:$C$1369,0)))</f>
        <v/>
      </c>
      <c r="N188" s="9">
        <f>IF(ISNA(MATCH(179,'Transfer Engine'!$C$2:$C$1369,0)),"",INDEX('Compliance Database'!$N$2:$N$1369,MATCH(179,'Transfer Engine'!$C$2:$C$1369,0)))</f>
        <v/>
      </c>
      <c r="O188" s="8">
        <f>IF(ISNA(MATCH(179,'Transfer Engine'!$C$2:$C$1369,0)),"",HYPERLINK(INDEX('Compliance Database'!$O$2:$O$1369,MATCH(179,'Transfer Engine'!$C$2:$C$1369,0)),"Open PDF"))</f>
        <v/>
      </c>
    </row>
    <row r="189" ht="188" customHeight="1">
      <c r="A189" s="8">
        <f>IF(ISNA(MATCH(180,'Transfer Engine'!$C$2:$C$1369,0)),"",INDEX('Compliance Database'!$A$2:$A$1369,MATCH(180,'Transfer Engine'!$C$2:$C$1369,0)))</f>
        <v/>
      </c>
      <c r="B189" s="8">
        <f>IF(ISNA(MATCH(180,'Transfer Engine'!$C$2:$C$1369,0)),"",INDEX('Compliance Database'!$B$2:$B$1369,MATCH(180,'Transfer Engine'!$C$2:$C$1369,0)))</f>
        <v/>
      </c>
      <c r="C189" s="8">
        <f>IF(ISNA(MATCH(180,'Transfer Engine'!$C$2:$C$1369,0)),"",INDEX('Compliance Database'!$C$2:$C$1369,MATCH(180,'Transfer Engine'!$C$2:$C$1369,0)))</f>
        <v/>
      </c>
      <c r="D189" s="9">
        <f>IF(ISNA(MATCH(180,'Transfer Engine'!$C$2:$C$1369,0)),"",INDEX('Compliance Database'!$D$2:$D$1369,MATCH(180,'Transfer Engine'!$C$2:$C$1369,0)))</f>
        <v/>
      </c>
      <c r="E189" s="8">
        <f>IF(ISNA(MATCH(180,'Transfer Engine'!$C$2:$C$1369,0)),"",INDEX('Compliance Database'!$E$2:$E$1369,MATCH(180,'Transfer Engine'!$C$2:$C$1369,0)))</f>
        <v/>
      </c>
      <c r="F189" s="8">
        <f>IF(ISNA(MATCH(180,'Transfer Engine'!$C$2:$C$1369,0)),"",INDEX('Compliance Database'!$F$2:$F$1369,MATCH(180,'Transfer Engine'!$C$2:$C$1369,0)))</f>
        <v/>
      </c>
      <c r="G189" s="8">
        <f>IF(ISNA(MATCH(180,'Transfer Engine'!$C$2:$C$1369,0)),"",INDEX('Compliance Database'!$G$2:$G$1369,MATCH(180,'Transfer Engine'!$C$2:$C$1369,0)))</f>
        <v/>
      </c>
      <c r="H189" s="9">
        <f>IF(ISNA(MATCH(180,'Transfer Engine'!$C$2:$C$1369,0)),"",INDEX('Compliance Database'!$H$2:$H$1369,MATCH(180,'Transfer Engine'!$C$2:$C$1369,0)))</f>
        <v/>
      </c>
      <c r="I189" s="9">
        <f>IF(ISNA(MATCH(180,'Transfer Engine'!$C$2:$C$1369,0)),"",INDEX('Compliance Database'!$I$2:$I$1369,MATCH(180,'Transfer Engine'!$C$2:$C$1369,0)))</f>
        <v/>
      </c>
      <c r="J189" s="8">
        <f>IF(ISNA(MATCH(180,'Transfer Engine'!$C$2:$C$1369,0)),"",INDEX('Compliance Database'!$J$2:$J$1369,MATCH(180,'Transfer Engine'!$C$2:$C$1369,0)))</f>
        <v/>
      </c>
      <c r="K189" s="9">
        <f>IF(ISNA(MATCH(180,'Transfer Engine'!$C$2:$C$1369,0)),"",INDEX('Compliance Database'!$K$2:$K$1369,MATCH(180,'Transfer Engine'!$C$2:$C$1369,0)))</f>
        <v/>
      </c>
      <c r="L189" s="9">
        <f>IF(ISNA(MATCH(180,'Transfer Engine'!$C$2:$C$1369,0)),"",INDEX('Compliance Database'!$L$2:$L$1369,MATCH(180,'Transfer Engine'!$C$2:$C$1369,0)))</f>
        <v/>
      </c>
      <c r="M189" s="9">
        <f>IF(ISNA(MATCH(180,'Transfer Engine'!$C$2:$C$1369,0)),"",INDEX('Compliance Database'!$M$2:$M$1369,MATCH(180,'Transfer Engine'!$C$2:$C$1369,0)))</f>
        <v/>
      </c>
      <c r="N189" s="9">
        <f>IF(ISNA(MATCH(180,'Transfer Engine'!$C$2:$C$1369,0)),"",INDEX('Compliance Database'!$N$2:$N$1369,MATCH(180,'Transfer Engine'!$C$2:$C$1369,0)))</f>
        <v/>
      </c>
      <c r="O189" s="8">
        <f>IF(ISNA(MATCH(180,'Transfer Engine'!$C$2:$C$1369,0)),"",HYPERLINK(INDEX('Compliance Database'!$O$2:$O$1369,MATCH(180,'Transfer Engine'!$C$2:$C$1369,0)),"Open PDF"))</f>
        <v/>
      </c>
    </row>
    <row r="190" ht="188" customHeight="1">
      <c r="A190" s="8">
        <f>IF(ISNA(MATCH(181,'Transfer Engine'!$C$2:$C$1369,0)),"",INDEX('Compliance Database'!$A$2:$A$1369,MATCH(181,'Transfer Engine'!$C$2:$C$1369,0)))</f>
        <v/>
      </c>
      <c r="B190" s="8">
        <f>IF(ISNA(MATCH(181,'Transfer Engine'!$C$2:$C$1369,0)),"",INDEX('Compliance Database'!$B$2:$B$1369,MATCH(181,'Transfer Engine'!$C$2:$C$1369,0)))</f>
        <v/>
      </c>
      <c r="C190" s="8">
        <f>IF(ISNA(MATCH(181,'Transfer Engine'!$C$2:$C$1369,0)),"",INDEX('Compliance Database'!$C$2:$C$1369,MATCH(181,'Transfer Engine'!$C$2:$C$1369,0)))</f>
        <v/>
      </c>
      <c r="D190" s="9">
        <f>IF(ISNA(MATCH(181,'Transfer Engine'!$C$2:$C$1369,0)),"",INDEX('Compliance Database'!$D$2:$D$1369,MATCH(181,'Transfer Engine'!$C$2:$C$1369,0)))</f>
        <v/>
      </c>
      <c r="E190" s="8">
        <f>IF(ISNA(MATCH(181,'Transfer Engine'!$C$2:$C$1369,0)),"",INDEX('Compliance Database'!$E$2:$E$1369,MATCH(181,'Transfer Engine'!$C$2:$C$1369,0)))</f>
        <v/>
      </c>
      <c r="F190" s="8">
        <f>IF(ISNA(MATCH(181,'Transfer Engine'!$C$2:$C$1369,0)),"",INDEX('Compliance Database'!$F$2:$F$1369,MATCH(181,'Transfer Engine'!$C$2:$C$1369,0)))</f>
        <v/>
      </c>
      <c r="G190" s="8">
        <f>IF(ISNA(MATCH(181,'Transfer Engine'!$C$2:$C$1369,0)),"",INDEX('Compliance Database'!$G$2:$G$1369,MATCH(181,'Transfer Engine'!$C$2:$C$1369,0)))</f>
        <v/>
      </c>
      <c r="H190" s="9">
        <f>IF(ISNA(MATCH(181,'Transfer Engine'!$C$2:$C$1369,0)),"",INDEX('Compliance Database'!$H$2:$H$1369,MATCH(181,'Transfer Engine'!$C$2:$C$1369,0)))</f>
        <v/>
      </c>
      <c r="I190" s="9">
        <f>IF(ISNA(MATCH(181,'Transfer Engine'!$C$2:$C$1369,0)),"",INDEX('Compliance Database'!$I$2:$I$1369,MATCH(181,'Transfer Engine'!$C$2:$C$1369,0)))</f>
        <v/>
      </c>
      <c r="J190" s="8">
        <f>IF(ISNA(MATCH(181,'Transfer Engine'!$C$2:$C$1369,0)),"",INDEX('Compliance Database'!$J$2:$J$1369,MATCH(181,'Transfer Engine'!$C$2:$C$1369,0)))</f>
        <v/>
      </c>
      <c r="K190" s="9">
        <f>IF(ISNA(MATCH(181,'Transfer Engine'!$C$2:$C$1369,0)),"",INDEX('Compliance Database'!$K$2:$K$1369,MATCH(181,'Transfer Engine'!$C$2:$C$1369,0)))</f>
        <v/>
      </c>
      <c r="L190" s="9">
        <f>IF(ISNA(MATCH(181,'Transfer Engine'!$C$2:$C$1369,0)),"",INDEX('Compliance Database'!$L$2:$L$1369,MATCH(181,'Transfer Engine'!$C$2:$C$1369,0)))</f>
        <v/>
      </c>
      <c r="M190" s="9">
        <f>IF(ISNA(MATCH(181,'Transfer Engine'!$C$2:$C$1369,0)),"",INDEX('Compliance Database'!$M$2:$M$1369,MATCH(181,'Transfer Engine'!$C$2:$C$1369,0)))</f>
        <v/>
      </c>
      <c r="N190" s="9">
        <f>IF(ISNA(MATCH(181,'Transfer Engine'!$C$2:$C$1369,0)),"",INDEX('Compliance Database'!$N$2:$N$1369,MATCH(181,'Transfer Engine'!$C$2:$C$1369,0)))</f>
        <v/>
      </c>
      <c r="O190" s="8">
        <f>IF(ISNA(MATCH(181,'Transfer Engine'!$C$2:$C$1369,0)),"",HYPERLINK(INDEX('Compliance Database'!$O$2:$O$1369,MATCH(181,'Transfer Engine'!$C$2:$C$1369,0)),"Open PDF"))</f>
        <v/>
      </c>
    </row>
    <row r="191" ht="188" customHeight="1">
      <c r="A191" s="8">
        <f>IF(ISNA(MATCH(182,'Transfer Engine'!$C$2:$C$1369,0)),"",INDEX('Compliance Database'!$A$2:$A$1369,MATCH(182,'Transfer Engine'!$C$2:$C$1369,0)))</f>
        <v/>
      </c>
      <c r="B191" s="8">
        <f>IF(ISNA(MATCH(182,'Transfer Engine'!$C$2:$C$1369,0)),"",INDEX('Compliance Database'!$B$2:$B$1369,MATCH(182,'Transfer Engine'!$C$2:$C$1369,0)))</f>
        <v/>
      </c>
      <c r="C191" s="8">
        <f>IF(ISNA(MATCH(182,'Transfer Engine'!$C$2:$C$1369,0)),"",INDEX('Compliance Database'!$C$2:$C$1369,MATCH(182,'Transfer Engine'!$C$2:$C$1369,0)))</f>
        <v/>
      </c>
      <c r="D191" s="9">
        <f>IF(ISNA(MATCH(182,'Transfer Engine'!$C$2:$C$1369,0)),"",INDEX('Compliance Database'!$D$2:$D$1369,MATCH(182,'Transfer Engine'!$C$2:$C$1369,0)))</f>
        <v/>
      </c>
      <c r="E191" s="8">
        <f>IF(ISNA(MATCH(182,'Transfer Engine'!$C$2:$C$1369,0)),"",INDEX('Compliance Database'!$E$2:$E$1369,MATCH(182,'Transfer Engine'!$C$2:$C$1369,0)))</f>
        <v/>
      </c>
      <c r="F191" s="8">
        <f>IF(ISNA(MATCH(182,'Transfer Engine'!$C$2:$C$1369,0)),"",INDEX('Compliance Database'!$F$2:$F$1369,MATCH(182,'Transfer Engine'!$C$2:$C$1369,0)))</f>
        <v/>
      </c>
      <c r="G191" s="8">
        <f>IF(ISNA(MATCH(182,'Transfer Engine'!$C$2:$C$1369,0)),"",INDEX('Compliance Database'!$G$2:$G$1369,MATCH(182,'Transfer Engine'!$C$2:$C$1369,0)))</f>
        <v/>
      </c>
      <c r="H191" s="9">
        <f>IF(ISNA(MATCH(182,'Transfer Engine'!$C$2:$C$1369,0)),"",INDEX('Compliance Database'!$H$2:$H$1369,MATCH(182,'Transfer Engine'!$C$2:$C$1369,0)))</f>
        <v/>
      </c>
      <c r="I191" s="9">
        <f>IF(ISNA(MATCH(182,'Transfer Engine'!$C$2:$C$1369,0)),"",INDEX('Compliance Database'!$I$2:$I$1369,MATCH(182,'Transfer Engine'!$C$2:$C$1369,0)))</f>
        <v/>
      </c>
      <c r="J191" s="8">
        <f>IF(ISNA(MATCH(182,'Transfer Engine'!$C$2:$C$1369,0)),"",INDEX('Compliance Database'!$J$2:$J$1369,MATCH(182,'Transfer Engine'!$C$2:$C$1369,0)))</f>
        <v/>
      </c>
      <c r="K191" s="9">
        <f>IF(ISNA(MATCH(182,'Transfer Engine'!$C$2:$C$1369,0)),"",INDEX('Compliance Database'!$K$2:$K$1369,MATCH(182,'Transfer Engine'!$C$2:$C$1369,0)))</f>
        <v/>
      </c>
      <c r="L191" s="9">
        <f>IF(ISNA(MATCH(182,'Transfer Engine'!$C$2:$C$1369,0)),"",INDEX('Compliance Database'!$L$2:$L$1369,MATCH(182,'Transfer Engine'!$C$2:$C$1369,0)))</f>
        <v/>
      </c>
      <c r="M191" s="9">
        <f>IF(ISNA(MATCH(182,'Transfer Engine'!$C$2:$C$1369,0)),"",INDEX('Compliance Database'!$M$2:$M$1369,MATCH(182,'Transfer Engine'!$C$2:$C$1369,0)))</f>
        <v/>
      </c>
      <c r="N191" s="9">
        <f>IF(ISNA(MATCH(182,'Transfer Engine'!$C$2:$C$1369,0)),"",INDEX('Compliance Database'!$N$2:$N$1369,MATCH(182,'Transfer Engine'!$C$2:$C$1369,0)))</f>
        <v/>
      </c>
      <c r="O191" s="8">
        <f>IF(ISNA(MATCH(182,'Transfer Engine'!$C$2:$C$1369,0)),"",HYPERLINK(INDEX('Compliance Database'!$O$2:$O$1369,MATCH(182,'Transfer Engine'!$C$2:$C$1369,0)),"Open PDF"))</f>
        <v/>
      </c>
    </row>
    <row r="192" ht="188" customHeight="1">
      <c r="A192" s="8">
        <f>IF(ISNA(MATCH(183,'Transfer Engine'!$C$2:$C$1369,0)),"",INDEX('Compliance Database'!$A$2:$A$1369,MATCH(183,'Transfer Engine'!$C$2:$C$1369,0)))</f>
        <v/>
      </c>
      <c r="B192" s="8">
        <f>IF(ISNA(MATCH(183,'Transfer Engine'!$C$2:$C$1369,0)),"",INDEX('Compliance Database'!$B$2:$B$1369,MATCH(183,'Transfer Engine'!$C$2:$C$1369,0)))</f>
        <v/>
      </c>
      <c r="C192" s="8">
        <f>IF(ISNA(MATCH(183,'Transfer Engine'!$C$2:$C$1369,0)),"",INDEX('Compliance Database'!$C$2:$C$1369,MATCH(183,'Transfer Engine'!$C$2:$C$1369,0)))</f>
        <v/>
      </c>
      <c r="D192" s="9">
        <f>IF(ISNA(MATCH(183,'Transfer Engine'!$C$2:$C$1369,0)),"",INDEX('Compliance Database'!$D$2:$D$1369,MATCH(183,'Transfer Engine'!$C$2:$C$1369,0)))</f>
        <v/>
      </c>
      <c r="E192" s="8">
        <f>IF(ISNA(MATCH(183,'Transfer Engine'!$C$2:$C$1369,0)),"",INDEX('Compliance Database'!$E$2:$E$1369,MATCH(183,'Transfer Engine'!$C$2:$C$1369,0)))</f>
        <v/>
      </c>
      <c r="F192" s="8">
        <f>IF(ISNA(MATCH(183,'Transfer Engine'!$C$2:$C$1369,0)),"",INDEX('Compliance Database'!$F$2:$F$1369,MATCH(183,'Transfer Engine'!$C$2:$C$1369,0)))</f>
        <v/>
      </c>
      <c r="G192" s="8">
        <f>IF(ISNA(MATCH(183,'Transfer Engine'!$C$2:$C$1369,0)),"",INDEX('Compliance Database'!$G$2:$G$1369,MATCH(183,'Transfer Engine'!$C$2:$C$1369,0)))</f>
        <v/>
      </c>
      <c r="H192" s="9">
        <f>IF(ISNA(MATCH(183,'Transfer Engine'!$C$2:$C$1369,0)),"",INDEX('Compliance Database'!$H$2:$H$1369,MATCH(183,'Transfer Engine'!$C$2:$C$1369,0)))</f>
        <v/>
      </c>
      <c r="I192" s="9">
        <f>IF(ISNA(MATCH(183,'Transfer Engine'!$C$2:$C$1369,0)),"",INDEX('Compliance Database'!$I$2:$I$1369,MATCH(183,'Transfer Engine'!$C$2:$C$1369,0)))</f>
        <v/>
      </c>
      <c r="J192" s="8">
        <f>IF(ISNA(MATCH(183,'Transfer Engine'!$C$2:$C$1369,0)),"",INDEX('Compliance Database'!$J$2:$J$1369,MATCH(183,'Transfer Engine'!$C$2:$C$1369,0)))</f>
        <v/>
      </c>
      <c r="K192" s="9">
        <f>IF(ISNA(MATCH(183,'Transfer Engine'!$C$2:$C$1369,0)),"",INDEX('Compliance Database'!$K$2:$K$1369,MATCH(183,'Transfer Engine'!$C$2:$C$1369,0)))</f>
        <v/>
      </c>
      <c r="L192" s="9">
        <f>IF(ISNA(MATCH(183,'Transfer Engine'!$C$2:$C$1369,0)),"",INDEX('Compliance Database'!$L$2:$L$1369,MATCH(183,'Transfer Engine'!$C$2:$C$1369,0)))</f>
        <v/>
      </c>
      <c r="M192" s="9">
        <f>IF(ISNA(MATCH(183,'Transfer Engine'!$C$2:$C$1369,0)),"",INDEX('Compliance Database'!$M$2:$M$1369,MATCH(183,'Transfer Engine'!$C$2:$C$1369,0)))</f>
        <v/>
      </c>
      <c r="N192" s="9">
        <f>IF(ISNA(MATCH(183,'Transfer Engine'!$C$2:$C$1369,0)),"",INDEX('Compliance Database'!$N$2:$N$1369,MATCH(183,'Transfer Engine'!$C$2:$C$1369,0)))</f>
        <v/>
      </c>
      <c r="O192" s="8">
        <f>IF(ISNA(MATCH(183,'Transfer Engine'!$C$2:$C$1369,0)),"",HYPERLINK(INDEX('Compliance Database'!$O$2:$O$1369,MATCH(183,'Transfer Engine'!$C$2:$C$1369,0)),"Open PDF"))</f>
        <v/>
      </c>
    </row>
    <row r="193" ht="188" customHeight="1">
      <c r="A193" s="8">
        <f>IF(ISNA(MATCH(184,'Transfer Engine'!$C$2:$C$1369,0)),"",INDEX('Compliance Database'!$A$2:$A$1369,MATCH(184,'Transfer Engine'!$C$2:$C$1369,0)))</f>
        <v/>
      </c>
      <c r="B193" s="8">
        <f>IF(ISNA(MATCH(184,'Transfer Engine'!$C$2:$C$1369,0)),"",INDEX('Compliance Database'!$B$2:$B$1369,MATCH(184,'Transfer Engine'!$C$2:$C$1369,0)))</f>
        <v/>
      </c>
      <c r="C193" s="8">
        <f>IF(ISNA(MATCH(184,'Transfer Engine'!$C$2:$C$1369,0)),"",INDEX('Compliance Database'!$C$2:$C$1369,MATCH(184,'Transfer Engine'!$C$2:$C$1369,0)))</f>
        <v/>
      </c>
      <c r="D193" s="9">
        <f>IF(ISNA(MATCH(184,'Transfer Engine'!$C$2:$C$1369,0)),"",INDEX('Compliance Database'!$D$2:$D$1369,MATCH(184,'Transfer Engine'!$C$2:$C$1369,0)))</f>
        <v/>
      </c>
      <c r="E193" s="8">
        <f>IF(ISNA(MATCH(184,'Transfer Engine'!$C$2:$C$1369,0)),"",INDEX('Compliance Database'!$E$2:$E$1369,MATCH(184,'Transfer Engine'!$C$2:$C$1369,0)))</f>
        <v/>
      </c>
      <c r="F193" s="8">
        <f>IF(ISNA(MATCH(184,'Transfer Engine'!$C$2:$C$1369,0)),"",INDEX('Compliance Database'!$F$2:$F$1369,MATCH(184,'Transfer Engine'!$C$2:$C$1369,0)))</f>
        <v/>
      </c>
      <c r="G193" s="8">
        <f>IF(ISNA(MATCH(184,'Transfer Engine'!$C$2:$C$1369,0)),"",INDEX('Compliance Database'!$G$2:$G$1369,MATCH(184,'Transfer Engine'!$C$2:$C$1369,0)))</f>
        <v/>
      </c>
      <c r="H193" s="9">
        <f>IF(ISNA(MATCH(184,'Transfer Engine'!$C$2:$C$1369,0)),"",INDEX('Compliance Database'!$H$2:$H$1369,MATCH(184,'Transfer Engine'!$C$2:$C$1369,0)))</f>
        <v/>
      </c>
      <c r="I193" s="9">
        <f>IF(ISNA(MATCH(184,'Transfer Engine'!$C$2:$C$1369,0)),"",INDEX('Compliance Database'!$I$2:$I$1369,MATCH(184,'Transfer Engine'!$C$2:$C$1369,0)))</f>
        <v/>
      </c>
      <c r="J193" s="8">
        <f>IF(ISNA(MATCH(184,'Transfer Engine'!$C$2:$C$1369,0)),"",INDEX('Compliance Database'!$J$2:$J$1369,MATCH(184,'Transfer Engine'!$C$2:$C$1369,0)))</f>
        <v/>
      </c>
      <c r="K193" s="9">
        <f>IF(ISNA(MATCH(184,'Transfer Engine'!$C$2:$C$1369,0)),"",INDEX('Compliance Database'!$K$2:$K$1369,MATCH(184,'Transfer Engine'!$C$2:$C$1369,0)))</f>
        <v/>
      </c>
      <c r="L193" s="9">
        <f>IF(ISNA(MATCH(184,'Transfer Engine'!$C$2:$C$1369,0)),"",INDEX('Compliance Database'!$L$2:$L$1369,MATCH(184,'Transfer Engine'!$C$2:$C$1369,0)))</f>
        <v/>
      </c>
      <c r="M193" s="9">
        <f>IF(ISNA(MATCH(184,'Transfer Engine'!$C$2:$C$1369,0)),"",INDEX('Compliance Database'!$M$2:$M$1369,MATCH(184,'Transfer Engine'!$C$2:$C$1369,0)))</f>
        <v/>
      </c>
      <c r="N193" s="9">
        <f>IF(ISNA(MATCH(184,'Transfer Engine'!$C$2:$C$1369,0)),"",INDEX('Compliance Database'!$N$2:$N$1369,MATCH(184,'Transfer Engine'!$C$2:$C$1369,0)))</f>
        <v/>
      </c>
      <c r="O193" s="8">
        <f>IF(ISNA(MATCH(184,'Transfer Engine'!$C$2:$C$1369,0)),"",HYPERLINK(INDEX('Compliance Database'!$O$2:$O$1369,MATCH(184,'Transfer Engine'!$C$2:$C$1369,0)),"Open PDF"))</f>
        <v/>
      </c>
    </row>
    <row r="194" ht="188" customHeight="1">
      <c r="A194" s="8">
        <f>IF(ISNA(MATCH(185,'Transfer Engine'!$C$2:$C$1369,0)),"",INDEX('Compliance Database'!$A$2:$A$1369,MATCH(185,'Transfer Engine'!$C$2:$C$1369,0)))</f>
        <v/>
      </c>
      <c r="B194" s="8">
        <f>IF(ISNA(MATCH(185,'Transfer Engine'!$C$2:$C$1369,0)),"",INDEX('Compliance Database'!$B$2:$B$1369,MATCH(185,'Transfer Engine'!$C$2:$C$1369,0)))</f>
        <v/>
      </c>
      <c r="C194" s="8">
        <f>IF(ISNA(MATCH(185,'Transfer Engine'!$C$2:$C$1369,0)),"",INDEX('Compliance Database'!$C$2:$C$1369,MATCH(185,'Transfer Engine'!$C$2:$C$1369,0)))</f>
        <v/>
      </c>
      <c r="D194" s="9">
        <f>IF(ISNA(MATCH(185,'Transfer Engine'!$C$2:$C$1369,0)),"",INDEX('Compliance Database'!$D$2:$D$1369,MATCH(185,'Transfer Engine'!$C$2:$C$1369,0)))</f>
        <v/>
      </c>
      <c r="E194" s="8">
        <f>IF(ISNA(MATCH(185,'Transfer Engine'!$C$2:$C$1369,0)),"",INDEX('Compliance Database'!$E$2:$E$1369,MATCH(185,'Transfer Engine'!$C$2:$C$1369,0)))</f>
        <v/>
      </c>
      <c r="F194" s="8">
        <f>IF(ISNA(MATCH(185,'Transfer Engine'!$C$2:$C$1369,0)),"",INDEX('Compliance Database'!$F$2:$F$1369,MATCH(185,'Transfer Engine'!$C$2:$C$1369,0)))</f>
        <v/>
      </c>
      <c r="G194" s="8">
        <f>IF(ISNA(MATCH(185,'Transfer Engine'!$C$2:$C$1369,0)),"",INDEX('Compliance Database'!$G$2:$G$1369,MATCH(185,'Transfer Engine'!$C$2:$C$1369,0)))</f>
        <v/>
      </c>
      <c r="H194" s="9">
        <f>IF(ISNA(MATCH(185,'Transfer Engine'!$C$2:$C$1369,0)),"",INDEX('Compliance Database'!$H$2:$H$1369,MATCH(185,'Transfer Engine'!$C$2:$C$1369,0)))</f>
        <v/>
      </c>
      <c r="I194" s="9">
        <f>IF(ISNA(MATCH(185,'Transfer Engine'!$C$2:$C$1369,0)),"",INDEX('Compliance Database'!$I$2:$I$1369,MATCH(185,'Transfer Engine'!$C$2:$C$1369,0)))</f>
        <v/>
      </c>
      <c r="J194" s="8">
        <f>IF(ISNA(MATCH(185,'Transfer Engine'!$C$2:$C$1369,0)),"",INDEX('Compliance Database'!$J$2:$J$1369,MATCH(185,'Transfer Engine'!$C$2:$C$1369,0)))</f>
        <v/>
      </c>
      <c r="K194" s="9">
        <f>IF(ISNA(MATCH(185,'Transfer Engine'!$C$2:$C$1369,0)),"",INDEX('Compliance Database'!$K$2:$K$1369,MATCH(185,'Transfer Engine'!$C$2:$C$1369,0)))</f>
        <v/>
      </c>
      <c r="L194" s="9">
        <f>IF(ISNA(MATCH(185,'Transfer Engine'!$C$2:$C$1369,0)),"",INDEX('Compliance Database'!$L$2:$L$1369,MATCH(185,'Transfer Engine'!$C$2:$C$1369,0)))</f>
        <v/>
      </c>
      <c r="M194" s="9">
        <f>IF(ISNA(MATCH(185,'Transfer Engine'!$C$2:$C$1369,0)),"",INDEX('Compliance Database'!$M$2:$M$1369,MATCH(185,'Transfer Engine'!$C$2:$C$1369,0)))</f>
        <v/>
      </c>
      <c r="N194" s="9">
        <f>IF(ISNA(MATCH(185,'Transfer Engine'!$C$2:$C$1369,0)),"",INDEX('Compliance Database'!$N$2:$N$1369,MATCH(185,'Transfer Engine'!$C$2:$C$1369,0)))</f>
        <v/>
      </c>
      <c r="O194" s="8">
        <f>IF(ISNA(MATCH(185,'Transfer Engine'!$C$2:$C$1369,0)),"",HYPERLINK(INDEX('Compliance Database'!$O$2:$O$1369,MATCH(185,'Transfer Engine'!$C$2:$C$1369,0)),"Open PDF"))</f>
        <v/>
      </c>
    </row>
    <row r="195" ht="188" customHeight="1">
      <c r="A195" s="8">
        <f>IF(ISNA(MATCH(186,'Transfer Engine'!$C$2:$C$1369,0)),"",INDEX('Compliance Database'!$A$2:$A$1369,MATCH(186,'Transfer Engine'!$C$2:$C$1369,0)))</f>
        <v/>
      </c>
      <c r="B195" s="8">
        <f>IF(ISNA(MATCH(186,'Transfer Engine'!$C$2:$C$1369,0)),"",INDEX('Compliance Database'!$B$2:$B$1369,MATCH(186,'Transfer Engine'!$C$2:$C$1369,0)))</f>
        <v/>
      </c>
      <c r="C195" s="8">
        <f>IF(ISNA(MATCH(186,'Transfer Engine'!$C$2:$C$1369,0)),"",INDEX('Compliance Database'!$C$2:$C$1369,MATCH(186,'Transfer Engine'!$C$2:$C$1369,0)))</f>
        <v/>
      </c>
      <c r="D195" s="9">
        <f>IF(ISNA(MATCH(186,'Transfer Engine'!$C$2:$C$1369,0)),"",INDEX('Compliance Database'!$D$2:$D$1369,MATCH(186,'Transfer Engine'!$C$2:$C$1369,0)))</f>
        <v/>
      </c>
      <c r="E195" s="8">
        <f>IF(ISNA(MATCH(186,'Transfer Engine'!$C$2:$C$1369,0)),"",INDEX('Compliance Database'!$E$2:$E$1369,MATCH(186,'Transfer Engine'!$C$2:$C$1369,0)))</f>
        <v/>
      </c>
      <c r="F195" s="8">
        <f>IF(ISNA(MATCH(186,'Transfer Engine'!$C$2:$C$1369,0)),"",INDEX('Compliance Database'!$F$2:$F$1369,MATCH(186,'Transfer Engine'!$C$2:$C$1369,0)))</f>
        <v/>
      </c>
      <c r="G195" s="8">
        <f>IF(ISNA(MATCH(186,'Transfer Engine'!$C$2:$C$1369,0)),"",INDEX('Compliance Database'!$G$2:$G$1369,MATCH(186,'Transfer Engine'!$C$2:$C$1369,0)))</f>
        <v/>
      </c>
      <c r="H195" s="9">
        <f>IF(ISNA(MATCH(186,'Transfer Engine'!$C$2:$C$1369,0)),"",INDEX('Compliance Database'!$H$2:$H$1369,MATCH(186,'Transfer Engine'!$C$2:$C$1369,0)))</f>
        <v/>
      </c>
      <c r="I195" s="9">
        <f>IF(ISNA(MATCH(186,'Transfer Engine'!$C$2:$C$1369,0)),"",INDEX('Compliance Database'!$I$2:$I$1369,MATCH(186,'Transfer Engine'!$C$2:$C$1369,0)))</f>
        <v/>
      </c>
      <c r="J195" s="8">
        <f>IF(ISNA(MATCH(186,'Transfer Engine'!$C$2:$C$1369,0)),"",INDEX('Compliance Database'!$J$2:$J$1369,MATCH(186,'Transfer Engine'!$C$2:$C$1369,0)))</f>
        <v/>
      </c>
      <c r="K195" s="9">
        <f>IF(ISNA(MATCH(186,'Transfer Engine'!$C$2:$C$1369,0)),"",INDEX('Compliance Database'!$K$2:$K$1369,MATCH(186,'Transfer Engine'!$C$2:$C$1369,0)))</f>
        <v/>
      </c>
      <c r="L195" s="9">
        <f>IF(ISNA(MATCH(186,'Transfer Engine'!$C$2:$C$1369,0)),"",INDEX('Compliance Database'!$L$2:$L$1369,MATCH(186,'Transfer Engine'!$C$2:$C$1369,0)))</f>
        <v/>
      </c>
      <c r="M195" s="9">
        <f>IF(ISNA(MATCH(186,'Transfer Engine'!$C$2:$C$1369,0)),"",INDEX('Compliance Database'!$M$2:$M$1369,MATCH(186,'Transfer Engine'!$C$2:$C$1369,0)))</f>
        <v/>
      </c>
      <c r="N195" s="9">
        <f>IF(ISNA(MATCH(186,'Transfer Engine'!$C$2:$C$1369,0)),"",INDEX('Compliance Database'!$N$2:$N$1369,MATCH(186,'Transfer Engine'!$C$2:$C$1369,0)))</f>
        <v/>
      </c>
      <c r="O195" s="8">
        <f>IF(ISNA(MATCH(186,'Transfer Engine'!$C$2:$C$1369,0)),"",HYPERLINK(INDEX('Compliance Database'!$O$2:$O$1369,MATCH(186,'Transfer Engine'!$C$2:$C$1369,0)),"Open PDF"))</f>
        <v/>
      </c>
    </row>
    <row r="196" ht="188" customHeight="1">
      <c r="A196" s="8">
        <f>IF(ISNA(MATCH(187,'Transfer Engine'!$C$2:$C$1369,0)),"",INDEX('Compliance Database'!$A$2:$A$1369,MATCH(187,'Transfer Engine'!$C$2:$C$1369,0)))</f>
        <v/>
      </c>
      <c r="B196" s="8">
        <f>IF(ISNA(MATCH(187,'Transfer Engine'!$C$2:$C$1369,0)),"",INDEX('Compliance Database'!$B$2:$B$1369,MATCH(187,'Transfer Engine'!$C$2:$C$1369,0)))</f>
        <v/>
      </c>
      <c r="C196" s="8">
        <f>IF(ISNA(MATCH(187,'Transfer Engine'!$C$2:$C$1369,0)),"",INDEX('Compliance Database'!$C$2:$C$1369,MATCH(187,'Transfer Engine'!$C$2:$C$1369,0)))</f>
        <v/>
      </c>
      <c r="D196" s="9">
        <f>IF(ISNA(MATCH(187,'Transfer Engine'!$C$2:$C$1369,0)),"",INDEX('Compliance Database'!$D$2:$D$1369,MATCH(187,'Transfer Engine'!$C$2:$C$1369,0)))</f>
        <v/>
      </c>
      <c r="E196" s="8">
        <f>IF(ISNA(MATCH(187,'Transfer Engine'!$C$2:$C$1369,0)),"",INDEX('Compliance Database'!$E$2:$E$1369,MATCH(187,'Transfer Engine'!$C$2:$C$1369,0)))</f>
        <v/>
      </c>
      <c r="F196" s="8">
        <f>IF(ISNA(MATCH(187,'Transfer Engine'!$C$2:$C$1369,0)),"",INDEX('Compliance Database'!$F$2:$F$1369,MATCH(187,'Transfer Engine'!$C$2:$C$1369,0)))</f>
        <v/>
      </c>
      <c r="G196" s="8">
        <f>IF(ISNA(MATCH(187,'Transfer Engine'!$C$2:$C$1369,0)),"",INDEX('Compliance Database'!$G$2:$G$1369,MATCH(187,'Transfer Engine'!$C$2:$C$1369,0)))</f>
        <v/>
      </c>
      <c r="H196" s="9">
        <f>IF(ISNA(MATCH(187,'Transfer Engine'!$C$2:$C$1369,0)),"",INDEX('Compliance Database'!$H$2:$H$1369,MATCH(187,'Transfer Engine'!$C$2:$C$1369,0)))</f>
        <v/>
      </c>
      <c r="I196" s="9">
        <f>IF(ISNA(MATCH(187,'Transfer Engine'!$C$2:$C$1369,0)),"",INDEX('Compliance Database'!$I$2:$I$1369,MATCH(187,'Transfer Engine'!$C$2:$C$1369,0)))</f>
        <v/>
      </c>
      <c r="J196" s="8">
        <f>IF(ISNA(MATCH(187,'Transfer Engine'!$C$2:$C$1369,0)),"",INDEX('Compliance Database'!$J$2:$J$1369,MATCH(187,'Transfer Engine'!$C$2:$C$1369,0)))</f>
        <v/>
      </c>
      <c r="K196" s="9">
        <f>IF(ISNA(MATCH(187,'Transfer Engine'!$C$2:$C$1369,0)),"",INDEX('Compliance Database'!$K$2:$K$1369,MATCH(187,'Transfer Engine'!$C$2:$C$1369,0)))</f>
        <v/>
      </c>
      <c r="L196" s="9">
        <f>IF(ISNA(MATCH(187,'Transfer Engine'!$C$2:$C$1369,0)),"",INDEX('Compliance Database'!$L$2:$L$1369,MATCH(187,'Transfer Engine'!$C$2:$C$1369,0)))</f>
        <v/>
      </c>
      <c r="M196" s="9">
        <f>IF(ISNA(MATCH(187,'Transfer Engine'!$C$2:$C$1369,0)),"",INDEX('Compliance Database'!$M$2:$M$1369,MATCH(187,'Transfer Engine'!$C$2:$C$1369,0)))</f>
        <v/>
      </c>
      <c r="N196" s="9">
        <f>IF(ISNA(MATCH(187,'Transfer Engine'!$C$2:$C$1369,0)),"",INDEX('Compliance Database'!$N$2:$N$1369,MATCH(187,'Transfer Engine'!$C$2:$C$1369,0)))</f>
        <v/>
      </c>
      <c r="O196" s="8">
        <f>IF(ISNA(MATCH(187,'Transfer Engine'!$C$2:$C$1369,0)),"",HYPERLINK(INDEX('Compliance Database'!$O$2:$O$1369,MATCH(187,'Transfer Engine'!$C$2:$C$1369,0)),"Open PDF"))</f>
        <v/>
      </c>
    </row>
    <row r="197" ht="188" customHeight="1">
      <c r="A197" s="8">
        <f>IF(ISNA(MATCH(188,'Transfer Engine'!$C$2:$C$1369,0)),"",INDEX('Compliance Database'!$A$2:$A$1369,MATCH(188,'Transfer Engine'!$C$2:$C$1369,0)))</f>
        <v/>
      </c>
      <c r="B197" s="8">
        <f>IF(ISNA(MATCH(188,'Transfer Engine'!$C$2:$C$1369,0)),"",INDEX('Compliance Database'!$B$2:$B$1369,MATCH(188,'Transfer Engine'!$C$2:$C$1369,0)))</f>
        <v/>
      </c>
      <c r="C197" s="8">
        <f>IF(ISNA(MATCH(188,'Transfer Engine'!$C$2:$C$1369,0)),"",INDEX('Compliance Database'!$C$2:$C$1369,MATCH(188,'Transfer Engine'!$C$2:$C$1369,0)))</f>
        <v/>
      </c>
      <c r="D197" s="9">
        <f>IF(ISNA(MATCH(188,'Transfer Engine'!$C$2:$C$1369,0)),"",INDEX('Compliance Database'!$D$2:$D$1369,MATCH(188,'Transfer Engine'!$C$2:$C$1369,0)))</f>
        <v/>
      </c>
      <c r="E197" s="8">
        <f>IF(ISNA(MATCH(188,'Transfer Engine'!$C$2:$C$1369,0)),"",INDEX('Compliance Database'!$E$2:$E$1369,MATCH(188,'Transfer Engine'!$C$2:$C$1369,0)))</f>
        <v/>
      </c>
      <c r="F197" s="8">
        <f>IF(ISNA(MATCH(188,'Transfer Engine'!$C$2:$C$1369,0)),"",INDEX('Compliance Database'!$F$2:$F$1369,MATCH(188,'Transfer Engine'!$C$2:$C$1369,0)))</f>
        <v/>
      </c>
      <c r="G197" s="8">
        <f>IF(ISNA(MATCH(188,'Transfer Engine'!$C$2:$C$1369,0)),"",INDEX('Compliance Database'!$G$2:$G$1369,MATCH(188,'Transfer Engine'!$C$2:$C$1369,0)))</f>
        <v/>
      </c>
      <c r="H197" s="9">
        <f>IF(ISNA(MATCH(188,'Transfer Engine'!$C$2:$C$1369,0)),"",INDEX('Compliance Database'!$H$2:$H$1369,MATCH(188,'Transfer Engine'!$C$2:$C$1369,0)))</f>
        <v/>
      </c>
      <c r="I197" s="9">
        <f>IF(ISNA(MATCH(188,'Transfer Engine'!$C$2:$C$1369,0)),"",INDEX('Compliance Database'!$I$2:$I$1369,MATCH(188,'Transfer Engine'!$C$2:$C$1369,0)))</f>
        <v/>
      </c>
      <c r="J197" s="8">
        <f>IF(ISNA(MATCH(188,'Transfer Engine'!$C$2:$C$1369,0)),"",INDEX('Compliance Database'!$J$2:$J$1369,MATCH(188,'Transfer Engine'!$C$2:$C$1369,0)))</f>
        <v/>
      </c>
      <c r="K197" s="9">
        <f>IF(ISNA(MATCH(188,'Transfer Engine'!$C$2:$C$1369,0)),"",INDEX('Compliance Database'!$K$2:$K$1369,MATCH(188,'Transfer Engine'!$C$2:$C$1369,0)))</f>
        <v/>
      </c>
      <c r="L197" s="9">
        <f>IF(ISNA(MATCH(188,'Transfer Engine'!$C$2:$C$1369,0)),"",INDEX('Compliance Database'!$L$2:$L$1369,MATCH(188,'Transfer Engine'!$C$2:$C$1369,0)))</f>
        <v/>
      </c>
      <c r="M197" s="9">
        <f>IF(ISNA(MATCH(188,'Transfer Engine'!$C$2:$C$1369,0)),"",INDEX('Compliance Database'!$M$2:$M$1369,MATCH(188,'Transfer Engine'!$C$2:$C$1369,0)))</f>
        <v/>
      </c>
      <c r="N197" s="9">
        <f>IF(ISNA(MATCH(188,'Transfer Engine'!$C$2:$C$1369,0)),"",INDEX('Compliance Database'!$N$2:$N$1369,MATCH(188,'Transfer Engine'!$C$2:$C$1369,0)))</f>
        <v/>
      </c>
      <c r="O197" s="8">
        <f>IF(ISNA(MATCH(188,'Transfer Engine'!$C$2:$C$1369,0)),"",HYPERLINK(INDEX('Compliance Database'!$O$2:$O$1369,MATCH(188,'Transfer Engine'!$C$2:$C$1369,0)),"Open PDF"))</f>
        <v/>
      </c>
    </row>
    <row r="198" ht="188" customHeight="1">
      <c r="A198" s="8">
        <f>IF(ISNA(MATCH(189,'Transfer Engine'!$C$2:$C$1369,0)),"",INDEX('Compliance Database'!$A$2:$A$1369,MATCH(189,'Transfer Engine'!$C$2:$C$1369,0)))</f>
        <v/>
      </c>
      <c r="B198" s="8">
        <f>IF(ISNA(MATCH(189,'Transfer Engine'!$C$2:$C$1369,0)),"",INDEX('Compliance Database'!$B$2:$B$1369,MATCH(189,'Transfer Engine'!$C$2:$C$1369,0)))</f>
        <v/>
      </c>
      <c r="C198" s="8">
        <f>IF(ISNA(MATCH(189,'Transfer Engine'!$C$2:$C$1369,0)),"",INDEX('Compliance Database'!$C$2:$C$1369,MATCH(189,'Transfer Engine'!$C$2:$C$1369,0)))</f>
        <v/>
      </c>
      <c r="D198" s="9">
        <f>IF(ISNA(MATCH(189,'Transfer Engine'!$C$2:$C$1369,0)),"",INDEX('Compliance Database'!$D$2:$D$1369,MATCH(189,'Transfer Engine'!$C$2:$C$1369,0)))</f>
        <v/>
      </c>
      <c r="E198" s="8">
        <f>IF(ISNA(MATCH(189,'Transfer Engine'!$C$2:$C$1369,0)),"",INDEX('Compliance Database'!$E$2:$E$1369,MATCH(189,'Transfer Engine'!$C$2:$C$1369,0)))</f>
        <v/>
      </c>
      <c r="F198" s="8">
        <f>IF(ISNA(MATCH(189,'Transfer Engine'!$C$2:$C$1369,0)),"",INDEX('Compliance Database'!$F$2:$F$1369,MATCH(189,'Transfer Engine'!$C$2:$C$1369,0)))</f>
        <v/>
      </c>
      <c r="G198" s="8">
        <f>IF(ISNA(MATCH(189,'Transfer Engine'!$C$2:$C$1369,0)),"",INDEX('Compliance Database'!$G$2:$G$1369,MATCH(189,'Transfer Engine'!$C$2:$C$1369,0)))</f>
        <v/>
      </c>
      <c r="H198" s="9">
        <f>IF(ISNA(MATCH(189,'Transfer Engine'!$C$2:$C$1369,0)),"",INDEX('Compliance Database'!$H$2:$H$1369,MATCH(189,'Transfer Engine'!$C$2:$C$1369,0)))</f>
        <v/>
      </c>
      <c r="I198" s="9">
        <f>IF(ISNA(MATCH(189,'Transfer Engine'!$C$2:$C$1369,0)),"",INDEX('Compliance Database'!$I$2:$I$1369,MATCH(189,'Transfer Engine'!$C$2:$C$1369,0)))</f>
        <v/>
      </c>
      <c r="J198" s="8">
        <f>IF(ISNA(MATCH(189,'Transfer Engine'!$C$2:$C$1369,0)),"",INDEX('Compliance Database'!$J$2:$J$1369,MATCH(189,'Transfer Engine'!$C$2:$C$1369,0)))</f>
        <v/>
      </c>
      <c r="K198" s="9">
        <f>IF(ISNA(MATCH(189,'Transfer Engine'!$C$2:$C$1369,0)),"",INDEX('Compliance Database'!$K$2:$K$1369,MATCH(189,'Transfer Engine'!$C$2:$C$1369,0)))</f>
        <v/>
      </c>
      <c r="L198" s="9">
        <f>IF(ISNA(MATCH(189,'Transfer Engine'!$C$2:$C$1369,0)),"",INDEX('Compliance Database'!$L$2:$L$1369,MATCH(189,'Transfer Engine'!$C$2:$C$1369,0)))</f>
        <v/>
      </c>
      <c r="M198" s="9">
        <f>IF(ISNA(MATCH(189,'Transfer Engine'!$C$2:$C$1369,0)),"",INDEX('Compliance Database'!$M$2:$M$1369,MATCH(189,'Transfer Engine'!$C$2:$C$1369,0)))</f>
        <v/>
      </c>
      <c r="N198" s="9">
        <f>IF(ISNA(MATCH(189,'Transfer Engine'!$C$2:$C$1369,0)),"",INDEX('Compliance Database'!$N$2:$N$1369,MATCH(189,'Transfer Engine'!$C$2:$C$1369,0)))</f>
        <v/>
      </c>
      <c r="O198" s="8">
        <f>IF(ISNA(MATCH(189,'Transfer Engine'!$C$2:$C$1369,0)),"",HYPERLINK(INDEX('Compliance Database'!$O$2:$O$1369,MATCH(189,'Transfer Engine'!$C$2:$C$1369,0)),"Open PDF"))</f>
        <v/>
      </c>
    </row>
    <row r="199" ht="188" customHeight="1">
      <c r="A199" s="8">
        <f>IF(ISNA(MATCH(190,'Transfer Engine'!$C$2:$C$1369,0)),"",INDEX('Compliance Database'!$A$2:$A$1369,MATCH(190,'Transfer Engine'!$C$2:$C$1369,0)))</f>
        <v/>
      </c>
      <c r="B199" s="8">
        <f>IF(ISNA(MATCH(190,'Transfer Engine'!$C$2:$C$1369,0)),"",INDEX('Compliance Database'!$B$2:$B$1369,MATCH(190,'Transfer Engine'!$C$2:$C$1369,0)))</f>
        <v/>
      </c>
      <c r="C199" s="8">
        <f>IF(ISNA(MATCH(190,'Transfer Engine'!$C$2:$C$1369,0)),"",INDEX('Compliance Database'!$C$2:$C$1369,MATCH(190,'Transfer Engine'!$C$2:$C$1369,0)))</f>
        <v/>
      </c>
      <c r="D199" s="9">
        <f>IF(ISNA(MATCH(190,'Transfer Engine'!$C$2:$C$1369,0)),"",INDEX('Compliance Database'!$D$2:$D$1369,MATCH(190,'Transfer Engine'!$C$2:$C$1369,0)))</f>
        <v/>
      </c>
      <c r="E199" s="8">
        <f>IF(ISNA(MATCH(190,'Transfer Engine'!$C$2:$C$1369,0)),"",INDEX('Compliance Database'!$E$2:$E$1369,MATCH(190,'Transfer Engine'!$C$2:$C$1369,0)))</f>
        <v/>
      </c>
      <c r="F199" s="8">
        <f>IF(ISNA(MATCH(190,'Transfer Engine'!$C$2:$C$1369,0)),"",INDEX('Compliance Database'!$F$2:$F$1369,MATCH(190,'Transfer Engine'!$C$2:$C$1369,0)))</f>
        <v/>
      </c>
      <c r="G199" s="8">
        <f>IF(ISNA(MATCH(190,'Transfer Engine'!$C$2:$C$1369,0)),"",INDEX('Compliance Database'!$G$2:$G$1369,MATCH(190,'Transfer Engine'!$C$2:$C$1369,0)))</f>
        <v/>
      </c>
      <c r="H199" s="9">
        <f>IF(ISNA(MATCH(190,'Transfer Engine'!$C$2:$C$1369,0)),"",INDEX('Compliance Database'!$H$2:$H$1369,MATCH(190,'Transfer Engine'!$C$2:$C$1369,0)))</f>
        <v/>
      </c>
      <c r="I199" s="9">
        <f>IF(ISNA(MATCH(190,'Transfer Engine'!$C$2:$C$1369,0)),"",INDEX('Compliance Database'!$I$2:$I$1369,MATCH(190,'Transfer Engine'!$C$2:$C$1369,0)))</f>
        <v/>
      </c>
      <c r="J199" s="8">
        <f>IF(ISNA(MATCH(190,'Transfer Engine'!$C$2:$C$1369,0)),"",INDEX('Compliance Database'!$J$2:$J$1369,MATCH(190,'Transfer Engine'!$C$2:$C$1369,0)))</f>
        <v/>
      </c>
      <c r="K199" s="9">
        <f>IF(ISNA(MATCH(190,'Transfer Engine'!$C$2:$C$1369,0)),"",INDEX('Compliance Database'!$K$2:$K$1369,MATCH(190,'Transfer Engine'!$C$2:$C$1369,0)))</f>
        <v/>
      </c>
      <c r="L199" s="9">
        <f>IF(ISNA(MATCH(190,'Transfer Engine'!$C$2:$C$1369,0)),"",INDEX('Compliance Database'!$L$2:$L$1369,MATCH(190,'Transfer Engine'!$C$2:$C$1369,0)))</f>
        <v/>
      </c>
      <c r="M199" s="9">
        <f>IF(ISNA(MATCH(190,'Transfer Engine'!$C$2:$C$1369,0)),"",INDEX('Compliance Database'!$M$2:$M$1369,MATCH(190,'Transfer Engine'!$C$2:$C$1369,0)))</f>
        <v/>
      </c>
      <c r="N199" s="9">
        <f>IF(ISNA(MATCH(190,'Transfer Engine'!$C$2:$C$1369,0)),"",INDEX('Compliance Database'!$N$2:$N$1369,MATCH(190,'Transfer Engine'!$C$2:$C$1369,0)))</f>
        <v/>
      </c>
      <c r="O199" s="8">
        <f>IF(ISNA(MATCH(190,'Transfer Engine'!$C$2:$C$1369,0)),"",HYPERLINK(INDEX('Compliance Database'!$O$2:$O$1369,MATCH(190,'Transfer Engine'!$C$2:$C$1369,0)),"Open PDF"))</f>
        <v/>
      </c>
    </row>
    <row r="200" ht="188" customHeight="1">
      <c r="A200" s="8">
        <f>IF(ISNA(MATCH(191,'Transfer Engine'!$C$2:$C$1369,0)),"",INDEX('Compliance Database'!$A$2:$A$1369,MATCH(191,'Transfer Engine'!$C$2:$C$1369,0)))</f>
        <v/>
      </c>
      <c r="B200" s="8">
        <f>IF(ISNA(MATCH(191,'Transfer Engine'!$C$2:$C$1369,0)),"",INDEX('Compliance Database'!$B$2:$B$1369,MATCH(191,'Transfer Engine'!$C$2:$C$1369,0)))</f>
        <v/>
      </c>
      <c r="C200" s="8">
        <f>IF(ISNA(MATCH(191,'Transfer Engine'!$C$2:$C$1369,0)),"",INDEX('Compliance Database'!$C$2:$C$1369,MATCH(191,'Transfer Engine'!$C$2:$C$1369,0)))</f>
        <v/>
      </c>
      <c r="D200" s="9">
        <f>IF(ISNA(MATCH(191,'Transfer Engine'!$C$2:$C$1369,0)),"",INDEX('Compliance Database'!$D$2:$D$1369,MATCH(191,'Transfer Engine'!$C$2:$C$1369,0)))</f>
        <v/>
      </c>
      <c r="E200" s="8">
        <f>IF(ISNA(MATCH(191,'Transfer Engine'!$C$2:$C$1369,0)),"",INDEX('Compliance Database'!$E$2:$E$1369,MATCH(191,'Transfer Engine'!$C$2:$C$1369,0)))</f>
        <v/>
      </c>
      <c r="F200" s="8">
        <f>IF(ISNA(MATCH(191,'Transfer Engine'!$C$2:$C$1369,0)),"",INDEX('Compliance Database'!$F$2:$F$1369,MATCH(191,'Transfer Engine'!$C$2:$C$1369,0)))</f>
        <v/>
      </c>
      <c r="G200" s="8">
        <f>IF(ISNA(MATCH(191,'Transfer Engine'!$C$2:$C$1369,0)),"",INDEX('Compliance Database'!$G$2:$G$1369,MATCH(191,'Transfer Engine'!$C$2:$C$1369,0)))</f>
        <v/>
      </c>
      <c r="H200" s="9">
        <f>IF(ISNA(MATCH(191,'Transfer Engine'!$C$2:$C$1369,0)),"",INDEX('Compliance Database'!$H$2:$H$1369,MATCH(191,'Transfer Engine'!$C$2:$C$1369,0)))</f>
        <v/>
      </c>
      <c r="I200" s="9">
        <f>IF(ISNA(MATCH(191,'Transfer Engine'!$C$2:$C$1369,0)),"",INDEX('Compliance Database'!$I$2:$I$1369,MATCH(191,'Transfer Engine'!$C$2:$C$1369,0)))</f>
        <v/>
      </c>
      <c r="J200" s="8">
        <f>IF(ISNA(MATCH(191,'Transfer Engine'!$C$2:$C$1369,0)),"",INDEX('Compliance Database'!$J$2:$J$1369,MATCH(191,'Transfer Engine'!$C$2:$C$1369,0)))</f>
        <v/>
      </c>
      <c r="K200" s="9">
        <f>IF(ISNA(MATCH(191,'Transfer Engine'!$C$2:$C$1369,0)),"",INDEX('Compliance Database'!$K$2:$K$1369,MATCH(191,'Transfer Engine'!$C$2:$C$1369,0)))</f>
        <v/>
      </c>
      <c r="L200" s="9">
        <f>IF(ISNA(MATCH(191,'Transfer Engine'!$C$2:$C$1369,0)),"",INDEX('Compliance Database'!$L$2:$L$1369,MATCH(191,'Transfer Engine'!$C$2:$C$1369,0)))</f>
        <v/>
      </c>
      <c r="M200" s="9">
        <f>IF(ISNA(MATCH(191,'Transfer Engine'!$C$2:$C$1369,0)),"",INDEX('Compliance Database'!$M$2:$M$1369,MATCH(191,'Transfer Engine'!$C$2:$C$1369,0)))</f>
        <v/>
      </c>
      <c r="N200" s="9">
        <f>IF(ISNA(MATCH(191,'Transfer Engine'!$C$2:$C$1369,0)),"",INDEX('Compliance Database'!$N$2:$N$1369,MATCH(191,'Transfer Engine'!$C$2:$C$1369,0)))</f>
        <v/>
      </c>
      <c r="O200" s="8">
        <f>IF(ISNA(MATCH(191,'Transfer Engine'!$C$2:$C$1369,0)),"",HYPERLINK(INDEX('Compliance Database'!$O$2:$O$1369,MATCH(191,'Transfer Engine'!$C$2:$C$1369,0)),"Open PDF"))</f>
        <v/>
      </c>
    </row>
    <row r="201" ht="188" customHeight="1">
      <c r="A201" s="8">
        <f>IF(ISNA(MATCH(192,'Transfer Engine'!$C$2:$C$1369,0)),"",INDEX('Compliance Database'!$A$2:$A$1369,MATCH(192,'Transfer Engine'!$C$2:$C$1369,0)))</f>
        <v/>
      </c>
      <c r="B201" s="8">
        <f>IF(ISNA(MATCH(192,'Transfer Engine'!$C$2:$C$1369,0)),"",INDEX('Compliance Database'!$B$2:$B$1369,MATCH(192,'Transfer Engine'!$C$2:$C$1369,0)))</f>
        <v/>
      </c>
      <c r="C201" s="8">
        <f>IF(ISNA(MATCH(192,'Transfer Engine'!$C$2:$C$1369,0)),"",INDEX('Compliance Database'!$C$2:$C$1369,MATCH(192,'Transfer Engine'!$C$2:$C$1369,0)))</f>
        <v/>
      </c>
      <c r="D201" s="9">
        <f>IF(ISNA(MATCH(192,'Transfer Engine'!$C$2:$C$1369,0)),"",INDEX('Compliance Database'!$D$2:$D$1369,MATCH(192,'Transfer Engine'!$C$2:$C$1369,0)))</f>
        <v/>
      </c>
      <c r="E201" s="8">
        <f>IF(ISNA(MATCH(192,'Transfer Engine'!$C$2:$C$1369,0)),"",INDEX('Compliance Database'!$E$2:$E$1369,MATCH(192,'Transfer Engine'!$C$2:$C$1369,0)))</f>
        <v/>
      </c>
      <c r="F201" s="8">
        <f>IF(ISNA(MATCH(192,'Transfer Engine'!$C$2:$C$1369,0)),"",INDEX('Compliance Database'!$F$2:$F$1369,MATCH(192,'Transfer Engine'!$C$2:$C$1369,0)))</f>
        <v/>
      </c>
      <c r="G201" s="8">
        <f>IF(ISNA(MATCH(192,'Transfer Engine'!$C$2:$C$1369,0)),"",INDEX('Compliance Database'!$G$2:$G$1369,MATCH(192,'Transfer Engine'!$C$2:$C$1369,0)))</f>
        <v/>
      </c>
      <c r="H201" s="9">
        <f>IF(ISNA(MATCH(192,'Transfer Engine'!$C$2:$C$1369,0)),"",INDEX('Compliance Database'!$H$2:$H$1369,MATCH(192,'Transfer Engine'!$C$2:$C$1369,0)))</f>
        <v/>
      </c>
      <c r="I201" s="9">
        <f>IF(ISNA(MATCH(192,'Transfer Engine'!$C$2:$C$1369,0)),"",INDEX('Compliance Database'!$I$2:$I$1369,MATCH(192,'Transfer Engine'!$C$2:$C$1369,0)))</f>
        <v/>
      </c>
      <c r="J201" s="8">
        <f>IF(ISNA(MATCH(192,'Transfer Engine'!$C$2:$C$1369,0)),"",INDEX('Compliance Database'!$J$2:$J$1369,MATCH(192,'Transfer Engine'!$C$2:$C$1369,0)))</f>
        <v/>
      </c>
      <c r="K201" s="9">
        <f>IF(ISNA(MATCH(192,'Transfer Engine'!$C$2:$C$1369,0)),"",INDEX('Compliance Database'!$K$2:$K$1369,MATCH(192,'Transfer Engine'!$C$2:$C$1369,0)))</f>
        <v/>
      </c>
      <c r="L201" s="9">
        <f>IF(ISNA(MATCH(192,'Transfer Engine'!$C$2:$C$1369,0)),"",INDEX('Compliance Database'!$L$2:$L$1369,MATCH(192,'Transfer Engine'!$C$2:$C$1369,0)))</f>
        <v/>
      </c>
      <c r="M201" s="9">
        <f>IF(ISNA(MATCH(192,'Transfer Engine'!$C$2:$C$1369,0)),"",INDEX('Compliance Database'!$M$2:$M$1369,MATCH(192,'Transfer Engine'!$C$2:$C$1369,0)))</f>
        <v/>
      </c>
      <c r="N201" s="9">
        <f>IF(ISNA(MATCH(192,'Transfer Engine'!$C$2:$C$1369,0)),"",INDEX('Compliance Database'!$N$2:$N$1369,MATCH(192,'Transfer Engine'!$C$2:$C$1369,0)))</f>
        <v/>
      </c>
      <c r="O201" s="8">
        <f>IF(ISNA(MATCH(192,'Transfer Engine'!$C$2:$C$1369,0)),"",HYPERLINK(INDEX('Compliance Database'!$O$2:$O$1369,MATCH(192,'Transfer Engine'!$C$2:$C$1369,0)),"Open PDF"))</f>
        <v/>
      </c>
    </row>
    <row r="202" ht="188" customHeight="1">
      <c r="A202" s="8">
        <f>IF(ISNA(MATCH(193,'Transfer Engine'!$C$2:$C$1369,0)),"",INDEX('Compliance Database'!$A$2:$A$1369,MATCH(193,'Transfer Engine'!$C$2:$C$1369,0)))</f>
        <v/>
      </c>
      <c r="B202" s="8">
        <f>IF(ISNA(MATCH(193,'Transfer Engine'!$C$2:$C$1369,0)),"",INDEX('Compliance Database'!$B$2:$B$1369,MATCH(193,'Transfer Engine'!$C$2:$C$1369,0)))</f>
        <v/>
      </c>
      <c r="C202" s="8">
        <f>IF(ISNA(MATCH(193,'Transfer Engine'!$C$2:$C$1369,0)),"",INDEX('Compliance Database'!$C$2:$C$1369,MATCH(193,'Transfer Engine'!$C$2:$C$1369,0)))</f>
        <v/>
      </c>
      <c r="D202" s="9">
        <f>IF(ISNA(MATCH(193,'Transfer Engine'!$C$2:$C$1369,0)),"",INDEX('Compliance Database'!$D$2:$D$1369,MATCH(193,'Transfer Engine'!$C$2:$C$1369,0)))</f>
        <v/>
      </c>
      <c r="E202" s="8">
        <f>IF(ISNA(MATCH(193,'Transfer Engine'!$C$2:$C$1369,0)),"",INDEX('Compliance Database'!$E$2:$E$1369,MATCH(193,'Transfer Engine'!$C$2:$C$1369,0)))</f>
        <v/>
      </c>
      <c r="F202" s="8">
        <f>IF(ISNA(MATCH(193,'Transfer Engine'!$C$2:$C$1369,0)),"",INDEX('Compliance Database'!$F$2:$F$1369,MATCH(193,'Transfer Engine'!$C$2:$C$1369,0)))</f>
        <v/>
      </c>
      <c r="G202" s="8">
        <f>IF(ISNA(MATCH(193,'Transfer Engine'!$C$2:$C$1369,0)),"",INDEX('Compliance Database'!$G$2:$G$1369,MATCH(193,'Transfer Engine'!$C$2:$C$1369,0)))</f>
        <v/>
      </c>
      <c r="H202" s="9">
        <f>IF(ISNA(MATCH(193,'Transfer Engine'!$C$2:$C$1369,0)),"",INDEX('Compliance Database'!$H$2:$H$1369,MATCH(193,'Transfer Engine'!$C$2:$C$1369,0)))</f>
        <v/>
      </c>
      <c r="I202" s="9">
        <f>IF(ISNA(MATCH(193,'Transfer Engine'!$C$2:$C$1369,0)),"",INDEX('Compliance Database'!$I$2:$I$1369,MATCH(193,'Transfer Engine'!$C$2:$C$1369,0)))</f>
        <v/>
      </c>
      <c r="J202" s="8">
        <f>IF(ISNA(MATCH(193,'Transfer Engine'!$C$2:$C$1369,0)),"",INDEX('Compliance Database'!$J$2:$J$1369,MATCH(193,'Transfer Engine'!$C$2:$C$1369,0)))</f>
        <v/>
      </c>
      <c r="K202" s="9">
        <f>IF(ISNA(MATCH(193,'Transfer Engine'!$C$2:$C$1369,0)),"",INDEX('Compliance Database'!$K$2:$K$1369,MATCH(193,'Transfer Engine'!$C$2:$C$1369,0)))</f>
        <v/>
      </c>
      <c r="L202" s="9">
        <f>IF(ISNA(MATCH(193,'Transfer Engine'!$C$2:$C$1369,0)),"",INDEX('Compliance Database'!$L$2:$L$1369,MATCH(193,'Transfer Engine'!$C$2:$C$1369,0)))</f>
        <v/>
      </c>
      <c r="M202" s="9">
        <f>IF(ISNA(MATCH(193,'Transfer Engine'!$C$2:$C$1369,0)),"",INDEX('Compliance Database'!$M$2:$M$1369,MATCH(193,'Transfer Engine'!$C$2:$C$1369,0)))</f>
        <v/>
      </c>
      <c r="N202" s="9">
        <f>IF(ISNA(MATCH(193,'Transfer Engine'!$C$2:$C$1369,0)),"",INDEX('Compliance Database'!$N$2:$N$1369,MATCH(193,'Transfer Engine'!$C$2:$C$1369,0)))</f>
        <v/>
      </c>
      <c r="O202" s="8">
        <f>IF(ISNA(MATCH(193,'Transfer Engine'!$C$2:$C$1369,0)),"",HYPERLINK(INDEX('Compliance Database'!$O$2:$O$1369,MATCH(193,'Transfer Engine'!$C$2:$C$1369,0)),"Open PDF"))</f>
        <v/>
      </c>
    </row>
    <row r="203" ht="188" customHeight="1">
      <c r="A203" s="8">
        <f>IF(ISNA(MATCH(194,'Transfer Engine'!$C$2:$C$1369,0)),"",INDEX('Compliance Database'!$A$2:$A$1369,MATCH(194,'Transfer Engine'!$C$2:$C$1369,0)))</f>
        <v/>
      </c>
      <c r="B203" s="8">
        <f>IF(ISNA(MATCH(194,'Transfer Engine'!$C$2:$C$1369,0)),"",INDEX('Compliance Database'!$B$2:$B$1369,MATCH(194,'Transfer Engine'!$C$2:$C$1369,0)))</f>
        <v/>
      </c>
      <c r="C203" s="8">
        <f>IF(ISNA(MATCH(194,'Transfer Engine'!$C$2:$C$1369,0)),"",INDEX('Compliance Database'!$C$2:$C$1369,MATCH(194,'Transfer Engine'!$C$2:$C$1369,0)))</f>
        <v/>
      </c>
      <c r="D203" s="9">
        <f>IF(ISNA(MATCH(194,'Transfer Engine'!$C$2:$C$1369,0)),"",INDEX('Compliance Database'!$D$2:$D$1369,MATCH(194,'Transfer Engine'!$C$2:$C$1369,0)))</f>
        <v/>
      </c>
      <c r="E203" s="8">
        <f>IF(ISNA(MATCH(194,'Transfer Engine'!$C$2:$C$1369,0)),"",INDEX('Compliance Database'!$E$2:$E$1369,MATCH(194,'Transfer Engine'!$C$2:$C$1369,0)))</f>
        <v/>
      </c>
      <c r="F203" s="8">
        <f>IF(ISNA(MATCH(194,'Transfer Engine'!$C$2:$C$1369,0)),"",INDEX('Compliance Database'!$F$2:$F$1369,MATCH(194,'Transfer Engine'!$C$2:$C$1369,0)))</f>
        <v/>
      </c>
      <c r="G203" s="8">
        <f>IF(ISNA(MATCH(194,'Transfer Engine'!$C$2:$C$1369,0)),"",INDEX('Compliance Database'!$G$2:$G$1369,MATCH(194,'Transfer Engine'!$C$2:$C$1369,0)))</f>
        <v/>
      </c>
      <c r="H203" s="9">
        <f>IF(ISNA(MATCH(194,'Transfer Engine'!$C$2:$C$1369,0)),"",INDEX('Compliance Database'!$H$2:$H$1369,MATCH(194,'Transfer Engine'!$C$2:$C$1369,0)))</f>
        <v/>
      </c>
      <c r="I203" s="9">
        <f>IF(ISNA(MATCH(194,'Transfer Engine'!$C$2:$C$1369,0)),"",INDEX('Compliance Database'!$I$2:$I$1369,MATCH(194,'Transfer Engine'!$C$2:$C$1369,0)))</f>
        <v/>
      </c>
      <c r="J203" s="8">
        <f>IF(ISNA(MATCH(194,'Transfer Engine'!$C$2:$C$1369,0)),"",INDEX('Compliance Database'!$J$2:$J$1369,MATCH(194,'Transfer Engine'!$C$2:$C$1369,0)))</f>
        <v/>
      </c>
      <c r="K203" s="9">
        <f>IF(ISNA(MATCH(194,'Transfer Engine'!$C$2:$C$1369,0)),"",INDEX('Compliance Database'!$K$2:$K$1369,MATCH(194,'Transfer Engine'!$C$2:$C$1369,0)))</f>
        <v/>
      </c>
      <c r="L203" s="9">
        <f>IF(ISNA(MATCH(194,'Transfer Engine'!$C$2:$C$1369,0)),"",INDEX('Compliance Database'!$L$2:$L$1369,MATCH(194,'Transfer Engine'!$C$2:$C$1369,0)))</f>
        <v/>
      </c>
      <c r="M203" s="9">
        <f>IF(ISNA(MATCH(194,'Transfer Engine'!$C$2:$C$1369,0)),"",INDEX('Compliance Database'!$M$2:$M$1369,MATCH(194,'Transfer Engine'!$C$2:$C$1369,0)))</f>
        <v/>
      </c>
      <c r="N203" s="9">
        <f>IF(ISNA(MATCH(194,'Transfer Engine'!$C$2:$C$1369,0)),"",INDEX('Compliance Database'!$N$2:$N$1369,MATCH(194,'Transfer Engine'!$C$2:$C$1369,0)))</f>
        <v/>
      </c>
      <c r="O203" s="8">
        <f>IF(ISNA(MATCH(194,'Transfer Engine'!$C$2:$C$1369,0)),"",HYPERLINK(INDEX('Compliance Database'!$O$2:$O$1369,MATCH(194,'Transfer Engine'!$C$2:$C$1369,0)),"Open PDF"))</f>
        <v/>
      </c>
    </row>
    <row r="204" ht="188" customHeight="1">
      <c r="A204" s="8">
        <f>IF(ISNA(MATCH(195,'Transfer Engine'!$C$2:$C$1369,0)),"",INDEX('Compliance Database'!$A$2:$A$1369,MATCH(195,'Transfer Engine'!$C$2:$C$1369,0)))</f>
        <v/>
      </c>
      <c r="B204" s="8">
        <f>IF(ISNA(MATCH(195,'Transfer Engine'!$C$2:$C$1369,0)),"",INDEX('Compliance Database'!$B$2:$B$1369,MATCH(195,'Transfer Engine'!$C$2:$C$1369,0)))</f>
        <v/>
      </c>
      <c r="C204" s="8">
        <f>IF(ISNA(MATCH(195,'Transfer Engine'!$C$2:$C$1369,0)),"",INDEX('Compliance Database'!$C$2:$C$1369,MATCH(195,'Transfer Engine'!$C$2:$C$1369,0)))</f>
        <v/>
      </c>
      <c r="D204" s="9">
        <f>IF(ISNA(MATCH(195,'Transfer Engine'!$C$2:$C$1369,0)),"",INDEX('Compliance Database'!$D$2:$D$1369,MATCH(195,'Transfer Engine'!$C$2:$C$1369,0)))</f>
        <v/>
      </c>
      <c r="E204" s="8">
        <f>IF(ISNA(MATCH(195,'Transfer Engine'!$C$2:$C$1369,0)),"",INDEX('Compliance Database'!$E$2:$E$1369,MATCH(195,'Transfer Engine'!$C$2:$C$1369,0)))</f>
        <v/>
      </c>
      <c r="F204" s="8">
        <f>IF(ISNA(MATCH(195,'Transfer Engine'!$C$2:$C$1369,0)),"",INDEX('Compliance Database'!$F$2:$F$1369,MATCH(195,'Transfer Engine'!$C$2:$C$1369,0)))</f>
        <v/>
      </c>
      <c r="G204" s="8">
        <f>IF(ISNA(MATCH(195,'Transfer Engine'!$C$2:$C$1369,0)),"",INDEX('Compliance Database'!$G$2:$G$1369,MATCH(195,'Transfer Engine'!$C$2:$C$1369,0)))</f>
        <v/>
      </c>
      <c r="H204" s="9">
        <f>IF(ISNA(MATCH(195,'Transfer Engine'!$C$2:$C$1369,0)),"",INDEX('Compliance Database'!$H$2:$H$1369,MATCH(195,'Transfer Engine'!$C$2:$C$1369,0)))</f>
        <v/>
      </c>
      <c r="I204" s="9">
        <f>IF(ISNA(MATCH(195,'Transfer Engine'!$C$2:$C$1369,0)),"",INDEX('Compliance Database'!$I$2:$I$1369,MATCH(195,'Transfer Engine'!$C$2:$C$1369,0)))</f>
        <v/>
      </c>
      <c r="J204" s="8">
        <f>IF(ISNA(MATCH(195,'Transfer Engine'!$C$2:$C$1369,0)),"",INDEX('Compliance Database'!$J$2:$J$1369,MATCH(195,'Transfer Engine'!$C$2:$C$1369,0)))</f>
        <v/>
      </c>
      <c r="K204" s="9">
        <f>IF(ISNA(MATCH(195,'Transfer Engine'!$C$2:$C$1369,0)),"",INDEX('Compliance Database'!$K$2:$K$1369,MATCH(195,'Transfer Engine'!$C$2:$C$1369,0)))</f>
        <v/>
      </c>
      <c r="L204" s="9">
        <f>IF(ISNA(MATCH(195,'Transfer Engine'!$C$2:$C$1369,0)),"",INDEX('Compliance Database'!$L$2:$L$1369,MATCH(195,'Transfer Engine'!$C$2:$C$1369,0)))</f>
        <v/>
      </c>
      <c r="M204" s="9">
        <f>IF(ISNA(MATCH(195,'Transfer Engine'!$C$2:$C$1369,0)),"",INDEX('Compliance Database'!$M$2:$M$1369,MATCH(195,'Transfer Engine'!$C$2:$C$1369,0)))</f>
        <v/>
      </c>
      <c r="N204" s="9">
        <f>IF(ISNA(MATCH(195,'Transfer Engine'!$C$2:$C$1369,0)),"",INDEX('Compliance Database'!$N$2:$N$1369,MATCH(195,'Transfer Engine'!$C$2:$C$1369,0)))</f>
        <v/>
      </c>
      <c r="O204" s="8">
        <f>IF(ISNA(MATCH(195,'Transfer Engine'!$C$2:$C$1369,0)),"",HYPERLINK(INDEX('Compliance Database'!$O$2:$O$1369,MATCH(195,'Transfer Engine'!$C$2:$C$1369,0)),"Open PDF"))</f>
        <v/>
      </c>
    </row>
    <row r="205" ht="188" customHeight="1">
      <c r="A205" s="8">
        <f>IF(ISNA(MATCH(196,'Transfer Engine'!$C$2:$C$1369,0)),"",INDEX('Compliance Database'!$A$2:$A$1369,MATCH(196,'Transfer Engine'!$C$2:$C$1369,0)))</f>
        <v/>
      </c>
      <c r="B205" s="8">
        <f>IF(ISNA(MATCH(196,'Transfer Engine'!$C$2:$C$1369,0)),"",INDEX('Compliance Database'!$B$2:$B$1369,MATCH(196,'Transfer Engine'!$C$2:$C$1369,0)))</f>
        <v/>
      </c>
      <c r="C205" s="8">
        <f>IF(ISNA(MATCH(196,'Transfer Engine'!$C$2:$C$1369,0)),"",INDEX('Compliance Database'!$C$2:$C$1369,MATCH(196,'Transfer Engine'!$C$2:$C$1369,0)))</f>
        <v/>
      </c>
      <c r="D205" s="9">
        <f>IF(ISNA(MATCH(196,'Transfer Engine'!$C$2:$C$1369,0)),"",INDEX('Compliance Database'!$D$2:$D$1369,MATCH(196,'Transfer Engine'!$C$2:$C$1369,0)))</f>
        <v/>
      </c>
      <c r="E205" s="8">
        <f>IF(ISNA(MATCH(196,'Transfer Engine'!$C$2:$C$1369,0)),"",INDEX('Compliance Database'!$E$2:$E$1369,MATCH(196,'Transfer Engine'!$C$2:$C$1369,0)))</f>
        <v/>
      </c>
      <c r="F205" s="8">
        <f>IF(ISNA(MATCH(196,'Transfer Engine'!$C$2:$C$1369,0)),"",INDEX('Compliance Database'!$F$2:$F$1369,MATCH(196,'Transfer Engine'!$C$2:$C$1369,0)))</f>
        <v/>
      </c>
      <c r="G205" s="8">
        <f>IF(ISNA(MATCH(196,'Transfer Engine'!$C$2:$C$1369,0)),"",INDEX('Compliance Database'!$G$2:$G$1369,MATCH(196,'Transfer Engine'!$C$2:$C$1369,0)))</f>
        <v/>
      </c>
      <c r="H205" s="9">
        <f>IF(ISNA(MATCH(196,'Transfer Engine'!$C$2:$C$1369,0)),"",INDEX('Compliance Database'!$H$2:$H$1369,MATCH(196,'Transfer Engine'!$C$2:$C$1369,0)))</f>
        <v/>
      </c>
      <c r="I205" s="9">
        <f>IF(ISNA(MATCH(196,'Transfer Engine'!$C$2:$C$1369,0)),"",INDEX('Compliance Database'!$I$2:$I$1369,MATCH(196,'Transfer Engine'!$C$2:$C$1369,0)))</f>
        <v/>
      </c>
      <c r="J205" s="8">
        <f>IF(ISNA(MATCH(196,'Transfer Engine'!$C$2:$C$1369,0)),"",INDEX('Compliance Database'!$J$2:$J$1369,MATCH(196,'Transfer Engine'!$C$2:$C$1369,0)))</f>
        <v/>
      </c>
      <c r="K205" s="9">
        <f>IF(ISNA(MATCH(196,'Transfer Engine'!$C$2:$C$1369,0)),"",INDEX('Compliance Database'!$K$2:$K$1369,MATCH(196,'Transfer Engine'!$C$2:$C$1369,0)))</f>
        <v/>
      </c>
      <c r="L205" s="9">
        <f>IF(ISNA(MATCH(196,'Transfer Engine'!$C$2:$C$1369,0)),"",INDEX('Compliance Database'!$L$2:$L$1369,MATCH(196,'Transfer Engine'!$C$2:$C$1369,0)))</f>
        <v/>
      </c>
      <c r="M205" s="9">
        <f>IF(ISNA(MATCH(196,'Transfer Engine'!$C$2:$C$1369,0)),"",INDEX('Compliance Database'!$M$2:$M$1369,MATCH(196,'Transfer Engine'!$C$2:$C$1369,0)))</f>
        <v/>
      </c>
      <c r="N205" s="9">
        <f>IF(ISNA(MATCH(196,'Transfer Engine'!$C$2:$C$1369,0)),"",INDEX('Compliance Database'!$N$2:$N$1369,MATCH(196,'Transfer Engine'!$C$2:$C$1369,0)))</f>
        <v/>
      </c>
      <c r="O205" s="8">
        <f>IF(ISNA(MATCH(196,'Transfer Engine'!$C$2:$C$1369,0)),"",HYPERLINK(INDEX('Compliance Database'!$O$2:$O$1369,MATCH(196,'Transfer Engine'!$C$2:$C$1369,0)),"Open PDF"))</f>
        <v/>
      </c>
    </row>
    <row r="206" ht="188" customHeight="1">
      <c r="A206" s="8">
        <f>IF(ISNA(MATCH(197,'Transfer Engine'!$C$2:$C$1369,0)),"",INDEX('Compliance Database'!$A$2:$A$1369,MATCH(197,'Transfer Engine'!$C$2:$C$1369,0)))</f>
        <v/>
      </c>
      <c r="B206" s="8">
        <f>IF(ISNA(MATCH(197,'Transfer Engine'!$C$2:$C$1369,0)),"",INDEX('Compliance Database'!$B$2:$B$1369,MATCH(197,'Transfer Engine'!$C$2:$C$1369,0)))</f>
        <v/>
      </c>
      <c r="C206" s="8">
        <f>IF(ISNA(MATCH(197,'Transfer Engine'!$C$2:$C$1369,0)),"",INDEX('Compliance Database'!$C$2:$C$1369,MATCH(197,'Transfer Engine'!$C$2:$C$1369,0)))</f>
        <v/>
      </c>
      <c r="D206" s="9">
        <f>IF(ISNA(MATCH(197,'Transfer Engine'!$C$2:$C$1369,0)),"",INDEX('Compliance Database'!$D$2:$D$1369,MATCH(197,'Transfer Engine'!$C$2:$C$1369,0)))</f>
        <v/>
      </c>
      <c r="E206" s="8">
        <f>IF(ISNA(MATCH(197,'Transfer Engine'!$C$2:$C$1369,0)),"",INDEX('Compliance Database'!$E$2:$E$1369,MATCH(197,'Transfer Engine'!$C$2:$C$1369,0)))</f>
        <v/>
      </c>
      <c r="F206" s="8">
        <f>IF(ISNA(MATCH(197,'Transfer Engine'!$C$2:$C$1369,0)),"",INDEX('Compliance Database'!$F$2:$F$1369,MATCH(197,'Transfer Engine'!$C$2:$C$1369,0)))</f>
        <v/>
      </c>
      <c r="G206" s="8">
        <f>IF(ISNA(MATCH(197,'Transfer Engine'!$C$2:$C$1369,0)),"",INDEX('Compliance Database'!$G$2:$G$1369,MATCH(197,'Transfer Engine'!$C$2:$C$1369,0)))</f>
        <v/>
      </c>
      <c r="H206" s="9">
        <f>IF(ISNA(MATCH(197,'Transfer Engine'!$C$2:$C$1369,0)),"",INDEX('Compliance Database'!$H$2:$H$1369,MATCH(197,'Transfer Engine'!$C$2:$C$1369,0)))</f>
        <v/>
      </c>
      <c r="I206" s="9">
        <f>IF(ISNA(MATCH(197,'Transfer Engine'!$C$2:$C$1369,0)),"",INDEX('Compliance Database'!$I$2:$I$1369,MATCH(197,'Transfer Engine'!$C$2:$C$1369,0)))</f>
        <v/>
      </c>
      <c r="J206" s="8">
        <f>IF(ISNA(MATCH(197,'Transfer Engine'!$C$2:$C$1369,0)),"",INDEX('Compliance Database'!$J$2:$J$1369,MATCH(197,'Transfer Engine'!$C$2:$C$1369,0)))</f>
        <v/>
      </c>
      <c r="K206" s="9">
        <f>IF(ISNA(MATCH(197,'Transfer Engine'!$C$2:$C$1369,0)),"",INDEX('Compliance Database'!$K$2:$K$1369,MATCH(197,'Transfer Engine'!$C$2:$C$1369,0)))</f>
        <v/>
      </c>
      <c r="L206" s="9">
        <f>IF(ISNA(MATCH(197,'Transfer Engine'!$C$2:$C$1369,0)),"",INDEX('Compliance Database'!$L$2:$L$1369,MATCH(197,'Transfer Engine'!$C$2:$C$1369,0)))</f>
        <v/>
      </c>
      <c r="M206" s="9">
        <f>IF(ISNA(MATCH(197,'Transfer Engine'!$C$2:$C$1369,0)),"",INDEX('Compliance Database'!$M$2:$M$1369,MATCH(197,'Transfer Engine'!$C$2:$C$1369,0)))</f>
        <v/>
      </c>
      <c r="N206" s="9">
        <f>IF(ISNA(MATCH(197,'Transfer Engine'!$C$2:$C$1369,0)),"",INDEX('Compliance Database'!$N$2:$N$1369,MATCH(197,'Transfer Engine'!$C$2:$C$1369,0)))</f>
        <v/>
      </c>
      <c r="O206" s="8">
        <f>IF(ISNA(MATCH(197,'Transfer Engine'!$C$2:$C$1369,0)),"",HYPERLINK(INDEX('Compliance Database'!$O$2:$O$1369,MATCH(197,'Transfer Engine'!$C$2:$C$1369,0)),"Open PDF"))</f>
        <v/>
      </c>
    </row>
    <row r="207" ht="188" customHeight="1">
      <c r="A207" s="8">
        <f>IF(ISNA(MATCH(198,'Transfer Engine'!$C$2:$C$1369,0)),"",INDEX('Compliance Database'!$A$2:$A$1369,MATCH(198,'Transfer Engine'!$C$2:$C$1369,0)))</f>
        <v/>
      </c>
      <c r="B207" s="8">
        <f>IF(ISNA(MATCH(198,'Transfer Engine'!$C$2:$C$1369,0)),"",INDEX('Compliance Database'!$B$2:$B$1369,MATCH(198,'Transfer Engine'!$C$2:$C$1369,0)))</f>
        <v/>
      </c>
      <c r="C207" s="8">
        <f>IF(ISNA(MATCH(198,'Transfer Engine'!$C$2:$C$1369,0)),"",INDEX('Compliance Database'!$C$2:$C$1369,MATCH(198,'Transfer Engine'!$C$2:$C$1369,0)))</f>
        <v/>
      </c>
      <c r="D207" s="9">
        <f>IF(ISNA(MATCH(198,'Transfer Engine'!$C$2:$C$1369,0)),"",INDEX('Compliance Database'!$D$2:$D$1369,MATCH(198,'Transfer Engine'!$C$2:$C$1369,0)))</f>
        <v/>
      </c>
      <c r="E207" s="8">
        <f>IF(ISNA(MATCH(198,'Transfer Engine'!$C$2:$C$1369,0)),"",INDEX('Compliance Database'!$E$2:$E$1369,MATCH(198,'Transfer Engine'!$C$2:$C$1369,0)))</f>
        <v/>
      </c>
      <c r="F207" s="8">
        <f>IF(ISNA(MATCH(198,'Transfer Engine'!$C$2:$C$1369,0)),"",INDEX('Compliance Database'!$F$2:$F$1369,MATCH(198,'Transfer Engine'!$C$2:$C$1369,0)))</f>
        <v/>
      </c>
      <c r="G207" s="8">
        <f>IF(ISNA(MATCH(198,'Transfer Engine'!$C$2:$C$1369,0)),"",INDEX('Compliance Database'!$G$2:$G$1369,MATCH(198,'Transfer Engine'!$C$2:$C$1369,0)))</f>
        <v/>
      </c>
      <c r="H207" s="9">
        <f>IF(ISNA(MATCH(198,'Transfer Engine'!$C$2:$C$1369,0)),"",INDEX('Compliance Database'!$H$2:$H$1369,MATCH(198,'Transfer Engine'!$C$2:$C$1369,0)))</f>
        <v/>
      </c>
      <c r="I207" s="9">
        <f>IF(ISNA(MATCH(198,'Transfer Engine'!$C$2:$C$1369,0)),"",INDEX('Compliance Database'!$I$2:$I$1369,MATCH(198,'Transfer Engine'!$C$2:$C$1369,0)))</f>
        <v/>
      </c>
      <c r="J207" s="8">
        <f>IF(ISNA(MATCH(198,'Transfer Engine'!$C$2:$C$1369,0)),"",INDEX('Compliance Database'!$J$2:$J$1369,MATCH(198,'Transfer Engine'!$C$2:$C$1369,0)))</f>
        <v/>
      </c>
      <c r="K207" s="9">
        <f>IF(ISNA(MATCH(198,'Transfer Engine'!$C$2:$C$1369,0)),"",INDEX('Compliance Database'!$K$2:$K$1369,MATCH(198,'Transfer Engine'!$C$2:$C$1369,0)))</f>
        <v/>
      </c>
      <c r="L207" s="9">
        <f>IF(ISNA(MATCH(198,'Transfer Engine'!$C$2:$C$1369,0)),"",INDEX('Compliance Database'!$L$2:$L$1369,MATCH(198,'Transfer Engine'!$C$2:$C$1369,0)))</f>
        <v/>
      </c>
      <c r="M207" s="9">
        <f>IF(ISNA(MATCH(198,'Transfer Engine'!$C$2:$C$1369,0)),"",INDEX('Compliance Database'!$M$2:$M$1369,MATCH(198,'Transfer Engine'!$C$2:$C$1369,0)))</f>
        <v/>
      </c>
      <c r="N207" s="9">
        <f>IF(ISNA(MATCH(198,'Transfer Engine'!$C$2:$C$1369,0)),"",INDEX('Compliance Database'!$N$2:$N$1369,MATCH(198,'Transfer Engine'!$C$2:$C$1369,0)))</f>
        <v/>
      </c>
      <c r="O207" s="8">
        <f>IF(ISNA(MATCH(198,'Transfer Engine'!$C$2:$C$1369,0)),"",HYPERLINK(INDEX('Compliance Database'!$O$2:$O$1369,MATCH(198,'Transfer Engine'!$C$2:$C$1369,0)),"Open PDF"))</f>
        <v/>
      </c>
    </row>
    <row r="208" ht="188" customHeight="1">
      <c r="A208" s="8">
        <f>IF(ISNA(MATCH(199,'Transfer Engine'!$C$2:$C$1369,0)),"",INDEX('Compliance Database'!$A$2:$A$1369,MATCH(199,'Transfer Engine'!$C$2:$C$1369,0)))</f>
        <v/>
      </c>
      <c r="B208" s="8">
        <f>IF(ISNA(MATCH(199,'Transfer Engine'!$C$2:$C$1369,0)),"",INDEX('Compliance Database'!$B$2:$B$1369,MATCH(199,'Transfer Engine'!$C$2:$C$1369,0)))</f>
        <v/>
      </c>
      <c r="C208" s="8">
        <f>IF(ISNA(MATCH(199,'Transfer Engine'!$C$2:$C$1369,0)),"",INDEX('Compliance Database'!$C$2:$C$1369,MATCH(199,'Transfer Engine'!$C$2:$C$1369,0)))</f>
        <v/>
      </c>
      <c r="D208" s="9">
        <f>IF(ISNA(MATCH(199,'Transfer Engine'!$C$2:$C$1369,0)),"",INDEX('Compliance Database'!$D$2:$D$1369,MATCH(199,'Transfer Engine'!$C$2:$C$1369,0)))</f>
        <v/>
      </c>
      <c r="E208" s="8">
        <f>IF(ISNA(MATCH(199,'Transfer Engine'!$C$2:$C$1369,0)),"",INDEX('Compliance Database'!$E$2:$E$1369,MATCH(199,'Transfer Engine'!$C$2:$C$1369,0)))</f>
        <v/>
      </c>
      <c r="F208" s="8">
        <f>IF(ISNA(MATCH(199,'Transfer Engine'!$C$2:$C$1369,0)),"",INDEX('Compliance Database'!$F$2:$F$1369,MATCH(199,'Transfer Engine'!$C$2:$C$1369,0)))</f>
        <v/>
      </c>
      <c r="G208" s="8">
        <f>IF(ISNA(MATCH(199,'Transfer Engine'!$C$2:$C$1369,0)),"",INDEX('Compliance Database'!$G$2:$G$1369,MATCH(199,'Transfer Engine'!$C$2:$C$1369,0)))</f>
        <v/>
      </c>
      <c r="H208" s="9">
        <f>IF(ISNA(MATCH(199,'Transfer Engine'!$C$2:$C$1369,0)),"",INDEX('Compliance Database'!$H$2:$H$1369,MATCH(199,'Transfer Engine'!$C$2:$C$1369,0)))</f>
        <v/>
      </c>
      <c r="I208" s="9">
        <f>IF(ISNA(MATCH(199,'Transfer Engine'!$C$2:$C$1369,0)),"",INDEX('Compliance Database'!$I$2:$I$1369,MATCH(199,'Transfer Engine'!$C$2:$C$1369,0)))</f>
        <v/>
      </c>
      <c r="J208" s="8">
        <f>IF(ISNA(MATCH(199,'Transfer Engine'!$C$2:$C$1369,0)),"",INDEX('Compliance Database'!$J$2:$J$1369,MATCH(199,'Transfer Engine'!$C$2:$C$1369,0)))</f>
        <v/>
      </c>
      <c r="K208" s="9">
        <f>IF(ISNA(MATCH(199,'Transfer Engine'!$C$2:$C$1369,0)),"",INDEX('Compliance Database'!$K$2:$K$1369,MATCH(199,'Transfer Engine'!$C$2:$C$1369,0)))</f>
        <v/>
      </c>
      <c r="L208" s="9">
        <f>IF(ISNA(MATCH(199,'Transfer Engine'!$C$2:$C$1369,0)),"",INDEX('Compliance Database'!$L$2:$L$1369,MATCH(199,'Transfer Engine'!$C$2:$C$1369,0)))</f>
        <v/>
      </c>
      <c r="M208" s="9">
        <f>IF(ISNA(MATCH(199,'Transfer Engine'!$C$2:$C$1369,0)),"",INDEX('Compliance Database'!$M$2:$M$1369,MATCH(199,'Transfer Engine'!$C$2:$C$1369,0)))</f>
        <v/>
      </c>
      <c r="N208" s="9">
        <f>IF(ISNA(MATCH(199,'Transfer Engine'!$C$2:$C$1369,0)),"",INDEX('Compliance Database'!$N$2:$N$1369,MATCH(199,'Transfer Engine'!$C$2:$C$1369,0)))</f>
        <v/>
      </c>
      <c r="O208" s="8">
        <f>IF(ISNA(MATCH(199,'Transfer Engine'!$C$2:$C$1369,0)),"",HYPERLINK(INDEX('Compliance Database'!$O$2:$O$1369,MATCH(199,'Transfer Engine'!$C$2:$C$1369,0)),"Open PDF"))</f>
        <v/>
      </c>
    </row>
    <row r="209" ht="188" customHeight="1">
      <c r="A209" s="8">
        <f>IF(ISNA(MATCH(200,'Transfer Engine'!$C$2:$C$1369,0)),"",INDEX('Compliance Database'!$A$2:$A$1369,MATCH(200,'Transfer Engine'!$C$2:$C$1369,0)))</f>
        <v/>
      </c>
      <c r="B209" s="8">
        <f>IF(ISNA(MATCH(200,'Transfer Engine'!$C$2:$C$1369,0)),"",INDEX('Compliance Database'!$B$2:$B$1369,MATCH(200,'Transfer Engine'!$C$2:$C$1369,0)))</f>
        <v/>
      </c>
      <c r="C209" s="8">
        <f>IF(ISNA(MATCH(200,'Transfer Engine'!$C$2:$C$1369,0)),"",INDEX('Compliance Database'!$C$2:$C$1369,MATCH(200,'Transfer Engine'!$C$2:$C$1369,0)))</f>
        <v/>
      </c>
      <c r="D209" s="9">
        <f>IF(ISNA(MATCH(200,'Transfer Engine'!$C$2:$C$1369,0)),"",INDEX('Compliance Database'!$D$2:$D$1369,MATCH(200,'Transfer Engine'!$C$2:$C$1369,0)))</f>
        <v/>
      </c>
      <c r="E209" s="8">
        <f>IF(ISNA(MATCH(200,'Transfer Engine'!$C$2:$C$1369,0)),"",INDEX('Compliance Database'!$E$2:$E$1369,MATCH(200,'Transfer Engine'!$C$2:$C$1369,0)))</f>
        <v/>
      </c>
      <c r="F209" s="8">
        <f>IF(ISNA(MATCH(200,'Transfer Engine'!$C$2:$C$1369,0)),"",INDEX('Compliance Database'!$F$2:$F$1369,MATCH(200,'Transfer Engine'!$C$2:$C$1369,0)))</f>
        <v/>
      </c>
      <c r="G209" s="8">
        <f>IF(ISNA(MATCH(200,'Transfer Engine'!$C$2:$C$1369,0)),"",INDEX('Compliance Database'!$G$2:$G$1369,MATCH(200,'Transfer Engine'!$C$2:$C$1369,0)))</f>
        <v/>
      </c>
      <c r="H209" s="9">
        <f>IF(ISNA(MATCH(200,'Transfer Engine'!$C$2:$C$1369,0)),"",INDEX('Compliance Database'!$H$2:$H$1369,MATCH(200,'Transfer Engine'!$C$2:$C$1369,0)))</f>
        <v/>
      </c>
      <c r="I209" s="9">
        <f>IF(ISNA(MATCH(200,'Transfer Engine'!$C$2:$C$1369,0)),"",INDEX('Compliance Database'!$I$2:$I$1369,MATCH(200,'Transfer Engine'!$C$2:$C$1369,0)))</f>
        <v/>
      </c>
      <c r="J209" s="8">
        <f>IF(ISNA(MATCH(200,'Transfer Engine'!$C$2:$C$1369,0)),"",INDEX('Compliance Database'!$J$2:$J$1369,MATCH(200,'Transfer Engine'!$C$2:$C$1369,0)))</f>
        <v/>
      </c>
      <c r="K209" s="9">
        <f>IF(ISNA(MATCH(200,'Transfer Engine'!$C$2:$C$1369,0)),"",INDEX('Compliance Database'!$K$2:$K$1369,MATCH(200,'Transfer Engine'!$C$2:$C$1369,0)))</f>
        <v/>
      </c>
      <c r="L209" s="9">
        <f>IF(ISNA(MATCH(200,'Transfer Engine'!$C$2:$C$1369,0)),"",INDEX('Compliance Database'!$L$2:$L$1369,MATCH(200,'Transfer Engine'!$C$2:$C$1369,0)))</f>
        <v/>
      </c>
      <c r="M209" s="9">
        <f>IF(ISNA(MATCH(200,'Transfer Engine'!$C$2:$C$1369,0)),"",INDEX('Compliance Database'!$M$2:$M$1369,MATCH(200,'Transfer Engine'!$C$2:$C$1369,0)))</f>
        <v/>
      </c>
      <c r="N209" s="9">
        <f>IF(ISNA(MATCH(200,'Transfer Engine'!$C$2:$C$1369,0)),"",INDEX('Compliance Database'!$N$2:$N$1369,MATCH(200,'Transfer Engine'!$C$2:$C$1369,0)))</f>
        <v/>
      </c>
      <c r="O209" s="8">
        <f>IF(ISNA(MATCH(200,'Transfer Engine'!$C$2:$C$1369,0)),"",HYPERLINK(INDEX('Compliance Database'!$O$2:$O$1369,MATCH(200,'Transfer Engine'!$C$2:$C$1369,0)),"Open PDF"))</f>
        <v/>
      </c>
    </row>
    <row r="210" ht="188" customHeight="1">
      <c r="A210" s="8">
        <f>IF(ISNA(MATCH(201,'Transfer Engine'!$C$2:$C$1369,0)),"",INDEX('Compliance Database'!$A$2:$A$1369,MATCH(201,'Transfer Engine'!$C$2:$C$1369,0)))</f>
        <v/>
      </c>
      <c r="B210" s="8">
        <f>IF(ISNA(MATCH(201,'Transfer Engine'!$C$2:$C$1369,0)),"",INDEX('Compliance Database'!$B$2:$B$1369,MATCH(201,'Transfer Engine'!$C$2:$C$1369,0)))</f>
        <v/>
      </c>
      <c r="C210" s="8">
        <f>IF(ISNA(MATCH(201,'Transfer Engine'!$C$2:$C$1369,0)),"",INDEX('Compliance Database'!$C$2:$C$1369,MATCH(201,'Transfer Engine'!$C$2:$C$1369,0)))</f>
        <v/>
      </c>
      <c r="D210" s="9">
        <f>IF(ISNA(MATCH(201,'Transfer Engine'!$C$2:$C$1369,0)),"",INDEX('Compliance Database'!$D$2:$D$1369,MATCH(201,'Transfer Engine'!$C$2:$C$1369,0)))</f>
        <v/>
      </c>
      <c r="E210" s="8">
        <f>IF(ISNA(MATCH(201,'Transfer Engine'!$C$2:$C$1369,0)),"",INDEX('Compliance Database'!$E$2:$E$1369,MATCH(201,'Transfer Engine'!$C$2:$C$1369,0)))</f>
        <v/>
      </c>
      <c r="F210" s="8">
        <f>IF(ISNA(MATCH(201,'Transfer Engine'!$C$2:$C$1369,0)),"",INDEX('Compliance Database'!$F$2:$F$1369,MATCH(201,'Transfer Engine'!$C$2:$C$1369,0)))</f>
        <v/>
      </c>
      <c r="G210" s="8">
        <f>IF(ISNA(MATCH(201,'Transfer Engine'!$C$2:$C$1369,0)),"",INDEX('Compliance Database'!$G$2:$G$1369,MATCH(201,'Transfer Engine'!$C$2:$C$1369,0)))</f>
        <v/>
      </c>
      <c r="H210" s="9">
        <f>IF(ISNA(MATCH(201,'Transfer Engine'!$C$2:$C$1369,0)),"",INDEX('Compliance Database'!$H$2:$H$1369,MATCH(201,'Transfer Engine'!$C$2:$C$1369,0)))</f>
        <v/>
      </c>
      <c r="I210" s="9">
        <f>IF(ISNA(MATCH(201,'Transfer Engine'!$C$2:$C$1369,0)),"",INDEX('Compliance Database'!$I$2:$I$1369,MATCH(201,'Transfer Engine'!$C$2:$C$1369,0)))</f>
        <v/>
      </c>
      <c r="J210" s="8">
        <f>IF(ISNA(MATCH(201,'Transfer Engine'!$C$2:$C$1369,0)),"",INDEX('Compliance Database'!$J$2:$J$1369,MATCH(201,'Transfer Engine'!$C$2:$C$1369,0)))</f>
        <v/>
      </c>
      <c r="K210" s="9">
        <f>IF(ISNA(MATCH(201,'Transfer Engine'!$C$2:$C$1369,0)),"",INDEX('Compliance Database'!$K$2:$K$1369,MATCH(201,'Transfer Engine'!$C$2:$C$1369,0)))</f>
        <v/>
      </c>
      <c r="L210" s="9">
        <f>IF(ISNA(MATCH(201,'Transfer Engine'!$C$2:$C$1369,0)),"",INDEX('Compliance Database'!$L$2:$L$1369,MATCH(201,'Transfer Engine'!$C$2:$C$1369,0)))</f>
        <v/>
      </c>
      <c r="M210" s="9">
        <f>IF(ISNA(MATCH(201,'Transfer Engine'!$C$2:$C$1369,0)),"",INDEX('Compliance Database'!$M$2:$M$1369,MATCH(201,'Transfer Engine'!$C$2:$C$1369,0)))</f>
        <v/>
      </c>
      <c r="N210" s="9">
        <f>IF(ISNA(MATCH(201,'Transfer Engine'!$C$2:$C$1369,0)),"",INDEX('Compliance Database'!$N$2:$N$1369,MATCH(201,'Transfer Engine'!$C$2:$C$1369,0)))</f>
        <v/>
      </c>
      <c r="O210" s="8">
        <f>IF(ISNA(MATCH(201,'Transfer Engine'!$C$2:$C$1369,0)),"",HYPERLINK(INDEX('Compliance Database'!$O$2:$O$1369,MATCH(201,'Transfer Engine'!$C$2:$C$1369,0)),"Open PDF"))</f>
        <v/>
      </c>
    </row>
    <row r="211" ht="188" customHeight="1">
      <c r="A211" s="8">
        <f>IF(ISNA(MATCH(202,'Transfer Engine'!$C$2:$C$1369,0)),"",INDEX('Compliance Database'!$A$2:$A$1369,MATCH(202,'Transfer Engine'!$C$2:$C$1369,0)))</f>
        <v/>
      </c>
      <c r="B211" s="8">
        <f>IF(ISNA(MATCH(202,'Transfer Engine'!$C$2:$C$1369,0)),"",INDEX('Compliance Database'!$B$2:$B$1369,MATCH(202,'Transfer Engine'!$C$2:$C$1369,0)))</f>
        <v/>
      </c>
      <c r="C211" s="8">
        <f>IF(ISNA(MATCH(202,'Transfer Engine'!$C$2:$C$1369,0)),"",INDEX('Compliance Database'!$C$2:$C$1369,MATCH(202,'Transfer Engine'!$C$2:$C$1369,0)))</f>
        <v/>
      </c>
      <c r="D211" s="9">
        <f>IF(ISNA(MATCH(202,'Transfer Engine'!$C$2:$C$1369,0)),"",INDEX('Compliance Database'!$D$2:$D$1369,MATCH(202,'Transfer Engine'!$C$2:$C$1369,0)))</f>
        <v/>
      </c>
      <c r="E211" s="8">
        <f>IF(ISNA(MATCH(202,'Transfer Engine'!$C$2:$C$1369,0)),"",INDEX('Compliance Database'!$E$2:$E$1369,MATCH(202,'Transfer Engine'!$C$2:$C$1369,0)))</f>
        <v/>
      </c>
      <c r="F211" s="8">
        <f>IF(ISNA(MATCH(202,'Transfer Engine'!$C$2:$C$1369,0)),"",INDEX('Compliance Database'!$F$2:$F$1369,MATCH(202,'Transfer Engine'!$C$2:$C$1369,0)))</f>
        <v/>
      </c>
      <c r="G211" s="8">
        <f>IF(ISNA(MATCH(202,'Transfer Engine'!$C$2:$C$1369,0)),"",INDEX('Compliance Database'!$G$2:$G$1369,MATCH(202,'Transfer Engine'!$C$2:$C$1369,0)))</f>
        <v/>
      </c>
      <c r="H211" s="9">
        <f>IF(ISNA(MATCH(202,'Transfer Engine'!$C$2:$C$1369,0)),"",INDEX('Compliance Database'!$H$2:$H$1369,MATCH(202,'Transfer Engine'!$C$2:$C$1369,0)))</f>
        <v/>
      </c>
      <c r="I211" s="9">
        <f>IF(ISNA(MATCH(202,'Transfer Engine'!$C$2:$C$1369,0)),"",INDEX('Compliance Database'!$I$2:$I$1369,MATCH(202,'Transfer Engine'!$C$2:$C$1369,0)))</f>
        <v/>
      </c>
      <c r="J211" s="8">
        <f>IF(ISNA(MATCH(202,'Transfer Engine'!$C$2:$C$1369,0)),"",INDEX('Compliance Database'!$J$2:$J$1369,MATCH(202,'Transfer Engine'!$C$2:$C$1369,0)))</f>
        <v/>
      </c>
      <c r="K211" s="9">
        <f>IF(ISNA(MATCH(202,'Transfer Engine'!$C$2:$C$1369,0)),"",INDEX('Compliance Database'!$K$2:$K$1369,MATCH(202,'Transfer Engine'!$C$2:$C$1369,0)))</f>
        <v/>
      </c>
      <c r="L211" s="9">
        <f>IF(ISNA(MATCH(202,'Transfer Engine'!$C$2:$C$1369,0)),"",INDEX('Compliance Database'!$L$2:$L$1369,MATCH(202,'Transfer Engine'!$C$2:$C$1369,0)))</f>
        <v/>
      </c>
      <c r="M211" s="9">
        <f>IF(ISNA(MATCH(202,'Transfer Engine'!$C$2:$C$1369,0)),"",INDEX('Compliance Database'!$M$2:$M$1369,MATCH(202,'Transfer Engine'!$C$2:$C$1369,0)))</f>
        <v/>
      </c>
      <c r="N211" s="9">
        <f>IF(ISNA(MATCH(202,'Transfer Engine'!$C$2:$C$1369,0)),"",INDEX('Compliance Database'!$N$2:$N$1369,MATCH(202,'Transfer Engine'!$C$2:$C$1369,0)))</f>
        <v/>
      </c>
      <c r="O211" s="8">
        <f>IF(ISNA(MATCH(202,'Transfer Engine'!$C$2:$C$1369,0)),"",HYPERLINK(INDEX('Compliance Database'!$O$2:$O$1369,MATCH(202,'Transfer Engine'!$C$2:$C$1369,0)),"Open PDF"))</f>
        <v/>
      </c>
    </row>
    <row r="212" ht="188" customHeight="1">
      <c r="A212" s="8">
        <f>IF(ISNA(MATCH(203,'Transfer Engine'!$C$2:$C$1369,0)),"",INDEX('Compliance Database'!$A$2:$A$1369,MATCH(203,'Transfer Engine'!$C$2:$C$1369,0)))</f>
        <v/>
      </c>
      <c r="B212" s="8">
        <f>IF(ISNA(MATCH(203,'Transfer Engine'!$C$2:$C$1369,0)),"",INDEX('Compliance Database'!$B$2:$B$1369,MATCH(203,'Transfer Engine'!$C$2:$C$1369,0)))</f>
        <v/>
      </c>
      <c r="C212" s="8">
        <f>IF(ISNA(MATCH(203,'Transfer Engine'!$C$2:$C$1369,0)),"",INDEX('Compliance Database'!$C$2:$C$1369,MATCH(203,'Transfer Engine'!$C$2:$C$1369,0)))</f>
        <v/>
      </c>
      <c r="D212" s="9">
        <f>IF(ISNA(MATCH(203,'Transfer Engine'!$C$2:$C$1369,0)),"",INDEX('Compliance Database'!$D$2:$D$1369,MATCH(203,'Transfer Engine'!$C$2:$C$1369,0)))</f>
        <v/>
      </c>
      <c r="E212" s="8">
        <f>IF(ISNA(MATCH(203,'Transfer Engine'!$C$2:$C$1369,0)),"",INDEX('Compliance Database'!$E$2:$E$1369,MATCH(203,'Transfer Engine'!$C$2:$C$1369,0)))</f>
        <v/>
      </c>
      <c r="F212" s="8">
        <f>IF(ISNA(MATCH(203,'Transfer Engine'!$C$2:$C$1369,0)),"",INDEX('Compliance Database'!$F$2:$F$1369,MATCH(203,'Transfer Engine'!$C$2:$C$1369,0)))</f>
        <v/>
      </c>
      <c r="G212" s="8">
        <f>IF(ISNA(MATCH(203,'Transfer Engine'!$C$2:$C$1369,0)),"",INDEX('Compliance Database'!$G$2:$G$1369,MATCH(203,'Transfer Engine'!$C$2:$C$1369,0)))</f>
        <v/>
      </c>
      <c r="H212" s="9">
        <f>IF(ISNA(MATCH(203,'Transfer Engine'!$C$2:$C$1369,0)),"",INDEX('Compliance Database'!$H$2:$H$1369,MATCH(203,'Transfer Engine'!$C$2:$C$1369,0)))</f>
        <v/>
      </c>
      <c r="I212" s="9">
        <f>IF(ISNA(MATCH(203,'Transfer Engine'!$C$2:$C$1369,0)),"",INDEX('Compliance Database'!$I$2:$I$1369,MATCH(203,'Transfer Engine'!$C$2:$C$1369,0)))</f>
        <v/>
      </c>
      <c r="J212" s="8">
        <f>IF(ISNA(MATCH(203,'Transfer Engine'!$C$2:$C$1369,0)),"",INDEX('Compliance Database'!$J$2:$J$1369,MATCH(203,'Transfer Engine'!$C$2:$C$1369,0)))</f>
        <v/>
      </c>
      <c r="K212" s="9">
        <f>IF(ISNA(MATCH(203,'Transfer Engine'!$C$2:$C$1369,0)),"",INDEX('Compliance Database'!$K$2:$K$1369,MATCH(203,'Transfer Engine'!$C$2:$C$1369,0)))</f>
        <v/>
      </c>
      <c r="L212" s="9">
        <f>IF(ISNA(MATCH(203,'Transfer Engine'!$C$2:$C$1369,0)),"",INDEX('Compliance Database'!$L$2:$L$1369,MATCH(203,'Transfer Engine'!$C$2:$C$1369,0)))</f>
        <v/>
      </c>
      <c r="M212" s="9">
        <f>IF(ISNA(MATCH(203,'Transfer Engine'!$C$2:$C$1369,0)),"",INDEX('Compliance Database'!$M$2:$M$1369,MATCH(203,'Transfer Engine'!$C$2:$C$1369,0)))</f>
        <v/>
      </c>
      <c r="N212" s="9">
        <f>IF(ISNA(MATCH(203,'Transfer Engine'!$C$2:$C$1369,0)),"",INDEX('Compliance Database'!$N$2:$N$1369,MATCH(203,'Transfer Engine'!$C$2:$C$1369,0)))</f>
        <v/>
      </c>
      <c r="O212" s="8">
        <f>IF(ISNA(MATCH(203,'Transfer Engine'!$C$2:$C$1369,0)),"",HYPERLINK(INDEX('Compliance Database'!$O$2:$O$1369,MATCH(203,'Transfer Engine'!$C$2:$C$1369,0)),"Open PDF"))</f>
        <v/>
      </c>
    </row>
    <row r="213" ht="188" customHeight="1">
      <c r="A213" s="8">
        <f>IF(ISNA(MATCH(204,'Transfer Engine'!$C$2:$C$1369,0)),"",INDEX('Compliance Database'!$A$2:$A$1369,MATCH(204,'Transfer Engine'!$C$2:$C$1369,0)))</f>
        <v/>
      </c>
      <c r="B213" s="8">
        <f>IF(ISNA(MATCH(204,'Transfer Engine'!$C$2:$C$1369,0)),"",INDEX('Compliance Database'!$B$2:$B$1369,MATCH(204,'Transfer Engine'!$C$2:$C$1369,0)))</f>
        <v/>
      </c>
      <c r="C213" s="8">
        <f>IF(ISNA(MATCH(204,'Transfer Engine'!$C$2:$C$1369,0)),"",INDEX('Compliance Database'!$C$2:$C$1369,MATCH(204,'Transfer Engine'!$C$2:$C$1369,0)))</f>
        <v/>
      </c>
      <c r="D213" s="9">
        <f>IF(ISNA(MATCH(204,'Transfer Engine'!$C$2:$C$1369,0)),"",INDEX('Compliance Database'!$D$2:$D$1369,MATCH(204,'Transfer Engine'!$C$2:$C$1369,0)))</f>
        <v/>
      </c>
      <c r="E213" s="8">
        <f>IF(ISNA(MATCH(204,'Transfer Engine'!$C$2:$C$1369,0)),"",INDEX('Compliance Database'!$E$2:$E$1369,MATCH(204,'Transfer Engine'!$C$2:$C$1369,0)))</f>
        <v/>
      </c>
      <c r="F213" s="8">
        <f>IF(ISNA(MATCH(204,'Transfer Engine'!$C$2:$C$1369,0)),"",INDEX('Compliance Database'!$F$2:$F$1369,MATCH(204,'Transfer Engine'!$C$2:$C$1369,0)))</f>
        <v/>
      </c>
      <c r="G213" s="8">
        <f>IF(ISNA(MATCH(204,'Transfer Engine'!$C$2:$C$1369,0)),"",INDEX('Compliance Database'!$G$2:$G$1369,MATCH(204,'Transfer Engine'!$C$2:$C$1369,0)))</f>
        <v/>
      </c>
      <c r="H213" s="9">
        <f>IF(ISNA(MATCH(204,'Transfer Engine'!$C$2:$C$1369,0)),"",INDEX('Compliance Database'!$H$2:$H$1369,MATCH(204,'Transfer Engine'!$C$2:$C$1369,0)))</f>
        <v/>
      </c>
      <c r="I213" s="9">
        <f>IF(ISNA(MATCH(204,'Transfer Engine'!$C$2:$C$1369,0)),"",INDEX('Compliance Database'!$I$2:$I$1369,MATCH(204,'Transfer Engine'!$C$2:$C$1369,0)))</f>
        <v/>
      </c>
      <c r="J213" s="8">
        <f>IF(ISNA(MATCH(204,'Transfer Engine'!$C$2:$C$1369,0)),"",INDEX('Compliance Database'!$J$2:$J$1369,MATCH(204,'Transfer Engine'!$C$2:$C$1369,0)))</f>
        <v/>
      </c>
      <c r="K213" s="9">
        <f>IF(ISNA(MATCH(204,'Transfer Engine'!$C$2:$C$1369,0)),"",INDEX('Compliance Database'!$K$2:$K$1369,MATCH(204,'Transfer Engine'!$C$2:$C$1369,0)))</f>
        <v/>
      </c>
      <c r="L213" s="9">
        <f>IF(ISNA(MATCH(204,'Transfer Engine'!$C$2:$C$1369,0)),"",INDEX('Compliance Database'!$L$2:$L$1369,MATCH(204,'Transfer Engine'!$C$2:$C$1369,0)))</f>
        <v/>
      </c>
      <c r="M213" s="9">
        <f>IF(ISNA(MATCH(204,'Transfer Engine'!$C$2:$C$1369,0)),"",INDEX('Compliance Database'!$M$2:$M$1369,MATCH(204,'Transfer Engine'!$C$2:$C$1369,0)))</f>
        <v/>
      </c>
      <c r="N213" s="9">
        <f>IF(ISNA(MATCH(204,'Transfer Engine'!$C$2:$C$1369,0)),"",INDEX('Compliance Database'!$N$2:$N$1369,MATCH(204,'Transfer Engine'!$C$2:$C$1369,0)))</f>
        <v/>
      </c>
      <c r="O213" s="8">
        <f>IF(ISNA(MATCH(204,'Transfer Engine'!$C$2:$C$1369,0)),"",HYPERLINK(INDEX('Compliance Database'!$O$2:$O$1369,MATCH(204,'Transfer Engine'!$C$2:$C$1369,0)),"Open PDF"))</f>
        <v/>
      </c>
    </row>
    <row r="214" ht="188" customHeight="1">
      <c r="A214" s="8">
        <f>IF(ISNA(MATCH(205,'Transfer Engine'!$C$2:$C$1369,0)),"",INDEX('Compliance Database'!$A$2:$A$1369,MATCH(205,'Transfer Engine'!$C$2:$C$1369,0)))</f>
        <v/>
      </c>
      <c r="B214" s="8">
        <f>IF(ISNA(MATCH(205,'Transfer Engine'!$C$2:$C$1369,0)),"",INDEX('Compliance Database'!$B$2:$B$1369,MATCH(205,'Transfer Engine'!$C$2:$C$1369,0)))</f>
        <v/>
      </c>
      <c r="C214" s="8">
        <f>IF(ISNA(MATCH(205,'Transfer Engine'!$C$2:$C$1369,0)),"",INDEX('Compliance Database'!$C$2:$C$1369,MATCH(205,'Transfer Engine'!$C$2:$C$1369,0)))</f>
        <v/>
      </c>
      <c r="D214" s="9">
        <f>IF(ISNA(MATCH(205,'Transfer Engine'!$C$2:$C$1369,0)),"",INDEX('Compliance Database'!$D$2:$D$1369,MATCH(205,'Transfer Engine'!$C$2:$C$1369,0)))</f>
        <v/>
      </c>
      <c r="E214" s="8">
        <f>IF(ISNA(MATCH(205,'Transfer Engine'!$C$2:$C$1369,0)),"",INDEX('Compliance Database'!$E$2:$E$1369,MATCH(205,'Transfer Engine'!$C$2:$C$1369,0)))</f>
        <v/>
      </c>
      <c r="F214" s="8">
        <f>IF(ISNA(MATCH(205,'Transfer Engine'!$C$2:$C$1369,0)),"",INDEX('Compliance Database'!$F$2:$F$1369,MATCH(205,'Transfer Engine'!$C$2:$C$1369,0)))</f>
        <v/>
      </c>
      <c r="G214" s="8">
        <f>IF(ISNA(MATCH(205,'Transfer Engine'!$C$2:$C$1369,0)),"",INDEX('Compliance Database'!$G$2:$G$1369,MATCH(205,'Transfer Engine'!$C$2:$C$1369,0)))</f>
        <v/>
      </c>
      <c r="H214" s="9">
        <f>IF(ISNA(MATCH(205,'Transfer Engine'!$C$2:$C$1369,0)),"",INDEX('Compliance Database'!$H$2:$H$1369,MATCH(205,'Transfer Engine'!$C$2:$C$1369,0)))</f>
        <v/>
      </c>
      <c r="I214" s="9">
        <f>IF(ISNA(MATCH(205,'Transfer Engine'!$C$2:$C$1369,0)),"",INDEX('Compliance Database'!$I$2:$I$1369,MATCH(205,'Transfer Engine'!$C$2:$C$1369,0)))</f>
        <v/>
      </c>
      <c r="J214" s="8">
        <f>IF(ISNA(MATCH(205,'Transfer Engine'!$C$2:$C$1369,0)),"",INDEX('Compliance Database'!$J$2:$J$1369,MATCH(205,'Transfer Engine'!$C$2:$C$1369,0)))</f>
        <v/>
      </c>
      <c r="K214" s="9">
        <f>IF(ISNA(MATCH(205,'Transfer Engine'!$C$2:$C$1369,0)),"",INDEX('Compliance Database'!$K$2:$K$1369,MATCH(205,'Transfer Engine'!$C$2:$C$1369,0)))</f>
        <v/>
      </c>
      <c r="L214" s="9">
        <f>IF(ISNA(MATCH(205,'Transfer Engine'!$C$2:$C$1369,0)),"",INDEX('Compliance Database'!$L$2:$L$1369,MATCH(205,'Transfer Engine'!$C$2:$C$1369,0)))</f>
        <v/>
      </c>
      <c r="M214" s="9">
        <f>IF(ISNA(MATCH(205,'Transfer Engine'!$C$2:$C$1369,0)),"",INDEX('Compliance Database'!$M$2:$M$1369,MATCH(205,'Transfer Engine'!$C$2:$C$1369,0)))</f>
        <v/>
      </c>
      <c r="N214" s="9">
        <f>IF(ISNA(MATCH(205,'Transfer Engine'!$C$2:$C$1369,0)),"",INDEX('Compliance Database'!$N$2:$N$1369,MATCH(205,'Transfer Engine'!$C$2:$C$1369,0)))</f>
        <v/>
      </c>
      <c r="O214" s="8">
        <f>IF(ISNA(MATCH(205,'Transfer Engine'!$C$2:$C$1369,0)),"",HYPERLINK(INDEX('Compliance Database'!$O$2:$O$1369,MATCH(205,'Transfer Engine'!$C$2:$C$1369,0)),"Open PDF"))</f>
        <v/>
      </c>
    </row>
    <row r="215" ht="188" customHeight="1">
      <c r="A215" s="8">
        <f>IF(ISNA(MATCH(206,'Transfer Engine'!$C$2:$C$1369,0)),"",INDEX('Compliance Database'!$A$2:$A$1369,MATCH(206,'Transfer Engine'!$C$2:$C$1369,0)))</f>
        <v/>
      </c>
      <c r="B215" s="8">
        <f>IF(ISNA(MATCH(206,'Transfer Engine'!$C$2:$C$1369,0)),"",INDEX('Compliance Database'!$B$2:$B$1369,MATCH(206,'Transfer Engine'!$C$2:$C$1369,0)))</f>
        <v/>
      </c>
      <c r="C215" s="8">
        <f>IF(ISNA(MATCH(206,'Transfer Engine'!$C$2:$C$1369,0)),"",INDEX('Compliance Database'!$C$2:$C$1369,MATCH(206,'Transfer Engine'!$C$2:$C$1369,0)))</f>
        <v/>
      </c>
      <c r="D215" s="9">
        <f>IF(ISNA(MATCH(206,'Transfer Engine'!$C$2:$C$1369,0)),"",INDEX('Compliance Database'!$D$2:$D$1369,MATCH(206,'Transfer Engine'!$C$2:$C$1369,0)))</f>
        <v/>
      </c>
      <c r="E215" s="8">
        <f>IF(ISNA(MATCH(206,'Transfer Engine'!$C$2:$C$1369,0)),"",INDEX('Compliance Database'!$E$2:$E$1369,MATCH(206,'Transfer Engine'!$C$2:$C$1369,0)))</f>
        <v/>
      </c>
      <c r="F215" s="8">
        <f>IF(ISNA(MATCH(206,'Transfer Engine'!$C$2:$C$1369,0)),"",INDEX('Compliance Database'!$F$2:$F$1369,MATCH(206,'Transfer Engine'!$C$2:$C$1369,0)))</f>
        <v/>
      </c>
      <c r="G215" s="8">
        <f>IF(ISNA(MATCH(206,'Transfer Engine'!$C$2:$C$1369,0)),"",INDEX('Compliance Database'!$G$2:$G$1369,MATCH(206,'Transfer Engine'!$C$2:$C$1369,0)))</f>
        <v/>
      </c>
      <c r="H215" s="9">
        <f>IF(ISNA(MATCH(206,'Transfer Engine'!$C$2:$C$1369,0)),"",INDEX('Compliance Database'!$H$2:$H$1369,MATCH(206,'Transfer Engine'!$C$2:$C$1369,0)))</f>
        <v/>
      </c>
      <c r="I215" s="9">
        <f>IF(ISNA(MATCH(206,'Transfer Engine'!$C$2:$C$1369,0)),"",INDEX('Compliance Database'!$I$2:$I$1369,MATCH(206,'Transfer Engine'!$C$2:$C$1369,0)))</f>
        <v/>
      </c>
      <c r="J215" s="8">
        <f>IF(ISNA(MATCH(206,'Transfer Engine'!$C$2:$C$1369,0)),"",INDEX('Compliance Database'!$J$2:$J$1369,MATCH(206,'Transfer Engine'!$C$2:$C$1369,0)))</f>
        <v/>
      </c>
      <c r="K215" s="9">
        <f>IF(ISNA(MATCH(206,'Transfer Engine'!$C$2:$C$1369,0)),"",INDEX('Compliance Database'!$K$2:$K$1369,MATCH(206,'Transfer Engine'!$C$2:$C$1369,0)))</f>
        <v/>
      </c>
      <c r="L215" s="9">
        <f>IF(ISNA(MATCH(206,'Transfer Engine'!$C$2:$C$1369,0)),"",INDEX('Compliance Database'!$L$2:$L$1369,MATCH(206,'Transfer Engine'!$C$2:$C$1369,0)))</f>
        <v/>
      </c>
      <c r="M215" s="9">
        <f>IF(ISNA(MATCH(206,'Transfer Engine'!$C$2:$C$1369,0)),"",INDEX('Compliance Database'!$M$2:$M$1369,MATCH(206,'Transfer Engine'!$C$2:$C$1369,0)))</f>
        <v/>
      </c>
      <c r="N215" s="9">
        <f>IF(ISNA(MATCH(206,'Transfer Engine'!$C$2:$C$1369,0)),"",INDEX('Compliance Database'!$N$2:$N$1369,MATCH(206,'Transfer Engine'!$C$2:$C$1369,0)))</f>
        <v/>
      </c>
      <c r="O215" s="8">
        <f>IF(ISNA(MATCH(206,'Transfer Engine'!$C$2:$C$1369,0)),"",HYPERLINK(INDEX('Compliance Database'!$O$2:$O$1369,MATCH(206,'Transfer Engine'!$C$2:$C$1369,0)),"Open PDF"))</f>
        <v/>
      </c>
    </row>
    <row r="216" ht="188" customHeight="1">
      <c r="A216" s="8">
        <f>IF(ISNA(MATCH(207,'Transfer Engine'!$C$2:$C$1369,0)),"",INDEX('Compliance Database'!$A$2:$A$1369,MATCH(207,'Transfer Engine'!$C$2:$C$1369,0)))</f>
        <v/>
      </c>
      <c r="B216" s="8">
        <f>IF(ISNA(MATCH(207,'Transfer Engine'!$C$2:$C$1369,0)),"",INDEX('Compliance Database'!$B$2:$B$1369,MATCH(207,'Transfer Engine'!$C$2:$C$1369,0)))</f>
        <v/>
      </c>
      <c r="C216" s="8">
        <f>IF(ISNA(MATCH(207,'Transfer Engine'!$C$2:$C$1369,0)),"",INDEX('Compliance Database'!$C$2:$C$1369,MATCH(207,'Transfer Engine'!$C$2:$C$1369,0)))</f>
        <v/>
      </c>
      <c r="D216" s="9">
        <f>IF(ISNA(MATCH(207,'Transfer Engine'!$C$2:$C$1369,0)),"",INDEX('Compliance Database'!$D$2:$D$1369,MATCH(207,'Transfer Engine'!$C$2:$C$1369,0)))</f>
        <v/>
      </c>
      <c r="E216" s="8">
        <f>IF(ISNA(MATCH(207,'Transfer Engine'!$C$2:$C$1369,0)),"",INDEX('Compliance Database'!$E$2:$E$1369,MATCH(207,'Transfer Engine'!$C$2:$C$1369,0)))</f>
        <v/>
      </c>
      <c r="F216" s="8">
        <f>IF(ISNA(MATCH(207,'Transfer Engine'!$C$2:$C$1369,0)),"",INDEX('Compliance Database'!$F$2:$F$1369,MATCH(207,'Transfer Engine'!$C$2:$C$1369,0)))</f>
        <v/>
      </c>
      <c r="G216" s="8">
        <f>IF(ISNA(MATCH(207,'Transfer Engine'!$C$2:$C$1369,0)),"",INDEX('Compliance Database'!$G$2:$G$1369,MATCH(207,'Transfer Engine'!$C$2:$C$1369,0)))</f>
        <v/>
      </c>
      <c r="H216" s="9">
        <f>IF(ISNA(MATCH(207,'Transfer Engine'!$C$2:$C$1369,0)),"",INDEX('Compliance Database'!$H$2:$H$1369,MATCH(207,'Transfer Engine'!$C$2:$C$1369,0)))</f>
        <v/>
      </c>
      <c r="I216" s="9">
        <f>IF(ISNA(MATCH(207,'Transfer Engine'!$C$2:$C$1369,0)),"",INDEX('Compliance Database'!$I$2:$I$1369,MATCH(207,'Transfer Engine'!$C$2:$C$1369,0)))</f>
        <v/>
      </c>
      <c r="J216" s="8">
        <f>IF(ISNA(MATCH(207,'Transfer Engine'!$C$2:$C$1369,0)),"",INDEX('Compliance Database'!$J$2:$J$1369,MATCH(207,'Transfer Engine'!$C$2:$C$1369,0)))</f>
        <v/>
      </c>
      <c r="K216" s="9">
        <f>IF(ISNA(MATCH(207,'Transfer Engine'!$C$2:$C$1369,0)),"",INDEX('Compliance Database'!$K$2:$K$1369,MATCH(207,'Transfer Engine'!$C$2:$C$1369,0)))</f>
        <v/>
      </c>
      <c r="L216" s="9">
        <f>IF(ISNA(MATCH(207,'Transfer Engine'!$C$2:$C$1369,0)),"",INDEX('Compliance Database'!$L$2:$L$1369,MATCH(207,'Transfer Engine'!$C$2:$C$1369,0)))</f>
        <v/>
      </c>
      <c r="M216" s="9">
        <f>IF(ISNA(MATCH(207,'Transfer Engine'!$C$2:$C$1369,0)),"",INDEX('Compliance Database'!$M$2:$M$1369,MATCH(207,'Transfer Engine'!$C$2:$C$1369,0)))</f>
        <v/>
      </c>
      <c r="N216" s="9">
        <f>IF(ISNA(MATCH(207,'Transfer Engine'!$C$2:$C$1369,0)),"",INDEX('Compliance Database'!$N$2:$N$1369,MATCH(207,'Transfer Engine'!$C$2:$C$1369,0)))</f>
        <v/>
      </c>
      <c r="O216" s="8">
        <f>IF(ISNA(MATCH(207,'Transfer Engine'!$C$2:$C$1369,0)),"",HYPERLINK(INDEX('Compliance Database'!$O$2:$O$1369,MATCH(207,'Transfer Engine'!$C$2:$C$1369,0)),"Open PDF"))</f>
        <v/>
      </c>
    </row>
    <row r="217" ht="188" customHeight="1">
      <c r="A217" s="8">
        <f>IF(ISNA(MATCH(208,'Transfer Engine'!$C$2:$C$1369,0)),"",INDEX('Compliance Database'!$A$2:$A$1369,MATCH(208,'Transfer Engine'!$C$2:$C$1369,0)))</f>
        <v/>
      </c>
      <c r="B217" s="8">
        <f>IF(ISNA(MATCH(208,'Transfer Engine'!$C$2:$C$1369,0)),"",INDEX('Compliance Database'!$B$2:$B$1369,MATCH(208,'Transfer Engine'!$C$2:$C$1369,0)))</f>
        <v/>
      </c>
      <c r="C217" s="8">
        <f>IF(ISNA(MATCH(208,'Transfer Engine'!$C$2:$C$1369,0)),"",INDEX('Compliance Database'!$C$2:$C$1369,MATCH(208,'Transfer Engine'!$C$2:$C$1369,0)))</f>
        <v/>
      </c>
      <c r="D217" s="9">
        <f>IF(ISNA(MATCH(208,'Transfer Engine'!$C$2:$C$1369,0)),"",INDEX('Compliance Database'!$D$2:$D$1369,MATCH(208,'Transfer Engine'!$C$2:$C$1369,0)))</f>
        <v/>
      </c>
      <c r="E217" s="8">
        <f>IF(ISNA(MATCH(208,'Transfer Engine'!$C$2:$C$1369,0)),"",INDEX('Compliance Database'!$E$2:$E$1369,MATCH(208,'Transfer Engine'!$C$2:$C$1369,0)))</f>
        <v/>
      </c>
      <c r="F217" s="8">
        <f>IF(ISNA(MATCH(208,'Transfer Engine'!$C$2:$C$1369,0)),"",INDEX('Compliance Database'!$F$2:$F$1369,MATCH(208,'Transfer Engine'!$C$2:$C$1369,0)))</f>
        <v/>
      </c>
      <c r="G217" s="8">
        <f>IF(ISNA(MATCH(208,'Transfer Engine'!$C$2:$C$1369,0)),"",INDEX('Compliance Database'!$G$2:$G$1369,MATCH(208,'Transfer Engine'!$C$2:$C$1369,0)))</f>
        <v/>
      </c>
      <c r="H217" s="9">
        <f>IF(ISNA(MATCH(208,'Transfer Engine'!$C$2:$C$1369,0)),"",INDEX('Compliance Database'!$H$2:$H$1369,MATCH(208,'Transfer Engine'!$C$2:$C$1369,0)))</f>
        <v/>
      </c>
      <c r="I217" s="9">
        <f>IF(ISNA(MATCH(208,'Transfer Engine'!$C$2:$C$1369,0)),"",INDEX('Compliance Database'!$I$2:$I$1369,MATCH(208,'Transfer Engine'!$C$2:$C$1369,0)))</f>
        <v/>
      </c>
      <c r="J217" s="8">
        <f>IF(ISNA(MATCH(208,'Transfer Engine'!$C$2:$C$1369,0)),"",INDEX('Compliance Database'!$J$2:$J$1369,MATCH(208,'Transfer Engine'!$C$2:$C$1369,0)))</f>
        <v/>
      </c>
      <c r="K217" s="9">
        <f>IF(ISNA(MATCH(208,'Transfer Engine'!$C$2:$C$1369,0)),"",INDEX('Compliance Database'!$K$2:$K$1369,MATCH(208,'Transfer Engine'!$C$2:$C$1369,0)))</f>
        <v/>
      </c>
      <c r="L217" s="9">
        <f>IF(ISNA(MATCH(208,'Transfer Engine'!$C$2:$C$1369,0)),"",INDEX('Compliance Database'!$L$2:$L$1369,MATCH(208,'Transfer Engine'!$C$2:$C$1369,0)))</f>
        <v/>
      </c>
      <c r="M217" s="9">
        <f>IF(ISNA(MATCH(208,'Transfer Engine'!$C$2:$C$1369,0)),"",INDEX('Compliance Database'!$M$2:$M$1369,MATCH(208,'Transfer Engine'!$C$2:$C$1369,0)))</f>
        <v/>
      </c>
      <c r="N217" s="9">
        <f>IF(ISNA(MATCH(208,'Transfer Engine'!$C$2:$C$1369,0)),"",INDEX('Compliance Database'!$N$2:$N$1369,MATCH(208,'Transfer Engine'!$C$2:$C$1369,0)))</f>
        <v/>
      </c>
      <c r="O217" s="8">
        <f>IF(ISNA(MATCH(208,'Transfer Engine'!$C$2:$C$1369,0)),"",HYPERLINK(INDEX('Compliance Database'!$O$2:$O$1369,MATCH(208,'Transfer Engine'!$C$2:$C$1369,0)),"Open PDF"))</f>
        <v/>
      </c>
    </row>
    <row r="218" ht="188" customHeight="1">
      <c r="A218" s="8">
        <f>IF(ISNA(MATCH(209,'Transfer Engine'!$C$2:$C$1369,0)),"",INDEX('Compliance Database'!$A$2:$A$1369,MATCH(209,'Transfer Engine'!$C$2:$C$1369,0)))</f>
        <v/>
      </c>
      <c r="B218" s="8">
        <f>IF(ISNA(MATCH(209,'Transfer Engine'!$C$2:$C$1369,0)),"",INDEX('Compliance Database'!$B$2:$B$1369,MATCH(209,'Transfer Engine'!$C$2:$C$1369,0)))</f>
        <v/>
      </c>
      <c r="C218" s="8">
        <f>IF(ISNA(MATCH(209,'Transfer Engine'!$C$2:$C$1369,0)),"",INDEX('Compliance Database'!$C$2:$C$1369,MATCH(209,'Transfer Engine'!$C$2:$C$1369,0)))</f>
        <v/>
      </c>
      <c r="D218" s="9">
        <f>IF(ISNA(MATCH(209,'Transfer Engine'!$C$2:$C$1369,0)),"",INDEX('Compliance Database'!$D$2:$D$1369,MATCH(209,'Transfer Engine'!$C$2:$C$1369,0)))</f>
        <v/>
      </c>
      <c r="E218" s="8">
        <f>IF(ISNA(MATCH(209,'Transfer Engine'!$C$2:$C$1369,0)),"",INDEX('Compliance Database'!$E$2:$E$1369,MATCH(209,'Transfer Engine'!$C$2:$C$1369,0)))</f>
        <v/>
      </c>
      <c r="F218" s="8">
        <f>IF(ISNA(MATCH(209,'Transfer Engine'!$C$2:$C$1369,0)),"",INDEX('Compliance Database'!$F$2:$F$1369,MATCH(209,'Transfer Engine'!$C$2:$C$1369,0)))</f>
        <v/>
      </c>
      <c r="G218" s="8">
        <f>IF(ISNA(MATCH(209,'Transfer Engine'!$C$2:$C$1369,0)),"",INDEX('Compliance Database'!$G$2:$G$1369,MATCH(209,'Transfer Engine'!$C$2:$C$1369,0)))</f>
        <v/>
      </c>
      <c r="H218" s="9">
        <f>IF(ISNA(MATCH(209,'Transfer Engine'!$C$2:$C$1369,0)),"",INDEX('Compliance Database'!$H$2:$H$1369,MATCH(209,'Transfer Engine'!$C$2:$C$1369,0)))</f>
        <v/>
      </c>
      <c r="I218" s="9">
        <f>IF(ISNA(MATCH(209,'Transfer Engine'!$C$2:$C$1369,0)),"",INDEX('Compliance Database'!$I$2:$I$1369,MATCH(209,'Transfer Engine'!$C$2:$C$1369,0)))</f>
        <v/>
      </c>
      <c r="J218" s="8">
        <f>IF(ISNA(MATCH(209,'Transfer Engine'!$C$2:$C$1369,0)),"",INDEX('Compliance Database'!$J$2:$J$1369,MATCH(209,'Transfer Engine'!$C$2:$C$1369,0)))</f>
        <v/>
      </c>
      <c r="K218" s="9">
        <f>IF(ISNA(MATCH(209,'Transfer Engine'!$C$2:$C$1369,0)),"",INDEX('Compliance Database'!$K$2:$K$1369,MATCH(209,'Transfer Engine'!$C$2:$C$1369,0)))</f>
        <v/>
      </c>
      <c r="L218" s="9">
        <f>IF(ISNA(MATCH(209,'Transfer Engine'!$C$2:$C$1369,0)),"",INDEX('Compliance Database'!$L$2:$L$1369,MATCH(209,'Transfer Engine'!$C$2:$C$1369,0)))</f>
        <v/>
      </c>
      <c r="M218" s="9">
        <f>IF(ISNA(MATCH(209,'Transfer Engine'!$C$2:$C$1369,0)),"",INDEX('Compliance Database'!$M$2:$M$1369,MATCH(209,'Transfer Engine'!$C$2:$C$1369,0)))</f>
        <v/>
      </c>
      <c r="N218" s="9">
        <f>IF(ISNA(MATCH(209,'Transfer Engine'!$C$2:$C$1369,0)),"",INDEX('Compliance Database'!$N$2:$N$1369,MATCH(209,'Transfer Engine'!$C$2:$C$1369,0)))</f>
        <v/>
      </c>
      <c r="O218" s="8">
        <f>IF(ISNA(MATCH(209,'Transfer Engine'!$C$2:$C$1369,0)),"",HYPERLINK(INDEX('Compliance Database'!$O$2:$O$1369,MATCH(209,'Transfer Engine'!$C$2:$C$1369,0)),"Open PDF"))</f>
        <v/>
      </c>
    </row>
    <row r="219" ht="188" customHeight="1">
      <c r="A219" s="8">
        <f>IF(ISNA(MATCH(210,'Transfer Engine'!$C$2:$C$1369,0)),"",INDEX('Compliance Database'!$A$2:$A$1369,MATCH(210,'Transfer Engine'!$C$2:$C$1369,0)))</f>
        <v/>
      </c>
      <c r="B219" s="8">
        <f>IF(ISNA(MATCH(210,'Transfer Engine'!$C$2:$C$1369,0)),"",INDEX('Compliance Database'!$B$2:$B$1369,MATCH(210,'Transfer Engine'!$C$2:$C$1369,0)))</f>
        <v/>
      </c>
      <c r="C219" s="8">
        <f>IF(ISNA(MATCH(210,'Transfer Engine'!$C$2:$C$1369,0)),"",INDEX('Compliance Database'!$C$2:$C$1369,MATCH(210,'Transfer Engine'!$C$2:$C$1369,0)))</f>
        <v/>
      </c>
      <c r="D219" s="9">
        <f>IF(ISNA(MATCH(210,'Transfer Engine'!$C$2:$C$1369,0)),"",INDEX('Compliance Database'!$D$2:$D$1369,MATCH(210,'Transfer Engine'!$C$2:$C$1369,0)))</f>
        <v/>
      </c>
      <c r="E219" s="8">
        <f>IF(ISNA(MATCH(210,'Transfer Engine'!$C$2:$C$1369,0)),"",INDEX('Compliance Database'!$E$2:$E$1369,MATCH(210,'Transfer Engine'!$C$2:$C$1369,0)))</f>
        <v/>
      </c>
      <c r="F219" s="8">
        <f>IF(ISNA(MATCH(210,'Transfer Engine'!$C$2:$C$1369,0)),"",INDEX('Compliance Database'!$F$2:$F$1369,MATCH(210,'Transfer Engine'!$C$2:$C$1369,0)))</f>
        <v/>
      </c>
      <c r="G219" s="8">
        <f>IF(ISNA(MATCH(210,'Transfer Engine'!$C$2:$C$1369,0)),"",INDEX('Compliance Database'!$G$2:$G$1369,MATCH(210,'Transfer Engine'!$C$2:$C$1369,0)))</f>
        <v/>
      </c>
      <c r="H219" s="9">
        <f>IF(ISNA(MATCH(210,'Transfer Engine'!$C$2:$C$1369,0)),"",INDEX('Compliance Database'!$H$2:$H$1369,MATCH(210,'Transfer Engine'!$C$2:$C$1369,0)))</f>
        <v/>
      </c>
      <c r="I219" s="9">
        <f>IF(ISNA(MATCH(210,'Transfer Engine'!$C$2:$C$1369,0)),"",INDEX('Compliance Database'!$I$2:$I$1369,MATCH(210,'Transfer Engine'!$C$2:$C$1369,0)))</f>
        <v/>
      </c>
      <c r="J219" s="8">
        <f>IF(ISNA(MATCH(210,'Transfer Engine'!$C$2:$C$1369,0)),"",INDEX('Compliance Database'!$J$2:$J$1369,MATCH(210,'Transfer Engine'!$C$2:$C$1369,0)))</f>
        <v/>
      </c>
      <c r="K219" s="9">
        <f>IF(ISNA(MATCH(210,'Transfer Engine'!$C$2:$C$1369,0)),"",INDEX('Compliance Database'!$K$2:$K$1369,MATCH(210,'Transfer Engine'!$C$2:$C$1369,0)))</f>
        <v/>
      </c>
      <c r="L219" s="9">
        <f>IF(ISNA(MATCH(210,'Transfer Engine'!$C$2:$C$1369,0)),"",INDEX('Compliance Database'!$L$2:$L$1369,MATCH(210,'Transfer Engine'!$C$2:$C$1369,0)))</f>
        <v/>
      </c>
      <c r="M219" s="9">
        <f>IF(ISNA(MATCH(210,'Transfer Engine'!$C$2:$C$1369,0)),"",INDEX('Compliance Database'!$M$2:$M$1369,MATCH(210,'Transfer Engine'!$C$2:$C$1369,0)))</f>
        <v/>
      </c>
      <c r="N219" s="9">
        <f>IF(ISNA(MATCH(210,'Transfer Engine'!$C$2:$C$1369,0)),"",INDEX('Compliance Database'!$N$2:$N$1369,MATCH(210,'Transfer Engine'!$C$2:$C$1369,0)))</f>
        <v/>
      </c>
      <c r="O219" s="8">
        <f>IF(ISNA(MATCH(210,'Transfer Engine'!$C$2:$C$1369,0)),"",HYPERLINK(INDEX('Compliance Database'!$O$2:$O$1369,MATCH(210,'Transfer Engine'!$C$2:$C$1369,0)),"Open PDF"))</f>
        <v/>
      </c>
    </row>
    <row r="220" ht="188" customHeight="1">
      <c r="A220" s="8">
        <f>IF(ISNA(MATCH(211,'Transfer Engine'!$C$2:$C$1369,0)),"",INDEX('Compliance Database'!$A$2:$A$1369,MATCH(211,'Transfer Engine'!$C$2:$C$1369,0)))</f>
        <v/>
      </c>
      <c r="B220" s="8">
        <f>IF(ISNA(MATCH(211,'Transfer Engine'!$C$2:$C$1369,0)),"",INDEX('Compliance Database'!$B$2:$B$1369,MATCH(211,'Transfer Engine'!$C$2:$C$1369,0)))</f>
        <v/>
      </c>
      <c r="C220" s="8">
        <f>IF(ISNA(MATCH(211,'Transfer Engine'!$C$2:$C$1369,0)),"",INDEX('Compliance Database'!$C$2:$C$1369,MATCH(211,'Transfer Engine'!$C$2:$C$1369,0)))</f>
        <v/>
      </c>
      <c r="D220" s="9">
        <f>IF(ISNA(MATCH(211,'Transfer Engine'!$C$2:$C$1369,0)),"",INDEX('Compliance Database'!$D$2:$D$1369,MATCH(211,'Transfer Engine'!$C$2:$C$1369,0)))</f>
        <v/>
      </c>
      <c r="E220" s="8">
        <f>IF(ISNA(MATCH(211,'Transfer Engine'!$C$2:$C$1369,0)),"",INDEX('Compliance Database'!$E$2:$E$1369,MATCH(211,'Transfer Engine'!$C$2:$C$1369,0)))</f>
        <v/>
      </c>
      <c r="F220" s="8">
        <f>IF(ISNA(MATCH(211,'Transfer Engine'!$C$2:$C$1369,0)),"",INDEX('Compliance Database'!$F$2:$F$1369,MATCH(211,'Transfer Engine'!$C$2:$C$1369,0)))</f>
        <v/>
      </c>
      <c r="G220" s="8">
        <f>IF(ISNA(MATCH(211,'Transfer Engine'!$C$2:$C$1369,0)),"",INDEX('Compliance Database'!$G$2:$G$1369,MATCH(211,'Transfer Engine'!$C$2:$C$1369,0)))</f>
        <v/>
      </c>
      <c r="H220" s="9">
        <f>IF(ISNA(MATCH(211,'Transfer Engine'!$C$2:$C$1369,0)),"",INDEX('Compliance Database'!$H$2:$H$1369,MATCH(211,'Transfer Engine'!$C$2:$C$1369,0)))</f>
        <v/>
      </c>
      <c r="I220" s="9">
        <f>IF(ISNA(MATCH(211,'Transfer Engine'!$C$2:$C$1369,0)),"",INDEX('Compliance Database'!$I$2:$I$1369,MATCH(211,'Transfer Engine'!$C$2:$C$1369,0)))</f>
        <v/>
      </c>
      <c r="J220" s="8">
        <f>IF(ISNA(MATCH(211,'Transfer Engine'!$C$2:$C$1369,0)),"",INDEX('Compliance Database'!$J$2:$J$1369,MATCH(211,'Transfer Engine'!$C$2:$C$1369,0)))</f>
        <v/>
      </c>
      <c r="K220" s="9">
        <f>IF(ISNA(MATCH(211,'Transfer Engine'!$C$2:$C$1369,0)),"",INDEX('Compliance Database'!$K$2:$K$1369,MATCH(211,'Transfer Engine'!$C$2:$C$1369,0)))</f>
        <v/>
      </c>
      <c r="L220" s="9">
        <f>IF(ISNA(MATCH(211,'Transfer Engine'!$C$2:$C$1369,0)),"",INDEX('Compliance Database'!$L$2:$L$1369,MATCH(211,'Transfer Engine'!$C$2:$C$1369,0)))</f>
        <v/>
      </c>
      <c r="M220" s="9">
        <f>IF(ISNA(MATCH(211,'Transfer Engine'!$C$2:$C$1369,0)),"",INDEX('Compliance Database'!$M$2:$M$1369,MATCH(211,'Transfer Engine'!$C$2:$C$1369,0)))</f>
        <v/>
      </c>
      <c r="N220" s="9">
        <f>IF(ISNA(MATCH(211,'Transfer Engine'!$C$2:$C$1369,0)),"",INDEX('Compliance Database'!$N$2:$N$1369,MATCH(211,'Transfer Engine'!$C$2:$C$1369,0)))</f>
        <v/>
      </c>
      <c r="O220" s="8">
        <f>IF(ISNA(MATCH(211,'Transfer Engine'!$C$2:$C$1369,0)),"",HYPERLINK(INDEX('Compliance Database'!$O$2:$O$1369,MATCH(211,'Transfer Engine'!$C$2:$C$1369,0)),"Open PDF"))</f>
        <v/>
      </c>
    </row>
    <row r="221" ht="188" customHeight="1">
      <c r="A221" s="8">
        <f>IF(ISNA(MATCH(212,'Transfer Engine'!$C$2:$C$1369,0)),"",INDEX('Compliance Database'!$A$2:$A$1369,MATCH(212,'Transfer Engine'!$C$2:$C$1369,0)))</f>
        <v/>
      </c>
      <c r="B221" s="8">
        <f>IF(ISNA(MATCH(212,'Transfer Engine'!$C$2:$C$1369,0)),"",INDEX('Compliance Database'!$B$2:$B$1369,MATCH(212,'Transfer Engine'!$C$2:$C$1369,0)))</f>
        <v/>
      </c>
      <c r="C221" s="8">
        <f>IF(ISNA(MATCH(212,'Transfer Engine'!$C$2:$C$1369,0)),"",INDEX('Compliance Database'!$C$2:$C$1369,MATCH(212,'Transfer Engine'!$C$2:$C$1369,0)))</f>
        <v/>
      </c>
      <c r="D221" s="9">
        <f>IF(ISNA(MATCH(212,'Transfer Engine'!$C$2:$C$1369,0)),"",INDEX('Compliance Database'!$D$2:$D$1369,MATCH(212,'Transfer Engine'!$C$2:$C$1369,0)))</f>
        <v/>
      </c>
      <c r="E221" s="8">
        <f>IF(ISNA(MATCH(212,'Transfer Engine'!$C$2:$C$1369,0)),"",INDEX('Compliance Database'!$E$2:$E$1369,MATCH(212,'Transfer Engine'!$C$2:$C$1369,0)))</f>
        <v/>
      </c>
      <c r="F221" s="8">
        <f>IF(ISNA(MATCH(212,'Transfer Engine'!$C$2:$C$1369,0)),"",INDEX('Compliance Database'!$F$2:$F$1369,MATCH(212,'Transfer Engine'!$C$2:$C$1369,0)))</f>
        <v/>
      </c>
      <c r="G221" s="8">
        <f>IF(ISNA(MATCH(212,'Transfer Engine'!$C$2:$C$1369,0)),"",INDEX('Compliance Database'!$G$2:$G$1369,MATCH(212,'Transfer Engine'!$C$2:$C$1369,0)))</f>
        <v/>
      </c>
      <c r="H221" s="9">
        <f>IF(ISNA(MATCH(212,'Transfer Engine'!$C$2:$C$1369,0)),"",INDEX('Compliance Database'!$H$2:$H$1369,MATCH(212,'Transfer Engine'!$C$2:$C$1369,0)))</f>
        <v/>
      </c>
      <c r="I221" s="9">
        <f>IF(ISNA(MATCH(212,'Transfer Engine'!$C$2:$C$1369,0)),"",INDEX('Compliance Database'!$I$2:$I$1369,MATCH(212,'Transfer Engine'!$C$2:$C$1369,0)))</f>
        <v/>
      </c>
      <c r="J221" s="8">
        <f>IF(ISNA(MATCH(212,'Transfer Engine'!$C$2:$C$1369,0)),"",INDEX('Compliance Database'!$J$2:$J$1369,MATCH(212,'Transfer Engine'!$C$2:$C$1369,0)))</f>
        <v/>
      </c>
      <c r="K221" s="9">
        <f>IF(ISNA(MATCH(212,'Transfer Engine'!$C$2:$C$1369,0)),"",INDEX('Compliance Database'!$K$2:$K$1369,MATCH(212,'Transfer Engine'!$C$2:$C$1369,0)))</f>
        <v/>
      </c>
      <c r="L221" s="9">
        <f>IF(ISNA(MATCH(212,'Transfer Engine'!$C$2:$C$1369,0)),"",INDEX('Compliance Database'!$L$2:$L$1369,MATCH(212,'Transfer Engine'!$C$2:$C$1369,0)))</f>
        <v/>
      </c>
      <c r="M221" s="9">
        <f>IF(ISNA(MATCH(212,'Transfer Engine'!$C$2:$C$1369,0)),"",INDEX('Compliance Database'!$M$2:$M$1369,MATCH(212,'Transfer Engine'!$C$2:$C$1369,0)))</f>
        <v/>
      </c>
      <c r="N221" s="9">
        <f>IF(ISNA(MATCH(212,'Transfer Engine'!$C$2:$C$1369,0)),"",INDEX('Compliance Database'!$N$2:$N$1369,MATCH(212,'Transfer Engine'!$C$2:$C$1369,0)))</f>
        <v/>
      </c>
      <c r="O221" s="8">
        <f>IF(ISNA(MATCH(212,'Transfer Engine'!$C$2:$C$1369,0)),"",HYPERLINK(INDEX('Compliance Database'!$O$2:$O$1369,MATCH(212,'Transfer Engine'!$C$2:$C$1369,0)),"Open PDF"))</f>
        <v/>
      </c>
    </row>
    <row r="222" ht="188" customHeight="1">
      <c r="A222" s="8">
        <f>IF(ISNA(MATCH(213,'Transfer Engine'!$C$2:$C$1369,0)),"",INDEX('Compliance Database'!$A$2:$A$1369,MATCH(213,'Transfer Engine'!$C$2:$C$1369,0)))</f>
        <v/>
      </c>
      <c r="B222" s="8">
        <f>IF(ISNA(MATCH(213,'Transfer Engine'!$C$2:$C$1369,0)),"",INDEX('Compliance Database'!$B$2:$B$1369,MATCH(213,'Transfer Engine'!$C$2:$C$1369,0)))</f>
        <v/>
      </c>
      <c r="C222" s="8">
        <f>IF(ISNA(MATCH(213,'Transfer Engine'!$C$2:$C$1369,0)),"",INDEX('Compliance Database'!$C$2:$C$1369,MATCH(213,'Transfer Engine'!$C$2:$C$1369,0)))</f>
        <v/>
      </c>
      <c r="D222" s="9">
        <f>IF(ISNA(MATCH(213,'Transfer Engine'!$C$2:$C$1369,0)),"",INDEX('Compliance Database'!$D$2:$D$1369,MATCH(213,'Transfer Engine'!$C$2:$C$1369,0)))</f>
        <v/>
      </c>
      <c r="E222" s="8">
        <f>IF(ISNA(MATCH(213,'Transfer Engine'!$C$2:$C$1369,0)),"",INDEX('Compliance Database'!$E$2:$E$1369,MATCH(213,'Transfer Engine'!$C$2:$C$1369,0)))</f>
        <v/>
      </c>
      <c r="F222" s="8">
        <f>IF(ISNA(MATCH(213,'Transfer Engine'!$C$2:$C$1369,0)),"",INDEX('Compliance Database'!$F$2:$F$1369,MATCH(213,'Transfer Engine'!$C$2:$C$1369,0)))</f>
        <v/>
      </c>
      <c r="G222" s="8">
        <f>IF(ISNA(MATCH(213,'Transfer Engine'!$C$2:$C$1369,0)),"",INDEX('Compliance Database'!$G$2:$G$1369,MATCH(213,'Transfer Engine'!$C$2:$C$1369,0)))</f>
        <v/>
      </c>
      <c r="H222" s="9">
        <f>IF(ISNA(MATCH(213,'Transfer Engine'!$C$2:$C$1369,0)),"",INDEX('Compliance Database'!$H$2:$H$1369,MATCH(213,'Transfer Engine'!$C$2:$C$1369,0)))</f>
        <v/>
      </c>
      <c r="I222" s="9">
        <f>IF(ISNA(MATCH(213,'Transfer Engine'!$C$2:$C$1369,0)),"",INDEX('Compliance Database'!$I$2:$I$1369,MATCH(213,'Transfer Engine'!$C$2:$C$1369,0)))</f>
        <v/>
      </c>
      <c r="J222" s="8">
        <f>IF(ISNA(MATCH(213,'Transfer Engine'!$C$2:$C$1369,0)),"",INDEX('Compliance Database'!$J$2:$J$1369,MATCH(213,'Transfer Engine'!$C$2:$C$1369,0)))</f>
        <v/>
      </c>
      <c r="K222" s="9">
        <f>IF(ISNA(MATCH(213,'Transfer Engine'!$C$2:$C$1369,0)),"",INDEX('Compliance Database'!$K$2:$K$1369,MATCH(213,'Transfer Engine'!$C$2:$C$1369,0)))</f>
        <v/>
      </c>
      <c r="L222" s="9">
        <f>IF(ISNA(MATCH(213,'Transfer Engine'!$C$2:$C$1369,0)),"",INDEX('Compliance Database'!$L$2:$L$1369,MATCH(213,'Transfer Engine'!$C$2:$C$1369,0)))</f>
        <v/>
      </c>
      <c r="M222" s="9">
        <f>IF(ISNA(MATCH(213,'Transfer Engine'!$C$2:$C$1369,0)),"",INDEX('Compliance Database'!$M$2:$M$1369,MATCH(213,'Transfer Engine'!$C$2:$C$1369,0)))</f>
        <v/>
      </c>
      <c r="N222" s="9">
        <f>IF(ISNA(MATCH(213,'Transfer Engine'!$C$2:$C$1369,0)),"",INDEX('Compliance Database'!$N$2:$N$1369,MATCH(213,'Transfer Engine'!$C$2:$C$1369,0)))</f>
        <v/>
      </c>
      <c r="O222" s="8">
        <f>IF(ISNA(MATCH(213,'Transfer Engine'!$C$2:$C$1369,0)),"",HYPERLINK(INDEX('Compliance Database'!$O$2:$O$1369,MATCH(213,'Transfer Engine'!$C$2:$C$1369,0)),"Open PDF"))</f>
        <v/>
      </c>
    </row>
    <row r="223" ht="188" customHeight="1">
      <c r="A223" s="8">
        <f>IF(ISNA(MATCH(214,'Transfer Engine'!$C$2:$C$1369,0)),"",INDEX('Compliance Database'!$A$2:$A$1369,MATCH(214,'Transfer Engine'!$C$2:$C$1369,0)))</f>
        <v/>
      </c>
      <c r="B223" s="8">
        <f>IF(ISNA(MATCH(214,'Transfer Engine'!$C$2:$C$1369,0)),"",INDEX('Compliance Database'!$B$2:$B$1369,MATCH(214,'Transfer Engine'!$C$2:$C$1369,0)))</f>
        <v/>
      </c>
      <c r="C223" s="8">
        <f>IF(ISNA(MATCH(214,'Transfer Engine'!$C$2:$C$1369,0)),"",INDEX('Compliance Database'!$C$2:$C$1369,MATCH(214,'Transfer Engine'!$C$2:$C$1369,0)))</f>
        <v/>
      </c>
      <c r="D223" s="9">
        <f>IF(ISNA(MATCH(214,'Transfer Engine'!$C$2:$C$1369,0)),"",INDEX('Compliance Database'!$D$2:$D$1369,MATCH(214,'Transfer Engine'!$C$2:$C$1369,0)))</f>
        <v/>
      </c>
      <c r="E223" s="8">
        <f>IF(ISNA(MATCH(214,'Transfer Engine'!$C$2:$C$1369,0)),"",INDEX('Compliance Database'!$E$2:$E$1369,MATCH(214,'Transfer Engine'!$C$2:$C$1369,0)))</f>
        <v/>
      </c>
      <c r="F223" s="8">
        <f>IF(ISNA(MATCH(214,'Transfer Engine'!$C$2:$C$1369,0)),"",INDEX('Compliance Database'!$F$2:$F$1369,MATCH(214,'Transfer Engine'!$C$2:$C$1369,0)))</f>
        <v/>
      </c>
      <c r="G223" s="8">
        <f>IF(ISNA(MATCH(214,'Transfer Engine'!$C$2:$C$1369,0)),"",INDEX('Compliance Database'!$G$2:$G$1369,MATCH(214,'Transfer Engine'!$C$2:$C$1369,0)))</f>
        <v/>
      </c>
      <c r="H223" s="9">
        <f>IF(ISNA(MATCH(214,'Transfer Engine'!$C$2:$C$1369,0)),"",INDEX('Compliance Database'!$H$2:$H$1369,MATCH(214,'Transfer Engine'!$C$2:$C$1369,0)))</f>
        <v/>
      </c>
      <c r="I223" s="9">
        <f>IF(ISNA(MATCH(214,'Transfer Engine'!$C$2:$C$1369,0)),"",INDEX('Compliance Database'!$I$2:$I$1369,MATCH(214,'Transfer Engine'!$C$2:$C$1369,0)))</f>
        <v/>
      </c>
      <c r="J223" s="8">
        <f>IF(ISNA(MATCH(214,'Transfer Engine'!$C$2:$C$1369,0)),"",INDEX('Compliance Database'!$J$2:$J$1369,MATCH(214,'Transfer Engine'!$C$2:$C$1369,0)))</f>
        <v/>
      </c>
      <c r="K223" s="9">
        <f>IF(ISNA(MATCH(214,'Transfer Engine'!$C$2:$C$1369,0)),"",INDEX('Compliance Database'!$K$2:$K$1369,MATCH(214,'Transfer Engine'!$C$2:$C$1369,0)))</f>
        <v/>
      </c>
      <c r="L223" s="9">
        <f>IF(ISNA(MATCH(214,'Transfer Engine'!$C$2:$C$1369,0)),"",INDEX('Compliance Database'!$L$2:$L$1369,MATCH(214,'Transfer Engine'!$C$2:$C$1369,0)))</f>
        <v/>
      </c>
      <c r="M223" s="9">
        <f>IF(ISNA(MATCH(214,'Transfer Engine'!$C$2:$C$1369,0)),"",INDEX('Compliance Database'!$M$2:$M$1369,MATCH(214,'Transfer Engine'!$C$2:$C$1369,0)))</f>
        <v/>
      </c>
      <c r="N223" s="9">
        <f>IF(ISNA(MATCH(214,'Transfer Engine'!$C$2:$C$1369,0)),"",INDEX('Compliance Database'!$N$2:$N$1369,MATCH(214,'Transfer Engine'!$C$2:$C$1369,0)))</f>
        <v/>
      </c>
      <c r="O223" s="8">
        <f>IF(ISNA(MATCH(214,'Transfer Engine'!$C$2:$C$1369,0)),"",HYPERLINK(INDEX('Compliance Database'!$O$2:$O$1369,MATCH(214,'Transfer Engine'!$C$2:$C$1369,0)),"Open PDF"))</f>
        <v/>
      </c>
    </row>
    <row r="224" ht="188" customHeight="1">
      <c r="A224" s="8">
        <f>IF(ISNA(MATCH(215,'Transfer Engine'!$C$2:$C$1369,0)),"",INDEX('Compliance Database'!$A$2:$A$1369,MATCH(215,'Transfer Engine'!$C$2:$C$1369,0)))</f>
        <v/>
      </c>
      <c r="B224" s="8">
        <f>IF(ISNA(MATCH(215,'Transfer Engine'!$C$2:$C$1369,0)),"",INDEX('Compliance Database'!$B$2:$B$1369,MATCH(215,'Transfer Engine'!$C$2:$C$1369,0)))</f>
        <v/>
      </c>
      <c r="C224" s="8">
        <f>IF(ISNA(MATCH(215,'Transfer Engine'!$C$2:$C$1369,0)),"",INDEX('Compliance Database'!$C$2:$C$1369,MATCH(215,'Transfer Engine'!$C$2:$C$1369,0)))</f>
        <v/>
      </c>
      <c r="D224" s="9">
        <f>IF(ISNA(MATCH(215,'Transfer Engine'!$C$2:$C$1369,0)),"",INDEX('Compliance Database'!$D$2:$D$1369,MATCH(215,'Transfer Engine'!$C$2:$C$1369,0)))</f>
        <v/>
      </c>
      <c r="E224" s="8">
        <f>IF(ISNA(MATCH(215,'Transfer Engine'!$C$2:$C$1369,0)),"",INDEX('Compliance Database'!$E$2:$E$1369,MATCH(215,'Transfer Engine'!$C$2:$C$1369,0)))</f>
        <v/>
      </c>
      <c r="F224" s="8">
        <f>IF(ISNA(MATCH(215,'Transfer Engine'!$C$2:$C$1369,0)),"",INDEX('Compliance Database'!$F$2:$F$1369,MATCH(215,'Transfer Engine'!$C$2:$C$1369,0)))</f>
        <v/>
      </c>
      <c r="G224" s="8">
        <f>IF(ISNA(MATCH(215,'Transfer Engine'!$C$2:$C$1369,0)),"",INDEX('Compliance Database'!$G$2:$G$1369,MATCH(215,'Transfer Engine'!$C$2:$C$1369,0)))</f>
        <v/>
      </c>
      <c r="H224" s="9">
        <f>IF(ISNA(MATCH(215,'Transfer Engine'!$C$2:$C$1369,0)),"",INDEX('Compliance Database'!$H$2:$H$1369,MATCH(215,'Transfer Engine'!$C$2:$C$1369,0)))</f>
        <v/>
      </c>
      <c r="I224" s="9">
        <f>IF(ISNA(MATCH(215,'Transfer Engine'!$C$2:$C$1369,0)),"",INDEX('Compliance Database'!$I$2:$I$1369,MATCH(215,'Transfer Engine'!$C$2:$C$1369,0)))</f>
        <v/>
      </c>
      <c r="J224" s="8">
        <f>IF(ISNA(MATCH(215,'Transfer Engine'!$C$2:$C$1369,0)),"",INDEX('Compliance Database'!$J$2:$J$1369,MATCH(215,'Transfer Engine'!$C$2:$C$1369,0)))</f>
        <v/>
      </c>
      <c r="K224" s="9">
        <f>IF(ISNA(MATCH(215,'Transfer Engine'!$C$2:$C$1369,0)),"",INDEX('Compliance Database'!$K$2:$K$1369,MATCH(215,'Transfer Engine'!$C$2:$C$1369,0)))</f>
        <v/>
      </c>
      <c r="L224" s="9">
        <f>IF(ISNA(MATCH(215,'Transfer Engine'!$C$2:$C$1369,0)),"",INDEX('Compliance Database'!$L$2:$L$1369,MATCH(215,'Transfer Engine'!$C$2:$C$1369,0)))</f>
        <v/>
      </c>
      <c r="M224" s="9">
        <f>IF(ISNA(MATCH(215,'Transfer Engine'!$C$2:$C$1369,0)),"",INDEX('Compliance Database'!$M$2:$M$1369,MATCH(215,'Transfer Engine'!$C$2:$C$1369,0)))</f>
        <v/>
      </c>
      <c r="N224" s="9">
        <f>IF(ISNA(MATCH(215,'Transfer Engine'!$C$2:$C$1369,0)),"",INDEX('Compliance Database'!$N$2:$N$1369,MATCH(215,'Transfer Engine'!$C$2:$C$1369,0)))</f>
        <v/>
      </c>
      <c r="O224" s="8">
        <f>IF(ISNA(MATCH(215,'Transfer Engine'!$C$2:$C$1369,0)),"",HYPERLINK(INDEX('Compliance Database'!$O$2:$O$1369,MATCH(215,'Transfer Engine'!$C$2:$C$1369,0)),"Open PDF"))</f>
        <v/>
      </c>
    </row>
    <row r="225" ht="188" customHeight="1">
      <c r="A225" s="8">
        <f>IF(ISNA(MATCH(216,'Transfer Engine'!$C$2:$C$1369,0)),"",INDEX('Compliance Database'!$A$2:$A$1369,MATCH(216,'Transfer Engine'!$C$2:$C$1369,0)))</f>
        <v/>
      </c>
      <c r="B225" s="8">
        <f>IF(ISNA(MATCH(216,'Transfer Engine'!$C$2:$C$1369,0)),"",INDEX('Compliance Database'!$B$2:$B$1369,MATCH(216,'Transfer Engine'!$C$2:$C$1369,0)))</f>
        <v/>
      </c>
      <c r="C225" s="8">
        <f>IF(ISNA(MATCH(216,'Transfer Engine'!$C$2:$C$1369,0)),"",INDEX('Compliance Database'!$C$2:$C$1369,MATCH(216,'Transfer Engine'!$C$2:$C$1369,0)))</f>
        <v/>
      </c>
      <c r="D225" s="9">
        <f>IF(ISNA(MATCH(216,'Transfer Engine'!$C$2:$C$1369,0)),"",INDEX('Compliance Database'!$D$2:$D$1369,MATCH(216,'Transfer Engine'!$C$2:$C$1369,0)))</f>
        <v/>
      </c>
      <c r="E225" s="8">
        <f>IF(ISNA(MATCH(216,'Transfer Engine'!$C$2:$C$1369,0)),"",INDEX('Compliance Database'!$E$2:$E$1369,MATCH(216,'Transfer Engine'!$C$2:$C$1369,0)))</f>
        <v/>
      </c>
      <c r="F225" s="8">
        <f>IF(ISNA(MATCH(216,'Transfer Engine'!$C$2:$C$1369,0)),"",INDEX('Compliance Database'!$F$2:$F$1369,MATCH(216,'Transfer Engine'!$C$2:$C$1369,0)))</f>
        <v/>
      </c>
      <c r="G225" s="8">
        <f>IF(ISNA(MATCH(216,'Transfer Engine'!$C$2:$C$1369,0)),"",INDEX('Compliance Database'!$G$2:$G$1369,MATCH(216,'Transfer Engine'!$C$2:$C$1369,0)))</f>
        <v/>
      </c>
      <c r="H225" s="9">
        <f>IF(ISNA(MATCH(216,'Transfer Engine'!$C$2:$C$1369,0)),"",INDEX('Compliance Database'!$H$2:$H$1369,MATCH(216,'Transfer Engine'!$C$2:$C$1369,0)))</f>
        <v/>
      </c>
      <c r="I225" s="9">
        <f>IF(ISNA(MATCH(216,'Transfer Engine'!$C$2:$C$1369,0)),"",INDEX('Compliance Database'!$I$2:$I$1369,MATCH(216,'Transfer Engine'!$C$2:$C$1369,0)))</f>
        <v/>
      </c>
      <c r="J225" s="8">
        <f>IF(ISNA(MATCH(216,'Transfer Engine'!$C$2:$C$1369,0)),"",INDEX('Compliance Database'!$J$2:$J$1369,MATCH(216,'Transfer Engine'!$C$2:$C$1369,0)))</f>
        <v/>
      </c>
      <c r="K225" s="9">
        <f>IF(ISNA(MATCH(216,'Transfer Engine'!$C$2:$C$1369,0)),"",INDEX('Compliance Database'!$K$2:$K$1369,MATCH(216,'Transfer Engine'!$C$2:$C$1369,0)))</f>
        <v/>
      </c>
      <c r="L225" s="9">
        <f>IF(ISNA(MATCH(216,'Transfer Engine'!$C$2:$C$1369,0)),"",INDEX('Compliance Database'!$L$2:$L$1369,MATCH(216,'Transfer Engine'!$C$2:$C$1369,0)))</f>
        <v/>
      </c>
      <c r="M225" s="9">
        <f>IF(ISNA(MATCH(216,'Transfer Engine'!$C$2:$C$1369,0)),"",INDEX('Compliance Database'!$M$2:$M$1369,MATCH(216,'Transfer Engine'!$C$2:$C$1369,0)))</f>
        <v/>
      </c>
      <c r="N225" s="9">
        <f>IF(ISNA(MATCH(216,'Transfer Engine'!$C$2:$C$1369,0)),"",INDEX('Compliance Database'!$N$2:$N$1369,MATCH(216,'Transfer Engine'!$C$2:$C$1369,0)))</f>
        <v/>
      </c>
      <c r="O225" s="8">
        <f>IF(ISNA(MATCH(216,'Transfer Engine'!$C$2:$C$1369,0)),"",HYPERLINK(INDEX('Compliance Database'!$O$2:$O$1369,MATCH(216,'Transfer Engine'!$C$2:$C$1369,0)),"Open PDF"))</f>
        <v/>
      </c>
    </row>
    <row r="226" ht="188" customHeight="1">
      <c r="A226" s="8">
        <f>IF(ISNA(MATCH(217,'Transfer Engine'!$C$2:$C$1369,0)),"",INDEX('Compliance Database'!$A$2:$A$1369,MATCH(217,'Transfer Engine'!$C$2:$C$1369,0)))</f>
        <v/>
      </c>
      <c r="B226" s="8">
        <f>IF(ISNA(MATCH(217,'Transfer Engine'!$C$2:$C$1369,0)),"",INDEX('Compliance Database'!$B$2:$B$1369,MATCH(217,'Transfer Engine'!$C$2:$C$1369,0)))</f>
        <v/>
      </c>
      <c r="C226" s="8">
        <f>IF(ISNA(MATCH(217,'Transfer Engine'!$C$2:$C$1369,0)),"",INDEX('Compliance Database'!$C$2:$C$1369,MATCH(217,'Transfer Engine'!$C$2:$C$1369,0)))</f>
        <v/>
      </c>
      <c r="D226" s="9">
        <f>IF(ISNA(MATCH(217,'Transfer Engine'!$C$2:$C$1369,0)),"",INDEX('Compliance Database'!$D$2:$D$1369,MATCH(217,'Transfer Engine'!$C$2:$C$1369,0)))</f>
        <v/>
      </c>
      <c r="E226" s="8">
        <f>IF(ISNA(MATCH(217,'Transfer Engine'!$C$2:$C$1369,0)),"",INDEX('Compliance Database'!$E$2:$E$1369,MATCH(217,'Transfer Engine'!$C$2:$C$1369,0)))</f>
        <v/>
      </c>
      <c r="F226" s="8">
        <f>IF(ISNA(MATCH(217,'Transfer Engine'!$C$2:$C$1369,0)),"",INDEX('Compliance Database'!$F$2:$F$1369,MATCH(217,'Transfer Engine'!$C$2:$C$1369,0)))</f>
        <v/>
      </c>
      <c r="G226" s="8">
        <f>IF(ISNA(MATCH(217,'Transfer Engine'!$C$2:$C$1369,0)),"",INDEX('Compliance Database'!$G$2:$G$1369,MATCH(217,'Transfer Engine'!$C$2:$C$1369,0)))</f>
        <v/>
      </c>
      <c r="H226" s="9">
        <f>IF(ISNA(MATCH(217,'Transfer Engine'!$C$2:$C$1369,0)),"",INDEX('Compliance Database'!$H$2:$H$1369,MATCH(217,'Transfer Engine'!$C$2:$C$1369,0)))</f>
        <v/>
      </c>
      <c r="I226" s="9">
        <f>IF(ISNA(MATCH(217,'Transfer Engine'!$C$2:$C$1369,0)),"",INDEX('Compliance Database'!$I$2:$I$1369,MATCH(217,'Transfer Engine'!$C$2:$C$1369,0)))</f>
        <v/>
      </c>
      <c r="J226" s="8">
        <f>IF(ISNA(MATCH(217,'Transfer Engine'!$C$2:$C$1369,0)),"",INDEX('Compliance Database'!$J$2:$J$1369,MATCH(217,'Transfer Engine'!$C$2:$C$1369,0)))</f>
        <v/>
      </c>
      <c r="K226" s="9">
        <f>IF(ISNA(MATCH(217,'Transfer Engine'!$C$2:$C$1369,0)),"",INDEX('Compliance Database'!$K$2:$K$1369,MATCH(217,'Transfer Engine'!$C$2:$C$1369,0)))</f>
        <v/>
      </c>
      <c r="L226" s="9">
        <f>IF(ISNA(MATCH(217,'Transfer Engine'!$C$2:$C$1369,0)),"",INDEX('Compliance Database'!$L$2:$L$1369,MATCH(217,'Transfer Engine'!$C$2:$C$1369,0)))</f>
        <v/>
      </c>
      <c r="M226" s="9">
        <f>IF(ISNA(MATCH(217,'Transfer Engine'!$C$2:$C$1369,0)),"",INDEX('Compliance Database'!$M$2:$M$1369,MATCH(217,'Transfer Engine'!$C$2:$C$1369,0)))</f>
        <v/>
      </c>
      <c r="N226" s="9">
        <f>IF(ISNA(MATCH(217,'Transfer Engine'!$C$2:$C$1369,0)),"",INDEX('Compliance Database'!$N$2:$N$1369,MATCH(217,'Transfer Engine'!$C$2:$C$1369,0)))</f>
        <v/>
      </c>
      <c r="O226" s="8">
        <f>IF(ISNA(MATCH(217,'Transfer Engine'!$C$2:$C$1369,0)),"",HYPERLINK(INDEX('Compliance Database'!$O$2:$O$1369,MATCH(217,'Transfer Engine'!$C$2:$C$1369,0)),"Open PDF"))</f>
        <v/>
      </c>
    </row>
    <row r="227" ht="188" customHeight="1">
      <c r="A227" s="8">
        <f>IF(ISNA(MATCH(218,'Transfer Engine'!$C$2:$C$1369,0)),"",INDEX('Compliance Database'!$A$2:$A$1369,MATCH(218,'Transfer Engine'!$C$2:$C$1369,0)))</f>
        <v/>
      </c>
      <c r="B227" s="8">
        <f>IF(ISNA(MATCH(218,'Transfer Engine'!$C$2:$C$1369,0)),"",INDEX('Compliance Database'!$B$2:$B$1369,MATCH(218,'Transfer Engine'!$C$2:$C$1369,0)))</f>
        <v/>
      </c>
      <c r="C227" s="8">
        <f>IF(ISNA(MATCH(218,'Transfer Engine'!$C$2:$C$1369,0)),"",INDEX('Compliance Database'!$C$2:$C$1369,MATCH(218,'Transfer Engine'!$C$2:$C$1369,0)))</f>
        <v/>
      </c>
      <c r="D227" s="9">
        <f>IF(ISNA(MATCH(218,'Transfer Engine'!$C$2:$C$1369,0)),"",INDEX('Compliance Database'!$D$2:$D$1369,MATCH(218,'Transfer Engine'!$C$2:$C$1369,0)))</f>
        <v/>
      </c>
      <c r="E227" s="8">
        <f>IF(ISNA(MATCH(218,'Transfer Engine'!$C$2:$C$1369,0)),"",INDEX('Compliance Database'!$E$2:$E$1369,MATCH(218,'Transfer Engine'!$C$2:$C$1369,0)))</f>
        <v/>
      </c>
      <c r="F227" s="8">
        <f>IF(ISNA(MATCH(218,'Transfer Engine'!$C$2:$C$1369,0)),"",INDEX('Compliance Database'!$F$2:$F$1369,MATCH(218,'Transfer Engine'!$C$2:$C$1369,0)))</f>
        <v/>
      </c>
      <c r="G227" s="8">
        <f>IF(ISNA(MATCH(218,'Transfer Engine'!$C$2:$C$1369,0)),"",INDEX('Compliance Database'!$G$2:$G$1369,MATCH(218,'Transfer Engine'!$C$2:$C$1369,0)))</f>
        <v/>
      </c>
      <c r="H227" s="9">
        <f>IF(ISNA(MATCH(218,'Transfer Engine'!$C$2:$C$1369,0)),"",INDEX('Compliance Database'!$H$2:$H$1369,MATCH(218,'Transfer Engine'!$C$2:$C$1369,0)))</f>
        <v/>
      </c>
      <c r="I227" s="9">
        <f>IF(ISNA(MATCH(218,'Transfer Engine'!$C$2:$C$1369,0)),"",INDEX('Compliance Database'!$I$2:$I$1369,MATCH(218,'Transfer Engine'!$C$2:$C$1369,0)))</f>
        <v/>
      </c>
      <c r="J227" s="8">
        <f>IF(ISNA(MATCH(218,'Transfer Engine'!$C$2:$C$1369,0)),"",INDEX('Compliance Database'!$J$2:$J$1369,MATCH(218,'Transfer Engine'!$C$2:$C$1369,0)))</f>
        <v/>
      </c>
      <c r="K227" s="9">
        <f>IF(ISNA(MATCH(218,'Transfer Engine'!$C$2:$C$1369,0)),"",INDEX('Compliance Database'!$K$2:$K$1369,MATCH(218,'Transfer Engine'!$C$2:$C$1369,0)))</f>
        <v/>
      </c>
      <c r="L227" s="9">
        <f>IF(ISNA(MATCH(218,'Transfer Engine'!$C$2:$C$1369,0)),"",INDEX('Compliance Database'!$L$2:$L$1369,MATCH(218,'Transfer Engine'!$C$2:$C$1369,0)))</f>
        <v/>
      </c>
      <c r="M227" s="9">
        <f>IF(ISNA(MATCH(218,'Transfer Engine'!$C$2:$C$1369,0)),"",INDEX('Compliance Database'!$M$2:$M$1369,MATCH(218,'Transfer Engine'!$C$2:$C$1369,0)))</f>
        <v/>
      </c>
      <c r="N227" s="9">
        <f>IF(ISNA(MATCH(218,'Transfer Engine'!$C$2:$C$1369,0)),"",INDEX('Compliance Database'!$N$2:$N$1369,MATCH(218,'Transfer Engine'!$C$2:$C$1369,0)))</f>
        <v/>
      </c>
      <c r="O227" s="8">
        <f>IF(ISNA(MATCH(218,'Transfer Engine'!$C$2:$C$1369,0)),"",HYPERLINK(INDEX('Compliance Database'!$O$2:$O$1369,MATCH(218,'Transfer Engine'!$C$2:$C$1369,0)),"Open PDF"))</f>
        <v/>
      </c>
    </row>
    <row r="228" ht="188" customHeight="1">
      <c r="A228" s="8">
        <f>IF(ISNA(MATCH(219,'Transfer Engine'!$C$2:$C$1369,0)),"",INDEX('Compliance Database'!$A$2:$A$1369,MATCH(219,'Transfer Engine'!$C$2:$C$1369,0)))</f>
        <v/>
      </c>
      <c r="B228" s="8">
        <f>IF(ISNA(MATCH(219,'Transfer Engine'!$C$2:$C$1369,0)),"",INDEX('Compliance Database'!$B$2:$B$1369,MATCH(219,'Transfer Engine'!$C$2:$C$1369,0)))</f>
        <v/>
      </c>
      <c r="C228" s="8">
        <f>IF(ISNA(MATCH(219,'Transfer Engine'!$C$2:$C$1369,0)),"",INDEX('Compliance Database'!$C$2:$C$1369,MATCH(219,'Transfer Engine'!$C$2:$C$1369,0)))</f>
        <v/>
      </c>
      <c r="D228" s="9">
        <f>IF(ISNA(MATCH(219,'Transfer Engine'!$C$2:$C$1369,0)),"",INDEX('Compliance Database'!$D$2:$D$1369,MATCH(219,'Transfer Engine'!$C$2:$C$1369,0)))</f>
        <v/>
      </c>
      <c r="E228" s="8">
        <f>IF(ISNA(MATCH(219,'Transfer Engine'!$C$2:$C$1369,0)),"",INDEX('Compliance Database'!$E$2:$E$1369,MATCH(219,'Transfer Engine'!$C$2:$C$1369,0)))</f>
        <v/>
      </c>
      <c r="F228" s="8">
        <f>IF(ISNA(MATCH(219,'Transfer Engine'!$C$2:$C$1369,0)),"",INDEX('Compliance Database'!$F$2:$F$1369,MATCH(219,'Transfer Engine'!$C$2:$C$1369,0)))</f>
        <v/>
      </c>
      <c r="G228" s="8">
        <f>IF(ISNA(MATCH(219,'Transfer Engine'!$C$2:$C$1369,0)),"",INDEX('Compliance Database'!$G$2:$G$1369,MATCH(219,'Transfer Engine'!$C$2:$C$1369,0)))</f>
        <v/>
      </c>
      <c r="H228" s="9">
        <f>IF(ISNA(MATCH(219,'Transfer Engine'!$C$2:$C$1369,0)),"",INDEX('Compliance Database'!$H$2:$H$1369,MATCH(219,'Transfer Engine'!$C$2:$C$1369,0)))</f>
        <v/>
      </c>
      <c r="I228" s="9">
        <f>IF(ISNA(MATCH(219,'Transfer Engine'!$C$2:$C$1369,0)),"",INDEX('Compliance Database'!$I$2:$I$1369,MATCH(219,'Transfer Engine'!$C$2:$C$1369,0)))</f>
        <v/>
      </c>
      <c r="J228" s="8">
        <f>IF(ISNA(MATCH(219,'Transfer Engine'!$C$2:$C$1369,0)),"",INDEX('Compliance Database'!$J$2:$J$1369,MATCH(219,'Transfer Engine'!$C$2:$C$1369,0)))</f>
        <v/>
      </c>
      <c r="K228" s="9">
        <f>IF(ISNA(MATCH(219,'Transfer Engine'!$C$2:$C$1369,0)),"",INDEX('Compliance Database'!$K$2:$K$1369,MATCH(219,'Transfer Engine'!$C$2:$C$1369,0)))</f>
        <v/>
      </c>
      <c r="L228" s="9">
        <f>IF(ISNA(MATCH(219,'Transfer Engine'!$C$2:$C$1369,0)),"",INDEX('Compliance Database'!$L$2:$L$1369,MATCH(219,'Transfer Engine'!$C$2:$C$1369,0)))</f>
        <v/>
      </c>
      <c r="M228" s="9">
        <f>IF(ISNA(MATCH(219,'Transfer Engine'!$C$2:$C$1369,0)),"",INDEX('Compliance Database'!$M$2:$M$1369,MATCH(219,'Transfer Engine'!$C$2:$C$1369,0)))</f>
        <v/>
      </c>
      <c r="N228" s="9">
        <f>IF(ISNA(MATCH(219,'Transfer Engine'!$C$2:$C$1369,0)),"",INDEX('Compliance Database'!$N$2:$N$1369,MATCH(219,'Transfer Engine'!$C$2:$C$1369,0)))</f>
        <v/>
      </c>
      <c r="O228" s="8">
        <f>IF(ISNA(MATCH(219,'Transfer Engine'!$C$2:$C$1369,0)),"",HYPERLINK(INDEX('Compliance Database'!$O$2:$O$1369,MATCH(219,'Transfer Engine'!$C$2:$C$1369,0)),"Open PDF"))</f>
        <v/>
      </c>
    </row>
    <row r="229" ht="188" customHeight="1">
      <c r="A229" s="8">
        <f>IF(ISNA(MATCH(220,'Transfer Engine'!$C$2:$C$1369,0)),"",INDEX('Compliance Database'!$A$2:$A$1369,MATCH(220,'Transfer Engine'!$C$2:$C$1369,0)))</f>
        <v/>
      </c>
      <c r="B229" s="8">
        <f>IF(ISNA(MATCH(220,'Transfer Engine'!$C$2:$C$1369,0)),"",INDEX('Compliance Database'!$B$2:$B$1369,MATCH(220,'Transfer Engine'!$C$2:$C$1369,0)))</f>
        <v/>
      </c>
      <c r="C229" s="8">
        <f>IF(ISNA(MATCH(220,'Transfer Engine'!$C$2:$C$1369,0)),"",INDEX('Compliance Database'!$C$2:$C$1369,MATCH(220,'Transfer Engine'!$C$2:$C$1369,0)))</f>
        <v/>
      </c>
      <c r="D229" s="9">
        <f>IF(ISNA(MATCH(220,'Transfer Engine'!$C$2:$C$1369,0)),"",INDEX('Compliance Database'!$D$2:$D$1369,MATCH(220,'Transfer Engine'!$C$2:$C$1369,0)))</f>
        <v/>
      </c>
      <c r="E229" s="8">
        <f>IF(ISNA(MATCH(220,'Transfer Engine'!$C$2:$C$1369,0)),"",INDEX('Compliance Database'!$E$2:$E$1369,MATCH(220,'Transfer Engine'!$C$2:$C$1369,0)))</f>
        <v/>
      </c>
      <c r="F229" s="8">
        <f>IF(ISNA(MATCH(220,'Transfer Engine'!$C$2:$C$1369,0)),"",INDEX('Compliance Database'!$F$2:$F$1369,MATCH(220,'Transfer Engine'!$C$2:$C$1369,0)))</f>
        <v/>
      </c>
      <c r="G229" s="8">
        <f>IF(ISNA(MATCH(220,'Transfer Engine'!$C$2:$C$1369,0)),"",INDEX('Compliance Database'!$G$2:$G$1369,MATCH(220,'Transfer Engine'!$C$2:$C$1369,0)))</f>
        <v/>
      </c>
      <c r="H229" s="9">
        <f>IF(ISNA(MATCH(220,'Transfer Engine'!$C$2:$C$1369,0)),"",INDEX('Compliance Database'!$H$2:$H$1369,MATCH(220,'Transfer Engine'!$C$2:$C$1369,0)))</f>
        <v/>
      </c>
      <c r="I229" s="9">
        <f>IF(ISNA(MATCH(220,'Transfer Engine'!$C$2:$C$1369,0)),"",INDEX('Compliance Database'!$I$2:$I$1369,MATCH(220,'Transfer Engine'!$C$2:$C$1369,0)))</f>
        <v/>
      </c>
      <c r="J229" s="8">
        <f>IF(ISNA(MATCH(220,'Transfer Engine'!$C$2:$C$1369,0)),"",INDEX('Compliance Database'!$J$2:$J$1369,MATCH(220,'Transfer Engine'!$C$2:$C$1369,0)))</f>
        <v/>
      </c>
      <c r="K229" s="9">
        <f>IF(ISNA(MATCH(220,'Transfer Engine'!$C$2:$C$1369,0)),"",INDEX('Compliance Database'!$K$2:$K$1369,MATCH(220,'Transfer Engine'!$C$2:$C$1369,0)))</f>
        <v/>
      </c>
      <c r="L229" s="9">
        <f>IF(ISNA(MATCH(220,'Transfer Engine'!$C$2:$C$1369,0)),"",INDEX('Compliance Database'!$L$2:$L$1369,MATCH(220,'Transfer Engine'!$C$2:$C$1369,0)))</f>
        <v/>
      </c>
      <c r="M229" s="9">
        <f>IF(ISNA(MATCH(220,'Transfer Engine'!$C$2:$C$1369,0)),"",INDEX('Compliance Database'!$M$2:$M$1369,MATCH(220,'Transfer Engine'!$C$2:$C$1369,0)))</f>
        <v/>
      </c>
      <c r="N229" s="9">
        <f>IF(ISNA(MATCH(220,'Transfer Engine'!$C$2:$C$1369,0)),"",INDEX('Compliance Database'!$N$2:$N$1369,MATCH(220,'Transfer Engine'!$C$2:$C$1369,0)))</f>
        <v/>
      </c>
      <c r="O229" s="8">
        <f>IF(ISNA(MATCH(220,'Transfer Engine'!$C$2:$C$1369,0)),"",HYPERLINK(INDEX('Compliance Database'!$O$2:$O$1369,MATCH(220,'Transfer Engine'!$C$2:$C$1369,0)),"Open PDF"))</f>
        <v/>
      </c>
    </row>
    <row r="230" ht="188" customHeight="1">
      <c r="A230" s="8">
        <f>IF(ISNA(MATCH(221,'Transfer Engine'!$C$2:$C$1369,0)),"",INDEX('Compliance Database'!$A$2:$A$1369,MATCH(221,'Transfer Engine'!$C$2:$C$1369,0)))</f>
        <v/>
      </c>
      <c r="B230" s="8">
        <f>IF(ISNA(MATCH(221,'Transfer Engine'!$C$2:$C$1369,0)),"",INDEX('Compliance Database'!$B$2:$B$1369,MATCH(221,'Transfer Engine'!$C$2:$C$1369,0)))</f>
        <v/>
      </c>
      <c r="C230" s="8">
        <f>IF(ISNA(MATCH(221,'Transfer Engine'!$C$2:$C$1369,0)),"",INDEX('Compliance Database'!$C$2:$C$1369,MATCH(221,'Transfer Engine'!$C$2:$C$1369,0)))</f>
        <v/>
      </c>
      <c r="D230" s="9">
        <f>IF(ISNA(MATCH(221,'Transfer Engine'!$C$2:$C$1369,0)),"",INDEX('Compliance Database'!$D$2:$D$1369,MATCH(221,'Transfer Engine'!$C$2:$C$1369,0)))</f>
        <v/>
      </c>
      <c r="E230" s="8">
        <f>IF(ISNA(MATCH(221,'Transfer Engine'!$C$2:$C$1369,0)),"",INDEX('Compliance Database'!$E$2:$E$1369,MATCH(221,'Transfer Engine'!$C$2:$C$1369,0)))</f>
        <v/>
      </c>
      <c r="F230" s="8">
        <f>IF(ISNA(MATCH(221,'Transfer Engine'!$C$2:$C$1369,0)),"",INDEX('Compliance Database'!$F$2:$F$1369,MATCH(221,'Transfer Engine'!$C$2:$C$1369,0)))</f>
        <v/>
      </c>
      <c r="G230" s="8">
        <f>IF(ISNA(MATCH(221,'Transfer Engine'!$C$2:$C$1369,0)),"",INDEX('Compliance Database'!$G$2:$G$1369,MATCH(221,'Transfer Engine'!$C$2:$C$1369,0)))</f>
        <v/>
      </c>
      <c r="H230" s="9">
        <f>IF(ISNA(MATCH(221,'Transfer Engine'!$C$2:$C$1369,0)),"",INDEX('Compliance Database'!$H$2:$H$1369,MATCH(221,'Transfer Engine'!$C$2:$C$1369,0)))</f>
        <v/>
      </c>
      <c r="I230" s="9">
        <f>IF(ISNA(MATCH(221,'Transfer Engine'!$C$2:$C$1369,0)),"",INDEX('Compliance Database'!$I$2:$I$1369,MATCH(221,'Transfer Engine'!$C$2:$C$1369,0)))</f>
        <v/>
      </c>
      <c r="J230" s="8">
        <f>IF(ISNA(MATCH(221,'Transfer Engine'!$C$2:$C$1369,0)),"",INDEX('Compliance Database'!$J$2:$J$1369,MATCH(221,'Transfer Engine'!$C$2:$C$1369,0)))</f>
        <v/>
      </c>
      <c r="K230" s="9">
        <f>IF(ISNA(MATCH(221,'Transfer Engine'!$C$2:$C$1369,0)),"",INDEX('Compliance Database'!$K$2:$K$1369,MATCH(221,'Transfer Engine'!$C$2:$C$1369,0)))</f>
        <v/>
      </c>
      <c r="L230" s="9">
        <f>IF(ISNA(MATCH(221,'Transfer Engine'!$C$2:$C$1369,0)),"",INDEX('Compliance Database'!$L$2:$L$1369,MATCH(221,'Transfer Engine'!$C$2:$C$1369,0)))</f>
        <v/>
      </c>
      <c r="M230" s="9">
        <f>IF(ISNA(MATCH(221,'Transfer Engine'!$C$2:$C$1369,0)),"",INDEX('Compliance Database'!$M$2:$M$1369,MATCH(221,'Transfer Engine'!$C$2:$C$1369,0)))</f>
        <v/>
      </c>
      <c r="N230" s="9">
        <f>IF(ISNA(MATCH(221,'Transfer Engine'!$C$2:$C$1369,0)),"",INDEX('Compliance Database'!$N$2:$N$1369,MATCH(221,'Transfer Engine'!$C$2:$C$1369,0)))</f>
        <v/>
      </c>
      <c r="O230" s="8">
        <f>IF(ISNA(MATCH(221,'Transfer Engine'!$C$2:$C$1369,0)),"",HYPERLINK(INDEX('Compliance Database'!$O$2:$O$1369,MATCH(221,'Transfer Engine'!$C$2:$C$1369,0)),"Open PDF"))</f>
        <v/>
      </c>
    </row>
    <row r="231" ht="188" customHeight="1">
      <c r="A231" s="8">
        <f>IF(ISNA(MATCH(222,'Transfer Engine'!$C$2:$C$1369,0)),"",INDEX('Compliance Database'!$A$2:$A$1369,MATCH(222,'Transfer Engine'!$C$2:$C$1369,0)))</f>
        <v/>
      </c>
      <c r="B231" s="8">
        <f>IF(ISNA(MATCH(222,'Transfer Engine'!$C$2:$C$1369,0)),"",INDEX('Compliance Database'!$B$2:$B$1369,MATCH(222,'Transfer Engine'!$C$2:$C$1369,0)))</f>
        <v/>
      </c>
      <c r="C231" s="8">
        <f>IF(ISNA(MATCH(222,'Transfer Engine'!$C$2:$C$1369,0)),"",INDEX('Compliance Database'!$C$2:$C$1369,MATCH(222,'Transfer Engine'!$C$2:$C$1369,0)))</f>
        <v/>
      </c>
      <c r="D231" s="9">
        <f>IF(ISNA(MATCH(222,'Transfer Engine'!$C$2:$C$1369,0)),"",INDEX('Compliance Database'!$D$2:$D$1369,MATCH(222,'Transfer Engine'!$C$2:$C$1369,0)))</f>
        <v/>
      </c>
      <c r="E231" s="8">
        <f>IF(ISNA(MATCH(222,'Transfer Engine'!$C$2:$C$1369,0)),"",INDEX('Compliance Database'!$E$2:$E$1369,MATCH(222,'Transfer Engine'!$C$2:$C$1369,0)))</f>
        <v/>
      </c>
      <c r="F231" s="8">
        <f>IF(ISNA(MATCH(222,'Transfer Engine'!$C$2:$C$1369,0)),"",INDEX('Compliance Database'!$F$2:$F$1369,MATCH(222,'Transfer Engine'!$C$2:$C$1369,0)))</f>
        <v/>
      </c>
      <c r="G231" s="8">
        <f>IF(ISNA(MATCH(222,'Transfer Engine'!$C$2:$C$1369,0)),"",INDEX('Compliance Database'!$G$2:$G$1369,MATCH(222,'Transfer Engine'!$C$2:$C$1369,0)))</f>
        <v/>
      </c>
      <c r="H231" s="9">
        <f>IF(ISNA(MATCH(222,'Transfer Engine'!$C$2:$C$1369,0)),"",INDEX('Compliance Database'!$H$2:$H$1369,MATCH(222,'Transfer Engine'!$C$2:$C$1369,0)))</f>
        <v/>
      </c>
      <c r="I231" s="9">
        <f>IF(ISNA(MATCH(222,'Transfer Engine'!$C$2:$C$1369,0)),"",INDEX('Compliance Database'!$I$2:$I$1369,MATCH(222,'Transfer Engine'!$C$2:$C$1369,0)))</f>
        <v/>
      </c>
      <c r="J231" s="8">
        <f>IF(ISNA(MATCH(222,'Transfer Engine'!$C$2:$C$1369,0)),"",INDEX('Compliance Database'!$J$2:$J$1369,MATCH(222,'Transfer Engine'!$C$2:$C$1369,0)))</f>
        <v/>
      </c>
      <c r="K231" s="9">
        <f>IF(ISNA(MATCH(222,'Transfer Engine'!$C$2:$C$1369,0)),"",INDEX('Compliance Database'!$K$2:$K$1369,MATCH(222,'Transfer Engine'!$C$2:$C$1369,0)))</f>
        <v/>
      </c>
      <c r="L231" s="9">
        <f>IF(ISNA(MATCH(222,'Transfer Engine'!$C$2:$C$1369,0)),"",INDEX('Compliance Database'!$L$2:$L$1369,MATCH(222,'Transfer Engine'!$C$2:$C$1369,0)))</f>
        <v/>
      </c>
      <c r="M231" s="9">
        <f>IF(ISNA(MATCH(222,'Transfer Engine'!$C$2:$C$1369,0)),"",INDEX('Compliance Database'!$M$2:$M$1369,MATCH(222,'Transfer Engine'!$C$2:$C$1369,0)))</f>
        <v/>
      </c>
      <c r="N231" s="9">
        <f>IF(ISNA(MATCH(222,'Transfer Engine'!$C$2:$C$1369,0)),"",INDEX('Compliance Database'!$N$2:$N$1369,MATCH(222,'Transfer Engine'!$C$2:$C$1369,0)))</f>
        <v/>
      </c>
      <c r="O231" s="8">
        <f>IF(ISNA(MATCH(222,'Transfer Engine'!$C$2:$C$1369,0)),"",HYPERLINK(INDEX('Compliance Database'!$O$2:$O$1369,MATCH(222,'Transfer Engine'!$C$2:$C$1369,0)),"Open PDF"))</f>
        <v/>
      </c>
    </row>
    <row r="232" ht="188" customHeight="1">
      <c r="A232" s="8">
        <f>IF(ISNA(MATCH(223,'Transfer Engine'!$C$2:$C$1369,0)),"",INDEX('Compliance Database'!$A$2:$A$1369,MATCH(223,'Transfer Engine'!$C$2:$C$1369,0)))</f>
        <v/>
      </c>
      <c r="B232" s="8">
        <f>IF(ISNA(MATCH(223,'Transfer Engine'!$C$2:$C$1369,0)),"",INDEX('Compliance Database'!$B$2:$B$1369,MATCH(223,'Transfer Engine'!$C$2:$C$1369,0)))</f>
        <v/>
      </c>
      <c r="C232" s="8">
        <f>IF(ISNA(MATCH(223,'Transfer Engine'!$C$2:$C$1369,0)),"",INDEX('Compliance Database'!$C$2:$C$1369,MATCH(223,'Transfer Engine'!$C$2:$C$1369,0)))</f>
        <v/>
      </c>
      <c r="D232" s="9">
        <f>IF(ISNA(MATCH(223,'Transfer Engine'!$C$2:$C$1369,0)),"",INDEX('Compliance Database'!$D$2:$D$1369,MATCH(223,'Transfer Engine'!$C$2:$C$1369,0)))</f>
        <v/>
      </c>
      <c r="E232" s="8">
        <f>IF(ISNA(MATCH(223,'Transfer Engine'!$C$2:$C$1369,0)),"",INDEX('Compliance Database'!$E$2:$E$1369,MATCH(223,'Transfer Engine'!$C$2:$C$1369,0)))</f>
        <v/>
      </c>
      <c r="F232" s="8">
        <f>IF(ISNA(MATCH(223,'Transfer Engine'!$C$2:$C$1369,0)),"",INDEX('Compliance Database'!$F$2:$F$1369,MATCH(223,'Transfer Engine'!$C$2:$C$1369,0)))</f>
        <v/>
      </c>
      <c r="G232" s="8">
        <f>IF(ISNA(MATCH(223,'Transfer Engine'!$C$2:$C$1369,0)),"",INDEX('Compliance Database'!$G$2:$G$1369,MATCH(223,'Transfer Engine'!$C$2:$C$1369,0)))</f>
        <v/>
      </c>
      <c r="H232" s="9">
        <f>IF(ISNA(MATCH(223,'Transfer Engine'!$C$2:$C$1369,0)),"",INDEX('Compliance Database'!$H$2:$H$1369,MATCH(223,'Transfer Engine'!$C$2:$C$1369,0)))</f>
        <v/>
      </c>
      <c r="I232" s="9">
        <f>IF(ISNA(MATCH(223,'Transfer Engine'!$C$2:$C$1369,0)),"",INDEX('Compliance Database'!$I$2:$I$1369,MATCH(223,'Transfer Engine'!$C$2:$C$1369,0)))</f>
        <v/>
      </c>
      <c r="J232" s="8">
        <f>IF(ISNA(MATCH(223,'Transfer Engine'!$C$2:$C$1369,0)),"",INDEX('Compliance Database'!$J$2:$J$1369,MATCH(223,'Transfer Engine'!$C$2:$C$1369,0)))</f>
        <v/>
      </c>
      <c r="K232" s="9">
        <f>IF(ISNA(MATCH(223,'Transfer Engine'!$C$2:$C$1369,0)),"",INDEX('Compliance Database'!$K$2:$K$1369,MATCH(223,'Transfer Engine'!$C$2:$C$1369,0)))</f>
        <v/>
      </c>
      <c r="L232" s="9">
        <f>IF(ISNA(MATCH(223,'Transfer Engine'!$C$2:$C$1369,0)),"",INDEX('Compliance Database'!$L$2:$L$1369,MATCH(223,'Transfer Engine'!$C$2:$C$1369,0)))</f>
        <v/>
      </c>
      <c r="M232" s="9">
        <f>IF(ISNA(MATCH(223,'Transfer Engine'!$C$2:$C$1369,0)),"",INDEX('Compliance Database'!$M$2:$M$1369,MATCH(223,'Transfer Engine'!$C$2:$C$1369,0)))</f>
        <v/>
      </c>
      <c r="N232" s="9">
        <f>IF(ISNA(MATCH(223,'Transfer Engine'!$C$2:$C$1369,0)),"",INDEX('Compliance Database'!$N$2:$N$1369,MATCH(223,'Transfer Engine'!$C$2:$C$1369,0)))</f>
        <v/>
      </c>
      <c r="O232" s="8">
        <f>IF(ISNA(MATCH(223,'Transfer Engine'!$C$2:$C$1369,0)),"",HYPERLINK(INDEX('Compliance Database'!$O$2:$O$1369,MATCH(223,'Transfer Engine'!$C$2:$C$1369,0)),"Open PDF"))</f>
        <v/>
      </c>
    </row>
    <row r="233" ht="188" customHeight="1">
      <c r="A233" s="8">
        <f>IF(ISNA(MATCH(224,'Transfer Engine'!$C$2:$C$1369,0)),"",INDEX('Compliance Database'!$A$2:$A$1369,MATCH(224,'Transfer Engine'!$C$2:$C$1369,0)))</f>
        <v/>
      </c>
      <c r="B233" s="8">
        <f>IF(ISNA(MATCH(224,'Transfer Engine'!$C$2:$C$1369,0)),"",INDEX('Compliance Database'!$B$2:$B$1369,MATCH(224,'Transfer Engine'!$C$2:$C$1369,0)))</f>
        <v/>
      </c>
      <c r="C233" s="8">
        <f>IF(ISNA(MATCH(224,'Transfer Engine'!$C$2:$C$1369,0)),"",INDEX('Compliance Database'!$C$2:$C$1369,MATCH(224,'Transfer Engine'!$C$2:$C$1369,0)))</f>
        <v/>
      </c>
      <c r="D233" s="9">
        <f>IF(ISNA(MATCH(224,'Transfer Engine'!$C$2:$C$1369,0)),"",INDEX('Compliance Database'!$D$2:$D$1369,MATCH(224,'Transfer Engine'!$C$2:$C$1369,0)))</f>
        <v/>
      </c>
      <c r="E233" s="8">
        <f>IF(ISNA(MATCH(224,'Transfer Engine'!$C$2:$C$1369,0)),"",INDEX('Compliance Database'!$E$2:$E$1369,MATCH(224,'Transfer Engine'!$C$2:$C$1369,0)))</f>
        <v/>
      </c>
      <c r="F233" s="8">
        <f>IF(ISNA(MATCH(224,'Transfer Engine'!$C$2:$C$1369,0)),"",INDEX('Compliance Database'!$F$2:$F$1369,MATCH(224,'Transfer Engine'!$C$2:$C$1369,0)))</f>
        <v/>
      </c>
      <c r="G233" s="8">
        <f>IF(ISNA(MATCH(224,'Transfer Engine'!$C$2:$C$1369,0)),"",INDEX('Compliance Database'!$G$2:$G$1369,MATCH(224,'Transfer Engine'!$C$2:$C$1369,0)))</f>
        <v/>
      </c>
      <c r="H233" s="9">
        <f>IF(ISNA(MATCH(224,'Transfer Engine'!$C$2:$C$1369,0)),"",INDEX('Compliance Database'!$H$2:$H$1369,MATCH(224,'Transfer Engine'!$C$2:$C$1369,0)))</f>
        <v/>
      </c>
      <c r="I233" s="9">
        <f>IF(ISNA(MATCH(224,'Transfer Engine'!$C$2:$C$1369,0)),"",INDEX('Compliance Database'!$I$2:$I$1369,MATCH(224,'Transfer Engine'!$C$2:$C$1369,0)))</f>
        <v/>
      </c>
      <c r="J233" s="8">
        <f>IF(ISNA(MATCH(224,'Transfer Engine'!$C$2:$C$1369,0)),"",INDEX('Compliance Database'!$J$2:$J$1369,MATCH(224,'Transfer Engine'!$C$2:$C$1369,0)))</f>
        <v/>
      </c>
      <c r="K233" s="9">
        <f>IF(ISNA(MATCH(224,'Transfer Engine'!$C$2:$C$1369,0)),"",INDEX('Compliance Database'!$K$2:$K$1369,MATCH(224,'Transfer Engine'!$C$2:$C$1369,0)))</f>
        <v/>
      </c>
      <c r="L233" s="9">
        <f>IF(ISNA(MATCH(224,'Transfer Engine'!$C$2:$C$1369,0)),"",INDEX('Compliance Database'!$L$2:$L$1369,MATCH(224,'Transfer Engine'!$C$2:$C$1369,0)))</f>
        <v/>
      </c>
      <c r="M233" s="9">
        <f>IF(ISNA(MATCH(224,'Transfer Engine'!$C$2:$C$1369,0)),"",INDEX('Compliance Database'!$M$2:$M$1369,MATCH(224,'Transfer Engine'!$C$2:$C$1369,0)))</f>
        <v/>
      </c>
      <c r="N233" s="9">
        <f>IF(ISNA(MATCH(224,'Transfer Engine'!$C$2:$C$1369,0)),"",INDEX('Compliance Database'!$N$2:$N$1369,MATCH(224,'Transfer Engine'!$C$2:$C$1369,0)))</f>
        <v/>
      </c>
      <c r="O233" s="8">
        <f>IF(ISNA(MATCH(224,'Transfer Engine'!$C$2:$C$1369,0)),"",HYPERLINK(INDEX('Compliance Database'!$O$2:$O$1369,MATCH(224,'Transfer Engine'!$C$2:$C$1369,0)),"Open PDF"))</f>
        <v/>
      </c>
    </row>
    <row r="234" ht="188" customHeight="1">
      <c r="A234" s="8">
        <f>IF(ISNA(MATCH(225,'Transfer Engine'!$C$2:$C$1369,0)),"",INDEX('Compliance Database'!$A$2:$A$1369,MATCH(225,'Transfer Engine'!$C$2:$C$1369,0)))</f>
        <v/>
      </c>
      <c r="B234" s="8">
        <f>IF(ISNA(MATCH(225,'Transfer Engine'!$C$2:$C$1369,0)),"",INDEX('Compliance Database'!$B$2:$B$1369,MATCH(225,'Transfer Engine'!$C$2:$C$1369,0)))</f>
        <v/>
      </c>
      <c r="C234" s="8">
        <f>IF(ISNA(MATCH(225,'Transfer Engine'!$C$2:$C$1369,0)),"",INDEX('Compliance Database'!$C$2:$C$1369,MATCH(225,'Transfer Engine'!$C$2:$C$1369,0)))</f>
        <v/>
      </c>
      <c r="D234" s="9">
        <f>IF(ISNA(MATCH(225,'Transfer Engine'!$C$2:$C$1369,0)),"",INDEX('Compliance Database'!$D$2:$D$1369,MATCH(225,'Transfer Engine'!$C$2:$C$1369,0)))</f>
        <v/>
      </c>
      <c r="E234" s="8">
        <f>IF(ISNA(MATCH(225,'Transfer Engine'!$C$2:$C$1369,0)),"",INDEX('Compliance Database'!$E$2:$E$1369,MATCH(225,'Transfer Engine'!$C$2:$C$1369,0)))</f>
        <v/>
      </c>
      <c r="F234" s="8">
        <f>IF(ISNA(MATCH(225,'Transfer Engine'!$C$2:$C$1369,0)),"",INDEX('Compliance Database'!$F$2:$F$1369,MATCH(225,'Transfer Engine'!$C$2:$C$1369,0)))</f>
        <v/>
      </c>
      <c r="G234" s="8">
        <f>IF(ISNA(MATCH(225,'Transfer Engine'!$C$2:$C$1369,0)),"",INDEX('Compliance Database'!$G$2:$G$1369,MATCH(225,'Transfer Engine'!$C$2:$C$1369,0)))</f>
        <v/>
      </c>
      <c r="H234" s="9">
        <f>IF(ISNA(MATCH(225,'Transfer Engine'!$C$2:$C$1369,0)),"",INDEX('Compliance Database'!$H$2:$H$1369,MATCH(225,'Transfer Engine'!$C$2:$C$1369,0)))</f>
        <v/>
      </c>
      <c r="I234" s="9">
        <f>IF(ISNA(MATCH(225,'Transfer Engine'!$C$2:$C$1369,0)),"",INDEX('Compliance Database'!$I$2:$I$1369,MATCH(225,'Transfer Engine'!$C$2:$C$1369,0)))</f>
        <v/>
      </c>
      <c r="J234" s="8">
        <f>IF(ISNA(MATCH(225,'Transfer Engine'!$C$2:$C$1369,0)),"",INDEX('Compliance Database'!$J$2:$J$1369,MATCH(225,'Transfer Engine'!$C$2:$C$1369,0)))</f>
        <v/>
      </c>
      <c r="K234" s="9">
        <f>IF(ISNA(MATCH(225,'Transfer Engine'!$C$2:$C$1369,0)),"",INDEX('Compliance Database'!$K$2:$K$1369,MATCH(225,'Transfer Engine'!$C$2:$C$1369,0)))</f>
        <v/>
      </c>
      <c r="L234" s="9">
        <f>IF(ISNA(MATCH(225,'Transfer Engine'!$C$2:$C$1369,0)),"",INDEX('Compliance Database'!$L$2:$L$1369,MATCH(225,'Transfer Engine'!$C$2:$C$1369,0)))</f>
        <v/>
      </c>
      <c r="M234" s="9">
        <f>IF(ISNA(MATCH(225,'Transfer Engine'!$C$2:$C$1369,0)),"",INDEX('Compliance Database'!$M$2:$M$1369,MATCH(225,'Transfer Engine'!$C$2:$C$1369,0)))</f>
        <v/>
      </c>
      <c r="N234" s="9">
        <f>IF(ISNA(MATCH(225,'Transfer Engine'!$C$2:$C$1369,0)),"",INDEX('Compliance Database'!$N$2:$N$1369,MATCH(225,'Transfer Engine'!$C$2:$C$1369,0)))</f>
        <v/>
      </c>
      <c r="O234" s="8">
        <f>IF(ISNA(MATCH(225,'Transfer Engine'!$C$2:$C$1369,0)),"",HYPERLINK(INDEX('Compliance Database'!$O$2:$O$1369,MATCH(225,'Transfer Engine'!$C$2:$C$1369,0)),"Open PDF"))</f>
        <v/>
      </c>
    </row>
    <row r="235" ht="188" customHeight="1">
      <c r="A235" s="8">
        <f>IF(ISNA(MATCH(226,'Transfer Engine'!$C$2:$C$1369,0)),"",INDEX('Compliance Database'!$A$2:$A$1369,MATCH(226,'Transfer Engine'!$C$2:$C$1369,0)))</f>
        <v/>
      </c>
      <c r="B235" s="8">
        <f>IF(ISNA(MATCH(226,'Transfer Engine'!$C$2:$C$1369,0)),"",INDEX('Compliance Database'!$B$2:$B$1369,MATCH(226,'Transfer Engine'!$C$2:$C$1369,0)))</f>
        <v/>
      </c>
      <c r="C235" s="8">
        <f>IF(ISNA(MATCH(226,'Transfer Engine'!$C$2:$C$1369,0)),"",INDEX('Compliance Database'!$C$2:$C$1369,MATCH(226,'Transfer Engine'!$C$2:$C$1369,0)))</f>
        <v/>
      </c>
      <c r="D235" s="9">
        <f>IF(ISNA(MATCH(226,'Transfer Engine'!$C$2:$C$1369,0)),"",INDEX('Compliance Database'!$D$2:$D$1369,MATCH(226,'Transfer Engine'!$C$2:$C$1369,0)))</f>
        <v/>
      </c>
      <c r="E235" s="8">
        <f>IF(ISNA(MATCH(226,'Transfer Engine'!$C$2:$C$1369,0)),"",INDEX('Compliance Database'!$E$2:$E$1369,MATCH(226,'Transfer Engine'!$C$2:$C$1369,0)))</f>
        <v/>
      </c>
      <c r="F235" s="8">
        <f>IF(ISNA(MATCH(226,'Transfer Engine'!$C$2:$C$1369,0)),"",INDEX('Compliance Database'!$F$2:$F$1369,MATCH(226,'Transfer Engine'!$C$2:$C$1369,0)))</f>
        <v/>
      </c>
      <c r="G235" s="8">
        <f>IF(ISNA(MATCH(226,'Transfer Engine'!$C$2:$C$1369,0)),"",INDEX('Compliance Database'!$G$2:$G$1369,MATCH(226,'Transfer Engine'!$C$2:$C$1369,0)))</f>
        <v/>
      </c>
      <c r="H235" s="9">
        <f>IF(ISNA(MATCH(226,'Transfer Engine'!$C$2:$C$1369,0)),"",INDEX('Compliance Database'!$H$2:$H$1369,MATCH(226,'Transfer Engine'!$C$2:$C$1369,0)))</f>
        <v/>
      </c>
      <c r="I235" s="9">
        <f>IF(ISNA(MATCH(226,'Transfer Engine'!$C$2:$C$1369,0)),"",INDEX('Compliance Database'!$I$2:$I$1369,MATCH(226,'Transfer Engine'!$C$2:$C$1369,0)))</f>
        <v/>
      </c>
      <c r="J235" s="8">
        <f>IF(ISNA(MATCH(226,'Transfer Engine'!$C$2:$C$1369,0)),"",INDEX('Compliance Database'!$J$2:$J$1369,MATCH(226,'Transfer Engine'!$C$2:$C$1369,0)))</f>
        <v/>
      </c>
      <c r="K235" s="9">
        <f>IF(ISNA(MATCH(226,'Transfer Engine'!$C$2:$C$1369,0)),"",INDEX('Compliance Database'!$K$2:$K$1369,MATCH(226,'Transfer Engine'!$C$2:$C$1369,0)))</f>
        <v/>
      </c>
      <c r="L235" s="9">
        <f>IF(ISNA(MATCH(226,'Transfer Engine'!$C$2:$C$1369,0)),"",INDEX('Compliance Database'!$L$2:$L$1369,MATCH(226,'Transfer Engine'!$C$2:$C$1369,0)))</f>
        <v/>
      </c>
      <c r="M235" s="9">
        <f>IF(ISNA(MATCH(226,'Transfer Engine'!$C$2:$C$1369,0)),"",INDEX('Compliance Database'!$M$2:$M$1369,MATCH(226,'Transfer Engine'!$C$2:$C$1369,0)))</f>
        <v/>
      </c>
      <c r="N235" s="9">
        <f>IF(ISNA(MATCH(226,'Transfer Engine'!$C$2:$C$1369,0)),"",INDEX('Compliance Database'!$N$2:$N$1369,MATCH(226,'Transfer Engine'!$C$2:$C$1369,0)))</f>
        <v/>
      </c>
      <c r="O235" s="8">
        <f>IF(ISNA(MATCH(226,'Transfer Engine'!$C$2:$C$1369,0)),"",HYPERLINK(INDEX('Compliance Database'!$O$2:$O$1369,MATCH(226,'Transfer Engine'!$C$2:$C$1369,0)),"Open PDF"))</f>
        <v/>
      </c>
    </row>
    <row r="236" ht="188" customHeight="1">
      <c r="A236" s="8">
        <f>IF(ISNA(MATCH(227,'Transfer Engine'!$C$2:$C$1369,0)),"",INDEX('Compliance Database'!$A$2:$A$1369,MATCH(227,'Transfer Engine'!$C$2:$C$1369,0)))</f>
        <v/>
      </c>
      <c r="B236" s="8">
        <f>IF(ISNA(MATCH(227,'Transfer Engine'!$C$2:$C$1369,0)),"",INDEX('Compliance Database'!$B$2:$B$1369,MATCH(227,'Transfer Engine'!$C$2:$C$1369,0)))</f>
        <v/>
      </c>
      <c r="C236" s="8">
        <f>IF(ISNA(MATCH(227,'Transfer Engine'!$C$2:$C$1369,0)),"",INDEX('Compliance Database'!$C$2:$C$1369,MATCH(227,'Transfer Engine'!$C$2:$C$1369,0)))</f>
        <v/>
      </c>
      <c r="D236" s="9">
        <f>IF(ISNA(MATCH(227,'Transfer Engine'!$C$2:$C$1369,0)),"",INDEX('Compliance Database'!$D$2:$D$1369,MATCH(227,'Transfer Engine'!$C$2:$C$1369,0)))</f>
        <v/>
      </c>
      <c r="E236" s="8">
        <f>IF(ISNA(MATCH(227,'Transfer Engine'!$C$2:$C$1369,0)),"",INDEX('Compliance Database'!$E$2:$E$1369,MATCH(227,'Transfer Engine'!$C$2:$C$1369,0)))</f>
        <v/>
      </c>
      <c r="F236" s="8">
        <f>IF(ISNA(MATCH(227,'Transfer Engine'!$C$2:$C$1369,0)),"",INDEX('Compliance Database'!$F$2:$F$1369,MATCH(227,'Transfer Engine'!$C$2:$C$1369,0)))</f>
        <v/>
      </c>
      <c r="G236" s="8">
        <f>IF(ISNA(MATCH(227,'Transfer Engine'!$C$2:$C$1369,0)),"",INDEX('Compliance Database'!$G$2:$G$1369,MATCH(227,'Transfer Engine'!$C$2:$C$1369,0)))</f>
        <v/>
      </c>
      <c r="H236" s="9">
        <f>IF(ISNA(MATCH(227,'Transfer Engine'!$C$2:$C$1369,0)),"",INDEX('Compliance Database'!$H$2:$H$1369,MATCH(227,'Transfer Engine'!$C$2:$C$1369,0)))</f>
        <v/>
      </c>
      <c r="I236" s="9">
        <f>IF(ISNA(MATCH(227,'Transfer Engine'!$C$2:$C$1369,0)),"",INDEX('Compliance Database'!$I$2:$I$1369,MATCH(227,'Transfer Engine'!$C$2:$C$1369,0)))</f>
        <v/>
      </c>
      <c r="J236" s="8">
        <f>IF(ISNA(MATCH(227,'Transfer Engine'!$C$2:$C$1369,0)),"",INDEX('Compliance Database'!$J$2:$J$1369,MATCH(227,'Transfer Engine'!$C$2:$C$1369,0)))</f>
        <v/>
      </c>
      <c r="K236" s="9">
        <f>IF(ISNA(MATCH(227,'Transfer Engine'!$C$2:$C$1369,0)),"",INDEX('Compliance Database'!$K$2:$K$1369,MATCH(227,'Transfer Engine'!$C$2:$C$1369,0)))</f>
        <v/>
      </c>
      <c r="L236" s="9">
        <f>IF(ISNA(MATCH(227,'Transfer Engine'!$C$2:$C$1369,0)),"",INDEX('Compliance Database'!$L$2:$L$1369,MATCH(227,'Transfer Engine'!$C$2:$C$1369,0)))</f>
        <v/>
      </c>
      <c r="M236" s="9">
        <f>IF(ISNA(MATCH(227,'Transfer Engine'!$C$2:$C$1369,0)),"",INDEX('Compliance Database'!$M$2:$M$1369,MATCH(227,'Transfer Engine'!$C$2:$C$1369,0)))</f>
        <v/>
      </c>
      <c r="N236" s="9">
        <f>IF(ISNA(MATCH(227,'Transfer Engine'!$C$2:$C$1369,0)),"",INDEX('Compliance Database'!$N$2:$N$1369,MATCH(227,'Transfer Engine'!$C$2:$C$1369,0)))</f>
        <v/>
      </c>
      <c r="O236" s="8">
        <f>IF(ISNA(MATCH(227,'Transfer Engine'!$C$2:$C$1369,0)),"",HYPERLINK(INDEX('Compliance Database'!$O$2:$O$1369,MATCH(227,'Transfer Engine'!$C$2:$C$1369,0)),"Open PDF"))</f>
        <v/>
      </c>
    </row>
    <row r="237" ht="188" customHeight="1">
      <c r="A237" s="8">
        <f>IF(ISNA(MATCH(228,'Transfer Engine'!$C$2:$C$1369,0)),"",INDEX('Compliance Database'!$A$2:$A$1369,MATCH(228,'Transfer Engine'!$C$2:$C$1369,0)))</f>
        <v/>
      </c>
      <c r="B237" s="8">
        <f>IF(ISNA(MATCH(228,'Transfer Engine'!$C$2:$C$1369,0)),"",INDEX('Compliance Database'!$B$2:$B$1369,MATCH(228,'Transfer Engine'!$C$2:$C$1369,0)))</f>
        <v/>
      </c>
      <c r="C237" s="8">
        <f>IF(ISNA(MATCH(228,'Transfer Engine'!$C$2:$C$1369,0)),"",INDEX('Compliance Database'!$C$2:$C$1369,MATCH(228,'Transfer Engine'!$C$2:$C$1369,0)))</f>
        <v/>
      </c>
      <c r="D237" s="9">
        <f>IF(ISNA(MATCH(228,'Transfer Engine'!$C$2:$C$1369,0)),"",INDEX('Compliance Database'!$D$2:$D$1369,MATCH(228,'Transfer Engine'!$C$2:$C$1369,0)))</f>
        <v/>
      </c>
      <c r="E237" s="8">
        <f>IF(ISNA(MATCH(228,'Transfer Engine'!$C$2:$C$1369,0)),"",INDEX('Compliance Database'!$E$2:$E$1369,MATCH(228,'Transfer Engine'!$C$2:$C$1369,0)))</f>
        <v/>
      </c>
      <c r="F237" s="8">
        <f>IF(ISNA(MATCH(228,'Transfer Engine'!$C$2:$C$1369,0)),"",INDEX('Compliance Database'!$F$2:$F$1369,MATCH(228,'Transfer Engine'!$C$2:$C$1369,0)))</f>
        <v/>
      </c>
      <c r="G237" s="8">
        <f>IF(ISNA(MATCH(228,'Transfer Engine'!$C$2:$C$1369,0)),"",INDEX('Compliance Database'!$G$2:$G$1369,MATCH(228,'Transfer Engine'!$C$2:$C$1369,0)))</f>
        <v/>
      </c>
      <c r="H237" s="9">
        <f>IF(ISNA(MATCH(228,'Transfer Engine'!$C$2:$C$1369,0)),"",INDEX('Compliance Database'!$H$2:$H$1369,MATCH(228,'Transfer Engine'!$C$2:$C$1369,0)))</f>
        <v/>
      </c>
      <c r="I237" s="9">
        <f>IF(ISNA(MATCH(228,'Transfer Engine'!$C$2:$C$1369,0)),"",INDEX('Compliance Database'!$I$2:$I$1369,MATCH(228,'Transfer Engine'!$C$2:$C$1369,0)))</f>
        <v/>
      </c>
      <c r="J237" s="8">
        <f>IF(ISNA(MATCH(228,'Transfer Engine'!$C$2:$C$1369,0)),"",INDEX('Compliance Database'!$J$2:$J$1369,MATCH(228,'Transfer Engine'!$C$2:$C$1369,0)))</f>
        <v/>
      </c>
      <c r="K237" s="9">
        <f>IF(ISNA(MATCH(228,'Transfer Engine'!$C$2:$C$1369,0)),"",INDEX('Compliance Database'!$K$2:$K$1369,MATCH(228,'Transfer Engine'!$C$2:$C$1369,0)))</f>
        <v/>
      </c>
      <c r="L237" s="9">
        <f>IF(ISNA(MATCH(228,'Transfer Engine'!$C$2:$C$1369,0)),"",INDEX('Compliance Database'!$L$2:$L$1369,MATCH(228,'Transfer Engine'!$C$2:$C$1369,0)))</f>
        <v/>
      </c>
      <c r="M237" s="9">
        <f>IF(ISNA(MATCH(228,'Transfer Engine'!$C$2:$C$1369,0)),"",INDEX('Compliance Database'!$M$2:$M$1369,MATCH(228,'Transfer Engine'!$C$2:$C$1369,0)))</f>
        <v/>
      </c>
      <c r="N237" s="9">
        <f>IF(ISNA(MATCH(228,'Transfer Engine'!$C$2:$C$1369,0)),"",INDEX('Compliance Database'!$N$2:$N$1369,MATCH(228,'Transfer Engine'!$C$2:$C$1369,0)))</f>
        <v/>
      </c>
      <c r="O237" s="8">
        <f>IF(ISNA(MATCH(228,'Transfer Engine'!$C$2:$C$1369,0)),"",HYPERLINK(INDEX('Compliance Database'!$O$2:$O$1369,MATCH(228,'Transfer Engine'!$C$2:$C$1369,0)),"Open PDF"))</f>
        <v/>
      </c>
    </row>
    <row r="238" ht="188" customHeight="1">
      <c r="A238" s="8">
        <f>IF(ISNA(MATCH(229,'Transfer Engine'!$C$2:$C$1369,0)),"",INDEX('Compliance Database'!$A$2:$A$1369,MATCH(229,'Transfer Engine'!$C$2:$C$1369,0)))</f>
        <v/>
      </c>
      <c r="B238" s="8">
        <f>IF(ISNA(MATCH(229,'Transfer Engine'!$C$2:$C$1369,0)),"",INDEX('Compliance Database'!$B$2:$B$1369,MATCH(229,'Transfer Engine'!$C$2:$C$1369,0)))</f>
        <v/>
      </c>
      <c r="C238" s="8">
        <f>IF(ISNA(MATCH(229,'Transfer Engine'!$C$2:$C$1369,0)),"",INDEX('Compliance Database'!$C$2:$C$1369,MATCH(229,'Transfer Engine'!$C$2:$C$1369,0)))</f>
        <v/>
      </c>
      <c r="D238" s="9">
        <f>IF(ISNA(MATCH(229,'Transfer Engine'!$C$2:$C$1369,0)),"",INDEX('Compliance Database'!$D$2:$D$1369,MATCH(229,'Transfer Engine'!$C$2:$C$1369,0)))</f>
        <v/>
      </c>
      <c r="E238" s="8">
        <f>IF(ISNA(MATCH(229,'Transfer Engine'!$C$2:$C$1369,0)),"",INDEX('Compliance Database'!$E$2:$E$1369,MATCH(229,'Transfer Engine'!$C$2:$C$1369,0)))</f>
        <v/>
      </c>
      <c r="F238" s="8">
        <f>IF(ISNA(MATCH(229,'Transfer Engine'!$C$2:$C$1369,0)),"",INDEX('Compliance Database'!$F$2:$F$1369,MATCH(229,'Transfer Engine'!$C$2:$C$1369,0)))</f>
        <v/>
      </c>
      <c r="G238" s="8">
        <f>IF(ISNA(MATCH(229,'Transfer Engine'!$C$2:$C$1369,0)),"",INDEX('Compliance Database'!$G$2:$G$1369,MATCH(229,'Transfer Engine'!$C$2:$C$1369,0)))</f>
        <v/>
      </c>
      <c r="H238" s="9">
        <f>IF(ISNA(MATCH(229,'Transfer Engine'!$C$2:$C$1369,0)),"",INDEX('Compliance Database'!$H$2:$H$1369,MATCH(229,'Transfer Engine'!$C$2:$C$1369,0)))</f>
        <v/>
      </c>
      <c r="I238" s="9">
        <f>IF(ISNA(MATCH(229,'Transfer Engine'!$C$2:$C$1369,0)),"",INDEX('Compliance Database'!$I$2:$I$1369,MATCH(229,'Transfer Engine'!$C$2:$C$1369,0)))</f>
        <v/>
      </c>
      <c r="J238" s="8">
        <f>IF(ISNA(MATCH(229,'Transfer Engine'!$C$2:$C$1369,0)),"",INDEX('Compliance Database'!$J$2:$J$1369,MATCH(229,'Transfer Engine'!$C$2:$C$1369,0)))</f>
        <v/>
      </c>
      <c r="K238" s="9">
        <f>IF(ISNA(MATCH(229,'Transfer Engine'!$C$2:$C$1369,0)),"",INDEX('Compliance Database'!$K$2:$K$1369,MATCH(229,'Transfer Engine'!$C$2:$C$1369,0)))</f>
        <v/>
      </c>
      <c r="L238" s="9">
        <f>IF(ISNA(MATCH(229,'Transfer Engine'!$C$2:$C$1369,0)),"",INDEX('Compliance Database'!$L$2:$L$1369,MATCH(229,'Transfer Engine'!$C$2:$C$1369,0)))</f>
        <v/>
      </c>
      <c r="M238" s="9">
        <f>IF(ISNA(MATCH(229,'Transfer Engine'!$C$2:$C$1369,0)),"",INDEX('Compliance Database'!$M$2:$M$1369,MATCH(229,'Transfer Engine'!$C$2:$C$1369,0)))</f>
        <v/>
      </c>
      <c r="N238" s="9">
        <f>IF(ISNA(MATCH(229,'Transfer Engine'!$C$2:$C$1369,0)),"",INDEX('Compliance Database'!$N$2:$N$1369,MATCH(229,'Transfer Engine'!$C$2:$C$1369,0)))</f>
        <v/>
      </c>
      <c r="O238" s="8">
        <f>IF(ISNA(MATCH(229,'Transfer Engine'!$C$2:$C$1369,0)),"",HYPERLINK(INDEX('Compliance Database'!$O$2:$O$1369,MATCH(229,'Transfer Engine'!$C$2:$C$1369,0)),"Open PDF"))</f>
        <v/>
      </c>
    </row>
    <row r="239" ht="188" customHeight="1">
      <c r="A239" s="8">
        <f>IF(ISNA(MATCH(230,'Transfer Engine'!$C$2:$C$1369,0)),"",INDEX('Compliance Database'!$A$2:$A$1369,MATCH(230,'Transfer Engine'!$C$2:$C$1369,0)))</f>
        <v/>
      </c>
      <c r="B239" s="8">
        <f>IF(ISNA(MATCH(230,'Transfer Engine'!$C$2:$C$1369,0)),"",INDEX('Compliance Database'!$B$2:$B$1369,MATCH(230,'Transfer Engine'!$C$2:$C$1369,0)))</f>
        <v/>
      </c>
      <c r="C239" s="8">
        <f>IF(ISNA(MATCH(230,'Transfer Engine'!$C$2:$C$1369,0)),"",INDEX('Compliance Database'!$C$2:$C$1369,MATCH(230,'Transfer Engine'!$C$2:$C$1369,0)))</f>
        <v/>
      </c>
      <c r="D239" s="9">
        <f>IF(ISNA(MATCH(230,'Transfer Engine'!$C$2:$C$1369,0)),"",INDEX('Compliance Database'!$D$2:$D$1369,MATCH(230,'Transfer Engine'!$C$2:$C$1369,0)))</f>
        <v/>
      </c>
      <c r="E239" s="8">
        <f>IF(ISNA(MATCH(230,'Transfer Engine'!$C$2:$C$1369,0)),"",INDEX('Compliance Database'!$E$2:$E$1369,MATCH(230,'Transfer Engine'!$C$2:$C$1369,0)))</f>
        <v/>
      </c>
      <c r="F239" s="8">
        <f>IF(ISNA(MATCH(230,'Transfer Engine'!$C$2:$C$1369,0)),"",INDEX('Compliance Database'!$F$2:$F$1369,MATCH(230,'Transfer Engine'!$C$2:$C$1369,0)))</f>
        <v/>
      </c>
      <c r="G239" s="8">
        <f>IF(ISNA(MATCH(230,'Transfer Engine'!$C$2:$C$1369,0)),"",INDEX('Compliance Database'!$G$2:$G$1369,MATCH(230,'Transfer Engine'!$C$2:$C$1369,0)))</f>
        <v/>
      </c>
      <c r="H239" s="9">
        <f>IF(ISNA(MATCH(230,'Transfer Engine'!$C$2:$C$1369,0)),"",INDEX('Compliance Database'!$H$2:$H$1369,MATCH(230,'Transfer Engine'!$C$2:$C$1369,0)))</f>
        <v/>
      </c>
      <c r="I239" s="9">
        <f>IF(ISNA(MATCH(230,'Transfer Engine'!$C$2:$C$1369,0)),"",INDEX('Compliance Database'!$I$2:$I$1369,MATCH(230,'Transfer Engine'!$C$2:$C$1369,0)))</f>
        <v/>
      </c>
      <c r="J239" s="8">
        <f>IF(ISNA(MATCH(230,'Transfer Engine'!$C$2:$C$1369,0)),"",INDEX('Compliance Database'!$J$2:$J$1369,MATCH(230,'Transfer Engine'!$C$2:$C$1369,0)))</f>
        <v/>
      </c>
      <c r="K239" s="9">
        <f>IF(ISNA(MATCH(230,'Transfer Engine'!$C$2:$C$1369,0)),"",INDEX('Compliance Database'!$K$2:$K$1369,MATCH(230,'Transfer Engine'!$C$2:$C$1369,0)))</f>
        <v/>
      </c>
      <c r="L239" s="9">
        <f>IF(ISNA(MATCH(230,'Transfer Engine'!$C$2:$C$1369,0)),"",INDEX('Compliance Database'!$L$2:$L$1369,MATCH(230,'Transfer Engine'!$C$2:$C$1369,0)))</f>
        <v/>
      </c>
      <c r="M239" s="9">
        <f>IF(ISNA(MATCH(230,'Transfer Engine'!$C$2:$C$1369,0)),"",INDEX('Compliance Database'!$M$2:$M$1369,MATCH(230,'Transfer Engine'!$C$2:$C$1369,0)))</f>
        <v/>
      </c>
      <c r="N239" s="9">
        <f>IF(ISNA(MATCH(230,'Transfer Engine'!$C$2:$C$1369,0)),"",INDEX('Compliance Database'!$N$2:$N$1369,MATCH(230,'Transfer Engine'!$C$2:$C$1369,0)))</f>
        <v/>
      </c>
      <c r="O239" s="8">
        <f>IF(ISNA(MATCH(230,'Transfer Engine'!$C$2:$C$1369,0)),"",HYPERLINK(INDEX('Compliance Database'!$O$2:$O$1369,MATCH(230,'Transfer Engine'!$C$2:$C$1369,0)),"Open PDF"))</f>
        <v/>
      </c>
    </row>
    <row r="240" ht="188" customHeight="1">
      <c r="A240" s="8">
        <f>IF(ISNA(MATCH(231,'Transfer Engine'!$C$2:$C$1369,0)),"",INDEX('Compliance Database'!$A$2:$A$1369,MATCH(231,'Transfer Engine'!$C$2:$C$1369,0)))</f>
        <v/>
      </c>
      <c r="B240" s="8">
        <f>IF(ISNA(MATCH(231,'Transfer Engine'!$C$2:$C$1369,0)),"",INDEX('Compliance Database'!$B$2:$B$1369,MATCH(231,'Transfer Engine'!$C$2:$C$1369,0)))</f>
        <v/>
      </c>
      <c r="C240" s="8">
        <f>IF(ISNA(MATCH(231,'Transfer Engine'!$C$2:$C$1369,0)),"",INDEX('Compliance Database'!$C$2:$C$1369,MATCH(231,'Transfer Engine'!$C$2:$C$1369,0)))</f>
        <v/>
      </c>
      <c r="D240" s="9">
        <f>IF(ISNA(MATCH(231,'Transfer Engine'!$C$2:$C$1369,0)),"",INDEX('Compliance Database'!$D$2:$D$1369,MATCH(231,'Transfer Engine'!$C$2:$C$1369,0)))</f>
        <v/>
      </c>
      <c r="E240" s="8">
        <f>IF(ISNA(MATCH(231,'Transfer Engine'!$C$2:$C$1369,0)),"",INDEX('Compliance Database'!$E$2:$E$1369,MATCH(231,'Transfer Engine'!$C$2:$C$1369,0)))</f>
        <v/>
      </c>
      <c r="F240" s="8">
        <f>IF(ISNA(MATCH(231,'Transfer Engine'!$C$2:$C$1369,0)),"",INDEX('Compliance Database'!$F$2:$F$1369,MATCH(231,'Transfer Engine'!$C$2:$C$1369,0)))</f>
        <v/>
      </c>
      <c r="G240" s="8">
        <f>IF(ISNA(MATCH(231,'Transfer Engine'!$C$2:$C$1369,0)),"",INDEX('Compliance Database'!$G$2:$G$1369,MATCH(231,'Transfer Engine'!$C$2:$C$1369,0)))</f>
        <v/>
      </c>
      <c r="H240" s="9">
        <f>IF(ISNA(MATCH(231,'Transfer Engine'!$C$2:$C$1369,0)),"",INDEX('Compliance Database'!$H$2:$H$1369,MATCH(231,'Transfer Engine'!$C$2:$C$1369,0)))</f>
        <v/>
      </c>
      <c r="I240" s="9">
        <f>IF(ISNA(MATCH(231,'Transfer Engine'!$C$2:$C$1369,0)),"",INDEX('Compliance Database'!$I$2:$I$1369,MATCH(231,'Transfer Engine'!$C$2:$C$1369,0)))</f>
        <v/>
      </c>
      <c r="J240" s="8">
        <f>IF(ISNA(MATCH(231,'Transfer Engine'!$C$2:$C$1369,0)),"",INDEX('Compliance Database'!$J$2:$J$1369,MATCH(231,'Transfer Engine'!$C$2:$C$1369,0)))</f>
        <v/>
      </c>
      <c r="K240" s="9">
        <f>IF(ISNA(MATCH(231,'Transfer Engine'!$C$2:$C$1369,0)),"",INDEX('Compliance Database'!$K$2:$K$1369,MATCH(231,'Transfer Engine'!$C$2:$C$1369,0)))</f>
        <v/>
      </c>
      <c r="L240" s="9">
        <f>IF(ISNA(MATCH(231,'Transfer Engine'!$C$2:$C$1369,0)),"",INDEX('Compliance Database'!$L$2:$L$1369,MATCH(231,'Transfer Engine'!$C$2:$C$1369,0)))</f>
        <v/>
      </c>
      <c r="M240" s="9">
        <f>IF(ISNA(MATCH(231,'Transfer Engine'!$C$2:$C$1369,0)),"",INDEX('Compliance Database'!$M$2:$M$1369,MATCH(231,'Transfer Engine'!$C$2:$C$1369,0)))</f>
        <v/>
      </c>
      <c r="N240" s="9">
        <f>IF(ISNA(MATCH(231,'Transfer Engine'!$C$2:$C$1369,0)),"",INDEX('Compliance Database'!$N$2:$N$1369,MATCH(231,'Transfer Engine'!$C$2:$C$1369,0)))</f>
        <v/>
      </c>
      <c r="O240" s="8">
        <f>IF(ISNA(MATCH(231,'Transfer Engine'!$C$2:$C$1369,0)),"",HYPERLINK(INDEX('Compliance Database'!$O$2:$O$1369,MATCH(231,'Transfer Engine'!$C$2:$C$1369,0)),"Open PDF"))</f>
        <v/>
      </c>
    </row>
    <row r="241" ht="188" customHeight="1">
      <c r="A241" s="8">
        <f>IF(ISNA(MATCH(232,'Transfer Engine'!$C$2:$C$1369,0)),"",INDEX('Compliance Database'!$A$2:$A$1369,MATCH(232,'Transfer Engine'!$C$2:$C$1369,0)))</f>
        <v/>
      </c>
      <c r="B241" s="8">
        <f>IF(ISNA(MATCH(232,'Transfer Engine'!$C$2:$C$1369,0)),"",INDEX('Compliance Database'!$B$2:$B$1369,MATCH(232,'Transfer Engine'!$C$2:$C$1369,0)))</f>
        <v/>
      </c>
      <c r="C241" s="8">
        <f>IF(ISNA(MATCH(232,'Transfer Engine'!$C$2:$C$1369,0)),"",INDEX('Compliance Database'!$C$2:$C$1369,MATCH(232,'Transfer Engine'!$C$2:$C$1369,0)))</f>
        <v/>
      </c>
      <c r="D241" s="9">
        <f>IF(ISNA(MATCH(232,'Transfer Engine'!$C$2:$C$1369,0)),"",INDEX('Compliance Database'!$D$2:$D$1369,MATCH(232,'Transfer Engine'!$C$2:$C$1369,0)))</f>
        <v/>
      </c>
      <c r="E241" s="8">
        <f>IF(ISNA(MATCH(232,'Transfer Engine'!$C$2:$C$1369,0)),"",INDEX('Compliance Database'!$E$2:$E$1369,MATCH(232,'Transfer Engine'!$C$2:$C$1369,0)))</f>
        <v/>
      </c>
      <c r="F241" s="8">
        <f>IF(ISNA(MATCH(232,'Transfer Engine'!$C$2:$C$1369,0)),"",INDEX('Compliance Database'!$F$2:$F$1369,MATCH(232,'Transfer Engine'!$C$2:$C$1369,0)))</f>
        <v/>
      </c>
      <c r="G241" s="8">
        <f>IF(ISNA(MATCH(232,'Transfer Engine'!$C$2:$C$1369,0)),"",INDEX('Compliance Database'!$G$2:$G$1369,MATCH(232,'Transfer Engine'!$C$2:$C$1369,0)))</f>
        <v/>
      </c>
      <c r="H241" s="9">
        <f>IF(ISNA(MATCH(232,'Transfer Engine'!$C$2:$C$1369,0)),"",INDEX('Compliance Database'!$H$2:$H$1369,MATCH(232,'Transfer Engine'!$C$2:$C$1369,0)))</f>
        <v/>
      </c>
      <c r="I241" s="9">
        <f>IF(ISNA(MATCH(232,'Transfer Engine'!$C$2:$C$1369,0)),"",INDEX('Compliance Database'!$I$2:$I$1369,MATCH(232,'Transfer Engine'!$C$2:$C$1369,0)))</f>
        <v/>
      </c>
      <c r="J241" s="8">
        <f>IF(ISNA(MATCH(232,'Transfer Engine'!$C$2:$C$1369,0)),"",INDEX('Compliance Database'!$J$2:$J$1369,MATCH(232,'Transfer Engine'!$C$2:$C$1369,0)))</f>
        <v/>
      </c>
      <c r="K241" s="9">
        <f>IF(ISNA(MATCH(232,'Transfer Engine'!$C$2:$C$1369,0)),"",INDEX('Compliance Database'!$K$2:$K$1369,MATCH(232,'Transfer Engine'!$C$2:$C$1369,0)))</f>
        <v/>
      </c>
      <c r="L241" s="9">
        <f>IF(ISNA(MATCH(232,'Transfer Engine'!$C$2:$C$1369,0)),"",INDEX('Compliance Database'!$L$2:$L$1369,MATCH(232,'Transfer Engine'!$C$2:$C$1369,0)))</f>
        <v/>
      </c>
      <c r="M241" s="9">
        <f>IF(ISNA(MATCH(232,'Transfer Engine'!$C$2:$C$1369,0)),"",INDEX('Compliance Database'!$M$2:$M$1369,MATCH(232,'Transfer Engine'!$C$2:$C$1369,0)))</f>
        <v/>
      </c>
      <c r="N241" s="9">
        <f>IF(ISNA(MATCH(232,'Transfer Engine'!$C$2:$C$1369,0)),"",INDEX('Compliance Database'!$N$2:$N$1369,MATCH(232,'Transfer Engine'!$C$2:$C$1369,0)))</f>
        <v/>
      </c>
      <c r="O241" s="8">
        <f>IF(ISNA(MATCH(232,'Transfer Engine'!$C$2:$C$1369,0)),"",HYPERLINK(INDEX('Compliance Database'!$O$2:$O$1369,MATCH(232,'Transfer Engine'!$C$2:$C$1369,0)),"Open PDF"))</f>
        <v/>
      </c>
    </row>
    <row r="242" ht="188" customHeight="1">
      <c r="A242" s="8">
        <f>IF(ISNA(MATCH(233,'Transfer Engine'!$C$2:$C$1369,0)),"",INDEX('Compliance Database'!$A$2:$A$1369,MATCH(233,'Transfer Engine'!$C$2:$C$1369,0)))</f>
        <v/>
      </c>
      <c r="B242" s="8">
        <f>IF(ISNA(MATCH(233,'Transfer Engine'!$C$2:$C$1369,0)),"",INDEX('Compliance Database'!$B$2:$B$1369,MATCH(233,'Transfer Engine'!$C$2:$C$1369,0)))</f>
        <v/>
      </c>
      <c r="C242" s="8">
        <f>IF(ISNA(MATCH(233,'Transfer Engine'!$C$2:$C$1369,0)),"",INDEX('Compliance Database'!$C$2:$C$1369,MATCH(233,'Transfer Engine'!$C$2:$C$1369,0)))</f>
        <v/>
      </c>
      <c r="D242" s="9">
        <f>IF(ISNA(MATCH(233,'Transfer Engine'!$C$2:$C$1369,0)),"",INDEX('Compliance Database'!$D$2:$D$1369,MATCH(233,'Transfer Engine'!$C$2:$C$1369,0)))</f>
        <v/>
      </c>
      <c r="E242" s="8">
        <f>IF(ISNA(MATCH(233,'Transfer Engine'!$C$2:$C$1369,0)),"",INDEX('Compliance Database'!$E$2:$E$1369,MATCH(233,'Transfer Engine'!$C$2:$C$1369,0)))</f>
        <v/>
      </c>
      <c r="F242" s="8">
        <f>IF(ISNA(MATCH(233,'Transfer Engine'!$C$2:$C$1369,0)),"",INDEX('Compliance Database'!$F$2:$F$1369,MATCH(233,'Transfer Engine'!$C$2:$C$1369,0)))</f>
        <v/>
      </c>
      <c r="G242" s="8">
        <f>IF(ISNA(MATCH(233,'Transfer Engine'!$C$2:$C$1369,0)),"",INDEX('Compliance Database'!$G$2:$G$1369,MATCH(233,'Transfer Engine'!$C$2:$C$1369,0)))</f>
        <v/>
      </c>
      <c r="H242" s="9">
        <f>IF(ISNA(MATCH(233,'Transfer Engine'!$C$2:$C$1369,0)),"",INDEX('Compliance Database'!$H$2:$H$1369,MATCH(233,'Transfer Engine'!$C$2:$C$1369,0)))</f>
        <v/>
      </c>
      <c r="I242" s="9">
        <f>IF(ISNA(MATCH(233,'Transfer Engine'!$C$2:$C$1369,0)),"",INDEX('Compliance Database'!$I$2:$I$1369,MATCH(233,'Transfer Engine'!$C$2:$C$1369,0)))</f>
        <v/>
      </c>
      <c r="J242" s="8">
        <f>IF(ISNA(MATCH(233,'Transfer Engine'!$C$2:$C$1369,0)),"",INDEX('Compliance Database'!$J$2:$J$1369,MATCH(233,'Transfer Engine'!$C$2:$C$1369,0)))</f>
        <v/>
      </c>
      <c r="K242" s="9">
        <f>IF(ISNA(MATCH(233,'Transfer Engine'!$C$2:$C$1369,0)),"",INDEX('Compliance Database'!$K$2:$K$1369,MATCH(233,'Transfer Engine'!$C$2:$C$1369,0)))</f>
        <v/>
      </c>
      <c r="L242" s="9">
        <f>IF(ISNA(MATCH(233,'Transfer Engine'!$C$2:$C$1369,0)),"",INDEX('Compliance Database'!$L$2:$L$1369,MATCH(233,'Transfer Engine'!$C$2:$C$1369,0)))</f>
        <v/>
      </c>
      <c r="M242" s="9">
        <f>IF(ISNA(MATCH(233,'Transfer Engine'!$C$2:$C$1369,0)),"",INDEX('Compliance Database'!$M$2:$M$1369,MATCH(233,'Transfer Engine'!$C$2:$C$1369,0)))</f>
        <v/>
      </c>
      <c r="N242" s="9">
        <f>IF(ISNA(MATCH(233,'Transfer Engine'!$C$2:$C$1369,0)),"",INDEX('Compliance Database'!$N$2:$N$1369,MATCH(233,'Transfer Engine'!$C$2:$C$1369,0)))</f>
        <v/>
      </c>
      <c r="O242" s="8">
        <f>IF(ISNA(MATCH(233,'Transfer Engine'!$C$2:$C$1369,0)),"",HYPERLINK(INDEX('Compliance Database'!$O$2:$O$1369,MATCH(233,'Transfer Engine'!$C$2:$C$1369,0)),"Open PDF"))</f>
        <v/>
      </c>
    </row>
    <row r="243" ht="188" customHeight="1">
      <c r="A243" s="8">
        <f>IF(ISNA(MATCH(234,'Transfer Engine'!$C$2:$C$1369,0)),"",INDEX('Compliance Database'!$A$2:$A$1369,MATCH(234,'Transfer Engine'!$C$2:$C$1369,0)))</f>
        <v/>
      </c>
      <c r="B243" s="8">
        <f>IF(ISNA(MATCH(234,'Transfer Engine'!$C$2:$C$1369,0)),"",INDEX('Compliance Database'!$B$2:$B$1369,MATCH(234,'Transfer Engine'!$C$2:$C$1369,0)))</f>
        <v/>
      </c>
      <c r="C243" s="8">
        <f>IF(ISNA(MATCH(234,'Transfer Engine'!$C$2:$C$1369,0)),"",INDEX('Compliance Database'!$C$2:$C$1369,MATCH(234,'Transfer Engine'!$C$2:$C$1369,0)))</f>
        <v/>
      </c>
      <c r="D243" s="9">
        <f>IF(ISNA(MATCH(234,'Transfer Engine'!$C$2:$C$1369,0)),"",INDEX('Compliance Database'!$D$2:$D$1369,MATCH(234,'Transfer Engine'!$C$2:$C$1369,0)))</f>
        <v/>
      </c>
      <c r="E243" s="8">
        <f>IF(ISNA(MATCH(234,'Transfer Engine'!$C$2:$C$1369,0)),"",INDEX('Compliance Database'!$E$2:$E$1369,MATCH(234,'Transfer Engine'!$C$2:$C$1369,0)))</f>
        <v/>
      </c>
      <c r="F243" s="8">
        <f>IF(ISNA(MATCH(234,'Transfer Engine'!$C$2:$C$1369,0)),"",INDEX('Compliance Database'!$F$2:$F$1369,MATCH(234,'Transfer Engine'!$C$2:$C$1369,0)))</f>
        <v/>
      </c>
      <c r="G243" s="8">
        <f>IF(ISNA(MATCH(234,'Transfer Engine'!$C$2:$C$1369,0)),"",INDEX('Compliance Database'!$G$2:$G$1369,MATCH(234,'Transfer Engine'!$C$2:$C$1369,0)))</f>
        <v/>
      </c>
      <c r="H243" s="9">
        <f>IF(ISNA(MATCH(234,'Transfer Engine'!$C$2:$C$1369,0)),"",INDEX('Compliance Database'!$H$2:$H$1369,MATCH(234,'Transfer Engine'!$C$2:$C$1369,0)))</f>
        <v/>
      </c>
      <c r="I243" s="9">
        <f>IF(ISNA(MATCH(234,'Transfer Engine'!$C$2:$C$1369,0)),"",INDEX('Compliance Database'!$I$2:$I$1369,MATCH(234,'Transfer Engine'!$C$2:$C$1369,0)))</f>
        <v/>
      </c>
      <c r="J243" s="8">
        <f>IF(ISNA(MATCH(234,'Transfer Engine'!$C$2:$C$1369,0)),"",INDEX('Compliance Database'!$J$2:$J$1369,MATCH(234,'Transfer Engine'!$C$2:$C$1369,0)))</f>
        <v/>
      </c>
      <c r="K243" s="9">
        <f>IF(ISNA(MATCH(234,'Transfer Engine'!$C$2:$C$1369,0)),"",INDEX('Compliance Database'!$K$2:$K$1369,MATCH(234,'Transfer Engine'!$C$2:$C$1369,0)))</f>
        <v/>
      </c>
      <c r="L243" s="9">
        <f>IF(ISNA(MATCH(234,'Transfer Engine'!$C$2:$C$1369,0)),"",INDEX('Compliance Database'!$L$2:$L$1369,MATCH(234,'Transfer Engine'!$C$2:$C$1369,0)))</f>
        <v/>
      </c>
      <c r="M243" s="9">
        <f>IF(ISNA(MATCH(234,'Transfer Engine'!$C$2:$C$1369,0)),"",INDEX('Compliance Database'!$M$2:$M$1369,MATCH(234,'Transfer Engine'!$C$2:$C$1369,0)))</f>
        <v/>
      </c>
      <c r="N243" s="9">
        <f>IF(ISNA(MATCH(234,'Transfer Engine'!$C$2:$C$1369,0)),"",INDEX('Compliance Database'!$N$2:$N$1369,MATCH(234,'Transfer Engine'!$C$2:$C$1369,0)))</f>
        <v/>
      </c>
      <c r="O243" s="8">
        <f>IF(ISNA(MATCH(234,'Transfer Engine'!$C$2:$C$1369,0)),"",HYPERLINK(INDEX('Compliance Database'!$O$2:$O$1369,MATCH(234,'Transfer Engine'!$C$2:$C$1369,0)),"Open PDF"))</f>
        <v/>
      </c>
    </row>
    <row r="244" ht="188" customHeight="1">
      <c r="A244" s="8">
        <f>IF(ISNA(MATCH(235,'Transfer Engine'!$C$2:$C$1369,0)),"",INDEX('Compliance Database'!$A$2:$A$1369,MATCH(235,'Transfer Engine'!$C$2:$C$1369,0)))</f>
        <v/>
      </c>
      <c r="B244" s="8">
        <f>IF(ISNA(MATCH(235,'Transfer Engine'!$C$2:$C$1369,0)),"",INDEX('Compliance Database'!$B$2:$B$1369,MATCH(235,'Transfer Engine'!$C$2:$C$1369,0)))</f>
        <v/>
      </c>
      <c r="C244" s="8">
        <f>IF(ISNA(MATCH(235,'Transfer Engine'!$C$2:$C$1369,0)),"",INDEX('Compliance Database'!$C$2:$C$1369,MATCH(235,'Transfer Engine'!$C$2:$C$1369,0)))</f>
        <v/>
      </c>
      <c r="D244" s="9">
        <f>IF(ISNA(MATCH(235,'Transfer Engine'!$C$2:$C$1369,0)),"",INDEX('Compliance Database'!$D$2:$D$1369,MATCH(235,'Transfer Engine'!$C$2:$C$1369,0)))</f>
        <v/>
      </c>
      <c r="E244" s="8">
        <f>IF(ISNA(MATCH(235,'Transfer Engine'!$C$2:$C$1369,0)),"",INDEX('Compliance Database'!$E$2:$E$1369,MATCH(235,'Transfer Engine'!$C$2:$C$1369,0)))</f>
        <v/>
      </c>
      <c r="F244" s="8">
        <f>IF(ISNA(MATCH(235,'Transfer Engine'!$C$2:$C$1369,0)),"",INDEX('Compliance Database'!$F$2:$F$1369,MATCH(235,'Transfer Engine'!$C$2:$C$1369,0)))</f>
        <v/>
      </c>
      <c r="G244" s="8">
        <f>IF(ISNA(MATCH(235,'Transfer Engine'!$C$2:$C$1369,0)),"",INDEX('Compliance Database'!$G$2:$G$1369,MATCH(235,'Transfer Engine'!$C$2:$C$1369,0)))</f>
        <v/>
      </c>
      <c r="H244" s="9">
        <f>IF(ISNA(MATCH(235,'Transfer Engine'!$C$2:$C$1369,0)),"",INDEX('Compliance Database'!$H$2:$H$1369,MATCH(235,'Transfer Engine'!$C$2:$C$1369,0)))</f>
        <v/>
      </c>
      <c r="I244" s="9">
        <f>IF(ISNA(MATCH(235,'Transfer Engine'!$C$2:$C$1369,0)),"",INDEX('Compliance Database'!$I$2:$I$1369,MATCH(235,'Transfer Engine'!$C$2:$C$1369,0)))</f>
        <v/>
      </c>
      <c r="J244" s="8">
        <f>IF(ISNA(MATCH(235,'Transfer Engine'!$C$2:$C$1369,0)),"",INDEX('Compliance Database'!$J$2:$J$1369,MATCH(235,'Transfer Engine'!$C$2:$C$1369,0)))</f>
        <v/>
      </c>
      <c r="K244" s="9">
        <f>IF(ISNA(MATCH(235,'Transfer Engine'!$C$2:$C$1369,0)),"",INDEX('Compliance Database'!$K$2:$K$1369,MATCH(235,'Transfer Engine'!$C$2:$C$1369,0)))</f>
        <v/>
      </c>
      <c r="L244" s="9">
        <f>IF(ISNA(MATCH(235,'Transfer Engine'!$C$2:$C$1369,0)),"",INDEX('Compliance Database'!$L$2:$L$1369,MATCH(235,'Transfer Engine'!$C$2:$C$1369,0)))</f>
        <v/>
      </c>
      <c r="M244" s="9">
        <f>IF(ISNA(MATCH(235,'Transfer Engine'!$C$2:$C$1369,0)),"",INDEX('Compliance Database'!$M$2:$M$1369,MATCH(235,'Transfer Engine'!$C$2:$C$1369,0)))</f>
        <v/>
      </c>
      <c r="N244" s="9">
        <f>IF(ISNA(MATCH(235,'Transfer Engine'!$C$2:$C$1369,0)),"",INDEX('Compliance Database'!$N$2:$N$1369,MATCH(235,'Transfer Engine'!$C$2:$C$1369,0)))</f>
        <v/>
      </c>
      <c r="O244" s="8">
        <f>IF(ISNA(MATCH(235,'Transfer Engine'!$C$2:$C$1369,0)),"",HYPERLINK(INDEX('Compliance Database'!$O$2:$O$1369,MATCH(235,'Transfer Engine'!$C$2:$C$1369,0)),"Open PDF"))</f>
        <v/>
      </c>
    </row>
    <row r="245" ht="188" customHeight="1">
      <c r="A245" s="8">
        <f>IF(ISNA(MATCH(236,'Transfer Engine'!$C$2:$C$1369,0)),"",INDEX('Compliance Database'!$A$2:$A$1369,MATCH(236,'Transfer Engine'!$C$2:$C$1369,0)))</f>
        <v/>
      </c>
      <c r="B245" s="8">
        <f>IF(ISNA(MATCH(236,'Transfer Engine'!$C$2:$C$1369,0)),"",INDEX('Compliance Database'!$B$2:$B$1369,MATCH(236,'Transfer Engine'!$C$2:$C$1369,0)))</f>
        <v/>
      </c>
      <c r="C245" s="8">
        <f>IF(ISNA(MATCH(236,'Transfer Engine'!$C$2:$C$1369,0)),"",INDEX('Compliance Database'!$C$2:$C$1369,MATCH(236,'Transfer Engine'!$C$2:$C$1369,0)))</f>
        <v/>
      </c>
      <c r="D245" s="9">
        <f>IF(ISNA(MATCH(236,'Transfer Engine'!$C$2:$C$1369,0)),"",INDEX('Compliance Database'!$D$2:$D$1369,MATCH(236,'Transfer Engine'!$C$2:$C$1369,0)))</f>
        <v/>
      </c>
      <c r="E245" s="8">
        <f>IF(ISNA(MATCH(236,'Transfer Engine'!$C$2:$C$1369,0)),"",INDEX('Compliance Database'!$E$2:$E$1369,MATCH(236,'Transfer Engine'!$C$2:$C$1369,0)))</f>
        <v/>
      </c>
      <c r="F245" s="8">
        <f>IF(ISNA(MATCH(236,'Transfer Engine'!$C$2:$C$1369,0)),"",INDEX('Compliance Database'!$F$2:$F$1369,MATCH(236,'Transfer Engine'!$C$2:$C$1369,0)))</f>
        <v/>
      </c>
      <c r="G245" s="8">
        <f>IF(ISNA(MATCH(236,'Transfer Engine'!$C$2:$C$1369,0)),"",INDEX('Compliance Database'!$G$2:$G$1369,MATCH(236,'Transfer Engine'!$C$2:$C$1369,0)))</f>
        <v/>
      </c>
      <c r="H245" s="9">
        <f>IF(ISNA(MATCH(236,'Transfer Engine'!$C$2:$C$1369,0)),"",INDEX('Compliance Database'!$H$2:$H$1369,MATCH(236,'Transfer Engine'!$C$2:$C$1369,0)))</f>
        <v/>
      </c>
      <c r="I245" s="9">
        <f>IF(ISNA(MATCH(236,'Transfer Engine'!$C$2:$C$1369,0)),"",INDEX('Compliance Database'!$I$2:$I$1369,MATCH(236,'Transfer Engine'!$C$2:$C$1369,0)))</f>
        <v/>
      </c>
      <c r="J245" s="8">
        <f>IF(ISNA(MATCH(236,'Transfer Engine'!$C$2:$C$1369,0)),"",INDEX('Compliance Database'!$J$2:$J$1369,MATCH(236,'Transfer Engine'!$C$2:$C$1369,0)))</f>
        <v/>
      </c>
      <c r="K245" s="9">
        <f>IF(ISNA(MATCH(236,'Transfer Engine'!$C$2:$C$1369,0)),"",INDEX('Compliance Database'!$K$2:$K$1369,MATCH(236,'Transfer Engine'!$C$2:$C$1369,0)))</f>
        <v/>
      </c>
      <c r="L245" s="9">
        <f>IF(ISNA(MATCH(236,'Transfer Engine'!$C$2:$C$1369,0)),"",INDEX('Compliance Database'!$L$2:$L$1369,MATCH(236,'Transfer Engine'!$C$2:$C$1369,0)))</f>
        <v/>
      </c>
      <c r="M245" s="9">
        <f>IF(ISNA(MATCH(236,'Transfer Engine'!$C$2:$C$1369,0)),"",INDEX('Compliance Database'!$M$2:$M$1369,MATCH(236,'Transfer Engine'!$C$2:$C$1369,0)))</f>
        <v/>
      </c>
      <c r="N245" s="9">
        <f>IF(ISNA(MATCH(236,'Transfer Engine'!$C$2:$C$1369,0)),"",INDEX('Compliance Database'!$N$2:$N$1369,MATCH(236,'Transfer Engine'!$C$2:$C$1369,0)))</f>
        <v/>
      </c>
      <c r="O245" s="8">
        <f>IF(ISNA(MATCH(236,'Transfer Engine'!$C$2:$C$1369,0)),"",HYPERLINK(INDEX('Compliance Database'!$O$2:$O$1369,MATCH(236,'Transfer Engine'!$C$2:$C$1369,0)),"Open PDF"))</f>
        <v/>
      </c>
    </row>
    <row r="246" ht="188" customHeight="1">
      <c r="A246" s="8">
        <f>IF(ISNA(MATCH(237,'Transfer Engine'!$C$2:$C$1369,0)),"",INDEX('Compliance Database'!$A$2:$A$1369,MATCH(237,'Transfer Engine'!$C$2:$C$1369,0)))</f>
        <v/>
      </c>
      <c r="B246" s="8">
        <f>IF(ISNA(MATCH(237,'Transfer Engine'!$C$2:$C$1369,0)),"",INDEX('Compliance Database'!$B$2:$B$1369,MATCH(237,'Transfer Engine'!$C$2:$C$1369,0)))</f>
        <v/>
      </c>
      <c r="C246" s="8">
        <f>IF(ISNA(MATCH(237,'Transfer Engine'!$C$2:$C$1369,0)),"",INDEX('Compliance Database'!$C$2:$C$1369,MATCH(237,'Transfer Engine'!$C$2:$C$1369,0)))</f>
        <v/>
      </c>
      <c r="D246" s="9">
        <f>IF(ISNA(MATCH(237,'Transfer Engine'!$C$2:$C$1369,0)),"",INDEX('Compliance Database'!$D$2:$D$1369,MATCH(237,'Transfer Engine'!$C$2:$C$1369,0)))</f>
        <v/>
      </c>
      <c r="E246" s="8">
        <f>IF(ISNA(MATCH(237,'Transfer Engine'!$C$2:$C$1369,0)),"",INDEX('Compliance Database'!$E$2:$E$1369,MATCH(237,'Transfer Engine'!$C$2:$C$1369,0)))</f>
        <v/>
      </c>
      <c r="F246" s="8">
        <f>IF(ISNA(MATCH(237,'Transfer Engine'!$C$2:$C$1369,0)),"",INDEX('Compliance Database'!$F$2:$F$1369,MATCH(237,'Transfer Engine'!$C$2:$C$1369,0)))</f>
        <v/>
      </c>
      <c r="G246" s="8">
        <f>IF(ISNA(MATCH(237,'Transfer Engine'!$C$2:$C$1369,0)),"",INDEX('Compliance Database'!$G$2:$G$1369,MATCH(237,'Transfer Engine'!$C$2:$C$1369,0)))</f>
        <v/>
      </c>
      <c r="H246" s="9">
        <f>IF(ISNA(MATCH(237,'Transfer Engine'!$C$2:$C$1369,0)),"",INDEX('Compliance Database'!$H$2:$H$1369,MATCH(237,'Transfer Engine'!$C$2:$C$1369,0)))</f>
        <v/>
      </c>
      <c r="I246" s="9">
        <f>IF(ISNA(MATCH(237,'Transfer Engine'!$C$2:$C$1369,0)),"",INDEX('Compliance Database'!$I$2:$I$1369,MATCH(237,'Transfer Engine'!$C$2:$C$1369,0)))</f>
        <v/>
      </c>
      <c r="J246" s="8">
        <f>IF(ISNA(MATCH(237,'Transfer Engine'!$C$2:$C$1369,0)),"",INDEX('Compliance Database'!$J$2:$J$1369,MATCH(237,'Transfer Engine'!$C$2:$C$1369,0)))</f>
        <v/>
      </c>
      <c r="K246" s="9">
        <f>IF(ISNA(MATCH(237,'Transfer Engine'!$C$2:$C$1369,0)),"",INDEX('Compliance Database'!$K$2:$K$1369,MATCH(237,'Transfer Engine'!$C$2:$C$1369,0)))</f>
        <v/>
      </c>
      <c r="L246" s="9">
        <f>IF(ISNA(MATCH(237,'Transfer Engine'!$C$2:$C$1369,0)),"",INDEX('Compliance Database'!$L$2:$L$1369,MATCH(237,'Transfer Engine'!$C$2:$C$1369,0)))</f>
        <v/>
      </c>
      <c r="M246" s="9">
        <f>IF(ISNA(MATCH(237,'Transfer Engine'!$C$2:$C$1369,0)),"",INDEX('Compliance Database'!$M$2:$M$1369,MATCH(237,'Transfer Engine'!$C$2:$C$1369,0)))</f>
        <v/>
      </c>
      <c r="N246" s="9">
        <f>IF(ISNA(MATCH(237,'Transfer Engine'!$C$2:$C$1369,0)),"",INDEX('Compliance Database'!$N$2:$N$1369,MATCH(237,'Transfer Engine'!$C$2:$C$1369,0)))</f>
        <v/>
      </c>
      <c r="O246" s="8">
        <f>IF(ISNA(MATCH(237,'Transfer Engine'!$C$2:$C$1369,0)),"",HYPERLINK(INDEX('Compliance Database'!$O$2:$O$1369,MATCH(237,'Transfer Engine'!$C$2:$C$1369,0)),"Open PDF"))</f>
        <v/>
      </c>
    </row>
    <row r="247" ht="188" customHeight="1">
      <c r="A247" s="8">
        <f>IF(ISNA(MATCH(238,'Transfer Engine'!$C$2:$C$1369,0)),"",INDEX('Compliance Database'!$A$2:$A$1369,MATCH(238,'Transfer Engine'!$C$2:$C$1369,0)))</f>
        <v/>
      </c>
      <c r="B247" s="8">
        <f>IF(ISNA(MATCH(238,'Transfer Engine'!$C$2:$C$1369,0)),"",INDEX('Compliance Database'!$B$2:$B$1369,MATCH(238,'Transfer Engine'!$C$2:$C$1369,0)))</f>
        <v/>
      </c>
      <c r="C247" s="8">
        <f>IF(ISNA(MATCH(238,'Transfer Engine'!$C$2:$C$1369,0)),"",INDEX('Compliance Database'!$C$2:$C$1369,MATCH(238,'Transfer Engine'!$C$2:$C$1369,0)))</f>
        <v/>
      </c>
      <c r="D247" s="9">
        <f>IF(ISNA(MATCH(238,'Transfer Engine'!$C$2:$C$1369,0)),"",INDEX('Compliance Database'!$D$2:$D$1369,MATCH(238,'Transfer Engine'!$C$2:$C$1369,0)))</f>
        <v/>
      </c>
      <c r="E247" s="8">
        <f>IF(ISNA(MATCH(238,'Transfer Engine'!$C$2:$C$1369,0)),"",INDEX('Compliance Database'!$E$2:$E$1369,MATCH(238,'Transfer Engine'!$C$2:$C$1369,0)))</f>
        <v/>
      </c>
      <c r="F247" s="8">
        <f>IF(ISNA(MATCH(238,'Transfer Engine'!$C$2:$C$1369,0)),"",INDEX('Compliance Database'!$F$2:$F$1369,MATCH(238,'Transfer Engine'!$C$2:$C$1369,0)))</f>
        <v/>
      </c>
      <c r="G247" s="8">
        <f>IF(ISNA(MATCH(238,'Transfer Engine'!$C$2:$C$1369,0)),"",INDEX('Compliance Database'!$G$2:$G$1369,MATCH(238,'Transfer Engine'!$C$2:$C$1369,0)))</f>
        <v/>
      </c>
      <c r="H247" s="9">
        <f>IF(ISNA(MATCH(238,'Transfer Engine'!$C$2:$C$1369,0)),"",INDEX('Compliance Database'!$H$2:$H$1369,MATCH(238,'Transfer Engine'!$C$2:$C$1369,0)))</f>
        <v/>
      </c>
      <c r="I247" s="9">
        <f>IF(ISNA(MATCH(238,'Transfer Engine'!$C$2:$C$1369,0)),"",INDEX('Compliance Database'!$I$2:$I$1369,MATCH(238,'Transfer Engine'!$C$2:$C$1369,0)))</f>
        <v/>
      </c>
      <c r="J247" s="8">
        <f>IF(ISNA(MATCH(238,'Transfer Engine'!$C$2:$C$1369,0)),"",INDEX('Compliance Database'!$J$2:$J$1369,MATCH(238,'Transfer Engine'!$C$2:$C$1369,0)))</f>
        <v/>
      </c>
      <c r="K247" s="9">
        <f>IF(ISNA(MATCH(238,'Transfer Engine'!$C$2:$C$1369,0)),"",INDEX('Compliance Database'!$K$2:$K$1369,MATCH(238,'Transfer Engine'!$C$2:$C$1369,0)))</f>
        <v/>
      </c>
      <c r="L247" s="9">
        <f>IF(ISNA(MATCH(238,'Transfer Engine'!$C$2:$C$1369,0)),"",INDEX('Compliance Database'!$L$2:$L$1369,MATCH(238,'Transfer Engine'!$C$2:$C$1369,0)))</f>
        <v/>
      </c>
      <c r="M247" s="9">
        <f>IF(ISNA(MATCH(238,'Transfer Engine'!$C$2:$C$1369,0)),"",INDEX('Compliance Database'!$M$2:$M$1369,MATCH(238,'Transfer Engine'!$C$2:$C$1369,0)))</f>
        <v/>
      </c>
      <c r="N247" s="9">
        <f>IF(ISNA(MATCH(238,'Transfer Engine'!$C$2:$C$1369,0)),"",INDEX('Compliance Database'!$N$2:$N$1369,MATCH(238,'Transfer Engine'!$C$2:$C$1369,0)))</f>
        <v/>
      </c>
      <c r="O247" s="8">
        <f>IF(ISNA(MATCH(238,'Transfer Engine'!$C$2:$C$1369,0)),"",HYPERLINK(INDEX('Compliance Database'!$O$2:$O$1369,MATCH(238,'Transfer Engine'!$C$2:$C$1369,0)),"Open PDF"))</f>
        <v/>
      </c>
    </row>
    <row r="248" ht="188" customHeight="1">
      <c r="A248" s="8">
        <f>IF(ISNA(MATCH(239,'Transfer Engine'!$C$2:$C$1369,0)),"",INDEX('Compliance Database'!$A$2:$A$1369,MATCH(239,'Transfer Engine'!$C$2:$C$1369,0)))</f>
        <v/>
      </c>
      <c r="B248" s="8">
        <f>IF(ISNA(MATCH(239,'Transfer Engine'!$C$2:$C$1369,0)),"",INDEX('Compliance Database'!$B$2:$B$1369,MATCH(239,'Transfer Engine'!$C$2:$C$1369,0)))</f>
        <v/>
      </c>
      <c r="C248" s="8">
        <f>IF(ISNA(MATCH(239,'Transfer Engine'!$C$2:$C$1369,0)),"",INDEX('Compliance Database'!$C$2:$C$1369,MATCH(239,'Transfer Engine'!$C$2:$C$1369,0)))</f>
        <v/>
      </c>
      <c r="D248" s="9">
        <f>IF(ISNA(MATCH(239,'Transfer Engine'!$C$2:$C$1369,0)),"",INDEX('Compliance Database'!$D$2:$D$1369,MATCH(239,'Transfer Engine'!$C$2:$C$1369,0)))</f>
        <v/>
      </c>
      <c r="E248" s="8">
        <f>IF(ISNA(MATCH(239,'Transfer Engine'!$C$2:$C$1369,0)),"",INDEX('Compliance Database'!$E$2:$E$1369,MATCH(239,'Transfer Engine'!$C$2:$C$1369,0)))</f>
        <v/>
      </c>
      <c r="F248" s="8">
        <f>IF(ISNA(MATCH(239,'Transfer Engine'!$C$2:$C$1369,0)),"",INDEX('Compliance Database'!$F$2:$F$1369,MATCH(239,'Transfer Engine'!$C$2:$C$1369,0)))</f>
        <v/>
      </c>
      <c r="G248" s="8">
        <f>IF(ISNA(MATCH(239,'Transfer Engine'!$C$2:$C$1369,0)),"",INDEX('Compliance Database'!$G$2:$G$1369,MATCH(239,'Transfer Engine'!$C$2:$C$1369,0)))</f>
        <v/>
      </c>
      <c r="H248" s="9">
        <f>IF(ISNA(MATCH(239,'Transfer Engine'!$C$2:$C$1369,0)),"",INDEX('Compliance Database'!$H$2:$H$1369,MATCH(239,'Transfer Engine'!$C$2:$C$1369,0)))</f>
        <v/>
      </c>
      <c r="I248" s="9">
        <f>IF(ISNA(MATCH(239,'Transfer Engine'!$C$2:$C$1369,0)),"",INDEX('Compliance Database'!$I$2:$I$1369,MATCH(239,'Transfer Engine'!$C$2:$C$1369,0)))</f>
        <v/>
      </c>
      <c r="J248" s="8">
        <f>IF(ISNA(MATCH(239,'Transfer Engine'!$C$2:$C$1369,0)),"",INDEX('Compliance Database'!$J$2:$J$1369,MATCH(239,'Transfer Engine'!$C$2:$C$1369,0)))</f>
        <v/>
      </c>
      <c r="K248" s="9">
        <f>IF(ISNA(MATCH(239,'Transfer Engine'!$C$2:$C$1369,0)),"",INDEX('Compliance Database'!$K$2:$K$1369,MATCH(239,'Transfer Engine'!$C$2:$C$1369,0)))</f>
        <v/>
      </c>
      <c r="L248" s="9">
        <f>IF(ISNA(MATCH(239,'Transfer Engine'!$C$2:$C$1369,0)),"",INDEX('Compliance Database'!$L$2:$L$1369,MATCH(239,'Transfer Engine'!$C$2:$C$1369,0)))</f>
        <v/>
      </c>
      <c r="M248" s="9">
        <f>IF(ISNA(MATCH(239,'Transfer Engine'!$C$2:$C$1369,0)),"",INDEX('Compliance Database'!$M$2:$M$1369,MATCH(239,'Transfer Engine'!$C$2:$C$1369,0)))</f>
        <v/>
      </c>
      <c r="N248" s="9">
        <f>IF(ISNA(MATCH(239,'Transfer Engine'!$C$2:$C$1369,0)),"",INDEX('Compliance Database'!$N$2:$N$1369,MATCH(239,'Transfer Engine'!$C$2:$C$1369,0)))</f>
        <v/>
      </c>
      <c r="O248" s="8">
        <f>IF(ISNA(MATCH(239,'Transfer Engine'!$C$2:$C$1369,0)),"",HYPERLINK(INDEX('Compliance Database'!$O$2:$O$1369,MATCH(239,'Transfer Engine'!$C$2:$C$1369,0)),"Open PDF"))</f>
        <v/>
      </c>
    </row>
    <row r="249" ht="188" customHeight="1">
      <c r="A249" s="8">
        <f>IF(ISNA(MATCH(240,'Transfer Engine'!$C$2:$C$1369,0)),"",INDEX('Compliance Database'!$A$2:$A$1369,MATCH(240,'Transfer Engine'!$C$2:$C$1369,0)))</f>
        <v/>
      </c>
      <c r="B249" s="8">
        <f>IF(ISNA(MATCH(240,'Transfer Engine'!$C$2:$C$1369,0)),"",INDEX('Compliance Database'!$B$2:$B$1369,MATCH(240,'Transfer Engine'!$C$2:$C$1369,0)))</f>
        <v/>
      </c>
      <c r="C249" s="8">
        <f>IF(ISNA(MATCH(240,'Transfer Engine'!$C$2:$C$1369,0)),"",INDEX('Compliance Database'!$C$2:$C$1369,MATCH(240,'Transfer Engine'!$C$2:$C$1369,0)))</f>
        <v/>
      </c>
      <c r="D249" s="9">
        <f>IF(ISNA(MATCH(240,'Transfer Engine'!$C$2:$C$1369,0)),"",INDEX('Compliance Database'!$D$2:$D$1369,MATCH(240,'Transfer Engine'!$C$2:$C$1369,0)))</f>
        <v/>
      </c>
      <c r="E249" s="8">
        <f>IF(ISNA(MATCH(240,'Transfer Engine'!$C$2:$C$1369,0)),"",INDEX('Compliance Database'!$E$2:$E$1369,MATCH(240,'Transfer Engine'!$C$2:$C$1369,0)))</f>
        <v/>
      </c>
      <c r="F249" s="8">
        <f>IF(ISNA(MATCH(240,'Transfer Engine'!$C$2:$C$1369,0)),"",INDEX('Compliance Database'!$F$2:$F$1369,MATCH(240,'Transfer Engine'!$C$2:$C$1369,0)))</f>
        <v/>
      </c>
      <c r="G249" s="8">
        <f>IF(ISNA(MATCH(240,'Transfer Engine'!$C$2:$C$1369,0)),"",INDEX('Compliance Database'!$G$2:$G$1369,MATCH(240,'Transfer Engine'!$C$2:$C$1369,0)))</f>
        <v/>
      </c>
      <c r="H249" s="9">
        <f>IF(ISNA(MATCH(240,'Transfer Engine'!$C$2:$C$1369,0)),"",INDEX('Compliance Database'!$H$2:$H$1369,MATCH(240,'Transfer Engine'!$C$2:$C$1369,0)))</f>
        <v/>
      </c>
      <c r="I249" s="9">
        <f>IF(ISNA(MATCH(240,'Transfer Engine'!$C$2:$C$1369,0)),"",INDEX('Compliance Database'!$I$2:$I$1369,MATCH(240,'Transfer Engine'!$C$2:$C$1369,0)))</f>
        <v/>
      </c>
      <c r="J249" s="8">
        <f>IF(ISNA(MATCH(240,'Transfer Engine'!$C$2:$C$1369,0)),"",INDEX('Compliance Database'!$J$2:$J$1369,MATCH(240,'Transfer Engine'!$C$2:$C$1369,0)))</f>
        <v/>
      </c>
      <c r="K249" s="9">
        <f>IF(ISNA(MATCH(240,'Transfer Engine'!$C$2:$C$1369,0)),"",INDEX('Compliance Database'!$K$2:$K$1369,MATCH(240,'Transfer Engine'!$C$2:$C$1369,0)))</f>
        <v/>
      </c>
      <c r="L249" s="9">
        <f>IF(ISNA(MATCH(240,'Transfer Engine'!$C$2:$C$1369,0)),"",INDEX('Compliance Database'!$L$2:$L$1369,MATCH(240,'Transfer Engine'!$C$2:$C$1369,0)))</f>
        <v/>
      </c>
      <c r="M249" s="9">
        <f>IF(ISNA(MATCH(240,'Transfer Engine'!$C$2:$C$1369,0)),"",INDEX('Compliance Database'!$M$2:$M$1369,MATCH(240,'Transfer Engine'!$C$2:$C$1369,0)))</f>
        <v/>
      </c>
      <c r="N249" s="9">
        <f>IF(ISNA(MATCH(240,'Transfer Engine'!$C$2:$C$1369,0)),"",INDEX('Compliance Database'!$N$2:$N$1369,MATCH(240,'Transfer Engine'!$C$2:$C$1369,0)))</f>
        <v/>
      </c>
      <c r="O249" s="8">
        <f>IF(ISNA(MATCH(240,'Transfer Engine'!$C$2:$C$1369,0)),"",HYPERLINK(INDEX('Compliance Database'!$O$2:$O$1369,MATCH(240,'Transfer Engine'!$C$2:$C$1369,0)),"Open PDF"))</f>
        <v/>
      </c>
    </row>
    <row r="250" ht="188" customHeight="1">
      <c r="A250" s="8">
        <f>IF(ISNA(MATCH(241,'Transfer Engine'!$C$2:$C$1369,0)),"",INDEX('Compliance Database'!$A$2:$A$1369,MATCH(241,'Transfer Engine'!$C$2:$C$1369,0)))</f>
        <v/>
      </c>
      <c r="B250" s="8">
        <f>IF(ISNA(MATCH(241,'Transfer Engine'!$C$2:$C$1369,0)),"",INDEX('Compliance Database'!$B$2:$B$1369,MATCH(241,'Transfer Engine'!$C$2:$C$1369,0)))</f>
        <v/>
      </c>
      <c r="C250" s="8">
        <f>IF(ISNA(MATCH(241,'Transfer Engine'!$C$2:$C$1369,0)),"",INDEX('Compliance Database'!$C$2:$C$1369,MATCH(241,'Transfer Engine'!$C$2:$C$1369,0)))</f>
        <v/>
      </c>
      <c r="D250" s="9">
        <f>IF(ISNA(MATCH(241,'Transfer Engine'!$C$2:$C$1369,0)),"",INDEX('Compliance Database'!$D$2:$D$1369,MATCH(241,'Transfer Engine'!$C$2:$C$1369,0)))</f>
        <v/>
      </c>
      <c r="E250" s="8">
        <f>IF(ISNA(MATCH(241,'Transfer Engine'!$C$2:$C$1369,0)),"",INDEX('Compliance Database'!$E$2:$E$1369,MATCH(241,'Transfer Engine'!$C$2:$C$1369,0)))</f>
        <v/>
      </c>
      <c r="F250" s="8">
        <f>IF(ISNA(MATCH(241,'Transfer Engine'!$C$2:$C$1369,0)),"",INDEX('Compliance Database'!$F$2:$F$1369,MATCH(241,'Transfer Engine'!$C$2:$C$1369,0)))</f>
        <v/>
      </c>
      <c r="G250" s="8">
        <f>IF(ISNA(MATCH(241,'Transfer Engine'!$C$2:$C$1369,0)),"",INDEX('Compliance Database'!$G$2:$G$1369,MATCH(241,'Transfer Engine'!$C$2:$C$1369,0)))</f>
        <v/>
      </c>
      <c r="H250" s="9">
        <f>IF(ISNA(MATCH(241,'Transfer Engine'!$C$2:$C$1369,0)),"",INDEX('Compliance Database'!$H$2:$H$1369,MATCH(241,'Transfer Engine'!$C$2:$C$1369,0)))</f>
        <v/>
      </c>
      <c r="I250" s="9">
        <f>IF(ISNA(MATCH(241,'Transfer Engine'!$C$2:$C$1369,0)),"",INDEX('Compliance Database'!$I$2:$I$1369,MATCH(241,'Transfer Engine'!$C$2:$C$1369,0)))</f>
        <v/>
      </c>
      <c r="J250" s="8">
        <f>IF(ISNA(MATCH(241,'Transfer Engine'!$C$2:$C$1369,0)),"",INDEX('Compliance Database'!$J$2:$J$1369,MATCH(241,'Transfer Engine'!$C$2:$C$1369,0)))</f>
        <v/>
      </c>
      <c r="K250" s="9">
        <f>IF(ISNA(MATCH(241,'Transfer Engine'!$C$2:$C$1369,0)),"",INDEX('Compliance Database'!$K$2:$K$1369,MATCH(241,'Transfer Engine'!$C$2:$C$1369,0)))</f>
        <v/>
      </c>
      <c r="L250" s="9">
        <f>IF(ISNA(MATCH(241,'Transfer Engine'!$C$2:$C$1369,0)),"",INDEX('Compliance Database'!$L$2:$L$1369,MATCH(241,'Transfer Engine'!$C$2:$C$1369,0)))</f>
        <v/>
      </c>
      <c r="M250" s="9">
        <f>IF(ISNA(MATCH(241,'Transfer Engine'!$C$2:$C$1369,0)),"",INDEX('Compliance Database'!$M$2:$M$1369,MATCH(241,'Transfer Engine'!$C$2:$C$1369,0)))</f>
        <v/>
      </c>
      <c r="N250" s="9">
        <f>IF(ISNA(MATCH(241,'Transfer Engine'!$C$2:$C$1369,0)),"",INDEX('Compliance Database'!$N$2:$N$1369,MATCH(241,'Transfer Engine'!$C$2:$C$1369,0)))</f>
        <v/>
      </c>
      <c r="O250" s="8">
        <f>IF(ISNA(MATCH(241,'Transfer Engine'!$C$2:$C$1369,0)),"",HYPERLINK(INDEX('Compliance Database'!$O$2:$O$1369,MATCH(241,'Transfer Engine'!$C$2:$C$1369,0)),"Open PDF"))</f>
        <v/>
      </c>
    </row>
    <row r="251" ht="188" customHeight="1">
      <c r="A251" s="8">
        <f>IF(ISNA(MATCH(242,'Transfer Engine'!$C$2:$C$1369,0)),"",INDEX('Compliance Database'!$A$2:$A$1369,MATCH(242,'Transfer Engine'!$C$2:$C$1369,0)))</f>
        <v/>
      </c>
      <c r="B251" s="8">
        <f>IF(ISNA(MATCH(242,'Transfer Engine'!$C$2:$C$1369,0)),"",INDEX('Compliance Database'!$B$2:$B$1369,MATCH(242,'Transfer Engine'!$C$2:$C$1369,0)))</f>
        <v/>
      </c>
      <c r="C251" s="8">
        <f>IF(ISNA(MATCH(242,'Transfer Engine'!$C$2:$C$1369,0)),"",INDEX('Compliance Database'!$C$2:$C$1369,MATCH(242,'Transfer Engine'!$C$2:$C$1369,0)))</f>
        <v/>
      </c>
      <c r="D251" s="9">
        <f>IF(ISNA(MATCH(242,'Transfer Engine'!$C$2:$C$1369,0)),"",INDEX('Compliance Database'!$D$2:$D$1369,MATCH(242,'Transfer Engine'!$C$2:$C$1369,0)))</f>
        <v/>
      </c>
      <c r="E251" s="8">
        <f>IF(ISNA(MATCH(242,'Transfer Engine'!$C$2:$C$1369,0)),"",INDEX('Compliance Database'!$E$2:$E$1369,MATCH(242,'Transfer Engine'!$C$2:$C$1369,0)))</f>
        <v/>
      </c>
      <c r="F251" s="8">
        <f>IF(ISNA(MATCH(242,'Transfer Engine'!$C$2:$C$1369,0)),"",INDEX('Compliance Database'!$F$2:$F$1369,MATCH(242,'Transfer Engine'!$C$2:$C$1369,0)))</f>
        <v/>
      </c>
      <c r="G251" s="8">
        <f>IF(ISNA(MATCH(242,'Transfer Engine'!$C$2:$C$1369,0)),"",INDEX('Compliance Database'!$G$2:$G$1369,MATCH(242,'Transfer Engine'!$C$2:$C$1369,0)))</f>
        <v/>
      </c>
      <c r="H251" s="9">
        <f>IF(ISNA(MATCH(242,'Transfer Engine'!$C$2:$C$1369,0)),"",INDEX('Compliance Database'!$H$2:$H$1369,MATCH(242,'Transfer Engine'!$C$2:$C$1369,0)))</f>
        <v/>
      </c>
      <c r="I251" s="9">
        <f>IF(ISNA(MATCH(242,'Transfer Engine'!$C$2:$C$1369,0)),"",INDEX('Compliance Database'!$I$2:$I$1369,MATCH(242,'Transfer Engine'!$C$2:$C$1369,0)))</f>
        <v/>
      </c>
      <c r="J251" s="8">
        <f>IF(ISNA(MATCH(242,'Transfer Engine'!$C$2:$C$1369,0)),"",INDEX('Compliance Database'!$J$2:$J$1369,MATCH(242,'Transfer Engine'!$C$2:$C$1369,0)))</f>
        <v/>
      </c>
      <c r="K251" s="9">
        <f>IF(ISNA(MATCH(242,'Transfer Engine'!$C$2:$C$1369,0)),"",INDEX('Compliance Database'!$K$2:$K$1369,MATCH(242,'Transfer Engine'!$C$2:$C$1369,0)))</f>
        <v/>
      </c>
      <c r="L251" s="9">
        <f>IF(ISNA(MATCH(242,'Transfer Engine'!$C$2:$C$1369,0)),"",INDEX('Compliance Database'!$L$2:$L$1369,MATCH(242,'Transfer Engine'!$C$2:$C$1369,0)))</f>
        <v/>
      </c>
      <c r="M251" s="9">
        <f>IF(ISNA(MATCH(242,'Transfer Engine'!$C$2:$C$1369,0)),"",INDEX('Compliance Database'!$M$2:$M$1369,MATCH(242,'Transfer Engine'!$C$2:$C$1369,0)))</f>
        <v/>
      </c>
      <c r="N251" s="9">
        <f>IF(ISNA(MATCH(242,'Transfer Engine'!$C$2:$C$1369,0)),"",INDEX('Compliance Database'!$N$2:$N$1369,MATCH(242,'Transfer Engine'!$C$2:$C$1369,0)))</f>
        <v/>
      </c>
      <c r="O251" s="8">
        <f>IF(ISNA(MATCH(242,'Transfer Engine'!$C$2:$C$1369,0)),"",HYPERLINK(INDEX('Compliance Database'!$O$2:$O$1369,MATCH(242,'Transfer Engine'!$C$2:$C$1369,0)),"Open PDF"))</f>
        <v/>
      </c>
    </row>
    <row r="252" ht="188" customHeight="1">
      <c r="A252" s="8">
        <f>IF(ISNA(MATCH(243,'Transfer Engine'!$C$2:$C$1369,0)),"",INDEX('Compliance Database'!$A$2:$A$1369,MATCH(243,'Transfer Engine'!$C$2:$C$1369,0)))</f>
        <v/>
      </c>
      <c r="B252" s="8">
        <f>IF(ISNA(MATCH(243,'Transfer Engine'!$C$2:$C$1369,0)),"",INDEX('Compliance Database'!$B$2:$B$1369,MATCH(243,'Transfer Engine'!$C$2:$C$1369,0)))</f>
        <v/>
      </c>
      <c r="C252" s="8">
        <f>IF(ISNA(MATCH(243,'Transfer Engine'!$C$2:$C$1369,0)),"",INDEX('Compliance Database'!$C$2:$C$1369,MATCH(243,'Transfer Engine'!$C$2:$C$1369,0)))</f>
        <v/>
      </c>
      <c r="D252" s="9">
        <f>IF(ISNA(MATCH(243,'Transfer Engine'!$C$2:$C$1369,0)),"",INDEX('Compliance Database'!$D$2:$D$1369,MATCH(243,'Transfer Engine'!$C$2:$C$1369,0)))</f>
        <v/>
      </c>
      <c r="E252" s="8">
        <f>IF(ISNA(MATCH(243,'Transfer Engine'!$C$2:$C$1369,0)),"",INDEX('Compliance Database'!$E$2:$E$1369,MATCH(243,'Transfer Engine'!$C$2:$C$1369,0)))</f>
        <v/>
      </c>
      <c r="F252" s="8">
        <f>IF(ISNA(MATCH(243,'Transfer Engine'!$C$2:$C$1369,0)),"",INDEX('Compliance Database'!$F$2:$F$1369,MATCH(243,'Transfer Engine'!$C$2:$C$1369,0)))</f>
        <v/>
      </c>
      <c r="G252" s="8">
        <f>IF(ISNA(MATCH(243,'Transfer Engine'!$C$2:$C$1369,0)),"",INDEX('Compliance Database'!$G$2:$G$1369,MATCH(243,'Transfer Engine'!$C$2:$C$1369,0)))</f>
        <v/>
      </c>
      <c r="H252" s="9">
        <f>IF(ISNA(MATCH(243,'Transfer Engine'!$C$2:$C$1369,0)),"",INDEX('Compliance Database'!$H$2:$H$1369,MATCH(243,'Transfer Engine'!$C$2:$C$1369,0)))</f>
        <v/>
      </c>
      <c r="I252" s="9">
        <f>IF(ISNA(MATCH(243,'Transfer Engine'!$C$2:$C$1369,0)),"",INDEX('Compliance Database'!$I$2:$I$1369,MATCH(243,'Transfer Engine'!$C$2:$C$1369,0)))</f>
        <v/>
      </c>
      <c r="J252" s="8">
        <f>IF(ISNA(MATCH(243,'Transfer Engine'!$C$2:$C$1369,0)),"",INDEX('Compliance Database'!$J$2:$J$1369,MATCH(243,'Transfer Engine'!$C$2:$C$1369,0)))</f>
        <v/>
      </c>
      <c r="K252" s="9">
        <f>IF(ISNA(MATCH(243,'Transfer Engine'!$C$2:$C$1369,0)),"",INDEX('Compliance Database'!$K$2:$K$1369,MATCH(243,'Transfer Engine'!$C$2:$C$1369,0)))</f>
        <v/>
      </c>
      <c r="L252" s="9">
        <f>IF(ISNA(MATCH(243,'Transfer Engine'!$C$2:$C$1369,0)),"",INDEX('Compliance Database'!$L$2:$L$1369,MATCH(243,'Transfer Engine'!$C$2:$C$1369,0)))</f>
        <v/>
      </c>
      <c r="M252" s="9">
        <f>IF(ISNA(MATCH(243,'Transfer Engine'!$C$2:$C$1369,0)),"",INDEX('Compliance Database'!$M$2:$M$1369,MATCH(243,'Transfer Engine'!$C$2:$C$1369,0)))</f>
        <v/>
      </c>
      <c r="N252" s="9">
        <f>IF(ISNA(MATCH(243,'Transfer Engine'!$C$2:$C$1369,0)),"",INDEX('Compliance Database'!$N$2:$N$1369,MATCH(243,'Transfer Engine'!$C$2:$C$1369,0)))</f>
        <v/>
      </c>
      <c r="O252" s="8">
        <f>IF(ISNA(MATCH(243,'Transfer Engine'!$C$2:$C$1369,0)),"",HYPERLINK(INDEX('Compliance Database'!$O$2:$O$1369,MATCH(243,'Transfer Engine'!$C$2:$C$1369,0)),"Open PDF"))</f>
        <v/>
      </c>
    </row>
    <row r="253" ht="188" customHeight="1">
      <c r="A253" s="8">
        <f>IF(ISNA(MATCH(244,'Transfer Engine'!$C$2:$C$1369,0)),"",INDEX('Compliance Database'!$A$2:$A$1369,MATCH(244,'Transfer Engine'!$C$2:$C$1369,0)))</f>
        <v/>
      </c>
      <c r="B253" s="8">
        <f>IF(ISNA(MATCH(244,'Transfer Engine'!$C$2:$C$1369,0)),"",INDEX('Compliance Database'!$B$2:$B$1369,MATCH(244,'Transfer Engine'!$C$2:$C$1369,0)))</f>
        <v/>
      </c>
      <c r="C253" s="8">
        <f>IF(ISNA(MATCH(244,'Transfer Engine'!$C$2:$C$1369,0)),"",INDEX('Compliance Database'!$C$2:$C$1369,MATCH(244,'Transfer Engine'!$C$2:$C$1369,0)))</f>
        <v/>
      </c>
      <c r="D253" s="9">
        <f>IF(ISNA(MATCH(244,'Transfer Engine'!$C$2:$C$1369,0)),"",INDEX('Compliance Database'!$D$2:$D$1369,MATCH(244,'Transfer Engine'!$C$2:$C$1369,0)))</f>
        <v/>
      </c>
      <c r="E253" s="8">
        <f>IF(ISNA(MATCH(244,'Transfer Engine'!$C$2:$C$1369,0)),"",INDEX('Compliance Database'!$E$2:$E$1369,MATCH(244,'Transfer Engine'!$C$2:$C$1369,0)))</f>
        <v/>
      </c>
      <c r="F253" s="8">
        <f>IF(ISNA(MATCH(244,'Transfer Engine'!$C$2:$C$1369,0)),"",INDEX('Compliance Database'!$F$2:$F$1369,MATCH(244,'Transfer Engine'!$C$2:$C$1369,0)))</f>
        <v/>
      </c>
      <c r="G253" s="8">
        <f>IF(ISNA(MATCH(244,'Transfer Engine'!$C$2:$C$1369,0)),"",INDEX('Compliance Database'!$G$2:$G$1369,MATCH(244,'Transfer Engine'!$C$2:$C$1369,0)))</f>
        <v/>
      </c>
      <c r="H253" s="9">
        <f>IF(ISNA(MATCH(244,'Transfer Engine'!$C$2:$C$1369,0)),"",INDEX('Compliance Database'!$H$2:$H$1369,MATCH(244,'Transfer Engine'!$C$2:$C$1369,0)))</f>
        <v/>
      </c>
      <c r="I253" s="9">
        <f>IF(ISNA(MATCH(244,'Transfer Engine'!$C$2:$C$1369,0)),"",INDEX('Compliance Database'!$I$2:$I$1369,MATCH(244,'Transfer Engine'!$C$2:$C$1369,0)))</f>
        <v/>
      </c>
      <c r="J253" s="8">
        <f>IF(ISNA(MATCH(244,'Transfer Engine'!$C$2:$C$1369,0)),"",INDEX('Compliance Database'!$J$2:$J$1369,MATCH(244,'Transfer Engine'!$C$2:$C$1369,0)))</f>
        <v/>
      </c>
      <c r="K253" s="9">
        <f>IF(ISNA(MATCH(244,'Transfer Engine'!$C$2:$C$1369,0)),"",INDEX('Compliance Database'!$K$2:$K$1369,MATCH(244,'Transfer Engine'!$C$2:$C$1369,0)))</f>
        <v/>
      </c>
      <c r="L253" s="9">
        <f>IF(ISNA(MATCH(244,'Transfer Engine'!$C$2:$C$1369,0)),"",INDEX('Compliance Database'!$L$2:$L$1369,MATCH(244,'Transfer Engine'!$C$2:$C$1369,0)))</f>
        <v/>
      </c>
      <c r="M253" s="9">
        <f>IF(ISNA(MATCH(244,'Transfer Engine'!$C$2:$C$1369,0)),"",INDEX('Compliance Database'!$M$2:$M$1369,MATCH(244,'Transfer Engine'!$C$2:$C$1369,0)))</f>
        <v/>
      </c>
      <c r="N253" s="9">
        <f>IF(ISNA(MATCH(244,'Transfer Engine'!$C$2:$C$1369,0)),"",INDEX('Compliance Database'!$N$2:$N$1369,MATCH(244,'Transfer Engine'!$C$2:$C$1369,0)))</f>
        <v/>
      </c>
      <c r="O253" s="8">
        <f>IF(ISNA(MATCH(244,'Transfer Engine'!$C$2:$C$1369,0)),"",HYPERLINK(INDEX('Compliance Database'!$O$2:$O$1369,MATCH(244,'Transfer Engine'!$C$2:$C$1369,0)),"Open PDF"))</f>
        <v/>
      </c>
    </row>
    <row r="254" ht="188" customHeight="1">
      <c r="A254" s="8">
        <f>IF(ISNA(MATCH(245,'Transfer Engine'!$C$2:$C$1369,0)),"",INDEX('Compliance Database'!$A$2:$A$1369,MATCH(245,'Transfer Engine'!$C$2:$C$1369,0)))</f>
        <v/>
      </c>
      <c r="B254" s="8">
        <f>IF(ISNA(MATCH(245,'Transfer Engine'!$C$2:$C$1369,0)),"",INDEX('Compliance Database'!$B$2:$B$1369,MATCH(245,'Transfer Engine'!$C$2:$C$1369,0)))</f>
        <v/>
      </c>
      <c r="C254" s="8">
        <f>IF(ISNA(MATCH(245,'Transfer Engine'!$C$2:$C$1369,0)),"",INDEX('Compliance Database'!$C$2:$C$1369,MATCH(245,'Transfer Engine'!$C$2:$C$1369,0)))</f>
        <v/>
      </c>
      <c r="D254" s="9">
        <f>IF(ISNA(MATCH(245,'Transfer Engine'!$C$2:$C$1369,0)),"",INDEX('Compliance Database'!$D$2:$D$1369,MATCH(245,'Transfer Engine'!$C$2:$C$1369,0)))</f>
        <v/>
      </c>
      <c r="E254" s="8">
        <f>IF(ISNA(MATCH(245,'Transfer Engine'!$C$2:$C$1369,0)),"",INDEX('Compliance Database'!$E$2:$E$1369,MATCH(245,'Transfer Engine'!$C$2:$C$1369,0)))</f>
        <v/>
      </c>
      <c r="F254" s="8">
        <f>IF(ISNA(MATCH(245,'Transfer Engine'!$C$2:$C$1369,0)),"",INDEX('Compliance Database'!$F$2:$F$1369,MATCH(245,'Transfer Engine'!$C$2:$C$1369,0)))</f>
        <v/>
      </c>
      <c r="G254" s="8">
        <f>IF(ISNA(MATCH(245,'Transfer Engine'!$C$2:$C$1369,0)),"",INDEX('Compliance Database'!$G$2:$G$1369,MATCH(245,'Transfer Engine'!$C$2:$C$1369,0)))</f>
        <v/>
      </c>
      <c r="H254" s="9">
        <f>IF(ISNA(MATCH(245,'Transfer Engine'!$C$2:$C$1369,0)),"",INDEX('Compliance Database'!$H$2:$H$1369,MATCH(245,'Transfer Engine'!$C$2:$C$1369,0)))</f>
        <v/>
      </c>
      <c r="I254" s="9">
        <f>IF(ISNA(MATCH(245,'Transfer Engine'!$C$2:$C$1369,0)),"",INDEX('Compliance Database'!$I$2:$I$1369,MATCH(245,'Transfer Engine'!$C$2:$C$1369,0)))</f>
        <v/>
      </c>
      <c r="J254" s="8">
        <f>IF(ISNA(MATCH(245,'Transfer Engine'!$C$2:$C$1369,0)),"",INDEX('Compliance Database'!$J$2:$J$1369,MATCH(245,'Transfer Engine'!$C$2:$C$1369,0)))</f>
        <v/>
      </c>
      <c r="K254" s="9">
        <f>IF(ISNA(MATCH(245,'Transfer Engine'!$C$2:$C$1369,0)),"",INDEX('Compliance Database'!$K$2:$K$1369,MATCH(245,'Transfer Engine'!$C$2:$C$1369,0)))</f>
        <v/>
      </c>
      <c r="L254" s="9">
        <f>IF(ISNA(MATCH(245,'Transfer Engine'!$C$2:$C$1369,0)),"",INDEX('Compliance Database'!$L$2:$L$1369,MATCH(245,'Transfer Engine'!$C$2:$C$1369,0)))</f>
        <v/>
      </c>
      <c r="M254" s="9">
        <f>IF(ISNA(MATCH(245,'Transfer Engine'!$C$2:$C$1369,0)),"",INDEX('Compliance Database'!$M$2:$M$1369,MATCH(245,'Transfer Engine'!$C$2:$C$1369,0)))</f>
        <v/>
      </c>
      <c r="N254" s="9">
        <f>IF(ISNA(MATCH(245,'Transfer Engine'!$C$2:$C$1369,0)),"",INDEX('Compliance Database'!$N$2:$N$1369,MATCH(245,'Transfer Engine'!$C$2:$C$1369,0)))</f>
        <v/>
      </c>
      <c r="O254" s="8">
        <f>IF(ISNA(MATCH(245,'Transfer Engine'!$C$2:$C$1369,0)),"",HYPERLINK(INDEX('Compliance Database'!$O$2:$O$1369,MATCH(245,'Transfer Engine'!$C$2:$C$1369,0)),"Open PDF"))</f>
        <v/>
      </c>
    </row>
    <row r="255" ht="188" customHeight="1">
      <c r="A255" s="8">
        <f>IF(ISNA(MATCH(246,'Transfer Engine'!$C$2:$C$1369,0)),"",INDEX('Compliance Database'!$A$2:$A$1369,MATCH(246,'Transfer Engine'!$C$2:$C$1369,0)))</f>
        <v/>
      </c>
      <c r="B255" s="8">
        <f>IF(ISNA(MATCH(246,'Transfer Engine'!$C$2:$C$1369,0)),"",INDEX('Compliance Database'!$B$2:$B$1369,MATCH(246,'Transfer Engine'!$C$2:$C$1369,0)))</f>
        <v/>
      </c>
      <c r="C255" s="8">
        <f>IF(ISNA(MATCH(246,'Transfer Engine'!$C$2:$C$1369,0)),"",INDEX('Compliance Database'!$C$2:$C$1369,MATCH(246,'Transfer Engine'!$C$2:$C$1369,0)))</f>
        <v/>
      </c>
      <c r="D255" s="9">
        <f>IF(ISNA(MATCH(246,'Transfer Engine'!$C$2:$C$1369,0)),"",INDEX('Compliance Database'!$D$2:$D$1369,MATCH(246,'Transfer Engine'!$C$2:$C$1369,0)))</f>
        <v/>
      </c>
      <c r="E255" s="8">
        <f>IF(ISNA(MATCH(246,'Transfer Engine'!$C$2:$C$1369,0)),"",INDEX('Compliance Database'!$E$2:$E$1369,MATCH(246,'Transfer Engine'!$C$2:$C$1369,0)))</f>
        <v/>
      </c>
      <c r="F255" s="8">
        <f>IF(ISNA(MATCH(246,'Transfer Engine'!$C$2:$C$1369,0)),"",INDEX('Compliance Database'!$F$2:$F$1369,MATCH(246,'Transfer Engine'!$C$2:$C$1369,0)))</f>
        <v/>
      </c>
      <c r="G255" s="8">
        <f>IF(ISNA(MATCH(246,'Transfer Engine'!$C$2:$C$1369,0)),"",INDEX('Compliance Database'!$G$2:$G$1369,MATCH(246,'Transfer Engine'!$C$2:$C$1369,0)))</f>
        <v/>
      </c>
      <c r="H255" s="9">
        <f>IF(ISNA(MATCH(246,'Transfer Engine'!$C$2:$C$1369,0)),"",INDEX('Compliance Database'!$H$2:$H$1369,MATCH(246,'Transfer Engine'!$C$2:$C$1369,0)))</f>
        <v/>
      </c>
      <c r="I255" s="9">
        <f>IF(ISNA(MATCH(246,'Transfer Engine'!$C$2:$C$1369,0)),"",INDEX('Compliance Database'!$I$2:$I$1369,MATCH(246,'Transfer Engine'!$C$2:$C$1369,0)))</f>
        <v/>
      </c>
      <c r="J255" s="8">
        <f>IF(ISNA(MATCH(246,'Transfer Engine'!$C$2:$C$1369,0)),"",INDEX('Compliance Database'!$J$2:$J$1369,MATCH(246,'Transfer Engine'!$C$2:$C$1369,0)))</f>
        <v/>
      </c>
      <c r="K255" s="9">
        <f>IF(ISNA(MATCH(246,'Transfer Engine'!$C$2:$C$1369,0)),"",INDEX('Compliance Database'!$K$2:$K$1369,MATCH(246,'Transfer Engine'!$C$2:$C$1369,0)))</f>
        <v/>
      </c>
      <c r="L255" s="9">
        <f>IF(ISNA(MATCH(246,'Transfer Engine'!$C$2:$C$1369,0)),"",INDEX('Compliance Database'!$L$2:$L$1369,MATCH(246,'Transfer Engine'!$C$2:$C$1369,0)))</f>
        <v/>
      </c>
      <c r="M255" s="9">
        <f>IF(ISNA(MATCH(246,'Transfer Engine'!$C$2:$C$1369,0)),"",INDEX('Compliance Database'!$M$2:$M$1369,MATCH(246,'Transfer Engine'!$C$2:$C$1369,0)))</f>
        <v/>
      </c>
      <c r="N255" s="9">
        <f>IF(ISNA(MATCH(246,'Transfer Engine'!$C$2:$C$1369,0)),"",INDEX('Compliance Database'!$N$2:$N$1369,MATCH(246,'Transfer Engine'!$C$2:$C$1369,0)))</f>
        <v/>
      </c>
      <c r="O255" s="8">
        <f>IF(ISNA(MATCH(246,'Transfer Engine'!$C$2:$C$1369,0)),"",HYPERLINK(INDEX('Compliance Database'!$O$2:$O$1369,MATCH(246,'Transfer Engine'!$C$2:$C$1369,0)),"Open PDF"))</f>
        <v/>
      </c>
    </row>
    <row r="256" ht="188" customHeight="1">
      <c r="A256" s="8">
        <f>IF(ISNA(MATCH(247,'Transfer Engine'!$C$2:$C$1369,0)),"",INDEX('Compliance Database'!$A$2:$A$1369,MATCH(247,'Transfer Engine'!$C$2:$C$1369,0)))</f>
        <v/>
      </c>
      <c r="B256" s="8">
        <f>IF(ISNA(MATCH(247,'Transfer Engine'!$C$2:$C$1369,0)),"",INDEX('Compliance Database'!$B$2:$B$1369,MATCH(247,'Transfer Engine'!$C$2:$C$1369,0)))</f>
        <v/>
      </c>
      <c r="C256" s="8">
        <f>IF(ISNA(MATCH(247,'Transfer Engine'!$C$2:$C$1369,0)),"",INDEX('Compliance Database'!$C$2:$C$1369,MATCH(247,'Transfer Engine'!$C$2:$C$1369,0)))</f>
        <v/>
      </c>
      <c r="D256" s="9">
        <f>IF(ISNA(MATCH(247,'Transfer Engine'!$C$2:$C$1369,0)),"",INDEX('Compliance Database'!$D$2:$D$1369,MATCH(247,'Transfer Engine'!$C$2:$C$1369,0)))</f>
        <v/>
      </c>
      <c r="E256" s="8">
        <f>IF(ISNA(MATCH(247,'Transfer Engine'!$C$2:$C$1369,0)),"",INDEX('Compliance Database'!$E$2:$E$1369,MATCH(247,'Transfer Engine'!$C$2:$C$1369,0)))</f>
        <v/>
      </c>
      <c r="F256" s="8">
        <f>IF(ISNA(MATCH(247,'Transfer Engine'!$C$2:$C$1369,0)),"",INDEX('Compliance Database'!$F$2:$F$1369,MATCH(247,'Transfer Engine'!$C$2:$C$1369,0)))</f>
        <v/>
      </c>
      <c r="G256" s="8">
        <f>IF(ISNA(MATCH(247,'Transfer Engine'!$C$2:$C$1369,0)),"",INDEX('Compliance Database'!$G$2:$G$1369,MATCH(247,'Transfer Engine'!$C$2:$C$1369,0)))</f>
        <v/>
      </c>
      <c r="H256" s="9">
        <f>IF(ISNA(MATCH(247,'Transfer Engine'!$C$2:$C$1369,0)),"",INDEX('Compliance Database'!$H$2:$H$1369,MATCH(247,'Transfer Engine'!$C$2:$C$1369,0)))</f>
        <v/>
      </c>
      <c r="I256" s="9">
        <f>IF(ISNA(MATCH(247,'Transfer Engine'!$C$2:$C$1369,0)),"",INDEX('Compliance Database'!$I$2:$I$1369,MATCH(247,'Transfer Engine'!$C$2:$C$1369,0)))</f>
        <v/>
      </c>
      <c r="J256" s="8">
        <f>IF(ISNA(MATCH(247,'Transfer Engine'!$C$2:$C$1369,0)),"",INDEX('Compliance Database'!$J$2:$J$1369,MATCH(247,'Transfer Engine'!$C$2:$C$1369,0)))</f>
        <v/>
      </c>
      <c r="K256" s="9">
        <f>IF(ISNA(MATCH(247,'Transfer Engine'!$C$2:$C$1369,0)),"",INDEX('Compliance Database'!$K$2:$K$1369,MATCH(247,'Transfer Engine'!$C$2:$C$1369,0)))</f>
        <v/>
      </c>
      <c r="L256" s="9">
        <f>IF(ISNA(MATCH(247,'Transfer Engine'!$C$2:$C$1369,0)),"",INDEX('Compliance Database'!$L$2:$L$1369,MATCH(247,'Transfer Engine'!$C$2:$C$1369,0)))</f>
        <v/>
      </c>
      <c r="M256" s="9">
        <f>IF(ISNA(MATCH(247,'Transfer Engine'!$C$2:$C$1369,0)),"",INDEX('Compliance Database'!$M$2:$M$1369,MATCH(247,'Transfer Engine'!$C$2:$C$1369,0)))</f>
        <v/>
      </c>
      <c r="N256" s="9">
        <f>IF(ISNA(MATCH(247,'Transfer Engine'!$C$2:$C$1369,0)),"",INDEX('Compliance Database'!$N$2:$N$1369,MATCH(247,'Transfer Engine'!$C$2:$C$1369,0)))</f>
        <v/>
      </c>
      <c r="O256" s="8">
        <f>IF(ISNA(MATCH(247,'Transfer Engine'!$C$2:$C$1369,0)),"",HYPERLINK(INDEX('Compliance Database'!$O$2:$O$1369,MATCH(247,'Transfer Engine'!$C$2:$C$1369,0)),"Open PDF"))</f>
        <v/>
      </c>
    </row>
    <row r="257" ht="188" customHeight="1">
      <c r="A257" s="8">
        <f>IF(ISNA(MATCH(248,'Transfer Engine'!$C$2:$C$1369,0)),"",INDEX('Compliance Database'!$A$2:$A$1369,MATCH(248,'Transfer Engine'!$C$2:$C$1369,0)))</f>
        <v/>
      </c>
      <c r="B257" s="8">
        <f>IF(ISNA(MATCH(248,'Transfer Engine'!$C$2:$C$1369,0)),"",INDEX('Compliance Database'!$B$2:$B$1369,MATCH(248,'Transfer Engine'!$C$2:$C$1369,0)))</f>
        <v/>
      </c>
      <c r="C257" s="8">
        <f>IF(ISNA(MATCH(248,'Transfer Engine'!$C$2:$C$1369,0)),"",INDEX('Compliance Database'!$C$2:$C$1369,MATCH(248,'Transfer Engine'!$C$2:$C$1369,0)))</f>
        <v/>
      </c>
      <c r="D257" s="9">
        <f>IF(ISNA(MATCH(248,'Transfer Engine'!$C$2:$C$1369,0)),"",INDEX('Compliance Database'!$D$2:$D$1369,MATCH(248,'Transfer Engine'!$C$2:$C$1369,0)))</f>
        <v/>
      </c>
      <c r="E257" s="8">
        <f>IF(ISNA(MATCH(248,'Transfer Engine'!$C$2:$C$1369,0)),"",INDEX('Compliance Database'!$E$2:$E$1369,MATCH(248,'Transfer Engine'!$C$2:$C$1369,0)))</f>
        <v/>
      </c>
      <c r="F257" s="8">
        <f>IF(ISNA(MATCH(248,'Transfer Engine'!$C$2:$C$1369,0)),"",INDEX('Compliance Database'!$F$2:$F$1369,MATCH(248,'Transfer Engine'!$C$2:$C$1369,0)))</f>
        <v/>
      </c>
      <c r="G257" s="8">
        <f>IF(ISNA(MATCH(248,'Transfer Engine'!$C$2:$C$1369,0)),"",INDEX('Compliance Database'!$G$2:$G$1369,MATCH(248,'Transfer Engine'!$C$2:$C$1369,0)))</f>
        <v/>
      </c>
      <c r="H257" s="9">
        <f>IF(ISNA(MATCH(248,'Transfer Engine'!$C$2:$C$1369,0)),"",INDEX('Compliance Database'!$H$2:$H$1369,MATCH(248,'Transfer Engine'!$C$2:$C$1369,0)))</f>
        <v/>
      </c>
      <c r="I257" s="9">
        <f>IF(ISNA(MATCH(248,'Transfer Engine'!$C$2:$C$1369,0)),"",INDEX('Compliance Database'!$I$2:$I$1369,MATCH(248,'Transfer Engine'!$C$2:$C$1369,0)))</f>
        <v/>
      </c>
      <c r="J257" s="8">
        <f>IF(ISNA(MATCH(248,'Transfer Engine'!$C$2:$C$1369,0)),"",INDEX('Compliance Database'!$J$2:$J$1369,MATCH(248,'Transfer Engine'!$C$2:$C$1369,0)))</f>
        <v/>
      </c>
      <c r="K257" s="9">
        <f>IF(ISNA(MATCH(248,'Transfer Engine'!$C$2:$C$1369,0)),"",INDEX('Compliance Database'!$K$2:$K$1369,MATCH(248,'Transfer Engine'!$C$2:$C$1369,0)))</f>
        <v/>
      </c>
      <c r="L257" s="9">
        <f>IF(ISNA(MATCH(248,'Transfer Engine'!$C$2:$C$1369,0)),"",INDEX('Compliance Database'!$L$2:$L$1369,MATCH(248,'Transfer Engine'!$C$2:$C$1369,0)))</f>
        <v/>
      </c>
      <c r="M257" s="9">
        <f>IF(ISNA(MATCH(248,'Transfer Engine'!$C$2:$C$1369,0)),"",INDEX('Compliance Database'!$M$2:$M$1369,MATCH(248,'Transfer Engine'!$C$2:$C$1369,0)))</f>
        <v/>
      </c>
      <c r="N257" s="9">
        <f>IF(ISNA(MATCH(248,'Transfer Engine'!$C$2:$C$1369,0)),"",INDEX('Compliance Database'!$N$2:$N$1369,MATCH(248,'Transfer Engine'!$C$2:$C$1369,0)))</f>
        <v/>
      </c>
      <c r="O257" s="8">
        <f>IF(ISNA(MATCH(248,'Transfer Engine'!$C$2:$C$1369,0)),"",HYPERLINK(INDEX('Compliance Database'!$O$2:$O$1369,MATCH(248,'Transfer Engine'!$C$2:$C$1369,0)),"Open PDF"))</f>
        <v/>
      </c>
    </row>
    <row r="258" ht="188" customHeight="1">
      <c r="A258" s="8">
        <f>IF(ISNA(MATCH(249,'Transfer Engine'!$C$2:$C$1369,0)),"",INDEX('Compliance Database'!$A$2:$A$1369,MATCH(249,'Transfer Engine'!$C$2:$C$1369,0)))</f>
        <v/>
      </c>
      <c r="B258" s="8">
        <f>IF(ISNA(MATCH(249,'Transfer Engine'!$C$2:$C$1369,0)),"",INDEX('Compliance Database'!$B$2:$B$1369,MATCH(249,'Transfer Engine'!$C$2:$C$1369,0)))</f>
        <v/>
      </c>
      <c r="C258" s="8">
        <f>IF(ISNA(MATCH(249,'Transfer Engine'!$C$2:$C$1369,0)),"",INDEX('Compliance Database'!$C$2:$C$1369,MATCH(249,'Transfer Engine'!$C$2:$C$1369,0)))</f>
        <v/>
      </c>
      <c r="D258" s="9">
        <f>IF(ISNA(MATCH(249,'Transfer Engine'!$C$2:$C$1369,0)),"",INDEX('Compliance Database'!$D$2:$D$1369,MATCH(249,'Transfer Engine'!$C$2:$C$1369,0)))</f>
        <v/>
      </c>
      <c r="E258" s="8">
        <f>IF(ISNA(MATCH(249,'Transfer Engine'!$C$2:$C$1369,0)),"",INDEX('Compliance Database'!$E$2:$E$1369,MATCH(249,'Transfer Engine'!$C$2:$C$1369,0)))</f>
        <v/>
      </c>
      <c r="F258" s="8">
        <f>IF(ISNA(MATCH(249,'Transfer Engine'!$C$2:$C$1369,0)),"",INDEX('Compliance Database'!$F$2:$F$1369,MATCH(249,'Transfer Engine'!$C$2:$C$1369,0)))</f>
        <v/>
      </c>
      <c r="G258" s="8">
        <f>IF(ISNA(MATCH(249,'Transfer Engine'!$C$2:$C$1369,0)),"",INDEX('Compliance Database'!$G$2:$G$1369,MATCH(249,'Transfer Engine'!$C$2:$C$1369,0)))</f>
        <v/>
      </c>
      <c r="H258" s="9">
        <f>IF(ISNA(MATCH(249,'Transfer Engine'!$C$2:$C$1369,0)),"",INDEX('Compliance Database'!$H$2:$H$1369,MATCH(249,'Transfer Engine'!$C$2:$C$1369,0)))</f>
        <v/>
      </c>
      <c r="I258" s="9">
        <f>IF(ISNA(MATCH(249,'Transfer Engine'!$C$2:$C$1369,0)),"",INDEX('Compliance Database'!$I$2:$I$1369,MATCH(249,'Transfer Engine'!$C$2:$C$1369,0)))</f>
        <v/>
      </c>
      <c r="J258" s="8">
        <f>IF(ISNA(MATCH(249,'Transfer Engine'!$C$2:$C$1369,0)),"",INDEX('Compliance Database'!$J$2:$J$1369,MATCH(249,'Transfer Engine'!$C$2:$C$1369,0)))</f>
        <v/>
      </c>
      <c r="K258" s="9">
        <f>IF(ISNA(MATCH(249,'Transfer Engine'!$C$2:$C$1369,0)),"",INDEX('Compliance Database'!$K$2:$K$1369,MATCH(249,'Transfer Engine'!$C$2:$C$1369,0)))</f>
        <v/>
      </c>
      <c r="L258" s="9">
        <f>IF(ISNA(MATCH(249,'Transfer Engine'!$C$2:$C$1369,0)),"",INDEX('Compliance Database'!$L$2:$L$1369,MATCH(249,'Transfer Engine'!$C$2:$C$1369,0)))</f>
        <v/>
      </c>
      <c r="M258" s="9">
        <f>IF(ISNA(MATCH(249,'Transfer Engine'!$C$2:$C$1369,0)),"",INDEX('Compliance Database'!$M$2:$M$1369,MATCH(249,'Transfer Engine'!$C$2:$C$1369,0)))</f>
        <v/>
      </c>
      <c r="N258" s="9">
        <f>IF(ISNA(MATCH(249,'Transfer Engine'!$C$2:$C$1369,0)),"",INDEX('Compliance Database'!$N$2:$N$1369,MATCH(249,'Transfer Engine'!$C$2:$C$1369,0)))</f>
        <v/>
      </c>
      <c r="O258" s="8">
        <f>IF(ISNA(MATCH(249,'Transfer Engine'!$C$2:$C$1369,0)),"",HYPERLINK(INDEX('Compliance Database'!$O$2:$O$1369,MATCH(249,'Transfer Engine'!$C$2:$C$1369,0)),"Open PDF"))</f>
        <v/>
      </c>
    </row>
    <row r="259" ht="188" customHeight="1">
      <c r="A259" s="8">
        <f>IF(ISNA(MATCH(250,'Transfer Engine'!$C$2:$C$1369,0)),"",INDEX('Compliance Database'!$A$2:$A$1369,MATCH(250,'Transfer Engine'!$C$2:$C$1369,0)))</f>
        <v/>
      </c>
      <c r="B259" s="8">
        <f>IF(ISNA(MATCH(250,'Transfer Engine'!$C$2:$C$1369,0)),"",INDEX('Compliance Database'!$B$2:$B$1369,MATCH(250,'Transfer Engine'!$C$2:$C$1369,0)))</f>
        <v/>
      </c>
      <c r="C259" s="8">
        <f>IF(ISNA(MATCH(250,'Transfer Engine'!$C$2:$C$1369,0)),"",INDEX('Compliance Database'!$C$2:$C$1369,MATCH(250,'Transfer Engine'!$C$2:$C$1369,0)))</f>
        <v/>
      </c>
      <c r="D259" s="9">
        <f>IF(ISNA(MATCH(250,'Transfer Engine'!$C$2:$C$1369,0)),"",INDEX('Compliance Database'!$D$2:$D$1369,MATCH(250,'Transfer Engine'!$C$2:$C$1369,0)))</f>
        <v/>
      </c>
      <c r="E259" s="8">
        <f>IF(ISNA(MATCH(250,'Transfer Engine'!$C$2:$C$1369,0)),"",INDEX('Compliance Database'!$E$2:$E$1369,MATCH(250,'Transfer Engine'!$C$2:$C$1369,0)))</f>
        <v/>
      </c>
      <c r="F259" s="8">
        <f>IF(ISNA(MATCH(250,'Transfer Engine'!$C$2:$C$1369,0)),"",INDEX('Compliance Database'!$F$2:$F$1369,MATCH(250,'Transfer Engine'!$C$2:$C$1369,0)))</f>
        <v/>
      </c>
      <c r="G259" s="8">
        <f>IF(ISNA(MATCH(250,'Transfer Engine'!$C$2:$C$1369,0)),"",INDEX('Compliance Database'!$G$2:$G$1369,MATCH(250,'Transfer Engine'!$C$2:$C$1369,0)))</f>
        <v/>
      </c>
      <c r="H259" s="9">
        <f>IF(ISNA(MATCH(250,'Transfer Engine'!$C$2:$C$1369,0)),"",INDEX('Compliance Database'!$H$2:$H$1369,MATCH(250,'Transfer Engine'!$C$2:$C$1369,0)))</f>
        <v/>
      </c>
      <c r="I259" s="9">
        <f>IF(ISNA(MATCH(250,'Transfer Engine'!$C$2:$C$1369,0)),"",INDEX('Compliance Database'!$I$2:$I$1369,MATCH(250,'Transfer Engine'!$C$2:$C$1369,0)))</f>
        <v/>
      </c>
      <c r="J259" s="8">
        <f>IF(ISNA(MATCH(250,'Transfer Engine'!$C$2:$C$1369,0)),"",INDEX('Compliance Database'!$J$2:$J$1369,MATCH(250,'Transfer Engine'!$C$2:$C$1369,0)))</f>
        <v/>
      </c>
      <c r="K259" s="9">
        <f>IF(ISNA(MATCH(250,'Transfer Engine'!$C$2:$C$1369,0)),"",INDEX('Compliance Database'!$K$2:$K$1369,MATCH(250,'Transfer Engine'!$C$2:$C$1369,0)))</f>
        <v/>
      </c>
      <c r="L259" s="9">
        <f>IF(ISNA(MATCH(250,'Transfer Engine'!$C$2:$C$1369,0)),"",INDEX('Compliance Database'!$L$2:$L$1369,MATCH(250,'Transfer Engine'!$C$2:$C$1369,0)))</f>
        <v/>
      </c>
      <c r="M259" s="9">
        <f>IF(ISNA(MATCH(250,'Transfer Engine'!$C$2:$C$1369,0)),"",INDEX('Compliance Database'!$M$2:$M$1369,MATCH(250,'Transfer Engine'!$C$2:$C$1369,0)))</f>
        <v/>
      </c>
      <c r="N259" s="9">
        <f>IF(ISNA(MATCH(250,'Transfer Engine'!$C$2:$C$1369,0)),"",INDEX('Compliance Database'!$N$2:$N$1369,MATCH(250,'Transfer Engine'!$C$2:$C$1369,0)))</f>
        <v/>
      </c>
      <c r="O259" s="8">
        <f>IF(ISNA(MATCH(250,'Transfer Engine'!$C$2:$C$1369,0)),"",HYPERLINK(INDEX('Compliance Database'!$O$2:$O$1369,MATCH(250,'Transfer Engine'!$C$2:$C$1369,0)),"Open PDF"))</f>
        <v/>
      </c>
    </row>
    <row r="260" ht="188" customHeight="1">
      <c r="A260" s="8">
        <f>IF(ISNA(MATCH(251,'Transfer Engine'!$C$2:$C$1369,0)),"",INDEX('Compliance Database'!$A$2:$A$1369,MATCH(251,'Transfer Engine'!$C$2:$C$1369,0)))</f>
        <v/>
      </c>
      <c r="B260" s="8">
        <f>IF(ISNA(MATCH(251,'Transfer Engine'!$C$2:$C$1369,0)),"",INDEX('Compliance Database'!$B$2:$B$1369,MATCH(251,'Transfer Engine'!$C$2:$C$1369,0)))</f>
        <v/>
      </c>
      <c r="C260" s="8">
        <f>IF(ISNA(MATCH(251,'Transfer Engine'!$C$2:$C$1369,0)),"",INDEX('Compliance Database'!$C$2:$C$1369,MATCH(251,'Transfer Engine'!$C$2:$C$1369,0)))</f>
        <v/>
      </c>
      <c r="D260" s="9">
        <f>IF(ISNA(MATCH(251,'Transfer Engine'!$C$2:$C$1369,0)),"",INDEX('Compliance Database'!$D$2:$D$1369,MATCH(251,'Transfer Engine'!$C$2:$C$1369,0)))</f>
        <v/>
      </c>
      <c r="E260" s="8">
        <f>IF(ISNA(MATCH(251,'Transfer Engine'!$C$2:$C$1369,0)),"",INDEX('Compliance Database'!$E$2:$E$1369,MATCH(251,'Transfer Engine'!$C$2:$C$1369,0)))</f>
        <v/>
      </c>
      <c r="F260" s="8">
        <f>IF(ISNA(MATCH(251,'Transfer Engine'!$C$2:$C$1369,0)),"",INDEX('Compliance Database'!$F$2:$F$1369,MATCH(251,'Transfer Engine'!$C$2:$C$1369,0)))</f>
        <v/>
      </c>
      <c r="G260" s="8">
        <f>IF(ISNA(MATCH(251,'Transfer Engine'!$C$2:$C$1369,0)),"",INDEX('Compliance Database'!$G$2:$G$1369,MATCH(251,'Transfer Engine'!$C$2:$C$1369,0)))</f>
        <v/>
      </c>
      <c r="H260" s="9">
        <f>IF(ISNA(MATCH(251,'Transfer Engine'!$C$2:$C$1369,0)),"",INDEX('Compliance Database'!$H$2:$H$1369,MATCH(251,'Transfer Engine'!$C$2:$C$1369,0)))</f>
        <v/>
      </c>
      <c r="I260" s="9">
        <f>IF(ISNA(MATCH(251,'Transfer Engine'!$C$2:$C$1369,0)),"",INDEX('Compliance Database'!$I$2:$I$1369,MATCH(251,'Transfer Engine'!$C$2:$C$1369,0)))</f>
        <v/>
      </c>
      <c r="J260" s="8">
        <f>IF(ISNA(MATCH(251,'Transfer Engine'!$C$2:$C$1369,0)),"",INDEX('Compliance Database'!$J$2:$J$1369,MATCH(251,'Transfer Engine'!$C$2:$C$1369,0)))</f>
        <v/>
      </c>
      <c r="K260" s="9">
        <f>IF(ISNA(MATCH(251,'Transfer Engine'!$C$2:$C$1369,0)),"",INDEX('Compliance Database'!$K$2:$K$1369,MATCH(251,'Transfer Engine'!$C$2:$C$1369,0)))</f>
        <v/>
      </c>
      <c r="L260" s="9">
        <f>IF(ISNA(MATCH(251,'Transfer Engine'!$C$2:$C$1369,0)),"",INDEX('Compliance Database'!$L$2:$L$1369,MATCH(251,'Transfer Engine'!$C$2:$C$1369,0)))</f>
        <v/>
      </c>
      <c r="M260" s="9">
        <f>IF(ISNA(MATCH(251,'Transfer Engine'!$C$2:$C$1369,0)),"",INDEX('Compliance Database'!$M$2:$M$1369,MATCH(251,'Transfer Engine'!$C$2:$C$1369,0)))</f>
        <v/>
      </c>
      <c r="N260" s="9">
        <f>IF(ISNA(MATCH(251,'Transfer Engine'!$C$2:$C$1369,0)),"",INDEX('Compliance Database'!$N$2:$N$1369,MATCH(251,'Transfer Engine'!$C$2:$C$1369,0)))</f>
        <v/>
      </c>
      <c r="O260" s="8">
        <f>IF(ISNA(MATCH(251,'Transfer Engine'!$C$2:$C$1369,0)),"",HYPERLINK(INDEX('Compliance Database'!$O$2:$O$1369,MATCH(251,'Transfer Engine'!$C$2:$C$1369,0)),"Open PDF"))</f>
        <v/>
      </c>
    </row>
    <row r="261" ht="188" customHeight="1">
      <c r="A261" s="8">
        <f>IF(ISNA(MATCH(252,'Transfer Engine'!$C$2:$C$1369,0)),"",INDEX('Compliance Database'!$A$2:$A$1369,MATCH(252,'Transfer Engine'!$C$2:$C$1369,0)))</f>
        <v/>
      </c>
      <c r="B261" s="8">
        <f>IF(ISNA(MATCH(252,'Transfer Engine'!$C$2:$C$1369,0)),"",INDEX('Compliance Database'!$B$2:$B$1369,MATCH(252,'Transfer Engine'!$C$2:$C$1369,0)))</f>
        <v/>
      </c>
      <c r="C261" s="8">
        <f>IF(ISNA(MATCH(252,'Transfer Engine'!$C$2:$C$1369,0)),"",INDEX('Compliance Database'!$C$2:$C$1369,MATCH(252,'Transfer Engine'!$C$2:$C$1369,0)))</f>
        <v/>
      </c>
      <c r="D261" s="9">
        <f>IF(ISNA(MATCH(252,'Transfer Engine'!$C$2:$C$1369,0)),"",INDEX('Compliance Database'!$D$2:$D$1369,MATCH(252,'Transfer Engine'!$C$2:$C$1369,0)))</f>
        <v/>
      </c>
      <c r="E261" s="8">
        <f>IF(ISNA(MATCH(252,'Transfer Engine'!$C$2:$C$1369,0)),"",INDEX('Compliance Database'!$E$2:$E$1369,MATCH(252,'Transfer Engine'!$C$2:$C$1369,0)))</f>
        <v/>
      </c>
      <c r="F261" s="8">
        <f>IF(ISNA(MATCH(252,'Transfer Engine'!$C$2:$C$1369,0)),"",INDEX('Compliance Database'!$F$2:$F$1369,MATCH(252,'Transfer Engine'!$C$2:$C$1369,0)))</f>
        <v/>
      </c>
      <c r="G261" s="8">
        <f>IF(ISNA(MATCH(252,'Transfer Engine'!$C$2:$C$1369,0)),"",INDEX('Compliance Database'!$G$2:$G$1369,MATCH(252,'Transfer Engine'!$C$2:$C$1369,0)))</f>
        <v/>
      </c>
      <c r="H261" s="9">
        <f>IF(ISNA(MATCH(252,'Transfer Engine'!$C$2:$C$1369,0)),"",INDEX('Compliance Database'!$H$2:$H$1369,MATCH(252,'Transfer Engine'!$C$2:$C$1369,0)))</f>
        <v/>
      </c>
      <c r="I261" s="9">
        <f>IF(ISNA(MATCH(252,'Transfer Engine'!$C$2:$C$1369,0)),"",INDEX('Compliance Database'!$I$2:$I$1369,MATCH(252,'Transfer Engine'!$C$2:$C$1369,0)))</f>
        <v/>
      </c>
      <c r="J261" s="8">
        <f>IF(ISNA(MATCH(252,'Transfer Engine'!$C$2:$C$1369,0)),"",INDEX('Compliance Database'!$J$2:$J$1369,MATCH(252,'Transfer Engine'!$C$2:$C$1369,0)))</f>
        <v/>
      </c>
      <c r="K261" s="9">
        <f>IF(ISNA(MATCH(252,'Transfer Engine'!$C$2:$C$1369,0)),"",INDEX('Compliance Database'!$K$2:$K$1369,MATCH(252,'Transfer Engine'!$C$2:$C$1369,0)))</f>
        <v/>
      </c>
      <c r="L261" s="9">
        <f>IF(ISNA(MATCH(252,'Transfer Engine'!$C$2:$C$1369,0)),"",INDEX('Compliance Database'!$L$2:$L$1369,MATCH(252,'Transfer Engine'!$C$2:$C$1369,0)))</f>
        <v/>
      </c>
      <c r="M261" s="9">
        <f>IF(ISNA(MATCH(252,'Transfer Engine'!$C$2:$C$1369,0)),"",INDEX('Compliance Database'!$M$2:$M$1369,MATCH(252,'Transfer Engine'!$C$2:$C$1369,0)))</f>
        <v/>
      </c>
      <c r="N261" s="9">
        <f>IF(ISNA(MATCH(252,'Transfer Engine'!$C$2:$C$1369,0)),"",INDEX('Compliance Database'!$N$2:$N$1369,MATCH(252,'Transfer Engine'!$C$2:$C$1369,0)))</f>
        <v/>
      </c>
      <c r="O261" s="8">
        <f>IF(ISNA(MATCH(252,'Transfer Engine'!$C$2:$C$1369,0)),"",HYPERLINK(INDEX('Compliance Database'!$O$2:$O$1369,MATCH(252,'Transfer Engine'!$C$2:$C$1369,0)),"Open PDF"))</f>
        <v/>
      </c>
    </row>
    <row r="262" ht="188" customHeight="1">
      <c r="A262" s="8">
        <f>IF(ISNA(MATCH(253,'Transfer Engine'!$C$2:$C$1369,0)),"",INDEX('Compliance Database'!$A$2:$A$1369,MATCH(253,'Transfer Engine'!$C$2:$C$1369,0)))</f>
        <v/>
      </c>
      <c r="B262" s="8">
        <f>IF(ISNA(MATCH(253,'Transfer Engine'!$C$2:$C$1369,0)),"",INDEX('Compliance Database'!$B$2:$B$1369,MATCH(253,'Transfer Engine'!$C$2:$C$1369,0)))</f>
        <v/>
      </c>
      <c r="C262" s="8">
        <f>IF(ISNA(MATCH(253,'Transfer Engine'!$C$2:$C$1369,0)),"",INDEX('Compliance Database'!$C$2:$C$1369,MATCH(253,'Transfer Engine'!$C$2:$C$1369,0)))</f>
        <v/>
      </c>
      <c r="D262" s="9">
        <f>IF(ISNA(MATCH(253,'Transfer Engine'!$C$2:$C$1369,0)),"",INDEX('Compliance Database'!$D$2:$D$1369,MATCH(253,'Transfer Engine'!$C$2:$C$1369,0)))</f>
        <v/>
      </c>
      <c r="E262" s="8">
        <f>IF(ISNA(MATCH(253,'Transfer Engine'!$C$2:$C$1369,0)),"",INDEX('Compliance Database'!$E$2:$E$1369,MATCH(253,'Transfer Engine'!$C$2:$C$1369,0)))</f>
        <v/>
      </c>
      <c r="F262" s="8">
        <f>IF(ISNA(MATCH(253,'Transfer Engine'!$C$2:$C$1369,0)),"",INDEX('Compliance Database'!$F$2:$F$1369,MATCH(253,'Transfer Engine'!$C$2:$C$1369,0)))</f>
        <v/>
      </c>
      <c r="G262" s="8">
        <f>IF(ISNA(MATCH(253,'Transfer Engine'!$C$2:$C$1369,0)),"",INDEX('Compliance Database'!$G$2:$G$1369,MATCH(253,'Transfer Engine'!$C$2:$C$1369,0)))</f>
        <v/>
      </c>
      <c r="H262" s="9">
        <f>IF(ISNA(MATCH(253,'Transfer Engine'!$C$2:$C$1369,0)),"",INDEX('Compliance Database'!$H$2:$H$1369,MATCH(253,'Transfer Engine'!$C$2:$C$1369,0)))</f>
        <v/>
      </c>
      <c r="I262" s="9">
        <f>IF(ISNA(MATCH(253,'Transfer Engine'!$C$2:$C$1369,0)),"",INDEX('Compliance Database'!$I$2:$I$1369,MATCH(253,'Transfer Engine'!$C$2:$C$1369,0)))</f>
        <v/>
      </c>
      <c r="J262" s="8">
        <f>IF(ISNA(MATCH(253,'Transfer Engine'!$C$2:$C$1369,0)),"",INDEX('Compliance Database'!$J$2:$J$1369,MATCH(253,'Transfer Engine'!$C$2:$C$1369,0)))</f>
        <v/>
      </c>
      <c r="K262" s="9">
        <f>IF(ISNA(MATCH(253,'Transfer Engine'!$C$2:$C$1369,0)),"",INDEX('Compliance Database'!$K$2:$K$1369,MATCH(253,'Transfer Engine'!$C$2:$C$1369,0)))</f>
        <v/>
      </c>
      <c r="L262" s="9">
        <f>IF(ISNA(MATCH(253,'Transfer Engine'!$C$2:$C$1369,0)),"",INDEX('Compliance Database'!$L$2:$L$1369,MATCH(253,'Transfer Engine'!$C$2:$C$1369,0)))</f>
        <v/>
      </c>
      <c r="M262" s="9">
        <f>IF(ISNA(MATCH(253,'Transfer Engine'!$C$2:$C$1369,0)),"",INDEX('Compliance Database'!$M$2:$M$1369,MATCH(253,'Transfer Engine'!$C$2:$C$1369,0)))</f>
        <v/>
      </c>
      <c r="N262" s="9">
        <f>IF(ISNA(MATCH(253,'Transfer Engine'!$C$2:$C$1369,0)),"",INDEX('Compliance Database'!$N$2:$N$1369,MATCH(253,'Transfer Engine'!$C$2:$C$1369,0)))</f>
        <v/>
      </c>
      <c r="O262" s="8">
        <f>IF(ISNA(MATCH(253,'Transfer Engine'!$C$2:$C$1369,0)),"",HYPERLINK(INDEX('Compliance Database'!$O$2:$O$1369,MATCH(253,'Transfer Engine'!$C$2:$C$1369,0)),"Open PDF"))</f>
        <v/>
      </c>
    </row>
    <row r="263" ht="188" customHeight="1">
      <c r="A263" s="8">
        <f>IF(ISNA(MATCH(254,'Transfer Engine'!$C$2:$C$1369,0)),"",INDEX('Compliance Database'!$A$2:$A$1369,MATCH(254,'Transfer Engine'!$C$2:$C$1369,0)))</f>
        <v/>
      </c>
      <c r="B263" s="8">
        <f>IF(ISNA(MATCH(254,'Transfer Engine'!$C$2:$C$1369,0)),"",INDEX('Compliance Database'!$B$2:$B$1369,MATCH(254,'Transfer Engine'!$C$2:$C$1369,0)))</f>
        <v/>
      </c>
      <c r="C263" s="8">
        <f>IF(ISNA(MATCH(254,'Transfer Engine'!$C$2:$C$1369,0)),"",INDEX('Compliance Database'!$C$2:$C$1369,MATCH(254,'Transfer Engine'!$C$2:$C$1369,0)))</f>
        <v/>
      </c>
      <c r="D263" s="9">
        <f>IF(ISNA(MATCH(254,'Transfer Engine'!$C$2:$C$1369,0)),"",INDEX('Compliance Database'!$D$2:$D$1369,MATCH(254,'Transfer Engine'!$C$2:$C$1369,0)))</f>
        <v/>
      </c>
      <c r="E263" s="8">
        <f>IF(ISNA(MATCH(254,'Transfer Engine'!$C$2:$C$1369,0)),"",INDEX('Compliance Database'!$E$2:$E$1369,MATCH(254,'Transfer Engine'!$C$2:$C$1369,0)))</f>
        <v/>
      </c>
      <c r="F263" s="8">
        <f>IF(ISNA(MATCH(254,'Transfer Engine'!$C$2:$C$1369,0)),"",INDEX('Compliance Database'!$F$2:$F$1369,MATCH(254,'Transfer Engine'!$C$2:$C$1369,0)))</f>
        <v/>
      </c>
      <c r="G263" s="8">
        <f>IF(ISNA(MATCH(254,'Transfer Engine'!$C$2:$C$1369,0)),"",INDEX('Compliance Database'!$G$2:$G$1369,MATCH(254,'Transfer Engine'!$C$2:$C$1369,0)))</f>
        <v/>
      </c>
      <c r="H263" s="9">
        <f>IF(ISNA(MATCH(254,'Transfer Engine'!$C$2:$C$1369,0)),"",INDEX('Compliance Database'!$H$2:$H$1369,MATCH(254,'Transfer Engine'!$C$2:$C$1369,0)))</f>
        <v/>
      </c>
      <c r="I263" s="9">
        <f>IF(ISNA(MATCH(254,'Transfer Engine'!$C$2:$C$1369,0)),"",INDEX('Compliance Database'!$I$2:$I$1369,MATCH(254,'Transfer Engine'!$C$2:$C$1369,0)))</f>
        <v/>
      </c>
      <c r="J263" s="8">
        <f>IF(ISNA(MATCH(254,'Transfer Engine'!$C$2:$C$1369,0)),"",INDEX('Compliance Database'!$J$2:$J$1369,MATCH(254,'Transfer Engine'!$C$2:$C$1369,0)))</f>
        <v/>
      </c>
      <c r="K263" s="9">
        <f>IF(ISNA(MATCH(254,'Transfer Engine'!$C$2:$C$1369,0)),"",INDEX('Compliance Database'!$K$2:$K$1369,MATCH(254,'Transfer Engine'!$C$2:$C$1369,0)))</f>
        <v/>
      </c>
      <c r="L263" s="9">
        <f>IF(ISNA(MATCH(254,'Transfer Engine'!$C$2:$C$1369,0)),"",INDEX('Compliance Database'!$L$2:$L$1369,MATCH(254,'Transfer Engine'!$C$2:$C$1369,0)))</f>
        <v/>
      </c>
      <c r="M263" s="9">
        <f>IF(ISNA(MATCH(254,'Transfer Engine'!$C$2:$C$1369,0)),"",INDEX('Compliance Database'!$M$2:$M$1369,MATCH(254,'Transfer Engine'!$C$2:$C$1369,0)))</f>
        <v/>
      </c>
      <c r="N263" s="9">
        <f>IF(ISNA(MATCH(254,'Transfer Engine'!$C$2:$C$1369,0)),"",INDEX('Compliance Database'!$N$2:$N$1369,MATCH(254,'Transfer Engine'!$C$2:$C$1369,0)))</f>
        <v/>
      </c>
      <c r="O263" s="8">
        <f>IF(ISNA(MATCH(254,'Transfer Engine'!$C$2:$C$1369,0)),"",HYPERLINK(INDEX('Compliance Database'!$O$2:$O$1369,MATCH(254,'Transfer Engine'!$C$2:$C$1369,0)),"Open PDF"))</f>
        <v/>
      </c>
    </row>
    <row r="264" ht="188" customHeight="1">
      <c r="A264" s="8">
        <f>IF(ISNA(MATCH(255,'Transfer Engine'!$C$2:$C$1369,0)),"",INDEX('Compliance Database'!$A$2:$A$1369,MATCH(255,'Transfer Engine'!$C$2:$C$1369,0)))</f>
        <v/>
      </c>
      <c r="B264" s="8">
        <f>IF(ISNA(MATCH(255,'Transfer Engine'!$C$2:$C$1369,0)),"",INDEX('Compliance Database'!$B$2:$B$1369,MATCH(255,'Transfer Engine'!$C$2:$C$1369,0)))</f>
        <v/>
      </c>
      <c r="C264" s="8">
        <f>IF(ISNA(MATCH(255,'Transfer Engine'!$C$2:$C$1369,0)),"",INDEX('Compliance Database'!$C$2:$C$1369,MATCH(255,'Transfer Engine'!$C$2:$C$1369,0)))</f>
        <v/>
      </c>
      <c r="D264" s="9">
        <f>IF(ISNA(MATCH(255,'Transfer Engine'!$C$2:$C$1369,0)),"",INDEX('Compliance Database'!$D$2:$D$1369,MATCH(255,'Transfer Engine'!$C$2:$C$1369,0)))</f>
        <v/>
      </c>
      <c r="E264" s="8">
        <f>IF(ISNA(MATCH(255,'Transfer Engine'!$C$2:$C$1369,0)),"",INDEX('Compliance Database'!$E$2:$E$1369,MATCH(255,'Transfer Engine'!$C$2:$C$1369,0)))</f>
        <v/>
      </c>
      <c r="F264" s="8">
        <f>IF(ISNA(MATCH(255,'Transfer Engine'!$C$2:$C$1369,0)),"",INDEX('Compliance Database'!$F$2:$F$1369,MATCH(255,'Transfer Engine'!$C$2:$C$1369,0)))</f>
        <v/>
      </c>
      <c r="G264" s="8">
        <f>IF(ISNA(MATCH(255,'Transfer Engine'!$C$2:$C$1369,0)),"",INDEX('Compliance Database'!$G$2:$G$1369,MATCH(255,'Transfer Engine'!$C$2:$C$1369,0)))</f>
        <v/>
      </c>
      <c r="H264" s="9">
        <f>IF(ISNA(MATCH(255,'Transfer Engine'!$C$2:$C$1369,0)),"",INDEX('Compliance Database'!$H$2:$H$1369,MATCH(255,'Transfer Engine'!$C$2:$C$1369,0)))</f>
        <v/>
      </c>
      <c r="I264" s="9">
        <f>IF(ISNA(MATCH(255,'Transfer Engine'!$C$2:$C$1369,0)),"",INDEX('Compliance Database'!$I$2:$I$1369,MATCH(255,'Transfer Engine'!$C$2:$C$1369,0)))</f>
        <v/>
      </c>
      <c r="J264" s="8">
        <f>IF(ISNA(MATCH(255,'Transfer Engine'!$C$2:$C$1369,0)),"",INDEX('Compliance Database'!$J$2:$J$1369,MATCH(255,'Transfer Engine'!$C$2:$C$1369,0)))</f>
        <v/>
      </c>
      <c r="K264" s="9">
        <f>IF(ISNA(MATCH(255,'Transfer Engine'!$C$2:$C$1369,0)),"",INDEX('Compliance Database'!$K$2:$K$1369,MATCH(255,'Transfer Engine'!$C$2:$C$1369,0)))</f>
        <v/>
      </c>
      <c r="L264" s="9">
        <f>IF(ISNA(MATCH(255,'Transfer Engine'!$C$2:$C$1369,0)),"",INDEX('Compliance Database'!$L$2:$L$1369,MATCH(255,'Transfer Engine'!$C$2:$C$1369,0)))</f>
        <v/>
      </c>
      <c r="M264" s="9">
        <f>IF(ISNA(MATCH(255,'Transfer Engine'!$C$2:$C$1369,0)),"",INDEX('Compliance Database'!$M$2:$M$1369,MATCH(255,'Transfer Engine'!$C$2:$C$1369,0)))</f>
        <v/>
      </c>
      <c r="N264" s="9">
        <f>IF(ISNA(MATCH(255,'Transfer Engine'!$C$2:$C$1369,0)),"",INDEX('Compliance Database'!$N$2:$N$1369,MATCH(255,'Transfer Engine'!$C$2:$C$1369,0)))</f>
        <v/>
      </c>
      <c r="O264" s="8">
        <f>IF(ISNA(MATCH(255,'Transfer Engine'!$C$2:$C$1369,0)),"",HYPERLINK(INDEX('Compliance Database'!$O$2:$O$1369,MATCH(255,'Transfer Engine'!$C$2:$C$1369,0)),"Open PDF"))</f>
        <v/>
      </c>
    </row>
    <row r="265" ht="188" customHeight="1">
      <c r="A265" s="8">
        <f>IF(ISNA(MATCH(256,'Transfer Engine'!$C$2:$C$1369,0)),"",INDEX('Compliance Database'!$A$2:$A$1369,MATCH(256,'Transfer Engine'!$C$2:$C$1369,0)))</f>
        <v/>
      </c>
      <c r="B265" s="8">
        <f>IF(ISNA(MATCH(256,'Transfer Engine'!$C$2:$C$1369,0)),"",INDEX('Compliance Database'!$B$2:$B$1369,MATCH(256,'Transfer Engine'!$C$2:$C$1369,0)))</f>
        <v/>
      </c>
      <c r="C265" s="8">
        <f>IF(ISNA(MATCH(256,'Transfer Engine'!$C$2:$C$1369,0)),"",INDEX('Compliance Database'!$C$2:$C$1369,MATCH(256,'Transfer Engine'!$C$2:$C$1369,0)))</f>
        <v/>
      </c>
      <c r="D265" s="9">
        <f>IF(ISNA(MATCH(256,'Transfer Engine'!$C$2:$C$1369,0)),"",INDEX('Compliance Database'!$D$2:$D$1369,MATCH(256,'Transfer Engine'!$C$2:$C$1369,0)))</f>
        <v/>
      </c>
      <c r="E265" s="8">
        <f>IF(ISNA(MATCH(256,'Transfer Engine'!$C$2:$C$1369,0)),"",INDEX('Compliance Database'!$E$2:$E$1369,MATCH(256,'Transfer Engine'!$C$2:$C$1369,0)))</f>
        <v/>
      </c>
      <c r="F265" s="8">
        <f>IF(ISNA(MATCH(256,'Transfer Engine'!$C$2:$C$1369,0)),"",INDEX('Compliance Database'!$F$2:$F$1369,MATCH(256,'Transfer Engine'!$C$2:$C$1369,0)))</f>
        <v/>
      </c>
      <c r="G265" s="8">
        <f>IF(ISNA(MATCH(256,'Transfer Engine'!$C$2:$C$1369,0)),"",INDEX('Compliance Database'!$G$2:$G$1369,MATCH(256,'Transfer Engine'!$C$2:$C$1369,0)))</f>
        <v/>
      </c>
      <c r="H265" s="9">
        <f>IF(ISNA(MATCH(256,'Transfer Engine'!$C$2:$C$1369,0)),"",INDEX('Compliance Database'!$H$2:$H$1369,MATCH(256,'Transfer Engine'!$C$2:$C$1369,0)))</f>
        <v/>
      </c>
      <c r="I265" s="9">
        <f>IF(ISNA(MATCH(256,'Transfer Engine'!$C$2:$C$1369,0)),"",INDEX('Compliance Database'!$I$2:$I$1369,MATCH(256,'Transfer Engine'!$C$2:$C$1369,0)))</f>
        <v/>
      </c>
      <c r="J265" s="8">
        <f>IF(ISNA(MATCH(256,'Transfer Engine'!$C$2:$C$1369,0)),"",INDEX('Compliance Database'!$J$2:$J$1369,MATCH(256,'Transfer Engine'!$C$2:$C$1369,0)))</f>
        <v/>
      </c>
      <c r="K265" s="9">
        <f>IF(ISNA(MATCH(256,'Transfer Engine'!$C$2:$C$1369,0)),"",INDEX('Compliance Database'!$K$2:$K$1369,MATCH(256,'Transfer Engine'!$C$2:$C$1369,0)))</f>
        <v/>
      </c>
      <c r="L265" s="9">
        <f>IF(ISNA(MATCH(256,'Transfer Engine'!$C$2:$C$1369,0)),"",INDEX('Compliance Database'!$L$2:$L$1369,MATCH(256,'Transfer Engine'!$C$2:$C$1369,0)))</f>
        <v/>
      </c>
      <c r="M265" s="9">
        <f>IF(ISNA(MATCH(256,'Transfer Engine'!$C$2:$C$1369,0)),"",INDEX('Compliance Database'!$M$2:$M$1369,MATCH(256,'Transfer Engine'!$C$2:$C$1369,0)))</f>
        <v/>
      </c>
      <c r="N265" s="9">
        <f>IF(ISNA(MATCH(256,'Transfer Engine'!$C$2:$C$1369,0)),"",INDEX('Compliance Database'!$N$2:$N$1369,MATCH(256,'Transfer Engine'!$C$2:$C$1369,0)))</f>
        <v/>
      </c>
      <c r="O265" s="8">
        <f>IF(ISNA(MATCH(256,'Transfer Engine'!$C$2:$C$1369,0)),"",HYPERLINK(INDEX('Compliance Database'!$O$2:$O$1369,MATCH(256,'Transfer Engine'!$C$2:$C$1369,0)),"Open PDF"))</f>
        <v/>
      </c>
    </row>
    <row r="266" ht="188" customHeight="1">
      <c r="A266" s="8">
        <f>IF(ISNA(MATCH(257,'Transfer Engine'!$C$2:$C$1369,0)),"",INDEX('Compliance Database'!$A$2:$A$1369,MATCH(257,'Transfer Engine'!$C$2:$C$1369,0)))</f>
        <v/>
      </c>
      <c r="B266" s="8">
        <f>IF(ISNA(MATCH(257,'Transfer Engine'!$C$2:$C$1369,0)),"",INDEX('Compliance Database'!$B$2:$B$1369,MATCH(257,'Transfer Engine'!$C$2:$C$1369,0)))</f>
        <v/>
      </c>
      <c r="C266" s="8">
        <f>IF(ISNA(MATCH(257,'Transfer Engine'!$C$2:$C$1369,0)),"",INDEX('Compliance Database'!$C$2:$C$1369,MATCH(257,'Transfer Engine'!$C$2:$C$1369,0)))</f>
        <v/>
      </c>
      <c r="D266" s="9">
        <f>IF(ISNA(MATCH(257,'Transfer Engine'!$C$2:$C$1369,0)),"",INDEX('Compliance Database'!$D$2:$D$1369,MATCH(257,'Transfer Engine'!$C$2:$C$1369,0)))</f>
        <v/>
      </c>
      <c r="E266" s="8">
        <f>IF(ISNA(MATCH(257,'Transfer Engine'!$C$2:$C$1369,0)),"",INDEX('Compliance Database'!$E$2:$E$1369,MATCH(257,'Transfer Engine'!$C$2:$C$1369,0)))</f>
        <v/>
      </c>
      <c r="F266" s="8">
        <f>IF(ISNA(MATCH(257,'Transfer Engine'!$C$2:$C$1369,0)),"",INDEX('Compliance Database'!$F$2:$F$1369,MATCH(257,'Transfer Engine'!$C$2:$C$1369,0)))</f>
        <v/>
      </c>
      <c r="G266" s="8">
        <f>IF(ISNA(MATCH(257,'Transfer Engine'!$C$2:$C$1369,0)),"",INDEX('Compliance Database'!$G$2:$G$1369,MATCH(257,'Transfer Engine'!$C$2:$C$1369,0)))</f>
        <v/>
      </c>
      <c r="H266" s="9">
        <f>IF(ISNA(MATCH(257,'Transfer Engine'!$C$2:$C$1369,0)),"",INDEX('Compliance Database'!$H$2:$H$1369,MATCH(257,'Transfer Engine'!$C$2:$C$1369,0)))</f>
        <v/>
      </c>
      <c r="I266" s="9">
        <f>IF(ISNA(MATCH(257,'Transfer Engine'!$C$2:$C$1369,0)),"",INDEX('Compliance Database'!$I$2:$I$1369,MATCH(257,'Transfer Engine'!$C$2:$C$1369,0)))</f>
        <v/>
      </c>
      <c r="J266" s="8">
        <f>IF(ISNA(MATCH(257,'Transfer Engine'!$C$2:$C$1369,0)),"",INDEX('Compliance Database'!$J$2:$J$1369,MATCH(257,'Transfer Engine'!$C$2:$C$1369,0)))</f>
        <v/>
      </c>
      <c r="K266" s="9">
        <f>IF(ISNA(MATCH(257,'Transfer Engine'!$C$2:$C$1369,0)),"",INDEX('Compliance Database'!$K$2:$K$1369,MATCH(257,'Transfer Engine'!$C$2:$C$1369,0)))</f>
        <v/>
      </c>
      <c r="L266" s="9">
        <f>IF(ISNA(MATCH(257,'Transfer Engine'!$C$2:$C$1369,0)),"",INDEX('Compliance Database'!$L$2:$L$1369,MATCH(257,'Transfer Engine'!$C$2:$C$1369,0)))</f>
        <v/>
      </c>
      <c r="M266" s="9">
        <f>IF(ISNA(MATCH(257,'Transfer Engine'!$C$2:$C$1369,0)),"",INDEX('Compliance Database'!$M$2:$M$1369,MATCH(257,'Transfer Engine'!$C$2:$C$1369,0)))</f>
        <v/>
      </c>
      <c r="N266" s="9">
        <f>IF(ISNA(MATCH(257,'Transfer Engine'!$C$2:$C$1369,0)),"",INDEX('Compliance Database'!$N$2:$N$1369,MATCH(257,'Transfer Engine'!$C$2:$C$1369,0)))</f>
        <v/>
      </c>
      <c r="O266" s="8">
        <f>IF(ISNA(MATCH(257,'Transfer Engine'!$C$2:$C$1369,0)),"",HYPERLINK(INDEX('Compliance Database'!$O$2:$O$1369,MATCH(257,'Transfer Engine'!$C$2:$C$1369,0)),"Open PDF"))</f>
        <v/>
      </c>
    </row>
    <row r="267" ht="188" customHeight="1">
      <c r="A267" s="8">
        <f>IF(ISNA(MATCH(258,'Transfer Engine'!$C$2:$C$1369,0)),"",INDEX('Compliance Database'!$A$2:$A$1369,MATCH(258,'Transfer Engine'!$C$2:$C$1369,0)))</f>
        <v/>
      </c>
      <c r="B267" s="8">
        <f>IF(ISNA(MATCH(258,'Transfer Engine'!$C$2:$C$1369,0)),"",INDEX('Compliance Database'!$B$2:$B$1369,MATCH(258,'Transfer Engine'!$C$2:$C$1369,0)))</f>
        <v/>
      </c>
      <c r="C267" s="8">
        <f>IF(ISNA(MATCH(258,'Transfer Engine'!$C$2:$C$1369,0)),"",INDEX('Compliance Database'!$C$2:$C$1369,MATCH(258,'Transfer Engine'!$C$2:$C$1369,0)))</f>
        <v/>
      </c>
      <c r="D267" s="9">
        <f>IF(ISNA(MATCH(258,'Transfer Engine'!$C$2:$C$1369,0)),"",INDEX('Compliance Database'!$D$2:$D$1369,MATCH(258,'Transfer Engine'!$C$2:$C$1369,0)))</f>
        <v/>
      </c>
      <c r="E267" s="8">
        <f>IF(ISNA(MATCH(258,'Transfer Engine'!$C$2:$C$1369,0)),"",INDEX('Compliance Database'!$E$2:$E$1369,MATCH(258,'Transfer Engine'!$C$2:$C$1369,0)))</f>
        <v/>
      </c>
      <c r="F267" s="8">
        <f>IF(ISNA(MATCH(258,'Transfer Engine'!$C$2:$C$1369,0)),"",INDEX('Compliance Database'!$F$2:$F$1369,MATCH(258,'Transfer Engine'!$C$2:$C$1369,0)))</f>
        <v/>
      </c>
      <c r="G267" s="8">
        <f>IF(ISNA(MATCH(258,'Transfer Engine'!$C$2:$C$1369,0)),"",INDEX('Compliance Database'!$G$2:$G$1369,MATCH(258,'Transfer Engine'!$C$2:$C$1369,0)))</f>
        <v/>
      </c>
      <c r="H267" s="9">
        <f>IF(ISNA(MATCH(258,'Transfer Engine'!$C$2:$C$1369,0)),"",INDEX('Compliance Database'!$H$2:$H$1369,MATCH(258,'Transfer Engine'!$C$2:$C$1369,0)))</f>
        <v/>
      </c>
      <c r="I267" s="9">
        <f>IF(ISNA(MATCH(258,'Transfer Engine'!$C$2:$C$1369,0)),"",INDEX('Compliance Database'!$I$2:$I$1369,MATCH(258,'Transfer Engine'!$C$2:$C$1369,0)))</f>
        <v/>
      </c>
      <c r="J267" s="8">
        <f>IF(ISNA(MATCH(258,'Transfer Engine'!$C$2:$C$1369,0)),"",INDEX('Compliance Database'!$J$2:$J$1369,MATCH(258,'Transfer Engine'!$C$2:$C$1369,0)))</f>
        <v/>
      </c>
      <c r="K267" s="9">
        <f>IF(ISNA(MATCH(258,'Transfer Engine'!$C$2:$C$1369,0)),"",INDEX('Compliance Database'!$K$2:$K$1369,MATCH(258,'Transfer Engine'!$C$2:$C$1369,0)))</f>
        <v/>
      </c>
      <c r="L267" s="9">
        <f>IF(ISNA(MATCH(258,'Transfer Engine'!$C$2:$C$1369,0)),"",INDEX('Compliance Database'!$L$2:$L$1369,MATCH(258,'Transfer Engine'!$C$2:$C$1369,0)))</f>
        <v/>
      </c>
      <c r="M267" s="9">
        <f>IF(ISNA(MATCH(258,'Transfer Engine'!$C$2:$C$1369,0)),"",INDEX('Compliance Database'!$M$2:$M$1369,MATCH(258,'Transfer Engine'!$C$2:$C$1369,0)))</f>
        <v/>
      </c>
      <c r="N267" s="9">
        <f>IF(ISNA(MATCH(258,'Transfer Engine'!$C$2:$C$1369,0)),"",INDEX('Compliance Database'!$N$2:$N$1369,MATCH(258,'Transfer Engine'!$C$2:$C$1369,0)))</f>
        <v/>
      </c>
      <c r="O267" s="8">
        <f>IF(ISNA(MATCH(258,'Transfer Engine'!$C$2:$C$1369,0)),"",HYPERLINK(INDEX('Compliance Database'!$O$2:$O$1369,MATCH(258,'Transfer Engine'!$C$2:$C$1369,0)),"Open PDF"))</f>
        <v/>
      </c>
    </row>
    <row r="268" ht="188" customHeight="1">
      <c r="A268" s="8">
        <f>IF(ISNA(MATCH(259,'Transfer Engine'!$C$2:$C$1369,0)),"",INDEX('Compliance Database'!$A$2:$A$1369,MATCH(259,'Transfer Engine'!$C$2:$C$1369,0)))</f>
        <v/>
      </c>
      <c r="B268" s="8">
        <f>IF(ISNA(MATCH(259,'Transfer Engine'!$C$2:$C$1369,0)),"",INDEX('Compliance Database'!$B$2:$B$1369,MATCH(259,'Transfer Engine'!$C$2:$C$1369,0)))</f>
        <v/>
      </c>
      <c r="C268" s="8">
        <f>IF(ISNA(MATCH(259,'Transfer Engine'!$C$2:$C$1369,0)),"",INDEX('Compliance Database'!$C$2:$C$1369,MATCH(259,'Transfer Engine'!$C$2:$C$1369,0)))</f>
        <v/>
      </c>
      <c r="D268" s="9">
        <f>IF(ISNA(MATCH(259,'Transfer Engine'!$C$2:$C$1369,0)),"",INDEX('Compliance Database'!$D$2:$D$1369,MATCH(259,'Transfer Engine'!$C$2:$C$1369,0)))</f>
        <v/>
      </c>
      <c r="E268" s="8">
        <f>IF(ISNA(MATCH(259,'Transfer Engine'!$C$2:$C$1369,0)),"",INDEX('Compliance Database'!$E$2:$E$1369,MATCH(259,'Transfer Engine'!$C$2:$C$1369,0)))</f>
        <v/>
      </c>
      <c r="F268" s="8">
        <f>IF(ISNA(MATCH(259,'Transfer Engine'!$C$2:$C$1369,0)),"",INDEX('Compliance Database'!$F$2:$F$1369,MATCH(259,'Transfer Engine'!$C$2:$C$1369,0)))</f>
        <v/>
      </c>
      <c r="G268" s="8">
        <f>IF(ISNA(MATCH(259,'Transfer Engine'!$C$2:$C$1369,0)),"",INDEX('Compliance Database'!$G$2:$G$1369,MATCH(259,'Transfer Engine'!$C$2:$C$1369,0)))</f>
        <v/>
      </c>
      <c r="H268" s="9">
        <f>IF(ISNA(MATCH(259,'Transfer Engine'!$C$2:$C$1369,0)),"",INDEX('Compliance Database'!$H$2:$H$1369,MATCH(259,'Transfer Engine'!$C$2:$C$1369,0)))</f>
        <v/>
      </c>
      <c r="I268" s="9">
        <f>IF(ISNA(MATCH(259,'Transfer Engine'!$C$2:$C$1369,0)),"",INDEX('Compliance Database'!$I$2:$I$1369,MATCH(259,'Transfer Engine'!$C$2:$C$1369,0)))</f>
        <v/>
      </c>
      <c r="J268" s="8">
        <f>IF(ISNA(MATCH(259,'Transfer Engine'!$C$2:$C$1369,0)),"",INDEX('Compliance Database'!$J$2:$J$1369,MATCH(259,'Transfer Engine'!$C$2:$C$1369,0)))</f>
        <v/>
      </c>
      <c r="K268" s="9">
        <f>IF(ISNA(MATCH(259,'Transfer Engine'!$C$2:$C$1369,0)),"",INDEX('Compliance Database'!$K$2:$K$1369,MATCH(259,'Transfer Engine'!$C$2:$C$1369,0)))</f>
        <v/>
      </c>
      <c r="L268" s="9">
        <f>IF(ISNA(MATCH(259,'Transfer Engine'!$C$2:$C$1369,0)),"",INDEX('Compliance Database'!$L$2:$L$1369,MATCH(259,'Transfer Engine'!$C$2:$C$1369,0)))</f>
        <v/>
      </c>
      <c r="M268" s="9">
        <f>IF(ISNA(MATCH(259,'Transfer Engine'!$C$2:$C$1369,0)),"",INDEX('Compliance Database'!$M$2:$M$1369,MATCH(259,'Transfer Engine'!$C$2:$C$1369,0)))</f>
        <v/>
      </c>
      <c r="N268" s="9">
        <f>IF(ISNA(MATCH(259,'Transfer Engine'!$C$2:$C$1369,0)),"",INDEX('Compliance Database'!$N$2:$N$1369,MATCH(259,'Transfer Engine'!$C$2:$C$1369,0)))</f>
        <v/>
      </c>
      <c r="O268" s="8">
        <f>IF(ISNA(MATCH(259,'Transfer Engine'!$C$2:$C$1369,0)),"",HYPERLINK(INDEX('Compliance Database'!$O$2:$O$1369,MATCH(259,'Transfer Engine'!$C$2:$C$1369,0)),"Open PDF"))</f>
        <v/>
      </c>
    </row>
    <row r="269" ht="188" customHeight="1">
      <c r="A269" s="8">
        <f>IF(ISNA(MATCH(260,'Transfer Engine'!$C$2:$C$1369,0)),"",INDEX('Compliance Database'!$A$2:$A$1369,MATCH(260,'Transfer Engine'!$C$2:$C$1369,0)))</f>
        <v/>
      </c>
      <c r="B269" s="8">
        <f>IF(ISNA(MATCH(260,'Transfer Engine'!$C$2:$C$1369,0)),"",INDEX('Compliance Database'!$B$2:$B$1369,MATCH(260,'Transfer Engine'!$C$2:$C$1369,0)))</f>
        <v/>
      </c>
      <c r="C269" s="8">
        <f>IF(ISNA(MATCH(260,'Transfer Engine'!$C$2:$C$1369,0)),"",INDEX('Compliance Database'!$C$2:$C$1369,MATCH(260,'Transfer Engine'!$C$2:$C$1369,0)))</f>
        <v/>
      </c>
      <c r="D269" s="9">
        <f>IF(ISNA(MATCH(260,'Transfer Engine'!$C$2:$C$1369,0)),"",INDEX('Compliance Database'!$D$2:$D$1369,MATCH(260,'Transfer Engine'!$C$2:$C$1369,0)))</f>
        <v/>
      </c>
      <c r="E269" s="8">
        <f>IF(ISNA(MATCH(260,'Transfer Engine'!$C$2:$C$1369,0)),"",INDEX('Compliance Database'!$E$2:$E$1369,MATCH(260,'Transfer Engine'!$C$2:$C$1369,0)))</f>
        <v/>
      </c>
      <c r="F269" s="8">
        <f>IF(ISNA(MATCH(260,'Transfer Engine'!$C$2:$C$1369,0)),"",INDEX('Compliance Database'!$F$2:$F$1369,MATCH(260,'Transfer Engine'!$C$2:$C$1369,0)))</f>
        <v/>
      </c>
      <c r="G269" s="8">
        <f>IF(ISNA(MATCH(260,'Transfer Engine'!$C$2:$C$1369,0)),"",INDEX('Compliance Database'!$G$2:$G$1369,MATCH(260,'Transfer Engine'!$C$2:$C$1369,0)))</f>
        <v/>
      </c>
      <c r="H269" s="9">
        <f>IF(ISNA(MATCH(260,'Transfer Engine'!$C$2:$C$1369,0)),"",INDEX('Compliance Database'!$H$2:$H$1369,MATCH(260,'Transfer Engine'!$C$2:$C$1369,0)))</f>
        <v/>
      </c>
      <c r="I269" s="9">
        <f>IF(ISNA(MATCH(260,'Transfer Engine'!$C$2:$C$1369,0)),"",INDEX('Compliance Database'!$I$2:$I$1369,MATCH(260,'Transfer Engine'!$C$2:$C$1369,0)))</f>
        <v/>
      </c>
      <c r="J269" s="8">
        <f>IF(ISNA(MATCH(260,'Transfer Engine'!$C$2:$C$1369,0)),"",INDEX('Compliance Database'!$J$2:$J$1369,MATCH(260,'Transfer Engine'!$C$2:$C$1369,0)))</f>
        <v/>
      </c>
      <c r="K269" s="9">
        <f>IF(ISNA(MATCH(260,'Transfer Engine'!$C$2:$C$1369,0)),"",INDEX('Compliance Database'!$K$2:$K$1369,MATCH(260,'Transfer Engine'!$C$2:$C$1369,0)))</f>
        <v/>
      </c>
      <c r="L269" s="9">
        <f>IF(ISNA(MATCH(260,'Transfer Engine'!$C$2:$C$1369,0)),"",INDEX('Compliance Database'!$L$2:$L$1369,MATCH(260,'Transfer Engine'!$C$2:$C$1369,0)))</f>
        <v/>
      </c>
      <c r="M269" s="9">
        <f>IF(ISNA(MATCH(260,'Transfer Engine'!$C$2:$C$1369,0)),"",INDEX('Compliance Database'!$M$2:$M$1369,MATCH(260,'Transfer Engine'!$C$2:$C$1369,0)))</f>
        <v/>
      </c>
      <c r="N269" s="9">
        <f>IF(ISNA(MATCH(260,'Transfer Engine'!$C$2:$C$1369,0)),"",INDEX('Compliance Database'!$N$2:$N$1369,MATCH(260,'Transfer Engine'!$C$2:$C$1369,0)))</f>
        <v/>
      </c>
      <c r="O269" s="8">
        <f>IF(ISNA(MATCH(260,'Transfer Engine'!$C$2:$C$1369,0)),"",HYPERLINK(INDEX('Compliance Database'!$O$2:$O$1369,MATCH(260,'Transfer Engine'!$C$2:$C$1369,0)),"Open PDF"))</f>
        <v/>
      </c>
    </row>
    <row r="270" ht="188" customHeight="1">
      <c r="A270" s="8">
        <f>IF(ISNA(MATCH(261,'Transfer Engine'!$C$2:$C$1369,0)),"",INDEX('Compliance Database'!$A$2:$A$1369,MATCH(261,'Transfer Engine'!$C$2:$C$1369,0)))</f>
        <v/>
      </c>
      <c r="B270" s="8">
        <f>IF(ISNA(MATCH(261,'Transfer Engine'!$C$2:$C$1369,0)),"",INDEX('Compliance Database'!$B$2:$B$1369,MATCH(261,'Transfer Engine'!$C$2:$C$1369,0)))</f>
        <v/>
      </c>
      <c r="C270" s="8">
        <f>IF(ISNA(MATCH(261,'Transfer Engine'!$C$2:$C$1369,0)),"",INDEX('Compliance Database'!$C$2:$C$1369,MATCH(261,'Transfer Engine'!$C$2:$C$1369,0)))</f>
        <v/>
      </c>
      <c r="D270" s="9">
        <f>IF(ISNA(MATCH(261,'Transfer Engine'!$C$2:$C$1369,0)),"",INDEX('Compliance Database'!$D$2:$D$1369,MATCH(261,'Transfer Engine'!$C$2:$C$1369,0)))</f>
        <v/>
      </c>
      <c r="E270" s="8">
        <f>IF(ISNA(MATCH(261,'Transfer Engine'!$C$2:$C$1369,0)),"",INDEX('Compliance Database'!$E$2:$E$1369,MATCH(261,'Transfer Engine'!$C$2:$C$1369,0)))</f>
        <v/>
      </c>
      <c r="F270" s="8">
        <f>IF(ISNA(MATCH(261,'Transfer Engine'!$C$2:$C$1369,0)),"",INDEX('Compliance Database'!$F$2:$F$1369,MATCH(261,'Transfer Engine'!$C$2:$C$1369,0)))</f>
        <v/>
      </c>
      <c r="G270" s="8">
        <f>IF(ISNA(MATCH(261,'Transfer Engine'!$C$2:$C$1369,0)),"",INDEX('Compliance Database'!$G$2:$G$1369,MATCH(261,'Transfer Engine'!$C$2:$C$1369,0)))</f>
        <v/>
      </c>
      <c r="H270" s="9">
        <f>IF(ISNA(MATCH(261,'Transfer Engine'!$C$2:$C$1369,0)),"",INDEX('Compliance Database'!$H$2:$H$1369,MATCH(261,'Transfer Engine'!$C$2:$C$1369,0)))</f>
        <v/>
      </c>
      <c r="I270" s="9">
        <f>IF(ISNA(MATCH(261,'Transfer Engine'!$C$2:$C$1369,0)),"",INDEX('Compliance Database'!$I$2:$I$1369,MATCH(261,'Transfer Engine'!$C$2:$C$1369,0)))</f>
        <v/>
      </c>
      <c r="J270" s="8">
        <f>IF(ISNA(MATCH(261,'Transfer Engine'!$C$2:$C$1369,0)),"",INDEX('Compliance Database'!$J$2:$J$1369,MATCH(261,'Transfer Engine'!$C$2:$C$1369,0)))</f>
        <v/>
      </c>
      <c r="K270" s="9">
        <f>IF(ISNA(MATCH(261,'Transfer Engine'!$C$2:$C$1369,0)),"",INDEX('Compliance Database'!$K$2:$K$1369,MATCH(261,'Transfer Engine'!$C$2:$C$1369,0)))</f>
        <v/>
      </c>
      <c r="L270" s="9">
        <f>IF(ISNA(MATCH(261,'Transfer Engine'!$C$2:$C$1369,0)),"",INDEX('Compliance Database'!$L$2:$L$1369,MATCH(261,'Transfer Engine'!$C$2:$C$1369,0)))</f>
        <v/>
      </c>
      <c r="M270" s="9">
        <f>IF(ISNA(MATCH(261,'Transfer Engine'!$C$2:$C$1369,0)),"",INDEX('Compliance Database'!$M$2:$M$1369,MATCH(261,'Transfer Engine'!$C$2:$C$1369,0)))</f>
        <v/>
      </c>
      <c r="N270" s="9">
        <f>IF(ISNA(MATCH(261,'Transfer Engine'!$C$2:$C$1369,0)),"",INDEX('Compliance Database'!$N$2:$N$1369,MATCH(261,'Transfer Engine'!$C$2:$C$1369,0)))</f>
        <v/>
      </c>
      <c r="O270" s="8">
        <f>IF(ISNA(MATCH(261,'Transfer Engine'!$C$2:$C$1369,0)),"",HYPERLINK(INDEX('Compliance Database'!$O$2:$O$1369,MATCH(261,'Transfer Engine'!$C$2:$C$1369,0)),"Open PDF"))</f>
        <v/>
      </c>
    </row>
    <row r="271" ht="188" customHeight="1">
      <c r="A271" s="8">
        <f>IF(ISNA(MATCH(262,'Transfer Engine'!$C$2:$C$1369,0)),"",INDEX('Compliance Database'!$A$2:$A$1369,MATCH(262,'Transfer Engine'!$C$2:$C$1369,0)))</f>
        <v/>
      </c>
      <c r="B271" s="8">
        <f>IF(ISNA(MATCH(262,'Transfer Engine'!$C$2:$C$1369,0)),"",INDEX('Compliance Database'!$B$2:$B$1369,MATCH(262,'Transfer Engine'!$C$2:$C$1369,0)))</f>
        <v/>
      </c>
      <c r="C271" s="8">
        <f>IF(ISNA(MATCH(262,'Transfer Engine'!$C$2:$C$1369,0)),"",INDEX('Compliance Database'!$C$2:$C$1369,MATCH(262,'Transfer Engine'!$C$2:$C$1369,0)))</f>
        <v/>
      </c>
      <c r="D271" s="9">
        <f>IF(ISNA(MATCH(262,'Transfer Engine'!$C$2:$C$1369,0)),"",INDEX('Compliance Database'!$D$2:$D$1369,MATCH(262,'Transfer Engine'!$C$2:$C$1369,0)))</f>
        <v/>
      </c>
      <c r="E271" s="8">
        <f>IF(ISNA(MATCH(262,'Transfer Engine'!$C$2:$C$1369,0)),"",INDEX('Compliance Database'!$E$2:$E$1369,MATCH(262,'Transfer Engine'!$C$2:$C$1369,0)))</f>
        <v/>
      </c>
      <c r="F271" s="8">
        <f>IF(ISNA(MATCH(262,'Transfer Engine'!$C$2:$C$1369,0)),"",INDEX('Compliance Database'!$F$2:$F$1369,MATCH(262,'Transfer Engine'!$C$2:$C$1369,0)))</f>
        <v/>
      </c>
      <c r="G271" s="8">
        <f>IF(ISNA(MATCH(262,'Transfer Engine'!$C$2:$C$1369,0)),"",INDEX('Compliance Database'!$G$2:$G$1369,MATCH(262,'Transfer Engine'!$C$2:$C$1369,0)))</f>
        <v/>
      </c>
      <c r="H271" s="9">
        <f>IF(ISNA(MATCH(262,'Transfer Engine'!$C$2:$C$1369,0)),"",INDEX('Compliance Database'!$H$2:$H$1369,MATCH(262,'Transfer Engine'!$C$2:$C$1369,0)))</f>
        <v/>
      </c>
      <c r="I271" s="9">
        <f>IF(ISNA(MATCH(262,'Transfer Engine'!$C$2:$C$1369,0)),"",INDEX('Compliance Database'!$I$2:$I$1369,MATCH(262,'Transfer Engine'!$C$2:$C$1369,0)))</f>
        <v/>
      </c>
      <c r="J271" s="8">
        <f>IF(ISNA(MATCH(262,'Transfer Engine'!$C$2:$C$1369,0)),"",INDEX('Compliance Database'!$J$2:$J$1369,MATCH(262,'Transfer Engine'!$C$2:$C$1369,0)))</f>
        <v/>
      </c>
      <c r="K271" s="9">
        <f>IF(ISNA(MATCH(262,'Transfer Engine'!$C$2:$C$1369,0)),"",INDEX('Compliance Database'!$K$2:$K$1369,MATCH(262,'Transfer Engine'!$C$2:$C$1369,0)))</f>
        <v/>
      </c>
      <c r="L271" s="9">
        <f>IF(ISNA(MATCH(262,'Transfer Engine'!$C$2:$C$1369,0)),"",INDEX('Compliance Database'!$L$2:$L$1369,MATCH(262,'Transfer Engine'!$C$2:$C$1369,0)))</f>
        <v/>
      </c>
      <c r="M271" s="9">
        <f>IF(ISNA(MATCH(262,'Transfer Engine'!$C$2:$C$1369,0)),"",INDEX('Compliance Database'!$M$2:$M$1369,MATCH(262,'Transfer Engine'!$C$2:$C$1369,0)))</f>
        <v/>
      </c>
      <c r="N271" s="9">
        <f>IF(ISNA(MATCH(262,'Transfer Engine'!$C$2:$C$1369,0)),"",INDEX('Compliance Database'!$N$2:$N$1369,MATCH(262,'Transfer Engine'!$C$2:$C$1369,0)))</f>
        <v/>
      </c>
      <c r="O271" s="8">
        <f>IF(ISNA(MATCH(262,'Transfer Engine'!$C$2:$C$1369,0)),"",HYPERLINK(INDEX('Compliance Database'!$O$2:$O$1369,MATCH(262,'Transfer Engine'!$C$2:$C$1369,0)),"Open PDF"))</f>
        <v/>
      </c>
    </row>
    <row r="272" ht="188" customHeight="1">
      <c r="A272" s="8">
        <f>IF(ISNA(MATCH(263,'Transfer Engine'!$C$2:$C$1369,0)),"",INDEX('Compliance Database'!$A$2:$A$1369,MATCH(263,'Transfer Engine'!$C$2:$C$1369,0)))</f>
        <v/>
      </c>
      <c r="B272" s="8">
        <f>IF(ISNA(MATCH(263,'Transfer Engine'!$C$2:$C$1369,0)),"",INDEX('Compliance Database'!$B$2:$B$1369,MATCH(263,'Transfer Engine'!$C$2:$C$1369,0)))</f>
        <v/>
      </c>
      <c r="C272" s="8">
        <f>IF(ISNA(MATCH(263,'Transfer Engine'!$C$2:$C$1369,0)),"",INDEX('Compliance Database'!$C$2:$C$1369,MATCH(263,'Transfer Engine'!$C$2:$C$1369,0)))</f>
        <v/>
      </c>
      <c r="D272" s="9">
        <f>IF(ISNA(MATCH(263,'Transfer Engine'!$C$2:$C$1369,0)),"",INDEX('Compliance Database'!$D$2:$D$1369,MATCH(263,'Transfer Engine'!$C$2:$C$1369,0)))</f>
        <v/>
      </c>
      <c r="E272" s="8">
        <f>IF(ISNA(MATCH(263,'Transfer Engine'!$C$2:$C$1369,0)),"",INDEX('Compliance Database'!$E$2:$E$1369,MATCH(263,'Transfer Engine'!$C$2:$C$1369,0)))</f>
        <v/>
      </c>
      <c r="F272" s="8">
        <f>IF(ISNA(MATCH(263,'Transfer Engine'!$C$2:$C$1369,0)),"",INDEX('Compliance Database'!$F$2:$F$1369,MATCH(263,'Transfer Engine'!$C$2:$C$1369,0)))</f>
        <v/>
      </c>
      <c r="G272" s="8">
        <f>IF(ISNA(MATCH(263,'Transfer Engine'!$C$2:$C$1369,0)),"",INDEX('Compliance Database'!$G$2:$G$1369,MATCH(263,'Transfer Engine'!$C$2:$C$1369,0)))</f>
        <v/>
      </c>
      <c r="H272" s="9">
        <f>IF(ISNA(MATCH(263,'Transfer Engine'!$C$2:$C$1369,0)),"",INDEX('Compliance Database'!$H$2:$H$1369,MATCH(263,'Transfer Engine'!$C$2:$C$1369,0)))</f>
        <v/>
      </c>
      <c r="I272" s="9">
        <f>IF(ISNA(MATCH(263,'Transfer Engine'!$C$2:$C$1369,0)),"",INDEX('Compliance Database'!$I$2:$I$1369,MATCH(263,'Transfer Engine'!$C$2:$C$1369,0)))</f>
        <v/>
      </c>
      <c r="J272" s="8">
        <f>IF(ISNA(MATCH(263,'Transfer Engine'!$C$2:$C$1369,0)),"",INDEX('Compliance Database'!$J$2:$J$1369,MATCH(263,'Transfer Engine'!$C$2:$C$1369,0)))</f>
        <v/>
      </c>
      <c r="K272" s="9">
        <f>IF(ISNA(MATCH(263,'Transfer Engine'!$C$2:$C$1369,0)),"",INDEX('Compliance Database'!$K$2:$K$1369,MATCH(263,'Transfer Engine'!$C$2:$C$1369,0)))</f>
        <v/>
      </c>
      <c r="L272" s="9">
        <f>IF(ISNA(MATCH(263,'Transfer Engine'!$C$2:$C$1369,0)),"",INDEX('Compliance Database'!$L$2:$L$1369,MATCH(263,'Transfer Engine'!$C$2:$C$1369,0)))</f>
        <v/>
      </c>
      <c r="M272" s="9">
        <f>IF(ISNA(MATCH(263,'Transfer Engine'!$C$2:$C$1369,0)),"",INDEX('Compliance Database'!$M$2:$M$1369,MATCH(263,'Transfer Engine'!$C$2:$C$1369,0)))</f>
        <v/>
      </c>
      <c r="N272" s="9">
        <f>IF(ISNA(MATCH(263,'Transfer Engine'!$C$2:$C$1369,0)),"",INDEX('Compliance Database'!$N$2:$N$1369,MATCH(263,'Transfer Engine'!$C$2:$C$1369,0)))</f>
        <v/>
      </c>
      <c r="O272" s="8">
        <f>IF(ISNA(MATCH(263,'Transfer Engine'!$C$2:$C$1369,0)),"",HYPERLINK(INDEX('Compliance Database'!$O$2:$O$1369,MATCH(263,'Transfer Engine'!$C$2:$C$1369,0)),"Open PDF"))</f>
        <v/>
      </c>
    </row>
    <row r="273" ht="188" customHeight="1">
      <c r="A273" s="8">
        <f>IF(ISNA(MATCH(264,'Transfer Engine'!$C$2:$C$1369,0)),"",INDEX('Compliance Database'!$A$2:$A$1369,MATCH(264,'Transfer Engine'!$C$2:$C$1369,0)))</f>
        <v/>
      </c>
      <c r="B273" s="8">
        <f>IF(ISNA(MATCH(264,'Transfer Engine'!$C$2:$C$1369,0)),"",INDEX('Compliance Database'!$B$2:$B$1369,MATCH(264,'Transfer Engine'!$C$2:$C$1369,0)))</f>
        <v/>
      </c>
      <c r="C273" s="8">
        <f>IF(ISNA(MATCH(264,'Transfer Engine'!$C$2:$C$1369,0)),"",INDEX('Compliance Database'!$C$2:$C$1369,MATCH(264,'Transfer Engine'!$C$2:$C$1369,0)))</f>
        <v/>
      </c>
      <c r="D273" s="9">
        <f>IF(ISNA(MATCH(264,'Transfer Engine'!$C$2:$C$1369,0)),"",INDEX('Compliance Database'!$D$2:$D$1369,MATCH(264,'Transfer Engine'!$C$2:$C$1369,0)))</f>
        <v/>
      </c>
      <c r="E273" s="8">
        <f>IF(ISNA(MATCH(264,'Transfer Engine'!$C$2:$C$1369,0)),"",INDEX('Compliance Database'!$E$2:$E$1369,MATCH(264,'Transfer Engine'!$C$2:$C$1369,0)))</f>
        <v/>
      </c>
      <c r="F273" s="8">
        <f>IF(ISNA(MATCH(264,'Transfer Engine'!$C$2:$C$1369,0)),"",INDEX('Compliance Database'!$F$2:$F$1369,MATCH(264,'Transfer Engine'!$C$2:$C$1369,0)))</f>
        <v/>
      </c>
      <c r="G273" s="8">
        <f>IF(ISNA(MATCH(264,'Transfer Engine'!$C$2:$C$1369,0)),"",INDEX('Compliance Database'!$G$2:$G$1369,MATCH(264,'Transfer Engine'!$C$2:$C$1369,0)))</f>
        <v/>
      </c>
      <c r="H273" s="9">
        <f>IF(ISNA(MATCH(264,'Transfer Engine'!$C$2:$C$1369,0)),"",INDEX('Compliance Database'!$H$2:$H$1369,MATCH(264,'Transfer Engine'!$C$2:$C$1369,0)))</f>
        <v/>
      </c>
      <c r="I273" s="9">
        <f>IF(ISNA(MATCH(264,'Transfer Engine'!$C$2:$C$1369,0)),"",INDEX('Compliance Database'!$I$2:$I$1369,MATCH(264,'Transfer Engine'!$C$2:$C$1369,0)))</f>
        <v/>
      </c>
      <c r="J273" s="8">
        <f>IF(ISNA(MATCH(264,'Transfer Engine'!$C$2:$C$1369,0)),"",INDEX('Compliance Database'!$J$2:$J$1369,MATCH(264,'Transfer Engine'!$C$2:$C$1369,0)))</f>
        <v/>
      </c>
      <c r="K273" s="9">
        <f>IF(ISNA(MATCH(264,'Transfer Engine'!$C$2:$C$1369,0)),"",INDEX('Compliance Database'!$K$2:$K$1369,MATCH(264,'Transfer Engine'!$C$2:$C$1369,0)))</f>
        <v/>
      </c>
      <c r="L273" s="9">
        <f>IF(ISNA(MATCH(264,'Transfer Engine'!$C$2:$C$1369,0)),"",INDEX('Compliance Database'!$L$2:$L$1369,MATCH(264,'Transfer Engine'!$C$2:$C$1369,0)))</f>
        <v/>
      </c>
      <c r="M273" s="9">
        <f>IF(ISNA(MATCH(264,'Transfer Engine'!$C$2:$C$1369,0)),"",INDEX('Compliance Database'!$M$2:$M$1369,MATCH(264,'Transfer Engine'!$C$2:$C$1369,0)))</f>
        <v/>
      </c>
      <c r="N273" s="9">
        <f>IF(ISNA(MATCH(264,'Transfer Engine'!$C$2:$C$1369,0)),"",INDEX('Compliance Database'!$N$2:$N$1369,MATCH(264,'Transfer Engine'!$C$2:$C$1369,0)))</f>
        <v/>
      </c>
      <c r="O273" s="8">
        <f>IF(ISNA(MATCH(264,'Transfer Engine'!$C$2:$C$1369,0)),"",HYPERLINK(INDEX('Compliance Database'!$O$2:$O$1369,MATCH(264,'Transfer Engine'!$C$2:$C$1369,0)),"Open PDF"))</f>
        <v/>
      </c>
    </row>
    <row r="274" ht="188" customHeight="1">
      <c r="A274" s="8">
        <f>IF(ISNA(MATCH(265,'Transfer Engine'!$C$2:$C$1369,0)),"",INDEX('Compliance Database'!$A$2:$A$1369,MATCH(265,'Transfer Engine'!$C$2:$C$1369,0)))</f>
        <v/>
      </c>
      <c r="B274" s="8">
        <f>IF(ISNA(MATCH(265,'Transfer Engine'!$C$2:$C$1369,0)),"",INDEX('Compliance Database'!$B$2:$B$1369,MATCH(265,'Transfer Engine'!$C$2:$C$1369,0)))</f>
        <v/>
      </c>
      <c r="C274" s="8">
        <f>IF(ISNA(MATCH(265,'Transfer Engine'!$C$2:$C$1369,0)),"",INDEX('Compliance Database'!$C$2:$C$1369,MATCH(265,'Transfer Engine'!$C$2:$C$1369,0)))</f>
        <v/>
      </c>
      <c r="D274" s="9">
        <f>IF(ISNA(MATCH(265,'Transfer Engine'!$C$2:$C$1369,0)),"",INDEX('Compliance Database'!$D$2:$D$1369,MATCH(265,'Transfer Engine'!$C$2:$C$1369,0)))</f>
        <v/>
      </c>
      <c r="E274" s="8">
        <f>IF(ISNA(MATCH(265,'Transfer Engine'!$C$2:$C$1369,0)),"",INDEX('Compliance Database'!$E$2:$E$1369,MATCH(265,'Transfer Engine'!$C$2:$C$1369,0)))</f>
        <v/>
      </c>
      <c r="F274" s="8">
        <f>IF(ISNA(MATCH(265,'Transfer Engine'!$C$2:$C$1369,0)),"",INDEX('Compliance Database'!$F$2:$F$1369,MATCH(265,'Transfer Engine'!$C$2:$C$1369,0)))</f>
        <v/>
      </c>
      <c r="G274" s="8">
        <f>IF(ISNA(MATCH(265,'Transfer Engine'!$C$2:$C$1369,0)),"",INDEX('Compliance Database'!$G$2:$G$1369,MATCH(265,'Transfer Engine'!$C$2:$C$1369,0)))</f>
        <v/>
      </c>
      <c r="H274" s="9">
        <f>IF(ISNA(MATCH(265,'Transfer Engine'!$C$2:$C$1369,0)),"",INDEX('Compliance Database'!$H$2:$H$1369,MATCH(265,'Transfer Engine'!$C$2:$C$1369,0)))</f>
        <v/>
      </c>
      <c r="I274" s="9">
        <f>IF(ISNA(MATCH(265,'Transfer Engine'!$C$2:$C$1369,0)),"",INDEX('Compliance Database'!$I$2:$I$1369,MATCH(265,'Transfer Engine'!$C$2:$C$1369,0)))</f>
        <v/>
      </c>
      <c r="J274" s="8">
        <f>IF(ISNA(MATCH(265,'Transfer Engine'!$C$2:$C$1369,0)),"",INDEX('Compliance Database'!$J$2:$J$1369,MATCH(265,'Transfer Engine'!$C$2:$C$1369,0)))</f>
        <v/>
      </c>
      <c r="K274" s="9">
        <f>IF(ISNA(MATCH(265,'Transfer Engine'!$C$2:$C$1369,0)),"",INDEX('Compliance Database'!$K$2:$K$1369,MATCH(265,'Transfer Engine'!$C$2:$C$1369,0)))</f>
        <v/>
      </c>
      <c r="L274" s="9">
        <f>IF(ISNA(MATCH(265,'Transfer Engine'!$C$2:$C$1369,0)),"",INDEX('Compliance Database'!$L$2:$L$1369,MATCH(265,'Transfer Engine'!$C$2:$C$1369,0)))</f>
        <v/>
      </c>
      <c r="M274" s="9">
        <f>IF(ISNA(MATCH(265,'Transfer Engine'!$C$2:$C$1369,0)),"",INDEX('Compliance Database'!$M$2:$M$1369,MATCH(265,'Transfer Engine'!$C$2:$C$1369,0)))</f>
        <v/>
      </c>
      <c r="N274" s="9">
        <f>IF(ISNA(MATCH(265,'Transfer Engine'!$C$2:$C$1369,0)),"",INDEX('Compliance Database'!$N$2:$N$1369,MATCH(265,'Transfer Engine'!$C$2:$C$1369,0)))</f>
        <v/>
      </c>
      <c r="O274" s="8">
        <f>IF(ISNA(MATCH(265,'Transfer Engine'!$C$2:$C$1369,0)),"",HYPERLINK(INDEX('Compliance Database'!$O$2:$O$1369,MATCH(265,'Transfer Engine'!$C$2:$C$1369,0)),"Open PDF"))</f>
        <v/>
      </c>
    </row>
    <row r="275" ht="188" customHeight="1">
      <c r="A275" s="8">
        <f>IF(ISNA(MATCH(266,'Transfer Engine'!$C$2:$C$1369,0)),"",INDEX('Compliance Database'!$A$2:$A$1369,MATCH(266,'Transfer Engine'!$C$2:$C$1369,0)))</f>
        <v/>
      </c>
      <c r="B275" s="8">
        <f>IF(ISNA(MATCH(266,'Transfer Engine'!$C$2:$C$1369,0)),"",INDEX('Compliance Database'!$B$2:$B$1369,MATCH(266,'Transfer Engine'!$C$2:$C$1369,0)))</f>
        <v/>
      </c>
      <c r="C275" s="8">
        <f>IF(ISNA(MATCH(266,'Transfer Engine'!$C$2:$C$1369,0)),"",INDEX('Compliance Database'!$C$2:$C$1369,MATCH(266,'Transfer Engine'!$C$2:$C$1369,0)))</f>
        <v/>
      </c>
      <c r="D275" s="9">
        <f>IF(ISNA(MATCH(266,'Transfer Engine'!$C$2:$C$1369,0)),"",INDEX('Compliance Database'!$D$2:$D$1369,MATCH(266,'Transfer Engine'!$C$2:$C$1369,0)))</f>
        <v/>
      </c>
      <c r="E275" s="8">
        <f>IF(ISNA(MATCH(266,'Transfer Engine'!$C$2:$C$1369,0)),"",INDEX('Compliance Database'!$E$2:$E$1369,MATCH(266,'Transfer Engine'!$C$2:$C$1369,0)))</f>
        <v/>
      </c>
      <c r="F275" s="8">
        <f>IF(ISNA(MATCH(266,'Transfer Engine'!$C$2:$C$1369,0)),"",INDEX('Compliance Database'!$F$2:$F$1369,MATCH(266,'Transfer Engine'!$C$2:$C$1369,0)))</f>
        <v/>
      </c>
      <c r="G275" s="8">
        <f>IF(ISNA(MATCH(266,'Transfer Engine'!$C$2:$C$1369,0)),"",INDEX('Compliance Database'!$G$2:$G$1369,MATCH(266,'Transfer Engine'!$C$2:$C$1369,0)))</f>
        <v/>
      </c>
      <c r="H275" s="9">
        <f>IF(ISNA(MATCH(266,'Transfer Engine'!$C$2:$C$1369,0)),"",INDEX('Compliance Database'!$H$2:$H$1369,MATCH(266,'Transfer Engine'!$C$2:$C$1369,0)))</f>
        <v/>
      </c>
      <c r="I275" s="9">
        <f>IF(ISNA(MATCH(266,'Transfer Engine'!$C$2:$C$1369,0)),"",INDEX('Compliance Database'!$I$2:$I$1369,MATCH(266,'Transfer Engine'!$C$2:$C$1369,0)))</f>
        <v/>
      </c>
      <c r="J275" s="8">
        <f>IF(ISNA(MATCH(266,'Transfer Engine'!$C$2:$C$1369,0)),"",INDEX('Compliance Database'!$J$2:$J$1369,MATCH(266,'Transfer Engine'!$C$2:$C$1369,0)))</f>
        <v/>
      </c>
      <c r="K275" s="9">
        <f>IF(ISNA(MATCH(266,'Transfer Engine'!$C$2:$C$1369,0)),"",INDEX('Compliance Database'!$K$2:$K$1369,MATCH(266,'Transfer Engine'!$C$2:$C$1369,0)))</f>
        <v/>
      </c>
      <c r="L275" s="9">
        <f>IF(ISNA(MATCH(266,'Transfer Engine'!$C$2:$C$1369,0)),"",INDEX('Compliance Database'!$L$2:$L$1369,MATCH(266,'Transfer Engine'!$C$2:$C$1369,0)))</f>
        <v/>
      </c>
      <c r="M275" s="9">
        <f>IF(ISNA(MATCH(266,'Transfer Engine'!$C$2:$C$1369,0)),"",INDEX('Compliance Database'!$M$2:$M$1369,MATCH(266,'Transfer Engine'!$C$2:$C$1369,0)))</f>
        <v/>
      </c>
      <c r="N275" s="9">
        <f>IF(ISNA(MATCH(266,'Transfer Engine'!$C$2:$C$1369,0)),"",INDEX('Compliance Database'!$N$2:$N$1369,MATCH(266,'Transfer Engine'!$C$2:$C$1369,0)))</f>
        <v/>
      </c>
      <c r="O275" s="8">
        <f>IF(ISNA(MATCH(266,'Transfer Engine'!$C$2:$C$1369,0)),"",HYPERLINK(INDEX('Compliance Database'!$O$2:$O$1369,MATCH(266,'Transfer Engine'!$C$2:$C$1369,0)),"Open PDF"))</f>
        <v/>
      </c>
    </row>
    <row r="276" ht="188" customHeight="1">
      <c r="A276" s="8">
        <f>IF(ISNA(MATCH(267,'Transfer Engine'!$C$2:$C$1369,0)),"",INDEX('Compliance Database'!$A$2:$A$1369,MATCH(267,'Transfer Engine'!$C$2:$C$1369,0)))</f>
        <v/>
      </c>
      <c r="B276" s="8">
        <f>IF(ISNA(MATCH(267,'Transfer Engine'!$C$2:$C$1369,0)),"",INDEX('Compliance Database'!$B$2:$B$1369,MATCH(267,'Transfer Engine'!$C$2:$C$1369,0)))</f>
        <v/>
      </c>
      <c r="C276" s="8">
        <f>IF(ISNA(MATCH(267,'Transfer Engine'!$C$2:$C$1369,0)),"",INDEX('Compliance Database'!$C$2:$C$1369,MATCH(267,'Transfer Engine'!$C$2:$C$1369,0)))</f>
        <v/>
      </c>
      <c r="D276" s="9">
        <f>IF(ISNA(MATCH(267,'Transfer Engine'!$C$2:$C$1369,0)),"",INDEX('Compliance Database'!$D$2:$D$1369,MATCH(267,'Transfer Engine'!$C$2:$C$1369,0)))</f>
        <v/>
      </c>
      <c r="E276" s="8">
        <f>IF(ISNA(MATCH(267,'Transfer Engine'!$C$2:$C$1369,0)),"",INDEX('Compliance Database'!$E$2:$E$1369,MATCH(267,'Transfer Engine'!$C$2:$C$1369,0)))</f>
        <v/>
      </c>
      <c r="F276" s="8">
        <f>IF(ISNA(MATCH(267,'Transfer Engine'!$C$2:$C$1369,0)),"",INDEX('Compliance Database'!$F$2:$F$1369,MATCH(267,'Transfer Engine'!$C$2:$C$1369,0)))</f>
        <v/>
      </c>
      <c r="G276" s="8">
        <f>IF(ISNA(MATCH(267,'Transfer Engine'!$C$2:$C$1369,0)),"",INDEX('Compliance Database'!$G$2:$G$1369,MATCH(267,'Transfer Engine'!$C$2:$C$1369,0)))</f>
        <v/>
      </c>
      <c r="H276" s="9">
        <f>IF(ISNA(MATCH(267,'Transfer Engine'!$C$2:$C$1369,0)),"",INDEX('Compliance Database'!$H$2:$H$1369,MATCH(267,'Transfer Engine'!$C$2:$C$1369,0)))</f>
        <v/>
      </c>
      <c r="I276" s="9">
        <f>IF(ISNA(MATCH(267,'Transfer Engine'!$C$2:$C$1369,0)),"",INDEX('Compliance Database'!$I$2:$I$1369,MATCH(267,'Transfer Engine'!$C$2:$C$1369,0)))</f>
        <v/>
      </c>
      <c r="J276" s="8">
        <f>IF(ISNA(MATCH(267,'Transfer Engine'!$C$2:$C$1369,0)),"",INDEX('Compliance Database'!$J$2:$J$1369,MATCH(267,'Transfer Engine'!$C$2:$C$1369,0)))</f>
        <v/>
      </c>
      <c r="K276" s="9">
        <f>IF(ISNA(MATCH(267,'Transfer Engine'!$C$2:$C$1369,0)),"",INDEX('Compliance Database'!$K$2:$K$1369,MATCH(267,'Transfer Engine'!$C$2:$C$1369,0)))</f>
        <v/>
      </c>
      <c r="L276" s="9">
        <f>IF(ISNA(MATCH(267,'Transfer Engine'!$C$2:$C$1369,0)),"",INDEX('Compliance Database'!$L$2:$L$1369,MATCH(267,'Transfer Engine'!$C$2:$C$1369,0)))</f>
        <v/>
      </c>
      <c r="M276" s="9">
        <f>IF(ISNA(MATCH(267,'Transfer Engine'!$C$2:$C$1369,0)),"",INDEX('Compliance Database'!$M$2:$M$1369,MATCH(267,'Transfer Engine'!$C$2:$C$1369,0)))</f>
        <v/>
      </c>
      <c r="N276" s="9">
        <f>IF(ISNA(MATCH(267,'Transfer Engine'!$C$2:$C$1369,0)),"",INDEX('Compliance Database'!$N$2:$N$1369,MATCH(267,'Transfer Engine'!$C$2:$C$1369,0)))</f>
        <v/>
      </c>
      <c r="O276" s="8">
        <f>IF(ISNA(MATCH(267,'Transfer Engine'!$C$2:$C$1369,0)),"",HYPERLINK(INDEX('Compliance Database'!$O$2:$O$1369,MATCH(267,'Transfer Engine'!$C$2:$C$1369,0)),"Open PDF"))</f>
        <v/>
      </c>
    </row>
    <row r="277" ht="188" customHeight="1">
      <c r="A277" s="8">
        <f>IF(ISNA(MATCH(268,'Transfer Engine'!$C$2:$C$1369,0)),"",INDEX('Compliance Database'!$A$2:$A$1369,MATCH(268,'Transfer Engine'!$C$2:$C$1369,0)))</f>
        <v/>
      </c>
      <c r="B277" s="8">
        <f>IF(ISNA(MATCH(268,'Transfer Engine'!$C$2:$C$1369,0)),"",INDEX('Compliance Database'!$B$2:$B$1369,MATCH(268,'Transfer Engine'!$C$2:$C$1369,0)))</f>
        <v/>
      </c>
      <c r="C277" s="8">
        <f>IF(ISNA(MATCH(268,'Transfer Engine'!$C$2:$C$1369,0)),"",INDEX('Compliance Database'!$C$2:$C$1369,MATCH(268,'Transfer Engine'!$C$2:$C$1369,0)))</f>
        <v/>
      </c>
      <c r="D277" s="9">
        <f>IF(ISNA(MATCH(268,'Transfer Engine'!$C$2:$C$1369,0)),"",INDEX('Compliance Database'!$D$2:$D$1369,MATCH(268,'Transfer Engine'!$C$2:$C$1369,0)))</f>
        <v/>
      </c>
      <c r="E277" s="8">
        <f>IF(ISNA(MATCH(268,'Transfer Engine'!$C$2:$C$1369,0)),"",INDEX('Compliance Database'!$E$2:$E$1369,MATCH(268,'Transfer Engine'!$C$2:$C$1369,0)))</f>
        <v/>
      </c>
      <c r="F277" s="8">
        <f>IF(ISNA(MATCH(268,'Transfer Engine'!$C$2:$C$1369,0)),"",INDEX('Compliance Database'!$F$2:$F$1369,MATCH(268,'Transfer Engine'!$C$2:$C$1369,0)))</f>
        <v/>
      </c>
      <c r="G277" s="8">
        <f>IF(ISNA(MATCH(268,'Transfer Engine'!$C$2:$C$1369,0)),"",INDEX('Compliance Database'!$G$2:$G$1369,MATCH(268,'Transfer Engine'!$C$2:$C$1369,0)))</f>
        <v/>
      </c>
      <c r="H277" s="9">
        <f>IF(ISNA(MATCH(268,'Transfer Engine'!$C$2:$C$1369,0)),"",INDEX('Compliance Database'!$H$2:$H$1369,MATCH(268,'Transfer Engine'!$C$2:$C$1369,0)))</f>
        <v/>
      </c>
      <c r="I277" s="9">
        <f>IF(ISNA(MATCH(268,'Transfer Engine'!$C$2:$C$1369,0)),"",INDEX('Compliance Database'!$I$2:$I$1369,MATCH(268,'Transfer Engine'!$C$2:$C$1369,0)))</f>
        <v/>
      </c>
      <c r="J277" s="8">
        <f>IF(ISNA(MATCH(268,'Transfer Engine'!$C$2:$C$1369,0)),"",INDEX('Compliance Database'!$J$2:$J$1369,MATCH(268,'Transfer Engine'!$C$2:$C$1369,0)))</f>
        <v/>
      </c>
      <c r="K277" s="9">
        <f>IF(ISNA(MATCH(268,'Transfer Engine'!$C$2:$C$1369,0)),"",INDEX('Compliance Database'!$K$2:$K$1369,MATCH(268,'Transfer Engine'!$C$2:$C$1369,0)))</f>
        <v/>
      </c>
      <c r="L277" s="9">
        <f>IF(ISNA(MATCH(268,'Transfer Engine'!$C$2:$C$1369,0)),"",INDEX('Compliance Database'!$L$2:$L$1369,MATCH(268,'Transfer Engine'!$C$2:$C$1369,0)))</f>
        <v/>
      </c>
      <c r="M277" s="9">
        <f>IF(ISNA(MATCH(268,'Transfer Engine'!$C$2:$C$1369,0)),"",INDEX('Compliance Database'!$M$2:$M$1369,MATCH(268,'Transfer Engine'!$C$2:$C$1369,0)))</f>
        <v/>
      </c>
      <c r="N277" s="9">
        <f>IF(ISNA(MATCH(268,'Transfer Engine'!$C$2:$C$1369,0)),"",INDEX('Compliance Database'!$N$2:$N$1369,MATCH(268,'Transfer Engine'!$C$2:$C$1369,0)))</f>
        <v/>
      </c>
      <c r="O277" s="8">
        <f>IF(ISNA(MATCH(268,'Transfer Engine'!$C$2:$C$1369,0)),"",HYPERLINK(INDEX('Compliance Database'!$O$2:$O$1369,MATCH(268,'Transfer Engine'!$C$2:$C$1369,0)),"Open PDF"))</f>
        <v/>
      </c>
    </row>
    <row r="278" ht="188" customHeight="1">
      <c r="A278" s="8">
        <f>IF(ISNA(MATCH(269,'Transfer Engine'!$C$2:$C$1369,0)),"",INDEX('Compliance Database'!$A$2:$A$1369,MATCH(269,'Transfer Engine'!$C$2:$C$1369,0)))</f>
        <v/>
      </c>
      <c r="B278" s="8">
        <f>IF(ISNA(MATCH(269,'Transfer Engine'!$C$2:$C$1369,0)),"",INDEX('Compliance Database'!$B$2:$B$1369,MATCH(269,'Transfer Engine'!$C$2:$C$1369,0)))</f>
        <v/>
      </c>
      <c r="C278" s="8">
        <f>IF(ISNA(MATCH(269,'Transfer Engine'!$C$2:$C$1369,0)),"",INDEX('Compliance Database'!$C$2:$C$1369,MATCH(269,'Transfer Engine'!$C$2:$C$1369,0)))</f>
        <v/>
      </c>
      <c r="D278" s="9">
        <f>IF(ISNA(MATCH(269,'Transfer Engine'!$C$2:$C$1369,0)),"",INDEX('Compliance Database'!$D$2:$D$1369,MATCH(269,'Transfer Engine'!$C$2:$C$1369,0)))</f>
        <v/>
      </c>
      <c r="E278" s="8">
        <f>IF(ISNA(MATCH(269,'Transfer Engine'!$C$2:$C$1369,0)),"",INDEX('Compliance Database'!$E$2:$E$1369,MATCH(269,'Transfer Engine'!$C$2:$C$1369,0)))</f>
        <v/>
      </c>
      <c r="F278" s="8">
        <f>IF(ISNA(MATCH(269,'Transfer Engine'!$C$2:$C$1369,0)),"",INDEX('Compliance Database'!$F$2:$F$1369,MATCH(269,'Transfer Engine'!$C$2:$C$1369,0)))</f>
        <v/>
      </c>
      <c r="G278" s="8">
        <f>IF(ISNA(MATCH(269,'Transfer Engine'!$C$2:$C$1369,0)),"",INDEX('Compliance Database'!$G$2:$G$1369,MATCH(269,'Transfer Engine'!$C$2:$C$1369,0)))</f>
        <v/>
      </c>
      <c r="H278" s="9">
        <f>IF(ISNA(MATCH(269,'Transfer Engine'!$C$2:$C$1369,0)),"",INDEX('Compliance Database'!$H$2:$H$1369,MATCH(269,'Transfer Engine'!$C$2:$C$1369,0)))</f>
        <v/>
      </c>
      <c r="I278" s="9">
        <f>IF(ISNA(MATCH(269,'Transfer Engine'!$C$2:$C$1369,0)),"",INDEX('Compliance Database'!$I$2:$I$1369,MATCH(269,'Transfer Engine'!$C$2:$C$1369,0)))</f>
        <v/>
      </c>
      <c r="J278" s="8">
        <f>IF(ISNA(MATCH(269,'Transfer Engine'!$C$2:$C$1369,0)),"",INDEX('Compliance Database'!$J$2:$J$1369,MATCH(269,'Transfer Engine'!$C$2:$C$1369,0)))</f>
        <v/>
      </c>
      <c r="K278" s="9">
        <f>IF(ISNA(MATCH(269,'Transfer Engine'!$C$2:$C$1369,0)),"",INDEX('Compliance Database'!$K$2:$K$1369,MATCH(269,'Transfer Engine'!$C$2:$C$1369,0)))</f>
        <v/>
      </c>
      <c r="L278" s="9">
        <f>IF(ISNA(MATCH(269,'Transfer Engine'!$C$2:$C$1369,0)),"",INDEX('Compliance Database'!$L$2:$L$1369,MATCH(269,'Transfer Engine'!$C$2:$C$1369,0)))</f>
        <v/>
      </c>
      <c r="M278" s="9">
        <f>IF(ISNA(MATCH(269,'Transfer Engine'!$C$2:$C$1369,0)),"",INDEX('Compliance Database'!$M$2:$M$1369,MATCH(269,'Transfer Engine'!$C$2:$C$1369,0)))</f>
        <v/>
      </c>
      <c r="N278" s="9">
        <f>IF(ISNA(MATCH(269,'Transfer Engine'!$C$2:$C$1369,0)),"",INDEX('Compliance Database'!$N$2:$N$1369,MATCH(269,'Transfer Engine'!$C$2:$C$1369,0)))</f>
        <v/>
      </c>
      <c r="O278" s="8">
        <f>IF(ISNA(MATCH(269,'Transfer Engine'!$C$2:$C$1369,0)),"",HYPERLINK(INDEX('Compliance Database'!$O$2:$O$1369,MATCH(269,'Transfer Engine'!$C$2:$C$1369,0)),"Open PDF"))</f>
        <v/>
      </c>
    </row>
    <row r="279" ht="188" customHeight="1">
      <c r="A279" s="8">
        <f>IF(ISNA(MATCH(270,'Transfer Engine'!$C$2:$C$1369,0)),"",INDEX('Compliance Database'!$A$2:$A$1369,MATCH(270,'Transfer Engine'!$C$2:$C$1369,0)))</f>
        <v/>
      </c>
      <c r="B279" s="8">
        <f>IF(ISNA(MATCH(270,'Transfer Engine'!$C$2:$C$1369,0)),"",INDEX('Compliance Database'!$B$2:$B$1369,MATCH(270,'Transfer Engine'!$C$2:$C$1369,0)))</f>
        <v/>
      </c>
      <c r="C279" s="8">
        <f>IF(ISNA(MATCH(270,'Transfer Engine'!$C$2:$C$1369,0)),"",INDEX('Compliance Database'!$C$2:$C$1369,MATCH(270,'Transfer Engine'!$C$2:$C$1369,0)))</f>
        <v/>
      </c>
      <c r="D279" s="9">
        <f>IF(ISNA(MATCH(270,'Transfer Engine'!$C$2:$C$1369,0)),"",INDEX('Compliance Database'!$D$2:$D$1369,MATCH(270,'Transfer Engine'!$C$2:$C$1369,0)))</f>
        <v/>
      </c>
      <c r="E279" s="8">
        <f>IF(ISNA(MATCH(270,'Transfer Engine'!$C$2:$C$1369,0)),"",INDEX('Compliance Database'!$E$2:$E$1369,MATCH(270,'Transfer Engine'!$C$2:$C$1369,0)))</f>
        <v/>
      </c>
      <c r="F279" s="8">
        <f>IF(ISNA(MATCH(270,'Transfer Engine'!$C$2:$C$1369,0)),"",INDEX('Compliance Database'!$F$2:$F$1369,MATCH(270,'Transfer Engine'!$C$2:$C$1369,0)))</f>
        <v/>
      </c>
      <c r="G279" s="8">
        <f>IF(ISNA(MATCH(270,'Transfer Engine'!$C$2:$C$1369,0)),"",INDEX('Compliance Database'!$G$2:$G$1369,MATCH(270,'Transfer Engine'!$C$2:$C$1369,0)))</f>
        <v/>
      </c>
      <c r="H279" s="9">
        <f>IF(ISNA(MATCH(270,'Transfer Engine'!$C$2:$C$1369,0)),"",INDEX('Compliance Database'!$H$2:$H$1369,MATCH(270,'Transfer Engine'!$C$2:$C$1369,0)))</f>
        <v/>
      </c>
      <c r="I279" s="9">
        <f>IF(ISNA(MATCH(270,'Transfer Engine'!$C$2:$C$1369,0)),"",INDEX('Compliance Database'!$I$2:$I$1369,MATCH(270,'Transfer Engine'!$C$2:$C$1369,0)))</f>
        <v/>
      </c>
      <c r="J279" s="8">
        <f>IF(ISNA(MATCH(270,'Transfer Engine'!$C$2:$C$1369,0)),"",INDEX('Compliance Database'!$J$2:$J$1369,MATCH(270,'Transfer Engine'!$C$2:$C$1369,0)))</f>
        <v/>
      </c>
      <c r="K279" s="9">
        <f>IF(ISNA(MATCH(270,'Transfer Engine'!$C$2:$C$1369,0)),"",INDEX('Compliance Database'!$K$2:$K$1369,MATCH(270,'Transfer Engine'!$C$2:$C$1369,0)))</f>
        <v/>
      </c>
      <c r="L279" s="9">
        <f>IF(ISNA(MATCH(270,'Transfer Engine'!$C$2:$C$1369,0)),"",INDEX('Compliance Database'!$L$2:$L$1369,MATCH(270,'Transfer Engine'!$C$2:$C$1369,0)))</f>
        <v/>
      </c>
      <c r="M279" s="9">
        <f>IF(ISNA(MATCH(270,'Transfer Engine'!$C$2:$C$1369,0)),"",INDEX('Compliance Database'!$M$2:$M$1369,MATCH(270,'Transfer Engine'!$C$2:$C$1369,0)))</f>
        <v/>
      </c>
      <c r="N279" s="9">
        <f>IF(ISNA(MATCH(270,'Transfer Engine'!$C$2:$C$1369,0)),"",INDEX('Compliance Database'!$N$2:$N$1369,MATCH(270,'Transfer Engine'!$C$2:$C$1369,0)))</f>
        <v/>
      </c>
      <c r="O279" s="8">
        <f>IF(ISNA(MATCH(270,'Transfer Engine'!$C$2:$C$1369,0)),"",HYPERLINK(INDEX('Compliance Database'!$O$2:$O$1369,MATCH(270,'Transfer Engine'!$C$2:$C$1369,0)),"Open PDF"))</f>
        <v/>
      </c>
    </row>
    <row r="280" ht="188" customHeight="1">
      <c r="A280" s="8">
        <f>IF(ISNA(MATCH(271,'Transfer Engine'!$C$2:$C$1369,0)),"",INDEX('Compliance Database'!$A$2:$A$1369,MATCH(271,'Transfer Engine'!$C$2:$C$1369,0)))</f>
        <v/>
      </c>
      <c r="B280" s="8">
        <f>IF(ISNA(MATCH(271,'Transfer Engine'!$C$2:$C$1369,0)),"",INDEX('Compliance Database'!$B$2:$B$1369,MATCH(271,'Transfer Engine'!$C$2:$C$1369,0)))</f>
        <v/>
      </c>
      <c r="C280" s="8">
        <f>IF(ISNA(MATCH(271,'Transfer Engine'!$C$2:$C$1369,0)),"",INDEX('Compliance Database'!$C$2:$C$1369,MATCH(271,'Transfer Engine'!$C$2:$C$1369,0)))</f>
        <v/>
      </c>
      <c r="D280" s="9">
        <f>IF(ISNA(MATCH(271,'Transfer Engine'!$C$2:$C$1369,0)),"",INDEX('Compliance Database'!$D$2:$D$1369,MATCH(271,'Transfer Engine'!$C$2:$C$1369,0)))</f>
        <v/>
      </c>
      <c r="E280" s="8">
        <f>IF(ISNA(MATCH(271,'Transfer Engine'!$C$2:$C$1369,0)),"",INDEX('Compliance Database'!$E$2:$E$1369,MATCH(271,'Transfer Engine'!$C$2:$C$1369,0)))</f>
        <v/>
      </c>
      <c r="F280" s="8">
        <f>IF(ISNA(MATCH(271,'Transfer Engine'!$C$2:$C$1369,0)),"",INDEX('Compliance Database'!$F$2:$F$1369,MATCH(271,'Transfer Engine'!$C$2:$C$1369,0)))</f>
        <v/>
      </c>
      <c r="G280" s="8">
        <f>IF(ISNA(MATCH(271,'Transfer Engine'!$C$2:$C$1369,0)),"",INDEX('Compliance Database'!$G$2:$G$1369,MATCH(271,'Transfer Engine'!$C$2:$C$1369,0)))</f>
        <v/>
      </c>
      <c r="H280" s="9">
        <f>IF(ISNA(MATCH(271,'Transfer Engine'!$C$2:$C$1369,0)),"",INDEX('Compliance Database'!$H$2:$H$1369,MATCH(271,'Transfer Engine'!$C$2:$C$1369,0)))</f>
        <v/>
      </c>
      <c r="I280" s="9">
        <f>IF(ISNA(MATCH(271,'Transfer Engine'!$C$2:$C$1369,0)),"",INDEX('Compliance Database'!$I$2:$I$1369,MATCH(271,'Transfer Engine'!$C$2:$C$1369,0)))</f>
        <v/>
      </c>
      <c r="J280" s="8">
        <f>IF(ISNA(MATCH(271,'Transfer Engine'!$C$2:$C$1369,0)),"",INDEX('Compliance Database'!$J$2:$J$1369,MATCH(271,'Transfer Engine'!$C$2:$C$1369,0)))</f>
        <v/>
      </c>
      <c r="K280" s="9">
        <f>IF(ISNA(MATCH(271,'Transfer Engine'!$C$2:$C$1369,0)),"",INDEX('Compliance Database'!$K$2:$K$1369,MATCH(271,'Transfer Engine'!$C$2:$C$1369,0)))</f>
        <v/>
      </c>
      <c r="L280" s="9">
        <f>IF(ISNA(MATCH(271,'Transfer Engine'!$C$2:$C$1369,0)),"",INDEX('Compliance Database'!$L$2:$L$1369,MATCH(271,'Transfer Engine'!$C$2:$C$1369,0)))</f>
        <v/>
      </c>
      <c r="M280" s="9">
        <f>IF(ISNA(MATCH(271,'Transfer Engine'!$C$2:$C$1369,0)),"",INDEX('Compliance Database'!$M$2:$M$1369,MATCH(271,'Transfer Engine'!$C$2:$C$1369,0)))</f>
        <v/>
      </c>
      <c r="N280" s="9">
        <f>IF(ISNA(MATCH(271,'Transfer Engine'!$C$2:$C$1369,0)),"",INDEX('Compliance Database'!$N$2:$N$1369,MATCH(271,'Transfer Engine'!$C$2:$C$1369,0)))</f>
        <v/>
      </c>
      <c r="O280" s="8">
        <f>IF(ISNA(MATCH(271,'Transfer Engine'!$C$2:$C$1369,0)),"",HYPERLINK(INDEX('Compliance Database'!$O$2:$O$1369,MATCH(271,'Transfer Engine'!$C$2:$C$1369,0)),"Open PDF"))</f>
        <v/>
      </c>
    </row>
    <row r="281" ht="188" customHeight="1">
      <c r="A281" s="8">
        <f>IF(ISNA(MATCH(272,'Transfer Engine'!$C$2:$C$1369,0)),"",INDEX('Compliance Database'!$A$2:$A$1369,MATCH(272,'Transfer Engine'!$C$2:$C$1369,0)))</f>
        <v/>
      </c>
      <c r="B281" s="8">
        <f>IF(ISNA(MATCH(272,'Transfer Engine'!$C$2:$C$1369,0)),"",INDEX('Compliance Database'!$B$2:$B$1369,MATCH(272,'Transfer Engine'!$C$2:$C$1369,0)))</f>
        <v/>
      </c>
      <c r="C281" s="8">
        <f>IF(ISNA(MATCH(272,'Transfer Engine'!$C$2:$C$1369,0)),"",INDEX('Compliance Database'!$C$2:$C$1369,MATCH(272,'Transfer Engine'!$C$2:$C$1369,0)))</f>
        <v/>
      </c>
      <c r="D281" s="9">
        <f>IF(ISNA(MATCH(272,'Transfer Engine'!$C$2:$C$1369,0)),"",INDEX('Compliance Database'!$D$2:$D$1369,MATCH(272,'Transfer Engine'!$C$2:$C$1369,0)))</f>
        <v/>
      </c>
      <c r="E281" s="8">
        <f>IF(ISNA(MATCH(272,'Transfer Engine'!$C$2:$C$1369,0)),"",INDEX('Compliance Database'!$E$2:$E$1369,MATCH(272,'Transfer Engine'!$C$2:$C$1369,0)))</f>
        <v/>
      </c>
      <c r="F281" s="8">
        <f>IF(ISNA(MATCH(272,'Transfer Engine'!$C$2:$C$1369,0)),"",INDEX('Compliance Database'!$F$2:$F$1369,MATCH(272,'Transfer Engine'!$C$2:$C$1369,0)))</f>
        <v/>
      </c>
      <c r="G281" s="8">
        <f>IF(ISNA(MATCH(272,'Transfer Engine'!$C$2:$C$1369,0)),"",INDEX('Compliance Database'!$G$2:$G$1369,MATCH(272,'Transfer Engine'!$C$2:$C$1369,0)))</f>
        <v/>
      </c>
      <c r="H281" s="9">
        <f>IF(ISNA(MATCH(272,'Transfer Engine'!$C$2:$C$1369,0)),"",INDEX('Compliance Database'!$H$2:$H$1369,MATCH(272,'Transfer Engine'!$C$2:$C$1369,0)))</f>
        <v/>
      </c>
      <c r="I281" s="9">
        <f>IF(ISNA(MATCH(272,'Transfer Engine'!$C$2:$C$1369,0)),"",INDEX('Compliance Database'!$I$2:$I$1369,MATCH(272,'Transfer Engine'!$C$2:$C$1369,0)))</f>
        <v/>
      </c>
      <c r="J281" s="8">
        <f>IF(ISNA(MATCH(272,'Transfer Engine'!$C$2:$C$1369,0)),"",INDEX('Compliance Database'!$J$2:$J$1369,MATCH(272,'Transfer Engine'!$C$2:$C$1369,0)))</f>
        <v/>
      </c>
      <c r="K281" s="9">
        <f>IF(ISNA(MATCH(272,'Transfer Engine'!$C$2:$C$1369,0)),"",INDEX('Compliance Database'!$K$2:$K$1369,MATCH(272,'Transfer Engine'!$C$2:$C$1369,0)))</f>
        <v/>
      </c>
      <c r="L281" s="9">
        <f>IF(ISNA(MATCH(272,'Transfer Engine'!$C$2:$C$1369,0)),"",INDEX('Compliance Database'!$L$2:$L$1369,MATCH(272,'Transfer Engine'!$C$2:$C$1369,0)))</f>
        <v/>
      </c>
      <c r="M281" s="9">
        <f>IF(ISNA(MATCH(272,'Transfer Engine'!$C$2:$C$1369,0)),"",INDEX('Compliance Database'!$M$2:$M$1369,MATCH(272,'Transfer Engine'!$C$2:$C$1369,0)))</f>
        <v/>
      </c>
      <c r="N281" s="9">
        <f>IF(ISNA(MATCH(272,'Transfer Engine'!$C$2:$C$1369,0)),"",INDEX('Compliance Database'!$N$2:$N$1369,MATCH(272,'Transfer Engine'!$C$2:$C$1369,0)))</f>
        <v/>
      </c>
      <c r="O281" s="8">
        <f>IF(ISNA(MATCH(272,'Transfer Engine'!$C$2:$C$1369,0)),"",HYPERLINK(INDEX('Compliance Database'!$O$2:$O$1369,MATCH(272,'Transfer Engine'!$C$2:$C$1369,0)),"Open PDF"))</f>
        <v/>
      </c>
    </row>
    <row r="282" ht="188" customHeight="1">
      <c r="A282" s="8">
        <f>IF(ISNA(MATCH(273,'Transfer Engine'!$C$2:$C$1369,0)),"",INDEX('Compliance Database'!$A$2:$A$1369,MATCH(273,'Transfer Engine'!$C$2:$C$1369,0)))</f>
        <v/>
      </c>
      <c r="B282" s="8">
        <f>IF(ISNA(MATCH(273,'Transfer Engine'!$C$2:$C$1369,0)),"",INDEX('Compliance Database'!$B$2:$B$1369,MATCH(273,'Transfer Engine'!$C$2:$C$1369,0)))</f>
        <v/>
      </c>
      <c r="C282" s="8">
        <f>IF(ISNA(MATCH(273,'Transfer Engine'!$C$2:$C$1369,0)),"",INDEX('Compliance Database'!$C$2:$C$1369,MATCH(273,'Transfer Engine'!$C$2:$C$1369,0)))</f>
        <v/>
      </c>
      <c r="D282" s="9">
        <f>IF(ISNA(MATCH(273,'Transfer Engine'!$C$2:$C$1369,0)),"",INDEX('Compliance Database'!$D$2:$D$1369,MATCH(273,'Transfer Engine'!$C$2:$C$1369,0)))</f>
        <v/>
      </c>
      <c r="E282" s="8">
        <f>IF(ISNA(MATCH(273,'Transfer Engine'!$C$2:$C$1369,0)),"",INDEX('Compliance Database'!$E$2:$E$1369,MATCH(273,'Transfer Engine'!$C$2:$C$1369,0)))</f>
        <v/>
      </c>
      <c r="F282" s="8">
        <f>IF(ISNA(MATCH(273,'Transfer Engine'!$C$2:$C$1369,0)),"",INDEX('Compliance Database'!$F$2:$F$1369,MATCH(273,'Transfer Engine'!$C$2:$C$1369,0)))</f>
        <v/>
      </c>
      <c r="G282" s="8">
        <f>IF(ISNA(MATCH(273,'Transfer Engine'!$C$2:$C$1369,0)),"",INDEX('Compliance Database'!$G$2:$G$1369,MATCH(273,'Transfer Engine'!$C$2:$C$1369,0)))</f>
        <v/>
      </c>
      <c r="H282" s="9">
        <f>IF(ISNA(MATCH(273,'Transfer Engine'!$C$2:$C$1369,0)),"",INDEX('Compliance Database'!$H$2:$H$1369,MATCH(273,'Transfer Engine'!$C$2:$C$1369,0)))</f>
        <v/>
      </c>
      <c r="I282" s="9">
        <f>IF(ISNA(MATCH(273,'Transfer Engine'!$C$2:$C$1369,0)),"",INDEX('Compliance Database'!$I$2:$I$1369,MATCH(273,'Transfer Engine'!$C$2:$C$1369,0)))</f>
        <v/>
      </c>
      <c r="J282" s="8">
        <f>IF(ISNA(MATCH(273,'Transfer Engine'!$C$2:$C$1369,0)),"",INDEX('Compliance Database'!$J$2:$J$1369,MATCH(273,'Transfer Engine'!$C$2:$C$1369,0)))</f>
        <v/>
      </c>
      <c r="K282" s="9">
        <f>IF(ISNA(MATCH(273,'Transfer Engine'!$C$2:$C$1369,0)),"",INDEX('Compliance Database'!$K$2:$K$1369,MATCH(273,'Transfer Engine'!$C$2:$C$1369,0)))</f>
        <v/>
      </c>
      <c r="L282" s="9">
        <f>IF(ISNA(MATCH(273,'Transfer Engine'!$C$2:$C$1369,0)),"",INDEX('Compliance Database'!$L$2:$L$1369,MATCH(273,'Transfer Engine'!$C$2:$C$1369,0)))</f>
        <v/>
      </c>
      <c r="M282" s="9">
        <f>IF(ISNA(MATCH(273,'Transfer Engine'!$C$2:$C$1369,0)),"",INDEX('Compliance Database'!$M$2:$M$1369,MATCH(273,'Transfer Engine'!$C$2:$C$1369,0)))</f>
        <v/>
      </c>
      <c r="N282" s="9">
        <f>IF(ISNA(MATCH(273,'Transfer Engine'!$C$2:$C$1369,0)),"",INDEX('Compliance Database'!$N$2:$N$1369,MATCH(273,'Transfer Engine'!$C$2:$C$1369,0)))</f>
        <v/>
      </c>
      <c r="O282" s="8">
        <f>IF(ISNA(MATCH(273,'Transfer Engine'!$C$2:$C$1369,0)),"",HYPERLINK(INDEX('Compliance Database'!$O$2:$O$1369,MATCH(273,'Transfer Engine'!$C$2:$C$1369,0)),"Open PDF"))</f>
        <v/>
      </c>
    </row>
    <row r="283" ht="188" customHeight="1">
      <c r="A283" s="8">
        <f>IF(ISNA(MATCH(274,'Transfer Engine'!$C$2:$C$1369,0)),"",INDEX('Compliance Database'!$A$2:$A$1369,MATCH(274,'Transfer Engine'!$C$2:$C$1369,0)))</f>
        <v/>
      </c>
      <c r="B283" s="8">
        <f>IF(ISNA(MATCH(274,'Transfer Engine'!$C$2:$C$1369,0)),"",INDEX('Compliance Database'!$B$2:$B$1369,MATCH(274,'Transfer Engine'!$C$2:$C$1369,0)))</f>
        <v/>
      </c>
      <c r="C283" s="8">
        <f>IF(ISNA(MATCH(274,'Transfer Engine'!$C$2:$C$1369,0)),"",INDEX('Compliance Database'!$C$2:$C$1369,MATCH(274,'Transfer Engine'!$C$2:$C$1369,0)))</f>
        <v/>
      </c>
      <c r="D283" s="9">
        <f>IF(ISNA(MATCH(274,'Transfer Engine'!$C$2:$C$1369,0)),"",INDEX('Compliance Database'!$D$2:$D$1369,MATCH(274,'Transfer Engine'!$C$2:$C$1369,0)))</f>
        <v/>
      </c>
      <c r="E283" s="8">
        <f>IF(ISNA(MATCH(274,'Transfer Engine'!$C$2:$C$1369,0)),"",INDEX('Compliance Database'!$E$2:$E$1369,MATCH(274,'Transfer Engine'!$C$2:$C$1369,0)))</f>
        <v/>
      </c>
      <c r="F283" s="8">
        <f>IF(ISNA(MATCH(274,'Transfer Engine'!$C$2:$C$1369,0)),"",INDEX('Compliance Database'!$F$2:$F$1369,MATCH(274,'Transfer Engine'!$C$2:$C$1369,0)))</f>
        <v/>
      </c>
      <c r="G283" s="8">
        <f>IF(ISNA(MATCH(274,'Transfer Engine'!$C$2:$C$1369,0)),"",INDEX('Compliance Database'!$G$2:$G$1369,MATCH(274,'Transfer Engine'!$C$2:$C$1369,0)))</f>
        <v/>
      </c>
      <c r="H283" s="9">
        <f>IF(ISNA(MATCH(274,'Transfer Engine'!$C$2:$C$1369,0)),"",INDEX('Compliance Database'!$H$2:$H$1369,MATCH(274,'Transfer Engine'!$C$2:$C$1369,0)))</f>
        <v/>
      </c>
      <c r="I283" s="9">
        <f>IF(ISNA(MATCH(274,'Transfer Engine'!$C$2:$C$1369,0)),"",INDEX('Compliance Database'!$I$2:$I$1369,MATCH(274,'Transfer Engine'!$C$2:$C$1369,0)))</f>
        <v/>
      </c>
      <c r="J283" s="8">
        <f>IF(ISNA(MATCH(274,'Transfer Engine'!$C$2:$C$1369,0)),"",INDEX('Compliance Database'!$J$2:$J$1369,MATCH(274,'Transfer Engine'!$C$2:$C$1369,0)))</f>
        <v/>
      </c>
      <c r="K283" s="9">
        <f>IF(ISNA(MATCH(274,'Transfer Engine'!$C$2:$C$1369,0)),"",INDEX('Compliance Database'!$K$2:$K$1369,MATCH(274,'Transfer Engine'!$C$2:$C$1369,0)))</f>
        <v/>
      </c>
      <c r="L283" s="9">
        <f>IF(ISNA(MATCH(274,'Transfer Engine'!$C$2:$C$1369,0)),"",INDEX('Compliance Database'!$L$2:$L$1369,MATCH(274,'Transfer Engine'!$C$2:$C$1369,0)))</f>
        <v/>
      </c>
      <c r="M283" s="9">
        <f>IF(ISNA(MATCH(274,'Transfer Engine'!$C$2:$C$1369,0)),"",INDEX('Compliance Database'!$M$2:$M$1369,MATCH(274,'Transfer Engine'!$C$2:$C$1369,0)))</f>
        <v/>
      </c>
      <c r="N283" s="9">
        <f>IF(ISNA(MATCH(274,'Transfer Engine'!$C$2:$C$1369,0)),"",INDEX('Compliance Database'!$N$2:$N$1369,MATCH(274,'Transfer Engine'!$C$2:$C$1369,0)))</f>
        <v/>
      </c>
      <c r="O283" s="8">
        <f>IF(ISNA(MATCH(274,'Transfer Engine'!$C$2:$C$1369,0)),"",HYPERLINK(INDEX('Compliance Database'!$O$2:$O$1369,MATCH(274,'Transfer Engine'!$C$2:$C$1369,0)),"Open PDF"))</f>
        <v/>
      </c>
    </row>
    <row r="284" ht="188" customHeight="1">
      <c r="A284" s="8">
        <f>IF(ISNA(MATCH(275,'Transfer Engine'!$C$2:$C$1369,0)),"",INDEX('Compliance Database'!$A$2:$A$1369,MATCH(275,'Transfer Engine'!$C$2:$C$1369,0)))</f>
        <v/>
      </c>
      <c r="B284" s="8">
        <f>IF(ISNA(MATCH(275,'Transfer Engine'!$C$2:$C$1369,0)),"",INDEX('Compliance Database'!$B$2:$B$1369,MATCH(275,'Transfer Engine'!$C$2:$C$1369,0)))</f>
        <v/>
      </c>
      <c r="C284" s="8">
        <f>IF(ISNA(MATCH(275,'Transfer Engine'!$C$2:$C$1369,0)),"",INDEX('Compliance Database'!$C$2:$C$1369,MATCH(275,'Transfer Engine'!$C$2:$C$1369,0)))</f>
        <v/>
      </c>
      <c r="D284" s="9">
        <f>IF(ISNA(MATCH(275,'Transfer Engine'!$C$2:$C$1369,0)),"",INDEX('Compliance Database'!$D$2:$D$1369,MATCH(275,'Transfer Engine'!$C$2:$C$1369,0)))</f>
        <v/>
      </c>
      <c r="E284" s="8">
        <f>IF(ISNA(MATCH(275,'Transfer Engine'!$C$2:$C$1369,0)),"",INDEX('Compliance Database'!$E$2:$E$1369,MATCH(275,'Transfer Engine'!$C$2:$C$1369,0)))</f>
        <v/>
      </c>
      <c r="F284" s="8">
        <f>IF(ISNA(MATCH(275,'Transfer Engine'!$C$2:$C$1369,0)),"",INDEX('Compliance Database'!$F$2:$F$1369,MATCH(275,'Transfer Engine'!$C$2:$C$1369,0)))</f>
        <v/>
      </c>
      <c r="G284" s="8">
        <f>IF(ISNA(MATCH(275,'Transfer Engine'!$C$2:$C$1369,0)),"",INDEX('Compliance Database'!$G$2:$G$1369,MATCH(275,'Transfer Engine'!$C$2:$C$1369,0)))</f>
        <v/>
      </c>
      <c r="H284" s="9">
        <f>IF(ISNA(MATCH(275,'Transfer Engine'!$C$2:$C$1369,0)),"",INDEX('Compliance Database'!$H$2:$H$1369,MATCH(275,'Transfer Engine'!$C$2:$C$1369,0)))</f>
        <v/>
      </c>
      <c r="I284" s="9">
        <f>IF(ISNA(MATCH(275,'Transfer Engine'!$C$2:$C$1369,0)),"",INDEX('Compliance Database'!$I$2:$I$1369,MATCH(275,'Transfer Engine'!$C$2:$C$1369,0)))</f>
        <v/>
      </c>
      <c r="J284" s="8">
        <f>IF(ISNA(MATCH(275,'Transfer Engine'!$C$2:$C$1369,0)),"",INDEX('Compliance Database'!$J$2:$J$1369,MATCH(275,'Transfer Engine'!$C$2:$C$1369,0)))</f>
        <v/>
      </c>
      <c r="K284" s="9">
        <f>IF(ISNA(MATCH(275,'Transfer Engine'!$C$2:$C$1369,0)),"",INDEX('Compliance Database'!$K$2:$K$1369,MATCH(275,'Transfer Engine'!$C$2:$C$1369,0)))</f>
        <v/>
      </c>
      <c r="L284" s="9">
        <f>IF(ISNA(MATCH(275,'Transfer Engine'!$C$2:$C$1369,0)),"",INDEX('Compliance Database'!$L$2:$L$1369,MATCH(275,'Transfer Engine'!$C$2:$C$1369,0)))</f>
        <v/>
      </c>
      <c r="M284" s="9">
        <f>IF(ISNA(MATCH(275,'Transfer Engine'!$C$2:$C$1369,0)),"",INDEX('Compliance Database'!$M$2:$M$1369,MATCH(275,'Transfer Engine'!$C$2:$C$1369,0)))</f>
        <v/>
      </c>
      <c r="N284" s="9">
        <f>IF(ISNA(MATCH(275,'Transfer Engine'!$C$2:$C$1369,0)),"",INDEX('Compliance Database'!$N$2:$N$1369,MATCH(275,'Transfer Engine'!$C$2:$C$1369,0)))</f>
        <v/>
      </c>
      <c r="O284" s="8">
        <f>IF(ISNA(MATCH(275,'Transfer Engine'!$C$2:$C$1369,0)),"",HYPERLINK(INDEX('Compliance Database'!$O$2:$O$1369,MATCH(275,'Transfer Engine'!$C$2:$C$1369,0)),"Open PDF"))</f>
        <v/>
      </c>
    </row>
    <row r="285" ht="188" customHeight="1">
      <c r="A285" s="8">
        <f>IF(ISNA(MATCH(276,'Transfer Engine'!$C$2:$C$1369,0)),"",INDEX('Compliance Database'!$A$2:$A$1369,MATCH(276,'Transfer Engine'!$C$2:$C$1369,0)))</f>
        <v/>
      </c>
      <c r="B285" s="8">
        <f>IF(ISNA(MATCH(276,'Transfer Engine'!$C$2:$C$1369,0)),"",INDEX('Compliance Database'!$B$2:$B$1369,MATCH(276,'Transfer Engine'!$C$2:$C$1369,0)))</f>
        <v/>
      </c>
      <c r="C285" s="8">
        <f>IF(ISNA(MATCH(276,'Transfer Engine'!$C$2:$C$1369,0)),"",INDEX('Compliance Database'!$C$2:$C$1369,MATCH(276,'Transfer Engine'!$C$2:$C$1369,0)))</f>
        <v/>
      </c>
      <c r="D285" s="9">
        <f>IF(ISNA(MATCH(276,'Transfer Engine'!$C$2:$C$1369,0)),"",INDEX('Compliance Database'!$D$2:$D$1369,MATCH(276,'Transfer Engine'!$C$2:$C$1369,0)))</f>
        <v/>
      </c>
      <c r="E285" s="8">
        <f>IF(ISNA(MATCH(276,'Transfer Engine'!$C$2:$C$1369,0)),"",INDEX('Compliance Database'!$E$2:$E$1369,MATCH(276,'Transfer Engine'!$C$2:$C$1369,0)))</f>
        <v/>
      </c>
      <c r="F285" s="8">
        <f>IF(ISNA(MATCH(276,'Transfer Engine'!$C$2:$C$1369,0)),"",INDEX('Compliance Database'!$F$2:$F$1369,MATCH(276,'Transfer Engine'!$C$2:$C$1369,0)))</f>
        <v/>
      </c>
      <c r="G285" s="8">
        <f>IF(ISNA(MATCH(276,'Transfer Engine'!$C$2:$C$1369,0)),"",INDEX('Compliance Database'!$G$2:$G$1369,MATCH(276,'Transfer Engine'!$C$2:$C$1369,0)))</f>
        <v/>
      </c>
      <c r="H285" s="9">
        <f>IF(ISNA(MATCH(276,'Transfer Engine'!$C$2:$C$1369,0)),"",INDEX('Compliance Database'!$H$2:$H$1369,MATCH(276,'Transfer Engine'!$C$2:$C$1369,0)))</f>
        <v/>
      </c>
      <c r="I285" s="9">
        <f>IF(ISNA(MATCH(276,'Transfer Engine'!$C$2:$C$1369,0)),"",INDEX('Compliance Database'!$I$2:$I$1369,MATCH(276,'Transfer Engine'!$C$2:$C$1369,0)))</f>
        <v/>
      </c>
      <c r="J285" s="8">
        <f>IF(ISNA(MATCH(276,'Transfer Engine'!$C$2:$C$1369,0)),"",INDEX('Compliance Database'!$J$2:$J$1369,MATCH(276,'Transfer Engine'!$C$2:$C$1369,0)))</f>
        <v/>
      </c>
      <c r="K285" s="9">
        <f>IF(ISNA(MATCH(276,'Transfer Engine'!$C$2:$C$1369,0)),"",INDEX('Compliance Database'!$K$2:$K$1369,MATCH(276,'Transfer Engine'!$C$2:$C$1369,0)))</f>
        <v/>
      </c>
      <c r="L285" s="9">
        <f>IF(ISNA(MATCH(276,'Transfer Engine'!$C$2:$C$1369,0)),"",INDEX('Compliance Database'!$L$2:$L$1369,MATCH(276,'Transfer Engine'!$C$2:$C$1369,0)))</f>
        <v/>
      </c>
      <c r="M285" s="9">
        <f>IF(ISNA(MATCH(276,'Transfer Engine'!$C$2:$C$1369,0)),"",INDEX('Compliance Database'!$M$2:$M$1369,MATCH(276,'Transfer Engine'!$C$2:$C$1369,0)))</f>
        <v/>
      </c>
      <c r="N285" s="9">
        <f>IF(ISNA(MATCH(276,'Transfer Engine'!$C$2:$C$1369,0)),"",INDEX('Compliance Database'!$N$2:$N$1369,MATCH(276,'Transfer Engine'!$C$2:$C$1369,0)))</f>
        <v/>
      </c>
      <c r="O285" s="8">
        <f>IF(ISNA(MATCH(276,'Transfer Engine'!$C$2:$C$1369,0)),"",HYPERLINK(INDEX('Compliance Database'!$O$2:$O$1369,MATCH(276,'Transfer Engine'!$C$2:$C$1369,0)),"Open PDF"))</f>
        <v/>
      </c>
    </row>
    <row r="286" ht="188" customHeight="1">
      <c r="A286" s="8">
        <f>IF(ISNA(MATCH(277,'Transfer Engine'!$C$2:$C$1369,0)),"",INDEX('Compliance Database'!$A$2:$A$1369,MATCH(277,'Transfer Engine'!$C$2:$C$1369,0)))</f>
        <v/>
      </c>
      <c r="B286" s="8">
        <f>IF(ISNA(MATCH(277,'Transfer Engine'!$C$2:$C$1369,0)),"",INDEX('Compliance Database'!$B$2:$B$1369,MATCH(277,'Transfer Engine'!$C$2:$C$1369,0)))</f>
        <v/>
      </c>
      <c r="C286" s="8">
        <f>IF(ISNA(MATCH(277,'Transfer Engine'!$C$2:$C$1369,0)),"",INDEX('Compliance Database'!$C$2:$C$1369,MATCH(277,'Transfer Engine'!$C$2:$C$1369,0)))</f>
        <v/>
      </c>
      <c r="D286" s="9">
        <f>IF(ISNA(MATCH(277,'Transfer Engine'!$C$2:$C$1369,0)),"",INDEX('Compliance Database'!$D$2:$D$1369,MATCH(277,'Transfer Engine'!$C$2:$C$1369,0)))</f>
        <v/>
      </c>
      <c r="E286" s="8">
        <f>IF(ISNA(MATCH(277,'Transfer Engine'!$C$2:$C$1369,0)),"",INDEX('Compliance Database'!$E$2:$E$1369,MATCH(277,'Transfer Engine'!$C$2:$C$1369,0)))</f>
        <v/>
      </c>
      <c r="F286" s="8">
        <f>IF(ISNA(MATCH(277,'Transfer Engine'!$C$2:$C$1369,0)),"",INDEX('Compliance Database'!$F$2:$F$1369,MATCH(277,'Transfer Engine'!$C$2:$C$1369,0)))</f>
        <v/>
      </c>
      <c r="G286" s="8">
        <f>IF(ISNA(MATCH(277,'Transfer Engine'!$C$2:$C$1369,0)),"",INDEX('Compliance Database'!$G$2:$G$1369,MATCH(277,'Transfer Engine'!$C$2:$C$1369,0)))</f>
        <v/>
      </c>
      <c r="H286" s="9">
        <f>IF(ISNA(MATCH(277,'Transfer Engine'!$C$2:$C$1369,0)),"",INDEX('Compliance Database'!$H$2:$H$1369,MATCH(277,'Transfer Engine'!$C$2:$C$1369,0)))</f>
        <v/>
      </c>
      <c r="I286" s="9">
        <f>IF(ISNA(MATCH(277,'Transfer Engine'!$C$2:$C$1369,0)),"",INDEX('Compliance Database'!$I$2:$I$1369,MATCH(277,'Transfer Engine'!$C$2:$C$1369,0)))</f>
        <v/>
      </c>
      <c r="J286" s="8">
        <f>IF(ISNA(MATCH(277,'Transfer Engine'!$C$2:$C$1369,0)),"",INDEX('Compliance Database'!$J$2:$J$1369,MATCH(277,'Transfer Engine'!$C$2:$C$1369,0)))</f>
        <v/>
      </c>
      <c r="K286" s="9">
        <f>IF(ISNA(MATCH(277,'Transfer Engine'!$C$2:$C$1369,0)),"",INDEX('Compliance Database'!$K$2:$K$1369,MATCH(277,'Transfer Engine'!$C$2:$C$1369,0)))</f>
        <v/>
      </c>
      <c r="L286" s="9">
        <f>IF(ISNA(MATCH(277,'Transfer Engine'!$C$2:$C$1369,0)),"",INDEX('Compliance Database'!$L$2:$L$1369,MATCH(277,'Transfer Engine'!$C$2:$C$1369,0)))</f>
        <v/>
      </c>
      <c r="M286" s="9">
        <f>IF(ISNA(MATCH(277,'Transfer Engine'!$C$2:$C$1369,0)),"",INDEX('Compliance Database'!$M$2:$M$1369,MATCH(277,'Transfer Engine'!$C$2:$C$1369,0)))</f>
        <v/>
      </c>
      <c r="N286" s="9">
        <f>IF(ISNA(MATCH(277,'Transfer Engine'!$C$2:$C$1369,0)),"",INDEX('Compliance Database'!$N$2:$N$1369,MATCH(277,'Transfer Engine'!$C$2:$C$1369,0)))</f>
        <v/>
      </c>
      <c r="O286" s="8">
        <f>IF(ISNA(MATCH(277,'Transfer Engine'!$C$2:$C$1369,0)),"",HYPERLINK(INDEX('Compliance Database'!$O$2:$O$1369,MATCH(277,'Transfer Engine'!$C$2:$C$1369,0)),"Open PDF"))</f>
        <v/>
      </c>
    </row>
    <row r="287" ht="188" customHeight="1">
      <c r="A287" s="8">
        <f>IF(ISNA(MATCH(278,'Transfer Engine'!$C$2:$C$1369,0)),"",INDEX('Compliance Database'!$A$2:$A$1369,MATCH(278,'Transfer Engine'!$C$2:$C$1369,0)))</f>
        <v/>
      </c>
      <c r="B287" s="8">
        <f>IF(ISNA(MATCH(278,'Transfer Engine'!$C$2:$C$1369,0)),"",INDEX('Compliance Database'!$B$2:$B$1369,MATCH(278,'Transfer Engine'!$C$2:$C$1369,0)))</f>
        <v/>
      </c>
      <c r="C287" s="8">
        <f>IF(ISNA(MATCH(278,'Transfer Engine'!$C$2:$C$1369,0)),"",INDEX('Compliance Database'!$C$2:$C$1369,MATCH(278,'Transfer Engine'!$C$2:$C$1369,0)))</f>
        <v/>
      </c>
      <c r="D287" s="9">
        <f>IF(ISNA(MATCH(278,'Transfer Engine'!$C$2:$C$1369,0)),"",INDEX('Compliance Database'!$D$2:$D$1369,MATCH(278,'Transfer Engine'!$C$2:$C$1369,0)))</f>
        <v/>
      </c>
      <c r="E287" s="8">
        <f>IF(ISNA(MATCH(278,'Transfer Engine'!$C$2:$C$1369,0)),"",INDEX('Compliance Database'!$E$2:$E$1369,MATCH(278,'Transfer Engine'!$C$2:$C$1369,0)))</f>
        <v/>
      </c>
      <c r="F287" s="8">
        <f>IF(ISNA(MATCH(278,'Transfer Engine'!$C$2:$C$1369,0)),"",INDEX('Compliance Database'!$F$2:$F$1369,MATCH(278,'Transfer Engine'!$C$2:$C$1369,0)))</f>
        <v/>
      </c>
      <c r="G287" s="8">
        <f>IF(ISNA(MATCH(278,'Transfer Engine'!$C$2:$C$1369,0)),"",INDEX('Compliance Database'!$G$2:$G$1369,MATCH(278,'Transfer Engine'!$C$2:$C$1369,0)))</f>
        <v/>
      </c>
      <c r="H287" s="9">
        <f>IF(ISNA(MATCH(278,'Transfer Engine'!$C$2:$C$1369,0)),"",INDEX('Compliance Database'!$H$2:$H$1369,MATCH(278,'Transfer Engine'!$C$2:$C$1369,0)))</f>
        <v/>
      </c>
      <c r="I287" s="9">
        <f>IF(ISNA(MATCH(278,'Transfer Engine'!$C$2:$C$1369,0)),"",INDEX('Compliance Database'!$I$2:$I$1369,MATCH(278,'Transfer Engine'!$C$2:$C$1369,0)))</f>
        <v/>
      </c>
      <c r="J287" s="8">
        <f>IF(ISNA(MATCH(278,'Transfer Engine'!$C$2:$C$1369,0)),"",INDEX('Compliance Database'!$J$2:$J$1369,MATCH(278,'Transfer Engine'!$C$2:$C$1369,0)))</f>
        <v/>
      </c>
      <c r="K287" s="9">
        <f>IF(ISNA(MATCH(278,'Transfer Engine'!$C$2:$C$1369,0)),"",INDEX('Compliance Database'!$K$2:$K$1369,MATCH(278,'Transfer Engine'!$C$2:$C$1369,0)))</f>
        <v/>
      </c>
      <c r="L287" s="9">
        <f>IF(ISNA(MATCH(278,'Transfer Engine'!$C$2:$C$1369,0)),"",INDEX('Compliance Database'!$L$2:$L$1369,MATCH(278,'Transfer Engine'!$C$2:$C$1369,0)))</f>
        <v/>
      </c>
      <c r="M287" s="9">
        <f>IF(ISNA(MATCH(278,'Transfer Engine'!$C$2:$C$1369,0)),"",INDEX('Compliance Database'!$M$2:$M$1369,MATCH(278,'Transfer Engine'!$C$2:$C$1369,0)))</f>
        <v/>
      </c>
      <c r="N287" s="9">
        <f>IF(ISNA(MATCH(278,'Transfer Engine'!$C$2:$C$1369,0)),"",INDEX('Compliance Database'!$N$2:$N$1369,MATCH(278,'Transfer Engine'!$C$2:$C$1369,0)))</f>
        <v/>
      </c>
      <c r="O287" s="8">
        <f>IF(ISNA(MATCH(278,'Transfer Engine'!$C$2:$C$1369,0)),"",HYPERLINK(INDEX('Compliance Database'!$O$2:$O$1369,MATCH(278,'Transfer Engine'!$C$2:$C$1369,0)),"Open PDF"))</f>
        <v/>
      </c>
    </row>
    <row r="288" ht="188" customHeight="1">
      <c r="A288" s="8">
        <f>IF(ISNA(MATCH(279,'Transfer Engine'!$C$2:$C$1369,0)),"",INDEX('Compliance Database'!$A$2:$A$1369,MATCH(279,'Transfer Engine'!$C$2:$C$1369,0)))</f>
        <v/>
      </c>
      <c r="B288" s="8">
        <f>IF(ISNA(MATCH(279,'Transfer Engine'!$C$2:$C$1369,0)),"",INDEX('Compliance Database'!$B$2:$B$1369,MATCH(279,'Transfer Engine'!$C$2:$C$1369,0)))</f>
        <v/>
      </c>
      <c r="C288" s="8">
        <f>IF(ISNA(MATCH(279,'Transfer Engine'!$C$2:$C$1369,0)),"",INDEX('Compliance Database'!$C$2:$C$1369,MATCH(279,'Transfer Engine'!$C$2:$C$1369,0)))</f>
        <v/>
      </c>
      <c r="D288" s="9">
        <f>IF(ISNA(MATCH(279,'Transfer Engine'!$C$2:$C$1369,0)),"",INDEX('Compliance Database'!$D$2:$D$1369,MATCH(279,'Transfer Engine'!$C$2:$C$1369,0)))</f>
        <v/>
      </c>
      <c r="E288" s="8">
        <f>IF(ISNA(MATCH(279,'Transfer Engine'!$C$2:$C$1369,0)),"",INDEX('Compliance Database'!$E$2:$E$1369,MATCH(279,'Transfer Engine'!$C$2:$C$1369,0)))</f>
        <v/>
      </c>
      <c r="F288" s="8">
        <f>IF(ISNA(MATCH(279,'Transfer Engine'!$C$2:$C$1369,0)),"",INDEX('Compliance Database'!$F$2:$F$1369,MATCH(279,'Transfer Engine'!$C$2:$C$1369,0)))</f>
        <v/>
      </c>
      <c r="G288" s="8">
        <f>IF(ISNA(MATCH(279,'Transfer Engine'!$C$2:$C$1369,0)),"",INDEX('Compliance Database'!$G$2:$G$1369,MATCH(279,'Transfer Engine'!$C$2:$C$1369,0)))</f>
        <v/>
      </c>
      <c r="H288" s="9">
        <f>IF(ISNA(MATCH(279,'Transfer Engine'!$C$2:$C$1369,0)),"",INDEX('Compliance Database'!$H$2:$H$1369,MATCH(279,'Transfer Engine'!$C$2:$C$1369,0)))</f>
        <v/>
      </c>
      <c r="I288" s="9">
        <f>IF(ISNA(MATCH(279,'Transfer Engine'!$C$2:$C$1369,0)),"",INDEX('Compliance Database'!$I$2:$I$1369,MATCH(279,'Transfer Engine'!$C$2:$C$1369,0)))</f>
        <v/>
      </c>
      <c r="J288" s="8">
        <f>IF(ISNA(MATCH(279,'Transfer Engine'!$C$2:$C$1369,0)),"",INDEX('Compliance Database'!$J$2:$J$1369,MATCH(279,'Transfer Engine'!$C$2:$C$1369,0)))</f>
        <v/>
      </c>
      <c r="K288" s="9">
        <f>IF(ISNA(MATCH(279,'Transfer Engine'!$C$2:$C$1369,0)),"",INDEX('Compliance Database'!$K$2:$K$1369,MATCH(279,'Transfer Engine'!$C$2:$C$1369,0)))</f>
        <v/>
      </c>
      <c r="L288" s="9">
        <f>IF(ISNA(MATCH(279,'Transfer Engine'!$C$2:$C$1369,0)),"",INDEX('Compliance Database'!$L$2:$L$1369,MATCH(279,'Transfer Engine'!$C$2:$C$1369,0)))</f>
        <v/>
      </c>
      <c r="M288" s="9">
        <f>IF(ISNA(MATCH(279,'Transfer Engine'!$C$2:$C$1369,0)),"",INDEX('Compliance Database'!$M$2:$M$1369,MATCH(279,'Transfer Engine'!$C$2:$C$1369,0)))</f>
        <v/>
      </c>
      <c r="N288" s="9">
        <f>IF(ISNA(MATCH(279,'Transfer Engine'!$C$2:$C$1369,0)),"",INDEX('Compliance Database'!$N$2:$N$1369,MATCH(279,'Transfer Engine'!$C$2:$C$1369,0)))</f>
        <v/>
      </c>
      <c r="O288" s="8">
        <f>IF(ISNA(MATCH(279,'Transfer Engine'!$C$2:$C$1369,0)),"",HYPERLINK(INDEX('Compliance Database'!$O$2:$O$1369,MATCH(279,'Transfer Engine'!$C$2:$C$1369,0)),"Open PDF"))</f>
        <v/>
      </c>
    </row>
    <row r="289" ht="188" customHeight="1">
      <c r="A289" s="8">
        <f>IF(ISNA(MATCH(280,'Transfer Engine'!$C$2:$C$1369,0)),"",INDEX('Compliance Database'!$A$2:$A$1369,MATCH(280,'Transfer Engine'!$C$2:$C$1369,0)))</f>
        <v/>
      </c>
      <c r="B289" s="8">
        <f>IF(ISNA(MATCH(280,'Transfer Engine'!$C$2:$C$1369,0)),"",INDEX('Compliance Database'!$B$2:$B$1369,MATCH(280,'Transfer Engine'!$C$2:$C$1369,0)))</f>
        <v/>
      </c>
      <c r="C289" s="8">
        <f>IF(ISNA(MATCH(280,'Transfer Engine'!$C$2:$C$1369,0)),"",INDEX('Compliance Database'!$C$2:$C$1369,MATCH(280,'Transfer Engine'!$C$2:$C$1369,0)))</f>
        <v/>
      </c>
      <c r="D289" s="9">
        <f>IF(ISNA(MATCH(280,'Transfer Engine'!$C$2:$C$1369,0)),"",INDEX('Compliance Database'!$D$2:$D$1369,MATCH(280,'Transfer Engine'!$C$2:$C$1369,0)))</f>
        <v/>
      </c>
      <c r="E289" s="8">
        <f>IF(ISNA(MATCH(280,'Transfer Engine'!$C$2:$C$1369,0)),"",INDEX('Compliance Database'!$E$2:$E$1369,MATCH(280,'Transfer Engine'!$C$2:$C$1369,0)))</f>
        <v/>
      </c>
      <c r="F289" s="8">
        <f>IF(ISNA(MATCH(280,'Transfer Engine'!$C$2:$C$1369,0)),"",INDEX('Compliance Database'!$F$2:$F$1369,MATCH(280,'Transfer Engine'!$C$2:$C$1369,0)))</f>
        <v/>
      </c>
      <c r="G289" s="8">
        <f>IF(ISNA(MATCH(280,'Transfer Engine'!$C$2:$C$1369,0)),"",INDEX('Compliance Database'!$G$2:$G$1369,MATCH(280,'Transfer Engine'!$C$2:$C$1369,0)))</f>
        <v/>
      </c>
      <c r="H289" s="9">
        <f>IF(ISNA(MATCH(280,'Transfer Engine'!$C$2:$C$1369,0)),"",INDEX('Compliance Database'!$H$2:$H$1369,MATCH(280,'Transfer Engine'!$C$2:$C$1369,0)))</f>
        <v/>
      </c>
      <c r="I289" s="9">
        <f>IF(ISNA(MATCH(280,'Transfer Engine'!$C$2:$C$1369,0)),"",INDEX('Compliance Database'!$I$2:$I$1369,MATCH(280,'Transfer Engine'!$C$2:$C$1369,0)))</f>
        <v/>
      </c>
      <c r="J289" s="8">
        <f>IF(ISNA(MATCH(280,'Transfer Engine'!$C$2:$C$1369,0)),"",INDEX('Compliance Database'!$J$2:$J$1369,MATCH(280,'Transfer Engine'!$C$2:$C$1369,0)))</f>
        <v/>
      </c>
      <c r="K289" s="9">
        <f>IF(ISNA(MATCH(280,'Transfer Engine'!$C$2:$C$1369,0)),"",INDEX('Compliance Database'!$K$2:$K$1369,MATCH(280,'Transfer Engine'!$C$2:$C$1369,0)))</f>
        <v/>
      </c>
      <c r="L289" s="9">
        <f>IF(ISNA(MATCH(280,'Transfer Engine'!$C$2:$C$1369,0)),"",INDEX('Compliance Database'!$L$2:$L$1369,MATCH(280,'Transfer Engine'!$C$2:$C$1369,0)))</f>
        <v/>
      </c>
      <c r="M289" s="9">
        <f>IF(ISNA(MATCH(280,'Transfer Engine'!$C$2:$C$1369,0)),"",INDEX('Compliance Database'!$M$2:$M$1369,MATCH(280,'Transfer Engine'!$C$2:$C$1369,0)))</f>
        <v/>
      </c>
      <c r="N289" s="9">
        <f>IF(ISNA(MATCH(280,'Transfer Engine'!$C$2:$C$1369,0)),"",INDEX('Compliance Database'!$N$2:$N$1369,MATCH(280,'Transfer Engine'!$C$2:$C$1369,0)))</f>
        <v/>
      </c>
      <c r="O289" s="8">
        <f>IF(ISNA(MATCH(280,'Transfer Engine'!$C$2:$C$1369,0)),"",HYPERLINK(INDEX('Compliance Database'!$O$2:$O$1369,MATCH(280,'Transfer Engine'!$C$2:$C$1369,0)),"Open PDF"))</f>
        <v/>
      </c>
    </row>
    <row r="290" ht="188" customHeight="1">
      <c r="A290" s="8">
        <f>IF(ISNA(MATCH(281,'Transfer Engine'!$C$2:$C$1369,0)),"",INDEX('Compliance Database'!$A$2:$A$1369,MATCH(281,'Transfer Engine'!$C$2:$C$1369,0)))</f>
        <v/>
      </c>
      <c r="B290" s="8">
        <f>IF(ISNA(MATCH(281,'Transfer Engine'!$C$2:$C$1369,0)),"",INDEX('Compliance Database'!$B$2:$B$1369,MATCH(281,'Transfer Engine'!$C$2:$C$1369,0)))</f>
        <v/>
      </c>
      <c r="C290" s="8">
        <f>IF(ISNA(MATCH(281,'Transfer Engine'!$C$2:$C$1369,0)),"",INDEX('Compliance Database'!$C$2:$C$1369,MATCH(281,'Transfer Engine'!$C$2:$C$1369,0)))</f>
        <v/>
      </c>
      <c r="D290" s="9">
        <f>IF(ISNA(MATCH(281,'Transfer Engine'!$C$2:$C$1369,0)),"",INDEX('Compliance Database'!$D$2:$D$1369,MATCH(281,'Transfer Engine'!$C$2:$C$1369,0)))</f>
        <v/>
      </c>
      <c r="E290" s="8">
        <f>IF(ISNA(MATCH(281,'Transfer Engine'!$C$2:$C$1369,0)),"",INDEX('Compliance Database'!$E$2:$E$1369,MATCH(281,'Transfer Engine'!$C$2:$C$1369,0)))</f>
        <v/>
      </c>
      <c r="F290" s="8">
        <f>IF(ISNA(MATCH(281,'Transfer Engine'!$C$2:$C$1369,0)),"",INDEX('Compliance Database'!$F$2:$F$1369,MATCH(281,'Transfer Engine'!$C$2:$C$1369,0)))</f>
        <v/>
      </c>
      <c r="G290" s="8">
        <f>IF(ISNA(MATCH(281,'Transfer Engine'!$C$2:$C$1369,0)),"",INDEX('Compliance Database'!$G$2:$G$1369,MATCH(281,'Transfer Engine'!$C$2:$C$1369,0)))</f>
        <v/>
      </c>
      <c r="H290" s="9">
        <f>IF(ISNA(MATCH(281,'Transfer Engine'!$C$2:$C$1369,0)),"",INDEX('Compliance Database'!$H$2:$H$1369,MATCH(281,'Transfer Engine'!$C$2:$C$1369,0)))</f>
        <v/>
      </c>
      <c r="I290" s="9">
        <f>IF(ISNA(MATCH(281,'Transfer Engine'!$C$2:$C$1369,0)),"",INDEX('Compliance Database'!$I$2:$I$1369,MATCH(281,'Transfer Engine'!$C$2:$C$1369,0)))</f>
        <v/>
      </c>
      <c r="J290" s="8">
        <f>IF(ISNA(MATCH(281,'Transfer Engine'!$C$2:$C$1369,0)),"",INDEX('Compliance Database'!$J$2:$J$1369,MATCH(281,'Transfer Engine'!$C$2:$C$1369,0)))</f>
        <v/>
      </c>
      <c r="K290" s="9">
        <f>IF(ISNA(MATCH(281,'Transfer Engine'!$C$2:$C$1369,0)),"",INDEX('Compliance Database'!$K$2:$K$1369,MATCH(281,'Transfer Engine'!$C$2:$C$1369,0)))</f>
        <v/>
      </c>
      <c r="L290" s="9">
        <f>IF(ISNA(MATCH(281,'Transfer Engine'!$C$2:$C$1369,0)),"",INDEX('Compliance Database'!$L$2:$L$1369,MATCH(281,'Transfer Engine'!$C$2:$C$1369,0)))</f>
        <v/>
      </c>
      <c r="M290" s="9">
        <f>IF(ISNA(MATCH(281,'Transfer Engine'!$C$2:$C$1369,0)),"",INDEX('Compliance Database'!$M$2:$M$1369,MATCH(281,'Transfer Engine'!$C$2:$C$1369,0)))</f>
        <v/>
      </c>
      <c r="N290" s="9">
        <f>IF(ISNA(MATCH(281,'Transfer Engine'!$C$2:$C$1369,0)),"",INDEX('Compliance Database'!$N$2:$N$1369,MATCH(281,'Transfer Engine'!$C$2:$C$1369,0)))</f>
        <v/>
      </c>
      <c r="O290" s="8">
        <f>IF(ISNA(MATCH(281,'Transfer Engine'!$C$2:$C$1369,0)),"",HYPERLINK(INDEX('Compliance Database'!$O$2:$O$1369,MATCH(281,'Transfer Engine'!$C$2:$C$1369,0)),"Open PDF"))</f>
        <v/>
      </c>
    </row>
    <row r="291" ht="188" customHeight="1">
      <c r="A291" s="8">
        <f>IF(ISNA(MATCH(282,'Transfer Engine'!$C$2:$C$1369,0)),"",INDEX('Compliance Database'!$A$2:$A$1369,MATCH(282,'Transfer Engine'!$C$2:$C$1369,0)))</f>
        <v/>
      </c>
      <c r="B291" s="8">
        <f>IF(ISNA(MATCH(282,'Transfer Engine'!$C$2:$C$1369,0)),"",INDEX('Compliance Database'!$B$2:$B$1369,MATCH(282,'Transfer Engine'!$C$2:$C$1369,0)))</f>
        <v/>
      </c>
      <c r="C291" s="8">
        <f>IF(ISNA(MATCH(282,'Transfer Engine'!$C$2:$C$1369,0)),"",INDEX('Compliance Database'!$C$2:$C$1369,MATCH(282,'Transfer Engine'!$C$2:$C$1369,0)))</f>
        <v/>
      </c>
      <c r="D291" s="9">
        <f>IF(ISNA(MATCH(282,'Transfer Engine'!$C$2:$C$1369,0)),"",INDEX('Compliance Database'!$D$2:$D$1369,MATCH(282,'Transfer Engine'!$C$2:$C$1369,0)))</f>
        <v/>
      </c>
      <c r="E291" s="8">
        <f>IF(ISNA(MATCH(282,'Transfer Engine'!$C$2:$C$1369,0)),"",INDEX('Compliance Database'!$E$2:$E$1369,MATCH(282,'Transfer Engine'!$C$2:$C$1369,0)))</f>
        <v/>
      </c>
      <c r="F291" s="8">
        <f>IF(ISNA(MATCH(282,'Transfer Engine'!$C$2:$C$1369,0)),"",INDEX('Compliance Database'!$F$2:$F$1369,MATCH(282,'Transfer Engine'!$C$2:$C$1369,0)))</f>
        <v/>
      </c>
      <c r="G291" s="8">
        <f>IF(ISNA(MATCH(282,'Transfer Engine'!$C$2:$C$1369,0)),"",INDEX('Compliance Database'!$G$2:$G$1369,MATCH(282,'Transfer Engine'!$C$2:$C$1369,0)))</f>
        <v/>
      </c>
      <c r="H291" s="9">
        <f>IF(ISNA(MATCH(282,'Transfer Engine'!$C$2:$C$1369,0)),"",INDEX('Compliance Database'!$H$2:$H$1369,MATCH(282,'Transfer Engine'!$C$2:$C$1369,0)))</f>
        <v/>
      </c>
      <c r="I291" s="9">
        <f>IF(ISNA(MATCH(282,'Transfer Engine'!$C$2:$C$1369,0)),"",INDEX('Compliance Database'!$I$2:$I$1369,MATCH(282,'Transfer Engine'!$C$2:$C$1369,0)))</f>
        <v/>
      </c>
      <c r="J291" s="8">
        <f>IF(ISNA(MATCH(282,'Transfer Engine'!$C$2:$C$1369,0)),"",INDEX('Compliance Database'!$J$2:$J$1369,MATCH(282,'Transfer Engine'!$C$2:$C$1369,0)))</f>
        <v/>
      </c>
      <c r="K291" s="9">
        <f>IF(ISNA(MATCH(282,'Transfer Engine'!$C$2:$C$1369,0)),"",INDEX('Compliance Database'!$K$2:$K$1369,MATCH(282,'Transfer Engine'!$C$2:$C$1369,0)))</f>
        <v/>
      </c>
      <c r="L291" s="9">
        <f>IF(ISNA(MATCH(282,'Transfer Engine'!$C$2:$C$1369,0)),"",INDEX('Compliance Database'!$L$2:$L$1369,MATCH(282,'Transfer Engine'!$C$2:$C$1369,0)))</f>
        <v/>
      </c>
      <c r="M291" s="9">
        <f>IF(ISNA(MATCH(282,'Transfer Engine'!$C$2:$C$1369,0)),"",INDEX('Compliance Database'!$M$2:$M$1369,MATCH(282,'Transfer Engine'!$C$2:$C$1369,0)))</f>
        <v/>
      </c>
      <c r="N291" s="9">
        <f>IF(ISNA(MATCH(282,'Transfer Engine'!$C$2:$C$1369,0)),"",INDEX('Compliance Database'!$N$2:$N$1369,MATCH(282,'Transfer Engine'!$C$2:$C$1369,0)))</f>
        <v/>
      </c>
      <c r="O291" s="8">
        <f>IF(ISNA(MATCH(282,'Transfer Engine'!$C$2:$C$1369,0)),"",HYPERLINK(INDEX('Compliance Database'!$O$2:$O$1369,MATCH(282,'Transfer Engine'!$C$2:$C$1369,0)),"Open PDF"))</f>
        <v/>
      </c>
    </row>
    <row r="292" ht="188" customHeight="1">
      <c r="A292" s="8">
        <f>IF(ISNA(MATCH(283,'Transfer Engine'!$C$2:$C$1369,0)),"",INDEX('Compliance Database'!$A$2:$A$1369,MATCH(283,'Transfer Engine'!$C$2:$C$1369,0)))</f>
        <v/>
      </c>
      <c r="B292" s="8">
        <f>IF(ISNA(MATCH(283,'Transfer Engine'!$C$2:$C$1369,0)),"",INDEX('Compliance Database'!$B$2:$B$1369,MATCH(283,'Transfer Engine'!$C$2:$C$1369,0)))</f>
        <v/>
      </c>
      <c r="C292" s="8">
        <f>IF(ISNA(MATCH(283,'Transfer Engine'!$C$2:$C$1369,0)),"",INDEX('Compliance Database'!$C$2:$C$1369,MATCH(283,'Transfer Engine'!$C$2:$C$1369,0)))</f>
        <v/>
      </c>
      <c r="D292" s="9">
        <f>IF(ISNA(MATCH(283,'Transfer Engine'!$C$2:$C$1369,0)),"",INDEX('Compliance Database'!$D$2:$D$1369,MATCH(283,'Transfer Engine'!$C$2:$C$1369,0)))</f>
        <v/>
      </c>
      <c r="E292" s="8">
        <f>IF(ISNA(MATCH(283,'Transfer Engine'!$C$2:$C$1369,0)),"",INDEX('Compliance Database'!$E$2:$E$1369,MATCH(283,'Transfer Engine'!$C$2:$C$1369,0)))</f>
        <v/>
      </c>
      <c r="F292" s="8">
        <f>IF(ISNA(MATCH(283,'Transfer Engine'!$C$2:$C$1369,0)),"",INDEX('Compliance Database'!$F$2:$F$1369,MATCH(283,'Transfer Engine'!$C$2:$C$1369,0)))</f>
        <v/>
      </c>
      <c r="G292" s="8">
        <f>IF(ISNA(MATCH(283,'Transfer Engine'!$C$2:$C$1369,0)),"",INDEX('Compliance Database'!$G$2:$G$1369,MATCH(283,'Transfer Engine'!$C$2:$C$1369,0)))</f>
        <v/>
      </c>
      <c r="H292" s="9">
        <f>IF(ISNA(MATCH(283,'Transfer Engine'!$C$2:$C$1369,0)),"",INDEX('Compliance Database'!$H$2:$H$1369,MATCH(283,'Transfer Engine'!$C$2:$C$1369,0)))</f>
        <v/>
      </c>
      <c r="I292" s="9">
        <f>IF(ISNA(MATCH(283,'Transfer Engine'!$C$2:$C$1369,0)),"",INDEX('Compliance Database'!$I$2:$I$1369,MATCH(283,'Transfer Engine'!$C$2:$C$1369,0)))</f>
        <v/>
      </c>
      <c r="J292" s="8">
        <f>IF(ISNA(MATCH(283,'Transfer Engine'!$C$2:$C$1369,0)),"",INDEX('Compliance Database'!$J$2:$J$1369,MATCH(283,'Transfer Engine'!$C$2:$C$1369,0)))</f>
        <v/>
      </c>
      <c r="K292" s="9">
        <f>IF(ISNA(MATCH(283,'Transfer Engine'!$C$2:$C$1369,0)),"",INDEX('Compliance Database'!$K$2:$K$1369,MATCH(283,'Transfer Engine'!$C$2:$C$1369,0)))</f>
        <v/>
      </c>
      <c r="L292" s="9">
        <f>IF(ISNA(MATCH(283,'Transfer Engine'!$C$2:$C$1369,0)),"",INDEX('Compliance Database'!$L$2:$L$1369,MATCH(283,'Transfer Engine'!$C$2:$C$1369,0)))</f>
        <v/>
      </c>
      <c r="M292" s="9">
        <f>IF(ISNA(MATCH(283,'Transfer Engine'!$C$2:$C$1369,0)),"",INDEX('Compliance Database'!$M$2:$M$1369,MATCH(283,'Transfer Engine'!$C$2:$C$1369,0)))</f>
        <v/>
      </c>
      <c r="N292" s="9">
        <f>IF(ISNA(MATCH(283,'Transfer Engine'!$C$2:$C$1369,0)),"",INDEX('Compliance Database'!$N$2:$N$1369,MATCH(283,'Transfer Engine'!$C$2:$C$1369,0)))</f>
        <v/>
      </c>
      <c r="O292" s="8">
        <f>IF(ISNA(MATCH(283,'Transfer Engine'!$C$2:$C$1369,0)),"",HYPERLINK(INDEX('Compliance Database'!$O$2:$O$1369,MATCH(283,'Transfer Engine'!$C$2:$C$1369,0)),"Open PDF"))</f>
        <v/>
      </c>
    </row>
    <row r="293" ht="188" customHeight="1">
      <c r="A293" s="8">
        <f>IF(ISNA(MATCH(284,'Transfer Engine'!$C$2:$C$1369,0)),"",INDEX('Compliance Database'!$A$2:$A$1369,MATCH(284,'Transfer Engine'!$C$2:$C$1369,0)))</f>
        <v/>
      </c>
      <c r="B293" s="8">
        <f>IF(ISNA(MATCH(284,'Transfer Engine'!$C$2:$C$1369,0)),"",INDEX('Compliance Database'!$B$2:$B$1369,MATCH(284,'Transfer Engine'!$C$2:$C$1369,0)))</f>
        <v/>
      </c>
      <c r="C293" s="8">
        <f>IF(ISNA(MATCH(284,'Transfer Engine'!$C$2:$C$1369,0)),"",INDEX('Compliance Database'!$C$2:$C$1369,MATCH(284,'Transfer Engine'!$C$2:$C$1369,0)))</f>
        <v/>
      </c>
      <c r="D293" s="9">
        <f>IF(ISNA(MATCH(284,'Transfer Engine'!$C$2:$C$1369,0)),"",INDEX('Compliance Database'!$D$2:$D$1369,MATCH(284,'Transfer Engine'!$C$2:$C$1369,0)))</f>
        <v/>
      </c>
      <c r="E293" s="8">
        <f>IF(ISNA(MATCH(284,'Transfer Engine'!$C$2:$C$1369,0)),"",INDEX('Compliance Database'!$E$2:$E$1369,MATCH(284,'Transfer Engine'!$C$2:$C$1369,0)))</f>
        <v/>
      </c>
      <c r="F293" s="8">
        <f>IF(ISNA(MATCH(284,'Transfer Engine'!$C$2:$C$1369,0)),"",INDEX('Compliance Database'!$F$2:$F$1369,MATCH(284,'Transfer Engine'!$C$2:$C$1369,0)))</f>
        <v/>
      </c>
      <c r="G293" s="8">
        <f>IF(ISNA(MATCH(284,'Transfer Engine'!$C$2:$C$1369,0)),"",INDEX('Compliance Database'!$G$2:$G$1369,MATCH(284,'Transfer Engine'!$C$2:$C$1369,0)))</f>
        <v/>
      </c>
      <c r="H293" s="9">
        <f>IF(ISNA(MATCH(284,'Transfer Engine'!$C$2:$C$1369,0)),"",INDEX('Compliance Database'!$H$2:$H$1369,MATCH(284,'Transfer Engine'!$C$2:$C$1369,0)))</f>
        <v/>
      </c>
      <c r="I293" s="9">
        <f>IF(ISNA(MATCH(284,'Transfer Engine'!$C$2:$C$1369,0)),"",INDEX('Compliance Database'!$I$2:$I$1369,MATCH(284,'Transfer Engine'!$C$2:$C$1369,0)))</f>
        <v/>
      </c>
      <c r="J293" s="8">
        <f>IF(ISNA(MATCH(284,'Transfer Engine'!$C$2:$C$1369,0)),"",INDEX('Compliance Database'!$J$2:$J$1369,MATCH(284,'Transfer Engine'!$C$2:$C$1369,0)))</f>
        <v/>
      </c>
      <c r="K293" s="9">
        <f>IF(ISNA(MATCH(284,'Transfer Engine'!$C$2:$C$1369,0)),"",INDEX('Compliance Database'!$K$2:$K$1369,MATCH(284,'Transfer Engine'!$C$2:$C$1369,0)))</f>
        <v/>
      </c>
      <c r="L293" s="9">
        <f>IF(ISNA(MATCH(284,'Transfer Engine'!$C$2:$C$1369,0)),"",INDEX('Compliance Database'!$L$2:$L$1369,MATCH(284,'Transfer Engine'!$C$2:$C$1369,0)))</f>
        <v/>
      </c>
      <c r="M293" s="9">
        <f>IF(ISNA(MATCH(284,'Transfer Engine'!$C$2:$C$1369,0)),"",INDEX('Compliance Database'!$M$2:$M$1369,MATCH(284,'Transfer Engine'!$C$2:$C$1369,0)))</f>
        <v/>
      </c>
      <c r="N293" s="9">
        <f>IF(ISNA(MATCH(284,'Transfer Engine'!$C$2:$C$1369,0)),"",INDEX('Compliance Database'!$N$2:$N$1369,MATCH(284,'Transfer Engine'!$C$2:$C$1369,0)))</f>
        <v/>
      </c>
      <c r="O293" s="8">
        <f>IF(ISNA(MATCH(284,'Transfer Engine'!$C$2:$C$1369,0)),"",HYPERLINK(INDEX('Compliance Database'!$O$2:$O$1369,MATCH(284,'Transfer Engine'!$C$2:$C$1369,0)),"Open PDF"))</f>
        <v/>
      </c>
    </row>
    <row r="294" ht="188" customHeight="1">
      <c r="A294" s="8">
        <f>IF(ISNA(MATCH(285,'Transfer Engine'!$C$2:$C$1369,0)),"",INDEX('Compliance Database'!$A$2:$A$1369,MATCH(285,'Transfer Engine'!$C$2:$C$1369,0)))</f>
        <v/>
      </c>
      <c r="B294" s="8">
        <f>IF(ISNA(MATCH(285,'Transfer Engine'!$C$2:$C$1369,0)),"",INDEX('Compliance Database'!$B$2:$B$1369,MATCH(285,'Transfer Engine'!$C$2:$C$1369,0)))</f>
        <v/>
      </c>
      <c r="C294" s="8">
        <f>IF(ISNA(MATCH(285,'Transfer Engine'!$C$2:$C$1369,0)),"",INDEX('Compliance Database'!$C$2:$C$1369,MATCH(285,'Transfer Engine'!$C$2:$C$1369,0)))</f>
        <v/>
      </c>
      <c r="D294" s="9">
        <f>IF(ISNA(MATCH(285,'Transfer Engine'!$C$2:$C$1369,0)),"",INDEX('Compliance Database'!$D$2:$D$1369,MATCH(285,'Transfer Engine'!$C$2:$C$1369,0)))</f>
        <v/>
      </c>
      <c r="E294" s="8">
        <f>IF(ISNA(MATCH(285,'Transfer Engine'!$C$2:$C$1369,0)),"",INDEX('Compliance Database'!$E$2:$E$1369,MATCH(285,'Transfer Engine'!$C$2:$C$1369,0)))</f>
        <v/>
      </c>
      <c r="F294" s="8">
        <f>IF(ISNA(MATCH(285,'Transfer Engine'!$C$2:$C$1369,0)),"",INDEX('Compliance Database'!$F$2:$F$1369,MATCH(285,'Transfer Engine'!$C$2:$C$1369,0)))</f>
        <v/>
      </c>
      <c r="G294" s="8">
        <f>IF(ISNA(MATCH(285,'Transfer Engine'!$C$2:$C$1369,0)),"",INDEX('Compliance Database'!$G$2:$G$1369,MATCH(285,'Transfer Engine'!$C$2:$C$1369,0)))</f>
        <v/>
      </c>
      <c r="H294" s="9">
        <f>IF(ISNA(MATCH(285,'Transfer Engine'!$C$2:$C$1369,0)),"",INDEX('Compliance Database'!$H$2:$H$1369,MATCH(285,'Transfer Engine'!$C$2:$C$1369,0)))</f>
        <v/>
      </c>
      <c r="I294" s="9">
        <f>IF(ISNA(MATCH(285,'Transfer Engine'!$C$2:$C$1369,0)),"",INDEX('Compliance Database'!$I$2:$I$1369,MATCH(285,'Transfer Engine'!$C$2:$C$1369,0)))</f>
        <v/>
      </c>
      <c r="J294" s="8">
        <f>IF(ISNA(MATCH(285,'Transfer Engine'!$C$2:$C$1369,0)),"",INDEX('Compliance Database'!$J$2:$J$1369,MATCH(285,'Transfer Engine'!$C$2:$C$1369,0)))</f>
        <v/>
      </c>
      <c r="K294" s="9">
        <f>IF(ISNA(MATCH(285,'Transfer Engine'!$C$2:$C$1369,0)),"",INDEX('Compliance Database'!$K$2:$K$1369,MATCH(285,'Transfer Engine'!$C$2:$C$1369,0)))</f>
        <v/>
      </c>
      <c r="L294" s="9">
        <f>IF(ISNA(MATCH(285,'Transfer Engine'!$C$2:$C$1369,0)),"",INDEX('Compliance Database'!$L$2:$L$1369,MATCH(285,'Transfer Engine'!$C$2:$C$1369,0)))</f>
        <v/>
      </c>
      <c r="M294" s="9">
        <f>IF(ISNA(MATCH(285,'Transfer Engine'!$C$2:$C$1369,0)),"",INDEX('Compliance Database'!$M$2:$M$1369,MATCH(285,'Transfer Engine'!$C$2:$C$1369,0)))</f>
        <v/>
      </c>
      <c r="N294" s="9">
        <f>IF(ISNA(MATCH(285,'Transfer Engine'!$C$2:$C$1369,0)),"",INDEX('Compliance Database'!$N$2:$N$1369,MATCH(285,'Transfer Engine'!$C$2:$C$1369,0)))</f>
        <v/>
      </c>
      <c r="O294" s="8">
        <f>IF(ISNA(MATCH(285,'Transfer Engine'!$C$2:$C$1369,0)),"",HYPERLINK(INDEX('Compliance Database'!$O$2:$O$1369,MATCH(285,'Transfer Engine'!$C$2:$C$1369,0)),"Open PDF"))</f>
        <v/>
      </c>
    </row>
    <row r="295" ht="188" customHeight="1">
      <c r="A295" s="8">
        <f>IF(ISNA(MATCH(286,'Transfer Engine'!$C$2:$C$1369,0)),"",INDEX('Compliance Database'!$A$2:$A$1369,MATCH(286,'Transfer Engine'!$C$2:$C$1369,0)))</f>
        <v/>
      </c>
      <c r="B295" s="8">
        <f>IF(ISNA(MATCH(286,'Transfer Engine'!$C$2:$C$1369,0)),"",INDEX('Compliance Database'!$B$2:$B$1369,MATCH(286,'Transfer Engine'!$C$2:$C$1369,0)))</f>
        <v/>
      </c>
      <c r="C295" s="8">
        <f>IF(ISNA(MATCH(286,'Transfer Engine'!$C$2:$C$1369,0)),"",INDEX('Compliance Database'!$C$2:$C$1369,MATCH(286,'Transfer Engine'!$C$2:$C$1369,0)))</f>
        <v/>
      </c>
      <c r="D295" s="9">
        <f>IF(ISNA(MATCH(286,'Transfer Engine'!$C$2:$C$1369,0)),"",INDEX('Compliance Database'!$D$2:$D$1369,MATCH(286,'Transfer Engine'!$C$2:$C$1369,0)))</f>
        <v/>
      </c>
      <c r="E295" s="8">
        <f>IF(ISNA(MATCH(286,'Transfer Engine'!$C$2:$C$1369,0)),"",INDEX('Compliance Database'!$E$2:$E$1369,MATCH(286,'Transfer Engine'!$C$2:$C$1369,0)))</f>
        <v/>
      </c>
      <c r="F295" s="8">
        <f>IF(ISNA(MATCH(286,'Transfer Engine'!$C$2:$C$1369,0)),"",INDEX('Compliance Database'!$F$2:$F$1369,MATCH(286,'Transfer Engine'!$C$2:$C$1369,0)))</f>
        <v/>
      </c>
      <c r="G295" s="8">
        <f>IF(ISNA(MATCH(286,'Transfer Engine'!$C$2:$C$1369,0)),"",INDEX('Compliance Database'!$G$2:$G$1369,MATCH(286,'Transfer Engine'!$C$2:$C$1369,0)))</f>
        <v/>
      </c>
      <c r="H295" s="9">
        <f>IF(ISNA(MATCH(286,'Transfer Engine'!$C$2:$C$1369,0)),"",INDEX('Compliance Database'!$H$2:$H$1369,MATCH(286,'Transfer Engine'!$C$2:$C$1369,0)))</f>
        <v/>
      </c>
      <c r="I295" s="9">
        <f>IF(ISNA(MATCH(286,'Transfer Engine'!$C$2:$C$1369,0)),"",INDEX('Compliance Database'!$I$2:$I$1369,MATCH(286,'Transfer Engine'!$C$2:$C$1369,0)))</f>
        <v/>
      </c>
      <c r="J295" s="8">
        <f>IF(ISNA(MATCH(286,'Transfer Engine'!$C$2:$C$1369,0)),"",INDEX('Compliance Database'!$J$2:$J$1369,MATCH(286,'Transfer Engine'!$C$2:$C$1369,0)))</f>
        <v/>
      </c>
      <c r="K295" s="9">
        <f>IF(ISNA(MATCH(286,'Transfer Engine'!$C$2:$C$1369,0)),"",INDEX('Compliance Database'!$K$2:$K$1369,MATCH(286,'Transfer Engine'!$C$2:$C$1369,0)))</f>
        <v/>
      </c>
      <c r="L295" s="9">
        <f>IF(ISNA(MATCH(286,'Transfer Engine'!$C$2:$C$1369,0)),"",INDEX('Compliance Database'!$L$2:$L$1369,MATCH(286,'Transfer Engine'!$C$2:$C$1369,0)))</f>
        <v/>
      </c>
      <c r="M295" s="9">
        <f>IF(ISNA(MATCH(286,'Transfer Engine'!$C$2:$C$1369,0)),"",INDEX('Compliance Database'!$M$2:$M$1369,MATCH(286,'Transfer Engine'!$C$2:$C$1369,0)))</f>
        <v/>
      </c>
      <c r="N295" s="9">
        <f>IF(ISNA(MATCH(286,'Transfer Engine'!$C$2:$C$1369,0)),"",INDEX('Compliance Database'!$N$2:$N$1369,MATCH(286,'Transfer Engine'!$C$2:$C$1369,0)))</f>
        <v/>
      </c>
      <c r="O295" s="8">
        <f>IF(ISNA(MATCH(286,'Transfer Engine'!$C$2:$C$1369,0)),"",HYPERLINK(INDEX('Compliance Database'!$O$2:$O$1369,MATCH(286,'Transfer Engine'!$C$2:$C$1369,0)),"Open PDF"))</f>
        <v/>
      </c>
    </row>
    <row r="296" ht="188" customHeight="1">
      <c r="A296" s="8">
        <f>IF(ISNA(MATCH(287,'Transfer Engine'!$C$2:$C$1369,0)),"",INDEX('Compliance Database'!$A$2:$A$1369,MATCH(287,'Transfer Engine'!$C$2:$C$1369,0)))</f>
        <v/>
      </c>
      <c r="B296" s="8">
        <f>IF(ISNA(MATCH(287,'Transfer Engine'!$C$2:$C$1369,0)),"",INDEX('Compliance Database'!$B$2:$B$1369,MATCH(287,'Transfer Engine'!$C$2:$C$1369,0)))</f>
        <v/>
      </c>
      <c r="C296" s="8">
        <f>IF(ISNA(MATCH(287,'Transfer Engine'!$C$2:$C$1369,0)),"",INDEX('Compliance Database'!$C$2:$C$1369,MATCH(287,'Transfer Engine'!$C$2:$C$1369,0)))</f>
        <v/>
      </c>
      <c r="D296" s="9">
        <f>IF(ISNA(MATCH(287,'Transfer Engine'!$C$2:$C$1369,0)),"",INDEX('Compliance Database'!$D$2:$D$1369,MATCH(287,'Transfer Engine'!$C$2:$C$1369,0)))</f>
        <v/>
      </c>
      <c r="E296" s="8">
        <f>IF(ISNA(MATCH(287,'Transfer Engine'!$C$2:$C$1369,0)),"",INDEX('Compliance Database'!$E$2:$E$1369,MATCH(287,'Transfer Engine'!$C$2:$C$1369,0)))</f>
        <v/>
      </c>
      <c r="F296" s="8">
        <f>IF(ISNA(MATCH(287,'Transfer Engine'!$C$2:$C$1369,0)),"",INDEX('Compliance Database'!$F$2:$F$1369,MATCH(287,'Transfer Engine'!$C$2:$C$1369,0)))</f>
        <v/>
      </c>
      <c r="G296" s="8">
        <f>IF(ISNA(MATCH(287,'Transfer Engine'!$C$2:$C$1369,0)),"",INDEX('Compliance Database'!$G$2:$G$1369,MATCH(287,'Transfer Engine'!$C$2:$C$1369,0)))</f>
        <v/>
      </c>
      <c r="H296" s="9">
        <f>IF(ISNA(MATCH(287,'Transfer Engine'!$C$2:$C$1369,0)),"",INDEX('Compliance Database'!$H$2:$H$1369,MATCH(287,'Transfer Engine'!$C$2:$C$1369,0)))</f>
        <v/>
      </c>
      <c r="I296" s="9">
        <f>IF(ISNA(MATCH(287,'Transfer Engine'!$C$2:$C$1369,0)),"",INDEX('Compliance Database'!$I$2:$I$1369,MATCH(287,'Transfer Engine'!$C$2:$C$1369,0)))</f>
        <v/>
      </c>
      <c r="J296" s="8">
        <f>IF(ISNA(MATCH(287,'Transfer Engine'!$C$2:$C$1369,0)),"",INDEX('Compliance Database'!$J$2:$J$1369,MATCH(287,'Transfer Engine'!$C$2:$C$1369,0)))</f>
        <v/>
      </c>
      <c r="K296" s="9">
        <f>IF(ISNA(MATCH(287,'Transfer Engine'!$C$2:$C$1369,0)),"",INDEX('Compliance Database'!$K$2:$K$1369,MATCH(287,'Transfer Engine'!$C$2:$C$1369,0)))</f>
        <v/>
      </c>
      <c r="L296" s="9">
        <f>IF(ISNA(MATCH(287,'Transfer Engine'!$C$2:$C$1369,0)),"",INDEX('Compliance Database'!$L$2:$L$1369,MATCH(287,'Transfer Engine'!$C$2:$C$1369,0)))</f>
        <v/>
      </c>
      <c r="M296" s="9">
        <f>IF(ISNA(MATCH(287,'Transfer Engine'!$C$2:$C$1369,0)),"",INDEX('Compliance Database'!$M$2:$M$1369,MATCH(287,'Transfer Engine'!$C$2:$C$1369,0)))</f>
        <v/>
      </c>
      <c r="N296" s="9">
        <f>IF(ISNA(MATCH(287,'Transfer Engine'!$C$2:$C$1369,0)),"",INDEX('Compliance Database'!$N$2:$N$1369,MATCH(287,'Transfer Engine'!$C$2:$C$1369,0)))</f>
        <v/>
      </c>
      <c r="O296" s="8">
        <f>IF(ISNA(MATCH(287,'Transfer Engine'!$C$2:$C$1369,0)),"",HYPERLINK(INDEX('Compliance Database'!$O$2:$O$1369,MATCH(287,'Transfer Engine'!$C$2:$C$1369,0)),"Open PDF"))</f>
        <v/>
      </c>
    </row>
    <row r="297" ht="188" customHeight="1">
      <c r="A297" s="8">
        <f>IF(ISNA(MATCH(288,'Transfer Engine'!$C$2:$C$1369,0)),"",INDEX('Compliance Database'!$A$2:$A$1369,MATCH(288,'Transfer Engine'!$C$2:$C$1369,0)))</f>
        <v/>
      </c>
      <c r="B297" s="8">
        <f>IF(ISNA(MATCH(288,'Transfer Engine'!$C$2:$C$1369,0)),"",INDEX('Compliance Database'!$B$2:$B$1369,MATCH(288,'Transfer Engine'!$C$2:$C$1369,0)))</f>
        <v/>
      </c>
      <c r="C297" s="8">
        <f>IF(ISNA(MATCH(288,'Transfer Engine'!$C$2:$C$1369,0)),"",INDEX('Compliance Database'!$C$2:$C$1369,MATCH(288,'Transfer Engine'!$C$2:$C$1369,0)))</f>
        <v/>
      </c>
      <c r="D297" s="9">
        <f>IF(ISNA(MATCH(288,'Transfer Engine'!$C$2:$C$1369,0)),"",INDEX('Compliance Database'!$D$2:$D$1369,MATCH(288,'Transfer Engine'!$C$2:$C$1369,0)))</f>
        <v/>
      </c>
      <c r="E297" s="8">
        <f>IF(ISNA(MATCH(288,'Transfer Engine'!$C$2:$C$1369,0)),"",INDEX('Compliance Database'!$E$2:$E$1369,MATCH(288,'Transfer Engine'!$C$2:$C$1369,0)))</f>
        <v/>
      </c>
      <c r="F297" s="8">
        <f>IF(ISNA(MATCH(288,'Transfer Engine'!$C$2:$C$1369,0)),"",INDEX('Compliance Database'!$F$2:$F$1369,MATCH(288,'Transfer Engine'!$C$2:$C$1369,0)))</f>
        <v/>
      </c>
      <c r="G297" s="8">
        <f>IF(ISNA(MATCH(288,'Transfer Engine'!$C$2:$C$1369,0)),"",INDEX('Compliance Database'!$G$2:$G$1369,MATCH(288,'Transfer Engine'!$C$2:$C$1369,0)))</f>
        <v/>
      </c>
      <c r="H297" s="9">
        <f>IF(ISNA(MATCH(288,'Transfer Engine'!$C$2:$C$1369,0)),"",INDEX('Compliance Database'!$H$2:$H$1369,MATCH(288,'Transfer Engine'!$C$2:$C$1369,0)))</f>
        <v/>
      </c>
      <c r="I297" s="9">
        <f>IF(ISNA(MATCH(288,'Transfer Engine'!$C$2:$C$1369,0)),"",INDEX('Compliance Database'!$I$2:$I$1369,MATCH(288,'Transfer Engine'!$C$2:$C$1369,0)))</f>
        <v/>
      </c>
      <c r="J297" s="8">
        <f>IF(ISNA(MATCH(288,'Transfer Engine'!$C$2:$C$1369,0)),"",INDEX('Compliance Database'!$J$2:$J$1369,MATCH(288,'Transfer Engine'!$C$2:$C$1369,0)))</f>
        <v/>
      </c>
      <c r="K297" s="9">
        <f>IF(ISNA(MATCH(288,'Transfer Engine'!$C$2:$C$1369,0)),"",INDEX('Compliance Database'!$K$2:$K$1369,MATCH(288,'Transfer Engine'!$C$2:$C$1369,0)))</f>
        <v/>
      </c>
      <c r="L297" s="9">
        <f>IF(ISNA(MATCH(288,'Transfer Engine'!$C$2:$C$1369,0)),"",INDEX('Compliance Database'!$L$2:$L$1369,MATCH(288,'Transfer Engine'!$C$2:$C$1369,0)))</f>
        <v/>
      </c>
      <c r="M297" s="9">
        <f>IF(ISNA(MATCH(288,'Transfer Engine'!$C$2:$C$1369,0)),"",INDEX('Compliance Database'!$M$2:$M$1369,MATCH(288,'Transfer Engine'!$C$2:$C$1369,0)))</f>
        <v/>
      </c>
      <c r="N297" s="9">
        <f>IF(ISNA(MATCH(288,'Transfer Engine'!$C$2:$C$1369,0)),"",INDEX('Compliance Database'!$N$2:$N$1369,MATCH(288,'Transfer Engine'!$C$2:$C$1369,0)))</f>
        <v/>
      </c>
      <c r="O297" s="8">
        <f>IF(ISNA(MATCH(288,'Transfer Engine'!$C$2:$C$1369,0)),"",HYPERLINK(INDEX('Compliance Database'!$O$2:$O$1369,MATCH(288,'Transfer Engine'!$C$2:$C$1369,0)),"Open PDF"))</f>
        <v/>
      </c>
    </row>
    <row r="298" ht="188" customHeight="1">
      <c r="A298" s="8">
        <f>IF(ISNA(MATCH(289,'Transfer Engine'!$C$2:$C$1369,0)),"",INDEX('Compliance Database'!$A$2:$A$1369,MATCH(289,'Transfer Engine'!$C$2:$C$1369,0)))</f>
        <v/>
      </c>
      <c r="B298" s="8">
        <f>IF(ISNA(MATCH(289,'Transfer Engine'!$C$2:$C$1369,0)),"",INDEX('Compliance Database'!$B$2:$B$1369,MATCH(289,'Transfer Engine'!$C$2:$C$1369,0)))</f>
        <v/>
      </c>
      <c r="C298" s="8">
        <f>IF(ISNA(MATCH(289,'Transfer Engine'!$C$2:$C$1369,0)),"",INDEX('Compliance Database'!$C$2:$C$1369,MATCH(289,'Transfer Engine'!$C$2:$C$1369,0)))</f>
        <v/>
      </c>
      <c r="D298" s="9">
        <f>IF(ISNA(MATCH(289,'Transfer Engine'!$C$2:$C$1369,0)),"",INDEX('Compliance Database'!$D$2:$D$1369,MATCH(289,'Transfer Engine'!$C$2:$C$1369,0)))</f>
        <v/>
      </c>
      <c r="E298" s="8">
        <f>IF(ISNA(MATCH(289,'Transfer Engine'!$C$2:$C$1369,0)),"",INDEX('Compliance Database'!$E$2:$E$1369,MATCH(289,'Transfer Engine'!$C$2:$C$1369,0)))</f>
        <v/>
      </c>
      <c r="F298" s="8">
        <f>IF(ISNA(MATCH(289,'Transfer Engine'!$C$2:$C$1369,0)),"",INDEX('Compliance Database'!$F$2:$F$1369,MATCH(289,'Transfer Engine'!$C$2:$C$1369,0)))</f>
        <v/>
      </c>
      <c r="G298" s="8">
        <f>IF(ISNA(MATCH(289,'Transfer Engine'!$C$2:$C$1369,0)),"",INDEX('Compliance Database'!$G$2:$G$1369,MATCH(289,'Transfer Engine'!$C$2:$C$1369,0)))</f>
        <v/>
      </c>
      <c r="H298" s="9">
        <f>IF(ISNA(MATCH(289,'Transfer Engine'!$C$2:$C$1369,0)),"",INDEX('Compliance Database'!$H$2:$H$1369,MATCH(289,'Transfer Engine'!$C$2:$C$1369,0)))</f>
        <v/>
      </c>
      <c r="I298" s="9">
        <f>IF(ISNA(MATCH(289,'Transfer Engine'!$C$2:$C$1369,0)),"",INDEX('Compliance Database'!$I$2:$I$1369,MATCH(289,'Transfer Engine'!$C$2:$C$1369,0)))</f>
        <v/>
      </c>
      <c r="J298" s="8">
        <f>IF(ISNA(MATCH(289,'Transfer Engine'!$C$2:$C$1369,0)),"",INDEX('Compliance Database'!$J$2:$J$1369,MATCH(289,'Transfer Engine'!$C$2:$C$1369,0)))</f>
        <v/>
      </c>
      <c r="K298" s="9">
        <f>IF(ISNA(MATCH(289,'Transfer Engine'!$C$2:$C$1369,0)),"",INDEX('Compliance Database'!$K$2:$K$1369,MATCH(289,'Transfer Engine'!$C$2:$C$1369,0)))</f>
        <v/>
      </c>
      <c r="L298" s="9">
        <f>IF(ISNA(MATCH(289,'Transfer Engine'!$C$2:$C$1369,0)),"",INDEX('Compliance Database'!$L$2:$L$1369,MATCH(289,'Transfer Engine'!$C$2:$C$1369,0)))</f>
        <v/>
      </c>
      <c r="M298" s="9">
        <f>IF(ISNA(MATCH(289,'Transfer Engine'!$C$2:$C$1369,0)),"",INDEX('Compliance Database'!$M$2:$M$1369,MATCH(289,'Transfer Engine'!$C$2:$C$1369,0)))</f>
        <v/>
      </c>
      <c r="N298" s="9">
        <f>IF(ISNA(MATCH(289,'Transfer Engine'!$C$2:$C$1369,0)),"",INDEX('Compliance Database'!$N$2:$N$1369,MATCH(289,'Transfer Engine'!$C$2:$C$1369,0)))</f>
        <v/>
      </c>
      <c r="O298" s="8">
        <f>IF(ISNA(MATCH(289,'Transfer Engine'!$C$2:$C$1369,0)),"",HYPERLINK(INDEX('Compliance Database'!$O$2:$O$1369,MATCH(289,'Transfer Engine'!$C$2:$C$1369,0)),"Open PDF"))</f>
        <v/>
      </c>
    </row>
    <row r="299" ht="188" customHeight="1">
      <c r="A299" s="8">
        <f>IF(ISNA(MATCH(290,'Transfer Engine'!$C$2:$C$1369,0)),"",INDEX('Compliance Database'!$A$2:$A$1369,MATCH(290,'Transfer Engine'!$C$2:$C$1369,0)))</f>
        <v/>
      </c>
      <c r="B299" s="8">
        <f>IF(ISNA(MATCH(290,'Transfer Engine'!$C$2:$C$1369,0)),"",INDEX('Compliance Database'!$B$2:$B$1369,MATCH(290,'Transfer Engine'!$C$2:$C$1369,0)))</f>
        <v/>
      </c>
      <c r="C299" s="8">
        <f>IF(ISNA(MATCH(290,'Transfer Engine'!$C$2:$C$1369,0)),"",INDEX('Compliance Database'!$C$2:$C$1369,MATCH(290,'Transfer Engine'!$C$2:$C$1369,0)))</f>
        <v/>
      </c>
      <c r="D299" s="9">
        <f>IF(ISNA(MATCH(290,'Transfer Engine'!$C$2:$C$1369,0)),"",INDEX('Compliance Database'!$D$2:$D$1369,MATCH(290,'Transfer Engine'!$C$2:$C$1369,0)))</f>
        <v/>
      </c>
      <c r="E299" s="8">
        <f>IF(ISNA(MATCH(290,'Transfer Engine'!$C$2:$C$1369,0)),"",INDEX('Compliance Database'!$E$2:$E$1369,MATCH(290,'Transfer Engine'!$C$2:$C$1369,0)))</f>
        <v/>
      </c>
      <c r="F299" s="8">
        <f>IF(ISNA(MATCH(290,'Transfer Engine'!$C$2:$C$1369,0)),"",INDEX('Compliance Database'!$F$2:$F$1369,MATCH(290,'Transfer Engine'!$C$2:$C$1369,0)))</f>
        <v/>
      </c>
      <c r="G299" s="8">
        <f>IF(ISNA(MATCH(290,'Transfer Engine'!$C$2:$C$1369,0)),"",INDEX('Compliance Database'!$G$2:$G$1369,MATCH(290,'Transfer Engine'!$C$2:$C$1369,0)))</f>
        <v/>
      </c>
      <c r="H299" s="9">
        <f>IF(ISNA(MATCH(290,'Transfer Engine'!$C$2:$C$1369,0)),"",INDEX('Compliance Database'!$H$2:$H$1369,MATCH(290,'Transfer Engine'!$C$2:$C$1369,0)))</f>
        <v/>
      </c>
      <c r="I299" s="9">
        <f>IF(ISNA(MATCH(290,'Transfer Engine'!$C$2:$C$1369,0)),"",INDEX('Compliance Database'!$I$2:$I$1369,MATCH(290,'Transfer Engine'!$C$2:$C$1369,0)))</f>
        <v/>
      </c>
      <c r="J299" s="8">
        <f>IF(ISNA(MATCH(290,'Transfer Engine'!$C$2:$C$1369,0)),"",INDEX('Compliance Database'!$J$2:$J$1369,MATCH(290,'Transfer Engine'!$C$2:$C$1369,0)))</f>
        <v/>
      </c>
      <c r="K299" s="9">
        <f>IF(ISNA(MATCH(290,'Transfer Engine'!$C$2:$C$1369,0)),"",INDEX('Compliance Database'!$K$2:$K$1369,MATCH(290,'Transfer Engine'!$C$2:$C$1369,0)))</f>
        <v/>
      </c>
      <c r="L299" s="9">
        <f>IF(ISNA(MATCH(290,'Transfer Engine'!$C$2:$C$1369,0)),"",INDEX('Compliance Database'!$L$2:$L$1369,MATCH(290,'Transfer Engine'!$C$2:$C$1369,0)))</f>
        <v/>
      </c>
      <c r="M299" s="9">
        <f>IF(ISNA(MATCH(290,'Transfer Engine'!$C$2:$C$1369,0)),"",INDEX('Compliance Database'!$M$2:$M$1369,MATCH(290,'Transfer Engine'!$C$2:$C$1369,0)))</f>
        <v/>
      </c>
      <c r="N299" s="9">
        <f>IF(ISNA(MATCH(290,'Transfer Engine'!$C$2:$C$1369,0)),"",INDEX('Compliance Database'!$N$2:$N$1369,MATCH(290,'Transfer Engine'!$C$2:$C$1369,0)))</f>
        <v/>
      </c>
      <c r="O299" s="8">
        <f>IF(ISNA(MATCH(290,'Transfer Engine'!$C$2:$C$1369,0)),"",HYPERLINK(INDEX('Compliance Database'!$O$2:$O$1369,MATCH(290,'Transfer Engine'!$C$2:$C$1369,0)),"Open PDF"))</f>
        <v/>
      </c>
    </row>
    <row r="300" ht="188" customHeight="1">
      <c r="A300" s="8">
        <f>IF(ISNA(MATCH(291,'Transfer Engine'!$C$2:$C$1369,0)),"",INDEX('Compliance Database'!$A$2:$A$1369,MATCH(291,'Transfer Engine'!$C$2:$C$1369,0)))</f>
        <v/>
      </c>
      <c r="B300" s="8">
        <f>IF(ISNA(MATCH(291,'Transfer Engine'!$C$2:$C$1369,0)),"",INDEX('Compliance Database'!$B$2:$B$1369,MATCH(291,'Transfer Engine'!$C$2:$C$1369,0)))</f>
        <v/>
      </c>
      <c r="C300" s="8">
        <f>IF(ISNA(MATCH(291,'Transfer Engine'!$C$2:$C$1369,0)),"",INDEX('Compliance Database'!$C$2:$C$1369,MATCH(291,'Transfer Engine'!$C$2:$C$1369,0)))</f>
        <v/>
      </c>
      <c r="D300" s="9">
        <f>IF(ISNA(MATCH(291,'Transfer Engine'!$C$2:$C$1369,0)),"",INDEX('Compliance Database'!$D$2:$D$1369,MATCH(291,'Transfer Engine'!$C$2:$C$1369,0)))</f>
        <v/>
      </c>
      <c r="E300" s="8">
        <f>IF(ISNA(MATCH(291,'Transfer Engine'!$C$2:$C$1369,0)),"",INDEX('Compliance Database'!$E$2:$E$1369,MATCH(291,'Transfer Engine'!$C$2:$C$1369,0)))</f>
        <v/>
      </c>
      <c r="F300" s="8">
        <f>IF(ISNA(MATCH(291,'Transfer Engine'!$C$2:$C$1369,0)),"",INDEX('Compliance Database'!$F$2:$F$1369,MATCH(291,'Transfer Engine'!$C$2:$C$1369,0)))</f>
        <v/>
      </c>
      <c r="G300" s="8">
        <f>IF(ISNA(MATCH(291,'Transfer Engine'!$C$2:$C$1369,0)),"",INDEX('Compliance Database'!$G$2:$G$1369,MATCH(291,'Transfer Engine'!$C$2:$C$1369,0)))</f>
        <v/>
      </c>
      <c r="H300" s="9">
        <f>IF(ISNA(MATCH(291,'Transfer Engine'!$C$2:$C$1369,0)),"",INDEX('Compliance Database'!$H$2:$H$1369,MATCH(291,'Transfer Engine'!$C$2:$C$1369,0)))</f>
        <v/>
      </c>
      <c r="I300" s="9">
        <f>IF(ISNA(MATCH(291,'Transfer Engine'!$C$2:$C$1369,0)),"",INDEX('Compliance Database'!$I$2:$I$1369,MATCH(291,'Transfer Engine'!$C$2:$C$1369,0)))</f>
        <v/>
      </c>
      <c r="J300" s="8">
        <f>IF(ISNA(MATCH(291,'Transfer Engine'!$C$2:$C$1369,0)),"",INDEX('Compliance Database'!$J$2:$J$1369,MATCH(291,'Transfer Engine'!$C$2:$C$1369,0)))</f>
        <v/>
      </c>
      <c r="K300" s="9">
        <f>IF(ISNA(MATCH(291,'Transfer Engine'!$C$2:$C$1369,0)),"",INDEX('Compliance Database'!$K$2:$K$1369,MATCH(291,'Transfer Engine'!$C$2:$C$1369,0)))</f>
        <v/>
      </c>
      <c r="L300" s="9">
        <f>IF(ISNA(MATCH(291,'Transfer Engine'!$C$2:$C$1369,0)),"",INDEX('Compliance Database'!$L$2:$L$1369,MATCH(291,'Transfer Engine'!$C$2:$C$1369,0)))</f>
        <v/>
      </c>
      <c r="M300" s="9">
        <f>IF(ISNA(MATCH(291,'Transfer Engine'!$C$2:$C$1369,0)),"",INDEX('Compliance Database'!$M$2:$M$1369,MATCH(291,'Transfer Engine'!$C$2:$C$1369,0)))</f>
        <v/>
      </c>
      <c r="N300" s="9">
        <f>IF(ISNA(MATCH(291,'Transfer Engine'!$C$2:$C$1369,0)),"",INDEX('Compliance Database'!$N$2:$N$1369,MATCH(291,'Transfer Engine'!$C$2:$C$1369,0)))</f>
        <v/>
      </c>
      <c r="O300" s="8">
        <f>IF(ISNA(MATCH(291,'Transfer Engine'!$C$2:$C$1369,0)),"",HYPERLINK(INDEX('Compliance Database'!$O$2:$O$1369,MATCH(291,'Transfer Engine'!$C$2:$C$1369,0)),"Open PDF"))</f>
        <v/>
      </c>
    </row>
    <row r="301" ht="188" customHeight="1">
      <c r="A301" s="8">
        <f>IF(ISNA(MATCH(292,'Transfer Engine'!$C$2:$C$1369,0)),"",INDEX('Compliance Database'!$A$2:$A$1369,MATCH(292,'Transfer Engine'!$C$2:$C$1369,0)))</f>
        <v/>
      </c>
      <c r="B301" s="8">
        <f>IF(ISNA(MATCH(292,'Transfer Engine'!$C$2:$C$1369,0)),"",INDEX('Compliance Database'!$B$2:$B$1369,MATCH(292,'Transfer Engine'!$C$2:$C$1369,0)))</f>
        <v/>
      </c>
      <c r="C301" s="8">
        <f>IF(ISNA(MATCH(292,'Transfer Engine'!$C$2:$C$1369,0)),"",INDEX('Compliance Database'!$C$2:$C$1369,MATCH(292,'Transfer Engine'!$C$2:$C$1369,0)))</f>
        <v/>
      </c>
      <c r="D301" s="9">
        <f>IF(ISNA(MATCH(292,'Transfer Engine'!$C$2:$C$1369,0)),"",INDEX('Compliance Database'!$D$2:$D$1369,MATCH(292,'Transfer Engine'!$C$2:$C$1369,0)))</f>
        <v/>
      </c>
      <c r="E301" s="8">
        <f>IF(ISNA(MATCH(292,'Transfer Engine'!$C$2:$C$1369,0)),"",INDEX('Compliance Database'!$E$2:$E$1369,MATCH(292,'Transfer Engine'!$C$2:$C$1369,0)))</f>
        <v/>
      </c>
      <c r="F301" s="8">
        <f>IF(ISNA(MATCH(292,'Transfer Engine'!$C$2:$C$1369,0)),"",INDEX('Compliance Database'!$F$2:$F$1369,MATCH(292,'Transfer Engine'!$C$2:$C$1369,0)))</f>
        <v/>
      </c>
      <c r="G301" s="8">
        <f>IF(ISNA(MATCH(292,'Transfer Engine'!$C$2:$C$1369,0)),"",INDEX('Compliance Database'!$G$2:$G$1369,MATCH(292,'Transfer Engine'!$C$2:$C$1369,0)))</f>
        <v/>
      </c>
      <c r="H301" s="9">
        <f>IF(ISNA(MATCH(292,'Transfer Engine'!$C$2:$C$1369,0)),"",INDEX('Compliance Database'!$H$2:$H$1369,MATCH(292,'Transfer Engine'!$C$2:$C$1369,0)))</f>
        <v/>
      </c>
      <c r="I301" s="9">
        <f>IF(ISNA(MATCH(292,'Transfer Engine'!$C$2:$C$1369,0)),"",INDEX('Compliance Database'!$I$2:$I$1369,MATCH(292,'Transfer Engine'!$C$2:$C$1369,0)))</f>
        <v/>
      </c>
      <c r="J301" s="8">
        <f>IF(ISNA(MATCH(292,'Transfer Engine'!$C$2:$C$1369,0)),"",INDEX('Compliance Database'!$J$2:$J$1369,MATCH(292,'Transfer Engine'!$C$2:$C$1369,0)))</f>
        <v/>
      </c>
      <c r="K301" s="9">
        <f>IF(ISNA(MATCH(292,'Transfer Engine'!$C$2:$C$1369,0)),"",INDEX('Compliance Database'!$K$2:$K$1369,MATCH(292,'Transfer Engine'!$C$2:$C$1369,0)))</f>
        <v/>
      </c>
      <c r="L301" s="9">
        <f>IF(ISNA(MATCH(292,'Transfer Engine'!$C$2:$C$1369,0)),"",INDEX('Compliance Database'!$L$2:$L$1369,MATCH(292,'Transfer Engine'!$C$2:$C$1369,0)))</f>
        <v/>
      </c>
      <c r="M301" s="9">
        <f>IF(ISNA(MATCH(292,'Transfer Engine'!$C$2:$C$1369,0)),"",INDEX('Compliance Database'!$M$2:$M$1369,MATCH(292,'Transfer Engine'!$C$2:$C$1369,0)))</f>
        <v/>
      </c>
      <c r="N301" s="9">
        <f>IF(ISNA(MATCH(292,'Transfer Engine'!$C$2:$C$1369,0)),"",INDEX('Compliance Database'!$N$2:$N$1369,MATCH(292,'Transfer Engine'!$C$2:$C$1369,0)))</f>
        <v/>
      </c>
      <c r="O301" s="8">
        <f>IF(ISNA(MATCH(292,'Transfer Engine'!$C$2:$C$1369,0)),"",HYPERLINK(INDEX('Compliance Database'!$O$2:$O$1369,MATCH(292,'Transfer Engine'!$C$2:$C$1369,0)),"Open PDF"))</f>
        <v/>
      </c>
    </row>
    <row r="302" ht="188" customHeight="1">
      <c r="A302" s="8">
        <f>IF(ISNA(MATCH(293,'Transfer Engine'!$C$2:$C$1369,0)),"",INDEX('Compliance Database'!$A$2:$A$1369,MATCH(293,'Transfer Engine'!$C$2:$C$1369,0)))</f>
        <v/>
      </c>
      <c r="B302" s="8">
        <f>IF(ISNA(MATCH(293,'Transfer Engine'!$C$2:$C$1369,0)),"",INDEX('Compliance Database'!$B$2:$B$1369,MATCH(293,'Transfer Engine'!$C$2:$C$1369,0)))</f>
        <v/>
      </c>
      <c r="C302" s="8">
        <f>IF(ISNA(MATCH(293,'Transfer Engine'!$C$2:$C$1369,0)),"",INDEX('Compliance Database'!$C$2:$C$1369,MATCH(293,'Transfer Engine'!$C$2:$C$1369,0)))</f>
        <v/>
      </c>
      <c r="D302" s="9">
        <f>IF(ISNA(MATCH(293,'Transfer Engine'!$C$2:$C$1369,0)),"",INDEX('Compliance Database'!$D$2:$D$1369,MATCH(293,'Transfer Engine'!$C$2:$C$1369,0)))</f>
        <v/>
      </c>
      <c r="E302" s="8">
        <f>IF(ISNA(MATCH(293,'Transfer Engine'!$C$2:$C$1369,0)),"",INDEX('Compliance Database'!$E$2:$E$1369,MATCH(293,'Transfer Engine'!$C$2:$C$1369,0)))</f>
        <v/>
      </c>
      <c r="F302" s="8">
        <f>IF(ISNA(MATCH(293,'Transfer Engine'!$C$2:$C$1369,0)),"",INDEX('Compliance Database'!$F$2:$F$1369,MATCH(293,'Transfer Engine'!$C$2:$C$1369,0)))</f>
        <v/>
      </c>
      <c r="G302" s="8">
        <f>IF(ISNA(MATCH(293,'Transfer Engine'!$C$2:$C$1369,0)),"",INDEX('Compliance Database'!$G$2:$G$1369,MATCH(293,'Transfer Engine'!$C$2:$C$1369,0)))</f>
        <v/>
      </c>
      <c r="H302" s="9">
        <f>IF(ISNA(MATCH(293,'Transfer Engine'!$C$2:$C$1369,0)),"",INDEX('Compliance Database'!$H$2:$H$1369,MATCH(293,'Transfer Engine'!$C$2:$C$1369,0)))</f>
        <v/>
      </c>
      <c r="I302" s="9">
        <f>IF(ISNA(MATCH(293,'Transfer Engine'!$C$2:$C$1369,0)),"",INDEX('Compliance Database'!$I$2:$I$1369,MATCH(293,'Transfer Engine'!$C$2:$C$1369,0)))</f>
        <v/>
      </c>
      <c r="J302" s="8">
        <f>IF(ISNA(MATCH(293,'Transfer Engine'!$C$2:$C$1369,0)),"",INDEX('Compliance Database'!$J$2:$J$1369,MATCH(293,'Transfer Engine'!$C$2:$C$1369,0)))</f>
        <v/>
      </c>
      <c r="K302" s="9">
        <f>IF(ISNA(MATCH(293,'Transfer Engine'!$C$2:$C$1369,0)),"",INDEX('Compliance Database'!$K$2:$K$1369,MATCH(293,'Transfer Engine'!$C$2:$C$1369,0)))</f>
        <v/>
      </c>
      <c r="L302" s="9">
        <f>IF(ISNA(MATCH(293,'Transfer Engine'!$C$2:$C$1369,0)),"",INDEX('Compliance Database'!$L$2:$L$1369,MATCH(293,'Transfer Engine'!$C$2:$C$1369,0)))</f>
        <v/>
      </c>
      <c r="M302" s="9">
        <f>IF(ISNA(MATCH(293,'Transfer Engine'!$C$2:$C$1369,0)),"",INDEX('Compliance Database'!$M$2:$M$1369,MATCH(293,'Transfer Engine'!$C$2:$C$1369,0)))</f>
        <v/>
      </c>
      <c r="N302" s="9">
        <f>IF(ISNA(MATCH(293,'Transfer Engine'!$C$2:$C$1369,0)),"",INDEX('Compliance Database'!$N$2:$N$1369,MATCH(293,'Transfer Engine'!$C$2:$C$1369,0)))</f>
        <v/>
      </c>
      <c r="O302" s="8">
        <f>IF(ISNA(MATCH(293,'Transfer Engine'!$C$2:$C$1369,0)),"",HYPERLINK(INDEX('Compliance Database'!$O$2:$O$1369,MATCH(293,'Transfer Engine'!$C$2:$C$1369,0)),"Open PDF"))</f>
        <v/>
      </c>
    </row>
    <row r="303" ht="188" customHeight="1">
      <c r="A303" s="8">
        <f>IF(ISNA(MATCH(294,'Transfer Engine'!$C$2:$C$1369,0)),"",INDEX('Compliance Database'!$A$2:$A$1369,MATCH(294,'Transfer Engine'!$C$2:$C$1369,0)))</f>
        <v/>
      </c>
      <c r="B303" s="8">
        <f>IF(ISNA(MATCH(294,'Transfer Engine'!$C$2:$C$1369,0)),"",INDEX('Compliance Database'!$B$2:$B$1369,MATCH(294,'Transfer Engine'!$C$2:$C$1369,0)))</f>
        <v/>
      </c>
      <c r="C303" s="8">
        <f>IF(ISNA(MATCH(294,'Transfer Engine'!$C$2:$C$1369,0)),"",INDEX('Compliance Database'!$C$2:$C$1369,MATCH(294,'Transfer Engine'!$C$2:$C$1369,0)))</f>
        <v/>
      </c>
      <c r="D303" s="9">
        <f>IF(ISNA(MATCH(294,'Transfer Engine'!$C$2:$C$1369,0)),"",INDEX('Compliance Database'!$D$2:$D$1369,MATCH(294,'Transfer Engine'!$C$2:$C$1369,0)))</f>
        <v/>
      </c>
      <c r="E303" s="8">
        <f>IF(ISNA(MATCH(294,'Transfer Engine'!$C$2:$C$1369,0)),"",INDEX('Compliance Database'!$E$2:$E$1369,MATCH(294,'Transfer Engine'!$C$2:$C$1369,0)))</f>
        <v/>
      </c>
      <c r="F303" s="8">
        <f>IF(ISNA(MATCH(294,'Transfer Engine'!$C$2:$C$1369,0)),"",INDEX('Compliance Database'!$F$2:$F$1369,MATCH(294,'Transfer Engine'!$C$2:$C$1369,0)))</f>
        <v/>
      </c>
      <c r="G303" s="8">
        <f>IF(ISNA(MATCH(294,'Transfer Engine'!$C$2:$C$1369,0)),"",INDEX('Compliance Database'!$G$2:$G$1369,MATCH(294,'Transfer Engine'!$C$2:$C$1369,0)))</f>
        <v/>
      </c>
      <c r="H303" s="9">
        <f>IF(ISNA(MATCH(294,'Transfer Engine'!$C$2:$C$1369,0)),"",INDEX('Compliance Database'!$H$2:$H$1369,MATCH(294,'Transfer Engine'!$C$2:$C$1369,0)))</f>
        <v/>
      </c>
      <c r="I303" s="9">
        <f>IF(ISNA(MATCH(294,'Transfer Engine'!$C$2:$C$1369,0)),"",INDEX('Compliance Database'!$I$2:$I$1369,MATCH(294,'Transfer Engine'!$C$2:$C$1369,0)))</f>
        <v/>
      </c>
      <c r="J303" s="8">
        <f>IF(ISNA(MATCH(294,'Transfer Engine'!$C$2:$C$1369,0)),"",INDEX('Compliance Database'!$J$2:$J$1369,MATCH(294,'Transfer Engine'!$C$2:$C$1369,0)))</f>
        <v/>
      </c>
      <c r="K303" s="9">
        <f>IF(ISNA(MATCH(294,'Transfer Engine'!$C$2:$C$1369,0)),"",INDEX('Compliance Database'!$K$2:$K$1369,MATCH(294,'Transfer Engine'!$C$2:$C$1369,0)))</f>
        <v/>
      </c>
      <c r="L303" s="9">
        <f>IF(ISNA(MATCH(294,'Transfer Engine'!$C$2:$C$1369,0)),"",INDEX('Compliance Database'!$L$2:$L$1369,MATCH(294,'Transfer Engine'!$C$2:$C$1369,0)))</f>
        <v/>
      </c>
      <c r="M303" s="9">
        <f>IF(ISNA(MATCH(294,'Transfer Engine'!$C$2:$C$1369,0)),"",INDEX('Compliance Database'!$M$2:$M$1369,MATCH(294,'Transfer Engine'!$C$2:$C$1369,0)))</f>
        <v/>
      </c>
      <c r="N303" s="9">
        <f>IF(ISNA(MATCH(294,'Transfer Engine'!$C$2:$C$1369,0)),"",INDEX('Compliance Database'!$N$2:$N$1369,MATCH(294,'Transfer Engine'!$C$2:$C$1369,0)))</f>
        <v/>
      </c>
      <c r="O303" s="8">
        <f>IF(ISNA(MATCH(294,'Transfer Engine'!$C$2:$C$1369,0)),"",HYPERLINK(INDEX('Compliance Database'!$O$2:$O$1369,MATCH(294,'Transfer Engine'!$C$2:$C$1369,0)),"Open PDF"))</f>
        <v/>
      </c>
    </row>
    <row r="304" ht="188" customHeight="1">
      <c r="A304" s="8">
        <f>IF(ISNA(MATCH(295,'Transfer Engine'!$C$2:$C$1369,0)),"",INDEX('Compliance Database'!$A$2:$A$1369,MATCH(295,'Transfer Engine'!$C$2:$C$1369,0)))</f>
        <v/>
      </c>
      <c r="B304" s="8">
        <f>IF(ISNA(MATCH(295,'Transfer Engine'!$C$2:$C$1369,0)),"",INDEX('Compliance Database'!$B$2:$B$1369,MATCH(295,'Transfer Engine'!$C$2:$C$1369,0)))</f>
        <v/>
      </c>
      <c r="C304" s="8">
        <f>IF(ISNA(MATCH(295,'Transfer Engine'!$C$2:$C$1369,0)),"",INDEX('Compliance Database'!$C$2:$C$1369,MATCH(295,'Transfer Engine'!$C$2:$C$1369,0)))</f>
        <v/>
      </c>
      <c r="D304" s="9">
        <f>IF(ISNA(MATCH(295,'Transfer Engine'!$C$2:$C$1369,0)),"",INDEX('Compliance Database'!$D$2:$D$1369,MATCH(295,'Transfer Engine'!$C$2:$C$1369,0)))</f>
        <v/>
      </c>
      <c r="E304" s="8">
        <f>IF(ISNA(MATCH(295,'Transfer Engine'!$C$2:$C$1369,0)),"",INDEX('Compliance Database'!$E$2:$E$1369,MATCH(295,'Transfer Engine'!$C$2:$C$1369,0)))</f>
        <v/>
      </c>
      <c r="F304" s="8">
        <f>IF(ISNA(MATCH(295,'Transfer Engine'!$C$2:$C$1369,0)),"",INDEX('Compliance Database'!$F$2:$F$1369,MATCH(295,'Transfer Engine'!$C$2:$C$1369,0)))</f>
        <v/>
      </c>
      <c r="G304" s="8">
        <f>IF(ISNA(MATCH(295,'Transfer Engine'!$C$2:$C$1369,0)),"",INDEX('Compliance Database'!$G$2:$G$1369,MATCH(295,'Transfer Engine'!$C$2:$C$1369,0)))</f>
        <v/>
      </c>
      <c r="H304" s="9">
        <f>IF(ISNA(MATCH(295,'Transfer Engine'!$C$2:$C$1369,0)),"",INDEX('Compliance Database'!$H$2:$H$1369,MATCH(295,'Transfer Engine'!$C$2:$C$1369,0)))</f>
        <v/>
      </c>
      <c r="I304" s="9">
        <f>IF(ISNA(MATCH(295,'Transfer Engine'!$C$2:$C$1369,0)),"",INDEX('Compliance Database'!$I$2:$I$1369,MATCH(295,'Transfer Engine'!$C$2:$C$1369,0)))</f>
        <v/>
      </c>
      <c r="J304" s="8">
        <f>IF(ISNA(MATCH(295,'Transfer Engine'!$C$2:$C$1369,0)),"",INDEX('Compliance Database'!$J$2:$J$1369,MATCH(295,'Transfer Engine'!$C$2:$C$1369,0)))</f>
        <v/>
      </c>
      <c r="K304" s="9">
        <f>IF(ISNA(MATCH(295,'Transfer Engine'!$C$2:$C$1369,0)),"",INDEX('Compliance Database'!$K$2:$K$1369,MATCH(295,'Transfer Engine'!$C$2:$C$1369,0)))</f>
        <v/>
      </c>
      <c r="L304" s="9">
        <f>IF(ISNA(MATCH(295,'Transfer Engine'!$C$2:$C$1369,0)),"",INDEX('Compliance Database'!$L$2:$L$1369,MATCH(295,'Transfer Engine'!$C$2:$C$1369,0)))</f>
        <v/>
      </c>
      <c r="M304" s="9">
        <f>IF(ISNA(MATCH(295,'Transfer Engine'!$C$2:$C$1369,0)),"",INDEX('Compliance Database'!$M$2:$M$1369,MATCH(295,'Transfer Engine'!$C$2:$C$1369,0)))</f>
        <v/>
      </c>
      <c r="N304" s="9">
        <f>IF(ISNA(MATCH(295,'Transfer Engine'!$C$2:$C$1369,0)),"",INDEX('Compliance Database'!$N$2:$N$1369,MATCH(295,'Transfer Engine'!$C$2:$C$1369,0)))</f>
        <v/>
      </c>
      <c r="O304" s="8">
        <f>IF(ISNA(MATCH(295,'Transfer Engine'!$C$2:$C$1369,0)),"",HYPERLINK(INDEX('Compliance Database'!$O$2:$O$1369,MATCH(295,'Transfer Engine'!$C$2:$C$1369,0)),"Open PDF"))</f>
        <v/>
      </c>
    </row>
    <row r="305" ht="188" customHeight="1">
      <c r="A305" s="8">
        <f>IF(ISNA(MATCH(296,'Transfer Engine'!$C$2:$C$1369,0)),"",INDEX('Compliance Database'!$A$2:$A$1369,MATCH(296,'Transfer Engine'!$C$2:$C$1369,0)))</f>
        <v/>
      </c>
      <c r="B305" s="8">
        <f>IF(ISNA(MATCH(296,'Transfer Engine'!$C$2:$C$1369,0)),"",INDEX('Compliance Database'!$B$2:$B$1369,MATCH(296,'Transfer Engine'!$C$2:$C$1369,0)))</f>
        <v/>
      </c>
      <c r="C305" s="8">
        <f>IF(ISNA(MATCH(296,'Transfer Engine'!$C$2:$C$1369,0)),"",INDEX('Compliance Database'!$C$2:$C$1369,MATCH(296,'Transfer Engine'!$C$2:$C$1369,0)))</f>
        <v/>
      </c>
      <c r="D305" s="9">
        <f>IF(ISNA(MATCH(296,'Transfer Engine'!$C$2:$C$1369,0)),"",INDEX('Compliance Database'!$D$2:$D$1369,MATCH(296,'Transfer Engine'!$C$2:$C$1369,0)))</f>
        <v/>
      </c>
      <c r="E305" s="8">
        <f>IF(ISNA(MATCH(296,'Transfer Engine'!$C$2:$C$1369,0)),"",INDEX('Compliance Database'!$E$2:$E$1369,MATCH(296,'Transfer Engine'!$C$2:$C$1369,0)))</f>
        <v/>
      </c>
      <c r="F305" s="8">
        <f>IF(ISNA(MATCH(296,'Transfer Engine'!$C$2:$C$1369,0)),"",INDEX('Compliance Database'!$F$2:$F$1369,MATCH(296,'Transfer Engine'!$C$2:$C$1369,0)))</f>
        <v/>
      </c>
      <c r="G305" s="8">
        <f>IF(ISNA(MATCH(296,'Transfer Engine'!$C$2:$C$1369,0)),"",INDEX('Compliance Database'!$G$2:$G$1369,MATCH(296,'Transfer Engine'!$C$2:$C$1369,0)))</f>
        <v/>
      </c>
      <c r="H305" s="9">
        <f>IF(ISNA(MATCH(296,'Transfer Engine'!$C$2:$C$1369,0)),"",INDEX('Compliance Database'!$H$2:$H$1369,MATCH(296,'Transfer Engine'!$C$2:$C$1369,0)))</f>
        <v/>
      </c>
      <c r="I305" s="9">
        <f>IF(ISNA(MATCH(296,'Transfer Engine'!$C$2:$C$1369,0)),"",INDEX('Compliance Database'!$I$2:$I$1369,MATCH(296,'Transfer Engine'!$C$2:$C$1369,0)))</f>
        <v/>
      </c>
      <c r="J305" s="8">
        <f>IF(ISNA(MATCH(296,'Transfer Engine'!$C$2:$C$1369,0)),"",INDEX('Compliance Database'!$J$2:$J$1369,MATCH(296,'Transfer Engine'!$C$2:$C$1369,0)))</f>
        <v/>
      </c>
      <c r="K305" s="9">
        <f>IF(ISNA(MATCH(296,'Transfer Engine'!$C$2:$C$1369,0)),"",INDEX('Compliance Database'!$K$2:$K$1369,MATCH(296,'Transfer Engine'!$C$2:$C$1369,0)))</f>
        <v/>
      </c>
      <c r="L305" s="9">
        <f>IF(ISNA(MATCH(296,'Transfer Engine'!$C$2:$C$1369,0)),"",INDEX('Compliance Database'!$L$2:$L$1369,MATCH(296,'Transfer Engine'!$C$2:$C$1369,0)))</f>
        <v/>
      </c>
      <c r="M305" s="9">
        <f>IF(ISNA(MATCH(296,'Transfer Engine'!$C$2:$C$1369,0)),"",INDEX('Compliance Database'!$M$2:$M$1369,MATCH(296,'Transfer Engine'!$C$2:$C$1369,0)))</f>
        <v/>
      </c>
      <c r="N305" s="9">
        <f>IF(ISNA(MATCH(296,'Transfer Engine'!$C$2:$C$1369,0)),"",INDEX('Compliance Database'!$N$2:$N$1369,MATCH(296,'Transfer Engine'!$C$2:$C$1369,0)))</f>
        <v/>
      </c>
      <c r="O305" s="8">
        <f>IF(ISNA(MATCH(296,'Transfer Engine'!$C$2:$C$1369,0)),"",HYPERLINK(INDEX('Compliance Database'!$O$2:$O$1369,MATCH(296,'Transfer Engine'!$C$2:$C$1369,0)),"Open PDF"))</f>
        <v/>
      </c>
    </row>
    <row r="306" ht="188" customHeight="1">
      <c r="A306" s="8">
        <f>IF(ISNA(MATCH(297,'Transfer Engine'!$C$2:$C$1369,0)),"",INDEX('Compliance Database'!$A$2:$A$1369,MATCH(297,'Transfer Engine'!$C$2:$C$1369,0)))</f>
        <v/>
      </c>
      <c r="B306" s="8">
        <f>IF(ISNA(MATCH(297,'Transfer Engine'!$C$2:$C$1369,0)),"",INDEX('Compliance Database'!$B$2:$B$1369,MATCH(297,'Transfer Engine'!$C$2:$C$1369,0)))</f>
        <v/>
      </c>
      <c r="C306" s="8">
        <f>IF(ISNA(MATCH(297,'Transfer Engine'!$C$2:$C$1369,0)),"",INDEX('Compliance Database'!$C$2:$C$1369,MATCH(297,'Transfer Engine'!$C$2:$C$1369,0)))</f>
        <v/>
      </c>
      <c r="D306" s="9">
        <f>IF(ISNA(MATCH(297,'Transfer Engine'!$C$2:$C$1369,0)),"",INDEX('Compliance Database'!$D$2:$D$1369,MATCH(297,'Transfer Engine'!$C$2:$C$1369,0)))</f>
        <v/>
      </c>
      <c r="E306" s="8">
        <f>IF(ISNA(MATCH(297,'Transfer Engine'!$C$2:$C$1369,0)),"",INDEX('Compliance Database'!$E$2:$E$1369,MATCH(297,'Transfer Engine'!$C$2:$C$1369,0)))</f>
        <v/>
      </c>
      <c r="F306" s="8">
        <f>IF(ISNA(MATCH(297,'Transfer Engine'!$C$2:$C$1369,0)),"",INDEX('Compliance Database'!$F$2:$F$1369,MATCH(297,'Transfer Engine'!$C$2:$C$1369,0)))</f>
        <v/>
      </c>
      <c r="G306" s="8">
        <f>IF(ISNA(MATCH(297,'Transfer Engine'!$C$2:$C$1369,0)),"",INDEX('Compliance Database'!$G$2:$G$1369,MATCH(297,'Transfer Engine'!$C$2:$C$1369,0)))</f>
        <v/>
      </c>
      <c r="H306" s="9">
        <f>IF(ISNA(MATCH(297,'Transfer Engine'!$C$2:$C$1369,0)),"",INDEX('Compliance Database'!$H$2:$H$1369,MATCH(297,'Transfer Engine'!$C$2:$C$1369,0)))</f>
        <v/>
      </c>
      <c r="I306" s="9">
        <f>IF(ISNA(MATCH(297,'Transfer Engine'!$C$2:$C$1369,0)),"",INDEX('Compliance Database'!$I$2:$I$1369,MATCH(297,'Transfer Engine'!$C$2:$C$1369,0)))</f>
        <v/>
      </c>
      <c r="J306" s="8">
        <f>IF(ISNA(MATCH(297,'Transfer Engine'!$C$2:$C$1369,0)),"",INDEX('Compliance Database'!$J$2:$J$1369,MATCH(297,'Transfer Engine'!$C$2:$C$1369,0)))</f>
        <v/>
      </c>
      <c r="K306" s="9">
        <f>IF(ISNA(MATCH(297,'Transfer Engine'!$C$2:$C$1369,0)),"",INDEX('Compliance Database'!$K$2:$K$1369,MATCH(297,'Transfer Engine'!$C$2:$C$1369,0)))</f>
        <v/>
      </c>
      <c r="L306" s="9">
        <f>IF(ISNA(MATCH(297,'Transfer Engine'!$C$2:$C$1369,0)),"",INDEX('Compliance Database'!$L$2:$L$1369,MATCH(297,'Transfer Engine'!$C$2:$C$1369,0)))</f>
        <v/>
      </c>
      <c r="M306" s="9">
        <f>IF(ISNA(MATCH(297,'Transfer Engine'!$C$2:$C$1369,0)),"",INDEX('Compliance Database'!$M$2:$M$1369,MATCH(297,'Transfer Engine'!$C$2:$C$1369,0)))</f>
        <v/>
      </c>
      <c r="N306" s="9">
        <f>IF(ISNA(MATCH(297,'Transfer Engine'!$C$2:$C$1369,0)),"",INDEX('Compliance Database'!$N$2:$N$1369,MATCH(297,'Transfer Engine'!$C$2:$C$1369,0)))</f>
        <v/>
      </c>
      <c r="O306" s="8">
        <f>IF(ISNA(MATCH(297,'Transfer Engine'!$C$2:$C$1369,0)),"",HYPERLINK(INDEX('Compliance Database'!$O$2:$O$1369,MATCH(297,'Transfer Engine'!$C$2:$C$1369,0)),"Open PDF"))</f>
        <v/>
      </c>
    </row>
    <row r="307" ht="188" customHeight="1">
      <c r="A307" s="8">
        <f>IF(ISNA(MATCH(298,'Transfer Engine'!$C$2:$C$1369,0)),"",INDEX('Compliance Database'!$A$2:$A$1369,MATCH(298,'Transfer Engine'!$C$2:$C$1369,0)))</f>
        <v/>
      </c>
      <c r="B307" s="8">
        <f>IF(ISNA(MATCH(298,'Transfer Engine'!$C$2:$C$1369,0)),"",INDEX('Compliance Database'!$B$2:$B$1369,MATCH(298,'Transfer Engine'!$C$2:$C$1369,0)))</f>
        <v/>
      </c>
      <c r="C307" s="8">
        <f>IF(ISNA(MATCH(298,'Transfer Engine'!$C$2:$C$1369,0)),"",INDEX('Compliance Database'!$C$2:$C$1369,MATCH(298,'Transfer Engine'!$C$2:$C$1369,0)))</f>
        <v/>
      </c>
      <c r="D307" s="9">
        <f>IF(ISNA(MATCH(298,'Transfer Engine'!$C$2:$C$1369,0)),"",INDEX('Compliance Database'!$D$2:$D$1369,MATCH(298,'Transfer Engine'!$C$2:$C$1369,0)))</f>
        <v/>
      </c>
      <c r="E307" s="8">
        <f>IF(ISNA(MATCH(298,'Transfer Engine'!$C$2:$C$1369,0)),"",INDEX('Compliance Database'!$E$2:$E$1369,MATCH(298,'Transfer Engine'!$C$2:$C$1369,0)))</f>
        <v/>
      </c>
      <c r="F307" s="8">
        <f>IF(ISNA(MATCH(298,'Transfer Engine'!$C$2:$C$1369,0)),"",INDEX('Compliance Database'!$F$2:$F$1369,MATCH(298,'Transfer Engine'!$C$2:$C$1369,0)))</f>
        <v/>
      </c>
      <c r="G307" s="8">
        <f>IF(ISNA(MATCH(298,'Transfer Engine'!$C$2:$C$1369,0)),"",INDEX('Compliance Database'!$G$2:$G$1369,MATCH(298,'Transfer Engine'!$C$2:$C$1369,0)))</f>
        <v/>
      </c>
      <c r="H307" s="9">
        <f>IF(ISNA(MATCH(298,'Transfer Engine'!$C$2:$C$1369,0)),"",INDEX('Compliance Database'!$H$2:$H$1369,MATCH(298,'Transfer Engine'!$C$2:$C$1369,0)))</f>
        <v/>
      </c>
      <c r="I307" s="9">
        <f>IF(ISNA(MATCH(298,'Transfer Engine'!$C$2:$C$1369,0)),"",INDEX('Compliance Database'!$I$2:$I$1369,MATCH(298,'Transfer Engine'!$C$2:$C$1369,0)))</f>
        <v/>
      </c>
      <c r="J307" s="8">
        <f>IF(ISNA(MATCH(298,'Transfer Engine'!$C$2:$C$1369,0)),"",INDEX('Compliance Database'!$J$2:$J$1369,MATCH(298,'Transfer Engine'!$C$2:$C$1369,0)))</f>
        <v/>
      </c>
      <c r="K307" s="9">
        <f>IF(ISNA(MATCH(298,'Transfer Engine'!$C$2:$C$1369,0)),"",INDEX('Compliance Database'!$K$2:$K$1369,MATCH(298,'Transfer Engine'!$C$2:$C$1369,0)))</f>
        <v/>
      </c>
      <c r="L307" s="9">
        <f>IF(ISNA(MATCH(298,'Transfer Engine'!$C$2:$C$1369,0)),"",INDEX('Compliance Database'!$L$2:$L$1369,MATCH(298,'Transfer Engine'!$C$2:$C$1369,0)))</f>
        <v/>
      </c>
      <c r="M307" s="9">
        <f>IF(ISNA(MATCH(298,'Transfer Engine'!$C$2:$C$1369,0)),"",INDEX('Compliance Database'!$M$2:$M$1369,MATCH(298,'Transfer Engine'!$C$2:$C$1369,0)))</f>
        <v/>
      </c>
      <c r="N307" s="9">
        <f>IF(ISNA(MATCH(298,'Transfer Engine'!$C$2:$C$1369,0)),"",INDEX('Compliance Database'!$N$2:$N$1369,MATCH(298,'Transfer Engine'!$C$2:$C$1369,0)))</f>
        <v/>
      </c>
      <c r="O307" s="8">
        <f>IF(ISNA(MATCH(298,'Transfer Engine'!$C$2:$C$1369,0)),"",HYPERLINK(INDEX('Compliance Database'!$O$2:$O$1369,MATCH(298,'Transfer Engine'!$C$2:$C$1369,0)),"Open PDF"))</f>
        <v/>
      </c>
    </row>
    <row r="308" ht="188" customHeight="1">
      <c r="A308" s="8">
        <f>IF(ISNA(MATCH(299,'Transfer Engine'!$C$2:$C$1369,0)),"",INDEX('Compliance Database'!$A$2:$A$1369,MATCH(299,'Transfer Engine'!$C$2:$C$1369,0)))</f>
        <v/>
      </c>
      <c r="B308" s="8">
        <f>IF(ISNA(MATCH(299,'Transfer Engine'!$C$2:$C$1369,0)),"",INDEX('Compliance Database'!$B$2:$B$1369,MATCH(299,'Transfer Engine'!$C$2:$C$1369,0)))</f>
        <v/>
      </c>
      <c r="C308" s="8">
        <f>IF(ISNA(MATCH(299,'Transfer Engine'!$C$2:$C$1369,0)),"",INDEX('Compliance Database'!$C$2:$C$1369,MATCH(299,'Transfer Engine'!$C$2:$C$1369,0)))</f>
        <v/>
      </c>
      <c r="D308" s="9">
        <f>IF(ISNA(MATCH(299,'Transfer Engine'!$C$2:$C$1369,0)),"",INDEX('Compliance Database'!$D$2:$D$1369,MATCH(299,'Transfer Engine'!$C$2:$C$1369,0)))</f>
        <v/>
      </c>
      <c r="E308" s="8">
        <f>IF(ISNA(MATCH(299,'Transfer Engine'!$C$2:$C$1369,0)),"",INDEX('Compliance Database'!$E$2:$E$1369,MATCH(299,'Transfer Engine'!$C$2:$C$1369,0)))</f>
        <v/>
      </c>
      <c r="F308" s="8">
        <f>IF(ISNA(MATCH(299,'Transfer Engine'!$C$2:$C$1369,0)),"",INDEX('Compliance Database'!$F$2:$F$1369,MATCH(299,'Transfer Engine'!$C$2:$C$1369,0)))</f>
        <v/>
      </c>
      <c r="G308" s="8">
        <f>IF(ISNA(MATCH(299,'Transfer Engine'!$C$2:$C$1369,0)),"",INDEX('Compliance Database'!$G$2:$G$1369,MATCH(299,'Transfer Engine'!$C$2:$C$1369,0)))</f>
        <v/>
      </c>
      <c r="H308" s="9">
        <f>IF(ISNA(MATCH(299,'Transfer Engine'!$C$2:$C$1369,0)),"",INDEX('Compliance Database'!$H$2:$H$1369,MATCH(299,'Transfer Engine'!$C$2:$C$1369,0)))</f>
        <v/>
      </c>
      <c r="I308" s="9">
        <f>IF(ISNA(MATCH(299,'Transfer Engine'!$C$2:$C$1369,0)),"",INDEX('Compliance Database'!$I$2:$I$1369,MATCH(299,'Transfer Engine'!$C$2:$C$1369,0)))</f>
        <v/>
      </c>
      <c r="J308" s="8">
        <f>IF(ISNA(MATCH(299,'Transfer Engine'!$C$2:$C$1369,0)),"",INDEX('Compliance Database'!$J$2:$J$1369,MATCH(299,'Transfer Engine'!$C$2:$C$1369,0)))</f>
        <v/>
      </c>
      <c r="K308" s="9">
        <f>IF(ISNA(MATCH(299,'Transfer Engine'!$C$2:$C$1369,0)),"",INDEX('Compliance Database'!$K$2:$K$1369,MATCH(299,'Transfer Engine'!$C$2:$C$1369,0)))</f>
        <v/>
      </c>
      <c r="L308" s="9">
        <f>IF(ISNA(MATCH(299,'Transfer Engine'!$C$2:$C$1369,0)),"",INDEX('Compliance Database'!$L$2:$L$1369,MATCH(299,'Transfer Engine'!$C$2:$C$1369,0)))</f>
        <v/>
      </c>
      <c r="M308" s="9">
        <f>IF(ISNA(MATCH(299,'Transfer Engine'!$C$2:$C$1369,0)),"",INDEX('Compliance Database'!$M$2:$M$1369,MATCH(299,'Transfer Engine'!$C$2:$C$1369,0)))</f>
        <v/>
      </c>
      <c r="N308" s="9">
        <f>IF(ISNA(MATCH(299,'Transfer Engine'!$C$2:$C$1369,0)),"",INDEX('Compliance Database'!$N$2:$N$1369,MATCH(299,'Transfer Engine'!$C$2:$C$1369,0)))</f>
        <v/>
      </c>
      <c r="O308" s="8">
        <f>IF(ISNA(MATCH(299,'Transfer Engine'!$C$2:$C$1369,0)),"",HYPERLINK(INDEX('Compliance Database'!$O$2:$O$1369,MATCH(299,'Transfer Engine'!$C$2:$C$1369,0)),"Open PDF"))</f>
        <v/>
      </c>
    </row>
    <row r="309" ht="188" customHeight="1">
      <c r="A309" s="8">
        <f>IF(ISNA(MATCH(300,'Transfer Engine'!$C$2:$C$1369,0)),"",INDEX('Compliance Database'!$A$2:$A$1369,MATCH(300,'Transfer Engine'!$C$2:$C$1369,0)))</f>
        <v/>
      </c>
      <c r="B309" s="8">
        <f>IF(ISNA(MATCH(300,'Transfer Engine'!$C$2:$C$1369,0)),"",INDEX('Compliance Database'!$B$2:$B$1369,MATCH(300,'Transfer Engine'!$C$2:$C$1369,0)))</f>
        <v/>
      </c>
      <c r="C309" s="8">
        <f>IF(ISNA(MATCH(300,'Transfer Engine'!$C$2:$C$1369,0)),"",INDEX('Compliance Database'!$C$2:$C$1369,MATCH(300,'Transfer Engine'!$C$2:$C$1369,0)))</f>
        <v/>
      </c>
      <c r="D309" s="9">
        <f>IF(ISNA(MATCH(300,'Transfer Engine'!$C$2:$C$1369,0)),"",INDEX('Compliance Database'!$D$2:$D$1369,MATCH(300,'Transfer Engine'!$C$2:$C$1369,0)))</f>
        <v/>
      </c>
      <c r="E309" s="8">
        <f>IF(ISNA(MATCH(300,'Transfer Engine'!$C$2:$C$1369,0)),"",INDEX('Compliance Database'!$E$2:$E$1369,MATCH(300,'Transfer Engine'!$C$2:$C$1369,0)))</f>
        <v/>
      </c>
      <c r="F309" s="8">
        <f>IF(ISNA(MATCH(300,'Transfer Engine'!$C$2:$C$1369,0)),"",INDEX('Compliance Database'!$F$2:$F$1369,MATCH(300,'Transfer Engine'!$C$2:$C$1369,0)))</f>
        <v/>
      </c>
      <c r="G309" s="8">
        <f>IF(ISNA(MATCH(300,'Transfer Engine'!$C$2:$C$1369,0)),"",INDEX('Compliance Database'!$G$2:$G$1369,MATCH(300,'Transfer Engine'!$C$2:$C$1369,0)))</f>
        <v/>
      </c>
      <c r="H309" s="9">
        <f>IF(ISNA(MATCH(300,'Transfer Engine'!$C$2:$C$1369,0)),"",INDEX('Compliance Database'!$H$2:$H$1369,MATCH(300,'Transfer Engine'!$C$2:$C$1369,0)))</f>
        <v/>
      </c>
      <c r="I309" s="9">
        <f>IF(ISNA(MATCH(300,'Transfer Engine'!$C$2:$C$1369,0)),"",INDEX('Compliance Database'!$I$2:$I$1369,MATCH(300,'Transfer Engine'!$C$2:$C$1369,0)))</f>
        <v/>
      </c>
      <c r="J309" s="8">
        <f>IF(ISNA(MATCH(300,'Transfer Engine'!$C$2:$C$1369,0)),"",INDEX('Compliance Database'!$J$2:$J$1369,MATCH(300,'Transfer Engine'!$C$2:$C$1369,0)))</f>
        <v/>
      </c>
      <c r="K309" s="9">
        <f>IF(ISNA(MATCH(300,'Transfer Engine'!$C$2:$C$1369,0)),"",INDEX('Compliance Database'!$K$2:$K$1369,MATCH(300,'Transfer Engine'!$C$2:$C$1369,0)))</f>
        <v/>
      </c>
      <c r="L309" s="9">
        <f>IF(ISNA(MATCH(300,'Transfer Engine'!$C$2:$C$1369,0)),"",INDEX('Compliance Database'!$L$2:$L$1369,MATCH(300,'Transfer Engine'!$C$2:$C$1369,0)))</f>
        <v/>
      </c>
      <c r="M309" s="9">
        <f>IF(ISNA(MATCH(300,'Transfer Engine'!$C$2:$C$1369,0)),"",INDEX('Compliance Database'!$M$2:$M$1369,MATCH(300,'Transfer Engine'!$C$2:$C$1369,0)))</f>
        <v/>
      </c>
      <c r="N309" s="9">
        <f>IF(ISNA(MATCH(300,'Transfer Engine'!$C$2:$C$1369,0)),"",INDEX('Compliance Database'!$N$2:$N$1369,MATCH(300,'Transfer Engine'!$C$2:$C$1369,0)))</f>
        <v/>
      </c>
      <c r="O309" s="8">
        <f>IF(ISNA(MATCH(300,'Transfer Engine'!$C$2:$C$1369,0)),"",HYPERLINK(INDEX('Compliance Database'!$O$2:$O$1369,MATCH(300,'Transfer Engine'!$C$2:$C$1369,0)),"Open PDF"))</f>
        <v/>
      </c>
    </row>
    <row r="310" ht="188" customHeight="1">
      <c r="A310" s="8">
        <f>IF(ISNA(MATCH(301,'Transfer Engine'!$C$2:$C$1369,0)),"",INDEX('Compliance Database'!$A$2:$A$1369,MATCH(301,'Transfer Engine'!$C$2:$C$1369,0)))</f>
        <v/>
      </c>
      <c r="B310" s="8">
        <f>IF(ISNA(MATCH(301,'Transfer Engine'!$C$2:$C$1369,0)),"",INDEX('Compliance Database'!$B$2:$B$1369,MATCH(301,'Transfer Engine'!$C$2:$C$1369,0)))</f>
        <v/>
      </c>
      <c r="C310" s="8">
        <f>IF(ISNA(MATCH(301,'Transfer Engine'!$C$2:$C$1369,0)),"",INDEX('Compliance Database'!$C$2:$C$1369,MATCH(301,'Transfer Engine'!$C$2:$C$1369,0)))</f>
        <v/>
      </c>
      <c r="D310" s="9">
        <f>IF(ISNA(MATCH(301,'Transfer Engine'!$C$2:$C$1369,0)),"",INDEX('Compliance Database'!$D$2:$D$1369,MATCH(301,'Transfer Engine'!$C$2:$C$1369,0)))</f>
        <v/>
      </c>
      <c r="E310" s="8">
        <f>IF(ISNA(MATCH(301,'Transfer Engine'!$C$2:$C$1369,0)),"",INDEX('Compliance Database'!$E$2:$E$1369,MATCH(301,'Transfer Engine'!$C$2:$C$1369,0)))</f>
        <v/>
      </c>
      <c r="F310" s="8">
        <f>IF(ISNA(MATCH(301,'Transfer Engine'!$C$2:$C$1369,0)),"",INDEX('Compliance Database'!$F$2:$F$1369,MATCH(301,'Transfer Engine'!$C$2:$C$1369,0)))</f>
        <v/>
      </c>
      <c r="G310" s="8">
        <f>IF(ISNA(MATCH(301,'Transfer Engine'!$C$2:$C$1369,0)),"",INDEX('Compliance Database'!$G$2:$G$1369,MATCH(301,'Transfer Engine'!$C$2:$C$1369,0)))</f>
        <v/>
      </c>
      <c r="H310" s="9">
        <f>IF(ISNA(MATCH(301,'Transfer Engine'!$C$2:$C$1369,0)),"",INDEX('Compliance Database'!$H$2:$H$1369,MATCH(301,'Transfer Engine'!$C$2:$C$1369,0)))</f>
        <v/>
      </c>
      <c r="I310" s="9">
        <f>IF(ISNA(MATCH(301,'Transfer Engine'!$C$2:$C$1369,0)),"",INDEX('Compliance Database'!$I$2:$I$1369,MATCH(301,'Transfer Engine'!$C$2:$C$1369,0)))</f>
        <v/>
      </c>
      <c r="J310" s="8">
        <f>IF(ISNA(MATCH(301,'Transfer Engine'!$C$2:$C$1369,0)),"",INDEX('Compliance Database'!$J$2:$J$1369,MATCH(301,'Transfer Engine'!$C$2:$C$1369,0)))</f>
        <v/>
      </c>
      <c r="K310" s="9">
        <f>IF(ISNA(MATCH(301,'Transfer Engine'!$C$2:$C$1369,0)),"",INDEX('Compliance Database'!$K$2:$K$1369,MATCH(301,'Transfer Engine'!$C$2:$C$1369,0)))</f>
        <v/>
      </c>
      <c r="L310" s="9">
        <f>IF(ISNA(MATCH(301,'Transfer Engine'!$C$2:$C$1369,0)),"",INDEX('Compliance Database'!$L$2:$L$1369,MATCH(301,'Transfer Engine'!$C$2:$C$1369,0)))</f>
        <v/>
      </c>
      <c r="M310" s="9">
        <f>IF(ISNA(MATCH(301,'Transfer Engine'!$C$2:$C$1369,0)),"",INDEX('Compliance Database'!$M$2:$M$1369,MATCH(301,'Transfer Engine'!$C$2:$C$1369,0)))</f>
        <v/>
      </c>
      <c r="N310" s="9">
        <f>IF(ISNA(MATCH(301,'Transfer Engine'!$C$2:$C$1369,0)),"",INDEX('Compliance Database'!$N$2:$N$1369,MATCH(301,'Transfer Engine'!$C$2:$C$1369,0)))</f>
        <v/>
      </c>
      <c r="O310" s="8">
        <f>IF(ISNA(MATCH(301,'Transfer Engine'!$C$2:$C$1369,0)),"",HYPERLINK(INDEX('Compliance Database'!$O$2:$O$1369,MATCH(301,'Transfer Engine'!$C$2:$C$1369,0)),"Open PDF"))</f>
        <v/>
      </c>
    </row>
    <row r="311" ht="188" customHeight="1">
      <c r="A311" s="8">
        <f>IF(ISNA(MATCH(302,'Transfer Engine'!$C$2:$C$1369,0)),"",INDEX('Compliance Database'!$A$2:$A$1369,MATCH(302,'Transfer Engine'!$C$2:$C$1369,0)))</f>
        <v/>
      </c>
      <c r="B311" s="8">
        <f>IF(ISNA(MATCH(302,'Transfer Engine'!$C$2:$C$1369,0)),"",INDEX('Compliance Database'!$B$2:$B$1369,MATCH(302,'Transfer Engine'!$C$2:$C$1369,0)))</f>
        <v/>
      </c>
      <c r="C311" s="8">
        <f>IF(ISNA(MATCH(302,'Transfer Engine'!$C$2:$C$1369,0)),"",INDEX('Compliance Database'!$C$2:$C$1369,MATCH(302,'Transfer Engine'!$C$2:$C$1369,0)))</f>
        <v/>
      </c>
      <c r="D311" s="9">
        <f>IF(ISNA(MATCH(302,'Transfer Engine'!$C$2:$C$1369,0)),"",INDEX('Compliance Database'!$D$2:$D$1369,MATCH(302,'Transfer Engine'!$C$2:$C$1369,0)))</f>
        <v/>
      </c>
      <c r="E311" s="8">
        <f>IF(ISNA(MATCH(302,'Transfer Engine'!$C$2:$C$1369,0)),"",INDEX('Compliance Database'!$E$2:$E$1369,MATCH(302,'Transfer Engine'!$C$2:$C$1369,0)))</f>
        <v/>
      </c>
      <c r="F311" s="8">
        <f>IF(ISNA(MATCH(302,'Transfer Engine'!$C$2:$C$1369,0)),"",INDEX('Compliance Database'!$F$2:$F$1369,MATCH(302,'Transfer Engine'!$C$2:$C$1369,0)))</f>
        <v/>
      </c>
      <c r="G311" s="8">
        <f>IF(ISNA(MATCH(302,'Transfer Engine'!$C$2:$C$1369,0)),"",INDEX('Compliance Database'!$G$2:$G$1369,MATCH(302,'Transfer Engine'!$C$2:$C$1369,0)))</f>
        <v/>
      </c>
      <c r="H311" s="9">
        <f>IF(ISNA(MATCH(302,'Transfer Engine'!$C$2:$C$1369,0)),"",INDEX('Compliance Database'!$H$2:$H$1369,MATCH(302,'Transfer Engine'!$C$2:$C$1369,0)))</f>
        <v/>
      </c>
      <c r="I311" s="9">
        <f>IF(ISNA(MATCH(302,'Transfer Engine'!$C$2:$C$1369,0)),"",INDEX('Compliance Database'!$I$2:$I$1369,MATCH(302,'Transfer Engine'!$C$2:$C$1369,0)))</f>
        <v/>
      </c>
      <c r="J311" s="8">
        <f>IF(ISNA(MATCH(302,'Transfer Engine'!$C$2:$C$1369,0)),"",INDEX('Compliance Database'!$J$2:$J$1369,MATCH(302,'Transfer Engine'!$C$2:$C$1369,0)))</f>
        <v/>
      </c>
      <c r="K311" s="9">
        <f>IF(ISNA(MATCH(302,'Transfer Engine'!$C$2:$C$1369,0)),"",INDEX('Compliance Database'!$K$2:$K$1369,MATCH(302,'Transfer Engine'!$C$2:$C$1369,0)))</f>
        <v/>
      </c>
      <c r="L311" s="9">
        <f>IF(ISNA(MATCH(302,'Transfer Engine'!$C$2:$C$1369,0)),"",INDEX('Compliance Database'!$L$2:$L$1369,MATCH(302,'Transfer Engine'!$C$2:$C$1369,0)))</f>
        <v/>
      </c>
      <c r="M311" s="9">
        <f>IF(ISNA(MATCH(302,'Transfer Engine'!$C$2:$C$1369,0)),"",INDEX('Compliance Database'!$M$2:$M$1369,MATCH(302,'Transfer Engine'!$C$2:$C$1369,0)))</f>
        <v/>
      </c>
      <c r="N311" s="9">
        <f>IF(ISNA(MATCH(302,'Transfer Engine'!$C$2:$C$1369,0)),"",INDEX('Compliance Database'!$N$2:$N$1369,MATCH(302,'Transfer Engine'!$C$2:$C$1369,0)))</f>
        <v/>
      </c>
      <c r="O311" s="8">
        <f>IF(ISNA(MATCH(302,'Transfer Engine'!$C$2:$C$1369,0)),"",HYPERLINK(INDEX('Compliance Database'!$O$2:$O$1369,MATCH(302,'Transfer Engine'!$C$2:$C$1369,0)),"Open PDF"))</f>
        <v/>
      </c>
    </row>
    <row r="312" ht="188" customHeight="1">
      <c r="A312" s="8">
        <f>IF(ISNA(MATCH(303,'Transfer Engine'!$C$2:$C$1369,0)),"",INDEX('Compliance Database'!$A$2:$A$1369,MATCH(303,'Transfer Engine'!$C$2:$C$1369,0)))</f>
        <v/>
      </c>
      <c r="B312" s="8">
        <f>IF(ISNA(MATCH(303,'Transfer Engine'!$C$2:$C$1369,0)),"",INDEX('Compliance Database'!$B$2:$B$1369,MATCH(303,'Transfer Engine'!$C$2:$C$1369,0)))</f>
        <v/>
      </c>
      <c r="C312" s="8">
        <f>IF(ISNA(MATCH(303,'Transfer Engine'!$C$2:$C$1369,0)),"",INDEX('Compliance Database'!$C$2:$C$1369,MATCH(303,'Transfer Engine'!$C$2:$C$1369,0)))</f>
        <v/>
      </c>
      <c r="D312" s="9">
        <f>IF(ISNA(MATCH(303,'Transfer Engine'!$C$2:$C$1369,0)),"",INDEX('Compliance Database'!$D$2:$D$1369,MATCH(303,'Transfer Engine'!$C$2:$C$1369,0)))</f>
        <v/>
      </c>
      <c r="E312" s="8">
        <f>IF(ISNA(MATCH(303,'Transfer Engine'!$C$2:$C$1369,0)),"",INDEX('Compliance Database'!$E$2:$E$1369,MATCH(303,'Transfer Engine'!$C$2:$C$1369,0)))</f>
        <v/>
      </c>
      <c r="F312" s="8">
        <f>IF(ISNA(MATCH(303,'Transfer Engine'!$C$2:$C$1369,0)),"",INDEX('Compliance Database'!$F$2:$F$1369,MATCH(303,'Transfer Engine'!$C$2:$C$1369,0)))</f>
        <v/>
      </c>
      <c r="G312" s="8">
        <f>IF(ISNA(MATCH(303,'Transfer Engine'!$C$2:$C$1369,0)),"",INDEX('Compliance Database'!$G$2:$G$1369,MATCH(303,'Transfer Engine'!$C$2:$C$1369,0)))</f>
        <v/>
      </c>
      <c r="H312" s="9">
        <f>IF(ISNA(MATCH(303,'Transfer Engine'!$C$2:$C$1369,0)),"",INDEX('Compliance Database'!$H$2:$H$1369,MATCH(303,'Transfer Engine'!$C$2:$C$1369,0)))</f>
        <v/>
      </c>
      <c r="I312" s="9">
        <f>IF(ISNA(MATCH(303,'Transfer Engine'!$C$2:$C$1369,0)),"",INDEX('Compliance Database'!$I$2:$I$1369,MATCH(303,'Transfer Engine'!$C$2:$C$1369,0)))</f>
        <v/>
      </c>
      <c r="J312" s="8">
        <f>IF(ISNA(MATCH(303,'Transfer Engine'!$C$2:$C$1369,0)),"",INDEX('Compliance Database'!$J$2:$J$1369,MATCH(303,'Transfer Engine'!$C$2:$C$1369,0)))</f>
        <v/>
      </c>
      <c r="K312" s="9">
        <f>IF(ISNA(MATCH(303,'Transfer Engine'!$C$2:$C$1369,0)),"",INDEX('Compliance Database'!$K$2:$K$1369,MATCH(303,'Transfer Engine'!$C$2:$C$1369,0)))</f>
        <v/>
      </c>
      <c r="L312" s="9">
        <f>IF(ISNA(MATCH(303,'Transfer Engine'!$C$2:$C$1369,0)),"",INDEX('Compliance Database'!$L$2:$L$1369,MATCH(303,'Transfer Engine'!$C$2:$C$1369,0)))</f>
        <v/>
      </c>
      <c r="M312" s="9">
        <f>IF(ISNA(MATCH(303,'Transfer Engine'!$C$2:$C$1369,0)),"",INDEX('Compliance Database'!$M$2:$M$1369,MATCH(303,'Transfer Engine'!$C$2:$C$1369,0)))</f>
        <v/>
      </c>
      <c r="N312" s="9">
        <f>IF(ISNA(MATCH(303,'Transfer Engine'!$C$2:$C$1369,0)),"",INDEX('Compliance Database'!$N$2:$N$1369,MATCH(303,'Transfer Engine'!$C$2:$C$1369,0)))</f>
        <v/>
      </c>
      <c r="O312" s="8">
        <f>IF(ISNA(MATCH(303,'Transfer Engine'!$C$2:$C$1369,0)),"",HYPERLINK(INDEX('Compliance Database'!$O$2:$O$1369,MATCH(303,'Transfer Engine'!$C$2:$C$1369,0)),"Open PDF"))</f>
        <v/>
      </c>
    </row>
    <row r="313" ht="188" customHeight="1">
      <c r="A313" s="8">
        <f>IF(ISNA(MATCH(304,'Transfer Engine'!$C$2:$C$1369,0)),"",INDEX('Compliance Database'!$A$2:$A$1369,MATCH(304,'Transfer Engine'!$C$2:$C$1369,0)))</f>
        <v/>
      </c>
      <c r="B313" s="8">
        <f>IF(ISNA(MATCH(304,'Transfer Engine'!$C$2:$C$1369,0)),"",INDEX('Compliance Database'!$B$2:$B$1369,MATCH(304,'Transfer Engine'!$C$2:$C$1369,0)))</f>
        <v/>
      </c>
      <c r="C313" s="8">
        <f>IF(ISNA(MATCH(304,'Transfer Engine'!$C$2:$C$1369,0)),"",INDEX('Compliance Database'!$C$2:$C$1369,MATCH(304,'Transfer Engine'!$C$2:$C$1369,0)))</f>
        <v/>
      </c>
      <c r="D313" s="9">
        <f>IF(ISNA(MATCH(304,'Transfer Engine'!$C$2:$C$1369,0)),"",INDEX('Compliance Database'!$D$2:$D$1369,MATCH(304,'Transfer Engine'!$C$2:$C$1369,0)))</f>
        <v/>
      </c>
      <c r="E313" s="8">
        <f>IF(ISNA(MATCH(304,'Transfer Engine'!$C$2:$C$1369,0)),"",INDEX('Compliance Database'!$E$2:$E$1369,MATCH(304,'Transfer Engine'!$C$2:$C$1369,0)))</f>
        <v/>
      </c>
      <c r="F313" s="8">
        <f>IF(ISNA(MATCH(304,'Transfer Engine'!$C$2:$C$1369,0)),"",INDEX('Compliance Database'!$F$2:$F$1369,MATCH(304,'Transfer Engine'!$C$2:$C$1369,0)))</f>
        <v/>
      </c>
      <c r="G313" s="8">
        <f>IF(ISNA(MATCH(304,'Transfer Engine'!$C$2:$C$1369,0)),"",INDEX('Compliance Database'!$G$2:$G$1369,MATCH(304,'Transfer Engine'!$C$2:$C$1369,0)))</f>
        <v/>
      </c>
      <c r="H313" s="9">
        <f>IF(ISNA(MATCH(304,'Transfer Engine'!$C$2:$C$1369,0)),"",INDEX('Compliance Database'!$H$2:$H$1369,MATCH(304,'Transfer Engine'!$C$2:$C$1369,0)))</f>
        <v/>
      </c>
      <c r="I313" s="9">
        <f>IF(ISNA(MATCH(304,'Transfer Engine'!$C$2:$C$1369,0)),"",INDEX('Compliance Database'!$I$2:$I$1369,MATCH(304,'Transfer Engine'!$C$2:$C$1369,0)))</f>
        <v/>
      </c>
      <c r="J313" s="8">
        <f>IF(ISNA(MATCH(304,'Transfer Engine'!$C$2:$C$1369,0)),"",INDEX('Compliance Database'!$J$2:$J$1369,MATCH(304,'Transfer Engine'!$C$2:$C$1369,0)))</f>
        <v/>
      </c>
      <c r="K313" s="9">
        <f>IF(ISNA(MATCH(304,'Transfer Engine'!$C$2:$C$1369,0)),"",INDEX('Compliance Database'!$K$2:$K$1369,MATCH(304,'Transfer Engine'!$C$2:$C$1369,0)))</f>
        <v/>
      </c>
      <c r="L313" s="9">
        <f>IF(ISNA(MATCH(304,'Transfer Engine'!$C$2:$C$1369,0)),"",INDEX('Compliance Database'!$L$2:$L$1369,MATCH(304,'Transfer Engine'!$C$2:$C$1369,0)))</f>
        <v/>
      </c>
      <c r="M313" s="9">
        <f>IF(ISNA(MATCH(304,'Transfer Engine'!$C$2:$C$1369,0)),"",INDEX('Compliance Database'!$M$2:$M$1369,MATCH(304,'Transfer Engine'!$C$2:$C$1369,0)))</f>
        <v/>
      </c>
      <c r="N313" s="9">
        <f>IF(ISNA(MATCH(304,'Transfer Engine'!$C$2:$C$1369,0)),"",INDEX('Compliance Database'!$N$2:$N$1369,MATCH(304,'Transfer Engine'!$C$2:$C$1369,0)))</f>
        <v/>
      </c>
      <c r="O313" s="8">
        <f>IF(ISNA(MATCH(304,'Transfer Engine'!$C$2:$C$1369,0)),"",HYPERLINK(INDEX('Compliance Database'!$O$2:$O$1369,MATCH(304,'Transfer Engine'!$C$2:$C$1369,0)),"Open PDF"))</f>
        <v/>
      </c>
    </row>
    <row r="314" ht="188" customHeight="1">
      <c r="A314" s="8">
        <f>IF(ISNA(MATCH(305,'Transfer Engine'!$C$2:$C$1369,0)),"",INDEX('Compliance Database'!$A$2:$A$1369,MATCH(305,'Transfer Engine'!$C$2:$C$1369,0)))</f>
        <v/>
      </c>
      <c r="B314" s="8">
        <f>IF(ISNA(MATCH(305,'Transfer Engine'!$C$2:$C$1369,0)),"",INDEX('Compliance Database'!$B$2:$B$1369,MATCH(305,'Transfer Engine'!$C$2:$C$1369,0)))</f>
        <v/>
      </c>
      <c r="C314" s="8">
        <f>IF(ISNA(MATCH(305,'Transfer Engine'!$C$2:$C$1369,0)),"",INDEX('Compliance Database'!$C$2:$C$1369,MATCH(305,'Transfer Engine'!$C$2:$C$1369,0)))</f>
        <v/>
      </c>
      <c r="D314" s="9">
        <f>IF(ISNA(MATCH(305,'Transfer Engine'!$C$2:$C$1369,0)),"",INDEX('Compliance Database'!$D$2:$D$1369,MATCH(305,'Transfer Engine'!$C$2:$C$1369,0)))</f>
        <v/>
      </c>
      <c r="E314" s="8">
        <f>IF(ISNA(MATCH(305,'Transfer Engine'!$C$2:$C$1369,0)),"",INDEX('Compliance Database'!$E$2:$E$1369,MATCH(305,'Transfer Engine'!$C$2:$C$1369,0)))</f>
        <v/>
      </c>
      <c r="F314" s="8">
        <f>IF(ISNA(MATCH(305,'Transfer Engine'!$C$2:$C$1369,0)),"",INDEX('Compliance Database'!$F$2:$F$1369,MATCH(305,'Transfer Engine'!$C$2:$C$1369,0)))</f>
        <v/>
      </c>
      <c r="G314" s="8">
        <f>IF(ISNA(MATCH(305,'Transfer Engine'!$C$2:$C$1369,0)),"",INDEX('Compliance Database'!$G$2:$G$1369,MATCH(305,'Transfer Engine'!$C$2:$C$1369,0)))</f>
        <v/>
      </c>
      <c r="H314" s="9">
        <f>IF(ISNA(MATCH(305,'Transfer Engine'!$C$2:$C$1369,0)),"",INDEX('Compliance Database'!$H$2:$H$1369,MATCH(305,'Transfer Engine'!$C$2:$C$1369,0)))</f>
        <v/>
      </c>
      <c r="I314" s="9">
        <f>IF(ISNA(MATCH(305,'Transfer Engine'!$C$2:$C$1369,0)),"",INDEX('Compliance Database'!$I$2:$I$1369,MATCH(305,'Transfer Engine'!$C$2:$C$1369,0)))</f>
        <v/>
      </c>
      <c r="J314" s="8">
        <f>IF(ISNA(MATCH(305,'Transfer Engine'!$C$2:$C$1369,0)),"",INDEX('Compliance Database'!$J$2:$J$1369,MATCH(305,'Transfer Engine'!$C$2:$C$1369,0)))</f>
        <v/>
      </c>
      <c r="K314" s="9">
        <f>IF(ISNA(MATCH(305,'Transfer Engine'!$C$2:$C$1369,0)),"",INDEX('Compliance Database'!$K$2:$K$1369,MATCH(305,'Transfer Engine'!$C$2:$C$1369,0)))</f>
        <v/>
      </c>
      <c r="L314" s="9">
        <f>IF(ISNA(MATCH(305,'Transfer Engine'!$C$2:$C$1369,0)),"",INDEX('Compliance Database'!$L$2:$L$1369,MATCH(305,'Transfer Engine'!$C$2:$C$1369,0)))</f>
        <v/>
      </c>
      <c r="M314" s="9">
        <f>IF(ISNA(MATCH(305,'Transfer Engine'!$C$2:$C$1369,0)),"",INDEX('Compliance Database'!$M$2:$M$1369,MATCH(305,'Transfer Engine'!$C$2:$C$1369,0)))</f>
        <v/>
      </c>
      <c r="N314" s="9">
        <f>IF(ISNA(MATCH(305,'Transfer Engine'!$C$2:$C$1369,0)),"",INDEX('Compliance Database'!$N$2:$N$1369,MATCH(305,'Transfer Engine'!$C$2:$C$1369,0)))</f>
        <v/>
      </c>
      <c r="O314" s="8">
        <f>IF(ISNA(MATCH(305,'Transfer Engine'!$C$2:$C$1369,0)),"",HYPERLINK(INDEX('Compliance Database'!$O$2:$O$1369,MATCH(305,'Transfer Engine'!$C$2:$C$1369,0)),"Open PDF"))</f>
        <v/>
      </c>
    </row>
    <row r="315" ht="188" customHeight="1">
      <c r="A315" s="8">
        <f>IF(ISNA(MATCH(306,'Transfer Engine'!$C$2:$C$1369,0)),"",INDEX('Compliance Database'!$A$2:$A$1369,MATCH(306,'Transfer Engine'!$C$2:$C$1369,0)))</f>
        <v/>
      </c>
      <c r="B315" s="8">
        <f>IF(ISNA(MATCH(306,'Transfer Engine'!$C$2:$C$1369,0)),"",INDEX('Compliance Database'!$B$2:$B$1369,MATCH(306,'Transfer Engine'!$C$2:$C$1369,0)))</f>
        <v/>
      </c>
      <c r="C315" s="8">
        <f>IF(ISNA(MATCH(306,'Transfer Engine'!$C$2:$C$1369,0)),"",INDEX('Compliance Database'!$C$2:$C$1369,MATCH(306,'Transfer Engine'!$C$2:$C$1369,0)))</f>
        <v/>
      </c>
      <c r="D315" s="9">
        <f>IF(ISNA(MATCH(306,'Transfer Engine'!$C$2:$C$1369,0)),"",INDEX('Compliance Database'!$D$2:$D$1369,MATCH(306,'Transfer Engine'!$C$2:$C$1369,0)))</f>
        <v/>
      </c>
      <c r="E315" s="8">
        <f>IF(ISNA(MATCH(306,'Transfer Engine'!$C$2:$C$1369,0)),"",INDEX('Compliance Database'!$E$2:$E$1369,MATCH(306,'Transfer Engine'!$C$2:$C$1369,0)))</f>
        <v/>
      </c>
      <c r="F315" s="8">
        <f>IF(ISNA(MATCH(306,'Transfer Engine'!$C$2:$C$1369,0)),"",INDEX('Compliance Database'!$F$2:$F$1369,MATCH(306,'Transfer Engine'!$C$2:$C$1369,0)))</f>
        <v/>
      </c>
      <c r="G315" s="8">
        <f>IF(ISNA(MATCH(306,'Transfer Engine'!$C$2:$C$1369,0)),"",INDEX('Compliance Database'!$G$2:$G$1369,MATCH(306,'Transfer Engine'!$C$2:$C$1369,0)))</f>
        <v/>
      </c>
      <c r="H315" s="9">
        <f>IF(ISNA(MATCH(306,'Transfer Engine'!$C$2:$C$1369,0)),"",INDEX('Compliance Database'!$H$2:$H$1369,MATCH(306,'Transfer Engine'!$C$2:$C$1369,0)))</f>
        <v/>
      </c>
      <c r="I315" s="9">
        <f>IF(ISNA(MATCH(306,'Transfer Engine'!$C$2:$C$1369,0)),"",INDEX('Compliance Database'!$I$2:$I$1369,MATCH(306,'Transfer Engine'!$C$2:$C$1369,0)))</f>
        <v/>
      </c>
      <c r="J315" s="8">
        <f>IF(ISNA(MATCH(306,'Transfer Engine'!$C$2:$C$1369,0)),"",INDEX('Compliance Database'!$J$2:$J$1369,MATCH(306,'Transfer Engine'!$C$2:$C$1369,0)))</f>
        <v/>
      </c>
      <c r="K315" s="9">
        <f>IF(ISNA(MATCH(306,'Transfer Engine'!$C$2:$C$1369,0)),"",INDEX('Compliance Database'!$K$2:$K$1369,MATCH(306,'Transfer Engine'!$C$2:$C$1369,0)))</f>
        <v/>
      </c>
      <c r="L315" s="9">
        <f>IF(ISNA(MATCH(306,'Transfer Engine'!$C$2:$C$1369,0)),"",INDEX('Compliance Database'!$L$2:$L$1369,MATCH(306,'Transfer Engine'!$C$2:$C$1369,0)))</f>
        <v/>
      </c>
      <c r="M315" s="9">
        <f>IF(ISNA(MATCH(306,'Transfer Engine'!$C$2:$C$1369,0)),"",INDEX('Compliance Database'!$M$2:$M$1369,MATCH(306,'Transfer Engine'!$C$2:$C$1369,0)))</f>
        <v/>
      </c>
      <c r="N315" s="9">
        <f>IF(ISNA(MATCH(306,'Transfer Engine'!$C$2:$C$1369,0)),"",INDEX('Compliance Database'!$N$2:$N$1369,MATCH(306,'Transfer Engine'!$C$2:$C$1369,0)))</f>
        <v/>
      </c>
      <c r="O315" s="8">
        <f>IF(ISNA(MATCH(306,'Transfer Engine'!$C$2:$C$1369,0)),"",HYPERLINK(INDEX('Compliance Database'!$O$2:$O$1369,MATCH(306,'Transfer Engine'!$C$2:$C$1369,0)),"Open PDF"))</f>
        <v/>
      </c>
    </row>
    <row r="316" ht="188" customHeight="1">
      <c r="A316" s="8">
        <f>IF(ISNA(MATCH(307,'Transfer Engine'!$C$2:$C$1369,0)),"",INDEX('Compliance Database'!$A$2:$A$1369,MATCH(307,'Transfer Engine'!$C$2:$C$1369,0)))</f>
        <v/>
      </c>
      <c r="B316" s="8">
        <f>IF(ISNA(MATCH(307,'Transfer Engine'!$C$2:$C$1369,0)),"",INDEX('Compliance Database'!$B$2:$B$1369,MATCH(307,'Transfer Engine'!$C$2:$C$1369,0)))</f>
        <v/>
      </c>
      <c r="C316" s="8">
        <f>IF(ISNA(MATCH(307,'Transfer Engine'!$C$2:$C$1369,0)),"",INDEX('Compliance Database'!$C$2:$C$1369,MATCH(307,'Transfer Engine'!$C$2:$C$1369,0)))</f>
        <v/>
      </c>
      <c r="D316" s="9">
        <f>IF(ISNA(MATCH(307,'Transfer Engine'!$C$2:$C$1369,0)),"",INDEX('Compliance Database'!$D$2:$D$1369,MATCH(307,'Transfer Engine'!$C$2:$C$1369,0)))</f>
        <v/>
      </c>
      <c r="E316" s="8">
        <f>IF(ISNA(MATCH(307,'Transfer Engine'!$C$2:$C$1369,0)),"",INDEX('Compliance Database'!$E$2:$E$1369,MATCH(307,'Transfer Engine'!$C$2:$C$1369,0)))</f>
        <v/>
      </c>
      <c r="F316" s="8">
        <f>IF(ISNA(MATCH(307,'Transfer Engine'!$C$2:$C$1369,0)),"",INDEX('Compliance Database'!$F$2:$F$1369,MATCH(307,'Transfer Engine'!$C$2:$C$1369,0)))</f>
        <v/>
      </c>
      <c r="G316" s="8">
        <f>IF(ISNA(MATCH(307,'Transfer Engine'!$C$2:$C$1369,0)),"",INDEX('Compliance Database'!$G$2:$G$1369,MATCH(307,'Transfer Engine'!$C$2:$C$1369,0)))</f>
        <v/>
      </c>
      <c r="H316" s="9">
        <f>IF(ISNA(MATCH(307,'Transfer Engine'!$C$2:$C$1369,0)),"",INDEX('Compliance Database'!$H$2:$H$1369,MATCH(307,'Transfer Engine'!$C$2:$C$1369,0)))</f>
        <v/>
      </c>
      <c r="I316" s="9">
        <f>IF(ISNA(MATCH(307,'Transfer Engine'!$C$2:$C$1369,0)),"",INDEX('Compliance Database'!$I$2:$I$1369,MATCH(307,'Transfer Engine'!$C$2:$C$1369,0)))</f>
        <v/>
      </c>
      <c r="J316" s="8">
        <f>IF(ISNA(MATCH(307,'Transfer Engine'!$C$2:$C$1369,0)),"",INDEX('Compliance Database'!$J$2:$J$1369,MATCH(307,'Transfer Engine'!$C$2:$C$1369,0)))</f>
        <v/>
      </c>
      <c r="K316" s="9">
        <f>IF(ISNA(MATCH(307,'Transfer Engine'!$C$2:$C$1369,0)),"",INDEX('Compliance Database'!$K$2:$K$1369,MATCH(307,'Transfer Engine'!$C$2:$C$1369,0)))</f>
        <v/>
      </c>
      <c r="L316" s="9">
        <f>IF(ISNA(MATCH(307,'Transfer Engine'!$C$2:$C$1369,0)),"",INDEX('Compliance Database'!$L$2:$L$1369,MATCH(307,'Transfer Engine'!$C$2:$C$1369,0)))</f>
        <v/>
      </c>
      <c r="M316" s="9">
        <f>IF(ISNA(MATCH(307,'Transfer Engine'!$C$2:$C$1369,0)),"",INDEX('Compliance Database'!$M$2:$M$1369,MATCH(307,'Transfer Engine'!$C$2:$C$1369,0)))</f>
        <v/>
      </c>
      <c r="N316" s="9">
        <f>IF(ISNA(MATCH(307,'Transfer Engine'!$C$2:$C$1369,0)),"",INDEX('Compliance Database'!$N$2:$N$1369,MATCH(307,'Transfer Engine'!$C$2:$C$1369,0)))</f>
        <v/>
      </c>
      <c r="O316" s="8">
        <f>IF(ISNA(MATCH(307,'Transfer Engine'!$C$2:$C$1369,0)),"",HYPERLINK(INDEX('Compliance Database'!$O$2:$O$1369,MATCH(307,'Transfer Engine'!$C$2:$C$1369,0)),"Open PDF"))</f>
        <v/>
      </c>
    </row>
    <row r="317" ht="188" customHeight="1">
      <c r="A317" s="8">
        <f>IF(ISNA(MATCH(308,'Transfer Engine'!$C$2:$C$1369,0)),"",INDEX('Compliance Database'!$A$2:$A$1369,MATCH(308,'Transfer Engine'!$C$2:$C$1369,0)))</f>
        <v/>
      </c>
      <c r="B317" s="8">
        <f>IF(ISNA(MATCH(308,'Transfer Engine'!$C$2:$C$1369,0)),"",INDEX('Compliance Database'!$B$2:$B$1369,MATCH(308,'Transfer Engine'!$C$2:$C$1369,0)))</f>
        <v/>
      </c>
      <c r="C317" s="8">
        <f>IF(ISNA(MATCH(308,'Transfer Engine'!$C$2:$C$1369,0)),"",INDEX('Compliance Database'!$C$2:$C$1369,MATCH(308,'Transfer Engine'!$C$2:$C$1369,0)))</f>
        <v/>
      </c>
      <c r="D317" s="9">
        <f>IF(ISNA(MATCH(308,'Transfer Engine'!$C$2:$C$1369,0)),"",INDEX('Compliance Database'!$D$2:$D$1369,MATCH(308,'Transfer Engine'!$C$2:$C$1369,0)))</f>
        <v/>
      </c>
      <c r="E317" s="8">
        <f>IF(ISNA(MATCH(308,'Transfer Engine'!$C$2:$C$1369,0)),"",INDEX('Compliance Database'!$E$2:$E$1369,MATCH(308,'Transfer Engine'!$C$2:$C$1369,0)))</f>
        <v/>
      </c>
      <c r="F317" s="8">
        <f>IF(ISNA(MATCH(308,'Transfer Engine'!$C$2:$C$1369,0)),"",INDEX('Compliance Database'!$F$2:$F$1369,MATCH(308,'Transfer Engine'!$C$2:$C$1369,0)))</f>
        <v/>
      </c>
      <c r="G317" s="8">
        <f>IF(ISNA(MATCH(308,'Transfer Engine'!$C$2:$C$1369,0)),"",INDEX('Compliance Database'!$G$2:$G$1369,MATCH(308,'Transfer Engine'!$C$2:$C$1369,0)))</f>
        <v/>
      </c>
      <c r="H317" s="9">
        <f>IF(ISNA(MATCH(308,'Transfer Engine'!$C$2:$C$1369,0)),"",INDEX('Compliance Database'!$H$2:$H$1369,MATCH(308,'Transfer Engine'!$C$2:$C$1369,0)))</f>
        <v/>
      </c>
      <c r="I317" s="9">
        <f>IF(ISNA(MATCH(308,'Transfer Engine'!$C$2:$C$1369,0)),"",INDEX('Compliance Database'!$I$2:$I$1369,MATCH(308,'Transfer Engine'!$C$2:$C$1369,0)))</f>
        <v/>
      </c>
      <c r="J317" s="8">
        <f>IF(ISNA(MATCH(308,'Transfer Engine'!$C$2:$C$1369,0)),"",INDEX('Compliance Database'!$J$2:$J$1369,MATCH(308,'Transfer Engine'!$C$2:$C$1369,0)))</f>
        <v/>
      </c>
      <c r="K317" s="9">
        <f>IF(ISNA(MATCH(308,'Transfer Engine'!$C$2:$C$1369,0)),"",INDEX('Compliance Database'!$K$2:$K$1369,MATCH(308,'Transfer Engine'!$C$2:$C$1369,0)))</f>
        <v/>
      </c>
      <c r="L317" s="9">
        <f>IF(ISNA(MATCH(308,'Transfer Engine'!$C$2:$C$1369,0)),"",INDEX('Compliance Database'!$L$2:$L$1369,MATCH(308,'Transfer Engine'!$C$2:$C$1369,0)))</f>
        <v/>
      </c>
      <c r="M317" s="9">
        <f>IF(ISNA(MATCH(308,'Transfer Engine'!$C$2:$C$1369,0)),"",INDEX('Compliance Database'!$M$2:$M$1369,MATCH(308,'Transfer Engine'!$C$2:$C$1369,0)))</f>
        <v/>
      </c>
      <c r="N317" s="9">
        <f>IF(ISNA(MATCH(308,'Transfer Engine'!$C$2:$C$1369,0)),"",INDEX('Compliance Database'!$N$2:$N$1369,MATCH(308,'Transfer Engine'!$C$2:$C$1369,0)))</f>
        <v/>
      </c>
      <c r="O317" s="8">
        <f>IF(ISNA(MATCH(308,'Transfer Engine'!$C$2:$C$1369,0)),"",HYPERLINK(INDEX('Compliance Database'!$O$2:$O$1369,MATCH(308,'Transfer Engine'!$C$2:$C$1369,0)),"Open PDF"))</f>
        <v/>
      </c>
    </row>
    <row r="318" ht="188" customHeight="1">
      <c r="A318" s="8">
        <f>IF(ISNA(MATCH(309,'Transfer Engine'!$C$2:$C$1369,0)),"",INDEX('Compliance Database'!$A$2:$A$1369,MATCH(309,'Transfer Engine'!$C$2:$C$1369,0)))</f>
        <v/>
      </c>
      <c r="B318" s="8">
        <f>IF(ISNA(MATCH(309,'Transfer Engine'!$C$2:$C$1369,0)),"",INDEX('Compliance Database'!$B$2:$B$1369,MATCH(309,'Transfer Engine'!$C$2:$C$1369,0)))</f>
        <v/>
      </c>
      <c r="C318" s="8">
        <f>IF(ISNA(MATCH(309,'Transfer Engine'!$C$2:$C$1369,0)),"",INDEX('Compliance Database'!$C$2:$C$1369,MATCH(309,'Transfer Engine'!$C$2:$C$1369,0)))</f>
        <v/>
      </c>
      <c r="D318" s="9">
        <f>IF(ISNA(MATCH(309,'Transfer Engine'!$C$2:$C$1369,0)),"",INDEX('Compliance Database'!$D$2:$D$1369,MATCH(309,'Transfer Engine'!$C$2:$C$1369,0)))</f>
        <v/>
      </c>
      <c r="E318" s="8">
        <f>IF(ISNA(MATCH(309,'Transfer Engine'!$C$2:$C$1369,0)),"",INDEX('Compliance Database'!$E$2:$E$1369,MATCH(309,'Transfer Engine'!$C$2:$C$1369,0)))</f>
        <v/>
      </c>
      <c r="F318" s="8">
        <f>IF(ISNA(MATCH(309,'Transfer Engine'!$C$2:$C$1369,0)),"",INDEX('Compliance Database'!$F$2:$F$1369,MATCH(309,'Transfer Engine'!$C$2:$C$1369,0)))</f>
        <v/>
      </c>
      <c r="G318" s="8">
        <f>IF(ISNA(MATCH(309,'Transfer Engine'!$C$2:$C$1369,0)),"",INDEX('Compliance Database'!$G$2:$G$1369,MATCH(309,'Transfer Engine'!$C$2:$C$1369,0)))</f>
        <v/>
      </c>
      <c r="H318" s="9">
        <f>IF(ISNA(MATCH(309,'Transfer Engine'!$C$2:$C$1369,0)),"",INDEX('Compliance Database'!$H$2:$H$1369,MATCH(309,'Transfer Engine'!$C$2:$C$1369,0)))</f>
        <v/>
      </c>
      <c r="I318" s="9">
        <f>IF(ISNA(MATCH(309,'Transfer Engine'!$C$2:$C$1369,0)),"",INDEX('Compliance Database'!$I$2:$I$1369,MATCH(309,'Transfer Engine'!$C$2:$C$1369,0)))</f>
        <v/>
      </c>
      <c r="J318" s="8">
        <f>IF(ISNA(MATCH(309,'Transfer Engine'!$C$2:$C$1369,0)),"",INDEX('Compliance Database'!$J$2:$J$1369,MATCH(309,'Transfer Engine'!$C$2:$C$1369,0)))</f>
        <v/>
      </c>
      <c r="K318" s="9">
        <f>IF(ISNA(MATCH(309,'Transfer Engine'!$C$2:$C$1369,0)),"",INDEX('Compliance Database'!$K$2:$K$1369,MATCH(309,'Transfer Engine'!$C$2:$C$1369,0)))</f>
        <v/>
      </c>
      <c r="L318" s="9">
        <f>IF(ISNA(MATCH(309,'Transfer Engine'!$C$2:$C$1369,0)),"",INDEX('Compliance Database'!$L$2:$L$1369,MATCH(309,'Transfer Engine'!$C$2:$C$1369,0)))</f>
        <v/>
      </c>
      <c r="M318" s="9">
        <f>IF(ISNA(MATCH(309,'Transfer Engine'!$C$2:$C$1369,0)),"",INDEX('Compliance Database'!$M$2:$M$1369,MATCH(309,'Transfer Engine'!$C$2:$C$1369,0)))</f>
        <v/>
      </c>
      <c r="N318" s="9">
        <f>IF(ISNA(MATCH(309,'Transfer Engine'!$C$2:$C$1369,0)),"",INDEX('Compliance Database'!$N$2:$N$1369,MATCH(309,'Transfer Engine'!$C$2:$C$1369,0)))</f>
        <v/>
      </c>
      <c r="O318" s="8">
        <f>IF(ISNA(MATCH(309,'Transfer Engine'!$C$2:$C$1369,0)),"",HYPERLINK(INDEX('Compliance Database'!$O$2:$O$1369,MATCH(309,'Transfer Engine'!$C$2:$C$1369,0)),"Open PDF"))</f>
        <v/>
      </c>
    </row>
    <row r="319" ht="188" customHeight="1">
      <c r="A319" s="8">
        <f>IF(ISNA(MATCH(310,'Transfer Engine'!$C$2:$C$1369,0)),"",INDEX('Compliance Database'!$A$2:$A$1369,MATCH(310,'Transfer Engine'!$C$2:$C$1369,0)))</f>
        <v/>
      </c>
      <c r="B319" s="8">
        <f>IF(ISNA(MATCH(310,'Transfer Engine'!$C$2:$C$1369,0)),"",INDEX('Compliance Database'!$B$2:$B$1369,MATCH(310,'Transfer Engine'!$C$2:$C$1369,0)))</f>
        <v/>
      </c>
      <c r="C319" s="8">
        <f>IF(ISNA(MATCH(310,'Transfer Engine'!$C$2:$C$1369,0)),"",INDEX('Compliance Database'!$C$2:$C$1369,MATCH(310,'Transfer Engine'!$C$2:$C$1369,0)))</f>
        <v/>
      </c>
      <c r="D319" s="9">
        <f>IF(ISNA(MATCH(310,'Transfer Engine'!$C$2:$C$1369,0)),"",INDEX('Compliance Database'!$D$2:$D$1369,MATCH(310,'Transfer Engine'!$C$2:$C$1369,0)))</f>
        <v/>
      </c>
      <c r="E319" s="8">
        <f>IF(ISNA(MATCH(310,'Transfer Engine'!$C$2:$C$1369,0)),"",INDEX('Compliance Database'!$E$2:$E$1369,MATCH(310,'Transfer Engine'!$C$2:$C$1369,0)))</f>
        <v/>
      </c>
      <c r="F319" s="8">
        <f>IF(ISNA(MATCH(310,'Transfer Engine'!$C$2:$C$1369,0)),"",INDEX('Compliance Database'!$F$2:$F$1369,MATCH(310,'Transfer Engine'!$C$2:$C$1369,0)))</f>
        <v/>
      </c>
      <c r="G319" s="8">
        <f>IF(ISNA(MATCH(310,'Transfer Engine'!$C$2:$C$1369,0)),"",INDEX('Compliance Database'!$G$2:$G$1369,MATCH(310,'Transfer Engine'!$C$2:$C$1369,0)))</f>
        <v/>
      </c>
      <c r="H319" s="9">
        <f>IF(ISNA(MATCH(310,'Transfer Engine'!$C$2:$C$1369,0)),"",INDEX('Compliance Database'!$H$2:$H$1369,MATCH(310,'Transfer Engine'!$C$2:$C$1369,0)))</f>
        <v/>
      </c>
      <c r="I319" s="9">
        <f>IF(ISNA(MATCH(310,'Transfer Engine'!$C$2:$C$1369,0)),"",INDEX('Compliance Database'!$I$2:$I$1369,MATCH(310,'Transfer Engine'!$C$2:$C$1369,0)))</f>
        <v/>
      </c>
      <c r="J319" s="8">
        <f>IF(ISNA(MATCH(310,'Transfer Engine'!$C$2:$C$1369,0)),"",INDEX('Compliance Database'!$J$2:$J$1369,MATCH(310,'Transfer Engine'!$C$2:$C$1369,0)))</f>
        <v/>
      </c>
      <c r="K319" s="9">
        <f>IF(ISNA(MATCH(310,'Transfer Engine'!$C$2:$C$1369,0)),"",INDEX('Compliance Database'!$K$2:$K$1369,MATCH(310,'Transfer Engine'!$C$2:$C$1369,0)))</f>
        <v/>
      </c>
      <c r="L319" s="9">
        <f>IF(ISNA(MATCH(310,'Transfer Engine'!$C$2:$C$1369,0)),"",INDEX('Compliance Database'!$L$2:$L$1369,MATCH(310,'Transfer Engine'!$C$2:$C$1369,0)))</f>
        <v/>
      </c>
      <c r="M319" s="9">
        <f>IF(ISNA(MATCH(310,'Transfer Engine'!$C$2:$C$1369,0)),"",INDEX('Compliance Database'!$M$2:$M$1369,MATCH(310,'Transfer Engine'!$C$2:$C$1369,0)))</f>
        <v/>
      </c>
      <c r="N319" s="9">
        <f>IF(ISNA(MATCH(310,'Transfer Engine'!$C$2:$C$1369,0)),"",INDEX('Compliance Database'!$N$2:$N$1369,MATCH(310,'Transfer Engine'!$C$2:$C$1369,0)))</f>
        <v/>
      </c>
      <c r="O319" s="8">
        <f>IF(ISNA(MATCH(310,'Transfer Engine'!$C$2:$C$1369,0)),"",HYPERLINK(INDEX('Compliance Database'!$O$2:$O$1369,MATCH(310,'Transfer Engine'!$C$2:$C$1369,0)),"Open PDF"))</f>
        <v/>
      </c>
    </row>
    <row r="320" ht="188" customHeight="1">
      <c r="A320" s="8">
        <f>IF(ISNA(MATCH(311,'Transfer Engine'!$C$2:$C$1369,0)),"",INDEX('Compliance Database'!$A$2:$A$1369,MATCH(311,'Transfer Engine'!$C$2:$C$1369,0)))</f>
        <v/>
      </c>
      <c r="B320" s="8">
        <f>IF(ISNA(MATCH(311,'Transfer Engine'!$C$2:$C$1369,0)),"",INDEX('Compliance Database'!$B$2:$B$1369,MATCH(311,'Transfer Engine'!$C$2:$C$1369,0)))</f>
        <v/>
      </c>
      <c r="C320" s="8">
        <f>IF(ISNA(MATCH(311,'Transfer Engine'!$C$2:$C$1369,0)),"",INDEX('Compliance Database'!$C$2:$C$1369,MATCH(311,'Transfer Engine'!$C$2:$C$1369,0)))</f>
        <v/>
      </c>
      <c r="D320" s="9">
        <f>IF(ISNA(MATCH(311,'Transfer Engine'!$C$2:$C$1369,0)),"",INDEX('Compliance Database'!$D$2:$D$1369,MATCH(311,'Transfer Engine'!$C$2:$C$1369,0)))</f>
        <v/>
      </c>
      <c r="E320" s="8">
        <f>IF(ISNA(MATCH(311,'Transfer Engine'!$C$2:$C$1369,0)),"",INDEX('Compliance Database'!$E$2:$E$1369,MATCH(311,'Transfer Engine'!$C$2:$C$1369,0)))</f>
        <v/>
      </c>
      <c r="F320" s="8">
        <f>IF(ISNA(MATCH(311,'Transfer Engine'!$C$2:$C$1369,0)),"",INDEX('Compliance Database'!$F$2:$F$1369,MATCH(311,'Transfer Engine'!$C$2:$C$1369,0)))</f>
        <v/>
      </c>
      <c r="G320" s="8">
        <f>IF(ISNA(MATCH(311,'Transfer Engine'!$C$2:$C$1369,0)),"",INDEX('Compliance Database'!$G$2:$G$1369,MATCH(311,'Transfer Engine'!$C$2:$C$1369,0)))</f>
        <v/>
      </c>
      <c r="H320" s="9">
        <f>IF(ISNA(MATCH(311,'Transfer Engine'!$C$2:$C$1369,0)),"",INDEX('Compliance Database'!$H$2:$H$1369,MATCH(311,'Transfer Engine'!$C$2:$C$1369,0)))</f>
        <v/>
      </c>
      <c r="I320" s="9">
        <f>IF(ISNA(MATCH(311,'Transfer Engine'!$C$2:$C$1369,0)),"",INDEX('Compliance Database'!$I$2:$I$1369,MATCH(311,'Transfer Engine'!$C$2:$C$1369,0)))</f>
        <v/>
      </c>
      <c r="J320" s="8">
        <f>IF(ISNA(MATCH(311,'Transfer Engine'!$C$2:$C$1369,0)),"",INDEX('Compliance Database'!$J$2:$J$1369,MATCH(311,'Transfer Engine'!$C$2:$C$1369,0)))</f>
        <v/>
      </c>
      <c r="K320" s="9">
        <f>IF(ISNA(MATCH(311,'Transfer Engine'!$C$2:$C$1369,0)),"",INDEX('Compliance Database'!$K$2:$K$1369,MATCH(311,'Transfer Engine'!$C$2:$C$1369,0)))</f>
        <v/>
      </c>
      <c r="L320" s="9">
        <f>IF(ISNA(MATCH(311,'Transfer Engine'!$C$2:$C$1369,0)),"",INDEX('Compliance Database'!$L$2:$L$1369,MATCH(311,'Transfer Engine'!$C$2:$C$1369,0)))</f>
        <v/>
      </c>
      <c r="M320" s="9">
        <f>IF(ISNA(MATCH(311,'Transfer Engine'!$C$2:$C$1369,0)),"",INDEX('Compliance Database'!$M$2:$M$1369,MATCH(311,'Transfer Engine'!$C$2:$C$1369,0)))</f>
        <v/>
      </c>
      <c r="N320" s="9">
        <f>IF(ISNA(MATCH(311,'Transfer Engine'!$C$2:$C$1369,0)),"",INDEX('Compliance Database'!$N$2:$N$1369,MATCH(311,'Transfer Engine'!$C$2:$C$1369,0)))</f>
        <v/>
      </c>
      <c r="O320" s="8">
        <f>IF(ISNA(MATCH(311,'Transfer Engine'!$C$2:$C$1369,0)),"",HYPERLINK(INDEX('Compliance Database'!$O$2:$O$1369,MATCH(311,'Transfer Engine'!$C$2:$C$1369,0)),"Open PDF"))</f>
        <v/>
      </c>
    </row>
    <row r="321" ht="188" customHeight="1">
      <c r="A321" s="8">
        <f>IF(ISNA(MATCH(312,'Transfer Engine'!$C$2:$C$1369,0)),"",INDEX('Compliance Database'!$A$2:$A$1369,MATCH(312,'Transfer Engine'!$C$2:$C$1369,0)))</f>
        <v/>
      </c>
      <c r="B321" s="8">
        <f>IF(ISNA(MATCH(312,'Transfer Engine'!$C$2:$C$1369,0)),"",INDEX('Compliance Database'!$B$2:$B$1369,MATCH(312,'Transfer Engine'!$C$2:$C$1369,0)))</f>
        <v/>
      </c>
      <c r="C321" s="8">
        <f>IF(ISNA(MATCH(312,'Transfer Engine'!$C$2:$C$1369,0)),"",INDEX('Compliance Database'!$C$2:$C$1369,MATCH(312,'Transfer Engine'!$C$2:$C$1369,0)))</f>
        <v/>
      </c>
      <c r="D321" s="9">
        <f>IF(ISNA(MATCH(312,'Transfer Engine'!$C$2:$C$1369,0)),"",INDEX('Compliance Database'!$D$2:$D$1369,MATCH(312,'Transfer Engine'!$C$2:$C$1369,0)))</f>
        <v/>
      </c>
      <c r="E321" s="8">
        <f>IF(ISNA(MATCH(312,'Transfer Engine'!$C$2:$C$1369,0)),"",INDEX('Compliance Database'!$E$2:$E$1369,MATCH(312,'Transfer Engine'!$C$2:$C$1369,0)))</f>
        <v/>
      </c>
      <c r="F321" s="8">
        <f>IF(ISNA(MATCH(312,'Transfer Engine'!$C$2:$C$1369,0)),"",INDEX('Compliance Database'!$F$2:$F$1369,MATCH(312,'Transfer Engine'!$C$2:$C$1369,0)))</f>
        <v/>
      </c>
      <c r="G321" s="8">
        <f>IF(ISNA(MATCH(312,'Transfer Engine'!$C$2:$C$1369,0)),"",INDEX('Compliance Database'!$G$2:$G$1369,MATCH(312,'Transfer Engine'!$C$2:$C$1369,0)))</f>
        <v/>
      </c>
      <c r="H321" s="9">
        <f>IF(ISNA(MATCH(312,'Transfer Engine'!$C$2:$C$1369,0)),"",INDEX('Compliance Database'!$H$2:$H$1369,MATCH(312,'Transfer Engine'!$C$2:$C$1369,0)))</f>
        <v/>
      </c>
      <c r="I321" s="9">
        <f>IF(ISNA(MATCH(312,'Transfer Engine'!$C$2:$C$1369,0)),"",INDEX('Compliance Database'!$I$2:$I$1369,MATCH(312,'Transfer Engine'!$C$2:$C$1369,0)))</f>
        <v/>
      </c>
      <c r="J321" s="8">
        <f>IF(ISNA(MATCH(312,'Transfer Engine'!$C$2:$C$1369,0)),"",INDEX('Compliance Database'!$J$2:$J$1369,MATCH(312,'Transfer Engine'!$C$2:$C$1369,0)))</f>
        <v/>
      </c>
      <c r="K321" s="9">
        <f>IF(ISNA(MATCH(312,'Transfer Engine'!$C$2:$C$1369,0)),"",INDEX('Compliance Database'!$K$2:$K$1369,MATCH(312,'Transfer Engine'!$C$2:$C$1369,0)))</f>
        <v/>
      </c>
      <c r="L321" s="9">
        <f>IF(ISNA(MATCH(312,'Transfer Engine'!$C$2:$C$1369,0)),"",INDEX('Compliance Database'!$L$2:$L$1369,MATCH(312,'Transfer Engine'!$C$2:$C$1369,0)))</f>
        <v/>
      </c>
      <c r="M321" s="9">
        <f>IF(ISNA(MATCH(312,'Transfer Engine'!$C$2:$C$1369,0)),"",INDEX('Compliance Database'!$M$2:$M$1369,MATCH(312,'Transfer Engine'!$C$2:$C$1369,0)))</f>
        <v/>
      </c>
      <c r="N321" s="9">
        <f>IF(ISNA(MATCH(312,'Transfer Engine'!$C$2:$C$1369,0)),"",INDEX('Compliance Database'!$N$2:$N$1369,MATCH(312,'Transfer Engine'!$C$2:$C$1369,0)))</f>
        <v/>
      </c>
      <c r="O321" s="8">
        <f>IF(ISNA(MATCH(312,'Transfer Engine'!$C$2:$C$1369,0)),"",HYPERLINK(INDEX('Compliance Database'!$O$2:$O$1369,MATCH(312,'Transfer Engine'!$C$2:$C$1369,0)),"Open PDF"))</f>
        <v/>
      </c>
    </row>
    <row r="322" ht="188" customHeight="1">
      <c r="A322" s="8">
        <f>IF(ISNA(MATCH(313,'Transfer Engine'!$C$2:$C$1369,0)),"",INDEX('Compliance Database'!$A$2:$A$1369,MATCH(313,'Transfer Engine'!$C$2:$C$1369,0)))</f>
        <v/>
      </c>
      <c r="B322" s="8">
        <f>IF(ISNA(MATCH(313,'Transfer Engine'!$C$2:$C$1369,0)),"",INDEX('Compliance Database'!$B$2:$B$1369,MATCH(313,'Transfer Engine'!$C$2:$C$1369,0)))</f>
        <v/>
      </c>
      <c r="C322" s="8">
        <f>IF(ISNA(MATCH(313,'Transfer Engine'!$C$2:$C$1369,0)),"",INDEX('Compliance Database'!$C$2:$C$1369,MATCH(313,'Transfer Engine'!$C$2:$C$1369,0)))</f>
        <v/>
      </c>
      <c r="D322" s="9">
        <f>IF(ISNA(MATCH(313,'Transfer Engine'!$C$2:$C$1369,0)),"",INDEX('Compliance Database'!$D$2:$D$1369,MATCH(313,'Transfer Engine'!$C$2:$C$1369,0)))</f>
        <v/>
      </c>
      <c r="E322" s="8">
        <f>IF(ISNA(MATCH(313,'Transfer Engine'!$C$2:$C$1369,0)),"",INDEX('Compliance Database'!$E$2:$E$1369,MATCH(313,'Transfer Engine'!$C$2:$C$1369,0)))</f>
        <v/>
      </c>
      <c r="F322" s="8">
        <f>IF(ISNA(MATCH(313,'Transfer Engine'!$C$2:$C$1369,0)),"",INDEX('Compliance Database'!$F$2:$F$1369,MATCH(313,'Transfer Engine'!$C$2:$C$1369,0)))</f>
        <v/>
      </c>
      <c r="G322" s="8">
        <f>IF(ISNA(MATCH(313,'Transfer Engine'!$C$2:$C$1369,0)),"",INDEX('Compliance Database'!$G$2:$G$1369,MATCH(313,'Transfer Engine'!$C$2:$C$1369,0)))</f>
        <v/>
      </c>
      <c r="H322" s="9">
        <f>IF(ISNA(MATCH(313,'Transfer Engine'!$C$2:$C$1369,0)),"",INDEX('Compliance Database'!$H$2:$H$1369,MATCH(313,'Transfer Engine'!$C$2:$C$1369,0)))</f>
        <v/>
      </c>
      <c r="I322" s="9">
        <f>IF(ISNA(MATCH(313,'Transfer Engine'!$C$2:$C$1369,0)),"",INDEX('Compliance Database'!$I$2:$I$1369,MATCH(313,'Transfer Engine'!$C$2:$C$1369,0)))</f>
        <v/>
      </c>
      <c r="J322" s="8">
        <f>IF(ISNA(MATCH(313,'Transfer Engine'!$C$2:$C$1369,0)),"",INDEX('Compliance Database'!$J$2:$J$1369,MATCH(313,'Transfer Engine'!$C$2:$C$1369,0)))</f>
        <v/>
      </c>
      <c r="K322" s="9">
        <f>IF(ISNA(MATCH(313,'Transfer Engine'!$C$2:$C$1369,0)),"",INDEX('Compliance Database'!$K$2:$K$1369,MATCH(313,'Transfer Engine'!$C$2:$C$1369,0)))</f>
        <v/>
      </c>
      <c r="L322" s="9">
        <f>IF(ISNA(MATCH(313,'Transfer Engine'!$C$2:$C$1369,0)),"",INDEX('Compliance Database'!$L$2:$L$1369,MATCH(313,'Transfer Engine'!$C$2:$C$1369,0)))</f>
        <v/>
      </c>
      <c r="M322" s="9">
        <f>IF(ISNA(MATCH(313,'Transfer Engine'!$C$2:$C$1369,0)),"",INDEX('Compliance Database'!$M$2:$M$1369,MATCH(313,'Transfer Engine'!$C$2:$C$1369,0)))</f>
        <v/>
      </c>
      <c r="N322" s="9">
        <f>IF(ISNA(MATCH(313,'Transfer Engine'!$C$2:$C$1369,0)),"",INDEX('Compliance Database'!$N$2:$N$1369,MATCH(313,'Transfer Engine'!$C$2:$C$1369,0)))</f>
        <v/>
      </c>
      <c r="O322" s="8">
        <f>IF(ISNA(MATCH(313,'Transfer Engine'!$C$2:$C$1369,0)),"",HYPERLINK(INDEX('Compliance Database'!$O$2:$O$1369,MATCH(313,'Transfer Engine'!$C$2:$C$1369,0)),"Open PDF"))</f>
        <v/>
      </c>
    </row>
    <row r="323" ht="188" customHeight="1">
      <c r="A323" s="8">
        <f>IF(ISNA(MATCH(314,'Transfer Engine'!$C$2:$C$1369,0)),"",INDEX('Compliance Database'!$A$2:$A$1369,MATCH(314,'Transfer Engine'!$C$2:$C$1369,0)))</f>
        <v/>
      </c>
      <c r="B323" s="8">
        <f>IF(ISNA(MATCH(314,'Transfer Engine'!$C$2:$C$1369,0)),"",INDEX('Compliance Database'!$B$2:$B$1369,MATCH(314,'Transfer Engine'!$C$2:$C$1369,0)))</f>
        <v/>
      </c>
      <c r="C323" s="8">
        <f>IF(ISNA(MATCH(314,'Transfer Engine'!$C$2:$C$1369,0)),"",INDEX('Compliance Database'!$C$2:$C$1369,MATCH(314,'Transfer Engine'!$C$2:$C$1369,0)))</f>
        <v/>
      </c>
      <c r="D323" s="9">
        <f>IF(ISNA(MATCH(314,'Transfer Engine'!$C$2:$C$1369,0)),"",INDEX('Compliance Database'!$D$2:$D$1369,MATCH(314,'Transfer Engine'!$C$2:$C$1369,0)))</f>
        <v/>
      </c>
      <c r="E323" s="8">
        <f>IF(ISNA(MATCH(314,'Transfer Engine'!$C$2:$C$1369,0)),"",INDEX('Compliance Database'!$E$2:$E$1369,MATCH(314,'Transfer Engine'!$C$2:$C$1369,0)))</f>
        <v/>
      </c>
      <c r="F323" s="8">
        <f>IF(ISNA(MATCH(314,'Transfer Engine'!$C$2:$C$1369,0)),"",INDEX('Compliance Database'!$F$2:$F$1369,MATCH(314,'Transfer Engine'!$C$2:$C$1369,0)))</f>
        <v/>
      </c>
      <c r="G323" s="8">
        <f>IF(ISNA(MATCH(314,'Transfer Engine'!$C$2:$C$1369,0)),"",INDEX('Compliance Database'!$G$2:$G$1369,MATCH(314,'Transfer Engine'!$C$2:$C$1369,0)))</f>
        <v/>
      </c>
      <c r="H323" s="9">
        <f>IF(ISNA(MATCH(314,'Transfer Engine'!$C$2:$C$1369,0)),"",INDEX('Compliance Database'!$H$2:$H$1369,MATCH(314,'Transfer Engine'!$C$2:$C$1369,0)))</f>
        <v/>
      </c>
      <c r="I323" s="9">
        <f>IF(ISNA(MATCH(314,'Transfer Engine'!$C$2:$C$1369,0)),"",INDEX('Compliance Database'!$I$2:$I$1369,MATCH(314,'Transfer Engine'!$C$2:$C$1369,0)))</f>
        <v/>
      </c>
      <c r="J323" s="8">
        <f>IF(ISNA(MATCH(314,'Transfer Engine'!$C$2:$C$1369,0)),"",INDEX('Compliance Database'!$J$2:$J$1369,MATCH(314,'Transfer Engine'!$C$2:$C$1369,0)))</f>
        <v/>
      </c>
      <c r="K323" s="9">
        <f>IF(ISNA(MATCH(314,'Transfer Engine'!$C$2:$C$1369,0)),"",INDEX('Compliance Database'!$K$2:$K$1369,MATCH(314,'Transfer Engine'!$C$2:$C$1369,0)))</f>
        <v/>
      </c>
      <c r="L323" s="9">
        <f>IF(ISNA(MATCH(314,'Transfer Engine'!$C$2:$C$1369,0)),"",INDEX('Compliance Database'!$L$2:$L$1369,MATCH(314,'Transfer Engine'!$C$2:$C$1369,0)))</f>
        <v/>
      </c>
      <c r="M323" s="9">
        <f>IF(ISNA(MATCH(314,'Transfer Engine'!$C$2:$C$1369,0)),"",INDEX('Compliance Database'!$M$2:$M$1369,MATCH(314,'Transfer Engine'!$C$2:$C$1369,0)))</f>
        <v/>
      </c>
      <c r="N323" s="9">
        <f>IF(ISNA(MATCH(314,'Transfer Engine'!$C$2:$C$1369,0)),"",INDEX('Compliance Database'!$N$2:$N$1369,MATCH(314,'Transfer Engine'!$C$2:$C$1369,0)))</f>
        <v/>
      </c>
      <c r="O323" s="8">
        <f>IF(ISNA(MATCH(314,'Transfer Engine'!$C$2:$C$1369,0)),"",HYPERLINK(INDEX('Compliance Database'!$O$2:$O$1369,MATCH(314,'Transfer Engine'!$C$2:$C$1369,0)),"Open PDF"))</f>
        <v/>
      </c>
    </row>
    <row r="324" ht="188" customHeight="1">
      <c r="A324" s="8">
        <f>IF(ISNA(MATCH(315,'Transfer Engine'!$C$2:$C$1369,0)),"",INDEX('Compliance Database'!$A$2:$A$1369,MATCH(315,'Transfer Engine'!$C$2:$C$1369,0)))</f>
        <v/>
      </c>
      <c r="B324" s="8">
        <f>IF(ISNA(MATCH(315,'Transfer Engine'!$C$2:$C$1369,0)),"",INDEX('Compliance Database'!$B$2:$B$1369,MATCH(315,'Transfer Engine'!$C$2:$C$1369,0)))</f>
        <v/>
      </c>
      <c r="C324" s="8">
        <f>IF(ISNA(MATCH(315,'Transfer Engine'!$C$2:$C$1369,0)),"",INDEX('Compliance Database'!$C$2:$C$1369,MATCH(315,'Transfer Engine'!$C$2:$C$1369,0)))</f>
        <v/>
      </c>
      <c r="D324" s="9">
        <f>IF(ISNA(MATCH(315,'Transfer Engine'!$C$2:$C$1369,0)),"",INDEX('Compliance Database'!$D$2:$D$1369,MATCH(315,'Transfer Engine'!$C$2:$C$1369,0)))</f>
        <v/>
      </c>
      <c r="E324" s="8">
        <f>IF(ISNA(MATCH(315,'Transfer Engine'!$C$2:$C$1369,0)),"",INDEX('Compliance Database'!$E$2:$E$1369,MATCH(315,'Transfer Engine'!$C$2:$C$1369,0)))</f>
        <v/>
      </c>
      <c r="F324" s="8">
        <f>IF(ISNA(MATCH(315,'Transfer Engine'!$C$2:$C$1369,0)),"",INDEX('Compliance Database'!$F$2:$F$1369,MATCH(315,'Transfer Engine'!$C$2:$C$1369,0)))</f>
        <v/>
      </c>
      <c r="G324" s="8">
        <f>IF(ISNA(MATCH(315,'Transfer Engine'!$C$2:$C$1369,0)),"",INDEX('Compliance Database'!$G$2:$G$1369,MATCH(315,'Transfer Engine'!$C$2:$C$1369,0)))</f>
        <v/>
      </c>
      <c r="H324" s="9">
        <f>IF(ISNA(MATCH(315,'Transfer Engine'!$C$2:$C$1369,0)),"",INDEX('Compliance Database'!$H$2:$H$1369,MATCH(315,'Transfer Engine'!$C$2:$C$1369,0)))</f>
        <v/>
      </c>
      <c r="I324" s="9">
        <f>IF(ISNA(MATCH(315,'Transfer Engine'!$C$2:$C$1369,0)),"",INDEX('Compliance Database'!$I$2:$I$1369,MATCH(315,'Transfer Engine'!$C$2:$C$1369,0)))</f>
        <v/>
      </c>
      <c r="J324" s="8">
        <f>IF(ISNA(MATCH(315,'Transfer Engine'!$C$2:$C$1369,0)),"",INDEX('Compliance Database'!$J$2:$J$1369,MATCH(315,'Transfer Engine'!$C$2:$C$1369,0)))</f>
        <v/>
      </c>
      <c r="K324" s="9">
        <f>IF(ISNA(MATCH(315,'Transfer Engine'!$C$2:$C$1369,0)),"",INDEX('Compliance Database'!$K$2:$K$1369,MATCH(315,'Transfer Engine'!$C$2:$C$1369,0)))</f>
        <v/>
      </c>
      <c r="L324" s="9">
        <f>IF(ISNA(MATCH(315,'Transfer Engine'!$C$2:$C$1369,0)),"",INDEX('Compliance Database'!$L$2:$L$1369,MATCH(315,'Transfer Engine'!$C$2:$C$1369,0)))</f>
        <v/>
      </c>
      <c r="M324" s="9">
        <f>IF(ISNA(MATCH(315,'Transfer Engine'!$C$2:$C$1369,0)),"",INDEX('Compliance Database'!$M$2:$M$1369,MATCH(315,'Transfer Engine'!$C$2:$C$1369,0)))</f>
        <v/>
      </c>
      <c r="N324" s="9">
        <f>IF(ISNA(MATCH(315,'Transfer Engine'!$C$2:$C$1369,0)),"",INDEX('Compliance Database'!$N$2:$N$1369,MATCH(315,'Transfer Engine'!$C$2:$C$1369,0)))</f>
        <v/>
      </c>
      <c r="O324" s="8">
        <f>IF(ISNA(MATCH(315,'Transfer Engine'!$C$2:$C$1369,0)),"",HYPERLINK(INDEX('Compliance Database'!$O$2:$O$1369,MATCH(315,'Transfer Engine'!$C$2:$C$1369,0)),"Open PDF"))</f>
        <v/>
      </c>
    </row>
    <row r="325" ht="188" customHeight="1">
      <c r="A325" s="8">
        <f>IF(ISNA(MATCH(316,'Transfer Engine'!$C$2:$C$1369,0)),"",INDEX('Compliance Database'!$A$2:$A$1369,MATCH(316,'Transfer Engine'!$C$2:$C$1369,0)))</f>
        <v/>
      </c>
      <c r="B325" s="8">
        <f>IF(ISNA(MATCH(316,'Transfer Engine'!$C$2:$C$1369,0)),"",INDEX('Compliance Database'!$B$2:$B$1369,MATCH(316,'Transfer Engine'!$C$2:$C$1369,0)))</f>
        <v/>
      </c>
      <c r="C325" s="8">
        <f>IF(ISNA(MATCH(316,'Transfer Engine'!$C$2:$C$1369,0)),"",INDEX('Compliance Database'!$C$2:$C$1369,MATCH(316,'Transfer Engine'!$C$2:$C$1369,0)))</f>
        <v/>
      </c>
      <c r="D325" s="9">
        <f>IF(ISNA(MATCH(316,'Transfer Engine'!$C$2:$C$1369,0)),"",INDEX('Compliance Database'!$D$2:$D$1369,MATCH(316,'Transfer Engine'!$C$2:$C$1369,0)))</f>
        <v/>
      </c>
      <c r="E325" s="8">
        <f>IF(ISNA(MATCH(316,'Transfer Engine'!$C$2:$C$1369,0)),"",INDEX('Compliance Database'!$E$2:$E$1369,MATCH(316,'Transfer Engine'!$C$2:$C$1369,0)))</f>
        <v/>
      </c>
      <c r="F325" s="8">
        <f>IF(ISNA(MATCH(316,'Transfer Engine'!$C$2:$C$1369,0)),"",INDEX('Compliance Database'!$F$2:$F$1369,MATCH(316,'Transfer Engine'!$C$2:$C$1369,0)))</f>
        <v/>
      </c>
      <c r="G325" s="8">
        <f>IF(ISNA(MATCH(316,'Transfer Engine'!$C$2:$C$1369,0)),"",INDEX('Compliance Database'!$G$2:$G$1369,MATCH(316,'Transfer Engine'!$C$2:$C$1369,0)))</f>
        <v/>
      </c>
      <c r="H325" s="9">
        <f>IF(ISNA(MATCH(316,'Transfer Engine'!$C$2:$C$1369,0)),"",INDEX('Compliance Database'!$H$2:$H$1369,MATCH(316,'Transfer Engine'!$C$2:$C$1369,0)))</f>
        <v/>
      </c>
      <c r="I325" s="9">
        <f>IF(ISNA(MATCH(316,'Transfer Engine'!$C$2:$C$1369,0)),"",INDEX('Compliance Database'!$I$2:$I$1369,MATCH(316,'Transfer Engine'!$C$2:$C$1369,0)))</f>
        <v/>
      </c>
      <c r="J325" s="8">
        <f>IF(ISNA(MATCH(316,'Transfer Engine'!$C$2:$C$1369,0)),"",INDEX('Compliance Database'!$J$2:$J$1369,MATCH(316,'Transfer Engine'!$C$2:$C$1369,0)))</f>
        <v/>
      </c>
      <c r="K325" s="9">
        <f>IF(ISNA(MATCH(316,'Transfer Engine'!$C$2:$C$1369,0)),"",INDEX('Compliance Database'!$K$2:$K$1369,MATCH(316,'Transfer Engine'!$C$2:$C$1369,0)))</f>
        <v/>
      </c>
      <c r="L325" s="9">
        <f>IF(ISNA(MATCH(316,'Transfer Engine'!$C$2:$C$1369,0)),"",INDEX('Compliance Database'!$L$2:$L$1369,MATCH(316,'Transfer Engine'!$C$2:$C$1369,0)))</f>
        <v/>
      </c>
      <c r="M325" s="9">
        <f>IF(ISNA(MATCH(316,'Transfer Engine'!$C$2:$C$1369,0)),"",INDEX('Compliance Database'!$M$2:$M$1369,MATCH(316,'Transfer Engine'!$C$2:$C$1369,0)))</f>
        <v/>
      </c>
      <c r="N325" s="9">
        <f>IF(ISNA(MATCH(316,'Transfer Engine'!$C$2:$C$1369,0)),"",INDEX('Compliance Database'!$N$2:$N$1369,MATCH(316,'Transfer Engine'!$C$2:$C$1369,0)))</f>
        <v/>
      </c>
      <c r="O325" s="8">
        <f>IF(ISNA(MATCH(316,'Transfer Engine'!$C$2:$C$1369,0)),"",HYPERLINK(INDEX('Compliance Database'!$O$2:$O$1369,MATCH(316,'Transfer Engine'!$C$2:$C$1369,0)),"Open PDF"))</f>
        <v/>
      </c>
    </row>
    <row r="326" ht="188" customHeight="1">
      <c r="A326" s="8">
        <f>IF(ISNA(MATCH(317,'Transfer Engine'!$C$2:$C$1369,0)),"",INDEX('Compliance Database'!$A$2:$A$1369,MATCH(317,'Transfer Engine'!$C$2:$C$1369,0)))</f>
        <v/>
      </c>
      <c r="B326" s="8">
        <f>IF(ISNA(MATCH(317,'Transfer Engine'!$C$2:$C$1369,0)),"",INDEX('Compliance Database'!$B$2:$B$1369,MATCH(317,'Transfer Engine'!$C$2:$C$1369,0)))</f>
        <v/>
      </c>
      <c r="C326" s="8">
        <f>IF(ISNA(MATCH(317,'Transfer Engine'!$C$2:$C$1369,0)),"",INDEX('Compliance Database'!$C$2:$C$1369,MATCH(317,'Transfer Engine'!$C$2:$C$1369,0)))</f>
        <v/>
      </c>
      <c r="D326" s="9">
        <f>IF(ISNA(MATCH(317,'Transfer Engine'!$C$2:$C$1369,0)),"",INDEX('Compliance Database'!$D$2:$D$1369,MATCH(317,'Transfer Engine'!$C$2:$C$1369,0)))</f>
        <v/>
      </c>
      <c r="E326" s="8">
        <f>IF(ISNA(MATCH(317,'Transfer Engine'!$C$2:$C$1369,0)),"",INDEX('Compliance Database'!$E$2:$E$1369,MATCH(317,'Transfer Engine'!$C$2:$C$1369,0)))</f>
        <v/>
      </c>
      <c r="F326" s="8">
        <f>IF(ISNA(MATCH(317,'Transfer Engine'!$C$2:$C$1369,0)),"",INDEX('Compliance Database'!$F$2:$F$1369,MATCH(317,'Transfer Engine'!$C$2:$C$1369,0)))</f>
        <v/>
      </c>
      <c r="G326" s="8">
        <f>IF(ISNA(MATCH(317,'Transfer Engine'!$C$2:$C$1369,0)),"",INDEX('Compliance Database'!$G$2:$G$1369,MATCH(317,'Transfer Engine'!$C$2:$C$1369,0)))</f>
        <v/>
      </c>
      <c r="H326" s="9">
        <f>IF(ISNA(MATCH(317,'Transfer Engine'!$C$2:$C$1369,0)),"",INDEX('Compliance Database'!$H$2:$H$1369,MATCH(317,'Transfer Engine'!$C$2:$C$1369,0)))</f>
        <v/>
      </c>
      <c r="I326" s="9">
        <f>IF(ISNA(MATCH(317,'Transfer Engine'!$C$2:$C$1369,0)),"",INDEX('Compliance Database'!$I$2:$I$1369,MATCH(317,'Transfer Engine'!$C$2:$C$1369,0)))</f>
        <v/>
      </c>
      <c r="J326" s="8">
        <f>IF(ISNA(MATCH(317,'Transfer Engine'!$C$2:$C$1369,0)),"",INDEX('Compliance Database'!$J$2:$J$1369,MATCH(317,'Transfer Engine'!$C$2:$C$1369,0)))</f>
        <v/>
      </c>
      <c r="K326" s="9">
        <f>IF(ISNA(MATCH(317,'Transfer Engine'!$C$2:$C$1369,0)),"",INDEX('Compliance Database'!$K$2:$K$1369,MATCH(317,'Transfer Engine'!$C$2:$C$1369,0)))</f>
        <v/>
      </c>
      <c r="L326" s="9">
        <f>IF(ISNA(MATCH(317,'Transfer Engine'!$C$2:$C$1369,0)),"",INDEX('Compliance Database'!$L$2:$L$1369,MATCH(317,'Transfer Engine'!$C$2:$C$1369,0)))</f>
        <v/>
      </c>
      <c r="M326" s="9">
        <f>IF(ISNA(MATCH(317,'Transfer Engine'!$C$2:$C$1369,0)),"",INDEX('Compliance Database'!$M$2:$M$1369,MATCH(317,'Transfer Engine'!$C$2:$C$1369,0)))</f>
        <v/>
      </c>
      <c r="N326" s="9">
        <f>IF(ISNA(MATCH(317,'Transfer Engine'!$C$2:$C$1369,0)),"",INDEX('Compliance Database'!$N$2:$N$1369,MATCH(317,'Transfer Engine'!$C$2:$C$1369,0)))</f>
        <v/>
      </c>
      <c r="O326" s="8">
        <f>IF(ISNA(MATCH(317,'Transfer Engine'!$C$2:$C$1369,0)),"",HYPERLINK(INDEX('Compliance Database'!$O$2:$O$1369,MATCH(317,'Transfer Engine'!$C$2:$C$1369,0)),"Open PDF"))</f>
        <v/>
      </c>
    </row>
    <row r="327" ht="188" customHeight="1">
      <c r="A327" s="8">
        <f>IF(ISNA(MATCH(318,'Transfer Engine'!$C$2:$C$1369,0)),"",INDEX('Compliance Database'!$A$2:$A$1369,MATCH(318,'Transfer Engine'!$C$2:$C$1369,0)))</f>
        <v/>
      </c>
      <c r="B327" s="8">
        <f>IF(ISNA(MATCH(318,'Transfer Engine'!$C$2:$C$1369,0)),"",INDEX('Compliance Database'!$B$2:$B$1369,MATCH(318,'Transfer Engine'!$C$2:$C$1369,0)))</f>
        <v/>
      </c>
      <c r="C327" s="8">
        <f>IF(ISNA(MATCH(318,'Transfer Engine'!$C$2:$C$1369,0)),"",INDEX('Compliance Database'!$C$2:$C$1369,MATCH(318,'Transfer Engine'!$C$2:$C$1369,0)))</f>
        <v/>
      </c>
      <c r="D327" s="9">
        <f>IF(ISNA(MATCH(318,'Transfer Engine'!$C$2:$C$1369,0)),"",INDEX('Compliance Database'!$D$2:$D$1369,MATCH(318,'Transfer Engine'!$C$2:$C$1369,0)))</f>
        <v/>
      </c>
      <c r="E327" s="8">
        <f>IF(ISNA(MATCH(318,'Transfer Engine'!$C$2:$C$1369,0)),"",INDEX('Compliance Database'!$E$2:$E$1369,MATCH(318,'Transfer Engine'!$C$2:$C$1369,0)))</f>
        <v/>
      </c>
      <c r="F327" s="8">
        <f>IF(ISNA(MATCH(318,'Transfer Engine'!$C$2:$C$1369,0)),"",INDEX('Compliance Database'!$F$2:$F$1369,MATCH(318,'Transfer Engine'!$C$2:$C$1369,0)))</f>
        <v/>
      </c>
      <c r="G327" s="8">
        <f>IF(ISNA(MATCH(318,'Transfer Engine'!$C$2:$C$1369,0)),"",INDEX('Compliance Database'!$G$2:$G$1369,MATCH(318,'Transfer Engine'!$C$2:$C$1369,0)))</f>
        <v/>
      </c>
      <c r="H327" s="9">
        <f>IF(ISNA(MATCH(318,'Transfer Engine'!$C$2:$C$1369,0)),"",INDEX('Compliance Database'!$H$2:$H$1369,MATCH(318,'Transfer Engine'!$C$2:$C$1369,0)))</f>
        <v/>
      </c>
      <c r="I327" s="9">
        <f>IF(ISNA(MATCH(318,'Transfer Engine'!$C$2:$C$1369,0)),"",INDEX('Compliance Database'!$I$2:$I$1369,MATCH(318,'Transfer Engine'!$C$2:$C$1369,0)))</f>
        <v/>
      </c>
      <c r="J327" s="8">
        <f>IF(ISNA(MATCH(318,'Transfer Engine'!$C$2:$C$1369,0)),"",INDEX('Compliance Database'!$J$2:$J$1369,MATCH(318,'Transfer Engine'!$C$2:$C$1369,0)))</f>
        <v/>
      </c>
      <c r="K327" s="9">
        <f>IF(ISNA(MATCH(318,'Transfer Engine'!$C$2:$C$1369,0)),"",INDEX('Compliance Database'!$K$2:$K$1369,MATCH(318,'Transfer Engine'!$C$2:$C$1369,0)))</f>
        <v/>
      </c>
      <c r="L327" s="9">
        <f>IF(ISNA(MATCH(318,'Transfer Engine'!$C$2:$C$1369,0)),"",INDEX('Compliance Database'!$L$2:$L$1369,MATCH(318,'Transfer Engine'!$C$2:$C$1369,0)))</f>
        <v/>
      </c>
      <c r="M327" s="9">
        <f>IF(ISNA(MATCH(318,'Transfer Engine'!$C$2:$C$1369,0)),"",INDEX('Compliance Database'!$M$2:$M$1369,MATCH(318,'Transfer Engine'!$C$2:$C$1369,0)))</f>
        <v/>
      </c>
      <c r="N327" s="9">
        <f>IF(ISNA(MATCH(318,'Transfer Engine'!$C$2:$C$1369,0)),"",INDEX('Compliance Database'!$N$2:$N$1369,MATCH(318,'Transfer Engine'!$C$2:$C$1369,0)))</f>
        <v/>
      </c>
      <c r="O327" s="8">
        <f>IF(ISNA(MATCH(318,'Transfer Engine'!$C$2:$C$1369,0)),"",HYPERLINK(INDEX('Compliance Database'!$O$2:$O$1369,MATCH(318,'Transfer Engine'!$C$2:$C$1369,0)),"Open PDF"))</f>
        <v/>
      </c>
    </row>
    <row r="328" ht="188" customHeight="1">
      <c r="A328" s="8">
        <f>IF(ISNA(MATCH(319,'Transfer Engine'!$C$2:$C$1369,0)),"",INDEX('Compliance Database'!$A$2:$A$1369,MATCH(319,'Transfer Engine'!$C$2:$C$1369,0)))</f>
        <v/>
      </c>
      <c r="B328" s="8">
        <f>IF(ISNA(MATCH(319,'Transfer Engine'!$C$2:$C$1369,0)),"",INDEX('Compliance Database'!$B$2:$B$1369,MATCH(319,'Transfer Engine'!$C$2:$C$1369,0)))</f>
        <v/>
      </c>
      <c r="C328" s="8">
        <f>IF(ISNA(MATCH(319,'Transfer Engine'!$C$2:$C$1369,0)),"",INDEX('Compliance Database'!$C$2:$C$1369,MATCH(319,'Transfer Engine'!$C$2:$C$1369,0)))</f>
        <v/>
      </c>
      <c r="D328" s="9">
        <f>IF(ISNA(MATCH(319,'Transfer Engine'!$C$2:$C$1369,0)),"",INDEX('Compliance Database'!$D$2:$D$1369,MATCH(319,'Transfer Engine'!$C$2:$C$1369,0)))</f>
        <v/>
      </c>
      <c r="E328" s="8">
        <f>IF(ISNA(MATCH(319,'Transfer Engine'!$C$2:$C$1369,0)),"",INDEX('Compliance Database'!$E$2:$E$1369,MATCH(319,'Transfer Engine'!$C$2:$C$1369,0)))</f>
        <v/>
      </c>
      <c r="F328" s="8">
        <f>IF(ISNA(MATCH(319,'Transfer Engine'!$C$2:$C$1369,0)),"",INDEX('Compliance Database'!$F$2:$F$1369,MATCH(319,'Transfer Engine'!$C$2:$C$1369,0)))</f>
        <v/>
      </c>
      <c r="G328" s="8">
        <f>IF(ISNA(MATCH(319,'Transfer Engine'!$C$2:$C$1369,0)),"",INDEX('Compliance Database'!$G$2:$G$1369,MATCH(319,'Transfer Engine'!$C$2:$C$1369,0)))</f>
        <v/>
      </c>
      <c r="H328" s="9">
        <f>IF(ISNA(MATCH(319,'Transfer Engine'!$C$2:$C$1369,0)),"",INDEX('Compliance Database'!$H$2:$H$1369,MATCH(319,'Transfer Engine'!$C$2:$C$1369,0)))</f>
        <v/>
      </c>
      <c r="I328" s="9">
        <f>IF(ISNA(MATCH(319,'Transfer Engine'!$C$2:$C$1369,0)),"",INDEX('Compliance Database'!$I$2:$I$1369,MATCH(319,'Transfer Engine'!$C$2:$C$1369,0)))</f>
        <v/>
      </c>
      <c r="J328" s="8">
        <f>IF(ISNA(MATCH(319,'Transfer Engine'!$C$2:$C$1369,0)),"",INDEX('Compliance Database'!$J$2:$J$1369,MATCH(319,'Transfer Engine'!$C$2:$C$1369,0)))</f>
        <v/>
      </c>
      <c r="K328" s="9">
        <f>IF(ISNA(MATCH(319,'Transfer Engine'!$C$2:$C$1369,0)),"",INDEX('Compliance Database'!$K$2:$K$1369,MATCH(319,'Transfer Engine'!$C$2:$C$1369,0)))</f>
        <v/>
      </c>
      <c r="L328" s="9">
        <f>IF(ISNA(MATCH(319,'Transfer Engine'!$C$2:$C$1369,0)),"",INDEX('Compliance Database'!$L$2:$L$1369,MATCH(319,'Transfer Engine'!$C$2:$C$1369,0)))</f>
        <v/>
      </c>
      <c r="M328" s="9">
        <f>IF(ISNA(MATCH(319,'Transfer Engine'!$C$2:$C$1369,0)),"",INDEX('Compliance Database'!$M$2:$M$1369,MATCH(319,'Transfer Engine'!$C$2:$C$1369,0)))</f>
        <v/>
      </c>
      <c r="N328" s="9">
        <f>IF(ISNA(MATCH(319,'Transfer Engine'!$C$2:$C$1369,0)),"",INDEX('Compliance Database'!$N$2:$N$1369,MATCH(319,'Transfer Engine'!$C$2:$C$1369,0)))</f>
        <v/>
      </c>
      <c r="O328" s="8">
        <f>IF(ISNA(MATCH(319,'Transfer Engine'!$C$2:$C$1369,0)),"",HYPERLINK(INDEX('Compliance Database'!$O$2:$O$1369,MATCH(319,'Transfer Engine'!$C$2:$C$1369,0)),"Open PDF"))</f>
        <v/>
      </c>
    </row>
    <row r="329" ht="188" customHeight="1">
      <c r="A329" s="8">
        <f>IF(ISNA(MATCH(320,'Transfer Engine'!$C$2:$C$1369,0)),"",INDEX('Compliance Database'!$A$2:$A$1369,MATCH(320,'Transfer Engine'!$C$2:$C$1369,0)))</f>
        <v/>
      </c>
      <c r="B329" s="8">
        <f>IF(ISNA(MATCH(320,'Transfer Engine'!$C$2:$C$1369,0)),"",INDEX('Compliance Database'!$B$2:$B$1369,MATCH(320,'Transfer Engine'!$C$2:$C$1369,0)))</f>
        <v/>
      </c>
      <c r="C329" s="8">
        <f>IF(ISNA(MATCH(320,'Transfer Engine'!$C$2:$C$1369,0)),"",INDEX('Compliance Database'!$C$2:$C$1369,MATCH(320,'Transfer Engine'!$C$2:$C$1369,0)))</f>
        <v/>
      </c>
      <c r="D329" s="9">
        <f>IF(ISNA(MATCH(320,'Transfer Engine'!$C$2:$C$1369,0)),"",INDEX('Compliance Database'!$D$2:$D$1369,MATCH(320,'Transfer Engine'!$C$2:$C$1369,0)))</f>
        <v/>
      </c>
      <c r="E329" s="8">
        <f>IF(ISNA(MATCH(320,'Transfer Engine'!$C$2:$C$1369,0)),"",INDEX('Compliance Database'!$E$2:$E$1369,MATCH(320,'Transfer Engine'!$C$2:$C$1369,0)))</f>
        <v/>
      </c>
      <c r="F329" s="8">
        <f>IF(ISNA(MATCH(320,'Transfer Engine'!$C$2:$C$1369,0)),"",INDEX('Compliance Database'!$F$2:$F$1369,MATCH(320,'Transfer Engine'!$C$2:$C$1369,0)))</f>
        <v/>
      </c>
      <c r="G329" s="8">
        <f>IF(ISNA(MATCH(320,'Transfer Engine'!$C$2:$C$1369,0)),"",INDEX('Compliance Database'!$G$2:$G$1369,MATCH(320,'Transfer Engine'!$C$2:$C$1369,0)))</f>
        <v/>
      </c>
      <c r="H329" s="9">
        <f>IF(ISNA(MATCH(320,'Transfer Engine'!$C$2:$C$1369,0)),"",INDEX('Compliance Database'!$H$2:$H$1369,MATCH(320,'Transfer Engine'!$C$2:$C$1369,0)))</f>
        <v/>
      </c>
      <c r="I329" s="9">
        <f>IF(ISNA(MATCH(320,'Transfer Engine'!$C$2:$C$1369,0)),"",INDEX('Compliance Database'!$I$2:$I$1369,MATCH(320,'Transfer Engine'!$C$2:$C$1369,0)))</f>
        <v/>
      </c>
      <c r="J329" s="8">
        <f>IF(ISNA(MATCH(320,'Transfer Engine'!$C$2:$C$1369,0)),"",INDEX('Compliance Database'!$J$2:$J$1369,MATCH(320,'Transfer Engine'!$C$2:$C$1369,0)))</f>
        <v/>
      </c>
      <c r="K329" s="9">
        <f>IF(ISNA(MATCH(320,'Transfer Engine'!$C$2:$C$1369,0)),"",INDEX('Compliance Database'!$K$2:$K$1369,MATCH(320,'Transfer Engine'!$C$2:$C$1369,0)))</f>
        <v/>
      </c>
      <c r="L329" s="9">
        <f>IF(ISNA(MATCH(320,'Transfer Engine'!$C$2:$C$1369,0)),"",INDEX('Compliance Database'!$L$2:$L$1369,MATCH(320,'Transfer Engine'!$C$2:$C$1369,0)))</f>
        <v/>
      </c>
      <c r="M329" s="9">
        <f>IF(ISNA(MATCH(320,'Transfer Engine'!$C$2:$C$1369,0)),"",INDEX('Compliance Database'!$M$2:$M$1369,MATCH(320,'Transfer Engine'!$C$2:$C$1369,0)))</f>
        <v/>
      </c>
      <c r="N329" s="9">
        <f>IF(ISNA(MATCH(320,'Transfer Engine'!$C$2:$C$1369,0)),"",INDEX('Compliance Database'!$N$2:$N$1369,MATCH(320,'Transfer Engine'!$C$2:$C$1369,0)))</f>
        <v/>
      </c>
      <c r="O329" s="8">
        <f>IF(ISNA(MATCH(320,'Transfer Engine'!$C$2:$C$1369,0)),"",HYPERLINK(INDEX('Compliance Database'!$O$2:$O$1369,MATCH(320,'Transfer Engine'!$C$2:$C$1369,0)),"Open PDF"))</f>
        <v/>
      </c>
    </row>
    <row r="330" ht="188" customHeight="1">
      <c r="A330" s="8">
        <f>IF(ISNA(MATCH(321,'Transfer Engine'!$C$2:$C$1369,0)),"",INDEX('Compliance Database'!$A$2:$A$1369,MATCH(321,'Transfer Engine'!$C$2:$C$1369,0)))</f>
        <v/>
      </c>
      <c r="B330" s="8">
        <f>IF(ISNA(MATCH(321,'Transfer Engine'!$C$2:$C$1369,0)),"",INDEX('Compliance Database'!$B$2:$B$1369,MATCH(321,'Transfer Engine'!$C$2:$C$1369,0)))</f>
        <v/>
      </c>
      <c r="C330" s="8">
        <f>IF(ISNA(MATCH(321,'Transfer Engine'!$C$2:$C$1369,0)),"",INDEX('Compliance Database'!$C$2:$C$1369,MATCH(321,'Transfer Engine'!$C$2:$C$1369,0)))</f>
        <v/>
      </c>
      <c r="D330" s="9">
        <f>IF(ISNA(MATCH(321,'Transfer Engine'!$C$2:$C$1369,0)),"",INDEX('Compliance Database'!$D$2:$D$1369,MATCH(321,'Transfer Engine'!$C$2:$C$1369,0)))</f>
        <v/>
      </c>
      <c r="E330" s="8">
        <f>IF(ISNA(MATCH(321,'Transfer Engine'!$C$2:$C$1369,0)),"",INDEX('Compliance Database'!$E$2:$E$1369,MATCH(321,'Transfer Engine'!$C$2:$C$1369,0)))</f>
        <v/>
      </c>
      <c r="F330" s="8">
        <f>IF(ISNA(MATCH(321,'Transfer Engine'!$C$2:$C$1369,0)),"",INDEX('Compliance Database'!$F$2:$F$1369,MATCH(321,'Transfer Engine'!$C$2:$C$1369,0)))</f>
        <v/>
      </c>
      <c r="G330" s="8">
        <f>IF(ISNA(MATCH(321,'Transfer Engine'!$C$2:$C$1369,0)),"",INDEX('Compliance Database'!$G$2:$G$1369,MATCH(321,'Transfer Engine'!$C$2:$C$1369,0)))</f>
        <v/>
      </c>
      <c r="H330" s="9">
        <f>IF(ISNA(MATCH(321,'Transfer Engine'!$C$2:$C$1369,0)),"",INDEX('Compliance Database'!$H$2:$H$1369,MATCH(321,'Transfer Engine'!$C$2:$C$1369,0)))</f>
        <v/>
      </c>
      <c r="I330" s="9">
        <f>IF(ISNA(MATCH(321,'Transfer Engine'!$C$2:$C$1369,0)),"",INDEX('Compliance Database'!$I$2:$I$1369,MATCH(321,'Transfer Engine'!$C$2:$C$1369,0)))</f>
        <v/>
      </c>
      <c r="J330" s="8">
        <f>IF(ISNA(MATCH(321,'Transfer Engine'!$C$2:$C$1369,0)),"",INDEX('Compliance Database'!$J$2:$J$1369,MATCH(321,'Transfer Engine'!$C$2:$C$1369,0)))</f>
        <v/>
      </c>
      <c r="K330" s="9">
        <f>IF(ISNA(MATCH(321,'Transfer Engine'!$C$2:$C$1369,0)),"",INDEX('Compliance Database'!$K$2:$K$1369,MATCH(321,'Transfer Engine'!$C$2:$C$1369,0)))</f>
        <v/>
      </c>
      <c r="L330" s="9">
        <f>IF(ISNA(MATCH(321,'Transfer Engine'!$C$2:$C$1369,0)),"",INDEX('Compliance Database'!$L$2:$L$1369,MATCH(321,'Transfer Engine'!$C$2:$C$1369,0)))</f>
        <v/>
      </c>
      <c r="M330" s="9">
        <f>IF(ISNA(MATCH(321,'Transfer Engine'!$C$2:$C$1369,0)),"",INDEX('Compliance Database'!$M$2:$M$1369,MATCH(321,'Transfer Engine'!$C$2:$C$1369,0)))</f>
        <v/>
      </c>
      <c r="N330" s="9">
        <f>IF(ISNA(MATCH(321,'Transfer Engine'!$C$2:$C$1369,0)),"",INDEX('Compliance Database'!$N$2:$N$1369,MATCH(321,'Transfer Engine'!$C$2:$C$1369,0)))</f>
        <v/>
      </c>
      <c r="O330" s="8">
        <f>IF(ISNA(MATCH(321,'Transfer Engine'!$C$2:$C$1369,0)),"",HYPERLINK(INDEX('Compliance Database'!$O$2:$O$1369,MATCH(321,'Transfer Engine'!$C$2:$C$1369,0)),"Open PDF"))</f>
        <v/>
      </c>
    </row>
    <row r="331" ht="188" customHeight="1">
      <c r="A331" s="8">
        <f>IF(ISNA(MATCH(322,'Transfer Engine'!$C$2:$C$1369,0)),"",INDEX('Compliance Database'!$A$2:$A$1369,MATCH(322,'Transfer Engine'!$C$2:$C$1369,0)))</f>
        <v/>
      </c>
      <c r="B331" s="8">
        <f>IF(ISNA(MATCH(322,'Transfer Engine'!$C$2:$C$1369,0)),"",INDEX('Compliance Database'!$B$2:$B$1369,MATCH(322,'Transfer Engine'!$C$2:$C$1369,0)))</f>
        <v/>
      </c>
      <c r="C331" s="8">
        <f>IF(ISNA(MATCH(322,'Transfer Engine'!$C$2:$C$1369,0)),"",INDEX('Compliance Database'!$C$2:$C$1369,MATCH(322,'Transfer Engine'!$C$2:$C$1369,0)))</f>
        <v/>
      </c>
      <c r="D331" s="9">
        <f>IF(ISNA(MATCH(322,'Transfer Engine'!$C$2:$C$1369,0)),"",INDEX('Compliance Database'!$D$2:$D$1369,MATCH(322,'Transfer Engine'!$C$2:$C$1369,0)))</f>
        <v/>
      </c>
      <c r="E331" s="8">
        <f>IF(ISNA(MATCH(322,'Transfer Engine'!$C$2:$C$1369,0)),"",INDEX('Compliance Database'!$E$2:$E$1369,MATCH(322,'Transfer Engine'!$C$2:$C$1369,0)))</f>
        <v/>
      </c>
      <c r="F331" s="8">
        <f>IF(ISNA(MATCH(322,'Transfer Engine'!$C$2:$C$1369,0)),"",INDEX('Compliance Database'!$F$2:$F$1369,MATCH(322,'Transfer Engine'!$C$2:$C$1369,0)))</f>
        <v/>
      </c>
      <c r="G331" s="8">
        <f>IF(ISNA(MATCH(322,'Transfer Engine'!$C$2:$C$1369,0)),"",INDEX('Compliance Database'!$G$2:$G$1369,MATCH(322,'Transfer Engine'!$C$2:$C$1369,0)))</f>
        <v/>
      </c>
      <c r="H331" s="9">
        <f>IF(ISNA(MATCH(322,'Transfer Engine'!$C$2:$C$1369,0)),"",INDEX('Compliance Database'!$H$2:$H$1369,MATCH(322,'Transfer Engine'!$C$2:$C$1369,0)))</f>
        <v/>
      </c>
      <c r="I331" s="9">
        <f>IF(ISNA(MATCH(322,'Transfer Engine'!$C$2:$C$1369,0)),"",INDEX('Compliance Database'!$I$2:$I$1369,MATCH(322,'Transfer Engine'!$C$2:$C$1369,0)))</f>
        <v/>
      </c>
      <c r="J331" s="8">
        <f>IF(ISNA(MATCH(322,'Transfer Engine'!$C$2:$C$1369,0)),"",INDEX('Compliance Database'!$J$2:$J$1369,MATCH(322,'Transfer Engine'!$C$2:$C$1369,0)))</f>
        <v/>
      </c>
      <c r="K331" s="9">
        <f>IF(ISNA(MATCH(322,'Transfer Engine'!$C$2:$C$1369,0)),"",INDEX('Compliance Database'!$K$2:$K$1369,MATCH(322,'Transfer Engine'!$C$2:$C$1369,0)))</f>
        <v/>
      </c>
      <c r="L331" s="9">
        <f>IF(ISNA(MATCH(322,'Transfer Engine'!$C$2:$C$1369,0)),"",INDEX('Compliance Database'!$L$2:$L$1369,MATCH(322,'Transfer Engine'!$C$2:$C$1369,0)))</f>
        <v/>
      </c>
      <c r="M331" s="9">
        <f>IF(ISNA(MATCH(322,'Transfer Engine'!$C$2:$C$1369,0)),"",INDEX('Compliance Database'!$M$2:$M$1369,MATCH(322,'Transfer Engine'!$C$2:$C$1369,0)))</f>
        <v/>
      </c>
      <c r="N331" s="9">
        <f>IF(ISNA(MATCH(322,'Transfer Engine'!$C$2:$C$1369,0)),"",INDEX('Compliance Database'!$N$2:$N$1369,MATCH(322,'Transfer Engine'!$C$2:$C$1369,0)))</f>
        <v/>
      </c>
      <c r="O331" s="8">
        <f>IF(ISNA(MATCH(322,'Transfer Engine'!$C$2:$C$1369,0)),"",HYPERLINK(INDEX('Compliance Database'!$O$2:$O$1369,MATCH(322,'Transfer Engine'!$C$2:$C$1369,0)),"Open PDF"))</f>
        <v/>
      </c>
    </row>
    <row r="332" ht="188" customHeight="1">
      <c r="A332" s="8">
        <f>IF(ISNA(MATCH(323,'Transfer Engine'!$C$2:$C$1369,0)),"",INDEX('Compliance Database'!$A$2:$A$1369,MATCH(323,'Transfer Engine'!$C$2:$C$1369,0)))</f>
        <v/>
      </c>
      <c r="B332" s="8">
        <f>IF(ISNA(MATCH(323,'Transfer Engine'!$C$2:$C$1369,0)),"",INDEX('Compliance Database'!$B$2:$B$1369,MATCH(323,'Transfer Engine'!$C$2:$C$1369,0)))</f>
        <v/>
      </c>
      <c r="C332" s="8">
        <f>IF(ISNA(MATCH(323,'Transfer Engine'!$C$2:$C$1369,0)),"",INDEX('Compliance Database'!$C$2:$C$1369,MATCH(323,'Transfer Engine'!$C$2:$C$1369,0)))</f>
        <v/>
      </c>
      <c r="D332" s="9">
        <f>IF(ISNA(MATCH(323,'Transfer Engine'!$C$2:$C$1369,0)),"",INDEX('Compliance Database'!$D$2:$D$1369,MATCH(323,'Transfer Engine'!$C$2:$C$1369,0)))</f>
        <v/>
      </c>
      <c r="E332" s="8">
        <f>IF(ISNA(MATCH(323,'Transfer Engine'!$C$2:$C$1369,0)),"",INDEX('Compliance Database'!$E$2:$E$1369,MATCH(323,'Transfer Engine'!$C$2:$C$1369,0)))</f>
        <v/>
      </c>
      <c r="F332" s="8">
        <f>IF(ISNA(MATCH(323,'Transfer Engine'!$C$2:$C$1369,0)),"",INDEX('Compliance Database'!$F$2:$F$1369,MATCH(323,'Transfer Engine'!$C$2:$C$1369,0)))</f>
        <v/>
      </c>
      <c r="G332" s="8">
        <f>IF(ISNA(MATCH(323,'Transfer Engine'!$C$2:$C$1369,0)),"",INDEX('Compliance Database'!$G$2:$G$1369,MATCH(323,'Transfer Engine'!$C$2:$C$1369,0)))</f>
        <v/>
      </c>
      <c r="H332" s="9">
        <f>IF(ISNA(MATCH(323,'Transfer Engine'!$C$2:$C$1369,0)),"",INDEX('Compliance Database'!$H$2:$H$1369,MATCH(323,'Transfer Engine'!$C$2:$C$1369,0)))</f>
        <v/>
      </c>
      <c r="I332" s="9">
        <f>IF(ISNA(MATCH(323,'Transfer Engine'!$C$2:$C$1369,0)),"",INDEX('Compliance Database'!$I$2:$I$1369,MATCH(323,'Transfer Engine'!$C$2:$C$1369,0)))</f>
        <v/>
      </c>
      <c r="J332" s="8">
        <f>IF(ISNA(MATCH(323,'Transfer Engine'!$C$2:$C$1369,0)),"",INDEX('Compliance Database'!$J$2:$J$1369,MATCH(323,'Transfer Engine'!$C$2:$C$1369,0)))</f>
        <v/>
      </c>
      <c r="K332" s="9">
        <f>IF(ISNA(MATCH(323,'Transfer Engine'!$C$2:$C$1369,0)),"",INDEX('Compliance Database'!$K$2:$K$1369,MATCH(323,'Transfer Engine'!$C$2:$C$1369,0)))</f>
        <v/>
      </c>
      <c r="L332" s="9">
        <f>IF(ISNA(MATCH(323,'Transfer Engine'!$C$2:$C$1369,0)),"",INDEX('Compliance Database'!$L$2:$L$1369,MATCH(323,'Transfer Engine'!$C$2:$C$1369,0)))</f>
        <v/>
      </c>
      <c r="M332" s="9">
        <f>IF(ISNA(MATCH(323,'Transfer Engine'!$C$2:$C$1369,0)),"",INDEX('Compliance Database'!$M$2:$M$1369,MATCH(323,'Transfer Engine'!$C$2:$C$1369,0)))</f>
        <v/>
      </c>
      <c r="N332" s="9">
        <f>IF(ISNA(MATCH(323,'Transfer Engine'!$C$2:$C$1369,0)),"",INDEX('Compliance Database'!$N$2:$N$1369,MATCH(323,'Transfer Engine'!$C$2:$C$1369,0)))</f>
        <v/>
      </c>
      <c r="O332" s="8">
        <f>IF(ISNA(MATCH(323,'Transfer Engine'!$C$2:$C$1369,0)),"",HYPERLINK(INDEX('Compliance Database'!$O$2:$O$1369,MATCH(323,'Transfer Engine'!$C$2:$C$1369,0)),"Open PDF"))</f>
        <v/>
      </c>
    </row>
    <row r="333" ht="188" customHeight="1">
      <c r="A333" s="8">
        <f>IF(ISNA(MATCH(324,'Transfer Engine'!$C$2:$C$1369,0)),"",INDEX('Compliance Database'!$A$2:$A$1369,MATCH(324,'Transfer Engine'!$C$2:$C$1369,0)))</f>
        <v/>
      </c>
      <c r="B333" s="8">
        <f>IF(ISNA(MATCH(324,'Transfer Engine'!$C$2:$C$1369,0)),"",INDEX('Compliance Database'!$B$2:$B$1369,MATCH(324,'Transfer Engine'!$C$2:$C$1369,0)))</f>
        <v/>
      </c>
      <c r="C333" s="8">
        <f>IF(ISNA(MATCH(324,'Transfer Engine'!$C$2:$C$1369,0)),"",INDEX('Compliance Database'!$C$2:$C$1369,MATCH(324,'Transfer Engine'!$C$2:$C$1369,0)))</f>
        <v/>
      </c>
      <c r="D333" s="9">
        <f>IF(ISNA(MATCH(324,'Transfer Engine'!$C$2:$C$1369,0)),"",INDEX('Compliance Database'!$D$2:$D$1369,MATCH(324,'Transfer Engine'!$C$2:$C$1369,0)))</f>
        <v/>
      </c>
      <c r="E333" s="8">
        <f>IF(ISNA(MATCH(324,'Transfer Engine'!$C$2:$C$1369,0)),"",INDEX('Compliance Database'!$E$2:$E$1369,MATCH(324,'Transfer Engine'!$C$2:$C$1369,0)))</f>
        <v/>
      </c>
      <c r="F333" s="8">
        <f>IF(ISNA(MATCH(324,'Transfer Engine'!$C$2:$C$1369,0)),"",INDEX('Compliance Database'!$F$2:$F$1369,MATCH(324,'Transfer Engine'!$C$2:$C$1369,0)))</f>
        <v/>
      </c>
      <c r="G333" s="8">
        <f>IF(ISNA(MATCH(324,'Transfer Engine'!$C$2:$C$1369,0)),"",INDEX('Compliance Database'!$G$2:$G$1369,MATCH(324,'Transfer Engine'!$C$2:$C$1369,0)))</f>
        <v/>
      </c>
      <c r="H333" s="9">
        <f>IF(ISNA(MATCH(324,'Transfer Engine'!$C$2:$C$1369,0)),"",INDEX('Compliance Database'!$H$2:$H$1369,MATCH(324,'Transfer Engine'!$C$2:$C$1369,0)))</f>
        <v/>
      </c>
      <c r="I333" s="9">
        <f>IF(ISNA(MATCH(324,'Transfer Engine'!$C$2:$C$1369,0)),"",INDEX('Compliance Database'!$I$2:$I$1369,MATCH(324,'Transfer Engine'!$C$2:$C$1369,0)))</f>
        <v/>
      </c>
      <c r="J333" s="8">
        <f>IF(ISNA(MATCH(324,'Transfer Engine'!$C$2:$C$1369,0)),"",INDEX('Compliance Database'!$J$2:$J$1369,MATCH(324,'Transfer Engine'!$C$2:$C$1369,0)))</f>
        <v/>
      </c>
      <c r="K333" s="9">
        <f>IF(ISNA(MATCH(324,'Transfer Engine'!$C$2:$C$1369,0)),"",INDEX('Compliance Database'!$K$2:$K$1369,MATCH(324,'Transfer Engine'!$C$2:$C$1369,0)))</f>
        <v/>
      </c>
      <c r="L333" s="9">
        <f>IF(ISNA(MATCH(324,'Transfer Engine'!$C$2:$C$1369,0)),"",INDEX('Compliance Database'!$L$2:$L$1369,MATCH(324,'Transfer Engine'!$C$2:$C$1369,0)))</f>
        <v/>
      </c>
      <c r="M333" s="9">
        <f>IF(ISNA(MATCH(324,'Transfer Engine'!$C$2:$C$1369,0)),"",INDEX('Compliance Database'!$M$2:$M$1369,MATCH(324,'Transfer Engine'!$C$2:$C$1369,0)))</f>
        <v/>
      </c>
      <c r="N333" s="9">
        <f>IF(ISNA(MATCH(324,'Transfer Engine'!$C$2:$C$1369,0)),"",INDEX('Compliance Database'!$N$2:$N$1369,MATCH(324,'Transfer Engine'!$C$2:$C$1369,0)))</f>
        <v/>
      </c>
      <c r="O333" s="8">
        <f>IF(ISNA(MATCH(324,'Transfer Engine'!$C$2:$C$1369,0)),"",HYPERLINK(INDEX('Compliance Database'!$O$2:$O$1369,MATCH(324,'Transfer Engine'!$C$2:$C$1369,0)),"Open PDF"))</f>
        <v/>
      </c>
    </row>
    <row r="334" ht="188" customHeight="1">
      <c r="A334" s="8">
        <f>IF(ISNA(MATCH(325,'Transfer Engine'!$C$2:$C$1369,0)),"",INDEX('Compliance Database'!$A$2:$A$1369,MATCH(325,'Transfer Engine'!$C$2:$C$1369,0)))</f>
        <v/>
      </c>
      <c r="B334" s="8">
        <f>IF(ISNA(MATCH(325,'Transfer Engine'!$C$2:$C$1369,0)),"",INDEX('Compliance Database'!$B$2:$B$1369,MATCH(325,'Transfer Engine'!$C$2:$C$1369,0)))</f>
        <v/>
      </c>
      <c r="C334" s="8">
        <f>IF(ISNA(MATCH(325,'Transfer Engine'!$C$2:$C$1369,0)),"",INDEX('Compliance Database'!$C$2:$C$1369,MATCH(325,'Transfer Engine'!$C$2:$C$1369,0)))</f>
        <v/>
      </c>
      <c r="D334" s="9">
        <f>IF(ISNA(MATCH(325,'Transfer Engine'!$C$2:$C$1369,0)),"",INDEX('Compliance Database'!$D$2:$D$1369,MATCH(325,'Transfer Engine'!$C$2:$C$1369,0)))</f>
        <v/>
      </c>
      <c r="E334" s="8">
        <f>IF(ISNA(MATCH(325,'Transfer Engine'!$C$2:$C$1369,0)),"",INDEX('Compliance Database'!$E$2:$E$1369,MATCH(325,'Transfer Engine'!$C$2:$C$1369,0)))</f>
        <v/>
      </c>
      <c r="F334" s="8">
        <f>IF(ISNA(MATCH(325,'Transfer Engine'!$C$2:$C$1369,0)),"",INDEX('Compliance Database'!$F$2:$F$1369,MATCH(325,'Transfer Engine'!$C$2:$C$1369,0)))</f>
        <v/>
      </c>
      <c r="G334" s="8">
        <f>IF(ISNA(MATCH(325,'Transfer Engine'!$C$2:$C$1369,0)),"",INDEX('Compliance Database'!$G$2:$G$1369,MATCH(325,'Transfer Engine'!$C$2:$C$1369,0)))</f>
        <v/>
      </c>
      <c r="H334" s="9">
        <f>IF(ISNA(MATCH(325,'Transfer Engine'!$C$2:$C$1369,0)),"",INDEX('Compliance Database'!$H$2:$H$1369,MATCH(325,'Transfer Engine'!$C$2:$C$1369,0)))</f>
        <v/>
      </c>
      <c r="I334" s="9">
        <f>IF(ISNA(MATCH(325,'Transfer Engine'!$C$2:$C$1369,0)),"",INDEX('Compliance Database'!$I$2:$I$1369,MATCH(325,'Transfer Engine'!$C$2:$C$1369,0)))</f>
        <v/>
      </c>
      <c r="J334" s="8">
        <f>IF(ISNA(MATCH(325,'Transfer Engine'!$C$2:$C$1369,0)),"",INDEX('Compliance Database'!$J$2:$J$1369,MATCH(325,'Transfer Engine'!$C$2:$C$1369,0)))</f>
        <v/>
      </c>
      <c r="K334" s="9">
        <f>IF(ISNA(MATCH(325,'Transfer Engine'!$C$2:$C$1369,0)),"",INDEX('Compliance Database'!$K$2:$K$1369,MATCH(325,'Transfer Engine'!$C$2:$C$1369,0)))</f>
        <v/>
      </c>
      <c r="L334" s="9">
        <f>IF(ISNA(MATCH(325,'Transfer Engine'!$C$2:$C$1369,0)),"",INDEX('Compliance Database'!$L$2:$L$1369,MATCH(325,'Transfer Engine'!$C$2:$C$1369,0)))</f>
        <v/>
      </c>
      <c r="M334" s="9">
        <f>IF(ISNA(MATCH(325,'Transfer Engine'!$C$2:$C$1369,0)),"",INDEX('Compliance Database'!$M$2:$M$1369,MATCH(325,'Transfer Engine'!$C$2:$C$1369,0)))</f>
        <v/>
      </c>
      <c r="N334" s="9">
        <f>IF(ISNA(MATCH(325,'Transfer Engine'!$C$2:$C$1369,0)),"",INDEX('Compliance Database'!$N$2:$N$1369,MATCH(325,'Transfer Engine'!$C$2:$C$1369,0)))</f>
        <v/>
      </c>
      <c r="O334" s="8">
        <f>IF(ISNA(MATCH(325,'Transfer Engine'!$C$2:$C$1369,0)),"",HYPERLINK(INDEX('Compliance Database'!$O$2:$O$1369,MATCH(325,'Transfer Engine'!$C$2:$C$1369,0)),"Open PDF"))</f>
        <v/>
      </c>
    </row>
    <row r="335" ht="188" customHeight="1">
      <c r="A335" s="8">
        <f>IF(ISNA(MATCH(326,'Transfer Engine'!$C$2:$C$1369,0)),"",INDEX('Compliance Database'!$A$2:$A$1369,MATCH(326,'Transfer Engine'!$C$2:$C$1369,0)))</f>
        <v/>
      </c>
      <c r="B335" s="8">
        <f>IF(ISNA(MATCH(326,'Transfer Engine'!$C$2:$C$1369,0)),"",INDEX('Compliance Database'!$B$2:$B$1369,MATCH(326,'Transfer Engine'!$C$2:$C$1369,0)))</f>
        <v/>
      </c>
      <c r="C335" s="8">
        <f>IF(ISNA(MATCH(326,'Transfer Engine'!$C$2:$C$1369,0)),"",INDEX('Compliance Database'!$C$2:$C$1369,MATCH(326,'Transfer Engine'!$C$2:$C$1369,0)))</f>
        <v/>
      </c>
      <c r="D335" s="9">
        <f>IF(ISNA(MATCH(326,'Transfer Engine'!$C$2:$C$1369,0)),"",INDEX('Compliance Database'!$D$2:$D$1369,MATCH(326,'Transfer Engine'!$C$2:$C$1369,0)))</f>
        <v/>
      </c>
      <c r="E335" s="8">
        <f>IF(ISNA(MATCH(326,'Transfer Engine'!$C$2:$C$1369,0)),"",INDEX('Compliance Database'!$E$2:$E$1369,MATCH(326,'Transfer Engine'!$C$2:$C$1369,0)))</f>
        <v/>
      </c>
      <c r="F335" s="8">
        <f>IF(ISNA(MATCH(326,'Transfer Engine'!$C$2:$C$1369,0)),"",INDEX('Compliance Database'!$F$2:$F$1369,MATCH(326,'Transfer Engine'!$C$2:$C$1369,0)))</f>
        <v/>
      </c>
      <c r="G335" s="8">
        <f>IF(ISNA(MATCH(326,'Transfer Engine'!$C$2:$C$1369,0)),"",INDEX('Compliance Database'!$G$2:$G$1369,MATCH(326,'Transfer Engine'!$C$2:$C$1369,0)))</f>
        <v/>
      </c>
      <c r="H335" s="9">
        <f>IF(ISNA(MATCH(326,'Transfer Engine'!$C$2:$C$1369,0)),"",INDEX('Compliance Database'!$H$2:$H$1369,MATCH(326,'Transfer Engine'!$C$2:$C$1369,0)))</f>
        <v/>
      </c>
      <c r="I335" s="9">
        <f>IF(ISNA(MATCH(326,'Transfer Engine'!$C$2:$C$1369,0)),"",INDEX('Compliance Database'!$I$2:$I$1369,MATCH(326,'Transfer Engine'!$C$2:$C$1369,0)))</f>
        <v/>
      </c>
      <c r="J335" s="8">
        <f>IF(ISNA(MATCH(326,'Transfer Engine'!$C$2:$C$1369,0)),"",INDEX('Compliance Database'!$J$2:$J$1369,MATCH(326,'Transfer Engine'!$C$2:$C$1369,0)))</f>
        <v/>
      </c>
      <c r="K335" s="9">
        <f>IF(ISNA(MATCH(326,'Transfer Engine'!$C$2:$C$1369,0)),"",INDEX('Compliance Database'!$K$2:$K$1369,MATCH(326,'Transfer Engine'!$C$2:$C$1369,0)))</f>
        <v/>
      </c>
      <c r="L335" s="9">
        <f>IF(ISNA(MATCH(326,'Transfer Engine'!$C$2:$C$1369,0)),"",INDEX('Compliance Database'!$L$2:$L$1369,MATCH(326,'Transfer Engine'!$C$2:$C$1369,0)))</f>
        <v/>
      </c>
      <c r="M335" s="9">
        <f>IF(ISNA(MATCH(326,'Transfer Engine'!$C$2:$C$1369,0)),"",INDEX('Compliance Database'!$M$2:$M$1369,MATCH(326,'Transfer Engine'!$C$2:$C$1369,0)))</f>
        <v/>
      </c>
      <c r="N335" s="9">
        <f>IF(ISNA(MATCH(326,'Transfer Engine'!$C$2:$C$1369,0)),"",INDEX('Compliance Database'!$N$2:$N$1369,MATCH(326,'Transfer Engine'!$C$2:$C$1369,0)))</f>
        <v/>
      </c>
      <c r="O335" s="8">
        <f>IF(ISNA(MATCH(326,'Transfer Engine'!$C$2:$C$1369,0)),"",HYPERLINK(INDEX('Compliance Database'!$O$2:$O$1369,MATCH(326,'Transfer Engine'!$C$2:$C$1369,0)),"Open PDF"))</f>
        <v/>
      </c>
    </row>
    <row r="336" ht="188" customHeight="1">
      <c r="A336" s="8">
        <f>IF(ISNA(MATCH(327,'Transfer Engine'!$C$2:$C$1369,0)),"",INDEX('Compliance Database'!$A$2:$A$1369,MATCH(327,'Transfer Engine'!$C$2:$C$1369,0)))</f>
        <v/>
      </c>
      <c r="B336" s="8">
        <f>IF(ISNA(MATCH(327,'Transfer Engine'!$C$2:$C$1369,0)),"",INDEX('Compliance Database'!$B$2:$B$1369,MATCH(327,'Transfer Engine'!$C$2:$C$1369,0)))</f>
        <v/>
      </c>
      <c r="C336" s="8">
        <f>IF(ISNA(MATCH(327,'Transfer Engine'!$C$2:$C$1369,0)),"",INDEX('Compliance Database'!$C$2:$C$1369,MATCH(327,'Transfer Engine'!$C$2:$C$1369,0)))</f>
        <v/>
      </c>
      <c r="D336" s="9">
        <f>IF(ISNA(MATCH(327,'Transfer Engine'!$C$2:$C$1369,0)),"",INDEX('Compliance Database'!$D$2:$D$1369,MATCH(327,'Transfer Engine'!$C$2:$C$1369,0)))</f>
        <v/>
      </c>
      <c r="E336" s="8">
        <f>IF(ISNA(MATCH(327,'Transfer Engine'!$C$2:$C$1369,0)),"",INDEX('Compliance Database'!$E$2:$E$1369,MATCH(327,'Transfer Engine'!$C$2:$C$1369,0)))</f>
        <v/>
      </c>
      <c r="F336" s="8">
        <f>IF(ISNA(MATCH(327,'Transfer Engine'!$C$2:$C$1369,0)),"",INDEX('Compliance Database'!$F$2:$F$1369,MATCH(327,'Transfer Engine'!$C$2:$C$1369,0)))</f>
        <v/>
      </c>
      <c r="G336" s="8">
        <f>IF(ISNA(MATCH(327,'Transfer Engine'!$C$2:$C$1369,0)),"",INDEX('Compliance Database'!$G$2:$G$1369,MATCH(327,'Transfer Engine'!$C$2:$C$1369,0)))</f>
        <v/>
      </c>
      <c r="H336" s="9">
        <f>IF(ISNA(MATCH(327,'Transfer Engine'!$C$2:$C$1369,0)),"",INDEX('Compliance Database'!$H$2:$H$1369,MATCH(327,'Transfer Engine'!$C$2:$C$1369,0)))</f>
        <v/>
      </c>
      <c r="I336" s="9">
        <f>IF(ISNA(MATCH(327,'Transfer Engine'!$C$2:$C$1369,0)),"",INDEX('Compliance Database'!$I$2:$I$1369,MATCH(327,'Transfer Engine'!$C$2:$C$1369,0)))</f>
        <v/>
      </c>
      <c r="J336" s="8">
        <f>IF(ISNA(MATCH(327,'Transfer Engine'!$C$2:$C$1369,0)),"",INDEX('Compliance Database'!$J$2:$J$1369,MATCH(327,'Transfer Engine'!$C$2:$C$1369,0)))</f>
        <v/>
      </c>
      <c r="K336" s="9">
        <f>IF(ISNA(MATCH(327,'Transfer Engine'!$C$2:$C$1369,0)),"",INDEX('Compliance Database'!$K$2:$K$1369,MATCH(327,'Transfer Engine'!$C$2:$C$1369,0)))</f>
        <v/>
      </c>
      <c r="L336" s="9">
        <f>IF(ISNA(MATCH(327,'Transfer Engine'!$C$2:$C$1369,0)),"",INDEX('Compliance Database'!$L$2:$L$1369,MATCH(327,'Transfer Engine'!$C$2:$C$1369,0)))</f>
        <v/>
      </c>
      <c r="M336" s="9">
        <f>IF(ISNA(MATCH(327,'Transfer Engine'!$C$2:$C$1369,0)),"",INDEX('Compliance Database'!$M$2:$M$1369,MATCH(327,'Transfer Engine'!$C$2:$C$1369,0)))</f>
        <v/>
      </c>
      <c r="N336" s="9">
        <f>IF(ISNA(MATCH(327,'Transfer Engine'!$C$2:$C$1369,0)),"",INDEX('Compliance Database'!$N$2:$N$1369,MATCH(327,'Transfer Engine'!$C$2:$C$1369,0)))</f>
        <v/>
      </c>
      <c r="O336" s="8">
        <f>IF(ISNA(MATCH(327,'Transfer Engine'!$C$2:$C$1369,0)),"",HYPERLINK(INDEX('Compliance Database'!$O$2:$O$1369,MATCH(327,'Transfer Engine'!$C$2:$C$1369,0)),"Open PDF"))</f>
        <v/>
      </c>
    </row>
    <row r="337" ht="188" customHeight="1">
      <c r="A337" s="8">
        <f>IF(ISNA(MATCH(328,'Transfer Engine'!$C$2:$C$1369,0)),"",INDEX('Compliance Database'!$A$2:$A$1369,MATCH(328,'Transfer Engine'!$C$2:$C$1369,0)))</f>
        <v/>
      </c>
      <c r="B337" s="8">
        <f>IF(ISNA(MATCH(328,'Transfer Engine'!$C$2:$C$1369,0)),"",INDEX('Compliance Database'!$B$2:$B$1369,MATCH(328,'Transfer Engine'!$C$2:$C$1369,0)))</f>
        <v/>
      </c>
      <c r="C337" s="8">
        <f>IF(ISNA(MATCH(328,'Transfer Engine'!$C$2:$C$1369,0)),"",INDEX('Compliance Database'!$C$2:$C$1369,MATCH(328,'Transfer Engine'!$C$2:$C$1369,0)))</f>
        <v/>
      </c>
      <c r="D337" s="9">
        <f>IF(ISNA(MATCH(328,'Transfer Engine'!$C$2:$C$1369,0)),"",INDEX('Compliance Database'!$D$2:$D$1369,MATCH(328,'Transfer Engine'!$C$2:$C$1369,0)))</f>
        <v/>
      </c>
      <c r="E337" s="8">
        <f>IF(ISNA(MATCH(328,'Transfer Engine'!$C$2:$C$1369,0)),"",INDEX('Compliance Database'!$E$2:$E$1369,MATCH(328,'Transfer Engine'!$C$2:$C$1369,0)))</f>
        <v/>
      </c>
      <c r="F337" s="8">
        <f>IF(ISNA(MATCH(328,'Transfer Engine'!$C$2:$C$1369,0)),"",INDEX('Compliance Database'!$F$2:$F$1369,MATCH(328,'Transfer Engine'!$C$2:$C$1369,0)))</f>
        <v/>
      </c>
      <c r="G337" s="8">
        <f>IF(ISNA(MATCH(328,'Transfer Engine'!$C$2:$C$1369,0)),"",INDEX('Compliance Database'!$G$2:$G$1369,MATCH(328,'Transfer Engine'!$C$2:$C$1369,0)))</f>
        <v/>
      </c>
      <c r="H337" s="9">
        <f>IF(ISNA(MATCH(328,'Transfer Engine'!$C$2:$C$1369,0)),"",INDEX('Compliance Database'!$H$2:$H$1369,MATCH(328,'Transfer Engine'!$C$2:$C$1369,0)))</f>
        <v/>
      </c>
      <c r="I337" s="9">
        <f>IF(ISNA(MATCH(328,'Transfer Engine'!$C$2:$C$1369,0)),"",INDEX('Compliance Database'!$I$2:$I$1369,MATCH(328,'Transfer Engine'!$C$2:$C$1369,0)))</f>
        <v/>
      </c>
      <c r="J337" s="8">
        <f>IF(ISNA(MATCH(328,'Transfer Engine'!$C$2:$C$1369,0)),"",INDEX('Compliance Database'!$J$2:$J$1369,MATCH(328,'Transfer Engine'!$C$2:$C$1369,0)))</f>
        <v/>
      </c>
      <c r="K337" s="9">
        <f>IF(ISNA(MATCH(328,'Transfer Engine'!$C$2:$C$1369,0)),"",INDEX('Compliance Database'!$K$2:$K$1369,MATCH(328,'Transfer Engine'!$C$2:$C$1369,0)))</f>
        <v/>
      </c>
      <c r="L337" s="9">
        <f>IF(ISNA(MATCH(328,'Transfer Engine'!$C$2:$C$1369,0)),"",INDEX('Compliance Database'!$L$2:$L$1369,MATCH(328,'Transfer Engine'!$C$2:$C$1369,0)))</f>
        <v/>
      </c>
      <c r="M337" s="9">
        <f>IF(ISNA(MATCH(328,'Transfer Engine'!$C$2:$C$1369,0)),"",INDEX('Compliance Database'!$M$2:$M$1369,MATCH(328,'Transfer Engine'!$C$2:$C$1369,0)))</f>
        <v/>
      </c>
      <c r="N337" s="9">
        <f>IF(ISNA(MATCH(328,'Transfer Engine'!$C$2:$C$1369,0)),"",INDEX('Compliance Database'!$N$2:$N$1369,MATCH(328,'Transfer Engine'!$C$2:$C$1369,0)))</f>
        <v/>
      </c>
      <c r="O337" s="8">
        <f>IF(ISNA(MATCH(328,'Transfer Engine'!$C$2:$C$1369,0)),"",HYPERLINK(INDEX('Compliance Database'!$O$2:$O$1369,MATCH(328,'Transfer Engine'!$C$2:$C$1369,0)),"Open PDF"))</f>
        <v/>
      </c>
    </row>
    <row r="338" ht="188" customHeight="1">
      <c r="A338" s="8">
        <f>IF(ISNA(MATCH(329,'Transfer Engine'!$C$2:$C$1369,0)),"",INDEX('Compliance Database'!$A$2:$A$1369,MATCH(329,'Transfer Engine'!$C$2:$C$1369,0)))</f>
        <v/>
      </c>
      <c r="B338" s="8">
        <f>IF(ISNA(MATCH(329,'Transfer Engine'!$C$2:$C$1369,0)),"",INDEX('Compliance Database'!$B$2:$B$1369,MATCH(329,'Transfer Engine'!$C$2:$C$1369,0)))</f>
        <v/>
      </c>
      <c r="C338" s="8">
        <f>IF(ISNA(MATCH(329,'Transfer Engine'!$C$2:$C$1369,0)),"",INDEX('Compliance Database'!$C$2:$C$1369,MATCH(329,'Transfer Engine'!$C$2:$C$1369,0)))</f>
        <v/>
      </c>
      <c r="D338" s="9">
        <f>IF(ISNA(MATCH(329,'Transfer Engine'!$C$2:$C$1369,0)),"",INDEX('Compliance Database'!$D$2:$D$1369,MATCH(329,'Transfer Engine'!$C$2:$C$1369,0)))</f>
        <v/>
      </c>
      <c r="E338" s="8">
        <f>IF(ISNA(MATCH(329,'Transfer Engine'!$C$2:$C$1369,0)),"",INDEX('Compliance Database'!$E$2:$E$1369,MATCH(329,'Transfer Engine'!$C$2:$C$1369,0)))</f>
        <v/>
      </c>
      <c r="F338" s="8">
        <f>IF(ISNA(MATCH(329,'Transfer Engine'!$C$2:$C$1369,0)),"",INDEX('Compliance Database'!$F$2:$F$1369,MATCH(329,'Transfer Engine'!$C$2:$C$1369,0)))</f>
        <v/>
      </c>
      <c r="G338" s="8">
        <f>IF(ISNA(MATCH(329,'Transfer Engine'!$C$2:$C$1369,0)),"",INDEX('Compliance Database'!$G$2:$G$1369,MATCH(329,'Transfer Engine'!$C$2:$C$1369,0)))</f>
        <v/>
      </c>
      <c r="H338" s="9">
        <f>IF(ISNA(MATCH(329,'Transfer Engine'!$C$2:$C$1369,0)),"",INDEX('Compliance Database'!$H$2:$H$1369,MATCH(329,'Transfer Engine'!$C$2:$C$1369,0)))</f>
        <v/>
      </c>
      <c r="I338" s="9">
        <f>IF(ISNA(MATCH(329,'Transfer Engine'!$C$2:$C$1369,0)),"",INDEX('Compliance Database'!$I$2:$I$1369,MATCH(329,'Transfer Engine'!$C$2:$C$1369,0)))</f>
        <v/>
      </c>
      <c r="J338" s="8">
        <f>IF(ISNA(MATCH(329,'Transfer Engine'!$C$2:$C$1369,0)),"",INDEX('Compliance Database'!$J$2:$J$1369,MATCH(329,'Transfer Engine'!$C$2:$C$1369,0)))</f>
        <v/>
      </c>
      <c r="K338" s="9">
        <f>IF(ISNA(MATCH(329,'Transfer Engine'!$C$2:$C$1369,0)),"",INDEX('Compliance Database'!$K$2:$K$1369,MATCH(329,'Transfer Engine'!$C$2:$C$1369,0)))</f>
        <v/>
      </c>
      <c r="L338" s="9">
        <f>IF(ISNA(MATCH(329,'Transfer Engine'!$C$2:$C$1369,0)),"",INDEX('Compliance Database'!$L$2:$L$1369,MATCH(329,'Transfer Engine'!$C$2:$C$1369,0)))</f>
        <v/>
      </c>
      <c r="M338" s="9">
        <f>IF(ISNA(MATCH(329,'Transfer Engine'!$C$2:$C$1369,0)),"",INDEX('Compliance Database'!$M$2:$M$1369,MATCH(329,'Transfer Engine'!$C$2:$C$1369,0)))</f>
        <v/>
      </c>
      <c r="N338" s="9">
        <f>IF(ISNA(MATCH(329,'Transfer Engine'!$C$2:$C$1369,0)),"",INDEX('Compliance Database'!$N$2:$N$1369,MATCH(329,'Transfer Engine'!$C$2:$C$1369,0)))</f>
        <v/>
      </c>
      <c r="O338" s="8">
        <f>IF(ISNA(MATCH(329,'Transfer Engine'!$C$2:$C$1369,0)),"",HYPERLINK(INDEX('Compliance Database'!$O$2:$O$1369,MATCH(329,'Transfer Engine'!$C$2:$C$1369,0)),"Open PDF"))</f>
        <v/>
      </c>
    </row>
    <row r="339" ht="188" customHeight="1">
      <c r="A339" s="8">
        <f>IF(ISNA(MATCH(330,'Transfer Engine'!$C$2:$C$1369,0)),"",INDEX('Compliance Database'!$A$2:$A$1369,MATCH(330,'Transfer Engine'!$C$2:$C$1369,0)))</f>
        <v/>
      </c>
      <c r="B339" s="8">
        <f>IF(ISNA(MATCH(330,'Transfer Engine'!$C$2:$C$1369,0)),"",INDEX('Compliance Database'!$B$2:$B$1369,MATCH(330,'Transfer Engine'!$C$2:$C$1369,0)))</f>
        <v/>
      </c>
      <c r="C339" s="8">
        <f>IF(ISNA(MATCH(330,'Transfer Engine'!$C$2:$C$1369,0)),"",INDEX('Compliance Database'!$C$2:$C$1369,MATCH(330,'Transfer Engine'!$C$2:$C$1369,0)))</f>
        <v/>
      </c>
      <c r="D339" s="9">
        <f>IF(ISNA(MATCH(330,'Transfer Engine'!$C$2:$C$1369,0)),"",INDEX('Compliance Database'!$D$2:$D$1369,MATCH(330,'Transfer Engine'!$C$2:$C$1369,0)))</f>
        <v/>
      </c>
      <c r="E339" s="8">
        <f>IF(ISNA(MATCH(330,'Transfer Engine'!$C$2:$C$1369,0)),"",INDEX('Compliance Database'!$E$2:$E$1369,MATCH(330,'Transfer Engine'!$C$2:$C$1369,0)))</f>
        <v/>
      </c>
      <c r="F339" s="8">
        <f>IF(ISNA(MATCH(330,'Transfer Engine'!$C$2:$C$1369,0)),"",INDEX('Compliance Database'!$F$2:$F$1369,MATCH(330,'Transfer Engine'!$C$2:$C$1369,0)))</f>
        <v/>
      </c>
      <c r="G339" s="8">
        <f>IF(ISNA(MATCH(330,'Transfer Engine'!$C$2:$C$1369,0)),"",INDEX('Compliance Database'!$G$2:$G$1369,MATCH(330,'Transfer Engine'!$C$2:$C$1369,0)))</f>
        <v/>
      </c>
      <c r="H339" s="9">
        <f>IF(ISNA(MATCH(330,'Transfer Engine'!$C$2:$C$1369,0)),"",INDEX('Compliance Database'!$H$2:$H$1369,MATCH(330,'Transfer Engine'!$C$2:$C$1369,0)))</f>
        <v/>
      </c>
      <c r="I339" s="9">
        <f>IF(ISNA(MATCH(330,'Transfer Engine'!$C$2:$C$1369,0)),"",INDEX('Compliance Database'!$I$2:$I$1369,MATCH(330,'Transfer Engine'!$C$2:$C$1369,0)))</f>
        <v/>
      </c>
      <c r="J339" s="8">
        <f>IF(ISNA(MATCH(330,'Transfer Engine'!$C$2:$C$1369,0)),"",INDEX('Compliance Database'!$J$2:$J$1369,MATCH(330,'Transfer Engine'!$C$2:$C$1369,0)))</f>
        <v/>
      </c>
      <c r="K339" s="9">
        <f>IF(ISNA(MATCH(330,'Transfer Engine'!$C$2:$C$1369,0)),"",INDEX('Compliance Database'!$K$2:$K$1369,MATCH(330,'Transfer Engine'!$C$2:$C$1369,0)))</f>
        <v/>
      </c>
      <c r="L339" s="9">
        <f>IF(ISNA(MATCH(330,'Transfer Engine'!$C$2:$C$1369,0)),"",INDEX('Compliance Database'!$L$2:$L$1369,MATCH(330,'Transfer Engine'!$C$2:$C$1369,0)))</f>
        <v/>
      </c>
      <c r="M339" s="9">
        <f>IF(ISNA(MATCH(330,'Transfer Engine'!$C$2:$C$1369,0)),"",INDEX('Compliance Database'!$M$2:$M$1369,MATCH(330,'Transfer Engine'!$C$2:$C$1369,0)))</f>
        <v/>
      </c>
      <c r="N339" s="9">
        <f>IF(ISNA(MATCH(330,'Transfer Engine'!$C$2:$C$1369,0)),"",INDEX('Compliance Database'!$N$2:$N$1369,MATCH(330,'Transfer Engine'!$C$2:$C$1369,0)))</f>
        <v/>
      </c>
      <c r="O339" s="8">
        <f>IF(ISNA(MATCH(330,'Transfer Engine'!$C$2:$C$1369,0)),"",HYPERLINK(INDEX('Compliance Database'!$O$2:$O$1369,MATCH(330,'Transfer Engine'!$C$2:$C$1369,0)),"Open PDF"))</f>
        <v/>
      </c>
    </row>
    <row r="340" ht="188" customHeight="1">
      <c r="A340" s="8">
        <f>IF(ISNA(MATCH(331,'Transfer Engine'!$C$2:$C$1369,0)),"",INDEX('Compliance Database'!$A$2:$A$1369,MATCH(331,'Transfer Engine'!$C$2:$C$1369,0)))</f>
        <v/>
      </c>
      <c r="B340" s="8">
        <f>IF(ISNA(MATCH(331,'Transfer Engine'!$C$2:$C$1369,0)),"",INDEX('Compliance Database'!$B$2:$B$1369,MATCH(331,'Transfer Engine'!$C$2:$C$1369,0)))</f>
        <v/>
      </c>
      <c r="C340" s="8">
        <f>IF(ISNA(MATCH(331,'Transfer Engine'!$C$2:$C$1369,0)),"",INDEX('Compliance Database'!$C$2:$C$1369,MATCH(331,'Transfer Engine'!$C$2:$C$1369,0)))</f>
        <v/>
      </c>
      <c r="D340" s="9">
        <f>IF(ISNA(MATCH(331,'Transfer Engine'!$C$2:$C$1369,0)),"",INDEX('Compliance Database'!$D$2:$D$1369,MATCH(331,'Transfer Engine'!$C$2:$C$1369,0)))</f>
        <v/>
      </c>
      <c r="E340" s="8">
        <f>IF(ISNA(MATCH(331,'Transfer Engine'!$C$2:$C$1369,0)),"",INDEX('Compliance Database'!$E$2:$E$1369,MATCH(331,'Transfer Engine'!$C$2:$C$1369,0)))</f>
        <v/>
      </c>
      <c r="F340" s="8">
        <f>IF(ISNA(MATCH(331,'Transfer Engine'!$C$2:$C$1369,0)),"",INDEX('Compliance Database'!$F$2:$F$1369,MATCH(331,'Transfer Engine'!$C$2:$C$1369,0)))</f>
        <v/>
      </c>
      <c r="G340" s="8">
        <f>IF(ISNA(MATCH(331,'Transfer Engine'!$C$2:$C$1369,0)),"",INDEX('Compliance Database'!$G$2:$G$1369,MATCH(331,'Transfer Engine'!$C$2:$C$1369,0)))</f>
        <v/>
      </c>
      <c r="H340" s="9">
        <f>IF(ISNA(MATCH(331,'Transfer Engine'!$C$2:$C$1369,0)),"",INDEX('Compliance Database'!$H$2:$H$1369,MATCH(331,'Transfer Engine'!$C$2:$C$1369,0)))</f>
        <v/>
      </c>
      <c r="I340" s="9">
        <f>IF(ISNA(MATCH(331,'Transfer Engine'!$C$2:$C$1369,0)),"",INDEX('Compliance Database'!$I$2:$I$1369,MATCH(331,'Transfer Engine'!$C$2:$C$1369,0)))</f>
        <v/>
      </c>
      <c r="J340" s="8">
        <f>IF(ISNA(MATCH(331,'Transfer Engine'!$C$2:$C$1369,0)),"",INDEX('Compliance Database'!$J$2:$J$1369,MATCH(331,'Transfer Engine'!$C$2:$C$1369,0)))</f>
        <v/>
      </c>
      <c r="K340" s="9">
        <f>IF(ISNA(MATCH(331,'Transfer Engine'!$C$2:$C$1369,0)),"",INDEX('Compliance Database'!$K$2:$K$1369,MATCH(331,'Transfer Engine'!$C$2:$C$1369,0)))</f>
        <v/>
      </c>
      <c r="L340" s="9">
        <f>IF(ISNA(MATCH(331,'Transfer Engine'!$C$2:$C$1369,0)),"",INDEX('Compliance Database'!$L$2:$L$1369,MATCH(331,'Transfer Engine'!$C$2:$C$1369,0)))</f>
        <v/>
      </c>
      <c r="M340" s="9">
        <f>IF(ISNA(MATCH(331,'Transfer Engine'!$C$2:$C$1369,0)),"",INDEX('Compliance Database'!$M$2:$M$1369,MATCH(331,'Transfer Engine'!$C$2:$C$1369,0)))</f>
        <v/>
      </c>
      <c r="N340" s="9">
        <f>IF(ISNA(MATCH(331,'Transfer Engine'!$C$2:$C$1369,0)),"",INDEX('Compliance Database'!$N$2:$N$1369,MATCH(331,'Transfer Engine'!$C$2:$C$1369,0)))</f>
        <v/>
      </c>
      <c r="O340" s="8">
        <f>IF(ISNA(MATCH(331,'Transfer Engine'!$C$2:$C$1369,0)),"",HYPERLINK(INDEX('Compliance Database'!$O$2:$O$1369,MATCH(331,'Transfer Engine'!$C$2:$C$1369,0)),"Open PDF"))</f>
        <v/>
      </c>
    </row>
    <row r="341" ht="188" customHeight="1">
      <c r="A341" s="8">
        <f>IF(ISNA(MATCH(332,'Transfer Engine'!$C$2:$C$1369,0)),"",INDEX('Compliance Database'!$A$2:$A$1369,MATCH(332,'Transfer Engine'!$C$2:$C$1369,0)))</f>
        <v/>
      </c>
      <c r="B341" s="8">
        <f>IF(ISNA(MATCH(332,'Transfer Engine'!$C$2:$C$1369,0)),"",INDEX('Compliance Database'!$B$2:$B$1369,MATCH(332,'Transfer Engine'!$C$2:$C$1369,0)))</f>
        <v/>
      </c>
      <c r="C341" s="8">
        <f>IF(ISNA(MATCH(332,'Transfer Engine'!$C$2:$C$1369,0)),"",INDEX('Compliance Database'!$C$2:$C$1369,MATCH(332,'Transfer Engine'!$C$2:$C$1369,0)))</f>
        <v/>
      </c>
      <c r="D341" s="9">
        <f>IF(ISNA(MATCH(332,'Transfer Engine'!$C$2:$C$1369,0)),"",INDEX('Compliance Database'!$D$2:$D$1369,MATCH(332,'Transfer Engine'!$C$2:$C$1369,0)))</f>
        <v/>
      </c>
      <c r="E341" s="8">
        <f>IF(ISNA(MATCH(332,'Transfer Engine'!$C$2:$C$1369,0)),"",INDEX('Compliance Database'!$E$2:$E$1369,MATCH(332,'Transfer Engine'!$C$2:$C$1369,0)))</f>
        <v/>
      </c>
      <c r="F341" s="8">
        <f>IF(ISNA(MATCH(332,'Transfer Engine'!$C$2:$C$1369,0)),"",INDEX('Compliance Database'!$F$2:$F$1369,MATCH(332,'Transfer Engine'!$C$2:$C$1369,0)))</f>
        <v/>
      </c>
      <c r="G341" s="8">
        <f>IF(ISNA(MATCH(332,'Transfer Engine'!$C$2:$C$1369,0)),"",INDEX('Compliance Database'!$G$2:$G$1369,MATCH(332,'Transfer Engine'!$C$2:$C$1369,0)))</f>
        <v/>
      </c>
      <c r="H341" s="9">
        <f>IF(ISNA(MATCH(332,'Transfer Engine'!$C$2:$C$1369,0)),"",INDEX('Compliance Database'!$H$2:$H$1369,MATCH(332,'Transfer Engine'!$C$2:$C$1369,0)))</f>
        <v/>
      </c>
      <c r="I341" s="9">
        <f>IF(ISNA(MATCH(332,'Transfer Engine'!$C$2:$C$1369,0)),"",INDEX('Compliance Database'!$I$2:$I$1369,MATCH(332,'Transfer Engine'!$C$2:$C$1369,0)))</f>
        <v/>
      </c>
      <c r="J341" s="8">
        <f>IF(ISNA(MATCH(332,'Transfer Engine'!$C$2:$C$1369,0)),"",INDEX('Compliance Database'!$J$2:$J$1369,MATCH(332,'Transfer Engine'!$C$2:$C$1369,0)))</f>
        <v/>
      </c>
      <c r="K341" s="9">
        <f>IF(ISNA(MATCH(332,'Transfer Engine'!$C$2:$C$1369,0)),"",INDEX('Compliance Database'!$K$2:$K$1369,MATCH(332,'Transfer Engine'!$C$2:$C$1369,0)))</f>
        <v/>
      </c>
      <c r="L341" s="9">
        <f>IF(ISNA(MATCH(332,'Transfer Engine'!$C$2:$C$1369,0)),"",INDEX('Compliance Database'!$L$2:$L$1369,MATCH(332,'Transfer Engine'!$C$2:$C$1369,0)))</f>
        <v/>
      </c>
      <c r="M341" s="9">
        <f>IF(ISNA(MATCH(332,'Transfer Engine'!$C$2:$C$1369,0)),"",INDEX('Compliance Database'!$M$2:$M$1369,MATCH(332,'Transfer Engine'!$C$2:$C$1369,0)))</f>
        <v/>
      </c>
      <c r="N341" s="9">
        <f>IF(ISNA(MATCH(332,'Transfer Engine'!$C$2:$C$1369,0)),"",INDEX('Compliance Database'!$N$2:$N$1369,MATCH(332,'Transfer Engine'!$C$2:$C$1369,0)))</f>
        <v/>
      </c>
      <c r="O341" s="8">
        <f>IF(ISNA(MATCH(332,'Transfer Engine'!$C$2:$C$1369,0)),"",HYPERLINK(INDEX('Compliance Database'!$O$2:$O$1369,MATCH(332,'Transfer Engine'!$C$2:$C$1369,0)),"Open PDF"))</f>
        <v/>
      </c>
    </row>
    <row r="342" ht="188" customHeight="1">
      <c r="A342" s="8">
        <f>IF(ISNA(MATCH(333,'Transfer Engine'!$C$2:$C$1369,0)),"",INDEX('Compliance Database'!$A$2:$A$1369,MATCH(333,'Transfer Engine'!$C$2:$C$1369,0)))</f>
        <v/>
      </c>
      <c r="B342" s="8">
        <f>IF(ISNA(MATCH(333,'Transfer Engine'!$C$2:$C$1369,0)),"",INDEX('Compliance Database'!$B$2:$B$1369,MATCH(333,'Transfer Engine'!$C$2:$C$1369,0)))</f>
        <v/>
      </c>
      <c r="C342" s="8">
        <f>IF(ISNA(MATCH(333,'Transfer Engine'!$C$2:$C$1369,0)),"",INDEX('Compliance Database'!$C$2:$C$1369,MATCH(333,'Transfer Engine'!$C$2:$C$1369,0)))</f>
        <v/>
      </c>
      <c r="D342" s="9">
        <f>IF(ISNA(MATCH(333,'Transfer Engine'!$C$2:$C$1369,0)),"",INDEX('Compliance Database'!$D$2:$D$1369,MATCH(333,'Transfer Engine'!$C$2:$C$1369,0)))</f>
        <v/>
      </c>
      <c r="E342" s="8">
        <f>IF(ISNA(MATCH(333,'Transfer Engine'!$C$2:$C$1369,0)),"",INDEX('Compliance Database'!$E$2:$E$1369,MATCH(333,'Transfer Engine'!$C$2:$C$1369,0)))</f>
        <v/>
      </c>
      <c r="F342" s="8">
        <f>IF(ISNA(MATCH(333,'Transfer Engine'!$C$2:$C$1369,0)),"",INDEX('Compliance Database'!$F$2:$F$1369,MATCH(333,'Transfer Engine'!$C$2:$C$1369,0)))</f>
        <v/>
      </c>
      <c r="G342" s="8">
        <f>IF(ISNA(MATCH(333,'Transfer Engine'!$C$2:$C$1369,0)),"",INDEX('Compliance Database'!$G$2:$G$1369,MATCH(333,'Transfer Engine'!$C$2:$C$1369,0)))</f>
        <v/>
      </c>
      <c r="H342" s="9">
        <f>IF(ISNA(MATCH(333,'Transfer Engine'!$C$2:$C$1369,0)),"",INDEX('Compliance Database'!$H$2:$H$1369,MATCH(333,'Transfer Engine'!$C$2:$C$1369,0)))</f>
        <v/>
      </c>
      <c r="I342" s="9">
        <f>IF(ISNA(MATCH(333,'Transfer Engine'!$C$2:$C$1369,0)),"",INDEX('Compliance Database'!$I$2:$I$1369,MATCH(333,'Transfer Engine'!$C$2:$C$1369,0)))</f>
        <v/>
      </c>
      <c r="J342" s="8">
        <f>IF(ISNA(MATCH(333,'Transfer Engine'!$C$2:$C$1369,0)),"",INDEX('Compliance Database'!$J$2:$J$1369,MATCH(333,'Transfer Engine'!$C$2:$C$1369,0)))</f>
        <v/>
      </c>
      <c r="K342" s="9">
        <f>IF(ISNA(MATCH(333,'Transfer Engine'!$C$2:$C$1369,0)),"",INDEX('Compliance Database'!$K$2:$K$1369,MATCH(333,'Transfer Engine'!$C$2:$C$1369,0)))</f>
        <v/>
      </c>
      <c r="L342" s="9">
        <f>IF(ISNA(MATCH(333,'Transfer Engine'!$C$2:$C$1369,0)),"",INDEX('Compliance Database'!$L$2:$L$1369,MATCH(333,'Transfer Engine'!$C$2:$C$1369,0)))</f>
        <v/>
      </c>
      <c r="M342" s="9">
        <f>IF(ISNA(MATCH(333,'Transfer Engine'!$C$2:$C$1369,0)),"",INDEX('Compliance Database'!$M$2:$M$1369,MATCH(333,'Transfer Engine'!$C$2:$C$1369,0)))</f>
        <v/>
      </c>
      <c r="N342" s="9">
        <f>IF(ISNA(MATCH(333,'Transfer Engine'!$C$2:$C$1369,0)),"",INDEX('Compliance Database'!$N$2:$N$1369,MATCH(333,'Transfer Engine'!$C$2:$C$1369,0)))</f>
        <v/>
      </c>
      <c r="O342" s="8">
        <f>IF(ISNA(MATCH(333,'Transfer Engine'!$C$2:$C$1369,0)),"",HYPERLINK(INDEX('Compliance Database'!$O$2:$O$1369,MATCH(333,'Transfer Engine'!$C$2:$C$1369,0)),"Open PDF"))</f>
        <v/>
      </c>
    </row>
    <row r="343" ht="188" customHeight="1">
      <c r="A343" s="8">
        <f>IF(ISNA(MATCH(334,'Transfer Engine'!$C$2:$C$1369,0)),"",INDEX('Compliance Database'!$A$2:$A$1369,MATCH(334,'Transfer Engine'!$C$2:$C$1369,0)))</f>
        <v/>
      </c>
      <c r="B343" s="8">
        <f>IF(ISNA(MATCH(334,'Transfer Engine'!$C$2:$C$1369,0)),"",INDEX('Compliance Database'!$B$2:$B$1369,MATCH(334,'Transfer Engine'!$C$2:$C$1369,0)))</f>
        <v/>
      </c>
      <c r="C343" s="8">
        <f>IF(ISNA(MATCH(334,'Transfer Engine'!$C$2:$C$1369,0)),"",INDEX('Compliance Database'!$C$2:$C$1369,MATCH(334,'Transfer Engine'!$C$2:$C$1369,0)))</f>
        <v/>
      </c>
      <c r="D343" s="9">
        <f>IF(ISNA(MATCH(334,'Transfer Engine'!$C$2:$C$1369,0)),"",INDEX('Compliance Database'!$D$2:$D$1369,MATCH(334,'Transfer Engine'!$C$2:$C$1369,0)))</f>
        <v/>
      </c>
      <c r="E343" s="8">
        <f>IF(ISNA(MATCH(334,'Transfer Engine'!$C$2:$C$1369,0)),"",INDEX('Compliance Database'!$E$2:$E$1369,MATCH(334,'Transfer Engine'!$C$2:$C$1369,0)))</f>
        <v/>
      </c>
      <c r="F343" s="8">
        <f>IF(ISNA(MATCH(334,'Transfer Engine'!$C$2:$C$1369,0)),"",INDEX('Compliance Database'!$F$2:$F$1369,MATCH(334,'Transfer Engine'!$C$2:$C$1369,0)))</f>
        <v/>
      </c>
      <c r="G343" s="8">
        <f>IF(ISNA(MATCH(334,'Transfer Engine'!$C$2:$C$1369,0)),"",INDEX('Compliance Database'!$G$2:$G$1369,MATCH(334,'Transfer Engine'!$C$2:$C$1369,0)))</f>
        <v/>
      </c>
      <c r="H343" s="9">
        <f>IF(ISNA(MATCH(334,'Transfer Engine'!$C$2:$C$1369,0)),"",INDEX('Compliance Database'!$H$2:$H$1369,MATCH(334,'Transfer Engine'!$C$2:$C$1369,0)))</f>
        <v/>
      </c>
      <c r="I343" s="9">
        <f>IF(ISNA(MATCH(334,'Transfer Engine'!$C$2:$C$1369,0)),"",INDEX('Compliance Database'!$I$2:$I$1369,MATCH(334,'Transfer Engine'!$C$2:$C$1369,0)))</f>
        <v/>
      </c>
      <c r="J343" s="8">
        <f>IF(ISNA(MATCH(334,'Transfer Engine'!$C$2:$C$1369,0)),"",INDEX('Compliance Database'!$J$2:$J$1369,MATCH(334,'Transfer Engine'!$C$2:$C$1369,0)))</f>
        <v/>
      </c>
      <c r="K343" s="9">
        <f>IF(ISNA(MATCH(334,'Transfer Engine'!$C$2:$C$1369,0)),"",INDEX('Compliance Database'!$K$2:$K$1369,MATCH(334,'Transfer Engine'!$C$2:$C$1369,0)))</f>
        <v/>
      </c>
      <c r="L343" s="9">
        <f>IF(ISNA(MATCH(334,'Transfer Engine'!$C$2:$C$1369,0)),"",INDEX('Compliance Database'!$L$2:$L$1369,MATCH(334,'Transfer Engine'!$C$2:$C$1369,0)))</f>
        <v/>
      </c>
      <c r="M343" s="9">
        <f>IF(ISNA(MATCH(334,'Transfer Engine'!$C$2:$C$1369,0)),"",INDEX('Compliance Database'!$M$2:$M$1369,MATCH(334,'Transfer Engine'!$C$2:$C$1369,0)))</f>
        <v/>
      </c>
      <c r="N343" s="9">
        <f>IF(ISNA(MATCH(334,'Transfer Engine'!$C$2:$C$1369,0)),"",INDEX('Compliance Database'!$N$2:$N$1369,MATCH(334,'Transfer Engine'!$C$2:$C$1369,0)))</f>
        <v/>
      </c>
      <c r="O343" s="8">
        <f>IF(ISNA(MATCH(334,'Transfer Engine'!$C$2:$C$1369,0)),"",HYPERLINK(INDEX('Compliance Database'!$O$2:$O$1369,MATCH(334,'Transfer Engine'!$C$2:$C$1369,0)),"Open PDF"))</f>
        <v/>
      </c>
    </row>
    <row r="344" ht="188" customHeight="1">
      <c r="A344" s="8">
        <f>IF(ISNA(MATCH(335,'Transfer Engine'!$C$2:$C$1369,0)),"",INDEX('Compliance Database'!$A$2:$A$1369,MATCH(335,'Transfer Engine'!$C$2:$C$1369,0)))</f>
        <v/>
      </c>
      <c r="B344" s="8">
        <f>IF(ISNA(MATCH(335,'Transfer Engine'!$C$2:$C$1369,0)),"",INDEX('Compliance Database'!$B$2:$B$1369,MATCH(335,'Transfer Engine'!$C$2:$C$1369,0)))</f>
        <v/>
      </c>
      <c r="C344" s="8">
        <f>IF(ISNA(MATCH(335,'Transfer Engine'!$C$2:$C$1369,0)),"",INDEX('Compliance Database'!$C$2:$C$1369,MATCH(335,'Transfer Engine'!$C$2:$C$1369,0)))</f>
        <v/>
      </c>
      <c r="D344" s="9">
        <f>IF(ISNA(MATCH(335,'Transfer Engine'!$C$2:$C$1369,0)),"",INDEX('Compliance Database'!$D$2:$D$1369,MATCH(335,'Transfer Engine'!$C$2:$C$1369,0)))</f>
        <v/>
      </c>
      <c r="E344" s="8">
        <f>IF(ISNA(MATCH(335,'Transfer Engine'!$C$2:$C$1369,0)),"",INDEX('Compliance Database'!$E$2:$E$1369,MATCH(335,'Transfer Engine'!$C$2:$C$1369,0)))</f>
        <v/>
      </c>
      <c r="F344" s="8">
        <f>IF(ISNA(MATCH(335,'Transfer Engine'!$C$2:$C$1369,0)),"",INDEX('Compliance Database'!$F$2:$F$1369,MATCH(335,'Transfer Engine'!$C$2:$C$1369,0)))</f>
        <v/>
      </c>
      <c r="G344" s="8">
        <f>IF(ISNA(MATCH(335,'Transfer Engine'!$C$2:$C$1369,0)),"",INDEX('Compliance Database'!$G$2:$G$1369,MATCH(335,'Transfer Engine'!$C$2:$C$1369,0)))</f>
        <v/>
      </c>
      <c r="H344" s="9">
        <f>IF(ISNA(MATCH(335,'Transfer Engine'!$C$2:$C$1369,0)),"",INDEX('Compliance Database'!$H$2:$H$1369,MATCH(335,'Transfer Engine'!$C$2:$C$1369,0)))</f>
        <v/>
      </c>
      <c r="I344" s="9">
        <f>IF(ISNA(MATCH(335,'Transfer Engine'!$C$2:$C$1369,0)),"",INDEX('Compliance Database'!$I$2:$I$1369,MATCH(335,'Transfer Engine'!$C$2:$C$1369,0)))</f>
        <v/>
      </c>
      <c r="J344" s="8">
        <f>IF(ISNA(MATCH(335,'Transfer Engine'!$C$2:$C$1369,0)),"",INDEX('Compliance Database'!$J$2:$J$1369,MATCH(335,'Transfer Engine'!$C$2:$C$1369,0)))</f>
        <v/>
      </c>
      <c r="K344" s="9">
        <f>IF(ISNA(MATCH(335,'Transfer Engine'!$C$2:$C$1369,0)),"",INDEX('Compliance Database'!$K$2:$K$1369,MATCH(335,'Transfer Engine'!$C$2:$C$1369,0)))</f>
        <v/>
      </c>
      <c r="L344" s="9">
        <f>IF(ISNA(MATCH(335,'Transfer Engine'!$C$2:$C$1369,0)),"",INDEX('Compliance Database'!$L$2:$L$1369,MATCH(335,'Transfer Engine'!$C$2:$C$1369,0)))</f>
        <v/>
      </c>
      <c r="M344" s="9">
        <f>IF(ISNA(MATCH(335,'Transfer Engine'!$C$2:$C$1369,0)),"",INDEX('Compliance Database'!$M$2:$M$1369,MATCH(335,'Transfer Engine'!$C$2:$C$1369,0)))</f>
        <v/>
      </c>
      <c r="N344" s="9">
        <f>IF(ISNA(MATCH(335,'Transfer Engine'!$C$2:$C$1369,0)),"",INDEX('Compliance Database'!$N$2:$N$1369,MATCH(335,'Transfer Engine'!$C$2:$C$1369,0)))</f>
        <v/>
      </c>
      <c r="O344" s="8">
        <f>IF(ISNA(MATCH(335,'Transfer Engine'!$C$2:$C$1369,0)),"",HYPERLINK(INDEX('Compliance Database'!$O$2:$O$1369,MATCH(335,'Transfer Engine'!$C$2:$C$1369,0)),"Open PDF"))</f>
        <v/>
      </c>
    </row>
    <row r="345" ht="188" customHeight="1">
      <c r="A345" s="8">
        <f>IF(ISNA(MATCH(336,'Transfer Engine'!$C$2:$C$1369,0)),"",INDEX('Compliance Database'!$A$2:$A$1369,MATCH(336,'Transfer Engine'!$C$2:$C$1369,0)))</f>
        <v/>
      </c>
      <c r="B345" s="8">
        <f>IF(ISNA(MATCH(336,'Transfer Engine'!$C$2:$C$1369,0)),"",INDEX('Compliance Database'!$B$2:$B$1369,MATCH(336,'Transfer Engine'!$C$2:$C$1369,0)))</f>
        <v/>
      </c>
      <c r="C345" s="8">
        <f>IF(ISNA(MATCH(336,'Transfer Engine'!$C$2:$C$1369,0)),"",INDEX('Compliance Database'!$C$2:$C$1369,MATCH(336,'Transfer Engine'!$C$2:$C$1369,0)))</f>
        <v/>
      </c>
      <c r="D345" s="9">
        <f>IF(ISNA(MATCH(336,'Transfer Engine'!$C$2:$C$1369,0)),"",INDEX('Compliance Database'!$D$2:$D$1369,MATCH(336,'Transfer Engine'!$C$2:$C$1369,0)))</f>
        <v/>
      </c>
      <c r="E345" s="8">
        <f>IF(ISNA(MATCH(336,'Transfer Engine'!$C$2:$C$1369,0)),"",INDEX('Compliance Database'!$E$2:$E$1369,MATCH(336,'Transfer Engine'!$C$2:$C$1369,0)))</f>
        <v/>
      </c>
      <c r="F345" s="8">
        <f>IF(ISNA(MATCH(336,'Transfer Engine'!$C$2:$C$1369,0)),"",INDEX('Compliance Database'!$F$2:$F$1369,MATCH(336,'Transfer Engine'!$C$2:$C$1369,0)))</f>
        <v/>
      </c>
      <c r="G345" s="8">
        <f>IF(ISNA(MATCH(336,'Transfer Engine'!$C$2:$C$1369,0)),"",INDEX('Compliance Database'!$G$2:$G$1369,MATCH(336,'Transfer Engine'!$C$2:$C$1369,0)))</f>
        <v/>
      </c>
      <c r="H345" s="9">
        <f>IF(ISNA(MATCH(336,'Transfer Engine'!$C$2:$C$1369,0)),"",INDEX('Compliance Database'!$H$2:$H$1369,MATCH(336,'Transfer Engine'!$C$2:$C$1369,0)))</f>
        <v/>
      </c>
      <c r="I345" s="9">
        <f>IF(ISNA(MATCH(336,'Transfer Engine'!$C$2:$C$1369,0)),"",INDEX('Compliance Database'!$I$2:$I$1369,MATCH(336,'Transfer Engine'!$C$2:$C$1369,0)))</f>
        <v/>
      </c>
      <c r="J345" s="8">
        <f>IF(ISNA(MATCH(336,'Transfer Engine'!$C$2:$C$1369,0)),"",INDEX('Compliance Database'!$J$2:$J$1369,MATCH(336,'Transfer Engine'!$C$2:$C$1369,0)))</f>
        <v/>
      </c>
      <c r="K345" s="9">
        <f>IF(ISNA(MATCH(336,'Transfer Engine'!$C$2:$C$1369,0)),"",INDEX('Compliance Database'!$K$2:$K$1369,MATCH(336,'Transfer Engine'!$C$2:$C$1369,0)))</f>
        <v/>
      </c>
      <c r="L345" s="9">
        <f>IF(ISNA(MATCH(336,'Transfer Engine'!$C$2:$C$1369,0)),"",INDEX('Compliance Database'!$L$2:$L$1369,MATCH(336,'Transfer Engine'!$C$2:$C$1369,0)))</f>
        <v/>
      </c>
      <c r="M345" s="9">
        <f>IF(ISNA(MATCH(336,'Transfer Engine'!$C$2:$C$1369,0)),"",INDEX('Compliance Database'!$M$2:$M$1369,MATCH(336,'Transfer Engine'!$C$2:$C$1369,0)))</f>
        <v/>
      </c>
      <c r="N345" s="9">
        <f>IF(ISNA(MATCH(336,'Transfer Engine'!$C$2:$C$1369,0)),"",INDEX('Compliance Database'!$N$2:$N$1369,MATCH(336,'Transfer Engine'!$C$2:$C$1369,0)))</f>
        <v/>
      </c>
      <c r="O345" s="8">
        <f>IF(ISNA(MATCH(336,'Transfer Engine'!$C$2:$C$1369,0)),"",HYPERLINK(INDEX('Compliance Database'!$O$2:$O$1369,MATCH(336,'Transfer Engine'!$C$2:$C$1369,0)),"Open PDF"))</f>
        <v/>
      </c>
    </row>
    <row r="346" ht="188" customHeight="1">
      <c r="A346" s="8">
        <f>IF(ISNA(MATCH(337,'Transfer Engine'!$C$2:$C$1369,0)),"",INDEX('Compliance Database'!$A$2:$A$1369,MATCH(337,'Transfer Engine'!$C$2:$C$1369,0)))</f>
        <v/>
      </c>
      <c r="B346" s="8">
        <f>IF(ISNA(MATCH(337,'Transfer Engine'!$C$2:$C$1369,0)),"",INDEX('Compliance Database'!$B$2:$B$1369,MATCH(337,'Transfer Engine'!$C$2:$C$1369,0)))</f>
        <v/>
      </c>
      <c r="C346" s="8">
        <f>IF(ISNA(MATCH(337,'Transfer Engine'!$C$2:$C$1369,0)),"",INDEX('Compliance Database'!$C$2:$C$1369,MATCH(337,'Transfer Engine'!$C$2:$C$1369,0)))</f>
        <v/>
      </c>
      <c r="D346" s="9">
        <f>IF(ISNA(MATCH(337,'Transfer Engine'!$C$2:$C$1369,0)),"",INDEX('Compliance Database'!$D$2:$D$1369,MATCH(337,'Transfer Engine'!$C$2:$C$1369,0)))</f>
        <v/>
      </c>
      <c r="E346" s="8">
        <f>IF(ISNA(MATCH(337,'Transfer Engine'!$C$2:$C$1369,0)),"",INDEX('Compliance Database'!$E$2:$E$1369,MATCH(337,'Transfer Engine'!$C$2:$C$1369,0)))</f>
        <v/>
      </c>
      <c r="F346" s="8">
        <f>IF(ISNA(MATCH(337,'Transfer Engine'!$C$2:$C$1369,0)),"",INDEX('Compliance Database'!$F$2:$F$1369,MATCH(337,'Transfer Engine'!$C$2:$C$1369,0)))</f>
        <v/>
      </c>
      <c r="G346" s="8">
        <f>IF(ISNA(MATCH(337,'Transfer Engine'!$C$2:$C$1369,0)),"",INDEX('Compliance Database'!$G$2:$G$1369,MATCH(337,'Transfer Engine'!$C$2:$C$1369,0)))</f>
        <v/>
      </c>
      <c r="H346" s="9">
        <f>IF(ISNA(MATCH(337,'Transfer Engine'!$C$2:$C$1369,0)),"",INDEX('Compliance Database'!$H$2:$H$1369,MATCH(337,'Transfer Engine'!$C$2:$C$1369,0)))</f>
        <v/>
      </c>
      <c r="I346" s="9">
        <f>IF(ISNA(MATCH(337,'Transfer Engine'!$C$2:$C$1369,0)),"",INDEX('Compliance Database'!$I$2:$I$1369,MATCH(337,'Transfer Engine'!$C$2:$C$1369,0)))</f>
        <v/>
      </c>
      <c r="J346" s="8">
        <f>IF(ISNA(MATCH(337,'Transfer Engine'!$C$2:$C$1369,0)),"",INDEX('Compliance Database'!$J$2:$J$1369,MATCH(337,'Transfer Engine'!$C$2:$C$1369,0)))</f>
        <v/>
      </c>
      <c r="K346" s="9">
        <f>IF(ISNA(MATCH(337,'Transfer Engine'!$C$2:$C$1369,0)),"",INDEX('Compliance Database'!$K$2:$K$1369,MATCH(337,'Transfer Engine'!$C$2:$C$1369,0)))</f>
        <v/>
      </c>
      <c r="L346" s="9">
        <f>IF(ISNA(MATCH(337,'Transfer Engine'!$C$2:$C$1369,0)),"",INDEX('Compliance Database'!$L$2:$L$1369,MATCH(337,'Transfer Engine'!$C$2:$C$1369,0)))</f>
        <v/>
      </c>
      <c r="M346" s="9">
        <f>IF(ISNA(MATCH(337,'Transfer Engine'!$C$2:$C$1369,0)),"",INDEX('Compliance Database'!$M$2:$M$1369,MATCH(337,'Transfer Engine'!$C$2:$C$1369,0)))</f>
        <v/>
      </c>
      <c r="N346" s="9">
        <f>IF(ISNA(MATCH(337,'Transfer Engine'!$C$2:$C$1369,0)),"",INDEX('Compliance Database'!$N$2:$N$1369,MATCH(337,'Transfer Engine'!$C$2:$C$1369,0)))</f>
        <v/>
      </c>
      <c r="O346" s="8">
        <f>IF(ISNA(MATCH(337,'Transfer Engine'!$C$2:$C$1369,0)),"",HYPERLINK(INDEX('Compliance Database'!$O$2:$O$1369,MATCH(337,'Transfer Engine'!$C$2:$C$1369,0)),"Open PDF"))</f>
        <v/>
      </c>
    </row>
    <row r="347" ht="188" customHeight="1">
      <c r="A347" s="8">
        <f>IF(ISNA(MATCH(338,'Transfer Engine'!$C$2:$C$1369,0)),"",INDEX('Compliance Database'!$A$2:$A$1369,MATCH(338,'Transfer Engine'!$C$2:$C$1369,0)))</f>
        <v/>
      </c>
      <c r="B347" s="8">
        <f>IF(ISNA(MATCH(338,'Transfer Engine'!$C$2:$C$1369,0)),"",INDEX('Compliance Database'!$B$2:$B$1369,MATCH(338,'Transfer Engine'!$C$2:$C$1369,0)))</f>
        <v/>
      </c>
      <c r="C347" s="8">
        <f>IF(ISNA(MATCH(338,'Transfer Engine'!$C$2:$C$1369,0)),"",INDEX('Compliance Database'!$C$2:$C$1369,MATCH(338,'Transfer Engine'!$C$2:$C$1369,0)))</f>
        <v/>
      </c>
      <c r="D347" s="9">
        <f>IF(ISNA(MATCH(338,'Transfer Engine'!$C$2:$C$1369,0)),"",INDEX('Compliance Database'!$D$2:$D$1369,MATCH(338,'Transfer Engine'!$C$2:$C$1369,0)))</f>
        <v/>
      </c>
      <c r="E347" s="8">
        <f>IF(ISNA(MATCH(338,'Transfer Engine'!$C$2:$C$1369,0)),"",INDEX('Compliance Database'!$E$2:$E$1369,MATCH(338,'Transfer Engine'!$C$2:$C$1369,0)))</f>
        <v/>
      </c>
      <c r="F347" s="8">
        <f>IF(ISNA(MATCH(338,'Transfer Engine'!$C$2:$C$1369,0)),"",INDEX('Compliance Database'!$F$2:$F$1369,MATCH(338,'Transfer Engine'!$C$2:$C$1369,0)))</f>
        <v/>
      </c>
      <c r="G347" s="8">
        <f>IF(ISNA(MATCH(338,'Transfer Engine'!$C$2:$C$1369,0)),"",INDEX('Compliance Database'!$G$2:$G$1369,MATCH(338,'Transfer Engine'!$C$2:$C$1369,0)))</f>
        <v/>
      </c>
      <c r="H347" s="9">
        <f>IF(ISNA(MATCH(338,'Transfer Engine'!$C$2:$C$1369,0)),"",INDEX('Compliance Database'!$H$2:$H$1369,MATCH(338,'Transfer Engine'!$C$2:$C$1369,0)))</f>
        <v/>
      </c>
      <c r="I347" s="9">
        <f>IF(ISNA(MATCH(338,'Transfer Engine'!$C$2:$C$1369,0)),"",INDEX('Compliance Database'!$I$2:$I$1369,MATCH(338,'Transfer Engine'!$C$2:$C$1369,0)))</f>
        <v/>
      </c>
      <c r="J347" s="8">
        <f>IF(ISNA(MATCH(338,'Transfer Engine'!$C$2:$C$1369,0)),"",INDEX('Compliance Database'!$J$2:$J$1369,MATCH(338,'Transfer Engine'!$C$2:$C$1369,0)))</f>
        <v/>
      </c>
      <c r="K347" s="9">
        <f>IF(ISNA(MATCH(338,'Transfer Engine'!$C$2:$C$1369,0)),"",INDEX('Compliance Database'!$K$2:$K$1369,MATCH(338,'Transfer Engine'!$C$2:$C$1369,0)))</f>
        <v/>
      </c>
      <c r="L347" s="9">
        <f>IF(ISNA(MATCH(338,'Transfer Engine'!$C$2:$C$1369,0)),"",INDEX('Compliance Database'!$L$2:$L$1369,MATCH(338,'Transfer Engine'!$C$2:$C$1369,0)))</f>
        <v/>
      </c>
      <c r="M347" s="9">
        <f>IF(ISNA(MATCH(338,'Transfer Engine'!$C$2:$C$1369,0)),"",INDEX('Compliance Database'!$M$2:$M$1369,MATCH(338,'Transfer Engine'!$C$2:$C$1369,0)))</f>
        <v/>
      </c>
      <c r="N347" s="9">
        <f>IF(ISNA(MATCH(338,'Transfer Engine'!$C$2:$C$1369,0)),"",INDEX('Compliance Database'!$N$2:$N$1369,MATCH(338,'Transfer Engine'!$C$2:$C$1369,0)))</f>
        <v/>
      </c>
      <c r="O347" s="8">
        <f>IF(ISNA(MATCH(338,'Transfer Engine'!$C$2:$C$1369,0)),"",HYPERLINK(INDEX('Compliance Database'!$O$2:$O$1369,MATCH(338,'Transfer Engine'!$C$2:$C$1369,0)),"Open PDF"))</f>
        <v/>
      </c>
    </row>
    <row r="348" ht="188" customHeight="1">
      <c r="A348" s="8">
        <f>IF(ISNA(MATCH(339,'Transfer Engine'!$C$2:$C$1369,0)),"",INDEX('Compliance Database'!$A$2:$A$1369,MATCH(339,'Transfer Engine'!$C$2:$C$1369,0)))</f>
        <v/>
      </c>
      <c r="B348" s="8">
        <f>IF(ISNA(MATCH(339,'Transfer Engine'!$C$2:$C$1369,0)),"",INDEX('Compliance Database'!$B$2:$B$1369,MATCH(339,'Transfer Engine'!$C$2:$C$1369,0)))</f>
        <v/>
      </c>
      <c r="C348" s="8">
        <f>IF(ISNA(MATCH(339,'Transfer Engine'!$C$2:$C$1369,0)),"",INDEX('Compliance Database'!$C$2:$C$1369,MATCH(339,'Transfer Engine'!$C$2:$C$1369,0)))</f>
        <v/>
      </c>
      <c r="D348" s="9">
        <f>IF(ISNA(MATCH(339,'Transfer Engine'!$C$2:$C$1369,0)),"",INDEX('Compliance Database'!$D$2:$D$1369,MATCH(339,'Transfer Engine'!$C$2:$C$1369,0)))</f>
        <v/>
      </c>
      <c r="E348" s="8">
        <f>IF(ISNA(MATCH(339,'Transfer Engine'!$C$2:$C$1369,0)),"",INDEX('Compliance Database'!$E$2:$E$1369,MATCH(339,'Transfer Engine'!$C$2:$C$1369,0)))</f>
        <v/>
      </c>
      <c r="F348" s="8">
        <f>IF(ISNA(MATCH(339,'Transfer Engine'!$C$2:$C$1369,0)),"",INDEX('Compliance Database'!$F$2:$F$1369,MATCH(339,'Transfer Engine'!$C$2:$C$1369,0)))</f>
        <v/>
      </c>
      <c r="G348" s="8">
        <f>IF(ISNA(MATCH(339,'Transfer Engine'!$C$2:$C$1369,0)),"",INDEX('Compliance Database'!$G$2:$G$1369,MATCH(339,'Transfer Engine'!$C$2:$C$1369,0)))</f>
        <v/>
      </c>
      <c r="H348" s="9">
        <f>IF(ISNA(MATCH(339,'Transfer Engine'!$C$2:$C$1369,0)),"",INDEX('Compliance Database'!$H$2:$H$1369,MATCH(339,'Transfer Engine'!$C$2:$C$1369,0)))</f>
        <v/>
      </c>
      <c r="I348" s="9">
        <f>IF(ISNA(MATCH(339,'Transfer Engine'!$C$2:$C$1369,0)),"",INDEX('Compliance Database'!$I$2:$I$1369,MATCH(339,'Transfer Engine'!$C$2:$C$1369,0)))</f>
        <v/>
      </c>
      <c r="J348" s="8">
        <f>IF(ISNA(MATCH(339,'Transfer Engine'!$C$2:$C$1369,0)),"",INDEX('Compliance Database'!$J$2:$J$1369,MATCH(339,'Transfer Engine'!$C$2:$C$1369,0)))</f>
        <v/>
      </c>
      <c r="K348" s="9">
        <f>IF(ISNA(MATCH(339,'Transfer Engine'!$C$2:$C$1369,0)),"",INDEX('Compliance Database'!$K$2:$K$1369,MATCH(339,'Transfer Engine'!$C$2:$C$1369,0)))</f>
        <v/>
      </c>
      <c r="L348" s="9">
        <f>IF(ISNA(MATCH(339,'Transfer Engine'!$C$2:$C$1369,0)),"",INDEX('Compliance Database'!$L$2:$L$1369,MATCH(339,'Transfer Engine'!$C$2:$C$1369,0)))</f>
        <v/>
      </c>
      <c r="M348" s="9">
        <f>IF(ISNA(MATCH(339,'Transfer Engine'!$C$2:$C$1369,0)),"",INDEX('Compliance Database'!$M$2:$M$1369,MATCH(339,'Transfer Engine'!$C$2:$C$1369,0)))</f>
        <v/>
      </c>
      <c r="N348" s="9">
        <f>IF(ISNA(MATCH(339,'Transfer Engine'!$C$2:$C$1369,0)),"",INDEX('Compliance Database'!$N$2:$N$1369,MATCH(339,'Transfer Engine'!$C$2:$C$1369,0)))</f>
        <v/>
      </c>
      <c r="O348" s="8">
        <f>IF(ISNA(MATCH(339,'Transfer Engine'!$C$2:$C$1369,0)),"",HYPERLINK(INDEX('Compliance Database'!$O$2:$O$1369,MATCH(339,'Transfer Engine'!$C$2:$C$1369,0)),"Open PDF"))</f>
        <v/>
      </c>
    </row>
    <row r="349" ht="188" customHeight="1">
      <c r="A349" s="8">
        <f>IF(ISNA(MATCH(340,'Transfer Engine'!$C$2:$C$1369,0)),"",INDEX('Compliance Database'!$A$2:$A$1369,MATCH(340,'Transfer Engine'!$C$2:$C$1369,0)))</f>
        <v/>
      </c>
      <c r="B349" s="8">
        <f>IF(ISNA(MATCH(340,'Transfer Engine'!$C$2:$C$1369,0)),"",INDEX('Compliance Database'!$B$2:$B$1369,MATCH(340,'Transfer Engine'!$C$2:$C$1369,0)))</f>
        <v/>
      </c>
      <c r="C349" s="8">
        <f>IF(ISNA(MATCH(340,'Transfer Engine'!$C$2:$C$1369,0)),"",INDEX('Compliance Database'!$C$2:$C$1369,MATCH(340,'Transfer Engine'!$C$2:$C$1369,0)))</f>
        <v/>
      </c>
      <c r="D349" s="9">
        <f>IF(ISNA(MATCH(340,'Transfer Engine'!$C$2:$C$1369,0)),"",INDEX('Compliance Database'!$D$2:$D$1369,MATCH(340,'Transfer Engine'!$C$2:$C$1369,0)))</f>
        <v/>
      </c>
      <c r="E349" s="8">
        <f>IF(ISNA(MATCH(340,'Transfer Engine'!$C$2:$C$1369,0)),"",INDEX('Compliance Database'!$E$2:$E$1369,MATCH(340,'Transfer Engine'!$C$2:$C$1369,0)))</f>
        <v/>
      </c>
      <c r="F349" s="8">
        <f>IF(ISNA(MATCH(340,'Transfer Engine'!$C$2:$C$1369,0)),"",INDEX('Compliance Database'!$F$2:$F$1369,MATCH(340,'Transfer Engine'!$C$2:$C$1369,0)))</f>
        <v/>
      </c>
      <c r="G349" s="8">
        <f>IF(ISNA(MATCH(340,'Transfer Engine'!$C$2:$C$1369,0)),"",INDEX('Compliance Database'!$G$2:$G$1369,MATCH(340,'Transfer Engine'!$C$2:$C$1369,0)))</f>
        <v/>
      </c>
      <c r="H349" s="9">
        <f>IF(ISNA(MATCH(340,'Transfer Engine'!$C$2:$C$1369,0)),"",INDEX('Compliance Database'!$H$2:$H$1369,MATCH(340,'Transfer Engine'!$C$2:$C$1369,0)))</f>
        <v/>
      </c>
      <c r="I349" s="9">
        <f>IF(ISNA(MATCH(340,'Transfer Engine'!$C$2:$C$1369,0)),"",INDEX('Compliance Database'!$I$2:$I$1369,MATCH(340,'Transfer Engine'!$C$2:$C$1369,0)))</f>
        <v/>
      </c>
      <c r="J349" s="8">
        <f>IF(ISNA(MATCH(340,'Transfer Engine'!$C$2:$C$1369,0)),"",INDEX('Compliance Database'!$J$2:$J$1369,MATCH(340,'Transfer Engine'!$C$2:$C$1369,0)))</f>
        <v/>
      </c>
      <c r="K349" s="9">
        <f>IF(ISNA(MATCH(340,'Transfer Engine'!$C$2:$C$1369,0)),"",INDEX('Compliance Database'!$K$2:$K$1369,MATCH(340,'Transfer Engine'!$C$2:$C$1369,0)))</f>
        <v/>
      </c>
      <c r="L349" s="9">
        <f>IF(ISNA(MATCH(340,'Transfer Engine'!$C$2:$C$1369,0)),"",INDEX('Compliance Database'!$L$2:$L$1369,MATCH(340,'Transfer Engine'!$C$2:$C$1369,0)))</f>
        <v/>
      </c>
      <c r="M349" s="9">
        <f>IF(ISNA(MATCH(340,'Transfer Engine'!$C$2:$C$1369,0)),"",INDEX('Compliance Database'!$M$2:$M$1369,MATCH(340,'Transfer Engine'!$C$2:$C$1369,0)))</f>
        <v/>
      </c>
      <c r="N349" s="9">
        <f>IF(ISNA(MATCH(340,'Transfer Engine'!$C$2:$C$1369,0)),"",INDEX('Compliance Database'!$N$2:$N$1369,MATCH(340,'Transfer Engine'!$C$2:$C$1369,0)))</f>
        <v/>
      </c>
      <c r="O349" s="8">
        <f>IF(ISNA(MATCH(340,'Transfer Engine'!$C$2:$C$1369,0)),"",HYPERLINK(INDEX('Compliance Database'!$O$2:$O$1369,MATCH(340,'Transfer Engine'!$C$2:$C$1369,0)),"Open PDF"))</f>
        <v/>
      </c>
    </row>
    <row r="350" ht="188" customHeight="1">
      <c r="A350" s="8">
        <f>IF(ISNA(MATCH(341,'Transfer Engine'!$C$2:$C$1369,0)),"",INDEX('Compliance Database'!$A$2:$A$1369,MATCH(341,'Transfer Engine'!$C$2:$C$1369,0)))</f>
        <v/>
      </c>
      <c r="B350" s="8">
        <f>IF(ISNA(MATCH(341,'Transfer Engine'!$C$2:$C$1369,0)),"",INDEX('Compliance Database'!$B$2:$B$1369,MATCH(341,'Transfer Engine'!$C$2:$C$1369,0)))</f>
        <v/>
      </c>
      <c r="C350" s="8">
        <f>IF(ISNA(MATCH(341,'Transfer Engine'!$C$2:$C$1369,0)),"",INDEX('Compliance Database'!$C$2:$C$1369,MATCH(341,'Transfer Engine'!$C$2:$C$1369,0)))</f>
        <v/>
      </c>
      <c r="D350" s="9">
        <f>IF(ISNA(MATCH(341,'Transfer Engine'!$C$2:$C$1369,0)),"",INDEX('Compliance Database'!$D$2:$D$1369,MATCH(341,'Transfer Engine'!$C$2:$C$1369,0)))</f>
        <v/>
      </c>
      <c r="E350" s="8">
        <f>IF(ISNA(MATCH(341,'Transfer Engine'!$C$2:$C$1369,0)),"",INDEX('Compliance Database'!$E$2:$E$1369,MATCH(341,'Transfer Engine'!$C$2:$C$1369,0)))</f>
        <v/>
      </c>
      <c r="F350" s="8">
        <f>IF(ISNA(MATCH(341,'Transfer Engine'!$C$2:$C$1369,0)),"",INDEX('Compliance Database'!$F$2:$F$1369,MATCH(341,'Transfer Engine'!$C$2:$C$1369,0)))</f>
        <v/>
      </c>
      <c r="G350" s="8">
        <f>IF(ISNA(MATCH(341,'Transfer Engine'!$C$2:$C$1369,0)),"",INDEX('Compliance Database'!$G$2:$G$1369,MATCH(341,'Transfer Engine'!$C$2:$C$1369,0)))</f>
        <v/>
      </c>
      <c r="H350" s="9">
        <f>IF(ISNA(MATCH(341,'Transfer Engine'!$C$2:$C$1369,0)),"",INDEX('Compliance Database'!$H$2:$H$1369,MATCH(341,'Transfer Engine'!$C$2:$C$1369,0)))</f>
        <v/>
      </c>
      <c r="I350" s="9">
        <f>IF(ISNA(MATCH(341,'Transfer Engine'!$C$2:$C$1369,0)),"",INDEX('Compliance Database'!$I$2:$I$1369,MATCH(341,'Transfer Engine'!$C$2:$C$1369,0)))</f>
        <v/>
      </c>
      <c r="J350" s="8">
        <f>IF(ISNA(MATCH(341,'Transfer Engine'!$C$2:$C$1369,0)),"",INDEX('Compliance Database'!$J$2:$J$1369,MATCH(341,'Transfer Engine'!$C$2:$C$1369,0)))</f>
        <v/>
      </c>
      <c r="K350" s="9">
        <f>IF(ISNA(MATCH(341,'Transfer Engine'!$C$2:$C$1369,0)),"",INDEX('Compliance Database'!$K$2:$K$1369,MATCH(341,'Transfer Engine'!$C$2:$C$1369,0)))</f>
        <v/>
      </c>
      <c r="L350" s="9">
        <f>IF(ISNA(MATCH(341,'Transfer Engine'!$C$2:$C$1369,0)),"",INDEX('Compliance Database'!$L$2:$L$1369,MATCH(341,'Transfer Engine'!$C$2:$C$1369,0)))</f>
        <v/>
      </c>
      <c r="M350" s="9">
        <f>IF(ISNA(MATCH(341,'Transfer Engine'!$C$2:$C$1369,0)),"",INDEX('Compliance Database'!$M$2:$M$1369,MATCH(341,'Transfer Engine'!$C$2:$C$1369,0)))</f>
        <v/>
      </c>
      <c r="N350" s="9">
        <f>IF(ISNA(MATCH(341,'Transfer Engine'!$C$2:$C$1369,0)),"",INDEX('Compliance Database'!$N$2:$N$1369,MATCH(341,'Transfer Engine'!$C$2:$C$1369,0)))</f>
        <v/>
      </c>
      <c r="O350" s="8">
        <f>IF(ISNA(MATCH(341,'Transfer Engine'!$C$2:$C$1369,0)),"",HYPERLINK(INDEX('Compliance Database'!$O$2:$O$1369,MATCH(341,'Transfer Engine'!$C$2:$C$1369,0)),"Open PDF"))</f>
        <v/>
      </c>
    </row>
    <row r="351" ht="188" customHeight="1">
      <c r="A351" s="8">
        <f>IF(ISNA(MATCH(342,'Transfer Engine'!$C$2:$C$1369,0)),"",INDEX('Compliance Database'!$A$2:$A$1369,MATCH(342,'Transfer Engine'!$C$2:$C$1369,0)))</f>
        <v/>
      </c>
      <c r="B351" s="8">
        <f>IF(ISNA(MATCH(342,'Transfer Engine'!$C$2:$C$1369,0)),"",INDEX('Compliance Database'!$B$2:$B$1369,MATCH(342,'Transfer Engine'!$C$2:$C$1369,0)))</f>
        <v/>
      </c>
      <c r="C351" s="8">
        <f>IF(ISNA(MATCH(342,'Transfer Engine'!$C$2:$C$1369,0)),"",INDEX('Compliance Database'!$C$2:$C$1369,MATCH(342,'Transfer Engine'!$C$2:$C$1369,0)))</f>
        <v/>
      </c>
      <c r="D351" s="9">
        <f>IF(ISNA(MATCH(342,'Transfer Engine'!$C$2:$C$1369,0)),"",INDEX('Compliance Database'!$D$2:$D$1369,MATCH(342,'Transfer Engine'!$C$2:$C$1369,0)))</f>
        <v/>
      </c>
      <c r="E351" s="8">
        <f>IF(ISNA(MATCH(342,'Transfer Engine'!$C$2:$C$1369,0)),"",INDEX('Compliance Database'!$E$2:$E$1369,MATCH(342,'Transfer Engine'!$C$2:$C$1369,0)))</f>
        <v/>
      </c>
      <c r="F351" s="8">
        <f>IF(ISNA(MATCH(342,'Transfer Engine'!$C$2:$C$1369,0)),"",INDEX('Compliance Database'!$F$2:$F$1369,MATCH(342,'Transfer Engine'!$C$2:$C$1369,0)))</f>
        <v/>
      </c>
      <c r="G351" s="8">
        <f>IF(ISNA(MATCH(342,'Transfer Engine'!$C$2:$C$1369,0)),"",INDEX('Compliance Database'!$G$2:$G$1369,MATCH(342,'Transfer Engine'!$C$2:$C$1369,0)))</f>
        <v/>
      </c>
      <c r="H351" s="9">
        <f>IF(ISNA(MATCH(342,'Transfer Engine'!$C$2:$C$1369,0)),"",INDEX('Compliance Database'!$H$2:$H$1369,MATCH(342,'Transfer Engine'!$C$2:$C$1369,0)))</f>
        <v/>
      </c>
      <c r="I351" s="9">
        <f>IF(ISNA(MATCH(342,'Transfer Engine'!$C$2:$C$1369,0)),"",INDEX('Compliance Database'!$I$2:$I$1369,MATCH(342,'Transfer Engine'!$C$2:$C$1369,0)))</f>
        <v/>
      </c>
      <c r="J351" s="8">
        <f>IF(ISNA(MATCH(342,'Transfer Engine'!$C$2:$C$1369,0)),"",INDEX('Compliance Database'!$J$2:$J$1369,MATCH(342,'Transfer Engine'!$C$2:$C$1369,0)))</f>
        <v/>
      </c>
      <c r="K351" s="9">
        <f>IF(ISNA(MATCH(342,'Transfer Engine'!$C$2:$C$1369,0)),"",INDEX('Compliance Database'!$K$2:$K$1369,MATCH(342,'Transfer Engine'!$C$2:$C$1369,0)))</f>
        <v/>
      </c>
      <c r="L351" s="9">
        <f>IF(ISNA(MATCH(342,'Transfer Engine'!$C$2:$C$1369,0)),"",INDEX('Compliance Database'!$L$2:$L$1369,MATCH(342,'Transfer Engine'!$C$2:$C$1369,0)))</f>
        <v/>
      </c>
      <c r="M351" s="9">
        <f>IF(ISNA(MATCH(342,'Transfer Engine'!$C$2:$C$1369,0)),"",INDEX('Compliance Database'!$M$2:$M$1369,MATCH(342,'Transfer Engine'!$C$2:$C$1369,0)))</f>
        <v/>
      </c>
      <c r="N351" s="9">
        <f>IF(ISNA(MATCH(342,'Transfer Engine'!$C$2:$C$1369,0)),"",INDEX('Compliance Database'!$N$2:$N$1369,MATCH(342,'Transfer Engine'!$C$2:$C$1369,0)))</f>
        <v/>
      </c>
      <c r="O351" s="8">
        <f>IF(ISNA(MATCH(342,'Transfer Engine'!$C$2:$C$1369,0)),"",HYPERLINK(INDEX('Compliance Database'!$O$2:$O$1369,MATCH(342,'Transfer Engine'!$C$2:$C$1369,0)),"Open PDF"))</f>
        <v/>
      </c>
    </row>
    <row r="352" ht="188" customHeight="1">
      <c r="A352" s="8">
        <f>IF(ISNA(MATCH(343,'Transfer Engine'!$C$2:$C$1369,0)),"",INDEX('Compliance Database'!$A$2:$A$1369,MATCH(343,'Transfer Engine'!$C$2:$C$1369,0)))</f>
        <v/>
      </c>
      <c r="B352" s="8">
        <f>IF(ISNA(MATCH(343,'Transfer Engine'!$C$2:$C$1369,0)),"",INDEX('Compliance Database'!$B$2:$B$1369,MATCH(343,'Transfer Engine'!$C$2:$C$1369,0)))</f>
        <v/>
      </c>
      <c r="C352" s="8">
        <f>IF(ISNA(MATCH(343,'Transfer Engine'!$C$2:$C$1369,0)),"",INDEX('Compliance Database'!$C$2:$C$1369,MATCH(343,'Transfer Engine'!$C$2:$C$1369,0)))</f>
        <v/>
      </c>
      <c r="D352" s="9">
        <f>IF(ISNA(MATCH(343,'Transfer Engine'!$C$2:$C$1369,0)),"",INDEX('Compliance Database'!$D$2:$D$1369,MATCH(343,'Transfer Engine'!$C$2:$C$1369,0)))</f>
        <v/>
      </c>
      <c r="E352" s="8">
        <f>IF(ISNA(MATCH(343,'Transfer Engine'!$C$2:$C$1369,0)),"",INDEX('Compliance Database'!$E$2:$E$1369,MATCH(343,'Transfer Engine'!$C$2:$C$1369,0)))</f>
        <v/>
      </c>
      <c r="F352" s="8">
        <f>IF(ISNA(MATCH(343,'Transfer Engine'!$C$2:$C$1369,0)),"",INDEX('Compliance Database'!$F$2:$F$1369,MATCH(343,'Transfer Engine'!$C$2:$C$1369,0)))</f>
        <v/>
      </c>
      <c r="G352" s="8">
        <f>IF(ISNA(MATCH(343,'Transfer Engine'!$C$2:$C$1369,0)),"",INDEX('Compliance Database'!$G$2:$G$1369,MATCH(343,'Transfer Engine'!$C$2:$C$1369,0)))</f>
        <v/>
      </c>
      <c r="H352" s="9">
        <f>IF(ISNA(MATCH(343,'Transfer Engine'!$C$2:$C$1369,0)),"",INDEX('Compliance Database'!$H$2:$H$1369,MATCH(343,'Transfer Engine'!$C$2:$C$1369,0)))</f>
        <v/>
      </c>
      <c r="I352" s="9">
        <f>IF(ISNA(MATCH(343,'Transfer Engine'!$C$2:$C$1369,0)),"",INDEX('Compliance Database'!$I$2:$I$1369,MATCH(343,'Transfer Engine'!$C$2:$C$1369,0)))</f>
        <v/>
      </c>
      <c r="J352" s="8">
        <f>IF(ISNA(MATCH(343,'Transfer Engine'!$C$2:$C$1369,0)),"",INDEX('Compliance Database'!$J$2:$J$1369,MATCH(343,'Transfer Engine'!$C$2:$C$1369,0)))</f>
        <v/>
      </c>
      <c r="K352" s="9">
        <f>IF(ISNA(MATCH(343,'Transfer Engine'!$C$2:$C$1369,0)),"",INDEX('Compliance Database'!$K$2:$K$1369,MATCH(343,'Transfer Engine'!$C$2:$C$1369,0)))</f>
        <v/>
      </c>
      <c r="L352" s="9">
        <f>IF(ISNA(MATCH(343,'Transfer Engine'!$C$2:$C$1369,0)),"",INDEX('Compliance Database'!$L$2:$L$1369,MATCH(343,'Transfer Engine'!$C$2:$C$1369,0)))</f>
        <v/>
      </c>
      <c r="M352" s="9">
        <f>IF(ISNA(MATCH(343,'Transfer Engine'!$C$2:$C$1369,0)),"",INDEX('Compliance Database'!$M$2:$M$1369,MATCH(343,'Transfer Engine'!$C$2:$C$1369,0)))</f>
        <v/>
      </c>
      <c r="N352" s="9">
        <f>IF(ISNA(MATCH(343,'Transfer Engine'!$C$2:$C$1369,0)),"",INDEX('Compliance Database'!$N$2:$N$1369,MATCH(343,'Transfer Engine'!$C$2:$C$1369,0)))</f>
        <v/>
      </c>
      <c r="O352" s="8">
        <f>IF(ISNA(MATCH(343,'Transfer Engine'!$C$2:$C$1369,0)),"",HYPERLINK(INDEX('Compliance Database'!$O$2:$O$1369,MATCH(343,'Transfer Engine'!$C$2:$C$1369,0)),"Open PDF"))</f>
        <v/>
      </c>
    </row>
    <row r="353" ht="188" customHeight="1">
      <c r="A353" s="8">
        <f>IF(ISNA(MATCH(344,'Transfer Engine'!$C$2:$C$1369,0)),"",INDEX('Compliance Database'!$A$2:$A$1369,MATCH(344,'Transfer Engine'!$C$2:$C$1369,0)))</f>
        <v/>
      </c>
      <c r="B353" s="8">
        <f>IF(ISNA(MATCH(344,'Transfer Engine'!$C$2:$C$1369,0)),"",INDEX('Compliance Database'!$B$2:$B$1369,MATCH(344,'Transfer Engine'!$C$2:$C$1369,0)))</f>
        <v/>
      </c>
      <c r="C353" s="8">
        <f>IF(ISNA(MATCH(344,'Transfer Engine'!$C$2:$C$1369,0)),"",INDEX('Compliance Database'!$C$2:$C$1369,MATCH(344,'Transfer Engine'!$C$2:$C$1369,0)))</f>
        <v/>
      </c>
      <c r="D353" s="9">
        <f>IF(ISNA(MATCH(344,'Transfer Engine'!$C$2:$C$1369,0)),"",INDEX('Compliance Database'!$D$2:$D$1369,MATCH(344,'Transfer Engine'!$C$2:$C$1369,0)))</f>
        <v/>
      </c>
      <c r="E353" s="8">
        <f>IF(ISNA(MATCH(344,'Transfer Engine'!$C$2:$C$1369,0)),"",INDEX('Compliance Database'!$E$2:$E$1369,MATCH(344,'Transfer Engine'!$C$2:$C$1369,0)))</f>
        <v/>
      </c>
      <c r="F353" s="8">
        <f>IF(ISNA(MATCH(344,'Transfer Engine'!$C$2:$C$1369,0)),"",INDEX('Compliance Database'!$F$2:$F$1369,MATCH(344,'Transfer Engine'!$C$2:$C$1369,0)))</f>
        <v/>
      </c>
      <c r="G353" s="8">
        <f>IF(ISNA(MATCH(344,'Transfer Engine'!$C$2:$C$1369,0)),"",INDEX('Compliance Database'!$G$2:$G$1369,MATCH(344,'Transfer Engine'!$C$2:$C$1369,0)))</f>
        <v/>
      </c>
      <c r="H353" s="9">
        <f>IF(ISNA(MATCH(344,'Transfer Engine'!$C$2:$C$1369,0)),"",INDEX('Compliance Database'!$H$2:$H$1369,MATCH(344,'Transfer Engine'!$C$2:$C$1369,0)))</f>
        <v/>
      </c>
      <c r="I353" s="9">
        <f>IF(ISNA(MATCH(344,'Transfer Engine'!$C$2:$C$1369,0)),"",INDEX('Compliance Database'!$I$2:$I$1369,MATCH(344,'Transfer Engine'!$C$2:$C$1369,0)))</f>
        <v/>
      </c>
      <c r="J353" s="8">
        <f>IF(ISNA(MATCH(344,'Transfer Engine'!$C$2:$C$1369,0)),"",INDEX('Compliance Database'!$J$2:$J$1369,MATCH(344,'Transfer Engine'!$C$2:$C$1369,0)))</f>
        <v/>
      </c>
      <c r="K353" s="9">
        <f>IF(ISNA(MATCH(344,'Transfer Engine'!$C$2:$C$1369,0)),"",INDEX('Compliance Database'!$K$2:$K$1369,MATCH(344,'Transfer Engine'!$C$2:$C$1369,0)))</f>
        <v/>
      </c>
      <c r="L353" s="9">
        <f>IF(ISNA(MATCH(344,'Transfer Engine'!$C$2:$C$1369,0)),"",INDEX('Compliance Database'!$L$2:$L$1369,MATCH(344,'Transfer Engine'!$C$2:$C$1369,0)))</f>
        <v/>
      </c>
      <c r="M353" s="9">
        <f>IF(ISNA(MATCH(344,'Transfer Engine'!$C$2:$C$1369,0)),"",INDEX('Compliance Database'!$M$2:$M$1369,MATCH(344,'Transfer Engine'!$C$2:$C$1369,0)))</f>
        <v/>
      </c>
      <c r="N353" s="9">
        <f>IF(ISNA(MATCH(344,'Transfer Engine'!$C$2:$C$1369,0)),"",INDEX('Compliance Database'!$N$2:$N$1369,MATCH(344,'Transfer Engine'!$C$2:$C$1369,0)))</f>
        <v/>
      </c>
      <c r="O353" s="8">
        <f>IF(ISNA(MATCH(344,'Transfer Engine'!$C$2:$C$1369,0)),"",HYPERLINK(INDEX('Compliance Database'!$O$2:$O$1369,MATCH(344,'Transfer Engine'!$C$2:$C$1369,0)),"Open PDF"))</f>
        <v/>
      </c>
    </row>
    <row r="354" ht="188" customHeight="1">
      <c r="A354" s="8">
        <f>IF(ISNA(MATCH(345,'Transfer Engine'!$C$2:$C$1369,0)),"",INDEX('Compliance Database'!$A$2:$A$1369,MATCH(345,'Transfer Engine'!$C$2:$C$1369,0)))</f>
        <v/>
      </c>
      <c r="B354" s="8">
        <f>IF(ISNA(MATCH(345,'Transfer Engine'!$C$2:$C$1369,0)),"",INDEX('Compliance Database'!$B$2:$B$1369,MATCH(345,'Transfer Engine'!$C$2:$C$1369,0)))</f>
        <v/>
      </c>
      <c r="C354" s="8">
        <f>IF(ISNA(MATCH(345,'Transfer Engine'!$C$2:$C$1369,0)),"",INDEX('Compliance Database'!$C$2:$C$1369,MATCH(345,'Transfer Engine'!$C$2:$C$1369,0)))</f>
        <v/>
      </c>
      <c r="D354" s="9">
        <f>IF(ISNA(MATCH(345,'Transfer Engine'!$C$2:$C$1369,0)),"",INDEX('Compliance Database'!$D$2:$D$1369,MATCH(345,'Transfer Engine'!$C$2:$C$1369,0)))</f>
        <v/>
      </c>
      <c r="E354" s="8">
        <f>IF(ISNA(MATCH(345,'Transfer Engine'!$C$2:$C$1369,0)),"",INDEX('Compliance Database'!$E$2:$E$1369,MATCH(345,'Transfer Engine'!$C$2:$C$1369,0)))</f>
        <v/>
      </c>
      <c r="F354" s="8">
        <f>IF(ISNA(MATCH(345,'Transfer Engine'!$C$2:$C$1369,0)),"",INDEX('Compliance Database'!$F$2:$F$1369,MATCH(345,'Transfer Engine'!$C$2:$C$1369,0)))</f>
        <v/>
      </c>
      <c r="G354" s="8">
        <f>IF(ISNA(MATCH(345,'Transfer Engine'!$C$2:$C$1369,0)),"",INDEX('Compliance Database'!$G$2:$G$1369,MATCH(345,'Transfer Engine'!$C$2:$C$1369,0)))</f>
        <v/>
      </c>
      <c r="H354" s="9">
        <f>IF(ISNA(MATCH(345,'Transfer Engine'!$C$2:$C$1369,0)),"",INDEX('Compliance Database'!$H$2:$H$1369,MATCH(345,'Transfer Engine'!$C$2:$C$1369,0)))</f>
        <v/>
      </c>
      <c r="I354" s="9">
        <f>IF(ISNA(MATCH(345,'Transfer Engine'!$C$2:$C$1369,0)),"",INDEX('Compliance Database'!$I$2:$I$1369,MATCH(345,'Transfer Engine'!$C$2:$C$1369,0)))</f>
        <v/>
      </c>
      <c r="J354" s="8">
        <f>IF(ISNA(MATCH(345,'Transfer Engine'!$C$2:$C$1369,0)),"",INDEX('Compliance Database'!$J$2:$J$1369,MATCH(345,'Transfer Engine'!$C$2:$C$1369,0)))</f>
        <v/>
      </c>
      <c r="K354" s="9">
        <f>IF(ISNA(MATCH(345,'Transfer Engine'!$C$2:$C$1369,0)),"",INDEX('Compliance Database'!$K$2:$K$1369,MATCH(345,'Transfer Engine'!$C$2:$C$1369,0)))</f>
        <v/>
      </c>
      <c r="L354" s="9">
        <f>IF(ISNA(MATCH(345,'Transfer Engine'!$C$2:$C$1369,0)),"",INDEX('Compliance Database'!$L$2:$L$1369,MATCH(345,'Transfer Engine'!$C$2:$C$1369,0)))</f>
        <v/>
      </c>
      <c r="M354" s="9">
        <f>IF(ISNA(MATCH(345,'Transfer Engine'!$C$2:$C$1369,0)),"",INDEX('Compliance Database'!$M$2:$M$1369,MATCH(345,'Transfer Engine'!$C$2:$C$1369,0)))</f>
        <v/>
      </c>
      <c r="N354" s="9">
        <f>IF(ISNA(MATCH(345,'Transfer Engine'!$C$2:$C$1369,0)),"",INDEX('Compliance Database'!$N$2:$N$1369,MATCH(345,'Transfer Engine'!$C$2:$C$1369,0)))</f>
        <v/>
      </c>
      <c r="O354" s="8">
        <f>IF(ISNA(MATCH(345,'Transfer Engine'!$C$2:$C$1369,0)),"",HYPERLINK(INDEX('Compliance Database'!$O$2:$O$1369,MATCH(345,'Transfer Engine'!$C$2:$C$1369,0)),"Open PDF"))</f>
        <v/>
      </c>
    </row>
    <row r="355" ht="188" customHeight="1">
      <c r="A355" s="8">
        <f>IF(ISNA(MATCH(346,'Transfer Engine'!$C$2:$C$1369,0)),"",INDEX('Compliance Database'!$A$2:$A$1369,MATCH(346,'Transfer Engine'!$C$2:$C$1369,0)))</f>
        <v/>
      </c>
      <c r="B355" s="8">
        <f>IF(ISNA(MATCH(346,'Transfer Engine'!$C$2:$C$1369,0)),"",INDEX('Compliance Database'!$B$2:$B$1369,MATCH(346,'Transfer Engine'!$C$2:$C$1369,0)))</f>
        <v/>
      </c>
      <c r="C355" s="8">
        <f>IF(ISNA(MATCH(346,'Transfer Engine'!$C$2:$C$1369,0)),"",INDEX('Compliance Database'!$C$2:$C$1369,MATCH(346,'Transfer Engine'!$C$2:$C$1369,0)))</f>
        <v/>
      </c>
      <c r="D355" s="9">
        <f>IF(ISNA(MATCH(346,'Transfer Engine'!$C$2:$C$1369,0)),"",INDEX('Compliance Database'!$D$2:$D$1369,MATCH(346,'Transfer Engine'!$C$2:$C$1369,0)))</f>
        <v/>
      </c>
      <c r="E355" s="8">
        <f>IF(ISNA(MATCH(346,'Transfer Engine'!$C$2:$C$1369,0)),"",INDEX('Compliance Database'!$E$2:$E$1369,MATCH(346,'Transfer Engine'!$C$2:$C$1369,0)))</f>
        <v/>
      </c>
      <c r="F355" s="8">
        <f>IF(ISNA(MATCH(346,'Transfer Engine'!$C$2:$C$1369,0)),"",INDEX('Compliance Database'!$F$2:$F$1369,MATCH(346,'Transfer Engine'!$C$2:$C$1369,0)))</f>
        <v/>
      </c>
      <c r="G355" s="8">
        <f>IF(ISNA(MATCH(346,'Transfer Engine'!$C$2:$C$1369,0)),"",INDEX('Compliance Database'!$G$2:$G$1369,MATCH(346,'Transfer Engine'!$C$2:$C$1369,0)))</f>
        <v/>
      </c>
      <c r="H355" s="9">
        <f>IF(ISNA(MATCH(346,'Transfer Engine'!$C$2:$C$1369,0)),"",INDEX('Compliance Database'!$H$2:$H$1369,MATCH(346,'Transfer Engine'!$C$2:$C$1369,0)))</f>
        <v/>
      </c>
      <c r="I355" s="9">
        <f>IF(ISNA(MATCH(346,'Transfer Engine'!$C$2:$C$1369,0)),"",INDEX('Compliance Database'!$I$2:$I$1369,MATCH(346,'Transfer Engine'!$C$2:$C$1369,0)))</f>
        <v/>
      </c>
      <c r="J355" s="8">
        <f>IF(ISNA(MATCH(346,'Transfer Engine'!$C$2:$C$1369,0)),"",INDEX('Compliance Database'!$J$2:$J$1369,MATCH(346,'Transfer Engine'!$C$2:$C$1369,0)))</f>
        <v/>
      </c>
      <c r="K355" s="9">
        <f>IF(ISNA(MATCH(346,'Transfer Engine'!$C$2:$C$1369,0)),"",INDEX('Compliance Database'!$K$2:$K$1369,MATCH(346,'Transfer Engine'!$C$2:$C$1369,0)))</f>
        <v/>
      </c>
      <c r="L355" s="9">
        <f>IF(ISNA(MATCH(346,'Transfer Engine'!$C$2:$C$1369,0)),"",INDEX('Compliance Database'!$L$2:$L$1369,MATCH(346,'Transfer Engine'!$C$2:$C$1369,0)))</f>
        <v/>
      </c>
      <c r="M355" s="9">
        <f>IF(ISNA(MATCH(346,'Transfer Engine'!$C$2:$C$1369,0)),"",INDEX('Compliance Database'!$M$2:$M$1369,MATCH(346,'Transfer Engine'!$C$2:$C$1369,0)))</f>
        <v/>
      </c>
      <c r="N355" s="9">
        <f>IF(ISNA(MATCH(346,'Transfer Engine'!$C$2:$C$1369,0)),"",INDEX('Compliance Database'!$N$2:$N$1369,MATCH(346,'Transfer Engine'!$C$2:$C$1369,0)))</f>
        <v/>
      </c>
      <c r="O355" s="8">
        <f>IF(ISNA(MATCH(346,'Transfer Engine'!$C$2:$C$1369,0)),"",HYPERLINK(INDEX('Compliance Database'!$O$2:$O$1369,MATCH(346,'Transfer Engine'!$C$2:$C$1369,0)),"Open PDF"))</f>
        <v/>
      </c>
    </row>
    <row r="356" ht="188" customHeight="1">
      <c r="A356" s="8">
        <f>IF(ISNA(MATCH(347,'Transfer Engine'!$C$2:$C$1369,0)),"",INDEX('Compliance Database'!$A$2:$A$1369,MATCH(347,'Transfer Engine'!$C$2:$C$1369,0)))</f>
        <v/>
      </c>
      <c r="B356" s="8">
        <f>IF(ISNA(MATCH(347,'Transfer Engine'!$C$2:$C$1369,0)),"",INDEX('Compliance Database'!$B$2:$B$1369,MATCH(347,'Transfer Engine'!$C$2:$C$1369,0)))</f>
        <v/>
      </c>
      <c r="C356" s="8">
        <f>IF(ISNA(MATCH(347,'Transfer Engine'!$C$2:$C$1369,0)),"",INDEX('Compliance Database'!$C$2:$C$1369,MATCH(347,'Transfer Engine'!$C$2:$C$1369,0)))</f>
        <v/>
      </c>
      <c r="D356" s="9">
        <f>IF(ISNA(MATCH(347,'Transfer Engine'!$C$2:$C$1369,0)),"",INDEX('Compliance Database'!$D$2:$D$1369,MATCH(347,'Transfer Engine'!$C$2:$C$1369,0)))</f>
        <v/>
      </c>
      <c r="E356" s="8">
        <f>IF(ISNA(MATCH(347,'Transfer Engine'!$C$2:$C$1369,0)),"",INDEX('Compliance Database'!$E$2:$E$1369,MATCH(347,'Transfer Engine'!$C$2:$C$1369,0)))</f>
        <v/>
      </c>
      <c r="F356" s="8">
        <f>IF(ISNA(MATCH(347,'Transfer Engine'!$C$2:$C$1369,0)),"",INDEX('Compliance Database'!$F$2:$F$1369,MATCH(347,'Transfer Engine'!$C$2:$C$1369,0)))</f>
        <v/>
      </c>
      <c r="G356" s="8">
        <f>IF(ISNA(MATCH(347,'Transfer Engine'!$C$2:$C$1369,0)),"",INDEX('Compliance Database'!$G$2:$G$1369,MATCH(347,'Transfer Engine'!$C$2:$C$1369,0)))</f>
        <v/>
      </c>
      <c r="H356" s="9">
        <f>IF(ISNA(MATCH(347,'Transfer Engine'!$C$2:$C$1369,0)),"",INDEX('Compliance Database'!$H$2:$H$1369,MATCH(347,'Transfer Engine'!$C$2:$C$1369,0)))</f>
        <v/>
      </c>
      <c r="I356" s="9">
        <f>IF(ISNA(MATCH(347,'Transfer Engine'!$C$2:$C$1369,0)),"",INDEX('Compliance Database'!$I$2:$I$1369,MATCH(347,'Transfer Engine'!$C$2:$C$1369,0)))</f>
        <v/>
      </c>
      <c r="J356" s="8">
        <f>IF(ISNA(MATCH(347,'Transfer Engine'!$C$2:$C$1369,0)),"",INDEX('Compliance Database'!$J$2:$J$1369,MATCH(347,'Transfer Engine'!$C$2:$C$1369,0)))</f>
        <v/>
      </c>
      <c r="K356" s="9">
        <f>IF(ISNA(MATCH(347,'Transfer Engine'!$C$2:$C$1369,0)),"",INDEX('Compliance Database'!$K$2:$K$1369,MATCH(347,'Transfer Engine'!$C$2:$C$1369,0)))</f>
        <v/>
      </c>
      <c r="L356" s="9">
        <f>IF(ISNA(MATCH(347,'Transfer Engine'!$C$2:$C$1369,0)),"",INDEX('Compliance Database'!$L$2:$L$1369,MATCH(347,'Transfer Engine'!$C$2:$C$1369,0)))</f>
        <v/>
      </c>
      <c r="M356" s="9">
        <f>IF(ISNA(MATCH(347,'Transfer Engine'!$C$2:$C$1369,0)),"",INDEX('Compliance Database'!$M$2:$M$1369,MATCH(347,'Transfer Engine'!$C$2:$C$1369,0)))</f>
        <v/>
      </c>
      <c r="N356" s="9">
        <f>IF(ISNA(MATCH(347,'Transfer Engine'!$C$2:$C$1369,0)),"",INDEX('Compliance Database'!$N$2:$N$1369,MATCH(347,'Transfer Engine'!$C$2:$C$1369,0)))</f>
        <v/>
      </c>
      <c r="O356" s="8">
        <f>IF(ISNA(MATCH(347,'Transfer Engine'!$C$2:$C$1369,0)),"",HYPERLINK(INDEX('Compliance Database'!$O$2:$O$1369,MATCH(347,'Transfer Engine'!$C$2:$C$1369,0)),"Open PDF"))</f>
        <v/>
      </c>
    </row>
    <row r="357" ht="188" customHeight="1">
      <c r="A357" s="8">
        <f>IF(ISNA(MATCH(348,'Transfer Engine'!$C$2:$C$1369,0)),"",INDEX('Compliance Database'!$A$2:$A$1369,MATCH(348,'Transfer Engine'!$C$2:$C$1369,0)))</f>
        <v/>
      </c>
      <c r="B357" s="8">
        <f>IF(ISNA(MATCH(348,'Transfer Engine'!$C$2:$C$1369,0)),"",INDEX('Compliance Database'!$B$2:$B$1369,MATCH(348,'Transfer Engine'!$C$2:$C$1369,0)))</f>
        <v/>
      </c>
      <c r="C357" s="8">
        <f>IF(ISNA(MATCH(348,'Transfer Engine'!$C$2:$C$1369,0)),"",INDEX('Compliance Database'!$C$2:$C$1369,MATCH(348,'Transfer Engine'!$C$2:$C$1369,0)))</f>
        <v/>
      </c>
      <c r="D357" s="9">
        <f>IF(ISNA(MATCH(348,'Transfer Engine'!$C$2:$C$1369,0)),"",INDEX('Compliance Database'!$D$2:$D$1369,MATCH(348,'Transfer Engine'!$C$2:$C$1369,0)))</f>
        <v/>
      </c>
      <c r="E357" s="8">
        <f>IF(ISNA(MATCH(348,'Transfer Engine'!$C$2:$C$1369,0)),"",INDEX('Compliance Database'!$E$2:$E$1369,MATCH(348,'Transfer Engine'!$C$2:$C$1369,0)))</f>
        <v/>
      </c>
      <c r="F357" s="8">
        <f>IF(ISNA(MATCH(348,'Transfer Engine'!$C$2:$C$1369,0)),"",INDEX('Compliance Database'!$F$2:$F$1369,MATCH(348,'Transfer Engine'!$C$2:$C$1369,0)))</f>
        <v/>
      </c>
      <c r="G357" s="8">
        <f>IF(ISNA(MATCH(348,'Transfer Engine'!$C$2:$C$1369,0)),"",INDEX('Compliance Database'!$G$2:$G$1369,MATCH(348,'Transfer Engine'!$C$2:$C$1369,0)))</f>
        <v/>
      </c>
      <c r="H357" s="9">
        <f>IF(ISNA(MATCH(348,'Transfer Engine'!$C$2:$C$1369,0)),"",INDEX('Compliance Database'!$H$2:$H$1369,MATCH(348,'Transfer Engine'!$C$2:$C$1369,0)))</f>
        <v/>
      </c>
      <c r="I357" s="9">
        <f>IF(ISNA(MATCH(348,'Transfer Engine'!$C$2:$C$1369,0)),"",INDEX('Compliance Database'!$I$2:$I$1369,MATCH(348,'Transfer Engine'!$C$2:$C$1369,0)))</f>
        <v/>
      </c>
      <c r="J357" s="8">
        <f>IF(ISNA(MATCH(348,'Transfer Engine'!$C$2:$C$1369,0)),"",INDEX('Compliance Database'!$J$2:$J$1369,MATCH(348,'Transfer Engine'!$C$2:$C$1369,0)))</f>
        <v/>
      </c>
      <c r="K357" s="9">
        <f>IF(ISNA(MATCH(348,'Transfer Engine'!$C$2:$C$1369,0)),"",INDEX('Compliance Database'!$K$2:$K$1369,MATCH(348,'Transfer Engine'!$C$2:$C$1369,0)))</f>
        <v/>
      </c>
      <c r="L357" s="9">
        <f>IF(ISNA(MATCH(348,'Transfer Engine'!$C$2:$C$1369,0)),"",INDEX('Compliance Database'!$L$2:$L$1369,MATCH(348,'Transfer Engine'!$C$2:$C$1369,0)))</f>
        <v/>
      </c>
      <c r="M357" s="9">
        <f>IF(ISNA(MATCH(348,'Transfer Engine'!$C$2:$C$1369,0)),"",INDEX('Compliance Database'!$M$2:$M$1369,MATCH(348,'Transfer Engine'!$C$2:$C$1369,0)))</f>
        <v/>
      </c>
      <c r="N357" s="9">
        <f>IF(ISNA(MATCH(348,'Transfer Engine'!$C$2:$C$1369,0)),"",INDEX('Compliance Database'!$N$2:$N$1369,MATCH(348,'Transfer Engine'!$C$2:$C$1369,0)))</f>
        <v/>
      </c>
      <c r="O357" s="8">
        <f>IF(ISNA(MATCH(348,'Transfer Engine'!$C$2:$C$1369,0)),"",HYPERLINK(INDEX('Compliance Database'!$O$2:$O$1369,MATCH(348,'Transfer Engine'!$C$2:$C$1369,0)),"Open PDF"))</f>
        <v/>
      </c>
    </row>
    <row r="358" ht="188" customHeight="1">
      <c r="A358" s="8">
        <f>IF(ISNA(MATCH(349,'Transfer Engine'!$C$2:$C$1369,0)),"",INDEX('Compliance Database'!$A$2:$A$1369,MATCH(349,'Transfer Engine'!$C$2:$C$1369,0)))</f>
        <v/>
      </c>
      <c r="B358" s="8">
        <f>IF(ISNA(MATCH(349,'Transfer Engine'!$C$2:$C$1369,0)),"",INDEX('Compliance Database'!$B$2:$B$1369,MATCH(349,'Transfer Engine'!$C$2:$C$1369,0)))</f>
        <v/>
      </c>
      <c r="C358" s="8">
        <f>IF(ISNA(MATCH(349,'Transfer Engine'!$C$2:$C$1369,0)),"",INDEX('Compliance Database'!$C$2:$C$1369,MATCH(349,'Transfer Engine'!$C$2:$C$1369,0)))</f>
        <v/>
      </c>
      <c r="D358" s="9">
        <f>IF(ISNA(MATCH(349,'Transfer Engine'!$C$2:$C$1369,0)),"",INDEX('Compliance Database'!$D$2:$D$1369,MATCH(349,'Transfer Engine'!$C$2:$C$1369,0)))</f>
        <v/>
      </c>
      <c r="E358" s="8">
        <f>IF(ISNA(MATCH(349,'Transfer Engine'!$C$2:$C$1369,0)),"",INDEX('Compliance Database'!$E$2:$E$1369,MATCH(349,'Transfer Engine'!$C$2:$C$1369,0)))</f>
        <v/>
      </c>
      <c r="F358" s="8">
        <f>IF(ISNA(MATCH(349,'Transfer Engine'!$C$2:$C$1369,0)),"",INDEX('Compliance Database'!$F$2:$F$1369,MATCH(349,'Transfer Engine'!$C$2:$C$1369,0)))</f>
        <v/>
      </c>
      <c r="G358" s="8">
        <f>IF(ISNA(MATCH(349,'Transfer Engine'!$C$2:$C$1369,0)),"",INDEX('Compliance Database'!$G$2:$G$1369,MATCH(349,'Transfer Engine'!$C$2:$C$1369,0)))</f>
        <v/>
      </c>
      <c r="H358" s="9">
        <f>IF(ISNA(MATCH(349,'Transfer Engine'!$C$2:$C$1369,0)),"",INDEX('Compliance Database'!$H$2:$H$1369,MATCH(349,'Transfer Engine'!$C$2:$C$1369,0)))</f>
        <v/>
      </c>
      <c r="I358" s="9">
        <f>IF(ISNA(MATCH(349,'Transfer Engine'!$C$2:$C$1369,0)),"",INDEX('Compliance Database'!$I$2:$I$1369,MATCH(349,'Transfer Engine'!$C$2:$C$1369,0)))</f>
        <v/>
      </c>
      <c r="J358" s="8">
        <f>IF(ISNA(MATCH(349,'Transfer Engine'!$C$2:$C$1369,0)),"",INDEX('Compliance Database'!$J$2:$J$1369,MATCH(349,'Transfer Engine'!$C$2:$C$1369,0)))</f>
        <v/>
      </c>
      <c r="K358" s="9">
        <f>IF(ISNA(MATCH(349,'Transfer Engine'!$C$2:$C$1369,0)),"",INDEX('Compliance Database'!$K$2:$K$1369,MATCH(349,'Transfer Engine'!$C$2:$C$1369,0)))</f>
        <v/>
      </c>
      <c r="L358" s="9">
        <f>IF(ISNA(MATCH(349,'Transfer Engine'!$C$2:$C$1369,0)),"",INDEX('Compliance Database'!$L$2:$L$1369,MATCH(349,'Transfer Engine'!$C$2:$C$1369,0)))</f>
        <v/>
      </c>
      <c r="M358" s="9">
        <f>IF(ISNA(MATCH(349,'Transfer Engine'!$C$2:$C$1369,0)),"",INDEX('Compliance Database'!$M$2:$M$1369,MATCH(349,'Transfer Engine'!$C$2:$C$1369,0)))</f>
        <v/>
      </c>
      <c r="N358" s="9">
        <f>IF(ISNA(MATCH(349,'Transfer Engine'!$C$2:$C$1369,0)),"",INDEX('Compliance Database'!$N$2:$N$1369,MATCH(349,'Transfer Engine'!$C$2:$C$1369,0)))</f>
        <v/>
      </c>
      <c r="O358" s="8">
        <f>IF(ISNA(MATCH(349,'Transfer Engine'!$C$2:$C$1369,0)),"",HYPERLINK(INDEX('Compliance Database'!$O$2:$O$1369,MATCH(349,'Transfer Engine'!$C$2:$C$1369,0)),"Open PDF"))</f>
        <v/>
      </c>
    </row>
    <row r="359" ht="188" customHeight="1">
      <c r="A359" s="8">
        <f>IF(ISNA(MATCH(350,'Transfer Engine'!$C$2:$C$1369,0)),"",INDEX('Compliance Database'!$A$2:$A$1369,MATCH(350,'Transfer Engine'!$C$2:$C$1369,0)))</f>
        <v/>
      </c>
      <c r="B359" s="8">
        <f>IF(ISNA(MATCH(350,'Transfer Engine'!$C$2:$C$1369,0)),"",INDEX('Compliance Database'!$B$2:$B$1369,MATCH(350,'Transfer Engine'!$C$2:$C$1369,0)))</f>
        <v/>
      </c>
      <c r="C359" s="8">
        <f>IF(ISNA(MATCH(350,'Transfer Engine'!$C$2:$C$1369,0)),"",INDEX('Compliance Database'!$C$2:$C$1369,MATCH(350,'Transfer Engine'!$C$2:$C$1369,0)))</f>
        <v/>
      </c>
      <c r="D359" s="9">
        <f>IF(ISNA(MATCH(350,'Transfer Engine'!$C$2:$C$1369,0)),"",INDEX('Compliance Database'!$D$2:$D$1369,MATCH(350,'Transfer Engine'!$C$2:$C$1369,0)))</f>
        <v/>
      </c>
      <c r="E359" s="8">
        <f>IF(ISNA(MATCH(350,'Transfer Engine'!$C$2:$C$1369,0)),"",INDEX('Compliance Database'!$E$2:$E$1369,MATCH(350,'Transfer Engine'!$C$2:$C$1369,0)))</f>
        <v/>
      </c>
      <c r="F359" s="8">
        <f>IF(ISNA(MATCH(350,'Transfer Engine'!$C$2:$C$1369,0)),"",INDEX('Compliance Database'!$F$2:$F$1369,MATCH(350,'Transfer Engine'!$C$2:$C$1369,0)))</f>
        <v/>
      </c>
      <c r="G359" s="8">
        <f>IF(ISNA(MATCH(350,'Transfer Engine'!$C$2:$C$1369,0)),"",INDEX('Compliance Database'!$G$2:$G$1369,MATCH(350,'Transfer Engine'!$C$2:$C$1369,0)))</f>
        <v/>
      </c>
      <c r="H359" s="9">
        <f>IF(ISNA(MATCH(350,'Transfer Engine'!$C$2:$C$1369,0)),"",INDEX('Compliance Database'!$H$2:$H$1369,MATCH(350,'Transfer Engine'!$C$2:$C$1369,0)))</f>
        <v/>
      </c>
      <c r="I359" s="9">
        <f>IF(ISNA(MATCH(350,'Transfer Engine'!$C$2:$C$1369,0)),"",INDEX('Compliance Database'!$I$2:$I$1369,MATCH(350,'Transfer Engine'!$C$2:$C$1369,0)))</f>
        <v/>
      </c>
      <c r="J359" s="8">
        <f>IF(ISNA(MATCH(350,'Transfer Engine'!$C$2:$C$1369,0)),"",INDEX('Compliance Database'!$J$2:$J$1369,MATCH(350,'Transfer Engine'!$C$2:$C$1369,0)))</f>
        <v/>
      </c>
      <c r="K359" s="9">
        <f>IF(ISNA(MATCH(350,'Transfer Engine'!$C$2:$C$1369,0)),"",INDEX('Compliance Database'!$K$2:$K$1369,MATCH(350,'Transfer Engine'!$C$2:$C$1369,0)))</f>
        <v/>
      </c>
      <c r="L359" s="9">
        <f>IF(ISNA(MATCH(350,'Transfer Engine'!$C$2:$C$1369,0)),"",INDEX('Compliance Database'!$L$2:$L$1369,MATCH(350,'Transfer Engine'!$C$2:$C$1369,0)))</f>
        <v/>
      </c>
      <c r="M359" s="9">
        <f>IF(ISNA(MATCH(350,'Transfer Engine'!$C$2:$C$1369,0)),"",INDEX('Compliance Database'!$M$2:$M$1369,MATCH(350,'Transfer Engine'!$C$2:$C$1369,0)))</f>
        <v/>
      </c>
      <c r="N359" s="9">
        <f>IF(ISNA(MATCH(350,'Transfer Engine'!$C$2:$C$1369,0)),"",INDEX('Compliance Database'!$N$2:$N$1369,MATCH(350,'Transfer Engine'!$C$2:$C$1369,0)))</f>
        <v/>
      </c>
      <c r="O359" s="8">
        <f>IF(ISNA(MATCH(350,'Transfer Engine'!$C$2:$C$1369,0)),"",HYPERLINK(INDEX('Compliance Database'!$O$2:$O$1369,MATCH(350,'Transfer Engine'!$C$2:$C$1369,0)),"Open PDF"))</f>
        <v/>
      </c>
    </row>
    <row r="360" ht="188" customHeight="1">
      <c r="A360" s="8">
        <f>IF(ISNA(MATCH(351,'Transfer Engine'!$C$2:$C$1369,0)),"",INDEX('Compliance Database'!$A$2:$A$1369,MATCH(351,'Transfer Engine'!$C$2:$C$1369,0)))</f>
        <v/>
      </c>
      <c r="B360" s="8">
        <f>IF(ISNA(MATCH(351,'Transfer Engine'!$C$2:$C$1369,0)),"",INDEX('Compliance Database'!$B$2:$B$1369,MATCH(351,'Transfer Engine'!$C$2:$C$1369,0)))</f>
        <v/>
      </c>
      <c r="C360" s="8">
        <f>IF(ISNA(MATCH(351,'Transfer Engine'!$C$2:$C$1369,0)),"",INDEX('Compliance Database'!$C$2:$C$1369,MATCH(351,'Transfer Engine'!$C$2:$C$1369,0)))</f>
        <v/>
      </c>
      <c r="D360" s="9">
        <f>IF(ISNA(MATCH(351,'Transfer Engine'!$C$2:$C$1369,0)),"",INDEX('Compliance Database'!$D$2:$D$1369,MATCH(351,'Transfer Engine'!$C$2:$C$1369,0)))</f>
        <v/>
      </c>
      <c r="E360" s="8">
        <f>IF(ISNA(MATCH(351,'Transfer Engine'!$C$2:$C$1369,0)),"",INDEX('Compliance Database'!$E$2:$E$1369,MATCH(351,'Transfer Engine'!$C$2:$C$1369,0)))</f>
        <v/>
      </c>
      <c r="F360" s="8">
        <f>IF(ISNA(MATCH(351,'Transfer Engine'!$C$2:$C$1369,0)),"",INDEX('Compliance Database'!$F$2:$F$1369,MATCH(351,'Transfer Engine'!$C$2:$C$1369,0)))</f>
        <v/>
      </c>
      <c r="G360" s="8">
        <f>IF(ISNA(MATCH(351,'Transfer Engine'!$C$2:$C$1369,0)),"",INDEX('Compliance Database'!$G$2:$G$1369,MATCH(351,'Transfer Engine'!$C$2:$C$1369,0)))</f>
        <v/>
      </c>
      <c r="H360" s="9">
        <f>IF(ISNA(MATCH(351,'Transfer Engine'!$C$2:$C$1369,0)),"",INDEX('Compliance Database'!$H$2:$H$1369,MATCH(351,'Transfer Engine'!$C$2:$C$1369,0)))</f>
        <v/>
      </c>
      <c r="I360" s="9">
        <f>IF(ISNA(MATCH(351,'Transfer Engine'!$C$2:$C$1369,0)),"",INDEX('Compliance Database'!$I$2:$I$1369,MATCH(351,'Transfer Engine'!$C$2:$C$1369,0)))</f>
        <v/>
      </c>
      <c r="J360" s="8">
        <f>IF(ISNA(MATCH(351,'Transfer Engine'!$C$2:$C$1369,0)),"",INDEX('Compliance Database'!$J$2:$J$1369,MATCH(351,'Transfer Engine'!$C$2:$C$1369,0)))</f>
        <v/>
      </c>
      <c r="K360" s="9">
        <f>IF(ISNA(MATCH(351,'Transfer Engine'!$C$2:$C$1369,0)),"",INDEX('Compliance Database'!$K$2:$K$1369,MATCH(351,'Transfer Engine'!$C$2:$C$1369,0)))</f>
        <v/>
      </c>
      <c r="L360" s="9">
        <f>IF(ISNA(MATCH(351,'Transfer Engine'!$C$2:$C$1369,0)),"",INDEX('Compliance Database'!$L$2:$L$1369,MATCH(351,'Transfer Engine'!$C$2:$C$1369,0)))</f>
        <v/>
      </c>
      <c r="M360" s="9">
        <f>IF(ISNA(MATCH(351,'Transfer Engine'!$C$2:$C$1369,0)),"",INDEX('Compliance Database'!$M$2:$M$1369,MATCH(351,'Transfer Engine'!$C$2:$C$1369,0)))</f>
        <v/>
      </c>
      <c r="N360" s="9">
        <f>IF(ISNA(MATCH(351,'Transfer Engine'!$C$2:$C$1369,0)),"",INDEX('Compliance Database'!$N$2:$N$1369,MATCH(351,'Transfer Engine'!$C$2:$C$1369,0)))</f>
        <v/>
      </c>
      <c r="O360" s="8">
        <f>IF(ISNA(MATCH(351,'Transfer Engine'!$C$2:$C$1369,0)),"",HYPERLINK(INDEX('Compliance Database'!$O$2:$O$1369,MATCH(351,'Transfer Engine'!$C$2:$C$1369,0)),"Open PDF"))</f>
        <v/>
      </c>
    </row>
    <row r="361" ht="188" customHeight="1">
      <c r="A361" s="8">
        <f>IF(ISNA(MATCH(352,'Transfer Engine'!$C$2:$C$1369,0)),"",INDEX('Compliance Database'!$A$2:$A$1369,MATCH(352,'Transfer Engine'!$C$2:$C$1369,0)))</f>
        <v/>
      </c>
      <c r="B361" s="8">
        <f>IF(ISNA(MATCH(352,'Transfer Engine'!$C$2:$C$1369,0)),"",INDEX('Compliance Database'!$B$2:$B$1369,MATCH(352,'Transfer Engine'!$C$2:$C$1369,0)))</f>
        <v/>
      </c>
      <c r="C361" s="8">
        <f>IF(ISNA(MATCH(352,'Transfer Engine'!$C$2:$C$1369,0)),"",INDEX('Compliance Database'!$C$2:$C$1369,MATCH(352,'Transfer Engine'!$C$2:$C$1369,0)))</f>
        <v/>
      </c>
      <c r="D361" s="9">
        <f>IF(ISNA(MATCH(352,'Transfer Engine'!$C$2:$C$1369,0)),"",INDEX('Compliance Database'!$D$2:$D$1369,MATCH(352,'Transfer Engine'!$C$2:$C$1369,0)))</f>
        <v/>
      </c>
      <c r="E361" s="8">
        <f>IF(ISNA(MATCH(352,'Transfer Engine'!$C$2:$C$1369,0)),"",INDEX('Compliance Database'!$E$2:$E$1369,MATCH(352,'Transfer Engine'!$C$2:$C$1369,0)))</f>
        <v/>
      </c>
      <c r="F361" s="8">
        <f>IF(ISNA(MATCH(352,'Transfer Engine'!$C$2:$C$1369,0)),"",INDEX('Compliance Database'!$F$2:$F$1369,MATCH(352,'Transfer Engine'!$C$2:$C$1369,0)))</f>
        <v/>
      </c>
      <c r="G361" s="8">
        <f>IF(ISNA(MATCH(352,'Transfer Engine'!$C$2:$C$1369,0)),"",INDEX('Compliance Database'!$G$2:$G$1369,MATCH(352,'Transfer Engine'!$C$2:$C$1369,0)))</f>
        <v/>
      </c>
      <c r="H361" s="9">
        <f>IF(ISNA(MATCH(352,'Transfer Engine'!$C$2:$C$1369,0)),"",INDEX('Compliance Database'!$H$2:$H$1369,MATCH(352,'Transfer Engine'!$C$2:$C$1369,0)))</f>
        <v/>
      </c>
      <c r="I361" s="9">
        <f>IF(ISNA(MATCH(352,'Transfer Engine'!$C$2:$C$1369,0)),"",INDEX('Compliance Database'!$I$2:$I$1369,MATCH(352,'Transfer Engine'!$C$2:$C$1369,0)))</f>
        <v/>
      </c>
      <c r="J361" s="8">
        <f>IF(ISNA(MATCH(352,'Transfer Engine'!$C$2:$C$1369,0)),"",INDEX('Compliance Database'!$J$2:$J$1369,MATCH(352,'Transfer Engine'!$C$2:$C$1369,0)))</f>
        <v/>
      </c>
      <c r="K361" s="9">
        <f>IF(ISNA(MATCH(352,'Transfer Engine'!$C$2:$C$1369,0)),"",INDEX('Compliance Database'!$K$2:$K$1369,MATCH(352,'Transfer Engine'!$C$2:$C$1369,0)))</f>
        <v/>
      </c>
      <c r="L361" s="9">
        <f>IF(ISNA(MATCH(352,'Transfer Engine'!$C$2:$C$1369,0)),"",INDEX('Compliance Database'!$L$2:$L$1369,MATCH(352,'Transfer Engine'!$C$2:$C$1369,0)))</f>
        <v/>
      </c>
      <c r="M361" s="9">
        <f>IF(ISNA(MATCH(352,'Transfer Engine'!$C$2:$C$1369,0)),"",INDEX('Compliance Database'!$M$2:$M$1369,MATCH(352,'Transfer Engine'!$C$2:$C$1369,0)))</f>
        <v/>
      </c>
      <c r="N361" s="9">
        <f>IF(ISNA(MATCH(352,'Transfer Engine'!$C$2:$C$1369,0)),"",INDEX('Compliance Database'!$N$2:$N$1369,MATCH(352,'Transfer Engine'!$C$2:$C$1369,0)))</f>
        <v/>
      </c>
      <c r="O361" s="8">
        <f>IF(ISNA(MATCH(352,'Transfer Engine'!$C$2:$C$1369,0)),"",HYPERLINK(INDEX('Compliance Database'!$O$2:$O$1369,MATCH(352,'Transfer Engine'!$C$2:$C$1369,0)),"Open PDF"))</f>
        <v/>
      </c>
    </row>
    <row r="362" ht="188" customHeight="1">
      <c r="A362" s="8">
        <f>IF(ISNA(MATCH(353,'Transfer Engine'!$C$2:$C$1369,0)),"",INDEX('Compliance Database'!$A$2:$A$1369,MATCH(353,'Transfer Engine'!$C$2:$C$1369,0)))</f>
        <v/>
      </c>
      <c r="B362" s="8">
        <f>IF(ISNA(MATCH(353,'Transfer Engine'!$C$2:$C$1369,0)),"",INDEX('Compliance Database'!$B$2:$B$1369,MATCH(353,'Transfer Engine'!$C$2:$C$1369,0)))</f>
        <v/>
      </c>
      <c r="C362" s="8">
        <f>IF(ISNA(MATCH(353,'Transfer Engine'!$C$2:$C$1369,0)),"",INDEX('Compliance Database'!$C$2:$C$1369,MATCH(353,'Transfer Engine'!$C$2:$C$1369,0)))</f>
        <v/>
      </c>
      <c r="D362" s="9">
        <f>IF(ISNA(MATCH(353,'Transfer Engine'!$C$2:$C$1369,0)),"",INDEX('Compliance Database'!$D$2:$D$1369,MATCH(353,'Transfer Engine'!$C$2:$C$1369,0)))</f>
        <v/>
      </c>
      <c r="E362" s="8">
        <f>IF(ISNA(MATCH(353,'Transfer Engine'!$C$2:$C$1369,0)),"",INDEX('Compliance Database'!$E$2:$E$1369,MATCH(353,'Transfer Engine'!$C$2:$C$1369,0)))</f>
        <v/>
      </c>
      <c r="F362" s="8">
        <f>IF(ISNA(MATCH(353,'Transfer Engine'!$C$2:$C$1369,0)),"",INDEX('Compliance Database'!$F$2:$F$1369,MATCH(353,'Transfer Engine'!$C$2:$C$1369,0)))</f>
        <v/>
      </c>
      <c r="G362" s="8">
        <f>IF(ISNA(MATCH(353,'Transfer Engine'!$C$2:$C$1369,0)),"",INDEX('Compliance Database'!$G$2:$G$1369,MATCH(353,'Transfer Engine'!$C$2:$C$1369,0)))</f>
        <v/>
      </c>
      <c r="H362" s="9">
        <f>IF(ISNA(MATCH(353,'Transfer Engine'!$C$2:$C$1369,0)),"",INDEX('Compliance Database'!$H$2:$H$1369,MATCH(353,'Transfer Engine'!$C$2:$C$1369,0)))</f>
        <v/>
      </c>
      <c r="I362" s="9">
        <f>IF(ISNA(MATCH(353,'Transfer Engine'!$C$2:$C$1369,0)),"",INDEX('Compliance Database'!$I$2:$I$1369,MATCH(353,'Transfer Engine'!$C$2:$C$1369,0)))</f>
        <v/>
      </c>
      <c r="J362" s="8">
        <f>IF(ISNA(MATCH(353,'Transfer Engine'!$C$2:$C$1369,0)),"",INDEX('Compliance Database'!$J$2:$J$1369,MATCH(353,'Transfer Engine'!$C$2:$C$1369,0)))</f>
        <v/>
      </c>
      <c r="K362" s="9">
        <f>IF(ISNA(MATCH(353,'Transfer Engine'!$C$2:$C$1369,0)),"",INDEX('Compliance Database'!$K$2:$K$1369,MATCH(353,'Transfer Engine'!$C$2:$C$1369,0)))</f>
        <v/>
      </c>
      <c r="L362" s="9">
        <f>IF(ISNA(MATCH(353,'Transfer Engine'!$C$2:$C$1369,0)),"",INDEX('Compliance Database'!$L$2:$L$1369,MATCH(353,'Transfer Engine'!$C$2:$C$1369,0)))</f>
        <v/>
      </c>
      <c r="M362" s="9">
        <f>IF(ISNA(MATCH(353,'Transfer Engine'!$C$2:$C$1369,0)),"",INDEX('Compliance Database'!$M$2:$M$1369,MATCH(353,'Transfer Engine'!$C$2:$C$1369,0)))</f>
        <v/>
      </c>
      <c r="N362" s="9">
        <f>IF(ISNA(MATCH(353,'Transfer Engine'!$C$2:$C$1369,0)),"",INDEX('Compliance Database'!$N$2:$N$1369,MATCH(353,'Transfer Engine'!$C$2:$C$1369,0)))</f>
        <v/>
      </c>
      <c r="O362" s="8">
        <f>IF(ISNA(MATCH(353,'Transfer Engine'!$C$2:$C$1369,0)),"",HYPERLINK(INDEX('Compliance Database'!$O$2:$O$1369,MATCH(353,'Transfer Engine'!$C$2:$C$1369,0)),"Open PDF"))</f>
        <v/>
      </c>
    </row>
    <row r="363" ht="188" customHeight="1">
      <c r="A363" s="8">
        <f>IF(ISNA(MATCH(354,'Transfer Engine'!$C$2:$C$1369,0)),"",INDEX('Compliance Database'!$A$2:$A$1369,MATCH(354,'Transfer Engine'!$C$2:$C$1369,0)))</f>
        <v/>
      </c>
      <c r="B363" s="8">
        <f>IF(ISNA(MATCH(354,'Transfer Engine'!$C$2:$C$1369,0)),"",INDEX('Compliance Database'!$B$2:$B$1369,MATCH(354,'Transfer Engine'!$C$2:$C$1369,0)))</f>
        <v/>
      </c>
      <c r="C363" s="8">
        <f>IF(ISNA(MATCH(354,'Transfer Engine'!$C$2:$C$1369,0)),"",INDEX('Compliance Database'!$C$2:$C$1369,MATCH(354,'Transfer Engine'!$C$2:$C$1369,0)))</f>
        <v/>
      </c>
      <c r="D363" s="9">
        <f>IF(ISNA(MATCH(354,'Transfer Engine'!$C$2:$C$1369,0)),"",INDEX('Compliance Database'!$D$2:$D$1369,MATCH(354,'Transfer Engine'!$C$2:$C$1369,0)))</f>
        <v/>
      </c>
      <c r="E363" s="8">
        <f>IF(ISNA(MATCH(354,'Transfer Engine'!$C$2:$C$1369,0)),"",INDEX('Compliance Database'!$E$2:$E$1369,MATCH(354,'Transfer Engine'!$C$2:$C$1369,0)))</f>
        <v/>
      </c>
      <c r="F363" s="8">
        <f>IF(ISNA(MATCH(354,'Transfer Engine'!$C$2:$C$1369,0)),"",INDEX('Compliance Database'!$F$2:$F$1369,MATCH(354,'Transfer Engine'!$C$2:$C$1369,0)))</f>
        <v/>
      </c>
      <c r="G363" s="8">
        <f>IF(ISNA(MATCH(354,'Transfer Engine'!$C$2:$C$1369,0)),"",INDEX('Compliance Database'!$G$2:$G$1369,MATCH(354,'Transfer Engine'!$C$2:$C$1369,0)))</f>
        <v/>
      </c>
      <c r="H363" s="9">
        <f>IF(ISNA(MATCH(354,'Transfer Engine'!$C$2:$C$1369,0)),"",INDEX('Compliance Database'!$H$2:$H$1369,MATCH(354,'Transfer Engine'!$C$2:$C$1369,0)))</f>
        <v/>
      </c>
      <c r="I363" s="9">
        <f>IF(ISNA(MATCH(354,'Transfer Engine'!$C$2:$C$1369,0)),"",INDEX('Compliance Database'!$I$2:$I$1369,MATCH(354,'Transfer Engine'!$C$2:$C$1369,0)))</f>
        <v/>
      </c>
      <c r="J363" s="8">
        <f>IF(ISNA(MATCH(354,'Transfer Engine'!$C$2:$C$1369,0)),"",INDEX('Compliance Database'!$J$2:$J$1369,MATCH(354,'Transfer Engine'!$C$2:$C$1369,0)))</f>
        <v/>
      </c>
      <c r="K363" s="9">
        <f>IF(ISNA(MATCH(354,'Transfer Engine'!$C$2:$C$1369,0)),"",INDEX('Compliance Database'!$K$2:$K$1369,MATCH(354,'Transfer Engine'!$C$2:$C$1369,0)))</f>
        <v/>
      </c>
      <c r="L363" s="9">
        <f>IF(ISNA(MATCH(354,'Transfer Engine'!$C$2:$C$1369,0)),"",INDEX('Compliance Database'!$L$2:$L$1369,MATCH(354,'Transfer Engine'!$C$2:$C$1369,0)))</f>
        <v/>
      </c>
      <c r="M363" s="9">
        <f>IF(ISNA(MATCH(354,'Transfer Engine'!$C$2:$C$1369,0)),"",INDEX('Compliance Database'!$M$2:$M$1369,MATCH(354,'Transfer Engine'!$C$2:$C$1369,0)))</f>
        <v/>
      </c>
      <c r="N363" s="9">
        <f>IF(ISNA(MATCH(354,'Transfer Engine'!$C$2:$C$1369,0)),"",INDEX('Compliance Database'!$N$2:$N$1369,MATCH(354,'Transfer Engine'!$C$2:$C$1369,0)))</f>
        <v/>
      </c>
      <c r="O363" s="8">
        <f>IF(ISNA(MATCH(354,'Transfer Engine'!$C$2:$C$1369,0)),"",HYPERLINK(INDEX('Compliance Database'!$O$2:$O$1369,MATCH(354,'Transfer Engine'!$C$2:$C$1369,0)),"Open PDF"))</f>
        <v/>
      </c>
    </row>
    <row r="364" ht="188" customHeight="1">
      <c r="A364" s="8">
        <f>IF(ISNA(MATCH(355,'Transfer Engine'!$C$2:$C$1369,0)),"",INDEX('Compliance Database'!$A$2:$A$1369,MATCH(355,'Transfer Engine'!$C$2:$C$1369,0)))</f>
        <v/>
      </c>
      <c r="B364" s="8">
        <f>IF(ISNA(MATCH(355,'Transfer Engine'!$C$2:$C$1369,0)),"",INDEX('Compliance Database'!$B$2:$B$1369,MATCH(355,'Transfer Engine'!$C$2:$C$1369,0)))</f>
        <v/>
      </c>
      <c r="C364" s="8">
        <f>IF(ISNA(MATCH(355,'Transfer Engine'!$C$2:$C$1369,0)),"",INDEX('Compliance Database'!$C$2:$C$1369,MATCH(355,'Transfer Engine'!$C$2:$C$1369,0)))</f>
        <v/>
      </c>
      <c r="D364" s="9">
        <f>IF(ISNA(MATCH(355,'Transfer Engine'!$C$2:$C$1369,0)),"",INDEX('Compliance Database'!$D$2:$D$1369,MATCH(355,'Transfer Engine'!$C$2:$C$1369,0)))</f>
        <v/>
      </c>
      <c r="E364" s="8">
        <f>IF(ISNA(MATCH(355,'Transfer Engine'!$C$2:$C$1369,0)),"",INDEX('Compliance Database'!$E$2:$E$1369,MATCH(355,'Transfer Engine'!$C$2:$C$1369,0)))</f>
        <v/>
      </c>
      <c r="F364" s="8">
        <f>IF(ISNA(MATCH(355,'Transfer Engine'!$C$2:$C$1369,0)),"",INDEX('Compliance Database'!$F$2:$F$1369,MATCH(355,'Transfer Engine'!$C$2:$C$1369,0)))</f>
        <v/>
      </c>
      <c r="G364" s="8">
        <f>IF(ISNA(MATCH(355,'Transfer Engine'!$C$2:$C$1369,0)),"",INDEX('Compliance Database'!$G$2:$G$1369,MATCH(355,'Transfer Engine'!$C$2:$C$1369,0)))</f>
        <v/>
      </c>
      <c r="H364" s="9">
        <f>IF(ISNA(MATCH(355,'Transfer Engine'!$C$2:$C$1369,0)),"",INDEX('Compliance Database'!$H$2:$H$1369,MATCH(355,'Transfer Engine'!$C$2:$C$1369,0)))</f>
        <v/>
      </c>
      <c r="I364" s="9">
        <f>IF(ISNA(MATCH(355,'Transfer Engine'!$C$2:$C$1369,0)),"",INDEX('Compliance Database'!$I$2:$I$1369,MATCH(355,'Transfer Engine'!$C$2:$C$1369,0)))</f>
        <v/>
      </c>
      <c r="J364" s="8">
        <f>IF(ISNA(MATCH(355,'Transfer Engine'!$C$2:$C$1369,0)),"",INDEX('Compliance Database'!$J$2:$J$1369,MATCH(355,'Transfer Engine'!$C$2:$C$1369,0)))</f>
        <v/>
      </c>
      <c r="K364" s="9">
        <f>IF(ISNA(MATCH(355,'Transfer Engine'!$C$2:$C$1369,0)),"",INDEX('Compliance Database'!$K$2:$K$1369,MATCH(355,'Transfer Engine'!$C$2:$C$1369,0)))</f>
        <v/>
      </c>
      <c r="L364" s="9">
        <f>IF(ISNA(MATCH(355,'Transfer Engine'!$C$2:$C$1369,0)),"",INDEX('Compliance Database'!$L$2:$L$1369,MATCH(355,'Transfer Engine'!$C$2:$C$1369,0)))</f>
        <v/>
      </c>
      <c r="M364" s="9">
        <f>IF(ISNA(MATCH(355,'Transfer Engine'!$C$2:$C$1369,0)),"",INDEX('Compliance Database'!$M$2:$M$1369,MATCH(355,'Transfer Engine'!$C$2:$C$1369,0)))</f>
        <v/>
      </c>
      <c r="N364" s="9">
        <f>IF(ISNA(MATCH(355,'Transfer Engine'!$C$2:$C$1369,0)),"",INDEX('Compliance Database'!$N$2:$N$1369,MATCH(355,'Transfer Engine'!$C$2:$C$1369,0)))</f>
        <v/>
      </c>
      <c r="O364" s="8">
        <f>IF(ISNA(MATCH(355,'Transfer Engine'!$C$2:$C$1369,0)),"",HYPERLINK(INDEX('Compliance Database'!$O$2:$O$1369,MATCH(355,'Transfer Engine'!$C$2:$C$1369,0)),"Open PDF"))</f>
        <v/>
      </c>
    </row>
    <row r="365" ht="188" customHeight="1">
      <c r="A365" s="8">
        <f>IF(ISNA(MATCH(356,'Transfer Engine'!$C$2:$C$1369,0)),"",INDEX('Compliance Database'!$A$2:$A$1369,MATCH(356,'Transfer Engine'!$C$2:$C$1369,0)))</f>
        <v/>
      </c>
      <c r="B365" s="8">
        <f>IF(ISNA(MATCH(356,'Transfer Engine'!$C$2:$C$1369,0)),"",INDEX('Compliance Database'!$B$2:$B$1369,MATCH(356,'Transfer Engine'!$C$2:$C$1369,0)))</f>
        <v/>
      </c>
      <c r="C365" s="8">
        <f>IF(ISNA(MATCH(356,'Transfer Engine'!$C$2:$C$1369,0)),"",INDEX('Compliance Database'!$C$2:$C$1369,MATCH(356,'Transfer Engine'!$C$2:$C$1369,0)))</f>
        <v/>
      </c>
      <c r="D365" s="9">
        <f>IF(ISNA(MATCH(356,'Transfer Engine'!$C$2:$C$1369,0)),"",INDEX('Compliance Database'!$D$2:$D$1369,MATCH(356,'Transfer Engine'!$C$2:$C$1369,0)))</f>
        <v/>
      </c>
      <c r="E365" s="8">
        <f>IF(ISNA(MATCH(356,'Transfer Engine'!$C$2:$C$1369,0)),"",INDEX('Compliance Database'!$E$2:$E$1369,MATCH(356,'Transfer Engine'!$C$2:$C$1369,0)))</f>
        <v/>
      </c>
      <c r="F365" s="8">
        <f>IF(ISNA(MATCH(356,'Transfer Engine'!$C$2:$C$1369,0)),"",INDEX('Compliance Database'!$F$2:$F$1369,MATCH(356,'Transfer Engine'!$C$2:$C$1369,0)))</f>
        <v/>
      </c>
      <c r="G365" s="8">
        <f>IF(ISNA(MATCH(356,'Transfer Engine'!$C$2:$C$1369,0)),"",INDEX('Compliance Database'!$G$2:$G$1369,MATCH(356,'Transfer Engine'!$C$2:$C$1369,0)))</f>
        <v/>
      </c>
      <c r="H365" s="9">
        <f>IF(ISNA(MATCH(356,'Transfer Engine'!$C$2:$C$1369,0)),"",INDEX('Compliance Database'!$H$2:$H$1369,MATCH(356,'Transfer Engine'!$C$2:$C$1369,0)))</f>
        <v/>
      </c>
      <c r="I365" s="9">
        <f>IF(ISNA(MATCH(356,'Transfer Engine'!$C$2:$C$1369,0)),"",INDEX('Compliance Database'!$I$2:$I$1369,MATCH(356,'Transfer Engine'!$C$2:$C$1369,0)))</f>
        <v/>
      </c>
      <c r="J365" s="8">
        <f>IF(ISNA(MATCH(356,'Transfer Engine'!$C$2:$C$1369,0)),"",INDEX('Compliance Database'!$J$2:$J$1369,MATCH(356,'Transfer Engine'!$C$2:$C$1369,0)))</f>
        <v/>
      </c>
      <c r="K365" s="9">
        <f>IF(ISNA(MATCH(356,'Transfer Engine'!$C$2:$C$1369,0)),"",INDEX('Compliance Database'!$K$2:$K$1369,MATCH(356,'Transfer Engine'!$C$2:$C$1369,0)))</f>
        <v/>
      </c>
      <c r="L365" s="9">
        <f>IF(ISNA(MATCH(356,'Transfer Engine'!$C$2:$C$1369,0)),"",INDEX('Compliance Database'!$L$2:$L$1369,MATCH(356,'Transfer Engine'!$C$2:$C$1369,0)))</f>
        <v/>
      </c>
      <c r="M365" s="9">
        <f>IF(ISNA(MATCH(356,'Transfer Engine'!$C$2:$C$1369,0)),"",INDEX('Compliance Database'!$M$2:$M$1369,MATCH(356,'Transfer Engine'!$C$2:$C$1369,0)))</f>
        <v/>
      </c>
      <c r="N365" s="9">
        <f>IF(ISNA(MATCH(356,'Transfer Engine'!$C$2:$C$1369,0)),"",INDEX('Compliance Database'!$N$2:$N$1369,MATCH(356,'Transfer Engine'!$C$2:$C$1369,0)))</f>
        <v/>
      </c>
      <c r="O365" s="8">
        <f>IF(ISNA(MATCH(356,'Transfer Engine'!$C$2:$C$1369,0)),"",HYPERLINK(INDEX('Compliance Database'!$O$2:$O$1369,MATCH(356,'Transfer Engine'!$C$2:$C$1369,0)),"Open PDF"))</f>
        <v/>
      </c>
    </row>
    <row r="366" ht="188" customHeight="1">
      <c r="A366" s="8">
        <f>IF(ISNA(MATCH(357,'Transfer Engine'!$C$2:$C$1369,0)),"",INDEX('Compliance Database'!$A$2:$A$1369,MATCH(357,'Transfer Engine'!$C$2:$C$1369,0)))</f>
        <v/>
      </c>
      <c r="B366" s="8">
        <f>IF(ISNA(MATCH(357,'Transfer Engine'!$C$2:$C$1369,0)),"",INDEX('Compliance Database'!$B$2:$B$1369,MATCH(357,'Transfer Engine'!$C$2:$C$1369,0)))</f>
        <v/>
      </c>
      <c r="C366" s="8">
        <f>IF(ISNA(MATCH(357,'Transfer Engine'!$C$2:$C$1369,0)),"",INDEX('Compliance Database'!$C$2:$C$1369,MATCH(357,'Transfer Engine'!$C$2:$C$1369,0)))</f>
        <v/>
      </c>
      <c r="D366" s="9">
        <f>IF(ISNA(MATCH(357,'Transfer Engine'!$C$2:$C$1369,0)),"",INDEX('Compliance Database'!$D$2:$D$1369,MATCH(357,'Transfer Engine'!$C$2:$C$1369,0)))</f>
        <v/>
      </c>
      <c r="E366" s="8">
        <f>IF(ISNA(MATCH(357,'Transfer Engine'!$C$2:$C$1369,0)),"",INDEX('Compliance Database'!$E$2:$E$1369,MATCH(357,'Transfer Engine'!$C$2:$C$1369,0)))</f>
        <v/>
      </c>
      <c r="F366" s="8">
        <f>IF(ISNA(MATCH(357,'Transfer Engine'!$C$2:$C$1369,0)),"",INDEX('Compliance Database'!$F$2:$F$1369,MATCH(357,'Transfer Engine'!$C$2:$C$1369,0)))</f>
        <v/>
      </c>
      <c r="G366" s="8">
        <f>IF(ISNA(MATCH(357,'Transfer Engine'!$C$2:$C$1369,0)),"",INDEX('Compliance Database'!$G$2:$G$1369,MATCH(357,'Transfer Engine'!$C$2:$C$1369,0)))</f>
        <v/>
      </c>
      <c r="H366" s="9">
        <f>IF(ISNA(MATCH(357,'Transfer Engine'!$C$2:$C$1369,0)),"",INDEX('Compliance Database'!$H$2:$H$1369,MATCH(357,'Transfer Engine'!$C$2:$C$1369,0)))</f>
        <v/>
      </c>
      <c r="I366" s="9">
        <f>IF(ISNA(MATCH(357,'Transfer Engine'!$C$2:$C$1369,0)),"",INDEX('Compliance Database'!$I$2:$I$1369,MATCH(357,'Transfer Engine'!$C$2:$C$1369,0)))</f>
        <v/>
      </c>
      <c r="J366" s="8">
        <f>IF(ISNA(MATCH(357,'Transfer Engine'!$C$2:$C$1369,0)),"",INDEX('Compliance Database'!$J$2:$J$1369,MATCH(357,'Transfer Engine'!$C$2:$C$1369,0)))</f>
        <v/>
      </c>
      <c r="K366" s="9">
        <f>IF(ISNA(MATCH(357,'Transfer Engine'!$C$2:$C$1369,0)),"",INDEX('Compliance Database'!$K$2:$K$1369,MATCH(357,'Transfer Engine'!$C$2:$C$1369,0)))</f>
        <v/>
      </c>
      <c r="L366" s="9">
        <f>IF(ISNA(MATCH(357,'Transfer Engine'!$C$2:$C$1369,0)),"",INDEX('Compliance Database'!$L$2:$L$1369,MATCH(357,'Transfer Engine'!$C$2:$C$1369,0)))</f>
        <v/>
      </c>
      <c r="M366" s="9">
        <f>IF(ISNA(MATCH(357,'Transfer Engine'!$C$2:$C$1369,0)),"",INDEX('Compliance Database'!$M$2:$M$1369,MATCH(357,'Transfer Engine'!$C$2:$C$1369,0)))</f>
        <v/>
      </c>
      <c r="N366" s="9">
        <f>IF(ISNA(MATCH(357,'Transfer Engine'!$C$2:$C$1369,0)),"",INDEX('Compliance Database'!$N$2:$N$1369,MATCH(357,'Transfer Engine'!$C$2:$C$1369,0)))</f>
        <v/>
      </c>
      <c r="O366" s="8">
        <f>IF(ISNA(MATCH(357,'Transfer Engine'!$C$2:$C$1369,0)),"",HYPERLINK(INDEX('Compliance Database'!$O$2:$O$1369,MATCH(357,'Transfer Engine'!$C$2:$C$1369,0)),"Open PDF"))</f>
        <v/>
      </c>
    </row>
    <row r="367" ht="188" customHeight="1">
      <c r="A367" s="8">
        <f>IF(ISNA(MATCH(358,'Transfer Engine'!$C$2:$C$1369,0)),"",INDEX('Compliance Database'!$A$2:$A$1369,MATCH(358,'Transfer Engine'!$C$2:$C$1369,0)))</f>
        <v/>
      </c>
      <c r="B367" s="8">
        <f>IF(ISNA(MATCH(358,'Transfer Engine'!$C$2:$C$1369,0)),"",INDEX('Compliance Database'!$B$2:$B$1369,MATCH(358,'Transfer Engine'!$C$2:$C$1369,0)))</f>
        <v/>
      </c>
      <c r="C367" s="8">
        <f>IF(ISNA(MATCH(358,'Transfer Engine'!$C$2:$C$1369,0)),"",INDEX('Compliance Database'!$C$2:$C$1369,MATCH(358,'Transfer Engine'!$C$2:$C$1369,0)))</f>
        <v/>
      </c>
      <c r="D367" s="9">
        <f>IF(ISNA(MATCH(358,'Transfer Engine'!$C$2:$C$1369,0)),"",INDEX('Compliance Database'!$D$2:$D$1369,MATCH(358,'Transfer Engine'!$C$2:$C$1369,0)))</f>
        <v/>
      </c>
      <c r="E367" s="8">
        <f>IF(ISNA(MATCH(358,'Transfer Engine'!$C$2:$C$1369,0)),"",INDEX('Compliance Database'!$E$2:$E$1369,MATCH(358,'Transfer Engine'!$C$2:$C$1369,0)))</f>
        <v/>
      </c>
      <c r="F367" s="8">
        <f>IF(ISNA(MATCH(358,'Transfer Engine'!$C$2:$C$1369,0)),"",INDEX('Compliance Database'!$F$2:$F$1369,MATCH(358,'Transfer Engine'!$C$2:$C$1369,0)))</f>
        <v/>
      </c>
      <c r="G367" s="8">
        <f>IF(ISNA(MATCH(358,'Transfer Engine'!$C$2:$C$1369,0)),"",INDEX('Compliance Database'!$G$2:$G$1369,MATCH(358,'Transfer Engine'!$C$2:$C$1369,0)))</f>
        <v/>
      </c>
      <c r="H367" s="9">
        <f>IF(ISNA(MATCH(358,'Transfer Engine'!$C$2:$C$1369,0)),"",INDEX('Compliance Database'!$H$2:$H$1369,MATCH(358,'Transfer Engine'!$C$2:$C$1369,0)))</f>
        <v/>
      </c>
      <c r="I367" s="9">
        <f>IF(ISNA(MATCH(358,'Transfer Engine'!$C$2:$C$1369,0)),"",INDEX('Compliance Database'!$I$2:$I$1369,MATCH(358,'Transfer Engine'!$C$2:$C$1369,0)))</f>
        <v/>
      </c>
      <c r="J367" s="8">
        <f>IF(ISNA(MATCH(358,'Transfer Engine'!$C$2:$C$1369,0)),"",INDEX('Compliance Database'!$J$2:$J$1369,MATCH(358,'Transfer Engine'!$C$2:$C$1369,0)))</f>
        <v/>
      </c>
      <c r="K367" s="9">
        <f>IF(ISNA(MATCH(358,'Transfer Engine'!$C$2:$C$1369,0)),"",INDEX('Compliance Database'!$K$2:$K$1369,MATCH(358,'Transfer Engine'!$C$2:$C$1369,0)))</f>
        <v/>
      </c>
      <c r="L367" s="9">
        <f>IF(ISNA(MATCH(358,'Transfer Engine'!$C$2:$C$1369,0)),"",INDEX('Compliance Database'!$L$2:$L$1369,MATCH(358,'Transfer Engine'!$C$2:$C$1369,0)))</f>
        <v/>
      </c>
      <c r="M367" s="9">
        <f>IF(ISNA(MATCH(358,'Transfer Engine'!$C$2:$C$1369,0)),"",INDEX('Compliance Database'!$M$2:$M$1369,MATCH(358,'Transfer Engine'!$C$2:$C$1369,0)))</f>
        <v/>
      </c>
      <c r="N367" s="9">
        <f>IF(ISNA(MATCH(358,'Transfer Engine'!$C$2:$C$1369,0)),"",INDEX('Compliance Database'!$N$2:$N$1369,MATCH(358,'Transfer Engine'!$C$2:$C$1369,0)))</f>
        <v/>
      </c>
      <c r="O367" s="8">
        <f>IF(ISNA(MATCH(358,'Transfer Engine'!$C$2:$C$1369,0)),"",HYPERLINK(INDEX('Compliance Database'!$O$2:$O$1369,MATCH(358,'Transfer Engine'!$C$2:$C$1369,0)),"Open PDF"))</f>
        <v/>
      </c>
    </row>
    <row r="368" ht="188" customHeight="1">
      <c r="A368" s="8">
        <f>IF(ISNA(MATCH(359,'Transfer Engine'!$C$2:$C$1369,0)),"",INDEX('Compliance Database'!$A$2:$A$1369,MATCH(359,'Transfer Engine'!$C$2:$C$1369,0)))</f>
        <v/>
      </c>
      <c r="B368" s="8">
        <f>IF(ISNA(MATCH(359,'Transfer Engine'!$C$2:$C$1369,0)),"",INDEX('Compliance Database'!$B$2:$B$1369,MATCH(359,'Transfer Engine'!$C$2:$C$1369,0)))</f>
        <v/>
      </c>
      <c r="C368" s="8">
        <f>IF(ISNA(MATCH(359,'Transfer Engine'!$C$2:$C$1369,0)),"",INDEX('Compliance Database'!$C$2:$C$1369,MATCH(359,'Transfer Engine'!$C$2:$C$1369,0)))</f>
        <v/>
      </c>
      <c r="D368" s="9">
        <f>IF(ISNA(MATCH(359,'Transfer Engine'!$C$2:$C$1369,0)),"",INDEX('Compliance Database'!$D$2:$D$1369,MATCH(359,'Transfer Engine'!$C$2:$C$1369,0)))</f>
        <v/>
      </c>
      <c r="E368" s="8">
        <f>IF(ISNA(MATCH(359,'Transfer Engine'!$C$2:$C$1369,0)),"",INDEX('Compliance Database'!$E$2:$E$1369,MATCH(359,'Transfer Engine'!$C$2:$C$1369,0)))</f>
        <v/>
      </c>
      <c r="F368" s="8">
        <f>IF(ISNA(MATCH(359,'Transfer Engine'!$C$2:$C$1369,0)),"",INDEX('Compliance Database'!$F$2:$F$1369,MATCH(359,'Transfer Engine'!$C$2:$C$1369,0)))</f>
        <v/>
      </c>
      <c r="G368" s="8">
        <f>IF(ISNA(MATCH(359,'Transfer Engine'!$C$2:$C$1369,0)),"",INDEX('Compliance Database'!$G$2:$G$1369,MATCH(359,'Transfer Engine'!$C$2:$C$1369,0)))</f>
        <v/>
      </c>
      <c r="H368" s="9">
        <f>IF(ISNA(MATCH(359,'Transfer Engine'!$C$2:$C$1369,0)),"",INDEX('Compliance Database'!$H$2:$H$1369,MATCH(359,'Transfer Engine'!$C$2:$C$1369,0)))</f>
        <v/>
      </c>
      <c r="I368" s="9">
        <f>IF(ISNA(MATCH(359,'Transfer Engine'!$C$2:$C$1369,0)),"",INDEX('Compliance Database'!$I$2:$I$1369,MATCH(359,'Transfer Engine'!$C$2:$C$1369,0)))</f>
        <v/>
      </c>
      <c r="J368" s="8">
        <f>IF(ISNA(MATCH(359,'Transfer Engine'!$C$2:$C$1369,0)),"",INDEX('Compliance Database'!$J$2:$J$1369,MATCH(359,'Transfer Engine'!$C$2:$C$1369,0)))</f>
        <v/>
      </c>
      <c r="K368" s="9">
        <f>IF(ISNA(MATCH(359,'Transfer Engine'!$C$2:$C$1369,0)),"",INDEX('Compliance Database'!$K$2:$K$1369,MATCH(359,'Transfer Engine'!$C$2:$C$1369,0)))</f>
        <v/>
      </c>
      <c r="L368" s="9">
        <f>IF(ISNA(MATCH(359,'Transfer Engine'!$C$2:$C$1369,0)),"",INDEX('Compliance Database'!$L$2:$L$1369,MATCH(359,'Transfer Engine'!$C$2:$C$1369,0)))</f>
        <v/>
      </c>
      <c r="M368" s="9">
        <f>IF(ISNA(MATCH(359,'Transfer Engine'!$C$2:$C$1369,0)),"",INDEX('Compliance Database'!$M$2:$M$1369,MATCH(359,'Transfer Engine'!$C$2:$C$1369,0)))</f>
        <v/>
      </c>
      <c r="N368" s="9">
        <f>IF(ISNA(MATCH(359,'Transfer Engine'!$C$2:$C$1369,0)),"",INDEX('Compliance Database'!$N$2:$N$1369,MATCH(359,'Transfer Engine'!$C$2:$C$1369,0)))</f>
        <v/>
      </c>
      <c r="O368" s="8">
        <f>IF(ISNA(MATCH(359,'Transfer Engine'!$C$2:$C$1369,0)),"",HYPERLINK(INDEX('Compliance Database'!$O$2:$O$1369,MATCH(359,'Transfer Engine'!$C$2:$C$1369,0)),"Open PDF"))</f>
        <v/>
      </c>
    </row>
    <row r="369" ht="188" customHeight="1">
      <c r="A369" s="8">
        <f>IF(ISNA(MATCH(360,'Transfer Engine'!$C$2:$C$1369,0)),"",INDEX('Compliance Database'!$A$2:$A$1369,MATCH(360,'Transfer Engine'!$C$2:$C$1369,0)))</f>
        <v/>
      </c>
      <c r="B369" s="8">
        <f>IF(ISNA(MATCH(360,'Transfer Engine'!$C$2:$C$1369,0)),"",INDEX('Compliance Database'!$B$2:$B$1369,MATCH(360,'Transfer Engine'!$C$2:$C$1369,0)))</f>
        <v/>
      </c>
      <c r="C369" s="8">
        <f>IF(ISNA(MATCH(360,'Transfer Engine'!$C$2:$C$1369,0)),"",INDEX('Compliance Database'!$C$2:$C$1369,MATCH(360,'Transfer Engine'!$C$2:$C$1369,0)))</f>
        <v/>
      </c>
      <c r="D369" s="9">
        <f>IF(ISNA(MATCH(360,'Transfer Engine'!$C$2:$C$1369,0)),"",INDEX('Compliance Database'!$D$2:$D$1369,MATCH(360,'Transfer Engine'!$C$2:$C$1369,0)))</f>
        <v/>
      </c>
      <c r="E369" s="8">
        <f>IF(ISNA(MATCH(360,'Transfer Engine'!$C$2:$C$1369,0)),"",INDEX('Compliance Database'!$E$2:$E$1369,MATCH(360,'Transfer Engine'!$C$2:$C$1369,0)))</f>
        <v/>
      </c>
      <c r="F369" s="8">
        <f>IF(ISNA(MATCH(360,'Transfer Engine'!$C$2:$C$1369,0)),"",INDEX('Compliance Database'!$F$2:$F$1369,MATCH(360,'Transfer Engine'!$C$2:$C$1369,0)))</f>
        <v/>
      </c>
      <c r="G369" s="8">
        <f>IF(ISNA(MATCH(360,'Transfer Engine'!$C$2:$C$1369,0)),"",INDEX('Compliance Database'!$G$2:$G$1369,MATCH(360,'Transfer Engine'!$C$2:$C$1369,0)))</f>
        <v/>
      </c>
      <c r="H369" s="9">
        <f>IF(ISNA(MATCH(360,'Transfer Engine'!$C$2:$C$1369,0)),"",INDEX('Compliance Database'!$H$2:$H$1369,MATCH(360,'Transfer Engine'!$C$2:$C$1369,0)))</f>
        <v/>
      </c>
      <c r="I369" s="9">
        <f>IF(ISNA(MATCH(360,'Transfer Engine'!$C$2:$C$1369,0)),"",INDEX('Compliance Database'!$I$2:$I$1369,MATCH(360,'Transfer Engine'!$C$2:$C$1369,0)))</f>
        <v/>
      </c>
      <c r="J369" s="8">
        <f>IF(ISNA(MATCH(360,'Transfer Engine'!$C$2:$C$1369,0)),"",INDEX('Compliance Database'!$J$2:$J$1369,MATCH(360,'Transfer Engine'!$C$2:$C$1369,0)))</f>
        <v/>
      </c>
      <c r="K369" s="9">
        <f>IF(ISNA(MATCH(360,'Transfer Engine'!$C$2:$C$1369,0)),"",INDEX('Compliance Database'!$K$2:$K$1369,MATCH(360,'Transfer Engine'!$C$2:$C$1369,0)))</f>
        <v/>
      </c>
      <c r="L369" s="9">
        <f>IF(ISNA(MATCH(360,'Transfer Engine'!$C$2:$C$1369,0)),"",INDEX('Compliance Database'!$L$2:$L$1369,MATCH(360,'Transfer Engine'!$C$2:$C$1369,0)))</f>
        <v/>
      </c>
      <c r="M369" s="9">
        <f>IF(ISNA(MATCH(360,'Transfer Engine'!$C$2:$C$1369,0)),"",INDEX('Compliance Database'!$M$2:$M$1369,MATCH(360,'Transfer Engine'!$C$2:$C$1369,0)))</f>
        <v/>
      </c>
      <c r="N369" s="9">
        <f>IF(ISNA(MATCH(360,'Transfer Engine'!$C$2:$C$1369,0)),"",INDEX('Compliance Database'!$N$2:$N$1369,MATCH(360,'Transfer Engine'!$C$2:$C$1369,0)))</f>
        <v/>
      </c>
      <c r="O369" s="8">
        <f>IF(ISNA(MATCH(360,'Transfer Engine'!$C$2:$C$1369,0)),"",HYPERLINK(INDEX('Compliance Database'!$O$2:$O$1369,MATCH(360,'Transfer Engine'!$C$2:$C$1369,0)),"Open PDF"))</f>
        <v/>
      </c>
    </row>
    <row r="370" ht="188" customHeight="1">
      <c r="A370" s="8">
        <f>IF(ISNA(MATCH(361,'Transfer Engine'!$C$2:$C$1369,0)),"",INDEX('Compliance Database'!$A$2:$A$1369,MATCH(361,'Transfer Engine'!$C$2:$C$1369,0)))</f>
        <v/>
      </c>
      <c r="B370" s="8">
        <f>IF(ISNA(MATCH(361,'Transfer Engine'!$C$2:$C$1369,0)),"",INDEX('Compliance Database'!$B$2:$B$1369,MATCH(361,'Transfer Engine'!$C$2:$C$1369,0)))</f>
        <v/>
      </c>
      <c r="C370" s="8">
        <f>IF(ISNA(MATCH(361,'Transfer Engine'!$C$2:$C$1369,0)),"",INDEX('Compliance Database'!$C$2:$C$1369,MATCH(361,'Transfer Engine'!$C$2:$C$1369,0)))</f>
        <v/>
      </c>
      <c r="D370" s="9">
        <f>IF(ISNA(MATCH(361,'Transfer Engine'!$C$2:$C$1369,0)),"",INDEX('Compliance Database'!$D$2:$D$1369,MATCH(361,'Transfer Engine'!$C$2:$C$1369,0)))</f>
        <v/>
      </c>
      <c r="E370" s="8">
        <f>IF(ISNA(MATCH(361,'Transfer Engine'!$C$2:$C$1369,0)),"",INDEX('Compliance Database'!$E$2:$E$1369,MATCH(361,'Transfer Engine'!$C$2:$C$1369,0)))</f>
        <v/>
      </c>
      <c r="F370" s="8">
        <f>IF(ISNA(MATCH(361,'Transfer Engine'!$C$2:$C$1369,0)),"",INDEX('Compliance Database'!$F$2:$F$1369,MATCH(361,'Transfer Engine'!$C$2:$C$1369,0)))</f>
        <v/>
      </c>
      <c r="G370" s="8">
        <f>IF(ISNA(MATCH(361,'Transfer Engine'!$C$2:$C$1369,0)),"",INDEX('Compliance Database'!$G$2:$G$1369,MATCH(361,'Transfer Engine'!$C$2:$C$1369,0)))</f>
        <v/>
      </c>
      <c r="H370" s="9">
        <f>IF(ISNA(MATCH(361,'Transfer Engine'!$C$2:$C$1369,0)),"",INDEX('Compliance Database'!$H$2:$H$1369,MATCH(361,'Transfer Engine'!$C$2:$C$1369,0)))</f>
        <v/>
      </c>
      <c r="I370" s="9">
        <f>IF(ISNA(MATCH(361,'Transfer Engine'!$C$2:$C$1369,0)),"",INDEX('Compliance Database'!$I$2:$I$1369,MATCH(361,'Transfer Engine'!$C$2:$C$1369,0)))</f>
        <v/>
      </c>
      <c r="J370" s="8">
        <f>IF(ISNA(MATCH(361,'Transfer Engine'!$C$2:$C$1369,0)),"",INDEX('Compliance Database'!$J$2:$J$1369,MATCH(361,'Transfer Engine'!$C$2:$C$1369,0)))</f>
        <v/>
      </c>
      <c r="K370" s="9">
        <f>IF(ISNA(MATCH(361,'Transfer Engine'!$C$2:$C$1369,0)),"",INDEX('Compliance Database'!$K$2:$K$1369,MATCH(361,'Transfer Engine'!$C$2:$C$1369,0)))</f>
        <v/>
      </c>
      <c r="L370" s="9">
        <f>IF(ISNA(MATCH(361,'Transfer Engine'!$C$2:$C$1369,0)),"",INDEX('Compliance Database'!$L$2:$L$1369,MATCH(361,'Transfer Engine'!$C$2:$C$1369,0)))</f>
        <v/>
      </c>
      <c r="M370" s="9">
        <f>IF(ISNA(MATCH(361,'Transfer Engine'!$C$2:$C$1369,0)),"",INDEX('Compliance Database'!$M$2:$M$1369,MATCH(361,'Transfer Engine'!$C$2:$C$1369,0)))</f>
        <v/>
      </c>
      <c r="N370" s="9">
        <f>IF(ISNA(MATCH(361,'Transfer Engine'!$C$2:$C$1369,0)),"",INDEX('Compliance Database'!$N$2:$N$1369,MATCH(361,'Transfer Engine'!$C$2:$C$1369,0)))</f>
        <v/>
      </c>
      <c r="O370" s="8">
        <f>IF(ISNA(MATCH(361,'Transfer Engine'!$C$2:$C$1369,0)),"",HYPERLINK(INDEX('Compliance Database'!$O$2:$O$1369,MATCH(361,'Transfer Engine'!$C$2:$C$1369,0)),"Open PDF"))</f>
        <v/>
      </c>
    </row>
    <row r="371" ht="188" customHeight="1">
      <c r="A371" s="8">
        <f>IF(ISNA(MATCH(362,'Transfer Engine'!$C$2:$C$1369,0)),"",INDEX('Compliance Database'!$A$2:$A$1369,MATCH(362,'Transfer Engine'!$C$2:$C$1369,0)))</f>
        <v/>
      </c>
      <c r="B371" s="8">
        <f>IF(ISNA(MATCH(362,'Transfer Engine'!$C$2:$C$1369,0)),"",INDEX('Compliance Database'!$B$2:$B$1369,MATCH(362,'Transfer Engine'!$C$2:$C$1369,0)))</f>
        <v/>
      </c>
      <c r="C371" s="8">
        <f>IF(ISNA(MATCH(362,'Transfer Engine'!$C$2:$C$1369,0)),"",INDEX('Compliance Database'!$C$2:$C$1369,MATCH(362,'Transfer Engine'!$C$2:$C$1369,0)))</f>
        <v/>
      </c>
      <c r="D371" s="9">
        <f>IF(ISNA(MATCH(362,'Transfer Engine'!$C$2:$C$1369,0)),"",INDEX('Compliance Database'!$D$2:$D$1369,MATCH(362,'Transfer Engine'!$C$2:$C$1369,0)))</f>
        <v/>
      </c>
      <c r="E371" s="8">
        <f>IF(ISNA(MATCH(362,'Transfer Engine'!$C$2:$C$1369,0)),"",INDEX('Compliance Database'!$E$2:$E$1369,MATCH(362,'Transfer Engine'!$C$2:$C$1369,0)))</f>
        <v/>
      </c>
      <c r="F371" s="8">
        <f>IF(ISNA(MATCH(362,'Transfer Engine'!$C$2:$C$1369,0)),"",INDEX('Compliance Database'!$F$2:$F$1369,MATCH(362,'Transfer Engine'!$C$2:$C$1369,0)))</f>
        <v/>
      </c>
      <c r="G371" s="8">
        <f>IF(ISNA(MATCH(362,'Transfer Engine'!$C$2:$C$1369,0)),"",INDEX('Compliance Database'!$G$2:$G$1369,MATCH(362,'Transfer Engine'!$C$2:$C$1369,0)))</f>
        <v/>
      </c>
      <c r="H371" s="9">
        <f>IF(ISNA(MATCH(362,'Transfer Engine'!$C$2:$C$1369,0)),"",INDEX('Compliance Database'!$H$2:$H$1369,MATCH(362,'Transfer Engine'!$C$2:$C$1369,0)))</f>
        <v/>
      </c>
      <c r="I371" s="9">
        <f>IF(ISNA(MATCH(362,'Transfer Engine'!$C$2:$C$1369,0)),"",INDEX('Compliance Database'!$I$2:$I$1369,MATCH(362,'Transfer Engine'!$C$2:$C$1369,0)))</f>
        <v/>
      </c>
      <c r="J371" s="8">
        <f>IF(ISNA(MATCH(362,'Transfer Engine'!$C$2:$C$1369,0)),"",INDEX('Compliance Database'!$J$2:$J$1369,MATCH(362,'Transfer Engine'!$C$2:$C$1369,0)))</f>
        <v/>
      </c>
      <c r="K371" s="9">
        <f>IF(ISNA(MATCH(362,'Transfer Engine'!$C$2:$C$1369,0)),"",INDEX('Compliance Database'!$K$2:$K$1369,MATCH(362,'Transfer Engine'!$C$2:$C$1369,0)))</f>
        <v/>
      </c>
      <c r="L371" s="9">
        <f>IF(ISNA(MATCH(362,'Transfer Engine'!$C$2:$C$1369,0)),"",INDEX('Compliance Database'!$L$2:$L$1369,MATCH(362,'Transfer Engine'!$C$2:$C$1369,0)))</f>
        <v/>
      </c>
      <c r="M371" s="9">
        <f>IF(ISNA(MATCH(362,'Transfer Engine'!$C$2:$C$1369,0)),"",INDEX('Compliance Database'!$M$2:$M$1369,MATCH(362,'Transfer Engine'!$C$2:$C$1369,0)))</f>
        <v/>
      </c>
      <c r="N371" s="9">
        <f>IF(ISNA(MATCH(362,'Transfer Engine'!$C$2:$C$1369,0)),"",INDEX('Compliance Database'!$N$2:$N$1369,MATCH(362,'Transfer Engine'!$C$2:$C$1369,0)))</f>
        <v/>
      </c>
      <c r="O371" s="8">
        <f>IF(ISNA(MATCH(362,'Transfer Engine'!$C$2:$C$1369,0)),"",HYPERLINK(INDEX('Compliance Database'!$O$2:$O$1369,MATCH(362,'Transfer Engine'!$C$2:$C$1369,0)),"Open PDF"))</f>
        <v/>
      </c>
    </row>
    <row r="372" ht="188" customHeight="1">
      <c r="A372" s="8">
        <f>IF(ISNA(MATCH(363,'Transfer Engine'!$C$2:$C$1369,0)),"",INDEX('Compliance Database'!$A$2:$A$1369,MATCH(363,'Transfer Engine'!$C$2:$C$1369,0)))</f>
        <v/>
      </c>
      <c r="B372" s="8">
        <f>IF(ISNA(MATCH(363,'Transfer Engine'!$C$2:$C$1369,0)),"",INDEX('Compliance Database'!$B$2:$B$1369,MATCH(363,'Transfer Engine'!$C$2:$C$1369,0)))</f>
        <v/>
      </c>
      <c r="C372" s="8">
        <f>IF(ISNA(MATCH(363,'Transfer Engine'!$C$2:$C$1369,0)),"",INDEX('Compliance Database'!$C$2:$C$1369,MATCH(363,'Transfer Engine'!$C$2:$C$1369,0)))</f>
        <v/>
      </c>
      <c r="D372" s="9">
        <f>IF(ISNA(MATCH(363,'Transfer Engine'!$C$2:$C$1369,0)),"",INDEX('Compliance Database'!$D$2:$D$1369,MATCH(363,'Transfer Engine'!$C$2:$C$1369,0)))</f>
        <v/>
      </c>
      <c r="E372" s="8">
        <f>IF(ISNA(MATCH(363,'Transfer Engine'!$C$2:$C$1369,0)),"",INDEX('Compliance Database'!$E$2:$E$1369,MATCH(363,'Transfer Engine'!$C$2:$C$1369,0)))</f>
        <v/>
      </c>
      <c r="F372" s="8">
        <f>IF(ISNA(MATCH(363,'Transfer Engine'!$C$2:$C$1369,0)),"",INDEX('Compliance Database'!$F$2:$F$1369,MATCH(363,'Transfer Engine'!$C$2:$C$1369,0)))</f>
        <v/>
      </c>
      <c r="G372" s="8">
        <f>IF(ISNA(MATCH(363,'Transfer Engine'!$C$2:$C$1369,0)),"",INDEX('Compliance Database'!$G$2:$G$1369,MATCH(363,'Transfer Engine'!$C$2:$C$1369,0)))</f>
        <v/>
      </c>
      <c r="H372" s="9">
        <f>IF(ISNA(MATCH(363,'Transfer Engine'!$C$2:$C$1369,0)),"",INDEX('Compliance Database'!$H$2:$H$1369,MATCH(363,'Transfer Engine'!$C$2:$C$1369,0)))</f>
        <v/>
      </c>
      <c r="I372" s="9">
        <f>IF(ISNA(MATCH(363,'Transfer Engine'!$C$2:$C$1369,0)),"",INDEX('Compliance Database'!$I$2:$I$1369,MATCH(363,'Transfer Engine'!$C$2:$C$1369,0)))</f>
        <v/>
      </c>
      <c r="J372" s="8">
        <f>IF(ISNA(MATCH(363,'Transfer Engine'!$C$2:$C$1369,0)),"",INDEX('Compliance Database'!$J$2:$J$1369,MATCH(363,'Transfer Engine'!$C$2:$C$1369,0)))</f>
        <v/>
      </c>
      <c r="K372" s="9">
        <f>IF(ISNA(MATCH(363,'Transfer Engine'!$C$2:$C$1369,0)),"",INDEX('Compliance Database'!$K$2:$K$1369,MATCH(363,'Transfer Engine'!$C$2:$C$1369,0)))</f>
        <v/>
      </c>
      <c r="L372" s="9">
        <f>IF(ISNA(MATCH(363,'Transfer Engine'!$C$2:$C$1369,0)),"",INDEX('Compliance Database'!$L$2:$L$1369,MATCH(363,'Transfer Engine'!$C$2:$C$1369,0)))</f>
        <v/>
      </c>
      <c r="M372" s="9">
        <f>IF(ISNA(MATCH(363,'Transfer Engine'!$C$2:$C$1369,0)),"",INDEX('Compliance Database'!$M$2:$M$1369,MATCH(363,'Transfer Engine'!$C$2:$C$1369,0)))</f>
        <v/>
      </c>
      <c r="N372" s="9">
        <f>IF(ISNA(MATCH(363,'Transfer Engine'!$C$2:$C$1369,0)),"",INDEX('Compliance Database'!$N$2:$N$1369,MATCH(363,'Transfer Engine'!$C$2:$C$1369,0)))</f>
        <v/>
      </c>
      <c r="O372" s="8">
        <f>IF(ISNA(MATCH(363,'Transfer Engine'!$C$2:$C$1369,0)),"",HYPERLINK(INDEX('Compliance Database'!$O$2:$O$1369,MATCH(363,'Transfer Engine'!$C$2:$C$1369,0)),"Open PDF"))</f>
        <v/>
      </c>
    </row>
    <row r="373" ht="188" customHeight="1">
      <c r="A373" s="8">
        <f>IF(ISNA(MATCH(364,'Transfer Engine'!$C$2:$C$1369,0)),"",INDEX('Compliance Database'!$A$2:$A$1369,MATCH(364,'Transfer Engine'!$C$2:$C$1369,0)))</f>
        <v/>
      </c>
      <c r="B373" s="8">
        <f>IF(ISNA(MATCH(364,'Transfer Engine'!$C$2:$C$1369,0)),"",INDEX('Compliance Database'!$B$2:$B$1369,MATCH(364,'Transfer Engine'!$C$2:$C$1369,0)))</f>
        <v/>
      </c>
      <c r="C373" s="8">
        <f>IF(ISNA(MATCH(364,'Transfer Engine'!$C$2:$C$1369,0)),"",INDEX('Compliance Database'!$C$2:$C$1369,MATCH(364,'Transfer Engine'!$C$2:$C$1369,0)))</f>
        <v/>
      </c>
      <c r="D373" s="9">
        <f>IF(ISNA(MATCH(364,'Transfer Engine'!$C$2:$C$1369,0)),"",INDEX('Compliance Database'!$D$2:$D$1369,MATCH(364,'Transfer Engine'!$C$2:$C$1369,0)))</f>
        <v/>
      </c>
      <c r="E373" s="8">
        <f>IF(ISNA(MATCH(364,'Transfer Engine'!$C$2:$C$1369,0)),"",INDEX('Compliance Database'!$E$2:$E$1369,MATCH(364,'Transfer Engine'!$C$2:$C$1369,0)))</f>
        <v/>
      </c>
      <c r="F373" s="8">
        <f>IF(ISNA(MATCH(364,'Transfer Engine'!$C$2:$C$1369,0)),"",INDEX('Compliance Database'!$F$2:$F$1369,MATCH(364,'Transfer Engine'!$C$2:$C$1369,0)))</f>
        <v/>
      </c>
      <c r="G373" s="8">
        <f>IF(ISNA(MATCH(364,'Transfer Engine'!$C$2:$C$1369,0)),"",INDEX('Compliance Database'!$G$2:$G$1369,MATCH(364,'Transfer Engine'!$C$2:$C$1369,0)))</f>
        <v/>
      </c>
      <c r="H373" s="9">
        <f>IF(ISNA(MATCH(364,'Transfer Engine'!$C$2:$C$1369,0)),"",INDEX('Compliance Database'!$H$2:$H$1369,MATCH(364,'Transfer Engine'!$C$2:$C$1369,0)))</f>
        <v/>
      </c>
      <c r="I373" s="9">
        <f>IF(ISNA(MATCH(364,'Transfer Engine'!$C$2:$C$1369,0)),"",INDEX('Compliance Database'!$I$2:$I$1369,MATCH(364,'Transfer Engine'!$C$2:$C$1369,0)))</f>
        <v/>
      </c>
      <c r="J373" s="8">
        <f>IF(ISNA(MATCH(364,'Transfer Engine'!$C$2:$C$1369,0)),"",INDEX('Compliance Database'!$J$2:$J$1369,MATCH(364,'Transfer Engine'!$C$2:$C$1369,0)))</f>
        <v/>
      </c>
      <c r="K373" s="9">
        <f>IF(ISNA(MATCH(364,'Transfer Engine'!$C$2:$C$1369,0)),"",INDEX('Compliance Database'!$K$2:$K$1369,MATCH(364,'Transfer Engine'!$C$2:$C$1369,0)))</f>
        <v/>
      </c>
      <c r="L373" s="9">
        <f>IF(ISNA(MATCH(364,'Transfer Engine'!$C$2:$C$1369,0)),"",INDEX('Compliance Database'!$L$2:$L$1369,MATCH(364,'Transfer Engine'!$C$2:$C$1369,0)))</f>
        <v/>
      </c>
      <c r="M373" s="9">
        <f>IF(ISNA(MATCH(364,'Transfer Engine'!$C$2:$C$1369,0)),"",INDEX('Compliance Database'!$M$2:$M$1369,MATCH(364,'Transfer Engine'!$C$2:$C$1369,0)))</f>
        <v/>
      </c>
      <c r="N373" s="9">
        <f>IF(ISNA(MATCH(364,'Transfer Engine'!$C$2:$C$1369,0)),"",INDEX('Compliance Database'!$N$2:$N$1369,MATCH(364,'Transfer Engine'!$C$2:$C$1369,0)))</f>
        <v/>
      </c>
      <c r="O373" s="8">
        <f>IF(ISNA(MATCH(364,'Transfer Engine'!$C$2:$C$1369,0)),"",HYPERLINK(INDEX('Compliance Database'!$O$2:$O$1369,MATCH(364,'Transfer Engine'!$C$2:$C$1369,0)),"Open PDF"))</f>
        <v/>
      </c>
    </row>
    <row r="374" ht="188" customHeight="1">
      <c r="A374" s="8">
        <f>IF(ISNA(MATCH(365,'Transfer Engine'!$C$2:$C$1369,0)),"",INDEX('Compliance Database'!$A$2:$A$1369,MATCH(365,'Transfer Engine'!$C$2:$C$1369,0)))</f>
        <v/>
      </c>
      <c r="B374" s="8">
        <f>IF(ISNA(MATCH(365,'Transfer Engine'!$C$2:$C$1369,0)),"",INDEX('Compliance Database'!$B$2:$B$1369,MATCH(365,'Transfer Engine'!$C$2:$C$1369,0)))</f>
        <v/>
      </c>
      <c r="C374" s="8">
        <f>IF(ISNA(MATCH(365,'Transfer Engine'!$C$2:$C$1369,0)),"",INDEX('Compliance Database'!$C$2:$C$1369,MATCH(365,'Transfer Engine'!$C$2:$C$1369,0)))</f>
        <v/>
      </c>
      <c r="D374" s="9">
        <f>IF(ISNA(MATCH(365,'Transfer Engine'!$C$2:$C$1369,0)),"",INDEX('Compliance Database'!$D$2:$D$1369,MATCH(365,'Transfer Engine'!$C$2:$C$1369,0)))</f>
        <v/>
      </c>
      <c r="E374" s="8">
        <f>IF(ISNA(MATCH(365,'Transfer Engine'!$C$2:$C$1369,0)),"",INDEX('Compliance Database'!$E$2:$E$1369,MATCH(365,'Transfer Engine'!$C$2:$C$1369,0)))</f>
        <v/>
      </c>
      <c r="F374" s="8">
        <f>IF(ISNA(MATCH(365,'Transfer Engine'!$C$2:$C$1369,0)),"",INDEX('Compliance Database'!$F$2:$F$1369,MATCH(365,'Transfer Engine'!$C$2:$C$1369,0)))</f>
        <v/>
      </c>
      <c r="G374" s="8">
        <f>IF(ISNA(MATCH(365,'Transfer Engine'!$C$2:$C$1369,0)),"",INDEX('Compliance Database'!$G$2:$G$1369,MATCH(365,'Transfer Engine'!$C$2:$C$1369,0)))</f>
        <v/>
      </c>
      <c r="H374" s="9">
        <f>IF(ISNA(MATCH(365,'Transfer Engine'!$C$2:$C$1369,0)),"",INDEX('Compliance Database'!$H$2:$H$1369,MATCH(365,'Transfer Engine'!$C$2:$C$1369,0)))</f>
        <v/>
      </c>
      <c r="I374" s="9">
        <f>IF(ISNA(MATCH(365,'Transfer Engine'!$C$2:$C$1369,0)),"",INDEX('Compliance Database'!$I$2:$I$1369,MATCH(365,'Transfer Engine'!$C$2:$C$1369,0)))</f>
        <v/>
      </c>
      <c r="J374" s="8">
        <f>IF(ISNA(MATCH(365,'Transfer Engine'!$C$2:$C$1369,0)),"",INDEX('Compliance Database'!$J$2:$J$1369,MATCH(365,'Transfer Engine'!$C$2:$C$1369,0)))</f>
        <v/>
      </c>
      <c r="K374" s="9">
        <f>IF(ISNA(MATCH(365,'Transfer Engine'!$C$2:$C$1369,0)),"",INDEX('Compliance Database'!$K$2:$K$1369,MATCH(365,'Transfer Engine'!$C$2:$C$1369,0)))</f>
        <v/>
      </c>
      <c r="L374" s="9">
        <f>IF(ISNA(MATCH(365,'Transfer Engine'!$C$2:$C$1369,0)),"",INDEX('Compliance Database'!$L$2:$L$1369,MATCH(365,'Transfer Engine'!$C$2:$C$1369,0)))</f>
        <v/>
      </c>
      <c r="M374" s="9">
        <f>IF(ISNA(MATCH(365,'Transfer Engine'!$C$2:$C$1369,0)),"",INDEX('Compliance Database'!$M$2:$M$1369,MATCH(365,'Transfer Engine'!$C$2:$C$1369,0)))</f>
        <v/>
      </c>
      <c r="N374" s="9">
        <f>IF(ISNA(MATCH(365,'Transfer Engine'!$C$2:$C$1369,0)),"",INDEX('Compliance Database'!$N$2:$N$1369,MATCH(365,'Transfer Engine'!$C$2:$C$1369,0)))</f>
        <v/>
      </c>
      <c r="O374" s="8">
        <f>IF(ISNA(MATCH(365,'Transfer Engine'!$C$2:$C$1369,0)),"",HYPERLINK(INDEX('Compliance Database'!$O$2:$O$1369,MATCH(365,'Transfer Engine'!$C$2:$C$1369,0)),"Open PDF"))</f>
        <v/>
      </c>
    </row>
    <row r="375" ht="188" customHeight="1">
      <c r="A375" s="8">
        <f>IF(ISNA(MATCH(366,'Transfer Engine'!$C$2:$C$1369,0)),"",INDEX('Compliance Database'!$A$2:$A$1369,MATCH(366,'Transfer Engine'!$C$2:$C$1369,0)))</f>
        <v/>
      </c>
      <c r="B375" s="8">
        <f>IF(ISNA(MATCH(366,'Transfer Engine'!$C$2:$C$1369,0)),"",INDEX('Compliance Database'!$B$2:$B$1369,MATCH(366,'Transfer Engine'!$C$2:$C$1369,0)))</f>
        <v/>
      </c>
      <c r="C375" s="8">
        <f>IF(ISNA(MATCH(366,'Transfer Engine'!$C$2:$C$1369,0)),"",INDEX('Compliance Database'!$C$2:$C$1369,MATCH(366,'Transfer Engine'!$C$2:$C$1369,0)))</f>
        <v/>
      </c>
      <c r="D375" s="9">
        <f>IF(ISNA(MATCH(366,'Transfer Engine'!$C$2:$C$1369,0)),"",INDEX('Compliance Database'!$D$2:$D$1369,MATCH(366,'Transfer Engine'!$C$2:$C$1369,0)))</f>
        <v/>
      </c>
      <c r="E375" s="8">
        <f>IF(ISNA(MATCH(366,'Transfer Engine'!$C$2:$C$1369,0)),"",INDEX('Compliance Database'!$E$2:$E$1369,MATCH(366,'Transfer Engine'!$C$2:$C$1369,0)))</f>
        <v/>
      </c>
      <c r="F375" s="8">
        <f>IF(ISNA(MATCH(366,'Transfer Engine'!$C$2:$C$1369,0)),"",INDEX('Compliance Database'!$F$2:$F$1369,MATCH(366,'Transfer Engine'!$C$2:$C$1369,0)))</f>
        <v/>
      </c>
      <c r="G375" s="8">
        <f>IF(ISNA(MATCH(366,'Transfer Engine'!$C$2:$C$1369,0)),"",INDEX('Compliance Database'!$G$2:$G$1369,MATCH(366,'Transfer Engine'!$C$2:$C$1369,0)))</f>
        <v/>
      </c>
      <c r="H375" s="9">
        <f>IF(ISNA(MATCH(366,'Transfer Engine'!$C$2:$C$1369,0)),"",INDEX('Compliance Database'!$H$2:$H$1369,MATCH(366,'Transfer Engine'!$C$2:$C$1369,0)))</f>
        <v/>
      </c>
      <c r="I375" s="9">
        <f>IF(ISNA(MATCH(366,'Transfer Engine'!$C$2:$C$1369,0)),"",INDEX('Compliance Database'!$I$2:$I$1369,MATCH(366,'Transfer Engine'!$C$2:$C$1369,0)))</f>
        <v/>
      </c>
      <c r="J375" s="8">
        <f>IF(ISNA(MATCH(366,'Transfer Engine'!$C$2:$C$1369,0)),"",INDEX('Compliance Database'!$J$2:$J$1369,MATCH(366,'Transfer Engine'!$C$2:$C$1369,0)))</f>
        <v/>
      </c>
      <c r="K375" s="9">
        <f>IF(ISNA(MATCH(366,'Transfer Engine'!$C$2:$C$1369,0)),"",INDEX('Compliance Database'!$K$2:$K$1369,MATCH(366,'Transfer Engine'!$C$2:$C$1369,0)))</f>
        <v/>
      </c>
      <c r="L375" s="9">
        <f>IF(ISNA(MATCH(366,'Transfer Engine'!$C$2:$C$1369,0)),"",INDEX('Compliance Database'!$L$2:$L$1369,MATCH(366,'Transfer Engine'!$C$2:$C$1369,0)))</f>
        <v/>
      </c>
      <c r="M375" s="9">
        <f>IF(ISNA(MATCH(366,'Transfer Engine'!$C$2:$C$1369,0)),"",INDEX('Compliance Database'!$M$2:$M$1369,MATCH(366,'Transfer Engine'!$C$2:$C$1369,0)))</f>
        <v/>
      </c>
      <c r="N375" s="9">
        <f>IF(ISNA(MATCH(366,'Transfer Engine'!$C$2:$C$1369,0)),"",INDEX('Compliance Database'!$N$2:$N$1369,MATCH(366,'Transfer Engine'!$C$2:$C$1369,0)))</f>
        <v/>
      </c>
      <c r="O375" s="8">
        <f>IF(ISNA(MATCH(366,'Transfer Engine'!$C$2:$C$1369,0)),"",HYPERLINK(INDEX('Compliance Database'!$O$2:$O$1369,MATCH(366,'Transfer Engine'!$C$2:$C$1369,0)),"Open PDF"))</f>
        <v/>
      </c>
    </row>
    <row r="376" ht="188" customHeight="1">
      <c r="A376" s="8">
        <f>IF(ISNA(MATCH(367,'Transfer Engine'!$C$2:$C$1369,0)),"",INDEX('Compliance Database'!$A$2:$A$1369,MATCH(367,'Transfer Engine'!$C$2:$C$1369,0)))</f>
        <v/>
      </c>
      <c r="B376" s="8">
        <f>IF(ISNA(MATCH(367,'Transfer Engine'!$C$2:$C$1369,0)),"",INDEX('Compliance Database'!$B$2:$B$1369,MATCH(367,'Transfer Engine'!$C$2:$C$1369,0)))</f>
        <v/>
      </c>
      <c r="C376" s="8">
        <f>IF(ISNA(MATCH(367,'Transfer Engine'!$C$2:$C$1369,0)),"",INDEX('Compliance Database'!$C$2:$C$1369,MATCH(367,'Transfer Engine'!$C$2:$C$1369,0)))</f>
        <v/>
      </c>
      <c r="D376" s="9">
        <f>IF(ISNA(MATCH(367,'Transfer Engine'!$C$2:$C$1369,0)),"",INDEX('Compliance Database'!$D$2:$D$1369,MATCH(367,'Transfer Engine'!$C$2:$C$1369,0)))</f>
        <v/>
      </c>
      <c r="E376" s="8">
        <f>IF(ISNA(MATCH(367,'Transfer Engine'!$C$2:$C$1369,0)),"",INDEX('Compliance Database'!$E$2:$E$1369,MATCH(367,'Transfer Engine'!$C$2:$C$1369,0)))</f>
        <v/>
      </c>
      <c r="F376" s="8">
        <f>IF(ISNA(MATCH(367,'Transfer Engine'!$C$2:$C$1369,0)),"",INDEX('Compliance Database'!$F$2:$F$1369,MATCH(367,'Transfer Engine'!$C$2:$C$1369,0)))</f>
        <v/>
      </c>
      <c r="G376" s="8">
        <f>IF(ISNA(MATCH(367,'Transfer Engine'!$C$2:$C$1369,0)),"",INDEX('Compliance Database'!$G$2:$G$1369,MATCH(367,'Transfer Engine'!$C$2:$C$1369,0)))</f>
        <v/>
      </c>
      <c r="H376" s="9">
        <f>IF(ISNA(MATCH(367,'Transfer Engine'!$C$2:$C$1369,0)),"",INDEX('Compliance Database'!$H$2:$H$1369,MATCH(367,'Transfer Engine'!$C$2:$C$1369,0)))</f>
        <v/>
      </c>
      <c r="I376" s="9">
        <f>IF(ISNA(MATCH(367,'Transfer Engine'!$C$2:$C$1369,0)),"",INDEX('Compliance Database'!$I$2:$I$1369,MATCH(367,'Transfer Engine'!$C$2:$C$1369,0)))</f>
        <v/>
      </c>
      <c r="J376" s="8">
        <f>IF(ISNA(MATCH(367,'Transfer Engine'!$C$2:$C$1369,0)),"",INDEX('Compliance Database'!$J$2:$J$1369,MATCH(367,'Transfer Engine'!$C$2:$C$1369,0)))</f>
        <v/>
      </c>
      <c r="K376" s="9">
        <f>IF(ISNA(MATCH(367,'Transfer Engine'!$C$2:$C$1369,0)),"",INDEX('Compliance Database'!$K$2:$K$1369,MATCH(367,'Transfer Engine'!$C$2:$C$1369,0)))</f>
        <v/>
      </c>
      <c r="L376" s="9">
        <f>IF(ISNA(MATCH(367,'Transfer Engine'!$C$2:$C$1369,0)),"",INDEX('Compliance Database'!$L$2:$L$1369,MATCH(367,'Transfer Engine'!$C$2:$C$1369,0)))</f>
        <v/>
      </c>
      <c r="M376" s="9">
        <f>IF(ISNA(MATCH(367,'Transfer Engine'!$C$2:$C$1369,0)),"",INDEX('Compliance Database'!$M$2:$M$1369,MATCH(367,'Transfer Engine'!$C$2:$C$1369,0)))</f>
        <v/>
      </c>
      <c r="N376" s="9">
        <f>IF(ISNA(MATCH(367,'Transfer Engine'!$C$2:$C$1369,0)),"",INDEX('Compliance Database'!$N$2:$N$1369,MATCH(367,'Transfer Engine'!$C$2:$C$1369,0)))</f>
        <v/>
      </c>
      <c r="O376" s="8">
        <f>IF(ISNA(MATCH(367,'Transfer Engine'!$C$2:$C$1369,0)),"",HYPERLINK(INDEX('Compliance Database'!$O$2:$O$1369,MATCH(367,'Transfer Engine'!$C$2:$C$1369,0)),"Open PDF"))</f>
        <v/>
      </c>
    </row>
    <row r="377" ht="188" customHeight="1">
      <c r="A377" s="8">
        <f>IF(ISNA(MATCH(368,'Transfer Engine'!$C$2:$C$1369,0)),"",INDEX('Compliance Database'!$A$2:$A$1369,MATCH(368,'Transfer Engine'!$C$2:$C$1369,0)))</f>
        <v/>
      </c>
      <c r="B377" s="8">
        <f>IF(ISNA(MATCH(368,'Transfer Engine'!$C$2:$C$1369,0)),"",INDEX('Compliance Database'!$B$2:$B$1369,MATCH(368,'Transfer Engine'!$C$2:$C$1369,0)))</f>
        <v/>
      </c>
      <c r="C377" s="8">
        <f>IF(ISNA(MATCH(368,'Transfer Engine'!$C$2:$C$1369,0)),"",INDEX('Compliance Database'!$C$2:$C$1369,MATCH(368,'Transfer Engine'!$C$2:$C$1369,0)))</f>
        <v/>
      </c>
      <c r="D377" s="9">
        <f>IF(ISNA(MATCH(368,'Transfer Engine'!$C$2:$C$1369,0)),"",INDEX('Compliance Database'!$D$2:$D$1369,MATCH(368,'Transfer Engine'!$C$2:$C$1369,0)))</f>
        <v/>
      </c>
      <c r="E377" s="8">
        <f>IF(ISNA(MATCH(368,'Transfer Engine'!$C$2:$C$1369,0)),"",INDEX('Compliance Database'!$E$2:$E$1369,MATCH(368,'Transfer Engine'!$C$2:$C$1369,0)))</f>
        <v/>
      </c>
      <c r="F377" s="8">
        <f>IF(ISNA(MATCH(368,'Transfer Engine'!$C$2:$C$1369,0)),"",INDEX('Compliance Database'!$F$2:$F$1369,MATCH(368,'Transfer Engine'!$C$2:$C$1369,0)))</f>
        <v/>
      </c>
      <c r="G377" s="8">
        <f>IF(ISNA(MATCH(368,'Transfer Engine'!$C$2:$C$1369,0)),"",INDEX('Compliance Database'!$G$2:$G$1369,MATCH(368,'Transfer Engine'!$C$2:$C$1369,0)))</f>
        <v/>
      </c>
      <c r="H377" s="9">
        <f>IF(ISNA(MATCH(368,'Transfer Engine'!$C$2:$C$1369,0)),"",INDEX('Compliance Database'!$H$2:$H$1369,MATCH(368,'Transfer Engine'!$C$2:$C$1369,0)))</f>
        <v/>
      </c>
      <c r="I377" s="9">
        <f>IF(ISNA(MATCH(368,'Transfer Engine'!$C$2:$C$1369,0)),"",INDEX('Compliance Database'!$I$2:$I$1369,MATCH(368,'Transfer Engine'!$C$2:$C$1369,0)))</f>
        <v/>
      </c>
      <c r="J377" s="8">
        <f>IF(ISNA(MATCH(368,'Transfer Engine'!$C$2:$C$1369,0)),"",INDEX('Compliance Database'!$J$2:$J$1369,MATCH(368,'Transfer Engine'!$C$2:$C$1369,0)))</f>
        <v/>
      </c>
      <c r="K377" s="9">
        <f>IF(ISNA(MATCH(368,'Transfer Engine'!$C$2:$C$1369,0)),"",INDEX('Compliance Database'!$K$2:$K$1369,MATCH(368,'Transfer Engine'!$C$2:$C$1369,0)))</f>
        <v/>
      </c>
      <c r="L377" s="9">
        <f>IF(ISNA(MATCH(368,'Transfer Engine'!$C$2:$C$1369,0)),"",INDEX('Compliance Database'!$L$2:$L$1369,MATCH(368,'Transfer Engine'!$C$2:$C$1369,0)))</f>
        <v/>
      </c>
      <c r="M377" s="9">
        <f>IF(ISNA(MATCH(368,'Transfer Engine'!$C$2:$C$1369,0)),"",INDEX('Compliance Database'!$M$2:$M$1369,MATCH(368,'Transfer Engine'!$C$2:$C$1369,0)))</f>
        <v/>
      </c>
      <c r="N377" s="9">
        <f>IF(ISNA(MATCH(368,'Transfer Engine'!$C$2:$C$1369,0)),"",INDEX('Compliance Database'!$N$2:$N$1369,MATCH(368,'Transfer Engine'!$C$2:$C$1369,0)))</f>
        <v/>
      </c>
      <c r="O377" s="8">
        <f>IF(ISNA(MATCH(368,'Transfer Engine'!$C$2:$C$1369,0)),"",HYPERLINK(INDEX('Compliance Database'!$O$2:$O$1369,MATCH(368,'Transfer Engine'!$C$2:$C$1369,0)),"Open PDF"))</f>
        <v/>
      </c>
    </row>
    <row r="378" ht="188" customHeight="1">
      <c r="A378" s="8">
        <f>IF(ISNA(MATCH(369,'Transfer Engine'!$C$2:$C$1369,0)),"",INDEX('Compliance Database'!$A$2:$A$1369,MATCH(369,'Transfer Engine'!$C$2:$C$1369,0)))</f>
        <v/>
      </c>
      <c r="B378" s="8">
        <f>IF(ISNA(MATCH(369,'Transfer Engine'!$C$2:$C$1369,0)),"",INDEX('Compliance Database'!$B$2:$B$1369,MATCH(369,'Transfer Engine'!$C$2:$C$1369,0)))</f>
        <v/>
      </c>
      <c r="C378" s="8">
        <f>IF(ISNA(MATCH(369,'Transfer Engine'!$C$2:$C$1369,0)),"",INDEX('Compliance Database'!$C$2:$C$1369,MATCH(369,'Transfer Engine'!$C$2:$C$1369,0)))</f>
        <v/>
      </c>
      <c r="D378" s="9">
        <f>IF(ISNA(MATCH(369,'Transfer Engine'!$C$2:$C$1369,0)),"",INDEX('Compliance Database'!$D$2:$D$1369,MATCH(369,'Transfer Engine'!$C$2:$C$1369,0)))</f>
        <v/>
      </c>
      <c r="E378" s="8">
        <f>IF(ISNA(MATCH(369,'Transfer Engine'!$C$2:$C$1369,0)),"",INDEX('Compliance Database'!$E$2:$E$1369,MATCH(369,'Transfer Engine'!$C$2:$C$1369,0)))</f>
        <v/>
      </c>
      <c r="F378" s="8">
        <f>IF(ISNA(MATCH(369,'Transfer Engine'!$C$2:$C$1369,0)),"",INDEX('Compliance Database'!$F$2:$F$1369,MATCH(369,'Transfer Engine'!$C$2:$C$1369,0)))</f>
        <v/>
      </c>
      <c r="G378" s="8">
        <f>IF(ISNA(MATCH(369,'Transfer Engine'!$C$2:$C$1369,0)),"",INDEX('Compliance Database'!$G$2:$G$1369,MATCH(369,'Transfer Engine'!$C$2:$C$1369,0)))</f>
        <v/>
      </c>
      <c r="H378" s="9">
        <f>IF(ISNA(MATCH(369,'Transfer Engine'!$C$2:$C$1369,0)),"",INDEX('Compliance Database'!$H$2:$H$1369,MATCH(369,'Transfer Engine'!$C$2:$C$1369,0)))</f>
        <v/>
      </c>
      <c r="I378" s="9">
        <f>IF(ISNA(MATCH(369,'Transfer Engine'!$C$2:$C$1369,0)),"",INDEX('Compliance Database'!$I$2:$I$1369,MATCH(369,'Transfer Engine'!$C$2:$C$1369,0)))</f>
        <v/>
      </c>
      <c r="J378" s="8">
        <f>IF(ISNA(MATCH(369,'Transfer Engine'!$C$2:$C$1369,0)),"",INDEX('Compliance Database'!$J$2:$J$1369,MATCH(369,'Transfer Engine'!$C$2:$C$1369,0)))</f>
        <v/>
      </c>
      <c r="K378" s="9">
        <f>IF(ISNA(MATCH(369,'Transfer Engine'!$C$2:$C$1369,0)),"",INDEX('Compliance Database'!$K$2:$K$1369,MATCH(369,'Transfer Engine'!$C$2:$C$1369,0)))</f>
        <v/>
      </c>
      <c r="L378" s="9">
        <f>IF(ISNA(MATCH(369,'Transfer Engine'!$C$2:$C$1369,0)),"",INDEX('Compliance Database'!$L$2:$L$1369,MATCH(369,'Transfer Engine'!$C$2:$C$1369,0)))</f>
        <v/>
      </c>
      <c r="M378" s="9">
        <f>IF(ISNA(MATCH(369,'Transfer Engine'!$C$2:$C$1369,0)),"",INDEX('Compliance Database'!$M$2:$M$1369,MATCH(369,'Transfer Engine'!$C$2:$C$1369,0)))</f>
        <v/>
      </c>
      <c r="N378" s="9">
        <f>IF(ISNA(MATCH(369,'Transfer Engine'!$C$2:$C$1369,0)),"",INDEX('Compliance Database'!$N$2:$N$1369,MATCH(369,'Transfer Engine'!$C$2:$C$1369,0)))</f>
        <v/>
      </c>
      <c r="O378" s="8">
        <f>IF(ISNA(MATCH(369,'Transfer Engine'!$C$2:$C$1369,0)),"",HYPERLINK(INDEX('Compliance Database'!$O$2:$O$1369,MATCH(369,'Transfer Engine'!$C$2:$C$1369,0)),"Open PDF"))</f>
        <v/>
      </c>
    </row>
    <row r="379" ht="188" customHeight="1">
      <c r="A379" s="8">
        <f>IF(ISNA(MATCH(370,'Transfer Engine'!$C$2:$C$1369,0)),"",INDEX('Compliance Database'!$A$2:$A$1369,MATCH(370,'Transfer Engine'!$C$2:$C$1369,0)))</f>
        <v/>
      </c>
      <c r="B379" s="8">
        <f>IF(ISNA(MATCH(370,'Transfer Engine'!$C$2:$C$1369,0)),"",INDEX('Compliance Database'!$B$2:$B$1369,MATCH(370,'Transfer Engine'!$C$2:$C$1369,0)))</f>
        <v/>
      </c>
      <c r="C379" s="8">
        <f>IF(ISNA(MATCH(370,'Transfer Engine'!$C$2:$C$1369,0)),"",INDEX('Compliance Database'!$C$2:$C$1369,MATCH(370,'Transfer Engine'!$C$2:$C$1369,0)))</f>
        <v/>
      </c>
      <c r="D379" s="9">
        <f>IF(ISNA(MATCH(370,'Transfer Engine'!$C$2:$C$1369,0)),"",INDEX('Compliance Database'!$D$2:$D$1369,MATCH(370,'Transfer Engine'!$C$2:$C$1369,0)))</f>
        <v/>
      </c>
      <c r="E379" s="8">
        <f>IF(ISNA(MATCH(370,'Transfer Engine'!$C$2:$C$1369,0)),"",INDEX('Compliance Database'!$E$2:$E$1369,MATCH(370,'Transfer Engine'!$C$2:$C$1369,0)))</f>
        <v/>
      </c>
      <c r="F379" s="8">
        <f>IF(ISNA(MATCH(370,'Transfer Engine'!$C$2:$C$1369,0)),"",INDEX('Compliance Database'!$F$2:$F$1369,MATCH(370,'Transfer Engine'!$C$2:$C$1369,0)))</f>
        <v/>
      </c>
      <c r="G379" s="8">
        <f>IF(ISNA(MATCH(370,'Transfer Engine'!$C$2:$C$1369,0)),"",INDEX('Compliance Database'!$G$2:$G$1369,MATCH(370,'Transfer Engine'!$C$2:$C$1369,0)))</f>
        <v/>
      </c>
      <c r="H379" s="9">
        <f>IF(ISNA(MATCH(370,'Transfer Engine'!$C$2:$C$1369,0)),"",INDEX('Compliance Database'!$H$2:$H$1369,MATCH(370,'Transfer Engine'!$C$2:$C$1369,0)))</f>
        <v/>
      </c>
      <c r="I379" s="9">
        <f>IF(ISNA(MATCH(370,'Transfer Engine'!$C$2:$C$1369,0)),"",INDEX('Compliance Database'!$I$2:$I$1369,MATCH(370,'Transfer Engine'!$C$2:$C$1369,0)))</f>
        <v/>
      </c>
      <c r="J379" s="8">
        <f>IF(ISNA(MATCH(370,'Transfer Engine'!$C$2:$C$1369,0)),"",INDEX('Compliance Database'!$J$2:$J$1369,MATCH(370,'Transfer Engine'!$C$2:$C$1369,0)))</f>
        <v/>
      </c>
      <c r="K379" s="9">
        <f>IF(ISNA(MATCH(370,'Transfer Engine'!$C$2:$C$1369,0)),"",INDEX('Compliance Database'!$K$2:$K$1369,MATCH(370,'Transfer Engine'!$C$2:$C$1369,0)))</f>
        <v/>
      </c>
      <c r="L379" s="9">
        <f>IF(ISNA(MATCH(370,'Transfer Engine'!$C$2:$C$1369,0)),"",INDEX('Compliance Database'!$L$2:$L$1369,MATCH(370,'Transfer Engine'!$C$2:$C$1369,0)))</f>
        <v/>
      </c>
      <c r="M379" s="9">
        <f>IF(ISNA(MATCH(370,'Transfer Engine'!$C$2:$C$1369,0)),"",INDEX('Compliance Database'!$M$2:$M$1369,MATCH(370,'Transfer Engine'!$C$2:$C$1369,0)))</f>
        <v/>
      </c>
      <c r="N379" s="9">
        <f>IF(ISNA(MATCH(370,'Transfer Engine'!$C$2:$C$1369,0)),"",INDEX('Compliance Database'!$N$2:$N$1369,MATCH(370,'Transfer Engine'!$C$2:$C$1369,0)))</f>
        <v/>
      </c>
      <c r="O379" s="8">
        <f>IF(ISNA(MATCH(370,'Transfer Engine'!$C$2:$C$1369,0)),"",HYPERLINK(INDEX('Compliance Database'!$O$2:$O$1369,MATCH(370,'Transfer Engine'!$C$2:$C$1369,0)),"Open PDF"))</f>
        <v/>
      </c>
    </row>
    <row r="380" ht="188" customHeight="1">
      <c r="A380" s="8">
        <f>IF(ISNA(MATCH(371,'Transfer Engine'!$C$2:$C$1369,0)),"",INDEX('Compliance Database'!$A$2:$A$1369,MATCH(371,'Transfer Engine'!$C$2:$C$1369,0)))</f>
        <v/>
      </c>
      <c r="B380" s="8">
        <f>IF(ISNA(MATCH(371,'Transfer Engine'!$C$2:$C$1369,0)),"",INDEX('Compliance Database'!$B$2:$B$1369,MATCH(371,'Transfer Engine'!$C$2:$C$1369,0)))</f>
        <v/>
      </c>
      <c r="C380" s="8">
        <f>IF(ISNA(MATCH(371,'Transfer Engine'!$C$2:$C$1369,0)),"",INDEX('Compliance Database'!$C$2:$C$1369,MATCH(371,'Transfer Engine'!$C$2:$C$1369,0)))</f>
        <v/>
      </c>
      <c r="D380" s="9">
        <f>IF(ISNA(MATCH(371,'Transfer Engine'!$C$2:$C$1369,0)),"",INDEX('Compliance Database'!$D$2:$D$1369,MATCH(371,'Transfer Engine'!$C$2:$C$1369,0)))</f>
        <v/>
      </c>
      <c r="E380" s="8">
        <f>IF(ISNA(MATCH(371,'Transfer Engine'!$C$2:$C$1369,0)),"",INDEX('Compliance Database'!$E$2:$E$1369,MATCH(371,'Transfer Engine'!$C$2:$C$1369,0)))</f>
        <v/>
      </c>
      <c r="F380" s="8">
        <f>IF(ISNA(MATCH(371,'Transfer Engine'!$C$2:$C$1369,0)),"",INDEX('Compliance Database'!$F$2:$F$1369,MATCH(371,'Transfer Engine'!$C$2:$C$1369,0)))</f>
        <v/>
      </c>
      <c r="G380" s="8">
        <f>IF(ISNA(MATCH(371,'Transfer Engine'!$C$2:$C$1369,0)),"",INDEX('Compliance Database'!$G$2:$G$1369,MATCH(371,'Transfer Engine'!$C$2:$C$1369,0)))</f>
        <v/>
      </c>
      <c r="H380" s="9">
        <f>IF(ISNA(MATCH(371,'Transfer Engine'!$C$2:$C$1369,0)),"",INDEX('Compliance Database'!$H$2:$H$1369,MATCH(371,'Transfer Engine'!$C$2:$C$1369,0)))</f>
        <v/>
      </c>
      <c r="I380" s="9">
        <f>IF(ISNA(MATCH(371,'Transfer Engine'!$C$2:$C$1369,0)),"",INDEX('Compliance Database'!$I$2:$I$1369,MATCH(371,'Transfer Engine'!$C$2:$C$1369,0)))</f>
        <v/>
      </c>
      <c r="J380" s="8">
        <f>IF(ISNA(MATCH(371,'Transfer Engine'!$C$2:$C$1369,0)),"",INDEX('Compliance Database'!$J$2:$J$1369,MATCH(371,'Transfer Engine'!$C$2:$C$1369,0)))</f>
        <v/>
      </c>
      <c r="K380" s="9">
        <f>IF(ISNA(MATCH(371,'Transfer Engine'!$C$2:$C$1369,0)),"",INDEX('Compliance Database'!$K$2:$K$1369,MATCH(371,'Transfer Engine'!$C$2:$C$1369,0)))</f>
        <v/>
      </c>
      <c r="L380" s="9">
        <f>IF(ISNA(MATCH(371,'Transfer Engine'!$C$2:$C$1369,0)),"",INDEX('Compliance Database'!$L$2:$L$1369,MATCH(371,'Transfer Engine'!$C$2:$C$1369,0)))</f>
        <v/>
      </c>
      <c r="M380" s="9">
        <f>IF(ISNA(MATCH(371,'Transfer Engine'!$C$2:$C$1369,0)),"",INDEX('Compliance Database'!$M$2:$M$1369,MATCH(371,'Transfer Engine'!$C$2:$C$1369,0)))</f>
        <v/>
      </c>
      <c r="N380" s="9">
        <f>IF(ISNA(MATCH(371,'Transfer Engine'!$C$2:$C$1369,0)),"",INDEX('Compliance Database'!$N$2:$N$1369,MATCH(371,'Transfer Engine'!$C$2:$C$1369,0)))</f>
        <v/>
      </c>
      <c r="O380" s="8">
        <f>IF(ISNA(MATCH(371,'Transfer Engine'!$C$2:$C$1369,0)),"",HYPERLINK(INDEX('Compliance Database'!$O$2:$O$1369,MATCH(371,'Transfer Engine'!$C$2:$C$1369,0)),"Open PDF"))</f>
        <v/>
      </c>
    </row>
    <row r="381" ht="188" customHeight="1">
      <c r="A381" s="8">
        <f>IF(ISNA(MATCH(372,'Transfer Engine'!$C$2:$C$1369,0)),"",INDEX('Compliance Database'!$A$2:$A$1369,MATCH(372,'Transfer Engine'!$C$2:$C$1369,0)))</f>
        <v/>
      </c>
      <c r="B381" s="8">
        <f>IF(ISNA(MATCH(372,'Transfer Engine'!$C$2:$C$1369,0)),"",INDEX('Compliance Database'!$B$2:$B$1369,MATCH(372,'Transfer Engine'!$C$2:$C$1369,0)))</f>
        <v/>
      </c>
      <c r="C381" s="8">
        <f>IF(ISNA(MATCH(372,'Transfer Engine'!$C$2:$C$1369,0)),"",INDEX('Compliance Database'!$C$2:$C$1369,MATCH(372,'Transfer Engine'!$C$2:$C$1369,0)))</f>
        <v/>
      </c>
      <c r="D381" s="9">
        <f>IF(ISNA(MATCH(372,'Transfer Engine'!$C$2:$C$1369,0)),"",INDEX('Compliance Database'!$D$2:$D$1369,MATCH(372,'Transfer Engine'!$C$2:$C$1369,0)))</f>
        <v/>
      </c>
      <c r="E381" s="8">
        <f>IF(ISNA(MATCH(372,'Transfer Engine'!$C$2:$C$1369,0)),"",INDEX('Compliance Database'!$E$2:$E$1369,MATCH(372,'Transfer Engine'!$C$2:$C$1369,0)))</f>
        <v/>
      </c>
      <c r="F381" s="8">
        <f>IF(ISNA(MATCH(372,'Transfer Engine'!$C$2:$C$1369,0)),"",INDEX('Compliance Database'!$F$2:$F$1369,MATCH(372,'Transfer Engine'!$C$2:$C$1369,0)))</f>
        <v/>
      </c>
      <c r="G381" s="8">
        <f>IF(ISNA(MATCH(372,'Transfer Engine'!$C$2:$C$1369,0)),"",INDEX('Compliance Database'!$G$2:$G$1369,MATCH(372,'Transfer Engine'!$C$2:$C$1369,0)))</f>
        <v/>
      </c>
      <c r="H381" s="9">
        <f>IF(ISNA(MATCH(372,'Transfer Engine'!$C$2:$C$1369,0)),"",INDEX('Compliance Database'!$H$2:$H$1369,MATCH(372,'Transfer Engine'!$C$2:$C$1369,0)))</f>
        <v/>
      </c>
      <c r="I381" s="9">
        <f>IF(ISNA(MATCH(372,'Transfer Engine'!$C$2:$C$1369,0)),"",INDEX('Compliance Database'!$I$2:$I$1369,MATCH(372,'Transfer Engine'!$C$2:$C$1369,0)))</f>
        <v/>
      </c>
      <c r="J381" s="8">
        <f>IF(ISNA(MATCH(372,'Transfer Engine'!$C$2:$C$1369,0)),"",INDEX('Compliance Database'!$J$2:$J$1369,MATCH(372,'Transfer Engine'!$C$2:$C$1369,0)))</f>
        <v/>
      </c>
      <c r="K381" s="9">
        <f>IF(ISNA(MATCH(372,'Transfer Engine'!$C$2:$C$1369,0)),"",INDEX('Compliance Database'!$K$2:$K$1369,MATCH(372,'Transfer Engine'!$C$2:$C$1369,0)))</f>
        <v/>
      </c>
      <c r="L381" s="9">
        <f>IF(ISNA(MATCH(372,'Transfer Engine'!$C$2:$C$1369,0)),"",INDEX('Compliance Database'!$L$2:$L$1369,MATCH(372,'Transfer Engine'!$C$2:$C$1369,0)))</f>
        <v/>
      </c>
      <c r="M381" s="9">
        <f>IF(ISNA(MATCH(372,'Transfer Engine'!$C$2:$C$1369,0)),"",INDEX('Compliance Database'!$M$2:$M$1369,MATCH(372,'Transfer Engine'!$C$2:$C$1369,0)))</f>
        <v/>
      </c>
      <c r="N381" s="9">
        <f>IF(ISNA(MATCH(372,'Transfer Engine'!$C$2:$C$1369,0)),"",INDEX('Compliance Database'!$N$2:$N$1369,MATCH(372,'Transfer Engine'!$C$2:$C$1369,0)))</f>
        <v/>
      </c>
      <c r="O381" s="8">
        <f>IF(ISNA(MATCH(372,'Transfer Engine'!$C$2:$C$1369,0)),"",HYPERLINK(INDEX('Compliance Database'!$O$2:$O$1369,MATCH(372,'Transfer Engine'!$C$2:$C$1369,0)),"Open PDF"))</f>
        <v/>
      </c>
    </row>
    <row r="382" ht="188" customHeight="1">
      <c r="A382" s="8">
        <f>IF(ISNA(MATCH(373,'Transfer Engine'!$C$2:$C$1369,0)),"",INDEX('Compliance Database'!$A$2:$A$1369,MATCH(373,'Transfer Engine'!$C$2:$C$1369,0)))</f>
        <v/>
      </c>
      <c r="B382" s="8">
        <f>IF(ISNA(MATCH(373,'Transfer Engine'!$C$2:$C$1369,0)),"",INDEX('Compliance Database'!$B$2:$B$1369,MATCH(373,'Transfer Engine'!$C$2:$C$1369,0)))</f>
        <v/>
      </c>
      <c r="C382" s="8">
        <f>IF(ISNA(MATCH(373,'Transfer Engine'!$C$2:$C$1369,0)),"",INDEX('Compliance Database'!$C$2:$C$1369,MATCH(373,'Transfer Engine'!$C$2:$C$1369,0)))</f>
        <v/>
      </c>
      <c r="D382" s="9">
        <f>IF(ISNA(MATCH(373,'Transfer Engine'!$C$2:$C$1369,0)),"",INDEX('Compliance Database'!$D$2:$D$1369,MATCH(373,'Transfer Engine'!$C$2:$C$1369,0)))</f>
        <v/>
      </c>
      <c r="E382" s="8">
        <f>IF(ISNA(MATCH(373,'Transfer Engine'!$C$2:$C$1369,0)),"",INDEX('Compliance Database'!$E$2:$E$1369,MATCH(373,'Transfer Engine'!$C$2:$C$1369,0)))</f>
        <v/>
      </c>
      <c r="F382" s="8">
        <f>IF(ISNA(MATCH(373,'Transfer Engine'!$C$2:$C$1369,0)),"",INDEX('Compliance Database'!$F$2:$F$1369,MATCH(373,'Transfer Engine'!$C$2:$C$1369,0)))</f>
        <v/>
      </c>
      <c r="G382" s="8">
        <f>IF(ISNA(MATCH(373,'Transfer Engine'!$C$2:$C$1369,0)),"",INDEX('Compliance Database'!$G$2:$G$1369,MATCH(373,'Transfer Engine'!$C$2:$C$1369,0)))</f>
        <v/>
      </c>
      <c r="H382" s="9">
        <f>IF(ISNA(MATCH(373,'Transfer Engine'!$C$2:$C$1369,0)),"",INDEX('Compliance Database'!$H$2:$H$1369,MATCH(373,'Transfer Engine'!$C$2:$C$1369,0)))</f>
        <v/>
      </c>
      <c r="I382" s="9">
        <f>IF(ISNA(MATCH(373,'Transfer Engine'!$C$2:$C$1369,0)),"",INDEX('Compliance Database'!$I$2:$I$1369,MATCH(373,'Transfer Engine'!$C$2:$C$1369,0)))</f>
        <v/>
      </c>
      <c r="J382" s="8">
        <f>IF(ISNA(MATCH(373,'Transfer Engine'!$C$2:$C$1369,0)),"",INDEX('Compliance Database'!$J$2:$J$1369,MATCH(373,'Transfer Engine'!$C$2:$C$1369,0)))</f>
        <v/>
      </c>
      <c r="K382" s="9">
        <f>IF(ISNA(MATCH(373,'Transfer Engine'!$C$2:$C$1369,0)),"",INDEX('Compliance Database'!$K$2:$K$1369,MATCH(373,'Transfer Engine'!$C$2:$C$1369,0)))</f>
        <v/>
      </c>
      <c r="L382" s="9">
        <f>IF(ISNA(MATCH(373,'Transfer Engine'!$C$2:$C$1369,0)),"",INDEX('Compliance Database'!$L$2:$L$1369,MATCH(373,'Transfer Engine'!$C$2:$C$1369,0)))</f>
        <v/>
      </c>
      <c r="M382" s="9">
        <f>IF(ISNA(MATCH(373,'Transfer Engine'!$C$2:$C$1369,0)),"",INDEX('Compliance Database'!$M$2:$M$1369,MATCH(373,'Transfer Engine'!$C$2:$C$1369,0)))</f>
        <v/>
      </c>
      <c r="N382" s="9">
        <f>IF(ISNA(MATCH(373,'Transfer Engine'!$C$2:$C$1369,0)),"",INDEX('Compliance Database'!$N$2:$N$1369,MATCH(373,'Transfer Engine'!$C$2:$C$1369,0)))</f>
        <v/>
      </c>
      <c r="O382" s="8">
        <f>IF(ISNA(MATCH(373,'Transfer Engine'!$C$2:$C$1369,0)),"",HYPERLINK(INDEX('Compliance Database'!$O$2:$O$1369,MATCH(373,'Transfer Engine'!$C$2:$C$1369,0)),"Open PDF"))</f>
        <v/>
      </c>
    </row>
    <row r="383" ht="188" customHeight="1">
      <c r="A383" s="8">
        <f>IF(ISNA(MATCH(374,'Transfer Engine'!$C$2:$C$1369,0)),"",INDEX('Compliance Database'!$A$2:$A$1369,MATCH(374,'Transfer Engine'!$C$2:$C$1369,0)))</f>
        <v/>
      </c>
      <c r="B383" s="8">
        <f>IF(ISNA(MATCH(374,'Transfer Engine'!$C$2:$C$1369,0)),"",INDEX('Compliance Database'!$B$2:$B$1369,MATCH(374,'Transfer Engine'!$C$2:$C$1369,0)))</f>
        <v/>
      </c>
      <c r="C383" s="8">
        <f>IF(ISNA(MATCH(374,'Transfer Engine'!$C$2:$C$1369,0)),"",INDEX('Compliance Database'!$C$2:$C$1369,MATCH(374,'Transfer Engine'!$C$2:$C$1369,0)))</f>
        <v/>
      </c>
      <c r="D383" s="9">
        <f>IF(ISNA(MATCH(374,'Transfer Engine'!$C$2:$C$1369,0)),"",INDEX('Compliance Database'!$D$2:$D$1369,MATCH(374,'Transfer Engine'!$C$2:$C$1369,0)))</f>
        <v/>
      </c>
      <c r="E383" s="8">
        <f>IF(ISNA(MATCH(374,'Transfer Engine'!$C$2:$C$1369,0)),"",INDEX('Compliance Database'!$E$2:$E$1369,MATCH(374,'Transfer Engine'!$C$2:$C$1369,0)))</f>
        <v/>
      </c>
      <c r="F383" s="8">
        <f>IF(ISNA(MATCH(374,'Transfer Engine'!$C$2:$C$1369,0)),"",INDEX('Compliance Database'!$F$2:$F$1369,MATCH(374,'Transfer Engine'!$C$2:$C$1369,0)))</f>
        <v/>
      </c>
      <c r="G383" s="8">
        <f>IF(ISNA(MATCH(374,'Transfer Engine'!$C$2:$C$1369,0)),"",INDEX('Compliance Database'!$G$2:$G$1369,MATCH(374,'Transfer Engine'!$C$2:$C$1369,0)))</f>
        <v/>
      </c>
      <c r="H383" s="9">
        <f>IF(ISNA(MATCH(374,'Transfer Engine'!$C$2:$C$1369,0)),"",INDEX('Compliance Database'!$H$2:$H$1369,MATCH(374,'Transfer Engine'!$C$2:$C$1369,0)))</f>
        <v/>
      </c>
      <c r="I383" s="9">
        <f>IF(ISNA(MATCH(374,'Transfer Engine'!$C$2:$C$1369,0)),"",INDEX('Compliance Database'!$I$2:$I$1369,MATCH(374,'Transfer Engine'!$C$2:$C$1369,0)))</f>
        <v/>
      </c>
      <c r="J383" s="8">
        <f>IF(ISNA(MATCH(374,'Transfer Engine'!$C$2:$C$1369,0)),"",INDEX('Compliance Database'!$J$2:$J$1369,MATCH(374,'Transfer Engine'!$C$2:$C$1369,0)))</f>
        <v/>
      </c>
      <c r="K383" s="9">
        <f>IF(ISNA(MATCH(374,'Transfer Engine'!$C$2:$C$1369,0)),"",INDEX('Compliance Database'!$K$2:$K$1369,MATCH(374,'Transfer Engine'!$C$2:$C$1369,0)))</f>
        <v/>
      </c>
      <c r="L383" s="9">
        <f>IF(ISNA(MATCH(374,'Transfer Engine'!$C$2:$C$1369,0)),"",INDEX('Compliance Database'!$L$2:$L$1369,MATCH(374,'Transfer Engine'!$C$2:$C$1369,0)))</f>
        <v/>
      </c>
      <c r="M383" s="9">
        <f>IF(ISNA(MATCH(374,'Transfer Engine'!$C$2:$C$1369,0)),"",INDEX('Compliance Database'!$M$2:$M$1369,MATCH(374,'Transfer Engine'!$C$2:$C$1369,0)))</f>
        <v/>
      </c>
      <c r="N383" s="9">
        <f>IF(ISNA(MATCH(374,'Transfer Engine'!$C$2:$C$1369,0)),"",INDEX('Compliance Database'!$N$2:$N$1369,MATCH(374,'Transfer Engine'!$C$2:$C$1369,0)))</f>
        <v/>
      </c>
      <c r="O383" s="8">
        <f>IF(ISNA(MATCH(374,'Transfer Engine'!$C$2:$C$1369,0)),"",HYPERLINK(INDEX('Compliance Database'!$O$2:$O$1369,MATCH(374,'Transfer Engine'!$C$2:$C$1369,0)),"Open PDF"))</f>
        <v/>
      </c>
    </row>
    <row r="384" ht="188" customHeight="1">
      <c r="A384" s="8">
        <f>IF(ISNA(MATCH(375,'Transfer Engine'!$C$2:$C$1369,0)),"",INDEX('Compliance Database'!$A$2:$A$1369,MATCH(375,'Transfer Engine'!$C$2:$C$1369,0)))</f>
        <v/>
      </c>
      <c r="B384" s="8">
        <f>IF(ISNA(MATCH(375,'Transfer Engine'!$C$2:$C$1369,0)),"",INDEX('Compliance Database'!$B$2:$B$1369,MATCH(375,'Transfer Engine'!$C$2:$C$1369,0)))</f>
        <v/>
      </c>
      <c r="C384" s="8">
        <f>IF(ISNA(MATCH(375,'Transfer Engine'!$C$2:$C$1369,0)),"",INDEX('Compliance Database'!$C$2:$C$1369,MATCH(375,'Transfer Engine'!$C$2:$C$1369,0)))</f>
        <v/>
      </c>
      <c r="D384" s="9">
        <f>IF(ISNA(MATCH(375,'Transfer Engine'!$C$2:$C$1369,0)),"",INDEX('Compliance Database'!$D$2:$D$1369,MATCH(375,'Transfer Engine'!$C$2:$C$1369,0)))</f>
        <v/>
      </c>
      <c r="E384" s="8">
        <f>IF(ISNA(MATCH(375,'Transfer Engine'!$C$2:$C$1369,0)),"",INDEX('Compliance Database'!$E$2:$E$1369,MATCH(375,'Transfer Engine'!$C$2:$C$1369,0)))</f>
        <v/>
      </c>
      <c r="F384" s="8">
        <f>IF(ISNA(MATCH(375,'Transfer Engine'!$C$2:$C$1369,0)),"",INDEX('Compliance Database'!$F$2:$F$1369,MATCH(375,'Transfer Engine'!$C$2:$C$1369,0)))</f>
        <v/>
      </c>
      <c r="G384" s="8">
        <f>IF(ISNA(MATCH(375,'Transfer Engine'!$C$2:$C$1369,0)),"",INDEX('Compliance Database'!$G$2:$G$1369,MATCH(375,'Transfer Engine'!$C$2:$C$1369,0)))</f>
        <v/>
      </c>
      <c r="H384" s="9">
        <f>IF(ISNA(MATCH(375,'Transfer Engine'!$C$2:$C$1369,0)),"",INDEX('Compliance Database'!$H$2:$H$1369,MATCH(375,'Transfer Engine'!$C$2:$C$1369,0)))</f>
        <v/>
      </c>
      <c r="I384" s="9">
        <f>IF(ISNA(MATCH(375,'Transfer Engine'!$C$2:$C$1369,0)),"",INDEX('Compliance Database'!$I$2:$I$1369,MATCH(375,'Transfer Engine'!$C$2:$C$1369,0)))</f>
        <v/>
      </c>
      <c r="J384" s="8">
        <f>IF(ISNA(MATCH(375,'Transfer Engine'!$C$2:$C$1369,0)),"",INDEX('Compliance Database'!$J$2:$J$1369,MATCH(375,'Transfer Engine'!$C$2:$C$1369,0)))</f>
        <v/>
      </c>
      <c r="K384" s="9">
        <f>IF(ISNA(MATCH(375,'Transfer Engine'!$C$2:$C$1369,0)),"",INDEX('Compliance Database'!$K$2:$K$1369,MATCH(375,'Transfer Engine'!$C$2:$C$1369,0)))</f>
        <v/>
      </c>
      <c r="L384" s="9">
        <f>IF(ISNA(MATCH(375,'Transfer Engine'!$C$2:$C$1369,0)),"",INDEX('Compliance Database'!$L$2:$L$1369,MATCH(375,'Transfer Engine'!$C$2:$C$1369,0)))</f>
        <v/>
      </c>
      <c r="M384" s="9">
        <f>IF(ISNA(MATCH(375,'Transfer Engine'!$C$2:$C$1369,0)),"",INDEX('Compliance Database'!$M$2:$M$1369,MATCH(375,'Transfer Engine'!$C$2:$C$1369,0)))</f>
        <v/>
      </c>
      <c r="N384" s="9">
        <f>IF(ISNA(MATCH(375,'Transfer Engine'!$C$2:$C$1369,0)),"",INDEX('Compliance Database'!$N$2:$N$1369,MATCH(375,'Transfer Engine'!$C$2:$C$1369,0)))</f>
        <v/>
      </c>
      <c r="O384" s="8">
        <f>IF(ISNA(MATCH(375,'Transfer Engine'!$C$2:$C$1369,0)),"",HYPERLINK(INDEX('Compliance Database'!$O$2:$O$1369,MATCH(375,'Transfer Engine'!$C$2:$C$1369,0)),"Open PDF"))</f>
        <v/>
      </c>
    </row>
    <row r="385" ht="188" customHeight="1">
      <c r="A385" s="8">
        <f>IF(ISNA(MATCH(376,'Transfer Engine'!$C$2:$C$1369,0)),"",INDEX('Compliance Database'!$A$2:$A$1369,MATCH(376,'Transfer Engine'!$C$2:$C$1369,0)))</f>
        <v/>
      </c>
      <c r="B385" s="8">
        <f>IF(ISNA(MATCH(376,'Transfer Engine'!$C$2:$C$1369,0)),"",INDEX('Compliance Database'!$B$2:$B$1369,MATCH(376,'Transfer Engine'!$C$2:$C$1369,0)))</f>
        <v/>
      </c>
      <c r="C385" s="8">
        <f>IF(ISNA(MATCH(376,'Transfer Engine'!$C$2:$C$1369,0)),"",INDEX('Compliance Database'!$C$2:$C$1369,MATCH(376,'Transfer Engine'!$C$2:$C$1369,0)))</f>
        <v/>
      </c>
      <c r="D385" s="9">
        <f>IF(ISNA(MATCH(376,'Transfer Engine'!$C$2:$C$1369,0)),"",INDEX('Compliance Database'!$D$2:$D$1369,MATCH(376,'Transfer Engine'!$C$2:$C$1369,0)))</f>
        <v/>
      </c>
      <c r="E385" s="8">
        <f>IF(ISNA(MATCH(376,'Transfer Engine'!$C$2:$C$1369,0)),"",INDEX('Compliance Database'!$E$2:$E$1369,MATCH(376,'Transfer Engine'!$C$2:$C$1369,0)))</f>
        <v/>
      </c>
      <c r="F385" s="8">
        <f>IF(ISNA(MATCH(376,'Transfer Engine'!$C$2:$C$1369,0)),"",INDEX('Compliance Database'!$F$2:$F$1369,MATCH(376,'Transfer Engine'!$C$2:$C$1369,0)))</f>
        <v/>
      </c>
      <c r="G385" s="8">
        <f>IF(ISNA(MATCH(376,'Transfer Engine'!$C$2:$C$1369,0)),"",INDEX('Compliance Database'!$G$2:$G$1369,MATCH(376,'Transfer Engine'!$C$2:$C$1369,0)))</f>
        <v/>
      </c>
      <c r="H385" s="9">
        <f>IF(ISNA(MATCH(376,'Transfer Engine'!$C$2:$C$1369,0)),"",INDEX('Compliance Database'!$H$2:$H$1369,MATCH(376,'Transfer Engine'!$C$2:$C$1369,0)))</f>
        <v/>
      </c>
      <c r="I385" s="9">
        <f>IF(ISNA(MATCH(376,'Transfer Engine'!$C$2:$C$1369,0)),"",INDEX('Compliance Database'!$I$2:$I$1369,MATCH(376,'Transfer Engine'!$C$2:$C$1369,0)))</f>
        <v/>
      </c>
      <c r="J385" s="8">
        <f>IF(ISNA(MATCH(376,'Transfer Engine'!$C$2:$C$1369,0)),"",INDEX('Compliance Database'!$J$2:$J$1369,MATCH(376,'Transfer Engine'!$C$2:$C$1369,0)))</f>
        <v/>
      </c>
      <c r="K385" s="9">
        <f>IF(ISNA(MATCH(376,'Transfer Engine'!$C$2:$C$1369,0)),"",INDEX('Compliance Database'!$K$2:$K$1369,MATCH(376,'Transfer Engine'!$C$2:$C$1369,0)))</f>
        <v/>
      </c>
      <c r="L385" s="9">
        <f>IF(ISNA(MATCH(376,'Transfer Engine'!$C$2:$C$1369,0)),"",INDEX('Compliance Database'!$L$2:$L$1369,MATCH(376,'Transfer Engine'!$C$2:$C$1369,0)))</f>
        <v/>
      </c>
      <c r="M385" s="9">
        <f>IF(ISNA(MATCH(376,'Transfer Engine'!$C$2:$C$1369,0)),"",INDEX('Compliance Database'!$M$2:$M$1369,MATCH(376,'Transfer Engine'!$C$2:$C$1369,0)))</f>
        <v/>
      </c>
      <c r="N385" s="9">
        <f>IF(ISNA(MATCH(376,'Transfer Engine'!$C$2:$C$1369,0)),"",INDEX('Compliance Database'!$N$2:$N$1369,MATCH(376,'Transfer Engine'!$C$2:$C$1369,0)))</f>
        <v/>
      </c>
      <c r="O385" s="8">
        <f>IF(ISNA(MATCH(376,'Transfer Engine'!$C$2:$C$1369,0)),"",HYPERLINK(INDEX('Compliance Database'!$O$2:$O$1369,MATCH(376,'Transfer Engine'!$C$2:$C$1369,0)),"Open PDF"))</f>
        <v/>
      </c>
    </row>
    <row r="386" ht="188" customHeight="1">
      <c r="A386" s="8">
        <f>IF(ISNA(MATCH(377,'Transfer Engine'!$C$2:$C$1369,0)),"",INDEX('Compliance Database'!$A$2:$A$1369,MATCH(377,'Transfer Engine'!$C$2:$C$1369,0)))</f>
        <v/>
      </c>
      <c r="B386" s="8">
        <f>IF(ISNA(MATCH(377,'Transfer Engine'!$C$2:$C$1369,0)),"",INDEX('Compliance Database'!$B$2:$B$1369,MATCH(377,'Transfer Engine'!$C$2:$C$1369,0)))</f>
        <v/>
      </c>
      <c r="C386" s="8">
        <f>IF(ISNA(MATCH(377,'Transfer Engine'!$C$2:$C$1369,0)),"",INDEX('Compliance Database'!$C$2:$C$1369,MATCH(377,'Transfer Engine'!$C$2:$C$1369,0)))</f>
        <v/>
      </c>
      <c r="D386" s="9">
        <f>IF(ISNA(MATCH(377,'Transfer Engine'!$C$2:$C$1369,0)),"",INDEX('Compliance Database'!$D$2:$D$1369,MATCH(377,'Transfer Engine'!$C$2:$C$1369,0)))</f>
        <v/>
      </c>
      <c r="E386" s="8">
        <f>IF(ISNA(MATCH(377,'Transfer Engine'!$C$2:$C$1369,0)),"",INDEX('Compliance Database'!$E$2:$E$1369,MATCH(377,'Transfer Engine'!$C$2:$C$1369,0)))</f>
        <v/>
      </c>
      <c r="F386" s="8">
        <f>IF(ISNA(MATCH(377,'Transfer Engine'!$C$2:$C$1369,0)),"",INDEX('Compliance Database'!$F$2:$F$1369,MATCH(377,'Transfer Engine'!$C$2:$C$1369,0)))</f>
        <v/>
      </c>
      <c r="G386" s="8">
        <f>IF(ISNA(MATCH(377,'Transfer Engine'!$C$2:$C$1369,0)),"",INDEX('Compliance Database'!$G$2:$G$1369,MATCH(377,'Transfer Engine'!$C$2:$C$1369,0)))</f>
        <v/>
      </c>
      <c r="H386" s="9">
        <f>IF(ISNA(MATCH(377,'Transfer Engine'!$C$2:$C$1369,0)),"",INDEX('Compliance Database'!$H$2:$H$1369,MATCH(377,'Transfer Engine'!$C$2:$C$1369,0)))</f>
        <v/>
      </c>
      <c r="I386" s="9">
        <f>IF(ISNA(MATCH(377,'Transfer Engine'!$C$2:$C$1369,0)),"",INDEX('Compliance Database'!$I$2:$I$1369,MATCH(377,'Transfer Engine'!$C$2:$C$1369,0)))</f>
        <v/>
      </c>
      <c r="J386" s="8">
        <f>IF(ISNA(MATCH(377,'Transfer Engine'!$C$2:$C$1369,0)),"",INDEX('Compliance Database'!$J$2:$J$1369,MATCH(377,'Transfer Engine'!$C$2:$C$1369,0)))</f>
        <v/>
      </c>
      <c r="K386" s="9">
        <f>IF(ISNA(MATCH(377,'Transfer Engine'!$C$2:$C$1369,0)),"",INDEX('Compliance Database'!$K$2:$K$1369,MATCH(377,'Transfer Engine'!$C$2:$C$1369,0)))</f>
        <v/>
      </c>
      <c r="L386" s="9">
        <f>IF(ISNA(MATCH(377,'Transfer Engine'!$C$2:$C$1369,0)),"",INDEX('Compliance Database'!$L$2:$L$1369,MATCH(377,'Transfer Engine'!$C$2:$C$1369,0)))</f>
        <v/>
      </c>
      <c r="M386" s="9">
        <f>IF(ISNA(MATCH(377,'Transfer Engine'!$C$2:$C$1369,0)),"",INDEX('Compliance Database'!$M$2:$M$1369,MATCH(377,'Transfer Engine'!$C$2:$C$1369,0)))</f>
        <v/>
      </c>
      <c r="N386" s="9">
        <f>IF(ISNA(MATCH(377,'Transfer Engine'!$C$2:$C$1369,0)),"",INDEX('Compliance Database'!$N$2:$N$1369,MATCH(377,'Transfer Engine'!$C$2:$C$1369,0)))</f>
        <v/>
      </c>
      <c r="O386" s="8">
        <f>IF(ISNA(MATCH(377,'Transfer Engine'!$C$2:$C$1369,0)),"",HYPERLINK(INDEX('Compliance Database'!$O$2:$O$1369,MATCH(377,'Transfer Engine'!$C$2:$C$1369,0)),"Open PDF"))</f>
        <v/>
      </c>
    </row>
    <row r="387" ht="188" customHeight="1">
      <c r="A387" s="8">
        <f>IF(ISNA(MATCH(378,'Transfer Engine'!$C$2:$C$1369,0)),"",INDEX('Compliance Database'!$A$2:$A$1369,MATCH(378,'Transfer Engine'!$C$2:$C$1369,0)))</f>
        <v/>
      </c>
      <c r="B387" s="8">
        <f>IF(ISNA(MATCH(378,'Transfer Engine'!$C$2:$C$1369,0)),"",INDEX('Compliance Database'!$B$2:$B$1369,MATCH(378,'Transfer Engine'!$C$2:$C$1369,0)))</f>
        <v/>
      </c>
      <c r="C387" s="8">
        <f>IF(ISNA(MATCH(378,'Transfer Engine'!$C$2:$C$1369,0)),"",INDEX('Compliance Database'!$C$2:$C$1369,MATCH(378,'Transfer Engine'!$C$2:$C$1369,0)))</f>
        <v/>
      </c>
      <c r="D387" s="9">
        <f>IF(ISNA(MATCH(378,'Transfer Engine'!$C$2:$C$1369,0)),"",INDEX('Compliance Database'!$D$2:$D$1369,MATCH(378,'Transfer Engine'!$C$2:$C$1369,0)))</f>
        <v/>
      </c>
      <c r="E387" s="8">
        <f>IF(ISNA(MATCH(378,'Transfer Engine'!$C$2:$C$1369,0)),"",INDEX('Compliance Database'!$E$2:$E$1369,MATCH(378,'Transfer Engine'!$C$2:$C$1369,0)))</f>
        <v/>
      </c>
      <c r="F387" s="8">
        <f>IF(ISNA(MATCH(378,'Transfer Engine'!$C$2:$C$1369,0)),"",INDEX('Compliance Database'!$F$2:$F$1369,MATCH(378,'Transfer Engine'!$C$2:$C$1369,0)))</f>
        <v/>
      </c>
      <c r="G387" s="8">
        <f>IF(ISNA(MATCH(378,'Transfer Engine'!$C$2:$C$1369,0)),"",INDEX('Compliance Database'!$G$2:$G$1369,MATCH(378,'Transfer Engine'!$C$2:$C$1369,0)))</f>
        <v/>
      </c>
      <c r="H387" s="9">
        <f>IF(ISNA(MATCH(378,'Transfer Engine'!$C$2:$C$1369,0)),"",INDEX('Compliance Database'!$H$2:$H$1369,MATCH(378,'Transfer Engine'!$C$2:$C$1369,0)))</f>
        <v/>
      </c>
      <c r="I387" s="9">
        <f>IF(ISNA(MATCH(378,'Transfer Engine'!$C$2:$C$1369,0)),"",INDEX('Compliance Database'!$I$2:$I$1369,MATCH(378,'Transfer Engine'!$C$2:$C$1369,0)))</f>
        <v/>
      </c>
      <c r="J387" s="8">
        <f>IF(ISNA(MATCH(378,'Transfer Engine'!$C$2:$C$1369,0)),"",INDEX('Compliance Database'!$J$2:$J$1369,MATCH(378,'Transfer Engine'!$C$2:$C$1369,0)))</f>
        <v/>
      </c>
      <c r="K387" s="9">
        <f>IF(ISNA(MATCH(378,'Transfer Engine'!$C$2:$C$1369,0)),"",INDEX('Compliance Database'!$K$2:$K$1369,MATCH(378,'Transfer Engine'!$C$2:$C$1369,0)))</f>
        <v/>
      </c>
      <c r="L387" s="9">
        <f>IF(ISNA(MATCH(378,'Transfer Engine'!$C$2:$C$1369,0)),"",INDEX('Compliance Database'!$L$2:$L$1369,MATCH(378,'Transfer Engine'!$C$2:$C$1369,0)))</f>
        <v/>
      </c>
      <c r="M387" s="9">
        <f>IF(ISNA(MATCH(378,'Transfer Engine'!$C$2:$C$1369,0)),"",INDEX('Compliance Database'!$M$2:$M$1369,MATCH(378,'Transfer Engine'!$C$2:$C$1369,0)))</f>
        <v/>
      </c>
      <c r="N387" s="9">
        <f>IF(ISNA(MATCH(378,'Transfer Engine'!$C$2:$C$1369,0)),"",INDEX('Compliance Database'!$N$2:$N$1369,MATCH(378,'Transfer Engine'!$C$2:$C$1369,0)))</f>
        <v/>
      </c>
      <c r="O387" s="8">
        <f>IF(ISNA(MATCH(378,'Transfer Engine'!$C$2:$C$1369,0)),"",HYPERLINK(INDEX('Compliance Database'!$O$2:$O$1369,MATCH(378,'Transfer Engine'!$C$2:$C$1369,0)),"Open PDF"))</f>
        <v/>
      </c>
    </row>
    <row r="388" ht="188" customHeight="1">
      <c r="A388" s="8">
        <f>IF(ISNA(MATCH(379,'Transfer Engine'!$C$2:$C$1369,0)),"",INDEX('Compliance Database'!$A$2:$A$1369,MATCH(379,'Transfer Engine'!$C$2:$C$1369,0)))</f>
        <v/>
      </c>
      <c r="B388" s="8">
        <f>IF(ISNA(MATCH(379,'Transfer Engine'!$C$2:$C$1369,0)),"",INDEX('Compliance Database'!$B$2:$B$1369,MATCH(379,'Transfer Engine'!$C$2:$C$1369,0)))</f>
        <v/>
      </c>
      <c r="C388" s="8">
        <f>IF(ISNA(MATCH(379,'Transfer Engine'!$C$2:$C$1369,0)),"",INDEX('Compliance Database'!$C$2:$C$1369,MATCH(379,'Transfer Engine'!$C$2:$C$1369,0)))</f>
        <v/>
      </c>
      <c r="D388" s="9">
        <f>IF(ISNA(MATCH(379,'Transfer Engine'!$C$2:$C$1369,0)),"",INDEX('Compliance Database'!$D$2:$D$1369,MATCH(379,'Transfer Engine'!$C$2:$C$1369,0)))</f>
        <v/>
      </c>
      <c r="E388" s="8">
        <f>IF(ISNA(MATCH(379,'Transfer Engine'!$C$2:$C$1369,0)),"",INDEX('Compliance Database'!$E$2:$E$1369,MATCH(379,'Transfer Engine'!$C$2:$C$1369,0)))</f>
        <v/>
      </c>
      <c r="F388" s="8">
        <f>IF(ISNA(MATCH(379,'Transfer Engine'!$C$2:$C$1369,0)),"",INDEX('Compliance Database'!$F$2:$F$1369,MATCH(379,'Transfer Engine'!$C$2:$C$1369,0)))</f>
        <v/>
      </c>
      <c r="G388" s="8">
        <f>IF(ISNA(MATCH(379,'Transfer Engine'!$C$2:$C$1369,0)),"",INDEX('Compliance Database'!$G$2:$G$1369,MATCH(379,'Transfer Engine'!$C$2:$C$1369,0)))</f>
        <v/>
      </c>
      <c r="H388" s="9">
        <f>IF(ISNA(MATCH(379,'Transfer Engine'!$C$2:$C$1369,0)),"",INDEX('Compliance Database'!$H$2:$H$1369,MATCH(379,'Transfer Engine'!$C$2:$C$1369,0)))</f>
        <v/>
      </c>
      <c r="I388" s="9">
        <f>IF(ISNA(MATCH(379,'Transfer Engine'!$C$2:$C$1369,0)),"",INDEX('Compliance Database'!$I$2:$I$1369,MATCH(379,'Transfer Engine'!$C$2:$C$1369,0)))</f>
        <v/>
      </c>
      <c r="J388" s="8">
        <f>IF(ISNA(MATCH(379,'Transfer Engine'!$C$2:$C$1369,0)),"",INDEX('Compliance Database'!$J$2:$J$1369,MATCH(379,'Transfer Engine'!$C$2:$C$1369,0)))</f>
        <v/>
      </c>
      <c r="K388" s="9">
        <f>IF(ISNA(MATCH(379,'Transfer Engine'!$C$2:$C$1369,0)),"",INDEX('Compliance Database'!$K$2:$K$1369,MATCH(379,'Transfer Engine'!$C$2:$C$1369,0)))</f>
        <v/>
      </c>
      <c r="L388" s="9">
        <f>IF(ISNA(MATCH(379,'Transfer Engine'!$C$2:$C$1369,0)),"",INDEX('Compliance Database'!$L$2:$L$1369,MATCH(379,'Transfer Engine'!$C$2:$C$1369,0)))</f>
        <v/>
      </c>
      <c r="M388" s="9">
        <f>IF(ISNA(MATCH(379,'Transfer Engine'!$C$2:$C$1369,0)),"",INDEX('Compliance Database'!$M$2:$M$1369,MATCH(379,'Transfer Engine'!$C$2:$C$1369,0)))</f>
        <v/>
      </c>
      <c r="N388" s="9">
        <f>IF(ISNA(MATCH(379,'Transfer Engine'!$C$2:$C$1369,0)),"",INDEX('Compliance Database'!$N$2:$N$1369,MATCH(379,'Transfer Engine'!$C$2:$C$1369,0)))</f>
        <v/>
      </c>
      <c r="O388" s="8">
        <f>IF(ISNA(MATCH(379,'Transfer Engine'!$C$2:$C$1369,0)),"",HYPERLINK(INDEX('Compliance Database'!$O$2:$O$1369,MATCH(379,'Transfer Engine'!$C$2:$C$1369,0)),"Open PDF"))</f>
        <v/>
      </c>
    </row>
    <row r="389" ht="188" customHeight="1">
      <c r="A389" s="8">
        <f>IF(ISNA(MATCH(380,'Transfer Engine'!$C$2:$C$1369,0)),"",INDEX('Compliance Database'!$A$2:$A$1369,MATCH(380,'Transfer Engine'!$C$2:$C$1369,0)))</f>
        <v/>
      </c>
      <c r="B389" s="8">
        <f>IF(ISNA(MATCH(380,'Transfer Engine'!$C$2:$C$1369,0)),"",INDEX('Compliance Database'!$B$2:$B$1369,MATCH(380,'Transfer Engine'!$C$2:$C$1369,0)))</f>
        <v/>
      </c>
      <c r="C389" s="8">
        <f>IF(ISNA(MATCH(380,'Transfer Engine'!$C$2:$C$1369,0)),"",INDEX('Compliance Database'!$C$2:$C$1369,MATCH(380,'Transfer Engine'!$C$2:$C$1369,0)))</f>
        <v/>
      </c>
      <c r="D389" s="9">
        <f>IF(ISNA(MATCH(380,'Transfer Engine'!$C$2:$C$1369,0)),"",INDEX('Compliance Database'!$D$2:$D$1369,MATCH(380,'Transfer Engine'!$C$2:$C$1369,0)))</f>
        <v/>
      </c>
      <c r="E389" s="8">
        <f>IF(ISNA(MATCH(380,'Transfer Engine'!$C$2:$C$1369,0)),"",INDEX('Compliance Database'!$E$2:$E$1369,MATCH(380,'Transfer Engine'!$C$2:$C$1369,0)))</f>
        <v/>
      </c>
      <c r="F389" s="8">
        <f>IF(ISNA(MATCH(380,'Transfer Engine'!$C$2:$C$1369,0)),"",INDEX('Compliance Database'!$F$2:$F$1369,MATCH(380,'Transfer Engine'!$C$2:$C$1369,0)))</f>
        <v/>
      </c>
      <c r="G389" s="8">
        <f>IF(ISNA(MATCH(380,'Transfer Engine'!$C$2:$C$1369,0)),"",INDEX('Compliance Database'!$G$2:$G$1369,MATCH(380,'Transfer Engine'!$C$2:$C$1369,0)))</f>
        <v/>
      </c>
      <c r="H389" s="9">
        <f>IF(ISNA(MATCH(380,'Transfer Engine'!$C$2:$C$1369,0)),"",INDEX('Compliance Database'!$H$2:$H$1369,MATCH(380,'Transfer Engine'!$C$2:$C$1369,0)))</f>
        <v/>
      </c>
      <c r="I389" s="9">
        <f>IF(ISNA(MATCH(380,'Transfer Engine'!$C$2:$C$1369,0)),"",INDEX('Compliance Database'!$I$2:$I$1369,MATCH(380,'Transfer Engine'!$C$2:$C$1369,0)))</f>
        <v/>
      </c>
      <c r="J389" s="8">
        <f>IF(ISNA(MATCH(380,'Transfer Engine'!$C$2:$C$1369,0)),"",INDEX('Compliance Database'!$J$2:$J$1369,MATCH(380,'Transfer Engine'!$C$2:$C$1369,0)))</f>
        <v/>
      </c>
      <c r="K389" s="9">
        <f>IF(ISNA(MATCH(380,'Transfer Engine'!$C$2:$C$1369,0)),"",INDEX('Compliance Database'!$K$2:$K$1369,MATCH(380,'Transfer Engine'!$C$2:$C$1369,0)))</f>
        <v/>
      </c>
      <c r="L389" s="9">
        <f>IF(ISNA(MATCH(380,'Transfer Engine'!$C$2:$C$1369,0)),"",INDEX('Compliance Database'!$L$2:$L$1369,MATCH(380,'Transfer Engine'!$C$2:$C$1369,0)))</f>
        <v/>
      </c>
      <c r="M389" s="9">
        <f>IF(ISNA(MATCH(380,'Transfer Engine'!$C$2:$C$1369,0)),"",INDEX('Compliance Database'!$M$2:$M$1369,MATCH(380,'Transfer Engine'!$C$2:$C$1369,0)))</f>
        <v/>
      </c>
      <c r="N389" s="9">
        <f>IF(ISNA(MATCH(380,'Transfer Engine'!$C$2:$C$1369,0)),"",INDEX('Compliance Database'!$N$2:$N$1369,MATCH(380,'Transfer Engine'!$C$2:$C$1369,0)))</f>
        <v/>
      </c>
      <c r="O389" s="8">
        <f>IF(ISNA(MATCH(380,'Transfer Engine'!$C$2:$C$1369,0)),"",HYPERLINK(INDEX('Compliance Database'!$O$2:$O$1369,MATCH(380,'Transfer Engine'!$C$2:$C$1369,0)),"Open PDF"))</f>
        <v/>
      </c>
    </row>
    <row r="390" ht="188" customHeight="1">
      <c r="A390" s="8">
        <f>IF(ISNA(MATCH(381,'Transfer Engine'!$C$2:$C$1369,0)),"",INDEX('Compliance Database'!$A$2:$A$1369,MATCH(381,'Transfer Engine'!$C$2:$C$1369,0)))</f>
        <v/>
      </c>
      <c r="B390" s="8">
        <f>IF(ISNA(MATCH(381,'Transfer Engine'!$C$2:$C$1369,0)),"",INDEX('Compliance Database'!$B$2:$B$1369,MATCH(381,'Transfer Engine'!$C$2:$C$1369,0)))</f>
        <v/>
      </c>
      <c r="C390" s="8">
        <f>IF(ISNA(MATCH(381,'Transfer Engine'!$C$2:$C$1369,0)),"",INDEX('Compliance Database'!$C$2:$C$1369,MATCH(381,'Transfer Engine'!$C$2:$C$1369,0)))</f>
        <v/>
      </c>
      <c r="D390" s="9">
        <f>IF(ISNA(MATCH(381,'Transfer Engine'!$C$2:$C$1369,0)),"",INDEX('Compliance Database'!$D$2:$D$1369,MATCH(381,'Transfer Engine'!$C$2:$C$1369,0)))</f>
        <v/>
      </c>
      <c r="E390" s="8">
        <f>IF(ISNA(MATCH(381,'Transfer Engine'!$C$2:$C$1369,0)),"",INDEX('Compliance Database'!$E$2:$E$1369,MATCH(381,'Transfer Engine'!$C$2:$C$1369,0)))</f>
        <v/>
      </c>
      <c r="F390" s="8">
        <f>IF(ISNA(MATCH(381,'Transfer Engine'!$C$2:$C$1369,0)),"",INDEX('Compliance Database'!$F$2:$F$1369,MATCH(381,'Transfer Engine'!$C$2:$C$1369,0)))</f>
        <v/>
      </c>
      <c r="G390" s="8">
        <f>IF(ISNA(MATCH(381,'Transfer Engine'!$C$2:$C$1369,0)),"",INDEX('Compliance Database'!$G$2:$G$1369,MATCH(381,'Transfer Engine'!$C$2:$C$1369,0)))</f>
        <v/>
      </c>
      <c r="H390" s="9">
        <f>IF(ISNA(MATCH(381,'Transfer Engine'!$C$2:$C$1369,0)),"",INDEX('Compliance Database'!$H$2:$H$1369,MATCH(381,'Transfer Engine'!$C$2:$C$1369,0)))</f>
        <v/>
      </c>
      <c r="I390" s="9">
        <f>IF(ISNA(MATCH(381,'Transfer Engine'!$C$2:$C$1369,0)),"",INDEX('Compliance Database'!$I$2:$I$1369,MATCH(381,'Transfer Engine'!$C$2:$C$1369,0)))</f>
        <v/>
      </c>
      <c r="J390" s="8">
        <f>IF(ISNA(MATCH(381,'Transfer Engine'!$C$2:$C$1369,0)),"",INDEX('Compliance Database'!$J$2:$J$1369,MATCH(381,'Transfer Engine'!$C$2:$C$1369,0)))</f>
        <v/>
      </c>
      <c r="K390" s="9">
        <f>IF(ISNA(MATCH(381,'Transfer Engine'!$C$2:$C$1369,0)),"",INDEX('Compliance Database'!$K$2:$K$1369,MATCH(381,'Transfer Engine'!$C$2:$C$1369,0)))</f>
        <v/>
      </c>
      <c r="L390" s="9">
        <f>IF(ISNA(MATCH(381,'Transfer Engine'!$C$2:$C$1369,0)),"",INDEX('Compliance Database'!$L$2:$L$1369,MATCH(381,'Transfer Engine'!$C$2:$C$1369,0)))</f>
        <v/>
      </c>
      <c r="M390" s="9">
        <f>IF(ISNA(MATCH(381,'Transfer Engine'!$C$2:$C$1369,0)),"",INDEX('Compliance Database'!$M$2:$M$1369,MATCH(381,'Transfer Engine'!$C$2:$C$1369,0)))</f>
        <v/>
      </c>
      <c r="N390" s="9">
        <f>IF(ISNA(MATCH(381,'Transfer Engine'!$C$2:$C$1369,0)),"",INDEX('Compliance Database'!$N$2:$N$1369,MATCH(381,'Transfer Engine'!$C$2:$C$1369,0)))</f>
        <v/>
      </c>
      <c r="O390" s="8">
        <f>IF(ISNA(MATCH(381,'Transfer Engine'!$C$2:$C$1369,0)),"",HYPERLINK(INDEX('Compliance Database'!$O$2:$O$1369,MATCH(381,'Transfer Engine'!$C$2:$C$1369,0)),"Open PDF"))</f>
        <v/>
      </c>
    </row>
    <row r="391" ht="188" customHeight="1">
      <c r="A391" s="8">
        <f>IF(ISNA(MATCH(382,'Transfer Engine'!$C$2:$C$1369,0)),"",INDEX('Compliance Database'!$A$2:$A$1369,MATCH(382,'Transfer Engine'!$C$2:$C$1369,0)))</f>
        <v/>
      </c>
      <c r="B391" s="8">
        <f>IF(ISNA(MATCH(382,'Transfer Engine'!$C$2:$C$1369,0)),"",INDEX('Compliance Database'!$B$2:$B$1369,MATCH(382,'Transfer Engine'!$C$2:$C$1369,0)))</f>
        <v/>
      </c>
      <c r="C391" s="8">
        <f>IF(ISNA(MATCH(382,'Transfer Engine'!$C$2:$C$1369,0)),"",INDEX('Compliance Database'!$C$2:$C$1369,MATCH(382,'Transfer Engine'!$C$2:$C$1369,0)))</f>
        <v/>
      </c>
      <c r="D391" s="9">
        <f>IF(ISNA(MATCH(382,'Transfer Engine'!$C$2:$C$1369,0)),"",INDEX('Compliance Database'!$D$2:$D$1369,MATCH(382,'Transfer Engine'!$C$2:$C$1369,0)))</f>
        <v/>
      </c>
      <c r="E391" s="8">
        <f>IF(ISNA(MATCH(382,'Transfer Engine'!$C$2:$C$1369,0)),"",INDEX('Compliance Database'!$E$2:$E$1369,MATCH(382,'Transfer Engine'!$C$2:$C$1369,0)))</f>
        <v/>
      </c>
      <c r="F391" s="8">
        <f>IF(ISNA(MATCH(382,'Transfer Engine'!$C$2:$C$1369,0)),"",INDEX('Compliance Database'!$F$2:$F$1369,MATCH(382,'Transfer Engine'!$C$2:$C$1369,0)))</f>
        <v/>
      </c>
      <c r="G391" s="8">
        <f>IF(ISNA(MATCH(382,'Transfer Engine'!$C$2:$C$1369,0)),"",INDEX('Compliance Database'!$G$2:$G$1369,MATCH(382,'Transfer Engine'!$C$2:$C$1369,0)))</f>
        <v/>
      </c>
      <c r="H391" s="9">
        <f>IF(ISNA(MATCH(382,'Transfer Engine'!$C$2:$C$1369,0)),"",INDEX('Compliance Database'!$H$2:$H$1369,MATCH(382,'Transfer Engine'!$C$2:$C$1369,0)))</f>
        <v/>
      </c>
      <c r="I391" s="9">
        <f>IF(ISNA(MATCH(382,'Transfer Engine'!$C$2:$C$1369,0)),"",INDEX('Compliance Database'!$I$2:$I$1369,MATCH(382,'Transfer Engine'!$C$2:$C$1369,0)))</f>
        <v/>
      </c>
      <c r="J391" s="8">
        <f>IF(ISNA(MATCH(382,'Transfer Engine'!$C$2:$C$1369,0)),"",INDEX('Compliance Database'!$J$2:$J$1369,MATCH(382,'Transfer Engine'!$C$2:$C$1369,0)))</f>
        <v/>
      </c>
      <c r="K391" s="9">
        <f>IF(ISNA(MATCH(382,'Transfer Engine'!$C$2:$C$1369,0)),"",INDEX('Compliance Database'!$K$2:$K$1369,MATCH(382,'Transfer Engine'!$C$2:$C$1369,0)))</f>
        <v/>
      </c>
      <c r="L391" s="9">
        <f>IF(ISNA(MATCH(382,'Transfer Engine'!$C$2:$C$1369,0)),"",INDEX('Compliance Database'!$L$2:$L$1369,MATCH(382,'Transfer Engine'!$C$2:$C$1369,0)))</f>
        <v/>
      </c>
      <c r="M391" s="9">
        <f>IF(ISNA(MATCH(382,'Transfer Engine'!$C$2:$C$1369,0)),"",INDEX('Compliance Database'!$M$2:$M$1369,MATCH(382,'Transfer Engine'!$C$2:$C$1369,0)))</f>
        <v/>
      </c>
      <c r="N391" s="9">
        <f>IF(ISNA(MATCH(382,'Transfer Engine'!$C$2:$C$1369,0)),"",INDEX('Compliance Database'!$N$2:$N$1369,MATCH(382,'Transfer Engine'!$C$2:$C$1369,0)))</f>
        <v/>
      </c>
      <c r="O391" s="8">
        <f>IF(ISNA(MATCH(382,'Transfer Engine'!$C$2:$C$1369,0)),"",HYPERLINK(INDEX('Compliance Database'!$O$2:$O$1369,MATCH(382,'Transfer Engine'!$C$2:$C$1369,0)),"Open PDF"))</f>
        <v/>
      </c>
    </row>
    <row r="392" ht="188" customHeight="1">
      <c r="A392" s="8">
        <f>IF(ISNA(MATCH(383,'Transfer Engine'!$C$2:$C$1369,0)),"",INDEX('Compliance Database'!$A$2:$A$1369,MATCH(383,'Transfer Engine'!$C$2:$C$1369,0)))</f>
        <v/>
      </c>
      <c r="B392" s="8">
        <f>IF(ISNA(MATCH(383,'Transfer Engine'!$C$2:$C$1369,0)),"",INDEX('Compliance Database'!$B$2:$B$1369,MATCH(383,'Transfer Engine'!$C$2:$C$1369,0)))</f>
        <v/>
      </c>
      <c r="C392" s="8">
        <f>IF(ISNA(MATCH(383,'Transfer Engine'!$C$2:$C$1369,0)),"",INDEX('Compliance Database'!$C$2:$C$1369,MATCH(383,'Transfer Engine'!$C$2:$C$1369,0)))</f>
        <v/>
      </c>
      <c r="D392" s="9">
        <f>IF(ISNA(MATCH(383,'Transfer Engine'!$C$2:$C$1369,0)),"",INDEX('Compliance Database'!$D$2:$D$1369,MATCH(383,'Transfer Engine'!$C$2:$C$1369,0)))</f>
        <v/>
      </c>
      <c r="E392" s="8">
        <f>IF(ISNA(MATCH(383,'Transfer Engine'!$C$2:$C$1369,0)),"",INDEX('Compliance Database'!$E$2:$E$1369,MATCH(383,'Transfer Engine'!$C$2:$C$1369,0)))</f>
        <v/>
      </c>
      <c r="F392" s="8">
        <f>IF(ISNA(MATCH(383,'Transfer Engine'!$C$2:$C$1369,0)),"",INDEX('Compliance Database'!$F$2:$F$1369,MATCH(383,'Transfer Engine'!$C$2:$C$1369,0)))</f>
        <v/>
      </c>
      <c r="G392" s="8">
        <f>IF(ISNA(MATCH(383,'Transfer Engine'!$C$2:$C$1369,0)),"",INDEX('Compliance Database'!$G$2:$G$1369,MATCH(383,'Transfer Engine'!$C$2:$C$1369,0)))</f>
        <v/>
      </c>
      <c r="H392" s="9">
        <f>IF(ISNA(MATCH(383,'Transfer Engine'!$C$2:$C$1369,0)),"",INDEX('Compliance Database'!$H$2:$H$1369,MATCH(383,'Transfer Engine'!$C$2:$C$1369,0)))</f>
        <v/>
      </c>
      <c r="I392" s="9">
        <f>IF(ISNA(MATCH(383,'Transfer Engine'!$C$2:$C$1369,0)),"",INDEX('Compliance Database'!$I$2:$I$1369,MATCH(383,'Transfer Engine'!$C$2:$C$1369,0)))</f>
        <v/>
      </c>
      <c r="J392" s="8">
        <f>IF(ISNA(MATCH(383,'Transfer Engine'!$C$2:$C$1369,0)),"",INDEX('Compliance Database'!$J$2:$J$1369,MATCH(383,'Transfer Engine'!$C$2:$C$1369,0)))</f>
        <v/>
      </c>
      <c r="K392" s="9">
        <f>IF(ISNA(MATCH(383,'Transfer Engine'!$C$2:$C$1369,0)),"",INDEX('Compliance Database'!$K$2:$K$1369,MATCH(383,'Transfer Engine'!$C$2:$C$1369,0)))</f>
        <v/>
      </c>
      <c r="L392" s="9">
        <f>IF(ISNA(MATCH(383,'Transfer Engine'!$C$2:$C$1369,0)),"",INDEX('Compliance Database'!$L$2:$L$1369,MATCH(383,'Transfer Engine'!$C$2:$C$1369,0)))</f>
        <v/>
      </c>
      <c r="M392" s="9">
        <f>IF(ISNA(MATCH(383,'Transfer Engine'!$C$2:$C$1369,0)),"",INDEX('Compliance Database'!$M$2:$M$1369,MATCH(383,'Transfer Engine'!$C$2:$C$1369,0)))</f>
        <v/>
      </c>
      <c r="N392" s="9">
        <f>IF(ISNA(MATCH(383,'Transfer Engine'!$C$2:$C$1369,0)),"",INDEX('Compliance Database'!$N$2:$N$1369,MATCH(383,'Transfer Engine'!$C$2:$C$1369,0)))</f>
        <v/>
      </c>
      <c r="O392" s="8">
        <f>IF(ISNA(MATCH(383,'Transfer Engine'!$C$2:$C$1369,0)),"",HYPERLINK(INDEX('Compliance Database'!$O$2:$O$1369,MATCH(383,'Transfer Engine'!$C$2:$C$1369,0)),"Open PDF"))</f>
        <v/>
      </c>
    </row>
    <row r="393" ht="188" customHeight="1">
      <c r="A393" s="8">
        <f>IF(ISNA(MATCH(384,'Transfer Engine'!$C$2:$C$1369,0)),"",INDEX('Compliance Database'!$A$2:$A$1369,MATCH(384,'Transfer Engine'!$C$2:$C$1369,0)))</f>
        <v/>
      </c>
      <c r="B393" s="8">
        <f>IF(ISNA(MATCH(384,'Transfer Engine'!$C$2:$C$1369,0)),"",INDEX('Compliance Database'!$B$2:$B$1369,MATCH(384,'Transfer Engine'!$C$2:$C$1369,0)))</f>
        <v/>
      </c>
      <c r="C393" s="8">
        <f>IF(ISNA(MATCH(384,'Transfer Engine'!$C$2:$C$1369,0)),"",INDEX('Compliance Database'!$C$2:$C$1369,MATCH(384,'Transfer Engine'!$C$2:$C$1369,0)))</f>
        <v/>
      </c>
      <c r="D393" s="9">
        <f>IF(ISNA(MATCH(384,'Transfer Engine'!$C$2:$C$1369,0)),"",INDEX('Compliance Database'!$D$2:$D$1369,MATCH(384,'Transfer Engine'!$C$2:$C$1369,0)))</f>
        <v/>
      </c>
      <c r="E393" s="8">
        <f>IF(ISNA(MATCH(384,'Transfer Engine'!$C$2:$C$1369,0)),"",INDEX('Compliance Database'!$E$2:$E$1369,MATCH(384,'Transfer Engine'!$C$2:$C$1369,0)))</f>
        <v/>
      </c>
      <c r="F393" s="8">
        <f>IF(ISNA(MATCH(384,'Transfer Engine'!$C$2:$C$1369,0)),"",INDEX('Compliance Database'!$F$2:$F$1369,MATCH(384,'Transfer Engine'!$C$2:$C$1369,0)))</f>
        <v/>
      </c>
      <c r="G393" s="8">
        <f>IF(ISNA(MATCH(384,'Transfer Engine'!$C$2:$C$1369,0)),"",INDEX('Compliance Database'!$G$2:$G$1369,MATCH(384,'Transfer Engine'!$C$2:$C$1369,0)))</f>
        <v/>
      </c>
      <c r="H393" s="9">
        <f>IF(ISNA(MATCH(384,'Transfer Engine'!$C$2:$C$1369,0)),"",INDEX('Compliance Database'!$H$2:$H$1369,MATCH(384,'Transfer Engine'!$C$2:$C$1369,0)))</f>
        <v/>
      </c>
      <c r="I393" s="9">
        <f>IF(ISNA(MATCH(384,'Transfer Engine'!$C$2:$C$1369,0)),"",INDEX('Compliance Database'!$I$2:$I$1369,MATCH(384,'Transfer Engine'!$C$2:$C$1369,0)))</f>
        <v/>
      </c>
      <c r="J393" s="8">
        <f>IF(ISNA(MATCH(384,'Transfer Engine'!$C$2:$C$1369,0)),"",INDEX('Compliance Database'!$J$2:$J$1369,MATCH(384,'Transfer Engine'!$C$2:$C$1369,0)))</f>
        <v/>
      </c>
      <c r="K393" s="9">
        <f>IF(ISNA(MATCH(384,'Transfer Engine'!$C$2:$C$1369,0)),"",INDEX('Compliance Database'!$K$2:$K$1369,MATCH(384,'Transfer Engine'!$C$2:$C$1369,0)))</f>
        <v/>
      </c>
      <c r="L393" s="9">
        <f>IF(ISNA(MATCH(384,'Transfer Engine'!$C$2:$C$1369,0)),"",INDEX('Compliance Database'!$L$2:$L$1369,MATCH(384,'Transfer Engine'!$C$2:$C$1369,0)))</f>
        <v/>
      </c>
      <c r="M393" s="9">
        <f>IF(ISNA(MATCH(384,'Transfer Engine'!$C$2:$C$1369,0)),"",INDEX('Compliance Database'!$M$2:$M$1369,MATCH(384,'Transfer Engine'!$C$2:$C$1369,0)))</f>
        <v/>
      </c>
      <c r="N393" s="9">
        <f>IF(ISNA(MATCH(384,'Transfer Engine'!$C$2:$C$1369,0)),"",INDEX('Compliance Database'!$N$2:$N$1369,MATCH(384,'Transfer Engine'!$C$2:$C$1369,0)))</f>
        <v/>
      </c>
      <c r="O393" s="8">
        <f>IF(ISNA(MATCH(384,'Transfer Engine'!$C$2:$C$1369,0)),"",HYPERLINK(INDEX('Compliance Database'!$O$2:$O$1369,MATCH(384,'Transfer Engine'!$C$2:$C$1369,0)),"Open PDF"))</f>
        <v/>
      </c>
    </row>
    <row r="394" ht="188" customHeight="1">
      <c r="A394" s="8">
        <f>IF(ISNA(MATCH(385,'Transfer Engine'!$C$2:$C$1369,0)),"",INDEX('Compliance Database'!$A$2:$A$1369,MATCH(385,'Transfer Engine'!$C$2:$C$1369,0)))</f>
        <v/>
      </c>
      <c r="B394" s="8">
        <f>IF(ISNA(MATCH(385,'Transfer Engine'!$C$2:$C$1369,0)),"",INDEX('Compliance Database'!$B$2:$B$1369,MATCH(385,'Transfer Engine'!$C$2:$C$1369,0)))</f>
        <v/>
      </c>
      <c r="C394" s="8">
        <f>IF(ISNA(MATCH(385,'Transfer Engine'!$C$2:$C$1369,0)),"",INDEX('Compliance Database'!$C$2:$C$1369,MATCH(385,'Transfer Engine'!$C$2:$C$1369,0)))</f>
        <v/>
      </c>
      <c r="D394" s="9">
        <f>IF(ISNA(MATCH(385,'Transfer Engine'!$C$2:$C$1369,0)),"",INDEX('Compliance Database'!$D$2:$D$1369,MATCH(385,'Transfer Engine'!$C$2:$C$1369,0)))</f>
        <v/>
      </c>
      <c r="E394" s="8">
        <f>IF(ISNA(MATCH(385,'Transfer Engine'!$C$2:$C$1369,0)),"",INDEX('Compliance Database'!$E$2:$E$1369,MATCH(385,'Transfer Engine'!$C$2:$C$1369,0)))</f>
        <v/>
      </c>
      <c r="F394" s="8">
        <f>IF(ISNA(MATCH(385,'Transfer Engine'!$C$2:$C$1369,0)),"",INDEX('Compliance Database'!$F$2:$F$1369,MATCH(385,'Transfer Engine'!$C$2:$C$1369,0)))</f>
        <v/>
      </c>
      <c r="G394" s="8">
        <f>IF(ISNA(MATCH(385,'Transfer Engine'!$C$2:$C$1369,0)),"",INDEX('Compliance Database'!$G$2:$G$1369,MATCH(385,'Transfer Engine'!$C$2:$C$1369,0)))</f>
        <v/>
      </c>
      <c r="H394" s="9">
        <f>IF(ISNA(MATCH(385,'Transfer Engine'!$C$2:$C$1369,0)),"",INDEX('Compliance Database'!$H$2:$H$1369,MATCH(385,'Transfer Engine'!$C$2:$C$1369,0)))</f>
        <v/>
      </c>
      <c r="I394" s="9">
        <f>IF(ISNA(MATCH(385,'Transfer Engine'!$C$2:$C$1369,0)),"",INDEX('Compliance Database'!$I$2:$I$1369,MATCH(385,'Transfer Engine'!$C$2:$C$1369,0)))</f>
        <v/>
      </c>
      <c r="J394" s="8">
        <f>IF(ISNA(MATCH(385,'Transfer Engine'!$C$2:$C$1369,0)),"",INDEX('Compliance Database'!$J$2:$J$1369,MATCH(385,'Transfer Engine'!$C$2:$C$1369,0)))</f>
        <v/>
      </c>
      <c r="K394" s="9">
        <f>IF(ISNA(MATCH(385,'Transfer Engine'!$C$2:$C$1369,0)),"",INDEX('Compliance Database'!$K$2:$K$1369,MATCH(385,'Transfer Engine'!$C$2:$C$1369,0)))</f>
        <v/>
      </c>
      <c r="L394" s="9">
        <f>IF(ISNA(MATCH(385,'Transfer Engine'!$C$2:$C$1369,0)),"",INDEX('Compliance Database'!$L$2:$L$1369,MATCH(385,'Transfer Engine'!$C$2:$C$1369,0)))</f>
        <v/>
      </c>
      <c r="M394" s="9">
        <f>IF(ISNA(MATCH(385,'Transfer Engine'!$C$2:$C$1369,0)),"",INDEX('Compliance Database'!$M$2:$M$1369,MATCH(385,'Transfer Engine'!$C$2:$C$1369,0)))</f>
        <v/>
      </c>
      <c r="N394" s="9">
        <f>IF(ISNA(MATCH(385,'Transfer Engine'!$C$2:$C$1369,0)),"",INDEX('Compliance Database'!$N$2:$N$1369,MATCH(385,'Transfer Engine'!$C$2:$C$1369,0)))</f>
        <v/>
      </c>
      <c r="O394" s="8">
        <f>IF(ISNA(MATCH(385,'Transfer Engine'!$C$2:$C$1369,0)),"",HYPERLINK(INDEX('Compliance Database'!$O$2:$O$1369,MATCH(385,'Transfer Engine'!$C$2:$C$1369,0)),"Open PDF"))</f>
        <v/>
      </c>
    </row>
    <row r="395" ht="188" customHeight="1">
      <c r="A395" s="8">
        <f>IF(ISNA(MATCH(386,'Transfer Engine'!$C$2:$C$1369,0)),"",INDEX('Compliance Database'!$A$2:$A$1369,MATCH(386,'Transfer Engine'!$C$2:$C$1369,0)))</f>
        <v/>
      </c>
      <c r="B395" s="8">
        <f>IF(ISNA(MATCH(386,'Transfer Engine'!$C$2:$C$1369,0)),"",INDEX('Compliance Database'!$B$2:$B$1369,MATCH(386,'Transfer Engine'!$C$2:$C$1369,0)))</f>
        <v/>
      </c>
      <c r="C395" s="8">
        <f>IF(ISNA(MATCH(386,'Transfer Engine'!$C$2:$C$1369,0)),"",INDEX('Compliance Database'!$C$2:$C$1369,MATCH(386,'Transfer Engine'!$C$2:$C$1369,0)))</f>
        <v/>
      </c>
      <c r="D395" s="9">
        <f>IF(ISNA(MATCH(386,'Transfer Engine'!$C$2:$C$1369,0)),"",INDEX('Compliance Database'!$D$2:$D$1369,MATCH(386,'Transfer Engine'!$C$2:$C$1369,0)))</f>
        <v/>
      </c>
      <c r="E395" s="8">
        <f>IF(ISNA(MATCH(386,'Transfer Engine'!$C$2:$C$1369,0)),"",INDEX('Compliance Database'!$E$2:$E$1369,MATCH(386,'Transfer Engine'!$C$2:$C$1369,0)))</f>
        <v/>
      </c>
      <c r="F395" s="8">
        <f>IF(ISNA(MATCH(386,'Transfer Engine'!$C$2:$C$1369,0)),"",INDEX('Compliance Database'!$F$2:$F$1369,MATCH(386,'Transfer Engine'!$C$2:$C$1369,0)))</f>
        <v/>
      </c>
      <c r="G395" s="8">
        <f>IF(ISNA(MATCH(386,'Transfer Engine'!$C$2:$C$1369,0)),"",INDEX('Compliance Database'!$G$2:$G$1369,MATCH(386,'Transfer Engine'!$C$2:$C$1369,0)))</f>
        <v/>
      </c>
      <c r="H395" s="9">
        <f>IF(ISNA(MATCH(386,'Transfer Engine'!$C$2:$C$1369,0)),"",INDEX('Compliance Database'!$H$2:$H$1369,MATCH(386,'Transfer Engine'!$C$2:$C$1369,0)))</f>
        <v/>
      </c>
      <c r="I395" s="9">
        <f>IF(ISNA(MATCH(386,'Transfer Engine'!$C$2:$C$1369,0)),"",INDEX('Compliance Database'!$I$2:$I$1369,MATCH(386,'Transfer Engine'!$C$2:$C$1369,0)))</f>
        <v/>
      </c>
      <c r="J395" s="8">
        <f>IF(ISNA(MATCH(386,'Transfer Engine'!$C$2:$C$1369,0)),"",INDEX('Compliance Database'!$J$2:$J$1369,MATCH(386,'Transfer Engine'!$C$2:$C$1369,0)))</f>
        <v/>
      </c>
      <c r="K395" s="9">
        <f>IF(ISNA(MATCH(386,'Transfer Engine'!$C$2:$C$1369,0)),"",INDEX('Compliance Database'!$K$2:$K$1369,MATCH(386,'Transfer Engine'!$C$2:$C$1369,0)))</f>
        <v/>
      </c>
      <c r="L395" s="9">
        <f>IF(ISNA(MATCH(386,'Transfer Engine'!$C$2:$C$1369,0)),"",INDEX('Compliance Database'!$L$2:$L$1369,MATCH(386,'Transfer Engine'!$C$2:$C$1369,0)))</f>
        <v/>
      </c>
      <c r="M395" s="9">
        <f>IF(ISNA(MATCH(386,'Transfer Engine'!$C$2:$C$1369,0)),"",INDEX('Compliance Database'!$M$2:$M$1369,MATCH(386,'Transfer Engine'!$C$2:$C$1369,0)))</f>
        <v/>
      </c>
      <c r="N395" s="9">
        <f>IF(ISNA(MATCH(386,'Transfer Engine'!$C$2:$C$1369,0)),"",INDEX('Compliance Database'!$N$2:$N$1369,MATCH(386,'Transfer Engine'!$C$2:$C$1369,0)))</f>
        <v/>
      </c>
      <c r="O395" s="8">
        <f>IF(ISNA(MATCH(386,'Transfer Engine'!$C$2:$C$1369,0)),"",HYPERLINK(INDEX('Compliance Database'!$O$2:$O$1369,MATCH(386,'Transfer Engine'!$C$2:$C$1369,0)),"Open PDF"))</f>
        <v/>
      </c>
    </row>
    <row r="396" ht="188" customHeight="1">
      <c r="A396" s="8">
        <f>IF(ISNA(MATCH(387,'Transfer Engine'!$C$2:$C$1369,0)),"",INDEX('Compliance Database'!$A$2:$A$1369,MATCH(387,'Transfer Engine'!$C$2:$C$1369,0)))</f>
        <v/>
      </c>
      <c r="B396" s="8">
        <f>IF(ISNA(MATCH(387,'Transfer Engine'!$C$2:$C$1369,0)),"",INDEX('Compliance Database'!$B$2:$B$1369,MATCH(387,'Transfer Engine'!$C$2:$C$1369,0)))</f>
        <v/>
      </c>
      <c r="C396" s="8">
        <f>IF(ISNA(MATCH(387,'Transfer Engine'!$C$2:$C$1369,0)),"",INDEX('Compliance Database'!$C$2:$C$1369,MATCH(387,'Transfer Engine'!$C$2:$C$1369,0)))</f>
        <v/>
      </c>
      <c r="D396" s="9">
        <f>IF(ISNA(MATCH(387,'Transfer Engine'!$C$2:$C$1369,0)),"",INDEX('Compliance Database'!$D$2:$D$1369,MATCH(387,'Transfer Engine'!$C$2:$C$1369,0)))</f>
        <v/>
      </c>
      <c r="E396" s="8">
        <f>IF(ISNA(MATCH(387,'Transfer Engine'!$C$2:$C$1369,0)),"",INDEX('Compliance Database'!$E$2:$E$1369,MATCH(387,'Transfer Engine'!$C$2:$C$1369,0)))</f>
        <v/>
      </c>
      <c r="F396" s="8">
        <f>IF(ISNA(MATCH(387,'Transfer Engine'!$C$2:$C$1369,0)),"",INDEX('Compliance Database'!$F$2:$F$1369,MATCH(387,'Transfer Engine'!$C$2:$C$1369,0)))</f>
        <v/>
      </c>
      <c r="G396" s="8">
        <f>IF(ISNA(MATCH(387,'Transfer Engine'!$C$2:$C$1369,0)),"",INDEX('Compliance Database'!$G$2:$G$1369,MATCH(387,'Transfer Engine'!$C$2:$C$1369,0)))</f>
        <v/>
      </c>
      <c r="H396" s="9">
        <f>IF(ISNA(MATCH(387,'Transfer Engine'!$C$2:$C$1369,0)),"",INDEX('Compliance Database'!$H$2:$H$1369,MATCH(387,'Transfer Engine'!$C$2:$C$1369,0)))</f>
        <v/>
      </c>
      <c r="I396" s="9">
        <f>IF(ISNA(MATCH(387,'Transfer Engine'!$C$2:$C$1369,0)),"",INDEX('Compliance Database'!$I$2:$I$1369,MATCH(387,'Transfer Engine'!$C$2:$C$1369,0)))</f>
        <v/>
      </c>
      <c r="J396" s="8">
        <f>IF(ISNA(MATCH(387,'Transfer Engine'!$C$2:$C$1369,0)),"",INDEX('Compliance Database'!$J$2:$J$1369,MATCH(387,'Transfer Engine'!$C$2:$C$1369,0)))</f>
        <v/>
      </c>
      <c r="K396" s="9">
        <f>IF(ISNA(MATCH(387,'Transfer Engine'!$C$2:$C$1369,0)),"",INDEX('Compliance Database'!$K$2:$K$1369,MATCH(387,'Transfer Engine'!$C$2:$C$1369,0)))</f>
        <v/>
      </c>
      <c r="L396" s="9">
        <f>IF(ISNA(MATCH(387,'Transfer Engine'!$C$2:$C$1369,0)),"",INDEX('Compliance Database'!$L$2:$L$1369,MATCH(387,'Transfer Engine'!$C$2:$C$1369,0)))</f>
        <v/>
      </c>
      <c r="M396" s="9">
        <f>IF(ISNA(MATCH(387,'Transfer Engine'!$C$2:$C$1369,0)),"",INDEX('Compliance Database'!$M$2:$M$1369,MATCH(387,'Transfer Engine'!$C$2:$C$1369,0)))</f>
        <v/>
      </c>
      <c r="N396" s="9">
        <f>IF(ISNA(MATCH(387,'Transfer Engine'!$C$2:$C$1369,0)),"",INDEX('Compliance Database'!$N$2:$N$1369,MATCH(387,'Transfer Engine'!$C$2:$C$1369,0)))</f>
        <v/>
      </c>
      <c r="O396" s="8">
        <f>IF(ISNA(MATCH(387,'Transfer Engine'!$C$2:$C$1369,0)),"",HYPERLINK(INDEX('Compliance Database'!$O$2:$O$1369,MATCH(387,'Transfer Engine'!$C$2:$C$1369,0)),"Open PDF"))</f>
        <v/>
      </c>
    </row>
    <row r="397" ht="188" customHeight="1">
      <c r="A397" s="8">
        <f>IF(ISNA(MATCH(388,'Transfer Engine'!$C$2:$C$1369,0)),"",INDEX('Compliance Database'!$A$2:$A$1369,MATCH(388,'Transfer Engine'!$C$2:$C$1369,0)))</f>
        <v/>
      </c>
      <c r="B397" s="8">
        <f>IF(ISNA(MATCH(388,'Transfer Engine'!$C$2:$C$1369,0)),"",INDEX('Compliance Database'!$B$2:$B$1369,MATCH(388,'Transfer Engine'!$C$2:$C$1369,0)))</f>
        <v/>
      </c>
      <c r="C397" s="8">
        <f>IF(ISNA(MATCH(388,'Transfer Engine'!$C$2:$C$1369,0)),"",INDEX('Compliance Database'!$C$2:$C$1369,MATCH(388,'Transfer Engine'!$C$2:$C$1369,0)))</f>
        <v/>
      </c>
      <c r="D397" s="9">
        <f>IF(ISNA(MATCH(388,'Transfer Engine'!$C$2:$C$1369,0)),"",INDEX('Compliance Database'!$D$2:$D$1369,MATCH(388,'Transfer Engine'!$C$2:$C$1369,0)))</f>
        <v/>
      </c>
      <c r="E397" s="8">
        <f>IF(ISNA(MATCH(388,'Transfer Engine'!$C$2:$C$1369,0)),"",INDEX('Compliance Database'!$E$2:$E$1369,MATCH(388,'Transfer Engine'!$C$2:$C$1369,0)))</f>
        <v/>
      </c>
      <c r="F397" s="8">
        <f>IF(ISNA(MATCH(388,'Transfer Engine'!$C$2:$C$1369,0)),"",INDEX('Compliance Database'!$F$2:$F$1369,MATCH(388,'Transfer Engine'!$C$2:$C$1369,0)))</f>
        <v/>
      </c>
      <c r="G397" s="8">
        <f>IF(ISNA(MATCH(388,'Transfer Engine'!$C$2:$C$1369,0)),"",INDEX('Compliance Database'!$G$2:$G$1369,MATCH(388,'Transfer Engine'!$C$2:$C$1369,0)))</f>
        <v/>
      </c>
      <c r="H397" s="9">
        <f>IF(ISNA(MATCH(388,'Transfer Engine'!$C$2:$C$1369,0)),"",INDEX('Compliance Database'!$H$2:$H$1369,MATCH(388,'Transfer Engine'!$C$2:$C$1369,0)))</f>
        <v/>
      </c>
      <c r="I397" s="9">
        <f>IF(ISNA(MATCH(388,'Transfer Engine'!$C$2:$C$1369,0)),"",INDEX('Compliance Database'!$I$2:$I$1369,MATCH(388,'Transfer Engine'!$C$2:$C$1369,0)))</f>
        <v/>
      </c>
      <c r="J397" s="8">
        <f>IF(ISNA(MATCH(388,'Transfer Engine'!$C$2:$C$1369,0)),"",INDEX('Compliance Database'!$J$2:$J$1369,MATCH(388,'Transfer Engine'!$C$2:$C$1369,0)))</f>
        <v/>
      </c>
      <c r="K397" s="9">
        <f>IF(ISNA(MATCH(388,'Transfer Engine'!$C$2:$C$1369,0)),"",INDEX('Compliance Database'!$K$2:$K$1369,MATCH(388,'Transfer Engine'!$C$2:$C$1369,0)))</f>
        <v/>
      </c>
      <c r="L397" s="9">
        <f>IF(ISNA(MATCH(388,'Transfer Engine'!$C$2:$C$1369,0)),"",INDEX('Compliance Database'!$L$2:$L$1369,MATCH(388,'Transfer Engine'!$C$2:$C$1369,0)))</f>
        <v/>
      </c>
      <c r="M397" s="9">
        <f>IF(ISNA(MATCH(388,'Transfer Engine'!$C$2:$C$1369,0)),"",INDEX('Compliance Database'!$M$2:$M$1369,MATCH(388,'Transfer Engine'!$C$2:$C$1369,0)))</f>
        <v/>
      </c>
      <c r="N397" s="9">
        <f>IF(ISNA(MATCH(388,'Transfer Engine'!$C$2:$C$1369,0)),"",INDEX('Compliance Database'!$N$2:$N$1369,MATCH(388,'Transfer Engine'!$C$2:$C$1369,0)))</f>
        <v/>
      </c>
      <c r="O397" s="8">
        <f>IF(ISNA(MATCH(388,'Transfer Engine'!$C$2:$C$1369,0)),"",HYPERLINK(INDEX('Compliance Database'!$O$2:$O$1369,MATCH(388,'Transfer Engine'!$C$2:$C$1369,0)),"Open PDF"))</f>
        <v/>
      </c>
    </row>
    <row r="398" ht="188" customHeight="1">
      <c r="A398" s="8">
        <f>IF(ISNA(MATCH(389,'Transfer Engine'!$C$2:$C$1369,0)),"",INDEX('Compliance Database'!$A$2:$A$1369,MATCH(389,'Transfer Engine'!$C$2:$C$1369,0)))</f>
        <v/>
      </c>
      <c r="B398" s="8">
        <f>IF(ISNA(MATCH(389,'Transfer Engine'!$C$2:$C$1369,0)),"",INDEX('Compliance Database'!$B$2:$B$1369,MATCH(389,'Transfer Engine'!$C$2:$C$1369,0)))</f>
        <v/>
      </c>
      <c r="C398" s="8">
        <f>IF(ISNA(MATCH(389,'Transfer Engine'!$C$2:$C$1369,0)),"",INDEX('Compliance Database'!$C$2:$C$1369,MATCH(389,'Transfer Engine'!$C$2:$C$1369,0)))</f>
        <v/>
      </c>
      <c r="D398" s="9">
        <f>IF(ISNA(MATCH(389,'Transfer Engine'!$C$2:$C$1369,0)),"",INDEX('Compliance Database'!$D$2:$D$1369,MATCH(389,'Transfer Engine'!$C$2:$C$1369,0)))</f>
        <v/>
      </c>
      <c r="E398" s="8">
        <f>IF(ISNA(MATCH(389,'Transfer Engine'!$C$2:$C$1369,0)),"",INDEX('Compliance Database'!$E$2:$E$1369,MATCH(389,'Transfer Engine'!$C$2:$C$1369,0)))</f>
        <v/>
      </c>
      <c r="F398" s="8">
        <f>IF(ISNA(MATCH(389,'Transfer Engine'!$C$2:$C$1369,0)),"",INDEX('Compliance Database'!$F$2:$F$1369,MATCH(389,'Transfer Engine'!$C$2:$C$1369,0)))</f>
        <v/>
      </c>
      <c r="G398" s="8">
        <f>IF(ISNA(MATCH(389,'Transfer Engine'!$C$2:$C$1369,0)),"",INDEX('Compliance Database'!$G$2:$G$1369,MATCH(389,'Transfer Engine'!$C$2:$C$1369,0)))</f>
        <v/>
      </c>
      <c r="H398" s="9">
        <f>IF(ISNA(MATCH(389,'Transfer Engine'!$C$2:$C$1369,0)),"",INDEX('Compliance Database'!$H$2:$H$1369,MATCH(389,'Transfer Engine'!$C$2:$C$1369,0)))</f>
        <v/>
      </c>
      <c r="I398" s="9">
        <f>IF(ISNA(MATCH(389,'Transfer Engine'!$C$2:$C$1369,0)),"",INDEX('Compliance Database'!$I$2:$I$1369,MATCH(389,'Transfer Engine'!$C$2:$C$1369,0)))</f>
        <v/>
      </c>
      <c r="J398" s="8">
        <f>IF(ISNA(MATCH(389,'Transfer Engine'!$C$2:$C$1369,0)),"",INDEX('Compliance Database'!$J$2:$J$1369,MATCH(389,'Transfer Engine'!$C$2:$C$1369,0)))</f>
        <v/>
      </c>
      <c r="K398" s="9">
        <f>IF(ISNA(MATCH(389,'Transfer Engine'!$C$2:$C$1369,0)),"",INDEX('Compliance Database'!$K$2:$K$1369,MATCH(389,'Transfer Engine'!$C$2:$C$1369,0)))</f>
        <v/>
      </c>
      <c r="L398" s="9">
        <f>IF(ISNA(MATCH(389,'Transfer Engine'!$C$2:$C$1369,0)),"",INDEX('Compliance Database'!$L$2:$L$1369,MATCH(389,'Transfer Engine'!$C$2:$C$1369,0)))</f>
        <v/>
      </c>
      <c r="M398" s="9">
        <f>IF(ISNA(MATCH(389,'Transfer Engine'!$C$2:$C$1369,0)),"",INDEX('Compliance Database'!$M$2:$M$1369,MATCH(389,'Transfer Engine'!$C$2:$C$1369,0)))</f>
        <v/>
      </c>
      <c r="N398" s="9">
        <f>IF(ISNA(MATCH(389,'Transfer Engine'!$C$2:$C$1369,0)),"",INDEX('Compliance Database'!$N$2:$N$1369,MATCH(389,'Transfer Engine'!$C$2:$C$1369,0)))</f>
        <v/>
      </c>
      <c r="O398" s="8">
        <f>IF(ISNA(MATCH(389,'Transfer Engine'!$C$2:$C$1369,0)),"",HYPERLINK(INDEX('Compliance Database'!$O$2:$O$1369,MATCH(389,'Transfer Engine'!$C$2:$C$1369,0)),"Open PDF"))</f>
        <v/>
      </c>
    </row>
    <row r="399" ht="188" customHeight="1">
      <c r="A399" s="8">
        <f>IF(ISNA(MATCH(390,'Transfer Engine'!$C$2:$C$1369,0)),"",INDEX('Compliance Database'!$A$2:$A$1369,MATCH(390,'Transfer Engine'!$C$2:$C$1369,0)))</f>
        <v/>
      </c>
      <c r="B399" s="8">
        <f>IF(ISNA(MATCH(390,'Transfer Engine'!$C$2:$C$1369,0)),"",INDEX('Compliance Database'!$B$2:$B$1369,MATCH(390,'Transfer Engine'!$C$2:$C$1369,0)))</f>
        <v/>
      </c>
      <c r="C399" s="8">
        <f>IF(ISNA(MATCH(390,'Transfer Engine'!$C$2:$C$1369,0)),"",INDEX('Compliance Database'!$C$2:$C$1369,MATCH(390,'Transfer Engine'!$C$2:$C$1369,0)))</f>
        <v/>
      </c>
      <c r="D399" s="9">
        <f>IF(ISNA(MATCH(390,'Transfer Engine'!$C$2:$C$1369,0)),"",INDEX('Compliance Database'!$D$2:$D$1369,MATCH(390,'Transfer Engine'!$C$2:$C$1369,0)))</f>
        <v/>
      </c>
      <c r="E399" s="8">
        <f>IF(ISNA(MATCH(390,'Transfer Engine'!$C$2:$C$1369,0)),"",INDEX('Compliance Database'!$E$2:$E$1369,MATCH(390,'Transfer Engine'!$C$2:$C$1369,0)))</f>
        <v/>
      </c>
      <c r="F399" s="8">
        <f>IF(ISNA(MATCH(390,'Transfer Engine'!$C$2:$C$1369,0)),"",INDEX('Compliance Database'!$F$2:$F$1369,MATCH(390,'Transfer Engine'!$C$2:$C$1369,0)))</f>
        <v/>
      </c>
      <c r="G399" s="8">
        <f>IF(ISNA(MATCH(390,'Transfer Engine'!$C$2:$C$1369,0)),"",INDEX('Compliance Database'!$G$2:$G$1369,MATCH(390,'Transfer Engine'!$C$2:$C$1369,0)))</f>
        <v/>
      </c>
      <c r="H399" s="9">
        <f>IF(ISNA(MATCH(390,'Transfer Engine'!$C$2:$C$1369,0)),"",INDEX('Compliance Database'!$H$2:$H$1369,MATCH(390,'Transfer Engine'!$C$2:$C$1369,0)))</f>
        <v/>
      </c>
      <c r="I399" s="9">
        <f>IF(ISNA(MATCH(390,'Transfer Engine'!$C$2:$C$1369,0)),"",INDEX('Compliance Database'!$I$2:$I$1369,MATCH(390,'Transfer Engine'!$C$2:$C$1369,0)))</f>
        <v/>
      </c>
      <c r="J399" s="8">
        <f>IF(ISNA(MATCH(390,'Transfer Engine'!$C$2:$C$1369,0)),"",INDEX('Compliance Database'!$J$2:$J$1369,MATCH(390,'Transfer Engine'!$C$2:$C$1369,0)))</f>
        <v/>
      </c>
      <c r="K399" s="9">
        <f>IF(ISNA(MATCH(390,'Transfer Engine'!$C$2:$C$1369,0)),"",INDEX('Compliance Database'!$K$2:$K$1369,MATCH(390,'Transfer Engine'!$C$2:$C$1369,0)))</f>
        <v/>
      </c>
      <c r="L399" s="9">
        <f>IF(ISNA(MATCH(390,'Transfer Engine'!$C$2:$C$1369,0)),"",INDEX('Compliance Database'!$L$2:$L$1369,MATCH(390,'Transfer Engine'!$C$2:$C$1369,0)))</f>
        <v/>
      </c>
      <c r="M399" s="9">
        <f>IF(ISNA(MATCH(390,'Transfer Engine'!$C$2:$C$1369,0)),"",INDEX('Compliance Database'!$M$2:$M$1369,MATCH(390,'Transfer Engine'!$C$2:$C$1369,0)))</f>
        <v/>
      </c>
      <c r="N399" s="9">
        <f>IF(ISNA(MATCH(390,'Transfer Engine'!$C$2:$C$1369,0)),"",INDEX('Compliance Database'!$N$2:$N$1369,MATCH(390,'Transfer Engine'!$C$2:$C$1369,0)))</f>
        <v/>
      </c>
      <c r="O399" s="8">
        <f>IF(ISNA(MATCH(390,'Transfer Engine'!$C$2:$C$1369,0)),"",HYPERLINK(INDEX('Compliance Database'!$O$2:$O$1369,MATCH(390,'Transfer Engine'!$C$2:$C$1369,0)),"Open PDF"))</f>
        <v/>
      </c>
    </row>
    <row r="400" ht="188" customHeight="1">
      <c r="A400" s="8">
        <f>IF(ISNA(MATCH(391,'Transfer Engine'!$C$2:$C$1369,0)),"",INDEX('Compliance Database'!$A$2:$A$1369,MATCH(391,'Transfer Engine'!$C$2:$C$1369,0)))</f>
        <v/>
      </c>
      <c r="B400" s="8">
        <f>IF(ISNA(MATCH(391,'Transfer Engine'!$C$2:$C$1369,0)),"",INDEX('Compliance Database'!$B$2:$B$1369,MATCH(391,'Transfer Engine'!$C$2:$C$1369,0)))</f>
        <v/>
      </c>
      <c r="C400" s="8">
        <f>IF(ISNA(MATCH(391,'Transfer Engine'!$C$2:$C$1369,0)),"",INDEX('Compliance Database'!$C$2:$C$1369,MATCH(391,'Transfer Engine'!$C$2:$C$1369,0)))</f>
        <v/>
      </c>
      <c r="D400" s="9">
        <f>IF(ISNA(MATCH(391,'Transfer Engine'!$C$2:$C$1369,0)),"",INDEX('Compliance Database'!$D$2:$D$1369,MATCH(391,'Transfer Engine'!$C$2:$C$1369,0)))</f>
        <v/>
      </c>
      <c r="E400" s="8">
        <f>IF(ISNA(MATCH(391,'Transfer Engine'!$C$2:$C$1369,0)),"",INDEX('Compliance Database'!$E$2:$E$1369,MATCH(391,'Transfer Engine'!$C$2:$C$1369,0)))</f>
        <v/>
      </c>
      <c r="F400" s="8">
        <f>IF(ISNA(MATCH(391,'Transfer Engine'!$C$2:$C$1369,0)),"",INDEX('Compliance Database'!$F$2:$F$1369,MATCH(391,'Transfer Engine'!$C$2:$C$1369,0)))</f>
        <v/>
      </c>
      <c r="G400" s="8">
        <f>IF(ISNA(MATCH(391,'Transfer Engine'!$C$2:$C$1369,0)),"",INDEX('Compliance Database'!$G$2:$G$1369,MATCH(391,'Transfer Engine'!$C$2:$C$1369,0)))</f>
        <v/>
      </c>
      <c r="H400" s="9">
        <f>IF(ISNA(MATCH(391,'Transfer Engine'!$C$2:$C$1369,0)),"",INDEX('Compliance Database'!$H$2:$H$1369,MATCH(391,'Transfer Engine'!$C$2:$C$1369,0)))</f>
        <v/>
      </c>
      <c r="I400" s="9">
        <f>IF(ISNA(MATCH(391,'Transfer Engine'!$C$2:$C$1369,0)),"",INDEX('Compliance Database'!$I$2:$I$1369,MATCH(391,'Transfer Engine'!$C$2:$C$1369,0)))</f>
        <v/>
      </c>
      <c r="J400" s="8">
        <f>IF(ISNA(MATCH(391,'Transfer Engine'!$C$2:$C$1369,0)),"",INDEX('Compliance Database'!$J$2:$J$1369,MATCH(391,'Transfer Engine'!$C$2:$C$1369,0)))</f>
        <v/>
      </c>
      <c r="K400" s="9">
        <f>IF(ISNA(MATCH(391,'Transfer Engine'!$C$2:$C$1369,0)),"",INDEX('Compliance Database'!$K$2:$K$1369,MATCH(391,'Transfer Engine'!$C$2:$C$1369,0)))</f>
        <v/>
      </c>
      <c r="L400" s="9">
        <f>IF(ISNA(MATCH(391,'Transfer Engine'!$C$2:$C$1369,0)),"",INDEX('Compliance Database'!$L$2:$L$1369,MATCH(391,'Transfer Engine'!$C$2:$C$1369,0)))</f>
        <v/>
      </c>
      <c r="M400" s="9">
        <f>IF(ISNA(MATCH(391,'Transfer Engine'!$C$2:$C$1369,0)),"",INDEX('Compliance Database'!$M$2:$M$1369,MATCH(391,'Transfer Engine'!$C$2:$C$1369,0)))</f>
        <v/>
      </c>
      <c r="N400" s="9">
        <f>IF(ISNA(MATCH(391,'Transfer Engine'!$C$2:$C$1369,0)),"",INDEX('Compliance Database'!$N$2:$N$1369,MATCH(391,'Transfer Engine'!$C$2:$C$1369,0)))</f>
        <v/>
      </c>
      <c r="O400" s="8">
        <f>IF(ISNA(MATCH(391,'Transfer Engine'!$C$2:$C$1369,0)),"",HYPERLINK(INDEX('Compliance Database'!$O$2:$O$1369,MATCH(391,'Transfer Engine'!$C$2:$C$1369,0)),"Open PDF"))</f>
        <v/>
      </c>
    </row>
    <row r="401" ht="188" customHeight="1">
      <c r="A401" s="8">
        <f>IF(ISNA(MATCH(392,'Transfer Engine'!$C$2:$C$1369,0)),"",INDEX('Compliance Database'!$A$2:$A$1369,MATCH(392,'Transfer Engine'!$C$2:$C$1369,0)))</f>
        <v/>
      </c>
      <c r="B401" s="8">
        <f>IF(ISNA(MATCH(392,'Transfer Engine'!$C$2:$C$1369,0)),"",INDEX('Compliance Database'!$B$2:$B$1369,MATCH(392,'Transfer Engine'!$C$2:$C$1369,0)))</f>
        <v/>
      </c>
      <c r="C401" s="8">
        <f>IF(ISNA(MATCH(392,'Transfer Engine'!$C$2:$C$1369,0)),"",INDEX('Compliance Database'!$C$2:$C$1369,MATCH(392,'Transfer Engine'!$C$2:$C$1369,0)))</f>
        <v/>
      </c>
      <c r="D401" s="9">
        <f>IF(ISNA(MATCH(392,'Transfer Engine'!$C$2:$C$1369,0)),"",INDEX('Compliance Database'!$D$2:$D$1369,MATCH(392,'Transfer Engine'!$C$2:$C$1369,0)))</f>
        <v/>
      </c>
      <c r="E401" s="8">
        <f>IF(ISNA(MATCH(392,'Transfer Engine'!$C$2:$C$1369,0)),"",INDEX('Compliance Database'!$E$2:$E$1369,MATCH(392,'Transfer Engine'!$C$2:$C$1369,0)))</f>
        <v/>
      </c>
      <c r="F401" s="8">
        <f>IF(ISNA(MATCH(392,'Transfer Engine'!$C$2:$C$1369,0)),"",INDEX('Compliance Database'!$F$2:$F$1369,MATCH(392,'Transfer Engine'!$C$2:$C$1369,0)))</f>
        <v/>
      </c>
      <c r="G401" s="8">
        <f>IF(ISNA(MATCH(392,'Transfer Engine'!$C$2:$C$1369,0)),"",INDEX('Compliance Database'!$G$2:$G$1369,MATCH(392,'Transfer Engine'!$C$2:$C$1369,0)))</f>
        <v/>
      </c>
      <c r="H401" s="9">
        <f>IF(ISNA(MATCH(392,'Transfer Engine'!$C$2:$C$1369,0)),"",INDEX('Compliance Database'!$H$2:$H$1369,MATCH(392,'Transfer Engine'!$C$2:$C$1369,0)))</f>
        <v/>
      </c>
      <c r="I401" s="9">
        <f>IF(ISNA(MATCH(392,'Transfer Engine'!$C$2:$C$1369,0)),"",INDEX('Compliance Database'!$I$2:$I$1369,MATCH(392,'Transfer Engine'!$C$2:$C$1369,0)))</f>
        <v/>
      </c>
      <c r="J401" s="8">
        <f>IF(ISNA(MATCH(392,'Transfer Engine'!$C$2:$C$1369,0)),"",INDEX('Compliance Database'!$J$2:$J$1369,MATCH(392,'Transfer Engine'!$C$2:$C$1369,0)))</f>
        <v/>
      </c>
      <c r="K401" s="9">
        <f>IF(ISNA(MATCH(392,'Transfer Engine'!$C$2:$C$1369,0)),"",INDEX('Compliance Database'!$K$2:$K$1369,MATCH(392,'Transfer Engine'!$C$2:$C$1369,0)))</f>
        <v/>
      </c>
      <c r="L401" s="9">
        <f>IF(ISNA(MATCH(392,'Transfer Engine'!$C$2:$C$1369,0)),"",INDEX('Compliance Database'!$L$2:$L$1369,MATCH(392,'Transfer Engine'!$C$2:$C$1369,0)))</f>
        <v/>
      </c>
      <c r="M401" s="9">
        <f>IF(ISNA(MATCH(392,'Transfer Engine'!$C$2:$C$1369,0)),"",INDEX('Compliance Database'!$M$2:$M$1369,MATCH(392,'Transfer Engine'!$C$2:$C$1369,0)))</f>
        <v/>
      </c>
      <c r="N401" s="9">
        <f>IF(ISNA(MATCH(392,'Transfer Engine'!$C$2:$C$1369,0)),"",INDEX('Compliance Database'!$N$2:$N$1369,MATCH(392,'Transfer Engine'!$C$2:$C$1369,0)))</f>
        <v/>
      </c>
      <c r="O401" s="8">
        <f>IF(ISNA(MATCH(392,'Transfer Engine'!$C$2:$C$1369,0)),"",HYPERLINK(INDEX('Compliance Database'!$O$2:$O$1369,MATCH(392,'Transfer Engine'!$C$2:$C$1369,0)),"Open PDF"))</f>
        <v/>
      </c>
    </row>
    <row r="402" ht="188" customHeight="1">
      <c r="A402" s="8">
        <f>IF(ISNA(MATCH(393,'Transfer Engine'!$C$2:$C$1369,0)),"",INDEX('Compliance Database'!$A$2:$A$1369,MATCH(393,'Transfer Engine'!$C$2:$C$1369,0)))</f>
        <v/>
      </c>
      <c r="B402" s="8">
        <f>IF(ISNA(MATCH(393,'Transfer Engine'!$C$2:$C$1369,0)),"",INDEX('Compliance Database'!$B$2:$B$1369,MATCH(393,'Transfer Engine'!$C$2:$C$1369,0)))</f>
        <v/>
      </c>
      <c r="C402" s="8">
        <f>IF(ISNA(MATCH(393,'Transfer Engine'!$C$2:$C$1369,0)),"",INDEX('Compliance Database'!$C$2:$C$1369,MATCH(393,'Transfer Engine'!$C$2:$C$1369,0)))</f>
        <v/>
      </c>
      <c r="D402" s="9">
        <f>IF(ISNA(MATCH(393,'Transfer Engine'!$C$2:$C$1369,0)),"",INDEX('Compliance Database'!$D$2:$D$1369,MATCH(393,'Transfer Engine'!$C$2:$C$1369,0)))</f>
        <v/>
      </c>
      <c r="E402" s="8">
        <f>IF(ISNA(MATCH(393,'Transfer Engine'!$C$2:$C$1369,0)),"",INDEX('Compliance Database'!$E$2:$E$1369,MATCH(393,'Transfer Engine'!$C$2:$C$1369,0)))</f>
        <v/>
      </c>
      <c r="F402" s="8">
        <f>IF(ISNA(MATCH(393,'Transfer Engine'!$C$2:$C$1369,0)),"",INDEX('Compliance Database'!$F$2:$F$1369,MATCH(393,'Transfer Engine'!$C$2:$C$1369,0)))</f>
        <v/>
      </c>
      <c r="G402" s="8">
        <f>IF(ISNA(MATCH(393,'Transfer Engine'!$C$2:$C$1369,0)),"",INDEX('Compliance Database'!$G$2:$G$1369,MATCH(393,'Transfer Engine'!$C$2:$C$1369,0)))</f>
        <v/>
      </c>
      <c r="H402" s="9">
        <f>IF(ISNA(MATCH(393,'Transfer Engine'!$C$2:$C$1369,0)),"",INDEX('Compliance Database'!$H$2:$H$1369,MATCH(393,'Transfer Engine'!$C$2:$C$1369,0)))</f>
        <v/>
      </c>
      <c r="I402" s="9">
        <f>IF(ISNA(MATCH(393,'Transfer Engine'!$C$2:$C$1369,0)),"",INDEX('Compliance Database'!$I$2:$I$1369,MATCH(393,'Transfer Engine'!$C$2:$C$1369,0)))</f>
        <v/>
      </c>
      <c r="J402" s="8">
        <f>IF(ISNA(MATCH(393,'Transfer Engine'!$C$2:$C$1369,0)),"",INDEX('Compliance Database'!$J$2:$J$1369,MATCH(393,'Transfer Engine'!$C$2:$C$1369,0)))</f>
        <v/>
      </c>
      <c r="K402" s="9">
        <f>IF(ISNA(MATCH(393,'Transfer Engine'!$C$2:$C$1369,0)),"",INDEX('Compliance Database'!$K$2:$K$1369,MATCH(393,'Transfer Engine'!$C$2:$C$1369,0)))</f>
        <v/>
      </c>
      <c r="L402" s="9">
        <f>IF(ISNA(MATCH(393,'Transfer Engine'!$C$2:$C$1369,0)),"",INDEX('Compliance Database'!$L$2:$L$1369,MATCH(393,'Transfer Engine'!$C$2:$C$1369,0)))</f>
        <v/>
      </c>
      <c r="M402" s="9">
        <f>IF(ISNA(MATCH(393,'Transfer Engine'!$C$2:$C$1369,0)),"",INDEX('Compliance Database'!$M$2:$M$1369,MATCH(393,'Transfer Engine'!$C$2:$C$1369,0)))</f>
        <v/>
      </c>
      <c r="N402" s="9">
        <f>IF(ISNA(MATCH(393,'Transfer Engine'!$C$2:$C$1369,0)),"",INDEX('Compliance Database'!$N$2:$N$1369,MATCH(393,'Transfer Engine'!$C$2:$C$1369,0)))</f>
        <v/>
      </c>
      <c r="O402" s="8">
        <f>IF(ISNA(MATCH(393,'Transfer Engine'!$C$2:$C$1369,0)),"",HYPERLINK(INDEX('Compliance Database'!$O$2:$O$1369,MATCH(393,'Transfer Engine'!$C$2:$C$1369,0)),"Open PDF"))</f>
        <v/>
      </c>
    </row>
    <row r="403" ht="188" customHeight="1">
      <c r="A403" s="8">
        <f>IF(ISNA(MATCH(394,'Transfer Engine'!$C$2:$C$1369,0)),"",INDEX('Compliance Database'!$A$2:$A$1369,MATCH(394,'Transfer Engine'!$C$2:$C$1369,0)))</f>
        <v/>
      </c>
      <c r="B403" s="8">
        <f>IF(ISNA(MATCH(394,'Transfer Engine'!$C$2:$C$1369,0)),"",INDEX('Compliance Database'!$B$2:$B$1369,MATCH(394,'Transfer Engine'!$C$2:$C$1369,0)))</f>
        <v/>
      </c>
      <c r="C403" s="8">
        <f>IF(ISNA(MATCH(394,'Transfer Engine'!$C$2:$C$1369,0)),"",INDEX('Compliance Database'!$C$2:$C$1369,MATCH(394,'Transfer Engine'!$C$2:$C$1369,0)))</f>
        <v/>
      </c>
      <c r="D403" s="9">
        <f>IF(ISNA(MATCH(394,'Transfer Engine'!$C$2:$C$1369,0)),"",INDEX('Compliance Database'!$D$2:$D$1369,MATCH(394,'Transfer Engine'!$C$2:$C$1369,0)))</f>
        <v/>
      </c>
      <c r="E403" s="8">
        <f>IF(ISNA(MATCH(394,'Transfer Engine'!$C$2:$C$1369,0)),"",INDEX('Compliance Database'!$E$2:$E$1369,MATCH(394,'Transfer Engine'!$C$2:$C$1369,0)))</f>
        <v/>
      </c>
      <c r="F403" s="8">
        <f>IF(ISNA(MATCH(394,'Transfer Engine'!$C$2:$C$1369,0)),"",INDEX('Compliance Database'!$F$2:$F$1369,MATCH(394,'Transfer Engine'!$C$2:$C$1369,0)))</f>
        <v/>
      </c>
      <c r="G403" s="8">
        <f>IF(ISNA(MATCH(394,'Transfer Engine'!$C$2:$C$1369,0)),"",INDEX('Compliance Database'!$G$2:$G$1369,MATCH(394,'Transfer Engine'!$C$2:$C$1369,0)))</f>
        <v/>
      </c>
      <c r="H403" s="9">
        <f>IF(ISNA(MATCH(394,'Transfer Engine'!$C$2:$C$1369,0)),"",INDEX('Compliance Database'!$H$2:$H$1369,MATCH(394,'Transfer Engine'!$C$2:$C$1369,0)))</f>
        <v/>
      </c>
      <c r="I403" s="9">
        <f>IF(ISNA(MATCH(394,'Transfer Engine'!$C$2:$C$1369,0)),"",INDEX('Compliance Database'!$I$2:$I$1369,MATCH(394,'Transfer Engine'!$C$2:$C$1369,0)))</f>
        <v/>
      </c>
      <c r="J403" s="8">
        <f>IF(ISNA(MATCH(394,'Transfer Engine'!$C$2:$C$1369,0)),"",INDEX('Compliance Database'!$J$2:$J$1369,MATCH(394,'Transfer Engine'!$C$2:$C$1369,0)))</f>
        <v/>
      </c>
      <c r="K403" s="9">
        <f>IF(ISNA(MATCH(394,'Transfer Engine'!$C$2:$C$1369,0)),"",INDEX('Compliance Database'!$K$2:$K$1369,MATCH(394,'Transfer Engine'!$C$2:$C$1369,0)))</f>
        <v/>
      </c>
      <c r="L403" s="9">
        <f>IF(ISNA(MATCH(394,'Transfer Engine'!$C$2:$C$1369,0)),"",INDEX('Compliance Database'!$L$2:$L$1369,MATCH(394,'Transfer Engine'!$C$2:$C$1369,0)))</f>
        <v/>
      </c>
      <c r="M403" s="9">
        <f>IF(ISNA(MATCH(394,'Transfer Engine'!$C$2:$C$1369,0)),"",INDEX('Compliance Database'!$M$2:$M$1369,MATCH(394,'Transfer Engine'!$C$2:$C$1369,0)))</f>
        <v/>
      </c>
      <c r="N403" s="9">
        <f>IF(ISNA(MATCH(394,'Transfer Engine'!$C$2:$C$1369,0)),"",INDEX('Compliance Database'!$N$2:$N$1369,MATCH(394,'Transfer Engine'!$C$2:$C$1369,0)))</f>
        <v/>
      </c>
      <c r="O403" s="8">
        <f>IF(ISNA(MATCH(394,'Transfer Engine'!$C$2:$C$1369,0)),"",HYPERLINK(INDEX('Compliance Database'!$O$2:$O$1369,MATCH(394,'Transfer Engine'!$C$2:$C$1369,0)),"Open PDF"))</f>
        <v/>
      </c>
    </row>
    <row r="404" ht="188" customHeight="1">
      <c r="A404" s="8">
        <f>IF(ISNA(MATCH(395,'Transfer Engine'!$C$2:$C$1369,0)),"",INDEX('Compliance Database'!$A$2:$A$1369,MATCH(395,'Transfer Engine'!$C$2:$C$1369,0)))</f>
        <v/>
      </c>
      <c r="B404" s="8">
        <f>IF(ISNA(MATCH(395,'Transfer Engine'!$C$2:$C$1369,0)),"",INDEX('Compliance Database'!$B$2:$B$1369,MATCH(395,'Transfer Engine'!$C$2:$C$1369,0)))</f>
        <v/>
      </c>
      <c r="C404" s="8">
        <f>IF(ISNA(MATCH(395,'Transfer Engine'!$C$2:$C$1369,0)),"",INDEX('Compliance Database'!$C$2:$C$1369,MATCH(395,'Transfer Engine'!$C$2:$C$1369,0)))</f>
        <v/>
      </c>
      <c r="D404" s="9">
        <f>IF(ISNA(MATCH(395,'Transfer Engine'!$C$2:$C$1369,0)),"",INDEX('Compliance Database'!$D$2:$D$1369,MATCH(395,'Transfer Engine'!$C$2:$C$1369,0)))</f>
        <v/>
      </c>
      <c r="E404" s="8">
        <f>IF(ISNA(MATCH(395,'Transfer Engine'!$C$2:$C$1369,0)),"",INDEX('Compliance Database'!$E$2:$E$1369,MATCH(395,'Transfer Engine'!$C$2:$C$1369,0)))</f>
        <v/>
      </c>
      <c r="F404" s="8">
        <f>IF(ISNA(MATCH(395,'Transfer Engine'!$C$2:$C$1369,0)),"",INDEX('Compliance Database'!$F$2:$F$1369,MATCH(395,'Transfer Engine'!$C$2:$C$1369,0)))</f>
        <v/>
      </c>
      <c r="G404" s="8">
        <f>IF(ISNA(MATCH(395,'Transfer Engine'!$C$2:$C$1369,0)),"",INDEX('Compliance Database'!$G$2:$G$1369,MATCH(395,'Transfer Engine'!$C$2:$C$1369,0)))</f>
        <v/>
      </c>
      <c r="H404" s="9">
        <f>IF(ISNA(MATCH(395,'Transfer Engine'!$C$2:$C$1369,0)),"",INDEX('Compliance Database'!$H$2:$H$1369,MATCH(395,'Transfer Engine'!$C$2:$C$1369,0)))</f>
        <v/>
      </c>
      <c r="I404" s="9">
        <f>IF(ISNA(MATCH(395,'Transfer Engine'!$C$2:$C$1369,0)),"",INDEX('Compliance Database'!$I$2:$I$1369,MATCH(395,'Transfer Engine'!$C$2:$C$1369,0)))</f>
        <v/>
      </c>
      <c r="J404" s="8">
        <f>IF(ISNA(MATCH(395,'Transfer Engine'!$C$2:$C$1369,0)),"",INDEX('Compliance Database'!$J$2:$J$1369,MATCH(395,'Transfer Engine'!$C$2:$C$1369,0)))</f>
        <v/>
      </c>
      <c r="K404" s="9">
        <f>IF(ISNA(MATCH(395,'Transfer Engine'!$C$2:$C$1369,0)),"",INDEX('Compliance Database'!$K$2:$K$1369,MATCH(395,'Transfer Engine'!$C$2:$C$1369,0)))</f>
        <v/>
      </c>
      <c r="L404" s="9">
        <f>IF(ISNA(MATCH(395,'Transfer Engine'!$C$2:$C$1369,0)),"",INDEX('Compliance Database'!$L$2:$L$1369,MATCH(395,'Transfer Engine'!$C$2:$C$1369,0)))</f>
        <v/>
      </c>
      <c r="M404" s="9">
        <f>IF(ISNA(MATCH(395,'Transfer Engine'!$C$2:$C$1369,0)),"",INDEX('Compliance Database'!$M$2:$M$1369,MATCH(395,'Transfer Engine'!$C$2:$C$1369,0)))</f>
        <v/>
      </c>
      <c r="N404" s="9">
        <f>IF(ISNA(MATCH(395,'Transfer Engine'!$C$2:$C$1369,0)),"",INDEX('Compliance Database'!$N$2:$N$1369,MATCH(395,'Transfer Engine'!$C$2:$C$1369,0)))</f>
        <v/>
      </c>
      <c r="O404" s="8">
        <f>IF(ISNA(MATCH(395,'Transfer Engine'!$C$2:$C$1369,0)),"",HYPERLINK(INDEX('Compliance Database'!$O$2:$O$1369,MATCH(395,'Transfer Engine'!$C$2:$C$1369,0)),"Open PDF"))</f>
        <v/>
      </c>
    </row>
    <row r="405" ht="188" customHeight="1">
      <c r="A405" s="8">
        <f>IF(ISNA(MATCH(396,'Transfer Engine'!$C$2:$C$1369,0)),"",INDEX('Compliance Database'!$A$2:$A$1369,MATCH(396,'Transfer Engine'!$C$2:$C$1369,0)))</f>
        <v/>
      </c>
      <c r="B405" s="8">
        <f>IF(ISNA(MATCH(396,'Transfer Engine'!$C$2:$C$1369,0)),"",INDEX('Compliance Database'!$B$2:$B$1369,MATCH(396,'Transfer Engine'!$C$2:$C$1369,0)))</f>
        <v/>
      </c>
      <c r="C405" s="8">
        <f>IF(ISNA(MATCH(396,'Transfer Engine'!$C$2:$C$1369,0)),"",INDEX('Compliance Database'!$C$2:$C$1369,MATCH(396,'Transfer Engine'!$C$2:$C$1369,0)))</f>
        <v/>
      </c>
      <c r="D405" s="9">
        <f>IF(ISNA(MATCH(396,'Transfer Engine'!$C$2:$C$1369,0)),"",INDEX('Compliance Database'!$D$2:$D$1369,MATCH(396,'Transfer Engine'!$C$2:$C$1369,0)))</f>
        <v/>
      </c>
      <c r="E405" s="8">
        <f>IF(ISNA(MATCH(396,'Transfer Engine'!$C$2:$C$1369,0)),"",INDEX('Compliance Database'!$E$2:$E$1369,MATCH(396,'Transfer Engine'!$C$2:$C$1369,0)))</f>
        <v/>
      </c>
      <c r="F405" s="8">
        <f>IF(ISNA(MATCH(396,'Transfer Engine'!$C$2:$C$1369,0)),"",INDEX('Compliance Database'!$F$2:$F$1369,MATCH(396,'Transfer Engine'!$C$2:$C$1369,0)))</f>
        <v/>
      </c>
      <c r="G405" s="8">
        <f>IF(ISNA(MATCH(396,'Transfer Engine'!$C$2:$C$1369,0)),"",INDEX('Compliance Database'!$G$2:$G$1369,MATCH(396,'Transfer Engine'!$C$2:$C$1369,0)))</f>
        <v/>
      </c>
      <c r="H405" s="9">
        <f>IF(ISNA(MATCH(396,'Transfer Engine'!$C$2:$C$1369,0)),"",INDEX('Compliance Database'!$H$2:$H$1369,MATCH(396,'Transfer Engine'!$C$2:$C$1369,0)))</f>
        <v/>
      </c>
      <c r="I405" s="9">
        <f>IF(ISNA(MATCH(396,'Transfer Engine'!$C$2:$C$1369,0)),"",INDEX('Compliance Database'!$I$2:$I$1369,MATCH(396,'Transfer Engine'!$C$2:$C$1369,0)))</f>
        <v/>
      </c>
      <c r="J405" s="8">
        <f>IF(ISNA(MATCH(396,'Transfer Engine'!$C$2:$C$1369,0)),"",INDEX('Compliance Database'!$J$2:$J$1369,MATCH(396,'Transfer Engine'!$C$2:$C$1369,0)))</f>
        <v/>
      </c>
      <c r="K405" s="9">
        <f>IF(ISNA(MATCH(396,'Transfer Engine'!$C$2:$C$1369,0)),"",INDEX('Compliance Database'!$K$2:$K$1369,MATCH(396,'Transfer Engine'!$C$2:$C$1369,0)))</f>
        <v/>
      </c>
      <c r="L405" s="9">
        <f>IF(ISNA(MATCH(396,'Transfer Engine'!$C$2:$C$1369,0)),"",INDEX('Compliance Database'!$L$2:$L$1369,MATCH(396,'Transfer Engine'!$C$2:$C$1369,0)))</f>
        <v/>
      </c>
      <c r="M405" s="9">
        <f>IF(ISNA(MATCH(396,'Transfer Engine'!$C$2:$C$1369,0)),"",INDEX('Compliance Database'!$M$2:$M$1369,MATCH(396,'Transfer Engine'!$C$2:$C$1369,0)))</f>
        <v/>
      </c>
      <c r="N405" s="9">
        <f>IF(ISNA(MATCH(396,'Transfer Engine'!$C$2:$C$1369,0)),"",INDEX('Compliance Database'!$N$2:$N$1369,MATCH(396,'Transfer Engine'!$C$2:$C$1369,0)))</f>
        <v/>
      </c>
      <c r="O405" s="8">
        <f>IF(ISNA(MATCH(396,'Transfer Engine'!$C$2:$C$1369,0)),"",HYPERLINK(INDEX('Compliance Database'!$O$2:$O$1369,MATCH(396,'Transfer Engine'!$C$2:$C$1369,0)),"Open PDF"))</f>
        <v/>
      </c>
    </row>
    <row r="406" ht="188" customHeight="1">
      <c r="A406" s="8">
        <f>IF(ISNA(MATCH(397,'Transfer Engine'!$C$2:$C$1369,0)),"",INDEX('Compliance Database'!$A$2:$A$1369,MATCH(397,'Transfer Engine'!$C$2:$C$1369,0)))</f>
        <v/>
      </c>
      <c r="B406" s="8">
        <f>IF(ISNA(MATCH(397,'Transfer Engine'!$C$2:$C$1369,0)),"",INDEX('Compliance Database'!$B$2:$B$1369,MATCH(397,'Transfer Engine'!$C$2:$C$1369,0)))</f>
        <v/>
      </c>
      <c r="C406" s="8">
        <f>IF(ISNA(MATCH(397,'Transfer Engine'!$C$2:$C$1369,0)),"",INDEX('Compliance Database'!$C$2:$C$1369,MATCH(397,'Transfer Engine'!$C$2:$C$1369,0)))</f>
        <v/>
      </c>
      <c r="D406" s="9">
        <f>IF(ISNA(MATCH(397,'Transfer Engine'!$C$2:$C$1369,0)),"",INDEX('Compliance Database'!$D$2:$D$1369,MATCH(397,'Transfer Engine'!$C$2:$C$1369,0)))</f>
        <v/>
      </c>
      <c r="E406" s="8">
        <f>IF(ISNA(MATCH(397,'Transfer Engine'!$C$2:$C$1369,0)),"",INDEX('Compliance Database'!$E$2:$E$1369,MATCH(397,'Transfer Engine'!$C$2:$C$1369,0)))</f>
        <v/>
      </c>
      <c r="F406" s="8">
        <f>IF(ISNA(MATCH(397,'Transfer Engine'!$C$2:$C$1369,0)),"",INDEX('Compliance Database'!$F$2:$F$1369,MATCH(397,'Transfer Engine'!$C$2:$C$1369,0)))</f>
        <v/>
      </c>
      <c r="G406" s="8">
        <f>IF(ISNA(MATCH(397,'Transfer Engine'!$C$2:$C$1369,0)),"",INDEX('Compliance Database'!$G$2:$G$1369,MATCH(397,'Transfer Engine'!$C$2:$C$1369,0)))</f>
        <v/>
      </c>
      <c r="H406" s="9">
        <f>IF(ISNA(MATCH(397,'Transfer Engine'!$C$2:$C$1369,0)),"",INDEX('Compliance Database'!$H$2:$H$1369,MATCH(397,'Transfer Engine'!$C$2:$C$1369,0)))</f>
        <v/>
      </c>
      <c r="I406" s="9">
        <f>IF(ISNA(MATCH(397,'Transfer Engine'!$C$2:$C$1369,0)),"",INDEX('Compliance Database'!$I$2:$I$1369,MATCH(397,'Transfer Engine'!$C$2:$C$1369,0)))</f>
        <v/>
      </c>
      <c r="J406" s="8">
        <f>IF(ISNA(MATCH(397,'Transfer Engine'!$C$2:$C$1369,0)),"",INDEX('Compliance Database'!$J$2:$J$1369,MATCH(397,'Transfer Engine'!$C$2:$C$1369,0)))</f>
        <v/>
      </c>
      <c r="K406" s="9">
        <f>IF(ISNA(MATCH(397,'Transfer Engine'!$C$2:$C$1369,0)),"",INDEX('Compliance Database'!$K$2:$K$1369,MATCH(397,'Transfer Engine'!$C$2:$C$1369,0)))</f>
        <v/>
      </c>
      <c r="L406" s="9">
        <f>IF(ISNA(MATCH(397,'Transfer Engine'!$C$2:$C$1369,0)),"",INDEX('Compliance Database'!$L$2:$L$1369,MATCH(397,'Transfer Engine'!$C$2:$C$1369,0)))</f>
        <v/>
      </c>
      <c r="M406" s="9">
        <f>IF(ISNA(MATCH(397,'Transfer Engine'!$C$2:$C$1369,0)),"",INDEX('Compliance Database'!$M$2:$M$1369,MATCH(397,'Transfer Engine'!$C$2:$C$1369,0)))</f>
        <v/>
      </c>
      <c r="N406" s="9">
        <f>IF(ISNA(MATCH(397,'Transfer Engine'!$C$2:$C$1369,0)),"",INDEX('Compliance Database'!$N$2:$N$1369,MATCH(397,'Transfer Engine'!$C$2:$C$1369,0)))</f>
        <v/>
      </c>
      <c r="O406" s="8">
        <f>IF(ISNA(MATCH(397,'Transfer Engine'!$C$2:$C$1369,0)),"",HYPERLINK(INDEX('Compliance Database'!$O$2:$O$1369,MATCH(397,'Transfer Engine'!$C$2:$C$1369,0)),"Open PDF"))</f>
        <v/>
      </c>
    </row>
    <row r="407" ht="188" customHeight="1">
      <c r="A407" s="8">
        <f>IF(ISNA(MATCH(398,'Transfer Engine'!$C$2:$C$1369,0)),"",INDEX('Compliance Database'!$A$2:$A$1369,MATCH(398,'Transfer Engine'!$C$2:$C$1369,0)))</f>
        <v/>
      </c>
      <c r="B407" s="8">
        <f>IF(ISNA(MATCH(398,'Transfer Engine'!$C$2:$C$1369,0)),"",INDEX('Compliance Database'!$B$2:$B$1369,MATCH(398,'Transfer Engine'!$C$2:$C$1369,0)))</f>
        <v/>
      </c>
      <c r="C407" s="8">
        <f>IF(ISNA(MATCH(398,'Transfer Engine'!$C$2:$C$1369,0)),"",INDEX('Compliance Database'!$C$2:$C$1369,MATCH(398,'Transfer Engine'!$C$2:$C$1369,0)))</f>
        <v/>
      </c>
      <c r="D407" s="9">
        <f>IF(ISNA(MATCH(398,'Transfer Engine'!$C$2:$C$1369,0)),"",INDEX('Compliance Database'!$D$2:$D$1369,MATCH(398,'Transfer Engine'!$C$2:$C$1369,0)))</f>
        <v/>
      </c>
      <c r="E407" s="8">
        <f>IF(ISNA(MATCH(398,'Transfer Engine'!$C$2:$C$1369,0)),"",INDEX('Compliance Database'!$E$2:$E$1369,MATCH(398,'Transfer Engine'!$C$2:$C$1369,0)))</f>
        <v/>
      </c>
      <c r="F407" s="8">
        <f>IF(ISNA(MATCH(398,'Transfer Engine'!$C$2:$C$1369,0)),"",INDEX('Compliance Database'!$F$2:$F$1369,MATCH(398,'Transfer Engine'!$C$2:$C$1369,0)))</f>
        <v/>
      </c>
      <c r="G407" s="8">
        <f>IF(ISNA(MATCH(398,'Transfer Engine'!$C$2:$C$1369,0)),"",INDEX('Compliance Database'!$G$2:$G$1369,MATCH(398,'Transfer Engine'!$C$2:$C$1369,0)))</f>
        <v/>
      </c>
      <c r="H407" s="9">
        <f>IF(ISNA(MATCH(398,'Transfer Engine'!$C$2:$C$1369,0)),"",INDEX('Compliance Database'!$H$2:$H$1369,MATCH(398,'Transfer Engine'!$C$2:$C$1369,0)))</f>
        <v/>
      </c>
      <c r="I407" s="9">
        <f>IF(ISNA(MATCH(398,'Transfer Engine'!$C$2:$C$1369,0)),"",INDEX('Compliance Database'!$I$2:$I$1369,MATCH(398,'Transfer Engine'!$C$2:$C$1369,0)))</f>
        <v/>
      </c>
      <c r="J407" s="8">
        <f>IF(ISNA(MATCH(398,'Transfer Engine'!$C$2:$C$1369,0)),"",INDEX('Compliance Database'!$J$2:$J$1369,MATCH(398,'Transfer Engine'!$C$2:$C$1369,0)))</f>
        <v/>
      </c>
      <c r="K407" s="9">
        <f>IF(ISNA(MATCH(398,'Transfer Engine'!$C$2:$C$1369,0)),"",INDEX('Compliance Database'!$K$2:$K$1369,MATCH(398,'Transfer Engine'!$C$2:$C$1369,0)))</f>
        <v/>
      </c>
      <c r="L407" s="9">
        <f>IF(ISNA(MATCH(398,'Transfer Engine'!$C$2:$C$1369,0)),"",INDEX('Compliance Database'!$L$2:$L$1369,MATCH(398,'Transfer Engine'!$C$2:$C$1369,0)))</f>
        <v/>
      </c>
      <c r="M407" s="9">
        <f>IF(ISNA(MATCH(398,'Transfer Engine'!$C$2:$C$1369,0)),"",INDEX('Compliance Database'!$M$2:$M$1369,MATCH(398,'Transfer Engine'!$C$2:$C$1369,0)))</f>
        <v/>
      </c>
      <c r="N407" s="9">
        <f>IF(ISNA(MATCH(398,'Transfer Engine'!$C$2:$C$1369,0)),"",INDEX('Compliance Database'!$N$2:$N$1369,MATCH(398,'Transfer Engine'!$C$2:$C$1369,0)))</f>
        <v/>
      </c>
      <c r="O407" s="8">
        <f>IF(ISNA(MATCH(398,'Transfer Engine'!$C$2:$C$1369,0)),"",HYPERLINK(INDEX('Compliance Database'!$O$2:$O$1369,MATCH(398,'Transfer Engine'!$C$2:$C$1369,0)),"Open PDF"))</f>
        <v/>
      </c>
    </row>
    <row r="408" ht="188" customHeight="1">
      <c r="A408" s="8">
        <f>IF(ISNA(MATCH(399,'Transfer Engine'!$C$2:$C$1369,0)),"",INDEX('Compliance Database'!$A$2:$A$1369,MATCH(399,'Transfer Engine'!$C$2:$C$1369,0)))</f>
        <v/>
      </c>
      <c r="B408" s="8">
        <f>IF(ISNA(MATCH(399,'Transfer Engine'!$C$2:$C$1369,0)),"",INDEX('Compliance Database'!$B$2:$B$1369,MATCH(399,'Transfer Engine'!$C$2:$C$1369,0)))</f>
        <v/>
      </c>
      <c r="C408" s="8">
        <f>IF(ISNA(MATCH(399,'Transfer Engine'!$C$2:$C$1369,0)),"",INDEX('Compliance Database'!$C$2:$C$1369,MATCH(399,'Transfer Engine'!$C$2:$C$1369,0)))</f>
        <v/>
      </c>
      <c r="D408" s="9">
        <f>IF(ISNA(MATCH(399,'Transfer Engine'!$C$2:$C$1369,0)),"",INDEX('Compliance Database'!$D$2:$D$1369,MATCH(399,'Transfer Engine'!$C$2:$C$1369,0)))</f>
        <v/>
      </c>
      <c r="E408" s="8">
        <f>IF(ISNA(MATCH(399,'Transfer Engine'!$C$2:$C$1369,0)),"",INDEX('Compliance Database'!$E$2:$E$1369,MATCH(399,'Transfer Engine'!$C$2:$C$1369,0)))</f>
        <v/>
      </c>
      <c r="F408" s="8">
        <f>IF(ISNA(MATCH(399,'Transfer Engine'!$C$2:$C$1369,0)),"",INDEX('Compliance Database'!$F$2:$F$1369,MATCH(399,'Transfer Engine'!$C$2:$C$1369,0)))</f>
        <v/>
      </c>
      <c r="G408" s="8">
        <f>IF(ISNA(MATCH(399,'Transfer Engine'!$C$2:$C$1369,0)),"",INDEX('Compliance Database'!$G$2:$G$1369,MATCH(399,'Transfer Engine'!$C$2:$C$1369,0)))</f>
        <v/>
      </c>
      <c r="H408" s="9">
        <f>IF(ISNA(MATCH(399,'Transfer Engine'!$C$2:$C$1369,0)),"",INDEX('Compliance Database'!$H$2:$H$1369,MATCH(399,'Transfer Engine'!$C$2:$C$1369,0)))</f>
        <v/>
      </c>
      <c r="I408" s="9">
        <f>IF(ISNA(MATCH(399,'Transfer Engine'!$C$2:$C$1369,0)),"",INDEX('Compliance Database'!$I$2:$I$1369,MATCH(399,'Transfer Engine'!$C$2:$C$1369,0)))</f>
        <v/>
      </c>
      <c r="J408" s="8">
        <f>IF(ISNA(MATCH(399,'Transfer Engine'!$C$2:$C$1369,0)),"",INDEX('Compliance Database'!$J$2:$J$1369,MATCH(399,'Transfer Engine'!$C$2:$C$1369,0)))</f>
        <v/>
      </c>
      <c r="K408" s="9">
        <f>IF(ISNA(MATCH(399,'Transfer Engine'!$C$2:$C$1369,0)),"",INDEX('Compliance Database'!$K$2:$K$1369,MATCH(399,'Transfer Engine'!$C$2:$C$1369,0)))</f>
        <v/>
      </c>
      <c r="L408" s="9">
        <f>IF(ISNA(MATCH(399,'Transfer Engine'!$C$2:$C$1369,0)),"",INDEX('Compliance Database'!$L$2:$L$1369,MATCH(399,'Transfer Engine'!$C$2:$C$1369,0)))</f>
        <v/>
      </c>
      <c r="M408" s="9">
        <f>IF(ISNA(MATCH(399,'Transfer Engine'!$C$2:$C$1369,0)),"",INDEX('Compliance Database'!$M$2:$M$1369,MATCH(399,'Transfer Engine'!$C$2:$C$1369,0)))</f>
        <v/>
      </c>
      <c r="N408" s="9">
        <f>IF(ISNA(MATCH(399,'Transfer Engine'!$C$2:$C$1369,0)),"",INDEX('Compliance Database'!$N$2:$N$1369,MATCH(399,'Transfer Engine'!$C$2:$C$1369,0)))</f>
        <v/>
      </c>
      <c r="O408" s="8">
        <f>IF(ISNA(MATCH(399,'Transfer Engine'!$C$2:$C$1369,0)),"",HYPERLINK(INDEX('Compliance Database'!$O$2:$O$1369,MATCH(399,'Transfer Engine'!$C$2:$C$1369,0)),"Open PDF"))</f>
        <v/>
      </c>
    </row>
    <row r="409" ht="188" customHeight="1">
      <c r="A409" s="8">
        <f>IF(ISNA(MATCH(400,'Transfer Engine'!$C$2:$C$1369,0)),"",INDEX('Compliance Database'!$A$2:$A$1369,MATCH(400,'Transfer Engine'!$C$2:$C$1369,0)))</f>
        <v/>
      </c>
      <c r="B409" s="8">
        <f>IF(ISNA(MATCH(400,'Transfer Engine'!$C$2:$C$1369,0)),"",INDEX('Compliance Database'!$B$2:$B$1369,MATCH(400,'Transfer Engine'!$C$2:$C$1369,0)))</f>
        <v/>
      </c>
      <c r="C409" s="8">
        <f>IF(ISNA(MATCH(400,'Transfer Engine'!$C$2:$C$1369,0)),"",INDEX('Compliance Database'!$C$2:$C$1369,MATCH(400,'Transfer Engine'!$C$2:$C$1369,0)))</f>
        <v/>
      </c>
      <c r="D409" s="9">
        <f>IF(ISNA(MATCH(400,'Transfer Engine'!$C$2:$C$1369,0)),"",INDEX('Compliance Database'!$D$2:$D$1369,MATCH(400,'Transfer Engine'!$C$2:$C$1369,0)))</f>
        <v/>
      </c>
      <c r="E409" s="8">
        <f>IF(ISNA(MATCH(400,'Transfer Engine'!$C$2:$C$1369,0)),"",INDEX('Compliance Database'!$E$2:$E$1369,MATCH(400,'Transfer Engine'!$C$2:$C$1369,0)))</f>
        <v/>
      </c>
      <c r="F409" s="8">
        <f>IF(ISNA(MATCH(400,'Transfer Engine'!$C$2:$C$1369,0)),"",INDEX('Compliance Database'!$F$2:$F$1369,MATCH(400,'Transfer Engine'!$C$2:$C$1369,0)))</f>
        <v/>
      </c>
      <c r="G409" s="8">
        <f>IF(ISNA(MATCH(400,'Transfer Engine'!$C$2:$C$1369,0)),"",INDEX('Compliance Database'!$G$2:$G$1369,MATCH(400,'Transfer Engine'!$C$2:$C$1369,0)))</f>
        <v/>
      </c>
      <c r="H409" s="9">
        <f>IF(ISNA(MATCH(400,'Transfer Engine'!$C$2:$C$1369,0)),"",INDEX('Compliance Database'!$H$2:$H$1369,MATCH(400,'Transfer Engine'!$C$2:$C$1369,0)))</f>
        <v/>
      </c>
      <c r="I409" s="9">
        <f>IF(ISNA(MATCH(400,'Transfer Engine'!$C$2:$C$1369,0)),"",INDEX('Compliance Database'!$I$2:$I$1369,MATCH(400,'Transfer Engine'!$C$2:$C$1369,0)))</f>
        <v/>
      </c>
      <c r="J409" s="8">
        <f>IF(ISNA(MATCH(400,'Transfer Engine'!$C$2:$C$1369,0)),"",INDEX('Compliance Database'!$J$2:$J$1369,MATCH(400,'Transfer Engine'!$C$2:$C$1369,0)))</f>
        <v/>
      </c>
      <c r="K409" s="9">
        <f>IF(ISNA(MATCH(400,'Transfer Engine'!$C$2:$C$1369,0)),"",INDEX('Compliance Database'!$K$2:$K$1369,MATCH(400,'Transfer Engine'!$C$2:$C$1369,0)))</f>
        <v/>
      </c>
      <c r="L409" s="9">
        <f>IF(ISNA(MATCH(400,'Transfer Engine'!$C$2:$C$1369,0)),"",INDEX('Compliance Database'!$L$2:$L$1369,MATCH(400,'Transfer Engine'!$C$2:$C$1369,0)))</f>
        <v/>
      </c>
      <c r="M409" s="9">
        <f>IF(ISNA(MATCH(400,'Transfer Engine'!$C$2:$C$1369,0)),"",INDEX('Compliance Database'!$M$2:$M$1369,MATCH(400,'Transfer Engine'!$C$2:$C$1369,0)))</f>
        <v/>
      </c>
      <c r="N409" s="9">
        <f>IF(ISNA(MATCH(400,'Transfer Engine'!$C$2:$C$1369,0)),"",INDEX('Compliance Database'!$N$2:$N$1369,MATCH(400,'Transfer Engine'!$C$2:$C$1369,0)))</f>
        <v/>
      </c>
      <c r="O409" s="8">
        <f>IF(ISNA(MATCH(400,'Transfer Engine'!$C$2:$C$1369,0)),"",HYPERLINK(INDEX('Compliance Database'!$O$2:$O$1369,MATCH(400,'Transfer Engine'!$C$2:$C$1369,0)),"Open PDF"))</f>
        <v/>
      </c>
    </row>
    <row r="410" ht="188" customHeight="1">
      <c r="A410" s="8">
        <f>IF(ISNA(MATCH(401,'Transfer Engine'!$C$2:$C$1369,0)),"",INDEX('Compliance Database'!$A$2:$A$1369,MATCH(401,'Transfer Engine'!$C$2:$C$1369,0)))</f>
        <v/>
      </c>
      <c r="B410" s="8">
        <f>IF(ISNA(MATCH(401,'Transfer Engine'!$C$2:$C$1369,0)),"",INDEX('Compliance Database'!$B$2:$B$1369,MATCH(401,'Transfer Engine'!$C$2:$C$1369,0)))</f>
        <v/>
      </c>
      <c r="C410" s="8">
        <f>IF(ISNA(MATCH(401,'Transfer Engine'!$C$2:$C$1369,0)),"",INDEX('Compliance Database'!$C$2:$C$1369,MATCH(401,'Transfer Engine'!$C$2:$C$1369,0)))</f>
        <v/>
      </c>
      <c r="D410" s="9">
        <f>IF(ISNA(MATCH(401,'Transfer Engine'!$C$2:$C$1369,0)),"",INDEX('Compliance Database'!$D$2:$D$1369,MATCH(401,'Transfer Engine'!$C$2:$C$1369,0)))</f>
        <v/>
      </c>
      <c r="E410" s="8">
        <f>IF(ISNA(MATCH(401,'Transfer Engine'!$C$2:$C$1369,0)),"",INDEX('Compliance Database'!$E$2:$E$1369,MATCH(401,'Transfer Engine'!$C$2:$C$1369,0)))</f>
        <v/>
      </c>
      <c r="F410" s="8">
        <f>IF(ISNA(MATCH(401,'Transfer Engine'!$C$2:$C$1369,0)),"",INDEX('Compliance Database'!$F$2:$F$1369,MATCH(401,'Transfer Engine'!$C$2:$C$1369,0)))</f>
        <v/>
      </c>
      <c r="G410" s="8">
        <f>IF(ISNA(MATCH(401,'Transfer Engine'!$C$2:$C$1369,0)),"",INDEX('Compliance Database'!$G$2:$G$1369,MATCH(401,'Transfer Engine'!$C$2:$C$1369,0)))</f>
        <v/>
      </c>
      <c r="H410" s="9">
        <f>IF(ISNA(MATCH(401,'Transfer Engine'!$C$2:$C$1369,0)),"",INDEX('Compliance Database'!$H$2:$H$1369,MATCH(401,'Transfer Engine'!$C$2:$C$1369,0)))</f>
        <v/>
      </c>
      <c r="I410" s="9">
        <f>IF(ISNA(MATCH(401,'Transfer Engine'!$C$2:$C$1369,0)),"",INDEX('Compliance Database'!$I$2:$I$1369,MATCH(401,'Transfer Engine'!$C$2:$C$1369,0)))</f>
        <v/>
      </c>
      <c r="J410" s="8">
        <f>IF(ISNA(MATCH(401,'Transfer Engine'!$C$2:$C$1369,0)),"",INDEX('Compliance Database'!$J$2:$J$1369,MATCH(401,'Transfer Engine'!$C$2:$C$1369,0)))</f>
        <v/>
      </c>
      <c r="K410" s="9">
        <f>IF(ISNA(MATCH(401,'Transfer Engine'!$C$2:$C$1369,0)),"",INDEX('Compliance Database'!$K$2:$K$1369,MATCH(401,'Transfer Engine'!$C$2:$C$1369,0)))</f>
        <v/>
      </c>
      <c r="L410" s="9">
        <f>IF(ISNA(MATCH(401,'Transfer Engine'!$C$2:$C$1369,0)),"",INDEX('Compliance Database'!$L$2:$L$1369,MATCH(401,'Transfer Engine'!$C$2:$C$1369,0)))</f>
        <v/>
      </c>
      <c r="M410" s="9">
        <f>IF(ISNA(MATCH(401,'Transfer Engine'!$C$2:$C$1369,0)),"",INDEX('Compliance Database'!$M$2:$M$1369,MATCH(401,'Transfer Engine'!$C$2:$C$1369,0)))</f>
        <v/>
      </c>
      <c r="N410" s="9">
        <f>IF(ISNA(MATCH(401,'Transfer Engine'!$C$2:$C$1369,0)),"",INDEX('Compliance Database'!$N$2:$N$1369,MATCH(401,'Transfer Engine'!$C$2:$C$1369,0)))</f>
        <v/>
      </c>
      <c r="O410" s="8">
        <f>IF(ISNA(MATCH(401,'Transfer Engine'!$C$2:$C$1369,0)),"",HYPERLINK(INDEX('Compliance Database'!$O$2:$O$1369,MATCH(401,'Transfer Engine'!$C$2:$C$1369,0)),"Open PDF"))</f>
        <v/>
      </c>
    </row>
    <row r="411" ht="188" customHeight="1">
      <c r="A411" s="8">
        <f>IF(ISNA(MATCH(402,'Transfer Engine'!$C$2:$C$1369,0)),"",INDEX('Compliance Database'!$A$2:$A$1369,MATCH(402,'Transfer Engine'!$C$2:$C$1369,0)))</f>
        <v/>
      </c>
      <c r="B411" s="8">
        <f>IF(ISNA(MATCH(402,'Transfer Engine'!$C$2:$C$1369,0)),"",INDEX('Compliance Database'!$B$2:$B$1369,MATCH(402,'Transfer Engine'!$C$2:$C$1369,0)))</f>
        <v/>
      </c>
      <c r="C411" s="8">
        <f>IF(ISNA(MATCH(402,'Transfer Engine'!$C$2:$C$1369,0)),"",INDEX('Compliance Database'!$C$2:$C$1369,MATCH(402,'Transfer Engine'!$C$2:$C$1369,0)))</f>
        <v/>
      </c>
      <c r="D411" s="9">
        <f>IF(ISNA(MATCH(402,'Transfer Engine'!$C$2:$C$1369,0)),"",INDEX('Compliance Database'!$D$2:$D$1369,MATCH(402,'Transfer Engine'!$C$2:$C$1369,0)))</f>
        <v/>
      </c>
      <c r="E411" s="8">
        <f>IF(ISNA(MATCH(402,'Transfer Engine'!$C$2:$C$1369,0)),"",INDEX('Compliance Database'!$E$2:$E$1369,MATCH(402,'Transfer Engine'!$C$2:$C$1369,0)))</f>
        <v/>
      </c>
      <c r="F411" s="8">
        <f>IF(ISNA(MATCH(402,'Transfer Engine'!$C$2:$C$1369,0)),"",INDEX('Compliance Database'!$F$2:$F$1369,MATCH(402,'Transfer Engine'!$C$2:$C$1369,0)))</f>
        <v/>
      </c>
      <c r="G411" s="8">
        <f>IF(ISNA(MATCH(402,'Transfer Engine'!$C$2:$C$1369,0)),"",INDEX('Compliance Database'!$G$2:$G$1369,MATCH(402,'Transfer Engine'!$C$2:$C$1369,0)))</f>
        <v/>
      </c>
      <c r="H411" s="9">
        <f>IF(ISNA(MATCH(402,'Transfer Engine'!$C$2:$C$1369,0)),"",INDEX('Compliance Database'!$H$2:$H$1369,MATCH(402,'Transfer Engine'!$C$2:$C$1369,0)))</f>
        <v/>
      </c>
      <c r="I411" s="9">
        <f>IF(ISNA(MATCH(402,'Transfer Engine'!$C$2:$C$1369,0)),"",INDEX('Compliance Database'!$I$2:$I$1369,MATCH(402,'Transfer Engine'!$C$2:$C$1369,0)))</f>
        <v/>
      </c>
      <c r="J411" s="8">
        <f>IF(ISNA(MATCH(402,'Transfer Engine'!$C$2:$C$1369,0)),"",INDEX('Compliance Database'!$J$2:$J$1369,MATCH(402,'Transfer Engine'!$C$2:$C$1369,0)))</f>
        <v/>
      </c>
      <c r="K411" s="9">
        <f>IF(ISNA(MATCH(402,'Transfer Engine'!$C$2:$C$1369,0)),"",INDEX('Compliance Database'!$K$2:$K$1369,MATCH(402,'Transfer Engine'!$C$2:$C$1369,0)))</f>
        <v/>
      </c>
      <c r="L411" s="9">
        <f>IF(ISNA(MATCH(402,'Transfer Engine'!$C$2:$C$1369,0)),"",INDEX('Compliance Database'!$L$2:$L$1369,MATCH(402,'Transfer Engine'!$C$2:$C$1369,0)))</f>
        <v/>
      </c>
      <c r="M411" s="9">
        <f>IF(ISNA(MATCH(402,'Transfer Engine'!$C$2:$C$1369,0)),"",INDEX('Compliance Database'!$M$2:$M$1369,MATCH(402,'Transfer Engine'!$C$2:$C$1369,0)))</f>
        <v/>
      </c>
      <c r="N411" s="9">
        <f>IF(ISNA(MATCH(402,'Transfer Engine'!$C$2:$C$1369,0)),"",INDEX('Compliance Database'!$N$2:$N$1369,MATCH(402,'Transfer Engine'!$C$2:$C$1369,0)))</f>
        <v/>
      </c>
      <c r="O411" s="8">
        <f>IF(ISNA(MATCH(402,'Transfer Engine'!$C$2:$C$1369,0)),"",HYPERLINK(INDEX('Compliance Database'!$O$2:$O$1369,MATCH(402,'Transfer Engine'!$C$2:$C$1369,0)),"Open PDF"))</f>
        <v/>
      </c>
    </row>
    <row r="412" ht="188" customHeight="1">
      <c r="A412" s="8">
        <f>IF(ISNA(MATCH(403,'Transfer Engine'!$C$2:$C$1369,0)),"",INDEX('Compliance Database'!$A$2:$A$1369,MATCH(403,'Transfer Engine'!$C$2:$C$1369,0)))</f>
        <v/>
      </c>
      <c r="B412" s="8">
        <f>IF(ISNA(MATCH(403,'Transfer Engine'!$C$2:$C$1369,0)),"",INDEX('Compliance Database'!$B$2:$B$1369,MATCH(403,'Transfer Engine'!$C$2:$C$1369,0)))</f>
        <v/>
      </c>
      <c r="C412" s="8">
        <f>IF(ISNA(MATCH(403,'Transfer Engine'!$C$2:$C$1369,0)),"",INDEX('Compliance Database'!$C$2:$C$1369,MATCH(403,'Transfer Engine'!$C$2:$C$1369,0)))</f>
        <v/>
      </c>
      <c r="D412" s="9">
        <f>IF(ISNA(MATCH(403,'Transfer Engine'!$C$2:$C$1369,0)),"",INDEX('Compliance Database'!$D$2:$D$1369,MATCH(403,'Transfer Engine'!$C$2:$C$1369,0)))</f>
        <v/>
      </c>
      <c r="E412" s="8">
        <f>IF(ISNA(MATCH(403,'Transfer Engine'!$C$2:$C$1369,0)),"",INDEX('Compliance Database'!$E$2:$E$1369,MATCH(403,'Transfer Engine'!$C$2:$C$1369,0)))</f>
        <v/>
      </c>
      <c r="F412" s="8">
        <f>IF(ISNA(MATCH(403,'Transfer Engine'!$C$2:$C$1369,0)),"",INDEX('Compliance Database'!$F$2:$F$1369,MATCH(403,'Transfer Engine'!$C$2:$C$1369,0)))</f>
        <v/>
      </c>
      <c r="G412" s="8">
        <f>IF(ISNA(MATCH(403,'Transfer Engine'!$C$2:$C$1369,0)),"",INDEX('Compliance Database'!$G$2:$G$1369,MATCH(403,'Transfer Engine'!$C$2:$C$1369,0)))</f>
        <v/>
      </c>
      <c r="H412" s="9">
        <f>IF(ISNA(MATCH(403,'Transfer Engine'!$C$2:$C$1369,0)),"",INDEX('Compliance Database'!$H$2:$H$1369,MATCH(403,'Transfer Engine'!$C$2:$C$1369,0)))</f>
        <v/>
      </c>
      <c r="I412" s="9">
        <f>IF(ISNA(MATCH(403,'Transfer Engine'!$C$2:$C$1369,0)),"",INDEX('Compliance Database'!$I$2:$I$1369,MATCH(403,'Transfer Engine'!$C$2:$C$1369,0)))</f>
        <v/>
      </c>
      <c r="J412" s="8">
        <f>IF(ISNA(MATCH(403,'Transfer Engine'!$C$2:$C$1369,0)),"",INDEX('Compliance Database'!$J$2:$J$1369,MATCH(403,'Transfer Engine'!$C$2:$C$1369,0)))</f>
        <v/>
      </c>
      <c r="K412" s="9">
        <f>IF(ISNA(MATCH(403,'Transfer Engine'!$C$2:$C$1369,0)),"",INDEX('Compliance Database'!$K$2:$K$1369,MATCH(403,'Transfer Engine'!$C$2:$C$1369,0)))</f>
        <v/>
      </c>
      <c r="L412" s="9">
        <f>IF(ISNA(MATCH(403,'Transfer Engine'!$C$2:$C$1369,0)),"",INDEX('Compliance Database'!$L$2:$L$1369,MATCH(403,'Transfer Engine'!$C$2:$C$1369,0)))</f>
        <v/>
      </c>
      <c r="M412" s="9">
        <f>IF(ISNA(MATCH(403,'Transfer Engine'!$C$2:$C$1369,0)),"",INDEX('Compliance Database'!$M$2:$M$1369,MATCH(403,'Transfer Engine'!$C$2:$C$1369,0)))</f>
        <v/>
      </c>
      <c r="N412" s="9">
        <f>IF(ISNA(MATCH(403,'Transfer Engine'!$C$2:$C$1369,0)),"",INDEX('Compliance Database'!$N$2:$N$1369,MATCH(403,'Transfer Engine'!$C$2:$C$1369,0)))</f>
        <v/>
      </c>
      <c r="O412" s="8">
        <f>IF(ISNA(MATCH(403,'Transfer Engine'!$C$2:$C$1369,0)),"",HYPERLINK(INDEX('Compliance Database'!$O$2:$O$1369,MATCH(403,'Transfer Engine'!$C$2:$C$1369,0)),"Open PDF"))</f>
        <v/>
      </c>
    </row>
    <row r="413" ht="188" customHeight="1">
      <c r="A413" s="8">
        <f>IF(ISNA(MATCH(404,'Transfer Engine'!$C$2:$C$1369,0)),"",INDEX('Compliance Database'!$A$2:$A$1369,MATCH(404,'Transfer Engine'!$C$2:$C$1369,0)))</f>
        <v/>
      </c>
      <c r="B413" s="8">
        <f>IF(ISNA(MATCH(404,'Transfer Engine'!$C$2:$C$1369,0)),"",INDEX('Compliance Database'!$B$2:$B$1369,MATCH(404,'Transfer Engine'!$C$2:$C$1369,0)))</f>
        <v/>
      </c>
      <c r="C413" s="8">
        <f>IF(ISNA(MATCH(404,'Transfer Engine'!$C$2:$C$1369,0)),"",INDEX('Compliance Database'!$C$2:$C$1369,MATCH(404,'Transfer Engine'!$C$2:$C$1369,0)))</f>
        <v/>
      </c>
      <c r="D413" s="9">
        <f>IF(ISNA(MATCH(404,'Transfer Engine'!$C$2:$C$1369,0)),"",INDEX('Compliance Database'!$D$2:$D$1369,MATCH(404,'Transfer Engine'!$C$2:$C$1369,0)))</f>
        <v/>
      </c>
      <c r="E413" s="8">
        <f>IF(ISNA(MATCH(404,'Transfer Engine'!$C$2:$C$1369,0)),"",INDEX('Compliance Database'!$E$2:$E$1369,MATCH(404,'Transfer Engine'!$C$2:$C$1369,0)))</f>
        <v/>
      </c>
      <c r="F413" s="8">
        <f>IF(ISNA(MATCH(404,'Transfer Engine'!$C$2:$C$1369,0)),"",INDEX('Compliance Database'!$F$2:$F$1369,MATCH(404,'Transfer Engine'!$C$2:$C$1369,0)))</f>
        <v/>
      </c>
      <c r="G413" s="8">
        <f>IF(ISNA(MATCH(404,'Transfer Engine'!$C$2:$C$1369,0)),"",INDEX('Compliance Database'!$G$2:$G$1369,MATCH(404,'Transfer Engine'!$C$2:$C$1369,0)))</f>
        <v/>
      </c>
      <c r="H413" s="9">
        <f>IF(ISNA(MATCH(404,'Transfer Engine'!$C$2:$C$1369,0)),"",INDEX('Compliance Database'!$H$2:$H$1369,MATCH(404,'Transfer Engine'!$C$2:$C$1369,0)))</f>
        <v/>
      </c>
      <c r="I413" s="9">
        <f>IF(ISNA(MATCH(404,'Transfer Engine'!$C$2:$C$1369,0)),"",INDEX('Compliance Database'!$I$2:$I$1369,MATCH(404,'Transfer Engine'!$C$2:$C$1369,0)))</f>
        <v/>
      </c>
      <c r="J413" s="8">
        <f>IF(ISNA(MATCH(404,'Transfer Engine'!$C$2:$C$1369,0)),"",INDEX('Compliance Database'!$J$2:$J$1369,MATCH(404,'Transfer Engine'!$C$2:$C$1369,0)))</f>
        <v/>
      </c>
      <c r="K413" s="9">
        <f>IF(ISNA(MATCH(404,'Transfer Engine'!$C$2:$C$1369,0)),"",INDEX('Compliance Database'!$K$2:$K$1369,MATCH(404,'Transfer Engine'!$C$2:$C$1369,0)))</f>
        <v/>
      </c>
      <c r="L413" s="9">
        <f>IF(ISNA(MATCH(404,'Transfer Engine'!$C$2:$C$1369,0)),"",INDEX('Compliance Database'!$L$2:$L$1369,MATCH(404,'Transfer Engine'!$C$2:$C$1369,0)))</f>
        <v/>
      </c>
      <c r="M413" s="9">
        <f>IF(ISNA(MATCH(404,'Transfer Engine'!$C$2:$C$1369,0)),"",INDEX('Compliance Database'!$M$2:$M$1369,MATCH(404,'Transfer Engine'!$C$2:$C$1369,0)))</f>
        <v/>
      </c>
      <c r="N413" s="9">
        <f>IF(ISNA(MATCH(404,'Transfer Engine'!$C$2:$C$1369,0)),"",INDEX('Compliance Database'!$N$2:$N$1369,MATCH(404,'Transfer Engine'!$C$2:$C$1369,0)))</f>
        <v/>
      </c>
      <c r="O413" s="8">
        <f>IF(ISNA(MATCH(404,'Transfer Engine'!$C$2:$C$1369,0)),"",HYPERLINK(INDEX('Compliance Database'!$O$2:$O$1369,MATCH(404,'Transfer Engine'!$C$2:$C$1369,0)),"Open PDF"))</f>
        <v/>
      </c>
    </row>
    <row r="414" ht="188" customHeight="1">
      <c r="A414" s="8">
        <f>IF(ISNA(MATCH(405,'Transfer Engine'!$C$2:$C$1369,0)),"",INDEX('Compliance Database'!$A$2:$A$1369,MATCH(405,'Transfer Engine'!$C$2:$C$1369,0)))</f>
        <v/>
      </c>
      <c r="B414" s="8">
        <f>IF(ISNA(MATCH(405,'Transfer Engine'!$C$2:$C$1369,0)),"",INDEX('Compliance Database'!$B$2:$B$1369,MATCH(405,'Transfer Engine'!$C$2:$C$1369,0)))</f>
        <v/>
      </c>
      <c r="C414" s="8">
        <f>IF(ISNA(MATCH(405,'Transfer Engine'!$C$2:$C$1369,0)),"",INDEX('Compliance Database'!$C$2:$C$1369,MATCH(405,'Transfer Engine'!$C$2:$C$1369,0)))</f>
        <v/>
      </c>
      <c r="D414" s="9">
        <f>IF(ISNA(MATCH(405,'Transfer Engine'!$C$2:$C$1369,0)),"",INDEX('Compliance Database'!$D$2:$D$1369,MATCH(405,'Transfer Engine'!$C$2:$C$1369,0)))</f>
        <v/>
      </c>
      <c r="E414" s="8">
        <f>IF(ISNA(MATCH(405,'Transfer Engine'!$C$2:$C$1369,0)),"",INDEX('Compliance Database'!$E$2:$E$1369,MATCH(405,'Transfer Engine'!$C$2:$C$1369,0)))</f>
        <v/>
      </c>
      <c r="F414" s="8">
        <f>IF(ISNA(MATCH(405,'Transfer Engine'!$C$2:$C$1369,0)),"",INDEX('Compliance Database'!$F$2:$F$1369,MATCH(405,'Transfer Engine'!$C$2:$C$1369,0)))</f>
        <v/>
      </c>
      <c r="G414" s="8">
        <f>IF(ISNA(MATCH(405,'Transfer Engine'!$C$2:$C$1369,0)),"",INDEX('Compliance Database'!$G$2:$G$1369,MATCH(405,'Transfer Engine'!$C$2:$C$1369,0)))</f>
        <v/>
      </c>
      <c r="H414" s="9">
        <f>IF(ISNA(MATCH(405,'Transfer Engine'!$C$2:$C$1369,0)),"",INDEX('Compliance Database'!$H$2:$H$1369,MATCH(405,'Transfer Engine'!$C$2:$C$1369,0)))</f>
        <v/>
      </c>
      <c r="I414" s="9">
        <f>IF(ISNA(MATCH(405,'Transfer Engine'!$C$2:$C$1369,0)),"",INDEX('Compliance Database'!$I$2:$I$1369,MATCH(405,'Transfer Engine'!$C$2:$C$1369,0)))</f>
        <v/>
      </c>
      <c r="J414" s="8">
        <f>IF(ISNA(MATCH(405,'Transfer Engine'!$C$2:$C$1369,0)),"",INDEX('Compliance Database'!$J$2:$J$1369,MATCH(405,'Transfer Engine'!$C$2:$C$1369,0)))</f>
        <v/>
      </c>
      <c r="K414" s="9">
        <f>IF(ISNA(MATCH(405,'Transfer Engine'!$C$2:$C$1369,0)),"",INDEX('Compliance Database'!$K$2:$K$1369,MATCH(405,'Transfer Engine'!$C$2:$C$1369,0)))</f>
        <v/>
      </c>
      <c r="L414" s="9">
        <f>IF(ISNA(MATCH(405,'Transfer Engine'!$C$2:$C$1369,0)),"",INDEX('Compliance Database'!$L$2:$L$1369,MATCH(405,'Transfer Engine'!$C$2:$C$1369,0)))</f>
        <v/>
      </c>
      <c r="M414" s="9">
        <f>IF(ISNA(MATCH(405,'Transfer Engine'!$C$2:$C$1369,0)),"",INDEX('Compliance Database'!$M$2:$M$1369,MATCH(405,'Transfer Engine'!$C$2:$C$1369,0)))</f>
        <v/>
      </c>
      <c r="N414" s="9">
        <f>IF(ISNA(MATCH(405,'Transfer Engine'!$C$2:$C$1369,0)),"",INDEX('Compliance Database'!$N$2:$N$1369,MATCH(405,'Transfer Engine'!$C$2:$C$1369,0)))</f>
        <v/>
      </c>
      <c r="O414" s="8">
        <f>IF(ISNA(MATCH(405,'Transfer Engine'!$C$2:$C$1369,0)),"",HYPERLINK(INDEX('Compliance Database'!$O$2:$O$1369,MATCH(405,'Transfer Engine'!$C$2:$C$1369,0)),"Open PDF"))</f>
        <v/>
      </c>
    </row>
    <row r="415" ht="188" customHeight="1">
      <c r="A415" s="8">
        <f>IF(ISNA(MATCH(406,'Transfer Engine'!$C$2:$C$1369,0)),"",INDEX('Compliance Database'!$A$2:$A$1369,MATCH(406,'Transfer Engine'!$C$2:$C$1369,0)))</f>
        <v/>
      </c>
      <c r="B415" s="8">
        <f>IF(ISNA(MATCH(406,'Transfer Engine'!$C$2:$C$1369,0)),"",INDEX('Compliance Database'!$B$2:$B$1369,MATCH(406,'Transfer Engine'!$C$2:$C$1369,0)))</f>
        <v/>
      </c>
      <c r="C415" s="8">
        <f>IF(ISNA(MATCH(406,'Transfer Engine'!$C$2:$C$1369,0)),"",INDEX('Compliance Database'!$C$2:$C$1369,MATCH(406,'Transfer Engine'!$C$2:$C$1369,0)))</f>
        <v/>
      </c>
      <c r="D415" s="9">
        <f>IF(ISNA(MATCH(406,'Transfer Engine'!$C$2:$C$1369,0)),"",INDEX('Compliance Database'!$D$2:$D$1369,MATCH(406,'Transfer Engine'!$C$2:$C$1369,0)))</f>
        <v/>
      </c>
      <c r="E415" s="8">
        <f>IF(ISNA(MATCH(406,'Transfer Engine'!$C$2:$C$1369,0)),"",INDEX('Compliance Database'!$E$2:$E$1369,MATCH(406,'Transfer Engine'!$C$2:$C$1369,0)))</f>
        <v/>
      </c>
      <c r="F415" s="8">
        <f>IF(ISNA(MATCH(406,'Transfer Engine'!$C$2:$C$1369,0)),"",INDEX('Compliance Database'!$F$2:$F$1369,MATCH(406,'Transfer Engine'!$C$2:$C$1369,0)))</f>
        <v/>
      </c>
      <c r="G415" s="8">
        <f>IF(ISNA(MATCH(406,'Transfer Engine'!$C$2:$C$1369,0)),"",INDEX('Compliance Database'!$G$2:$G$1369,MATCH(406,'Transfer Engine'!$C$2:$C$1369,0)))</f>
        <v/>
      </c>
      <c r="H415" s="9">
        <f>IF(ISNA(MATCH(406,'Transfer Engine'!$C$2:$C$1369,0)),"",INDEX('Compliance Database'!$H$2:$H$1369,MATCH(406,'Transfer Engine'!$C$2:$C$1369,0)))</f>
        <v/>
      </c>
      <c r="I415" s="9">
        <f>IF(ISNA(MATCH(406,'Transfer Engine'!$C$2:$C$1369,0)),"",INDEX('Compliance Database'!$I$2:$I$1369,MATCH(406,'Transfer Engine'!$C$2:$C$1369,0)))</f>
        <v/>
      </c>
      <c r="J415" s="8">
        <f>IF(ISNA(MATCH(406,'Transfer Engine'!$C$2:$C$1369,0)),"",INDEX('Compliance Database'!$J$2:$J$1369,MATCH(406,'Transfer Engine'!$C$2:$C$1369,0)))</f>
        <v/>
      </c>
      <c r="K415" s="9">
        <f>IF(ISNA(MATCH(406,'Transfer Engine'!$C$2:$C$1369,0)),"",INDEX('Compliance Database'!$K$2:$K$1369,MATCH(406,'Transfer Engine'!$C$2:$C$1369,0)))</f>
        <v/>
      </c>
      <c r="L415" s="9">
        <f>IF(ISNA(MATCH(406,'Transfer Engine'!$C$2:$C$1369,0)),"",INDEX('Compliance Database'!$L$2:$L$1369,MATCH(406,'Transfer Engine'!$C$2:$C$1369,0)))</f>
        <v/>
      </c>
      <c r="M415" s="9">
        <f>IF(ISNA(MATCH(406,'Transfer Engine'!$C$2:$C$1369,0)),"",INDEX('Compliance Database'!$M$2:$M$1369,MATCH(406,'Transfer Engine'!$C$2:$C$1369,0)))</f>
        <v/>
      </c>
      <c r="N415" s="9">
        <f>IF(ISNA(MATCH(406,'Transfer Engine'!$C$2:$C$1369,0)),"",INDEX('Compliance Database'!$N$2:$N$1369,MATCH(406,'Transfer Engine'!$C$2:$C$1369,0)))</f>
        <v/>
      </c>
      <c r="O415" s="8">
        <f>IF(ISNA(MATCH(406,'Transfer Engine'!$C$2:$C$1369,0)),"",HYPERLINK(INDEX('Compliance Database'!$O$2:$O$1369,MATCH(406,'Transfer Engine'!$C$2:$C$1369,0)),"Open PDF"))</f>
        <v/>
      </c>
    </row>
    <row r="416" ht="188" customHeight="1">
      <c r="A416" s="8">
        <f>IF(ISNA(MATCH(407,'Transfer Engine'!$C$2:$C$1369,0)),"",INDEX('Compliance Database'!$A$2:$A$1369,MATCH(407,'Transfer Engine'!$C$2:$C$1369,0)))</f>
        <v/>
      </c>
      <c r="B416" s="8">
        <f>IF(ISNA(MATCH(407,'Transfer Engine'!$C$2:$C$1369,0)),"",INDEX('Compliance Database'!$B$2:$B$1369,MATCH(407,'Transfer Engine'!$C$2:$C$1369,0)))</f>
        <v/>
      </c>
      <c r="C416" s="8">
        <f>IF(ISNA(MATCH(407,'Transfer Engine'!$C$2:$C$1369,0)),"",INDEX('Compliance Database'!$C$2:$C$1369,MATCH(407,'Transfer Engine'!$C$2:$C$1369,0)))</f>
        <v/>
      </c>
      <c r="D416" s="9">
        <f>IF(ISNA(MATCH(407,'Transfer Engine'!$C$2:$C$1369,0)),"",INDEX('Compliance Database'!$D$2:$D$1369,MATCH(407,'Transfer Engine'!$C$2:$C$1369,0)))</f>
        <v/>
      </c>
      <c r="E416" s="8">
        <f>IF(ISNA(MATCH(407,'Transfer Engine'!$C$2:$C$1369,0)),"",INDEX('Compliance Database'!$E$2:$E$1369,MATCH(407,'Transfer Engine'!$C$2:$C$1369,0)))</f>
        <v/>
      </c>
      <c r="F416" s="8">
        <f>IF(ISNA(MATCH(407,'Transfer Engine'!$C$2:$C$1369,0)),"",INDEX('Compliance Database'!$F$2:$F$1369,MATCH(407,'Transfer Engine'!$C$2:$C$1369,0)))</f>
        <v/>
      </c>
      <c r="G416" s="8">
        <f>IF(ISNA(MATCH(407,'Transfer Engine'!$C$2:$C$1369,0)),"",INDEX('Compliance Database'!$G$2:$G$1369,MATCH(407,'Transfer Engine'!$C$2:$C$1369,0)))</f>
        <v/>
      </c>
      <c r="H416" s="9">
        <f>IF(ISNA(MATCH(407,'Transfer Engine'!$C$2:$C$1369,0)),"",INDEX('Compliance Database'!$H$2:$H$1369,MATCH(407,'Transfer Engine'!$C$2:$C$1369,0)))</f>
        <v/>
      </c>
      <c r="I416" s="9">
        <f>IF(ISNA(MATCH(407,'Transfer Engine'!$C$2:$C$1369,0)),"",INDEX('Compliance Database'!$I$2:$I$1369,MATCH(407,'Transfer Engine'!$C$2:$C$1369,0)))</f>
        <v/>
      </c>
      <c r="J416" s="8">
        <f>IF(ISNA(MATCH(407,'Transfer Engine'!$C$2:$C$1369,0)),"",INDEX('Compliance Database'!$J$2:$J$1369,MATCH(407,'Transfer Engine'!$C$2:$C$1369,0)))</f>
        <v/>
      </c>
      <c r="K416" s="9">
        <f>IF(ISNA(MATCH(407,'Transfer Engine'!$C$2:$C$1369,0)),"",INDEX('Compliance Database'!$K$2:$K$1369,MATCH(407,'Transfer Engine'!$C$2:$C$1369,0)))</f>
        <v/>
      </c>
      <c r="L416" s="9">
        <f>IF(ISNA(MATCH(407,'Transfer Engine'!$C$2:$C$1369,0)),"",INDEX('Compliance Database'!$L$2:$L$1369,MATCH(407,'Transfer Engine'!$C$2:$C$1369,0)))</f>
        <v/>
      </c>
      <c r="M416" s="9">
        <f>IF(ISNA(MATCH(407,'Transfer Engine'!$C$2:$C$1369,0)),"",INDEX('Compliance Database'!$M$2:$M$1369,MATCH(407,'Transfer Engine'!$C$2:$C$1369,0)))</f>
        <v/>
      </c>
      <c r="N416" s="9">
        <f>IF(ISNA(MATCH(407,'Transfer Engine'!$C$2:$C$1369,0)),"",INDEX('Compliance Database'!$N$2:$N$1369,MATCH(407,'Transfer Engine'!$C$2:$C$1369,0)))</f>
        <v/>
      </c>
      <c r="O416" s="8">
        <f>IF(ISNA(MATCH(407,'Transfer Engine'!$C$2:$C$1369,0)),"",HYPERLINK(INDEX('Compliance Database'!$O$2:$O$1369,MATCH(407,'Transfer Engine'!$C$2:$C$1369,0)),"Open PDF"))</f>
        <v/>
      </c>
    </row>
    <row r="417" ht="188" customHeight="1">
      <c r="A417" s="8">
        <f>IF(ISNA(MATCH(408,'Transfer Engine'!$C$2:$C$1369,0)),"",INDEX('Compliance Database'!$A$2:$A$1369,MATCH(408,'Transfer Engine'!$C$2:$C$1369,0)))</f>
        <v/>
      </c>
      <c r="B417" s="8">
        <f>IF(ISNA(MATCH(408,'Transfer Engine'!$C$2:$C$1369,0)),"",INDEX('Compliance Database'!$B$2:$B$1369,MATCH(408,'Transfer Engine'!$C$2:$C$1369,0)))</f>
        <v/>
      </c>
      <c r="C417" s="8">
        <f>IF(ISNA(MATCH(408,'Transfer Engine'!$C$2:$C$1369,0)),"",INDEX('Compliance Database'!$C$2:$C$1369,MATCH(408,'Transfer Engine'!$C$2:$C$1369,0)))</f>
        <v/>
      </c>
      <c r="D417" s="9">
        <f>IF(ISNA(MATCH(408,'Transfer Engine'!$C$2:$C$1369,0)),"",INDEX('Compliance Database'!$D$2:$D$1369,MATCH(408,'Transfer Engine'!$C$2:$C$1369,0)))</f>
        <v/>
      </c>
      <c r="E417" s="8">
        <f>IF(ISNA(MATCH(408,'Transfer Engine'!$C$2:$C$1369,0)),"",INDEX('Compliance Database'!$E$2:$E$1369,MATCH(408,'Transfer Engine'!$C$2:$C$1369,0)))</f>
        <v/>
      </c>
      <c r="F417" s="8">
        <f>IF(ISNA(MATCH(408,'Transfer Engine'!$C$2:$C$1369,0)),"",INDEX('Compliance Database'!$F$2:$F$1369,MATCH(408,'Transfer Engine'!$C$2:$C$1369,0)))</f>
        <v/>
      </c>
      <c r="G417" s="8">
        <f>IF(ISNA(MATCH(408,'Transfer Engine'!$C$2:$C$1369,0)),"",INDEX('Compliance Database'!$G$2:$G$1369,MATCH(408,'Transfer Engine'!$C$2:$C$1369,0)))</f>
        <v/>
      </c>
      <c r="H417" s="9">
        <f>IF(ISNA(MATCH(408,'Transfer Engine'!$C$2:$C$1369,0)),"",INDEX('Compliance Database'!$H$2:$H$1369,MATCH(408,'Transfer Engine'!$C$2:$C$1369,0)))</f>
        <v/>
      </c>
      <c r="I417" s="9">
        <f>IF(ISNA(MATCH(408,'Transfer Engine'!$C$2:$C$1369,0)),"",INDEX('Compliance Database'!$I$2:$I$1369,MATCH(408,'Transfer Engine'!$C$2:$C$1369,0)))</f>
        <v/>
      </c>
      <c r="J417" s="8">
        <f>IF(ISNA(MATCH(408,'Transfer Engine'!$C$2:$C$1369,0)),"",INDEX('Compliance Database'!$J$2:$J$1369,MATCH(408,'Transfer Engine'!$C$2:$C$1369,0)))</f>
        <v/>
      </c>
      <c r="K417" s="9">
        <f>IF(ISNA(MATCH(408,'Transfer Engine'!$C$2:$C$1369,0)),"",INDEX('Compliance Database'!$K$2:$K$1369,MATCH(408,'Transfer Engine'!$C$2:$C$1369,0)))</f>
        <v/>
      </c>
      <c r="L417" s="9">
        <f>IF(ISNA(MATCH(408,'Transfer Engine'!$C$2:$C$1369,0)),"",INDEX('Compliance Database'!$L$2:$L$1369,MATCH(408,'Transfer Engine'!$C$2:$C$1369,0)))</f>
        <v/>
      </c>
      <c r="M417" s="9">
        <f>IF(ISNA(MATCH(408,'Transfer Engine'!$C$2:$C$1369,0)),"",INDEX('Compliance Database'!$M$2:$M$1369,MATCH(408,'Transfer Engine'!$C$2:$C$1369,0)))</f>
        <v/>
      </c>
      <c r="N417" s="9">
        <f>IF(ISNA(MATCH(408,'Transfer Engine'!$C$2:$C$1369,0)),"",INDEX('Compliance Database'!$N$2:$N$1369,MATCH(408,'Transfer Engine'!$C$2:$C$1369,0)))</f>
        <v/>
      </c>
      <c r="O417" s="8">
        <f>IF(ISNA(MATCH(408,'Transfer Engine'!$C$2:$C$1369,0)),"",HYPERLINK(INDEX('Compliance Database'!$O$2:$O$1369,MATCH(408,'Transfer Engine'!$C$2:$C$1369,0)),"Open PDF"))</f>
        <v/>
      </c>
    </row>
    <row r="418" ht="188" customHeight="1">
      <c r="A418" s="8">
        <f>IF(ISNA(MATCH(409,'Transfer Engine'!$C$2:$C$1369,0)),"",INDEX('Compliance Database'!$A$2:$A$1369,MATCH(409,'Transfer Engine'!$C$2:$C$1369,0)))</f>
        <v/>
      </c>
      <c r="B418" s="8">
        <f>IF(ISNA(MATCH(409,'Transfer Engine'!$C$2:$C$1369,0)),"",INDEX('Compliance Database'!$B$2:$B$1369,MATCH(409,'Transfer Engine'!$C$2:$C$1369,0)))</f>
        <v/>
      </c>
      <c r="C418" s="8">
        <f>IF(ISNA(MATCH(409,'Transfer Engine'!$C$2:$C$1369,0)),"",INDEX('Compliance Database'!$C$2:$C$1369,MATCH(409,'Transfer Engine'!$C$2:$C$1369,0)))</f>
        <v/>
      </c>
      <c r="D418" s="9">
        <f>IF(ISNA(MATCH(409,'Transfer Engine'!$C$2:$C$1369,0)),"",INDEX('Compliance Database'!$D$2:$D$1369,MATCH(409,'Transfer Engine'!$C$2:$C$1369,0)))</f>
        <v/>
      </c>
      <c r="E418" s="8">
        <f>IF(ISNA(MATCH(409,'Transfer Engine'!$C$2:$C$1369,0)),"",INDEX('Compliance Database'!$E$2:$E$1369,MATCH(409,'Transfer Engine'!$C$2:$C$1369,0)))</f>
        <v/>
      </c>
      <c r="F418" s="8">
        <f>IF(ISNA(MATCH(409,'Transfer Engine'!$C$2:$C$1369,0)),"",INDEX('Compliance Database'!$F$2:$F$1369,MATCH(409,'Transfer Engine'!$C$2:$C$1369,0)))</f>
        <v/>
      </c>
      <c r="G418" s="8">
        <f>IF(ISNA(MATCH(409,'Transfer Engine'!$C$2:$C$1369,0)),"",INDEX('Compliance Database'!$G$2:$G$1369,MATCH(409,'Transfer Engine'!$C$2:$C$1369,0)))</f>
        <v/>
      </c>
      <c r="H418" s="9">
        <f>IF(ISNA(MATCH(409,'Transfer Engine'!$C$2:$C$1369,0)),"",INDEX('Compliance Database'!$H$2:$H$1369,MATCH(409,'Transfer Engine'!$C$2:$C$1369,0)))</f>
        <v/>
      </c>
      <c r="I418" s="9">
        <f>IF(ISNA(MATCH(409,'Transfer Engine'!$C$2:$C$1369,0)),"",INDEX('Compliance Database'!$I$2:$I$1369,MATCH(409,'Transfer Engine'!$C$2:$C$1369,0)))</f>
        <v/>
      </c>
      <c r="J418" s="8">
        <f>IF(ISNA(MATCH(409,'Transfer Engine'!$C$2:$C$1369,0)),"",INDEX('Compliance Database'!$J$2:$J$1369,MATCH(409,'Transfer Engine'!$C$2:$C$1369,0)))</f>
        <v/>
      </c>
      <c r="K418" s="9">
        <f>IF(ISNA(MATCH(409,'Transfer Engine'!$C$2:$C$1369,0)),"",INDEX('Compliance Database'!$K$2:$K$1369,MATCH(409,'Transfer Engine'!$C$2:$C$1369,0)))</f>
        <v/>
      </c>
      <c r="L418" s="9">
        <f>IF(ISNA(MATCH(409,'Transfer Engine'!$C$2:$C$1369,0)),"",INDEX('Compliance Database'!$L$2:$L$1369,MATCH(409,'Transfer Engine'!$C$2:$C$1369,0)))</f>
        <v/>
      </c>
      <c r="M418" s="9">
        <f>IF(ISNA(MATCH(409,'Transfer Engine'!$C$2:$C$1369,0)),"",INDEX('Compliance Database'!$M$2:$M$1369,MATCH(409,'Transfer Engine'!$C$2:$C$1369,0)))</f>
        <v/>
      </c>
      <c r="N418" s="9">
        <f>IF(ISNA(MATCH(409,'Transfer Engine'!$C$2:$C$1369,0)),"",INDEX('Compliance Database'!$N$2:$N$1369,MATCH(409,'Transfer Engine'!$C$2:$C$1369,0)))</f>
        <v/>
      </c>
      <c r="O418" s="8">
        <f>IF(ISNA(MATCH(409,'Transfer Engine'!$C$2:$C$1369,0)),"",HYPERLINK(INDEX('Compliance Database'!$O$2:$O$1369,MATCH(409,'Transfer Engine'!$C$2:$C$1369,0)),"Open PDF"))</f>
        <v/>
      </c>
    </row>
    <row r="419" ht="188" customHeight="1">
      <c r="A419" s="8">
        <f>IF(ISNA(MATCH(410,'Transfer Engine'!$C$2:$C$1369,0)),"",INDEX('Compliance Database'!$A$2:$A$1369,MATCH(410,'Transfer Engine'!$C$2:$C$1369,0)))</f>
        <v/>
      </c>
      <c r="B419" s="8">
        <f>IF(ISNA(MATCH(410,'Transfer Engine'!$C$2:$C$1369,0)),"",INDEX('Compliance Database'!$B$2:$B$1369,MATCH(410,'Transfer Engine'!$C$2:$C$1369,0)))</f>
        <v/>
      </c>
      <c r="C419" s="8">
        <f>IF(ISNA(MATCH(410,'Transfer Engine'!$C$2:$C$1369,0)),"",INDEX('Compliance Database'!$C$2:$C$1369,MATCH(410,'Transfer Engine'!$C$2:$C$1369,0)))</f>
        <v/>
      </c>
      <c r="D419" s="9">
        <f>IF(ISNA(MATCH(410,'Transfer Engine'!$C$2:$C$1369,0)),"",INDEX('Compliance Database'!$D$2:$D$1369,MATCH(410,'Transfer Engine'!$C$2:$C$1369,0)))</f>
        <v/>
      </c>
      <c r="E419" s="8">
        <f>IF(ISNA(MATCH(410,'Transfer Engine'!$C$2:$C$1369,0)),"",INDEX('Compliance Database'!$E$2:$E$1369,MATCH(410,'Transfer Engine'!$C$2:$C$1369,0)))</f>
        <v/>
      </c>
      <c r="F419" s="8">
        <f>IF(ISNA(MATCH(410,'Transfer Engine'!$C$2:$C$1369,0)),"",INDEX('Compliance Database'!$F$2:$F$1369,MATCH(410,'Transfer Engine'!$C$2:$C$1369,0)))</f>
        <v/>
      </c>
      <c r="G419" s="8">
        <f>IF(ISNA(MATCH(410,'Transfer Engine'!$C$2:$C$1369,0)),"",INDEX('Compliance Database'!$G$2:$G$1369,MATCH(410,'Transfer Engine'!$C$2:$C$1369,0)))</f>
        <v/>
      </c>
      <c r="H419" s="9">
        <f>IF(ISNA(MATCH(410,'Transfer Engine'!$C$2:$C$1369,0)),"",INDEX('Compliance Database'!$H$2:$H$1369,MATCH(410,'Transfer Engine'!$C$2:$C$1369,0)))</f>
        <v/>
      </c>
      <c r="I419" s="9">
        <f>IF(ISNA(MATCH(410,'Transfer Engine'!$C$2:$C$1369,0)),"",INDEX('Compliance Database'!$I$2:$I$1369,MATCH(410,'Transfer Engine'!$C$2:$C$1369,0)))</f>
        <v/>
      </c>
      <c r="J419" s="8">
        <f>IF(ISNA(MATCH(410,'Transfer Engine'!$C$2:$C$1369,0)),"",INDEX('Compliance Database'!$J$2:$J$1369,MATCH(410,'Transfer Engine'!$C$2:$C$1369,0)))</f>
        <v/>
      </c>
      <c r="K419" s="9">
        <f>IF(ISNA(MATCH(410,'Transfer Engine'!$C$2:$C$1369,0)),"",INDEX('Compliance Database'!$K$2:$K$1369,MATCH(410,'Transfer Engine'!$C$2:$C$1369,0)))</f>
        <v/>
      </c>
      <c r="L419" s="9">
        <f>IF(ISNA(MATCH(410,'Transfer Engine'!$C$2:$C$1369,0)),"",INDEX('Compliance Database'!$L$2:$L$1369,MATCH(410,'Transfer Engine'!$C$2:$C$1369,0)))</f>
        <v/>
      </c>
      <c r="M419" s="9">
        <f>IF(ISNA(MATCH(410,'Transfer Engine'!$C$2:$C$1369,0)),"",INDEX('Compliance Database'!$M$2:$M$1369,MATCH(410,'Transfer Engine'!$C$2:$C$1369,0)))</f>
        <v/>
      </c>
      <c r="N419" s="9">
        <f>IF(ISNA(MATCH(410,'Transfer Engine'!$C$2:$C$1369,0)),"",INDEX('Compliance Database'!$N$2:$N$1369,MATCH(410,'Transfer Engine'!$C$2:$C$1369,0)))</f>
        <v/>
      </c>
      <c r="O419" s="8">
        <f>IF(ISNA(MATCH(410,'Transfer Engine'!$C$2:$C$1369,0)),"",HYPERLINK(INDEX('Compliance Database'!$O$2:$O$1369,MATCH(410,'Transfer Engine'!$C$2:$C$1369,0)),"Open PDF"))</f>
        <v/>
      </c>
    </row>
    <row r="420" ht="188" customHeight="1">
      <c r="A420" s="8">
        <f>IF(ISNA(MATCH(411,'Transfer Engine'!$C$2:$C$1369,0)),"",INDEX('Compliance Database'!$A$2:$A$1369,MATCH(411,'Transfer Engine'!$C$2:$C$1369,0)))</f>
        <v/>
      </c>
      <c r="B420" s="8">
        <f>IF(ISNA(MATCH(411,'Transfer Engine'!$C$2:$C$1369,0)),"",INDEX('Compliance Database'!$B$2:$B$1369,MATCH(411,'Transfer Engine'!$C$2:$C$1369,0)))</f>
        <v/>
      </c>
      <c r="C420" s="8">
        <f>IF(ISNA(MATCH(411,'Transfer Engine'!$C$2:$C$1369,0)),"",INDEX('Compliance Database'!$C$2:$C$1369,MATCH(411,'Transfer Engine'!$C$2:$C$1369,0)))</f>
        <v/>
      </c>
      <c r="D420" s="9">
        <f>IF(ISNA(MATCH(411,'Transfer Engine'!$C$2:$C$1369,0)),"",INDEX('Compliance Database'!$D$2:$D$1369,MATCH(411,'Transfer Engine'!$C$2:$C$1369,0)))</f>
        <v/>
      </c>
      <c r="E420" s="8">
        <f>IF(ISNA(MATCH(411,'Transfer Engine'!$C$2:$C$1369,0)),"",INDEX('Compliance Database'!$E$2:$E$1369,MATCH(411,'Transfer Engine'!$C$2:$C$1369,0)))</f>
        <v/>
      </c>
      <c r="F420" s="8">
        <f>IF(ISNA(MATCH(411,'Transfer Engine'!$C$2:$C$1369,0)),"",INDEX('Compliance Database'!$F$2:$F$1369,MATCH(411,'Transfer Engine'!$C$2:$C$1369,0)))</f>
        <v/>
      </c>
      <c r="G420" s="8">
        <f>IF(ISNA(MATCH(411,'Transfer Engine'!$C$2:$C$1369,0)),"",INDEX('Compliance Database'!$G$2:$G$1369,MATCH(411,'Transfer Engine'!$C$2:$C$1369,0)))</f>
        <v/>
      </c>
      <c r="H420" s="9">
        <f>IF(ISNA(MATCH(411,'Transfer Engine'!$C$2:$C$1369,0)),"",INDEX('Compliance Database'!$H$2:$H$1369,MATCH(411,'Transfer Engine'!$C$2:$C$1369,0)))</f>
        <v/>
      </c>
      <c r="I420" s="9">
        <f>IF(ISNA(MATCH(411,'Transfer Engine'!$C$2:$C$1369,0)),"",INDEX('Compliance Database'!$I$2:$I$1369,MATCH(411,'Transfer Engine'!$C$2:$C$1369,0)))</f>
        <v/>
      </c>
      <c r="J420" s="8">
        <f>IF(ISNA(MATCH(411,'Transfer Engine'!$C$2:$C$1369,0)),"",INDEX('Compliance Database'!$J$2:$J$1369,MATCH(411,'Transfer Engine'!$C$2:$C$1369,0)))</f>
        <v/>
      </c>
      <c r="K420" s="9">
        <f>IF(ISNA(MATCH(411,'Transfer Engine'!$C$2:$C$1369,0)),"",INDEX('Compliance Database'!$K$2:$K$1369,MATCH(411,'Transfer Engine'!$C$2:$C$1369,0)))</f>
        <v/>
      </c>
      <c r="L420" s="9">
        <f>IF(ISNA(MATCH(411,'Transfer Engine'!$C$2:$C$1369,0)),"",INDEX('Compliance Database'!$L$2:$L$1369,MATCH(411,'Transfer Engine'!$C$2:$C$1369,0)))</f>
        <v/>
      </c>
      <c r="M420" s="9">
        <f>IF(ISNA(MATCH(411,'Transfer Engine'!$C$2:$C$1369,0)),"",INDEX('Compliance Database'!$M$2:$M$1369,MATCH(411,'Transfer Engine'!$C$2:$C$1369,0)))</f>
        <v/>
      </c>
      <c r="N420" s="9">
        <f>IF(ISNA(MATCH(411,'Transfer Engine'!$C$2:$C$1369,0)),"",INDEX('Compliance Database'!$N$2:$N$1369,MATCH(411,'Transfer Engine'!$C$2:$C$1369,0)))</f>
        <v/>
      </c>
      <c r="O420" s="8">
        <f>IF(ISNA(MATCH(411,'Transfer Engine'!$C$2:$C$1369,0)),"",HYPERLINK(INDEX('Compliance Database'!$O$2:$O$1369,MATCH(411,'Transfer Engine'!$C$2:$C$1369,0)),"Open PDF"))</f>
        <v/>
      </c>
    </row>
    <row r="421" ht="188" customHeight="1">
      <c r="A421" s="8">
        <f>IF(ISNA(MATCH(412,'Transfer Engine'!$C$2:$C$1369,0)),"",INDEX('Compliance Database'!$A$2:$A$1369,MATCH(412,'Transfer Engine'!$C$2:$C$1369,0)))</f>
        <v/>
      </c>
      <c r="B421" s="8">
        <f>IF(ISNA(MATCH(412,'Transfer Engine'!$C$2:$C$1369,0)),"",INDEX('Compliance Database'!$B$2:$B$1369,MATCH(412,'Transfer Engine'!$C$2:$C$1369,0)))</f>
        <v/>
      </c>
      <c r="C421" s="8">
        <f>IF(ISNA(MATCH(412,'Transfer Engine'!$C$2:$C$1369,0)),"",INDEX('Compliance Database'!$C$2:$C$1369,MATCH(412,'Transfer Engine'!$C$2:$C$1369,0)))</f>
        <v/>
      </c>
      <c r="D421" s="9">
        <f>IF(ISNA(MATCH(412,'Transfer Engine'!$C$2:$C$1369,0)),"",INDEX('Compliance Database'!$D$2:$D$1369,MATCH(412,'Transfer Engine'!$C$2:$C$1369,0)))</f>
        <v/>
      </c>
      <c r="E421" s="8">
        <f>IF(ISNA(MATCH(412,'Transfer Engine'!$C$2:$C$1369,0)),"",INDEX('Compliance Database'!$E$2:$E$1369,MATCH(412,'Transfer Engine'!$C$2:$C$1369,0)))</f>
        <v/>
      </c>
      <c r="F421" s="8">
        <f>IF(ISNA(MATCH(412,'Transfer Engine'!$C$2:$C$1369,0)),"",INDEX('Compliance Database'!$F$2:$F$1369,MATCH(412,'Transfer Engine'!$C$2:$C$1369,0)))</f>
        <v/>
      </c>
      <c r="G421" s="8">
        <f>IF(ISNA(MATCH(412,'Transfer Engine'!$C$2:$C$1369,0)),"",INDEX('Compliance Database'!$G$2:$G$1369,MATCH(412,'Transfer Engine'!$C$2:$C$1369,0)))</f>
        <v/>
      </c>
      <c r="H421" s="9">
        <f>IF(ISNA(MATCH(412,'Transfer Engine'!$C$2:$C$1369,0)),"",INDEX('Compliance Database'!$H$2:$H$1369,MATCH(412,'Transfer Engine'!$C$2:$C$1369,0)))</f>
        <v/>
      </c>
      <c r="I421" s="9">
        <f>IF(ISNA(MATCH(412,'Transfer Engine'!$C$2:$C$1369,0)),"",INDEX('Compliance Database'!$I$2:$I$1369,MATCH(412,'Transfer Engine'!$C$2:$C$1369,0)))</f>
        <v/>
      </c>
      <c r="J421" s="8">
        <f>IF(ISNA(MATCH(412,'Transfer Engine'!$C$2:$C$1369,0)),"",INDEX('Compliance Database'!$J$2:$J$1369,MATCH(412,'Transfer Engine'!$C$2:$C$1369,0)))</f>
        <v/>
      </c>
      <c r="K421" s="9">
        <f>IF(ISNA(MATCH(412,'Transfer Engine'!$C$2:$C$1369,0)),"",INDEX('Compliance Database'!$K$2:$K$1369,MATCH(412,'Transfer Engine'!$C$2:$C$1369,0)))</f>
        <v/>
      </c>
      <c r="L421" s="9">
        <f>IF(ISNA(MATCH(412,'Transfer Engine'!$C$2:$C$1369,0)),"",INDEX('Compliance Database'!$L$2:$L$1369,MATCH(412,'Transfer Engine'!$C$2:$C$1369,0)))</f>
        <v/>
      </c>
      <c r="M421" s="9">
        <f>IF(ISNA(MATCH(412,'Transfer Engine'!$C$2:$C$1369,0)),"",INDEX('Compliance Database'!$M$2:$M$1369,MATCH(412,'Transfer Engine'!$C$2:$C$1369,0)))</f>
        <v/>
      </c>
      <c r="N421" s="9">
        <f>IF(ISNA(MATCH(412,'Transfer Engine'!$C$2:$C$1369,0)),"",INDEX('Compliance Database'!$N$2:$N$1369,MATCH(412,'Transfer Engine'!$C$2:$C$1369,0)))</f>
        <v/>
      </c>
      <c r="O421" s="8">
        <f>IF(ISNA(MATCH(412,'Transfer Engine'!$C$2:$C$1369,0)),"",HYPERLINK(INDEX('Compliance Database'!$O$2:$O$1369,MATCH(412,'Transfer Engine'!$C$2:$C$1369,0)),"Open PDF"))</f>
        <v/>
      </c>
    </row>
    <row r="422" ht="188" customHeight="1">
      <c r="A422" s="8">
        <f>IF(ISNA(MATCH(413,'Transfer Engine'!$C$2:$C$1369,0)),"",INDEX('Compliance Database'!$A$2:$A$1369,MATCH(413,'Transfer Engine'!$C$2:$C$1369,0)))</f>
        <v/>
      </c>
      <c r="B422" s="8">
        <f>IF(ISNA(MATCH(413,'Transfer Engine'!$C$2:$C$1369,0)),"",INDEX('Compliance Database'!$B$2:$B$1369,MATCH(413,'Transfer Engine'!$C$2:$C$1369,0)))</f>
        <v/>
      </c>
      <c r="C422" s="8">
        <f>IF(ISNA(MATCH(413,'Transfer Engine'!$C$2:$C$1369,0)),"",INDEX('Compliance Database'!$C$2:$C$1369,MATCH(413,'Transfer Engine'!$C$2:$C$1369,0)))</f>
        <v/>
      </c>
      <c r="D422" s="9">
        <f>IF(ISNA(MATCH(413,'Transfer Engine'!$C$2:$C$1369,0)),"",INDEX('Compliance Database'!$D$2:$D$1369,MATCH(413,'Transfer Engine'!$C$2:$C$1369,0)))</f>
        <v/>
      </c>
      <c r="E422" s="8">
        <f>IF(ISNA(MATCH(413,'Transfer Engine'!$C$2:$C$1369,0)),"",INDEX('Compliance Database'!$E$2:$E$1369,MATCH(413,'Transfer Engine'!$C$2:$C$1369,0)))</f>
        <v/>
      </c>
      <c r="F422" s="8">
        <f>IF(ISNA(MATCH(413,'Transfer Engine'!$C$2:$C$1369,0)),"",INDEX('Compliance Database'!$F$2:$F$1369,MATCH(413,'Transfer Engine'!$C$2:$C$1369,0)))</f>
        <v/>
      </c>
      <c r="G422" s="8">
        <f>IF(ISNA(MATCH(413,'Transfer Engine'!$C$2:$C$1369,0)),"",INDEX('Compliance Database'!$G$2:$G$1369,MATCH(413,'Transfer Engine'!$C$2:$C$1369,0)))</f>
        <v/>
      </c>
      <c r="H422" s="9">
        <f>IF(ISNA(MATCH(413,'Transfer Engine'!$C$2:$C$1369,0)),"",INDEX('Compliance Database'!$H$2:$H$1369,MATCH(413,'Transfer Engine'!$C$2:$C$1369,0)))</f>
        <v/>
      </c>
      <c r="I422" s="9">
        <f>IF(ISNA(MATCH(413,'Transfer Engine'!$C$2:$C$1369,0)),"",INDEX('Compliance Database'!$I$2:$I$1369,MATCH(413,'Transfer Engine'!$C$2:$C$1369,0)))</f>
        <v/>
      </c>
      <c r="J422" s="8">
        <f>IF(ISNA(MATCH(413,'Transfer Engine'!$C$2:$C$1369,0)),"",INDEX('Compliance Database'!$J$2:$J$1369,MATCH(413,'Transfer Engine'!$C$2:$C$1369,0)))</f>
        <v/>
      </c>
      <c r="K422" s="9">
        <f>IF(ISNA(MATCH(413,'Transfer Engine'!$C$2:$C$1369,0)),"",INDEX('Compliance Database'!$K$2:$K$1369,MATCH(413,'Transfer Engine'!$C$2:$C$1369,0)))</f>
        <v/>
      </c>
      <c r="L422" s="9">
        <f>IF(ISNA(MATCH(413,'Transfer Engine'!$C$2:$C$1369,0)),"",INDEX('Compliance Database'!$L$2:$L$1369,MATCH(413,'Transfer Engine'!$C$2:$C$1369,0)))</f>
        <v/>
      </c>
      <c r="M422" s="9">
        <f>IF(ISNA(MATCH(413,'Transfer Engine'!$C$2:$C$1369,0)),"",INDEX('Compliance Database'!$M$2:$M$1369,MATCH(413,'Transfer Engine'!$C$2:$C$1369,0)))</f>
        <v/>
      </c>
      <c r="N422" s="9">
        <f>IF(ISNA(MATCH(413,'Transfer Engine'!$C$2:$C$1369,0)),"",INDEX('Compliance Database'!$N$2:$N$1369,MATCH(413,'Transfer Engine'!$C$2:$C$1369,0)))</f>
        <v/>
      </c>
      <c r="O422" s="8">
        <f>IF(ISNA(MATCH(413,'Transfer Engine'!$C$2:$C$1369,0)),"",HYPERLINK(INDEX('Compliance Database'!$O$2:$O$1369,MATCH(413,'Transfer Engine'!$C$2:$C$1369,0)),"Open PDF"))</f>
        <v/>
      </c>
    </row>
    <row r="423" ht="188" customHeight="1">
      <c r="A423" s="8">
        <f>IF(ISNA(MATCH(414,'Transfer Engine'!$C$2:$C$1369,0)),"",INDEX('Compliance Database'!$A$2:$A$1369,MATCH(414,'Transfer Engine'!$C$2:$C$1369,0)))</f>
        <v/>
      </c>
      <c r="B423" s="8">
        <f>IF(ISNA(MATCH(414,'Transfer Engine'!$C$2:$C$1369,0)),"",INDEX('Compliance Database'!$B$2:$B$1369,MATCH(414,'Transfer Engine'!$C$2:$C$1369,0)))</f>
        <v/>
      </c>
      <c r="C423" s="8">
        <f>IF(ISNA(MATCH(414,'Transfer Engine'!$C$2:$C$1369,0)),"",INDEX('Compliance Database'!$C$2:$C$1369,MATCH(414,'Transfer Engine'!$C$2:$C$1369,0)))</f>
        <v/>
      </c>
      <c r="D423" s="9">
        <f>IF(ISNA(MATCH(414,'Transfer Engine'!$C$2:$C$1369,0)),"",INDEX('Compliance Database'!$D$2:$D$1369,MATCH(414,'Transfer Engine'!$C$2:$C$1369,0)))</f>
        <v/>
      </c>
      <c r="E423" s="8">
        <f>IF(ISNA(MATCH(414,'Transfer Engine'!$C$2:$C$1369,0)),"",INDEX('Compliance Database'!$E$2:$E$1369,MATCH(414,'Transfer Engine'!$C$2:$C$1369,0)))</f>
        <v/>
      </c>
      <c r="F423" s="8">
        <f>IF(ISNA(MATCH(414,'Transfer Engine'!$C$2:$C$1369,0)),"",INDEX('Compliance Database'!$F$2:$F$1369,MATCH(414,'Transfer Engine'!$C$2:$C$1369,0)))</f>
        <v/>
      </c>
      <c r="G423" s="8">
        <f>IF(ISNA(MATCH(414,'Transfer Engine'!$C$2:$C$1369,0)),"",INDEX('Compliance Database'!$G$2:$G$1369,MATCH(414,'Transfer Engine'!$C$2:$C$1369,0)))</f>
        <v/>
      </c>
      <c r="H423" s="9">
        <f>IF(ISNA(MATCH(414,'Transfer Engine'!$C$2:$C$1369,0)),"",INDEX('Compliance Database'!$H$2:$H$1369,MATCH(414,'Transfer Engine'!$C$2:$C$1369,0)))</f>
        <v/>
      </c>
      <c r="I423" s="9">
        <f>IF(ISNA(MATCH(414,'Transfer Engine'!$C$2:$C$1369,0)),"",INDEX('Compliance Database'!$I$2:$I$1369,MATCH(414,'Transfer Engine'!$C$2:$C$1369,0)))</f>
        <v/>
      </c>
      <c r="J423" s="8">
        <f>IF(ISNA(MATCH(414,'Transfer Engine'!$C$2:$C$1369,0)),"",INDEX('Compliance Database'!$J$2:$J$1369,MATCH(414,'Transfer Engine'!$C$2:$C$1369,0)))</f>
        <v/>
      </c>
      <c r="K423" s="9">
        <f>IF(ISNA(MATCH(414,'Transfer Engine'!$C$2:$C$1369,0)),"",INDEX('Compliance Database'!$K$2:$K$1369,MATCH(414,'Transfer Engine'!$C$2:$C$1369,0)))</f>
        <v/>
      </c>
      <c r="L423" s="9">
        <f>IF(ISNA(MATCH(414,'Transfer Engine'!$C$2:$C$1369,0)),"",INDEX('Compliance Database'!$L$2:$L$1369,MATCH(414,'Transfer Engine'!$C$2:$C$1369,0)))</f>
        <v/>
      </c>
      <c r="M423" s="9">
        <f>IF(ISNA(MATCH(414,'Transfer Engine'!$C$2:$C$1369,0)),"",INDEX('Compliance Database'!$M$2:$M$1369,MATCH(414,'Transfer Engine'!$C$2:$C$1369,0)))</f>
        <v/>
      </c>
      <c r="N423" s="9">
        <f>IF(ISNA(MATCH(414,'Transfer Engine'!$C$2:$C$1369,0)),"",INDEX('Compliance Database'!$N$2:$N$1369,MATCH(414,'Transfer Engine'!$C$2:$C$1369,0)))</f>
        <v/>
      </c>
      <c r="O423" s="8">
        <f>IF(ISNA(MATCH(414,'Transfer Engine'!$C$2:$C$1369,0)),"",HYPERLINK(INDEX('Compliance Database'!$O$2:$O$1369,MATCH(414,'Transfer Engine'!$C$2:$C$1369,0)),"Open PDF"))</f>
        <v/>
      </c>
    </row>
    <row r="424" ht="188" customHeight="1">
      <c r="A424" s="8">
        <f>IF(ISNA(MATCH(415,'Transfer Engine'!$C$2:$C$1369,0)),"",INDEX('Compliance Database'!$A$2:$A$1369,MATCH(415,'Transfer Engine'!$C$2:$C$1369,0)))</f>
        <v/>
      </c>
      <c r="B424" s="8">
        <f>IF(ISNA(MATCH(415,'Transfer Engine'!$C$2:$C$1369,0)),"",INDEX('Compliance Database'!$B$2:$B$1369,MATCH(415,'Transfer Engine'!$C$2:$C$1369,0)))</f>
        <v/>
      </c>
      <c r="C424" s="8">
        <f>IF(ISNA(MATCH(415,'Transfer Engine'!$C$2:$C$1369,0)),"",INDEX('Compliance Database'!$C$2:$C$1369,MATCH(415,'Transfer Engine'!$C$2:$C$1369,0)))</f>
        <v/>
      </c>
      <c r="D424" s="9">
        <f>IF(ISNA(MATCH(415,'Transfer Engine'!$C$2:$C$1369,0)),"",INDEX('Compliance Database'!$D$2:$D$1369,MATCH(415,'Transfer Engine'!$C$2:$C$1369,0)))</f>
        <v/>
      </c>
      <c r="E424" s="8">
        <f>IF(ISNA(MATCH(415,'Transfer Engine'!$C$2:$C$1369,0)),"",INDEX('Compliance Database'!$E$2:$E$1369,MATCH(415,'Transfer Engine'!$C$2:$C$1369,0)))</f>
        <v/>
      </c>
      <c r="F424" s="8">
        <f>IF(ISNA(MATCH(415,'Transfer Engine'!$C$2:$C$1369,0)),"",INDEX('Compliance Database'!$F$2:$F$1369,MATCH(415,'Transfer Engine'!$C$2:$C$1369,0)))</f>
        <v/>
      </c>
      <c r="G424" s="8">
        <f>IF(ISNA(MATCH(415,'Transfer Engine'!$C$2:$C$1369,0)),"",INDEX('Compliance Database'!$G$2:$G$1369,MATCH(415,'Transfer Engine'!$C$2:$C$1369,0)))</f>
        <v/>
      </c>
      <c r="H424" s="9">
        <f>IF(ISNA(MATCH(415,'Transfer Engine'!$C$2:$C$1369,0)),"",INDEX('Compliance Database'!$H$2:$H$1369,MATCH(415,'Transfer Engine'!$C$2:$C$1369,0)))</f>
        <v/>
      </c>
      <c r="I424" s="9">
        <f>IF(ISNA(MATCH(415,'Transfer Engine'!$C$2:$C$1369,0)),"",INDEX('Compliance Database'!$I$2:$I$1369,MATCH(415,'Transfer Engine'!$C$2:$C$1369,0)))</f>
        <v/>
      </c>
      <c r="J424" s="8">
        <f>IF(ISNA(MATCH(415,'Transfer Engine'!$C$2:$C$1369,0)),"",INDEX('Compliance Database'!$J$2:$J$1369,MATCH(415,'Transfer Engine'!$C$2:$C$1369,0)))</f>
        <v/>
      </c>
      <c r="K424" s="9">
        <f>IF(ISNA(MATCH(415,'Transfer Engine'!$C$2:$C$1369,0)),"",INDEX('Compliance Database'!$K$2:$K$1369,MATCH(415,'Transfer Engine'!$C$2:$C$1369,0)))</f>
        <v/>
      </c>
      <c r="L424" s="9">
        <f>IF(ISNA(MATCH(415,'Transfer Engine'!$C$2:$C$1369,0)),"",INDEX('Compliance Database'!$L$2:$L$1369,MATCH(415,'Transfer Engine'!$C$2:$C$1369,0)))</f>
        <v/>
      </c>
      <c r="M424" s="9">
        <f>IF(ISNA(MATCH(415,'Transfer Engine'!$C$2:$C$1369,0)),"",INDEX('Compliance Database'!$M$2:$M$1369,MATCH(415,'Transfer Engine'!$C$2:$C$1369,0)))</f>
        <v/>
      </c>
      <c r="N424" s="9">
        <f>IF(ISNA(MATCH(415,'Transfer Engine'!$C$2:$C$1369,0)),"",INDEX('Compliance Database'!$N$2:$N$1369,MATCH(415,'Transfer Engine'!$C$2:$C$1369,0)))</f>
        <v/>
      </c>
      <c r="O424" s="8">
        <f>IF(ISNA(MATCH(415,'Transfer Engine'!$C$2:$C$1369,0)),"",HYPERLINK(INDEX('Compliance Database'!$O$2:$O$1369,MATCH(415,'Transfer Engine'!$C$2:$C$1369,0)),"Open PDF"))</f>
        <v/>
      </c>
    </row>
    <row r="425" ht="188" customHeight="1">
      <c r="A425" s="8">
        <f>IF(ISNA(MATCH(416,'Transfer Engine'!$C$2:$C$1369,0)),"",INDEX('Compliance Database'!$A$2:$A$1369,MATCH(416,'Transfer Engine'!$C$2:$C$1369,0)))</f>
        <v/>
      </c>
      <c r="B425" s="8">
        <f>IF(ISNA(MATCH(416,'Transfer Engine'!$C$2:$C$1369,0)),"",INDEX('Compliance Database'!$B$2:$B$1369,MATCH(416,'Transfer Engine'!$C$2:$C$1369,0)))</f>
        <v/>
      </c>
      <c r="C425" s="8">
        <f>IF(ISNA(MATCH(416,'Transfer Engine'!$C$2:$C$1369,0)),"",INDEX('Compliance Database'!$C$2:$C$1369,MATCH(416,'Transfer Engine'!$C$2:$C$1369,0)))</f>
        <v/>
      </c>
      <c r="D425" s="9">
        <f>IF(ISNA(MATCH(416,'Transfer Engine'!$C$2:$C$1369,0)),"",INDEX('Compliance Database'!$D$2:$D$1369,MATCH(416,'Transfer Engine'!$C$2:$C$1369,0)))</f>
        <v/>
      </c>
      <c r="E425" s="8">
        <f>IF(ISNA(MATCH(416,'Transfer Engine'!$C$2:$C$1369,0)),"",INDEX('Compliance Database'!$E$2:$E$1369,MATCH(416,'Transfer Engine'!$C$2:$C$1369,0)))</f>
        <v/>
      </c>
      <c r="F425" s="8">
        <f>IF(ISNA(MATCH(416,'Transfer Engine'!$C$2:$C$1369,0)),"",INDEX('Compliance Database'!$F$2:$F$1369,MATCH(416,'Transfer Engine'!$C$2:$C$1369,0)))</f>
        <v/>
      </c>
      <c r="G425" s="8">
        <f>IF(ISNA(MATCH(416,'Transfer Engine'!$C$2:$C$1369,0)),"",INDEX('Compliance Database'!$G$2:$G$1369,MATCH(416,'Transfer Engine'!$C$2:$C$1369,0)))</f>
        <v/>
      </c>
      <c r="H425" s="9">
        <f>IF(ISNA(MATCH(416,'Transfer Engine'!$C$2:$C$1369,0)),"",INDEX('Compliance Database'!$H$2:$H$1369,MATCH(416,'Transfer Engine'!$C$2:$C$1369,0)))</f>
        <v/>
      </c>
      <c r="I425" s="9">
        <f>IF(ISNA(MATCH(416,'Transfer Engine'!$C$2:$C$1369,0)),"",INDEX('Compliance Database'!$I$2:$I$1369,MATCH(416,'Transfer Engine'!$C$2:$C$1369,0)))</f>
        <v/>
      </c>
      <c r="J425" s="8">
        <f>IF(ISNA(MATCH(416,'Transfer Engine'!$C$2:$C$1369,0)),"",INDEX('Compliance Database'!$J$2:$J$1369,MATCH(416,'Transfer Engine'!$C$2:$C$1369,0)))</f>
        <v/>
      </c>
      <c r="K425" s="9">
        <f>IF(ISNA(MATCH(416,'Transfer Engine'!$C$2:$C$1369,0)),"",INDEX('Compliance Database'!$K$2:$K$1369,MATCH(416,'Transfer Engine'!$C$2:$C$1369,0)))</f>
        <v/>
      </c>
      <c r="L425" s="9">
        <f>IF(ISNA(MATCH(416,'Transfer Engine'!$C$2:$C$1369,0)),"",INDEX('Compliance Database'!$L$2:$L$1369,MATCH(416,'Transfer Engine'!$C$2:$C$1369,0)))</f>
        <v/>
      </c>
      <c r="M425" s="9">
        <f>IF(ISNA(MATCH(416,'Transfer Engine'!$C$2:$C$1369,0)),"",INDEX('Compliance Database'!$M$2:$M$1369,MATCH(416,'Transfer Engine'!$C$2:$C$1369,0)))</f>
        <v/>
      </c>
      <c r="N425" s="9">
        <f>IF(ISNA(MATCH(416,'Transfer Engine'!$C$2:$C$1369,0)),"",INDEX('Compliance Database'!$N$2:$N$1369,MATCH(416,'Transfer Engine'!$C$2:$C$1369,0)))</f>
        <v/>
      </c>
      <c r="O425" s="8">
        <f>IF(ISNA(MATCH(416,'Transfer Engine'!$C$2:$C$1369,0)),"",HYPERLINK(INDEX('Compliance Database'!$O$2:$O$1369,MATCH(416,'Transfer Engine'!$C$2:$C$1369,0)),"Open PDF"))</f>
        <v/>
      </c>
    </row>
    <row r="426" ht="188" customHeight="1">
      <c r="A426" s="8">
        <f>IF(ISNA(MATCH(417,'Transfer Engine'!$C$2:$C$1369,0)),"",INDEX('Compliance Database'!$A$2:$A$1369,MATCH(417,'Transfer Engine'!$C$2:$C$1369,0)))</f>
        <v/>
      </c>
      <c r="B426" s="8">
        <f>IF(ISNA(MATCH(417,'Transfer Engine'!$C$2:$C$1369,0)),"",INDEX('Compliance Database'!$B$2:$B$1369,MATCH(417,'Transfer Engine'!$C$2:$C$1369,0)))</f>
        <v/>
      </c>
      <c r="C426" s="8">
        <f>IF(ISNA(MATCH(417,'Transfer Engine'!$C$2:$C$1369,0)),"",INDEX('Compliance Database'!$C$2:$C$1369,MATCH(417,'Transfer Engine'!$C$2:$C$1369,0)))</f>
        <v/>
      </c>
      <c r="D426" s="9">
        <f>IF(ISNA(MATCH(417,'Transfer Engine'!$C$2:$C$1369,0)),"",INDEX('Compliance Database'!$D$2:$D$1369,MATCH(417,'Transfer Engine'!$C$2:$C$1369,0)))</f>
        <v/>
      </c>
      <c r="E426" s="8">
        <f>IF(ISNA(MATCH(417,'Transfer Engine'!$C$2:$C$1369,0)),"",INDEX('Compliance Database'!$E$2:$E$1369,MATCH(417,'Transfer Engine'!$C$2:$C$1369,0)))</f>
        <v/>
      </c>
      <c r="F426" s="8">
        <f>IF(ISNA(MATCH(417,'Transfer Engine'!$C$2:$C$1369,0)),"",INDEX('Compliance Database'!$F$2:$F$1369,MATCH(417,'Transfer Engine'!$C$2:$C$1369,0)))</f>
        <v/>
      </c>
      <c r="G426" s="8">
        <f>IF(ISNA(MATCH(417,'Transfer Engine'!$C$2:$C$1369,0)),"",INDEX('Compliance Database'!$G$2:$G$1369,MATCH(417,'Transfer Engine'!$C$2:$C$1369,0)))</f>
        <v/>
      </c>
      <c r="H426" s="9">
        <f>IF(ISNA(MATCH(417,'Transfer Engine'!$C$2:$C$1369,0)),"",INDEX('Compliance Database'!$H$2:$H$1369,MATCH(417,'Transfer Engine'!$C$2:$C$1369,0)))</f>
        <v/>
      </c>
      <c r="I426" s="9">
        <f>IF(ISNA(MATCH(417,'Transfer Engine'!$C$2:$C$1369,0)),"",INDEX('Compliance Database'!$I$2:$I$1369,MATCH(417,'Transfer Engine'!$C$2:$C$1369,0)))</f>
        <v/>
      </c>
      <c r="J426" s="8">
        <f>IF(ISNA(MATCH(417,'Transfer Engine'!$C$2:$C$1369,0)),"",INDEX('Compliance Database'!$J$2:$J$1369,MATCH(417,'Transfer Engine'!$C$2:$C$1369,0)))</f>
        <v/>
      </c>
      <c r="K426" s="9">
        <f>IF(ISNA(MATCH(417,'Transfer Engine'!$C$2:$C$1369,0)),"",INDEX('Compliance Database'!$K$2:$K$1369,MATCH(417,'Transfer Engine'!$C$2:$C$1369,0)))</f>
        <v/>
      </c>
      <c r="L426" s="9">
        <f>IF(ISNA(MATCH(417,'Transfer Engine'!$C$2:$C$1369,0)),"",INDEX('Compliance Database'!$L$2:$L$1369,MATCH(417,'Transfer Engine'!$C$2:$C$1369,0)))</f>
        <v/>
      </c>
      <c r="M426" s="9">
        <f>IF(ISNA(MATCH(417,'Transfer Engine'!$C$2:$C$1369,0)),"",INDEX('Compliance Database'!$M$2:$M$1369,MATCH(417,'Transfer Engine'!$C$2:$C$1369,0)))</f>
        <v/>
      </c>
      <c r="N426" s="9">
        <f>IF(ISNA(MATCH(417,'Transfer Engine'!$C$2:$C$1369,0)),"",INDEX('Compliance Database'!$N$2:$N$1369,MATCH(417,'Transfer Engine'!$C$2:$C$1369,0)))</f>
        <v/>
      </c>
      <c r="O426" s="8">
        <f>IF(ISNA(MATCH(417,'Transfer Engine'!$C$2:$C$1369,0)),"",HYPERLINK(INDEX('Compliance Database'!$O$2:$O$1369,MATCH(417,'Transfer Engine'!$C$2:$C$1369,0)),"Open PDF"))</f>
        <v/>
      </c>
    </row>
    <row r="427" ht="188" customHeight="1">
      <c r="A427" s="8">
        <f>IF(ISNA(MATCH(418,'Transfer Engine'!$C$2:$C$1369,0)),"",INDEX('Compliance Database'!$A$2:$A$1369,MATCH(418,'Transfer Engine'!$C$2:$C$1369,0)))</f>
        <v/>
      </c>
      <c r="B427" s="8">
        <f>IF(ISNA(MATCH(418,'Transfer Engine'!$C$2:$C$1369,0)),"",INDEX('Compliance Database'!$B$2:$B$1369,MATCH(418,'Transfer Engine'!$C$2:$C$1369,0)))</f>
        <v/>
      </c>
      <c r="C427" s="8">
        <f>IF(ISNA(MATCH(418,'Transfer Engine'!$C$2:$C$1369,0)),"",INDEX('Compliance Database'!$C$2:$C$1369,MATCH(418,'Transfer Engine'!$C$2:$C$1369,0)))</f>
        <v/>
      </c>
      <c r="D427" s="9">
        <f>IF(ISNA(MATCH(418,'Transfer Engine'!$C$2:$C$1369,0)),"",INDEX('Compliance Database'!$D$2:$D$1369,MATCH(418,'Transfer Engine'!$C$2:$C$1369,0)))</f>
        <v/>
      </c>
      <c r="E427" s="8">
        <f>IF(ISNA(MATCH(418,'Transfer Engine'!$C$2:$C$1369,0)),"",INDEX('Compliance Database'!$E$2:$E$1369,MATCH(418,'Transfer Engine'!$C$2:$C$1369,0)))</f>
        <v/>
      </c>
      <c r="F427" s="8">
        <f>IF(ISNA(MATCH(418,'Transfer Engine'!$C$2:$C$1369,0)),"",INDEX('Compliance Database'!$F$2:$F$1369,MATCH(418,'Transfer Engine'!$C$2:$C$1369,0)))</f>
        <v/>
      </c>
      <c r="G427" s="8">
        <f>IF(ISNA(MATCH(418,'Transfer Engine'!$C$2:$C$1369,0)),"",INDEX('Compliance Database'!$G$2:$G$1369,MATCH(418,'Transfer Engine'!$C$2:$C$1369,0)))</f>
        <v/>
      </c>
      <c r="H427" s="9">
        <f>IF(ISNA(MATCH(418,'Transfer Engine'!$C$2:$C$1369,0)),"",INDEX('Compliance Database'!$H$2:$H$1369,MATCH(418,'Transfer Engine'!$C$2:$C$1369,0)))</f>
        <v/>
      </c>
      <c r="I427" s="9">
        <f>IF(ISNA(MATCH(418,'Transfer Engine'!$C$2:$C$1369,0)),"",INDEX('Compliance Database'!$I$2:$I$1369,MATCH(418,'Transfer Engine'!$C$2:$C$1369,0)))</f>
        <v/>
      </c>
      <c r="J427" s="8">
        <f>IF(ISNA(MATCH(418,'Transfer Engine'!$C$2:$C$1369,0)),"",INDEX('Compliance Database'!$J$2:$J$1369,MATCH(418,'Transfer Engine'!$C$2:$C$1369,0)))</f>
        <v/>
      </c>
      <c r="K427" s="9">
        <f>IF(ISNA(MATCH(418,'Transfer Engine'!$C$2:$C$1369,0)),"",INDEX('Compliance Database'!$K$2:$K$1369,MATCH(418,'Transfer Engine'!$C$2:$C$1369,0)))</f>
        <v/>
      </c>
      <c r="L427" s="9">
        <f>IF(ISNA(MATCH(418,'Transfer Engine'!$C$2:$C$1369,0)),"",INDEX('Compliance Database'!$L$2:$L$1369,MATCH(418,'Transfer Engine'!$C$2:$C$1369,0)))</f>
        <v/>
      </c>
      <c r="M427" s="9">
        <f>IF(ISNA(MATCH(418,'Transfer Engine'!$C$2:$C$1369,0)),"",INDEX('Compliance Database'!$M$2:$M$1369,MATCH(418,'Transfer Engine'!$C$2:$C$1369,0)))</f>
        <v/>
      </c>
      <c r="N427" s="9">
        <f>IF(ISNA(MATCH(418,'Transfer Engine'!$C$2:$C$1369,0)),"",INDEX('Compliance Database'!$N$2:$N$1369,MATCH(418,'Transfer Engine'!$C$2:$C$1369,0)))</f>
        <v/>
      </c>
      <c r="O427" s="8">
        <f>IF(ISNA(MATCH(418,'Transfer Engine'!$C$2:$C$1369,0)),"",HYPERLINK(INDEX('Compliance Database'!$O$2:$O$1369,MATCH(418,'Transfer Engine'!$C$2:$C$1369,0)),"Open PDF"))</f>
        <v/>
      </c>
    </row>
    <row r="428" ht="188" customHeight="1">
      <c r="A428" s="8">
        <f>IF(ISNA(MATCH(419,'Transfer Engine'!$C$2:$C$1369,0)),"",INDEX('Compliance Database'!$A$2:$A$1369,MATCH(419,'Transfer Engine'!$C$2:$C$1369,0)))</f>
        <v/>
      </c>
      <c r="B428" s="8">
        <f>IF(ISNA(MATCH(419,'Transfer Engine'!$C$2:$C$1369,0)),"",INDEX('Compliance Database'!$B$2:$B$1369,MATCH(419,'Transfer Engine'!$C$2:$C$1369,0)))</f>
        <v/>
      </c>
      <c r="C428" s="8">
        <f>IF(ISNA(MATCH(419,'Transfer Engine'!$C$2:$C$1369,0)),"",INDEX('Compliance Database'!$C$2:$C$1369,MATCH(419,'Transfer Engine'!$C$2:$C$1369,0)))</f>
        <v/>
      </c>
      <c r="D428" s="9">
        <f>IF(ISNA(MATCH(419,'Transfer Engine'!$C$2:$C$1369,0)),"",INDEX('Compliance Database'!$D$2:$D$1369,MATCH(419,'Transfer Engine'!$C$2:$C$1369,0)))</f>
        <v/>
      </c>
      <c r="E428" s="8">
        <f>IF(ISNA(MATCH(419,'Transfer Engine'!$C$2:$C$1369,0)),"",INDEX('Compliance Database'!$E$2:$E$1369,MATCH(419,'Transfer Engine'!$C$2:$C$1369,0)))</f>
        <v/>
      </c>
      <c r="F428" s="8">
        <f>IF(ISNA(MATCH(419,'Transfer Engine'!$C$2:$C$1369,0)),"",INDEX('Compliance Database'!$F$2:$F$1369,MATCH(419,'Transfer Engine'!$C$2:$C$1369,0)))</f>
        <v/>
      </c>
      <c r="G428" s="8">
        <f>IF(ISNA(MATCH(419,'Transfer Engine'!$C$2:$C$1369,0)),"",INDEX('Compliance Database'!$G$2:$G$1369,MATCH(419,'Transfer Engine'!$C$2:$C$1369,0)))</f>
        <v/>
      </c>
      <c r="H428" s="9">
        <f>IF(ISNA(MATCH(419,'Transfer Engine'!$C$2:$C$1369,0)),"",INDEX('Compliance Database'!$H$2:$H$1369,MATCH(419,'Transfer Engine'!$C$2:$C$1369,0)))</f>
        <v/>
      </c>
      <c r="I428" s="9">
        <f>IF(ISNA(MATCH(419,'Transfer Engine'!$C$2:$C$1369,0)),"",INDEX('Compliance Database'!$I$2:$I$1369,MATCH(419,'Transfer Engine'!$C$2:$C$1369,0)))</f>
        <v/>
      </c>
      <c r="J428" s="8">
        <f>IF(ISNA(MATCH(419,'Transfer Engine'!$C$2:$C$1369,0)),"",INDEX('Compliance Database'!$J$2:$J$1369,MATCH(419,'Transfer Engine'!$C$2:$C$1369,0)))</f>
        <v/>
      </c>
      <c r="K428" s="9">
        <f>IF(ISNA(MATCH(419,'Transfer Engine'!$C$2:$C$1369,0)),"",INDEX('Compliance Database'!$K$2:$K$1369,MATCH(419,'Transfer Engine'!$C$2:$C$1369,0)))</f>
        <v/>
      </c>
      <c r="L428" s="9">
        <f>IF(ISNA(MATCH(419,'Transfer Engine'!$C$2:$C$1369,0)),"",INDEX('Compliance Database'!$L$2:$L$1369,MATCH(419,'Transfer Engine'!$C$2:$C$1369,0)))</f>
        <v/>
      </c>
      <c r="M428" s="9">
        <f>IF(ISNA(MATCH(419,'Transfer Engine'!$C$2:$C$1369,0)),"",INDEX('Compliance Database'!$M$2:$M$1369,MATCH(419,'Transfer Engine'!$C$2:$C$1369,0)))</f>
        <v/>
      </c>
      <c r="N428" s="9">
        <f>IF(ISNA(MATCH(419,'Transfer Engine'!$C$2:$C$1369,0)),"",INDEX('Compliance Database'!$N$2:$N$1369,MATCH(419,'Transfer Engine'!$C$2:$C$1369,0)))</f>
        <v/>
      </c>
      <c r="O428" s="8">
        <f>IF(ISNA(MATCH(419,'Transfer Engine'!$C$2:$C$1369,0)),"",HYPERLINK(INDEX('Compliance Database'!$O$2:$O$1369,MATCH(419,'Transfer Engine'!$C$2:$C$1369,0)),"Open PDF"))</f>
        <v/>
      </c>
    </row>
    <row r="429" ht="188" customHeight="1">
      <c r="A429" s="8">
        <f>IF(ISNA(MATCH(420,'Transfer Engine'!$C$2:$C$1369,0)),"",INDEX('Compliance Database'!$A$2:$A$1369,MATCH(420,'Transfer Engine'!$C$2:$C$1369,0)))</f>
        <v/>
      </c>
      <c r="B429" s="8">
        <f>IF(ISNA(MATCH(420,'Transfer Engine'!$C$2:$C$1369,0)),"",INDEX('Compliance Database'!$B$2:$B$1369,MATCH(420,'Transfer Engine'!$C$2:$C$1369,0)))</f>
        <v/>
      </c>
      <c r="C429" s="8">
        <f>IF(ISNA(MATCH(420,'Transfer Engine'!$C$2:$C$1369,0)),"",INDEX('Compliance Database'!$C$2:$C$1369,MATCH(420,'Transfer Engine'!$C$2:$C$1369,0)))</f>
        <v/>
      </c>
      <c r="D429" s="9">
        <f>IF(ISNA(MATCH(420,'Transfer Engine'!$C$2:$C$1369,0)),"",INDEX('Compliance Database'!$D$2:$D$1369,MATCH(420,'Transfer Engine'!$C$2:$C$1369,0)))</f>
        <v/>
      </c>
      <c r="E429" s="8">
        <f>IF(ISNA(MATCH(420,'Transfer Engine'!$C$2:$C$1369,0)),"",INDEX('Compliance Database'!$E$2:$E$1369,MATCH(420,'Transfer Engine'!$C$2:$C$1369,0)))</f>
        <v/>
      </c>
      <c r="F429" s="8">
        <f>IF(ISNA(MATCH(420,'Transfer Engine'!$C$2:$C$1369,0)),"",INDEX('Compliance Database'!$F$2:$F$1369,MATCH(420,'Transfer Engine'!$C$2:$C$1369,0)))</f>
        <v/>
      </c>
      <c r="G429" s="8">
        <f>IF(ISNA(MATCH(420,'Transfer Engine'!$C$2:$C$1369,0)),"",INDEX('Compliance Database'!$G$2:$G$1369,MATCH(420,'Transfer Engine'!$C$2:$C$1369,0)))</f>
        <v/>
      </c>
      <c r="H429" s="9">
        <f>IF(ISNA(MATCH(420,'Transfer Engine'!$C$2:$C$1369,0)),"",INDEX('Compliance Database'!$H$2:$H$1369,MATCH(420,'Transfer Engine'!$C$2:$C$1369,0)))</f>
        <v/>
      </c>
      <c r="I429" s="9">
        <f>IF(ISNA(MATCH(420,'Transfer Engine'!$C$2:$C$1369,0)),"",INDEX('Compliance Database'!$I$2:$I$1369,MATCH(420,'Transfer Engine'!$C$2:$C$1369,0)))</f>
        <v/>
      </c>
      <c r="J429" s="8">
        <f>IF(ISNA(MATCH(420,'Transfer Engine'!$C$2:$C$1369,0)),"",INDEX('Compliance Database'!$J$2:$J$1369,MATCH(420,'Transfer Engine'!$C$2:$C$1369,0)))</f>
        <v/>
      </c>
      <c r="K429" s="9">
        <f>IF(ISNA(MATCH(420,'Transfer Engine'!$C$2:$C$1369,0)),"",INDEX('Compliance Database'!$K$2:$K$1369,MATCH(420,'Transfer Engine'!$C$2:$C$1369,0)))</f>
        <v/>
      </c>
      <c r="L429" s="9">
        <f>IF(ISNA(MATCH(420,'Transfer Engine'!$C$2:$C$1369,0)),"",INDEX('Compliance Database'!$L$2:$L$1369,MATCH(420,'Transfer Engine'!$C$2:$C$1369,0)))</f>
        <v/>
      </c>
      <c r="M429" s="9">
        <f>IF(ISNA(MATCH(420,'Transfer Engine'!$C$2:$C$1369,0)),"",INDEX('Compliance Database'!$M$2:$M$1369,MATCH(420,'Transfer Engine'!$C$2:$C$1369,0)))</f>
        <v/>
      </c>
      <c r="N429" s="9">
        <f>IF(ISNA(MATCH(420,'Transfer Engine'!$C$2:$C$1369,0)),"",INDEX('Compliance Database'!$N$2:$N$1369,MATCH(420,'Transfer Engine'!$C$2:$C$1369,0)))</f>
        <v/>
      </c>
      <c r="O429" s="8">
        <f>IF(ISNA(MATCH(420,'Transfer Engine'!$C$2:$C$1369,0)),"",HYPERLINK(INDEX('Compliance Database'!$O$2:$O$1369,MATCH(420,'Transfer Engine'!$C$2:$C$1369,0)),"Open PDF"))</f>
        <v/>
      </c>
    </row>
    <row r="430" ht="188" customHeight="1">
      <c r="A430" s="8">
        <f>IF(ISNA(MATCH(421,'Transfer Engine'!$C$2:$C$1369,0)),"",INDEX('Compliance Database'!$A$2:$A$1369,MATCH(421,'Transfer Engine'!$C$2:$C$1369,0)))</f>
        <v/>
      </c>
      <c r="B430" s="8">
        <f>IF(ISNA(MATCH(421,'Transfer Engine'!$C$2:$C$1369,0)),"",INDEX('Compliance Database'!$B$2:$B$1369,MATCH(421,'Transfer Engine'!$C$2:$C$1369,0)))</f>
        <v/>
      </c>
      <c r="C430" s="8">
        <f>IF(ISNA(MATCH(421,'Transfer Engine'!$C$2:$C$1369,0)),"",INDEX('Compliance Database'!$C$2:$C$1369,MATCH(421,'Transfer Engine'!$C$2:$C$1369,0)))</f>
        <v/>
      </c>
      <c r="D430" s="9">
        <f>IF(ISNA(MATCH(421,'Transfer Engine'!$C$2:$C$1369,0)),"",INDEX('Compliance Database'!$D$2:$D$1369,MATCH(421,'Transfer Engine'!$C$2:$C$1369,0)))</f>
        <v/>
      </c>
      <c r="E430" s="8">
        <f>IF(ISNA(MATCH(421,'Transfer Engine'!$C$2:$C$1369,0)),"",INDEX('Compliance Database'!$E$2:$E$1369,MATCH(421,'Transfer Engine'!$C$2:$C$1369,0)))</f>
        <v/>
      </c>
      <c r="F430" s="8">
        <f>IF(ISNA(MATCH(421,'Transfer Engine'!$C$2:$C$1369,0)),"",INDEX('Compliance Database'!$F$2:$F$1369,MATCH(421,'Transfer Engine'!$C$2:$C$1369,0)))</f>
        <v/>
      </c>
      <c r="G430" s="8">
        <f>IF(ISNA(MATCH(421,'Transfer Engine'!$C$2:$C$1369,0)),"",INDEX('Compliance Database'!$G$2:$G$1369,MATCH(421,'Transfer Engine'!$C$2:$C$1369,0)))</f>
        <v/>
      </c>
      <c r="H430" s="9">
        <f>IF(ISNA(MATCH(421,'Transfer Engine'!$C$2:$C$1369,0)),"",INDEX('Compliance Database'!$H$2:$H$1369,MATCH(421,'Transfer Engine'!$C$2:$C$1369,0)))</f>
        <v/>
      </c>
      <c r="I430" s="9">
        <f>IF(ISNA(MATCH(421,'Transfer Engine'!$C$2:$C$1369,0)),"",INDEX('Compliance Database'!$I$2:$I$1369,MATCH(421,'Transfer Engine'!$C$2:$C$1369,0)))</f>
        <v/>
      </c>
      <c r="J430" s="8">
        <f>IF(ISNA(MATCH(421,'Transfer Engine'!$C$2:$C$1369,0)),"",INDEX('Compliance Database'!$J$2:$J$1369,MATCH(421,'Transfer Engine'!$C$2:$C$1369,0)))</f>
        <v/>
      </c>
      <c r="K430" s="9">
        <f>IF(ISNA(MATCH(421,'Transfer Engine'!$C$2:$C$1369,0)),"",INDEX('Compliance Database'!$K$2:$K$1369,MATCH(421,'Transfer Engine'!$C$2:$C$1369,0)))</f>
        <v/>
      </c>
      <c r="L430" s="9">
        <f>IF(ISNA(MATCH(421,'Transfer Engine'!$C$2:$C$1369,0)),"",INDEX('Compliance Database'!$L$2:$L$1369,MATCH(421,'Transfer Engine'!$C$2:$C$1369,0)))</f>
        <v/>
      </c>
      <c r="M430" s="9">
        <f>IF(ISNA(MATCH(421,'Transfer Engine'!$C$2:$C$1369,0)),"",INDEX('Compliance Database'!$M$2:$M$1369,MATCH(421,'Transfer Engine'!$C$2:$C$1369,0)))</f>
        <v/>
      </c>
      <c r="N430" s="9">
        <f>IF(ISNA(MATCH(421,'Transfer Engine'!$C$2:$C$1369,0)),"",INDEX('Compliance Database'!$N$2:$N$1369,MATCH(421,'Transfer Engine'!$C$2:$C$1369,0)))</f>
        <v/>
      </c>
      <c r="O430" s="8">
        <f>IF(ISNA(MATCH(421,'Transfer Engine'!$C$2:$C$1369,0)),"",HYPERLINK(INDEX('Compliance Database'!$O$2:$O$1369,MATCH(421,'Transfer Engine'!$C$2:$C$1369,0)),"Open PDF"))</f>
        <v/>
      </c>
    </row>
    <row r="431" ht="188" customHeight="1">
      <c r="A431" s="8">
        <f>IF(ISNA(MATCH(422,'Transfer Engine'!$C$2:$C$1369,0)),"",INDEX('Compliance Database'!$A$2:$A$1369,MATCH(422,'Transfer Engine'!$C$2:$C$1369,0)))</f>
        <v/>
      </c>
      <c r="B431" s="8">
        <f>IF(ISNA(MATCH(422,'Transfer Engine'!$C$2:$C$1369,0)),"",INDEX('Compliance Database'!$B$2:$B$1369,MATCH(422,'Transfer Engine'!$C$2:$C$1369,0)))</f>
        <v/>
      </c>
      <c r="C431" s="8">
        <f>IF(ISNA(MATCH(422,'Transfer Engine'!$C$2:$C$1369,0)),"",INDEX('Compliance Database'!$C$2:$C$1369,MATCH(422,'Transfer Engine'!$C$2:$C$1369,0)))</f>
        <v/>
      </c>
      <c r="D431" s="9">
        <f>IF(ISNA(MATCH(422,'Transfer Engine'!$C$2:$C$1369,0)),"",INDEX('Compliance Database'!$D$2:$D$1369,MATCH(422,'Transfer Engine'!$C$2:$C$1369,0)))</f>
        <v/>
      </c>
      <c r="E431" s="8">
        <f>IF(ISNA(MATCH(422,'Transfer Engine'!$C$2:$C$1369,0)),"",INDEX('Compliance Database'!$E$2:$E$1369,MATCH(422,'Transfer Engine'!$C$2:$C$1369,0)))</f>
        <v/>
      </c>
      <c r="F431" s="8">
        <f>IF(ISNA(MATCH(422,'Transfer Engine'!$C$2:$C$1369,0)),"",INDEX('Compliance Database'!$F$2:$F$1369,MATCH(422,'Transfer Engine'!$C$2:$C$1369,0)))</f>
        <v/>
      </c>
      <c r="G431" s="8">
        <f>IF(ISNA(MATCH(422,'Transfer Engine'!$C$2:$C$1369,0)),"",INDEX('Compliance Database'!$G$2:$G$1369,MATCH(422,'Transfer Engine'!$C$2:$C$1369,0)))</f>
        <v/>
      </c>
      <c r="H431" s="9">
        <f>IF(ISNA(MATCH(422,'Transfer Engine'!$C$2:$C$1369,0)),"",INDEX('Compliance Database'!$H$2:$H$1369,MATCH(422,'Transfer Engine'!$C$2:$C$1369,0)))</f>
        <v/>
      </c>
      <c r="I431" s="9">
        <f>IF(ISNA(MATCH(422,'Transfer Engine'!$C$2:$C$1369,0)),"",INDEX('Compliance Database'!$I$2:$I$1369,MATCH(422,'Transfer Engine'!$C$2:$C$1369,0)))</f>
        <v/>
      </c>
      <c r="J431" s="8">
        <f>IF(ISNA(MATCH(422,'Transfer Engine'!$C$2:$C$1369,0)),"",INDEX('Compliance Database'!$J$2:$J$1369,MATCH(422,'Transfer Engine'!$C$2:$C$1369,0)))</f>
        <v/>
      </c>
      <c r="K431" s="9">
        <f>IF(ISNA(MATCH(422,'Transfer Engine'!$C$2:$C$1369,0)),"",INDEX('Compliance Database'!$K$2:$K$1369,MATCH(422,'Transfer Engine'!$C$2:$C$1369,0)))</f>
        <v/>
      </c>
      <c r="L431" s="9">
        <f>IF(ISNA(MATCH(422,'Transfer Engine'!$C$2:$C$1369,0)),"",INDEX('Compliance Database'!$L$2:$L$1369,MATCH(422,'Transfer Engine'!$C$2:$C$1369,0)))</f>
        <v/>
      </c>
      <c r="M431" s="9">
        <f>IF(ISNA(MATCH(422,'Transfer Engine'!$C$2:$C$1369,0)),"",INDEX('Compliance Database'!$M$2:$M$1369,MATCH(422,'Transfer Engine'!$C$2:$C$1369,0)))</f>
        <v/>
      </c>
      <c r="N431" s="9">
        <f>IF(ISNA(MATCH(422,'Transfer Engine'!$C$2:$C$1369,0)),"",INDEX('Compliance Database'!$N$2:$N$1369,MATCH(422,'Transfer Engine'!$C$2:$C$1369,0)))</f>
        <v/>
      </c>
      <c r="O431" s="8">
        <f>IF(ISNA(MATCH(422,'Transfer Engine'!$C$2:$C$1369,0)),"",HYPERLINK(INDEX('Compliance Database'!$O$2:$O$1369,MATCH(422,'Transfer Engine'!$C$2:$C$1369,0)),"Open PDF"))</f>
        <v/>
      </c>
    </row>
    <row r="432" ht="188" customHeight="1">
      <c r="A432" s="8">
        <f>IF(ISNA(MATCH(423,'Transfer Engine'!$C$2:$C$1369,0)),"",INDEX('Compliance Database'!$A$2:$A$1369,MATCH(423,'Transfer Engine'!$C$2:$C$1369,0)))</f>
        <v/>
      </c>
      <c r="B432" s="8">
        <f>IF(ISNA(MATCH(423,'Transfer Engine'!$C$2:$C$1369,0)),"",INDEX('Compliance Database'!$B$2:$B$1369,MATCH(423,'Transfer Engine'!$C$2:$C$1369,0)))</f>
        <v/>
      </c>
      <c r="C432" s="8">
        <f>IF(ISNA(MATCH(423,'Transfer Engine'!$C$2:$C$1369,0)),"",INDEX('Compliance Database'!$C$2:$C$1369,MATCH(423,'Transfer Engine'!$C$2:$C$1369,0)))</f>
        <v/>
      </c>
      <c r="D432" s="9">
        <f>IF(ISNA(MATCH(423,'Transfer Engine'!$C$2:$C$1369,0)),"",INDEX('Compliance Database'!$D$2:$D$1369,MATCH(423,'Transfer Engine'!$C$2:$C$1369,0)))</f>
        <v/>
      </c>
      <c r="E432" s="8">
        <f>IF(ISNA(MATCH(423,'Transfer Engine'!$C$2:$C$1369,0)),"",INDEX('Compliance Database'!$E$2:$E$1369,MATCH(423,'Transfer Engine'!$C$2:$C$1369,0)))</f>
        <v/>
      </c>
      <c r="F432" s="8">
        <f>IF(ISNA(MATCH(423,'Transfer Engine'!$C$2:$C$1369,0)),"",INDEX('Compliance Database'!$F$2:$F$1369,MATCH(423,'Transfer Engine'!$C$2:$C$1369,0)))</f>
        <v/>
      </c>
      <c r="G432" s="8">
        <f>IF(ISNA(MATCH(423,'Transfer Engine'!$C$2:$C$1369,0)),"",INDEX('Compliance Database'!$G$2:$G$1369,MATCH(423,'Transfer Engine'!$C$2:$C$1369,0)))</f>
        <v/>
      </c>
      <c r="H432" s="9">
        <f>IF(ISNA(MATCH(423,'Transfer Engine'!$C$2:$C$1369,0)),"",INDEX('Compliance Database'!$H$2:$H$1369,MATCH(423,'Transfer Engine'!$C$2:$C$1369,0)))</f>
        <v/>
      </c>
      <c r="I432" s="9">
        <f>IF(ISNA(MATCH(423,'Transfer Engine'!$C$2:$C$1369,0)),"",INDEX('Compliance Database'!$I$2:$I$1369,MATCH(423,'Transfer Engine'!$C$2:$C$1369,0)))</f>
        <v/>
      </c>
      <c r="J432" s="8">
        <f>IF(ISNA(MATCH(423,'Transfer Engine'!$C$2:$C$1369,0)),"",INDEX('Compliance Database'!$J$2:$J$1369,MATCH(423,'Transfer Engine'!$C$2:$C$1369,0)))</f>
        <v/>
      </c>
      <c r="K432" s="9">
        <f>IF(ISNA(MATCH(423,'Transfer Engine'!$C$2:$C$1369,0)),"",INDEX('Compliance Database'!$K$2:$K$1369,MATCH(423,'Transfer Engine'!$C$2:$C$1369,0)))</f>
        <v/>
      </c>
      <c r="L432" s="9">
        <f>IF(ISNA(MATCH(423,'Transfer Engine'!$C$2:$C$1369,0)),"",INDEX('Compliance Database'!$L$2:$L$1369,MATCH(423,'Transfer Engine'!$C$2:$C$1369,0)))</f>
        <v/>
      </c>
      <c r="M432" s="9">
        <f>IF(ISNA(MATCH(423,'Transfer Engine'!$C$2:$C$1369,0)),"",INDEX('Compliance Database'!$M$2:$M$1369,MATCH(423,'Transfer Engine'!$C$2:$C$1369,0)))</f>
        <v/>
      </c>
      <c r="N432" s="9">
        <f>IF(ISNA(MATCH(423,'Transfer Engine'!$C$2:$C$1369,0)),"",INDEX('Compliance Database'!$N$2:$N$1369,MATCH(423,'Transfer Engine'!$C$2:$C$1369,0)))</f>
        <v/>
      </c>
      <c r="O432" s="8">
        <f>IF(ISNA(MATCH(423,'Transfer Engine'!$C$2:$C$1369,0)),"",HYPERLINK(INDEX('Compliance Database'!$O$2:$O$1369,MATCH(423,'Transfer Engine'!$C$2:$C$1369,0)),"Open PDF"))</f>
        <v/>
      </c>
    </row>
    <row r="433" ht="188" customHeight="1">
      <c r="A433" s="8">
        <f>IF(ISNA(MATCH(424,'Transfer Engine'!$C$2:$C$1369,0)),"",INDEX('Compliance Database'!$A$2:$A$1369,MATCH(424,'Transfer Engine'!$C$2:$C$1369,0)))</f>
        <v/>
      </c>
      <c r="B433" s="8">
        <f>IF(ISNA(MATCH(424,'Transfer Engine'!$C$2:$C$1369,0)),"",INDEX('Compliance Database'!$B$2:$B$1369,MATCH(424,'Transfer Engine'!$C$2:$C$1369,0)))</f>
        <v/>
      </c>
      <c r="C433" s="8">
        <f>IF(ISNA(MATCH(424,'Transfer Engine'!$C$2:$C$1369,0)),"",INDEX('Compliance Database'!$C$2:$C$1369,MATCH(424,'Transfer Engine'!$C$2:$C$1369,0)))</f>
        <v/>
      </c>
      <c r="D433" s="9">
        <f>IF(ISNA(MATCH(424,'Transfer Engine'!$C$2:$C$1369,0)),"",INDEX('Compliance Database'!$D$2:$D$1369,MATCH(424,'Transfer Engine'!$C$2:$C$1369,0)))</f>
        <v/>
      </c>
      <c r="E433" s="8">
        <f>IF(ISNA(MATCH(424,'Transfer Engine'!$C$2:$C$1369,0)),"",INDEX('Compliance Database'!$E$2:$E$1369,MATCH(424,'Transfer Engine'!$C$2:$C$1369,0)))</f>
        <v/>
      </c>
      <c r="F433" s="8">
        <f>IF(ISNA(MATCH(424,'Transfer Engine'!$C$2:$C$1369,0)),"",INDEX('Compliance Database'!$F$2:$F$1369,MATCH(424,'Transfer Engine'!$C$2:$C$1369,0)))</f>
        <v/>
      </c>
      <c r="G433" s="8">
        <f>IF(ISNA(MATCH(424,'Transfer Engine'!$C$2:$C$1369,0)),"",INDEX('Compliance Database'!$G$2:$G$1369,MATCH(424,'Transfer Engine'!$C$2:$C$1369,0)))</f>
        <v/>
      </c>
      <c r="H433" s="9">
        <f>IF(ISNA(MATCH(424,'Transfer Engine'!$C$2:$C$1369,0)),"",INDEX('Compliance Database'!$H$2:$H$1369,MATCH(424,'Transfer Engine'!$C$2:$C$1369,0)))</f>
        <v/>
      </c>
      <c r="I433" s="9">
        <f>IF(ISNA(MATCH(424,'Transfer Engine'!$C$2:$C$1369,0)),"",INDEX('Compliance Database'!$I$2:$I$1369,MATCH(424,'Transfer Engine'!$C$2:$C$1369,0)))</f>
        <v/>
      </c>
      <c r="J433" s="8">
        <f>IF(ISNA(MATCH(424,'Transfer Engine'!$C$2:$C$1369,0)),"",INDEX('Compliance Database'!$J$2:$J$1369,MATCH(424,'Transfer Engine'!$C$2:$C$1369,0)))</f>
        <v/>
      </c>
      <c r="K433" s="9">
        <f>IF(ISNA(MATCH(424,'Transfer Engine'!$C$2:$C$1369,0)),"",INDEX('Compliance Database'!$K$2:$K$1369,MATCH(424,'Transfer Engine'!$C$2:$C$1369,0)))</f>
        <v/>
      </c>
      <c r="L433" s="9">
        <f>IF(ISNA(MATCH(424,'Transfer Engine'!$C$2:$C$1369,0)),"",INDEX('Compliance Database'!$L$2:$L$1369,MATCH(424,'Transfer Engine'!$C$2:$C$1369,0)))</f>
        <v/>
      </c>
      <c r="M433" s="9">
        <f>IF(ISNA(MATCH(424,'Transfer Engine'!$C$2:$C$1369,0)),"",INDEX('Compliance Database'!$M$2:$M$1369,MATCH(424,'Transfer Engine'!$C$2:$C$1369,0)))</f>
        <v/>
      </c>
      <c r="N433" s="9">
        <f>IF(ISNA(MATCH(424,'Transfer Engine'!$C$2:$C$1369,0)),"",INDEX('Compliance Database'!$N$2:$N$1369,MATCH(424,'Transfer Engine'!$C$2:$C$1369,0)))</f>
        <v/>
      </c>
      <c r="O433" s="8">
        <f>IF(ISNA(MATCH(424,'Transfer Engine'!$C$2:$C$1369,0)),"",HYPERLINK(INDEX('Compliance Database'!$O$2:$O$1369,MATCH(424,'Transfer Engine'!$C$2:$C$1369,0)),"Open PDF"))</f>
        <v/>
      </c>
    </row>
    <row r="434" ht="188" customHeight="1">
      <c r="A434" s="8">
        <f>IF(ISNA(MATCH(425,'Transfer Engine'!$C$2:$C$1369,0)),"",INDEX('Compliance Database'!$A$2:$A$1369,MATCH(425,'Transfer Engine'!$C$2:$C$1369,0)))</f>
        <v/>
      </c>
      <c r="B434" s="8">
        <f>IF(ISNA(MATCH(425,'Transfer Engine'!$C$2:$C$1369,0)),"",INDEX('Compliance Database'!$B$2:$B$1369,MATCH(425,'Transfer Engine'!$C$2:$C$1369,0)))</f>
        <v/>
      </c>
      <c r="C434" s="8">
        <f>IF(ISNA(MATCH(425,'Transfer Engine'!$C$2:$C$1369,0)),"",INDEX('Compliance Database'!$C$2:$C$1369,MATCH(425,'Transfer Engine'!$C$2:$C$1369,0)))</f>
        <v/>
      </c>
      <c r="D434" s="9">
        <f>IF(ISNA(MATCH(425,'Transfer Engine'!$C$2:$C$1369,0)),"",INDEX('Compliance Database'!$D$2:$D$1369,MATCH(425,'Transfer Engine'!$C$2:$C$1369,0)))</f>
        <v/>
      </c>
      <c r="E434" s="8">
        <f>IF(ISNA(MATCH(425,'Transfer Engine'!$C$2:$C$1369,0)),"",INDEX('Compliance Database'!$E$2:$E$1369,MATCH(425,'Transfer Engine'!$C$2:$C$1369,0)))</f>
        <v/>
      </c>
      <c r="F434" s="8">
        <f>IF(ISNA(MATCH(425,'Transfer Engine'!$C$2:$C$1369,0)),"",INDEX('Compliance Database'!$F$2:$F$1369,MATCH(425,'Transfer Engine'!$C$2:$C$1369,0)))</f>
        <v/>
      </c>
      <c r="G434" s="8">
        <f>IF(ISNA(MATCH(425,'Transfer Engine'!$C$2:$C$1369,0)),"",INDEX('Compliance Database'!$G$2:$G$1369,MATCH(425,'Transfer Engine'!$C$2:$C$1369,0)))</f>
        <v/>
      </c>
      <c r="H434" s="9">
        <f>IF(ISNA(MATCH(425,'Transfer Engine'!$C$2:$C$1369,0)),"",INDEX('Compliance Database'!$H$2:$H$1369,MATCH(425,'Transfer Engine'!$C$2:$C$1369,0)))</f>
        <v/>
      </c>
      <c r="I434" s="9">
        <f>IF(ISNA(MATCH(425,'Transfer Engine'!$C$2:$C$1369,0)),"",INDEX('Compliance Database'!$I$2:$I$1369,MATCH(425,'Transfer Engine'!$C$2:$C$1369,0)))</f>
        <v/>
      </c>
      <c r="J434" s="8">
        <f>IF(ISNA(MATCH(425,'Transfer Engine'!$C$2:$C$1369,0)),"",INDEX('Compliance Database'!$J$2:$J$1369,MATCH(425,'Transfer Engine'!$C$2:$C$1369,0)))</f>
        <v/>
      </c>
      <c r="K434" s="9">
        <f>IF(ISNA(MATCH(425,'Transfer Engine'!$C$2:$C$1369,0)),"",INDEX('Compliance Database'!$K$2:$K$1369,MATCH(425,'Transfer Engine'!$C$2:$C$1369,0)))</f>
        <v/>
      </c>
      <c r="L434" s="9">
        <f>IF(ISNA(MATCH(425,'Transfer Engine'!$C$2:$C$1369,0)),"",INDEX('Compliance Database'!$L$2:$L$1369,MATCH(425,'Transfer Engine'!$C$2:$C$1369,0)))</f>
        <v/>
      </c>
      <c r="M434" s="9">
        <f>IF(ISNA(MATCH(425,'Transfer Engine'!$C$2:$C$1369,0)),"",INDEX('Compliance Database'!$M$2:$M$1369,MATCH(425,'Transfer Engine'!$C$2:$C$1369,0)))</f>
        <v/>
      </c>
      <c r="N434" s="9">
        <f>IF(ISNA(MATCH(425,'Transfer Engine'!$C$2:$C$1369,0)),"",INDEX('Compliance Database'!$N$2:$N$1369,MATCH(425,'Transfer Engine'!$C$2:$C$1369,0)))</f>
        <v/>
      </c>
      <c r="O434" s="8">
        <f>IF(ISNA(MATCH(425,'Transfer Engine'!$C$2:$C$1369,0)),"",HYPERLINK(INDEX('Compliance Database'!$O$2:$O$1369,MATCH(425,'Transfer Engine'!$C$2:$C$1369,0)),"Open PDF"))</f>
        <v/>
      </c>
    </row>
    <row r="435" ht="188" customHeight="1">
      <c r="A435" s="8">
        <f>IF(ISNA(MATCH(426,'Transfer Engine'!$C$2:$C$1369,0)),"",INDEX('Compliance Database'!$A$2:$A$1369,MATCH(426,'Transfer Engine'!$C$2:$C$1369,0)))</f>
        <v/>
      </c>
      <c r="B435" s="8">
        <f>IF(ISNA(MATCH(426,'Transfer Engine'!$C$2:$C$1369,0)),"",INDEX('Compliance Database'!$B$2:$B$1369,MATCH(426,'Transfer Engine'!$C$2:$C$1369,0)))</f>
        <v/>
      </c>
      <c r="C435" s="8">
        <f>IF(ISNA(MATCH(426,'Transfer Engine'!$C$2:$C$1369,0)),"",INDEX('Compliance Database'!$C$2:$C$1369,MATCH(426,'Transfer Engine'!$C$2:$C$1369,0)))</f>
        <v/>
      </c>
      <c r="D435" s="9">
        <f>IF(ISNA(MATCH(426,'Transfer Engine'!$C$2:$C$1369,0)),"",INDEX('Compliance Database'!$D$2:$D$1369,MATCH(426,'Transfer Engine'!$C$2:$C$1369,0)))</f>
        <v/>
      </c>
      <c r="E435" s="8">
        <f>IF(ISNA(MATCH(426,'Transfer Engine'!$C$2:$C$1369,0)),"",INDEX('Compliance Database'!$E$2:$E$1369,MATCH(426,'Transfer Engine'!$C$2:$C$1369,0)))</f>
        <v/>
      </c>
      <c r="F435" s="8">
        <f>IF(ISNA(MATCH(426,'Transfer Engine'!$C$2:$C$1369,0)),"",INDEX('Compliance Database'!$F$2:$F$1369,MATCH(426,'Transfer Engine'!$C$2:$C$1369,0)))</f>
        <v/>
      </c>
      <c r="G435" s="8">
        <f>IF(ISNA(MATCH(426,'Transfer Engine'!$C$2:$C$1369,0)),"",INDEX('Compliance Database'!$G$2:$G$1369,MATCH(426,'Transfer Engine'!$C$2:$C$1369,0)))</f>
        <v/>
      </c>
      <c r="H435" s="9">
        <f>IF(ISNA(MATCH(426,'Transfer Engine'!$C$2:$C$1369,0)),"",INDEX('Compliance Database'!$H$2:$H$1369,MATCH(426,'Transfer Engine'!$C$2:$C$1369,0)))</f>
        <v/>
      </c>
      <c r="I435" s="9">
        <f>IF(ISNA(MATCH(426,'Transfer Engine'!$C$2:$C$1369,0)),"",INDEX('Compliance Database'!$I$2:$I$1369,MATCH(426,'Transfer Engine'!$C$2:$C$1369,0)))</f>
        <v/>
      </c>
      <c r="J435" s="8">
        <f>IF(ISNA(MATCH(426,'Transfer Engine'!$C$2:$C$1369,0)),"",INDEX('Compliance Database'!$J$2:$J$1369,MATCH(426,'Transfer Engine'!$C$2:$C$1369,0)))</f>
        <v/>
      </c>
      <c r="K435" s="9">
        <f>IF(ISNA(MATCH(426,'Transfer Engine'!$C$2:$C$1369,0)),"",INDEX('Compliance Database'!$K$2:$K$1369,MATCH(426,'Transfer Engine'!$C$2:$C$1369,0)))</f>
        <v/>
      </c>
      <c r="L435" s="9">
        <f>IF(ISNA(MATCH(426,'Transfer Engine'!$C$2:$C$1369,0)),"",INDEX('Compliance Database'!$L$2:$L$1369,MATCH(426,'Transfer Engine'!$C$2:$C$1369,0)))</f>
        <v/>
      </c>
      <c r="M435" s="9">
        <f>IF(ISNA(MATCH(426,'Transfer Engine'!$C$2:$C$1369,0)),"",INDEX('Compliance Database'!$M$2:$M$1369,MATCH(426,'Transfer Engine'!$C$2:$C$1369,0)))</f>
        <v/>
      </c>
      <c r="N435" s="9">
        <f>IF(ISNA(MATCH(426,'Transfer Engine'!$C$2:$C$1369,0)),"",INDEX('Compliance Database'!$N$2:$N$1369,MATCH(426,'Transfer Engine'!$C$2:$C$1369,0)))</f>
        <v/>
      </c>
      <c r="O435" s="8">
        <f>IF(ISNA(MATCH(426,'Transfer Engine'!$C$2:$C$1369,0)),"",HYPERLINK(INDEX('Compliance Database'!$O$2:$O$1369,MATCH(426,'Transfer Engine'!$C$2:$C$1369,0)),"Open PDF"))</f>
        <v/>
      </c>
    </row>
    <row r="436" ht="188" customHeight="1">
      <c r="A436" s="8">
        <f>IF(ISNA(MATCH(427,'Transfer Engine'!$C$2:$C$1369,0)),"",INDEX('Compliance Database'!$A$2:$A$1369,MATCH(427,'Transfer Engine'!$C$2:$C$1369,0)))</f>
        <v/>
      </c>
      <c r="B436" s="8">
        <f>IF(ISNA(MATCH(427,'Transfer Engine'!$C$2:$C$1369,0)),"",INDEX('Compliance Database'!$B$2:$B$1369,MATCH(427,'Transfer Engine'!$C$2:$C$1369,0)))</f>
        <v/>
      </c>
      <c r="C436" s="8">
        <f>IF(ISNA(MATCH(427,'Transfer Engine'!$C$2:$C$1369,0)),"",INDEX('Compliance Database'!$C$2:$C$1369,MATCH(427,'Transfer Engine'!$C$2:$C$1369,0)))</f>
        <v/>
      </c>
      <c r="D436" s="9">
        <f>IF(ISNA(MATCH(427,'Transfer Engine'!$C$2:$C$1369,0)),"",INDEX('Compliance Database'!$D$2:$D$1369,MATCH(427,'Transfer Engine'!$C$2:$C$1369,0)))</f>
        <v/>
      </c>
      <c r="E436" s="8">
        <f>IF(ISNA(MATCH(427,'Transfer Engine'!$C$2:$C$1369,0)),"",INDEX('Compliance Database'!$E$2:$E$1369,MATCH(427,'Transfer Engine'!$C$2:$C$1369,0)))</f>
        <v/>
      </c>
      <c r="F436" s="8">
        <f>IF(ISNA(MATCH(427,'Transfer Engine'!$C$2:$C$1369,0)),"",INDEX('Compliance Database'!$F$2:$F$1369,MATCH(427,'Transfer Engine'!$C$2:$C$1369,0)))</f>
        <v/>
      </c>
      <c r="G436" s="8">
        <f>IF(ISNA(MATCH(427,'Transfer Engine'!$C$2:$C$1369,0)),"",INDEX('Compliance Database'!$G$2:$G$1369,MATCH(427,'Transfer Engine'!$C$2:$C$1369,0)))</f>
        <v/>
      </c>
      <c r="H436" s="9">
        <f>IF(ISNA(MATCH(427,'Transfer Engine'!$C$2:$C$1369,0)),"",INDEX('Compliance Database'!$H$2:$H$1369,MATCH(427,'Transfer Engine'!$C$2:$C$1369,0)))</f>
        <v/>
      </c>
      <c r="I436" s="9">
        <f>IF(ISNA(MATCH(427,'Transfer Engine'!$C$2:$C$1369,0)),"",INDEX('Compliance Database'!$I$2:$I$1369,MATCH(427,'Transfer Engine'!$C$2:$C$1369,0)))</f>
        <v/>
      </c>
      <c r="J436" s="8">
        <f>IF(ISNA(MATCH(427,'Transfer Engine'!$C$2:$C$1369,0)),"",INDEX('Compliance Database'!$J$2:$J$1369,MATCH(427,'Transfer Engine'!$C$2:$C$1369,0)))</f>
        <v/>
      </c>
      <c r="K436" s="9">
        <f>IF(ISNA(MATCH(427,'Transfer Engine'!$C$2:$C$1369,0)),"",INDEX('Compliance Database'!$K$2:$K$1369,MATCH(427,'Transfer Engine'!$C$2:$C$1369,0)))</f>
        <v/>
      </c>
      <c r="L436" s="9">
        <f>IF(ISNA(MATCH(427,'Transfer Engine'!$C$2:$C$1369,0)),"",INDEX('Compliance Database'!$L$2:$L$1369,MATCH(427,'Transfer Engine'!$C$2:$C$1369,0)))</f>
        <v/>
      </c>
      <c r="M436" s="9">
        <f>IF(ISNA(MATCH(427,'Transfer Engine'!$C$2:$C$1369,0)),"",INDEX('Compliance Database'!$M$2:$M$1369,MATCH(427,'Transfer Engine'!$C$2:$C$1369,0)))</f>
        <v/>
      </c>
      <c r="N436" s="9">
        <f>IF(ISNA(MATCH(427,'Transfer Engine'!$C$2:$C$1369,0)),"",INDEX('Compliance Database'!$N$2:$N$1369,MATCH(427,'Transfer Engine'!$C$2:$C$1369,0)))</f>
        <v/>
      </c>
      <c r="O436" s="8">
        <f>IF(ISNA(MATCH(427,'Transfer Engine'!$C$2:$C$1369,0)),"",HYPERLINK(INDEX('Compliance Database'!$O$2:$O$1369,MATCH(427,'Transfer Engine'!$C$2:$C$1369,0)),"Open PDF"))</f>
        <v/>
      </c>
    </row>
    <row r="437" ht="188" customHeight="1">
      <c r="A437" s="8">
        <f>IF(ISNA(MATCH(428,'Transfer Engine'!$C$2:$C$1369,0)),"",INDEX('Compliance Database'!$A$2:$A$1369,MATCH(428,'Transfer Engine'!$C$2:$C$1369,0)))</f>
        <v/>
      </c>
      <c r="B437" s="8">
        <f>IF(ISNA(MATCH(428,'Transfer Engine'!$C$2:$C$1369,0)),"",INDEX('Compliance Database'!$B$2:$B$1369,MATCH(428,'Transfer Engine'!$C$2:$C$1369,0)))</f>
        <v/>
      </c>
      <c r="C437" s="8">
        <f>IF(ISNA(MATCH(428,'Transfer Engine'!$C$2:$C$1369,0)),"",INDEX('Compliance Database'!$C$2:$C$1369,MATCH(428,'Transfer Engine'!$C$2:$C$1369,0)))</f>
        <v/>
      </c>
      <c r="D437" s="9">
        <f>IF(ISNA(MATCH(428,'Transfer Engine'!$C$2:$C$1369,0)),"",INDEX('Compliance Database'!$D$2:$D$1369,MATCH(428,'Transfer Engine'!$C$2:$C$1369,0)))</f>
        <v/>
      </c>
      <c r="E437" s="8">
        <f>IF(ISNA(MATCH(428,'Transfer Engine'!$C$2:$C$1369,0)),"",INDEX('Compliance Database'!$E$2:$E$1369,MATCH(428,'Transfer Engine'!$C$2:$C$1369,0)))</f>
        <v/>
      </c>
      <c r="F437" s="8">
        <f>IF(ISNA(MATCH(428,'Transfer Engine'!$C$2:$C$1369,0)),"",INDEX('Compliance Database'!$F$2:$F$1369,MATCH(428,'Transfer Engine'!$C$2:$C$1369,0)))</f>
        <v/>
      </c>
      <c r="G437" s="8">
        <f>IF(ISNA(MATCH(428,'Transfer Engine'!$C$2:$C$1369,0)),"",INDEX('Compliance Database'!$G$2:$G$1369,MATCH(428,'Transfer Engine'!$C$2:$C$1369,0)))</f>
        <v/>
      </c>
      <c r="H437" s="9">
        <f>IF(ISNA(MATCH(428,'Transfer Engine'!$C$2:$C$1369,0)),"",INDEX('Compliance Database'!$H$2:$H$1369,MATCH(428,'Transfer Engine'!$C$2:$C$1369,0)))</f>
        <v/>
      </c>
      <c r="I437" s="9">
        <f>IF(ISNA(MATCH(428,'Transfer Engine'!$C$2:$C$1369,0)),"",INDEX('Compliance Database'!$I$2:$I$1369,MATCH(428,'Transfer Engine'!$C$2:$C$1369,0)))</f>
        <v/>
      </c>
      <c r="J437" s="8">
        <f>IF(ISNA(MATCH(428,'Transfer Engine'!$C$2:$C$1369,0)),"",INDEX('Compliance Database'!$J$2:$J$1369,MATCH(428,'Transfer Engine'!$C$2:$C$1369,0)))</f>
        <v/>
      </c>
      <c r="K437" s="9">
        <f>IF(ISNA(MATCH(428,'Transfer Engine'!$C$2:$C$1369,0)),"",INDEX('Compliance Database'!$K$2:$K$1369,MATCH(428,'Transfer Engine'!$C$2:$C$1369,0)))</f>
        <v/>
      </c>
      <c r="L437" s="9">
        <f>IF(ISNA(MATCH(428,'Transfer Engine'!$C$2:$C$1369,0)),"",INDEX('Compliance Database'!$L$2:$L$1369,MATCH(428,'Transfer Engine'!$C$2:$C$1369,0)))</f>
        <v/>
      </c>
      <c r="M437" s="9">
        <f>IF(ISNA(MATCH(428,'Transfer Engine'!$C$2:$C$1369,0)),"",INDEX('Compliance Database'!$M$2:$M$1369,MATCH(428,'Transfer Engine'!$C$2:$C$1369,0)))</f>
        <v/>
      </c>
      <c r="N437" s="9">
        <f>IF(ISNA(MATCH(428,'Transfer Engine'!$C$2:$C$1369,0)),"",INDEX('Compliance Database'!$N$2:$N$1369,MATCH(428,'Transfer Engine'!$C$2:$C$1369,0)))</f>
        <v/>
      </c>
      <c r="O437" s="8">
        <f>IF(ISNA(MATCH(428,'Transfer Engine'!$C$2:$C$1369,0)),"",HYPERLINK(INDEX('Compliance Database'!$O$2:$O$1369,MATCH(428,'Transfer Engine'!$C$2:$C$1369,0)),"Open PDF"))</f>
        <v/>
      </c>
    </row>
    <row r="438" ht="188" customHeight="1">
      <c r="A438" s="8">
        <f>IF(ISNA(MATCH(429,'Transfer Engine'!$C$2:$C$1369,0)),"",INDEX('Compliance Database'!$A$2:$A$1369,MATCH(429,'Transfer Engine'!$C$2:$C$1369,0)))</f>
        <v/>
      </c>
      <c r="B438" s="8">
        <f>IF(ISNA(MATCH(429,'Transfer Engine'!$C$2:$C$1369,0)),"",INDEX('Compliance Database'!$B$2:$B$1369,MATCH(429,'Transfer Engine'!$C$2:$C$1369,0)))</f>
        <v/>
      </c>
      <c r="C438" s="8">
        <f>IF(ISNA(MATCH(429,'Transfer Engine'!$C$2:$C$1369,0)),"",INDEX('Compliance Database'!$C$2:$C$1369,MATCH(429,'Transfer Engine'!$C$2:$C$1369,0)))</f>
        <v/>
      </c>
      <c r="D438" s="9">
        <f>IF(ISNA(MATCH(429,'Transfer Engine'!$C$2:$C$1369,0)),"",INDEX('Compliance Database'!$D$2:$D$1369,MATCH(429,'Transfer Engine'!$C$2:$C$1369,0)))</f>
        <v/>
      </c>
      <c r="E438" s="8">
        <f>IF(ISNA(MATCH(429,'Transfer Engine'!$C$2:$C$1369,0)),"",INDEX('Compliance Database'!$E$2:$E$1369,MATCH(429,'Transfer Engine'!$C$2:$C$1369,0)))</f>
        <v/>
      </c>
      <c r="F438" s="8">
        <f>IF(ISNA(MATCH(429,'Transfer Engine'!$C$2:$C$1369,0)),"",INDEX('Compliance Database'!$F$2:$F$1369,MATCH(429,'Transfer Engine'!$C$2:$C$1369,0)))</f>
        <v/>
      </c>
      <c r="G438" s="8">
        <f>IF(ISNA(MATCH(429,'Transfer Engine'!$C$2:$C$1369,0)),"",INDEX('Compliance Database'!$G$2:$G$1369,MATCH(429,'Transfer Engine'!$C$2:$C$1369,0)))</f>
        <v/>
      </c>
      <c r="H438" s="9">
        <f>IF(ISNA(MATCH(429,'Transfer Engine'!$C$2:$C$1369,0)),"",INDEX('Compliance Database'!$H$2:$H$1369,MATCH(429,'Transfer Engine'!$C$2:$C$1369,0)))</f>
        <v/>
      </c>
      <c r="I438" s="9">
        <f>IF(ISNA(MATCH(429,'Transfer Engine'!$C$2:$C$1369,0)),"",INDEX('Compliance Database'!$I$2:$I$1369,MATCH(429,'Transfer Engine'!$C$2:$C$1369,0)))</f>
        <v/>
      </c>
      <c r="J438" s="8">
        <f>IF(ISNA(MATCH(429,'Transfer Engine'!$C$2:$C$1369,0)),"",INDEX('Compliance Database'!$J$2:$J$1369,MATCH(429,'Transfer Engine'!$C$2:$C$1369,0)))</f>
        <v/>
      </c>
      <c r="K438" s="9">
        <f>IF(ISNA(MATCH(429,'Transfer Engine'!$C$2:$C$1369,0)),"",INDEX('Compliance Database'!$K$2:$K$1369,MATCH(429,'Transfer Engine'!$C$2:$C$1369,0)))</f>
        <v/>
      </c>
      <c r="L438" s="9">
        <f>IF(ISNA(MATCH(429,'Transfer Engine'!$C$2:$C$1369,0)),"",INDEX('Compliance Database'!$L$2:$L$1369,MATCH(429,'Transfer Engine'!$C$2:$C$1369,0)))</f>
        <v/>
      </c>
      <c r="M438" s="9">
        <f>IF(ISNA(MATCH(429,'Transfer Engine'!$C$2:$C$1369,0)),"",INDEX('Compliance Database'!$M$2:$M$1369,MATCH(429,'Transfer Engine'!$C$2:$C$1369,0)))</f>
        <v/>
      </c>
      <c r="N438" s="9">
        <f>IF(ISNA(MATCH(429,'Transfer Engine'!$C$2:$C$1369,0)),"",INDEX('Compliance Database'!$N$2:$N$1369,MATCH(429,'Transfer Engine'!$C$2:$C$1369,0)))</f>
        <v/>
      </c>
      <c r="O438" s="8">
        <f>IF(ISNA(MATCH(429,'Transfer Engine'!$C$2:$C$1369,0)),"",HYPERLINK(INDEX('Compliance Database'!$O$2:$O$1369,MATCH(429,'Transfer Engine'!$C$2:$C$1369,0)),"Open PDF"))</f>
        <v/>
      </c>
    </row>
    <row r="439" ht="188" customHeight="1">
      <c r="A439" s="8">
        <f>IF(ISNA(MATCH(430,'Transfer Engine'!$C$2:$C$1369,0)),"",INDEX('Compliance Database'!$A$2:$A$1369,MATCH(430,'Transfer Engine'!$C$2:$C$1369,0)))</f>
        <v/>
      </c>
      <c r="B439" s="8">
        <f>IF(ISNA(MATCH(430,'Transfer Engine'!$C$2:$C$1369,0)),"",INDEX('Compliance Database'!$B$2:$B$1369,MATCH(430,'Transfer Engine'!$C$2:$C$1369,0)))</f>
        <v/>
      </c>
      <c r="C439" s="8">
        <f>IF(ISNA(MATCH(430,'Transfer Engine'!$C$2:$C$1369,0)),"",INDEX('Compliance Database'!$C$2:$C$1369,MATCH(430,'Transfer Engine'!$C$2:$C$1369,0)))</f>
        <v/>
      </c>
      <c r="D439" s="9">
        <f>IF(ISNA(MATCH(430,'Transfer Engine'!$C$2:$C$1369,0)),"",INDEX('Compliance Database'!$D$2:$D$1369,MATCH(430,'Transfer Engine'!$C$2:$C$1369,0)))</f>
        <v/>
      </c>
      <c r="E439" s="8">
        <f>IF(ISNA(MATCH(430,'Transfer Engine'!$C$2:$C$1369,0)),"",INDEX('Compliance Database'!$E$2:$E$1369,MATCH(430,'Transfer Engine'!$C$2:$C$1369,0)))</f>
        <v/>
      </c>
      <c r="F439" s="8">
        <f>IF(ISNA(MATCH(430,'Transfer Engine'!$C$2:$C$1369,0)),"",INDEX('Compliance Database'!$F$2:$F$1369,MATCH(430,'Transfer Engine'!$C$2:$C$1369,0)))</f>
        <v/>
      </c>
      <c r="G439" s="8">
        <f>IF(ISNA(MATCH(430,'Transfer Engine'!$C$2:$C$1369,0)),"",INDEX('Compliance Database'!$G$2:$G$1369,MATCH(430,'Transfer Engine'!$C$2:$C$1369,0)))</f>
        <v/>
      </c>
      <c r="H439" s="9">
        <f>IF(ISNA(MATCH(430,'Transfer Engine'!$C$2:$C$1369,0)),"",INDEX('Compliance Database'!$H$2:$H$1369,MATCH(430,'Transfer Engine'!$C$2:$C$1369,0)))</f>
        <v/>
      </c>
      <c r="I439" s="9">
        <f>IF(ISNA(MATCH(430,'Transfer Engine'!$C$2:$C$1369,0)),"",INDEX('Compliance Database'!$I$2:$I$1369,MATCH(430,'Transfer Engine'!$C$2:$C$1369,0)))</f>
        <v/>
      </c>
      <c r="J439" s="8">
        <f>IF(ISNA(MATCH(430,'Transfer Engine'!$C$2:$C$1369,0)),"",INDEX('Compliance Database'!$J$2:$J$1369,MATCH(430,'Transfer Engine'!$C$2:$C$1369,0)))</f>
        <v/>
      </c>
      <c r="K439" s="9">
        <f>IF(ISNA(MATCH(430,'Transfer Engine'!$C$2:$C$1369,0)),"",INDEX('Compliance Database'!$K$2:$K$1369,MATCH(430,'Transfer Engine'!$C$2:$C$1369,0)))</f>
        <v/>
      </c>
      <c r="L439" s="9">
        <f>IF(ISNA(MATCH(430,'Transfer Engine'!$C$2:$C$1369,0)),"",INDEX('Compliance Database'!$L$2:$L$1369,MATCH(430,'Transfer Engine'!$C$2:$C$1369,0)))</f>
        <v/>
      </c>
      <c r="M439" s="9">
        <f>IF(ISNA(MATCH(430,'Transfer Engine'!$C$2:$C$1369,0)),"",INDEX('Compliance Database'!$M$2:$M$1369,MATCH(430,'Transfer Engine'!$C$2:$C$1369,0)))</f>
        <v/>
      </c>
      <c r="N439" s="9">
        <f>IF(ISNA(MATCH(430,'Transfer Engine'!$C$2:$C$1369,0)),"",INDEX('Compliance Database'!$N$2:$N$1369,MATCH(430,'Transfer Engine'!$C$2:$C$1369,0)))</f>
        <v/>
      </c>
      <c r="O439" s="8">
        <f>IF(ISNA(MATCH(430,'Transfer Engine'!$C$2:$C$1369,0)),"",HYPERLINK(INDEX('Compliance Database'!$O$2:$O$1369,MATCH(430,'Transfer Engine'!$C$2:$C$1369,0)),"Open PDF"))</f>
        <v/>
      </c>
    </row>
    <row r="440" ht="188" customHeight="1">
      <c r="A440" s="8">
        <f>IF(ISNA(MATCH(431,'Transfer Engine'!$C$2:$C$1369,0)),"",INDEX('Compliance Database'!$A$2:$A$1369,MATCH(431,'Transfer Engine'!$C$2:$C$1369,0)))</f>
        <v/>
      </c>
      <c r="B440" s="8">
        <f>IF(ISNA(MATCH(431,'Transfer Engine'!$C$2:$C$1369,0)),"",INDEX('Compliance Database'!$B$2:$B$1369,MATCH(431,'Transfer Engine'!$C$2:$C$1369,0)))</f>
        <v/>
      </c>
      <c r="C440" s="8">
        <f>IF(ISNA(MATCH(431,'Transfer Engine'!$C$2:$C$1369,0)),"",INDEX('Compliance Database'!$C$2:$C$1369,MATCH(431,'Transfer Engine'!$C$2:$C$1369,0)))</f>
        <v/>
      </c>
      <c r="D440" s="9">
        <f>IF(ISNA(MATCH(431,'Transfer Engine'!$C$2:$C$1369,0)),"",INDEX('Compliance Database'!$D$2:$D$1369,MATCH(431,'Transfer Engine'!$C$2:$C$1369,0)))</f>
        <v/>
      </c>
      <c r="E440" s="8">
        <f>IF(ISNA(MATCH(431,'Transfer Engine'!$C$2:$C$1369,0)),"",INDEX('Compliance Database'!$E$2:$E$1369,MATCH(431,'Transfer Engine'!$C$2:$C$1369,0)))</f>
        <v/>
      </c>
      <c r="F440" s="8">
        <f>IF(ISNA(MATCH(431,'Transfer Engine'!$C$2:$C$1369,0)),"",INDEX('Compliance Database'!$F$2:$F$1369,MATCH(431,'Transfer Engine'!$C$2:$C$1369,0)))</f>
        <v/>
      </c>
      <c r="G440" s="8">
        <f>IF(ISNA(MATCH(431,'Transfer Engine'!$C$2:$C$1369,0)),"",INDEX('Compliance Database'!$G$2:$G$1369,MATCH(431,'Transfer Engine'!$C$2:$C$1369,0)))</f>
        <v/>
      </c>
      <c r="H440" s="9">
        <f>IF(ISNA(MATCH(431,'Transfer Engine'!$C$2:$C$1369,0)),"",INDEX('Compliance Database'!$H$2:$H$1369,MATCH(431,'Transfer Engine'!$C$2:$C$1369,0)))</f>
        <v/>
      </c>
      <c r="I440" s="9">
        <f>IF(ISNA(MATCH(431,'Transfer Engine'!$C$2:$C$1369,0)),"",INDEX('Compliance Database'!$I$2:$I$1369,MATCH(431,'Transfer Engine'!$C$2:$C$1369,0)))</f>
        <v/>
      </c>
      <c r="J440" s="8">
        <f>IF(ISNA(MATCH(431,'Transfer Engine'!$C$2:$C$1369,0)),"",INDEX('Compliance Database'!$J$2:$J$1369,MATCH(431,'Transfer Engine'!$C$2:$C$1369,0)))</f>
        <v/>
      </c>
      <c r="K440" s="9">
        <f>IF(ISNA(MATCH(431,'Transfer Engine'!$C$2:$C$1369,0)),"",INDEX('Compliance Database'!$K$2:$K$1369,MATCH(431,'Transfer Engine'!$C$2:$C$1369,0)))</f>
        <v/>
      </c>
      <c r="L440" s="9">
        <f>IF(ISNA(MATCH(431,'Transfer Engine'!$C$2:$C$1369,0)),"",INDEX('Compliance Database'!$L$2:$L$1369,MATCH(431,'Transfer Engine'!$C$2:$C$1369,0)))</f>
        <v/>
      </c>
      <c r="M440" s="9">
        <f>IF(ISNA(MATCH(431,'Transfer Engine'!$C$2:$C$1369,0)),"",INDEX('Compliance Database'!$M$2:$M$1369,MATCH(431,'Transfer Engine'!$C$2:$C$1369,0)))</f>
        <v/>
      </c>
      <c r="N440" s="9">
        <f>IF(ISNA(MATCH(431,'Transfer Engine'!$C$2:$C$1369,0)),"",INDEX('Compliance Database'!$N$2:$N$1369,MATCH(431,'Transfer Engine'!$C$2:$C$1369,0)))</f>
        <v/>
      </c>
      <c r="O440" s="8">
        <f>IF(ISNA(MATCH(431,'Transfer Engine'!$C$2:$C$1369,0)),"",HYPERLINK(INDEX('Compliance Database'!$O$2:$O$1369,MATCH(431,'Transfer Engine'!$C$2:$C$1369,0)),"Open PDF"))</f>
        <v/>
      </c>
    </row>
    <row r="441" ht="188" customHeight="1">
      <c r="A441" s="8">
        <f>IF(ISNA(MATCH(432,'Transfer Engine'!$C$2:$C$1369,0)),"",INDEX('Compliance Database'!$A$2:$A$1369,MATCH(432,'Transfer Engine'!$C$2:$C$1369,0)))</f>
        <v/>
      </c>
      <c r="B441" s="8">
        <f>IF(ISNA(MATCH(432,'Transfer Engine'!$C$2:$C$1369,0)),"",INDEX('Compliance Database'!$B$2:$B$1369,MATCH(432,'Transfer Engine'!$C$2:$C$1369,0)))</f>
        <v/>
      </c>
      <c r="C441" s="8">
        <f>IF(ISNA(MATCH(432,'Transfer Engine'!$C$2:$C$1369,0)),"",INDEX('Compliance Database'!$C$2:$C$1369,MATCH(432,'Transfer Engine'!$C$2:$C$1369,0)))</f>
        <v/>
      </c>
      <c r="D441" s="9">
        <f>IF(ISNA(MATCH(432,'Transfer Engine'!$C$2:$C$1369,0)),"",INDEX('Compliance Database'!$D$2:$D$1369,MATCH(432,'Transfer Engine'!$C$2:$C$1369,0)))</f>
        <v/>
      </c>
      <c r="E441" s="8">
        <f>IF(ISNA(MATCH(432,'Transfer Engine'!$C$2:$C$1369,0)),"",INDEX('Compliance Database'!$E$2:$E$1369,MATCH(432,'Transfer Engine'!$C$2:$C$1369,0)))</f>
        <v/>
      </c>
      <c r="F441" s="8">
        <f>IF(ISNA(MATCH(432,'Transfer Engine'!$C$2:$C$1369,0)),"",INDEX('Compliance Database'!$F$2:$F$1369,MATCH(432,'Transfer Engine'!$C$2:$C$1369,0)))</f>
        <v/>
      </c>
      <c r="G441" s="8">
        <f>IF(ISNA(MATCH(432,'Transfer Engine'!$C$2:$C$1369,0)),"",INDEX('Compliance Database'!$G$2:$G$1369,MATCH(432,'Transfer Engine'!$C$2:$C$1369,0)))</f>
        <v/>
      </c>
      <c r="H441" s="9">
        <f>IF(ISNA(MATCH(432,'Transfer Engine'!$C$2:$C$1369,0)),"",INDEX('Compliance Database'!$H$2:$H$1369,MATCH(432,'Transfer Engine'!$C$2:$C$1369,0)))</f>
        <v/>
      </c>
      <c r="I441" s="9">
        <f>IF(ISNA(MATCH(432,'Transfer Engine'!$C$2:$C$1369,0)),"",INDEX('Compliance Database'!$I$2:$I$1369,MATCH(432,'Transfer Engine'!$C$2:$C$1369,0)))</f>
        <v/>
      </c>
      <c r="J441" s="8">
        <f>IF(ISNA(MATCH(432,'Transfer Engine'!$C$2:$C$1369,0)),"",INDEX('Compliance Database'!$J$2:$J$1369,MATCH(432,'Transfer Engine'!$C$2:$C$1369,0)))</f>
        <v/>
      </c>
      <c r="K441" s="9">
        <f>IF(ISNA(MATCH(432,'Transfer Engine'!$C$2:$C$1369,0)),"",INDEX('Compliance Database'!$K$2:$K$1369,MATCH(432,'Transfer Engine'!$C$2:$C$1369,0)))</f>
        <v/>
      </c>
      <c r="L441" s="9">
        <f>IF(ISNA(MATCH(432,'Transfer Engine'!$C$2:$C$1369,0)),"",INDEX('Compliance Database'!$L$2:$L$1369,MATCH(432,'Transfer Engine'!$C$2:$C$1369,0)))</f>
        <v/>
      </c>
      <c r="M441" s="9">
        <f>IF(ISNA(MATCH(432,'Transfer Engine'!$C$2:$C$1369,0)),"",INDEX('Compliance Database'!$M$2:$M$1369,MATCH(432,'Transfer Engine'!$C$2:$C$1369,0)))</f>
        <v/>
      </c>
      <c r="N441" s="9">
        <f>IF(ISNA(MATCH(432,'Transfer Engine'!$C$2:$C$1369,0)),"",INDEX('Compliance Database'!$N$2:$N$1369,MATCH(432,'Transfer Engine'!$C$2:$C$1369,0)))</f>
        <v/>
      </c>
      <c r="O441" s="8">
        <f>IF(ISNA(MATCH(432,'Transfer Engine'!$C$2:$C$1369,0)),"",HYPERLINK(INDEX('Compliance Database'!$O$2:$O$1369,MATCH(432,'Transfer Engine'!$C$2:$C$1369,0)),"Open PDF"))</f>
        <v/>
      </c>
    </row>
    <row r="442" ht="188" customHeight="1">
      <c r="A442" s="8">
        <f>IF(ISNA(MATCH(433,'Transfer Engine'!$C$2:$C$1369,0)),"",INDEX('Compliance Database'!$A$2:$A$1369,MATCH(433,'Transfer Engine'!$C$2:$C$1369,0)))</f>
        <v/>
      </c>
      <c r="B442" s="8">
        <f>IF(ISNA(MATCH(433,'Transfer Engine'!$C$2:$C$1369,0)),"",INDEX('Compliance Database'!$B$2:$B$1369,MATCH(433,'Transfer Engine'!$C$2:$C$1369,0)))</f>
        <v/>
      </c>
      <c r="C442" s="8">
        <f>IF(ISNA(MATCH(433,'Transfer Engine'!$C$2:$C$1369,0)),"",INDEX('Compliance Database'!$C$2:$C$1369,MATCH(433,'Transfer Engine'!$C$2:$C$1369,0)))</f>
        <v/>
      </c>
      <c r="D442" s="9">
        <f>IF(ISNA(MATCH(433,'Transfer Engine'!$C$2:$C$1369,0)),"",INDEX('Compliance Database'!$D$2:$D$1369,MATCH(433,'Transfer Engine'!$C$2:$C$1369,0)))</f>
        <v/>
      </c>
      <c r="E442" s="8">
        <f>IF(ISNA(MATCH(433,'Transfer Engine'!$C$2:$C$1369,0)),"",INDEX('Compliance Database'!$E$2:$E$1369,MATCH(433,'Transfer Engine'!$C$2:$C$1369,0)))</f>
        <v/>
      </c>
      <c r="F442" s="8">
        <f>IF(ISNA(MATCH(433,'Transfer Engine'!$C$2:$C$1369,0)),"",INDEX('Compliance Database'!$F$2:$F$1369,MATCH(433,'Transfer Engine'!$C$2:$C$1369,0)))</f>
        <v/>
      </c>
      <c r="G442" s="8">
        <f>IF(ISNA(MATCH(433,'Transfer Engine'!$C$2:$C$1369,0)),"",INDEX('Compliance Database'!$G$2:$G$1369,MATCH(433,'Transfer Engine'!$C$2:$C$1369,0)))</f>
        <v/>
      </c>
      <c r="H442" s="9">
        <f>IF(ISNA(MATCH(433,'Transfer Engine'!$C$2:$C$1369,0)),"",INDEX('Compliance Database'!$H$2:$H$1369,MATCH(433,'Transfer Engine'!$C$2:$C$1369,0)))</f>
        <v/>
      </c>
      <c r="I442" s="9">
        <f>IF(ISNA(MATCH(433,'Transfer Engine'!$C$2:$C$1369,0)),"",INDEX('Compliance Database'!$I$2:$I$1369,MATCH(433,'Transfer Engine'!$C$2:$C$1369,0)))</f>
        <v/>
      </c>
      <c r="J442" s="8">
        <f>IF(ISNA(MATCH(433,'Transfer Engine'!$C$2:$C$1369,0)),"",INDEX('Compliance Database'!$J$2:$J$1369,MATCH(433,'Transfer Engine'!$C$2:$C$1369,0)))</f>
        <v/>
      </c>
      <c r="K442" s="9">
        <f>IF(ISNA(MATCH(433,'Transfer Engine'!$C$2:$C$1369,0)),"",INDEX('Compliance Database'!$K$2:$K$1369,MATCH(433,'Transfer Engine'!$C$2:$C$1369,0)))</f>
        <v/>
      </c>
      <c r="L442" s="9">
        <f>IF(ISNA(MATCH(433,'Transfer Engine'!$C$2:$C$1369,0)),"",INDEX('Compliance Database'!$L$2:$L$1369,MATCH(433,'Transfer Engine'!$C$2:$C$1369,0)))</f>
        <v/>
      </c>
      <c r="M442" s="9">
        <f>IF(ISNA(MATCH(433,'Transfer Engine'!$C$2:$C$1369,0)),"",INDEX('Compliance Database'!$M$2:$M$1369,MATCH(433,'Transfer Engine'!$C$2:$C$1369,0)))</f>
        <v/>
      </c>
      <c r="N442" s="9">
        <f>IF(ISNA(MATCH(433,'Transfer Engine'!$C$2:$C$1369,0)),"",INDEX('Compliance Database'!$N$2:$N$1369,MATCH(433,'Transfer Engine'!$C$2:$C$1369,0)))</f>
        <v/>
      </c>
      <c r="O442" s="8">
        <f>IF(ISNA(MATCH(433,'Transfer Engine'!$C$2:$C$1369,0)),"",HYPERLINK(INDEX('Compliance Database'!$O$2:$O$1369,MATCH(433,'Transfer Engine'!$C$2:$C$1369,0)),"Open PDF"))</f>
        <v/>
      </c>
    </row>
    <row r="443" ht="188" customHeight="1">
      <c r="A443" s="8">
        <f>IF(ISNA(MATCH(434,'Transfer Engine'!$C$2:$C$1369,0)),"",INDEX('Compliance Database'!$A$2:$A$1369,MATCH(434,'Transfer Engine'!$C$2:$C$1369,0)))</f>
        <v/>
      </c>
      <c r="B443" s="8">
        <f>IF(ISNA(MATCH(434,'Transfer Engine'!$C$2:$C$1369,0)),"",INDEX('Compliance Database'!$B$2:$B$1369,MATCH(434,'Transfer Engine'!$C$2:$C$1369,0)))</f>
        <v/>
      </c>
      <c r="C443" s="8">
        <f>IF(ISNA(MATCH(434,'Transfer Engine'!$C$2:$C$1369,0)),"",INDEX('Compliance Database'!$C$2:$C$1369,MATCH(434,'Transfer Engine'!$C$2:$C$1369,0)))</f>
        <v/>
      </c>
      <c r="D443" s="9">
        <f>IF(ISNA(MATCH(434,'Transfer Engine'!$C$2:$C$1369,0)),"",INDEX('Compliance Database'!$D$2:$D$1369,MATCH(434,'Transfer Engine'!$C$2:$C$1369,0)))</f>
        <v/>
      </c>
      <c r="E443" s="8">
        <f>IF(ISNA(MATCH(434,'Transfer Engine'!$C$2:$C$1369,0)),"",INDEX('Compliance Database'!$E$2:$E$1369,MATCH(434,'Transfer Engine'!$C$2:$C$1369,0)))</f>
        <v/>
      </c>
      <c r="F443" s="8">
        <f>IF(ISNA(MATCH(434,'Transfer Engine'!$C$2:$C$1369,0)),"",INDEX('Compliance Database'!$F$2:$F$1369,MATCH(434,'Transfer Engine'!$C$2:$C$1369,0)))</f>
        <v/>
      </c>
      <c r="G443" s="8">
        <f>IF(ISNA(MATCH(434,'Transfer Engine'!$C$2:$C$1369,0)),"",INDEX('Compliance Database'!$G$2:$G$1369,MATCH(434,'Transfer Engine'!$C$2:$C$1369,0)))</f>
        <v/>
      </c>
      <c r="H443" s="9">
        <f>IF(ISNA(MATCH(434,'Transfer Engine'!$C$2:$C$1369,0)),"",INDEX('Compliance Database'!$H$2:$H$1369,MATCH(434,'Transfer Engine'!$C$2:$C$1369,0)))</f>
        <v/>
      </c>
      <c r="I443" s="9">
        <f>IF(ISNA(MATCH(434,'Transfer Engine'!$C$2:$C$1369,0)),"",INDEX('Compliance Database'!$I$2:$I$1369,MATCH(434,'Transfer Engine'!$C$2:$C$1369,0)))</f>
        <v/>
      </c>
      <c r="J443" s="8">
        <f>IF(ISNA(MATCH(434,'Transfer Engine'!$C$2:$C$1369,0)),"",INDEX('Compliance Database'!$J$2:$J$1369,MATCH(434,'Transfer Engine'!$C$2:$C$1369,0)))</f>
        <v/>
      </c>
      <c r="K443" s="9">
        <f>IF(ISNA(MATCH(434,'Transfer Engine'!$C$2:$C$1369,0)),"",INDEX('Compliance Database'!$K$2:$K$1369,MATCH(434,'Transfer Engine'!$C$2:$C$1369,0)))</f>
        <v/>
      </c>
      <c r="L443" s="9">
        <f>IF(ISNA(MATCH(434,'Transfer Engine'!$C$2:$C$1369,0)),"",INDEX('Compliance Database'!$L$2:$L$1369,MATCH(434,'Transfer Engine'!$C$2:$C$1369,0)))</f>
        <v/>
      </c>
      <c r="M443" s="9">
        <f>IF(ISNA(MATCH(434,'Transfer Engine'!$C$2:$C$1369,0)),"",INDEX('Compliance Database'!$M$2:$M$1369,MATCH(434,'Transfer Engine'!$C$2:$C$1369,0)))</f>
        <v/>
      </c>
      <c r="N443" s="9">
        <f>IF(ISNA(MATCH(434,'Transfer Engine'!$C$2:$C$1369,0)),"",INDEX('Compliance Database'!$N$2:$N$1369,MATCH(434,'Transfer Engine'!$C$2:$C$1369,0)))</f>
        <v/>
      </c>
      <c r="O443" s="8">
        <f>IF(ISNA(MATCH(434,'Transfer Engine'!$C$2:$C$1369,0)),"",HYPERLINK(INDEX('Compliance Database'!$O$2:$O$1369,MATCH(434,'Transfer Engine'!$C$2:$C$1369,0)),"Open PDF"))</f>
        <v/>
      </c>
    </row>
    <row r="444" ht="188" customHeight="1">
      <c r="A444" s="8">
        <f>IF(ISNA(MATCH(435,'Transfer Engine'!$C$2:$C$1369,0)),"",INDEX('Compliance Database'!$A$2:$A$1369,MATCH(435,'Transfer Engine'!$C$2:$C$1369,0)))</f>
        <v/>
      </c>
      <c r="B444" s="8">
        <f>IF(ISNA(MATCH(435,'Transfer Engine'!$C$2:$C$1369,0)),"",INDEX('Compliance Database'!$B$2:$B$1369,MATCH(435,'Transfer Engine'!$C$2:$C$1369,0)))</f>
        <v/>
      </c>
      <c r="C444" s="8">
        <f>IF(ISNA(MATCH(435,'Transfer Engine'!$C$2:$C$1369,0)),"",INDEX('Compliance Database'!$C$2:$C$1369,MATCH(435,'Transfer Engine'!$C$2:$C$1369,0)))</f>
        <v/>
      </c>
      <c r="D444" s="9">
        <f>IF(ISNA(MATCH(435,'Transfer Engine'!$C$2:$C$1369,0)),"",INDEX('Compliance Database'!$D$2:$D$1369,MATCH(435,'Transfer Engine'!$C$2:$C$1369,0)))</f>
        <v/>
      </c>
      <c r="E444" s="8">
        <f>IF(ISNA(MATCH(435,'Transfer Engine'!$C$2:$C$1369,0)),"",INDEX('Compliance Database'!$E$2:$E$1369,MATCH(435,'Transfer Engine'!$C$2:$C$1369,0)))</f>
        <v/>
      </c>
      <c r="F444" s="8">
        <f>IF(ISNA(MATCH(435,'Transfer Engine'!$C$2:$C$1369,0)),"",INDEX('Compliance Database'!$F$2:$F$1369,MATCH(435,'Transfer Engine'!$C$2:$C$1369,0)))</f>
        <v/>
      </c>
      <c r="G444" s="8">
        <f>IF(ISNA(MATCH(435,'Transfer Engine'!$C$2:$C$1369,0)),"",INDEX('Compliance Database'!$G$2:$G$1369,MATCH(435,'Transfer Engine'!$C$2:$C$1369,0)))</f>
        <v/>
      </c>
      <c r="H444" s="9">
        <f>IF(ISNA(MATCH(435,'Transfer Engine'!$C$2:$C$1369,0)),"",INDEX('Compliance Database'!$H$2:$H$1369,MATCH(435,'Transfer Engine'!$C$2:$C$1369,0)))</f>
        <v/>
      </c>
      <c r="I444" s="9">
        <f>IF(ISNA(MATCH(435,'Transfer Engine'!$C$2:$C$1369,0)),"",INDEX('Compliance Database'!$I$2:$I$1369,MATCH(435,'Transfer Engine'!$C$2:$C$1369,0)))</f>
        <v/>
      </c>
      <c r="J444" s="8">
        <f>IF(ISNA(MATCH(435,'Transfer Engine'!$C$2:$C$1369,0)),"",INDEX('Compliance Database'!$J$2:$J$1369,MATCH(435,'Transfer Engine'!$C$2:$C$1369,0)))</f>
        <v/>
      </c>
      <c r="K444" s="9">
        <f>IF(ISNA(MATCH(435,'Transfer Engine'!$C$2:$C$1369,0)),"",INDEX('Compliance Database'!$K$2:$K$1369,MATCH(435,'Transfer Engine'!$C$2:$C$1369,0)))</f>
        <v/>
      </c>
      <c r="L444" s="9">
        <f>IF(ISNA(MATCH(435,'Transfer Engine'!$C$2:$C$1369,0)),"",INDEX('Compliance Database'!$L$2:$L$1369,MATCH(435,'Transfer Engine'!$C$2:$C$1369,0)))</f>
        <v/>
      </c>
      <c r="M444" s="9">
        <f>IF(ISNA(MATCH(435,'Transfer Engine'!$C$2:$C$1369,0)),"",INDEX('Compliance Database'!$M$2:$M$1369,MATCH(435,'Transfer Engine'!$C$2:$C$1369,0)))</f>
        <v/>
      </c>
      <c r="N444" s="9">
        <f>IF(ISNA(MATCH(435,'Transfer Engine'!$C$2:$C$1369,0)),"",INDEX('Compliance Database'!$N$2:$N$1369,MATCH(435,'Transfer Engine'!$C$2:$C$1369,0)))</f>
        <v/>
      </c>
      <c r="O444" s="8">
        <f>IF(ISNA(MATCH(435,'Transfer Engine'!$C$2:$C$1369,0)),"",HYPERLINK(INDEX('Compliance Database'!$O$2:$O$1369,MATCH(435,'Transfer Engine'!$C$2:$C$1369,0)),"Open PDF"))</f>
        <v/>
      </c>
    </row>
    <row r="445" ht="188" customHeight="1">
      <c r="A445" s="8">
        <f>IF(ISNA(MATCH(436,'Transfer Engine'!$C$2:$C$1369,0)),"",INDEX('Compliance Database'!$A$2:$A$1369,MATCH(436,'Transfer Engine'!$C$2:$C$1369,0)))</f>
        <v/>
      </c>
      <c r="B445" s="8">
        <f>IF(ISNA(MATCH(436,'Transfer Engine'!$C$2:$C$1369,0)),"",INDEX('Compliance Database'!$B$2:$B$1369,MATCH(436,'Transfer Engine'!$C$2:$C$1369,0)))</f>
        <v/>
      </c>
      <c r="C445" s="8">
        <f>IF(ISNA(MATCH(436,'Transfer Engine'!$C$2:$C$1369,0)),"",INDEX('Compliance Database'!$C$2:$C$1369,MATCH(436,'Transfer Engine'!$C$2:$C$1369,0)))</f>
        <v/>
      </c>
      <c r="D445" s="9">
        <f>IF(ISNA(MATCH(436,'Transfer Engine'!$C$2:$C$1369,0)),"",INDEX('Compliance Database'!$D$2:$D$1369,MATCH(436,'Transfer Engine'!$C$2:$C$1369,0)))</f>
        <v/>
      </c>
      <c r="E445" s="8">
        <f>IF(ISNA(MATCH(436,'Transfer Engine'!$C$2:$C$1369,0)),"",INDEX('Compliance Database'!$E$2:$E$1369,MATCH(436,'Transfer Engine'!$C$2:$C$1369,0)))</f>
        <v/>
      </c>
      <c r="F445" s="8">
        <f>IF(ISNA(MATCH(436,'Transfer Engine'!$C$2:$C$1369,0)),"",INDEX('Compliance Database'!$F$2:$F$1369,MATCH(436,'Transfer Engine'!$C$2:$C$1369,0)))</f>
        <v/>
      </c>
      <c r="G445" s="8">
        <f>IF(ISNA(MATCH(436,'Transfer Engine'!$C$2:$C$1369,0)),"",INDEX('Compliance Database'!$G$2:$G$1369,MATCH(436,'Transfer Engine'!$C$2:$C$1369,0)))</f>
        <v/>
      </c>
      <c r="H445" s="9">
        <f>IF(ISNA(MATCH(436,'Transfer Engine'!$C$2:$C$1369,0)),"",INDEX('Compliance Database'!$H$2:$H$1369,MATCH(436,'Transfer Engine'!$C$2:$C$1369,0)))</f>
        <v/>
      </c>
      <c r="I445" s="9">
        <f>IF(ISNA(MATCH(436,'Transfer Engine'!$C$2:$C$1369,0)),"",INDEX('Compliance Database'!$I$2:$I$1369,MATCH(436,'Transfer Engine'!$C$2:$C$1369,0)))</f>
        <v/>
      </c>
      <c r="J445" s="8">
        <f>IF(ISNA(MATCH(436,'Transfer Engine'!$C$2:$C$1369,0)),"",INDEX('Compliance Database'!$J$2:$J$1369,MATCH(436,'Transfer Engine'!$C$2:$C$1369,0)))</f>
        <v/>
      </c>
      <c r="K445" s="9">
        <f>IF(ISNA(MATCH(436,'Transfer Engine'!$C$2:$C$1369,0)),"",INDEX('Compliance Database'!$K$2:$K$1369,MATCH(436,'Transfer Engine'!$C$2:$C$1369,0)))</f>
        <v/>
      </c>
      <c r="L445" s="9">
        <f>IF(ISNA(MATCH(436,'Transfer Engine'!$C$2:$C$1369,0)),"",INDEX('Compliance Database'!$L$2:$L$1369,MATCH(436,'Transfer Engine'!$C$2:$C$1369,0)))</f>
        <v/>
      </c>
      <c r="M445" s="9">
        <f>IF(ISNA(MATCH(436,'Transfer Engine'!$C$2:$C$1369,0)),"",INDEX('Compliance Database'!$M$2:$M$1369,MATCH(436,'Transfer Engine'!$C$2:$C$1369,0)))</f>
        <v/>
      </c>
      <c r="N445" s="9">
        <f>IF(ISNA(MATCH(436,'Transfer Engine'!$C$2:$C$1369,0)),"",INDEX('Compliance Database'!$N$2:$N$1369,MATCH(436,'Transfer Engine'!$C$2:$C$1369,0)))</f>
        <v/>
      </c>
      <c r="O445" s="8">
        <f>IF(ISNA(MATCH(436,'Transfer Engine'!$C$2:$C$1369,0)),"",HYPERLINK(INDEX('Compliance Database'!$O$2:$O$1369,MATCH(436,'Transfer Engine'!$C$2:$C$1369,0)),"Open PDF"))</f>
        <v/>
      </c>
    </row>
    <row r="446" ht="188" customHeight="1">
      <c r="A446" s="8">
        <f>IF(ISNA(MATCH(437,'Transfer Engine'!$C$2:$C$1369,0)),"",INDEX('Compliance Database'!$A$2:$A$1369,MATCH(437,'Transfer Engine'!$C$2:$C$1369,0)))</f>
        <v/>
      </c>
      <c r="B446" s="8">
        <f>IF(ISNA(MATCH(437,'Transfer Engine'!$C$2:$C$1369,0)),"",INDEX('Compliance Database'!$B$2:$B$1369,MATCH(437,'Transfer Engine'!$C$2:$C$1369,0)))</f>
        <v/>
      </c>
      <c r="C446" s="8">
        <f>IF(ISNA(MATCH(437,'Transfer Engine'!$C$2:$C$1369,0)),"",INDEX('Compliance Database'!$C$2:$C$1369,MATCH(437,'Transfer Engine'!$C$2:$C$1369,0)))</f>
        <v/>
      </c>
      <c r="D446" s="9">
        <f>IF(ISNA(MATCH(437,'Transfer Engine'!$C$2:$C$1369,0)),"",INDEX('Compliance Database'!$D$2:$D$1369,MATCH(437,'Transfer Engine'!$C$2:$C$1369,0)))</f>
        <v/>
      </c>
      <c r="E446" s="8">
        <f>IF(ISNA(MATCH(437,'Transfer Engine'!$C$2:$C$1369,0)),"",INDEX('Compliance Database'!$E$2:$E$1369,MATCH(437,'Transfer Engine'!$C$2:$C$1369,0)))</f>
        <v/>
      </c>
      <c r="F446" s="8">
        <f>IF(ISNA(MATCH(437,'Transfer Engine'!$C$2:$C$1369,0)),"",INDEX('Compliance Database'!$F$2:$F$1369,MATCH(437,'Transfer Engine'!$C$2:$C$1369,0)))</f>
        <v/>
      </c>
      <c r="G446" s="8">
        <f>IF(ISNA(MATCH(437,'Transfer Engine'!$C$2:$C$1369,0)),"",INDEX('Compliance Database'!$G$2:$G$1369,MATCH(437,'Transfer Engine'!$C$2:$C$1369,0)))</f>
        <v/>
      </c>
      <c r="H446" s="9">
        <f>IF(ISNA(MATCH(437,'Transfer Engine'!$C$2:$C$1369,0)),"",INDEX('Compliance Database'!$H$2:$H$1369,MATCH(437,'Transfer Engine'!$C$2:$C$1369,0)))</f>
        <v/>
      </c>
      <c r="I446" s="9">
        <f>IF(ISNA(MATCH(437,'Transfer Engine'!$C$2:$C$1369,0)),"",INDEX('Compliance Database'!$I$2:$I$1369,MATCH(437,'Transfer Engine'!$C$2:$C$1369,0)))</f>
        <v/>
      </c>
      <c r="J446" s="8">
        <f>IF(ISNA(MATCH(437,'Transfer Engine'!$C$2:$C$1369,0)),"",INDEX('Compliance Database'!$J$2:$J$1369,MATCH(437,'Transfer Engine'!$C$2:$C$1369,0)))</f>
        <v/>
      </c>
      <c r="K446" s="9">
        <f>IF(ISNA(MATCH(437,'Transfer Engine'!$C$2:$C$1369,0)),"",INDEX('Compliance Database'!$K$2:$K$1369,MATCH(437,'Transfer Engine'!$C$2:$C$1369,0)))</f>
        <v/>
      </c>
      <c r="L446" s="9">
        <f>IF(ISNA(MATCH(437,'Transfer Engine'!$C$2:$C$1369,0)),"",INDEX('Compliance Database'!$L$2:$L$1369,MATCH(437,'Transfer Engine'!$C$2:$C$1369,0)))</f>
        <v/>
      </c>
      <c r="M446" s="9">
        <f>IF(ISNA(MATCH(437,'Transfer Engine'!$C$2:$C$1369,0)),"",INDEX('Compliance Database'!$M$2:$M$1369,MATCH(437,'Transfer Engine'!$C$2:$C$1369,0)))</f>
        <v/>
      </c>
      <c r="N446" s="9">
        <f>IF(ISNA(MATCH(437,'Transfer Engine'!$C$2:$C$1369,0)),"",INDEX('Compliance Database'!$N$2:$N$1369,MATCH(437,'Transfer Engine'!$C$2:$C$1369,0)))</f>
        <v/>
      </c>
      <c r="O446" s="8">
        <f>IF(ISNA(MATCH(437,'Transfer Engine'!$C$2:$C$1369,0)),"",HYPERLINK(INDEX('Compliance Database'!$O$2:$O$1369,MATCH(437,'Transfer Engine'!$C$2:$C$1369,0)),"Open PDF"))</f>
        <v/>
      </c>
    </row>
    <row r="447" ht="188" customHeight="1">
      <c r="A447" s="8">
        <f>IF(ISNA(MATCH(438,'Transfer Engine'!$C$2:$C$1369,0)),"",INDEX('Compliance Database'!$A$2:$A$1369,MATCH(438,'Transfer Engine'!$C$2:$C$1369,0)))</f>
        <v/>
      </c>
      <c r="B447" s="8">
        <f>IF(ISNA(MATCH(438,'Transfer Engine'!$C$2:$C$1369,0)),"",INDEX('Compliance Database'!$B$2:$B$1369,MATCH(438,'Transfer Engine'!$C$2:$C$1369,0)))</f>
        <v/>
      </c>
      <c r="C447" s="8">
        <f>IF(ISNA(MATCH(438,'Transfer Engine'!$C$2:$C$1369,0)),"",INDEX('Compliance Database'!$C$2:$C$1369,MATCH(438,'Transfer Engine'!$C$2:$C$1369,0)))</f>
        <v/>
      </c>
      <c r="D447" s="9">
        <f>IF(ISNA(MATCH(438,'Transfer Engine'!$C$2:$C$1369,0)),"",INDEX('Compliance Database'!$D$2:$D$1369,MATCH(438,'Transfer Engine'!$C$2:$C$1369,0)))</f>
        <v/>
      </c>
      <c r="E447" s="8">
        <f>IF(ISNA(MATCH(438,'Transfer Engine'!$C$2:$C$1369,0)),"",INDEX('Compliance Database'!$E$2:$E$1369,MATCH(438,'Transfer Engine'!$C$2:$C$1369,0)))</f>
        <v/>
      </c>
      <c r="F447" s="8">
        <f>IF(ISNA(MATCH(438,'Transfer Engine'!$C$2:$C$1369,0)),"",INDEX('Compliance Database'!$F$2:$F$1369,MATCH(438,'Transfer Engine'!$C$2:$C$1369,0)))</f>
        <v/>
      </c>
      <c r="G447" s="8">
        <f>IF(ISNA(MATCH(438,'Transfer Engine'!$C$2:$C$1369,0)),"",INDEX('Compliance Database'!$G$2:$G$1369,MATCH(438,'Transfer Engine'!$C$2:$C$1369,0)))</f>
        <v/>
      </c>
      <c r="H447" s="9">
        <f>IF(ISNA(MATCH(438,'Transfer Engine'!$C$2:$C$1369,0)),"",INDEX('Compliance Database'!$H$2:$H$1369,MATCH(438,'Transfer Engine'!$C$2:$C$1369,0)))</f>
        <v/>
      </c>
      <c r="I447" s="9">
        <f>IF(ISNA(MATCH(438,'Transfer Engine'!$C$2:$C$1369,0)),"",INDEX('Compliance Database'!$I$2:$I$1369,MATCH(438,'Transfer Engine'!$C$2:$C$1369,0)))</f>
        <v/>
      </c>
      <c r="J447" s="8">
        <f>IF(ISNA(MATCH(438,'Transfer Engine'!$C$2:$C$1369,0)),"",INDEX('Compliance Database'!$J$2:$J$1369,MATCH(438,'Transfer Engine'!$C$2:$C$1369,0)))</f>
        <v/>
      </c>
      <c r="K447" s="9">
        <f>IF(ISNA(MATCH(438,'Transfer Engine'!$C$2:$C$1369,0)),"",INDEX('Compliance Database'!$K$2:$K$1369,MATCH(438,'Transfer Engine'!$C$2:$C$1369,0)))</f>
        <v/>
      </c>
      <c r="L447" s="9">
        <f>IF(ISNA(MATCH(438,'Transfer Engine'!$C$2:$C$1369,0)),"",INDEX('Compliance Database'!$L$2:$L$1369,MATCH(438,'Transfer Engine'!$C$2:$C$1369,0)))</f>
        <v/>
      </c>
      <c r="M447" s="9">
        <f>IF(ISNA(MATCH(438,'Transfer Engine'!$C$2:$C$1369,0)),"",INDEX('Compliance Database'!$M$2:$M$1369,MATCH(438,'Transfer Engine'!$C$2:$C$1369,0)))</f>
        <v/>
      </c>
      <c r="N447" s="9">
        <f>IF(ISNA(MATCH(438,'Transfer Engine'!$C$2:$C$1369,0)),"",INDEX('Compliance Database'!$N$2:$N$1369,MATCH(438,'Transfer Engine'!$C$2:$C$1369,0)))</f>
        <v/>
      </c>
      <c r="O447" s="8">
        <f>IF(ISNA(MATCH(438,'Transfer Engine'!$C$2:$C$1369,0)),"",HYPERLINK(INDEX('Compliance Database'!$O$2:$O$1369,MATCH(438,'Transfer Engine'!$C$2:$C$1369,0)),"Open PDF"))</f>
        <v/>
      </c>
    </row>
    <row r="448" ht="188" customHeight="1">
      <c r="A448" s="8">
        <f>IF(ISNA(MATCH(439,'Transfer Engine'!$C$2:$C$1369,0)),"",INDEX('Compliance Database'!$A$2:$A$1369,MATCH(439,'Transfer Engine'!$C$2:$C$1369,0)))</f>
        <v/>
      </c>
      <c r="B448" s="8">
        <f>IF(ISNA(MATCH(439,'Transfer Engine'!$C$2:$C$1369,0)),"",INDEX('Compliance Database'!$B$2:$B$1369,MATCH(439,'Transfer Engine'!$C$2:$C$1369,0)))</f>
        <v/>
      </c>
      <c r="C448" s="8">
        <f>IF(ISNA(MATCH(439,'Transfer Engine'!$C$2:$C$1369,0)),"",INDEX('Compliance Database'!$C$2:$C$1369,MATCH(439,'Transfer Engine'!$C$2:$C$1369,0)))</f>
        <v/>
      </c>
      <c r="D448" s="9">
        <f>IF(ISNA(MATCH(439,'Transfer Engine'!$C$2:$C$1369,0)),"",INDEX('Compliance Database'!$D$2:$D$1369,MATCH(439,'Transfer Engine'!$C$2:$C$1369,0)))</f>
        <v/>
      </c>
      <c r="E448" s="8">
        <f>IF(ISNA(MATCH(439,'Transfer Engine'!$C$2:$C$1369,0)),"",INDEX('Compliance Database'!$E$2:$E$1369,MATCH(439,'Transfer Engine'!$C$2:$C$1369,0)))</f>
        <v/>
      </c>
      <c r="F448" s="8">
        <f>IF(ISNA(MATCH(439,'Transfer Engine'!$C$2:$C$1369,0)),"",INDEX('Compliance Database'!$F$2:$F$1369,MATCH(439,'Transfer Engine'!$C$2:$C$1369,0)))</f>
        <v/>
      </c>
      <c r="G448" s="8">
        <f>IF(ISNA(MATCH(439,'Transfer Engine'!$C$2:$C$1369,0)),"",INDEX('Compliance Database'!$G$2:$G$1369,MATCH(439,'Transfer Engine'!$C$2:$C$1369,0)))</f>
        <v/>
      </c>
      <c r="H448" s="9">
        <f>IF(ISNA(MATCH(439,'Transfer Engine'!$C$2:$C$1369,0)),"",INDEX('Compliance Database'!$H$2:$H$1369,MATCH(439,'Transfer Engine'!$C$2:$C$1369,0)))</f>
        <v/>
      </c>
      <c r="I448" s="9">
        <f>IF(ISNA(MATCH(439,'Transfer Engine'!$C$2:$C$1369,0)),"",INDEX('Compliance Database'!$I$2:$I$1369,MATCH(439,'Transfer Engine'!$C$2:$C$1369,0)))</f>
        <v/>
      </c>
      <c r="J448" s="8">
        <f>IF(ISNA(MATCH(439,'Transfer Engine'!$C$2:$C$1369,0)),"",INDEX('Compliance Database'!$J$2:$J$1369,MATCH(439,'Transfer Engine'!$C$2:$C$1369,0)))</f>
        <v/>
      </c>
      <c r="K448" s="9">
        <f>IF(ISNA(MATCH(439,'Transfer Engine'!$C$2:$C$1369,0)),"",INDEX('Compliance Database'!$K$2:$K$1369,MATCH(439,'Transfer Engine'!$C$2:$C$1369,0)))</f>
        <v/>
      </c>
      <c r="L448" s="9">
        <f>IF(ISNA(MATCH(439,'Transfer Engine'!$C$2:$C$1369,0)),"",INDEX('Compliance Database'!$L$2:$L$1369,MATCH(439,'Transfer Engine'!$C$2:$C$1369,0)))</f>
        <v/>
      </c>
      <c r="M448" s="9">
        <f>IF(ISNA(MATCH(439,'Transfer Engine'!$C$2:$C$1369,0)),"",INDEX('Compliance Database'!$M$2:$M$1369,MATCH(439,'Transfer Engine'!$C$2:$C$1369,0)))</f>
        <v/>
      </c>
      <c r="N448" s="9">
        <f>IF(ISNA(MATCH(439,'Transfer Engine'!$C$2:$C$1369,0)),"",INDEX('Compliance Database'!$N$2:$N$1369,MATCH(439,'Transfer Engine'!$C$2:$C$1369,0)))</f>
        <v/>
      </c>
      <c r="O448" s="8">
        <f>IF(ISNA(MATCH(439,'Transfer Engine'!$C$2:$C$1369,0)),"",HYPERLINK(INDEX('Compliance Database'!$O$2:$O$1369,MATCH(439,'Transfer Engine'!$C$2:$C$1369,0)),"Open PDF"))</f>
        <v/>
      </c>
    </row>
    <row r="449" ht="188" customHeight="1">
      <c r="A449" s="8">
        <f>IF(ISNA(MATCH(440,'Transfer Engine'!$C$2:$C$1369,0)),"",INDEX('Compliance Database'!$A$2:$A$1369,MATCH(440,'Transfer Engine'!$C$2:$C$1369,0)))</f>
        <v/>
      </c>
      <c r="B449" s="8">
        <f>IF(ISNA(MATCH(440,'Transfer Engine'!$C$2:$C$1369,0)),"",INDEX('Compliance Database'!$B$2:$B$1369,MATCH(440,'Transfer Engine'!$C$2:$C$1369,0)))</f>
        <v/>
      </c>
      <c r="C449" s="8">
        <f>IF(ISNA(MATCH(440,'Transfer Engine'!$C$2:$C$1369,0)),"",INDEX('Compliance Database'!$C$2:$C$1369,MATCH(440,'Transfer Engine'!$C$2:$C$1369,0)))</f>
        <v/>
      </c>
      <c r="D449" s="9">
        <f>IF(ISNA(MATCH(440,'Transfer Engine'!$C$2:$C$1369,0)),"",INDEX('Compliance Database'!$D$2:$D$1369,MATCH(440,'Transfer Engine'!$C$2:$C$1369,0)))</f>
        <v/>
      </c>
      <c r="E449" s="8">
        <f>IF(ISNA(MATCH(440,'Transfer Engine'!$C$2:$C$1369,0)),"",INDEX('Compliance Database'!$E$2:$E$1369,MATCH(440,'Transfer Engine'!$C$2:$C$1369,0)))</f>
        <v/>
      </c>
      <c r="F449" s="8">
        <f>IF(ISNA(MATCH(440,'Transfer Engine'!$C$2:$C$1369,0)),"",INDEX('Compliance Database'!$F$2:$F$1369,MATCH(440,'Transfer Engine'!$C$2:$C$1369,0)))</f>
        <v/>
      </c>
      <c r="G449" s="8">
        <f>IF(ISNA(MATCH(440,'Transfer Engine'!$C$2:$C$1369,0)),"",INDEX('Compliance Database'!$G$2:$G$1369,MATCH(440,'Transfer Engine'!$C$2:$C$1369,0)))</f>
        <v/>
      </c>
      <c r="H449" s="9">
        <f>IF(ISNA(MATCH(440,'Transfer Engine'!$C$2:$C$1369,0)),"",INDEX('Compliance Database'!$H$2:$H$1369,MATCH(440,'Transfer Engine'!$C$2:$C$1369,0)))</f>
        <v/>
      </c>
      <c r="I449" s="9">
        <f>IF(ISNA(MATCH(440,'Transfer Engine'!$C$2:$C$1369,0)),"",INDEX('Compliance Database'!$I$2:$I$1369,MATCH(440,'Transfer Engine'!$C$2:$C$1369,0)))</f>
        <v/>
      </c>
      <c r="J449" s="8">
        <f>IF(ISNA(MATCH(440,'Transfer Engine'!$C$2:$C$1369,0)),"",INDEX('Compliance Database'!$J$2:$J$1369,MATCH(440,'Transfer Engine'!$C$2:$C$1369,0)))</f>
        <v/>
      </c>
      <c r="K449" s="9">
        <f>IF(ISNA(MATCH(440,'Transfer Engine'!$C$2:$C$1369,0)),"",INDEX('Compliance Database'!$K$2:$K$1369,MATCH(440,'Transfer Engine'!$C$2:$C$1369,0)))</f>
        <v/>
      </c>
      <c r="L449" s="9">
        <f>IF(ISNA(MATCH(440,'Transfer Engine'!$C$2:$C$1369,0)),"",INDEX('Compliance Database'!$L$2:$L$1369,MATCH(440,'Transfer Engine'!$C$2:$C$1369,0)))</f>
        <v/>
      </c>
      <c r="M449" s="9">
        <f>IF(ISNA(MATCH(440,'Transfer Engine'!$C$2:$C$1369,0)),"",INDEX('Compliance Database'!$M$2:$M$1369,MATCH(440,'Transfer Engine'!$C$2:$C$1369,0)))</f>
        <v/>
      </c>
      <c r="N449" s="9">
        <f>IF(ISNA(MATCH(440,'Transfer Engine'!$C$2:$C$1369,0)),"",INDEX('Compliance Database'!$N$2:$N$1369,MATCH(440,'Transfer Engine'!$C$2:$C$1369,0)))</f>
        <v/>
      </c>
      <c r="O449" s="8">
        <f>IF(ISNA(MATCH(440,'Transfer Engine'!$C$2:$C$1369,0)),"",HYPERLINK(INDEX('Compliance Database'!$O$2:$O$1369,MATCH(440,'Transfer Engine'!$C$2:$C$1369,0)),"Open PDF"))</f>
        <v/>
      </c>
    </row>
    <row r="450" ht="188" customHeight="1">
      <c r="A450" s="8">
        <f>IF(ISNA(MATCH(441,'Transfer Engine'!$C$2:$C$1369,0)),"",INDEX('Compliance Database'!$A$2:$A$1369,MATCH(441,'Transfer Engine'!$C$2:$C$1369,0)))</f>
        <v/>
      </c>
      <c r="B450" s="8">
        <f>IF(ISNA(MATCH(441,'Transfer Engine'!$C$2:$C$1369,0)),"",INDEX('Compliance Database'!$B$2:$B$1369,MATCH(441,'Transfer Engine'!$C$2:$C$1369,0)))</f>
        <v/>
      </c>
      <c r="C450" s="8">
        <f>IF(ISNA(MATCH(441,'Transfer Engine'!$C$2:$C$1369,0)),"",INDEX('Compliance Database'!$C$2:$C$1369,MATCH(441,'Transfer Engine'!$C$2:$C$1369,0)))</f>
        <v/>
      </c>
      <c r="D450" s="9">
        <f>IF(ISNA(MATCH(441,'Transfer Engine'!$C$2:$C$1369,0)),"",INDEX('Compliance Database'!$D$2:$D$1369,MATCH(441,'Transfer Engine'!$C$2:$C$1369,0)))</f>
        <v/>
      </c>
      <c r="E450" s="8">
        <f>IF(ISNA(MATCH(441,'Transfer Engine'!$C$2:$C$1369,0)),"",INDEX('Compliance Database'!$E$2:$E$1369,MATCH(441,'Transfer Engine'!$C$2:$C$1369,0)))</f>
        <v/>
      </c>
      <c r="F450" s="8">
        <f>IF(ISNA(MATCH(441,'Transfer Engine'!$C$2:$C$1369,0)),"",INDEX('Compliance Database'!$F$2:$F$1369,MATCH(441,'Transfer Engine'!$C$2:$C$1369,0)))</f>
        <v/>
      </c>
      <c r="G450" s="8">
        <f>IF(ISNA(MATCH(441,'Transfer Engine'!$C$2:$C$1369,0)),"",INDEX('Compliance Database'!$G$2:$G$1369,MATCH(441,'Transfer Engine'!$C$2:$C$1369,0)))</f>
        <v/>
      </c>
      <c r="H450" s="9">
        <f>IF(ISNA(MATCH(441,'Transfer Engine'!$C$2:$C$1369,0)),"",INDEX('Compliance Database'!$H$2:$H$1369,MATCH(441,'Transfer Engine'!$C$2:$C$1369,0)))</f>
        <v/>
      </c>
      <c r="I450" s="9">
        <f>IF(ISNA(MATCH(441,'Transfer Engine'!$C$2:$C$1369,0)),"",INDEX('Compliance Database'!$I$2:$I$1369,MATCH(441,'Transfer Engine'!$C$2:$C$1369,0)))</f>
        <v/>
      </c>
      <c r="J450" s="8">
        <f>IF(ISNA(MATCH(441,'Transfer Engine'!$C$2:$C$1369,0)),"",INDEX('Compliance Database'!$J$2:$J$1369,MATCH(441,'Transfer Engine'!$C$2:$C$1369,0)))</f>
        <v/>
      </c>
      <c r="K450" s="9">
        <f>IF(ISNA(MATCH(441,'Transfer Engine'!$C$2:$C$1369,0)),"",INDEX('Compliance Database'!$K$2:$K$1369,MATCH(441,'Transfer Engine'!$C$2:$C$1369,0)))</f>
        <v/>
      </c>
      <c r="L450" s="9">
        <f>IF(ISNA(MATCH(441,'Transfer Engine'!$C$2:$C$1369,0)),"",INDEX('Compliance Database'!$L$2:$L$1369,MATCH(441,'Transfer Engine'!$C$2:$C$1369,0)))</f>
        <v/>
      </c>
      <c r="M450" s="9">
        <f>IF(ISNA(MATCH(441,'Transfer Engine'!$C$2:$C$1369,0)),"",INDEX('Compliance Database'!$M$2:$M$1369,MATCH(441,'Transfer Engine'!$C$2:$C$1369,0)))</f>
        <v/>
      </c>
      <c r="N450" s="9">
        <f>IF(ISNA(MATCH(441,'Transfer Engine'!$C$2:$C$1369,0)),"",INDEX('Compliance Database'!$N$2:$N$1369,MATCH(441,'Transfer Engine'!$C$2:$C$1369,0)))</f>
        <v/>
      </c>
      <c r="O450" s="8">
        <f>IF(ISNA(MATCH(441,'Transfer Engine'!$C$2:$C$1369,0)),"",HYPERLINK(INDEX('Compliance Database'!$O$2:$O$1369,MATCH(441,'Transfer Engine'!$C$2:$C$1369,0)),"Open PDF"))</f>
        <v/>
      </c>
    </row>
    <row r="451" ht="188" customHeight="1">
      <c r="A451" s="8">
        <f>IF(ISNA(MATCH(442,'Transfer Engine'!$C$2:$C$1369,0)),"",INDEX('Compliance Database'!$A$2:$A$1369,MATCH(442,'Transfer Engine'!$C$2:$C$1369,0)))</f>
        <v/>
      </c>
      <c r="B451" s="8">
        <f>IF(ISNA(MATCH(442,'Transfer Engine'!$C$2:$C$1369,0)),"",INDEX('Compliance Database'!$B$2:$B$1369,MATCH(442,'Transfer Engine'!$C$2:$C$1369,0)))</f>
        <v/>
      </c>
      <c r="C451" s="8">
        <f>IF(ISNA(MATCH(442,'Transfer Engine'!$C$2:$C$1369,0)),"",INDEX('Compliance Database'!$C$2:$C$1369,MATCH(442,'Transfer Engine'!$C$2:$C$1369,0)))</f>
        <v/>
      </c>
      <c r="D451" s="9">
        <f>IF(ISNA(MATCH(442,'Transfer Engine'!$C$2:$C$1369,0)),"",INDEX('Compliance Database'!$D$2:$D$1369,MATCH(442,'Transfer Engine'!$C$2:$C$1369,0)))</f>
        <v/>
      </c>
      <c r="E451" s="8">
        <f>IF(ISNA(MATCH(442,'Transfer Engine'!$C$2:$C$1369,0)),"",INDEX('Compliance Database'!$E$2:$E$1369,MATCH(442,'Transfer Engine'!$C$2:$C$1369,0)))</f>
        <v/>
      </c>
      <c r="F451" s="8">
        <f>IF(ISNA(MATCH(442,'Transfer Engine'!$C$2:$C$1369,0)),"",INDEX('Compliance Database'!$F$2:$F$1369,MATCH(442,'Transfer Engine'!$C$2:$C$1369,0)))</f>
        <v/>
      </c>
      <c r="G451" s="8">
        <f>IF(ISNA(MATCH(442,'Transfer Engine'!$C$2:$C$1369,0)),"",INDEX('Compliance Database'!$G$2:$G$1369,MATCH(442,'Transfer Engine'!$C$2:$C$1369,0)))</f>
        <v/>
      </c>
      <c r="H451" s="9">
        <f>IF(ISNA(MATCH(442,'Transfer Engine'!$C$2:$C$1369,0)),"",INDEX('Compliance Database'!$H$2:$H$1369,MATCH(442,'Transfer Engine'!$C$2:$C$1369,0)))</f>
        <v/>
      </c>
      <c r="I451" s="9">
        <f>IF(ISNA(MATCH(442,'Transfer Engine'!$C$2:$C$1369,0)),"",INDEX('Compliance Database'!$I$2:$I$1369,MATCH(442,'Transfer Engine'!$C$2:$C$1369,0)))</f>
        <v/>
      </c>
      <c r="J451" s="8">
        <f>IF(ISNA(MATCH(442,'Transfer Engine'!$C$2:$C$1369,0)),"",INDEX('Compliance Database'!$J$2:$J$1369,MATCH(442,'Transfer Engine'!$C$2:$C$1369,0)))</f>
        <v/>
      </c>
      <c r="K451" s="9">
        <f>IF(ISNA(MATCH(442,'Transfer Engine'!$C$2:$C$1369,0)),"",INDEX('Compliance Database'!$K$2:$K$1369,MATCH(442,'Transfer Engine'!$C$2:$C$1369,0)))</f>
        <v/>
      </c>
      <c r="L451" s="9">
        <f>IF(ISNA(MATCH(442,'Transfer Engine'!$C$2:$C$1369,0)),"",INDEX('Compliance Database'!$L$2:$L$1369,MATCH(442,'Transfer Engine'!$C$2:$C$1369,0)))</f>
        <v/>
      </c>
      <c r="M451" s="9">
        <f>IF(ISNA(MATCH(442,'Transfer Engine'!$C$2:$C$1369,0)),"",INDEX('Compliance Database'!$M$2:$M$1369,MATCH(442,'Transfer Engine'!$C$2:$C$1369,0)))</f>
        <v/>
      </c>
      <c r="N451" s="9">
        <f>IF(ISNA(MATCH(442,'Transfer Engine'!$C$2:$C$1369,0)),"",INDEX('Compliance Database'!$N$2:$N$1369,MATCH(442,'Transfer Engine'!$C$2:$C$1369,0)))</f>
        <v/>
      </c>
      <c r="O451" s="8">
        <f>IF(ISNA(MATCH(442,'Transfer Engine'!$C$2:$C$1369,0)),"",HYPERLINK(INDEX('Compliance Database'!$O$2:$O$1369,MATCH(442,'Transfer Engine'!$C$2:$C$1369,0)),"Open PDF"))</f>
        <v/>
      </c>
    </row>
    <row r="452" ht="188" customHeight="1">
      <c r="A452" s="8">
        <f>IF(ISNA(MATCH(443,'Transfer Engine'!$C$2:$C$1369,0)),"",INDEX('Compliance Database'!$A$2:$A$1369,MATCH(443,'Transfer Engine'!$C$2:$C$1369,0)))</f>
        <v/>
      </c>
      <c r="B452" s="8">
        <f>IF(ISNA(MATCH(443,'Transfer Engine'!$C$2:$C$1369,0)),"",INDEX('Compliance Database'!$B$2:$B$1369,MATCH(443,'Transfer Engine'!$C$2:$C$1369,0)))</f>
        <v/>
      </c>
      <c r="C452" s="8">
        <f>IF(ISNA(MATCH(443,'Transfer Engine'!$C$2:$C$1369,0)),"",INDEX('Compliance Database'!$C$2:$C$1369,MATCH(443,'Transfer Engine'!$C$2:$C$1369,0)))</f>
        <v/>
      </c>
      <c r="D452" s="9">
        <f>IF(ISNA(MATCH(443,'Transfer Engine'!$C$2:$C$1369,0)),"",INDEX('Compliance Database'!$D$2:$D$1369,MATCH(443,'Transfer Engine'!$C$2:$C$1369,0)))</f>
        <v/>
      </c>
      <c r="E452" s="8">
        <f>IF(ISNA(MATCH(443,'Transfer Engine'!$C$2:$C$1369,0)),"",INDEX('Compliance Database'!$E$2:$E$1369,MATCH(443,'Transfer Engine'!$C$2:$C$1369,0)))</f>
        <v/>
      </c>
      <c r="F452" s="8">
        <f>IF(ISNA(MATCH(443,'Transfer Engine'!$C$2:$C$1369,0)),"",INDEX('Compliance Database'!$F$2:$F$1369,MATCH(443,'Transfer Engine'!$C$2:$C$1369,0)))</f>
        <v/>
      </c>
      <c r="G452" s="8">
        <f>IF(ISNA(MATCH(443,'Transfer Engine'!$C$2:$C$1369,0)),"",INDEX('Compliance Database'!$G$2:$G$1369,MATCH(443,'Transfer Engine'!$C$2:$C$1369,0)))</f>
        <v/>
      </c>
      <c r="H452" s="9">
        <f>IF(ISNA(MATCH(443,'Transfer Engine'!$C$2:$C$1369,0)),"",INDEX('Compliance Database'!$H$2:$H$1369,MATCH(443,'Transfer Engine'!$C$2:$C$1369,0)))</f>
        <v/>
      </c>
      <c r="I452" s="9">
        <f>IF(ISNA(MATCH(443,'Transfer Engine'!$C$2:$C$1369,0)),"",INDEX('Compliance Database'!$I$2:$I$1369,MATCH(443,'Transfer Engine'!$C$2:$C$1369,0)))</f>
        <v/>
      </c>
      <c r="J452" s="8">
        <f>IF(ISNA(MATCH(443,'Transfer Engine'!$C$2:$C$1369,0)),"",INDEX('Compliance Database'!$J$2:$J$1369,MATCH(443,'Transfer Engine'!$C$2:$C$1369,0)))</f>
        <v/>
      </c>
      <c r="K452" s="9">
        <f>IF(ISNA(MATCH(443,'Transfer Engine'!$C$2:$C$1369,0)),"",INDEX('Compliance Database'!$K$2:$K$1369,MATCH(443,'Transfer Engine'!$C$2:$C$1369,0)))</f>
        <v/>
      </c>
      <c r="L452" s="9">
        <f>IF(ISNA(MATCH(443,'Transfer Engine'!$C$2:$C$1369,0)),"",INDEX('Compliance Database'!$L$2:$L$1369,MATCH(443,'Transfer Engine'!$C$2:$C$1369,0)))</f>
        <v/>
      </c>
      <c r="M452" s="9">
        <f>IF(ISNA(MATCH(443,'Transfer Engine'!$C$2:$C$1369,0)),"",INDEX('Compliance Database'!$M$2:$M$1369,MATCH(443,'Transfer Engine'!$C$2:$C$1369,0)))</f>
        <v/>
      </c>
      <c r="N452" s="9">
        <f>IF(ISNA(MATCH(443,'Transfer Engine'!$C$2:$C$1369,0)),"",INDEX('Compliance Database'!$N$2:$N$1369,MATCH(443,'Transfer Engine'!$C$2:$C$1369,0)))</f>
        <v/>
      </c>
      <c r="O452" s="8">
        <f>IF(ISNA(MATCH(443,'Transfer Engine'!$C$2:$C$1369,0)),"",HYPERLINK(INDEX('Compliance Database'!$O$2:$O$1369,MATCH(443,'Transfer Engine'!$C$2:$C$1369,0)),"Open PDF"))</f>
        <v/>
      </c>
    </row>
    <row r="453" ht="188" customHeight="1">
      <c r="A453" s="8">
        <f>IF(ISNA(MATCH(444,'Transfer Engine'!$C$2:$C$1369,0)),"",INDEX('Compliance Database'!$A$2:$A$1369,MATCH(444,'Transfer Engine'!$C$2:$C$1369,0)))</f>
        <v/>
      </c>
      <c r="B453" s="8">
        <f>IF(ISNA(MATCH(444,'Transfer Engine'!$C$2:$C$1369,0)),"",INDEX('Compliance Database'!$B$2:$B$1369,MATCH(444,'Transfer Engine'!$C$2:$C$1369,0)))</f>
        <v/>
      </c>
      <c r="C453" s="8">
        <f>IF(ISNA(MATCH(444,'Transfer Engine'!$C$2:$C$1369,0)),"",INDEX('Compliance Database'!$C$2:$C$1369,MATCH(444,'Transfer Engine'!$C$2:$C$1369,0)))</f>
        <v/>
      </c>
      <c r="D453" s="9">
        <f>IF(ISNA(MATCH(444,'Transfer Engine'!$C$2:$C$1369,0)),"",INDEX('Compliance Database'!$D$2:$D$1369,MATCH(444,'Transfer Engine'!$C$2:$C$1369,0)))</f>
        <v/>
      </c>
      <c r="E453" s="8">
        <f>IF(ISNA(MATCH(444,'Transfer Engine'!$C$2:$C$1369,0)),"",INDEX('Compliance Database'!$E$2:$E$1369,MATCH(444,'Transfer Engine'!$C$2:$C$1369,0)))</f>
        <v/>
      </c>
      <c r="F453" s="8">
        <f>IF(ISNA(MATCH(444,'Transfer Engine'!$C$2:$C$1369,0)),"",INDEX('Compliance Database'!$F$2:$F$1369,MATCH(444,'Transfer Engine'!$C$2:$C$1369,0)))</f>
        <v/>
      </c>
      <c r="G453" s="8">
        <f>IF(ISNA(MATCH(444,'Transfer Engine'!$C$2:$C$1369,0)),"",INDEX('Compliance Database'!$G$2:$G$1369,MATCH(444,'Transfer Engine'!$C$2:$C$1369,0)))</f>
        <v/>
      </c>
      <c r="H453" s="9">
        <f>IF(ISNA(MATCH(444,'Transfer Engine'!$C$2:$C$1369,0)),"",INDEX('Compliance Database'!$H$2:$H$1369,MATCH(444,'Transfer Engine'!$C$2:$C$1369,0)))</f>
        <v/>
      </c>
      <c r="I453" s="9">
        <f>IF(ISNA(MATCH(444,'Transfer Engine'!$C$2:$C$1369,0)),"",INDEX('Compliance Database'!$I$2:$I$1369,MATCH(444,'Transfer Engine'!$C$2:$C$1369,0)))</f>
        <v/>
      </c>
      <c r="J453" s="8">
        <f>IF(ISNA(MATCH(444,'Transfer Engine'!$C$2:$C$1369,0)),"",INDEX('Compliance Database'!$J$2:$J$1369,MATCH(444,'Transfer Engine'!$C$2:$C$1369,0)))</f>
        <v/>
      </c>
      <c r="K453" s="9">
        <f>IF(ISNA(MATCH(444,'Transfer Engine'!$C$2:$C$1369,0)),"",INDEX('Compliance Database'!$K$2:$K$1369,MATCH(444,'Transfer Engine'!$C$2:$C$1369,0)))</f>
        <v/>
      </c>
      <c r="L453" s="9">
        <f>IF(ISNA(MATCH(444,'Transfer Engine'!$C$2:$C$1369,0)),"",INDEX('Compliance Database'!$L$2:$L$1369,MATCH(444,'Transfer Engine'!$C$2:$C$1369,0)))</f>
        <v/>
      </c>
      <c r="M453" s="9">
        <f>IF(ISNA(MATCH(444,'Transfer Engine'!$C$2:$C$1369,0)),"",INDEX('Compliance Database'!$M$2:$M$1369,MATCH(444,'Transfer Engine'!$C$2:$C$1369,0)))</f>
        <v/>
      </c>
      <c r="N453" s="9">
        <f>IF(ISNA(MATCH(444,'Transfer Engine'!$C$2:$C$1369,0)),"",INDEX('Compliance Database'!$N$2:$N$1369,MATCH(444,'Transfer Engine'!$C$2:$C$1369,0)))</f>
        <v/>
      </c>
      <c r="O453" s="8">
        <f>IF(ISNA(MATCH(444,'Transfer Engine'!$C$2:$C$1369,0)),"",HYPERLINK(INDEX('Compliance Database'!$O$2:$O$1369,MATCH(444,'Transfer Engine'!$C$2:$C$1369,0)),"Open PDF"))</f>
        <v/>
      </c>
    </row>
    <row r="454" ht="188" customHeight="1">
      <c r="A454" s="8">
        <f>IF(ISNA(MATCH(445,'Transfer Engine'!$C$2:$C$1369,0)),"",INDEX('Compliance Database'!$A$2:$A$1369,MATCH(445,'Transfer Engine'!$C$2:$C$1369,0)))</f>
        <v/>
      </c>
      <c r="B454" s="8">
        <f>IF(ISNA(MATCH(445,'Transfer Engine'!$C$2:$C$1369,0)),"",INDEX('Compliance Database'!$B$2:$B$1369,MATCH(445,'Transfer Engine'!$C$2:$C$1369,0)))</f>
        <v/>
      </c>
      <c r="C454" s="8">
        <f>IF(ISNA(MATCH(445,'Transfer Engine'!$C$2:$C$1369,0)),"",INDEX('Compliance Database'!$C$2:$C$1369,MATCH(445,'Transfer Engine'!$C$2:$C$1369,0)))</f>
        <v/>
      </c>
      <c r="D454" s="9">
        <f>IF(ISNA(MATCH(445,'Transfer Engine'!$C$2:$C$1369,0)),"",INDEX('Compliance Database'!$D$2:$D$1369,MATCH(445,'Transfer Engine'!$C$2:$C$1369,0)))</f>
        <v/>
      </c>
      <c r="E454" s="8">
        <f>IF(ISNA(MATCH(445,'Transfer Engine'!$C$2:$C$1369,0)),"",INDEX('Compliance Database'!$E$2:$E$1369,MATCH(445,'Transfer Engine'!$C$2:$C$1369,0)))</f>
        <v/>
      </c>
      <c r="F454" s="8">
        <f>IF(ISNA(MATCH(445,'Transfer Engine'!$C$2:$C$1369,0)),"",INDEX('Compliance Database'!$F$2:$F$1369,MATCH(445,'Transfer Engine'!$C$2:$C$1369,0)))</f>
        <v/>
      </c>
      <c r="G454" s="8">
        <f>IF(ISNA(MATCH(445,'Transfer Engine'!$C$2:$C$1369,0)),"",INDEX('Compliance Database'!$G$2:$G$1369,MATCH(445,'Transfer Engine'!$C$2:$C$1369,0)))</f>
        <v/>
      </c>
      <c r="H454" s="9">
        <f>IF(ISNA(MATCH(445,'Transfer Engine'!$C$2:$C$1369,0)),"",INDEX('Compliance Database'!$H$2:$H$1369,MATCH(445,'Transfer Engine'!$C$2:$C$1369,0)))</f>
        <v/>
      </c>
      <c r="I454" s="9">
        <f>IF(ISNA(MATCH(445,'Transfer Engine'!$C$2:$C$1369,0)),"",INDEX('Compliance Database'!$I$2:$I$1369,MATCH(445,'Transfer Engine'!$C$2:$C$1369,0)))</f>
        <v/>
      </c>
      <c r="J454" s="8">
        <f>IF(ISNA(MATCH(445,'Transfer Engine'!$C$2:$C$1369,0)),"",INDEX('Compliance Database'!$J$2:$J$1369,MATCH(445,'Transfer Engine'!$C$2:$C$1369,0)))</f>
        <v/>
      </c>
      <c r="K454" s="9">
        <f>IF(ISNA(MATCH(445,'Transfer Engine'!$C$2:$C$1369,0)),"",INDEX('Compliance Database'!$K$2:$K$1369,MATCH(445,'Transfer Engine'!$C$2:$C$1369,0)))</f>
        <v/>
      </c>
      <c r="L454" s="9">
        <f>IF(ISNA(MATCH(445,'Transfer Engine'!$C$2:$C$1369,0)),"",INDEX('Compliance Database'!$L$2:$L$1369,MATCH(445,'Transfer Engine'!$C$2:$C$1369,0)))</f>
        <v/>
      </c>
      <c r="M454" s="9">
        <f>IF(ISNA(MATCH(445,'Transfer Engine'!$C$2:$C$1369,0)),"",INDEX('Compliance Database'!$M$2:$M$1369,MATCH(445,'Transfer Engine'!$C$2:$C$1369,0)))</f>
        <v/>
      </c>
      <c r="N454" s="9">
        <f>IF(ISNA(MATCH(445,'Transfer Engine'!$C$2:$C$1369,0)),"",INDEX('Compliance Database'!$N$2:$N$1369,MATCH(445,'Transfer Engine'!$C$2:$C$1369,0)))</f>
        <v/>
      </c>
      <c r="O454" s="8">
        <f>IF(ISNA(MATCH(445,'Transfer Engine'!$C$2:$C$1369,0)),"",HYPERLINK(INDEX('Compliance Database'!$O$2:$O$1369,MATCH(445,'Transfer Engine'!$C$2:$C$1369,0)),"Open PDF"))</f>
        <v/>
      </c>
    </row>
    <row r="455" ht="188" customHeight="1">
      <c r="A455" s="8">
        <f>IF(ISNA(MATCH(446,'Transfer Engine'!$C$2:$C$1369,0)),"",INDEX('Compliance Database'!$A$2:$A$1369,MATCH(446,'Transfer Engine'!$C$2:$C$1369,0)))</f>
        <v/>
      </c>
      <c r="B455" s="8">
        <f>IF(ISNA(MATCH(446,'Transfer Engine'!$C$2:$C$1369,0)),"",INDEX('Compliance Database'!$B$2:$B$1369,MATCH(446,'Transfer Engine'!$C$2:$C$1369,0)))</f>
        <v/>
      </c>
      <c r="C455" s="8">
        <f>IF(ISNA(MATCH(446,'Transfer Engine'!$C$2:$C$1369,0)),"",INDEX('Compliance Database'!$C$2:$C$1369,MATCH(446,'Transfer Engine'!$C$2:$C$1369,0)))</f>
        <v/>
      </c>
      <c r="D455" s="9">
        <f>IF(ISNA(MATCH(446,'Transfer Engine'!$C$2:$C$1369,0)),"",INDEX('Compliance Database'!$D$2:$D$1369,MATCH(446,'Transfer Engine'!$C$2:$C$1369,0)))</f>
        <v/>
      </c>
      <c r="E455" s="8">
        <f>IF(ISNA(MATCH(446,'Transfer Engine'!$C$2:$C$1369,0)),"",INDEX('Compliance Database'!$E$2:$E$1369,MATCH(446,'Transfer Engine'!$C$2:$C$1369,0)))</f>
        <v/>
      </c>
      <c r="F455" s="8">
        <f>IF(ISNA(MATCH(446,'Transfer Engine'!$C$2:$C$1369,0)),"",INDEX('Compliance Database'!$F$2:$F$1369,MATCH(446,'Transfer Engine'!$C$2:$C$1369,0)))</f>
        <v/>
      </c>
      <c r="G455" s="8">
        <f>IF(ISNA(MATCH(446,'Transfer Engine'!$C$2:$C$1369,0)),"",INDEX('Compliance Database'!$G$2:$G$1369,MATCH(446,'Transfer Engine'!$C$2:$C$1369,0)))</f>
        <v/>
      </c>
      <c r="H455" s="9">
        <f>IF(ISNA(MATCH(446,'Transfer Engine'!$C$2:$C$1369,0)),"",INDEX('Compliance Database'!$H$2:$H$1369,MATCH(446,'Transfer Engine'!$C$2:$C$1369,0)))</f>
        <v/>
      </c>
      <c r="I455" s="9">
        <f>IF(ISNA(MATCH(446,'Transfer Engine'!$C$2:$C$1369,0)),"",INDEX('Compliance Database'!$I$2:$I$1369,MATCH(446,'Transfer Engine'!$C$2:$C$1369,0)))</f>
        <v/>
      </c>
      <c r="J455" s="8">
        <f>IF(ISNA(MATCH(446,'Transfer Engine'!$C$2:$C$1369,0)),"",INDEX('Compliance Database'!$J$2:$J$1369,MATCH(446,'Transfer Engine'!$C$2:$C$1369,0)))</f>
        <v/>
      </c>
      <c r="K455" s="9">
        <f>IF(ISNA(MATCH(446,'Transfer Engine'!$C$2:$C$1369,0)),"",INDEX('Compliance Database'!$K$2:$K$1369,MATCH(446,'Transfer Engine'!$C$2:$C$1369,0)))</f>
        <v/>
      </c>
      <c r="L455" s="9">
        <f>IF(ISNA(MATCH(446,'Transfer Engine'!$C$2:$C$1369,0)),"",INDEX('Compliance Database'!$L$2:$L$1369,MATCH(446,'Transfer Engine'!$C$2:$C$1369,0)))</f>
        <v/>
      </c>
      <c r="M455" s="9">
        <f>IF(ISNA(MATCH(446,'Transfer Engine'!$C$2:$C$1369,0)),"",INDEX('Compliance Database'!$M$2:$M$1369,MATCH(446,'Transfer Engine'!$C$2:$C$1369,0)))</f>
        <v/>
      </c>
      <c r="N455" s="9">
        <f>IF(ISNA(MATCH(446,'Transfer Engine'!$C$2:$C$1369,0)),"",INDEX('Compliance Database'!$N$2:$N$1369,MATCH(446,'Transfer Engine'!$C$2:$C$1369,0)))</f>
        <v/>
      </c>
      <c r="O455" s="8">
        <f>IF(ISNA(MATCH(446,'Transfer Engine'!$C$2:$C$1369,0)),"",HYPERLINK(INDEX('Compliance Database'!$O$2:$O$1369,MATCH(446,'Transfer Engine'!$C$2:$C$1369,0)),"Open PDF"))</f>
        <v/>
      </c>
    </row>
    <row r="456" ht="188" customHeight="1">
      <c r="A456" s="8">
        <f>IF(ISNA(MATCH(447,'Transfer Engine'!$C$2:$C$1369,0)),"",INDEX('Compliance Database'!$A$2:$A$1369,MATCH(447,'Transfer Engine'!$C$2:$C$1369,0)))</f>
        <v/>
      </c>
      <c r="B456" s="8">
        <f>IF(ISNA(MATCH(447,'Transfer Engine'!$C$2:$C$1369,0)),"",INDEX('Compliance Database'!$B$2:$B$1369,MATCH(447,'Transfer Engine'!$C$2:$C$1369,0)))</f>
        <v/>
      </c>
      <c r="C456" s="8">
        <f>IF(ISNA(MATCH(447,'Transfer Engine'!$C$2:$C$1369,0)),"",INDEX('Compliance Database'!$C$2:$C$1369,MATCH(447,'Transfer Engine'!$C$2:$C$1369,0)))</f>
        <v/>
      </c>
      <c r="D456" s="9">
        <f>IF(ISNA(MATCH(447,'Transfer Engine'!$C$2:$C$1369,0)),"",INDEX('Compliance Database'!$D$2:$D$1369,MATCH(447,'Transfer Engine'!$C$2:$C$1369,0)))</f>
        <v/>
      </c>
      <c r="E456" s="8">
        <f>IF(ISNA(MATCH(447,'Transfer Engine'!$C$2:$C$1369,0)),"",INDEX('Compliance Database'!$E$2:$E$1369,MATCH(447,'Transfer Engine'!$C$2:$C$1369,0)))</f>
        <v/>
      </c>
      <c r="F456" s="8">
        <f>IF(ISNA(MATCH(447,'Transfer Engine'!$C$2:$C$1369,0)),"",INDEX('Compliance Database'!$F$2:$F$1369,MATCH(447,'Transfer Engine'!$C$2:$C$1369,0)))</f>
        <v/>
      </c>
      <c r="G456" s="8">
        <f>IF(ISNA(MATCH(447,'Transfer Engine'!$C$2:$C$1369,0)),"",INDEX('Compliance Database'!$G$2:$G$1369,MATCH(447,'Transfer Engine'!$C$2:$C$1369,0)))</f>
        <v/>
      </c>
      <c r="H456" s="9">
        <f>IF(ISNA(MATCH(447,'Transfer Engine'!$C$2:$C$1369,0)),"",INDEX('Compliance Database'!$H$2:$H$1369,MATCH(447,'Transfer Engine'!$C$2:$C$1369,0)))</f>
        <v/>
      </c>
      <c r="I456" s="9">
        <f>IF(ISNA(MATCH(447,'Transfer Engine'!$C$2:$C$1369,0)),"",INDEX('Compliance Database'!$I$2:$I$1369,MATCH(447,'Transfer Engine'!$C$2:$C$1369,0)))</f>
        <v/>
      </c>
      <c r="J456" s="8">
        <f>IF(ISNA(MATCH(447,'Transfer Engine'!$C$2:$C$1369,0)),"",INDEX('Compliance Database'!$J$2:$J$1369,MATCH(447,'Transfer Engine'!$C$2:$C$1369,0)))</f>
        <v/>
      </c>
      <c r="K456" s="9">
        <f>IF(ISNA(MATCH(447,'Transfer Engine'!$C$2:$C$1369,0)),"",INDEX('Compliance Database'!$K$2:$K$1369,MATCH(447,'Transfer Engine'!$C$2:$C$1369,0)))</f>
        <v/>
      </c>
      <c r="L456" s="9">
        <f>IF(ISNA(MATCH(447,'Transfer Engine'!$C$2:$C$1369,0)),"",INDEX('Compliance Database'!$L$2:$L$1369,MATCH(447,'Transfer Engine'!$C$2:$C$1369,0)))</f>
        <v/>
      </c>
      <c r="M456" s="9">
        <f>IF(ISNA(MATCH(447,'Transfer Engine'!$C$2:$C$1369,0)),"",INDEX('Compliance Database'!$M$2:$M$1369,MATCH(447,'Transfer Engine'!$C$2:$C$1369,0)))</f>
        <v/>
      </c>
      <c r="N456" s="9">
        <f>IF(ISNA(MATCH(447,'Transfer Engine'!$C$2:$C$1369,0)),"",INDEX('Compliance Database'!$N$2:$N$1369,MATCH(447,'Transfer Engine'!$C$2:$C$1369,0)))</f>
        <v/>
      </c>
      <c r="O456" s="8">
        <f>IF(ISNA(MATCH(447,'Transfer Engine'!$C$2:$C$1369,0)),"",HYPERLINK(INDEX('Compliance Database'!$O$2:$O$1369,MATCH(447,'Transfer Engine'!$C$2:$C$1369,0)),"Open PDF"))</f>
        <v/>
      </c>
    </row>
    <row r="457" ht="188" customHeight="1">
      <c r="A457" s="8">
        <f>IF(ISNA(MATCH(448,'Transfer Engine'!$C$2:$C$1369,0)),"",INDEX('Compliance Database'!$A$2:$A$1369,MATCH(448,'Transfer Engine'!$C$2:$C$1369,0)))</f>
        <v/>
      </c>
      <c r="B457" s="8">
        <f>IF(ISNA(MATCH(448,'Transfer Engine'!$C$2:$C$1369,0)),"",INDEX('Compliance Database'!$B$2:$B$1369,MATCH(448,'Transfer Engine'!$C$2:$C$1369,0)))</f>
        <v/>
      </c>
      <c r="C457" s="8">
        <f>IF(ISNA(MATCH(448,'Transfer Engine'!$C$2:$C$1369,0)),"",INDEX('Compliance Database'!$C$2:$C$1369,MATCH(448,'Transfer Engine'!$C$2:$C$1369,0)))</f>
        <v/>
      </c>
      <c r="D457" s="9">
        <f>IF(ISNA(MATCH(448,'Transfer Engine'!$C$2:$C$1369,0)),"",INDEX('Compliance Database'!$D$2:$D$1369,MATCH(448,'Transfer Engine'!$C$2:$C$1369,0)))</f>
        <v/>
      </c>
      <c r="E457" s="8">
        <f>IF(ISNA(MATCH(448,'Transfer Engine'!$C$2:$C$1369,0)),"",INDEX('Compliance Database'!$E$2:$E$1369,MATCH(448,'Transfer Engine'!$C$2:$C$1369,0)))</f>
        <v/>
      </c>
      <c r="F457" s="8">
        <f>IF(ISNA(MATCH(448,'Transfer Engine'!$C$2:$C$1369,0)),"",INDEX('Compliance Database'!$F$2:$F$1369,MATCH(448,'Transfer Engine'!$C$2:$C$1369,0)))</f>
        <v/>
      </c>
      <c r="G457" s="8">
        <f>IF(ISNA(MATCH(448,'Transfer Engine'!$C$2:$C$1369,0)),"",INDEX('Compliance Database'!$G$2:$G$1369,MATCH(448,'Transfer Engine'!$C$2:$C$1369,0)))</f>
        <v/>
      </c>
      <c r="H457" s="9">
        <f>IF(ISNA(MATCH(448,'Transfer Engine'!$C$2:$C$1369,0)),"",INDEX('Compliance Database'!$H$2:$H$1369,MATCH(448,'Transfer Engine'!$C$2:$C$1369,0)))</f>
        <v/>
      </c>
      <c r="I457" s="9">
        <f>IF(ISNA(MATCH(448,'Transfer Engine'!$C$2:$C$1369,0)),"",INDEX('Compliance Database'!$I$2:$I$1369,MATCH(448,'Transfer Engine'!$C$2:$C$1369,0)))</f>
        <v/>
      </c>
      <c r="J457" s="8">
        <f>IF(ISNA(MATCH(448,'Transfer Engine'!$C$2:$C$1369,0)),"",INDEX('Compliance Database'!$J$2:$J$1369,MATCH(448,'Transfer Engine'!$C$2:$C$1369,0)))</f>
        <v/>
      </c>
      <c r="K457" s="9">
        <f>IF(ISNA(MATCH(448,'Transfer Engine'!$C$2:$C$1369,0)),"",INDEX('Compliance Database'!$K$2:$K$1369,MATCH(448,'Transfer Engine'!$C$2:$C$1369,0)))</f>
        <v/>
      </c>
      <c r="L457" s="9">
        <f>IF(ISNA(MATCH(448,'Transfer Engine'!$C$2:$C$1369,0)),"",INDEX('Compliance Database'!$L$2:$L$1369,MATCH(448,'Transfer Engine'!$C$2:$C$1369,0)))</f>
        <v/>
      </c>
      <c r="M457" s="9">
        <f>IF(ISNA(MATCH(448,'Transfer Engine'!$C$2:$C$1369,0)),"",INDEX('Compliance Database'!$M$2:$M$1369,MATCH(448,'Transfer Engine'!$C$2:$C$1369,0)))</f>
        <v/>
      </c>
      <c r="N457" s="9">
        <f>IF(ISNA(MATCH(448,'Transfer Engine'!$C$2:$C$1369,0)),"",INDEX('Compliance Database'!$N$2:$N$1369,MATCH(448,'Transfer Engine'!$C$2:$C$1369,0)))</f>
        <v/>
      </c>
      <c r="O457" s="8">
        <f>IF(ISNA(MATCH(448,'Transfer Engine'!$C$2:$C$1369,0)),"",HYPERLINK(INDEX('Compliance Database'!$O$2:$O$1369,MATCH(448,'Transfer Engine'!$C$2:$C$1369,0)),"Open PDF"))</f>
        <v/>
      </c>
    </row>
    <row r="458" ht="188" customHeight="1">
      <c r="A458" s="8">
        <f>IF(ISNA(MATCH(449,'Transfer Engine'!$C$2:$C$1369,0)),"",INDEX('Compliance Database'!$A$2:$A$1369,MATCH(449,'Transfer Engine'!$C$2:$C$1369,0)))</f>
        <v/>
      </c>
      <c r="B458" s="8">
        <f>IF(ISNA(MATCH(449,'Transfer Engine'!$C$2:$C$1369,0)),"",INDEX('Compliance Database'!$B$2:$B$1369,MATCH(449,'Transfer Engine'!$C$2:$C$1369,0)))</f>
        <v/>
      </c>
      <c r="C458" s="8">
        <f>IF(ISNA(MATCH(449,'Transfer Engine'!$C$2:$C$1369,0)),"",INDEX('Compliance Database'!$C$2:$C$1369,MATCH(449,'Transfer Engine'!$C$2:$C$1369,0)))</f>
        <v/>
      </c>
      <c r="D458" s="9">
        <f>IF(ISNA(MATCH(449,'Transfer Engine'!$C$2:$C$1369,0)),"",INDEX('Compliance Database'!$D$2:$D$1369,MATCH(449,'Transfer Engine'!$C$2:$C$1369,0)))</f>
        <v/>
      </c>
      <c r="E458" s="8">
        <f>IF(ISNA(MATCH(449,'Transfer Engine'!$C$2:$C$1369,0)),"",INDEX('Compliance Database'!$E$2:$E$1369,MATCH(449,'Transfer Engine'!$C$2:$C$1369,0)))</f>
        <v/>
      </c>
      <c r="F458" s="8">
        <f>IF(ISNA(MATCH(449,'Transfer Engine'!$C$2:$C$1369,0)),"",INDEX('Compliance Database'!$F$2:$F$1369,MATCH(449,'Transfer Engine'!$C$2:$C$1369,0)))</f>
        <v/>
      </c>
      <c r="G458" s="8">
        <f>IF(ISNA(MATCH(449,'Transfer Engine'!$C$2:$C$1369,0)),"",INDEX('Compliance Database'!$G$2:$G$1369,MATCH(449,'Transfer Engine'!$C$2:$C$1369,0)))</f>
        <v/>
      </c>
      <c r="H458" s="9">
        <f>IF(ISNA(MATCH(449,'Transfer Engine'!$C$2:$C$1369,0)),"",INDEX('Compliance Database'!$H$2:$H$1369,MATCH(449,'Transfer Engine'!$C$2:$C$1369,0)))</f>
        <v/>
      </c>
      <c r="I458" s="9">
        <f>IF(ISNA(MATCH(449,'Transfer Engine'!$C$2:$C$1369,0)),"",INDEX('Compliance Database'!$I$2:$I$1369,MATCH(449,'Transfer Engine'!$C$2:$C$1369,0)))</f>
        <v/>
      </c>
      <c r="J458" s="8">
        <f>IF(ISNA(MATCH(449,'Transfer Engine'!$C$2:$C$1369,0)),"",INDEX('Compliance Database'!$J$2:$J$1369,MATCH(449,'Transfer Engine'!$C$2:$C$1369,0)))</f>
        <v/>
      </c>
      <c r="K458" s="9">
        <f>IF(ISNA(MATCH(449,'Transfer Engine'!$C$2:$C$1369,0)),"",INDEX('Compliance Database'!$K$2:$K$1369,MATCH(449,'Transfer Engine'!$C$2:$C$1369,0)))</f>
        <v/>
      </c>
      <c r="L458" s="9">
        <f>IF(ISNA(MATCH(449,'Transfer Engine'!$C$2:$C$1369,0)),"",INDEX('Compliance Database'!$L$2:$L$1369,MATCH(449,'Transfer Engine'!$C$2:$C$1369,0)))</f>
        <v/>
      </c>
      <c r="M458" s="9">
        <f>IF(ISNA(MATCH(449,'Transfer Engine'!$C$2:$C$1369,0)),"",INDEX('Compliance Database'!$M$2:$M$1369,MATCH(449,'Transfer Engine'!$C$2:$C$1369,0)))</f>
        <v/>
      </c>
      <c r="N458" s="9">
        <f>IF(ISNA(MATCH(449,'Transfer Engine'!$C$2:$C$1369,0)),"",INDEX('Compliance Database'!$N$2:$N$1369,MATCH(449,'Transfer Engine'!$C$2:$C$1369,0)))</f>
        <v/>
      </c>
      <c r="O458" s="8">
        <f>IF(ISNA(MATCH(449,'Transfer Engine'!$C$2:$C$1369,0)),"",HYPERLINK(INDEX('Compliance Database'!$O$2:$O$1369,MATCH(449,'Transfer Engine'!$C$2:$C$1369,0)),"Open PDF"))</f>
        <v/>
      </c>
    </row>
    <row r="459" ht="188" customHeight="1">
      <c r="A459" s="8">
        <f>IF(ISNA(MATCH(450,'Transfer Engine'!$C$2:$C$1369,0)),"",INDEX('Compliance Database'!$A$2:$A$1369,MATCH(450,'Transfer Engine'!$C$2:$C$1369,0)))</f>
        <v/>
      </c>
      <c r="B459" s="8">
        <f>IF(ISNA(MATCH(450,'Transfer Engine'!$C$2:$C$1369,0)),"",INDEX('Compliance Database'!$B$2:$B$1369,MATCH(450,'Transfer Engine'!$C$2:$C$1369,0)))</f>
        <v/>
      </c>
      <c r="C459" s="8">
        <f>IF(ISNA(MATCH(450,'Transfer Engine'!$C$2:$C$1369,0)),"",INDEX('Compliance Database'!$C$2:$C$1369,MATCH(450,'Transfer Engine'!$C$2:$C$1369,0)))</f>
        <v/>
      </c>
      <c r="D459" s="9">
        <f>IF(ISNA(MATCH(450,'Transfer Engine'!$C$2:$C$1369,0)),"",INDEX('Compliance Database'!$D$2:$D$1369,MATCH(450,'Transfer Engine'!$C$2:$C$1369,0)))</f>
        <v/>
      </c>
      <c r="E459" s="8">
        <f>IF(ISNA(MATCH(450,'Transfer Engine'!$C$2:$C$1369,0)),"",INDEX('Compliance Database'!$E$2:$E$1369,MATCH(450,'Transfer Engine'!$C$2:$C$1369,0)))</f>
        <v/>
      </c>
      <c r="F459" s="8">
        <f>IF(ISNA(MATCH(450,'Transfer Engine'!$C$2:$C$1369,0)),"",INDEX('Compliance Database'!$F$2:$F$1369,MATCH(450,'Transfer Engine'!$C$2:$C$1369,0)))</f>
        <v/>
      </c>
      <c r="G459" s="8">
        <f>IF(ISNA(MATCH(450,'Transfer Engine'!$C$2:$C$1369,0)),"",INDEX('Compliance Database'!$G$2:$G$1369,MATCH(450,'Transfer Engine'!$C$2:$C$1369,0)))</f>
        <v/>
      </c>
      <c r="H459" s="9">
        <f>IF(ISNA(MATCH(450,'Transfer Engine'!$C$2:$C$1369,0)),"",INDEX('Compliance Database'!$H$2:$H$1369,MATCH(450,'Transfer Engine'!$C$2:$C$1369,0)))</f>
        <v/>
      </c>
      <c r="I459" s="9">
        <f>IF(ISNA(MATCH(450,'Transfer Engine'!$C$2:$C$1369,0)),"",INDEX('Compliance Database'!$I$2:$I$1369,MATCH(450,'Transfer Engine'!$C$2:$C$1369,0)))</f>
        <v/>
      </c>
      <c r="J459" s="8">
        <f>IF(ISNA(MATCH(450,'Transfer Engine'!$C$2:$C$1369,0)),"",INDEX('Compliance Database'!$J$2:$J$1369,MATCH(450,'Transfer Engine'!$C$2:$C$1369,0)))</f>
        <v/>
      </c>
      <c r="K459" s="9">
        <f>IF(ISNA(MATCH(450,'Transfer Engine'!$C$2:$C$1369,0)),"",INDEX('Compliance Database'!$K$2:$K$1369,MATCH(450,'Transfer Engine'!$C$2:$C$1369,0)))</f>
        <v/>
      </c>
      <c r="L459" s="9">
        <f>IF(ISNA(MATCH(450,'Transfer Engine'!$C$2:$C$1369,0)),"",INDEX('Compliance Database'!$L$2:$L$1369,MATCH(450,'Transfer Engine'!$C$2:$C$1369,0)))</f>
        <v/>
      </c>
      <c r="M459" s="9">
        <f>IF(ISNA(MATCH(450,'Transfer Engine'!$C$2:$C$1369,0)),"",INDEX('Compliance Database'!$M$2:$M$1369,MATCH(450,'Transfer Engine'!$C$2:$C$1369,0)))</f>
        <v/>
      </c>
      <c r="N459" s="9">
        <f>IF(ISNA(MATCH(450,'Transfer Engine'!$C$2:$C$1369,0)),"",INDEX('Compliance Database'!$N$2:$N$1369,MATCH(450,'Transfer Engine'!$C$2:$C$1369,0)))</f>
        <v/>
      </c>
      <c r="O459" s="8">
        <f>IF(ISNA(MATCH(450,'Transfer Engine'!$C$2:$C$1369,0)),"",HYPERLINK(INDEX('Compliance Database'!$O$2:$O$1369,MATCH(450,'Transfer Engine'!$C$2:$C$1369,0)),"Open PDF"))</f>
        <v/>
      </c>
    </row>
    <row r="460" ht="188" customHeight="1">
      <c r="A460" s="8">
        <f>IF(ISNA(MATCH(451,'Transfer Engine'!$C$2:$C$1369,0)),"",INDEX('Compliance Database'!$A$2:$A$1369,MATCH(451,'Transfer Engine'!$C$2:$C$1369,0)))</f>
        <v/>
      </c>
      <c r="B460" s="8">
        <f>IF(ISNA(MATCH(451,'Transfer Engine'!$C$2:$C$1369,0)),"",INDEX('Compliance Database'!$B$2:$B$1369,MATCH(451,'Transfer Engine'!$C$2:$C$1369,0)))</f>
        <v/>
      </c>
      <c r="C460" s="8">
        <f>IF(ISNA(MATCH(451,'Transfer Engine'!$C$2:$C$1369,0)),"",INDEX('Compliance Database'!$C$2:$C$1369,MATCH(451,'Transfer Engine'!$C$2:$C$1369,0)))</f>
        <v/>
      </c>
      <c r="D460" s="9">
        <f>IF(ISNA(MATCH(451,'Transfer Engine'!$C$2:$C$1369,0)),"",INDEX('Compliance Database'!$D$2:$D$1369,MATCH(451,'Transfer Engine'!$C$2:$C$1369,0)))</f>
        <v/>
      </c>
      <c r="E460" s="8">
        <f>IF(ISNA(MATCH(451,'Transfer Engine'!$C$2:$C$1369,0)),"",INDEX('Compliance Database'!$E$2:$E$1369,MATCH(451,'Transfer Engine'!$C$2:$C$1369,0)))</f>
        <v/>
      </c>
      <c r="F460" s="8">
        <f>IF(ISNA(MATCH(451,'Transfer Engine'!$C$2:$C$1369,0)),"",INDEX('Compliance Database'!$F$2:$F$1369,MATCH(451,'Transfer Engine'!$C$2:$C$1369,0)))</f>
        <v/>
      </c>
      <c r="G460" s="8">
        <f>IF(ISNA(MATCH(451,'Transfer Engine'!$C$2:$C$1369,0)),"",INDEX('Compliance Database'!$G$2:$G$1369,MATCH(451,'Transfer Engine'!$C$2:$C$1369,0)))</f>
        <v/>
      </c>
      <c r="H460" s="9">
        <f>IF(ISNA(MATCH(451,'Transfer Engine'!$C$2:$C$1369,0)),"",INDEX('Compliance Database'!$H$2:$H$1369,MATCH(451,'Transfer Engine'!$C$2:$C$1369,0)))</f>
        <v/>
      </c>
      <c r="I460" s="9">
        <f>IF(ISNA(MATCH(451,'Transfer Engine'!$C$2:$C$1369,0)),"",INDEX('Compliance Database'!$I$2:$I$1369,MATCH(451,'Transfer Engine'!$C$2:$C$1369,0)))</f>
        <v/>
      </c>
      <c r="J460" s="8">
        <f>IF(ISNA(MATCH(451,'Transfer Engine'!$C$2:$C$1369,0)),"",INDEX('Compliance Database'!$J$2:$J$1369,MATCH(451,'Transfer Engine'!$C$2:$C$1369,0)))</f>
        <v/>
      </c>
      <c r="K460" s="9">
        <f>IF(ISNA(MATCH(451,'Transfer Engine'!$C$2:$C$1369,0)),"",INDEX('Compliance Database'!$K$2:$K$1369,MATCH(451,'Transfer Engine'!$C$2:$C$1369,0)))</f>
        <v/>
      </c>
      <c r="L460" s="9">
        <f>IF(ISNA(MATCH(451,'Transfer Engine'!$C$2:$C$1369,0)),"",INDEX('Compliance Database'!$L$2:$L$1369,MATCH(451,'Transfer Engine'!$C$2:$C$1369,0)))</f>
        <v/>
      </c>
      <c r="M460" s="9">
        <f>IF(ISNA(MATCH(451,'Transfer Engine'!$C$2:$C$1369,0)),"",INDEX('Compliance Database'!$M$2:$M$1369,MATCH(451,'Transfer Engine'!$C$2:$C$1369,0)))</f>
        <v/>
      </c>
      <c r="N460" s="9">
        <f>IF(ISNA(MATCH(451,'Transfer Engine'!$C$2:$C$1369,0)),"",INDEX('Compliance Database'!$N$2:$N$1369,MATCH(451,'Transfer Engine'!$C$2:$C$1369,0)))</f>
        <v/>
      </c>
      <c r="O460" s="8">
        <f>IF(ISNA(MATCH(451,'Transfer Engine'!$C$2:$C$1369,0)),"",HYPERLINK(INDEX('Compliance Database'!$O$2:$O$1369,MATCH(451,'Transfer Engine'!$C$2:$C$1369,0)),"Open PDF"))</f>
        <v/>
      </c>
    </row>
    <row r="461" ht="188" customHeight="1">
      <c r="A461" s="8">
        <f>IF(ISNA(MATCH(452,'Transfer Engine'!$C$2:$C$1369,0)),"",INDEX('Compliance Database'!$A$2:$A$1369,MATCH(452,'Transfer Engine'!$C$2:$C$1369,0)))</f>
        <v/>
      </c>
      <c r="B461" s="8">
        <f>IF(ISNA(MATCH(452,'Transfer Engine'!$C$2:$C$1369,0)),"",INDEX('Compliance Database'!$B$2:$B$1369,MATCH(452,'Transfer Engine'!$C$2:$C$1369,0)))</f>
        <v/>
      </c>
      <c r="C461" s="8">
        <f>IF(ISNA(MATCH(452,'Transfer Engine'!$C$2:$C$1369,0)),"",INDEX('Compliance Database'!$C$2:$C$1369,MATCH(452,'Transfer Engine'!$C$2:$C$1369,0)))</f>
        <v/>
      </c>
      <c r="D461" s="9">
        <f>IF(ISNA(MATCH(452,'Transfer Engine'!$C$2:$C$1369,0)),"",INDEX('Compliance Database'!$D$2:$D$1369,MATCH(452,'Transfer Engine'!$C$2:$C$1369,0)))</f>
        <v/>
      </c>
      <c r="E461" s="8">
        <f>IF(ISNA(MATCH(452,'Transfer Engine'!$C$2:$C$1369,0)),"",INDEX('Compliance Database'!$E$2:$E$1369,MATCH(452,'Transfer Engine'!$C$2:$C$1369,0)))</f>
        <v/>
      </c>
      <c r="F461" s="8">
        <f>IF(ISNA(MATCH(452,'Transfer Engine'!$C$2:$C$1369,0)),"",INDEX('Compliance Database'!$F$2:$F$1369,MATCH(452,'Transfer Engine'!$C$2:$C$1369,0)))</f>
        <v/>
      </c>
      <c r="G461" s="8">
        <f>IF(ISNA(MATCH(452,'Transfer Engine'!$C$2:$C$1369,0)),"",INDEX('Compliance Database'!$G$2:$G$1369,MATCH(452,'Transfer Engine'!$C$2:$C$1369,0)))</f>
        <v/>
      </c>
      <c r="H461" s="9">
        <f>IF(ISNA(MATCH(452,'Transfer Engine'!$C$2:$C$1369,0)),"",INDEX('Compliance Database'!$H$2:$H$1369,MATCH(452,'Transfer Engine'!$C$2:$C$1369,0)))</f>
        <v/>
      </c>
      <c r="I461" s="9">
        <f>IF(ISNA(MATCH(452,'Transfer Engine'!$C$2:$C$1369,0)),"",INDEX('Compliance Database'!$I$2:$I$1369,MATCH(452,'Transfer Engine'!$C$2:$C$1369,0)))</f>
        <v/>
      </c>
      <c r="J461" s="8">
        <f>IF(ISNA(MATCH(452,'Transfer Engine'!$C$2:$C$1369,0)),"",INDEX('Compliance Database'!$J$2:$J$1369,MATCH(452,'Transfer Engine'!$C$2:$C$1369,0)))</f>
        <v/>
      </c>
      <c r="K461" s="9">
        <f>IF(ISNA(MATCH(452,'Transfer Engine'!$C$2:$C$1369,0)),"",INDEX('Compliance Database'!$K$2:$K$1369,MATCH(452,'Transfer Engine'!$C$2:$C$1369,0)))</f>
        <v/>
      </c>
      <c r="L461" s="9">
        <f>IF(ISNA(MATCH(452,'Transfer Engine'!$C$2:$C$1369,0)),"",INDEX('Compliance Database'!$L$2:$L$1369,MATCH(452,'Transfer Engine'!$C$2:$C$1369,0)))</f>
        <v/>
      </c>
      <c r="M461" s="9">
        <f>IF(ISNA(MATCH(452,'Transfer Engine'!$C$2:$C$1369,0)),"",INDEX('Compliance Database'!$M$2:$M$1369,MATCH(452,'Transfer Engine'!$C$2:$C$1369,0)))</f>
        <v/>
      </c>
      <c r="N461" s="9">
        <f>IF(ISNA(MATCH(452,'Transfer Engine'!$C$2:$C$1369,0)),"",INDEX('Compliance Database'!$N$2:$N$1369,MATCH(452,'Transfer Engine'!$C$2:$C$1369,0)))</f>
        <v/>
      </c>
      <c r="O461" s="8">
        <f>IF(ISNA(MATCH(452,'Transfer Engine'!$C$2:$C$1369,0)),"",HYPERLINK(INDEX('Compliance Database'!$O$2:$O$1369,MATCH(452,'Transfer Engine'!$C$2:$C$1369,0)),"Open PDF"))</f>
        <v/>
      </c>
    </row>
    <row r="462" ht="188" customHeight="1">
      <c r="A462" s="8">
        <f>IF(ISNA(MATCH(453,'Transfer Engine'!$C$2:$C$1369,0)),"",INDEX('Compliance Database'!$A$2:$A$1369,MATCH(453,'Transfer Engine'!$C$2:$C$1369,0)))</f>
        <v/>
      </c>
      <c r="B462" s="8">
        <f>IF(ISNA(MATCH(453,'Transfer Engine'!$C$2:$C$1369,0)),"",INDEX('Compliance Database'!$B$2:$B$1369,MATCH(453,'Transfer Engine'!$C$2:$C$1369,0)))</f>
        <v/>
      </c>
      <c r="C462" s="8">
        <f>IF(ISNA(MATCH(453,'Transfer Engine'!$C$2:$C$1369,0)),"",INDEX('Compliance Database'!$C$2:$C$1369,MATCH(453,'Transfer Engine'!$C$2:$C$1369,0)))</f>
        <v/>
      </c>
      <c r="D462" s="9">
        <f>IF(ISNA(MATCH(453,'Transfer Engine'!$C$2:$C$1369,0)),"",INDEX('Compliance Database'!$D$2:$D$1369,MATCH(453,'Transfer Engine'!$C$2:$C$1369,0)))</f>
        <v/>
      </c>
      <c r="E462" s="8">
        <f>IF(ISNA(MATCH(453,'Transfer Engine'!$C$2:$C$1369,0)),"",INDEX('Compliance Database'!$E$2:$E$1369,MATCH(453,'Transfer Engine'!$C$2:$C$1369,0)))</f>
        <v/>
      </c>
      <c r="F462" s="8">
        <f>IF(ISNA(MATCH(453,'Transfer Engine'!$C$2:$C$1369,0)),"",INDEX('Compliance Database'!$F$2:$F$1369,MATCH(453,'Transfer Engine'!$C$2:$C$1369,0)))</f>
        <v/>
      </c>
      <c r="G462" s="8">
        <f>IF(ISNA(MATCH(453,'Transfer Engine'!$C$2:$C$1369,0)),"",INDEX('Compliance Database'!$G$2:$G$1369,MATCH(453,'Transfer Engine'!$C$2:$C$1369,0)))</f>
        <v/>
      </c>
      <c r="H462" s="9">
        <f>IF(ISNA(MATCH(453,'Transfer Engine'!$C$2:$C$1369,0)),"",INDEX('Compliance Database'!$H$2:$H$1369,MATCH(453,'Transfer Engine'!$C$2:$C$1369,0)))</f>
        <v/>
      </c>
      <c r="I462" s="9">
        <f>IF(ISNA(MATCH(453,'Transfer Engine'!$C$2:$C$1369,0)),"",INDEX('Compliance Database'!$I$2:$I$1369,MATCH(453,'Transfer Engine'!$C$2:$C$1369,0)))</f>
        <v/>
      </c>
      <c r="J462" s="8">
        <f>IF(ISNA(MATCH(453,'Transfer Engine'!$C$2:$C$1369,0)),"",INDEX('Compliance Database'!$J$2:$J$1369,MATCH(453,'Transfer Engine'!$C$2:$C$1369,0)))</f>
        <v/>
      </c>
      <c r="K462" s="9">
        <f>IF(ISNA(MATCH(453,'Transfer Engine'!$C$2:$C$1369,0)),"",INDEX('Compliance Database'!$K$2:$K$1369,MATCH(453,'Transfer Engine'!$C$2:$C$1369,0)))</f>
        <v/>
      </c>
      <c r="L462" s="9">
        <f>IF(ISNA(MATCH(453,'Transfer Engine'!$C$2:$C$1369,0)),"",INDEX('Compliance Database'!$L$2:$L$1369,MATCH(453,'Transfer Engine'!$C$2:$C$1369,0)))</f>
        <v/>
      </c>
      <c r="M462" s="9">
        <f>IF(ISNA(MATCH(453,'Transfer Engine'!$C$2:$C$1369,0)),"",INDEX('Compliance Database'!$M$2:$M$1369,MATCH(453,'Transfer Engine'!$C$2:$C$1369,0)))</f>
        <v/>
      </c>
      <c r="N462" s="9">
        <f>IF(ISNA(MATCH(453,'Transfer Engine'!$C$2:$C$1369,0)),"",INDEX('Compliance Database'!$N$2:$N$1369,MATCH(453,'Transfer Engine'!$C$2:$C$1369,0)))</f>
        <v/>
      </c>
      <c r="O462" s="8">
        <f>IF(ISNA(MATCH(453,'Transfer Engine'!$C$2:$C$1369,0)),"",HYPERLINK(INDEX('Compliance Database'!$O$2:$O$1369,MATCH(453,'Transfer Engine'!$C$2:$C$1369,0)),"Open PDF"))</f>
        <v/>
      </c>
    </row>
    <row r="463" ht="188" customHeight="1">
      <c r="A463" s="8">
        <f>IF(ISNA(MATCH(454,'Transfer Engine'!$C$2:$C$1369,0)),"",INDEX('Compliance Database'!$A$2:$A$1369,MATCH(454,'Transfer Engine'!$C$2:$C$1369,0)))</f>
        <v/>
      </c>
      <c r="B463" s="8">
        <f>IF(ISNA(MATCH(454,'Transfer Engine'!$C$2:$C$1369,0)),"",INDEX('Compliance Database'!$B$2:$B$1369,MATCH(454,'Transfer Engine'!$C$2:$C$1369,0)))</f>
        <v/>
      </c>
      <c r="C463" s="8">
        <f>IF(ISNA(MATCH(454,'Transfer Engine'!$C$2:$C$1369,0)),"",INDEX('Compliance Database'!$C$2:$C$1369,MATCH(454,'Transfer Engine'!$C$2:$C$1369,0)))</f>
        <v/>
      </c>
      <c r="D463" s="9">
        <f>IF(ISNA(MATCH(454,'Transfer Engine'!$C$2:$C$1369,0)),"",INDEX('Compliance Database'!$D$2:$D$1369,MATCH(454,'Transfer Engine'!$C$2:$C$1369,0)))</f>
        <v/>
      </c>
      <c r="E463" s="8">
        <f>IF(ISNA(MATCH(454,'Transfer Engine'!$C$2:$C$1369,0)),"",INDEX('Compliance Database'!$E$2:$E$1369,MATCH(454,'Transfer Engine'!$C$2:$C$1369,0)))</f>
        <v/>
      </c>
      <c r="F463" s="8">
        <f>IF(ISNA(MATCH(454,'Transfer Engine'!$C$2:$C$1369,0)),"",INDEX('Compliance Database'!$F$2:$F$1369,MATCH(454,'Transfer Engine'!$C$2:$C$1369,0)))</f>
        <v/>
      </c>
      <c r="G463" s="8">
        <f>IF(ISNA(MATCH(454,'Transfer Engine'!$C$2:$C$1369,0)),"",INDEX('Compliance Database'!$G$2:$G$1369,MATCH(454,'Transfer Engine'!$C$2:$C$1369,0)))</f>
        <v/>
      </c>
      <c r="H463" s="9">
        <f>IF(ISNA(MATCH(454,'Transfer Engine'!$C$2:$C$1369,0)),"",INDEX('Compliance Database'!$H$2:$H$1369,MATCH(454,'Transfer Engine'!$C$2:$C$1369,0)))</f>
        <v/>
      </c>
      <c r="I463" s="9">
        <f>IF(ISNA(MATCH(454,'Transfer Engine'!$C$2:$C$1369,0)),"",INDEX('Compliance Database'!$I$2:$I$1369,MATCH(454,'Transfer Engine'!$C$2:$C$1369,0)))</f>
        <v/>
      </c>
      <c r="J463" s="8">
        <f>IF(ISNA(MATCH(454,'Transfer Engine'!$C$2:$C$1369,0)),"",INDEX('Compliance Database'!$J$2:$J$1369,MATCH(454,'Transfer Engine'!$C$2:$C$1369,0)))</f>
        <v/>
      </c>
      <c r="K463" s="9">
        <f>IF(ISNA(MATCH(454,'Transfer Engine'!$C$2:$C$1369,0)),"",INDEX('Compliance Database'!$K$2:$K$1369,MATCH(454,'Transfer Engine'!$C$2:$C$1369,0)))</f>
        <v/>
      </c>
      <c r="L463" s="9">
        <f>IF(ISNA(MATCH(454,'Transfer Engine'!$C$2:$C$1369,0)),"",INDEX('Compliance Database'!$L$2:$L$1369,MATCH(454,'Transfer Engine'!$C$2:$C$1369,0)))</f>
        <v/>
      </c>
      <c r="M463" s="9">
        <f>IF(ISNA(MATCH(454,'Transfer Engine'!$C$2:$C$1369,0)),"",INDEX('Compliance Database'!$M$2:$M$1369,MATCH(454,'Transfer Engine'!$C$2:$C$1369,0)))</f>
        <v/>
      </c>
      <c r="N463" s="9">
        <f>IF(ISNA(MATCH(454,'Transfer Engine'!$C$2:$C$1369,0)),"",INDEX('Compliance Database'!$N$2:$N$1369,MATCH(454,'Transfer Engine'!$C$2:$C$1369,0)))</f>
        <v/>
      </c>
      <c r="O463" s="8">
        <f>IF(ISNA(MATCH(454,'Transfer Engine'!$C$2:$C$1369,0)),"",HYPERLINK(INDEX('Compliance Database'!$O$2:$O$1369,MATCH(454,'Transfer Engine'!$C$2:$C$1369,0)),"Open PDF"))</f>
        <v/>
      </c>
    </row>
    <row r="464" ht="188" customHeight="1">
      <c r="A464" s="8">
        <f>IF(ISNA(MATCH(455,'Transfer Engine'!$C$2:$C$1369,0)),"",INDEX('Compliance Database'!$A$2:$A$1369,MATCH(455,'Transfer Engine'!$C$2:$C$1369,0)))</f>
        <v/>
      </c>
      <c r="B464" s="8">
        <f>IF(ISNA(MATCH(455,'Transfer Engine'!$C$2:$C$1369,0)),"",INDEX('Compliance Database'!$B$2:$B$1369,MATCH(455,'Transfer Engine'!$C$2:$C$1369,0)))</f>
        <v/>
      </c>
      <c r="C464" s="8">
        <f>IF(ISNA(MATCH(455,'Transfer Engine'!$C$2:$C$1369,0)),"",INDEX('Compliance Database'!$C$2:$C$1369,MATCH(455,'Transfer Engine'!$C$2:$C$1369,0)))</f>
        <v/>
      </c>
      <c r="D464" s="9">
        <f>IF(ISNA(MATCH(455,'Transfer Engine'!$C$2:$C$1369,0)),"",INDEX('Compliance Database'!$D$2:$D$1369,MATCH(455,'Transfer Engine'!$C$2:$C$1369,0)))</f>
        <v/>
      </c>
      <c r="E464" s="8">
        <f>IF(ISNA(MATCH(455,'Transfer Engine'!$C$2:$C$1369,0)),"",INDEX('Compliance Database'!$E$2:$E$1369,MATCH(455,'Transfer Engine'!$C$2:$C$1369,0)))</f>
        <v/>
      </c>
      <c r="F464" s="8">
        <f>IF(ISNA(MATCH(455,'Transfer Engine'!$C$2:$C$1369,0)),"",INDEX('Compliance Database'!$F$2:$F$1369,MATCH(455,'Transfer Engine'!$C$2:$C$1369,0)))</f>
        <v/>
      </c>
      <c r="G464" s="8">
        <f>IF(ISNA(MATCH(455,'Transfer Engine'!$C$2:$C$1369,0)),"",INDEX('Compliance Database'!$G$2:$G$1369,MATCH(455,'Transfer Engine'!$C$2:$C$1369,0)))</f>
        <v/>
      </c>
      <c r="H464" s="9">
        <f>IF(ISNA(MATCH(455,'Transfer Engine'!$C$2:$C$1369,0)),"",INDEX('Compliance Database'!$H$2:$H$1369,MATCH(455,'Transfer Engine'!$C$2:$C$1369,0)))</f>
        <v/>
      </c>
      <c r="I464" s="9">
        <f>IF(ISNA(MATCH(455,'Transfer Engine'!$C$2:$C$1369,0)),"",INDEX('Compliance Database'!$I$2:$I$1369,MATCH(455,'Transfer Engine'!$C$2:$C$1369,0)))</f>
        <v/>
      </c>
      <c r="J464" s="8">
        <f>IF(ISNA(MATCH(455,'Transfer Engine'!$C$2:$C$1369,0)),"",INDEX('Compliance Database'!$J$2:$J$1369,MATCH(455,'Transfer Engine'!$C$2:$C$1369,0)))</f>
        <v/>
      </c>
      <c r="K464" s="9">
        <f>IF(ISNA(MATCH(455,'Transfer Engine'!$C$2:$C$1369,0)),"",INDEX('Compliance Database'!$K$2:$K$1369,MATCH(455,'Transfer Engine'!$C$2:$C$1369,0)))</f>
        <v/>
      </c>
      <c r="L464" s="9">
        <f>IF(ISNA(MATCH(455,'Transfer Engine'!$C$2:$C$1369,0)),"",INDEX('Compliance Database'!$L$2:$L$1369,MATCH(455,'Transfer Engine'!$C$2:$C$1369,0)))</f>
        <v/>
      </c>
      <c r="M464" s="9">
        <f>IF(ISNA(MATCH(455,'Transfer Engine'!$C$2:$C$1369,0)),"",INDEX('Compliance Database'!$M$2:$M$1369,MATCH(455,'Transfer Engine'!$C$2:$C$1369,0)))</f>
        <v/>
      </c>
      <c r="N464" s="9">
        <f>IF(ISNA(MATCH(455,'Transfer Engine'!$C$2:$C$1369,0)),"",INDEX('Compliance Database'!$N$2:$N$1369,MATCH(455,'Transfer Engine'!$C$2:$C$1369,0)))</f>
        <v/>
      </c>
      <c r="O464" s="8">
        <f>IF(ISNA(MATCH(455,'Transfer Engine'!$C$2:$C$1369,0)),"",HYPERLINK(INDEX('Compliance Database'!$O$2:$O$1369,MATCH(455,'Transfer Engine'!$C$2:$C$1369,0)),"Open PDF"))</f>
        <v/>
      </c>
    </row>
    <row r="465" ht="188" customHeight="1">
      <c r="A465" s="8">
        <f>IF(ISNA(MATCH(456,'Transfer Engine'!$C$2:$C$1369,0)),"",INDEX('Compliance Database'!$A$2:$A$1369,MATCH(456,'Transfer Engine'!$C$2:$C$1369,0)))</f>
        <v/>
      </c>
      <c r="B465" s="8">
        <f>IF(ISNA(MATCH(456,'Transfer Engine'!$C$2:$C$1369,0)),"",INDEX('Compliance Database'!$B$2:$B$1369,MATCH(456,'Transfer Engine'!$C$2:$C$1369,0)))</f>
        <v/>
      </c>
      <c r="C465" s="8">
        <f>IF(ISNA(MATCH(456,'Transfer Engine'!$C$2:$C$1369,0)),"",INDEX('Compliance Database'!$C$2:$C$1369,MATCH(456,'Transfer Engine'!$C$2:$C$1369,0)))</f>
        <v/>
      </c>
      <c r="D465" s="9">
        <f>IF(ISNA(MATCH(456,'Transfer Engine'!$C$2:$C$1369,0)),"",INDEX('Compliance Database'!$D$2:$D$1369,MATCH(456,'Transfer Engine'!$C$2:$C$1369,0)))</f>
        <v/>
      </c>
      <c r="E465" s="8">
        <f>IF(ISNA(MATCH(456,'Transfer Engine'!$C$2:$C$1369,0)),"",INDEX('Compliance Database'!$E$2:$E$1369,MATCH(456,'Transfer Engine'!$C$2:$C$1369,0)))</f>
        <v/>
      </c>
      <c r="F465" s="8">
        <f>IF(ISNA(MATCH(456,'Transfer Engine'!$C$2:$C$1369,0)),"",INDEX('Compliance Database'!$F$2:$F$1369,MATCH(456,'Transfer Engine'!$C$2:$C$1369,0)))</f>
        <v/>
      </c>
      <c r="G465" s="8">
        <f>IF(ISNA(MATCH(456,'Transfer Engine'!$C$2:$C$1369,0)),"",INDEX('Compliance Database'!$G$2:$G$1369,MATCH(456,'Transfer Engine'!$C$2:$C$1369,0)))</f>
        <v/>
      </c>
      <c r="H465" s="9">
        <f>IF(ISNA(MATCH(456,'Transfer Engine'!$C$2:$C$1369,0)),"",INDEX('Compliance Database'!$H$2:$H$1369,MATCH(456,'Transfer Engine'!$C$2:$C$1369,0)))</f>
        <v/>
      </c>
      <c r="I465" s="9">
        <f>IF(ISNA(MATCH(456,'Transfer Engine'!$C$2:$C$1369,0)),"",INDEX('Compliance Database'!$I$2:$I$1369,MATCH(456,'Transfer Engine'!$C$2:$C$1369,0)))</f>
        <v/>
      </c>
      <c r="J465" s="8">
        <f>IF(ISNA(MATCH(456,'Transfer Engine'!$C$2:$C$1369,0)),"",INDEX('Compliance Database'!$J$2:$J$1369,MATCH(456,'Transfer Engine'!$C$2:$C$1369,0)))</f>
        <v/>
      </c>
      <c r="K465" s="9">
        <f>IF(ISNA(MATCH(456,'Transfer Engine'!$C$2:$C$1369,0)),"",INDEX('Compliance Database'!$K$2:$K$1369,MATCH(456,'Transfer Engine'!$C$2:$C$1369,0)))</f>
        <v/>
      </c>
      <c r="L465" s="9">
        <f>IF(ISNA(MATCH(456,'Transfer Engine'!$C$2:$C$1369,0)),"",INDEX('Compliance Database'!$L$2:$L$1369,MATCH(456,'Transfer Engine'!$C$2:$C$1369,0)))</f>
        <v/>
      </c>
      <c r="M465" s="9">
        <f>IF(ISNA(MATCH(456,'Transfer Engine'!$C$2:$C$1369,0)),"",INDEX('Compliance Database'!$M$2:$M$1369,MATCH(456,'Transfer Engine'!$C$2:$C$1369,0)))</f>
        <v/>
      </c>
      <c r="N465" s="9">
        <f>IF(ISNA(MATCH(456,'Transfer Engine'!$C$2:$C$1369,0)),"",INDEX('Compliance Database'!$N$2:$N$1369,MATCH(456,'Transfer Engine'!$C$2:$C$1369,0)))</f>
        <v/>
      </c>
      <c r="O465" s="8">
        <f>IF(ISNA(MATCH(456,'Transfer Engine'!$C$2:$C$1369,0)),"",HYPERLINK(INDEX('Compliance Database'!$O$2:$O$1369,MATCH(456,'Transfer Engine'!$C$2:$C$1369,0)),"Open PDF"))</f>
        <v/>
      </c>
    </row>
    <row r="466" ht="188" customHeight="1">
      <c r="A466" s="8">
        <f>IF(ISNA(MATCH(457,'Transfer Engine'!$C$2:$C$1369,0)),"",INDEX('Compliance Database'!$A$2:$A$1369,MATCH(457,'Transfer Engine'!$C$2:$C$1369,0)))</f>
        <v/>
      </c>
      <c r="B466" s="8">
        <f>IF(ISNA(MATCH(457,'Transfer Engine'!$C$2:$C$1369,0)),"",INDEX('Compliance Database'!$B$2:$B$1369,MATCH(457,'Transfer Engine'!$C$2:$C$1369,0)))</f>
        <v/>
      </c>
      <c r="C466" s="8">
        <f>IF(ISNA(MATCH(457,'Transfer Engine'!$C$2:$C$1369,0)),"",INDEX('Compliance Database'!$C$2:$C$1369,MATCH(457,'Transfer Engine'!$C$2:$C$1369,0)))</f>
        <v/>
      </c>
      <c r="D466" s="9">
        <f>IF(ISNA(MATCH(457,'Transfer Engine'!$C$2:$C$1369,0)),"",INDEX('Compliance Database'!$D$2:$D$1369,MATCH(457,'Transfer Engine'!$C$2:$C$1369,0)))</f>
        <v/>
      </c>
      <c r="E466" s="8">
        <f>IF(ISNA(MATCH(457,'Transfer Engine'!$C$2:$C$1369,0)),"",INDEX('Compliance Database'!$E$2:$E$1369,MATCH(457,'Transfer Engine'!$C$2:$C$1369,0)))</f>
        <v/>
      </c>
      <c r="F466" s="8">
        <f>IF(ISNA(MATCH(457,'Transfer Engine'!$C$2:$C$1369,0)),"",INDEX('Compliance Database'!$F$2:$F$1369,MATCH(457,'Transfer Engine'!$C$2:$C$1369,0)))</f>
        <v/>
      </c>
      <c r="G466" s="8">
        <f>IF(ISNA(MATCH(457,'Transfer Engine'!$C$2:$C$1369,0)),"",INDEX('Compliance Database'!$G$2:$G$1369,MATCH(457,'Transfer Engine'!$C$2:$C$1369,0)))</f>
        <v/>
      </c>
      <c r="H466" s="9">
        <f>IF(ISNA(MATCH(457,'Transfer Engine'!$C$2:$C$1369,0)),"",INDEX('Compliance Database'!$H$2:$H$1369,MATCH(457,'Transfer Engine'!$C$2:$C$1369,0)))</f>
        <v/>
      </c>
      <c r="I466" s="9">
        <f>IF(ISNA(MATCH(457,'Transfer Engine'!$C$2:$C$1369,0)),"",INDEX('Compliance Database'!$I$2:$I$1369,MATCH(457,'Transfer Engine'!$C$2:$C$1369,0)))</f>
        <v/>
      </c>
      <c r="J466" s="8">
        <f>IF(ISNA(MATCH(457,'Transfer Engine'!$C$2:$C$1369,0)),"",INDEX('Compliance Database'!$J$2:$J$1369,MATCH(457,'Transfer Engine'!$C$2:$C$1369,0)))</f>
        <v/>
      </c>
      <c r="K466" s="9">
        <f>IF(ISNA(MATCH(457,'Transfer Engine'!$C$2:$C$1369,0)),"",INDEX('Compliance Database'!$K$2:$K$1369,MATCH(457,'Transfer Engine'!$C$2:$C$1369,0)))</f>
        <v/>
      </c>
      <c r="L466" s="9">
        <f>IF(ISNA(MATCH(457,'Transfer Engine'!$C$2:$C$1369,0)),"",INDEX('Compliance Database'!$L$2:$L$1369,MATCH(457,'Transfer Engine'!$C$2:$C$1369,0)))</f>
        <v/>
      </c>
      <c r="M466" s="9">
        <f>IF(ISNA(MATCH(457,'Transfer Engine'!$C$2:$C$1369,0)),"",INDEX('Compliance Database'!$M$2:$M$1369,MATCH(457,'Transfer Engine'!$C$2:$C$1369,0)))</f>
        <v/>
      </c>
      <c r="N466" s="9">
        <f>IF(ISNA(MATCH(457,'Transfer Engine'!$C$2:$C$1369,0)),"",INDEX('Compliance Database'!$N$2:$N$1369,MATCH(457,'Transfer Engine'!$C$2:$C$1369,0)))</f>
        <v/>
      </c>
      <c r="O466" s="8">
        <f>IF(ISNA(MATCH(457,'Transfer Engine'!$C$2:$C$1369,0)),"",HYPERLINK(INDEX('Compliance Database'!$O$2:$O$1369,MATCH(457,'Transfer Engine'!$C$2:$C$1369,0)),"Open PDF"))</f>
        <v/>
      </c>
    </row>
    <row r="467" ht="188" customHeight="1">
      <c r="A467" s="8">
        <f>IF(ISNA(MATCH(458,'Transfer Engine'!$C$2:$C$1369,0)),"",INDEX('Compliance Database'!$A$2:$A$1369,MATCH(458,'Transfer Engine'!$C$2:$C$1369,0)))</f>
        <v/>
      </c>
      <c r="B467" s="8">
        <f>IF(ISNA(MATCH(458,'Transfer Engine'!$C$2:$C$1369,0)),"",INDEX('Compliance Database'!$B$2:$B$1369,MATCH(458,'Transfer Engine'!$C$2:$C$1369,0)))</f>
        <v/>
      </c>
      <c r="C467" s="8">
        <f>IF(ISNA(MATCH(458,'Transfer Engine'!$C$2:$C$1369,0)),"",INDEX('Compliance Database'!$C$2:$C$1369,MATCH(458,'Transfer Engine'!$C$2:$C$1369,0)))</f>
        <v/>
      </c>
      <c r="D467" s="9">
        <f>IF(ISNA(MATCH(458,'Transfer Engine'!$C$2:$C$1369,0)),"",INDEX('Compliance Database'!$D$2:$D$1369,MATCH(458,'Transfer Engine'!$C$2:$C$1369,0)))</f>
        <v/>
      </c>
      <c r="E467" s="8">
        <f>IF(ISNA(MATCH(458,'Transfer Engine'!$C$2:$C$1369,0)),"",INDEX('Compliance Database'!$E$2:$E$1369,MATCH(458,'Transfer Engine'!$C$2:$C$1369,0)))</f>
        <v/>
      </c>
      <c r="F467" s="8">
        <f>IF(ISNA(MATCH(458,'Transfer Engine'!$C$2:$C$1369,0)),"",INDEX('Compliance Database'!$F$2:$F$1369,MATCH(458,'Transfer Engine'!$C$2:$C$1369,0)))</f>
        <v/>
      </c>
      <c r="G467" s="8">
        <f>IF(ISNA(MATCH(458,'Transfer Engine'!$C$2:$C$1369,0)),"",INDEX('Compliance Database'!$G$2:$G$1369,MATCH(458,'Transfer Engine'!$C$2:$C$1369,0)))</f>
        <v/>
      </c>
      <c r="H467" s="9">
        <f>IF(ISNA(MATCH(458,'Transfer Engine'!$C$2:$C$1369,0)),"",INDEX('Compliance Database'!$H$2:$H$1369,MATCH(458,'Transfer Engine'!$C$2:$C$1369,0)))</f>
        <v/>
      </c>
      <c r="I467" s="9">
        <f>IF(ISNA(MATCH(458,'Transfer Engine'!$C$2:$C$1369,0)),"",INDEX('Compliance Database'!$I$2:$I$1369,MATCH(458,'Transfer Engine'!$C$2:$C$1369,0)))</f>
        <v/>
      </c>
      <c r="J467" s="8">
        <f>IF(ISNA(MATCH(458,'Transfer Engine'!$C$2:$C$1369,0)),"",INDEX('Compliance Database'!$J$2:$J$1369,MATCH(458,'Transfer Engine'!$C$2:$C$1369,0)))</f>
        <v/>
      </c>
      <c r="K467" s="9">
        <f>IF(ISNA(MATCH(458,'Transfer Engine'!$C$2:$C$1369,0)),"",INDEX('Compliance Database'!$K$2:$K$1369,MATCH(458,'Transfer Engine'!$C$2:$C$1369,0)))</f>
        <v/>
      </c>
      <c r="L467" s="9">
        <f>IF(ISNA(MATCH(458,'Transfer Engine'!$C$2:$C$1369,0)),"",INDEX('Compliance Database'!$L$2:$L$1369,MATCH(458,'Transfer Engine'!$C$2:$C$1369,0)))</f>
        <v/>
      </c>
      <c r="M467" s="9">
        <f>IF(ISNA(MATCH(458,'Transfer Engine'!$C$2:$C$1369,0)),"",INDEX('Compliance Database'!$M$2:$M$1369,MATCH(458,'Transfer Engine'!$C$2:$C$1369,0)))</f>
        <v/>
      </c>
      <c r="N467" s="9">
        <f>IF(ISNA(MATCH(458,'Transfer Engine'!$C$2:$C$1369,0)),"",INDEX('Compliance Database'!$N$2:$N$1369,MATCH(458,'Transfer Engine'!$C$2:$C$1369,0)))</f>
        <v/>
      </c>
      <c r="O467" s="8">
        <f>IF(ISNA(MATCH(458,'Transfer Engine'!$C$2:$C$1369,0)),"",HYPERLINK(INDEX('Compliance Database'!$O$2:$O$1369,MATCH(458,'Transfer Engine'!$C$2:$C$1369,0)),"Open PDF"))</f>
        <v/>
      </c>
    </row>
    <row r="468" ht="188" customHeight="1">
      <c r="A468" s="8">
        <f>IF(ISNA(MATCH(459,'Transfer Engine'!$C$2:$C$1369,0)),"",INDEX('Compliance Database'!$A$2:$A$1369,MATCH(459,'Transfer Engine'!$C$2:$C$1369,0)))</f>
        <v/>
      </c>
      <c r="B468" s="8">
        <f>IF(ISNA(MATCH(459,'Transfer Engine'!$C$2:$C$1369,0)),"",INDEX('Compliance Database'!$B$2:$B$1369,MATCH(459,'Transfer Engine'!$C$2:$C$1369,0)))</f>
        <v/>
      </c>
      <c r="C468" s="8">
        <f>IF(ISNA(MATCH(459,'Transfer Engine'!$C$2:$C$1369,0)),"",INDEX('Compliance Database'!$C$2:$C$1369,MATCH(459,'Transfer Engine'!$C$2:$C$1369,0)))</f>
        <v/>
      </c>
      <c r="D468" s="9">
        <f>IF(ISNA(MATCH(459,'Transfer Engine'!$C$2:$C$1369,0)),"",INDEX('Compliance Database'!$D$2:$D$1369,MATCH(459,'Transfer Engine'!$C$2:$C$1369,0)))</f>
        <v/>
      </c>
      <c r="E468" s="8">
        <f>IF(ISNA(MATCH(459,'Transfer Engine'!$C$2:$C$1369,0)),"",INDEX('Compliance Database'!$E$2:$E$1369,MATCH(459,'Transfer Engine'!$C$2:$C$1369,0)))</f>
        <v/>
      </c>
      <c r="F468" s="8">
        <f>IF(ISNA(MATCH(459,'Transfer Engine'!$C$2:$C$1369,0)),"",INDEX('Compliance Database'!$F$2:$F$1369,MATCH(459,'Transfer Engine'!$C$2:$C$1369,0)))</f>
        <v/>
      </c>
      <c r="G468" s="8">
        <f>IF(ISNA(MATCH(459,'Transfer Engine'!$C$2:$C$1369,0)),"",INDEX('Compliance Database'!$G$2:$G$1369,MATCH(459,'Transfer Engine'!$C$2:$C$1369,0)))</f>
        <v/>
      </c>
      <c r="H468" s="9">
        <f>IF(ISNA(MATCH(459,'Transfer Engine'!$C$2:$C$1369,0)),"",INDEX('Compliance Database'!$H$2:$H$1369,MATCH(459,'Transfer Engine'!$C$2:$C$1369,0)))</f>
        <v/>
      </c>
      <c r="I468" s="9">
        <f>IF(ISNA(MATCH(459,'Transfer Engine'!$C$2:$C$1369,0)),"",INDEX('Compliance Database'!$I$2:$I$1369,MATCH(459,'Transfer Engine'!$C$2:$C$1369,0)))</f>
        <v/>
      </c>
      <c r="J468" s="8">
        <f>IF(ISNA(MATCH(459,'Transfer Engine'!$C$2:$C$1369,0)),"",INDEX('Compliance Database'!$J$2:$J$1369,MATCH(459,'Transfer Engine'!$C$2:$C$1369,0)))</f>
        <v/>
      </c>
      <c r="K468" s="9">
        <f>IF(ISNA(MATCH(459,'Transfer Engine'!$C$2:$C$1369,0)),"",INDEX('Compliance Database'!$K$2:$K$1369,MATCH(459,'Transfer Engine'!$C$2:$C$1369,0)))</f>
        <v/>
      </c>
      <c r="L468" s="9">
        <f>IF(ISNA(MATCH(459,'Transfer Engine'!$C$2:$C$1369,0)),"",INDEX('Compliance Database'!$L$2:$L$1369,MATCH(459,'Transfer Engine'!$C$2:$C$1369,0)))</f>
        <v/>
      </c>
      <c r="M468" s="9">
        <f>IF(ISNA(MATCH(459,'Transfer Engine'!$C$2:$C$1369,0)),"",INDEX('Compliance Database'!$M$2:$M$1369,MATCH(459,'Transfer Engine'!$C$2:$C$1369,0)))</f>
        <v/>
      </c>
      <c r="N468" s="9">
        <f>IF(ISNA(MATCH(459,'Transfer Engine'!$C$2:$C$1369,0)),"",INDEX('Compliance Database'!$N$2:$N$1369,MATCH(459,'Transfer Engine'!$C$2:$C$1369,0)))</f>
        <v/>
      </c>
      <c r="O468" s="8">
        <f>IF(ISNA(MATCH(459,'Transfer Engine'!$C$2:$C$1369,0)),"",HYPERLINK(INDEX('Compliance Database'!$O$2:$O$1369,MATCH(459,'Transfer Engine'!$C$2:$C$1369,0)),"Open PDF"))</f>
        <v/>
      </c>
    </row>
    <row r="469" ht="188" customHeight="1">
      <c r="A469" s="8">
        <f>IF(ISNA(MATCH(460,'Transfer Engine'!$C$2:$C$1369,0)),"",INDEX('Compliance Database'!$A$2:$A$1369,MATCH(460,'Transfer Engine'!$C$2:$C$1369,0)))</f>
        <v/>
      </c>
      <c r="B469" s="8">
        <f>IF(ISNA(MATCH(460,'Transfer Engine'!$C$2:$C$1369,0)),"",INDEX('Compliance Database'!$B$2:$B$1369,MATCH(460,'Transfer Engine'!$C$2:$C$1369,0)))</f>
        <v/>
      </c>
      <c r="C469" s="8">
        <f>IF(ISNA(MATCH(460,'Transfer Engine'!$C$2:$C$1369,0)),"",INDEX('Compliance Database'!$C$2:$C$1369,MATCH(460,'Transfer Engine'!$C$2:$C$1369,0)))</f>
        <v/>
      </c>
      <c r="D469" s="9">
        <f>IF(ISNA(MATCH(460,'Transfer Engine'!$C$2:$C$1369,0)),"",INDEX('Compliance Database'!$D$2:$D$1369,MATCH(460,'Transfer Engine'!$C$2:$C$1369,0)))</f>
        <v/>
      </c>
      <c r="E469" s="8">
        <f>IF(ISNA(MATCH(460,'Transfer Engine'!$C$2:$C$1369,0)),"",INDEX('Compliance Database'!$E$2:$E$1369,MATCH(460,'Transfer Engine'!$C$2:$C$1369,0)))</f>
        <v/>
      </c>
      <c r="F469" s="8">
        <f>IF(ISNA(MATCH(460,'Transfer Engine'!$C$2:$C$1369,0)),"",INDEX('Compliance Database'!$F$2:$F$1369,MATCH(460,'Transfer Engine'!$C$2:$C$1369,0)))</f>
        <v/>
      </c>
      <c r="G469" s="8">
        <f>IF(ISNA(MATCH(460,'Transfer Engine'!$C$2:$C$1369,0)),"",INDEX('Compliance Database'!$G$2:$G$1369,MATCH(460,'Transfer Engine'!$C$2:$C$1369,0)))</f>
        <v/>
      </c>
      <c r="H469" s="9">
        <f>IF(ISNA(MATCH(460,'Transfer Engine'!$C$2:$C$1369,0)),"",INDEX('Compliance Database'!$H$2:$H$1369,MATCH(460,'Transfer Engine'!$C$2:$C$1369,0)))</f>
        <v/>
      </c>
      <c r="I469" s="9">
        <f>IF(ISNA(MATCH(460,'Transfer Engine'!$C$2:$C$1369,0)),"",INDEX('Compliance Database'!$I$2:$I$1369,MATCH(460,'Transfer Engine'!$C$2:$C$1369,0)))</f>
        <v/>
      </c>
      <c r="J469" s="8">
        <f>IF(ISNA(MATCH(460,'Transfer Engine'!$C$2:$C$1369,0)),"",INDEX('Compliance Database'!$J$2:$J$1369,MATCH(460,'Transfer Engine'!$C$2:$C$1369,0)))</f>
        <v/>
      </c>
      <c r="K469" s="9">
        <f>IF(ISNA(MATCH(460,'Transfer Engine'!$C$2:$C$1369,0)),"",INDEX('Compliance Database'!$K$2:$K$1369,MATCH(460,'Transfer Engine'!$C$2:$C$1369,0)))</f>
        <v/>
      </c>
      <c r="L469" s="9">
        <f>IF(ISNA(MATCH(460,'Transfer Engine'!$C$2:$C$1369,0)),"",INDEX('Compliance Database'!$L$2:$L$1369,MATCH(460,'Transfer Engine'!$C$2:$C$1369,0)))</f>
        <v/>
      </c>
      <c r="M469" s="9">
        <f>IF(ISNA(MATCH(460,'Transfer Engine'!$C$2:$C$1369,0)),"",INDEX('Compliance Database'!$M$2:$M$1369,MATCH(460,'Transfer Engine'!$C$2:$C$1369,0)))</f>
        <v/>
      </c>
      <c r="N469" s="9">
        <f>IF(ISNA(MATCH(460,'Transfer Engine'!$C$2:$C$1369,0)),"",INDEX('Compliance Database'!$N$2:$N$1369,MATCH(460,'Transfer Engine'!$C$2:$C$1369,0)))</f>
        <v/>
      </c>
      <c r="O469" s="8">
        <f>IF(ISNA(MATCH(460,'Transfer Engine'!$C$2:$C$1369,0)),"",HYPERLINK(INDEX('Compliance Database'!$O$2:$O$1369,MATCH(460,'Transfer Engine'!$C$2:$C$1369,0)),"Open PDF"))</f>
        <v/>
      </c>
    </row>
    <row r="470" ht="188" customHeight="1">
      <c r="A470" s="8">
        <f>IF(ISNA(MATCH(461,'Transfer Engine'!$C$2:$C$1369,0)),"",INDEX('Compliance Database'!$A$2:$A$1369,MATCH(461,'Transfer Engine'!$C$2:$C$1369,0)))</f>
        <v/>
      </c>
      <c r="B470" s="8">
        <f>IF(ISNA(MATCH(461,'Transfer Engine'!$C$2:$C$1369,0)),"",INDEX('Compliance Database'!$B$2:$B$1369,MATCH(461,'Transfer Engine'!$C$2:$C$1369,0)))</f>
        <v/>
      </c>
      <c r="C470" s="8">
        <f>IF(ISNA(MATCH(461,'Transfer Engine'!$C$2:$C$1369,0)),"",INDEX('Compliance Database'!$C$2:$C$1369,MATCH(461,'Transfer Engine'!$C$2:$C$1369,0)))</f>
        <v/>
      </c>
      <c r="D470" s="9">
        <f>IF(ISNA(MATCH(461,'Transfer Engine'!$C$2:$C$1369,0)),"",INDEX('Compliance Database'!$D$2:$D$1369,MATCH(461,'Transfer Engine'!$C$2:$C$1369,0)))</f>
        <v/>
      </c>
      <c r="E470" s="8">
        <f>IF(ISNA(MATCH(461,'Transfer Engine'!$C$2:$C$1369,0)),"",INDEX('Compliance Database'!$E$2:$E$1369,MATCH(461,'Transfer Engine'!$C$2:$C$1369,0)))</f>
        <v/>
      </c>
      <c r="F470" s="8">
        <f>IF(ISNA(MATCH(461,'Transfer Engine'!$C$2:$C$1369,0)),"",INDEX('Compliance Database'!$F$2:$F$1369,MATCH(461,'Transfer Engine'!$C$2:$C$1369,0)))</f>
        <v/>
      </c>
      <c r="G470" s="8">
        <f>IF(ISNA(MATCH(461,'Transfer Engine'!$C$2:$C$1369,0)),"",INDEX('Compliance Database'!$G$2:$G$1369,MATCH(461,'Transfer Engine'!$C$2:$C$1369,0)))</f>
        <v/>
      </c>
      <c r="H470" s="9">
        <f>IF(ISNA(MATCH(461,'Transfer Engine'!$C$2:$C$1369,0)),"",INDEX('Compliance Database'!$H$2:$H$1369,MATCH(461,'Transfer Engine'!$C$2:$C$1369,0)))</f>
        <v/>
      </c>
      <c r="I470" s="9">
        <f>IF(ISNA(MATCH(461,'Transfer Engine'!$C$2:$C$1369,0)),"",INDEX('Compliance Database'!$I$2:$I$1369,MATCH(461,'Transfer Engine'!$C$2:$C$1369,0)))</f>
        <v/>
      </c>
      <c r="J470" s="8">
        <f>IF(ISNA(MATCH(461,'Transfer Engine'!$C$2:$C$1369,0)),"",INDEX('Compliance Database'!$J$2:$J$1369,MATCH(461,'Transfer Engine'!$C$2:$C$1369,0)))</f>
        <v/>
      </c>
      <c r="K470" s="9">
        <f>IF(ISNA(MATCH(461,'Transfer Engine'!$C$2:$C$1369,0)),"",INDEX('Compliance Database'!$K$2:$K$1369,MATCH(461,'Transfer Engine'!$C$2:$C$1369,0)))</f>
        <v/>
      </c>
      <c r="L470" s="9">
        <f>IF(ISNA(MATCH(461,'Transfer Engine'!$C$2:$C$1369,0)),"",INDEX('Compliance Database'!$L$2:$L$1369,MATCH(461,'Transfer Engine'!$C$2:$C$1369,0)))</f>
        <v/>
      </c>
      <c r="M470" s="9">
        <f>IF(ISNA(MATCH(461,'Transfer Engine'!$C$2:$C$1369,0)),"",INDEX('Compliance Database'!$M$2:$M$1369,MATCH(461,'Transfer Engine'!$C$2:$C$1369,0)))</f>
        <v/>
      </c>
      <c r="N470" s="9">
        <f>IF(ISNA(MATCH(461,'Transfer Engine'!$C$2:$C$1369,0)),"",INDEX('Compliance Database'!$N$2:$N$1369,MATCH(461,'Transfer Engine'!$C$2:$C$1369,0)))</f>
        <v/>
      </c>
      <c r="O470" s="8">
        <f>IF(ISNA(MATCH(461,'Transfer Engine'!$C$2:$C$1369,0)),"",HYPERLINK(INDEX('Compliance Database'!$O$2:$O$1369,MATCH(461,'Transfer Engine'!$C$2:$C$1369,0)),"Open PDF"))</f>
        <v/>
      </c>
    </row>
    <row r="471" ht="188" customHeight="1">
      <c r="A471" s="8">
        <f>IF(ISNA(MATCH(462,'Transfer Engine'!$C$2:$C$1369,0)),"",INDEX('Compliance Database'!$A$2:$A$1369,MATCH(462,'Transfer Engine'!$C$2:$C$1369,0)))</f>
        <v/>
      </c>
      <c r="B471" s="8">
        <f>IF(ISNA(MATCH(462,'Transfer Engine'!$C$2:$C$1369,0)),"",INDEX('Compliance Database'!$B$2:$B$1369,MATCH(462,'Transfer Engine'!$C$2:$C$1369,0)))</f>
        <v/>
      </c>
      <c r="C471" s="8">
        <f>IF(ISNA(MATCH(462,'Transfer Engine'!$C$2:$C$1369,0)),"",INDEX('Compliance Database'!$C$2:$C$1369,MATCH(462,'Transfer Engine'!$C$2:$C$1369,0)))</f>
        <v/>
      </c>
      <c r="D471" s="9">
        <f>IF(ISNA(MATCH(462,'Transfer Engine'!$C$2:$C$1369,0)),"",INDEX('Compliance Database'!$D$2:$D$1369,MATCH(462,'Transfer Engine'!$C$2:$C$1369,0)))</f>
        <v/>
      </c>
      <c r="E471" s="8">
        <f>IF(ISNA(MATCH(462,'Transfer Engine'!$C$2:$C$1369,0)),"",INDEX('Compliance Database'!$E$2:$E$1369,MATCH(462,'Transfer Engine'!$C$2:$C$1369,0)))</f>
        <v/>
      </c>
      <c r="F471" s="8">
        <f>IF(ISNA(MATCH(462,'Transfer Engine'!$C$2:$C$1369,0)),"",INDEX('Compliance Database'!$F$2:$F$1369,MATCH(462,'Transfer Engine'!$C$2:$C$1369,0)))</f>
        <v/>
      </c>
      <c r="G471" s="8">
        <f>IF(ISNA(MATCH(462,'Transfer Engine'!$C$2:$C$1369,0)),"",INDEX('Compliance Database'!$G$2:$G$1369,MATCH(462,'Transfer Engine'!$C$2:$C$1369,0)))</f>
        <v/>
      </c>
      <c r="H471" s="9">
        <f>IF(ISNA(MATCH(462,'Transfer Engine'!$C$2:$C$1369,0)),"",INDEX('Compliance Database'!$H$2:$H$1369,MATCH(462,'Transfer Engine'!$C$2:$C$1369,0)))</f>
        <v/>
      </c>
      <c r="I471" s="9">
        <f>IF(ISNA(MATCH(462,'Transfer Engine'!$C$2:$C$1369,0)),"",INDEX('Compliance Database'!$I$2:$I$1369,MATCH(462,'Transfer Engine'!$C$2:$C$1369,0)))</f>
        <v/>
      </c>
      <c r="J471" s="8">
        <f>IF(ISNA(MATCH(462,'Transfer Engine'!$C$2:$C$1369,0)),"",INDEX('Compliance Database'!$J$2:$J$1369,MATCH(462,'Transfer Engine'!$C$2:$C$1369,0)))</f>
        <v/>
      </c>
      <c r="K471" s="9">
        <f>IF(ISNA(MATCH(462,'Transfer Engine'!$C$2:$C$1369,0)),"",INDEX('Compliance Database'!$K$2:$K$1369,MATCH(462,'Transfer Engine'!$C$2:$C$1369,0)))</f>
        <v/>
      </c>
      <c r="L471" s="9">
        <f>IF(ISNA(MATCH(462,'Transfer Engine'!$C$2:$C$1369,0)),"",INDEX('Compliance Database'!$L$2:$L$1369,MATCH(462,'Transfer Engine'!$C$2:$C$1369,0)))</f>
        <v/>
      </c>
      <c r="M471" s="9">
        <f>IF(ISNA(MATCH(462,'Transfer Engine'!$C$2:$C$1369,0)),"",INDEX('Compliance Database'!$M$2:$M$1369,MATCH(462,'Transfer Engine'!$C$2:$C$1369,0)))</f>
        <v/>
      </c>
      <c r="N471" s="9">
        <f>IF(ISNA(MATCH(462,'Transfer Engine'!$C$2:$C$1369,0)),"",INDEX('Compliance Database'!$N$2:$N$1369,MATCH(462,'Transfer Engine'!$C$2:$C$1369,0)))</f>
        <v/>
      </c>
      <c r="O471" s="8">
        <f>IF(ISNA(MATCH(462,'Transfer Engine'!$C$2:$C$1369,0)),"",HYPERLINK(INDEX('Compliance Database'!$O$2:$O$1369,MATCH(462,'Transfer Engine'!$C$2:$C$1369,0)),"Open PDF"))</f>
        <v/>
      </c>
    </row>
    <row r="472" ht="188" customHeight="1">
      <c r="A472" s="8">
        <f>IF(ISNA(MATCH(463,'Transfer Engine'!$C$2:$C$1369,0)),"",INDEX('Compliance Database'!$A$2:$A$1369,MATCH(463,'Transfer Engine'!$C$2:$C$1369,0)))</f>
        <v/>
      </c>
      <c r="B472" s="8">
        <f>IF(ISNA(MATCH(463,'Transfer Engine'!$C$2:$C$1369,0)),"",INDEX('Compliance Database'!$B$2:$B$1369,MATCH(463,'Transfer Engine'!$C$2:$C$1369,0)))</f>
        <v/>
      </c>
      <c r="C472" s="8">
        <f>IF(ISNA(MATCH(463,'Transfer Engine'!$C$2:$C$1369,0)),"",INDEX('Compliance Database'!$C$2:$C$1369,MATCH(463,'Transfer Engine'!$C$2:$C$1369,0)))</f>
        <v/>
      </c>
      <c r="D472" s="9">
        <f>IF(ISNA(MATCH(463,'Transfer Engine'!$C$2:$C$1369,0)),"",INDEX('Compliance Database'!$D$2:$D$1369,MATCH(463,'Transfer Engine'!$C$2:$C$1369,0)))</f>
        <v/>
      </c>
      <c r="E472" s="8">
        <f>IF(ISNA(MATCH(463,'Transfer Engine'!$C$2:$C$1369,0)),"",INDEX('Compliance Database'!$E$2:$E$1369,MATCH(463,'Transfer Engine'!$C$2:$C$1369,0)))</f>
        <v/>
      </c>
      <c r="F472" s="8">
        <f>IF(ISNA(MATCH(463,'Transfer Engine'!$C$2:$C$1369,0)),"",INDEX('Compliance Database'!$F$2:$F$1369,MATCH(463,'Transfer Engine'!$C$2:$C$1369,0)))</f>
        <v/>
      </c>
      <c r="G472" s="8">
        <f>IF(ISNA(MATCH(463,'Transfer Engine'!$C$2:$C$1369,0)),"",INDEX('Compliance Database'!$G$2:$G$1369,MATCH(463,'Transfer Engine'!$C$2:$C$1369,0)))</f>
        <v/>
      </c>
      <c r="H472" s="9">
        <f>IF(ISNA(MATCH(463,'Transfer Engine'!$C$2:$C$1369,0)),"",INDEX('Compliance Database'!$H$2:$H$1369,MATCH(463,'Transfer Engine'!$C$2:$C$1369,0)))</f>
        <v/>
      </c>
      <c r="I472" s="9">
        <f>IF(ISNA(MATCH(463,'Transfer Engine'!$C$2:$C$1369,0)),"",INDEX('Compliance Database'!$I$2:$I$1369,MATCH(463,'Transfer Engine'!$C$2:$C$1369,0)))</f>
        <v/>
      </c>
      <c r="J472" s="8">
        <f>IF(ISNA(MATCH(463,'Transfer Engine'!$C$2:$C$1369,0)),"",INDEX('Compliance Database'!$J$2:$J$1369,MATCH(463,'Transfer Engine'!$C$2:$C$1369,0)))</f>
        <v/>
      </c>
      <c r="K472" s="9">
        <f>IF(ISNA(MATCH(463,'Transfer Engine'!$C$2:$C$1369,0)),"",INDEX('Compliance Database'!$K$2:$K$1369,MATCH(463,'Transfer Engine'!$C$2:$C$1369,0)))</f>
        <v/>
      </c>
      <c r="L472" s="9">
        <f>IF(ISNA(MATCH(463,'Transfer Engine'!$C$2:$C$1369,0)),"",INDEX('Compliance Database'!$L$2:$L$1369,MATCH(463,'Transfer Engine'!$C$2:$C$1369,0)))</f>
        <v/>
      </c>
      <c r="M472" s="9">
        <f>IF(ISNA(MATCH(463,'Transfer Engine'!$C$2:$C$1369,0)),"",INDEX('Compliance Database'!$M$2:$M$1369,MATCH(463,'Transfer Engine'!$C$2:$C$1369,0)))</f>
        <v/>
      </c>
      <c r="N472" s="9">
        <f>IF(ISNA(MATCH(463,'Transfer Engine'!$C$2:$C$1369,0)),"",INDEX('Compliance Database'!$N$2:$N$1369,MATCH(463,'Transfer Engine'!$C$2:$C$1369,0)))</f>
        <v/>
      </c>
      <c r="O472" s="8">
        <f>IF(ISNA(MATCH(463,'Transfer Engine'!$C$2:$C$1369,0)),"",HYPERLINK(INDEX('Compliance Database'!$O$2:$O$1369,MATCH(463,'Transfer Engine'!$C$2:$C$1369,0)),"Open PDF"))</f>
        <v/>
      </c>
    </row>
    <row r="473" ht="188" customHeight="1">
      <c r="A473" s="8">
        <f>IF(ISNA(MATCH(464,'Transfer Engine'!$C$2:$C$1369,0)),"",INDEX('Compliance Database'!$A$2:$A$1369,MATCH(464,'Transfer Engine'!$C$2:$C$1369,0)))</f>
        <v/>
      </c>
      <c r="B473" s="8">
        <f>IF(ISNA(MATCH(464,'Transfer Engine'!$C$2:$C$1369,0)),"",INDEX('Compliance Database'!$B$2:$B$1369,MATCH(464,'Transfer Engine'!$C$2:$C$1369,0)))</f>
        <v/>
      </c>
      <c r="C473" s="8">
        <f>IF(ISNA(MATCH(464,'Transfer Engine'!$C$2:$C$1369,0)),"",INDEX('Compliance Database'!$C$2:$C$1369,MATCH(464,'Transfer Engine'!$C$2:$C$1369,0)))</f>
        <v/>
      </c>
      <c r="D473" s="9">
        <f>IF(ISNA(MATCH(464,'Transfer Engine'!$C$2:$C$1369,0)),"",INDEX('Compliance Database'!$D$2:$D$1369,MATCH(464,'Transfer Engine'!$C$2:$C$1369,0)))</f>
        <v/>
      </c>
      <c r="E473" s="8">
        <f>IF(ISNA(MATCH(464,'Transfer Engine'!$C$2:$C$1369,0)),"",INDEX('Compliance Database'!$E$2:$E$1369,MATCH(464,'Transfer Engine'!$C$2:$C$1369,0)))</f>
        <v/>
      </c>
      <c r="F473" s="8">
        <f>IF(ISNA(MATCH(464,'Transfer Engine'!$C$2:$C$1369,0)),"",INDEX('Compliance Database'!$F$2:$F$1369,MATCH(464,'Transfer Engine'!$C$2:$C$1369,0)))</f>
        <v/>
      </c>
      <c r="G473" s="8">
        <f>IF(ISNA(MATCH(464,'Transfer Engine'!$C$2:$C$1369,0)),"",INDEX('Compliance Database'!$G$2:$G$1369,MATCH(464,'Transfer Engine'!$C$2:$C$1369,0)))</f>
        <v/>
      </c>
      <c r="H473" s="9">
        <f>IF(ISNA(MATCH(464,'Transfer Engine'!$C$2:$C$1369,0)),"",INDEX('Compliance Database'!$H$2:$H$1369,MATCH(464,'Transfer Engine'!$C$2:$C$1369,0)))</f>
        <v/>
      </c>
      <c r="I473" s="9">
        <f>IF(ISNA(MATCH(464,'Transfer Engine'!$C$2:$C$1369,0)),"",INDEX('Compliance Database'!$I$2:$I$1369,MATCH(464,'Transfer Engine'!$C$2:$C$1369,0)))</f>
        <v/>
      </c>
      <c r="J473" s="8">
        <f>IF(ISNA(MATCH(464,'Transfer Engine'!$C$2:$C$1369,0)),"",INDEX('Compliance Database'!$J$2:$J$1369,MATCH(464,'Transfer Engine'!$C$2:$C$1369,0)))</f>
        <v/>
      </c>
      <c r="K473" s="9">
        <f>IF(ISNA(MATCH(464,'Transfer Engine'!$C$2:$C$1369,0)),"",INDEX('Compliance Database'!$K$2:$K$1369,MATCH(464,'Transfer Engine'!$C$2:$C$1369,0)))</f>
        <v/>
      </c>
      <c r="L473" s="9">
        <f>IF(ISNA(MATCH(464,'Transfer Engine'!$C$2:$C$1369,0)),"",INDEX('Compliance Database'!$L$2:$L$1369,MATCH(464,'Transfer Engine'!$C$2:$C$1369,0)))</f>
        <v/>
      </c>
      <c r="M473" s="9">
        <f>IF(ISNA(MATCH(464,'Transfer Engine'!$C$2:$C$1369,0)),"",INDEX('Compliance Database'!$M$2:$M$1369,MATCH(464,'Transfer Engine'!$C$2:$C$1369,0)))</f>
        <v/>
      </c>
      <c r="N473" s="9">
        <f>IF(ISNA(MATCH(464,'Transfer Engine'!$C$2:$C$1369,0)),"",INDEX('Compliance Database'!$N$2:$N$1369,MATCH(464,'Transfer Engine'!$C$2:$C$1369,0)))</f>
        <v/>
      </c>
      <c r="O473" s="8">
        <f>IF(ISNA(MATCH(464,'Transfer Engine'!$C$2:$C$1369,0)),"",HYPERLINK(INDEX('Compliance Database'!$O$2:$O$1369,MATCH(464,'Transfer Engine'!$C$2:$C$1369,0)),"Open PDF"))</f>
        <v/>
      </c>
    </row>
    <row r="474" ht="188" customHeight="1">
      <c r="A474" s="8">
        <f>IF(ISNA(MATCH(465,'Transfer Engine'!$C$2:$C$1369,0)),"",INDEX('Compliance Database'!$A$2:$A$1369,MATCH(465,'Transfer Engine'!$C$2:$C$1369,0)))</f>
        <v/>
      </c>
      <c r="B474" s="8">
        <f>IF(ISNA(MATCH(465,'Transfer Engine'!$C$2:$C$1369,0)),"",INDEX('Compliance Database'!$B$2:$B$1369,MATCH(465,'Transfer Engine'!$C$2:$C$1369,0)))</f>
        <v/>
      </c>
      <c r="C474" s="8">
        <f>IF(ISNA(MATCH(465,'Transfer Engine'!$C$2:$C$1369,0)),"",INDEX('Compliance Database'!$C$2:$C$1369,MATCH(465,'Transfer Engine'!$C$2:$C$1369,0)))</f>
        <v/>
      </c>
      <c r="D474" s="9">
        <f>IF(ISNA(MATCH(465,'Transfer Engine'!$C$2:$C$1369,0)),"",INDEX('Compliance Database'!$D$2:$D$1369,MATCH(465,'Transfer Engine'!$C$2:$C$1369,0)))</f>
        <v/>
      </c>
      <c r="E474" s="8">
        <f>IF(ISNA(MATCH(465,'Transfer Engine'!$C$2:$C$1369,0)),"",INDEX('Compliance Database'!$E$2:$E$1369,MATCH(465,'Transfer Engine'!$C$2:$C$1369,0)))</f>
        <v/>
      </c>
      <c r="F474" s="8">
        <f>IF(ISNA(MATCH(465,'Transfer Engine'!$C$2:$C$1369,0)),"",INDEX('Compliance Database'!$F$2:$F$1369,MATCH(465,'Transfer Engine'!$C$2:$C$1369,0)))</f>
        <v/>
      </c>
      <c r="G474" s="8">
        <f>IF(ISNA(MATCH(465,'Transfer Engine'!$C$2:$C$1369,0)),"",INDEX('Compliance Database'!$G$2:$G$1369,MATCH(465,'Transfer Engine'!$C$2:$C$1369,0)))</f>
        <v/>
      </c>
      <c r="H474" s="9">
        <f>IF(ISNA(MATCH(465,'Transfer Engine'!$C$2:$C$1369,0)),"",INDEX('Compliance Database'!$H$2:$H$1369,MATCH(465,'Transfer Engine'!$C$2:$C$1369,0)))</f>
        <v/>
      </c>
      <c r="I474" s="9">
        <f>IF(ISNA(MATCH(465,'Transfer Engine'!$C$2:$C$1369,0)),"",INDEX('Compliance Database'!$I$2:$I$1369,MATCH(465,'Transfer Engine'!$C$2:$C$1369,0)))</f>
        <v/>
      </c>
      <c r="J474" s="8">
        <f>IF(ISNA(MATCH(465,'Transfer Engine'!$C$2:$C$1369,0)),"",INDEX('Compliance Database'!$J$2:$J$1369,MATCH(465,'Transfer Engine'!$C$2:$C$1369,0)))</f>
        <v/>
      </c>
      <c r="K474" s="9">
        <f>IF(ISNA(MATCH(465,'Transfer Engine'!$C$2:$C$1369,0)),"",INDEX('Compliance Database'!$K$2:$K$1369,MATCH(465,'Transfer Engine'!$C$2:$C$1369,0)))</f>
        <v/>
      </c>
      <c r="L474" s="9">
        <f>IF(ISNA(MATCH(465,'Transfer Engine'!$C$2:$C$1369,0)),"",INDEX('Compliance Database'!$L$2:$L$1369,MATCH(465,'Transfer Engine'!$C$2:$C$1369,0)))</f>
        <v/>
      </c>
      <c r="M474" s="9">
        <f>IF(ISNA(MATCH(465,'Transfer Engine'!$C$2:$C$1369,0)),"",INDEX('Compliance Database'!$M$2:$M$1369,MATCH(465,'Transfer Engine'!$C$2:$C$1369,0)))</f>
        <v/>
      </c>
      <c r="N474" s="9">
        <f>IF(ISNA(MATCH(465,'Transfer Engine'!$C$2:$C$1369,0)),"",INDEX('Compliance Database'!$N$2:$N$1369,MATCH(465,'Transfer Engine'!$C$2:$C$1369,0)))</f>
        <v/>
      </c>
      <c r="O474" s="8">
        <f>IF(ISNA(MATCH(465,'Transfer Engine'!$C$2:$C$1369,0)),"",HYPERLINK(INDEX('Compliance Database'!$O$2:$O$1369,MATCH(465,'Transfer Engine'!$C$2:$C$1369,0)),"Open PDF"))</f>
        <v/>
      </c>
    </row>
    <row r="475" ht="188" customHeight="1">
      <c r="A475" s="8">
        <f>IF(ISNA(MATCH(466,'Transfer Engine'!$C$2:$C$1369,0)),"",INDEX('Compliance Database'!$A$2:$A$1369,MATCH(466,'Transfer Engine'!$C$2:$C$1369,0)))</f>
        <v/>
      </c>
      <c r="B475" s="8">
        <f>IF(ISNA(MATCH(466,'Transfer Engine'!$C$2:$C$1369,0)),"",INDEX('Compliance Database'!$B$2:$B$1369,MATCH(466,'Transfer Engine'!$C$2:$C$1369,0)))</f>
        <v/>
      </c>
      <c r="C475" s="8">
        <f>IF(ISNA(MATCH(466,'Transfer Engine'!$C$2:$C$1369,0)),"",INDEX('Compliance Database'!$C$2:$C$1369,MATCH(466,'Transfer Engine'!$C$2:$C$1369,0)))</f>
        <v/>
      </c>
      <c r="D475" s="9">
        <f>IF(ISNA(MATCH(466,'Transfer Engine'!$C$2:$C$1369,0)),"",INDEX('Compliance Database'!$D$2:$D$1369,MATCH(466,'Transfer Engine'!$C$2:$C$1369,0)))</f>
        <v/>
      </c>
      <c r="E475" s="8">
        <f>IF(ISNA(MATCH(466,'Transfer Engine'!$C$2:$C$1369,0)),"",INDEX('Compliance Database'!$E$2:$E$1369,MATCH(466,'Transfer Engine'!$C$2:$C$1369,0)))</f>
        <v/>
      </c>
      <c r="F475" s="8">
        <f>IF(ISNA(MATCH(466,'Transfer Engine'!$C$2:$C$1369,0)),"",INDEX('Compliance Database'!$F$2:$F$1369,MATCH(466,'Transfer Engine'!$C$2:$C$1369,0)))</f>
        <v/>
      </c>
      <c r="G475" s="8">
        <f>IF(ISNA(MATCH(466,'Transfer Engine'!$C$2:$C$1369,0)),"",INDEX('Compliance Database'!$G$2:$G$1369,MATCH(466,'Transfer Engine'!$C$2:$C$1369,0)))</f>
        <v/>
      </c>
      <c r="H475" s="9">
        <f>IF(ISNA(MATCH(466,'Transfer Engine'!$C$2:$C$1369,0)),"",INDEX('Compliance Database'!$H$2:$H$1369,MATCH(466,'Transfer Engine'!$C$2:$C$1369,0)))</f>
        <v/>
      </c>
      <c r="I475" s="9">
        <f>IF(ISNA(MATCH(466,'Transfer Engine'!$C$2:$C$1369,0)),"",INDEX('Compliance Database'!$I$2:$I$1369,MATCH(466,'Transfer Engine'!$C$2:$C$1369,0)))</f>
        <v/>
      </c>
      <c r="J475" s="8">
        <f>IF(ISNA(MATCH(466,'Transfer Engine'!$C$2:$C$1369,0)),"",INDEX('Compliance Database'!$J$2:$J$1369,MATCH(466,'Transfer Engine'!$C$2:$C$1369,0)))</f>
        <v/>
      </c>
      <c r="K475" s="9">
        <f>IF(ISNA(MATCH(466,'Transfer Engine'!$C$2:$C$1369,0)),"",INDEX('Compliance Database'!$K$2:$K$1369,MATCH(466,'Transfer Engine'!$C$2:$C$1369,0)))</f>
        <v/>
      </c>
      <c r="L475" s="9">
        <f>IF(ISNA(MATCH(466,'Transfer Engine'!$C$2:$C$1369,0)),"",INDEX('Compliance Database'!$L$2:$L$1369,MATCH(466,'Transfer Engine'!$C$2:$C$1369,0)))</f>
        <v/>
      </c>
      <c r="M475" s="9">
        <f>IF(ISNA(MATCH(466,'Transfer Engine'!$C$2:$C$1369,0)),"",INDEX('Compliance Database'!$M$2:$M$1369,MATCH(466,'Transfer Engine'!$C$2:$C$1369,0)))</f>
        <v/>
      </c>
      <c r="N475" s="9">
        <f>IF(ISNA(MATCH(466,'Transfer Engine'!$C$2:$C$1369,0)),"",INDEX('Compliance Database'!$N$2:$N$1369,MATCH(466,'Transfer Engine'!$C$2:$C$1369,0)))</f>
        <v/>
      </c>
      <c r="O475" s="8">
        <f>IF(ISNA(MATCH(466,'Transfer Engine'!$C$2:$C$1369,0)),"",HYPERLINK(INDEX('Compliance Database'!$O$2:$O$1369,MATCH(466,'Transfer Engine'!$C$2:$C$1369,0)),"Open PDF"))</f>
        <v/>
      </c>
    </row>
    <row r="476" ht="188" customHeight="1">
      <c r="A476" s="8">
        <f>IF(ISNA(MATCH(467,'Transfer Engine'!$C$2:$C$1369,0)),"",INDEX('Compliance Database'!$A$2:$A$1369,MATCH(467,'Transfer Engine'!$C$2:$C$1369,0)))</f>
        <v/>
      </c>
      <c r="B476" s="8">
        <f>IF(ISNA(MATCH(467,'Transfer Engine'!$C$2:$C$1369,0)),"",INDEX('Compliance Database'!$B$2:$B$1369,MATCH(467,'Transfer Engine'!$C$2:$C$1369,0)))</f>
        <v/>
      </c>
      <c r="C476" s="8">
        <f>IF(ISNA(MATCH(467,'Transfer Engine'!$C$2:$C$1369,0)),"",INDEX('Compliance Database'!$C$2:$C$1369,MATCH(467,'Transfer Engine'!$C$2:$C$1369,0)))</f>
        <v/>
      </c>
      <c r="D476" s="9">
        <f>IF(ISNA(MATCH(467,'Transfer Engine'!$C$2:$C$1369,0)),"",INDEX('Compliance Database'!$D$2:$D$1369,MATCH(467,'Transfer Engine'!$C$2:$C$1369,0)))</f>
        <v/>
      </c>
      <c r="E476" s="8">
        <f>IF(ISNA(MATCH(467,'Transfer Engine'!$C$2:$C$1369,0)),"",INDEX('Compliance Database'!$E$2:$E$1369,MATCH(467,'Transfer Engine'!$C$2:$C$1369,0)))</f>
        <v/>
      </c>
      <c r="F476" s="8">
        <f>IF(ISNA(MATCH(467,'Transfer Engine'!$C$2:$C$1369,0)),"",INDEX('Compliance Database'!$F$2:$F$1369,MATCH(467,'Transfer Engine'!$C$2:$C$1369,0)))</f>
        <v/>
      </c>
      <c r="G476" s="8">
        <f>IF(ISNA(MATCH(467,'Transfer Engine'!$C$2:$C$1369,0)),"",INDEX('Compliance Database'!$G$2:$G$1369,MATCH(467,'Transfer Engine'!$C$2:$C$1369,0)))</f>
        <v/>
      </c>
      <c r="H476" s="9">
        <f>IF(ISNA(MATCH(467,'Transfer Engine'!$C$2:$C$1369,0)),"",INDEX('Compliance Database'!$H$2:$H$1369,MATCH(467,'Transfer Engine'!$C$2:$C$1369,0)))</f>
        <v/>
      </c>
      <c r="I476" s="9">
        <f>IF(ISNA(MATCH(467,'Transfer Engine'!$C$2:$C$1369,0)),"",INDEX('Compliance Database'!$I$2:$I$1369,MATCH(467,'Transfer Engine'!$C$2:$C$1369,0)))</f>
        <v/>
      </c>
      <c r="J476" s="8">
        <f>IF(ISNA(MATCH(467,'Transfer Engine'!$C$2:$C$1369,0)),"",INDEX('Compliance Database'!$J$2:$J$1369,MATCH(467,'Transfer Engine'!$C$2:$C$1369,0)))</f>
        <v/>
      </c>
      <c r="K476" s="9">
        <f>IF(ISNA(MATCH(467,'Transfer Engine'!$C$2:$C$1369,0)),"",INDEX('Compliance Database'!$K$2:$K$1369,MATCH(467,'Transfer Engine'!$C$2:$C$1369,0)))</f>
        <v/>
      </c>
      <c r="L476" s="9">
        <f>IF(ISNA(MATCH(467,'Transfer Engine'!$C$2:$C$1369,0)),"",INDEX('Compliance Database'!$L$2:$L$1369,MATCH(467,'Transfer Engine'!$C$2:$C$1369,0)))</f>
        <v/>
      </c>
      <c r="M476" s="9">
        <f>IF(ISNA(MATCH(467,'Transfer Engine'!$C$2:$C$1369,0)),"",INDEX('Compliance Database'!$M$2:$M$1369,MATCH(467,'Transfer Engine'!$C$2:$C$1369,0)))</f>
        <v/>
      </c>
      <c r="N476" s="9">
        <f>IF(ISNA(MATCH(467,'Transfer Engine'!$C$2:$C$1369,0)),"",INDEX('Compliance Database'!$N$2:$N$1369,MATCH(467,'Transfer Engine'!$C$2:$C$1369,0)))</f>
        <v/>
      </c>
      <c r="O476" s="8">
        <f>IF(ISNA(MATCH(467,'Transfer Engine'!$C$2:$C$1369,0)),"",HYPERLINK(INDEX('Compliance Database'!$O$2:$O$1369,MATCH(467,'Transfer Engine'!$C$2:$C$1369,0)),"Open PDF"))</f>
        <v/>
      </c>
    </row>
    <row r="477" ht="188" customHeight="1">
      <c r="A477" s="8">
        <f>IF(ISNA(MATCH(468,'Transfer Engine'!$C$2:$C$1369,0)),"",INDEX('Compliance Database'!$A$2:$A$1369,MATCH(468,'Transfer Engine'!$C$2:$C$1369,0)))</f>
        <v/>
      </c>
      <c r="B477" s="8">
        <f>IF(ISNA(MATCH(468,'Transfer Engine'!$C$2:$C$1369,0)),"",INDEX('Compliance Database'!$B$2:$B$1369,MATCH(468,'Transfer Engine'!$C$2:$C$1369,0)))</f>
        <v/>
      </c>
      <c r="C477" s="8">
        <f>IF(ISNA(MATCH(468,'Transfer Engine'!$C$2:$C$1369,0)),"",INDEX('Compliance Database'!$C$2:$C$1369,MATCH(468,'Transfer Engine'!$C$2:$C$1369,0)))</f>
        <v/>
      </c>
      <c r="D477" s="9">
        <f>IF(ISNA(MATCH(468,'Transfer Engine'!$C$2:$C$1369,0)),"",INDEX('Compliance Database'!$D$2:$D$1369,MATCH(468,'Transfer Engine'!$C$2:$C$1369,0)))</f>
        <v/>
      </c>
      <c r="E477" s="8">
        <f>IF(ISNA(MATCH(468,'Transfer Engine'!$C$2:$C$1369,0)),"",INDEX('Compliance Database'!$E$2:$E$1369,MATCH(468,'Transfer Engine'!$C$2:$C$1369,0)))</f>
        <v/>
      </c>
      <c r="F477" s="8">
        <f>IF(ISNA(MATCH(468,'Transfer Engine'!$C$2:$C$1369,0)),"",INDEX('Compliance Database'!$F$2:$F$1369,MATCH(468,'Transfer Engine'!$C$2:$C$1369,0)))</f>
        <v/>
      </c>
      <c r="G477" s="8">
        <f>IF(ISNA(MATCH(468,'Transfer Engine'!$C$2:$C$1369,0)),"",INDEX('Compliance Database'!$G$2:$G$1369,MATCH(468,'Transfer Engine'!$C$2:$C$1369,0)))</f>
        <v/>
      </c>
      <c r="H477" s="9">
        <f>IF(ISNA(MATCH(468,'Transfer Engine'!$C$2:$C$1369,0)),"",INDEX('Compliance Database'!$H$2:$H$1369,MATCH(468,'Transfer Engine'!$C$2:$C$1369,0)))</f>
        <v/>
      </c>
      <c r="I477" s="9">
        <f>IF(ISNA(MATCH(468,'Transfer Engine'!$C$2:$C$1369,0)),"",INDEX('Compliance Database'!$I$2:$I$1369,MATCH(468,'Transfer Engine'!$C$2:$C$1369,0)))</f>
        <v/>
      </c>
      <c r="J477" s="8">
        <f>IF(ISNA(MATCH(468,'Transfer Engine'!$C$2:$C$1369,0)),"",INDEX('Compliance Database'!$J$2:$J$1369,MATCH(468,'Transfer Engine'!$C$2:$C$1369,0)))</f>
        <v/>
      </c>
      <c r="K477" s="9">
        <f>IF(ISNA(MATCH(468,'Transfer Engine'!$C$2:$C$1369,0)),"",INDEX('Compliance Database'!$K$2:$K$1369,MATCH(468,'Transfer Engine'!$C$2:$C$1369,0)))</f>
        <v/>
      </c>
      <c r="L477" s="9">
        <f>IF(ISNA(MATCH(468,'Transfer Engine'!$C$2:$C$1369,0)),"",INDEX('Compliance Database'!$L$2:$L$1369,MATCH(468,'Transfer Engine'!$C$2:$C$1369,0)))</f>
        <v/>
      </c>
      <c r="M477" s="9">
        <f>IF(ISNA(MATCH(468,'Transfer Engine'!$C$2:$C$1369,0)),"",INDEX('Compliance Database'!$M$2:$M$1369,MATCH(468,'Transfer Engine'!$C$2:$C$1369,0)))</f>
        <v/>
      </c>
      <c r="N477" s="9">
        <f>IF(ISNA(MATCH(468,'Transfer Engine'!$C$2:$C$1369,0)),"",INDEX('Compliance Database'!$N$2:$N$1369,MATCH(468,'Transfer Engine'!$C$2:$C$1369,0)))</f>
        <v/>
      </c>
      <c r="O477" s="8">
        <f>IF(ISNA(MATCH(468,'Transfer Engine'!$C$2:$C$1369,0)),"",HYPERLINK(INDEX('Compliance Database'!$O$2:$O$1369,MATCH(468,'Transfer Engine'!$C$2:$C$1369,0)),"Open PDF"))</f>
        <v/>
      </c>
    </row>
    <row r="478" ht="188" customHeight="1">
      <c r="A478" s="8">
        <f>IF(ISNA(MATCH(469,'Transfer Engine'!$C$2:$C$1369,0)),"",INDEX('Compliance Database'!$A$2:$A$1369,MATCH(469,'Transfer Engine'!$C$2:$C$1369,0)))</f>
        <v/>
      </c>
      <c r="B478" s="8">
        <f>IF(ISNA(MATCH(469,'Transfer Engine'!$C$2:$C$1369,0)),"",INDEX('Compliance Database'!$B$2:$B$1369,MATCH(469,'Transfer Engine'!$C$2:$C$1369,0)))</f>
        <v/>
      </c>
      <c r="C478" s="8">
        <f>IF(ISNA(MATCH(469,'Transfer Engine'!$C$2:$C$1369,0)),"",INDEX('Compliance Database'!$C$2:$C$1369,MATCH(469,'Transfer Engine'!$C$2:$C$1369,0)))</f>
        <v/>
      </c>
      <c r="D478" s="9">
        <f>IF(ISNA(MATCH(469,'Transfer Engine'!$C$2:$C$1369,0)),"",INDEX('Compliance Database'!$D$2:$D$1369,MATCH(469,'Transfer Engine'!$C$2:$C$1369,0)))</f>
        <v/>
      </c>
      <c r="E478" s="8">
        <f>IF(ISNA(MATCH(469,'Transfer Engine'!$C$2:$C$1369,0)),"",INDEX('Compliance Database'!$E$2:$E$1369,MATCH(469,'Transfer Engine'!$C$2:$C$1369,0)))</f>
        <v/>
      </c>
      <c r="F478" s="8">
        <f>IF(ISNA(MATCH(469,'Transfer Engine'!$C$2:$C$1369,0)),"",INDEX('Compliance Database'!$F$2:$F$1369,MATCH(469,'Transfer Engine'!$C$2:$C$1369,0)))</f>
        <v/>
      </c>
      <c r="G478" s="8">
        <f>IF(ISNA(MATCH(469,'Transfer Engine'!$C$2:$C$1369,0)),"",INDEX('Compliance Database'!$G$2:$G$1369,MATCH(469,'Transfer Engine'!$C$2:$C$1369,0)))</f>
        <v/>
      </c>
      <c r="H478" s="9">
        <f>IF(ISNA(MATCH(469,'Transfer Engine'!$C$2:$C$1369,0)),"",INDEX('Compliance Database'!$H$2:$H$1369,MATCH(469,'Transfer Engine'!$C$2:$C$1369,0)))</f>
        <v/>
      </c>
      <c r="I478" s="9">
        <f>IF(ISNA(MATCH(469,'Transfer Engine'!$C$2:$C$1369,0)),"",INDEX('Compliance Database'!$I$2:$I$1369,MATCH(469,'Transfer Engine'!$C$2:$C$1369,0)))</f>
        <v/>
      </c>
      <c r="J478" s="8">
        <f>IF(ISNA(MATCH(469,'Transfer Engine'!$C$2:$C$1369,0)),"",INDEX('Compliance Database'!$J$2:$J$1369,MATCH(469,'Transfer Engine'!$C$2:$C$1369,0)))</f>
        <v/>
      </c>
      <c r="K478" s="9">
        <f>IF(ISNA(MATCH(469,'Transfer Engine'!$C$2:$C$1369,0)),"",INDEX('Compliance Database'!$K$2:$K$1369,MATCH(469,'Transfer Engine'!$C$2:$C$1369,0)))</f>
        <v/>
      </c>
      <c r="L478" s="9">
        <f>IF(ISNA(MATCH(469,'Transfer Engine'!$C$2:$C$1369,0)),"",INDEX('Compliance Database'!$L$2:$L$1369,MATCH(469,'Transfer Engine'!$C$2:$C$1369,0)))</f>
        <v/>
      </c>
      <c r="M478" s="9">
        <f>IF(ISNA(MATCH(469,'Transfer Engine'!$C$2:$C$1369,0)),"",INDEX('Compliance Database'!$M$2:$M$1369,MATCH(469,'Transfer Engine'!$C$2:$C$1369,0)))</f>
        <v/>
      </c>
      <c r="N478" s="9">
        <f>IF(ISNA(MATCH(469,'Transfer Engine'!$C$2:$C$1369,0)),"",INDEX('Compliance Database'!$N$2:$N$1369,MATCH(469,'Transfer Engine'!$C$2:$C$1369,0)))</f>
        <v/>
      </c>
      <c r="O478" s="8">
        <f>IF(ISNA(MATCH(469,'Transfer Engine'!$C$2:$C$1369,0)),"",HYPERLINK(INDEX('Compliance Database'!$O$2:$O$1369,MATCH(469,'Transfer Engine'!$C$2:$C$1369,0)),"Open PDF"))</f>
        <v/>
      </c>
    </row>
    <row r="479" ht="188" customHeight="1">
      <c r="A479" s="8">
        <f>IF(ISNA(MATCH(470,'Transfer Engine'!$C$2:$C$1369,0)),"",INDEX('Compliance Database'!$A$2:$A$1369,MATCH(470,'Transfer Engine'!$C$2:$C$1369,0)))</f>
        <v/>
      </c>
      <c r="B479" s="8">
        <f>IF(ISNA(MATCH(470,'Transfer Engine'!$C$2:$C$1369,0)),"",INDEX('Compliance Database'!$B$2:$B$1369,MATCH(470,'Transfer Engine'!$C$2:$C$1369,0)))</f>
        <v/>
      </c>
      <c r="C479" s="8">
        <f>IF(ISNA(MATCH(470,'Transfer Engine'!$C$2:$C$1369,0)),"",INDEX('Compliance Database'!$C$2:$C$1369,MATCH(470,'Transfer Engine'!$C$2:$C$1369,0)))</f>
        <v/>
      </c>
      <c r="D479" s="9">
        <f>IF(ISNA(MATCH(470,'Transfer Engine'!$C$2:$C$1369,0)),"",INDEX('Compliance Database'!$D$2:$D$1369,MATCH(470,'Transfer Engine'!$C$2:$C$1369,0)))</f>
        <v/>
      </c>
      <c r="E479" s="8">
        <f>IF(ISNA(MATCH(470,'Transfer Engine'!$C$2:$C$1369,0)),"",INDEX('Compliance Database'!$E$2:$E$1369,MATCH(470,'Transfer Engine'!$C$2:$C$1369,0)))</f>
        <v/>
      </c>
      <c r="F479" s="8">
        <f>IF(ISNA(MATCH(470,'Transfer Engine'!$C$2:$C$1369,0)),"",INDEX('Compliance Database'!$F$2:$F$1369,MATCH(470,'Transfer Engine'!$C$2:$C$1369,0)))</f>
        <v/>
      </c>
      <c r="G479" s="8">
        <f>IF(ISNA(MATCH(470,'Transfer Engine'!$C$2:$C$1369,0)),"",INDEX('Compliance Database'!$G$2:$G$1369,MATCH(470,'Transfer Engine'!$C$2:$C$1369,0)))</f>
        <v/>
      </c>
      <c r="H479" s="9">
        <f>IF(ISNA(MATCH(470,'Transfer Engine'!$C$2:$C$1369,0)),"",INDEX('Compliance Database'!$H$2:$H$1369,MATCH(470,'Transfer Engine'!$C$2:$C$1369,0)))</f>
        <v/>
      </c>
      <c r="I479" s="9">
        <f>IF(ISNA(MATCH(470,'Transfer Engine'!$C$2:$C$1369,0)),"",INDEX('Compliance Database'!$I$2:$I$1369,MATCH(470,'Transfer Engine'!$C$2:$C$1369,0)))</f>
        <v/>
      </c>
      <c r="J479" s="8">
        <f>IF(ISNA(MATCH(470,'Transfer Engine'!$C$2:$C$1369,0)),"",INDEX('Compliance Database'!$J$2:$J$1369,MATCH(470,'Transfer Engine'!$C$2:$C$1369,0)))</f>
        <v/>
      </c>
      <c r="K479" s="9">
        <f>IF(ISNA(MATCH(470,'Transfer Engine'!$C$2:$C$1369,0)),"",INDEX('Compliance Database'!$K$2:$K$1369,MATCH(470,'Transfer Engine'!$C$2:$C$1369,0)))</f>
        <v/>
      </c>
      <c r="L479" s="9">
        <f>IF(ISNA(MATCH(470,'Transfer Engine'!$C$2:$C$1369,0)),"",INDEX('Compliance Database'!$L$2:$L$1369,MATCH(470,'Transfer Engine'!$C$2:$C$1369,0)))</f>
        <v/>
      </c>
      <c r="M479" s="9">
        <f>IF(ISNA(MATCH(470,'Transfer Engine'!$C$2:$C$1369,0)),"",INDEX('Compliance Database'!$M$2:$M$1369,MATCH(470,'Transfer Engine'!$C$2:$C$1369,0)))</f>
        <v/>
      </c>
      <c r="N479" s="9">
        <f>IF(ISNA(MATCH(470,'Transfer Engine'!$C$2:$C$1369,0)),"",INDEX('Compliance Database'!$N$2:$N$1369,MATCH(470,'Transfer Engine'!$C$2:$C$1369,0)))</f>
        <v/>
      </c>
      <c r="O479" s="8">
        <f>IF(ISNA(MATCH(470,'Transfer Engine'!$C$2:$C$1369,0)),"",HYPERLINK(INDEX('Compliance Database'!$O$2:$O$1369,MATCH(470,'Transfer Engine'!$C$2:$C$1369,0)),"Open PDF"))</f>
        <v/>
      </c>
    </row>
    <row r="480" ht="188" customHeight="1">
      <c r="A480" s="8">
        <f>IF(ISNA(MATCH(471,'Transfer Engine'!$C$2:$C$1369,0)),"",INDEX('Compliance Database'!$A$2:$A$1369,MATCH(471,'Transfer Engine'!$C$2:$C$1369,0)))</f>
        <v/>
      </c>
      <c r="B480" s="8">
        <f>IF(ISNA(MATCH(471,'Transfer Engine'!$C$2:$C$1369,0)),"",INDEX('Compliance Database'!$B$2:$B$1369,MATCH(471,'Transfer Engine'!$C$2:$C$1369,0)))</f>
        <v/>
      </c>
      <c r="C480" s="8">
        <f>IF(ISNA(MATCH(471,'Transfer Engine'!$C$2:$C$1369,0)),"",INDEX('Compliance Database'!$C$2:$C$1369,MATCH(471,'Transfer Engine'!$C$2:$C$1369,0)))</f>
        <v/>
      </c>
      <c r="D480" s="9">
        <f>IF(ISNA(MATCH(471,'Transfer Engine'!$C$2:$C$1369,0)),"",INDEX('Compliance Database'!$D$2:$D$1369,MATCH(471,'Transfer Engine'!$C$2:$C$1369,0)))</f>
        <v/>
      </c>
      <c r="E480" s="8">
        <f>IF(ISNA(MATCH(471,'Transfer Engine'!$C$2:$C$1369,0)),"",INDEX('Compliance Database'!$E$2:$E$1369,MATCH(471,'Transfer Engine'!$C$2:$C$1369,0)))</f>
        <v/>
      </c>
      <c r="F480" s="8">
        <f>IF(ISNA(MATCH(471,'Transfer Engine'!$C$2:$C$1369,0)),"",INDEX('Compliance Database'!$F$2:$F$1369,MATCH(471,'Transfer Engine'!$C$2:$C$1369,0)))</f>
        <v/>
      </c>
      <c r="G480" s="8">
        <f>IF(ISNA(MATCH(471,'Transfer Engine'!$C$2:$C$1369,0)),"",INDEX('Compliance Database'!$G$2:$G$1369,MATCH(471,'Transfer Engine'!$C$2:$C$1369,0)))</f>
        <v/>
      </c>
      <c r="H480" s="9">
        <f>IF(ISNA(MATCH(471,'Transfer Engine'!$C$2:$C$1369,0)),"",INDEX('Compliance Database'!$H$2:$H$1369,MATCH(471,'Transfer Engine'!$C$2:$C$1369,0)))</f>
        <v/>
      </c>
      <c r="I480" s="9">
        <f>IF(ISNA(MATCH(471,'Transfer Engine'!$C$2:$C$1369,0)),"",INDEX('Compliance Database'!$I$2:$I$1369,MATCH(471,'Transfer Engine'!$C$2:$C$1369,0)))</f>
        <v/>
      </c>
      <c r="J480" s="8">
        <f>IF(ISNA(MATCH(471,'Transfer Engine'!$C$2:$C$1369,0)),"",INDEX('Compliance Database'!$J$2:$J$1369,MATCH(471,'Transfer Engine'!$C$2:$C$1369,0)))</f>
        <v/>
      </c>
      <c r="K480" s="9">
        <f>IF(ISNA(MATCH(471,'Transfer Engine'!$C$2:$C$1369,0)),"",INDEX('Compliance Database'!$K$2:$K$1369,MATCH(471,'Transfer Engine'!$C$2:$C$1369,0)))</f>
        <v/>
      </c>
      <c r="L480" s="9">
        <f>IF(ISNA(MATCH(471,'Transfer Engine'!$C$2:$C$1369,0)),"",INDEX('Compliance Database'!$L$2:$L$1369,MATCH(471,'Transfer Engine'!$C$2:$C$1369,0)))</f>
        <v/>
      </c>
      <c r="M480" s="9">
        <f>IF(ISNA(MATCH(471,'Transfer Engine'!$C$2:$C$1369,0)),"",INDEX('Compliance Database'!$M$2:$M$1369,MATCH(471,'Transfer Engine'!$C$2:$C$1369,0)))</f>
        <v/>
      </c>
      <c r="N480" s="9">
        <f>IF(ISNA(MATCH(471,'Transfer Engine'!$C$2:$C$1369,0)),"",INDEX('Compliance Database'!$N$2:$N$1369,MATCH(471,'Transfer Engine'!$C$2:$C$1369,0)))</f>
        <v/>
      </c>
      <c r="O480" s="8">
        <f>IF(ISNA(MATCH(471,'Transfer Engine'!$C$2:$C$1369,0)),"",HYPERLINK(INDEX('Compliance Database'!$O$2:$O$1369,MATCH(471,'Transfer Engine'!$C$2:$C$1369,0)),"Open PDF"))</f>
        <v/>
      </c>
    </row>
    <row r="481" ht="188" customHeight="1">
      <c r="A481" s="8">
        <f>IF(ISNA(MATCH(472,'Transfer Engine'!$C$2:$C$1369,0)),"",INDEX('Compliance Database'!$A$2:$A$1369,MATCH(472,'Transfer Engine'!$C$2:$C$1369,0)))</f>
        <v/>
      </c>
      <c r="B481" s="8">
        <f>IF(ISNA(MATCH(472,'Transfer Engine'!$C$2:$C$1369,0)),"",INDEX('Compliance Database'!$B$2:$B$1369,MATCH(472,'Transfer Engine'!$C$2:$C$1369,0)))</f>
        <v/>
      </c>
      <c r="C481" s="8">
        <f>IF(ISNA(MATCH(472,'Transfer Engine'!$C$2:$C$1369,0)),"",INDEX('Compliance Database'!$C$2:$C$1369,MATCH(472,'Transfer Engine'!$C$2:$C$1369,0)))</f>
        <v/>
      </c>
      <c r="D481" s="9">
        <f>IF(ISNA(MATCH(472,'Transfer Engine'!$C$2:$C$1369,0)),"",INDEX('Compliance Database'!$D$2:$D$1369,MATCH(472,'Transfer Engine'!$C$2:$C$1369,0)))</f>
        <v/>
      </c>
      <c r="E481" s="8">
        <f>IF(ISNA(MATCH(472,'Transfer Engine'!$C$2:$C$1369,0)),"",INDEX('Compliance Database'!$E$2:$E$1369,MATCH(472,'Transfer Engine'!$C$2:$C$1369,0)))</f>
        <v/>
      </c>
      <c r="F481" s="8">
        <f>IF(ISNA(MATCH(472,'Transfer Engine'!$C$2:$C$1369,0)),"",INDEX('Compliance Database'!$F$2:$F$1369,MATCH(472,'Transfer Engine'!$C$2:$C$1369,0)))</f>
        <v/>
      </c>
      <c r="G481" s="8">
        <f>IF(ISNA(MATCH(472,'Transfer Engine'!$C$2:$C$1369,0)),"",INDEX('Compliance Database'!$G$2:$G$1369,MATCH(472,'Transfer Engine'!$C$2:$C$1369,0)))</f>
        <v/>
      </c>
      <c r="H481" s="9">
        <f>IF(ISNA(MATCH(472,'Transfer Engine'!$C$2:$C$1369,0)),"",INDEX('Compliance Database'!$H$2:$H$1369,MATCH(472,'Transfer Engine'!$C$2:$C$1369,0)))</f>
        <v/>
      </c>
      <c r="I481" s="9">
        <f>IF(ISNA(MATCH(472,'Transfer Engine'!$C$2:$C$1369,0)),"",INDEX('Compliance Database'!$I$2:$I$1369,MATCH(472,'Transfer Engine'!$C$2:$C$1369,0)))</f>
        <v/>
      </c>
      <c r="J481" s="8">
        <f>IF(ISNA(MATCH(472,'Transfer Engine'!$C$2:$C$1369,0)),"",INDEX('Compliance Database'!$J$2:$J$1369,MATCH(472,'Transfer Engine'!$C$2:$C$1369,0)))</f>
        <v/>
      </c>
      <c r="K481" s="9">
        <f>IF(ISNA(MATCH(472,'Transfer Engine'!$C$2:$C$1369,0)),"",INDEX('Compliance Database'!$K$2:$K$1369,MATCH(472,'Transfer Engine'!$C$2:$C$1369,0)))</f>
        <v/>
      </c>
      <c r="L481" s="9">
        <f>IF(ISNA(MATCH(472,'Transfer Engine'!$C$2:$C$1369,0)),"",INDEX('Compliance Database'!$L$2:$L$1369,MATCH(472,'Transfer Engine'!$C$2:$C$1369,0)))</f>
        <v/>
      </c>
      <c r="M481" s="9">
        <f>IF(ISNA(MATCH(472,'Transfer Engine'!$C$2:$C$1369,0)),"",INDEX('Compliance Database'!$M$2:$M$1369,MATCH(472,'Transfer Engine'!$C$2:$C$1369,0)))</f>
        <v/>
      </c>
      <c r="N481" s="9">
        <f>IF(ISNA(MATCH(472,'Transfer Engine'!$C$2:$C$1369,0)),"",INDEX('Compliance Database'!$N$2:$N$1369,MATCH(472,'Transfer Engine'!$C$2:$C$1369,0)))</f>
        <v/>
      </c>
      <c r="O481" s="8">
        <f>IF(ISNA(MATCH(472,'Transfer Engine'!$C$2:$C$1369,0)),"",HYPERLINK(INDEX('Compliance Database'!$O$2:$O$1369,MATCH(472,'Transfer Engine'!$C$2:$C$1369,0)),"Open PDF"))</f>
        <v/>
      </c>
    </row>
    <row r="482" ht="188" customHeight="1">
      <c r="A482" s="8">
        <f>IF(ISNA(MATCH(473,'Transfer Engine'!$C$2:$C$1369,0)),"",INDEX('Compliance Database'!$A$2:$A$1369,MATCH(473,'Transfer Engine'!$C$2:$C$1369,0)))</f>
        <v/>
      </c>
      <c r="B482" s="8">
        <f>IF(ISNA(MATCH(473,'Transfer Engine'!$C$2:$C$1369,0)),"",INDEX('Compliance Database'!$B$2:$B$1369,MATCH(473,'Transfer Engine'!$C$2:$C$1369,0)))</f>
        <v/>
      </c>
      <c r="C482" s="8">
        <f>IF(ISNA(MATCH(473,'Transfer Engine'!$C$2:$C$1369,0)),"",INDEX('Compliance Database'!$C$2:$C$1369,MATCH(473,'Transfer Engine'!$C$2:$C$1369,0)))</f>
        <v/>
      </c>
      <c r="D482" s="9">
        <f>IF(ISNA(MATCH(473,'Transfer Engine'!$C$2:$C$1369,0)),"",INDEX('Compliance Database'!$D$2:$D$1369,MATCH(473,'Transfer Engine'!$C$2:$C$1369,0)))</f>
        <v/>
      </c>
      <c r="E482" s="8">
        <f>IF(ISNA(MATCH(473,'Transfer Engine'!$C$2:$C$1369,0)),"",INDEX('Compliance Database'!$E$2:$E$1369,MATCH(473,'Transfer Engine'!$C$2:$C$1369,0)))</f>
        <v/>
      </c>
      <c r="F482" s="8">
        <f>IF(ISNA(MATCH(473,'Transfer Engine'!$C$2:$C$1369,0)),"",INDEX('Compliance Database'!$F$2:$F$1369,MATCH(473,'Transfer Engine'!$C$2:$C$1369,0)))</f>
        <v/>
      </c>
      <c r="G482" s="8">
        <f>IF(ISNA(MATCH(473,'Transfer Engine'!$C$2:$C$1369,0)),"",INDEX('Compliance Database'!$G$2:$G$1369,MATCH(473,'Transfer Engine'!$C$2:$C$1369,0)))</f>
        <v/>
      </c>
      <c r="H482" s="9">
        <f>IF(ISNA(MATCH(473,'Transfer Engine'!$C$2:$C$1369,0)),"",INDEX('Compliance Database'!$H$2:$H$1369,MATCH(473,'Transfer Engine'!$C$2:$C$1369,0)))</f>
        <v/>
      </c>
      <c r="I482" s="9">
        <f>IF(ISNA(MATCH(473,'Transfer Engine'!$C$2:$C$1369,0)),"",INDEX('Compliance Database'!$I$2:$I$1369,MATCH(473,'Transfer Engine'!$C$2:$C$1369,0)))</f>
        <v/>
      </c>
      <c r="J482" s="8">
        <f>IF(ISNA(MATCH(473,'Transfer Engine'!$C$2:$C$1369,0)),"",INDEX('Compliance Database'!$J$2:$J$1369,MATCH(473,'Transfer Engine'!$C$2:$C$1369,0)))</f>
        <v/>
      </c>
      <c r="K482" s="9">
        <f>IF(ISNA(MATCH(473,'Transfer Engine'!$C$2:$C$1369,0)),"",INDEX('Compliance Database'!$K$2:$K$1369,MATCH(473,'Transfer Engine'!$C$2:$C$1369,0)))</f>
        <v/>
      </c>
      <c r="L482" s="9">
        <f>IF(ISNA(MATCH(473,'Transfer Engine'!$C$2:$C$1369,0)),"",INDEX('Compliance Database'!$L$2:$L$1369,MATCH(473,'Transfer Engine'!$C$2:$C$1369,0)))</f>
        <v/>
      </c>
      <c r="M482" s="9">
        <f>IF(ISNA(MATCH(473,'Transfer Engine'!$C$2:$C$1369,0)),"",INDEX('Compliance Database'!$M$2:$M$1369,MATCH(473,'Transfer Engine'!$C$2:$C$1369,0)))</f>
        <v/>
      </c>
      <c r="N482" s="9">
        <f>IF(ISNA(MATCH(473,'Transfer Engine'!$C$2:$C$1369,0)),"",INDEX('Compliance Database'!$N$2:$N$1369,MATCH(473,'Transfer Engine'!$C$2:$C$1369,0)))</f>
        <v/>
      </c>
      <c r="O482" s="8">
        <f>IF(ISNA(MATCH(473,'Transfer Engine'!$C$2:$C$1369,0)),"",HYPERLINK(INDEX('Compliance Database'!$O$2:$O$1369,MATCH(473,'Transfer Engine'!$C$2:$C$1369,0)),"Open PDF"))</f>
        <v/>
      </c>
    </row>
    <row r="483" ht="188" customHeight="1">
      <c r="A483" s="8">
        <f>IF(ISNA(MATCH(474,'Transfer Engine'!$C$2:$C$1369,0)),"",INDEX('Compliance Database'!$A$2:$A$1369,MATCH(474,'Transfer Engine'!$C$2:$C$1369,0)))</f>
        <v/>
      </c>
      <c r="B483" s="8">
        <f>IF(ISNA(MATCH(474,'Transfer Engine'!$C$2:$C$1369,0)),"",INDEX('Compliance Database'!$B$2:$B$1369,MATCH(474,'Transfer Engine'!$C$2:$C$1369,0)))</f>
        <v/>
      </c>
      <c r="C483" s="8">
        <f>IF(ISNA(MATCH(474,'Transfer Engine'!$C$2:$C$1369,0)),"",INDEX('Compliance Database'!$C$2:$C$1369,MATCH(474,'Transfer Engine'!$C$2:$C$1369,0)))</f>
        <v/>
      </c>
      <c r="D483" s="9">
        <f>IF(ISNA(MATCH(474,'Transfer Engine'!$C$2:$C$1369,0)),"",INDEX('Compliance Database'!$D$2:$D$1369,MATCH(474,'Transfer Engine'!$C$2:$C$1369,0)))</f>
        <v/>
      </c>
      <c r="E483" s="8">
        <f>IF(ISNA(MATCH(474,'Transfer Engine'!$C$2:$C$1369,0)),"",INDEX('Compliance Database'!$E$2:$E$1369,MATCH(474,'Transfer Engine'!$C$2:$C$1369,0)))</f>
        <v/>
      </c>
      <c r="F483" s="8">
        <f>IF(ISNA(MATCH(474,'Transfer Engine'!$C$2:$C$1369,0)),"",INDEX('Compliance Database'!$F$2:$F$1369,MATCH(474,'Transfer Engine'!$C$2:$C$1369,0)))</f>
        <v/>
      </c>
      <c r="G483" s="8">
        <f>IF(ISNA(MATCH(474,'Transfer Engine'!$C$2:$C$1369,0)),"",INDEX('Compliance Database'!$G$2:$G$1369,MATCH(474,'Transfer Engine'!$C$2:$C$1369,0)))</f>
        <v/>
      </c>
      <c r="H483" s="9">
        <f>IF(ISNA(MATCH(474,'Transfer Engine'!$C$2:$C$1369,0)),"",INDEX('Compliance Database'!$H$2:$H$1369,MATCH(474,'Transfer Engine'!$C$2:$C$1369,0)))</f>
        <v/>
      </c>
      <c r="I483" s="9">
        <f>IF(ISNA(MATCH(474,'Transfer Engine'!$C$2:$C$1369,0)),"",INDEX('Compliance Database'!$I$2:$I$1369,MATCH(474,'Transfer Engine'!$C$2:$C$1369,0)))</f>
        <v/>
      </c>
      <c r="J483" s="8">
        <f>IF(ISNA(MATCH(474,'Transfer Engine'!$C$2:$C$1369,0)),"",INDEX('Compliance Database'!$J$2:$J$1369,MATCH(474,'Transfer Engine'!$C$2:$C$1369,0)))</f>
        <v/>
      </c>
      <c r="K483" s="9">
        <f>IF(ISNA(MATCH(474,'Transfer Engine'!$C$2:$C$1369,0)),"",INDEX('Compliance Database'!$K$2:$K$1369,MATCH(474,'Transfer Engine'!$C$2:$C$1369,0)))</f>
        <v/>
      </c>
      <c r="L483" s="9">
        <f>IF(ISNA(MATCH(474,'Transfer Engine'!$C$2:$C$1369,0)),"",INDEX('Compliance Database'!$L$2:$L$1369,MATCH(474,'Transfer Engine'!$C$2:$C$1369,0)))</f>
        <v/>
      </c>
      <c r="M483" s="9">
        <f>IF(ISNA(MATCH(474,'Transfer Engine'!$C$2:$C$1369,0)),"",INDEX('Compliance Database'!$M$2:$M$1369,MATCH(474,'Transfer Engine'!$C$2:$C$1369,0)))</f>
        <v/>
      </c>
      <c r="N483" s="9">
        <f>IF(ISNA(MATCH(474,'Transfer Engine'!$C$2:$C$1369,0)),"",INDEX('Compliance Database'!$N$2:$N$1369,MATCH(474,'Transfer Engine'!$C$2:$C$1369,0)))</f>
        <v/>
      </c>
      <c r="O483" s="8">
        <f>IF(ISNA(MATCH(474,'Transfer Engine'!$C$2:$C$1369,0)),"",HYPERLINK(INDEX('Compliance Database'!$O$2:$O$1369,MATCH(474,'Transfer Engine'!$C$2:$C$1369,0)),"Open PDF"))</f>
        <v/>
      </c>
    </row>
    <row r="484" ht="188" customHeight="1">
      <c r="A484" s="8">
        <f>IF(ISNA(MATCH(475,'Transfer Engine'!$C$2:$C$1369,0)),"",INDEX('Compliance Database'!$A$2:$A$1369,MATCH(475,'Transfer Engine'!$C$2:$C$1369,0)))</f>
        <v/>
      </c>
      <c r="B484" s="8">
        <f>IF(ISNA(MATCH(475,'Transfer Engine'!$C$2:$C$1369,0)),"",INDEX('Compliance Database'!$B$2:$B$1369,MATCH(475,'Transfer Engine'!$C$2:$C$1369,0)))</f>
        <v/>
      </c>
      <c r="C484" s="8">
        <f>IF(ISNA(MATCH(475,'Transfer Engine'!$C$2:$C$1369,0)),"",INDEX('Compliance Database'!$C$2:$C$1369,MATCH(475,'Transfer Engine'!$C$2:$C$1369,0)))</f>
        <v/>
      </c>
      <c r="D484" s="9">
        <f>IF(ISNA(MATCH(475,'Transfer Engine'!$C$2:$C$1369,0)),"",INDEX('Compliance Database'!$D$2:$D$1369,MATCH(475,'Transfer Engine'!$C$2:$C$1369,0)))</f>
        <v/>
      </c>
      <c r="E484" s="8">
        <f>IF(ISNA(MATCH(475,'Transfer Engine'!$C$2:$C$1369,0)),"",INDEX('Compliance Database'!$E$2:$E$1369,MATCH(475,'Transfer Engine'!$C$2:$C$1369,0)))</f>
        <v/>
      </c>
      <c r="F484" s="8">
        <f>IF(ISNA(MATCH(475,'Transfer Engine'!$C$2:$C$1369,0)),"",INDEX('Compliance Database'!$F$2:$F$1369,MATCH(475,'Transfer Engine'!$C$2:$C$1369,0)))</f>
        <v/>
      </c>
      <c r="G484" s="8">
        <f>IF(ISNA(MATCH(475,'Transfer Engine'!$C$2:$C$1369,0)),"",INDEX('Compliance Database'!$G$2:$G$1369,MATCH(475,'Transfer Engine'!$C$2:$C$1369,0)))</f>
        <v/>
      </c>
      <c r="H484" s="9">
        <f>IF(ISNA(MATCH(475,'Transfer Engine'!$C$2:$C$1369,0)),"",INDEX('Compliance Database'!$H$2:$H$1369,MATCH(475,'Transfer Engine'!$C$2:$C$1369,0)))</f>
        <v/>
      </c>
      <c r="I484" s="9">
        <f>IF(ISNA(MATCH(475,'Transfer Engine'!$C$2:$C$1369,0)),"",INDEX('Compliance Database'!$I$2:$I$1369,MATCH(475,'Transfer Engine'!$C$2:$C$1369,0)))</f>
        <v/>
      </c>
      <c r="J484" s="8">
        <f>IF(ISNA(MATCH(475,'Transfer Engine'!$C$2:$C$1369,0)),"",INDEX('Compliance Database'!$J$2:$J$1369,MATCH(475,'Transfer Engine'!$C$2:$C$1369,0)))</f>
        <v/>
      </c>
      <c r="K484" s="9">
        <f>IF(ISNA(MATCH(475,'Transfer Engine'!$C$2:$C$1369,0)),"",INDEX('Compliance Database'!$K$2:$K$1369,MATCH(475,'Transfer Engine'!$C$2:$C$1369,0)))</f>
        <v/>
      </c>
      <c r="L484" s="9">
        <f>IF(ISNA(MATCH(475,'Transfer Engine'!$C$2:$C$1369,0)),"",INDEX('Compliance Database'!$L$2:$L$1369,MATCH(475,'Transfer Engine'!$C$2:$C$1369,0)))</f>
        <v/>
      </c>
      <c r="M484" s="9">
        <f>IF(ISNA(MATCH(475,'Transfer Engine'!$C$2:$C$1369,0)),"",INDEX('Compliance Database'!$M$2:$M$1369,MATCH(475,'Transfer Engine'!$C$2:$C$1369,0)))</f>
        <v/>
      </c>
      <c r="N484" s="9">
        <f>IF(ISNA(MATCH(475,'Transfer Engine'!$C$2:$C$1369,0)),"",INDEX('Compliance Database'!$N$2:$N$1369,MATCH(475,'Transfer Engine'!$C$2:$C$1369,0)))</f>
        <v/>
      </c>
      <c r="O484" s="8">
        <f>IF(ISNA(MATCH(475,'Transfer Engine'!$C$2:$C$1369,0)),"",HYPERLINK(INDEX('Compliance Database'!$O$2:$O$1369,MATCH(475,'Transfer Engine'!$C$2:$C$1369,0)),"Open PDF"))</f>
        <v/>
      </c>
    </row>
    <row r="485" ht="188" customHeight="1">
      <c r="A485" s="8">
        <f>IF(ISNA(MATCH(476,'Transfer Engine'!$C$2:$C$1369,0)),"",INDEX('Compliance Database'!$A$2:$A$1369,MATCH(476,'Transfer Engine'!$C$2:$C$1369,0)))</f>
        <v/>
      </c>
      <c r="B485" s="8">
        <f>IF(ISNA(MATCH(476,'Transfer Engine'!$C$2:$C$1369,0)),"",INDEX('Compliance Database'!$B$2:$B$1369,MATCH(476,'Transfer Engine'!$C$2:$C$1369,0)))</f>
        <v/>
      </c>
      <c r="C485" s="8">
        <f>IF(ISNA(MATCH(476,'Transfer Engine'!$C$2:$C$1369,0)),"",INDEX('Compliance Database'!$C$2:$C$1369,MATCH(476,'Transfer Engine'!$C$2:$C$1369,0)))</f>
        <v/>
      </c>
      <c r="D485" s="9">
        <f>IF(ISNA(MATCH(476,'Transfer Engine'!$C$2:$C$1369,0)),"",INDEX('Compliance Database'!$D$2:$D$1369,MATCH(476,'Transfer Engine'!$C$2:$C$1369,0)))</f>
        <v/>
      </c>
      <c r="E485" s="8">
        <f>IF(ISNA(MATCH(476,'Transfer Engine'!$C$2:$C$1369,0)),"",INDEX('Compliance Database'!$E$2:$E$1369,MATCH(476,'Transfer Engine'!$C$2:$C$1369,0)))</f>
        <v/>
      </c>
      <c r="F485" s="8">
        <f>IF(ISNA(MATCH(476,'Transfer Engine'!$C$2:$C$1369,0)),"",INDEX('Compliance Database'!$F$2:$F$1369,MATCH(476,'Transfer Engine'!$C$2:$C$1369,0)))</f>
        <v/>
      </c>
      <c r="G485" s="8">
        <f>IF(ISNA(MATCH(476,'Transfer Engine'!$C$2:$C$1369,0)),"",INDEX('Compliance Database'!$G$2:$G$1369,MATCH(476,'Transfer Engine'!$C$2:$C$1369,0)))</f>
        <v/>
      </c>
      <c r="H485" s="9">
        <f>IF(ISNA(MATCH(476,'Transfer Engine'!$C$2:$C$1369,0)),"",INDEX('Compliance Database'!$H$2:$H$1369,MATCH(476,'Transfer Engine'!$C$2:$C$1369,0)))</f>
        <v/>
      </c>
      <c r="I485" s="9">
        <f>IF(ISNA(MATCH(476,'Transfer Engine'!$C$2:$C$1369,0)),"",INDEX('Compliance Database'!$I$2:$I$1369,MATCH(476,'Transfer Engine'!$C$2:$C$1369,0)))</f>
        <v/>
      </c>
      <c r="J485" s="8">
        <f>IF(ISNA(MATCH(476,'Transfer Engine'!$C$2:$C$1369,0)),"",INDEX('Compliance Database'!$J$2:$J$1369,MATCH(476,'Transfer Engine'!$C$2:$C$1369,0)))</f>
        <v/>
      </c>
      <c r="K485" s="9">
        <f>IF(ISNA(MATCH(476,'Transfer Engine'!$C$2:$C$1369,0)),"",INDEX('Compliance Database'!$K$2:$K$1369,MATCH(476,'Transfer Engine'!$C$2:$C$1369,0)))</f>
        <v/>
      </c>
      <c r="L485" s="9">
        <f>IF(ISNA(MATCH(476,'Transfer Engine'!$C$2:$C$1369,0)),"",INDEX('Compliance Database'!$L$2:$L$1369,MATCH(476,'Transfer Engine'!$C$2:$C$1369,0)))</f>
        <v/>
      </c>
      <c r="M485" s="9">
        <f>IF(ISNA(MATCH(476,'Transfer Engine'!$C$2:$C$1369,0)),"",INDEX('Compliance Database'!$M$2:$M$1369,MATCH(476,'Transfer Engine'!$C$2:$C$1369,0)))</f>
        <v/>
      </c>
      <c r="N485" s="9">
        <f>IF(ISNA(MATCH(476,'Transfer Engine'!$C$2:$C$1369,0)),"",INDEX('Compliance Database'!$N$2:$N$1369,MATCH(476,'Transfer Engine'!$C$2:$C$1369,0)))</f>
        <v/>
      </c>
      <c r="O485" s="8">
        <f>IF(ISNA(MATCH(476,'Transfer Engine'!$C$2:$C$1369,0)),"",HYPERLINK(INDEX('Compliance Database'!$O$2:$O$1369,MATCH(476,'Transfer Engine'!$C$2:$C$1369,0)),"Open PDF"))</f>
        <v/>
      </c>
    </row>
    <row r="486" ht="188" customHeight="1">
      <c r="A486" s="8">
        <f>IF(ISNA(MATCH(477,'Transfer Engine'!$C$2:$C$1369,0)),"",INDEX('Compliance Database'!$A$2:$A$1369,MATCH(477,'Transfer Engine'!$C$2:$C$1369,0)))</f>
        <v/>
      </c>
      <c r="B486" s="8">
        <f>IF(ISNA(MATCH(477,'Transfer Engine'!$C$2:$C$1369,0)),"",INDEX('Compliance Database'!$B$2:$B$1369,MATCH(477,'Transfer Engine'!$C$2:$C$1369,0)))</f>
        <v/>
      </c>
      <c r="C486" s="8">
        <f>IF(ISNA(MATCH(477,'Transfer Engine'!$C$2:$C$1369,0)),"",INDEX('Compliance Database'!$C$2:$C$1369,MATCH(477,'Transfer Engine'!$C$2:$C$1369,0)))</f>
        <v/>
      </c>
      <c r="D486" s="9">
        <f>IF(ISNA(MATCH(477,'Transfer Engine'!$C$2:$C$1369,0)),"",INDEX('Compliance Database'!$D$2:$D$1369,MATCH(477,'Transfer Engine'!$C$2:$C$1369,0)))</f>
        <v/>
      </c>
      <c r="E486" s="8">
        <f>IF(ISNA(MATCH(477,'Transfer Engine'!$C$2:$C$1369,0)),"",INDEX('Compliance Database'!$E$2:$E$1369,MATCH(477,'Transfer Engine'!$C$2:$C$1369,0)))</f>
        <v/>
      </c>
      <c r="F486" s="8">
        <f>IF(ISNA(MATCH(477,'Transfer Engine'!$C$2:$C$1369,0)),"",INDEX('Compliance Database'!$F$2:$F$1369,MATCH(477,'Transfer Engine'!$C$2:$C$1369,0)))</f>
        <v/>
      </c>
      <c r="G486" s="8">
        <f>IF(ISNA(MATCH(477,'Transfer Engine'!$C$2:$C$1369,0)),"",INDEX('Compliance Database'!$G$2:$G$1369,MATCH(477,'Transfer Engine'!$C$2:$C$1369,0)))</f>
        <v/>
      </c>
      <c r="H486" s="9">
        <f>IF(ISNA(MATCH(477,'Transfer Engine'!$C$2:$C$1369,0)),"",INDEX('Compliance Database'!$H$2:$H$1369,MATCH(477,'Transfer Engine'!$C$2:$C$1369,0)))</f>
        <v/>
      </c>
      <c r="I486" s="9">
        <f>IF(ISNA(MATCH(477,'Transfer Engine'!$C$2:$C$1369,0)),"",INDEX('Compliance Database'!$I$2:$I$1369,MATCH(477,'Transfer Engine'!$C$2:$C$1369,0)))</f>
        <v/>
      </c>
      <c r="J486" s="8">
        <f>IF(ISNA(MATCH(477,'Transfer Engine'!$C$2:$C$1369,0)),"",INDEX('Compliance Database'!$J$2:$J$1369,MATCH(477,'Transfer Engine'!$C$2:$C$1369,0)))</f>
        <v/>
      </c>
      <c r="K486" s="9">
        <f>IF(ISNA(MATCH(477,'Transfer Engine'!$C$2:$C$1369,0)),"",INDEX('Compliance Database'!$K$2:$K$1369,MATCH(477,'Transfer Engine'!$C$2:$C$1369,0)))</f>
        <v/>
      </c>
      <c r="L486" s="9">
        <f>IF(ISNA(MATCH(477,'Transfer Engine'!$C$2:$C$1369,0)),"",INDEX('Compliance Database'!$L$2:$L$1369,MATCH(477,'Transfer Engine'!$C$2:$C$1369,0)))</f>
        <v/>
      </c>
      <c r="M486" s="9">
        <f>IF(ISNA(MATCH(477,'Transfer Engine'!$C$2:$C$1369,0)),"",INDEX('Compliance Database'!$M$2:$M$1369,MATCH(477,'Transfer Engine'!$C$2:$C$1369,0)))</f>
        <v/>
      </c>
      <c r="N486" s="9">
        <f>IF(ISNA(MATCH(477,'Transfer Engine'!$C$2:$C$1369,0)),"",INDEX('Compliance Database'!$N$2:$N$1369,MATCH(477,'Transfer Engine'!$C$2:$C$1369,0)))</f>
        <v/>
      </c>
      <c r="O486" s="8">
        <f>IF(ISNA(MATCH(477,'Transfer Engine'!$C$2:$C$1369,0)),"",HYPERLINK(INDEX('Compliance Database'!$O$2:$O$1369,MATCH(477,'Transfer Engine'!$C$2:$C$1369,0)),"Open PDF"))</f>
        <v/>
      </c>
    </row>
    <row r="487" ht="188" customHeight="1">
      <c r="A487" s="8">
        <f>IF(ISNA(MATCH(478,'Transfer Engine'!$C$2:$C$1369,0)),"",INDEX('Compliance Database'!$A$2:$A$1369,MATCH(478,'Transfer Engine'!$C$2:$C$1369,0)))</f>
        <v/>
      </c>
      <c r="B487" s="8">
        <f>IF(ISNA(MATCH(478,'Transfer Engine'!$C$2:$C$1369,0)),"",INDEX('Compliance Database'!$B$2:$B$1369,MATCH(478,'Transfer Engine'!$C$2:$C$1369,0)))</f>
        <v/>
      </c>
      <c r="C487" s="8">
        <f>IF(ISNA(MATCH(478,'Transfer Engine'!$C$2:$C$1369,0)),"",INDEX('Compliance Database'!$C$2:$C$1369,MATCH(478,'Transfer Engine'!$C$2:$C$1369,0)))</f>
        <v/>
      </c>
      <c r="D487" s="9">
        <f>IF(ISNA(MATCH(478,'Transfer Engine'!$C$2:$C$1369,0)),"",INDEX('Compliance Database'!$D$2:$D$1369,MATCH(478,'Transfer Engine'!$C$2:$C$1369,0)))</f>
        <v/>
      </c>
      <c r="E487" s="8">
        <f>IF(ISNA(MATCH(478,'Transfer Engine'!$C$2:$C$1369,0)),"",INDEX('Compliance Database'!$E$2:$E$1369,MATCH(478,'Transfer Engine'!$C$2:$C$1369,0)))</f>
        <v/>
      </c>
      <c r="F487" s="8">
        <f>IF(ISNA(MATCH(478,'Transfer Engine'!$C$2:$C$1369,0)),"",INDEX('Compliance Database'!$F$2:$F$1369,MATCH(478,'Transfer Engine'!$C$2:$C$1369,0)))</f>
        <v/>
      </c>
      <c r="G487" s="8">
        <f>IF(ISNA(MATCH(478,'Transfer Engine'!$C$2:$C$1369,0)),"",INDEX('Compliance Database'!$G$2:$G$1369,MATCH(478,'Transfer Engine'!$C$2:$C$1369,0)))</f>
        <v/>
      </c>
      <c r="H487" s="9">
        <f>IF(ISNA(MATCH(478,'Transfer Engine'!$C$2:$C$1369,0)),"",INDEX('Compliance Database'!$H$2:$H$1369,MATCH(478,'Transfer Engine'!$C$2:$C$1369,0)))</f>
        <v/>
      </c>
      <c r="I487" s="9">
        <f>IF(ISNA(MATCH(478,'Transfer Engine'!$C$2:$C$1369,0)),"",INDEX('Compliance Database'!$I$2:$I$1369,MATCH(478,'Transfer Engine'!$C$2:$C$1369,0)))</f>
        <v/>
      </c>
      <c r="J487" s="8">
        <f>IF(ISNA(MATCH(478,'Transfer Engine'!$C$2:$C$1369,0)),"",INDEX('Compliance Database'!$J$2:$J$1369,MATCH(478,'Transfer Engine'!$C$2:$C$1369,0)))</f>
        <v/>
      </c>
      <c r="K487" s="9">
        <f>IF(ISNA(MATCH(478,'Transfer Engine'!$C$2:$C$1369,0)),"",INDEX('Compliance Database'!$K$2:$K$1369,MATCH(478,'Transfer Engine'!$C$2:$C$1369,0)))</f>
        <v/>
      </c>
      <c r="L487" s="9">
        <f>IF(ISNA(MATCH(478,'Transfer Engine'!$C$2:$C$1369,0)),"",INDEX('Compliance Database'!$L$2:$L$1369,MATCH(478,'Transfer Engine'!$C$2:$C$1369,0)))</f>
        <v/>
      </c>
      <c r="M487" s="9">
        <f>IF(ISNA(MATCH(478,'Transfer Engine'!$C$2:$C$1369,0)),"",INDEX('Compliance Database'!$M$2:$M$1369,MATCH(478,'Transfer Engine'!$C$2:$C$1369,0)))</f>
        <v/>
      </c>
      <c r="N487" s="9">
        <f>IF(ISNA(MATCH(478,'Transfer Engine'!$C$2:$C$1369,0)),"",INDEX('Compliance Database'!$N$2:$N$1369,MATCH(478,'Transfer Engine'!$C$2:$C$1369,0)))</f>
        <v/>
      </c>
      <c r="O487" s="8">
        <f>IF(ISNA(MATCH(478,'Transfer Engine'!$C$2:$C$1369,0)),"",HYPERLINK(INDEX('Compliance Database'!$O$2:$O$1369,MATCH(478,'Transfer Engine'!$C$2:$C$1369,0)),"Open PDF"))</f>
        <v/>
      </c>
    </row>
    <row r="488" ht="188" customHeight="1">
      <c r="A488" s="8">
        <f>IF(ISNA(MATCH(479,'Transfer Engine'!$C$2:$C$1369,0)),"",INDEX('Compliance Database'!$A$2:$A$1369,MATCH(479,'Transfer Engine'!$C$2:$C$1369,0)))</f>
        <v/>
      </c>
      <c r="B488" s="8">
        <f>IF(ISNA(MATCH(479,'Transfer Engine'!$C$2:$C$1369,0)),"",INDEX('Compliance Database'!$B$2:$B$1369,MATCH(479,'Transfer Engine'!$C$2:$C$1369,0)))</f>
        <v/>
      </c>
      <c r="C488" s="8">
        <f>IF(ISNA(MATCH(479,'Transfer Engine'!$C$2:$C$1369,0)),"",INDEX('Compliance Database'!$C$2:$C$1369,MATCH(479,'Transfer Engine'!$C$2:$C$1369,0)))</f>
        <v/>
      </c>
      <c r="D488" s="9">
        <f>IF(ISNA(MATCH(479,'Transfer Engine'!$C$2:$C$1369,0)),"",INDEX('Compliance Database'!$D$2:$D$1369,MATCH(479,'Transfer Engine'!$C$2:$C$1369,0)))</f>
        <v/>
      </c>
      <c r="E488" s="8">
        <f>IF(ISNA(MATCH(479,'Transfer Engine'!$C$2:$C$1369,0)),"",INDEX('Compliance Database'!$E$2:$E$1369,MATCH(479,'Transfer Engine'!$C$2:$C$1369,0)))</f>
        <v/>
      </c>
      <c r="F488" s="8">
        <f>IF(ISNA(MATCH(479,'Transfer Engine'!$C$2:$C$1369,0)),"",INDEX('Compliance Database'!$F$2:$F$1369,MATCH(479,'Transfer Engine'!$C$2:$C$1369,0)))</f>
        <v/>
      </c>
      <c r="G488" s="8">
        <f>IF(ISNA(MATCH(479,'Transfer Engine'!$C$2:$C$1369,0)),"",INDEX('Compliance Database'!$G$2:$G$1369,MATCH(479,'Transfer Engine'!$C$2:$C$1369,0)))</f>
        <v/>
      </c>
      <c r="H488" s="9">
        <f>IF(ISNA(MATCH(479,'Transfer Engine'!$C$2:$C$1369,0)),"",INDEX('Compliance Database'!$H$2:$H$1369,MATCH(479,'Transfer Engine'!$C$2:$C$1369,0)))</f>
        <v/>
      </c>
      <c r="I488" s="9">
        <f>IF(ISNA(MATCH(479,'Transfer Engine'!$C$2:$C$1369,0)),"",INDEX('Compliance Database'!$I$2:$I$1369,MATCH(479,'Transfer Engine'!$C$2:$C$1369,0)))</f>
        <v/>
      </c>
      <c r="J488" s="8">
        <f>IF(ISNA(MATCH(479,'Transfer Engine'!$C$2:$C$1369,0)),"",INDEX('Compliance Database'!$J$2:$J$1369,MATCH(479,'Transfer Engine'!$C$2:$C$1369,0)))</f>
        <v/>
      </c>
      <c r="K488" s="9">
        <f>IF(ISNA(MATCH(479,'Transfer Engine'!$C$2:$C$1369,0)),"",INDEX('Compliance Database'!$K$2:$K$1369,MATCH(479,'Transfer Engine'!$C$2:$C$1369,0)))</f>
        <v/>
      </c>
      <c r="L488" s="9">
        <f>IF(ISNA(MATCH(479,'Transfer Engine'!$C$2:$C$1369,0)),"",INDEX('Compliance Database'!$L$2:$L$1369,MATCH(479,'Transfer Engine'!$C$2:$C$1369,0)))</f>
        <v/>
      </c>
      <c r="M488" s="9">
        <f>IF(ISNA(MATCH(479,'Transfer Engine'!$C$2:$C$1369,0)),"",INDEX('Compliance Database'!$M$2:$M$1369,MATCH(479,'Transfer Engine'!$C$2:$C$1369,0)))</f>
        <v/>
      </c>
      <c r="N488" s="9">
        <f>IF(ISNA(MATCH(479,'Transfer Engine'!$C$2:$C$1369,0)),"",INDEX('Compliance Database'!$N$2:$N$1369,MATCH(479,'Transfer Engine'!$C$2:$C$1369,0)))</f>
        <v/>
      </c>
      <c r="O488" s="8">
        <f>IF(ISNA(MATCH(479,'Transfer Engine'!$C$2:$C$1369,0)),"",HYPERLINK(INDEX('Compliance Database'!$O$2:$O$1369,MATCH(479,'Transfer Engine'!$C$2:$C$1369,0)),"Open PDF"))</f>
        <v/>
      </c>
    </row>
    <row r="489" ht="188" customHeight="1">
      <c r="A489" s="8">
        <f>IF(ISNA(MATCH(480,'Transfer Engine'!$C$2:$C$1369,0)),"",INDEX('Compliance Database'!$A$2:$A$1369,MATCH(480,'Transfer Engine'!$C$2:$C$1369,0)))</f>
        <v/>
      </c>
      <c r="B489" s="8">
        <f>IF(ISNA(MATCH(480,'Transfer Engine'!$C$2:$C$1369,0)),"",INDEX('Compliance Database'!$B$2:$B$1369,MATCH(480,'Transfer Engine'!$C$2:$C$1369,0)))</f>
        <v/>
      </c>
      <c r="C489" s="8">
        <f>IF(ISNA(MATCH(480,'Transfer Engine'!$C$2:$C$1369,0)),"",INDEX('Compliance Database'!$C$2:$C$1369,MATCH(480,'Transfer Engine'!$C$2:$C$1369,0)))</f>
        <v/>
      </c>
      <c r="D489" s="9">
        <f>IF(ISNA(MATCH(480,'Transfer Engine'!$C$2:$C$1369,0)),"",INDEX('Compliance Database'!$D$2:$D$1369,MATCH(480,'Transfer Engine'!$C$2:$C$1369,0)))</f>
        <v/>
      </c>
      <c r="E489" s="8">
        <f>IF(ISNA(MATCH(480,'Transfer Engine'!$C$2:$C$1369,0)),"",INDEX('Compliance Database'!$E$2:$E$1369,MATCH(480,'Transfer Engine'!$C$2:$C$1369,0)))</f>
        <v/>
      </c>
      <c r="F489" s="8">
        <f>IF(ISNA(MATCH(480,'Transfer Engine'!$C$2:$C$1369,0)),"",INDEX('Compliance Database'!$F$2:$F$1369,MATCH(480,'Transfer Engine'!$C$2:$C$1369,0)))</f>
        <v/>
      </c>
      <c r="G489" s="8">
        <f>IF(ISNA(MATCH(480,'Transfer Engine'!$C$2:$C$1369,0)),"",INDEX('Compliance Database'!$G$2:$G$1369,MATCH(480,'Transfer Engine'!$C$2:$C$1369,0)))</f>
        <v/>
      </c>
      <c r="H489" s="9">
        <f>IF(ISNA(MATCH(480,'Transfer Engine'!$C$2:$C$1369,0)),"",INDEX('Compliance Database'!$H$2:$H$1369,MATCH(480,'Transfer Engine'!$C$2:$C$1369,0)))</f>
        <v/>
      </c>
      <c r="I489" s="9">
        <f>IF(ISNA(MATCH(480,'Transfer Engine'!$C$2:$C$1369,0)),"",INDEX('Compliance Database'!$I$2:$I$1369,MATCH(480,'Transfer Engine'!$C$2:$C$1369,0)))</f>
        <v/>
      </c>
      <c r="J489" s="8">
        <f>IF(ISNA(MATCH(480,'Transfer Engine'!$C$2:$C$1369,0)),"",INDEX('Compliance Database'!$J$2:$J$1369,MATCH(480,'Transfer Engine'!$C$2:$C$1369,0)))</f>
        <v/>
      </c>
      <c r="K489" s="9">
        <f>IF(ISNA(MATCH(480,'Transfer Engine'!$C$2:$C$1369,0)),"",INDEX('Compliance Database'!$K$2:$K$1369,MATCH(480,'Transfer Engine'!$C$2:$C$1369,0)))</f>
        <v/>
      </c>
      <c r="L489" s="9">
        <f>IF(ISNA(MATCH(480,'Transfer Engine'!$C$2:$C$1369,0)),"",INDEX('Compliance Database'!$L$2:$L$1369,MATCH(480,'Transfer Engine'!$C$2:$C$1369,0)))</f>
        <v/>
      </c>
      <c r="M489" s="9">
        <f>IF(ISNA(MATCH(480,'Transfer Engine'!$C$2:$C$1369,0)),"",INDEX('Compliance Database'!$M$2:$M$1369,MATCH(480,'Transfer Engine'!$C$2:$C$1369,0)))</f>
        <v/>
      </c>
      <c r="N489" s="9">
        <f>IF(ISNA(MATCH(480,'Transfer Engine'!$C$2:$C$1369,0)),"",INDEX('Compliance Database'!$N$2:$N$1369,MATCH(480,'Transfer Engine'!$C$2:$C$1369,0)))</f>
        <v/>
      </c>
      <c r="O489" s="8">
        <f>IF(ISNA(MATCH(480,'Transfer Engine'!$C$2:$C$1369,0)),"",HYPERLINK(INDEX('Compliance Database'!$O$2:$O$1369,MATCH(480,'Transfer Engine'!$C$2:$C$1369,0)),"Open PDF"))</f>
        <v/>
      </c>
    </row>
    <row r="490" ht="188" customHeight="1">
      <c r="A490" s="8">
        <f>IF(ISNA(MATCH(481,'Transfer Engine'!$C$2:$C$1369,0)),"",INDEX('Compliance Database'!$A$2:$A$1369,MATCH(481,'Transfer Engine'!$C$2:$C$1369,0)))</f>
        <v/>
      </c>
      <c r="B490" s="8">
        <f>IF(ISNA(MATCH(481,'Transfer Engine'!$C$2:$C$1369,0)),"",INDEX('Compliance Database'!$B$2:$B$1369,MATCH(481,'Transfer Engine'!$C$2:$C$1369,0)))</f>
        <v/>
      </c>
      <c r="C490" s="8">
        <f>IF(ISNA(MATCH(481,'Transfer Engine'!$C$2:$C$1369,0)),"",INDEX('Compliance Database'!$C$2:$C$1369,MATCH(481,'Transfer Engine'!$C$2:$C$1369,0)))</f>
        <v/>
      </c>
      <c r="D490" s="9">
        <f>IF(ISNA(MATCH(481,'Transfer Engine'!$C$2:$C$1369,0)),"",INDEX('Compliance Database'!$D$2:$D$1369,MATCH(481,'Transfer Engine'!$C$2:$C$1369,0)))</f>
        <v/>
      </c>
      <c r="E490" s="8">
        <f>IF(ISNA(MATCH(481,'Transfer Engine'!$C$2:$C$1369,0)),"",INDEX('Compliance Database'!$E$2:$E$1369,MATCH(481,'Transfer Engine'!$C$2:$C$1369,0)))</f>
        <v/>
      </c>
      <c r="F490" s="8">
        <f>IF(ISNA(MATCH(481,'Transfer Engine'!$C$2:$C$1369,0)),"",INDEX('Compliance Database'!$F$2:$F$1369,MATCH(481,'Transfer Engine'!$C$2:$C$1369,0)))</f>
        <v/>
      </c>
      <c r="G490" s="8">
        <f>IF(ISNA(MATCH(481,'Transfer Engine'!$C$2:$C$1369,0)),"",INDEX('Compliance Database'!$G$2:$G$1369,MATCH(481,'Transfer Engine'!$C$2:$C$1369,0)))</f>
        <v/>
      </c>
      <c r="H490" s="9">
        <f>IF(ISNA(MATCH(481,'Transfer Engine'!$C$2:$C$1369,0)),"",INDEX('Compliance Database'!$H$2:$H$1369,MATCH(481,'Transfer Engine'!$C$2:$C$1369,0)))</f>
        <v/>
      </c>
      <c r="I490" s="9">
        <f>IF(ISNA(MATCH(481,'Transfer Engine'!$C$2:$C$1369,0)),"",INDEX('Compliance Database'!$I$2:$I$1369,MATCH(481,'Transfer Engine'!$C$2:$C$1369,0)))</f>
        <v/>
      </c>
      <c r="J490" s="8">
        <f>IF(ISNA(MATCH(481,'Transfer Engine'!$C$2:$C$1369,0)),"",INDEX('Compliance Database'!$J$2:$J$1369,MATCH(481,'Transfer Engine'!$C$2:$C$1369,0)))</f>
        <v/>
      </c>
      <c r="K490" s="9">
        <f>IF(ISNA(MATCH(481,'Transfer Engine'!$C$2:$C$1369,0)),"",INDEX('Compliance Database'!$K$2:$K$1369,MATCH(481,'Transfer Engine'!$C$2:$C$1369,0)))</f>
        <v/>
      </c>
      <c r="L490" s="9">
        <f>IF(ISNA(MATCH(481,'Transfer Engine'!$C$2:$C$1369,0)),"",INDEX('Compliance Database'!$L$2:$L$1369,MATCH(481,'Transfer Engine'!$C$2:$C$1369,0)))</f>
        <v/>
      </c>
      <c r="M490" s="9">
        <f>IF(ISNA(MATCH(481,'Transfer Engine'!$C$2:$C$1369,0)),"",INDEX('Compliance Database'!$M$2:$M$1369,MATCH(481,'Transfer Engine'!$C$2:$C$1369,0)))</f>
        <v/>
      </c>
      <c r="N490" s="9">
        <f>IF(ISNA(MATCH(481,'Transfer Engine'!$C$2:$C$1369,0)),"",INDEX('Compliance Database'!$N$2:$N$1369,MATCH(481,'Transfer Engine'!$C$2:$C$1369,0)))</f>
        <v/>
      </c>
      <c r="O490" s="8">
        <f>IF(ISNA(MATCH(481,'Transfer Engine'!$C$2:$C$1369,0)),"",HYPERLINK(INDEX('Compliance Database'!$O$2:$O$1369,MATCH(481,'Transfer Engine'!$C$2:$C$1369,0)),"Open PDF"))</f>
        <v/>
      </c>
    </row>
    <row r="491" ht="188" customHeight="1">
      <c r="A491" s="8">
        <f>IF(ISNA(MATCH(482,'Transfer Engine'!$C$2:$C$1369,0)),"",INDEX('Compliance Database'!$A$2:$A$1369,MATCH(482,'Transfer Engine'!$C$2:$C$1369,0)))</f>
        <v/>
      </c>
      <c r="B491" s="8">
        <f>IF(ISNA(MATCH(482,'Transfer Engine'!$C$2:$C$1369,0)),"",INDEX('Compliance Database'!$B$2:$B$1369,MATCH(482,'Transfer Engine'!$C$2:$C$1369,0)))</f>
        <v/>
      </c>
      <c r="C491" s="8">
        <f>IF(ISNA(MATCH(482,'Transfer Engine'!$C$2:$C$1369,0)),"",INDEX('Compliance Database'!$C$2:$C$1369,MATCH(482,'Transfer Engine'!$C$2:$C$1369,0)))</f>
        <v/>
      </c>
      <c r="D491" s="9">
        <f>IF(ISNA(MATCH(482,'Transfer Engine'!$C$2:$C$1369,0)),"",INDEX('Compliance Database'!$D$2:$D$1369,MATCH(482,'Transfer Engine'!$C$2:$C$1369,0)))</f>
        <v/>
      </c>
      <c r="E491" s="8">
        <f>IF(ISNA(MATCH(482,'Transfer Engine'!$C$2:$C$1369,0)),"",INDEX('Compliance Database'!$E$2:$E$1369,MATCH(482,'Transfer Engine'!$C$2:$C$1369,0)))</f>
        <v/>
      </c>
      <c r="F491" s="8">
        <f>IF(ISNA(MATCH(482,'Transfer Engine'!$C$2:$C$1369,0)),"",INDEX('Compliance Database'!$F$2:$F$1369,MATCH(482,'Transfer Engine'!$C$2:$C$1369,0)))</f>
        <v/>
      </c>
      <c r="G491" s="8">
        <f>IF(ISNA(MATCH(482,'Transfer Engine'!$C$2:$C$1369,0)),"",INDEX('Compliance Database'!$G$2:$G$1369,MATCH(482,'Transfer Engine'!$C$2:$C$1369,0)))</f>
        <v/>
      </c>
      <c r="H491" s="9">
        <f>IF(ISNA(MATCH(482,'Transfer Engine'!$C$2:$C$1369,0)),"",INDEX('Compliance Database'!$H$2:$H$1369,MATCH(482,'Transfer Engine'!$C$2:$C$1369,0)))</f>
        <v/>
      </c>
      <c r="I491" s="9">
        <f>IF(ISNA(MATCH(482,'Transfer Engine'!$C$2:$C$1369,0)),"",INDEX('Compliance Database'!$I$2:$I$1369,MATCH(482,'Transfer Engine'!$C$2:$C$1369,0)))</f>
        <v/>
      </c>
      <c r="J491" s="8">
        <f>IF(ISNA(MATCH(482,'Transfer Engine'!$C$2:$C$1369,0)),"",INDEX('Compliance Database'!$J$2:$J$1369,MATCH(482,'Transfer Engine'!$C$2:$C$1369,0)))</f>
        <v/>
      </c>
      <c r="K491" s="9">
        <f>IF(ISNA(MATCH(482,'Transfer Engine'!$C$2:$C$1369,0)),"",INDEX('Compliance Database'!$K$2:$K$1369,MATCH(482,'Transfer Engine'!$C$2:$C$1369,0)))</f>
        <v/>
      </c>
      <c r="L491" s="9">
        <f>IF(ISNA(MATCH(482,'Transfer Engine'!$C$2:$C$1369,0)),"",INDEX('Compliance Database'!$L$2:$L$1369,MATCH(482,'Transfer Engine'!$C$2:$C$1369,0)))</f>
        <v/>
      </c>
      <c r="M491" s="9">
        <f>IF(ISNA(MATCH(482,'Transfer Engine'!$C$2:$C$1369,0)),"",INDEX('Compliance Database'!$M$2:$M$1369,MATCH(482,'Transfer Engine'!$C$2:$C$1369,0)))</f>
        <v/>
      </c>
      <c r="N491" s="9">
        <f>IF(ISNA(MATCH(482,'Transfer Engine'!$C$2:$C$1369,0)),"",INDEX('Compliance Database'!$N$2:$N$1369,MATCH(482,'Transfer Engine'!$C$2:$C$1369,0)))</f>
        <v/>
      </c>
      <c r="O491" s="8">
        <f>IF(ISNA(MATCH(482,'Transfer Engine'!$C$2:$C$1369,0)),"",HYPERLINK(INDEX('Compliance Database'!$O$2:$O$1369,MATCH(482,'Transfer Engine'!$C$2:$C$1369,0)),"Open PDF"))</f>
        <v/>
      </c>
    </row>
    <row r="492" ht="188" customHeight="1">
      <c r="A492" s="8">
        <f>IF(ISNA(MATCH(483,'Transfer Engine'!$C$2:$C$1369,0)),"",INDEX('Compliance Database'!$A$2:$A$1369,MATCH(483,'Transfer Engine'!$C$2:$C$1369,0)))</f>
        <v/>
      </c>
      <c r="B492" s="8">
        <f>IF(ISNA(MATCH(483,'Transfer Engine'!$C$2:$C$1369,0)),"",INDEX('Compliance Database'!$B$2:$B$1369,MATCH(483,'Transfer Engine'!$C$2:$C$1369,0)))</f>
        <v/>
      </c>
      <c r="C492" s="8">
        <f>IF(ISNA(MATCH(483,'Transfer Engine'!$C$2:$C$1369,0)),"",INDEX('Compliance Database'!$C$2:$C$1369,MATCH(483,'Transfer Engine'!$C$2:$C$1369,0)))</f>
        <v/>
      </c>
      <c r="D492" s="9">
        <f>IF(ISNA(MATCH(483,'Transfer Engine'!$C$2:$C$1369,0)),"",INDEX('Compliance Database'!$D$2:$D$1369,MATCH(483,'Transfer Engine'!$C$2:$C$1369,0)))</f>
        <v/>
      </c>
      <c r="E492" s="8">
        <f>IF(ISNA(MATCH(483,'Transfer Engine'!$C$2:$C$1369,0)),"",INDEX('Compliance Database'!$E$2:$E$1369,MATCH(483,'Transfer Engine'!$C$2:$C$1369,0)))</f>
        <v/>
      </c>
      <c r="F492" s="8">
        <f>IF(ISNA(MATCH(483,'Transfer Engine'!$C$2:$C$1369,0)),"",INDEX('Compliance Database'!$F$2:$F$1369,MATCH(483,'Transfer Engine'!$C$2:$C$1369,0)))</f>
        <v/>
      </c>
      <c r="G492" s="8">
        <f>IF(ISNA(MATCH(483,'Transfer Engine'!$C$2:$C$1369,0)),"",INDEX('Compliance Database'!$G$2:$G$1369,MATCH(483,'Transfer Engine'!$C$2:$C$1369,0)))</f>
        <v/>
      </c>
      <c r="H492" s="9">
        <f>IF(ISNA(MATCH(483,'Transfer Engine'!$C$2:$C$1369,0)),"",INDEX('Compliance Database'!$H$2:$H$1369,MATCH(483,'Transfer Engine'!$C$2:$C$1369,0)))</f>
        <v/>
      </c>
      <c r="I492" s="9">
        <f>IF(ISNA(MATCH(483,'Transfer Engine'!$C$2:$C$1369,0)),"",INDEX('Compliance Database'!$I$2:$I$1369,MATCH(483,'Transfer Engine'!$C$2:$C$1369,0)))</f>
        <v/>
      </c>
      <c r="J492" s="8">
        <f>IF(ISNA(MATCH(483,'Transfer Engine'!$C$2:$C$1369,0)),"",INDEX('Compliance Database'!$J$2:$J$1369,MATCH(483,'Transfer Engine'!$C$2:$C$1369,0)))</f>
        <v/>
      </c>
      <c r="K492" s="9">
        <f>IF(ISNA(MATCH(483,'Transfer Engine'!$C$2:$C$1369,0)),"",INDEX('Compliance Database'!$K$2:$K$1369,MATCH(483,'Transfer Engine'!$C$2:$C$1369,0)))</f>
        <v/>
      </c>
      <c r="L492" s="9">
        <f>IF(ISNA(MATCH(483,'Transfer Engine'!$C$2:$C$1369,0)),"",INDEX('Compliance Database'!$L$2:$L$1369,MATCH(483,'Transfer Engine'!$C$2:$C$1369,0)))</f>
        <v/>
      </c>
      <c r="M492" s="9">
        <f>IF(ISNA(MATCH(483,'Transfer Engine'!$C$2:$C$1369,0)),"",INDEX('Compliance Database'!$M$2:$M$1369,MATCH(483,'Transfer Engine'!$C$2:$C$1369,0)))</f>
        <v/>
      </c>
      <c r="N492" s="9">
        <f>IF(ISNA(MATCH(483,'Transfer Engine'!$C$2:$C$1369,0)),"",INDEX('Compliance Database'!$N$2:$N$1369,MATCH(483,'Transfer Engine'!$C$2:$C$1369,0)))</f>
        <v/>
      </c>
      <c r="O492" s="8">
        <f>IF(ISNA(MATCH(483,'Transfer Engine'!$C$2:$C$1369,0)),"",HYPERLINK(INDEX('Compliance Database'!$O$2:$O$1369,MATCH(483,'Transfer Engine'!$C$2:$C$1369,0)),"Open PDF"))</f>
        <v/>
      </c>
    </row>
    <row r="493" ht="188" customHeight="1">
      <c r="A493" s="8">
        <f>IF(ISNA(MATCH(484,'Transfer Engine'!$C$2:$C$1369,0)),"",INDEX('Compliance Database'!$A$2:$A$1369,MATCH(484,'Transfer Engine'!$C$2:$C$1369,0)))</f>
        <v/>
      </c>
      <c r="B493" s="8">
        <f>IF(ISNA(MATCH(484,'Transfer Engine'!$C$2:$C$1369,0)),"",INDEX('Compliance Database'!$B$2:$B$1369,MATCH(484,'Transfer Engine'!$C$2:$C$1369,0)))</f>
        <v/>
      </c>
      <c r="C493" s="8">
        <f>IF(ISNA(MATCH(484,'Transfer Engine'!$C$2:$C$1369,0)),"",INDEX('Compliance Database'!$C$2:$C$1369,MATCH(484,'Transfer Engine'!$C$2:$C$1369,0)))</f>
        <v/>
      </c>
      <c r="D493" s="9">
        <f>IF(ISNA(MATCH(484,'Transfer Engine'!$C$2:$C$1369,0)),"",INDEX('Compliance Database'!$D$2:$D$1369,MATCH(484,'Transfer Engine'!$C$2:$C$1369,0)))</f>
        <v/>
      </c>
      <c r="E493" s="8">
        <f>IF(ISNA(MATCH(484,'Transfer Engine'!$C$2:$C$1369,0)),"",INDEX('Compliance Database'!$E$2:$E$1369,MATCH(484,'Transfer Engine'!$C$2:$C$1369,0)))</f>
        <v/>
      </c>
      <c r="F493" s="8">
        <f>IF(ISNA(MATCH(484,'Transfer Engine'!$C$2:$C$1369,0)),"",INDEX('Compliance Database'!$F$2:$F$1369,MATCH(484,'Transfer Engine'!$C$2:$C$1369,0)))</f>
        <v/>
      </c>
      <c r="G493" s="8">
        <f>IF(ISNA(MATCH(484,'Transfer Engine'!$C$2:$C$1369,0)),"",INDEX('Compliance Database'!$G$2:$G$1369,MATCH(484,'Transfer Engine'!$C$2:$C$1369,0)))</f>
        <v/>
      </c>
      <c r="H493" s="9">
        <f>IF(ISNA(MATCH(484,'Transfer Engine'!$C$2:$C$1369,0)),"",INDEX('Compliance Database'!$H$2:$H$1369,MATCH(484,'Transfer Engine'!$C$2:$C$1369,0)))</f>
        <v/>
      </c>
      <c r="I493" s="9">
        <f>IF(ISNA(MATCH(484,'Transfer Engine'!$C$2:$C$1369,0)),"",INDEX('Compliance Database'!$I$2:$I$1369,MATCH(484,'Transfer Engine'!$C$2:$C$1369,0)))</f>
        <v/>
      </c>
      <c r="J493" s="8">
        <f>IF(ISNA(MATCH(484,'Transfer Engine'!$C$2:$C$1369,0)),"",INDEX('Compliance Database'!$J$2:$J$1369,MATCH(484,'Transfer Engine'!$C$2:$C$1369,0)))</f>
        <v/>
      </c>
      <c r="K493" s="9">
        <f>IF(ISNA(MATCH(484,'Transfer Engine'!$C$2:$C$1369,0)),"",INDEX('Compliance Database'!$K$2:$K$1369,MATCH(484,'Transfer Engine'!$C$2:$C$1369,0)))</f>
        <v/>
      </c>
      <c r="L493" s="9">
        <f>IF(ISNA(MATCH(484,'Transfer Engine'!$C$2:$C$1369,0)),"",INDEX('Compliance Database'!$L$2:$L$1369,MATCH(484,'Transfer Engine'!$C$2:$C$1369,0)))</f>
        <v/>
      </c>
      <c r="M493" s="9">
        <f>IF(ISNA(MATCH(484,'Transfer Engine'!$C$2:$C$1369,0)),"",INDEX('Compliance Database'!$M$2:$M$1369,MATCH(484,'Transfer Engine'!$C$2:$C$1369,0)))</f>
        <v/>
      </c>
      <c r="N493" s="9">
        <f>IF(ISNA(MATCH(484,'Transfer Engine'!$C$2:$C$1369,0)),"",INDEX('Compliance Database'!$N$2:$N$1369,MATCH(484,'Transfer Engine'!$C$2:$C$1369,0)))</f>
        <v/>
      </c>
      <c r="O493" s="8">
        <f>IF(ISNA(MATCH(484,'Transfer Engine'!$C$2:$C$1369,0)),"",HYPERLINK(INDEX('Compliance Database'!$O$2:$O$1369,MATCH(484,'Transfer Engine'!$C$2:$C$1369,0)),"Open PDF"))</f>
        <v/>
      </c>
    </row>
    <row r="494" ht="188" customHeight="1">
      <c r="A494" s="8">
        <f>IF(ISNA(MATCH(485,'Transfer Engine'!$C$2:$C$1369,0)),"",INDEX('Compliance Database'!$A$2:$A$1369,MATCH(485,'Transfer Engine'!$C$2:$C$1369,0)))</f>
        <v/>
      </c>
      <c r="B494" s="8">
        <f>IF(ISNA(MATCH(485,'Transfer Engine'!$C$2:$C$1369,0)),"",INDEX('Compliance Database'!$B$2:$B$1369,MATCH(485,'Transfer Engine'!$C$2:$C$1369,0)))</f>
        <v/>
      </c>
      <c r="C494" s="8">
        <f>IF(ISNA(MATCH(485,'Transfer Engine'!$C$2:$C$1369,0)),"",INDEX('Compliance Database'!$C$2:$C$1369,MATCH(485,'Transfer Engine'!$C$2:$C$1369,0)))</f>
        <v/>
      </c>
      <c r="D494" s="9">
        <f>IF(ISNA(MATCH(485,'Transfer Engine'!$C$2:$C$1369,0)),"",INDEX('Compliance Database'!$D$2:$D$1369,MATCH(485,'Transfer Engine'!$C$2:$C$1369,0)))</f>
        <v/>
      </c>
      <c r="E494" s="8">
        <f>IF(ISNA(MATCH(485,'Transfer Engine'!$C$2:$C$1369,0)),"",INDEX('Compliance Database'!$E$2:$E$1369,MATCH(485,'Transfer Engine'!$C$2:$C$1369,0)))</f>
        <v/>
      </c>
      <c r="F494" s="8">
        <f>IF(ISNA(MATCH(485,'Transfer Engine'!$C$2:$C$1369,0)),"",INDEX('Compliance Database'!$F$2:$F$1369,MATCH(485,'Transfer Engine'!$C$2:$C$1369,0)))</f>
        <v/>
      </c>
      <c r="G494" s="8">
        <f>IF(ISNA(MATCH(485,'Transfer Engine'!$C$2:$C$1369,0)),"",INDEX('Compliance Database'!$G$2:$G$1369,MATCH(485,'Transfer Engine'!$C$2:$C$1369,0)))</f>
        <v/>
      </c>
      <c r="H494" s="9">
        <f>IF(ISNA(MATCH(485,'Transfer Engine'!$C$2:$C$1369,0)),"",INDEX('Compliance Database'!$H$2:$H$1369,MATCH(485,'Transfer Engine'!$C$2:$C$1369,0)))</f>
        <v/>
      </c>
      <c r="I494" s="9">
        <f>IF(ISNA(MATCH(485,'Transfer Engine'!$C$2:$C$1369,0)),"",INDEX('Compliance Database'!$I$2:$I$1369,MATCH(485,'Transfer Engine'!$C$2:$C$1369,0)))</f>
        <v/>
      </c>
      <c r="J494" s="8">
        <f>IF(ISNA(MATCH(485,'Transfer Engine'!$C$2:$C$1369,0)),"",INDEX('Compliance Database'!$J$2:$J$1369,MATCH(485,'Transfer Engine'!$C$2:$C$1369,0)))</f>
        <v/>
      </c>
      <c r="K494" s="9">
        <f>IF(ISNA(MATCH(485,'Transfer Engine'!$C$2:$C$1369,0)),"",INDEX('Compliance Database'!$K$2:$K$1369,MATCH(485,'Transfer Engine'!$C$2:$C$1369,0)))</f>
        <v/>
      </c>
      <c r="L494" s="9">
        <f>IF(ISNA(MATCH(485,'Transfer Engine'!$C$2:$C$1369,0)),"",INDEX('Compliance Database'!$L$2:$L$1369,MATCH(485,'Transfer Engine'!$C$2:$C$1369,0)))</f>
        <v/>
      </c>
      <c r="M494" s="9">
        <f>IF(ISNA(MATCH(485,'Transfer Engine'!$C$2:$C$1369,0)),"",INDEX('Compliance Database'!$M$2:$M$1369,MATCH(485,'Transfer Engine'!$C$2:$C$1369,0)))</f>
        <v/>
      </c>
      <c r="N494" s="9">
        <f>IF(ISNA(MATCH(485,'Transfer Engine'!$C$2:$C$1369,0)),"",INDEX('Compliance Database'!$N$2:$N$1369,MATCH(485,'Transfer Engine'!$C$2:$C$1369,0)))</f>
        <v/>
      </c>
      <c r="O494" s="8">
        <f>IF(ISNA(MATCH(485,'Transfer Engine'!$C$2:$C$1369,0)),"",HYPERLINK(INDEX('Compliance Database'!$O$2:$O$1369,MATCH(485,'Transfer Engine'!$C$2:$C$1369,0)),"Open PDF"))</f>
        <v/>
      </c>
    </row>
    <row r="495" ht="188" customHeight="1">
      <c r="A495" s="8">
        <f>IF(ISNA(MATCH(486,'Transfer Engine'!$C$2:$C$1369,0)),"",INDEX('Compliance Database'!$A$2:$A$1369,MATCH(486,'Transfer Engine'!$C$2:$C$1369,0)))</f>
        <v/>
      </c>
      <c r="B495" s="8">
        <f>IF(ISNA(MATCH(486,'Transfer Engine'!$C$2:$C$1369,0)),"",INDEX('Compliance Database'!$B$2:$B$1369,MATCH(486,'Transfer Engine'!$C$2:$C$1369,0)))</f>
        <v/>
      </c>
      <c r="C495" s="8">
        <f>IF(ISNA(MATCH(486,'Transfer Engine'!$C$2:$C$1369,0)),"",INDEX('Compliance Database'!$C$2:$C$1369,MATCH(486,'Transfer Engine'!$C$2:$C$1369,0)))</f>
        <v/>
      </c>
      <c r="D495" s="9">
        <f>IF(ISNA(MATCH(486,'Transfer Engine'!$C$2:$C$1369,0)),"",INDEX('Compliance Database'!$D$2:$D$1369,MATCH(486,'Transfer Engine'!$C$2:$C$1369,0)))</f>
        <v/>
      </c>
      <c r="E495" s="8">
        <f>IF(ISNA(MATCH(486,'Transfer Engine'!$C$2:$C$1369,0)),"",INDEX('Compliance Database'!$E$2:$E$1369,MATCH(486,'Transfer Engine'!$C$2:$C$1369,0)))</f>
        <v/>
      </c>
      <c r="F495" s="8">
        <f>IF(ISNA(MATCH(486,'Transfer Engine'!$C$2:$C$1369,0)),"",INDEX('Compliance Database'!$F$2:$F$1369,MATCH(486,'Transfer Engine'!$C$2:$C$1369,0)))</f>
        <v/>
      </c>
      <c r="G495" s="8">
        <f>IF(ISNA(MATCH(486,'Transfer Engine'!$C$2:$C$1369,0)),"",INDEX('Compliance Database'!$G$2:$G$1369,MATCH(486,'Transfer Engine'!$C$2:$C$1369,0)))</f>
        <v/>
      </c>
      <c r="H495" s="9">
        <f>IF(ISNA(MATCH(486,'Transfer Engine'!$C$2:$C$1369,0)),"",INDEX('Compliance Database'!$H$2:$H$1369,MATCH(486,'Transfer Engine'!$C$2:$C$1369,0)))</f>
        <v/>
      </c>
      <c r="I495" s="9">
        <f>IF(ISNA(MATCH(486,'Transfer Engine'!$C$2:$C$1369,0)),"",INDEX('Compliance Database'!$I$2:$I$1369,MATCH(486,'Transfer Engine'!$C$2:$C$1369,0)))</f>
        <v/>
      </c>
      <c r="J495" s="8">
        <f>IF(ISNA(MATCH(486,'Transfer Engine'!$C$2:$C$1369,0)),"",INDEX('Compliance Database'!$J$2:$J$1369,MATCH(486,'Transfer Engine'!$C$2:$C$1369,0)))</f>
        <v/>
      </c>
      <c r="K495" s="9">
        <f>IF(ISNA(MATCH(486,'Transfer Engine'!$C$2:$C$1369,0)),"",INDEX('Compliance Database'!$K$2:$K$1369,MATCH(486,'Transfer Engine'!$C$2:$C$1369,0)))</f>
        <v/>
      </c>
      <c r="L495" s="9">
        <f>IF(ISNA(MATCH(486,'Transfer Engine'!$C$2:$C$1369,0)),"",INDEX('Compliance Database'!$L$2:$L$1369,MATCH(486,'Transfer Engine'!$C$2:$C$1369,0)))</f>
        <v/>
      </c>
      <c r="M495" s="9">
        <f>IF(ISNA(MATCH(486,'Transfer Engine'!$C$2:$C$1369,0)),"",INDEX('Compliance Database'!$M$2:$M$1369,MATCH(486,'Transfer Engine'!$C$2:$C$1369,0)))</f>
        <v/>
      </c>
      <c r="N495" s="9">
        <f>IF(ISNA(MATCH(486,'Transfer Engine'!$C$2:$C$1369,0)),"",INDEX('Compliance Database'!$N$2:$N$1369,MATCH(486,'Transfer Engine'!$C$2:$C$1369,0)))</f>
        <v/>
      </c>
      <c r="O495" s="8">
        <f>IF(ISNA(MATCH(486,'Transfer Engine'!$C$2:$C$1369,0)),"",HYPERLINK(INDEX('Compliance Database'!$O$2:$O$1369,MATCH(486,'Transfer Engine'!$C$2:$C$1369,0)),"Open PDF"))</f>
        <v/>
      </c>
    </row>
    <row r="496" ht="188" customHeight="1">
      <c r="A496" s="8">
        <f>IF(ISNA(MATCH(487,'Transfer Engine'!$C$2:$C$1369,0)),"",INDEX('Compliance Database'!$A$2:$A$1369,MATCH(487,'Transfer Engine'!$C$2:$C$1369,0)))</f>
        <v/>
      </c>
      <c r="B496" s="8">
        <f>IF(ISNA(MATCH(487,'Transfer Engine'!$C$2:$C$1369,0)),"",INDEX('Compliance Database'!$B$2:$B$1369,MATCH(487,'Transfer Engine'!$C$2:$C$1369,0)))</f>
        <v/>
      </c>
      <c r="C496" s="8">
        <f>IF(ISNA(MATCH(487,'Transfer Engine'!$C$2:$C$1369,0)),"",INDEX('Compliance Database'!$C$2:$C$1369,MATCH(487,'Transfer Engine'!$C$2:$C$1369,0)))</f>
        <v/>
      </c>
      <c r="D496" s="9">
        <f>IF(ISNA(MATCH(487,'Transfer Engine'!$C$2:$C$1369,0)),"",INDEX('Compliance Database'!$D$2:$D$1369,MATCH(487,'Transfer Engine'!$C$2:$C$1369,0)))</f>
        <v/>
      </c>
      <c r="E496" s="8">
        <f>IF(ISNA(MATCH(487,'Transfer Engine'!$C$2:$C$1369,0)),"",INDEX('Compliance Database'!$E$2:$E$1369,MATCH(487,'Transfer Engine'!$C$2:$C$1369,0)))</f>
        <v/>
      </c>
      <c r="F496" s="8">
        <f>IF(ISNA(MATCH(487,'Transfer Engine'!$C$2:$C$1369,0)),"",INDEX('Compliance Database'!$F$2:$F$1369,MATCH(487,'Transfer Engine'!$C$2:$C$1369,0)))</f>
        <v/>
      </c>
      <c r="G496" s="8">
        <f>IF(ISNA(MATCH(487,'Transfer Engine'!$C$2:$C$1369,0)),"",INDEX('Compliance Database'!$G$2:$G$1369,MATCH(487,'Transfer Engine'!$C$2:$C$1369,0)))</f>
        <v/>
      </c>
      <c r="H496" s="9">
        <f>IF(ISNA(MATCH(487,'Transfer Engine'!$C$2:$C$1369,0)),"",INDEX('Compliance Database'!$H$2:$H$1369,MATCH(487,'Transfer Engine'!$C$2:$C$1369,0)))</f>
        <v/>
      </c>
      <c r="I496" s="9">
        <f>IF(ISNA(MATCH(487,'Transfer Engine'!$C$2:$C$1369,0)),"",INDEX('Compliance Database'!$I$2:$I$1369,MATCH(487,'Transfer Engine'!$C$2:$C$1369,0)))</f>
        <v/>
      </c>
      <c r="J496" s="8">
        <f>IF(ISNA(MATCH(487,'Transfer Engine'!$C$2:$C$1369,0)),"",INDEX('Compliance Database'!$J$2:$J$1369,MATCH(487,'Transfer Engine'!$C$2:$C$1369,0)))</f>
        <v/>
      </c>
      <c r="K496" s="9">
        <f>IF(ISNA(MATCH(487,'Transfer Engine'!$C$2:$C$1369,0)),"",INDEX('Compliance Database'!$K$2:$K$1369,MATCH(487,'Transfer Engine'!$C$2:$C$1369,0)))</f>
        <v/>
      </c>
      <c r="L496" s="9">
        <f>IF(ISNA(MATCH(487,'Transfer Engine'!$C$2:$C$1369,0)),"",INDEX('Compliance Database'!$L$2:$L$1369,MATCH(487,'Transfer Engine'!$C$2:$C$1369,0)))</f>
        <v/>
      </c>
      <c r="M496" s="9">
        <f>IF(ISNA(MATCH(487,'Transfer Engine'!$C$2:$C$1369,0)),"",INDEX('Compliance Database'!$M$2:$M$1369,MATCH(487,'Transfer Engine'!$C$2:$C$1369,0)))</f>
        <v/>
      </c>
      <c r="N496" s="9">
        <f>IF(ISNA(MATCH(487,'Transfer Engine'!$C$2:$C$1369,0)),"",INDEX('Compliance Database'!$N$2:$N$1369,MATCH(487,'Transfer Engine'!$C$2:$C$1369,0)))</f>
        <v/>
      </c>
      <c r="O496" s="8">
        <f>IF(ISNA(MATCH(487,'Transfer Engine'!$C$2:$C$1369,0)),"",HYPERLINK(INDEX('Compliance Database'!$O$2:$O$1369,MATCH(487,'Transfer Engine'!$C$2:$C$1369,0)),"Open PDF"))</f>
        <v/>
      </c>
    </row>
    <row r="497" ht="188" customHeight="1">
      <c r="A497" s="8">
        <f>IF(ISNA(MATCH(488,'Transfer Engine'!$C$2:$C$1369,0)),"",INDEX('Compliance Database'!$A$2:$A$1369,MATCH(488,'Transfer Engine'!$C$2:$C$1369,0)))</f>
        <v/>
      </c>
      <c r="B497" s="8">
        <f>IF(ISNA(MATCH(488,'Transfer Engine'!$C$2:$C$1369,0)),"",INDEX('Compliance Database'!$B$2:$B$1369,MATCH(488,'Transfer Engine'!$C$2:$C$1369,0)))</f>
        <v/>
      </c>
      <c r="C497" s="8">
        <f>IF(ISNA(MATCH(488,'Transfer Engine'!$C$2:$C$1369,0)),"",INDEX('Compliance Database'!$C$2:$C$1369,MATCH(488,'Transfer Engine'!$C$2:$C$1369,0)))</f>
        <v/>
      </c>
      <c r="D497" s="9">
        <f>IF(ISNA(MATCH(488,'Transfer Engine'!$C$2:$C$1369,0)),"",INDEX('Compliance Database'!$D$2:$D$1369,MATCH(488,'Transfer Engine'!$C$2:$C$1369,0)))</f>
        <v/>
      </c>
      <c r="E497" s="8">
        <f>IF(ISNA(MATCH(488,'Transfer Engine'!$C$2:$C$1369,0)),"",INDEX('Compliance Database'!$E$2:$E$1369,MATCH(488,'Transfer Engine'!$C$2:$C$1369,0)))</f>
        <v/>
      </c>
      <c r="F497" s="8">
        <f>IF(ISNA(MATCH(488,'Transfer Engine'!$C$2:$C$1369,0)),"",INDEX('Compliance Database'!$F$2:$F$1369,MATCH(488,'Transfer Engine'!$C$2:$C$1369,0)))</f>
        <v/>
      </c>
      <c r="G497" s="8">
        <f>IF(ISNA(MATCH(488,'Transfer Engine'!$C$2:$C$1369,0)),"",INDEX('Compliance Database'!$G$2:$G$1369,MATCH(488,'Transfer Engine'!$C$2:$C$1369,0)))</f>
        <v/>
      </c>
      <c r="H497" s="9">
        <f>IF(ISNA(MATCH(488,'Transfer Engine'!$C$2:$C$1369,0)),"",INDEX('Compliance Database'!$H$2:$H$1369,MATCH(488,'Transfer Engine'!$C$2:$C$1369,0)))</f>
        <v/>
      </c>
      <c r="I497" s="9">
        <f>IF(ISNA(MATCH(488,'Transfer Engine'!$C$2:$C$1369,0)),"",INDEX('Compliance Database'!$I$2:$I$1369,MATCH(488,'Transfer Engine'!$C$2:$C$1369,0)))</f>
        <v/>
      </c>
      <c r="J497" s="8">
        <f>IF(ISNA(MATCH(488,'Transfer Engine'!$C$2:$C$1369,0)),"",INDEX('Compliance Database'!$J$2:$J$1369,MATCH(488,'Transfer Engine'!$C$2:$C$1369,0)))</f>
        <v/>
      </c>
      <c r="K497" s="9">
        <f>IF(ISNA(MATCH(488,'Transfer Engine'!$C$2:$C$1369,0)),"",INDEX('Compliance Database'!$K$2:$K$1369,MATCH(488,'Transfer Engine'!$C$2:$C$1369,0)))</f>
        <v/>
      </c>
      <c r="L497" s="9">
        <f>IF(ISNA(MATCH(488,'Transfer Engine'!$C$2:$C$1369,0)),"",INDEX('Compliance Database'!$L$2:$L$1369,MATCH(488,'Transfer Engine'!$C$2:$C$1369,0)))</f>
        <v/>
      </c>
      <c r="M497" s="9">
        <f>IF(ISNA(MATCH(488,'Transfer Engine'!$C$2:$C$1369,0)),"",INDEX('Compliance Database'!$M$2:$M$1369,MATCH(488,'Transfer Engine'!$C$2:$C$1369,0)))</f>
        <v/>
      </c>
      <c r="N497" s="9">
        <f>IF(ISNA(MATCH(488,'Transfer Engine'!$C$2:$C$1369,0)),"",INDEX('Compliance Database'!$N$2:$N$1369,MATCH(488,'Transfer Engine'!$C$2:$C$1369,0)))</f>
        <v/>
      </c>
      <c r="O497" s="8">
        <f>IF(ISNA(MATCH(488,'Transfer Engine'!$C$2:$C$1369,0)),"",HYPERLINK(INDEX('Compliance Database'!$O$2:$O$1369,MATCH(488,'Transfer Engine'!$C$2:$C$1369,0)),"Open PDF"))</f>
        <v/>
      </c>
    </row>
    <row r="498" ht="188" customHeight="1">
      <c r="A498" s="8">
        <f>IF(ISNA(MATCH(489,'Transfer Engine'!$C$2:$C$1369,0)),"",INDEX('Compliance Database'!$A$2:$A$1369,MATCH(489,'Transfer Engine'!$C$2:$C$1369,0)))</f>
        <v/>
      </c>
      <c r="B498" s="8">
        <f>IF(ISNA(MATCH(489,'Transfer Engine'!$C$2:$C$1369,0)),"",INDEX('Compliance Database'!$B$2:$B$1369,MATCH(489,'Transfer Engine'!$C$2:$C$1369,0)))</f>
        <v/>
      </c>
      <c r="C498" s="8">
        <f>IF(ISNA(MATCH(489,'Transfer Engine'!$C$2:$C$1369,0)),"",INDEX('Compliance Database'!$C$2:$C$1369,MATCH(489,'Transfer Engine'!$C$2:$C$1369,0)))</f>
        <v/>
      </c>
      <c r="D498" s="9">
        <f>IF(ISNA(MATCH(489,'Transfer Engine'!$C$2:$C$1369,0)),"",INDEX('Compliance Database'!$D$2:$D$1369,MATCH(489,'Transfer Engine'!$C$2:$C$1369,0)))</f>
        <v/>
      </c>
      <c r="E498" s="8">
        <f>IF(ISNA(MATCH(489,'Transfer Engine'!$C$2:$C$1369,0)),"",INDEX('Compliance Database'!$E$2:$E$1369,MATCH(489,'Transfer Engine'!$C$2:$C$1369,0)))</f>
        <v/>
      </c>
      <c r="F498" s="8">
        <f>IF(ISNA(MATCH(489,'Transfer Engine'!$C$2:$C$1369,0)),"",INDEX('Compliance Database'!$F$2:$F$1369,MATCH(489,'Transfer Engine'!$C$2:$C$1369,0)))</f>
        <v/>
      </c>
      <c r="G498" s="8">
        <f>IF(ISNA(MATCH(489,'Transfer Engine'!$C$2:$C$1369,0)),"",INDEX('Compliance Database'!$G$2:$G$1369,MATCH(489,'Transfer Engine'!$C$2:$C$1369,0)))</f>
        <v/>
      </c>
      <c r="H498" s="9">
        <f>IF(ISNA(MATCH(489,'Transfer Engine'!$C$2:$C$1369,0)),"",INDEX('Compliance Database'!$H$2:$H$1369,MATCH(489,'Transfer Engine'!$C$2:$C$1369,0)))</f>
        <v/>
      </c>
      <c r="I498" s="9">
        <f>IF(ISNA(MATCH(489,'Transfer Engine'!$C$2:$C$1369,0)),"",INDEX('Compliance Database'!$I$2:$I$1369,MATCH(489,'Transfer Engine'!$C$2:$C$1369,0)))</f>
        <v/>
      </c>
      <c r="J498" s="8">
        <f>IF(ISNA(MATCH(489,'Transfer Engine'!$C$2:$C$1369,0)),"",INDEX('Compliance Database'!$J$2:$J$1369,MATCH(489,'Transfer Engine'!$C$2:$C$1369,0)))</f>
        <v/>
      </c>
      <c r="K498" s="9">
        <f>IF(ISNA(MATCH(489,'Transfer Engine'!$C$2:$C$1369,0)),"",INDEX('Compliance Database'!$K$2:$K$1369,MATCH(489,'Transfer Engine'!$C$2:$C$1369,0)))</f>
        <v/>
      </c>
      <c r="L498" s="9">
        <f>IF(ISNA(MATCH(489,'Transfer Engine'!$C$2:$C$1369,0)),"",INDEX('Compliance Database'!$L$2:$L$1369,MATCH(489,'Transfer Engine'!$C$2:$C$1369,0)))</f>
        <v/>
      </c>
      <c r="M498" s="9">
        <f>IF(ISNA(MATCH(489,'Transfer Engine'!$C$2:$C$1369,0)),"",INDEX('Compliance Database'!$M$2:$M$1369,MATCH(489,'Transfer Engine'!$C$2:$C$1369,0)))</f>
        <v/>
      </c>
      <c r="N498" s="9">
        <f>IF(ISNA(MATCH(489,'Transfer Engine'!$C$2:$C$1369,0)),"",INDEX('Compliance Database'!$N$2:$N$1369,MATCH(489,'Transfer Engine'!$C$2:$C$1369,0)))</f>
        <v/>
      </c>
      <c r="O498" s="8">
        <f>IF(ISNA(MATCH(489,'Transfer Engine'!$C$2:$C$1369,0)),"",HYPERLINK(INDEX('Compliance Database'!$O$2:$O$1369,MATCH(489,'Transfer Engine'!$C$2:$C$1369,0)),"Open PDF"))</f>
        <v/>
      </c>
    </row>
    <row r="499" ht="188" customHeight="1">
      <c r="A499" s="8">
        <f>IF(ISNA(MATCH(490,'Transfer Engine'!$C$2:$C$1369,0)),"",INDEX('Compliance Database'!$A$2:$A$1369,MATCH(490,'Transfer Engine'!$C$2:$C$1369,0)))</f>
        <v/>
      </c>
      <c r="B499" s="8">
        <f>IF(ISNA(MATCH(490,'Transfer Engine'!$C$2:$C$1369,0)),"",INDEX('Compliance Database'!$B$2:$B$1369,MATCH(490,'Transfer Engine'!$C$2:$C$1369,0)))</f>
        <v/>
      </c>
      <c r="C499" s="8">
        <f>IF(ISNA(MATCH(490,'Transfer Engine'!$C$2:$C$1369,0)),"",INDEX('Compliance Database'!$C$2:$C$1369,MATCH(490,'Transfer Engine'!$C$2:$C$1369,0)))</f>
        <v/>
      </c>
      <c r="D499" s="9">
        <f>IF(ISNA(MATCH(490,'Transfer Engine'!$C$2:$C$1369,0)),"",INDEX('Compliance Database'!$D$2:$D$1369,MATCH(490,'Transfer Engine'!$C$2:$C$1369,0)))</f>
        <v/>
      </c>
      <c r="E499" s="8">
        <f>IF(ISNA(MATCH(490,'Transfer Engine'!$C$2:$C$1369,0)),"",INDEX('Compliance Database'!$E$2:$E$1369,MATCH(490,'Transfer Engine'!$C$2:$C$1369,0)))</f>
        <v/>
      </c>
      <c r="F499" s="8">
        <f>IF(ISNA(MATCH(490,'Transfer Engine'!$C$2:$C$1369,0)),"",INDEX('Compliance Database'!$F$2:$F$1369,MATCH(490,'Transfer Engine'!$C$2:$C$1369,0)))</f>
        <v/>
      </c>
      <c r="G499" s="8">
        <f>IF(ISNA(MATCH(490,'Transfer Engine'!$C$2:$C$1369,0)),"",INDEX('Compliance Database'!$G$2:$G$1369,MATCH(490,'Transfer Engine'!$C$2:$C$1369,0)))</f>
        <v/>
      </c>
      <c r="H499" s="9">
        <f>IF(ISNA(MATCH(490,'Transfer Engine'!$C$2:$C$1369,0)),"",INDEX('Compliance Database'!$H$2:$H$1369,MATCH(490,'Transfer Engine'!$C$2:$C$1369,0)))</f>
        <v/>
      </c>
      <c r="I499" s="9">
        <f>IF(ISNA(MATCH(490,'Transfer Engine'!$C$2:$C$1369,0)),"",INDEX('Compliance Database'!$I$2:$I$1369,MATCH(490,'Transfer Engine'!$C$2:$C$1369,0)))</f>
        <v/>
      </c>
      <c r="J499" s="8">
        <f>IF(ISNA(MATCH(490,'Transfer Engine'!$C$2:$C$1369,0)),"",INDEX('Compliance Database'!$J$2:$J$1369,MATCH(490,'Transfer Engine'!$C$2:$C$1369,0)))</f>
        <v/>
      </c>
      <c r="K499" s="9">
        <f>IF(ISNA(MATCH(490,'Transfer Engine'!$C$2:$C$1369,0)),"",INDEX('Compliance Database'!$K$2:$K$1369,MATCH(490,'Transfer Engine'!$C$2:$C$1369,0)))</f>
        <v/>
      </c>
      <c r="L499" s="9">
        <f>IF(ISNA(MATCH(490,'Transfer Engine'!$C$2:$C$1369,0)),"",INDEX('Compliance Database'!$L$2:$L$1369,MATCH(490,'Transfer Engine'!$C$2:$C$1369,0)))</f>
        <v/>
      </c>
      <c r="M499" s="9">
        <f>IF(ISNA(MATCH(490,'Transfer Engine'!$C$2:$C$1369,0)),"",INDEX('Compliance Database'!$M$2:$M$1369,MATCH(490,'Transfer Engine'!$C$2:$C$1369,0)))</f>
        <v/>
      </c>
      <c r="N499" s="9">
        <f>IF(ISNA(MATCH(490,'Transfer Engine'!$C$2:$C$1369,0)),"",INDEX('Compliance Database'!$N$2:$N$1369,MATCH(490,'Transfer Engine'!$C$2:$C$1369,0)))</f>
        <v/>
      </c>
      <c r="O499" s="8">
        <f>IF(ISNA(MATCH(490,'Transfer Engine'!$C$2:$C$1369,0)),"",HYPERLINK(INDEX('Compliance Database'!$O$2:$O$1369,MATCH(490,'Transfer Engine'!$C$2:$C$1369,0)),"Open PDF"))</f>
        <v/>
      </c>
    </row>
    <row r="500" ht="188" customHeight="1">
      <c r="A500" s="8">
        <f>IF(ISNA(MATCH(491,'Transfer Engine'!$C$2:$C$1369,0)),"",INDEX('Compliance Database'!$A$2:$A$1369,MATCH(491,'Transfer Engine'!$C$2:$C$1369,0)))</f>
        <v/>
      </c>
      <c r="B500" s="8">
        <f>IF(ISNA(MATCH(491,'Transfer Engine'!$C$2:$C$1369,0)),"",INDEX('Compliance Database'!$B$2:$B$1369,MATCH(491,'Transfer Engine'!$C$2:$C$1369,0)))</f>
        <v/>
      </c>
      <c r="C500" s="8">
        <f>IF(ISNA(MATCH(491,'Transfer Engine'!$C$2:$C$1369,0)),"",INDEX('Compliance Database'!$C$2:$C$1369,MATCH(491,'Transfer Engine'!$C$2:$C$1369,0)))</f>
        <v/>
      </c>
      <c r="D500" s="9">
        <f>IF(ISNA(MATCH(491,'Transfer Engine'!$C$2:$C$1369,0)),"",INDEX('Compliance Database'!$D$2:$D$1369,MATCH(491,'Transfer Engine'!$C$2:$C$1369,0)))</f>
        <v/>
      </c>
      <c r="E500" s="8">
        <f>IF(ISNA(MATCH(491,'Transfer Engine'!$C$2:$C$1369,0)),"",INDEX('Compliance Database'!$E$2:$E$1369,MATCH(491,'Transfer Engine'!$C$2:$C$1369,0)))</f>
        <v/>
      </c>
      <c r="F500" s="8">
        <f>IF(ISNA(MATCH(491,'Transfer Engine'!$C$2:$C$1369,0)),"",INDEX('Compliance Database'!$F$2:$F$1369,MATCH(491,'Transfer Engine'!$C$2:$C$1369,0)))</f>
        <v/>
      </c>
      <c r="G500" s="8">
        <f>IF(ISNA(MATCH(491,'Transfer Engine'!$C$2:$C$1369,0)),"",INDEX('Compliance Database'!$G$2:$G$1369,MATCH(491,'Transfer Engine'!$C$2:$C$1369,0)))</f>
        <v/>
      </c>
      <c r="H500" s="9">
        <f>IF(ISNA(MATCH(491,'Transfer Engine'!$C$2:$C$1369,0)),"",INDEX('Compliance Database'!$H$2:$H$1369,MATCH(491,'Transfer Engine'!$C$2:$C$1369,0)))</f>
        <v/>
      </c>
      <c r="I500" s="9">
        <f>IF(ISNA(MATCH(491,'Transfer Engine'!$C$2:$C$1369,0)),"",INDEX('Compliance Database'!$I$2:$I$1369,MATCH(491,'Transfer Engine'!$C$2:$C$1369,0)))</f>
        <v/>
      </c>
      <c r="J500" s="8">
        <f>IF(ISNA(MATCH(491,'Transfer Engine'!$C$2:$C$1369,0)),"",INDEX('Compliance Database'!$J$2:$J$1369,MATCH(491,'Transfer Engine'!$C$2:$C$1369,0)))</f>
        <v/>
      </c>
      <c r="K500" s="9">
        <f>IF(ISNA(MATCH(491,'Transfer Engine'!$C$2:$C$1369,0)),"",INDEX('Compliance Database'!$K$2:$K$1369,MATCH(491,'Transfer Engine'!$C$2:$C$1369,0)))</f>
        <v/>
      </c>
      <c r="L500" s="9">
        <f>IF(ISNA(MATCH(491,'Transfer Engine'!$C$2:$C$1369,0)),"",INDEX('Compliance Database'!$L$2:$L$1369,MATCH(491,'Transfer Engine'!$C$2:$C$1369,0)))</f>
        <v/>
      </c>
      <c r="M500" s="9">
        <f>IF(ISNA(MATCH(491,'Transfer Engine'!$C$2:$C$1369,0)),"",INDEX('Compliance Database'!$M$2:$M$1369,MATCH(491,'Transfer Engine'!$C$2:$C$1369,0)))</f>
        <v/>
      </c>
      <c r="N500" s="9">
        <f>IF(ISNA(MATCH(491,'Transfer Engine'!$C$2:$C$1369,0)),"",INDEX('Compliance Database'!$N$2:$N$1369,MATCH(491,'Transfer Engine'!$C$2:$C$1369,0)))</f>
        <v/>
      </c>
      <c r="O500" s="8">
        <f>IF(ISNA(MATCH(491,'Transfer Engine'!$C$2:$C$1369,0)),"",HYPERLINK(INDEX('Compliance Database'!$O$2:$O$1369,MATCH(491,'Transfer Engine'!$C$2:$C$1369,0)),"Open PDF"))</f>
        <v/>
      </c>
    </row>
    <row r="501" ht="188" customHeight="1">
      <c r="A501" s="8">
        <f>IF(ISNA(MATCH(492,'Transfer Engine'!$C$2:$C$1369,0)),"",INDEX('Compliance Database'!$A$2:$A$1369,MATCH(492,'Transfer Engine'!$C$2:$C$1369,0)))</f>
        <v/>
      </c>
      <c r="B501" s="8">
        <f>IF(ISNA(MATCH(492,'Transfer Engine'!$C$2:$C$1369,0)),"",INDEX('Compliance Database'!$B$2:$B$1369,MATCH(492,'Transfer Engine'!$C$2:$C$1369,0)))</f>
        <v/>
      </c>
      <c r="C501" s="8">
        <f>IF(ISNA(MATCH(492,'Transfer Engine'!$C$2:$C$1369,0)),"",INDEX('Compliance Database'!$C$2:$C$1369,MATCH(492,'Transfer Engine'!$C$2:$C$1369,0)))</f>
        <v/>
      </c>
      <c r="D501" s="9">
        <f>IF(ISNA(MATCH(492,'Transfer Engine'!$C$2:$C$1369,0)),"",INDEX('Compliance Database'!$D$2:$D$1369,MATCH(492,'Transfer Engine'!$C$2:$C$1369,0)))</f>
        <v/>
      </c>
      <c r="E501" s="8">
        <f>IF(ISNA(MATCH(492,'Transfer Engine'!$C$2:$C$1369,0)),"",INDEX('Compliance Database'!$E$2:$E$1369,MATCH(492,'Transfer Engine'!$C$2:$C$1369,0)))</f>
        <v/>
      </c>
      <c r="F501" s="8">
        <f>IF(ISNA(MATCH(492,'Transfer Engine'!$C$2:$C$1369,0)),"",INDEX('Compliance Database'!$F$2:$F$1369,MATCH(492,'Transfer Engine'!$C$2:$C$1369,0)))</f>
        <v/>
      </c>
      <c r="G501" s="8">
        <f>IF(ISNA(MATCH(492,'Transfer Engine'!$C$2:$C$1369,0)),"",INDEX('Compliance Database'!$G$2:$G$1369,MATCH(492,'Transfer Engine'!$C$2:$C$1369,0)))</f>
        <v/>
      </c>
      <c r="H501" s="9">
        <f>IF(ISNA(MATCH(492,'Transfer Engine'!$C$2:$C$1369,0)),"",INDEX('Compliance Database'!$H$2:$H$1369,MATCH(492,'Transfer Engine'!$C$2:$C$1369,0)))</f>
        <v/>
      </c>
      <c r="I501" s="9">
        <f>IF(ISNA(MATCH(492,'Transfer Engine'!$C$2:$C$1369,0)),"",INDEX('Compliance Database'!$I$2:$I$1369,MATCH(492,'Transfer Engine'!$C$2:$C$1369,0)))</f>
        <v/>
      </c>
      <c r="J501" s="8">
        <f>IF(ISNA(MATCH(492,'Transfer Engine'!$C$2:$C$1369,0)),"",INDEX('Compliance Database'!$J$2:$J$1369,MATCH(492,'Transfer Engine'!$C$2:$C$1369,0)))</f>
        <v/>
      </c>
      <c r="K501" s="9">
        <f>IF(ISNA(MATCH(492,'Transfer Engine'!$C$2:$C$1369,0)),"",INDEX('Compliance Database'!$K$2:$K$1369,MATCH(492,'Transfer Engine'!$C$2:$C$1369,0)))</f>
        <v/>
      </c>
      <c r="L501" s="9">
        <f>IF(ISNA(MATCH(492,'Transfer Engine'!$C$2:$C$1369,0)),"",INDEX('Compliance Database'!$L$2:$L$1369,MATCH(492,'Transfer Engine'!$C$2:$C$1369,0)))</f>
        <v/>
      </c>
      <c r="M501" s="9">
        <f>IF(ISNA(MATCH(492,'Transfer Engine'!$C$2:$C$1369,0)),"",INDEX('Compliance Database'!$M$2:$M$1369,MATCH(492,'Transfer Engine'!$C$2:$C$1369,0)))</f>
        <v/>
      </c>
      <c r="N501" s="9">
        <f>IF(ISNA(MATCH(492,'Transfer Engine'!$C$2:$C$1369,0)),"",INDEX('Compliance Database'!$N$2:$N$1369,MATCH(492,'Transfer Engine'!$C$2:$C$1369,0)))</f>
        <v/>
      </c>
      <c r="O501" s="8">
        <f>IF(ISNA(MATCH(492,'Transfer Engine'!$C$2:$C$1369,0)),"",HYPERLINK(INDEX('Compliance Database'!$O$2:$O$1369,MATCH(492,'Transfer Engine'!$C$2:$C$1369,0)),"Open PDF"))</f>
        <v/>
      </c>
    </row>
    <row r="502" ht="188" customHeight="1">
      <c r="A502" s="8">
        <f>IF(ISNA(MATCH(493,'Transfer Engine'!$C$2:$C$1369,0)),"",INDEX('Compliance Database'!$A$2:$A$1369,MATCH(493,'Transfer Engine'!$C$2:$C$1369,0)))</f>
        <v/>
      </c>
      <c r="B502" s="8">
        <f>IF(ISNA(MATCH(493,'Transfer Engine'!$C$2:$C$1369,0)),"",INDEX('Compliance Database'!$B$2:$B$1369,MATCH(493,'Transfer Engine'!$C$2:$C$1369,0)))</f>
        <v/>
      </c>
      <c r="C502" s="8">
        <f>IF(ISNA(MATCH(493,'Transfer Engine'!$C$2:$C$1369,0)),"",INDEX('Compliance Database'!$C$2:$C$1369,MATCH(493,'Transfer Engine'!$C$2:$C$1369,0)))</f>
        <v/>
      </c>
      <c r="D502" s="9">
        <f>IF(ISNA(MATCH(493,'Transfer Engine'!$C$2:$C$1369,0)),"",INDEX('Compliance Database'!$D$2:$D$1369,MATCH(493,'Transfer Engine'!$C$2:$C$1369,0)))</f>
        <v/>
      </c>
      <c r="E502" s="8">
        <f>IF(ISNA(MATCH(493,'Transfer Engine'!$C$2:$C$1369,0)),"",INDEX('Compliance Database'!$E$2:$E$1369,MATCH(493,'Transfer Engine'!$C$2:$C$1369,0)))</f>
        <v/>
      </c>
      <c r="F502" s="8">
        <f>IF(ISNA(MATCH(493,'Transfer Engine'!$C$2:$C$1369,0)),"",INDEX('Compliance Database'!$F$2:$F$1369,MATCH(493,'Transfer Engine'!$C$2:$C$1369,0)))</f>
        <v/>
      </c>
      <c r="G502" s="8">
        <f>IF(ISNA(MATCH(493,'Transfer Engine'!$C$2:$C$1369,0)),"",INDEX('Compliance Database'!$G$2:$G$1369,MATCH(493,'Transfer Engine'!$C$2:$C$1369,0)))</f>
        <v/>
      </c>
      <c r="H502" s="9">
        <f>IF(ISNA(MATCH(493,'Transfer Engine'!$C$2:$C$1369,0)),"",INDEX('Compliance Database'!$H$2:$H$1369,MATCH(493,'Transfer Engine'!$C$2:$C$1369,0)))</f>
        <v/>
      </c>
      <c r="I502" s="9">
        <f>IF(ISNA(MATCH(493,'Transfer Engine'!$C$2:$C$1369,0)),"",INDEX('Compliance Database'!$I$2:$I$1369,MATCH(493,'Transfer Engine'!$C$2:$C$1369,0)))</f>
        <v/>
      </c>
      <c r="J502" s="8">
        <f>IF(ISNA(MATCH(493,'Transfer Engine'!$C$2:$C$1369,0)),"",INDEX('Compliance Database'!$J$2:$J$1369,MATCH(493,'Transfer Engine'!$C$2:$C$1369,0)))</f>
        <v/>
      </c>
      <c r="K502" s="9">
        <f>IF(ISNA(MATCH(493,'Transfer Engine'!$C$2:$C$1369,0)),"",INDEX('Compliance Database'!$K$2:$K$1369,MATCH(493,'Transfer Engine'!$C$2:$C$1369,0)))</f>
        <v/>
      </c>
      <c r="L502" s="9">
        <f>IF(ISNA(MATCH(493,'Transfer Engine'!$C$2:$C$1369,0)),"",INDEX('Compliance Database'!$L$2:$L$1369,MATCH(493,'Transfer Engine'!$C$2:$C$1369,0)))</f>
        <v/>
      </c>
      <c r="M502" s="9">
        <f>IF(ISNA(MATCH(493,'Transfer Engine'!$C$2:$C$1369,0)),"",INDEX('Compliance Database'!$M$2:$M$1369,MATCH(493,'Transfer Engine'!$C$2:$C$1369,0)))</f>
        <v/>
      </c>
      <c r="N502" s="9">
        <f>IF(ISNA(MATCH(493,'Transfer Engine'!$C$2:$C$1369,0)),"",INDEX('Compliance Database'!$N$2:$N$1369,MATCH(493,'Transfer Engine'!$C$2:$C$1369,0)))</f>
        <v/>
      </c>
      <c r="O502" s="8">
        <f>IF(ISNA(MATCH(493,'Transfer Engine'!$C$2:$C$1369,0)),"",HYPERLINK(INDEX('Compliance Database'!$O$2:$O$1369,MATCH(493,'Transfer Engine'!$C$2:$C$1369,0)),"Open PDF"))</f>
        <v/>
      </c>
    </row>
    <row r="503" ht="188" customHeight="1">
      <c r="A503" s="8">
        <f>IF(ISNA(MATCH(494,'Transfer Engine'!$C$2:$C$1369,0)),"",INDEX('Compliance Database'!$A$2:$A$1369,MATCH(494,'Transfer Engine'!$C$2:$C$1369,0)))</f>
        <v/>
      </c>
      <c r="B503" s="8">
        <f>IF(ISNA(MATCH(494,'Transfer Engine'!$C$2:$C$1369,0)),"",INDEX('Compliance Database'!$B$2:$B$1369,MATCH(494,'Transfer Engine'!$C$2:$C$1369,0)))</f>
        <v/>
      </c>
      <c r="C503" s="8">
        <f>IF(ISNA(MATCH(494,'Transfer Engine'!$C$2:$C$1369,0)),"",INDEX('Compliance Database'!$C$2:$C$1369,MATCH(494,'Transfer Engine'!$C$2:$C$1369,0)))</f>
        <v/>
      </c>
      <c r="D503" s="9">
        <f>IF(ISNA(MATCH(494,'Transfer Engine'!$C$2:$C$1369,0)),"",INDEX('Compliance Database'!$D$2:$D$1369,MATCH(494,'Transfer Engine'!$C$2:$C$1369,0)))</f>
        <v/>
      </c>
      <c r="E503" s="8">
        <f>IF(ISNA(MATCH(494,'Transfer Engine'!$C$2:$C$1369,0)),"",INDEX('Compliance Database'!$E$2:$E$1369,MATCH(494,'Transfer Engine'!$C$2:$C$1369,0)))</f>
        <v/>
      </c>
      <c r="F503" s="8">
        <f>IF(ISNA(MATCH(494,'Transfer Engine'!$C$2:$C$1369,0)),"",INDEX('Compliance Database'!$F$2:$F$1369,MATCH(494,'Transfer Engine'!$C$2:$C$1369,0)))</f>
        <v/>
      </c>
      <c r="G503" s="8">
        <f>IF(ISNA(MATCH(494,'Transfer Engine'!$C$2:$C$1369,0)),"",INDEX('Compliance Database'!$G$2:$G$1369,MATCH(494,'Transfer Engine'!$C$2:$C$1369,0)))</f>
        <v/>
      </c>
      <c r="H503" s="9">
        <f>IF(ISNA(MATCH(494,'Transfer Engine'!$C$2:$C$1369,0)),"",INDEX('Compliance Database'!$H$2:$H$1369,MATCH(494,'Transfer Engine'!$C$2:$C$1369,0)))</f>
        <v/>
      </c>
      <c r="I503" s="9">
        <f>IF(ISNA(MATCH(494,'Transfer Engine'!$C$2:$C$1369,0)),"",INDEX('Compliance Database'!$I$2:$I$1369,MATCH(494,'Transfer Engine'!$C$2:$C$1369,0)))</f>
        <v/>
      </c>
      <c r="J503" s="8">
        <f>IF(ISNA(MATCH(494,'Transfer Engine'!$C$2:$C$1369,0)),"",INDEX('Compliance Database'!$J$2:$J$1369,MATCH(494,'Transfer Engine'!$C$2:$C$1369,0)))</f>
        <v/>
      </c>
      <c r="K503" s="9">
        <f>IF(ISNA(MATCH(494,'Transfer Engine'!$C$2:$C$1369,0)),"",INDEX('Compliance Database'!$K$2:$K$1369,MATCH(494,'Transfer Engine'!$C$2:$C$1369,0)))</f>
        <v/>
      </c>
      <c r="L503" s="9">
        <f>IF(ISNA(MATCH(494,'Transfer Engine'!$C$2:$C$1369,0)),"",INDEX('Compliance Database'!$L$2:$L$1369,MATCH(494,'Transfer Engine'!$C$2:$C$1369,0)))</f>
        <v/>
      </c>
      <c r="M503" s="9">
        <f>IF(ISNA(MATCH(494,'Transfer Engine'!$C$2:$C$1369,0)),"",INDEX('Compliance Database'!$M$2:$M$1369,MATCH(494,'Transfer Engine'!$C$2:$C$1369,0)))</f>
        <v/>
      </c>
      <c r="N503" s="9">
        <f>IF(ISNA(MATCH(494,'Transfer Engine'!$C$2:$C$1369,0)),"",INDEX('Compliance Database'!$N$2:$N$1369,MATCH(494,'Transfer Engine'!$C$2:$C$1369,0)))</f>
        <v/>
      </c>
      <c r="O503" s="8">
        <f>IF(ISNA(MATCH(494,'Transfer Engine'!$C$2:$C$1369,0)),"",HYPERLINK(INDEX('Compliance Database'!$O$2:$O$1369,MATCH(494,'Transfer Engine'!$C$2:$C$1369,0)),"Open PDF"))</f>
        <v/>
      </c>
    </row>
    <row r="504" ht="188" customHeight="1">
      <c r="A504" s="8">
        <f>IF(ISNA(MATCH(495,'Transfer Engine'!$C$2:$C$1369,0)),"",INDEX('Compliance Database'!$A$2:$A$1369,MATCH(495,'Transfer Engine'!$C$2:$C$1369,0)))</f>
        <v/>
      </c>
      <c r="B504" s="8">
        <f>IF(ISNA(MATCH(495,'Transfer Engine'!$C$2:$C$1369,0)),"",INDEX('Compliance Database'!$B$2:$B$1369,MATCH(495,'Transfer Engine'!$C$2:$C$1369,0)))</f>
        <v/>
      </c>
      <c r="C504" s="8">
        <f>IF(ISNA(MATCH(495,'Transfer Engine'!$C$2:$C$1369,0)),"",INDEX('Compliance Database'!$C$2:$C$1369,MATCH(495,'Transfer Engine'!$C$2:$C$1369,0)))</f>
        <v/>
      </c>
      <c r="D504" s="9">
        <f>IF(ISNA(MATCH(495,'Transfer Engine'!$C$2:$C$1369,0)),"",INDEX('Compliance Database'!$D$2:$D$1369,MATCH(495,'Transfer Engine'!$C$2:$C$1369,0)))</f>
        <v/>
      </c>
      <c r="E504" s="8">
        <f>IF(ISNA(MATCH(495,'Transfer Engine'!$C$2:$C$1369,0)),"",INDEX('Compliance Database'!$E$2:$E$1369,MATCH(495,'Transfer Engine'!$C$2:$C$1369,0)))</f>
        <v/>
      </c>
      <c r="F504" s="8">
        <f>IF(ISNA(MATCH(495,'Transfer Engine'!$C$2:$C$1369,0)),"",INDEX('Compliance Database'!$F$2:$F$1369,MATCH(495,'Transfer Engine'!$C$2:$C$1369,0)))</f>
        <v/>
      </c>
      <c r="G504" s="8">
        <f>IF(ISNA(MATCH(495,'Transfer Engine'!$C$2:$C$1369,0)),"",INDEX('Compliance Database'!$G$2:$G$1369,MATCH(495,'Transfer Engine'!$C$2:$C$1369,0)))</f>
        <v/>
      </c>
      <c r="H504" s="9">
        <f>IF(ISNA(MATCH(495,'Transfer Engine'!$C$2:$C$1369,0)),"",INDEX('Compliance Database'!$H$2:$H$1369,MATCH(495,'Transfer Engine'!$C$2:$C$1369,0)))</f>
        <v/>
      </c>
      <c r="I504" s="9">
        <f>IF(ISNA(MATCH(495,'Transfer Engine'!$C$2:$C$1369,0)),"",INDEX('Compliance Database'!$I$2:$I$1369,MATCH(495,'Transfer Engine'!$C$2:$C$1369,0)))</f>
        <v/>
      </c>
      <c r="J504" s="8">
        <f>IF(ISNA(MATCH(495,'Transfer Engine'!$C$2:$C$1369,0)),"",INDEX('Compliance Database'!$J$2:$J$1369,MATCH(495,'Transfer Engine'!$C$2:$C$1369,0)))</f>
        <v/>
      </c>
      <c r="K504" s="9">
        <f>IF(ISNA(MATCH(495,'Transfer Engine'!$C$2:$C$1369,0)),"",INDEX('Compliance Database'!$K$2:$K$1369,MATCH(495,'Transfer Engine'!$C$2:$C$1369,0)))</f>
        <v/>
      </c>
      <c r="L504" s="9">
        <f>IF(ISNA(MATCH(495,'Transfer Engine'!$C$2:$C$1369,0)),"",INDEX('Compliance Database'!$L$2:$L$1369,MATCH(495,'Transfer Engine'!$C$2:$C$1369,0)))</f>
        <v/>
      </c>
      <c r="M504" s="9">
        <f>IF(ISNA(MATCH(495,'Transfer Engine'!$C$2:$C$1369,0)),"",INDEX('Compliance Database'!$M$2:$M$1369,MATCH(495,'Transfer Engine'!$C$2:$C$1369,0)))</f>
        <v/>
      </c>
      <c r="N504" s="9">
        <f>IF(ISNA(MATCH(495,'Transfer Engine'!$C$2:$C$1369,0)),"",INDEX('Compliance Database'!$N$2:$N$1369,MATCH(495,'Transfer Engine'!$C$2:$C$1369,0)))</f>
        <v/>
      </c>
      <c r="O504" s="8">
        <f>IF(ISNA(MATCH(495,'Transfer Engine'!$C$2:$C$1369,0)),"",HYPERLINK(INDEX('Compliance Database'!$O$2:$O$1369,MATCH(495,'Transfer Engine'!$C$2:$C$1369,0)),"Open PDF"))</f>
        <v/>
      </c>
    </row>
    <row r="505" ht="188" customHeight="1">
      <c r="A505" s="8">
        <f>IF(ISNA(MATCH(496,'Transfer Engine'!$C$2:$C$1369,0)),"",INDEX('Compliance Database'!$A$2:$A$1369,MATCH(496,'Transfer Engine'!$C$2:$C$1369,0)))</f>
        <v/>
      </c>
      <c r="B505" s="8">
        <f>IF(ISNA(MATCH(496,'Transfer Engine'!$C$2:$C$1369,0)),"",INDEX('Compliance Database'!$B$2:$B$1369,MATCH(496,'Transfer Engine'!$C$2:$C$1369,0)))</f>
        <v/>
      </c>
      <c r="C505" s="8">
        <f>IF(ISNA(MATCH(496,'Transfer Engine'!$C$2:$C$1369,0)),"",INDEX('Compliance Database'!$C$2:$C$1369,MATCH(496,'Transfer Engine'!$C$2:$C$1369,0)))</f>
        <v/>
      </c>
      <c r="D505" s="9">
        <f>IF(ISNA(MATCH(496,'Transfer Engine'!$C$2:$C$1369,0)),"",INDEX('Compliance Database'!$D$2:$D$1369,MATCH(496,'Transfer Engine'!$C$2:$C$1369,0)))</f>
        <v/>
      </c>
      <c r="E505" s="8">
        <f>IF(ISNA(MATCH(496,'Transfer Engine'!$C$2:$C$1369,0)),"",INDEX('Compliance Database'!$E$2:$E$1369,MATCH(496,'Transfer Engine'!$C$2:$C$1369,0)))</f>
        <v/>
      </c>
      <c r="F505" s="8">
        <f>IF(ISNA(MATCH(496,'Transfer Engine'!$C$2:$C$1369,0)),"",INDEX('Compliance Database'!$F$2:$F$1369,MATCH(496,'Transfer Engine'!$C$2:$C$1369,0)))</f>
        <v/>
      </c>
      <c r="G505" s="8">
        <f>IF(ISNA(MATCH(496,'Transfer Engine'!$C$2:$C$1369,0)),"",INDEX('Compliance Database'!$G$2:$G$1369,MATCH(496,'Transfer Engine'!$C$2:$C$1369,0)))</f>
        <v/>
      </c>
      <c r="H505" s="9">
        <f>IF(ISNA(MATCH(496,'Transfer Engine'!$C$2:$C$1369,0)),"",INDEX('Compliance Database'!$H$2:$H$1369,MATCH(496,'Transfer Engine'!$C$2:$C$1369,0)))</f>
        <v/>
      </c>
      <c r="I505" s="9">
        <f>IF(ISNA(MATCH(496,'Transfer Engine'!$C$2:$C$1369,0)),"",INDEX('Compliance Database'!$I$2:$I$1369,MATCH(496,'Transfer Engine'!$C$2:$C$1369,0)))</f>
        <v/>
      </c>
      <c r="J505" s="8">
        <f>IF(ISNA(MATCH(496,'Transfer Engine'!$C$2:$C$1369,0)),"",INDEX('Compliance Database'!$J$2:$J$1369,MATCH(496,'Transfer Engine'!$C$2:$C$1369,0)))</f>
        <v/>
      </c>
      <c r="K505" s="9">
        <f>IF(ISNA(MATCH(496,'Transfer Engine'!$C$2:$C$1369,0)),"",INDEX('Compliance Database'!$K$2:$K$1369,MATCH(496,'Transfer Engine'!$C$2:$C$1369,0)))</f>
        <v/>
      </c>
      <c r="L505" s="9">
        <f>IF(ISNA(MATCH(496,'Transfer Engine'!$C$2:$C$1369,0)),"",INDEX('Compliance Database'!$L$2:$L$1369,MATCH(496,'Transfer Engine'!$C$2:$C$1369,0)))</f>
        <v/>
      </c>
      <c r="M505" s="9">
        <f>IF(ISNA(MATCH(496,'Transfer Engine'!$C$2:$C$1369,0)),"",INDEX('Compliance Database'!$M$2:$M$1369,MATCH(496,'Transfer Engine'!$C$2:$C$1369,0)))</f>
        <v/>
      </c>
      <c r="N505" s="9">
        <f>IF(ISNA(MATCH(496,'Transfer Engine'!$C$2:$C$1369,0)),"",INDEX('Compliance Database'!$N$2:$N$1369,MATCH(496,'Transfer Engine'!$C$2:$C$1369,0)))</f>
        <v/>
      </c>
      <c r="O505" s="8">
        <f>IF(ISNA(MATCH(496,'Transfer Engine'!$C$2:$C$1369,0)),"",HYPERLINK(INDEX('Compliance Database'!$O$2:$O$1369,MATCH(496,'Transfer Engine'!$C$2:$C$1369,0)),"Open PDF"))</f>
        <v/>
      </c>
    </row>
    <row r="506" ht="188" customHeight="1">
      <c r="A506" s="8">
        <f>IF(ISNA(MATCH(497,'Transfer Engine'!$C$2:$C$1369,0)),"",INDEX('Compliance Database'!$A$2:$A$1369,MATCH(497,'Transfer Engine'!$C$2:$C$1369,0)))</f>
        <v/>
      </c>
      <c r="B506" s="8">
        <f>IF(ISNA(MATCH(497,'Transfer Engine'!$C$2:$C$1369,0)),"",INDEX('Compliance Database'!$B$2:$B$1369,MATCH(497,'Transfer Engine'!$C$2:$C$1369,0)))</f>
        <v/>
      </c>
      <c r="C506" s="8">
        <f>IF(ISNA(MATCH(497,'Transfer Engine'!$C$2:$C$1369,0)),"",INDEX('Compliance Database'!$C$2:$C$1369,MATCH(497,'Transfer Engine'!$C$2:$C$1369,0)))</f>
        <v/>
      </c>
      <c r="D506" s="9">
        <f>IF(ISNA(MATCH(497,'Transfer Engine'!$C$2:$C$1369,0)),"",INDEX('Compliance Database'!$D$2:$D$1369,MATCH(497,'Transfer Engine'!$C$2:$C$1369,0)))</f>
        <v/>
      </c>
      <c r="E506" s="8">
        <f>IF(ISNA(MATCH(497,'Transfer Engine'!$C$2:$C$1369,0)),"",INDEX('Compliance Database'!$E$2:$E$1369,MATCH(497,'Transfer Engine'!$C$2:$C$1369,0)))</f>
        <v/>
      </c>
      <c r="F506" s="8">
        <f>IF(ISNA(MATCH(497,'Transfer Engine'!$C$2:$C$1369,0)),"",INDEX('Compliance Database'!$F$2:$F$1369,MATCH(497,'Transfer Engine'!$C$2:$C$1369,0)))</f>
        <v/>
      </c>
      <c r="G506" s="8">
        <f>IF(ISNA(MATCH(497,'Transfer Engine'!$C$2:$C$1369,0)),"",INDEX('Compliance Database'!$G$2:$G$1369,MATCH(497,'Transfer Engine'!$C$2:$C$1369,0)))</f>
        <v/>
      </c>
      <c r="H506" s="9">
        <f>IF(ISNA(MATCH(497,'Transfer Engine'!$C$2:$C$1369,0)),"",INDEX('Compliance Database'!$H$2:$H$1369,MATCH(497,'Transfer Engine'!$C$2:$C$1369,0)))</f>
        <v/>
      </c>
      <c r="I506" s="9">
        <f>IF(ISNA(MATCH(497,'Transfer Engine'!$C$2:$C$1369,0)),"",INDEX('Compliance Database'!$I$2:$I$1369,MATCH(497,'Transfer Engine'!$C$2:$C$1369,0)))</f>
        <v/>
      </c>
      <c r="J506" s="8">
        <f>IF(ISNA(MATCH(497,'Transfer Engine'!$C$2:$C$1369,0)),"",INDEX('Compliance Database'!$J$2:$J$1369,MATCH(497,'Transfer Engine'!$C$2:$C$1369,0)))</f>
        <v/>
      </c>
      <c r="K506" s="9">
        <f>IF(ISNA(MATCH(497,'Transfer Engine'!$C$2:$C$1369,0)),"",INDEX('Compliance Database'!$K$2:$K$1369,MATCH(497,'Transfer Engine'!$C$2:$C$1369,0)))</f>
        <v/>
      </c>
      <c r="L506" s="9">
        <f>IF(ISNA(MATCH(497,'Transfer Engine'!$C$2:$C$1369,0)),"",INDEX('Compliance Database'!$L$2:$L$1369,MATCH(497,'Transfer Engine'!$C$2:$C$1369,0)))</f>
        <v/>
      </c>
      <c r="M506" s="9">
        <f>IF(ISNA(MATCH(497,'Transfer Engine'!$C$2:$C$1369,0)),"",INDEX('Compliance Database'!$M$2:$M$1369,MATCH(497,'Transfer Engine'!$C$2:$C$1369,0)))</f>
        <v/>
      </c>
      <c r="N506" s="9">
        <f>IF(ISNA(MATCH(497,'Transfer Engine'!$C$2:$C$1369,0)),"",INDEX('Compliance Database'!$N$2:$N$1369,MATCH(497,'Transfer Engine'!$C$2:$C$1369,0)))</f>
        <v/>
      </c>
      <c r="O506" s="8">
        <f>IF(ISNA(MATCH(497,'Transfer Engine'!$C$2:$C$1369,0)),"",HYPERLINK(INDEX('Compliance Database'!$O$2:$O$1369,MATCH(497,'Transfer Engine'!$C$2:$C$1369,0)),"Open PDF"))</f>
        <v/>
      </c>
    </row>
    <row r="507" ht="188" customHeight="1">
      <c r="A507" s="8">
        <f>IF(ISNA(MATCH(498,'Transfer Engine'!$C$2:$C$1369,0)),"",INDEX('Compliance Database'!$A$2:$A$1369,MATCH(498,'Transfer Engine'!$C$2:$C$1369,0)))</f>
        <v/>
      </c>
      <c r="B507" s="8">
        <f>IF(ISNA(MATCH(498,'Transfer Engine'!$C$2:$C$1369,0)),"",INDEX('Compliance Database'!$B$2:$B$1369,MATCH(498,'Transfer Engine'!$C$2:$C$1369,0)))</f>
        <v/>
      </c>
      <c r="C507" s="8">
        <f>IF(ISNA(MATCH(498,'Transfer Engine'!$C$2:$C$1369,0)),"",INDEX('Compliance Database'!$C$2:$C$1369,MATCH(498,'Transfer Engine'!$C$2:$C$1369,0)))</f>
        <v/>
      </c>
      <c r="D507" s="9">
        <f>IF(ISNA(MATCH(498,'Transfer Engine'!$C$2:$C$1369,0)),"",INDEX('Compliance Database'!$D$2:$D$1369,MATCH(498,'Transfer Engine'!$C$2:$C$1369,0)))</f>
        <v/>
      </c>
      <c r="E507" s="8">
        <f>IF(ISNA(MATCH(498,'Transfer Engine'!$C$2:$C$1369,0)),"",INDEX('Compliance Database'!$E$2:$E$1369,MATCH(498,'Transfer Engine'!$C$2:$C$1369,0)))</f>
        <v/>
      </c>
      <c r="F507" s="8">
        <f>IF(ISNA(MATCH(498,'Transfer Engine'!$C$2:$C$1369,0)),"",INDEX('Compliance Database'!$F$2:$F$1369,MATCH(498,'Transfer Engine'!$C$2:$C$1369,0)))</f>
        <v/>
      </c>
      <c r="G507" s="8">
        <f>IF(ISNA(MATCH(498,'Transfer Engine'!$C$2:$C$1369,0)),"",INDEX('Compliance Database'!$G$2:$G$1369,MATCH(498,'Transfer Engine'!$C$2:$C$1369,0)))</f>
        <v/>
      </c>
      <c r="H507" s="9">
        <f>IF(ISNA(MATCH(498,'Transfer Engine'!$C$2:$C$1369,0)),"",INDEX('Compliance Database'!$H$2:$H$1369,MATCH(498,'Transfer Engine'!$C$2:$C$1369,0)))</f>
        <v/>
      </c>
      <c r="I507" s="9">
        <f>IF(ISNA(MATCH(498,'Transfer Engine'!$C$2:$C$1369,0)),"",INDEX('Compliance Database'!$I$2:$I$1369,MATCH(498,'Transfer Engine'!$C$2:$C$1369,0)))</f>
        <v/>
      </c>
      <c r="J507" s="8">
        <f>IF(ISNA(MATCH(498,'Transfer Engine'!$C$2:$C$1369,0)),"",INDEX('Compliance Database'!$J$2:$J$1369,MATCH(498,'Transfer Engine'!$C$2:$C$1369,0)))</f>
        <v/>
      </c>
      <c r="K507" s="9">
        <f>IF(ISNA(MATCH(498,'Transfer Engine'!$C$2:$C$1369,0)),"",INDEX('Compliance Database'!$K$2:$K$1369,MATCH(498,'Transfer Engine'!$C$2:$C$1369,0)))</f>
        <v/>
      </c>
      <c r="L507" s="9">
        <f>IF(ISNA(MATCH(498,'Transfer Engine'!$C$2:$C$1369,0)),"",INDEX('Compliance Database'!$L$2:$L$1369,MATCH(498,'Transfer Engine'!$C$2:$C$1369,0)))</f>
        <v/>
      </c>
      <c r="M507" s="9">
        <f>IF(ISNA(MATCH(498,'Transfer Engine'!$C$2:$C$1369,0)),"",INDEX('Compliance Database'!$M$2:$M$1369,MATCH(498,'Transfer Engine'!$C$2:$C$1369,0)))</f>
        <v/>
      </c>
      <c r="N507" s="9">
        <f>IF(ISNA(MATCH(498,'Transfer Engine'!$C$2:$C$1369,0)),"",INDEX('Compliance Database'!$N$2:$N$1369,MATCH(498,'Transfer Engine'!$C$2:$C$1369,0)))</f>
        <v/>
      </c>
      <c r="O507" s="8">
        <f>IF(ISNA(MATCH(498,'Transfer Engine'!$C$2:$C$1369,0)),"",HYPERLINK(INDEX('Compliance Database'!$O$2:$O$1369,MATCH(498,'Transfer Engine'!$C$2:$C$1369,0)),"Open PDF"))</f>
        <v/>
      </c>
    </row>
    <row r="508" ht="188" customHeight="1">
      <c r="A508" s="8">
        <f>IF(ISNA(MATCH(499,'Transfer Engine'!$C$2:$C$1369,0)),"",INDEX('Compliance Database'!$A$2:$A$1369,MATCH(499,'Transfer Engine'!$C$2:$C$1369,0)))</f>
        <v/>
      </c>
      <c r="B508" s="8">
        <f>IF(ISNA(MATCH(499,'Transfer Engine'!$C$2:$C$1369,0)),"",INDEX('Compliance Database'!$B$2:$B$1369,MATCH(499,'Transfer Engine'!$C$2:$C$1369,0)))</f>
        <v/>
      </c>
      <c r="C508" s="8">
        <f>IF(ISNA(MATCH(499,'Transfer Engine'!$C$2:$C$1369,0)),"",INDEX('Compliance Database'!$C$2:$C$1369,MATCH(499,'Transfer Engine'!$C$2:$C$1369,0)))</f>
        <v/>
      </c>
      <c r="D508" s="9">
        <f>IF(ISNA(MATCH(499,'Transfer Engine'!$C$2:$C$1369,0)),"",INDEX('Compliance Database'!$D$2:$D$1369,MATCH(499,'Transfer Engine'!$C$2:$C$1369,0)))</f>
        <v/>
      </c>
      <c r="E508" s="8">
        <f>IF(ISNA(MATCH(499,'Transfer Engine'!$C$2:$C$1369,0)),"",INDEX('Compliance Database'!$E$2:$E$1369,MATCH(499,'Transfer Engine'!$C$2:$C$1369,0)))</f>
        <v/>
      </c>
      <c r="F508" s="8">
        <f>IF(ISNA(MATCH(499,'Transfer Engine'!$C$2:$C$1369,0)),"",INDEX('Compliance Database'!$F$2:$F$1369,MATCH(499,'Transfer Engine'!$C$2:$C$1369,0)))</f>
        <v/>
      </c>
      <c r="G508" s="8">
        <f>IF(ISNA(MATCH(499,'Transfer Engine'!$C$2:$C$1369,0)),"",INDEX('Compliance Database'!$G$2:$G$1369,MATCH(499,'Transfer Engine'!$C$2:$C$1369,0)))</f>
        <v/>
      </c>
      <c r="H508" s="9">
        <f>IF(ISNA(MATCH(499,'Transfer Engine'!$C$2:$C$1369,0)),"",INDEX('Compliance Database'!$H$2:$H$1369,MATCH(499,'Transfer Engine'!$C$2:$C$1369,0)))</f>
        <v/>
      </c>
      <c r="I508" s="9">
        <f>IF(ISNA(MATCH(499,'Transfer Engine'!$C$2:$C$1369,0)),"",INDEX('Compliance Database'!$I$2:$I$1369,MATCH(499,'Transfer Engine'!$C$2:$C$1369,0)))</f>
        <v/>
      </c>
      <c r="J508" s="8">
        <f>IF(ISNA(MATCH(499,'Transfer Engine'!$C$2:$C$1369,0)),"",INDEX('Compliance Database'!$J$2:$J$1369,MATCH(499,'Transfer Engine'!$C$2:$C$1369,0)))</f>
        <v/>
      </c>
      <c r="K508" s="9">
        <f>IF(ISNA(MATCH(499,'Transfer Engine'!$C$2:$C$1369,0)),"",INDEX('Compliance Database'!$K$2:$K$1369,MATCH(499,'Transfer Engine'!$C$2:$C$1369,0)))</f>
        <v/>
      </c>
      <c r="L508" s="9">
        <f>IF(ISNA(MATCH(499,'Transfer Engine'!$C$2:$C$1369,0)),"",INDEX('Compliance Database'!$L$2:$L$1369,MATCH(499,'Transfer Engine'!$C$2:$C$1369,0)))</f>
        <v/>
      </c>
      <c r="M508" s="9">
        <f>IF(ISNA(MATCH(499,'Transfer Engine'!$C$2:$C$1369,0)),"",INDEX('Compliance Database'!$M$2:$M$1369,MATCH(499,'Transfer Engine'!$C$2:$C$1369,0)))</f>
        <v/>
      </c>
      <c r="N508" s="9">
        <f>IF(ISNA(MATCH(499,'Transfer Engine'!$C$2:$C$1369,0)),"",INDEX('Compliance Database'!$N$2:$N$1369,MATCH(499,'Transfer Engine'!$C$2:$C$1369,0)))</f>
        <v/>
      </c>
      <c r="O508" s="8">
        <f>IF(ISNA(MATCH(499,'Transfer Engine'!$C$2:$C$1369,0)),"",HYPERLINK(INDEX('Compliance Database'!$O$2:$O$1369,MATCH(499,'Transfer Engine'!$C$2:$C$1369,0)),"Open PDF"))</f>
        <v/>
      </c>
    </row>
    <row r="509" ht="188" customHeight="1">
      <c r="A509" s="8">
        <f>IF(ISNA(MATCH(500,'Transfer Engine'!$C$2:$C$1369,0)),"",INDEX('Compliance Database'!$A$2:$A$1369,MATCH(500,'Transfer Engine'!$C$2:$C$1369,0)))</f>
        <v/>
      </c>
      <c r="B509" s="8">
        <f>IF(ISNA(MATCH(500,'Transfer Engine'!$C$2:$C$1369,0)),"",INDEX('Compliance Database'!$B$2:$B$1369,MATCH(500,'Transfer Engine'!$C$2:$C$1369,0)))</f>
        <v/>
      </c>
      <c r="C509" s="8">
        <f>IF(ISNA(MATCH(500,'Transfer Engine'!$C$2:$C$1369,0)),"",INDEX('Compliance Database'!$C$2:$C$1369,MATCH(500,'Transfer Engine'!$C$2:$C$1369,0)))</f>
        <v/>
      </c>
      <c r="D509" s="9">
        <f>IF(ISNA(MATCH(500,'Transfer Engine'!$C$2:$C$1369,0)),"",INDEX('Compliance Database'!$D$2:$D$1369,MATCH(500,'Transfer Engine'!$C$2:$C$1369,0)))</f>
        <v/>
      </c>
      <c r="E509" s="8">
        <f>IF(ISNA(MATCH(500,'Transfer Engine'!$C$2:$C$1369,0)),"",INDEX('Compliance Database'!$E$2:$E$1369,MATCH(500,'Transfer Engine'!$C$2:$C$1369,0)))</f>
        <v/>
      </c>
      <c r="F509" s="8">
        <f>IF(ISNA(MATCH(500,'Transfer Engine'!$C$2:$C$1369,0)),"",INDEX('Compliance Database'!$F$2:$F$1369,MATCH(500,'Transfer Engine'!$C$2:$C$1369,0)))</f>
        <v/>
      </c>
      <c r="G509" s="8">
        <f>IF(ISNA(MATCH(500,'Transfer Engine'!$C$2:$C$1369,0)),"",INDEX('Compliance Database'!$G$2:$G$1369,MATCH(500,'Transfer Engine'!$C$2:$C$1369,0)))</f>
        <v/>
      </c>
      <c r="H509" s="9">
        <f>IF(ISNA(MATCH(500,'Transfer Engine'!$C$2:$C$1369,0)),"",INDEX('Compliance Database'!$H$2:$H$1369,MATCH(500,'Transfer Engine'!$C$2:$C$1369,0)))</f>
        <v/>
      </c>
      <c r="I509" s="9">
        <f>IF(ISNA(MATCH(500,'Transfer Engine'!$C$2:$C$1369,0)),"",INDEX('Compliance Database'!$I$2:$I$1369,MATCH(500,'Transfer Engine'!$C$2:$C$1369,0)))</f>
        <v/>
      </c>
      <c r="J509" s="8">
        <f>IF(ISNA(MATCH(500,'Transfer Engine'!$C$2:$C$1369,0)),"",INDEX('Compliance Database'!$J$2:$J$1369,MATCH(500,'Transfer Engine'!$C$2:$C$1369,0)))</f>
        <v/>
      </c>
      <c r="K509" s="9">
        <f>IF(ISNA(MATCH(500,'Transfer Engine'!$C$2:$C$1369,0)),"",INDEX('Compliance Database'!$K$2:$K$1369,MATCH(500,'Transfer Engine'!$C$2:$C$1369,0)))</f>
        <v/>
      </c>
      <c r="L509" s="9">
        <f>IF(ISNA(MATCH(500,'Transfer Engine'!$C$2:$C$1369,0)),"",INDEX('Compliance Database'!$L$2:$L$1369,MATCH(500,'Transfer Engine'!$C$2:$C$1369,0)))</f>
        <v/>
      </c>
      <c r="M509" s="9">
        <f>IF(ISNA(MATCH(500,'Transfer Engine'!$C$2:$C$1369,0)),"",INDEX('Compliance Database'!$M$2:$M$1369,MATCH(500,'Transfer Engine'!$C$2:$C$1369,0)))</f>
        <v/>
      </c>
      <c r="N509" s="9">
        <f>IF(ISNA(MATCH(500,'Transfer Engine'!$C$2:$C$1369,0)),"",INDEX('Compliance Database'!$N$2:$N$1369,MATCH(500,'Transfer Engine'!$C$2:$C$1369,0)))</f>
        <v/>
      </c>
      <c r="O509" s="8">
        <f>IF(ISNA(MATCH(500,'Transfer Engine'!$C$2:$C$1369,0)),"",HYPERLINK(INDEX('Compliance Database'!$O$2:$O$1369,MATCH(500,'Transfer Engine'!$C$2:$C$1369,0)),"Open PDF"))</f>
        <v/>
      </c>
    </row>
    <row r="510" ht="188" customHeight="1">
      <c r="A510" s="8">
        <f>IF(ISNA(MATCH(501,'Transfer Engine'!$C$2:$C$1369,0)),"",INDEX('Compliance Database'!$A$2:$A$1369,MATCH(501,'Transfer Engine'!$C$2:$C$1369,0)))</f>
        <v/>
      </c>
      <c r="B510" s="8">
        <f>IF(ISNA(MATCH(501,'Transfer Engine'!$C$2:$C$1369,0)),"",INDEX('Compliance Database'!$B$2:$B$1369,MATCH(501,'Transfer Engine'!$C$2:$C$1369,0)))</f>
        <v/>
      </c>
      <c r="C510" s="8">
        <f>IF(ISNA(MATCH(501,'Transfer Engine'!$C$2:$C$1369,0)),"",INDEX('Compliance Database'!$C$2:$C$1369,MATCH(501,'Transfer Engine'!$C$2:$C$1369,0)))</f>
        <v/>
      </c>
      <c r="D510" s="9">
        <f>IF(ISNA(MATCH(501,'Transfer Engine'!$C$2:$C$1369,0)),"",INDEX('Compliance Database'!$D$2:$D$1369,MATCH(501,'Transfer Engine'!$C$2:$C$1369,0)))</f>
        <v/>
      </c>
      <c r="E510" s="8">
        <f>IF(ISNA(MATCH(501,'Transfer Engine'!$C$2:$C$1369,0)),"",INDEX('Compliance Database'!$E$2:$E$1369,MATCH(501,'Transfer Engine'!$C$2:$C$1369,0)))</f>
        <v/>
      </c>
      <c r="F510" s="8">
        <f>IF(ISNA(MATCH(501,'Transfer Engine'!$C$2:$C$1369,0)),"",INDEX('Compliance Database'!$F$2:$F$1369,MATCH(501,'Transfer Engine'!$C$2:$C$1369,0)))</f>
        <v/>
      </c>
      <c r="G510" s="8">
        <f>IF(ISNA(MATCH(501,'Transfer Engine'!$C$2:$C$1369,0)),"",INDEX('Compliance Database'!$G$2:$G$1369,MATCH(501,'Transfer Engine'!$C$2:$C$1369,0)))</f>
        <v/>
      </c>
      <c r="H510" s="9">
        <f>IF(ISNA(MATCH(501,'Transfer Engine'!$C$2:$C$1369,0)),"",INDEX('Compliance Database'!$H$2:$H$1369,MATCH(501,'Transfer Engine'!$C$2:$C$1369,0)))</f>
        <v/>
      </c>
      <c r="I510" s="9">
        <f>IF(ISNA(MATCH(501,'Transfer Engine'!$C$2:$C$1369,0)),"",INDEX('Compliance Database'!$I$2:$I$1369,MATCH(501,'Transfer Engine'!$C$2:$C$1369,0)))</f>
        <v/>
      </c>
      <c r="J510" s="8">
        <f>IF(ISNA(MATCH(501,'Transfer Engine'!$C$2:$C$1369,0)),"",INDEX('Compliance Database'!$J$2:$J$1369,MATCH(501,'Transfer Engine'!$C$2:$C$1369,0)))</f>
        <v/>
      </c>
      <c r="K510" s="9">
        <f>IF(ISNA(MATCH(501,'Transfer Engine'!$C$2:$C$1369,0)),"",INDEX('Compliance Database'!$K$2:$K$1369,MATCH(501,'Transfer Engine'!$C$2:$C$1369,0)))</f>
        <v/>
      </c>
      <c r="L510" s="9">
        <f>IF(ISNA(MATCH(501,'Transfer Engine'!$C$2:$C$1369,0)),"",INDEX('Compliance Database'!$L$2:$L$1369,MATCH(501,'Transfer Engine'!$C$2:$C$1369,0)))</f>
        <v/>
      </c>
      <c r="M510" s="9">
        <f>IF(ISNA(MATCH(501,'Transfer Engine'!$C$2:$C$1369,0)),"",INDEX('Compliance Database'!$M$2:$M$1369,MATCH(501,'Transfer Engine'!$C$2:$C$1369,0)))</f>
        <v/>
      </c>
      <c r="N510" s="9">
        <f>IF(ISNA(MATCH(501,'Transfer Engine'!$C$2:$C$1369,0)),"",INDEX('Compliance Database'!$N$2:$N$1369,MATCH(501,'Transfer Engine'!$C$2:$C$1369,0)))</f>
        <v/>
      </c>
      <c r="O510" s="8">
        <f>IF(ISNA(MATCH(501,'Transfer Engine'!$C$2:$C$1369,0)),"",HYPERLINK(INDEX('Compliance Database'!$O$2:$O$1369,MATCH(501,'Transfer Engine'!$C$2:$C$1369,0)),"Open PDF"))</f>
        <v/>
      </c>
    </row>
    <row r="511" ht="188" customHeight="1">
      <c r="A511" s="8">
        <f>IF(ISNA(MATCH(502,'Transfer Engine'!$C$2:$C$1369,0)),"",INDEX('Compliance Database'!$A$2:$A$1369,MATCH(502,'Transfer Engine'!$C$2:$C$1369,0)))</f>
        <v/>
      </c>
      <c r="B511" s="8">
        <f>IF(ISNA(MATCH(502,'Transfer Engine'!$C$2:$C$1369,0)),"",INDEX('Compliance Database'!$B$2:$B$1369,MATCH(502,'Transfer Engine'!$C$2:$C$1369,0)))</f>
        <v/>
      </c>
      <c r="C511" s="8">
        <f>IF(ISNA(MATCH(502,'Transfer Engine'!$C$2:$C$1369,0)),"",INDEX('Compliance Database'!$C$2:$C$1369,MATCH(502,'Transfer Engine'!$C$2:$C$1369,0)))</f>
        <v/>
      </c>
      <c r="D511" s="9">
        <f>IF(ISNA(MATCH(502,'Transfer Engine'!$C$2:$C$1369,0)),"",INDEX('Compliance Database'!$D$2:$D$1369,MATCH(502,'Transfer Engine'!$C$2:$C$1369,0)))</f>
        <v/>
      </c>
      <c r="E511" s="8">
        <f>IF(ISNA(MATCH(502,'Transfer Engine'!$C$2:$C$1369,0)),"",INDEX('Compliance Database'!$E$2:$E$1369,MATCH(502,'Transfer Engine'!$C$2:$C$1369,0)))</f>
        <v/>
      </c>
      <c r="F511" s="8">
        <f>IF(ISNA(MATCH(502,'Transfer Engine'!$C$2:$C$1369,0)),"",INDEX('Compliance Database'!$F$2:$F$1369,MATCH(502,'Transfer Engine'!$C$2:$C$1369,0)))</f>
        <v/>
      </c>
      <c r="G511" s="8">
        <f>IF(ISNA(MATCH(502,'Transfer Engine'!$C$2:$C$1369,0)),"",INDEX('Compliance Database'!$G$2:$G$1369,MATCH(502,'Transfer Engine'!$C$2:$C$1369,0)))</f>
        <v/>
      </c>
      <c r="H511" s="9">
        <f>IF(ISNA(MATCH(502,'Transfer Engine'!$C$2:$C$1369,0)),"",INDEX('Compliance Database'!$H$2:$H$1369,MATCH(502,'Transfer Engine'!$C$2:$C$1369,0)))</f>
        <v/>
      </c>
      <c r="I511" s="9">
        <f>IF(ISNA(MATCH(502,'Transfer Engine'!$C$2:$C$1369,0)),"",INDEX('Compliance Database'!$I$2:$I$1369,MATCH(502,'Transfer Engine'!$C$2:$C$1369,0)))</f>
        <v/>
      </c>
      <c r="J511" s="8">
        <f>IF(ISNA(MATCH(502,'Transfer Engine'!$C$2:$C$1369,0)),"",INDEX('Compliance Database'!$J$2:$J$1369,MATCH(502,'Transfer Engine'!$C$2:$C$1369,0)))</f>
        <v/>
      </c>
      <c r="K511" s="9">
        <f>IF(ISNA(MATCH(502,'Transfer Engine'!$C$2:$C$1369,0)),"",INDEX('Compliance Database'!$K$2:$K$1369,MATCH(502,'Transfer Engine'!$C$2:$C$1369,0)))</f>
        <v/>
      </c>
      <c r="L511" s="9">
        <f>IF(ISNA(MATCH(502,'Transfer Engine'!$C$2:$C$1369,0)),"",INDEX('Compliance Database'!$L$2:$L$1369,MATCH(502,'Transfer Engine'!$C$2:$C$1369,0)))</f>
        <v/>
      </c>
      <c r="M511" s="9">
        <f>IF(ISNA(MATCH(502,'Transfer Engine'!$C$2:$C$1369,0)),"",INDEX('Compliance Database'!$M$2:$M$1369,MATCH(502,'Transfer Engine'!$C$2:$C$1369,0)))</f>
        <v/>
      </c>
      <c r="N511" s="9">
        <f>IF(ISNA(MATCH(502,'Transfer Engine'!$C$2:$C$1369,0)),"",INDEX('Compliance Database'!$N$2:$N$1369,MATCH(502,'Transfer Engine'!$C$2:$C$1369,0)))</f>
        <v/>
      </c>
      <c r="O511" s="8">
        <f>IF(ISNA(MATCH(502,'Transfer Engine'!$C$2:$C$1369,0)),"",HYPERLINK(INDEX('Compliance Database'!$O$2:$O$1369,MATCH(502,'Transfer Engine'!$C$2:$C$1369,0)),"Open PDF"))</f>
        <v/>
      </c>
    </row>
    <row r="512" ht="188" customHeight="1">
      <c r="A512" s="8">
        <f>IF(ISNA(MATCH(503,'Transfer Engine'!$C$2:$C$1369,0)),"",INDEX('Compliance Database'!$A$2:$A$1369,MATCH(503,'Transfer Engine'!$C$2:$C$1369,0)))</f>
        <v/>
      </c>
      <c r="B512" s="8">
        <f>IF(ISNA(MATCH(503,'Transfer Engine'!$C$2:$C$1369,0)),"",INDEX('Compliance Database'!$B$2:$B$1369,MATCH(503,'Transfer Engine'!$C$2:$C$1369,0)))</f>
        <v/>
      </c>
      <c r="C512" s="8">
        <f>IF(ISNA(MATCH(503,'Transfer Engine'!$C$2:$C$1369,0)),"",INDEX('Compliance Database'!$C$2:$C$1369,MATCH(503,'Transfer Engine'!$C$2:$C$1369,0)))</f>
        <v/>
      </c>
      <c r="D512" s="9">
        <f>IF(ISNA(MATCH(503,'Transfer Engine'!$C$2:$C$1369,0)),"",INDEX('Compliance Database'!$D$2:$D$1369,MATCH(503,'Transfer Engine'!$C$2:$C$1369,0)))</f>
        <v/>
      </c>
      <c r="E512" s="8">
        <f>IF(ISNA(MATCH(503,'Transfer Engine'!$C$2:$C$1369,0)),"",INDEX('Compliance Database'!$E$2:$E$1369,MATCH(503,'Transfer Engine'!$C$2:$C$1369,0)))</f>
        <v/>
      </c>
      <c r="F512" s="8">
        <f>IF(ISNA(MATCH(503,'Transfer Engine'!$C$2:$C$1369,0)),"",INDEX('Compliance Database'!$F$2:$F$1369,MATCH(503,'Transfer Engine'!$C$2:$C$1369,0)))</f>
        <v/>
      </c>
      <c r="G512" s="8">
        <f>IF(ISNA(MATCH(503,'Transfer Engine'!$C$2:$C$1369,0)),"",INDEX('Compliance Database'!$G$2:$G$1369,MATCH(503,'Transfer Engine'!$C$2:$C$1369,0)))</f>
        <v/>
      </c>
      <c r="H512" s="9">
        <f>IF(ISNA(MATCH(503,'Transfer Engine'!$C$2:$C$1369,0)),"",INDEX('Compliance Database'!$H$2:$H$1369,MATCH(503,'Transfer Engine'!$C$2:$C$1369,0)))</f>
        <v/>
      </c>
      <c r="I512" s="9">
        <f>IF(ISNA(MATCH(503,'Transfer Engine'!$C$2:$C$1369,0)),"",INDEX('Compliance Database'!$I$2:$I$1369,MATCH(503,'Transfer Engine'!$C$2:$C$1369,0)))</f>
        <v/>
      </c>
      <c r="J512" s="8">
        <f>IF(ISNA(MATCH(503,'Transfer Engine'!$C$2:$C$1369,0)),"",INDEX('Compliance Database'!$J$2:$J$1369,MATCH(503,'Transfer Engine'!$C$2:$C$1369,0)))</f>
        <v/>
      </c>
      <c r="K512" s="9">
        <f>IF(ISNA(MATCH(503,'Transfer Engine'!$C$2:$C$1369,0)),"",INDEX('Compliance Database'!$K$2:$K$1369,MATCH(503,'Transfer Engine'!$C$2:$C$1369,0)))</f>
        <v/>
      </c>
      <c r="L512" s="9">
        <f>IF(ISNA(MATCH(503,'Transfer Engine'!$C$2:$C$1369,0)),"",INDEX('Compliance Database'!$L$2:$L$1369,MATCH(503,'Transfer Engine'!$C$2:$C$1369,0)))</f>
        <v/>
      </c>
      <c r="M512" s="9">
        <f>IF(ISNA(MATCH(503,'Transfer Engine'!$C$2:$C$1369,0)),"",INDEX('Compliance Database'!$M$2:$M$1369,MATCH(503,'Transfer Engine'!$C$2:$C$1369,0)))</f>
        <v/>
      </c>
      <c r="N512" s="9">
        <f>IF(ISNA(MATCH(503,'Transfer Engine'!$C$2:$C$1369,0)),"",INDEX('Compliance Database'!$N$2:$N$1369,MATCH(503,'Transfer Engine'!$C$2:$C$1369,0)))</f>
        <v/>
      </c>
      <c r="O512" s="8">
        <f>IF(ISNA(MATCH(503,'Transfer Engine'!$C$2:$C$1369,0)),"",HYPERLINK(INDEX('Compliance Database'!$O$2:$O$1369,MATCH(503,'Transfer Engine'!$C$2:$C$1369,0)),"Open PDF"))</f>
        <v/>
      </c>
    </row>
    <row r="513" ht="188" customHeight="1">
      <c r="A513" s="8">
        <f>IF(ISNA(MATCH(504,'Transfer Engine'!$C$2:$C$1369,0)),"",INDEX('Compliance Database'!$A$2:$A$1369,MATCH(504,'Transfer Engine'!$C$2:$C$1369,0)))</f>
        <v/>
      </c>
      <c r="B513" s="8">
        <f>IF(ISNA(MATCH(504,'Transfer Engine'!$C$2:$C$1369,0)),"",INDEX('Compliance Database'!$B$2:$B$1369,MATCH(504,'Transfer Engine'!$C$2:$C$1369,0)))</f>
        <v/>
      </c>
      <c r="C513" s="8">
        <f>IF(ISNA(MATCH(504,'Transfer Engine'!$C$2:$C$1369,0)),"",INDEX('Compliance Database'!$C$2:$C$1369,MATCH(504,'Transfer Engine'!$C$2:$C$1369,0)))</f>
        <v/>
      </c>
      <c r="D513" s="9">
        <f>IF(ISNA(MATCH(504,'Transfer Engine'!$C$2:$C$1369,0)),"",INDEX('Compliance Database'!$D$2:$D$1369,MATCH(504,'Transfer Engine'!$C$2:$C$1369,0)))</f>
        <v/>
      </c>
      <c r="E513" s="8">
        <f>IF(ISNA(MATCH(504,'Transfer Engine'!$C$2:$C$1369,0)),"",INDEX('Compliance Database'!$E$2:$E$1369,MATCH(504,'Transfer Engine'!$C$2:$C$1369,0)))</f>
        <v/>
      </c>
      <c r="F513" s="8">
        <f>IF(ISNA(MATCH(504,'Transfer Engine'!$C$2:$C$1369,0)),"",INDEX('Compliance Database'!$F$2:$F$1369,MATCH(504,'Transfer Engine'!$C$2:$C$1369,0)))</f>
        <v/>
      </c>
      <c r="G513" s="8">
        <f>IF(ISNA(MATCH(504,'Transfer Engine'!$C$2:$C$1369,0)),"",INDEX('Compliance Database'!$G$2:$G$1369,MATCH(504,'Transfer Engine'!$C$2:$C$1369,0)))</f>
        <v/>
      </c>
      <c r="H513" s="9">
        <f>IF(ISNA(MATCH(504,'Transfer Engine'!$C$2:$C$1369,0)),"",INDEX('Compliance Database'!$H$2:$H$1369,MATCH(504,'Transfer Engine'!$C$2:$C$1369,0)))</f>
        <v/>
      </c>
      <c r="I513" s="9">
        <f>IF(ISNA(MATCH(504,'Transfer Engine'!$C$2:$C$1369,0)),"",INDEX('Compliance Database'!$I$2:$I$1369,MATCH(504,'Transfer Engine'!$C$2:$C$1369,0)))</f>
        <v/>
      </c>
      <c r="J513" s="8">
        <f>IF(ISNA(MATCH(504,'Transfer Engine'!$C$2:$C$1369,0)),"",INDEX('Compliance Database'!$J$2:$J$1369,MATCH(504,'Transfer Engine'!$C$2:$C$1369,0)))</f>
        <v/>
      </c>
      <c r="K513" s="9">
        <f>IF(ISNA(MATCH(504,'Transfer Engine'!$C$2:$C$1369,0)),"",INDEX('Compliance Database'!$K$2:$K$1369,MATCH(504,'Transfer Engine'!$C$2:$C$1369,0)))</f>
        <v/>
      </c>
      <c r="L513" s="9">
        <f>IF(ISNA(MATCH(504,'Transfer Engine'!$C$2:$C$1369,0)),"",INDEX('Compliance Database'!$L$2:$L$1369,MATCH(504,'Transfer Engine'!$C$2:$C$1369,0)))</f>
        <v/>
      </c>
      <c r="M513" s="9">
        <f>IF(ISNA(MATCH(504,'Transfer Engine'!$C$2:$C$1369,0)),"",INDEX('Compliance Database'!$M$2:$M$1369,MATCH(504,'Transfer Engine'!$C$2:$C$1369,0)))</f>
        <v/>
      </c>
      <c r="N513" s="9">
        <f>IF(ISNA(MATCH(504,'Transfer Engine'!$C$2:$C$1369,0)),"",INDEX('Compliance Database'!$N$2:$N$1369,MATCH(504,'Transfer Engine'!$C$2:$C$1369,0)))</f>
        <v/>
      </c>
      <c r="O513" s="8">
        <f>IF(ISNA(MATCH(504,'Transfer Engine'!$C$2:$C$1369,0)),"",HYPERLINK(INDEX('Compliance Database'!$O$2:$O$1369,MATCH(504,'Transfer Engine'!$C$2:$C$1369,0)),"Open PDF"))</f>
        <v/>
      </c>
    </row>
    <row r="514" ht="188" customHeight="1">
      <c r="A514" s="8">
        <f>IF(ISNA(MATCH(505,'Transfer Engine'!$C$2:$C$1369,0)),"",INDEX('Compliance Database'!$A$2:$A$1369,MATCH(505,'Transfer Engine'!$C$2:$C$1369,0)))</f>
        <v/>
      </c>
      <c r="B514" s="8">
        <f>IF(ISNA(MATCH(505,'Transfer Engine'!$C$2:$C$1369,0)),"",INDEX('Compliance Database'!$B$2:$B$1369,MATCH(505,'Transfer Engine'!$C$2:$C$1369,0)))</f>
        <v/>
      </c>
      <c r="C514" s="8">
        <f>IF(ISNA(MATCH(505,'Transfer Engine'!$C$2:$C$1369,0)),"",INDEX('Compliance Database'!$C$2:$C$1369,MATCH(505,'Transfer Engine'!$C$2:$C$1369,0)))</f>
        <v/>
      </c>
      <c r="D514" s="9">
        <f>IF(ISNA(MATCH(505,'Transfer Engine'!$C$2:$C$1369,0)),"",INDEX('Compliance Database'!$D$2:$D$1369,MATCH(505,'Transfer Engine'!$C$2:$C$1369,0)))</f>
        <v/>
      </c>
      <c r="E514" s="8">
        <f>IF(ISNA(MATCH(505,'Transfer Engine'!$C$2:$C$1369,0)),"",INDEX('Compliance Database'!$E$2:$E$1369,MATCH(505,'Transfer Engine'!$C$2:$C$1369,0)))</f>
        <v/>
      </c>
      <c r="F514" s="8">
        <f>IF(ISNA(MATCH(505,'Transfer Engine'!$C$2:$C$1369,0)),"",INDEX('Compliance Database'!$F$2:$F$1369,MATCH(505,'Transfer Engine'!$C$2:$C$1369,0)))</f>
        <v/>
      </c>
      <c r="G514" s="8">
        <f>IF(ISNA(MATCH(505,'Transfer Engine'!$C$2:$C$1369,0)),"",INDEX('Compliance Database'!$G$2:$G$1369,MATCH(505,'Transfer Engine'!$C$2:$C$1369,0)))</f>
        <v/>
      </c>
      <c r="H514" s="9">
        <f>IF(ISNA(MATCH(505,'Transfer Engine'!$C$2:$C$1369,0)),"",INDEX('Compliance Database'!$H$2:$H$1369,MATCH(505,'Transfer Engine'!$C$2:$C$1369,0)))</f>
        <v/>
      </c>
      <c r="I514" s="9">
        <f>IF(ISNA(MATCH(505,'Transfer Engine'!$C$2:$C$1369,0)),"",INDEX('Compliance Database'!$I$2:$I$1369,MATCH(505,'Transfer Engine'!$C$2:$C$1369,0)))</f>
        <v/>
      </c>
      <c r="J514" s="8">
        <f>IF(ISNA(MATCH(505,'Transfer Engine'!$C$2:$C$1369,0)),"",INDEX('Compliance Database'!$J$2:$J$1369,MATCH(505,'Transfer Engine'!$C$2:$C$1369,0)))</f>
        <v/>
      </c>
      <c r="K514" s="9">
        <f>IF(ISNA(MATCH(505,'Transfer Engine'!$C$2:$C$1369,0)),"",INDEX('Compliance Database'!$K$2:$K$1369,MATCH(505,'Transfer Engine'!$C$2:$C$1369,0)))</f>
        <v/>
      </c>
      <c r="L514" s="9">
        <f>IF(ISNA(MATCH(505,'Transfer Engine'!$C$2:$C$1369,0)),"",INDEX('Compliance Database'!$L$2:$L$1369,MATCH(505,'Transfer Engine'!$C$2:$C$1369,0)))</f>
        <v/>
      </c>
      <c r="M514" s="9">
        <f>IF(ISNA(MATCH(505,'Transfer Engine'!$C$2:$C$1369,0)),"",INDEX('Compliance Database'!$M$2:$M$1369,MATCH(505,'Transfer Engine'!$C$2:$C$1369,0)))</f>
        <v/>
      </c>
      <c r="N514" s="9">
        <f>IF(ISNA(MATCH(505,'Transfer Engine'!$C$2:$C$1369,0)),"",INDEX('Compliance Database'!$N$2:$N$1369,MATCH(505,'Transfer Engine'!$C$2:$C$1369,0)))</f>
        <v/>
      </c>
      <c r="O514" s="8">
        <f>IF(ISNA(MATCH(505,'Transfer Engine'!$C$2:$C$1369,0)),"",HYPERLINK(INDEX('Compliance Database'!$O$2:$O$1369,MATCH(505,'Transfer Engine'!$C$2:$C$1369,0)),"Open PDF"))</f>
        <v/>
      </c>
    </row>
    <row r="515" ht="188" customHeight="1">
      <c r="A515" s="8">
        <f>IF(ISNA(MATCH(506,'Transfer Engine'!$C$2:$C$1369,0)),"",INDEX('Compliance Database'!$A$2:$A$1369,MATCH(506,'Transfer Engine'!$C$2:$C$1369,0)))</f>
        <v/>
      </c>
      <c r="B515" s="8">
        <f>IF(ISNA(MATCH(506,'Transfer Engine'!$C$2:$C$1369,0)),"",INDEX('Compliance Database'!$B$2:$B$1369,MATCH(506,'Transfer Engine'!$C$2:$C$1369,0)))</f>
        <v/>
      </c>
      <c r="C515" s="8">
        <f>IF(ISNA(MATCH(506,'Transfer Engine'!$C$2:$C$1369,0)),"",INDEX('Compliance Database'!$C$2:$C$1369,MATCH(506,'Transfer Engine'!$C$2:$C$1369,0)))</f>
        <v/>
      </c>
      <c r="D515" s="9">
        <f>IF(ISNA(MATCH(506,'Transfer Engine'!$C$2:$C$1369,0)),"",INDEX('Compliance Database'!$D$2:$D$1369,MATCH(506,'Transfer Engine'!$C$2:$C$1369,0)))</f>
        <v/>
      </c>
      <c r="E515" s="8">
        <f>IF(ISNA(MATCH(506,'Transfer Engine'!$C$2:$C$1369,0)),"",INDEX('Compliance Database'!$E$2:$E$1369,MATCH(506,'Transfer Engine'!$C$2:$C$1369,0)))</f>
        <v/>
      </c>
      <c r="F515" s="8">
        <f>IF(ISNA(MATCH(506,'Transfer Engine'!$C$2:$C$1369,0)),"",INDEX('Compliance Database'!$F$2:$F$1369,MATCH(506,'Transfer Engine'!$C$2:$C$1369,0)))</f>
        <v/>
      </c>
      <c r="G515" s="8">
        <f>IF(ISNA(MATCH(506,'Transfer Engine'!$C$2:$C$1369,0)),"",INDEX('Compliance Database'!$G$2:$G$1369,MATCH(506,'Transfer Engine'!$C$2:$C$1369,0)))</f>
        <v/>
      </c>
      <c r="H515" s="9">
        <f>IF(ISNA(MATCH(506,'Transfer Engine'!$C$2:$C$1369,0)),"",INDEX('Compliance Database'!$H$2:$H$1369,MATCH(506,'Transfer Engine'!$C$2:$C$1369,0)))</f>
        <v/>
      </c>
      <c r="I515" s="9">
        <f>IF(ISNA(MATCH(506,'Transfer Engine'!$C$2:$C$1369,0)),"",INDEX('Compliance Database'!$I$2:$I$1369,MATCH(506,'Transfer Engine'!$C$2:$C$1369,0)))</f>
        <v/>
      </c>
      <c r="J515" s="8">
        <f>IF(ISNA(MATCH(506,'Transfer Engine'!$C$2:$C$1369,0)),"",INDEX('Compliance Database'!$J$2:$J$1369,MATCH(506,'Transfer Engine'!$C$2:$C$1369,0)))</f>
        <v/>
      </c>
      <c r="K515" s="9">
        <f>IF(ISNA(MATCH(506,'Transfer Engine'!$C$2:$C$1369,0)),"",INDEX('Compliance Database'!$K$2:$K$1369,MATCH(506,'Transfer Engine'!$C$2:$C$1369,0)))</f>
        <v/>
      </c>
      <c r="L515" s="9">
        <f>IF(ISNA(MATCH(506,'Transfer Engine'!$C$2:$C$1369,0)),"",INDEX('Compliance Database'!$L$2:$L$1369,MATCH(506,'Transfer Engine'!$C$2:$C$1369,0)))</f>
        <v/>
      </c>
      <c r="M515" s="9">
        <f>IF(ISNA(MATCH(506,'Transfer Engine'!$C$2:$C$1369,0)),"",INDEX('Compliance Database'!$M$2:$M$1369,MATCH(506,'Transfer Engine'!$C$2:$C$1369,0)))</f>
        <v/>
      </c>
      <c r="N515" s="9">
        <f>IF(ISNA(MATCH(506,'Transfer Engine'!$C$2:$C$1369,0)),"",INDEX('Compliance Database'!$N$2:$N$1369,MATCH(506,'Transfer Engine'!$C$2:$C$1369,0)))</f>
        <v/>
      </c>
      <c r="O515" s="8">
        <f>IF(ISNA(MATCH(506,'Transfer Engine'!$C$2:$C$1369,0)),"",HYPERLINK(INDEX('Compliance Database'!$O$2:$O$1369,MATCH(506,'Transfer Engine'!$C$2:$C$1369,0)),"Open PDF"))</f>
        <v/>
      </c>
    </row>
    <row r="516" ht="188" customHeight="1">
      <c r="A516" s="8">
        <f>IF(ISNA(MATCH(507,'Transfer Engine'!$C$2:$C$1369,0)),"",INDEX('Compliance Database'!$A$2:$A$1369,MATCH(507,'Transfer Engine'!$C$2:$C$1369,0)))</f>
        <v/>
      </c>
      <c r="B516" s="8">
        <f>IF(ISNA(MATCH(507,'Transfer Engine'!$C$2:$C$1369,0)),"",INDEX('Compliance Database'!$B$2:$B$1369,MATCH(507,'Transfer Engine'!$C$2:$C$1369,0)))</f>
        <v/>
      </c>
      <c r="C516" s="8">
        <f>IF(ISNA(MATCH(507,'Transfer Engine'!$C$2:$C$1369,0)),"",INDEX('Compliance Database'!$C$2:$C$1369,MATCH(507,'Transfer Engine'!$C$2:$C$1369,0)))</f>
        <v/>
      </c>
      <c r="D516" s="9">
        <f>IF(ISNA(MATCH(507,'Transfer Engine'!$C$2:$C$1369,0)),"",INDEX('Compliance Database'!$D$2:$D$1369,MATCH(507,'Transfer Engine'!$C$2:$C$1369,0)))</f>
        <v/>
      </c>
      <c r="E516" s="8">
        <f>IF(ISNA(MATCH(507,'Transfer Engine'!$C$2:$C$1369,0)),"",INDEX('Compliance Database'!$E$2:$E$1369,MATCH(507,'Transfer Engine'!$C$2:$C$1369,0)))</f>
        <v/>
      </c>
      <c r="F516" s="8">
        <f>IF(ISNA(MATCH(507,'Transfer Engine'!$C$2:$C$1369,0)),"",INDEX('Compliance Database'!$F$2:$F$1369,MATCH(507,'Transfer Engine'!$C$2:$C$1369,0)))</f>
        <v/>
      </c>
      <c r="G516" s="8">
        <f>IF(ISNA(MATCH(507,'Transfer Engine'!$C$2:$C$1369,0)),"",INDEX('Compliance Database'!$G$2:$G$1369,MATCH(507,'Transfer Engine'!$C$2:$C$1369,0)))</f>
        <v/>
      </c>
      <c r="H516" s="9">
        <f>IF(ISNA(MATCH(507,'Transfer Engine'!$C$2:$C$1369,0)),"",INDEX('Compliance Database'!$H$2:$H$1369,MATCH(507,'Transfer Engine'!$C$2:$C$1369,0)))</f>
        <v/>
      </c>
      <c r="I516" s="9">
        <f>IF(ISNA(MATCH(507,'Transfer Engine'!$C$2:$C$1369,0)),"",INDEX('Compliance Database'!$I$2:$I$1369,MATCH(507,'Transfer Engine'!$C$2:$C$1369,0)))</f>
        <v/>
      </c>
      <c r="J516" s="8">
        <f>IF(ISNA(MATCH(507,'Transfer Engine'!$C$2:$C$1369,0)),"",INDEX('Compliance Database'!$J$2:$J$1369,MATCH(507,'Transfer Engine'!$C$2:$C$1369,0)))</f>
        <v/>
      </c>
      <c r="K516" s="9">
        <f>IF(ISNA(MATCH(507,'Transfer Engine'!$C$2:$C$1369,0)),"",INDEX('Compliance Database'!$K$2:$K$1369,MATCH(507,'Transfer Engine'!$C$2:$C$1369,0)))</f>
        <v/>
      </c>
      <c r="L516" s="9">
        <f>IF(ISNA(MATCH(507,'Transfer Engine'!$C$2:$C$1369,0)),"",INDEX('Compliance Database'!$L$2:$L$1369,MATCH(507,'Transfer Engine'!$C$2:$C$1369,0)))</f>
        <v/>
      </c>
      <c r="M516" s="9">
        <f>IF(ISNA(MATCH(507,'Transfer Engine'!$C$2:$C$1369,0)),"",INDEX('Compliance Database'!$M$2:$M$1369,MATCH(507,'Transfer Engine'!$C$2:$C$1369,0)))</f>
        <v/>
      </c>
      <c r="N516" s="9">
        <f>IF(ISNA(MATCH(507,'Transfer Engine'!$C$2:$C$1369,0)),"",INDEX('Compliance Database'!$N$2:$N$1369,MATCH(507,'Transfer Engine'!$C$2:$C$1369,0)))</f>
        <v/>
      </c>
      <c r="O516" s="8">
        <f>IF(ISNA(MATCH(507,'Transfer Engine'!$C$2:$C$1369,0)),"",HYPERLINK(INDEX('Compliance Database'!$O$2:$O$1369,MATCH(507,'Transfer Engine'!$C$2:$C$1369,0)),"Open PDF"))</f>
        <v/>
      </c>
    </row>
    <row r="517" ht="188" customHeight="1">
      <c r="A517" s="8">
        <f>IF(ISNA(MATCH(508,'Transfer Engine'!$C$2:$C$1369,0)),"",INDEX('Compliance Database'!$A$2:$A$1369,MATCH(508,'Transfer Engine'!$C$2:$C$1369,0)))</f>
        <v/>
      </c>
      <c r="B517" s="8">
        <f>IF(ISNA(MATCH(508,'Transfer Engine'!$C$2:$C$1369,0)),"",INDEX('Compliance Database'!$B$2:$B$1369,MATCH(508,'Transfer Engine'!$C$2:$C$1369,0)))</f>
        <v/>
      </c>
      <c r="C517" s="8">
        <f>IF(ISNA(MATCH(508,'Transfer Engine'!$C$2:$C$1369,0)),"",INDEX('Compliance Database'!$C$2:$C$1369,MATCH(508,'Transfer Engine'!$C$2:$C$1369,0)))</f>
        <v/>
      </c>
      <c r="D517" s="9">
        <f>IF(ISNA(MATCH(508,'Transfer Engine'!$C$2:$C$1369,0)),"",INDEX('Compliance Database'!$D$2:$D$1369,MATCH(508,'Transfer Engine'!$C$2:$C$1369,0)))</f>
        <v/>
      </c>
      <c r="E517" s="8">
        <f>IF(ISNA(MATCH(508,'Transfer Engine'!$C$2:$C$1369,0)),"",INDEX('Compliance Database'!$E$2:$E$1369,MATCH(508,'Transfer Engine'!$C$2:$C$1369,0)))</f>
        <v/>
      </c>
      <c r="F517" s="8">
        <f>IF(ISNA(MATCH(508,'Transfer Engine'!$C$2:$C$1369,0)),"",INDEX('Compliance Database'!$F$2:$F$1369,MATCH(508,'Transfer Engine'!$C$2:$C$1369,0)))</f>
        <v/>
      </c>
      <c r="G517" s="8">
        <f>IF(ISNA(MATCH(508,'Transfer Engine'!$C$2:$C$1369,0)),"",INDEX('Compliance Database'!$G$2:$G$1369,MATCH(508,'Transfer Engine'!$C$2:$C$1369,0)))</f>
        <v/>
      </c>
      <c r="H517" s="9">
        <f>IF(ISNA(MATCH(508,'Transfer Engine'!$C$2:$C$1369,0)),"",INDEX('Compliance Database'!$H$2:$H$1369,MATCH(508,'Transfer Engine'!$C$2:$C$1369,0)))</f>
        <v/>
      </c>
      <c r="I517" s="9">
        <f>IF(ISNA(MATCH(508,'Transfer Engine'!$C$2:$C$1369,0)),"",INDEX('Compliance Database'!$I$2:$I$1369,MATCH(508,'Transfer Engine'!$C$2:$C$1369,0)))</f>
        <v/>
      </c>
      <c r="J517" s="8">
        <f>IF(ISNA(MATCH(508,'Transfer Engine'!$C$2:$C$1369,0)),"",INDEX('Compliance Database'!$J$2:$J$1369,MATCH(508,'Transfer Engine'!$C$2:$C$1369,0)))</f>
        <v/>
      </c>
      <c r="K517" s="9">
        <f>IF(ISNA(MATCH(508,'Transfer Engine'!$C$2:$C$1369,0)),"",INDEX('Compliance Database'!$K$2:$K$1369,MATCH(508,'Transfer Engine'!$C$2:$C$1369,0)))</f>
        <v/>
      </c>
      <c r="L517" s="9">
        <f>IF(ISNA(MATCH(508,'Transfer Engine'!$C$2:$C$1369,0)),"",INDEX('Compliance Database'!$L$2:$L$1369,MATCH(508,'Transfer Engine'!$C$2:$C$1369,0)))</f>
        <v/>
      </c>
      <c r="M517" s="9">
        <f>IF(ISNA(MATCH(508,'Transfer Engine'!$C$2:$C$1369,0)),"",INDEX('Compliance Database'!$M$2:$M$1369,MATCH(508,'Transfer Engine'!$C$2:$C$1369,0)))</f>
        <v/>
      </c>
      <c r="N517" s="9">
        <f>IF(ISNA(MATCH(508,'Transfer Engine'!$C$2:$C$1369,0)),"",INDEX('Compliance Database'!$N$2:$N$1369,MATCH(508,'Transfer Engine'!$C$2:$C$1369,0)))</f>
        <v/>
      </c>
      <c r="O517" s="8">
        <f>IF(ISNA(MATCH(508,'Transfer Engine'!$C$2:$C$1369,0)),"",HYPERLINK(INDEX('Compliance Database'!$O$2:$O$1369,MATCH(508,'Transfer Engine'!$C$2:$C$1369,0)),"Open PDF"))</f>
        <v/>
      </c>
    </row>
    <row r="518" ht="188" customHeight="1">
      <c r="A518" s="8">
        <f>IF(ISNA(MATCH(509,'Transfer Engine'!$C$2:$C$1369,0)),"",INDEX('Compliance Database'!$A$2:$A$1369,MATCH(509,'Transfer Engine'!$C$2:$C$1369,0)))</f>
        <v/>
      </c>
      <c r="B518" s="8">
        <f>IF(ISNA(MATCH(509,'Transfer Engine'!$C$2:$C$1369,0)),"",INDEX('Compliance Database'!$B$2:$B$1369,MATCH(509,'Transfer Engine'!$C$2:$C$1369,0)))</f>
        <v/>
      </c>
      <c r="C518" s="8">
        <f>IF(ISNA(MATCH(509,'Transfer Engine'!$C$2:$C$1369,0)),"",INDEX('Compliance Database'!$C$2:$C$1369,MATCH(509,'Transfer Engine'!$C$2:$C$1369,0)))</f>
        <v/>
      </c>
      <c r="D518" s="9">
        <f>IF(ISNA(MATCH(509,'Transfer Engine'!$C$2:$C$1369,0)),"",INDEX('Compliance Database'!$D$2:$D$1369,MATCH(509,'Transfer Engine'!$C$2:$C$1369,0)))</f>
        <v/>
      </c>
      <c r="E518" s="8">
        <f>IF(ISNA(MATCH(509,'Transfer Engine'!$C$2:$C$1369,0)),"",INDEX('Compliance Database'!$E$2:$E$1369,MATCH(509,'Transfer Engine'!$C$2:$C$1369,0)))</f>
        <v/>
      </c>
      <c r="F518" s="8">
        <f>IF(ISNA(MATCH(509,'Transfer Engine'!$C$2:$C$1369,0)),"",INDEX('Compliance Database'!$F$2:$F$1369,MATCH(509,'Transfer Engine'!$C$2:$C$1369,0)))</f>
        <v/>
      </c>
      <c r="G518" s="8">
        <f>IF(ISNA(MATCH(509,'Transfer Engine'!$C$2:$C$1369,0)),"",INDEX('Compliance Database'!$G$2:$G$1369,MATCH(509,'Transfer Engine'!$C$2:$C$1369,0)))</f>
        <v/>
      </c>
      <c r="H518" s="9">
        <f>IF(ISNA(MATCH(509,'Transfer Engine'!$C$2:$C$1369,0)),"",INDEX('Compliance Database'!$H$2:$H$1369,MATCH(509,'Transfer Engine'!$C$2:$C$1369,0)))</f>
        <v/>
      </c>
      <c r="I518" s="9">
        <f>IF(ISNA(MATCH(509,'Transfer Engine'!$C$2:$C$1369,0)),"",INDEX('Compliance Database'!$I$2:$I$1369,MATCH(509,'Transfer Engine'!$C$2:$C$1369,0)))</f>
        <v/>
      </c>
      <c r="J518" s="8">
        <f>IF(ISNA(MATCH(509,'Transfer Engine'!$C$2:$C$1369,0)),"",INDEX('Compliance Database'!$J$2:$J$1369,MATCH(509,'Transfer Engine'!$C$2:$C$1369,0)))</f>
        <v/>
      </c>
      <c r="K518" s="9">
        <f>IF(ISNA(MATCH(509,'Transfer Engine'!$C$2:$C$1369,0)),"",INDEX('Compliance Database'!$K$2:$K$1369,MATCH(509,'Transfer Engine'!$C$2:$C$1369,0)))</f>
        <v/>
      </c>
      <c r="L518" s="9">
        <f>IF(ISNA(MATCH(509,'Transfer Engine'!$C$2:$C$1369,0)),"",INDEX('Compliance Database'!$L$2:$L$1369,MATCH(509,'Transfer Engine'!$C$2:$C$1369,0)))</f>
        <v/>
      </c>
      <c r="M518" s="9">
        <f>IF(ISNA(MATCH(509,'Transfer Engine'!$C$2:$C$1369,0)),"",INDEX('Compliance Database'!$M$2:$M$1369,MATCH(509,'Transfer Engine'!$C$2:$C$1369,0)))</f>
        <v/>
      </c>
      <c r="N518" s="9">
        <f>IF(ISNA(MATCH(509,'Transfer Engine'!$C$2:$C$1369,0)),"",INDEX('Compliance Database'!$N$2:$N$1369,MATCH(509,'Transfer Engine'!$C$2:$C$1369,0)))</f>
        <v/>
      </c>
      <c r="O518" s="8">
        <f>IF(ISNA(MATCH(509,'Transfer Engine'!$C$2:$C$1369,0)),"",HYPERLINK(INDEX('Compliance Database'!$O$2:$O$1369,MATCH(509,'Transfer Engine'!$C$2:$C$1369,0)),"Open PDF"))</f>
        <v/>
      </c>
    </row>
    <row r="519" ht="188" customHeight="1">
      <c r="A519" s="8">
        <f>IF(ISNA(MATCH(510,'Transfer Engine'!$C$2:$C$1369,0)),"",INDEX('Compliance Database'!$A$2:$A$1369,MATCH(510,'Transfer Engine'!$C$2:$C$1369,0)))</f>
        <v/>
      </c>
      <c r="B519" s="8">
        <f>IF(ISNA(MATCH(510,'Transfer Engine'!$C$2:$C$1369,0)),"",INDEX('Compliance Database'!$B$2:$B$1369,MATCH(510,'Transfer Engine'!$C$2:$C$1369,0)))</f>
        <v/>
      </c>
      <c r="C519" s="8">
        <f>IF(ISNA(MATCH(510,'Transfer Engine'!$C$2:$C$1369,0)),"",INDEX('Compliance Database'!$C$2:$C$1369,MATCH(510,'Transfer Engine'!$C$2:$C$1369,0)))</f>
        <v/>
      </c>
      <c r="D519" s="9">
        <f>IF(ISNA(MATCH(510,'Transfer Engine'!$C$2:$C$1369,0)),"",INDEX('Compliance Database'!$D$2:$D$1369,MATCH(510,'Transfer Engine'!$C$2:$C$1369,0)))</f>
        <v/>
      </c>
      <c r="E519" s="8">
        <f>IF(ISNA(MATCH(510,'Transfer Engine'!$C$2:$C$1369,0)),"",INDEX('Compliance Database'!$E$2:$E$1369,MATCH(510,'Transfer Engine'!$C$2:$C$1369,0)))</f>
        <v/>
      </c>
      <c r="F519" s="8">
        <f>IF(ISNA(MATCH(510,'Transfer Engine'!$C$2:$C$1369,0)),"",INDEX('Compliance Database'!$F$2:$F$1369,MATCH(510,'Transfer Engine'!$C$2:$C$1369,0)))</f>
        <v/>
      </c>
      <c r="G519" s="8">
        <f>IF(ISNA(MATCH(510,'Transfer Engine'!$C$2:$C$1369,0)),"",INDEX('Compliance Database'!$G$2:$G$1369,MATCH(510,'Transfer Engine'!$C$2:$C$1369,0)))</f>
        <v/>
      </c>
      <c r="H519" s="9">
        <f>IF(ISNA(MATCH(510,'Transfer Engine'!$C$2:$C$1369,0)),"",INDEX('Compliance Database'!$H$2:$H$1369,MATCH(510,'Transfer Engine'!$C$2:$C$1369,0)))</f>
        <v/>
      </c>
      <c r="I519" s="9">
        <f>IF(ISNA(MATCH(510,'Transfer Engine'!$C$2:$C$1369,0)),"",INDEX('Compliance Database'!$I$2:$I$1369,MATCH(510,'Transfer Engine'!$C$2:$C$1369,0)))</f>
        <v/>
      </c>
      <c r="J519" s="8">
        <f>IF(ISNA(MATCH(510,'Transfer Engine'!$C$2:$C$1369,0)),"",INDEX('Compliance Database'!$J$2:$J$1369,MATCH(510,'Transfer Engine'!$C$2:$C$1369,0)))</f>
        <v/>
      </c>
      <c r="K519" s="9">
        <f>IF(ISNA(MATCH(510,'Transfer Engine'!$C$2:$C$1369,0)),"",INDEX('Compliance Database'!$K$2:$K$1369,MATCH(510,'Transfer Engine'!$C$2:$C$1369,0)))</f>
        <v/>
      </c>
      <c r="L519" s="9">
        <f>IF(ISNA(MATCH(510,'Transfer Engine'!$C$2:$C$1369,0)),"",INDEX('Compliance Database'!$L$2:$L$1369,MATCH(510,'Transfer Engine'!$C$2:$C$1369,0)))</f>
        <v/>
      </c>
      <c r="M519" s="9">
        <f>IF(ISNA(MATCH(510,'Transfer Engine'!$C$2:$C$1369,0)),"",INDEX('Compliance Database'!$M$2:$M$1369,MATCH(510,'Transfer Engine'!$C$2:$C$1369,0)))</f>
        <v/>
      </c>
      <c r="N519" s="9">
        <f>IF(ISNA(MATCH(510,'Transfer Engine'!$C$2:$C$1369,0)),"",INDEX('Compliance Database'!$N$2:$N$1369,MATCH(510,'Transfer Engine'!$C$2:$C$1369,0)))</f>
        <v/>
      </c>
      <c r="O519" s="8">
        <f>IF(ISNA(MATCH(510,'Transfer Engine'!$C$2:$C$1369,0)),"",HYPERLINK(INDEX('Compliance Database'!$O$2:$O$1369,MATCH(510,'Transfer Engine'!$C$2:$C$1369,0)),"Open PDF"))</f>
        <v/>
      </c>
    </row>
    <row r="520" ht="188" customHeight="1">
      <c r="A520" s="8">
        <f>IF(ISNA(MATCH(511,'Transfer Engine'!$C$2:$C$1369,0)),"",INDEX('Compliance Database'!$A$2:$A$1369,MATCH(511,'Transfer Engine'!$C$2:$C$1369,0)))</f>
        <v/>
      </c>
      <c r="B520" s="8">
        <f>IF(ISNA(MATCH(511,'Transfer Engine'!$C$2:$C$1369,0)),"",INDEX('Compliance Database'!$B$2:$B$1369,MATCH(511,'Transfer Engine'!$C$2:$C$1369,0)))</f>
        <v/>
      </c>
      <c r="C520" s="8">
        <f>IF(ISNA(MATCH(511,'Transfer Engine'!$C$2:$C$1369,0)),"",INDEX('Compliance Database'!$C$2:$C$1369,MATCH(511,'Transfer Engine'!$C$2:$C$1369,0)))</f>
        <v/>
      </c>
      <c r="D520" s="9">
        <f>IF(ISNA(MATCH(511,'Transfer Engine'!$C$2:$C$1369,0)),"",INDEX('Compliance Database'!$D$2:$D$1369,MATCH(511,'Transfer Engine'!$C$2:$C$1369,0)))</f>
        <v/>
      </c>
      <c r="E520" s="8">
        <f>IF(ISNA(MATCH(511,'Transfer Engine'!$C$2:$C$1369,0)),"",INDEX('Compliance Database'!$E$2:$E$1369,MATCH(511,'Transfer Engine'!$C$2:$C$1369,0)))</f>
        <v/>
      </c>
      <c r="F520" s="8">
        <f>IF(ISNA(MATCH(511,'Transfer Engine'!$C$2:$C$1369,0)),"",INDEX('Compliance Database'!$F$2:$F$1369,MATCH(511,'Transfer Engine'!$C$2:$C$1369,0)))</f>
        <v/>
      </c>
      <c r="G520" s="8">
        <f>IF(ISNA(MATCH(511,'Transfer Engine'!$C$2:$C$1369,0)),"",INDEX('Compliance Database'!$G$2:$G$1369,MATCH(511,'Transfer Engine'!$C$2:$C$1369,0)))</f>
        <v/>
      </c>
      <c r="H520" s="9">
        <f>IF(ISNA(MATCH(511,'Transfer Engine'!$C$2:$C$1369,0)),"",INDEX('Compliance Database'!$H$2:$H$1369,MATCH(511,'Transfer Engine'!$C$2:$C$1369,0)))</f>
        <v/>
      </c>
      <c r="I520" s="9">
        <f>IF(ISNA(MATCH(511,'Transfer Engine'!$C$2:$C$1369,0)),"",INDEX('Compliance Database'!$I$2:$I$1369,MATCH(511,'Transfer Engine'!$C$2:$C$1369,0)))</f>
        <v/>
      </c>
      <c r="J520" s="8">
        <f>IF(ISNA(MATCH(511,'Transfer Engine'!$C$2:$C$1369,0)),"",INDEX('Compliance Database'!$J$2:$J$1369,MATCH(511,'Transfer Engine'!$C$2:$C$1369,0)))</f>
        <v/>
      </c>
      <c r="K520" s="9">
        <f>IF(ISNA(MATCH(511,'Transfer Engine'!$C$2:$C$1369,0)),"",INDEX('Compliance Database'!$K$2:$K$1369,MATCH(511,'Transfer Engine'!$C$2:$C$1369,0)))</f>
        <v/>
      </c>
      <c r="L520" s="9">
        <f>IF(ISNA(MATCH(511,'Transfer Engine'!$C$2:$C$1369,0)),"",INDEX('Compliance Database'!$L$2:$L$1369,MATCH(511,'Transfer Engine'!$C$2:$C$1369,0)))</f>
        <v/>
      </c>
      <c r="M520" s="9">
        <f>IF(ISNA(MATCH(511,'Transfer Engine'!$C$2:$C$1369,0)),"",INDEX('Compliance Database'!$M$2:$M$1369,MATCH(511,'Transfer Engine'!$C$2:$C$1369,0)))</f>
        <v/>
      </c>
      <c r="N520" s="9">
        <f>IF(ISNA(MATCH(511,'Transfer Engine'!$C$2:$C$1369,0)),"",INDEX('Compliance Database'!$N$2:$N$1369,MATCH(511,'Transfer Engine'!$C$2:$C$1369,0)))</f>
        <v/>
      </c>
      <c r="O520" s="8">
        <f>IF(ISNA(MATCH(511,'Transfer Engine'!$C$2:$C$1369,0)),"",HYPERLINK(INDEX('Compliance Database'!$O$2:$O$1369,MATCH(511,'Transfer Engine'!$C$2:$C$1369,0)),"Open PDF"))</f>
        <v/>
      </c>
    </row>
    <row r="521" ht="188" customHeight="1">
      <c r="A521" s="8">
        <f>IF(ISNA(MATCH(512,'Transfer Engine'!$C$2:$C$1369,0)),"",INDEX('Compliance Database'!$A$2:$A$1369,MATCH(512,'Transfer Engine'!$C$2:$C$1369,0)))</f>
        <v/>
      </c>
      <c r="B521" s="8">
        <f>IF(ISNA(MATCH(512,'Transfer Engine'!$C$2:$C$1369,0)),"",INDEX('Compliance Database'!$B$2:$B$1369,MATCH(512,'Transfer Engine'!$C$2:$C$1369,0)))</f>
        <v/>
      </c>
      <c r="C521" s="8">
        <f>IF(ISNA(MATCH(512,'Transfer Engine'!$C$2:$C$1369,0)),"",INDEX('Compliance Database'!$C$2:$C$1369,MATCH(512,'Transfer Engine'!$C$2:$C$1369,0)))</f>
        <v/>
      </c>
      <c r="D521" s="9">
        <f>IF(ISNA(MATCH(512,'Transfer Engine'!$C$2:$C$1369,0)),"",INDEX('Compliance Database'!$D$2:$D$1369,MATCH(512,'Transfer Engine'!$C$2:$C$1369,0)))</f>
        <v/>
      </c>
      <c r="E521" s="8">
        <f>IF(ISNA(MATCH(512,'Transfer Engine'!$C$2:$C$1369,0)),"",INDEX('Compliance Database'!$E$2:$E$1369,MATCH(512,'Transfer Engine'!$C$2:$C$1369,0)))</f>
        <v/>
      </c>
      <c r="F521" s="8">
        <f>IF(ISNA(MATCH(512,'Transfer Engine'!$C$2:$C$1369,0)),"",INDEX('Compliance Database'!$F$2:$F$1369,MATCH(512,'Transfer Engine'!$C$2:$C$1369,0)))</f>
        <v/>
      </c>
      <c r="G521" s="8">
        <f>IF(ISNA(MATCH(512,'Transfer Engine'!$C$2:$C$1369,0)),"",INDEX('Compliance Database'!$G$2:$G$1369,MATCH(512,'Transfer Engine'!$C$2:$C$1369,0)))</f>
        <v/>
      </c>
      <c r="H521" s="9">
        <f>IF(ISNA(MATCH(512,'Transfer Engine'!$C$2:$C$1369,0)),"",INDEX('Compliance Database'!$H$2:$H$1369,MATCH(512,'Transfer Engine'!$C$2:$C$1369,0)))</f>
        <v/>
      </c>
      <c r="I521" s="9">
        <f>IF(ISNA(MATCH(512,'Transfer Engine'!$C$2:$C$1369,0)),"",INDEX('Compliance Database'!$I$2:$I$1369,MATCH(512,'Transfer Engine'!$C$2:$C$1369,0)))</f>
        <v/>
      </c>
      <c r="J521" s="8">
        <f>IF(ISNA(MATCH(512,'Transfer Engine'!$C$2:$C$1369,0)),"",INDEX('Compliance Database'!$J$2:$J$1369,MATCH(512,'Transfer Engine'!$C$2:$C$1369,0)))</f>
        <v/>
      </c>
      <c r="K521" s="9">
        <f>IF(ISNA(MATCH(512,'Transfer Engine'!$C$2:$C$1369,0)),"",INDEX('Compliance Database'!$K$2:$K$1369,MATCH(512,'Transfer Engine'!$C$2:$C$1369,0)))</f>
        <v/>
      </c>
      <c r="L521" s="9">
        <f>IF(ISNA(MATCH(512,'Transfer Engine'!$C$2:$C$1369,0)),"",INDEX('Compliance Database'!$L$2:$L$1369,MATCH(512,'Transfer Engine'!$C$2:$C$1369,0)))</f>
        <v/>
      </c>
      <c r="M521" s="9">
        <f>IF(ISNA(MATCH(512,'Transfer Engine'!$C$2:$C$1369,0)),"",INDEX('Compliance Database'!$M$2:$M$1369,MATCH(512,'Transfer Engine'!$C$2:$C$1369,0)))</f>
        <v/>
      </c>
      <c r="N521" s="9">
        <f>IF(ISNA(MATCH(512,'Transfer Engine'!$C$2:$C$1369,0)),"",INDEX('Compliance Database'!$N$2:$N$1369,MATCH(512,'Transfer Engine'!$C$2:$C$1369,0)))</f>
        <v/>
      </c>
      <c r="O521" s="8">
        <f>IF(ISNA(MATCH(512,'Transfer Engine'!$C$2:$C$1369,0)),"",HYPERLINK(INDEX('Compliance Database'!$O$2:$O$1369,MATCH(512,'Transfer Engine'!$C$2:$C$1369,0)),"Open PDF"))</f>
        <v/>
      </c>
    </row>
    <row r="522" ht="188" customHeight="1">
      <c r="A522" s="8">
        <f>IF(ISNA(MATCH(513,'Transfer Engine'!$C$2:$C$1369,0)),"",INDEX('Compliance Database'!$A$2:$A$1369,MATCH(513,'Transfer Engine'!$C$2:$C$1369,0)))</f>
        <v/>
      </c>
      <c r="B522" s="8">
        <f>IF(ISNA(MATCH(513,'Transfer Engine'!$C$2:$C$1369,0)),"",INDEX('Compliance Database'!$B$2:$B$1369,MATCH(513,'Transfer Engine'!$C$2:$C$1369,0)))</f>
        <v/>
      </c>
      <c r="C522" s="8">
        <f>IF(ISNA(MATCH(513,'Transfer Engine'!$C$2:$C$1369,0)),"",INDEX('Compliance Database'!$C$2:$C$1369,MATCH(513,'Transfer Engine'!$C$2:$C$1369,0)))</f>
        <v/>
      </c>
      <c r="D522" s="9">
        <f>IF(ISNA(MATCH(513,'Transfer Engine'!$C$2:$C$1369,0)),"",INDEX('Compliance Database'!$D$2:$D$1369,MATCH(513,'Transfer Engine'!$C$2:$C$1369,0)))</f>
        <v/>
      </c>
      <c r="E522" s="8">
        <f>IF(ISNA(MATCH(513,'Transfer Engine'!$C$2:$C$1369,0)),"",INDEX('Compliance Database'!$E$2:$E$1369,MATCH(513,'Transfer Engine'!$C$2:$C$1369,0)))</f>
        <v/>
      </c>
      <c r="F522" s="8">
        <f>IF(ISNA(MATCH(513,'Transfer Engine'!$C$2:$C$1369,0)),"",INDEX('Compliance Database'!$F$2:$F$1369,MATCH(513,'Transfer Engine'!$C$2:$C$1369,0)))</f>
        <v/>
      </c>
      <c r="G522" s="8">
        <f>IF(ISNA(MATCH(513,'Transfer Engine'!$C$2:$C$1369,0)),"",INDEX('Compliance Database'!$G$2:$G$1369,MATCH(513,'Transfer Engine'!$C$2:$C$1369,0)))</f>
        <v/>
      </c>
      <c r="H522" s="9">
        <f>IF(ISNA(MATCH(513,'Transfer Engine'!$C$2:$C$1369,0)),"",INDEX('Compliance Database'!$H$2:$H$1369,MATCH(513,'Transfer Engine'!$C$2:$C$1369,0)))</f>
        <v/>
      </c>
      <c r="I522" s="9">
        <f>IF(ISNA(MATCH(513,'Transfer Engine'!$C$2:$C$1369,0)),"",INDEX('Compliance Database'!$I$2:$I$1369,MATCH(513,'Transfer Engine'!$C$2:$C$1369,0)))</f>
        <v/>
      </c>
      <c r="J522" s="8">
        <f>IF(ISNA(MATCH(513,'Transfer Engine'!$C$2:$C$1369,0)),"",INDEX('Compliance Database'!$J$2:$J$1369,MATCH(513,'Transfer Engine'!$C$2:$C$1369,0)))</f>
        <v/>
      </c>
      <c r="K522" s="9">
        <f>IF(ISNA(MATCH(513,'Transfer Engine'!$C$2:$C$1369,0)),"",INDEX('Compliance Database'!$K$2:$K$1369,MATCH(513,'Transfer Engine'!$C$2:$C$1369,0)))</f>
        <v/>
      </c>
      <c r="L522" s="9">
        <f>IF(ISNA(MATCH(513,'Transfer Engine'!$C$2:$C$1369,0)),"",INDEX('Compliance Database'!$L$2:$L$1369,MATCH(513,'Transfer Engine'!$C$2:$C$1369,0)))</f>
        <v/>
      </c>
      <c r="M522" s="9">
        <f>IF(ISNA(MATCH(513,'Transfer Engine'!$C$2:$C$1369,0)),"",INDEX('Compliance Database'!$M$2:$M$1369,MATCH(513,'Transfer Engine'!$C$2:$C$1369,0)))</f>
        <v/>
      </c>
      <c r="N522" s="9">
        <f>IF(ISNA(MATCH(513,'Transfer Engine'!$C$2:$C$1369,0)),"",INDEX('Compliance Database'!$N$2:$N$1369,MATCH(513,'Transfer Engine'!$C$2:$C$1369,0)))</f>
        <v/>
      </c>
      <c r="O522" s="8">
        <f>IF(ISNA(MATCH(513,'Transfer Engine'!$C$2:$C$1369,0)),"",HYPERLINK(INDEX('Compliance Database'!$O$2:$O$1369,MATCH(513,'Transfer Engine'!$C$2:$C$1369,0)),"Open PDF"))</f>
        <v/>
      </c>
    </row>
    <row r="523" ht="188" customHeight="1">
      <c r="A523" s="8">
        <f>IF(ISNA(MATCH(514,'Transfer Engine'!$C$2:$C$1369,0)),"",INDEX('Compliance Database'!$A$2:$A$1369,MATCH(514,'Transfer Engine'!$C$2:$C$1369,0)))</f>
        <v/>
      </c>
      <c r="B523" s="8">
        <f>IF(ISNA(MATCH(514,'Transfer Engine'!$C$2:$C$1369,0)),"",INDEX('Compliance Database'!$B$2:$B$1369,MATCH(514,'Transfer Engine'!$C$2:$C$1369,0)))</f>
        <v/>
      </c>
      <c r="C523" s="8">
        <f>IF(ISNA(MATCH(514,'Transfer Engine'!$C$2:$C$1369,0)),"",INDEX('Compliance Database'!$C$2:$C$1369,MATCH(514,'Transfer Engine'!$C$2:$C$1369,0)))</f>
        <v/>
      </c>
      <c r="D523" s="9">
        <f>IF(ISNA(MATCH(514,'Transfer Engine'!$C$2:$C$1369,0)),"",INDEX('Compliance Database'!$D$2:$D$1369,MATCH(514,'Transfer Engine'!$C$2:$C$1369,0)))</f>
        <v/>
      </c>
      <c r="E523" s="8">
        <f>IF(ISNA(MATCH(514,'Transfer Engine'!$C$2:$C$1369,0)),"",INDEX('Compliance Database'!$E$2:$E$1369,MATCH(514,'Transfer Engine'!$C$2:$C$1369,0)))</f>
        <v/>
      </c>
      <c r="F523" s="8">
        <f>IF(ISNA(MATCH(514,'Transfer Engine'!$C$2:$C$1369,0)),"",INDEX('Compliance Database'!$F$2:$F$1369,MATCH(514,'Transfer Engine'!$C$2:$C$1369,0)))</f>
        <v/>
      </c>
      <c r="G523" s="8">
        <f>IF(ISNA(MATCH(514,'Transfer Engine'!$C$2:$C$1369,0)),"",INDEX('Compliance Database'!$G$2:$G$1369,MATCH(514,'Transfer Engine'!$C$2:$C$1369,0)))</f>
        <v/>
      </c>
      <c r="H523" s="9">
        <f>IF(ISNA(MATCH(514,'Transfer Engine'!$C$2:$C$1369,0)),"",INDEX('Compliance Database'!$H$2:$H$1369,MATCH(514,'Transfer Engine'!$C$2:$C$1369,0)))</f>
        <v/>
      </c>
      <c r="I523" s="9">
        <f>IF(ISNA(MATCH(514,'Transfer Engine'!$C$2:$C$1369,0)),"",INDEX('Compliance Database'!$I$2:$I$1369,MATCH(514,'Transfer Engine'!$C$2:$C$1369,0)))</f>
        <v/>
      </c>
      <c r="J523" s="8">
        <f>IF(ISNA(MATCH(514,'Transfer Engine'!$C$2:$C$1369,0)),"",INDEX('Compliance Database'!$J$2:$J$1369,MATCH(514,'Transfer Engine'!$C$2:$C$1369,0)))</f>
        <v/>
      </c>
      <c r="K523" s="9">
        <f>IF(ISNA(MATCH(514,'Transfer Engine'!$C$2:$C$1369,0)),"",INDEX('Compliance Database'!$K$2:$K$1369,MATCH(514,'Transfer Engine'!$C$2:$C$1369,0)))</f>
        <v/>
      </c>
      <c r="L523" s="9">
        <f>IF(ISNA(MATCH(514,'Transfer Engine'!$C$2:$C$1369,0)),"",INDEX('Compliance Database'!$L$2:$L$1369,MATCH(514,'Transfer Engine'!$C$2:$C$1369,0)))</f>
        <v/>
      </c>
      <c r="M523" s="9">
        <f>IF(ISNA(MATCH(514,'Transfer Engine'!$C$2:$C$1369,0)),"",INDEX('Compliance Database'!$M$2:$M$1369,MATCH(514,'Transfer Engine'!$C$2:$C$1369,0)))</f>
        <v/>
      </c>
      <c r="N523" s="9">
        <f>IF(ISNA(MATCH(514,'Transfer Engine'!$C$2:$C$1369,0)),"",INDEX('Compliance Database'!$N$2:$N$1369,MATCH(514,'Transfer Engine'!$C$2:$C$1369,0)))</f>
        <v/>
      </c>
      <c r="O523" s="8">
        <f>IF(ISNA(MATCH(514,'Transfer Engine'!$C$2:$C$1369,0)),"",HYPERLINK(INDEX('Compliance Database'!$O$2:$O$1369,MATCH(514,'Transfer Engine'!$C$2:$C$1369,0)),"Open PDF"))</f>
        <v/>
      </c>
    </row>
    <row r="524" ht="188" customHeight="1">
      <c r="A524" s="8">
        <f>IF(ISNA(MATCH(515,'Transfer Engine'!$C$2:$C$1369,0)),"",INDEX('Compliance Database'!$A$2:$A$1369,MATCH(515,'Transfer Engine'!$C$2:$C$1369,0)))</f>
        <v/>
      </c>
      <c r="B524" s="8">
        <f>IF(ISNA(MATCH(515,'Transfer Engine'!$C$2:$C$1369,0)),"",INDEX('Compliance Database'!$B$2:$B$1369,MATCH(515,'Transfer Engine'!$C$2:$C$1369,0)))</f>
        <v/>
      </c>
      <c r="C524" s="8">
        <f>IF(ISNA(MATCH(515,'Transfer Engine'!$C$2:$C$1369,0)),"",INDEX('Compliance Database'!$C$2:$C$1369,MATCH(515,'Transfer Engine'!$C$2:$C$1369,0)))</f>
        <v/>
      </c>
      <c r="D524" s="9">
        <f>IF(ISNA(MATCH(515,'Transfer Engine'!$C$2:$C$1369,0)),"",INDEX('Compliance Database'!$D$2:$D$1369,MATCH(515,'Transfer Engine'!$C$2:$C$1369,0)))</f>
        <v/>
      </c>
      <c r="E524" s="8">
        <f>IF(ISNA(MATCH(515,'Transfer Engine'!$C$2:$C$1369,0)),"",INDEX('Compliance Database'!$E$2:$E$1369,MATCH(515,'Transfer Engine'!$C$2:$C$1369,0)))</f>
        <v/>
      </c>
      <c r="F524" s="8">
        <f>IF(ISNA(MATCH(515,'Transfer Engine'!$C$2:$C$1369,0)),"",INDEX('Compliance Database'!$F$2:$F$1369,MATCH(515,'Transfer Engine'!$C$2:$C$1369,0)))</f>
        <v/>
      </c>
      <c r="G524" s="8">
        <f>IF(ISNA(MATCH(515,'Transfer Engine'!$C$2:$C$1369,0)),"",INDEX('Compliance Database'!$G$2:$G$1369,MATCH(515,'Transfer Engine'!$C$2:$C$1369,0)))</f>
        <v/>
      </c>
      <c r="H524" s="9">
        <f>IF(ISNA(MATCH(515,'Transfer Engine'!$C$2:$C$1369,0)),"",INDEX('Compliance Database'!$H$2:$H$1369,MATCH(515,'Transfer Engine'!$C$2:$C$1369,0)))</f>
        <v/>
      </c>
      <c r="I524" s="9">
        <f>IF(ISNA(MATCH(515,'Transfer Engine'!$C$2:$C$1369,0)),"",INDEX('Compliance Database'!$I$2:$I$1369,MATCH(515,'Transfer Engine'!$C$2:$C$1369,0)))</f>
        <v/>
      </c>
      <c r="J524" s="8">
        <f>IF(ISNA(MATCH(515,'Transfer Engine'!$C$2:$C$1369,0)),"",INDEX('Compliance Database'!$J$2:$J$1369,MATCH(515,'Transfer Engine'!$C$2:$C$1369,0)))</f>
        <v/>
      </c>
      <c r="K524" s="9">
        <f>IF(ISNA(MATCH(515,'Transfer Engine'!$C$2:$C$1369,0)),"",INDEX('Compliance Database'!$K$2:$K$1369,MATCH(515,'Transfer Engine'!$C$2:$C$1369,0)))</f>
        <v/>
      </c>
      <c r="L524" s="9">
        <f>IF(ISNA(MATCH(515,'Transfer Engine'!$C$2:$C$1369,0)),"",INDEX('Compliance Database'!$L$2:$L$1369,MATCH(515,'Transfer Engine'!$C$2:$C$1369,0)))</f>
        <v/>
      </c>
      <c r="M524" s="9">
        <f>IF(ISNA(MATCH(515,'Transfer Engine'!$C$2:$C$1369,0)),"",INDEX('Compliance Database'!$M$2:$M$1369,MATCH(515,'Transfer Engine'!$C$2:$C$1369,0)))</f>
        <v/>
      </c>
      <c r="N524" s="9">
        <f>IF(ISNA(MATCH(515,'Transfer Engine'!$C$2:$C$1369,0)),"",INDEX('Compliance Database'!$N$2:$N$1369,MATCH(515,'Transfer Engine'!$C$2:$C$1369,0)))</f>
        <v/>
      </c>
      <c r="O524" s="8">
        <f>IF(ISNA(MATCH(515,'Transfer Engine'!$C$2:$C$1369,0)),"",HYPERLINK(INDEX('Compliance Database'!$O$2:$O$1369,MATCH(515,'Transfer Engine'!$C$2:$C$1369,0)),"Open PDF"))</f>
        <v/>
      </c>
    </row>
    <row r="525" ht="188" customHeight="1">
      <c r="A525" s="8">
        <f>IF(ISNA(MATCH(516,'Transfer Engine'!$C$2:$C$1369,0)),"",INDEX('Compliance Database'!$A$2:$A$1369,MATCH(516,'Transfer Engine'!$C$2:$C$1369,0)))</f>
        <v/>
      </c>
      <c r="B525" s="8">
        <f>IF(ISNA(MATCH(516,'Transfer Engine'!$C$2:$C$1369,0)),"",INDEX('Compliance Database'!$B$2:$B$1369,MATCH(516,'Transfer Engine'!$C$2:$C$1369,0)))</f>
        <v/>
      </c>
      <c r="C525" s="8">
        <f>IF(ISNA(MATCH(516,'Transfer Engine'!$C$2:$C$1369,0)),"",INDEX('Compliance Database'!$C$2:$C$1369,MATCH(516,'Transfer Engine'!$C$2:$C$1369,0)))</f>
        <v/>
      </c>
      <c r="D525" s="9">
        <f>IF(ISNA(MATCH(516,'Transfer Engine'!$C$2:$C$1369,0)),"",INDEX('Compliance Database'!$D$2:$D$1369,MATCH(516,'Transfer Engine'!$C$2:$C$1369,0)))</f>
        <v/>
      </c>
      <c r="E525" s="8">
        <f>IF(ISNA(MATCH(516,'Transfer Engine'!$C$2:$C$1369,0)),"",INDEX('Compliance Database'!$E$2:$E$1369,MATCH(516,'Transfer Engine'!$C$2:$C$1369,0)))</f>
        <v/>
      </c>
      <c r="F525" s="8">
        <f>IF(ISNA(MATCH(516,'Transfer Engine'!$C$2:$C$1369,0)),"",INDEX('Compliance Database'!$F$2:$F$1369,MATCH(516,'Transfer Engine'!$C$2:$C$1369,0)))</f>
        <v/>
      </c>
      <c r="G525" s="8">
        <f>IF(ISNA(MATCH(516,'Transfer Engine'!$C$2:$C$1369,0)),"",INDEX('Compliance Database'!$G$2:$G$1369,MATCH(516,'Transfer Engine'!$C$2:$C$1369,0)))</f>
        <v/>
      </c>
      <c r="H525" s="9">
        <f>IF(ISNA(MATCH(516,'Transfer Engine'!$C$2:$C$1369,0)),"",INDEX('Compliance Database'!$H$2:$H$1369,MATCH(516,'Transfer Engine'!$C$2:$C$1369,0)))</f>
        <v/>
      </c>
      <c r="I525" s="9">
        <f>IF(ISNA(MATCH(516,'Transfer Engine'!$C$2:$C$1369,0)),"",INDEX('Compliance Database'!$I$2:$I$1369,MATCH(516,'Transfer Engine'!$C$2:$C$1369,0)))</f>
        <v/>
      </c>
      <c r="J525" s="8">
        <f>IF(ISNA(MATCH(516,'Transfer Engine'!$C$2:$C$1369,0)),"",INDEX('Compliance Database'!$J$2:$J$1369,MATCH(516,'Transfer Engine'!$C$2:$C$1369,0)))</f>
        <v/>
      </c>
      <c r="K525" s="9">
        <f>IF(ISNA(MATCH(516,'Transfer Engine'!$C$2:$C$1369,0)),"",INDEX('Compliance Database'!$K$2:$K$1369,MATCH(516,'Transfer Engine'!$C$2:$C$1369,0)))</f>
        <v/>
      </c>
      <c r="L525" s="9">
        <f>IF(ISNA(MATCH(516,'Transfer Engine'!$C$2:$C$1369,0)),"",INDEX('Compliance Database'!$L$2:$L$1369,MATCH(516,'Transfer Engine'!$C$2:$C$1369,0)))</f>
        <v/>
      </c>
      <c r="M525" s="9">
        <f>IF(ISNA(MATCH(516,'Transfer Engine'!$C$2:$C$1369,0)),"",INDEX('Compliance Database'!$M$2:$M$1369,MATCH(516,'Transfer Engine'!$C$2:$C$1369,0)))</f>
        <v/>
      </c>
      <c r="N525" s="9">
        <f>IF(ISNA(MATCH(516,'Transfer Engine'!$C$2:$C$1369,0)),"",INDEX('Compliance Database'!$N$2:$N$1369,MATCH(516,'Transfer Engine'!$C$2:$C$1369,0)))</f>
        <v/>
      </c>
      <c r="O525" s="8">
        <f>IF(ISNA(MATCH(516,'Transfer Engine'!$C$2:$C$1369,0)),"",HYPERLINK(INDEX('Compliance Database'!$O$2:$O$1369,MATCH(516,'Transfer Engine'!$C$2:$C$1369,0)),"Open PDF"))</f>
        <v/>
      </c>
    </row>
    <row r="526" ht="188" customHeight="1">
      <c r="A526" s="8">
        <f>IF(ISNA(MATCH(517,'Transfer Engine'!$C$2:$C$1369,0)),"",INDEX('Compliance Database'!$A$2:$A$1369,MATCH(517,'Transfer Engine'!$C$2:$C$1369,0)))</f>
        <v/>
      </c>
      <c r="B526" s="8">
        <f>IF(ISNA(MATCH(517,'Transfer Engine'!$C$2:$C$1369,0)),"",INDEX('Compliance Database'!$B$2:$B$1369,MATCH(517,'Transfer Engine'!$C$2:$C$1369,0)))</f>
        <v/>
      </c>
      <c r="C526" s="8">
        <f>IF(ISNA(MATCH(517,'Transfer Engine'!$C$2:$C$1369,0)),"",INDEX('Compliance Database'!$C$2:$C$1369,MATCH(517,'Transfer Engine'!$C$2:$C$1369,0)))</f>
        <v/>
      </c>
      <c r="D526" s="9">
        <f>IF(ISNA(MATCH(517,'Transfer Engine'!$C$2:$C$1369,0)),"",INDEX('Compliance Database'!$D$2:$D$1369,MATCH(517,'Transfer Engine'!$C$2:$C$1369,0)))</f>
        <v/>
      </c>
      <c r="E526" s="8">
        <f>IF(ISNA(MATCH(517,'Transfer Engine'!$C$2:$C$1369,0)),"",INDEX('Compliance Database'!$E$2:$E$1369,MATCH(517,'Transfer Engine'!$C$2:$C$1369,0)))</f>
        <v/>
      </c>
      <c r="F526" s="8">
        <f>IF(ISNA(MATCH(517,'Transfer Engine'!$C$2:$C$1369,0)),"",INDEX('Compliance Database'!$F$2:$F$1369,MATCH(517,'Transfer Engine'!$C$2:$C$1369,0)))</f>
        <v/>
      </c>
      <c r="G526" s="8">
        <f>IF(ISNA(MATCH(517,'Transfer Engine'!$C$2:$C$1369,0)),"",INDEX('Compliance Database'!$G$2:$G$1369,MATCH(517,'Transfer Engine'!$C$2:$C$1369,0)))</f>
        <v/>
      </c>
      <c r="H526" s="9">
        <f>IF(ISNA(MATCH(517,'Transfer Engine'!$C$2:$C$1369,0)),"",INDEX('Compliance Database'!$H$2:$H$1369,MATCH(517,'Transfer Engine'!$C$2:$C$1369,0)))</f>
        <v/>
      </c>
      <c r="I526" s="9">
        <f>IF(ISNA(MATCH(517,'Transfer Engine'!$C$2:$C$1369,0)),"",INDEX('Compliance Database'!$I$2:$I$1369,MATCH(517,'Transfer Engine'!$C$2:$C$1369,0)))</f>
        <v/>
      </c>
      <c r="J526" s="8">
        <f>IF(ISNA(MATCH(517,'Transfer Engine'!$C$2:$C$1369,0)),"",INDEX('Compliance Database'!$J$2:$J$1369,MATCH(517,'Transfer Engine'!$C$2:$C$1369,0)))</f>
        <v/>
      </c>
      <c r="K526" s="9">
        <f>IF(ISNA(MATCH(517,'Transfer Engine'!$C$2:$C$1369,0)),"",INDEX('Compliance Database'!$K$2:$K$1369,MATCH(517,'Transfer Engine'!$C$2:$C$1369,0)))</f>
        <v/>
      </c>
      <c r="L526" s="9">
        <f>IF(ISNA(MATCH(517,'Transfer Engine'!$C$2:$C$1369,0)),"",INDEX('Compliance Database'!$L$2:$L$1369,MATCH(517,'Transfer Engine'!$C$2:$C$1369,0)))</f>
        <v/>
      </c>
      <c r="M526" s="9">
        <f>IF(ISNA(MATCH(517,'Transfer Engine'!$C$2:$C$1369,0)),"",INDEX('Compliance Database'!$M$2:$M$1369,MATCH(517,'Transfer Engine'!$C$2:$C$1369,0)))</f>
        <v/>
      </c>
      <c r="N526" s="9">
        <f>IF(ISNA(MATCH(517,'Transfer Engine'!$C$2:$C$1369,0)),"",INDEX('Compliance Database'!$N$2:$N$1369,MATCH(517,'Transfer Engine'!$C$2:$C$1369,0)))</f>
        <v/>
      </c>
      <c r="O526" s="8">
        <f>IF(ISNA(MATCH(517,'Transfer Engine'!$C$2:$C$1369,0)),"",HYPERLINK(INDEX('Compliance Database'!$O$2:$O$1369,MATCH(517,'Transfer Engine'!$C$2:$C$1369,0)),"Open PDF"))</f>
        <v/>
      </c>
    </row>
    <row r="527" ht="188" customHeight="1">
      <c r="A527" s="8">
        <f>IF(ISNA(MATCH(518,'Transfer Engine'!$C$2:$C$1369,0)),"",INDEX('Compliance Database'!$A$2:$A$1369,MATCH(518,'Transfer Engine'!$C$2:$C$1369,0)))</f>
        <v/>
      </c>
      <c r="B527" s="8">
        <f>IF(ISNA(MATCH(518,'Transfer Engine'!$C$2:$C$1369,0)),"",INDEX('Compliance Database'!$B$2:$B$1369,MATCH(518,'Transfer Engine'!$C$2:$C$1369,0)))</f>
        <v/>
      </c>
      <c r="C527" s="8">
        <f>IF(ISNA(MATCH(518,'Transfer Engine'!$C$2:$C$1369,0)),"",INDEX('Compliance Database'!$C$2:$C$1369,MATCH(518,'Transfer Engine'!$C$2:$C$1369,0)))</f>
        <v/>
      </c>
      <c r="D527" s="9">
        <f>IF(ISNA(MATCH(518,'Transfer Engine'!$C$2:$C$1369,0)),"",INDEX('Compliance Database'!$D$2:$D$1369,MATCH(518,'Transfer Engine'!$C$2:$C$1369,0)))</f>
        <v/>
      </c>
      <c r="E527" s="8">
        <f>IF(ISNA(MATCH(518,'Transfer Engine'!$C$2:$C$1369,0)),"",INDEX('Compliance Database'!$E$2:$E$1369,MATCH(518,'Transfer Engine'!$C$2:$C$1369,0)))</f>
        <v/>
      </c>
      <c r="F527" s="8">
        <f>IF(ISNA(MATCH(518,'Transfer Engine'!$C$2:$C$1369,0)),"",INDEX('Compliance Database'!$F$2:$F$1369,MATCH(518,'Transfer Engine'!$C$2:$C$1369,0)))</f>
        <v/>
      </c>
      <c r="G527" s="8">
        <f>IF(ISNA(MATCH(518,'Transfer Engine'!$C$2:$C$1369,0)),"",INDEX('Compliance Database'!$G$2:$G$1369,MATCH(518,'Transfer Engine'!$C$2:$C$1369,0)))</f>
        <v/>
      </c>
      <c r="H527" s="9">
        <f>IF(ISNA(MATCH(518,'Transfer Engine'!$C$2:$C$1369,0)),"",INDEX('Compliance Database'!$H$2:$H$1369,MATCH(518,'Transfer Engine'!$C$2:$C$1369,0)))</f>
        <v/>
      </c>
      <c r="I527" s="9">
        <f>IF(ISNA(MATCH(518,'Transfer Engine'!$C$2:$C$1369,0)),"",INDEX('Compliance Database'!$I$2:$I$1369,MATCH(518,'Transfer Engine'!$C$2:$C$1369,0)))</f>
        <v/>
      </c>
      <c r="J527" s="8">
        <f>IF(ISNA(MATCH(518,'Transfer Engine'!$C$2:$C$1369,0)),"",INDEX('Compliance Database'!$J$2:$J$1369,MATCH(518,'Transfer Engine'!$C$2:$C$1369,0)))</f>
        <v/>
      </c>
      <c r="K527" s="9">
        <f>IF(ISNA(MATCH(518,'Transfer Engine'!$C$2:$C$1369,0)),"",INDEX('Compliance Database'!$K$2:$K$1369,MATCH(518,'Transfer Engine'!$C$2:$C$1369,0)))</f>
        <v/>
      </c>
      <c r="L527" s="9">
        <f>IF(ISNA(MATCH(518,'Transfer Engine'!$C$2:$C$1369,0)),"",INDEX('Compliance Database'!$L$2:$L$1369,MATCH(518,'Transfer Engine'!$C$2:$C$1369,0)))</f>
        <v/>
      </c>
      <c r="M527" s="9">
        <f>IF(ISNA(MATCH(518,'Transfer Engine'!$C$2:$C$1369,0)),"",INDEX('Compliance Database'!$M$2:$M$1369,MATCH(518,'Transfer Engine'!$C$2:$C$1369,0)))</f>
        <v/>
      </c>
      <c r="N527" s="9">
        <f>IF(ISNA(MATCH(518,'Transfer Engine'!$C$2:$C$1369,0)),"",INDEX('Compliance Database'!$N$2:$N$1369,MATCH(518,'Transfer Engine'!$C$2:$C$1369,0)))</f>
        <v/>
      </c>
      <c r="O527" s="8">
        <f>IF(ISNA(MATCH(518,'Transfer Engine'!$C$2:$C$1369,0)),"",HYPERLINK(INDEX('Compliance Database'!$O$2:$O$1369,MATCH(518,'Transfer Engine'!$C$2:$C$1369,0)),"Open PDF"))</f>
        <v/>
      </c>
    </row>
    <row r="528" ht="188" customHeight="1">
      <c r="A528" s="8">
        <f>IF(ISNA(MATCH(519,'Transfer Engine'!$C$2:$C$1369,0)),"",INDEX('Compliance Database'!$A$2:$A$1369,MATCH(519,'Transfer Engine'!$C$2:$C$1369,0)))</f>
        <v/>
      </c>
      <c r="B528" s="8">
        <f>IF(ISNA(MATCH(519,'Transfer Engine'!$C$2:$C$1369,0)),"",INDEX('Compliance Database'!$B$2:$B$1369,MATCH(519,'Transfer Engine'!$C$2:$C$1369,0)))</f>
        <v/>
      </c>
      <c r="C528" s="8">
        <f>IF(ISNA(MATCH(519,'Transfer Engine'!$C$2:$C$1369,0)),"",INDEX('Compliance Database'!$C$2:$C$1369,MATCH(519,'Transfer Engine'!$C$2:$C$1369,0)))</f>
        <v/>
      </c>
      <c r="D528" s="9">
        <f>IF(ISNA(MATCH(519,'Transfer Engine'!$C$2:$C$1369,0)),"",INDEX('Compliance Database'!$D$2:$D$1369,MATCH(519,'Transfer Engine'!$C$2:$C$1369,0)))</f>
        <v/>
      </c>
      <c r="E528" s="8">
        <f>IF(ISNA(MATCH(519,'Transfer Engine'!$C$2:$C$1369,0)),"",INDEX('Compliance Database'!$E$2:$E$1369,MATCH(519,'Transfer Engine'!$C$2:$C$1369,0)))</f>
        <v/>
      </c>
      <c r="F528" s="8">
        <f>IF(ISNA(MATCH(519,'Transfer Engine'!$C$2:$C$1369,0)),"",INDEX('Compliance Database'!$F$2:$F$1369,MATCH(519,'Transfer Engine'!$C$2:$C$1369,0)))</f>
        <v/>
      </c>
      <c r="G528" s="8">
        <f>IF(ISNA(MATCH(519,'Transfer Engine'!$C$2:$C$1369,0)),"",INDEX('Compliance Database'!$G$2:$G$1369,MATCH(519,'Transfer Engine'!$C$2:$C$1369,0)))</f>
        <v/>
      </c>
      <c r="H528" s="9">
        <f>IF(ISNA(MATCH(519,'Transfer Engine'!$C$2:$C$1369,0)),"",INDEX('Compliance Database'!$H$2:$H$1369,MATCH(519,'Transfer Engine'!$C$2:$C$1369,0)))</f>
        <v/>
      </c>
      <c r="I528" s="9">
        <f>IF(ISNA(MATCH(519,'Transfer Engine'!$C$2:$C$1369,0)),"",INDEX('Compliance Database'!$I$2:$I$1369,MATCH(519,'Transfer Engine'!$C$2:$C$1369,0)))</f>
        <v/>
      </c>
      <c r="J528" s="8">
        <f>IF(ISNA(MATCH(519,'Transfer Engine'!$C$2:$C$1369,0)),"",INDEX('Compliance Database'!$J$2:$J$1369,MATCH(519,'Transfer Engine'!$C$2:$C$1369,0)))</f>
        <v/>
      </c>
      <c r="K528" s="9">
        <f>IF(ISNA(MATCH(519,'Transfer Engine'!$C$2:$C$1369,0)),"",INDEX('Compliance Database'!$K$2:$K$1369,MATCH(519,'Transfer Engine'!$C$2:$C$1369,0)))</f>
        <v/>
      </c>
      <c r="L528" s="9">
        <f>IF(ISNA(MATCH(519,'Transfer Engine'!$C$2:$C$1369,0)),"",INDEX('Compliance Database'!$L$2:$L$1369,MATCH(519,'Transfer Engine'!$C$2:$C$1369,0)))</f>
        <v/>
      </c>
      <c r="M528" s="9">
        <f>IF(ISNA(MATCH(519,'Transfer Engine'!$C$2:$C$1369,0)),"",INDEX('Compliance Database'!$M$2:$M$1369,MATCH(519,'Transfer Engine'!$C$2:$C$1369,0)))</f>
        <v/>
      </c>
      <c r="N528" s="9">
        <f>IF(ISNA(MATCH(519,'Transfer Engine'!$C$2:$C$1369,0)),"",INDEX('Compliance Database'!$N$2:$N$1369,MATCH(519,'Transfer Engine'!$C$2:$C$1369,0)))</f>
        <v/>
      </c>
      <c r="O528" s="8">
        <f>IF(ISNA(MATCH(519,'Transfer Engine'!$C$2:$C$1369,0)),"",HYPERLINK(INDEX('Compliance Database'!$O$2:$O$1369,MATCH(519,'Transfer Engine'!$C$2:$C$1369,0)),"Open PDF"))</f>
        <v/>
      </c>
    </row>
    <row r="529" ht="188" customHeight="1">
      <c r="A529" s="8">
        <f>IF(ISNA(MATCH(520,'Transfer Engine'!$C$2:$C$1369,0)),"",INDEX('Compliance Database'!$A$2:$A$1369,MATCH(520,'Transfer Engine'!$C$2:$C$1369,0)))</f>
        <v/>
      </c>
      <c r="B529" s="8">
        <f>IF(ISNA(MATCH(520,'Transfer Engine'!$C$2:$C$1369,0)),"",INDEX('Compliance Database'!$B$2:$B$1369,MATCH(520,'Transfer Engine'!$C$2:$C$1369,0)))</f>
        <v/>
      </c>
      <c r="C529" s="8">
        <f>IF(ISNA(MATCH(520,'Transfer Engine'!$C$2:$C$1369,0)),"",INDEX('Compliance Database'!$C$2:$C$1369,MATCH(520,'Transfer Engine'!$C$2:$C$1369,0)))</f>
        <v/>
      </c>
      <c r="D529" s="9">
        <f>IF(ISNA(MATCH(520,'Transfer Engine'!$C$2:$C$1369,0)),"",INDEX('Compliance Database'!$D$2:$D$1369,MATCH(520,'Transfer Engine'!$C$2:$C$1369,0)))</f>
        <v/>
      </c>
      <c r="E529" s="8">
        <f>IF(ISNA(MATCH(520,'Transfer Engine'!$C$2:$C$1369,0)),"",INDEX('Compliance Database'!$E$2:$E$1369,MATCH(520,'Transfer Engine'!$C$2:$C$1369,0)))</f>
        <v/>
      </c>
      <c r="F529" s="8">
        <f>IF(ISNA(MATCH(520,'Transfer Engine'!$C$2:$C$1369,0)),"",INDEX('Compliance Database'!$F$2:$F$1369,MATCH(520,'Transfer Engine'!$C$2:$C$1369,0)))</f>
        <v/>
      </c>
      <c r="G529" s="8">
        <f>IF(ISNA(MATCH(520,'Transfer Engine'!$C$2:$C$1369,0)),"",INDEX('Compliance Database'!$G$2:$G$1369,MATCH(520,'Transfer Engine'!$C$2:$C$1369,0)))</f>
        <v/>
      </c>
      <c r="H529" s="9">
        <f>IF(ISNA(MATCH(520,'Transfer Engine'!$C$2:$C$1369,0)),"",INDEX('Compliance Database'!$H$2:$H$1369,MATCH(520,'Transfer Engine'!$C$2:$C$1369,0)))</f>
        <v/>
      </c>
      <c r="I529" s="9">
        <f>IF(ISNA(MATCH(520,'Transfer Engine'!$C$2:$C$1369,0)),"",INDEX('Compliance Database'!$I$2:$I$1369,MATCH(520,'Transfer Engine'!$C$2:$C$1369,0)))</f>
        <v/>
      </c>
      <c r="J529" s="8">
        <f>IF(ISNA(MATCH(520,'Transfer Engine'!$C$2:$C$1369,0)),"",INDEX('Compliance Database'!$J$2:$J$1369,MATCH(520,'Transfer Engine'!$C$2:$C$1369,0)))</f>
        <v/>
      </c>
      <c r="K529" s="9">
        <f>IF(ISNA(MATCH(520,'Transfer Engine'!$C$2:$C$1369,0)),"",INDEX('Compliance Database'!$K$2:$K$1369,MATCH(520,'Transfer Engine'!$C$2:$C$1369,0)))</f>
        <v/>
      </c>
      <c r="L529" s="9">
        <f>IF(ISNA(MATCH(520,'Transfer Engine'!$C$2:$C$1369,0)),"",INDEX('Compliance Database'!$L$2:$L$1369,MATCH(520,'Transfer Engine'!$C$2:$C$1369,0)))</f>
        <v/>
      </c>
      <c r="M529" s="9">
        <f>IF(ISNA(MATCH(520,'Transfer Engine'!$C$2:$C$1369,0)),"",INDEX('Compliance Database'!$M$2:$M$1369,MATCH(520,'Transfer Engine'!$C$2:$C$1369,0)))</f>
        <v/>
      </c>
      <c r="N529" s="9">
        <f>IF(ISNA(MATCH(520,'Transfer Engine'!$C$2:$C$1369,0)),"",INDEX('Compliance Database'!$N$2:$N$1369,MATCH(520,'Transfer Engine'!$C$2:$C$1369,0)))</f>
        <v/>
      </c>
      <c r="O529" s="8">
        <f>IF(ISNA(MATCH(520,'Transfer Engine'!$C$2:$C$1369,0)),"",HYPERLINK(INDEX('Compliance Database'!$O$2:$O$1369,MATCH(520,'Transfer Engine'!$C$2:$C$1369,0)),"Open PDF"))</f>
        <v/>
      </c>
    </row>
    <row r="530" ht="188" customHeight="1">
      <c r="A530" s="8">
        <f>IF(ISNA(MATCH(521,'Transfer Engine'!$C$2:$C$1369,0)),"",INDEX('Compliance Database'!$A$2:$A$1369,MATCH(521,'Transfer Engine'!$C$2:$C$1369,0)))</f>
        <v/>
      </c>
      <c r="B530" s="8">
        <f>IF(ISNA(MATCH(521,'Transfer Engine'!$C$2:$C$1369,0)),"",INDEX('Compliance Database'!$B$2:$B$1369,MATCH(521,'Transfer Engine'!$C$2:$C$1369,0)))</f>
        <v/>
      </c>
      <c r="C530" s="8">
        <f>IF(ISNA(MATCH(521,'Transfer Engine'!$C$2:$C$1369,0)),"",INDEX('Compliance Database'!$C$2:$C$1369,MATCH(521,'Transfer Engine'!$C$2:$C$1369,0)))</f>
        <v/>
      </c>
      <c r="D530" s="9">
        <f>IF(ISNA(MATCH(521,'Transfer Engine'!$C$2:$C$1369,0)),"",INDEX('Compliance Database'!$D$2:$D$1369,MATCH(521,'Transfer Engine'!$C$2:$C$1369,0)))</f>
        <v/>
      </c>
      <c r="E530" s="8">
        <f>IF(ISNA(MATCH(521,'Transfer Engine'!$C$2:$C$1369,0)),"",INDEX('Compliance Database'!$E$2:$E$1369,MATCH(521,'Transfer Engine'!$C$2:$C$1369,0)))</f>
        <v/>
      </c>
      <c r="F530" s="8">
        <f>IF(ISNA(MATCH(521,'Transfer Engine'!$C$2:$C$1369,0)),"",INDEX('Compliance Database'!$F$2:$F$1369,MATCH(521,'Transfer Engine'!$C$2:$C$1369,0)))</f>
        <v/>
      </c>
      <c r="G530" s="8">
        <f>IF(ISNA(MATCH(521,'Transfer Engine'!$C$2:$C$1369,0)),"",INDEX('Compliance Database'!$G$2:$G$1369,MATCH(521,'Transfer Engine'!$C$2:$C$1369,0)))</f>
        <v/>
      </c>
      <c r="H530" s="9">
        <f>IF(ISNA(MATCH(521,'Transfer Engine'!$C$2:$C$1369,0)),"",INDEX('Compliance Database'!$H$2:$H$1369,MATCH(521,'Transfer Engine'!$C$2:$C$1369,0)))</f>
        <v/>
      </c>
      <c r="I530" s="9">
        <f>IF(ISNA(MATCH(521,'Transfer Engine'!$C$2:$C$1369,0)),"",INDEX('Compliance Database'!$I$2:$I$1369,MATCH(521,'Transfer Engine'!$C$2:$C$1369,0)))</f>
        <v/>
      </c>
      <c r="J530" s="8">
        <f>IF(ISNA(MATCH(521,'Transfer Engine'!$C$2:$C$1369,0)),"",INDEX('Compliance Database'!$J$2:$J$1369,MATCH(521,'Transfer Engine'!$C$2:$C$1369,0)))</f>
        <v/>
      </c>
      <c r="K530" s="9">
        <f>IF(ISNA(MATCH(521,'Transfer Engine'!$C$2:$C$1369,0)),"",INDEX('Compliance Database'!$K$2:$K$1369,MATCH(521,'Transfer Engine'!$C$2:$C$1369,0)))</f>
        <v/>
      </c>
      <c r="L530" s="9">
        <f>IF(ISNA(MATCH(521,'Transfer Engine'!$C$2:$C$1369,0)),"",INDEX('Compliance Database'!$L$2:$L$1369,MATCH(521,'Transfer Engine'!$C$2:$C$1369,0)))</f>
        <v/>
      </c>
      <c r="M530" s="9">
        <f>IF(ISNA(MATCH(521,'Transfer Engine'!$C$2:$C$1369,0)),"",INDEX('Compliance Database'!$M$2:$M$1369,MATCH(521,'Transfer Engine'!$C$2:$C$1369,0)))</f>
        <v/>
      </c>
      <c r="N530" s="9">
        <f>IF(ISNA(MATCH(521,'Transfer Engine'!$C$2:$C$1369,0)),"",INDEX('Compliance Database'!$N$2:$N$1369,MATCH(521,'Transfer Engine'!$C$2:$C$1369,0)))</f>
        <v/>
      </c>
      <c r="O530" s="8">
        <f>IF(ISNA(MATCH(521,'Transfer Engine'!$C$2:$C$1369,0)),"",HYPERLINK(INDEX('Compliance Database'!$O$2:$O$1369,MATCH(521,'Transfer Engine'!$C$2:$C$1369,0)),"Open PDF"))</f>
        <v/>
      </c>
    </row>
    <row r="531" ht="188" customHeight="1">
      <c r="A531" s="8">
        <f>IF(ISNA(MATCH(522,'Transfer Engine'!$C$2:$C$1369,0)),"",INDEX('Compliance Database'!$A$2:$A$1369,MATCH(522,'Transfer Engine'!$C$2:$C$1369,0)))</f>
        <v/>
      </c>
      <c r="B531" s="8">
        <f>IF(ISNA(MATCH(522,'Transfer Engine'!$C$2:$C$1369,0)),"",INDEX('Compliance Database'!$B$2:$B$1369,MATCH(522,'Transfer Engine'!$C$2:$C$1369,0)))</f>
        <v/>
      </c>
      <c r="C531" s="8">
        <f>IF(ISNA(MATCH(522,'Transfer Engine'!$C$2:$C$1369,0)),"",INDEX('Compliance Database'!$C$2:$C$1369,MATCH(522,'Transfer Engine'!$C$2:$C$1369,0)))</f>
        <v/>
      </c>
      <c r="D531" s="9">
        <f>IF(ISNA(MATCH(522,'Transfer Engine'!$C$2:$C$1369,0)),"",INDEX('Compliance Database'!$D$2:$D$1369,MATCH(522,'Transfer Engine'!$C$2:$C$1369,0)))</f>
        <v/>
      </c>
      <c r="E531" s="8">
        <f>IF(ISNA(MATCH(522,'Transfer Engine'!$C$2:$C$1369,0)),"",INDEX('Compliance Database'!$E$2:$E$1369,MATCH(522,'Transfer Engine'!$C$2:$C$1369,0)))</f>
        <v/>
      </c>
      <c r="F531" s="8">
        <f>IF(ISNA(MATCH(522,'Transfer Engine'!$C$2:$C$1369,0)),"",INDEX('Compliance Database'!$F$2:$F$1369,MATCH(522,'Transfer Engine'!$C$2:$C$1369,0)))</f>
        <v/>
      </c>
      <c r="G531" s="8">
        <f>IF(ISNA(MATCH(522,'Transfer Engine'!$C$2:$C$1369,0)),"",INDEX('Compliance Database'!$G$2:$G$1369,MATCH(522,'Transfer Engine'!$C$2:$C$1369,0)))</f>
        <v/>
      </c>
      <c r="H531" s="9">
        <f>IF(ISNA(MATCH(522,'Transfer Engine'!$C$2:$C$1369,0)),"",INDEX('Compliance Database'!$H$2:$H$1369,MATCH(522,'Transfer Engine'!$C$2:$C$1369,0)))</f>
        <v/>
      </c>
      <c r="I531" s="9">
        <f>IF(ISNA(MATCH(522,'Transfer Engine'!$C$2:$C$1369,0)),"",INDEX('Compliance Database'!$I$2:$I$1369,MATCH(522,'Transfer Engine'!$C$2:$C$1369,0)))</f>
        <v/>
      </c>
      <c r="J531" s="8">
        <f>IF(ISNA(MATCH(522,'Transfer Engine'!$C$2:$C$1369,0)),"",INDEX('Compliance Database'!$J$2:$J$1369,MATCH(522,'Transfer Engine'!$C$2:$C$1369,0)))</f>
        <v/>
      </c>
      <c r="K531" s="9">
        <f>IF(ISNA(MATCH(522,'Transfer Engine'!$C$2:$C$1369,0)),"",INDEX('Compliance Database'!$K$2:$K$1369,MATCH(522,'Transfer Engine'!$C$2:$C$1369,0)))</f>
        <v/>
      </c>
      <c r="L531" s="9">
        <f>IF(ISNA(MATCH(522,'Transfer Engine'!$C$2:$C$1369,0)),"",INDEX('Compliance Database'!$L$2:$L$1369,MATCH(522,'Transfer Engine'!$C$2:$C$1369,0)))</f>
        <v/>
      </c>
      <c r="M531" s="9">
        <f>IF(ISNA(MATCH(522,'Transfer Engine'!$C$2:$C$1369,0)),"",INDEX('Compliance Database'!$M$2:$M$1369,MATCH(522,'Transfer Engine'!$C$2:$C$1369,0)))</f>
        <v/>
      </c>
      <c r="N531" s="9">
        <f>IF(ISNA(MATCH(522,'Transfer Engine'!$C$2:$C$1369,0)),"",INDEX('Compliance Database'!$N$2:$N$1369,MATCH(522,'Transfer Engine'!$C$2:$C$1369,0)))</f>
        <v/>
      </c>
      <c r="O531" s="8">
        <f>IF(ISNA(MATCH(522,'Transfer Engine'!$C$2:$C$1369,0)),"",HYPERLINK(INDEX('Compliance Database'!$O$2:$O$1369,MATCH(522,'Transfer Engine'!$C$2:$C$1369,0)),"Open PDF"))</f>
        <v/>
      </c>
    </row>
    <row r="532" ht="188" customHeight="1">
      <c r="A532" s="8">
        <f>IF(ISNA(MATCH(523,'Transfer Engine'!$C$2:$C$1369,0)),"",INDEX('Compliance Database'!$A$2:$A$1369,MATCH(523,'Transfer Engine'!$C$2:$C$1369,0)))</f>
        <v/>
      </c>
      <c r="B532" s="8">
        <f>IF(ISNA(MATCH(523,'Transfer Engine'!$C$2:$C$1369,0)),"",INDEX('Compliance Database'!$B$2:$B$1369,MATCH(523,'Transfer Engine'!$C$2:$C$1369,0)))</f>
        <v/>
      </c>
      <c r="C532" s="8">
        <f>IF(ISNA(MATCH(523,'Transfer Engine'!$C$2:$C$1369,0)),"",INDEX('Compliance Database'!$C$2:$C$1369,MATCH(523,'Transfer Engine'!$C$2:$C$1369,0)))</f>
        <v/>
      </c>
      <c r="D532" s="9">
        <f>IF(ISNA(MATCH(523,'Transfer Engine'!$C$2:$C$1369,0)),"",INDEX('Compliance Database'!$D$2:$D$1369,MATCH(523,'Transfer Engine'!$C$2:$C$1369,0)))</f>
        <v/>
      </c>
      <c r="E532" s="8">
        <f>IF(ISNA(MATCH(523,'Transfer Engine'!$C$2:$C$1369,0)),"",INDEX('Compliance Database'!$E$2:$E$1369,MATCH(523,'Transfer Engine'!$C$2:$C$1369,0)))</f>
        <v/>
      </c>
      <c r="F532" s="8">
        <f>IF(ISNA(MATCH(523,'Transfer Engine'!$C$2:$C$1369,0)),"",INDEX('Compliance Database'!$F$2:$F$1369,MATCH(523,'Transfer Engine'!$C$2:$C$1369,0)))</f>
        <v/>
      </c>
      <c r="G532" s="8">
        <f>IF(ISNA(MATCH(523,'Transfer Engine'!$C$2:$C$1369,0)),"",INDEX('Compliance Database'!$G$2:$G$1369,MATCH(523,'Transfer Engine'!$C$2:$C$1369,0)))</f>
        <v/>
      </c>
      <c r="H532" s="9">
        <f>IF(ISNA(MATCH(523,'Transfer Engine'!$C$2:$C$1369,0)),"",INDEX('Compliance Database'!$H$2:$H$1369,MATCH(523,'Transfer Engine'!$C$2:$C$1369,0)))</f>
        <v/>
      </c>
      <c r="I532" s="9">
        <f>IF(ISNA(MATCH(523,'Transfer Engine'!$C$2:$C$1369,0)),"",INDEX('Compliance Database'!$I$2:$I$1369,MATCH(523,'Transfer Engine'!$C$2:$C$1369,0)))</f>
        <v/>
      </c>
      <c r="J532" s="8">
        <f>IF(ISNA(MATCH(523,'Transfer Engine'!$C$2:$C$1369,0)),"",INDEX('Compliance Database'!$J$2:$J$1369,MATCH(523,'Transfer Engine'!$C$2:$C$1369,0)))</f>
        <v/>
      </c>
      <c r="K532" s="9">
        <f>IF(ISNA(MATCH(523,'Transfer Engine'!$C$2:$C$1369,0)),"",INDEX('Compliance Database'!$K$2:$K$1369,MATCH(523,'Transfer Engine'!$C$2:$C$1369,0)))</f>
        <v/>
      </c>
      <c r="L532" s="9">
        <f>IF(ISNA(MATCH(523,'Transfer Engine'!$C$2:$C$1369,0)),"",INDEX('Compliance Database'!$L$2:$L$1369,MATCH(523,'Transfer Engine'!$C$2:$C$1369,0)))</f>
        <v/>
      </c>
      <c r="M532" s="9">
        <f>IF(ISNA(MATCH(523,'Transfer Engine'!$C$2:$C$1369,0)),"",INDEX('Compliance Database'!$M$2:$M$1369,MATCH(523,'Transfer Engine'!$C$2:$C$1369,0)))</f>
        <v/>
      </c>
      <c r="N532" s="9">
        <f>IF(ISNA(MATCH(523,'Transfer Engine'!$C$2:$C$1369,0)),"",INDEX('Compliance Database'!$N$2:$N$1369,MATCH(523,'Transfer Engine'!$C$2:$C$1369,0)))</f>
        <v/>
      </c>
      <c r="O532" s="8">
        <f>IF(ISNA(MATCH(523,'Transfer Engine'!$C$2:$C$1369,0)),"",HYPERLINK(INDEX('Compliance Database'!$O$2:$O$1369,MATCH(523,'Transfer Engine'!$C$2:$C$1369,0)),"Open PDF"))</f>
        <v/>
      </c>
    </row>
    <row r="533" ht="188" customHeight="1">
      <c r="A533" s="8">
        <f>IF(ISNA(MATCH(524,'Transfer Engine'!$C$2:$C$1369,0)),"",INDEX('Compliance Database'!$A$2:$A$1369,MATCH(524,'Transfer Engine'!$C$2:$C$1369,0)))</f>
        <v/>
      </c>
      <c r="B533" s="8">
        <f>IF(ISNA(MATCH(524,'Transfer Engine'!$C$2:$C$1369,0)),"",INDEX('Compliance Database'!$B$2:$B$1369,MATCH(524,'Transfer Engine'!$C$2:$C$1369,0)))</f>
        <v/>
      </c>
      <c r="C533" s="8">
        <f>IF(ISNA(MATCH(524,'Transfer Engine'!$C$2:$C$1369,0)),"",INDEX('Compliance Database'!$C$2:$C$1369,MATCH(524,'Transfer Engine'!$C$2:$C$1369,0)))</f>
        <v/>
      </c>
      <c r="D533" s="9">
        <f>IF(ISNA(MATCH(524,'Transfer Engine'!$C$2:$C$1369,0)),"",INDEX('Compliance Database'!$D$2:$D$1369,MATCH(524,'Transfer Engine'!$C$2:$C$1369,0)))</f>
        <v/>
      </c>
      <c r="E533" s="8">
        <f>IF(ISNA(MATCH(524,'Transfer Engine'!$C$2:$C$1369,0)),"",INDEX('Compliance Database'!$E$2:$E$1369,MATCH(524,'Transfer Engine'!$C$2:$C$1369,0)))</f>
        <v/>
      </c>
      <c r="F533" s="8">
        <f>IF(ISNA(MATCH(524,'Transfer Engine'!$C$2:$C$1369,0)),"",INDEX('Compliance Database'!$F$2:$F$1369,MATCH(524,'Transfer Engine'!$C$2:$C$1369,0)))</f>
        <v/>
      </c>
      <c r="G533" s="8">
        <f>IF(ISNA(MATCH(524,'Transfer Engine'!$C$2:$C$1369,0)),"",INDEX('Compliance Database'!$G$2:$G$1369,MATCH(524,'Transfer Engine'!$C$2:$C$1369,0)))</f>
        <v/>
      </c>
      <c r="H533" s="9">
        <f>IF(ISNA(MATCH(524,'Transfer Engine'!$C$2:$C$1369,0)),"",INDEX('Compliance Database'!$H$2:$H$1369,MATCH(524,'Transfer Engine'!$C$2:$C$1369,0)))</f>
        <v/>
      </c>
      <c r="I533" s="9">
        <f>IF(ISNA(MATCH(524,'Transfer Engine'!$C$2:$C$1369,0)),"",INDEX('Compliance Database'!$I$2:$I$1369,MATCH(524,'Transfer Engine'!$C$2:$C$1369,0)))</f>
        <v/>
      </c>
      <c r="J533" s="8">
        <f>IF(ISNA(MATCH(524,'Transfer Engine'!$C$2:$C$1369,0)),"",INDEX('Compliance Database'!$J$2:$J$1369,MATCH(524,'Transfer Engine'!$C$2:$C$1369,0)))</f>
        <v/>
      </c>
      <c r="K533" s="9">
        <f>IF(ISNA(MATCH(524,'Transfer Engine'!$C$2:$C$1369,0)),"",INDEX('Compliance Database'!$K$2:$K$1369,MATCH(524,'Transfer Engine'!$C$2:$C$1369,0)))</f>
        <v/>
      </c>
      <c r="L533" s="9">
        <f>IF(ISNA(MATCH(524,'Transfer Engine'!$C$2:$C$1369,0)),"",INDEX('Compliance Database'!$L$2:$L$1369,MATCH(524,'Transfer Engine'!$C$2:$C$1369,0)))</f>
        <v/>
      </c>
      <c r="M533" s="9">
        <f>IF(ISNA(MATCH(524,'Transfer Engine'!$C$2:$C$1369,0)),"",INDEX('Compliance Database'!$M$2:$M$1369,MATCH(524,'Transfer Engine'!$C$2:$C$1369,0)))</f>
        <v/>
      </c>
      <c r="N533" s="9">
        <f>IF(ISNA(MATCH(524,'Transfer Engine'!$C$2:$C$1369,0)),"",INDEX('Compliance Database'!$N$2:$N$1369,MATCH(524,'Transfer Engine'!$C$2:$C$1369,0)))</f>
        <v/>
      </c>
      <c r="O533" s="8">
        <f>IF(ISNA(MATCH(524,'Transfer Engine'!$C$2:$C$1369,0)),"",HYPERLINK(INDEX('Compliance Database'!$O$2:$O$1369,MATCH(524,'Transfer Engine'!$C$2:$C$1369,0)),"Open PDF"))</f>
        <v/>
      </c>
    </row>
    <row r="534" ht="188" customHeight="1">
      <c r="A534" s="8">
        <f>IF(ISNA(MATCH(525,'Transfer Engine'!$C$2:$C$1369,0)),"",INDEX('Compliance Database'!$A$2:$A$1369,MATCH(525,'Transfer Engine'!$C$2:$C$1369,0)))</f>
        <v/>
      </c>
      <c r="B534" s="8">
        <f>IF(ISNA(MATCH(525,'Transfer Engine'!$C$2:$C$1369,0)),"",INDEX('Compliance Database'!$B$2:$B$1369,MATCH(525,'Transfer Engine'!$C$2:$C$1369,0)))</f>
        <v/>
      </c>
      <c r="C534" s="8">
        <f>IF(ISNA(MATCH(525,'Transfer Engine'!$C$2:$C$1369,0)),"",INDEX('Compliance Database'!$C$2:$C$1369,MATCH(525,'Transfer Engine'!$C$2:$C$1369,0)))</f>
        <v/>
      </c>
      <c r="D534" s="9">
        <f>IF(ISNA(MATCH(525,'Transfer Engine'!$C$2:$C$1369,0)),"",INDEX('Compliance Database'!$D$2:$D$1369,MATCH(525,'Transfer Engine'!$C$2:$C$1369,0)))</f>
        <v/>
      </c>
      <c r="E534" s="8">
        <f>IF(ISNA(MATCH(525,'Transfer Engine'!$C$2:$C$1369,0)),"",INDEX('Compliance Database'!$E$2:$E$1369,MATCH(525,'Transfer Engine'!$C$2:$C$1369,0)))</f>
        <v/>
      </c>
      <c r="F534" s="8">
        <f>IF(ISNA(MATCH(525,'Transfer Engine'!$C$2:$C$1369,0)),"",INDEX('Compliance Database'!$F$2:$F$1369,MATCH(525,'Transfer Engine'!$C$2:$C$1369,0)))</f>
        <v/>
      </c>
      <c r="G534" s="8">
        <f>IF(ISNA(MATCH(525,'Transfer Engine'!$C$2:$C$1369,0)),"",INDEX('Compliance Database'!$G$2:$G$1369,MATCH(525,'Transfer Engine'!$C$2:$C$1369,0)))</f>
        <v/>
      </c>
      <c r="H534" s="9">
        <f>IF(ISNA(MATCH(525,'Transfer Engine'!$C$2:$C$1369,0)),"",INDEX('Compliance Database'!$H$2:$H$1369,MATCH(525,'Transfer Engine'!$C$2:$C$1369,0)))</f>
        <v/>
      </c>
      <c r="I534" s="9">
        <f>IF(ISNA(MATCH(525,'Transfer Engine'!$C$2:$C$1369,0)),"",INDEX('Compliance Database'!$I$2:$I$1369,MATCH(525,'Transfer Engine'!$C$2:$C$1369,0)))</f>
        <v/>
      </c>
      <c r="J534" s="8">
        <f>IF(ISNA(MATCH(525,'Transfer Engine'!$C$2:$C$1369,0)),"",INDEX('Compliance Database'!$J$2:$J$1369,MATCH(525,'Transfer Engine'!$C$2:$C$1369,0)))</f>
        <v/>
      </c>
      <c r="K534" s="9">
        <f>IF(ISNA(MATCH(525,'Transfer Engine'!$C$2:$C$1369,0)),"",INDEX('Compliance Database'!$K$2:$K$1369,MATCH(525,'Transfer Engine'!$C$2:$C$1369,0)))</f>
        <v/>
      </c>
      <c r="L534" s="9">
        <f>IF(ISNA(MATCH(525,'Transfer Engine'!$C$2:$C$1369,0)),"",INDEX('Compliance Database'!$L$2:$L$1369,MATCH(525,'Transfer Engine'!$C$2:$C$1369,0)))</f>
        <v/>
      </c>
      <c r="M534" s="9">
        <f>IF(ISNA(MATCH(525,'Transfer Engine'!$C$2:$C$1369,0)),"",INDEX('Compliance Database'!$M$2:$M$1369,MATCH(525,'Transfer Engine'!$C$2:$C$1369,0)))</f>
        <v/>
      </c>
      <c r="N534" s="9">
        <f>IF(ISNA(MATCH(525,'Transfer Engine'!$C$2:$C$1369,0)),"",INDEX('Compliance Database'!$N$2:$N$1369,MATCH(525,'Transfer Engine'!$C$2:$C$1369,0)))</f>
        <v/>
      </c>
      <c r="O534" s="8">
        <f>IF(ISNA(MATCH(525,'Transfer Engine'!$C$2:$C$1369,0)),"",HYPERLINK(INDEX('Compliance Database'!$O$2:$O$1369,MATCH(525,'Transfer Engine'!$C$2:$C$1369,0)),"Open PDF"))</f>
        <v/>
      </c>
    </row>
    <row r="535" ht="188" customHeight="1">
      <c r="A535" s="8">
        <f>IF(ISNA(MATCH(526,'Transfer Engine'!$C$2:$C$1369,0)),"",INDEX('Compliance Database'!$A$2:$A$1369,MATCH(526,'Transfer Engine'!$C$2:$C$1369,0)))</f>
        <v/>
      </c>
      <c r="B535" s="8">
        <f>IF(ISNA(MATCH(526,'Transfer Engine'!$C$2:$C$1369,0)),"",INDEX('Compliance Database'!$B$2:$B$1369,MATCH(526,'Transfer Engine'!$C$2:$C$1369,0)))</f>
        <v/>
      </c>
      <c r="C535" s="8">
        <f>IF(ISNA(MATCH(526,'Transfer Engine'!$C$2:$C$1369,0)),"",INDEX('Compliance Database'!$C$2:$C$1369,MATCH(526,'Transfer Engine'!$C$2:$C$1369,0)))</f>
        <v/>
      </c>
      <c r="D535" s="9">
        <f>IF(ISNA(MATCH(526,'Transfer Engine'!$C$2:$C$1369,0)),"",INDEX('Compliance Database'!$D$2:$D$1369,MATCH(526,'Transfer Engine'!$C$2:$C$1369,0)))</f>
        <v/>
      </c>
      <c r="E535" s="8">
        <f>IF(ISNA(MATCH(526,'Transfer Engine'!$C$2:$C$1369,0)),"",INDEX('Compliance Database'!$E$2:$E$1369,MATCH(526,'Transfer Engine'!$C$2:$C$1369,0)))</f>
        <v/>
      </c>
      <c r="F535" s="8">
        <f>IF(ISNA(MATCH(526,'Transfer Engine'!$C$2:$C$1369,0)),"",INDEX('Compliance Database'!$F$2:$F$1369,MATCH(526,'Transfer Engine'!$C$2:$C$1369,0)))</f>
        <v/>
      </c>
      <c r="G535" s="8">
        <f>IF(ISNA(MATCH(526,'Transfer Engine'!$C$2:$C$1369,0)),"",INDEX('Compliance Database'!$G$2:$G$1369,MATCH(526,'Transfer Engine'!$C$2:$C$1369,0)))</f>
        <v/>
      </c>
      <c r="H535" s="9">
        <f>IF(ISNA(MATCH(526,'Transfer Engine'!$C$2:$C$1369,0)),"",INDEX('Compliance Database'!$H$2:$H$1369,MATCH(526,'Transfer Engine'!$C$2:$C$1369,0)))</f>
        <v/>
      </c>
      <c r="I535" s="9">
        <f>IF(ISNA(MATCH(526,'Transfer Engine'!$C$2:$C$1369,0)),"",INDEX('Compliance Database'!$I$2:$I$1369,MATCH(526,'Transfer Engine'!$C$2:$C$1369,0)))</f>
        <v/>
      </c>
      <c r="J535" s="8">
        <f>IF(ISNA(MATCH(526,'Transfer Engine'!$C$2:$C$1369,0)),"",INDEX('Compliance Database'!$J$2:$J$1369,MATCH(526,'Transfer Engine'!$C$2:$C$1369,0)))</f>
        <v/>
      </c>
      <c r="K535" s="9">
        <f>IF(ISNA(MATCH(526,'Transfer Engine'!$C$2:$C$1369,0)),"",INDEX('Compliance Database'!$K$2:$K$1369,MATCH(526,'Transfer Engine'!$C$2:$C$1369,0)))</f>
        <v/>
      </c>
      <c r="L535" s="9">
        <f>IF(ISNA(MATCH(526,'Transfer Engine'!$C$2:$C$1369,0)),"",INDEX('Compliance Database'!$L$2:$L$1369,MATCH(526,'Transfer Engine'!$C$2:$C$1369,0)))</f>
        <v/>
      </c>
      <c r="M535" s="9">
        <f>IF(ISNA(MATCH(526,'Transfer Engine'!$C$2:$C$1369,0)),"",INDEX('Compliance Database'!$M$2:$M$1369,MATCH(526,'Transfer Engine'!$C$2:$C$1369,0)))</f>
        <v/>
      </c>
      <c r="N535" s="9">
        <f>IF(ISNA(MATCH(526,'Transfer Engine'!$C$2:$C$1369,0)),"",INDEX('Compliance Database'!$N$2:$N$1369,MATCH(526,'Transfer Engine'!$C$2:$C$1369,0)))</f>
        <v/>
      </c>
      <c r="O535" s="8">
        <f>IF(ISNA(MATCH(526,'Transfer Engine'!$C$2:$C$1369,0)),"",HYPERLINK(INDEX('Compliance Database'!$O$2:$O$1369,MATCH(526,'Transfer Engine'!$C$2:$C$1369,0)),"Open PDF"))</f>
        <v/>
      </c>
    </row>
    <row r="536" ht="188" customHeight="1">
      <c r="A536" s="8">
        <f>IF(ISNA(MATCH(527,'Transfer Engine'!$C$2:$C$1369,0)),"",INDEX('Compliance Database'!$A$2:$A$1369,MATCH(527,'Transfer Engine'!$C$2:$C$1369,0)))</f>
        <v/>
      </c>
      <c r="B536" s="8">
        <f>IF(ISNA(MATCH(527,'Transfer Engine'!$C$2:$C$1369,0)),"",INDEX('Compliance Database'!$B$2:$B$1369,MATCH(527,'Transfer Engine'!$C$2:$C$1369,0)))</f>
        <v/>
      </c>
      <c r="C536" s="8">
        <f>IF(ISNA(MATCH(527,'Transfer Engine'!$C$2:$C$1369,0)),"",INDEX('Compliance Database'!$C$2:$C$1369,MATCH(527,'Transfer Engine'!$C$2:$C$1369,0)))</f>
        <v/>
      </c>
      <c r="D536" s="9">
        <f>IF(ISNA(MATCH(527,'Transfer Engine'!$C$2:$C$1369,0)),"",INDEX('Compliance Database'!$D$2:$D$1369,MATCH(527,'Transfer Engine'!$C$2:$C$1369,0)))</f>
        <v/>
      </c>
      <c r="E536" s="8">
        <f>IF(ISNA(MATCH(527,'Transfer Engine'!$C$2:$C$1369,0)),"",INDEX('Compliance Database'!$E$2:$E$1369,MATCH(527,'Transfer Engine'!$C$2:$C$1369,0)))</f>
        <v/>
      </c>
      <c r="F536" s="8">
        <f>IF(ISNA(MATCH(527,'Transfer Engine'!$C$2:$C$1369,0)),"",INDEX('Compliance Database'!$F$2:$F$1369,MATCH(527,'Transfer Engine'!$C$2:$C$1369,0)))</f>
        <v/>
      </c>
      <c r="G536" s="8">
        <f>IF(ISNA(MATCH(527,'Transfer Engine'!$C$2:$C$1369,0)),"",INDEX('Compliance Database'!$G$2:$G$1369,MATCH(527,'Transfer Engine'!$C$2:$C$1369,0)))</f>
        <v/>
      </c>
      <c r="H536" s="9">
        <f>IF(ISNA(MATCH(527,'Transfer Engine'!$C$2:$C$1369,0)),"",INDEX('Compliance Database'!$H$2:$H$1369,MATCH(527,'Transfer Engine'!$C$2:$C$1369,0)))</f>
        <v/>
      </c>
      <c r="I536" s="9">
        <f>IF(ISNA(MATCH(527,'Transfer Engine'!$C$2:$C$1369,0)),"",INDEX('Compliance Database'!$I$2:$I$1369,MATCH(527,'Transfer Engine'!$C$2:$C$1369,0)))</f>
        <v/>
      </c>
      <c r="J536" s="8">
        <f>IF(ISNA(MATCH(527,'Transfer Engine'!$C$2:$C$1369,0)),"",INDEX('Compliance Database'!$J$2:$J$1369,MATCH(527,'Transfer Engine'!$C$2:$C$1369,0)))</f>
        <v/>
      </c>
      <c r="K536" s="9">
        <f>IF(ISNA(MATCH(527,'Transfer Engine'!$C$2:$C$1369,0)),"",INDEX('Compliance Database'!$K$2:$K$1369,MATCH(527,'Transfer Engine'!$C$2:$C$1369,0)))</f>
        <v/>
      </c>
      <c r="L536" s="9">
        <f>IF(ISNA(MATCH(527,'Transfer Engine'!$C$2:$C$1369,0)),"",INDEX('Compliance Database'!$L$2:$L$1369,MATCH(527,'Transfer Engine'!$C$2:$C$1369,0)))</f>
        <v/>
      </c>
      <c r="M536" s="9">
        <f>IF(ISNA(MATCH(527,'Transfer Engine'!$C$2:$C$1369,0)),"",INDEX('Compliance Database'!$M$2:$M$1369,MATCH(527,'Transfer Engine'!$C$2:$C$1369,0)))</f>
        <v/>
      </c>
      <c r="N536" s="9">
        <f>IF(ISNA(MATCH(527,'Transfer Engine'!$C$2:$C$1369,0)),"",INDEX('Compliance Database'!$N$2:$N$1369,MATCH(527,'Transfer Engine'!$C$2:$C$1369,0)))</f>
        <v/>
      </c>
      <c r="O536" s="8">
        <f>IF(ISNA(MATCH(527,'Transfer Engine'!$C$2:$C$1369,0)),"",HYPERLINK(INDEX('Compliance Database'!$O$2:$O$1369,MATCH(527,'Transfer Engine'!$C$2:$C$1369,0)),"Open PDF"))</f>
        <v/>
      </c>
    </row>
    <row r="537" ht="188" customHeight="1">
      <c r="A537" s="8">
        <f>IF(ISNA(MATCH(528,'Transfer Engine'!$C$2:$C$1369,0)),"",INDEX('Compliance Database'!$A$2:$A$1369,MATCH(528,'Transfer Engine'!$C$2:$C$1369,0)))</f>
        <v/>
      </c>
      <c r="B537" s="8">
        <f>IF(ISNA(MATCH(528,'Transfer Engine'!$C$2:$C$1369,0)),"",INDEX('Compliance Database'!$B$2:$B$1369,MATCH(528,'Transfer Engine'!$C$2:$C$1369,0)))</f>
        <v/>
      </c>
      <c r="C537" s="8">
        <f>IF(ISNA(MATCH(528,'Transfer Engine'!$C$2:$C$1369,0)),"",INDEX('Compliance Database'!$C$2:$C$1369,MATCH(528,'Transfer Engine'!$C$2:$C$1369,0)))</f>
        <v/>
      </c>
      <c r="D537" s="9">
        <f>IF(ISNA(MATCH(528,'Transfer Engine'!$C$2:$C$1369,0)),"",INDEX('Compliance Database'!$D$2:$D$1369,MATCH(528,'Transfer Engine'!$C$2:$C$1369,0)))</f>
        <v/>
      </c>
      <c r="E537" s="8">
        <f>IF(ISNA(MATCH(528,'Transfer Engine'!$C$2:$C$1369,0)),"",INDEX('Compliance Database'!$E$2:$E$1369,MATCH(528,'Transfer Engine'!$C$2:$C$1369,0)))</f>
        <v/>
      </c>
      <c r="F537" s="8">
        <f>IF(ISNA(MATCH(528,'Transfer Engine'!$C$2:$C$1369,0)),"",INDEX('Compliance Database'!$F$2:$F$1369,MATCH(528,'Transfer Engine'!$C$2:$C$1369,0)))</f>
        <v/>
      </c>
      <c r="G537" s="8">
        <f>IF(ISNA(MATCH(528,'Transfer Engine'!$C$2:$C$1369,0)),"",INDEX('Compliance Database'!$G$2:$G$1369,MATCH(528,'Transfer Engine'!$C$2:$C$1369,0)))</f>
        <v/>
      </c>
      <c r="H537" s="9">
        <f>IF(ISNA(MATCH(528,'Transfer Engine'!$C$2:$C$1369,0)),"",INDEX('Compliance Database'!$H$2:$H$1369,MATCH(528,'Transfer Engine'!$C$2:$C$1369,0)))</f>
        <v/>
      </c>
      <c r="I537" s="9">
        <f>IF(ISNA(MATCH(528,'Transfer Engine'!$C$2:$C$1369,0)),"",INDEX('Compliance Database'!$I$2:$I$1369,MATCH(528,'Transfer Engine'!$C$2:$C$1369,0)))</f>
        <v/>
      </c>
      <c r="J537" s="8">
        <f>IF(ISNA(MATCH(528,'Transfer Engine'!$C$2:$C$1369,0)),"",INDEX('Compliance Database'!$J$2:$J$1369,MATCH(528,'Transfer Engine'!$C$2:$C$1369,0)))</f>
        <v/>
      </c>
      <c r="K537" s="9">
        <f>IF(ISNA(MATCH(528,'Transfer Engine'!$C$2:$C$1369,0)),"",INDEX('Compliance Database'!$K$2:$K$1369,MATCH(528,'Transfer Engine'!$C$2:$C$1369,0)))</f>
        <v/>
      </c>
      <c r="L537" s="9">
        <f>IF(ISNA(MATCH(528,'Transfer Engine'!$C$2:$C$1369,0)),"",INDEX('Compliance Database'!$L$2:$L$1369,MATCH(528,'Transfer Engine'!$C$2:$C$1369,0)))</f>
        <v/>
      </c>
      <c r="M537" s="9">
        <f>IF(ISNA(MATCH(528,'Transfer Engine'!$C$2:$C$1369,0)),"",INDEX('Compliance Database'!$M$2:$M$1369,MATCH(528,'Transfer Engine'!$C$2:$C$1369,0)))</f>
        <v/>
      </c>
      <c r="N537" s="9">
        <f>IF(ISNA(MATCH(528,'Transfer Engine'!$C$2:$C$1369,0)),"",INDEX('Compliance Database'!$N$2:$N$1369,MATCH(528,'Transfer Engine'!$C$2:$C$1369,0)))</f>
        <v/>
      </c>
      <c r="O537" s="8">
        <f>IF(ISNA(MATCH(528,'Transfer Engine'!$C$2:$C$1369,0)),"",HYPERLINK(INDEX('Compliance Database'!$O$2:$O$1369,MATCH(528,'Transfer Engine'!$C$2:$C$1369,0)),"Open PDF"))</f>
        <v/>
      </c>
    </row>
    <row r="538" ht="188" customHeight="1">
      <c r="A538" s="8">
        <f>IF(ISNA(MATCH(529,'Transfer Engine'!$C$2:$C$1369,0)),"",INDEX('Compliance Database'!$A$2:$A$1369,MATCH(529,'Transfer Engine'!$C$2:$C$1369,0)))</f>
        <v/>
      </c>
      <c r="B538" s="8">
        <f>IF(ISNA(MATCH(529,'Transfer Engine'!$C$2:$C$1369,0)),"",INDEX('Compliance Database'!$B$2:$B$1369,MATCH(529,'Transfer Engine'!$C$2:$C$1369,0)))</f>
        <v/>
      </c>
      <c r="C538" s="8">
        <f>IF(ISNA(MATCH(529,'Transfer Engine'!$C$2:$C$1369,0)),"",INDEX('Compliance Database'!$C$2:$C$1369,MATCH(529,'Transfer Engine'!$C$2:$C$1369,0)))</f>
        <v/>
      </c>
      <c r="D538" s="9">
        <f>IF(ISNA(MATCH(529,'Transfer Engine'!$C$2:$C$1369,0)),"",INDEX('Compliance Database'!$D$2:$D$1369,MATCH(529,'Transfer Engine'!$C$2:$C$1369,0)))</f>
        <v/>
      </c>
      <c r="E538" s="8">
        <f>IF(ISNA(MATCH(529,'Transfer Engine'!$C$2:$C$1369,0)),"",INDEX('Compliance Database'!$E$2:$E$1369,MATCH(529,'Transfer Engine'!$C$2:$C$1369,0)))</f>
        <v/>
      </c>
      <c r="F538" s="8">
        <f>IF(ISNA(MATCH(529,'Transfer Engine'!$C$2:$C$1369,0)),"",INDEX('Compliance Database'!$F$2:$F$1369,MATCH(529,'Transfer Engine'!$C$2:$C$1369,0)))</f>
        <v/>
      </c>
      <c r="G538" s="8">
        <f>IF(ISNA(MATCH(529,'Transfer Engine'!$C$2:$C$1369,0)),"",INDEX('Compliance Database'!$G$2:$G$1369,MATCH(529,'Transfer Engine'!$C$2:$C$1369,0)))</f>
        <v/>
      </c>
      <c r="H538" s="9">
        <f>IF(ISNA(MATCH(529,'Transfer Engine'!$C$2:$C$1369,0)),"",INDEX('Compliance Database'!$H$2:$H$1369,MATCH(529,'Transfer Engine'!$C$2:$C$1369,0)))</f>
        <v/>
      </c>
      <c r="I538" s="9">
        <f>IF(ISNA(MATCH(529,'Transfer Engine'!$C$2:$C$1369,0)),"",INDEX('Compliance Database'!$I$2:$I$1369,MATCH(529,'Transfer Engine'!$C$2:$C$1369,0)))</f>
        <v/>
      </c>
      <c r="J538" s="8">
        <f>IF(ISNA(MATCH(529,'Transfer Engine'!$C$2:$C$1369,0)),"",INDEX('Compliance Database'!$J$2:$J$1369,MATCH(529,'Transfer Engine'!$C$2:$C$1369,0)))</f>
        <v/>
      </c>
      <c r="K538" s="9">
        <f>IF(ISNA(MATCH(529,'Transfer Engine'!$C$2:$C$1369,0)),"",INDEX('Compliance Database'!$K$2:$K$1369,MATCH(529,'Transfer Engine'!$C$2:$C$1369,0)))</f>
        <v/>
      </c>
      <c r="L538" s="9">
        <f>IF(ISNA(MATCH(529,'Transfer Engine'!$C$2:$C$1369,0)),"",INDEX('Compliance Database'!$L$2:$L$1369,MATCH(529,'Transfer Engine'!$C$2:$C$1369,0)))</f>
        <v/>
      </c>
      <c r="M538" s="9">
        <f>IF(ISNA(MATCH(529,'Transfer Engine'!$C$2:$C$1369,0)),"",INDEX('Compliance Database'!$M$2:$M$1369,MATCH(529,'Transfer Engine'!$C$2:$C$1369,0)))</f>
        <v/>
      </c>
      <c r="N538" s="9">
        <f>IF(ISNA(MATCH(529,'Transfer Engine'!$C$2:$C$1369,0)),"",INDEX('Compliance Database'!$N$2:$N$1369,MATCH(529,'Transfer Engine'!$C$2:$C$1369,0)))</f>
        <v/>
      </c>
      <c r="O538" s="8">
        <f>IF(ISNA(MATCH(529,'Transfer Engine'!$C$2:$C$1369,0)),"",HYPERLINK(INDEX('Compliance Database'!$O$2:$O$1369,MATCH(529,'Transfer Engine'!$C$2:$C$1369,0)),"Open PDF"))</f>
        <v/>
      </c>
    </row>
    <row r="539" ht="188" customHeight="1">
      <c r="A539" s="8">
        <f>IF(ISNA(MATCH(530,'Transfer Engine'!$C$2:$C$1369,0)),"",INDEX('Compliance Database'!$A$2:$A$1369,MATCH(530,'Transfer Engine'!$C$2:$C$1369,0)))</f>
        <v/>
      </c>
      <c r="B539" s="8">
        <f>IF(ISNA(MATCH(530,'Transfer Engine'!$C$2:$C$1369,0)),"",INDEX('Compliance Database'!$B$2:$B$1369,MATCH(530,'Transfer Engine'!$C$2:$C$1369,0)))</f>
        <v/>
      </c>
      <c r="C539" s="8">
        <f>IF(ISNA(MATCH(530,'Transfer Engine'!$C$2:$C$1369,0)),"",INDEX('Compliance Database'!$C$2:$C$1369,MATCH(530,'Transfer Engine'!$C$2:$C$1369,0)))</f>
        <v/>
      </c>
      <c r="D539" s="9">
        <f>IF(ISNA(MATCH(530,'Transfer Engine'!$C$2:$C$1369,0)),"",INDEX('Compliance Database'!$D$2:$D$1369,MATCH(530,'Transfer Engine'!$C$2:$C$1369,0)))</f>
        <v/>
      </c>
      <c r="E539" s="8">
        <f>IF(ISNA(MATCH(530,'Transfer Engine'!$C$2:$C$1369,0)),"",INDEX('Compliance Database'!$E$2:$E$1369,MATCH(530,'Transfer Engine'!$C$2:$C$1369,0)))</f>
        <v/>
      </c>
      <c r="F539" s="8">
        <f>IF(ISNA(MATCH(530,'Transfer Engine'!$C$2:$C$1369,0)),"",INDEX('Compliance Database'!$F$2:$F$1369,MATCH(530,'Transfer Engine'!$C$2:$C$1369,0)))</f>
        <v/>
      </c>
      <c r="G539" s="8">
        <f>IF(ISNA(MATCH(530,'Transfer Engine'!$C$2:$C$1369,0)),"",INDEX('Compliance Database'!$G$2:$G$1369,MATCH(530,'Transfer Engine'!$C$2:$C$1369,0)))</f>
        <v/>
      </c>
      <c r="H539" s="9">
        <f>IF(ISNA(MATCH(530,'Transfer Engine'!$C$2:$C$1369,0)),"",INDEX('Compliance Database'!$H$2:$H$1369,MATCH(530,'Transfer Engine'!$C$2:$C$1369,0)))</f>
        <v/>
      </c>
      <c r="I539" s="9">
        <f>IF(ISNA(MATCH(530,'Transfer Engine'!$C$2:$C$1369,0)),"",INDEX('Compliance Database'!$I$2:$I$1369,MATCH(530,'Transfer Engine'!$C$2:$C$1369,0)))</f>
        <v/>
      </c>
      <c r="J539" s="8">
        <f>IF(ISNA(MATCH(530,'Transfer Engine'!$C$2:$C$1369,0)),"",INDEX('Compliance Database'!$J$2:$J$1369,MATCH(530,'Transfer Engine'!$C$2:$C$1369,0)))</f>
        <v/>
      </c>
      <c r="K539" s="9">
        <f>IF(ISNA(MATCH(530,'Transfer Engine'!$C$2:$C$1369,0)),"",INDEX('Compliance Database'!$K$2:$K$1369,MATCH(530,'Transfer Engine'!$C$2:$C$1369,0)))</f>
        <v/>
      </c>
      <c r="L539" s="9">
        <f>IF(ISNA(MATCH(530,'Transfer Engine'!$C$2:$C$1369,0)),"",INDEX('Compliance Database'!$L$2:$L$1369,MATCH(530,'Transfer Engine'!$C$2:$C$1369,0)))</f>
        <v/>
      </c>
      <c r="M539" s="9">
        <f>IF(ISNA(MATCH(530,'Transfer Engine'!$C$2:$C$1369,0)),"",INDEX('Compliance Database'!$M$2:$M$1369,MATCH(530,'Transfer Engine'!$C$2:$C$1369,0)))</f>
        <v/>
      </c>
      <c r="N539" s="9">
        <f>IF(ISNA(MATCH(530,'Transfer Engine'!$C$2:$C$1369,0)),"",INDEX('Compliance Database'!$N$2:$N$1369,MATCH(530,'Transfer Engine'!$C$2:$C$1369,0)))</f>
        <v/>
      </c>
      <c r="O539" s="8">
        <f>IF(ISNA(MATCH(530,'Transfer Engine'!$C$2:$C$1369,0)),"",HYPERLINK(INDEX('Compliance Database'!$O$2:$O$1369,MATCH(530,'Transfer Engine'!$C$2:$C$1369,0)),"Open PDF"))</f>
        <v/>
      </c>
    </row>
    <row r="540" ht="188" customHeight="1">
      <c r="A540" s="8">
        <f>IF(ISNA(MATCH(531,'Transfer Engine'!$C$2:$C$1369,0)),"",INDEX('Compliance Database'!$A$2:$A$1369,MATCH(531,'Transfer Engine'!$C$2:$C$1369,0)))</f>
        <v/>
      </c>
      <c r="B540" s="8">
        <f>IF(ISNA(MATCH(531,'Transfer Engine'!$C$2:$C$1369,0)),"",INDEX('Compliance Database'!$B$2:$B$1369,MATCH(531,'Transfer Engine'!$C$2:$C$1369,0)))</f>
        <v/>
      </c>
      <c r="C540" s="8">
        <f>IF(ISNA(MATCH(531,'Transfer Engine'!$C$2:$C$1369,0)),"",INDEX('Compliance Database'!$C$2:$C$1369,MATCH(531,'Transfer Engine'!$C$2:$C$1369,0)))</f>
        <v/>
      </c>
      <c r="D540" s="9">
        <f>IF(ISNA(MATCH(531,'Transfer Engine'!$C$2:$C$1369,0)),"",INDEX('Compliance Database'!$D$2:$D$1369,MATCH(531,'Transfer Engine'!$C$2:$C$1369,0)))</f>
        <v/>
      </c>
      <c r="E540" s="8">
        <f>IF(ISNA(MATCH(531,'Transfer Engine'!$C$2:$C$1369,0)),"",INDEX('Compliance Database'!$E$2:$E$1369,MATCH(531,'Transfer Engine'!$C$2:$C$1369,0)))</f>
        <v/>
      </c>
      <c r="F540" s="8">
        <f>IF(ISNA(MATCH(531,'Transfer Engine'!$C$2:$C$1369,0)),"",INDEX('Compliance Database'!$F$2:$F$1369,MATCH(531,'Transfer Engine'!$C$2:$C$1369,0)))</f>
        <v/>
      </c>
      <c r="G540" s="8">
        <f>IF(ISNA(MATCH(531,'Transfer Engine'!$C$2:$C$1369,0)),"",INDEX('Compliance Database'!$G$2:$G$1369,MATCH(531,'Transfer Engine'!$C$2:$C$1369,0)))</f>
        <v/>
      </c>
      <c r="H540" s="9">
        <f>IF(ISNA(MATCH(531,'Transfer Engine'!$C$2:$C$1369,0)),"",INDEX('Compliance Database'!$H$2:$H$1369,MATCH(531,'Transfer Engine'!$C$2:$C$1369,0)))</f>
        <v/>
      </c>
      <c r="I540" s="9">
        <f>IF(ISNA(MATCH(531,'Transfer Engine'!$C$2:$C$1369,0)),"",INDEX('Compliance Database'!$I$2:$I$1369,MATCH(531,'Transfer Engine'!$C$2:$C$1369,0)))</f>
        <v/>
      </c>
      <c r="J540" s="8">
        <f>IF(ISNA(MATCH(531,'Transfer Engine'!$C$2:$C$1369,0)),"",INDEX('Compliance Database'!$J$2:$J$1369,MATCH(531,'Transfer Engine'!$C$2:$C$1369,0)))</f>
        <v/>
      </c>
      <c r="K540" s="9">
        <f>IF(ISNA(MATCH(531,'Transfer Engine'!$C$2:$C$1369,0)),"",INDEX('Compliance Database'!$K$2:$K$1369,MATCH(531,'Transfer Engine'!$C$2:$C$1369,0)))</f>
        <v/>
      </c>
      <c r="L540" s="9">
        <f>IF(ISNA(MATCH(531,'Transfer Engine'!$C$2:$C$1369,0)),"",INDEX('Compliance Database'!$L$2:$L$1369,MATCH(531,'Transfer Engine'!$C$2:$C$1369,0)))</f>
        <v/>
      </c>
      <c r="M540" s="9">
        <f>IF(ISNA(MATCH(531,'Transfer Engine'!$C$2:$C$1369,0)),"",INDEX('Compliance Database'!$M$2:$M$1369,MATCH(531,'Transfer Engine'!$C$2:$C$1369,0)))</f>
        <v/>
      </c>
      <c r="N540" s="9">
        <f>IF(ISNA(MATCH(531,'Transfer Engine'!$C$2:$C$1369,0)),"",INDEX('Compliance Database'!$N$2:$N$1369,MATCH(531,'Transfer Engine'!$C$2:$C$1369,0)))</f>
        <v/>
      </c>
      <c r="O540" s="8">
        <f>IF(ISNA(MATCH(531,'Transfer Engine'!$C$2:$C$1369,0)),"",HYPERLINK(INDEX('Compliance Database'!$O$2:$O$1369,MATCH(531,'Transfer Engine'!$C$2:$C$1369,0)),"Open PDF"))</f>
        <v/>
      </c>
    </row>
    <row r="541" ht="188" customHeight="1">
      <c r="A541" s="8">
        <f>IF(ISNA(MATCH(532,'Transfer Engine'!$C$2:$C$1369,0)),"",INDEX('Compliance Database'!$A$2:$A$1369,MATCH(532,'Transfer Engine'!$C$2:$C$1369,0)))</f>
        <v/>
      </c>
      <c r="B541" s="8">
        <f>IF(ISNA(MATCH(532,'Transfer Engine'!$C$2:$C$1369,0)),"",INDEX('Compliance Database'!$B$2:$B$1369,MATCH(532,'Transfer Engine'!$C$2:$C$1369,0)))</f>
        <v/>
      </c>
      <c r="C541" s="8">
        <f>IF(ISNA(MATCH(532,'Transfer Engine'!$C$2:$C$1369,0)),"",INDEX('Compliance Database'!$C$2:$C$1369,MATCH(532,'Transfer Engine'!$C$2:$C$1369,0)))</f>
        <v/>
      </c>
      <c r="D541" s="9">
        <f>IF(ISNA(MATCH(532,'Transfer Engine'!$C$2:$C$1369,0)),"",INDEX('Compliance Database'!$D$2:$D$1369,MATCH(532,'Transfer Engine'!$C$2:$C$1369,0)))</f>
        <v/>
      </c>
      <c r="E541" s="8">
        <f>IF(ISNA(MATCH(532,'Transfer Engine'!$C$2:$C$1369,0)),"",INDEX('Compliance Database'!$E$2:$E$1369,MATCH(532,'Transfer Engine'!$C$2:$C$1369,0)))</f>
        <v/>
      </c>
      <c r="F541" s="8">
        <f>IF(ISNA(MATCH(532,'Transfer Engine'!$C$2:$C$1369,0)),"",INDEX('Compliance Database'!$F$2:$F$1369,MATCH(532,'Transfer Engine'!$C$2:$C$1369,0)))</f>
        <v/>
      </c>
      <c r="G541" s="8">
        <f>IF(ISNA(MATCH(532,'Transfer Engine'!$C$2:$C$1369,0)),"",INDEX('Compliance Database'!$G$2:$G$1369,MATCH(532,'Transfer Engine'!$C$2:$C$1369,0)))</f>
        <v/>
      </c>
      <c r="H541" s="9">
        <f>IF(ISNA(MATCH(532,'Transfer Engine'!$C$2:$C$1369,0)),"",INDEX('Compliance Database'!$H$2:$H$1369,MATCH(532,'Transfer Engine'!$C$2:$C$1369,0)))</f>
        <v/>
      </c>
      <c r="I541" s="9">
        <f>IF(ISNA(MATCH(532,'Transfer Engine'!$C$2:$C$1369,0)),"",INDEX('Compliance Database'!$I$2:$I$1369,MATCH(532,'Transfer Engine'!$C$2:$C$1369,0)))</f>
        <v/>
      </c>
      <c r="J541" s="8">
        <f>IF(ISNA(MATCH(532,'Transfer Engine'!$C$2:$C$1369,0)),"",INDEX('Compliance Database'!$J$2:$J$1369,MATCH(532,'Transfer Engine'!$C$2:$C$1369,0)))</f>
        <v/>
      </c>
      <c r="K541" s="9">
        <f>IF(ISNA(MATCH(532,'Transfer Engine'!$C$2:$C$1369,0)),"",INDEX('Compliance Database'!$K$2:$K$1369,MATCH(532,'Transfer Engine'!$C$2:$C$1369,0)))</f>
        <v/>
      </c>
      <c r="L541" s="9">
        <f>IF(ISNA(MATCH(532,'Transfer Engine'!$C$2:$C$1369,0)),"",INDEX('Compliance Database'!$L$2:$L$1369,MATCH(532,'Transfer Engine'!$C$2:$C$1369,0)))</f>
        <v/>
      </c>
      <c r="M541" s="9">
        <f>IF(ISNA(MATCH(532,'Transfer Engine'!$C$2:$C$1369,0)),"",INDEX('Compliance Database'!$M$2:$M$1369,MATCH(532,'Transfer Engine'!$C$2:$C$1369,0)))</f>
        <v/>
      </c>
      <c r="N541" s="9">
        <f>IF(ISNA(MATCH(532,'Transfer Engine'!$C$2:$C$1369,0)),"",INDEX('Compliance Database'!$N$2:$N$1369,MATCH(532,'Transfer Engine'!$C$2:$C$1369,0)))</f>
        <v/>
      </c>
      <c r="O541" s="8">
        <f>IF(ISNA(MATCH(532,'Transfer Engine'!$C$2:$C$1369,0)),"",HYPERLINK(INDEX('Compliance Database'!$O$2:$O$1369,MATCH(532,'Transfer Engine'!$C$2:$C$1369,0)),"Open PDF"))</f>
        <v/>
      </c>
    </row>
    <row r="542" ht="188" customHeight="1">
      <c r="A542" s="8">
        <f>IF(ISNA(MATCH(533,'Transfer Engine'!$C$2:$C$1369,0)),"",INDEX('Compliance Database'!$A$2:$A$1369,MATCH(533,'Transfer Engine'!$C$2:$C$1369,0)))</f>
        <v/>
      </c>
      <c r="B542" s="8">
        <f>IF(ISNA(MATCH(533,'Transfer Engine'!$C$2:$C$1369,0)),"",INDEX('Compliance Database'!$B$2:$B$1369,MATCH(533,'Transfer Engine'!$C$2:$C$1369,0)))</f>
        <v/>
      </c>
      <c r="C542" s="8">
        <f>IF(ISNA(MATCH(533,'Transfer Engine'!$C$2:$C$1369,0)),"",INDEX('Compliance Database'!$C$2:$C$1369,MATCH(533,'Transfer Engine'!$C$2:$C$1369,0)))</f>
        <v/>
      </c>
      <c r="D542" s="9">
        <f>IF(ISNA(MATCH(533,'Transfer Engine'!$C$2:$C$1369,0)),"",INDEX('Compliance Database'!$D$2:$D$1369,MATCH(533,'Transfer Engine'!$C$2:$C$1369,0)))</f>
        <v/>
      </c>
      <c r="E542" s="8">
        <f>IF(ISNA(MATCH(533,'Transfer Engine'!$C$2:$C$1369,0)),"",INDEX('Compliance Database'!$E$2:$E$1369,MATCH(533,'Transfer Engine'!$C$2:$C$1369,0)))</f>
        <v/>
      </c>
      <c r="F542" s="8">
        <f>IF(ISNA(MATCH(533,'Transfer Engine'!$C$2:$C$1369,0)),"",INDEX('Compliance Database'!$F$2:$F$1369,MATCH(533,'Transfer Engine'!$C$2:$C$1369,0)))</f>
        <v/>
      </c>
      <c r="G542" s="8">
        <f>IF(ISNA(MATCH(533,'Transfer Engine'!$C$2:$C$1369,0)),"",INDEX('Compliance Database'!$G$2:$G$1369,MATCH(533,'Transfer Engine'!$C$2:$C$1369,0)))</f>
        <v/>
      </c>
      <c r="H542" s="9">
        <f>IF(ISNA(MATCH(533,'Transfer Engine'!$C$2:$C$1369,0)),"",INDEX('Compliance Database'!$H$2:$H$1369,MATCH(533,'Transfer Engine'!$C$2:$C$1369,0)))</f>
        <v/>
      </c>
      <c r="I542" s="9">
        <f>IF(ISNA(MATCH(533,'Transfer Engine'!$C$2:$C$1369,0)),"",INDEX('Compliance Database'!$I$2:$I$1369,MATCH(533,'Transfer Engine'!$C$2:$C$1369,0)))</f>
        <v/>
      </c>
      <c r="J542" s="8">
        <f>IF(ISNA(MATCH(533,'Transfer Engine'!$C$2:$C$1369,0)),"",INDEX('Compliance Database'!$J$2:$J$1369,MATCH(533,'Transfer Engine'!$C$2:$C$1369,0)))</f>
        <v/>
      </c>
      <c r="K542" s="9">
        <f>IF(ISNA(MATCH(533,'Transfer Engine'!$C$2:$C$1369,0)),"",INDEX('Compliance Database'!$K$2:$K$1369,MATCH(533,'Transfer Engine'!$C$2:$C$1369,0)))</f>
        <v/>
      </c>
      <c r="L542" s="9">
        <f>IF(ISNA(MATCH(533,'Transfer Engine'!$C$2:$C$1369,0)),"",INDEX('Compliance Database'!$L$2:$L$1369,MATCH(533,'Transfer Engine'!$C$2:$C$1369,0)))</f>
        <v/>
      </c>
      <c r="M542" s="9">
        <f>IF(ISNA(MATCH(533,'Transfer Engine'!$C$2:$C$1369,0)),"",INDEX('Compliance Database'!$M$2:$M$1369,MATCH(533,'Transfer Engine'!$C$2:$C$1369,0)))</f>
        <v/>
      </c>
      <c r="N542" s="9">
        <f>IF(ISNA(MATCH(533,'Transfer Engine'!$C$2:$C$1369,0)),"",INDEX('Compliance Database'!$N$2:$N$1369,MATCH(533,'Transfer Engine'!$C$2:$C$1369,0)))</f>
        <v/>
      </c>
      <c r="O542" s="8">
        <f>IF(ISNA(MATCH(533,'Transfer Engine'!$C$2:$C$1369,0)),"",HYPERLINK(INDEX('Compliance Database'!$O$2:$O$1369,MATCH(533,'Transfer Engine'!$C$2:$C$1369,0)),"Open PDF"))</f>
        <v/>
      </c>
    </row>
    <row r="543" ht="188" customHeight="1">
      <c r="A543" s="8">
        <f>IF(ISNA(MATCH(534,'Transfer Engine'!$C$2:$C$1369,0)),"",INDEX('Compliance Database'!$A$2:$A$1369,MATCH(534,'Transfer Engine'!$C$2:$C$1369,0)))</f>
        <v/>
      </c>
      <c r="B543" s="8">
        <f>IF(ISNA(MATCH(534,'Transfer Engine'!$C$2:$C$1369,0)),"",INDEX('Compliance Database'!$B$2:$B$1369,MATCH(534,'Transfer Engine'!$C$2:$C$1369,0)))</f>
        <v/>
      </c>
      <c r="C543" s="8">
        <f>IF(ISNA(MATCH(534,'Transfer Engine'!$C$2:$C$1369,0)),"",INDEX('Compliance Database'!$C$2:$C$1369,MATCH(534,'Transfer Engine'!$C$2:$C$1369,0)))</f>
        <v/>
      </c>
      <c r="D543" s="9">
        <f>IF(ISNA(MATCH(534,'Transfer Engine'!$C$2:$C$1369,0)),"",INDEX('Compliance Database'!$D$2:$D$1369,MATCH(534,'Transfer Engine'!$C$2:$C$1369,0)))</f>
        <v/>
      </c>
      <c r="E543" s="8">
        <f>IF(ISNA(MATCH(534,'Transfer Engine'!$C$2:$C$1369,0)),"",INDEX('Compliance Database'!$E$2:$E$1369,MATCH(534,'Transfer Engine'!$C$2:$C$1369,0)))</f>
        <v/>
      </c>
      <c r="F543" s="8">
        <f>IF(ISNA(MATCH(534,'Transfer Engine'!$C$2:$C$1369,0)),"",INDEX('Compliance Database'!$F$2:$F$1369,MATCH(534,'Transfer Engine'!$C$2:$C$1369,0)))</f>
        <v/>
      </c>
      <c r="G543" s="8">
        <f>IF(ISNA(MATCH(534,'Transfer Engine'!$C$2:$C$1369,0)),"",INDEX('Compliance Database'!$G$2:$G$1369,MATCH(534,'Transfer Engine'!$C$2:$C$1369,0)))</f>
        <v/>
      </c>
      <c r="H543" s="9">
        <f>IF(ISNA(MATCH(534,'Transfer Engine'!$C$2:$C$1369,0)),"",INDEX('Compliance Database'!$H$2:$H$1369,MATCH(534,'Transfer Engine'!$C$2:$C$1369,0)))</f>
        <v/>
      </c>
      <c r="I543" s="9">
        <f>IF(ISNA(MATCH(534,'Transfer Engine'!$C$2:$C$1369,0)),"",INDEX('Compliance Database'!$I$2:$I$1369,MATCH(534,'Transfer Engine'!$C$2:$C$1369,0)))</f>
        <v/>
      </c>
      <c r="J543" s="8">
        <f>IF(ISNA(MATCH(534,'Transfer Engine'!$C$2:$C$1369,0)),"",INDEX('Compliance Database'!$J$2:$J$1369,MATCH(534,'Transfer Engine'!$C$2:$C$1369,0)))</f>
        <v/>
      </c>
      <c r="K543" s="9">
        <f>IF(ISNA(MATCH(534,'Transfer Engine'!$C$2:$C$1369,0)),"",INDEX('Compliance Database'!$K$2:$K$1369,MATCH(534,'Transfer Engine'!$C$2:$C$1369,0)))</f>
        <v/>
      </c>
      <c r="L543" s="9">
        <f>IF(ISNA(MATCH(534,'Transfer Engine'!$C$2:$C$1369,0)),"",INDEX('Compliance Database'!$L$2:$L$1369,MATCH(534,'Transfer Engine'!$C$2:$C$1369,0)))</f>
        <v/>
      </c>
      <c r="M543" s="9">
        <f>IF(ISNA(MATCH(534,'Transfer Engine'!$C$2:$C$1369,0)),"",INDEX('Compliance Database'!$M$2:$M$1369,MATCH(534,'Transfer Engine'!$C$2:$C$1369,0)))</f>
        <v/>
      </c>
      <c r="N543" s="9">
        <f>IF(ISNA(MATCH(534,'Transfer Engine'!$C$2:$C$1369,0)),"",INDEX('Compliance Database'!$N$2:$N$1369,MATCH(534,'Transfer Engine'!$C$2:$C$1369,0)))</f>
        <v/>
      </c>
      <c r="O543" s="8">
        <f>IF(ISNA(MATCH(534,'Transfer Engine'!$C$2:$C$1369,0)),"",HYPERLINK(INDEX('Compliance Database'!$O$2:$O$1369,MATCH(534,'Transfer Engine'!$C$2:$C$1369,0)),"Open PDF"))</f>
        <v/>
      </c>
    </row>
    <row r="544" ht="188" customHeight="1">
      <c r="A544" s="8">
        <f>IF(ISNA(MATCH(535,'Transfer Engine'!$C$2:$C$1369,0)),"",INDEX('Compliance Database'!$A$2:$A$1369,MATCH(535,'Transfer Engine'!$C$2:$C$1369,0)))</f>
        <v/>
      </c>
      <c r="B544" s="8">
        <f>IF(ISNA(MATCH(535,'Transfer Engine'!$C$2:$C$1369,0)),"",INDEX('Compliance Database'!$B$2:$B$1369,MATCH(535,'Transfer Engine'!$C$2:$C$1369,0)))</f>
        <v/>
      </c>
      <c r="C544" s="8">
        <f>IF(ISNA(MATCH(535,'Transfer Engine'!$C$2:$C$1369,0)),"",INDEX('Compliance Database'!$C$2:$C$1369,MATCH(535,'Transfer Engine'!$C$2:$C$1369,0)))</f>
        <v/>
      </c>
      <c r="D544" s="9">
        <f>IF(ISNA(MATCH(535,'Transfer Engine'!$C$2:$C$1369,0)),"",INDEX('Compliance Database'!$D$2:$D$1369,MATCH(535,'Transfer Engine'!$C$2:$C$1369,0)))</f>
        <v/>
      </c>
      <c r="E544" s="8">
        <f>IF(ISNA(MATCH(535,'Transfer Engine'!$C$2:$C$1369,0)),"",INDEX('Compliance Database'!$E$2:$E$1369,MATCH(535,'Transfer Engine'!$C$2:$C$1369,0)))</f>
        <v/>
      </c>
      <c r="F544" s="8">
        <f>IF(ISNA(MATCH(535,'Transfer Engine'!$C$2:$C$1369,0)),"",INDEX('Compliance Database'!$F$2:$F$1369,MATCH(535,'Transfer Engine'!$C$2:$C$1369,0)))</f>
        <v/>
      </c>
      <c r="G544" s="8">
        <f>IF(ISNA(MATCH(535,'Transfer Engine'!$C$2:$C$1369,0)),"",INDEX('Compliance Database'!$G$2:$G$1369,MATCH(535,'Transfer Engine'!$C$2:$C$1369,0)))</f>
        <v/>
      </c>
      <c r="H544" s="9">
        <f>IF(ISNA(MATCH(535,'Transfer Engine'!$C$2:$C$1369,0)),"",INDEX('Compliance Database'!$H$2:$H$1369,MATCH(535,'Transfer Engine'!$C$2:$C$1369,0)))</f>
        <v/>
      </c>
      <c r="I544" s="9">
        <f>IF(ISNA(MATCH(535,'Transfer Engine'!$C$2:$C$1369,0)),"",INDEX('Compliance Database'!$I$2:$I$1369,MATCH(535,'Transfer Engine'!$C$2:$C$1369,0)))</f>
        <v/>
      </c>
      <c r="J544" s="8">
        <f>IF(ISNA(MATCH(535,'Transfer Engine'!$C$2:$C$1369,0)),"",INDEX('Compliance Database'!$J$2:$J$1369,MATCH(535,'Transfer Engine'!$C$2:$C$1369,0)))</f>
        <v/>
      </c>
      <c r="K544" s="9">
        <f>IF(ISNA(MATCH(535,'Transfer Engine'!$C$2:$C$1369,0)),"",INDEX('Compliance Database'!$K$2:$K$1369,MATCH(535,'Transfer Engine'!$C$2:$C$1369,0)))</f>
        <v/>
      </c>
      <c r="L544" s="9">
        <f>IF(ISNA(MATCH(535,'Transfer Engine'!$C$2:$C$1369,0)),"",INDEX('Compliance Database'!$L$2:$L$1369,MATCH(535,'Transfer Engine'!$C$2:$C$1369,0)))</f>
        <v/>
      </c>
      <c r="M544" s="9">
        <f>IF(ISNA(MATCH(535,'Transfer Engine'!$C$2:$C$1369,0)),"",INDEX('Compliance Database'!$M$2:$M$1369,MATCH(535,'Transfer Engine'!$C$2:$C$1369,0)))</f>
        <v/>
      </c>
      <c r="N544" s="9">
        <f>IF(ISNA(MATCH(535,'Transfer Engine'!$C$2:$C$1369,0)),"",INDEX('Compliance Database'!$N$2:$N$1369,MATCH(535,'Transfer Engine'!$C$2:$C$1369,0)))</f>
        <v/>
      </c>
      <c r="O544" s="8">
        <f>IF(ISNA(MATCH(535,'Transfer Engine'!$C$2:$C$1369,0)),"",HYPERLINK(INDEX('Compliance Database'!$O$2:$O$1369,MATCH(535,'Transfer Engine'!$C$2:$C$1369,0)),"Open PDF"))</f>
        <v/>
      </c>
    </row>
    <row r="545" ht="188" customHeight="1">
      <c r="A545" s="8">
        <f>IF(ISNA(MATCH(536,'Transfer Engine'!$C$2:$C$1369,0)),"",INDEX('Compliance Database'!$A$2:$A$1369,MATCH(536,'Transfer Engine'!$C$2:$C$1369,0)))</f>
        <v/>
      </c>
      <c r="B545" s="8">
        <f>IF(ISNA(MATCH(536,'Transfer Engine'!$C$2:$C$1369,0)),"",INDEX('Compliance Database'!$B$2:$B$1369,MATCH(536,'Transfer Engine'!$C$2:$C$1369,0)))</f>
        <v/>
      </c>
      <c r="C545" s="8">
        <f>IF(ISNA(MATCH(536,'Transfer Engine'!$C$2:$C$1369,0)),"",INDEX('Compliance Database'!$C$2:$C$1369,MATCH(536,'Transfer Engine'!$C$2:$C$1369,0)))</f>
        <v/>
      </c>
      <c r="D545" s="9">
        <f>IF(ISNA(MATCH(536,'Transfer Engine'!$C$2:$C$1369,0)),"",INDEX('Compliance Database'!$D$2:$D$1369,MATCH(536,'Transfer Engine'!$C$2:$C$1369,0)))</f>
        <v/>
      </c>
      <c r="E545" s="8">
        <f>IF(ISNA(MATCH(536,'Transfer Engine'!$C$2:$C$1369,0)),"",INDEX('Compliance Database'!$E$2:$E$1369,MATCH(536,'Transfer Engine'!$C$2:$C$1369,0)))</f>
        <v/>
      </c>
      <c r="F545" s="8">
        <f>IF(ISNA(MATCH(536,'Transfer Engine'!$C$2:$C$1369,0)),"",INDEX('Compliance Database'!$F$2:$F$1369,MATCH(536,'Transfer Engine'!$C$2:$C$1369,0)))</f>
        <v/>
      </c>
      <c r="G545" s="8">
        <f>IF(ISNA(MATCH(536,'Transfer Engine'!$C$2:$C$1369,0)),"",INDEX('Compliance Database'!$G$2:$G$1369,MATCH(536,'Transfer Engine'!$C$2:$C$1369,0)))</f>
        <v/>
      </c>
      <c r="H545" s="9">
        <f>IF(ISNA(MATCH(536,'Transfer Engine'!$C$2:$C$1369,0)),"",INDEX('Compliance Database'!$H$2:$H$1369,MATCH(536,'Transfer Engine'!$C$2:$C$1369,0)))</f>
        <v/>
      </c>
      <c r="I545" s="9">
        <f>IF(ISNA(MATCH(536,'Transfer Engine'!$C$2:$C$1369,0)),"",INDEX('Compliance Database'!$I$2:$I$1369,MATCH(536,'Transfer Engine'!$C$2:$C$1369,0)))</f>
        <v/>
      </c>
      <c r="J545" s="8">
        <f>IF(ISNA(MATCH(536,'Transfer Engine'!$C$2:$C$1369,0)),"",INDEX('Compliance Database'!$J$2:$J$1369,MATCH(536,'Transfer Engine'!$C$2:$C$1369,0)))</f>
        <v/>
      </c>
      <c r="K545" s="9">
        <f>IF(ISNA(MATCH(536,'Transfer Engine'!$C$2:$C$1369,0)),"",INDEX('Compliance Database'!$K$2:$K$1369,MATCH(536,'Transfer Engine'!$C$2:$C$1369,0)))</f>
        <v/>
      </c>
      <c r="L545" s="9">
        <f>IF(ISNA(MATCH(536,'Transfer Engine'!$C$2:$C$1369,0)),"",INDEX('Compliance Database'!$L$2:$L$1369,MATCH(536,'Transfer Engine'!$C$2:$C$1369,0)))</f>
        <v/>
      </c>
      <c r="M545" s="9">
        <f>IF(ISNA(MATCH(536,'Transfer Engine'!$C$2:$C$1369,0)),"",INDEX('Compliance Database'!$M$2:$M$1369,MATCH(536,'Transfer Engine'!$C$2:$C$1369,0)))</f>
        <v/>
      </c>
      <c r="N545" s="9">
        <f>IF(ISNA(MATCH(536,'Transfer Engine'!$C$2:$C$1369,0)),"",INDEX('Compliance Database'!$N$2:$N$1369,MATCH(536,'Transfer Engine'!$C$2:$C$1369,0)))</f>
        <v/>
      </c>
      <c r="O545" s="8">
        <f>IF(ISNA(MATCH(536,'Transfer Engine'!$C$2:$C$1369,0)),"",HYPERLINK(INDEX('Compliance Database'!$O$2:$O$1369,MATCH(536,'Transfer Engine'!$C$2:$C$1369,0)),"Open PDF"))</f>
        <v/>
      </c>
    </row>
    <row r="546" ht="188" customHeight="1">
      <c r="A546" s="8">
        <f>IF(ISNA(MATCH(537,'Transfer Engine'!$C$2:$C$1369,0)),"",INDEX('Compliance Database'!$A$2:$A$1369,MATCH(537,'Transfer Engine'!$C$2:$C$1369,0)))</f>
        <v/>
      </c>
      <c r="B546" s="8">
        <f>IF(ISNA(MATCH(537,'Transfer Engine'!$C$2:$C$1369,0)),"",INDEX('Compliance Database'!$B$2:$B$1369,MATCH(537,'Transfer Engine'!$C$2:$C$1369,0)))</f>
        <v/>
      </c>
      <c r="C546" s="8">
        <f>IF(ISNA(MATCH(537,'Transfer Engine'!$C$2:$C$1369,0)),"",INDEX('Compliance Database'!$C$2:$C$1369,MATCH(537,'Transfer Engine'!$C$2:$C$1369,0)))</f>
        <v/>
      </c>
      <c r="D546" s="9">
        <f>IF(ISNA(MATCH(537,'Transfer Engine'!$C$2:$C$1369,0)),"",INDEX('Compliance Database'!$D$2:$D$1369,MATCH(537,'Transfer Engine'!$C$2:$C$1369,0)))</f>
        <v/>
      </c>
      <c r="E546" s="8">
        <f>IF(ISNA(MATCH(537,'Transfer Engine'!$C$2:$C$1369,0)),"",INDEX('Compliance Database'!$E$2:$E$1369,MATCH(537,'Transfer Engine'!$C$2:$C$1369,0)))</f>
        <v/>
      </c>
      <c r="F546" s="8">
        <f>IF(ISNA(MATCH(537,'Transfer Engine'!$C$2:$C$1369,0)),"",INDEX('Compliance Database'!$F$2:$F$1369,MATCH(537,'Transfer Engine'!$C$2:$C$1369,0)))</f>
        <v/>
      </c>
      <c r="G546" s="8">
        <f>IF(ISNA(MATCH(537,'Transfer Engine'!$C$2:$C$1369,0)),"",INDEX('Compliance Database'!$G$2:$G$1369,MATCH(537,'Transfer Engine'!$C$2:$C$1369,0)))</f>
        <v/>
      </c>
      <c r="H546" s="9">
        <f>IF(ISNA(MATCH(537,'Transfer Engine'!$C$2:$C$1369,0)),"",INDEX('Compliance Database'!$H$2:$H$1369,MATCH(537,'Transfer Engine'!$C$2:$C$1369,0)))</f>
        <v/>
      </c>
      <c r="I546" s="9">
        <f>IF(ISNA(MATCH(537,'Transfer Engine'!$C$2:$C$1369,0)),"",INDEX('Compliance Database'!$I$2:$I$1369,MATCH(537,'Transfer Engine'!$C$2:$C$1369,0)))</f>
        <v/>
      </c>
      <c r="J546" s="8">
        <f>IF(ISNA(MATCH(537,'Transfer Engine'!$C$2:$C$1369,0)),"",INDEX('Compliance Database'!$J$2:$J$1369,MATCH(537,'Transfer Engine'!$C$2:$C$1369,0)))</f>
        <v/>
      </c>
      <c r="K546" s="9">
        <f>IF(ISNA(MATCH(537,'Transfer Engine'!$C$2:$C$1369,0)),"",INDEX('Compliance Database'!$K$2:$K$1369,MATCH(537,'Transfer Engine'!$C$2:$C$1369,0)))</f>
        <v/>
      </c>
      <c r="L546" s="9">
        <f>IF(ISNA(MATCH(537,'Transfer Engine'!$C$2:$C$1369,0)),"",INDEX('Compliance Database'!$L$2:$L$1369,MATCH(537,'Transfer Engine'!$C$2:$C$1369,0)))</f>
        <v/>
      </c>
      <c r="M546" s="9">
        <f>IF(ISNA(MATCH(537,'Transfer Engine'!$C$2:$C$1369,0)),"",INDEX('Compliance Database'!$M$2:$M$1369,MATCH(537,'Transfer Engine'!$C$2:$C$1369,0)))</f>
        <v/>
      </c>
      <c r="N546" s="9">
        <f>IF(ISNA(MATCH(537,'Transfer Engine'!$C$2:$C$1369,0)),"",INDEX('Compliance Database'!$N$2:$N$1369,MATCH(537,'Transfer Engine'!$C$2:$C$1369,0)))</f>
        <v/>
      </c>
      <c r="O546" s="8">
        <f>IF(ISNA(MATCH(537,'Transfer Engine'!$C$2:$C$1369,0)),"",HYPERLINK(INDEX('Compliance Database'!$O$2:$O$1369,MATCH(537,'Transfer Engine'!$C$2:$C$1369,0)),"Open PDF"))</f>
        <v/>
      </c>
    </row>
    <row r="547" ht="188" customHeight="1">
      <c r="A547" s="8">
        <f>IF(ISNA(MATCH(538,'Transfer Engine'!$C$2:$C$1369,0)),"",INDEX('Compliance Database'!$A$2:$A$1369,MATCH(538,'Transfer Engine'!$C$2:$C$1369,0)))</f>
        <v/>
      </c>
      <c r="B547" s="8">
        <f>IF(ISNA(MATCH(538,'Transfer Engine'!$C$2:$C$1369,0)),"",INDEX('Compliance Database'!$B$2:$B$1369,MATCH(538,'Transfer Engine'!$C$2:$C$1369,0)))</f>
        <v/>
      </c>
      <c r="C547" s="8">
        <f>IF(ISNA(MATCH(538,'Transfer Engine'!$C$2:$C$1369,0)),"",INDEX('Compliance Database'!$C$2:$C$1369,MATCH(538,'Transfer Engine'!$C$2:$C$1369,0)))</f>
        <v/>
      </c>
      <c r="D547" s="9">
        <f>IF(ISNA(MATCH(538,'Transfer Engine'!$C$2:$C$1369,0)),"",INDEX('Compliance Database'!$D$2:$D$1369,MATCH(538,'Transfer Engine'!$C$2:$C$1369,0)))</f>
        <v/>
      </c>
      <c r="E547" s="8">
        <f>IF(ISNA(MATCH(538,'Transfer Engine'!$C$2:$C$1369,0)),"",INDEX('Compliance Database'!$E$2:$E$1369,MATCH(538,'Transfer Engine'!$C$2:$C$1369,0)))</f>
        <v/>
      </c>
      <c r="F547" s="8">
        <f>IF(ISNA(MATCH(538,'Transfer Engine'!$C$2:$C$1369,0)),"",INDEX('Compliance Database'!$F$2:$F$1369,MATCH(538,'Transfer Engine'!$C$2:$C$1369,0)))</f>
        <v/>
      </c>
      <c r="G547" s="8">
        <f>IF(ISNA(MATCH(538,'Transfer Engine'!$C$2:$C$1369,0)),"",INDEX('Compliance Database'!$G$2:$G$1369,MATCH(538,'Transfer Engine'!$C$2:$C$1369,0)))</f>
        <v/>
      </c>
      <c r="H547" s="9">
        <f>IF(ISNA(MATCH(538,'Transfer Engine'!$C$2:$C$1369,0)),"",INDEX('Compliance Database'!$H$2:$H$1369,MATCH(538,'Transfer Engine'!$C$2:$C$1369,0)))</f>
        <v/>
      </c>
      <c r="I547" s="9">
        <f>IF(ISNA(MATCH(538,'Transfer Engine'!$C$2:$C$1369,0)),"",INDEX('Compliance Database'!$I$2:$I$1369,MATCH(538,'Transfer Engine'!$C$2:$C$1369,0)))</f>
        <v/>
      </c>
      <c r="J547" s="8">
        <f>IF(ISNA(MATCH(538,'Transfer Engine'!$C$2:$C$1369,0)),"",INDEX('Compliance Database'!$J$2:$J$1369,MATCH(538,'Transfer Engine'!$C$2:$C$1369,0)))</f>
        <v/>
      </c>
      <c r="K547" s="9">
        <f>IF(ISNA(MATCH(538,'Transfer Engine'!$C$2:$C$1369,0)),"",INDEX('Compliance Database'!$K$2:$K$1369,MATCH(538,'Transfer Engine'!$C$2:$C$1369,0)))</f>
        <v/>
      </c>
      <c r="L547" s="9">
        <f>IF(ISNA(MATCH(538,'Transfer Engine'!$C$2:$C$1369,0)),"",INDEX('Compliance Database'!$L$2:$L$1369,MATCH(538,'Transfer Engine'!$C$2:$C$1369,0)))</f>
        <v/>
      </c>
      <c r="M547" s="9">
        <f>IF(ISNA(MATCH(538,'Transfer Engine'!$C$2:$C$1369,0)),"",INDEX('Compliance Database'!$M$2:$M$1369,MATCH(538,'Transfer Engine'!$C$2:$C$1369,0)))</f>
        <v/>
      </c>
      <c r="N547" s="9">
        <f>IF(ISNA(MATCH(538,'Transfer Engine'!$C$2:$C$1369,0)),"",INDEX('Compliance Database'!$N$2:$N$1369,MATCH(538,'Transfer Engine'!$C$2:$C$1369,0)))</f>
        <v/>
      </c>
      <c r="O547" s="8">
        <f>IF(ISNA(MATCH(538,'Transfer Engine'!$C$2:$C$1369,0)),"",HYPERLINK(INDEX('Compliance Database'!$O$2:$O$1369,MATCH(538,'Transfer Engine'!$C$2:$C$1369,0)),"Open PDF"))</f>
        <v/>
      </c>
    </row>
    <row r="548" ht="188" customHeight="1">
      <c r="A548" s="8">
        <f>IF(ISNA(MATCH(539,'Transfer Engine'!$C$2:$C$1369,0)),"",INDEX('Compliance Database'!$A$2:$A$1369,MATCH(539,'Transfer Engine'!$C$2:$C$1369,0)))</f>
        <v/>
      </c>
      <c r="B548" s="8">
        <f>IF(ISNA(MATCH(539,'Transfer Engine'!$C$2:$C$1369,0)),"",INDEX('Compliance Database'!$B$2:$B$1369,MATCH(539,'Transfer Engine'!$C$2:$C$1369,0)))</f>
        <v/>
      </c>
      <c r="C548" s="8">
        <f>IF(ISNA(MATCH(539,'Transfer Engine'!$C$2:$C$1369,0)),"",INDEX('Compliance Database'!$C$2:$C$1369,MATCH(539,'Transfer Engine'!$C$2:$C$1369,0)))</f>
        <v/>
      </c>
      <c r="D548" s="9">
        <f>IF(ISNA(MATCH(539,'Transfer Engine'!$C$2:$C$1369,0)),"",INDEX('Compliance Database'!$D$2:$D$1369,MATCH(539,'Transfer Engine'!$C$2:$C$1369,0)))</f>
        <v/>
      </c>
      <c r="E548" s="8">
        <f>IF(ISNA(MATCH(539,'Transfer Engine'!$C$2:$C$1369,0)),"",INDEX('Compliance Database'!$E$2:$E$1369,MATCH(539,'Transfer Engine'!$C$2:$C$1369,0)))</f>
        <v/>
      </c>
      <c r="F548" s="8">
        <f>IF(ISNA(MATCH(539,'Transfer Engine'!$C$2:$C$1369,0)),"",INDEX('Compliance Database'!$F$2:$F$1369,MATCH(539,'Transfer Engine'!$C$2:$C$1369,0)))</f>
        <v/>
      </c>
      <c r="G548" s="8">
        <f>IF(ISNA(MATCH(539,'Transfer Engine'!$C$2:$C$1369,0)),"",INDEX('Compliance Database'!$G$2:$G$1369,MATCH(539,'Transfer Engine'!$C$2:$C$1369,0)))</f>
        <v/>
      </c>
      <c r="H548" s="9">
        <f>IF(ISNA(MATCH(539,'Transfer Engine'!$C$2:$C$1369,0)),"",INDEX('Compliance Database'!$H$2:$H$1369,MATCH(539,'Transfer Engine'!$C$2:$C$1369,0)))</f>
        <v/>
      </c>
      <c r="I548" s="9">
        <f>IF(ISNA(MATCH(539,'Transfer Engine'!$C$2:$C$1369,0)),"",INDEX('Compliance Database'!$I$2:$I$1369,MATCH(539,'Transfer Engine'!$C$2:$C$1369,0)))</f>
        <v/>
      </c>
      <c r="J548" s="8">
        <f>IF(ISNA(MATCH(539,'Transfer Engine'!$C$2:$C$1369,0)),"",INDEX('Compliance Database'!$J$2:$J$1369,MATCH(539,'Transfer Engine'!$C$2:$C$1369,0)))</f>
        <v/>
      </c>
      <c r="K548" s="9">
        <f>IF(ISNA(MATCH(539,'Transfer Engine'!$C$2:$C$1369,0)),"",INDEX('Compliance Database'!$K$2:$K$1369,MATCH(539,'Transfer Engine'!$C$2:$C$1369,0)))</f>
        <v/>
      </c>
      <c r="L548" s="9">
        <f>IF(ISNA(MATCH(539,'Transfer Engine'!$C$2:$C$1369,0)),"",INDEX('Compliance Database'!$L$2:$L$1369,MATCH(539,'Transfer Engine'!$C$2:$C$1369,0)))</f>
        <v/>
      </c>
      <c r="M548" s="9">
        <f>IF(ISNA(MATCH(539,'Transfer Engine'!$C$2:$C$1369,0)),"",INDEX('Compliance Database'!$M$2:$M$1369,MATCH(539,'Transfer Engine'!$C$2:$C$1369,0)))</f>
        <v/>
      </c>
      <c r="N548" s="9">
        <f>IF(ISNA(MATCH(539,'Transfer Engine'!$C$2:$C$1369,0)),"",INDEX('Compliance Database'!$N$2:$N$1369,MATCH(539,'Transfer Engine'!$C$2:$C$1369,0)))</f>
        <v/>
      </c>
      <c r="O548" s="8">
        <f>IF(ISNA(MATCH(539,'Transfer Engine'!$C$2:$C$1369,0)),"",HYPERLINK(INDEX('Compliance Database'!$O$2:$O$1369,MATCH(539,'Transfer Engine'!$C$2:$C$1369,0)),"Open PDF"))</f>
        <v/>
      </c>
    </row>
    <row r="549" ht="188" customHeight="1">
      <c r="A549" s="8">
        <f>IF(ISNA(MATCH(540,'Transfer Engine'!$C$2:$C$1369,0)),"",INDEX('Compliance Database'!$A$2:$A$1369,MATCH(540,'Transfer Engine'!$C$2:$C$1369,0)))</f>
        <v/>
      </c>
      <c r="B549" s="8">
        <f>IF(ISNA(MATCH(540,'Transfer Engine'!$C$2:$C$1369,0)),"",INDEX('Compliance Database'!$B$2:$B$1369,MATCH(540,'Transfer Engine'!$C$2:$C$1369,0)))</f>
        <v/>
      </c>
      <c r="C549" s="8">
        <f>IF(ISNA(MATCH(540,'Transfer Engine'!$C$2:$C$1369,0)),"",INDEX('Compliance Database'!$C$2:$C$1369,MATCH(540,'Transfer Engine'!$C$2:$C$1369,0)))</f>
        <v/>
      </c>
      <c r="D549" s="9">
        <f>IF(ISNA(MATCH(540,'Transfer Engine'!$C$2:$C$1369,0)),"",INDEX('Compliance Database'!$D$2:$D$1369,MATCH(540,'Transfer Engine'!$C$2:$C$1369,0)))</f>
        <v/>
      </c>
      <c r="E549" s="8">
        <f>IF(ISNA(MATCH(540,'Transfer Engine'!$C$2:$C$1369,0)),"",INDEX('Compliance Database'!$E$2:$E$1369,MATCH(540,'Transfer Engine'!$C$2:$C$1369,0)))</f>
        <v/>
      </c>
      <c r="F549" s="8">
        <f>IF(ISNA(MATCH(540,'Transfer Engine'!$C$2:$C$1369,0)),"",INDEX('Compliance Database'!$F$2:$F$1369,MATCH(540,'Transfer Engine'!$C$2:$C$1369,0)))</f>
        <v/>
      </c>
      <c r="G549" s="8">
        <f>IF(ISNA(MATCH(540,'Transfer Engine'!$C$2:$C$1369,0)),"",INDEX('Compliance Database'!$G$2:$G$1369,MATCH(540,'Transfer Engine'!$C$2:$C$1369,0)))</f>
        <v/>
      </c>
      <c r="H549" s="9">
        <f>IF(ISNA(MATCH(540,'Transfer Engine'!$C$2:$C$1369,0)),"",INDEX('Compliance Database'!$H$2:$H$1369,MATCH(540,'Transfer Engine'!$C$2:$C$1369,0)))</f>
        <v/>
      </c>
      <c r="I549" s="9">
        <f>IF(ISNA(MATCH(540,'Transfer Engine'!$C$2:$C$1369,0)),"",INDEX('Compliance Database'!$I$2:$I$1369,MATCH(540,'Transfer Engine'!$C$2:$C$1369,0)))</f>
        <v/>
      </c>
      <c r="J549" s="8">
        <f>IF(ISNA(MATCH(540,'Transfer Engine'!$C$2:$C$1369,0)),"",INDEX('Compliance Database'!$J$2:$J$1369,MATCH(540,'Transfer Engine'!$C$2:$C$1369,0)))</f>
        <v/>
      </c>
      <c r="K549" s="9">
        <f>IF(ISNA(MATCH(540,'Transfer Engine'!$C$2:$C$1369,0)),"",INDEX('Compliance Database'!$K$2:$K$1369,MATCH(540,'Transfer Engine'!$C$2:$C$1369,0)))</f>
        <v/>
      </c>
      <c r="L549" s="9">
        <f>IF(ISNA(MATCH(540,'Transfer Engine'!$C$2:$C$1369,0)),"",INDEX('Compliance Database'!$L$2:$L$1369,MATCH(540,'Transfer Engine'!$C$2:$C$1369,0)))</f>
        <v/>
      </c>
      <c r="M549" s="9">
        <f>IF(ISNA(MATCH(540,'Transfer Engine'!$C$2:$C$1369,0)),"",INDEX('Compliance Database'!$M$2:$M$1369,MATCH(540,'Transfer Engine'!$C$2:$C$1369,0)))</f>
        <v/>
      </c>
      <c r="N549" s="9">
        <f>IF(ISNA(MATCH(540,'Transfer Engine'!$C$2:$C$1369,0)),"",INDEX('Compliance Database'!$N$2:$N$1369,MATCH(540,'Transfer Engine'!$C$2:$C$1369,0)))</f>
        <v/>
      </c>
      <c r="O549" s="8">
        <f>IF(ISNA(MATCH(540,'Transfer Engine'!$C$2:$C$1369,0)),"",HYPERLINK(INDEX('Compliance Database'!$O$2:$O$1369,MATCH(540,'Transfer Engine'!$C$2:$C$1369,0)),"Open PDF"))</f>
        <v/>
      </c>
    </row>
    <row r="550" ht="188" customHeight="1">
      <c r="A550" s="8">
        <f>IF(ISNA(MATCH(541,'Transfer Engine'!$C$2:$C$1369,0)),"",INDEX('Compliance Database'!$A$2:$A$1369,MATCH(541,'Transfer Engine'!$C$2:$C$1369,0)))</f>
        <v/>
      </c>
      <c r="B550" s="8">
        <f>IF(ISNA(MATCH(541,'Transfer Engine'!$C$2:$C$1369,0)),"",INDEX('Compliance Database'!$B$2:$B$1369,MATCH(541,'Transfer Engine'!$C$2:$C$1369,0)))</f>
        <v/>
      </c>
      <c r="C550" s="8">
        <f>IF(ISNA(MATCH(541,'Transfer Engine'!$C$2:$C$1369,0)),"",INDEX('Compliance Database'!$C$2:$C$1369,MATCH(541,'Transfer Engine'!$C$2:$C$1369,0)))</f>
        <v/>
      </c>
      <c r="D550" s="9">
        <f>IF(ISNA(MATCH(541,'Transfer Engine'!$C$2:$C$1369,0)),"",INDEX('Compliance Database'!$D$2:$D$1369,MATCH(541,'Transfer Engine'!$C$2:$C$1369,0)))</f>
        <v/>
      </c>
      <c r="E550" s="8">
        <f>IF(ISNA(MATCH(541,'Transfer Engine'!$C$2:$C$1369,0)),"",INDEX('Compliance Database'!$E$2:$E$1369,MATCH(541,'Transfer Engine'!$C$2:$C$1369,0)))</f>
        <v/>
      </c>
      <c r="F550" s="8">
        <f>IF(ISNA(MATCH(541,'Transfer Engine'!$C$2:$C$1369,0)),"",INDEX('Compliance Database'!$F$2:$F$1369,MATCH(541,'Transfer Engine'!$C$2:$C$1369,0)))</f>
        <v/>
      </c>
      <c r="G550" s="8">
        <f>IF(ISNA(MATCH(541,'Transfer Engine'!$C$2:$C$1369,0)),"",INDEX('Compliance Database'!$G$2:$G$1369,MATCH(541,'Transfer Engine'!$C$2:$C$1369,0)))</f>
        <v/>
      </c>
      <c r="H550" s="9">
        <f>IF(ISNA(MATCH(541,'Transfer Engine'!$C$2:$C$1369,0)),"",INDEX('Compliance Database'!$H$2:$H$1369,MATCH(541,'Transfer Engine'!$C$2:$C$1369,0)))</f>
        <v/>
      </c>
      <c r="I550" s="9">
        <f>IF(ISNA(MATCH(541,'Transfer Engine'!$C$2:$C$1369,0)),"",INDEX('Compliance Database'!$I$2:$I$1369,MATCH(541,'Transfer Engine'!$C$2:$C$1369,0)))</f>
        <v/>
      </c>
      <c r="J550" s="8">
        <f>IF(ISNA(MATCH(541,'Transfer Engine'!$C$2:$C$1369,0)),"",INDEX('Compliance Database'!$J$2:$J$1369,MATCH(541,'Transfer Engine'!$C$2:$C$1369,0)))</f>
        <v/>
      </c>
      <c r="K550" s="9">
        <f>IF(ISNA(MATCH(541,'Transfer Engine'!$C$2:$C$1369,0)),"",INDEX('Compliance Database'!$K$2:$K$1369,MATCH(541,'Transfer Engine'!$C$2:$C$1369,0)))</f>
        <v/>
      </c>
      <c r="L550" s="9">
        <f>IF(ISNA(MATCH(541,'Transfer Engine'!$C$2:$C$1369,0)),"",INDEX('Compliance Database'!$L$2:$L$1369,MATCH(541,'Transfer Engine'!$C$2:$C$1369,0)))</f>
        <v/>
      </c>
      <c r="M550" s="9">
        <f>IF(ISNA(MATCH(541,'Transfer Engine'!$C$2:$C$1369,0)),"",INDEX('Compliance Database'!$M$2:$M$1369,MATCH(541,'Transfer Engine'!$C$2:$C$1369,0)))</f>
        <v/>
      </c>
      <c r="N550" s="9">
        <f>IF(ISNA(MATCH(541,'Transfer Engine'!$C$2:$C$1369,0)),"",INDEX('Compliance Database'!$N$2:$N$1369,MATCH(541,'Transfer Engine'!$C$2:$C$1369,0)))</f>
        <v/>
      </c>
      <c r="O550" s="8">
        <f>IF(ISNA(MATCH(541,'Transfer Engine'!$C$2:$C$1369,0)),"",HYPERLINK(INDEX('Compliance Database'!$O$2:$O$1369,MATCH(541,'Transfer Engine'!$C$2:$C$1369,0)),"Open PDF"))</f>
        <v/>
      </c>
    </row>
    <row r="551" ht="188" customHeight="1">
      <c r="A551" s="8">
        <f>IF(ISNA(MATCH(542,'Transfer Engine'!$C$2:$C$1369,0)),"",INDEX('Compliance Database'!$A$2:$A$1369,MATCH(542,'Transfer Engine'!$C$2:$C$1369,0)))</f>
        <v/>
      </c>
      <c r="B551" s="8">
        <f>IF(ISNA(MATCH(542,'Transfer Engine'!$C$2:$C$1369,0)),"",INDEX('Compliance Database'!$B$2:$B$1369,MATCH(542,'Transfer Engine'!$C$2:$C$1369,0)))</f>
        <v/>
      </c>
      <c r="C551" s="8">
        <f>IF(ISNA(MATCH(542,'Transfer Engine'!$C$2:$C$1369,0)),"",INDEX('Compliance Database'!$C$2:$C$1369,MATCH(542,'Transfer Engine'!$C$2:$C$1369,0)))</f>
        <v/>
      </c>
      <c r="D551" s="9">
        <f>IF(ISNA(MATCH(542,'Transfer Engine'!$C$2:$C$1369,0)),"",INDEX('Compliance Database'!$D$2:$D$1369,MATCH(542,'Transfer Engine'!$C$2:$C$1369,0)))</f>
        <v/>
      </c>
      <c r="E551" s="8">
        <f>IF(ISNA(MATCH(542,'Transfer Engine'!$C$2:$C$1369,0)),"",INDEX('Compliance Database'!$E$2:$E$1369,MATCH(542,'Transfer Engine'!$C$2:$C$1369,0)))</f>
        <v/>
      </c>
      <c r="F551" s="8">
        <f>IF(ISNA(MATCH(542,'Transfer Engine'!$C$2:$C$1369,0)),"",INDEX('Compliance Database'!$F$2:$F$1369,MATCH(542,'Transfer Engine'!$C$2:$C$1369,0)))</f>
        <v/>
      </c>
      <c r="G551" s="8">
        <f>IF(ISNA(MATCH(542,'Transfer Engine'!$C$2:$C$1369,0)),"",INDEX('Compliance Database'!$G$2:$G$1369,MATCH(542,'Transfer Engine'!$C$2:$C$1369,0)))</f>
        <v/>
      </c>
      <c r="H551" s="9">
        <f>IF(ISNA(MATCH(542,'Transfer Engine'!$C$2:$C$1369,0)),"",INDEX('Compliance Database'!$H$2:$H$1369,MATCH(542,'Transfer Engine'!$C$2:$C$1369,0)))</f>
        <v/>
      </c>
      <c r="I551" s="9">
        <f>IF(ISNA(MATCH(542,'Transfer Engine'!$C$2:$C$1369,0)),"",INDEX('Compliance Database'!$I$2:$I$1369,MATCH(542,'Transfer Engine'!$C$2:$C$1369,0)))</f>
        <v/>
      </c>
      <c r="J551" s="8">
        <f>IF(ISNA(MATCH(542,'Transfer Engine'!$C$2:$C$1369,0)),"",INDEX('Compliance Database'!$J$2:$J$1369,MATCH(542,'Transfer Engine'!$C$2:$C$1369,0)))</f>
        <v/>
      </c>
      <c r="K551" s="9">
        <f>IF(ISNA(MATCH(542,'Transfer Engine'!$C$2:$C$1369,0)),"",INDEX('Compliance Database'!$K$2:$K$1369,MATCH(542,'Transfer Engine'!$C$2:$C$1369,0)))</f>
        <v/>
      </c>
      <c r="L551" s="9">
        <f>IF(ISNA(MATCH(542,'Transfer Engine'!$C$2:$C$1369,0)),"",INDEX('Compliance Database'!$L$2:$L$1369,MATCH(542,'Transfer Engine'!$C$2:$C$1369,0)))</f>
        <v/>
      </c>
      <c r="M551" s="9">
        <f>IF(ISNA(MATCH(542,'Transfer Engine'!$C$2:$C$1369,0)),"",INDEX('Compliance Database'!$M$2:$M$1369,MATCH(542,'Transfer Engine'!$C$2:$C$1369,0)))</f>
        <v/>
      </c>
      <c r="N551" s="9">
        <f>IF(ISNA(MATCH(542,'Transfer Engine'!$C$2:$C$1369,0)),"",INDEX('Compliance Database'!$N$2:$N$1369,MATCH(542,'Transfer Engine'!$C$2:$C$1369,0)))</f>
        <v/>
      </c>
      <c r="O551" s="8">
        <f>IF(ISNA(MATCH(542,'Transfer Engine'!$C$2:$C$1369,0)),"",HYPERLINK(INDEX('Compliance Database'!$O$2:$O$1369,MATCH(542,'Transfer Engine'!$C$2:$C$1369,0)),"Open PDF"))</f>
        <v/>
      </c>
    </row>
    <row r="552" ht="188" customHeight="1">
      <c r="A552" s="8">
        <f>IF(ISNA(MATCH(543,'Transfer Engine'!$C$2:$C$1369,0)),"",INDEX('Compliance Database'!$A$2:$A$1369,MATCH(543,'Transfer Engine'!$C$2:$C$1369,0)))</f>
        <v/>
      </c>
      <c r="B552" s="8">
        <f>IF(ISNA(MATCH(543,'Transfer Engine'!$C$2:$C$1369,0)),"",INDEX('Compliance Database'!$B$2:$B$1369,MATCH(543,'Transfer Engine'!$C$2:$C$1369,0)))</f>
        <v/>
      </c>
      <c r="C552" s="8">
        <f>IF(ISNA(MATCH(543,'Transfer Engine'!$C$2:$C$1369,0)),"",INDEX('Compliance Database'!$C$2:$C$1369,MATCH(543,'Transfer Engine'!$C$2:$C$1369,0)))</f>
        <v/>
      </c>
      <c r="D552" s="9">
        <f>IF(ISNA(MATCH(543,'Transfer Engine'!$C$2:$C$1369,0)),"",INDEX('Compliance Database'!$D$2:$D$1369,MATCH(543,'Transfer Engine'!$C$2:$C$1369,0)))</f>
        <v/>
      </c>
      <c r="E552" s="8">
        <f>IF(ISNA(MATCH(543,'Transfer Engine'!$C$2:$C$1369,0)),"",INDEX('Compliance Database'!$E$2:$E$1369,MATCH(543,'Transfer Engine'!$C$2:$C$1369,0)))</f>
        <v/>
      </c>
      <c r="F552" s="8">
        <f>IF(ISNA(MATCH(543,'Transfer Engine'!$C$2:$C$1369,0)),"",INDEX('Compliance Database'!$F$2:$F$1369,MATCH(543,'Transfer Engine'!$C$2:$C$1369,0)))</f>
        <v/>
      </c>
      <c r="G552" s="8">
        <f>IF(ISNA(MATCH(543,'Transfer Engine'!$C$2:$C$1369,0)),"",INDEX('Compliance Database'!$G$2:$G$1369,MATCH(543,'Transfer Engine'!$C$2:$C$1369,0)))</f>
        <v/>
      </c>
      <c r="H552" s="9">
        <f>IF(ISNA(MATCH(543,'Transfer Engine'!$C$2:$C$1369,0)),"",INDEX('Compliance Database'!$H$2:$H$1369,MATCH(543,'Transfer Engine'!$C$2:$C$1369,0)))</f>
        <v/>
      </c>
      <c r="I552" s="9">
        <f>IF(ISNA(MATCH(543,'Transfer Engine'!$C$2:$C$1369,0)),"",INDEX('Compliance Database'!$I$2:$I$1369,MATCH(543,'Transfer Engine'!$C$2:$C$1369,0)))</f>
        <v/>
      </c>
      <c r="J552" s="8">
        <f>IF(ISNA(MATCH(543,'Transfer Engine'!$C$2:$C$1369,0)),"",INDEX('Compliance Database'!$J$2:$J$1369,MATCH(543,'Transfer Engine'!$C$2:$C$1369,0)))</f>
        <v/>
      </c>
      <c r="K552" s="9">
        <f>IF(ISNA(MATCH(543,'Transfer Engine'!$C$2:$C$1369,0)),"",INDEX('Compliance Database'!$K$2:$K$1369,MATCH(543,'Transfer Engine'!$C$2:$C$1369,0)))</f>
        <v/>
      </c>
      <c r="L552" s="9">
        <f>IF(ISNA(MATCH(543,'Transfer Engine'!$C$2:$C$1369,0)),"",INDEX('Compliance Database'!$L$2:$L$1369,MATCH(543,'Transfer Engine'!$C$2:$C$1369,0)))</f>
        <v/>
      </c>
      <c r="M552" s="9">
        <f>IF(ISNA(MATCH(543,'Transfer Engine'!$C$2:$C$1369,0)),"",INDEX('Compliance Database'!$M$2:$M$1369,MATCH(543,'Transfer Engine'!$C$2:$C$1369,0)))</f>
        <v/>
      </c>
      <c r="N552" s="9">
        <f>IF(ISNA(MATCH(543,'Transfer Engine'!$C$2:$C$1369,0)),"",INDEX('Compliance Database'!$N$2:$N$1369,MATCH(543,'Transfer Engine'!$C$2:$C$1369,0)))</f>
        <v/>
      </c>
      <c r="O552" s="8">
        <f>IF(ISNA(MATCH(543,'Transfer Engine'!$C$2:$C$1369,0)),"",HYPERLINK(INDEX('Compliance Database'!$O$2:$O$1369,MATCH(543,'Transfer Engine'!$C$2:$C$1369,0)),"Open PDF"))</f>
        <v/>
      </c>
    </row>
    <row r="553" ht="188" customHeight="1">
      <c r="A553" s="8">
        <f>IF(ISNA(MATCH(544,'Transfer Engine'!$C$2:$C$1369,0)),"",INDEX('Compliance Database'!$A$2:$A$1369,MATCH(544,'Transfer Engine'!$C$2:$C$1369,0)))</f>
        <v/>
      </c>
      <c r="B553" s="8">
        <f>IF(ISNA(MATCH(544,'Transfer Engine'!$C$2:$C$1369,0)),"",INDEX('Compliance Database'!$B$2:$B$1369,MATCH(544,'Transfer Engine'!$C$2:$C$1369,0)))</f>
        <v/>
      </c>
      <c r="C553" s="8">
        <f>IF(ISNA(MATCH(544,'Transfer Engine'!$C$2:$C$1369,0)),"",INDEX('Compliance Database'!$C$2:$C$1369,MATCH(544,'Transfer Engine'!$C$2:$C$1369,0)))</f>
        <v/>
      </c>
      <c r="D553" s="9">
        <f>IF(ISNA(MATCH(544,'Transfer Engine'!$C$2:$C$1369,0)),"",INDEX('Compliance Database'!$D$2:$D$1369,MATCH(544,'Transfer Engine'!$C$2:$C$1369,0)))</f>
        <v/>
      </c>
      <c r="E553" s="8">
        <f>IF(ISNA(MATCH(544,'Transfer Engine'!$C$2:$C$1369,0)),"",INDEX('Compliance Database'!$E$2:$E$1369,MATCH(544,'Transfer Engine'!$C$2:$C$1369,0)))</f>
        <v/>
      </c>
      <c r="F553" s="8">
        <f>IF(ISNA(MATCH(544,'Transfer Engine'!$C$2:$C$1369,0)),"",INDEX('Compliance Database'!$F$2:$F$1369,MATCH(544,'Transfer Engine'!$C$2:$C$1369,0)))</f>
        <v/>
      </c>
      <c r="G553" s="8">
        <f>IF(ISNA(MATCH(544,'Transfer Engine'!$C$2:$C$1369,0)),"",INDEX('Compliance Database'!$G$2:$G$1369,MATCH(544,'Transfer Engine'!$C$2:$C$1369,0)))</f>
        <v/>
      </c>
      <c r="H553" s="9">
        <f>IF(ISNA(MATCH(544,'Transfer Engine'!$C$2:$C$1369,0)),"",INDEX('Compliance Database'!$H$2:$H$1369,MATCH(544,'Transfer Engine'!$C$2:$C$1369,0)))</f>
        <v/>
      </c>
      <c r="I553" s="9">
        <f>IF(ISNA(MATCH(544,'Transfer Engine'!$C$2:$C$1369,0)),"",INDEX('Compliance Database'!$I$2:$I$1369,MATCH(544,'Transfer Engine'!$C$2:$C$1369,0)))</f>
        <v/>
      </c>
      <c r="J553" s="8">
        <f>IF(ISNA(MATCH(544,'Transfer Engine'!$C$2:$C$1369,0)),"",INDEX('Compliance Database'!$J$2:$J$1369,MATCH(544,'Transfer Engine'!$C$2:$C$1369,0)))</f>
        <v/>
      </c>
      <c r="K553" s="9">
        <f>IF(ISNA(MATCH(544,'Transfer Engine'!$C$2:$C$1369,0)),"",INDEX('Compliance Database'!$K$2:$K$1369,MATCH(544,'Transfer Engine'!$C$2:$C$1369,0)))</f>
        <v/>
      </c>
      <c r="L553" s="9">
        <f>IF(ISNA(MATCH(544,'Transfer Engine'!$C$2:$C$1369,0)),"",INDEX('Compliance Database'!$L$2:$L$1369,MATCH(544,'Transfer Engine'!$C$2:$C$1369,0)))</f>
        <v/>
      </c>
      <c r="M553" s="9">
        <f>IF(ISNA(MATCH(544,'Transfer Engine'!$C$2:$C$1369,0)),"",INDEX('Compliance Database'!$M$2:$M$1369,MATCH(544,'Transfer Engine'!$C$2:$C$1369,0)))</f>
        <v/>
      </c>
      <c r="N553" s="9">
        <f>IF(ISNA(MATCH(544,'Transfer Engine'!$C$2:$C$1369,0)),"",INDEX('Compliance Database'!$N$2:$N$1369,MATCH(544,'Transfer Engine'!$C$2:$C$1369,0)))</f>
        <v/>
      </c>
      <c r="O553" s="8">
        <f>IF(ISNA(MATCH(544,'Transfer Engine'!$C$2:$C$1369,0)),"",HYPERLINK(INDEX('Compliance Database'!$O$2:$O$1369,MATCH(544,'Transfer Engine'!$C$2:$C$1369,0)),"Open PDF"))</f>
        <v/>
      </c>
    </row>
    <row r="554" ht="188" customHeight="1">
      <c r="A554" s="8">
        <f>IF(ISNA(MATCH(545,'Transfer Engine'!$C$2:$C$1369,0)),"",INDEX('Compliance Database'!$A$2:$A$1369,MATCH(545,'Transfer Engine'!$C$2:$C$1369,0)))</f>
        <v/>
      </c>
      <c r="B554" s="8">
        <f>IF(ISNA(MATCH(545,'Transfer Engine'!$C$2:$C$1369,0)),"",INDEX('Compliance Database'!$B$2:$B$1369,MATCH(545,'Transfer Engine'!$C$2:$C$1369,0)))</f>
        <v/>
      </c>
      <c r="C554" s="8">
        <f>IF(ISNA(MATCH(545,'Transfer Engine'!$C$2:$C$1369,0)),"",INDEX('Compliance Database'!$C$2:$C$1369,MATCH(545,'Transfer Engine'!$C$2:$C$1369,0)))</f>
        <v/>
      </c>
      <c r="D554" s="9">
        <f>IF(ISNA(MATCH(545,'Transfer Engine'!$C$2:$C$1369,0)),"",INDEX('Compliance Database'!$D$2:$D$1369,MATCH(545,'Transfer Engine'!$C$2:$C$1369,0)))</f>
        <v/>
      </c>
      <c r="E554" s="8">
        <f>IF(ISNA(MATCH(545,'Transfer Engine'!$C$2:$C$1369,0)),"",INDEX('Compliance Database'!$E$2:$E$1369,MATCH(545,'Transfer Engine'!$C$2:$C$1369,0)))</f>
        <v/>
      </c>
      <c r="F554" s="8">
        <f>IF(ISNA(MATCH(545,'Transfer Engine'!$C$2:$C$1369,0)),"",INDEX('Compliance Database'!$F$2:$F$1369,MATCH(545,'Transfer Engine'!$C$2:$C$1369,0)))</f>
        <v/>
      </c>
      <c r="G554" s="8">
        <f>IF(ISNA(MATCH(545,'Transfer Engine'!$C$2:$C$1369,0)),"",INDEX('Compliance Database'!$G$2:$G$1369,MATCH(545,'Transfer Engine'!$C$2:$C$1369,0)))</f>
        <v/>
      </c>
      <c r="H554" s="9">
        <f>IF(ISNA(MATCH(545,'Transfer Engine'!$C$2:$C$1369,0)),"",INDEX('Compliance Database'!$H$2:$H$1369,MATCH(545,'Transfer Engine'!$C$2:$C$1369,0)))</f>
        <v/>
      </c>
      <c r="I554" s="9">
        <f>IF(ISNA(MATCH(545,'Transfer Engine'!$C$2:$C$1369,0)),"",INDEX('Compliance Database'!$I$2:$I$1369,MATCH(545,'Transfer Engine'!$C$2:$C$1369,0)))</f>
        <v/>
      </c>
      <c r="J554" s="8">
        <f>IF(ISNA(MATCH(545,'Transfer Engine'!$C$2:$C$1369,0)),"",INDEX('Compliance Database'!$J$2:$J$1369,MATCH(545,'Transfer Engine'!$C$2:$C$1369,0)))</f>
        <v/>
      </c>
      <c r="K554" s="9">
        <f>IF(ISNA(MATCH(545,'Transfer Engine'!$C$2:$C$1369,0)),"",INDEX('Compliance Database'!$K$2:$K$1369,MATCH(545,'Transfer Engine'!$C$2:$C$1369,0)))</f>
        <v/>
      </c>
      <c r="L554" s="9">
        <f>IF(ISNA(MATCH(545,'Transfer Engine'!$C$2:$C$1369,0)),"",INDEX('Compliance Database'!$L$2:$L$1369,MATCH(545,'Transfer Engine'!$C$2:$C$1369,0)))</f>
        <v/>
      </c>
      <c r="M554" s="9">
        <f>IF(ISNA(MATCH(545,'Transfer Engine'!$C$2:$C$1369,0)),"",INDEX('Compliance Database'!$M$2:$M$1369,MATCH(545,'Transfer Engine'!$C$2:$C$1369,0)))</f>
        <v/>
      </c>
      <c r="N554" s="9">
        <f>IF(ISNA(MATCH(545,'Transfer Engine'!$C$2:$C$1369,0)),"",INDEX('Compliance Database'!$N$2:$N$1369,MATCH(545,'Transfer Engine'!$C$2:$C$1369,0)))</f>
        <v/>
      </c>
      <c r="O554" s="8">
        <f>IF(ISNA(MATCH(545,'Transfer Engine'!$C$2:$C$1369,0)),"",HYPERLINK(INDEX('Compliance Database'!$O$2:$O$1369,MATCH(545,'Transfer Engine'!$C$2:$C$1369,0)),"Open PDF"))</f>
        <v/>
      </c>
    </row>
    <row r="555" ht="188" customHeight="1">
      <c r="A555" s="8">
        <f>IF(ISNA(MATCH(546,'Transfer Engine'!$C$2:$C$1369,0)),"",INDEX('Compliance Database'!$A$2:$A$1369,MATCH(546,'Transfer Engine'!$C$2:$C$1369,0)))</f>
        <v/>
      </c>
      <c r="B555" s="8">
        <f>IF(ISNA(MATCH(546,'Transfer Engine'!$C$2:$C$1369,0)),"",INDEX('Compliance Database'!$B$2:$B$1369,MATCH(546,'Transfer Engine'!$C$2:$C$1369,0)))</f>
        <v/>
      </c>
      <c r="C555" s="8">
        <f>IF(ISNA(MATCH(546,'Transfer Engine'!$C$2:$C$1369,0)),"",INDEX('Compliance Database'!$C$2:$C$1369,MATCH(546,'Transfer Engine'!$C$2:$C$1369,0)))</f>
        <v/>
      </c>
      <c r="D555" s="9">
        <f>IF(ISNA(MATCH(546,'Transfer Engine'!$C$2:$C$1369,0)),"",INDEX('Compliance Database'!$D$2:$D$1369,MATCH(546,'Transfer Engine'!$C$2:$C$1369,0)))</f>
        <v/>
      </c>
      <c r="E555" s="8">
        <f>IF(ISNA(MATCH(546,'Transfer Engine'!$C$2:$C$1369,0)),"",INDEX('Compliance Database'!$E$2:$E$1369,MATCH(546,'Transfer Engine'!$C$2:$C$1369,0)))</f>
        <v/>
      </c>
      <c r="F555" s="8">
        <f>IF(ISNA(MATCH(546,'Transfer Engine'!$C$2:$C$1369,0)),"",INDEX('Compliance Database'!$F$2:$F$1369,MATCH(546,'Transfer Engine'!$C$2:$C$1369,0)))</f>
        <v/>
      </c>
      <c r="G555" s="8">
        <f>IF(ISNA(MATCH(546,'Transfer Engine'!$C$2:$C$1369,0)),"",INDEX('Compliance Database'!$G$2:$G$1369,MATCH(546,'Transfer Engine'!$C$2:$C$1369,0)))</f>
        <v/>
      </c>
      <c r="H555" s="9">
        <f>IF(ISNA(MATCH(546,'Transfer Engine'!$C$2:$C$1369,0)),"",INDEX('Compliance Database'!$H$2:$H$1369,MATCH(546,'Transfer Engine'!$C$2:$C$1369,0)))</f>
        <v/>
      </c>
      <c r="I555" s="9">
        <f>IF(ISNA(MATCH(546,'Transfer Engine'!$C$2:$C$1369,0)),"",INDEX('Compliance Database'!$I$2:$I$1369,MATCH(546,'Transfer Engine'!$C$2:$C$1369,0)))</f>
        <v/>
      </c>
      <c r="J555" s="8">
        <f>IF(ISNA(MATCH(546,'Transfer Engine'!$C$2:$C$1369,0)),"",INDEX('Compliance Database'!$J$2:$J$1369,MATCH(546,'Transfer Engine'!$C$2:$C$1369,0)))</f>
        <v/>
      </c>
      <c r="K555" s="9">
        <f>IF(ISNA(MATCH(546,'Transfer Engine'!$C$2:$C$1369,0)),"",INDEX('Compliance Database'!$K$2:$K$1369,MATCH(546,'Transfer Engine'!$C$2:$C$1369,0)))</f>
        <v/>
      </c>
      <c r="L555" s="9">
        <f>IF(ISNA(MATCH(546,'Transfer Engine'!$C$2:$C$1369,0)),"",INDEX('Compliance Database'!$L$2:$L$1369,MATCH(546,'Transfer Engine'!$C$2:$C$1369,0)))</f>
        <v/>
      </c>
      <c r="M555" s="9">
        <f>IF(ISNA(MATCH(546,'Transfer Engine'!$C$2:$C$1369,0)),"",INDEX('Compliance Database'!$M$2:$M$1369,MATCH(546,'Transfer Engine'!$C$2:$C$1369,0)))</f>
        <v/>
      </c>
      <c r="N555" s="9">
        <f>IF(ISNA(MATCH(546,'Transfer Engine'!$C$2:$C$1369,0)),"",INDEX('Compliance Database'!$N$2:$N$1369,MATCH(546,'Transfer Engine'!$C$2:$C$1369,0)))</f>
        <v/>
      </c>
      <c r="O555" s="8">
        <f>IF(ISNA(MATCH(546,'Transfer Engine'!$C$2:$C$1369,0)),"",HYPERLINK(INDEX('Compliance Database'!$O$2:$O$1369,MATCH(546,'Transfer Engine'!$C$2:$C$1369,0)),"Open PDF"))</f>
        <v/>
      </c>
    </row>
    <row r="556" ht="188" customHeight="1">
      <c r="A556" s="8">
        <f>IF(ISNA(MATCH(547,'Transfer Engine'!$C$2:$C$1369,0)),"",INDEX('Compliance Database'!$A$2:$A$1369,MATCH(547,'Transfer Engine'!$C$2:$C$1369,0)))</f>
        <v/>
      </c>
      <c r="B556" s="8">
        <f>IF(ISNA(MATCH(547,'Transfer Engine'!$C$2:$C$1369,0)),"",INDEX('Compliance Database'!$B$2:$B$1369,MATCH(547,'Transfer Engine'!$C$2:$C$1369,0)))</f>
        <v/>
      </c>
      <c r="C556" s="8">
        <f>IF(ISNA(MATCH(547,'Transfer Engine'!$C$2:$C$1369,0)),"",INDEX('Compliance Database'!$C$2:$C$1369,MATCH(547,'Transfer Engine'!$C$2:$C$1369,0)))</f>
        <v/>
      </c>
      <c r="D556" s="9">
        <f>IF(ISNA(MATCH(547,'Transfer Engine'!$C$2:$C$1369,0)),"",INDEX('Compliance Database'!$D$2:$D$1369,MATCH(547,'Transfer Engine'!$C$2:$C$1369,0)))</f>
        <v/>
      </c>
      <c r="E556" s="8">
        <f>IF(ISNA(MATCH(547,'Transfer Engine'!$C$2:$C$1369,0)),"",INDEX('Compliance Database'!$E$2:$E$1369,MATCH(547,'Transfer Engine'!$C$2:$C$1369,0)))</f>
        <v/>
      </c>
      <c r="F556" s="8">
        <f>IF(ISNA(MATCH(547,'Transfer Engine'!$C$2:$C$1369,0)),"",INDEX('Compliance Database'!$F$2:$F$1369,MATCH(547,'Transfer Engine'!$C$2:$C$1369,0)))</f>
        <v/>
      </c>
      <c r="G556" s="8">
        <f>IF(ISNA(MATCH(547,'Transfer Engine'!$C$2:$C$1369,0)),"",INDEX('Compliance Database'!$G$2:$G$1369,MATCH(547,'Transfer Engine'!$C$2:$C$1369,0)))</f>
        <v/>
      </c>
      <c r="H556" s="9">
        <f>IF(ISNA(MATCH(547,'Transfer Engine'!$C$2:$C$1369,0)),"",INDEX('Compliance Database'!$H$2:$H$1369,MATCH(547,'Transfer Engine'!$C$2:$C$1369,0)))</f>
        <v/>
      </c>
      <c r="I556" s="9">
        <f>IF(ISNA(MATCH(547,'Transfer Engine'!$C$2:$C$1369,0)),"",INDEX('Compliance Database'!$I$2:$I$1369,MATCH(547,'Transfer Engine'!$C$2:$C$1369,0)))</f>
        <v/>
      </c>
      <c r="J556" s="8">
        <f>IF(ISNA(MATCH(547,'Transfer Engine'!$C$2:$C$1369,0)),"",INDEX('Compliance Database'!$J$2:$J$1369,MATCH(547,'Transfer Engine'!$C$2:$C$1369,0)))</f>
        <v/>
      </c>
      <c r="K556" s="9">
        <f>IF(ISNA(MATCH(547,'Transfer Engine'!$C$2:$C$1369,0)),"",INDEX('Compliance Database'!$K$2:$K$1369,MATCH(547,'Transfer Engine'!$C$2:$C$1369,0)))</f>
        <v/>
      </c>
      <c r="L556" s="9">
        <f>IF(ISNA(MATCH(547,'Transfer Engine'!$C$2:$C$1369,0)),"",INDEX('Compliance Database'!$L$2:$L$1369,MATCH(547,'Transfer Engine'!$C$2:$C$1369,0)))</f>
        <v/>
      </c>
      <c r="M556" s="9">
        <f>IF(ISNA(MATCH(547,'Transfer Engine'!$C$2:$C$1369,0)),"",INDEX('Compliance Database'!$M$2:$M$1369,MATCH(547,'Transfer Engine'!$C$2:$C$1369,0)))</f>
        <v/>
      </c>
      <c r="N556" s="9">
        <f>IF(ISNA(MATCH(547,'Transfer Engine'!$C$2:$C$1369,0)),"",INDEX('Compliance Database'!$N$2:$N$1369,MATCH(547,'Transfer Engine'!$C$2:$C$1369,0)))</f>
        <v/>
      </c>
      <c r="O556" s="8">
        <f>IF(ISNA(MATCH(547,'Transfer Engine'!$C$2:$C$1369,0)),"",HYPERLINK(INDEX('Compliance Database'!$O$2:$O$1369,MATCH(547,'Transfer Engine'!$C$2:$C$1369,0)),"Open PDF"))</f>
        <v/>
      </c>
    </row>
    <row r="557" ht="188" customHeight="1">
      <c r="A557" s="8">
        <f>IF(ISNA(MATCH(548,'Transfer Engine'!$C$2:$C$1369,0)),"",INDEX('Compliance Database'!$A$2:$A$1369,MATCH(548,'Transfer Engine'!$C$2:$C$1369,0)))</f>
        <v/>
      </c>
      <c r="B557" s="8">
        <f>IF(ISNA(MATCH(548,'Transfer Engine'!$C$2:$C$1369,0)),"",INDEX('Compliance Database'!$B$2:$B$1369,MATCH(548,'Transfer Engine'!$C$2:$C$1369,0)))</f>
        <v/>
      </c>
      <c r="C557" s="8">
        <f>IF(ISNA(MATCH(548,'Transfer Engine'!$C$2:$C$1369,0)),"",INDEX('Compliance Database'!$C$2:$C$1369,MATCH(548,'Transfer Engine'!$C$2:$C$1369,0)))</f>
        <v/>
      </c>
      <c r="D557" s="9">
        <f>IF(ISNA(MATCH(548,'Transfer Engine'!$C$2:$C$1369,0)),"",INDEX('Compliance Database'!$D$2:$D$1369,MATCH(548,'Transfer Engine'!$C$2:$C$1369,0)))</f>
        <v/>
      </c>
      <c r="E557" s="8">
        <f>IF(ISNA(MATCH(548,'Transfer Engine'!$C$2:$C$1369,0)),"",INDEX('Compliance Database'!$E$2:$E$1369,MATCH(548,'Transfer Engine'!$C$2:$C$1369,0)))</f>
        <v/>
      </c>
      <c r="F557" s="8">
        <f>IF(ISNA(MATCH(548,'Transfer Engine'!$C$2:$C$1369,0)),"",INDEX('Compliance Database'!$F$2:$F$1369,MATCH(548,'Transfer Engine'!$C$2:$C$1369,0)))</f>
        <v/>
      </c>
      <c r="G557" s="8">
        <f>IF(ISNA(MATCH(548,'Transfer Engine'!$C$2:$C$1369,0)),"",INDEX('Compliance Database'!$G$2:$G$1369,MATCH(548,'Transfer Engine'!$C$2:$C$1369,0)))</f>
        <v/>
      </c>
      <c r="H557" s="9">
        <f>IF(ISNA(MATCH(548,'Transfer Engine'!$C$2:$C$1369,0)),"",INDEX('Compliance Database'!$H$2:$H$1369,MATCH(548,'Transfer Engine'!$C$2:$C$1369,0)))</f>
        <v/>
      </c>
      <c r="I557" s="9">
        <f>IF(ISNA(MATCH(548,'Transfer Engine'!$C$2:$C$1369,0)),"",INDEX('Compliance Database'!$I$2:$I$1369,MATCH(548,'Transfer Engine'!$C$2:$C$1369,0)))</f>
        <v/>
      </c>
      <c r="J557" s="8">
        <f>IF(ISNA(MATCH(548,'Transfer Engine'!$C$2:$C$1369,0)),"",INDEX('Compliance Database'!$J$2:$J$1369,MATCH(548,'Transfer Engine'!$C$2:$C$1369,0)))</f>
        <v/>
      </c>
      <c r="K557" s="9">
        <f>IF(ISNA(MATCH(548,'Transfer Engine'!$C$2:$C$1369,0)),"",INDEX('Compliance Database'!$K$2:$K$1369,MATCH(548,'Transfer Engine'!$C$2:$C$1369,0)))</f>
        <v/>
      </c>
      <c r="L557" s="9">
        <f>IF(ISNA(MATCH(548,'Transfer Engine'!$C$2:$C$1369,0)),"",INDEX('Compliance Database'!$L$2:$L$1369,MATCH(548,'Transfer Engine'!$C$2:$C$1369,0)))</f>
        <v/>
      </c>
      <c r="M557" s="9">
        <f>IF(ISNA(MATCH(548,'Transfer Engine'!$C$2:$C$1369,0)),"",INDEX('Compliance Database'!$M$2:$M$1369,MATCH(548,'Transfer Engine'!$C$2:$C$1369,0)))</f>
        <v/>
      </c>
      <c r="N557" s="9">
        <f>IF(ISNA(MATCH(548,'Transfer Engine'!$C$2:$C$1369,0)),"",INDEX('Compliance Database'!$N$2:$N$1369,MATCH(548,'Transfer Engine'!$C$2:$C$1369,0)))</f>
        <v/>
      </c>
      <c r="O557" s="8">
        <f>IF(ISNA(MATCH(548,'Transfer Engine'!$C$2:$C$1369,0)),"",HYPERLINK(INDEX('Compliance Database'!$O$2:$O$1369,MATCH(548,'Transfer Engine'!$C$2:$C$1369,0)),"Open PDF"))</f>
        <v/>
      </c>
    </row>
    <row r="558" ht="188" customHeight="1">
      <c r="A558" s="8">
        <f>IF(ISNA(MATCH(549,'Transfer Engine'!$C$2:$C$1369,0)),"",INDEX('Compliance Database'!$A$2:$A$1369,MATCH(549,'Transfer Engine'!$C$2:$C$1369,0)))</f>
        <v/>
      </c>
      <c r="B558" s="8">
        <f>IF(ISNA(MATCH(549,'Transfer Engine'!$C$2:$C$1369,0)),"",INDEX('Compliance Database'!$B$2:$B$1369,MATCH(549,'Transfer Engine'!$C$2:$C$1369,0)))</f>
        <v/>
      </c>
      <c r="C558" s="8">
        <f>IF(ISNA(MATCH(549,'Transfer Engine'!$C$2:$C$1369,0)),"",INDEX('Compliance Database'!$C$2:$C$1369,MATCH(549,'Transfer Engine'!$C$2:$C$1369,0)))</f>
        <v/>
      </c>
      <c r="D558" s="9">
        <f>IF(ISNA(MATCH(549,'Transfer Engine'!$C$2:$C$1369,0)),"",INDEX('Compliance Database'!$D$2:$D$1369,MATCH(549,'Transfer Engine'!$C$2:$C$1369,0)))</f>
        <v/>
      </c>
      <c r="E558" s="8">
        <f>IF(ISNA(MATCH(549,'Transfer Engine'!$C$2:$C$1369,0)),"",INDEX('Compliance Database'!$E$2:$E$1369,MATCH(549,'Transfer Engine'!$C$2:$C$1369,0)))</f>
        <v/>
      </c>
      <c r="F558" s="8">
        <f>IF(ISNA(MATCH(549,'Transfer Engine'!$C$2:$C$1369,0)),"",INDEX('Compliance Database'!$F$2:$F$1369,MATCH(549,'Transfer Engine'!$C$2:$C$1369,0)))</f>
        <v/>
      </c>
      <c r="G558" s="8">
        <f>IF(ISNA(MATCH(549,'Transfer Engine'!$C$2:$C$1369,0)),"",INDEX('Compliance Database'!$G$2:$G$1369,MATCH(549,'Transfer Engine'!$C$2:$C$1369,0)))</f>
        <v/>
      </c>
      <c r="H558" s="9">
        <f>IF(ISNA(MATCH(549,'Transfer Engine'!$C$2:$C$1369,0)),"",INDEX('Compliance Database'!$H$2:$H$1369,MATCH(549,'Transfer Engine'!$C$2:$C$1369,0)))</f>
        <v/>
      </c>
      <c r="I558" s="9">
        <f>IF(ISNA(MATCH(549,'Transfer Engine'!$C$2:$C$1369,0)),"",INDEX('Compliance Database'!$I$2:$I$1369,MATCH(549,'Transfer Engine'!$C$2:$C$1369,0)))</f>
        <v/>
      </c>
      <c r="J558" s="8">
        <f>IF(ISNA(MATCH(549,'Transfer Engine'!$C$2:$C$1369,0)),"",INDEX('Compliance Database'!$J$2:$J$1369,MATCH(549,'Transfer Engine'!$C$2:$C$1369,0)))</f>
        <v/>
      </c>
      <c r="K558" s="9">
        <f>IF(ISNA(MATCH(549,'Transfer Engine'!$C$2:$C$1369,0)),"",INDEX('Compliance Database'!$K$2:$K$1369,MATCH(549,'Transfer Engine'!$C$2:$C$1369,0)))</f>
        <v/>
      </c>
      <c r="L558" s="9">
        <f>IF(ISNA(MATCH(549,'Transfer Engine'!$C$2:$C$1369,0)),"",INDEX('Compliance Database'!$L$2:$L$1369,MATCH(549,'Transfer Engine'!$C$2:$C$1369,0)))</f>
        <v/>
      </c>
      <c r="M558" s="9">
        <f>IF(ISNA(MATCH(549,'Transfer Engine'!$C$2:$C$1369,0)),"",INDEX('Compliance Database'!$M$2:$M$1369,MATCH(549,'Transfer Engine'!$C$2:$C$1369,0)))</f>
        <v/>
      </c>
      <c r="N558" s="9">
        <f>IF(ISNA(MATCH(549,'Transfer Engine'!$C$2:$C$1369,0)),"",INDEX('Compliance Database'!$N$2:$N$1369,MATCH(549,'Transfer Engine'!$C$2:$C$1369,0)))</f>
        <v/>
      </c>
      <c r="O558" s="8">
        <f>IF(ISNA(MATCH(549,'Transfer Engine'!$C$2:$C$1369,0)),"",HYPERLINK(INDEX('Compliance Database'!$O$2:$O$1369,MATCH(549,'Transfer Engine'!$C$2:$C$1369,0)),"Open PDF"))</f>
        <v/>
      </c>
    </row>
    <row r="559" ht="188" customHeight="1">
      <c r="A559" s="8">
        <f>IF(ISNA(MATCH(550,'Transfer Engine'!$C$2:$C$1369,0)),"",INDEX('Compliance Database'!$A$2:$A$1369,MATCH(550,'Transfer Engine'!$C$2:$C$1369,0)))</f>
        <v/>
      </c>
      <c r="B559" s="8">
        <f>IF(ISNA(MATCH(550,'Transfer Engine'!$C$2:$C$1369,0)),"",INDEX('Compliance Database'!$B$2:$B$1369,MATCH(550,'Transfer Engine'!$C$2:$C$1369,0)))</f>
        <v/>
      </c>
      <c r="C559" s="8">
        <f>IF(ISNA(MATCH(550,'Transfer Engine'!$C$2:$C$1369,0)),"",INDEX('Compliance Database'!$C$2:$C$1369,MATCH(550,'Transfer Engine'!$C$2:$C$1369,0)))</f>
        <v/>
      </c>
      <c r="D559" s="9">
        <f>IF(ISNA(MATCH(550,'Transfer Engine'!$C$2:$C$1369,0)),"",INDEX('Compliance Database'!$D$2:$D$1369,MATCH(550,'Transfer Engine'!$C$2:$C$1369,0)))</f>
        <v/>
      </c>
      <c r="E559" s="8">
        <f>IF(ISNA(MATCH(550,'Transfer Engine'!$C$2:$C$1369,0)),"",INDEX('Compliance Database'!$E$2:$E$1369,MATCH(550,'Transfer Engine'!$C$2:$C$1369,0)))</f>
        <v/>
      </c>
      <c r="F559" s="8">
        <f>IF(ISNA(MATCH(550,'Transfer Engine'!$C$2:$C$1369,0)),"",INDEX('Compliance Database'!$F$2:$F$1369,MATCH(550,'Transfer Engine'!$C$2:$C$1369,0)))</f>
        <v/>
      </c>
      <c r="G559" s="8">
        <f>IF(ISNA(MATCH(550,'Transfer Engine'!$C$2:$C$1369,0)),"",INDEX('Compliance Database'!$G$2:$G$1369,MATCH(550,'Transfer Engine'!$C$2:$C$1369,0)))</f>
        <v/>
      </c>
      <c r="H559" s="9">
        <f>IF(ISNA(MATCH(550,'Transfer Engine'!$C$2:$C$1369,0)),"",INDEX('Compliance Database'!$H$2:$H$1369,MATCH(550,'Transfer Engine'!$C$2:$C$1369,0)))</f>
        <v/>
      </c>
      <c r="I559" s="9">
        <f>IF(ISNA(MATCH(550,'Transfer Engine'!$C$2:$C$1369,0)),"",INDEX('Compliance Database'!$I$2:$I$1369,MATCH(550,'Transfer Engine'!$C$2:$C$1369,0)))</f>
        <v/>
      </c>
      <c r="J559" s="8">
        <f>IF(ISNA(MATCH(550,'Transfer Engine'!$C$2:$C$1369,0)),"",INDEX('Compliance Database'!$J$2:$J$1369,MATCH(550,'Transfer Engine'!$C$2:$C$1369,0)))</f>
        <v/>
      </c>
      <c r="K559" s="9">
        <f>IF(ISNA(MATCH(550,'Transfer Engine'!$C$2:$C$1369,0)),"",INDEX('Compliance Database'!$K$2:$K$1369,MATCH(550,'Transfer Engine'!$C$2:$C$1369,0)))</f>
        <v/>
      </c>
      <c r="L559" s="9">
        <f>IF(ISNA(MATCH(550,'Transfer Engine'!$C$2:$C$1369,0)),"",INDEX('Compliance Database'!$L$2:$L$1369,MATCH(550,'Transfer Engine'!$C$2:$C$1369,0)))</f>
        <v/>
      </c>
      <c r="M559" s="9">
        <f>IF(ISNA(MATCH(550,'Transfer Engine'!$C$2:$C$1369,0)),"",INDEX('Compliance Database'!$M$2:$M$1369,MATCH(550,'Transfer Engine'!$C$2:$C$1369,0)))</f>
        <v/>
      </c>
      <c r="N559" s="9">
        <f>IF(ISNA(MATCH(550,'Transfer Engine'!$C$2:$C$1369,0)),"",INDEX('Compliance Database'!$N$2:$N$1369,MATCH(550,'Transfer Engine'!$C$2:$C$1369,0)))</f>
        <v/>
      </c>
      <c r="O559" s="8">
        <f>IF(ISNA(MATCH(550,'Transfer Engine'!$C$2:$C$1369,0)),"",HYPERLINK(INDEX('Compliance Database'!$O$2:$O$1369,MATCH(550,'Transfer Engine'!$C$2:$C$1369,0)),"Open PDF"))</f>
        <v/>
      </c>
    </row>
    <row r="560" ht="188" customHeight="1">
      <c r="A560" s="8">
        <f>IF(ISNA(MATCH(551,'Transfer Engine'!$C$2:$C$1369,0)),"",INDEX('Compliance Database'!$A$2:$A$1369,MATCH(551,'Transfer Engine'!$C$2:$C$1369,0)))</f>
        <v/>
      </c>
      <c r="B560" s="8">
        <f>IF(ISNA(MATCH(551,'Transfer Engine'!$C$2:$C$1369,0)),"",INDEX('Compliance Database'!$B$2:$B$1369,MATCH(551,'Transfer Engine'!$C$2:$C$1369,0)))</f>
        <v/>
      </c>
      <c r="C560" s="8">
        <f>IF(ISNA(MATCH(551,'Transfer Engine'!$C$2:$C$1369,0)),"",INDEX('Compliance Database'!$C$2:$C$1369,MATCH(551,'Transfer Engine'!$C$2:$C$1369,0)))</f>
        <v/>
      </c>
      <c r="D560" s="9">
        <f>IF(ISNA(MATCH(551,'Transfer Engine'!$C$2:$C$1369,0)),"",INDEX('Compliance Database'!$D$2:$D$1369,MATCH(551,'Transfer Engine'!$C$2:$C$1369,0)))</f>
        <v/>
      </c>
      <c r="E560" s="8">
        <f>IF(ISNA(MATCH(551,'Transfer Engine'!$C$2:$C$1369,0)),"",INDEX('Compliance Database'!$E$2:$E$1369,MATCH(551,'Transfer Engine'!$C$2:$C$1369,0)))</f>
        <v/>
      </c>
      <c r="F560" s="8">
        <f>IF(ISNA(MATCH(551,'Transfer Engine'!$C$2:$C$1369,0)),"",INDEX('Compliance Database'!$F$2:$F$1369,MATCH(551,'Transfer Engine'!$C$2:$C$1369,0)))</f>
        <v/>
      </c>
      <c r="G560" s="8">
        <f>IF(ISNA(MATCH(551,'Transfer Engine'!$C$2:$C$1369,0)),"",INDEX('Compliance Database'!$G$2:$G$1369,MATCH(551,'Transfer Engine'!$C$2:$C$1369,0)))</f>
        <v/>
      </c>
      <c r="H560" s="9">
        <f>IF(ISNA(MATCH(551,'Transfer Engine'!$C$2:$C$1369,0)),"",INDEX('Compliance Database'!$H$2:$H$1369,MATCH(551,'Transfer Engine'!$C$2:$C$1369,0)))</f>
        <v/>
      </c>
      <c r="I560" s="9">
        <f>IF(ISNA(MATCH(551,'Transfer Engine'!$C$2:$C$1369,0)),"",INDEX('Compliance Database'!$I$2:$I$1369,MATCH(551,'Transfer Engine'!$C$2:$C$1369,0)))</f>
        <v/>
      </c>
      <c r="J560" s="8">
        <f>IF(ISNA(MATCH(551,'Transfer Engine'!$C$2:$C$1369,0)),"",INDEX('Compliance Database'!$J$2:$J$1369,MATCH(551,'Transfer Engine'!$C$2:$C$1369,0)))</f>
        <v/>
      </c>
      <c r="K560" s="9">
        <f>IF(ISNA(MATCH(551,'Transfer Engine'!$C$2:$C$1369,0)),"",INDEX('Compliance Database'!$K$2:$K$1369,MATCH(551,'Transfer Engine'!$C$2:$C$1369,0)))</f>
        <v/>
      </c>
      <c r="L560" s="9">
        <f>IF(ISNA(MATCH(551,'Transfer Engine'!$C$2:$C$1369,0)),"",INDEX('Compliance Database'!$L$2:$L$1369,MATCH(551,'Transfer Engine'!$C$2:$C$1369,0)))</f>
        <v/>
      </c>
      <c r="M560" s="9">
        <f>IF(ISNA(MATCH(551,'Transfer Engine'!$C$2:$C$1369,0)),"",INDEX('Compliance Database'!$M$2:$M$1369,MATCH(551,'Transfer Engine'!$C$2:$C$1369,0)))</f>
        <v/>
      </c>
      <c r="N560" s="9">
        <f>IF(ISNA(MATCH(551,'Transfer Engine'!$C$2:$C$1369,0)),"",INDEX('Compliance Database'!$N$2:$N$1369,MATCH(551,'Transfer Engine'!$C$2:$C$1369,0)))</f>
        <v/>
      </c>
      <c r="O560" s="8">
        <f>IF(ISNA(MATCH(551,'Transfer Engine'!$C$2:$C$1369,0)),"",HYPERLINK(INDEX('Compliance Database'!$O$2:$O$1369,MATCH(551,'Transfer Engine'!$C$2:$C$1369,0)),"Open PDF"))</f>
        <v/>
      </c>
    </row>
    <row r="561" ht="188" customHeight="1">
      <c r="A561" s="8">
        <f>IF(ISNA(MATCH(552,'Transfer Engine'!$C$2:$C$1369,0)),"",INDEX('Compliance Database'!$A$2:$A$1369,MATCH(552,'Transfer Engine'!$C$2:$C$1369,0)))</f>
        <v/>
      </c>
      <c r="B561" s="8">
        <f>IF(ISNA(MATCH(552,'Transfer Engine'!$C$2:$C$1369,0)),"",INDEX('Compliance Database'!$B$2:$B$1369,MATCH(552,'Transfer Engine'!$C$2:$C$1369,0)))</f>
        <v/>
      </c>
      <c r="C561" s="8">
        <f>IF(ISNA(MATCH(552,'Transfer Engine'!$C$2:$C$1369,0)),"",INDEX('Compliance Database'!$C$2:$C$1369,MATCH(552,'Transfer Engine'!$C$2:$C$1369,0)))</f>
        <v/>
      </c>
      <c r="D561" s="9">
        <f>IF(ISNA(MATCH(552,'Transfer Engine'!$C$2:$C$1369,0)),"",INDEX('Compliance Database'!$D$2:$D$1369,MATCH(552,'Transfer Engine'!$C$2:$C$1369,0)))</f>
        <v/>
      </c>
      <c r="E561" s="8">
        <f>IF(ISNA(MATCH(552,'Transfer Engine'!$C$2:$C$1369,0)),"",INDEX('Compliance Database'!$E$2:$E$1369,MATCH(552,'Transfer Engine'!$C$2:$C$1369,0)))</f>
        <v/>
      </c>
      <c r="F561" s="8">
        <f>IF(ISNA(MATCH(552,'Transfer Engine'!$C$2:$C$1369,0)),"",INDEX('Compliance Database'!$F$2:$F$1369,MATCH(552,'Transfer Engine'!$C$2:$C$1369,0)))</f>
        <v/>
      </c>
      <c r="G561" s="8">
        <f>IF(ISNA(MATCH(552,'Transfer Engine'!$C$2:$C$1369,0)),"",INDEX('Compliance Database'!$G$2:$G$1369,MATCH(552,'Transfer Engine'!$C$2:$C$1369,0)))</f>
        <v/>
      </c>
      <c r="H561" s="9">
        <f>IF(ISNA(MATCH(552,'Transfer Engine'!$C$2:$C$1369,0)),"",INDEX('Compliance Database'!$H$2:$H$1369,MATCH(552,'Transfer Engine'!$C$2:$C$1369,0)))</f>
        <v/>
      </c>
      <c r="I561" s="9">
        <f>IF(ISNA(MATCH(552,'Transfer Engine'!$C$2:$C$1369,0)),"",INDEX('Compliance Database'!$I$2:$I$1369,MATCH(552,'Transfer Engine'!$C$2:$C$1369,0)))</f>
        <v/>
      </c>
      <c r="J561" s="8">
        <f>IF(ISNA(MATCH(552,'Transfer Engine'!$C$2:$C$1369,0)),"",INDEX('Compliance Database'!$J$2:$J$1369,MATCH(552,'Transfer Engine'!$C$2:$C$1369,0)))</f>
        <v/>
      </c>
      <c r="K561" s="9">
        <f>IF(ISNA(MATCH(552,'Transfer Engine'!$C$2:$C$1369,0)),"",INDEX('Compliance Database'!$K$2:$K$1369,MATCH(552,'Transfer Engine'!$C$2:$C$1369,0)))</f>
        <v/>
      </c>
      <c r="L561" s="9">
        <f>IF(ISNA(MATCH(552,'Transfer Engine'!$C$2:$C$1369,0)),"",INDEX('Compliance Database'!$L$2:$L$1369,MATCH(552,'Transfer Engine'!$C$2:$C$1369,0)))</f>
        <v/>
      </c>
      <c r="M561" s="9">
        <f>IF(ISNA(MATCH(552,'Transfer Engine'!$C$2:$C$1369,0)),"",INDEX('Compliance Database'!$M$2:$M$1369,MATCH(552,'Transfer Engine'!$C$2:$C$1369,0)))</f>
        <v/>
      </c>
      <c r="N561" s="9">
        <f>IF(ISNA(MATCH(552,'Transfer Engine'!$C$2:$C$1369,0)),"",INDEX('Compliance Database'!$N$2:$N$1369,MATCH(552,'Transfer Engine'!$C$2:$C$1369,0)))</f>
        <v/>
      </c>
      <c r="O561" s="8">
        <f>IF(ISNA(MATCH(552,'Transfer Engine'!$C$2:$C$1369,0)),"",HYPERLINK(INDEX('Compliance Database'!$O$2:$O$1369,MATCH(552,'Transfer Engine'!$C$2:$C$1369,0)),"Open PDF"))</f>
        <v/>
      </c>
    </row>
    <row r="562" ht="188" customHeight="1">
      <c r="A562" s="8">
        <f>IF(ISNA(MATCH(553,'Transfer Engine'!$C$2:$C$1369,0)),"",INDEX('Compliance Database'!$A$2:$A$1369,MATCH(553,'Transfer Engine'!$C$2:$C$1369,0)))</f>
        <v/>
      </c>
      <c r="B562" s="8">
        <f>IF(ISNA(MATCH(553,'Transfer Engine'!$C$2:$C$1369,0)),"",INDEX('Compliance Database'!$B$2:$B$1369,MATCH(553,'Transfer Engine'!$C$2:$C$1369,0)))</f>
        <v/>
      </c>
      <c r="C562" s="8">
        <f>IF(ISNA(MATCH(553,'Transfer Engine'!$C$2:$C$1369,0)),"",INDEX('Compliance Database'!$C$2:$C$1369,MATCH(553,'Transfer Engine'!$C$2:$C$1369,0)))</f>
        <v/>
      </c>
      <c r="D562" s="9">
        <f>IF(ISNA(MATCH(553,'Transfer Engine'!$C$2:$C$1369,0)),"",INDEX('Compliance Database'!$D$2:$D$1369,MATCH(553,'Transfer Engine'!$C$2:$C$1369,0)))</f>
        <v/>
      </c>
      <c r="E562" s="8">
        <f>IF(ISNA(MATCH(553,'Transfer Engine'!$C$2:$C$1369,0)),"",INDEX('Compliance Database'!$E$2:$E$1369,MATCH(553,'Transfer Engine'!$C$2:$C$1369,0)))</f>
        <v/>
      </c>
      <c r="F562" s="8">
        <f>IF(ISNA(MATCH(553,'Transfer Engine'!$C$2:$C$1369,0)),"",INDEX('Compliance Database'!$F$2:$F$1369,MATCH(553,'Transfer Engine'!$C$2:$C$1369,0)))</f>
        <v/>
      </c>
      <c r="G562" s="8">
        <f>IF(ISNA(MATCH(553,'Transfer Engine'!$C$2:$C$1369,0)),"",INDEX('Compliance Database'!$G$2:$G$1369,MATCH(553,'Transfer Engine'!$C$2:$C$1369,0)))</f>
        <v/>
      </c>
      <c r="H562" s="9">
        <f>IF(ISNA(MATCH(553,'Transfer Engine'!$C$2:$C$1369,0)),"",INDEX('Compliance Database'!$H$2:$H$1369,MATCH(553,'Transfer Engine'!$C$2:$C$1369,0)))</f>
        <v/>
      </c>
      <c r="I562" s="9">
        <f>IF(ISNA(MATCH(553,'Transfer Engine'!$C$2:$C$1369,0)),"",INDEX('Compliance Database'!$I$2:$I$1369,MATCH(553,'Transfer Engine'!$C$2:$C$1369,0)))</f>
        <v/>
      </c>
      <c r="J562" s="8">
        <f>IF(ISNA(MATCH(553,'Transfer Engine'!$C$2:$C$1369,0)),"",INDEX('Compliance Database'!$J$2:$J$1369,MATCH(553,'Transfer Engine'!$C$2:$C$1369,0)))</f>
        <v/>
      </c>
      <c r="K562" s="9">
        <f>IF(ISNA(MATCH(553,'Transfer Engine'!$C$2:$C$1369,0)),"",INDEX('Compliance Database'!$K$2:$K$1369,MATCH(553,'Transfer Engine'!$C$2:$C$1369,0)))</f>
        <v/>
      </c>
      <c r="L562" s="9">
        <f>IF(ISNA(MATCH(553,'Transfer Engine'!$C$2:$C$1369,0)),"",INDEX('Compliance Database'!$L$2:$L$1369,MATCH(553,'Transfer Engine'!$C$2:$C$1369,0)))</f>
        <v/>
      </c>
      <c r="M562" s="9">
        <f>IF(ISNA(MATCH(553,'Transfer Engine'!$C$2:$C$1369,0)),"",INDEX('Compliance Database'!$M$2:$M$1369,MATCH(553,'Transfer Engine'!$C$2:$C$1369,0)))</f>
        <v/>
      </c>
      <c r="N562" s="9">
        <f>IF(ISNA(MATCH(553,'Transfer Engine'!$C$2:$C$1369,0)),"",INDEX('Compliance Database'!$N$2:$N$1369,MATCH(553,'Transfer Engine'!$C$2:$C$1369,0)))</f>
        <v/>
      </c>
      <c r="O562" s="8">
        <f>IF(ISNA(MATCH(553,'Transfer Engine'!$C$2:$C$1369,0)),"",HYPERLINK(INDEX('Compliance Database'!$O$2:$O$1369,MATCH(553,'Transfer Engine'!$C$2:$C$1369,0)),"Open PDF"))</f>
        <v/>
      </c>
    </row>
    <row r="563" ht="188" customHeight="1">
      <c r="A563" s="8">
        <f>IF(ISNA(MATCH(554,'Transfer Engine'!$C$2:$C$1369,0)),"",INDEX('Compliance Database'!$A$2:$A$1369,MATCH(554,'Transfer Engine'!$C$2:$C$1369,0)))</f>
        <v/>
      </c>
      <c r="B563" s="8">
        <f>IF(ISNA(MATCH(554,'Transfer Engine'!$C$2:$C$1369,0)),"",INDEX('Compliance Database'!$B$2:$B$1369,MATCH(554,'Transfer Engine'!$C$2:$C$1369,0)))</f>
        <v/>
      </c>
      <c r="C563" s="8">
        <f>IF(ISNA(MATCH(554,'Transfer Engine'!$C$2:$C$1369,0)),"",INDEX('Compliance Database'!$C$2:$C$1369,MATCH(554,'Transfer Engine'!$C$2:$C$1369,0)))</f>
        <v/>
      </c>
      <c r="D563" s="9">
        <f>IF(ISNA(MATCH(554,'Transfer Engine'!$C$2:$C$1369,0)),"",INDEX('Compliance Database'!$D$2:$D$1369,MATCH(554,'Transfer Engine'!$C$2:$C$1369,0)))</f>
        <v/>
      </c>
      <c r="E563" s="8">
        <f>IF(ISNA(MATCH(554,'Transfer Engine'!$C$2:$C$1369,0)),"",INDEX('Compliance Database'!$E$2:$E$1369,MATCH(554,'Transfer Engine'!$C$2:$C$1369,0)))</f>
        <v/>
      </c>
      <c r="F563" s="8">
        <f>IF(ISNA(MATCH(554,'Transfer Engine'!$C$2:$C$1369,0)),"",INDEX('Compliance Database'!$F$2:$F$1369,MATCH(554,'Transfer Engine'!$C$2:$C$1369,0)))</f>
        <v/>
      </c>
      <c r="G563" s="8">
        <f>IF(ISNA(MATCH(554,'Transfer Engine'!$C$2:$C$1369,0)),"",INDEX('Compliance Database'!$G$2:$G$1369,MATCH(554,'Transfer Engine'!$C$2:$C$1369,0)))</f>
        <v/>
      </c>
      <c r="H563" s="9">
        <f>IF(ISNA(MATCH(554,'Transfer Engine'!$C$2:$C$1369,0)),"",INDEX('Compliance Database'!$H$2:$H$1369,MATCH(554,'Transfer Engine'!$C$2:$C$1369,0)))</f>
        <v/>
      </c>
      <c r="I563" s="9">
        <f>IF(ISNA(MATCH(554,'Transfer Engine'!$C$2:$C$1369,0)),"",INDEX('Compliance Database'!$I$2:$I$1369,MATCH(554,'Transfer Engine'!$C$2:$C$1369,0)))</f>
        <v/>
      </c>
      <c r="J563" s="8">
        <f>IF(ISNA(MATCH(554,'Transfer Engine'!$C$2:$C$1369,0)),"",INDEX('Compliance Database'!$J$2:$J$1369,MATCH(554,'Transfer Engine'!$C$2:$C$1369,0)))</f>
        <v/>
      </c>
      <c r="K563" s="9">
        <f>IF(ISNA(MATCH(554,'Transfer Engine'!$C$2:$C$1369,0)),"",INDEX('Compliance Database'!$K$2:$K$1369,MATCH(554,'Transfer Engine'!$C$2:$C$1369,0)))</f>
        <v/>
      </c>
      <c r="L563" s="9">
        <f>IF(ISNA(MATCH(554,'Transfer Engine'!$C$2:$C$1369,0)),"",INDEX('Compliance Database'!$L$2:$L$1369,MATCH(554,'Transfer Engine'!$C$2:$C$1369,0)))</f>
        <v/>
      </c>
      <c r="M563" s="9">
        <f>IF(ISNA(MATCH(554,'Transfer Engine'!$C$2:$C$1369,0)),"",INDEX('Compliance Database'!$M$2:$M$1369,MATCH(554,'Transfer Engine'!$C$2:$C$1369,0)))</f>
        <v/>
      </c>
      <c r="N563" s="9">
        <f>IF(ISNA(MATCH(554,'Transfer Engine'!$C$2:$C$1369,0)),"",INDEX('Compliance Database'!$N$2:$N$1369,MATCH(554,'Transfer Engine'!$C$2:$C$1369,0)))</f>
        <v/>
      </c>
      <c r="O563" s="8">
        <f>IF(ISNA(MATCH(554,'Transfer Engine'!$C$2:$C$1369,0)),"",HYPERLINK(INDEX('Compliance Database'!$O$2:$O$1369,MATCH(554,'Transfer Engine'!$C$2:$C$1369,0)),"Open PDF"))</f>
        <v/>
      </c>
    </row>
    <row r="564" ht="188" customHeight="1">
      <c r="A564" s="8">
        <f>IF(ISNA(MATCH(555,'Transfer Engine'!$C$2:$C$1369,0)),"",INDEX('Compliance Database'!$A$2:$A$1369,MATCH(555,'Transfer Engine'!$C$2:$C$1369,0)))</f>
        <v/>
      </c>
      <c r="B564" s="8">
        <f>IF(ISNA(MATCH(555,'Transfer Engine'!$C$2:$C$1369,0)),"",INDEX('Compliance Database'!$B$2:$B$1369,MATCH(555,'Transfer Engine'!$C$2:$C$1369,0)))</f>
        <v/>
      </c>
      <c r="C564" s="8">
        <f>IF(ISNA(MATCH(555,'Transfer Engine'!$C$2:$C$1369,0)),"",INDEX('Compliance Database'!$C$2:$C$1369,MATCH(555,'Transfer Engine'!$C$2:$C$1369,0)))</f>
        <v/>
      </c>
      <c r="D564" s="9">
        <f>IF(ISNA(MATCH(555,'Transfer Engine'!$C$2:$C$1369,0)),"",INDEX('Compliance Database'!$D$2:$D$1369,MATCH(555,'Transfer Engine'!$C$2:$C$1369,0)))</f>
        <v/>
      </c>
      <c r="E564" s="8">
        <f>IF(ISNA(MATCH(555,'Transfer Engine'!$C$2:$C$1369,0)),"",INDEX('Compliance Database'!$E$2:$E$1369,MATCH(555,'Transfer Engine'!$C$2:$C$1369,0)))</f>
        <v/>
      </c>
      <c r="F564" s="8">
        <f>IF(ISNA(MATCH(555,'Transfer Engine'!$C$2:$C$1369,0)),"",INDEX('Compliance Database'!$F$2:$F$1369,MATCH(555,'Transfer Engine'!$C$2:$C$1369,0)))</f>
        <v/>
      </c>
      <c r="G564" s="8">
        <f>IF(ISNA(MATCH(555,'Transfer Engine'!$C$2:$C$1369,0)),"",INDEX('Compliance Database'!$G$2:$G$1369,MATCH(555,'Transfer Engine'!$C$2:$C$1369,0)))</f>
        <v/>
      </c>
      <c r="H564" s="9">
        <f>IF(ISNA(MATCH(555,'Transfer Engine'!$C$2:$C$1369,0)),"",INDEX('Compliance Database'!$H$2:$H$1369,MATCH(555,'Transfer Engine'!$C$2:$C$1369,0)))</f>
        <v/>
      </c>
      <c r="I564" s="9">
        <f>IF(ISNA(MATCH(555,'Transfer Engine'!$C$2:$C$1369,0)),"",INDEX('Compliance Database'!$I$2:$I$1369,MATCH(555,'Transfer Engine'!$C$2:$C$1369,0)))</f>
        <v/>
      </c>
      <c r="J564" s="8">
        <f>IF(ISNA(MATCH(555,'Transfer Engine'!$C$2:$C$1369,0)),"",INDEX('Compliance Database'!$J$2:$J$1369,MATCH(555,'Transfer Engine'!$C$2:$C$1369,0)))</f>
        <v/>
      </c>
      <c r="K564" s="9">
        <f>IF(ISNA(MATCH(555,'Transfer Engine'!$C$2:$C$1369,0)),"",INDEX('Compliance Database'!$K$2:$K$1369,MATCH(555,'Transfer Engine'!$C$2:$C$1369,0)))</f>
        <v/>
      </c>
      <c r="L564" s="9">
        <f>IF(ISNA(MATCH(555,'Transfer Engine'!$C$2:$C$1369,0)),"",INDEX('Compliance Database'!$L$2:$L$1369,MATCH(555,'Transfer Engine'!$C$2:$C$1369,0)))</f>
        <v/>
      </c>
      <c r="M564" s="9">
        <f>IF(ISNA(MATCH(555,'Transfer Engine'!$C$2:$C$1369,0)),"",INDEX('Compliance Database'!$M$2:$M$1369,MATCH(555,'Transfer Engine'!$C$2:$C$1369,0)))</f>
        <v/>
      </c>
      <c r="N564" s="9">
        <f>IF(ISNA(MATCH(555,'Transfer Engine'!$C$2:$C$1369,0)),"",INDEX('Compliance Database'!$N$2:$N$1369,MATCH(555,'Transfer Engine'!$C$2:$C$1369,0)))</f>
        <v/>
      </c>
      <c r="O564" s="8">
        <f>IF(ISNA(MATCH(555,'Transfer Engine'!$C$2:$C$1369,0)),"",HYPERLINK(INDEX('Compliance Database'!$O$2:$O$1369,MATCH(555,'Transfer Engine'!$C$2:$C$1369,0)),"Open PDF"))</f>
        <v/>
      </c>
    </row>
    <row r="565" ht="188" customHeight="1">
      <c r="A565" s="8">
        <f>IF(ISNA(MATCH(556,'Transfer Engine'!$C$2:$C$1369,0)),"",INDEX('Compliance Database'!$A$2:$A$1369,MATCH(556,'Transfer Engine'!$C$2:$C$1369,0)))</f>
        <v/>
      </c>
      <c r="B565" s="8">
        <f>IF(ISNA(MATCH(556,'Transfer Engine'!$C$2:$C$1369,0)),"",INDEX('Compliance Database'!$B$2:$B$1369,MATCH(556,'Transfer Engine'!$C$2:$C$1369,0)))</f>
        <v/>
      </c>
      <c r="C565" s="8">
        <f>IF(ISNA(MATCH(556,'Transfer Engine'!$C$2:$C$1369,0)),"",INDEX('Compliance Database'!$C$2:$C$1369,MATCH(556,'Transfer Engine'!$C$2:$C$1369,0)))</f>
        <v/>
      </c>
      <c r="D565" s="9">
        <f>IF(ISNA(MATCH(556,'Transfer Engine'!$C$2:$C$1369,0)),"",INDEX('Compliance Database'!$D$2:$D$1369,MATCH(556,'Transfer Engine'!$C$2:$C$1369,0)))</f>
        <v/>
      </c>
      <c r="E565" s="8">
        <f>IF(ISNA(MATCH(556,'Transfer Engine'!$C$2:$C$1369,0)),"",INDEX('Compliance Database'!$E$2:$E$1369,MATCH(556,'Transfer Engine'!$C$2:$C$1369,0)))</f>
        <v/>
      </c>
      <c r="F565" s="8">
        <f>IF(ISNA(MATCH(556,'Transfer Engine'!$C$2:$C$1369,0)),"",INDEX('Compliance Database'!$F$2:$F$1369,MATCH(556,'Transfer Engine'!$C$2:$C$1369,0)))</f>
        <v/>
      </c>
      <c r="G565" s="8">
        <f>IF(ISNA(MATCH(556,'Transfer Engine'!$C$2:$C$1369,0)),"",INDEX('Compliance Database'!$G$2:$G$1369,MATCH(556,'Transfer Engine'!$C$2:$C$1369,0)))</f>
        <v/>
      </c>
      <c r="H565" s="9">
        <f>IF(ISNA(MATCH(556,'Transfer Engine'!$C$2:$C$1369,0)),"",INDEX('Compliance Database'!$H$2:$H$1369,MATCH(556,'Transfer Engine'!$C$2:$C$1369,0)))</f>
        <v/>
      </c>
      <c r="I565" s="9">
        <f>IF(ISNA(MATCH(556,'Transfer Engine'!$C$2:$C$1369,0)),"",INDEX('Compliance Database'!$I$2:$I$1369,MATCH(556,'Transfer Engine'!$C$2:$C$1369,0)))</f>
        <v/>
      </c>
      <c r="J565" s="8">
        <f>IF(ISNA(MATCH(556,'Transfer Engine'!$C$2:$C$1369,0)),"",INDEX('Compliance Database'!$J$2:$J$1369,MATCH(556,'Transfer Engine'!$C$2:$C$1369,0)))</f>
        <v/>
      </c>
      <c r="K565" s="9">
        <f>IF(ISNA(MATCH(556,'Transfer Engine'!$C$2:$C$1369,0)),"",INDEX('Compliance Database'!$K$2:$K$1369,MATCH(556,'Transfer Engine'!$C$2:$C$1369,0)))</f>
        <v/>
      </c>
      <c r="L565" s="9">
        <f>IF(ISNA(MATCH(556,'Transfer Engine'!$C$2:$C$1369,0)),"",INDEX('Compliance Database'!$L$2:$L$1369,MATCH(556,'Transfer Engine'!$C$2:$C$1369,0)))</f>
        <v/>
      </c>
      <c r="M565" s="9">
        <f>IF(ISNA(MATCH(556,'Transfer Engine'!$C$2:$C$1369,0)),"",INDEX('Compliance Database'!$M$2:$M$1369,MATCH(556,'Transfer Engine'!$C$2:$C$1369,0)))</f>
        <v/>
      </c>
      <c r="N565" s="9">
        <f>IF(ISNA(MATCH(556,'Transfer Engine'!$C$2:$C$1369,0)),"",INDEX('Compliance Database'!$N$2:$N$1369,MATCH(556,'Transfer Engine'!$C$2:$C$1369,0)))</f>
        <v/>
      </c>
      <c r="O565" s="8">
        <f>IF(ISNA(MATCH(556,'Transfer Engine'!$C$2:$C$1369,0)),"",HYPERLINK(INDEX('Compliance Database'!$O$2:$O$1369,MATCH(556,'Transfer Engine'!$C$2:$C$1369,0)),"Open PDF"))</f>
        <v/>
      </c>
    </row>
    <row r="566" ht="188" customHeight="1">
      <c r="A566" s="8">
        <f>IF(ISNA(MATCH(557,'Transfer Engine'!$C$2:$C$1369,0)),"",INDEX('Compliance Database'!$A$2:$A$1369,MATCH(557,'Transfer Engine'!$C$2:$C$1369,0)))</f>
        <v/>
      </c>
      <c r="B566" s="8">
        <f>IF(ISNA(MATCH(557,'Transfer Engine'!$C$2:$C$1369,0)),"",INDEX('Compliance Database'!$B$2:$B$1369,MATCH(557,'Transfer Engine'!$C$2:$C$1369,0)))</f>
        <v/>
      </c>
      <c r="C566" s="8">
        <f>IF(ISNA(MATCH(557,'Transfer Engine'!$C$2:$C$1369,0)),"",INDEX('Compliance Database'!$C$2:$C$1369,MATCH(557,'Transfer Engine'!$C$2:$C$1369,0)))</f>
        <v/>
      </c>
      <c r="D566" s="9">
        <f>IF(ISNA(MATCH(557,'Transfer Engine'!$C$2:$C$1369,0)),"",INDEX('Compliance Database'!$D$2:$D$1369,MATCH(557,'Transfer Engine'!$C$2:$C$1369,0)))</f>
        <v/>
      </c>
      <c r="E566" s="8">
        <f>IF(ISNA(MATCH(557,'Transfer Engine'!$C$2:$C$1369,0)),"",INDEX('Compliance Database'!$E$2:$E$1369,MATCH(557,'Transfer Engine'!$C$2:$C$1369,0)))</f>
        <v/>
      </c>
      <c r="F566" s="8">
        <f>IF(ISNA(MATCH(557,'Transfer Engine'!$C$2:$C$1369,0)),"",INDEX('Compliance Database'!$F$2:$F$1369,MATCH(557,'Transfer Engine'!$C$2:$C$1369,0)))</f>
        <v/>
      </c>
      <c r="G566" s="8">
        <f>IF(ISNA(MATCH(557,'Transfer Engine'!$C$2:$C$1369,0)),"",INDEX('Compliance Database'!$G$2:$G$1369,MATCH(557,'Transfer Engine'!$C$2:$C$1369,0)))</f>
        <v/>
      </c>
      <c r="H566" s="9">
        <f>IF(ISNA(MATCH(557,'Transfer Engine'!$C$2:$C$1369,0)),"",INDEX('Compliance Database'!$H$2:$H$1369,MATCH(557,'Transfer Engine'!$C$2:$C$1369,0)))</f>
        <v/>
      </c>
      <c r="I566" s="9">
        <f>IF(ISNA(MATCH(557,'Transfer Engine'!$C$2:$C$1369,0)),"",INDEX('Compliance Database'!$I$2:$I$1369,MATCH(557,'Transfer Engine'!$C$2:$C$1369,0)))</f>
        <v/>
      </c>
      <c r="J566" s="8">
        <f>IF(ISNA(MATCH(557,'Transfer Engine'!$C$2:$C$1369,0)),"",INDEX('Compliance Database'!$J$2:$J$1369,MATCH(557,'Transfer Engine'!$C$2:$C$1369,0)))</f>
        <v/>
      </c>
      <c r="K566" s="9">
        <f>IF(ISNA(MATCH(557,'Transfer Engine'!$C$2:$C$1369,0)),"",INDEX('Compliance Database'!$K$2:$K$1369,MATCH(557,'Transfer Engine'!$C$2:$C$1369,0)))</f>
        <v/>
      </c>
      <c r="L566" s="9">
        <f>IF(ISNA(MATCH(557,'Transfer Engine'!$C$2:$C$1369,0)),"",INDEX('Compliance Database'!$L$2:$L$1369,MATCH(557,'Transfer Engine'!$C$2:$C$1369,0)))</f>
        <v/>
      </c>
      <c r="M566" s="9">
        <f>IF(ISNA(MATCH(557,'Transfer Engine'!$C$2:$C$1369,0)),"",INDEX('Compliance Database'!$M$2:$M$1369,MATCH(557,'Transfer Engine'!$C$2:$C$1369,0)))</f>
        <v/>
      </c>
      <c r="N566" s="9">
        <f>IF(ISNA(MATCH(557,'Transfer Engine'!$C$2:$C$1369,0)),"",INDEX('Compliance Database'!$N$2:$N$1369,MATCH(557,'Transfer Engine'!$C$2:$C$1369,0)))</f>
        <v/>
      </c>
      <c r="O566" s="8">
        <f>IF(ISNA(MATCH(557,'Transfer Engine'!$C$2:$C$1369,0)),"",HYPERLINK(INDEX('Compliance Database'!$O$2:$O$1369,MATCH(557,'Transfer Engine'!$C$2:$C$1369,0)),"Open PDF"))</f>
        <v/>
      </c>
    </row>
    <row r="567" ht="188" customHeight="1">
      <c r="A567" s="8">
        <f>IF(ISNA(MATCH(558,'Transfer Engine'!$C$2:$C$1369,0)),"",INDEX('Compliance Database'!$A$2:$A$1369,MATCH(558,'Transfer Engine'!$C$2:$C$1369,0)))</f>
        <v/>
      </c>
      <c r="B567" s="8">
        <f>IF(ISNA(MATCH(558,'Transfer Engine'!$C$2:$C$1369,0)),"",INDEX('Compliance Database'!$B$2:$B$1369,MATCH(558,'Transfer Engine'!$C$2:$C$1369,0)))</f>
        <v/>
      </c>
      <c r="C567" s="8">
        <f>IF(ISNA(MATCH(558,'Transfer Engine'!$C$2:$C$1369,0)),"",INDEX('Compliance Database'!$C$2:$C$1369,MATCH(558,'Transfer Engine'!$C$2:$C$1369,0)))</f>
        <v/>
      </c>
      <c r="D567" s="9">
        <f>IF(ISNA(MATCH(558,'Transfer Engine'!$C$2:$C$1369,0)),"",INDEX('Compliance Database'!$D$2:$D$1369,MATCH(558,'Transfer Engine'!$C$2:$C$1369,0)))</f>
        <v/>
      </c>
      <c r="E567" s="8">
        <f>IF(ISNA(MATCH(558,'Transfer Engine'!$C$2:$C$1369,0)),"",INDEX('Compliance Database'!$E$2:$E$1369,MATCH(558,'Transfer Engine'!$C$2:$C$1369,0)))</f>
        <v/>
      </c>
      <c r="F567" s="8">
        <f>IF(ISNA(MATCH(558,'Transfer Engine'!$C$2:$C$1369,0)),"",INDEX('Compliance Database'!$F$2:$F$1369,MATCH(558,'Transfer Engine'!$C$2:$C$1369,0)))</f>
        <v/>
      </c>
      <c r="G567" s="8">
        <f>IF(ISNA(MATCH(558,'Transfer Engine'!$C$2:$C$1369,0)),"",INDEX('Compliance Database'!$G$2:$G$1369,MATCH(558,'Transfer Engine'!$C$2:$C$1369,0)))</f>
        <v/>
      </c>
      <c r="H567" s="9">
        <f>IF(ISNA(MATCH(558,'Transfer Engine'!$C$2:$C$1369,0)),"",INDEX('Compliance Database'!$H$2:$H$1369,MATCH(558,'Transfer Engine'!$C$2:$C$1369,0)))</f>
        <v/>
      </c>
      <c r="I567" s="9">
        <f>IF(ISNA(MATCH(558,'Transfer Engine'!$C$2:$C$1369,0)),"",INDEX('Compliance Database'!$I$2:$I$1369,MATCH(558,'Transfer Engine'!$C$2:$C$1369,0)))</f>
        <v/>
      </c>
      <c r="J567" s="8">
        <f>IF(ISNA(MATCH(558,'Transfer Engine'!$C$2:$C$1369,0)),"",INDEX('Compliance Database'!$J$2:$J$1369,MATCH(558,'Transfer Engine'!$C$2:$C$1369,0)))</f>
        <v/>
      </c>
      <c r="K567" s="9">
        <f>IF(ISNA(MATCH(558,'Transfer Engine'!$C$2:$C$1369,0)),"",INDEX('Compliance Database'!$K$2:$K$1369,MATCH(558,'Transfer Engine'!$C$2:$C$1369,0)))</f>
        <v/>
      </c>
      <c r="L567" s="9">
        <f>IF(ISNA(MATCH(558,'Transfer Engine'!$C$2:$C$1369,0)),"",INDEX('Compliance Database'!$L$2:$L$1369,MATCH(558,'Transfer Engine'!$C$2:$C$1369,0)))</f>
        <v/>
      </c>
      <c r="M567" s="9">
        <f>IF(ISNA(MATCH(558,'Transfer Engine'!$C$2:$C$1369,0)),"",INDEX('Compliance Database'!$M$2:$M$1369,MATCH(558,'Transfer Engine'!$C$2:$C$1369,0)))</f>
        <v/>
      </c>
      <c r="N567" s="9">
        <f>IF(ISNA(MATCH(558,'Transfer Engine'!$C$2:$C$1369,0)),"",INDEX('Compliance Database'!$N$2:$N$1369,MATCH(558,'Transfer Engine'!$C$2:$C$1369,0)))</f>
        <v/>
      </c>
      <c r="O567" s="8">
        <f>IF(ISNA(MATCH(558,'Transfer Engine'!$C$2:$C$1369,0)),"",HYPERLINK(INDEX('Compliance Database'!$O$2:$O$1369,MATCH(558,'Transfer Engine'!$C$2:$C$1369,0)),"Open PDF"))</f>
        <v/>
      </c>
    </row>
    <row r="568" ht="188" customHeight="1">
      <c r="A568" s="8">
        <f>IF(ISNA(MATCH(559,'Transfer Engine'!$C$2:$C$1369,0)),"",INDEX('Compliance Database'!$A$2:$A$1369,MATCH(559,'Transfer Engine'!$C$2:$C$1369,0)))</f>
        <v/>
      </c>
      <c r="B568" s="8">
        <f>IF(ISNA(MATCH(559,'Transfer Engine'!$C$2:$C$1369,0)),"",INDEX('Compliance Database'!$B$2:$B$1369,MATCH(559,'Transfer Engine'!$C$2:$C$1369,0)))</f>
        <v/>
      </c>
      <c r="C568" s="8">
        <f>IF(ISNA(MATCH(559,'Transfer Engine'!$C$2:$C$1369,0)),"",INDEX('Compliance Database'!$C$2:$C$1369,MATCH(559,'Transfer Engine'!$C$2:$C$1369,0)))</f>
        <v/>
      </c>
      <c r="D568" s="9">
        <f>IF(ISNA(MATCH(559,'Transfer Engine'!$C$2:$C$1369,0)),"",INDEX('Compliance Database'!$D$2:$D$1369,MATCH(559,'Transfer Engine'!$C$2:$C$1369,0)))</f>
        <v/>
      </c>
      <c r="E568" s="8">
        <f>IF(ISNA(MATCH(559,'Transfer Engine'!$C$2:$C$1369,0)),"",INDEX('Compliance Database'!$E$2:$E$1369,MATCH(559,'Transfer Engine'!$C$2:$C$1369,0)))</f>
        <v/>
      </c>
      <c r="F568" s="8">
        <f>IF(ISNA(MATCH(559,'Transfer Engine'!$C$2:$C$1369,0)),"",INDEX('Compliance Database'!$F$2:$F$1369,MATCH(559,'Transfer Engine'!$C$2:$C$1369,0)))</f>
        <v/>
      </c>
      <c r="G568" s="8">
        <f>IF(ISNA(MATCH(559,'Transfer Engine'!$C$2:$C$1369,0)),"",INDEX('Compliance Database'!$G$2:$G$1369,MATCH(559,'Transfer Engine'!$C$2:$C$1369,0)))</f>
        <v/>
      </c>
      <c r="H568" s="9">
        <f>IF(ISNA(MATCH(559,'Transfer Engine'!$C$2:$C$1369,0)),"",INDEX('Compliance Database'!$H$2:$H$1369,MATCH(559,'Transfer Engine'!$C$2:$C$1369,0)))</f>
        <v/>
      </c>
      <c r="I568" s="9">
        <f>IF(ISNA(MATCH(559,'Transfer Engine'!$C$2:$C$1369,0)),"",INDEX('Compliance Database'!$I$2:$I$1369,MATCH(559,'Transfer Engine'!$C$2:$C$1369,0)))</f>
        <v/>
      </c>
      <c r="J568" s="8">
        <f>IF(ISNA(MATCH(559,'Transfer Engine'!$C$2:$C$1369,0)),"",INDEX('Compliance Database'!$J$2:$J$1369,MATCH(559,'Transfer Engine'!$C$2:$C$1369,0)))</f>
        <v/>
      </c>
      <c r="K568" s="9">
        <f>IF(ISNA(MATCH(559,'Transfer Engine'!$C$2:$C$1369,0)),"",INDEX('Compliance Database'!$K$2:$K$1369,MATCH(559,'Transfer Engine'!$C$2:$C$1369,0)))</f>
        <v/>
      </c>
      <c r="L568" s="9">
        <f>IF(ISNA(MATCH(559,'Transfer Engine'!$C$2:$C$1369,0)),"",INDEX('Compliance Database'!$L$2:$L$1369,MATCH(559,'Transfer Engine'!$C$2:$C$1369,0)))</f>
        <v/>
      </c>
      <c r="M568" s="9">
        <f>IF(ISNA(MATCH(559,'Transfer Engine'!$C$2:$C$1369,0)),"",INDEX('Compliance Database'!$M$2:$M$1369,MATCH(559,'Transfer Engine'!$C$2:$C$1369,0)))</f>
        <v/>
      </c>
      <c r="N568" s="9">
        <f>IF(ISNA(MATCH(559,'Transfer Engine'!$C$2:$C$1369,0)),"",INDEX('Compliance Database'!$N$2:$N$1369,MATCH(559,'Transfer Engine'!$C$2:$C$1369,0)))</f>
        <v/>
      </c>
      <c r="O568" s="8">
        <f>IF(ISNA(MATCH(559,'Transfer Engine'!$C$2:$C$1369,0)),"",HYPERLINK(INDEX('Compliance Database'!$O$2:$O$1369,MATCH(559,'Transfer Engine'!$C$2:$C$1369,0)),"Open PDF"))</f>
        <v/>
      </c>
    </row>
    <row r="569" ht="188" customHeight="1">
      <c r="A569" s="8">
        <f>IF(ISNA(MATCH(560,'Transfer Engine'!$C$2:$C$1369,0)),"",INDEX('Compliance Database'!$A$2:$A$1369,MATCH(560,'Transfer Engine'!$C$2:$C$1369,0)))</f>
        <v/>
      </c>
      <c r="B569" s="8">
        <f>IF(ISNA(MATCH(560,'Transfer Engine'!$C$2:$C$1369,0)),"",INDEX('Compliance Database'!$B$2:$B$1369,MATCH(560,'Transfer Engine'!$C$2:$C$1369,0)))</f>
        <v/>
      </c>
      <c r="C569" s="8">
        <f>IF(ISNA(MATCH(560,'Transfer Engine'!$C$2:$C$1369,0)),"",INDEX('Compliance Database'!$C$2:$C$1369,MATCH(560,'Transfer Engine'!$C$2:$C$1369,0)))</f>
        <v/>
      </c>
      <c r="D569" s="9">
        <f>IF(ISNA(MATCH(560,'Transfer Engine'!$C$2:$C$1369,0)),"",INDEX('Compliance Database'!$D$2:$D$1369,MATCH(560,'Transfer Engine'!$C$2:$C$1369,0)))</f>
        <v/>
      </c>
      <c r="E569" s="8">
        <f>IF(ISNA(MATCH(560,'Transfer Engine'!$C$2:$C$1369,0)),"",INDEX('Compliance Database'!$E$2:$E$1369,MATCH(560,'Transfer Engine'!$C$2:$C$1369,0)))</f>
        <v/>
      </c>
      <c r="F569" s="8">
        <f>IF(ISNA(MATCH(560,'Transfer Engine'!$C$2:$C$1369,0)),"",INDEX('Compliance Database'!$F$2:$F$1369,MATCH(560,'Transfer Engine'!$C$2:$C$1369,0)))</f>
        <v/>
      </c>
      <c r="G569" s="8">
        <f>IF(ISNA(MATCH(560,'Transfer Engine'!$C$2:$C$1369,0)),"",INDEX('Compliance Database'!$G$2:$G$1369,MATCH(560,'Transfer Engine'!$C$2:$C$1369,0)))</f>
        <v/>
      </c>
      <c r="H569" s="9">
        <f>IF(ISNA(MATCH(560,'Transfer Engine'!$C$2:$C$1369,0)),"",INDEX('Compliance Database'!$H$2:$H$1369,MATCH(560,'Transfer Engine'!$C$2:$C$1369,0)))</f>
        <v/>
      </c>
      <c r="I569" s="9">
        <f>IF(ISNA(MATCH(560,'Transfer Engine'!$C$2:$C$1369,0)),"",INDEX('Compliance Database'!$I$2:$I$1369,MATCH(560,'Transfer Engine'!$C$2:$C$1369,0)))</f>
        <v/>
      </c>
      <c r="J569" s="8">
        <f>IF(ISNA(MATCH(560,'Transfer Engine'!$C$2:$C$1369,0)),"",INDEX('Compliance Database'!$J$2:$J$1369,MATCH(560,'Transfer Engine'!$C$2:$C$1369,0)))</f>
        <v/>
      </c>
      <c r="K569" s="9">
        <f>IF(ISNA(MATCH(560,'Transfer Engine'!$C$2:$C$1369,0)),"",INDEX('Compliance Database'!$K$2:$K$1369,MATCH(560,'Transfer Engine'!$C$2:$C$1369,0)))</f>
        <v/>
      </c>
      <c r="L569" s="9">
        <f>IF(ISNA(MATCH(560,'Transfer Engine'!$C$2:$C$1369,0)),"",INDEX('Compliance Database'!$L$2:$L$1369,MATCH(560,'Transfer Engine'!$C$2:$C$1369,0)))</f>
        <v/>
      </c>
      <c r="M569" s="9">
        <f>IF(ISNA(MATCH(560,'Transfer Engine'!$C$2:$C$1369,0)),"",INDEX('Compliance Database'!$M$2:$M$1369,MATCH(560,'Transfer Engine'!$C$2:$C$1369,0)))</f>
        <v/>
      </c>
      <c r="N569" s="9">
        <f>IF(ISNA(MATCH(560,'Transfer Engine'!$C$2:$C$1369,0)),"",INDEX('Compliance Database'!$N$2:$N$1369,MATCH(560,'Transfer Engine'!$C$2:$C$1369,0)))</f>
        <v/>
      </c>
      <c r="O569" s="8">
        <f>IF(ISNA(MATCH(560,'Transfer Engine'!$C$2:$C$1369,0)),"",HYPERLINK(INDEX('Compliance Database'!$O$2:$O$1369,MATCH(560,'Transfer Engine'!$C$2:$C$1369,0)),"Open PDF"))</f>
        <v/>
      </c>
    </row>
    <row r="570" ht="188" customHeight="1">
      <c r="A570" s="8">
        <f>IF(ISNA(MATCH(561,'Transfer Engine'!$C$2:$C$1369,0)),"",INDEX('Compliance Database'!$A$2:$A$1369,MATCH(561,'Transfer Engine'!$C$2:$C$1369,0)))</f>
        <v/>
      </c>
      <c r="B570" s="8">
        <f>IF(ISNA(MATCH(561,'Transfer Engine'!$C$2:$C$1369,0)),"",INDEX('Compliance Database'!$B$2:$B$1369,MATCH(561,'Transfer Engine'!$C$2:$C$1369,0)))</f>
        <v/>
      </c>
      <c r="C570" s="8">
        <f>IF(ISNA(MATCH(561,'Transfer Engine'!$C$2:$C$1369,0)),"",INDEX('Compliance Database'!$C$2:$C$1369,MATCH(561,'Transfer Engine'!$C$2:$C$1369,0)))</f>
        <v/>
      </c>
      <c r="D570" s="9">
        <f>IF(ISNA(MATCH(561,'Transfer Engine'!$C$2:$C$1369,0)),"",INDEX('Compliance Database'!$D$2:$D$1369,MATCH(561,'Transfer Engine'!$C$2:$C$1369,0)))</f>
        <v/>
      </c>
      <c r="E570" s="8">
        <f>IF(ISNA(MATCH(561,'Transfer Engine'!$C$2:$C$1369,0)),"",INDEX('Compliance Database'!$E$2:$E$1369,MATCH(561,'Transfer Engine'!$C$2:$C$1369,0)))</f>
        <v/>
      </c>
      <c r="F570" s="8">
        <f>IF(ISNA(MATCH(561,'Transfer Engine'!$C$2:$C$1369,0)),"",INDEX('Compliance Database'!$F$2:$F$1369,MATCH(561,'Transfer Engine'!$C$2:$C$1369,0)))</f>
        <v/>
      </c>
      <c r="G570" s="8">
        <f>IF(ISNA(MATCH(561,'Transfer Engine'!$C$2:$C$1369,0)),"",INDEX('Compliance Database'!$G$2:$G$1369,MATCH(561,'Transfer Engine'!$C$2:$C$1369,0)))</f>
        <v/>
      </c>
      <c r="H570" s="9">
        <f>IF(ISNA(MATCH(561,'Transfer Engine'!$C$2:$C$1369,0)),"",INDEX('Compliance Database'!$H$2:$H$1369,MATCH(561,'Transfer Engine'!$C$2:$C$1369,0)))</f>
        <v/>
      </c>
      <c r="I570" s="9">
        <f>IF(ISNA(MATCH(561,'Transfer Engine'!$C$2:$C$1369,0)),"",INDEX('Compliance Database'!$I$2:$I$1369,MATCH(561,'Transfer Engine'!$C$2:$C$1369,0)))</f>
        <v/>
      </c>
      <c r="J570" s="8">
        <f>IF(ISNA(MATCH(561,'Transfer Engine'!$C$2:$C$1369,0)),"",INDEX('Compliance Database'!$J$2:$J$1369,MATCH(561,'Transfer Engine'!$C$2:$C$1369,0)))</f>
        <v/>
      </c>
      <c r="K570" s="9">
        <f>IF(ISNA(MATCH(561,'Transfer Engine'!$C$2:$C$1369,0)),"",INDEX('Compliance Database'!$K$2:$K$1369,MATCH(561,'Transfer Engine'!$C$2:$C$1369,0)))</f>
        <v/>
      </c>
      <c r="L570" s="9">
        <f>IF(ISNA(MATCH(561,'Transfer Engine'!$C$2:$C$1369,0)),"",INDEX('Compliance Database'!$L$2:$L$1369,MATCH(561,'Transfer Engine'!$C$2:$C$1369,0)))</f>
        <v/>
      </c>
      <c r="M570" s="9">
        <f>IF(ISNA(MATCH(561,'Transfer Engine'!$C$2:$C$1369,0)),"",INDEX('Compliance Database'!$M$2:$M$1369,MATCH(561,'Transfer Engine'!$C$2:$C$1369,0)))</f>
        <v/>
      </c>
      <c r="N570" s="9">
        <f>IF(ISNA(MATCH(561,'Transfer Engine'!$C$2:$C$1369,0)),"",INDEX('Compliance Database'!$N$2:$N$1369,MATCH(561,'Transfer Engine'!$C$2:$C$1369,0)))</f>
        <v/>
      </c>
      <c r="O570" s="8">
        <f>IF(ISNA(MATCH(561,'Transfer Engine'!$C$2:$C$1369,0)),"",HYPERLINK(INDEX('Compliance Database'!$O$2:$O$1369,MATCH(561,'Transfer Engine'!$C$2:$C$1369,0)),"Open PDF"))</f>
        <v/>
      </c>
    </row>
    <row r="571" ht="188" customHeight="1">
      <c r="A571" s="8">
        <f>IF(ISNA(MATCH(562,'Transfer Engine'!$C$2:$C$1369,0)),"",INDEX('Compliance Database'!$A$2:$A$1369,MATCH(562,'Transfer Engine'!$C$2:$C$1369,0)))</f>
        <v/>
      </c>
      <c r="B571" s="8">
        <f>IF(ISNA(MATCH(562,'Transfer Engine'!$C$2:$C$1369,0)),"",INDEX('Compliance Database'!$B$2:$B$1369,MATCH(562,'Transfer Engine'!$C$2:$C$1369,0)))</f>
        <v/>
      </c>
      <c r="C571" s="8">
        <f>IF(ISNA(MATCH(562,'Transfer Engine'!$C$2:$C$1369,0)),"",INDEX('Compliance Database'!$C$2:$C$1369,MATCH(562,'Transfer Engine'!$C$2:$C$1369,0)))</f>
        <v/>
      </c>
      <c r="D571" s="9">
        <f>IF(ISNA(MATCH(562,'Transfer Engine'!$C$2:$C$1369,0)),"",INDEX('Compliance Database'!$D$2:$D$1369,MATCH(562,'Transfer Engine'!$C$2:$C$1369,0)))</f>
        <v/>
      </c>
      <c r="E571" s="8">
        <f>IF(ISNA(MATCH(562,'Transfer Engine'!$C$2:$C$1369,0)),"",INDEX('Compliance Database'!$E$2:$E$1369,MATCH(562,'Transfer Engine'!$C$2:$C$1369,0)))</f>
        <v/>
      </c>
      <c r="F571" s="8">
        <f>IF(ISNA(MATCH(562,'Transfer Engine'!$C$2:$C$1369,0)),"",INDEX('Compliance Database'!$F$2:$F$1369,MATCH(562,'Transfer Engine'!$C$2:$C$1369,0)))</f>
        <v/>
      </c>
      <c r="G571" s="8">
        <f>IF(ISNA(MATCH(562,'Transfer Engine'!$C$2:$C$1369,0)),"",INDEX('Compliance Database'!$G$2:$G$1369,MATCH(562,'Transfer Engine'!$C$2:$C$1369,0)))</f>
        <v/>
      </c>
      <c r="H571" s="9">
        <f>IF(ISNA(MATCH(562,'Transfer Engine'!$C$2:$C$1369,0)),"",INDEX('Compliance Database'!$H$2:$H$1369,MATCH(562,'Transfer Engine'!$C$2:$C$1369,0)))</f>
        <v/>
      </c>
      <c r="I571" s="9">
        <f>IF(ISNA(MATCH(562,'Transfer Engine'!$C$2:$C$1369,0)),"",INDEX('Compliance Database'!$I$2:$I$1369,MATCH(562,'Transfer Engine'!$C$2:$C$1369,0)))</f>
        <v/>
      </c>
      <c r="J571" s="8">
        <f>IF(ISNA(MATCH(562,'Transfer Engine'!$C$2:$C$1369,0)),"",INDEX('Compliance Database'!$J$2:$J$1369,MATCH(562,'Transfer Engine'!$C$2:$C$1369,0)))</f>
        <v/>
      </c>
      <c r="K571" s="9">
        <f>IF(ISNA(MATCH(562,'Transfer Engine'!$C$2:$C$1369,0)),"",INDEX('Compliance Database'!$K$2:$K$1369,MATCH(562,'Transfer Engine'!$C$2:$C$1369,0)))</f>
        <v/>
      </c>
      <c r="L571" s="9">
        <f>IF(ISNA(MATCH(562,'Transfer Engine'!$C$2:$C$1369,0)),"",INDEX('Compliance Database'!$L$2:$L$1369,MATCH(562,'Transfer Engine'!$C$2:$C$1369,0)))</f>
        <v/>
      </c>
      <c r="M571" s="9">
        <f>IF(ISNA(MATCH(562,'Transfer Engine'!$C$2:$C$1369,0)),"",INDEX('Compliance Database'!$M$2:$M$1369,MATCH(562,'Transfer Engine'!$C$2:$C$1369,0)))</f>
        <v/>
      </c>
      <c r="N571" s="9">
        <f>IF(ISNA(MATCH(562,'Transfer Engine'!$C$2:$C$1369,0)),"",INDEX('Compliance Database'!$N$2:$N$1369,MATCH(562,'Transfer Engine'!$C$2:$C$1369,0)))</f>
        <v/>
      </c>
      <c r="O571" s="8">
        <f>IF(ISNA(MATCH(562,'Transfer Engine'!$C$2:$C$1369,0)),"",HYPERLINK(INDEX('Compliance Database'!$O$2:$O$1369,MATCH(562,'Transfer Engine'!$C$2:$C$1369,0)),"Open PDF"))</f>
        <v/>
      </c>
    </row>
    <row r="572" ht="188" customHeight="1">
      <c r="A572" s="8">
        <f>IF(ISNA(MATCH(563,'Transfer Engine'!$C$2:$C$1369,0)),"",INDEX('Compliance Database'!$A$2:$A$1369,MATCH(563,'Transfer Engine'!$C$2:$C$1369,0)))</f>
        <v/>
      </c>
      <c r="B572" s="8">
        <f>IF(ISNA(MATCH(563,'Transfer Engine'!$C$2:$C$1369,0)),"",INDEX('Compliance Database'!$B$2:$B$1369,MATCH(563,'Transfer Engine'!$C$2:$C$1369,0)))</f>
        <v/>
      </c>
      <c r="C572" s="8">
        <f>IF(ISNA(MATCH(563,'Transfer Engine'!$C$2:$C$1369,0)),"",INDEX('Compliance Database'!$C$2:$C$1369,MATCH(563,'Transfer Engine'!$C$2:$C$1369,0)))</f>
        <v/>
      </c>
      <c r="D572" s="9">
        <f>IF(ISNA(MATCH(563,'Transfer Engine'!$C$2:$C$1369,0)),"",INDEX('Compliance Database'!$D$2:$D$1369,MATCH(563,'Transfer Engine'!$C$2:$C$1369,0)))</f>
        <v/>
      </c>
      <c r="E572" s="8">
        <f>IF(ISNA(MATCH(563,'Transfer Engine'!$C$2:$C$1369,0)),"",INDEX('Compliance Database'!$E$2:$E$1369,MATCH(563,'Transfer Engine'!$C$2:$C$1369,0)))</f>
        <v/>
      </c>
      <c r="F572" s="8">
        <f>IF(ISNA(MATCH(563,'Transfer Engine'!$C$2:$C$1369,0)),"",INDEX('Compliance Database'!$F$2:$F$1369,MATCH(563,'Transfer Engine'!$C$2:$C$1369,0)))</f>
        <v/>
      </c>
      <c r="G572" s="8">
        <f>IF(ISNA(MATCH(563,'Transfer Engine'!$C$2:$C$1369,0)),"",INDEX('Compliance Database'!$G$2:$G$1369,MATCH(563,'Transfer Engine'!$C$2:$C$1369,0)))</f>
        <v/>
      </c>
      <c r="H572" s="9">
        <f>IF(ISNA(MATCH(563,'Transfer Engine'!$C$2:$C$1369,0)),"",INDEX('Compliance Database'!$H$2:$H$1369,MATCH(563,'Transfer Engine'!$C$2:$C$1369,0)))</f>
        <v/>
      </c>
      <c r="I572" s="9">
        <f>IF(ISNA(MATCH(563,'Transfer Engine'!$C$2:$C$1369,0)),"",INDEX('Compliance Database'!$I$2:$I$1369,MATCH(563,'Transfer Engine'!$C$2:$C$1369,0)))</f>
        <v/>
      </c>
      <c r="J572" s="8">
        <f>IF(ISNA(MATCH(563,'Transfer Engine'!$C$2:$C$1369,0)),"",INDEX('Compliance Database'!$J$2:$J$1369,MATCH(563,'Transfer Engine'!$C$2:$C$1369,0)))</f>
        <v/>
      </c>
      <c r="K572" s="9">
        <f>IF(ISNA(MATCH(563,'Transfer Engine'!$C$2:$C$1369,0)),"",INDEX('Compliance Database'!$K$2:$K$1369,MATCH(563,'Transfer Engine'!$C$2:$C$1369,0)))</f>
        <v/>
      </c>
      <c r="L572" s="9">
        <f>IF(ISNA(MATCH(563,'Transfer Engine'!$C$2:$C$1369,0)),"",INDEX('Compliance Database'!$L$2:$L$1369,MATCH(563,'Transfer Engine'!$C$2:$C$1369,0)))</f>
        <v/>
      </c>
      <c r="M572" s="9">
        <f>IF(ISNA(MATCH(563,'Transfer Engine'!$C$2:$C$1369,0)),"",INDEX('Compliance Database'!$M$2:$M$1369,MATCH(563,'Transfer Engine'!$C$2:$C$1369,0)))</f>
        <v/>
      </c>
      <c r="N572" s="9">
        <f>IF(ISNA(MATCH(563,'Transfer Engine'!$C$2:$C$1369,0)),"",INDEX('Compliance Database'!$N$2:$N$1369,MATCH(563,'Transfer Engine'!$C$2:$C$1369,0)))</f>
        <v/>
      </c>
      <c r="O572" s="8">
        <f>IF(ISNA(MATCH(563,'Transfer Engine'!$C$2:$C$1369,0)),"",HYPERLINK(INDEX('Compliance Database'!$O$2:$O$1369,MATCH(563,'Transfer Engine'!$C$2:$C$1369,0)),"Open PDF"))</f>
        <v/>
      </c>
    </row>
    <row r="573" ht="188" customHeight="1">
      <c r="A573" s="8">
        <f>IF(ISNA(MATCH(564,'Transfer Engine'!$C$2:$C$1369,0)),"",INDEX('Compliance Database'!$A$2:$A$1369,MATCH(564,'Transfer Engine'!$C$2:$C$1369,0)))</f>
        <v/>
      </c>
      <c r="B573" s="8">
        <f>IF(ISNA(MATCH(564,'Transfer Engine'!$C$2:$C$1369,0)),"",INDEX('Compliance Database'!$B$2:$B$1369,MATCH(564,'Transfer Engine'!$C$2:$C$1369,0)))</f>
        <v/>
      </c>
      <c r="C573" s="8">
        <f>IF(ISNA(MATCH(564,'Transfer Engine'!$C$2:$C$1369,0)),"",INDEX('Compliance Database'!$C$2:$C$1369,MATCH(564,'Transfer Engine'!$C$2:$C$1369,0)))</f>
        <v/>
      </c>
      <c r="D573" s="9">
        <f>IF(ISNA(MATCH(564,'Transfer Engine'!$C$2:$C$1369,0)),"",INDEX('Compliance Database'!$D$2:$D$1369,MATCH(564,'Transfer Engine'!$C$2:$C$1369,0)))</f>
        <v/>
      </c>
      <c r="E573" s="8">
        <f>IF(ISNA(MATCH(564,'Transfer Engine'!$C$2:$C$1369,0)),"",INDEX('Compliance Database'!$E$2:$E$1369,MATCH(564,'Transfer Engine'!$C$2:$C$1369,0)))</f>
        <v/>
      </c>
      <c r="F573" s="8">
        <f>IF(ISNA(MATCH(564,'Transfer Engine'!$C$2:$C$1369,0)),"",INDEX('Compliance Database'!$F$2:$F$1369,MATCH(564,'Transfer Engine'!$C$2:$C$1369,0)))</f>
        <v/>
      </c>
      <c r="G573" s="8">
        <f>IF(ISNA(MATCH(564,'Transfer Engine'!$C$2:$C$1369,0)),"",INDEX('Compliance Database'!$G$2:$G$1369,MATCH(564,'Transfer Engine'!$C$2:$C$1369,0)))</f>
        <v/>
      </c>
      <c r="H573" s="9">
        <f>IF(ISNA(MATCH(564,'Transfer Engine'!$C$2:$C$1369,0)),"",INDEX('Compliance Database'!$H$2:$H$1369,MATCH(564,'Transfer Engine'!$C$2:$C$1369,0)))</f>
        <v/>
      </c>
      <c r="I573" s="9">
        <f>IF(ISNA(MATCH(564,'Transfer Engine'!$C$2:$C$1369,0)),"",INDEX('Compliance Database'!$I$2:$I$1369,MATCH(564,'Transfer Engine'!$C$2:$C$1369,0)))</f>
        <v/>
      </c>
      <c r="J573" s="8">
        <f>IF(ISNA(MATCH(564,'Transfer Engine'!$C$2:$C$1369,0)),"",INDEX('Compliance Database'!$J$2:$J$1369,MATCH(564,'Transfer Engine'!$C$2:$C$1369,0)))</f>
        <v/>
      </c>
      <c r="K573" s="9">
        <f>IF(ISNA(MATCH(564,'Transfer Engine'!$C$2:$C$1369,0)),"",INDEX('Compliance Database'!$K$2:$K$1369,MATCH(564,'Transfer Engine'!$C$2:$C$1369,0)))</f>
        <v/>
      </c>
      <c r="L573" s="9">
        <f>IF(ISNA(MATCH(564,'Transfer Engine'!$C$2:$C$1369,0)),"",INDEX('Compliance Database'!$L$2:$L$1369,MATCH(564,'Transfer Engine'!$C$2:$C$1369,0)))</f>
        <v/>
      </c>
      <c r="M573" s="9">
        <f>IF(ISNA(MATCH(564,'Transfer Engine'!$C$2:$C$1369,0)),"",INDEX('Compliance Database'!$M$2:$M$1369,MATCH(564,'Transfer Engine'!$C$2:$C$1369,0)))</f>
        <v/>
      </c>
      <c r="N573" s="9">
        <f>IF(ISNA(MATCH(564,'Transfer Engine'!$C$2:$C$1369,0)),"",INDEX('Compliance Database'!$N$2:$N$1369,MATCH(564,'Transfer Engine'!$C$2:$C$1369,0)))</f>
        <v/>
      </c>
      <c r="O573" s="8">
        <f>IF(ISNA(MATCH(564,'Transfer Engine'!$C$2:$C$1369,0)),"",HYPERLINK(INDEX('Compliance Database'!$O$2:$O$1369,MATCH(564,'Transfer Engine'!$C$2:$C$1369,0)),"Open PDF"))</f>
        <v/>
      </c>
    </row>
    <row r="574" ht="188" customHeight="1">
      <c r="A574" s="8">
        <f>IF(ISNA(MATCH(565,'Transfer Engine'!$C$2:$C$1369,0)),"",INDEX('Compliance Database'!$A$2:$A$1369,MATCH(565,'Transfer Engine'!$C$2:$C$1369,0)))</f>
        <v/>
      </c>
      <c r="B574" s="8">
        <f>IF(ISNA(MATCH(565,'Transfer Engine'!$C$2:$C$1369,0)),"",INDEX('Compliance Database'!$B$2:$B$1369,MATCH(565,'Transfer Engine'!$C$2:$C$1369,0)))</f>
        <v/>
      </c>
      <c r="C574" s="8">
        <f>IF(ISNA(MATCH(565,'Transfer Engine'!$C$2:$C$1369,0)),"",INDEX('Compliance Database'!$C$2:$C$1369,MATCH(565,'Transfer Engine'!$C$2:$C$1369,0)))</f>
        <v/>
      </c>
      <c r="D574" s="9">
        <f>IF(ISNA(MATCH(565,'Transfer Engine'!$C$2:$C$1369,0)),"",INDEX('Compliance Database'!$D$2:$D$1369,MATCH(565,'Transfer Engine'!$C$2:$C$1369,0)))</f>
        <v/>
      </c>
      <c r="E574" s="8">
        <f>IF(ISNA(MATCH(565,'Transfer Engine'!$C$2:$C$1369,0)),"",INDEX('Compliance Database'!$E$2:$E$1369,MATCH(565,'Transfer Engine'!$C$2:$C$1369,0)))</f>
        <v/>
      </c>
      <c r="F574" s="8">
        <f>IF(ISNA(MATCH(565,'Transfer Engine'!$C$2:$C$1369,0)),"",INDEX('Compliance Database'!$F$2:$F$1369,MATCH(565,'Transfer Engine'!$C$2:$C$1369,0)))</f>
        <v/>
      </c>
      <c r="G574" s="8">
        <f>IF(ISNA(MATCH(565,'Transfer Engine'!$C$2:$C$1369,0)),"",INDEX('Compliance Database'!$G$2:$G$1369,MATCH(565,'Transfer Engine'!$C$2:$C$1369,0)))</f>
        <v/>
      </c>
      <c r="H574" s="9">
        <f>IF(ISNA(MATCH(565,'Transfer Engine'!$C$2:$C$1369,0)),"",INDEX('Compliance Database'!$H$2:$H$1369,MATCH(565,'Transfer Engine'!$C$2:$C$1369,0)))</f>
        <v/>
      </c>
      <c r="I574" s="9">
        <f>IF(ISNA(MATCH(565,'Transfer Engine'!$C$2:$C$1369,0)),"",INDEX('Compliance Database'!$I$2:$I$1369,MATCH(565,'Transfer Engine'!$C$2:$C$1369,0)))</f>
        <v/>
      </c>
      <c r="J574" s="8">
        <f>IF(ISNA(MATCH(565,'Transfer Engine'!$C$2:$C$1369,0)),"",INDEX('Compliance Database'!$J$2:$J$1369,MATCH(565,'Transfer Engine'!$C$2:$C$1369,0)))</f>
        <v/>
      </c>
      <c r="K574" s="9">
        <f>IF(ISNA(MATCH(565,'Transfer Engine'!$C$2:$C$1369,0)),"",INDEX('Compliance Database'!$K$2:$K$1369,MATCH(565,'Transfer Engine'!$C$2:$C$1369,0)))</f>
        <v/>
      </c>
      <c r="L574" s="9">
        <f>IF(ISNA(MATCH(565,'Transfer Engine'!$C$2:$C$1369,0)),"",INDEX('Compliance Database'!$L$2:$L$1369,MATCH(565,'Transfer Engine'!$C$2:$C$1369,0)))</f>
        <v/>
      </c>
      <c r="M574" s="9">
        <f>IF(ISNA(MATCH(565,'Transfer Engine'!$C$2:$C$1369,0)),"",INDEX('Compliance Database'!$M$2:$M$1369,MATCH(565,'Transfer Engine'!$C$2:$C$1369,0)))</f>
        <v/>
      </c>
      <c r="N574" s="9">
        <f>IF(ISNA(MATCH(565,'Transfer Engine'!$C$2:$C$1369,0)),"",INDEX('Compliance Database'!$N$2:$N$1369,MATCH(565,'Transfer Engine'!$C$2:$C$1369,0)))</f>
        <v/>
      </c>
      <c r="O574" s="8">
        <f>IF(ISNA(MATCH(565,'Transfer Engine'!$C$2:$C$1369,0)),"",HYPERLINK(INDEX('Compliance Database'!$O$2:$O$1369,MATCH(565,'Transfer Engine'!$C$2:$C$1369,0)),"Open PDF"))</f>
        <v/>
      </c>
    </row>
    <row r="575" ht="188" customHeight="1">
      <c r="A575" s="8">
        <f>IF(ISNA(MATCH(566,'Transfer Engine'!$C$2:$C$1369,0)),"",INDEX('Compliance Database'!$A$2:$A$1369,MATCH(566,'Transfer Engine'!$C$2:$C$1369,0)))</f>
        <v/>
      </c>
      <c r="B575" s="8">
        <f>IF(ISNA(MATCH(566,'Transfer Engine'!$C$2:$C$1369,0)),"",INDEX('Compliance Database'!$B$2:$B$1369,MATCH(566,'Transfer Engine'!$C$2:$C$1369,0)))</f>
        <v/>
      </c>
      <c r="C575" s="8">
        <f>IF(ISNA(MATCH(566,'Transfer Engine'!$C$2:$C$1369,0)),"",INDEX('Compliance Database'!$C$2:$C$1369,MATCH(566,'Transfer Engine'!$C$2:$C$1369,0)))</f>
        <v/>
      </c>
      <c r="D575" s="9">
        <f>IF(ISNA(MATCH(566,'Transfer Engine'!$C$2:$C$1369,0)),"",INDEX('Compliance Database'!$D$2:$D$1369,MATCH(566,'Transfer Engine'!$C$2:$C$1369,0)))</f>
        <v/>
      </c>
      <c r="E575" s="8">
        <f>IF(ISNA(MATCH(566,'Transfer Engine'!$C$2:$C$1369,0)),"",INDEX('Compliance Database'!$E$2:$E$1369,MATCH(566,'Transfer Engine'!$C$2:$C$1369,0)))</f>
        <v/>
      </c>
      <c r="F575" s="8">
        <f>IF(ISNA(MATCH(566,'Transfer Engine'!$C$2:$C$1369,0)),"",INDEX('Compliance Database'!$F$2:$F$1369,MATCH(566,'Transfer Engine'!$C$2:$C$1369,0)))</f>
        <v/>
      </c>
      <c r="G575" s="8">
        <f>IF(ISNA(MATCH(566,'Transfer Engine'!$C$2:$C$1369,0)),"",INDEX('Compliance Database'!$G$2:$G$1369,MATCH(566,'Transfer Engine'!$C$2:$C$1369,0)))</f>
        <v/>
      </c>
      <c r="H575" s="9">
        <f>IF(ISNA(MATCH(566,'Transfer Engine'!$C$2:$C$1369,0)),"",INDEX('Compliance Database'!$H$2:$H$1369,MATCH(566,'Transfer Engine'!$C$2:$C$1369,0)))</f>
        <v/>
      </c>
      <c r="I575" s="9">
        <f>IF(ISNA(MATCH(566,'Transfer Engine'!$C$2:$C$1369,0)),"",INDEX('Compliance Database'!$I$2:$I$1369,MATCH(566,'Transfer Engine'!$C$2:$C$1369,0)))</f>
        <v/>
      </c>
      <c r="J575" s="8">
        <f>IF(ISNA(MATCH(566,'Transfer Engine'!$C$2:$C$1369,0)),"",INDEX('Compliance Database'!$J$2:$J$1369,MATCH(566,'Transfer Engine'!$C$2:$C$1369,0)))</f>
        <v/>
      </c>
      <c r="K575" s="9">
        <f>IF(ISNA(MATCH(566,'Transfer Engine'!$C$2:$C$1369,0)),"",INDEX('Compliance Database'!$K$2:$K$1369,MATCH(566,'Transfer Engine'!$C$2:$C$1369,0)))</f>
        <v/>
      </c>
      <c r="L575" s="9">
        <f>IF(ISNA(MATCH(566,'Transfer Engine'!$C$2:$C$1369,0)),"",INDEX('Compliance Database'!$L$2:$L$1369,MATCH(566,'Transfer Engine'!$C$2:$C$1369,0)))</f>
        <v/>
      </c>
      <c r="M575" s="9">
        <f>IF(ISNA(MATCH(566,'Transfer Engine'!$C$2:$C$1369,0)),"",INDEX('Compliance Database'!$M$2:$M$1369,MATCH(566,'Transfer Engine'!$C$2:$C$1369,0)))</f>
        <v/>
      </c>
      <c r="N575" s="9">
        <f>IF(ISNA(MATCH(566,'Transfer Engine'!$C$2:$C$1369,0)),"",INDEX('Compliance Database'!$N$2:$N$1369,MATCH(566,'Transfer Engine'!$C$2:$C$1369,0)))</f>
        <v/>
      </c>
      <c r="O575" s="8">
        <f>IF(ISNA(MATCH(566,'Transfer Engine'!$C$2:$C$1369,0)),"",HYPERLINK(INDEX('Compliance Database'!$O$2:$O$1369,MATCH(566,'Transfer Engine'!$C$2:$C$1369,0)),"Open PDF"))</f>
        <v/>
      </c>
    </row>
    <row r="576" ht="188" customHeight="1">
      <c r="A576" s="8">
        <f>IF(ISNA(MATCH(567,'Transfer Engine'!$C$2:$C$1369,0)),"",INDEX('Compliance Database'!$A$2:$A$1369,MATCH(567,'Transfer Engine'!$C$2:$C$1369,0)))</f>
        <v/>
      </c>
      <c r="B576" s="8">
        <f>IF(ISNA(MATCH(567,'Transfer Engine'!$C$2:$C$1369,0)),"",INDEX('Compliance Database'!$B$2:$B$1369,MATCH(567,'Transfer Engine'!$C$2:$C$1369,0)))</f>
        <v/>
      </c>
      <c r="C576" s="8">
        <f>IF(ISNA(MATCH(567,'Transfer Engine'!$C$2:$C$1369,0)),"",INDEX('Compliance Database'!$C$2:$C$1369,MATCH(567,'Transfer Engine'!$C$2:$C$1369,0)))</f>
        <v/>
      </c>
      <c r="D576" s="9">
        <f>IF(ISNA(MATCH(567,'Transfer Engine'!$C$2:$C$1369,0)),"",INDEX('Compliance Database'!$D$2:$D$1369,MATCH(567,'Transfer Engine'!$C$2:$C$1369,0)))</f>
        <v/>
      </c>
      <c r="E576" s="8">
        <f>IF(ISNA(MATCH(567,'Transfer Engine'!$C$2:$C$1369,0)),"",INDEX('Compliance Database'!$E$2:$E$1369,MATCH(567,'Transfer Engine'!$C$2:$C$1369,0)))</f>
        <v/>
      </c>
      <c r="F576" s="8">
        <f>IF(ISNA(MATCH(567,'Transfer Engine'!$C$2:$C$1369,0)),"",INDEX('Compliance Database'!$F$2:$F$1369,MATCH(567,'Transfer Engine'!$C$2:$C$1369,0)))</f>
        <v/>
      </c>
      <c r="G576" s="8">
        <f>IF(ISNA(MATCH(567,'Transfer Engine'!$C$2:$C$1369,0)),"",INDEX('Compliance Database'!$G$2:$G$1369,MATCH(567,'Transfer Engine'!$C$2:$C$1369,0)))</f>
        <v/>
      </c>
      <c r="H576" s="9">
        <f>IF(ISNA(MATCH(567,'Transfer Engine'!$C$2:$C$1369,0)),"",INDEX('Compliance Database'!$H$2:$H$1369,MATCH(567,'Transfer Engine'!$C$2:$C$1369,0)))</f>
        <v/>
      </c>
      <c r="I576" s="9">
        <f>IF(ISNA(MATCH(567,'Transfer Engine'!$C$2:$C$1369,0)),"",INDEX('Compliance Database'!$I$2:$I$1369,MATCH(567,'Transfer Engine'!$C$2:$C$1369,0)))</f>
        <v/>
      </c>
      <c r="J576" s="8">
        <f>IF(ISNA(MATCH(567,'Transfer Engine'!$C$2:$C$1369,0)),"",INDEX('Compliance Database'!$J$2:$J$1369,MATCH(567,'Transfer Engine'!$C$2:$C$1369,0)))</f>
        <v/>
      </c>
      <c r="K576" s="9">
        <f>IF(ISNA(MATCH(567,'Transfer Engine'!$C$2:$C$1369,0)),"",INDEX('Compliance Database'!$K$2:$K$1369,MATCH(567,'Transfer Engine'!$C$2:$C$1369,0)))</f>
        <v/>
      </c>
      <c r="L576" s="9">
        <f>IF(ISNA(MATCH(567,'Transfer Engine'!$C$2:$C$1369,0)),"",INDEX('Compliance Database'!$L$2:$L$1369,MATCH(567,'Transfer Engine'!$C$2:$C$1369,0)))</f>
        <v/>
      </c>
      <c r="M576" s="9">
        <f>IF(ISNA(MATCH(567,'Transfer Engine'!$C$2:$C$1369,0)),"",INDEX('Compliance Database'!$M$2:$M$1369,MATCH(567,'Transfer Engine'!$C$2:$C$1369,0)))</f>
        <v/>
      </c>
      <c r="N576" s="9">
        <f>IF(ISNA(MATCH(567,'Transfer Engine'!$C$2:$C$1369,0)),"",INDEX('Compliance Database'!$N$2:$N$1369,MATCH(567,'Transfer Engine'!$C$2:$C$1369,0)))</f>
        <v/>
      </c>
      <c r="O576" s="8">
        <f>IF(ISNA(MATCH(567,'Transfer Engine'!$C$2:$C$1369,0)),"",HYPERLINK(INDEX('Compliance Database'!$O$2:$O$1369,MATCH(567,'Transfer Engine'!$C$2:$C$1369,0)),"Open PDF"))</f>
        <v/>
      </c>
    </row>
    <row r="577" ht="188" customHeight="1">
      <c r="A577" s="8">
        <f>IF(ISNA(MATCH(568,'Transfer Engine'!$C$2:$C$1369,0)),"",INDEX('Compliance Database'!$A$2:$A$1369,MATCH(568,'Transfer Engine'!$C$2:$C$1369,0)))</f>
        <v/>
      </c>
      <c r="B577" s="8">
        <f>IF(ISNA(MATCH(568,'Transfer Engine'!$C$2:$C$1369,0)),"",INDEX('Compliance Database'!$B$2:$B$1369,MATCH(568,'Transfer Engine'!$C$2:$C$1369,0)))</f>
        <v/>
      </c>
      <c r="C577" s="8">
        <f>IF(ISNA(MATCH(568,'Transfer Engine'!$C$2:$C$1369,0)),"",INDEX('Compliance Database'!$C$2:$C$1369,MATCH(568,'Transfer Engine'!$C$2:$C$1369,0)))</f>
        <v/>
      </c>
      <c r="D577" s="9">
        <f>IF(ISNA(MATCH(568,'Transfer Engine'!$C$2:$C$1369,0)),"",INDEX('Compliance Database'!$D$2:$D$1369,MATCH(568,'Transfer Engine'!$C$2:$C$1369,0)))</f>
        <v/>
      </c>
      <c r="E577" s="8">
        <f>IF(ISNA(MATCH(568,'Transfer Engine'!$C$2:$C$1369,0)),"",INDEX('Compliance Database'!$E$2:$E$1369,MATCH(568,'Transfer Engine'!$C$2:$C$1369,0)))</f>
        <v/>
      </c>
      <c r="F577" s="8">
        <f>IF(ISNA(MATCH(568,'Transfer Engine'!$C$2:$C$1369,0)),"",INDEX('Compliance Database'!$F$2:$F$1369,MATCH(568,'Transfer Engine'!$C$2:$C$1369,0)))</f>
        <v/>
      </c>
      <c r="G577" s="8">
        <f>IF(ISNA(MATCH(568,'Transfer Engine'!$C$2:$C$1369,0)),"",INDEX('Compliance Database'!$G$2:$G$1369,MATCH(568,'Transfer Engine'!$C$2:$C$1369,0)))</f>
        <v/>
      </c>
      <c r="H577" s="9">
        <f>IF(ISNA(MATCH(568,'Transfer Engine'!$C$2:$C$1369,0)),"",INDEX('Compliance Database'!$H$2:$H$1369,MATCH(568,'Transfer Engine'!$C$2:$C$1369,0)))</f>
        <v/>
      </c>
      <c r="I577" s="9">
        <f>IF(ISNA(MATCH(568,'Transfer Engine'!$C$2:$C$1369,0)),"",INDEX('Compliance Database'!$I$2:$I$1369,MATCH(568,'Transfer Engine'!$C$2:$C$1369,0)))</f>
        <v/>
      </c>
      <c r="J577" s="8">
        <f>IF(ISNA(MATCH(568,'Transfer Engine'!$C$2:$C$1369,0)),"",INDEX('Compliance Database'!$J$2:$J$1369,MATCH(568,'Transfer Engine'!$C$2:$C$1369,0)))</f>
        <v/>
      </c>
      <c r="K577" s="9">
        <f>IF(ISNA(MATCH(568,'Transfer Engine'!$C$2:$C$1369,0)),"",INDEX('Compliance Database'!$K$2:$K$1369,MATCH(568,'Transfer Engine'!$C$2:$C$1369,0)))</f>
        <v/>
      </c>
      <c r="L577" s="9">
        <f>IF(ISNA(MATCH(568,'Transfer Engine'!$C$2:$C$1369,0)),"",INDEX('Compliance Database'!$L$2:$L$1369,MATCH(568,'Transfer Engine'!$C$2:$C$1369,0)))</f>
        <v/>
      </c>
      <c r="M577" s="9">
        <f>IF(ISNA(MATCH(568,'Transfer Engine'!$C$2:$C$1369,0)),"",INDEX('Compliance Database'!$M$2:$M$1369,MATCH(568,'Transfer Engine'!$C$2:$C$1369,0)))</f>
        <v/>
      </c>
      <c r="N577" s="9">
        <f>IF(ISNA(MATCH(568,'Transfer Engine'!$C$2:$C$1369,0)),"",INDEX('Compliance Database'!$N$2:$N$1369,MATCH(568,'Transfer Engine'!$C$2:$C$1369,0)))</f>
        <v/>
      </c>
      <c r="O577" s="8">
        <f>IF(ISNA(MATCH(568,'Transfer Engine'!$C$2:$C$1369,0)),"",HYPERLINK(INDEX('Compliance Database'!$O$2:$O$1369,MATCH(568,'Transfer Engine'!$C$2:$C$1369,0)),"Open PDF"))</f>
        <v/>
      </c>
    </row>
    <row r="578" ht="188" customHeight="1">
      <c r="A578" s="8">
        <f>IF(ISNA(MATCH(569,'Transfer Engine'!$C$2:$C$1369,0)),"",INDEX('Compliance Database'!$A$2:$A$1369,MATCH(569,'Transfer Engine'!$C$2:$C$1369,0)))</f>
        <v/>
      </c>
      <c r="B578" s="8">
        <f>IF(ISNA(MATCH(569,'Transfer Engine'!$C$2:$C$1369,0)),"",INDEX('Compliance Database'!$B$2:$B$1369,MATCH(569,'Transfer Engine'!$C$2:$C$1369,0)))</f>
        <v/>
      </c>
      <c r="C578" s="8">
        <f>IF(ISNA(MATCH(569,'Transfer Engine'!$C$2:$C$1369,0)),"",INDEX('Compliance Database'!$C$2:$C$1369,MATCH(569,'Transfer Engine'!$C$2:$C$1369,0)))</f>
        <v/>
      </c>
      <c r="D578" s="9">
        <f>IF(ISNA(MATCH(569,'Transfer Engine'!$C$2:$C$1369,0)),"",INDEX('Compliance Database'!$D$2:$D$1369,MATCH(569,'Transfer Engine'!$C$2:$C$1369,0)))</f>
        <v/>
      </c>
      <c r="E578" s="8">
        <f>IF(ISNA(MATCH(569,'Transfer Engine'!$C$2:$C$1369,0)),"",INDEX('Compliance Database'!$E$2:$E$1369,MATCH(569,'Transfer Engine'!$C$2:$C$1369,0)))</f>
        <v/>
      </c>
      <c r="F578" s="8">
        <f>IF(ISNA(MATCH(569,'Transfer Engine'!$C$2:$C$1369,0)),"",INDEX('Compliance Database'!$F$2:$F$1369,MATCH(569,'Transfer Engine'!$C$2:$C$1369,0)))</f>
        <v/>
      </c>
      <c r="G578" s="8">
        <f>IF(ISNA(MATCH(569,'Transfer Engine'!$C$2:$C$1369,0)),"",INDEX('Compliance Database'!$G$2:$G$1369,MATCH(569,'Transfer Engine'!$C$2:$C$1369,0)))</f>
        <v/>
      </c>
      <c r="H578" s="9">
        <f>IF(ISNA(MATCH(569,'Transfer Engine'!$C$2:$C$1369,0)),"",INDEX('Compliance Database'!$H$2:$H$1369,MATCH(569,'Transfer Engine'!$C$2:$C$1369,0)))</f>
        <v/>
      </c>
      <c r="I578" s="9">
        <f>IF(ISNA(MATCH(569,'Transfer Engine'!$C$2:$C$1369,0)),"",INDEX('Compliance Database'!$I$2:$I$1369,MATCH(569,'Transfer Engine'!$C$2:$C$1369,0)))</f>
        <v/>
      </c>
      <c r="J578" s="8">
        <f>IF(ISNA(MATCH(569,'Transfer Engine'!$C$2:$C$1369,0)),"",INDEX('Compliance Database'!$J$2:$J$1369,MATCH(569,'Transfer Engine'!$C$2:$C$1369,0)))</f>
        <v/>
      </c>
      <c r="K578" s="9">
        <f>IF(ISNA(MATCH(569,'Transfer Engine'!$C$2:$C$1369,0)),"",INDEX('Compliance Database'!$K$2:$K$1369,MATCH(569,'Transfer Engine'!$C$2:$C$1369,0)))</f>
        <v/>
      </c>
      <c r="L578" s="9">
        <f>IF(ISNA(MATCH(569,'Transfer Engine'!$C$2:$C$1369,0)),"",INDEX('Compliance Database'!$L$2:$L$1369,MATCH(569,'Transfer Engine'!$C$2:$C$1369,0)))</f>
        <v/>
      </c>
      <c r="M578" s="9">
        <f>IF(ISNA(MATCH(569,'Transfer Engine'!$C$2:$C$1369,0)),"",INDEX('Compliance Database'!$M$2:$M$1369,MATCH(569,'Transfer Engine'!$C$2:$C$1369,0)))</f>
        <v/>
      </c>
      <c r="N578" s="9">
        <f>IF(ISNA(MATCH(569,'Transfer Engine'!$C$2:$C$1369,0)),"",INDEX('Compliance Database'!$N$2:$N$1369,MATCH(569,'Transfer Engine'!$C$2:$C$1369,0)))</f>
        <v/>
      </c>
      <c r="O578" s="8">
        <f>IF(ISNA(MATCH(569,'Transfer Engine'!$C$2:$C$1369,0)),"",HYPERLINK(INDEX('Compliance Database'!$O$2:$O$1369,MATCH(569,'Transfer Engine'!$C$2:$C$1369,0)),"Open PDF"))</f>
        <v/>
      </c>
    </row>
    <row r="579" ht="188" customHeight="1">
      <c r="A579" s="8">
        <f>IF(ISNA(MATCH(570,'Transfer Engine'!$C$2:$C$1369,0)),"",INDEX('Compliance Database'!$A$2:$A$1369,MATCH(570,'Transfer Engine'!$C$2:$C$1369,0)))</f>
        <v/>
      </c>
      <c r="B579" s="8">
        <f>IF(ISNA(MATCH(570,'Transfer Engine'!$C$2:$C$1369,0)),"",INDEX('Compliance Database'!$B$2:$B$1369,MATCH(570,'Transfer Engine'!$C$2:$C$1369,0)))</f>
        <v/>
      </c>
      <c r="C579" s="8">
        <f>IF(ISNA(MATCH(570,'Transfer Engine'!$C$2:$C$1369,0)),"",INDEX('Compliance Database'!$C$2:$C$1369,MATCH(570,'Transfer Engine'!$C$2:$C$1369,0)))</f>
        <v/>
      </c>
      <c r="D579" s="9">
        <f>IF(ISNA(MATCH(570,'Transfer Engine'!$C$2:$C$1369,0)),"",INDEX('Compliance Database'!$D$2:$D$1369,MATCH(570,'Transfer Engine'!$C$2:$C$1369,0)))</f>
        <v/>
      </c>
      <c r="E579" s="8">
        <f>IF(ISNA(MATCH(570,'Transfer Engine'!$C$2:$C$1369,0)),"",INDEX('Compliance Database'!$E$2:$E$1369,MATCH(570,'Transfer Engine'!$C$2:$C$1369,0)))</f>
        <v/>
      </c>
      <c r="F579" s="8">
        <f>IF(ISNA(MATCH(570,'Transfer Engine'!$C$2:$C$1369,0)),"",INDEX('Compliance Database'!$F$2:$F$1369,MATCH(570,'Transfer Engine'!$C$2:$C$1369,0)))</f>
        <v/>
      </c>
      <c r="G579" s="8">
        <f>IF(ISNA(MATCH(570,'Transfer Engine'!$C$2:$C$1369,0)),"",INDEX('Compliance Database'!$G$2:$G$1369,MATCH(570,'Transfer Engine'!$C$2:$C$1369,0)))</f>
        <v/>
      </c>
      <c r="H579" s="9">
        <f>IF(ISNA(MATCH(570,'Transfer Engine'!$C$2:$C$1369,0)),"",INDEX('Compliance Database'!$H$2:$H$1369,MATCH(570,'Transfer Engine'!$C$2:$C$1369,0)))</f>
        <v/>
      </c>
      <c r="I579" s="9">
        <f>IF(ISNA(MATCH(570,'Transfer Engine'!$C$2:$C$1369,0)),"",INDEX('Compliance Database'!$I$2:$I$1369,MATCH(570,'Transfer Engine'!$C$2:$C$1369,0)))</f>
        <v/>
      </c>
      <c r="J579" s="8">
        <f>IF(ISNA(MATCH(570,'Transfer Engine'!$C$2:$C$1369,0)),"",INDEX('Compliance Database'!$J$2:$J$1369,MATCH(570,'Transfer Engine'!$C$2:$C$1369,0)))</f>
        <v/>
      </c>
      <c r="K579" s="9">
        <f>IF(ISNA(MATCH(570,'Transfer Engine'!$C$2:$C$1369,0)),"",INDEX('Compliance Database'!$K$2:$K$1369,MATCH(570,'Transfer Engine'!$C$2:$C$1369,0)))</f>
        <v/>
      </c>
      <c r="L579" s="9">
        <f>IF(ISNA(MATCH(570,'Transfer Engine'!$C$2:$C$1369,0)),"",INDEX('Compliance Database'!$L$2:$L$1369,MATCH(570,'Transfer Engine'!$C$2:$C$1369,0)))</f>
        <v/>
      </c>
      <c r="M579" s="9">
        <f>IF(ISNA(MATCH(570,'Transfer Engine'!$C$2:$C$1369,0)),"",INDEX('Compliance Database'!$M$2:$M$1369,MATCH(570,'Transfer Engine'!$C$2:$C$1369,0)))</f>
        <v/>
      </c>
      <c r="N579" s="9">
        <f>IF(ISNA(MATCH(570,'Transfer Engine'!$C$2:$C$1369,0)),"",INDEX('Compliance Database'!$N$2:$N$1369,MATCH(570,'Transfer Engine'!$C$2:$C$1369,0)))</f>
        <v/>
      </c>
      <c r="O579" s="8">
        <f>IF(ISNA(MATCH(570,'Transfer Engine'!$C$2:$C$1369,0)),"",HYPERLINK(INDEX('Compliance Database'!$O$2:$O$1369,MATCH(570,'Transfer Engine'!$C$2:$C$1369,0)),"Open PDF"))</f>
        <v/>
      </c>
    </row>
    <row r="580" ht="188" customHeight="1">
      <c r="A580" s="8">
        <f>IF(ISNA(MATCH(571,'Transfer Engine'!$C$2:$C$1369,0)),"",INDEX('Compliance Database'!$A$2:$A$1369,MATCH(571,'Transfer Engine'!$C$2:$C$1369,0)))</f>
        <v/>
      </c>
      <c r="B580" s="8">
        <f>IF(ISNA(MATCH(571,'Transfer Engine'!$C$2:$C$1369,0)),"",INDEX('Compliance Database'!$B$2:$B$1369,MATCH(571,'Transfer Engine'!$C$2:$C$1369,0)))</f>
        <v/>
      </c>
      <c r="C580" s="8">
        <f>IF(ISNA(MATCH(571,'Transfer Engine'!$C$2:$C$1369,0)),"",INDEX('Compliance Database'!$C$2:$C$1369,MATCH(571,'Transfer Engine'!$C$2:$C$1369,0)))</f>
        <v/>
      </c>
      <c r="D580" s="9">
        <f>IF(ISNA(MATCH(571,'Transfer Engine'!$C$2:$C$1369,0)),"",INDEX('Compliance Database'!$D$2:$D$1369,MATCH(571,'Transfer Engine'!$C$2:$C$1369,0)))</f>
        <v/>
      </c>
      <c r="E580" s="8">
        <f>IF(ISNA(MATCH(571,'Transfer Engine'!$C$2:$C$1369,0)),"",INDEX('Compliance Database'!$E$2:$E$1369,MATCH(571,'Transfer Engine'!$C$2:$C$1369,0)))</f>
        <v/>
      </c>
      <c r="F580" s="8">
        <f>IF(ISNA(MATCH(571,'Transfer Engine'!$C$2:$C$1369,0)),"",INDEX('Compliance Database'!$F$2:$F$1369,MATCH(571,'Transfer Engine'!$C$2:$C$1369,0)))</f>
        <v/>
      </c>
      <c r="G580" s="8">
        <f>IF(ISNA(MATCH(571,'Transfer Engine'!$C$2:$C$1369,0)),"",INDEX('Compliance Database'!$G$2:$G$1369,MATCH(571,'Transfer Engine'!$C$2:$C$1369,0)))</f>
        <v/>
      </c>
      <c r="H580" s="9">
        <f>IF(ISNA(MATCH(571,'Transfer Engine'!$C$2:$C$1369,0)),"",INDEX('Compliance Database'!$H$2:$H$1369,MATCH(571,'Transfer Engine'!$C$2:$C$1369,0)))</f>
        <v/>
      </c>
      <c r="I580" s="9">
        <f>IF(ISNA(MATCH(571,'Transfer Engine'!$C$2:$C$1369,0)),"",INDEX('Compliance Database'!$I$2:$I$1369,MATCH(571,'Transfer Engine'!$C$2:$C$1369,0)))</f>
        <v/>
      </c>
      <c r="J580" s="8">
        <f>IF(ISNA(MATCH(571,'Transfer Engine'!$C$2:$C$1369,0)),"",INDEX('Compliance Database'!$J$2:$J$1369,MATCH(571,'Transfer Engine'!$C$2:$C$1369,0)))</f>
        <v/>
      </c>
      <c r="K580" s="9">
        <f>IF(ISNA(MATCH(571,'Transfer Engine'!$C$2:$C$1369,0)),"",INDEX('Compliance Database'!$K$2:$K$1369,MATCH(571,'Transfer Engine'!$C$2:$C$1369,0)))</f>
        <v/>
      </c>
      <c r="L580" s="9">
        <f>IF(ISNA(MATCH(571,'Transfer Engine'!$C$2:$C$1369,0)),"",INDEX('Compliance Database'!$L$2:$L$1369,MATCH(571,'Transfer Engine'!$C$2:$C$1369,0)))</f>
        <v/>
      </c>
      <c r="M580" s="9">
        <f>IF(ISNA(MATCH(571,'Transfer Engine'!$C$2:$C$1369,0)),"",INDEX('Compliance Database'!$M$2:$M$1369,MATCH(571,'Transfer Engine'!$C$2:$C$1369,0)))</f>
        <v/>
      </c>
      <c r="N580" s="9">
        <f>IF(ISNA(MATCH(571,'Transfer Engine'!$C$2:$C$1369,0)),"",INDEX('Compliance Database'!$N$2:$N$1369,MATCH(571,'Transfer Engine'!$C$2:$C$1369,0)))</f>
        <v/>
      </c>
      <c r="O580" s="8">
        <f>IF(ISNA(MATCH(571,'Transfer Engine'!$C$2:$C$1369,0)),"",HYPERLINK(INDEX('Compliance Database'!$O$2:$O$1369,MATCH(571,'Transfer Engine'!$C$2:$C$1369,0)),"Open PDF"))</f>
        <v/>
      </c>
    </row>
    <row r="581" ht="188" customHeight="1">
      <c r="A581" s="8">
        <f>IF(ISNA(MATCH(572,'Transfer Engine'!$C$2:$C$1369,0)),"",INDEX('Compliance Database'!$A$2:$A$1369,MATCH(572,'Transfer Engine'!$C$2:$C$1369,0)))</f>
        <v/>
      </c>
      <c r="B581" s="8">
        <f>IF(ISNA(MATCH(572,'Transfer Engine'!$C$2:$C$1369,0)),"",INDEX('Compliance Database'!$B$2:$B$1369,MATCH(572,'Transfer Engine'!$C$2:$C$1369,0)))</f>
        <v/>
      </c>
      <c r="C581" s="8">
        <f>IF(ISNA(MATCH(572,'Transfer Engine'!$C$2:$C$1369,0)),"",INDEX('Compliance Database'!$C$2:$C$1369,MATCH(572,'Transfer Engine'!$C$2:$C$1369,0)))</f>
        <v/>
      </c>
      <c r="D581" s="9">
        <f>IF(ISNA(MATCH(572,'Transfer Engine'!$C$2:$C$1369,0)),"",INDEX('Compliance Database'!$D$2:$D$1369,MATCH(572,'Transfer Engine'!$C$2:$C$1369,0)))</f>
        <v/>
      </c>
      <c r="E581" s="8">
        <f>IF(ISNA(MATCH(572,'Transfer Engine'!$C$2:$C$1369,0)),"",INDEX('Compliance Database'!$E$2:$E$1369,MATCH(572,'Transfer Engine'!$C$2:$C$1369,0)))</f>
        <v/>
      </c>
      <c r="F581" s="8">
        <f>IF(ISNA(MATCH(572,'Transfer Engine'!$C$2:$C$1369,0)),"",INDEX('Compliance Database'!$F$2:$F$1369,MATCH(572,'Transfer Engine'!$C$2:$C$1369,0)))</f>
        <v/>
      </c>
      <c r="G581" s="8">
        <f>IF(ISNA(MATCH(572,'Transfer Engine'!$C$2:$C$1369,0)),"",INDEX('Compliance Database'!$G$2:$G$1369,MATCH(572,'Transfer Engine'!$C$2:$C$1369,0)))</f>
        <v/>
      </c>
      <c r="H581" s="9">
        <f>IF(ISNA(MATCH(572,'Transfer Engine'!$C$2:$C$1369,0)),"",INDEX('Compliance Database'!$H$2:$H$1369,MATCH(572,'Transfer Engine'!$C$2:$C$1369,0)))</f>
        <v/>
      </c>
      <c r="I581" s="9">
        <f>IF(ISNA(MATCH(572,'Transfer Engine'!$C$2:$C$1369,0)),"",INDEX('Compliance Database'!$I$2:$I$1369,MATCH(572,'Transfer Engine'!$C$2:$C$1369,0)))</f>
        <v/>
      </c>
      <c r="J581" s="8">
        <f>IF(ISNA(MATCH(572,'Transfer Engine'!$C$2:$C$1369,0)),"",INDEX('Compliance Database'!$J$2:$J$1369,MATCH(572,'Transfer Engine'!$C$2:$C$1369,0)))</f>
        <v/>
      </c>
      <c r="K581" s="9">
        <f>IF(ISNA(MATCH(572,'Transfer Engine'!$C$2:$C$1369,0)),"",INDEX('Compliance Database'!$K$2:$K$1369,MATCH(572,'Transfer Engine'!$C$2:$C$1369,0)))</f>
        <v/>
      </c>
      <c r="L581" s="9">
        <f>IF(ISNA(MATCH(572,'Transfer Engine'!$C$2:$C$1369,0)),"",INDEX('Compliance Database'!$L$2:$L$1369,MATCH(572,'Transfer Engine'!$C$2:$C$1369,0)))</f>
        <v/>
      </c>
      <c r="M581" s="9">
        <f>IF(ISNA(MATCH(572,'Transfer Engine'!$C$2:$C$1369,0)),"",INDEX('Compliance Database'!$M$2:$M$1369,MATCH(572,'Transfer Engine'!$C$2:$C$1369,0)))</f>
        <v/>
      </c>
      <c r="N581" s="9">
        <f>IF(ISNA(MATCH(572,'Transfer Engine'!$C$2:$C$1369,0)),"",INDEX('Compliance Database'!$N$2:$N$1369,MATCH(572,'Transfer Engine'!$C$2:$C$1369,0)))</f>
        <v/>
      </c>
      <c r="O581" s="8">
        <f>IF(ISNA(MATCH(572,'Transfer Engine'!$C$2:$C$1369,0)),"",HYPERLINK(INDEX('Compliance Database'!$O$2:$O$1369,MATCH(572,'Transfer Engine'!$C$2:$C$1369,0)),"Open PDF"))</f>
        <v/>
      </c>
    </row>
    <row r="582" ht="188" customHeight="1">
      <c r="A582" s="8">
        <f>IF(ISNA(MATCH(573,'Transfer Engine'!$C$2:$C$1369,0)),"",INDEX('Compliance Database'!$A$2:$A$1369,MATCH(573,'Transfer Engine'!$C$2:$C$1369,0)))</f>
        <v/>
      </c>
      <c r="B582" s="8">
        <f>IF(ISNA(MATCH(573,'Transfer Engine'!$C$2:$C$1369,0)),"",INDEX('Compliance Database'!$B$2:$B$1369,MATCH(573,'Transfer Engine'!$C$2:$C$1369,0)))</f>
        <v/>
      </c>
      <c r="C582" s="8">
        <f>IF(ISNA(MATCH(573,'Transfer Engine'!$C$2:$C$1369,0)),"",INDEX('Compliance Database'!$C$2:$C$1369,MATCH(573,'Transfer Engine'!$C$2:$C$1369,0)))</f>
        <v/>
      </c>
      <c r="D582" s="9">
        <f>IF(ISNA(MATCH(573,'Transfer Engine'!$C$2:$C$1369,0)),"",INDEX('Compliance Database'!$D$2:$D$1369,MATCH(573,'Transfer Engine'!$C$2:$C$1369,0)))</f>
        <v/>
      </c>
      <c r="E582" s="8">
        <f>IF(ISNA(MATCH(573,'Transfer Engine'!$C$2:$C$1369,0)),"",INDEX('Compliance Database'!$E$2:$E$1369,MATCH(573,'Transfer Engine'!$C$2:$C$1369,0)))</f>
        <v/>
      </c>
      <c r="F582" s="8">
        <f>IF(ISNA(MATCH(573,'Transfer Engine'!$C$2:$C$1369,0)),"",INDEX('Compliance Database'!$F$2:$F$1369,MATCH(573,'Transfer Engine'!$C$2:$C$1369,0)))</f>
        <v/>
      </c>
      <c r="G582" s="8">
        <f>IF(ISNA(MATCH(573,'Transfer Engine'!$C$2:$C$1369,0)),"",INDEX('Compliance Database'!$G$2:$G$1369,MATCH(573,'Transfer Engine'!$C$2:$C$1369,0)))</f>
        <v/>
      </c>
      <c r="H582" s="9">
        <f>IF(ISNA(MATCH(573,'Transfer Engine'!$C$2:$C$1369,0)),"",INDEX('Compliance Database'!$H$2:$H$1369,MATCH(573,'Transfer Engine'!$C$2:$C$1369,0)))</f>
        <v/>
      </c>
      <c r="I582" s="9">
        <f>IF(ISNA(MATCH(573,'Transfer Engine'!$C$2:$C$1369,0)),"",INDEX('Compliance Database'!$I$2:$I$1369,MATCH(573,'Transfer Engine'!$C$2:$C$1369,0)))</f>
        <v/>
      </c>
      <c r="J582" s="8">
        <f>IF(ISNA(MATCH(573,'Transfer Engine'!$C$2:$C$1369,0)),"",INDEX('Compliance Database'!$J$2:$J$1369,MATCH(573,'Transfer Engine'!$C$2:$C$1369,0)))</f>
        <v/>
      </c>
      <c r="K582" s="9">
        <f>IF(ISNA(MATCH(573,'Transfer Engine'!$C$2:$C$1369,0)),"",INDEX('Compliance Database'!$K$2:$K$1369,MATCH(573,'Transfer Engine'!$C$2:$C$1369,0)))</f>
        <v/>
      </c>
      <c r="L582" s="9">
        <f>IF(ISNA(MATCH(573,'Transfer Engine'!$C$2:$C$1369,0)),"",INDEX('Compliance Database'!$L$2:$L$1369,MATCH(573,'Transfer Engine'!$C$2:$C$1369,0)))</f>
        <v/>
      </c>
      <c r="M582" s="9">
        <f>IF(ISNA(MATCH(573,'Transfer Engine'!$C$2:$C$1369,0)),"",INDEX('Compliance Database'!$M$2:$M$1369,MATCH(573,'Transfer Engine'!$C$2:$C$1369,0)))</f>
        <v/>
      </c>
      <c r="N582" s="9">
        <f>IF(ISNA(MATCH(573,'Transfer Engine'!$C$2:$C$1369,0)),"",INDEX('Compliance Database'!$N$2:$N$1369,MATCH(573,'Transfer Engine'!$C$2:$C$1369,0)))</f>
        <v/>
      </c>
      <c r="O582" s="8">
        <f>IF(ISNA(MATCH(573,'Transfer Engine'!$C$2:$C$1369,0)),"",HYPERLINK(INDEX('Compliance Database'!$O$2:$O$1369,MATCH(573,'Transfer Engine'!$C$2:$C$1369,0)),"Open PDF"))</f>
        <v/>
      </c>
    </row>
    <row r="583" ht="188" customHeight="1">
      <c r="A583" s="8">
        <f>IF(ISNA(MATCH(574,'Transfer Engine'!$C$2:$C$1369,0)),"",INDEX('Compliance Database'!$A$2:$A$1369,MATCH(574,'Transfer Engine'!$C$2:$C$1369,0)))</f>
        <v/>
      </c>
      <c r="B583" s="8">
        <f>IF(ISNA(MATCH(574,'Transfer Engine'!$C$2:$C$1369,0)),"",INDEX('Compliance Database'!$B$2:$B$1369,MATCH(574,'Transfer Engine'!$C$2:$C$1369,0)))</f>
        <v/>
      </c>
      <c r="C583" s="8">
        <f>IF(ISNA(MATCH(574,'Transfer Engine'!$C$2:$C$1369,0)),"",INDEX('Compliance Database'!$C$2:$C$1369,MATCH(574,'Transfer Engine'!$C$2:$C$1369,0)))</f>
        <v/>
      </c>
      <c r="D583" s="9">
        <f>IF(ISNA(MATCH(574,'Transfer Engine'!$C$2:$C$1369,0)),"",INDEX('Compliance Database'!$D$2:$D$1369,MATCH(574,'Transfer Engine'!$C$2:$C$1369,0)))</f>
        <v/>
      </c>
      <c r="E583" s="8">
        <f>IF(ISNA(MATCH(574,'Transfer Engine'!$C$2:$C$1369,0)),"",INDEX('Compliance Database'!$E$2:$E$1369,MATCH(574,'Transfer Engine'!$C$2:$C$1369,0)))</f>
        <v/>
      </c>
      <c r="F583" s="8">
        <f>IF(ISNA(MATCH(574,'Transfer Engine'!$C$2:$C$1369,0)),"",INDEX('Compliance Database'!$F$2:$F$1369,MATCH(574,'Transfer Engine'!$C$2:$C$1369,0)))</f>
        <v/>
      </c>
      <c r="G583" s="8">
        <f>IF(ISNA(MATCH(574,'Transfer Engine'!$C$2:$C$1369,0)),"",INDEX('Compliance Database'!$G$2:$G$1369,MATCH(574,'Transfer Engine'!$C$2:$C$1369,0)))</f>
        <v/>
      </c>
      <c r="H583" s="9">
        <f>IF(ISNA(MATCH(574,'Transfer Engine'!$C$2:$C$1369,0)),"",INDEX('Compliance Database'!$H$2:$H$1369,MATCH(574,'Transfer Engine'!$C$2:$C$1369,0)))</f>
        <v/>
      </c>
      <c r="I583" s="9">
        <f>IF(ISNA(MATCH(574,'Transfer Engine'!$C$2:$C$1369,0)),"",INDEX('Compliance Database'!$I$2:$I$1369,MATCH(574,'Transfer Engine'!$C$2:$C$1369,0)))</f>
        <v/>
      </c>
      <c r="J583" s="8">
        <f>IF(ISNA(MATCH(574,'Transfer Engine'!$C$2:$C$1369,0)),"",INDEX('Compliance Database'!$J$2:$J$1369,MATCH(574,'Transfer Engine'!$C$2:$C$1369,0)))</f>
        <v/>
      </c>
      <c r="K583" s="9">
        <f>IF(ISNA(MATCH(574,'Transfer Engine'!$C$2:$C$1369,0)),"",INDEX('Compliance Database'!$K$2:$K$1369,MATCH(574,'Transfer Engine'!$C$2:$C$1369,0)))</f>
        <v/>
      </c>
      <c r="L583" s="9">
        <f>IF(ISNA(MATCH(574,'Transfer Engine'!$C$2:$C$1369,0)),"",INDEX('Compliance Database'!$L$2:$L$1369,MATCH(574,'Transfer Engine'!$C$2:$C$1369,0)))</f>
        <v/>
      </c>
      <c r="M583" s="9">
        <f>IF(ISNA(MATCH(574,'Transfer Engine'!$C$2:$C$1369,0)),"",INDEX('Compliance Database'!$M$2:$M$1369,MATCH(574,'Transfer Engine'!$C$2:$C$1369,0)))</f>
        <v/>
      </c>
      <c r="N583" s="9">
        <f>IF(ISNA(MATCH(574,'Transfer Engine'!$C$2:$C$1369,0)),"",INDEX('Compliance Database'!$N$2:$N$1369,MATCH(574,'Transfer Engine'!$C$2:$C$1369,0)))</f>
        <v/>
      </c>
      <c r="O583" s="8">
        <f>IF(ISNA(MATCH(574,'Transfer Engine'!$C$2:$C$1369,0)),"",HYPERLINK(INDEX('Compliance Database'!$O$2:$O$1369,MATCH(574,'Transfer Engine'!$C$2:$C$1369,0)),"Open PDF"))</f>
        <v/>
      </c>
    </row>
    <row r="584" ht="188" customHeight="1">
      <c r="A584" s="8">
        <f>IF(ISNA(MATCH(575,'Transfer Engine'!$C$2:$C$1369,0)),"",INDEX('Compliance Database'!$A$2:$A$1369,MATCH(575,'Transfer Engine'!$C$2:$C$1369,0)))</f>
        <v/>
      </c>
      <c r="B584" s="8">
        <f>IF(ISNA(MATCH(575,'Transfer Engine'!$C$2:$C$1369,0)),"",INDEX('Compliance Database'!$B$2:$B$1369,MATCH(575,'Transfer Engine'!$C$2:$C$1369,0)))</f>
        <v/>
      </c>
      <c r="C584" s="8">
        <f>IF(ISNA(MATCH(575,'Transfer Engine'!$C$2:$C$1369,0)),"",INDEX('Compliance Database'!$C$2:$C$1369,MATCH(575,'Transfer Engine'!$C$2:$C$1369,0)))</f>
        <v/>
      </c>
      <c r="D584" s="9">
        <f>IF(ISNA(MATCH(575,'Transfer Engine'!$C$2:$C$1369,0)),"",INDEX('Compliance Database'!$D$2:$D$1369,MATCH(575,'Transfer Engine'!$C$2:$C$1369,0)))</f>
        <v/>
      </c>
      <c r="E584" s="8">
        <f>IF(ISNA(MATCH(575,'Transfer Engine'!$C$2:$C$1369,0)),"",INDEX('Compliance Database'!$E$2:$E$1369,MATCH(575,'Transfer Engine'!$C$2:$C$1369,0)))</f>
        <v/>
      </c>
      <c r="F584" s="8">
        <f>IF(ISNA(MATCH(575,'Transfer Engine'!$C$2:$C$1369,0)),"",INDEX('Compliance Database'!$F$2:$F$1369,MATCH(575,'Transfer Engine'!$C$2:$C$1369,0)))</f>
        <v/>
      </c>
      <c r="G584" s="8">
        <f>IF(ISNA(MATCH(575,'Transfer Engine'!$C$2:$C$1369,0)),"",INDEX('Compliance Database'!$G$2:$G$1369,MATCH(575,'Transfer Engine'!$C$2:$C$1369,0)))</f>
        <v/>
      </c>
      <c r="H584" s="9">
        <f>IF(ISNA(MATCH(575,'Transfer Engine'!$C$2:$C$1369,0)),"",INDEX('Compliance Database'!$H$2:$H$1369,MATCH(575,'Transfer Engine'!$C$2:$C$1369,0)))</f>
        <v/>
      </c>
      <c r="I584" s="9">
        <f>IF(ISNA(MATCH(575,'Transfer Engine'!$C$2:$C$1369,0)),"",INDEX('Compliance Database'!$I$2:$I$1369,MATCH(575,'Transfer Engine'!$C$2:$C$1369,0)))</f>
        <v/>
      </c>
      <c r="J584" s="8">
        <f>IF(ISNA(MATCH(575,'Transfer Engine'!$C$2:$C$1369,0)),"",INDEX('Compliance Database'!$J$2:$J$1369,MATCH(575,'Transfer Engine'!$C$2:$C$1369,0)))</f>
        <v/>
      </c>
      <c r="K584" s="9">
        <f>IF(ISNA(MATCH(575,'Transfer Engine'!$C$2:$C$1369,0)),"",INDEX('Compliance Database'!$K$2:$K$1369,MATCH(575,'Transfer Engine'!$C$2:$C$1369,0)))</f>
        <v/>
      </c>
      <c r="L584" s="9">
        <f>IF(ISNA(MATCH(575,'Transfer Engine'!$C$2:$C$1369,0)),"",INDEX('Compliance Database'!$L$2:$L$1369,MATCH(575,'Transfer Engine'!$C$2:$C$1369,0)))</f>
        <v/>
      </c>
      <c r="M584" s="9">
        <f>IF(ISNA(MATCH(575,'Transfer Engine'!$C$2:$C$1369,0)),"",INDEX('Compliance Database'!$M$2:$M$1369,MATCH(575,'Transfer Engine'!$C$2:$C$1369,0)))</f>
        <v/>
      </c>
      <c r="N584" s="9">
        <f>IF(ISNA(MATCH(575,'Transfer Engine'!$C$2:$C$1369,0)),"",INDEX('Compliance Database'!$N$2:$N$1369,MATCH(575,'Transfer Engine'!$C$2:$C$1369,0)))</f>
        <v/>
      </c>
      <c r="O584" s="8">
        <f>IF(ISNA(MATCH(575,'Transfer Engine'!$C$2:$C$1369,0)),"",HYPERLINK(INDEX('Compliance Database'!$O$2:$O$1369,MATCH(575,'Transfer Engine'!$C$2:$C$1369,0)),"Open PDF"))</f>
        <v/>
      </c>
    </row>
    <row r="585" ht="188" customHeight="1">
      <c r="A585" s="8">
        <f>IF(ISNA(MATCH(576,'Transfer Engine'!$C$2:$C$1369,0)),"",INDEX('Compliance Database'!$A$2:$A$1369,MATCH(576,'Transfer Engine'!$C$2:$C$1369,0)))</f>
        <v/>
      </c>
      <c r="B585" s="8">
        <f>IF(ISNA(MATCH(576,'Transfer Engine'!$C$2:$C$1369,0)),"",INDEX('Compliance Database'!$B$2:$B$1369,MATCH(576,'Transfer Engine'!$C$2:$C$1369,0)))</f>
        <v/>
      </c>
      <c r="C585" s="8">
        <f>IF(ISNA(MATCH(576,'Transfer Engine'!$C$2:$C$1369,0)),"",INDEX('Compliance Database'!$C$2:$C$1369,MATCH(576,'Transfer Engine'!$C$2:$C$1369,0)))</f>
        <v/>
      </c>
      <c r="D585" s="9">
        <f>IF(ISNA(MATCH(576,'Transfer Engine'!$C$2:$C$1369,0)),"",INDEX('Compliance Database'!$D$2:$D$1369,MATCH(576,'Transfer Engine'!$C$2:$C$1369,0)))</f>
        <v/>
      </c>
      <c r="E585" s="8">
        <f>IF(ISNA(MATCH(576,'Transfer Engine'!$C$2:$C$1369,0)),"",INDEX('Compliance Database'!$E$2:$E$1369,MATCH(576,'Transfer Engine'!$C$2:$C$1369,0)))</f>
        <v/>
      </c>
      <c r="F585" s="8">
        <f>IF(ISNA(MATCH(576,'Transfer Engine'!$C$2:$C$1369,0)),"",INDEX('Compliance Database'!$F$2:$F$1369,MATCH(576,'Transfer Engine'!$C$2:$C$1369,0)))</f>
        <v/>
      </c>
      <c r="G585" s="8">
        <f>IF(ISNA(MATCH(576,'Transfer Engine'!$C$2:$C$1369,0)),"",INDEX('Compliance Database'!$G$2:$G$1369,MATCH(576,'Transfer Engine'!$C$2:$C$1369,0)))</f>
        <v/>
      </c>
      <c r="H585" s="9">
        <f>IF(ISNA(MATCH(576,'Transfer Engine'!$C$2:$C$1369,0)),"",INDEX('Compliance Database'!$H$2:$H$1369,MATCH(576,'Transfer Engine'!$C$2:$C$1369,0)))</f>
        <v/>
      </c>
      <c r="I585" s="9">
        <f>IF(ISNA(MATCH(576,'Transfer Engine'!$C$2:$C$1369,0)),"",INDEX('Compliance Database'!$I$2:$I$1369,MATCH(576,'Transfer Engine'!$C$2:$C$1369,0)))</f>
        <v/>
      </c>
      <c r="J585" s="8">
        <f>IF(ISNA(MATCH(576,'Transfer Engine'!$C$2:$C$1369,0)),"",INDEX('Compliance Database'!$J$2:$J$1369,MATCH(576,'Transfer Engine'!$C$2:$C$1369,0)))</f>
        <v/>
      </c>
      <c r="K585" s="9">
        <f>IF(ISNA(MATCH(576,'Transfer Engine'!$C$2:$C$1369,0)),"",INDEX('Compliance Database'!$K$2:$K$1369,MATCH(576,'Transfer Engine'!$C$2:$C$1369,0)))</f>
        <v/>
      </c>
      <c r="L585" s="9">
        <f>IF(ISNA(MATCH(576,'Transfer Engine'!$C$2:$C$1369,0)),"",INDEX('Compliance Database'!$L$2:$L$1369,MATCH(576,'Transfer Engine'!$C$2:$C$1369,0)))</f>
        <v/>
      </c>
      <c r="M585" s="9">
        <f>IF(ISNA(MATCH(576,'Transfer Engine'!$C$2:$C$1369,0)),"",INDEX('Compliance Database'!$M$2:$M$1369,MATCH(576,'Transfer Engine'!$C$2:$C$1369,0)))</f>
        <v/>
      </c>
      <c r="N585" s="9">
        <f>IF(ISNA(MATCH(576,'Transfer Engine'!$C$2:$C$1369,0)),"",INDEX('Compliance Database'!$N$2:$N$1369,MATCH(576,'Transfer Engine'!$C$2:$C$1369,0)))</f>
        <v/>
      </c>
      <c r="O585" s="8">
        <f>IF(ISNA(MATCH(576,'Transfer Engine'!$C$2:$C$1369,0)),"",HYPERLINK(INDEX('Compliance Database'!$O$2:$O$1369,MATCH(576,'Transfer Engine'!$C$2:$C$1369,0)),"Open PDF"))</f>
        <v/>
      </c>
    </row>
    <row r="586" ht="188" customHeight="1">
      <c r="A586" s="8">
        <f>IF(ISNA(MATCH(577,'Transfer Engine'!$C$2:$C$1369,0)),"",INDEX('Compliance Database'!$A$2:$A$1369,MATCH(577,'Transfer Engine'!$C$2:$C$1369,0)))</f>
        <v/>
      </c>
      <c r="B586" s="8">
        <f>IF(ISNA(MATCH(577,'Transfer Engine'!$C$2:$C$1369,0)),"",INDEX('Compliance Database'!$B$2:$B$1369,MATCH(577,'Transfer Engine'!$C$2:$C$1369,0)))</f>
        <v/>
      </c>
      <c r="C586" s="8">
        <f>IF(ISNA(MATCH(577,'Transfer Engine'!$C$2:$C$1369,0)),"",INDEX('Compliance Database'!$C$2:$C$1369,MATCH(577,'Transfer Engine'!$C$2:$C$1369,0)))</f>
        <v/>
      </c>
      <c r="D586" s="9">
        <f>IF(ISNA(MATCH(577,'Transfer Engine'!$C$2:$C$1369,0)),"",INDEX('Compliance Database'!$D$2:$D$1369,MATCH(577,'Transfer Engine'!$C$2:$C$1369,0)))</f>
        <v/>
      </c>
      <c r="E586" s="8">
        <f>IF(ISNA(MATCH(577,'Transfer Engine'!$C$2:$C$1369,0)),"",INDEX('Compliance Database'!$E$2:$E$1369,MATCH(577,'Transfer Engine'!$C$2:$C$1369,0)))</f>
        <v/>
      </c>
      <c r="F586" s="8">
        <f>IF(ISNA(MATCH(577,'Transfer Engine'!$C$2:$C$1369,0)),"",INDEX('Compliance Database'!$F$2:$F$1369,MATCH(577,'Transfer Engine'!$C$2:$C$1369,0)))</f>
        <v/>
      </c>
      <c r="G586" s="8">
        <f>IF(ISNA(MATCH(577,'Transfer Engine'!$C$2:$C$1369,0)),"",INDEX('Compliance Database'!$G$2:$G$1369,MATCH(577,'Transfer Engine'!$C$2:$C$1369,0)))</f>
        <v/>
      </c>
      <c r="H586" s="9">
        <f>IF(ISNA(MATCH(577,'Transfer Engine'!$C$2:$C$1369,0)),"",INDEX('Compliance Database'!$H$2:$H$1369,MATCH(577,'Transfer Engine'!$C$2:$C$1369,0)))</f>
        <v/>
      </c>
      <c r="I586" s="9">
        <f>IF(ISNA(MATCH(577,'Transfer Engine'!$C$2:$C$1369,0)),"",INDEX('Compliance Database'!$I$2:$I$1369,MATCH(577,'Transfer Engine'!$C$2:$C$1369,0)))</f>
        <v/>
      </c>
      <c r="J586" s="8">
        <f>IF(ISNA(MATCH(577,'Transfer Engine'!$C$2:$C$1369,0)),"",INDEX('Compliance Database'!$J$2:$J$1369,MATCH(577,'Transfer Engine'!$C$2:$C$1369,0)))</f>
        <v/>
      </c>
      <c r="K586" s="9">
        <f>IF(ISNA(MATCH(577,'Transfer Engine'!$C$2:$C$1369,0)),"",INDEX('Compliance Database'!$K$2:$K$1369,MATCH(577,'Transfer Engine'!$C$2:$C$1369,0)))</f>
        <v/>
      </c>
      <c r="L586" s="9">
        <f>IF(ISNA(MATCH(577,'Transfer Engine'!$C$2:$C$1369,0)),"",INDEX('Compliance Database'!$L$2:$L$1369,MATCH(577,'Transfer Engine'!$C$2:$C$1369,0)))</f>
        <v/>
      </c>
      <c r="M586" s="9">
        <f>IF(ISNA(MATCH(577,'Transfer Engine'!$C$2:$C$1369,0)),"",INDEX('Compliance Database'!$M$2:$M$1369,MATCH(577,'Transfer Engine'!$C$2:$C$1369,0)))</f>
        <v/>
      </c>
      <c r="N586" s="9">
        <f>IF(ISNA(MATCH(577,'Transfer Engine'!$C$2:$C$1369,0)),"",INDEX('Compliance Database'!$N$2:$N$1369,MATCH(577,'Transfer Engine'!$C$2:$C$1369,0)))</f>
        <v/>
      </c>
      <c r="O586" s="8">
        <f>IF(ISNA(MATCH(577,'Transfer Engine'!$C$2:$C$1369,0)),"",HYPERLINK(INDEX('Compliance Database'!$O$2:$O$1369,MATCH(577,'Transfer Engine'!$C$2:$C$1369,0)),"Open PDF"))</f>
        <v/>
      </c>
    </row>
    <row r="587" ht="188" customHeight="1">
      <c r="A587" s="8">
        <f>IF(ISNA(MATCH(578,'Transfer Engine'!$C$2:$C$1369,0)),"",INDEX('Compliance Database'!$A$2:$A$1369,MATCH(578,'Transfer Engine'!$C$2:$C$1369,0)))</f>
        <v/>
      </c>
      <c r="B587" s="8">
        <f>IF(ISNA(MATCH(578,'Transfer Engine'!$C$2:$C$1369,0)),"",INDEX('Compliance Database'!$B$2:$B$1369,MATCH(578,'Transfer Engine'!$C$2:$C$1369,0)))</f>
        <v/>
      </c>
      <c r="C587" s="8">
        <f>IF(ISNA(MATCH(578,'Transfer Engine'!$C$2:$C$1369,0)),"",INDEX('Compliance Database'!$C$2:$C$1369,MATCH(578,'Transfer Engine'!$C$2:$C$1369,0)))</f>
        <v/>
      </c>
      <c r="D587" s="9">
        <f>IF(ISNA(MATCH(578,'Transfer Engine'!$C$2:$C$1369,0)),"",INDEX('Compliance Database'!$D$2:$D$1369,MATCH(578,'Transfer Engine'!$C$2:$C$1369,0)))</f>
        <v/>
      </c>
      <c r="E587" s="8">
        <f>IF(ISNA(MATCH(578,'Transfer Engine'!$C$2:$C$1369,0)),"",INDEX('Compliance Database'!$E$2:$E$1369,MATCH(578,'Transfer Engine'!$C$2:$C$1369,0)))</f>
        <v/>
      </c>
      <c r="F587" s="8">
        <f>IF(ISNA(MATCH(578,'Transfer Engine'!$C$2:$C$1369,0)),"",INDEX('Compliance Database'!$F$2:$F$1369,MATCH(578,'Transfer Engine'!$C$2:$C$1369,0)))</f>
        <v/>
      </c>
      <c r="G587" s="8">
        <f>IF(ISNA(MATCH(578,'Transfer Engine'!$C$2:$C$1369,0)),"",INDEX('Compliance Database'!$G$2:$G$1369,MATCH(578,'Transfer Engine'!$C$2:$C$1369,0)))</f>
        <v/>
      </c>
      <c r="H587" s="9">
        <f>IF(ISNA(MATCH(578,'Transfer Engine'!$C$2:$C$1369,0)),"",INDEX('Compliance Database'!$H$2:$H$1369,MATCH(578,'Transfer Engine'!$C$2:$C$1369,0)))</f>
        <v/>
      </c>
      <c r="I587" s="9">
        <f>IF(ISNA(MATCH(578,'Transfer Engine'!$C$2:$C$1369,0)),"",INDEX('Compliance Database'!$I$2:$I$1369,MATCH(578,'Transfer Engine'!$C$2:$C$1369,0)))</f>
        <v/>
      </c>
      <c r="J587" s="8">
        <f>IF(ISNA(MATCH(578,'Transfer Engine'!$C$2:$C$1369,0)),"",INDEX('Compliance Database'!$J$2:$J$1369,MATCH(578,'Transfer Engine'!$C$2:$C$1369,0)))</f>
        <v/>
      </c>
      <c r="K587" s="9">
        <f>IF(ISNA(MATCH(578,'Transfer Engine'!$C$2:$C$1369,0)),"",INDEX('Compliance Database'!$K$2:$K$1369,MATCH(578,'Transfer Engine'!$C$2:$C$1369,0)))</f>
        <v/>
      </c>
      <c r="L587" s="9">
        <f>IF(ISNA(MATCH(578,'Transfer Engine'!$C$2:$C$1369,0)),"",INDEX('Compliance Database'!$L$2:$L$1369,MATCH(578,'Transfer Engine'!$C$2:$C$1369,0)))</f>
        <v/>
      </c>
      <c r="M587" s="9">
        <f>IF(ISNA(MATCH(578,'Transfer Engine'!$C$2:$C$1369,0)),"",INDEX('Compliance Database'!$M$2:$M$1369,MATCH(578,'Transfer Engine'!$C$2:$C$1369,0)))</f>
        <v/>
      </c>
      <c r="N587" s="9">
        <f>IF(ISNA(MATCH(578,'Transfer Engine'!$C$2:$C$1369,0)),"",INDEX('Compliance Database'!$N$2:$N$1369,MATCH(578,'Transfer Engine'!$C$2:$C$1369,0)))</f>
        <v/>
      </c>
      <c r="O587" s="8">
        <f>IF(ISNA(MATCH(578,'Transfer Engine'!$C$2:$C$1369,0)),"",HYPERLINK(INDEX('Compliance Database'!$O$2:$O$1369,MATCH(578,'Transfer Engine'!$C$2:$C$1369,0)),"Open PDF"))</f>
        <v/>
      </c>
    </row>
    <row r="588" ht="188" customHeight="1">
      <c r="A588" s="8">
        <f>IF(ISNA(MATCH(579,'Transfer Engine'!$C$2:$C$1369,0)),"",INDEX('Compliance Database'!$A$2:$A$1369,MATCH(579,'Transfer Engine'!$C$2:$C$1369,0)))</f>
        <v/>
      </c>
      <c r="B588" s="8">
        <f>IF(ISNA(MATCH(579,'Transfer Engine'!$C$2:$C$1369,0)),"",INDEX('Compliance Database'!$B$2:$B$1369,MATCH(579,'Transfer Engine'!$C$2:$C$1369,0)))</f>
        <v/>
      </c>
      <c r="C588" s="8">
        <f>IF(ISNA(MATCH(579,'Transfer Engine'!$C$2:$C$1369,0)),"",INDEX('Compliance Database'!$C$2:$C$1369,MATCH(579,'Transfer Engine'!$C$2:$C$1369,0)))</f>
        <v/>
      </c>
      <c r="D588" s="9">
        <f>IF(ISNA(MATCH(579,'Transfer Engine'!$C$2:$C$1369,0)),"",INDEX('Compliance Database'!$D$2:$D$1369,MATCH(579,'Transfer Engine'!$C$2:$C$1369,0)))</f>
        <v/>
      </c>
      <c r="E588" s="8">
        <f>IF(ISNA(MATCH(579,'Transfer Engine'!$C$2:$C$1369,0)),"",INDEX('Compliance Database'!$E$2:$E$1369,MATCH(579,'Transfer Engine'!$C$2:$C$1369,0)))</f>
        <v/>
      </c>
      <c r="F588" s="8">
        <f>IF(ISNA(MATCH(579,'Transfer Engine'!$C$2:$C$1369,0)),"",INDEX('Compliance Database'!$F$2:$F$1369,MATCH(579,'Transfer Engine'!$C$2:$C$1369,0)))</f>
        <v/>
      </c>
      <c r="G588" s="8">
        <f>IF(ISNA(MATCH(579,'Transfer Engine'!$C$2:$C$1369,0)),"",INDEX('Compliance Database'!$G$2:$G$1369,MATCH(579,'Transfer Engine'!$C$2:$C$1369,0)))</f>
        <v/>
      </c>
      <c r="H588" s="9">
        <f>IF(ISNA(MATCH(579,'Transfer Engine'!$C$2:$C$1369,0)),"",INDEX('Compliance Database'!$H$2:$H$1369,MATCH(579,'Transfer Engine'!$C$2:$C$1369,0)))</f>
        <v/>
      </c>
      <c r="I588" s="9">
        <f>IF(ISNA(MATCH(579,'Transfer Engine'!$C$2:$C$1369,0)),"",INDEX('Compliance Database'!$I$2:$I$1369,MATCH(579,'Transfer Engine'!$C$2:$C$1369,0)))</f>
        <v/>
      </c>
      <c r="J588" s="8">
        <f>IF(ISNA(MATCH(579,'Transfer Engine'!$C$2:$C$1369,0)),"",INDEX('Compliance Database'!$J$2:$J$1369,MATCH(579,'Transfer Engine'!$C$2:$C$1369,0)))</f>
        <v/>
      </c>
      <c r="K588" s="9">
        <f>IF(ISNA(MATCH(579,'Transfer Engine'!$C$2:$C$1369,0)),"",INDEX('Compliance Database'!$K$2:$K$1369,MATCH(579,'Transfer Engine'!$C$2:$C$1369,0)))</f>
        <v/>
      </c>
      <c r="L588" s="9">
        <f>IF(ISNA(MATCH(579,'Transfer Engine'!$C$2:$C$1369,0)),"",INDEX('Compliance Database'!$L$2:$L$1369,MATCH(579,'Transfer Engine'!$C$2:$C$1369,0)))</f>
        <v/>
      </c>
      <c r="M588" s="9">
        <f>IF(ISNA(MATCH(579,'Transfer Engine'!$C$2:$C$1369,0)),"",INDEX('Compliance Database'!$M$2:$M$1369,MATCH(579,'Transfer Engine'!$C$2:$C$1369,0)))</f>
        <v/>
      </c>
      <c r="N588" s="9">
        <f>IF(ISNA(MATCH(579,'Transfer Engine'!$C$2:$C$1369,0)),"",INDEX('Compliance Database'!$N$2:$N$1369,MATCH(579,'Transfer Engine'!$C$2:$C$1369,0)))</f>
        <v/>
      </c>
      <c r="O588" s="8">
        <f>IF(ISNA(MATCH(579,'Transfer Engine'!$C$2:$C$1369,0)),"",HYPERLINK(INDEX('Compliance Database'!$O$2:$O$1369,MATCH(579,'Transfer Engine'!$C$2:$C$1369,0)),"Open PDF"))</f>
        <v/>
      </c>
    </row>
    <row r="589" ht="188" customHeight="1">
      <c r="A589" s="8">
        <f>IF(ISNA(MATCH(580,'Transfer Engine'!$C$2:$C$1369,0)),"",INDEX('Compliance Database'!$A$2:$A$1369,MATCH(580,'Transfer Engine'!$C$2:$C$1369,0)))</f>
        <v/>
      </c>
      <c r="B589" s="8">
        <f>IF(ISNA(MATCH(580,'Transfer Engine'!$C$2:$C$1369,0)),"",INDEX('Compliance Database'!$B$2:$B$1369,MATCH(580,'Transfer Engine'!$C$2:$C$1369,0)))</f>
        <v/>
      </c>
      <c r="C589" s="8">
        <f>IF(ISNA(MATCH(580,'Transfer Engine'!$C$2:$C$1369,0)),"",INDEX('Compliance Database'!$C$2:$C$1369,MATCH(580,'Transfer Engine'!$C$2:$C$1369,0)))</f>
        <v/>
      </c>
      <c r="D589" s="9">
        <f>IF(ISNA(MATCH(580,'Transfer Engine'!$C$2:$C$1369,0)),"",INDEX('Compliance Database'!$D$2:$D$1369,MATCH(580,'Transfer Engine'!$C$2:$C$1369,0)))</f>
        <v/>
      </c>
      <c r="E589" s="8">
        <f>IF(ISNA(MATCH(580,'Transfer Engine'!$C$2:$C$1369,0)),"",INDEX('Compliance Database'!$E$2:$E$1369,MATCH(580,'Transfer Engine'!$C$2:$C$1369,0)))</f>
        <v/>
      </c>
      <c r="F589" s="8">
        <f>IF(ISNA(MATCH(580,'Transfer Engine'!$C$2:$C$1369,0)),"",INDEX('Compliance Database'!$F$2:$F$1369,MATCH(580,'Transfer Engine'!$C$2:$C$1369,0)))</f>
        <v/>
      </c>
      <c r="G589" s="8">
        <f>IF(ISNA(MATCH(580,'Transfer Engine'!$C$2:$C$1369,0)),"",INDEX('Compliance Database'!$G$2:$G$1369,MATCH(580,'Transfer Engine'!$C$2:$C$1369,0)))</f>
        <v/>
      </c>
      <c r="H589" s="9">
        <f>IF(ISNA(MATCH(580,'Transfer Engine'!$C$2:$C$1369,0)),"",INDEX('Compliance Database'!$H$2:$H$1369,MATCH(580,'Transfer Engine'!$C$2:$C$1369,0)))</f>
        <v/>
      </c>
      <c r="I589" s="9">
        <f>IF(ISNA(MATCH(580,'Transfer Engine'!$C$2:$C$1369,0)),"",INDEX('Compliance Database'!$I$2:$I$1369,MATCH(580,'Transfer Engine'!$C$2:$C$1369,0)))</f>
        <v/>
      </c>
      <c r="J589" s="8">
        <f>IF(ISNA(MATCH(580,'Transfer Engine'!$C$2:$C$1369,0)),"",INDEX('Compliance Database'!$J$2:$J$1369,MATCH(580,'Transfer Engine'!$C$2:$C$1369,0)))</f>
        <v/>
      </c>
      <c r="K589" s="9">
        <f>IF(ISNA(MATCH(580,'Transfer Engine'!$C$2:$C$1369,0)),"",INDEX('Compliance Database'!$K$2:$K$1369,MATCH(580,'Transfer Engine'!$C$2:$C$1369,0)))</f>
        <v/>
      </c>
      <c r="L589" s="9">
        <f>IF(ISNA(MATCH(580,'Transfer Engine'!$C$2:$C$1369,0)),"",INDEX('Compliance Database'!$L$2:$L$1369,MATCH(580,'Transfer Engine'!$C$2:$C$1369,0)))</f>
        <v/>
      </c>
      <c r="M589" s="9">
        <f>IF(ISNA(MATCH(580,'Transfer Engine'!$C$2:$C$1369,0)),"",INDEX('Compliance Database'!$M$2:$M$1369,MATCH(580,'Transfer Engine'!$C$2:$C$1369,0)))</f>
        <v/>
      </c>
      <c r="N589" s="9">
        <f>IF(ISNA(MATCH(580,'Transfer Engine'!$C$2:$C$1369,0)),"",INDEX('Compliance Database'!$N$2:$N$1369,MATCH(580,'Transfer Engine'!$C$2:$C$1369,0)))</f>
        <v/>
      </c>
      <c r="O589" s="8">
        <f>IF(ISNA(MATCH(580,'Transfer Engine'!$C$2:$C$1369,0)),"",HYPERLINK(INDEX('Compliance Database'!$O$2:$O$1369,MATCH(580,'Transfer Engine'!$C$2:$C$1369,0)),"Open PDF"))</f>
        <v/>
      </c>
    </row>
    <row r="590" ht="188" customHeight="1">
      <c r="A590" s="8">
        <f>IF(ISNA(MATCH(581,'Transfer Engine'!$C$2:$C$1369,0)),"",INDEX('Compliance Database'!$A$2:$A$1369,MATCH(581,'Transfer Engine'!$C$2:$C$1369,0)))</f>
        <v/>
      </c>
      <c r="B590" s="8">
        <f>IF(ISNA(MATCH(581,'Transfer Engine'!$C$2:$C$1369,0)),"",INDEX('Compliance Database'!$B$2:$B$1369,MATCH(581,'Transfer Engine'!$C$2:$C$1369,0)))</f>
        <v/>
      </c>
      <c r="C590" s="8">
        <f>IF(ISNA(MATCH(581,'Transfer Engine'!$C$2:$C$1369,0)),"",INDEX('Compliance Database'!$C$2:$C$1369,MATCH(581,'Transfer Engine'!$C$2:$C$1369,0)))</f>
        <v/>
      </c>
      <c r="D590" s="9">
        <f>IF(ISNA(MATCH(581,'Transfer Engine'!$C$2:$C$1369,0)),"",INDEX('Compliance Database'!$D$2:$D$1369,MATCH(581,'Transfer Engine'!$C$2:$C$1369,0)))</f>
        <v/>
      </c>
      <c r="E590" s="8">
        <f>IF(ISNA(MATCH(581,'Transfer Engine'!$C$2:$C$1369,0)),"",INDEX('Compliance Database'!$E$2:$E$1369,MATCH(581,'Transfer Engine'!$C$2:$C$1369,0)))</f>
        <v/>
      </c>
      <c r="F590" s="8">
        <f>IF(ISNA(MATCH(581,'Transfer Engine'!$C$2:$C$1369,0)),"",INDEX('Compliance Database'!$F$2:$F$1369,MATCH(581,'Transfer Engine'!$C$2:$C$1369,0)))</f>
        <v/>
      </c>
      <c r="G590" s="8">
        <f>IF(ISNA(MATCH(581,'Transfer Engine'!$C$2:$C$1369,0)),"",INDEX('Compliance Database'!$G$2:$G$1369,MATCH(581,'Transfer Engine'!$C$2:$C$1369,0)))</f>
        <v/>
      </c>
      <c r="H590" s="9">
        <f>IF(ISNA(MATCH(581,'Transfer Engine'!$C$2:$C$1369,0)),"",INDEX('Compliance Database'!$H$2:$H$1369,MATCH(581,'Transfer Engine'!$C$2:$C$1369,0)))</f>
        <v/>
      </c>
      <c r="I590" s="9">
        <f>IF(ISNA(MATCH(581,'Transfer Engine'!$C$2:$C$1369,0)),"",INDEX('Compliance Database'!$I$2:$I$1369,MATCH(581,'Transfer Engine'!$C$2:$C$1369,0)))</f>
        <v/>
      </c>
      <c r="J590" s="8">
        <f>IF(ISNA(MATCH(581,'Transfer Engine'!$C$2:$C$1369,0)),"",INDEX('Compliance Database'!$J$2:$J$1369,MATCH(581,'Transfer Engine'!$C$2:$C$1369,0)))</f>
        <v/>
      </c>
      <c r="K590" s="9">
        <f>IF(ISNA(MATCH(581,'Transfer Engine'!$C$2:$C$1369,0)),"",INDEX('Compliance Database'!$K$2:$K$1369,MATCH(581,'Transfer Engine'!$C$2:$C$1369,0)))</f>
        <v/>
      </c>
      <c r="L590" s="9">
        <f>IF(ISNA(MATCH(581,'Transfer Engine'!$C$2:$C$1369,0)),"",INDEX('Compliance Database'!$L$2:$L$1369,MATCH(581,'Transfer Engine'!$C$2:$C$1369,0)))</f>
        <v/>
      </c>
      <c r="M590" s="9">
        <f>IF(ISNA(MATCH(581,'Transfer Engine'!$C$2:$C$1369,0)),"",INDEX('Compliance Database'!$M$2:$M$1369,MATCH(581,'Transfer Engine'!$C$2:$C$1369,0)))</f>
        <v/>
      </c>
      <c r="N590" s="9">
        <f>IF(ISNA(MATCH(581,'Transfer Engine'!$C$2:$C$1369,0)),"",INDEX('Compliance Database'!$N$2:$N$1369,MATCH(581,'Transfer Engine'!$C$2:$C$1369,0)))</f>
        <v/>
      </c>
      <c r="O590" s="8">
        <f>IF(ISNA(MATCH(581,'Transfer Engine'!$C$2:$C$1369,0)),"",HYPERLINK(INDEX('Compliance Database'!$O$2:$O$1369,MATCH(581,'Transfer Engine'!$C$2:$C$1369,0)),"Open PDF"))</f>
        <v/>
      </c>
    </row>
    <row r="591" ht="188" customHeight="1">
      <c r="A591" s="8">
        <f>IF(ISNA(MATCH(582,'Transfer Engine'!$C$2:$C$1369,0)),"",INDEX('Compliance Database'!$A$2:$A$1369,MATCH(582,'Transfer Engine'!$C$2:$C$1369,0)))</f>
        <v/>
      </c>
      <c r="B591" s="8">
        <f>IF(ISNA(MATCH(582,'Transfer Engine'!$C$2:$C$1369,0)),"",INDEX('Compliance Database'!$B$2:$B$1369,MATCH(582,'Transfer Engine'!$C$2:$C$1369,0)))</f>
        <v/>
      </c>
      <c r="C591" s="8">
        <f>IF(ISNA(MATCH(582,'Transfer Engine'!$C$2:$C$1369,0)),"",INDEX('Compliance Database'!$C$2:$C$1369,MATCH(582,'Transfer Engine'!$C$2:$C$1369,0)))</f>
        <v/>
      </c>
      <c r="D591" s="9">
        <f>IF(ISNA(MATCH(582,'Transfer Engine'!$C$2:$C$1369,0)),"",INDEX('Compliance Database'!$D$2:$D$1369,MATCH(582,'Transfer Engine'!$C$2:$C$1369,0)))</f>
        <v/>
      </c>
      <c r="E591" s="8">
        <f>IF(ISNA(MATCH(582,'Transfer Engine'!$C$2:$C$1369,0)),"",INDEX('Compliance Database'!$E$2:$E$1369,MATCH(582,'Transfer Engine'!$C$2:$C$1369,0)))</f>
        <v/>
      </c>
      <c r="F591" s="8">
        <f>IF(ISNA(MATCH(582,'Transfer Engine'!$C$2:$C$1369,0)),"",INDEX('Compliance Database'!$F$2:$F$1369,MATCH(582,'Transfer Engine'!$C$2:$C$1369,0)))</f>
        <v/>
      </c>
      <c r="G591" s="8">
        <f>IF(ISNA(MATCH(582,'Transfer Engine'!$C$2:$C$1369,0)),"",INDEX('Compliance Database'!$G$2:$G$1369,MATCH(582,'Transfer Engine'!$C$2:$C$1369,0)))</f>
        <v/>
      </c>
      <c r="H591" s="9">
        <f>IF(ISNA(MATCH(582,'Transfer Engine'!$C$2:$C$1369,0)),"",INDEX('Compliance Database'!$H$2:$H$1369,MATCH(582,'Transfer Engine'!$C$2:$C$1369,0)))</f>
        <v/>
      </c>
      <c r="I591" s="9">
        <f>IF(ISNA(MATCH(582,'Transfer Engine'!$C$2:$C$1369,0)),"",INDEX('Compliance Database'!$I$2:$I$1369,MATCH(582,'Transfer Engine'!$C$2:$C$1369,0)))</f>
        <v/>
      </c>
      <c r="J591" s="8">
        <f>IF(ISNA(MATCH(582,'Transfer Engine'!$C$2:$C$1369,0)),"",INDEX('Compliance Database'!$J$2:$J$1369,MATCH(582,'Transfer Engine'!$C$2:$C$1369,0)))</f>
        <v/>
      </c>
      <c r="K591" s="9">
        <f>IF(ISNA(MATCH(582,'Transfer Engine'!$C$2:$C$1369,0)),"",INDEX('Compliance Database'!$K$2:$K$1369,MATCH(582,'Transfer Engine'!$C$2:$C$1369,0)))</f>
        <v/>
      </c>
      <c r="L591" s="9">
        <f>IF(ISNA(MATCH(582,'Transfer Engine'!$C$2:$C$1369,0)),"",INDEX('Compliance Database'!$L$2:$L$1369,MATCH(582,'Transfer Engine'!$C$2:$C$1369,0)))</f>
        <v/>
      </c>
      <c r="M591" s="9">
        <f>IF(ISNA(MATCH(582,'Transfer Engine'!$C$2:$C$1369,0)),"",INDEX('Compliance Database'!$M$2:$M$1369,MATCH(582,'Transfer Engine'!$C$2:$C$1369,0)))</f>
        <v/>
      </c>
      <c r="N591" s="9">
        <f>IF(ISNA(MATCH(582,'Transfer Engine'!$C$2:$C$1369,0)),"",INDEX('Compliance Database'!$N$2:$N$1369,MATCH(582,'Transfer Engine'!$C$2:$C$1369,0)))</f>
        <v/>
      </c>
      <c r="O591" s="8">
        <f>IF(ISNA(MATCH(582,'Transfer Engine'!$C$2:$C$1369,0)),"",HYPERLINK(INDEX('Compliance Database'!$O$2:$O$1369,MATCH(582,'Transfer Engine'!$C$2:$C$1369,0)),"Open PDF"))</f>
        <v/>
      </c>
    </row>
    <row r="592" ht="188" customHeight="1">
      <c r="A592" s="8">
        <f>IF(ISNA(MATCH(583,'Transfer Engine'!$C$2:$C$1369,0)),"",INDEX('Compliance Database'!$A$2:$A$1369,MATCH(583,'Transfer Engine'!$C$2:$C$1369,0)))</f>
        <v/>
      </c>
      <c r="B592" s="8">
        <f>IF(ISNA(MATCH(583,'Transfer Engine'!$C$2:$C$1369,0)),"",INDEX('Compliance Database'!$B$2:$B$1369,MATCH(583,'Transfer Engine'!$C$2:$C$1369,0)))</f>
        <v/>
      </c>
      <c r="C592" s="8">
        <f>IF(ISNA(MATCH(583,'Transfer Engine'!$C$2:$C$1369,0)),"",INDEX('Compliance Database'!$C$2:$C$1369,MATCH(583,'Transfer Engine'!$C$2:$C$1369,0)))</f>
        <v/>
      </c>
      <c r="D592" s="9">
        <f>IF(ISNA(MATCH(583,'Transfer Engine'!$C$2:$C$1369,0)),"",INDEX('Compliance Database'!$D$2:$D$1369,MATCH(583,'Transfer Engine'!$C$2:$C$1369,0)))</f>
        <v/>
      </c>
      <c r="E592" s="8">
        <f>IF(ISNA(MATCH(583,'Transfer Engine'!$C$2:$C$1369,0)),"",INDEX('Compliance Database'!$E$2:$E$1369,MATCH(583,'Transfer Engine'!$C$2:$C$1369,0)))</f>
        <v/>
      </c>
      <c r="F592" s="8">
        <f>IF(ISNA(MATCH(583,'Transfer Engine'!$C$2:$C$1369,0)),"",INDEX('Compliance Database'!$F$2:$F$1369,MATCH(583,'Transfer Engine'!$C$2:$C$1369,0)))</f>
        <v/>
      </c>
      <c r="G592" s="8">
        <f>IF(ISNA(MATCH(583,'Transfer Engine'!$C$2:$C$1369,0)),"",INDEX('Compliance Database'!$G$2:$G$1369,MATCH(583,'Transfer Engine'!$C$2:$C$1369,0)))</f>
        <v/>
      </c>
      <c r="H592" s="9">
        <f>IF(ISNA(MATCH(583,'Transfer Engine'!$C$2:$C$1369,0)),"",INDEX('Compliance Database'!$H$2:$H$1369,MATCH(583,'Transfer Engine'!$C$2:$C$1369,0)))</f>
        <v/>
      </c>
      <c r="I592" s="9">
        <f>IF(ISNA(MATCH(583,'Transfer Engine'!$C$2:$C$1369,0)),"",INDEX('Compliance Database'!$I$2:$I$1369,MATCH(583,'Transfer Engine'!$C$2:$C$1369,0)))</f>
        <v/>
      </c>
      <c r="J592" s="8">
        <f>IF(ISNA(MATCH(583,'Transfer Engine'!$C$2:$C$1369,0)),"",INDEX('Compliance Database'!$J$2:$J$1369,MATCH(583,'Transfer Engine'!$C$2:$C$1369,0)))</f>
        <v/>
      </c>
      <c r="K592" s="9">
        <f>IF(ISNA(MATCH(583,'Transfer Engine'!$C$2:$C$1369,0)),"",INDEX('Compliance Database'!$K$2:$K$1369,MATCH(583,'Transfer Engine'!$C$2:$C$1369,0)))</f>
        <v/>
      </c>
      <c r="L592" s="9">
        <f>IF(ISNA(MATCH(583,'Transfer Engine'!$C$2:$C$1369,0)),"",INDEX('Compliance Database'!$L$2:$L$1369,MATCH(583,'Transfer Engine'!$C$2:$C$1369,0)))</f>
        <v/>
      </c>
      <c r="M592" s="9">
        <f>IF(ISNA(MATCH(583,'Transfer Engine'!$C$2:$C$1369,0)),"",INDEX('Compliance Database'!$M$2:$M$1369,MATCH(583,'Transfer Engine'!$C$2:$C$1369,0)))</f>
        <v/>
      </c>
      <c r="N592" s="9">
        <f>IF(ISNA(MATCH(583,'Transfer Engine'!$C$2:$C$1369,0)),"",INDEX('Compliance Database'!$N$2:$N$1369,MATCH(583,'Transfer Engine'!$C$2:$C$1369,0)))</f>
        <v/>
      </c>
      <c r="O592" s="8">
        <f>IF(ISNA(MATCH(583,'Transfer Engine'!$C$2:$C$1369,0)),"",HYPERLINK(INDEX('Compliance Database'!$O$2:$O$1369,MATCH(583,'Transfer Engine'!$C$2:$C$1369,0)),"Open PDF"))</f>
        <v/>
      </c>
    </row>
    <row r="593" ht="188" customHeight="1">
      <c r="A593" s="8">
        <f>IF(ISNA(MATCH(584,'Transfer Engine'!$C$2:$C$1369,0)),"",INDEX('Compliance Database'!$A$2:$A$1369,MATCH(584,'Transfer Engine'!$C$2:$C$1369,0)))</f>
        <v/>
      </c>
      <c r="B593" s="8">
        <f>IF(ISNA(MATCH(584,'Transfer Engine'!$C$2:$C$1369,0)),"",INDEX('Compliance Database'!$B$2:$B$1369,MATCH(584,'Transfer Engine'!$C$2:$C$1369,0)))</f>
        <v/>
      </c>
      <c r="C593" s="8">
        <f>IF(ISNA(MATCH(584,'Transfer Engine'!$C$2:$C$1369,0)),"",INDEX('Compliance Database'!$C$2:$C$1369,MATCH(584,'Transfer Engine'!$C$2:$C$1369,0)))</f>
        <v/>
      </c>
      <c r="D593" s="9">
        <f>IF(ISNA(MATCH(584,'Transfer Engine'!$C$2:$C$1369,0)),"",INDEX('Compliance Database'!$D$2:$D$1369,MATCH(584,'Transfer Engine'!$C$2:$C$1369,0)))</f>
        <v/>
      </c>
      <c r="E593" s="8">
        <f>IF(ISNA(MATCH(584,'Transfer Engine'!$C$2:$C$1369,0)),"",INDEX('Compliance Database'!$E$2:$E$1369,MATCH(584,'Transfer Engine'!$C$2:$C$1369,0)))</f>
        <v/>
      </c>
      <c r="F593" s="8">
        <f>IF(ISNA(MATCH(584,'Transfer Engine'!$C$2:$C$1369,0)),"",INDEX('Compliance Database'!$F$2:$F$1369,MATCH(584,'Transfer Engine'!$C$2:$C$1369,0)))</f>
        <v/>
      </c>
      <c r="G593" s="8">
        <f>IF(ISNA(MATCH(584,'Transfer Engine'!$C$2:$C$1369,0)),"",INDEX('Compliance Database'!$G$2:$G$1369,MATCH(584,'Transfer Engine'!$C$2:$C$1369,0)))</f>
        <v/>
      </c>
      <c r="H593" s="9">
        <f>IF(ISNA(MATCH(584,'Transfer Engine'!$C$2:$C$1369,0)),"",INDEX('Compliance Database'!$H$2:$H$1369,MATCH(584,'Transfer Engine'!$C$2:$C$1369,0)))</f>
        <v/>
      </c>
      <c r="I593" s="9">
        <f>IF(ISNA(MATCH(584,'Transfer Engine'!$C$2:$C$1369,0)),"",INDEX('Compliance Database'!$I$2:$I$1369,MATCH(584,'Transfer Engine'!$C$2:$C$1369,0)))</f>
        <v/>
      </c>
      <c r="J593" s="8">
        <f>IF(ISNA(MATCH(584,'Transfer Engine'!$C$2:$C$1369,0)),"",INDEX('Compliance Database'!$J$2:$J$1369,MATCH(584,'Transfer Engine'!$C$2:$C$1369,0)))</f>
        <v/>
      </c>
      <c r="K593" s="9">
        <f>IF(ISNA(MATCH(584,'Transfer Engine'!$C$2:$C$1369,0)),"",INDEX('Compliance Database'!$K$2:$K$1369,MATCH(584,'Transfer Engine'!$C$2:$C$1369,0)))</f>
        <v/>
      </c>
      <c r="L593" s="9">
        <f>IF(ISNA(MATCH(584,'Transfer Engine'!$C$2:$C$1369,0)),"",INDEX('Compliance Database'!$L$2:$L$1369,MATCH(584,'Transfer Engine'!$C$2:$C$1369,0)))</f>
        <v/>
      </c>
      <c r="M593" s="9">
        <f>IF(ISNA(MATCH(584,'Transfer Engine'!$C$2:$C$1369,0)),"",INDEX('Compliance Database'!$M$2:$M$1369,MATCH(584,'Transfer Engine'!$C$2:$C$1369,0)))</f>
        <v/>
      </c>
      <c r="N593" s="9">
        <f>IF(ISNA(MATCH(584,'Transfer Engine'!$C$2:$C$1369,0)),"",INDEX('Compliance Database'!$N$2:$N$1369,MATCH(584,'Transfer Engine'!$C$2:$C$1369,0)))</f>
        <v/>
      </c>
      <c r="O593" s="8">
        <f>IF(ISNA(MATCH(584,'Transfer Engine'!$C$2:$C$1369,0)),"",HYPERLINK(INDEX('Compliance Database'!$O$2:$O$1369,MATCH(584,'Transfer Engine'!$C$2:$C$1369,0)),"Open PDF"))</f>
        <v/>
      </c>
    </row>
    <row r="594" ht="188" customHeight="1">
      <c r="A594" s="8">
        <f>IF(ISNA(MATCH(585,'Transfer Engine'!$C$2:$C$1369,0)),"",INDEX('Compliance Database'!$A$2:$A$1369,MATCH(585,'Transfer Engine'!$C$2:$C$1369,0)))</f>
        <v/>
      </c>
      <c r="B594" s="8">
        <f>IF(ISNA(MATCH(585,'Transfer Engine'!$C$2:$C$1369,0)),"",INDEX('Compliance Database'!$B$2:$B$1369,MATCH(585,'Transfer Engine'!$C$2:$C$1369,0)))</f>
        <v/>
      </c>
      <c r="C594" s="8">
        <f>IF(ISNA(MATCH(585,'Transfer Engine'!$C$2:$C$1369,0)),"",INDEX('Compliance Database'!$C$2:$C$1369,MATCH(585,'Transfer Engine'!$C$2:$C$1369,0)))</f>
        <v/>
      </c>
      <c r="D594" s="9">
        <f>IF(ISNA(MATCH(585,'Transfer Engine'!$C$2:$C$1369,0)),"",INDEX('Compliance Database'!$D$2:$D$1369,MATCH(585,'Transfer Engine'!$C$2:$C$1369,0)))</f>
        <v/>
      </c>
      <c r="E594" s="8">
        <f>IF(ISNA(MATCH(585,'Transfer Engine'!$C$2:$C$1369,0)),"",INDEX('Compliance Database'!$E$2:$E$1369,MATCH(585,'Transfer Engine'!$C$2:$C$1369,0)))</f>
        <v/>
      </c>
      <c r="F594" s="8">
        <f>IF(ISNA(MATCH(585,'Transfer Engine'!$C$2:$C$1369,0)),"",INDEX('Compliance Database'!$F$2:$F$1369,MATCH(585,'Transfer Engine'!$C$2:$C$1369,0)))</f>
        <v/>
      </c>
      <c r="G594" s="8">
        <f>IF(ISNA(MATCH(585,'Transfer Engine'!$C$2:$C$1369,0)),"",INDEX('Compliance Database'!$G$2:$G$1369,MATCH(585,'Transfer Engine'!$C$2:$C$1369,0)))</f>
        <v/>
      </c>
      <c r="H594" s="9">
        <f>IF(ISNA(MATCH(585,'Transfer Engine'!$C$2:$C$1369,0)),"",INDEX('Compliance Database'!$H$2:$H$1369,MATCH(585,'Transfer Engine'!$C$2:$C$1369,0)))</f>
        <v/>
      </c>
      <c r="I594" s="9">
        <f>IF(ISNA(MATCH(585,'Transfer Engine'!$C$2:$C$1369,0)),"",INDEX('Compliance Database'!$I$2:$I$1369,MATCH(585,'Transfer Engine'!$C$2:$C$1369,0)))</f>
        <v/>
      </c>
      <c r="J594" s="8">
        <f>IF(ISNA(MATCH(585,'Transfer Engine'!$C$2:$C$1369,0)),"",INDEX('Compliance Database'!$J$2:$J$1369,MATCH(585,'Transfer Engine'!$C$2:$C$1369,0)))</f>
        <v/>
      </c>
      <c r="K594" s="9">
        <f>IF(ISNA(MATCH(585,'Transfer Engine'!$C$2:$C$1369,0)),"",INDEX('Compliance Database'!$K$2:$K$1369,MATCH(585,'Transfer Engine'!$C$2:$C$1369,0)))</f>
        <v/>
      </c>
      <c r="L594" s="9">
        <f>IF(ISNA(MATCH(585,'Transfer Engine'!$C$2:$C$1369,0)),"",INDEX('Compliance Database'!$L$2:$L$1369,MATCH(585,'Transfer Engine'!$C$2:$C$1369,0)))</f>
        <v/>
      </c>
      <c r="M594" s="9">
        <f>IF(ISNA(MATCH(585,'Transfer Engine'!$C$2:$C$1369,0)),"",INDEX('Compliance Database'!$M$2:$M$1369,MATCH(585,'Transfer Engine'!$C$2:$C$1369,0)))</f>
        <v/>
      </c>
      <c r="N594" s="9">
        <f>IF(ISNA(MATCH(585,'Transfer Engine'!$C$2:$C$1369,0)),"",INDEX('Compliance Database'!$N$2:$N$1369,MATCH(585,'Transfer Engine'!$C$2:$C$1369,0)))</f>
        <v/>
      </c>
      <c r="O594" s="8">
        <f>IF(ISNA(MATCH(585,'Transfer Engine'!$C$2:$C$1369,0)),"",HYPERLINK(INDEX('Compliance Database'!$O$2:$O$1369,MATCH(585,'Transfer Engine'!$C$2:$C$1369,0)),"Open PDF"))</f>
        <v/>
      </c>
    </row>
    <row r="595" ht="188" customHeight="1">
      <c r="A595" s="8">
        <f>IF(ISNA(MATCH(586,'Transfer Engine'!$C$2:$C$1369,0)),"",INDEX('Compliance Database'!$A$2:$A$1369,MATCH(586,'Transfer Engine'!$C$2:$C$1369,0)))</f>
        <v/>
      </c>
      <c r="B595" s="8">
        <f>IF(ISNA(MATCH(586,'Transfer Engine'!$C$2:$C$1369,0)),"",INDEX('Compliance Database'!$B$2:$B$1369,MATCH(586,'Transfer Engine'!$C$2:$C$1369,0)))</f>
        <v/>
      </c>
      <c r="C595" s="8">
        <f>IF(ISNA(MATCH(586,'Transfer Engine'!$C$2:$C$1369,0)),"",INDEX('Compliance Database'!$C$2:$C$1369,MATCH(586,'Transfer Engine'!$C$2:$C$1369,0)))</f>
        <v/>
      </c>
      <c r="D595" s="9">
        <f>IF(ISNA(MATCH(586,'Transfer Engine'!$C$2:$C$1369,0)),"",INDEX('Compliance Database'!$D$2:$D$1369,MATCH(586,'Transfer Engine'!$C$2:$C$1369,0)))</f>
        <v/>
      </c>
      <c r="E595" s="8">
        <f>IF(ISNA(MATCH(586,'Transfer Engine'!$C$2:$C$1369,0)),"",INDEX('Compliance Database'!$E$2:$E$1369,MATCH(586,'Transfer Engine'!$C$2:$C$1369,0)))</f>
        <v/>
      </c>
      <c r="F595" s="8">
        <f>IF(ISNA(MATCH(586,'Transfer Engine'!$C$2:$C$1369,0)),"",INDEX('Compliance Database'!$F$2:$F$1369,MATCH(586,'Transfer Engine'!$C$2:$C$1369,0)))</f>
        <v/>
      </c>
      <c r="G595" s="8">
        <f>IF(ISNA(MATCH(586,'Transfer Engine'!$C$2:$C$1369,0)),"",INDEX('Compliance Database'!$G$2:$G$1369,MATCH(586,'Transfer Engine'!$C$2:$C$1369,0)))</f>
        <v/>
      </c>
      <c r="H595" s="9">
        <f>IF(ISNA(MATCH(586,'Transfer Engine'!$C$2:$C$1369,0)),"",INDEX('Compliance Database'!$H$2:$H$1369,MATCH(586,'Transfer Engine'!$C$2:$C$1369,0)))</f>
        <v/>
      </c>
      <c r="I595" s="9">
        <f>IF(ISNA(MATCH(586,'Transfer Engine'!$C$2:$C$1369,0)),"",INDEX('Compliance Database'!$I$2:$I$1369,MATCH(586,'Transfer Engine'!$C$2:$C$1369,0)))</f>
        <v/>
      </c>
      <c r="J595" s="8">
        <f>IF(ISNA(MATCH(586,'Transfer Engine'!$C$2:$C$1369,0)),"",INDEX('Compliance Database'!$J$2:$J$1369,MATCH(586,'Transfer Engine'!$C$2:$C$1369,0)))</f>
        <v/>
      </c>
      <c r="K595" s="9">
        <f>IF(ISNA(MATCH(586,'Transfer Engine'!$C$2:$C$1369,0)),"",INDEX('Compliance Database'!$K$2:$K$1369,MATCH(586,'Transfer Engine'!$C$2:$C$1369,0)))</f>
        <v/>
      </c>
      <c r="L595" s="9">
        <f>IF(ISNA(MATCH(586,'Transfer Engine'!$C$2:$C$1369,0)),"",INDEX('Compliance Database'!$L$2:$L$1369,MATCH(586,'Transfer Engine'!$C$2:$C$1369,0)))</f>
        <v/>
      </c>
      <c r="M595" s="9">
        <f>IF(ISNA(MATCH(586,'Transfer Engine'!$C$2:$C$1369,0)),"",INDEX('Compliance Database'!$M$2:$M$1369,MATCH(586,'Transfer Engine'!$C$2:$C$1369,0)))</f>
        <v/>
      </c>
      <c r="N595" s="9">
        <f>IF(ISNA(MATCH(586,'Transfer Engine'!$C$2:$C$1369,0)),"",INDEX('Compliance Database'!$N$2:$N$1369,MATCH(586,'Transfer Engine'!$C$2:$C$1369,0)))</f>
        <v/>
      </c>
      <c r="O595" s="8">
        <f>IF(ISNA(MATCH(586,'Transfer Engine'!$C$2:$C$1369,0)),"",HYPERLINK(INDEX('Compliance Database'!$O$2:$O$1369,MATCH(586,'Transfer Engine'!$C$2:$C$1369,0)),"Open PDF"))</f>
        <v/>
      </c>
    </row>
    <row r="596" ht="188" customHeight="1">
      <c r="A596" s="8">
        <f>IF(ISNA(MATCH(587,'Transfer Engine'!$C$2:$C$1369,0)),"",INDEX('Compliance Database'!$A$2:$A$1369,MATCH(587,'Transfer Engine'!$C$2:$C$1369,0)))</f>
        <v/>
      </c>
      <c r="B596" s="8">
        <f>IF(ISNA(MATCH(587,'Transfer Engine'!$C$2:$C$1369,0)),"",INDEX('Compliance Database'!$B$2:$B$1369,MATCH(587,'Transfer Engine'!$C$2:$C$1369,0)))</f>
        <v/>
      </c>
      <c r="C596" s="8">
        <f>IF(ISNA(MATCH(587,'Transfer Engine'!$C$2:$C$1369,0)),"",INDEX('Compliance Database'!$C$2:$C$1369,MATCH(587,'Transfer Engine'!$C$2:$C$1369,0)))</f>
        <v/>
      </c>
      <c r="D596" s="9">
        <f>IF(ISNA(MATCH(587,'Transfer Engine'!$C$2:$C$1369,0)),"",INDEX('Compliance Database'!$D$2:$D$1369,MATCH(587,'Transfer Engine'!$C$2:$C$1369,0)))</f>
        <v/>
      </c>
      <c r="E596" s="8">
        <f>IF(ISNA(MATCH(587,'Transfer Engine'!$C$2:$C$1369,0)),"",INDEX('Compliance Database'!$E$2:$E$1369,MATCH(587,'Transfer Engine'!$C$2:$C$1369,0)))</f>
        <v/>
      </c>
      <c r="F596" s="8">
        <f>IF(ISNA(MATCH(587,'Transfer Engine'!$C$2:$C$1369,0)),"",INDEX('Compliance Database'!$F$2:$F$1369,MATCH(587,'Transfer Engine'!$C$2:$C$1369,0)))</f>
        <v/>
      </c>
      <c r="G596" s="8">
        <f>IF(ISNA(MATCH(587,'Transfer Engine'!$C$2:$C$1369,0)),"",INDEX('Compliance Database'!$G$2:$G$1369,MATCH(587,'Transfer Engine'!$C$2:$C$1369,0)))</f>
        <v/>
      </c>
      <c r="H596" s="9">
        <f>IF(ISNA(MATCH(587,'Transfer Engine'!$C$2:$C$1369,0)),"",INDEX('Compliance Database'!$H$2:$H$1369,MATCH(587,'Transfer Engine'!$C$2:$C$1369,0)))</f>
        <v/>
      </c>
      <c r="I596" s="9">
        <f>IF(ISNA(MATCH(587,'Transfer Engine'!$C$2:$C$1369,0)),"",INDEX('Compliance Database'!$I$2:$I$1369,MATCH(587,'Transfer Engine'!$C$2:$C$1369,0)))</f>
        <v/>
      </c>
      <c r="J596" s="8">
        <f>IF(ISNA(MATCH(587,'Transfer Engine'!$C$2:$C$1369,0)),"",INDEX('Compliance Database'!$J$2:$J$1369,MATCH(587,'Transfer Engine'!$C$2:$C$1369,0)))</f>
        <v/>
      </c>
      <c r="K596" s="9">
        <f>IF(ISNA(MATCH(587,'Transfer Engine'!$C$2:$C$1369,0)),"",INDEX('Compliance Database'!$K$2:$K$1369,MATCH(587,'Transfer Engine'!$C$2:$C$1369,0)))</f>
        <v/>
      </c>
      <c r="L596" s="9">
        <f>IF(ISNA(MATCH(587,'Transfer Engine'!$C$2:$C$1369,0)),"",INDEX('Compliance Database'!$L$2:$L$1369,MATCH(587,'Transfer Engine'!$C$2:$C$1369,0)))</f>
        <v/>
      </c>
      <c r="M596" s="9">
        <f>IF(ISNA(MATCH(587,'Transfer Engine'!$C$2:$C$1369,0)),"",INDEX('Compliance Database'!$M$2:$M$1369,MATCH(587,'Transfer Engine'!$C$2:$C$1369,0)))</f>
        <v/>
      </c>
      <c r="N596" s="9">
        <f>IF(ISNA(MATCH(587,'Transfer Engine'!$C$2:$C$1369,0)),"",INDEX('Compliance Database'!$N$2:$N$1369,MATCH(587,'Transfer Engine'!$C$2:$C$1369,0)))</f>
        <v/>
      </c>
      <c r="O596" s="8">
        <f>IF(ISNA(MATCH(587,'Transfer Engine'!$C$2:$C$1369,0)),"",HYPERLINK(INDEX('Compliance Database'!$O$2:$O$1369,MATCH(587,'Transfer Engine'!$C$2:$C$1369,0)),"Open PDF"))</f>
        <v/>
      </c>
    </row>
    <row r="597" ht="188" customHeight="1">
      <c r="A597" s="8">
        <f>IF(ISNA(MATCH(588,'Transfer Engine'!$C$2:$C$1369,0)),"",INDEX('Compliance Database'!$A$2:$A$1369,MATCH(588,'Transfer Engine'!$C$2:$C$1369,0)))</f>
        <v/>
      </c>
      <c r="B597" s="8">
        <f>IF(ISNA(MATCH(588,'Transfer Engine'!$C$2:$C$1369,0)),"",INDEX('Compliance Database'!$B$2:$B$1369,MATCH(588,'Transfer Engine'!$C$2:$C$1369,0)))</f>
        <v/>
      </c>
      <c r="C597" s="8">
        <f>IF(ISNA(MATCH(588,'Transfer Engine'!$C$2:$C$1369,0)),"",INDEX('Compliance Database'!$C$2:$C$1369,MATCH(588,'Transfer Engine'!$C$2:$C$1369,0)))</f>
        <v/>
      </c>
      <c r="D597" s="9">
        <f>IF(ISNA(MATCH(588,'Transfer Engine'!$C$2:$C$1369,0)),"",INDEX('Compliance Database'!$D$2:$D$1369,MATCH(588,'Transfer Engine'!$C$2:$C$1369,0)))</f>
        <v/>
      </c>
      <c r="E597" s="8">
        <f>IF(ISNA(MATCH(588,'Transfer Engine'!$C$2:$C$1369,0)),"",INDEX('Compliance Database'!$E$2:$E$1369,MATCH(588,'Transfer Engine'!$C$2:$C$1369,0)))</f>
        <v/>
      </c>
      <c r="F597" s="8">
        <f>IF(ISNA(MATCH(588,'Transfer Engine'!$C$2:$C$1369,0)),"",INDEX('Compliance Database'!$F$2:$F$1369,MATCH(588,'Transfer Engine'!$C$2:$C$1369,0)))</f>
        <v/>
      </c>
      <c r="G597" s="8">
        <f>IF(ISNA(MATCH(588,'Transfer Engine'!$C$2:$C$1369,0)),"",INDEX('Compliance Database'!$G$2:$G$1369,MATCH(588,'Transfer Engine'!$C$2:$C$1369,0)))</f>
        <v/>
      </c>
      <c r="H597" s="9">
        <f>IF(ISNA(MATCH(588,'Transfer Engine'!$C$2:$C$1369,0)),"",INDEX('Compliance Database'!$H$2:$H$1369,MATCH(588,'Transfer Engine'!$C$2:$C$1369,0)))</f>
        <v/>
      </c>
      <c r="I597" s="9">
        <f>IF(ISNA(MATCH(588,'Transfer Engine'!$C$2:$C$1369,0)),"",INDEX('Compliance Database'!$I$2:$I$1369,MATCH(588,'Transfer Engine'!$C$2:$C$1369,0)))</f>
        <v/>
      </c>
      <c r="J597" s="8">
        <f>IF(ISNA(MATCH(588,'Transfer Engine'!$C$2:$C$1369,0)),"",INDEX('Compliance Database'!$J$2:$J$1369,MATCH(588,'Transfer Engine'!$C$2:$C$1369,0)))</f>
        <v/>
      </c>
      <c r="K597" s="9">
        <f>IF(ISNA(MATCH(588,'Transfer Engine'!$C$2:$C$1369,0)),"",INDEX('Compliance Database'!$K$2:$K$1369,MATCH(588,'Transfer Engine'!$C$2:$C$1369,0)))</f>
        <v/>
      </c>
      <c r="L597" s="9">
        <f>IF(ISNA(MATCH(588,'Transfer Engine'!$C$2:$C$1369,0)),"",INDEX('Compliance Database'!$L$2:$L$1369,MATCH(588,'Transfer Engine'!$C$2:$C$1369,0)))</f>
        <v/>
      </c>
      <c r="M597" s="9">
        <f>IF(ISNA(MATCH(588,'Transfer Engine'!$C$2:$C$1369,0)),"",INDEX('Compliance Database'!$M$2:$M$1369,MATCH(588,'Transfer Engine'!$C$2:$C$1369,0)))</f>
        <v/>
      </c>
      <c r="N597" s="9">
        <f>IF(ISNA(MATCH(588,'Transfer Engine'!$C$2:$C$1369,0)),"",INDEX('Compliance Database'!$N$2:$N$1369,MATCH(588,'Transfer Engine'!$C$2:$C$1369,0)))</f>
        <v/>
      </c>
      <c r="O597" s="8">
        <f>IF(ISNA(MATCH(588,'Transfer Engine'!$C$2:$C$1369,0)),"",HYPERLINK(INDEX('Compliance Database'!$O$2:$O$1369,MATCH(588,'Transfer Engine'!$C$2:$C$1369,0)),"Open PDF"))</f>
        <v/>
      </c>
    </row>
    <row r="598" ht="188" customHeight="1">
      <c r="A598" s="8">
        <f>IF(ISNA(MATCH(589,'Transfer Engine'!$C$2:$C$1369,0)),"",INDEX('Compliance Database'!$A$2:$A$1369,MATCH(589,'Transfer Engine'!$C$2:$C$1369,0)))</f>
        <v/>
      </c>
      <c r="B598" s="8">
        <f>IF(ISNA(MATCH(589,'Transfer Engine'!$C$2:$C$1369,0)),"",INDEX('Compliance Database'!$B$2:$B$1369,MATCH(589,'Transfer Engine'!$C$2:$C$1369,0)))</f>
        <v/>
      </c>
      <c r="C598" s="8">
        <f>IF(ISNA(MATCH(589,'Transfer Engine'!$C$2:$C$1369,0)),"",INDEX('Compliance Database'!$C$2:$C$1369,MATCH(589,'Transfer Engine'!$C$2:$C$1369,0)))</f>
        <v/>
      </c>
      <c r="D598" s="9">
        <f>IF(ISNA(MATCH(589,'Transfer Engine'!$C$2:$C$1369,0)),"",INDEX('Compliance Database'!$D$2:$D$1369,MATCH(589,'Transfer Engine'!$C$2:$C$1369,0)))</f>
        <v/>
      </c>
      <c r="E598" s="8">
        <f>IF(ISNA(MATCH(589,'Transfer Engine'!$C$2:$C$1369,0)),"",INDEX('Compliance Database'!$E$2:$E$1369,MATCH(589,'Transfer Engine'!$C$2:$C$1369,0)))</f>
        <v/>
      </c>
      <c r="F598" s="8">
        <f>IF(ISNA(MATCH(589,'Transfer Engine'!$C$2:$C$1369,0)),"",INDEX('Compliance Database'!$F$2:$F$1369,MATCH(589,'Transfer Engine'!$C$2:$C$1369,0)))</f>
        <v/>
      </c>
      <c r="G598" s="8">
        <f>IF(ISNA(MATCH(589,'Transfer Engine'!$C$2:$C$1369,0)),"",INDEX('Compliance Database'!$G$2:$G$1369,MATCH(589,'Transfer Engine'!$C$2:$C$1369,0)))</f>
        <v/>
      </c>
      <c r="H598" s="9">
        <f>IF(ISNA(MATCH(589,'Transfer Engine'!$C$2:$C$1369,0)),"",INDEX('Compliance Database'!$H$2:$H$1369,MATCH(589,'Transfer Engine'!$C$2:$C$1369,0)))</f>
        <v/>
      </c>
      <c r="I598" s="9">
        <f>IF(ISNA(MATCH(589,'Transfer Engine'!$C$2:$C$1369,0)),"",INDEX('Compliance Database'!$I$2:$I$1369,MATCH(589,'Transfer Engine'!$C$2:$C$1369,0)))</f>
        <v/>
      </c>
      <c r="J598" s="8">
        <f>IF(ISNA(MATCH(589,'Transfer Engine'!$C$2:$C$1369,0)),"",INDEX('Compliance Database'!$J$2:$J$1369,MATCH(589,'Transfer Engine'!$C$2:$C$1369,0)))</f>
        <v/>
      </c>
      <c r="K598" s="9">
        <f>IF(ISNA(MATCH(589,'Transfer Engine'!$C$2:$C$1369,0)),"",INDEX('Compliance Database'!$K$2:$K$1369,MATCH(589,'Transfer Engine'!$C$2:$C$1369,0)))</f>
        <v/>
      </c>
      <c r="L598" s="9">
        <f>IF(ISNA(MATCH(589,'Transfer Engine'!$C$2:$C$1369,0)),"",INDEX('Compliance Database'!$L$2:$L$1369,MATCH(589,'Transfer Engine'!$C$2:$C$1369,0)))</f>
        <v/>
      </c>
      <c r="M598" s="9">
        <f>IF(ISNA(MATCH(589,'Transfer Engine'!$C$2:$C$1369,0)),"",INDEX('Compliance Database'!$M$2:$M$1369,MATCH(589,'Transfer Engine'!$C$2:$C$1369,0)))</f>
        <v/>
      </c>
      <c r="N598" s="9">
        <f>IF(ISNA(MATCH(589,'Transfer Engine'!$C$2:$C$1369,0)),"",INDEX('Compliance Database'!$N$2:$N$1369,MATCH(589,'Transfer Engine'!$C$2:$C$1369,0)))</f>
        <v/>
      </c>
      <c r="O598" s="8">
        <f>IF(ISNA(MATCH(589,'Transfer Engine'!$C$2:$C$1369,0)),"",HYPERLINK(INDEX('Compliance Database'!$O$2:$O$1369,MATCH(589,'Transfer Engine'!$C$2:$C$1369,0)),"Open PDF"))</f>
        <v/>
      </c>
    </row>
    <row r="599" ht="188" customHeight="1">
      <c r="A599" s="8">
        <f>IF(ISNA(MATCH(590,'Transfer Engine'!$C$2:$C$1369,0)),"",INDEX('Compliance Database'!$A$2:$A$1369,MATCH(590,'Transfer Engine'!$C$2:$C$1369,0)))</f>
        <v/>
      </c>
      <c r="B599" s="8">
        <f>IF(ISNA(MATCH(590,'Transfer Engine'!$C$2:$C$1369,0)),"",INDEX('Compliance Database'!$B$2:$B$1369,MATCH(590,'Transfer Engine'!$C$2:$C$1369,0)))</f>
        <v/>
      </c>
      <c r="C599" s="8">
        <f>IF(ISNA(MATCH(590,'Transfer Engine'!$C$2:$C$1369,0)),"",INDEX('Compliance Database'!$C$2:$C$1369,MATCH(590,'Transfer Engine'!$C$2:$C$1369,0)))</f>
        <v/>
      </c>
      <c r="D599" s="9">
        <f>IF(ISNA(MATCH(590,'Transfer Engine'!$C$2:$C$1369,0)),"",INDEX('Compliance Database'!$D$2:$D$1369,MATCH(590,'Transfer Engine'!$C$2:$C$1369,0)))</f>
        <v/>
      </c>
      <c r="E599" s="8">
        <f>IF(ISNA(MATCH(590,'Transfer Engine'!$C$2:$C$1369,0)),"",INDEX('Compliance Database'!$E$2:$E$1369,MATCH(590,'Transfer Engine'!$C$2:$C$1369,0)))</f>
        <v/>
      </c>
      <c r="F599" s="8">
        <f>IF(ISNA(MATCH(590,'Transfer Engine'!$C$2:$C$1369,0)),"",INDEX('Compliance Database'!$F$2:$F$1369,MATCH(590,'Transfer Engine'!$C$2:$C$1369,0)))</f>
        <v/>
      </c>
      <c r="G599" s="8">
        <f>IF(ISNA(MATCH(590,'Transfer Engine'!$C$2:$C$1369,0)),"",INDEX('Compliance Database'!$G$2:$G$1369,MATCH(590,'Transfer Engine'!$C$2:$C$1369,0)))</f>
        <v/>
      </c>
      <c r="H599" s="9">
        <f>IF(ISNA(MATCH(590,'Transfer Engine'!$C$2:$C$1369,0)),"",INDEX('Compliance Database'!$H$2:$H$1369,MATCH(590,'Transfer Engine'!$C$2:$C$1369,0)))</f>
        <v/>
      </c>
      <c r="I599" s="9">
        <f>IF(ISNA(MATCH(590,'Transfer Engine'!$C$2:$C$1369,0)),"",INDEX('Compliance Database'!$I$2:$I$1369,MATCH(590,'Transfer Engine'!$C$2:$C$1369,0)))</f>
        <v/>
      </c>
      <c r="J599" s="8">
        <f>IF(ISNA(MATCH(590,'Transfer Engine'!$C$2:$C$1369,0)),"",INDEX('Compliance Database'!$J$2:$J$1369,MATCH(590,'Transfer Engine'!$C$2:$C$1369,0)))</f>
        <v/>
      </c>
      <c r="K599" s="9">
        <f>IF(ISNA(MATCH(590,'Transfer Engine'!$C$2:$C$1369,0)),"",INDEX('Compliance Database'!$K$2:$K$1369,MATCH(590,'Transfer Engine'!$C$2:$C$1369,0)))</f>
        <v/>
      </c>
      <c r="L599" s="9">
        <f>IF(ISNA(MATCH(590,'Transfer Engine'!$C$2:$C$1369,0)),"",INDEX('Compliance Database'!$L$2:$L$1369,MATCH(590,'Transfer Engine'!$C$2:$C$1369,0)))</f>
        <v/>
      </c>
      <c r="M599" s="9">
        <f>IF(ISNA(MATCH(590,'Transfer Engine'!$C$2:$C$1369,0)),"",INDEX('Compliance Database'!$M$2:$M$1369,MATCH(590,'Transfer Engine'!$C$2:$C$1369,0)))</f>
        <v/>
      </c>
      <c r="N599" s="9">
        <f>IF(ISNA(MATCH(590,'Transfer Engine'!$C$2:$C$1369,0)),"",INDEX('Compliance Database'!$N$2:$N$1369,MATCH(590,'Transfer Engine'!$C$2:$C$1369,0)))</f>
        <v/>
      </c>
      <c r="O599" s="8">
        <f>IF(ISNA(MATCH(590,'Transfer Engine'!$C$2:$C$1369,0)),"",HYPERLINK(INDEX('Compliance Database'!$O$2:$O$1369,MATCH(590,'Transfer Engine'!$C$2:$C$1369,0)),"Open PDF"))</f>
        <v/>
      </c>
    </row>
    <row r="600" ht="188" customHeight="1">
      <c r="A600" s="8">
        <f>IF(ISNA(MATCH(591,'Transfer Engine'!$C$2:$C$1369,0)),"",INDEX('Compliance Database'!$A$2:$A$1369,MATCH(591,'Transfer Engine'!$C$2:$C$1369,0)))</f>
        <v/>
      </c>
      <c r="B600" s="8">
        <f>IF(ISNA(MATCH(591,'Transfer Engine'!$C$2:$C$1369,0)),"",INDEX('Compliance Database'!$B$2:$B$1369,MATCH(591,'Transfer Engine'!$C$2:$C$1369,0)))</f>
        <v/>
      </c>
      <c r="C600" s="8">
        <f>IF(ISNA(MATCH(591,'Transfer Engine'!$C$2:$C$1369,0)),"",INDEX('Compliance Database'!$C$2:$C$1369,MATCH(591,'Transfer Engine'!$C$2:$C$1369,0)))</f>
        <v/>
      </c>
      <c r="D600" s="9">
        <f>IF(ISNA(MATCH(591,'Transfer Engine'!$C$2:$C$1369,0)),"",INDEX('Compliance Database'!$D$2:$D$1369,MATCH(591,'Transfer Engine'!$C$2:$C$1369,0)))</f>
        <v/>
      </c>
      <c r="E600" s="8">
        <f>IF(ISNA(MATCH(591,'Transfer Engine'!$C$2:$C$1369,0)),"",INDEX('Compliance Database'!$E$2:$E$1369,MATCH(591,'Transfer Engine'!$C$2:$C$1369,0)))</f>
        <v/>
      </c>
      <c r="F600" s="8">
        <f>IF(ISNA(MATCH(591,'Transfer Engine'!$C$2:$C$1369,0)),"",INDEX('Compliance Database'!$F$2:$F$1369,MATCH(591,'Transfer Engine'!$C$2:$C$1369,0)))</f>
        <v/>
      </c>
      <c r="G600" s="8">
        <f>IF(ISNA(MATCH(591,'Transfer Engine'!$C$2:$C$1369,0)),"",INDEX('Compliance Database'!$G$2:$G$1369,MATCH(591,'Transfer Engine'!$C$2:$C$1369,0)))</f>
        <v/>
      </c>
      <c r="H600" s="9">
        <f>IF(ISNA(MATCH(591,'Transfer Engine'!$C$2:$C$1369,0)),"",INDEX('Compliance Database'!$H$2:$H$1369,MATCH(591,'Transfer Engine'!$C$2:$C$1369,0)))</f>
        <v/>
      </c>
      <c r="I600" s="9">
        <f>IF(ISNA(MATCH(591,'Transfer Engine'!$C$2:$C$1369,0)),"",INDEX('Compliance Database'!$I$2:$I$1369,MATCH(591,'Transfer Engine'!$C$2:$C$1369,0)))</f>
        <v/>
      </c>
      <c r="J600" s="8">
        <f>IF(ISNA(MATCH(591,'Transfer Engine'!$C$2:$C$1369,0)),"",INDEX('Compliance Database'!$J$2:$J$1369,MATCH(591,'Transfer Engine'!$C$2:$C$1369,0)))</f>
        <v/>
      </c>
      <c r="K600" s="9">
        <f>IF(ISNA(MATCH(591,'Transfer Engine'!$C$2:$C$1369,0)),"",INDEX('Compliance Database'!$K$2:$K$1369,MATCH(591,'Transfer Engine'!$C$2:$C$1369,0)))</f>
        <v/>
      </c>
      <c r="L600" s="9">
        <f>IF(ISNA(MATCH(591,'Transfer Engine'!$C$2:$C$1369,0)),"",INDEX('Compliance Database'!$L$2:$L$1369,MATCH(591,'Transfer Engine'!$C$2:$C$1369,0)))</f>
        <v/>
      </c>
      <c r="M600" s="9">
        <f>IF(ISNA(MATCH(591,'Transfer Engine'!$C$2:$C$1369,0)),"",INDEX('Compliance Database'!$M$2:$M$1369,MATCH(591,'Transfer Engine'!$C$2:$C$1369,0)))</f>
        <v/>
      </c>
      <c r="N600" s="9">
        <f>IF(ISNA(MATCH(591,'Transfer Engine'!$C$2:$C$1369,0)),"",INDEX('Compliance Database'!$N$2:$N$1369,MATCH(591,'Transfer Engine'!$C$2:$C$1369,0)))</f>
        <v/>
      </c>
      <c r="O600" s="8">
        <f>IF(ISNA(MATCH(591,'Transfer Engine'!$C$2:$C$1369,0)),"",HYPERLINK(INDEX('Compliance Database'!$O$2:$O$1369,MATCH(591,'Transfer Engine'!$C$2:$C$1369,0)),"Open PDF"))</f>
        <v/>
      </c>
    </row>
    <row r="601" ht="188" customHeight="1">
      <c r="A601" s="8">
        <f>IF(ISNA(MATCH(592,'Transfer Engine'!$C$2:$C$1369,0)),"",INDEX('Compliance Database'!$A$2:$A$1369,MATCH(592,'Transfer Engine'!$C$2:$C$1369,0)))</f>
        <v/>
      </c>
      <c r="B601" s="8">
        <f>IF(ISNA(MATCH(592,'Transfer Engine'!$C$2:$C$1369,0)),"",INDEX('Compliance Database'!$B$2:$B$1369,MATCH(592,'Transfer Engine'!$C$2:$C$1369,0)))</f>
        <v/>
      </c>
      <c r="C601" s="8">
        <f>IF(ISNA(MATCH(592,'Transfer Engine'!$C$2:$C$1369,0)),"",INDEX('Compliance Database'!$C$2:$C$1369,MATCH(592,'Transfer Engine'!$C$2:$C$1369,0)))</f>
        <v/>
      </c>
      <c r="D601" s="9">
        <f>IF(ISNA(MATCH(592,'Transfer Engine'!$C$2:$C$1369,0)),"",INDEX('Compliance Database'!$D$2:$D$1369,MATCH(592,'Transfer Engine'!$C$2:$C$1369,0)))</f>
        <v/>
      </c>
      <c r="E601" s="8">
        <f>IF(ISNA(MATCH(592,'Transfer Engine'!$C$2:$C$1369,0)),"",INDEX('Compliance Database'!$E$2:$E$1369,MATCH(592,'Transfer Engine'!$C$2:$C$1369,0)))</f>
        <v/>
      </c>
      <c r="F601" s="8">
        <f>IF(ISNA(MATCH(592,'Transfer Engine'!$C$2:$C$1369,0)),"",INDEX('Compliance Database'!$F$2:$F$1369,MATCH(592,'Transfer Engine'!$C$2:$C$1369,0)))</f>
        <v/>
      </c>
      <c r="G601" s="8">
        <f>IF(ISNA(MATCH(592,'Transfer Engine'!$C$2:$C$1369,0)),"",INDEX('Compliance Database'!$G$2:$G$1369,MATCH(592,'Transfer Engine'!$C$2:$C$1369,0)))</f>
        <v/>
      </c>
      <c r="H601" s="9">
        <f>IF(ISNA(MATCH(592,'Transfer Engine'!$C$2:$C$1369,0)),"",INDEX('Compliance Database'!$H$2:$H$1369,MATCH(592,'Transfer Engine'!$C$2:$C$1369,0)))</f>
        <v/>
      </c>
      <c r="I601" s="9">
        <f>IF(ISNA(MATCH(592,'Transfer Engine'!$C$2:$C$1369,0)),"",INDEX('Compliance Database'!$I$2:$I$1369,MATCH(592,'Transfer Engine'!$C$2:$C$1369,0)))</f>
        <v/>
      </c>
      <c r="J601" s="8">
        <f>IF(ISNA(MATCH(592,'Transfer Engine'!$C$2:$C$1369,0)),"",INDEX('Compliance Database'!$J$2:$J$1369,MATCH(592,'Transfer Engine'!$C$2:$C$1369,0)))</f>
        <v/>
      </c>
      <c r="K601" s="9">
        <f>IF(ISNA(MATCH(592,'Transfer Engine'!$C$2:$C$1369,0)),"",INDEX('Compliance Database'!$K$2:$K$1369,MATCH(592,'Transfer Engine'!$C$2:$C$1369,0)))</f>
        <v/>
      </c>
      <c r="L601" s="9">
        <f>IF(ISNA(MATCH(592,'Transfer Engine'!$C$2:$C$1369,0)),"",INDEX('Compliance Database'!$L$2:$L$1369,MATCH(592,'Transfer Engine'!$C$2:$C$1369,0)))</f>
        <v/>
      </c>
      <c r="M601" s="9">
        <f>IF(ISNA(MATCH(592,'Transfer Engine'!$C$2:$C$1369,0)),"",INDEX('Compliance Database'!$M$2:$M$1369,MATCH(592,'Transfer Engine'!$C$2:$C$1369,0)))</f>
        <v/>
      </c>
      <c r="N601" s="9">
        <f>IF(ISNA(MATCH(592,'Transfer Engine'!$C$2:$C$1369,0)),"",INDEX('Compliance Database'!$N$2:$N$1369,MATCH(592,'Transfer Engine'!$C$2:$C$1369,0)))</f>
        <v/>
      </c>
      <c r="O601" s="8">
        <f>IF(ISNA(MATCH(592,'Transfer Engine'!$C$2:$C$1369,0)),"",HYPERLINK(INDEX('Compliance Database'!$O$2:$O$1369,MATCH(592,'Transfer Engine'!$C$2:$C$1369,0)),"Open PDF"))</f>
        <v/>
      </c>
    </row>
    <row r="602" ht="188" customHeight="1">
      <c r="A602" s="8">
        <f>IF(ISNA(MATCH(593,'Transfer Engine'!$C$2:$C$1369,0)),"",INDEX('Compliance Database'!$A$2:$A$1369,MATCH(593,'Transfer Engine'!$C$2:$C$1369,0)))</f>
        <v/>
      </c>
      <c r="B602" s="8">
        <f>IF(ISNA(MATCH(593,'Transfer Engine'!$C$2:$C$1369,0)),"",INDEX('Compliance Database'!$B$2:$B$1369,MATCH(593,'Transfer Engine'!$C$2:$C$1369,0)))</f>
        <v/>
      </c>
      <c r="C602" s="8">
        <f>IF(ISNA(MATCH(593,'Transfer Engine'!$C$2:$C$1369,0)),"",INDEX('Compliance Database'!$C$2:$C$1369,MATCH(593,'Transfer Engine'!$C$2:$C$1369,0)))</f>
        <v/>
      </c>
      <c r="D602" s="9">
        <f>IF(ISNA(MATCH(593,'Transfer Engine'!$C$2:$C$1369,0)),"",INDEX('Compliance Database'!$D$2:$D$1369,MATCH(593,'Transfer Engine'!$C$2:$C$1369,0)))</f>
        <v/>
      </c>
      <c r="E602" s="8">
        <f>IF(ISNA(MATCH(593,'Transfer Engine'!$C$2:$C$1369,0)),"",INDEX('Compliance Database'!$E$2:$E$1369,MATCH(593,'Transfer Engine'!$C$2:$C$1369,0)))</f>
        <v/>
      </c>
      <c r="F602" s="8">
        <f>IF(ISNA(MATCH(593,'Transfer Engine'!$C$2:$C$1369,0)),"",INDEX('Compliance Database'!$F$2:$F$1369,MATCH(593,'Transfer Engine'!$C$2:$C$1369,0)))</f>
        <v/>
      </c>
      <c r="G602" s="8">
        <f>IF(ISNA(MATCH(593,'Transfer Engine'!$C$2:$C$1369,0)),"",INDEX('Compliance Database'!$G$2:$G$1369,MATCH(593,'Transfer Engine'!$C$2:$C$1369,0)))</f>
        <v/>
      </c>
      <c r="H602" s="9">
        <f>IF(ISNA(MATCH(593,'Transfer Engine'!$C$2:$C$1369,0)),"",INDEX('Compliance Database'!$H$2:$H$1369,MATCH(593,'Transfer Engine'!$C$2:$C$1369,0)))</f>
        <v/>
      </c>
      <c r="I602" s="9">
        <f>IF(ISNA(MATCH(593,'Transfer Engine'!$C$2:$C$1369,0)),"",INDEX('Compliance Database'!$I$2:$I$1369,MATCH(593,'Transfer Engine'!$C$2:$C$1369,0)))</f>
        <v/>
      </c>
      <c r="J602" s="8">
        <f>IF(ISNA(MATCH(593,'Transfer Engine'!$C$2:$C$1369,0)),"",INDEX('Compliance Database'!$J$2:$J$1369,MATCH(593,'Transfer Engine'!$C$2:$C$1369,0)))</f>
        <v/>
      </c>
      <c r="K602" s="9">
        <f>IF(ISNA(MATCH(593,'Transfer Engine'!$C$2:$C$1369,0)),"",INDEX('Compliance Database'!$K$2:$K$1369,MATCH(593,'Transfer Engine'!$C$2:$C$1369,0)))</f>
        <v/>
      </c>
      <c r="L602" s="9">
        <f>IF(ISNA(MATCH(593,'Transfer Engine'!$C$2:$C$1369,0)),"",INDEX('Compliance Database'!$L$2:$L$1369,MATCH(593,'Transfer Engine'!$C$2:$C$1369,0)))</f>
        <v/>
      </c>
      <c r="M602" s="9">
        <f>IF(ISNA(MATCH(593,'Transfer Engine'!$C$2:$C$1369,0)),"",INDEX('Compliance Database'!$M$2:$M$1369,MATCH(593,'Transfer Engine'!$C$2:$C$1369,0)))</f>
        <v/>
      </c>
      <c r="N602" s="9">
        <f>IF(ISNA(MATCH(593,'Transfer Engine'!$C$2:$C$1369,0)),"",INDEX('Compliance Database'!$N$2:$N$1369,MATCH(593,'Transfer Engine'!$C$2:$C$1369,0)))</f>
        <v/>
      </c>
      <c r="O602" s="8">
        <f>IF(ISNA(MATCH(593,'Transfer Engine'!$C$2:$C$1369,0)),"",HYPERLINK(INDEX('Compliance Database'!$O$2:$O$1369,MATCH(593,'Transfer Engine'!$C$2:$C$1369,0)),"Open PDF"))</f>
        <v/>
      </c>
    </row>
    <row r="603" ht="188" customHeight="1">
      <c r="A603" s="8">
        <f>IF(ISNA(MATCH(594,'Transfer Engine'!$C$2:$C$1369,0)),"",INDEX('Compliance Database'!$A$2:$A$1369,MATCH(594,'Transfer Engine'!$C$2:$C$1369,0)))</f>
        <v/>
      </c>
      <c r="B603" s="8">
        <f>IF(ISNA(MATCH(594,'Transfer Engine'!$C$2:$C$1369,0)),"",INDEX('Compliance Database'!$B$2:$B$1369,MATCH(594,'Transfer Engine'!$C$2:$C$1369,0)))</f>
        <v/>
      </c>
      <c r="C603" s="8">
        <f>IF(ISNA(MATCH(594,'Transfer Engine'!$C$2:$C$1369,0)),"",INDEX('Compliance Database'!$C$2:$C$1369,MATCH(594,'Transfer Engine'!$C$2:$C$1369,0)))</f>
        <v/>
      </c>
      <c r="D603" s="9">
        <f>IF(ISNA(MATCH(594,'Transfer Engine'!$C$2:$C$1369,0)),"",INDEX('Compliance Database'!$D$2:$D$1369,MATCH(594,'Transfer Engine'!$C$2:$C$1369,0)))</f>
        <v/>
      </c>
      <c r="E603" s="8">
        <f>IF(ISNA(MATCH(594,'Transfer Engine'!$C$2:$C$1369,0)),"",INDEX('Compliance Database'!$E$2:$E$1369,MATCH(594,'Transfer Engine'!$C$2:$C$1369,0)))</f>
        <v/>
      </c>
      <c r="F603" s="8">
        <f>IF(ISNA(MATCH(594,'Transfer Engine'!$C$2:$C$1369,0)),"",INDEX('Compliance Database'!$F$2:$F$1369,MATCH(594,'Transfer Engine'!$C$2:$C$1369,0)))</f>
        <v/>
      </c>
      <c r="G603" s="8">
        <f>IF(ISNA(MATCH(594,'Transfer Engine'!$C$2:$C$1369,0)),"",INDEX('Compliance Database'!$G$2:$G$1369,MATCH(594,'Transfer Engine'!$C$2:$C$1369,0)))</f>
        <v/>
      </c>
      <c r="H603" s="9">
        <f>IF(ISNA(MATCH(594,'Transfer Engine'!$C$2:$C$1369,0)),"",INDEX('Compliance Database'!$H$2:$H$1369,MATCH(594,'Transfer Engine'!$C$2:$C$1369,0)))</f>
        <v/>
      </c>
      <c r="I603" s="9">
        <f>IF(ISNA(MATCH(594,'Transfer Engine'!$C$2:$C$1369,0)),"",INDEX('Compliance Database'!$I$2:$I$1369,MATCH(594,'Transfer Engine'!$C$2:$C$1369,0)))</f>
        <v/>
      </c>
      <c r="J603" s="8">
        <f>IF(ISNA(MATCH(594,'Transfer Engine'!$C$2:$C$1369,0)),"",INDEX('Compliance Database'!$J$2:$J$1369,MATCH(594,'Transfer Engine'!$C$2:$C$1369,0)))</f>
        <v/>
      </c>
      <c r="K603" s="9">
        <f>IF(ISNA(MATCH(594,'Transfer Engine'!$C$2:$C$1369,0)),"",INDEX('Compliance Database'!$K$2:$K$1369,MATCH(594,'Transfer Engine'!$C$2:$C$1369,0)))</f>
        <v/>
      </c>
      <c r="L603" s="9">
        <f>IF(ISNA(MATCH(594,'Transfer Engine'!$C$2:$C$1369,0)),"",INDEX('Compliance Database'!$L$2:$L$1369,MATCH(594,'Transfer Engine'!$C$2:$C$1369,0)))</f>
        <v/>
      </c>
      <c r="M603" s="9">
        <f>IF(ISNA(MATCH(594,'Transfer Engine'!$C$2:$C$1369,0)),"",INDEX('Compliance Database'!$M$2:$M$1369,MATCH(594,'Transfer Engine'!$C$2:$C$1369,0)))</f>
        <v/>
      </c>
      <c r="N603" s="9">
        <f>IF(ISNA(MATCH(594,'Transfer Engine'!$C$2:$C$1369,0)),"",INDEX('Compliance Database'!$N$2:$N$1369,MATCH(594,'Transfer Engine'!$C$2:$C$1369,0)))</f>
        <v/>
      </c>
      <c r="O603" s="8">
        <f>IF(ISNA(MATCH(594,'Transfer Engine'!$C$2:$C$1369,0)),"",HYPERLINK(INDEX('Compliance Database'!$O$2:$O$1369,MATCH(594,'Transfer Engine'!$C$2:$C$1369,0)),"Open PDF"))</f>
        <v/>
      </c>
    </row>
    <row r="604" ht="188" customHeight="1">
      <c r="A604" s="8">
        <f>IF(ISNA(MATCH(595,'Transfer Engine'!$C$2:$C$1369,0)),"",INDEX('Compliance Database'!$A$2:$A$1369,MATCH(595,'Transfer Engine'!$C$2:$C$1369,0)))</f>
        <v/>
      </c>
      <c r="B604" s="8">
        <f>IF(ISNA(MATCH(595,'Transfer Engine'!$C$2:$C$1369,0)),"",INDEX('Compliance Database'!$B$2:$B$1369,MATCH(595,'Transfer Engine'!$C$2:$C$1369,0)))</f>
        <v/>
      </c>
      <c r="C604" s="8">
        <f>IF(ISNA(MATCH(595,'Transfer Engine'!$C$2:$C$1369,0)),"",INDEX('Compliance Database'!$C$2:$C$1369,MATCH(595,'Transfer Engine'!$C$2:$C$1369,0)))</f>
        <v/>
      </c>
      <c r="D604" s="9">
        <f>IF(ISNA(MATCH(595,'Transfer Engine'!$C$2:$C$1369,0)),"",INDEX('Compliance Database'!$D$2:$D$1369,MATCH(595,'Transfer Engine'!$C$2:$C$1369,0)))</f>
        <v/>
      </c>
      <c r="E604" s="8">
        <f>IF(ISNA(MATCH(595,'Transfer Engine'!$C$2:$C$1369,0)),"",INDEX('Compliance Database'!$E$2:$E$1369,MATCH(595,'Transfer Engine'!$C$2:$C$1369,0)))</f>
        <v/>
      </c>
      <c r="F604" s="8">
        <f>IF(ISNA(MATCH(595,'Transfer Engine'!$C$2:$C$1369,0)),"",INDEX('Compliance Database'!$F$2:$F$1369,MATCH(595,'Transfer Engine'!$C$2:$C$1369,0)))</f>
        <v/>
      </c>
      <c r="G604" s="8">
        <f>IF(ISNA(MATCH(595,'Transfer Engine'!$C$2:$C$1369,0)),"",INDEX('Compliance Database'!$G$2:$G$1369,MATCH(595,'Transfer Engine'!$C$2:$C$1369,0)))</f>
        <v/>
      </c>
      <c r="H604" s="9">
        <f>IF(ISNA(MATCH(595,'Transfer Engine'!$C$2:$C$1369,0)),"",INDEX('Compliance Database'!$H$2:$H$1369,MATCH(595,'Transfer Engine'!$C$2:$C$1369,0)))</f>
        <v/>
      </c>
      <c r="I604" s="9">
        <f>IF(ISNA(MATCH(595,'Transfer Engine'!$C$2:$C$1369,0)),"",INDEX('Compliance Database'!$I$2:$I$1369,MATCH(595,'Transfer Engine'!$C$2:$C$1369,0)))</f>
        <v/>
      </c>
      <c r="J604" s="8">
        <f>IF(ISNA(MATCH(595,'Transfer Engine'!$C$2:$C$1369,0)),"",INDEX('Compliance Database'!$J$2:$J$1369,MATCH(595,'Transfer Engine'!$C$2:$C$1369,0)))</f>
        <v/>
      </c>
      <c r="K604" s="9">
        <f>IF(ISNA(MATCH(595,'Transfer Engine'!$C$2:$C$1369,0)),"",INDEX('Compliance Database'!$K$2:$K$1369,MATCH(595,'Transfer Engine'!$C$2:$C$1369,0)))</f>
        <v/>
      </c>
      <c r="L604" s="9">
        <f>IF(ISNA(MATCH(595,'Transfer Engine'!$C$2:$C$1369,0)),"",INDEX('Compliance Database'!$L$2:$L$1369,MATCH(595,'Transfer Engine'!$C$2:$C$1369,0)))</f>
        <v/>
      </c>
      <c r="M604" s="9">
        <f>IF(ISNA(MATCH(595,'Transfer Engine'!$C$2:$C$1369,0)),"",INDEX('Compliance Database'!$M$2:$M$1369,MATCH(595,'Transfer Engine'!$C$2:$C$1369,0)))</f>
        <v/>
      </c>
      <c r="N604" s="9">
        <f>IF(ISNA(MATCH(595,'Transfer Engine'!$C$2:$C$1369,0)),"",INDEX('Compliance Database'!$N$2:$N$1369,MATCH(595,'Transfer Engine'!$C$2:$C$1369,0)))</f>
        <v/>
      </c>
      <c r="O604" s="8">
        <f>IF(ISNA(MATCH(595,'Transfer Engine'!$C$2:$C$1369,0)),"",HYPERLINK(INDEX('Compliance Database'!$O$2:$O$1369,MATCH(595,'Transfer Engine'!$C$2:$C$1369,0)),"Open PDF"))</f>
        <v/>
      </c>
    </row>
    <row r="605" ht="188" customHeight="1">
      <c r="A605" s="8">
        <f>IF(ISNA(MATCH(596,'Transfer Engine'!$C$2:$C$1369,0)),"",INDEX('Compliance Database'!$A$2:$A$1369,MATCH(596,'Transfer Engine'!$C$2:$C$1369,0)))</f>
        <v/>
      </c>
      <c r="B605" s="8">
        <f>IF(ISNA(MATCH(596,'Transfer Engine'!$C$2:$C$1369,0)),"",INDEX('Compliance Database'!$B$2:$B$1369,MATCH(596,'Transfer Engine'!$C$2:$C$1369,0)))</f>
        <v/>
      </c>
      <c r="C605" s="8">
        <f>IF(ISNA(MATCH(596,'Transfer Engine'!$C$2:$C$1369,0)),"",INDEX('Compliance Database'!$C$2:$C$1369,MATCH(596,'Transfer Engine'!$C$2:$C$1369,0)))</f>
        <v/>
      </c>
      <c r="D605" s="9">
        <f>IF(ISNA(MATCH(596,'Transfer Engine'!$C$2:$C$1369,0)),"",INDEX('Compliance Database'!$D$2:$D$1369,MATCH(596,'Transfer Engine'!$C$2:$C$1369,0)))</f>
        <v/>
      </c>
      <c r="E605" s="8">
        <f>IF(ISNA(MATCH(596,'Transfer Engine'!$C$2:$C$1369,0)),"",INDEX('Compliance Database'!$E$2:$E$1369,MATCH(596,'Transfer Engine'!$C$2:$C$1369,0)))</f>
        <v/>
      </c>
      <c r="F605" s="8">
        <f>IF(ISNA(MATCH(596,'Transfer Engine'!$C$2:$C$1369,0)),"",INDEX('Compliance Database'!$F$2:$F$1369,MATCH(596,'Transfer Engine'!$C$2:$C$1369,0)))</f>
        <v/>
      </c>
      <c r="G605" s="8">
        <f>IF(ISNA(MATCH(596,'Transfer Engine'!$C$2:$C$1369,0)),"",INDEX('Compliance Database'!$G$2:$G$1369,MATCH(596,'Transfer Engine'!$C$2:$C$1369,0)))</f>
        <v/>
      </c>
      <c r="H605" s="9">
        <f>IF(ISNA(MATCH(596,'Transfer Engine'!$C$2:$C$1369,0)),"",INDEX('Compliance Database'!$H$2:$H$1369,MATCH(596,'Transfer Engine'!$C$2:$C$1369,0)))</f>
        <v/>
      </c>
      <c r="I605" s="9">
        <f>IF(ISNA(MATCH(596,'Transfer Engine'!$C$2:$C$1369,0)),"",INDEX('Compliance Database'!$I$2:$I$1369,MATCH(596,'Transfer Engine'!$C$2:$C$1369,0)))</f>
        <v/>
      </c>
      <c r="J605" s="8">
        <f>IF(ISNA(MATCH(596,'Transfer Engine'!$C$2:$C$1369,0)),"",INDEX('Compliance Database'!$J$2:$J$1369,MATCH(596,'Transfer Engine'!$C$2:$C$1369,0)))</f>
        <v/>
      </c>
      <c r="K605" s="9">
        <f>IF(ISNA(MATCH(596,'Transfer Engine'!$C$2:$C$1369,0)),"",INDEX('Compliance Database'!$K$2:$K$1369,MATCH(596,'Transfer Engine'!$C$2:$C$1369,0)))</f>
        <v/>
      </c>
      <c r="L605" s="9">
        <f>IF(ISNA(MATCH(596,'Transfer Engine'!$C$2:$C$1369,0)),"",INDEX('Compliance Database'!$L$2:$L$1369,MATCH(596,'Transfer Engine'!$C$2:$C$1369,0)))</f>
        <v/>
      </c>
      <c r="M605" s="9">
        <f>IF(ISNA(MATCH(596,'Transfer Engine'!$C$2:$C$1369,0)),"",INDEX('Compliance Database'!$M$2:$M$1369,MATCH(596,'Transfer Engine'!$C$2:$C$1369,0)))</f>
        <v/>
      </c>
      <c r="N605" s="9">
        <f>IF(ISNA(MATCH(596,'Transfer Engine'!$C$2:$C$1369,0)),"",INDEX('Compliance Database'!$N$2:$N$1369,MATCH(596,'Transfer Engine'!$C$2:$C$1369,0)))</f>
        <v/>
      </c>
      <c r="O605" s="8">
        <f>IF(ISNA(MATCH(596,'Transfer Engine'!$C$2:$C$1369,0)),"",HYPERLINK(INDEX('Compliance Database'!$O$2:$O$1369,MATCH(596,'Transfer Engine'!$C$2:$C$1369,0)),"Open PDF"))</f>
        <v/>
      </c>
    </row>
    <row r="606" ht="188" customHeight="1">
      <c r="A606" s="8">
        <f>IF(ISNA(MATCH(597,'Transfer Engine'!$C$2:$C$1369,0)),"",INDEX('Compliance Database'!$A$2:$A$1369,MATCH(597,'Transfer Engine'!$C$2:$C$1369,0)))</f>
        <v/>
      </c>
      <c r="B606" s="8">
        <f>IF(ISNA(MATCH(597,'Transfer Engine'!$C$2:$C$1369,0)),"",INDEX('Compliance Database'!$B$2:$B$1369,MATCH(597,'Transfer Engine'!$C$2:$C$1369,0)))</f>
        <v/>
      </c>
      <c r="C606" s="8">
        <f>IF(ISNA(MATCH(597,'Transfer Engine'!$C$2:$C$1369,0)),"",INDEX('Compliance Database'!$C$2:$C$1369,MATCH(597,'Transfer Engine'!$C$2:$C$1369,0)))</f>
        <v/>
      </c>
      <c r="D606" s="9">
        <f>IF(ISNA(MATCH(597,'Transfer Engine'!$C$2:$C$1369,0)),"",INDEX('Compliance Database'!$D$2:$D$1369,MATCH(597,'Transfer Engine'!$C$2:$C$1369,0)))</f>
        <v/>
      </c>
      <c r="E606" s="8">
        <f>IF(ISNA(MATCH(597,'Transfer Engine'!$C$2:$C$1369,0)),"",INDEX('Compliance Database'!$E$2:$E$1369,MATCH(597,'Transfer Engine'!$C$2:$C$1369,0)))</f>
        <v/>
      </c>
      <c r="F606" s="8">
        <f>IF(ISNA(MATCH(597,'Transfer Engine'!$C$2:$C$1369,0)),"",INDEX('Compliance Database'!$F$2:$F$1369,MATCH(597,'Transfer Engine'!$C$2:$C$1369,0)))</f>
        <v/>
      </c>
      <c r="G606" s="8">
        <f>IF(ISNA(MATCH(597,'Transfer Engine'!$C$2:$C$1369,0)),"",INDEX('Compliance Database'!$G$2:$G$1369,MATCH(597,'Transfer Engine'!$C$2:$C$1369,0)))</f>
        <v/>
      </c>
      <c r="H606" s="9">
        <f>IF(ISNA(MATCH(597,'Transfer Engine'!$C$2:$C$1369,0)),"",INDEX('Compliance Database'!$H$2:$H$1369,MATCH(597,'Transfer Engine'!$C$2:$C$1369,0)))</f>
        <v/>
      </c>
      <c r="I606" s="9">
        <f>IF(ISNA(MATCH(597,'Transfer Engine'!$C$2:$C$1369,0)),"",INDEX('Compliance Database'!$I$2:$I$1369,MATCH(597,'Transfer Engine'!$C$2:$C$1369,0)))</f>
        <v/>
      </c>
      <c r="J606" s="8">
        <f>IF(ISNA(MATCH(597,'Transfer Engine'!$C$2:$C$1369,0)),"",INDEX('Compliance Database'!$J$2:$J$1369,MATCH(597,'Transfer Engine'!$C$2:$C$1369,0)))</f>
        <v/>
      </c>
      <c r="K606" s="9">
        <f>IF(ISNA(MATCH(597,'Transfer Engine'!$C$2:$C$1369,0)),"",INDEX('Compliance Database'!$K$2:$K$1369,MATCH(597,'Transfer Engine'!$C$2:$C$1369,0)))</f>
        <v/>
      </c>
      <c r="L606" s="9">
        <f>IF(ISNA(MATCH(597,'Transfer Engine'!$C$2:$C$1369,0)),"",INDEX('Compliance Database'!$L$2:$L$1369,MATCH(597,'Transfer Engine'!$C$2:$C$1369,0)))</f>
        <v/>
      </c>
      <c r="M606" s="9">
        <f>IF(ISNA(MATCH(597,'Transfer Engine'!$C$2:$C$1369,0)),"",INDEX('Compliance Database'!$M$2:$M$1369,MATCH(597,'Transfer Engine'!$C$2:$C$1369,0)))</f>
        <v/>
      </c>
      <c r="N606" s="9">
        <f>IF(ISNA(MATCH(597,'Transfer Engine'!$C$2:$C$1369,0)),"",INDEX('Compliance Database'!$N$2:$N$1369,MATCH(597,'Transfer Engine'!$C$2:$C$1369,0)))</f>
        <v/>
      </c>
      <c r="O606" s="8">
        <f>IF(ISNA(MATCH(597,'Transfer Engine'!$C$2:$C$1369,0)),"",HYPERLINK(INDEX('Compliance Database'!$O$2:$O$1369,MATCH(597,'Transfer Engine'!$C$2:$C$1369,0)),"Open PDF"))</f>
        <v/>
      </c>
    </row>
    <row r="607" ht="188" customHeight="1">
      <c r="A607" s="8">
        <f>IF(ISNA(MATCH(598,'Transfer Engine'!$C$2:$C$1369,0)),"",INDEX('Compliance Database'!$A$2:$A$1369,MATCH(598,'Transfer Engine'!$C$2:$C$1369,0)))</f>
        <v/>
      </c>
      <c r="B607" s="8">
        <f>IF(ISNA(MATCH(598,'Transfer Engine'!$C$2:$C$1369,0)),"",INDEX('Compliance Database'!$B$2:$B$1369,MATCH(598,'Transfer Engine'!$C$2:$C$1369,0)))</f>
        <v/>
      </c>
      <c r="C607" s="8">
        <f>IF(ISNA(MATCH(598,'Transfer Engine'!$C$2:$C$1369,0)),"",INDEX('Compliance Database'!$C$2:$C$1369,MATCH(598,'Transfer Engine'!$C$2:$C$1369,0)))</f>
        <v/>
      </c>
      <c r="D607" s="9">
        <f>IF(ISNA(MATCH(598,'Transfer Engine'!$C$2:$C$1369,0)),"",INDEX('Compliance Database'!$D$2:$D$1369,MATCH(598,'Transfer Engine'!$C$2:$C$1369,0)))</f>
        <v/>
      </c>
      <c r="E607" s="8">
        <f>IF(ISNA(MATCH(598,'Transfer Engine'!$C$2:$C$1369,0)),"",INDEX('Compliance Database'!$E$2:$E$1369,MATCH(598,'Transfer Engine'!$C$2:$C$1369,0)))</f>
        <v/>
      </c>
      <c r="F607" s="8">
        <f>IF(ISNA(MATCH(598,'Transfer Engine'!$C$2:$C$1369,0)),"",INDEX('Compliance Database'!$F$2:$F$1369,MATCH(598,'Transfer Engine'!$C$2:$C$1369,0)))</f>
        <v/>
      </c>
      <c r="G607" s="8">
        <f>IF(ISNA(MATCH(598,'Transfer Engine'!$C$2:$C$1369,0)),"",INDEX('Compliance Database'!$G$2:$G$1369,MATCH(598,'Transfer Engine'!$C$2:$C$1369,0)))</f>
        <v/>
      </c>
      <c r="H607" s="9">
        <f>IF(ISNA(MATCH(598,'Transfer Engine'!$C$2:$C$1369,0)),"",INDEX('Compliance Database'!$H$2:$H$1369,MATCH(598,'Transfer Engine'!$C$2:$C$1369,0)))</f>
        <v/>
      </c>
      <c r="I607" s="9">
        <f>IF(ISNA(MATCH(598,'Transfer Engine'!$C$2:$C$1369,0)),"",INDEX('Compliance Database'!$I$2:$I$1369,MATCH(598,'Transfer Engine'!$C$2:$C$1369,0)))</f>
        <v/>
      </c>
      <c r="J607" s="8">
        <f>IF(ISNA(MATCH(598,'Transfer Engine'!$C$2:$C$1369,0)),"",INDEX('Compliance Database'!$J$2:$J$1369,MATCH(598,'Transfer Engine'!$C$2:$C$1369,0)))</f>
        <v/>
      </c>
      <c r="K607" s="9">
        <f>IF(ISNA(MATCH(598,'Transfer Engine'!$C$2:$C$1369,0)),"",INDEX('Compliance Database'!$K$2:$K$1369,MATCH(598,'Transfer Engine'!$C$2:$C$1369,0)))</f>
        <v/>
      </c>
      <c r="L607" s="9">
        <f>IF(ISNA(MATCH(598,'Transfer Engine'!$C$2:$C$1369,0)),"",INDEX('Compliance Database'!$L$2:$L$1369,MATCH(598,'Transfer Engine'!$C$2:$C$1369,0)))</f>
        <v/>
      </c>
      <c r="M607" s="9">
        <f>IF(ISNA(MATCH(598,'Transfer Engine'!$C$2:$C$1369,0)),"",INDEX('Compliance Database'!$M$2:$M$1369,MATCH(598,'Transfer Engine'!$C$2:$C$1369,0)))</f>
        <v/>
      </c>
      <c r="N607" s="9">
        <f>IF(ISNA(MATCH(598,'Transfer Engine'!$C$2:$C$1369,0)),"",INDEX('Compliance Database'!$N$2:$N$1369,MATCH(598,'Transfer Engine'!$C$2:$C$1369,0)))</f>
        <v/>
      </c>
      <c r="O607" s="8">
        <f>IF(ISNA(MATCH(598,'Transfer Engine'!$C$2:$C$1369,0)),"",HYPERLINK(INDEX('Compliance Database'!$O$2:$O$1369,MATCH(598,'Transfer Engine'!$C$2:$C$1369,0)),"Open PDF"))</f>
        <v/>
      </c>
    </row>
    <row r="608" ht="188" customHeight="1">
      <c r="A608" s="8">
        <f>IF(ISNA(MATCH(599,'Transfer Engine'!$C$2:$C$1369,0)),"",INDEX('Compliance Database'!$A$2:$A$1369,MATCH(599,'Transfer Engine'!$C$2:$C$1369,0)))</f>
        <v/>
      </c>
      <c r="B608" s="8">
        <f>IF(ISNA(MATCH(599,'Transfer Engine'!$C$2:$C$1369,0)),"",INDEX('Compliance Database'!$B$2:$B$1369,MATCH(599,'Transfer Engine'!$C$2:$C$1369,0)))</f>
        <v/>
      </c>
      <c r="C608" s="8">
        <f>IF(ISNA(MATCH(599,'Transfer Engine'!$C$2:$C$1369,0)),"",INDEX('Compliance Database'!$C$2:$C$1369,MATCH(599,'Transfer Engine'!$C$2:$C$1369,0)))</f>
        <v/>
      </c>
      <c r="D608" s="9">
        <f>IF(ISNA(MATCH(599,'Transfer Engine'!$C$2:$C$1369,0)),"",INDEX('Compliance Database'!$D$2:$D$1369,MATCH(599,'Transfer Engine'!$C$2:$C$1369,0)))</f>
        <v/>
      </c>
      <c r="E608" s="8">
        <f>IF(ISNA(MATCH(599,'Transfer Engine'!$C$2:$C$1369,0)),"",INDEX('Compliance Database'!$E$2:$E$1369,MATCH(599,'Transfer Engine'!$C$2:$C$1369,0)))</f>
        <v/>
      </c>
      <c r="F608" s="8">
        <f>IF(ISNA(MATCH(599,'Transfer Engine'!$C$2:$C$1369,0)),"",INDEX('Compliance Database'!$F$2:$F$1369,MATCH(599,'Transfer Engine'!$C$2:$C$1369,0)))</f>
        <v/>
      </c>
      <c r="G608" s="8">
        <f>IF(ISNA(MATCH(599,'Transfer Engine'!$C$2:$C$1369,0)),"",INDEX('Compliance Database'!$G$2:$G$1369,MATCH(599,'Transfer Engine'!$C$2:$C$1369,0)))</f>
        <v/>
      </c>
      <c r="H608" s="9">
        <f>IF(ISNA(MATCH(599,'Transfer Engine'!$C$2:$C$1369,0)),"",INDEX('Compliance Database'!$H$2:$H$1369,MATCH(599,'Transfer Engine'!$C$2:$C$1369,0)))</f>
        <v/>
      </c>
      <c r="I608" s="9">
        <f>IF(ISNA(MATCH(599,'Transfer Engine'!$C$2:$C$1369,0)),"",INDEX('Compliance Database'!$I$2:$I$1369,MATCH(599,'Transfer Engine'!$C$2:$C$1369,0)))</f>
        <v/>
      </c>
      <c r="J608" s="8">
        <f>IF(ISNA(MATCH(599,'Transfer Engine'!$C$2:$C$1369,0)),"",INDEX('Compliance Database'!$J$2:$J$1369,MATCH(599,'Transfer Engine'!$C$2:$C$1369,0)))</f>
        <v/>
      </c>
      <c r="K608" s="9">
        <f>IF(ISNA(MATCH(599,'Transfer Engine'!$C$2:$C$1369,0)),"",INDEX('Compliance Database'!$K$2:$K$1369,MATCH(599,'Transfer Engine'!$C$2:$C$1369,0)))</f>
        <v/>
      </c>
      <c r="L608" s="9">
        <f>IF(ISNA(MATCH(599,'Transfer Engine'!$C$2:$C$1369,0)),"",INDEX('Compliance Database'!$L$2:$L$1369,MATCH(599,'Transfer Engine'!$C$2:$C$1369,0)))</f>
        <v/>
      </c>
      <c r="M608" s="9">
        <f>IF(ISNA(MATCH(599,'Transfer Engine'!$C$2:$C$1369,0)),"",INDEX('Compliance Database'!$M$2:$M$1369,MATCH(599,'Transfer Engine'!$C$2:$C$1369,0)))</f>
        <v/>
      </c>
      <c r="N608" s="9">
        <f>IF(ISNA(MATCH(599,'Transfer Engine'!$C$2:$C$1369,0)),"",INDEX('Compliance Database'!$N$2:$N$1369,MATCH(599,'Transfer Engine'!$C$2:$C$1369,0)))</f>
        <v/>
      </c>
      <c r="O608" s="8">
        <f>IF(ISNA(MATCH(599,'Transfer Engine'!$C$2:$C$1369,0)),"",HYPERLINK(INDEX('Compliance Database'!$O$2:$O$1369,MATCH(599,'Transfer Engine'!$C$2:$C$1369,0)),"Open PDF"))</f>
        <v/>
      </c>
    </row>
    <row r="609" ht="188" customHeight="1">
      <c r="A609" s="8">
        <f>IF(ISNA(MATCH(600,'Transfer Engine'!$C$2:$C$1369,0)),"",INDEX('Compliance Database'!$A$2:$A$1369,MATCH(600,'Transfer Engine'!$C$2:$C$1369,0)))</f>
        <v/>
      </c>
      <c r="B609" s="8">
        <f>IF(ISNA(MATCH(600,'Transfer Engine'!$C$2:$C$1369,0)),"",INDEX('Compliance Database'!$B$2:$B$1369,MATCH(600,'Transfer Engine'!$C$2:$C$1369,0)))</f>
        <v/>
      </c>
      <c r="C609" s="8">
        <f>IF(ISNA(MATCH(600,'Transfer Engine'!$C$2:$C$1369,0)),"",INDEX('Compliance Database'!$C$2:$C$1369,MATCH(600,'Transfer Engine'!$C$2:$C$1369,0)))</f>
        <v/>
      </c>
      <c r="D609" s="9">
        <f>IF(ISNA(MATCH(600,'Transfer Engine'!$C$2:$C$1369,0)),"",INDEX('Compliance Database'!$D$2:$D$1369,MATCH(600,'Transfer Engine'!$C$2:$C$1369,0)))</f>
        <v/>
      </c>
      <c r="E609" s="8">
        <f>IF(ISNA(MATCH(600,'Transfer Engine'!$C$2:$C$1369,0)),"",INDEX('Compliance Database'!$E$2:$E$1369,MATCH(600,'Transfer Engine'!$C$2:$C$1369,0)))</f>
        <v/>
      </c>
      <c r="F609" s="8">
        <f>IF(ISNA(MATCH(600,'Transfer Engine'!$C$2:$C$1369,0)),"",INDEX('Compliance Database'!$F$2:$F$1369,MATCH(600,'Transfer Engine'!$C$2:$C$1369,0)))</f>
        <v/>
      </c>
      <c r="G609" s="8">
        <f>IF(ISNA(MATCH(600,'Transfer Engine'!$C$2:$C$1369,0)),"",INDEX('Compliance Database'!$G$2:$G$1369,MATCH(600,'Transfer Engine'!$C$2:$C$1369,0)))</f>
        <v/>
      </c>
      <c r="H609" s="9">
        <f>IF(ISNA(MATCH(600,'Transfer Engine'!$C$2:$C$1369,0)),"",INDEX('Compliance Database'!$H$2:$H$1369,MATCH(600,'Transfer Engine'!$C$2:$C$1369,0)))</f>
        <v/>
      </c>
      <c r="I609" s="9">
        <f>IF(ISNA(MATCH(600,'Transfer Engine'!$C$2:$C$1369,0)),"",INDEX('Compliance Database'!$I$2:$I$1369,MATCH(600,'Transfer Engine'!$C$2:$C$1369,0)))</f>
        <v/>
      </c>
      <c r="J609" s="8">
        <f>IF(ISNA(MATCH(600,'Transfer Engine'!$C$2:$C$1369,0)),"",INDEX('Compliance Database'!$J$2:$J$1369,MATCH(600,'Transfer Engine'!$C$2:$C$1369,0)))</f>
        <v/>
      </c>
      <c r="K609" s="9">
        <f>IF(ISNA(MATCH(600,'Transfer Engine'!$C$2:$C$1369,0)),"",INDEX('Compliance Database'!$K$2:$K$1369,MATCH(600,'Transfer Engine'!$C$2:$C$1369,0)))</f>
        <v/>
      </c>
      <c r="L609" s="9">
        <f>IF(ISNA(MATCH(600,'Transfer Engine'!$C$2:$C$1369,0)),"",INDEX('Compliance Database'!$L$2:$L$1369,MATCH(600,'Transfer Engine'!$C$2:$C$1369,0)))</f>
        <v/>
      </c>
      <c r="M609" s="9">
        <f>IF(ISNA(MATCH(600,'Transfer Engine'!$C$2:$C$1369,0)),"",INDEX('Compliance Database'!$M$2:$M$1369,MATCH(600,'Transfer Engine'!$C$2:$C$1369,0)))</f>
        <v/>
      </c>
      <c r="N609" s="9">
        <f>IF(ISNA(MATCH(600,'Transfer Engine'!$C$2:$C$1369,0)),"",INDEX('Compliance Database'!$N$2:$N$1369,MATCH(600,'Transfer Engine'!$C$2:$C$1369,0)))</f>
        <v/>
      </c>
      <c r="O609" s="8">
        <f>IF(ISNA(MATCH(600,'Transfer Engine'!$C$2:$C$1369,0)),"",HYPERLINK(INDEX('Compliance Database'!$O$2:$O$1369,MATCH(600,'Transfer Engine'!$C$2:$C$1369,0)),"Open PDF"))</f>
        <v/>
      </c>
    </row>
    <row r="610" ht="188" customHeight="1">
      <c r="A610" s="8">
        <f>IF(ISNA(MATCH(601,'Transfer Engine'!$C$2:$C$1369,0)),"",INDEX('Compliance Database'!$A$2:$A$1369,MATCH(601,'Transfer Engine'!$C$2:$C$1369,0)))</f>
        <v/>
      </c>
      <c r="B610" s="8">
        <f>IF(ISNA(MATCH(601,'Transfer Engine'!$C$2:$C$1369,0)),"",INDEX('Compliance Database'!$B$2:$B$1369,MATCH(601,'Transfer Engine'!$C$2:$C$1369,0)))</f>
        <v/>
      </c>
      <c r="C610" s="8">
        <f>IF(ISNA(MATCH(601,'Transfer Engine'!$C$2:$C$1369,0)),"",INDEX('Compliance Database'!$C$2:$C$1369,MATCH(601,'Transfer Engine'!$C$2:$C$1369,0)))</f>
        <v/>
      </c>
      <c r="D610" s="9">
        <f>IF(ISNA(MATCH(601,'Transfer Engine'!$C$2:$C$1369,0)),"",INDEX('Compliance Database'!$D$2:$D$1369,MATCH(601,'Transfer Engine'!$C$2:$C$1369,0)))</f>
        <v/>
      </c>
      <c r="E610" s="8">
        <f>IF(ISNA(MATCH(601,'Transfer Engine'!$C$2:$C$1369,0)),"",INDEX('Compliance Database'!$E$2:$E$1369,MATCH(601,'Transfer Engine'!$C$2:$C$1369,0)))</f>
        <v/>
      </c>
      <c r="F610" s="8">
        <f>IF(ISNA(MATCH(601,'Transfer Engine'!$C$2:$C$1369,0)),"",INDEX('Compliance Database'!$F$2:$F$1369,MATCH(601,'Transfer Engine'!$C$2:$C$1369,0)))</f>
        <v/>
      </c>
      <c r="G610" s="8">
        <f>IF(ISNA(MATCH(601,'Transfer Engine'!$C$2:$C$1369,0)),"",INDEX('Compliance Database'!$G$2:$G$1369,MATCH(601,'Transfer Engine'!$C$2:$C$1369,0)))</f>
        <v/>
      </c>
      <c r="H610" s="9">
        <f>IF(ISNA(MATCH(601,'Transfer Engine'!$C$2:$C$1369,0)),"",INDEX('Compliance Database'!$H$2:$H$1369,MATCH(601,'Transfer Engine'!$C$2:$C$1369,0)))</f>
        <v/>
      </c>
      <c r="I610" s="9">
        <f>IF(ISNA(MATCH(601,'Transfer Engine'!$C$2:$C$1369,0)),"",INDEX('Compliance Database'!$I$2:$I$1369,MATCH(601,'Transfer Engine'!$C$2:$C$1369,0)))</f>
        <v/>
      </c>
      <c r="J610" s="8">
        <f>IF(ISNA(MATCH(601,'Transfer Engine'!$C$2:$C$1369,0)),"",INDEX('Compliance Database'!$J$2:$J$1369,MATCH(601,'Transfer Engine'!$C$2:$C$1369,0)))</f>
        <v/>
      </c>
      <c r="K610" s="9">
        <f>IF(ISNA(MATCH(601,'Transfer Engine'!$C$2:$C$1369,0)),"",INDEX('Compliance Database'!$K$2:$K$1369,MATCH(601,'Transfer Engine'!$C$2:$C$1369,0)))</f>
        <v/>
      </c>
      <c r="L610" s="9">
        <f>IF(ISNA(MATCH(601,'Transfer Engine'!$C$2:$C$1369,0)),"",INDEX('Compliance Database'!$L$2:$L$1369,MATCH(601,'Transfer Engine'!$C$2:$C$1369,0)))</f>
        <v/>
      </c>
      <c r="M610" s="9">
        <f>IF(ISNA(MATCH(601,'Transfer Engine'!$C$2:$C$1369,0)),"",INDEX('Compliance Database'!$M$2:$M$1369,MATCH(601,'Transfer Engine'!$C$2:$C$1369,0)))</f>
        <v/>
      </c>
      <c r="N610" s="9">
        <f>IF(ISNA(MATCH(601,'Transfer Engine'!$C$2:$C$1369,0)),"",INDEX('Compliance Database'!$N$2:$N$1369,MATCH(601,'Transfer Engine'!$C$2:$C$1369,0)))</f>
        <v/>
      </c>
      <c r="O610" s="8">
        <f>IF(ISNA(MATCH(601,'Transfer Engine'!$C$2:$C$1369,0)),"",HYPERLINK(INDEX('Compliance Database'!$O$2:$O$1369,MATCH(601,'Transfer Engine'!$C$2:$C$1369,0)),"Open PDF"))</f>
        <v/>
      </c>
    </row>
    <row r="611" ht="188" customHeight="1">
      <c r="A611" s="8">
        <f>IF(ISNA(MATCH(602,'Transfer Engine'!$C$2:$C$1369,0)),"",INDEX('Compliance Database'!$A$2:$A$1369,MATCH(602,'Transfer Engine'!$C$2:$C$1369,0)))</f>
        <v/>
      </c>
      <c r="B611" s="8">
        <f>IF(ISNA(MATCH(602,'Transfer Engine'!$C$2:$C$1369,0)),"",INDEX('Compliance Database'!$B$2:$B$1369,MATCH(602,'Transfer Engine'!$C$2:$C$1369,0)))</f>
        <v/>
      </c>
      <c r="C611" s="8">
        <f>IF(ISNA(MATCH(602,'Transfer Engine'!$C$2:$C$1369,0)),"",INDEX('Compliance Database'!$C$2:$C$1369,MATCH(602,'Transfer Engine'!$C$2:$C$1369,0)))</f>
        <v/>
      </c>
      <c r="D611" s="9">
        <f>IF(ISNA(MATCH(602,'Transfer Engine'!$C$2:$C$1369,0)),"",INDEX('Compliance Database'!$D$2:$D$1369,MATCH(602,'Transfer Engine'!$C$2:$C$1369,0)))</f>
        <v/>
      </c>
      <c r="E611" s="8">
        <f>IF(ISNA(MATCH(602,'Transfer Engine'!$C$2:$C$1369,0)),"",INDEX('Compliance Database'!$E$2:$E$1369,MATCH(602,'Transfer Engine'!$C$2:$C$1369,0)))</f>
        <v/>
      </c>
      <c r="F611" s="8">
        <f>IF(ISNA(MATCH(602,'Transfer Engine'!$C$2:$C$1369,0)),"",INDEX('Compliance Database'!$F$2:$F$1369,MATCH(602,'Transfer Engine'!$C$2:$C$1369,0)))</f>
        <v/>
      </c>
      <c r="G611" s="8">
        <f>IF(ISNA(MATCH(602,'Transfer Engine'!$C$2:$C$1369,0)),"",INDEX('Compliance Database'!$G$2:$G$1369,MATCH(602,'Transfer Engine'!$C$2:$C$1369,0)))</f>
        <v/>
      </c>
      <c r="H611" s="9">
        <f>IF(ISNA(MATCH(602,'Transfer Engine'!$C$2:$C$1369,0)),"",INDEX('Compliance Database'!$H$2:$H$1369,MATCH(602,'Transfer Engine'!$C$2:$C$1369,0)))</f>
        <v/>
      </c>
      <c r="I611" s="9">
        <f>IF(ISNA(MATCH(602,'Transfer Engine'!$C$2:$C$1369,0)),"",INDEX('Compliance Database'!$I$2:$I$1369,MATCH(602,'Transfer Engine'!$C$2:$C$1369,0)))</f>
        <v/>
      </c>
      <c r="J611" s="8">
        <f>IF(ISNA(MATCH(602,'Transfer Engine'!$C$2:$C$1369,0)),"",INDEX('Compliance Database'!$J$2:$J$1369,MATCH(602,'Transfer Engine'!$C$2:$C$1369,0)))</f>
        <v/>
      </c>
      <c r="K611" s="9">
        <f>IF(ISNA(MATCH(602,'Transfer Engine'!$C$2:$C$1369,0)),"",INDEX('Compliance Database'!$K$2:$K$1369,MATCH(602,'Transfer Engine'!$C$2:$C$1369,0)))</f>
        <v/>
      </c>
      <c r="L611" s="9">
        <f>IF(ISNA(MATCH(602,'Transfer Engine'!$C$2:$C$1369,0)),"",INDEX('Compliance Database'!$L$2:$L$1369,MATCH(602,'Transfer Engine'!$C$2:$C$1369,0)))</f>
        <v/>
      </c>
      <c r="M611" s="9">
        <f>IF(ISNA(MATCH(602,'Transfer Engine'!$C$2:$C$1369,0)),"",INDEX('Compliance Database'!$M$2:$M$1369,MATCH(602,'Transfer Engine'!$C$2:$C$1369,0)))</f>
        <v/>
      </c>
      <c r="N611" s="9">
        <f>IF(ISNA(MATCH(602,'Transfer Engine'!$C$2:$C$1369,0)),"",INDEX('Compliance Database'!$N$2:$N$1369,MATCH(602,'Transfer Engine'!$C$2:$C$1369,0)))</f>
        <v/>
      </c>
      <c r="O611" s="8">
        <f>IF(ISNA(MATCH(602,'Transfer Engine'!$C$2:$C$1369,0)),"",HYPERLINK(INDEX('Compliance Database'!$O$2:$O$1369,MATCH(602,'Transfer Engine'!$C$2:$C$1369,0)),"Open PDF"))</f>
        <v/>
      </c>
    </row>
    <row r="612" ht="188" customHeight="1">
      <c r="A612" s="8">
        <f>IF(ISNA(MATCH(603,'Transfer Engine'!$C$2:$C$1369,0)),"",INDEX('Compliance Database'!$A$2:$A$1369,MATCH(603,'Transfer Engine'!$C$2:$C$1369,0)))</f>
        <v/>
      </c>
      <c r="B612" s="8">
        <f>IF(ISNA(MATCH(603,'Transfer Engine'!$C$2:$C$1369,0)),"",INDEX('Compliance Database'!$B$2:$B$1369,MATCH(603,'Transfer Engine'!$C$2:$C$1369,0)))</f>
        <v/>
      </c>
      <c r="C612" s="8">
        <f>IF(ISNA(MATCH(603,'Transfer Engine'!$C$2:$C$1369,0)),"",INDEX('Compliance Database'!$C$2:$C$1369,MATCH(603,'Transfer Engine'!$C$2:$C$1369,0)))</f>
        <v/>
      </c>
      <c r="D612" s="9">
        <f>IF(ISNA(MATCH(603,'Transfer Engine'!$C$2:$C$1369,0)),"",INDEX('Compliance Database'!$D$2:$D$1369,MATCH(603,'Transfer Engine'!$C$2:$C$1369,0)))</f>
        <v/>
      </c>
      <c r="E612" s="8">
        <f>IF(ISNA(MATCH(603,'Transfer Engine'!$C$2:$C$1369,0)),"",INDEX('Compliance Database'!$E$2:$E$1369,MATCH(603,'Transfer Engine'!$C$2:$C$1369,0)))</f>
        <v/>
      </c>
      <c r="F612" s="8">
        <f>IF(ISNA(MATCH(603,'Transfer Engine'!$C$2:$C$1369,0)),"",INDEX('Compliance Database'!$F$2:$F$1369,MATCH(603,'Transfer Engine'!$C$2:$C$1369,0)))</f>
        <v/>
      </c>
      <c r="G612" s="8">
        <f>IF(ISNA(MATCH(603,'Transfer Engine'!$C$2:$C$1369,0)),"",INDEX('Compliance Database'!$G$2:$G$1369,MATCH(603,'Transfer Engine'!$C$2:$C$1369,0)))</f>
        <v/>
      </c>
      <c r="H612" s="9">
        <f>IF(ISNA(MATCH(603,'Transfer Engine'!$C$2:$C$1369,0)),"",INDEX('Compliance Database'!$H$2:$H$1369,MATCH(603,'Transfer Engine'!$C$2:$C$1369,0)))</f>
        <v/>
      </c>
      <c r="I612" s="9">
        <f>IF(ISNA(MATCH(603,'Transfer Engine'!$C$2:$C$1369,0)),"",INDEX('Compliance Database'!$I$2:$I$1369,MATCH(603,'Transfer Engine'!$C$2:$C$1369,0)))</f>
        <v/>
      </c>
      <c r="J612" s="8">
        <f>IF(ISNA(MATCH(603,'Transfer Engine'!$C$2:$C$1369,0)),"",INDEX('Compliance Database'!$J$2:$J$1369,MATCH(603,'Transfer Engine'!$C$2:$C$1369,0)))</f>
        <v/>
      </c>
      <c r="K612" s="9">
        <f>IF(ISNA(MATCH(603,'Transfer Engine'!$C$2:$C$1369,0)),"",INDEX('Compliance Database'!$K$2:$K$1369,MATCH(603,'Transfer Engine'!$C$2:$C$1369,0)))</f>
        <v/>
      </c>
      <c r="L612" s="9">
        <f>IF(ISNA(MATCH(603,'Transfer Engine'!$C$2:$C$1369,0)),"",INDEX('Compliance Database'!$L$2:$L$1369,MATCH(603,'Transfer Engine'!$C$2:$C$1369,0)))</f>
        <v/>
      </c>
      <c r="M612" s="9">
        <f>IF(ISNA(MATCH(603,'Transfer Engine'!$C$2:$C$1369,0)),"",INDEX('Compliance Database'!$M$2:$M$1369,MATCH(603,'Transfer Engine'!$C$2:$C$1369,0)))</f>
        <v/>
      </c>
      <c r="N612" s="9">
        <f>IF(ISNA(MATCH(603,'Transfer Engine'!$C$2:$C$1369,0)),"",INDEX('Compliance Database'!$N$2:$N$1369,MATCH(603,'Transfer Engine'!$C$2:$C$1369,0)))</f>
        <v/>
      </c>
      <c r="O612" s="8">
        <f>IF(ISNA(MATCH(603,'Transfer Engine'!$C$2:$C$1369,0)),"",HYPERLINK(INDEX('Compliance Database'!$O$2:$O$1369,MATCH(603,'Transfer Engine'!$C$2:$C$1369,0)),"Open PDF"))</f>
        <v/>
      </c>
    </row>
    <row r="613" ht="188" customHeight="1">
      <c r="A613" s="8">
        <f>IF(ISNA(MATCH(604,'Transfer Engine'!$C$2:$C$1369,0)),"",INDEX('Compliance Database'!$A$2:$A$1369,MATCH(604,'Transfer Engine'!$C$2:$C$1369,0)))</f>
        <v/>
      </c>
      <c r="B613" s="8">
        <f>IF(ISNA(MATCH(604,'Transfer Engine'!$C$2:$C$1369,0)),"",INDEX('Compliance Database'!$B$2:$B$1369,MATCH(604,'Transfer Engine'!$C$2:$C$1369,0)))</f>
        <v/>
      </c>
      <c r="C613" s="8">
        <f>IF(ISNA(MATCH(604,'Transfer Engine'!$C$2:$C$1369,0)),"",INDEX('Compliance Database'!$C$2:$C$1369,MATCH(604,'Transfer Engine'!$C$2:$C$1369,0)))</f>
        <v/>
      </c>
      <c r="D613" s="9">
        <f>IF(ISNA(MATCH(604,'Transfer Engine'!$C$2:$C$1369,0)),"",INDEX('Compliance Database'!$D$2:$D$1369,MATCH(604,'Transfer Engine'!$C$2:$C$1369,0)))</f>
        <v/>
      </c>
      <c r="E613" s="8">
        <f>IF(ISNA(MATCH(604,'Transfer Engine'!$C$2:$C$1369,0)),"",INDEX('Compliance Database'!$E$2:$E$1369,MATCH(604,'Transfer Engine'!$C$2:$C$1369,0)))</f>
        <v/>
      </c>
      <c r="F613" s="8">
        <f>IF(ISNA(MATCH(604,'Transfer Engine'!$C$2:$C$1369,0)),"",INDEX('Compliance Database'!$F$2:$F$1369,MATCH(604,'Transfer Engine'!$C$2:$C$1369,0)))</f>
        <v/>
      </c>
      <c r="G613" s="8">
        <f>IF(ISNA(MATCH(604,'Transfer Engine'!$C$2:$C$1369,0)),"",INDEX('Compliance Database'!$G$2:$G$1369,MATCH(604,'Transfer Engine'!$C$2:$C$1369,0)))</f>
        <v/>
      </c>
      <c r="H613" s="9">
        <f>IF(ISNA(MATCH(604,'Transfer Engine'!$C$2:$C$1369,0)),"",INDEX('Compliance Database'!$H$2:$H$1369,MATCH(604,'Transfer Engine'!$C$2:$C$1369,0)))</f>
        <v/>
      </c>
      <c r="I613" s="9">
        <f>IF(ISNA(MATCH(604,'Transfer Engine'!$C$2:$C$1369,0)),"",INDEX('Compliance Database'!$I$2:$I$1369,MATCH(604,'Transfer Engine'!$C$2:$C$1369,0)))</f>
        <v/>
      </c>
      <c r="J613" s="8">
        <f>IF(ISNA(MATCH(604,'Transfer Engine'!$C$2:$C$1369,0)),"",INDEX('Compliance Database'!$J$2:$J$1369,MATCH(604,'Transfer Engine'!$C$2:$C$1369,0)))</f>
        <v/>
      </c>
      <c r="K613" s="9">
        <f>IF(ISNA(MATCH(604,'Transfer Engine'!$C$2:$C$1369,0)),"",INDEX('Compliance Database'!$K$2:$K$1369,MATCH(604,'Transfer Engine'!$C$2:$C$1369,0)))</f>
        <v/>
      </c>
      <c r="L613" s="9">
        <f>IF(ISNA(MATCH(604,'Transfer Engine'!$C$2:$C$1369,0)),"",INDEX('Compliance Database'!$L$2:$L$1369,MATCH(604,'Transfer Engine'!$C$2:$C$1369,0)))</f>
        <v/>
      </c>
      <c r="M613" s="9">
        <f>IF(ISNA(MATCH(604,'Transfer Engine'!$C$2:$C$1369,0)),"",INDEX('Compliance Database'!$M$2:$M$1369,MATCH(604,'Transfer Engine'!$C$2:$C$1369,0)))</f>
        <v/>
      </c>
      <c r="N613" s="9">
        <f>IF(ISNA(MATCH(604,'Transfer Engine'!$C$2:$C$1369,0)),"",INDEX('Compliance Database'!$N$2:$N$1369,MATCH(604,'Transfer Engine'!$C$2:$C$1369,0)))</f>
        <v/>
      </c>
      <c r="O613" s="8">
        <f>IF(ISNA(MATCH(604,'Transfer Engine'!$C$2:$C$1369,0)),"",HYPERLINK(INDEX('Compliance Database'!$O$2:$O$1369,MATCH(604,'Transfer Engine'!$C$2:$C$1369,0)),"Open PDF"))</f>
        <v/>
      </c>
    </row>
    <row r="614" ht="188" customHeight="1">
      <c r="A614" s="8">
        <f>IF(ISNA(MATCH(605,'Transfer Engine'!$C$2:$C$1369,0)),"",INDEX('Compliance Database'!$A$2:$A$1369,MATCH(605,'Transfer Engine'!$C$2:$C$1369,0)))</f>
        <v/>
      </c>
      <c r="B614" s="8">
        <f>IF(ISNA(MATCH(605,'Transfer Engine'!$C$2:$C$1369,0)),"",INDEX('Compliance Database'!$B$2:$B$1369,MATCH(605,'Transfer Engine'!$C$2:$C$1369,0)))</f>
        <v/>
      </c>
      <c r="C614" s="8">
        <f>IF(ISNA(MATCH(605,'Transfer Engine'!$C$2:$C$1369,0)),"",INDEX('Compliance Database'!$C$2:$C$1369,MATCH(605,'Transfer Engine'!$C$2:$C$1369,0)))</f>
        <v/>
      </c>
      <c r="D614" s="9">
        <f>IF(ISNA(MATCH(605,'Transfer Engine'!$C$2:$C$1369,0)),"",INDEX('Compliance Database'!$D$2:$D$1369,MATCH(605,'Transfer Engine'!$C$2:$C$1369,0)))</f>
        <v/>
      </c>
      <c r="E614" s="8">
        <f>IF(ISNA(MATCH(605,'Transfer Engine'!$C$2:$C$1369,0)),"",INDEX('Compliance Database'!$E$2:$E$1369,MATCH(605,'Transfer Engine'!$C$2:$C$1369,0)))</f>
        <v/>
      </c>
      <c r="F614" s="8">
        <f>IF(ISNA(MATCH(605,'Transfer Engine'!$C$2:$C$1369,0)),"",INDEX('Compliance Database'!$F$2:$F$1369,MATCH(605,'Transfer Engine'!$C$2:$C$1369,0)))</f>
        <v/>
      </c>
      <c r="G614" s="8">
        <f>IF(ISNA(MATCH(605,'Transfer Engine'!$C$2:$C$1369,0)),"",INDEX('Compliance Database'!$G$2:$G$1369,MATCH(605,'Transfer Engine'!$C$2:$C$1369,0)))</f>
        <v/>
      </c>
      <c r="H614" s="9">
        <f>IF(ISNA(MATCH(605,'Transfer Engine'!$C$2:$C$1369,0)),"",INDEX('Compliance Database'!$H$2:$H$1369,MATCH(605,'Transfer Engine'!$C$2:$C$1369,0)))</f>
        <v/>
      </c>
      <c r="I614" s="9">
        <f>IF(ISNA(MATCH(605,'Transfer Engine'!$C$2:$C$1369,0)),"",INDEX('Compliance Database'!$I$2:$I$1369,MATCH(605,'Transfer Engine'!$C$2:$C$1369,0)))</f>
        <v/>
      </c>
      <c r="J614" s="8">
        <f>IF(ISNA(MATCH(605,'Transfer Engine'!$C$2:$C$1369,0)),"",INDEX('Compliance Database'!$J$2:$J$1369,MATCH(605,'Transfer Engine'!$C$2:$C$1369,0)))</f>
        <v/>
      </c>
      <c r="K614" s="9">
        <f>IF(ISNA(MATCH(605,'Transfer Engine'!$C$2:$C$1369,0)),"",INDEX('Compliance Database'!$K$2:$K$1369,MATCH(605,'Transfer Engine'!$C$2:$C$1369,0)))</f>
        <v/>
      </c>
      <c r="L614" s="9">
        <f>IF(ISNA(MATCH(605,'Transfer Engine'!$C$2:$C$1369,0)),"",INDEX('Compliance Database'!$L$2:$L$1369,MATCH(605,'Transfer Engine'!$C$2:$C$1369,0)))</f>
        <v/>
      </c>
      <c r="M614" s="9">
        <f>IF(ISNA(MATCH(605,'Transfer Engine'!$C$2:$C$1369,0)),"",INDEX('Compliance Database'!$M$2:$M$1369,MATCH(605,'Transfer Engine'!$C$2:$C$1369,0)))</f>
        <v/>
      </c>
      <c r="N614" s="9">
        <f>IF(ISNA(MATCH(605,'Transfer Engine'!$C$2:$C$1369,0)),"",INDEX('Compliance Database'!$N$2:$N$1369,MATCH(605,'Transfer Engine'!$C$2:$C$1369,0)))</f>
        <v/>
      </c>
      <c r="O614" s="8">
        <f>IF(ISNA(MATCH(605,'Transfer Engine'!$C$2:$C$1369,0)),"",HYPERLINK(INDEX('Compliance Database'!$O$2:$O$1369,MATCH(605,'Transfer Engine'!$C$2:$C$1369,0)),"Open PDF"))</f>
        <v/>
      </c>
    </row>
    <row r="615" ht="188" customHeight="1">
      <c r="A615" s="8">
        <f>IF(ISNA(MATCH(606,'Transfer Engine'!$C$2:$C$1369,0)),"",INDEX('Compliance Database'!$A$2:$A$1369,MATCH(606,'Transfer Engine'!$C$2:$C$1369,0)))</f>
        <v/>
      </c>
      <c r="B615" s="8">
        <f>IF(ISNA(MATCH(606,'Transfer Engine'!$C$2:$C$1369,0)),"",INDEX('Compliance Database'!$B$2:$B$1369,MATCH(606,'Transfer Engine'!$C$2:$C$1369,0)))</f>
        <v/>
      </c>
      <c r="C615" s="8">
        <f>IF(ISNA(MATCH(606,'Transfer Engine'!$C$2:$C$1369,0)),"",INDEX('Compliance Database'!$C$2:$C$1369,MATCH(606,'Transfer Engine'!$C$2:$C$1369,0)))</f>
        <v/>
      </c>
      <c r="D615" s="9">
        <f>IF(ISNA(MATCH(606,'Transfer Engine'!$C$2:$C$1369,0)),"",INDEX('Compliance Database'!$D$2:$D$1369,MATCH(606,'Transfer Engine'!$C$2:$C$1369,0)))</f>
        <v/>
      </c>
      <c r="E615" s="8">
        <f>IF(ISNA(MATCH(606,'Transfer Engine'!$C$2:$C$1369,0)),"",INDEX('Compliance Database'!$E$2:$E$1369,MATCH(606,'Transfer Engine'!$C$2:$C$1369,0)))</f>
        <v/>
      </c>
      <c r="F615" s="8">
        <f>IF(ISNA(MATCH(606,'Transfer Engine'!$C$2:$C$1369,0)),"",INDEX('Compliance Database'!$F$2:$F$1369,MATCH(606,'Transfer Engine'!$C$2:$C$1369,0)))</f>
        <v/>
      </c>
      <c r="G615" s="8">
        <f>IF(ISNA(MATCH(606,'Transfer Engine'!$C$2:$C$1369,0)),"",INDEX('Compliance Database'!$G$2:$G$1369,MATCH(606,'Transfer Engine'!$C$2:$C$1369,0)))</f>
        <v/>
      </c>
      <c r="H615" s="9">
        <f>IF(ISNA(MATCH(606,'Transfer Engine'!$C$2:$C$1369,0)),"",INDEX('Compliance Database'!$H$2:$H$1369,MATCH(606,'Transfer Engine'!$C$2:$C$1369,0)))</f>
        <v/>
      </c>
      <c r="I615" s="9">
        <f>IF(ISNA(MATCH(606,'Transfer Engine'!$C$2:$C$1369,0)),"",INDEX('Compliance Database'!$I$2:$I$1369,MATCH(606,'Transfer Engine'!$C$2:$C$1369,0)))</f>
        <v/>
      </c>
      <c r="J615" s="8">
        <f>IF(ISNA(MATCH(606,'Transfer Engine'!$C$2:$C$1369,0)),"",INDEX('Compliance Database'!$J$2:$J$1369,MATCH(606,'Transfer Engine'!$C$2:$C$1369,0)))</f>
        <v/>
      </c>
      <c r="K615" s="9">
        <f>IF(ISNA(MATCH(606,'Transfer Engine'!$C$2:$C$1369,0)),"",INDEX('Compliance Database'!$K$2:$K$1369,MATCH(606,'Transfer Engine'!$C$2:$C$1369,0)))</f>
        <v/>
      </c>
      <c r="L615" s="9">
        <f>IF(ISNA(MATCH(606,'Transfer Engine'!$C$2:$C$1369,0)),"",INDEX('Compliance Database'!$L$2:$L$1369,MATCH(606,'Transfer Engine'!$C$2:$C$1369,0)))</f>
        <v/>
      </c>
      <c r="M615" s="9">
        <f>IF(ISNA(MATCH(606,'Transfer Engine'!$C$2:$C$1369,0)),"",INDEX('Compliance Database'!$M$2:$M$1369,MATCH(606,'Transfer Engine'!$C$2:$C$1369,0)))</f>
        <v/>
      </c>
      <c r="N615" s="9">
        <f>IF(ISNA(MATCH(606,'Transfer Engine'!$C$2:$C$1369,0)),"",INDEX('Compliance Database'!$N$2:$N$1369,MATCH(606,'Transfer Engine'!$C$2:$C$1369,0)))</f>
        <v/>
      </c>
      <c r="O615" s="8">
        <f>IF(ISNA(MATCH(606,'Transfer Engine'!$C$2:$C$1369,0)),"",HYPERLINK(INDEX('Compliance Database'!$O$2:$O$1369,MATCH(606,'Transfer Engine'!$C$2:$C$1369,0)),"Open PDF"))</f>
        <v/>
      </c>
    </row>
    <row r="616" ht="188" customHeight="1">
      <c r="A616" s="8">
        <f>IF(ISNA(MATCH(607,'Transfer Engine'!$C$2:$C$1369,0)),"",INDEX('Compliance Database'!$A$2:$A$1369,MATCH(607,'Transfer Engine'!$C$2:$C$1369,0)))</f>
        <v/>
      </c>
      <c r="B616" s="8">
        <f>IF(ISNA(MATCH(607,'Transfer Engine'!$C$2:$C$1369,0)),"",INDEX('Compliance Database'!$B$2:$B$1369,MATCH(607,'Transfer Engine'!$C$2:$C$1369,0)))</f>
        <v/>
      </c>
      <c r="C616" s="8">
        <f>IF(ISNA(MATCH(607,'Transfer Engine'!$C$2:$C$1369,0)),"",INDEX('Compliance Database'!$C$2:$C$1369,MATCH(607,'Transfer Engine'!$C$2:$C$1369,0)))</f>
        <v/>
      </c>
      <c r="D616" s="9">
        <f>IF(ISNA(MATCH(607,'Transfer Engine'!$C$2:$C$1369,0)),"",INDEX('Compliance Database'!$D$2:$D$1369,MATCH(607,'Transfer Engine'!$C$2:$C$1369,0)))</f>
        <v/>
      </c>
      <c r="E616" s="8">
        <f>IF(ISNA(MATCH(607,'Transfer Engine'!$C$2:$C$1369,0)),"",INDEX('Compliance Database'!$E$2:$E$1369,MATCH(607,'Transfer Engine'!$C$2:$C$1369,0)))</f>
        <v/>
      </c>
      <c r="F616" s="8">
        <f>IF(ISNA(MATCH(607,'Transfer Engine'!$C$2:$C$1369,0)),"",INDEX('Compliance Database'!$F$2:$F$1369,MATCH(607,'Transfer Engine'!$C$2:$C$1369,0)))</f>
        <v/>
      </c>
      <c r="G616" s="8">
        <f>IF(ISNA(MATCH(607,'Transfer Engine'!$C$2:$C$1369,0)),"",INDEX('Compliance Database'!$G$2:$G$1369,MATCH(607,'Transfer Engine'!$C$2:$C$1369,0)))</f>
        <v/>
      </c>
      <c r="H616" s="9">
        <f>IF(ISNA(MATCH(607,'Transfer Engine'!$C$2:$C$1369,0)),"",INDEX('Compliance Database'!$H$2:$H$1369,MATCH(607,'Transfer Engine'!$C$2:$C$1369,0)))</f>
        <v/>
      </c>
      <c r="I616" s="9">
        <f>IF(ISNA(MATCH(607,'Transfer Engine'!$C$2:$C$1369,0)),"",INDEX('Compliance Database'!$I$2:$I$1369,MATCH(607,'Transfer Engine'!$C$2:$C$1369,0)))</f>
        <v/>
      </c>
      <c r="J616" s="8">
        <f>IF(ISNA(MATCH(607,'Transfer Engine'!$C$2:$C$1369,0)),"",INDEX('Compliance Database'!$J$2:$J$1369,MATCH(607,'Transfer Engine'!$C$2:$C$1369,0)))</f>
        <v/>
      </c>
      <c r="K616" s="9">
        <f>IF(ISNA(MATCH(607,'Transfer Engine'!$C$2:$C$1369,0)),"",INDEX('Compliance Database'!$K$2:$K$1369,MATCH(607,'Transfer Engine'!$C$2:$C$1369,0)))</f>
        <v/>
      </c>
      <c r="L616" s="9">
        <f>IF(ISNA(MATCH(607,'Transfer Engine'!$C$2:$C$1369,0)),"",INDEX('Compliance Database'!$L$2:$L$1369,MATCH(607,'Transfer Engine'!$C$2:$C$1369,0)))</f>
        <v/>
      </c>
      <c r="M616" s="9">
        <f>IF(ISNA(MATCH(607,'Transfer Engine'!$C$2:$C$1369,0)),"",INDEX('Compliance Database'!$M$2:$M$1369,MATCH(607,'Transfer Engine'!$C$2:$C$1369,0)))</f>
        <v/>
      </c>
      <c r="N616" s="9">
        <f>IF(ISNA(MATCH(607,'Transfer Engine'!$C$2:$C$1369,0)),"",INDEX('Compliance Database'!$N$2:$N$1369,MATCH(607,'Transfer Engine'!$C$2:$C$1369,0)))</f>
        <v/>
      </c>
      <c r="O616" s="8">
        <f>IF(ISNA(MATCH(607,'Transfer Engine'!$C$2:$C$1369,0)),"",HYPERLINK(INDEX('Compliance Database'!$O$2:$O$1369,MATCH(607,'Transfer Engine'!$C$2:$C$1369,0)),"Open PDF"))</f>
        <v/>
      </c>
    </row>
    <row r="617" ht="188" customHeight="1">
      <c r="A617" s="8">
        <f>IF(ISNA(MATCH(608,'Transfer Engine'!$C$2:$C$1369,0)),"",INDEX('Compliance Database'!$A$2:$A$1369,MATCH(608,'Transfer Engine'!$C$2:$C$1369,0)))</f>
        <v/>
      </c>
      <c r="B617" s="8">
        <f>IF(ISNA(MATCH(608,'Transfer Engine'!$C$2:$C$1369,0)),"",INDEX('Compliance Database'!$B$2:$B$1369,MATCH(608,'Transfer Engine'!$C$2:$C$1369,0)))</f>
        <v/>
      </c>
      <c r="C617" s="8">
        <f>IF(ISNA(MATCH(608,'Transfer Engine'!$C$2:$C$1369,0)),"",INDEX('Compliance Database'!$C$2:$C$1369,MATCH(608,'Transfer Engine'!$C$2:$C$1369,0)))</f>
        <v/>
      </c>
      <c r="D617" s="9">
        <f>IF(ISNA(MATCH(608,'Transfer Engine'!$C$2:$C$1369,0)),"",INDEX('Compliance Database'!$D$2:$D$1369,MATCH(608,'Transfer Engine'!$C$2:$C$1369,0)))</f>
        <v/>
      </c>
      <c r="E617" s="8">
        <f>IF(ISNA(MATCH(608,'Transfer Engine'!$C$2:$C$1369,0)),"",INDEX('Compliance Database'!$E$2:$E$1369,MATCH(608,'Transfer Engine'!$C$2:$C$1369,0)))</f>
        <v/>
      </c>
      <c r="F617" s="8">
        <f>IF(ISNA(MATCH(608,'Transfer Engine'!$C$2:$C$1369,0)),"",INDEX('Compliance Database'!$F$2:$F$1369,MATCH(608,'Transfer Engine'!$C$2:$C$1369,0)))</f>
        <v/>
      </c>
      <c r="G617" s="8">
        <f>IF(ISNA(MATCH(608,'Transfer Engine'!$C$2:$C$1369,0)),"",INDEX('Compliance Database'!$G$2:$G$1369,MATCH(608,'Transfer Engine'!$C$2:$C$1369,0)))</f>
        <v/>
      </c>
      <c r="H617" s="9">
        <f>IF(ISNA(MATCH(608,'Transfer Engine'!$C$2:$C$1369,0)),"",INDEX('Compliance Database'!$H$2:$H$1369,MATCH(608,'Transfer Engine'!$C$2:$C$1369,0)))</f>
        <v/>
      </c>
      <c r="I617" s="9">
        <f>IF(ISNA(MATCH(608,'Transfer Engine'!$C$2:$C$1369,0)),"",INDEX('Compliance Database'!$I$2:$I$1369,MATCH(608,'Transfer Engine'!$C$2:$C$1369,0)))</f>
        <v/>
      </c>
      <c r="J617" s="8">
        <f>IF(ISNA(MATCH(608,'Transfer Engine'!$C$2:$C$1369,0)),"",INDEX('Compliance Database'!$J$2:$J$1369,MATCH(608,'Transfer Engine'!$C$2:$C$1369,0)))</f>
        <v/>
      </c>
      <c r="K617" s="9">
        <f>IF(ISNA(MATCH(608,'Transfer Engine'!$C$2:$C$1369,0)),"",INDEX('Compliance Database'!$K$2:$K$1369,MATCH(608,'Transfer Engine'!$C$2:$C$1369,0)))</f>
        <v/>
      </c>
      <c r="L617" s="9">
        <f>IF(ISNA(MATCH(608,'Transfer Engine'!$C$2:$C$1369,0)),"",INDEX('Compliance Database'!$L$2:$L$1369,MATCH(608,'Transfer Engine'!$C$2:$C$1369,0)))</f>
        <v/>
      </c>
      <c r="M617" s="9">
        <f>IF(ISNA(MATCH(608,'Transfer Engine'!$C$2:$C$1369,0)),"",INDEX('Compliance Database'!$M$2:$M$1369,MATCH(608,'Transfer Engine'!$C$2:$C$1369,0)))</f>
        <v/>
      </c>
      <c r="N617" s="9">
        <f>IF(ISNA(MATCH(608,'Transfer Engine'!$C$2:$C$1369,0)),"",INDEX('Compliance Database'!$N$2:$N$1369,MATCH(608,'Transfer Engine'!$C$2:$C$1369,0)))</f>
        <v/>
      </c>
      <c r="O617" s="8">
        <f>IF(ISNA(MATCH(608,'Transfer Engine'!$C$2:$C$1369,0)),"",HYPERLINK(INDEX('Compliance Database'!$O$2:$O$1369,MATCH(608,'Transfer Engine'!$C$2:$C$1369,0)),"Open PDF"))</f>
        <v/>
      </c>
    </row>
    <row r="618" ht="188" customHeight="1">
      <c r="A618" s="8">
        <f>IF(ISNA(MATCH(609,'Transfer Engine'!$C$2:$C$1369,0)),"",INDEX('Compliance Database'!$A$2:$A$1369,MATCH(609,'Transfer Engine'!$C$2:$C$1369,0)))</f>
        <v/>
      </c>
      <c r="B618" s="8">
        <f>IF(ISNA(MATCH(609,'Transfer Engine'!$C$2:$C$1369,0)),"",INDEX('Compliance Database'!$B$2:$B$1369,MATCH(609,'Transfer Engine'!$C$2:$C$1369,0)))</f>
        <v/>
      </c>
      <c r="C618" s="8">
        <f>IF(ISNA(MATCH(609,'Transfer Engine'!$C$2:$C$1369,0)),"",INDEX('Compliance Database'!$C$2:$C$1369,MATCH(609,'Transfer Engine'!$C$2:$C$1369,0)))</f>
        <v/>
      </c>
      <c r="D618" s="9">
        <f>IF(ISNA(MATCH(609,'Transfer Engine'!$C$2:$C$1369,0)),"",INDEX('Compliance Database'!$D$2:$D$1369,MATCH(609,'Transfer Engine'!$C$2:$C$1369,0)))</f>
        <v/>
      </c>
      <c r="E618" s="8">
        <f>IF(ISNA(MATCH(609,'Transfer Engine'!$C$2:$C$1369,0)),"",INDEX('Compliance Database'!$E$2:$E$1369,MATCH(609,'Transfer Engine'!$C$2:$C$1369,0)))</f>
        <v/>
      </c>
      <c r="F618" s="8">
        <f>IF(ISNA(MATCH(609,'Transfer Engine'!$C$2:$C$1369,0)),"",INDEX('Compliance Database'!$F$2:$F$1369,MATCH(609,'Transfer Engine'!$C$2:$C$1369,0)))</f>
        <v/>
      </c>
      <c r="G618" s="8">
        <f>IF(ISNA(MATCH(609,'Transfer Engine'!$C$2:$C$1369,0)),"",INDEX('Compliance Database'!$G$2:$G$1369,MATCH(609,'Transfer Engine'!$C$2:$C$1369,0)))</f>
        <v/>
      </c>
      <c r="H618" s="9">
        <f>IF(ISNA(MATCH(609,'Transfer Engine'!$C$2:$C$1369,0)),"",INDEX('Compliance Database'!$H$2:$H$1369,MATCH(609,'Transfer Engine'!$C$2:$C$1369,0)))</f>
        <v/>
      </c>
      <c r="I618" s="9">
        <f>IF(ISNA(MATCH(609,'Transfer Engine'!$C$2:$C$1369,0)),"",INDEX('Compliance Database'!$I$2:$I$1369,MATCH(609,'Transfer Engine'!$C$2:$C$1369,0)))</f>
        <v/>
      </c>
      <c r="J618" s="8">
        <f>IF(ISNA(MATCH(609,'Transfer Engine'!$C$2:$C$1369,0)),"",INDEX('Compliance Database'!$J$2:$J$1369,MATCH(609,'Transfer Engine'!$C$2:$C$1369,0)))</f>
        <v/>
      </c>
      <c r="K618" s="9">
        <f>IF(ISNA(MATCH(609,'Transfer Engine'!$C$2:$C$1369,0)),"",INDEX('Compliance Database'!$K$2:$K$1369,MATCH(609,'Transfer Engine'!$C$2:$C$1369,0)))</f>
        <v/>
      </c>
      <c r="L618" s="9">
        <f>IF(ISNA(MATCH(609,'Transfer Engine'!$C$2:$C$1369,0)),"",INDEX('Compliance Database'!$L$2:$L$1369,MATCH(609,'Transfer Engine'!$C$2:$C$1369,0)))</f>
        <v/>
      </c>
      <c r="M618" s="9">
        <f>IF(ISNA(MATCH(609,'Transfer Engine'!$C$2:$C$1369,0)),"",INDEX('Compliance Database'!$M$2:$M$1369,MATCH(609,'Transfer Engine'!$C$2:$C$1369,0)))</f>
        <v/>
      </c>
      <c r="N618" s="9">
        <f>IF(ISNA(MATCH(609,'Transfer Engine'!$C$2:$C$1369,0)),"",INDEX('Compliance Database'!$N$2:$N$1369,MATCH(609,'Transfer Engine'!$C$2:$C$1369,0)))</f>
        <v/>
      </c>
      <c r="O618" s="8">
        <f>IF(ISNA(MATCH(609,'Transfer Engine'!$C$2:$C$1369,0)),"",HYPERLINK(INDEX('Compliance Database'!$O$2:$O$1369,MATCH(609,'Transfer Engine'!$C$2:$C$1369,0)),"Open PDF"))</f>
        <v/>
      </c>
    </row>
    <row r="619" ht="188" customHeight="1">
      <c r="A619" s="8">
        <f>IF(ISNA(MATCH(610,'Transfer Engine'!$C$2:$C$1369,0)),"",INDEX('Compliance Database'!$A$2:$A$1369,MATCH(610,'Transfer Engine'!$C$2:$C$1369,0)))</f>
        <v/>
      </c>
      <c r="B619" s="8">
        <f>IF(ISNA(MATCH(610,'Transfer Engine'!$C$2:$C$1369,0)),"",INDEX('Compliance Database'!$B$2:$B$1369,MATCH(610,'Transfer Engine'!$C$2:$C$1369,0)))</f>
        <v/>
      </c>
      <c r="C619" s="8">
        <f>IF(ISNA(MATCH(610,'Transfer Engine'!$C$2:$C$1369,0)),"",INDEX('Compliance Database'!$C$2:$C$1369,MATCH(610,'Transfer Engine'!$C$2:$C$1369,0)))</f>
        <v/>
      </c>
      <c r="D619" s="9">
        <f>IF(ISNA(MATCH(610,'Transfer Engine'!$C$2:$C$1369,0)),"",INDEX('Compliance Database'!$D$2:$D$1369,MATCH(610,'Transfer Engine'!$C$2:$C$1369,0)))</f>
        <v/>
      </c>
      <c r="E619" s="8">
        <f>IF(ISNA(MATCH(610,'Transfer Engine'!$C$2:$C$1369,0)),"",INDEX('Compliance Database'!$E$2:$E$1369,MATCH(610,'Transfer Engine'!$C$2:$C$1369,0)))</f>
        <v/>
      </c>
      <c r="F619" s="8">
        <f>IF(ISNA(MATCH(610,'Transfer Engine'!$C$2:$C$1369,0)),"",INDEX('Compliance Database'!$F$2:$F$1369,MATCH(610,'Transfer Engine'!$C$2:$C$1369,0)))</f>
        <v/>
      </c>
      <c r="G619" s="8">
        <f>IF(ISNA(MATCH(610,'Transfer Engine'!$C$2:$C$1369,0)),"",INDEX('Compliance Database'!$G$2:$G$1369,MATCH(610,'Transfer Engine'!$C$2:$C$1369,0)))</f>
        <v/>
      </c>
      <c r="H619" s="9">
        <f>IF(ISNA(MATCH(610,'Transfer Engine'!$C$2:$C$1369,0)),"",INDEX('Compliance Database'!$H$2:$H$1369,MATCH(610,'Transfer Engine'!$C$2:$C$1369,0)))</f>
        <v/>
      </c>
      <c r="I619" s="9">
        <f>IF(ISNA(MATCH(610,'Transfer Engine'!$C$2:$C$1369,0)),"",INDEX('Compliance Database'!$I$2:$I$1369,MATCH(610,'Transfer Engine'!$C$2:$C$1369,0)))</f>
        <v/>
      </c>
      <c r="J619" s="8">
        <f>IF(ISNA(MATCH(610,'Transfer Engine'!$C$2:$C$1369,0)),"",INDEX('Compliance Database'!$J$2:$J$1369,MATCH(610,'Transfer Engine'!$C$2:$C$1369,0)))</f>
        <v/>
      </c>
      <c r="K619" s="9">
        <f>IF(ISNA(MATCH(610,'Transfer Engine'!$C$2:$C$1369,0)),"",INDEX('Compliance Database'!$K$2:$K$1369,MATCH(610,'Transfer Engine'!$C$2:$C$1369,0)))</f>
        <v/>
      </c>
      <c r="L619" s="9">
        <f>IF(ISNA(MATCH(610,'Transfer Engine'!$C$2:$C$1369,0)),"",INDEX('Compliance Database'!$L$2:$L$1369,MATCH(610,'Transfer Engine'!$C$2:$C$1369,0)))</f>
        <v/>
      </c>
      <c r="M619" s="9">
        <f>IF(ISNA(MATCH(610,'Transfer Engine'!$C$2:$C$1369,0)),"",INDEX('Compliance Database'!$M$2:$M$1369,MATCH(610,'Transfer Engine'!$C$2:$C$1369,0)))</f>
        <v/>
      </c>
      <c r="N619" s="9">
        <f>IF(ISNA(MATCH(610,'Transfer Engine'!$C$2:$C$1369,0)),"",INDEX('Compliance Database'!$N$2:$N$1369,MATCH(610,'Transfer Engine'!$C$2:$C$1369,0)))</f>
        <v/>
      </c>
      <c r="O619" s="8">
        <f>IF(ISNA(MATCH(610,'Transfer Engine'!$C$2:$C$1369,0)),"",HYPERLINK(INDEX('Compliance Database'!$O$2:$O$1369,MATCH(610,'Transfer Engine'!$C$2:$C$1369,0)),"Open PDF"))</f>
        <v/>
      </c>
    </row>
    <row r="620" ht="188" customHeight="1">
      <c r="A620" s="8">
        <f>IF(ISNA(MATCH(611,'Transfer Engine'!$C$2:$C$1369,0)),"",INDEX('Compliance Database'!$A$2:$A$1369,MATCH(611,'Transfer Engine'!$C$2:$C$1369,0)))</f>
        <v/>
      </c>
      <c r="B620" s="8">
        <f>IF(ISNA(MATCH(611,'Transfer Engine'!$C$2:$C$1369,0)),"",INDEX('Compliance Database'!$B$2:$B$1369,MATCH(611,'Transfer Engine'!$C$2:$C$1369,0)))</f>
        <v/>
      </c>
      <c r="C620" s="8">
        <f>IF(ISNA(MATCH(611,'Transfer Engine'!$C$2:$C$1369,0)),"",INDEX('Compliance Database'!$C$2:$C$1369,MATCH(611,'Transfer Engine'!$C$2:$C$1369,0)))</f>
        <v/>
      </c>
      <c r="D620" s="9">
        <f>IF(ISNA(MATCH(611,'Transfer Engine'!$C$2:$C$1369,0)),"",INDEX('Compliance Database'!$D$2:$D$1369,MATCH(611,'Transfer Engine'!$C$2:$C$1369,0)))</f>
        <v/>
      </c>
      <c r="E620" s="8">
        <f>IF(ISNA(MATCH(611,'Transfer Engine'!$C$2:$C$1369,0)),"",INDEX('Compliance Database'!$E$2:$E$1369,MATCH(611,'Transfer Engine'!$C$2:$C$1369,0)))</f>
        <v/>
      </c>
      <c r="F620" s="8">
        <f>IF(ISNA(MATCH(611,'Transfer Engine'!$C$2:$C$1369,0)),"",INDEX('Compliance Database'!$F$2:$F$1369,MATCH(611,'Transfer Engine'!$C$2:$C$1369,0)))</f>
        <v/>
      </c>
      <c r="G620" s="8">
        <f>IF(ISNA(MATCH(611,'Transfer Engine'!$C$2:$C$1369,0)),"",INDEX('Compliance Database'!$G$2:$G$1369,MATCH(611,'Transfer Engine'!$C$2:$C$1369,0)))</f>
        <v/>
      </c>
      <c r="H620" s="9">
        <f>IF(ISNA(MATCH(611,'Transfer Engine'!$C$2:$C$1369,0)),"",INDEX('Compliance Database'!$H$2:$H$1369,MATCH(611,'Transfer Engine'!$C$2:$C$1369,0)))</f>
        <v/>
      </c>
      <c r="I620" s="9">
        <f>IF(ISNA(MATCH(611,'Transfer Engine'!$C$2:$C$1369,0)),"",INDEX('Compliance Database'!$I$2:$I$1369,MATCH(611,'Transfer Engine'!$C$2:$C$1369,0)))</f>
        <v/>
      </c>
      <c r="J620" s="8">
        <f>IF(ISNA(MATCH(611,'Transfer Engine'!$C$2:$C$1369,0)),"",INDEX('Compliance Database'!$J$2:$J$1369,MATCH(611,'Transfer Engine'!$C$2:$C$1369,0)))</f>
        <v/>
      </c>
      <c r="K620" s="9">
        <f>IF(ISNA(MATCH(611,'Transfer Engine'!$C$2:$C$1369,0)),"",INDEX('Compliance Database'!$K$2:$K$1369,MATCH(611,'Transfer Engine'!$C$2:$C$1369,0)))</f>
        <v/>
      </c>
      <c r="L620" s="9">
        <f>IF(ISNA(MATCH(611,'Transfer Engine'!$C$2:$C$1369,0)),"",INDEX('Compliance Database'!$L$2:$L$1369,MATCH(611,'Transfer Engine'!$C$2:$C$1369,0)))</f>
        <v/>
      </c>
      <c r="M620" s="9">
        <f>IF(ISNA(MATCH(611,'Transfer Engine'!$C$2:$C$1369,0)),"",INDEX('Compliance Database'!$M$2:$M$1369,MATCH(611,'Transfer Engine'!$C$2:$C$1369,0)))</f>
        <v/>
      </c>
      <c r="N620" s="9">
        <f>IF(ISNA(MATCH(611,'Transfer Engine'!$C$2:$C$1369,0)),"",INDEX('Compliance Database'!$N$2:$N$1369,MATCH(611,'Transfer Engine'!$C$2:$C$1369,0)))</f>
        <v/>
      </c>
      <c r="O620" s="8">
        <f>IF(ISNA(MATCH(611,'Transfer Engine'!$C$2:$C$1369,0)),"",HYPERLINK(INDEX('Compliance Database'!$O$2:$O$1369,MATCH(611,'Transfer Engine'!$C$2:$C$1369,0)),"Open PDF"))</f>
        <v/>
      </c>
    </row>
    <row r="621" ht="188" customHeight="1">
      <c r="A621" s="8">
        <f>IF(ISNA(MATCH(612,'Transfer Engine'!$C$2:$C$1369,0)),"",INDEX('Compliance Database'!$A$2:$A$1369,MATCH(612,'Transfer Engine'!$C$2:$C$1369,0)))</f>
        <v/>
      </c>
      <c r="B621" s="8">
        <f>IF(ISNA(MATCH(612,'Transfer Engine'!$C$2:$C$1369,0)),"",INDEX('Compliance Database'!$B$2:$B$1369,MATCH(612,'Transfer Engine'!$C$2:$C$1369,0)))</f>
        <v/>
      </c>
      <c r="C621" s="8">
        <f>IF(ISNA(MATCH(612,'Transfer Engine'!$C$2:$C$1369,0)),"",INDEX('Compliance Database'!$C$2:$C$1369,MATCH(612,'Transfer Engine'!$C$2:$C$1369,0)))</f>
        <v/>
      </c>
      <c r="D621" s="9">
        <f>IF(ISNA(MATCH(612,'Transfer Engine'!$C$2:$C$1369,0)),"",INDEX('Compliance Database'!$D$2:$D$1369,MATCH(612,'Transfer Engine'!$C$2:$C$1369,0)))</f>
        <v/>
      </c>
      <c r="E621" s="8">
        <f>IF(ISNA(MATCH(612,'Transfer Engine'!$C$2:$C$1369,0)),"",INDEX('Compliance Database'!$E$2:$E$1369,MATCH(612,'Transfer Engine'!$C$2:$C$1369,0)))</f>
        <v/>
      </c>
      <c r="F621" s="8">
        <f>IF(ISNA(MATCH(612,'Transfer Engine'!$C$2:$C$1369,0)),"",INDEX('Compliance Database'!$F$2:$F$1369,MATCH(612,'Transfer Engine'!$C$2:$C$1369,0)))</f>
        <v/>
      </c>
      <c r="G621" s="8">
        <f>IF(ISNA(MATCH(612,'Transfer Engine'!$C$2:$C$1369,0)),"",INDEX('Compliance Database'!$G$2:$G$1369,MATCH(612,'Transfer Engine'!$C$2:$C$1369,0)))</f>
        <v/>
      </c>
      <c r="H621" s="9">
        <f>IF(ISNA(MATCH(612,'Transfer Engine'!$C$2:$C$1369,0)),"",INDEX('Compliance Database'!$H$2:$H$1369,MATCH(612,'Transfer Engine'!$C$2:$C$1369,0)))</f>
        <v/>
      </c>
      <c r="I621" s="9">
        <f>IF(ISNA(MATCH(612,'Transfer Engine'!$C$2:$C$1369,0)),"",INDEX('Compliance Database'!$I$2:$I$1369,MATCH(612,'Transfer Engine'!$C$2:$C$1369,0)))</f>
        <v/>
      </c>
      <c r="J621" s="8">
        <f>IF(ISNA(MATCH(612,'Transfer Engine'!$C$2:$C$1369,0)),"",INDEX('Compliance Database'!$J$2:$J$1369,MATCH(612,'Transfer Engine'!$C$2:$C$1369,0)))</f>
        <v/>
      </c>
      <c r="K621" s="9">
        <f>IF(ISNA(MATCH(612,'Transfer Engine'!$C$2:$C$1369,0)),"",INDEX('Compliance Database'!$K$2:$K$1369,MATCH(612,'Transfer Engine'!$C$2:$C$1369,0)))</f>
        <v/>
      </c>
      <c r="L621" s="9">
        <f>IF(ISNA(MATCH(612,'Transfer Engine'!$C$2:$C$1369,0)),"",INDEX('Compliance Database'!$L$2:$L$1369,MATCH(612,'Transfer Engine'!$C$2:$C$1369,0)))</f>
        <v/>
      </c>
      <c r="M621" s="9">
        <f>IF(ISNA(MATCH(612,'Transfer Engine'!$C$2:$C$1369,0)),"",INDEX('Compliance Database'!$M$2:$M$1369,MATCH(612,'Transfer Engine'!$C$2:$C$1369,0)))</f>
        <v/>
      </c>
      <c r="N621" s="9">
        <f>IF(ISNA(MATCH(612,'Transfer Engine'!$C$2:$C$1369,0)),"",INDEX('Compliance Database'!$N$2:$N$1369,MATCH(612,'Transfer Engine'!$C$2:$C$1369,0)))</f>
        <v/>
      </c>
      <c r="O621" s="8">
        <f>IF(ISNA(MATCH(612,'Transfer Engine'!$C$2:$C$1369,0)),"",HYPERLINK(INDEX('Compliance Database'!$O$2:$O$1369,MATCH(612,'Transfer Engine'!$C$2:$C$1369,0)),"Open PDF"))</f>
        <v/>
      </c>
    </row>
    <row r="622" ht="188" customHeight="1">
      <c r="A622" s="8">
        <f>IF(ISNA(MATCH(613,'Transfer Engine'!$C$2:$C$1369,0)),"",INDEX('Compliance Database'!$A$2:$A$1369,MATCH(613,'Transfer Engine'!$C$2:$C$1369,0)))</f>
        <v/>
      </c>
      <c r="B622" s="8">
        <f>IF(ISNA(MATCH(613,'Transfer Engine'!$C$2:$C$1369,0)),"",INDEX('Compliance Database'!$B$2:$B$1369,MATCH(613,'Transfer Engine'!$C$2:$C$1369,0)))</f>
        <v/>
      </c>
      <c r="C622" s="8">
        <f>IF(ISNA(MATCH(613,'Transfer Engine'!$C$2:$C$1369,0)),"",INDEX('Compliance Database'!$C$2:$C$1369,MATCH(613,'Transfer Engine'!$C$2:$C$1369,0)))</f>
        <v/>
      </c>
      <c r="D622" s="9">
        <f>IF(ISNA(MATCH(613,'Transfer Engine'!$C$2:$C$1369,0)),"",INDEX('Compliance Database'!$D$2:$D$1369,MATCH(613,'Transfer Engine'!$C$2:$C$1369,0)))</f>
        <v/>
      </c>
      <c r="E622" s="8">
        <f>IF(ISNA(MATCH(613,'Transfer Engine'!$C$2:$C$1369,0)),"",INDEX('Compliance Database'!$E$2:$E$1369,MATCH(613,'Transfer Engine'!$C$2:$C$1369,0)))</f>
        <v/>
      </c>
      <c r="F622" s="8">
        <f>IF(ISNA(MATCH(613,'Transfer Engine'!$C$2:$C$1369,0)),"",INDEX('Compliance Database'!$F$2:$F$1369,MATCH(613,'Transfer Engine'!$C$2:$C$1369,0)))</f>
        <v/>
      </c>
      <c r="G622" s="8">
        <f>IF(ISNA(MATCH(613,'Transfer Engine'!$C$2:$C$1369,0)),"",INDEX('Compliance Database'!$G$2:$G$1369,MATCH(613,'Transfer Engine'!$C$2:$C$1369,0)))</f>
        <v/>
      </c>
      <c r="H622" s="9">
        <f>IF(ISNA(MATCH(613,'Transfer Engine'!$C$2:$C$1369,0)),"",INDEX('Compliance Database'!$H$2:$H$1369,MATCH(613,'Transfer Engine'!$C$2:$C$1369,0)))</f>
        <v/>
      </c>
      <c r="I622" s="9">
        <f>IF(ISNA(MATCH(613,'Transfer Engine'!$C$2:$C$1369,0)),"",INDEX('Compliance Database'!$I$2:$I$1369,MATCH(613,'Transfer Engine'!$C$2:$C$1369,0)))</f>
        <v/>
      </c>
      <c r="J622" s="8">
        <f>IF(ISNA(MATCH(613,'Transfer Engine'!$C$2:$C$1369,0)),"",INDEX('Compliance Database'!$J$2:$J$1369,MATCH(613,'Transfer Engine'!$C$2:$C$1369,0)))</f>
        <v/>
      </c>
      <c r="K622" s="9">
        <f>IF(ISNA(MATCH(613,'Transfer Engine'!$C$2:$C$1369,0)),"",INDEX('Compliance Database'!$K$2:$K$1369,MATCH(613,'Transfer Engine'!$C$2:$C$1369,0)))</f>
        <v/>
      </c>
      <c r="L622" s="9">
        <f>IF(ISNA(MATCH(613,'Transfer Engine'!$C$2:$C$1369,0)),"",INDEX('Compliance Database'!$L$2:$L$1369,MATCH(613,'Transfer Engine'!$C$2:$C$1369,0)))</f>
        <v/>
      </c>
      <c r="M622" s="9">
        <f>IF(ISNA(MATCH(613,'Transfer Engine'!$C$2:$C$1369,0)),"",INDEX('Compliance Database'!$M$2:$M$1369,MATCH(613,'Transfer Engine'!$C$2:$C$1369,0)))</f>
        <v/>
      </c>
      <c r="N622" s="9">
        <f>IF(ISNA(MATCH(613,'Transfer Engine'!$C$2:$C$1369,0)),"",INDEX('Compliance Database'!$N$2:$N$1369,MATCH(613,'Transfer Engine'!$C$2:$C$1369,0)))</f>
        <v/>
      </c>
      <c r="O622" s="8">
        <f>IF(ISNA(MATCH(613,'Transfer Engine'!$C$2:$C$1369,0)),"",HYPERLINK(INDEX('Compliance Database'!$O$2:$O$1369,MATCH(613,'Transfer Engine'!$C$2:$C$1369,0)),"Open PDF"))</f>
        <v/>
      </c>
    </row>
    <row r="623" ht="188" customHeight="1">
      <c r="A623" s="8">
        <f>IF(ISNA(MATCH(614,'Transfer Engine'!$C$2:$C$1369,0)),"",INDEX('Compliance Database'!$A$2:$A$1369,MATCH(614,'Transfer Engine'!$C$2:$C$1369,0)))</f>
        <v/>
      </c>
      <c r="B623" s="8">
        <f>IF(ISNA(MATCH(614,'Transfer Engine'!$C$2:$C$1369,0)),"",INDEX('Compliance Database'!$B$2:$B$1369,MATCH(614,'Transfer Engine'!$C$2:$C$1369,0)))</f>
        <v/>
      </c>
      <c r="C623" s="8">
        <f>IF(ISNA(MATCH(614,'Transfer Engine'!$C$2:$C$1369,0)),"",INDEX('Compliance Database'!$C$2:$C$1369,MATCH(614,'Transfer Engine'!$C$2:$C$1369,0)))</f>
        <v/>
      </c>
      <c r="D623" s="9">
        <f>IF(ISNA(MATCH(614,'Transfer Engine'!$C$2:$C$1369,0)),"",INDEX('Compliance Database'!$D$2:$D$1369,MATCH(614,'Transfer Engine'!$C$2:$C$1369,0)))</f>
        <v/>
      </c>
      <c r="E623" s="8">
        <f>IF(ISNA(MATCH(614,'Transfer Engine'!$C$2:$C$1369,0)),"",INDEX('Compliance Database'!$E$2:$E$1369,MATCH(614,'Transfer Engine'!$C$2:$C$1369,0)))</f>
        <v/>
      </c>
      <c r="F623" s="8">
        <f>IF(ISNA(MATCH(614,'Transfer Engine'!$C$2:$C$1369,0)),"",INDEX('Compliance Database'!$F$2:$F$1369,MATCH(614,'Transfer Engine'!$C$2:$C$1369,0)))</f>
        <v/>
      </c>
      <c r="G623" s="8">
        <f>IF(ISNA(MATCH(614,'Transfer Engine'!$C$2:$C$1369,0)),"",INDEX('Compliance Database'!$G$2:$G$1369,MATCH(614,'Transfer Engine'!$C$2:$C$1369,0)))</f>
        <v/>
      </c>
      <c r="H623" s="9">
        <f>IF(ISNA(MATCH(614,'Transfer Engine'!$C$2:$C$1369,0)),"",INDEX('Compliance Database'!$H$2:$H$1369,MATCH(614,'Transfer Engine'!$C$2:$C$1369,0)))</f>
        <v/>
      </c>
      <c r="I623" s="9">
        <f>IF(ISNA(MATCH(614,'Transfer Engine'!$C$2:$C$1369,0)),"",INDEX('Compliance Database'!$I$2:$I$1369,MATCH(614,'Transfer Engine'!$C$2:$C$1369,0)))</f>
        <v/>
      </c>
      <c r="J623" s="8">
        <f>IF(ISNA(MATCH(614,'Transfer Engine'!$C$2:$C$1369,0)),"",INDEX('Compliance Database'!$J$2:$J$1369,MATCH(614,'Transfer Engine'!$C$2:$C$1369,0)))</f>
        <v/>
      </c>
      <c r="K623" s="9">
        <f>IF(ISNA(MATCH(614,'Transfer Engine'!$C$2:$C$1369,0)),"",INDEX('Compliance Database'!$K$2:$K$1369,MATCH(614,'Transfer Engine'!$C$2:$C$1369,0)))</f>
        <v/>
      </c>
      <c r="L623" s="9">
        <f>IF(ISNA(MATCH(614,'Transfer Engine'!$C$2:$C$1369,0)),"",INDEX('Compliance Database'!$L$2:$L$1369,MATCH(614,'Transfer Engine'!$C$2:$C$1369,0)))</f>
        <v/>
      </c>
      <c r="M623" s="9">
        <f>IF(ISNA(MATCH(614,'Transfer Engine'!$C$2:$C$1369,0)),"",INDEX('Compliance Database'!$M$2:$M$1369,MATCH(614,'Transfer Engine'!$C$2:$C$1369,0)))</f>
        <v/>
      </c>
      <c r="N623" s="9">
        <f>IF(ISNA(MATCH(614,'Transfer Engine'!$C$2:$C$1369,0)),"",INDEX('Compliance Database'!$N$2:$N$1369,MATCH(614,'Transfer Engine'!$C$2:$C$1369,0)))</f>
        <v/>
      </c>
      <c r="O623" s="8">
        <f>IF(ISNA(MATCH(614,'Transfer Engine'!$C$2:$C$1369,0)),"",HYPERLINK(INDEX('Compliance Database'!$O$2:$O$1369,MATCH(614,'Transfer Engine'!$C$2:$C$1369,0)),"Open PDF"))</f>
        <v/>
      </c>
    </row>
    <row r="624" ht="188" customHeight="1">
      <c r="A624" s="8">
        <f>IF(ISNA(MATCH(615,'Transfer Engine'!$C$2:$C$1369,0)),"",INDEX('Compliance Database'!$A$2:$A$1369,MATCH(615,'Transfer Engine'!$C$2:$C$1369,0)))</f>
        <v/>
      </c>
      <c r="B624" s="8">
        <f>IF(ISNA(MATCH(615,'Transfer Engine'!$C$2:$C$1369,0)),"",INDEX('Compliance Database'!$B$2:$B$1369,MATCH(615,'Transfer Engine'!$C$2:$C$1369,0)))</f>
        <v/>
      </c>
      <c r="C624" s="8">
        <f>IF(ISNA(MATCH(615,'Transfer Engine'!$C$2:$C$1369,0)),"",INDEX('Compliance Database'!$C$2:$C$1369,MATCH(615,'Transfer Engine'!$C$2:$C$1369,0)))</f>
        <v/>
      </c>
      <c r="D624" s="9">
        <f>IF(ISNA(MATCH(615,'Transfer Engine'!$C$2:$C$1369,0)),"",INDEX('Compliance Database'!$D$2:$D$1369,MATCH(615,'Transfer Engine'!$C$2:$C$1369,0)))</f>
        <v/>
      </c>
      <c r="E624" s="8">
        <f>IF(ISNA(MATCH(615,'Transfer Engine'!$C$2:$C$1369,0)),"",INDEX('Compliance Database'!$E$2:$E$1369,MATCH(615,'Transfer Engine'!$C$2:$C$1369,0)))</f>
        <v/>
      </c>
      <c r="F624" s="8">
        <f>IF(ISNA(MATCH(615,'Transfer Engine'!$C$2:$C$1369,0)),"",INDEX('Compliance Database'!$F$2:$F$1369,MATCH(615,'Transfer Engine'!$C$2:$C$1369,0)))</f>
        <v/>
      </c>
      <c r="G624" s="8">
        <f>IF(ISNA(MATCH(615,'Transfer Engine'!$C$2:$C$1369,0)),"",INDEX('Compliance Database'!$G$2:$G$1369,MATCH(615,'Transfer Engine'!$C$2:$C$1369,0)))</f>
        <v/>
      </c>
      <c r="H624" s="9">
        <f>IF(ISNA(MATCH(615,'Transfer Engine'!$C$2:$C$1369,0)),"",INDEX('Compliance Database'!$H$2:$H$1369,MATCH(615,'Transfer Engine'!$C$2:$C$1369,0)))</f>
        <v/>
      </c>
      <c r="I624" s="9">
        <f>IF(ISNA(MATCH(615,'Transfer Engine'!$C$2:$C$1369,0)),"",INDEX('Compliance Database'!$I$2:$I$1369,MATCH(615,'Transfer Engine'!$C$2:$C$1369,0)))</f>
        <v/>
      </c>
      <c r="J624" s="8">
        <f>IF(ISNA(MATCH(615,'Transfer Engine'!$C$2:$C$1369,0)),"",INDEX('Compliance Database'!$J$2:$J$1369,MATCH(615,'Transfer Engine'!$C$2:$C$1369,0)))</f>
        <v/>
      </c>
      <c r="K624" s="9">
        <f>IF(ISNA(MATCH(615,'Transfer Engine'!$C$2:$C$1369,0)),"",INDEX('Compliance Database'!$K$2:$K$1369,MATCH(615,'Transfer Engine'!$C$2:$C$1369,0)))</f>
        <v/>
      </c>
      <c r="L624" s="9">
        <f>IF(ISNA(MATCH(615,'Transfer Engine'!$C$2:$C$1369,0)),"",INDEX('Compliance Database'!$L$2:$L$1369,MATCH(615,'Transfer Engine'!$C$2:$C$1369,0)))</f>
        <v/>
      </c>
      <c r="M624" s="9">
        <f>IF(ISNA(MATCH(615,'Transfer Engine'!$C$2:$C$1369,0)),"",INDEX('Compliance Database'!$M$2:$M$1369,MATCH(615,'Transfer Engine'!$C$2:$C$1369,0)))</f>
        <v/>
      </c>
      <c r="N624" s="9">
        <f>IF(ISNA(MATCH(615,'Transfer Engine'!$C$2:$C$1369,0)),"",INDEX('Compliance Database'!$N$2:$N$1369,MATCH(615,'Transfer Engine'!$C$2:$C$1369,0)))</f>
        <v/>
      </c>
      <c r="O624" s="8">
        <f>IF(ISNA(MATCH(615,'Transfer Engine'!$C$2:$C$1369,0)),"",HYPERLINK(INDEX('Compliance Database'!$O$2:$O$1369,MATCH(615,'Transfer Engine'!$C$2:$C$1369,0)),"Open PDF"))</f>
        <v/>
      </c>
    </row>
    <row r="625" ht="188" customHeight="1">
      <c r="A625" s="8">
        <f>IF(ISNA(MATCH(616,'Transfer Engine'!$C$2:$C$1369,0)),"",INDEX('Compliance Database'!$A$2:$A$1369,MATCH(616,'Transfer Engine'!$C$2:$C$1369,0)))</f>
        <v/>
      </c>
      <c r="B625" s="8">
        <f>IF(ISNA(MATCH(616,'Transfer Engine'!$C$2:$C$1369,0)),"",INDEX('Compliance Database'!$B$2:$B$1369,MATCH(616,'Transfer Engine'!$C$2:$C$1369,0)))</f>
        <v/>
      </c>
      <c r="C625" s="8">
        <f>IF(ISNA(MATCH(616,'Transfer Engine'!$C$2:$C$1369,0)),"",INDEX('Compliance Database'!$C$2:$C$1369,MATCH(616,'Transfer Engine'!$C$2:$C$1369,0)))</f>
        <v/>
      </c>
      <c r="D625" s="9">
        <f>IF(ISNA(MATCH(616,'Transfer Engine'!$C$2:$C$1369,0)),"",INDEX('Compliance Database'!$D$2:$D$1369,MATCH(616,'Transfer Engine'!$C$2:$C$1369,0)))</f>
        <v/>
      </c>
      <c r="E625" s="8">
        <f>IF(ISNA(MATCH(616,'Transfer Engine'!$C$2:$C$1369,0)),"",INDEX('Compliance Database'!$E$2:$E$1369,MATCH(616,'Transfer Engine'!$C$2:$C$1369,0)))</f>
        <v/>
      </c>
      <c r="F625" s="8">
        <f>IF(ISNA(MATCH(616,'Transfer Engine'!$C$2:$C$1369,0)),"",INDEX('Compliance Database'!$F$2:$F$1369,MATCH(616,'Transfer Engine'!$C$2:$C$1369,0)))</f>
        <v/>
      </c>
      <c r="G625" s="8">
        <f>IF(ISNA(MATCH(616,'Transfer Engine'!$C$2:$C$1369,0)),"",INDEX('Compliance Database'!$G$2:$G$1369,MATCH(616,'Transfer Engine'!$C$2:$C$1369,0)))</f>
        <v/>
      </c>
      <c r="H625" s="9">
        <f>IF(ISNA(MATCH(616,'Transfer Engine'!$C$2:$C$1369,0)),"",INDEX('Compliance Database'!$H$2:$H$1369,MATCH(616,'Transfer Engine'!$C$2:$C$1369,0)))</f>
        <v/>
      </c>
      <c r="I625" s="9">
        <f>IF(ISNA(MATCH(616,'Transfer Engine'!$C$2:$C$1369,0)),"",INDEX('Compliance Database'!$I$2:$I$1369,MATCH(616,'Transfer Engine'!$C$2:$C$1369,0)))</f>
        <v/>
      </c>
      <c r="J625" s="8">
        <f>IF(ISNA(MATCH(616,'Transfer Engine'!$C$2:$C$1369,0)),"",INDEX('Compliance Database'!$J$2:$J$1369,MATCH(616,'Transfer Engine'!$C$2:$C$1369,0)))</f>
        <v/>
      </c>
      <c r="K625" s="9">
        <f>IF(ISNA(MATCH(616,'Transfer Engine'!$C$2:$C$1369,0)),"",INDEX('Compliance Database'!$K$2:$K$1369,MATCH(616,'Transfer Engine'!$C$2:$C$1369,0)))</f>
        <v/>
      </c>
      <c r="L625" s="9">
        <f>IF(ISNA(MATCH(616,'Transfer Engine'!$C$2:$C$1369,0)),"",INDEX('Compliance Database'!$L$2:$L$1369,MATCH(616,'Transfer Engine'!$C$2:$C$1369,0)))</f>
        <v/>
      </c>
      <c r="M625" s="9">
        <f>IF(ISNA(MATCH(616,'Transfer Engine'!$C$2:$C$1369,0)),"",INDEX('Compliance Database'!$M$2:$M$1369,MATCH(616,'Transfer Engine'!$C$2:$C$1369,0)))</f>
        <v/>
      </c>
      <c r="N625" s="9">
        <f>IF(ISNA(MATCH(616,'Transfer Engine'!$C$2:$C$1369,0)),"",INDEX('Compliance Database'!$N$2:$N$1369,MATCH(616,'Transfer Engine'!$C$2:$C$1369,0)))</f>
        <v/>
      </c>
      <c r="O625" s="8">
        <f>IF(ISNA(MATCH(616,'Transfer Engine'!$C$2:$C$1369,0)),"",HYPERLINK(INDEX('Compliance Database'!$O$2:$O$1369,MATCH(616,'Transfer Engine'!$C$2:$C$1369,0)),"Open PDF"))</f>
        <v/>
      </c>
    </row>
    <row r="626" ht="188" customHeight="1">
      <c r="A626" s="8">
        <f>IF(ISNA(MATCH(617,'Transfer Engine'!$C$2:$C$1369,0)),"",INDEX('Compliance Database'!$A$2:$A$1369,MATCH(617,'Transfer Engine'!$C$2:$C$1369,0)))</f>
        <v/>
      </c>
      <c r="B626" s="8">
        <f>IF(ISNA(MATCH(617,'Transfer Engine'!$C$2:$C$1369,0)),"",INDEX('Compliance Database'!$B$2:$B$1369,MATCH(617,'Transfer Engine'!$C$2:$C$1369,0)))</f>
        <v/>
      </c>
      <c r="C626" s="8">
        <f>IF(ISNA(MATCH(617,'Transfer Engine'!$C$2:$C$1369,0)),"",INDEX('Compliance Database'!$C$2:$C$1369,MATCH(617,'Transfer Engine'!$C$2:$C$1369,0)))</f>
        <v/>
      </c>
      <c r="D626" s="9">
        <f>IF(ISNA(MATCH(617,'Transfer Engine'!$C$2:$C$1369,0)),"",INDEX('Compliance Database'!$D$2:$D$1369,MATCH(617,'Transfer Engine'!$C$2:$C$1369,0)))</f>
        <v/>
      </c>
      <c r="E626" s="8">
        <f>IF(ISNA(MATCH(617,'Transfer Engine'!$C$2:$C$1369,0)),"",INDEX('Compliance Database'!$E$2:$E$1369,MATCH(617,'Transfer Engine'!$C$2:$C$1369,0)))</f>
        <v/>
      </c>
      <c r="F626" s="8">
        <f>IF(ISNA(MATCH(617,'Transfer Engine'!$C$2:$C$1369,0)),"",INDEX('Compliance Database'!$F$2:$F$1369,MATCH(617,'Transfer Engine'!$C$2:$C$1369,0)))</f>
        <v/>
      </c>
      <c r="G626" s="8">
        <f>IF(ISNA(MATCH(617,'Transfer Engine'!$C$2:$C$1369,0)),"",INDEX('Compliance Database'!$G$2:$G$1369,MATCH(617,'Transfer Engine'!$C$2:$C$1369,0)))</f>
        <v/>
      </c>
      <c r="H626" s="9">
        <f>IF(ISNA(MATCH(617,'Transfer Engine'!$C$2:$C$1369,0)),"",INDEX('Compliance Database'!$H$2:$H$1369,MATCH(617,'Transfer Engine'!$C$2:$C$1369,0)))</f>
        <v/>
      </c>
      <c r="I626" s="9">
        <f>IF(ISNA(MATCH(617,'Transfer Engine'!$C$2:$C$1369,0)),"",INDEX('Compliance Database'!$I$2:$I$1369,MATCH(617,'Transfer Engine'!$C$2:$C$1369,0)))</f>
        <v/>
      </c>
      <c r="J626" s="8">
        <f>IF(ISNA(MATCH(617,'Transfer Engine'!$C$2:$C$1369,0)),"",INDEX('Compliance Database'!$J$2:$J$1369,MATCH(617,'Transfer Engine'!$C$2:$C$1369,0)))</f>
        <v/>
      </c>
      <c r="K626" s="9">
        <f>IF(ISNA(MATCH(617,'Transfer Engine'!$C$2:$C$1369,0)),"",INDEX('Compliance Database'!$K$2:$K$1369,MATCH(617,'Transfer Engine'!$C$2:$C$1369,0)))</f>
        <v/>
      </c>
      <c r="L626" s="9">
        <f>IF(ISNA(MATCH(617,'Transfer Engine'!$C$2:$C$1369,0)),"",INDEX('Compliance Database'!$L$2:$L$1369,MATCH(617,'Transfer Engine'!$C$2:$C$1369,0)))</f>
        <v/>
      </c>
      <c r="M626" s="9">
        <f>IF(ISNA(MATCH(617,'Transfer Engine'!$C$2:$C$1369,0)),"",INDEX('Compliance Database'!$M$2:$M$1369,MATCH(617,'Transfer Engine'!$C$2:$C$1369,0)))</f>
        <v/>
      </c>
      <c r="N626" s="9">
        <f>IF(ISNA(MATCH(617,'Transfer Engine'!$C$2:$C$1369,0)),"",INDEX('Compliance Database'!$N$2:$N$1369,MATCH(617,'Transfer Engine'!$C$2:$C$1369,0)))</f>
        <v/>
      </c>
      <c r="O626" s="8">
        <f>IF(ISNA(MATCH(617,'Transfer Engine'!$C$2:$C$1369,0)),"",HYPERLINK(INDEX('Compliance Database'!$O$2:$O$1369,MATCH(617,'Transfer Engine'!$C$2:$C$1369,0)),"Open PDF"))</f>
        <v/>
      </c>
    </row>
    <row r="627" ht="188" customHeight="1">
      <c r="A627" s="8">
        <f>IF(ISNA(MATCH(618,'Transfer Engine'!$C$2:$C$1369,0)),"",INDEX('Compliance Database'!$A$2:$A$1369,MATCH(618,'Transfer Engine'!$C$2:$C$1369,0)))</f>
        <v/>
      </c>
      <c r="B627" s="8">
        <f>IF(ISNA(MATCH(618,'Transfer Engine'!$C$2:$C$1369,0)),"",INDEX('Compliance Database'!$B$2:$B$1369,MATCH(618,'Transfer Engine'!$C$2:$C$1369,0)))</f>
        <v/>
      </c>
      <c r="C627" s="8">
        <f>IF(ISNA(MATCH(618,'Transfer Engine'!$C$2:$C$1369,0)),"",INDEX('Compliance Database'!$C$2:$C$1369,MATCH(618,'Transfer Engine'!$C$2:$C$1369,0)))</f>
        <v/>
      </c>
      <c r="D627" s="9">
        <f>IF(ISNA(MATCH(618,'Transfer Engine'!$C$2:$C$1369,0)),"",INDEX('Compliance Database'!$D$2:$D$1369,MATCH(618,'Transfer Engine'!$C$2:$C$1369,0)))</f>
        <v/>
      </c>
      <c r="E627" s="8">
        <f>IF(ISNA(MATCH(618,'Transfer Engine'!$C$2:$C$1369,0)),"",INDEX('Compliance Database'!$E$2:$E$1369,MATCH(618,'Transfer Engine'!$C$2:$C$1369,0)))</f>
        <v/>
      </c>
      <c r="F627" s="8">
        <f>IF(ISNA(MATCH(618,'Transfer Engine'!$C$2:$C$1369,0)),"",INDEX('Compliance Database'!$F$2:$F$1369,MATCH(618,'Transfer Engine'!$C$2:$C$1369,0)))</f>
        <v/>
      </c>
      <c r="G627" s="8">
        <f>IF(ISNA(MATCH(618,'Transfer Engine'!$C$2:$C$1369,0)),"",INDEX('Compliance Database'!$G$2:$G$1369,MATCH(618,'Transfer Engine'!$C$2:$C$1369,0)))</f>
        <v/>
      </c>
      <c r="H627" s="9">
        <f>IF(ISNA(MATCH(618,'Transfer Engine'!$C$2:$C$1369,0)),"",INDEX('Compliance Database'!$H$2:$H$1369,MATCH(618,'Transfer Engine'!$C$2:$C$1369,0)))</f>
        <v/>
      </c>
      <c r="I627" s="9">
        <f>IF(ISNA(MATCH(618,'Transfer Engine'!$C$2:$C$1369,0)),"",INDEX('Compliance Database'!$I$2:$I$1369,MATCH(618,'Transfer Engine'!$C$2:$C$1369,0)))</f>
        <v/>
      </c>
      <c r="J627" s="8">
        <f>IF(ISNA(MATCH(618,'Transfer Engine'!$C$2:$C$1369,0)),"",INDEX('Compliance Database'!$J$2:$J$1369,MATCH(618,'Transfer Engine'!$C$2:$C$1369,0)))</f>
        <v/>
      </c>
      <c r="K627" s="9">
        <f>IF(ISNA(MATCH(618,'Transfer Engine'!$C$2:$C$1369,0)),"",INDEX('Compliance Database'!$K$2:$K$1369,MATCH(618,'Transfer Engine'!$C$2:$C$1369,0)))</f>
        <v/>
      </c>
      <c r="L627" s="9">
        <f>IF(ISNA(MATCH(618,'Transfer Engine'!$C$2:$C$1369,0)),"",INDEX('Compliance Database'!$L$2:$L$1369,MATCH(618,'Transfer Engine'!$C$2:$C$1369,0)))</f>
        <v/>
      </c>
      <c r="M627" s="9">
        <f>IF(ISNA(MATCH(618,'Transfer Engine'!$C$2:$C$1369,0)),"",INDEX('Compliance Database'!$M$2:$M$1369,MATCH(618,'Transfer Engine'!$C$2:$C$1369,0)))</f>
        <v/>
      </c>
      <c r="N627" s="9">
        <f>IF(ISNA(MATCH(618,'Transfer Engine'!$C$2:$C$1369,0)),"",INDEX('Compliance Database'!$N$2:$N$1369,MATCH(618,'Transfer Engine'!$C$2:$C$1369,0)))</f>
        <v/>
      </c>
      <c r="O627" s="8">
        <f>IF(ISNA(MATCH(618,'Transfer Engine'!$C$2:$C$1369,0)),"",HYPERLINK(INDEX('Compliance Database'!$O$2:$O$1369,MATCH(618,'Transfer Engine'!$C$2:$C$1369,0)),"Open PDF"))</f>
        <v/>
      </c>
    </row>
    <row r="628" ht="188" customHeight="1">
      <c r="A628" s="8">
        <f>IF(ISNA(MATCH(619,'Transfer Engine'!$C$2:$C$1369,0)),"",INDEX('Compliance Database'!$A$2:$A$1369,MATCH(619,'Transfer Engine'!$C$2:$C$1369,0)))</f>
        <v/>
      </c>
      <c r="B628" s="8">
        <f>IF(ISNA(MATCH(619,'Transfer Engine'!$C$2:$C$1369,0)),"",INDEX('Compliance Database'!$B$2:$B$1369,MATCH(619,'Transfer Engine'!$C$2:$C$1369,0)))</f>
        <v/>
      </c>
      <c r="C628" s="8">
        <f>IF(ISNA(MATCH(619,'Transfer Engine'!$C$2:$C$1369,0)),"",INDEX('Compliance Database'!$C$2:$C$1369,MATCH(619,'Transfer Engine'!$C$2:$C$1369,0)))</f>
        <v/>
      </c>
      <c r="D628" s="9">
        <f>IF(ISNA(MATCH(619,'Transfer Engine'!$C$2:$C$1369,0)),"",INDEX('Compliance Database'!$D$2:$D$1369,MATCH(619,'Transfer Engine'!$C$2:$C$1369,0)))</f>
        <v/>
      </c>
      <c r="E628" s="8">
        <f>IF(ISNA(MATCH(619,'Transfer Engine'!$C$2:$C$1369,0)),"",INDEX('Compliance Database'!$E$2:$E$1369,MATCH(619,'Transfer Engine'!$C$2:$C$1369,0)))</f>
        <v/>
      </c>
      <c r="F628" s="8">
        <f>IF(ISNA(MATCH(619,'Transfer Engine'!$C$2:$C$1369,0)),"",INDEX('Compliance Database'!$F$2:$F$1369,MATCH(619,'Transfer Engine'!$C$2:$C$1369,0)))</f>
        <v/>
      </c>
      <c r="G628" s="8">
        <f>IF(ISNA(MATCH(619,'Transfer Engine'!$C$2:$C$1369,0)),"",INDEX('Compliance Database'!$G$2:$G$1369,MATCH(619,'Transfer Engine'!$C$2:$C$1369,0)))</f>
        <v/>
      </c>
      <c r="H628" s="9">
        <f>IF(ISNA(MATCH(619,'Transfer Engine'!$C$2:$C$1369,0)),"",INDEX('Compliance Database'!$H$2:$H$1369,MATCH(619,'Transfer Engine'!$C$2:$C$1369,0)))</f>
        <v/>
      </c>
      <c r="I628" s="9">
        <f>IF(ISNA(MATCH(619,'Transfer Engine'!$C$2:$C$1369,0)),"",INDEX('Compliance Database'!$I$2:$I$1369,MATCH(619,'Transfer Engine'!$C$2:$C$1369,0)))</f>
        <v/>
      </c>
      <c r="J628" s="8">
        <f>IF(ISNA(MATCH(619,'Transfer Engine'!$C$2:$C$1369,0)),"",INDEX('Compliance Database'!$J$2:$J$1369,MATCH(619,'Transfer Engine'!$C$2:$C$1369,0)))</f>
        <v/>
      </c>
      <c r="K628" s="9">
        <f>IF(ISNA(MATCH(619,'Transfer Engine'!$C$2:$C$1369,0)),"",INDEX('Compliance Database'!$K$2:$K$1369,MATCH(619,'Transfer Engine'!$C$2:$C$1369,0)))</f>
        <v/>
      </c>
      <c r="L628" s="9">
        <f>IF(ISNA(MATCH(619,'Transfer Engine'!$C$2:$C$1369,0)),"",INDEX('Compliance Database'!$L$2:$L$1369,MATCH(619,'Transfer Engine'!$C$2:$C$1369,0)))</f>
        <v/>
      </c>
      <c r="M628" s="9">
        <f>IF(ISNA(MATCH(619,'Transfer Engine'!$C$2:$C$1369,0)),"",INDEX('Compliance Database'!$M$2:$M$1369,MATCH(619,'Transfer Engine'!$C$2:$C$1369,0)))</f>
        <v/>
      </c>
      <c r="N628" s="9">
        <f>IF(ISNA(MATCH(619,'Transfer Engine'!$C$2:$C$1369,0)),"",INDEX('Compliance Database'!$N$2:$N$1369,MATCH(619,'Transfer Engine'!$C$2:$C$1369,0)))</f>
        <v/>
      </c>
      <c r="O628" s="8">
        <f>IF(ISNA(MATCH(619,'Transfer Engine'!$C$2:$C$1369,0)),"",HYPERLINK(INDEX('Compliance Database'!$O$2:$O$1369,MATCH(619,'Transfer Engine'!$C$2:$C$1369,0)),"Open PDF"))</f>
        <v/>
      </c>
    </row>
    <row r="629" ht="188" customHeight="1">
      <c r="A629" s="8">
        <f>IF(ISNA(MATCH(620,'Transfer Engine'!$C$2:$C$1369,0)),"",INDEX('Compliance Database'!$A$2:$A$1369,MATCH(620,'Transfer Engine'!$C$2:$C$1369,0)))</f>
        <v/>
      </c>
      <c r="B629" s="8">
        <f>IF(ISNA(MATCH(620,'Transfer Engine'!$C$2:$C$1369,0)),"",INDEX('Compliance Database'!$B$2:$B$1369,MATCH(620,'Transfer Engine'!$C$2:$C$1369,0)))</f>
        <v/>
      </c>
      <c r="C629" s="8">
        <f>IF(ISNA(MATCH(620,'Transfer Engine'!$C$2:$C$1369,0)),"",INDEX('Compliance Database'!$C$2:$C$1369,MATCH(620,'Transfer Engine'!$C$2:$C$1369,0)))</f>
        <v/>
      </c>
      <c r="D629" s="9">
        <f>IF(ISNA(MATCH(620,'Transfer Engine'!$C$2:$C$1369,0)),"",INDEX('Compliance Database'!$D$2:$D$1369,MATCH(620,'Transfer Engine'!$C$2:$C$1369,0)))</f>
        <v/>
      </c>
      <c r="E629" s="8">
        <f>IF(ISNA(MATCH(620,'Transfer Engine'!$C$2:$C$1369,0)),"",INDEX('Compliance Database'!$E$2:$E$1369,MATCH(620,'Transfer Engine'!$C$2:$C$1369,0)))</f>
        <v/>
      </c>
      <c r="F629" s="8">
        <f>IF(ISNA(MATCH(620,'Transfer Engine'!$C$2:$C$1369,0)),"",INDEX('Compliance Database'!$F$2:$F$1369,MATCH(620,'Transfer Engine'!$C$2:$C$1369,0)))</f>
        <v/>
      </c>
      <c r="G629" s="8">
        <f>IF(ISNA(MATCH(620,'Transfer Engine'!$C$2:$C$1369,0)),"",INDEX('Compliance Database'!$G$2:$G$1369,MATCH(620,'Transfer Engine'!$C$2:$C$1369,0)))</f>
        <v/>
      </c>
      <c r="H629" s="9">
        <f>IF(ISNA(MATCH(620,'Transfer Engine'!$C$2:$C$1369,0)),"",INDEX('Compliance Database'!$H$2:$H$1369,MATCH(620,'Transfer Engine'!$C$2:$C$1369,0)))</f>
        <v/>
      </c>
      <c r="I629" s="9">
        <f>IF(ISNA(MATCH(620,'Transfer Engine'!$C$2:$C$1369,0)),"",INDEX('Compliance Database'!$I$2:$I$1369,MATCH(620,'Transfer Engine'!$C$2:$C$1369,0)))</f>
        <v/>
      </c>
      <c r="J629" s="8">
        <f>IF(ISNA(MATCH(620,'Transfer Engine'!$C$2:$C$1369,0)),"",INDEX('Compliance Database'!$J$2:$J$1369,MATCH(620,'Transfer Engine'!$C$2:$C$1369,0)))</f>
        <v/>
      </c>
      <c r="K629" s="9">
        <f>IF(ISNA(MATCH(620,'Transfer Engine'!$C$2:$C$1369,0)),"",INDEX('Compliance Database'!$K$2:$K$1369,MATCH(620,'Transfer Engine'!$C$2:$C$1369,0)))</f>
        <v/>
      </c>
      <c r="L629" s="9">
        <f>IF(ISNA(MATCH(620,'Transfer Engine'!$C$2:$C$1369,0)),"",INDEX('Compliance Database'!$L$2:$L$1369,MATCH(620,'Transfer Engine'!$C$2:$C$1369,0)))</f>
        <v/>
      </c>
      <c r="M629" s="9">
        <f>IF(ISNA(MATCH(620,'Transfer Engine'!$C$2:$C$1369,0)),"",INDEX('Compliance Database'!$M$2:$M$1369,MATCH(620,'Transfer Engine'!$C$2:$C$1369,0)))</f>
        <v/>
      </c>
      <c r="N629" s="9">
        <f>IF(ISNA(MATCH(620,'Transfer Engine'!$C$2:$C$1369,0)),"",INDEX('Compliance Database'!$N$2:$N$1369,MATCH(620,'Transfer Engine'!$C$2:$C$1369,0)))</f>
        <v/>
      </c>
      <c r="O629" s="8">
        <f>IF(ISNA(MATCH(620,'Transfer Engine'!$C$2:$C$1369,0)),"",HYPERLINK(INDEX('Compliance Database'!$O$2:$O$1369,MATCH(620,'Transfer Engine'!$C$2:$C$1369,0)),"Open PDF"))</f>
        <v/>
      </c>
    </row>
    <row r="630" ht="188" customHeight="1">
      <c r="A630" s="8">
        <f>IF(ISNA(MATCH(621,'Transfer Engine'!$C$2:$C$1369,0)),"",INDEX('Compliance Database'!$A$2:$A$1369,MATCH(621,'Transfer Engine'!$C$2:$C$1369,0)))</f>
        <v/>
      </c>
      <c r="B630" s="8">
        <f>IF(ISNA(MATCH(621,'Transfer Engine'!$C$2:$C$1369,0)),"",INDEX('Compliance Database'!$B$2:$B$1369,MATCH(621,'Transfer Engine'!$C$2:$C$1369,0)))</f>
        <v/>
      </c>
      <c r="C630" s="8">
        <f>IF(ISNA(MATCH(621,'Transfer Engine'!$C$2:$C$1369,0)),"",INDEX('Compliance Database'!$C$2:$C$1369,MATCH(621,'Transfer Engine'!$C$2:$C$1369,0)))</f>
        <v/>
      </c>
      <c r="D630" s="9">
        <f>IF(ISNA(MATCH(621,'Transfer Engine'!$C$2:$C$1369,0)),"",INDEX('Compliance Database'!$D$2:$D$1369,MATCH(621,'Transfer Engine'!$C$2:$C$1369,0)))</f>
        <v/>
      </c>
      <c r="E630" s="8">
        <f>IF(ISNA(MATCH(621,'Transfer Engine'!$C$2:$C$1369,0)),"",INDEX('Compliance Database'!$E$2:$E$1369,MATCH(621,'Transfer Engine'!$C$2:$C$1369,0)))</f>
        <v/>
      </c>
      <c r="F630" s="8">
        <f>IF(ISNA(MATCH(621,'Transfer Engine'!$C$2:$C$1369,0)),"",INDEX('Compliance Database'!$F$2:$F$1369,MATCH(621,'Transfer Engine'!$C$2:$C$1369,0)))</f>
        <v/>
      </c>
      <c r="G630" s="8">
        <f>IF(ISNA(MATCH(621,'Transfer Engine'!$C$2:$C$1369,0)),"",INDEX('Compliance Database'!$G$2:$G$1369,MATCH(621,'Transfer Engine'!$C$2:$C$1369,0)))</f>
        <v/>
      </c>
      <c r="H630" s="9">
        <f>IF(ISNA(MATCH(621,'Transfer Engine'!$C$2:$C$1369,0)),"",INDEX('Compliance Database'!$H$2:$H$1369,MATCH(621,'Transfer Engine'!$C$2:$C$1369,0)))</f>
        <v/>
      </c>
      <c r="I630" s="9">
        <f>IF(ISNA(MATCH(621,'Transfer Engine'!$C$2:$C$1369,0)),"",INDEX('Compliance Database'!$I$2:$I$1369,MATCH(621,'Transfer Engine'!$C$2:$C$1369,0)))</f>
        <v/>
      </c>
      <c r="J630" s="8">
        <f>IF(ISNA(MATCH(621,'Transfer Engine'!$C$2:$C$1369,0)),"",INDEX('Compliance Database'!$J$2:$J$1369,MATCH(621,'Transfer Engine'!$C$2:$C$1369,0)))</f>
        <v/>
      </c>
      <c r="K630" s="9">
        <f>IF(ISNA(MATCH(621,'Transfer Engine'!$C$2:$C$1369,0)),"",INDEX('Compliance Database'!$K$2:$K$1369,MATCH(621,'Transfer Engine'!$C$2:$C$1369,0)))</f>
        <v/>
      </c>
      <c r="L630" s="9">
        <f>IF(ISNA(MATCH(621,'Transfer Engine'!$C$2:$C$1369,0)),"",INDEX('Compliance Database'!$L$2:$L$1369,MATCH(621,'Transfer Engine'!$C$2:$C$1369,0)))</f>
        <v/>
      </c>
      <c r="M630" s="9">
        <f>IF(ISNA(MATCH(621,'Transfer Engine'!$C$2:$C$1369,0)),"",INDEX('Compliance Database'!$M$2:$M$1369,MATCH(621,'Transfer Engine'!$C$2:$C$1369,0)))</f>
        <v/>
      </c>
      <c r="N630" s="9">
        <f>IF(ISNA(MATCH(621,'Transfer Engine'!$C$2:$C$1369,0)),"",INDEX('Compliance Database'!$N$2:$N$1369,MATCH(621,'Transfer Engine'!$C$2:$C$1369,0)))</f>
        <v/>
      </c>
      <c r="O630" s="8">
        <f>IF(ISNA(MATCH(621,'Transfer Engine'!$C$2:$C$1369,0)),"",HYPERLINK(INDEX('Compliance Database'!$O$2:$O$1369,MATCH(621,'Transfer Engine'!$C$2:$C$1369,0)),"Open PDF"))</f>
        <v/>
      </c>
    </row>
    <row r="631" ht="188" customHeight="1">
      <c r="A631" s="8">
        <f>IF(ISNA(MATCH(622,'Transfer Engine'!$C$2:$C$1369,0)),"",INDEX('Compliance Database'!$A$2:$A$1369,MATCH(622,'Transfer Engine'!$C$2:$C$1369,0)))</f>
        <v/>
      </c>
      <c r="B631" s="8">
        <f>IF(ISNA(MATCH(622,'Transfer Engine'!$C$2:$C$1369,0)),"",INDEX('Compliance Database'!$B$2:$B$1369,MATCH(622,'Transfer Engine'!$C$2:$C$1369,0)))</f>
        <v/>
      </c>
      <c r="C631" s="8">
        <f>IF(ISNA(MATCH(622,'Transfer Engine'!$C$2:$C$1369,0)),"",INDEX('Compliance Database'!$C$2:$C$1369,MATCH(622,'Transfer Engine'!$C$2:$C$1369,0)))</f>
        <v/>
      </c>
      <c r="D631" s="9">
        <f>IF(ISNA(MATCH(622,'Transfer Engine'!$C$2:$C$1369,0)),"",INDEX('Compliance Database'!$D$2:$D$1369,MATCH(622,'Transfer Engine'!$C$2:$C$1369,0)))</f>
        <v/>
      </c>
      <c r="E631" s="8">
        <f>IF(ISNA(MATCH(622,'Transfer Engine'!$C$2:$C$1369,0)),"",INDEX('Compliance Database'!$E$2:$E$1369,MATCH(622,'Transfer Engine'!$C$2:$C$1369,0)))</f>
        <v/>
      </c>
      <c r="F631" s="8">
        <f>IF(ISNA(MATCH(622,'Transfer Engine'!$C$2:$C$1369,0)),"",INDEX('Compliance Database'!$F$2:$F$1369,MATCH(622,'Transfer Engine'!$C$2:$C$1369,0)))</f>
        <v/>
      </c>
      <c r="G631" s="8">
        <f>IF(ISNA(MATCH(622,'Transfer Engine'!$C$2:$C$1369,0)),"",INDEX('Compliance Database'!$G$2:$G$1369,MATCH(622,'Transfer Engine'!$C$2:$C$1369,0)))</f>
        <v/>
      </c>
      <c r="H631" s="9">
        <f>IF(ISNA(MATCH(622,'Transfer Engine'!$C$2:$C$1369,0)),"",INDEX('Compliance Database'!$H$2:$H$1369,MATCH(622,'Transfer Engine'!$C$2:$C$1369,0)))</f>
        <v/>
      </c>
      <c r="I631" s="9">
        <f>IF(ISNA(MATCH(622,'Transfer Engine'!$C$2:$C$1369,0)),"",INDEX('Compliance Database'!$I$2:$I$1369,MATCH(622,'Transfer Engine'!$C$2:$C$1369,0)))</f>
        <v/>
      </c>
      <c r="J631" s="8">
        <f>IF(ISNA(MATCH(622,'Transfer Engine'!$C$2:$C$1369,0)),"",INDEX('Compliance Database'!$J$2:$J$1369,MATCH(622,'Transfer Engine'!$C$2:$C$1369,0)))</f>
        <v/>
      </c>
      <c r="K631" s="9">
        <f>IF(ISNA(MATCH(622,'Transfer Engine'!$C$2:$C$1369,0)),"",INDEX('Compliance Database'!$K$2:$K$1369,MATCH(622,'Transfer Engine'!$C$2:$C$1369,0)))</f>
        <v/>
      </c>
      <c r="L631" s="9">
        <f>IF(ISNA(MATCH(622,'Transfer Engine'!$C$2:$C$1369,0)),"",INDEX('Compliance Database'!$L$2:$L$1369,MATCH(622,'Transfer Engine'!$C$2:$C$1369,0)))</f>
        <v/>
      </c>
      <c r="M631" s="9">
        <f>IF(ISNA(MATCH(622,'Transfer Engine'!$C$2:$C$1369,0)),"",INDEX('Compliance Database'!$M$2:$M$1369,MATCH(622,'Transfer Engine'!$C$2:$C$1369,0)))</f>
        <v/>
      </c>
      <c r="N631" s="9">
        <f>IF(ISNA(MATCH(622,'Transfer Engine'!$C$2:$C$1369,0)),"",INDEX('Compliance Database'!$N$2:$N$1369,MATCH(622,'Transfer Engine'!$C$2:$C$1369,0)))</f>
        <v/>
      </c>
      <c r="O631" s="8">
        <f>IF(ISNA(MATCH(622,'Transfer Engine'!$C$2:$C$1369,0)),"",HYPERLINK(INDEX('Compliance Database'!$O$2:$O$1369,MATCH(622,'Transfer Engine'!$C$2:$C$1369,0)),"Open PDF"))</f>
        <v/>
      </c>
    </row>
    <row r="632" ht="188" customHeight="1">
      <c r="A632" s="8">
        <f>IF(ISNA(MATCH(623,'Transfer Engine'!$C$2:$C$1369,0)),"",INDEX('Compliance Database'!$A$2:$A$1369,MATCH(623,'Transfer Engine'!$C$2:$C$1369,0)))</f>
        <v/>
      </c>
      <c r="B632" s="8">
        <f>IF(ISNA(MATCH(623,'Transfer Engine'!$C$2:$C$1369,0)),"",INDEX('Compliance Database'!$B$2:$B$1369,MATCH(623,'Transfer Engine'!$C$2:$C$1369,0)))</f>
        <v/>
      </c>
      <c r="C632" s="8">
        <f>IF(ISNA(MATCH(623,'Transfer Engine'!$C$2:$C$1369,0)),"",INDEX('Compliance Database'!$C$2:$C$1369,MATCH(623,'Transfer Engine'!$C$2:$C$1369,0)))</f>
        <v/>
      </c>
      <c r="D632" s="9">
        <f>IF(ISNA(MATCH(623,'Transfer Engine'!$C$2:$C$1369,0)),"",INDEX('Compliance Database'!$D$2:$D$1369,MATCH(623,'Transfer Engine'!$C$2:$C$1369,0)))</f>
        <v/>
      </c>
      <c r="E632" s="8">
        <f>IF(ISNA(MATCH(623,'Transfer Engine'!$C$2:$C$1369,0)),"",INDEX('Compliance Database'!$E$2:$E$1369,MATCH(623,'Transfer Engine'!$C$2:$C$1369,0)))</f>
        <v/>
      </c>
      <c r="F632" s="8">
        <f>IF(ISNA(MATCH(623,'Transfer Engine'!$C$2:$C$1369,0)),"",INDEX('Compliance Database'!$F$2:$F$1369,MATCH(623,'Transfer Engine'!$C$2:$C$1369,0)))</f>
        <v/>
      </c>
      <c r="G632" s="8">
        <f>IF(ISNA(MATCH(623,'Transfer Engine'!$C$2:$C$1369,0)),"",INDEX('Compliance Database'!$G$2:$G$1369,MATCH(623,'Transfer Engine'!$C$2:$C$1369,0)))</f>
        <v/>
      </c>
      <c r="H632" s="9">
        <f>IF(ISNA(MATCH(623,'Transfer Engine'!$C$2:$C$1369,0)),"",INDEX('Compliance Database'!$H$2:$H$1369,MATCH(623,'Transfer Engine'!$C$2:$C$1369,0)))</f>
        <v/>
      </c>
      <c r="I632" s="9">
        <f>IF(ISNA(MATCH(623,'Transfer Engine'!$C$2:$C$1369,0)),"",INDEX('Compliance Database'!$I$2:$I$1369,MATCH(623,'Transfer Engine'!$C$2:$C$1369,0)))</f>
        <v/>
      </c>
      <c r="J632" s="8">
        <f>IF(ISNA(MATCH(623,'Transfer Engine'!$C$2:$C$1369,0)),"",INDEX('Compliance Database'!$J$2:$J$1369,MATCH(623,'Transfer Engine'!$C$2:$C$1369,0)))</f>
        <v/>
      </c>
      <c r="K632" s="9">
        <f>IF(ISNA(MATCH(623,'Transfer Engine'!$C$2:$C$1369,0)),"",INDEX('Compliance Database'!$K$2:$K$1369,MATCH(623,'Transfer Engine'!$C$2:$C$1369,0)))</f>
        <v/>
      </c>
      <c r="L632" s="9">
        <f>IF(ISNA(MATCH(623,'Transfer Engine'!$C$2:$C$1369,0)),"",INDEX('Compliance Database'!$L$2:$L$1369,MATCH(623,'Transfer Engine'!$C$2:$C$1369,0)))</f>
        <v/>
      </c>
      <c r="M632" s="9">
        <f>IF(ISNA(MATCH(623,'Transfer Engine'!$C$2:$C$1369,0)),"",INDEX('Compliance Database'!$M$2:$M$1369,MATCH(623,'Transfer Engine'!$C$2:$C$1369,0)))</f>
        <v/>
      </c>
      <c r="N632" s="9">
        <f>IF(ISNA(MATCH(623,'Transfer Engine'!$C$2:$C$1369,0)),"",INDEX('Compliance Database'!$N$2:$N$1369,MATCH(623,'Transfer Engine'!$C$2:$C$1369,0)))</f>
        <v/>
      </c>
      <c r="O632" s="8">
        <f>IF(ISNA(MATCH(623,'Transfer Engine'!$C$2:$C$1369,0)),"",HYPERLINK(INDEX('Compliance Database'!$O$2:$O$1369,MATCH(623,'Transfer Engine'!$C$2:$C$1369,0)),"Open PDF"))</f>
        <v/>
      </c>
    </row>
    <row r="633" ht="188" customHeight="1">
      <c r="A633" s="8">
        <f>IF(ISNA(MATCH(624,'Transfer Engine'!$C$2:$C$1369,0)),"",INDEX('Compliance Database'!$A$2:$A$1369,MATCH(624,'Transfer Engine'!$C$2:$C$1369,0)))</f>
        <v/>
      </c>
      <c r="B633" s="8">
        <f>IF(ISNA(MATCH(624,'Transfer Engine'!$C$2:$C$1369,0)),"",INDEX('Compliance Database'!$B$2:$B$1369,MATCH(624,'Transfer Engine'!$C$2:$C$1369,0)))</f>
        <v/>
      </c>
      <c r="C633" s="8">
        <f>IF(ISNA(MATCH(624,'Transfer Engine'!$C$2:$C$1369,0)),"",INDEX('Compliance Database'!$C$2:$C$1369,MATCH(624,'Transfer Engine'!$C$2:$C$1369,0)))</f>
        <v/>
      </c>
      <c r="D633" s="9">
        <f>IF(ISNA(MATCH(624,'Transfer Engine'!$C$2:$C$1369,0)),"",INDEX('Compliance Database'!$D$2:$D$1369,MATCH(624,'Transfer Engine'!$C$2:$C$1369,0)))</f>
        <v/>
      </c>
      <c r="E633" s="8">
        <f>IF(ISNA(MATCH(624,'Transfer Engine'!$C$2:$C$1369,0)),"",INDEX('Compliance Database'!$E$2:$E$1369,MATCH(624,'Transfer Engine'!$C$2:$C$1369,0)))</f>
        <v/>
      </c>
      <c r="F633" s="8">
        <f>IF(ISNA(MATCH(624,'Transfer Engine'!$C$2:$C$1369,0)),"",INDEX('Compliance Database'!$F$2:$F$1369,MATCH(624,'Transfer Engine'!$C$2:$C$1369,0)))</f>
        <v/>
      </c>
      <c r="G633" s="8">
        <f>IF(ISNA(MATCH(624,'Transfer Engine'!$C$2:$C$1369,0)),"",INDEX('Compliance Database'!$G$2:$G$1369,MATCH(624,'Transfer Engine'!$C$2:$C$1369,0)))</f>
        <v/>
      </c>
      <c r="H633" s="9">
        <f>IF(ISNA(MATCH(624,'Transfer Engine'!$C$2:$C$1369,0)),"",INDEX('Compliance Database'!$H$2:$H$1369,MATCH(624,'Transfer Engine'!$C$2:$C$1369,0)))</f>
        <v/>
      </c>
      <c r="I633" s="9">
        <f>IF(ISNA(MATCH(624,'Transfer Engine'!$C$2:$C$1369,0)),"",INDEX('Compliance Database'!$I$2:$I$1369,MATCH(624,'Transfer Engine'!$C$2:$C$1369,0)))</f>
        <v/>
      </c>
      <c r="J633" s="8">
        <f>IF(ISNA(MATCH(624,'Transfer Engine'!$C$2:$C$1369,0)),"",INDEX('Compliance Database'!$J$2:$J$1369,MATCH(624,'Transfer Engine'!$C$2:$C$1369,0)))</f>
        <v/>
      </c>
      <c r="K633" s="9">
        <f>IF(ISNA(MATCH(624,'Transfer Engine'!$C$2:$C$1369,0)),"",INDEX('Compliance Database'!$K$2:$K$1369,MATCH(624,'Transfer Engine'!$C$2:$C$1369,0)))</f>
        <v/>
      </c>
      <c r="L633" s="9">
        <f>IF(ISNA(MATCH(624,'Transfer Engine'!$C$2:$C$1369,0)),"",INDEX('Compliance Database'!$L$2:$L$1369,MATCH(624,'Transfer Engine'!$C$2:$C$1369,0)))</f>
        <v/>
      </c>
      <c r="M633" s="9">
        <f>IF(ISNA(MATCH(624,'Transfer Engine'!$C$2:$C$1369,0)),"",INDEX('Compliance Database'!$M$2:$M$1369,MATCH(624,'Transfer Engine'!$C$2:$C$1369,0)))</f>
        <v/>
      </c>
      <c r="N633" s="9">
        <f>IF(ISNA(MATCH(624,'Transfer Engine'!$C$2:$C$1369,0)),"",INDEX('Compliance Database'!$N$2:$N$1369,MATCH(624,'Transfer Engine'!$C$2:$C$1369,0)))</f>
        <v/>
      </c>
      <c r="O633" s="8">
        <f>IF(ISNA(MATCH(624,'Transfer Engine'!$C$2:$C$1369,0)),"",HYPERLINK(INDEX('Compliance Database'!$O$2:$O$1369,MATCH(624,'Transfer Engine'!$C$2:$C$1369,0)),"Open PDF"))</f>
        <v/>
      </c>
    </row>
    <row r="634" ht="188" customHeight="1">
      <c r="A634" s="8">
        <f>IF(ISNA(MATCH(625,'Transfer Engine'!$C$2:$C$1369,0)),"",INDEX('Compliance Database'!$A$2:$A$1369,MATCH(625,'Transfer Engine'!$C$2:$C$1369,0)))</f>
        <v/>
      </c>
      <c r="B634" s="8">
        <f>IF(ISNA(MATCH(625,'Transfer Engine'!$C$2:$C$1369,0)),"",INDEX('Compliance Database'!$B$2:$B$1369,MATCH(625,'Transfer Engine'!$C$2:$C$1369,0)))</f>
        <v/>
      </c>
      <c r="C634" s="8">
        <f>IF(ISNA(MATCH(625,'Transfer Engine'!$C$2:$C$1369,0)),"",INDEX('Compliance Database'!$C$2:$C$1369,MATCH(625,'Transfer Engine'!$C$2:$C$1369,0)))</f>
        <v/>
      </c>
      <c r="D634" s="9">
        <f>IF(ISNA(MATCH(625,'Transfer Engine'!$C$2:$C$1369,0)),"",INDEX('Compliance Database'!$D$2:$D$1369,MATCH(625,'Transfer Engine'!$C$2:$C$1369,0)))</f>
        <v/>
      </c>
      <c r="E634" s="8">
        <f>IF(ISNA(MATCH(625,'Transfer Engine'!$C$2:$C$1369,0)),"",INDEX('Compliance Database'!$E$2:$E$1369,MATCH(625,'Transfer Engine'!$C$2:$C$1369,0)))</f>
        <v/>
      </c>
      <c r="F634" s="8">
        <f>IF(ISNA(MATCH(625,'Transfer Engine'!$C$2:$C$1369,0)),"",INDEX('Compliance Database'!$F$2:$F$1369,MATCH(625,'Transfer Engine'!$C$2:$C$1369,0)))</f>
        <v/>
      </c>
      <c r="G634" s="8">
        <f>IF(ISNA(MATCH(625,'Transfer Engine'!$C$2:$C$1369,0)),"",INDEX('Compliance Database'!$G$2:$G$1369,MATCH(625,'Transfer Engine'!$C$2:$C$1369,0)))</f>
        <v/>
      </c>
      <c r="H634" s="9">
        <f>IF(ISNA(MATCH(625,'Transfer Engine'!$C$2:$C$1369,0)),"",INDEX('Compliance Database'!$H$2:$H$1369,MATCH(625,'Transfer Engine'!$C$2:$C$1369,0)))</f>
        <v/>
      </c>
      <c r="I634" s="9">
        <f>IF(ISNA(MATCH(625,'Transfer Engine'!$C$2:$C$1369,0)),"",INDEX('Compliance Database'!$I$2:$I$1369,MATCH(625,'Transfer Engine'!$C$2:$C$1369,0)))</f>
        <v/>
      </c>
      <c r="J634" s="8">
        <f>IF(ISNA(MATCH(625,'Transfer Engine'!$C$2:$C$1369,0)),"",INDEX('Compliance Database'!$J$2:$J$1369,MATCH(625,'Transfer Engine'!$C$2:$C$1369,0)))</f>
        <v/>
      </c>
      <c r="K634" s="9">
        <f>IF(ISNA(MATCH(625,'Transfer Engine'!$C$2:$C$1369,0)),"",INDEX('Compliance Database'!$K$2:$K$1369,MATCH(625,'Transfer Engine'!$C$2:$C$1369,0)))</f>
        <v/>
      </c>
      <c r="L634" s="9">
        <f>IF(ISNA(MATCH(625,'Transfer Engine'!$C$2:$C$1369,0)),"",INDEX('Compliance Database'!$L$2:$L$1369,MATCH(625,'Transfer Engine'!$C$2:$C$1369,0)))</f>
        <v/>
      </c>
      <c r="M634" s="9">
        <f>IF(ISNA(MATCH(625,'Transfer Engine'!$C$2:$C$1369,0)),"",INDEX('Compliance Database'!$M$2:$M$1369,MATCH(625,'Transfer Engine'!$C$2:$C$1369,0)))</f>
        <v/>
      </c>
      <c r="N634" s="9">
        <f>IF(ISNA(MATCH(625,'Transfer Engine'!$C$2:$C$1369,0)),"",INDEX('Compliance Database'!$N$2:$N$1369,MATCH(625,'Transfer Engine'!$C$2:$C$1369,0)))</f>
        <v/>
      </c>
      <c r="O634" s="8">
        <f>IF(ISNA(MATCH(625,'Transfer Engine'!$C$2:$C$1369,0)),"",HYPERLINK(INDEX('Compliance Database'!$O$2:$O$1369,MATCH(625,'Transfer Engine'!$C$2:$C$1369,0)),"Open PDF"))</f>
        <v/>
      </c>
    </row>
    <row r="635" ht="188" customHeight="1">
      <c r="A635" s="8">
        <f>IF(ISNA(MATCH(626,'Transfer Engine'!$C$2:$C$1369,0)),"",INDEX('Compliance Database'!$A$2:$A$1369,MATCH(626,'Transfer Engine'!$C$2:$C$1369,0)))</f>
        <v/>
      </c>
      <c r="B635" s="8">
        <f>IF(ISNA(MATCH(626,'Transfer Engine'!$C$2:$C$1369,0)),"",INDEX('Compliance Database'!$B$2:$B$1369,MATCH(626,'Transfer Engine'!$C$2:$C$1369,0)))</f>
        <v/>
      </c>
      <c r="C635" s="8">
        <f>IF(ISNA(MATCH(626,'Transfer Engine'!$C$2:$C$1369,0)),"",INDEX('Compliance Database'!$C$2:$C$1369,MATCH(626,'Transfer Engine'!$C$2:$C$1369,0)))</f>
        <v/>
      </c>
      <c r="D635" s="9">
        <f>IF(ISNA(MATCH(626,'Transfer Engine'!$C$2:$C$1369,0)),"",INDEX('Compliance Database'!$D$2:$D$1369,MATCH(626,'Transfer Engine'!$C$2:$C$1369,0)))</f>
        <v/>
      </c>
      <c r="E635" s="8">
        <f>IF(ISNA(MATCH(626,'Transfer Engine'!$C$2:$C$1369,0)),"",INDEX('Compliance Database'!$E$2:$E$1369,MATCH(626,'Transfer Engine'!$C$2:$C$1369,0)))</f>
        <v/>
      </c>
      <c r="F635" s="8">
        <f>IF(ISNA(MATCH(626,'Transfer Engine'!$C$2:$C$1369,0)),"",INDEX('Compliance Database'!$F$2:$F$1369,MATCH(626,'Transfer Engine'!$C$2:$C$1369,0)))</f>
        <v/>
      </c>
      <c r="G635" s="8">
        <f>IF(ISNA(MATCH(626,'Transfer Engine'!$C$2:$C$1369,0)),"",INDEX('Compliance Database'!$G$2:$G$1369,MATCH(626,'Transfer Engine'!$C$2:$C$1369,0)))</f>
        <v/>
      </c>
      <c r="H635" s="9">
        <f>IF(ISNA(MATCH(626,'Transfer Engine'!$C$2:$C$1369,0)),"",INDEX('Compliance Database'!$H$2:$H$1369,MATCH(626,'Transfer Engine'!$C$2:$C$1369,0)))</f>
        <v/>
      </c>
      <c r="I635" s="9">
        <f>IF(ISNA(MATCH(626,'Transfer Engine'!$C$2:$C$1369,0)),"",INDEX('Compliance Database'!$I$2:$I$1369,MATCH(626,'Transfer Engine'!$C$2:$C$1369,0)))</f>
        <v/>
      </c>
      <c r="J635" s="8">
        <f>IF(ISNA(MATCH(626,'Transfer Engine'!$C$2:$C$1369,0)),"",INDEX('Compliance Database'!$J$2:$J$1369,MATCH(626,'Transfer Engine'!$C$2:$C$1369,0)))</f>
        <v/>
      </c>
      <c r="K635" s="9">
        <f>IF(ISNA(MATCH(626,'Transfer Engine'!$C$2:$C$1369,0)),"",INDEX('Compliance Database'!$K$2:$K$1369,MATCH(626,'Transfer Engine'!$C$2:$C$1369,0)))</f>
        <v/>
      </c>
      <c r="L635" s="9">
        <f>IF(ISNA(MATCH(626,'Transfer Engine'!$C$2:$C$1369,0)),"",INDEX('Compliance Database'!$L$2:$L$1369,MATCH(626,'Transfer Engine'!$C$2:$C$1369,0)))</f>
        <v/>
      </c>
      <c r="M635" s="9">
        <f>IF(ISNA(MATCH(626,'Transfer Engine'!$C$2:$C$1369,0)),"",INDEX('Compliance Database'!$M$2:$M$1369,MATCH(626,'Transfer Engine'!$C$2:$C$1369,0)))</f>
        <v/>
      </c>
      <c r="N635" s="9">
        <f>IF(ISNA(MATCH(626,'Transfer Engine'!$C$2:$C$1369,0)),"",INDEX('Compliance Database'!$N$2:$N$1369,MATCH(626,'Transfer Engine'!$C$2:$C$1369,0)))</f>
        <v/>
      </c>
      <c r="O635" s="8">
        <f>IF(ISNA(MATCH(626,'Transfer Engine'!$C$2:$C$1369,0)),"",HYPERLINK(INDEX('Compliance Database'!$O$2:$O$1369,MATCH(626,'Transfer Engine'!$C$2:$C$1369,0)),"Open PDF"))</f>
        <v/>
      </c>
    </row>
    <row r="636" ht="188" customHeight="1">
      <c r="A636" s="8">
        <f>IF(ISNA(MATCH(627,'Transfer Engine'!$C$2:$C$1369,0)),"",INDEX('Compliance Database'!$A$2:$A$1369,MATCH(627,'Transfer Engine'!$C$2:$C$1369,0)))</f>
        <v/>
      </c>
      <c r="B636" s="8">
        <f>IF(ISNA(MATCH(627,'Transfer Engine'!$C$2:$C$1369,0)),"",INDEX('Compliance Database'!$B$2:$B$1369,MATCH(627,'Transfer Engine'!$C$2:$C$1369,0)))</f>
        <v/>
      </c>
      <c r="C636" s="8">
        <f>IF(ISNA(MATCH(627,'Transfer Engine'!$C$2:$C$1369,0)),"",INDEX('Compliance Database'!$C$2:$C$1369,MATCH(627,'Transfer Engine'!$C$2:$C$1369,0)))</f>
        <v/>
      </c>
      <c r="D636" s="9">
        <f>IF(ISNA(MATCH(627,'Transfer Engine'!$C$2:$C$1369,0)),"",INDEX('Compliance Database'!$D$2:$D$1369,MATCH(627,'Transfer Engine'!$C$2:$C$1369,0)))</f>
        <v/>
      </c>
      <c r="E636" s="8">
        <f>IF(ISNA(MATCH(627,'Transfer Engine'!$C$2:$C$1369,0)),"",INDEX('Compliance Database'!$E$2:$E$1369,MATCH(627,'Transfer Engine'!$C$2:$C$1369,0)))</f>
        <v/>
      </c>
      <c r="F636" s="8">
        <f>IF(ISNA(MATCH(627,'Transfer Engine'!$C$2:$C$1369,0)),"",INDEX('Compliance Database'!$F$2:$F$1369,MATCH(627,'Transfer Engine'!$C$2:$C$1369,0)))</f>
        <v/>
      </c>
      <c r="G636" s="8">
        <f>IF(ISNA(MATCH(627,'Transfer Engine'!$C$2:$C$1369,0)),"",INDEX('Compliance Database'!$G$2:$G$1369,MATCH(627,'Transfer Engine'!$C$2:$C$1369,0)))</f>
        <v/>
      </c>
      <c r="H636" s="9">
        <f>IF(ISNA(MATCH(627,'Transfer Engine'!$C$2:$C$1369,0)),"",INDEX('Compliance Database'!$H$2:$H$1369,MATCH(627,'Transfer Engine'!$C$2:$C$1369,0)))</f>
        <v/>
      </c>
      <c r="I636" s="9">
        <f>IF(ISNA(MATCH(627,'Transfer Engine'!$C$2:$C$1369,0)),"",INDEX('Compliance Database'!$I$2:$I$1369,MATCH(627,'Transfer Engine'!$C$2:$C$1369,0)))</f>
        <v/>
      </c>
      <c r="J636" s="8">
        <f>IF(ISNA(MATCH(627,'Transfer Engine'!$C$2:$C$1369,0)),"",INDEX('Compliance Database'!$J$2:$J$1369,MATCH(627,'Transfer Engine'!$C$2:$C$1369,0)))</f>
        <v/>
      </c>
      <c r="K636" s="9">
        <f>IF(ISNA(MATCH(627,'Transfer Engine'!$C$2:$C$1369,0)),"",INDEX('Compliance Database'!$K$2:$K$1369,MATCH(627,'Transfer Engine'!$C$2:$C$1369,0)))</f>
        <v/>
      </c>
      <c r="L636" s="9">
        <f>IF(ISNA(MATCH(627,'Transfer Engine'!$C$2:$C$1369,0)),"",INDEX('Compliance Database'!$L$2:$L$1369,MATCH(627,'Transfer Engine'!$C$2:$C$1369,0)))</f>
        <v/>
      </c>
      <c r="M636" s="9">
        <f>IF(ISNA(MATCH(627,'Transfer Engine'!$C$2:$C$1369,0)),"",INDEX('Compliance Database'!$M$2:$M$1369,MATCH(627,'Transfer Engine'!$C$2:$C$1369,0)))</f>
        <v/>
      </c>
      <c r="N636" s="9">
        <f>IF(ISNA(MATCH(627,'Transfer Engine'!$C$2:$C$1369,0)),"",INDEX('Compliance Database'!$N$2:$N$1369,MATCH(627,'Transfer Engine'!$C$2:$C$1369,0)))</f>
        <v/>
      </c>
      <c r="O636" s="8">
        <f>IF(ISNA(MATCH(627,'Transfer Engine'!$C$2:$C$1369,0)),"",HYPERLINK(INDEX('Compliance Database'!$O$2:$O$1369,MATCH(627,'Transfer Engine'!$C$2:$C$1369,0)),"Open PDF"))</f>
        <v/>
      </c>
    </row>
    <row r="637" ht="188" customHeight="1">
      <c r="A637" s="8">
        <f>IF(ISNA(MATCH(628,'Transfer Engine'!$C$2:$C$1369,0)),"",INDEX('Compliance Database'!$A$2:$A$1369,MATCH(628,'Transfer Engine'!$C$2:$C$1369,0)))</f>
        <v/>
      </c>
      <c r="B637" s="8">
        <f>IF(ISNA(MATCH(628,'Transfer Engine'!$C$2:$C$1369,0)),"",INDEX('Compliance Database'!$B$2:$B$1369,MATCH(628,'Transfer Engine'!$C$2:$C$1369,0)))</f>
        <v/>
      </c>
      <c r="C637" s="8">
        <f>IF(ISNA(MATCH(628,'Transfer Engine'!$C$2:$C$1369,0)),"",INDEX('Compliance Database'!$C$2:$C$1369,MATCH(628,'Transfer Engine'!$C$2:$C$1369,0)))</f>
        <v/>
      </c>
      <c r="D637" s="9">
        <f>IF(ISNA(MATCH(628,'Transfer Engine'!$C$2:$C$1369,0)),"",INDEX('Compliance Database'!$D$2:$D$1369,MATCH(628,'Transfer Engine'!$C$2:$C$1369,0)))</f>
        <v/>
      </c>
      <c r="E637" s="8">
        <f>IF(ISNA(MATCH(628,'Transfer Engine'!$C$2:$C$1369,0)),"",INDEX('Compliance Database'!$E$2:$E$1369,MATCH(628,'Transfer Engine'!$C$2:$C$1369,0)))</f>
        <v/>
      </c>
      <c r="F637" s="8">
        <f>IF(ISNA(MATCH(628,'Transfer Engine'!$C$2:$C$1369,0)),"",INDEX('Compliance Database'!$F$2:$F$1369,MATCH(628,'Transfer Engine'!$C$2:$C$1369,0)))</f>
        <v/>
      </c>
      <c r="G637" s="8">
        <f>IF(ISNA(MATCH(628,'Transfer Engine'!$C$2:$C$1369,0)),"",INDEX('Compliance Database'!$G$2:$G$1369,MATCH(628,'Transfer Engine'!$C$2:$C$1369,0)))</f>
        <v/>
      </c>
      <c r="H637" s="9">
        <f>IF(ISNA(MATCH(628,'Transfer Engine'!$C$2:$C$1369,0)),"",INDEX('Compliance Database'!$H$2:$H$1369,MATCH(628,'Transfer Engine'!$C$2:$C$1369,0)))</f>
        <v/>
      </c>
      <c r="I637" s="9">
        <f>IF(ISNA(MATCH(628,'Transfer Engine'!$C$2:$C$1369,0)),"",INDEX('Compliance Database'!$I$2:$I$1369,MATCH(628,'Transfer Engine'!$C$2:$C$1369,0)))</f>
        <v/>
      </c>
      <c r="J637" s="8">
        <f>IF(ISNA(MATCH(628,'Transfer Engine'!$C$2:$C$1369,0)),"",INDEX('Compliance Database'!$J$2:$J$1369,MATCH(628,'Transfer Engine'!$C$2:$C$1369,0)))</f>
        <v/>
      </c>
      <c r="K637" s="9">
        <f>IF(ISNA(MATCH(628,'Transfer Engine'!$C$2:$C$1369,0)),"",INDEX('Compliance Database'!$K$2:$K$1369,MATCH(628,'Transfer Engine'!$C$2:$C$1369,0)))</f>
        <v/>
      </c>
      <c r="L637" s="9">
        <f>IF(ISNA(MATCH(628,'Transfer Engine'!$C$2:$C$1369,0)),"",INDEX('Compliance Database'!$L$2:$L$1369,MATCH(628,'Transfer Engine'!$C$2:$C$1369,0)))</f>
        <v/>
      </c>
      <c r="M637" s="9">
        <f>IF(ISNA(MATCH(628,'Transfer Engine'!$C$2:$C$1369,0)),"",INDEX('Compliance Database'!$M$2:$M$1369,MATCH(628,'Transfer Engine'!$C$2:$C$1369,0)))</f>
        <v/>
      </c>
      <c r="N637" s="9">
        <f>IF(ISNA(MATCH(628,'Transfer Engine'!$C$2:$C$1369,0)),"",INDEX('Compliance Database'!$N$2:$N$1369,MATCH(628,'Transfer Engine'!$C$2:$C$1369,0)))</f>
        <v/>
      </c>
      <c r="O637" s="8">
        <f>IF(ISNA(MATCH(628,'Transfer Engine'!$C$2:$C$1369,0)),"",HYPERLINK(INDEX('Compliance Database'!$O$2:$O$1369,MATCH(628,'Transfer Engine'!$C$2:$C$1369,0)),"Open PDF"))</f>
        <v/>
      </c>
    </row>
    <row r="638" ht="188" customHeight="1">
      <c r="A638" s="8">
        <f>IF(ISNA(MATCH(629,'Transfer Engine'!$C$2:$C$1369,0)),"",INDEX('Compliance Database'!$A$2:$A$1369,MATCH(629,'Transfer Engine'!$C$2:$C$1369,0)))</f>
        <v/>
      </c>
      <c r="B638" s="8">
        <f>IF(ISNA(MATCH(629,'Transfer Engine'!$C$2:$C$1369,0)),"",INDEX('Compliance Database'!$B$2:$B$1369,MATCH(629,'Transfer Engine'!$C$2:$C$1369,0)))</f>
        <v/>
      </c>
      <c r="C638" s="8">
        <f>IF(ISNA(MATCH(629,'Transfer Engine'!$C$2:$C$1369,0)),"",INDEX('Compliance Database'!$C$2:$C$1369,MATCH(629,'Transfer Engine'!$C$2:$C$1369,0)))</f>
        <v/>
      </c>
      <c r="D638" s="9">
        <f>IF(ISNA(MATCH(629,'Transfer Engine'!$C$2:$C$1369,0)),"",INDEX('Compliance Database'!$D$2:$D$1369,MATCH(629,'Transfer Engine'!$C$2:$C$1369,0)))</f>
        <v/>
      </c>
      <c r="E638" s="8">
        <f>IF(ISNA(MATCH(629,'Transfer Engine'!$C$2:$C$1369,0)),"",INDEX('Compliance Database'!$E$2:$E$1369,MATCH(629,'Transfer Engine'!$C$2:$C$1369,0)))</f>
        <v/>
      </c>
      <c r="F638" s="8">
        <f>IF(ISNA(MATCH(629,'Transfer Engine'!$C$2:$C$1369,0)),"",INDEX('Compliance Database'!$F$2:$F$1369,MATCH(629,'Transfer Engine'!$C$2:$C$1369,0)))</f>
        <v/>
      </c>
      <c r="G638" s="8">
        <f>IF(ISNA(MATCH(629,'Transfer Engine'!$C$2:$C$1369,0)),"",INDEX('Compliance Database'!$G$2:$G$1369,MATCH(629,'Transfer Engine'!$C$2:$C$1369,0)))</f>
        <v/>
      </c>
      <c r="H638" s="9">
        <f>IF(ISNA(MATCH(629,'Transfer Engine'!$C$2:$C$1369,0)),"",INDEX('Compliance Database'!$H$2:$H$1369,MATCH(629,'Transfer Engine'!$C$2:$C$1369,0)))</f>
        <v/>
      </c>
      <c r="I638" s="9">
        <f>IF(ISNA(MATCH(629,'Transfer Engine'!$C$2:$C$1369,0)),"",INDEX('Compliance Database'!$I$2:$I$1369,MATCH(629,'Transfer Engine'!$C$2:$C$1369,0)))</f>
        <v/>
      </c>
      <c r="J638" s="8">
        <f>IF(ISNA(MATCH(629,'Transfer Engine'!$C$2:$C$1369,0)),"",INDEX('Compliance Database'!$J$2:$J$1369,MATCH(629,'Transfer Engine'!$C$2:$C$1369,0)))</f>
        <v/>
      </c>
      <c r="K638" s="9">
        <f>IF(ISNA(MATCH(629,'Transfer Engine'!$C$2:$C$1369,0)),"",INDEX('Compliance Database'!$K$2:$K$1369,MATCH(629,'Transfer Engine'!$C$2:$C$1369,0)))</f>
        <v/>
      </c>
      <c r="L638" s="9">
        <f>IF(ISNA(MATCH(629,'Transfer Engine'!$C$2:$C$1369,0)),"",INDEX('Compliance Database'!$L$2:$L$1369,MATCH(629,'Transfer Engine'!$C$2:$C$1369,0)))</f>
        <v/>
      </c>
      <c r="M638" s="9">
        <f>IF(ISNA(MATCH(629,'Transfer Engine'!$C$2:$C$1369,0)),"",INDEX('Compliance Database'!$M$2:$M$1369,MATCH(629,'Transfer Engine'!$C$2:$C$1369,0)))</f>
        <v/>
      </c>
      <c r="N638" s="9">
        <f>IF(ISNA(MATCH(629,'Transfer Engine'!$C$2:$C$1369,0)),"",INDEX('Compliance Database'!$N$2:$N$1369,MATCH(629,'Transfer Engine'!$C$2:$C$1369,0)))</f>
        <v/>
      </c>
      <c r="O638" s="8">
        <f>IF(ISNA(MATCH(629,'Transfer Engine'!$C$2:$C$1369,0)),"",HYPERLINK(INDEX('Compliance Database'!$O$2:$O$1369,MATCH(629,'Transfer Engine'!$C$2:$C$1369,0)),"Open PDF"))</f>
        <v/>
      </c>
    </row>
    <row r="639" ht="188" customHeight="1">
      <c r="A639" s="8">
        <f>IF(ISNA(MATCH(630,'Transfer Engine'!$C$2:$C$1369,0)),"",INDEX('Compliance Database'!$A$2:$A$1369,MATCH(630,'Transfer Engine'!$C$2:$C$1369,0)))</f>
        <v/>
      </c>
      <c r="B639" s="8">
        <f>IF(ISNA(MATCH(630,'Transfer Engine'!$C$2:$C$1369,0)),"",INDEX('Compliance Database'!$B$2:$B$1369,MATCH(630,'Transfer Engine'!$C$2:$C$1369,0)))</f>
        <v/>
      </c>
      <c r="C639" s="8">
        <f>IF(ISNA(MATCH(630,'Transfer Engine'!$C$2:$C$1369,0)),"",INDEX('Compliance Database'!$C$2:$C$1369,MATCH(630,'Transfer Engine'!$C$2:$C$1369,0)))</f>
        <v/>
      </c>
      <c r="D639" s="9">
        <f>IF(ISNA(MATCH(630,'Transfer Engine'!$C$2:$C$1369,0)),"",INDEX('Compliance Database'!$D$2:$D$1369,MATCH(630,'Transfer Engine'!$C$2:$C$1369,0)))</f>
        <v/>
      </c>
      <c r="E639" s="8">
        <f>IF(ISNA(MATCH(630,'Transfer Engine'!$C$2:$C$1369,0)),"",INDEX('Compliance Database'!$E$2:$E$1369,MATCH(630,'Transfer Engine'!$C$2:$C$1369,0)))</f>
        <v/>
      </c>
      <c r="F639" s="8">
        <f>IF(ISNA(MATCH(630,'Transfer Engine'!$C$2:$C$1369,0)),"",INDEX('Compliance Database'!$F$2:$F$1369,MATCH(630,'Transfer Engine'!$C$2:$C$1369,0)))</f>
        <v/>
      </c>
      <c r="G639" s="8">
        <f>IF(ISNA(MATCH(630,'Transfer Engine'!$C$2:$C$1369,0)),"",INDEX('Compliance Database'!$G$2:$G$1369,MATCH(630,'Transfer Engine'!$C$2:$C$1369,0)))</f>
        <v/>
      </c>
      <c r="H639" s="9">
        <f>IF(ISNA(MATCH(630,'Transfer Engine'!$C$2:$C$1369,0)),"",INDEX('Compliance Database'!$H$2:$H$1369,MATCH(630,'Transfer Engine'!$C$2:$C$1369,0)))</f>
        <v/>
      </c>
      <c r="I639" s="9">
        <f>IF(ISNA(MATCH(630,'Transfer Engine'!$C$2:$C$1369,0)),"",INDEX('Compliance Database'!$I$2:$I$1369,MATCH(630,'Transfer Engine'!$C$2:$C$1369,0)))</f>
        <v/>
      </c>
      <c r="J639" s="8">
        <f>IF(ISNA(MATCH(630,'Transfer Engine'!$C$2:$C$1369,0)),"",INDEX('Compliance Database'!$J$2:$J$1369,MATCH(630,'Transfer Engine'!$C$2:$C$1369,0)))</f>
        <v/>
      </c>
      <c r="K639" s="9">
        <f>IF(ISNA(MATCH(630,'Transfer Engine'!$C$2:$C$1369,0)),"",INDEX('Compliance Database'!$K$2:$K$1369,MATCH(630,'Transfer Engine'!$C$2:$C$1369,0)))</f>
        <v/>
      </c>
      <c r="L639" s="9">
        <f>IF(ISNA(MATCH(630,'Transfer Engine'!$C$2:$C$1369,0)),"",INDEX('Compliance Database'!$L$2:$L$1369,MATCH(630,'Transfer Engine'!$C$2:$C$1369,0)))</f>
        <v/>
      </c>
      <c r="M639" s="9">
        <f>IF(ISNA(MATCH(630,'Transfer Engine'!$C$2:$C$1369,0)),"",INDEX('Compliance Database'!$M$2:$M$1369,MATCH(630,'Transfer Engine'!$C$2:$C$1369,0)))</f>
        <v/>
      </c>
      <c r="N639" s="9">
        <f>IF(ISNA(MATCH(630,'Transfer Engine'!$C$2:$C$1369,0)),"",INDEX('Compliance Database'!$N$2:$N$1369,MATCH(630,'Transfer Engine'!$C$2:$C$1369,0)))</f>
        <v/>
      </c>
      <c r="O639" s="8">
        <f>IF(ISNA(MATCH(630,'Transfer Engine'!$C$2:$C$1369,0)),"",HYPERLINK(INDEX('Compliance Database'!$O$2:$O$1369,MATCH(630,'Transfer Engine'!$C$2:$C$1369,0)),"Open PDF"))</f>
        <v/>
      </c>
    </row>
    <row r="640" ht="188" customHeight="1">
      <c r="A640" s="8">
        <f>IF(ISNA(MATCH(631,'Transfer Engine'!$C$2:$C$1369,0)),"",INDEX('Compliance Database'!$A$2:$A$1369,MATCH(631,'Transfer Engine'!$C$2:$C$1369,0)))</f>
        <v/>
      </c>
      <c r="B640" s="8">
        <f>IF(ISNA(MATCH(631,'Transfer Engine'!$C$2:$C$1369,0)),"",INDEX('Compliance Database'!$B$2:$B$1369,MATCH(631,'Transfer Engine'!$C$2:$C$1369,0)))</f>
        <v/>
      </c>
      <c r="C640" s="8">
        <f>IF(ISNA(MATCH(631,'Transfer Engine'!$C$2:$C$1369,0)),"",INDEX('Compliance Database'!$C$2:$C$1369,MATCH(631,'Transfer Engine'!$C$2:$C$1369,0)))</f>
        <v/>
      </c>
      <c r="D640" s="9">
        <f>IF(ISNA(MATCH(631,'Transfer Engine'!$C$2:$C$1369,0)),"",INDEX('Compliance Database'!$D$2:$D$1369,MATCH(631,'Transfer Engine'!$C$2:$C$1369,0)))</f>
        <v/>
      </c>
      <c r="E640" s="8">
        <f>IF(ISNA(MATCH(631,'Transfer Engine'!$C$2:$C$1369,0)),"",INDEX('Compliance Database'!$E$2:$E$1369,MATCH(631,'Transfer Engine'!$C$2:$C$1369,0)))</f>
        <v/>
      </c>
      <c r="F640" s="8">
        <f>IF(ISNA(MATCH(631,'Transfer Engine'!$C$2:$C$1369,0)),"",INDEX('Compliance Database'!$F$2:$F$1369,MATCH(631,'Transfer Engine'!$C$2:$C$1369,0)))</f>
        <v/>
      </c>
      <c r="G640" s="8">
        <f>IF(ISNA(MATCH(631,'Transfer Engine'!$C$2:$C$1369,0)),"",INDEX('Compliance Database'!$G$2:$G$1369,MATCH(631,'Transfer Engine'!$C$2:$C$1369,0)))</f>
        <v/>
      </c>
      <c r="H640" s="9">
        <f>IF(ISNA(MATCH(631,'Transfer Engine'!$C$2:$C$1369,0)),"",INDEX('Compliance Database'!$H$2:$H$1369,MATCH(631,'Transfer Engine'!$C$2:$C$1369,0)))</f>
        <v/>
      </c>
      <c r="I640" s="9">
        <f>IF(ISNA(MATCH(631,'Transfer Engine'!$C$2:$C$1369,0)),"",INDEX('Compliance Database'!$I$2:$I$1369,MATCH(631,'Transfer Engine'!$C$2:$C$1369,0)))</f>
        <v/>
      </c>
      <c r="J640" s="8">
        <f>IF(ISNA(MATCH(631,'Transfer Engine'!$C$2:$C$1369,0)),"",INDEX('Compliance Database'!$J$2:$J$1369,MATCH(631,'Transfer Engine'!$C$2:$C$1369,0)))</f>
        <v/>
      </c>
      <c r="K640" s="9">
        <f>IF(ISNA(MATCH(631,'Transfer Engine'!$C$2:$C$1369,0)),"",INDEX('Compliance Database'!$K$2:$K$1369,MATCH(631,'Transfer Engine'!$C$2:$C$1369,0)))</f>
        <v/>
      </c>
      <c r="L640" s="9">
        <f>IF(ISNA(MATCH(631,'Transfer Engine'!$C$2:$C$1369,0)),"",INDEX('Compliance Database'!$L$2:$L$1369,MATCH(631,'Transfer Engine'!$C$2:$C$1369,0)))</f>
        <v/>
      </c>
      <c r="M640" s="9">
        <f>IF(ISNA(MATCH(631,'Transfer Engine'!$C$2:$C$1369,0)),"",INDEX('Compliance Database'!$M$2:$M$1369,MATCH(631,'Transfer Engine'!$C$2:$C$1369,0)))</f>
        <v/>
      </c>
      <c r="N640" s="9">
        <f>IF(ISNA(MATCH(631,'Transfer Engine'!$C$2:$C$1369,0)),"",INDEX('Compliance Database'!$N$2:$N$1369,MATCH(631,'Transfer Engine'!$C$2:$C$1369,0)))</f>
        <v/>
      </c>
      <c r="O640" s="8">
        <f>IF(ISNA(MATCH(631,'Transfer Engine'!$C$2:$C$1369,0)),"",HYPERLINK(INDEX('Compliance Database'!$O$2:$O$1369,MATCH(631,'Transfer Engine'!$C$2:$C$1369,0)),"Open PDF"))</f>
        <v/>
      </c>
    </row>
    <row r="641" ht="188" customHeight="1">
      <c r="A641" s="8">
        <f>IF(ISNA(MATCH(632,'Transfer Engine'!$C$2:$C$1369,0)),"",INDEX('Compliance Database'!$A$2:$A$1369,MATCH(632,'Transfer Engine'!$C$2:$C$1369,0)))</f>
        <v/>
      </c>
      <c r="B641" s="8">
        <f>IF(ISNA(MATCH(632,'Transfer Engine'!$C$2:$C$1369,0)),"",INDEX('Compliance Database'!$B$2:$B$1369,MATCH(632,'Transfer Engine'!$C$2:$C$1369,0)))</f>
        <v/>
      </c>
      <c r="C641" s="8">
        <f>IF(ISNA(MATCH(632,'Transfer Engine'!$C$2:$C$1369,0)),"",INDEX('Compliance Database'!$C$2:$C$1369,MATCH(632,'Transfer Engine'!$C$2:$C$1369,0)))</f>
        <v/>
      </c>
      <c r="D641" s="9">
        <f>IF(ISNA(MATCH(632,'Transfer Engine'!$C$2:$C$1369,0)),"",INDEX('Compliance Database'!$D$2:$D$1369,MATCH(632,'Transfer Engine'!$C$2:$C$1369,0)))</f>
        <v/>
      </c>
      <c r="E641" s="8">
        <f>IF(ISNA(MATCH(632,'Transfer Engine'!$C$2:$C$1369,0)),"",INDEX('Compliance Database'!$E$2:$E$1369,MATCH(632,'Transfer Engine'!$C$2:$C$1369,0)))</f>
        <v/>
      </c>
      <c r="F641" s="8">
        <f>IF(ISNA(MATCH(632,'Transfer Engine'!$C$2:$C$1369,0)),"",INDEX('Compliance Database'!$F$2:$F$1369,MATCH(632,'Transfer Engine'!$C$2:$C$1369,0)))</f>
        <v/>
      </c>
      <c r="G641" s="8">
        <f>IF(ISNA(MATCH(632,'Transfer Engine'!$C$2:$C$1369,0)),"",INDEX('Compliance Database'!$G$2:$G$1369,MATCH(632,'Transfer Engine'!$C$2:$C$1369,0)))</f>
        <v/>
      </c>
      <c r="H641" s="9">
        <f>IF(ISNA(MATCH(632,'Transfer Engine'!$C$2:$C$1369,0)),"",INDEX('Compliance Database'!$H$2:$H$1369,MATCH(632,'Transfer Engine'!$C$2:$C$1369,0)))</f>
        <v/>
      </c>
      <c r="I641" s="9">
        <f>IF(ISNA(MATCH(632,'Transfer Engine'!$C$2:$C$1369,0)),"",INDEX('Compliance Database'!$I$2:$I$1369,MATCH(632,'Transfer Engine'!$C$2:$C$1369,0)))</f>
        <v/>
      </c>
      <c r="J641" s="8">
        <f>IF(ISNA(MATCH(632,'Transfer Engine'!$C$2:$C$1369,0)),"",INDEX('Compliance Database'!$J$2:$J$1369,MATCH(632,'Transfer Engine'!$C$2:$C$1369,0)))</f>
        <v/>
      </c>
      <c r="K641" s="9">
        <f>IF(ISNA(MATCH(632,'Transfer Engine'!$C$2:$C$1369,0)),"",INDEX('Compliance Database'!$K$2:$K$1369,MATCH(632,'Transfer Engine'!$C$2:$C$1369,0)))</f>
        <v/>
      </c>
      <c r="L641" s="9">
        <f>IF(ISNA(MATCH(632,'Transfer Engine'!$C$2:$C$1369,0)),"",INDEX('Compliance Database'!$L$2:$L$1369,MATCH(632,'Transfer Engine'!$C$2:$C$1369,0)))</f>
        <v/>
      </c>
      <c r="M641" s="9">
        <f>IF(ISNA(MATCH(632,'Transfer Engine'!$C$2:$C$1369,0)),"",INDEX('Compliance Database'!$M$2:$M$1369,MATCH(632,'Transfer Engine'!$C$2:$C$1369,0)))</f>
        <v/>
      </c>
      <c r="N641" s="9">
        <f>IF(ISNA(MATCH(632,'Transfer Engine'!$C$2:$C$1369,0)),"",INDEX('Compliance Database'!$N$2:$N$1369,MATCH(632,'Transfer Engine'!$C$2:$C$1369,0)))</f>
        <v/>
      </c>
      <c r="O641" s="8">
        <f>IF(ISNA(MATCH(632,'Transfer Engine'!$C$2:$C$1369,0)),"",HYPERLINK(INDEX('Compliance Database'!$O$2:$O$1369,MATCH(632,'Transfer Engine'!$C$2:$C$1369,0)),"Open PDF"))</f>
        <v/>
      </c>
    </row>
    <row r="642" ht="188" customHeight="1">
      <c r="A642" s="8">
        <f>IF(ISNA(MATCH(633,'Transfer Engine'!$C$2:$C$1369,0)),"",INDEX('Compliance Database'!$A$2:$A$1369,MATCH(633,'Transfer Engine'!$C$2:$C$1369,0)))</f>
        <v/>
      </c>
      <c r="B642" s="8">
        <f>IF(ISNA(MATCH(633,'Transfer Engine'!$C$2:$C$1369,0)),"",INDEX('Compliance Database'!$B$2:$B$1369,MATCH(633,'Transfer Engine'!$C$2:$C$1369,0)))</f>
        <v/>
      </c>
      <c r="C642" s="8">
        <f>IF(ISNA(MATCH(633,'Transfer Engine'!$C$2:$C$1369,0)),"",INDEX('Compliance Database'!$C$2:$C$1369,MATCH(633,'Transfer Engine'!$C$2:$C$1369,0)))</f>
        <v/>
      </c>
      <c r="D642" s="9">
        <f>IF(ISNA(MATCH(633,'Transfer Engine'!$C$2:$C$1369,0)),"",INDEX('Compliance Database'!$D$2:$D$1369,MATCH(633,'Transfer Engine'!$C$2:$C$1369,0)))</f>
        <v/>
      </c>
      <c r="E642" s="8">
        <f>IF(ISNA(MATCH(633,'Transfer Engine'!$C$2:$C$1369,0)),"",INDEX('Compliance Database'!$E$2:$E$1369,MATCH(633,'Transfer Engine'!$C$2:$C$1369,0)))</f>
        <v/>
      </c>
      <c r="F642" s="8">
        <f>IF(ISNA(MATCH(633,'Transfer Engine'!$C$2:$C$1369,0)),"",INDEX('Compliance Database'!$F$2:$F$1369,MATCH(633,'Transfer Engine'!$C$2:$C$1369,0)))</f>
        <v/>
      </c>
      <c r="G642" s="8">
        <f>IF(ISNA(MATCH(633,'Transfer Engine'!$C$2:$C$1369,0)),"",INDEX('Compliance Database'!$G$2:$G$1369,MATCH(633,'Transfer Engine'!$C$2:$C$1369,0)))</f>
        <v/>
      </c>
      <c r="H642" s="9">
        <f>IF(ISNA(MATCH(633,'Transfer Engine'!$C$2:$C$1369,0)),"",INDEX('Compliance Database'!$H$2:$H$1369,MATCH(633,'Transfer Engine'!$C$2:$C$1369,0)))</f>
        <v/>
      </c>
      <c r="I642" s="9">
        <f>IF(ISNA(MATCH(633,'Transfer Engine'!$C$2:$C$1369,0)),"",INDEX('Compliance Database'!$I$2:$I$1369,MATCH(633,'Transfer Engine'!$C$2:$C$1369,0)))</f>
        <v/>
      </c>
      <c r="J642" s="8">
        <f>IF(ISNA(MATCH(633,'Transfer Engine'!$C$2:$C$1369,0)),"",INDEX('Compliance Database'!$J$2:$J$1369,MATCH(633,'Transfer Engine'!$C$2:$C$1369,0)))</f>
        <v/>
      </c>
      <c r="K642" s="9">
        <f>IF(ISNA(MATCH(633,'Transfer Engine'!$C$2:$C$1369,0)),"",INDEX('Compliance Database'!$K$2:$K$1369,MATCH(633,'Transfer Engine'!$C$2:$C$1369,0)))</f>
        <v/>
      </c>
      <c r="L642" s="9">
        <f>IF(ISNA(MATCH(633,'Transfer Engine'!$C$2:$C$1369,0)),"",INDEX('Compliance Database'!$L$2:$L$1369,MATCH(633,'Transfer Engine'!$C$2:$C$1369,0)))</f>
        <v/>
      </c>
      <c r="M642" s="9">
        <f>IF(ISNA(MATCH(633,'Transfer Engine'!$C$2:$C$1369,0)),"",INDEX('Compliance Database'!$M$2:$M$1369,MATCH(633,'Transfer Engine'!$C$2:$C$1369,0)))</f>
        <v/>
      </c>
      <c r="N642" s="9">
        <f>IF(ISNA(MATCH(633,'Transfer Engine'!$C$2:$C$1369,0)),"",INDEX('Compliance Database'!$N$2:$N$1369,MATCH(633,'Transfer Engine'!$C$2:$C$1369,0)))</f>
        <v/>
      </c>
      <c r="O642" s="8">
        <f>IF(ISNA(MATCH(633,'Transfer Engine'!$C$2:$C$1369,0)),"",HYPERLINK(INDEX('Compliance Database'!$O$2:$O$1369,MATCH(633,'Transfer Engine'!$C$2:$C$1369,0)),"Open PDF"))</f>
        <v/>
      </c>
    </row>
    <row r="643" ht="188" customHeight="1">
      <c r="A643" s="8">
        <f>IF(ISNA(MATCH(634,'Transfer Engine'!$C$2:$C$1369,0)),"",INDEX('Compliance Database'!$A$2:$A$1369,MATCH(634,'Transfer Engine'!$C$2:$C$1369,0)))</f>
        <v/>
      </c>
      <c r="B643" s="8">
        <f>IF(ISNA(MATCH(634,'Transfer Engine'!$C$2:$C$1369,0)),"",INDEX('Compliance Database'!$B$2:$B$1369,MATCH(634,'Transfer Engine'!$C$2:$C$1369,0)))</f>
        <v/>
      </c>
      <c r="C643" s="8">
        <f>IF(ISNA(MATCH(634,'Transfer Engine'!$C$2:$C$1369,0)),"",INDEX('Compliance Database'!$C$2:$C$1369,MATCH(634,'Transfer Engine'!$C$2:$C$1369,0)))</f>
        <v/>
      </c>
      <c r="D643" s="9">
        <f>IF(ISNA(MATCH(634,'Transfer Engine'!$C$2:$C$1369,0)),"",INDEX('Compliance Database'!$D$2:$D$1369,MATCH(634,'Transfer Engine'!$C$2:$C$1369,0)))</f>
        <v/>
      </c>
      <c r="E643" s="8">
        <f>IF(ISNA(MATCH(634,'Transfer Engine'!$C$2:$C$1369,0)),"",INDEX('Compliance Database'!$E$2:$E$1369,MATCH(634,'Transfer Engine'!$C$2:$C$1369,0)))</f>
        <v/>
      </c>
      <c r="F643" s="8">
        <f>IF(ISNA(MATCH(634,'Transfer Engine'!$C$2:$C$1369,0)),"",INDEX('Compliance Database'!$F$2:$F$1369,MATCH(634,'Transfer Engine'!$C$2:$C$1369,0)))</f>
        <v/>
      </c>
      <c r="G643" s="8">
        <f>IF(ISNA(MATCH(634,'Transfer Engine'!$C$2:$C$1369,0)),"",INDEX('Compliance Database'!$G$2:$G$1369,MATCH(634,'Transfer Engine'!$C$2:$C$1369,0)))</f>
        <v/>
      </c>
      <c r="H643" s="9">
        <f>IF(ISNA(MATCH(634,'Transfer Engine'!$C$2:$C$1369,0)),"",INDEX('Compliance Database'!$H$2:$H$1369,MATCH(634,'Transfer Engine'!$C$2:$C$1369,0)))</f>
        <v/>
      </c>
      <c r="I643" s="9">
        <f>IF(ISNA(MATCH(634,'Transfer Engine'!$C$2:$C$1369,0)),"",INDEX('Compliance Database'!$I$2:$I$1369,MATCH(634,'Transfer Engine'!$C$2:$C$1369,0)))</f>
        <v/>
      </c>
      <c r="J643" s="8">
        <f>IF(ISNA(MATCH(634,'Transfer Engine'!$C$2:$C$1369,0)),"",INDEX('Compliance Database'!$J$2:$J$1369,MATCH(634,'Transfer Engine'!$C$2:$C$1369,0)))</f>
        <v/>
      </c>
      <c r="K643" s="9">
        <f>IF(ISNA(MATCH(634,'Transfer Engine'!$C$2:$C$1369,0)),"",INDEX('Compliance Database'!$K$2:$K$1369,MATCH(634,'Transfer Engine'!$C$2:$C$1369,0)))</f>
        <v/>
      </c>
      <c r="L643" s="9">
        <f>IF(ISNA(MATCH(634,'Transfer Engine'!$C$2:$C$1369,0)),"",INDEX('Compliance Database'!$L$2:$L$1369,MATCH(634,'Transfer Engine'!$C$2:$C$1369,0)))</f>
        <v/>
      </c>
      <c r="M643" s="9">
        <f>IF(ISNA(MATCH(634,'Transfer Engine'!$C$2:$C$1369,0)),"",INDEX('Compliance Database'!$M$2:$M$1369,MATCH(634,'Transfer Engine'!$C$2:$C$1369,0)))</f>
        <v/>
      </c>
      <c r="N643" s="9">
        <f>IF(ISNA(MATCH(634,'Transfer Engine'!$C$2:$C$1369,0)),"",INDEX('Compliance Database'!$N$2:$N$1369,MATCH(634,'Transfer Engine'!$C$2:$C$1369,0)))</f>
        <v/>
      </c>
      <c r="O643" s="8">
        <f>IF(ISNA(MATCH(634,'Transfer Engine'!$C$2:$C$1369,0)),"",HYPERLINK(INDEX('Compliance Database'!$O$2:$O$1369,MATCH(634,'Transfer Engine'!$C$2:$C$1369,0)),"Open PDF"))</f>
        <v/>
      </c>
    </row>
    <row r="644" ht="188" customHeight="1">
      <c r="A644" s="8">
        <f>IF(ISNA(MATCH(635,'Transfer Engine'!$C$2:$C$1369,0)),"",INDEX('Compliance Database'!$A$2:$A$1369,MATCH(635,'Transfer Engine'!$C$2:$C$1369,0)))</f>
        <v/>
      </c>
      <c r="B644" s="8">
        <f>IF(ISNA(MATCH(635,'Transfer Engine'!$C$2:$C$1369,0)),"",INDEX('Compliance Database'!$B$2:$B$1369,MATCH(635,'Transfer Engine'!$C$2:$C$1369,0)))</f>
        <v/>
      </c>
      <c r="C644" s="8">
        <f>IF(ISNA(MATCH(635,'Transfer Engine'!$C$2:$C$1369,0)),"",INDEX('Compliance Database'!$C$2:$C$1369,MATCH(635,'Transfer Engine'!$C$2:$C$1369,0)))</f>
        <v/>
      </c>
      <c r="D644" s="9">
        <f>IF(ISNA(MATCH(635,'Transfer Engine'!$C$2:$C$1369,0)),"",INDEX('Compliance Database'!$D$2:$D$1369,MATCH(635,'Transfer Engine'!$C$2:$C$1369,0)))</f>
        <v/>
      </c>
      <c r="E644" s="8">
        <f>IF(ISNA(MATCH(635,'Transfer Engine'!$C$2:$C$1369,0)),"",INDEX('Compliance Database'!$E$2:$E$1369,MATCH(635,'Transfer Engine'!$C$2:$C$1369,0)))</f>
        <v/>
      </c>
      <c r="F644" s="8">
        <f>IF(ISNA(MATCH(635,'Transfer Engine'!$C$2:$C$1369,0)),"",INDEX('Compliance Database'!$F$2:$F$1369,MATCH(635,'Transfer Engine'!$C$2:$C$1369,0)))</f>
        <v/>
      </c>
      <c r="G644" s="8">
        <f>IF(ISNA(MATCH(635,'Transfer Engine'!$C$2:$C$1369,0)),"",INDEX('Compliance Database'!$G$2:$G$1369,MATCH(635,'Transfer Engine'!$C$2:$C$1369,0)))</f>
        <v/>
      </c>
      <c r="H644" s="9">
        <f>IF(ISNA(MATCH(635,'Transfer Engine'!$C$2:$C$1369,0)),"",INDEX('Compliance Database'!$H$2:$H$1369,MATCH(635,'Transfer Engine'!$C$2:$C$1369,0)))</f>
        <v/>
      </c>
      <c r="I644" s="9">
        <f>IF(ISNA(MATCH(635,'Transfer Engine'!$C$2:$C$1369,0)),"",INDEX('Compliance Database'!$I$2:$I$1369,MATCH(635,'Transfer Engine'!$C$2:$C$1369,0)))</f>
        <v/>
      </c>
      <c r="J644" s="8">
        <f>IF(ISNA(MATCH(635,'Transfer Engine'!$C$2:$C$1369,0)),"",INDEX('Compliance Database'!$J$2:$J$1369,MATCH(635,'Transfer Engine'!$C$2:$C$1369,0)))</f>
        <v/>
      </c>
      <c r="K644" s="9">
        <f>IF(ISNA(MATCH(635,'Transfer Engine'!$C$2:$C$1369,0)),"",INDEX('Compliance Database'!$K$2:$K$1369,MATCH(635,'Transfer Engine'!$C$2:$C$1369,0)))</f>
        <v/>
      </c>
      <c r="L644" s="9">
        <f>IF(ISNA(MATCH(635,'Transfer Engine'!$C$2:$C$1369,0)),"",INDEX('Compliance Database'!$L$2:$L$1369,MATCH(635,'Transfer Engine'!$C$2:$C$1369,0)))</f>
        <v/>
      </c>
      <c r="M644" s="9">
        <f>IF(ISNA(MATCH(635,'Transfer Engine'!$C$2:$C$1369,0)),"",INDEX('Compliance Database'!$M$2:$M$1369,MATCH(635,'Transfer Engine'!$C$2:$C$1369,0)))</f>
        <v/>
      </c>
      <c r="N644" s="9">
        <f>IF(ISNA(MATCH(635,'Transfer Engine'!$C$2:$C$1369,0)),"",INDEX('Compliance Database'!$N$2:$N$1369,MATCH(635,'Transfer Engine'!$C$2:$C$1369,0)))</f>
        <v/>
      </c>
      <c r="O644" s="8">
        <f>IF(ISNA(MATCH(635,'Transfer Engine'!$C$2:$C$1369,0)),"",HYPERLINK(INDEX('Compliance Database'!$O$2:$O$1369,MATCH(635,'Transfer Engine'!$C$2:$C$1369,0)),"Open PDF"))</f>
        <v/>
      </c>
    </row>
    <row r="645" ht="188" customHeight="1">
      <c r="A645" s="8">
        <f>IF(ISNA(MATCH(636,'Transfer Engine'!$C$2:$C$1369,0)),"",INDEX('Compliance Database'!$A$2:$A$1369,MATCH(636,'Transfer Engine'!$C$2:$C$1369,0)))</f>
        <v/>
      </c>
      <c r="B645" s="8">
        <f>IF(ISNA(MATCH(636,'Transfer Engine'!$C$2:$C$1369,0)),"",INDEX('Compliance Database'!$B$2:$B$1369,MATCH(636,'Transfer Engine'!$C$2:$C$1369,0)))</f>
        <v/>
      </c>
      <c r="C645" s="8">
        <f>IF(ISNA(MATCH(636,'Transfer Engine'!$C$2:$C$1369,0)),"",INDEX('Compliance Database'!$C$2:$C$1369,MATCH(636,'Transfer Engine'!$C$2:$C$1369,0)))</f>
        <v/>
      </c>
      <c r="D645" s="9">
        <f>IF(ISNA(MATCH(636,'Transfer Engine'!$C$2:$C$1369,0)),"",INDEX('Compliance Database'!$D$2:$D$1369,MATCH(636,'Transfer Engine'!$C$2:$C$1369,0)))</f>
        <v/>
      </c>
      <c r="E645" s="8">
        <f>IF(ISNA(MATCH(636,'Transfer Engine'!$C$2:$C$1369,0)),"",INDEX('Compliance Database'!$E$2:$E$1369,MATCH(636,'Transfer Engine'!$C$2:$C$1369,0)))</f>
        <v/>
      </c>
      <c r="F645" s="8">
        <f>IF(ISNA(MATCH(636,'Transfer Engine'!$C$2:$C$1369,0)),"",INDEX('Compliance Database'!$F$2:$F$1369,MATCH(636,'Transfer Engine'!$C$2:$C$1369,0)))</f>
        <v/>
      </c>
      <c r="G645" s="8">
        <f>IF(ISNA(MATCH(636,'Transfer Engine'!$C$2:$C$1369,0)),"",INDEX('Compliance Database'!$G$2:$G$1369,MATCH(636,'Transfer Engine'!$C$2:$C$1369,0)))</f>
        <v/>
      </c>
      <c r="H645" s="9">
        <f>IF(ISNA(MATCH(636,'Transfer Engine'!$C$2:$C$1369,0)),"",INDEX('Compliance Database'!$H$2:$H$1369,MATCH(636,'Transfer Engine'!$C$2:$C$1369,0)))</f>
        <v/>
      </c>
      <c r="I645" s="9">
        <f>IF(ISNA(MATCH(636,'Transfer Engine'!$C$2:$C$1369,0)),"",INDEX('Compliance Database'!$I$2:$I$1369,MATCH(636,'Transfer Engine'!$C$2:$C$1369,0)))</f>
        <v/>
      </c>
      <c r="J645" s="8">
        <f>IF(ISNA(MATCH(636,'Transfer Engine'!$C$2:$C$1369,0)),"",INDEX('Compliance Database'!$J$2:$J$1369,MATCH(636,'Transfer Engine'!$C$2:$C$1369,0)))</f>
        <v/>
      </c>
      <c r="K645" s="9">
        <f>IF(ISNA(MATCH(636,'Transfer Engine'!$C$2:$C$1369,0)),"",INDEX('Compliance Database'!$K$2:$K$1369,MATCH(636,'Transfer Engine'!$C$2:$C$1369,0)))</f>
        <v/>
      </c>
      <c r="L645" s="9">
        <f>IF(ISNA(MATCH(636,'Transfer Engine'!$C$2:$C$1369,0)),"",INDEX('Compliance Database'!$L$2:$L$1369,MATCH(636,'Transfer Engine'!$C$2:$C$1369,0)))</f>
        <v/>
      </c>
      <c r="M645" s="9">
        <f>IF(ISNA(MATCH(636,'Transfer Engine'!$C$2:$C$1369,0)),"",INDEX('Compliance Database'!$M$2:$M$1369,MATCH(636,'Transfer Engine'!$C$2:$C$1369,0)))</f>
        <v/>
      </c>
      <c r="N645" s="9">
        <f>IF(ISNA(MATCH(636,'Transfer Engine'!$C$2:$C$1369,0)),"",INDEX('Compliance Database'!$N$2:$N$1369,MATCH(636,'Transfer Engine'!$C$2:$C$1369,0)))</f>
        <v/>
      </c>
      <c r="O645" s="8">
        <f>IF(ISNA(MATCH(636,'Transfer Engine'!$C$2:$C$1369,0)),"",HYPERLINK(INDEX('Compliance Database'!$O$2:$O$1369,MATCH(636,'Transfer Engine'!$C$2:$C$1369,0)),"Open PDF"))</f>
        <v/>
      </c>
    </row>
    <row r="646" ht="188" customHeight="1">
      <c r="A646" s="8">
        <f>IF(ISNA(MATCH(637,'Transfer Engine'!$C$2:$C$1369,0)),"",INDEX('Compliance Database'!$A$2:$A$1369,MATCH(637,'Transfer Engine'!$C$2:$C$1369,0)))</f>
        <v/>
      </c>
      <c r="B646" s="8">
        <f>IF(ISNA(MATCH(637,'Transfer Engine'!$C$2:$C$1369,0)),"",INDEX('Compliance Database'!$B$2:$B$1369,MATCH(637,'Transfer Engine'!$C$2:$C$1369,0)))</f>
        <v/>
      </c>
      <c r="C646" s="8">
        <f>IF(ISNA(MATCH(637,'Transfer Engine'!$C$2:$C$1369,0)),"",INDEX('Compliance Database'!$C$2:$C$1369,MATCH(637,'Transfer Engine'!$C$2:$C$1369,0)))</f>
        <v/>
      </c>
      <c r="D646" s="9">
        <f>IF(ISNA(MATCH(637,'Transfer Engine'!$C$2:$C$1369,0)),"",INDEX('Compliance Database'!$D$2:$D$1369,MATCH(637,'Transfer Engine'!$C$2:$C$1369,0)))</f>
        <v/>
      </c>
      <c r="E646" s="8">
        <f>IF(ISNA(MATCH(637,'Transfer Engine'!$C$2:$C$1369,0)),"",INDEX('Compliance Database'!$E$2:$E$1369,MATCH(637,'Transfer Engine'!$C$2:$C$1369,0)))</f>
        <v/>
      </c>
      <c r="F646" s="8">
        <f>IF(ISNA(MATCH(637,'Transfer Engine'!$C$2:$C$1369,0)),"",INDEX('Compliance Database'!$F$2:$F$1369,MATCH(637,'Transfer Engine'!$C$2:$C$1369,0)))</f>
        <v/>
      </c>
      <c r="G646" s="8">
        <f>IF(ISNA(MATCH(637,'Transfer Engine'!$C$2:$C$1369,0)),"",INDEX('Compliance Database'!$G$2:$G$1369,MATCH(637,'Transfer Engine'!$C$2:$C$1369,0)))</f>
        <v/>
      </c>
      <c r="H646" s="9">
        <f>IF(ISNA(MATCH(637,'Transfer Engine'!$C$2:$C$1369,0)),"",INDEX('Compliance Database'!$H$2:$H$1369,MATCH(637,'Transfer Engine'!$C$2:$C$1369,0)))</f>
        <v/>
      </c>
      <c r="I646" s="9">
        <f>IF(ISNA(MATCH(637,'Transfer Engine'!$C$2:$C$1369,0)),"",INDEX('Compliance Database'!$I$2:$I$1369,MATCH(637,'Transfer Engine'!$C$2:$C$1369,0)))</f>
        <v/>
      </c>
      <c r="J646" s="8">
        <f>IF(ISNA(MATCH(637,'Transfer Engine'!$C$2:$C$1369,0)),"",INDEX('Compliance Database'!$J$2:$J$1369,MATCH(637,'Transfer Engine'!$C$2:$C$1369,0)))</f>
        <v/>
      </c>
      <c r="K646" s="9">
        <f>IF(ISNA(MATCH(637,'Transfer Engine'!$C$2:$C$1369,0)),"",INDEX('Compliance Database'!$K$2:$K$1369,MATCH(637,'Transfer Engine'!$C$2:$C$1369,0)))</f>
        <v/>
      </c>
      <c r="L646" s="9">
        <f>IF(ISNA(MATCH(637,'Transfer Engine'!$C$2:$C$1369,0)),"",INDEX('Compliance Database'!$L$2:$L$1369,MATCH(637,'Transfer Engine'!$C$2:$C$1369,0)))</f>
        <v/>
      </c>
      <c r="M646" s="9">
        <f>IF(ISNA(MATCH(637,'Transfer Engine'!$C$2:$C$1369,0)),"",INDEX('Compliance Database'!$M$2:$M$1369,MATCH(637,'Transfer Engine'!$C$2:$C$1369,0)))</f>
        <v/>
      </c>
      <c r="N646" s="9">
        <f>IF(ISNA(MATCH(637,'Transfer Engine'!$C$2:$C$1369,0)),"",INDEX('Compliance Database'!$N$2:$N$1369,MATCH(637,'Transfer Engine'!$C$2:$C$1369,0)))</f>
        <v/>
      </c>
      <c r="O646" s="8">
        <f>IF(ISNA(MATCH(637,'Transfer Engine'!$C$2:$C$1369,0)),"",HYPERLINK(INDEX('Compliance Database'!$O$2:$O$1369,MATCH(637,'Transfer Engine'!$C$2:$C$1369,0)),"Open PDF"))</f>
        <v/>
      </c>
    </row>
    <row r="647" ht="188" customHeight="1">
      <c r="A647" s="8">
        <f>IF(ISNA(MATCH(638,'Transfer Engine'!$C$2:$C$1369,0)),"",INDEX('Compliance Database'!$A$2:$A$1369,MATCH(638,'Transfer Engine'!$C$2:$C$1369,0)))</f>
        <v/>
      </c>
      <c r="B647" s="8">
        <f>IF(ISNA(MATCH(638,'Transfer Engine'!$C$2:$C$1369,0)),"",INDEX('Compliance Database'!$B$2:$B$1369,MATCH(638,'Transfer Engine'!$C$2:$C$1369,0)))</f>
        <v/>
      </c>
      <c r="C647" s="8">
        <f>IF(ISNA(MATCH(638,'Transfer Engine'!$C$2:$C$1369,0)),"",INDEX('Compliance Database'!$C$2:$C$1369,MATCH(638,'Transfer Engine'!$C$2:$C$1369,0)))</f>
        <v/>
      </c>
      <c r="D647" s="9">
        <f>IF(ISNA(MATCH(638,'Transfer Engine'!$C$2:$C$1369,0)),"",INDEX('Compliance Database'!$D$2:$D$1369,MATCH(638,'Transfer Engine'!$C$2:$C$1369,0)))</f>
        <v/>
      </c>
      <c r="E647" s="8">
        <f>IF(ISNA(MATCH(638,'Transfer Engine'!$C$2:$C$1369,0)),"",INDEX('Compliance Database'!$E$2:$E$1369,MATCH(638,'Transfer Engine'!$C$2:$C$1369,0)))</f>
        <v/>
      </c>
      <c r="F647" s="8">
        <f>IF(ISNA(MATCH(638,'Transfer Engine'!$C$2:$C$1369,0)),"",INDEX('Compliance Database'!$F$2:$F$1369,MATCH(638,'Transfer Engine'!$C$2:$C$1369,0)))</f>
        <v/>
      </c>
      <c r="G647" s="8">
        <f>IF(ISNA(MATCH(638,'Transfer Engine'!$C$2:$C$1369,0)),"",INDEX('Compliance Database'!$G$2:$G$1369,MATCH(638,'Transfer Engine'!$C$2:$C$1369,0)))</f>
        <v/>
      </c>
      <c r="H647" s="9">
        <f>IF(ISNA(MATCH(638,'Transfer Engine'!$C$2:$C$1369,0)),"",INDEX('Compliance Database'!$H$2:$H$1369,MATCH(638,'Transfer Engine'!$C$2:$C$1369,0)))</f>
        <v/>
      </c>
      <c r="I647" s="9">
        <f>IF(ISNA(MATCH(638,'Transfer Engine'!$C$2:$C$1369,0)),"",INDEX('Compliance Database'!$I$2:$I$1369,MATCH(638,'Transfer Engine'!$C$2:$C$1369,0)))</f>
        <v/>
      </c>
      <c r="J647" s="8">
        <f>IF(ISNA(MATCH(638,'Transfer Engine'!$C$2:$C$1369,0)),"",INDEX('Compliance Database'!$J$2:$J$1369,MATCH(638,'Transfer Engine'!$C$2:$C$1369,0)))</f>
        <v/>
      </c>
      <c r="K647" s="9">
        <f>IF(ISNA(MATCH(638,'Transfer Engine'!$C$2:$C$1369,0)),"",INDEX('Compliance Database'!$K$2:$K$1369,MATCH(638,'Transfer Engine'!$C$2:$C$1369,0)))</f>
        <v/>
      </c>
      <c r="L647" s="9">
        <f>IF(ISNA(MATCH(638,'Transfer Engine'!$C$2:$C$1369,0)),"",INDEX('Compliance Database'!$L$2:$L$1369,MATCH(638,'Transfer Engine'!$C$2:$C$1369,0)))</f>
        <v/>
      </c>
      <c r="M647" s="9">
        <f>IF(ISNA(MATCH(638,'Transfer Engine'!$C$2:$C$1369,0)),"",INDEX('Compliance Database'!$M$2:$M$1369,MATCH(638,'Transfer Engine'!$C$2:$C$1369,0)))</f>
        <v/>
      </c>
      <c r="N647" s="9">
        <f>IF(ISNA(MATCH(638,'Transfer Engine'!$C$2:$C$1369,0)),"",INDEX('Compliance Database'!$N$2:$N$1369,MATCH(638,'Transfer Engine'!$C$2:$C$1369,0)))</f>
        <v/>
      </c>
      <c r="O647" s="8">
        <f>IF(ISNA(MATCH(638,'Transfer Engine'!$C$2:$C$1369,0)),"",HYPERLINK(INDEX('Compliance Database'!$O$2:$O$1369,MATCH(638,'Transfer Engine'!$C$2:$C$1369,0)),"Open PDF"))</f>
        <v/>
      </c>
    </row>
    <row r="648" ht="188" customHeight="1">
      <c r="A648" s="8">
        <f>IF(ISNA(MATCH(639,'Transfer Engine'!$C$2:$C$1369,0)),"",INDEX('Compliance Database'!$A$2:$A$1369,MATCH(639,'Transfer Engine'!$C$2:$C$1369,0)))</f>
        <v/>
      </c>
      <c r="B648" s="8">
        <f>IF(ISNA(MATCH(639,'Transfer Engine'!$C$2:$C$1369,0)),"",INDEX('Compliance Database'!$B$2:$B$1369,MATCH(639,'Transfer Engine'!$C$2:$C$1369,0)))</f>
        <v/>
      </c>
      <c r="C648" s="8">
        <f>IF(ISNA(MATCH(639,'Transfer Engine'!$C$2:$C$1369,0)),"",INDEX('Compliance Database'!$C$2:$C$1369,MATCH(639,'Transfer Engine'!$C$2:$C$1369,0)))</f>
        <v/>
      </c>
      <c r="D648" s="9">
        <f>IF(ISNA(MATCH(639,'Transfer Engine'!$C$2:$C$1369,0)),"",INDEX('Compliance Database'!$D$2:$D$1369,MATCH(639,'Transfer Engine'!$C$2:$C$1369,0)))</f>
        <v/>
      </c>
      <c r="E648" s="8">
        <f>IF(ISNA(MATCH(639,'Transfer Engine'!$C$2:$C$1369,0)),"",INDEX('Compliance Database'!$E$2:$E$1369,MATCH(639,'Transfer Engine'!$C$2:$C$1369,0)))</f>
        <v/>
      </c>
      <c r="F648" s="8">
        <f>IF(ISNA(MATCH(639,'Transfer Engine'!$C$2:$C$1369,0)),"",INDEX('Compliance Database'!$F$2:$F$1369,MATCH(639,'Transfer Engine'!$C$2:$C$1369,0)))</f>
        <v/>
      </c>
      <c r="G648" s="8">
        <f>IF(ISNA(MATCH(639,'Transfer Engine'!$C$2:$C$1369,0)),"",INDEX('Compliance Database'!$G$2:$G$1369,MATCH(639,'Transfer Engine'!$C$2:$C$1369,0)))</f>
        <v/>
      </c>
      <c r="H648" s="9">
        <f>IF(ISNA(MATCH(639,'Transfer Engine'!$C$2:$C$1369,0)),"",INDEX('Compliance Database'!$H$2:$H$1369,MATCH(639,'Transfer Engine'!$C$2:$C$1369,0)))</f>
        <v/>
      </c>
      <c r="I648" s="9">
        <f>IF(ISNA(MATCH(639,'Transfer Engine'!$C$2:$C$1369,0)),"",INDEX('Compliance Database'!$I$2:$I$1369,MATCH(639,'Transfer Engine'!$C$2:$C$1369,0)))</f>
        <v/>
      </c>
      <c r="J648" s="8">
        <f>IF(ISNA(MATCH(639,'Transfer Engine'!$C$2:$C$1369,0)),"",INDEX('Compliance Database'!$J$2:$J$1369,MATCH(639,'Transfer Engine'!$C$2:$C$1369,0)))</f>
        <v/>
      </c>
      <c r="K648" s="9">
        <f>IF(ISNA(MATCH(639,'Transfer Engine'!$C$2:$C$1369,0)),"",INDEX('Compliance Database'!$K$2:$K$1369,MATCH(639,'Transfer Engine'!$C$2:$C$1369,0)))</f>
        <v/>
      </c>
      <c r="L648" s="9">
        <f>IF(ISNA(MATCH(639,'Transfer Engine'!$C$2:$C$1369,0)),"",INDEX('Compliance Database'!$L$2:$L$1369,MATCH(639,'Transfer Engine'!$C$2:$C$1369,0)))</f>
        <v/>
      </c>
      <c r="M648" s="9">
        <f>IF(ISNA(MATCH(639,'Transfer Engine'!$C$2:$C$1369,0)),"",INDEX('Compliance Database'!$M$2:$M$1369,MATCH(639,'Transfer Engine'!$C$2:$C$1369,0)))</f>
        <v/>
      </c>
      <c r="N648" s="9">
        <f>IF(ISNA(MATCH(639,'Transfer Engine'!$C$2:$C$1369,0)),"",INDEX('Compliance Database'!$N$2:$N$1369,MATCH(639,'Transfer Engine'!$C$2:$C$1369,0)))</f>
        <v/>
      </c>
      <c r="O648" s="8">
        <f>IF(ISNA(MATCH(639,'Transfer Engine'!$C$2:$C$1369,0)),"",HYPERLINK(INDEX('Compliance Database'!$O$2:$O$1369,MATCH(639,'Transfer Engine'!$C$2:$C$1369,0)),"Open PDF"))</f>
        <v/>
      </c>
    </row>
    <row r="649" ht="188" customHeight="1">
      <c r="A649" s="8">
        <f>IF(ISNA(MATCH(640,'Transfer Engine'!$C$2:$C$1369,0)),"",INDEX('Compliance Database'!$A$2:$A$1369,MATCH(640,'Transfer Engine'!$C$2:$C$1369,0)))</f>
        <v/>
      </c>
      <c r="B649" s="8">
        <f>IF(ISNA(MATCH(640,'Transfer Engine'!$C$2:$C$1369,0)),"",INDEX('Compliance Database'!$B$2:$B$1369,MATCH(640,'Transfer Engine'!$C$2:$C$1369,0)))</f>
        <v/>
      </c>
      <c r="C649" s="8">
        <f>IF(ISNA(MATCH(640,'Transfer Engine'!$C$2:$C$1369,0)),"",INDEX('Compliance Database'!$C$2:$C$1369,MATCH(640,'Transfer Engine'!$C$2:$C$1369,0)))</f>
        <v/>
      </c>
      <c r="D649" s="9">
        <f>IF(ISNA(MATCH(640,'Transfer Engine'!$C$2:$C$1369,0)),"",INDEX('Compliance Database'!$D$2:$D$1369,MATCH(640,'Transfer Engine'!$C$2:$C$1369,0)))</f>
        <v/>
      </c>
      <c r="E649" s="8">
        <f>IF(ISNA(MATCH(640,'Transfer Engine'!$C$2:$C$1369,0)),"",INDEX('Compliance Database'!$E$2:$E$1369,MATCH(640,'Transfer Engine'!$C$2:$C$1369,0)))</f>
        <v/>
      </c>
      <c r="F649" s="8">
        <f>IF(ISNA(MATCH(640,'Transfer Engine'!$C$2:$C$1369,0)),"",INDEX('Compliance Database'!$F$2:$F$1369,MATCH(640,'Transfer Engine'!$C$2:$C$1369,0)))</f>
        <v/>
      </c>
      <c r="G649" s="8">
        <f>IF(ISNA(MATCH(640,'Transfer Engine'!$C$2:$C$1369,0)),"",INDEX('Compliance Database'!$G$2:$G$1369,MATCH(640,'Transfer Engine'!$C$2:$C$1369,0)))</f>
        <v/>
      </c>
      <c r="H649" s="9">
        <f>IF(ISNA(MATCH(640,'Transfer Engine'!$C$2:$C$1369,0)),"",INDEX('Compliance Database'!$H$2:$H$1369,MATCH(640,'Transfer Engine'!$C$2:$C$1369,0)))</f>
        <v/>
      </c>
      <c r="I649" s="9">
        <f>IF(ISNA(MATCH(640,'Transfer Engine'!$C$2:$C$1369,0)),"",INDEX('Compliance Database'!$I$2:$I$1369,MATCH(640,'Transfer Engine'!$C$2:$C$1369,0)))</f>
        <v/>
      </c>
      <c r="J649" s="8">
        <f>IF(ISNA(MATCH(640,'Transfer Engine'!$C$2:$C$1369,0)),"",INDEX('Compliance Database'!$J$2:$J$1369,MATCH(640,'Transfer Engine'!$C$2:$C$1369,0)))</f>
        <v/>
      </c>
      <c r="K649" s="9">
        <f>IF(ISNA(MATCH(640,'Transfer Engine'!$C$2:$C$1369,0)),"",INDEX('Compliance Database'!$K$2:$K$1369,MATCH(640,'Transfer Engine'!$C$2:$C$1369,0)))</f>
        <v/>
      </c>
      <c r="L649" s="9">
        <f>IF(ISNA(MATCH(640,'Transfer Engine'!$C$2:$C$1369,0)),"",INDEX('Compliance Database'!$L$2:$L$1369,MATCH(640,'Transfer Engine'!$C$2:$C$1369,0)))</f>
        <v/>
      </c>
      <c r="M649" s="9">
        <f>IF(ISNA(MATCH(640,'Transfer Engine'!$C$2:$C$1369,0)),"",INDEX('Compliance Database'!$M$2:$M$1369,MATCH(640,'Transfer Engine'!$C$2:$C$1369,0)))</f>
        <v/>
      </c>
      <c r="N649" s="9">
        <f>IF(ISNA(MATCH(640,'Transfer Engine'!$C$2:$C$1369,0)),"",INDEX('Compliance Database'!$N$2:$N$1369,MATCH(640,'Transfer Engine'!$C$2:$C$1369,0)))</f>
        <v/>
      </c>
      <c r="O649" s="8">
        <f>IF(ISNA(MATCH(640,'Transfer Engine'!$C$2:$C$1369,0)),"",HYPERLINK(INDEX('Compliance Database'!$O$2:$O$1369,MATCH(640,'Transfer Engine'!$C$2:$C$1369,0)),"Open PDF"))</f>
        <v/>
      </c>
    </row>
    <row r="650" ht="188" customHeight="1">
      <c r="A650" s="8">
        <f>IF(ISNA(MATCH(641,'Transfer Engine'!$C$2:$C$1369,0)),"",INDEX('Compliance Database'!$A$2:$A$1369,MATCH(641,'Transfer Engine'!$C$2:$C$1369,0)))</f>
        <v/>
      </c>
      <c r="B650" s="8">
        <f>IF(ISNA(MATCH(641,'Transfer Engine'!$C$2:$C$1369,0)),"",INDEX('Compliance Database'!$B$2:$B$1369,MATCH(641,'Transfer Engine'!$C$2:$C$1369,0)))</f>
        <v/>
      </c>
      <c r="C650" s="8">
        <f>IF(ISNA(MATCH(641,'Transfer Engine'!$C$2:$C$1369,0)),"",INDEX('Compliance Database'!$C$2:$C$1369,MATCH(641,'Transfer Engine'!$C$2:$C$1369,0)))</f>
        <v/>
      </c>
      <c r="D650" s="9">
        <f>IF(ISNA(MATCH(641,'Transfer Engine'!$C$2:$C$1369,0)),"",INDEX('Compliance Database'!$D$2:$D$1369,MATCH(641,'Transfer Engine'!$C$2:$C$1369,0)))</f>
        <v/>
      </c>
      <c r="E650" s="8">
        <f>IF(ISNA(MATCH(641,'Transfer Engine'!$C$2:$C$1369,0)),"",INDEX('Compliance Database'!$E$2:$E$1369,MATCH(641,'Transfer Engine'!$C$2:$C$1369,0)))</f>
        <v/>
      </c>
      <c r="F650" s="8">
        <f>IF(ISNA(MATCH(641,'Transfer Engine'!$C$2:$C$1369,0)),"",INDEX('Compliance Database'!$F$2:$F$1369,MATCH(641,'Transfer Engine'!$C$2:$C$1369,0)))</f>
        <v/>
      </c>
      <c r="G650" s="8">
        <f>IF(ISNA(MATCH(641,'Transfer Engine'!$C$2:$C$1369,0)),"",INDEX('Compliance Database'!$G$2:$G$1369,MATCH(641,'Transfer Engine'!$C$2:$C$1369,0)))</f>
        <v/>
      </c>
      <c r="H650" s="9">
        <f>IF(ISNA(MATCH(641,'Transfer Engine'!$C$2:$C$1369,0)),"",INDEX('Compliance Database'!$H$2:$H$1369,MATCH(641,'Transfer Engine'!$C$2:$C$1369,0)))</f>
        <v/>
      </c>
      <c r="I650" s="9">
        <f>IF(ISNA(MATCH(641,'Transfer Engine'!$C$2:$C$1369,0)),"",INDEX('Compliance Database'!$I$2:$I$1369,MATCH(641,'Transfer Engine'!$C$2:$C$1369,0)))</f>
        <v/>
      </c>
      <c r="J650" s="8">
        <f>IF(ISNA(MATCH(641,'Transfer Engine'!$C$2:$C$1369,0)),"",INDEX('Compliance Database'!$J$2:$J$1369,MATCH(641,'Transfer Engine'!$C$2:$C$1369,0)))</f>
        <v/>
      </c>
      <c r="K650" s="9">
        <f>IF(ISNA(MATCH(641,'Transfer Engine'!$C$2:$C$1369,0)),"",INDEX('Compliance Database'!$K$2:$K$1369,MATCH(641,'Transfer Engine'!$C$2:$C$1369,0)))</f>
        <v/>
      </c>
      <c r="L650" s="9">
        <f>IF(ISNA(MATCH(641,'Transfer Engine'!$C$2:$C$1369,0)),"",INDEX('Compliance Database'!$L$2:$L$1369,MATCH(641,'Transfer Engine'!$C$2:$C$1369,0)))</f>
        <v/>
      </c>
      <c r="M650" s="9">
        <f>IF(ISNA(MATCH(641,'Transfer Engine'!$C$2:$C$1369,0)),"",INDEX('Compliance Database'!$M$2:$M$1369,MATCH(641,'Transfer Engine'!$C$2:$C$1369,0)))</f>
        <v/>
      </c>
      <c r="N650" s="9">
        <f>IF(ISNA(MATCH(641,'Transfer Engine'!$C$2:$C$1369,0)),"",INDEX('Compliance Database'!$N$2:$N$1369,MATCH(641,'Transfer Engine'!$C$2:$C$1369,0)))</f>
        <v/>
      </c>
      <c r="O650" s="8">
        <f>IF(ISNA(MATCH(641,'Transfer Engine'!$C$2:$C$1369,0)),"",HYPERLINK(INDEX('Compliance Database'!$O$2:$O$1369,MATCH(641,'Transfer Engine'!$C$2:$C$1369,0)),"Open PDF"))</f>
        <v/>
      </c>
    </row>
    <row r="651" ht="188" customHeight="1">
      <c r="A651" s="8">
        <f>IF(ISNA(MATCH(642,'Transfer Engine'!$C$2:$C$1369,0)),"",INDEX('Compliance Database'!$A$2:$A$1369,MATCH(642,'Transfer Engine'!$C$2:$C$1369,0)))</f>
        <v/>
      </c>
      <c r="B651" s="8">
        <f>IF(ISNA(MATCH(642,'Transfer Engine'!$C$2:$C$1369,0)),"",INDEX('Compliance Database'!$B$2:$B$1369,MATCH(642,'Transfer Engine'!$C$2:$C$1369,0)))</f>
        <v/>
      </c>
      <c r="C651" s="8">
        <f>IF(ISNA(MATCH(642,'Transfer Engine'!$C$2:$C$1369,0)),"",INDEX('Compliance Database'!$C$2:$C$1369,MATCH(642,'Transfer Engine'!$C$2:$C$1369,0)))</f>
        <v/>
      </c>
      <c r="D651" s="9">
        <f>IF(ISNA(MATCH(642,'Transfer Engine'!$C$2:$C$1369,0)),"",INDEX('Compliance Database'!$D$2:$D$1369,MATCH(642,'Transfer Engine'!$C$2:$C$1369,0)))</f>
        <v/>
      </c>
      <c r="E651" s="8">
        <f>IF(ISNA(MATCH(642,'Transfer Engine'!$C$2:$C$1369,0)),"",INDEX('Compliance Database'!$E$2:$E$1369,MATCH(642,'Transfer Engine'!$C$2:$C$1369,0)))</f>
        <v/>
      </c>
      <c r="F651" s="8">
        <f>IF(ISNA(MATCH(642,'Transfer Engine'!$C$2:$C$1369,0)),"",INDEX('Compliance Database'!$F$2:$F$1369,MATCH(642,'Transfer Engine'!$C$2:$C$1369,0)))</f>
        <v/>
      </c>
      <c r="G651" s="8">
        <f>IF(ISNA(MATCH(642,'Transfer Engine'!$C$2:$C$1369,0)),"",INDEX('Compliance Database'!$G$2:$G$1369,MATCH(642,'Transfer Engine'!$C$2:$C$1369,0)))</f>
        <v/>
      </c>
      <c r="H651" s="9">
        <f>IF(ISNA(MATCH(642,'Transfer Engine'!$C$2:$C$1369,0)),"",INDEX('Compliance Database'!$H$2:$H$1369,MATCH(642,'Transfer Engine'!$C$2:$C$1369,0)))</f>
        <v/>
      </c>
      <c r="I651" s="9">
        <f>IF(ISNA(MATCH(642,'Transfer Engine'!$C$2:$C$1369,0)),"",INDEX('Compliance Database'!$I$2:$I$1369,MATCH(642,'Transfer Engine'!$C$2:$C$1369,0)))</f>
        <v/>
      </c>
      <c r="J651" s="8">
        <f>IF(ISNA(MATCH(642,'Transfer Engine'!$C$2:$C$1369,0)),"",INDEX('Compliance Database'!$J$2:$J$1369,MATCH(642,'Transfer Engine'!$C$2:$C$1369,0)))</f>
        <v/>
      </c>
      <c r="K651" s="9">
        <f>IF(ISNA(MATCH(642,'Transfer Engine'!$C$2:$C$1369,0)),"",INDEX('Compliance Database'!$K$2:$K$1369,MATCH(642,'Transfer Engine'!$C$2:$C$1369,0)))</f>
        <v/>
      </c>
      <c r="L651" s="9">
        <f>IF(ISNA(MATCH(642,'Transfer Engine'!$C$2:$C$1369,0)),"",INDEX('Compliance Database'!$L$2:$L$1369,MATCH(642,'Transfer Engine'!$C$2:$C$1369,0)))</f>
        <v/>
      </c>
      <c r="M651" s="9">
        <f>IF(ISNA(MATCH(642,'Transfer Engine'!$C$2:$C$1369,0)),"",INDEX('Compliance Database'!$M$2:$M$1369,MATCH(642,'Transfer Engine'!$C$2:$C$1369,0)))</f>
        <v/>
      </c>
      <c r="N651" s="9">
        <f>IF(ISNA(MATCH(642,'Transfer Engine'!$C$2:$C$1369,0)),"",INDEX('Compliance Database'!$N$2:$N$1369,MATCH(642,'Transfer Engine'!$C$2:$C$1369,0)))</f>
        <v/>
      </c>
      <c r="O651" s="8">
        <f>IF(ISNA(MATCH(642,'Transfer Engine'!$C$2:$C$1369,0)),"",HYPERLINK(INDEX('Compliance Database'!$O$2:$O$1369,MATCH(642,'Transfer Engine'!$C$2:$C$1369,0)),"Open PDF"))</f>
        <v/>
      </c>
    </row>
    <row r="652" ht="188" customHeight="1">
      <c r="A652" s="8">
        <f>IF(ISNA(MATCH(643,'Transfer Engine'!$C$2:$C$1369,0)),"",INDEX('Compliance Database'!$A$2:$A$1369,MATCH(643,'Transfer Engine'!$C$2:$C$1369,0)))</f>
        <v/>
      </c>
      <c r="B652" s="8">
        <f>IF(ISNA(MATCH(643,'Transfer Engine'!$C$2:$C$1369,0)),"",INDEX('Compliance Database'!$B$2:$B$1369,MATCH(643,'Transfer Engine'!$C$2:$C$1369,0)))</f>
        <v/>
      </c>
      <c r="C652" s="8">
        <f>IF(ISNA(MATCH(643,'Transfer Engine'!$C$2:$C$1369,0)),"",INDEX('Compliance Database'!$C$2:$C$1369,MATCH(643,'Transfer Engine'!$C$2:$C$1369,0)))</f>
        <v/>
      </c>
      <c r="D652" s="9">
        <f>IF(ISNA(MATCH(643,'Transfer Engine'!$C$2:$C$1369,0)),"",INDEX('Compliance Database'!$D$2:$D$1369,MATCH(643,'Transfer Engine'!$C$2:$C$1369,0)))</f>
        <v/>
      </c>
      <c r="E652" s="8">
        <f>IF(ISNA(MATCH(643,'Transfer Engine'!$C$2:$C$1369,0)),"",INDEX('Compliance Database'!$E$2:$E$1369,MATCH(643,'Transfer Engine'!$C$2:$C$1369,0)))</f>
        <v/>
      </c>
      <c r="F652" s="8">
        <f>IF(ISNA(MATCH(643,'Transfer Engine'!$C$2:$C$1369,0)),"",INDEX('Compliance Database'!$F$2:$F$1369,MATCH(643,'Transfer Engine'!$C$2:$C$1369,0)))</f>
        <v/>
      </c>
      <c r="G652" s="8">
        <f>IF(ISNA(MATCH(643,'Transfer Engine'!$C$2:$C$1369,0)),"",INDEX('Compliance Database'!$G$2:$G$1369,MATCH(643,'Transfer Engine'!$C$2:$C$1369,0)))</f>
        <v/>
      </c>
      <c r="H652" s="9">
        <f>IF(ISNA(MATCH(643,'Transfer Engine'!$C$2:$C$1369,0)),"",INDEX('Compliance Database'!$H$2:$H$1369,MATCH(643,'Transfer Engine'!$C$2:$C$1369,0)))</f>
        <v/>
      </c>
      <c r="I652" s="9">
        <f>IF(ISNA(MATCH(643,'Transfer Engine'!$C$2:$C$1369,0)),"",INDEX('Compliance Database'!$I$2:$I$1369,MATCH(643,'Transfer Engine'!$C$2:$C$1369,0)))</f>
        <v/>
      </c>
      <c r="J652" s="8">
        <f>IF(ISNA(MATCH(643,'Transfer Engine'!$C$2:$C$1369,0)),"",INDEX('Compliance Database'!$J$2:$J$1369,MATCH(643,'Transfer Engine'!$C$2:$C$1369,0)))</f>
        <v/>
      </c>
      <c r="K652" s="9">
        <f>IF(ISNA(MATCH(643,'Transfer Engine'!$C$2:$C$1369,0)),"",INDEX('Compliance Database'!$K$2:$K$1369,MATCH(643,'Transfer Engine'!$C$2:$C$1369,0)))</f>
        <v/>
      </c>
      <c r="L652" s="9">
        <f>IF(ISNA(MATCH(643,'Transfer Engine'!$C$2:$C$1369,0)),"",INDEX('Compliance Database'!$L$2:$L$1369,MATCH(643,'Transfer Engine'!$C$2:$C$1369,0)))</f>
        <v/>
      </c>
      <c r="M652" s="9">
        <f>IF(ISNA(MATCH(643,'Transfer Engine'!$C$2:$C$1369,0)),"",INDEX('Compliance Database'!$M$2:$M$1369,MATCH(643,'Transfer Engine'!$C$2:$C$1369,0)))</f>
        <v/>
      </c>
      <c r="N652" s="9">
        <f>IF(ISNA(MATCH(643,'Transfer Engine'!$C$2:$C$1369,0)),"",INDEX('Compliance Database'!$N$2:$N$1369,MATCH(643,'Transfer Engine'!$C$2:$C$1369,0)))</f>
        <v/>
      </c>
      <c r="O652" s="8">
        <f>IF(ISNA(MATCH(643,'Transfer Engine'!$C$2:$C$1369,0)),"",HYPERLINK(INDEX('Compliance Database'!$O$2:$O$1369,MATCH(643,'Transfer Engine'!$C$2:$C$1369,0)),"Open PDF"))</f>
        <v/>
      </c>
    </row>
    <row r="653" ht="188" customHeight="1">
      <c r="A653" s="8">
        <f>IF(ISNA(MATCH(644,'Transfer Engine'!$C$2:$C$1369,0)),"",INDEX('Compliance Database'!$A$2:$A$1369,MATCH(644,'Transfer Engine'!$C$2:$C$1369,0)))</f>
        <v/>
      </c>
      <c r="B653" s="8">
        <f>IF(ISNA(MATCH(644,'Transfer Engine'!$C$2:$C$1369,0)),"",INDEX('Compliance Database'!$B$2:$B$1369,MATCH(644,'Transfer Engine'!$C$2:$C$1369,0)))</f>
        <v/>
      </c>
      <c r="C653" s="8">
        <f>IF(ISNA(MATCH(644,'Transfer Engine'!$C$2:$C$1369,0)),"",INDEX('Compliance Database'!$C$2:$C$1369,MATCH(644,'Transfer Engine'!$C$2:$C$1369,0)))</f>
        <v/>
      </c>
      <c r="D653" s="9">
        <f>IF(ISNA(MATCH(644,'Transfer Engine'!$C$2:$C$1369,0)),"",INDEX('Compliance Database'!$D$2:$D$1369,MATCH(644,'Transfer Engine'!$C$2:$C$1369,0)))</f>
        <v/>
      </c>
      <c r="E653" s="8">
        <f>IF(ISNA(MATCH(644,'Transfer Engine'!$C$2:$C$1369,0)),"",INDEX('Compliance Database'!$E$2:$E$1369,MATCH(644,'Transfer Engine'!$C$2:$C$1369,0)))</f>
        <v/>
      </c>
      <c r="F653" s="8">
        <f>IF(ISNA(MATCH(644,'Transfer Engine'!$C$2:$C$1369,0)),"",INDEX('Compliance Database'!$F$2:$F$1369,MATCH(644,'Transfer Engine'!$C$2:$C$1369,0)))</f>
        <v/>
      </c>
      <c r="G653" s="8">
        <f>IF(ISNA(MATCH(644,'Transfer Engine'!$C$2:$C$1369,0)),"",INDEX('Compliance Database'!$G$2:$G$1369,MATCH(644,'Transfer Engine'!$C$2:$C$1369,0)))</f>
        <v/>
      </c>
      <c r="H653" s="9">
        <f>IF(ISNA(MATCH(644,'Transfer Engine'!$C$2:$C$1369,0)),"",INDEX('Compliance Database'!$H$2:$H$1369,MATCH(644,'Transfer Engine'!$C$2:$C$1369,0)))</f>
        <v/>
      </c>
      <c r="I653" s="9">
        <f>IF(ISNA(MATCH(644,'Transfer Engine'!$C$2:$C$1369,0)),"",INDEX('Compliance Database'!$I$2:$I$1369,MATCH(644,'Transfer Engine'!$C$2:$C$1369,0)))</f>
        <v/>
      </c>
      <c r="J653" s="8">
        <f>IF(ISNA(MATCH(644,'Transfer Engine'!$C$2:$C$1369,0)),"",INDEX('Compliance Database'!$J$2:$J$1369,MATCH(644,'Transfer Engine'!$C$2:$C$1369,0)))</f>
        <v/>
      </c>
      <c r="K653" s="9">
        <f>IF(ISNA(MATCH(644,'Transfer Engine'!$C$2:$C$1369,0)),"",INDEX('Compliance Database'!$K$2:$K$1369,MATCH(644,'Transfer Engine'!$C$2:$C$1369,0)))</f>
        <v/>
      </c>
      <c r="L653" s="9">
        <f>IF(ISNA(MATCH(644,'Transfer Engine'!$C$2:$C$1369,0)),"",INDEX('Compliance Database'!$L$2:$L$1369,MATCH(644,'Transfer Engine'!$C$2:$C$1369,0)))</f>
        <v/>
      </c>
      <c r="M653" s="9">
        <f>IF(ISNA(MATCH(644,'Transfer Engine'!$C$2:$C$1369,0)),"",INDEX('Compliance Database'!$M$2:$M$1369,MATCH(644,'Transfer Engine'!$C$2:$C$1369,0)))</f>
        <v/>
      </c>
      <c r="N653" s="9">
        <f>IF(ISNA(MATCH(644,'Transfer Engine'!$C$2:$C$1369,0)),"",INDEX('Compliance Database'!$N$2:$N$1369,MATCH(644,'Transfer Engine'!$C$2:$C$1369,0)))</f>
        <v/>
      </c>
      <c r="O653" s="8">
        <f>IF(ISNA(MATCH(644,'Transfer Engine'!$C$2:$C$1369,0)),"",HYPERLINK(INDEX('Compliance Database'!$O$2:$O$1369,MATCH(644,'Transfer Engine'!$C$2:$C$1369,0)),"Open PDF"))</f>
        <v/>
      </c>
    </row>
    <row r="654" ht="188" customHeight="1">
      <c r="A654" s="8">
        <f>IF(ISNA(MATCH(645,'Transfer Engine'!$C$2:$C$1369,0)),"",INDEX('Compliance Database'!$A$2:$A$1369,MATCH(645,'Transfer Engine'!$C$2:$C$1369,0)))</f>
        <v/>
      </c>
      <c r="B654" s="8">
        <f>IF(ISNA(MATCH(645,'Transfer Engine'!$C$2:$C$1369,0)),"",INDEX('Compliance Database'!$B$2:$B$1369,MATCH(645,'Transfer Engine'!$C$2:$C$1369,0)))</f>
        <v/>
      </c>
      <c r="C654" s="8">
        <f>IF(ISNA(MATCH(645,'Transfer Engine'!$C$2:$C$1369,0)),"",INDEX('Compliance Database'!$C$2:$C$1369,MATCH(645,'Transfer Engine'!$C$2:$C$1369,0)))</f>
        <v/>
      </c>
      <c r="D654" s="9">
        <f>IF(ISNA(MATCH(645,'Transfer Engine'!$C$2:$C$1369,0)),"",INDEX('Compliance Database'!$D$2:$D$1369,MATCH(645,'Transfer Engine'!$C$2:$C$1369,0)))</f>
        <v/>
      </c>
      <c r="E654" s="8">
        <f>IF(ISNA(MATCH(645,'Transfer Engine'!$C$2:$C$1369,0)),"",INDEX('Compliance Database'!$E$2:$E$1369,MATCH(645,'Transfer Engine'!$C$2:$C$1369,0)))</f>
        <v/>
      </c>
      <c r="F654" s="8">
        <f>IF(ISNA(MATCH(645,'Transfer Engine'!$C$2:$C$1369,0)),"",INDEX('Compliance Database'!$F$2:$F$1369,MATCH(645,'Transfer Engine'!$C$2:$C$1369,0)))</f>
        <v/>
      </c>
      <c r="G654" s="8">
        <f>IF(ISNA(MATCH(645,'Transfer Engine'!$C$2:$C$1369,0)),"",INDEX('Compliance Database'!$G$2:$G$1369,MATCH(645,'Transfer Engine'!$C$2:$C$1369,0)))</f>
        <v/>
      </c>
      <c r="H654" s="9">
        <f>IF(ISNA(MATCH(645,'Transfer Engine'!$C$2:$C$1369,0)),"",INDEX('Compliance Database'!$H$2:$H$1369,MATCH(645,'Transfer Engine'!$C$2:$C$1369,0)))</f>
        <v/>
      </c>
      <c r="I654" s="9">
        <f>IF(ISNA(MATCH(645,'Transfer Engine'!$C$2:$C$1369,0)),"",INDEX('Compliance Database'!$I$2:$I$1369,MATCH(645,'Transfer Engine'!$C$2:$C$1369,0)))</f>
        <v/>
      </c>
      <c r="J654" s="8">
        <f>IF(ISNA(MATCH(645,'Transfer Engine'!$C$2:$C$1369,0)),"",INDEX('Compliance Database'!$J$2:$J$1369,MATCH(645,'Transfer Engine'!$C$2:$C$1369,0)))</f>
        <v/>
      </c>
      <c r="K654" s="9">
        <f>IF(ISNA(MATCH(645,'Transfer Engine'!$C$2:$C$1369,0)),"",INDEX('Compliance Database'!$K$2:$K$1369,MATCH(645,'Transfer Engine'!$C$2:$C$1369,0)))</f>
        <v/>
      </c>
      <c r="L654" s="9">
        <f>IF(ISNA(MATCH(645,'Transfer Engine'!$C$2:$C$1369,0)),"",INDEX('Compliance Database'!$L$2:$L$1369,MATCH(645,'Transfer Engine'!$C$2:$C$1369,0)))</f>
        <v/>
      </c>
      <c r="M654" s="9">
        <f>IF(ISNA(MATCH(645,'Transfer Engine'!$C$2:$C$1369,0)),"",INDEX('Compliance Database'!$M$2:$M$1369,MATCH(645,'Transfer Engine'!$C$2:$C$1369,0)))</f>
        <v/>
      </c>
      <c r="N654" s="9">
        <f>IF(ISNA(MATCH(645,'Transfer Engine'!$C$2:$C$1369,0)),"",INDEX('Compliance Database'!$N$2:$N$1369,MATCH(645,'Transfer Engine'!$C$2:$C$1369,0)))</f>
        <v/>
      </c>
      <c r="O654" s="8">
        <f>IF(ISNA(MATCH(645,'Transfer Engine'!$C$2:$C$1369,0)),"",HYPERLINK(INDEX('Compliance Database'!$O$2:$O$1369,MATCH(645,'Transfer Engine'!$C$2:$C$1369,0)),"Open PDF"))</f>
        <v/>
      </c>
    </row>
    <row r="655" ht="188" customHeight="1">
      <c r="A655" s="8">
        <f>IF(ISNA(MATCH(646,'Transfer Engine'!$C$2:$C$1369,0)),"",INDEX('Compliance Database'!$A$2:$A$1369,MATCH(646,'Transfer Engine'!$C$2:$C$1369,0)))</f>
        <v/>
      </c>
      <c r="B655" s="8">
        <f>IF(ISNA(MATCH(646,'Transfer Engine'!$C$2:$C$1369,0)),"",INDEX('Compliance Database'!$B$2:$B$1369,MATCH(646,'Transfer Engine'!$C$2:$C$1369,0)))</f>
        <v/>
      </c>
      <c r="C655" s="8">
        <f>IF(ISNA(MATCH(646,'Transfer Engine'!$C$2:$C$1369,0)),"",INDEX('Compliance Database'!$C$2:$C$1369,MATCH(646,'Transfer Engine'!$C$2:$C$1369,0)))</f>
        <v/>
      </c>
      <c r="D655" s="9">
        <f>IF(ISNA(MATCH(646,'Transfer Engine'!$C$2:$C$1369,0)),"",INDEX('Compliance Database'!$D$2:$D$1369,MATCH(646,'Transfer Engine'!$C$2:$C$1369,0)))</f>
        <v/>
      </c>
      <c r="E655" s="8">
        <f>IF(ISNA(MATCH(646,'Transfer Engine'!$C$2:$C$1369,0)),"",INDEX('Compliance Database'!$E$2:$E$1369,MATCH(646,'Transfer Engine'!$C$2:$C$1369,0)))</f>
        <v/>
      </c>
      <c r="F655" s="8">
        <f>IF(ISNA(MATCH(646,'Transfer Engine'!$C$2:$C$1369,0)),"",INDEX('Compliance Database'!$F$2:$F$1369,MATCH(646,'Transfer Engine'!$C$2:$C$1369,0)))</f>
        <v/>
      </c>
      <c r="G655" s="8">
        <f>IF(ISNA(MATCH(646,'Transfer Engine'!$C$2:$C$1369,0)),"",INDEX('Compliance Database'!$G$2:$G$1369,MATCH(646,'Transfer Engine'!$C$2:$C$1369,0)))</f>
        <v/>
      </c>
      <c r="H655" s="9">
        <f>IF(ISNA(MATCH(646,'Transfer Engine'!$C$2:$C$1369,0)),"",INDEX('Compliance Database'!$H$2:$H$1369,MATCH(646,'Transfer Engine'!$C$2:$C$1369,0)))</f>
        <v/>
      </c>
      <c r="I655" s="9">
        <f>IF(ISNA(MATCH(646,'Transfer Engine'!$C$2:$C$1369,0)),"",INDEX('Compliance Database'!$I$2:$I$1369,MATCH(646,'Transfer Engine'!$C$2:$C$1369,0)))</f>
        <v/>
      </c>
      <c r="J655" s="8">
        <f>IF(ISNA(MATCH(646,'Transfer Engine'!$C$2:$C$1369,0)),"",INDEX('Compliance Database'!$J$2:$J$1369,MATCH(646,'Transfer Engine'!$C$2:$C$1369,0)))</f>
        <v/>
      </c>
      <c r="K655" s="9">
        <f>IF(ISNA(MATCH(646,'Transfer Engine'!$C$2:$C$1369,0)),"",INDEX('Compliance Database'!$K$2:$K$1369,MATCH(646,'Transfer Engine'!$C$2:$C$1369,0)))</f>
        <v/>
      </c>
      <c r="L655" s="9">
        <f>IF(ISNA(MATCH(646,'Transfer Engine'!$C$2:$C$1369,0)),"",INDEX('Compliance Database'!$L$2:$L$1369,MATCH(646,'Transfer Engine'!$C$2:$C$1369,0)))</f>
        <v/>
      </c>
      <c r="M655" s="9">
        <f>IF(ISNA(MATCH(646,'Transfer Engine'!$C$2:$C$1369,0)),"",INDEX('Compliance Database'!$M$2:$M$1369,MATCH(646,'Transfer Engine'!$C$2:$C$1369,0)))</f>
        <v/>
      </c>
      <c r="N655" s="9">
        <f>IF(ISNA(MATCH(646,'Transfer Engine'!$C$2:$C$1369,0)),"",INDEX('Compliance Database'!$N$2:$N$1369,MATCH(646,'Transfer Engine'!$C$2:$C$1369,0)))</f>
        <v/>
      </c>
      <c r="O655" s="8">
        <f>IF(ISNA(MATCH(646,'Transfer Engine'!$C$2:$C$1369,0)),"",HYPERLINK(INDEX('Compliance Database'!$O$2:$O$1369,MATCH(646,'Transfer Engine'!$C$2:$C$1369,0)),"Open PDF"))</f>
        <v/>
      </c>
    </row>
    <row r="656" ht="188" customHeight="1">
      <c r="A656" s="8">
        <f>IF(ISNA(MATCH(647,'Transfer Engine'!$C$2:$C$1369,0)),"",INDEX('Compliance Database'!$A$2:$A$1369,MATCH(647,'Transfer Engine'!$C$2:$C$1369,0)))</f>
        <v/>
      </c>
      <c r="B656" s="8">
        <f>IF(ISNA(MATCH(647,'Transfer Engine'!$C$2:$C$1369,0)),"",INDEX('Compliance Database'!$B$2:$B$1369,MATCH(647,'Transfer Engine'!$C$2:$C$1369,0)))</f>
        <v/>
      </c>
      <c r="C656" s="8">
        <f>IF(ISNA(MATCH(647,'Transfer Engine'!$C$2:$C$1369,0)),"",INDEX('Compliance Database'!$C$2:$C$1369,MATCH(647,'Transfer Engine'!$C$2:$C$1369,0)))</f>
        <v/>
      </c>
      <c r="D656" s="9">
        <f>IF(ISNA(MATCH(647,'Transfer Engine'!$C$2:$C$1369,0)),"",INDEX('Compliance Database'!$D$2:$D$1369,MATCH(647,'Transfer Engine'!$C$2:$C$1369,0)))</f>
        <v/>
      </c>
      <c r="E656" s="8">
        <f>IF(ISNA(MATCH(647,'Transfer Engine'!$C$2:$C$1369,0)),"",INDEX('Compliance Database'!$E$2:$E$1369,MATCH(647,'Transfer Engine'!$C$2:$C$1369,0)))</f>
        <v/>
      </c>
      <c r="F656" s="8">
        <f>IF(ISNA(MATCH(647,'Transfer Engine'!$C$2:$C$1369,0)),"",INDEX('Compliance Database'!$F$2:$F$1369,MATCH(647,'Transfer Engine'!$C$2:$C$1369,0)))</f>
        <v/>
      </c>
      <c r="G656" s="8">
        <f>IF(ISNA(MATCH(647,'Transfer Engine'!$C$2:$C$1369,0)),"",INDEX('Compliance Database'!$G$2:$G$1369,MATCH(647,'Transfer Engine'!$C$2:$C$1369,0)))</f>
        <v/>
      </c>
      <c r="H656" s="9">
        <f>IF(ISNA(MATCH(647,'Transfer Engine'!$C$2:$C$1369,0)),"",INDEX('Compliance Database'!$H$2:$H$1369,MATCH(647,'Transfer Engine'!$C$2:$C$1369,0)))</f>
        <v/>
      </c>
      <c r="I656" s="9">
        <f>IF(ISNA(MATCH(647,'Transfer Engine'!$C$2:$C$1369,0)),"",INDEX('Compliance Database'!$I$2:$I$1369,MATCH(647,'Transfer Engine'!$C$2:$C$1369,0)))</f>
        <v/>
      </c>
      <c r="J656" s="8">
        <f>IF(ISNA(MATCH(647,'Transfer Engine'!$C$2:$C$1369,0)),"",INDEX('Compliance Database'!$J$2:$J$1369,MATCH(647,'Transfer Engine'!$C$2:$C$1369,0)))</f>
        <v/>
      </c>
      <c r="K656" s="9">
        <f>IF(ISNA(MATCH(647,'Transfer Engine'!$C$2:$C$1369,0)),"",INDEX('Compliance Database'!$K$2:$K$1369,MATCH(647,'Transfer Engine'!$C$2:$C$1369,0)))</f>
        <v/>
      </c>
      <c r="L656" s="9">
        <f>IF(ISNA(MATCH(647,'Transfer Engine'!$C$2:$C$1369,0)),"",INDEX('Compliance Database'!$L$2:$L$1369,MATCH(647,'Transfer Engine'!$C$2:$C$1369,0)))</f>
        <v/>
      </c>
      <c r="M656" s="9">
        <f>IF(ISNA(MATCH(647,'Transfer Engine'!$C$2:$C$1369,0)),"",INDEX('Compliance Database'!$M$2:$M$1369,MATCH(647,'Transfer Engine'!$C$2:$C$1369,0)))</f>
        <v/>
      </c>
      <c r="N656" s="9">
        <f>IF(ISNA(MATCH(647,'Transfer Engine'!$C$2:$C$1369,0)),"",INDEX('Compliance Database'!$N$2:$N$1369,MATCH(647,'Transfer Engine'!$C$2:$C$1369,0)))</f>
        <v/>
      </c>
      <c r="O656" s="8">
        <f>IF(ISNA(MATCH(647,'Transfer Engine'!$C$2:$C$1369,0)),"",HYPERLINK(INDEX('Compliance Database'!$O$2:$O$1369,MATCH(647,'Transfer Engine'!$C$2:$C$1369,0)),"Open PDF"))</f>
        <v/>
      </c>
    </row>
    <row r="657" ht="188" customHeight="1">
      <c r="A657" s="8">
        <f>IF(ISNA(MATCH(648,'Transfer Engine'!$C$2:$C$1369,0)),"",INDEX('Compliance Database'!$A$2:$A$1369,MATCH(648,'Transfer Engine'!$C$2:$C$1369,0)))</f>
        <v/>
      </c>
      <c r="B657" s="8">
        <f>IF(ISNA(MATCH(648,'Transfer Engine'!$C$2:$C$1369,0)),"",INDEX('Compliance Database'!$B$2:$B$1369,MATCH(648,'Transfer Engine'!$C$2:$C$1369,0)))</f>
        <v/>
      </c>
      <c r="C657" s="8">
        <f>IF(ISNA(MATCH(648,'Transfer Engine'!$C$2:$C$1369,0)),"",INDEX('Compliance Database'!$C$2:$C$1369,MATCH(648,'Transfer Engine'!$C$2:$C$1369,0)))</f>
        <v/>
      </c>
      <c r="D657" s="9">
        <f>IF(ISNA(MATCH(648,'Transfer Engine'!$C$2:$C$1369,0)),"",INDEX('Compliance Database'!$D$2:$D$1369,MATCH(648,'Transfer Engine'!$C$2:$C$1369,0)))</f>
        <v/>
      </c>
      <c r="E657" s="8">
        <f>IF(ISNA(MATCH(648,'Transfer Engine'!$C$2:$C$1369,0)),"",INDEX('Compliance Database'!$E$2:$E$1369,MATCH(648,'Transfer Engine'!$C$2:$C$1369,0)))</f>
        <v/>
      </c>
      <c r="F657" s="8">
        <f>IF(ISNA(MATCH(648,'Transfer Engine'!$C$2:$C$1369,0)),"",INDEX('Compliance Database'!$F$2:$F$1369,MATCH(648,'Transfer Engine'!$C$2:$C$1369,0)))</f>
        <v/>
      </c>
      <c r="G657" s="8">
        <f>IF(ISNA(MATCH(648,'Transfer Engine'!$C$2:$C$1369,0)),"",INDEX('Compliance Database'!$G$2:$G$1369,MATCH(648,'Transfer Engine'!$C$2:$C$1369,0)))</f>
        <v/>
      </c>
      <c r="H657" s="9">
        <f>IF(ISNA(MATCH(648,'Transfer Engine'!$C$2:$C$1369,0)),"",INDEX('Compliance Database'!$H$2:$H$1369,MATCH(648,'Transfer Engine'!$C$2:$C$1369,0)))</f>
        <v/>
      </c>
      <c r="I657" s="9">
        <f>IF(ISNA(MATCH(648,'Transfer Engine'!$C$2:$C$1369,0)),"",INDEX('Compliance Database'!$I$2:$I$1369,MATCH(648,'Transfer Engine'!$C$2:$C$1369,0)))</f>
        <v/>
      </c>
      <c r="J657" s="8">
        <f>IF(ISNA(MATCH(648,'Transfer Engine'!$C$2:$C$1369,0)),"",INDEX('Compliance Database'!$J$2:$J$1369,MATCH(648,'Transfer Engine'!$C$2:$C$1369,0)))</f>
        <v/>
      </c>
      <c r="K657" s="9">
        <f>IF(ISNA(MATCH(648,'Transfer Engine'!$C$2:$C$1369,0)),"",INDEX('Compliance Database'!$K$2:$K$1369,MATCH(648,'Transfer Engine'!$C$2:$C$1369,0)))</f>
        <v/>
      </c>
      <c r="L657" s="9">
        <f>IF(ISNA(MATCH(648,'Transfer Engine'!$C$2:$C$1369,0)),"",INDEX('Compliance Database'!$L$2:$L$1369,MATCH(648,'Transfer Engine'!$C$2:$C$1369,0)))</f>
        <v/>
      </c>
      <c r="M657" s="9">
        <f>IF(ISNA(MATCH(648,'Transfer Engine'!$C$2:$C$1369,0)),"",INDEX('Compliance Database'!$M$2:$M$1369,MATCH(648,'Transfer Engine'!$C$2:$C$1369,0)))</f>
        <v/>
      </c>
      <c r="N657" s="9">
        <f>IF(ISNA(MATCH(648,'Transfer Engine'!$C$2:$C$1369,0)),"",INDEX('Compliance Database'!$N$2:$N$1369,MATCH(648,'Transfer Engine'!$C$2:$C$1369,0)))</f>
        <v/>
      </c>
      <c r="O657" s="8">
        <f>IF(ISNA(MATCH(648,'Transfer Engine'!$C$2:$C$1369,0)),"",HYPERLINK(INDEX('Compliance Database'!$O$2:$O$1369,MATCH(648,'Transfer Engine'!$C$2:$C$1369,0)),"Open PDF"))</f>
        <v/>
      </c>
    </row>
    <row r="658" ht="188" customHeight="1">
      <c r="A658" s="8">
        <f>IF(ISNA(MATCH(649,'Transfer Engine'!$C$2:$C$1369,0)),"",INDEX('Compliance Database'!$A$2:$A$1369,MATCH(649,'Transfer Engine'!$C$2:$C$1369,0)))</f>
        <v/>
      </c>
      <c r="B658" s="8">
        <f>IF(ISNA(MATCH(649,'Transfer Engine'!$C$2:$C$1369,0)),"",INDEX('Compliance Database'!$B$2:$B$1369,MATCH(649,'Transfer Engine'!$C$2:$C$1369,0)))</f>
        <v/>
      </c>
      <c r="C658" s="8">
        <f>IF(ISNA(MATCH(649,'Transfer Engine'!$C$2:$C$1369,0)),"",INDEX('Compliance Database'!$C$2:$C$1369,MATCH(649,'Transfer Engine'!$C$2:$C$1369,0)))</f>
        <v/>
      </c>
      <c r="D658" s="9">
        <f>IF(ISNA(MATCH(649,'Transfer Engine'!$C$2:$C$1369,0)),"",INDEX('Compliance Database'!$D$2:$D$1369,MATCH(649,'Transfer Engine'!$C$2:$C$1369,0)))</f>
        <v/>
      </c>
      <c r="E658" s="8">
        <f>IF(ISNA(MATCH(649,'Transfer Engine'!$C$2:$C$1369,0)),"",INDEX('Compliance Database'!$E$2:$E$1369,MATCH(649,'Transfer Engine'!$C$2:$C$1369,0)))</f>
        <v/>
      </c>
      <c r="F658" s="8">
        <f>IF(ISNA(MATCH(649,'Transfer Engine'!$C$2:$C$1369,0)),"",INDEX('Compliance Database'!$F$2:$F$1369,MATCH(649,'Transfer Engine'!$C$2:$C$1369,0)))</f>
        <v/>
      </c>
      <c r="G658" s="8">
        <f>IF(ISNA(MATCH(649,'Transfer Engine'!$C$2:$C$1369,0)),"",INDEX('Compliance Database'!$G$2:$G$1369,MATCH(649,'Transfer Engine'!$C$2:$C$1369,0)))</f>
        <v/>
      </c>
      <c r="H658" s="9">
        <f>IF(ISNA(MATCH(649,'Transfer Engine'!$C$2:$C$1369,0)),"",INDEX('Compliance Database'!$H$2:$H$1369,MATCH(649,'Transfer Engine'!$C$2:$C$1369,0)))</f>
        <v/>
      </c>
      <c r="I658" s="9">
        <f>IF(ISNA(MATCH(649,'Transfer Engine'!$C$2:$C$1369,0)),"",INDEX('Compliance Database'!$I$2:$I$1369,MATCH(649,'Transfer Engine'!$C$2:$C$1369,0)))</f>
        <v/>
      </c>
      <c r="J658" s="8">
        <f>IF(ISNA(MATCH(649,'Transfer Engine'!$C$2:$C$1369,0)),"",INDEX('Compliance Database'!$J$2:$J$1369,MATCH(649,'Transfer Engine'!$C$2:$C$1369,0)))</f>
        <v/>
      </c>
      <c r="K658" s="9">
        <f>IF(ISNA(MATCH(649,'Transfer Engine'!$C$2:$C$1369,0)),"",INDEX('Compliance Database'!$K$2:$K$1369,MATCH(649,'Transfer Engine'!$C$2:$C$1369,0)))</f>
        <v/>
      </c>
      <c r="L658" s="9">
        <f>IF(ISNA(MATCH(649,'Transfer Engine'!$C$2:$C$1369,0)),"",INDEX('Compliance Database'!$L$2:$L$1369,MATCH(649,'Transfer Engine'!$C$2:$C$1369,0)))</f>
        <v/>
      </c>
      <c r="M658" s="9">
        <f>IF(ISNA(MATCH(649,'Transfer Engine'!$C$2:$C$1369,0)),"",INDEX('Compliance Database'!$M$2:$M$1369,MATCH(649,'Transfer Engine'!$C$2:$C$1369,0)))</f>
        <v/>
      </c>
      <c r="N658" s="9">
        <f>IF(ISNA(MATCH(649,'Transfer Engine'!$C$2:$C$1369,0)),"",INDEX('Compliance Database'!$N$2:$N$1369,MATCH(649,'Transfer Engine'!$C$2:$C$1369,0)))</f>
        <v/>
      </c>
      <c r="O658" s="8">
        <f>IF(ISNA(MATCH(649,'Transfer Engine'!$C$2:$C$1369,0)),"",HYPERLINK(INDEX('Compliance Database'!$O$2:$O$1369,MATCH(649,'Transfer Engine'!$C$2:$C$1369,0)),"Open PDF"))</f>
        <v/>
      </c>
    </row>
    <row r="659" ht="188" customHeight="1">
      <c r="A659" s="8">
        <f>IF(ISNA(MATCH(650,'Transfer Engine'!$C$2:$C$1369,0)),"",INDEX('Compliance Database'!$A$2:$A$1369,MATCH(650,'Transfer Engine'!$C$2:$C$1369,0)))</f>
        <v/>
      </c>
      <c r="B659" s="8">
        <f>IF(ISNA(MATCH(650,'Transfer Engine'!$C$2:$C$1369,0)),"",INDEX('Compliance Database'!$B$2:$B$1369,MATCH(650,'Transfer Engine'!$C$2:$C$1369,0)))</f>
        <v/>
      </c>
      <c r="C659" s="8">
        <f>IF(ISNA(MATCH(650,'Transfer Engine'!$C$2:$C$1369,0)),"",INDEX('Compliance Database'!$C$2:$C$1369,MATCH(650,'Transfer Engine'!$C$2:$C$1369,0)))</f>
        <v/>
      </c>
      <c r="D659" s="9">
        <f>IF(ISNA(MATCH(650,'Transfer Engine'!$C$2:$C$1369,0)),"",INDEX('Compliance Database'!$D$2:$D$1369,MATCH(650,'Transfer Engine'!$C$2:$C$1369,0)))</f>
        <v/>
      </c>
      <c r="E659" s="8">
        <f>IF(ISNA(MATCH(650,'Transfer Engine'!$C$2:$C$1369,0)),"",INDEX('Compliance Database'!$E$2:$E$1369,MATCH(650,'Transfer Engine'!$C$2:$C$1369,0)))</f>
        <v/>
      </c>
      <c r="F659" s="8">
        <f>IF(ISNA(MATCH(650,'Transfer Engine'!$C$2:$C$1369,0)),"",INDEX('Compliance Database'!$F$2:$F$1369,MATCH(650,'Transfer Engine'!$C$2:$C$1369,0)))</f>
        <v/>
      </c>
      <c r="G659" s="8">
        <f>IF(ISNA(MATCH(650,'Transfer Engine'!$C$2:$C$1369,0)),"",INDEX('Compliance Database'!$G$2:$G$1369,MATCH(650,'Transfer Engine'!$C$2:$C$1369,0)))</f>
        <v/>
      </c>
      <c r="H659" s="9">
        <f>IF(ISNA(MATCH(650,'Transfer Engine'!$C$2:$C$1369,0)),"",INDEX('Compliance Database'!$H$2:$H$1369,MATCH(650,'Transfer Engine'!$C$2:$C$1369,0)))</f>
        <v/>
      </c>
      <c r="I659" s="9">
        <f>IF(ISNA(MATCH(650,'Transfer Engine'!$C$2:$C$1369,0)),"",INDEX('Compliance Database'!$I$2:$I$1369,MATCH(650,'Transfer Engine'!$C$2:$C$1369,0)))</f>
        <v/>
      </c>
      <c r="J659" s="8">
        <f>IF(ISNA(MATCH(650,'Transfer Engine'!$C$2:$C$1369,0)),"",INDEX('Compliance Database'!$J$2:$J$1369,MATCH(650,'Transfer Engine'!$C$2:$C$1369,0)))</f>
        <v/>
      </c>
      <c r="K659" s="9">
        <f>IF(ISNA(MATCH(650,'Transfer Engine'!$C$2:$C$1369,0)),"",INDEX('Compliance Database'!$K$2:$K$1369,MATCH(650,'Transfer Engine'!$C$2:$C$1369,0)))</f>
        <v/>
      </c>
      <c r="L659" s="9">
        <f>IF(ISNA(MATCH(650,'Transfer Engine'!$C$2:$C$1369,0)),"",INDEX('Compliance Database'!$L$2:$L$1369,MATCH(650,'Transfer Engine'!$C$2:$C$1369,0)))</f>
        <v/>
      </c>
      <c r="M659" s="9">
        <f>IF(ISNA(MATCH(650,'Transfer Engine'!$C$2:$C$1369,0)),"",INDEX('Compliance Database'!$M$2:$M$1369,MATCH(650,'Transfer Engine'!$C$2:$C$1369,0)))</f>
        <v/>
      </c>
      <c r="N659" s="9">
        <f>IF(ISNA(MATCH(650,'Transfer Engine'!$C$2:$C$1369,0)),"",INDEX('Compliance Database'!$N$2:$N$1369,MATCH(650,'Transfer Engine'!$C$2:$C$1369,0)))</f>
        <v/>
      </c>
      <c r="O659" s="8">
        <f>IF(ISNA(MATCH(650,'Transfer Engine'!$C$2:$C$1369,0)),"",HYPERLINK(INDEX('Compliance Database'!$O$2:$O$1369,MATCH(650,'Transfer Engine'!$C$2:$C$1369,0)),"Open PDF"))</f>
        <v/>
      </c>
    </row>
    <row r="660" ht="188" customHeight="1">
      <c r="A660" s="8">
        <f>IF(ISNA(MATCH(651,'Transfer Engine'!$C$2:$C$1369,0)),"",INDEX('Compliance Database'!$A$2:$A$1369,MATCH(651,'Transfer Engine'!$C$2:$C$1369,0)))</f>
        <v/>
      </c>
      <c r="B660" s="8">
        <f>IF(ISNA(MATCH(651,'Transfer Engine'!$C$2:$C$1369,0)),"",INDEX('Compliance Database'!$B$2:$B$1369,MATCH(651,'Transfer Engine'!$C$2:$C$1369,0)))</f>
        <v/>
      </c>
      <c r="C660" s="8">
        <f>IF(ISNA(MATCH(651,'Transfer Engine'!$C$2:$C$1369,0)),"",INDEX('Compliance Database'!$C$2:$C$1369,MATCH(651,'Transfer Engine'!$C$2:$C$1369,0)))</f>
        <v/>
      </c>
      <c r="D660" s="9">
        <f>IF(ISNA(MATCH(651,'Transfer Engine'!$C$2:$C$1369,0)),"",INDEX('Compliance Database'!$D$2:$D$1369,MATCH(651,'Transfer Engine'!$C$2:$C$1369,0)))</f>
        <v/>
      </c>
      <c r="E660" s="8">
        <f>IF(ISNA(MATCH(651,'Transfer Engine'!$C$2:$C$1369,0)),"",INDEX('Compliance Database'!$E$2:$E$1369,MATCH(651,'Transfer Engine'!$C$2:$C$1369,0)))</f>
        <v/>
      </c>
      <c r="F660" s="8">
        <f>IF(ISNA(MATCH(651,'Transfer Engine'!$C$2:$C$1369,0)),"",INDEX('Compliance Database'!$F$2:$F$1369,MATCH(651,'Transfer Engine'!$C$2:$C$1369,0)))</f>
        <v/>
      </c>
      <c r="G660" s="8">
        <f>IF(ISNA(MATCH(651,'Transfer Engine'!$C$2:$C$1369,0)),"",INDEX('Compliance Database'!$G$2:$G$1369,MATCH(651,'Transfer Engine'!$C$2:$C$1369,0)))</f>
        <v/>
      </c>
      <c r="H660" s="9">
        <f>IF(ISNA(MATCH(651,'Transfer Engine'!$C$2:$C$1369,0)),"",INDEX('Compliance Database'!$H$2:$H$1369,MATCH(651,'Transfer Engine'!$C$2:$C$1369,0)))</f>
        <v/>
      </c>
      <c r="I660" s="9">
        <f>IF(ISNA(MATCH(651,'Transfer Engine'!$C$2:$C$1369,0)),"",INDEX('Compliance Database'!$I$2:$I$1369,MATCH(651,'Transfer Engine'!$C$2:$C$1369,0)))</f>
        <v/>
      </c>
      <c r="J660" s="8">
        <f>IF(ISNA(MATCH(651,'Transfer Engine'!$C$2:$C$1369,0)),"",INDEX('Compliance Database'!$J$2:$J$1369,MATCH(651,'Transfer Engine'!$C$2:$C$1369,0)))</f>
        <v/>
      </c>
      <c r="K660" s="9">
        <f>IF(ISNA(MATCH(651,'Transfer Engine'!$C$2:$C$1369,0)),"",INDEX('Compliance Database'!$K$2:$K$1369,MATCH(651,'Transfer Engine'!$C$2:$C$1369,0)))</f>
        <v/>
      </c>
      <c r="L660" s="9">
        <f>IF(ISNA(MATCH(651,'Transfer Engine'!$C$2:$C$1369,0)),"",INDEX('Compliance Database'!$L$2:$L$1369,MATCH(651,'Transfer Engine'!$C$2:$C$1369,0)))</f>
        <v/>
      </c>
      <c r="M660" s="9">
        <f>IF(ISNA(MATCH(651,'Transfer Engine'!$C$2:$C$1369,0)),"",INDEX('Compliance Database'!$M$2:$M$1369,MATCH(651,'Transfer Engine'!$C$2:$C$1369,0)))</f>
        <v/>
      </c>
      <c r="N660" s="9">
        <f>IF(ISNA(MATCH(651,'Transfer Engine'!$C$2:$C$1369,0)),"",INDEX('Compliance Database'!$N$2:$N$1369,MATCH(651,'Transfer Engine'!$C$2:$C$1369,0)))</f>
        <v/>
      </c>
      <c r="O660" s="8">
        <f>IF(ISNA(MATCH(651,'Transfer Engine'!$C$2:$C$1369,0)),"",HYPERLINK(INDEX('Compliance Database'!$O$2:$O$1369,MATCH(651,'Transfer Engine'!$C$2:$C$1369,0)),"Open PDF"))</f>
        <v/>
      </c>
    </row>
    <row r="661" ht="188" customHeight="1">
      <c r="A661" s="8">
        <f>IF(ISNA(MATCH(652,'Transfer Engine'!$C$2:$C$1369,0)),"",INDEX('Compliance Database'!$A$2:$A$1369,MATCH(652,'Transfer Engine'!$C$2:$C$1369,0)))</f>
        <v/>
      </c>
      <c r="B661" s="8">
        <f>IF(ISNA(MATCH(652,'Transfer Engine'!$C$2:$C$1369,0)),"",INDEX('Compliance Database'!$B$2:$B$1369,MATCH(652,'Transfer Engine'!$C$2:$C$1369,0)))</f>
        <v/>
      </c>
      <c r="C661" s="8">
        <f>IF(ISNA(MATCH(652,'Transfer Engine'!$C$2:$C$1369,0)),"",INDEX('Compliance Database'!$C$2:$C$1369,MATCH(652,'Transfer Engine'!$C$2:$C$1369,0)))</f>
        <v/>
      </c>
      <c r="D661" s="9">
        <f>IF(ISNA(MATCH(652,'Transfer Engine'!$C$2:$C$1369,0)),"",INDEX('Compliance Database'!$D$2:$D$1369,MATCH(652,'Transfer Engine'!$C$2:$C$1369,0)))</f>
        <v/>
      </c>
      <c r="E661" s="8">
        <f>IF(ISNA(MATCH(652,'Transfer Engine'!$C$2:$C$1369,0)),"",INDEX('Compliance Database'!$E$2:$E$1369,MATCH(652,'Transfer Engine'!$C$2:$C$1369,0)))</f>
        <v/>
      </c>
      <c r="F661" s="8">
        <f>IF(ISNA(MATCH(652,'Transfer Engine'!$C$2:$C$1369,0)),"",INDEX('Compliance Database'!$F$2:$F$1369,MATCH(652,'Transfer Engine'!$C$2:$C$1369,0)))</f>
        <v/>
      </c>
      <c r="G661" s="8">
        <f>IF(ISNA(MATCH(652,'Transfer Engine'!$C$2:$C$1369,0)),"",INDEX('Compliance Database'!$G$2:$G$1369,MATCH(652,'Transfer Engine'!$C$2:$C$1369,0)))</f>
        <v/>
      </c>
      <c r="H661" s="9">
        <f>IF(ISNA(MATCH(652,'Transfer Engine'!$C$2:$C$1369,0)),"",INDEX('Compliance Database'!$H$2:$H$1369,MATCH(652,'Transfer Engine'!$C$2:$C$1369,0)))</f>
        <v/>
      </c>
      <c r="I661" s="9">
        <f>IF(ISNA(MATCH(652,'Transfer Engine'!$C$2:$C$1369,0)),"",INDEX('Compliance Database'!$I$2:$I$1369,MATCH(652,'Transfer Engine'!$C$2:$C$1369,0)))</f>
        <v/>
      </c>
      <c r="J661" s="8">
        <f>IF(ISNA(MATCH(652,'Transfer Engine'!$C$2:$C$1369,0)),"",INDEX('Compliance Database'!$J$2:$J$1369,MATCH(652,'Transfer Engine'!$C$2:$C$1369,0)))</f>
        <v/>
      </c>
      <c r="K661" s="9">
        <f>IF(ISNA(MATCH(652,'Transfer Engine'!$C$2:$C$1369,0)),"",INDEX('Compliance Database'!$K$2:$K$1369,MATCH(652,'Transfer Engine'!$C$2:$C$1369,0)))</f>
        <v/>
      </c>
      <c r="L661" s="9">
        <f>IF(ISNA(MATCH(652,'Transfer Engine'!$C$2:$C$1369,0)),"",INDEX('Compliance Database'!$L$2:$L$1369,MATCH(652,'Transfer Engine'!$C$2:$C$1369,0)))</f>
        <v/>
      </c>
      <c r="M661" s="9">
        <f>IF(ISNA(MATCH(652,'Transfer Engine'!$C$2:$C$1369,0)),"",INDEX('Compliance Database'!$M$2:$M$1369,MATCH(652,'Transfer Engine'!$C$2:$C$1369,0)))</f>
        <v/>
      </c>
      <c r="N661" s="9">
        <f>IF(ISNA(MATCH(652,'Transfer Engine'!$C$2:$C$1369,0)),"",INDEX('Compliance Database'!$N$2:$N$1369,MATCH(652,'Transfer Engine'!$C$2:$C$1369,0)))</f>
        <v/>
      </c>
      <c r="O661" s="8">
        <f>IF(ISNA(MATCH(652,'Transfer Engine'!$C$2:$C$1369,0)),"",HYPERLINK(INDEX('Compliance Database'!$O$2:$O$1369,MATCH(652,'Transfer Engine'!$C$2:$C$1369,0)),"Open PDF"))</f>
        <v/>
      </c>
    </row>
    <row r="662" ht="188" customHeight="1">
      <c r="A662" s="8">
        <f>IF(ISNA(MATCH(653,'Transfer Engine'!$C$2:$C$1369,0)),"",INDEX('Compliance Database'!$A$2:$A$1369,MATCH(653,'Transfer Engine'!$C$2:$C$1369,0)))</f>
        <v/>
      </c>
      <c r="B662" s="8">
        <f>IF(ISNA(MATCH(653,'Transfer Engine'!$C$2:$C$1369,0)),"",INDEX('Compliance Database'!$B$2:$B$1369,MATCH(653,'Transfer Engine'!$C$2:$C$1369,0)))</f>
        <v/>
      </c>
      <c r="C662" s="8">
        <f>IF(ISNA(MATCH(653,'Transfer Engine'!$C$2:$C$1369,0)),"",INDEX('Compliance Database'!$C$2:$C$1369,MATCH(653,'Transfer Engine'!$C$2:$C$1369,0)))</f>
        <v/>
      </c>
      <c r="D662" s="9">
        <f>IF(ISNA(MATCH(653,'Transfer Engine'!$C$2:$C$1369,0)),"",INDEX('Compliance Database'!$D$2:$D$1369,MATCH(653,'Transfer Engine'!$C$2:$C$1369,0)))</f>
        <v/>
      </c>
      <c r="E662" s="8">
        <f>IF(ISNA(MATCH(653,'Transfer Engine'!$C$2:$C$1369,0)),"",INDEX('Compliance Database'!$E$2:$E$1369,MATCH(653,'Transfer Engine'!$C$2:$C$1369,0)))</f>
        <v/>
      </c>
      <c r="F662" s="8">
        <f>IF(ISNA(MATCH(653,'Transfer Engine'!$C$2:$C$1369,0)),"",INDEX('Compliance Database'!$F$2:$F$1369,MATCH(653,'Transfer Engine'!$C$2:$C$1369,0)))</f>
        <v/>
      </c>
      <c r="G662" s="8">
        <f>IF(ISNA(MATCH(653,'Transfer Engine'!$C$2:$C$1369,0)),"",INDEX('Compliance Database'!$G$2:$G$1369,MATCH(653,'Transfer Engine'!$C$2:$C$1369,0)))</f>
        <v/>
      </c>
      <c r="H662" s="9">
        <f>IF(ISNA(MATCH(653,'Transfer Engine'!$C$2:$C$1369,0)),"",INDEX('Compliance Database'!$H$2:$H$1369,MATCH(653,'Transfer Engine'!$C$2:$C$1369,0)))</f>
        <v/>
      </c>
      <c r="I662" s="9">
        <f>IF(ISNA(MATCH(653,'Transfer Engine'!$C$2:$C$1369,0)),"",INDEX('Compliance Database'!$I$2:$I$1369,MATCH(653,'Transfer Engine'!$C$2:$C$1369,0)))</f>
        <v/>
      </c>
      <c r="J662" s="8">
        <f>IF(ISNA(MATCH(653,'Transfer Engine'!$C$2:$C$1369,0)),"",INDEX('Compliance Database'!$J$2:$J$1369,MATCH(653,'Transfer Engine'!$C$2:$C$1369,0)))</f>
        <v/>
      </c>
      <c r="K662" s="9">
        <f>IF(ISNA(MATCH(653,'Transfer Engine'!$C$2:$C$1369,0)),"",INDEX('Compliance Database'!$K$2:$K$1369,MATCH(653,'Transfer Engine'!$C$2:$C$1369,0)))</f>
        <v/>
      </c>
      <c r="L662" s="9">
        <f>IF(ISNA(MATCH(653,'Transfer Engine'!$C$2:$C$1369,0)),"",INDEX('Compliance Database'!$L$2:$L$1369,MATCH(653,'Transfer Engine'!$C$2:$C$1369,0)))</f>
        <v/>
      </c>
      <c r="M662" s="9">
        <f>IF(ISNA(MATCH(653,'Transfer Engine'!$C$2:$C$1369,0)),"",INDEX('Compliance Database'!$M$2:$M$1369,MATCH(653,'Transfer Engine'!$C$2:$C$1369,0)))</f>
        <v/>
      </c>
      <c r="N662" s="9">
        <f>IF(ISNA(MATCH(653,'Transfer Engine'!$C$2:$C$1369,0)),"",INDEX('Compliance Database'!$N$2:$N$1369,MATCH(653,'Transfer Engine'!$C$2:$C$1369,0)))</f>
        <v/>
      </c>
      <c r="O662" s="8">
        <f>IF(ISNA(MATCH(653,'Transfer Engine'!$C$2:$C$1369,0)),"",HYPERLINK(INDEX('Compliance Database'!$O$2:$O$1369,MATCH(653,'Transfer Engine'!$C$2:$C$1369,0)),"Open PDF"))</f>
        <v/>
      </c>
    </row>
    <row r="663" ht="188" customHeight="1">
      <c r="A663" s="8">
        <f>IF(ISNA(MATCH(654,'Transfer Engine'!$C$2:$C$1369,0)),"",INDEX('Compliance Database'!$A$2:$A$1369,MATCH(654,'Transfer Engine'!$C$2:$C$1369,0)))</f>
        <v/>
      </c>
      <c r="B663" s="8">
        <f>IF(ISNA(MATCH(654,'Transfer Engine'!$C$2:$C$1369,0)),"",INDEX('Compliance Database'!$B$2:$B$1369,MATCH(654,'Transfer Engine'!$C$2:$C$1369,0)))</f>
        <v/>
      </c>
      <c r="C663" s="8">
        <f>IF(ISNA(MATCH(654,'Transfer Engine'!$C$2:$C$1369,0)),"",INDEX('Compliance Database'!$C$2:$C$1369,MATCH(654,'Transfer Engine'!$C$2:$C$1369,0)))</f>
        <v/>
      </c>
      <c r="D663" s="9">
        <f>IF(ISNA(MATCH(654,'Transfer Engine'!$C$2:$C$1369,0)),"",INDEX('Compliance Database'!$D$2:$D$1369,MATCH(654,'Transfer Engine'!$C$2:$C$1369,0)))</f>
        <v/>
      </c>
      <c r="E663" s="8">
        <f>IF(ISNA(MATCH(654,'Transfer Engine'!$C$2:$C$1369,0)),"",INDEX('Compliance Database'!$E$2:$E$1369,MATCH(654,'Transfer Engine'!$C$2:$C$1369,0)))</f>
        <v/>
      </c>
      <c r="F663" s="8">
        <f>IF(ISNA(MATCH(654,'Transfer Engine'!$C$2:$C$1369,0)),"",INDEX('Compliance Database'!$F$2:$F$1369,MATCH(654,'Transfer Engine'!$C$2:$C$1369,0)))</f>
        <v/>
      </c>
      <c r="G663" s="8">
        <f>IF(ISNA(MATCH(654,'Transfer Engine'!$C$2:$C$1369,0)),"",INDEX('Compliance Database'!$G$2:$G$1369,MATCH(654,'Transfer Engine'!$C$2:$C$1369,0)))</f>
        <v/>
      </c>
      <c r="H663" s="9">
        <f>IF(ISNA(MATCH(654,'Transfer Engine'!$C$2:$C$1369,0)),"",INDEX('Compliance Database'!$H$2:$H$1369,MATCH(654,'Transfer Engine'!$C$2:$C$1369,0)))</f>
        <v/>
      </c>
      <c r="I663" s="9">
        <f>IF(ISNA(MATCH(654,'Transfer Engine'!$C$2:$C$1369,0)),"",INDEX('Compliance Database'!$I$2:$I$1369,MATCH(654,'Transfer Engine'!$C$2:$C$1369,0)))</f>
        <v/>
      </c>
      <c r="J663" s="8">
        <f>IF(ISNA(MATCH(654,'Transfer Engine'!$C$2:$C$1369,0)),"",INDEX('Compliance Database'!$J$2:$J$1369,MATCH(654,'Transfer Engine'!$C$2:$C$1369,0)))</f>
        <v/>
      </c>
      <c r="K663" s="9">
        <f>IF(ISNA(MATCH(654,'Transfer Engine'!$C$2:$C$1369,0)),"",INDEX('Compliance Database'!$K$2:$K$1369,MATCH(654,'Transfer Engine'!$C$2:$C$1369,0)))</f>
        <v/>
      </c>
      <c r="L663" s="9">
        <f>IF(ISNA(MATCH(654,'Transfer Engine'!$C$2:$C$1369,0)),"",INDEX('Compliance Database'!$L$2:$L$1369,MATCH(654,'Transfer Engine'!$C$2:$C$1369,0)))</f>
        <v/>
      </c>
      <c r="M663" s="9">
        <f>IF(ISNA(MATCH(654,'Transfer Engine'!$C$2:$C$1369,0)),"",INDEX('Compliance Database'!$M$2:$M$1369,MATCH(654,'Transfer Engine'!$C$2:$C$1369,0)))</f>
        <v/>
      </c>
      <c r="N663" s="9">
        <f>IF(ISNA(MATCH(654,'Transfer Engine'!$C$2:$C$1369,0)),"",INDEX('Compliance Database'!$N$2:$N$1369,MATCH(654,'Transfer Engine'!$C$2:$C$1369,0)))</f>
        <v/>
      </c>
      <c r="O663" s="8">
        <f>IF(ISNA(MATCH(654,'Transfer Engine'!$C$2:$C$1369,0)),"",HYPERLINK(INDEX('Compliance Database'!$O$2:$O$1369,MATCH(654,'Transfer Engine'!$C$2:$C$1369,0)),"Open PDF"))</f>
        <v/>
      </c>
    </row>
    <row r="664" ht="188" customHeight="1">
      <c r="A664" s="8">
        <f>IF(ISNA(MATCH(655,'Transfer Engine'!$C$2:$C$1369,0)),"",INDEX('Compliance Database'!$A$2:$A$1369,MATCH(655,'Transfer Engine'!$C$2:$C$1369,0)))</f>
        <v/>
      </c>
      <c r="B664" s="8">
        <f>IF(ISNA(MATCH(655,'Transfer Engine'!$C$2:$C$1369,0)),"",INDEX('Compliance Database'!$B$2:$B$1369,MATCH(655,'Transfer Engine'!$C$2:$C$1369,0)))</f>
        <v/>
      </c>
      <c r="C664" s="8">
        <f>IF(ISNA(MATCH(655,'Transfer Engine'!$C$2:$C$1369,0)),"",INDEX('Compliance Database'!$C$2:$C$1369,MATCH(655,'Transfer Engine'!$C$2:$C$1369,0)))</f>
        <v/>
      </c>
      <c r="D664" s="9">
        <f>IF(ISNA(MATCH(655,'Transfer Engine'!$C$2:$C$1369,0)),"",INDEX('Compliance Database'!$D$2:$D$1369,MATCH(655,'Transfer Engine'!$C$2:$C$1369,0)))</f>
        <v/>
      </c>
      <c r="E664" s="8">
        <f>IF(ISNA(MATCH(655,'Transfer Engine'!$C$2:$C$1369,0)),"",INDEX('Compliance Database'!$E$2:$E$1369,MATCH(655,'Transfer Engine'!$C$2:$C$1369,0)))</f>
        <v/>
      </c>
      <c r="F664" s="8">
        <f>IF(ISNA(MATCH(655,'Transfer Engine'!$C$2:$C$1369,0)),"",INDEX('Compliance Database'!$F$2:$F$1369,MATCH(655,'Transfer Engine'!$C$2:$C$1369,0)))</f>
        <v/>
      </c>
      <c r="G664" s="8">
        <f>IF(ISNA(MATCH(655,'Transfer Engine'!$C$2:$C$1369,0)),"",INDEX('Compliance Database'!$G$2:$G$1369,MATCH(655,'Transfer Engine'!$C$2:$C$1369,0)))</f>
        <v/>
      </c>
      <c r="H664" s="9">
        <f>IF(ISNA(MATCH(655,'Transfer Engine'!$C$2:$C$1369,0)),"",INDEX('Compliance Database'!$H$2:$H$1369,MATCH(655,'Transfer Engine'!$C$2:$C$1369,0)))</f>
        <v/>
      </c>
      <c r="I664" s="9">
        <f>IF(ISNA(MATCH(655,'Transfer Engine'!$C$2:$C$1369,0)),"",INDEX('Compliance Database'!$I$2:$I$1369,MATCH(655,'Transfer Engine'!$C$2:$C$1369,0)))</f>
        <v/>
      </c>
      <c r="J664" s="8">
        <f>IF(ISNA(MATCH(655,'Transfer Engine'!$C$2:$C$1369,0)),"",INDEX('Compliance Database'!$J$2:$J$1369,MATCH(655,'Transfer Engine'!$C$2:$C$1369,0)))</f>
        <v/>
      </c>
      <c r="K664" s="9">
        <f>IF(ISNA(MATCH(655,'Transfer Engine'!$C$2:$C$1369,0)),"",INDEX('Compliance Database'!$K$2:$K$1369,MATCH(655,'Transfer Engine'!$C$2:$C$1369,0)))</f>
        <v/>
      </c>
      <c r="L664" s="9">
        <f>IF(ISNA(MATCH(655,'Transfer Engine'!$C$2:$C$1369,0)),"",INDEX('Compliance Database'!$L$2:$L$1369,MATCH(655,'Transfer Engine'!$C$2:$C$1369,0)))</f>
        <v/>
      </c>
      <c r="M664" s="9">
        <f>IF(ISNA(MATCH(655,'Transfer Engine'!$C$2:$C$1369,0)),"",INDEX('Compliance Database'!$M$2:$M$1369,MATCH(655,'Transfer Engine'!$C$2:$C$1369,0)))</f>
        <v/>
      </c>
      <c r="N664" s="9">
        <f>IF(ISNA(MATCH(655,'Transfer Engine'!$C$2:$C$1369,0)),"",INDEX('Compliance Database'!$N$2:$N$1369,MATCH(655,'Transfer Engine'!$C$2:$C$1369,0)))</f>
        <v/>
      </c>
      <c r="O664" s="8">
        <f>IF(ISNA(MATCH(655,'Transfer Engine'!$C$2:$C$1369,0)),"",HYPERLINK(INDEX('Compliance Database'!$O$2:$O$1369,MATCH(655,'Transfer Engine'!$C$2:$C$1369,0)),"Open PDF"))</f>
        <v/>
      </c>
    </row>
    <row r="665" ht="188" customHeight="1">
      <c r="A665" s="8">
        <f>IF(ISNA(MATCH(656,'Transfer Engine'!$C$2:$C$1369,0)),"",INDEX('Compliance Database'!$A$2:$A$1369,MATCH(656,'Transfer Engine'!$C$2:$C$1369,0)))</f>
        <v/>
      </c>
      <c r="B665" s="8">
        <f>IF(ISNA(MATCH(656,'Transfer Engine'!$C$2:$C$1369,0)),"",INDEX('Compliance Database'!$B$2:$B$1369,MATCH(656,'Transfer Engine'!$C$2:$C$1369,0)))</f>
        <v/>
      </c>
      <c r="C665" s="8">
        <f>IF(ISNA(MATCH(656,'Transfer Engine'!$C$2:$C$1369,0)),"",INDEX('Compliance Database'!$C$2:$C$1369,MATCH(656,'Transfer Engine'!$C$2:$C$1369,0)))</f>
        <v/>
      </c>
      <c r="D665" s="9">
        <f>IF(ISNA(MATCH(656,'Transfer Engine'!$C$2:$C$1369,0)),"",INDEX('Compliance Database'!$D$2:$D$1369,MATCH(656,'Transfer Engine'!$C$2:$C$1369,0)))</f>
        <v/>
      </c>
      <c r="E665" s="8">
        <f>IF(ISNA(MATCH(656,'Transfer Engine'!$C$2:$C$1369,0)),"",INDEX('Compliance Database'!$E$2:$E$1369,MATCH(656,'Transfer Engine'!$C$2:$C$1369,0)))</f>
        <v/>
      </c>
      <c r="F665" s="8">
        <f>IF(ISNA(MATCH(656,'Transfer Engine'!$C$2:$C$1369,0)),"",INDEX('Compliance Database'!$F$2:$F$1369,MATCH(656,'Transfer Engine'!$C$2:$C$1369,0)))</f>
        <v/>
      </c>
      <c r="G665" s="8">
        <f>IF(ISNA(MATCH(656,'Transfer Engine'!$C$2:$C$1369,0)),"",INDEX('Compliance Database'!$G$2:$G$1369,MATCH(656,'Transfer Engine'!$C$2:$C$1369,0)))</f>
        <v/>
      </c>
      <c r="H665" s="9">
        <f>IF(ISNA(MATCH(656,'Transfer Engine'!$C$2:$C$1369,0)),"",INDEX('Compliance Database'!$H$2:$H$1369,MATCH(656,'Transfer Engine'!$C$2:$C$1369,0)))</f>
        <v/>
      </c>
      <c r="I665" s="9">
        <f>IF(ISNA(MATCH(656,'Transfer Engine'!$C$2:$C$1369,0)),"",INDEX('Compliance Database'!$I$2:$I$1369,MATCH(656,'Transfer Engine'!$C$2:$C$1369,0)))</f>
        <v/>
      </c>
      <c r="J665" s="8">
        <f>IF(ISNA(MATCH(656,'Transfer Engine'!$C$2:$C$1369,0)),"",INDEX('Compliance Database'!$J$2:$J$1369,MATCH(656,'Transfer Engine'!$C$2:$C$1369,0)))</f>
        <v/>
      </c>
      <c r="K665" s="9">
        <f>IF(ISNA(MATCH(656,'Transfer Engine'!$C$2:$C$1369,0)),"",INDEX('Compliance Database'!$K$2:$K$1369,MATCH(656,'Transfer Engine'!$C$2:$C$1369,0)))</f>
        <v/>
      </c>
      <c r="L665" s="9">
        <f>IF(ISNA(MATCH(656,'Transfer Engine'!$C$2:$C$1369,0)),"",INDEX('Compliance Database'!$L$2:$L$1369,MATCH(656,'Transfer Engine'!$C$2:$C$1369,0)))</f>
        <v/>
      </c>
      <c r="M665" s="9">
        <f>IF(ISNA(MATCH(656,'Transfer Engine'!$C$2:$C$1369,0)),"",INDEX('Compliance Database'!$M$2:$M$1369,MATCH(656,'Transfer Engine'!$C$2:$C$1369,0)))</f>
        <v/>
      </c>
      <c r="N665" s="9">
        <f>IF(ISNA(MATCH(656,'Transfer Engine'!$C$2:$C$1369,0)),"",INDEX('Compliance Database'!$N$2:$N$1369,MATCH(656,'Transfer Engine'!$C$2:$C$1369,0)))</f>
        <v/>
      </c>
      <c r="O665" s="8">
        <f>IF(ISNA(MATCH(656,'Transfer Engine'!$C$2:$C$1369,0)),"",HYPERLINK(INDEX('Compliance Database'!$O$2:$O$1369,MATCH(656,'Transfer Engine'!$C$2:$C$1369,0)),"Open PDF"))</f>
        <v/>
      </c>
    </row>
    <row r="666" ht="188" customHeight="1">
      <c r="A666" s="8">
        <f>IF(ISNA(MATCH(657,'Transfer Engine'!$C$2:$C$1369,0)),"",INDEX('Compliance Database'!$A$2:$A$1369,MATCH(657,'Transfer Engine'!$C$2:$C$1369,0)))</f>
        <v/>
      </c>
      <c r="B666" s="8">
        <f>IF(ISNA(MATCH(657,'Transfer Engine'!$C$2:$C$1369,0)),"",INDEX('Compliance Database'!$B$2:$B$1369,MATCH(657,'Transfer Engine'!$C$2:$C$1369,0)))</f>
        <v/>
      </c>
      <c r="C666" s="8">
        <f>IF(ISNA(MATCH(657,'Transfer Engine'!$C$2:$C$1369,0)),"",INDEX('Compliance Database'!$C$2:$C$1369,MATCH(657,'Transfer Engine'!$C$2:$C$1369,0)))</f>
        <v/>
      </c>
      <c r="D666" s="9">
        <f>IF(ISNA(MATCH(657,'Transfer Engine'!$C$2:$C$1369,0)),"",INDEX('Compliance Database'!$D$2:$D$1369,MATCH(657,'Transfer Engine'!$C$2:$C$1369,0)))</f>
        <v/>
      </c>
      <c r="E666" s="8">
        <f>IF(ISNA(MATCH(657,'Transfer Engine'!$C$2:$C$1369,0)),"",INDEX('Compliance Database'!$E$2:$E$1369,MATCH(657,'Transfer Engine'!$C$2:$C$1369,0)))</f>
        <v/>
      </c>
      <c r="F666" s="8">
        <f>IF(ISNA(MATCH(657,'Transfer Engine'!$C$2:$C$1369,0)),"",INDEX('Compliance Database'!$F$2:$F$1369,MATCH(657,'Transfer Engine'!$C$2:$C$1369,0)))</f>
        <v/>
      </c>
      <c r="G666" s="8">
        <f>IF(ISNA(MATCH(657,'Transfer Engine'!$C$2:$C$1369,0)),"",INDEX('Compliance Database'!$G$2:$G$1369,MATCH(657,'Transfer Engine'!$C$2:$C$1369,0)))</f>
        <v/>
      </c>
      <c r="H666" s="9">
        <f>IF(ISNA(MATCH(657,'Transfer Engine'!$C$2:$C$1369,0)),"",INDEX('Compliance Database'!$H$2:$H$1369,MATCH(657,'Transfer Engine'!$C$2:$C$1369,0)))</f>
        <v/>
      </c>
      <c r="I666" s="9">
        <f>IF(ISNA(MATCH(657,'Transfer Engine'!$C$2:$C$1369,0)),"",INDEX('Compliance Database'!$I$2:$I$1369,MATCH(657,'Transfer Engine'!$C$2:$C$1369,0)))</f>
        <v/>
      </c>
      <c r="J666" s="8">
        <f>IF(ISNA(MATCH(657,'Transfer Engine'!$C$2:$C$1369,0)),"",INDEX('Compliance Database'!$J$2:$J$1369,MATCH(657,'Transfer Engine'!$C$2:$C$1369,0)))</f>
        <v/>
      </c>
      <c r="K666" s="9">
        <f>IF(ISNA(MATCH(657,'Transfer Engine'!$C$2:$C$1369,0)),"",INDEX('Compliance Database'!$K$2:$K$1369,MATCH(657,'Transfer Engine'!$C$2:$C$1369,0)))</f>
        <v/>
      </c>
      <c r="L666" s="9">
        <f>IF(ISNA(MATCH(657,'Transfer Engine'!$C$2:$C$1369,0)),"",INDEX('Compliance Database'!$L$2:$L$1369,MATCH(657,'Transfer Engine'!$C$2:$C$1369,0)))</f>
        <v/>
      </c>
      <c r="M666" s="9">
        <f>IF(ISNA(MATCH(657,'Transfer Engine'!$C$2:$C$1369,0)),"",INDEX('Compliance Database'!$M$2:$M$1369,MATCH(657,'Transfer Engine'!$C$2:$C$1369,0)))</f>
        <v/>
      </c>
      <c r="N666" s="9">
        <f>IF(ISNA(MATCH(657,'Transfer Engine'!$C$2:$C$1369,0)),"",INDEX('Compliance Database'!$N$2:$N$1369,MATCH(657,'Transfer Engine'!$C$2:$C$1369,0)))</f>
        <v/>
      </c>
      <c r="O666" s="8">
        <f>IF(ISNA(MATCH(657,'Transfer Engine'!$C$2:$C$1369,0)),"",HYPERLINK(INDEX('Compliance Database'!$O$2:$O$1369,MATCH(657,'Transfer Engine'!$C$2:$C$1369,0)),"Open PDF"))</f>
        <v/>
      </c>
    </row>
    <row r="667" ht="188" customHeight="1">
      <c r="A667" s="8">
        <f>IF(ISNA(MATCH(658,'Transfer Engine'!$C$2:$C$1369,0)),"",INDEX('Compliance Database'!$A$2:$A$1369,MATCH(658,'Transfer Engine'!$C$2:$C$1369,0)))</f>
        <v/>
      </c>
      <c r="B667" s="8">
        <f>IF(ISNA(MATCH(658,'Transfer Engine'!$C$2:$C$1369,0)),"",INDEX('Compliance Database'!$B$2:$B$1369,MATCH(658,'Transfer Engine'!$C$2:$C$1369,0)))</f>
        <v/>
      </c>
      <c r="C667" s="8">
        <f>IF(ISNA(MATCH(658,'Transfer Engine'!$C$2:$C$1369,0)),"",INDEX('Compliance Database'!$C$2:$C$1369,MATCH(658,'Transfer Engine'!$C$2:$C$1369,0)))</f>
        <v/>
      </c>
      <c r="D667" s="9">
        <f>IF(ISNA(MATCH(658,'Transfer Engine'!$C$2:$C$1369,0)),"",INDEX('Compliance Database'!$D$2:$D$1369,MATCH(658,'Transfer Engine'!$C$2:$C$1369,0)))</f>
        <v/>
      </c>
      <c r="E667" s="8">
        <f>IF(ISNA(MATCH(658,'Transfer Engine'!$C$2:$C$1369,0)),"",INDEX('Compliance Database'!$E$2:$E$1369,MATCH(658,'Transfer Engine'!$C$2:$C$1369,0)))</f>
        <v/>
      </c>
      <c r="F667" s="8">
        <f>IF(ISNA(MATCH(658,'Transfer Engine'!$C$2:$C$1369,0)),"",INDEX('Compliance Database'!$F$2:$F$1369,MATCH(658,'Transfer Engine'!$C$2:$C$1369,0)))</f>
        <v/>
      </c>
      <c r="G667" s="8">
        <f>IF(ISNA(MATCH(658,'Transfer Engine'!$C$2:$C$1369,0)),"",INDEX('Compliance Database'!$G$2:$G$1369,MATCH(658,'Transfer Engine'!$C$2:$C$1369,0)))</f>
        <v/>
      </c>
      <c r="H667" s="9">
        <f>IF(ISNA(MATCH(658,'Transfer Engine'!$C$2:$C$1369,0)),"",INDEX('Compliance Database'!$H$2:$H$1369,MATCH(658,'Transfer Engine'!$C$2:$C$1369,0)))</f>
        <v/>
      </c>
      <c r="I667" s="9">
        <f>IF(ISNA(MATCH(658,'Transfer Engine'!$C$2:$C$1369,0)),"",INDEX('Compliance Database'!$I$2:$I$1369,MATCH(658,'Transfer Engine'!$C$2:$C$1369,0)))</f>
        <v/>
      </c>
      <c r="J667" s="8">
        <f>IF(ISNA(MATCH(658,'Transfer Engine'!$C$2:$C$1369,0)),"",INDEX('Compliance Database'!$J$2:$J$1369,MATCH(658,'Transfer Engine'!$C$2:$C$1369,0)))</f>
        <v/>
      </c>
      <c r="K667" s="9">
        <f>IF(ISNA(MATCH(658,'Transfer Engine'!$C$2:$C$1369,0)),"",INDEX('Compliance Database'!$K$2:$K$1369,MATCH(658,'Transfer Engine'!$C$2:$C$1369,0)))</f>
        <v/>
      </c>
      <c r="L667" s="9">
        <f>IF(ISNA(MATCH(658,'Transfer Engine'!$C$2:$C$1369,0)),"",INDEX('Compliance Database'!$L$2:$L$1369,MATCH(658,'Transfer Engine'!$C$2:$C$1369,0)))</f>
        <v/>
      </c>
      <c r="M667" s="9">
        <f>IF(ISNA(MATCH(658,'Transfer Engine'!$C$2:$C$1369,0)),"",INDEX('Compliance Database'!$M$2:$M$1369,MATCH(658,'Transfer Engine'!$C$2:$C$1369,0)))</f>
        <v/>
      </c>
      <c r="N667" s="9">
        <f>IF(ISNA(MATCH(658,'Transfer Engine'!$C$2:$C$1369,0)),"",INDEX('Compliance Database'!$N$2:$N$1369,MATCH(658,'Transfer Engine'!$C$2:$C$1369,0)))</f>
        <v/>
      </c>
      <c r="O667" s="8">
        <f>IF(ISNA(MATCH(658,'Transfer Engine'!$C$2:$C$1369,0)),"",HYPERLINK(INDEX('Compliance Database'!$O$2:$O$1369,MATCH(658,'Transfer Engine'!$C$2:$C$1369,0)),"Open PDF"))</f>
        <v/>
      </c>
    </row>
    <row r="668" ht="188" customHeight="1">
      <c r="A668" s="8">
        <f>IF(ISNA(MATCH(659,'Transfer Engine'!$C$2:$C$1369,0)),"",INDEX('Compliance Database'!$A$2:$A$1369,MATCH(659,'Transfer Engine'!$C$2:$C$1369,0)))</f>
        <v/>
      </c>
      <c r="B668" s="8">
        <f>IF(ISNA(MATCH(659,'Transfer Engine'!$C$2:$C$1369,0)),"",INDEX('Compliance Database'!$B$2:$B$1369,MATCH(659,'Transfer Engine'!$C$2:$C$1369,0)))</f>
        <v/>
      </c>
      <c r="C668" s="8">
        <f>IF(ISNA(MATCH(659,'Transfer Engine'!$C$2:$C$1369,0)),"",INDEX('Compliance Database'!$C$2:$C$1369,MATCH(659,'Transfer Engine'!$C$2:$C$1369,0)))</f>
        <v/>
      </c>
      <c r="D668" s="9">
        <f>IF(ISNA(MATCH(659,'Transfer Engine'!$C$2:$C$1369,0)),"",INDEX('Compliance Database'!$D$2:$D$1369,MATCH(659,'Transfer Engine'!$C$2:$C$1369,0)))</f>
        <v/>
      </c>
      <c r="E668" s="8">
        <f>IF(ISNA(MATCH(659,'Transfer Engine'!$C$2:$C$1369,0)),"",INDEX('Compliance Database'!$E$2:$E$1369,MATCH(659,'Transfer Engine'!$C$2:$C$1369,0)))</f>
        <v/>
      </c>
      <c r="F668" s="8">
        <f>IF(ISNA(MATCH(659,'Transfer Engine'!$C$2:$C$1369,0)),"",INDEX('Compliance Database'!$F$2:$F$1369,MATCH(659,'Transfer Engine'!$C$2:$C$1369,0)))</f>
        <v/>
      </c>
      <c r="G668" s="8">
        <f>IF(ISNA(MATCH(659,'Transfer Engine'!$C$2:$C$1369,0)),"",INDEX('Compliance Database'!$G$2:$G$1369,MATCH(659,'Transfer Engine'!$C$2:$C$1369,0)))</f>
        <v/>
      </c>
      <c r="H668" s="9">
        <f>IF(ISNA(MATCH(659,'Transfer Engine'!$C$2:$C$1369,0)),"",INDEX('Compliance Database'!$H$2:$H$1369,MATCH(659,'Transfer Engine'!$C$2:$C$1369,0)))</f>
        <v/>
      </c>
      <c r="I668" s="9">
        <f>IF(ISNA(MATCH(659,'Transfer Engine'!$C$2:$C$1369,0)),"",INDEX('Compliance Database'!$I$2:$I$1369,MATCH(659,'Transfer Engine'!$C$2:$C$1369,0)))</f>
        <v/>
      </c>
      <c r="J668" s="8">
        <f>IF(ISNA(MATCH(659,'Transfer Engine'!$C$2:$C$1369,0)),"",INDEX('Compliance Database'!$J$2:$J$1369,MATCH(659,'Transfer Engine'!$C$2:$C$1369,0)))</f>
        <v/>
      </c>
      <c r="K668" s="9">
        <f>IF(ISNA(MATCH(659,'Transfer Engine'!$C$2:$C$1369,0)),"",INDEX('Compliance Database'!$K$2:$K$1369,MATCH(659,'Transfer Engine'!$C$2:$C$1369,0)))</f>
        <v/>
      </c>
      <c r="L668" s="9">
        <f>IF(ISNA(MATCH(659,'Transfer Engine'!$C$2:$C$1369,0)),"",INDEX('Compliance Database'!$L$2:$L$1369,MATCH(659,'Transfer Engine'!$C$2:$C$1369,0)))</f>
        <v/>
      </c>
      <c r="M668" s="9">
        <f>IF(ISNA(MATCH(659,'Transfer Engine'!$C$2:$C$1369,0)),"",INDEX('Compliance Database'!$M$2:$M$1369,MATCH(659,'Transfer Engine'!$C$2:$C$1369,0)))</f>
        <v/>
      </c>
      <c r="N668" s="9">
        <f>IF(ISNA(MATCH(659,'Transfer Engine'!$C$2:$C$1369,0)),"",INDEX('Compliance Database'!$N$2:$N$1369,MATCH(659,'Transfer Engine'!$C$2:$C$1369,0)))</f>
        <v/>
      </c>
      <c r="O668" s="8">
        <f>IF(ISNA(MATCH(659,'Transfer Engine'!$C$2:$C$1369,0)),"",HYPERLINK(INDEX('Compliance Database'!$O$2:$O$1369,MATCH(659,'Transfer Engine'!$C$2:$C$1369,0)),"Open PDF"))</f>
        <v/>
      </c>
    </row>
    <row r="669" ht="188" customHeight="1">
      <c r="A669" s="8">
        <f>IF(ISNA(MATCH(660,'Transfer Engine'!$C$2:$C$1369,0)),"",INDEX('Compliance Database'!$A$2:$A$1369,MATCH(660,'Transfer Engine'!$C$2:$C$1369,0)))</f>
        <v/>
      </c>
      <c r="B669" s="8">
        <f>IF(ISNA(MATCH(660,'Transfer Engine'!$C$2:$C$1369,0)),"",INDEX('Compliance Database'!$B$2:$B$1369,MATCH(660,'Transfer Engine'!$C$2:$C$1369,0)))</f>
        <v/>
      </c>
      <c r="C669" s="8">
        <f>IF(ISNA(MATCH(660,'Transfer Engine'!$C$2:$C$1369,0)),"",INDEX('Compliance Database'!$C$2:$C$1369,MATCH(660,'Transfer Engine'!$C$2:$C$1369,0)))</f>
        <v/>
      </c>
      <c r="D669" s="9">
        <f>IF(ISNA(MATCH(660,'Transfer Engine'!$C$2:$C$1369,0)),"",INDEX('Compliance Database'!$D$2:$D$1369,MATCH(660,'Transfer Engine'!$C$2:$C$1369,0)))</f>
        <v/>
      </c>
      <c r="E669" s="8">
        <f>IF(ISNA(MATCH(660,'Transfer Engine'!$C$2:$C$1369,0)),"",INDEX('Compliance Database'!$E$2:$E$1369,MATCH(660,'Transfer Engine'!$C$2:$C$1369,0)))</f>
        <v/>
      </c>
      <c r="F669" s="8">
        <f>IF(ISNA(MATCH(660,'Transfer Engine'!$C$2:$C$1369,0)),"",INDEX('Compliance Database'!$F$2:$F$1369,MATCH(660,'Transfer Engine'!$C$2:$C$1369,0)))</f>
        <v/>
      </c>
      <c r="G669" s="8">
        <f>IF(ISNA(MATCH(660,'Transfer Engine'!$C$2:$C$1369,0)),"",INDEX('Compliance Database'!$G$2:$G$1369,MATCH(660,'Transfer Engine'!$C$2:$C$1369,0)))</f>
        <v/>
      </c>
      <c r="H669" s="9">
        <f>IF(ISNA(MATCH(660,'Transfer Engine'!$C$2:$C$1369,0)),"",INDEX('Compliance Database'!$H$2:$H$1369,MATCH(660,'Transfer Engine'!$C$2:$C$1369,0)))</f>
        <v/>
      </c>
      <c r="I669" s="9">
        <f>IF(ISNA(MATCH(660,'Transfer Engine'!$C$2:$C$1369,0)),"",INDEX('Compliance Database'!$I$2:$I$1369,MATCH(660,'Transfer Engine'!$C$2:$C$1369,0)))</f>
        <v/>
      </c>
      <c r="J669" s="8">
        <f>IF(ISNA(MATCH(660,'Transfer Engine'!$C$2:$C$1369,0)),"",INDEX('Compliance Database'!$J$2:$J$1369,MATCH(660,'Transfer Engine'!$C$2:$C$1369,0)))</f>
        <v/>
      </c>
      <c r="K669" s="9">
        <f>IF(ISNA(MATCH(660,'Transfer Engine'!$C$2:$C$1369,0)),"",INDEX('Compliance Database'!$K$2:$K$1369,MATCH(660,'Transfer Engine'!$C$2:$C$1369,0)))</f>
        <v/>
      </c>
      <c r="L669" s="9">
        <f>IF(ISNA(MATCH(660,'Transfer Engine'!$C$2:$C$1369,0)),"",INDEX('Compliance Database'!$L$2:$L$1369,MATCH(660,'Transfer Engine'!$C$2:$C$1369,0)))</f>
        <v/>
      </c>
      <c r="M669" s="9">
        <f>IF(ISNA(MATCH(660,'Transfer Engine'!$C$2:$C$1369,0)),"",INDEX('Compliance Database'!$M$2:$M$1369,MATCH(660,'Transfer Engine'!$C$2:$C$1369,0)))</f>
        <v/>
      </c>
      <c r="N669" s="9">
        <f>IF(ISNA(MATCH(660,'Transfer Engine'!$C$2:$C$1369,0)),"",INDEX('Compliance Database'!$N$2:$N$1369,MATCH(660,'Transfer Engine'!$C$2:$C$1369,0)))</f>
        <v/>
      </c>
      <c r="O669" s="8">
        <f>IF(ISNA(MATCH(660,'Transfer Engine'!$C$2:$C$1369,0)),"",HYPERLINK(INDEX('Compliance Database'!$O$2:$O$1369,MATCH(660,'Transfer Engine'!$C$2:$C$1369,0)),"Open PDF"))</f>
        <v/>
      </c>
    </row>
    <row r="670" ht="188" customHeight="1">
      <c r="A670" s="8">
        <f>IF(ISNA(MATCH(661,'Transfer Engine'!$C$2:$C$1369,0)),"",INDEX('Compliance Database'!$A$2:$A$1369,MATCH(661,'Transfer Engine'!$C$2:$C$1369,0)))</f>
        <v/>
      </c>
      <c r="B670" s="8">
        <f>IF(ISNA(MATCH(661,'Transfer Engine'!$C$2:$C$1369,0)),"",INDEX('Compliance Database'!$B$2:$B$1369,MATCH(661,'Transfer Engine'!$C$2:$C$1369,0)))</f>
        <v/>
      </c>
      <c r="C670" s="8">
        <f>IF(ISNA(MATCH(661,'Transfer Engine'!$C$2:$C$1369,0)),"",INDEX('Compliance Database'!$C$2:$C$1369,MATCH(661,'Transfer Engine'!$C$2:$C$1369,0)))</f>
        <v/>
      </c>
      <c r="D670" s="9">
        <f>IF(ISNA(MATCH(661,'Transfer Engine'!$C$2:$C$1369,0)),"",INDEX('Compliance Database'!$D$2:$D$1369,MATCH(661,'Transfer Engine'!$C$2:$C$1369,0)))</f>
        <v/>
      </c>
      <c r="E670" s="8">
        <f>IF(ISNA(MATCH(661,'Transfer Engine'!$C$2:$C$1369,0)),"",INDEX('Compliance Database'!$E$2:$E$1369,MATCH(661,'Transfer Engine'!$C$2:$C$1369,0)))</f>
        <v/>
      </c>
      <c r="F670" s="8">
        <f>IF(ISNA(MATCH(661,'Transfer Engine'!$C$2:$C$1369,0)),"",INDEX('Compliance Database'!$F$2:$F$1369,MATCH(661,'Transfer Engine'!$C$2:$C$1369,0)))</f>
        <v/>
      </c>
      <c r="G670" s="8">
        <f>IF(ISNA(MATCH(661,'Transfer Engine'!$C$2:$C$1369,0)),"",INDEX('Compliance Database'!$G$2:$G$1369,MATCH(661,'Transfer Engine'!$C$2:$C$1369,0)))</f>
        <v/>
      </c>
      <c r="H670" s="9">
        <f>IF(ISNA(MATCH(661,'Transfer Engine'!$C$2:$C$1369,0)),"",INDEX('Compliance Database'!$H$2:$H$1369,MATCH(661,'Transfer Engine'!$C$2:$C$1369,0)))</f>
        <v/>
      </c>
      <c r="I670" s="9">
        <f>IF(ISNA(MATCH(661,'Transfer Engine'!$C$2:$C$1369,0)),"",INDEX('Compliance Database'!$I$2:$I$1369,MATCH(661,'Transfer Engine'!$C$2:$C$1369,0)))</f>
        <v/>
      </c>
      <c r="J670" s="8">
        <f>IF(ISNA(MATCH(661,'Transfer Engine'!$C$2:$C$1369,0)),"",INDEX('Compliance Database'!$J$2:$J$1369,MATCH(661,'Transfer Engine'!$C$2:$C$1369,0)))</f>
        <v/>
      </c>
      <c r="K670" s="9">
        <f>IF(ISNA(MATCH(661,'Transfer Engine'!$C$2:$C$1369,0)),"",INDEX('Compliance Database'!$K$2:$K$1369,MATCH(661,'Transfer Engine'!$C$2:$C$1369,0)))</f>
        <v/>
      </c>
      <c r="L670" s="9">
        <f>IF(ISNA(MATCH(661,'Transfer Engine'!$C$2:$C$1369,0)),"",INDEX('Compliance Database'!$L$2:$L$1369,MATCH(661,'Transfer Engine'!$C$2:$C$1369,0)))</f>
        <v/>
      </c>
      <c r="M670" s="9">
        <f>IF(ISNA(MATCH(661,'Transfer Engine'!$C$2:$C$1369,0)),"",INDEX('Compliance Database'!$M$2:$M$1369,MATCH(661,'Transfer Engine'!$C$2:$C$1369,0)))</f>
        <v/>
      </c>
      <c r="N670" s="9">
        <f>IF(ISNA(MATCH(661,'Transfer Engine'!$C$2:$C$1369,0)),"",INDEX('Compliance Database'!$N$2:$N$1369,MATCH(661,'Transfer Engine'!$C$2:$C$1369,0)))</f>
        <v/>
      </c>
      <c r="O670" s="8">
        <f>IF(ISNA(MATCH(661,'Transfer Engine'!$C$2:$C$1369,0)),"",HYPERLINK(INDEX('Compliance Database'!$O$2:$O$1369,MATCH(661,'Transfer Engine'!$C$2:$C$1369,0)),"Open PDF"))</f>
        <v/>
      </c>
    </row>
    <row r="671" ht="188" customHeight="1">
      <c r="A671" s="8">
        <f>IF(ISNA(MATCH(662,'Transfer Engine'!$C$2:$C$1369,0)),"",INDEX('Compliance Database'!$A$2:$A$1369,MATCH(662,'Transfer Engine'!$C$2:$C$1369,0)))</f>
        <v/>
      </c>
      <c r="B671" s="8">
        <f>IF(ISNA(MATCH(662,'Transfer Engine'!$C$2:$C$1369,0)),"",INDEX('Compliance Database'!$B$2:$B$1369,MATCH(662,'Transfer Engine'!$C$2:$C$1369,0)))</f>
        <v/>
      </c>
      <c r="C671" s="8">
        <f>IF(ISNA(MATCH(662,'Transfer Engine'!$C$2:$C$1369,0)),"",INDEX('Compliance Database'!$C$2:$C$1369,MATCH(662,'Transfer Engine'!$C$2:$C$1369,0)))</f>
        <v/>
      </c>
      <c r="D671" s="9">
        <f>IF(ISNA(MATCH(662,'Transfer Engine'!$C$2:$C$1369,0)),"",INDEX('Compliance Database'!$D$2:$D$1369,MATCH(662,'Transfer Engine'!$C$2:$C$1369,0)))</f>
        <v/>
      </c>
      <c r="E671" s="8">
        <f>IF(ISNA(MATCH(662,'Transfer Engine'!$C$2:$C$1369,0)),"",INDEX('Compliance Database'!$E$2:$E$1369,MATCH(662,'Transfer Engine'!$C$2:$C$1369,0)))</f>
        <v/>
      </c>
      <c r="F671" s="8">
        <f>IF(ISNA(MATCH(662,'Transfer Engine'!$C$2:$C$1369,0)),"",INDEX('Compliance Database'!$F$2:$F$1369,MATCH(662,'Transfer Engine'!$C$2:$C$1369,0)))</f>
        <v/>
      </c>
      <c r="G671" s="8">
        <f>IF(ISNA(MATCH(662,'Transfer Engine'!$C$2:$C$1369,0)),"",INDEX('Compliance Database'!$G$2:$G$1369,MATCH(662,'Transfer Engine'!$C$2:$C$1369,0)))</f>
        <v/>
      </c>
      <c r="H671" s="9">
        <f>IF(ISNA(MATCH(662,'Transfer Engine'!$C$2:$C$1369,0)),"",INDEX('Compliance Database'!$H$2:$H$1369,MATCH(662,'Transfer Engine'!$C$2:$C$1369,0)))</f>
        <v/>
      </c>
      <c r="I671" s="9">
        <f>IF(ISNA(MATCH(662,'Transfer Engine'!$C$2:$C$1369,0)),"",INDEX('Compliance Database'!$I$2:$I$1369,MATCH(662,'Transfer Engine'!$C$2:$C$1369,0)))</f>
        <v/>
      </c>
      <c r="J671" s="8">
        <f>IF(ISNA(MATCH(662,'Transfer Engine'!$C$2:$C$1369,0)),"",INDEX('Compliance Database'!$J$2:$J$1369,MATCH(662,'Transfer Engine'!$C$2:$C$1369,0)))</f>
        <v/>
      </c>
      <c r="K671" s="9">
        <f>IF(ISNA(MATCH(662,'Transfer Engine'!$C$2:$C$1369,0)),"",INDEX('Compliance Database'!$K$2:$K$1369,MATCH(662,'Transfer Engine'!$C$2:$C$1369,0)))</f>
        <v/>
      </c>
      <c r="L671" s="9">
        <f>IF(ISNA(MATCH(662,'Transfer Engine'!$C$2:$C$1369,0)),"",INDEX('Compliance Database'!$L$2:$L$1369,MATCH(662,'Transfer Engine'!$C$2:$C$1369,0)))</f>
        <v/>
      </c>
      <c r="M671" s="9">
        <f>IF(ISNA(MATCH(662,'Transfer Engine'!$C$2:$C$1369,0)),"",INDEX('Compliance Database'!$M$2:$M$1369,MATCH(662,'Transfer Engine'!$C$2:$C$1369,0)))</f>
        <v/>
      </c>
      <c r="N671" s="9">
        <f>IF(ISNA(MATCH(662,'Transfer Engine'!$C$2:$C$1369,0)),"",INDEX('Compliance Database'!$N$2:$N$1369,MATCH(662,'Transfer Engine'!$C$2:$C$1369,0)))</f>
        <v/>
      </c>
      <c r="O671" s="8">
        <f>IF(ISNA(MATCH(662,'Transfer Engine'!$C$2:$C$1369,0)),"",HYPERLINK(INDEX('Compliance Database'!$O$2:$O$1369,MATCH(662,'Transfer Engine'!$C$2:$C$1369,0)),"Open PDF"))</f>
        <v/>
      </c>
    </row>
    <row r="672" ht="188" customHeight="1">
      <c r="A672" s="8">
        <f>IF(ISNA(MATCH(663,'Transfer Engine'!$C$2:$C$1369,0)),"",INDEX('Compliance Database'!$A$2:$A$1369,MATCH(663,'Transfer Engine'!$C$2:$C$1369,0)))</f>
        <v/>
      </c>
      <c r="B672" s="8">
        <f>IF(ISNA(MATCH(663,'Transfer Engine'!$C$2:$C$1369,0)),"",INDEX('Compliance Database'!$B$2:$B$1369,MATCH(663,'Transfer Engine'!$C$2:$C$1369,0)))</f>
        <v/>
      </c>
      <c r="C672" s="8">
        <f>IF(ISNA(MATCH(663,'Transfer Engine'!$C$2:$C$1369,0)),"",INDEX('Compliance Database'!$C$2:$C$1369,MATCH(663,'Transfer Engine'!$C$2:$C$1369,0)))</f>
        <v/>
      </c>
      <c r="D672" s="9">
        <f>IF(ISNA(MATCH(663,'Transfer Engine'!$C$2:$C$1369,0)),"",INDEX('Compliance Database'!$D$2:$D$1369,MATCH(663,'Transfer Engine'!$C$2:$C$1369,0)))</f>
        <v/>
      </c>
      <c r="E672" s="8">
        <f>IF(ISNA(MATCH(663,'Transfer Engine'!$C$2:$C$1369,0)),"",INDEX('Compliance Database'!$E$2:$E$1369,MATCH(663,'Transfer Engine'!$C$2:$C$1369,0)))</f>
        <v/>
      </c>
      <c r="F672" s="8">
        <f>IF(ISNA(MATCH(663,'Transfer Engine'!$C$2:$C$1369,0)),"",INDEX('Compliance Database'!$F$2:$F$1369,MATCH(663,'Transfer Engine'!$C$2:$C$1369,0)))</f>
        <v/>
      </c>
      <c r="G672" s="8">
        <f>IF(ISNA(MATCH(663,'Transfer Engine'!$C$2:$C$1369,0)),"",INDEX('Compliance Database'!$G$2:$G$1369,MATCH(663,'Transfer Engine'!$C$2:$C$1369,0)))</f>
        <v/>
      </c>
      <c r="H672" s="9">
        <f>IF(ISNA(MATCH(663,'Transfer Engine'!$C$2:$C$1369,0)),"",INDEX('Compliance Database'!$H$2:$H$1369,MATCH(663,'Transfer Engine'!$C$2:$C$1369,0)))</f>
        <v/>
      </c>
      <c r="I672" s="9">
        <f>IF(ISNA(MATCH(663,'Transfer Engine'!$C$2:$C$1369,0)),"",INDEX('Compliance Database'!$I$2:$I$1369,MATCH(663,'Transfer Engine'!$C$2:$C$1369,0)))</f>
        <v/>
      </c>
      <c r="J672" s="8">
        <f>IF(ISNA(MATCH(663,'Transfer Engine'!$C$2:$C$1369,0)),"",INDEX('Compliance Database'!$J$2:$J$1369,MATCH(663,'Transfer Engine'!$C$2:$C$1369,0)))</f>
        <v/>
      </c>
      <c r="K672" s="9">
        <f>IF(ISNA(MATCH(663,'Transfer Engine'!$C$2:$C$1369,0)),"",INDEX('Compliance Database'!$K$2:$K$1369,MATCH(663,'Transfer Engine'!$C$2:$C$1369,0)))</f>
        <v/>
      </c>
      <c r="L672" s="9">
        <f>IF(ISNA(MATCH(663,'Transfer Engine'!$C$2:$C$1369,0)),"",INDEX('Compliance Database'!$L$2:$L$1369,MATCH(663,'Transfer Engine'!$C$2:$C$1369,0)))</f>
        <v/>
      </c>
      <c r="M672" s="9">
        <f>IF(ISNA(MATCH(663,'Transfer Engine'!$C$2:$C$1369,0)),"",INDEX('Compliance Database'!$M$2:$M$1369,MATCH(663,'Transfer Engine'!$C$2:$C$1369,0)))</f>
        <v/>
      </c>
      <c r="N672" s="9">
        <f>IF(ISNA(MATCH(663,'Transfer Engine'!$C$2:$C$1369,0)),"",INDEX('Compliance Database'!$N$2:$N$1369,MATCH(663,'Transfer Engine'!$C$2:$C$1369,0)))</f>
        <v/>
      </c>
      <c r="O672" s="8">
        <f>IF(ISNA(MATCH(663,'Transfer Engine'!$C$2:$C$1369,0)),"",HYPERLINK(INDEX('Compliance Database'!$O$2:$O$1369,MATCH(663,'Transfer Engine'!$C$2:$C$1369,0)),"Open PDF"))</f>
        <v/>
      </c>
    </row>
    <row r="673" ht="188" customHeight="1">
      <c r="A673" s="8">
        <f>IF(ISNA(MATCH(664,'Transfer Engine'!$C$2:$C$1369,0)),"",INDEX('Compliance Database'!$A$2:$A$1369,MATCH(664,'Transfer Engine'!$C$2:$C$1369,0)))</f>
        <v/>
      </c>
      <c r="B673" s="8">
        <f>IF(ISNA(MATCH(664,'Transfer Engine'!$C$2:$C$1369,0)),"",INDEX('Compliance Database'!$B$2:$B$1369,MATCH(664,'Transfer Engine'!$C$2:$C$1369,0)))</f>
        <v/>
      </c>
      <c r="C673" s="8">
        <f>IF(ISNA(MATCH(664,'Transfer Engine'!$C$2:$C$1369,0)),"",INDEX('Compliance Database'!$C$2:$C$1369,MATCH(664,'Transfer Engine'!$C$2:$C$1369,0)))</f>
        <v/>
      </c>
      <c r="D673" s="9">
        <f>IF(ISNA(MATCH(664,'Transfer Engine'!$C$2:$C$1369,0)),"",INDEX('Compliance Database'!$D$2:$D$1369,MATCH(664,'Transfer Engine'!$C$2:$C$1369,0)))</f>
        <v/>
      </c>
      <c r="E673" s="8">
        <f>IF(ISNA(MATCH(664,'Transfer Engine'!$C$2:$C$1369,0)),"",INDEX('Compliance Database'!$E$2:$E$1369,MATCH(664,'Transfer Engine'!$C$2:$C$1369,0)))</f>
        <v/>
      </c>
      <c r="F673" s="8">
        <f>IF(ISNA(MATCH(664,'Transfer Engine'!$C$2:$C$1369,0)),"",INDEX('Compliance Database'!$F$2:$F$1369,MATCH(664,'Transfer Engine'!$C$2:$C$1369,0)))</f>
        <v/>
      </c>
      <c r="G673" s="8">
        <f>IF(ISNA(MATCH(664,'Transfer Engine'!$C$2:$C$1369,0)),"",INDEX('Compliance Database'!$G$2:$G$1369,MATCH(664,'Transfer Engine'!$C$2:$C$1369,0)))</f>
        <v/>
      </c>
      <c r="H673" s="9">
        <f>IF(ISNA(MATCH(664,'Transfer Engine'!$C$2:$C$1369,0)),"",INDEX('Compliance Database'!$H$2:$H$1369,MATCH(664,'Transfer Engine'!$C$2:$C$1369,0)))</f>
        <v/>
      </c>
      <c r="I673" s="9">
        <f>IF(ISNA(MATCH(664,'Transfer Engine'!$C$2:$C$1369,0)),"",INDEX('Compliance Database'!$I$2:$I$1369,MATCH(664,'Transfer Engine'!$C$2:$C$1369,0)))</f>
        <v/>
      </c>
      <c r="J673" s="8">
        <f>IF(ISNA(MATCH(664,'Transfer Engine'!$C$2:$C$1369,0)),"",INDEX('Compliance Database'!$J$2:$J$1369,MATCH(664,'Transfer Engine'!$C$2:$C$1369,0)))</f>
        <v/>
      </c>
      <c r="K673" s="9">
        <f>IF(ISNA(MATCH(664,'Transfer Engine'!$C$2:$C$1369,0)),"",INDEX('Compliance Database'!$K$2:$K$1369,MATCH(664,'Transfer Engine'!$C$2:$C$1369,0)))</f>
        <v/>
      </c>
      <c r="L673" s="9">
        <f>IF(ISNA(MATCH(664,'Transfer Engine'!$C$2:$C$1369,0)),"",INDEX('Compliance Database'!$L$2:$L$1369,MATCH(664,'Transfer Engine'!$C$2:$C$1369,0)))</f>
        <v/>
      </c>
      <c r="M673" s="9">
        <f>IF(ISNA(MATCH(664,'Transfer Engine'!$C$2:$C$1369,0)),"",INDEX('Compliance Database'!$M$2:$M$1369,MATCH(664,'Transfer Engine'!$C$2:$C$1369,0)))</f>
        <v/>
      </c>
      <c r="N673" s="9">
        <f>IF(ISNA(MATCH(664,'Transfer Engine'!$C$2:$C$1369,0)),"",INDEX('Compliance Database'!$N$2:$N$1369,MATCH(664,'Transfer Engine'!$C$2:$C$1369,0)))</f>
        <v/>
      </c>
      <c r="O673" s="8">
        <f>IF(ISNA(MATCH(664,'Transfer Engine'!$C$2:$C$1369,0)),"",HYPERLINK(INDEX('Compliance Database'!$O$2:$O$1369,MATCH(664,'Transfer Engine'!$C$2:$C$1369,0)),"Open PDF"))</f>
        <v/>
      </c>
    </row>
    <row r="674" ht="188" customHeight="1">
      <c r="A674" s="8">
        <f>IF(ISNA(MATCH(665,'Transfer Engine'!$C$2:$C$1369,0)),"",INDEX('Compliance Database'!$A$2:$A$1369,MATCH(665,'Transfer Engine'!$C$2:$C$1369,0)))</f>
        <v/>
      </c>
      <c r="B674" s="8">
        <f>IF(ISNA(MATCH(665,'Transfer Engine'!$C$2:$C$1369,0)),"",INDEX('Compliance Database'!$B$2:$B$1369,MATCH(665,'Transfer Engine'!$C$2:$C$1369,0)))</f>
        <v/>
      </c>
      <c r="C674" s="8">
        <f>IF(ISNA(MATCH(665,'Transfer Engine'!$C$2:$C$1369,0)),"",INDEX('Compliance Database'!$C$2:$C$1369,MATCH(665,'Transfer Engine'!$C$2:$C$1369,0)))</f>
        <v/>
      </c>
      <c r="D674" s="9">
        <f>IF(ISNA(MATCH(665,'Transfer Engine'!$C$2:$C$1369,0)),"",INDEX('Compliance Database'!$D$2:$D$1369,MATCH(665,'Transfer Engine'!$C$2:$C$1369,0)))</f>
        <v/>
      </c>
      <c r="E674" s="8">
        <f>IF(ISNA(MATCH(665,'Transfer Engine'!$C$2:$C$1369,0)),"",INDEX('Compliance Database'!$E$2:$E$1369,MATCH(665,'Transfer Engine'!$C$2:$C$1369,0)))</f>
        <v/>
      </c>
      <c r="F674" s="8">
        <f>IF(ISNA(MATCH(665,'Transfer Engine'!$C$2:$C$1369,0)),"",INDEX('Compliance Database'!$F$2:$F$1369,MATCH(665,'Transfer Engine'!$C$2:$C$1369,0)))</f>
        <v/>
      </c>
      <c r="G674" s="8">
        <f>IF(ISNA(MATCH(665,'Transfer Engine'!$C$2:$C$1369,0)),"",INDEX('Compliance Database'!$G$2:$G$1369,MATCH(665,'Transfer Engine'!$C$2:$C$1369,0)))</f>
        <v/>
      </c>
      <c r="H674" s="9">
        <f>IF(ISNA(MATCH(665,'Transfer Engine'!$C$2:$C$1369,0)),"",INDEX('Compliance Database'!$H$2:$H$1369,MATCH(665,'Transfer Engine'!$C$2:$C$1369,0)))</f>
        <v/>
      </c>
      <c r="I674" s="9">
        <f>IF(ISNA(MATCH(665,'Transfer Engine'!$C$2:$C$1369,0)),"",INDEX('Compliance Database'!$I$2:$I$1369,MATCH(665,'Transfer Engine'!$C$2:$C$1369,0)))</f>
        <v/>
      </c>
      <c r="J674" s="8">
        <f>IF(ISNA(MATCH(665,'Transfer Engine'!$C$2:$C$1369,0)),"",INDEX('Compliance Database'!$J$2:$J$1369,MATCH(665,'Transfer Engine'!$C$2:$C$1369,0)))</f>
        <v/>
      </c>
      <c r="K674" s="9">
        <f>IF(ISNA(MATCH(665,'Transfer Engine'!$C$2:$C$1369,0)),"",INDEX('Compliance Database'!$K$2:$K$1369,MATCH(665,'Transfer Engine'!$C$2:$C$1369,0)))</f>
        <v/>
      </c>
      <c r="L674" s="9">
        <f>IF(ISNA(MATCH(665,'Transfer Engine'!$C$2:$C$1369,0)),"",INDEX('Compliance Database'!$L$2:$L$1369,MATCH(665,'Transfer Engine'!$C$2:$C$1369,0)))</f>
        <v/>
      </c>
      <c r="M674" s="9">
        <f>IF(ISNA(MATCH(665,'Transfer Engine'!$C$2:$C$1369,0)),"",INDEX('Compliance Database'!$M$2:$M$1369,MATCH(665,'Transfer Engine'!$C$2:$C$1369,0)))</f>
        <v/>
      </c>
      <c r="N674" s="9">
        <f>IF(ISNA(MATCH(665,'Transfer Engine'!$C$2:$C$1369,0)),"",INDEX('Compliance Database'!$N$2:$N$1369,MATCH(665,'Transfer Engine'!$C$2:$C$1369,0)))</f>
        <v/>
      </c>
      <c r="O674" s="8">
        <f>IF(ISNA(MATCH(665,'Transfer Engine'!$C$2:$C$1369,0)),"",HYPERLINK(INDEX('Compliance Database'!$O$2:$O$1369,MATCH(665,'Transfer Engine'!$C$2:$C$1369,0)),"Open PDF"))</f>
        <v/>
      </c>
    </row>
    <row r="675" ht="188" customHeight="1">
      <c r="A675" s="8">
        <f>IF(ISNA(MATCH(666,'Transfer Engine'!$C$2:$C$1369,0)),"",INDEX('Compliance Database'!$A$2:$A$1369,MATCH(666,'Transfer Engine'!$C$2:$C$1369,0)))</f>
        <v/>
      </c>
      <c r="B675" s="8">
        <f>IF(ISNA(MATCH(666,'Transfer Engine'!$C$2:$C$1369,0)),"",INDEX('Compliance Database'!$B$2:$B$1369,MATCH(666,'Transfer Engine'!$C$2:$C$1369,0)))</f>
        <v/>
      </c>
      <c r="C675" s="8">
        <f>IF(ISNA(MATCH(666,'Transfer Engine'!$C$2:$C$1369,0)),"",INDEX('Compliance Database'!$C$2:$C$1369,MATCH(666,'Transfer Engine'!$C$2:$C$1369,0)))</f>
        <v/>
      </c>
      <c r="D675" s="9">
        <f>IF(ISNA(MATCH(666,'Transfer Engine'!$C$2:$C$1369,0)),"",INDEX('Compliance Database'!$D$2:$D$1369,MATCH(666,'Transfer Engine'!$C$2:$C$1369,0)))</f>
        <v/>
      </c>
      <c r="E675" s="8">
        <f>IF(ISNA(MATCH(666,'Transfer Engine'!$C$2:$C$1369,0)),"",INDEX('Compliance Database'!$E$2:$E$1369,MATCH(666,'Transfer Engine'!$C$2:$C$1369,0)))</f>
        <v/>
      </c>
      <c r="F675" s="8">
        <f>IF(ISNA(MATCH(666,'Transfer Engine'!$C$2:$C$1369,0)),"",INDEX('Compliance Database'!$F$2:$F$1369,MATCH(666,'Transfer Engine'!$C$2:$C$1369,0)))</f>
        <v/>
      </c>
      <c r="G675" s="8">
        <f>IF(ISNA(MATCH(666,'Transfer Engine'!$C$2:$C$1369,0)),"",INDEX('Compliance Database'!$G$2:$G$1369,MATCH(666,'Transfer Engine'!$C$2:$C$1369,0)))</f>
        <v/>
      </c>
      <c r="H675" s="9">
        <f>IF(ISNA(MATCH(666,'Transfer Engine'!$C$2:$C$1369,0)),"",INDEX('Compliance Database'!$H$2:$H$1369,MATCH(666,'Transfer Engine'!$C$2:$C$1369,0)))</f>
        <v/>
      </c>
      <c r="I675" s="9">
        <f>IF(ISNA(MATCH(666,'Transfer Engine'!$C$2:$C$1369,0)),"",INDEX('Compliance Database'!$I$2:$I$1369,MATCH(666,'Transfer Engine'!$C$2:$C$1369,0)))</f>
        <v/>
      </c>
      <c r="J675" s="8">
        <f>IF(ISNA(MATCH(666,'Transfer Engine'!$C$2:$C$1369,0)),"",INDEX('Compliance Database'!$J$2:$J$1369,MATCH(666,'Transfer Engine'!$C$2:$C$1369,0)))</f>
        <v/>
      </c>
      <c r="K675" s="9">
        <f>IF(ISNA(MATCH(666,'Transfer Engine'!$C$2:$C$1369,0)),"",INDEX('Compliance Database'!$K$2:$K$1369,MATCH(666,'Transfer Engine'!$C$2:$C$1369,0)))</f>
        <v/>
      </c>
      <c r="L675" s="9">
        <f>IF(ISNA(MATCH(666,'Transfer Engine'!$C$2:$C$1369,0)),"",INDEX('Compliance Database'!$L$2:$L$1369,MATCH(666,'Transfer Engine'!$C$2:$C$1369,0)))</f>
        <v/>
      </c>
      <c r="M675" s="9">
        <f>IF(ISNA(MATCH(666,'Transfer Engine'!$C$2:$C$1369,0)),"",INDEX('Compliance Database'!$M$2:$M$1369,MATCH(666,'Transfer Engine'!$C$2:$C$1369,0)))</f>
        <v/>
      </c>
      <c r="N675" s="9">
        <f>IF(ISNA(MATCH(666,'Transfer Engine'!$C$2:$C$1369,0)),"",INDEX('Compliance Database'!$N$2:$N$1369,MATCH(666,'Transfer Engine'!$C$2:$C$1369,0)))</f>
        <v/>
      </c>
      <c r="O675" s="8">
        <f>IF(ISNA(MATCH(666,'Transfer Engine'!$C$2:$C$1369,0)),"",HYPERLINK(INDEX('Compliance Database'!$O$2:$O$1369,MATCH(666,'Transfer Engine'!$C$2:$C$1369,0)),"Open PDF"))</f>
        <v/>
      </c>
    </row>
    <row r="676" ht="188" customHeight="1">
      <c r="A676" s="8">
        <f>IF(ISNA(MATCH(667,'Transfer Engine'!$C$2:$C$1369,0)),"",INDEX('Compliance Database'!$A$2:$A$1369,MATCH(667,'Transfer Engine'!$C$2:$C$1369,0)))</f>
        <v/>
      </c>
      <c r="B676" s="8">
        <f>IF(ISNA(MATCH(667,'Transfer Engine'!$C$2:$C$1369,0)),"",INDEX('Compliance Database'!$B$2:$B$1369,MATCH(667,'Transfer Engine'!$C$2:$C$1369,0)))</f>
        <v/>
      </c>
      <c r="C676" s="8">
        <f>IF(ISNA(MATCH(667,'Transfer Engine'!$C$2:$C$1369,0)),"",INDEX('Compliance Database'!$C$2:$C$1369,MATCH(667,'Transfer Engine'!$C$2:$C$1369,0)))</f>
        <v/>
      </c>
      <c r="D676" s="9">
        <f>IF(ISNA(MATCH(667,'Transfer Engine'!$C$2:$C$1369,0)),"",INDEX('Compliance Database'!$D$2:$D$1369,MATCH(667,'Transfer Engine'!$C$2:$C$1369,0)))</f>
        <v/>
      </c>
      <c r="E676" s="8">
        <f>IF(ISNA(MATCH(667,'Transfer Engine'!$C$2:$C$1369,0)),"",INDEX('Compliance Database'!$E$2:$E$1369,MATCH(667,'Transfer Engine'!$C$2:$C$1369,0)))</f>
        <v/>
      </c>
      <c r="F676" s="8">
        <f>IF(ISNA(MATCH(667,'Transfer Engine'!$C$2:$C$1369,0)),"",INDEX('Compliance Database'!$F$2:$F$1369,MATCH(667,'Transfer Engine'!$C$2:$C$1369,0)))</f>
        <v/>
      </c>
      <c r="G676" s="8">
        <f>IF(ISNA(MATCH(667,'Transfer Engine'!$C$2:$C$1369,0)),"",INDEX('Compliance Database'!$G$2:$G$1369,MATCH(667,'Transfer Engine'!$C$2:$C$1369,0)))</f>
        <v/>
      </c>
      <c r="H676" s="9">
        <f>IF(ISNA(MATCH(667,'Transfer Engine'!$C$2:$C$1369,0)),"",INDEX('Compliance Database'!$H$2:$H$1369,MATCH(667,'Transfer Engine'!$C$2:$C$1369,0)))</f>
        <v/>
      </c>
      <c r="I676" s="9">
        <f>IF(ISNA(MATCH(667,'Transfer Engine'!$C$2:$C$1369,0)),"",INDEX('Compliance Database'!$I$2:$I$1369,MATCH(667,'Transfer Engine'!$C$2:$C$1369,0)))</f>
        <v/>
      </c>
      <c r="J676" s="8">
        <f>IF(ISNA(MATCH(667,'Transfer Engine'!$C$2:$C$1369,0)),"",INDEX('Compliance Database'!$J$2:$J$1369,MATCH(667,'Transfer Engine'!$C$2:$C$1369,0)))</f>
        <v/>
      </c>
      <c r="K676" s="9">
        <f>IF(ISNA(MATCH(667,'Transfer Engine'!$C$2:$C$1369,0)),"",INDEX('Compliance Database'!$K$2:$K$1369,MATCH(667,'Transfer Engine'!$C$2:$C$1369,0)))</f>
        <v/>
      </c>
      <c r="L676" s="9">
        <f>IF(ISNA(MATCH(667,'Transfer Engine'!$C$2:$C$1369,0)),"",INDEX('Compliance Database'!$L$2:$L$1369,MATCH(667,'Transfer Engine'!$C$2:$C$1369,0)))</f>
        <v/>
      </c>
      <c r="M676" s="9">
        <f>IF(ISNA(MATCH(667,'Transfer Engine'!$C$2:$C$1369,0)),"",INDEX('Compliance Database'!$M$2:$M$1369,MATCH(667,'Transfer Engine'!$C$2:$C$1369,0)))</f>
        <v/>
      </c>
      <c r="N676" s="9">
        <f>IF(ISNA(MATCH(667,'Transfer Engine'!$C$2:$C$1369,0)),"",INDEX('Compliance Database'!$N$2:$N$1369,MATCH(667,'Transfer Engine'!$C$2:$C$1369,0)))</f>
        <v/>
      </c>
      <c r="O676" s="8">
        <f>IF(ISNA(MATCH(667,'Transfer Engine'!$C$2:$C$1369,0)),"",HYPERLINK(INDEX('Compliance Database'!$O$2:$O$1369,MATCH(667,'Transfer Engine'!$C$2:$C$1369,0)),"Open PDF"))</f>
        <v/>
      </c>
    </row>
    <row r="677" ht="188" customHeight="1">
      <c r="A677" s="8">
        <f>IF(ISNA(MATCH(668,'Transfer Engine'!$C$2:$C$1369,0)),"",INDEX('Compliance Database'!$A$2:$A$1369,MATCH(668,'Transfer Engine'!$C$2:$C$1369,0)))</f>
        <v/>
      </c>
      <c r="B677" s="8">
        <f>IF(ISNA(MATCH(668,'Transfer Engine'!$C$2:$C$1369,0)),"",INDEX('Compliance Database'!$B$2:$B$1369,MATCH(668,'Transfer Engine'!$C$2:$C$1369,0)))</f>
        <v/>
      </c>
      <c r="C677" s="8">
        <f>IF(ISNA(MATCH(668,'Transfer Engine'!$C$2:$C$1369,0)),"",INDEX('Compliance Database'!$C$2:$C$1369,MATCH(668,'Transfer Engine'!$C$2:$C$1369,0)))</f>
        <v/>
      </c>
      <c r="D677" s="9">
        <f>IF(ISNA(MATCH(668,'Transfer Engine'!$C$2:$C$1369,0)),"",INDEX('Compliance Database'!$D$2:$D$1369,MATCH(668,'Transfer Engine'!$C$2:$C$1369,0)))</f>
        <v/>
      </c>
      <c r="E677" s="8">
        <f>IF(ISNA(MATCH(668,'Transfer Engine'!$C$2:$C$1369,0)),"",INDEX('Compliance Database'!$E$2:$E$1369,MATCH(668,'Transfer Engine'!$C$2:$C$1369,0)))</f>
        <v/>
      </c>
      <c r="F677" s="8">
        <f>IF(ISNA(MATCH(668,'Transfer Engine'!$C$2:$C$1369,0)),"",INDEX('Compliance Database'!$F$2:$F$1369,MATCH(668,'Transfer Engine'!$C$2:$C$1369,0)))</f>
        <v/>
      </c>
      <c r="G677" s="8">
        <f>IF(ISNA(MATCH(668,'Transfer Engine'!$C$2:$C$1369,0)),"",INDEX('Compliance Database'!$G$2:$G$1369,MATCH(668,'Transfer Engine'!$C$2:$C$1369,0)))</f>
        <v/>
      </c>
      <c r="H677" s="9">
        <f>IF(ISNA(MATCH(668,'Transfer Engine'!$C$2:$C$1369,0)),"",INDEX('Compliance Database'!$H$2:$H$1369,MATCH(668,'Transfer Engine'!$C$2:$C$1369,0)))</f>
        <v/>
      </c>
      <c r="I677" s="9">
        <f>IF(ISNA(MATCH(668,'Transfer Engine'!$C$2:$C$1369,0)),"",INDEX('Compliance Database'!$I$2:$I$1369,MATCH(668,'Transfer Engine'!$C$2:$C$1369,0)))</f>
        <v/>
      </c>
      <c r="J677" s="8">
        <f>IF(ISNA(MATCH(668,'Transfer Engine'!$C$2:$C$1369,0)),"",INDEX('Compliance Database'!$J$2:$J$1369,MATCH(668,'Transfer Engine'!$C$2:$C$1369,0)))</f>
        <v/>
      </c>
      <c r="K677" s="9">
        <f>IF(ISNA(MATCH(668,'Transfer Engine'!$C$2:$C$1369,0)),"",INDEX('Compliance Database'!$K$2:$K$1369,MATCH(668,'Transfer Engine'!$C$2:$C$1369,0)))</f>
        <v/>
      </c>
      <c r="L677" s="9">
        <f>IF(ISNA(MATCH(668,'Transfer Engine'!$C$2:$C$1369,0)),"",INDEX('Compliance Database'!$L$2:$L$1369,MATCH(668,'Transfer Engine'!$C$2:$C$1369,0)))</f>
        <v/>
      </c>
      <c r="M677" s="9">
        <f>IF(ISNA(MATCH(668,'Transfer Engine'!$C$2:$C$1369,0)),"",INDEX('Compliance Database'!$M$2:$M$1369,MATCH(668,'Transfer Engine'!$C$2:$C$1369,0)))</f>
        <v/>
      </c>
      <c r="N677" s="9">
        <f>IF(ISNA(MATCH(668,'Transfer Engine'!$C$2:$C$1369,0)),"",INDEX('Compliance Database'!$N$2:$N$1369,MATCH(668,'Transfer Engine'!$C$2:$C$1369,0)))</f>
        <v/>
      </c>
      <c r="O677" s="8">
        <f>IF(ISNA(MATCH(668,'Transfer Engine'!$C$2:$C$1369,0)),"",HYPERLINK(INDEX('Compliance Database'!$O$2:$O$1369,MATCH(668,'Transfer Engine'!$C$2:$C$1369,0)),"Open PDF"))</f>
        <v/>
      </c>
    </row>
    <row r="678" ht="188" customHeight="1">
      <c r="A678" s="8">
        <f>IF(ISNA(MATCH(669,'Transfer Engine'!$C$2:$C$1369,0)),"",INDEX('Compliance Database'!$A$2:$A$1369,MATCH(669,'Transfer Engine'!$C$2:$C$1369,0)))</f>
        <v/>
      </c>
      <c r="B678" s="8">
        <f>IF(ISNA(MATCH(669,'Transfer Engine'!$C$2:$C$1369,0)),"",INDEX('Compliance Database'!$B$2:$B$1369,MATCH(669,'Transfer Engine'!$C$2:$C$1369,0)))</f>
        <v/>
      </c>
      <c r="C678" s="8">
        <f>IF(ISNA(MATCH(669,'Transfer Engine'!$C$2:$C$1369,0)),"",INDEX('Compliance Database'!$C$2:$C$1369,MATCH(669,'Transfer Engine'!$C$2:$C$1369,0)))</f>
        <v/>
      </c>
      <c r="D678" s="9">
        <f>IF(ISNA(MATCH(669,'Transfer Engine'!$C$2:$C$1369,0)),"",INDEX('Compliance Database'!$D$2:$D$1369,MATCH(669,'Transfer Engine'!$C$2:$C$1369,0)))</f>
        <v/>
      </c>
      <c r="E678" s="8">
        <f>IF(ISNA(MATCH(669,'Transfer Engine'!$C$2:$C$1369,0)),"",INDEX('Compliance Database'!$E$2:$E$1369,MATCH(669,'Transfer Engine'!$C$2:$C$1369,0)))</f>
        <v/>
      </c>
      <c r="F678" s="8">
        <f>IF(ISNA(MATCH(669,'Transfer Engine'!$C$2:$C$1369,0)),"",INDEX('Compliance Database'!$F$2:$F$1369,MATCH(669,'Transfer Engine'!$C$2:$C$1369,0)))</f>
        <v/>
      </c>
      <c r="G678" s="8">
        <f>IF(ISNA(MATCH(669,'Transfer Engine'!$C$2:$C$1369,0)),"",INDEX('Compliance Database'!$G$2:$G$1369,MATCH(669,'Transfer Engine'!$C$2:$C$1369,0)))</f>
        <v/>
      </c>
      <c r="H678" s="9">
        <f>IF(ISNA(MATCH(669,'Transfer Engine'!$C$2:$C$1369,0)),"",INDEX('Compliance Database'!$H$2:$H$1369,MATCH(669,'Transfer Engine'!$C$2:$C$1369,0)))</f>
        <v/>
      </c>
      <c r="I678" s="9">
        <f>IF(ISNA(MATCH(669,'Transfer Engine'!$C$2:$C$1369,0)),"",INDEX('Compliance Database'!$I$2:$I$1369,MATCH(669,'Transfer Engine'!$C$2:$C$1369,0)))</f>
        <v/>
      </c>
      <c r="J678" s="8">
        <f>IF(ISNA(MATCH(669,'Transfer Engine'!$C$2:$C$1369,0)),"",INDEX('Compliance Database'!$J$2:$J$1369,MATCH(669,'Transfer Engine'!$C$2:$C$1369,0)))</f>
        <v/>
      </c>
      <c r="K678" s="9">
        <f>IF(ISNA(MATCH(669,'Transfer Engine'!$C$2:$C$1369,0)),"",INDEX('Compliance Database'!$K$2:$K$1369,MATCH(669,'Transfer Engine'!$C$2:$C$1369,0)))</f>
        <v/>
      </c>
      <c r="L678" s="9">
        <f>IF(ISNA(MATCH(669,'Transfer Engine'!$C$2:$C$1369,0)),"",INDEX('Compliance Database'!$L$2:$L$1369,MATCH(669,'Transfer Engine'!$C$2:$C$1369,0)))</f>
        <v/>
      </c>
      <c r="M678" s="9">
        <f>IF(ISNA(MATCH(669,'Transfer Engine'!$C$2:$C$1369,0)),"",INDEX('Compliance Database'!$M$2:$M$1369,MATCH(669,'Transfer Engine'!$C$2:$C$1369,0)))</f>
        <v/>
      </c>
      <c r="N678" s="9">
        <f>IF(ISNA(MATCH(669,'Transfer Engine'!$C$2:$C$1369,0)),"",INDEX('Compliance Database'!$N$2:$N$1369,MATCH(669,'Transfer Engine'!$C$2:$C$1369,0)))</f>
        <v/>
      </c>
      <c r="O678" s="8">
        <f>IF(ISNA(MATCH(669,'Transfer Engine'!$C$2:$C$1369,0)),"",HYPERLINK(INDEX('Compliance Database'!$O$2:$O$1369,MATCH(669,'Transfer Engine'!$C$2:$C$1369,0)),"Open PDF"))</f>
        <v/>
      </c>
    </row>
    <row r="679" ht="188" customHeight="1">
      <c r="A679" s="8">
        <f>IF(ISNA(MATCH(670,'Transfer Engine'!$C$2:$C$1369,0)),"",INDEX('Compliance Database'!$A$2:$A$1369,MATCH(670,'Transfer Engine'!$C$2:$C$1369,0)))</f>
        <v/>
      </c>
      <c r="B679" s="8">
        <f>IF(ISNA(MATCH(670,'Transfer Engine'!$C$2:$C$1369,0)),"",INDEX('Compliance Database'!$B$2:$B$1369,MATCH(670,'Transfer Engine'!$C$2:$C$1369,0)))</f>
        <v/>
      </c>
      <c r="C679" s="8">
        <f>IF(ISNA(MATCH(670,'Transfer Engine'!$C$2:$C$1369,0)),"",INDEX('Compliance Database'!$C$2:$C$1369,MATCH(670,'Transfer Engine'!$C$2:$C$1369,0)))</f>
        <v/>
      </c>
      <c r="D679" s="9">
        <f>IF(ISNA(MATCH(670,'Transfer Engine'!$C$2:$C$1369,0)),"",INDEX('Compliance Database'!$D$2:$D$1369,MATCH(670,'Transfer Engine'!$C$2:$C$1369,0)))</f>
        <v/>
      </c>
      <c r="E679" s="8">
        <f>IF(ISNA(MATCH(670,'Transfer Engine'!$C$2:$C$1369,0)),"",INDEX('Compliance Database'!$E$2:$E$1369,MATCH(670,'Transfer Engine'!$C$2:$C$1369,0)))</f>
        <v/>
      </c>
      <c r="F679" s="8">
        <f>IF(ISNA(MATCH(670,'Transfer Engine'!$C$2:$C$1369,0)),"",INDEX('Compliance Database'!$F$2:$F$1369,MATCH(670,'Transfer Engine'!$C$2:$C$1369,0)))</f>
        <v/>
      </c>
      <c r="G679" s="8">
        <f>IF(ISNA(MATCH(670,'Transfer Engine'!$C$2:$C$1369,0)),"",INDEX('Compliance Database'!$G$2:$G$1369,MATCH(670,'Transfer Engine'!$C$2:$C$1369,0)))</f>
        <v/>
      </c>
      <c r="H679" s="9">
        <f>IF(ISNA(MATCH(670,'Transfer Engine'!$C$2:$C$1369,0)),"",INDEX('Compliance Database'!$H$2:$H$1369,MATCH(670,'Transfer Engine'!$C$2:$C$1369,0)))</f>
        <v/>
      </c>
      <c r="I679" s="9">
        <f>IF(ISNA(MATCH(670,'Transfer Engine'!$C$2:$C$1369,0)),"",INDEX('Compliance Database'!$I$2:$I$1369,MATCH(670,'Transfer Engine'!$C$2:$C$1369,0)))</f>
        <v/>
      </c>
      <c r="J679" s="8">
        <f>IF(ISNA(MATCH(670,'Transfer Engine'!$C$2:$C$1369,0)),"",INDEX('Compliance Database'!$J$2:$J$1369,MATCH(670,'Transfer Engine'!$C$2:$C$1369,0)))</f>
        <v/>
      </c>
      <c r="K679" s="9">
        <f>IF(ISNA(MATCH(670,'Transfer Engine'!$C$2:$C$1369,0)),"",INDEX('Compliance Database'!$K$2:$K$1369,MATCH(670,'Transfer Engine'!$C$2:$C$1369,0)))</f>
        <v/>
      </c>
      <c r="L679" s="9">
        <f>IF(ISNA(MATCH(670,'Transfer Engine'!$C$2:$C$1369,0)),"",INDEX('Compliance Database'!$L$2:$L$1369,MATCH(670,'Transfer Engine'!$C$2:$C$1369,0)))</f>
        <v/>
      </c>
      <c r="M679" s="9">
        <f>IF(ISNA(MATCH(670,'Transfer Engine'!$C$2:$C$1369,0)),"",INDEX('Compliance Database'!$M$2:$M$1369,MATCH(670,'Transfer Engine'!$C$2:$C$1369,0)))</f>
        <v/>
      </c>
      <c r="N679" s="9">
        <f>IF(ISNA(MATCH(670,'Transfer Engine'!$C$2:$C$1369,0)),"",INDEX('Compliance Database'!$N$2:$N$1369,MATCH(670,'Transfer Engine'!$C$2:$C$1369,0)))</f>
        <v/>
      </c>
      <c r="O679" s="8">
        <f>IF(ISNA(MATCH(670,'Transfer Engine'!$C$2:$C$1369,0)),"",HYPERLINK(INDEX('Compliance Database'!$O$2:$O$1369,MATCH(670,'Transfer Engine'!$C$2:$C$1369,0)),"Open PDF"))</f>
        <v/>
      </c>
    </row>
    <row r="680" ht="188" customHeight="1">
      <c r="A680" s="8">
        <f>IF(ISNA(MATCH(671,'Transfer Engine'!$C$2:$C$1369,0)),"",INDEX('Compliance Database'!$A$2:$A$1369,MATCH(671,'Transfer Engine'!$C$2:$C$1369,0)))</f>
        <v/>
      </c>
      <c r="B680" s="8">
        <f>IF(ISNA(MATCH(671,'Transfer Engine'!$C$2:$C$1369,0)),"",INDEX('Compliance Database'!$B$2:$B$1369,MATCH(671,'Transfer Engine'!$C$2:$C$1369,0)))</f>
        <v/>
      </c>
      <c r="C680" s="8">
        <f>IF(ISNA(MATCH(671,'Transfer Engine'!$C$2:$C$1369,0)),"",INDEX('Compliance Database'!$C$2:$C$1369,MATCH(671,'Transfer Engine'!$C$2:$C$1369,0)))</f>
        <v/>
      </c>
      <c r="D680" s="9">
        <f>IF(ISNA(MATCH(671,'Transfer Engine'!$C$2:$C$1369,0)),"",INDEX('Compliance Database'!$D$2:$D$1369,MATCH(671,'Transfer Engine'!$C$2:$C$1369,0)))</f>
        <v/>
      </c>
      <c r="E680" s="8">
        <f>IF(ISNA(MATCH(671,'Transfer Engine'!$C$2:$C$1369,0)),"",INDEX('Compliance Database'!$E$2:$E$1369,MATCH(671,'Transfer Engine'!$C$2:$C$1369,0)))</f>
        <v/>
      </c>
      <c r="F680" s="8">
        <f>IF(ISNA(MATCH(671,'Transfer Engine'!$C$2:$C$1369,0)),"",INDEX('Compliance Database'!$F$2:$F$1369,MATCH(671,'Transfer Engine'!$C$2:$C$1369,0)))</f>
        <v/>
      </c>
      <c r="G680" s="8">
        <f>IF(ISNA(MATCH(671,'Transfer Engine'!$C$2:$C$1369,0)),"",INDEX('Compliance Database'!$G$2:$G$1369,MATCH(671,'Transfer Engine'!$C$2:$C$1369,0)))</f>
        <v/>
      </c>
      <c r="H680" s="9">
        <f>IF(ISNA(MATCH(671,'Transfer Engine'!$C$2:$C$1369,0)),"",INDEX('Compliance Database'!$H$2:$H$1369,MATCH(671,'Transfer Engine'!$C$2:$C$1369,0)))</f>
        <v/>
      </c>
      <c r="I680" s="9">
        <f>IF(ISNA(MATCH(671,'Transfer Engine'!$C$2:$C$1369,0)),"",INDEX('Compliance Database'!$I$2:$I$1369,MATCH(671,'Transfer Engine'!$C$2:$C$1369,0)))</f>
        <v/>
      </c>
      <c r="J680" s="8">
        <f>IF(ISNA(MATCH(671,'Transfer Engine'!$C$2:$C$1369,0)),"",INDEX('Compliance Database'!$J$2:$J$1369,MATCH(671,'Transfer Engine'!$C$2:$C$1369,0)))</f>
        <v/>
      </c>
      <c r="K680" s="9">
        <f>IF(ISNA(MATCH(671,'Transfer Engine'!$C$2:$C$1369,0)),"",INDEX('Compliance Database'!$K$2:$K$1369,MATCH(671,'Transfer Engine'!$C$2:$C$1369,0)))</f>
        <v/>
      </c>
      <c r="L680" s="9">
        <f>IF(ISNA(MATCH(671,'Transfer Engine'!$C$2:$C$1369,0)),"",INDEX('Compliance Database'!$L$2:$L$1369,MATCH(671,'Transfer Engine'!$C$2:$C$1369,0)))</f>
        <v/>
      </c>
      <c r="M680" s="9">
        <f>IF(ISNA(MATCH(671,'Transfer Engine'!$C$2:$C$1369,0)),"",INDEX('Compliance Database'!$M$2:$M$1369,MATCH(671,'Transfer Engine'!$C$2:$C$1369,0)))</f>
        <v/>
      </c>
      <c r="N680" s="9">
        <f>IF(ISNA(MATCH(671,'Transfer Engine'!$C$2:$C$1369,0)),"",INDEX('Compliance Database'!$N$2:$N$1369,MATCH(671,'Transfer Engine'!$C$2:$C$1369,0)))</f>
        <v/>
      </c>
      <c r="O680" s="8">
        <f>IF(ISNA(MATCH(671,'Transfer Engine'!$C$2:$C$1369,0)),"",HYPERLINK(INDEX('Compliance Database'!$O$2:$O$1369,MATCH(671,'Transfer Engine'!$C$2:$C$1369,0)),"Open PDF"))</f>
        <v/>
      </c>
    </row>
    <row r="681" ht="188" customHeight="1">
      <c r="A681" s="8">
        <f>IF(ISNA(MATCH(672,'Transfer Engine'!$C$2:$C$1369,0)),"",INDEX('Compliance Database'!$A$2:$A$1369,MATCH(672,'Transfer Engine'!$C$2:$C$1369,0)))</f>
        <v/>
      </c>
      <c r="B681" s="8">
        <f>IF(ISNA(MATCH(672,'Transfer Engine'!$C$2:$C$1369,0)),"",INDEX('Compliance Database'!$B$2:$B$1369,MATCH(672,'Transfer Engine'!$C$2:$C$1369,0)))</f>
        <v/>
      </c>
      <c r="C681" s="8">
        <f>IF(ISNA(MATCH(672,'Transfer Engine'!$C$2:$C$1369,0)),"",INDEX('Compliance Database'!$C$2:$C$1369,MATCH(672,'Transfer Engine'!$C$2:$C$1369,0)))</f>
        <v/>
      </c>
      <c r="D681" s="9">
        <f>IF(ISNA(MATCH(672,'Transfer Engine'!$C$2:$C$1369,0)),"",INDEX('Compliance Database'!$D$2:$D$1369,MATCH(672,'Transfer Engine'!$C$2:$C$1369,0)))</f>
        <v/>
      </c>
      <c r="E681" s="8">
        <f>IF(ISNA(MATCH(672,'Transfer Engine'!$C$2:$C$1369,0)),"",INDEX('Compliance Database'!$E$2:$E$1369,MATCH(672,'Transfer Engine'!$C$2:$C$1369,0)))</f>
        <v/>
      </c>
      <c r="F681" s="8">
        <f>IF(ISNA(MATCH(672,'Transfer Engine'!$C$2:$C$1369,0)),"",INDEX('Compliance Database'!$F$2:$F$1369,MATCH(672,'Transfer Engine'!$C$2:$C$1369,0)))</f>
        <v/>
      </c>
      <c r="G681" s="8">
        <f>IF(ISNA(MATCH(672,'Transfer Engine'!$C$2:$C$1369,0)),"",INDEX('Compliance Database'!$G$2:$G$1369,MATCH(672,'Transfer Engine'!$C$2:$C$1369,0)))</f>
        <v/>
      </c>
      <c r="H681" s="9">
        <f>IF(ISNA(MATCH(672,'Transfer Engine'!$C$2:$C$1369,0)),"",INDEX('Compliance Database'!$H$2:$H$1369,MATCH(672,'Transfer Engine'!$C$2:$C$1369,0)))</f>
        <v/>
      </c>
      <c r="I681" s="9">
        <f>IF(ISNA(MATCH(672,'Transfer Engine'!$C$2:$C$1369,0)),"",INDEX('Compliance Database'!$I$2:$I$1369,MATCH(672,'Transfer Engine'!$C$2:$C$1369,0)))</f>
        <v/>
      </c>
      <c r="J681" s="8">
        <f>IF(ISNA(MATCH(672,'Transfer Engine'!$C$2:$C$1369,0)),"",INDEX('Compliance Database'!$J$2:$J$1369,MATCH(672,'Transfer Engine'!$C$2:$C$1369,0)))</f>
        <v/>
      </c>
      <c r="K681" s="9">
        <f>IF(ISNA(MATCH(672,'Transfer Engine'!$C$2:$C$1369,0)),"",INDEX('Compliance Database'!$K$2:$K$1369,MATCH(672,'Transfer Engine'!$C$2:$C$1369,0)))</f>
        <v/>
      </c>
      <c r="L681" s="9">
        <f>IF(ISNA(MATCH(672,'Transfer Engine'!$C$2:$C$1369,0)),"",INDEX('Compliance Database'!$L$2:$L$1369,MATCH(672,'Transfer Engine'!$C$2:$C$1369,0)))</f>
        <v/>
      </c>
      <c r="M681" s="9">
        <f>IF(ISNA(MATCH(672,'Transfer Engine'!$C$2:$C$1369,0)),"",INDEX('Compliance Database'!$M$2:$M$1369,MATCH(672,'Transfer Engine'!$C$2:$C$1369,0)))</f>
        <v/>
      </c>
      <c r="N681" s="9">
        <f>IF(ISNA(MATCH(672,'Transfer Engine'!$C$2:$C$1369,0)),"",INDEX('Compliance Database'!$N$2:$N$1369,MATCH(672,'Transfer Engine'!$C$2:$C$1369,0)))</f>
        <v/>
      </c>
      <c r="O681" s="8">
        <f>IF(ISNA(MATCH(672,'Transfer Engine'!$C$2:$C$1369,0)),"",HYPERLINK(INDEX('Compliance Database'!$O$2:$O$1369,MATCH(672,'Transfer Engine'!$C$2:$C$1369,0)),"Open PDF"))</f>
        <v/>
      </c>
    </row>
    <row r="682" ht="188" customHeight="1">
      <c r="A682" s="8">
        <f>IF(ISNA(MATCH(673,'Transfer Engine'!$C$2:$C$1369,0)),"",INDEX('Compliance Database'!$A$2:$A$1369,MATCH(673,'Transfer Engine'!$C$2:$C$1369,0)))</f>
        <v/>
      </c>
      <c r="B682" s="8">
        <f>IF(ISNA(MATCH(673,'Transfer Engine'!$C$2:$C$1369,0)),"",INDEX('Compliance Database'!$B$2:$B$1369,MATCH(673,'Transfer Engine'!$C$2:$C$1369,0)))</f>
        <v/>
      </c>
      <c r="C682" s="8">
        <f>IF(ISNA(MATCH(673,'Transfer Engine'!$C$2:$C$1369,0)),"",INDEX('Compliance Database'!$C$2:$C$1369,MATCH(673,'Transfer Engine'!$C$2:$C$1369,0)))</f>
        <v/>
      </c>
      <c r="D682" s="9">
        <f>IF(ISNA(MATCH(673,'Transfer Engine'!$C$2:$C$1369,0)),"",INDEX('Compliance Database'!$D$2:$D$1369,MATCH(673,'Transfer Engine'!$C$2:$C$1369,0)))</f>
        <v/>
      </c>
      <c r="E682" s="8">
        <f>IF(ISNA(MATCH(673,'Transfer Engine'!$C$2:$C$1369,0)),"",INDEX('Compliance Database'!$E$2:$E$1369,MATCH(673,'Transfer Engine'!$C$2:$C$1369,0)))</f>
        <v/>
      </c>
      <c r="F682" s="8">
        <f>IF(ISNA(MATCH(673,'Transfer Engine'!$C$2:$C$1369,0)),"",INDEX('Compliance Database'!$F$2:$F$1369,MATCH(673,'Transfer Engine'!$C$2:$C$1369,0)))</f>
        <v/>
      </c>
      <c r="G682" s="8">
        <f>IF(ISNA(MATCH(673,'Transfer Engine'!$C$2:$C$1369,0)),"",INDEX('Compliance Database'!$G$2:$G$1369,MATCH(673,'Transfer Engine'!$C$2:$C$1369,0)))</f>
        <v/>
      </c>
      <c r="H682" s="9">
        <f>IF(ISNA(MATCH(673,'Transfer Engine'!$C$2:$C$1369,0)),"",INDEX('Compliance Database'!$H$2:$H$1369,MATCH(673,'Transfer Engine'!$C$2:$C$1369,0)))</f>
        <v/>
      </c>
      <c r="I682" s="9">
        <f>IF(ISNA(MATCH(673,'Transfer Engine'!$C$2:$C$1369,0)),"",INDEX('Compliance Database'!$I$2:$I$1369,MATCH(673,'Transfer Engine'!$C$2:$C$1369,0)))</f>
        <v/>
      </c>
      <c r="J682" s="8">
        <f>IF(ISNA(MATCH(673,'Transfer Engine'!$C$2:$C$1369,0)),"",INDEX('Compliance Database'!$J$2:$J$1369,MATCH(673,'Transfer Engine'!$C$2:$C$1369,0)))</f>
        <v/>
      </c>
      <c r="K682" s="9">
        <f>IF(ISNA(MATCH(673,'Transfer Engine'!$C$2:$C$1369,0)),"",INDEX('Compliance Database'!$K$2:$K$1369,MATCH(673,'Transfer Engine'!$C$2:$C$1369,0)))</f>
        <v/>
      </c>
      <c r="L682" s="9">
        <f>IF(ISNA(MATCH(673,'Transfer Engine'!$C$2:$C$1369,0)),"",INDEX('Compliance Database'!$L$2:$L$1369,MATCH(673,'Transfer Engine'!$C$2:$C$1369,0)))</f>
        <v/>
      </c>
      <c r="M682" s="9">
        <f>IF(ISNA(MATCH(673,'Transfer Engine'!$C$2:$C$1369,0)),"",INDEX('Compliance Database'!$M$2:$M$1369,MATCH(673,'Transfer Engine'!$C$2:$C$1369,0)))</f>
        <v/>
      </c>
      <c r="N682" s="9">
        <f>IF(ISNA(MATCH(673,'Transfer Engine'!$C$2:$C$1369,0)),"",INDEX('Compliance Database'!$N$2:$N$1369,MATCH(673,'Transfer Engine'!$C$2:$C$1369,0)))</f>
        <v/>
      </c>
      <c r="O682" s="8">
        <f>IF(ISNA(MATCH(673,'Transfer Engine'!$C$2:$C$1369,0)),"",HYPERLINK(INDEX('Compliance Database'!$O$2:$O$1369,MATCH(673,'Transfer Engine'!$C$2:$C$1369,0)),"Open PDF"))</f>
        <v/>
      </c>
    </row>
    <row r="683" ht="188" customHeight="1">
      <c r="A683" s="8">
        <f>IF(ISNA(MATCH(674,'Transfer Engine'!$C$2:$C$1369,0)),"",INDEX('Compliance Database'!$A$2:$A$1369,MATCH(674,'Transfer Engine'!$C$2:$C$1369,0)))</f>
        <v/>
      </c>
      <c r="B683" s="8">
        <f>IF(ISNA(MATCH(674,'Transfer Engine'!$C$2:$C$1369,0)),"",INDEX('Compliance Database'!$B$2:$B$1369,MATCH(674,'Transfer Engine'!$C$2:$C$1369,0)))</f>
        <v/>
      </c>
      <c r="C683" s="8">
        <f>IF(ISNA(MATCH(674,'Transfer Engine'!$C$2:$C$1369,0)),"",INDEX('Compliance Database'!$C$2:$C$1369,MATCH(674,'Transfer Engine'!$C$2:$C$1369,0)))</f>
        <v/>
      </c>
      <c r="D683" s="9">
        <f>IF(ISNA(MATCH(674,'Transfer Engine'!$C$2:$C$1369,0)),"",INDEX('Compliance Database'!$D$2:$D$1369,MATCH(674,'Transfer Engine'!$C$2:$C$1369,0)))</f>
        <v/>
      </c>
      <c r="E683" s="8">
        <f>IF(ISNA(MATCH(674,'Transfer Engine'!$C$2:$C$1369,0)),"",INDEX('Compliance Database'!$E$2:$E$1369,MATCH(674,'Transfer Engine'!$C$2:$C$1369,0)))</f>
        <v/>
      </c>
      <c r="F683" s="8">
        <f>IF(ISNA(MATCH(674,'Transfer Engine'!$C$2:$C$1369,0)),"",INDEX('Compliance Database'!$F$2:$F$1369,MATCH(674,'Transfer Engine'!$C$2:$C$1369,0)))</f>
        <v/>
      </c>
      <c r="G683" s="8">
        <f>IF(ISNA(MATCH(674,'Transfer Engine'!$C$2:$C$1369,0)),"",INDEX('Compliance Database'!$G$2:$G$1369,MATCH(674,'Transfer Engine'!$C$2:$C$1369,0)))</f>
        <v/>
      </c>
      <c r="H683" s="9">
        <f>IF(ISNA(MATCH(674,'Transfer Engine'!$C$2:$C$1369,0)),"",INDEX('Compliance Database'!$H$2:$H$1369,MATCH(674,'Transfer Engine'!$C$2:$C$1369,0)))</f>
        <v/>
      </c>
      <c r="I683" s="9">
        <f>IF(ISNA(MATCH(674,'Transfer Engine'!$C$2:$C$1369,0)),"",INDEX('Compliance Database'!$I$2:$I$1369,MATCH(674,'Transfer Engine'!$C$2:$C$1369,0)))</f>
        <v/>
      </c>
      <c r="J683" s="8">
        <f>IF(ISNA(MATCH(674,'Transfer Engine'!$C$2:$C$1369,0)),"",INDEX('Compliance Database'!$J$2:$J$1369,MATCH(674,'Transfer Engine'!$C$2:$C$1369,0)))</f>
        <v/>
      </c>
      <c r="K683" s="9">
        <f>IF(ISNA(MATCH(674,'Transfer Engine'!$C$2:$C$1369,0)),"",INDEX('Compliance Database'!$K$2:$K$1369,MATCH(674,'Transfer Engine'!$C$2:$C$1369,0)))</f>
        <v/>
      </c>
      <c r="L683" s="9">
        <f>IF(ISNA(MATCH(674,'Transfer Engine'!$C$2:$C$1369,0)),"",INDEX('Compliance Database'!$L$2:$L$1369,MATCH(674,'Transfer Engine'!$C$2:$C$1369,0)))</f>
        <v/>
      </c>
      <c r="M683" s="9">
        <f>IF(ISNA(MATCH(674,'Transfer Engine'!$C$2:$C$1369,0)),"",INDEX('Compliance Database'!$M$2:$M$1369,MATCH(674,'Transfer Engine'!$C$2:$C$1369,0)))</f>
        <v/>
      </c>
      <c r="N683" s="9">
        <f>IF(ISNA(MATCH(674,'Transfer Engine'!$C$2:$C$1369,0)),"",INDEX('Compliance Database'!$N$2:$N$1369,MATCH(674,'Transfer Engine'!$C$2:$C$1369,0)))</f>
        <v/>
      </c>
      <c r="O683" s="8">
        <f>IF(ISNA(MATCH(674,'Transfer Engine'!$C$2:$C$1369,0)),"",HYPERLINK(INDEX('Compliance Database'!$O$2:$O$1369,MATCH(674,'Transfer Engine'!$C$2:$C$1369,0)),"Open PDF"))</f>
        <v/>
      </c>
    </row>
    <row r="684" ht="188" customHeight="1">
      <c r="A684" s="8">
        <f>IF(ISNA(MATCH(675,'Transfer Engine'!$C$2:$C$1369,0)),"",INDEX('Compliance Database'!$A$2:$A$1369,MATCH(675,'Transfer Engine'!$C$2:$C$1369,0)))</f>
        <v/>
      </c>
      <c r="B684" s="8">
        <f>IF(ISNA(MATCH(675,'Transfer Engine'!$C$2:$C$1369,0)),"",INDEX('Compliance Database'!$B$2:$B$1369,MATCH(675,'Transfer Engine'!$C$2:$C$1369,0)))</f>
        <v/>
      </c>
      <c r="C684" s="8">
        <f>IF(ISNA(MATCH(675,'Transfer Engine'!$C$2:$C$1369,0)),"",INDEX('Compliance Database'!$C$2:$C$1369,MATCH(675,'Transfer Engine'!$C$2:$C$1369,0)))</f>
        <v/>
      </c>
      <c r="D684" s="9">
        <f>IF(ISNA(MATCH(675,'Transfer Engine'!$C$2:$C$1369,0)),"",INDEX('Compliance Database'!$D$2:$D$1369,MATCH(675,'Transfer Engine'!$C$2:$C$1369,0)))</f>
        <v/>
      </c>
      <c r="E684" s="8">
        <f>IF(ISNA(MATCH(675,'Transfer Engine'!$C$2:$C$1369,0)),"",INDEX('Compliance Database'!$E$2:$E$1369,MATCH(675,'Transfer Engine'!$C$2:$C$1369,0)))</f>
        <v/>
      </c>
      <c r="F684" s="8">
        <f>IF(ISNA(MATCH(675,'Transfer Engine'!$C$2:$C$1369,0)),"",INDEX('Compliance Database'!$F$2:$F$1369,MATCH(675,'Transfer Engine'!$C$2:$C$1369,0)))</f>
        <v/>
      </c>
      <c r="G684" s="8">
        <f>IF(ISNA(MATCH(675,'Transfer Engine'!$C$2:$C$1369,0)),"",INDEX('Compliance Database'!$G$2:$G$1369,MATCH(675,'Transfer Engine'!$C$2:$C$1369,0)))</f>
        <v/>
      </c>
      <c r="H684" s="9">
        <f>IF(ISNA(MATCH(675,'Transfer Engine'!$C$2:$C$1369,0)),"",INDEX('Compliance Database'!$H$2:$H$1369,MATCH(675,'Transfer Engine'!$C$2:$C$1369,0)))</f>
        <v/>
      </c>
      <c r="I684" s="9">
        <f>IF(ISNA(MATCH(675,'Transfer Engine'!$C$2:$C$1369,0)),"",INDEX('Compliance Database'!$I$2:$I$1369,MATCH(675,'Transfer Engine'!$C$2:$C$1369,0)))</f>
        <v/>
      </c>
      <c r="J684" s="8">
        <f>IF(ISNA(MATCH(675,'Transfer Engine'!$C$2:$C$1369,0)),"",INDEX('Compliance Database'!$J$2:$J$1369,MATCH(675,'Transfer Engine'!$C$2:$C$1369,0)))</f>
        <v/>
      </c>
      <c r="K684" s="9">
        <f>IF(ISNA(MATCH(675,'Transfer Engine'!$C$2:$C$1369,0)),"",INDEX('Compliance Database'!$K$2:$K$1369,MATCH(675,'Transfer Engine'!$C$2:$C$1369,0)))</f>
        <v/>
      </c>
      <c r="L684" s="9">
        <f>IF(ISNA(MATCH(675,'Transfer Engine'!$C$2:$C$1369,0)),"",INDEX('Compliance Database'!$L$2:$L$1369,MATCH(675,'Transfer Engine'!$C$2:$C$1369,0)))</f>
        <v/>
      </c>
      <c r="M684" s="9">
        <f>IF(ISNA(MATCH(675,'Transfer Engine'!$C$2:$C$1369,0)),"",INDEX('Compliance Database'!$M$2:$M$1369,MATCH(675,'Transfer Engine'!$C$2:$C$1369,0)))</f>
        <v/>
      </c>
      <c r="N684" s="9">
        <f>IF(ISNA(MATCH(675,'Transfer Engine'!$C$2:$C$1369,0)),"",INDEX('Compliance Database'!$N$2:$N$1369,MATCH(675,'Transfer Engine'!$C$2:$C$1369,0)))</f>
        <v/>
      </c>
      <c r="O684" s="8">
        <f>IF(ISNA(MATCH(675,'Transfer Engine'!$C$2:$C$1369,0)),"",HYPERLINK(INDEX('Compliance Database'!$O$2:$O$1369,MATCH(675,'Transfer Engine'!$C$2:$C$1369,0)),"Open PDF"))</f>
        <v/>
      </c>
    </row>
    <row r="685" ht="188" customHeight="1">
      <c r="A685" s="8">
        <f>IF(ISNA(MATCH(676,'Transfer Engine'!$C$2:$C$1369,0)),"",INDEX('Compliance Database'!$A$2:$A$1369,MATCH(676,'Transfer Engine'!$C$2:$C$1369,0)))</f>
        <v/>
      </c>
      <c r="B685" s="8">
        <f>IF(ISNA(MATCH(676,'Transfer Engine'!$C$2:$C$1369,0)),"",INDEX('Compliance Database'!$B$2:$B$1369,MATCH(676,'Transfer Engine'!$C$2:$C$1369,0)))</f>
        <v/>
      </c>
      <c r="C685" s="8">
        <f>IF(ISNA(MATCH(676,'Transfer Engine'!$C$2:$C$1369,0)),"",INDEX('Compliance Database'!$C$2:$C$1369,MATCH(676,'Transfer Engine'!$C$2:$C$1369,0)))</f>
        <v/>
      </c>
      <c r="D685" s="9">
        <f>IF(ISNA(MATCH(676,'Transfer Engine'!$C$2:$C$1369,0)),"",INDEX('Compliance Database'!$D$2:$D$1369,MATCH(676,'Transfer Engine'!$C$2:$C$1369,0)))</f>
        <v/>
      </c>
      <c r="E685" s="8">
        <f>IF(ISNA(MATCH(676,'Transfer Engine'!$C$2:$C$1369,0)),"",INDEX('Compliance Database'!$E$2:$E$1369,MATCH(676,'Transfer Engine'!$C$2:$C$1369,0)))</f>
        <v/>
      </c>
      <c r="F685" s="8">
        <f>IF(ISNA(MATCH(676,'Transfer Engine'!$C$2:$C$1369,0)),"",INDEX('Compliance Database'!$F$2:$F$1369,MATCH(676,'Transfer Engine'!$C$2:$C$1369,0)))</f>
        <v/>
      </c>
      <c r="G685" s="8">
        <f>IF(ISNA(MATCH(676,'Transfer Engine'!$C$2:$C$1369,0)),"",INDEX('Compliance Database'!$G$2:$G$1369,MATCH(676,'Transfer Engine'!$C$2:$C$1369,0)))</f>
        <v/>
      </c>
      <c r="H685" s="9">
        <f>IF(ISNA(MATCH(676,'Transfer Engine'!$C$2:$C$1369,0)),"",INDEX('Compliance Database'!$H$2:$H$1369,MATCH(676,'Transfer Engine'!$C$2:$C$1369,0)))</f>
        <v/>
      </c>
      <c r="I685" s="9">
        <f>IF(ISNA(MATCH(676,'Transfer Engine'!$C$2:$C$1369,0)),"",INDEX('Compliance Database'!$I$2:$I$1369,MATCH(676,'Transfer Engine'!$C$2:$C$1369,0)))</f>
        <v/>
      </c>
      <c r="J685" s="8">
        <f>IF(ISNA(MATCH(676,'Transfer Engine'!$C$2:$C$1369,0)),"",INDEX('Compliance Database'!$J$2:$J$1369,MATCH(676,'Transfer Engine'!$C$2:$C$1369,0)))</f>
        <v/>
      </c>
      <c r="K685" s="9">
        <f>IF(ISNA(MATCH(676,'Transfer Engine'!$C$2:$C$1369,0)),"",INDEX('Compliance Database'!$K$2:$K$1369,MATCH(676,'Transfer Engine'!$C$2:$C$1369,0)))</f>
        <v/>
      </c>
      <c r="L685" s="9">
        <f>IF(ISNA(MATCH(676,'Transfer Engine'!$C$2:$C$1369,0)),"",INDEX('Compliance Database'!$L$2:$L$1369,MATCH(676,'Transfer Engine'!$C$2:$C$1369,0)))</f>
        <v/>
      </c>
      <c r="M685" s="9">
        <f>IF(ISNA(MATCH(676,'Transfer Engine'!$C$2:$C$1369,0)),"",INDEX('Compliance Database'!$M$2:$M$1369,MATCH(676,'Transfer Engine'!$C$2:$C$1369,0)))</f>
        <v/>
      </c>
      <c r="N685" s="9">
        <f>IF(ISNA(MATCH(676,'Transfer Engine'!$C$2:$C$1369,0)),"",INDEX('Compliance Database'!$N$2:$N$1369,MATCH(676,'Transfer Engine'!$C$2:$C$1369,0)))</f>
        <v/>
      </c>
      <c r="O685" s="8">
        <f>IF(ISNA(MATCH(676,'Transfer Engine'!$C$2:$C$1369,0)),"",HYPERLINK(INDEX('Compliance Database'!$O$2:$O$1369,MATCH(676,'Transfer Engine'!$C$2:$C$1369,0)),"Open PDF"))</f>
        <v/>
      </c>
    </row>
    <row r="686" ht="188" customHeight="1">
      <c r="A686" s="8">
        <f>IF(ISNA(MATCH(677,'Transfer Engine'!$C$2:$C$1369,0)),"",INDEX('Compliance Database'!$A$2:$A$1369,MATCH(677,'Transfer Engine'!$C$2:$C$1369,0)))</f>
        <v/>
      </c>
      <c r="B686" s="8">
        <f>IF(ISNA(MATCH(677,'Transfer Engine'!$C$2:$C$1369,0)),"",INDEX('Compliance Database'!$B$2:$B$1369,MATCH(677,'Transfer Engine'!$C$2:$C$1369,0)))</f>
        <v/>
      </c>
      <c r="C686" s="8">
        <f>IF(ISNA(MATCH(677,'Transfer Engine'!$C$2:$C$1369,0)),"",INDEX('Compliance Database'!$C$2:$C$1369,MATCH(677,'Transfer Engine'!$C$2:$C$1369,0)))</f>
        <v/>
      </c>
      <c r="D686" s="9">
        <f>IF(ISNA(MATCH(677,'Transfer Engine'!$C$2:$C$1369,0)),"",INDEX('Compliance Database'!$D$2:$D$1369,MATCH(677,'Transfer Engine'!$C$2:$C$1369,0)))</f>
        <v/>
      </c>
      <c r="E686" s="8">
        <f>IF(ISNA(MATCH(677,'Transfer Engine'!$C$2:$C$1369,0)),"",INDEX('Compliance Database'!$E$2:$E$1369,MATCH(677,'Transfer Engine'!$C$2:$C$1369,0)))</f>
        <v/>
      </c>
      <c r="F686" s="8">
        <f>IF(ISNA(MATCH(677,'Transfer Engine'!$C$2:$C$1369,0)),"",INDEX('Compliance Database'!$F$2:$F$1369,MATCH(677,'Transfer Engine'!$C$2:$C$1369,0)))</f>
        <v/>
      </c>
      <c r="G686" s="8">
        <f>IF(ISNA(MATCH(677,'Transfer Engine'!$C$2:$C$1369,0)),"",INDEX('Compliance Database'!$G$2:$G$1369,MATCH(677,'Transfer Engine'!$C$2:$C$1369,0)))</f>
        <v/>
      </c>
      <c r="H686" s="9">
        <f>IF(ISNA(MATCH(677,'Transfer Engine'!$C$2:$C$1369,0)),"",INDEX('Compliance Database'!$H$2:$H$1369,MATCH(677,'Transfer Engine'!$C$2:$C$1369,0)))</f>
        <v/>
      </c>
      <c r="I686" s="9">
        <f>IF(ISNA(MATCH(677,'Transfer Engine'!$C$2:$C$1369,0)),"",INDEX('Compliance Database'!$I$2:$I$1369,MATCH(677,'Transfer Engine'!$C$2:$C$1369,0)))</f>
        <v/>
      </c>
      <c r="J686" s="8">
        <f>IF(ISNA(MATCH(677,'Transfer Engine'!$C$2:$C$1369,0)),"",INDEX('Compliance Database'!$J$2:$J$1369,MATCH(677,'Transfer Engine'!$C$2:$C$1369,0)))</f>
        <v/>
      </c>
      <c r="K686" s="9">
        <f>IF(ISNA(MATCH(677,'Transfer Engine'!$C$2:$C$1369,0)),"",INDEX('Compliance Database'!$K$2:$K$1369,MATCH(677,'Transfer Engine'!$C$2:$C$1369,0)))</f>
        <v/>
      </c>
      <c r="L686" s="9">
        <f>IF(ISNA(MATCH(677,'Transfer Engine'!$C$2:$C$1369,0)),"",INDEX('Compliance Database'!$L$2:$L$1369,MATCH(677,'Transfer Engine'!$C$2:$C$1369,0)))</f>
        <v/>
      </c>
      <c r="M686" s="9">
        <f>IF(ISNA(MATCH(677,'Transfer Engine'!$C$2:$C$1369,0)),"",INDEX('Compliance Database'!$M$2:$M$1369,MATCH(677,'Transfer Engine'!$C$2:$C$1369,0)))</f>
        <v/>
      </c>
      <c r="N686" s="9">
        <f>IF(ISNA(MATCH(677,'Transfer Engine'!$C$2:$C$1369,0)),"",INDEX('Compliance Database'!$N$2:$N$1369,MATCH(677,'Transfer Engine'!$C$2:$C$1369,0)))</f>
        <v/>
      </c>
      <c r="O686" s="8">
        <f>IF(ISNA(MATCH(677,'Transfer Engine'!$C$2:$C$1369,0)),"",HYPERLINK(INDEX('Compliance Database'!$O$2:$O$1369,MATCH(677,'Transfer Engine'!$C$2:$C$1369,0)),"Open PDF"))</f>
        <v/>
      </c>
    </row>
    <row r="687" ht="188" customHeight="1">
      <c r="A687" s="8">
        <f>IF(ISNA(MATCH(678,'Transfer Engine'!$C$2:$C$1369,0)),"",INDEX('Compliance Database'!$A$2:$A$1369,MATCH(678,'Transfer Engine'!$C$2:$C$1369,0)))</f>
        <v/>
      </c>
      <c r="B687" s="8">
        <f>IF(ISNA(MATCH(678,'Transfer Engine'!$C$2:$C$1369,0)),"",INDEX('Compliance Database'!$B$2:$B$1369,MATCH(678,'Transfer Engine'!$C$2:$C$1369,0)))</f>
        <v/>
      </c>
      <c r="C687" s="8">
        <f>IF(ISNA(MATCH(678,'Transfer Engine'!$C$2:$C$1369,0)),"",INDEX('Compliance Database'!$C$2:$C$1369,MATCH(678,'Transfer Engine'!$C$2:$C$1369,0)))</f>
        <v/>
      </c>
      <c r="D687" s="9">
        <f>IF(ISNA(MATCH(678,'Transfer Engine'!$C$2:$C$1369,0)),"",INDEX('Compliance Database'!$D$2:$D$1369,MATCH(678,'Transfer Engine'!$C$2:$C$1369,0)))</f>
        <v/>
      </c>
      <c r="E687" s="8">
        <f>IF(ISNA(MATCH(678,'Transfer Engine'!$C$2:$C$1369,0)),"",INDEX('Compliance Database'!$E$2:$E$1369,MATCH(678,'Transfer Engine'!$C$2:$C$1369,0)))</f>
        <v/>
      </c>
      <c r="F687" s="8">
        <f>IF(ISNA(MATCH(678,'Transfer Engine'!$C$2:$C$1369,0)),"",INDEX('Compliance Database'!$F$2:$F$1369,MATCH(678,'Transfer Engine'!$C$2:$C$1369,0)))</f>
        <v/>
      </c>
      <c r="G687" s="8">
        <f>IF(ISNA(MATCH(678,'Transfer Engine'!$C$2:$C$1369,0)),"",INDEX('Compliance Database'!$G$2:$G$1369,MATCH(678,'Transfer Engine'!$C$2:$C$1369,0)))</f>
        <v/>
      </c>
      <c r="H687" s="9">
        <f>IF(ISNA(MATCH(678,'Transfer Engine'!$C$2:$C$1369,0)),"",INDEX('Compliance Database'!$H$2:$H$1369,MATCH(678,'Transfer Engine'!$C$2:$C$1369,0)))</f>
        <v/>
      </c>
      <c r="I687" s="9">
        <f>IF(ISNA(MATCH(678,'Transfer Engine'!$C$2:$C$1369,0)),"",INDEX('Compliance Database'!$I$2:$I$1369,MATCH(678,'Transfer Engine'!$C$2:$C$1369,0)))</f>
        <v/>
      </c>
      <c r="J687" s="8">
        <f>IF(ISNA(MATCH(678,'Transfer Engine'!$C$2:$C$1369,0)),"",INDEX('Compliance Database'!$J$2:$J$1369,MATCH(678,'Transfer Engine'!$C$2:$C$1369,0)))</f>
        <v/>
      </c>
      <c r="K687" s="9">
        <f>IF(ISNA(MATCH(678,'Transfer Engine'!$C$2:$C$1369,0)),"",INDEX('Compliance Database'!$K$2:$K$1369,MATCH(678,'Transfer Engine'!$C$2:$C$1369,0)))</f>
        <v/>
      </c>
      <c r="L687" s="9">
        <f>IF(ISNA(MATCH(678,'Transfer Engine'!$C$2:$C$1369,0)),"",INDEX('Compliance Database'!$L$2:$L$1369,MATCH(678,'Transfer Engine'!$C$2:$C$1369,0)))</f>
        <v/>
      </c>
      <c r="M687" s="9">
        <f>IF(ISNA(MATCH(678,'Transfer Engine'!$C$2:$C$1369,0)),"",INDEX('Compliance Database'!$M$2:$M$1369,MATCH(678,'Transfer Engine'!$C$2:$C$1369,0)))</f>
        <v/>
      </c>
      <c r="N687" s="9">
        <f>IF(ISNA(MATCH(678,'Transfer Engine'!$C$2:$C$1369,0)),"",INDEX('Compliance Database'!$N$2:$N$1369,MATCH(678,'Transfer Engine'!$C$2:$C$1369,0)))</f>
        <v/>
      </c>
      <c r="O687" s="8">
        <f>IF(ISNA(MATCH(678,'Transfer Engine'!$C$2:$C$1369,0)),"",HYPERLINK(INDEX('Compliance Database'!$O$2:$O$1369,MATCH(678,'Transfer Engine'!$C$2:$C$1369,0)),"Open PDF"))</f>
        <v/>
      </c>
    </row>
    <row r="688" ht="188" customHeight="1">
      <c r="A688" s="8">
        <f>IF(ISNA(MATCH(679,'Transfer Engine'!$C$2:$C$1369,0)),"",INDEX('Compliance Database'!$A$2:$A$1369,MATCH(679,'Transfer Engine'!$C$2:$C$1369,0)))</f>
        <v/>
      </c>
      <c r="B688" s="8">
        <f>IF(ISNA(MATCH(679,'Transfer Engine'!$C$2:$C$1369,0)),"",INDEX('Compliance Database'!$B$2:$B$1369,MATCH(679,'Transfer Engine'!$C$2:$C$1369,0)))</f>
        <v/>
      </c>
      <c r="C688" s="8">
        <f>IF(ISNA(MATCH(679,'Transfer Engine'!$C$2:$C$1369,0)),"",INDEX('Compliance Database'!$C$2:$C$1369,MATCH(679,'Transfer Engine'!$C$2:$C$1369,0)))</f>
        <v/>
      </c>
      <c r="D688" s="9">
        <f>IF(ISNA(MATCH(679,'Transfer Engine'!$C$2:$C$1369,0)),"",INDEX('Compliance Database'!$D$2:$D$1369,MATCH(679,'Transfer Engine'!$C$2:$C$1369,0)))</f>
        <v/>
      </c>
      <c r="E688" s="8">
        <f>IF(ISNA(MATCH(679,'Transfer Engine'!$C$2:$C$1369,0)),"",INDEX('Compliance Database'!$E$2:$E$1369,MATCH(679,'Transfer Engine'!$C$2:$C$1369,0)))</f>
        <v/>
      </c>
      <c r="F688" s="8">
        <f>IF(ISNA(MATCH(679,'Transfer Engine'!$C$2:$C$1369,0)),"",INDEX('Compliance Database'!$F$2:$F$1369,MATCH(679,'Transfer Engine'!$C$2:$C$1369,0)))</f>
        <v/>
      </c>
      <c r="G688" s="8">
        <f>IF(ISNA(MATCH(679,'Transfer Engine'!$C$2:$C$1369,0)),"",INDEX('Compliance Database'!$G$2:$G$1369,MATCH(679,'Transfer Engine'!$C$2:$C$1369,0)))</f>
        <v/>
      </c>
      <c r="H688" s="9">
        <f>IF(ISNA(MATCH(679,'Transfer Engine'!$C$2:$C$1369,0)),"",INDEX('Compliance Database'!$H$2:$H$1369,MATCH(679,'Transfer Engine'!$C$2:$C$1369,0)))</f>
        <v/>
      </c>
      <c r="I688" s="9">
        <f>IF(ISNA(MATCH(679,'Transfer Engine'!$C$2:$C$1369,0)),"",INDEX('Compliance Database'!$I$2:$I$1369,MATCH(679,'Transfer Engine'!$C$2:$C$1369,0)))</f>
        <v/>
      </c>
      <c r="J688" s="8">
        <f>IF(ISNA(MATCH(679,'Transfer Engine'!$C$2:$C$1369,0)),"",INDEX('Compliance Database'!$J$2:$J$1369,MATCH(679,'Transfer Engine'!$C$2:$C$1369,0)))</f>
        <v/>
      </c>
      <c r="K688" s="9">
        <f>IF(ISNA(MATCH(679,'Transfer Engine'!$C$2:$C$1369,0)),"",INDEX('Compliance Database'!$K$2:$K$1369,MATCH(679,'Transfer Engine'!$C$2:$C$1369,0)))</f>
        <v/>
      </c>
      <c r="L688" s="9">
        <f>IF(ISNA(MATCH(679,'Transfer Engine'!$C$2:$C$1369,0)),"",INDEX('Compliance Database'!$L$2:$L$1369,MATCH(679,'Transfer Engine'!$C$2:$C$1369,0)))</f>
        <v/>
      </c>
      <c r="M688" s="9">
        <f>IF(ISNA(MATCH(679,'Transfer Engine'!$C$2:$C$1369,0)),"",INDEX('Compliance Database'!$M$2:$M$1369,MATCH(679,'Transfer Engine'!$C$2:$C$1369,0)))</f>
        <v/>
      </c>
      <c r="N688" s="9">
        <f>IF(ISNA(MATCH(679,'Transfer Engine'!$C$2:$C$1369,0)),"",INDEX('Compliance Database'!$N$2:$N$1369,MATCH(679,'Transfer Engine'!$C$2:$C$1369,0)))</f>
        <v/>
      </c>
      <c r="O688" s="8">
        <f>IF(ISNA(MATCH(679,'Transfer Engine'!$C$2:$C$1369,0)),"",HYPERLINK(INDEX('Compliance Database'!$O$2:$O$1369,MATCH(679,'Transfer Engine'!$C$2:$C$1369,0)),"Open PDF"))</f>
        <v/>
      </c>
    </row>
    <row r="689" ht="188" customHeight="1">
      <c r="A689" s="8">
        <f>IF(ISNA(MATCH(680,'Transfer Engine'!$C$2:$C$1369,0)),"",INDEX('Compliance Database'!$A$2:$A$1369,MATCH(680,'Transfer Engine'!$C$2:$C$1369,0)))</f>
        <v/>
      </c>
      <c r="B689" s="8">
        <f>IF(ISNA(MATCH(680,'Transfer Engine'!$C$2:$C$1369,0)),"",INDEX('Compliance Database'!$B$2:$B$1369,MATCH(680,'Transfer Engine'!$C$2:$C$1369,0)))</f>
        <v/>
      </c>
      <c r="C689" s="8">
        <f>IF(ISNA(MATCH(680,'Transfer Engine'!$C$2:$C$1369,0)),"",INDEX('Compliance Database'!$C$2:$C$1369,MATCH(680,'Transfer Engine'!$C$2:$C$1369,0)))</f>
        <v/>
      </c>
      <c r="D689" s="9">
        <f>IF(ISNA(MATCH(680,'Transfer Engine'!$C$2:$C$1369,0)),"",INDEX('Compliance Database'!$D$2:$D$1369,MATCH(680,'Transfer Engine'!$C$2:$C$1369,0)))</f>
        <v/>
      </c>
      <c r="E689" s="8">
        <f>IF(ISNA(MATCH(680,'Transfer Engine'!$C$2:$C$1369,0)),"",INDEX('Compliance Database'!$E$2:$E$1369,MATCH(680,'Transfer Engine'!$C$2:$C$1369,0)))</f>
        <v/>
      </c>
      <c r="F689" s="8">
        <f>IF(ISNA(MATCH(680,'Transfer Engine'!$C$2:$C$1369,0)),"",INDEX('Compliance Database'!$F$2:$F$1369,MATCH(680,'Transfer Engine'!$C$2:$C$1369,0)))</f>
        <v/>
      </c>
      <c r="G689" s="8">
        <f>IF(ISNA(MATCH(680,'Transfer Engine'!$C$2:$C$1369,0)),"",INDEX('Compliance Database'!$G$2:$G$1369,MATCH(680,'Transfer Engine'!$C$2:$C$1369,0)))</f>
        <v/>
      </c>
      <c r="H689" s="9">
        <f>IF(ISNA(MATCH(680,'Transfer Engine'!$C$2:$C$1369,0)),"",INDEX('Compliance Database'!$H$2:$H$1369,MATCH(680,'Transfer Engine'!$C$2:$C$1369,0)))</f>
        <v/>
      </c>
      <c r="I689" s="9">
        <f>IF(ISNA(MATCH(680,'Transfer Engine'!$C$2:$C$1369,0)),"",INDEX('Compliance Database'!$I$2:$I$1369,MATCH(680,'Transfer Engine'!$C$2:$C$1369,0)))</f>
        <v/>
      </c>
      <c r="J689" s="8">
        <f>IF(ISNA(MATCH(680,'Transfer Engine'!$C$2:$C$1369,0)),"",INDEX('Compliance Database'!$J$2:$J$1369,MATCH(680,'Transfer Engine'!$C$2:$C$1369,0)))</f>
        <v/>
      </c>
      <c r="K689" s="9">
        <f>IF(ISNA(MATCH(680,'Transfer Engine'!$C$2:$C$1369,0)),"",INDEX('Compliance Database'!$K$2:$K$1369,MATCH(680,'Transfer Engine'!$C$2:$C$1369,0)))</f>
        <v/>
      </c>
      <c r="L689" s="9">
        <f>IF(ISNA(MATCH(680,'Transfer Engine'!$C$2:$C$1369,0)),"",INDEX('Compliance Database'!$L$2:$L$1369,MATCH(680,'Transfer Engine'!$C$2:$C$1369,0)))</f>
        <v/>
      </c>
      <c r="M689" s="9">
        <f>IF(ISNA(MATCH(680,'Transfer Engine'!$C$2:$C$1369,0)),"",INDEX('Compliance Database'!$M$2:$M$1369,MATCH(680,'Transfer Engine'!$C$2:$C$1369,0)))</f>
        <v/>
      </c>
      <c r="N689" s="9">
        <f>IF(ISNA(MATCH(680,'Transfer Engine'!$C$2:$C$1369,0)),"",INDEX('Compliance Database'!$N$2:$N$1369,MATCH(680,'Transfer Engine'!$C$2:$C$1369,0)))</f>
        <v/>
      </c>
      <c r="O689" s="8">
        <f>IF(ISNA(MATCH(680,'Transfer Engine'!$C$2:$C$1369,0)),"",HYPERLINK(INDEX('Compliance Database'!$O$2:$O$1369,MATCH(680,'Transfer Engine'!$C$2:$C$1369,0)),"Open PDF"))</f>
        <v/>
      </c>
    </row>
    <row r="690" ht="188" customHeight="1">
      <c r="A690" s="8">
        <f>IF(ISNA(MATCH(681,'Transfer Engine'!$C$2:$C$1369,0)),"",INDEX('Compliance Database'!$A$2:$A$1369,MATCH(681,'Transfer Engine'!$C$2:$C$1369,0)))</f>
        <v/>
      </c>
      <c r="B690" s="8">
        <f>IF(ISNA(MATCH(681,'Transfer Engine'!$C$2:$C$1369,0)),"",INDEX('Compliance Database'!$B$2:$B$1369,MATCH(681,'Transfer Engine'!$C$2:$C$1369,0)))</f>
        <v/>
      </c>
      <c r="C690" s="8">
        <f>IF(ISNA(MATCH(681,'Transfer Engine'!$C$2:$C$1369,0)),"",INDEX('Compliance Database'!$C$2:$C$1369,MATCH(681,'Transfer Engine'!$C$2:$C$1369,0)))</f>
        <v/>
      </c>
      <c r="D690" s="9">
        <f>IF(ISNA(MATCH(681,'Transfer Engine'!$C$2:$C$1369,0)),"",INDEX('Compliance Database'!$D$2:$D$1369,MATCH(681,'Transfer Engine'!$C$2:$C$1369,0)))</f>
        <v/>
      </c>
      <c r="E690" s="8">
        <f>IF(ISNA(MATCH(681,'Transfer Engine'!$C$2:$C$1369,0)),"",INDEX('Compliance Database'!$E$2:$E$1369,MATCH(681,'Transfer Engine'!$C$2:$C$1369,0)))</f>
        <v/>
      </c>
      <c r="F690" s="8">
        <f>IF(ISNA(MATCH(681,'Transfer Engine'!$C$2:$C$1369,0)),"",INDEX('Compliance Database'!$F$2:$F$1369,MATCH(681,'Transfer Engine'!$C$2:$C$1369,0)))</f>
        <v/>
      </c>
      <c r="G690" s="8">
        <f>IF(ISNA(MATCH(681,'Transfer Engine'!$C$2:$C$1369,0)),"",INDEX('Compliance Database'!$G$2:$G$1369,MATCH(681,'Transfer Engine'!$C$2:$C$1369,0)))</f>
        <v/>
      </c>
      <c r="H690" s="9">
        <f>IF(ISNA(MATCH(681,'Transfer Engine'!$C$2:$C$1369,0)),"",INDEX('Compliance Database'!$H$2:$H$1369,MATCH(681,'Transfer Engine'!$C$2:$C$1369,0)))</f>
        <v/>
      </c>
      <c r="I690" s="9">
        <f>IF(ISNA(MATCH(681,'Transfer Engine'!$C$2:$C$1369,0)),"",INDEX('Compliance Database'!$I$2:$I$1369,MATCH(681,'Transfer Engine'!$C$2:$C$1369,0)))</f>
        <v/>
      </c>
      <c r="J690" s="8">
        <f>IF(ISNA(MATCH(681,'Transfer Engine'!$C$2:$C$1369,0)),"",INDEX('Compliance Database'!$J$2:$J$1369,MATCH(681,'Transfer Engine'!$C$2:$C$1369,0)))</f>
        <v/>
      </c>
      <c r="K690" s="9">
        <f>IF(ISNA(MATCH(681,'Transfer Engine'!$C$2:$C$1369,0)),"",INDEX('Compliance Database'!$K$2:$K$1369,MATCH(681,'Transfer Engine'!$C$2:$C$1369,0)))</f>
        <v/>
      </c>
      <c r="L690" s="9">
        <f>IF(ISNA(MATCH(681,'Transfer Engine'!$C$2:$C$1369,0)),"",INDEX('Compliance Database'!$L$2:$L$1369,MATCH(681,'Transfer Engine'!$C$2:$C$1369,0)))</f>
        <v/>
      </c>
      <c r="M690" s="9">
        <f>IF(ISNA(MATCH(681,'Transfer Engine'!$C$2:$C$1369,0)),"",INDEX('Compliance Database'!$M$2:$M$1369,MATCH(681,'Transfer Engine'!$C$2:$C$1369,0)))</f>
        <v/>
      </c>
      <c r="N690" s="9">
        <f>IF(ISNA(MATCH(681,'Transfer Engine'!$C$2:$C$1369,0)),"",INDEX('Compliance Database'!$N$2:$N$1369,MATCH(681,'Transfer Engine'!$C$2:$C$1369,0)))</f>
        <v/>
      </c>
      <c r="O690" s="8">
        <f>IF(ISNA(MATCH(681,'Transfer Engine'!$C$2:$C$1369,0)),"",HYPERLINK(INDEX('Compliance Database'!$O$2:$O$1369,MATCH(681,'Transfer Engine'!$C$2:$C$1369,0)),"Open PDF"))</f>
        <v/>
      </c>
    </row>
    <row r="691" ht="188" customHeight="1">
      <c r="A691" s="8">
        <f>IF(ISNA(MATCH(682,'Transfer Engine'!$C$2:$C$1369,0)),"",INDEX('Compliance Database'!$A$2:$A$1369,MATCH(682,'Transfer Engine'!$C$2:$C$1369,0)))</f>
        <v/>
      </c>
      <c r="B691" s="8">
        <f>IF(ISNA(MATCH(682,'Transfer Engine'!$C$2:$C$1369,0)),"",INDEX('Compliance Database'!$B$2:$B$1369,MATCH(682,'Transfer Engine'!$C$2:$C$1369,0)))</f>
        <v/>
      </c>
      <c r="C691" s="8">
        <f>IF(ISNA(MATCH(682,'Transfer Engine'!$C$2:$C$1369,0)),"",INDEX('Compliance Database'!$C$2:$C$1369,MATCH(682,'Transfer Engine'!$C$2:$C$1369,0)))</f>
        <v/>
      </c>
      <c r="D691" s="9">
        <f>IF(ISNA(MATCH(682,'Transfer Engine'!$C$2:$C$1369,0)),"",INDEX('Compliance Database'!$D$2:$D$1369,MATCH(682,'Transfer Engine'!$C$2:$C$1369,0)))</f>
        <v/>
      </c>
      <c r="E691" s="8">
        <f>IF(ISNA(MATCH(682,'Transfer Engine'!$C$2:$C$1369,0)),"",INDEX('Compliance Database'!$E$2:$E$1369,MATCH(682,'Transfer Engine'!$C$2:$C$1369,0)))</f>
        <v/>
      </c>
      <c r="F691" s="8">
        <f>IF(ISNA(MATCH(682,'Transfer Engine'!$C$2:$C$1369,0)),"",INDEX('Compliance Database'!$F$2:$F$1369,MATCH(682,'Transfer Engine'!$C$2:$C$1369,0)))</f>
        <v/>
      </c>
      <c r="G691" s="8">
        <f>IF(ISNA(MATCH(682,'Transfer Engine'!$C$2:$C$1369,0)),"",INDEX('Compliance Database'!$G$2:$G$1369,MATCH(682,'Transfer Engine'!$C$2:$C$1369,0)))</f>
        <v/>
      </c>
      <c r="H691" s="9">
        <f>IF(ISNA(MATCH(682,'Transfer Engine'!$C$2:$C$1369,0)),"",INDEX('Compliance Database'!$H$2:$H$1369,MATCH(682,'Transfer Engine'!$C$2:$C$1369,0)))</f>
        <v/>
      </c>
      <c r="I691" s="9">
        <f>IF(ISNA(MATCH(682,'Transfer Engine'!$C$2:$C$1369,0)),"",INDEX('Compliance Database'!$I$2:$I$1369,MATCH(682,'Transfer Engine'!$C$2:$C$1369,0)))</f>
        <v/>
      </c>
      <c r="J691" s="8">
        <f>IF(ISNA(MATCH(682,'Transfer Engine'!$C$2:$C$1369,0)),"",INDEX('Compliance Database'!$J$2:$J$1369,MATCH(682,'Transfer Engine'!$C$2:$C$1369,0)))</f>
        <v/>
      </c>
      <c r="K691" s="9">
        <f>IF(ISNA(MATCH(682,'Transfer Engine'!$C$2:$C$1369,0)),"",INDEX('Compliance Database'!$K$2:$K$1369,MATCH(682,'Transfer Engine'!$C$2:$C$1369,0)))</f>
        <v/>
      </c>
      <c r="L691" s="9">
        <f>IF(ISNA(MATCH(682,'Transfer Engine'!$C$2:$C$1369,0)),"",INDEX('Compliance Database'!$L$2:$L$1369,MATCH(682,'Transfer Engine'!$C$2:$C$1369,0)))</f>
        <v/>
      </c>
      <c r="M691" s="9">
        <f>IF(ISNA(MATCH(682,'Transfer Engine'!$C$2:$C$1369,0)),"",INDEX('Compliance Database'!$M$2:$M$1369,MATCH(682,'Transfer Engine'!$C$2:$C$1369,0)))</f>
        <v/>
      </c>
      <c r="N691" s="9">
        <f>IF(ISNA(MATCH(682,'Transfer Engine'!$C$2:$C$1369,0)),"",INDEX('Compliance Database'!$N$2:$N$1369,MATCH(682,'Transfer Engine'!$C$2:$C$1369,0)))</f>
        <v/>
      </c>
      <c r="O691" s="8">
        <f>IF(ISNA(MATCH(682,'Transfer Engine'!$C$2:$C$1369,0)),"",HYPERLINK(INDEX('Compliance Database'!$O$2:$O$1369,MATCH(682,'Transfer Engine'!$C$2:$C$1369,0)),"Open PDF"))</f>
        <v/>
      </c>
    </row>
    <row r="692" ht="188" customHeight="1">
      <c r="A692" s="8">
        <f>IF(ISNA(MATCH(683,'Transfer Engine'!$C$2:$C$1369,0)),"",INDEX('Compliance Database'!$A$2:$A$1369,MATCH(683,'Transfer Engine'!$C$2:$C$1369,0)))</f>
        <v/>
      </c>
      <c r="B692" s="8">
        <f>IF(ISNA(MATCH(683,'Transfer Engine'!$C$2:$C$1369,0)),"",INDEX('Compliance Database'!$B$2:$B$1369,MATCH(683,'Transfer Engine'!$C$2:$C$1369,0)))</f>
        <v/>
      </c>
      <c r="C692" s="8">
        <f>IF(ISNA(MATCH(683,'Transfer Engine'!$C$2:$C$1369,0)),"",INDEX('Compliance Database'!$C$2:$C$1369,MATCH(683,'Transfer Engine'!$C$2:$C$1369,0)))</f>
        <v/>
      </c>
      <c r="D692" s="9">
        <f>IF(ISNA(MATCH(683,'Transfer Engine'!$C$2:$C$1369,0)),"",INDEX('Compliance Database'!$D$2:$D$1369,MATCH(683,'Transfer Engine'!$C$2:$C$1369,0)))</f>
        <v/>
      </c>
      <c r="E692" s="8">
        <f>IF(ISNA(MATCH(683,'Transfer Engine'!$C$2:$C$1369,0)),"",INDEX('Compliance Database'!$E$2:$E$1369,MATCH(683,'Transfer Engine'!$C$2:$C$1369,0)))</f>
        <v/>
      </c>
      <c r="F692" s="8">
        <f>IF(ISNA(MATCH(683,'Transfer Engine'!$C$2:$C$1369,0)),"",INDEX('Compliance Database'!$F$2:$F$1369,MATCH(683,'Transfer Engine'!$C$2:$C$1369,0)))</f>
        <v/>
      </c>
      <c r="G692" s="8">
        <f>IF(ISNA(MATCH(683,'Transfer Engine'!$C$2:$C$1369,0)),"",INDEX('Compliance Database'!$G$2:$G$1369,MATCH(683,'Transfer Engine'!$C$2:$C$1369,0)))</f>
        <v/>
      </c>
      <c r="H692" s="9">
        <f>IF(ISNA(MATCH(683,'Transfer Engine'!$C$2:$C$1369,0)),"",INDEX('Compliance Database'!$H$2:$H$1369,MATCH(683,'Transfer Engine'!$C$2:$C$1369,0)))</f>
        <v/>
      </c>
      <c r="I692" s="9">
        <f>IF(ISNA(MATCH(683,'Transfer Engine'!$C$2:$C$1369,0)),"",INDEX('Compliance Database'!$I$2:$I$1369,MATCH(683,'Transfer Engine'!$C$2:$C$1369,0)))</f>
        <v/>
      </c>
      <c r="J692" s="8">
        <f>IF(ISNA(MATCH(683,'Transfer Engine'!$C$2:$C$1369,0)),"",INDEX('Compliance Database'!$J$2:$J$1369,MATCH(683,'Transfer Engine'!$C$2:$C$1369,0)))</f>
        <v/>
      </c>
      <c r="K692" s="9">
        <f>IF(ISNA(MATCH(683,'Transfer Engine'!$C$2:$C$1369,0)),"",INDEX('Compliance Database'!$K$2:$K$1369,MATCH(683,'Transfer Engine'!$C$2:$C$1369,0)))</f>
        <v/>
      </c>
      <c r="L692" s="9">
        <f>IF(ISNA(MATCH(683,'Transfer Engine'!$C$2:$C$1369,0)),"",INDEX('Compliance Database'!$L$2:$L$1369,MATCH(683,'Transfer Engine'!$C$2:$C$1369,0)))</f>
        <v/>
      </c>
      <c r="M692" s="9">
        <f>IF(ISNA(MATCH(683,'Transfer Engine'!$C$2:$C$1369,0)),"",INDEX('Compliance Database'!$M$2:$M$1369,MATCH(683,'Transfer Engine'!$C$2:$C$1369,0)))</f>
        <v/>
      </c>
      <c r="N692" s="9">
        <f>IF(ISNA(MATCH(683,'Transfer Engine'!$C$2:$C$1369,0)),"",INDEX('Compliance Database'!$N$2:$N$1369,MATCH(683,'Transfer Engine'!$C$2:$C$1369,0)))</f>
        <v/>
      </c>
      <c r="O692" s="8">
        <f>IF(ISNA(MATCH(683,'Transfer Engine'!$C$2:$C$1369,0)),"",HYPERLINK(INDEX('Compliance Database'!$O$2:$O$1369,MATCH(683,'Transfer Engine'!$C$2:$C$1369,0)),"Open PDF"))</f>
        <v/>
      </c>
    </row>
    <row r="693" ht="188" customHeight="1">
      <c r="A693" s="8">
        <f>IF(ISNA(MATCH(684,'Transfer Engine'!$C$2:$C$1369,0)),"",INDEX('Compliance Database'!$A$2:$A$1369,MATCH(684,'Transfer Engine'!$C$2:$C$1369,0)))</f>
        <v/>
      </c>
      <c r="B693" s="8">
        <f>IF(ISNA(MATCH(684,'Transfer Engine'!$C$2:$C$1369,0)),"",INDEX('Compliance Database'!$B$2:$B$1369,MATCH(684,'Transfer Engine'!$C$2:$C$1369,0)))</f>
        <v/>
      </c>
      <c r="C693" s="8">
        <f>IF(ISNA(MATCH(684,'Transfer Engine'!$C$2:$C$1369,0)),"",INDEX('Compliance Database'!$C$2:$C$1369,MATCH(684,'Transfer Engine'!$C$2:$C$1369,0)))</f>
        <v/>
      </c>
      <c r="D693" s="9">
        <f>IF(ISNA(MATCH(684,'Transfer Engine'!$C$2:$C$1369,0)),"",INDEX('Compliance Database'!$D$2:$D$1369,MATCH(684,'Transfer Engine'!$C$2:$C$1369,0)))</f>
        <v/>
      </c>
      <c r="E693" s="8">
        <f>IF(ISNA(MATCH(684,'Transfer Engine'!$C$2:$C$1369,0)),"",INDEX('Compliance Database'!$E$2:$E$1369,MATCH(684,'Transfer Engine'!$C$2:$C$1369,0)))</f>
        <v/>
      </c>
      <c r="F693" s="8">
        <f>IF(ISNA(MATCH(684,'Transfer Engine'!$C$2:$C$1369,0)),"",INDEX('Compliance Database'!$F$2:$F$1369,MATCH(684,'Transfer Engine'!$C$2:$C$1369,0)))</f>
        <v/>
      </c>
      <c r="G693" s="8">
        <f>IF(ISNA(MATCH(684,'Transfer Engine'!$C$2:$C$1369,0)),"",INDEX('Compliance Database'!$G$2:$G$1369,MATCH(684,'Transfer Engine'!$C$2:$C$1369,0)))</f>
        <v/>
      </c>
      <c r="H693" s="9">
        <f>IF(ISNA(MATCH(684,'Transfer Engine'!$C$2:$C$1369,0)),"",INDEX('Compliance Database'!$H$2:$H$1369,MATCH(684,'Transfer Engine'!$C$2:$C$1369,0)))</f>
        <v/>
      </c>
      <c r="I693" s="9">
        <f>IF(ISNA(MATCH(684,'Transfer Engine'!$C$2:$C$1369,0)),"",INDEX('Compliance Database'!$I$2:$I$1369,MATCH(684,'Transfer Engine'!$C$2:$C$1369,0)))</f>
        <v/>
      </c>
      <c r="J693" s="8">
        <f>IF(ISNA(MATCH(684,'Transfer Engine'!$C$2:$C$1369,0)),"",INDEX('Compliance Database'!$J$2:$J$1369,MATCH(684,'Transfer Engine'!$C$2:$C$1369,0)))</f>
        <v/>
      </c>
      <c r="K693" s="9">
        <f>IF(ISNA(MATCH(684,'Transfer Engine'!$C$2:$C$1369,0)),"",INDEX('Compliance Database'!$K$2:$K$1369,MATCH(684,'Transfer Engine'!$C$2:$C$1369,0)))</f>
        <v/>
      </c>
      <c r="L693" s="9">
        <f>IF(ISNA(MATCH(684,'Transfer Engine'!$C$2:$C$1369,0)),"",INDEX('Compliance Database'!$L$2:$L$1369,MATCH(684,'Transfer Engine'!$C$2:$C$1369,0)))</f>
        <v/>
      </c>
      <c r="M693" s="9">
        <f>IF(ISNA(MATCH(684,'Transfer Engine'!$C$2:$C$1369,0)),"",INDEX('Compliance Database'!$M$2:$M$1369,MATCH(684,'Transfer Engine'!$C$2:$C$1369,0)))</f>
        <v/>
      </c>
      <c r="N693" s="9">
        <f>IF(ISNA(MATCH(684,'Transfer Engine'!$C$2:$C$1369,0)),"",INDEX('Compliance Database'!$N$2:$N$1369,MATCH(684,'Transfer Engine'!$C$2:$C$1369,0)))</f>
        <v/>
      </c>
      <c r="O693" s="8">
        <f>IF(ISNA(MATCH(684,'Transfer Engine'!$C$2:$C$1369,0)),"",HYPERLINK(INDEX('Compliance Database'!$O$2:$O$1369,MATCH(684,'Transfer Engine'!$C$2:$C$1369,0)),"Open PDF"))</f>
        <v/>
      </c>
    </row>
    <row r="694" ht="188" customHeight="1">
      <c r="A694" s="8">
        <f>IF(ISNA(MATCH(685,'Transfer Engine'!$C$2:$C$1369,0)),"",INDEX('Compliance Database'!$A$2:$A$1369,MATCH(685,'Transfer Engine'!$C$2:$C$1369,0)))</f>
        <v/>
      </c>
      <c r="B694" s="8">
        <f>IF(ISNA(MATCH(685,'Transfer Engine'!$C$2:$C$1369,0)),"",INDEX('Compliance Database'!$B$2:$B$1369,MATCH(685,'Transfer Engine'!$C$2:$C$1369,0)))</f>
        <v/>
      </c>
      <c r="C694" s="8">
        <f>IF(ISNA(MATCH(685,'Transfer Engine'!$C$2:$C$1369,0)),"",INDEX('Compliance Database'!$C$2:$C$1369,MATCH(685,'Transfer Engine'!$C$2:$C$1369,0)))</f>
        <v/>
      </c>
      <c r="D694" s="9">
        <f>IF(ISNA(MATCH(685,'Transfer Engine'!$C$2:$C$1369,0)),"",INDEX('Compliance Database'!$D$2:$D$1369,MATCH(685,'Transfer Engine'!$C$2:$C$1369,0)))</f>
        <v/>
      </c>
      <c r="E694" s="8">
        <f>IF(ISNA(MATCH(685,'Transfer Engine'!$C$2:$C$1369,0)),"",INDEX('Compliance Database'!$E$2:$E$1369,MATCH(685,'Transfer Engine'!$C$2:$C$1369,0)))</f>
        <v/>
      </c>
      <c r="F694" s="8">
        <f>IF(ISNA(MATCH(685,'Transfer Engine'!$C$2:$C$1369,0)),"",INDEX('Compliance Database'!$F$2:$F$1369,MATCH(685,'Transfer Engine'!$C$2:$C$1369,0)))</f>
        <v/>
      </c>
      <c r="G694" s="8">
        <f>IF(ISNA(MATCH(685,'Transfer Engine'!$C$2:$C$1369,0)),"",INDEX('Compliance Database'!$G$2:$G$1369,MATCH(685,'Transfer Engine'!$C$2:$C$1369,0)))</f>
        <v/>
      </c>
      <c r="H694" s="9">
        <f>IF(ISNA(MATCH(685,'Transfer Engine'!$C$2:$C$1369,0)),"",INDEX('Compliance Database'!$H$2:$H$1369,MATCH(685,'Transfer Engine'!$C$2:$C$1369,0)))</f>
        <v/>
      </c>
      <c r="I694" s="9">
        <f>IF(ISNA(MATCH(685,'Transfer Engine'!$C$2:$C$1369,0)),"",INDEX('Compliance Database'!$I$2:$I$1369,MATCH(685,'Transfer Engine'!$C$2:$C$1369,0)))</f>
        <v/>
      </c>
      <c r="J694" s="8">
        <f>IF(ISNA(MATCH(685,'Transfer Engine'!$C$2:$C$1369,0)),"",INDEX('Compliance Database'!$J$2:$J$1369,MATCH(685,'Transfer Engine'!$C$2:$C$1369,0)))</f>
        <v/>
      </c>
      <c r="K694" s="9">
        <f>IF(ISNA(MATCH(685,'Transfer Engine'!$C$2:$C$1369,0)),"",INDEX('Compliance Database'!$K$2:$K$1369,MATCH(685,'Transfer Engine'!$C$2:$C$1369,0)))</f>
        <v/>
      </c>
      <c r="L694" s="9">
        <f>IF(ISNA(MATCH(685,'Transfer Engine'!$C$2:$C$1369,0)),"",INDEX('Compliance Database'!$L$2:$L$1369,MATCH(685,'Transfer Engine'!$C$2:$C$1369,0)))</f>
        <v/>
      </c>
      <c r="M694" s="9">
        <f>IF(ISNA(MATCH(685,'Transfer Engine'!$C$2:$C$1369,0)),"",INDEX('Compliance Database'!$M$2:$M$1369,MATCH(685,'Transfer Engine'!$C$2:$C$1369,0)))</f>
        <v/>
      </c>
      <c r="N694" s="9">
        <f>IF(ISNA(MATCH(685,'Transfer Engine'!$C$2:$C$1369,0)),"",INDEX('Compliance Database'!$N$2:$N$1369,MATCH(685,'Transfer Engine'!$C$2:$C$1369,0)))</f>
        <v/>
      </c>
      <c r="O694" s="8">
        <f>IF(ISNA(MATCH(685,'Transfer Engine'!$C$2:$C$1369,0)),"",HYPERLINK(INDEX('Compliance Database'!$O$2:$O$1369,MATCH(685,'Transfer Engine'!$C$2:$C$1369,0)),"Open PDF"))</f>
        <v/>
      </c>
    </row>
    <row r="695" ht="188" customHeight="1">
      <c r="A695" s="8">
        <f>IF(ISNA(MATCH(686,'Transfer Engine'!$C$2:$C$1369,0)),"",INDEX('Compliance Database'!$A$2:$A$1369,MATCH(686,'Transfer Engine'!$C$2:$C$1369,0)))</f>
        <v/>
      </c>
      <c r="B695" s="8">
        <f>IF(ISNA(MATCH(686,'Transfer Engine'!$C$2:$C$1369,0)),"",INDEX('Compliance Database'!$B$2:$B$1369,MATCH(686,'Transfer Engine'!$C$2:$C$1369,0)))</f>
        <v/>
      </c>
      <c r="C695" s="8">
        <f>IF(ISNA(MATCH(686,'Transfer Engine'!$C$2:$C$1369,0)),"",INDEX('Compliance Database'!$C$2:$C$1369,MATCH(686,'Transfer Engine'!$C$2:$C$1369,0)))</f>
        <v/>
      </c>
      <c r="D695" s="9">
        <f>IF(ISNA(MATCH(686,'Transfer Engine'!$C$2:$C$1369,0)),"",INDEX('Compliance Database'!$D$2:$D$1369,MATCH(686,'Transfer Engine'!$C$2:$C$1369,0)))</f>
        <v/>
      </c>
      <c r="E695" s="8">
        <f>IF(ISNA(MATCH(686,'Transfer Engine'!$C$2:$C$1369,0)),"",INDEX('Compliance Database'!$E$2:$E$1369,MATCH(686,'Transfer Engine'!$C$2:$C$1369,0)))</f>
        <v/>
      </c>
      <c r="F695" s="8">
        <f>IF(ISNA(MATCH(686,'Transfer Engine'!$C$2:$C$1369,0)),"",INDEX('Compliance Database'!$F$2:$F$1369,MATCH(686,'Transfer Engine'!$C$2:$C$1369,0)))</f>
        <v/>
      </c>
      <c r="G695" s="8">
        <f>IF(ISNA(MATCH(686,'Transfer Engine'!$C$2:$C$1369,0)),"",INDEX('Compliance Database'!$G$2:$G$1369,MATCH(686,'Transfer Engine'!$C$2:$C$1369,0)))</f>
        <v/>
      </c>
      <c r="H695" s="9">
        <f>IF(ISNA(MATCH(686,'Transfer Engine'!$C$2:$C$1369,0)),"",INDEX('Compliance Database'!$H$2:$H$1369,MATCH(686,'Transfer Engine'!$C$2:$C$1369,0)))</f>
        <v/>
      </c>
      <c r="I695" s="9">
        <f>IF(ISNA(MATCH(686,'Transfer Engine'!$C$2:$C$1369,0)),"",INDEX('Compliance Database'!$I$2:$I$1369,MATCH(686,'Transfer Engine'!$C$2:$C$1369,0)))</f>
        <v/>
      </c>
      <c r="J695" s="8">
        <f>IF(ISNA(MATCH(686,'Transfer Engine'!$C$2:$C$1369,0)),"",INDEX('Compliance Database'!$J$2:$J$1369,MATCH(686,'Transfer Engine'!$C$2:$C$1369,0)))</f>
        <v/>
      </c>
      <c r="K695" s="9">
        <f>IF(ISNA(MATCH(686,'Transfer Engine'!$C$2:$C$1369,0)),"",INDEX('Compliance Database'!$K$2:$K$1369,MATCH(686,'Transfer Engine'!$C$2:$C$1369,0)))</f>
        <v/>
      </c>
      <c r="L695" s="9">
        <f>IF(ISNA(MATCH(686,'Transfer Engine'!$C$2:$C$1369,0)),"",INDEX('Compliance Database'!$L$2:$L$1369,MATCH(686,'Transfer Engine'!$C$2:$C$1369,0)))</f>
        <v/>
      </c>
      <c r="M695" s="9">
        <f>IF(ISNA(MATCH(686,'Transfer Engine'!$C$2:$C$1369,0)),"",INDEX('Compliance Database'!$M$2:$M$1369,MATCH(686,'Transfer Engine'!$C$2:$C$1369,0)))</f>
        <v/>
      </c>
      <c r="N695" s="9">
        <f>IF(ISNA(MATCH(686,'Transfer Engine'!$C$2:$C$1369,0)),"",INDEX('Compliance Database'!$N$2:$N$1369,MATCH(686,'Transfer Engine'!$C$2:$C$1369,0)))</f>
        <v/>
      </c>
      <c r="O695" s="8">
        <f>IF(ISNA(MATCH(686,'Transfer Engine'!$C$2:$C$1369,0)),"",HYPERLINK(INDEX('Compliance Database'!$O$2:$O$1369,MATCH(686,'Transfer Engine'!$C$2:$C$1369,0)),"Open PDF"))</f>
        <v/>
      </c>
    </row>
    <row r="696" ht="188" customHeight="1">
      <c r="A696" s="8">
        <f>IF(ISNA(MATCH(687,'Transfer Engine'!$C$2:$C$1369,0)),"",INDEX('Compliance Database'!$A$2:$A$1369,MATCH(687,'Transfer Engine'!$C$2:$C$1369,0)))</f>
        <v/>
      </c>
      <c r="B696" s="8">
        <f>IF(ISNA(MATCH(687,'Transfer Engine'!$C$2:$C$1369,0)),"",INDEX('Compliance Database'!$B$2:$B$1369,MATCH(687,'Transfer Engine'!$C$2:$C$1369,0)))</f>
        <v/>
      </c>
      <c r="C696" s="8">
        <f>IF(ISNA(MATCH(687,'Transfer Engine'!$C$2:$C$1369,0)),"",INDEX('Compliance Database'!$C$2:$C$1369,MATCH(687,'Transfer Engine'!$C$2:$C$1369,0)))</f>
        <v/>
      </c>
      <c r="D696" s="9">
        <f>IF(ISNA(MATCH(687,'Transfer Engine'!$C$2:$C$1369,0)),"",INDEX('Compliance Database'!$D$2:$D$1369,MATCH(687,'Transfer Engine'!$C$2:$C$1369,0)))</f>
        <v/>
      </c>
      <c r="E696" s="8">
        <f>IF(ISNA(MATCH(687,'Transfer Engine'!$C$2:$C$1369,0)),"",INDEX('Compliance Database'!$E$2:$E$1369,MATCH(687,'Transfer Engine'!$C$2:$C$1369,0)))</f>
        <v/>
      </c>
      <c r="F696" s="8">
        <f>IF(ISNA(MATCH(687,'Transfer Engine'!$C$2:$C$1369,0)),"",INDEX('Compliance Database'!$F$2:$F$1369,MATCH(687,'Transfer Engine'!$C$2:$C$1369,0)))</f>
        <v/>
      </c>
      <c r="G696" s="8">
        <f>IF(ISNA(MATCH(687,'Transfer Engine'!$C$2:$C$1369,0)),"",INDEX('Compliance Database'!$G$2:$G$1369,MATCH(687,'Transfer Engine'!$C$2:$C$1369,0)))</f>
        <v/>
      </c>
      <c r="H696" s="9">
        <f>IF(ISNA(MATCH(687,'Transfer Engine'!$C$2:$C$1369,0)),"",INDEX('Compliance Database'!$H$2:$H$1369,MATCH(687,'Transfer Engine'!$C$2:$C$1369,0)))</f>
        <v/>
      </c>
      <c r="I696" s="9">
        <f>IF(ISNA(MATCH(687,'Transfer Engine'!$C$2:$C$1369,0)),"",INDEX('Compliance Database'!$I$2:$I$1369,MATCH(687,'Transfer Engine'!$C$2:$C$1369,0)))</f>
        <v/>
      </c>
      <c r="J696" s="8">
        <f>IF(ISNA(MATCH(687,'Transfer Engine'!$C$2:$C$1369,0)),"",INDEX('Compliance Database'!$J$2:$J$1369,MATCH(687,'Transfer Engine'!$C$2:$C$1369,0)))</f>
        <v/>
      </c>
      <c r="K696" s="9">
        <f>IF(ISNA(MATCH(687,'Transfer Engine'!$C$2:$C$1369,0)),"",INDEX('Compliance Database'!$K$2:$K$1369,MATCH(687,'Transfer Engine'!$C$2:$C$1369,0)))</f>
        <v/>
      </c>
      <c r="L696" s="9">
        <f>IF(ISNA(MATCH(687,'Transfer Engine'!$C$2:$C$1369,0)),"",INDEX('Compliance Database'!$L$2:$L$1369,MATCH(687,'Transfer Engine'!$C$2:$C$1369,0)))</f>
        <v/>
      </c>
      <c r="M696" s="9">
        <f>IF(ISNA(MATCH(687,'Transfer Engine'!$C$2:$C$1369,0)),"",INDEX('Compliance Database'!$M$2:$M$1369,MATCH(687,'Transfer Engine'!$C$2:$C$1369,0)))</f>
        <v/>
      </c>
      <c r="N696" s="9">
        <f>IF(ISNA(MATCH(687,'Transfer Engine'!$C$2:$C$1369,0)),"",INDEX('Compliance Database'!$N$2:$N$1369,MATCH(687,'Transfer Engine'!$C$2:$C$1369,0)))</f>
        <v/>
      </c>
      <c r="O696" s="8">
        <f>IF(ISNA(MATCH(687,'Transfer Engine'!$C$2:$C$1369,0)),"",HYPERLINK(INDEX('Compliance Database'!$O$2:$O$1369,MATCH(687,'Transfer Engine'!$C$2:$C$1369,0)),"Open PDF"))</f>
        <v/>
      </c>
    </row>
    <row r="697" ht="188" customHeight="1">
      <c r="A697" s="8">
        <f>IF(ISNA(MATCH(688,'Transfer Engine'!$C$2:$C$1369,0)),"",INDEX('Compliance Database'!$A$2:$A$1369,MATCH(688,'Transfer Engine'!$C$2:$C$1369,0)))</f>
        <v/>
      </c>
      <c r="B697" s="8">
        <f>IF(ISNA(MATCH(688,'Transfer Engine'!$C$2:$C$1369,0)),"",INDEX('Compliance Database'!$B$2:$B$1369,MATCH(688,'Transfer Engine'!$C$2:$C$1369,0)))</f>
        <v/>
      </c>
      <c r="C697" s="8">
        <f>IF(ISNA(MATCH(688,'Transfer Engine'!$C$2:$C$1369,0)),"",INDEX('Compliance Database'!$C$2:$C$1369,MATCH(688,'Transfer Engine'!$C$2:$C$1369,0)))</f>
        <v/>
      </c>
      <c r="D697" s="9">
        <f>IF(ISNA(MATCH(688,'Transfer Engine'!$C$2:$C$1369,0)),"",INDEX('Compliance Database'!$D$2:$D$1369,MATCH(688,'Transfer Engine'!$C$2:$C$1369,0)))</f>
        <v/>
      </c>
      <c r="E697" s="8">
        <f>IF(ISNA(MATCH(688,'Transfer Engine'!$C$2:$C$1369,0)),"",INDEX('Compliance Database'!$E$2:$E$1369,MATCH(688,'Transfer Engine'!$C$2:$C$1369,0)))</f>
        <v/>
      </c>
      <c r="F697" s="8">
        <f>IF(ISNA(MATCH(688,'Transfer Engine'!$C$2:$C$1369,0)),"",INDEX('Compliance Database'!$F$2:$F$1369,MATCH(688,'Transfer Engine'!$C$2:$C$1369,0)))</f>
        <v/>
      </c>
      <c r="G697" s="8">
        <f>IF(ISNA(MATCH(688,'Transfer Engine'!$C$2:$C$1369,0)),"",INDEX('Compliance Database'!$G$2:$G$1369,MATCH(688,'Transfer Engine'!$C$2:$C$1369,0)))</f>
        <v/>
      </c>
      <c r="H697" s="9">
        <f>IF(ISNA(MATCH(688,'Transfer Engine'!$C$2:$C$1369,0)),"",INDEX('Compliance Database'!$H$2:$H$1369,MATCH(688,'Transfer Engine'!$C$2:$C$1369,0)))</f>
        <v/>
      </c>
      <c r="I697" s="9">
        <f>IF(ISNA(MATCH(688,'Transfer Engine'!$C$2:$C$1369,0)),"",INDEX('Compliance Database'!$I$2:$I$1369,MATCH(688,'Transfer Engine'!$C$2:$C$1369,0)))</f>
        <v/>
      </c>
      <c r="J697" s="8">
        <f>IF(ISNA(MATCH(688,'Transfer Engine'!$C$2:$C$1369,0)),"",INDEX('Compliance Database'!$J$2:$J$1369,MATCH(688,'Transfer Engine'!$C$2:$C$1369,0)))</f>
        <v/>
      </c>
      <c r="K697" s="9">
        <f>IF(ISNA(MATCH(688,'Transfer Engine'!$C$2:$C$1369,0)),"",INDEX('Compliance Database'!$K$2:$K$1369,MATCH(688,'Transfer Engine'!$C$2:$C$1369,0)))</f>
        <v/>
      </c>
      <c r="L697" s="9">
        <f>IF(ISNA(MATCH(688,'Transfer Engine'!$C$2:$C$1369,0)),"",INDEX('Compliance Database'!$L$2:$L$1369,MATCH(688,'Transfer Engine'!$C$2:$C$1369,0)))</f>
        <v/>
      </c>
      <c r="M697" s="9">
        <f>IF(ISNA(MATCH(688,'Transfer Engine'!$C$2:$C$1369,0)),"",INDEX('Compliance Database'!$M$2:$M$1369,MATCH(688,'Transfer Engine'!$C$2:$C$1369,0)))</f>
        <v/>
      </c>
      <c r="N697" s="9">
        <f>IF(ISNA(MATCH(688,'Transfer Engine'!$C$2:$C$1369,0)),"",INDEX('Compliance Database'!$N$2:$N$1369,MATCH(688,'Transfer Engine'!$C$2:$C$1369,0)))</f>
        <v/>
      </c>
      <c r="O697" s="8">
        <f>IF(ISNA(MATCH(688,'Transfer Engine'!$C$2:$C$1369,0)),"",HYPERLINK(INDEX('Compliance Database'!$O$2:$O$1369,MATCH(688,'Transfer Engine'!$C$2:$C$1369,0)),"Open PDF"))</f>
        <v/>
      </c>
    </row>
    <row r="698" ht="188" customHeight="1">
      <c r="A698" s="8">
        <f>IF(ISNA(MATCH(689,'Transfer Engine'!$C$2:$C$1369,0)),"",INDEX('Compliance Database'!$A$2:$A$1369,MATCH(689,'Transfer Engine'!$C$2:$C$1369,0)))</f>
        <v/>
      </c>
      <c r="B698" s="8">
        <f>IF(ISNA(MATCH(689,'Transfer Engine'!$C$2:$C$1369,0)),"",INDEX('Compliance Database'!$B$2:$B$1369,MATCH(689,'Transfer Engine'!$C$2:$C$1369,0)))</f>
        <v/>
      </c>
      <c r="C698" s="8">
        <f>IF(ISNA(MATCH(689,'Transfer Engine'!$C$2:$C$1369,0)),"",INDEX('Compliance Database'!$C$2:$C$1369,MATCH(689,'Transfer Engine'!$C$2:$C$1369,0)))</f>
        <v/>
      </c>
      <c r="D698" s="9">
        <f>IF(ISNA(MATCH(689,'Transfer Engine'!$C$2:$C$1369,0)),"",INDEX('Compliance Database'!$D$2:$D$1369,MATCH(689,'Transfer Engine'!$C$2:$C$1369,0)))</f>
        <v/>
      </c>
      <c r="E698" s="8">
        <f>IF(ISNA(MATCH(689,'Transfer Engine'!$C$2:$C$1369,0)),"",INDEX('Compliance Database'!$E$2:$E$1369,MATCH(689,'Transfer Engine'!$C$2:$C$1369,0)))</f>
        <v/>
      </c>
      <c r="F698" s="8">
        <f>IF(ISNA(MATCH(689,'Transfer Engine'!$C$2:$C$1369,0)),"",INDEX('Compliance Database'!$F$2:$F$1369,MATCH(689,'Transfer Engine'!$C$2:$C$1369,0)))</f>
        <v/>
      </c>
      <c r="G698" s="8">
        <f>IF(ISNA(MATCH(689,'Transfer Engine'!$C$2:$C$1369,0)),"",INDEX('Compliance Database'!$G$2:$G$1369,MATCH(689,'Transfer Engine'!$C$2:$C$1369,0)))</f>
        <v/>
      </c>
      <c r="H698" s="9">
        <f>IF(ISNA(MATCH(689,'Transfer Engine'!$C$2:$C$1369,0)),"",INDEX('Compliance Database'!$H$2:$H$1369,MATCH(689,'Transfer Engine'!$C$2:$C$1369,0)))</f>
        <v/>
      </c>
      <c r="I698" s="9">
        <f>IF(ISNA(MATCH(689,'Transfer Engine'!$C$2:$C$1369,0)),"",INDEX('Compliance Database'!$I$2:$I$1369,MATCH(689,'Transfer Engine'!$C$2:$C$1369,0)))</f>
        <v/>
      </c>
      <c r="J698" s="8">
        <f>IF(ISNA(MATCH(689,'Transfer Engine'!$C$2:$C$1369,0)),"",INDEX('Compliance Database'!$J$2:$J$1369,MATCH(689,'Transfer Engine'!$C$2:$C$1369,0)))</f>
        <v/>
      </c>
      <c r="K698" s="9">
        <f>IF(ISNA(MATCH(689,'Transfer Engine'!$C$2:$C$1369,0)),"",INDEX('Compliance Database'!$K$2:$K$1369,MATCH(689,'Transfer Engine'!$C$2:$C$1369,0)))</f>
        <v/>
      </c>
      <c r="L698" s="9">
        <f>IF(ISNA(MATCH(689,'Transfer Engine'!$C$2:$C$1369,0)),"",INDEX('Compliance Database'!$L$2:$L$1369,MATCH(689,'Transfer Engine'!$C$2:$C$1369,0)))</f>
        <v/>
      </c>
      <c r="M698" s="9">
        <f>IF(ISNA(MATCH(689,'Transfer Engine'!$C$2:$C$1369,0)),"",INDEX('Compliance Database'!$M$2:$M$1369,MATCH(689,'Transfer Engine'!$C$2:$C$1369,0)))</f>
        <v/>
      </c>
      <c r="N698" s="9">
        <f>IF(ISNA(MATCH(689,'Transfer Engine'!$C$2:$C$1369,0)),"",INDEX('Compliance Database'!$N$2:$N$1369,MATCH(689,'Transfer Engine'!$C$2:$C$1369,0)))</f>
        <v/>
      </c>
      <c r="O698" s="8">
        <f>IF(ISNA(MATCH(689,'Transfer Engine'!$C$2:$C$1369,0)),"",HYPERLINK(INDEX('Compliance Database'!$O$2:$O$1369,MATCH(689,'Transfer Engine'!$C$2:$C$1369,0)),"Open PDF"))</f>
        <v/>
      </c>
    </row>
    <row r="699" ht="188" customHeight="1">
      <c r="A699" s="8">
        <f>IF(ISNA(MATCH(690,'Transfer Engine'!$C$2:$C$1369,0)),"",INDEX('Compliance Database'!$A$2:$A$1369,MATCH(690,'Transfer Engine'!$C$2:$C$1369,0)))</f>
        <v/>
      </c>
      <c r="B699" s="8">
        <f>IF(ISNA(MATCH(690,'Transfer Engine'!$C$2:$C$1369,0)),"",INDEX('Compliance Database'!$B$2:$B$1369,MATCH(690,'Transfer Engine'!$C$2:$C$1369,0)))</f>
        <v/>
      </c>
      <c r="C699" s="8">
        <f>IF(ISNA(MATCH(690,'Transfer Engine'!$C$2:$C$1369,0)),"",INDEX('Compliance Database'!$C$2:$C$1369,MATCH(690,'Transfer Engine'!$C$2:$C$1369,0)))</f>
        <v/>
      </c>
      <c r="D699" s="9">
        <f>IF(ISNA(MATCH(690,'Transfer Engine'!$C$2:$C$1369,0)),"",INDEX('Compliance Database'!$D$2:$D$1369,MATCH(690,'Transfer Engine'!$C$2:$C$1369,0)))</f>
        <v/>
      </c>
      <c r="E699" s="8">
        <f>IF(ISNA(MATCH(690,'Transfer Engine'!$C$2:$C$1369,0)),"",INDEX('Compliance Database'!$E$2:$E$1369,MATCH(690,'Transfer Engine'!$C$2:$C$1369,0)))</f>
        <v/>
      </c>
      <c r="F699" s="8">
        <f>IF(ISNA(MATCH(690,'Transfer Engine'!$C$2:$C$1369,0)),"",INDEX('Compliance Database'!$F$2:$F$1369,MATCH(690,'Transfer Engine'!$C$2:$C$1369,0)))</f>
        <v/>
      </c>
      <c r="G699" s="8">
        <f>IF(ISNA(MATCH(690,'Transfer Engine'!$C$2:$C$1369,0)),"",INDEX('Compliance Database'!$G$2:$G$1369,MATCH(690,'Transfer Engine'!$C$2:$C$1369,0)))</f>
        <v/>
      </c>
      <c r="H699" s="9">
        <f>IF(ISNA(MATCH(690,'Transfer Engine'!$C$2:$C$1369,0)),"",INDEX('Compliance Database'!$H$2:$H$1369,MATCH(690,'Transfer Engine'!$C$2:$C$1369,0)))</f>
        <v/>
      </c>
      <c r="I699" s="9">
        <f>IF(ISNA(MATCH(690,'Transfer Engine'!$C$2:$C$1369,0)),"",INDEX('Compliance Database'!$I$2:$I$1369,MATCH(690,'Transfer Engine'!$C$2:$C$1369,0)))</f>
        <v/>
      </c>
      <c r="J699" s="8">
        <f>IF(ISNA(MATCH(690,'Transfer Engine'!$C$2:$C$1369,0)),"",INDEX('Compliance Database'!$J$2:$J$1369,MATCH(690,'Transfer Engine'!$C$2:$C$1369,0)))</f>
        <v/>
      </c>
      <c r="K699" s="9">
        <f>IF(ISNA(MATCH(690,'Transfer Engine'!$C$2:$C$1369,0)),"",INDEX('Compliance Database'!$K$2:$K$1369,MATCH(690,'Transfer Engine'!$C$2:$C$1369,0)))</f>
        <v/>
      </c>
      <c r="L699" s="9">
        <f>IF(ISNA(MATCH(690,'Transfer Engine'!$C$2:$C$1369,0)),"",INDEX('Compliance Database'!$L$2:$L$1369,MATCH(690,'Transfer Engine'!$C$2:$C$1369,0)))</f>
        <v/>
      </c>
      <c r="M699" s="9">
        <f>IF(ISNA(MATCH(690,'Transfer Engine'!$C$2:$C$1369,0)),"",INDEX('Compliance Database'!$M$2:$M$1369,MATCH(690,'Transfer Engine'!$C$2:$C$1369,0)))</f>
        <v/>
      </c>
      <c r="N699" s="9">
        <f>IF(ISNA(MATCH(690,'Transfer Engine'!$C$2:$C$1369,0)),"",INDEX('Compliance Database'!$N$2:$N$1369,MATCH(690,'Transfer Engine'!$C$2:$C$1369,0)))</f>
        <v/>
      </c>
      <c r="O699" s="8">
        <f>IF(ISNA(MATCH(690,'Transfer Engine'!$C$2:$C$1369,0)),"",HYPERLINK(INDEX('Compliance Database'!$O$2:$O$1369,MATCH(690,'Transfer Engine'!$C$2:$C$1369,0)),"Open PDF"))</f>
        <v/>
      </c>
    </row>
    <row r="700" ht="188" customHeight="1">
      <c r="A700" s="8">
        <f>IF(ISNA(MATCH(691,'Transfer Engine'!$C$2:$C$1369,0)),"",INDEX('Compliance Database'!$A$2:$A$1369,MATCH(691,'Transfer Engine'!$C$2:$C$1369,0)))</f>
        <v/>
      </c>
      <c r="B700" s="8">
        <f>IF(ISNA(MATCH(691,'Transfer Engine'!$C$2:$C$1369,0)),"",INDEX('Compliance Database'!$B$2:$B$1369,MATCH(691,'Transfer Engine'!$C$2:$C$1369,0)))</f>
        <v/>
      </c>
      <c r="C700" s="8">
        <f>IF(ISNA(MATCH(691,'Transfer Engine'!$C$2:$C$1369,0)),"",INDEX('Compliance Database'!$C$2:$C$1369,MATCH(691,'Transfer Engine'!$C$2:$C$1369,0)))</f>
        <v/>
      </c>
      <c r="D700" s="9">
        <f>IF(ISNA(MATCH(691,'Transfer Engine'!$C$2:$C$1369,0)),"",INDEX('Compliance Database'!$D$2:$D$1369,MATCH(691,'Transfer Engine'!$C$2:$C$1369,0)))</f>
        <v/>
      </c>
      <c r="E700" s="8">
        <f>IF(ISNA(MATCH(691,'Transfer Engine'!$C$2:$C$1369,0)),"",INDEX('Compliance Database'!$E$2:$E$1369,MATCH(691,'Transfer Engine'!$C$2:$C$1369,0)))</f>
        <v/>
      </c>
      <c r="F700" s="8">
        <f>IF(ISNA(MATCH(691,'Transfer Engine'!$C$2:$C$1369,0)),"",INDEX('Compliance Database'!$F$2:$F$1369,MATCH(691,'Transfer Engine'!$C$2:$C$1369,0)))</f>
        <v/>
      </c>
      <c r="G700" s="8">
        <f>IF(ISNA(MATCH(691,'Transfer Engine'!$C$2:$C$1369,0)),"",INDEX('Compliance Database'!$G$2:$G$1369,MATCH(691,'Transfer Engine'!$C$2:$C$1369,0)))</f>
        <v/>
      </c>
      <c r="H700" s="9">
        <f>IF(ISNA(MATCH(691,'Transfer Engine'!$C$2:$C$1369,0)),"",INDEX('Compliance Database'!$H$2:$H$1369,MATCH(691,'Transfer Engine'!$C$2:$C$1369,0)))</f>
        <v/>
      </c>
      <c r="I700" s="9">
        <f>IF(ISNA(MATCH(691,'Transfer Engine'!$C$2:$C$1369,0)),"",INDEX('Compliance Database'!$I$2:$I$1369,MATCH(691,'Transfer Engine'!$C$2:$C$1369,0)))</f>
        <v/>
      </c>
      <c r="J700" s="8">
        <f>IF(ISNA(MATCH(691,'Transfer Engine'!$C$2:$C$1369,0)),"",INDEX('Compliance Database'!$J$2:$J$1369,MATCH(691,'Transfer Engine'!$C$2:$C$1369,0)))</f>
        <v/>
      </c>
      <c r="K700" s="9">
        <f>IF(ISNA(MATCH(691,'Transfer Engine'!$C$2:$C$1369,0)),"",INDEX('Compliance Database'!$K$2:$K$1369,MATCH(691,'Transfer Engine'!$C$2:$C$1369,0)))</f>
        <v/>
      </c>
      <c r="L700" s="9">
        <f>IF(ISNA(MATCH(691,'Transfer Engine'!$C$2:$C$1369,0)),"",INDEX('Compliance Database'!$L$2:$L$1369,MATCH(691,'Transfer Engine'!$C$2:$C$1369,0)))</f>
        <v/>
      </c>
      <c r="M700" s="9">
        <f>IF(ISNA(MATCH(691,'Transfer Engine'!$C$2:$C$1369,0)),"",INDEX('Compliance Database'!$M$2:$M$1369,MATCH(691,'Transfer Engine'!$C$2:$C$1369,0)))</f>
        <v/>
      </c>
      <c r="N700" s="9">
        <f>IF(ISNA(MATCH(691,'Transfer Engine'!$C$2:$C$1369,0)),"",INDEX('Compliance Database'!$N$2:$N$1369,MATCH(691,'Transfer Engine'!$C$2:$C$1369,0)))</f>
        <v/>
      </c>
      <c r="O700" s="8">
        <f>IF(ISNA(MATCH(691,'Transfer Engine'!$C$2:$C$1369,0)),"",HYPERLINK(INDEX('Compliance Database'!$O$2:$O$1369,MATCH(691,'Transfer Engine'!$C$2:$C$1369,0)),"Open PDF"))</f>
        <v/>
      </c>
    </row>
    <row r="701" ht="188" customHeight="1">
      <c r="A701" s="8">
        <f>IF(ISNA(MATCH(692,'Transfer Engine'!$C$2:$C$1369,0)),"",INDEX('Compliance Database'!$A$2:$A$1369,MATCH(692,'Transfer Engine'!$C$2:$C$1369,0)))</f>
        <v/>
      </c>
      <c r="B701" s="8">
        <f>IF(ISNA(MATCH(692,'Transfer Engine'!$C$2:$C$1369,0)),"",INDEX('Compliance Database'!$B$2:$B$1369,MATCH(692,'Transfer Engine'!$C$2:$C$1369,0)))</f>
        <v/>
      </c>
      <c r="C701" s="8">
        <f>IF(ISNA(MATCH(692,'Transfer Engine'!$C$2:$C$1369,0)),"",INDEX('Compliance Database'!$C$2:$C$1369,MATCH(692,'Transfer Engine'!$C$2:$C$1369,0)))</f>
        <v/>
      </c>
      <c r="D701" s="9">
        <f>IF(ISNA(MATCH(692,'Transfer Engine'!$C$2:$C$1369,0)),"",INDEX('Compliance Database'!$D$2:$D$1369,MATCH(692,'Transfer Engine'!$C$2:$C$1369,0)))</f>
        <v/>
      </c>
      <c r="E701" s="8">
        <f>IF(ISNA(MATCH(692,'Transfer Engine'!$C$2:$C$1369,0)),"",INDEX('Compliance Database'!$E$2:$E$1369,MATCH(692,'Transfer Engine'!$C$2:$C$1369,0)))</f>
        <v/>
      </c>
      <c r="F701" s="8">
        <f>IF(ISNA(MATCH(692,'Transfer Engine'!$C$2:$C$1369,0)),"",INDEX('Compliance Database'!$F$2:$F$1369,MATCH(692,'Transfer Engine'!$C$2:$C$1369,0)))</f>
        <v/>
      </c>
      <c r="G701" s="8">
        <f>IF(ISNA(MATCH(692,'Transfer Engine'!$C$2:$C$1369,0)),"",INDEX('Compliance Database'!$G$2:$G$1369,MATCH(692,'Transfer Engine'!$C$2:$C$1369,0)))</f>
        <v/>
      </c>
      <c r="H701" s="9">
        <f>IF(ISNA(MATCH(692,'Transfer Engine'!$C$2:$C$1369,0)),"",INDEX('Compliance Database'!$H$2:$H$1369,MATCH(692,'Transfer Engine'!$C$2:$C$1369,0)))</f>
        <v/>
      </c>
      <c r="I701" s="9">
        <f>IF(ISNA(MATCH(692,'Transfer Engine'!$C$2:$C$1369,0)),"",INDEX('Compliance Database'!$I$2:$I$1369,MATCH(692,'Transfer Engine'!$C$2:$C$1369,0)))</f>
        <v/>
      </c>
      <c r="J701" s="8">
        <f>IF(ISNA(MATCH(692,'Transfer Engine'!$C$2:$C$1369,0)),"",INDEX('Compliance Database'!$J$2:$J$1369,MATCH(692,'Transfer Engine'!$C$2:$C$1369,0)))</f>
        <v/>
      </c>
      <c r="K701" s="9">
        <f>IF(ISNA(MATCH(692,'Transfer Engine'!$C$2:$C$1369,0)),"",INDEX('Compliance Database'!$K$2:$K$1369,MATCH(692,'Transfer Engine'!$C$2:$C$1369,0)))</f>
        <v/>
      </c>
      <c r="L701" s="9">
        <f>IF(ISNA(MATCH(692,'Transfer Engine'!$C$2:$C$1369,0)),"",INDEX('Compliance Database'!$L$2:$L$1369,MATCH(692,'Transfer Engine'!$C$2:$C$1369,0)))</f>
        <v/>
      </c>
      <c r="M701" s="9">
        <f>IF(ISNA(MATCH(692,'Transfer Engine'!$C$2:$C$1369,0)),"",INDEX('Compliance Database'!$M$2:$M$1369,MATCH(692,'Transfer Engine'!$C$2:$C$1369,0)))</f>
        <v/>
      </c>
      <c r="N701" s="9">
        <f>IF(ISNA(MATCH(692,'Transfer Engine'!$C$2:$C$1369,0)),"",INDEX('Compliance Database'!$N$2:$N$1369,MATCH(692,'Transfer Engine'!$C$2:$C$1369,0)))</f>
        <v/>
      </c>
      <c r="O701" s="8">
        <f>IF(ISNA(MATCH(692,'Transfer Engine'!$C$2:$C$1369,0)),"",HYPERLINK(INDEX('Compliance Database'!$O$2:$O$1369,MATCH(692,'Transfer Engine'!$C$2:$C$1369,0)),"Open PDF"))</f>
        <v/>
      </c>
    </row>
    <row r="702" ht="188" customHeight="1">
      <c r="A702" s="8">
        <f>IF(ISNA(MATCH(693,'Transfer Engine'!$C$2:$C$1369,0)),"",INDEX('Compliance Database'!$A$2:$A$1369,MATCH(693,'Transfer Engine'!$C$2:$C$1369,0)))</f>
        <v/>
      </c>
      <c r="B702" s="8">
        <f>IF(ISNA(MATCH(693,'Transfer Engine'!$C$2:$C$1369,0)),"",INDEX('Compliance Database'!$B$2:$B$1369,MATCH(693,'Transfer Engine'!$C$2:$C$1369,0)))</f>
        <v/>
      </c>
      <c r="C702" s="8">
        <f>IF(ISNA(MATCH(693,'Transfer Engine'!$C$2:$C$1369,0)),"",INDEX('Compliance Database'!$C$2:$C$1369,MATCH(693,'Transfer Engine'!$C$2:$C$1369,0)))</f>
        <v/>
      </c>
      <c r="D702" s="9">
        <f>IF(ISNA(MATCH(693,'Transfer Engine'!$C$2:$C$1369,0)),"",INDEX('Compliance Database'!$D$2:$D$1369,MATCH(693,'Transfer Engine'!$C$2:$C$1369,0)))</f>
        <v/>
      </c>
      <c r="E702" s="8">
        <f>IF(ISNA(MATCH(693,'Transfer Engine'!$C$2:$C$1369,0)),"",INDEX('Compliance Database'!$E$2:$E$1369,MATCH(693,'Transfer Engine'!$C$2:$C$1369,0)))</f>
        <v/>
      </c>
      <c r="F702" s="8">
        <f>IF(ISNA(MATCH(693,'Transfer Engine'!$C$2:$C$1369,0)),"",INDEX('Compliance Database'!$F$2:$F$1369,MATCH(693,'Transfer Engine'!$C$2:$C$1369,0)))</f>
        <v/>
      </c>
      <c r="G702" s="8">
        <f>IF(ISNA(MATCH(693,'Transfer Engine'!$C$2:$C$1369,0)),"",INDEX('Compliance Database'!$G$2:$G$1369,MATCH(693,'Transfer Engine'!$C$2:$C$1369,0)))</f>
        <v/>
      </c>
      <c r="H702" s="9">
        <f>IF(ISNA(MATCH(693,'Transfer Engine'!$C$2:$C$1369,0)),"",INDEX('Compliance Database'!$H$2:$H$1369,MATCH(693,'Transfer Engine'!$C$2:$C$1369,0)))</f>
        <v/>
      </c>
      <c r="I702" s="9">
        <f>IF(ISNA(MATCH(693,'Transfer Engine'!$C$2:$C$1369,0)),"",INDEX('Compliance Database'!$I$2:$I$1369,MATCH(693,'Transfer Engine'!$C$2:$C$1369,0)))</f>
        <v/>
      </c>
      <c r="J702" s="8">
        <f>IF(ISNA(MATCH(693,'Transfer Engine'!$C$2:$C$1369,0)),"",INDEX('Compliance Database'!$J$2:$J$1369,MATCH(693,'Transfer Engine'!$C$2:$C$1369,0)))</f>
        <v/>
      </c>
      <c r="K702" s="9">
        <f>IF(ISNA(MATCH(693,'Transfer Engine'!$C$2:$C$1369,0)),"",INDEX('Compliance Database'!$K$2:$K$1369,MATCH(693,'Transfer Engine'!$C$2:$C$1369,0)))</f>
        <v/>
      </c>
      <c r="L702" s="9">
        <f>IF(ISNA(MATCH(693,'Transfer Engine'!$C$2:$C$1369,0)),"",INDEX('Compliance Database'!$L$2:$L$1369,MATCH(693,'Transfer Engine'!$C$2:$C$1369,0)))</f>
        <v/>
      </c>
      <c r="M702" s="9">
        <f>IF(ISNA(MATCH(693,'Transfer Engine'!$C$2:$C$1369,0)),"",INDEX('Compliance Database'!$M$2:$M$1369,MATCH(693,'Transfer Engine'!$C$2:$C$1369,0)))</f>
        <v/>
      </c>
      <c r="N702" s="9">
        <f>IF(ISNA(MATCH(693,'Transfer Engine'!$C$2:$C$1369,0)),"",INDEX('Compliance Database'!$N$2:$N$1369,MATCH(693,'Transfer Engine'!$C$2:$C$1369,0)))</f>
        <v/>
      </c>
      <c r="O702" s="8">
        <f>IF(ISNA(MATCH(693,'Transfer Engine'!$C$2:$C$1369,0)),"",HYPERLINK(INDEX('Compliance Database'!$O$2:$O$1369,MATCH(693,'Transfer Engine'!$C$2:$C$1369,0)),"Open PDF"))</f>
        <v/>
      </c>
    </row>
    <row r="703" ht="188" customHeight="1">
      <c r="A703" s="8">
        <f>IF(ISNA(MATCH(694,'Transfer Engine'!$C$2:$C$1369,0)),"",INDEX('Compliance Database'!$A$2:$A$1369,MATCH(694,'Transfer Engine'!$C$2:$C$1369,0)))</f>
        <v/>
      </c>
      <c r="B703" s="8">
        <f>IF(ISNA(MATCH(694,'Transfer Engine'!$C$2:$C$1369,0)),"",INDEX('Compliance Database'!$B$2:$B$1369,MATCH(694,'Transfer Engine'!$C$2:$C$1369,0)))</f>
        <v/>
      </c>
      <c r="C703" s="8">
        <f>IF(ISNA(MATCH(694,'Transfer Engine'!$C$2:$C$1369,0)),"",INDEX('Compliance Database'!$C$2:$C$1369,MATCH(694,'Transfer Engine'!$C$2:$C$1369,0)))</f>
        <v/>
      </c>
      <c r="D703" s="9">
        <f>IF(ISNA(MATCH(694,'Transfer Engine'!$C$2:$C$1369,0)),"",INDEX('Compliance Database'!$D$2:$D$1369,MATCH(694,'Transfer Engine'!$C$2:$C$1369,0)))</f>
        <v/>
      </c>
      <c r="E703" s="8">
        <f>IF(ISNA(MATCH(694,'Transfer Engine'!$C$2:$C$1369,0)),"",INDEX('Compliance Database'!$E$2:$E$1369,MATCH(694,'Transfer Engine'!$C$2:$C$1369,0)))</f>
        <v/>
      </c>
      <c r="F703" s="8">
        <f>IF(ISNA(MATCH(694,'Transfer Engine'!$C$2:$C$1369,0)),"",INDEX('Compliance Database'!$F$2:$F$1369,MATCH(694,'Transfer Engine'!$C$2:$C$1369,0)))</f>
        <v/>
      </c>
      <c r="G703" s="8">
        <f>IF(ISNA(MATCH(694,'Transfer Engine'!$C$2:$C$1369,0)),"",INDEX('Compliance Database'!$G$2:$G$1369,MATCH(694,'Transfer Engine'!$C$2:$C$1369,0)))</f>
        <v/>
      </c>
      <c r="H703" s="9">
        <f>IF(ISNA(MATCH(694,'Transfer Engine'!$C$2:$C$1369,0)),"",INDEX('Compliance Database'!$H$2:$H$1369,MATCH(694,'Transfer Engine'!$C$2:$C$1369,0)))</f>
        <v/>
      </c>
      <c r="I703" s="9">
        <f>IF(ISNA(MATCH(694,'Transfer Engine'!$C$2:$C$1369,0)),"",INDEX('Compliance Database'!$I$2:$I$1369,MATCH(694,'Transfer Engine'!$C$2:$C$1369,0)))</f>
        <v/>
      </c>
      <c r="J703" s="8">
        <f>IF(ISNA(MATCH(694,'Transfer Engine'!$C$2:$C$1369,0)),"",INDEX('Compliance Database'!$J$2:$J$1369,MATCH(694,'Transfer Engine'!$C$2:$C$1369,0)))</f>
        <v/>
      </c>
      <c r="K703" s="9">
        <f>IF(ISNA(MATCH(694,'Transfer Engine'!$C$2:$C$1369,0)),"",INDEX('Compliance Database'!$K$2:$K$1369,MATCH(694,'Transfer Engine'!$C$2:$C$1369,0)))</f>
        <v/>
      </c>
      <c r="L703" s="9">
        <f>IF(ISNA(MATCH(694,'Transfer Engine'!$C$2:$C$1369,0)),"",INDEX('Compliance Database'!$L$2:$L$1369,MATCH(694,'Transfer Engine'!$C$2:$C$1369,0)))</f>
        <v/>
      </c>
      <c r="M703" s="9">
        <f>IF(ISNA(MATCH(694,'Transfer Engine'!$C$2:$C$1369,0)),"",INDEX('Compliance Database'!$M$2:$M$1369,MATCH(694,'Transfer Engine'!$C$2:$C$1369,0)))</f>
        <v/>
      </c>
      <c r="N703" s="9">
        <f>IF(ISNA(MATCH(694,'Transfer Engine'!$C$2:$C$1369,0)),"",INDEX('Compliance Database'!$N$2:$N$1369,MATCH(694,'Transfer Engine'!$C$2:$C$1369,0)))</f>
        <v/>
      </c>
      <c r="O703" s="8">
        <f>IF(ISNA(MATCH(694,'Transfer Engine'!$C$2:$C$1369,0)),"",HYPERLINK(INDEX('Compliance Database'!$O$2:$O$1369,MATCH(694,'Transfer Engine'!$C$2:$C$1369,0)),"Open PDF"))</f>
        <v/>
      </c>
    </row>
    <row r="704" ht="188" customHeight="1">
      <c r="A704" s="8">
        <f>IF(ISNA(MATCH(695,'Transfer Engine'!$C$2:$C$1369,0)),"",INDEX('Compliance Database'!$A$2:$A$1369,MATCH(695,'Transfer Engine'!$C$2:$C$1369,0)))</f>
        <v/>
      </c>
      <c r="B704" s="8">
        <f>IF(ISNA(MATCH(695,'Transfer Engine'!$C$2:$C$1369,0)),"",INDEX('Compliance Database'!$B$2:$B$1369,MATCH(695,'Transfer Engine'!$C$2:$C$1369,0)))</f>
        <v/>
      </c>
      <c r="C704" s="8">
        <f>IF(ISNA(MATCH(695,'Transfer Engine'!$C$2:$C$1369,0)),"",INDEX('Compliance Database'!$C$2:$C$1369,MATCH(695,'Transfer Engine'!$C$2:$C$1369,0)))</f>
        <v/>
      </c>
      <c r="D704" s="9">
        <f>IF(ISNA(MATCH(695,'Transfer Engine'!$C$2:$C$1369,0)),"",INDEX('Compliance Database'!$D$2:$D$1369,MATCH(695,'Transfer Engine'!$C$2:$C$1369,0)))</f>
        <v/>
      </c>
      <c r="E704" s="8">
        <f>IF(ISNA(MATCH(695,'Transfer Engine'!$C$2:$C$1369,0)),"",INDEX('Compliance Database'!$E$2:$E$1369,MATCH(695,'Transfer Engine'!$C$2:$C$1369,0)))</f>
        <v/>
      </c>
      <c r="F704" s="8">
        <f>IF(ISNA(MATCH(695,'Transfer Engine'!$C$2:$C$1369,0)),"",INDEX('Compliance Database'!$F$2:$F$1369,MATCH(695,'Transfer Engine'!$C$2:$C$1369,0)))</f>
        <v/>
      </c>
      <c r="G704" s="8">
        <f>IF(ISNA(MATCH(695,'Transfer Engine'!$C$2:$C$1369,0)),"",INDEX('Compliance Database'!$G$2:$G$1369,MATCH(695,'Transfer Engine'!$C$2:$C$1369,0)))</f>
        <v/>
      </c>
      <c r="H704" s="9">
        <f>IF(ISNA(MATCH(695,'Transfer Engine'!$C$2:$C$1369,0)),"",INDEX('Compliance Database'!$H$2:$H$1369,MATCH(695,'Transfer Engine'!$C$2:$C$1369,0)))</f>
        <v/>
      </c>
      <c r="I704" s="9">
        <f>IF(ISNA(MATCH(695,'Transfer Engine'!$C$2:$C$1369,0)),"",INDEX('Compliance Database'!$I$2:$I$1369,MATCH(695,'Transfer Engine'!$C$2:$C$1369,0)))</f>
        <v/>
      </c>
      <c r="J704" s="8">
        <f>IF(ISNA(MATCH(695,'Transfer Engine'!$C$2:$C$1369,0)),"",INDEX('Compliance Database'!$J$2:$J$1369,MATCH(695,'Transfer Engine'!$C$2:$C$1369,0)))</f>
        <v/>
      </c>
      <c r="K704" s="9">
        <f>IF(ISNA(MATCH(695,'Transfer Engine'!$C$2:$C$1369,0)),"",INDEX('Compliance Database'!$K$2:$K$1369,MATCH(695,'Transfer Engine'!$C$2:$C$1369,0)))</f>
        <v/>
      </c>
      <c r="L704" s="9">
        <f>IF(ISNA(MATCH(695,'Transfer Engine'!$C$2:$C$1369,0)),"",INDEX('Compliance Database'!$L$2:$L$1369,MATCH(695,'Transfer Engine'!$C$2:$C$1369,0)))</f>
        <v/>
      </c>
      <c r="M704" s="9">
        <f>IF(ISNA(MATCH(695,'Transfer Engine'!$C$2:$C$1369,0)),"",INDEX('Compliance Database'!$M$2:$M$1369,MATCH(695,'Transfer Engine'!$C$2:$C$1369,0)))</f>
        <v/>
      </c>
      <c r="N704" s="9">
        <f>IF(ISNA(MATCH(695,'Transfer Engine'!$C$2:$C$1369,0)),"",INDEX('Compliance Database'!$N$2:$N$1369,MATCH(695,'Transfer Engine'!$C$2:$C$1369,0)))</f>
        <v/>
      </c>
      <c r="O704" s="8">
        <f>IF(ISNA(MATCH(695,'Transfer Engine'!$C$2:$C$1369,0)),"",HYPERLINK(INDEX('Compliance Database'!$O$2:$O$1369,MATCH(695,'Transfer Engine'!$C$2:$C$1369,0)),"Open PDF"))</f>
        <v/>
      </c>
    </row>
    <row r="705" ht="188" customHeight="1">
      <c r="A705" s="8">
        <f>IF(ISNA(MATCH(696,'Transfer Engine'!$C$2:$C$1369,0)),"",INDEX('Compliance Database'!$A$2:$A$1369,MATCH(696,'Transfer Engine'!$C$2:$C$1369,0)))</f>
        <v/>
      </c>
      <c r="B705" s="8">
        <f>IF(ISNA(MATCH(696,'Transfer Engine'!$C$2:$C$1369,0)),"",INDEX('Compliance Database'!$B$2:$B$1369,MATCH(696,'Transfer Engine'!$C$2:$C$1369,0)))</f>
        <v/>
      </c>
      <c r="C705" s="8">
        <f>IF(ISNA(MATCH(696,'Transfer Engine'!$C$2:$C$1369,0)),"",INDEX('Compliance Database'!$C$2:$C$1369,MATCH(696,'Transfer Engine'!$C$2:$C$1369,0)))</f>
        <v/>
      </c>
      <c r="D705" s="9">
        <f>IF(ISNA(MATCH(696,'Transfer Engine'!$C$2:$C$1369,0)),"",INDEX('Compliance Database'!$D$2:$D$1369,MATCH(696,'Transfer Engine'!$C$2:$C$1369,0)))</f>
        <v/>
      </c>
      <c r="E705" s="8">
        <f>IF(ISNA(MATCH(696,'Transfer Engine'!$C$2:$C$1369,0)),"",INDEX('Compliance Database'!$E$2:$E$1369,MATCH(696,'Transfer Engine'!$C$2:$C$1369,0)))</f>
        <v/>
      </c>
      <c r="F705" s="8">
        <f>IF(ISNA(MATCH(696,'Transfer Engine'!$C$2:$C$1369,0)),"",INDEX('Compliance Database'!$F$2:$F$1369,MATCH(696,'Transfer Engine'!$C$2:$C$1369,0)))</f>
        <v/>
      </c>
      <c r="G705" s="8">
        <f>IF(ISNA(MATCH(696,'Transfer Engine'!$C$2:$C$1369,0)),"",INDEX('Compliance Database'!$G$2:$G$1369,MATCH(696,'Transfer Engine'!$C$2:$C$1369,0)))</f>
        <v/>
      </c>
      <c r="H705" s="9">
        <f>IF(ISNA(MATCH(696,'Transfer Engine'!$C$2:$C$1369,0)),"",INDEX('Compliance Database'!$H$2:$H$1369,MATCH(696,'Transfer Engine'!$C$2:$C$1369,0)))</f>
        <v/>
      </c>
      <c r="I705" s="9">
        <f>IF(ISNA(MATCH(696,'Transfer Engine'!$C$2:$C$1369,0)),"",INDEX('Compliance Database'!$I$2:$I$1369,MATCH(696,'Transfer Engine'!$C$2:$C$1369,0)))</f>
        <v/>
      </c>
      <c r="J705" s="8">
        <f>IF(ISNA(MATCH(696,'Transfer Engine'!$C$2:$C$1369,0)),"",INDEX('Compliance Database'!$J$2:$J$1369,MATCH(696,'Transfer Engine'!$C$2:$C$1369,0)))</f>
        <v/>
      </c>
      <c r="K705" s="9">
        <f>IF(ISNA(MATCH(696,'Transfer Engine'!$C$2:$C$1369,0)),"",INDEX('Compliance Database'!$K$2:$K$1369,MATCH(696,'Transfer Engine'!$C$2:$C$1369,0)))</f>
        <v/>
      </c>
      <c r="L705" s="9">
        <f>IF(ISNA(MATCH(696,'Transfer Engine'!$C$2:$C$1369,0)),"",INDEX('Compliance Database'!$L$2:$L$1369,MATCH(696,'Transfer Engine'!$C$2:$C$1369,0)))</f>
        <v/>
      </c>
      <c r="M705" s="9">
        <f>IF(ISNA(MATCH(696,'Transfer Engine'!$C$2:$C$1369,0)),"",INDEX('Compliance Database'!$M$2:$M$1369,MATCH(696,'Transfer Engine'!$C$2:$C$1369,0)))</f>
        <v/>
      </c>
      <c r="N705" s="9">
        <f>IF(ISNA(MATCH(696,'Transfer Engine'!$C$2:$C$1369,0)),"",INDEX('Compliance Database'!$N$2:$N$1369,MATCH(696,'Transfer Engine'!$C$2:$C$1369,0)))</f>
        <v/>
      </c>
      <c r="O705" s="8">
        <f>IF(ISNA(MATCH(696,'Transfer Engine'!$C$2:$C$1369,0)),"",HYPERLINK(INDEX('Compliance Database'!$O$2:$O$1369,MATCH(696,'Transfer Engine'!$C$2:$C$1369,0)),"Open PDF"))</f>
        <v/>
      </c>
    </row>
    <row r="706" ht="188" customHeight="1">
      <c r="A706" s="8">
        <f>IF(ISNA(MATCH(697,'Transfer Engine'!$C$2:$C$1369,0)),"",INDEX('Compliance Database'!$A$2:$A$1369,MATCH(697,'Transfer Engine'!$C$2:$C$1369,0)))</f>
        <v/>
      </c>
      <c r="B706" s="8">
        <f>IF(ISNA(MATCH(697,'Transfer Engine'!$C$2:$C$1369,0)),"",INDEX('Compliance Database'!$B$2:$B$1369,MATCH(697,'Transfer Engine'!$C$2:$C$1369,0)))</f>
        <v/>
      </c>
      <c r="C706" s="8">
        <f>IF(ISNA(MATCH(697,'Transfer Engine'!$C$2:$C$1369,0)),"",INDEX('Compliance Database'!$C$2:$C$1369,MATCH(697,'Transfer Engine'!$C$2:$C$1369,0)))</f>
        <v/>
      </c>
      <c r="D706" s="9">
        <f>IF(ISNA(MATCH(697,'Transfer Engine'!$C$2:$C$1369,0)),"",INDEX('Compliance Database'!$D$2:$D$1369,MATCH(697,'Transfer Engine'!$C$2:$C$1369,0)))</f>
        <v/>
      </c>
      <c r="E706" s="8">
        <f>IF(ISNA(MATCH(697,'Transfer Engine'!$C$2:$C$1369,0)),"",INDEX('Compliance Database'!$E$2:$E$1369,MATCH(697,'Transfer Engine'!$C$2:$C$1369,0)))</f>
        <v/>
      </c>
      <c r="F706" s="8">
        <f>IF(ISNA(MATCH(697,'Transfer Engine'!$C$2:$C$1369,0)),"",INDEX('Compliance Database'!$F$2:$F$1369,MATCH(697,'Transfer Engine'!$C$2:$C$1369,0)))</f>
        <v/>
      </c>
      <c r="G706" s="8">
        <f>IF(ISNA(MATCH(697,'Transfer Engine'!$C$2:$C$1369,0)),"",INDEX('Compliance Database'!$G$2:$G$1369,MATCH(697,'Transfer Engine'!$C$2:$C$1369,0)))</f>
        <v/>
      </c>
      <c r="H706" s="9">
        <f>IF(ISNA(MATCH(697,'Transfer Engine'!$C$2:$C$1369,0)),"",INDEX('Compliance Database'!$H$2:$H$1369,MATCH(697,'Transfer Engine'!$C$2:$C$1369,0)))</f>
        <v/>
      </c>
      <c r="I706" s="9">
        <f>IF(ISNA(MATCH(697,'Transfer Engine'!$C$2:$C$1369,0)),"",INDEX('Compliance Database'!$I$2:$I$1369,MATCH(697,'Transfer Engine'!$C$2:$C$1369,0)))</f>
        <v/>
      </c>
      <c r="J706" s="8">
        <f>IF(ISNA(MATCH(697,'Transfer Engine'!$C$2:$C$1369,0)),"",INDEX('Compliance Database'!$J$2:$J$1369,MATCH(697,'Transfer Engine'!$C$2:$C$1369,0)))</f>
        <v/>
      </c>
      <c r="K706" s="9">
        <f>IF(ISNA(MATCH(697,'Transfer Engine'!$C$2:$C$1369,0)),"",INDEX('Compliance Database'!$K$2:$K$1369,MATCH(697,'Transfer Engine'!$C$2:$C$1369,0)))</f>
        <v/>
      </c>
      <c r="L706" s="9">
        <f>IF(ISNA(MATCH(697,'Transfer Engine'!$C$2:$C$1369,0)),"",INDEX('Compliance Database'!$L$2:$L$1369,MATCH(697,'Transfer Engine'!$C$2:$C$1369,0)))</f>
        <v/>
      </c>
      <c r="M706" s="9">
        <f>IF(ISNA(MATCH(697,'Transfer Engine'!$C$2:$C$1369,0)),"",INDEX('Compliance Database'!$M$2:$M$1369,MATCH(697,'Transfer Engine'!$C$2:$C$1369,0)))</f>
        <v/>
      </c>
      <c r="N706" s="9">
        <f>IF(ISNA(MATCH(697,'Transfer Engine'!$C$2:$C$1369,0)),"",INDEX('Compliance Database'!$N$2:$N$1369,MATCH(697,'Transfer Engine'!$C$2:$C$1369,0)))</f>
        <v/>
      </c>
      <c r="O706" s="8">
        <f>IF(ISNA(MATCH(697,'Transfer Engine'!$C$2:$C$1369,0)),"",HYPERLINK(INDEX('Compliance Database'!$O$2:$O$1369,MATCH(697,'Transfer Engine'!$C$2:$C$1369,0)),"Open PDF"))</f>
        <v/>
      </c>
    </row>
    <row r="707" ht="188" customHeight="1">
      <c r="A707" s="8">
        <f>IF(ISNA(MATCH(698,'Transfer Engine'!$C$2:$C$1369,0)),"",INDEX('Compliance Database'!$A$2:$A$1369,MATCH(698,'Transfer Engine'!$C$2:$C$1369,0)))</f>
        <v/>
      </c>
      <c r="B707" s="8">
        <f>IF(ISNA(MATCH(698,'Transfer Engine'!$C$2:$C$1369,0)),"",INDEX('Compliance Database'!$B$2:$B$1369,MATCH(698,'Transfer Engine'!$C$2:$C$1369,0)))</f>
        <v/>
      </c>
      <c r="C707" s="8">
        <f>IF(ISNA(MATCH(698,'Transfer Engine'!$C$2:$C$1369,0)),"",INDEX('Compliance Database'!$C$2:$C$1369,MATCH(698,'Transfer Engine'!$C$2:$C$1369,0)))</f>
        <v/>
      </c>
      <c r="D707" s="9">
        <f>IF(ISNA(MATCH(698,'Transfer Engine'!$C$2:$C$1369,0)),"",INDEX('Compliance Database'!$D$2:$D$1369,MATCH(698,'Transfer Engine'!$C$2:$C$1369,0)))</f>
        <v/>
      </c>
      <c r="E707" s="8">
        <f>IF(ISNA(MATCH(698,'Transfer Engine'!$C$2:$C$1369,0)),"",INDEX('Compliance Database'!$E$2:$E$1369,MATCH(698,'Transfer Engine'!$C$2:$C$1369,0)))</f>
        <v/>
      </c>
      <c r="F707" s="8">
        <f>IF(ISNA(MATCH(698,'Transfer Engine'!$C$2:$C$1369,0)),"",INDEX('Compliance Database'!$F$2:$F$1369,MATCH(698,'Transfer Engine'!$C$2:$C$1369,0)))</f>
        <v/>
      </c>
      <c r="G707" s="8">
        <f>IF(ISNA(MATCH(698,'Transfer Engine'!$C$2:$C$1369,0)),"",INDEX('Compliance Database'!$G$2:$G$1369,MATCH(698,'Transfer Engine'!$C$2:$C$1369,0)))</f>
        <v/>
      </c>
      <c r="H707" s="9">
        <f>IF(ISNA(MATCH(698,'Transfer Engine'!$C$2:$C$1369,0)),"",INDEX('Compliance Database'!$H$2:$H$1369,MATCH(698,'Transfer Engine'!$C$2:$C$1369,0)))</f>
        <v/>
      </c>
      <c r="I707" s="9">
        <f>IF(ISNA(MATCH(698,'Transfer Engine'!$C$2:$C$1369,0)),"",INDEX('Compliance Database'!$I$2:$I$1369,MATCH(698,'Transfer Engine'!$C$2:$C$1369,0)))</f>
        <v/>
      </c>
      <c r="J707" s="8">
        <f>IF(ISNA(MATCH(698,'Transfer Engine'!$C$2:$C$1369,0)),"",INDEX('Compliance Database'!$J$2:$J$1369,MATCH(698,'Transfer Engine'!$C$2:$C$1369,0)))</f>
        <v/>
      </c>
      <c r="K707" s="9">
        <f>IF(ISNA(MATCH(698,'Transfer Engine'!$C$2:$C$1369,0)),"",INDEX('Compliance Database'!$K$2:$K$1369,MATCH(698,'Transfer Engine'!$C$2:$C$1369,0)))</f>
        <v/>
      </c>
      <c r="L707" s="9">
        <f>IF(ISNA(MATCH(698,'Transfer Engine'!$C$2:$C$1369,0)),"",INDEX('Compliance Database'!$L$2:$L$1369,MATCH(698,'Transfer Engine'!$C$2:$C$1369,0)))</f>
        <v/>
      </c>
      <c r="M707" s="9">
        <f>IF(ISNA(MATCH(698,'Transfer Engine'!$C$2:$C$1369,0)),"",INDEX('Compliance Database'!$M$2:$M$1369,MATCH(698,'Transfer Engine'!$C$2:$C$1369,0)))</f>
        <v/>
      </c>
      <c r="N707" s="9">
        <f>IF(ISNA(MATCH(698,'Transfer Engine'!$C$2:$C$1369,0)),"",INDEX('Compliance Database'!$N$2:$N$1369,MATCH(698,'Transfer Engine'!$C$2:$C$1369,0)))</f>
        <v/>
      </c>
      <c r="O707" s="8">
        <f>IF(ISNA(MATCH(698,'Transfer Engine'!$C$2:$C$1369,0)),"",HYPERLINK(INDEX('Compliance Database'!$O$2:$O$1369,MATCH(698,'Transfer Engine'!$C$2:$C$1369,0)),"Open PDF"))</f>
        <v/>
      </c>
    </row>
    <row r="708" ht="188" customHeight="1">
      <c r="A708" s="8">
        <f>IF(ISNA(MATCH(699,'Transfer Engine'!$C$2:$C$1369,0)),"",INDEX('Compliance Database'!$A$2:$A$1369,MATCH(699,'Transfer Engine'!$C$2:$C$1369,0)))</f>
        <v/>
      </c>
      <c r="B708" s="8">
        <f>IF(ISNA(MATCH(699,'Transfer Engine'!$C$2:$C$1369,0)),"",INDEX('Compliance Database'!$B$2:$B$1369,MATCH(699,'Transfer Engine'!$C$2:$C$1369,0)))</f>
        <v/>
      </c>
      <c r="C708" s="8">
        <f>IF(ISNA(MATCH(699,'Transfer Engine'!$C$2:$C$1369,0)),"",INDEX('Compliance Database'!$C$2:$C$1369,MATCH(699,'Transfer Engine'!$C$2:$C$1369,0)))</f>
        <v/>
      </c>
      <c r="D708" s="9">
        <f>IF(ISNA(MATCH(699,'Transfer Engine'!$C$2:$C$1369,0)),"",INDEX('Compliance Database'!$D$2:$D$1369,MATCH(699,'Transfer Engine'!$C$2:$C$1369,0)))</f>
        <v/>
      </c>
      <c r="E708" s="8">
        <f>IF(ISNA(MATCH(699,'Transfer Engine'!$C$2:$C$1369,0)),"",INDEX('Compliance Database'!$E$2:$E$1369,MATCH(699,'Transfer Engine'!$C$2:$C$1369,0)))</f>
        <v/>
      </c>
      <c r="F708" s="8">
        <f>IF(ISNA(MATCH(699,'Transfer Engine'!$C$2:$C$1369,0)),"",INDEX('Compliance Database'!$F$2:$F$1369,MATCH(699,'Transfer Engine'!$C$2:$C$1369,0)))</f>
        <v/>
      </c>
      <c r="G708" s="8">
        <f>IF(ISNA(MATCH(699,'Transfer Engine'!$C$2:$C$1369,0)),"",INDEX('Compliance Database'!$G$2:$G$1369,MATCH(699,'Transfer Engine'!$C$2:$C$1369,0)))</f>
        <v/>
      </c>
      <c r="H708" s="9">
        <f>IF(ISNA(MATCH(699,'Transfer Engine'!$C$2:$C$1369,0)),"",INDEX('Compliance Database'!$H$2:$H$1369,MATCH(699,'Transfer Engine'!$C$2:$C$1369,0)))</f>
        <v/>
      </c>
      <c r="I708" s="9">
        <f>IF(ISNA(MATCH(699,'Transfer Engine'!$C$2:$C$1369,0)),"",INDEX('Compliance Database'!$I$2:$I$1369,MATCH(699,'Transfer Engine'!$C$2:$C$1369,0)))</f>
        <v/>
      </c>
      <c r="J708" s="8">
        <f>IF(ISNA(MATCH(699,'Transfer Engine'!$C$2:$C$1369,0)),"",INDEX('Compliance Database'!$J$2:$J$1369,MATCH(699,'Transfer Engine'!$C$2:$C$1369,0)))</f>
        <v/>
      </c>
      <c r="K708" s="9">
        <f>IF(ISNA(MATCH(699,'Transfer Engine'!$C$2:$C$1369,0)),"",INDEX('Compliance Database'!$K$2:$K$1369,MATCH(699,'Transfer Engine'!$C$2:$C$1369,0)))</f>
        <v/>
      </c>
      <c r="L708" s="9">
        <f>IF(ISNA(MATCH(699,'Transfer Engine'!$C$2:$C$1369,0)),"",INDEX('Compliance Database'!$L$2:$L$1369,MATCH(699,'Transfer Engine'!$C$2:$C$1369,0)))</f>
        <v/>
      </c>
      <c r="M708" s="9">
        <f>IF(ISNA(MATCH(699,'Transfer Engine'!$C$2:$C$1369,0)),"",INDEX('Compliance Database'!$M$2:$M$1369,MATCH(699,'Transfer Engine'!$C$2:$C$1369,0)))</f>
        <v/>
      </c>
      <c r="N708" s="9">
        <f>IF(ISNA(MATCH(699,'Transfer Engine'!$C$2:$C$1369,0)),"",INDEX('Compliance Database'!$N$2:$N$1369,MATCH(699,'Transfer Engine'!$C$2:$C$1369,0)))</f>
        <v/>
      </c>
      <c r="O708" s="8">
        <f>IF(ISNA(MATCH(699,'Transfer Engine'!$C$2:$C$1369,0)),"",HYPERLINK(INDEX('Compliance Database'!$O$2:$O$1369,MATCH(699,'Transfer Engine'!$C$2:$C$1369,0)),"Open PDF"))</f>
        <v/>
      </c>
    </row>
    <row r="709" ht="188" customHeight="1">
      <c r="A709" s="8">
        <f>IF(ISNA(MATCH(700,'Transfer Engine'!$C$2:$C$1369,0)),"",INDEX('Compliance Database'!$A$2:$A$1369,MATCH(700,'Transfer Engine'!$C$2:$C$1369,0)))</f>
        <v/>
      </c>
      <c r="B709" s="8">
        <f>IF(ISNA(MATCH(700,'Transfer Engine'!$C$2:$C$1369,0)),"",INDEX('Compliance Database'!$B$2:$B$1369,MATCH(700,'Transfer Engine'!$C$2:$C$1369,0)))</f>
        <v/>
      </c>
      <c r="C709" s="8">
        <f>IF(ISNA(MATCH(700,'Transfer Engine'!$C$2:$C$1369,0)),"",INDEX('Compliance Database'!$C$2:$C$1369,MATCH(700,'Transfer Engine'!$C$2:$C$1369,0)))</f>
        <v/>
      </c>
      <c r="D709" s="9">
        <f>IF(ISNA(MATCH(700,'Transfer Engine'!$C$2:$C$1369,0)),"",INDEX('Compliance Database'!$D$2:$D$1369,MATCH(700,'Transfer Engine'!$C$2:$C$1369,0)))</f>
        <v/>
      </c>
      <c r="E709" s="8">
        <f>IF(ISNA(MATCH(700,'Transfer Engine'!$C$2:$C$1369,0)),"",INDEX('Compliance Database'!$E$2:$E$1369,MATCH(700,'Transfer Engine'!$C$2:$C$1369,0)))</f>
        <v/>
      </c>
      <c r="F709" s="8">
        <f>IF(ISNA(MATCH(700,'Transfer Engine'!$C$2:$C$1369,0)),"",INDEX('Compliance Database'!$F$2:$F$1369,MATCH(700,'Transfer Engine'!$C$2:$C$1369,0)))</f>
        <v/>
      </c>
      <c r="G709" s="8">
        <f>IF(ISNA(MATCH(700,'Transfer Engine'!$C$2:$C$1369,0)),"",INDEX('Compliance Database'!$G$2:$G$1369,MATCH(700,'Transfer Engine'!$C$2:$C$1369,0)))</f>
        <v/>
      </c>
      <c r="H709" s="9">
        <f>IF(ISNA(MATCH(700,'Transfer Engine'!$C$2:$C$1369,0)),"",INDEX('Compliance Database'!$H$2:$H$1369,MATCH(700,'Transfer Engine'!$C$2:$C$1369,0)))</f>
        <v/>
      </c>
      <c r="I709" s="9">
        <f>IF(ISNA(MATCH(700,'Transfer Engine'!$C$2:$C$1369,0)),"",INDEX('Compliance Database'!$I$2:$I$1369,MATCH(700,'Transfer Engine'!$C$2:$C$1369,0)))</f>
        <v/>
      </c>
      <c r="J709" s="8">
        <f>IF(ISNA(MATCH(700,'Transfer Engine'!$C$2:$C$1369,0)),"",INDEX('Compliance Database'!$J$2:$J$1369,MATCH(700,'Transfer Engine'!$C$2:$C$1369,0)))</f>
        <v/>
      </c>
      <c r="K709" s="9">
        <f>IF(ISNA(MATCH(700,'Transfer Engine'!$C$2:$C$1369,0)),"",INDEX('Compliance Database'!$K$2:$K$1369,MATCH(700,'Transfer Engine'!$C$2:$C$1369,0)))</f>
        <v/>
      </c>
      <c r="L709" s="9">
        <f>IF(ISNA(MATCH(700,'Transfer Engine'!$C$2:$C$1369,0)),"",INDEX('Compliance Database'!$L$2:$L$1369,MATCH(700,'Transfer Engine'!$C$2:$C$1369,0)))</f>
        <v/>
      </c>
      <c r="M709" s="9">
        <f>IF(ISNA(MATCH(700,'Transfer Engine'!$C$2:$C$1369,0)),"",INDEX('Compliance Database'!$M$2:$M$1369,MATCH(700,'Transfer Engine'!$C$2:$C$1369,0)))</f>
        <v/>
      </c>
      <c r="N709" s="9">
        <f>IF(ISNA(MATCH(700,'Transfer Engine'!$C$2:$C$1369,0)),"",INDEX('Compliance Database'!$N$2:$N$1369,MATCH(700,'Transfer Engine'!$C$2:$C$1369,0)))</f>
        <v/>
      </c>
      <c r="O709" s="8">
        <f>IF(ISNA(MATCH(700,'Transfer Engine'!$C$2:$C$1369,0)),"",HYPERLINK(INDEX('Compliance Database'!$O$2:$O$1369,MATCH(700,'Transfer Engine'!$C$2:$C$1369,0)),"Open PDF"))</f>
        <v/>
      </c>
    </row>
    <row r="710" ht="188" customHeight="1">
      <c r="A710" s="8">
        <f>IF(ISNA(MATCH(701,'Transfer Engine'!$C$2:$C$1369,0)),"",INDEX('Compliance Database'!$A$2:$A$1369,MATCH(701,'Transfer Engine'!$C$2:$C$1369,0)))</f>
        <v/>
      </c>
      <c r="B710" s="8">
        <f>IF(ISNA(MATCH(701,'Transfer Engine'!$C$2:$C$1369,0)),"",INDEX('Compliance Database'!$B$2:$B$1369,MATCH(701,'Transfer Engine'!$C$2:$C$1369,0)))</f>
        <v/>
      </c>
      <c r="C710" s="8">
        <f>IF(ISNA(MATCH(701,'Transfer Engine'!$C$2:$C$1369,0)),"",INDEX('Compliance Database'!$C$2:$C$1369,MATCH(701,'Transfer Engine'!$C$2:$C$1369,0)))</f>
        <v/>
      </c>
      <c r="D710" s="9">
        <f>IF(ISNA(MATCH(701,'Transfer Engine'!$C$2:$C$1369,0)),"",INDEX('Compliance Database'!$D$2:$D$1369,MATCH(701,'Transfer Engine'!$C$2:$C$1369,0)))</f>
        <v/>
      </c>
      <c r="E710" s="8">
        <f>IF(ISNA(MATCH(701,'Transfer Engine'!$C$2:$C$1369,0)),"",INDEX('Compliance Database'!$E$2:$E$1369,MATCH(701,'Transfer Engine'!$C$2:$C$1369,0)))</f>
        <v/>
      </c>
      <c r="F710" s="8">
        <f>IF(ISNA(MATCH(701,'Transfer Engine'!$C$2:$C$1369,0)),"",INDEX('Compliance Database'!$F$2:$F$1369,MATCH(701,'Transfer Engine'!$C$2:$C$1369,0)))</f>
        <v/>
      </c>
      <c r="G710" s="8">
        <f>IF(ISNA(MATCH(701,'Transfer Engine'!$C$2:$C$1369,0)),"",INDEX('Compliance Database'!$G$2:$G$1369,MATCH(701,'Transfer Engine'!$C$2:$C$1369,0)))</f>
        <v/>
      </c>
      <c r="H710" s="9">
        <f>IF(ISNA(MATCH(701,'Transfer Engine'!$C$2:$C$1369,0)),"",INDEX('Compliance Database'!$H$2:$H$1369,MATCH(701,'Transfer Engine'!$C$2:$C$1369,0)))</f>
        <v/>
      </c>
      <c r="I710" s="9">
        <f>IF(ISNA(MATCH(701,'Transfer Engine'!$C$2:$C$1369,0)),"",INDEX('Compliance Database'!$I$2:$I$1369,MATCH(701,'Transfer Engine'!$C$2:$C$1369,0)))</f>
        <v/>
      </c>
      <c r="J710" s="8">
        <f>IF(ISNA(MATCH(701,'Transfer Engine'!$C$2:$C$1369,0)),"",INDEX('Compliance Database'!$J$2:$J$1369,MATCH(701,'Transfer Engine'!$C$2:$C$1369,0)))</f>
        <v/>
      </c>
      <c r="K710" s="9">
        <f>IF(ISNA(MATCH(701,'Transfer Engine'!$C$2:$C$1369,0)),"",INDEX('Compliance Database'!$K$2:$K$1369,MATCH(701,'Transfer Engine'!$C$2:$C$1369,0)))</f>
        <v/>
      </c>
      <c r="L710" s="9">
        <f>IF(ISNA(MATCH(701,'Transfer Engine'!$C$2:$C$1369,0)),"",INDEX('Compliance Database'!$L$2:$L$1369,MATCH(701,'Transfer Engine'!$C$2:$C$1369,0)))</f>
        <v/>
      </c>
      <c r="M710" s="9">
        <f>IF(ISNA(MATCH(701,'Transfer Engine'!$C$2:$C$1369,0)),"",INDEX('Compliance Database'!$M$2:$M$1369,MATCH(701,'Transfer Engine'!$C$2:$C$1369,0)))</f>
        <v/>
      </c>
      <c r="N710" s="9">
        <f>IF(ISNA(MATCH(701,'Transfer Engine'!$C$2:$C$1369,0)),"",INDEX('Compliance Database'!$N$2:$N$1369,MATCH(701,'Transfer Engine'!$C$2:$C$1369,0)))</f>
        <v/>
      </c>
      <c r="O710" s="8">
        <f>IF(ISNA(MATCH(701,'Transfer Engine'!$C$2:$C$1369,0)),"",HYPERLINK(INDEX('Compliance Database'!$O$2:$O$1369,MATCH(701,'Transfer Engine'!$C$2:$C$1369,0)),"Open PDF"))</f>
        <v/>
      </c>
    </row>
    <row r="711" ht="188" customHeight="1">
      <c r="A711" s="8">
        <f>IF(ISNA(MATCH(702,'Transfer Engine'!$C$2:$C$1369,0)),"",INDEX('Compliance Database'!$A$2:$A$1369,MATCH(702,'Transfer Engine'!$C$2:$C$1369,0)))</f>
        <v/>
      </c>
      <c r="B711" s="8">
        <f>IF(ISNA(MATCH(702,'Transfer Engine'!$C$2:$C$1369,0)),"",INDEX('Compliance Database'!$B$2:$B$1369,MATCH(702,'Transfer Engine'!$C$2:$C$1369,0)))</f>
        <v/>
      </c>
      <c r="C711" s="8">
        <f>IF(ISNA(MATCH(702,'Transfer Engine'!$C$2:$C$1369,0)),"",INDEX('Compliance Database'!$C$2:$C$1369,MATCH(702,'Transfer Engine'!$C$2:$C$1369,0)))</f>
        <v/>
      </c>
      <c r="D711" s="9">
        <f>IF(ISNA(MATCH(702,'Transfer Engine'!$C$2:$C$1369,0)),"",INDEX('Compliance Database'!$D$2:$D$1369,MATCH(702,'Transfer Engine'!$C$2:$C$1369,0)))</f>
        <v/>
      </c>
      <c r="E711" s="8">
        <f>IF(ISNA(MATCH(702,'Transfer Engine'!$C$2:$C$1369,0)),"",INDEX('Compliance Database'!$E$2:$E$1369,MATCH(702,'Transfer Engine'!$C$2:$C$1369,0)))</f>
        <v/>
      </c>
      <c r="F711" s="8">
        <f>IF(ISNA(MATCH(702,'Transfer Engine'!$C$2:$C$1369,0)),"",INDEX('Compliance Database'!$F$2:$F$1369,MATCH(702,'Transfer Engine'!$C$2:$C$1369,0)))</f>
        <v/>
      </c>
      <c r="G711" s="8">
        <f>IF(ISNA(MATCH(702,'Transfer Engine'!$C$2:$C$1369,0)),"",INDEX('Compliance Database'!$G$2:$G$1369,MATCH(702,'Transfer Engine'!$C$2:$C$1369,0)))</f>
        <v/>
      </c>
      <c r="H711" s="9">
        <f>IF(ISNA(MATCH(702,'Transfer Engine'!$C$2:$C$1369,0)),"",INDEX('Compliance Database'!$H$2:$H$1369,MATCH(702,'Transfer Engine'!$C$2:$C$1369,0)))</f>
        <v/>
      </c>
      <c r="I711" s="9">
        <f>IF(ISNA(MATCH(702,'Transfer Engine'!$C$2:$C$1369,0)),"",INDEX('Compliance Database'!$I$2:$I$1369,MATCH(702,'Transfer Engine'!$C$2:$C$1369,0)))</f>
        <v/>
      </c>
      <c r="J711" s="8">
        <f>IF(ISNA(MATCH(702,'Transfer Engine'!$C$2:$C$1369,0)),"",INDEX('Compliance Database'!$J$2:$J$1369,MATCH(702,'Transfer Engine'!$C$2:$C$1369,0)))</f>
        <v/>
      </c>
      <c r="K711" s="9">
        <f>IF(ISNA(MATCH(702,'Transfer Engine'!$C$2:$C$1369,0)),"",INDEX('Compliance Database'!$K$2:$K$1369,MATCH(702,'Transfer Engine'!$C$2:$C$1369,0)))</f>
        <v/>
      </c>
      <c r="L711" s="9">
        <f>IF(ISNA(MATCH(702,'Transfer Engine'!$C$2:$C$1369,0)),"",INDEX('Compliance Database'!$L$2:$L$1369,MATCH(702,'Transfer Engine'!$C$2:$C$1369,0)))</f>
        <v/>
      </c>
      <c r="M711" s="9">
        <f>IF(ISNA(MATCH(702,'Transfer Engine'!$C$2:$C$1369,0)),"",INDEX('Compliance Database'!$M$2:$M$1369,MATCH(702,'Transfer Engine'!$C$2:$C$1369,0)))</f>
        <v/>
      </c>
      <c r="N711" s="9">
        <f>IF(ISNA(MATCH(702,'Transfer Engine'!$C$2:$C$1369,0)),"",INDEX('Compliance Database'!$N$2:$N$1369,MATCH(702,'Transfer Engine'!$C$2:$C$1369,0)))</f>
        <v/>
      </c>
      <c r="O711" s="8">
        <f>IF(ISNA(MATCH(702,'Transfer Engine'!$C$2:$C$1369,0)),"",HYPERLINK(INDEX('Compliance Database'!$O$2:$O$1369,MATCH(702,'Transfer Engine'!$C$2:$C$1369,0)),"Open PDF"))</f>
        <v/>
      </c>
    </row>
    <row r="712" ht="188" customHeight="1">
      <c r="A712" s="8">
        <f>IF(ISNA(MATCH(703,'Transfer Engine'!$C$2:$C$1369,0)),"",INDEX('Compliance Database'!$A$2:$A$1369,MATCH(703,'Transfer Engine'!$C$2:$C$1369,0)))</f>
        <v/>
      </c>
      <c r="B712" s="8">
        <f>IF(ISNA(MATCH(703,'Transfer Engine'!$C$2:$C$1369,0)),"",INDEX('Compliance Database'!$B$2:$B$1369,MATCH(703,'Transfer Engine'!$C$2:$C$1369,0)))</f>
        <v/>
      </c>
      <c r="C712" s="8">
        <f>IF(ISNA(MATCH(703,'Transfer Engine'!$C$2:$C$1369,0)),"",INDEX('Compliance Database'!$C$2:$C$1369,MATCH(703,'Transfer Engine'!$C$2:$C$1369,0)))</f>
        <v/>
      </c>
      <c r="D712" s="9">
        <f>IF(ISNA(MATCH(703,'Transfer Engine'!$C$2:$C$1369,0)),"",INDEX('Compliance Database'!$D$2:$D$1369,MATCH(703,'Transfer Engine'!$C$2:$C$1369,0)))</f>
        <v/>
      </c>
      <c r="E712" s="8">
        <f>IF(ISNA(MATCH(703,'Transfer Engine'!$C$2:$C$1369,0)),"",INDEX('Compliance Database'!$E$2:$E$1369,MATCH(703,'Transfer Engine'!$C$2:$C$1369,0)))</f>
        <v/>
      </c>
      <c r="F712" s="8">
        <f>IF(ISNA(MATCH(703,'Transfer Engine'!$C$2:$C$1369,0)),"",INDEX('Compliance Database'!$F$2:$F$1369,MATCH(703,'Transfer Engine'!$C$2:$C$1369,0)))</f>
        <v/>
      </c>
      <c r="G712" s="8">
        <f>IF(ISNA(MATCH(703,'Transfer Engine'!$C$2:$C$1369,0)),"",INDEX('Compliance Database'!$G$2:$G$1369,MATCH(703,'Transfer Engine'!$C$2:$C$1369,0)))</f>
        <v/>
      </c>
      <c r="H712" s="9">
        <f>IF(ISNA(MATCH(703,'Transfer Engine'!$C$2:$C$1369,0)),"",INDEX('Compliance Database'!$H$2:$H$1369,MATCH(703,'Transfer Engine'!$C$2:$C$1369,0)))</f>
        <v/>
      </c>
      <c r="I712" s="9">
        <f>IF(ISNA(MATCH(703,'Transfer Engine'!$C$2:$C$1369,0)),"",INDEX('Compliance Database'!$I$2:$I$1369,MATCH(703,'Transfer Engine'!$C$2:$C$1369,0)))</f>
        <v/>
      </c>
      <c r="J712" s="8">
        <f>IF(ISNA(MATCH(703,'Transfer Engine'!$C$2:$C$1369,0)),"",INDEX('Compliance Database'!$J$2:$J$1369,MATCH(703,'Transfer Engine'!$C$2:$C$1369,0)))</f>
        <v/>
      </c>
      <c r="K712" s="9">
        <f>IF(ISNA(MATCH(703,'Transfer Engine'!$C$2:$C$1369,0)),"",INDEX('Compliance Database'!$K$2:$K$1369,MATCH(703,'Transfer Engine'!$C$2:$C$1369,0)))</f>
        <v/>
      </c>
      <c r="L712" s="9">
        <f>IF(ISNA(MATCH(703,'Transfer Engine'!$C$2:$C$1369,0)),"",INDEX('Compliance Database'!$L$2:$L$1369,MATCH(703,'Transfer Engine'!$C$2:$C$1369,0)))</f>
        <v/>
      </c>
      <c r="M712" s="9">
        <f>IF(ISNA(MATCH(703,'Transfer Engine'!$C$2:$C$1369,0)),"",INDEX('Compliance Database'!$M$2:$M$1369,MATCH(703,'Transfer Engine'!$C$2:$C$1369,0)))</f>
        <v/>
      </c>
      <c r="N712" s="9">
        <f>IF(ISNA(MATCH(703,'Transfer Engine'!$C$2:$C$1369,0)),"",INDEX('Compliance Database'!$N$2:$N$1369,MATCH(703,'Transfer Engine'!$C$2:$C$1369,0)))</f>
        <v/>
      </c>
      <c r="O712" s="8">
        <f>IF(ISNA(MATCH(703,'Transfer Engine'!$C$2:$C$1369,0)),"",HYPERLINK(INDEX('Compliance Database'!$O$2:$O$1369,MATCH(703,'Transfer Engine'!$C$2:$C$1369,0)),"Open PDF"))</f>
        <v/>
      </c>
    </row>
    <row r="713" ht="188" customHeight="1">
      <c r="A713" s="8">
        <f>IF(ISNA(MATCH(704,'Transfer Engine'!$C$2:$C$1369,0)),"",INDEX('Compliance Database'!$A$2:$A$1369,MATCH(704,'Transfer Engine'!$C$2:$C$1369,0)))</f>
        <v/>
      </c>
      <c r="B713" s="8">
        <f>IF(ISNA(MATCH(704,'Transfer Engine'!$C$2:$C$1369,0)),"",INDEX('Compliance Database'!$B$2:$B$1369,MATCH(704,'Transfer Engine'!$C$2:$C$1369,0)))</f>
        <v/>
      </c>
      <c r="C713" s="8">
        <f>IF(ISNA(MATCH(704,'Transfer Engine'!$C$2:$C$1369,0)),"",INDEX('Compliance Database'!$C$2:$C$1369,MATCH(704,'Transfer Engine'!$C$2:$C$1369,0)))</f>
        <v/>
      </c>
      <c r="D713" s="9">
        <f>IF(ISNA(MATCH(704,'Transfer Engine'!$C$2:$C$1369,0)),"",INDEX('Compliance Database'!$D$2:$D$1369,MATCH(704,'Transfer Engine'!$C$2:$C$1369,0)))</f>
        <v/>
      </c>
      <c r="E713" s="8">
        <f>IF(ISNA(MATCH(704,'Transfer Engine'!$C$2:$C$1369,0)),"",INDEX('Compliance Database'!$E$2:$E$1369,MATCH(704,'Transfer Engine'!$C$2:$C$1369,0)))</f>
        <v/>
      </c>
      <c r="F713" s="8">
        <f>IF(ISNA(MATCH(704,'Transfer Engine'!$C$2:$C$1369,0)),"",INDEX('Compliance Database'!$F$2:$F$1369,MATCH(704,'Transfer Engine'!$C$2:$C$1369,0)))</f>
        <v/>
      </c>
      <c r="G713" s="8">
        <f>IF(ISNA(MATCH(704,'Transfer Engine'!$C$2:$C$1369,0)),"",INDEX('Compliance Database'!$G$2:$G$1369,MATCH(704,'Transfer Engine'!$C$2:$C$1369,0)))</f>
        <v/>
      </c>
      <c r="H713" s="9">
        <f>IF(ISNA(MATCH(704,'Transfer Engine'!$C$2:$C$1369,0)),"",INDEX('Compliance Database'!$H$2:$H$1369,MATCH(704,'Transfer Engine'!$C$2:$C$1369,0)))</f>
        <v/>
      </c>
      <c r="I713" s="9">
        <f>IF(ISNA(MATCH(704,'Transfer Engine'!$C$2:$C$1369,0)),"",INDEX('Compliance Database'!$I$2:$I$1369,MATCH(704,'Transfer Engine'!$C$2:$C$1369,0)))</f>
        <v/>
      </c>
      <c r="J713" s="8">
        <f>IF(ISNA(MATCH(704,'Transfer Engine'!$C$2:$C$1369,0)),"",INDEX('Compliance Database'!$J$2:$J$1369,MATCH(704,'Transfer Engine'!$C$2:$C$1369,0)))</f>
        <v/>
      </c>
      <c r="K713" s="9">
        <f>IF(ISNA(MATCH(704,'Transfer Engine'!$C$2:$C$1369,0)),"",INDEX('Compliance Database'!$K$2:$K$1369,MATCH(704,'Transfer Engine'!$C$2:$C$1369,0)))</f>
        <v/>
      </c>
      <c r="L713" s="9">
        <f>IF(ISNA(MATCH(704,'Transfer Engine'!$C$2:$C$1369,0)),"",INDEX('Compliance Database'!$L$2:$L$1369,MATCH(704,'Transfer Engine'!$C$2:$C$1369,0)))</f>
        <v/>
      </c>
      <c r="M713" s="9">
        <f>IF(ISNA(MATCH(704,'Transfer Engine'!$C$2:$C$1369,0)),"",INDEX('Compliance Database'!$M$2:$M$1369,MATCH(704,'Transfer Engine'!$C$2:$C$1369,0)))</f>
        <v/>
      </c>
      <c r="N713" s="9">
        <f>IF(ISNA(MATCH(704,'Transfer Engine'!$C$2:$C$1369,0)),"",INDEX('Compliance Database'!$N$2:$N$1369,MATCH(704,'Transfer Engine'!$C$2:$C$1369,0)))</f>
        <v/>
      </c>
      <c r="O713" s="8">
        <f>IF(ISNA(MATCH(704,'Transfer Engine'!$C$2:$C$1369,0)),"",HYPERLINK(INDEX('Compliance Database'!$O$2:$O$1369,MATCH(704,'Transfer Engine'!$C$2:$C$1369,0)),"Open PDF"))</f>
        <v/>
      </c>
    </row>
    <row r="714" ht="188" customHeight="1">
      <c r="A714" s="8">
        <f>IF(ISNA(MATCH(705,'Transfer Engine'!$C$2:$C$1369,0)),"",INDEX('Compliance Database'!$A$2:$A$1369,MATCH(705,'Transfer Engine'!$C$2:$C$1369,0)))</f>
        <v/>
      </c>
      <c r="B714" s="8">
        <f>IF(ISNA(MATCH(705,'Transfer Engine'!$C$2:$C$1369,0)),"",INDEX('Compliance Database'!$B$2:$B$1369,MATCH(705,'Transfer Engine'!$C$2:$C$1369,0)))</f>
        <v/>
      </c>
      <c r="C714" s="8">
        <f>IF(ISNA(MATCH(705,'Transfer Engine'!$C$2:$C$1369,0)),"",INDEX('Compliance Database'!$C$2:$C$1369,MATCH(705,'Transfer Engine'!$C$2:$C$1369,0)))</f>
        <v/>
      </c>
      <c r="D714" s="9">
        <f>IF(ISNA(MATCH(705,'Transfer Engine'!$C$2:$C$1369,0)),"",INDEX('Compliance Database'!$D$2:$D$1369,MATCH(705,'Transfer Engine'!$C$2:$C$1369,0)))</f>
        <v/>
      </c>
      <c r="E714" s="8">
        <f>IF(ISNA(MATCH(705,'Transfer Engine'!$C$2:$C$1369,0)),"",INDEX('Compliance Database'!$E$2:$E$1369,MATCH(705,'Transfer Engine'!$C$2:$C$1369,0)))</f>
        <v/>
      </c>
      <c r="F714" s="8">
        <f>IF(ISNA(MATCH(705,'Transfer Engine'!$C$2:$C$1369,0)),"",INDEX('Compliance Database'!$F$2:$F$1369,MATCH(705,'Transfer Engine'!$C$2:$C$1369,0)))</f>
        <v/>
      </c>
      <c r="G714" s="8">
        <f>IF(ISNA(MATCH(705,'Transfer Engine'!$C$2:$C$1369,0)),"",INDEX('Compliance Database'!$G$2:$G$1369,MATCH(705,'Transfer Engine'!$C$2:$C$1369,0)))</f>
        <v/>
      </c>
      <c r="H714" s="9">
        <f>IF(ISNA(MATCH(705,'Transfer Engine'!$C$2:$C$1369,0)),"",INDEX('Compliance Database'!$H$2:$H$1369,MATCH(705,'Transfer Engine'!$C$2:$C$1369,0)))</f>
        <v/>
      </c>
      <c r="I714" s="9">
        <f>IF(ISNA(MATCH(705,'Transfer Engine'!$C$2:$C$1369,0)),"",INDEX('Compliance Database'!$I$2:$I$1369,MATCH(705,'Transfer Engine'!$C$2:$C$1369,0)))</f>
        <v/>
      </c>
      <c r="J714" s="8">
        <f>IF(ISNA(MATCH(705,'Transfer Engine'!$C$2:$C$1369,0)),"",INDEX('Compliance Database'!$J$2:$J$1369,MATCH(705,'Transfer Engine'!$C$2:$C$1369,0)))</f>
        <v/>
      </c>
      <c r="K714" s="9">
        <f>IF(ISNA(MATCH(705,'Transfer Engine'!$C$2:$C$1369,0)),"",INDEX('Compliance Database'!$K$2:$K$1369,MATCH(705,'Transfer Engine'!$C$2:$C$1369,0)))</f>
        <v/>
      </c>
      <c r="L714" s="9">
        <f>IF(ISNA(MATCH(705,'Transfer Engine'!$C$2:$C$1369,0)),"",INDEX('Compliance Database'!$L$2:$L$1369,MATCH(705,'Transfer Engine'!$C$2:$C$1369,0)))</f>
        <v/>
      </c>
      <c r="M714" s="9">
        <f>IF(ISNA(MATCH(705,'Transfer Engine'!$C$2:$C$1369,0)),"",INDEX('Compliance Database'!$M$2:$M$1369,MATCH(705,'Transfer Engine'!$C$2:$C$1369,0)))</f>
        <v/>
      </c>
      <c r="N714" s="9">
        <f>IF(ISNA(MATCH(705,'Transfer Engine'!$C$2:$C$1369,0)),"",INDEX('Compliance Database'!$N$2:$N$1369,MATCH(705,'Transfer Engine'!$C$2:$C$1369,0)))</f>
        <v/>
      </c>
      <c r="O714" s="8">
        <f>IF(ISNA(MATCH(705,'Transfer Engine'!$C$2:$C$1369,0)),"",HYPERLINK(INDEX('Compliance Database'!$O$2:$O$1369,MATCH(705,'Transfer Engine'!$C$2:$C$1369,0)),"Open PDF"))</f>
        <v/>
      </c>
    </row>
    <row r="715" ht="188" customHeight="1">
      <c r="A715" s="8">
        <f>IF(ISNA(MATCH(706,'Transfer Engine'!$C$2:$C$1369,0)),"",INDEX('Compliance Database'!$A$2:$A$1369,MATCH(706,'Transfer Engine'!$C$2:$C$1369,0)))</f>
        <v/>
      </c>
      <c r="B715" s="8">
        <f>IF(ISNA(MATCH(706,'Transfer Engine'!$C$2:$C$1369,0)),"",INDEX('Compliance Database'!$B$2:$B$1369,MATCH(706,'Transfer Engine'!$C$2:$C$1369,0)))</f>
        <v/>
      </c>
      <c r="C715" s="8">
        <f>IF(ISNA(MATCH(706,'Transfer Engine'!$C$2:$C$1369,0)),"",INDEX('Compliance Database'!$C$2:$C$1369,MATCH(706,'Transfer Engine'!$C$2:$C$1369,0)))</f>
        <v/>
      </c>
      <c r="D715" s="9">
        <f>IF(ISNA(MATCH(706,'Transfer Engine'!$C$2:$C$1369,0)),"",INDEX('Compliance Database'!$D$2:$D$1369,MATCH(706,'Transfer Engine'!$C$2:$C$1369,0)))</f>
        <v/>
      </c>
      <c r="E715" s="8">
        <f>IF(ISNA(MATCH(706,'Transfer Engine'!$C$2:$C$1369,0)),"",INDEX('Compliance Database'!$E$2:$E$1369,MATCH(706,'Transfer Engine'!$C$2:$C$1369,0)))</f>
        <v/>
      </c>
      <c r="F715" s="8">
        <f>IF(ISNA(MATCH(706,'Transfer Engine'!$C$2:$C$1369,0)),"",INDEX('Compliance Database'!$F$2:$F$1369,MATCH(706,'Transfer Engine'!$C$2:$C$1369,0)))</f>
        <v/>
      </c>
      <c r="G715" s="8">
        <f>IF(ISNA(MATCH(706,'Transfer Engine'!$C$2:$C$1369,0)),"",INDEX('Compliance Database'!$G$2:$G$1369,MATCH(706,'Transfer Engine'!$C$2:$C$1369,0)))</f>
        <v/>
      </c>
      <c r="H715" s="9">
        <f>IF(ISNA(MATCH(706,'Transfer Engine'!$C$2:$C$1369,0)),"",INDEX('Compliance Database'!$H$2:$H$1369,MATCH(706,'Transfer Engine'!$C$2:$C$1369,0)))</f>
        <v/>
      </c>
      <c r="I715" s="9">
        <f>IF(ISNA(MATCH(706,'Transfer Engine'!$C$2:$C$1369,0)),"",INDEX('Compliance Database'!$I$2:$I$1369,MATCH(706,'Transfer Engine'!$C$2:$C$1369,0)))</f>
        <v/>
      </c>
      <c r="J715" s="8">
        <f>IF(ISNA(MATCH(706,'Transfer Engine'!$C$2:$C$1369,0)),"",INDEX('Compliance Database'!$J$2:$J$1369,MATCH(706,'Transfer Engine'!$C$2:$C$1369,0)))</f>
        <v/>
      </c>
      <c r="K715" s="9">
        <f>IF(ISNA(MATCH(706,'Transfer Engine'!$C$2:$C$1369,0)),"",INDEX('Compliance Database'!$K$2:$K$1369,MATCH(706,'Transfer Engine'!$C$2:$C$1369,0)))</f>
        <v/>
      </c>
      <c r="L715" s="9">
        <f>IF(ISNA(MATCH(706,'Transfer Engine'!$C$2:$C$1369,0)),"",INDEX('Compliance Database'!$L$2:$L$1369,MATCH(706,'Transfer Engine'!$C$2:$C$1369,0)))</f>
        <v/>
      </c>
      <c r="M715" s="9">
        <f>IF(ISNA(MATCH(706,'Transfer Engine'!$C$2:$C$1369,0)),"",INDEX('Compliance Database'!$M$2:$M$1369,MATCH(706,'Transfer Engine'!$C$2:$C$1369,0)))</f>
        <v/>
      </c>
      <c r="N715" s="9">
        <f>IF(ISNA(MATCH(706,'Transfer Engine'!$C$2:$C$1369,0)),"",INDEX('Compliance Database'!$N$2:$N$1369,MATCH(706,'Transfer Engine'!$C$2:$C$1369,0)))</f>
        <v/>
      </c>
      <c r="O715" s="8">
        <f>IF(ISNA(MATCH(706,'Transfer Engine'!$C$2:$C$1369,0)),"",HYPERLINK(INDEX('Compliance Database'!$O$2:$O$1369,MATCH(706,'Transfer Engine'!$C$2:$C$1369,0)),"Open PDF"))</f>
        <v/>
      </c>
    </row>
    <row r="716" ht="188" customHeight="1">
      <c r="A716" s="8">
        <f>IF(ISNA(MATCH(707,'Transfer Engine'!$C$2:$C$1369,0)),"",INDEX('Compliance Database'!$A$2:$A$1369,MATCH(707,'Transfer Engine'!$C$2:$C$1369,0)))</f>
        <v/>
      </c>
      <c r="B716" s="8">
        <f>IF(ISNA(MATCH(707,'Transfer Engine'!$C$2:$C$1369,0)),"",INDEX('Compliance Database'!$B$2:$B$1369,MATCH(707,'Transfer Engine'!$C$2:$C$1369,0)))</f>
        <v/>
      </c>
      <c r="C716" s="8">
        <f>IF(ISNA(MATCH(707,'Transfer Engine'!$C$2:$C$1369,0)),"",INDEX('Compliance Database'!$C$2:$C$1369,MATCH(707,'Transfer Engine'!$C$2:$C$1369,0)))</f>
        <v/>
      </c>
      <c r="D716" s="9">
        <f>IF(ISNA(MATCH(707,'Transfer Engine'!$C$2:$C$1369,0)),"",INDEX('Compliance Database'!$D$2:$D$1369,MATCH(707,'Transfer Engine'!$C$2:$C$1369,0)))</f>
        <v/>
      </c>
      <c r="E716" s="8">
        <f>IF(ISNA(MATCH(707,'Transfer Engine'!$C$2:$C$1369,0)),"",INDEX('Compliance Database'!$E$2:$E$1369,MATCH(707,'Transfer Engine'!$C$2:$C$1369,0)))</f>
        <v/>
      </c>
      <c r="F716" s="8">
        <f>IF(ISNA(MATCH(707,'Transfer Engine'!$C$2:$C$1369,0)),"",INDEX('Compliance Database'!$F$2:$F$1369,MATCH(707,'Transfer Engine'!$C$2:$C$1369,0)))</f>
        <v/>
      </c>
      <c r="G716" s="8">
        <f>IF(ISNA(MATCH(707,'Transfer Engine'!$C$2:$C$1369,0)),"",INDEX('Compliance Database'!$G$2:$G$1369,MATCH(707,'Transfer Engine'!$C$2:$C$1369,0)))</f>
        <v/>
      </c>
      <c r="H716" s="9">
        <f>IF(ISNA(MATCH(707,'Transfer Engine'!$C$2:$C$1369,0)),"",INDEX('Compliance Database'!$H$2:$H$1369,MATCH(707,'Transfer Engine'!$C$2:$C$1369,0)))</f>
        <v/>
      </c>
      <c r="I716" s="9">
        <f>IF(ISNA(MATCH(707,'Transfer Engine'!$C$2:$C$1369,0)),"",INDEX('Compliance Database'!$I$2:$I$1369,MATCH(707,'Transfer Engine'!$C$2:$C$1369,0)))</f>
        <v/>
      </c>
      <c r="J716" s="8">
        <f>IF(ISNA(MATCH(707,'Transfer Engine'!$C$2:$C$1369,0)),"",INDEX('Compliance Database'!$J$2:$J$1369,MATCH(707,'Transfer Engine'!$C$2:$C$1369,0)))</f>
        <v/>
      </c>
      <c r="K716" s="9">
        <f>IF(ISNA(MATCH(707,'Transfer Engine'!$C$2:$C$1369,0)),"",INDEX('Compliance Database'!$K$2:$K$1369,MATCH(707,'Transfer Engine'!$C$2:$C$1369,0)))</f>
        <v/>
      </c>
      <c r="L716" s="9">
        <f>IF(ISNA(MATCH(707,'Transfer Engine'!$C$2:$C$1369,0)),"",INDEX('Compliance Database'!$L$2:$L$1369,MATCH(707,'Transfer Engine'!$C$2:$C$1369,0)))</f>
        <v/>
      </c>
      <c r="M716" s="9">
        <f>IF(ISNA(MATCH(707,'Transfer Engine'!$C$2:$C$1369,0)),"",INDEX('Compliance Database'!$M$2:$M$1369,MATCH(707,'Transfer Engine'!$C$2:$C$1369,0)))</f>
        <v/>
      </c>
      <c r="N716" s="9">
        <f>IF(ISNA(MATCH(707,'Transfer Engine'!$C$2:$C$1369,0)),"",INDEX('Compliance Database'!$N$2:$N$1369,MATCH(707,'Transfer Engine'!$C$2:$C$1369,0)))</f>
        <v/>
      </c>
      <c r="O716" s="8">
        <f>IF(ISNA(MATCH(707,'Transfer Engine'!$C$2:$C$1369,0)),"",HYPERLINK(INDEX('Compliance Database'!$O$2:$O$1369,MATCH(707,'Transfer Engine'!$C$2:$C$1369,0)),"Open PDF"))</f>
        <v/>
      </c>
    </row>
    <row r="717" ht="188" customHeight="1">
      <c r="A717" s="8">
        <f>IF(ISNA(MATCH(708,'Transfer Engine'!$C$2:$C$1369,0)),"",INDEX('Compliance Database'!$A$2:$A$1369,MATCH(708,'Transfer Engine'!$C$2:$C$1369,0)))</f>
        <v/>
      </c>
      <c r="B717" s="8">
        <f>IF(ISNA(MATCH(708,'Transfer Engine'!$C$2:$C$1369,0)),"",INDEX('Compliance Database'!$B$2:$B$1369,MATCH(708,'Transfer Engine'!$C$2:$C$1369,0)))</f>
        <v/>
      </c>
      <c r="C717" s="8">
        <f>IF(ISNA(MATCH(708,'Transfer Engine'!$C$2:$C$1369,0)),"",INDEX('Compliance Database'!$C$2:$C$1369,MATCH(708,'Transfer Engine'!$C$2:$C$1369,0)))</f>
        <v/>
      </c>
      <c r="D717" s="9">
        <f>IF(ISNA(MATCH(708,'Transfer Engine'!$C$2:$C$1369,0)),"",INDEX('Compliance Database'!$D$2:$D$1369,MATCH(708,'Transfer Engine'!$C$2:$C$1369,0)))</f>
        <v/>
      </c>
      <c r="E717" s="8">
        <f>IF(ISNA(MATCH(708,'Transfer Engine'!$C$2:$C$1369,0)),"",INDEX('Compliance Database'!$E$2:$E$1369,MATCH(708,'Transfer Engine'!$C$2:$C$1369,0)))</f>
        <v/>
      </c>
      <c r="F717" s="8">
        <f>IF(ISNA(MATCH(708,'Transfer Engine'!$C$2:$C$1369,0)),"",INDEX('Compliance Database'!$F$2:$F$1369,MATCH(708,'Transfer Engine'!$C$2:$C$1369,0)))</f>
        <v/>
      </c>
      <c r="G717" s="8">
        <f>IF(ISNA(MATCH(708,'Transfer Engine'!$C$2:$C$1369,0)),"",INDEX('Compliance Database'!$G$2:$G$1369,MATCH(708,'Transfer Engine'!$C$2:$C$1369,0)))</f>
        <v/>
      </c>
      <c r="H717" s="9">
        <f>IF(ISNA(MATCH(708,'Transfer Engine'!$C$2:$C$1369,0)),"",INDEX('Compliance Database'!$H$2:$H$1369,MATCH(708,'Transfer Engine'!$C$2:$C$1369,0)))</f>
        <v/>
      </c>
      <c r="I717" s="9">
        <f>IF(ISNA(MATCH(708,'Transfer Engine'!$C$2:$C$1369,0)),"",INDEX('Compliance Database'!$I$2:$I$1369,MATCH(708,'Transfer Engine'!$C$2:$C$1369,0)))</f>
        <v/>
      </c>
      <c r="J717" s="8">
        <f>IF(ISNA(MATCH(708,'Transfer Engine'!$C$2:$C$1369,0)),"",INDEX('Compliance Database'!$J$2:$J$1369,MATCH(708,'Transfer Engine'!$C$2:$C$1369,0)))</f>
        <v/>
      </c>
      <c r="K717" s="9">
        <f>IF(ISNA(MATCH(708,'Transfer Engine'!$C$2:$C$1369,0)),"",INDEX('Compliance Database'!$K$2:$K$1369,MATCH(708,'Transfer Engine'!$C$2:$C$1369,0)))</f>
        <v/>
      </c>
      <c r="L717" s="9">
        <f>IF(ISNA(MATCH(708,'Transfer Engine'!$C$2:$C$1369,0)),"",INDEX('Compliance Database'!$L$2:$L$1369,MATCH(708,'Transfer Engine'!$C$2:$C$1369,0)))</f>
        <v/>
      </c>
      <c r="M717" s="9">
        <f>IF(ISNA(MATCH(708,'Transfer Engine'!$C$2:$C$1369,0)),"",INDEX('Compliance Database'!$M$2:$M$1369,MATCH(708,'Transfer Engine'!$C$2:$C$1369,0)))</f>
        <v/>
      </c>
      <c r="N717" s="9">
        <f>IF(ISNA(MATCH(708,'Transfer Engine'!$C$2:$C$1369,0)),"",INDEX('Compliance Database'!$N$2:$N$1369,MATCH(708,'Transfer Engine'!$C$2:$C$1369,0)))</f>
        <v/>
      </c>
      <c r="O717" s="8">
        <f>IF(ISNA(MATCH(708,'Transfer Engine'!$C$2:$C$1369,0)),"",HYPERLINK(INDEX('Compliance Database'!$O$2:$O$1369,MATCH(708,'Transfer Engine'!$C$2:$C$1369,0)),"Open PDF"))</f>
        <v/>
      </c>
    </row>
    <row r="718" ht="188" customHeight="1">
      <c r="A718" s="8">
        <f>IF(ISNA(MATCH(709,'Transfer Engine'!$C$2:$C$1369,0)),"",INDEX('Compliance Database'!$A$2:$A$1369,MATCH(709,'Transfer Engine'!$C$2:$C$1369,0)))</f>
        <v/>
      </c>
      <c r="B718" s="8">
        <f>IF(ISNA(MATCH(709,'Transfer Engine'!$C$2:$C$1369,0)),"",INDEX('Compliance Database'!$B$2:$B$1369,MATCH(709,'Transfer Engine'!$C$2:$C$1369,0)))</f>
        <v/>
      </c>
      <c r="C718" s="8">
        <f>IF(ISNA(MATCH(709,'Transfer Engine'!$C$2:$C$1369,0)),"",INDEX('Compliance Database'!$C$2:$C$1369,MATCH(709,'Transfer Engine'!$C$2:$C$1369,0)))</f>
        <v/>
      </c>
      <c r="D718" s="9">
        <f>IF(ISNA(MATCH(709,'Transfer Engine'!$C$2:$C$1369,0)),"",INDEX('Compliance Database'!$D$2:$D$1369,MATCH(709,'Transfer Engine'!$C$2:$C$1369,0)))</f>
        <v/>
      </c>
      <c r="E718" s="8">
        <f>IF(ISNA(MATCH(709,'Transfer Engine'!$C$2:$C$1369,0)),"",INDEX('Compliance Database'!$E$2:$E$1369,MATCH(709,'Transfer Engine'!$C$2:$C$1369,0)))</f>
        <v/>
      </c>
      <c r="F718" s="8">
        <f>IF(ISNA(MATCH(709,'Transfer Engine'!$C$2:$C$1369,0)),"",INDEX('Compliance Database'!$F$2:$F$1369,MATCH(709,'Transfer Engine'!$C$2:$C$1369,0)))</f>
        <v/>
      </c>
      <c r="G718" s="8">
        <f>IF(ISNA(MATCH(709,'Transfer Engine'!$C$2:$C$1369,0)),"",INDEX('Compliance Database'!$G$2:$G$1369,MATCH(709,'Transfer Engine'!$C$2:$C$1369,0)))</f>
        <v/>
      </c>
      <c r="H718" s="9">
        <f>IF(ISNA(MATCH(709,'Transfer Engine'!$C$2:$C$1369,0)),"",INDEX('Compliance Database'!$H$2:$H$1369,MATCH(709,'Transfer Engine'!$C$2:$C$1369,0)))</f>
        <v/>
      </c>
      <c r="I718" s="9">
        <f>IF(ISNA(MATCH(709,'Transfer Engine'!$C$2:$C$1369,0)),"",INDEX('Compliance Database'!$I$2:$I$1369,MATCH(709,'Transfer Engine'!$C$2:$C$1369,0)))</f>
        <v/>
      </c>
      <c r="J718" s="8">
        <f>IF(ISNA(MATCH(709,'Transfer Engine'!$C$2:$C$1369,0)),"",INDEX('Compliance Database'!$J$2:$J$1369,MATCH(709,'Transfer Engine'!$C$2:$C$1369,0)))</f>
        <v/>
      </c>
      <c r="K718" s="9">
        <f>IF(ISNA(MATCH(709,'Transfer Engine'!$C$2:$C$1369,0)),"",INDEX('Compliance Database'!$K$2:$K$1369,MATCH(709,'Transfer Engine'!$C$2:$C$1369,0)))</f>
        <v/>
      </c>
      <c r="L718" s="9">
        <f>IF(ISNA(MATCH(709,'Transfer Engine'!$C$2:$C$1369,0)),"",INDEX('Compliance Database'!$L$2:$L$1369,MATCH(709,'Transfer Engine'!$C$2:$C$1369,0)))</f>
        <v/>
      </c>
      <c r="M718" s="9">
        <f>IF(ISNA(MATCH(709,'Transfer Engine'!$C$2:$C$1369,0)),"",INDEX('Compliance Database'!$M$2:$M$1369,MATCH(709,'Transfer Engine'!$C$2:$C$1369,0)))</f>
        <v/>
      </c>
      <c r="N718" s="9">
        <f>IF(ISNA(MATCH(709,'Transfer Engine'!$C$2:$C$1369,0)),"",INDEX('Compliance Database'!$N$2:$N$1369,MATCH(709,'Transfer Engine'!$C$2:$C$1369,0)))</f>
        <v/>
      </c>
      <c r="O718" s="8">
        <f>IF(ISNA(MATCH(709,'Transfer Engine'!$C$2:$C$1369,0)),"",HYPERLINK(INDEX('Compliance Database'!$O$2:$O$1369,MATCH(709,'Transfer Engine'!$C$2:$C$1369,0)),"Open PDF"))</f>
        <v/>
      </c>
    </row>
    <row r="719" ht="188" customHeight="1">
      <c r="A719" s="8">
        <f>IF(ISNA(MATCH(710,'Transfer Engine'!$C$2:$C$1369,0)),"",INDEX('Compliance Database'!$A$2:$A$1369,MATCH(710,'Transfer Engine'!$C$2:$C$1369,0)))</f>
        <v/>
      </c>
      <c r="B719" s="8">
        <f>IF(ISNA(MATCH(710,'Transfer Engine'!$C$2:$C$1369,0)),"",INDEX('Compliance Database'!$B$2:$B$1369,MATCH(710,'Transfer Engine'!$C$2:$C$1369,0)))</f>
        <v/>
      </c>
      <c r="C719" s="8">
        <f>IF(ISNA(MATCH(710,'Transfer Engine'!$C$2:$C$1369,0)),"",INDEX('Compliance Database'!$C$2:$C$1369,MATCH(710,'Transfer Engine'!$C$2:$C$1369,0)))</f>
        <v/>
      </c>
      <c r="D719" s="9">
        <f>IF(ISNA(MATCH(710,'Transfer Engine'!$C$2:$C$1369,0)),"",INDEX('Compliance Database'!$D$2:$D$1369,MATCH(710,'Transfer Engine'!$C$2:$C$1369,0)))</f>
        <v/>
      </c>
      <c r="E719" s="8">
        <f>IF(ISNA(MATCH(710,'Transfer Engine'!$C$2:$C$1369,0)),"",INDEX('Compliance Database'!$E$2:$E$1369,MATCH(710,'Transfer Engine'!$C$2:$C$1369,0)))</f>
        <v/>
      </c>
      <c r="F719" s="8">
        <f>IF(ISNA(MATCH(710,'Transfer Engine'!$C$2:$C$1369,0)),"",INDEX('Compliance Database'!$F$2:$F$1369,MATCH(710,'Transfer Engine'!$C$2:$C$1369,0)))</f>
        <v/>
      </c>
      <c r="G719" s="8">
        <f>IF(ISNA(MATCH(710,'Transfer Engine'!$C$2:$C$1369,0)),"",INDEX('Compliance Database'!$G$2:$G$1369,MATCH(710,'Transfer Engine'!$C$2:$C$1369,0)))</f>
        <v/>
      </c>
      <c r="H719" s="9">
        <f>IF(ISNA(MATCH(710,'Transfer Engine'!$C$2:$C$1369,0)),"",INDEX('Compliance Database'!$H$2:$H$1369,MATCH(710,'Transfer Engine'!$C$2:$C$1369,0)))</f>
        <v/>
      </c>
      <c r="I719" s="9">
        <f>IF(ISNA(MATCH(710,'Transfer Engine'!$C$2:$C$1369,0)),"",INDEX('Compliance Database'!$I$2:$I$1369,MATCH(710,'Transfer Engine'!$C$2:$C$1369,0)))</f>
        <v/>
      </c>
      <c r="J719" s="8">
        <f>IF(ISNA(MATCH(710,'Transfer Engine'!$C$2:$C$1369,0)),"",INDEX('Compliance Database'!$J$2:$J$1369,MATCH(710,'Transfer Engine'!$C$2:$C$1369,0)))</f>
        <v/>
      </c>
      <c r="K719" s="9">
        <f>IF(ISNA(MATCH(710,'Transfer Engine'!$C$2:$C$1369,0)),"",INDEX('Compliance Database'!$K$2:$K$1369,MATCH(710,'Transfer Engine'!$C$2:$C$1369,0)))</f>
        <v/>
      </c>
      <c r="L719" s="9">
        <f>IF(ISNA(MATCH(710,'Transfer Engine'!$C$2:$C$1369,0)),"",INDEX('Compliance Database'!$L$2:$L$1369,MATCH(710,'Transfer Engine'!$C$2:$C$1369,0)))</f>
        <v/>
      </c>
      <c r="M719" s="9">
        <f>IF(ISNA(MATCH(710,'Transfer Engine'!$C$2:$C$1369,0)),"",INDEX('Compliance Database'!$M$2:$M$1369,MATCH(710,'Transfer Engine'!$C$2:$C$1369,0)))</f>
        <v/>
      </c>
      <c r="N719" s="9">
        <f>IF(ISNA(MATCH(710,'Transfer Engine'!$C$2:$C$1369,0)),"",INDEX('Compliance Database'!$N$2:$N$1369,MATCH(710,'Transfer Engine'!$C$2:$C$1369,0)))</f>
        <v/>
      </c>
      <c r="O719" s="8">
        <f>IF(ISNA(MATCH(710,'Transfer Engine'!$C$2:$C$1369,0)),"",HYPERLINK(INDEX('Compliance Database'!$O$2:$O$1369,MATCH(710,'Transfer Engine'!$C$2:$C$1369,0)),"Open PDF"))</f>
        <v/>
      </c>
    </row>
    <row r="720" ht="188" customHeight="1">
      <c r="A720" s="8">
        <f>IF(ISNA(MATCH(711,'Transfer Engine'!$C$2:$C$1369,0)),"",INDEX('Compliance Database'!$A$2:$A$1369,MATCH(711,'Transfer Engine'!$C$2:$C$1369,0)))</f>
        <v/>
      </c>
      <c r="B720" s="8">
        <f>IF(ISNA(MATCH(711,'Transfer Engine'!$C$2:$C$1369,0)),"",INDEX('Compliance Database'!$B$2:$B$1369,MATCH(711,'Transfer Engine'!$C$2:$C$1369,0)))</f>
        <v/>
      </c>
      <c r="C720" s="8">
        <f>IF(ISNA(MATCH(711,'Transfer Engine'!$C$2:$C$1369,0)),"",INDEX('Compliance Database'!$C$2:$C$1369,MATCH(711,'Transfer Engine'!$C$2:$C$1369,0)))</f>
        <v/>
      </c>
      <c r="D720" s="9">
        <f>IF(ISNA(MATCH(711,'Transfer Engine'!$C$2:$C$1369,0)),"",INDEX('Compliance Database'!$D$2:$D$1369,MATCH(711,'Transfer Engine'!$C$2:$C$1369,0)))</f>
        <v/>
      </c>
      <c r="E720" s="8">
        <f>IF(ISNA(MATCH(711,'Transfer Engine'!$C$2:$C$1369,0)),"",INDEX('Compliance Database'!$E$2:$E$1369,MATCH(711,'Transfer Engine'!$C$2:$C$1369,0)))</f>
        <v/>
      </c>
      <c r="F720" s="8">
        <f>IF(ISNA(MATCH(711,'Transfer Engine'!$C$2:$C$1369,0)),"",INDEX('Compliance Database'!$F$2:$F$1369,MATCH(711,'Transfer Engine'!$C$2:$C$1369,0)))</f>
        <v/>
      </c>
      <c r="G720" s="8">
        <f>IF(ISNA(MATCH(711,'Transfer Engine'!$C$2:$C$1369,0)),"",INDEX('Compliance Database'!$G$2:$G$1369,MATCH(711,'Transfer Engine'!$C$2:$C$1369,0)))</f>
        <v/>
      </c>
      <c r="H720" s="9">
        <f>IF(ISNA(MATCH(711,'Transfer Engine'!$C$2:$C$1369,0)),"",INDEX('Compliance Database'!$H$2:$H$1369,MATCH(711,'Transfer Engine'!$C$2:$C$1369,0)))</f>
        <v/>
      </c>
      <c r="I720" s="9">
        <f>IF(ISNA(MATCH(711,'Transfer Engine'!$C$2:$C$1369,0)),"",INDEX('Compliance Database'!$I$2:$I$1369,MATCH(711,'Transfer Engine'!$C$2:$C$1369,0)))</f>
        <v/>
      </c>
      <c r="J720" s="8">
        <f>IF(ISNA(MATCH(711,'Transfer Engine'!$C$2:$C$1369,0)),"",INDEX('Compliance Database'!$J$2:$J$1369,MATCH(711,'Transfer Engine'!$C$2:$C$1369,0)))</f>
        <v/>
      </c>
      <c r="K720" s="9">
        <f>IF(ISNA(MATCH(711,'Transfer Engine'!$C$2:$C$1369,0)),"",INDEX('Compliance Database'!$K$2:$K$1369,MATCH(711,'Transfer Engine'!$C$2:$C$1369,0)))</f>
        <v/>
      </c>
      <c r="L720" s="9">
        <f>IF(ISNA(MATCH(711,'Transfer Engine'!$C$2:$C$1369,0)),"",INDEX('Compliance Database'!$L$2:$L$1369,MATCH(711,'Transfer Engine'!$C$2:$C$1369,0)))</f>
        <v/>
      </c>
      <c r="M720" s="9">
        <f>IF(ISNA(MATCH(711,'Transfer Engine'!$C$2:$C$1369,0)),"",INDEX('Compliance Database'!$M$2:$M$1369,MATCH(711,'Transfer Engine'!$C$2:$C$1369,0)))</f>
        <v/>
      </c>
      <c r="N720" s="9">
        <f>IF(ISNA(MATCH(711,'Transfer Engine'!$C$2:$C$1369,0)),"",INDEX('Compliance Database'!$N$2:$N$1369,MATCH(711,'Transfer Engine'!$C$2:$C$1369,0)))</f>
        <v/>
      </c>
      <c r="O720" s="8">
        <f>IF(ISNA(MATCH(711,'Transfer Engine'!$C$2:$C$1369,0)),"",HYPERLINK(INDEX('Compliance Database'!$O$2:$O$1369,MATCH(711,'Transfer Engine'!$C$2:$C$1369,0)),"Open PDF"))</f>
        <v/>
      </c>
    </row>
    <row r="721" ht="188" customHeight="1">
      <c r="A721" s="8">
        <f>IF(ISNA(MATCH(712,'Transfer Engine'!$C$2:$C$1369,0)),"",INDEX('Compliance Database'!$A$2:$A$1369,MATCH(712,'Transfer Engine'!$C$2:$C$1369,0)))</f>
        <v/>
      </c>
      <c r="B721" s="8">
        <f>IF(ISNA(MATCH(712,'Transfer Engine'!$C$2:$C$1369,0)),"",INDEX('Compliance Database'!$B$2:$B$1369,MATCH(712,'Transfer Engine'!$C$2:$C$1369,0)))</f>
        <v/>
      </c>
      <c r="C721" s="8">
        <f>IF(ISNA(MATCH(712,'Transfer Engine'!$C$2:$C$1369,0)),"",INDEX('Compliance Database'!$C$2:$C$1369,MATCH(712,'Transfer Engine'!$C$2:$C$1369,0)))</f>
        <v/>
      </c>
      <c r="D721" s="9">
        <f>IF(ISNA(MATCH(712,'Transfer Engine'!$C$2:$C$1369,0)),"",INDEX('Compliance Database'!$D$2:$D$1369,MATCH(712,'Transfer Engine'!$C$2:$C$1369,0)))</f>
        <v/>
      </c>
      <c r="E721" s="8">
        <f>IF(ISNA(MATCH(712,'Transfer Engine'!$C$2:$C$1369,0)),"",INDEX('Compliance Database'!$E$2:$E$1369,MATCH(712,'Transfer Engine'!$C$2:$C$1369,0)))</f>
        <v/>
      </c>
      <c r="F721" s="8">
        <f>IF(ISNA(MATCH(712,'Transfer Engine'!$C$2:$C$1369,0)),"",INDEX('Compliance Database'!$F$2:$F$1369,MATCH(712,'Transfer Engine'!$C$2:$C$1369,0)))</f>
        <v/>
      </c>
      <c r="G721" s="8">
        <f>IF(ISNA(MATCH(712,'Transfer Engine'!$C$2:$C$1369,0)),"",INDEX('Compliance Database'!$G$2:$G$1369,MATCH(712,'Transfer Engine'!$C$2:$C$1369,0)))</f>
        <v/>
      </c>
      <c r="H721" s="9">
        <f>IF(ISNA(MATCH(712,'Transfer Engine'!$C$2:$C$1369,0)),"",INDEX('Compliance Database'!$H$2:$H$1369,MATCH(712,'Transfer Engine'!$C$2:$C$1369,0)))</f>
        <v/>
      </c>
      <c r="I721" s="9">
        <f>IF(ISNA(MATCH(712,'Transfer Engine'!$C$2:$C$1369,0)),"",INDEX('Compliance Database'!$I$2:$I$1369,MATCH(712,'Transfer Engine'!$C$2:$C$1369,0)))</f>
        <v/>
      </c>
      <c r="J721" s="8">
        <f>IF(ISNA(MATCH(712,'Transfer Engine'!$C$2:$C$1369,0)),"",INDEX('Compliance Database'!$J$2:$J$1369,MATCH(712,'Transfer Engine'!$C$2:$C$1369,0)))</f>
        <v/>
      </c>
      <c r="K721" s="9">
        <f>IF(ISNA(MATCH(712,'Transfer Engine'!$C$2:$C$1369,0)),"",INDEX('Compliance Database'!$K$2:$K$1369,MATCH(712,'Transfer Engine'!$C$2:$C$1369,0)))</f>
        <v/>
      </c>
      <c r="L721" s="9">
        <f>IF(ISNA(MATCH(712,'Transfer Engine'!$C$2:$C$1369,0)),"",INDEX('Compliance Database'!$L$2:$L$1369,MATCH(712,'Transfer Engine'!$C$2:$C$1369,0)))</f>
        <v/>
      </c>
      <c r="M721" s="9">
        <f>IF(ISNA(MATCH(712,'Transfer Engine'!$C$2:$C$1369,0)),"",INDEX('Compliance Database'!$M$2:$M$1369,MATCH(712,'Transfer Engine'!$C$2:$C$1369,0)))</f>
        <v/>
      </c>
      <c r="N721" s="9">
        <f>IF(ISNA(MATCH(712,'Transfer Engine'!$C$2:$C$1369,0)),"",INDEX('Compliance Database'!$N$2:$N$1369,MATCH(712,'Transfer Engine'!$C$2:$C$1369,0)))</f>
        <v/>
      </c>
      <c r="O721" s="8">
        <f>IF(ISNA(MATCH(712,'Transfer Engine'!$C$2:$C$1369,0)),"",HYPERLINK(INDEX('Compliance Database'!$O$2:$O$1369,MATCH(712,'Transfer Engine'!$C$2:$C$1369,0)),"Open PDF"))</f>
        <v/>
      </c>
    </row>
    <row r="722" ht="188" customHeight="1">
      <c r="A722" s="8">
        <f>IF(ISNA(MATCH(713,'Transfer Engine'!$C$2:$C$1369,0)),"",INDEX('Compliance Database'!$A$2:$A$1369,MATCH(713,'Transfer Engine'!$C$2:$C$1369,0)))</f>
        <v/>
      </c>
      <c r="B722" s="8">
        <f>IF(ISNA(MATCH(713,'Transfer Engine'!$C$2:$C$1369,0)),"",INDEX('Compliance Database'!$B$2:$B$1369,MATCH(713,'Transfer Engine'!$C$2:$C$1369,0)))</f>
        <v/>
      </c>
      <c r="C722" s="8">
        <f>IF(ISNA(MATCH(713,'Transfer Engine'!$C$2:$C$1369,0)),"",INDEX('Compliance Database'!$C$2:$C$1369,MATCH(713,'Transfer Engine'!$C$2:$C$1369,0)))</f>
        <v/>
      </c>
      <c r="D722" s="9">
        <f>IF(ISNA(MATCH(713,'Transfer Engine'!$C$2:$C$1369,0)),"",INDEX('Compliance Database'!$D$2:$D$1369,MATCH(713,'Transfer Engine'!$C$2:$C$1369,0)))</f>
        <v/>
      </c>
      <c r="E722" s="8">
        <f>IF(ISNA(MATCH(713,'Transfer Engine'!$C$2:$C$1369,0)),"",INDEX('Compliance Database'!$E$2:$E$1369,MATCH(713,'Transfer Engine'!$C$2:$C$1369,0)))</f>
        <v/>
      </c>
      <c r="F722" s="8">
        <f>IF(ISNA(MATCH(713,'Transfer Engine'!$C$2:$C$1369,0)),"",INDEX('Compliance Database'!$F$2:$F$1369,MATCH(713,'Transfer Engine'!$C$2:$C$1369,0)))</f>
        <v/>
      </c>
      <c r="G722" s="8">
        <f>IF(ISNA(MATCH(713,'Transfer Engine'!$C$2:$C$1369,0)),"",INDEX('Compliance Database'!$G$2:$G$1369,MATCH(713,'Transfer Engine'!$C$2:$C$1369,0)))</f>
        <v/>
      </c>
      <c r="H722" s="9">
        <f>IF(ISNA(MATCH(713,'Transfer Engine'!$C$2:$C$1369,0)),"",INDEX('Compliance Database'!$H$2:$H$1369,MATCH(713,'Transfer Engine'!$C$2:$C$1369,0)))</f>
        <v/>
      </c>
      <c r="I722" s="9">
        <f>IF(ISNA(MATCH(713,'Transfer Engine'!$C$2:$C$1369,0)),"",INDEX('Compliance Database'!$I$2:$I$1369,MATCH(713,'Transfer Engine'!$C$2:$C$1369,0)))</f>
        <v/>
      </c>
      <c r="J722" s="8">
        <f>IF(ISNA(MATCH(713,'Transfer Engine'!$C$2:$C$1369,0)),"",INDEX('Compliance Database'!$J$2:$J$1369,MATCH(713,'Transfer Engine'!$C$2:$C$1369,0)))</f>
        <v/>
      </c>
      <c r="K722" s="9">
        <f>IF(ISNA(MATCH(713,'Transfer Engine'!$C$2:$C$1369,0)),"",INDEX('Compliance Database'!$K$2:$K$1369,MATCH(713,'Transfer Engine'!$C$2:$C$1369,0)))</f>
        <v/>
      </c>
      <c r="L722" s="9">
        <f>IF(ISNA(MATCH(713,'Transfer Engine'!$C$2:$C$1369,0)),"",INDEX('Compliance Database'!$L$2:$L$1369,MATCH(713,'Transfer Engine'!$C$2:$C$1369,0)))</f>
        <v/>
      </c>
      <c r="M722" s="9">
        <f>IF(ISNA(MATCH(713,'Transfer Engine'!$C$2:$C$1369,0)),"",INDEX('Compliance Database'!$M$2:$M$1369,MATCH(713,'Transfer Engine'!$C$2:$C$1369,0)))</f>
        <v/>
      </c>
      <c r="N722" s="9">
        <f>IF(ISNA(MATCH(713,'Transfer Engine'!$C$2:$C$1369,0)),"",INDEX('Compliance Database'!$N$2:$N$1369,MATCH(713,'Transfer Engine'!$C$2:$C$1369,0)))</f>
        <v/>
      </c>
      <c r="O722" s="8">
        <f>IF(ISNA(MATCH(713,'Transfer Engine'!$C$2:$C$1369,0)),"",HYPERLINK(INDEX('Compliance Database'!$O$2:$O$1369,MATCH(713,'Transfer Engine'!$C$2:$C$1369,0)),"Open PDF"))</f>
        <v/>
      </c>
    </row>
    <row r="723" ht="188" customHeight="1">
      <c r="A723" s="8">
        <f>IF(ISNA(MATCH(714,'Transfer Engine'!$C$2:$C$1369,0)),"",INDEX('Compliance Database'!$A$2:$A$1369,MATCH(714,'Transfer Engine'!$C$2:$C$1369,0)))</f>
        <v/>
      </c>
      <c r="B723" s="8">
        <f>IF(ISNA(MATCH(714,'Transfer Engine'!$C$2:$C$1369,0)),"",INDEX('Compliance Database'!$B$2:$B$1369,MATCH(714,'Transfer Engine'!$C$2:$C$1369,0)))</f>
        <v/>
      </c>
      <c r="C723" s="8">
        <f>IF(ISNA(MATCH(714,'Transfer Engine'!$C$2:$C$1369,0)),"",INDEX('Compliance Database'!$C$2:$C$1369,MATCH(714,'Transfer Engine'!$C$2:$C$1369,0)))</f>
        <v/>
      </c>
      <c r="D723" s="9">
        <f>IF(ISNA(MATCH(714,'Transfer Engine'!$C$2:$C$1369,0)),"",INDEX('Compliance Database'!$D$2:$D$1369,MATCH(714,'Transfer Engine'!$C$2:$C$1369,0)))</f>
        <v/>
      </c>
      <c r="E723" s="8">
        <f>IF(ISNA(MATCH(714,'Transfer Engine'!$C$2:$C$1369,0)),"",INDEX('Compliance Database'!$E$2:$E$1369,MATCH(714,'Transfer Engine'!$C$2:$C$1369,0)))</f>
        <v/>
      </c>
      <c r="F723" s="8">
        <f>IF(ISNA(MATCH(714,'Transfer Engine'!$C$2:$C$1369,0)),"",INDEX('Compliance Database'!$F$2:$F$1369,MATCH(714,'Transfer Engine'!$C$2:$C$1369,0)))</f>
        <v/>
      </c>
      <c r="G723" s="8">
        <f>IF(ISNA(MATCH(714,'Transfer Engine'!$C$2:$C$1369,0)),"",INDEX('Compliance Database'!$G$2:$G$1369,MATCH(714,'Transfer Engine'!$C$2:$C$1369,0)))</f>
        <v/>
      </c>
      <c r="H723" s="9">
        <f>IF(ISNA(MATCH(714,'Transfer Engine'!$C$2:$C$1369,0)),"",INDEX('Compliance Database'!$H$2:$H$1369,MATCH(714,'Transfer Engine'!$C$2:$C$1369,0)))</f>
        <v/>
      </c>
      <c r="I723" s="9">
        <f>IF(ISNA(MATCH(714,'Transfer Engine'!$C$2:$C$1369,0)),"",INDEX('Compliance Database'!$I$2:$I$1369,MATCH(714,'Transfer Engine'!$C$2:$C$1369,0)))</f>
        <v/>
      </c>
      <c r="J723" s="8">
        <f>IF(ISNA(MATCH(714,'Transfer Engine'!$C$2:$C$1369,0)),"",INDEX('Compliance Database'!$J$2:$J$1369,MATCH(714,'Transfer Engine'!$C$2:$C$1369,0)))</f>
        <v/>
      </c>
      <c r="K723" s="9">
        <f>IF(ISNA(MATCH(714,'Transfer Engine'!$C$2:$C$1369,0)),"",INDEX('Compliance Database'!$K$2:$K$1369,MATCH(714,'Transfer Engine'!$C$2:$C$1369,0)))</f>
        <v/>
      </c>
      <c r="L723" s="9">
        <f>IF(ISNA(MATCH(714,'Transfer Engine'!$C$2:$C$1369,0)),"",INDEX('Compliance Database'!$L$2:$L$1369,MATCH(714,'Transfer Engine'!$C$2:$C$1369,0)))</f>
        <v/>
      </c>
      <c r="M723" s="9">
        <f>IF(ISNA(MATCH(714,'Transfer Engine'!$C$2:$C$1369,0)),"",INDEX('Compliance Database'!$M$2:$M$1369,MATCH(714,'Transfer Engine'!$C$2:$C$1369,0)))</f>
        <v/>
      </c>
      <c r="N723" s="9">
        <f>IF(ISNA(MATCH(714,'Transfer Engine'!$C$2:$C$1369,0)),"",INDEX('Compliance Database'!$N$2:$N$1369,MATCH(714,'Transfer Engine'!$C$2:$C$1369,0)))</f>
        <v/>
      </c>
      <c r="O723" s="8">
        <f>IF(ISNA(MATCH(714,'Transfer Engine'!$C$2:$C$1369,0)),"",HYPERLINK(INDEX('Compliance Database'!$O$2:$O$1369,MATCH(714,'Transfer Engine'!$C$2:$C$1369,0)),"Open PDF"))</f>
        <v/>
      </c>
    </row>
    <row r="724" ht="188" customHeight="1">
      <c r="A724" s="8">
        <f>IF(ISNA(MATCH(715,'Transfer Engine'!$C$2:$C$1369,0)),"",INDEX('Compliance Database'!$A$2:$A$1369,MATCH(715,'Transfer Engine'!$C$2:$C$1369,0)))</f>
        <v/>
      </c>
      <c r="B724" s="8">
        <f>IF(ISNA(MATCH(715,'Transfer Engine'!$C$2:$C$1369,0)),"",INDEX('Compliance Database'!$B$2:$B$1369,MATCH(715,'Transfer Engine'!$C$2:$C$1369,0)))</f>
        <v/>
      </c>
      <c r="C724" s="8">
        <f>IF(ISNA(MATCH(715,'Transfer Engine'!$C$2:$C$1369,0)),"",INDEX('Compliance Database'!$C$2:$C$1369,MATCH(715,'Transfer Engine'!$C$2:$C$1369,0)))</f>
        <v/>
      </c>
      <c r="D724" s="9">
        <f>IF(ISNA(MATCH(715,'Transfer Engine'!$C$2:$C$1369,0)),"",INDEX('Compliance Database'!$D$2:$D$1369,MATCH(715,'Transfer Engine'!$C$2:$C$1369,0)))</f>
        <v/>
      </c>
      <c r="E724" s="8">
        <f>IF(ISNA(MATCH(715,'Transfer Engine'!$C$2:$C$1369,0)),"",INDEX('Compliance Database'!$E$2:$E$1369,MATCH(715,'Transfer Engine'!$C$2:$C$1369,0)))</f>
        <v/>
      </c>
      <c r="F724" s="8">
        <f>IF(ISNA(MATCH(715,'Transfer Engine'!$C$2:$C$1369,0)),"",INDEX('Compliance Database'!$F$2:$F$1369,MATCH(715,'Transfer Engine'!$C$2:$C$1369,0)))</f>
        <v/>
      </c>
      <c r="G724" s="8">
        <f>IF(ISNA(MATCH(715,'Transfer Engine'!$C$2:$C$1369,0)),"",INDEX('Compliance Database'!$G$2:$G$1369,MATCH(715,'Transfer Engine'!$C$2:$C$1369,0)))</f>
        <v/>
      </c>
      <c r="H724" s="9">
        <f>IF(ISNA(MATCH(715,'Transfer Engine'!$C$2:$C$1369,0)),"",INDEX('Compliance Database'!$H$2:$H$1369,MATCH(715,'Transfer Engine'!$C$2:$C$1369,0)))</f>
        <v/>
      </c>
      <c r="I724" s="9">
        <f>IF(ISNA(MATCH(715,'Transfer Engine'!$C$2:$C$1369,0)),"",INDEX('Compliance Database'!$I$2:$I$1369,MATCH(715,'Transfer Engine'!$C$2:$C$1369,0)))</f>
        <v/>
      </c>
      <c r="J724" s="8">
        <f>IF(ISNA(MATCH(715,'Transfer Engine'!$C$2:$C$1369,0)),"",INDEX('Compliance Database'!$J$2:$J$1369,MATCH(715,'Transfer Engine'!$C$2:$C$1369,0)))</f>
        <v/>
      </c>
      <c r="K724" s="9">
        <f>IF(ISNA(MATCH(715,'Transfer Engine'!$C$2:$C$1369,0)),"",INDEX('Compliance Database'!$K$2:$K$1369,MATCH(715,'Transfer Engine'!$C$2:$C$1369,0)))</f>
        <v/>
      </c>
      <c r="L724" s="9">
        <f>IF(ISNA(MATCH(715,'Transfer Engine'!$C$2:$C$1369,0)),"",INDEX('Compliance Database'!$L$2:$L$1369,MATCH(715,'Transfer Engine'!$C$2:$C$1369,0)))</f>
        <v/>
      </c>
      <c r="M724" s="9">
        <f>IF(ISNA(MATCH(715,'Transfer Engine'!$C$2:$C$1369,0)),"",INDEX('Compliance Database'!$M$2:$M$1369,MATCH(715,'Transfer Engine'!$C$2:$C$1369,0)))</f>
        <v/>
      </c>
      <c r="N724" s="9">
        <f>IF(ISNA(MATCH(715,'Transfer Engine'!$C$2:$C$1369,0)),"",INDEX('Compliance Database'!$N$2:$N$1369,MATCH(715,'Transfer Engine'!$C$2:$C$1369,0)))</f>
        <v/>
      </c>
      <c r="O724" s="8">
        <f>IF(ISNA(MATCH(715,'Transfer Engine'!$C$2:$C$1369,0)),"",HYPERLINK(INDEX('Compliance Database'!$O$2:$O$1369,MATCH(715,'Transfer Engine'!$C$2:$C$1369,0)),"Open PDF"))</f>
        <v/>
      </c>
    </row>
    <row r="725" ht="188" customHeight="1">
      <c r="A725" s="8">
        <f>IF(ISNA(MATCH(716,'Transfer Engine'!$C$2:$C$1369,0)),"",INDEX('Compliance Database'!$A$2:$A$1369,MATCH(716,'Transfer Engine'!$C$2:$C$1369,0)))</f>
        <v/>
      </c>
      <c r="B725" s="8">
        <f>IF(ISNA(MATCH(716,'Transfer Engine'!$C$2:$C$1369,0)),"",INDEX('Compliance Database'!$B$2:$B$1369,MATCH(716,'Transfer Engine'!$C$2:$C$1369,0)))</f>
        <v/>
      </c>
      <c r="C725" s="8">
        <f>IF(ISNA(MATCH(716,'Transfer Engine'!$C$2:$C$1369,0)),"",INDEX('Compliance Database'!$C$2:$C$1369,MATCH(716,'Transfer Engine'!$C$2:$C$1369,0)))</f>
        <v/>
      </c>
      <c r="D725" s="9">
        <f>IF(ISNA(MATCH(716,'Transfer Engine'!$C$2:$C$1369,0)),"",INDEX('Compliance Database'!$D$2:$D$1369,MATCH(716,'Transfer Engine'!$C$2:$C$1369,0)))</f>
        <v/>
      </c>
      <c r="E725" s="8">
        <f>IF(ISNA(MATCH(716,'Transfer Engine'!$C$2:$C$1369,0)),"",INDEX('Compliance Database'!$E$2:$E$1369,MATCH(716,'Transfer Engine'!$C$2:$C$1369,0)))</f>
        <v/>
      </c>
      <c r="F725" s="8">
        <f>IF(ISNA(MATCH(716,'Transfer Engine'!$C$2:$C$1369,0)),"",INDEX('Compliance Database'!$F$2:$F$1369,MATCH(716,'Transfer Engine'!$C$2:$C$1369,0)))</f>
        <v/>
      </c>
      <c r="G725" s="8">
        <f>IF(ISNA(MATCH(716,'Transfer Engine'!$C$2:$C$1369,0)),"",INDEX('Compliance Database'!$G$2:$G$1369,MATCH(716,'Transfer Engine'!$C$2:$C$1369,0)))</f>
        <v/>
      </c>
      <c r="H725" s="9">
        <f>IF(ISNA(MATCH(716,'Transfer Engine'!$C$2:$C$1369,0)),"",INDEX('Compliance Database'!$H$2:$H$1369,MATCH(716,'Transfer Engine'!$C$2:$C$1369,0)))</f>
        <v/>
      </c>
      <c r="I725" s="9">
        <f>IF(ISNA(MATCH(716,'Transfer Engine'!$C$2:$C$1369,0)),"",INDEX('Compliance Database'!$I$2:$I$1369,MATCH(716,'Transfer Engine'!$C$2:$C$1369,0)))</f>
        <v/>
      </c>
      <c r="J725" s="8">
        <f>IF(ISNA(MATCH(716,'Transfer Engine'!$C$2:$C$1369,0)),"",INDEX('Compliance Database'!$J$2:$J$1369,MATCH(716,'Transfer Engine'!$C$2:$C$1369,0)))</f>
        <v/>
      </c>
      <c r="K725" s="9">
        <f>IF(ISNA(MATCH(716,'Transfer Engine'!$C$2:$C$1369,0)),"",INDEX('Compliance Database'!$K$2:$K$1369,MATCH(716,'Transfer Engine'!$C$2:$C$1369,0)))</f>
        <v/>
      </c>
      <c r="L725" s="9">
        <f>IF(ISNA(MATCH(716,'Transfer Engine'!$C$2:$C$1369,0)),"",INDEX('Compliance Database'!$L$2:$L$1369,MATCH(716,'Transfer Engine'!$C$2:$C$1369,0)))</f>
        <v/>
      </c>
      <c r="M725" s="9">
        <f>IF(ISNA(MATCH(716,'Transfer Engine'!$C$2:$C$1369,0)),"",INDEX('Compliance Database'!$M$2:$M$1369,MATCH(716,'Transfer Engine'!$C$2:$C$1369,0)))</f>
        <v/>
      </c>
      <c r="N725" s="9">
        <f>IF(ISNA(MATCH(716,'Transfer Engine'!$C$2:$C$1369,0)),"",INDEX('Compliance Database'!$N$2:$N$1369,MATCH(716,'Transfer Engine'!$C$2:$C$1369,0)))</f>
        <v/>
      </c>
      <c r="O725" s="8">
        <f>IF(ISNA(MATCH(716,'Transfer Engine'!$C$2:$C$1369,0)),"",HYPERLINK(INDEX('Compliance Database'!$O$2:$O$1369,MATCH(716,'Transfer Engine'!$C$2:$C$1369,0)),"Open PDF"))</f>
        <v/>
      </c>
    </row>
    <row r="726" ht="188" customHeight="1">
      <c r="A726" s="8">
        <f>IF(ISNA(MATCH(717,'Transfer Engine'!$C$2:$C$1369,0)),"",INDEX('Compliance Database'!$A$2:$A$1369,MATCH(717,'Transfer Engine'!$C$2:$C$1369,0)))</f>
        <v/>
      </c>
      <c r="B726" s="8">
        <f>IF(ISNA(MATCH(717,'Transfer Engine'!$C$2:$C$1369,0)),"",INDEX('Compliance Database'!$B$2:$B$1369,MATCH(717,'Transfer Engine'!$C$2:$C$1369,0)))</f>
        <v/>
      </c>
      <c r="C726" s="8">
        <f>IF(ISNA(MATCH(717,'Transfer Engine'!$C$2:$C$1369,0)),"",INDEX('Compliance Database'!$C$2:$C$1369,MATCH(717,'Transfer Engine'!$C$2:$C$1369,0)))</f>
        <v/>
      </c>
      <c r="D726" s="9">
        <f>IF(ISNA(MATCH(717,'Transfer Engine'!$C$2:$C$1369,0)),"",INDEX('Compliance Database'!$D$2:$D$1369,MATCH(717,'Transfer Engine'!$C$2:$C$1369,0)))</f>
        <v/>
      </c>
      <c r="E726" s="8">
        <f>IF(ISNA(MATCH(717,'Transfer Engine'!$C$2:$C$1369,0)),"",INDEX('Compliance Database'!$E$2:$E$1369,MATCH(717,'Transfer Engine'!$C$2:$C$1369,0)))</f>
        <v/>
      </c>
      <c r="F726" s="8">
        <f>IF(ISNA(MATCH(717,'Transfer Engine'!$C$2:$C$1369,0)),"",INDEX('Compliance Database'!$F$2:$F$1369,MATCH(717,'Transfer Engine'!$C$2:$C$1369,0)))</f>
        <v/>
      </c>
      <c r="G726" s="8">
        <f>IF(ISNA(MATCH(717,'Transfer Engine'!$C$2:$C$1369,0)),"",INDEX('Compliance Database'!$G$2:$G$1369,MATCH(717,'Transfer Engine'!$C$2:$C$1369,0)))</f>
        <v/>
      </c>
      <c r="H726" s="9">
        <f>IF(ISNA(MATCH(717,'Transfer Engine'!$C$2:$C$1369,0)),"",INDEX('Compliance Database'!$H$2:$H$1369,MATCH(717,'Transfer Engine'!$C$2:$C$1369,0)))</f>
        <v/>
      </c>
      <c r="I726" s="9">
        <f>IF(ISNA(MATCH(717,'Transfer Engine'!$C$2:$C$1369,0)),"",INDEX('Compliance Database'!$I$2:$I$1369,MATCH(717,'Transfer Engine'!$C$2:$C$1369,0)))</f>
        <v/>
      </c>
      <c r="J726" s="8">
        <f>IF(ISNA(MATCH(717,'Transfer Engine'!$C$2:$C$1369,0)),"",INDEX('Compliance Database'!$J$2:$J$1369,MATCH(717,'Transfer Engine'!$C$2:$C$1369,0)))</f>
        <v/>
      </c>
      <c r="K726" s="9">
        <f>IF(ISNA(MATCH(717,'Transfer Engine'!$C$2:$C$1369,0)),"",INDEX('Compliance Database'!$K$2:$K$1369,MATCH(717,'Transfer Engine'!$C$2:$C$1369,0)))</f>
        <v/>
      </c>
      <c r="L726" s="9">
        <f>IF(ISNA(MATCH(717,'Transfer Engine'!$C$2:$C$1369,0)),"",INDEX('Compliance Database'!$L$2:$L$1369,MATCH(717,'Transfer Engine'!$C$2:$C$1369,0)))</f>
        <v/>
      </c>
      <c r="M726" s="9">
        <f>IF(ISNA(MATCH(717,'Transfer Engine'!$C$2:$C$1369,0)),"",INDEX('Compliance Database'!$M$2:$M$1369,MATCH(717,'Transfer Engine'!$C$2:$C$1369,0)))</f>
        <v/>
      </c>
      <c r="N726" s="9">
        <f>IF(ISNA(MATCH(717,'Transfer Engine'!$C$2:$C$1369,0)),"",INDEX('Compliance Database'!$N$2:$N$1369,MATCH(717,'Transfer Engine'!$C$2:$C$1369,0)))</f>
        <v/>
      </c>
      <c r="O726" s="8">
        <f>IF(ISNA(MATCH(717,'Transfer Engine'!$C$2:$C$1369,0)),"",HYPERLINK(INDEX('Compliance Database'!$O$2:$O$1369,MATCH(717,'Transfer Engine'!$C$2:$C$1369,0)),"Open PDF"))</f>
        <v/>
      </c>
    </row>
    <row r="727" ht="188" customHeight="1">
      <c r="A727" s="8">
        <f>IF(ISNA(MATCH(718,'Transfer Engine'!$C$2:$C$1369,0)),"",INDEX('Compliance Database'!$A$2:$A$1369,MATCH(718,'Transfer Engine'!$C$2:$C$1369,0)))</f>
        <v/>
      </c>
      <c r="B727" s="8">
        <f>IF(ISNA(MATCH(718,'Transfer Engine'!$C$2:$C$1369,0)),"",INDEX('Compliance Database'!$B$2:$B$1369,MATCH(718,'Transfer Engine'!$C$2:$C$1369,0)))</f>
        <v/>
      </c>
      <c r="C727" s="8">
        <f>IF(ISNA(MATCH(718,'Transfer Engine'!$C$2:$C$1369,0)),"",INDEX('Compliance Database'!$C$2:$C$1369,MATCH(718,'Transfer Engine'!$C$2:$C$1369,0)))</f>
        <v/>
      </c>
      <c r="D727" s="9">
        <f>IF(ISNA(MATCH(718,'Transfer Engine'!$C$2:$C$1369,0)),"",INDEX('Compliance Database'!$D$2:$D$1369,MATCH(718,'Transfer Engine'!$C$2:$C$1369,0)))</f>
        <v/>
      </c>
      <c r="E727" s="8">
        <f>IF(ISNA(MATCH(718,'Transfer Engine'!$C$2:$C$1369,0)),"",INDEX('Compliance Database'!$E$2:$E$1369,MATCH(718,'Transfer Engine'!$C$2:$C$1369,0)))</f>
        <v/>
      </c>
      <c r="F727" s="8">
        <f>IF(ISNA(MATCH(718,'Transfer Engine'!$C$2:$C$1369,0)),"",INDEX('Compliance Database'!$F$2:$F$1369,MATCH(718,'Transfer Engine'!$C$2:$C$1369,0)))</f>
        <v/>
      </c>
      <c r="G727" s="8">
        <f>IF(ISNA(MATCH(718,'Transfer Engine'!$C$2:$C$1369,0)),"",INDEX('Compliance Database'!$G$2:$G$1369,MATCH(718,'Transfer Engine'!$C$2:$C$1369,0)))</f>
        <v/>
      </c>
      <c r="H727" s="9">
        <f>IF(ISNA(MATCH(718,'Transfer Engine'!$C$2:$C$1369,0)),"",INDEX('Compliance Database'!$H$2:$H$1369,MATCH(718,'Transfer Engine'!$C$2:$C$1369,0)))</f>
        <v/>
      </c>
      <c r="I727" s="9">
        <f>IF(ISNA(MATCH(718,'Transfer Engine'!$C$2:$C$1369,0)),"",INDEX('Compliance Database'!$I$2:$I$1369,MATCH(718,'Transfer Engine'!$C$2:$C$1369,0)))</f>
        <v/>
      </c>
      <c r="J727" s="8">
        <f>IF(ISNA(MATCH(718,'Transfer Engine'!$C$2:$C$1369,0)),"",INDEX('Compliance Database'!$J$2:$J$1369,MATCH(718,'Transfer Engine'!$C$2:$C$1369,0)))</f>
        <v/>
      </c>
      <c r="K727" s="9">
        <f>IF(ISNA(MATCH(718,'Transfer Engine'!$C$2:$C$1369,0)),"",INDEX('Compliance Database'!$K$2:$K$1369,MATCH(718,'Transfer Engine'!$C$2:$C$1369,0)))</f>
        <v/>
      </c>
      <c r="L727" s="9">
        <f>IF(ISNA(MATCH(718,'Transfer Engine'!$C$2:$C$1369,0)),"",INDEX('Compliance Database'!$L$2:$L$1369,MATCH(718,'Transfer Engine'!$C$2:$C$1369,0)))</f>
        <v/>
      </c>
      <c r="M727" s="9">
        <f>IF(ISNA(MATCH(718,'Transfer Engine'!$C$2:$C$1369,0)),"",INDEX('Compliance Database'!$M$2:$M$1369,MATCH(718,'Transfer Engine'!$C$2:$C$1369,0)))</f>
        <v/>
      </c>
      <c r="N727" s="9">
        <f>IF(ISNA(MATCH(718,'Transfer Engine'!$C$2:$C$1369,0)),"",INDEX('Compliance Database'!$N$2:$N$1369,MATCH(718,'Transfer Engine'!$C$2:$C$1369,0)))</f>
        <v/>
      </c>
      <c r="O727" s="8">
        <f>IF(ISNA(MATCH(718,'Transfer Engine'!$C$2:$C$1369,0)),"",HYPERLINK(INDEX('Compliance Database'!$O$2:$O$1369,MATCH(718,'Transfer Engine'!$C$2:$C$1369,0)),"Open PDF"))</f>
        <v/>
      </c>
    </row>
    <row r="728" ht="188" customHeight="1">
      <c r="A728" s="8">
        <f>IF(ISNA(MATCH(719,'Transfer Engine'!$C$2:$C$1369,0)),"",INDEX('Compliance Database'!$A$2:$A$1369,MATCH(719,'Transfer Engine'!$C$2:$C$1369,0)))</f>
        <v/>
      </c>
      <c r="B728" s="8">
        <f>IF(ISNA(MATCH(719,'Transfer Engine'!$C$2:$C$1369,0)),"",INDEX('Compliance Database'!$B$2:$B$1369,MATCH(719,'Transfer Engine'!$C$2:$C$1369,0)))</f>
        <v/>
      </c>
      <c r="C728" s="8">
        <f>IF(ISNA(MATCH(719,'Transfer Engine'!$C$2:$C$1369,0)),"",INDEX('Compliance Database'!$C$2:$C$1369,MATCH(719,'Transfer Engine'!$C$2:$C$1369,0)))</f>
        <v/>
      </c>
      <c r="D728" s="9">
        <f>IF(ISNA(MATCH(719,'Transfer Engine'!$C$2:$C$1369,0)),"",INDEX('Compliance Database'!$D$2:$D$1369,MATCH(719,'Transfer Engine'!$C$2:$C$1369,0)))</f>
        <v/>
      </c>
      <c r="E728" s="8">
        <f>IF(ISNA(MATCH(719,'Transfer Engine'!$C$2:$C$1369,0)),"",INDEX('Compliance Database'!$E$2:$E$1369,MATCH(719,'Transfer Engine'!$C$2:$C$1369,0)))</f>
        <v/>
      </c>
      <c r="F728" s="8">
        <f>IF(ISNA(MATCH(719,'Transfer Engine'!$C$2:$C$1369,0)),"",INDEX('Compliance Database'!$F$2:$F$1369,MATCH(719,'Transfer Engine'!$C$2:$C$1369,0)))</f>
        <v/>
      </c>
      <c r="G728" s="8">
        <f>IF(ISNA(MATCH(719,'Transfer Engine'!$C$2:$C$1369,0)),"",INDEX('Compliance Database'!$G$2:$G$1369,MATCH(719,'Transfer Engine'!$C$2:$C$1369,0)))</f>
        <v/>
      </c>
      <c r="H728" s="9">
        <f>IF(ISNA(MATCH(719,'Transfer Engine'!$C$2:$C$1369,0)),"",INDEX('Compliance Database'!$H$2:$H$1369,MATCH(719,'Transfer Engine'!$C$2:$C$1369,0)))</f>
        <v/>
      </c>
      <c r="I728" s="9">
        <f>IF(ISNA(MATCH(719,'Transfer Engine'!$C$2:$C$1369,0)),"",INDEX('Compliance Database'!$I$2:$I$1369,MATCH(719,'Transfer Engine'!$C$2:$C$1369,0)))</f>
        <v/>
      </c>
      <c r="J728" s="8">
        <f>IF(ISNA(MATCH(719,'Transfer Engine'!$C$2:$C$1369,0)),"",INDEX('Compliance Database'!$J$2:$J$1369,MATCH(719,'Transfer Engine'!$C$2:$C$1369,0)))</f>
        <v/>
      </c>
      <c r="K728" s="9">
        <f>IF(ISNA(MATCH(719,'Transfer Engine'!$C$2:$C$1369,0)),"",INDEX('Compliance Database'!$K$2:$K$1369,MATCH(719,'Transfer Engine'!$C$2:$C$1369,0)))</f>
        <v/>
      </c>
      <c r="L728" s="9">
        <f>IF(ISNA(MATCH(719,'Transfer Engine'!$C$2:$C$1369,0)),"",INDEX('Compliance Database'!$L$2:$L$1369,MATCH(719,'Transfer Engine'!$C$2:$C$1369,0)))</f>
        <v/>
      </c>
      <c r="M728" s="9">
        <f>IF(ISNA(MATCH(719,'Transfer Engine'!$C$2:$C$1369,0)),"",INDEX('Compliance Database'!$M$2:$M$1369,MATCH(719,'Transfer Engine'!$C$2:$C$1369,0)))</f>
        <v/>
      </c>
      <c r="N728" s="9">
        <f>IF(ISNA(MATCH(719,'Transfer Engine'!$C$2:$C$1369,0)),"",INDEX('Compliance Database'!$N$2:$N$1369,MATCH(719,'Transfer Engine'!$C$2:$C$1369,0)))</f>
        <v/>
      </c>
      <c r="O728" s="8">
        <f>IF(ISNA(MATCH(719,'Transfer Engine'!$C$2:$C$1369,0)),"",HYPERLINK(INDEX('Compliance Database'!$O$2:$O$1369,MATCH(719,'Transfer Engine'!$C$2:$C$1369,0)),"Open PDF"))</f>
        <v/>
      </c>
    </row>
    <row r="729" ht="188" customHeight="1">
      <c r="A729" s="8">
        <f>IF(ISNA(MATCH(720,'Transfer Engine'!$C$2:$C$1369,0)),"",INDEX('Compliance Database'!$A$2:$A$1369,MATCH(720,'Transfer Engine'!$C$2:$C$1369,0)))</f>
        <v/>
      </c>
      <c r="B729" s="8">
        <f>IF(ISNA(MATCH(720,'Transfer Engine'!$C$2:$C$1369,0)),"",INDEX('Compliance Database'!$B$2:$B$1369,MATCH(720,'Transfer Engine'!$C$2:$C$1369,0)))</f>
        <v/>
      </c>
      <c r="C729" s="8">
        <f>IF(ISNA(MATCH(720,'Transfer Engine'!$C$2:$C$1369,0)),"",INDEX('Compliance Database'!$C$2:$C$1369,MATCH(720,'Transfer Engine'!$C$2:$C$1369,0)))</f>
        <v/>
      </c>
      <c r="D729" s="9">
        <f>IF(ISNA(MATCH(720,'Transfer Engine'!$C$2:$C$1369,0)),"",INDEX('Compliance Database'!$D$2:$D$1369,MATCH(720,'Transfer Engine'!$C$2:$C$1369,0)))</f>
        <v/>
      </c>
      <c r="E729" s="8">
        <f>IF(ISNA(MATCH(720,'Transfer Engine'!$C$2:$C$1369,0)),"",INDEX('Compliance Database'!$E$2:$E$1369,MATCH(720,'Transfer Engine'!$C$2:$C$1369,0)))</f>
        <v/>
      </c>
      <c r="F729" s="8">
        <f>IF(ISNA(MATCH(720,'Transfer Engine'!$C$2:$C$1369,0)),"",INDEX('Compliance Database'!$F$2:$F$1369,MATCH(720,'Transfer Engine'!$C$2:$C$1369,0)))</f>
        <v/>
      </c>
      <c r="G729" s="8">
        <f>IF(ISNA(MATCH(720,'Transfer Engine'!$C$2:$C$1369,0)),"",INDEX('Compliance Database'!$G$2:$G$1369,MATCH(720,'Transfer Engine'!$C$2:$C$1369,0)))</f>
        <v/>
      </c>
      <c r="H729" s="9">
        <f>IF(ISNA(MATCH(720,'Transfer Engine'!$C$2:$C$1369,0)),"",INDEX('Compliance Database'!$H$2:$H$1369,MATCH(720,'Transfer Engine'!$C$2:$C$1369,0)))</f>
        <v/>
      </c>
      <c r="I729" s="9">
        <f>IF(ISNA(MATCH(720,'Transfer Engine'!$C$2:$C$1369,0)),"",INDEX('Compliance Database'!$I$2:$I$1369,MATCH(720,'Transfer Engine'!$C$2:$C$1369,0)))</f>
        <v/>
      </c>
      <c r="J729" s="8">
        <f>IF(ISNA(MATCH(720,'Transfer Engine'!$C$2:$C$1369,0)),"",INDEX('Compliance Database'!$J$2:$J$1369,MATCH(720,'Transfer Engine'!$C$2:$C$1369,0)))</f>
        <v/>
      </c>
      <c r="K729" s="9">
        <f>IF(ISNA(MATCH(720,'Transfer Engine'!$C$2:$C$1369,0)),"",INDEX('Compliance Database'!$K$2:$K$1369,MATCH(720,'Transfer Engine'!$C$2:$C$1369,0)))</f>
        <v/>
      </c>
      <c r="L729" s="9">
        <f>IF(ISNA(MATCH(720,'Transfer Engine'!$C$2:$C$1369,0)),"",INDEX('Compliance Database'!$L$2:$L$1369,MATCH(720,'Transfer Engine'!$C$2:$C$1369,0)))</f>
        <v/>
      </c>
      <c r="M729" s="9">
        <f>IF(ISNA(MATCH(720,'Transfer Engine'!$C$2:$C$1369,0)),"",INDEX('Compliance Database'!$M$2:$M$1369,MATCH(720,'Transfer Engine'!$C$2:$C$1369,0)))</f>
        <v/>
      </c>
      <c r="N729" s="9">
        <f>IF(ISNA(MATCH(720,'Transfer Engine'!$C$2:$C$1369,0)),"",INDEX('Compliance Database'!$N$2:$N$1369,MATCH(720,'Transfer Engine'!$C$2:$C$1369,0)))</f>
        <v/>
      </c>
      <c r="O729" s="8">
        <f>IF(ISNA(MATCH(720,'Transfer Engine'!$C$2:$C$1369,0)),"",HYPERLINK(INDEX('Compliance Database'!$O$2:$O$1369,MATCH(720,'Transfer Engine'!$C$2:$C$1369,0)),"Open PDF"))</f>
        <v/>
      </c>
    </row>
    <row r="730" ht="188" customHeight="1">
      <c r="A730" s="8">
        <f>IF(ISNA(MATCH(721,'Transfer Engine'!$C$2:$C$1369,0)),"",INDEX('Compliance Database'!$A$2:$A$1369,MATCH(721,'Transfer Engine'!$C$2:$C$1369,0)))</f>
        <v/>
      </c>
      <c r="B730" s="8">
        <f>IF(ISNA(MATCH(721,'Transfer Engine'!$C$2:$C$1369,0)),"",INDEX('Compliance Database'!$B$2:$B$1369,MATCH(721,'Transfer Engine'!$C$2:$C$1369,0)))</f>
        <v/>
      </c>
      <c r="C730" s="8">
        <f>IF(ISNA(MATCH(721,'Transfer Engine'!$C$2:$C$1369,0)),"",INDEX('Compliance Database'!$C$2:$C$1369,MATCH(721,'Transfer Engine'!$C$2:$C$1369,0)))</f>
        <v/>
      </c>
      <c r="D730" s="9">
        <f>IF(ISNA(MATCH(721,'Transfer Engine'!$C$2:$C$1369,0)),"",INDEX('Compliance Database'!$D$2:$D$1369,MATCH(721,'Transfer Engine'!$C$2:$C$1369,0)))</f>
        <v/>
      </c>
      <c r="E730" s="8">
        <f>IF(ISNA(MATCH(721,'Transfer Engine'!$C$2:$C$1369,0)),"",INDEX('Compliance Database'!$E$2:$E$1369,MATCH(721,'Transfer Engine'!$C$2:$C$1369,0)))</f>
        <v/>
      </c>
      <c r="F730" s="8">
        <f>IF(ISNA(MATCH(721,'Transfer Engine'!$C$2:$C$1369,0)),"",INDEX('Compliance Database'!$F$2:$F$1369,MATCH(721,'Transfer Engine'!$C$2:$C$1369,0)))</f>
        <v/>
      </c>
      <c r="G730" s="8">
        <f>IF(ISNA(MATCH(721,'Transfer Engine'!$C$2:$C$1369,0)),"",INDEX('Compliance Database'!$G$2:$G$1369,MATCH(721,'Transfer Engine'!$C$2:$C$1369,0)))</f>
        <v/>
      </c>
      <c r="H730" s="9">
        <f>IF(ISNA(MATCH(721,'Transfer Engine'!$C$2:$C$1369,0)),"",INDEX('Compliance Database'!$H$2:$H$1369,MATCH(721,'Transfer Engine'!$C$2:$C$1369,0)))</f>
        <v/>
      </c>
      <c r="I730" s="9">
        <f>IF(ISNA(MATCH(721,'Transfer Engine'!$C$2:$C$1369,0)),"",INDEX('Compliance Database'!$I$2:$I$1369,MATCH(721,'Transfer Engine'!$C$2:$C$1369,0)))</f>
        <v/>
      </c>
      <c r="J730" s="8">
        <f>IF(ISNA(MATCH(721,'Transfer Engine'!$C$2:$C$1369,0)),"",INDEX('Compliance Database'!$J$2:$J$1369,MATCH(721,'Transfer Engine'!$C$2:$C$1369,0)))</f>
        <v/>
      </c>
      <c r="K730" s="9">
        <f>IF(ISNA(MATCH(721,'Transfer Engine'!$C$2:$C$1369,0)),"",INDEX('Compliance Database'!$K$2:$K$1369,MATCH(721,'Transfer Engine'!$C$2:$C$1369,0)))</f>
        <v/>
      </c>
      <c r="L730" s="9">
        <f>IF(ISNA(MATCH(721,'Transfer Engine'!$C$2:$C$1369,0)),"",INDEX('Compliance Database'!$L$2:$L$1369,MATCH(721,'Transfer Engine'!$C$2:$C$1369,0)))</f>
        <v/>
      </c>
      <c r="M730" s="9">
        <f>IF(ISNA(MATCH(721,'Transfer Engine'!$C$2:$C$1369,0)),"",INDEX('Compliance Database'!$M$2:$M$1369,MATCH(721,'Transfer Engine'!$C$2:$C$1369,0)))</f>
        <v/>
      </c>
      <c r="N730" s="9">
        <f>IF(ISNA(MATCH(721,'Transfer Engine'!$C$2:$C$1369,0)),"",INDEX('Compliance Database'!$N$2:$N$1369,MATCH(721,'Transfer Engine'!$C$2:$C$1369,0)))</f>
        <v/>
      </c>
      <c r="O730" s="8">
        <f>IF(ISNA(MATCH(721,'Transfer Engine'!$C$2:$C$1369,0)),"",HYPERLINK(INDEX('Compliance Database'!$O$2:$O$1369,MATCH(721,'Transfer Engine'!$C$2:$C$1369,0)),"Open PDF"))</f>
        <v/>
      </c>
    </row>
    <row r="731" ht="188" customHeight="1">
      <c r="A731" s="8">
        <f>IF(ISNA(MATCH(722,'Transfer Engine'!$C$2:$C$1369,0)),"",INDEX('Compliance Database'!$A$2:$A$1369,MATCH(722,'Transfer Engine'!$C$2:$C$1369,0)))</f>
        <v/>
      </c>
      <c r="B731" s="8">
        <f>IF(ISNA(MATCH(722,'Transfer Engine'!$C$2:$C$1369,0)),"",INDEX('Compliance Database'!$B$2:$B$1369,MATCH(722,'Transfer Engine'!$C$2:$C$1369,0)))</f>
        <v/>
      </c>
      <c r="C731" s="8">
        <f>IF(ISNA(MATCH(722,'Transfer Engine'!$C$2:$C$1369,0)),"",INDEX('Compliance Database'!$C$2:$C$1369,MATCH(722,'Transfer Engine'!$C$2:$C$1369,0)))</f>
        <v/>
      </c>
      <c r="D731" s="9">
        <f>IF(ISNA(MATCH(722,'Transfer Engine'!$C$2:$C$1369,0)),"",INDEX('Compliance Database'!$D$2:$D$1369,MATCH(722,'Transfer Engine'!$C$2:$C$1369,0)))</f>
        <v/>
      </c>
      <c r="E731" s="8">
        <f>IF(ISNA(MATCH(722,'Transfer Engine'!$C$2:$C$1369,0)),"",INDEX('Compliance Database'!$E$2:$E$1369,MATCH(722,'Transfer Engine'!$C$2:$C$1369,0)))</f>
        <v/>
      </c>
      <c r="F731" s="8">
        <f>IF(ISNA(MATCH(722,'Transfer Engine'!$C$2:$C$1369,0)),"",INDEX('Compliance Database'!$F$2:$F$1369,MATCH(722,'Transfer Engine'!$C$2:$C$1369,0)))</f>
        <v/>
      </c>
      <c r="G731" s="8">
        <f>IF(ISNA(MATCH(722,'Transfer Engine'!$C$2:$C$1369,0)),"",INDEX('Compliance Database'!$G$2:$G$1369,MATCH(722,'Transfer Engine'!$C$2:$C$1369,0)))</f>
        <v/>
      </c>
      <c r="H731" s="9">
        <f>IF(ISNA(MATCH(722,'Transfer Engine'!$C$2:$C$1369,0)),"",INDEX('Compliance Database'!$H$2:$H$1369,MATCH(722,'Transfer Engine'!$C$2:$C$1369,0)))</f>
        <v/>
      </c>
      <c r="I731" s="9">
        <f>IF(ISNA(MATCH(722,'Transfer Engine'!$C$2:$C$1369,0)),"",INDEX('Compliance Database'!$I$2:$I$1369,MATCH(722,'Transfer Engine'!$C$2:$C$1369,0)))</f>
        <v/>
      </c>
      <c r="J731" s="8">
        <f>IF(ISNA(MATCH(722,'Transfer Engine'!$C$2:$C$1369,0)),"",INDEX('Compliance Database'!$J$2:$J$1369,MATCH(722,'Transfer Engine'!$C$2:$C$1369,0)))</f>
        <v/>
      </c>
      <c r="K731" s="9">
        <f>IF(ISNA(MATCH(722,'Transfer Engine'!$C$2:$C$1369,0)),"",INDEX('Compliance Database'!$K$2:$K$1369,MATCH(722,'Transfer Engine'!$C$2:$C$1369,0)))</f>
        <v/>
      </c>
      <c r="L731" s="9">
        <f>IF(ISNA(MATCH(722,'Transfer Engine'!$C$2:$C$1369,0)),"",INDEX('Compliance Database'!$L$2:$L$1369,MATCH(722,'Transfer Engine'!$C$2:$C$1369,0)))</f>
        <v/>
      </c>
      <c r="M731" s="9">
        <f>IF(ISNA(MATCH(722,'Transfer Engine'!$C$2:$C$1369,0)),"",INDEX('Compliance Database'!$M$2:$M$1369,MATCH(722,'Transfer Engine'!$C$2:$C$1369,0)))</f>
        <v/>
      </c>
      <c r="N731" s="9">
        <f>IF(ISNA(MATCH(722,'Transfer Engine'!$C$2:$C$1369,0)),"",INDEX('Compliance Database'!$N$2:$N$1369,MATCH(722,'Transfer Engine'!$C$2:$C$1369,0)))</f>
        <v/>
      </c>
      <c r="O731" s="8">
        <f>IF(ISNA(MATCH(722,'Transfer Engine'!$C$2:$C$1369,0)),"",HYPERLINK(INDEX('Compliance Database'!$O$2:$O$1369,MATCH(722,'Transfer Engine'!$C$2:$C$1369,0)),"Open PDF"))</f>
        <v/>
      </c>
    </row>
    <row r="732" ht="188" customHeight="1">
      <c r="A732" s="8">
        <f>IF(ISNA(MATCH(723,'Transfer Engine'!$C$2:$C$1369,0)),"",INDEX('Compliance Database'!$A$2:$A$1369,MATCH(723,'Transfer Engine'!$C$2:$C$1369,0)))</f>
        <v/>
      </c>
      <c r="B732" s="8">
        <f>IF(ISNA(MATCH(723,'Transfer Engine'!$C$2:$C$1369,0)),"",INDEX('Compliance Database'!$B$2:$B$1369,MATCH(723,'Transfer Engine'!$C$2:$C$1369,0)))</f>
        <v/>
      </c>
      <c r="C732" s="8">
        <f>IF(ISNA(MATCH(723,'Transfer Engine'!$C$2:$C$1369,0)),"",INDEX('Compliance Database'!$C$2:$C$1369,MATCH(723,'Transfer Engine'!$C$2:$C$1369,0)))</f>
        <v/>
      </c>
      <c r="D732" s="9">
        <f>IF(ISNA(MATCH(723,'Transfer Engine'!$C$2:$C$1369,0)),"",INDEX('Compliance Database'!$D$2:$D$1369,MATCH(723,'Transfer Engine'!$C$2:$C$1369,0)))</f>
        <v/>
      </c>
      <c r="E732" s="8">
        <f>IF(ISNA(MATCH(723,'Transfer Engine'!$C$2:$C$1369,0)),"",INDEX('Compliance Database'!$E$2:$E$1369,MATCH(723,'Transfer Engine'!$C$2:$C$1369,0)))</f>
        <v/>
      </c>
      <c r="F732" s="8">
        <f>IF(ISNA(MATCH(723,'Transfer Engine'!$C$2:$C$1369,0)),"",INDEX('Compliance Database'!$F$2:$F$1369,MATCH(723,'Transfer Engine'!$C$2:$C$1369,0)))</f>
        <v/>
      </c>
      <c r="G732" s="8">
        <f>IF(ISNA(MATCH(723,'Transfer Engine'!$C$2:$C$1369,0)),"",INDEX('Compliance Database'!$G$2:$G$1369,MATCH(723,'Transfer Engine'!$C$2:$C$1369,0)))</f>
        <v/>
      </c>
      <c r="H732" s="9">
        <f>IF(ISNA(MATCH(723,'Transfer Engine'!$C$2:$C$1369,0)),"",INDEX('Compliance Database'!$H$2:$H$1369,MATCH(723,'Transfer Engine'!$C$2:$C$1369,0)))</f>
        <v/>
      </c>
      <c r="I732" s="9">
        <f>IF(ISNA(MATCH(723,'Transfer Engine'!$C$2:$C$1369,0)),"",INDEX('Compliance Database'!$I$2:$I$1369,MATCH(723,'Transfer Engine'!$C$2:$C$1369,0)))</f>
        <v/>
      </c>
      <c r="J732" s="8">
        <f>IF(ISNA(MATCH(723,'Transfer Engine'!$C$2:$C$1369,0)),"",INDEX('Compliance Database'!$J$2:$J$1369,MATCH(723,'Transfer Engine'!$C$2:$C$1369,0)))</f>
        <v/>
      </c>
      <c r="K732" s="9">
        <f>IF(ISNA(MATCH(723,'Transfer Engine'!$C$2:$C$1369,0)),"",INDEX('Compliance Database'!$K$2:$K$1369,MATCH(723,'Transfer Engine'!$C$2:$C$1369,0)))</f>
        <v/>
      </c>
      <c r="L732" s="9">
        <f>IF(ISNA(MATCH(723,'Transfer Engine'!$C$2:$C$1369,0)),"",INDEX('Compliance Database'!$L$2:$L$1369,MATCH(723,'Transfer Engine'!$C$2:$C$1369,0)))</f>
        <v/>
      </c>
      <c r="M732" s="9">
        <f>IF(ISNA(MATCH(723,'Transfer Engine'!$C$2:$C$1369,0)),"",INDEX('Compliance Database'!$M$2:$M$1369,MATCH(723,'Transfer Engine'!$C$2:$C$1369,0)))</f>
        <v/>
      </c>
      <c r="N732" s="9">
        <f>IF(ISNA(MATCH(723,'Transfer Engine'!$C$2:$C$1369,0)),"",INDEX('Compliance Database'!$N$2:$N$1369,MATCH(723,'Transfer Engine'!$C$2:$C$1369,0)))</f>
        <v/>
      </c>
      <c r="O732" s="8">
        <f>IF(ISNA(MATCH(723,'Transfer Engine'!$C$2:$C$1369,0)),"",HYPERLINK(INDEX('Compliance Database'!$O$2:$O$1369,MATCH(723,'Transfer Engine'!$C$2:$C$1369,0)),"Open PDF"))</f>
        <v/>
      </c>
    </row>
    <row r="733" ht="188" customHeight="1">
      <c r="A733" s="8">
        <f>IF(ISNA(MATCH(724,'Transfer Engine'!$C$2:$C$1369,0)),"",INDEX('Compliance Database'!$A$2:$A$1369,MATCH(724,'Transfer Engine'!$C$2:$C$1369,0)))</f>
        <v/>
      </c>
      <c r="B733" s="8">
        <f>IF(ISNA(MATCH(724,'Transfer Engine'!$C$2:$C$1369,0)),"",INDEX('Compliance Database'!$B$2:$B$1369,MATCH(724,'Transfer Engine'!$C$2:$C$1369,0)))</f>
        <v/>
      </c>
      <c r="C733" s="8">
        <f>IF(ISNA(MATCH(724,'Transfer Engine'!$C$2:$C$1369,0)),"",INDEX('Compliance Database'!$C$2:$C$1369,MATCH(724,'Transfer Engine'!$C$2:$C$1369,0)))</f>
        <v/>
      </c>
      <c r="D733" s="9">
        <f>IF(ISNA(MATCH(724,'Transfer Engine'!$C$2:$C$1369,0)),"",INDEX('Compliance Database'!$D$2:$D$1369,MATCH(724,'Transfer Engine'!$C$2:$C$1369,0)))</f>
        <v/>
      </c>
      <c r="E733" s="8">
        <f>IF(ISNA(MATCH(724,'Transfer Engine'!$C$2:$C$1369,0)),"",INDEX('Compliance Database'!$E$2:$E$1369,MATCH(724,'Transfer Engine'!$C$2:$C$1369,0)))</f>
        <v/>
      </c>
      <c r="F733" s="8">
        <f>IF(ISNA(MATCH(724,'Transfer Engine'!$C$2:$C$1369,0)),"",INDEX('Compliance Database'!$F$2:$F$1369,MATCH(724,'Transfer Engine'!$C$2:$C$1369,0)))</f>
        <v/>
      </c>
      <c r="G733" s="8">
        <f>IF(ISNA(MATCH(724,'Transfer Engine'!$C$2:$C$1369,0)),"",INDEX('Compliance Database'!$G$2:$G$1369,MATCH(724,'Transfer Engine'!$C$2:$C$1369,0)))</f>
        <v/>
      </c>
      <c r="H733" s="9">
        <f>IF(ISNA(MATCH(724,'Transfer Engine'!$C$2:$C$1369,0)),"",INDEX('Compliance Database'!$H$2:$H$1369,MATCH(724,'Transfer Engine'!$C$2:$C$1369,0)))</f>
        <v/>
      </c>
      <c r="I733" s="9">
        <f>IF(ISNA(MATCH(724,'Transfer Engine'!$C$2:$C$1369,0)),"",INDEX('Compliance Database'!$I$2:$I$1369,MATCH(724,'Transfer Engine'!$C$2:$C$1369,0)))</f>
        <v/>
      </c>
      <c r="J733" s="8">
        <f>IF(ISNA(MATCH(724,'Transfer Engine'!$C$2:$C$1369,0)),"",INDEX('Compliance Database'!$J$2:$J$1369,MATCH(724,'Transfer Engine'!$C$2:$C$1369,0)))</f>
        <v/>
      </c>
      <c r="K733" s="9">
        <f>IF(ISNA(MATCH(724,'Transfer Engine'!$C$2:$C$1369,0)),"",INDEX('Compliance Database'!$K$2:$K$1369,MATCH(724,'Transfer Engine'!$C$2:$C$1369,0)))</f>
        <v/>
      </c>
      <c r="L733" s="9">
        <f>IF(ISNA(MATCH(724,'Transfer Engine'!$C$2:$C$1369,0)),"",INDEX('Compliance Database'!$L$2:$L$1369,MATCH(724,'Transfer Engine'!$C$2:$C$1369,0)))</f>
        <v/>
      </c>
      <c r="M733" s="9">
        <f>IF(ISNA(MATCH(724,'Transfer Engine'!$C$2:$C$1369,0)),"",INDEX('Compliance Database'!$M$2:$M$1369,MATCH(724,'Transfer Engine'!$C$2:$C$1369,0)))</f>
        <v/>
      </c>
      <c r="N733" s="9">
        <f>IF(ISNA(MATCH(724,'Transfer Engine'!$C$2:$C$1369,0)),"",INDEX('Compliance Database'!$N$2:$N$1369,MATCH(724,'Transfer Engine'!$C$2:$C$1369,0)))</f>
        <v/>
      </c>
      <c r="O733" s="8">
        <f>IF(ISNA(MATCH(724,'Transfer Engine'!$C$2:$C$1369,0)),"",HYPERLINK(INDEX('Compliance Database'!$O$2:$O$1369,MATCH(724,'Transfer Engine'!$C$2:$C$1369,0)),"Open PDF"))</f>
        <v/>
      </c>
    </row>
    <row r="734" ht="188" customHeight="1">
      <c r="A734" s="8">
        <f>IF(ISNA(MATCH(725,'Transfer Engine'!$C$2:$C$1369,0)),"",INDEX('Compliance Database'!$A$2:$A$1369,MATCH(725,'Transfer Engine'!$C$2:$C$1369,0)))</f>
        <v/>
      </c>
      <c r="B734" s="8">
        <f>IF(ISNA(MATCH(725,'Transfer Engine'!$C$2:$C$1369,0)),"",INDEX('Compliance Database'!$B$2:$B$1369,MATCH(725,'Transfer Engine'!$C$2:$C$1369,0)))</f>
        <v/>
      </c>
      <c r="C734" s="8">
        <f>IF(ISNA(MATCH(725,'Transfer Engine'!$C$2:$C$1369,0)),"",INDEX('Compliance Database'!$C$2:$C$1369,MATCH(725,'Transfer Engine'!$C$2:$C$1369,0)))</f>
        <v/>
      </c>
      <c r="D734" s="9">
        <f>IF(ISNA(MATCH(725,'Transfer Engine'!$C$2:$C$1369,0)),"",INDEX('Compliance Database'!$D$2:$D$1369,MATCH(725,'Transfer Engine'!$C$2:$C$1369,0)))</f>
        <v/>
      </c>
      <c r="E734" s="8">
        <f>IF(ISNA(MATCH(725,'Transfer Engine'!$C$2:$C$1369,0)),"",INDEX('Compliance Database'!$E$2:$E$1369,MATCH(725,'Transfer Engine'!$C$2:$C$1369,0)))</f>
        <v/>
      </c>
      <c r="F734" s="8">
        <f>IF(ISNA(MATCH(725,'Transfer Engine'!$C$2:$C$1369,0)),"",INDEX('Compliance Database'!$F$2:$F$1369,MATCH(725,'Transfer Engine'!$C$2:$C$1369,0)))</f>
        <v/>
      </c>
      <c r="G734" s="8">
        <f>IF(ISNA(MATCH(725,'Transfer Engine'!$C$2:$C$1369,0)),"",INDEX('Compliance Database'!$G$2:$G$1369,MATCH(725,'Transfer Engine'!$C$2:$C$1369,0)))</f>
        <v/>
      </c>
      <c r="H734" s="9">
        <f>IF(ISNA(MATCH(725,'Transfer Engine'!$C$2:$C$1369,0)),"",INDEX('Compliance Database'!$H$2:$H$1369,MATCH(725,'Transfer Engine'!$C$2:$C$1369,0)))</f>
        <v/>
      </c>
      <c r="I734" s="9">
        <f>IF(ISNA(MATCH(725,'Transfer Engine'!$C$2:$C$1369,0)),"",INDEX('Compliance Database'!$I$2:$I$1369,MATCH(725,'Transfer Engine'!$C$2:$C$1369,0)))</f>
        <v/>
      </c>
      <c r="J734" s="8">
        <f>IF(ISNA(MATCH(725,'Transfer Engine'!$C$2:$C$1369,0)),"",INDEX('Compliance Database'!$J$2:$J$1369,MATCH(725,'Transfer Engine'!$C$2:$C$1369,0)))</f>
        <v/>
      </c>
      <c r="K734" s="9">
        <f>IF(ISNA(MATCH(725,'Transfer Engine'!$C$2:$C$1369,0)),"",INDEX('Compliance Database'!$K$2:$K$1369,MATCH(725,'Transfer Engine'!$C$2:$C$1369,0)))</f>
        <v/>
      </c>
      <c r="L734" s="9">
        <f>IF(ISNA(MATCH(725,'Transfer Engine'!$C$2:$C$1369,0)),"",INDEX('Compliance Database'!$L$2:$L$1369,MATCH(725,'Transfer Engine'!$C$2:$C$1369,0)))</f>
        <v/>
      </c>
      <c r="M734" s="9">
        <f>IF(ISNA(MATCH(725,'Transfer Engine'!$C$2:$C$1369,0)),"",INDEX('Compliance Database'!$M$2:$M$1369,MATCH(725,'Transfer Engine'!$C$2:$C$1369,0)))</f>
        <v/>
      </c>
      <c r="N734" s="9">
        <f>IF(ISNA(MATCH(725,'Transfer Engine'!$C$2:$C$1369,0)),"",INDEX('Compliance Database'!$N$2:$N$1369,MATCH(725,'Transfer Engine'!$C$2:$C$1369,0)))</f>
        <v/>
      </c>
      <c r="O734" s="8">
        <f>IF(ISNA(MATCH(725,'Transfer Engine'!$C$2:$C$1369,0)),"",HYPERLINK(INDEX('Compliance Database'!$O$2:$O$1369,MATCH(725,'Transfer Engine'!$C$2:$C$1369,0)),"Open PDF"))</f>
        <v/>
      </c>
    </row>
    <row r="735" ht="188" customHeight="1">
      <c r="A735" s="8">
        <f>IF(ISNA(MATCH(726,'Transfer Engine'!$C$2:$C$1369,0)),"",INDEX('Compliance Database'!$A$2:$A$1369,MATCH(726,'Transfer Engine'!$C$2:$C$1369,0)))</f>
        <v/>
      </c>
      <c r="B735" s="8">
        <f>IF(ISNA(MATCH(726,'Transfer Engine'!$C$2:$C$1369,0)),"",INDEX('Compliance Database'!$B$2:$B$1369,MATCH(726,'Transfer Engine'!$C$2:$C$1369,0)))</f>
        <v/>
      </c>
      <c r="C735" s="8">
        <f>IF(ISNA(MATCH(726,'Transfer Engine'!$C$2:$C$1369,0)),"",INDEX('Compliance Database'!$C$2:$C$1369,MATCH(726,'Transfer Engine'!$C$2:$C$1369,0)))</f>
        <v/>
      </c>
      <c r="D735" s="9">
        <f>IF(ISNA(MATCH(726,'Transfer Engine'!$C$2:$C$1369,0)),"",INDEX('Compliance Database'!$D$2:$D$1369,MATCH(726,'Transfer Engine'!$C$2:$C$1369,0)))</f>
        <v/>
      </c>
      <c r="E735" s="8">
        <f>IF(ISNA(MATCH(726,'Transfer Engine'!$C$2:$C$1369,0)),"",INDEX('Compliance Database'!$E$2:$E$1369,MATCH(726,'Transfer Engine'!$C$2:$C$1369,0)))</f>
        <v/>
      </c>
      <c r="F735" s="8">
        <f>IF(ISNA(MATCH(726,'Transfer Engine'!$C$2:$C$1369,0)),"",INDEX('Compliance Database'!$F$2:$F$1369,MATCH(726,'Transfer Engine'!$C$2:$C$1369,0)))</f>
        <v/>
      </c>
      <c r="G735" s="8">
        <f>IF(ISNA(MATCH(726,'Transfer Engine'!$C$2:$C$1369,0)),"",INDEX('Compliance Database'!$G$2:$G$1369,MATCH(726,'Transfer Engine'!$C$2:$C$1369,0)))</f>
        <v/>
      </c>
      <c r="H735" s="9">
        <f>IF(ISNA(MATCH(726,'Transfer Engine'!$C$2:$C$1369,0)),"",INDEX('Compliance Database'!$H$2:$H$1369,MATCH(726,'Transfer Engine'!$C$2:$C$1369,0)))</f>
        <v/>
      </c>
      <c r="I735" s="9">
        <f>IF(ISNA(MATCH(726,'Transfer Engine'!$C$2:$C$1369,0)),"",INDEX('Compliance Database'!$I$2:$I$1369,MATCH(726,'Transfer Engine'!$C$2:$C$1369,0)))</f>
        <v/>
      </c>
      <c r="J735" s="8">
        <f>IF(ISNA(MATCH(726,'Transfer Engine'!$C$2:$C$1369,0)),"",INDEX('Compliance Database'!$J$2:$J$1369,MATCH(726,'Transfer Engine'!$C$2:$C$1369,0)))</f>
        <v/>
      </c>
      <c r="K735" s="9">
        <f>IF(ISNA(MATCH(726,'Transfer Engine'!$C$2:$C$1369,0)),"",INDEX('Compliance Database'!$K$2:$K$1369,MATCH(726,'Transfer Engine'!$C$2:$C$1369,0)))</f>
        <v/>
      </c>
      <c r="L735" s="9">
        <f>IF(ISNA(MATCH(726,'Transfer Engine'!$C$2:$C$1369,0)),"",INDEX('Compliance Database'!$L$2:$L$1369,MATCH(726,'Transfer Engine'!$C$2:$C$1369,0)))</f>
        <v/>
      </c>
      <c r="M735" s="9">
        <f>IF(ISNA(MATCH(726,'Transfer Engine'!$C$2:$C$1369,0)),"",INDEX('Compliance Database'!$M$2:$M$1369,MATCH(726,'Transfer Engine'!$C$2:$C$1369,0)))</f>
        <v/>
      </c>
      <c r="N735" s="9">
        <f>IF(ISNA(MATCH(726,'Transfer Engine'!$C$2:$C$1369,0)),"",INDEX('Compliance Database'!$N$2:$N$1369,MATCH(726,'Transfer Engine'!$C$2:$C$1369,0)))</f>
        <v/>
      </c>
      <c r="O735" s="8">
        <f>IF(ISNA(MATCH(726,'Transfer Engine'!$C$2:$C$1369,0)),"",HYPERLINK(INDEX('Compliance Database'!$O$2:$O$1369,MATCH(726,'Transfer Engine'!$C$2:$C$1369,0)),"Open PDF"))</f>
        <v/>
      </c>
    </row>
    <row r="736" ht="188" customHeight="1">
      <c r="A736" s="8">
        <f>IF(ISNA(MATCH(727,'Transfer Engine'!$C$2:$C$1369,0)),"",INDEX('Compliance Database'!$A$2:$A$1369,MATCH(727,'Transfer Engine'!$C$2:$C$1369,0)))</f>
        <v/>
      </c>
      <c r="B736" s="8">
        <f>IF(ISNA(MATCH(727,'Transfer Engine'!$C$2:$C$1369,0)),"",INDEX('Compliance Database'!$B$2:$B$1369,MATCH(727,'Transfer Engine'!$C$2:$C$1369,0)))</f>
        <v/>
      </c>
      <c r="C736" s="8">
        <f>IF(ISNA(MATCH(727,'Transfer Engine'!$C$2:$C$1369,0)),"",INDEX('Compliance Database'!$C$2:$C$1369,MATCH(727,'Transfer Engine'!$C$2:$C$1369,0)))</f>
        <v/>
      </c>
      <c r="D736" s="9">
        <f>IF(ISNA(MATCH(727,'Transfer Engine'!$C$2:$C$1369,0)),"",INDEX('Compliance Database'!$D$2:$D$1369,MATCH(727,'Transfer Engine'!$C$2:$C$1369,0)))</f>
        <v/>
      </c>
      <c r="E736" s="8">
        <f>IF(ISNA(MATCH(727,'Transfer Engine'!$C$2:$C$1369,0)),"",INDEX('Compliance Database'!$E$2:$E$1369,MATCH(727,'Transfer Engine'!$C$2:$C$1369,0)))</f>
        <v/>
      </c>
      <c r="F736" s="8">
        <f>IF(ISNA(MATCH(727,'Transfer Engine'!$C$2:$C$1369,0)),"",INDEX('Compliance Database'!$F$2:$F$1369,MATCH(727,'Transfer Engine'!$C$2:$C$1369,0)))</f>
        <v/>
      </c>
      <c r="G736" s="8">
        <f>IF(ISNA(MATCH(727,'Transfer Engine'!$C$2:$C$1369,0)),"",INDEX('Compliance Database'!$G$2:$G$1369,MATCH(727,'Transfer Engine'!$C$2:$C$1369,0)))</f>
        <v/>
      </c>
      <c r="H736" s="9">
        <f>IF(ISNA(MATCH(727,'Transfer Engine'!$C$2:$C$1369,0)),"",INDEX('Compliance Database'!$H$2:$H$1369,MATCH(727,'Transfer Engine'!$C$2:$C$1369,0)))</f>
        <v/>
      </c>
      <c r="I736" s="9">
        <f>IF(ISNA(MATCH(727,'Transfer Engine'!$C$2:$C$1369,0)),"",INDEX('Compliance Database'!$I$2:$I$1369,MATCH(727,'Transfer Engine'!$C$2:$C$1369,0)))</f>
        <v/>
      </c>
      <c r="J736" s="8">
        <f>IF(ISNA(MATCH(727,'Transfer Engine'!$C$2:$C$1369,0)),"",INDEX('Compliance Database'!$J$2:$J$1369,MATCH(727,'Transfer Engine'!$C$2:$C$1369,0)))</f>
        <v/>
      </c>
      <c r="K736" s="9">
        <f>IF(ISNA(MATCH(727,'Transfer Engine'!$C$2:$C$1369,0)),"",INDEX('Compliance Database'!$K$2:$K$1369,MATCH(727,'Transfer Engine'!$C$2:$C$1369,0)))</f>
        <v/>
      </c>
      <c r="L736" s="9">
        <f>IF(ISNA(MATCH(727,'Transfer Engine'!$C$2:$C$1369,0)),"",INDEX('Compliance Database'!$L$2:$L$1369,MATCH(727,'Transfer Engine'!$C$2:$C$1369,0)))</f>
        <v/>
      </c>
      <c r="M736" s="9">
        <f>IF(ISNA(MATCH(727,'Transfer Engine'!$C$2:$C$1369,0)),"",INDEX('Compliance Database'!$M$2:$M$1369,MATCH(727,'Transfer Engine'!$C$2:$C$1369,0)))</f>
        <v/>
      </c>
      <c r="N736" s="9">
        <f>IF(ISNA(MATCH(727,'Transfer Engine'!$C$2:$C$1369,0)),"",INDEX('Compliance Database'!$N$2:$N$1369,MATCH(727,'Transfer Engine'!$C$2:$C$1369,0)))</f>
        <v/>
      </c>
      <c r="O736" s="8">
        <f>IF(ISNA(MATCH(727,'Transfer Engine'!$C$2:$C$1369,0)),"",HYPERLINK(INDEX('Compliance Database'!$O$2:$O$1369,MATCH(727,'Transfer Engine'!$C$2:$C$1369,0)),"Open PDF"))</f>
        <v/>
      </c>
    </row>
    <row r="737" ht="188" customHeight="1">
      <c r="A737" s="8">
        <f>IF(ISNA(MATCH(728,'Transfer Engine'!$C$2:$C$1369,0)),"",INDEX('Compliance Database'!$A$2:$A$1369,MATCH(728,'Transfer Engine'!$C$2:$C$1369,0)))</f>
        <v/>
      </c>
      <c r="B737" s="8">
        <f>IF(ISNA(MATCH(728,'Transfer Engine'!$C$2:$C$1369,0)),"",INDEX('Compliance Database'!$B$2:$B$1369,MATCH(728,'Transfer Engine'!$C$2:$C$1369,0)))</f>
        <v/>
      </c>
      <c r="C737" s="8">
        <f>IF(ISNA(MATCH(728,'Transfer Engine'!$C$2:$C$1369,0)),"",INDEX('Compliance Database'!$C$2:$C$1369,MATCH(728,'Transfer Engine'!$C$2:$C$1369,0)))</f>
        <v/>
      </c>
      <c r="D737" s="9">
        <f>IF(ISNA(MATCH(728,'Transfer Engine'!$C$2:$C$1369,0)),"",INDEX('Compliance Database'!$D$2:$D$1369,MATCH(728,'Transfer Engine'!$C$2:$C$1369,0)))</f>
        <v/>
      </c>
      <c r="E737" s="8">
        <f>IF(ISNA(MATCH(728,'Transfer Engine'!$C$2:$C$1369,0)),"",INDEX('Compliance Database'!$E$2:$E$1369,MATCH(728,'Transfer Engine'!$C$2:$C$1369,0)))</f>
        <v/>
      </c>
      <c r="F737" s="8">
        <f>IF(ISNA(MATCH(728,'Transfer Engine'!$C$2:$C$1369,0)),"",INDEX('Compliance Database'!$F$2:$F$1369,MATCH(728,'Transfer Engine'!$C$2:$C$1369,0)))</f>
        <v/>
      </c>
      <c r="G737" s="8">
        <f>IF(ISNA(MATCH(728,'Transfer Engine'!$C$2:$C$1369,0)),"",INDEX('Compliance Database'!$G$2:$G$1369,MATCH(728,'Transfer Engine'!$C$2:$C$1369,0)))</f>
        <v/>
      </c>
      <c r="H737" s="9">
        <f>IF(ISNA(MATCH(728,'Transfer Engine'!$C$2:$C$1369,0)),"",INDEX('Compliance Database'!$H$2:$H$1369,MATCH(728,'Transfer Engine'!$C$2:$C$1369,0)))</f>
        <v/>
      </c>
      <c r="I737" s="9">
        <f>IF(ISNA(MATCH(728,'Transfer Engine'!$C$2:$C$1369,0)),"",INDEX('Compliance Database'!$I$2:$I$1369,MATCH(728,'Transfer Engine'!$C$2:$C$1369,0)))</f>
        <v/>
      </c>
      <c r="J737" s="8">
        <f>IF(ISNA(MATCH(728,'Transfer Engine'!$C$2:$C$1369,0)),"",INDEX('Compliance Database'!$J$2:$J$1369,MATCH(728,'Transfer Engine'!$C$2:$C$1369,0)))</f>
        <v/>
      </c>
      <c r="K737" s="9">
        <f>IF(ISNA(MATCH(728,'Transfer Engine'!$C$2:$C$1369,0)),"",INDEX('Compliance Database'!$K$2:$K$1369,MATCH(728,'Transfer Engine'!$C$2:$C$1369,0)))</f>
        <v/>
      </c>
      <c r="L737" s="9">
        <f>IF(ISNA(MATCH(728,'Transfer Engine'!$C$2:$C$1369,0)),"",INDEX('Compliance Database'!$L$2:$L$1369,MATCH(728,'Transfer Engine'!$C$2:$C$1369,0)))</f>
        <v/>
      </c>
      <c r="M737" s="9">
        <f>IF(ISNA(MATCH(728,'Transfer Engine'!$C$2:$C$1369,0)),"",INDEX('Compliance Database'!$M$2:$M$1369,MATCH(728,'Transfer Engine'!$C$2:$C$1369,0)))</f>
        <v/>
      </c>
      <c r="N737" s="9">
        <f>IF(ISNA(MATCH(728,'Transfer Engine'!$C$2:$C$1369,0)),"",INDEX('Compliance Database'!$N$2:$N$1369,MATCH(728,'Transfer Engine'!$C$2:$C$1369,0)))</f>
        <v/>
      </c>
      <c r="O737" s="8">
        <f>IF(ISNA(MATCH(728,'Transfer Engine'!$C$2:$C$1369,0)),"",HYPERLINK(INDEX('Compliance Database'!$O$2:$O$1369,MATCH(728,'Transfer Engine'!$C$2:$C$1369,0)),"Open PDF"))</f>
        <v/>
      </c>
    </row>
    <row r="738" ht="188" customHeight="1">
      <c r="A738" s="8">
        <f>IF(ISNA(MATCH(729,'Transfer Engine'!$C$2:$C$1369,0)),"",INDEX('Compliance Database'!$A$2:$A$1369,MATCH(729,'Transfer Engine'!$C$2:$C$1369,0)))</f>
        <v/>
      </c>
      <c r="B738" s="8">
        <f>IF(ISNA(MATCH(729,'Transfer Engine'!$C$2:$C$1369,0)),"",INDEX('Compliance Database'!$B$2:$B$1369,MATCH(729,'Transfer Engine'!$C$2:$C$1369,0)))</f>
        <v/>
      </c>
      <c r="C738" s="8">
        <f>IF(ISNA(MATCH(729,'Transfer Engine'!$C$2:$C$1369,0)),"",INDEX('Compliance Database'!$C$2:$C$1369,MATCH(729,'Transfer Engine'!$C$2:$C$1369,0)))</f>
        <v/>
      </c>
      <c r="D738" s="9">
        <f>IF(ISNA(MATCH(729,'Transfer Engine'!$C$2:$C$1369,0)),"",INDEX('Compliance Database'!$D$2:$D$1369,MATCH(729,'Transfer Engine'!$C$2:$C$1369,0)))</f>
        <v/>
      </c>
      <c r="E738" s="8">
        <f>IF(ISNA(MATCH(729,'Transfer Engine'!$C$2:$C$1369,0)),"",INDEX('Compliance Database'!$E$2:$E$1369,MATCH(729,'Transfer Engine'!$C$2:$C$1369,0)))</f>
        <v/>
      </c>
      <c r="F738" s="8">
        <f>IF(ISNA(MATCH(729,'Transfer Engine'!$C$2:$C$1369,0)),"",INDEX('Compliance Database'!$F$2:$F$1369,MATCH(729,'Transfer Engine'!$C$2:$C$1369,0)))</f>
        <v/>
      </c>
      <c r="G738" s="8">
        <f>IF(ISNA(MATCH(729,'Transfer Engine'!$C$2:$C$1369,0)),"",INDEX('Compliance Database'!$G$2:$G$1369,MATCH(729,'Transfer Engine'!$C$2:$C$1369,0)))</f>
        <v/>
      </c>
      <c r="H738" s="9">
        <f>IF(ISNA(MATCH(729,'Transfer Engine'!$C$2:$C$1369,0)),"",INDEX('Compliance Database'!$H$2:$H$1369,MATCH(729,'Transfer Engine'!$C$2:$C$1369,0)))</f>
        <v/>
      </c>
      <c r="I738" s="9">
        <f>IF(ISNA(MATCH(729,'Transfer Engine'!$C$2:$C$1369,0)),"",INDEX('Compliance Database'!$I$2:$I$1369,MATCH(729,'Transfer Engine'!$C$2:$C$1369,0)))</f>
        <v/>
      </c>
      <c r="J738" s="8">
        <f>IF(ISNA(MATCH(729,'Transfer Engine'!$C$2:$C$1369,0)),"",INDEX('Compliance Database'!$J$2:$J$1369,MATCH(729,'Transfer Engine'!$C$2:$C$1369,0)))</f>
        <v/>
      </c>
      <c r="K738" s="9">
        <f>IF(ISNA(MATCH(729,'Transfer Engine'!$C$2:$C$1369,0)),"",INDEX('Compliance Database'!$K$2:$K$1369,MATCH(729,'Transfer Engine'!$C$2:$C$1369,0)))</f>
        <v/>
      </c>
      <c r="L738" s="9">
        <f>IF(ISNA(MATCH(729,'Transfer Engine'!$C$2:$C$1369,0)),"",INDEX('Compliance Database'!$L$2:$L$1369,MATCH(729,'Transfer Engine'!$C$2:$C$1369,0)))</f>
        <v/>
      </c>
      <c r="M738" s="9">
        <f>IF(ISNA(MATCH(729,'Transfer Engine'!$C$2:$C$1369,0)),"",INDEX('Compliance Database'!$M$2:$M$1369,MATCH(729,'Transfer Engine'!$C$2:$C$1369,0)))</f>
        <v/>
      </c>
      <c r="N738" s="9">
        <f>IF(ISNA(MATCH(729,'Transfer Engine'!$C$2:$C$1369,0)),"",INDEX('Compliance Database'!$N$2:$N$1369,MATCH(729,'Transfer Engine'!$C$2:$C$1369,0)))</f>
        <v/>
      </c>
      <c r="O738" s="8">
        <f>IF(ISNA(MATCH(729,'Transfer Engine'!$C$2:$C$1369,0)),"",HYPERLINK(INDEX('Compliance Database'!$O$2:$O$1369,MATCH(729,'Transfer Engine'!$C$2:$C$1369,0)),"Open PDF"))</f>
        <v/>
      </c>
    </row>
    <row r="739" ht="188" customHeight="1">
      <c r="A739" s="8">
        <f>IF(ISNA(MATCH(730,'Transfer Engine'!$C$2:$C$1369,0)),"",INDEX('Compliance Database'!$A$2:$A$1369,MATCH(730,'Transfer Engine'!$C$2:$C$1369,0)))</f>
        <v/>
      </c>
      <c r="B739" s="8">
        <f>IF(ISNA(MATCH(730,'Transfer Engine'!$C$2:$C$1369,0)),"",INDEX('Compliance Database'!$B$2:$B$1369,MATCH(730,'Transfer Engine'!$C$2:$C$1369,0)))</f>
        <v/>
      </c>
      <c r="C739" s="8">
        <f>IF(ISNA(MATCH(730,'Transfer Engine'!$C$2:$C$1369,0)),"",INDEX('Compliance Database'!$C$2:$C$1369,MATCH(730,'Transfer Engine'!$C$2:$C$1369,0)))</f>
        <v/>
      </c>
      <c r="D739" s="9">
        <f>IF(ISNA(MATCH(730,'Transfer Engine'!$C$2:$C$1369,0)),"",INDEX('Compliance Database'!$D$2:$D$1369,MATCH(730,'Transfer Engine'!$C$2:$C$1369,0)))</f>
        <v/>
      </c>
      <c r="E739" s="8">
        <f>IF(ISNA(MATCH(730,'Transfer Engine'!$C$2:$C$1369,0)),"",INDEX('Compliance Database'!$E$2:$E$1369,MATCH(730,'Transfer Engine'!$C$2:$C$1369,0)))</f>
        <v/>
      </c>
      <c r="F739" s="8">
        <f>IF(ISNA(MATCH(730,'Transfer Engine'!$C$2:$C$1369,0)),"",INDEX('Compliance Database'!$F$2:$F$1369,MATCH(730,'Transfer Engine'!$C$2:$C$1369,0)))</f>
        <v/>
      </c>
      <c r="G739" s="8">
        <f>IF(ISNA(MATCH(730,'Transfer Engine'!$C$2:$C$1369,0)),"",INDEX('Compliance Database'!$G$2:$G$1369,MATCH(730,'Transfer Engine'!$C$2:$C$1369,0)))</f>
        <v/>
      </c>
      <c r="H739" s="9">
        <f>IF(ISNA(MATCH(730,'Transfer Engine'!$C$2:$C$1369,0)),"",INDEX('Compliance Database'!$H$2:$H$1369,MATCH(730,'Transfer Engine'!$C$2:$C$1369,0)))</f>
        <v/>
      </c>
      <c r="I739" s="9">
        <f>IF(ISNA(MATCH(730,'Transfer Engine'!$C$2:$C$1369,0)),"",INDEX('Compliance Database'!$I$2:$I$1369,MATCH(730,'Transfer Engine'!$C$2:$C$1369,0)))</f>
        <v/>
      </c>
      <c r="J739" s="8">
        <f>IF(ISNA(MATCH(730,'Transfer Engine'!$C$2:$C$1369,0)),"",INDEX('Compliance Database'!$J$2:$J$1369,MATCH(730,'Transfer Engine'!$C$2:$C$1369,0)))</f>
        <v/>
      </c>
      <c r="K739" s="9">
        <f>IF(ISNA(MATCH(730,'Transfer Engine'!$C$2:$C$1369,0)),"",INDEX('Compliance Database'!$K$2:$K$1369,MATCH(730,'Transfer Engine'!$C$2:$C$1369,0)))</f>
        <v/>
      </c>
      <c r="L739" s="9">
        <f>IF(ISNA(MATCH(730,'Transfer Engine'!$C$2:$C$1369,0)),"",INDEX('Compliance Database'!$L$2:$L$1369,MATCH(730,'Transfer Engine'!$C$2:$C$1369,0)))</f>
        <v/>
      </c>
      <c r="M739" s="9">
        <f>IF(ISNA(MATCH(730,'Transfer Engine'!$C$2:$C$1369,0)),"",INDEX('Compliance Database'!$M$2:$M$1369,MATCH(730,'Transfer Engine'!$C$2:$C$1369,0)))</f>
        <v/>
      </c>
      <c r="N739" s="9">
        <f>IF(ISNA(MATCH(730,'Transfer Engine'!$C$2:$C$1369,0)),"",INDEX('Compliance Database'!$N$2:$N$1369,MATCH(730,'Transfer Engine'!$C$2:$C$1369,0)))</f>
        <v/>
      </c>
      <c r="O739" s="8">
        <f>IF(ISNA(MATCH(730,'Transfer Engine'!$C$2:$C$1369,0)),"",HYPERLINK(INDEX('Compliance Database'!$O$2:$O$1369,MATCH(730,'Transfer Engine'!$C$2:$C$1369,0)),"Open PDF"))</f>
        <v/>
      </c>
    </row>
    <row r="740" ht="188" customHeight="1">
      <c r="A740" s="8">
        <f>IF(ISNA(MATCH(731,'Transfer Engine'!$C$2:$C$1369,0)),"",INDEX('Compliance Database'!$A$2:$A$1369,MATCH(731,'Transfer Engine'!$C$2:$C$1369,0)))</f>
        <v/>
      </c>
      <c r="B740" s="8">
        <f>IF(ISNA(MATCH(731,'Transfer Engine'!$C$2:$C$1369,0)),"",INDEX('Compliance Database'!$B$2:$B$1369,MATCH(731,'Transfer Engine'!$C$2:$C$1369,0)))</f>
        <v/>
      </c>
      <c r="C740" s="8">
        <f>IF(ISNA(MATCH(731,'Transfer Engine'!$C$2:$C$1369,0)),"",INDEX('Compliance Database'!$C$2:$C$1369,MATCH(731,'Transfer Engine'!$C$2:$C$1369,0)))</f>
        <v/>
      </c>
      <c r="D740" s="9">
        <f>IF(ISNA(MATCH(731,'Transfer Engine'!$C$2:$C$1369,0)),"",INDEX('Compliance Database'!$D$2:$D$1369,MATCH(731,'Transfer Engine'!$C$2:$C$1369,0)))</f>
        <v/>
      </c>
      <c r="E740" s="8">
        <f>IF(ISNA(MATCH(731,'Transfer Engine'!$C$2:$C$1369,0)),"",INDEX('Compliance Database'!$E$2:$E$1369,MATCH(731,'Transfer Engine'!$C$2:$C$1369,0)))</f>
        <v/>
      </c>
      <c r="F740" s="8">
        <f>IF(ISNA(MATCH(731,'Transfer Engine'!$C$2:$C$1369,0)),"",INDEX('Compliance Database'!$F$2:$F$1369,MATCH(731,'Transfer Engine'!$C$2:$C$1369,0)))</f>
        <v/>
      </c>
      <c r="G740" s="8">
        <f>IF(ISNA(MATCH(731,'Transfer Engine'!$C$2:$C$1369,0)),"",INDEX('Compliance Database'!$G$2:$G$1369,MATCH(731,'Transfer Engine'!$C$2:$C$1369,0)))</f>
        <v/>
      </c>
      <c r="H740" s="9">
        <f>IF(ISNA(MATCH(731,'Transfer Engine'!$C$2:$C$1369,0)),"",INDEX('Compliance Database'!$H$2:$H$1369,MATCH(731,'Transfer Engine'!$C$2:$C$1369,0)))</f>
        <v/>
      </c>
      <c r="I740" s="9">
        <f>IF(ISNA(MATCH(731,'Transfer Engine'!$C$2:$C$1369,0)),"",INDEX('Compliance Database'!$I$2:$I$1369,MATCH(731,'Transfer Engine'!$C$2:$C$1369,0)))</f>
        <v/>
      </c>
      <c r="J740" s="8">
        <f>IF(ISNA(MATCH(731,'Transfer Engine'!$C$2:$C$1369,0)),"",INDEX('Compliance Database'!$J$2:$J$1369,MATCH(731,'Transfer Engine'!$C$2:$C$1369,0)))</f>
        <v/>
      </c>
      <c r="K740" s="9">
        <f>IF(ISNA(MATCH(731,'Transfer Engine'!$C$2:$C$1369,0)),"",INDEX('Compliance Database'!$K$2:$K$1369,MATCH(731,'Transfer Engine'!$C$2:$C$1369,0)))</f>
        <v/>
      </c>
      <c r="L740" s="9">
        <f>IF(ISNA(MATCH(731,'Transfer Engine'!$C$2:$C$1369,0)),"",INDEX('Compliance Database'!$L$2:$L$1369,MATCH(731,'Transfer Engine'!$C$2:$C$1369,0)))</f>
        <v/>
      </c>
      <c r="M740" s="9">
        <f>IF(ISNA(MATCH(731,'Transfer Engine'!$C$2:$C$1369,0)),"",INDEX('Compliance Database'!$M$2:$M$1369,MATCH(731,'Transfer Engine'!$C$2:$C$1369,0)))</f>
        <v/>
      </c>
      <c r="N740" s="9">
        <f>IF(ISNA(MATCH(731,'Transfer Engine'!$C$2:$C$1369,0)),"",INDEX('Compliance Database'!$N$2:$N$1369,MATCH(731,'Transfer Engine'!$C$2:$C$1369,0)))</f>
        <v/>
      </c>
      <c r="O740" s="8">
        <f>IF(ISNA(MATCH(731,'Transfer Engine'!$C$2:$C$1369,0)),"",HYPERLINK(INDEX('Compliance Database'!$O$2:$O$1369,MATCH(731,'Transfer Engine'!$C$2:$C$1369,0)),"Open PDF"))</f>
        <v/>
      </c>
    </row>
    <row r="741" ht="188" customHeight="1">
      <c r="A741" s="8">
        <f>IF(ISNA(MATCH(732,'Transfer Engine'!$C$2:$C$1369,0)),"",INDEX('Compliance Database'!$A$2:$A$1369,MATCH(732,'Transfer Engine'!$C$2:$C$1369,0)))</f>
        <v/>
      </c>
      <c r="B741" s="8">
        <f>IF(ISNA(MATCH(732,'Transfer Engine'!$C$2:$C$1369,0)),"",INDEX('Compliance Database'!$B$2:$B$1369,MATCH(732,'Transfer Engine'!$C$2:$C$1369,0)))</f>
        <v/>
      </c>
      <c r="C741" s="8">
        <f>IF(ISNA(MATCH(732,'Transfer Engine'!$C$2:$C$1369,0)),"",INDEX('Compliance Database'!$C$2:$C$1369,MATCH(732,'Transfer Engine'!$C$2:$C$1369,0)))</f>
        <v/>
      </c>
      <c r="D741" s="9">
        <f>IF(ISNA(MATCH(732,'Transfer Engine'!$C$2:$C$1369,0)),"",INDEX('Compliance Database'!$D$2:$D$1369,MATCH(732,'Transfer Engine'!$C$2:$C$1369,0)))</f>
        <v/>
      </c>
      <c r="E741" s="8">
        <f>IF(ISNA(MATCH(732,'Transfer Engine'!$C$2:$C$1369,0)),"",INDEX('Compliance Database'!$E$2:$E$1369,MATCH(732,'Transfer Engine'!$C$2:$C$1369,0)))</f>
        <v/>
      </c>
      <c r="F741" s="8">
        <f>IF(ISNA(MATCH(732,'Transfer Engine'!$C$2:$C$1369,0)),"",INDEX('Compliance Database'!$F$2:$F$1369,MATCH(732,'Transfer Engine'!$C$2:$C$1369,0)))</f>
        <v/>
      </c>
      <c r="G741" s="8">
        <f>IF(ISNA(MATCH(732,'Transfer Engine'!$C$2:$C$1369,0)),"",INDEX('Compliance Database'!$G$2:$G$1369,MATCH(732,'Transfer Engine'!$C$2:$C$1369,0)))</f>
        <v/>
      </c>
      <c r="H741" s="9">
        <f>IF(ISNA(MATCH(732,'Transfer Engine'!$C$2:$C$1369,0)),"",INDEX('Compliance Database'!$H$2:$H$1369,MATCH(732,'Transfer Engine'!$C$2:$C$1369,0)))</f>
        <v/>
      </c>
      <c r="I741" s="9">
        <f>IF(ISNA(MATCH(732,'Transfer Engine'!$C$2:$C$1369,0)),"",INDEX('Compliance Database'!$I$2:$I$1369,MATCH(732,'Transfer Engine'!$C$2:$C$1369,0)))</f>
        <v/>
      </c>
      <c r="J741" s="8">
        <f>IF(ISNA(MATCH(732,'Transfer Engine'!$C$2:$C$1369,0)),"",INDEX('Compliance Database'!$J$2:$J$1369,MATCH(732,'Transfer Engine'!$C$2:$C$1369,0)))</f>
        <v/>
      </c>
      <c r="K741" s="9">
        <f>IF(ISNA(MATCH(732,'Transfer Engine'!$C$2:$C$1369,0)),"",INDEX('Compliance Database'!$K$2:$K$1369,MATCH(732,'Transfer Engine'!$C$2:$C$1369,0)))</f>
        <v/>
      </c>
      <c r="L741" s="9">
        <f>IF(ISNA(MATCH(732,'Transfer Engine'!$C$2:$C$1369,0)),"",INDEX('Compliance Database'!$L$2:$L$1369,MATCH(732,'Transfer Engine'!$C$2:$C$1369,0)))</f>
        <v/>
      </c>
      <c r="M741" s="9">
        <f>IF(ISNA(MATCH(732,'Transfer Engine'!$C$2:$C$1369,0)),"",INDEX('Compliance Database'!$M$2:$M$1369,MATCH(732,'Transfer Engine'!$C$2:$C$1369,0)))</f>
        <v/>
      </c>
      <c r="N741" s="9">
        <f>IF(ISNA(MATCH(732,'Transfer Engine'!$C$2:$C$1369,0)),"",INDEX('Compliance Database'!$N$2:$N$1369,MATCH(732,'Transfer Engine'!$C$2:$C$1369,0)))</f>
        <v/>
      </c>
      <c r="O741" s="8">
        <f>IF(ISNA(MATCH(732,'Transfer Engine'!$C$2:$C$1369,0)),"",HYPERLINK(INDEX('Compliance Database'!$O$2:$O$1369,MATCH(732,'Transfer Engine'!$C$2:$C$1369,0)),"Open PDF"))</f>
        <v/>
      </c>
    </row>
    <row r="742" ht="188" customHeight="1">
      <c r="A742" s="8">
        <f>IF(ISNA(MATCH(733,'Transfer Engine'!$C$2:$C$1369,0)),"",INDEX('Compliance Database'!$A$2:$A$1369,MATCH(733,'Transfer Engine'!$C$2:$C$1369,0)))</f>
        <v/>
      </c>
      <c r="B742" s="8">
        <f>IF(ISNA(MATCH(733,'Transfer Engine'!$C$2:$C$1369,0)),"",INDEX('Compliance Database'!$B$2:$B$1369,MATCH(733,'Transfer Engine'!$C$2:$C$1369,0)))</f>
        <v/>
      </c>
      <c r="C742" s="8">
        <f>IF(ISNA(MATCH(733,'Transfer Engine'!$C$2:$C$1369,0)),"",INDEX('Compliance Database'!$C$2:$C$1369,MATCH(733,'Transfer Engine'!$C$2:$C$1369,0)))</f>
        <v/>
      </c>
      <c r="D742" s="9">
        <f>IF(ISNA(MATCH(733,'Transfer Engine'!$C$2:$C$1369,0)),"",INDEX('Compliance Database'!$D$2:$D$1369,MATCH(733,'Transfer Engine'!$C$2:$C$1369,0)))</f>
        <v/>
      </c>
      <c r="E742" s="8">
        <f>IF(ISNA(MATCH(733,'Transfer Engine'!$C$2:$C$1369,0)),"",INDEX('Compliance Database'!$E$2:$E$1369,MATCH(733,'Transfer Engine'!$C$2:$C$1369,0)))</f>
        <v/>
      </c>
      <c r="F742" s="8">
        <f>IF(ISNA(MATCH(733,'Transfer Engine'!$C$2:$C$1369,0)),"",INDEX('Compliance Database'!$F$2:$F$1369,MATCH(733,'Transfer Engine'!$C$2:$C$1369,0)))</f>
        <v/>
      </c>
      <c r="G742" s="8">
        <f>IF(ISNA(MATCH(733,'Transfer Engine'!$C$2:$C$1369,0)),"",INDEX('Compliance Database'!$G$2:$G$1369,MATCH(733,'Transfer Engine'!$C$2:$C$1369,0)))</f>
        <v/>
      </c>
      <c r="H742" s="9">
        <f>IF(ISNA(MATCH(733,'Transfer Engine'!$C$2:$C$1369,0)),"",INDEX('Compliance Database'!$H$2:$H$1369,MATCH(733,'Transfer Engine'!$C$2:$C$1369,0)))</f>
        <v/>
      </c>
      <c r="I742" s="9">
        <f>IF(ISNA(MATCH(733,'Transfer Engine'!$C$2:$C$1369,0)),"",INDEX('Compliance Database'!$I$2:$I$1369,MATCH(733,'Transfer Engine'!$C$2:$C$1369,0)))</f>
        <v/>
      </c>
      <c r="J742" s="8">
        <f>IF(ISNA(MATCH(733,'Transfer Engine'!$C$2:$C$1369,0)),"",INDEX('Compliance Database'!$J$2:$J$1369,MATCH(733,'Transfer Engine'!$C$2:$C$1369,0)))</f>
        <v/>
      </c>
      <c r="K742" s="9">
        <f>IF(ISNA(MATCH(733,'Transfer Engine'!$C$2:$C$1369,0)),"",INDEX('Compliance Database'!$K$2:$K$1369,MATCH(733,'Transfer Engine'!$C$2:$C$1369,0)))</f>
        <v/>
      </c>
      <c r="L742" s="9">
        <f>IF(ISNA(MATCH(733,'Transfer Engine'!$C$2:$C$1369,0)),"",INDEX('Compliance Database'!$L$2:$L$1369,MATCH(733,'Transfer Engine'!$C$2:$C$1369,0)))</f>
        <v/>
      </c>
      <c r="M742" s="9">
        <f>IF(ISNA(MATCH(733,'Transfer Engine'!$C$2:$C$1369,0)),"",INDEX('Compliance Database'!$M$2:$M$1369,MATCH(733,'Transfer Engine'!$C$2:$C$1369,0)))</f>
        <v/>
      </c>
      <c r="N742" s="9">
        <f>IF(ISNA(MATCH(733,'Transfer Engine'!$C$2:$C$1369,0)),"",INDEX('Compliance Database'!$N$2:$N$1369,MATCH(733,'Transfer Engine'!$C$2:$C$1369,0)))</f>
        <v/>
      </c>
      <c r="O742" s="8">
        <f>IF(ISNA(MATCH(733,'Transfer Engine'!$C$2:$C$1369,0)),"",HYPERLINK(INDEX('Compliance Database'!$O$2:$O$1369,MATCH(733,'Transfer Engine'!$C$2:$C$1369,0)),"Open PDF"))</f>
        <v/>
      </c>
    </row>
    <row r="743" ht="188" customHeight="1">
      <c r="A743" s="8">
        <f>IF(ISNA(MATCH(734,'Transfer Engine'!$C$2:$C$1369,0)),"",INDEX('Compliance Database'!$A$2:$A$1369,MATCH(734,'Transfer Engine'!$C$2:$C$1369,0)))</f>
        <v/>
      </c>
      <c r="B743" s="8">
        <f>IF(ISNA(MATCH(734,'Transfer Engine'!$C$2:$C$1369,0)),"",INDEX('Compliance Database'!$B$2:$B$1369,MATCH(734,'Transfer Engine'!$C$2:$C$1369,0)))</f>
        <v/>
      </c>
      <c r="C743" s="8">
        <f>IF(ISNA(MATCH(734,'Transfer Engine'!$C$2:$C$1369,0)),"",INDEX('Compliance Database'!$C$2:$C$1369,MATCH(734,'Transfer Engine'!$C$2:$C$1369,0)))</f>
        <v/>
      </c>
      <c r="D743" s="9">
        <f>IF(ISNA(MATCH(734,'Transfer Engine'!$C$2:$C$1369,0)),"",INDEX('Compliance Database'!$D$2:$D$1369,MATCH(734,'Transfer Engine'!$C$2:$C$1369,0)))</f>
        <v/>
      </c>
      <c r="E743" s="8">
        <f>IF(ISNA(MATCH(734,'Transfer Engine'!$C$2:$C$1369,0)),"",INDEX('Compliance Database'!$E$2:$E$1369,MATCH(734,'Transfer Engine'!$C$2:$C$1369,0)))</f>
        <v/>
      </c>
      <c r="F743" s="8">
        <f>IF(ISNA(MATCH(734,'Transfer Engine'!$C$2:$C$1369,0)),"",INDEX('Compliance Database'!$F$2:$F$1369,MATCH(734,'Transfer Engine'!$C$2:$C$1369,0)))</f>
        <v/>
      </c>
      <c r="G743" s="8">
        <f>IF(ISNA(MATCH(734,'Transfer Engine'!$C$2:$C$1369,0)),"",INDEX('Compliance Database'!$G$2:$G$1369,MATCH(734,'Transfer Engine'!$C$2:$C$1369,0)))</f>
        <v/>
      </c>
      <c r="H743" s="9">
        <f>IF(ISNA(MATCH(734,'Transfer Engine'!$C$2:$C$1369,0)),"",INDEX('Compliance Database'!$H$2:$H$1369,MATCH(734,'Transfer Engine'!$C$2:$C$1369,0)))</f>
        <v/>
      </c>
      <c r="I743" s="9">
        <f>IF(ISNA(MATCH(734,'Transfer Engine'!$C$2:$C$1369,0)),"",INDEX('Compliance Database'!$I$2:$I$1369,MATCH(734,'Transfer Engine'!$C$2:$C$1369,0)))</f>
        <v/>
      </c>
      <c r="J743" s="8">
        <f>IF(ISNA(MATCH(734,'Transfer Engine'!$C$2:$C$1369,0)),"",INDEX('Compliance Database'!$J$2:$J$1369,MATCH(734,'Transfer Engine'!$C$2:$C$1369,0)))</f>
        <v/>
      </c>
      <c r="K743" s="9">
        <f>IF(ISNA(MATCH(734,'Transfer Engine'!$C$2:$C$1369,0)),"",INDEX('Compliance Database'!$K$2:$K$1369,MATCH(734,'Transfer Engine'!$C$2:$C$1369,0)))</f>
        <v/>
      </c>
      <c r="L743" s="9">
        <f>IF(ISNA(MATCH(734,'Transfer Engine'!$C$2:$C$1369,0)),"",INDEX('Compliance Database'!$L$2:$L$1369,MATCH(734,'Transfer Engine'!$C$2:$C$1369,0)))</f>
        <v/>
      </c>
      <c r="M743" s="9">
        <f>IF(ISNA(MATCH(734,'Transfer Engine'!$C$2:$C$1369,0)),"",INDEX('Compliance Database'!$M$2:$M$1369,MATCH(734,'Transfer Engine'!$C$2:$C$1369,0)))</f>
        <v/>
      </c>
      <c r="N743" s="9">
        <f>IF(ISNA(MATCH(734,'Transfer Engine'!$C$2:$C$1369,0)),"",INDEX('Compliance Database'!$N$2:$N$1369,MATCH(734,'Transfer Engine'!$C$2:$C$1369,0)))</f>
        <v/>
      </c>
      <c r="O743" s="8">
        <f>IF(ISNA(MATCH(734,'Transfer Engine'!$C$2:$C$1369,0)),"",HYPERLINK(INDEX('Compliance Database'!$O$2:$O$1369,MATCH(734,'Transfer Engine'!$C$2:$C$1369,0)),"Open PDF"))</f>
        <v/>
      </c>
    </row>
    <row r="744" ht="188" customHeight="1">
      <c r="A744" s="8">
        <f>IF(ISNA(MATCH(735,'Transfer Engine'!$C$2:$C$1369,0)),"",INDEX('Compliance Database'!$A$2:$A$1369,MATCH(735,'Transfer Engine'!$C$2:$C$1369,0)))</f>
        <v/>
      </c>
      <c r="B744" s="8">
        <f>IF(ISNA(MATCH(735,'Transfer Engine'!$C$2:$C$1369,0)),"",INDEX('Compliance Database'!$B$2:$B$1369,MATCH(735,'Transfer Engine'!$C$2:$C$1369,0)))</f>
        <v/>
      </c>
      <c r="C744" s="8">
        <f>IF(ISNA(MATCH(735,'Transfer Engine'!$C$2:$C$1369,0)),"",INDEX('Compliance Database'!$C$2:$C$1369,MATCH(735,'Transfer Engine'!$C$2:$C$1369,0)))</f>
        <v/>
      </c>
      <c r="D744" s="9">
        <f>IF(ISNA(MATCH(735,'Transfer Engine'!$C$2:$C$1369,0)),"",INDEX('Compliance Database'!$D$2:$D$1369,MATCH(735,'Transfer Engine'!$C$2:$C$1369,0)))</f>
        <v/>
      </c>
      <c r="E744" s="8">
        <f>IF(ISNA(MATCH(735,'Transfer Engine'!$C$2:$C$1369,0)),"",INDEX('Compliance Database'!$E$2:$E$1369,MATCH(735,'Transfer Engine'!$C$2:$C$1369,0)))</f>
        <v/>
      </c>
      <c r="F744" s="8">
        <f>IF(ISNA(MATCH(735,'Transfer Engine'!$C$2:$C$1369,0)),"",INDEX('Compliance Database'!$F$2:$F$1369,MATCH(735,'Transfer Engine'!$C$2:$C$1369,0)))</f>
        <v/>
      </c>
      <c r="G744" s="8">
        <f>IF(ISNA(MATCH(735,'Transfer Engine'!$C$2:$C$1369,0)),"",INDEX('Compliance Database'!$G$2:$G$1369,MATCH(735,'Transfer Engine'!$C$2:$C$1369,0)))</f>
        <v/>
      </c>
      <c r="H744" s="9">
        <f>IF(ISNA(MATCH(735,'Transfer Engine'!$C$2:$C$1369,0)),"",INDEX('Compliance Database'!$H$2:$H$1369,MATCH(735,'Transfer Engine'!$C$2:$C$1369,0)))</f>
        <v/>
      </c>
      <c r="I744" s="9">
        <f>IF(ISNA(MATCH(735,'Transfer Engine'!$C$2:$C$1369,0)),"",INDEX('Compliance Database'!$I$2:$I$1369,MATCH(735,'Transfer Engine'!$C$2:$C$1369,0)))</f>
        <v/>
      </c>
      <c r="J744" s="8">
        <f>IF(ISNA(MATCH(735,'Transfer Engine'!$C$2:$C$1369,0)),"",INDEX('Compliance Database'!$J$2:$J$1369,MATCH(735,'Transfer Engine'!$C$2:$C$1369,0)))</f>
        <v/>
      </c>
      <c r="K744" s="9">
        <f>IF(ISNA(MATCH(735,'Transfer Engine'!$C$2:$C$1369,0)),"",INDEX('Compliance Database'!$K$2:$K$1369,MATCH(735,'Transfer Engine'!$C$2:$C$1369,0)))</f>
        <v/>
      </c>
      <c r="L744" s="9">
        <f>IF(ISNA(MATCH(735,'Transfer Engine'!$C$2:$C$1369,0)),"",INDEX('Compliance Database'!$L$2:$L$1369,MATCH(735,'Transfer Engine'!$C$2:$C$1369,0)))</f>
        <v/>
      </c>
      <c r="M744" s="9">
        <f>IF(ISNA(MATCH(735,'Transfer Engine'!$C$2:$C$1369,0)),"",INDEX('Compliance Database'!$M$2:$M$1369,MATCH(735,'Transfer Engine'!$C$2:$C$1369,0)))</f>
        <v/>
      </c>
      <c r="N744" s="9">
        <f>IF(ISNA(MATCH(735,'Transfer Engine'!$C$2:$C$1369,0)),"",INDEX('Compliance Database'!$N$2:$N$1369,MATCH(735,'Transfer Engine'!$C$2:$C$1369,0)))</f>
        <v/>
      </c>
      <c r="O744" s="8">
        <f>IF(ISNA(MATCH(735,'Transfer Engine'!$C$2:$C$1369,0)),"",HYPERLINK(INDEX('Compliance Database'!$O$2:$O$1369,MATCH(735,'Transfer Engine'!$C$2:$C$1369,0)),"Open PDF"))</f>
        <v/>
      </c>
    </row>
    <row r="745" ht="188" customHeight="1">
      <c r="A745" s="8">
        <f>IF(ISNA(MATCH(736,'Transfer Engine'!$C$2:$C$1369,0)),"",INDEX('Compliance Database'!$A$2:$A$1369,MATCH(736,'Transfer Engine'!$C$2:$C$1369,0)))</f>
        <v/>
      </c>
      <c r="B745" s="8">
        <f>IF(ISNA(MATCH(736,'Transfer Engine'!$C$2:$C$1369,0)),"",INDEX('Compliance Database'!$B$2:$B$1369,MATCH(736,'Transfer Engine'!$C$2:$C$1369,0)))</f>
        <v/>
      </c>
      <c r="C745" s="8">
        <f>IF(ISNA(MATCH(736,'Transfer Engine'!$C$2:$C$1369,0)),"",INDEX('Compliance Database'!$C$2:$C$1369,MATCH(736,'Transfer Engine'!$C$2:$C$1369,0)))</f>
        <v/>
      </c>
      <c r="D745" s="9">
        <f>IF(ISNA(MATCH(736,'Transfer Engine'!$C$2:$C$1369,0)),"",INDEX('Compliance Database'!$D$2:$D$1369,MATCH(736,'Transfer Engine'!$C$2:$C$1369,0)))</f>
        <v/>
      </c>
      <c r="E745" s="8">
        <f>IF(ISNA(MATCH(736,'Transfer Engine'!$C$2:$C$1369,0)),"",INDEX('Compliance Database'!$E$2:$E$1369,MATCH(736,'Transfer Engine'!$C$2:$C$1369,0)))</f>
        <v/>
      </c>
      <c r="F745" s="8">
        <f>IF(ISNA(MATCH(736,'Transfer Engine'!$C$2:$C$1369,0)),"",INDEX('Compliance Database'!$F$2:$F$1369,MATCH(736,'Transfer Engine'!$C$2:$C$1369,0)))</f>
        <v/>
      </c>
      <c r="G745" s="8">
        <f>IF(ISNA(MATCH(736,'Transfer Engine'!$C$2:$C$1369,0)),"",INDEX('Compliance Database'!$G$2:$G$1369,MATCH(736,'Transfer Engine'!$C$2:$C$1369,0)))</f>
        <v/>
      </c>
      <c r="H745" s="9">
        <f>IF(ISNA(MATCH(736,'Transfer Engine'!$C$2:$C$1369,0)),"",INDEX('Compliance Database'!$H$2:$H$1369,MATCH(736,'Transfer Engine'!$C$2:$C$1369,0)))</f>
        <v/>
      </c>
      <c r="I745" s="9">
        <f>IF(ISNA(MATCH(736,'Transfer Engine'!$C$2:$C$1369,0)),"",INDEX('Compliance Database'!$I$2:$I$1369,MATCH(736,'Transfer Engine'!$C$2:$C$1369,0)))</f>
        <v/>
      </c>
      <c r="J745" s="8">
        <f>IF(ISNA(MATCH(736,'Transfer Engine'!$C$2:$C$1369,0)),"",INDEX('Compliance Database'!$J$2:$J$1369,MATCH(736,'Transfer Engine'!$C$2:$C$1369,0)))</f>
        <v/>
      </c>
      <c r="K745" s="9">
        <f>IF(ISNA(MATCH(736,'Transfer Engine'!$C$2:$C$1369,0)),"",INDEX('Compliance Database'!$K$2:$K$1369,MATCH(736,'Transfer Engine'!$C$2:$C$1369,0)))</f>
        <v/>
      </c>
      <c r="L745" s="9">
        <f>IF(ISNA(MATCH(736,'Transfer Engine'!$C$2:$C$1369,0)),"",INDEX('Compliance Database'!$L$2:$L$1369,MATCH(736,'Transfer Engine'!$C$2:$C$1369,0)))</f>
        <v/>
      </c>
      <c r="M745" s="9">
        <f>IF(ISNA(MATCH(736,'Transfer Engine'!$C$2:$C$1369,0)),"",INDEX('Compliance Database'!$M$2:$M$1369,MATCH(736,'Transfer Engine'!$C$2:$C$1369,0)))</f>
        <v/>
      </c>
      <c r="N745" s="9">
        <f>IF(ISNA(MATCH(736,'Transfer Engine'!$C$2:$C$1369,0)),"",INDEX('Compliance Database'!$N$2:$N$1369,MATCH(736,'Transfer Engine'!$C$2:$C$1369,0)))</f>
        <v/>
      </c>
      <c r="O745" s="8">
        <f>IF(ISNA(MATCH(736,'Transfer Engine'!$C$2:$C$1369,0)),"",HYPERLINK(INDEX('Compliance Database'!$O$2:$O$1369,MATCH(736,'Transfer Engine'!$C$2:$C$1369,0)),"Open PDF"))</f>
        <v/>
      </c>
    </row>
    <row r="746" ht="188" customHeight="1">
      <c r="A746" s="8">
        <f>IF(ISNA(MATCH(737,'Transfer Engine'!$C$2:$C$1369,0)),"",INDEX('Compliance Database'!$A$2:$A$1369,MATCH(737,'Transfer Engine'!$C$2:$C$1369,0)))</f>
        <v/>
      </c>
      <c r="B746" s="8">
        <f>IF(ISNA(MATCH(737,'Transfer Engine'!$C$2:$C$1369,0)),"",INDEX('Compliance Database'!$B$2:$B$1369,MATCH(737,'Transfer Engine'!$C$2:$C$1369,0)))</f>
        <v/>
      </c>
      <c r="C746" s="8">
        <f>IF(ISNA(MATCH(737,'Transfer Engine'!$C$2:$C$1369,0)),"",INDEX('Compliance Database'!$C$2:$C$1369,MATCH(737,'Transfer Engine'!$C$2:$C$1369,0)))</f>
        <v/>
      </c>
      <c r="D746" s="9">
        <f>IF(ISNA(MATCH(737,'Transfer Engine'!$C$2:$C$1369,0)),"",INDEX('Compliance Database'!$D$2:$D$1369,MATCH(737,'Transfer Engine'!$C$2:$C$1369,0)))</f>
        <v/>
      </c>
      <c r="E746" s="8">
        <f>IF(ISNA(MATCH(737,'Transfer Engine'!$C$2:$C$1369,0)),"",INDEX('Compliance Database'!$E$2:$E$1369,MATCH(737,'Transfer Engine'!$C$2:$C$1369,0)))</f>
        <v/>
      </c>
      <c r="F746" s="8">
        <f>IF(ISNA(MATCH(737,'Transfer Engine'!$C$2:$C$1369,0)),"",INDEX('Compliance Database'!$F$2:$F$1369,MATCH(737,'Transfer Engine'!$C$2:$C$1369,0)))</f>
        <v/>
      </c>
      <c r="G746" s="8">
        <f>IF(ISNA(MATCH(737,'Transfer Engine'!$C$2:$C$1369,0)),"",INDEX('Compliance Database'!$G$2:$G$1369,MATCH(737,'Transfer Engine'!$C$2:$C$1369,0)))</f>
        <v/>
      </c>
      <c r="H746" s="9">
        <f>IF(ISNA(MATCH(737,'Transfer Engine'!$C$2:$C$1369,0)),"",INDEX('Compliance Database'!$H$2:$H$1369,MATCH(737,'Transfer Engine'!$C$2:$C$1369,0)))</f>
        <v/>
      </c>
      <c r="I746" s="9">
        <f>IF(ISNA(MATCH(737,'Transfer Engine'!$C$2:$C$1369,0)),"",INDEX('Compliance Database'!$I$2:$I$1369,MATCH(737,'Transfer Engine'!$C$2:$C$1369,0)))</f>
        <v/>
      </c>
      <c r="J746" s="8">
        <f>IF(ISNA(MATCH(737,'Transfer Engine'!$C$2:$C$1369,0)),"",INDEX('Compliance Database'!$J$2:$J$1369,MATCH(737,'Transfer Engine'!$C$2:$C$1369,0)))</f>
        <v/>
      </c>
      <c r="K746" s="9">
        <f>IF(ISNA(MATCH(737,'Transfer Engine'!$C$2:$C$1369,0)),"",INDEX('Compliance Database'!$K$2:$K$1369,MATCH(737,'Transfer Engine'!$C$2:$C$1369,0)))</f>
        <v/>
      </c>
      <c r="L746" s="9">
        <f>IF(ISNA(MATCH(737,'Transfer Engine'!$C$2:$C$1369,0)),"",INDEX('Compliance Database'!$L$2:$L$1369,MATCH(737,'Transfer Engine'!$C$2:$C$1369,0)))</f>
        <v/>
      </c>
      <c r="M746" s="9">
        <f>IF(ISNA(MATCH(737,'Transfer Engine'!$C$2:$C$1369,0)),"",INDEX('Compliance Database'!$M$2:$M$1369,MATCH(737,'Transfer Engine'!$C$2:$C$1369,0)))</f>
        <v/>
      </c>
      <c r="N746" s="9">
        <f>IF(ISNA(MATCH(737,'Transfer Engine'!$C$2:$C$1369,0)),"",INDEX('Compliance Database'!$N$2:$N$1369,MATCH(737,'Transfer Engine'!$C$2:$C$1369,0)))</f>
        <v/>
      </c>
      <c r="O746" s="8">
        <f>IF(ISNA(MATCH(737,'Transfer Engine'!$C$2:$C$1369,0)),"",HYPERLINK(INDEX('Compliance Database'!$O$2:$O$1369,MATCH(737,'Transfer Engine'!$C$2:$C$1369,0)),"Open PDF"))</f>
        <v/>
      </c>
    </row>
    <row r="747" ht="188" customHeight="1">
      <c r="A747" s="8">
        <f>IF(ISNA(MATCH(738,'Transfer Engine'!$C$2:$C$1369,0)),"",INDEX('Compliance Database'!$A$2:$A$1369,MATCH(738,'Transfer Engine'!$C$2:$C$1369,0)))</f>
        <v/>
      </c>
      <c r="B747" s="8">
        <f>IF(ISNA(MATCH(738,'Transfer Engine'!$C$2:$C$1369,0)),"",INDEX('Compliance Database'!$B$2:$B$1369,MATCH(738,'Transfer Engine'!$C$2:$C$1369,0)))</f>
        <v/>
      </c>
      <c r="C747" s="8">
        <f>IF(ISNA(MATCH(738,'Transfer Engine'!$C$2:$C$1369,0)),"",INDEX('Compliance Database'!$C$2:$C$1369,MATCH(738,'Transfer Engine'!$C$2:$C$1369,0)))</f>
        <v/>
      </c>
      <c r="D747" s="9">
        <f>IF(ISNA(MATCH(738,'Transfer Engine'!$C$2:$C$1369,0)),"",INDEX('Compliance Database'!$D$2:$D$1369,MATCH(738,'Transfer Engine'!$C$2:$C$1369,0)))</f>
        <v/>
      </c>
      <c r="E747" s="8">
        <f>IF(ISNA(MATCH(738,'Transfer Engine'!$C$2:$C$1369,0)),"",INDEX('Compliance Database'!$E$2:$E$1369,MATCH(738,'Transfer Engine'!$C$2:$C$1369,0)))</f>
        <v/>
      </c>
      <c r="F747" s="8">
        <f>IF(ISNA(MATCH(738,'Transfer Engine'!$C$2:$C$1369,0)),"",INDEX('Compliance Database'!$F$2:$F$1369,MATCH(738,'Transfer Engine'!$C$2:$C$1369,0)))</f>
        <v/>
      </c>
      <c r="G747" s="8">
        <f>IF(ISNA(MATCH(738,'Transfer Engine'!$C$2:$C$1369,0)),"",INDEX('Compliance Database'!$G$2:$G$1369,MATCH(738,'Transfer Engine'!$C$2:$C$1369,0)))</f>
        <v/>
      </c>
      <c r="H747" s="9">
        <f>IF(ISNA(MATCH(738,'Transfer Engine'!$C$2:$C$1369,0)),"",INDEX('Compliance Database'!$H$2:$H$1369,MATCH(738,'Transfer Engine'!$C$2:$C$1369,0)))</f>
        <v/>
      </c>
      <c r="I747" s="9">
        <f>IF(ISNA(MATCH(738,'Transfer Engine'!$C$2:$C$1369,0)),"",INDEX('Compliance Database'!$I$2:$I$1369,MATCH(738,'Transfer Engine'!$C$2:$C$1369,0)))</f>
        <v/>
      </c>
      <c r="J747" s="8">
        <f>IF(ISNA(MATCH(738,'Transfer Engine'!$C$2:$C$1369,0)),"",INDEX('Compliance Database'!$J$2:$J$1369,MATCH(738,'Transfer Engine'!$C$2:$C$1369,0)))</f>
        <v/>
      </c>
      <c r="K747" s="9">
        <f>IF(ISNA(MATCH(738,'Transfer Engine'!$C$2:$C$1369,0)),"",INDEX('Compliance Database'!$K$2:$K$1369,MATCH(738,'Transfer Engine'!$C$2:$C$1369,0)))</f>
        <v/>
      </c>
      <c r="L747" s="9">
        <f>IF(ISNA(MATCH(738,'Transfer Engine'!$C$2:$C$1369,0)),"",INDEX('Compliance Database'!$L$2:$L$1369,MATCH(738,'Transfer Engine'!$C$2:$C$1369,0)))</f>
        <v/>
      </c>
      <c r="M747" s="9">
        <f>IF(ISNA(MATCH(738,'Transfer Engine'!$C$2:$C$1369,0)),"",INDEX('Compliance Database'!$M$2:$M$1369,MATCH(738,'Transfer Engine'!$C$2:$C$1369,0)))</f>
        <v/>
      </c>
      <c r="N747" s="9">
        <f>IF(ISNA(MATCH(738,'Transfer Engine'!$C$2:$C$1369,0)),"",INDEX('Compliance Database'!$N$2:$N$1369,MATCH(738,'Transfer Engine'!$C$2:$C$1369,0)))</f>
        <v/>
      </c>
      <c r="O747" s="8">
        <f>IF(ISNA(MATCH(738,'Transfer Engine'!$C$2:$C$1369,0)),"",HYPERLINK(INDEX('Compliance Database'!$O$2:$O$1369,MATCH(738,'Transfer Engine'!$C$2:$C$1369,0)),"Open PDF"))</f>
        <v/>
      </c>
    </row>
    <row r="748" ht="188" customHeight="1">
      <c r="A748" s="8">
        <f>IF(ISNA(MATCH(739,'Transfer Engine'!$C$2:$C$1369,0)),"",INDEX('Compliance Database'!$A$2:$A$1369,MATCH(739,'Transfer Engine'!$C$2:$C$1369,0)))</f>
        <v/>
      </c>
      <c r="B748" s="8">
        <f>IF(ISNA(MATCH(739,'Transfer Engine'!$C$2:$C$1369,0)),"",INDEX('Compliance Database'!$B$2:$B$1369,MATCH(739,'Transfer Engine'!$C$2:$C$1369,0)))</f>
        <v/>
      </c>
      <c r="C748" s="8">
        <f>IF(ISNA(MATCH(739,'Transfer Engine'!$C$2:$C$1369,0)),"",INDEX('Compliance Database'!$C$2:$C$1369,MATCH(739,'Transfer Engine'!$C$2:$C$1369,0)))</f>
        <v/>
      </c>
      <c r="D748" s="9">
        <f>IF(ISNA(MATCH(739,'Transfer Engine'!$C$2:$C$1369,0)),"",INDEX('Compliance Database'!$D$2:$D$1369,MATCH(739,'Transfer Engine'!$C$2:$C$1369,0)))</f>
        <v/>
      </c>
      <c r="E748" s="8">
        <f>IF(ISNA(MATCH(739,'Transfer Engine'!$C$2:$C$1369,0)),"",INDEX('Compliance Database'!$E$2:$E$1369,MATCH(739,'Transfer Engine'!$C$2:$C$1369,0)))</f>
        <v/>
      </c>
      <c r="F748" s="8">
        <f>IF(ISNA(MATCH(739,'Transfer Engine'!$C$2:$C$1369,0)),"",INDEX('Compliance Database'!$F$2:$F$1369,MATCH(739,'Transfer Engine'!$C$2:$C$1369,0)))</f>
        <v/>
      </c>
      <c r="G748" s="8">
        <f>IF(ISNA(MATCH(739,'Transfer Engine'!$C$2:$C$1369,0)),"",INDEX('Compliance Database'!$G$2:$G$1369,MATCH(739,'Transfer Engine'!$C$2:$C$1369,0)))</f>
        <v/>
      </c>
      <c r="H748" s="9">
        <f>IF(ISNA(MATCH(739,'Transfer Engine'!$C$2:$C$1369,0)),"",INDEX('Compliance Database'!$H$2:$H$1369,MATCH(739,'Transfer Engine'!$C$2:$C$1369,0)))</f>
        <v/>
      </c>
      <c r="I748" s="9">
        <f>IF(ISNA(MATCH(739,'Transfer Engine'!$C$2:$C$1369,0)),"",INDEX('Compliance Database'!$I$2:$I$1369,MATCH(739,'Transfer Engine'!$C$2:$C$1369,0)))</f>
        <v/>
      </c>
      <c r="J748" s="8">
        <f>IF(ISNA(MATCH(739,'Transfer Engine'!$C$2:$C$1369,0)),"",INDEX('Compliance Database'!$J$2:$J$1369,MATCH(739,'Transfer Engine'!$C$2:$C$1369,0)))</f>
        <v/>
      </c>
      <c r="K748" s="9">
        <f>IF(ISNA(MATCH(739,'Transfer Engine'!$C$2:$C$1369,0)),"",INDEX('Compliance Database'!$K$2:$K$1369,MATCH(739,'Transfer Engine'!$C$2:$C$1369,0)))</f>
        <v/>
      </c>
      <c r="L748" s="9">
        <f>IF(ISNA(MATCH(739,'Transfer Engine'!$C$2:$C$1369,0)),"",INDEX('Compliance Database'!$L$2:$L$1369,MATCH(739,'Transfer Engine'!$C$2:$C$1369,0)))</f>
        <v/>
      </c>
      <c r="M748" s="9">
        <f>IF(ISNA(MATCH(739,'Transfer Engine'!$C$2:$C$1369,0)),"",INDEX('Compliance Database'!$M$2:$M$1369,MATCH(739,'Transfer Engine'!$C$2:$C$1369,0)))</f>
        <v/>
      </c>
      <c r="N748" s="9">
        <f>IF(ISNA(MATCH(739,'Transfer Engine'!$C$2:$C$1369,0)),"",INDEX('Compliance Database'!$N$2:$N$1369,MATCH(739,'Transfer Engine'!$C$2:$C$1369,0)))</f>
        <v/>
      </c>
      <c r="O748" s="8">
        <f>IF(ISNA(MATCH(739,'Transfer Engine'!$C$2:$C$1369,0)),"",HYPERLINK(INDEX('Compliance Database'!$O$2:$O$1369,MATCH(739,'Transfer Engine'!$C$2:$C$1369,0)),"Open PDF"))</f>
        <v/>
      </c>
    </row>
    <row r="749" ht="188" customHeight="1">
      <c r="A749" s="8">
        <f>IF(ISNA(MATCH(740,'Transfer Engine'!$C$2:$C$1369,0)),"",INDEX('Compliance Database'!$A$2:$A$1369,MATCH(740,'Transfer Engine'!$C$2:$C$1369,0)))</f>
        <v/>
      </c>
      <c r="B749" s="8">
        <f>IF(ISNA(MATCH(740,'Transfer Engine'!$C$2:$C$1369,0)),"",INDEX('Compliance Database'!$B$2:$B$1369,MATCH(740,'Transfer Engine'!$C$2:$C$1369,0)))</f>
        <v/>
      </c>
      <c r="C749" s="8">
        <f>IF(ISNA(MATCH(740,'Transfer Engine'!$C$2:$C$1369,0)),"",INDEX('Compliance Database'!$C$2:$C$1369,MATCH(740,'Transfer Engine'!$C$2:$C$1369,0)))</f>
        <v/>
      </c>
      <c r="D749" s="9">
        <f>IF(ISNA(MATCH(740,'Transfer Engine'!$C$2:$C$1369,0)),"",INDEX('Compliance Database'!$D$2:$D$1369,MATCH(740,'Transfer Engine'!$C$2:$C$1369,0)))</f>
        <v/>
      </c>
      <c r="E749" s="8">
        <f>IF(ISNA(MATCH(740,'Transfer Engine'!$C$2:$C$1369,0)),"",INDEX('Compliance Database'!$E$2:$E$1369,MATCH(740,'Transfer Engine'!$C$2:$C$1369,0)))</f>
        <v/>
      </c>
      <c r="F749" s="8">
        <f>IF(ISNA(MATCH(740,'Transfer Engine'!$C$2:$C$1369,0)),"",INDEX('Compliance Database'!$F$2:$F$1369,MATCH(740,'Transfer Engine'!$C$2:$C$1369,0)))</f>
        <v/>
      </c>
      <c r="G749" s="8">
        <f>IF(ISNA(MATCH(740,'Transfer Engine'!$C$2:$C$1369,0)),"",INDEX('Compliance Database'!$G$2:$G$1369,MATCH(740,'Transfer Engine'!$C$2:$C$1369,0)))</f>
        <v/>
      </c>
      <c r="H749" s="9">
        <f>IF(ISNA(MATCH(740,'Transfer Engine'!$C$2:$C$1369,0)),"",INDEX('Compliance Database'!$H$2:$H$1369,MATCH(740,'Transfer Engine'!$C$2:$C$1369,0)))</f>
        <v/>
      </c>
      <c r="I749" s="9">
        <f>IF(ISNA(MATCH(740,'Transfer Engine'!$C$2:$C$1369,0)),"",INDEX('Compliance Database'!$I$2:$I$1369,MATCH(740,'Transfer Engine'!$C$2:$C$1369,0)))</f>
        <v/>
      </c>
      <c r="J749" s="8">
        <f>IF(ISNA(MATCH(740,'Transfer Engine'!$C$2:$C$1369,0)),"",INDEX('Compliance Database'!$J$2:$J$1369,MATCH(740,'Transfer Engine'!$C$2:$C$1369,0)))</f>
        <v/>
      </c>
      <c r="K749" s="9">
        <f>IF(ISNA(MATCH(740,'Transfer Engine'!$C$2:$C$1369,0)),"",INDEX('Compliance Database'!$K$2:$K$1369,MATCH(740,'Transfer Engine'!$C$2:$C$1369,0)))</f>
        <v/>
      </c>
      <c r="L749" s="9">
        <f>IF(ISNA(MATCH(740,'Transfer Engine'!$C$2:$C$1369,0)),"",INDEX('Compliance Database'!$L$2:$L$1369,MATCH(740,'Transfer Engine'!$C$2:$C$1369,0)))</f>
        <v/>
      </c>
      <c r="M749" s="9">
        <f>IF(ISNA(MATCH(740,'Transfer Engine'!$C$2:$C$1369,0)),"",INDEX('Compliance Database'!$M$2:$M$1369,MATCH(740,'Transfer Engine'!$C$2:$C$1369,0)))</f>
        <v/>
      </c>
      <c r="N749" s="9">
        <f>IF(ISNA(MATCH(740,'Transfer Engine'!$C$2:$C$1369,0)),"",INDEX('Compliance Database'!$N$2:$N$1369,MATCH(740,'Transfer Engine'!$C$2:$C$1369,0)))</f>
        <v/>
      </c>
      <c r="O749" s="8">
        <f>IF(ISNA(MATCH(740,'Transfer Engine'!$C$2:$C$1369,0)),"",HYPERLINK(INDEX('Compliance Database'!$O$2:$O$1369,MATCH(740,'Transfer Engine'!$C$2:$C$1369,0)),"Open PDF"))</f>
        <v/>
      </c>
    </row>
    <row r="750" ht="188" customHeight="1">
      <c r="A750" s="8">
        <f>IF(ISNA(MATCH(741,'Transfer Engine'!$C$2:$C$1369,0)),"",INDEX('Compliance Database'!$A$2:$A$1369,MATCH(741,'Transfer Engine'!$C$2:$C$1369,0)))</f>
        <v/>
      </c>
      <c r="B750" s="8">
        <f>IF(ISNA(MATCH(741,'Transfer Engine'!$C$2:$C$1369,0)),"",INDEX('Compliance Database'!$B$2:$B$1369,MATCH(741,'Transfer Engine'!$C$2:$C$1369,0)))</f>
        <v/>
      </c>
      <c r="C750" s="8">
        <f>IF(ISNA(MATCH(741,'Transfer Engine'!$C$2:$C$1369,0)),"",INDEX('Compliance Database'!$C$2:$C$1369,MATCH(741,'Transfer Engine'!$C$2:$C$1369,0)))</f>
        <v/>
      </c>
      <c r="D750" s="9">
        <f>IF(ISNA(MATCH(741,'Transfer Engine'!$C$2:$C$1369,0)),"",INDEX('Compliance Database'!$D$2:$D$1369,MATCH(741,'Transfer Engine'!$C$2:$C$1369,0)))</f>
        <v/>
      </c>
      <c r="E750" s="8">
        <f>IF(ISNA(MATCH(741,'Transfer Engine'!$C$2:$C$1369,0)),"",INDEX('Compliance Database'!$E$2:$E$1369,MATCH(741,'Transfer Engine'!$C$2:$C$1369,0)))</f>
        <v/>
      </c>
      <c r="F750" s="8">
        <f>IF(ISNA(MATCH(741,'Transfer Engine'!$C$2:$C$1369,0)),"",INDEX('Compliance Database'!$F$2:$F$1369,MATCH(741,'Transfer Engine'!$C$2:$C$1369,0)))</f>
        <v/>
      </c>
      <c r="G750" s="8">
        <f>IF(ISNA(MATCH(741,'Transfer Engine'!$C$2:$C$1369,0)),"",INDEX('Compliance Database'!$G$2:$G$1369,MATCH(741,'Transfer Engine'!$C$2:$C$1369,0)))</f>
        <v/>
      </c>
      <c r="H750" s="9">
        <f>IF(ISNA(MATCH(741,'Transfer Engine'!$C$2:$C$1369,0)),"",INDEX('Compliance Database'!$H$2:$H$1369,MATCH(741,'Transfer Engine'!$C$2:$C$1369,0)))</f>
        <v/>
      </c>
      <c r="I750" s="9">
        <f>IF(ISNA(MATCH(741,'Transfer Engine'!$C$2:$C$1369,0)),"",INDEX('Compliance Database'!$I$2:$I$1369,MATCH(741,'Transfer Engine'!$C$2:$C$1369,0)))</f>
        <v/>
      </c>
      <c r="J750" s="8">
        <f>IF(ISNA(MATCH(741,'Transfer Engine'!$C$2:$C$1369,0)),"",INDEX('Compliance Database'!$J$2:$J$1369,MATCH(741,'Transfer Engine'!$C$2:$C$1369,0)))</f>
        <v/>
      </c>
      <c r="K750" s="9">
        <f>IF(ISNA(MATCH(741,'Transfer Engine'!$C$2:$C$1369,0)),"",INDEX('Compliance Database'!$K$2:$K$1369,MATCH(741,'Transfer Engine'!$C$2:$C$1369,0)))</f>
        <v/>
      </c>
      <c r="L750" s="9">
        <f>IF(ISNA(MATCH(741,'Transfer Engine'!$C$2:$C$1369,0)),"",INDEX('Compliance Database'!$L$2:$L$1369,MATCH(741,'Transfer Engine'!$C$2:$C$1369,0)))</f>
        <v/>
      </c>
      <c r="M750" s="9">
        <f>IF(ISNA(MATCH(741,'Transfer Engine'!$C$2:$C$1369,0)),"",INDEX('Compliance Database'!$M$2:$M$1369,MATCH(741,'Transfer Engine'!$C$2:$C$1369,0)))</f>
        <v/>
      </c>
      <c r="N750" s="9">
        <f>IF(ISNA(MATCH(741,'Transfer Engine'!$C$2:$C$1369,0)),"",INDEX('Compliance Database'!$N$2:$N$1369,MATCH(741,'Transfer Engine'!$C$2:$C$1369,0)))</f>
        <v/>
      </c>
      <c r="O750" s="8">
        <f>IF(ISNA(MATCH(741,'Transfer Engine'!$C$2:$C$1369,0)),"",HYPERLINK(INDEX('Compliance Database'!$O$2:$O$1369,MATCH(741,'Transfer Engine'!$C$2:$C$1369,0)),"Open PDF"))</f>
        <v/>
      </c>
    </row>
    <row r="751" ht="188" customHeight="1">
      <c r="A751" s="8">
        <f>IF(ISNA(MATCH(742,'Transfer Engine'!$C$2:$C$1369,0)),"",INDEX('Compliance Database'!$A$2:$A$1369,MATCH(742,'Transfer Engine'!$C$2:$C$1369,0)))</f>
        <v/>
      </c>
      <c r="B751" s="8">
        <f>IF(ISNA(MATCH(742,'Transfer Engine'!$C$2:$C$1369,0)),"",INDEX('Compliance Database'!$B$2:$B$1369,MATCH(742,'Transfer Engine'!$C$2:$C$1369,0)))</f>
        <v/>
      </c>
      <c r="C751" s="8">
        <f>IF(ISNA(MATCH(742,'Transfer Engine'!$C$2:$C$1369,0)),"",INDEX('Compliance Database'!$C$2:$C$1369,MATCH(742,'Transfer Engine'!$C$2:$C$1369,0)))</f>
        <v/>
      </c>
      <c r="D751" s="9">
        <f>IF(ISNA(MATCH(742,'Transfer Engine'!$C$2:$C$1369,0)),"",INDEX('Compliance Database'!$D$2:$D$1369,MATCH(742,'Transfer Engine'!$C$2:$C$1369,0)))</f>
        <v/>
      </c>
      <c r="E751" s="8">
        <f>IF(ISNA(MATCH(742,'Transfer Engine'!$C$2:$C$1369,0)),"",INDEX('Compliance Database'!$E$2:$E$1369,MATCH(742,'Transfer Engine'!$C$2:$C$1369,0)))</f>
        <v/>
      </c>
      <c r="F751" s="8">
        <f>IF(ISNA(MATCH(742,'Transfer Engine'!$C$2:$C$1369,0)),"",INDEX('Compliance Database'!$F$2:$F$1369,MATCH(742,'Transfer Engine'!$C$2:$C$1369,0)))</f>
        <v/>
      </c>
      <c r="G751" s="8">
        <f>IF(ISNA(MATCH(742,'Transfer Engine'!$C$2:$C$1369,0)),"",INDEX('Compliance Database'!$G$2:$G$1369,MATCH(742,'Transfer Engine'!$C$2:$C$1369,0)))</f>
        <v/>
      </c>
      <c r="H751" s="9">
        <f>IF(ISNA(MATCH(742,'Transfer Engine'!$C$2:$C$1369,0)),"",INDEX('Compliance Database'!$H$2:$H$1369,MATCH(742,'Transfer Engine'!$C$2:$C$1369,0)))</f>
        <v/>
      </c>
      <c r="I751" s="9">
        <f>IF(ISNA(MATCH(742,'Transfer Engine'!$C$2:$C$1369,0)),"",INDEX('Compliance Database'!$I$2:$I$1369,MATCH(742,'Transfer Engine'!$C$2:$C$1369,0)))</f>
        <v/>
      </c>
      <c r="J751" s="8">
        <f>IF(ISNA(MATCH(742,'Transfer Engine'!$C$2:$C$1369,0)),"",INDEX('Compliance Database'!$J$2:$J$1369,MATCH(742,'Transfer Engine'!$C$2:$C$1369,0)))</f>
        <v/>
      </c>
      <c r="K751" s="9">
        <f>IF(ISNA(MATCH(742,'Transfer Engine'!$C$2:$C$1369,0)),"",INDEX('Compliance Database'!$K$2:$K$1369,MATCH(742,'Transfer Engine'!$C$2:$C$1369,0)))</f>
        <v/>
      </c>
      <c r="L751" s="9">
        <f>IF(ISNA(MATCH(742,'Transfer Engine'!$C$2:$C$1369,0)),"",INDEX('Compliance Database'!$L$2:$L$1369,MATCH(742,'Transfer Engine'!$C$2:$C$1369,0)))</f>
        <v/>
      </c>
      <c r="M751" s="9">
        <f>IF(ISNA(MATCH(742,'Transfer Engine'!$C$2:$C$1369,0)),"",INDEX('Compliance Database'!$M$2:$M$1369,MATCH(742,'Transfer Engine'!$C$2:$C$1369,0)))</f>
        <v/>
      </c>
      <c r="N751" s="9">
        <f>IF(ISNA(MATCH(742,'Transfer Engine'!$C$2:$C$1369,0)),"",INDEX('Compliance Database'!$N$2:$N$1369,MATCH(742,'Transfer Engine'!$C$2:$C$1369,0)))</f>
        <v/>
      </c>
      <c r="O751" s="8">
        <f>IF(ISNA(MATCH(742,'Transfer Engine'!$C$2:$C$1369,0)),"",HYPERLINK(INDEX('Compliance Database'!$O$2:$O$1369,MATCH(742,'Transfer Engine'!$C$2:$C$1369,0)),"Open PDF"))</f>
        <v/>
      </c>
    </row>
    <row r="752" ht="188" customHeight="1">
      <c r="A752" s="8">
        <f>IF(ISNA(MATCH(743,'Transfer Engine'!$C$2:$C$1369,0)),"",INDEX('Compliance Database'!$A$2:$A$1369,MATCH(743,'Transfer Engine'!$C$2:$C$1369,0)))</f>
        <v/>
      </c>
      <c r="B752" s="8">
        <f>IF(ISNA(MATCH(743,'Transfer Engine'!$C$2:$C$1369,0)),"",INDEX('Compliance Database'!$B$2:$B$1369,MATCH(743,'Transfer Engine'!$C$2:$C$1369,0)))</f>
        <v/>
      </c>
      <c r="C752" s="8">
        <f>IF(ISNA(MATCH(743,'Transfer Engine'!$C$2:$C$1369,0)),"",INDEX('Compliance Database'!$C$2:$C$1369,MATCH(743,'Transfer Engine'!$C$2:$C$1369,0)))</f>
        <v/>
      </c>
      <c r="D752" s="9">
        <f>IF(ISNA(MATCH(743,'Transfer Engine'!$C$2:$C$1369,0)),"",INDEX('Compliance Database'!$D$2:$D$1369,MATCH(743,'Transfer Engine'!$C$2:$C$1369,0)))</f>
        <v/>
      </c>
      <c r="E752" s="8">
        <f>IF(ISNA(MATCH(743,'Transfer Engine'!$C$2:$C$1369,0)),"",INDEX('Compliance Database'!$E$2:$E$1369,MATCH(743,'Transfer Engine'!$C$2:$C$1369,0)))</f>
        <v/>
      </c>
      <c r="F752" s="8">
        <f>IF(ISNA(MATCH(743,'Transfer Engine'!$C$2:$C$1369,0)),"",INDEX('Compliance Database'!$F$2:$F$1369,MATCH(743,'Transfer Engine'!$C$2:$C$1369,0)))</f>
        <v/>
      </c>
      <c r="G752" s="8">
        <f>IF(ISNA(MATCH(743,'Transfer Engine'!$C$2:$C$1369,0)),"",INDEX('Compliance Database'!$G$2:$G$1369,MATCH(743,'Transfer Engine'!$C$2:$C$1369,0)))</f>
        <v/>
      </c>
      <c r="H752" s="9">
        <f>IF(ISNA(MATCH(743,'Transfer Engine'!$C$2:$C$1369,0)),"",INDEX('Compliance Database'!$H$2:$H$1369,MATCH(743,'Transfer Engine'!$C$2:$C$1369,0)))</f>
        <v/>
      </c>
      <c r="I752" s="9">
        <f>IF(ISNA(MATCH(743,'Transfer Engine'!$C$2:$C$1369,0)),"",INDEX('Compliance Database'!$I$2:$I$1369,MATCH(743,'Transfer Engine'!$C$2:$C$1369,0)))</f>
        <v/>
      </c>
      <c r="J752" s="8">
        <f>IF(ISNA(MATCH(743,'Transfer Engine'!$C$2:$C$1369,0)),"",INDEX('Compliance Database'!$J$2:$J$1369,MATCH(743,'Transfer Engine'!$C$2:$C$1369,0)))</f>
        <v/>
      </c>
      <c r="K752" s="9">
        <f>IF(ISNA(MATCH(743,'Transfer Engine'!$C$2:$C$1369,0)),"",INDEX('Compliance Database'!$K$2:$K$1369,MATCH(743,'Transfer Engine'!$C$2:$C$1369,0)))</f>
        <v/>
      </c>
      <c r="L752" s="9">
        <f>IF(ISNA(MATCH(743,'Transfer Engine'!$C$2:$C$1369,0)),"",INDEX('Compliance Database'!$L$2:$L$1369,MATCH(743,'Transfer Engine'!$C$2:$C$1369,0)))</f>
        <v/>
      </c>
      <c r="M752" s="9">
        <f>IF(ISNA(MATCH(743,'Transfer Engine'!$C$2:$C$1369,0)),"",INDEX('Compliance Database'!$M$2:$M$1369,MATCH(743,'Transfer Engine'!$C$2:$C$1369,0)))</f>
        <v/>
      </c>
      <c r="N752" s="9">
        <f>IF(ISNA(MATCH(743,'Transfer Engine'!$C$2:$C$1369,0)),"",INDEX('Compliance Database'!$N$2:$N$1369,MATCH(743,'Transfer Engine'!$C$2:$C$1369,0)))</f>
        <v/>
      </c>
      <c r="O752" s="8">
        <f>IF(ISNA(MATCH(743,'Transfer Engine'!$C$2:$C$1369,0)),"",HYPERLINK(INDEX('Compliance Database'!$O$2:$O$1369,MATCH(743,'Transfer Engine'!$C$2:$C$1369,0)),"Open PDF"))</f>
        <v/>
      </c>
    </row>
    <row r="753" ht="188" customHeight="1">
      <c r="A753" s="8">
        <f>IF(ISNA(MATCH(744,'Transfer Engine'!$C$2:$C$1369,0)),"",INDEX('Compliance Database'!$A$2:$A$1369,MATCH(744,'Transfer Engine'!$C$2:$C$1369,0)))</f>
        <v/>
      </c>
      <c r="B753" s="8">
        <f>IF(ISNA(MATCH(744,'Transfer Engine'!$C$2:$C$1369,0)),"",INDEX('Compliance Database'!$B$2:$B$1369,MATCH(744,'Transfer Engine'!$C$2:$C$1369,0)))</f>
        <v/>
      </c>
      <c r="C753" s="8">
        <f>IF(ISNA(MATCH(744,'Transfer Engine'!$C$2:$C$1369,0)),"",INDEX('Compliance Database'!$C$2:$C$1369,MATCH(744,'Transfer Engine'!$C$2:$C$1369,0)))</f>
        <v/>
      </c>
      <c r="D753" s="9">
        <f>IF(ISNA(MATCH(744,'Transfer Engine'!$C$2:$C$1369,0)),"",INDEX('Compliance Database'!$D$2:$D$1369,MATCH(744,'Transfer Engine'!$C$2:$C$1369,0)))</f>
        <v/>
      </c>
      <c r="E753" s="8">
        <f>IF(ISNA(MATCH(744,'Transfer Engine'!$C$2:$C$1369,0)),"",INDEX('Compliance Database'!$E$2:$E$1369,MATCH(744,'Transfer Engine'!$C$2:$C$1369,0)))</f>
        <v/>
      </c>
      <c r="F753" s="8">
        <f>IF(ISNA(MATCH(744,'Transfer Engine'!$C$2:$C$1369,0)),"",INDEX('Compliance Database'!$F$2:$F$1369,MATCH(744,'Transfer Engine'!$C$2:$C$1369,0)))</f>
        <v/>
      </c>
      <c r="G753" s="8">
        <f>IF(ISNA(MATCH(744,'Transfer Engine'!$C$2:$C$1369,0)),"",INDEX('Compliance Database'!$G$2:$G$1369,MATCH(744,'Transfer Engine'!$C$2:$C$1369,0)))</f>
        <v/>
      </c>
      <c r="H753" s="9">
        <f>IF(ISNA(MATCH(744,'Transfer Engine'!$C$2:$C$1369,0)),"",INDEX('Compliance Database'!$H$2:$H$1369,MATCH(744,'Transfer Engine'!$C$2:$C$1369,0)))</f>
        <v/>
      </c>
      <c r="I753" s="9">
        <f>IF(ISNA(MATCH(744,'Transfer Engine'!$C$2:$C$1369,0)),"",INDEX('Compliance Database'!$I$2:$I$1369,MATCH(744,'Transfer Engine'!$C$2:$C$1369,0)))</f>
        <v/>
      </c>
      <c r="J753" s="8">
        <f>IF(ISNA(MATCH(744,'Transfer Engine'!$C$2:$C$1369,0)),"",INDEX('Compliance Database'!$J$2:$J$1369,MATCH(744,'Transfer Engine'!$C$2:$C$1369,0)))</f>
        <v/>
      </c>
      <c r="K753" s="9">
        <f>IF(ISNA(MATCH(744,'Transfer Engine'!$C$2:$C$1369,0)),"",INDEX('Compliance Database'!$K$2:$K$1369,MATCH(744,'Transfer Engine'!$C$2:$C$1369,0)))</f>
        <v/>
      </c>
      <c r="L753" s="9">
        <f>IF(ISNA(MATCH(744,'Transfer Engine'!$C$2:$C$1369,0)),"",INDEX('Compliance Database'!$L$2:$L$1369,MATCH(744,'Transfer Engine'!$C$2:$C$1369,0)))</f>
        <v/>
      </c>
      <c r="M753" s="9">
        <f>IF(ISNA(MATCH(744,'Transfer Engine'!$C$2:$C$1369,0)),"",INDEX('Compliance Database'!$M$2:$M$1369,MATCH(744,'Transfer Engine'!$C$2:$C$1369,0)))</f>
        <v/>
      </c>
      <c r="N753" s="9">
        <f>IF(ISNA(MATCH(744,'Transfer Engine'!$C$2:$C$1369,0)),"",INDEX('Compliance Database'!$N$2:$N$1369,MATCH(744,'Transfer Engine'!$C$2:$C$1369,0)))</f>
        <v/>
      </c>
      <c r="O753" s="8">
        <f>IF(ISNA(MATCH(744,'Transfer Engine'!$C$2:$C$1369,0)),"",HYPERLINK(INDEX('Compliance Database'!$O$2:$O$1369,MATCH(744,'Transfer Engine'!$C$2:$C$1369,0)),"Open PDF"))</f>
        <v/>
      </c>
    </row>
    <row r="754" ht="188" customHeight="1">
      <c r="A754" s="8">
        <f>IF(ISNA(MATCH(745,'Transfer Engine'!$C$2:$C$1369,0)),"",INDEX('Compliance Database'!$A$2:$A$1369,MATCH(745,'Transfer Engine'!$C$2:$C$1369,0)))</f>
        <v/>
      </c>
      <c r="B754" s="8">
        <f>IF(ISNA(MATCH(745,'Transfer Engine'!$C$2:$C$1369,0)),"",INDEX('Compliance Database'!$B$2:$B$1369,MATCH(745,'Transfer Engine'!$C$2:$C$1369,0)))</f>
        <v/>
      </c>
      <c r="C754" s="8">
        <f>IF(ISNA(MATCH(745,'Transfer Engine'!$C$2:$C$1369,0)),"",INDEX('Compliance Database'!$C$2:$C$1369,MATCH(745,'Transfer Engine'!$C$2:$C$1369,0)))</f>
        <v/>
      </c>
      <c r="D754" s="9">
        <f>IF(ISNA(MATCH(745,'Transfer Engine'!$C$2:$C$1369,0)),"",INDEX('Compliance Database'!$D$2:$D$1369,MATCH(745,'Transfer Engine'!$C$2:$C$1369,0)))</f>
        <v/>
      </c>
      <c r="E754" s="8">
        <f>IF(ISNA(MATCH(745,'Transfer Engine'!$C$2:$C$1369,0)),"",INDEX('Compliance Database'!$E$2:$E$1369,MATCH(745,'Transfer Engine'!$C$2:$C$1369,0)))</f>
        <v/>
      </c>
      <c r="F754" s="8">
        <f>IF(ISNA(MATCH(745,'Transfer Engine'!$C$2:$C$1369,0)),"",INDEX('Compliance Database'!$F$2:$F$1369,MATCH(745,'Transfer Engine'!$C$2:$C$1369,0)))</f>
        <v/>
      </c>
      <c r="G754" s="8">
        <f>IF(ISNA(MATCH(745,'Transfer Engine'!$C$2:$C$1369,0)),"",INDEX('Compliance Database'!$G$2:$G$1369,MATCH(745,'Transfer Engine'!$C$2:$C$1369,0)))</f>
        <v/>
      </c>
      <c r="H754" s="9">
        <f>IF(ISNA(MATCH(745,'Transfer Engine'!$C$2:$C$1369,0)),"",INDEX('Compliance Database'!$H$2:$H$1369,MATCH(745,'Transfer Engine'!$C$2:$C$1369,0)))</f>
        <v/>
      </c>
      <c r="I754" s="9">
        <f>IF(ISNA(MATCH(745,'Transfer Engine'!$C$2:$C$1369,0)),"",INDEX('Compliance Database'!$I$2:$I$1369,MATCH(745,'Transfer Engine'!$C$2:$C$1369,0)))</f>
        <v/>
      </c>
      <c r="J754" s="8">
        <f>IF(ISNA(MATCH(745,'Transfer Engine'!$C$2:$C$1369,0)),"",INDEX('Compliance Database'!$J$2:$J$1369,MATCH(745,'Transfer Engine'!$C$2:$C$1369,0)))</f>
        <v/>
      </c>
      <c r="K754" s="9">
        <f>IF(ISNA(MATCH(745,'Transfer Engine'!$C$2:$C$1369,0)),"",INDEX('Compliance Database'!$K$2:$K$1369,MATCH(745,'Transfer Engine'!$C$2:$C$1369,0)))</f>
        <v/>
      </c>
      <c r="L754" s="9">
        <f>IF(ISNA(MATCH(745,'Transfer Engine'!$C$2:$C$1369,0)),"",INDEX('Compliance Database'!$L$2:$L$1369,MATCH(745,'Transfer Engine'!$C$2:$C$1369,0)))</f>
        <v/>
      </c>
      <c r="M754" s="9">
        <f>IF(ISNA(MATCH(745,'Transfer Engine'!$C$2:$C$1369,0)),"",INDEX('Compliance Database'!$M$2:$M$1369,MATCH(745,'Transfer Engine'!$C$2:$C$1369,0)))</f>
        <v/>
      </c>
      <c r="N754" s="9">
        <f>IF(ISNA(MATCH(745,'Transfer Engine'!$C$2:$C$1369,0)),"",INDEX('Compliance Database'!$N$2:$N$1369,MATCH(745,'Transfer Engine'!$C$2:$C$1369,0)))</f>
        <v/>
      </c>
      <c r="O754" s="8">
        <f>IF(ISNA(MATCH(745,'Transfer Engine'!$C$2:$C$1369,0)),"",HYPERLINK(INDEX('Compliance Database'!$O$2:$O$1369,MATCH(745,'Transfer Engine'!$C$2:$C$1369,0)),"Open PDF"))</f>
        <v/>
      </c>
    </row>
    <row r="755" ht="188" customHeight="1">
      <c r="A755" s="8">
        <f>IF(ISNA(MATCH(746,'Transfer Engine'!$C$2:$C$1369,0)),"",INDEX('Compliance Database'!$A$2:$A$1369,MATCH(746,'Transfer Engine'!$C$2:$C$1369,0)))</f>
        <v/>
      </c>
      <c r="B755" s="8">
        <f>IF(ISNA(MATCH(746,'Transfer Engine'!$C$2:$C$1369,0)),"",INDEX('Compliance Database'!$B$2:$B$1369,MATCH(746,'Transfer Engine'!$C$2:$C$1369,0)))</f>
        <v/>
      </c>
      <c r="C755" s="8">
        <f>IF(ISNA(MATCH(746,'Transfer Engine'!$C$2:$C$1369,0)),"",INDEX('Compliance Database'!$C$2:$C$1369,MATCH(746,'Transfer Engine'!$C$2:$C$1369,0)))</f>
        <v/>
      </c>
      <c r="D755" s="9">
        <f>IF(ISNA(MATCH(746,'Transfer Engine'!$C$2:$C$1369,0)),"",INDEX('Compliance Database'!$D$2:$D$1369,MATCH(746,'Transfer Engine'!$C$2:$C$1369,0)))</f>
        <v/>
      </c>
      <c r="E755" s="8">
        <f>IF(ISNA(MATCH(746,'Transfer Engine'!$C$2:$C$1369,0)),"",INDEX('Compliance Database'!$E$2:$E$1369,MATCH(746,'Transfer Engine'!$C$2:$C$1369,0)))</f>
        <v/>
      </c>
      <c r="F755" s="8">
        <f>IF(ISNA(MATCH(746,'Transfer Engine'!$C$2:$C$1369,0)),"",INDEX('Compliance Database'!$F$2:$F$1369,MATCH(746,'Transfer Engine'!$C$2:$C$1369,0)))</f>
        <v/>
      </c>
      <c r="G755" s="8">
        <f>IF(ISNA(MATCH(746,'Transfer Engine'!$C$2:$C$1369,0)),"",INDEX('Compliance Database'!$G$2:$G$1369,MATCH(746,'Transfer Engine'!$C$2:$C$1369,0)))</f>
        <v/>
      </c>
      <c r="H755" s="9">
        <f>IF(ISNA(MATCH(746,'Transfer Engine'!$C$2:$C$1369,0)),"",INDEX('Compliance Database'!$H$2:$H$1369,MATCH(746,'Transfer Engine'!$C$2:$C$1369,0)))</f>
        <v/>
      </c>
      <c r="I755" s="9">
        <f>IF(ISNA(MATCH(746,'Transfer Engine'!$C$2:$C$1369,0)),"",INDEX('Compliance Database'!$I$2:$I$1369,MATCH(746,'Transfer Engine'!$C$2:$C$1369,0)))</f>
        <v/>
      </c>
      <c r="J755" s="8">
        <f>IF(ISNA(MATCH(746,'Transfer Engine'!$C$2:$C$1369,0)),"",INDEX('Compliance Database'!$J$2:$J$1369,MATCH(746,'Transfer Engine'!$C$2:$C$1369,0)))</f>
        <v/>
      </c>
      <c r="K755" s="9">
        <f>IF(ISNA(MATCH(746,'Transfer Engine'!$C$2:$C$1369,0)),"",INDEX('Compliance Database'!$K$2:$K$1369,MATCH(746,'Transfer Engine'!$C$2:$C$1369,0)))</f>
        <v/>
      </c>
      <c r="L755" s="9">
        <f>IF(ISNA(MATCH(746,'Transfer Engine'!$C$2:$C$1369,0)),"",INDEX('Compliance Database'!$L$2:$L$1369,MATCH(746,'Transfer Engine'!$C$2:$C$1369,0)))</f>
        <v/>
      </c>
      <c r="M755" s="9">
        <f>IF(ISNA(MATCH(746,'Transfer Engine'!$C$2:$C$1369,0)),"",INDEX('Compliance Database'!$M$2:$M$1369,MATCH(746,'Transfer Engine'!$C$2:$C$1369,0)))</f>
        <v/>
      </c>
      <c r="N755" s="9">
        <f>IF(ISNA(MATCH(746,'Transfer Engine'!$C$2:$C$1369,0)),"",INDEX('Compliance Database'!$N$2:$N$1369,MATCH(746,'Transfer Engine'!$C$2:$C$1369,0)))</f>
        <v/>
      </c>
      <c r="O755" s="8">
        <f>IF(ISNA(MATCH(746,'Transfer Engine'!$C$2:$C$1369,0)),"",HYPERLINK(INDEX('Compliance Database'!$O$2:$O$1369,MATCH(746,'Transfer Engine'!$C$2:$C$1369,0)),"Open PDF"))</f>
        <v/>
      </c>
    </row>
    <row r="756" ht="188" customHeight="1">
      <c r="A756" s="8">
        <f>IF(ISNA(MATCH(747,'Transfer Engine'!$C$2:$C$1369,0)),"",INDEX('Compliance Database'!$A$2:$A$1369,MATCH(747,'Transfer Engine'!$C$2:$C$1369,0)))</f>
        <v/>
      </c>
      <c r="B756" s="8">
        <f>IF(ISNA(MATCH(747,'Transfer Engine'!$C$2:$C$1369,0)),"",INDEX('Compliance Database'!$B$2:$B$1369,MATCH(747,'Transfer Engine'!$C$2:$C$1369,0)))</f>
        <v/>
      </c>
      <c r="C756" s="8">
        <f>IF(ISNA(MATCH(747,'Transfer Engine'!$C$2:$C$1369,0)),"",INDEX('Compliance Database'!$C$2:$C$1369,MATCH(747,'Transfer Engine'!$C$2:$C$1369,0)))</f>
        <v/>
      </c>
      <c r="D756" s="9">
        <f>IF(ISNA(MATCH(747,'Transfer Engine'!$C$2:$C$1369,0)),"",INDEX('Compliance Database'!$D$2:$D$1369,MATCH(747,'Transfer Engine'!$C$2:$C$1369,0)))</f>
        <v/>
      </c>
      <c r="E756" s="8">
        <f>IF(ISNA(MATCH(747,'Transfer Engine'!$C$2:$C$1369,0)),"",INDEX('Compliance Database'!$E$2:$E$1369,MATCH(747,'Transfer Engine'!$C$2:$C$1369,0)))</f>
        <v/>
      </c>
      <c r="F756" s="8">
        <f>IF(ISNA(MATCH(747,'Transfer Engine'!$C$2:$C$1369,0)),"",INDEX('Compliance Database'!$F$2:$F$1369,MATCH(747,'Transfer Engine'!$C$2:$C$1369,0)))</f>
        <v/>
      </c>
      <c r="G756" s="8">
        <f>IF(ISNA(MATCH(747,'Transfer Engine'!$C$2:$C$1369,0)),"",INDEX('Compliance Database'!$G$2:$G$1369,MATCH(747,'Transfer Engine'!$C$2:$C$1369,0)))</f>
        <v/>
      </c>
      <c r="H756" s="9">
        <f>IF(ISNA(MATCH(747,'Transfer Engine'!$C$2:$C$1369,0)),"",INDEX('Compliance Database'!$H$2:$H$1369,MATCH(747,'Transfer Engine'!$C$2:$C$1369,0)))</f>
        <v/>
      </c>
      <c r="I756" s="9">
        <f>IF(ISNA(MATCH(747,'Transfer Engine'!$C$2:$C$1369,0)),"",INDEX('Compliance Database'!$I$2:$I$1369,MATCH(747,'Transfer Engine'!$C$2:$C$1369,0)))</f>
        <v/>
      </c>
      <c r="J756" s="8">
        <f>IF(ISNA(MATCH(747,'Transfer Engine'!$C$2:$C$1369,0)),"",INDEX('Compliance Database'!$J$2:$J$1369,MATCH(747,'Transfer Engine'!$C$2:$C$1369,0)))</f>
        <v/>
      </c>
      <c r="K756" s="9">
        <f>IF(ISNA(MATCH(747,'Transfer Engine'!$C$2:$C$1369,0)),"",INDEX('Compliance Database'!$K$2:$K$1369,MATCH(747,'Transfer Engine'!$C$2:$C$1369,0)))</f>
        <v/>
      </c>
      <c r="L756" s="9">
        <f>IF(ISNA(MATCH(747,'Transfer Engine'!$C$2:$C$1369,0)),"",INDEX('Compliance Database'!$L$2:$L$1369,MATCH(747,'Transfer Engine'!$C$2:$C$1369,0)))</f>
        <v/>
      </c>
      <c r="M756" s="9">
        <f>IF(ISNA(MATCH(747,'Transfer Engine'!$C$2:$C$1369,0)),"",INDEX('Compliance Database'!$M$2:$M$1369,MATCH(747,'Transfer Engine'!$C$2:$C$1369,0)))</f>
        <v/>
      </c>
      <c r="N756" s="9">
        <f>IF(ISNA(MATCH(747,'Transfer Engine'!$C$2:$C$1369,0)),"",INDEX('Compliance Database'!$N$2:$N$1369,MATCH(747,'Transfer Engine'!$C$2:$C$1369,0)))</f>
        <v/>
      </c>
      <c r="O756" s="8">
        <f>IF(ISNA(MATCH(747,'Transfer Engine'!$C$2:$C$1369,0)),"",HYPERLINK(INDEX('Compliance Database'!$O$2:$O$1369,MATCH(747,'Transfer Engine'!$C$2:$C$1369,0)),"Open PDF"))</f>
        <v/>
      </c>
    </row>
    <row r="757" ht="188" customHeight="1">
      <c r="A757" s="8">
        <f>IF(ISNA(MATCH(748,'Transfer Engine'!$C$2:$C$1369,0)),"",INDEX('Compliance Database'!$A$2:$A$1369,MATCH(748,'Transfer Engine'!$C$2:$C$1369,0)))</f>
        <v/>
      </c>
      <c r="B757" s="8">
        <f>IF(ISNA(MATCH(748,'Transfer Engine'!$C$2:$C$1369,0)),"",INDEX('Compliance Database'!$B$2:$B$1369,MATCH(748,'Transfer Engine'!$C$2:$C$1369,0)))</f>
        <v/>
      </c>
      <c r="C757" s="8">
        <f>IF(ISNA(MATCH(748,'Transfer Engine'!$C$2:$C$1369,0)),"",INDEX('Compliance Database'!$C$2:$C$1369,MATCH(748,'Transfer Engine'!$C$2:$C$1369,0)))</f>
        <v/>
      </c>
      <c r="D757" s="9">
        <f>IF(ISNA(MATCH(748,'Transfer Engine'!$C$2:$C$1369,0)),"",INDEX('Compliance Database'!$D$2:$D$1369,MATCH(748,'Transfer Engine'!$C$2:$C$1369,0)))</f>
        <v/>
      </c>
      <c r="E757" s="8">
        <f>IF(ISNA(MATCH(748,'Transfer Engine'!$C$2:$C$1369,0)),"",INDEX('Compliance Database'!$E$2:$E$1369,MATCH(748,'Transfer Engine'!$C$2:$C$1369,0)))</f>
        <v/>
      </c>
      <c r="F757" s="8">
        <f>IF(ISNA(MATCH(748,'Transfer Engine'!$C$2:$C$1369,0)),"",INDEX('Compliance Database'!$F$2:$F$1369,MATCH(748,'Transfer Engine'!$C$2:$C$1369,0)))</f>
        <v/>
      </c>
      <c r="G757" s="8">
        <f>IF(ISNA(MATCH(748,'Transfer Engine'!$C$2:$C$1369,0)),"",INDEX('Compliance Database'!$G$2:$G$1369,MATCH(748,'Transfer Engine'!$C$2:$C$1369,0)))</f>
        <v/>
      </c>
      <c r="H757" s="9">
        <f>IF(ISNA(MATCH(748,'Transfer Engine'!$C$2:$C$1369,0)),"",INDEX('Compliance Database'!$H$2:$H$1369,MATCH(748,'Transfer Engine'!$C$2:$C$1369,0)))</f>
        <v/>
      </c>
      <c r="I757" s="9">
        <f>IF(ISNA(MATCH(748,'Transfer Engine'!$C$2:$C$1369,0)),"",INDEX('Compliance Database'!$I$2:$I$1369,MATCH(748,'Transfer Engine'!$C$2:$C$1369,0)))</f>
        <v/>
      </c>
      <c r="J757" s="8">
        <f>IF(ISNA(MATCH(748,'Transfer Engine'!$C$2:$C$1369,0)),"",INDEX('Compliance Database'!$J$2:$J$1369,MATCH(748,'Transfer Engine'!$C$2:$C$1369,0)))</f>
        <v/>
      </c>
      <c r="K757" s="9">
        <f>IF(ISNA(MATCH(748,'Transfer Engine'!$C$2:$C$1369,0)),"",INDEX('Compliance Database'!$K$2:$K$1369,MATCH(748,'Transfer Engine'!$C$2:$C$1369,0)))</f>
        <v/>
      </c>
      <c r="L757" s="9">
        <f>IF(ISNA(MATCH(748,'Transfer Engine'!$C$2:$C$1369,0)),"",INDEX('Compliance Database'!$L$2:$L$1369,MATCH(748,'Transfer Engine'!$C$2:$C$1369,0)))</f>
        <v/>
      </c>
      <c r="M757" s="9">
        <f>IF(ISNA(MATCH(748,'Transfer Engine'!$C$2:$C$1369,0)),"",INDEX('Compliance Database'!$M$2:$M$1369,MATCH(748,'Transfer Engine'!$C$2:$C$1369,0)))</f>
        <v/>
      </c>
      <c r="N757" s="9">
        <f>IF(ISNA(MATCH(748,'Transfer Engine'!$C$2:$C$1369,0)),"",INDEX('Compliance Database'!$N$2:$N$1369,MATCH(748,'Transfer Engine'!$C$2:$C$1369,0)))</f>
        <v/>
      </c>
      <c r="O757" s="8">
        <f>IF(ISNA(MATCH(748,'Transfer Engine'!$C$2:$C$1369,0)),"",HYPERLINK(INDEX('Compliance Database'!$O$2:$O$1369,MATCH(748,'Transfer Engine'!$C$2:$C$1369,0)),"Open PDF"))</f>
        <v/>
      </c>
    </row>
    <row r="758" ht="188" customHeight="1">
      <c r="A758" s="8">
        <f>IF(ISNA(MATCH(749,'Transfer Engine'!$C$2:$C$1369,0)),"",INDEX('Compliance Database'!$A$2:$A$1369,MATCH(749,'Transfer Engine'!$C$2:$C$1369,0)))</f>
        <v/>
      </c>
      <c r="B758" s="8">
        <f>IF(ISNA(MATCH(749,'Transfer Engine'!$C$2:$C$1369,0)),"",INDEX('Compliance Database'!$B$2:$B$1369,MATCH(749,'Transfer Engine'!$C$2:$C$1369,0)))</f>
        <v/>
      </c>
      <c r="C758" s="8">
        <f>IF(ISNA(MATCH(749,'Transfer Engine'!$C$2:$C$1369,0)),"",INDEX('Compliance Database'!$C$2:$C$1369,MATCH(749,'Transfer Engine'!$C$2:$C$1369,0)))</f>
        <v/>
      </c>
      <c r="D758" s="9">
        <f>IF(ISNA(MATCH(749,'Transfer Engine'!$C$2:$C$1369,0)),"",INDEX('Compliance Database'!$D$2:$D$1369,MATCH(749,'Transfer Engine'!$C$2:$C$1369,0)))</f>
        <v/>
      </c>
      <c r="E758" s="8">
        <f>IF(ISNA(MATCH(749,'Transfer Engine'!$C$2:$C$1369,0)),"",INDEX('Compliance Database'!$E$2:$E$1369,MATCH(749,'Transfer Engine'!$C$2:$C$1369,0)))</f>
        <v/>
      </c>
      <c r="F758" s="8">
        <f>IF(ISNA(MATCH(749,'Transfer Engine'!$C$2:$C$1369,0)),"",INDEX('Compliance Database'!$F$2:$F$1369,MATCH(749,'Transfer Engine'!$C$2:$C$1369,0)))</f>
        <v/>
      </c>
      <c r="G758" s="8">
        <f>IF(ISNA(MATCH(749,'Transfer Engine'!$C$2:$C$1369,0)),"",INDEX('Compliance Database'!$G$2:$G$1369,MATCH(749,'Transfer Engine'!$C$2:$C$1369,0)))</f>
        <v/>
      </c>
      <c r="H758" s="9">
        <f>IF(ISNA(MATCH(749,'Transfer Engine'!$C$2:$C$1369,0)),"",INDEX('Compliance Database'!$H$2:$H$1369,MATCH(749,'Transfer Engine'!$C$2:$C$1369,0)))</f>
        <v/>
      </c>
      <c r="I758" s="9">
        <f>IF(ISNA(MATCH(749,'Transfer Engine'!$C$2:$C$1369,0)),"",INDEX('Compliance Database'!$I$2:$I$1369,MATCH(749,'Transfer Engine'!$C$2:$C$1369,0)))</f>
        <v/>
      </c>
      <c r="J758" s="8">
        <f>IF(ISNA(MATCH(749,'Transfer Engine'!$C$2:$C$1369,0)),"",INDEX('Compliance Database'!$J$2:$J$1369,MATCH(749,'Transfer Engine'!$C$2:$C$1369,0)))</f>
        <v/>
      </c>
      <c r="K758" s="9">
        <f>IF(ISNA(MATCH(749,'Transfer Engine'!$C$2:$C$1369,0)),"",INDEX('Compliance Database'!$K$2:$K$1369,MATCH(749,'Transfer Engine'!$C$2:$C$1369,0)))</f>
        <v/>
      </c>
      <c r="L758" s="9">
        <f>IF(ISNA(MATCH(749,'Transfer Engine'!$C$2:$C$1369,0)),"",INDEX('Compliance Database'!$L$2:$L$1369,MATCH(749,'Transfer Engine'!$C$2:$C$1369,0)))</f>
        <v/>
      </c>
      <c r="M758" s="9">
        <f>IF(ISNA(MATCH(749,'Transfer Engine'!$C$2:$C$1369,0)),"",INDEX('Compliance Database'!$M$2:$M$1369,MATCH(749,'Transfer Engine'!$C$2:$C$1369,0)))</f>
        <v/>
      </c>
      <c r="N758" s="9">
        <f>IF(ISNA(MATCH(749,'Transfer Engine'!$C$2:$C$1369,0)),"",INDEX('Compliance Database'!$N$2:$N$1369,MATCH(749,'Transfer Engine'!$C$2:$C$1369,0)))</f>
        <v/>
      </c>
      <c r="O758" s="8">
        <f>IF(ISNA(MATCH(749,'Transfer Engine'!$C$2:$C$1369,0)),"",HYPERLINK(INDEX('Compliance Database'!$O$2:$O$1369,MATCH(749,'Transfer Engine'!$C$2:$C$1369,0)),"Open PDF"))</f>
        <v/>
      </c>
    </row>
    <row r="759" ht="188" customHeight="1">
      <c r="A759" s="8">
        <f>IF(ISNA(MATCH(750,'Transfer Engine'!$C$2:$C$1369,0)),"",INDEX('Compliance Database'!$A$2:$A$1369,MATCH(750,'Transfer Engine'!$C$2:$C$1369,0)))</f>
        <v/>
      </c>
      <c r="B759" s="8">
        <f>IF(ISNA(MATCH(750,'Transfer Engine'!$C$2:$C$1369,0)),"",INDEX('Compliance Database'!$B$2:$B$1369,MATCH(750,'Transfer Engine'!$C$2:$C$1369,0)))</f>
        <v/>
      </c>
      <c r="C759" s="8">
        <f>IF(ISNA(MATCH(750,'Transfer Engine'!$C$2:$C$1369,0)),"",INDEX('Compliance Database'!$C$2:$C$1369,MATCH(750,'Transfer Engine'!$C$2:$C$1369,0)))</f>
        <v/>
      </c>
      <c r="D759" s="9">
        <f>IF(ISNA(MATCH(750,'Transfer Engine'!$C$2:$C$1369,0)),"",INDEX('Compliance Database'!$D$2:$D$1369,MATCH(750,'Transfer Engine'!$C$2:$C$1369,0)))</f>
        <v/>
      </c>
      <c r="E759" s="8">
        <f>IF(ISNA(MATCH(750,'Transfer Engine'!$C$2:$C$1369,0)),"",INDEX('Compliance Database'!$E$2:$E$1369,MATCH(750,'Transfer Engine'!$C$2:$C$1369,0)))</f>
        <v/>
      </c>
      <c r="F759" s="8">
        <f>IF(ISNA(MATCH(750,'Transfer Engine'!$C$2:$C$1369,0)),"",INDEX('Compliance Database'!$F$2:$F$1369,MATCH(750,'Transfer Engine'!$C$2:$C$1369,0)))</f>
        <v/>
      </c>
      <c r="G759" s="8">
        <f>IF(ISNA(MATCH(750,'Transfer Engine'!$C$2:$C$1369,0)),"",INDEX('Compliance Database'!$G$2:$G$1369,MATCH(750,'Transfer Engine'!$C$2:$C$1369,0)))</f>
        <v/>
      </c>
      <c r="H759" s="9">
        <f>IF(ISNA(MATCH(750,'Transfer Engine'!$C$2:$C$1369,0)),"",INDEX('Compliance Database'!$H$2:$H$1369,MATCH(750,'Transfer Engine'!$C$2:$C$1369,0)))</f>
        <v/>
      </c>
      <c r="I759" s="9">
        <f>IF(ISNA(MATCH(750,'Transfer Engine'!$C$2:$C$1369,0)),"",INDEX('Compliance Database'!$I$2:$I$1369,MATCH(750,'Transfer Engine'!$C$2:$C$1369,0)))</f>
        <v/>
      </c>
      <c r="J759" s="8">
        <f>IF(ISNA(MATCH(750,'Transfer Engine'!$C$2:$C$1369,0)),"",INDEX('Compliance Database'!$J$2:$J$1369,MATCH(750,'Transfer Engine'!$C$2:$C$1369,0)))</f>
        <v/>
      </c>
      <c r="K759" s="9">
        <f>IF(ISNA(MATCH(750,'Transfer Engine'!$C$2:$C$1369,0)),"",INDEX('Compliance Database'!$K$2:$K$1369,MATCH(750,'Transfer Engine'!$C$2:$C$1369,0)))</f>
        <v/>
      </c>
      <c r="L759" s="9">
        <f>IF(ISNA(MATCH(750,'Transfer Engine'!$C$2:$C$1369,0)),"",INDEX('Compliance Database'!$L$2:$L$1369,MATCH(750,'Transfer Engine'!$C$2:$C$1369,0)))</f>
        <v/>
      </c>
      <c r="M759" s="9">
        <f>IF(ISNA(MATCH(750,'Transfer Engine'!$C$2:$C$1369,0)),"",INDEX('Compliance Database'!$M$2:$M$1369,MATCH(750,'Transfer Engine'!$C$2:$C$1369,0)))</f>
        <v/>
      </c>
      <c r="N759" s="9">
        <f>IF(ISNA(MATCH(750,'Transfer Engine'!$C$2:$C$1369,0)),"",INDEX('Compliance Database'!$N$2:$N$1369,MATCH(750,'Transfer Engine'!$C$2:$C$1369,0)))</f>
        <v/>
      </c>
      <c r="O759" s="8">
        <f>IF(ISNA(MATCH(750,'Transfer Engine'!$C$2:$C$1369,0)),"",HYPERLINK(INDEX('Compliance Database'!$O$2:$O$1369,MATCH(750,'Transfer Engine'!$C$2:$C$1369,0)),"Open PDF"))</f>
        <v/>
      </c>
    </row>
    <row r="760" ht="188" customHeight="1">
      <c r="A760" s="8">
        <f>IF(ISNA(MATCH(751,'Transfer Engine'!$C$2:$C$1369,0)),"",INDEX('Compliance Database'!$A$2:$A$1369,MATCH(751,'Transfer Engine'!$C$2:$C$1369,0)))</f>
        <v/>
      </c>
      <c r="B760" s="8">
        <f>IF(ISNA(MATCH(751,'Transfer Engine'!$C$2:$C$1369,0)),"",INDEX('Compliance Database'!$B$2:$B$1369,MATCH(751,'Transfer Engine'!$C$2:$C$1369,0)))</f>
        <v/>
      </c>
      <c r="C760" s="8">
        <f>IF(ISNA(MATCH(751,'Transfer Engine'!$C$2:$C$1369,0)),"",INDEX('Compliance Database'!$C$2:$C$1369,MATCH(751,'Transfer Engine'!$C$2:$C$1369,0)))</f>
        <v/>
      </c>
      <c r="D760" s="9">
        <f>IF(ISNA(MATCH(751,'Transfer Engine'!$C$2:$C$1369,0)),"",INDEX('Compliance Database'!$D$2:$D$1369,MATCH(751,'Transfer Engine'!$C$2:$C$1369,0)))</f>
        <v/>
      </c>
      <c r="E760" s="8">
        <f>IF(ISNA(MATCH(751,'Transfer Engine'!$C$2:$C$1369,0)),"",INDEX('Compliance Database'!$E$2:$E$1369,MATCH(751,'Transfer Engine'!$C$2:$C$1369,0)))</f>
        <v/>
      </c>
      <c r="F760" s="8">
        <f>IF(ISNA(MATCH(751,'Transfer Engine'!$C$2:$C$1369,0)),"",INDEX('Compliance Database'!$F$2:$F$1369,MATCH(751,'Transfer Engine'!$C$2:$C$1369,0)))</f>
        <v/>
      </c>
      <c r="G760" s="8">
        <f>IF(ISNA(MATCH(751,'Transfer Engine'!$C$2:$C$1369,0)),"",INDEX('Compliance Database'!$G$2:$G$1369,MATCH(751,'Transfer Engine'!$C$2:$C$1369,0)))</f>
        <v/>
      </c>
      <c r="H760" s="9">
        <f>IF(ISNA(MATCH(751,'Transfer Engine'!$C$2:$C$1369,0)),"",INDEX('Compliance Database'!$H$2:$H$1369,MATCH(751,'Transfer Engine'!$C$2:$C$1369,0)))</f>
        <v/>
      </c>
      <c r="I760" s="9">
        <f>IF(ISNA(MATCH(751,'Transfer Engine'!$C$2:$C$1369,0)),"",INDEX('Compliance Database'!$I$2:$I$1369,MATCH(751,'Transfer Engine'!$C$2:$C$1369,0)))</f>
        <v/>
      </c>
      <c r="J760" s="8">
        <f>IF(ISNA(MATCH(751,'Transfer Engine'!$C$2:$C$1369,0)),"",INDEX('Compliance Database'!$J$2:$J$1369,MATCH(751,'Transfer Engine'!$C$2:$C$1369,0)))</f>
        <v/>
      </c>
      <c r="K760" s="9">
        <f>IF(ISNA(MATCH(751,'Transfer Engine'!$C$2:$C$1369,0)),"",INDEX('Compliance Database'!$K$2:$K$1369,MATCH(751,'Transfer Engine'!$C$2:$C$1369,0)))</f>
        <v/>
      </c>
      <c r="L760" s="9">
        <f>IF(ISNA(MATCH(751,'Transfer Engine'!$C$2:$C$1369,0)),"",INDEX('Compliance Database'!$L$2:$L$1369,MATCH(751,'Transfer Engine'!$C$2:$C$1369,0)))</f>
        <v/>
      </c>
      <c r="M760" s="9">
        <f>IF(ISNA(MATCH(751,'Transfer Engine'!$C$2:$C$1369,0)),"",INDEX('Compliance Database'!$M$2:$M$1369,MATCH(751,'Transfer Engine'!$C$2:$C$1369,0)))</f>
        <v/>
      </c>
      <c r="N760" s="9">
        <f>IF(ISNA(MATCH(751,'Transfer Engine'!$C$2:$C$1369,0)),"",INDEX('Compliance Database'!$N$2:$N$1369,MATCH(751,'Transfer Engine'!$C$2:$C$1369,0)))</f>
        <v/>
      </c>
      <c r="O760" s="8">
        <f>IF(ISNA(MATCH(751,'Transfer Engine'!$C$2:$C$1369,0)),"",HYPERLINK(INDEX('Compliance Database'!$O$2:$O$1369,MATCH(751,'Transfer Engine'!$C$2:$C$1369,0)),"Open PDF"))</f>
        <v/>
      </c>
    </row>
    <row r="761" ht="188" customHeight="1">
      <c r="A761" s="8">
        <f>IF(ISNA(MATCH(752,'Transfer Engine'!$C$2:$C$1369,0)),"",INDEX('Compliance Database'!$A$2:$A$1369,MATCH(752,'Transfer Engine'!$C$2:$C$1369,0)))</f>
        <v/>
      </c>
      <c r="B761" s="8">
        <f>IF(ISNA(MATCH(752,'Transfer Engine'!$C$2:$C$1369,0)),"",INDEX('Compliance Database'!$B$2:$B$1369,MATCH(752,'Transfer Engine'!$C$2:$C$1369,0)))</f>
        <v/>
      </c>
      <c r="C761" s="8">
        <f>IF(ISNA(MATCH(752,'Transfer Engine'!$C$2:$C$1369,0)),"",INDEX('Compliance Database'!$C$2:$C$1369,MATCH(752,'Transfer Engine'!$C$2:$C$1369,0)))</f>
        <v/>
      </c>
      <c r="D761" s="9">
        <f>IF(ISNA(MATCH(752,'Transfer Engine'!$C$2:$C$1369,0)),"",INDEX('Compliance Database'!$D$2:$D$1369,MATCH(752,'Transfer Engine'!$C$2:$C$1369,0)))</f>
        <v/>
      </c>
      <c r="E761" s="8">
        <f>IF(ISNA(MATCH(752,'Transfer Engine'!$C$2:$C$1369,0)),"",INDEX('Compliance Database'!$E$2:$E$1369,MATCH(752,'Transfer Engine'!$C$2:$C$1369,0)))</f>
        <v/>
      </c>
      <c r="F761" s="8">
        <f>IF(ISNA(MATCH(752,'Transfer Engine'!$C$2:$C$1369,0)),"",INDEX('Compliance Database'!$F$2:$F$1369,MATCH(752,'Transfer Engine'!$C$2:$C$1369,0)))</f>
        <v/>
      </c>
      <c r="G761" s="8">
        <f>IF(ISNA(MATCH(752,'Transfer Engine'!$C$2:$C$1369,0)),"",INDEX('Compliance Database'!$G$2:$G$1369,MATCH(752,'Transfer Engine'!$C$2:$C$1369,0)))</f>
        <v/>
      </c>
      <c r="H761" s="9">
        <f>IF(ISNA(MATCH(752,'Transfer Engine'!$C$2:$C$1369,0)),"",INDEX('Compliance Database'!$H$2:$H$1369,MATCH(752,'Transfer Engine'!$C$2:$C$1369,0)))</f>
        <v/>
      </c>
      <c r="I761" s="9">
        <f>IF(ISNA(MATCH(752,'Transfer Engine'!$C$2:$C$1369,0)),"",INDEX('Compliance Database'!$I$2:$I$1369,MATCH(752,'Transfer Engine'!$C$2:$C$1369,0)))</f>
        <v/>
      </c>
      <c r="J761" s="8">
        <f>IF(ISNA(MATCH(752,'Transfer Engine'!$C$2:$C$1369,0)),"",INDEX('Compliance Database'!$J$2:$J$1369,MATCH(752,'Transfer Engine'!$C$2:$C$1369,0)))</f>
        <v/>
      </c>
      <c r="K761" s="9">
        <f>IF(ISNA(MATCH(752,'Transfer Engine'!$C$2:$C$1369,0)),"",INDEX('Compliance Database'!$K$2:$K$1369,MATCH(752,'Transfer Engine'!$C$2:$C$1369,0)))</f>
        <v/>
      </c>
      <c r="L761" s="9">
        <f>IF(ISNA(MATCH(752,'Transfer Engine'!$C$2:$C$1369,0)),"",INDEX('Compliance Database'!$L$2:$L$1369,MATCH(752,'Transfer Engine'!$C$2:$C$1369,0)))</f>
        <v/>
      </c>
      <c r="M761" s="9">
        <f>IF(ISNA(MATCH(752,'Transfer Engine'!$C$2:$C$1369,0)),"",INDEX('Compliance Database'!$M$2:$M$1369,MATCH(752,'Transfer Engine'!$C$2:$C$1369,0)))</f>
        <v/>
      </c>
      <c r="N761" s="9">
        <f>IF(ISNA(MATCH(752,'Transfer Engine'!$C$2:$C$1369,0)),"",INDEX('Compliance Database'!$N$2:$N$1369,MATCH(752,'Transfer Engine'!$C$2:$C$1369,0)))</f>
        <v/>
      </c>
      <c r="O761" s="8">
        <f>IF(ISNA(MATCH(752,'Transfer Engine'!$C$2:$C$1369,0)),"",HYPERLINK(INDEX('Compliance Database'!$O$2:$O$1369,MATCH(752,'Transfer Engine'!$C$2:$C$1369,0)),"Open PDF"))</f>
        <v/>
      </c>
    </row>
    <row r="762" ht="188" customHeight="1">
      <c r="A762" s="8">
        <f>IF(ISNA(MATCH(753,'Transfer Engine'!$C$2:$C$1369,0)),"",INDEX('Compliance Database'!$A$2:$A$1369,MATCH(753,'Transfer Engine'!$C$2:$C$1369,0)))</f>
        <v/>
      </c>
      <c r="B762" s="8">
        <f>IF(ISNA(MATCH(753,'Transfer Engine'!$C$2:$C$1369,0)),"",INDEX('Compliance Database'!$B$2:$B$1369,MATCH(753,'Transfer Engine'!$C$2:$C$1369,0)))</f>
        <v/>
      </c>
      <c r="C762" s="8">
        <f>IF(ISNA(MATCH(753,'Transfer Engine'!$C$2:$C$1369,0)),"",INDEX('Compliance Database'!$C$2:$C$1369,MATCH(753,'Transfer Engine'!$C$2:$C$1369,0)))</f>
        <v/>
      </c>
      <c r="D762" s="9">
        <f>IF(ISNA(MATCH(753,'Transfer Engine'!$C$2:$C$1369,0)),"",INDEX('Compliance Database'!$D$2:$D$1369,MATCH(753,'Transfer Engine'!$C$2:$C$1369,0)))</f>
        <v/>
      </c>
      <c r="E762" s="8">
        <f>IF(ISNA(MATCH(753,'Transfer Engine'!$C$2:$C$1369,0)),"",INDEX('Compliance Database'!$E$2:$E$1369,MATCH(753,'Transfer Engine'!$C$2:$C$1369,0)))</f>
        <v/>
      </c>
      <c r="F762" s="8">
        <f>IF(ISNA(MATCH(753,'Transfer Engine'!$C$2:$C$1369,0)),"",INDEX('Compliance Database'!$F$2:$F$1369,MATCH(753,'Transfer Engine'!$C$2:$C$1369,0)))</f>
        <v/>
      </c>
      <c r="G762" s="8">
        <f>IF(ISNA(MATCH(753,'Transfer Engine'!$C$2:$C$1369,0)),"",INDEX('Compliance Database'!$G$2:$G$1369,MATCH(753,'Transfer Engine'!$C$2:$C$1369,0)))</f>
        <v/>
      </c>
      <c r="H762" s="9">
        <f>IF(ISNA(MATCH(753,'Transfer Engine'!$C$2:$C$1369,0)),"",INDEX('Compliance Database'!$H$2:$H$1369,MATCH(753,'Transfer Engine'!$C$2:$C$1369,0)))</f>
        <v/>
      </c>
      <c r="I762" s="9">
        <f>IF(ISNA(MATCH(753,'Transfer Engine'!$C$2:$C$1369,0)),"",INDEX('Compliance Database'!$I$2:$I$1369,MATCH(753,'Transfer Engine'!$C$2:$C$1369,0)))</f>
        <v/>
      </c>
      <c r="J762" s="8">
        <f>IF(ISNA(MATCH(753,'Transfer Engine'!$C$2:$C$1369,0)),"",INDEX('Compliance Database'!$J$2:$J$1369,MATCH(753,'Transfer Engine'!$C$2:$C$1369,0)))</f>
        <v/>
      </c>
      <c r="K762" s="9">
        <f>IF(ISNA(MATCH(753,'Transfer Engine'!$C$2:$C$1369,0)),"",INDEX('Compliance Database'!$K$2:$K$1369,MATCH(753,'Transfer Engine'!$C$2:$C$1369,0)))</f>
        <v/>
      </c>
      <c r="L762" s="9">
        <f>IF(ISNA(MATCH(753,'Transfer Engine'!$C$2:$C$1369,0)),"",INDEX('Compliance Database'!$L$2:$L$1369,MATCH(753,'Transfer Engine'!$C$2:$C$1369,0)))</f>
        <v/>
      </c>
      <c r="M762" s="9">
        <f>IF(ISNA(MATCH(753,'Transfer Engine'!$C$2:$C$1369,0)),"",INDEX('Compliance Database'!$M$2:$M$1369,MATCH(753,'Transfer Engine'!$C$2:$C$1369,0)))</f>
        <v/>
      </c>
      <c r="N762" s="9">
        <f>IF(ISNA(MATCH(753,'Transfer Engine'!$C$2:$C$1369,0)),"",INDEX('Compliance Database'!$N$2:$N$1369,MATCH(753,'Transfer Engine'!$C$2:$C$1369,0)))</f>
        <v/>
      </c>
      <c r="O762" s="8">
        <f>IF(ISNA(MATCH(753,'Transfer Engine'!$C$2:$C$1369,0)),"",HYPERLINK(INDEX('Compliance Database'!$O$2:$O$1369,MATCH(753,'Transfer Engine'!$C$2:$C$1369,0)),"Open PDF"))</f>
        <v/>
      </c>
    </row>
    <row r="763" ht="188" customHeight="1">
      <c r="A763" s="8">
        <f>IF(ISNA(MATCH(754,'Transfer Engine'!$C$2:$C$1369,0)),"",INDEX('Compliance Database'!$A$2:$A$1369,MATCH(754,'Transfer Engine'!$C$2:$C$1369,0)))</f>
        <v/>
      </c>
      <c r="B763" s="8">
        <f>IF(ISNA(MATCH(754,'Transfer Engine'!$C$2:$C$1369,0)),"",INDEX('Compliance Database'!$B$2:$B$1369,MATCH(754,'Transfer Engine'!$C$2:$C$1369,0)))</f>
        <v/>
      </c>
      <c r="C763" s="8">
        <f>IF(ISNA(MATCH(754,'Transfer Engine'!$C$2:$C$1369,0)),"",INDEX('Compliance Database'!$C$2:$C$1369,MATCH(754,'Transfer Engine'!$C$2:$C$1369,0)))</f>
        <v/>
      </c>
      <c r="D763" s="9">
        <f>IF(ISNA(MATCH(754,'Transfer Engine'!$C$2:$C$1369,0)),"",INDEX('Compliance Database'!$D$2:$D$1369,MATCH(754,'Transfer Engine'!$C$2:$C$1369,0)))</f>
        <v/>
      </c>
      <c r="E763" s="8">
        <f>IF(ISNA(MATCH(754,'Transfer Engine'!$C$2:$C$1369,0)),"",INDEX('Compliance Database'!$E$2:$E$1369,MATCH(754,'Transfer Engine'!$C$2:$C$1369,0)))</f>
        <v/>
      </c>
      <c r="F763" s="8">
        <f>IF(ISNA(MATCH(754,'Transfer Engine'!$C$2:$C$1369,0)),"",INDEX('Compliance Database'!$F$2:$F$1369,MATCH(754,'Transfer Engine'!$C$2:$C$1369,0)))</f>
        <v/>
      </c>
      <c r="G763" s="8">
        <f>IF(ISNA(MATCH(754,'Transfer Engine'!$C$2:$C$1369,0)),"",INDEX('Compliance Database'!$G$2:$G$1369,MATCH(754,'Transfer Engine'!$C$2:$C$1369,0)))</f>
        <v/>
      </c>
      <c r="H763" s="9">
        <f>IF(ISNA(MATCH(754,'Transfer Engine'!$C$2:$C$1369,0)),"",INDEX('Compliance Database'!$H$2:$H$1369,MATCH(754,'Transfer Engine'!$C$2:$C$1369,0)))</f>
        <v/>
      </c>
      <c r="I763" s="9">
        <f>IF(ISNA(MATCH(754,'Transfer Engine'!$C$2:$C$1369,0)),"",INDEX('Compliance Database'!$I$2:$I$1369,MATCH(754,'Transfer Engine'!$C$2:$C$1369,0)))</f>
        <v/>
      </c>
      <c r="J763" s="8">
        <f>IF(ISNA(MATCH(754,'Transfer Engine'!$C$2:$C$1369,0)),"",INDEX('Compliance Database'!$J$2:$J$1369,MATCH(754,'Transfer Engine'!$C$2:$C$1369,0)))</f>
        <v/>
      </c>
      <c r="K763" s="9">
        <f>IF(ISNA(MATCH(754,'Transfer Engine'!$C$2:$C$1369,0)),"",INDEX('Compliance Database'!$K$2:$K$1369,MATCH(754,'Transfer Engine'!$C$2:$C$1369,0)))</f>
        <v/>
      </c>
      <c r="L763" s="9">
        <f>IF(ISNA(MATCH(754,'Transfer Engine'!$C$2:$C$1369,0)),"",INDEX('Compliance Database'!$L$2:$L$1369,MATCH(754,'Transfer Engine'!$C$2:$C$1369,0)))</f>
        <v/>
      </c>
      <c r="M763" s="9">
        <f>IF(ISNA(MATCH(754,'Transfer Engine'!$C$2:$C$1369,0)),"",INDEX('Compliance Database'!$M$2:$M$1369,MATCH(754,'Transfer Engine'!$C$2:$C$1369,0)))</f>
        <v/>
      </c>
      <c r="N763" s="9">
        <f>IF(ISNA(MATCH(754,'Transfer Engine'!$C$2:$C$1369,0)),"",INDEX('Compliance Database'!$N$2:$N$1369,MATCH(754,'Transfer Engine'!$C$2:$C$1369,0)))</f>
        <v/>
      </c>
      <c r="O763" s="8">
        <f>IF(ISNA(MATCH(754,'Transfer Engine'!$C$2:$C$1369,0)),"",HYPERLINK(INDEX('Compliance Database'!$O$2:$O$1369,MATCH(754,'Transfer Engine'!$C$2:$C$1369,0)),"Open PDF"))</f>
        <v/>
      </c>
    </row>
    <row r="764" ht="188" customHeight="1">
      <c r="A764" s="8">
        <f>IF(ISNA(MATCH(755,'Transfer Engine'!$C$2:$C$1369,0)),"",INDEX('Compliance Database'!$A$2:$A$1369,MATCH(755,'Transfer Engine'!$C$2:$C$1369,0)))</f>
        <v/>
      </c>
      <c r="B764" s="8">
        <f>IF(ISNA(MATCH(755,'Transfer Engine'!$C$2:$C$1369,0)),"",INDEX('Compliance Database'!$B$2:$B$1369,MATCH(755,'Transfer Engine'!$C$2:$C$1369,0)))</f>
        <v/>
      </c>
      <c r="C764" s="8">
        <f>IF(ISNA(MATCH(755,'Transfer Engine'!$C$2:$C$1369,0)),"",INDEX('Compliance Database'!$C$2:$C$1369,MATCH(755,'Transfer Engine'!$C$2:$C$1369,0)))</f>
        <v/>
      </c>
      <c r="D764" s="9">
        <f>IF(ISNA(MATCH(755,'Transfer Engine'!$C$2:$C$1369,0)),"",INDEX('Compliance Database'!$D$2:$D$1369,MATCH(755,'Transfer Engine'!$C$2:$C$1369,0)))</f>
        <v/>
      </c>
      <c r="E764" s="8">
        <f>IF(ISNA(MATCH(755,'Transfer Engine'!$C$2:$C$1369,0)),"",INDEX('Compliance Database'!$E$2:$E$1369,MATCH(755,'Transfer Engine'!$C$2:$C$1369,0)))</f>
        <v/>
      </c>
      <c r="F764" s="8">
        <f>IF(ISNA(MATCH(755,'Transfer Engine'!$C$2:$C$1369,0)),"",INDEX('Compliance Database'!$F$2:$F$1369,MATCH(755,'Transfer Engine'!$C$2:$C$1369,0)))</f>
        <v/>
      </c>
      <c r="G764" s="8">
        <f>IF(ISNA(MATCH(755,'Transfer Engine'!$C$2:$C$1369,0)),"",INDEX('Compliance Database'!$G$2:$G$1369,MATCH(755,'Transfer Engine'!$C$2:$C$1369,0)))</f>
        <v/>
      </c>
      <c r="H764" s="9">
        <f>IF(ISNA(MATCH(755,'Transfer Engine'!$C$2:$C$1369,0)),"",INDEX('Compliance Database'!$H$2:$H$1369,MATCH(755,'Transfer Engine'!$C$2:$C$1369,0)))</f>
        <v/>
      </c>
      <c r="I764" s="9">
        <f>IF(ISNA(MATCH(755,'Transfer Engine'!$C$2:$C$1369,0)),"",INDEX('Compliance Database'!$I$2:$I$1369,MATCH(755,'Transfer Engine'!$C$2:$C$1369,0)))</f>
        <v/>
      </c>
      <c r="J764" s="8">
        <f>IF(ISNA(MATCH(755,'Transfer Engine'!$C$2:$C$1369,0)),"",INDEX('Compliance Database'!$J$2:$J$1369,MATCH(755,'Transfer Engine'!$C$2:$C$1369,0)))</f>
        <v/>
      </c>
      <c r="K764" s="9">
        <f>IF(ISNA(MATCH(755,'Transfer Engine'!$C$2:$C$1369,0)),"",INDEX('Compliance Database'!$K$2:$K$1369,MATCH(755,'Transfer Engine'!$C$2:$C$1369,0)))</f>
        <v/>
      </c>
      <c r="L764" s="9">
        <f>IF(ISNA(MATCH(755,'Transfer Engine'!$C$2:$C$1369,0)),"",INDEX('Compliance Database'!$L$2:$L$1369,MATCH(755,'Transfer Engine'!$C$2:$C$1369,0)))</f>
        <v/>
      </c>
      <c r="M764" s="9">
        <f>IF(ISNA(MATCH(755,'Transfer Engine'!$C$2:$C$1369,0)),"",INDEX('Compliance Database'!$M$2:$M$1369,MATCH(755,'Transfer Engine'!$C$2:$C$1369,0)))</f>
        <v/>
      </c>
      <c r="N764" s="9">
        <f>IF(ISNA(MATCH(755,'Transfer Engine'!$C$2:$C$1369,0)),"",INDEX('Compliance Database'!$N$2:$N$1369,MATCH(755,'Transfer Engine'!$C$2:$C$1369,0)))</f>
        <v/>
      </c>
      <c r="O764" s="8">
        <f>IF(ISNA(MATCH(755,'Transfer Engine'!$C$2:$C$1369,0)),"",HYPERLINK(INDEX('Compliance Database'!$O$2:$O$1369,MATCH(755,'Transfer Engine'!$C$2:$C$1369,0)),"Open PDF"))</f>
        <v/>
      </c>
    </row>
    <row r="765" ht="188" customHeight="1">
      <c r="A765" s="8">
        <f>IF(ISNA(MATCH(756,'Transfer Engine'!$C$2:$C$1369,0)),"",INDEX('Compliance Database'!$A$2:$A$1369,MATCH(756,'Transfer Engine'!$C$2:$C$1369,0)))</f>
        <v/>
      </c>
      <c r="B765" s="8">
        <f>IF(ISNA(MATCH(756,'Transfer Engine'!$C$2:$C$1369,0)),"",INDEX('Compliance Database'!$B$2:$B$1369,MATCH(756,'Transfer Engine'!$C$2:$C$1369,0)))</f>
        <v/>
      </c>
      <c r="C765" s="8">
        <f>IF(ISNA(MATCH(756,'Transfer Engine'!$C$2:$C$1369,0)),"",INDEX('Compliance Database'!$C$2:$C$1369,MATCH(756,'Transfer Engine'!$C$2:$C$1369,0)))</f>
        <v/>
      </c>
      <c r="D765" s="9">
        <f>IF(ISNA(MATCH(756,'Transfer Engine'!$C$2:$C$1369,0)),"",INDEX('Compliance Database'!$D$2:$D$1369,MATCH(756,'Transfer Engine'!$C$2:$C$1369,0)))</f>
        <v/>
      </c>
      <c r="E765" s="8">
        <f>IF(ISNA(MATCH(756,'Transfer Engine'!$C$2:$C$1369,0)),"",INDEX('Compliance Database'!$E$2:$E$1369,MATCH(756,'Transfer Engine'!$C$2:$C$1369,0)))</f>
        <v/>
      </c>
      <c r="F765" s="8">
        <f>IF(ISNA(MATCH(756,'Transfer Engine'!$C$2:$C$1369,0)),"",INDEX('Compliance Database'!$F$2:$F$1369,MATCH(756,'Transfer Engine'!$C$2:$C$1369,0)))</f>
        <v/>
      </c>
      <c r="G765" s="8">
        <f>IF(ISNA(MATCH(756,'Transfer Engine'!$C$2:$C$1369,0)),"",INDEX('Compliance Database'!$G$2:$G$1369,MATCH(756,'Transfer Engine'!$C$2:$C$1369,0)))</f>
        <v/>
      </c>
      <c r="H765" s="9">
        <f>IF(ISNA(MATCH(756,'Transfer Engine'!$C$2:$C$1369,0)),"",INDEX('Compliance Database'!$H$2:$H$1369,MATCH(756,'Transfer Engine'!$C$2:$C$1369,0)))</f>
        <v/>
      </c>
      <c r="I765" s="9">
        <f>IF(ISNA(MATCH(756,'Transfer Engine'!$C$2:$C$1369,0)),"",INDEX('Compliance Database'!$I$2:$I$1369,MATCH(756,'Transfer Engine'!$C$2:$C$1369,0)))</f>
        <v/>
      </c>
      <c r="J765" s="8">
        <f>IF(ISNA(MATCH(756,'Transfer Engine'!$C$2:$C$1369,0)),"",INDEX('Compliance Database'!$J$2:$J$1369,MATCH(756,'Transfer Engine'!$C$2:$C$1369,0)))</f>
        <v/>
      </c>
      <c r="K765" s="9">
        <f>IF(ISNA(MATCH(756,'Transfer Engine'!$C$2:$C$1369,0)),"",INDEX('Compliance Database'!$K$2:$K$1369,MATCH(756,'Transfer Engine'!$C$2:$C$1369,0)))</f>
        <v/>
      </c>
      <c r="L765" s="9">
        <f>IF(ISNA(MATCH(756,'Transfer Engine'!$C$2:$C$1369,0)),"",INDEX('Compliance Database'!$L$2:$L$1369,MATCH(756,'Transfer Engine'!$C$2:$C$1369,0)))</f>
        <v/>
      </c>
      <c r="M765" s="9">
        <f>IF(ISNA(MATCH(756,'Transfer Engine'!$C$2:$C$1369,0)),"",INDEX('Compliance Database'!$M$2:$M$1369,MATCH(756,'Transfer Engine'!$C$2:$C$1369,0)))</f>
        <v/>
      </c>
      <c r="N765" s="9">
        <f>IF(ISNA(MATCH(756,'Transfer Engine'!$C$2:$C$1369,0)),"",INDEX('Compliance Database'!$N$2:$N$1369,MATCH(756,'Transfer Engine'!$C$2:$C$1369,0)))</f>
        <v/>
      </c>
      <c r="O765" s="8">
        <f>IF(ISNA(MATCH(756,'Transfer Engine'!$C$2:$C$1369,0)),"",HYPERLINK(INDEX('Compliance Database'!$O$2:$O$1369,MATCH(756,'Transfer Engine'!$C$2:$C$1369,0)),"Open PDF"))</f>
        <v/>
      </c>
    </row>
    <row r="766" ht="188" customHeight="1">
      <c r="A766" s="8">
        <f>IF(ISNA(MATCH(757,'Transfer Engine'!$C$2:$C$1369,0)),"",INDEX('Compliance Database'!$A$2:$A$1369,MATCH(757,'Transfer Engine'!$C$2:$C$1369,0)))</f>
        <v/>
      </c>
      <c r="B766" s="8">
        <f>IF(ISNA(MATCH(757,'Transfer Engine'!$C$2:$C$1369,0)),"",INDEX('Compliance Database'!$B$2:$B$1369,MATCH(757,'Transfer Engine'!$C$2:$C$1369,0)))</f>
        <v/>
      </c>
      <c r="C766" s="8">
        <f>IF(ISNA(MATCH(757,'Transfer Engine'!$C$2:$C$1369,0)),"",INDEX('Compliance Database'!$C$2:$C$1369,MATCH(757,'Transfer Engine'!$C$2:$C$1369,0)))</f>
        <v/>
      </c>
      <c r="D766" s="9">
        <f>IF(ISNA(MATCH(757,'Transfer Engine'!$C$2:$C$1369,0)),"",INDEX('Compliance Database'!$D$2:$D$1369,MATCH(757,'Transfer Engine'!$C$2:$C$1369,0)))</f>
        <v/>
      </c>
      <c r="E766" s="8">
        <f>IF(ISNA(MATCH(757,'Transfer Engine'!$C$2:$C$1369,0)),"",INDEX('Compliance Database'!$E$2:$E$1369,MATCH(757,'Transfer Engine'!$C$2:$C$1369,0)))</f>
        <v/>
      </c>
      <c r="F766" s="8">
        <f>IF(ISNA(MATCH(757,'Transfer Engine'!$C$2:$C$1369,0)),"",INDEX('Compliance Database'!$F$2:$F$1369,MATCH(757,'Transfer Engine'!$C$2:$C$1369,0)))</f>
        <v/>
      </c>
      <c r="G766" s="8">
        <f>IF(ISNA(MATCH(757,'Transfer Engine'!$C$2:$C$1369,0)),"",INDEX('Compliance Database'!$G$2:$G$1369,MATCH(757,'Transfer Engine'!$C$2:$C$1369,0)))</f>
        <v/>
      </c>
      <c r="H766" s="9">
        <f>IF(ISNA(MATCH(757,'Transfer Engine'!$C$2:$C$1369,0)),"",INDEX('Compliance Database'!$H$2:$H$1369,MATCH(757,'Transfer Engine'!$C$2:$C$1369,0)))</f>
        <v/>
      </c>
      <c r="I766" s="9">
        <f>IF(ISNA(MATCH(757,'Transfer Engine'!$C$2:$C$1369,0)),"",INDEX('Compliance Database'!$I$2:$I$1369,MATCH(757,'Transfer Engine'!$C$2:$C$1369,0)))</f>
        <v/>
      </c>
      <c r="J766" s="8">
        <f>IF(ISNA(MATCH(757,'Transfer Engine'!$C$2:$C$1369,0)),"",INDEX('Compliance Database'!$J$2:$J$1369,MATCH(757,'Transfer Engine'!$C$2:$C$1369,0)))</f>
        <v/>
      </c>
      <c r="K766" s="9">
        <f>IF(ISNA(MATCH(757,'Transfer Engine'!$C$2:$C$1369,0)),"",INDEX('Compliance Database'!$K$2:$K$1369,MATCH(757,'Transfer Engine'!$C$2:$C$1369,0)))</f>
        <v/>
      </c>
      <c r="L766" s="9">
        <f>IF(ISNA(MATCH(757,'Transfer Engine'!$C$2:$C$1369,0)),"",INDEX('Compliance Database'!$L$2:$L$1369,MATCH(757,'Transfer Engine'!$C$2:$C$1369,0)))</f>
        <v/>
      </c>
      <c r="M766" s="9">
        <f>IF(ISNA(MATCH(757,'Transfer Engine'!$C$2:$C$1369,0)),"",INDEX('Compliance Database'!$M$2:$M$1369,MATCH(757,'Transfer Engine'!$C$2:$C$1369,0)))</f>
        <v/>
      </c>
      <c r="N766" s="9">
        <f>IF(ISNA(MATCH(757,'Transfer Engine'!$C$2:$C$1369,0)),"",INDEX('Compliance Database'!$N$2:$N$1369,MATCH(757,'Transfer Engine'!$C$2:$C$1369,0)))</f>
        <v/>
      </c>
      <c r="O766" s="8">
        <f>IF(ISNA(MATCH(757,'Transfer Engine'!$C$2:$C$1369,0)),"",HYPERLINK(INDEX('Compliance Database'!$O$2:$O$1369,MATCH(757,'Transfer Engine'!$C$2:$C$1369,0)),"Open PDF"))</f>
        <v/>
      </c>
    </row>
    <row r="767" ht="188" customHeight="1">
      <c r="A767" s="8">
        <f>IF(ISNA(MATCH(758,'Transfer Engine'!$C$2:$C$1369,0)),"",INDEX('Compliance Database'!$A$2:$A$1369,MATCH(758,'Transfer Engine'!$C$2:$C$1369,0)))</f>
        <v/>
      </c>
      <c r="B767" s="8">
        <f>IF(ISNA(MATCH(758,'Transfer Engine'!$C$2:$C$1369,0)),"",INDEX('Compliance Database'!$B$2:$B$1369,MATCH(758,'Transfer Engine'!$C$2:$C$1369,0)))</f>
        <v/>
      </c>
      <c r="C767" s="8">
        <f>IF(ISNA(MATCH(758,'Transfer Engine'!$C$2:$C$1369,0)),"",INDEX('Compliance Database'!$C$2:$C$1369,MATCH(758,'Transfer Engine'!$C$2:$C$1369,0)))</f>
        <v/>
      </c>
      <c r="D767" s="9">
        <f>IF(ISNA(MATCH(758,'Transfer Engine'!$C$2:$C$1369,0)),"",INDEX('Compliance Database'!$D$2:$D$1369,MATCH(758,'Transfer Engine'!$C$2:$C$1369,0)))</f>
        <v/>
      </c>
      <c r="E767" s="8">
        <f>IF(ISNA(MATCH(758,'Transfer Engine'!$C$2:$C$1369,0)),"",INDEX('Compliance Database'!$E$2:$E$1369,MATCH(758,'Transfer Engine'!$C$2:$C$1369,0)))</f>
        <v/>
      </c>
      <c r="F767" s="8">
        <f>IF(ISNA(MATCH(758,'Transfer Engine'!$C$2:$C$1369,0)),"",INDEX('Compliance Database'!$F$2:$F$1369,MATCH(758,'Transfer Engine'!$C$2:$C$1369,0)))</f>
        <v/>
      </c>
      <c r="G767" s="8">
        <f>IF(ISNA(MATCH(758,'Transfer Engine'!$C$2:$C$1369,0)),"",INDEX('Compliance Database'!$G$2:$G$1369,MATCH(758,'Transfer Engine'!$C$2:$C$1369,0)))</f>
        <v/>
      </c>
      <c r="H767" s="9">
        <f>IF(ISNA(MATCH(758,'Transfer Engine'!$C$2:$C$1369,0)),"",INDEX('Compliance Database'!$H$2:$H$1369,MATCH(758,'Transfer Engine'!$C$2:$C$1369,0)))</f>
        <v/>
      </c>
      <c r="I767" s="9">
        <f>IF(ISNA(MATCH(758,'Transfer Engine'!$C$2:$C$1369,0)),"",INDEX('Compliance Database'!$I$2:$I$1369,MATCH(758,'Transfer Engine'!$C$2:$C$1369,0)))</f>
        <v/>
      </c>
      <c r="J767" s="8">
        <f>IF(ISNA(MATCH(758,'Transfer Engine'!$C$2:$C$1369,0)),"",INDEX('Compliance Database'!$J$2:$J$1369,MATCH(758,'Transfer Engine'!$C$2:$C$1369,0)))</f>
        <v/>
      </c>
      <c r="K767" s="9">
        <f>IF(ISNA(MATCH(758,'Transfer Engine'!$C$2:$C$1369,0)),"",INDEX('Compliance Database'!$K$2:$K$1369,MATCH(758,'Transfer Engine'!$C$2:$C$1369,0)))</f>
        <v/>
      </c>
      <c r="L767" s="9">
        <f>IF(ISNA(MATCH(758,'Transfer Engine'!$C$2:$C$1369,0)),"",INDEX('Compliance Database'!$L$2:$L$1369,MATCH(758,'Transfer Engine'!$C$2:$C$1369,0)))</f>
        <v/>
      </c>
      <c r="M767" s="9">
        <f>IF(ISNA(MATCH(758,'Transfer Engine'!$C$2:$C$1369,0)),"",INDEX('Compliance Database'!$M$2:$M$1369,MATCH(758,'Transfer Engine'!$C$2:$C$1369,0)))</f>
        <v/>
      </c>
      <c r="N767" s="9">
        <f>IF(ISNA(MATCH(758,'Transfer Engine'!$C$2:$C$1369,0)),"",INDEX('Compliance Database'!$N$2:$N$1369,MATCH(758,'Transfer Engine'!$C$2:$C$1369,0)))</f>
        <v/>
      </c>
      <c r="O767" s="8">
        <f>IF(ISNA(MATCH(758,'Transfer Engine'!$C$2:$C$1369,0)),"",HYPERLINK(INDEX('Compliance Database'!$O$2:$O$1369,MATCH(758,'Transfer Engine'!$C$2:$C$1369,0)),"Open PDF"))</f>
        <v/>
      </c>
    </row>
    <row r="768" ht="188" customHeight="1">
      <c r="A768" s="8">
        <f>IF(ISNA(MATCH(759,'Transfer Engine'!$C$2:$C$1369,0)),"",INDEX('Compliance Database'!$A$2:$A$1369,MATCH(759,'Transfer Engine'!$C$2:$C$1369,0)))</f>
        <v/>
      </c>
      <c r="B768" s="8">
        <f>IF(ISNA(MATCH(759,'Transfer Engine'!$C$2:$C$1369,0)),"",INDEX('Compliance Database'!$B$2:$B$1369,MATCH(759,'Transfer Engine'!$C$2:$C$1369,0)))</f>
        <v/>
      </c>
      <c r="C768" s="8">
        <f>IF(ISNA(MATCH(759,'Transfer Engine'!$C$2:$C$1369,0)),"",INDEX('Compliance Database'!$C$2:$C$1369,MATCH(759,'Transfer Engine'!$C$2:$C$1369,0)))</f>
        <v/>
      </c>
      <c r="D768" s="9">
        <f>IF(ISNA(MATCH(759,'Transfer Engine'!$C$2:$C$1369,0)),"",INDEX('Compliance Database'!$D$2:$D$1369,MATCH(759,'Transfer Engine'!$C$2:$C$1369,0)))</f>
        <v/>
      </c>
      <c r="E768" s="8">
        <f>IF(ISNA(MATCH(759,'Transfer Engine'!$C$2:$C$1369,0)),"",INDEX('Compliance Database'!$E$2:$E$1369,MATCH(759,'Transfer Engine'!$C$2:$C$1369,0)))</f>
        <v/>
      </c>
      <c r="F768" s="8">
        <f>IF(ISNA(MATCH(759,'Transfer Engine'!$C$2:$C$1369,0)),"",INDEX('Compliance Database'!$F$2:$F$1369,MATCH(759,'Transfer Engine'!$C$2:$C$1369,0)))</f>
        <v/>
      </c>
      <c r="G768" s="8">
        <f>IF(ISNA(MATCH(759,'Transfer Engine'!$C$2:$C$1369,0)),"",INDEX('Compliance Database'!$G$2:$G$1369,MATCH(759,'Transfer Engine'!$C$2:$C$1369,0)))</f>
        <v/>
      </c>
      <c r="H768" s="9">
        <f>IF(ISNA(MATCH(759,'Transfer Engine'!$C$2:$C$1369,0)),"",INDEX('Compliance Database'!$H$2:$H$1369,MATCH(759,'Transfer Engine'!$C$2:$C$1369,0)))</f>
        <v/>
      </c>
      <c r="I768" s="9">
        <f>IF(ISNA(MATCH(759,'Transfer Engine'!$C$2:$C$1369,0)),"",INDEX('Compliance Database'!$I$2:$I$1369,MATCH(759,'Transfer Engine'!$C$2:$C$1369,0)))</f>
        <v/>
      </c>
      <c r="J768" s="8">
        <f>IF(ISNA(MATCH(759,'Transfer Engine'!$C$2:$C$1369,0)),"",INDEX('Compliance Database'!$J$2:$J$1369,MATCH(759,'Transfer Engine'!$C$2:$C$1369,0)))</f>
        <v/>
      </c>
      <c r="K768" s="9">
        <f>IF(ISNA(MATCH(759,'Transfer Engine'!$C$2:$C$1369,0)),"",INDEX('Compliance Database'!$K$2:$K$1369,MATCH(759,'Transfer Engine'!$C$2:$C$1369,0)))</f>
        <v/>
      </c>
      <c r="L768" s="9">
        <f>IF(ISNA(MATCH(759,'Transfer Engine'!$C$2:$C$1369,0)),"",INDEX('Compliance Database'!$L$2:$L$1369,MATCH(759,'Transfer Engine'!$C$2:$C$1369,0)))</f>
        <v/>
      </c>
      <c r="M768" s="9">
        <f>IF(ISNA(MATCH(759,'Transfer Engine'!$C$2:$C$1369,0)),"",INDEX('Compliance Database'!$M$2:$M$1369,MATCH(759,'Transfer Engine'!$C$2:$C$1369,0)))</f>
        <v/>
      </c>
      <c r="N768" s="9">
        <f>IF(ISNA(MATCH(759,'Transfer Engine'!$C$2:$C$1369,0)),"",INDEX('Compliance Database'!$N$2:$N$1369,MATCH(759,'Transfer Engine'!$C$2:$C$1369,0)))</f>
        <v/>
      </c>
      <c r="O768" s="8">
        <f>IF(ISNA(MATCH(759,'Transfer Engine'!$C$2:$C$1369,0)),"",HYPERLINK(INDEX('Compliance Database'!$O$2:$O$1369,MATCH(759,'Transfer Engine'!$C$2:$C$1369,0)),"Open PDF"))</f>
        <v/>
      </c>
    </row>
    <row r="769" ht="188" customHeight="1">
      <c r="A769" s="8">
        <f>IF(ISNA(MATCH(760,'Transfer Engine'!$C$2:$C$1369,0)),"",INDEX('Compliance Database'!$A$2:$A$1369,MATCH(760,'Transfer Engine'!$C$2:$C$1369,0)))</f>
        <v/>
      </c>
      <c r="B769" s="8">
        <f>IF(ISNA(MATCH(760,'Transfer Engine'!$C$2:$C$1369,0)),"",INDEX('Compliance Database'!$B$2:$B$1369,MATCH(760,'Transfer Engine'!$C$2:$C$1369,0)))</f>
        <v/>
      </c>
      <c r="C769" s="8">
        <f>IF(ISNA(MATCH(760,'Transfer Engine'!$C$2:$C$1369,0)),"",INDEX('Compliance Database'!$C$2:$C$1369,MATCH(760,'Transfer Engine'!$C$2:$C$1369,0)))</f>
        <v/>
      </c>
      <c r="D769" s="9">
        <f>IF(ISNA(MATCH(760,'Transfer Engine'!$C$2:$C$1369,0)),"",INDEX('Compliance Database'!$D$2:$D$1369,MATCH(760,'Transfer Engine'!$C$2:$C$1369,0)))</f>
        <v/>
      </c>
      <c r="E769" s="8">
        <f>IF(ISNA(MATCH(760,'Transfer Engine'!$C$2:$C$1369,0)),"",INDEX('Compliance Database'!$E$2:$E$1369,MATCH(760,'Transfer Engine'!$C$2:$C$1369,0)))</f>
        <v/>
      </c>
      <c r="F769" s="8">
        <f>IF(ISNA(MATCH(760,'Transfer Engine'!$C$2:$C$1369,0)),"",INDEX('Compliance Database'!$F$2:$F$1369,MATCH(760,'Transfer Engine'!$C$2:$C$1369,0)))</f>
        <v/>
      </c>
      <c r="G769" s="8">
        <f>IF(ISNA(MATCH(760,'Transfer Engine'!$C$2:$C$1369,0)),"",INDEX('Compliance Database'!$G$2:$G$1369,MATCH(760,'Transfer Engine'!$C$2:$C$1369,0)))</f>
        <v/>
      </c>
      <c r="H769" s="9">
        <f>IF(ISNA(MATCH(760,'Transfer Engine'!$C$2:$C$1369,0)),"",INDEX('Compliance Database'!$H$2:$H$1369,MATCH(760,'Transfer Engine'!$C$2:$C$1369,0)))</f>
        <v/>
      </c>
      <c r="I769" s="9">
        <f>IF(ISNA(MATCH(760,'Transfer Engine'!$C$2:$C$1369,0)),"",INDEX('Compliance Database'!$I$2:$I$1369,MATCH(760,'Transfer Engine'!$C$2:$C$1369,0)))</f>
        <v/>
      </c>
      <c r="J769" s="8">
        <f>IF(ISNA(MATCH(760,'Transfer Engine'!$C$2:$C$1369,0)),"",INDEX('Compliance Database'!$J$2:$J$1369,MATCH(760,'Transfer Engine'!$C$2:$C$1369,0)))</f>
        <v/>
      </c>
      <c r="K769" s="9">
        <f>IF(ISNA(MATCH(760,'Transfer Engine'!$C$2:$C$1369,0)),"",INDEX('Compliance Database'!$K$2:$K$1369,MATCH(760,'Transfer Engine'!$C$2:$C$1369,0)))</f>
        <v/>
      </c>
      <c r="L769" s="9">
        <f>IF(ISNA(MATCH(760,'Transfer Engine'!$C$2:$C$1369,0)),"",INDEX('Compliance Database'!$L$2:$L$1369,MATCH(760,'Transfer Engine'!$C$2:$C$1369,0)))</f>
        <v/>
      </c>
      <c r="M769" s="9">
        <f>IF(ISNA(MATCH(760,'Transfer Engine'!$C$2:$C$1369,0)),"",INDEX('Compliance Database'!$M$2:$M$1369,MATCH(760,'Transfer Engine'!$C$2:$C$1369,0)))</f>
        <v/>
      </c>
      <c r="N769" s="9">
        <f>IF(ISNA(MATCH(760,'Transfer Engine'!$C$2:$C$1369,0)),"",INDEX('Compliance Database'!$N$2:$N$1369,MATCH(760,'Transfer Engine'!$C$2:$C$1369,0)))</f>
        <v/>
      </c>
      <c r="O769" s="8">
        <f>IF(ISNA(MATCH(760,'Transfer Engine'!$C$2:$C$1369,0)),"",HYPERLINK(INDEX('Compliance Database'!$O$2:$O$1369,MATCH(760,'Transfer Engine'!$C$2:$C$1369,0)),"Open PDF"))</f>
        <v/>
      </c>
    </row>
    <row r="770" ht="188" customHeight="1">
      <c r="A770" s="8">
        <f>IF(ISNA(MATCH(761,'Transfer Engine'!$C$2:$C$1369,0)),"",INDEX('Compliance Database'!$A$2:$A$1369,MATCH(761,'Transfer Engine'!$C$2:$C$1369,0)))</f>
        <v/>
      </c>
      <c r="B770" s="8">
        <f>IF(ISNA(MATCH(761,'Transfer Engine'!$C$2:$C$1369,0)),"",INDEX('Compliance Database'!$B$2:$B$1369,MATCH(761,'Transfer Engine'!$C$2:$C$1369,0)))</f>
        <v/>
      </c>
      <c r="C770" s="8">
        <f>IF(ISNA(MATCH(761,'Transfer Engine'!$C$2:$C$1369,0)),"",INDEX('Compliance Database'!$C$2:$C$1369,MATCH(761,'Transfer Engine'!$C$2:$C$1369,0)))</f>
        <v/>
      </c>
      <c r="D770" s="9">
        <f>IF(ISNA(MATCH(761,'Transfer Engine'!$C$2:$C$1369,0)),"",INDEX('Compliance Database'!$D$2:$D$1369,MATCH(761,'Transfer Engine'!$C$2:$C$1369,0)))</f>
        <v/>
      </c>
      <c r="E770" s="8">
        <f>IF(ISNA(MATCH(761,'Transfer Engine'!$C$2:$C$1369,0)),"",INDEX('Compliance Database'!$E$2:$E$1369,MATCH(761,'Transfer Engine'!$C$2:$C$1369,0)))</f>
        <v/>
      </c>
      <c r="F770" s="8">
        <f>IF(ISNA(MATCH(761,'Transfer Engine'!$C$2:$C$1369,0)),"",INDEX('Compliance Database'!$F$2:$F$1369,MATCH(761,'Transfer Engine'!$C$2:$C$1369,0)))</f>
        <v/>
      </c>
      <c r="G770" s="8">
        <f>IF(ISNA(MATCH(761,'Transfer Engine'!$C$2:$C$1369,0)),"",INDEX('Compliance Database'!$G$2:$G$1369,MATCH(761,'Transfer Engine'!$C$2:$C$1369,0)))</f>
        <v/>
      </c>
      <c r="H770" s="9">
        <f>IF(ISNA(MATCH(761,'Transfer Engine'!$C$2:$C$1369,0)),"",INDEX('Compliance Database'!$H$2:$H$1369,MATCH(761,'Transfer Engine'!$C$2:$C$1369,0)))</f>
        <v/>
      </c>
      <c r="I770" s="9">
        <f>IF(ISNA(MATCH(761,'Transfer Engine'!$C$2:$C$1369,0)),"",INDEX('Compliance Database'!$I$2:$I$1369,MATCH(761,'Transfer Engine'!$C$2:$C$1369,0)))</f>
        <v/>
      </c>
      <c r="J770" s="8">
        <f>IF(ISNA(MATCH(761,'Transfer Engine'!$C$2:$C$1369,0)),"",INDEX('Compliance Database'!$J$2:$J$1369,MATCH(761,'Transfer Engine'!$C$2:$C$1369,0)))</f>
        <v/>
      </c>
      <c r="K770" s="9">
        <f>IF(ISNA(MATCH(761,'Transfer Engine'!$C$2:$C$1369,0)),"",INDEX('Compliance Database'!$K$2:$K$1369,MATCH(761,'Transfer Engine'!$C$2:$C$1369,0)))</f>
        <v/>
      </c>
      <c r="L770" s="9">
        <f>IF(ISNA(MATCH(761,'Transfer Engine'!$C$2:$C$1369,0)),"",INDEX('Compliance Database'!$L$2:$L$1369,MATCH(761,'Transfer Engine'!$C$2:$C$1369,0)))</f>
        <v/>
      </c>
      <c r="M770" s="9">
        <f>IF(ISNA(MATCH(761,'Transfer Engine'!$C$2:$C$1369,0)),"",INDEX('Compliance Database'!$M$2:$M$1369,MATCH(761,'Transfer Engine'!$C$2:$C$1369,0)))</f>
        <v/>
      </c>
      <c r="N770" s="9">
        <f>IF(ISNA(MATCH(761,'Transfer Engine'!$C$2:$C$1369,0)),"",INDEX('Compliance Database'!$N$2:$N$1369,MATCH(761,'Transfer Engine'!$C$2:$C$1369,0)))</f>
        <v/>
      </c>
      <c r="O770" s="8">
        <f>IF(ISNA(MATCH(761,'Transfer Engine'!$C$2:$C$1369,0)),"",HYPERLINK(INDEX('Compliance Database'!$O$2:$O$1369,MATCH(761,'Transfer Engine'!$C$2:$C$1369,0)),"Open PDF"))</f>
        <v/>
      </c>
    </row>
    <row r="771" ht="188" customHeight="1">
      <c r="A771" s="8">
        <f>IF(ISNA(MATCH(762,'Transfer Engine'!$C$2:$C$1369,0)),"",INDEX('Compliance Database'!$A$2:$A$1369,MATCH(762,'Transfer Engine'!$C$2:$C$1369,0)))</f>
        <v/>
      </c>
      <c r="B771" s="8">
        <f>IF(ISNA(MATCH(762,'Transfer Engine'!$C$2:$C$1369,0)),"",INDEX('Compliance Database'!$B$2:$B$1369,MATCH(762,'Transfer Engine'!$C$2:$C$1369,0)))</f>
        <v/>
      </c>
      <c r="C771" s="8">
        <f>IF(ISNA(MATCH(762,'Transfer Engine'!$C$2:$C$1369,0)),"",INDEX('Compliance Database'!$C$2:$C$1369,MATCH(762,'Transfer Engine'!$C$2:$C$1369,0)))</f>
        <v/>
      </c>
      <c r="D771" s="9">
        <f>IF(ISNA(MATCH(762,'Transfer Engine'!$C$2:$C$1369,0)),"",INDEX('Compliance Database'!$D$2:$D$1369,MATCH(762,'Transfer Engine'!$C$2:$C$1369,0)))</f>
        <v/>
      </c>
      <c r="E771" s="8">
        <f>IF(ISNA(MATCH(762,'Transfer Engine'!$C$2:$C$1369,0)),"",INDEX('Compliance Database'!$E$2:$E$1369,MATCH(762,'Transfer Engine'!$C$2:$C$1369,0)))</f>
        <v/>
      </c>
      <c r="F771" s="8">
        <f>IF(ISNA(MATCH(762,'Transfer Engine'!$C$2:$C$1369,0)),"",INDEX('Compliance Database'!$F$2:$F$1369,MATCH(762,'Transfer Engine'!$C$2:$C$1369,0)))</f>
        <v/>
      </c>
      <c r="G771" s="8">
        <f>IF(ISNA(MATCH(762,'Transfer Engine'!$C$2:$C$1369,0)),"",INDEX('Compliance Database'!$G$2:$G$1369,MATCH(762,'Transfer Engine'!$C$2:$C$1369,0)))</f>
        <v/>
      </c>
      <c r="H771" s="9">
        <f>IF(ISNA(MATCH(762,'Transfer Engine'!$C$2:$C$1369,0)),"",INDEX('Compliance Database'!$H$2:$H$1369,MATCH(762,'Transfer Engine'!$C$2:$C$1369,0)))</f>
        <v/>
      </c>
      <c r="I771" s="9">
        <f>IF(ISNA(MATCH(762,'Transfer Engine'!$C$2:$C$1369,0)),"",INDEX('Compliance Database'!$I$2:$I$1369,MATCH(762,'Transfer Engine'!$C$2:$C$1369,0)))</f>
        <v/>
      </c>
      <c r="J771" s="8">
        <f>IF(ISNA(MATCH(762,'Transfer Engine'!$C$2:$C$1369,0)),"",INDEX('Compliance Database'!$J$2:$J$1369,MATCH(762,'Transfer Engine'!$C$2:$C$1369,0)))</f>
        <v/>
      </c>
      <c r="K771" s="9">
        <f>IF(ISNA(MATCH(762,'Transfer Engine'!$C$2:$C$1369,0)),"",INDEX('Compliance Database'!$K$2:$K$1369,MATCH(762,'Transfer Engine'!$C$2:$C$1369,0)))</f>
        <v/>
      </c>
      <c r="L771" s="9">
        <f>IF(ISNA(MATCH(762,'Transfer Engine'!$C$2:$C$1369,0)),"",INDEX('Compliance Database'!$L$2:$L$1369,MATCH(762,'Transfer Engine'!$C$2:$C$1369,0)))</f>
        <v/>
      </c>
      <c r="M771" s="9">
        <f>IF(ISNA(MATCH(762,'Transfer Engine'!$C$2:$C$1369,0)),"",INDEX('Compliance Database'!$M$2:$M$1369,MATCH(762,'Transfer Engine'!$C$2:$C$1369,0)))</f>
        <v/>
      </c>
      <c r="N771" s="9">
        <f>IF(ISNA(MATCH(762,'Transfer Engine'!$C$2:$C$1369,0)),"",INDEX('Compliance Database'!$N$2:$N$1369,MATCH(762,'Transfer Engine'!$C$2:$C$1369,0)))</f>
        <v/>
      </c>
      <c r="O771" s="8">
        <f>IF(ISNA(MATCH(762,'Transfer Engine'!$C$2:$C$1369,0)),"",HYPERLINK(INDEX('Compliance Database'!$O$2:$O$1369,MATCH(762,'Transfer Engine'!$C$2:$C$1369,0)),"Open PDF"))</f>
        <v/>
      </c>
    </row>
    <row r="772" ht="188" customHeight="1">
      <c r="A772" s="8">
        <f>IF(ISNA(MATCH(763,'Transfer Engine'!$C$2:$C$1369,0)),"",INDEX('Compliance Database'!$A$2:$A$1369,MATCH(763,'Transfer Engine'!$C$2:$C$1369,0)))</f>
        <v/>
      </c>
      <c r="B772" s="8">
        <f>IF(ISNA(MATCH(763,'Transfer Engine'!$C$2:$C$1369,0)),"",INDEX('Compliance Database'!$B$2:$B$1369,MATCH(763,'Transfer Engine'!$C$2:$C$1369,0)))</f>
        <v/>
      </c>
      <c r="C772" s="8">
        <f>IF(ISNA(MATCH(763,'Transfer Engine'!$C$2:$C$1369,0)),"",INDEX('Compliance Database'!$C$2:$C$1369,MATCH(763,'Transfer Engine'!$C$2:$C$1369,0)))</f>
        <v/>
      </c>
      <c r="D772" s="9">
        <f>IF(ISNA(MATCH(763,'Transfer Engine'!$C$2:$C$1369,0)),"",INDEX('Compliance Database'!$D$2:$D$1369,MATCH(763,'Transfer Engine'!$C$2:$C$1369,0)))</f>
        <v/>
      </c>
      <c r="E772" s="8">
        <f>IF(ISNA(MATCH(763,'Transfer Engine'!$C$2:$C$1369,0)),"",INDEX('Compliance Database'!$E$2:$E$1369,MATCH(763,'Transfer Engine'!$C$2:$C$1369,0)))</f>
        <v/>
      </c>
      <c r="F772" s="8">
        <f>IF(ISNA(MATCH(763,'Transfer Engine'!$C$2:$C$1369,0)),"",INDEX('Compliance Database'!$F$2:$F$1369,MATCH(763,'Transfer Engine'!$C$2:$C$1369,0)))</f>
        <v/>
      </c>
      <c r="G772" s="8">
        <f>IF(ISNA(MATCH(763,'Transfer Engine'!$C$2:$C$1369,0)),"",INDEX('Compliance Database'!$G$2:$G$1369,MATCH(763,'Transfer Engine'!$C$2:$C$1369,0)))</f>
        <v/>
      </c>
      <c r="H772" s="9">
        <f>IF(ISNA(MATCH(763,'Transfer Engine'!$C$2:$C$1369,0)),"",INDEX('Compliance Database'!$H$2:$H$1369,MATCH(763,'Transfer Engine'!$C$2:$C$1369,0)))</f>
        <v/>
      </c>
      <c r="I772" s="9">
        <f>IF(ISNA(MATCH(763,'Transfer Engine'!$C$2:$C$1369,0)),"",INDEX('Compliance Database'!$I$2:$I$1369,MATCH(763,'Transfer Engine'!$C$2:$C$1369,0)))</f>
        <v/>
      </c>
      <c r="J772" s="8">
        <f>IF(ISNA(MATCH(763,'Transfer Engine'!$C$2:$C$1369,0)),"",INDEX('Compliance Database'!$J$2:$J$1369,MATCH(763,'Transfer Engine'!$C$2:$C$1369,0)))</f>
        <v/>
      </c>
      <c r="K772" s="9">
        <f>IF(ISNA(MATCH(763,'Transfer Engine'!$C$2:$C$1369,0)),"",INDEX('Compliance Database'!$K$2:$K$1369,MATCH(763,'Transfer Engine'!$C$2:$C$1369,0)))</f>
        <v/>
      </c>
      <c r="L772" s="9">
        <f>IF(ISNA(MATCH(763,'Transfer Engine'!$C$2:$C$1369,0)),"",INDEX('Compliance Database'!$L$2:$L$1369,MATCH(763,'Transfer Engine'!$C$2:$C$1369,0)))</f>
        <v/>
      </c>
      <c r="M772" s="9">
        <f>IF(ISNA(MATCH(763,'Transfer Engine'!$C$2:$C$1369,0)),"",INDEX('Compliance Database'!$M$2:$M$1369,MATCH(763,'Transfer Engine'!$C$2:$C$1369,0)))</f>
        <v/>
      </c>
      <c r="N772" s="9">
        <f>IF(ISNA(MATCH(763,'Transfer Engine'!$C$2:$C$1369,0)),"",INDEX('Compliance Database'!$N$2:$N$1369,MATCH(763,'Transfer Engine'!$C$2:$C$1369,0)))</f>
        <v/>
      </c>
      <c r="O772" s="8">
        <f>IF(ISNA(MATCH(763,'Transfer Engine'!$C$2:$C$1369,0)),"",HYPERLINK(INDEX('Compliance Database'!$O$2:$O$1369,MATCH(763,'Transfer Engine'!$C$2:$C$1369,0)),"Open PDF"))</f>
        <v/>
      </c>
    </row>
    <row r="773" ht="188" customHeight="1">
      <c r="A773" s="8">
        <f>IF(ISNA(MATCH(764,'Transfer Engine'!$C$2:$C$1369,0)),"",INDEX('Compliance Database'!$A$2:$A$1369,MATCH(764,'Transfer Engine'!$C$2:$C$1369,0)))</f>
        <v/>
      </c>
      <c r="B773" s="8">
        <f>IF(ISNA(MATCH(764,'Transfer Engine'!$C$2:$C$1369,0)),"",INDEX('Compliance Database'!$B$2:$B$1369,MATCH(764,'Transfer Engine'!$C$2:$C$1369,0)))</f>
        <v/>
      </c>
      <c r="C773" s="8">
        <f>IF(ISNA(MATCH(764,'Transfer Engine'!$C$2:$C$1369,0)),"",INDEX('Compliance Database'!$C$2:$C$1369,MATCH(764,'Transfer Engine'!$C$2:$C$1369,0)))</f>
        <v/>
      </c>
      <c r="D773" s="9">
        <f>IF(ISNA(MATCH(764,'Transfer Engine'!$C$2:$C$1369,0)),"",INDEX('Compliance Database'!$D$2:$D$1369,MATCH(764,'Transfer Engine'!$C$2:$C$1369,0)))</f>
        <v/>
      </c>
      <c r="E773" s="8">
        <f>IF(ISNA(MATCH(764,'Transfer Engine'!$C$2:$C$1369,0)),"",INDEX('Compliance Database'!$E$2:$E$1369,MATCH(764,'Transfer Engine'!$C$2:$C$1369,0)))</f>
        <v/>
      </c>
      <c r="F773" s="8">
        <f>IF(ISNA(MATCH(764,'Transfer Engine'!$C$2:$C$1369,0)),"",INDEX('Compliance Database'!$F$2:$F$1369,MATCH(764,'Transfer Engine'!$C$2:$C$1369,0)))</f>
        <v/>
      </c>
      <c r="G773" s="8">
        <f>IF(ISNA(MATCH(764,'Transfer Engine'!$C$2:$C$1369,0)),"",INDEX('Compliance Database'!$G$2:$G$1369,MATCH(764,'Transfer Engine'!$C$2:$C$1369,0)))</f>
        <v/>
      </c>
      <c r="H773" s="9">
        <f>IF(ISNA(MATCH(764,'Transfer Engine'!$C$2:$C$1369,0)),"",INDEX('Compliance Database'!$H$2:$H$1369,MATCH(764,'Transfer Engine'!$C$2:$C$1369,0)))</f>
        <v/>
      </c>
      <c r="I773" s="9">
        <f>IF(ISNA(MATCH(764,'Transfer Engine'!$C$2:$C$1369,0)),"",INDEX('Compliance Database'!$I$2:$I$1369,MATCH(764,'Transfer Engine'!$C$2:$C$1369,0)))</f>
        <v/>
      </c>
      <c r="J773" s="8">
        <f>IF(ISNA(MATCH(764,'Transfer Engine'!$C$2:$C$1369,0)),"",INDEX('Compliance Database'!$J$2:$J$1369,MATCH(764,'Transfer Engine'!$C$2:$C$1369,0)))</f>
        <v/>
      </c>
      <c r="K773" s="9">
        <f>IF(ISNA(MATCH(764,'Transfer Engine'!$C$2:$C$1369,0)),"",INDEX('Compliance Database'!$K$2:$K$1369,MATCH(764,'Transfer Engine'!$C$2:$C$1369,0)))</f>
        <v/>
      </c>
      <c r="L773" s="9">
        <f>IF(ISNA(MATCH(764,'Transfer Engine'!$C$2:$C$1369,0)),"",INDEX('Compliance Database'!$L$2:$L$1369,MATCH(764,'Transfer Engine'!$C$2:$C$1369,0)))</f>
        <v/>
      </c>
      <c r="M773" s="9">
        <f>IF(ISNA(MATCH(764,'Transfer Engine'!$C$2:$C$1369,0)),"",INDEX('Compliance Database'!$M$2:$M$1369,MATCH(764,'Transfer Engine'!$C$2:$C$1369,0)))</f>
        <v/>
      </c>
      <c r="N773" s="9">
        <f>IF(ISNA(MATCH(764,'Transfer Engine'!$C$2:$C$1369,0)),"",INDEX('Compliance Database'!$N$2:$N$1369,MATCH(764,'Transfer Engine'!$C$2:$C$1369,0)))</f>
        <v/>
      </c>
      <c r="O773" s="8">
        <f>IF(ISNA(MATCH(764,'Transfer Engine'!$C$2:$C$1369,0)),"",HYPERLINK(INDEX('Compliance Database'!$O$2:$O$1369,MATCH(764,'Transfer Engine'!$C$2:$C$1369,0)),"Open PDF"))</f>
        <v/>
      </c>
    </row>
    <row r="774" ht="188" customHeight="1">
      <c r="A774" s="8">
        <f>IF(ISNA(MATCH(765,'Transfer Engine'!$C$2:$C$1369,0)),"",INDEX('Compliance Database'!$A$2:$A$1369,MATCH(765,'Transfer Engine'!$C$2:$C$1369,0)))</f>
        <v/>
      </c>
      <c r="B774" s="8">
        <f>IF(ISNA(MATCH(765,'Transfer Engine'!$C$2:$C$1369,0)),"",INDEX('Compliance Database'!$B$2:$B$1369,MATCH(765,'Transfer Engine'!$C$2:$C$1369,0)))</f>
        <v/>
      </c>
      <c r="C774" s="8">
        <f>IF(ISNA(MATCH(765,'Transfer Engine'!$C$2:$C$1369,0)),"",INDEX('Compliance Database'!$C$2:$C$1369,MATCH(765,'Transfer Engine'!$C$2:$C$1369,0)))</f>
        <v/>
      </c>
      <c r="D774" s="9">
        <f>IF(ISNA(MATCH(765,'Transfer Engine'!$C$2:$C$1369,0)),"",INDEX('Compliance Database'!$D$2:$D$1369,MATCH(765,'Transfer Engine'!$C$2:$C$1369,0)))</f>
        <v/>
      </c>
      <c r="E774" s="8">
        <f>IF(ISNA(MATCH(765,'Transfer Engine'!$C$2:$C$1369,0)),"",INDEX('Compliance Database'!$E$2:$E$1369,MATCH(765,'Transfer Engine'!$C$2:$C$1369,0)))</f>
        <v/>
      </c>
      <c r="F774" s="8">
        <f>IF(ISNA(MATCH(765,'Transfer Engine'!$C$2:$C$1369,0)),"",INDEX('Compliance Database'!$F$2:$F$1369,MATCH(765,'Transfer Engine'!$C$2:$C$1369,0)))</f>
        <v/>
      </c>
      <c r="G774" s="8">
        <f>IF(ISNA(MATCH(765,'Transfer Engine'!$C$2:$C$1369,0)),"",INDEX('Compliance Database'!$G$2:$G$1369,MATCH(765,'Transfer Engine'!$C$2:$C$1369,0)))</f>
        <v/>
      </c>
      <c r="H774" s="9">
        <f>IF(ISNA(MATCH(765,'Transfer Engine'!$C$2:$C$1369,0)),"",INDEX('Compliance Database'!$H$2:$H$1369,MATCH(765,'Transfer Engine'!$C$2:$C$1369,0)))</f>
        <v/>
      </c>
      <c r="I774" s="9">
        <f>IF(ISNA(MATCH(765,'Transfer Engine'!$C$2:$C$1369,0)),"",INDEX('Compliance Database'!$I$2:$I$1369,MATCH(765,'Transfer Engine'!$C$2:$C$1369,0)))</f>
        <v/>
      </c>
      <c r="J774" s="8">
        <f>IF(ISNA(MATCH(765,'Transfer Engine'!$C$2:$C$1369,0)),"",INDEX('Compliance Database'!$J$2:$J$1369,MATCH(765,'Transfer Engine'!$C$2:$C$1369,0)))</f>
        <v/>
      </c>
      <c r="K774" s="9">
        <f>IF(ISNA(MATCH(765,'Transfer Engine'!$C$2:$C$1369,0)),"",INDEX('Compliance Database'!$K$2:$K$1369,MATCH(765,'Transfer Engine'!$C$2:$C$1369,0)))</f>
        <v/>
      </c>
      <c r="L774" s="9">
        <f>IF(ISNA(MATCH(765,'Transfer Engine'!$C$2:$C$1369,0)),"",INDEX('Compliance Database'!$L$2:$L$1369,MATCH(765,'Transfer Engine'!$C$2:$C$1369,0)))</f>
        <v/>
      </c>
      <c r="M774" s="9">
        <f>IF(ISNA(MATCH(765,'Transfer Engine'!$C$2:$C$1369,0)),"",INDEX('Compliance Database'!$M$2:$M$1369,MATCH(765,'Transfer Engine'!$C$2:$C$1369,0)))</f>
        <v/>
      </c>
      <c r="N774" s="9">
        <f>IF(ISNA(MATCH(765,'Transfer Engine'!$C$2:$C$1369,0)),"",INDEX('Compliance Database'!$N$2:$N$1369,MATCH(765,'Transfer Engine'!$C$2:$C$1369,0)))</f>
        <v/>
      </c>
      <c r="O774" s="8">
        <f>IF(ISNA(MATCH(765,'Transfer Engine'!$C$2:$C$1369,0)),"",HYPERLINK(INDEX('Compliance Database'!$O$2:$O$1369,MATCH(765,'Transfer Engine'!$C$2:$C$1369,0)),"Open PDF"))</f>
        <v/>
      </c>
    </row>
    <row r="775" ht="188" customHeight="1">
      <c r="A775" s="8">
        <f>IF(ISNA(MATCH(766,'Transfer Engine'!$C$2:$C$1369,0)),"",INDEX('Compliance Database'!$A$2:$A$1369,MATCH(766,'Transfer Engine'!$C$2:$C$1369,0)))</f>
        <v/>
      </c>
      <c r="B775" s="8">
        <f>IF(ISNA(MATCH(766,'Transfer Engine'!$C$2:$C$1369,0)),"",INDEX('Compliance Database'!$B$2:$B$1369,MATCH(766,'Transfer Engine'!$C$2:$C$1369,0)))</f>
        <v/>
      </c>
      <c r="C775" s="8">
        <f>IF(ISNA(MATCH(766,'Transfer Engine'!$C$2:$C$1369,0)),"",INDEX('Compliance Database'!$C$2:$C$1369,MATCH(766,'Transfer Engine'!$C$2:$C$1369,0)))</f>
        <v/>
      </c>
      <c r="D775" s="9">
        <f>IF(ISNA(MATCH(766,'Transfer Engine'!$C$2:$C$1369,0)),"",INDEX('Compliance Database'!$D$2:$D$1369,MATCH(766,'Transfer Engine'!$C$2:$C$1369,0)))</f>
        <v/>
      </c>
      <c r="E775" s="8">
        <f>IF(ISNA(MATCH(766,'Transfer Engine'!$C$2:$C$1369,0)),"",INDEX('Compliance Database'!$E$2:$E$1369,MATCH(766,'Transfer Engine'!$C$2:$C$1369,0)))</f>
        <v/>
      </c>
      <c r="F775" s="8">
        <f>IF(ISNA(MATCH(766,'Transfer Engine'!$C$2:$C$1369,0)),"",INDEX('Compliance Database'!$F$2:$F$1369,MATCH(766,'Transfer Engine'!$C$2:$C$1369,0)))</f>
        <v/>
      </c>
      <c r="G775" s="8">
        <f>IF(ISNA(MATCH(766,'Transfer Engine'!$C$2:$C$1369,0)),"",INDEX('Compliance Database'!$G$2:$G$1369,MATCH(766,'Transfer Engine'!$C$2:$C$1369,0)))</f>
        <v/>
      </c>
      <c r="H775" s="9">
        <f>IF(ISNA(MATCH(766,'Transfer Engine'!$C$2:$C$1369,0)),"",INDEX('Compliance Database'!$H$2:$H$1369,MATCH(766,'Transfer Engine'!$C$2:$C$1369,0)))</f>
        <v/>
      </c>
      <c r="I775" s="9">
        <f>IF(ISNA(MATCH(766,'Transfer Engine'!$C$2:$C$1369,0)),"",INDEX('Compliance Database'!$I$2:$I$1369,MATCH(766,'Transfer Engine'!$C$2:$C$1369,0)))</f>
        <v/>
      </c>
      <c r="J775" s="8">
        <f>IF(ISNA(MATCH(766,'Transfer Engine'!$C$2:$C$1369,0)),"",INDEX('Compliance Database'!$J$2:$J$1369,MATCH(766,'Transfer Engine'!$C$2:$C$1369,0)))</f>
        <v/>
      </c>
      <c r="K775" s="9">
        <f>IF(ISNA(MATCH(766,'Transfer Engine'!$C$2:$C$1369,0)),"",INDEX('Compliance Database'!$K$2:$K$1369,MATCH(766,'Transfer Engine'!$C$2:$C$1369,0)))</f>
        <v/>
      </c>
      <c r="L775" s="9">
        <f>IF(ISNA(MATCH(766,'Transfer Engine'!$C$2:$C$1369,0)),"",INDEX('Compliance Database'!$L$2:$L$1369,MATCH(766,'Transfer Engine'!$C$2:$C$1369,0)))</f>
        <v/>
      </c>
      <c r="M775" s="9">
        <f>IF(ISNA(MATCH(766,'Transfer Engine'!$C$2:$C$1369,0)),"",INDEX('Compliance Database'!$M$2:$M$1369,MATCH(766,'Transfer Engine'!$C$2:$C$1369,0)))</f>
        <v/>
      </c>
      <c r="N775" s="9">
        <f>IF(ISNA(MATCH(766,'Transfer Engine'!$C$2:$C$1369,0)),"",INDEX('Compliance Database'!$N$2:$N$1369,MATCH(766,'Transfer Engine'!$C$2:$C$1369,0)))</f>
        <v/>
      </c>
      <c r="O775" s="8">
        <f>IF(ISNA(MATCH(766,'Transfer Engine'!$C$2:$C$1369,0)),"",HYPERLINK(INDEX('Compliance Database'!$O$2:$O$1369,MATCH(766,'Transfer Engine'!$C$2:$C$1369,0)),"Open PDF"))</f>
        <v/>
      </c>
    </row>
    <row r="776" ht="188" customHeight="1">
      <c r="A776" s="8">
        <f>IF(ISNA(MATCH(767,'Transfer Engine'!$C$2:$C$1369,0)),"",INDEX('Compliance Database'!$A$2:$A$1369,MATCH(767,'Transfer Engine'!$C$2:$C$1369,0)))</f>
        <v/>
      </c>
      <c r="B776" s="8">
        <f>IF(ISNA(MATCH(767,'Transfer Engine'!$C$2:$C$1369,0)),"",INDEX('Compliance Database'!$B$2:$B$1369,MATCH(767,'Transfer Engine'!$C$2:$C$1369,0)))</f>
        <v/>
      </c>
      <c r="C776" s="8">
        <f>IF(ISNA(MATCH(767,'Transfer Engine'!$C$2:$C$1369,0)),"",INDEX('Compliance Database'!$C$2:$C$1369,MATCH(767,'Transfer Engine'!$C$2:$C$1369,0)))</f>
        <v/>
      </c>
      <c r="D776" s="9">
        <f>IF(ISNA(MATCH(767,'Transfer Engine'!$C$2:$C$1369,0)),"",INDEX('Compliance Database'!$D$2:$D$1369,MATCH(767,'Transfer Engine'!$C$2:$C$1369,0)))</f>
        <v/>
      </c>
      <c r="E776" s="8">
        <f>IF(ISNA(MATCH(767,'Transfer Engine'!$C$2:$C$1369,0)),"",INDEX('Compliance Database'!$E$2:$E$1369,MATCH(767,'Transfer Engine'!$C$2:$C$1369,0)))</f>
        <v/>
      </c>
      <c r="F776" s="8">
        <f>IF(ISNA(MATCH(767,'Transfer Engine'!$C$2:$C$1369,0)),"",INDEX('Compliance Database'!$F$2:$F$1369,MATCH(767,'Transfer Engine'!$C$2:$C$1369,0)))</f>
        <v/>
      </c>
      <c r="G776" s="8">
        <f>IF(ISNA(MATCH(767,'Transfer Engine'!$C$2:$C$1369,0)),"",INDEX('Compliance Database'!$G$2:$G$1369,MATCH(767,'Transfer Engine'!$C$2:$C$1369,0)))</f>
        <v/>
      </c>
      <c r="H776" s="9">
        <f>IF(ISNA(MATCH(767,'Transfer Engine'!$C$2:$C$1369,0)),"",INDEX('Compliance Database'!$H$2:$H$1369,MATCH(767,'Transfer Engine'!$C$2:$C$1369,0)))</f>
        <v/>
      </c>
      <c r="I776" s="9">
        <f>IF(ISNA(MATCH(767,'Transfer Engine'!$C$2:$C$1369,0)),"",INDEX('Compliance Database'!$I$2:$I$1369,MATCH(767,'Transfer Engine'!$C$2:$C$1369,0)))</f>
        <v/>
      </c>
      <c r="J776" s="8">
        <f>IF(ISNA(MATCH(767,'Transfer Engine'!$C$2:$C$1369,0)),"",INDEX('Compliance Database'!$J$2:$J$1369,MATCH(767,'Transfer Engine'!$C$2:$C$1369,0)))</f>
        <v/>
      </c>
      <c r="K776" s="9">
        <f>IF(ISNA(MATCH(767,'Transfer Engine'!$C$2:$C$1369,0)),"",INDEX('Compliance Database'!$K$2:$K$1369,MATCH(767,'Transfer Engine'!$C$2:$C$1369,0)))</f>
        <v/>
      </c>
      <c r="L776" s="9">
        <f>IF(ISNA(MATCH(767,'Transfer Engine'!$C$2:$C$1369,0)),"",INDEX('Compliance Database'!$L$2:$L$1369,MATCH(767,'Transfer Engine'!$C$2:$C$1369,0)))</f>
        <v/>
      </c>
      <c r="M776" s="9">
        <f>IF(ISNA(MATCH(767,'Transfer Engine'!$C$2:$C$1369,0)),"",INDEX('Compliance Database'!$M$2:$M$1369,MATCH(767,'Transfer Engine'!$C$2:$C$1369,0)))</f>
        <v/>
      </c>
      <c r="N776" s="9">
        <f>IF(ISNA(MATCH(767,'Transfer Engine'!$C$2:$C$1369,0)),"",INDEX('Compliance Database'!$N$2:$N$1369,MATCH(767,'Transfer Engine'!$C$2:$C$1369,0)))</f>
        <v/>
      </c>
      <c r="O776" s="8">
        <f>IF(ISNA(MATCH(767,'Transfer Engine'!$C$2:$C$1369,0)),"",HYPERLINK(INDEX('Compliance Database'!$O$2:$O$1369,MATCH(767,'Transfer Engine'!$C$2:$C$1369,0)),"Open PDF"))</f>
        <v/>
      </c>
    </row>
    <row r="777" ht="188" customHeight="1">
      <c r="A777" s="8">
        <f>IF(ISNA(MATCH(768,'Transfer Engine'!$C$2:$C$1369,0)),"",INDEX('Compliance Database'!$A$2:$A$1369,MATCH(768,'Transfer Engine'!$C$2:$C$1369,0)))</f>
        <v/>
      </c>
      <c r="B777" s="8">
        <f>IF(ISNA(MATCH(768,'Transfer Engine'!$C$2:$C$1369,0)),"",INDEX('Compliance Database'!$B$2:$B$1369,MATCH(768,'Transfer Engine'!$C$2:$C$1369,0)))</f>
        <v/>
      </c>
      <c r="C777" s="8">
        <f>IF(ISNA(MATCH(768,'Transfer Engine'!$C$2:$C$1369,0)),"",INDEX('Compliance Database'!$C$2:$C$1369,MATCH(768,'Transfer Engine'!$C$2:$C$1369,0)))</f>
        <v/>
      </c>
      <c r="D777" s="9">
        <f>IF(ISNA(MATCH(768,'Transfer Engine'!$C$2:$C$1369,0)),"",INDEX('Compliance Database'!$D$2:$D$1369,MATCH(768,'Transfer Engine'!$C$2:$C$1369,0)))</f>
        <v/>
      </c>
      <c r="E777" s="8">
        <f>IF(ISNA(MATCH(768,'Transfer Engine'!$C$2:$C$1369,0)),"",INDEX('Compliance Database'!$E$2:$E$1369,MATCH(768,'Transfer Engine'!$C$2:$C$1369,0)))</f>
        <v/>
      </c>
      <c r="F777" s="8">
        <f>IF(ISNA(MATCH(768,'Transfer Engine'!$C$2:$C$1369,0)),"",INDEX('Compliance Database'!$F$2:$F$1369,MATCH(768,'Transfer Engine'!$C$2:$C$1369,0)))</f>
        <v/>
      </c>
      <c r="G777" s="8">
        <f>IF(ISNA(MATCH(768,'Transfer Engine'!$C$2:$C$1369,0)),"",INDEX('Compliance Database'!$G$2:$G$1369,MATCH(768,'Transfer Engine'!$C$2:$C$1369,0)))</f>
        <v/>
      </c>
      <c r="H777" s="9">
        <f>IF(ISNA(MATCH(768,'Transfer Engine'!$C$2:$C$1369,0)),"",INDEX('Compliance Database'!$H$2:$H$1369,MATCH(768,'Transfer Engine'!$C$2:$C$1369,0)))</f>
        <v/>
      </c>
      <c r="I777" s="9">
        <f>IF(ISNA(MATCH(768,'Transfer Engine'!$C$2:$C$1369,0)),"",INDEX('Compliance Database'!$I$2:$I$1369,MATCH(768,'Transfer Engine'!$C$2:$C$1369,0)))</f>
        <v/>
      </c>
      <c r="J777" s="8">
        <f>IF(ISNA(MATCH(768,'Transfer Engine'!$C$2:$C$1369,0)),"",INDEX('Compliance Database'!$J$2:$J$1369,MATCH(768,'Transfer Engine'!$C$2:$C$1369,0)))</f>
        <v/>
      </c>
      <c r="K777" s="9">
        <f>IF(ISNA(MATCH(768,'Transfer Engine'!$C$2:$C$1369,0)),"",INDEX('Compliance Database'!$K$2:$K$1369,MATCH(768,'Transfer Engine'!$C$2:$C$1369,0)))</f>
        <v/>
      </c>
      <c r="L777" s="9">
        <f>IF(ISNA(MATCH(768,'Transfer Engine'!$C$2:$C$1369,0)),"",INDEX('Compliance Database'!$L$2:$L$1369,MATCH(768,'Transfer Engine'!$C$2:$C$1369,0)))</f>
        <v/>
      </c>
      <c r="M777" s="9">
        <f>IF(ISNA(MATCH(768,'Transfer Engine'!$C$2:$C$1369,0)),"",INDEX('Compliance Database'!$M$2:$M$1369,MATCH(768,'Transfer Engine'!$C$2:$C$1369,0)))</f>
        <v/>
      </c>
      <c r="N777" s="9">
        <f>IF(ISNA(MATCH(768,'Transfer Engine'!$C$2:$C$1369,0)),"",INDEX('Compliance Database'!$N$2:$N$1369,MATCH(768,'Transfer Engine'!$C$2:$C$1369,0)))</f>
        <v/>
      </c>
      <c r="O777" s="8">
        <f>IF(ISNA(MATCH(768,'Transfer Engine'!$C$2:$C$1369,0)),"",HYPERLINK(INDEX('Compliance Database'!$O$2:$O$1369,MATCH(768,'Transfer Engine'!$C$2:$C$1369,0)),"Open PDF"))</f>
        <v/>
      </c>
    </row>
    <row r="778" ht="188" customHeight="1">
      <c r="A778" s="8">
        <f>IF(ISNA(MATCH(769,'Transfer Engine'!$C$2:$C$1369,0)),"",INDEX('Compliance Database'!$A$2:$A$1369,MATCH(769,'Transfer Engine'!$C$2:$C$1369,0)))</f>
        <v/>
      </c>
      <c r="B778" s="8">
        <f>IF(ISNA(MATCH(769,'Transfer Engine'!$C$2:$C$1369,0)),"",INDEX('Compliance Database'!$B$2:$B$1369,MATCH(769,'Transfer Engine'!$C$2:$C$1369,0)))</f>
        <v/>
      </c>
      <c r="C778" s="8">
        <f>IF(ISNA(MATCH(769,'Transfer Engine'!$C$2:$C$1369,0)),"",INDEX('Compliance Database'!$C$2:$C$1369,MATCH(769,'Transfer Engine'!$C$2:$C$1369,0)))</f>
        <v/>
      </c>
      <c r="D778" s="9">
        <f>IF(ISNA(MATCH(769,'Transfer Engine'!$C$2:$C$1369,0)),"",INDEX('Compliance Database'!$D$2:$D$1369,MATCH(769,'Transfer Engine'!$C$2:$C$1369,0)))</f>
        <v/>
      </c>
      <c r="E778" s="8">
        <f>IF(ISNA(MATCH(769,'Transfer Engine'!$C$2:$C$1369,0)),"",INDEX('Compliance Database'!$E$2:$E$1369,MATCH(769,'Transfer Engine'!$C$2:$C$1369,0)))</f>
        <v/>
      </c>
      <c r="F778" s="8">
        <f>IF(ISNA(MATCH(769,'Transfer Engine'!$C$2:$C$1369,0)),"",INDEX('Compliance Database'!$F$2:$F$1369,MATCH(769,'Transfer Engine'!$C$2:$C$1369,0)))</f>
        <v/>
      </c>
      <c r="G778" s="8">
        <f>IF(ISNA(MATCH(769,'Transfer Engine'!$C$2:$C$1369,0)),"",INDEX('Compliance Database'!$G$2:$G$1369,MATCH(769,'Transfer Engine'!$C$2:$C$1369,0)))</f>
        <v/>
      </c>
      <c r="H778" s="9">
        <f>IF(ISNA(MATCH(769,'Transfer Engine'!$C$2:$C$1369,0)),"",INDEX('Compliance Database'!$H$2:$H$1369,MATCH(769,'Transfer Engine'!$C$2:$C$1369,0)))</f>
        <v/>
      </c>
      <c r="I778" s="9">
        <f>IF(ISNA(MATCH(769,'Transfer Engine'!$C$2:$C$1369,0)),"",INDEX('Compliance Database'!$I$2:$I$1369,MATCH(769,'Transfer Engine'!$C$2:$C$1369,0)))</f>
        <v/>
      </c>
      <c r="J778" s="8">
        <f>IF(ISNA(MATCH(769,'Transfer Engine'!$C$2:$C$1369,0)),"",INDEX('Compliance Database'!$J$2:$J$1369,MATCH(769,'Transfer Engine'!$C$2:$C$1369,0)))</f>
        <v/>
      </c>
      <c r="K778" s="9">
        <f>IF(ISNA(MATCH(769,'Transfer Engine'!$C$2:$C$1369,0)),"",INDEX('Compliance Database'!$K$2:$K$1369,MATCH(769,'Transfer Engine'!$C$2:$C$1369,0)))</f>
        <v/>
      </c>
      <c r="L778" s="9">
        <f>IF(ISNA(MATCH(769,'Transfer Engine'!$C$2:$C$1369,0)),"",INDEX('Compliance Database'!$L$2:$L$1369,MATCH(769,'Transfer Engine'!$C$2:$C$1369,0)))</f>
        <v/>
      </c>
      <c r="M778" s="9">
        <f>IF(ISNA(MATCH(769,'Transfer Engine'!$C$2:$C$1369,0)),"",INDEX('Compliance Database'!$M$2:$M$1369,MATCH(769,'Transfer Engine'!$C$2:$C$1369,0)))</f>
        <v/>
      </c>
      <c r="N778" s="9">
        <f>IF(ISNA(MATCH(769,'Transfer Engine'!$C$2:$C$1369,0)),"",INDEX('Compliance Database'!$N$2:$N$1369,MATCH(769,'Transfer Engine'!$C$2:$C$1369,0)))</f>
        <v/>
      </c>
      <c r="O778" s="8">
        <f>IF(ISNA(MATCH(769,'Transfer Engine'!$C$2:$C$1369,0)),"",HYPERLINK(INDEX('Compliance Database'!$O$2:$O$1369,MATCH(769,'Transfer Engine'!$C$2:$C$1369,0)),"Open PDF"))</f>
        <v/>
      </c>
    </row>
    <row r="779" ht="188" customHeight="1">
      <c r="A779" s="8">
        <f>IF(ISNA(MATCH(770,'Transfer Engine'!$C$2:$C$1369,0)),"",INDEX('Compliance Database'!$A$2:$A$1369,MATCH(770,'Transfer Engine'!$C$2:$C$1369,0)))</f>
        <v/>
      </c>
      <c r="B779" s="8">
        <f>IF(ISNA(MATCH(770,'Transfer Engine'!$C$2:$C$1369,0)),"",INDEX('Compliance Database'!$B$2:$B$1369,MATCH(770,'Transfer Engine'!$C$2:$C$1369,0)))</f>
        <v/>
      </c>
      <c r="C779" s="8">
        <f>IF(ISNA(MATCH(770,'Transfer Engine'!$C$2:$C$1369,0)),"",INDEX('Compliance Database'!$C$2:$C$1369,MATCH(770,'Transfer Engine'!$C$2:$C$1369,0)))</f>
        <v/>
      </c>
      <c r="D779" s="9">
        <f>IF(ISNA(MATCH(770,'Transfer Engine'!$C$2:$C$1369,0)),"",INDEX('Compliance Database'!$D$2:$D$1369,MATCH(770,'Transfer Engine'!$C$2:$C$1369,0)))</f>
        <v/>
      </c>
      <c r="E779" s="8">
        <f>IF(ISNA(MATCH(770,'Transfer Engine'!$C$2:$C$1369,0)),"",INDEX('Compliance Database'!$E$2:$E$1369,MATCH(770,'Transfer Engine'!$C$2:$C$1369,0)))</f>
        <v/>
      </c>
      <c r="F779" s="8">
        <f>IF(ISNA(MATCH(770,'Transfer Engine'!$C$2:$C$1369,0)),"",INDEX('Compliance Database'!$F$2:$F$1369,MATCH(770,'Transfer Engine'!$C$2:$C$1369,0)))</f>
        <v/>
      </c>
      <c r="G779" s="8">
        <f>IF(ISNA(MATCH(770,'Transfer Engine'!$C$2:$C$1369,0)),"",INDEX('Compliance Database'!$G$2:$G$1369,MATCH(770,'Transfer Engine'!$C$2:$C$1369,0)))</f>
        <v/>
      </c>
      <c r="H779" s="9">
        <f>IF(ISNA(MATCH(770,'Transfer Engine'!$C$2:$C$1369,0)),"",INDEX('Compliance Database'!$H$2:$H$1369,MATCH(770,'Transfer Engine'!$C$2:$C$1369,0)))</f>
        <v/>
      </c>
      <c r="I779" s="9">
        <f>IF(ISNA(MATCH(770,'Transfer Engine'!$C$2:$C$1369,0)),"",INDEX('Compliance Database'!$I$2:$I$1369,MATCH(770,'Transfer Engine'!$C$2:$C$1369,0)))</f>
        <v/>
      </c>
      <c r="J779" s="8">
        <f>IF(ISNA(MATCH(770,'Transfer Engine'!$C$2:$C$1369,0)),"",INDEX('Compliance Database'!$J$2:$J$1369,MATCH(770,'Transfer Engine'!$C$2:$C$1369,0)))</f>
        <v/>
      </c>
      <c r="K779" s="9">
        <f>IF(ISNA(MATCH(770,'Transfer Engine'!$C$2:$C$1369,0)),"",INDEX('Compliance Database'!$K$2:$K$1369,MATCH(770,'Transfer Engine'!$C$2:$C$1369,0)))</f>
        <v/>
      </c>
      <c r="L779" s="9">
        <f>IF(ISNA(MATCH(770,'Transfer Engine'!$C$2:$C$1369,0)),"",INDEX('Compliance Database'!$L$2:$L$1369,MATCH(770,'Transfer Engine'!$C$2:$C$1369,0)))</f>
        <v/>
      </c>
      <c r="M779" s="9">
        <f>IF(ISNA(MATCH(770,'Transfer Engine'!$C$2:$C$1369,0)),"",INDEX('Compliance Database'!$M$2:$M$1369,MATCH(770,'Transfer Engine'!$C$2:$C$1369,0)))</f>
        <v/>
      </c>
      <c r="N779" s="9">
        <f>IF(ISNA(MATCH(770,'Transfer Engine'!$C$2:$C$1369,0)),"",INDEX('Compliance Database'!$N$2:$N$1369,MATCH(770,'Transfer Engine'!$C$2:$C$1369,0)))</f>
        <v/>
      </c>
      <c r="O779" s="8">
        <f>IF(ISNA(MATCH(770,'Transfer Engine'!$C$2:$C$1369,0)),"",HYPERLINK(INDEX('Compliance Database'!$O$2:$O$1369,MATCH(770,'Transfer Engine'!$C$2:$C$1369,0)),"Open PDF"))</f>
        <v/>
      </c>
    </row>
    <row r="780" ht="188" customHeight="1">
      <c r="A780" s="8">
        <f>IF(ISNA(MATCH(771,'Transfer Engine'!$C$2:$C$1369,0)),"",INDEX('Compliance Database'!$A$2:$A$1369,MATCH(771,'Transfer Engine'!$C$2:$C$1369,0)))</f>
        <v/>
      </c>
      <c r="B780" s="8">
        <f>IF(ISNA(MATCH(771,'Transfer Engine'!$C$2:$C$1369,0)),"",INDEX('Compliance Database'!$B$2:$B$1369,MATCH(771,'Transfer Engine'!$C$2:$C$1369,0)))</f>
        <v/>
      </c>
      <c r="C780" s="8">
        <f>IF(ISNA(MATCH(771,'Transfer Engine'!$C$2:$C$1369,0)),"",INDEX('Compliance Database'!$C$2:$C$1369,MATCH(771,'Transfer Engine'!$C$2:$C$1369,0)))</f>
        <v/>
      </c>
      <c r="D780" s="9">
        <f>IF(ISNA(MATCH(771,'Transfer Engine'!$C$2:$C$1369,0)),"",INDEX('Compliance Database'!$D$2:$D$1369,MATCH(771,'Transfer Engine'!$C$2:$C$1369,0)))</f>
        <v/>
      </c>
      <c r="E780" s="8">
        <f>IF(ISNA(MATCH(771,'Transfer Engine'!$C$2:$C$1369,0)),"",INDEX('Compliance Database'!$E$2:$E$1369,MATCH(771,'Transfer Engine'!$C$2:$C$1369,0)))</f>
        <v/>
      </c>
      <c r="F780" s="8">
        <f>IF(ISNA(MATCH(771,'Transfer Engine'!$C$2:$C$1369,0)),"",INDEX('Compliance Database'!$F$2:$F$1369,MATCH(771,'Transfer Engine'!$C$2:$C$1369,0)))</f>
        <v/>
      </c>
      <c r="G780" s="8">
        <f>IF(ISNA(MATCH(771,'Transfer Engine'!$C$2:$C$1369,0)),"",INDEX('Compliance Database'!$G$2:$G$1369,MATCH(771,'Transfer Engine'!$C$2:$C$1369,0)))</f>
        <v/>
      </c>
      <c r="H780" s="9">
        <f>IF(ISNA(MATCH(771,'Transfer Engine'!$C$2:$C$1369,0)),"",INDEX('Compliance Database'!$H$2:$H$1369,MATCH(771,'Transfer Engine'!$C$2:$C$1369,0)))</f>
        <v/>
      </c>
      <c r="I780" s="9">
        <f>IF(ISNA(MATCH(771,'Transfer Engine'!$C$2:$C$1369,0)),"",INDEX('Compliance Database'!$I$2:$I$1369,MATCH(771,'Transfer Engine'!$C$2:$C$1369,0)))</f>
        <v/>
      </c>
      <c r="J780" s="8">
        <f>IF(ISNA(MATCH(771,'Transfer Engine'!$C$2:$C$1369,0)),"",INDEX('Compliance Database'!$J$2:$J$1369,MATCH(771,'Transfer Engine'!$C$2:$C$1369,0)))</f>
        <v/>
      </c>
      <c r="K780" s="9">
        <f>IF(ISNA(MATCH(771,'Transfer Engine'!$C$2:$C$1369,0)),"",INDEX('Compliance Database'!$K$2:$K$1369,MATCH(771,'Transfer Engine'!$C$2:$C$1369,0)))</f>
        <v/>
      </c>
      <c r="L780" s="9">
        <f>IF(ISNA(MATCH(771,'Transfer Engine'!$C$2:$C$1369,0)),"",INDEX('Compliance Database'!$L$2:$L$1369,MATCH(771,'Transfer Engine'!$C$2:$C$1369,0)))</f>
        <v/>
      </c>
      <c r="M780" s="9">
        <f>IF(ISNA(MATCH(771,'Transfer Engine'!$C$2:$C$1369,0)),"",INDEX('Compliance Database'!$M$2:$M$1369,MATCH(771,'Transfer Engine'!$C$2:$C$1369,0)))</f>
        <v/>
      </c>
      <c r="N780" s="9">
        <f>IF(ISNA(MATCH(771,'Transfer Engine'!$C$2:$C$1369,0)),"",INDEX('Compliance Database'!$N$2:$N$1369,MATCH(771,'Transfer Engine'!$C$2:$C$1369,0)))</f>
        <v/>
      </c>
      <c r="O780" s="8">
        <f>IF(ISNA(MATCH(771,'Transfer Engine'!$C$2:$C$1369,0)),"",HYPERLINK(INDEX('Compliance Database'!$O$2:$O$1369,MATCH(771,'Transfer Engine'!$C$2:$C$1369,0)),"Open PDF"))</f>
        <v/>
      </c>
    </row>
    <row r="781" ht="188" customHeight="1">
      <c r="A781" s="8">
        <f>IF(ISNA(MATCH(772,'Transfer Engine'!$C$2:$C$1369,0)),"",INDEX('Compliance Database'!$A$2:$A$1369,MATCH(772,'Transfer Engine'!$C$2:$C$1369,0)))</f>
        <v/>
      </c>
      <c r="B781" s="8">
        <f>IF(ISNA(MATCH(772,'Transfer Engine'!$C$2:$C$1369,0)),"",INDEX('Compliance Database'!$B$2:$B$1369,MATCH(772,'Transfer Engine'!$C$2:$C$1369,0)))</f>
        <v/>
      </c>
      <c r="C781" s="8">
        <f>IF(ISNA(MATCH(772,'Transfer Engine'!$C$2:$C$1369,0)),"",INDEX('Compliance Database'!$C$2:$C$1369,MATCH(772,'Transfer Engine'!$C$2:$C$1369,0)))</f>
        <v/>
      </c>
      <c r="D781" s="9">
        <f>IF(ISNA(MATCH(772,'Transfer Engine'!$C$2:$C$1369,0)),"",INDEX('Compliance Database'!$D$2:$D$1369,MATCH(772,'Transfer Engine'!$C$2:$C$1369,0)))</f>
        <v/>
      </c>
      <c r="E781" s="8">
        <f>IF(ISNA(MATCH(772,'Transfer Engine'!$C$2:$C$1369,0)),"",INDEX('Compliance Database'!$E$2:$E$1369,MATCH(772,'Transfer Engine'!$C$2:$C$1369,0)))</f>
        <v/>
      </c>
      <c r="F781" s="8">
        <f>IF(ISNA(MATCH(772,'Transfer Engine'!$C$2:$C$1369,0)),"",INDEX('Compliance Database'!$F$2:$F$1369,MATCH(772,'Transfer Engine'!$C$2:$C$1369,0)))</f>
        <v/>
      </c>
      <c r="G781" s="8">
        <f>IF(ISNA(MATCH(772,'Transfer Engine'!$C$2:$C$1369,0)),"",INDEX('Compliance Database'!$G$2:$G$1369,MATCH(772,'Transfer Engine'!$C$2:$C$1369,0)))</f>
        <v/>
      </c>
      <c r="H781" s="9">
        <f>IF(ISNA(MATCH(772,'Transfer Engine'!$C$2:$C$1369,0)),"",INDEX('Compliance Database'!$H$2:$H$1369,MATCH(772,'Transfer Engine'!$C$2:$C$1369,0)))</f>
        <v/>
      </c>
      <c r="I781" s="9">
        <f>IF(ISNA(MATCH(772,'Transfer Engine'!$C$2:$C$1369,0)),"",INDEX('Compliance Database'!$I$2:$I$1369,MATCH(772,'Transfer Engine'!$C$2:$C$1369,0)))</f>
        <v/>
      </c>
      <c r="J781" s="8">
        <f>IF(ISNA(MATCH(772,'Transfer Engine'!$C$2:$C$1369,0)),"",INDEX('Compliance Database'!$J$2:$J$1369,MATCH(772,'Transfer Engine'!$C$2:$C$1369,0)))</f>
        <v/>
      </c>
      <c r="K781" s="9">
        <f>IF(ISNA(MATCH(772,'Transfer Engine'!$C$2:$C$1369,0)),"",INDEX('Compliance Database'!$K$2:$K$1369,MATCH(772,'Transfer Engine'!$C$2:$C$1369,0)))</f>
        <v/>
      </c>
      <c r="L781" s="9">
        <f>IF(ISNA(MATCH(772,'Transfer Engine'!$C$2:$C$1369,0)),"",INDEX('Compliance Database'!$L$2:$L$1369,MATCH(772,'Transfer Engine'!$C$2:$C$1369,0)))</f>
        <v/>
      </c>
      <c r="M781" s="9">
        <f>IF(ISNA(MATCH(772,'Transfer Engine'!$C$2:$C$1369,0)),"",INDEX('Compliance Database'!$M$2:$M$1369,MATCH(772,'Transfer Engine'!$C$2:$C$1369,0)))</f>
        <v/>
      </c>
      <c r="N781" s="9">
        <f>IF(ISNA(MATCH(772,'Transfer Engine'!$C$2:$C$1369,0)),"",INDEX('Compliance Database'!$N$2:$N$1369,MATCH(772,'Transfer Engine'!$C$2:$C$1369,0)))</f>
        <v/>
      </c>
      <c r="O781" s="8">
        <f>IF(ISNA(MATCH(772,'Transfer Engine'!$C$2:$C$1369,0)),"",HYPERLINK(INDEX('Compliance Database'!$O$2:$O$1369,MATCH(772,'Transfer Engine'!$C$2:$C$1369,0)),"Open PDF"))</f>
        <v/>
      </c>
    </row>
    <row r="782" ht="188" customHeight="1">
      <c r="A782" s="8">
        <f>IF(ISNA(MATCH(773,'Transfer Engine'!$C$2:$C$1369,0)),"",INDEX('Compliance Database'!$A$2:$A$1369,MATCH(773,'Transfer Engine'!$C$2:$C$1369,0)))</f>
        <v/>
      </c>
      <c r="B782" s="8">
        <f>IF(ISNA(MATCH(773,'Transfer Engine'!$C$2:$C$1369,0)),"",INDEX('Compliance Database'!$B$2:$B$1369,MATCH(773,'Transfer Engine'!$C$2:$C$1369,0)))</f>
        <v/>
      </c>
      <c r="C782" s="8">
        <f>IF(ISNA(MATCH(773,'Transfer Engine'!$C$2:$C$1369,0)),"",INDEX('Compliance Database'!$C$2:$C$1369,MATCH(773,'Transfer Engine'!$C$2:$C$1369,0)))</f>
        <v/>
      </c>
      <c r="D782" s="9">
        <f>IF(ISNA(MATCH(773,'Transfer Engine'!$C$2:$C$1369,0)),"",INDEX('Compliance Database'!$D$2:$D$1369,MATCH(773,'Transfer Engine'!$C$2:$C$1369,0)))</f>
        <v/>
      </c>
      <c r="E782" s="8">
        <f>IF(ISNA(MATCH(773,'Transfer Engine'!$C$2:$C$1369,0)),"",INDEX('Compliance Database'!$E$2:$E$1369,MATCH(773,'Transfer Engine'!$C$2:$C$1369,0)))</f>
        <v/>
      </c>
      <c r="F782" s="8">
        <f>IF(ISNA(MATCH(773,'Transfer Engine'!$C$2:$C$1369,0)),"",INDEX('Compliance Database'!$F$2:$F$1369,MATCH(773,'Transfer Engine'!$C$2:$C$1369,0)))</f>
        <v/>
      </c>
      <c r="G782" s="8">
        <f>IF(ISNA(MATCH(773,'Transfer Engine'!$C$2:$C$1369,0)),"",INDEX('Compliance Database'!$G$2:$G$1369,MATCH(773,'Transfer Engine'!$C$2:$C$1369,0)))</f>
        <v/>
      </c>
      <c r="H782" s="9">
        <f>IF(ISNA(MATCH(773,'Transfer Engine'!$C$2:$C$1369,0)),"",INDEX('Compliance Database'!$H$2:$H$1369,MATCH(773,'Transfer Engine'!$C$2:$C$1369,0)))</f>
        <v/>
      </c>
      <c r="I782" s="9">
        <f>IF(ISNA(MATCH(773,'Transfer Engine'!$C$2:$C$1369,0)),"",INDEX('Compliance Database'!$I$2:$I$1369,MATCH(773,'Transfer Engine'!$C$2:$C$1369,0)))</f>
        <v/>
      </c>
      <c r="J782" s="8">
        <f>IF(ISNA(MATCH(773,'Transfer Engine'!$C$2:$C$1369,0)),"",INDEX('Compliance Database'!$J$2:$J$1369,MATCH(773,'Transfer Engine'!$C$2:$C$1369,0)))</f>
        <v/>
      </c>
      <c r="K782" s="9">
        <f>IF(ISNA(MATCH(773,'Transfer Engine'!$C$2:$C$1369,0)),"",INDEX('Compliance Database'!$K$2:$K$1369,MATCH(773,'Transfer Engine'!$C$2:$C$1369,0)))</f>
        <v/>
      </c>
      <c r="L782" s="9">
        <f>IF(ISNA(MATCH(773,'Transfer Engine'!$C$2:$C$1369,0)),"",INDEX('Compliance Database'!$L$2:$L$1369,MATCH(773,'Transfer Engine'!$C$2:$C$1369,0)))</f>
        <v/>
      </c>
      <c r="M782" s="9">
        <f>IF(ISNA(MATCH(773,'Transfer Engine'!$C$2:$C$1369,0)),"",INDEX('Compliance Database'!$M$2:$M$1369,MATCH(773,'Transfer Engine'!$C$2:$C$1369,0)))</f>
        <v/>
      </c>
      <c r="N782" s="9">
        <f>IF(ISNA(MATCH(773,'Transfer Engine'!$C$2:$C$1369,0)),"",INDEX('Compliance Database'!$N$2:$N$1369,MATCH(773,'Transfer Engine'!$C$2:$C$1369,0)))</f>
        <v/>
      </c>
      <c r="O782" s="8">
        <f>IF(ISNA(MATCH(773,'Transfer Engine'!$C$2:$C$1369,0)),"",HYPERLINK(INDEX('Compliance Database'!$O$2:$O$1369,MATCH(773,'Transfer Engine'!$C$2:$C$1369,0)),"Open PDF"))</f>
        <v/>
      </c>
    </row>
    <row r="783" ht="188" customHeight="1">
      <c r="A783" s="8">
        <f>IF(ISNA(MATCH(774,'Transfer Engine'!$C$2:$C$1369,0)),"",INDEX('Compliance Database'!$A$2:$A$1369,MATCH(774,'Transfer Engine'!$C$2:$C$1369,0)))</f>
        <v/>
      </c>
      <c r="B783" s="8">
        <f>IF(ISNA(MATCH(774,'Transfer Engine'!$C$2:$C$1369,0)),"",INDEX('Compliance Database'!$B$2:$B$1369,MATCH(774,'Transfer Engine'!$C$2:$C$1369,0)))</f>
        <v/>
      </c>
      <c r="C783" s="8">
        <f>IF(ISNA(MATCH(774,'Transfer Engine'!$C$2:$C$1369,0)),"",INDEX('Compliance Database'!$C$2:$C$1369,MATCH(774,'Transfer Engine'!$C$2:$C$1369,0)))</f>
        <v/>
      </c>
      <c r="D783" s="9">
        <f>IF(ISNA(MATCH(774,'Transfer Engine'!$C$2:$C$1369,0)),"",INDEX('Compliance Database'!$D$2:$D$1369,MATCH(774,'Transfer Engine'!$C$2:$C$1369,0)))</f>
        <v/>
      </c>
      <c r="E783" s="8">
        <f>IF(ISNA(MATCH(774,'Transfer Engine'!$C$2:$C$1369,0)),"",INDEX('Compliance Database'!$E$2:$E$1369,MATCH(774,'Transfer Engine'!$C$2:$C$1369,0)))</f>
        <v/>
      </c>
      <c r="F783" s="8">
        <f>IF(ISNA(MATCH(774,'Transfer Engine'!$C$2:$C$1369,0)),"",INDEX('Compliance Database'!$F$2:$F$1369,MATCH(774,'Transfer Engine'!$C$2:$C$1369,0)))</f>
        <v/>
      </c>
      <c r="G783" s="8">
        <f>IF(ISNA(MATCH(774,'Transfer Engine'!$C$2:$C$1369,0)),"",INDEX('Compliance Database'!$G$2:$G$1369,MATCH(774,'Transfer Engine'!$C$2:$C$1369,0)))</f>
        <v/>
      </c>
      <c r="H783" s="9">
        <f>IF(ISNA(MATCH(774,'Transfer Engine'!$C$2:$C$1369,0)),"",INDEX('Compliance Database'!$H$2:$H$1369,MATCH(774,'Transfer Engine'!$C$2:$C$1369,0)))</f>
        <v/>
      </c>
      <c r="I783" s="9">
        <f>IF(ISNA(MATCH(774,'Transfer Engine'!$C$2:$C$1369,0)),"",INDEX('Compliance Database'!$I$2:$I$1369,MATCH(774,'Transfer Engine'!$C$2:$C$1369,0)))</f>
        <v/>
      </c>
      <c r="J783" s="8">
        <f>IF(ISNA(MATCH(774,'Transfer Engine'!$C$2:$C$1369,0)),"",INDEX('Compliance Database'!$J$2:$J$1369,MATCH(774,'Transfer Engine'!$C$2:$C$1369,0)))</f>
        <v/>
      </c>
      <c r="K783" s="9">
        <f>IF(ISNA(MATCH(774,'Transfer Engine'!$C$2:$C$1369,0)),"",INDEX('Compliance Database'!$K$2:$K$1369,MATCH(774,'Transfer Engine'!$C$2:$C$1369,0)))</f>
        <v/>
      </c>
      <c r="L783" s="9">
        <f>IF(ISNA(MATCH(774,'Transfer Engine'!$C$2:$C$1369,0)),"",INDEX('Compliance Database'!$L$2:$L$1369,MATCH(774,'Transfer Engine'!$C$2:$C$1369,0)))</f>
        <v/>
      </c>
      <c r="M783" s="9">
        <f>IF(ISNA(MATCH(774,'Transfer Engine'!$C$2:$C$1369,0)),"",INDEX('Compliance Database'!$M$2:$M$1369,MATCH(774,'Transfer Engine'!$C$2:$C$1369,0)))</f>
        <v/>
      </c>
      <c r="N783" s="9">
        <f>IF(ISNA(MATCH(774,'Transfer Engine'!$C$2:$C$1369,0)),"",INDEX('Compliance Database'!$N$2:$N$1369,MATCH(774,'Transfer Engine'!$C$2:$C$1369,0)))</f>
        <v/>
      </c>
      <c r="O783" s="8">
        <f>IF(ISNA(MATCH(774,'Transfer Engine'!$C$2:$C$1369,0)),"",HYPERLINK(INDEX('Compliance Database'!$O$2:$O$1369,MATCH(774,'Transfer Engine'!$C$2:$C$1369,0)),"Open PDF"))</f>
        <v/>
      </c>
    </row>
    <row r="784" ht="188" customHeight="1">
      <c r="A784" s="8">
        <f>IF(ISNA(MATCH(775,'Transfer Engine'!$C$2:$C$1369,0)),"",INDEX('Compliance Database'!$A$2:$A$1369,MATCH(775,'Transfer Engine'!$C$2:$C$1369,0)))</f>
        <v/>
      </c>
      <c r="B784" s="8">
        <f>IF(ISNA(MATCH(775,'Transfer Engine'!$C$2:$C$1369,0)),"",INDEX('Compliance Database'!$B$2:$B$1369,MATCH(775,'Transfer Engine'!$C$2:$C$1369,0)))</f>
        <v/>
      </c>
      <c r="C784" s="8">
        <f>IF(ISNA(MATCH(775,'Transfer Engine'!$C$2:$C$1369,0)),"",INDEX('Compliance Database'!$C$2:$C$1369,MATCH(775,'Transfer Engine'!$C$2:$C$1369,0)))</f>
        <v/>
      </c>
      <c r="D784" s="9">
        <f>IF(ISNA(MATCH(775,'Transfer Engine'!$C$2:$C$1369,0)),"",INDEX('Compliance Database'!$D$2:$D$1369,MATCH(775,'Transfer Engine'!$C$2:$C$1369,0)))</f>
        <v/>
      </c>
      <c r="E784" s="8">
        <f>IF(ISNA(MATCH(775,'Transfer Engine'!$C$2:$C$1369,0)),"",INDEX('Compliance Database'!$E$2:$E$1369,MATCH(775,'Transfer Engine'!$C$2:$C$1369,0)))</f>
        <v/>
      </c>
      <c r="F784" s="8">
        <f>IF(ISNA(MATCH(775,'Transfer Engine'!$C$2:$C$1369,0)),"",INDEX('Compliance Database'!$F$2:$F$1369,MATCH(775,'Transfer Engine'!$C$2:$C$1369,0)))</f>
        <v/>
      </c>
      <c r="G784" s="8">
        <f>IF(ISNA(MATCH(775,'Transfer Engine'!$C$2:$C$1369,0)),"",INDEX('Compliance Database'!$G$2:$G$1369,MATCH(775,'Transfer Engine'!$C$2:$C$1369,0)))</f>
        <v/>
      </c>
      <c r="H784" s="9">
        <f>IF(ISNA(MATCH(775,'Transfer Engine'!$C$2:$C$1369,0)),"",INDEX('Compliance Database'!$H$2:$H$1369,MATCH(775,'Transfer Engine'!$C$2:$C$1369,0)))</f>
        <v/>
      </c>
      <c r="I784" s="9">
        <f>IF(ISNA(MATCH(775,'Transfer Engine'!$C$2:$C$1369,0)),"",INDEX('Compliance Database'!$I$2:$I$1369,MATCH(775,'Transfer Engine'!$C$2:$C$1369,0)))</f>
        <v/>
      </c>
      <c r="J784" s="8">
        <f>IF(ISNA(MATCH(775,'Transfer Engine'!$C$2:$C$1369,0)),"",INDEX('Compliance Database'!$J$2:$J$1369,MATCH(775,'Transfer Engine'!$C$2:$C$1369,0)))</f>
        <v/>
      </c>
      <c r="K784" s="9">
        <f>IF(ISNA(MATCH(775,'Transfer Engine'!$C$2:$C$1369,0)),"",INDEX('Compliance Database'!$K$2:$K$1369,MATCH(775,'Transfer Engine'!$C$2:$C$1369,0)))</f>
        <v/>
      </c>
      <c r="L784" s="9">
        <f>IF(ISNA(MATCH(775,'Transfer Engine'!$C$2:$C$1369,0)),"",INDEX('Compliance Database'!$L$2:$L$1369,MATCH(775,'Transfer Engine'!$C$2:$C$1369,0)))</f>
        <v/>
      </c>
      <c r="M784" s="9">
        <f>IF(ISNA(MATCH(775,'Transfer Engine'!$C$2:$C$1369,0)),"",INDEX('Compliance Database'!$M$2:$M$1369,MATCH(775,'Transfer Engine'!$C$2:$C$1369,0)))</f>
        <v/>
      </c>
      <c r="N784" s="9">
        <f>IF(ISNA(MATCH(775,'Transfer Engine'!$C$2:$C$1369,0)),"",INDEX('Compliance Database'!$N$2:$N$1369,MATCH(775,'Transfer Engine'!$C$2:$C$1369,0)))</f>
        <v/>
      </c>
      <c r="O784" s="8">
        <f>IF(ISNA(MATCH(775,'Transfer Engine'!$C$2:$C$1369,0)),"",HYPERLINK(INDEX('Compliance Database'!$O$2:$O$1369,MATCH(775,'Transfer Engine'!$C$2:$C$1369,0)),"Open PDF"))</f>
        <v/>
      </c>
    </row>
    <row r="785" ht="188" customHeight="1">
      <c r="A785" s="8">
        <f>IF(ISNA(MATCH(776,'Transfer Engine'!$C$2:$C$1369,0)),"",INDEX('Compliance Database'!$A$2:$A$1369,MATCH(776,'Transfer Engine'!$C$2:$C$1369,0)))</f>
        <v/>
      </c>
      <c r="B785" s="8">
        <f>IF(ISNA(MATCH(776,'Transfer Engine'!$C$2:$C$1369,0)),"",INDEX('Compliance Database'!$B$2:$B$1369,MATCH(776,'Transfer Engine'!$C$2:$C$1369,0)))</f>
        <v/>
      </c>
      <c r="C785" s="8">
        <f>IF(ISNA(MATCH(776,'Transfer Engine'!$C$2:$C$1369,0)),"",INDEX('Compliance Database'!$C$2:$C$1369,MATCH(776,'Transfer Engine'!$C$2:$C$1369,0)))</f>
        <v/>
      </c>
      <c r="D785" s="9">
        <f>IF(ISNA(MATCH(776,'Transfer Engine'!$C$2:$C$1369,0)),"",INDEX('Compliance Database'!$D$2:$D$1369,MATCH(776,'Transfer Engine'!$C$2:$C$1369,0)))</f>
        <v/>
      </c>
      <c r="E785" s="8">
        <f>IF(ISNA(MATCH(776,'Transfer Engine'!$C$2:$C$1369,0)),"",INDEX('Compliance Database'!$E$2:$E$1369,MATCH(776,'Transfer Engine'!$C$2:$C$1369,0)))</f>
        <v/>
      </c>
      <c r="F785" s="8">
        <f>IF(ISNA(MATCH(776,'Transfer Engine'!$C$2:$C$1369,0)),"",INDEX('Compliance Database'!$F$2:$F$1369,MATCH(776,'Transfer Engine'!$C$2:$C$1369,0)))</f>
        <v/>
      </c>
      <c r="G785" s="8">
        <f>IF(ISNA(MATCH(776,'Transfer Engine'!$C$2:$C$1369,0)),"",INDEX('Compliance Database'!$G$2:$G$1369,MATCH(776,'Transfer Engine'!$C$2:$C$1369,0)))</f>
        <v/>
      </c>
      <c r="H785" s="9">
        <f>IF(ISNA(MATCH(776,'Transfer Engine'!$C$2:$C$1369,0)),"",INDEX('Compliance Database'!$H$2:$H$1369,MATCH(776,'Transfer Engine'!$C$2:$C$1369,0)))</f>
        <v/>
      </c>
      <c r="I785" s="9">
        <f>IF(ISNA(MATCH(776,'Transfer Engine'!$C$2:$C$1369,0)),"",INDEX('Compliance Database'!$I$2:$I$1369,MATCH(776,'Transfer Engine'!$C$2:$C$1369,0)))</f>
        <v/>
      </c>
      <c r="J785" s="8">
        <f>IF(ISNA(MATCH(776,'Transfer Engine'!$C$2:$C$1369,0)),"",INDEX('Compliance Database'!$J$2:$J$1369,MATCH(776,'Transfer Engine'!$C$2:$C$1369,0)))</f>
        <v/>
      </c>
      <c r="K785" s="9">
        <f>IF(ISNA(MATCH(776,'Transfer Engine'!$C$2:$C$1369,0)),"",INDEX('Compliance Database'!$K$2:$K$1369,MATCH(776,'Transfer Engine'!$C$2:$C$1369,0)))</f>
        <v/>
      </c>
      <c r="L785" s="9">
        <f>IF(ISNA(MATCH(776,'Transfer Engine'!$C$2:$C$1369,0)),"",INDEX('Compliance Database'!$L$2:$L$1369,MATCH(776,'Transfer Engine'!$C$2:$C$1369,0)))</f>
        <v/>
      </c>
      <c r="M785" s="9">
        <f>IF(ISNA(MATCH(776,'Transfer Engine'!$C$2:$C$1369,0)),"",INDEX('Compliance Database'!$M$2:$M$1369,MATCH(776,'Transfer Engine'!$C$2:$C$1369,0)))</f>
        <v/>
      </c>
      <c r="N785" s="9">
        <f>IF(ISNA(MATCH(776,'Transfer Engine'!$C$2:$C$1369,0)),"",INDEX('Compliance Database'!$N$2:$N$1369,MATCH(776,'Transfer Engine'!$C$2:$C$1369,0)))</f>
        <v/>
      </c>
      <c r="O785" s="8">
        <f>IF(ISNA(MATCH(776,'Transfer Engine'!$C$2:$C$1369,0)),"",HYPERLINK(INDEX('Compliance Database'!$O$2:$O$1369,MATCH(776,'Transfer Engine'!$C$2:$C$1369,0)),"Open PDF"))</f>
        <v/>
      </c>
    </row>
    <row r="786" ht="188" customHeight="1">
      <c r="A786" s="8">
        <f>IF(ISNA(MATCH(777,'Transfer Engine'!$C$2:$C$1369,0)),"",INDEX('Compliance Database'!$A$2:$A$1369,MATCH(777,'Transfer Engine'!$C$2:$C$1369,0)))</f>
        <v/>
      </c>
      <c r="B786" s="8">
        <f>IF(ISNA(MATCH(777,'Transfer Engine'!$C$2:$C$1369,0)),"",INDEX('Compliance Database'!$B$2:$B$1369,MATCH(777,'Transfer Engine'!$C$2:$C$1369,0)))</f>
        <v/>
      </c>
      <c r="C786" s="8">
        <f>IF(ISNA(MATCH(777,'Transfer Engine'!$C$2:$C$1369,0)),"",INDEX('Compliance Database'!$C$2:$C$1369,MATCH(777,'Transfer Engine'!$C$2:$C$1369,0)))</f>
        <v/>
      </c>
      <c r="D786" s="9">
        <f>IF(ISNA(MATCH(777,'Transfer Engine'!$C$2:$C$1369,0)),"",INDEX('Compliance Database'!$D$2:$D$1369,MATCH(777,'Transfer Engine'!$C$2:$C$1369,0)))</f>
        <v/>
      </c>
      <c r="E786" s="8">
        <f>IF(ISNA(MATCH(777,'Transfer Engine'!$C$2:$C$1369,0)),"",INDEX('Compliance Database'!$E$2:$E$1369,MATCH(777,'Transfer Engine'!$C$2:$C$1369,0)))</f>
        <v/>
      </c>
      <c r="F786" s="8">
        <f>IF(ISNA(MATCH(777,'Transfer Engine'!$C$2:$C$1369,0)),"",INDEX('Compliance Database'!$F$2:$F$1369,MATCH(777,'Transfer Engine'!$C$2:$C$1369,0)))</f>
        <v/>
      </c>
      <c r="G786" s="8">
        <f>IF(ISNA(MATCH(777,'Transfer Engine'!$C$2:$C$1369,0)),"",INDEX('Compliance Database'!$G$2:$G$1369,MATCH(777,'Transfer Engine'!$C$2:$C$1369,0)))</f>
        <v/>
      </c>
      <c r="H786" s="9">
        <f>IF(ISNA(MATCH(777,'Transfer Engine'!$C$2:$C$1369,0)),"",INDEX('Compliance Database'!$H$2:$H$1369,MATCH(777,'Transfer Engine'!$C$2:$C$1369,0)))</f>
        <v/>
      </c>
      <c r="I786" s="9">
        <f>IF(ISNA(MATCH(777,'Transfer Engine'!$C$2:$C$1369,0)),"",INDEX('Compliance Database'!$I$2:$I$1369,MATCH(777,'Transfer Engine'!$C$2:$C$1369,0)))</f>
        <v/>
      </c>
      <c r="J786" s="8">
        <f>IF(ISNA(MATCH(777,'Transfer Engine'!$C$2:$C$1369,0)),"",INDEX('Compliance Database'!$J$2:$J$1369,MATCH(777,'Transfer Engine'!$C$2:$C$1369,0)))</f>
        <v/>
      </c>
      <c r="K786" s="9">
        <f>IF(ISNA(MATCH(777,'Transfer Engine'!$C$2:$C$1369,0)),"",INDEX('Compliance Database'!$K$2:$K$1369,MATCH(777,'Transfer Engine'!$C$2:$C$1369,0)))</f>
        <v/>
      </c>
      <c r="L786" s="9">
        <f>IF(ISNA(MATCH(777,'Transfer Engine'!$C$2:$C$1369,0)),"",INDEX('Compliance Database'!$L$2:$L$1369,MATCH(777,'Transfer Engine'!$C$2:$C$1369,0)))</f>
        <v/>
      </c>
      <c r="M786" s="9">
        <f>IF(ISNA(MATCH(777,'Transfer Engine'!$C$2:$C$1369,0)),"",INDEX('Compliance Database'!$M$2:$M$1369,MATCH(777,'Transfer Engine'!$C$2:$C$1369,0)))</f>
        <v/>
      </c>
      <c r="N786" s="9">
        <f>IF(ISNA(MATCH(777,'Transfer Engine'!$C$2:$C$1369,0)),"",INDEX('Compliance Database'!$N$2:$N$1369,MATCH(777,'Transfer Engine'!$C$2:$C$1369,0)))</f>
        <v/>
      </c>
      <c r="O786" s="8">
        <f>IF(ISNA(MATCH(777,'Transfer Engine'!$C$2:$C$1369,0)),"",HYPERLINK(INDEX('Compliance Database'!$O$2:$O$1369,MATCH(777,'Transfer Engine'!$C$2:$C$1369,0)),"Open PDF"))</f>
        <v/>
      </c>
    </row>
    <row r="787" ht="188" customHeight="1">
      <c r="A787" s="8">
        <f>IF(ISNA(MATCH(778,'Transfer Engine'!$C$2:$C$1369,0)),"",INDEX('Compliance Database'!$A$2:$A$1369,MATCH(778,'Transfer Engine'!$C$2:$C$1369,0)))</f>
        <v/>
      </c>
      <c r="B787" s="8">
        <f>IF(ISNA(MATCH(778,'Transfer Engine'!$C$2:$C$1369,0)),"",INDEX('Compliance Database'!$B$2:$B$1369,MATCH(778,'Transfer Engine'!$C$2:$C$1369,0)))</f>
        <v/>
      </c>
      <c r="C787" s="8">
        <f>IF(ISNA(MATCH(778,'Transfer Engine'!$C$2:$C$1369,0)),"",INDEX('Compliance Database'!$C$2:$C$1369,MATCH(778,'Transfer Engine'!$C$2:$C$1369,0)))</f>
        <v/>
      </c>
      <c r="D787" s="9">
        <f>IF(ISNA(MATCH(778,'Transfer Engine'!$C$2:$C$1369,0)),"",INDEX('Compliance Database'!$D$2:$D$1369,MATCH(778,'Transfer Engine'!$C$2:$C$1369,0)))</f>
        <v/>
      </c>
      <c r="E787" s="8">
        <f>IF(ISNA(MATCH(778,'Transfer Engine'!$C$2:$C$1369,0)),"",INDEX('Compliance Database'!$E$2:$E$1369,MATCH(778,'Transfer Engine'!$C$2:$C$1369,0)))</f>
        <v/>
      </c>
      <c r="F787" s="8">
        <f>IF(ISNA(MATCH(778,'Transfer Engine'!$C$2:$C$1369,0)),"",INDEX('Compliance Database'!$F$2:$F$1369,MATCH(778,'Transfer Engine'!$C$2:$C$1369,0)))</f>
        <v/>
      </c>
      <c r="G787" s="8">
        <f>IF(ISNA(MATCH(778,'Transfer Engine'!$C$2:$C$1369,0)),"",INDEX('Compliance Database'!$G$2:$G$1369,MATCH(778,'Transfer Engine'!$C$2:$C$1369,0)))</f>
        <v/>
      </c>
      <c r="H787" s="9">
        <f>IF(ISNA(MATCH(778,'Transfer Engine'!$C$2:$C$1369,0)),"",INDEX('Compliance Database'!$H$2:$H$1369,MATCH(778,'Transfer Engine'!$C$2:$C$1369,0)))</f>
        <v/>
      </c>
      <c r="I787" s="9">
        <f>IF(ISNA(MATCH(778,'Transfer Engine'!$C$2:$C$1369,0)),"",INDEX('Compliance Database'!$I$2:$I$1369,MATCH(778,'Transfer Engine'!$C$2:$C$1369,0)))</f>
        <v/>
      </c>
      <c r="J787" s="8">
        <f>IF(ISNA(MATCH(778,'Transfer Engine'!$C$2:$C$1369,0)),"",INDEX('Compliance Database'!$J$2:$J$1369,MATCH(778,'Transfer Engine'!$C$2:$C$1369,0)))</f>
        <v/>
      </c>
      <c r="K787" s="9">
        <f>IF(ISNA(MATCH(778,'Transfer Engine'!$C$2:$C$1369,0)),"",INDEX('Compliance Database'!$K$2:$K$1369,MATCH(778,'Transfer Engine'!$C$2:$C$1369,0)))</f>
        <v/>
      </c>
      <c r="L787" s="9">
        <f>IF(ISNA(MATCH(778,'Transfer Engine'!$C$2:$C$1369,0)),"",INDEX('Compliance Database'!$L$2:$L$1369,MATCH(778,'Transfer Engine'!$C$2:$C$1369,0)))</f>
        <v/>
      </c>
      <c r="M787" s="9">
        <f>IF(ISNA(MATCH(778,'Transfer Engine'!$C$2:$C$1369,0)),"",INDEX('Compliance Database'!$M$2:$M$1369,MATCH(778,'Transfer Engine'!$C$2:$C$1369,0)))</f>
        <v/>
      </c>
      <c r="N787" s="9">
        <f>IF(ISNA(MATCH(778,'Transfer Engine'!$C$2:$C$1369,0)),"",INDEX('Compliance Database'!$N$2:$N$1369,MATCH(778,'Transfer Engine'!$C$2:$C$1369,0)))</f>
        <v/>
      </c>
      <c r="O787" s="8">
        <f>IF(ISNA(MATCH(778,'Transfer Engine'!$C$2:$C$1369,0)),"",HYPERLINK(INDEX('Compliance Database'!$O$2:$O$1369,MATCH(778,'Transfer Engine'!$C$2:$C$1369,0)),"Open PDF"))</f>
        <v/>
      </c>
    </row>
    <row r="788" ht="188" customHeight="1">
      <c r="A788" s="8">
        <f>IF(ISNA(MATCH(779,'Transfer Engine'!$C$2:$C$1369,0)),"",INDEX('Compliance Database'!$A$2:$A$1369,MATCH(779,'Transfer Engine'!$C$2:$C$1369,0)))</f>
        <v/>
      </c>
      <c r="B788" s="8">
        <f>IF(ISNA(MATCH(779,'Transfer Engine'!$C$2:$C$1369,0)),"",INDEX('Compliance Database'!$B$2:$B$1369,MATCH(779,'Transfer Engine'!$C$2:$C$1369,0)))</f>
        <v/>
      </c>
      <c r="C788" s="8">
        <f>IF(ISNA(MATCH(779,'Transfer Engine'!$C$2:$C$1369,0)),"",INDEX('Compliance Database'!$C$2:$C$1369,MATCH(779,'Transfer Engine'!$C$2:$C$1369,0)))</f>
        <v/>
      </c>
      <c r="D788" s="9">
        <f>IF(ISNA(MATCH(779,'Transfer Engine'!$C$2:$C$1369,0)),"",INDEX('Compliance Database'!$D$2:$D$1369,MATCH(779,'Transfer Engine'!$C$2:$C$1369,0)))</f>
        <v/>
      </c>
      <c r="E788" s="8">
        <f>IF(ISNA(MATCH(779,'Transfer Engine'!$C$2:$C$1369,0)),"",INDEX('Compliance Database'!$E$2:$E$1369,MATCH(779,'Transfer Engine'!$C$2:$C$1369,0)))</f>
        <v/>
      </c>
      <c r="F788" s="8">
        <f>IF(ISNA(MATCH(779,'Transfer Engine'!$C$2:$C$1369,0)),"",INDEX('Compliance Database'!$F$2:$F$1369,MATCH(779,'Transfer Engine'!$C$2:$C$1369,0)))</f>
        <v/>
      </c>
      <c r="G788" s="8">
        <f>IF(ISNA(MATCH(779,'Transfer Engine'!$C$2:$C$1369,0)),"",INDEX('Compliance Database'!$G$2:$G$1369,MATCH(779,'Transfer Engine'!$C$2:$C$1369,0)))</f>
        <v/>
      </c>
      <c r="H788" s="9">
        <f>IF(ISNA(MATCH(779,'Transfer Engine'!$C$2:$C$1369,0)),"",INDEX('Compliance Database'!$H$2:$H$1369,MATCH(779,'Transfer Engine'!$C$2:$C$1369,0)))</f>
        <v/>
      </c>
      <c r="I788" s="9">
        <f>IF(ISNA(MATCH(779,'Transfer Engine'!$C$2:$C$1369,0)),"",INDEX('Compliance Database'!$I$2:$I$1369,MATCH(779,'Transfer Engine'!$C$2:$C$1369,0)))</f>
        <v/>
      </c>
      <c r="J788" s="8">
        <f>IF(ISNA(MATCH(779,'Transfer Engine'!$C$2:$C$1369,0)),"",INDEX('Compliance Database'!$J$2:$J$1369,MATCH(779,'Transfer Engine'!$C$2:$C$1369,0)))</f>
        <v/>
      </c>
      <c r="K788" s="9">
        <f>IF(ISNA(MATCH(779,'Transfer Engine'!$C$2:$C$1369,0)),"",INDEX('Compliance Database'!$K$2:$K$1369,MATCH(779,'Transfer Engine'!$C$2:$C$1369,0)))</f>
        <v/>
      </c>
      <c r="L788" s="9">
        <f>IF(ISNA(MATCH(779,'Transfer Engine'!$C$2:$C$1369,0)),"",INDEX('Compliance Database'!$L$2:$L$1369,MATCH(779,'Transfer Engine'!$C$2:$C$1369,0)))</f>
        <v/>
      </c>
      <c r="M788" s="9">
        <f>IF(ISNA(MATCH(779,'Transfer Engine'!$C$2:$C$1369,0)),"",INDEX('Compliance Database'!$M$2:$M$1369,MATCH(779,'Transfer Engine'!$C$2:$C$1369,0)))</f>
        <v/>
      </c>
      <c r="N788" s="9">
        <f>IF(ISNA(MATCH(779,'Transfer Engine'!$C$2:$C$1369,0)),"",INDEX('Compliance Database'!$N$2:$N$1369,MATCH(779,'Transfer Engine'!$C$2:$C$1369,0)))</f>
        <v/>
      </c>
      <c r="O788" s="8">
        <f>IF(ISNA(MATCH(779,'Transfer Engine'!$C$2:$C$1369,0)),"",HYPERLINK(INDEX('Compliance Database'!$O$2:$O$1369,MATCH(779,'Transfer Engine'!$C$2:$C$1369,0)),"Open PDF"))</f>
        <v/>
      </c>
    </row>
    <row r="789" ht="188" customHeight="1">
      <c r="A789" s="8">
        <f>IF(ISNA(MATCH(780,'Transfer Engine'!$C$2:$C$1369,0)),"",INDEX('Compliance Database'!$A$2:$A$1369,MATCH(780,'Transfer Engine'!$C$2:$C$1369,0)))</f>
        <v/>
      </c>
      <c r="B789" s="8">
        <f>IF(ISNA(MATCH(780,'Transfer Engine'!$C$2:$C$1369,0)),"",INDEX('Compliance Database'!$B$2:$B$1369,MATCH(780,'Transfer Engine'!$C$2:$C$1369,0)))</f>
        <v/>
      </c>
      <c r="C789" s="8">
        <f>IF(ISNA(MATCH(780,'Transfer Engine'!$C$2:$C$1369,0)),"",INDEX('Compliance Database'!$C$2:$C$1369,MATCH(780,'Transfer Engine'!$C$2:$C$1369,0)))</f>
        <v/>
      </c>
      <c r="D789" s="9">
        <f>IF(ISNA(MATCH(780,'Transfer Engine'!$C$2:$C$1369,0)),"",INDEX('Compliance Database'!$D$2:$D$1369,MATCH(780,'Transfer Engine'!$C$2:$C$1369,0)))</f>
        <v/>
      </c>
      <c r="E789" s="8">
        <f>IF(ISNA(MATCH(780,'Transfer Engine'!$C$2:$C$1369,0)),"",INDEX('Compliance Database'!$E$2:$E$1369,MATCH(780,'Transfer Engine'!$C$2:$C$1369,0)))</f>
        <v/>
      </c>
      <c r="F789" s="8">
        <f>IF(ISNA(MATCH(780,'Transfer Engine'!$C$2:$C$1369,0)),"",INDEX('Compliance Database'!$F$2:$F$1369,MATCH(780,'Transfer Engine'!$C$2:$C$1369,0)))</f>
        <v/>
      </c>
      <c r="G789" s="8">
        <f>IF(ISNA(MATCH(780,'Transfer Engine'!$C$2:$C$1369,0)),"",INDEX('Compliance Database'!$G$2:$G$1369,MATCH(780,'Transfer Engine'!$C$2:$C$1369,0)))</f>
        <v/>
      </c>
      <c r="H789" s="9">
        <f>IF(ISNA(MATCH(780,'Transfer Engine'!$C$2:$C$1369,0)),"",INDEX('Compliance Database'!$H$2:$H$1369,MATCH(780,'Transfer Engine'!$C$2:$C$1369,0)))</f>
        <v/>
      </c>
      <c r="I789" s="9">
        <f>IF(ISNA(MATCH(780,'Transfer Engine'!$C$2:$C$1369,0)),"",INDEX('Compliance Database'!$I$2:$I$1369,MATCH(780,'Transfer Engine'!$C$2:$C$1369,0)))</f>
        <v/>
      </c>
      <c r="J789" s="8">
        <f>IF(ISNA(MATCH(780,'Transfer Engine'!$C$2:$C$1369,0)),"",INDEX('Compliance Database'!$J$2:$J$1369,MATCH(780,'Transfer Engine'!$C$2:$C$1369,0)))</f>
        <v/>
      </c>
      <c r="K789" s="9">
        <f>IF(ISNA(MATCH(780,'Transfer Engine'!$C$2:$C$1369,0)),"",INDEX('Compliance Database'!$K$2:$K$1369,MATCH(780,'Transfer Engine'!$C$2:$C$1369,0)))</f>
        <v/>
      </c>
      <c r="L789" s="9">
        <f>IF(ISNA(MATCH(780,'Transfer Engine'!$C$2:$C$1369,0)),"",INDEX('Compliance Database'!$L$2:$L$1369,MATCH(780,'Transfer Engine'!$C$2:$C$1369,0)))</f>
        <v/>
      </c>
      <c r="M789" s="9">
        <f>IF(ISNA(MATCH(780,'Transfer Engine'!$C$2:$C$1369,0)),"",INDEX('Compliance Database'!$M$2:$M$1369,MATCH(780,'Transfer Engine'!$C$2:$C$1369,0)))</f>
        <v/>
      </c>
      <c r="N789" s="9">
        <f>IF(ISNA(MATCH(780,'Transfer Engine'!$C$2:$C$1369,0)),"",INDEX('Compliance Database'!$N$2:$N$1369,MATCH(780,'Transfer Engine'!$C$2:$C$1369,0)))</f>
        <v/>
      </c>
      <c r="O789" s="8">
        <f>IF(ISNA(MATCH(780,'Transfer Engine'!$C$2:$C$1369,0)),"",HYPERLINK(INDEX('Compliance Database'!$O$2:$O$1369,MATCH(780,'Transfer Engine'!$C$2:$C$1369,0)),"Open PDF"))</f>
        <v/>
      </c>
    </row>
    <row r="790" ht="188" customHeight="1">
      <c r="A790" s="8">
        <f>IF(ISNA(MATCH(781,'Transfer Engine'!$C$2:$C$1369,0)),"",INDEX('Compliance Database'!$A$2:$A$1369,MATCH(781,'Transfer Engine'!$C$2:$C$1369,0)))</f>
        <v/>
      </c>
      <c r="B790" s="8">
        <f>IF(ISNA(MATCH(781,'Transfer Engine'!$C$2:$C$1369,0)),"",INDEX('Compliance Database'!$B$2:$B$1369,MATCH(781,'Transfer Engine'!$C$2:$C$1369,0)))</f>
        <v/>
      </c>
      <c r="C790" s="8">
        <f>IF(ISNA(MATCH(781,'Transfer Engine'!$C$2:$C$1369,0)),"",INDEX('Compliance Database'!$C$2:$C$1369,MATCH(781,'Transfer Engine'!$C$2:$C$1369,0)))</f>
        <v/>
      </c>
      <c r="D790" s="9">
        <f>IF(ISNA(MATCH(781,'Transfer Engine'!$C$2:$C$1369,0)),"",INDEX('Compliance Database'!$D$2:$D$1369,MATCH(781,'Transfer Engine'!$C$2:$C$1369,0)))</f>
        <v/>
      </c>
      <c r="E790" s="8">
        <f>IF(ISNA(MATCH(781,'Transfer Engine'!$C$2:$C$1369,0)),"",INDEX('Compliance Database'!$E$2:$E$1369,MATCH(781,'Transfer Engine'!$C$2:$C$1369,0)))</f>
        <v/>
      </c>
      <c r="F790" s="8">
        <f>IF(ISNA(MATCH(781,'Transfer Engine'!$C$2:$C$1369,0)),"",INDEX('Compliance Database'!$F$2:$F$1369,MATCH(781,'Transfer Engine'!$C$2:$C$1369,0)))</f>
        <v/>
      </c>
      <c r="G790" s="8">
        <f>IF(ISNA(MATCH(781,'Transfer Engine'!$C$2:$C$1369,0)),"",INDEX('Compliance Database'!$G$2:$G$1369,MATCH(781,'Transfer Engine'!$C$2:$C$1369,0)))</f>
        <v/>
      </c>
      <c r="H790" s="9">
        <f>IF(ISNA(MATCH(781,'Transfer Engine'!$C$2:$C$1369,0)),"",INDEX('Compliance Database'!$H$2:$H$1369,MATCH(781,'Transfer Engine'!$C$2:$C$1369,0)))</f>
        <v/>
      </c>
      <c r="I790" s="9">
        <f>IF(ISNA(MATCH(781,'Transfer Engine'!$C$2:$C$1369,0)),"",INDEX('Compliance Database'!$I$2:$I$1369,MATCH(781,'Transfer Engine'!$C$2:$C$1369,0)))</f>
        <v/>
      </c>
      <c r="J790" s="8">
        <f>IF(ISNA(MATCH(781,'Transfer Engine'!$C$2:$C$1369,0)),"",INDEX('Compliance Database'!$J$2:$J$1369,MATCH(781,'Transfer Engine'!$C$2:$C$1369,0)))</f>
        <v/>
      </c>
      <c r="K790" s="9">
        <f>IF(ISNA(MATCH(781,'Transfer Engine'!$C$2:$C$1369,0)),"",INDEX('Compliance Database'!$K$2:$K$1369,MATCH(781,'Transfer Engine'!$C$2:$C$1369,0)))</f>
        <v/>
      </c>
      <c r="L790" s="9">
        <f>IF(ISNA(MATCH(781,'Transfer Engine'!$C$2:$C$1369,0)),"",INDEX('Compliance Database'!$L$2:$L$1369,MATCH(781,'Transfer Engine'!$C$2:$C$1369,0)))</f>
        <v/>
      </c>
      <c r="M790" s="9">
        <f>IF(ISNA(MATCH(781,'Transfer Engine'!$C$2:$C$1369,0)),"",INDEX('Compliance Database'!$M$2:$M$1369,MATCH(781,'Transfer Engine'!$C$2:$C$1369,0)))</f>
        <v/>
      </c>
      <c r="N790" s="9">
        <f>IF(ISNA(MATCH(781,'Transfer Engine'!$C$2:$C$1369,0)),"",INDEX('Compliance Database'!$N$2:$N$1369,MATCH(781,'Transfer Engine'!$C$2:$C$1369,0)))</f>
        <v/>
      </c>
      <c r="O790" s="8">
        <f>IF(ISNA(MATCH(781,'Transfer Engine'!$C$2:$C$1369,0)),"",HYPERLINK(INDEX('Compliance Database'!$O$2:$O$1369,MATCH(781,'Transfer Engine'!$C$2:$C$1369,0)),"Open PDF"))</f>
        <v/>
      </c>
    </row>
    <row r="791" ht="188" customHeight="1">
      <c r="A791" s="8">
        <f>IF(ISNA(MATCH(782,'Transfer Engine'!$C$2:$C$1369,0)),"",INDEX('Compliance Database'!$A$2:$A$1369,MATCH(782,'Transfer Engine'!$C$2:$C$1369,0)))</f>
        <v/>
      </c>
      <c r="B791" s="8">
        <f>IF(ISNA(MATCH(782,'Transfer Engine'!$C$2:$C$1369,0)),"",INDEX('Compliance Database'!$B$2:$B$1369,MATCH(782,'Transfer Engine'!$C$2:$C$1369,0)))</f>
        <v/>
      </c>
      <c r="C791" s="8">
        <f>IF(ISNA(MATCH(782,'Transfer Engine'!$C$2:$C$1369,0)),"",INDEX('Compliance Database'!$C$2:$C$1369,MATCH(782,'Transfer Engine'!$C$2:$C$1369,0)))</f>
        <v/>
      </c>
      <c r="D791" s="9">
        <f>IF(ISNA(MATCH(782,'Transfer Engine'!$C$2:$C$1369,0)),"",INDEX('Compliance Database'!$D$2:$D$1369,MATCH(782,'Transfer Engine'!$C$2:$C$1369,0)))</f>
        <v/>
      </c>
      <c r="E791" s="8">
        <f>IF(ISNA(MATCH(782,'Transfer Engine'!$C$2:$C$1369,0)),"",INDEX('Compliance Database'!$E$2:$E$1369,MATCH(782,'Transfer Engine'!$C$2:$C$1369,0)))</f>
        <v/>
      </c>
      <c r="F791" s="8">
        <f>IF(ISNA(MATCH(782,'Transfer Engine'!$C$2:$C$1369,0)),"",INDEX('Compliance Database'!$F$2:$F$1369,MATCH(782,'Transfer Engine'!$C$2:$C$1369,0)))</f>
        <v/>
      </c>
      <c r="G791" s="8">
        <f>IF(ISNA(MATCH(782,'Transfer Engine'!$C$2:$C$1369,0)),"",INDEX('Compliance Database'!$G$2:$G$1369,MATCH(782,'Transfer Engine'!$C$2:$C$1369,0)))</f>
        <v/>
      </c>
      <c r="H791" s="9">
        <f>IF(ISNA(MATCH(782,'Transfer Engine'!$C$2:$C$1369,0)),"",INDEX('Compliance Database'!$H$2:$H$1369,MATCH(782,'Transfer Engine'!$C$2:$C$1369,0)))</f>
        <v/>
      </c>
      <c r="I791" s="9">
        <f>IF(ISNA(MATCH(782,'Transfer Engine'!$C$2:$C$1369,0)),"",INDEX('Compliance Database'!$I$2:$I$1369,MATCH(782,'Transfer Engine'!$C$2:$C$1369,0)))</f>
        <v/>
      </c>
      <c r="J791" s="8">
        <f>IF(ISNA(MATCH(782,'Transfer Engine'!$C$2:$C$1369,0)),"",INDEX('Compliance Database'!$J$2:$J$1369,MATCH(782,'Transfer Engine'!$C$2:$C$1369,0)))</f>
        <v/>
      </c>
      <c r="K791" s="9">
        <f>IF(ISNA(MATCH(782,'Transfer Engine'!$C$2:$C$1369,0)),"",INDEX('Compliance Database'!$K$2:$K$1369,MATCH(782,'Transfer Engine'!$C$2:$C$1369,0)))</f>
        <v/>
      </c>
      <c r="L791" s="9">
        <f>IF(ISNA(MATCH(782,'Transfer Engine'!$C$2:$C$1369,0)),"",INDEX('Compliance Database'!$L$2:$L$1369,MATCH(782,'Transfer Engine'!$C$2:$C$1369,0)))</f>
        <v/>
      </c>
      <c r="M791" s="9">
        <f>IF(ISNA(MATCH(782,'Transfer Engine'!$C$2:$C$1369,0)),"",INDEX('Compliance Database'!$M$2:$M$1369,MATCH(782,'Transfer Engine'!$C$2:$C$1369,0)))</f>
        <v/>
      </c>
      <c r="N791" s="9">
        <f>IF(ISNA(MATCH(782,'Transfer Engine'!$C$2:$C$1369,0)),"",INDEX('Compliance Database'!$N$2:$N$1369,MATCH(782,'Transfer Engine'!$C$2:$C$1369,0)))</f>
        <v/>
      </c>
      <c r="O791" s="8">
        <f>IF(ISNA(MATCH(782,'Transfer Engine'!$C$2:$C$1369,0)),"",HYPERLINK(INDEX('Compliance Database'!$O$2:$O$1369,MATCH(782,'Transfer Engine'!$C$2:$C$1369,0)),"Open PDF"))</f>
        <v/>
      </c>
    </row>
    <row r="792" ht="188" customHeight="1">
      <c r="A792" s="8">
        <f>IF(ISNA(MATCH(783,'Transfer Engine'!$C$2:$C$1369,0)),"",INDEX('Compliance Database'!$A$2:$A$1369,MATCH(783,'Transfer Engine'!$C$2:$C$1369,0)))</f>
        <v/>
      </c>
      <c r="B792" s="8">
        <f>IF(ISNA(MATCH(783,'Transfer Engine'!$C$2:$C$1369,0)),"",INDEX('Compliance Database'!$B$2:$B$1369,MATCH(783,'Transfer Engine'!$C$2:$C$1369,0)))</f>
        <v/>
      </c>
      <c r="C792" s="8">
        <f>IF(ISNA(MATCH(783,'Transfer Engine'!$C$2:$C$1369,0)),"",INDEX('Compliance Database'!$C$2:$C$1369,MATCH(783,'Transfer Engine'!$C$2:$C$1369,0)))</f>
        <v/>
      </c>
      <c r="D792" s="9">
        <f>IF(ISNA(MATCH(783,'Transfer Engine'!$C$2:$C$1369,0)),"",INDEX('Compliance Database'!$D$2:$D$1369,MATCH(783,'Transfer Engine'!$C$2:$C$1369,0)))</f>
        <v/>
      </c>
      <c r="E792" s="8">
        <f>IF(ISNA(MATCH(783,'Transfer Engine'!$C$2:$C$1369,0)),"",INDEX('Compliance Database'!$E$2:$E$1369,MATCH(783,'Transfer Engine'!$C$2:$C$1369,0)))</f>
        <v/>
      </c>
      <c r="F792" s="8">
        <f>IF(ISNA(MATCH(783,'Transfer Engine'!$C$2:$C$1369,0)),"",INDEX('Compliance Database'!$F$2:$F$1369,MATCH(783,'Transfer Engine'!$C$2:$C$1369,0)))</f>
        <v/>
      </c>
      <c r="G792" s="8">
        <f>IF(ISNA(MATCH(783,'Transfer Engine'!$C$2:$C$1369,0)),"",INDEX('Compliance Database'!$G$2:$G$1369,MATCH(783,'Transfer Engine'!$C$2:$C$1369,0)))</f>
        <v/>
      </c>
      <c r="H792" s="9">
        <f>IF(ISNA(MATCH(783,'Transfer Engine'!$C$2:$C$1369,0)),"",INDEX('Compliance Database'!$H$2:$H$1369,MATCH(783,'Transfer Engine'!$C$2:$C$1369,0)))</f>
        <v/>
      </c>
      <c r="I792" s="9">
        <f>IF(ISNA(MATCH(783,'Transfer Engine'!$C$2:$C$1369,0)),"",INDEX('Compliance Database'!$I$2:$I$1369,MATCH(783,'Transfer Engine'!$C$2:$C$1369,0)))</f>
        <v/>
      </c>
      <c r="J792" s="8">
        <f>IF(ISNA(MATCH(783,'Transfer Engine'!$C$2:$C$1369,0)),"",INDEX('Compliance Database'!$J$2:$J$1369,MATCH(783,'Transfer Engine'!$C$2:$C$1369,0)))</f>
        <v/>
      </c>
      <c r="K792" s="9">
        <f>IF(ISNA(MATCH(783,'Transfer Engine'!$C$2:$C$1369,0)),"",INDEX('Compliance Database'!$K$2:$K$1369,MATCH(783,'Transfer Engine'!$C$2:$C$1369,0)))</f>
        <v/>
      </c>
      <c r="L792" s="9">
        <f>IF(ISNA(MATCH(783,'Transfer Engine'!$C$2:$C$1369,0)),"",INDEX('Compliance Database'!$L$2:$L$1369,MATCH(783,'Transfer Engine'!$C$2:$C$1369,0)))</f>
        <v/>
      </c>
      <c r="M792" s="9">
        <f>IF(ISNA(MATCH(783,'Transfer Engine'!$C$2:$C$1369,0)),"",INDEX('Compliance Database'!$M$2:$M$1369,MATCH(783,'Transfer Engine'!$C$2:$C$1369,0)))</f>
        <v/>
      </c>
      <c r="N792" s="9">
        <f>IF(ISNA(MATCH(783,'Transfer Engine'!$C$2:$C$1369,0)),"",INDEX('Compliance Database'!$N$2:$N$1369,MATCH(783,'Transfer Engine'!$C$2:$C$1369,0)))</f>
        <v/>
      </c>
      <c r="O792" s="8">
        <f>IF(ISNA(MATCH(783,'Transfer Engine'!$C$2:$C$1369,0)),"",HYPERLINK(INDEX('Compliance Database'!$O$2:$O$1369,MATCH(783,'Transfer Engine'!$C$2:$C$1369,0)),"Open PDF"))</f>
        <v/>
      </c>
    </row>
    <row r="793" ht="188" customHeight="1">
      <c r="A793" s="8">
        <f>IF(ISNA(MATCH(784,'Transfer Engine'!$C$2:$C$1369,0)),"",INDEX('Compliance Database'!$A$2:$A$1369,MATCH(784,'Transfer Engine'!$C$2:$C$1369,0)))</f>
        <v/>
      </c>
      <c r="B793" s="8">
        <f>IF(ISNA(MATCH(784,'Transfer Engine'!$C$2:$C$1369,0)),"",INDEX('Compliance Database'!$B$2:$B$1369,MATCH(784,'Transfer Engine'!$C$2:$C$1369,0)))</f>
        <v/>
      </c>
      <c r="C793" s="8">
        <f>IF(ISNA(MATCH(784,'Transfer Engine'!$C$2:$C$1369,0)),"",INDEX('Compliance Database'!$C$2:$C$1369,MATCH(784,'Transfer Engine'!$C$2:$C$1369,0)))</f>
        <v/>
      </c>
      <c r="D793" s="9">
        <f>IF(ISNA(MATCH(784,'Transfer Engine'!$C$2:$C$1369,0)),"",INDEX('Compliance Database'!$D$2:$D$1369,MATCH(784,'Transfer Engine'!$C$2:$C$1369,0)))</f>
        <v/>
      </c>
      <c r="E793" s="8">
        <f>IF(ISNA(MATCH(784,'Transfer Engine'!$C$2:$C$1369,0)),"",INDEX('Compliance Database'!$E$2:$E$1369,MATCH(784,'Transfer Engine'!$C$2:$C$1369,0)))</f>
        <v/>
      </c>
      <c r="F793" s="8">
        <f>IF(ISNA(MATCH(784,'Transfer Engine'!$C$2:$C$1369,0)),"",INDEX('Compliance Database'!$F$2:$F$1369,MATCH(784,'Transfer Engine'!$C$2:$C$1369,0)))</f>
        <v/>
      </c>
      <c r="G793" s="8">
        <f>IF(ISNA(MATCH(784,'Transfer Engine'!$C$2:$C$1369,0)),"",INDEX('Compliance Database'!$G$2:$G$1369,MATCH(784,'Transfer Engine'!$C$2:$C$1369,0)))</f>
        <v/>
      </c>
      <c r="H793" s="9">
        <f>IF(ISNA(MATCH(784,'Transfer Engine'!$C$2:$C$1369,0)),"",INDEX('Compliance Database'!$H$2:$H$1369,MATCH(784,'Transfer Engine'!$C$2:$C$1369,0)))</f>
        <v/>
      </c>
      <c r="I793" s="9">
        <f>IF(ISNA(MATCH(784,'Transfer Engine'!$C$2:$C$1369,0)),"",INDEX('Compliance Database'!$I$2:$I$1369,MATCH(784,'Transfer Engine'!$C$2:$C$1369,0)))</f>
        <v/>
      </c>
      <c r="J793" s="8">
        <f>IF(ISNA(MATCH(784,'Transfer Engine'!$C$2:$C$1369,0)),"",INDEX('Compliance Database'!$J$2:$J$1369,MATCH(784,'Transfer Engine'!$C$2:$C$1369,0)))</f>
        <v/>
      </c>
      <c r="K793" s="9">
        <f>IF(ISNA(MATCH(784,'Transfer Engine'!$C$2:$C$1369,0)),"",INDEX('Compliance Database'!$K$2:$K$1369,MATCH(784,'Transfer Engine'!$C$2:$C$1369,0)))</f>
        <v/>
      </c>
      <c r="L793" s="9">
        <f>IF(ISNA(MATCH(784,'Transfer Engine'!$C$2:$C$1369,0)),"",INDEX('Compliance Database'!$L$2:$L$1369,MATCH(784,'Transfer Engine'!$C$2:$C$1369,0)))</f>
        <v/>
      </c>
      <c r="M793" s="9">
        <f>IF(ISNA(MATCH(784,'Transfer Engine'!$C$2:$C$1369,0)),"",INDEX('Compliance Database'!$M$2:$M$1369,MATCH(784,'Transfer Engine'!$C$2:$C$1369,0)))</f>
        <v/>
      </c>
      <c r="N793" s="9">
        <f>IF(ISNA(MATCH(784,'Transfer Engine'!$C$2:$C$1369,0)),"",INDEX('Compliance Database'!$N$2:$N$1369,MATCH(784,'Transfer Engine'!$C$2:$C$1369,0)))</f>
        <v/>
      </c>
      <c r="O793" s="8">
        <f>IF(ISNA(MATCH(784,'Transfer Engine'!$C$2:$C$1369,0)),"",HYPERLINK(INDEX('Compliance Database'!$O$2:$O$1369,MATCH(784,'Transfer Engine'!$C$2:$C$1369,0)),"Open PDF"))</f>
        <v/>
      </c>
    </row>
    <row r="794" ht="188" customHeight="1">
      <c r="A794" s="8">
        <f>IF(ISNA(MATCH(785,'Transfer Engine'!$C$2:$C$1369,0)),"",INDEX('Compliance Database'!$A$2:$A$1369,MATCH(785,'Transfer Engine'!$C$2:$C$1369,0)))</f>
        <v/>
      </c>
      <c r="B794" s="8">
        <f>IF(ISNA(MATCH(785,'Transfer Engine'!$C$2:$C$1369,0)),"",INDEX('Compliance Database'!$B$2:$B$1369,MATCH(785,'Transfer Engine'!$C$2:$C$1369,0)))</f>
        <v/>
      </c>
      <c r="C794" s="8">
        <f>IF(ISNA(MATCH(785,'Transfer Engine'!$C$2:$C$1369,0)),"",INDEX('Compliance Database'!$C$2:$C$1369,MATCH(785,'Transfer Engine'!$C$2:$C$1369,0)))</f>
        <v/>
      </c>
      <c r="D794" s="9">
        <f>IF(ISNA(MATCH(785,'Transfer Engine'!$C$2:$C$1369,0)),"",INDEX('Compliance Database'!$D$2:$D$1369,MATCH(785,'Transfer Engine'!$C$2:$C$1369,0)))</f>
        <v/>
      </c>
      <c r="E794" s="8">
        <f>IF(ISNA(MATCH(785,'Transfer Engine'!$C$2:$C$1369,0)),"",INDEX('Compliance Database'!$E$2:$E$1369,MATCH(785,'Transfer Engine'!$C$2:$C$1369,0)))</f>
        <v/>
      </c>
      <c r="F794" s="8">
        <f>IF(ISNA(MATCH(785,'Transfer Engine'!$C$2:$C$1369,0)),"",INDEX('Compliance Database'!$F$2:$F$1369,MATCH(785,'Transfer Engine'!$C$2:$C$1369,0)))</f>
        <v/>
      </c>
      <c r="G794" s="8">
        <f>IF(ISNA(MATCH(785,'Transfer Engine'!$C$2:$C$1369,0)),"",INDEX('Compliance Database'!$G$2:$G$1369,MATCH(785,'Transfer Engine'!$C$2:$C$1369,0)))</f>
        <v/>
      </c>
      <c r="H794" s="9">
        <f>IF(ISNA(MATCH(785,'Transfer Engine'!$C$2:$C$1369,0)),"",INDEX('Compliance Database'!$H$2:$H$1369,MATCH(785,'Transfer Engine'!$C$2:$C$1369,0)))</f>
        <v/>
      </c>
      <c r="I794" s="9">
        <f>IF(ISNA(MATCH(785,'Transfer Engine'!$C$2:$C$1369,0)),"",INDEX('Compliance Database'!$I$2:$I$1369,MATCH(785,'Transfer Engine'!$C$2:$C$1369,0)))</f>
        <v/>
      </c>
      <c r="J794" s="8">
        <f>IF(ISNA(MATCH(785,'Transfer Engine'!$C$2:$C$1369,0)),"",INDEX('Compliance Database'!$J$2:$J$1369,MATCH(785,'Transfer Engine'!$C$2:$C$1369,0)))</f>
        <v/>
      </c>
      <c r="K794" s="9">
        <f>IF(ISNA(MATCH(785,'Transfer Engine'!$C$2:$C$1369,0)),"",INDEX('Compliance Database'!$K$2:$K$1369,MATCH(785,'Transfer Engine'!$C$2:$C$1369,0)))</f>
        <v/>
      </c>
      <c r="L794" s="9">
        <f>IF(ISNA(MATCH(785,'Transfer Engine'!$C$2:$C$1369,0)),"",INDEX('Compliance Database'!$L$2:$L$1369,MATCH(785,'Transfer Engine'!$C$2:$C$1369,0)))</f>
        <v/>
      </c>
      <c r="M794" s="9">
        <f>IF(ISNA(MATCH(785,'Transfer Engine'!$C$2:$C$1369,0)),"",INDEX('Compliance Database'!$M$2:$M$1369,MATCH(785,'Transfer Engine'!$C$2:$C$1369,0)))</f>
        <v/>
      </c>
      <c r="N794" s="9">
        <f>IF(ISNA(MATCH(785,'Transfer Engine'!$C$2:$C$1369,0)),"",INDEX('Compliance Database'!$N$2:$N$1369,MATCH(785,'Transfer Engine'!$C$2:$C$1369,0)))</f>
        <v/>
      </c>
      <c r="O794" s="8">
        <f>IF(ISNA(MATCH(785,'Transfer Engine'!$C$2:$C$1369,0)),"",HYPERLINK(INDEX('Compliance Database'!$O$2:$O$1369,MATCH(785,'Transfer Engine'!$C$2:$C$1369,0)),"Open PDF"))</f>
        <v/>
      </c>
    </row>
    <row r="795" ht="188" customHeight="1">
      <c r="A795" s="8">
        <f>IF(ISNA(MATCH(786,'Transfer Engine'!$C$2:$C$1369,0)),"",INDEX('Compliance Database'!$A$2:$A$1369,MATCH(786,'Transfer Engine'!$C$2:$C$1369,0)))</f>
        <v/>
      </c>
      <c r="B795" s="8">
        <f>IF(ISNA(MATCH(786,'Transfer Engine'!$C$2:$C$1369,0)),"",INDEX('Compliance Database'!$B$2:$B$1369,MATCH(786,'Transfer Engine'!$C$2:$C$1369,0)))</f>
        <v/>
      </c>
      <c r="C795" s="8">
        <f>IF(ISNA(MATCH(786,'Transfer Engine'!$C$2:$C$1369,0)),"",INDEX('Compliance Database'!$C$2:$C$1369,MATCH(786,'Transfer Engine'!$C$2:$C$1369,0)))</f>
        <v/>
      </c>
      <c r="D795" s="9">
        <f>IF(ISNA(MATCH(786,'Transfer Engine'!$C$2:$C$1369,0)),"",INDEX('Compliance Database'!$D$2:$D$1369,MATCH(786,'Transfer Engine'!$C$2:$C$1369,0)))</f>
        <v/>
      </c>
      <c r="E795" s="8">
        <f>IF(ISNA(MATCH(786,'Transfer Engine'!$C$2:$C$1369,0)),"",INDEX('Compliance Database'!$E$2:$E$1369,MATCH(786,'Transfer Engine'!$C$2:$C$1369,0)))</f>
        <v/>
      </c>
      <c r="F795" s="8">
        <f>IF(ISNA(MATCH(786,'Transfer Engine'!$C$2:$C$1369,0)),"",INDEX('Compliance Database'!$F$2:$F$1369,MATCH(786,'Transfer Engine'!$C$2:$C$1369,0)))</f>
        <v/>
      </c>
      <c r="G795" s="8">
        <f>IF(ISNA(MATCH(786,'Transfer Engine'!$C$2:$C$1369,0)),"",INDEX('Compliance Database'!$G$2:$G$1369,MATCH(786,'Transfer Engine'!$C$2:$C$1369,0)))</f>
        <v/>
      </c>
      <c r="H795" s="9">
        <f>IF(ISNA(MATCH(786,'Transfer Engine'!$C$2:$C$1369,0)),"",INDEX('Compliance Database'!$H$2:$H$1369,MATCH(786,'Transfer Engine'!$C$2:$C$1369,0)))</f>
        <v/>
      </c>
      <c r="I795" s="9">
        <f>IF(ISNA(MATCH(786,'Transfer Engine'!$C$2:$C$1369,0)),"",INDEX('Compliance Database'!$I$2:$I$1369,MATCH(786,'Transfer Engine'!$C$2:$C$1369,0)))</f>
        <v/>
      </c>
      <c r="J795" s="8">
        <f>IF(ISNA(MATCH(786,'Transfer Engine'!$C$2:$C$1369,0)),"",INDEX('Compliance Database'!$J$2:$J$1369,MATCH(786,'Transfer Engine'!$C$2:$C$1369,0)))</f>
        <v/>
      </c>
      <c r="K795" s="9">
        <f>IF(ISNA(MATCH(786,'Transfer Engine'!$C$2:$C$1369,0)),"",INDEX('Compliance Database'!$K$2:$K$1369,MATCH(786,'Transfer Engine'!$C$2:$C$1369,0)))</f>
        <v/>
      </c>
      <c r="L795" s="9">
        <f>IF(ISNA(MATCH(786,'Transfer Engine'!$C$2:$C$1369,0)),"",INDEX('Compliance Database'!$L$2:$L$1369,MATCH(786,'Transfer Engine'!$C$2:$C$1369,0)))</f>
        <v/>
      </c>
      <c r="M795" s="9">
        <f>IF(ISNA(MATCH(786,'Transfer Engine'!$C$2:$C$1369,0)),"",INDEX('Compliance Database'!$M$2:$M$1369,MATCH(786,'Transfer Engine'!$C$2:$C$1369,0)))</f>
        <v/>
      </c>
      <c r="N795" s="9">
        <f>IF(ISNA(MATCH(786,'Transfer Engine'!$C$2:$C$1369,0)),"",INDEX('Compliance Database'!$N$2:$N$1369,MATCH(786,'Transfer Engine'!$C$2:$C$1369,0)))</f>
        <v/>
      </c>
      <c r="O795" s="8">
        <f>IF(ISNA(MATCH(786,'Transfer Engine'!$C$2:$C$1369,0)),"",HYPERLINK(INDEX('Compliance Database'!$O$2:$O$1369,MATCH(786,'Transfer Engine'!$C$2:$C$1369,0)),"Open PDF"))</f>
        <v/>
      </c>
    </row>
    <row r="796" ht="188" customHeight="1">
      <c r="A796" s="8">
        <f>IF(ISNA(MATCH(787,'Transfer Engine'!$C$2:$C$1369,0)),"",INDEX('Compliance Database'!$A$2:$A$1369,MATCH(787,'Transfer Engine'!$C$2:$C$1369,0)))</f>
        <v/>
      </c>
      <c r="B796" s="8">
        <f>IF(ISNA(MATCH(787,'Transfer Engine'!$C$2:$C$1369,0)),"",INDEX('Compliance Database'!$B$2:$B$1369,MATCH(787,'Transfer Engine'!$C$2:$C$1369,0)))</f>
        <v/>
      </c>
      <c r="C796" s="8">
        <f>IF(ISNA(MATCH(787,'Transfer Engine'!$C$2:$C$1369,0)),"",INDEX('Compliance Database'!$C$2:$C$1369,MATCH(787,'Transfer Engine'!$C$2:$C$1369,0)))</f>
        <v/>
      </c>
      <c r="D796" s="9">
        <f>IF(ISNA(MATCH(787,'Transfer Engine'!$C$2:$C$1369,0)),"",INDEX('Compliance Database'!$D$2:$D$1369,MATCH(787,'Transfer Engine'!$C$2:$C$1369,0)))</f>
        <v/>
      </c>
      <c r="E796" s="8">
        <f>IF(ISNA(MATCH(787,'Transfer Engine'!$C$2:$C$1369,0)),"",INDEX('Compliance Database'!$E$2:$E$1369,MATCH(787,'Transfer Engine'!$C$2:$C$1369,0)))</f>
        <v/>
      </c>
      <c r="F796" s="8">
        <f>IF(ISNA(MATCH(787,'Transfer Engine'!$C$2:$C$1369,0)),"",INDEX('Compliance Database'!$F$2:$F$1369,MATCH(787,'Transfer Engine'!$C$2:$C$1369,0)))</f>
        <v/>
      </c>
      <c r="G796" s="8">
        <f>IF(ISNA(MATCH(787,'Transfer Engine'!$C$2:$C$1369,0)),"",INDEX('Compliance Database'!$G$2:$G$1369,MATCH(787,'Transfer Engine'!$C$2:$C$1369,0)))</f>
        <v/>
      </c>
      <c r="H796" s="9">
        <f>IF(ISNA(MATCH(787,'Transfer Engine'!$C$2:$C$1369,0)),"",INDEX('Compliance Database'!$H$2:$H$1369,MATCH(787,'Transfer Engine'!$C$2:$C$1369,0)))</f>
        <v/>
      </c>
      <c r="I796" s="9">
        <f>IF(ISNA(MATCH(787,'Transfer Engine'!$C$2:$C$1369,0)),"",INDEX('Compliance Database'!$I$2:$I$1369,MATCH(787,'Transfer Engine'!$C$2:$C$1369,0)))</f>
        <v/>
      </c>
      <c r="J796" s="8">
        <f>IF(ISNA(MATCH(787,'Transfer Engine'!$C$2:$C$1369,0)),"",INDEX('Compliance Database'!$J$2:$J$1369,MATCH(787,'Transfer Engine'!$C$2:$C$1369,0)))</f>
        <v/>
      </c>
      <c r="K796" s="9">
        <f>IF(ISNA(MATCH(787,'Transfer Engine'!$C$2:$C$1369,0)),"",INDEX('Compliance Database'!$K$2:$K$1369,MATCH(787,'Transfer Engine'!$C$2:$C$1369,0)))</f>
        <v/>
      </c>
      <c r="L796" s="9">
        <f>IF(ISNA(MATCH(787,'Transfer Engine'!$C$2:$C$1369,0)),"",INDEX('Compliance Database'!$L$2:$L$1369,MATCH(787,'Transfer Engine'!$C$2:$C$1369,0)))</f>
        <v/>
      </c>
      <c r="M796" s="9">
        <f>IF(ISNA(MATCH(787,'Transfer Engine'!$C$2:$C$1369,0)),"",INDEX('Compliance Database'!$M$2:$M$1369,MATCH(787,'Transfer Engine'!$C$2:$C$1369,0)))</f>
        <v/>
      </c>
      <c r="N796" s="9">
        <f>IF(ISNA(MATCH(787,'Transfer Engine'!$C$2:$C$1369,0)),"",INDEX('Compliance Database'!$N$2:$N$1369,MATCH(787,'Transfer Engine'!$C$2:$C$1369,0)))</f>
        <v/>
      </c>
      <c r="O796" s="8">
        <f>IF(ISNA(MATCH(787,'Transfer Engine'!$C$2:$C$1369,0)),"",HYPERLINK(INDEX('Compliance Database'!$O$2:$O$1369,MATCH(787,'Transfer Engine'!$C$2:$C$1369,0)),"Open PDF"))</f>
        <v/>
      </c>
    </row>
    <row r="797" ht="188" customHeight="1">
      <c r="A797" s="8">
        <f>IF(ISNA(MATCH(788,'Transfer Engine'!$C$2:$C$1369,0)),"",INDEX('Compliance Database'!$A$2:$A$1369,MATCH(788,'Transfer Engine'!$C$2:$C$1369,0)))</f>
        <v/>
      </c>
      <c r="B797" s="8">
        <f>IF(ISNA(MATCH(788,'Transfer Engine'!$C$2:$C$1369,0)),"",INDEX('Compliance Database'!$B$2:$B$1369,MATCH(788,'Transfer Engine'!$C$2:$C$1369,0)))</f>
        <v/>
      </c>
      <c r="C797" s="8">
        <f>IF(ISNA(MATCH(788,'Transfer Engine'!$C$2:$C$1369,0)),"",INDEX('Compliance Database'!$C$2:$C$1369,MATCH(788,'Transfer Engine'!$C$2:$C$1369,0)))</f>
        <v/>
      </c>
      <c r="D797" s="9">
        <f>IF(ISNA(MATCH(788,'Transfer Engine'!$C$2:$C$1369,0)),"",INDEX('Compliance Database'!$D$2:$D$1369,MATCH(788,'Transfer Engine'!$C$2:$C$1369,0)))</f>
        <v/>
      </c>
      <c r="E797" s="8">
        <f>IF(ISNA(MATCH(788,'Transfer Engine'!$C$2:$C$1369,0)),"",INDEX('Compliance Database'!$E$2:$E$1369,MATCH(788,'Transfer Engine'!$C$2:$C$1369,0)))</f>
        <v/>
      </c>
      <c r="F797" s="8">
        <f>IF(ISNA(MATCH(788,'Transfer Engine'!$C$2:$C$1369,0)),"",INDEX('Compliance Database'!$F$2:$F$1369,MATCH(788,'Transfer Engine'!$C$2:$C$1369,0)))</f>
        <v/>
      </c>
      <c r="G797" s="8">
        <f>IF(ISNA(MATCH(788,'Transfer Engine'!$C$2:$C$1369,0)),"",INDEX('Compliance Database'!$G$2:$G$1369,MATCH(788,'Transfer Engine'!$C$2:$C$1369,0)))</f>
        <v/>
      </c>
      <c r="H797" s="9">
        <f>IF(ISNA(MATCH(788,'Transfer Engine'!$C$2:$C$1369,0)),"",INDEX('Compliance Database'!$H$2:$H$1369,MATCH(788,'Transfer Engine'!$C$2:$C$1369,0)))</f>
        <v/>
      </c>
      <c r="I797" s="9">
        <f>IF(ISNA(MATCH(788,'Transfer Engine'!$C$2:$C$1369,0)),"",INDEX('Compliance Database'!$I$2:$I$1369,MATCH(788,'Transfer Engine'!$C$2:$C$1369,0)))</f>
        <v/>
      </c>
      <c r="J797" s="8">
        <f>IF(ISNA(MATCH(788,'Transfer Engine'!$C$2:$C$1369,0)),"",INDEX('Compliance Database'!$J$2:$J$1369,MATCH(788,'Transfer Engine'!$C$2:$C$1369,0)))</f>
        <v/>
      </c>
      <c r="K797" s="9">
        <f>IF(ISNA(MATCH(788,'Transfer Engine'!$C$2:$C$1369,0)),"",INDEX('Compliance Database'!$K$2:$K$1369,MATCH(788,'Transfer Engine'!$C$2:$C$1369,0)))</f>
        <v/>
      </c>
      <c r="L797" s="9">
        <f>IF(ISNA(MATCH(788,'Transfer Engine'!$C$2:$C$1369,0)),"",INDEX('Compliance Database'!$L$2:$L$1369,MATCH(788,'Transfer Engine'!$C$2:$C$1369,0)))</f>
        <v/>
      </c>
      <c r="M797" s="9">
        <f>IF(ISNA(MATCH(788,'Transfer Engine'!$C$2:$C$1369,0)),"",INDEX('Compliance Database'!$M$2:$M$1369,MATCH(788,'Transfer Engine'!$C$2:$C$1369,0)))</f>
        <v/>
      </c>
      <c r="N797" s="9">
        <f>IF(ISNA(MATCH(788,'Transfer Engine'!$C$2:$C$1369,0)),"",INDEX('Compliance Database'!$N$2:$N$1369,MATCH(788,'Transfer Engine'!$C$2:$C$1369,0)))</f>
        <v/>
      </c>
      <c r="O797" s="8">
        <f>IF(ISNA(MATCH(788,'Transfer Engine'!$C$2:$C$1369,0)),"",HYPERLINK(INDEX('Compliance Database'!$O$2:$O$1369,MATCH(788,'Transfer Engine'!$C$2:$C$1369,0)),"Open PDF"))</f>
        <v/>
      </c>
    </row>
    <row r="798" ht="188" customHeight="1">
      <c r="A798" s="8">
        <f>IF(ISNA(MATCH(789,'Transfer Engine'!$C$2:$C$1369,0)),"",INDEX('Compliance Database'!$A$2:$A$1369,MATCH(789,'Transfer Engine'!$C$2:$C$1369,0)))</f>
        <v/>
      </c>
      <c r="B798" s="8">
        <f>IF(ISNA(MATCH(789,'Transfer Engine'!$C$2:$C$1369,0)),"",INDEX('Compliance Database'!$B$2:$B$1369,MATCH(789,'Transfer Engine'!$C$2:$C$1369,0)))</f>
        <v/>
      </c>
      <c r="C798" s="8">
        <f>IF(ISNA(MATCH(789,'Transfer Engine'!$C$2:$C$1369,0)),"",INDEX('Compliance Database'!$C$2:$C$1369,MATCH(789,'Transfer Engine'!$C$2:$C$1369,0)))</f>
        <v/>
      </c>
      <c r="D798" s="9">
        <f>IF(ISNA(MATCH(789,'Transfer Engine'!$C$2:$C$1369,0)),"",INDEX('Compliance Database'!$D$2:$D$1369,MATCH(789,'Transfer Engine'!$C$2:$C$1369,0)))</f>
        <v/>
      </c>
      <c r="E798" s="8">
        <f>IF(ISNA(MATCH(789,'Transfer Engine'!$C$2:$C$1369,0)),"",INDEX('Compliance Database'!$E$2:$E$1369,MATCH(789,'Transfer Engine'!$C$2:$C$1369,0)))</f>
        <v/>
      </c>
      <c r="F798" s="8">
        <f>IF(ISNA(MATCH(789,'Transfer Engine'!$C$2:$C$1369,0)),"",INDEX('Compliance Database'!$F$2:$F$1369,MATCH(789,'Transfer Engine'!$C$2:$C$1369,0)))</f>
        <v/>
      </c>
      <c r="G798" s="8">
        <f>IF(ISNA(MATCH(789,'Transfer Engine'!$C$2:$C$1369,0)),"",INDEX('Compliance Database'!$G$2:$G$1369,MATCH(789,'Transfer Engine'!$C$2:$C$1369,0)))</f>
        <v/>
      </c>
      <c r="H798" s="9">
        <f>IF(ISNA(MATCH(789,'Transfer Engine'!$C$2:$C$1369,0)),"",INDEX('Compliance Database'!$H$2:$H$1369,MATCH(789,'Transfer Engine'!$C$2:$C$1369,0)))</f>
        <v/>
      </c>
      <c r="I798" s="9">
        <f>IF(ISNA(MATCH(789,'Transfer Engine'!$C$2:$C$1369,0)),"",INDEX('Compliance Database'!$I$2:$I$1369,MATCH(789,'Transfer Engine'!$C$2:$C$1369,0)))</f>
        <v/>
      </c>
      <c r="J798" s="8">
        <f>IF(ISNA(MATCH(789,'Transfer Engine'!$C$2:$C$1369,0)),"",INDEX('Compliance Database'!$J$2:$J$1369,MATCH(789,'Transfer Engine'!$C$2:$C$1369,0)))</f>
        <v/>
      </c>
      <c r="K798" s="9">
        <f>IF(ISNA(MATCH(789,'Transfer Engine'!$C$2:$C$1369,0)),"",INDEX('Compliance Database'!$K$2:$K$1369,MATCH(789,'Transfer Engine'!$C$2:$C$1369,0)))</f>
        <v/>
      </c>
      <c r="L798" s="9">
        <f>IF(ISNA(MATCH(789,'Transfer Engine'!$C$2:$C$1369,0)),"",INDEX('Compliance Database'!$L$2:$L$1369,MATCH(789,'Transfer Engine'!$C$2:$C$1369,0)))</f>
        <v/>
      </c>
      <c r="M798" s="9">
        <f>IF(ISNA(MATCH(789,'Transfer Engine'!$C$2:$C$1369,0)),"",INDEX('Compliance Database'!$M$2:$M$1369,MATCH(789,'Transfer Engine'!$C$2:$C$1369,0)))</f>
        <v/>
      </c>
      <c r="N798" s="9">
        <f>IF(ISNA(MATCH(789,'Transfer Engine'!$C$2:$C$1369,0)),"",INDEX('Compliance Database'!$N$2:$N$1369,MATCH(789,'Transfer Engine'!$C$2:$C$1369,0)))</f>
        <v/>
      </c>
      <c r="O798" s="8">
        <f>IF(ISNA(MATCH(789,'Transfer Engine'!$C$2:$C$1369,0)),"",HYPERLINK(INDEX('Compliance Database'!$O$2:$O$1369,MATCH(789,'Transfer Engine'!$C$2:$C$1369,0)),"Open PDF"))</f>
        <v/>
      </c>
    </row>
    <row r="799" ht="188" customHeight="1">
      <c r="A799" s="8">
        <f>IF(ISNA(MATCH(790,'Transfer Engine'!$C$2:$C$1369,0)),"",INDEX('Compliance Database'!$A$2:$A$1369,MATCH(790,'Transfer Engine'!$C$2:$C$1369,0)))</f>
        <v/>
      </c>
      <c r="B799" s="8">
        <f>IF(ISNA(MATCH(790,'Transfer Engine'!$C$2:$C$1369,0)),"",INDEX('Compliance Database'!$B$2:$B$1369,MATCH(790,'Transfer Engine'!$C$2:$C$1369,0)))</f>
        <v/>
      </c>
      <c r="C799" s="8">
        <f>IF(ISNA(MATCH(790,'Transfer Engine'!$C$2:$C$1369,0)),"",INDEX('Compliance Database'!$C$2:$C$1369,MATCH(790,'Transfer Engine'!$C$2:$C$1369,0)))</f>
        <v/>
      </c>
      <c r="D799" s="9">
        <f>IF(ISNA(MATCH(790,'Transfer Engine'!$C$2:$C$1369,0)),"",INDEX('Compliance Database'!$D$2:$D$1369,MATCH(790,'Transfer Engine'!$C$2:$C$1369,0)))</f>
        <v/>
      </c>
      <c r="E799" s="8">
        <f>IF(ISNA(MATCH(790,'Transfer Engine'!$C$2:$C$1369,0)),"",INDEX('Compliance Database'!$E$2:$E$1369,MATCH(790,'Transfer Engine'!$C$2:$C$1369,0)))</f>
        <v/>
      </c>
      <c r="F799" s="8">
        <f>IF(ISNA(MATCH(790,'Transfer Engine'!$C$2:$C$1369,0)),"",INDEX('Compliance Database'!$F$2:$F$1369,MATCH(790,'Transfer Engine'!$C$2:$C$1369,0)))</f>
        <v/>
      </c>
      <c r="G799" s="8">
        <f>IF(ISNA(MATCH(790,'Transfer Engine'!$C$2:$C$1369,0)),"",INDEX('Compliance Database'!$G$2:$G$1369,MATCH(790,'Transfer Engine'!$C$2:$C$1369,0)))</f>
        <v/>
      </c>
      <c r="H799" s="9">
        <f>IF(ISNA(MATCH(790,'Transfer Engine'!$C$2:$C$1369,0)),"",INDEX('Compliance Database'!$H$2:$H$1369,MATCH(790,'Transfer Engine'!$C$2:$C$1369,0)))</f>
        <v/>
      </c>
      <c r="I799" s="9">
        <f>IF(ISNA(MATCH(790,'Transfer Engine'!$C$2:$C$1369,0)),"",INDEX('Compliance Database'!$I$2:$I$1369,MATCH(790,'Transfer Engine'!$C$2:$C$1369,0)))</f>
        <v/>
      </c>
      <c r="J799" s="8">
        <f>IF(ISNA(MATCH(790,'Transfer Engine'!$C$2:$C$1369,0)),"",INDEX('Compliance Database'!$J$2:$J$1369,MATCH(790,'Transfer Engine'!$C$2:$C$1369,0)))</f>
        <v/>
      </c>
      <c r="K799" s="9">
        <f>IF(ISNA(MATCH(790,'Transfer Engine'!$C$2:$C$1369,0)),"",INDEX('Compliance Database'!$K$2:$K$1369,MATCH(790,'Transfer Engine'!$C$2:$C$1369,0)))</f>
        <v/>
      </c>
      <c r="L799" s="9">
        <f>IF(ISNA(MATCH(790,'Transfer Engine'!$C$2:$C$1369,0)),"",INDEX('Compliance Database'!$L$2:$L$1369,MATCH(790,'Transfer Engine'!$C$2:$C$1369,0)))</f>
        <v/>
      </c>
      <c r="M799" s="9">
        <f>IF(ISNA(MATCH(790,'Transfer Engine'!$C$2:$C$1369,0)),"",INDEX('Compliance Database'!$M$2:$M$1369,MATCH(790,'Transfer Engine'!$C$2:$C$1369,0)))</f>
        <v/>
      </c>
      <c r="N799" s="9">
        <f>IF(ISNA(MATCH(790,'Transfer Engine'!$C$2:$C$1369,0)),"",INDEX('Compliance Database'!$N$2:$N$1369,MATCH(790,'Transfer Engine'!$C$2:$C$1369,0)))</f>
        <v/>
      </c>
      <c r="O799" s="8">
        <f>IF(ISNA(MATCH(790,'Transfer Engine'!$C$2:$C$1369,0)),"",HYPERLINK(INDEX('Compliance Database'!$O$2:$O$1369,MATCH(790,'Transfer Engine'!$C$2:$C$1369,0)),"Open PDF"))</f>
        <v/>
      </c>
    </row>
    <row r="800" ht="188" customHeight="1">
      <c r="A800" s="8">
        <f>IF(ISNA(MATCH(791,'Transfer Engine'!$C$2:$C$1369,0)),"",INDEX('Compliance Database'!$A$2:$A$1369,MATCH(791,'Transfer Engine'!$C$2:$C$1369,0)))</f>
        <v/>
      </c>
      <c r="B800" s="8">
        <f>IF(ISNA(MATCH(791,'Transfer Engine'!$C$2:$C$1369,0)),"",INDEX('Compliance Database'!$B$2:$B$1369,MATCH(791,'Transfer Engine'!$C$2:$C$1369,0)))</f>
        <v/>
      </c>
      <c r="C800" s="8">
        <f>IF(ISNA(MATCH(791,'Transfer Engine'!$C$2:$C$1369,0)),"",INDEX('Compliance Database'!$C$2:$C$1369,MATCH(791,'Transfer Engine'!$C$2:$C$1369,0)))</f>
        <v/>
      </c>
      <c r="D800" s="9">
        <f>IF(ISNA(MATCH(791,'Transfer Engine'!$C$2:$C$1369,0)),"",INDEX('Compliance Database'!$D$2:$D$1369,MATCH(791,'Transfer Engine'!$C$2:$C$1369,0)))</f>
        <v/>
      </c>
      <c r="E800" s="8">
        <f>IF(ISNA(MATCH(791,'Transfer Engine'!$C$2:$C$1369,0)),"",INDEX('Compliance Database'!$E$2:$E$1369,MATCH(791,'Transfer Engine'!$C$2:$C$1369,0)))</f>
        <v/>
      </c>
      <c r="F800" s="8">
        <f>IF(ISNA(MATCH(791,'Transfer Engine'!$C$2:$C$1369,0)),"",INDEX('Compliance Database'!$F$2:$F$1369,MATCH(791,'Transfer Engine'!$C$2:$C$1369,0)))</f>
        <v/>
      </c>
      <c r="G800" s="8">
        <f>IF(ISNA(MATCH(791,'Transfer Engine'!$C$2:$C$1369,0)),"",INDEX('Compliance Database'!$G$2:$G$1369,MATCH(791,'Transfer Engine'!$C$2:$C$1369,0)))</f>
        <v/>
      </c>
      <c r="H800" s="9">
        <f>IF(ISNA(MATCH(791,'Transfer Engine'!$C$2:$C$1369,0)),"",INDEX('Compliance Database'!$H$2:$H$1369,MATCH(791,'Transfer Engine'!$C$2:$C$1369,0)))</f>
        <v/>
      </c>
      <c r="I800" s="9">
        <f>IF(ISNA(MATCH(791,'Transfer Engine'!$C$2:$C$1369,0)),"",INDEX('Compliance Database'!$I$2:$I$1369,MATCH(791,'Transfer Engine'!$C$2:$C$1369,0)))</f>
        <v/>
      </c>
      <c r="J800" s="8">
        <f>IF(ISNA(MATCH(791,'Transfer Engine'!$C$2:$C$1369,0)),"",INDEX('Compliance Database'!$J$2:$J$1369,MATCH(791,'Transfer Engine'!$C$2:$C$1369,0)))</f>
        <v/>
      </c>
      <c r="K800" s="9">
        <f>IF(ISNA(MATCH(791,'Transfer Engine'!$C$2:$C$1369,0)),"",INDEX('Compliance Database'!$K$2:$K$1369,MATCH(791,'Transfer Engine'!$C$2:$C$1369,0)))</f>
        <v/>
      </c>
      <c r="L800" s="9">
        <f>IF(ISNA(MATCH(791,'Transfer Engine'!$C$2:$C$1369,0)),"",INDEX('Compliance Database'!$L$2:$L$1369,MATCH(791,'Transfer Engine'!$C$2:$C$1369,0)))</f>
        <v/>
      </c>
      <c r="M800" s="9">
        <f>IF(ISNA(MATCH(791,'Transfer Engine'!$C$2:$C$1369,0)),"",INDEX('Compliance Database'!$M$2:$M$1369,MATCH(791,'Transfer Engine'!$C$2:$C$1369,0)))</f>
        <v/>
      </c>
      <c r="N800" s="9">
        <f>IF(ISNA(MATCH(791,'Transfer Engine'!$C$2:$C$1369,0)),"",INDEX('Compliance Database'!$N$2:$N$1369,MATCH(791,'Transfer Engine'!$C$2:$C$1369,0)))</f>
        <v/>
      </c>
      <c r="O800" s="8">
        <f>IF(ISNA(MATCH(791,'Transfer Engine'!$C$2:$C$1369,0)),"",HYPERLINK(INDEX('Compliance Database'!$O$2:$O$1369,MATCH(791,'Transfer Engine'!$C$2:$C$1369,0)),"Open PDF"))</f>
        <v/>
      </c>
    </row>
    <row r="801" ht="188" customHeight="1">
      <c r="A801" s="8">
        <f>IF(ISNA(MATCH(792,'Transfer Engine'!$C$2:$C$1369,0)),"",INDEX('Compliance Database'!$A$2:$A$1369,MATCH(792,'Transfer Engine'!$C$2:$C$1369,0)))</f>
        <v/>
      </c>
      <c r="B801" s="8">
        <f>IF(ISNA(MATCH(792,'Transfer Engine'!$C$2:$C$1369,0)),"",INDEX('Compliance Database'!$B$2:$B$1369,MATCH(792,'Transfer Engine'!$C$2:$C$1369,0)))</f>
        <v/>
      </c>
      <c r="C801" s="8">
        <f>IF(ISNA(MATCH(792,'Transfer Engine'!$C$2:$C$1369,0)),"",INDEX('Compliance Database'!$C$2:$C$1369,MATCH(792,'Transfer Engine'!$C$2:$C$1369,0)))</f>
        <v/>
      </c>
      <c r="D801" s="9">
        <f>IF(ISNA(MATCH(792,'Transfer Engine'!$C$2:$C$1369,0)),"",INDEX('Compliance Database'!$D$2:$D$1369,MATCH(792,'Transfer Engine'!$C$2:$C$1369,0)))</f>
        <v/>
      </c>
      <c r="E801" s="8">
        <f>IF(ISNA(MATCH(792,'Transfer Engine'!$C$2:$C$1369,0)),"",INDEX('Compliance Database'!$E$2:$E$1369,MATCH(792,'Transfer Engine'!$C$2:$C$1369,0)))</f>
        <v/>
      </c>
      <c r="F801" s="8">
        <f>IF(ISNA(MATCH(792,'Transfer Engine'!$C$2:$C$1369,0)),"",INDEX('Compliance Database'!$F$2:$F$1369,MATCH(792,'Transfer Engine'!$C$2:$C$1369,0)))</f>
        <v/>
      </c>
      <c r="G801" s="8">
        <f>IF(ISNA(MATCH(792,'Transfer Engine'!$C$2:$C$1369,0)),"",INDEX('Compliance Database'!$G$2:$G$1369,MATCH(792,'Transfer Engine'!$C$2:$C$1369,0)))</f>
        <v/>
      </c>
      <c r="H801" s="9">
        <f>IF(ISNA(MATCH(792,'Transfer Engine'!$C$2:$C$1369,0)),"",INDEX('Compliance Database'!$H$2:$H$1369,MATCH(792,'Transfer Engine'!$C$2:$C$1369,0)))</f>
        <v/>
      </c>
      <c r="I801" s="9">
        <f>IF(ISNA(MATCH(792,'Transfer Engine'!$C$2:$C$1369,0)),"",INDEX('Compliance Database'!$I$2:$I$1369,MATCH(792,'Transfer Engine'!$C$2:$C$1369,0)))</f>
        <v/>
      </c>
      <c r="J801" s="8">
        <f>IF(ISNA(MATCH(792,'Transfer Engine'!$C$2:$C$1369,0)),"",INDEX('Compliance Database'!$J$2:$J$1369,MATCH(792,'Transfer Engine'!$C$2:$C$1369,0)))</f>
        <v/>
      </c>
      <c r="K801" s="9">
        <f>IF(ISNA(MATCH(792,'Transfer Engine'!$C$2:$C$1369,0)),"",INDEX('Compliance Database'!$K$2:$K$1369,MATCH(792,'Transfer Engine'!$C$2:$C$1369,0)))</f>
        <v/>
      </c>
      <c r="L801" s="9">
        <f>IF(ISNA(MATCH(792,'Transfer Engine'!$C$2:$C$1369,0)),"",INDEX('Compliance Database'!$L$2:$L$1369,MATCH(792,'Transfer Engine'!$C$2:$C$1369,0)))</f>
        <v/>
      </c>
      <c r="M801" s="9">
        <f>IF(ISNA(MATCH(792,'Transfer Engine'!$C$2:$C$1369,0)),"",INDEX('Compliance Database'!$M$2:$M$1369,MATCH(792,'Transfer Engine'!$C$2:$C$1369,0)))</f>
        <v/>
      </c>
      <c r="N801" s="9">
        <f>IF(ISNA(MATCH(792,'Transfer Engine'!$C$2:$C$1369,0)),"",INDEX('Compliance Database'!$N$2:$N$1369,MATCH(792,'Transfer Engine'!$C$2:$C$1369,0)))</f>
        <v/>
      </c>
      <c r="O801" s="8">
        <f>IF(ISNA(MATCH(792,'Transfer Engine'!$C$2:$C$1369,0)),"",HYPERLINK(INDEX('Compliance Database'!$O$2:$O$1369,MATCH(792,'Transfer Engine'!$C$2:$C$1369,0)),"Open PDF"))</f>
        <v/>
      </c>
    </row>
    <row r="802" ht="188" customHeight="1">
      <c r="A802" s="8">
        <f>IF(ISNA(MATCH(793,'Transfer Engine'!$C$2:$C$1369,0)),"",INDEX('Compliance Database'!$A$2:$A$1369,MATCH(793,'Transfer Engine'!$C$2:$C$1369,0)))</f>
        <v/>
      </c>
      <c r="B802" s="8">
        <f>IF(ISNA(MATCH(793,'Transfer Engine'!$C$2:$C$1369,0)),"",INDEX('Compliance Database'!$B$2:$B$1369,MATCH(793,'Transfer Engine'!$C$2:$C$1369,0)))</f>
        <v/>
      </c>
      <c r="C802" s="8">
        <f>IF(ISNA(MATCH(793,'Transfer Engine'!$C$2:$C$1369,0)),"",INDEX('Compliance Database'!$C$2:$C$1369,MATCH(793,'Transfer Engine'!$C$2:$C$1369,0)))</f>
        <v/>
      </c>
      <c r="D802" s="9">
        <f>IF(ISNA(MATCH(793,'Transfer Engine'!$C$2:$C$1369,0)),"",INDEX('Compliance Database'!$D$2:$D$1369,MATCH(793,'Transfer Engine'!$C$2:$C$1369,0)))</f>
        <v/>
      </c>
      <c r="E802" s="8">
        <f>IF(ISNA(MATCH(793,'Transfer Engine'!$C$2:$C$1369,0)),"",INDEX('Compliance Database'!$E$2:$E$1369,MATCH(793,'Transfer Engine'!$C$2:$C$1369,0)))</f>
        <v/>
      </c>
      <c r="F802" s="8">
        <f>IF(ISNA(MATCH(793,'Transfer Engine'!$C$2:$C$1369,0)),"",INDEX('Compliance Database'!$F$2:$F$1369,MATCH(793,'Transfer Engine'!$C$2:$C$1369,0)))</f>
        <v/>
      </c>
      <c r="G802" s="8">
        <f>IF(ISNA(MATCH(793,'Transfer Engine'!$C$2:$C$1369,0)),"",INDEX('Compliance Database'!$G$2:$G$1369,MATCH(793,'Transfer Engine'!$C$2:$C$1369,0)))</f>
        <v/>
      </c>
      <c r="H802" s="9">
        <f>IF(ISNA(MATCH(793,'Transfer Engine'!$C$2:$C$1369,0)),"",INDEX('Compliance Database'!$H$2:$H$1369,MATCH(793,'Transfer Engine'!$C$2:$C$1369,0)))</f>
        <v/>
      </c>
      <c r="I802" s="9">
        <f>IF(ISNA(MATCH(793,'Transfer Engine'!$C$2:$C$1369,0)),"",INDEX('Compliance Database'!$I$2:$I$1369,MATCH(793,'Transfer Engine'!$C$2:$C$1369,0)))</f>
        <v/>
      </c>
      <c r="J802" s="8">
        <f>IF(ISNA(MATCH(793,'Transfer Engine'!$C$2:$C$1369,0)),"",INDEX('Compliance Database'!$J$2:$J$1369,MATCH(793,'Transfer Engine'!$C$2:$C$1369,0)))</f>
        <v/>
      </c>
      <c r="K802" s="9">
        <f>IF(ISNA(MATCH(793,'Transfer Engine'!$C$2:$C$1369,0)),"",INDEX('Compliance Database'!$K$2:$K$1369,MATCH(793,'Transfer Engine'!$C$2:$C$1369,0)))</f>
        <v/>
      </c>
      <c r="L802" s="9">
        <f>IF(ISNA(MATCH(793,'Transfer Engine'!$C$2:$C$1369,0)),"",INDEX('Compliance Database'!$L$2:$L$1369,MATCH(793,'Transfer Engine'!$C$2:$C$1369,0)))</f>
        <v/>
      </c>
      <c r="M802" s="9">
        <f>IF(ISNA(MATCH(793,'Transfer Engine'!$C$2:$C$1369,0)),"",INDEX('Compliance Database'!$M$2:$M$1369,MATCH(793,'Transfer Engine'!$C$2:$C$1369,0)))</f>
        <v/>
      </c>
      <c r="N802" s="9">
        <f>IF(ISNA(MATCH(793,'Transfer Engine'!$C$2:$C$1369,0)),"",INDEX('Compliance Database'!$N$2:$N$1369,MATCH(793,'Transfer Engine'!$C$2:$C$1369,0)))</f>
        <v/>
      </c>
      <c r="O802" s="8">
        <f>IF(ISNA(MATCH(793,'Transfer Engine'!$C$2:$C$1369,0)),"",HYPERLINK(INDEX('Compliance Database'!$O$2:$O$1369,MATCH(793,'Transfer Engine'!$C$2:$C$1369,0)),"Open PDF"))</f>
        <v/>
      </c>
    </row>
    <row r="803" ht="188" customHeight="1">
      <c r="A803" s="8">
        <f>IF(ISNA(MATCH(794,'Transfer Engine'!$C$2:$C$1369,0)),"",INDEX('Compliance Database'!$A$2:$A$1369,MATCH(794,'Transfer Engine'!$C$2:$C$1369,0)))</f>
        <v/>
      </c>
      <c r="B803" s="8">
        <f>IF(ISNA(MATCH(794,'Transfer Engine'!$C$2:$C$1369,0)),"",INDEX('Compliance Database'!$B$2:$B$1369,MATCH(794,'Transfer Engine'!$C$2:$C$1369,0)))</f>
        <v/>
      </c>
      <c r="C803" s="8">
        <f>IF(ISNA(MATCH(794,'Transfer Engine'!$C$2:$C$1369,0)),"",INDEX('Compliance Database'!$C$2:$C$1369,MATCH(794,'Transfer Engine'!$C$2:$C$1369,0)))</f>
        <v/>
      </c>
      <c r="D803" s="9">
        <f>IF(ISNA(MATCH(794,'Transfer Engine'!$C$2:$C$1369,0)),"",INDEX('Compliance Database'!$D$2:$D$1369,MATCH(794,'Transfer Engine'!$C$2:$C$1369,0)))</f>
        <v/>
      </c>
      <c r="E803" s="8">
        <f>IF(ISNA(MATCH(794,'Transfer Engine'!$C$2:$C$1369,0)),"",INDEX('Compliance Database'!$E$2:$E$1369,MATCH(794,'Transfer Engine'!$C$2:$C$1369,0)))</f>
        <v/>
      </c>
      <c r="F803" s="8">
        <f>IF(ISNA(MATCH(794,'Transfer Engine'!$C$2:$C$1369,0)),"",INDEX('Compliance Database'!$F$2:$F$1369,MATCH(794,'Transfer Engine'!$C$2:$C$1369,0)))</f>
        <v/>
      </c>
      <c r="G803" s="8">
        <f>IF(ISNA(MATCH(794,'Transfer Engine'!$C$2:$C$1369,0)),"",INDEX('Compliance Database'!$G$2:$G$1369,MATCH(794,'Transfer Engine'!$C$2:$C$1369,0)))</f>
        <v/>
      </c>
      <c r="H803" s="9">
        <f>IF(ISNA(MATCH(794,'Transfer Engine'!$C$2:$C$1369,0)),"",INDEX('Compliance Database'!$H$2:$H$1369,MATCH(794,'Transfer Engine'!$C$2:$C$1369,0)))</f>
        <v/>
      </c>
      <c r="I803" s="9">
        <f>IF(ISNA(MATCH(794,'Transfer Engine'!$C$2:$C$1369,0)),"",INDEX('Compliance Database'!$I$2:$I$1369,MATCH(794,'Transfer Engine'!$C$2:$C$1369,0)))</f>
        <v/>
      </c>
      <c r="J803" s="8">
        <f>IF(ISNA(MATCH(794,'Transfer Engine'!$C$2:$C$1369,0)),"",INDEX('Compliance Database'!$J$2:$J$1369,MATCH(794,'Transfer Engine'!$C$2:$C$1369,0)))</f>
        <v/>
      </c>
      <c r="K803" s="9">
        <f>IF(ISNA(MATCH(794,'Transfer Engine'!$C$2:$C$1369,0)),"",INDEX('Compliance Database'!$K$2:$K$1369,MATCH(794,'Transfer Engine'!$C$2:$C$1369,0)))</f>
        <v/>
      </c>
      <c r="L803" s="9">
        <f>IF(ISNA(MATCH(794,'Transfer Engine'!$C$2:$C$1369,0)),"",INDEX('Compliance Database'!$L$2:$L$1369,MATCH(794,'Transfer Engine'!$C$2:$C$1369,0)))</f>
        <v/>
      </c>
      <c r="M803" s="9">
        <f>IF(ISNA(MATCH(794,'Transfer Engine'!$C$2:$C$1369,0)),"",INDEX('Compliance Database'!$M$2:$M$1369,MATCH(794,'Transfer Engine'!$C$2:$C$1369,0)))</f>
        <v/>
      </c>
      <c r="N803" s="9">
        <f>IF(ISNA(MATCH(794,'Transfer Engine'!$C$2:$C$1369,0)),"",INDEX('Compliance Database'!$N$2:$N$1369,MATCH(794,'Transfer Engine'!$C$2:$C$1369,0)))</f>
        <v/>
      </c>
      <c r="O803" s="8">
        <f>IF(ISNA(MATCH(794,'Transfer Engine'!$C$2:$C$1369,0)),"",HYPERLINK(INDEX('Compliance Database'!$O$2:$O$1369,MATCH(794,'Transfer Engine'!$C$2:$C$1369,0)),"Open PDF"))</f>
        <v/>
      </c>
    </row>
    <row r="804" ht="188" customHeight="1">
      <c r="A804" s="8">
        <f>IF(ISNA(MATCH(795,'Transfer Engine'!$C$2:$C$1369,0)),"",INDEX('Compliance Database'!$A$2:$A$1369,MATCH(795,'Transfer Engine'!$C$2:$C$1369,0)))</f>
        <v/>
      </c>
      <c r="B804" s="8">
        <f>IF(ISNA(MATCH(795,'Transfer Engine'!$C$2:$C$1369,0)),"",INDEX('Compliance Database'!$B$2:$B$1369,MATCH(795,'Transfer Engine'!$C$2:$C$1369,0)))</f>
        <v/>
      </c>
      <c r="C804" s="8">
        <f>IF(ISNA(MATCH(795,'Transfer Engine'!$C$2:$C$1369,0)),"",INDEX('Compliance Database'!$C$2:$C$1369,MATCH(795,'Transfer Engine'!$C$2:$C$1369,0)))</f>
        <v/>
      </c>
      <c r="D804" s="9">
        <f>IF(ISNA(MATCH(795,'Transfer Engine'!$C$2:$C$1369,0)),"",INDEX('Compliance Database'!$D$2:$D$1369,MATCH(795,'Transfer Engine'!$C$2:$C$1369,0)))</f>
        <v/>
      </c>
      <c r="E804" s="8">
        <f>IF(ISNA(MATCH(795,'Transfer Engine'!$C$2:$C$1369,0)),"",INDEX('Compliance Database'!$E$2:$E$1369,MATCH(795,'Transfer Engine'!$C$2:$C$1369,0)))</f>
        <v/>
      </c>
      <c r="F804" s="8">
        <f>IF(ISNA(MATCH(795,'Transfer Engine'!$C$2:$C$1369,0)),"",INDEX('Compliance Database'!$F$2:$F$1369,MATCH(795,'Transfer Engine'!$C$2:$C$1369,0)))</f>
        <v/>
      </c>
      <c r="G804" s="8">
        <f>IF(ISNA(MATCH(795,'Transfer Engine'!$C$2:$C$1369,0)),"",INDEX('Compliance Database'!$G$2:$G$1369,MATCH(795,'Transfer Engine'!$C$2:$C$1369,0)))</f>
        <v/>
      </c>
      <c r="H804" s="9">
        <f>IF(ISNA(MATCH(795,'Transfer Engine'!$C$2:$C$1369,0)),"",INDEX('Compliance Database'!$H$2:$H$1369,MATCH(795,'Transfer Engine'!$C$2:$C$1369,0)))</f>
        <v/>
      </c>
      <c r="I804" s="9">
        <f>IF(ISNA(MATCH(795,'Transfer Engine'!$C$2:$C$1369,0)),"",INDEX('Compliance Database'!$I$2:$I$1369,MATCH(795,'Transfer Engine'!$C$2:$C$1369,0)))</f>
        <v/>
      </c>
      <c r="J804" s="8">
        <f>IF(ISNA(MATCH(795,'Transfer Engine'!$C$2:$C$1369,0)),"",INDEX('Compliance Database'!$J$2:$J$1369,MATCH(795,'Transfer Engine'!$C$2:$C$1369,0)))</f>
        <v/>
      </c>
      <c r="K804" s="9">
        <f>IF(ISNA(MATCH(795,'Transfer Engine'!$C$2:$C$1369,0)),"",INDEX('Compliance Database'!$K$2:$K$1369,MATCH(795,'Transfer Engine'!$C$2:$C$1369,0)))</f>
        <v/>
      </c>
      <c r="L804" s="9">
        <f>IF(ISNA(MATCH(795,'Transfer Engine'!$C$2:$C$1369,0)),"",INDEX('Compliance Database'!$L$2:$L$1369,MATCH(795,'Transfer Engine'!$C$2:$C$1369,0)))</f>
        <v/>
      </c>
      <c r="M804" s="9">
        <f>IF(ISNA(MATCH(795,'Transfer Engine'!$C$2:$C$1369,0)),"",INDEX('Compliance Database'!$M$2:$M$1369,MATCH(795,'Transfer Engine'!$C$2:$C$1369,0)))</f>
        <v/>
      </c>
      <c r="N804" s="9">
        <f>IF(ISNA(MATCH(795,'Transfer Engine'!$C$2:$C$1369,0)),"",INDEX('Compliance Database'!$N$2:$N$1369,MATCH(795,'Transfer Engine'!$C$2:$C$1369,0)))</f>
        <v/>
      </c>
      <c r="O804" s="8">
        <f>IF(ISNA(MATCH(795,'Transfer Engine'!$C$2:$C$1369,0)),"",HYPERLINK(INDEX('Compliance Database'!$O$2:$O$1369,MATCH(795,'Transfer Engine'!$C$2:$C$1369,0)),"Open PDF"))</f>
        <v/>
      </c>
    </row>
    <row r="805" ht="188" customHeight="1">
      <c r="A805" s="8">
        <f>IF(ISNA(MATCH(796,'Transfer Engine'!$C$2:$C$1369,0)),"",INDEX('Compliance Database'!$A$2:$A$1369,MATCH(796,'Transfer Engine'!$C$2:$C$1369,0)))</f>
        <v/>
      </c>
      <c r="B805" s="8">
        <f>IF(ISNA(MATCH(796,'Transfer Engine'!$C$2:$C$1369,0)),"",INDEX('Compliance Database'!$B$2:$B$1369,MATCH(796,'Transfer Engine'!$C$2:$C$1369,0)))</f>
        <v/>
      </c>
      <c r="C805" s="8">
        <f>IF(ISNA(MATCH(796,'Transfer Engine'!$C$2:$C$1369,0)),"",INDEX('Compliance Database'!$C$2:$C$1369,MATCH(796,'Transfer Engine'!$C$2:$C$1369,0)))</f>
        <v/>
      </c>
      <c r="D805" s="9">
        <f>IF(ISNA(MATCH(796,'Transfer Engine'!$C$2:$C$1369,0)),"",INDEX('Compliance Database'!$D$2:$D$1369,MATCH(796,'Transfer Engine'!$C$2:$C$1369,0)))</f>
        <v/>
      </c>
      <c r="E805" s="8">
        <f>IF(ISNA(MATCH(796,'Transfer Engine'!$C$2:$C$1369,0)),"",INDEX('Compliance Database'!$E$2:$E$1369,MATCH(796,'Transfer Engine'!$C$2:$C$1369,0)))</f>
        <v/>
      </c>
      <c r="F805" s="8">
        <f>IF(ISNA(MATCH(796,'Transfer Engine'!$C$2:$C$1369,0)),"",INDEX('Compliance Database'!$F$2:$F$1369,MATCH(796,'Transfer Engine'!$C$2:$C$1369,0)))</f>
        <v/>
      </c>
      <c r="G805" s="8">
        <f>IF(ISNA(MATCH(796,'Transfer Engine'!$C$2:$C$1369,0)),"",INDEX('Compliance Database'!$G$2:$G$1369,MATCH(796,'Transfer Engine'!$C$2:$C$1369,0)))</f>
        <v/>
      </c>
      <c r="H805" s="9">
        <f>IF(ISNA(MATCH(796,'Transfer Engine'!$C$2:$C$1369,0)),"",INDEX('Compliance Database'!$H$2:$H$1369,MATCH(796,'Transfer Engine'!$C$2:$C$1369,0)))</f>
        <v/>
      </c>
      <c r="I805" s="9">
        <f>IF(ISNA(MATCH(796,'Transfer Engine'!$C$2:$C$1369,0)),"",INDEX('Compliance Database'!$I$2:$I$1369,MATCH(796,'Transfer Engine'!$C$2:$C$1369,0)))</f>
        <v/>
      </c>
      <c r="J805" s="8">
        <f>IF(ISNA(MATCH(796,'Transfer Engine'!$C$2:$C$1369,0)),"",INDEX('Compliance Database'!$J$2:$J$1369,MATCH(796,'Transfer Engine'!$C$2:$C$1369,0)))</f>
        <v/>
      </c>
      <c r="K805" s="9">
        <f>IF(ISNA(MATCH(796,'Transfer Engine'!$C$2:$C$1369,0)),"",INDEX('Compliance Database'!$K$2:$K$1369,MATCH(796,'Transfer Engine'!$C$2:$C$1369,0)))</f>
        <v/>
      </c>
      <c r="L805" s="9">
        <f>IF(ISNA(MATCH(796,'Transfer Engine'!$C$2:$C$1369,0)),"",INDEX('Compliance Database'!$L$2:$L$1369,MATCH(796,'Transfer Engine'!$C$2:$C$1369,0)))</f>
        <v/>
      </c>
      <c r="M805" s="9">
        <f>IF(ISNA(MATCH(796,'Transfer Engine'!$C$2:$C$1369,0)),"",INDEX('Compliance Database'!$M$2:$M$1369,MATCH(796,'Transfer Engine'!$C$2:$C$1369,0)))</f>
        <v/>
      </c>
      <c r="N805" s="9">
        <f>IF(ISNA(MATCH(796,'Transfer Engine'!$C$2:$C$1369,0)),"",INDEX('Compliance Database'!$N$2:$N$1369,MATCH(796,'Transfer Engine'!$C$2:$C$1369,0)))</f>
        <v/>
      </c>
      <c r="O805" s="8">
        <f>IF(ISNA(MATCH(796,'Transfer Engine'!$C$2:$C$1369,0)),"",HYPERLINK(INDEX('Compliance Database'!$O$2:$O$1369,MATCH(796,'Transfer Engine'!$C$2:$C$1369,0)),"Open PDF"))</f>
        <v/>
      </c>
    </row>
    <row r="806" ht="188" customHeight="1">
      <c r="A806" s="8">
        <f>IF(ISNA(MATCH(797,'Transfer Engine'!$C$2:$C$1369,0)),"",INDEX('Compliance Database'!$A$2:$A$1369,MATCH(797,'Transfer Engine'!$C$2:$C$1369,0)))</f>
        <v/>
      </c>
      <c r="B806" s="8">
        <f>IF(ISNA(MATCH(797,'Transfer Engine'!$C$2:$C$1369,0)),"",INDEX('Compliance Database'!$B$2:$B$1369,MATCH(797,'Transfer Engine'!$C$2:$C$1369,0)))</f>
        <v/>
      </c>
      <c r="C806" s="8">
        <f>IF(ISNA(MATCH(797,'Transfer Engine'!$C$2:$C$1369,0)),"",INDEX('Compliance Database'!$C$2:$C$1369,MATCH(797,'Transfer Engine'!$C$2:$C$1369,0)))</f>
        <v/>
      </c>
      <c r="D806" s="9">
        <f>IF(ISNA(MATCH(797,'Transfer Engine'!$C$2:$C$1369,0)),"",INDEX('Compliance Database'!$D$2:$D$1369,MATCH(797,'Transfer Engine'!$C$2:$C$1369,0)))</f>
        <v/>
      </c>
      <c r="E806" s="8">
        <f>IF(ISNA(MATCH(797,'Transfer Engine'!$C$2:$C$1369,0)),"",INDEX('Compliance Database'!$E$2:$E$1369,MATCH(797,'Transfer Engine'!$C$2:$C$1369,0)))</f>
        <v/>
      </c>
      <c r="F806" s="8">
        <f>IF(ISNA(MATCH(797,'Transfer Engine'!$C$2:$C$1369,0)),"",INDEX('Compliance Database'!$F$2:$F$1369,MATCH(797,'Transfer Engine'!$C$2:$C$1369,0)))</f>
        <v/>
      </c>
      <c r="G806" s="8">
        <f>IF(ISNA(MATCH(797,'Transfer Engine'!$C$2:$C$1369,0)),"",INDEX('Compliance Database'!$G$2:$G$1369,MATCH(797,'Transfer Engine'!$C$2:$C$1369,0)))</f>
        <v/>
      </c>
      <c r="H806" s="9">
        <f>IF(ISNA(MATCH(797,'Transfer Engine'!$C$2:$C$1369,0)),"",INDEX('Compliance Database'!$H$2:$H$1369,MATCH(797,'Transfer Engine'!$C$2:$C$1369,0)))</f>
        <v/>
      </c>
      <c r="I806" s="9">
        <f>IF(ISNA(MATCH(797,'Transfer Engine'!$C$2:$C$1369,0)),"",INDEX('Compliance Database'!$I$2:$I$1369,MATCH(797,'Transfer Engine'!$C$2:$C$1369,0)))</f>
        <v/>
      </c>
      <c r="J806" s="8">
        <f>IF(ISNA(MATCH(797,'Transfer Engine'!$C$2:$C$1369,0)),"",INDEX('Compliance Database'!$J$2:$J$1369,MATCH(797,'Transfer Engine'!$C$2:$C$1369,0)))</f>
        <v/>
      </c>
      <c r="K806" s="9">
        <f>IF(ISNA(MATCH(797,'Transfer Engine'!$C$2:$C$1369,0)),"",INDEX('Compliance Database'!$K$2:$K$1369,MATCH(797,'Transfer Engine'!$C$2:$C$1369,0)))</f>
        <v/>
      </c>
      <c r="L806" s="9">
        <f>IF(ISNA(MATCH(797,'Transfer Engine'!$C$2:$C$1369,0)),"",INDEX('Compliance Database'!$L$2:$L$1369,MATCH(797,'Transfer Engine'!$C$2:$C$1369,0)))</f>
        <v/>
      </c>
      <c r="M806" s="9">
        <f>IF(ISNA(MATCH(797,'Transfer Engine'!$C$2:$C$1369,0)),"",INDEX('Compliance Database'!$M$2:$M$1369,MATCH(797,'Transfer Engine'!$C$2:$C$1369,0)))</f>
        <v/>
      </c>
      <c r="N806" s="9">
        <f>IF(ISNA(MATCH(797,'Transfer Engine'!$C$2:$C$1369,0)),"",INDEX('Compliance Database'!$N$2:$N$1369,MATCH(797,'Transfer Engine'!$C$2:$C$1369,0)))</f>
        <v/>
      </c>
      <c r="O806" s="8">
        <f>IF(ISNA(MATCH(797,'Transfer Engine'!$C$2:$C$1369,0)),"",HYPERLINK(INDEX('Compliance Database'!$O$2:$O$1369,MATCH(797,'Transfer Engine'!$C$2:$C$1369,0)),"Open PDF"))</f>
        <v/>
      </c>
    </row>
    <row r="807" ht="188" customHeight="1">
      <c r="A807" s="8">
        <f>IF(ISNA(MATCH(798,'Transfer Engine'!$C$2:$C$1369,0)),"",INDEX('Compliance Database'!$A$2:$A$1369,MATCH(798,'Transfer Engine'!$C$2:$C$1369,0)))</f>
        <v/>
      </c>
      <c r="B807" s="8">
        <f>IF(ISNA(MATCH(798,'Transfer Engine'!$C$2:$C$1369,0)),"",INDEX('Compliance Database'!$B$2:$B$1369,MATCH(798,'Transfer Engine'!$C$2:$C$1369,0)))</f>
        <v/>
      </c>
      <c r="C807" s="8">
        <f>IF(ISNA(MATCH(798,'Transfer Engine'!$C$2:$C$1369,0)),"",INDEX('Compliance Database'!$C$2:$C$1369,MATCH(798,'Transfer Engine'!$C$2:$C$1369,0)))</f>
        <v/>
      </c>
      <c r="D807" s="9">
        <f>IF(ISNA(MATCH(798,'Transfer Engine'!$C$2:$C$1369,0)),"",INDEX('Compliance Database'!$D$2:$D$1369,MATCH(798,'Transfer Engine'!$C$2:$C$1369,0)))</f>
        <v/>
      </c>
      <c r="E807" s="8">
        <f>IF(ISNA(MATCH(798,'Transfer Engine'!$C$2:$C$1369,0)),"",INDEX('Compliance Database'!$E$2:$E$1369,MATCH(798,'Transfer Engine'!$C$2:$C$1369,0)))</f>
        <v/>
      </c>
      <c r="F807" s="8">
        <f>IF(ISNA(MATCH(798,'Transfer Engine'!$C$2:$C$1369,0)),"",INDEX('Compliance Database'!$F$2:$F$1369,MATCH(798,'Transfer Engine'!$C$2:$C$1369,0)))</f>
        <v/>
      </c>
      <c r="G807" s="8">
        <f>IF(ISNA(MATCH(798,'Transfer Engine'!$C$2:$C$1369,0)),"",INDEX('Compliance Database'!$G$2:$G$1369,MATCH(798,'Transfer Engine'!$C$2:$C$1369,0)))</f>
        <v/>
      </c>
      <c r="H807" s="9">
        <f>IF(ISNA(MATCH(798,'Transfer Engine'!$C$2:$C$1369,0)),"",INDEX('Compliance Database'!$H$2:$H$1369,MATCH(798,'Transfer Engine'!$C$2:$C$1369,0)))</f>
        <v/>
      </c>
      <c r="I807" s="9">
        <f>IF(ISNA(MATCH(798,'Transfer Engine'!$C$2:$C$1369,0)),"",INDEX('Compliance Database'!$I$2:$I$1369,MATCH(798,'Transfer Engine'!$C$2:$C$1369,0)))</f>
        <v/>
      </c>
      <c r="J807" s="8">
        <f>IF(ISNA(MATCH(798,'Transfer Engine'!$C$2:$C$1369,0)),"",INDEX('Compliance Database'!$J$2:$J$1369,MATCH(798,'Transfer Engine'!$C$2:$C$1369,0)))</f>
        <v/>
      </c>
      <c r="K807" s="9">
        <f>IF(ISNA(MATCH(798,'Transfer Engine'!$C$2:$C$1369,0)),"",INDEX('Compliance Database'!$K$2:$K$1369,MATCH(798,'Transfer Engine'!$C$2:$C$1369,0)))</f>
        <v/>
      </c>
      <c r="L807" s="9">
        <f>IF(ISNA(MATCH(798,'Transfer Engine'!$C$2:$C$1369,0)),"",INDEX('Compliance Database'!$L$2:$L$1369,MATCH(798,'Transfer Engine'!$C$2:$C$1369,0)))</f>
        <v/>
      </c>
      <c r="M807" s="9">
        <f>IF(ISNA(MATCH(798,'Transfer Engine'!$C$2:$C$1369,0)),"",INDEX('Compliance Database'!$M$2:$M$1369,MATCH(798,'Transfer Engine'!$C$2:$C$1369,0)))</f>
        <v/>
      </c>
      <c r="N807" s="9">
        <f>IF(ISNA(MATCH(798,'Transfer Engine'!$C$2:$C$1369,0)),"",INDEX('Compliance Database'!$N$2:$N$1369,MATCH(798,'Transfer Engine'!$C$2:$C$1369,0)))</f>
        <v/>
      </c>
      <c r="O807" s="8">
        <f>IF(ISNA(MATCH(798,'Transfer Engine'!$C$2:$C$1369,0)),"",HYPERLINK(INDEX('Compliance Database'!$O$2:$O$1369,MATCH(798,'Transfer Engine'!$C$2:$C$1369,0)),"Open PDF"))</f>
        <v/>
      </c>
    </row>
    <row r="808" ht="188" customHeight="1">
      <c r="A808" s="8">
        <f>IF(ISNA(MATCH(799,'Transfer Engine'!$C$2:$C$1369,0)),"",INDEX('Compliance Database'!$A$2:$A$1369,MATCH(799,'Transfer Engine'!$C$2:$C$1369,0)))</f>
        <v/>
      </c>
      <c r="B808" s="8">
        <f>IF(ISNA(MATCH(799,'Transfer Engine'!$C$2:$C$1369,0)),"",INDEX('Compliance Database'!$B$2:$B$1369,MATCH(799,'Transfer Engine'!$C$2:$C$1369,0)))</f>
        <v/>
      </c>
      <c r="C808" s="8">
        <f>IF(ISNA(MATCH(799,'Transfer Engine'!$C$2:$C$1369,0)),"",INDEX('Compliance Database'!$C$2:$C$1369,MATCH(799,'Transfer Engine'!$C$2:$C$1369,0)))</f>
        <v/>
      </c>
      <c r="D808" s="9">
        <f>IF(ISNA(MATCH(799,'Transfer Engine'!$C$2:$C$1369,0)),"",INDEX('Compliance Database'!$D$2:$D$1369,MATCH(799,'Transfer Engine'!$C$2:$C$1369,0)))</f>
        <v/>
      </c>
      <c r="E808" s="8">
        <f>IF(ISNA(MATCH(799,'Transfer Engine'!$C$2:$C$1369,0)),"",INDEX('Compliance Database'!$E$2:$E$1369,MATCH(799,'Transfer Engine'!$C$2:$C$1369,0)))</f>
        <v/>
      </c>
      <c r="F808" s="8">
        <f>IF(ISNA(MATCH(799,'Transfer Engine'!$C$2:$C$1369,0)),"",INDEX('Compliance Database'!$F$2:$F$1369,MATCH(799,'Transfer Engine'!$C$2:$C$1369,0)))</f>
        <v/>
      </c>
      <c r="G808" s="8">
        <f>IF(ISNA(MATCH(799,'Transfer Engine'!$C$2:$C$1369,0)),"",INDEX('Compliance Database'!$G$2:$G$1369,MATCH(799,'Transfer Engine'!$C$2:$C$1369,0)))</f>
        <v/>
      </c>
      <c r="H808" s="9">
        <f>IF(ISNA(MATCH(799,'Transfer Engine'!$C$2:$C$1369,0)),"",INDEX('Compliance Database'!$H$2:$H$1369,MATCH(799,'Transfer Engine'!$C$2:$C$1369,0)))</f>
        <v/>
      </c>
      <c r="I808" s="9">
        <f>IF(ISNA(MATCH(799,'Transfer Engine'!$C$2:$C$1369,0)),"",INDEX('Compliance Database'!$I$2:$I$1369,MATCH(799,'Transfer Engine'!$C$2:$C$1369,0)))</f>
        <v/>
      </c>
      <c r="J808" s="8">
        <f>IF(ISNA(MATCH(799,'Transfer Engine'!$C$2:$C$1369,0)),"",INDEX('Compliance Database'!$J$2:$J$1369,MATCH(799,'Transfer Engine'!$C$2:$C$1369,0)))</f>
        <v/>
      </c>
      <c r="K808" s="9">
        <f>IF(ISNA(MATCH(799,'Transfer Engine'!$C$2:$C$1369,0)),"",INDEX('Compliance Database'!$K$2:$K$1369,MATCH(799,'Transfer Engine'!$C$2:$C$1369,0)))</f>
        <v/>
      </c>
      <c r="L808" s="9">
        <f>IF(ISNA(MATCH(799,'Transfer Engine'!$C$2:$C$1369,0)),"",INDEX('Compliance Database'!$L$2:$L$1369,MATCH(799,'Transfer Engine'!$C$2:$C$1369,0)))</f>
        <v/>
      </c>
      <c r="M808" s="9">
        <f>IF(ISNA(MATCH(799,'Transfer Engine'!$C$2:$C$1369,0)),"",INDEX('Compliance Database'!$M$2:$M$1369,MATCH(799,'Transfer Engine'!$C$2:$C$1369,0)))</f>
        <v/>
      </c>
      <c r="N808" s="9">
        <f>IF(ISNA(MATCH(799,'Transfer Engine'!$C$2:$C$1369,0)),"",INDEX('Compliance Database'!$N$2:$N$1369,MATCH(799,'Transfer Engine'!$C$2:$C$1369,0)))</f>
        <v/>
      </c>
      <c r="O808" s="8">
        <f>IF(ISNA(MATCH(799,'Transfer Engine'!$C$2:$C$1369,0)),"",HYPERLINK(INDEX('Compliance Database'!$O$2:$O$1369,MATCH(799,'Transfer Engine'!$C$2:$C$1369,0)),"Open PDF"))</f>
        <v/>
      </c>
    </row>
    <row r="809" ht="188" customHeight="1">
      <c r="A809" s="8">
        <f>IF(ISNA(MATCH(800,'Transfer Engine'!$C$2:$C$1369,0)),"",INDEX('Compliance Database'!$A$2:$A$1369,MATCH(800,'Transfer Engine'!$C$2:$C$1369,0)))</f>
        <v/>
      </c>
      <c r="B809" s="8">
        <f>IF(ISNA(MATCH(800,'Transfer Engine'!$C$2:$C$1369,0)),"",INDEX('Compliance Database'!$B$2:$B$1369,MATCH(800,'Transfer Engine'!$C$2:$C$1369,0)))</f>
        <v/>
      </c>
      <c r="C809" s="8">
        <f>IF(ISNA(MATCH(800,'Transfer Engine'!$C$2:$C$1369,0)),"",INDEX('Compliance Database'!$C$2:$C$1369,MATCH(800,'Transfer Engine'!$C$2:$C$1369,0)))</f>
        <v/>
      </c>
      <c r="D809" s="9">
        <f>IF(ISNA(MATCH(800,'Transfer Engine'!$C$2:$C$1369,0)),"",INDEX('Compliance Database'!$D$2:$D$1369,MATCH(800,'Transfer Engine'!$C$2:$C$1369,0)))</f>
        <v/>
      </c>
      <c r="E809" s="8">
        <f>IF(ISNA(MATCH(800,'Transfer Engine'!$C$2:$C$1369,0)),"",INDEX('Compliance Database'!$E$2:$E$1369,MATCH(800,'Transfer Engine'!$C$2:$C$1369,0)))</f>
        <v/>
      </c>
      <c r="F809" s="8">
        <f>IF(ISNA(MATCH(800,'Transfer Engine'!$C$2:$C$1369,0)),"",INDEX('Compliance Database'!$F$2:$F$1369,MATCH(800,'Transfer Engine'!$C$2:$C$1369,0)))</f>
        <v/>
      </c>
      <c r="G809" s="8">
        <f>IF(ISNA(MATCH(800,'Transfer Engine'!$C$2:$C$1369,0)),"",INDEX('Compliance Database'!$G$2:$G$1369,MATCH(800,'Transfer Engine'!$C$2:$C$1369,0)))</f>
        <v/>
      </c>
      <c r="H809" s="9">
        <f>IF(ISNA(MATCH(800,'Transfer Engine'!$C$2:$C$1369,0)),"",INDEX('Compliance Database'!$H$2:$H$1369,MATCH(800,'Transfer Engine'!$C$2:$C$1369,0)))</f>
        <v/>
      </c>
      <c r="I809" s="9">
        <f>IF(ISNA(MATCH(800,'Transfer Engine'!$C$2:$C$1369,0)),"",INDEX('Compliance Database'!$I$2:$I$1369,MATCH(800,'Transfer Engine'!$C$2:$C$1369,0)))</f>
        <v/>
      </c>
      <c r="J809" s="8">
        <f>IF(ISNA(MATCH(800,'Transfer Engine'!$C$2:$C$1369,0)),"",INDEX('Compliance Database'!$J$2:$J$1369,MATCH(800,'Transfer Engine'!$C$2:$C$1369,0)))</f>
        <v/>
      </c>
      <c r="K809" s="9">
        <f>IF(ISNA(MATCH(800,'Transfer Engine'!$C$2:$C$1369,0)),"",INDEX('Compliance Database'!$K$2:$K$1369,MATCH(800,'Transfer Engine'!$C$2:$C$1369,0)))</f>
        <v/>
      </c>
      <c r="L809" s="9">
        <f>IF(ISNA(MATCH(800,'Transfer Engine'!$C$2:$C$1369,0)),"",INDEX('Compliance Database'!$L$2:$L$1369,MATCH(800,'Transfer Engine'!$C$2:$C$1369,0)))</f>
        <v/>
      </c>
      <c r="M809" s="9">
        <f>IF(ISNA(MATCH(800,'Transfer Engine'!$C$2:$C$1369,0)),"",INDEX('Compliance Database'!$M$2:$M$1369,MATCH(800,'Transfer Engine'!$C$2:$C$1369,0)))</f>
        <v/>
      </c>
      <c r="N809" s="9">
        <f>IF(ISNA(MATCH(800,'Transfer Engine'!$C$2:$C$1369,0)),"",INDEX('Compliance Database'!$N$2:$N$1369,MATCH(800,'Transfer Engine'!$C$2:$C$1369,0)))</f>
        <v/>
      </c>
      <c r="O809" s="8">
        <f>IF(ISNA(MATCH(800,'Transfer Engine'!$C$2:$C$1369,0)),"",HYPERLINK(INDEX('Compliance Database'!$O$2:$O$1369,MATCH(800,'Transfer Engine'!$C$2:$C$1369,0)),"Open PDF"))</f>
        <v/>
      </c>
    </row>
    <row r="810" ht="188" customHeight="1">
      <c r="A810" s="8">
        <f>IF(ISNA(MATCH(801,'Transfer Engine'!$C$2:$C$1369,0)),"",INDEX('Compliance Database'!$A$2:$A$1369,MATCH(801,'Transfer Engine'!$C$2:$C$1369,0)))</f>
        <v/>
      </c>
      <c r="B810" s="8">
        <f>IF(ISNA(MATCH(801,'Transfer Engine'!$C$2:$C$1369,0)),"",INDEX('Compliance Database'!$B$2:$B$1369,MATCH(801,'Transfer Engine'!$C$2:$C$1369,0)))</f>
        <v/>
      </c>
      <c r="C810" s="8">
        <f>IF(ISNA(MATCH(801,'Transfer Engine'!$C$2:$C$1369,0)),"",INDEX('Compliance Database'!$C$2:$C$1369,MATCH(801,'Transfer Engine'!$C$2:$C$1369,0)))</f>
        <v/>
      </c>
      <c r="D810" s="9">
        <f>IF(ISNA(MATCH(801,'Transfer Engine'!$C$2:$C$1369,0)),"",INDEX('Compliance Database'!$D$2:$D$1369,MATCH(801,'Transfer Engine'!$C$2:$C$1369,0)))</f>
        <v/>
      </c>
      <c r="E810" s="8">
        <f>IF(ISNA(MATCH(801,'Transfer Engine'!$C$2:$C$1369,0)),"",INDEX('Compliance Database'!$E$2:$E$1369,MATCH(801,'Transfer Engine'!$C$2:$C$1369,0)))</f>
        <v/>
      </c>
      <c r="F810" s="8">
        <f>IF(ISNA(MATCH(801,'Transfer Engine'!$C$2:$C$1369,0)),"",INDEX('Compliance Database'!$F$2:$F$1369,MATCH(801,'Transfer Engine'!$C$2:$C$1369,0)))</f>
        <v/>
      </c>
      <c r="G810" s="8">
        <f>IF(ISNA(MATCH(801,'Transfer Engine'!$C$2:$C$1369,0)),"",INDEX('Compliance Database'!$G$2:$G$1369,MATCH(801,'Transfer Engine'!$C$2:$C$1369,0)))</f>
        <v/>
      </c>
      <c r="H810" s="9">
        <f>IF(ISNA(MATCH(801,'Transfer Engine'!$C$2:$C$1369,0)),"",INDEX('Compliance Database'!$H$2:$H$1369,MATCH(801,'Transfer Engine'!$C$2:$C$1369,0)))</f>
        <v/>
      </c>
      <c r="I810" s="9">
        <f>IF(ISNA(MATCH(801,'Transfer Engine'!$C$2:$C$1369,0)),"",INDEX('Compliance Database'!$I$2:$I$1369,MATCH(801,'Transfer Engine'!$C$2:$C$1369,0)))</f>
        <v/>
      </c>
      <c r="J810" s="8">
        <f>IF(ISNA(MATCH(801,'Transfer Engine'!$C$2:$C$1369,0)),"",INDEX('Compliance Database'!$J$2:$J$1369,MATCH(801,'Transfer Engine'!$C$2:$C$1369,0)))</f>
        <v/>
      </c>
      <c r="K810" s="9">
        <f>IF(ISNA(MATCH(801,'Transfer Engine'!$C$2:$C$1369,0)),"",INDEX('Compliance Database'!$K$2:$K$1369,MATCH(801,'Transfer Engine'!$C$2:$C$1369,0)))</f>
        <v/>
      </c>
      <c r="L810" s="9">
        <f>IF(ISNA(MATCH(801,'Transfer Engine'!$C$2:$C$1369,0)),"",INDEX('Compliance Database'!$L$2:$L$1369,MATCH(801,'Transfer Engine'!$C$2:$C$1369,0)))</f>
        <v/>
      </c>
      <c r="M810" s="9">
        <f>IF(ISNA(MATCH(801,'Transfer Engine'!$C$2:$C$1369,0)),"",INDEX('Compliance Database'!$M$2:$M$1369,MATCH(801,'Transfer Engine'!$C$2:$C$1369,0)))</f>
        <v/>
      </c>
      <c r="N810" s="9">
        <f>IF(ISNA(MATCH(801,'Transfer Engine'!$C$2:$C$1369,0)),"",INDEX('Compliance Database'!$N$2:$N$1369,MATCH(801,'Transfer Engine'!$C$2:$C$1369,0)))</f>
        <v/>
      </c>
      <c r="O810" s="8">
        <f>IF(ISNA(MATCH(801,'Transfer Engine'!$C$2:$C$1369,0)),"",HYPERLINK(INDEX('Compliance Database'!$O$2:$O$1369,MATCH(801,'Transfer Engine'!$C$2:$C$1369,0)),"Open PDF"))</f>
        <v/>
      </c>
    </row>
    <row r="811" ht="188" customHeight="1">
      <c r="A811" s="8">
        <f>IF(ISNA(MATCH(802,'Transfer Engine'!$C$2:$C$1369,0)),"",INDEX('Compliance Database'!$A$2:$A$1369,MATCH(802,'Transfer Engine'!$C$2:$C$1369,0)))</f>
        <v/>
      </c>
      <c r="B811" s="8">
        <f>IF(ISNA(MATCH(802,'Transfer Engine'!$C$2:$C$1369,0)),"",INDEX('Compliance Database'!$B$2:$B$1369,MATCH(802,'Transfer Engine'!$C$2:$C$1369,0)))</f>
        <v/>
      </c>
      <c r="C811" s="8">
        <f>IF(ISNA(MATCH(802,'Transfer Engine'!$C$2:$C$1369,0)),"",INDEX('Compliance Database'!$C$2:$C$1369,MATCH(802,'Transfer Engine'!$C$2:$C$1369,0)))</f>
        <v/>
      </c>
      <c r="D811" s="9">
        <f>IF(ISNA(MATCH(802,'Transfer Engine'!$C$2:$C$1369,0)),"",INDEX('Compliance Database'!$D$2:$D$1369,MATCH(802,'Transfer Engine'!$C$2:$C$1369,0)))</f>
        <v/>
      </c>
      <c r="E811" s="8">
        <f>IF(ISNA(MATCH(802,'Transfer Engine'!$C$2:$C$1369,0)),"",INDEX('Compliance Database'!$E$2:$E$1369,MATCH(802,'Transfer Engine'!$C$2:$C$1369,0)))</f>
        <v/>
      </c>
      <c r="F811" s="8">
        <f>IF(ISNA(MATCH(802,'Transfer Engine'!$C$2:$C$1369,0)),"",INDEX('Compliance Database'!$F$2:$F$1369,MATCH(802,'Transfer Engine'!$C$2:$C$1369,0)))</f>
        <v/>
      </c>
      <c r="G811" s="8">
        <f>IF(ISNA(MATCH(802,'Transfer Engine'!$C$2:$C$1369,0)),"",INDEX('Compliance Database'!$G$2:$G$1369,MATCH(802,'Transfer Engine'!$C$2:$C$1369,0)))</f>
        <v/>
      </c>
      <c r="H811" s="9">
        <f>IF(ISNA(MATCH(802,'Transfer Engine'!$C$2:$C$1369,0)),"",INDEX('Compliance Database'!$H$2:$H$1369,MATCH(802,'Transfer Engine'!$C$2:$C$1369,0)))</f>
        <v/>
      </c>
      <c r="I811" s="9">
        <f>IF(ISNA(MATCH(802,'Transfer Engine'!$C$2:$C$1369,0)),"",INDEX('Compliance Database'!$I$2:$I$1369,MATCH(802,'Transfer Engine'!$C$2:$C$1369,0)))</f>
        <v/>
      </c>
      <c r="J811" s="8">
        <f>IF(ISNA(MATCH(802,'Transfer Engine'!$C$2:$C$1369,0)),"",INDEX('Compliance Database'!$J$2:$J$1369,MATCH(802,'Transfer Engine'!$C$2:$C$1369,0)))</f>
        <v/>
      </c>
      <c r="K811" s="9">
        <f>IF(ISNA(MATCH(802,'Transfer Engine'!$C$2:$C$1369,0)),"",INDEX('Compliance Database'!$K$2:$K$1369,MATCH(802,'Transfer Engine'!$C$2:$C$1369,0)))</f>
        <v/>
      </c>
      <c r="L811" s="9">
        <f>IF(ISNA(MATCH(802,'Transfer Engine'!$C$2:$C$1369,0)),"",INDEX('Compliance Database'!$L$2:$L$1369,MATCH(802,'Transfer Engine'!$C$2:$C$1369,0)))</f>
        <v/>
      </c>
      <c r="M811" s="9">
        <f>IF(ISNA(MATCH(802,'Transfer Engine'!$C$2:$C$1369,0)),"",INDEX('Compliance Database'!$M$2:$M$1369,MATCH(802,'Transfer Engine'!$C$2:$C$1369,0)))</f>
        <v/>
      </c>
      <c r="N811" s="9">
        <f>IF(ISNA(MATCH(802,'Transfer Engine'!$C$2:$C$1369,0)),"",INDEX('Compliance Database'!$N$2:$N$1369,MATCH(802,'Transfer Engine'!$C$2:$C$1369,0)))</f>
        <v/>
      </c>
      <c r="O811" s="8">
        <f>IF(ISNA(MATCH(802,'Transfer Engine'!$C$2:$C$1369,0)),"",HYPERLINK(INDEX('Compliance Database'!$O$2:$O$1369,MATCH(802,'Transfer Engine'!$C$2:$C$1369,0)),"Open PDF"))</f>
        <v/>
      </c>
    </row>
    <row r="812" ht="188" customHeight="1">
      <c r="A812" s="8">
        <f>IF(ISNA(MATCH(803,'Transfer Engine'!$C$2:$C$1369,0)),"",INDEX('Compliance Database'!$A$2:$A$1369,MATCH(803,'Transfer Engine'!$C$2:$C$1369,0)))</f>
        <v/>
      </c>
      <c r="B812" s="8">
        <f>IF(ISNA(MATCH(803,'Transfer Engine'!$C$2:$C$1369,0)),"",INDEX('Compliance Database'!$B$2:$B$1369,MATCH(803,'Transfer Engine'!$C$2:$C$1369,0)))</f>
        <v/>
      </c>
      <c r="C812" s="8">
        <f>IF(ISNA(MATCH(803,'Transfer Engine'!$C$2:$C$1369,0)),"",INDEX('Compliance Database'!$C$2:$C$1369,MATCH(803,'Transfer Engine'!$C$2:$C$1369,0)))</f>
        <v/>
      </c>
      <c r="D812" s="9">
        <f>IF(ISNA(MATCH(803,'Transfer Engine'!$C$2:$C$1369,0)),"",INDEX('Compliance Database'!$D$2:$D$1369,MATCH(803,'Transfer Engine'!$C$2:$C$1369,0)))</f>
        <v/>
      </c>
      <c r="E812" s="8">
        <f>IF(ISNA(MATCH(803,'Transfer Engine'!$C$2:$C$1369,0)),"",INDEX('Compliance Database'!$E$2:$E$1369,MATCH(803,'Transfer Engine'!$C$2:$C$1369,0)))</f>
        <v/>
      </c>
      <c r="F812" s="8">
        <f>IF(ISNA(MATCH(803,'Transfer Engine'!$C$2:$C$1369,0)),"",INDEX('Compliance Database'!$F$2:$F$1369,MATCH(803,'Transfer Engine'!$C$2:$C$1369,0)))</f>
        <v/>
      </c>
      <c r="G812" s="8">
        <f>IF(ISNA(MATCH(803,'Transfer Engine'!$C$2:$C$1369,0)),"",INDEX('Compliance Database'!$G$2:$G$1369,MATCH(803,'Transfer Engine'!$C$2:$C$1369,0)))</f>
        <v/>
      </c>
      <c r="H812" s="9">
        <f>IF(ISNA(MATCH(803,'Transfer Engine'!$C$2:$C$1369,0)),"",INDEX('Compliance Database'!$H$2:$H$1369,MATCH(803,'Transfer Engine'!$C$2:$C$1369,0)))</f>
        <v/>
      </c>
      <c r="I812" s="9">
        <f>IF(ISNA(MATCH(803,'Transfer Engine'!$C$2:$C$1369,0)),"",INDEX('Compliance Database'!$I$2:$I$1369,MATCH(803,'Transfer Engine'!$C$2:$C$1369,0)))</f>
        <v/>
      </c>
      <c r="J812" s="8">
        <f>IF(ISNA(MATCH(803,'Transfer Engine'!$C$2:$C$1369,0)),"",INDEX('Compliance Database'!$J$2:$J$1369,MATCH(803,'Transfer Engine'!$C$2:$C$1369,0)))</f>
        <v/>
      </c>
      <c r="K812" s="9">
        <f>IF(ISNA(MATCH(803,'Transfer Engine'!$C$2:$C$1369,0)),"",INDEX('Compliance Database'!$K$2:$K$1369,MATCH(803,'Transfer Engine'!$C$2:$C$1369,0)))</f>
        <v/>
      </c>
      <c r="L812" s="9">
        <f>IF(ISNA(MATCH(803,'Transfer Engine'!$C$2:$C$1369,0)),"",INDEX('Compliance Database'!$L$2:$L$1369,MATCH(803,'Transfer Engine'!$C$2:$C$1369,0)))</f>
        <v/>
      </c>
      <c r="M812" s="9">
        <f>IF(ISNA(MATCH(803,'Transfer Engine'!$C$2:$C$1369,0)),"",INDEX('Compliance Database'!$M$2:$M$1369,MATCH(803,'Transfer Engine'!$C$2:$C$1369,0)))</f>
        <v/>
      </c>
      <c r="N812" s="9">
        <f>IF(ISNA(MATCH(803,'Transfer Engine'!$C$2:$C$1369,0)),"",INDEX('Compliance Database'!$N$2:$N$1369,MATCH(803,'Transfer Engine'!$C$2:$C$1369,0)))</f>
        <v/>
      </c>
      <c r="O812" s="8">
        <f>IF(ISNA(MATCH(803,'Transfer Engine'!$C$2:$C$1369,0)),"",HYPERLINK(INDEX('Compliance Database'!$O$2:$O$1369,MATCH(803,'Transfer Engine'!$C$2:$C$1369,0)),"Open PDF"))</f>
        <v/>
      </c>
    </row>
    <row r="813" ht="188" customHeight="1">
      <c r="A813" s="8">
        <f>IF(ISNA(MATCH(804,'Transfer Engine'!$C$2:$C$1369,0)),"",INDEX('Compliance Database'!$A$2:$A$1369,MATCH(804,'Transfer Engine'!$C$2:$C$1369,0)))</f>
        <v/>
      </c>
      <c r="B813" s="8">
        <f>IF(ISNA(MATCH(804,'Transfer Engine'!$C$2:$C$1369,0)),"",INDEX('Compliance Database'!$B$2:$B$1369,MATCH(804,'Transfer Engine'!$C$2:$C$1369,0)))</f>
        <v/>
      </c>
      <c r="C813" s="8">
        <f>IF(ISNA(MATCH(804,'Transfer Engine'!$C$2:$C$1369,0)),"",INDEX('Compliance Database'!$C$2:$C$1369,MATCH(804,'Transfer Engine'!$C$2:$C$1369,0)))</f>
        <v/>
      </c>
      <c r="D813" s="9">
        <f>IF(ISNA(MATCH(804,'Transfer Engine'!$C$2:$C$1369,0)),"",INDEX('Compliance Database'!$D$2:$D$1369,MATCH(804,'Transfer Engine'!$C$2:$C$1369,0)))</f>
        <v/>
      </c>
      <c r="E813" s="8">
        <f>IF(ISNA(MATCH(804,'Transfer Engine'!$C$2:$C$1369,0)),"",INDEX('Compliance Database'!$E$2:$E$1369,MATCH(804,'Transfer Engine'!$C$2:$C$1369,0)))</f>
        <v/>
      </c>
      <c r="F813" s="8">
        <f>IF(ISNA(MATCH(804,'Transfer Engine'!$C$2:$C$1369,0)),"",INDEX('Compliance Database'!$F$2:$F$1369,MATCH(804,'Transfer Engine'!$C$2:$C$1369,0)))</f>
        <v/>
      </c>
      <c r="G813" s="8">
        <f>IF(ISNA(MATCH(804,'Transfer Engine'!$C$2:$C$1369,0)),"",INDEX('Compliance Database'!$G$2:$G$1369,MATCH(804,'Transfer Engine'!$C$2:$C$1369,0)))</f>
        <v/>
      </c>
      <c r="H813" s="9">
        <f>IF(ISNA(MATCH(804,'Transfer Engine'!$C$2:$C$1369,0)),"",INDEX('Compliance Database'!$H$2:$H$1369,MATCH(804,'Transfer Engine'!$C$2:$C$1369,0)))</f>
        <v/>
      </c>
      <c r="I813" s="9">
        <f>IF(ISNA(MATCH(804,'Transfer Engine'!$C$2:$C$1369,0)),"",INDEX('Compliance Database'!$I$2:$I$1369,MATCH(804,'Transfer Engine'!$C$2:$C$1369,0)))</f>
        <v/>
      </c>
      <c r="J813" s="8">
        <f>IF(ISNA(MATCH(804,'Transfer Engine'!$C$2:$C$1369,0)),"",INDEX('Compliance Database'!$J$2:$J$1369,MATCH(804,'Transfer Engine'!$C$2:$C$1369,0)))</f>
        <v/>
      </c>
      <c r="K813" s="9">
        <f>IF(ISNA(MATCH(804,'Transfer Engine'!$C$2:$C$1369,0)),"",INDEX('Compliance Database'!$K$2:$K$1369,MATCH(804,'Transfer Engine'!$C$2:$C$1369,0)))</f>
        <v/>
      </c>
      <c r="L813" s="9">
        <f>IF(ISNA(MATCH(804,'Transfer Engine'!$C$2:$C$1369,0)),"",INDEX('Compliance Database'!$L$2:$L$1369,MATCH(804,'Transfer Engine'!$C$2:$C$1369,0)))</f>
        <v/>
      </c>
      <c r="M813" s="9">
        <f>IF(ISNA(MATCH(804,'Transfer Engine'!$C$2:$C$1369,0)),"",INDEX('Compliance Database'!$M$2:$M$1369,MATCH(804,'Transfer Engine'!$C$2:$C$1369,0)))</f>
        <v/>
      </c>
      <c r="N813" s="9">
        <f>IF(ISNA(MATCH(804,'Transfer Engine'!$C$2:$C$1369,0)),"",INDEX('Compliance Database'!$N$2:$N$1369,MATCH(804,'Transfer Engine'!$C$2:$C$1369,0)))</f>
        <v/>
      </c>
      <c r="O813" s="8">
        <f>IF(ISNA(MATCH(804,'Transfer Engine'!$C$2:$C$1369,0)),"",HYPERLINK(INDEX('Compliance Database'!$O$2:$O$1369,MATCH(804,'Transfer Engine'!$C$2:$C$1369,0)),"Open PDF"))</f>
        <v/>
      </c>
    </row>
    <row r="814" ht="188" customHeight="1">
      <c r="A814" s="8">
        <f>IF(ISNA(MATCH(805,'Transfer Engine'!$C$2:$C$1369,0)),"",INDEX('Compliance Database'!$A$2:$A$1369,MATCH(805,'Transfer Engine'!$C$2:$C$1369,0)))</f>
        <v/>
      </c>
      <c r="B814" s="8">
        <f>IF(ISNA(MATCH(805,'Transfer Engine'!$C$2:$C$1369,0)),"",INDEX('Compliance Database'!$B$2:$B$1369,MATCH(805,'Transfer Engine'!$C$2:$C$1369,0)))</f>
        <v/>
      </c>
      <c r="C814" s="8">
        <f>IF(ISNA(MATCH(805,'Transfer Engine'!$C$2:$C$1369,0)),"",INDEX('Compliance Database'!$C$2:$C$1369,MATCH(805,'Transfer Engine'!$C$2:$C$1369,0)))</f>
        <v/>
      </c>
      <c r="D814" s="9">
        <f>IF(ISNA(MATCH(805,'Transfer Engine'!$C$2:$C$1369,0)),"",INDEX('Compliance Database'!$D$2:$D$1369,MATCH(805,'Transfer Engine'!$C$2:$C$1369,0)))</f>
        <v/>
      </c>
      <c r="E814" s="8">
        <f>IF(ISNA(MATCH(805,'Transfer Engine'!$C$2:$C$1369,0)),"",INDEX('Compliance Database'!$E$2:$E$1369,MATCH(805,'Transfer Engine'!$C$2:$C$1369,0)))</f>
        <v/>
      </c>
      <c r="F814" s="8">
        <f>IF(ISNA(MATCH(805,'Transfer Engine'!$C$2:$C$1369,0)),"",INDEX('Compliance Database'!$F$2:$F$1369,MATCH(805,'Transfer Engine'!$C$2:$C$1369,0)))</f>
        <v/>
      </c>
      <c r="G814" s="8">
        <f>IF(ISNA(MATCH(805,'Transfer Engine'!$C$2:$C$1369,0)),"",INDEX('Compliance Database'!$G$2:$G$1369,MATCH(805,'Transfer Engine'!$C$2:$C$1369,0)))</f>
        <v/>
      </c>
      <c r="H814" s="9">
        <f>IF(ISNA(MATCH(805,'Transfer Engine'!$C$2:$C$1369,0)),"",INDEX('Compliance Database'!$H$2:$H$1369,MATCH(805,'Transfer Engine'!$C$2:$C$1369,0)))</f>
        <v/>
      </c>
      <c r="I814" s="9">
        <f>IF(ISNA(MATCH(805,'Transfer Engine'!$C$2:$C$1369,0)),"",INDEX('Compliance Database'!$I$2:$I$1369,MATCH(805,'Transfer Engine'!$C$2:$C$1369,0)))</f>
        <v/>
      </c>
      <c r="J814" s="8">
        <f>IF(ISNA(MATCH(805,'Transfer Engine'!$C$2:$C$1369,0)),"",INDEX('Compliance Database'!$J$2:$J$1369,MATCH(805,'Transfer Engine'!$C$2:$C$1369,0)))</f>
        <v/>
      </c>
      <c r="K814" s="9">
        <f>IF(ISNA(MATCH(805,'Transfer Engine'!$C$2:$C$1369,0)),"",INDEX('Compliance Database'!$K$2:$K$1369,MATCH(805,'Transfer Engine'!$C$2:$C$1369,0)))</f>
        <v/>
      </c>
      <c r="L814" s="9">
        <f>IF(ISNA(MATCH(805,'Transfer Engine'!$C$2:$C$1369,0)),"",INDEX('Compliance Database'!$L$2:$L$1369,MATCH(805,'Transfer Engine'!$C$2:$C$1369,0)))</f>
        <v/>
      </c>
      <c r="M814" s="9">
        <f>IF(ISNA(MATCH(805,'Transfer Engine'!$C$2:$C$1369,0)),"",INDEX('Compliance Database'!$M$2:$M$1369,MATCH(805,'Transfer Engine'!$C$2:$C$1369,0)))</f>
        <v/>
      </c>
      <c r="N814" s="9">
        <f>IF(ISNA(MATCH(805,'Transfer Engine'!$C$2:$C$1369,0)),"",INDEX('Compliance Database'!$N$2:$N$1369,MATCH(805,'Transfer Engine'!$C$2:$C$1369,0)))</f>
        <v/>
      </c>
      <c r="O814" s="8">
        <f>IF(ISNA(MATCH(805,'Transfer Engine'!$C$2:$C$1369,0)),"",HYPERLINK(INDEX('Compliance Database'!$O$2:$O$1369,MATCH(805,'Transfer Engine'!$C$2:$C$1369,0)),"Open PDF"))</f>
        <v/>
      </c>
    </row>
    <row r="815" ht="188" customHeight="1">
      <c r="A815" s="8">
        <f>IF(ISNA(MATCH(806,'Transfer Engine'!$C$2:$C$1369,0)),"",INDEX('Compliance Database'!$A$2:$A$1369,MATCH(806,'Transfer Engine'!$C$2:$C$1369,0)))</f>
        <v/>
      </c>
      <c r="B815" s="8">
        <f>IF(ISNA(MATCH(806,'Transfer Engine'!$C$2:$C$1369,0)),"",INDEX('Compliance Database'!$B$2:$B$1369,MATCH(806,'Transfer Engine'!$C$2:$C$1369,0)))</f>
        <v/>
      </c>
      <c r="C815" s="8">
        <f>IF(ISNA(MATCH(806,'Transfer Engine'!$C$2:$C$1369,0)),"",INDEX('Compliance Database'!$C$2:$C$1369,MATCH(806,'Transfer Engine'!$C$2:$C$1369,0)))</f>
        <v/>
      </c>
      <c r="D815" s="9">
        <f>IF(ISNA(MATCH(806,'Transfer Engine'!$C$2:$C$1369,0)),"",INDEX('Compliance Database'!$D$2:$D$1369,MATCH(806,'Transfer Engine'!$C$2:$C$1369,0)))</f>
        <v/>
      </c>
      <c r="E815" s="8">
        <f>IF(ISNA(MATCH(806,'Transfer Engine'!$C$2:$C$1369,0)),"",INDEX('Compliance Database'!$E$2:$E$1369,MATCH(806,'Transfer Engine'!$C$2:$C$1369,0)))</f>
        <v/>
      </c>
      <c r="F815" s="8">
        <f>IF(ISNA(MATCH(806,'Transfer Engine'!$C$2:$C$1369,0)),"",INDEX('Compliance Database'!$F$2:$F$1369,MATCH(806,'Transfer Engine'!$C$2:$C$1369,0)))</f>
        <v/>
      </c>
      <c r="G815" s="8">
        <f>IF(ISNA(MATCH(806,'Transfer Engine'!$C$2:$C$1369,0)),"",INDEX('Compliance Database'!$G$2:$G$1369,MATCH(806,'Transfer Engine'!$C$2:$C$1369,0)))</f>
        <v/>
      </c>
      <c r="H815" s="9">
        <f>IF(ISNA(MATCH(806,'Transfer Engine'!$C$2:$C$1369,0)),"",INDEX('Compliance Database'!$H$2:$H$1369,MATCH(806,'Transfer Engine'!$C$2:$C$1369,0)))</f>
        <v/>
      </c>
      <c r="I815" s="9">
        <f>IF(ISNA(MATCH(806,'Transfer Engine'!$C$2:$C$1369,0)),"",INDEX('Compliance Database'!$I$2:$I$1369,MATCH(806,'Transfer Engine'!$C$2:$C$1369,0)))</f>
        <v/>
      </c>
      <c r="J815" s="8">
        <f>IF(ISNA(MATCH(806,'Transfer Engine'!$C$2:$C$1369,0)),"",INDEX('Compliance Database'!$J$2:$J$1369,MATCH(806,'Transfer Engine'!$C$2:$C$1369,0)))</f>
        <v/>
      </c>
      <c r="K815" s="9">
        <f>IF(ISNA(MATCH(806,'Transfer Engine'!$C$2:$C$1369,0)),"",INDEX('Compliance Database'!$K$2:$K$1369,MATCH(806,'Transfer Engine'!$C$2:$C$1369,0)))</f>
        <v/>
      </c>
      <c r="L815" s="9">
        <f>IF(ISNA(MATCH(806,'Transfer Engine'!$C$2:$C$1369,0)),"",INDEX('Compliance Database'!$L$2:$L$1369,MATCH(806,'Transfer Engine'!$C$2:$C$1369,0)))</f>
        <v/>
      </c>
      <c r="M815" s="9">
        <f>IF(ISNA(MATCH(806,'Transfer Engine'!$C$2:$C$1369,0)),"",INDEX('Compliance Database'!$M$2:$M$1369,MATCH(806,'Transfer Engine'!$C$2:$C$1369,0)))</f>
        <v/>
      </c>
      <c r="N815" s="9">
        <f>IF(ISNA(MATCH(806,'Transfer Engine'!$C$2:$C$1369,0)),"",INDEX('Compliance Database'!$N$2:$N$1369,MATCH(806,'Transfer Engine'!$C$2:$C$1369,0)))</f>
        <v/>
      </c>
      <c r="O815" s="8">
        <f>IF(ISNA(MATCH(806,'Transfer Engine'!$C$2:$C$1369,0)),"",HYPERLINK(INDEX('Compliance Database'!$O$2:$O$1369,MATCH(806,'Transfer Engine'!$C$2:$C$1369,0)),"Open PDF"))</f>
        <v/>
      </c>
    </row>
    <row r="816" ht="188" customHeight="1">
      <c r="A816" s="8">
        <f>IF(ISNA(MATCH(807,'Transfer Engine'!$C$2:$C$1369,0)),"",INDEX('Compliance Database'!$A$2:$A$1369,MATCH(807,'Transfer Engine'!$C$2:$C$1369,0)))</f>
        <v/>
      </c>
      <c r="B816" s="8">
        <f>IF(ISNA(MATCH(807,'Transfer Engine'!$C$2:$C$1369,0)),"",INDEX('Compliance Database'!$B$2:$B$1369,MATCH(807,'Transfer Engine'!$C$2:$C$1369,0)))</f>
        <v/>
      </c>
      <c r="C816" s="8">
        <f>IF(ISNA(MATCH(807,'Transfer Engine'!$C$2:$C$1369,0)),"",INDEX('Compliance Database'!$C$2:$C$1369,MATCH(807,'Transfer Engine'!$C$2:$C$1369,0)))</f>
        <v/>
      </c>
      <c r="D816" s="9">
        <f>IF(ISNA(MATCH(807,'Transfer Engine'!$C$2:$C$1369,0)),"",INDEX('Compliance Database'!$D$2:$D$1369,MATCH(807,'Transfer Engine'!$C$2:$C$1369,0)))</f>
        <v/>
      </c>
      <c r="E816" s="8">
        <f>IF(ISNA(MATCH(807,'Transfer Engine'!$C$2:$C$1369,0)),"",INDEX('Compliance Database'!$E$2:$E$1369,MATCH(807,'Transfer Engine'!$C$2:$C$1369,0)))</f>
        <v/>
      </c>
      <c r="F816" s="8">
        <f>IF(ISNA(MATCH(807,'Transfer Engine'!$C$2:$C$1369,0)),"",INDEX('Compliance Database'!$F$2:$F$1369,MATCH(807,'Transfer Engine'!$C$2:$C$1369,0)))</f>
        <v/>
      </c>
      <c r="G816" s="8">
        <f>IF(ISNA(MATCH(807,'Transfer Engine'!$C$2:$C$1369,0)),"",INDEX('Compliance Database'!$G$2:$G$1369,MATCH(807,'Transfer Engine'!$C$2:$C$1369,0)))</f>
        <v/>
      </c>
      <c r="H816" s="9">
        <f>IF(ISNA(MATCH(807,'Transfer Engine'!$C$2:$C$1369,0)),"",INDEX('Compliance Database'!$H$2:$H$1369,MATCH(807,'Transfer Engine'!$C$2:$C$1369,0)))</f>
        <v/>
      </c>
      <c r="I816" s="9">
        <f>IF(ISNA(MATCH(807,'Transfer Engine'!$C$2:$C$1369,0)),"",INDEX('Compliance Database'!$I$2:$I$1369,MATCH(807,'Transfer Engine'!$C$2:$C$1369,0)))</f>
        <v/>
      </c>
      <c r="J816" s="8">
        <f>IF(ISNA(MATCH(807,'Transfer Engine'!$C$2:$C$1369,0)),"",INDEX('Compliance Database'!$J$2:$J$1369,MATCH(807,'Transfer Engine'!$C$2:$C$1369,0)))</f>
        <v/>
      </c>
      <c r="K816" s="9">
        <f>IF(ISNA(MATCH(807,'Transfer Engine'!$C$2:$C$1369,0)),"",INDEX('Compliance Database'!$K$2:$K$1369,MATCH(807,'Transfer Engine'!$C$2:$C$1369,0)))</f>
        <v/>
      </c>
      <c r="L816" s="9">
        <f>IF(ISNA(MATCH(807,'Transfer Engine'!$C$2:$C$1369,0)),"",INDEX('Compliance Database'!$L$2:$L$1369,MATCH(807,'Transfer Engine'!$C$2:$C$1369,0)))</f>
        <v/>
      </c>
      <c r="M816" s="9">
        <f>IF(ISNA(MATCH(807,'Transfer Engine'!$C$2:$C$1369,0)),"",INDEX('Compliance Database'!$M$2:$M$1369,MATCH(807,'Transfer Engine'!$C$2:$C$1369,0)))</f>
        <v/>
      </c>
      <c r="N816" s="9">
        <f>IF(ISNA(MATCH(807,'Transfer Engine'!$C$2:$C$1369,0)),"",INDEX('Compliance Database'!$N$2:$N$1369,MATCH(807,'Transfer Engine'!$C$2:$C$1369,0)))</f>
        <v/>
      </c>
      <c r="O816" s="8">
        <f>IF(ISNA(MATCH(807,'Transfer Engine'!$C$2:$C$1369,0)),"",HYPERLINK(INDEX('Compliance Database'!$O$2:$O$1369,MATCH(807,'Transfer Engine'!$C$2:$C$1369,0)),"Open PDF"))</f>
        <v/>
      </c>
    </row>
    <row r="817" ht="188" customHeight="1">
      <c r="A817" s="8">
        <f>IF(ISNA(MATCH(808,'Transfer Engine'!$C$2:$C$1369,0)),"",INDEX('Compliance Database'!$A$2:$A$1369,MATCH(808,'Transfer Engine'!$C$2:$C$1369,0)))</f>
        <v/>
      </c>
      <c r="B817" s="8">
        <f>IF(ISNA(MATCH(808,'Transfer Engine'!$C$2:$C$1369,0)),"",INDEX('Compliance Database'!$B$2:$B$1369,MATCH(808,'Transfer Engine'!$C$2:$C$1369,0)))</f>
        <v/>
      </c>
      <c r="C817" s="8">
        <f>IF(ISNA(MATCH(808,'Transfer Engine'!$C$2:$C$1369,0)),"",INDEX('Compliance Database'!$C$2:$C$1369,MATCH(808,'Transfer Engine'!$C$2:$C$1369,0)))</f>
        <v/>
      </c>
      <c r="D817" s="9">
        <f>IF(ISNA(MATCH(808,'Transfer Engine'!$C$2:$C$1369,0)),"",INDEX('Compliance Database'!$D$2:$D$1369,MATCH(808,'Transfer Engine'!$C$2:$C$1369,0)))</f>
        <v/>
      </c>
      <c r="E817" s="8">
        <f>IF(ISNA(MATCH(808,'Transfer Engine'!$C$2:$C$1369,0)),"",INDEX('Compliance Database'!$E$2:$E$1369,MATCH(808,'Transfer Engine'!$C$2:$C$1369,0)))</f>
        <v/>
      </c>
      <c r="F817" s="8">
        <f>IF(ISNA(MATCH(808,'Transfer Engine'!$C$2:$C$1369,0)),"",INDEX('Compliance Database'!$F$2:$F$1369,MATCH(808,'Transfer Engine'!$C$2:$C$1369,0)))</f>
        <v/>
      </c>
      <c r="G817" s="8">
        <f>IF(ISNA(MATCH(808,'Transfer Engine'!$C$2:$C$1369,0)),"",INDEX('Compliance Database'!$G$2:$G$1369,MATCH(808,'Transfer Engine'!$C$2:$C$1369,0)))</f>
        <v/>
      </c>
      <c r="H817" s="9">
        <f>IF(ISNA(MATCH(808,'Transfer Engine'!$C$2:$C$1369,0)),"",INDEX('Compliance Database'!$H$2:$H$1369,MATCH(808,'Transfer Engine'!$C$2:$C$1369,0)))</f>
        <v/>
      </c>
      <c r="I817" s="9">
        <f>IF(ISNA(MATCH(808,'Transfer Engine'!$C$2:$C$1369,0)),"",INDEX('Compliance Database'!$I$2:$I$1369,MATCH(808,'Transfer Engine'!$C$2:$C$1369,0)))</f>
        <v/>
      </c>
      <c r="J817" s="8">
        <f>IF(ISNA(MATCH(808,'Transfer Engine'!$C$2:$C$1369,0)),"",INDEX('Compliance Database'!$J$2:$J$1369,MATCH(808,'Transfer Engine'!$C$2:$C$1369,0)))</f>
        <v/>
      </c>
      <c r="K817" s="9">
        <f>IF(ISNA(MATCH(808,'Transfer Engine'!$C$2:$C$1369,0)),"",INDEX('Compliance Database'!$K$2:$K$1369,MATCH(808,'Transfer Engine'!$C$2:$C$1369,0)))</f>
        <v/>
      </c>
      <c r="L817" s="9">
        <f>IF(ISNA(MATCH(808,'Transfer Engine'!$C$2:$C$1369,0)),"",INDEX('Compliance Database'!$L$2:$L$1369,MATCH(808,'Transfer Engine'!$C$2:$C$1369,0)))</f>
        <v/>
      </c>
      <c r="M817" s="9">
        <f>IF(ISNA(MATCH(808,'Transfer Engine'!$C$2:$C$1369,0)),"",INDEX('Compliance Database'!$M$2:$M$1369,MATCH(808,'Transfer Engine'!$C$2:$C$1369,0)))</f>
        <v/>
      </c>
      <c r="N817" s="9">
        <f>IF(ISNA(MATCH(808,'Transfer Engine'!$C$2:$C$1369,0)),"",INDEX('Compliance Database'!$N$2:$N$1369,MATCH(808,'Transfer Engine'!$C$2:$C$1369,0)))</f>
        <v/>
      </c>
      <c r="O817" s="8">
        <f>IF(ISNA(MATCH(808,'Transfer Engine'!$C$2:$C$1369,0)),"",HYPERLINK(INDEX('Compliance Database'!$O$2:$O$1369,MATCH(808,'Transfer Engine'!$C$2:$C$1369,0)),"Open PDF"))</f>
        <v/>
      </c>
    </row>
    <row r="818" ht="188" customHeight="1">
      <c r="A818" s="8">
        <f>IF(ISNA(MATCH(809,'Transfer Engine'!$C$2:$C$1369,0)),"",INDEX('Compliance Database'!$A$2:$A$1369,MATCH(809,'Transfer Engine'!$C$2:$C$1369,0)))</f>
        <v/>
      </c>
      <c r="B818" s="8">
        <f>IF(ISNA(MATCH(809,'Transfer Engine'!$C$2:$C$1369,0)),"",INDEX('Compliance Database'!$B$2:$B$1369,MATCH(809,'Transfer Engine'!$C$2:$C$1369,0)))</f>
        <v/>
      </c>
      <c r="C818" s="8">
        <f>IF(ISNA(MATCH(809,'Transfer Engine'!$C$2:$C$1369,0)),"",INDEX('Compliance Database'!$C$2:$C$1369,MATCH(809,'Transfer Engine'!$C$2:$C$1369,0)))</f>
        <v/>
      </c>
      <c r="D818" s="9">
        <f>IF(ISNA(MATCH(809,'Transfer Engine'!$C$2:$C$1369,0)),"",INDEX('Compliance Database'!$D$2:$D$1369,MATCH(809,'Transfer Engine'!$C$2:$C$1369,0)))</f>
        <v/>
      </c>
      <c r="E818" s="8">
        <f>IF(ISNA(MATCH(809,'Transfer Engine'!$C$2:$C$1369,0)),"",INDEX('Compliance Database'!$E$2:$E$1369,MATCH(809,'Transfer Engine'!$C$2:$C$1369,0)))</f>
        <v/>
      </c>
      <c r="F818" s="8">
        <f>IF(ISNA(MATCH(809,'Transfer Engine'!$C$2:$C$1369,0)),"",INDEX('Compliance Database'!$F$2:$F$1369,MATCH(809,'Transfer Engine'!$C$2:$C$1369,0)))</f>
        <v/>
      </c>
      <c r="G818" s="8">
        <f>IF(ISNA(MATCH(809,'Transfer Engine'!$C$2:$C$1369,0)),"",INDEX('Compliance Database'!$G$2:$G$1369,MATCH(809,'Transfer Engine'!$C$2:$C$1369,0)))</f>
        <v/>
      </c>
      <c r="H818" s="9">
        <f>IF(ISNA(MATCH(809,'Transfer Engine'!$C$2:$C$1369,0)),"",INDEX('Compliance Database'!$H$2:$H$1369,MATCH(809,'Transfer Engine'!$C$2:$C$1369,0)))</f>
        <v/>
      </c>
      <c r="I818" s="9">
        <f>IF(ISNA(MATCH(809,'Transfer Engine'!$C$2:$C$1369,0)),"",INDEX('Compliance Database'!$I$2:$I$1369,MATCH(809,'Transfer Engine'!$C$2:$C$1369,0)))</f>
        <v/>
      </c>
      <c r="J818" s="8">
        <f>IF(ISNA(MATCH(809,'Transfer Engine'!$C$2:$C$1369,0)),"",INDEX('Compliance Database'!$J$2:$J$1369,MATCH(809,'Transfer Engine'!$C$2:$C$1369,0)))</f>
        <v/>
      </c>
      <c r="K818" s="9">
        <f>IF(ISNA(MATCH(809,'Transfer Engine'!$C$2:$C$1369,0)),"",INDEX('Compliance Database'!$K$2:$K$1369,MATCH(809,'Transfer Engine'!$C$2:$C$1369,0)))</f>
        <v/>
      </c>
      <c r="L818" s="9">
        <f>IF(ISNA(MATCH(809,'Transfer Engine'!$C$2:$C$1369,0)),"",INDEX('Compliance Database'!$L$2:$L$1369,MATCH(809,'Transfer Engine'!$C$2:$C$1369,0)))</f>
        <v/>
      </c>
      <c r="M818" s="9">
        <f>IF(ISNA(MATCH(809,'Transfer Engine'!$C$2:$C$1369,0)),"",INDEX('Compliance Database'!$M$2:$M$1369,MATCH(809,'Transfer Engine'!$C$2:$C$1369,0)))</f>
        <v/>
      </c>
      <c r="N818" s="9">
        <f>IF(ISNA(MATCH(809,'Transfer Engine'!$C$2:$C$1369,0)),"",INDEX('Compliance Database'!$N$2:$N$1369,MATCH(809,'Transfer Engine'!$C$2:$C$1369,0)))</f>
        <v/>
      </c>
      <c r="O818" s="8">
        <f>IF(ISNA(MATCH(809,'Transfer Engine'!$C$2:$C$1369,0)),"",HYPERLINK(INDEX('Compliance Database'!$O$2:$O$1369,MATCH(809,'Transfer Engine'!$C$2:$C$1369,0)),"Open PDF"))</f>
        <v/>
      </c>
    </row>
    <row r="819" ht="188" customHeight="1">
      <c r="A819" s="8">
        <f>IF(ISNA(MATCH(810,'Transfer Engine'!$C$2:$C$1369,0)),"",INDEX('Compliance Database'!$A$2:$A$1369,MATCH(810,'Transfer Engine'!$C$2:$C$1369,0)))</f>
        <v/>
      </c>
      <c r="B819" s="8">
        <f>IF(ISNA(MATCH(810,'Transfer Engine'!$C$2:$C$1369,0)),"",INDEX('Compliance Database'!$B$2:$B$1369,MATCH(810,'Transfer Engine'!$C$2:$C$1369,0)))</f>
        <v/>
      </c>
      <c r="C819" s="8">
        <f>IF(ISNA(MATCH(810,'Transfer Engine'!$C$2:$C$1369,0)),"",INDEX('Compliance Database'!$C$2:$C$1369,MATCH(810,'Transfer Engine'!$C$2:$C$1369,0)))</f>
        <v/>
      </c>
      <c r="D819" s="9">
        <f>IF(ISNA(MATCH(810,'Transfer Engine'!$C$2:$C$1369,0)),"",INDEX('Compliance Database'!$D$2:$D$1369,MATCH(810,'Transfer Engine'!$C$2:$C$1369,0)))</f>
        <v/>
      </c>
      <c r="E819" s="8">
        <f>IF(ISNA(MATCH(810,'Transfer Engine'!$C$2:$C$1369,0)),"",INDEX('Compliance Database'!$E$2:$E$1369,MATCH(810,'Transfer Engine'!$C$2:$C$1369,0)))</f>
        <v/>
      </c>
      <c r="F819" s="8">
        <f>IF(ISNA(MATCH(810,'Transfer Engine'!$C$2:$C$1369,0)),"",INDEX('Compliance Database'!$F$2:$F$1369,MATCH(810,'Transfer Engine'!$C$2:$C$1369,0)))</f>
        <v/>
      </c>
      <c r="G819" s="8">
        <f>IF(ISNA(MATCH(810,'Transfer Engine'!$C$2:$C$1369,0)),"",INDEX('Compliance Database'!$G$2:$G$1369,MATCH(810,'Transfer Engine'!$C$2:$C$1369,0)))</f>
        <v/>
      </c>
      <c r="H819" s="9">
        <f>IF(ISNA(MATCH(810,'Transfer Engine'!$C$2:$C$1369,0)),"",INDEX('Compliance Database'!$H$2:$H$1369,MATCH(810,'Transfer Engine'!$C$2:$C$1369,0)))</f>
        <v/>
      </c>
      <c r="I819" s="9">
        <f>IF(ISNA(MATCH(810,'Transfer Engine'!$C$2:$C$1369,0)),"",INDEX('Compliance Database'!$I$2:$I$1369,MATCH(810,'Transfer Engine'!$C$2:$C$1369,0)))</f>
        <v/>
      </c>
      <c r="J819" s="8">
        <f>IF(ISNA(MATCH(810,'Transfer Engine'!$C$2:$C$1369,0)),"",INDEX('Compliance Database'!$J$2:$J$1369,MATCH(810,'Transfer Engine'!$C$2:$C$1369,0)))</f>
        <v/>
      </c>
      <c r="K819" s="9">
        <f>IF(ISNA(MATCH(810,'Transfer Engine'!$C$2:$C$1369,0)),"",INDEX('Compliance Database'!$K$2:$K$1369,MATCH(810,'Transfer Engine'!$C$2:$C$1369,0)))</f>
        <v/>
      </c>
      <c r="L819" s="9">
        <f>IF(ISNA(MATCH(810,'Transfer Engine'!$C$2:$C$1369,0)),"",INDEX('Compliance Database'!$L$2:$L$1369,MATCH(810,'Transfer Engine'!$C$2:$C$1369,0)))</f>
        <v/>
      </c>
      <c r="M819" s="9">
        <f>IF(ISNA(MATCH(810,'Transfer Engine'!$C$2:$C$1369,0)),"",INDEX('Compliance Database'!$M$2:$M$1369,MATCH(810,'Transfer Engine'!$C$2:$C$1369,0)))</f>
        <v/>
      </c>
      <c r="N819" s="9">
        <f>IF(ISNA(MATCH(810,'Transfer Engine'!$C$2:$C$1369,0)),"",INDEX('Compliance Database'!$N$2:$N$1369,MATCH(810,'Transfer Engine'!$C$2:$C$1369,0)))</f>
        <v/>
      </c>
      <c r="O819" s="8">
        <f>IF(ISNA(MATCH(810,'Transfer Engine'!$C$2:$C$1369,0)),"",HYPERLINK(INDEX('Compliance Database'!$O$2:$O$1369,MATCH(810,'Transfer Engine'!$C$2:$C$1369,0)),"Open PDF"))</f>
        <v/>
      </c>
    </row>
    <row r="820" ht="188" customHeight="1">
      <c r="A820" s="8">
        <f>IF(ISNA(MATCH(811,'Transfer Engine'!$C$2:$C$1369,0)),"",INDEX('Compliance Database'!$A$2:$A$1369,MATCH(811,'Transfer Engine'!$C$2:$C$1369,0)))</f>
        <v/>
      </c>
      <c r="B820" s="8">
        <f>IF(ISNA(MATCH(811,'Transfer Engine'!$C$2:$C$1369,0)),"",INDEX('Compliance Database'!$B$2:$B$1369,MATCH(811,'Transfer Engine'!$C$2:$C$1369,0)))</f>
        <v/>
      </c>
      <c r="C820" s="8">
        <f>IF(ISNA(MATCH(811,'Transfer Engine'!$C$2:$C$1369,0)),"",INDEX('Compliance Database'!$C$2:$C$1369,MATCH(811,'Transfer Engine'!$C$2:$C$1369,0)))</f>
        <v/>
      </c>
      <c r="D820" s="9">
        <f>IF(ISNA(MATCH(811,'Transfer Engine'!$C$2:$C$1369,0)),"",INDEX('Compliance Database'!$D$2:$D$1369,MATCH(811,'Transfer Engine'!$C$2:$C$1369,0)))</f>
        <v/>
      </c>
      <c r="E820" s="8">
        <f>IF(ISNA(MATCH(811,'Transfer Engine'!$C$2:$C$1369,0)),"",INDEX('Compliance Database'!$E$2:$E$1369,MATCH(811,'Transfer Engine'!$C$2:$C$1369,0)))</f>
        <v/>
      </c>
      <c r="F820" s="8">
        <f>IF(ISNA(MATCH(811,'Transfer Engine'!$C$2:$C$1369,0)),"",INDEX('Compliance Database'!$F$2:$F$1369,MATCH(811,'Transfer Engine'!$C$2:$C$1369,0)))</f>
        <v/>
      </c>
      <c r="G820" s="8">
        <f>IF(ISNA(MATCH(811,'Transfer Engine'!$C$2:$C$1369,0)),"",INDEX('Compliance Database'!$G$2:$G$1369,MATCH(811,'Transfer Engine'!$C$2:$C$1369,0)))</f>
        <v/>
      </c>
      <c r="H820" s="9">
        <f>IF(ISNA(MATCH(811,'Transfer Engine'!$C$2:$C$1369,0)),"",INDEX('Compliance Database'!$H$2:$H$1369,MATCH(811,'Transfer Engine'!$C$2:$C$1369,0)))</f>
        <v/>
      </c>
      <c r="I820" s="9">
        <f>IF(ISNA(MATCH(811,'Transfer Engine'!$C$2:$C$1369,0)),"",INDEX('Compliance Database'!$I$2:$I$1369,MATCH(811,'Transfer Engine'!$C$2:$C$1369,0)))</f>
        <v/>
      </c>
      <c r="J820" s="8">
        <f>IF(ISNA(MATCH(811,'Transfer Engine'!$C$2:$C$1369,0)),"",INDEX('Compliance Database'!$J$2:$J$1369,MATCH(811,'Transfer Engine'!$C$2:$C$1369,0)))</f>
        <v/>
      </c>
      <c r="K820" s="9">
        <f>IF(ISNA(MATCH(811,'Transfer Engine'!$C$2:$C$1369,0)),"",INDEX('Compliance Database'!$K$2:$K$1369,MATCH(811,'Transfer Engine'!$C$2:$C$1369,0)))</f>
        <v/>
      </c>
      <c r="L820" s="9">
        <f>IF(ISNA(MATCH(811,'Transfer Engine'!$C$2:$C$1369,0)),"",INDEX('Compliance Database'!$L$2:$L$1369,MATCH(811,'Transfer Engine'!$C$2:$C$1369,0)))</f>
        <v/>
      </c>
      <c r="M820" s="9">
        <f>IF(ISNA(MATCH(811,'Transfer Engine'!$C$2:$C$1369,0)),"",INDEX('Compliance Database'!$M$2:$M$1369,MATCH(811,'Transfer Engine'!$C$2:$C$1369,0)))</f>
        <v/>
      </c>
      <c r="N820" s="9">
        <f>IF(ISNA(MATCH(811,'Transfer Engine'!$C$2:$C$1369,0)),"",INDEX('Compliance Database'!$N$2:$N$1369,MATCH(811,'Transfer Engine'!$C$2:$C$1369,0)))</f>
        <v/>
      </c>
      <c r="O820" s="8">
        <f>IF(ISNA(MATCH(811,'Transfer Engine'!$C$2:$C$1369,0)),"",HYPERLINK(INDEX('Compliance Database'!$O$2:$O$1369,MATCH(811,'Transfer Engine'!$C$2:$C$1369,0)),"Open PDF"))</f>
        <v/>
      </c>
    </row>
    <row r="821" ht="188" customHeight="1">
      <c r="A821" s="8">
        <f>IF(ISNA(MATCH(812,'Transfer Engine'!$C$2:$C$1369,0)),"",INDEX('Compliance Database'!$A$2:$A$1369,MATCH(812,'Transfer Engine'!$C$2:$C$1369,0)))</f>
        <v/>
      </c>
      <c r="B821" s="8">
        <f>IF(ISNA(MATCH(812,'Transfer Engine'!$C$2:$C$1369,0)),"",INDEX('Compliance Database'!$B$2:$B$1369,MATCH(812,'Transfer Engine'!$C$2:$C$1369,0)))</f>
        <v/>
      </c>
      <c r="C821" s="8">
        <f>IF(ISNA(MATCH(812,'Transfer Engine'!$C$2:$C$1369,0)),"",INDEX('Compliance Database'!$C$2:$C$1369,MATCH(812,'Transfer Engine'!$C$2:$C$1369,0)))</f>
        <v/>
      </c>
      <c r="D821" s="9">
        <f>IF(ISNA(MATCH(812,'Transfer Engine'!$C$2:$C$1369,0)),"",INDEX('Compliance Database'!$D$2:$D$1369,MATCH(812,'Transfer Engine'!$C$2:$C$1369,0)))</f>
        <v/>
      </c>
      <c r="E821" s="8">
        <f>IF(ISNA(MATCH(812,'Transfer Engine'!$C$2:$C$1369,0)),"",INDEX('Compliance Database'!$E$2:$E$1369,MATCH(812,'Transfer Engine'!$C$2:$C$1369,0)))</f>
        <v/>
      </c>
      <c r="F821" s="8">
        <f>IF(ISNA(MATCH(812,'Transfer Engine'!$C$2:$C$1369,0)),"",INDEX('Compliance Database'!$F$2:$F$1369,MATCH(812,'Transfer Engine'!$C$2:$C$1369,0)))</f>
        <v/>
      </c>
      <c r="G821" s="8">
        <f>IF(ISNA(MATCH(812,'Transfer Engine'!$C$2:$C$1369,0)),"",INDEX('Compliance Database'!$G$2:$G$1369,MATCH(812,'Transfer Engine'!$C$2:$C$1369,0)))</f>
        <v/>
      </c>
      <c r="H821" s="9">
        <f>IF(ISNA(MATCH(812,'Transfer Engine'!$C$2:$C$1369,0)),"",INDEX('Compliance Database'!$H$2:$H$1369,MATCH(812,'Transfer Engine'!$C$2:$C$1369,0)))</f>
        <v/>
      </c>
      <c r="I821" s="9">
        <f>IF(ISNA(MATCH(812,'Transfer Engine'!$C$2:$C$1369,0)),"",INDEX('Compliance Database'!$I$2:$I$1369,MATCH(812,'Transfer Engine'!$C$2:$C$1369,0)))</f>
        <v/>
      </c>
      <c r="J821" s="8">
        <f>IF(ISNA(MATCH(812,'Transfer Engine'!$C$2:$C$1369,0)),"",INDEX('Compliance Database'!$J$2:$J$1369,MATCH(812,'Transfer Engine'!$C$2:$C$1369,0)))</f>
        <v/>
      </c>
      <c r="K821" s="9">
        <f>IF(ISNA(MATCH(812,'Transfer Engine'!$C$2:$C$1369,0)),"",INDEX('Compliance Database'!$K$2:$K$1369,MATCH(812,'Transfer Engine'!$C$2:$C$1369,0)))</f>
        <v/>
      </c>
      <c r="L821" s="9">
        <f>IF(ISNA(MATCH(812,'Transfer Engine'!$C$2:$C$1369,0)),"",INDEX('Compliance Database'!$L$2:$L$1369,MATCH(812,'Transfer Engine'!$C$2:$C$1369,0)))</f>
        <v/>
      </c>
      <c r="M821" s="9">
        <f>IF(ISNA(MATCH(812,'Transfer Engine'!$C$2:$C$1369,0)),"",INDEX('Compliance Database'!$M$2:$M$1369,MATCH(812,'Transfer Engine'!$C$2:$C$1369,0)))</f>
        <v/>
      </c>
      <c r="N821" s="9">
        <f>IF(ISNA(MATCH(812,'Transfer Engine'!$C$2:$C$1369,0)),"",INDEX('Compliance Database'!$N$2:$N$1369,MATCH(812,'Transfer Engine'!$C$2:$C$1369,0)))</f>
        <v/>
      </c>
      <c r="O821" s="8">
        <f>IF(ISNA(MATCH(812,'Transfer Engine'!$C$2:$C$1369,0)),"",HYPERLINK(INDEX('Compliance Database'!$O$2:$O$1369,MATCH(812,'Transfer Engine'!$C$2:$C$1369,0)),"Open PDF"))</f>
        <v/>
      </c>
    </row>
    <row r="822" ht="188" customHeight="1">
      <c r="A822" s="8">
        <f>IF(ISNA(MATCH(813,'Transfer Engine'!$C$2:$C$1369,0)),"",INDEX('Compliance Database'!$A$2:$A$1369,MATCH(813,'Transfer Engine'!$C$2:$C$1369,0)))</f>
        <v/>
      </c>
      <c r="B822" s="8">
        <f>IF(ISNA(MATCH(813,'Transfer Engine'!$C$2:$C$1369,0)),"",INDEX('Compliance Database'!$B$2:$B$1369,MATCH(813,'Transfer Engine'!$C$2:$C$1369,0)))</f>
        <v/>
      </c>
      <c r="C822" s="8">
        <f>IF(ISNA(MATCH(813,'Transfer Engine'!$C$2:$C$1369,0)),"",INDEX('Compliance Database'!$C$2:$C$1369,MATCH(813,'Transfer Engine'!$C$2:$C$1369,0)))</f>
        <v/>
      </c>
      <c r="D822" s="9">
        <f>IF(ISNA(MATCH(813,'Transfer Engine'!$C$2:$C$1369,0)),"",INDEX('Compliance Database'!$D$2:$D$1369,MATCH(813,'Transfer Engine'!$C$2:$C$1369,0)))</f>
        <v/>
      </c>
      <c r="E822" s="8">
        <f>IF(ISNA(MATCH(813,'Transfer Engine'!$C$2:$C$1369,0)),"",INDEX('Compliance Database'!$E$2:$E$1369,MATCH(813,'Transfer Engine'!$C$2:$C$1369,0)))</f>
        <v/>
      </c>
      <c r="F822" s="8">
        <f>IF(ISNA(MATCH(813,'Transfer Engine'!$C$2:$C$1369,0)),"",INDEX('Compliance Database'!$F$2:$F$1369,MATCH(813,'Transfer Engine'!$C$2:$C$1369,0)))</f>
        <v/>
      </c>
      <c r="G822" s="8">
        <f>IF(ISNA(MATCH(813,'Transfer Engine'!$C$2:$C$1369,0)),"",INDEX('Compliance Database'!$G$2:$G$1369,MATCH(813,'Transfer Engine'!$C$2:$C$1369,0)))</f>
        <v/>
      </c>
      <c r="H822" s="9">
        <f>IF(ISNA(MATCH(813,'Transfer Engine'!$C$2:$C$1369,0)),"",INDEX('Compliance Database'!$H$2:$H$1369,MATCH(813,'Transfer Engine'!$C$2:$C$1369,0)))</f>
        <v/>
      </c>
      <c r="I822" s="9">
        <f>IF(ISNA(MATCH(813,'Transfer Engine'!$C$2:$C$1369,0)),"",INDEX('Compliance Database'!$I$2:$I$1369,MATCH(813,'Transfer Engine'!$C$2:$C$1369,0)))</f>
        <v/>
      </c>
      <c r="J822" s="8">
        <f>IF(ISNA(MATCH(813,'Transfer Engine'!$C$2:$C$1369,0)),"",INDEX('Compliance Database'!$J$2:$J$1369,MATCH(813,'Transfer Engine'!$C$2:$C$1369,0)))</f>
        <v/>
      </c>
      <c r="K822" s="9">
        <f>IF(ISNA(MATCH(813,'Transfer Engine'!$C$2:$C$1369,0)),"",INDEX('Compliance Database'!$K$2:$K$1369,MATCH(813,'Transfer Engine'!$C$2:$C$1369,0)))</f>
        <v/>
      </c>
      <c r="L822" s="9">
        <f>IF(ISNA(MATCH(813,'Transfer Engine'!$C$2:$C$1369,0)),"",INDEX('Compliance Database'!$L$2:$L$1369,MATCH(813,'Transfer Engine'!$C$2:$C$1369,0)))</f>
        <v/>
      </c>
      <c r="M822" s="9">
        <f>IF(ISNA(MATCH(813,'Transfer Engine'!$C$2:$C$1369,0)),"",INDEX('Compliance Database'!$M$2:$M$1369,MATCH(813,'Transfer Engine'!$C$2:$C$1369,0)))</f>
        <v/>
      </c>
      <c r="N822" s="9">
        <f>IF(ISNA(MATCH(813,'Transfer Engine'!$C$2:$C$1369,0)),"",INDEX('Compliance Database'!$N$2:$N$1369,MATCH(813,'Transfer Engine'!$C$2:$C$1369,0)))</f>
        <v/>
      </c>
      <c r="O822" s="8">
        <f>IF(ISNA(MATCH(813,'Transfer Engine'!$C$2:$C$1369,0)),"",HYPERLINK(INDEX('Compliance Database'!$O$2:$O$1369,MATCH(813,'Transfer Engine'!$C$2:$C$1369,0)),"Open PDF"))</f>
        <v/>
      </c>
    </row>
    <row r="823" ht="188" customHeight="1">
      <c r="A823" s="8">
        <f>IF(ISNA(MATCH(814,'Transfer Engine'!$C$2:$C$1369,0)),"",INDEX('Compliance Database'!$A$2:$A$1369,MATCH(814,'Transfer Engine'!$C$2:$C$1369,0)))</f>
        <v/>
      </c>
      <c r="B823" s="8">
        <f>IF(ISNA(MATCH(814,'Transfer Engine'!$C$2:$C$1369,0)),"",INDEX('Compliance Database'!$B$2:$B$1369,MATCH(814,'Transfer Engine'!$C$2:$C$1369,0)))</f>
        <v/>
      </c>
      <c r="C823" s="8">
        <f>IF(ISNA(MATCH(814,'Transfer Engine'!$C$2:$C$1369,0)),"",INDEX('Compliance Database'!$C$2:$C$1369,MATCH(814,'Transfer Engine'!$C$2:$C$1369,0)))</f>
        <v/>
      </c>
      <c r="D823" s="9">
        <f>IF(ISNA(MATCH(814,'Transfer Engine'!$C$2:$C$1369,0)),"",INDEX('Compliance Database'!$D$2:$D$1369,MATCH(814,'Transfer Engine'!$C$2:$C$1369,0)))</f>
        <v/>
      </c>
      <c r="E823" s="8">
        <f>IF(ISNA(MATCH(814,'Transfer Engine'!$C$2:$C$1369,0)),"",INDEX('Compliance Database'!$E$2:$E$1369,MATCH(814,'Transfer Engine'!$C$2:$C$1369,0)))</f>
        <v/>
      </c>
      <c r="F823" s="8">
        <f>IF(ISNA(MATCH(814,'Transfer Engine'!$C$2:$C$1369,0)),"",INDEX('Compliance Database'!$F$2:$F$1369,MATCH(814,'Transfer Engine'!$C$2:$C$1369,0)))</f>
        <v/>
      </c>
      <c r="G823" s="8">
        <f>IF(ISNA(MATCH(814,'Transfer Engine'!$C$2:$C$1369,0)),"",INDEX('Compliance Database'!$G$2:$G$1369,MATCH(814,'Transfer Engine'!$C$2:$C$1369,0)))</f>
        <v/>
      </c>
      <c r="H823" s="9">
        <f>IF(ISNA(MATCH(814,'Transfer Engine'!$C$2:$C$1369,0)),"",INDEX('Compliance Database'!$H$2:$H$1369,MATCH(814,'Transfer Engine'!$C$2:$C$1369,0)))</f>
        <v/>
      </c>
      <c r="I823" s="9">
        <f>IF(ISNA(MATCH(814,'Transfer Engine'!$C$2:$C$1369,0)),"",INDEX('Compliance Database'!$I$2:$I$1369,MATCH(814,'Transfer Engine'!$C$2:$C$1369,0)))</f>
        <v/>
      </c>
      <c r="J823" s="8">
        <f>IF(ISNA(MATCH(814,'Transfer Engine'!$C$2:$C$1369,0)),"",INDEX('Compliance Database'!$J$2:$J$1369,MATCH(814,'Transfer Engine'!$C$2:$C$1369,0)))</f>
        <v/>
      </c>
      <c r="K823" s="9">
        <f>IF(ISNA(MATCH(814,'Transfer Engine'!$C$2:$C$1369,0)),"",INDEX('Compliance Database'!$K$2:$K$1369,MATCH(814,'Transfer Engine'!$C$2:$C$1369,0)))</f>
        <v/>
      </c>
      <c r="L823" s="9">
        <f>IF(ISNA(MATCH(814,'Transfer Engine'!$C$2:$C$1369,0)),"",INDEX('Compliance Database'!$L$2:$L$1369,MATCH(814,'Transfer Engine'!$C$2:$C$1369,0)))</f>
        <v/>
      </c>
      <c r="M823" s="9">
        <f>IF(ISNA(MATCH(814,'Transfer Engine'!$C$2:$C$1369,0)),"",INDEX('Compliance Database'!$M$2:$M$1369,MATCH(814,'Transfer Engine'!$C$2:$C$1369,0)))</f>
        <v/>
      </c>
      <c r="N823" s="9">
        <f>IF(ISNA(MATCH(814,'Transfer Engine'!$C$2:$C$1369,0)),"",INDEX('Compliance Database'!$N$2:$N$1369,MATCH(814,'Transfer Engine'!$C$2:$C$1369,0)))</f>
        <v/>
      </c>
      <c r="O823" s="8">
        <f>IF(ISNA(MATCH(814,'Transfer Engine'!$C$2:$C$1369,0)),"",HYPERLINK(INDEX('Compliance Database'!$O$2:$O$1369,MATCH(814,'Transfer Engine'!$C$2:$C$1369,0)),"Open PDF"))</f>
        <v/>
      </c>
    </row>
    <row r="824" ht="188" customHeight="1">
      <c r="A824" s="8">
        <f>IF(ISNA(MATCH(815,'Transfer Engine'!$C$2:$C$1369,0)),"",INDEX('Compliance Database'!$A$2:$A$1369,MATCH(815,'Transfer Engine'!$C$2:$C$1369,0)))</f>
        <v/>
      </c>
      <c r="B824" s="8">
        <f>IF(ISNA(MATCH(815,'Transfer Engine'!$C$2:$C$1369,0)),"",INDEX('Compliance Database'!$B$2:$B$1369,MATCH(815,'Transfer Engine'!$C$2:$C$1369,0)))</f>
        <v/>
      </c>
      <c r="C824" s="8">
        <f>IF(ISNA(MATCH(815,'Transfer Engine'!$C$2:$C$1369,0)),"",INDEX('Compliance Database'!$C$2:$C$1369,MATCH(815,'Transfer Engine'!$C$2:$C$1369,0)))</f>
        <v/>
      </c>
      <c r="D824" s="9">
        <f>IF(ISNA(MATCH(815,'Transfer Engine'!$C$2:$C$1369,0)),"",INDEX('Compliance Database'!$D$2:$D$1369,MATCH(815,'Transfer Engine'!$C$2:$C$1369,0)))</f>
        <v/>
      </c>
      <c r="E824" s="8">
        <f>IF(ISNA(MATCH(815,'Transfer Engine'!$C$2:$C$1369,0)),"",INDEX('Compliance Database'!$E$2:$E$1369,MATCH(815,'Transfer Engine'!$C$2:$C$1369,0)))</f>
        <v/>
      </c>
      <c r="F824" s="8">
        <f>IF(ISNA(MATCH(815,'Transfer Engine'!$C$2:$C$1369,0)),"",INDEX('Compliance Database'!$F$2:$F$1369,MATCH(815,'Transfer Engine'!$C$2:$C$1369,0)))</f>
        <v/>
      </c>
      <c r="G824" s="8">
        <f>IF(ISNA(MATCH(815,'Transfer Engine'!$C$2:$C$1369,0)),"",INDEX('Compliance Database'!$G$2:$G$1369,MATCH(815,'Transfer Engine'!$C$2:$C$1369,0)))</f>
        <v/>
      </c>
      <c r="H824" s="9">
        <f>IF(ISNA(MATCH(815,'Transfer Engine'!$C$2:$C$1369,0)),"",INDEX('Compliance Database'!$H$2:$H$1369,MATCH(815,'Transfer Engine'!$C$2:$C$1369,0)))</f>
        <v/>
      </c>
      <c r="I824" s="9">
        <f>IF(ISNA(MATCH(815,'Transfer Engine'!$C$2:$C$1369,0)),"",INDEX('Compliance Database'!$I$2:$I$1369,MATCH(815,'Transfer Engine'!$C$2:$C$1369,0)))</f>
        <v/>
      </c>
      <c r="J824" s="8">
        <f>IF(ISNA(MATCH(815,'Transfer Engine'!$C$2:$C$1369,0)),"",INDEX('Compliance Database'!$J$2:$J$1369,MATCH(815,'Transfer Engine'!$C$2:$C$1369,0)))</f>
        <v/>
      </c>
      <c r="K824" s="9">
        <f>IF(ISNA(MATCH(815,'Transfer Engine'!$C$2:$C$1369,0)),"",INDEX('Compliance Database'!$K$2:$K$1369,MATCH(815,'Transfer Engine'!$C$2:$C$1369,0)))</f>
        <v/>
      </c>
      <c r="L824" s="9">
        <f>IF(ISNA(MATCH(815,'Transfer Engine'!$C$2:$C$1369,0)),"",INDEX('Compliance Database'!$L$2:$L$1369,MATCH(815,'Transfer Engine'!$C$2:$C$1369,0)))</f>
        <v/>
      </c>
      <c r="M824" s="9">
        <f>IF(ISNA(MATCH(815,'Transfer Engine'!$C$2:$C$1369,0)),"",INDEX('Compliance Database'!$M$2:$M$1369,MATCH(815,'Transfer Engine'!$C$2:$C$1369,0)))</f>
        <v/>
      </c>
      <c r="N824" s="9">
        <f>IF(ISNA(MATCH(815,'Transfer Engine'!$C$2:$C$1369,0)),"",INDEX('Compliance Database'!$N$2:$N$1369,MATCH(815,'Transfer Engine'!$C$2:$C$1369,0)))</f>
        <v/>
      </c>
      <c r="O824" s="8">
        <f>IF(ISNA(MATCH(815,'Transfer Engine'!$C$2:$C$1369,0)),"",HYPERLINK(INDEX('Compliance Database'!$O$2:$O$1369,MATCH(815,'Transfer Engine'!$C$2:$C$1369,0)),"Open PDF"))</f>
        <v/>
      </c>
    </row>
    <row r="825" ht="188" customHeight="1">
      <c r="A825" s="8">
        <f>IF(ISNA(MATCH(816,'Transfer Engine'!$C$2:$C$1369,0)),"",INDEX('Compliance Database'!$A$2:$A$1369,MATCH(816,'Transfer Engine'!$C$2:$C$1369,0)))</f>
        <v/>
      </c>
      <c r="B825" s="8">
        <f>IF(ISNA(MATCH(816,'Transfer Engine'!$C$2:$C$1369,0)),"",INDEX('Compliance Database'!$B$2:$B$1369,MATCH(816,'Transfer Engine'!$C$2:$C$1369,0)))</f>
        <v/>
      </c>
      <c r="C825" s="8">
        <f>IF(ISNA(MATCH(816,'Transfer Engine'!$C$2:$C$1369,0)),"",INDEX('Compliance Database'!$C$2:$C$1369,MATCH(816,'Transfer Engine'!$C$2:$C$1369,0)))</f>
        <v/>
      </c>
      <c r="D825" s="9">
        <f>IF(ISNA(MATCH(816,'Transfer Engine'!$C$2:$C$1369,0)),"",INDEX('Compliance Database'!$D$2:$D$1369,MATCH(816,'Transfer Engine'!$C$2:$C$1369,0)))</f>
        <v/>
      </c>
      <c r="E825" s="8">
        <f>IF(ISNA(MATCH(816,'Transfer Engine'!$C$2:$C$1369,0)),"",INDEX('Compliance Database'!$E$2:$E$1369,MATCH(816,'Transfer Engine'!$C$2:$C$1369,0)))</f>
        <v/>
      </c>
      <c r="F825" s="8">
        <f>IF(ISNA(MATCH(816,'Transfer Engine'!$C$2:$C$1369,0)),"",INDEX('Compliance Database'!$F$2:$F$1369,MATCH(816,'Transfer Engine'!$C$2:$C$1369,0)))</f>
        <v/>
      </c>
      <c r="G825" s="8">
        <f>IF(ISNA(MATCH(816,'Transfer Engine'!$C$2:$C$1369,0)),"",INDEX('Compliance Database'!$G$2:$G$1369,MATCH(816,'Transfer Engine'!$C$2:$C$1369,0)))</f>
        <v/>
      </c>
      <c r="H825" s="9">
        <f>IF(ISNA(MATCH(816,'Transfer Engine'!$C$2:$C$1369,0)),"",INDEX('Compliance Database'!$H$2:$H$1369,MATCH(816,'Transfer Engine'!$C$2:$C$1369,0)))</f>
        <v/>
      </c>
      <c r="I825" s="9">
        <f>IF(ISNA(MATCH(816,'Transfer Engine'!$C$2:$C$1369,0)),"",INDEX('Compliance Database'!$I$2:$I$1369,MATCH(816,'Transfer Engine'!$C$2:$C$1369,0)))</f>
        <v/>
      </c>
      <c r="J825" s="8">
        <f>IF(ISNA(MATCH(816,'Transfer Engine'!$C$2:$C$1369,0)),"",INDEX('Compliance Database'!$J$2:$J$1369,MATCH(816,'Transfer Engine'!$C$2:$C$1369,0)))</f>
        <v/>
      </c>
      <c r="K825" s="9">
        <f>IF(ISNA(MATCH(816,'Transfer Engine'!$C$2:$C$1369,0)),"",INDEX('Compliance Database'!$K$2:$K$1369,MATCH(816,'Transfer Engine'!$C$2:$C$1369,0)))</f>
        <v/>
      </c>
      <c r="L825" s="9">
        <f>IF(ISNA(MATCH(816,'Transfer Engine'!$C$2:$C$1369,0)),"",INDEX('Compliance Database'!$L$2:$L$1369,MATCH(816,'Transfer Engine'!$C$2:$C$1369,0)))</f>
        <v/>
      </c>
      <c r="M825" s="9">
        <f>IF(ISNA(MATCH(816,'Transfer Engine'!$C$2:$C$1369,0)),"",INDEX('Compliance Database'!$M$2:$M$1369,MATCH(816,'Transfer Engine'!$C$2:$C$1369,0)))</f>
        <v/>
      </c>
      <c r="N825" s="9">
        <f>IF(ISNA(MATCH(816,'Transfer Engine'!$C$2:$C$1369,0)),"",INDEX('Compliance Database'!$N$2:$N$1369,MATCH(816,'Transfer Engine'!$C$2:$C$1369,0)))</f>
        <v/>
      </c>
      <c r="O825" s="8">
        <f>IF(ISNA(MATCH(816,'Transfer Engine'!$C$2:$C$1369,0)),"",HYPERLINK(INDEX('Compliance Database'!$O$2:$O$1369,MATCH(816,'Transfer Engine'!$C$2:$C$1369,0)),"Open PDF"))</f>
        <v/>
      </c>
    </row>
    <row r="826" ht="188" customHeight="1">
      <c r="A826" s="8">
        <f>IF(ISNA(MATCH(817,'Transfer Engine'!$C$2:$C$1369,0)),"",INDEX('Compliance Database'!$A$2:$A$1369,MATCH(817,'Transfer Engine'!$C$2:$C$1369,0)))</f>
        <v/>
      </c>
      <c r="B826" s="8">
        <f>IF(ISNA(MATCH(817,'Transfer Engine'!$C$2:$C$1369,0)),"",INDEX('Compliance Database'!$B$2:$B$1369,MATCH(817,'Transfer Engine'!$C$2:$C$1369,0)))</f>
        <v/>
      </c>
      <c r="C826" s="8">
        <f>IF(ISNA(MATCH(817,'Transfer Engine'!$C$2:$C$1369,0)),"",INDEX('Compliance Database'!$C$2:$C$1369,MATCH(817,'Transfer Engine'!$C$2:$C$1369,0)))</f>
        <v/>
      </c>
      <c r="D826" s="9">
        <f>IF(ISNA(MATCH(817,'Transfer Engine'!$C$2:$C$1369,0)),"",INDEX('Compliance Database'!$D$2:$D$1369,MATCH(817,'Transfer Engine'!$C$2:$C$1369,0)))</f>
        <v/>
      </c>
      <c r="E826" s="8">
        <f>IF(ISNA(MATCH(817,'Transfer Engine'!$C$2:$C$1369,0)),"",INDEX('Compliance Database'!$E$2:$E$1369,MATCH(817,'Transfer Engine'!$C$2:$C$1369,0)))</f>
        <v/>
      </c>
      <c r="F826" s="8">
        <f>IF(ISNA(MATCH(817,'Transfer Engine'!$C$2:$C$1369,0)),"",INDEX('Compliance Database'!$F$2:$F$1369,MATCH(817,'Transfer Engine'!$C$2:$C$1369,0)))</f>
        <v/>
      </c>
      <c r="G826" s="8">
        <f>IF(ISNA(MATCH(817,'Transfer Engine'!$C$2:$C$1369,0)),"",INDEX('Compliance Database'!$G$2:$G$1369,MATCH(817,'Transfer Engine'!$C$2:$C$1369,0)))</f>
        <v/>
      </c>
      <c r="H826" s="9">
        <f>IF(ISNA(MATCH(817,'Transfer Engine'!$C$2:$C$1369,0)),"",INDEX('Compliance Database'!$H$2:$H$1369,MATCH(817,'Transfer Engine'!$C$2:$C$1369,0)))</f>
        <v/>
      </c>
      <c r="I826" s="9">
        <f>IF(ISNA(MATCH(817,'Transfer Engine'!$C$2:$C$1369,0)),"",INDEX('Compliance Database'!$I$2:$I$1369,MATCH(817,'Transfer Engine'!$C$2:$C$1369,0)))</f>
        <v/>
      </c>
      <c r="J826" s="8">
        <f>IF(ISNA(MATCH(817,'Transfer Engine'!$C$2:$C$1369,0)),"",INDEX('Compliance Database'!$J$2:$J$1369,MATCH(817,'Transfer Engine'!$C$2:$C$1369,0)))</f>
        <v/>
      </c>
      <c r="K826" s="9">
        <f>IF(ISNA(MATCH(817,'Transfer Engine'!$C$2:$C$1369,0)),"",INDEX('Compliance Database'!$K$2:$K$1369,MATCH(817,'Transfer Engine'!$C$2:$C$1369,0)))</f>
        <v/>
      </c>
      <c r="L826" s="9">
        <f>IF(ISNA(MATCH(817,'Transfer Engine'!$C$2:$C$1369,0)),"",INDEX('Compliance Database'!$L$2:$L$1369,MATCH(817,'Transfer Engine'!$C$2:$C$1369,0)))</f>
        <v/>
      </c>
      <c r="M826" s="9">
        <f>IF(ISNA(MATCH(817,'Transfer Engine'!$C$2:$C$1369,0)),"",INDEX('Compliance Database'!$M$2:$M$1369,MATCH(817,'Transfer Engine'!$C$2:$C$1369,0)))</f>
        <v/>
      </c>
      <c r="N826" s="9">
        <f>IF(ISNA(MATCH(817,'Transfer Engine'!$C$2:$C$1369,0)),"",INDEX('Compliance Database'!$N$2:$N$1369,MATCH(817,'Transfer Engine'!$C$2:$C$1369,0)))</f>
        <v/>
      </c>
      <c r="O826" s="8">
        <f>IF(ISNA(MATCH(817,'Transfer Engine'!$C$2:$C$1369,0)),"",HYPERLINK(INDEX('Compliance Database'!$O$2:$O$1369,MATCH(817,'Transfer Engine'!$C$2:$C$1369,0)),"Open PDF"))</f>
        <v/>
      </c>
    </row>
    <row r="827" ht="188" customHeight="1">
      <c r="A827" s="8">
        <f>IF(ISNA(MATCH(818,'Transfer Engine'!$C$2:$C$1369,0)),"",INDEX('Compliance Database'!$A$2:$A$1369,MATCH(818,'Transfer Engine'!$C$2:$C$1369,0)))</f>
        <v/>
      </c>
      <c r="B827" s="8">
        <f>IF(ISNA(MATCH(818,'Transfer Engine'!$C$2:$C$1369,0)),"",INDEX('Compliance Database'!$B$2:$B$1369,MATCH(818,'Transfer Engine'!$C$2:$C$1369,0)))</f>
        <v/>
      </c>
      <c r="C827" s="8">
        <f>IF(ISNA(MATCH(818,'Transfer Engine'!$C$2:$C$1369,0)),"",INDEX('Compliance Database'!$C$2:$C$1369,MATCH(818,'Transfer Engine'!$C$2:$C$1369,0)))</f>
        <v/>
      </c>
      <c r="D827" s="9">
        <f>IF(ISNA(MATCH(818,'Transfer Engine'!$C$2:$C$1369,0)),"",INDEX('Compliance Database'!$D$2:$D$1369,MATCH(818,'Transfer Engine'!$C$2:$C$1369,0)))</f>
        <v/>
      </c>
      <c r="E827" s="8">
        <f>IF(ISNA(MATCH(818,'Transfer Engine'!$C$2:$C$1369,0)),"",INDEX('Compliance Database'!$E$2:$E$1369,MATCH(818,'Transfer Engine'!$C$2:$C$1369,0)))</f>
        <v/>
      </c>
      <c r="F827" s="8">
        <f>IF(ISNA(MATCH(818,'Transfer Engine'!$C$2:$C$1369,0)),"",INDEX('Compliance Database'!$F$2:$F$1369,MATCH(818,'Transfer Engine'!$C$2:$C$1369,0)))</f>
        <v/>
      </c>
      <c r="G827" s="8">
        <f>IF(ISNA(MATCH(818,'Transfer Engine'!$C$2:$C$1369,0)),"",INDEX('Compliance Database'!$G$2:$G$1369,MATCH(818,'Transfer Engine'!$C$2:$C$1369,0)))</f>
        <v/>
      </c>
      <c r="H827" s="9">
        <f>IF(ISNA(MATCH(818,'Transfer Engine'!$C$2:$C$1369,0)),"",INDEX('Compliance Database'!$H$2:$H$1369,MATCH(818,'Transfer Engine'!$C$2:$C$1369,0)))</f>
        <v/>
      </c>
      <c r="I827" s="9">
        <f>IF(ISNA(MATCH(818,'Transfer Engine'!$C$2:$C$1369,0)),"",INDEX('Compliance Database'!$I$2:$I$1369,MATCH(818,'Transfer Engine'!$C$2:$C$1369,0)))</f>
        <v/>
      </c>
      <c r="J827" s="8">
        <f>IF(ISNA(MATCH(818,'Transfer Engine'!$C$2:$C$1369,0)),"",INDEX('Compliance Database'!$J$2:$J$1369,MATCH(818,'Transfer Engine'!$C$2:$C$1369,0)))</f>
        <v/>
      </c>
      <c r="K827" s="9">
        <f>IF(ISNA(MATCH(818,'Transfer Engine'!$C$2:$C$1369,0)),"",INDEX('Compliance Database'!$K$2:$K$1369,MATCH(818,'Transfer Engine'!$C$2:$C$1369,0)))</f>
        <v/>
      </c>
      <c r="L827" s="9">
        <f>IF(ISNA(MATCH(818,'Transfer Engine'!$C$2:$C$1369,0)),"",INDEX('Compliance Database'!$L$2:$L$1369,MATCH(818,'Transfer Engine'!$C$2:$C$1369,0)))</f>
        <v/>
      </c>
      <c r="M827" s="9">
        <f>IF(ISNA(MATCH(818,'Transfer Engine'!$C$2:$C$1369,0)),"",INDEX('Compliance Database'!$M$2:$M$1369,MATCH(818,'Transfer Engine'!$C$2:$C$1369,0)))</f>
        <v/>
      </c>
      <c r="N827" s="9">
        <f>IF(ISNA(MATCH(818,'Transfer Engine'!$C$2:$C$1369,0)),"",INDEX('Compliance Database'!$N$2:$N$1369,MATCH(818,'Transfer Engine'!$C$2:$C$1369,0)))</f>
        <v/>
      </c>
      <c r="O827" s="8">
        <f>IF(ISNA(MATCH(818,'Transfer Engine'!$C$2:$C$1369,0)),"",HYPERLINK(INDEX('Compliance Database'!$O$2:$O$1369,MATCH(818,'Transfer Engine'!$C$2:$C$1369,0)),"Open PDF"))</f>
        <v/>
      </c>
    </row>
    <row r="828" ht="188" customHeight="1">
      <c r="A828" s="8">
        <f>IF(ISNA(MATCH(819,'Transfer Engine'!$C$2:$C$1369,0)),"",INDEX('Compliance Database'!$A$2:$A$1369,MATCH(819,'Transfer Engine'!$C$2:$C$1369,0)))</f>
        <v/>
      </c>
      <c r="B828" s="8">
        <f>IF(ISNA(MATCH(819,'Transfer Engine'!$C$2:$C$1369,0)),"",INDEX('Compliance Database'!$B$2:$B$1369,MATCH(819,'Transfer Engine'!$C$2:$C$1369,0)))</f>
        <v/>
      </c>
      <c r="C828" s="8">
        <f>IF(ISNA(MATCH(819,'Transfer Engine'!$C$2:$C$1369,0)),"",INDEX('Compliance Database'!$C$2:$C$1369,MATCH(819,'Transfer Engine'!$C$2:$C$1369,0)))</f>
        <v/>
      </c>
      <c r="D828" s="9">
        <f>IF(ISNA(MATCH(819,'Transfer Engine'!$C$2:$C$1369,0)),"",INDEX('Compliance Database'!$D$2:$D$1369,MATCH(819,'Transfer Engine'!$C$2:$C$1369,0)))</f>
        <v/>
      </c>
      <c r="E828" s="8">
        <f>IF(ISNA(MATCH(819,'Transfer Engine'!$C$2:$C$1369,0)),"",INDEX('Compliance Database'!$E$2:$E$1369,MATCH(819,'Transfer Engine'!$C$2:$C$1369,0)))</f>
        <v/>
      </c>
      <c r="F828" s="8">
        <f>IF(ISNA(MATCH(819,'Transfer Engine'!$C$2:$C$1369,0)),"",INDEX('Compliance Database'!$F$2:$F$1369,MATCH(819,'Transfer Engine'!$C$2:$C$1369,0)))</f>
        <v/>
      </c>
      <c r="G828" s="8">
        <f>IF(ISNA(MATCH(819,'Transfer Engine'!$C$2:$C$1369,0)),"",INDEX('Compliance Database'!$G$2:$G$1369,MATCH(819,'Transfer Engine'!$C$2:$C$1369,0)))</f>
        <v/>
      </c>
      <c r="H828" s="9">
        <f>IF(ISNA(MATCH(819,'Transfer Engine'!$C$2:$C$1369,0)),"",INDEX('Compliance Database'!$H$2:$H$1369,MATCH(819,'Transfer Engine'!$C$2:$C$1369,0)))</f>
        <v/>
      </c>
      <c r="I828" s="9">
        <f>IF(ISNA(MATCH(819,'Transfer Engine'!$C$2:$C$1369,0)),"",INDEX('Compliance Database'!$I$2:$I$1369,MATCH(819,'Transfer Engine'!$C$2:$C$1369,0)))</f>
        <v/>
      </c>
      <c r="J828" s="8">
        <f>IF(ISNA(MATCH(819,'Transfer Engine'!$C$2:$C$1369,0)),"",INDEX('Compliance Database'!$J$2:$J$1369,MATCH(819,'Transfer Engine'!$C$2:$C$1369,0)))</f>
        <v/>
      </c>
      <c r="K828" s="9">
        <f>IF(ISNA(MATCH(819,'Transfer Engine'!$C$2:$C$1369,0)),"",INDEX('Compliance Database'!$K$2:$K$1369,MATCH(819,'Transfer Engine'!$C$2:$C$1369,0)))</f>
        <v/>
      </c>
      <c r="L828" s="9">
        <f>IF(ISNA(MATCH(819,'Transfer Engine'!$C$2:$C$1369,0)),"",INDEX('Compliance Database'!$L$2:$L$1369,MATCH(819,'Transfer Engine'!$C$2:$C$1369,0)))</f>
        <v/>
      </c>
      <c r="M828" s="9">
        <f>IF(ISNA(MATCH(819,'Transfer Engine'!$C$2:$C$1369,0)),"",INDEX('Compliance Database'!$M$2:$M$1369,MATCH(819,'Transfer Engine'!$C$2:$C$1369,0)))</f>
        <v/>
      </c>
      <c r="N828" s="9">
        <f>IF(ISNA(MATCH(819,'Transfer Engine'!$C$2:$C$1369,0)),"",INDEX('Compliance Database'!$N$2:$N$1369,MATCH(819,'Transfer Engine'!$C$2:$C$1369,0)))</f>
        <v/>
      </c>
      <c r="O828" s="8">
        <f>IF(ISNA(MATCH(819,'Transfer Engine'!$C$2:$C$1369,0)),"",HYPERLINK(INDEX('Compliance Database'!$O$2:$O$1369,MATCH(819,'Transfer Engine'!$C$2:$C$1369,0)),"Open PDF"))</f>
        <v/>
      </c>
    </row>
    <row r="829" ht="188" customHeight="1">
      <c r="A829" s="8">
        <f>IF(ISNA(MATCH(820,'Transfer Engine'!$C$2:$C$1369,0)),"",INDEX('Compliance Database'!$A$2:$A$1369,MATCH(820,'Transfer Engine'!$C$2:$C$1369,0)))</f>
        <v/>
      </c>
      <c r="B829" s="8">
        <f>IF(ISNA(MATCH(820,'Transfer Engine'!$C$2:$C$1369,0)),"",INDEX('Compliance Database'!$B$2:$B$1369,MATCH(820,'Transfer Engine'!$C$2:$C$1369,0)))</f>
        <v/>
      </c>
      <c r="C829" s="8">
        <f>IF(ISNA(MATCH(820,'Transfer Engine'!$C$2:$C$1369,0)),"",INDEX('Compliance Database'!$C$2:$C$1369,MATCH(820,'Transfer Engine'!$C$2:$C$1369,0)))</f>
        <v/>
      </c>
      <c r="D829" s="9">
        <f>IF(ISNA(MATCH(820,'Transfer Engine'!$C$2:$C$1369,0)),"",INDEX('Compliance Database'!$D$2:$D$1369,MATCH(820,'Transfer Engine'!$C$2:$C$1369,0)))</f>
        <v/>
      </c>
      <c r="E829" s="8">
        <f>IF(ISNA(MATCH(820,'Transfer Engine'!$C$2:$C$1369,0)),"",INDEX('Compliance Database'!$E$2:$E$1369,MATCH(820,'Transfer Engine'!$C$2:$C$1369,0)))</f>
        <v/>
      </c>
      <c r="F829" s="8">
        <f>IF(ISNA(MATCH(820,'Transfer Engine'!$C$2:$C$1369,0)),"",INDEX('Compliance Database'!$F$2:$F$1369,MATCH(820,'Transfer Engine'!$C$2:$C$1369,0)))</f>
        <v/>
      </c>
      <c r="G829" s="8">
        <f>IF(ISNA(MATCH(820,'Transfer Engine'!$C$2:$C$1369,0)),"",INDEX('Compliance Database'!$G$2:$G$1369,MATCH(820,'Transfer Engine'!$C$2:$C$1369,0)))</f>
        <v/>
      </c>
      <c r="H829" s="9">
        <f>IF(ISNA(MATCH(820,'Transfer Engine'!$C$2:$C$1369,0)),"",INDEX('Compliance Database'!$H$2:$H$1369,MATCH(820,'Transfer Engine'!$C$2:$C$1369,0)))</f>
        <v/>
      </c>
      <c r="I829" s="9">
        <f>IF(ISNA(MATCH(820,'Transfer Engine'!$C$2:$C$1369,0)),"",INDEX('Compliance Database'!$I$2:$I$1369,MATCH(820,'Transfer Engine'!$C$2:$C$1369,0)))</f>
        <v/>
      </c>
      <c r="J829" s="8">
        <f>IF(ISNA(MATCH(820,'Transfer Engine'!$C$2:$C$1369,0)),"",INDEX('Compliance Database'!$J$2:$J$1369,MATCH(820,'Transfer Engine'!$C$2:$C$1369,0)))</f>
        <v/>
      </c>
      <c r="K829" s="9">
        <f>IF(ISNA(MATCH(820,'Transfer Engine'!$C$2:$C$1369,0)),"",INDEX('Compliance Database'!$K$2:$K$1369,MATCH(820,'Transfer Engine'!$C$2:$C$1369,0)))</f>
        <v/>
      </c>
      <c r="L829" s="9">
        <f>IF(ISNA(MATCH(820,'Transfer Engine'!$C$2:$C$1369,0)),"",INDEX('Compliance Database'!$L$2:$L$1369,MATCH(820,'Transfer Engine'!$C$2:$C$1369,0)))</f>
        <v/>
      </c>
      <c r="M829" s="9">
        <f>IF(ISNA(MATCH(820,'Transfer Engine'!$C$2:$C$1369,0)),"",INDEX('Compliance Database'!$M$2:$M$1369,MATCH(820,'Transfer Engine'!$C$2:$C$1369,0)))</f>
        <v/>
      </c>
      <c r="N829" s="9">
        <f>IF(ISNA(MATCH(820,'Transfer Engine'!$C$2:$C$1369,0)),"",INDEX('Compliance Database'!$N$2:$N$1369,MATCH(820,'Transfer Engine'!$C$2:$C$1369,0)))</f>
        <v/>
      </c>
      <c r="O829" s="8">
        <f>IF(ISNA(MATCH(820,'Transfer Engine'!$C$2:$C$1369,0)),"",HYPERLINK(INDEX('Compliance Database'!$O$2:$O$1369,MATCH(820,'Transfer Engine'!$C$2:$C$1369,0)),"Open PDF"))</f>
        <v/>
      </c>
    </row>
    <row r="830" ht="188" customHeight="1">
      <c r="A830" s="8">
        <f>IF(ISNA(MATCH(821,'Transfer Engine'!$C$2:$C$1369,0)),"",INDEX('Compliance Database'!$A$2:$A$1369,MATCH(821,'Transfer Engine'!$C$2:$C$1369,0)))</f>
        <v/>
      </c>
      <c r="B830" s="8">
        <f>IF(ISNA(MATCH(821,'Transfer Engine'!$C$2:$C$1369,0)),"",INDEX('Compliance Database'!$B$2:$B$1369,MATCH(821,'Transfer Engine'!$C$2:$C$1369,0)))</f>
        <v/>
      </c>
      <c r="C830" s="8">
        <f>IF(ISNA(MATCH(821,'Transfer Engine'!$C$2:$C$1369,0)),"",INDEX('Compliance Database'!$C$2:$C$1369,MATCH(821,'Transfer Engine'!$C$2:$C$1369,0)))</f>
        <v/>
      </c>
      <c r="D830" s="9">
        <f>IF(ISNA(MATCH(821,'Transfer Engine'!$C$2:$C$1369,0)),"",INDEX('Compliance Database'!$D$2:$D$1369,MATCH(821,'Transfer Engine'!$C$2:$C$1369,0)))</f>
        <v/>
      </c>
      <c r="E830" s="8">
        <f>IF(ISNA(MATCH(821,'Transfer Engine'!$C$2:$C$1369,0)),"",INDEX('Compliance Database'!$E$2:$E$1369,MATCH(821,'Transfer Engine'!$C$2:$C$1369,0)))</f>
        <v/>
      </c>
      <c r="F830" s="8">
        <f>IF(ISNA(MATCH(821,'Transfer Engine'!$C$2:$C$1369,0)),"",INDEX('Compliance Database'!$F$2:$F$1369,MATCH(821,'Transfer Engine'!$C$2:$C$1369,0)))</f>
        <v/>
      </c>
      <c r="G830" s="8">
        <f>IF(ISNA(MATCH(821,'Transfer Engine'!$C$2:$C$1369,0)),"",INDEX('Compliance Database'!$G$2:$G$1369,MATCH(821,'Transfer Engine'!$C$2:$C$1369,0)))</f>
        <v/>
      </c>
      <c r="H830" s="9">
        <f>IF(ISNA(MATCH(821,'Transfer Engine'!$C$2:$C$1369,0)),"",INDEX('Compliance Database'!$H$2:$H$1369,MATCH(821,'Transfer Engine'!$C$2:$C$1369,0)))</f>
        <v/>
      </c>
      <c r="I830" s="9">
        <f>IF(ISNA(MATCH(821,'Transfer Engine'!$C$2:$C$1369,0)),"",INDEX('Compliance Database'!$I$2:$I$1369,MATCH(821,'Transfer Engine'!$C$2:$C$1369,0)))</f>
        <v/>
      </c>
      <c r="J830" s="8">
        <f>IF(ISNA(MATCH(821,'Transfer Engine'!$C$2:$C$1369,0)),"",INDEX('Compliance Database'!$J$2:$J$1369,MATCH(821,'Transfer Engine'!$C$2:$C$1369,0)))</f>
        <v/>
      </c>
      <c r="K830" s="9">
        <f>IF(ISNA(MATCH(821,'Transfer Engine'!$C$2:$C$1369,0)),"",INDEX('Compliance Database'!$K$2:$K$1369,MATCH(821,'Transfer Engine'!$C$2:$C$1369,0)))</f>
        <v/>
      </c>
      <c r="L830" s="9">
        <f>IF(ISNA(MATCH(821,'Transfer Engine'!$C$2:$C$1369,0)),"",INDEX('Compliance Database'!$L$2:$L$1369,MATCH(821,'Transfer Engine'!$C$2:$C$1369,0)))</f>
        <v/>
      </c>
      <c r="M830" s="9">
        <f>IF(ISNA(MATCH(821,'Transfer Engine'!$C$2:$C$1369,0)),"",INDEX('Compliance Database'!$M$2:$M$1369,MATCH(821,'Transfer Engine'!$C$2:$C$1369,0)))</f>
        <v/>
      </c>
      <c r="N830" s="9">
        <f>IF(ISNA(MATCH(821,'Transfer Engine'!$C$2:$C$1369,0)),"",INDEX('Compliance Database'!$N$2:$N$1369,MATCH(821,'Transfer Engine'!$C$2:$C$1369,0)))</f>
        <v/>
      </c>
      <c r="O830" s="8">
        <f>IF(ISNA(MATCH(821,'Transfer Engine'!$C$2:$C$1369,0)),"",HYPERLINK(INDEX('Compliance Database'!$O$2:$O$1369,MATCH(821,'Transfer Engine'!$C$2:$C$1369,0)),"Open PDF"))</f>
        <v/>
      </c>
    </row>
    <row r="831" ht="188" customHeight="1">
      <c r="A831" s="8">
        <f>IF(ISNA(MATCH(822,'Transfer Engine'!$C$2:$C$1369,0)),"",INDEX('Compliance Database'!$A$2:$A$1369,MATCH(822,'Transfer Engine'!$C$2:$C$1369,0)))</f>
        <v/>
      </c>
      <c r="B831" s="8">
        <f>IF(ISNA(MATCH(822,'Transfer Engine'!$C$2:$C$1369,0)),"",INDEX('Compliance Database'!$B$2:$B$1369,MATCH(822,'Transfer Engine'!$C$2:$C$1369,0)))</f>
        <v/>
      </c>
      <c r="C831" s="8">
        <f>IF(ISNA(MATCH(822,'Transfer Engine'!$C$2:$C$1369,0)),"",INDEX('Compliance Database'!$C$2:$C$1369,MATCH(822,'Transfer Engine'!$C$2:$C$1369,0)))</f>
        <v/>
      </c>
      <c r="D831" s="9">
        <f>IF(ISNA(MATCH(822,'Transfer Engine'!$C$2:$C$1369,0)),"",INDEX('Compliance Database'!$D$2:$D$1369,MATCH(822,'Transfer Engine'!$C$2:$C$1369,0)))</f>
        <v/>
      </c>
      <c r="E831" s="8">
        <f>IF(ISNA(MATCH(822,'Transfer Engine'!$C$2:$C$1369,0)),"",INDEX('Compliance Database'!$E$2:$E$1369,MATCH(822,'Transfer Engine'!$C$2:$C$1369,0)))</f>
        <v/>
      </c>
      <c r="F831" s="8">
        <f>IF(ISNA(MATCH(822,'Transfer Engine'!$C$2:$C$1369,0)),"",INDEX('Compliance Database'!$F$2:$F$1369,MATCH(822,'Transfer Engine'!$C$2:$C$1369,0)))</f>
        <v/>
      </c>
      <c r="G831" s="8">
        <f>IF(ISNA(MATCH(822,'Transfer Engine'!$C$2:$C$1369,0)),"",INDEX('Compliance Database'!$G$2:$G$1369,MATCH(822,'Transfer Engine'!$C$2:$C$1369,0)))</f>
        <v/>
      </c>
      <c r="H831" s="9">
        <f>IF(ISNA(MATCH(822,'Transfer Engine'!$C$2:$C$1369,0)),"",INDEX('Compliance Database'!$H$2:$H$1369,MATCH(822,'Transfer Engine'!$C$2:$C$1369,0)))</f>
        <v/>
      </c>
      <c r="I831" s="9">
        <f>IF(ISNA(MATCH(822,'Transfer Engine'!$C$2:$C$1369,0)),"",INDEX('Compliance Database'!$I$2:$I$1369,MATCH(822,'Transfer Engine'!$C$2:$C$1369,0)))</f>
        <v/>
      </c>
      <c r="J831" s="8">
        <f>IF(ISNA(MATCH(822,'Transfer Engine'!$C$2:$C$1369,0)),"",INDEX('Compliance Database'!$J$2:$J$1369,MATCH(822,'Transfer Engine'!$C$2:$C$1369,0)))</f>
        <v/>
      </c>
      <c r="K831" s="9">
        <f>IF(ISNA(MATCH(822,'Transfer Engine'!$C$2:$C$1369,0)),"",INDEX('Compliance Database'!$K$2:$K$1369,MATCH(822,'Transfer Engine'!$C$2:$C$1369,0)))</f>
        <v/>
      </c>
      <c r="L831" s="9">
        <f>IF(ISNA(MATCH(822,'Transfer Engine'!$C$2:$C$1369,0)),"",INDEX('Compliance Database'!$L$2:$L$1369,MATCH(822,'Transfer Engine'!$C$2:$C$1369,0)))</f>
        <v/>
      </c>
      <c r="M831" s="9">
        <f>IF(ISNA(MATCH(822,'Transfer Engine'!$C$2:$C$1369,0)),"",INDEX('Compliance Database'!$M$2:$M$1369,MATCH(822,'Transfer Engine'!$C$2:$C$1369,0)))</f>
        <v/>
      </c>
      <c r="N831" s="9">
        <f>IF(ISNA(MATCH(822,'Transfer Engine'!$C$2:$C$1369,0)),"",INDEX('Compliance Database'!$N$2:$N$1369,MATCH(822,'Transfer Engine'!$C$2:$C$1369,0)))</f>
        <v/>
      </c>
      <c r="O831" s="8">
        <f>IF(ISNA(MATCH(822,'Transfer Engine'!$C$2:$C$1369,0)),"",HYPERLINK(INDEX('Compliance Database'!$O$2:$O$1369,MATCH(822,'Transfer Engine'!$C$2:$C$1369,0)),"Open PDF"))</f>
        <v/>
      </c>
    </row>
    <row r="832" ht="188" customHeight="1">
      <c r="A832" s="8">
        <f>IF(ISNA(MATCH(823,'Transfer Engine'!$C$2:$C$1369,0)),"",INDEX('Compliance Database'!$A$2:$A$1369,MATCH(823,'Transfer Engine'!$C$2:$C$1369,0)))</f>
        <v/>
      </c>
      <c r="B832" s="8">
        <f>IF(ISNA(MATCH(823,'Transfer Engine'!$C$2:$C$1369,0)),"",INDEX('Compliance Database'!$B$2:$B$1369,MATCH(823,'Transfer Engine'!$C$2:$C$1369,0)))</f>
        <v/>
      </c>
      <c r="C832" s="8">
        <f>IF(ISNA(MATCH(823,'Transfer Engine'!$C$2:$C$1369,0)),"",INDEX('Compliance Database'!$C$2:$C$1369,MATCH(823,'Transfer Engine'!$C$2:$C$1369,0)))</f>
        <v/>
      </c>
      <c r="D832" s="9">
        <f>IF(ISNA(MATCH(823,'Transfer Engine'!$C$2:$C$1369,0)),"",INDEX('Compliance Database'!$D$2:$D$1369,MATCH(823,'Transfer Engine'!$C$2:$C$1369,0)))</f>
        <v/>
      </c>
      <c r="E832" s="8">
        <f>IF(ISNA(MATCH(823,'Transfer Engine'!$C$2:$C$1369,0)),"",INDEX('Compliance Database'!$E$2:$E$1369,MATCH(823,'Transfer Engine'!$C$2:$C$1369,0)))</f>
        <v/>
      </c>
      <c r="F832" s="8">
        <f>IF(ISNA(MATCH(823,'Transfer Engine'!$C$2:$C$1369,0)),"",INDEX('Compliance Database'!$F$2:$F$1369,MATCH(823,'Transfer Engine'!$C$2:$C$1369,0)))</f>
        <v/>
      </c>
      <c r="G832" s="8">
        <f>IF(ISNA(MATCH(823,'Transfer Engine'!$C$2:$C$1369,0)),"",INDEX('Compliance Database'!$G$2:$G$1369,MATCH(823,'Transfer Engine'!$C$2:$C$1369,0)))</f>
        <v/>
      </c>
      <c r="H832" s="9">
        <f>IF(ISNA(MATCH(823,'Transfer Engine'!$C$2:$C$1369,0)),"",INDEX('Compliance Database'!$H$2:$H$1369,MATCH(823,'Transfer Engine'!$C$2:$C$1369,0)))</f>
        <v/>
      </c>
      <c r="I832" s="9">
        <f>IF(ISNA(MATCH(823,'Transfer Engine'!$C$2:$C$1369,0)),"",INDEX('Compliance Database'!$I$2:$I$1369,MATCH(823,'Transfer Engine'!$C$2:$C$1369,0)))</f>
        <v/>
      </c>
      <c r="J832" s="8">
        <f>IF(ISNA(MATCH(823,'Transfer Engine'!$C$2:$C$1369,0)),"",INDEX('Compliance Database'!$J$2:$J$1369,MATCH(823,'Transfer Engine'!$C$2:$C$1369,0)))</f>
        <v/>
      </c>
      <c r="K832" s="9">
        <f>IF(ISNA(MATCH(823,'Transfer Engine'!$C$2:$C$1369,0)),"",INDEX('Compliance Database'!$K$2:$K$1369,MATCH(823,'Transfer Engine'!$C$2:$C$1369,0)))</f>
        <v/>
      </c>
      <c r="L832" s="9">
        <f>IF(ISNA(MATCH(823,'Transfer Engine'!$C$2:$C$1369,0)),"",INDEX('Compliance Database'!$L$2:$L$1369,MATCH(823,'Transfer Engine'!$C$2:$C$1369,0)))</f>
        <v/>
      </c>
      <c r="M832" s="9">
        <f>IF(ISNA(MATCH(823,'Transfer Engine'!$C$2:$C$1369,0)),"",INDEX('Compliance Database'!$M$2:$M$1369,MATCH(823,'Transfer Engine'!$C$2:$C$1369,0)))</f>
        <v/>
      </c>
      <c r="N832" s="9">
        <f>IF(ISNA(MATCH(823,'Transfer Engine'!$C$2:$C$1369,0)),"",INDEX('Compliance Database'!$N$2:$N$1369,MATCH(823,'Transfer Engine'!$C$2:$C$1369,0)))</f>
        <v/>
      </c>
      <c r="O832" s="8">
        <f>IF(ISNA(MATCH(823,'Transfer Engine'!$C$2:$C$1369,0)),"",HYPERLINK(INDEX('Compliance Database'!$O$2:$O$1369,MATCH(823,'Transfer Engine'!$C$2:$C$1369,0)),"Open PDF"))</f>
        <v/>
      </c>
    </row>
    <row r="833" ht="188" customHeight="1">
      <c r="A833" s="8">
        <f>IF(ISNA(MATCH(824,'Transfer Engine'!$C$2:$C$1369,0)),"",INDEX('Compliance Database'!$A$2:$A$1369,MATCH(824,'Transfer Engine'!$C$2:$C$1369,0)))</f>
        <v/>
      </c>
      <c r="B833" s="8">
        <f>IF(ISNA(MATCH(824,'Transfer Engine'!$C$2:$C$1369,0)),"",INDEX('Compliance Database'!$B$2:$B$1369,MATCH(824,'Transfer Engine'!$C$2:$C$1369,0)))</f>
        <v/>
      </c>
      <c r="C833" s="8">
        <f>IF(ISNA(MATCH(824,'Transfer Engine'!$C$2:$C$1369,0)),"",INDEX('Compliance Database'!$C$2:$C$1369,MATCH(824,'Transfer Engine'!$C$2:$C$1369,0)))</f>
        <v/>
      </c>
      <c r="D833" s="9">
        <f>IF(ISNA(MATCH(824,'Transfer Engine'!$C$2:$C$1369,0)),"",INDEX('Compliance Database'!$D$2:$D$1369,MATCH(824,'Transfer Engine'!$C$2:$C$1369,0)))</f>
        <v/>
      </c>
      <c r="E833" s="8">
        <f>IF(ISNA(MATCH(824,'Transfer Engine'!$C$2:$C$1369,0)),"",INDEX('Compliance Database'!$E$2:$E$1369,MATCH(824,'Transfer Engine'!$C$2:$C$1369,0)))</f>
        <v/>
      </c>
      <c r="F833" s="8">
        <f>IF(ISNA(MATCH(824,'Transfer Engine'!$C$2:$C$1369,0)),"",INDEX('Compliance Database'!$F$2:$F$1369,MATCH(824,'Transfer Engine'!$C$2:$C$1369,0)))</f>
        <v/>
      </c>
      <c r="G833" s="8">
        <f>IF(ISNA(MATCH(824,'Transfer Engine'!$C$2:$C$1369,0)),"",INDEX('Compliance Database'!$G$2:$G$1369,MATCH(824,'Transfer Engine'!$C$2:$C$1369,0)))</f>
        <v/>
      </c>
      <c r="H833" s="9">
        <f>IF(ISNA(MATCH(824,'Transfer Engine'!$C$2:$C$1369,0)),"",INDEX('Compliance Database'!$H$2:$H$1369,MATCH(824,'Transfer Engine'!$C$2:$C$1369,0)))</f>
        <v/>
      </c>
      <c r="I833" s="9">
        <f>IF(ISNA(MATCH(824,'Transfer Engine'!$C$2:$C$1369,0)),"",INDEX('Compliance Database'!$I$2:$I$1369,MATCH(824,'Transfer Engine'!$C$2:$C$1369,0)))</f>
        <v/>
      </c>
      <c r="J833" s="8">
        <f>IF(ISNA(MATCH(824,'Transfer Engine'!$C$2:$C$1369,0)),"",INDEX('Compliance Database'!$J$2:$J$1369,MATCH(824,'Transfer Engine'!$C$2:$C$1369,0)))</f>
        <v/>
      </c>
      <c r="K833" s="9">
        <f>IF(ISNA(MATCH(824,'Transfer Engine'!$C$2:$C$1369,0)),"",INDEX('Compliance Database'!$K$2:$K$1369,MATCH(824,'Transfer Engine'!$C$2:$C$1369,0)))</f>
        <v/>
      </c>
      <c r="L833" s="9">
        <f>IF(ISNA(MATCH(824,'Transfer Engine'!$C$2:$C$1369,0)),"",INDEX('Compliance Database'!$L$2:$L$1369,MATCH(824,'Transfer Engine'!$C$2:$C$1369,0)))</f>
        <v/>
      </c>
      <c r="M833" s="9">
        <f>IF(ISNA(MATCH(824,'Transfer Engine'!$C$2:$C$1369,0)),"",INDEX('Compliance Database'!$M$2:$M$1369,MATCH(824,'Transfer Engine'!$C$2:$C$1369,0)))</f>
        <v/>
      </c>
      <c r="N833" s="9">
        <f>IF(ISNA(MATCH(824,'Transfer Engine'!$C$2:$C$1369,0)),"",INDEX('Compliance Database'!$N$2:$N$1369,MATCH(824,'Transfer Engine'!$C$2:$C$1369,0)))</f>
        <v/>
      </c>
      <c r="O833" s="8">
        <f>IF(ISNA(MATCH(824,'Transfer Engine'!$C$2:$C$1369,0)),"",HYPERLINK(INDEX('Compliance Database'!$O$2:$O$1369,MATCH(824,'Transfer Engine'!$C$2:$C$1369,0)),"Open PDF"))</f>
        <v/>
      </c>
    </row>
    <row r="834" ht="188" customHeight="1">
      <c r="A834" s="8">
        <f>IF(ISNA(MATCH(825,'Transfer Engine'!$C$2:$C$1369,0)),"",INDEX('Compliance Database'!$A$2:$A$1369,MATCH(825,'Transfer Engine'!$C$2:$C$1369,0)))</f>
        <v/>
      </c>
      <c r="B834" s="8">
        <f>IF(ISNA(MATCH(825,'Transfer Engine'!$C$2:$C$1369,0)),"",INDEX('Compliance Database'!$B$2:$B$1369,MATCH(825,'Transfer Engine'!$C$2:$C$1369,0)))</f>
        <v/>
      </c>
      <c r="C834" s="8">
        <f>IF(ISNA(MATCH(825,'Transfer Engine'!$C$2:$C$1369,0)),"",INDEX('Compliance Database'!$C$2:$C$1369,MATCH(825,'Transfer Engine'!$C$2:$C$1369,0)))</f>
        <v/>
      </c>
      <c r="D834" s="9">
        <f>IF(ISNA(MATCH(825,'Transfer Engine'!$C$2:$C$1369,0)),"",INDEX('Compliance Database'!$D$2:$D$1369,MATCH(825,'Transfer Engine'!$C$2:$C$1369,0)))</f>
        <v/>
      </c>
      <c r="E834" s="8">
        <f>IF(ISNA(MATCH(825,'Transfer Engine'!$C$2:$C$1369,0)),"",INDEX('Compliance Database'!$E$2:$E$1369,MATCH(825,'Transfer Engine'!$C$2:$C$1369,0)))</f>
        <v/>
      </c>
      <c r="F834" s="8">
        <f>IF(ISNA(MATCH(825,'Transfer Engine'!$C$2:$C$1369,0)),"",INDEX('Compliance Database'!$F$2:$F$1369,MATCH(825,'Transfer Engine'!$C$2:$C$1369,0)))</f>
        <v/>
      </c>
      <c r="G834" s="8">
        <f>IF(ISNA(MATCH(825,'Transfer Engine'!$C$2:$C$1369,0)),"",INDEX('Compliance Database'!$G$2:$G$1369,MATCH(825,'Transfer Engine'!$C$2:$C$1369,0)))</f>
        <v/>
      </c>
      <c r="H834" s="9">
        <f>IF(ISNA(MATCH(825,'Transfer Engine'!$C$2:$C$1369,0)),"",INDEX('Compliance Database'!$H$2:$H$1369,MATCH(825,'Transfer Engine'!$C$2:$C$1369,0)))</f>
        <v/>
      </c>
      <c r="I834" s="9">
        <f>IF(ISNA(MATCH(825,'Transfer Engine'!$C$2:$C$1369,0)),"",INDEX('Compliance Database'!$I$2:$I$1369,MATCH(825,'Transfer Engine'!$C$2:$C$1369,0)))</f>
        <v/>
      </c>
      <c r="J834" s="8">
        <f>IF(ISNA(MATCH(825,'Transfer Engine'!$C$2:$C$1369,0)),"",INDEX('Compliance Database'!$J$2:$J$1369,MATCH(825,'Transfer Engine'!$C$2:$C$1369,0)))</f>
        <v/>
      </c>
      <c r="K834" s="9">
        <f>IF(ISNA(MATCH(825,'Transfer Engine'!$C$2:$C$1369,0)),"",INDEX('Compliance Database'!$K$2:$K$1369,MATCH(825,'Transfer Engine'!$C$2:$C$1369,0)))</f>
        <v/>
      </c>
      <c r="L834" s="9">
        <f>IF(ISNA(MATCH(825,'Transfer Engine'!$C$2:$C$1369,0)),"",INDEX('Compliance Database'!$L$2:$L$1369,MATCH(825,'Transfer Engine'!$C$2:$C$1369,0)))</f>
        <v/>
      </c>
      <c r="M834" s="9">
        <f>IF(ISNA(MATCH(825,'Transfer Engine'!$C$2:$C$1369,0)),"",INDEX('Compliance Database'!$M$2:$M$1369,MATCH(825,'Transfer Engine'!$C$2:$C$1369,0)))</f>
        <v/>
      </c>
      <c r="N834" s="9">
        <f>IF(ISNA(MATCH(825,'Transfer Engine'!$C$2:$C$1369,0)),"",INDEX('Compliance Database'!$N$2:$N$1369,MATCH(825,'Transfer Engine'!$C$2:$C$1369,0)))</f>
        <v/>
      </c>
      <c r="O834" s="8">
        <f>IF(ISNA(MATCH(825,'Transfer Engine'!$C$2:$C$1369,0)),"",HYPERLINK(INDEX('Compliance Database'!$O$2:$O$1369,MATCH(825,'Transfer Engine'!$C$2:$C$1369,0)),"Open PDF"))</f>
        <v/>
      </c>
    </row>
    <row r="835" ht="188" customHeight="1">
      <c r="A835" s="8">
        <f>IF(ISNA(MATCH(826,'Transfer Engine'!$C$2:$C$1369,0)),"",INDEX('Compliance Database'!$A$2:$A$1369,MATCH(826,'Transfer Engine'!$C$2:$C$1369,0)))</f>
        <v/>
      </c>
      <c r="B835" s="8">
        <f>IF(ISNA(MATCH(826,'Transfer Engine'!$C$2:$C$1369,0)),"",INDEX('Compliance Database'!$B$2:$B$1369,MATCH(826,'Transfer Engine'!$C$2:$C$1369,0)))</f>
        <v/>
      </c>
      <c r="C835" s="8">
        <f>IF(ISNA(MATCH(826,'Transfer Engine'!$C$2:$C$1369,0)),"",INDEX('Compliance Database'!$C$2:$C$1369,MATCH(826,'Transfer Engine'!$C$2:$C$1369,0)))</f>
        <v/>
      </c>
      <c r="D835" s="9">
        <f>IF(ISNA(MATCH(826,'Transfer Engine'!$C$2:$C$1369,0)),"",INDEX('Compliance Database'!$D$2:$D$1369,MATCH(826,'Transfer Engine'!$C$2:$C$1369,0)))</f>
        <v/>
      </c>
      <c r="E835" s="8">
        <f>IF(ISNA(MATCH(826,'Transfer Engine'!$C$2:$C$1369,0)),"",INDEX('Compliance Database'!$E$2:$E$1369,MATCH(826,'Transfer Engine'!$C$2:$C$1369,0)))</f>
        <v/>
      </c>
      <c r="F835" s="8">
        <f>IF(ISNA(MATCH(826,'Transfer Engine'!$C$2:$C$1369,0)),"",INDEX('Compliance Database'!$F$2:$F$1369,MATCH(826,'Transfer Engine'!$C$2:$C$1369,0)))</f>
        <v/>
      </c>
      <c r="G835" s="8">
        <f>IF(ISNA(MATCH(826,'Transfer Engine'!$C$2:$C$1369,0)),"",INDEX('Compliance Database'!$G$2:$G$1369,MATCH(826,'Transfer Engine'!$C$2:$C$1369,0)))</f>
        <v/>
      </c>
      <c r="H835" s="9">
        <f>IF(ISNA(MATCH(826,'Transfer Engine'!$C$2:$C$1369,0)),"",INDEX('Compliance Database'!$H$2:$H$1369,MATCH(826,'Transfer Engine'!$C$2:$C$1369,0)))</f>
        <v/>
      </c>
      <c r="I835" s="9">
        <f>IF(ISNA(MATCH(826,'Transfer Engine'!$C$2:$C$1369,0)),"",INDEX('Compliance Database'!$I$2:$I$1369,MATCH(826,'Transfer Engine'!$C$2:$C$1369,0)))</f>
        <v/>
      </c>
      <c r="J835" s="8">
        <f>IF(ISNA(MATCH(826,'Transfer Engine'!$C$2:$C$1369,0)),"",INDEX('Compliance Database'!$J$2:$J$1369,MATCH(826,'Transfer Engine'!$C$2:$C$1369,0)))</f>
        <v/>
      </c>
      <c r="K835" s="9">
        <f>IF(ISNA(MATCH(826,'Transfer Engine'!$C$2:$C$1369,0)),"",INDEX('Compliance Database'!$K$2:$K$1369,MATCH(826,'Transfer Engine'!$C$2:$C$1369,0)))</f>
        <v/>
      </c>
      <c r="L835" s="9">
        <f>IF(ISNA(MATCH(826,'Transfer Engine'!$C$2:$C$1369,0)),"",INDEX('Compliance Database'!$L$2:$L$1369,MATCH(826,'Transfer Engine'!$C$2:$C$1369,0)))</f>
        <v/>
      </c>
      <c r="M835" s="9">
        <f>IF(ISNA(MATCH(826,'Transfer Engine'!$C$2:$C$1369,0)),"",INDEX('Compliance Database'!$M$2:$M$1369,MATCH(826,'Transfer Engine'!$C$2:$C$1369,0)))</f>
        <v/>
      </c>
      <c r="N835" s="9">
        <f>IF(ISNA(MATCH(826,'Transfer Engine'!$C$2:$C$1369,0)),"",INDEX('Compliance Database'!$N$2:$N$1369,MATCH(826,'Transfer Engine'!$C$2:$C$1369,0)))</f>
        <v/>
      </c>
      <c r="O835" s="8">
        <f>IF(ISNA(MATCH(826,'Transfer Engine'!$C$2:$C$1369,0)),"",HYPERLINK(INDEX('Compliance Database'!$O$2:$O$1369,MATCH(826,'Transfer Engine'!$C$2:$C$1369,0)),"Open PDF"))</f>
        <v/>
      </c>
    </row>
    <row r="836" ht="188" customHeight="1">
      <c r="A836" s="8">
        <f>IF(ISNA(MATCH(827,'Transfer Engine'!$C$2:$C$1369,0)),"",INDEX('Compliance Database'!$A$2:$A$1369,MATCH(827,'Transfer Engine'!$C$2:$C$1369,0)))</f>
        <v/>
      </c>
      <c r="B836" s="8">
        <f>IF(ISNA(MATCH(827,'Transfer Engine'!$C$2:$C$1369,0)),"",INDEX('Compliance Database'!$B$2:$B$1369,MATCH(827,'Transfer Engine'!$C$2:$C$1369,0)))</f>
        <v/>
      </c>
      <c r="C836" s="8">
        <f>IF(ISNA(MATCH(827,'Transfer Engine'!$C$2:$C$1369,0)),"",INDEX('Compliance Database'!$C$2:$C$1369,MATCH(827,'Transfer Engine'!$C$2:$C$1369,0)))</f>
        <v/>
      </c>
      <c r="D836" s="9">
        <f>IF(ISNA(MATCH(827,'Transfer Engine'!$C$2:$C$1369,0)),"",INDEX('Compliance Database'!$D$2:$D$1369,MATCH(827,'Transfer Engine'!$C$2:$C$1369,0)))</f>
        <v/>
      </c>
      <c r="E836" s="8">
        <f>IF(ISNA(MATCH(827,'Transfer Engine'!$C$2:$C$1369,0)),"",INDEX('Compliance Database'!$E$2:$E$1369,MATCH(827,'Transfer Engine'!$C$2:$C$1369,0)))</f>
        <v/>
      </c>
      <c r="F836" s="8">
        <f>IF(ISNA(MATCH(827,'Transfer Engine'!$C$2:$C$1369,0)),"",INDEX('Compliance Database'!$F$2:$F$1369,MATCH(827,'Transfer Engine'!$C$2:$C$1369,0)))</f>
        <v/>
      </c>
      <c r="G836" s="8">
        <f>IF(ISNA(MATCH(827,'Transfer Engine'!$C$2:$C$1369,0)),"",INDEX('Compliance Database'!$G$2:$G$1369,MATCH(827,'Transfer Engine'!$C$2:$C$1369,0)))</f>
        <v/>
      </c>
      <c r="H836" s="9">
        <f>IF(ISNA(MATCH(827,'Transfer Engine'!$C$2:$C$1369,0)),"",INDEX('Compliance Database'!$H$2:$H$1369,MATCH(827,'Transfer Engine'!$C$2:$C$1369,0)))</f>
        <v/>
      </c>
      <c r="I836" s="9">
        <f>IF(ISNA(MATCH(827,'Transfer Engine'!$C$2:$C$1369,0)),"",INDEX('Compliance Database'!$I$2:$I$1369,MATCH(827,'Transfer Engine'!$C$2:$C$1369,0)))</f>
        <v/>
      </c>
      <c r="J836" s="8">
        <f>IF(ISNA(MATCH(827,'Transfer Engine'!$C$2:$C$1369,0)),"",INDEX('Compliance Database'!$J$2:$J$1369,MATCH(827,'Transfer Engine'!$C$2:$C$1369,0)))</f>
        <v/>
      </c>
      <c r="K836" s="9">
        <f>IF(ISNA(MATCH(827,'Transfer Engine'!$C$2:$C$1369,0)),"",INDEX('Compliance Database'!$K$2:$K$1369,MATCH(827,'Transfer Engine'!$C$2:$C$1369,0)))</f>
        <v/>
      </c>
      <c r="L836" s="9">
        <f>IF(ISNA(MATCH(827,'Transfer Engine'!$C$2:$C$1369,0)),"",INDEX('Compliance Database'!$L$2:$L$1369,MATCH(827,'Transfer Engine'!$C$2:$C$1369,0)))</f>
        <v/>
      </c>
      <c r="M836" s="9">
        <f>IF(ISNA(MATCH(827,'Transfer Engine'!$C$2:$C$1369,0)),"",INDEX('Compliance Database'!$M$2:$M$1369,MATCH(827,'Transfer Engine'!$C$2:$C$1369,0)))</f>
        <v/>
      </c>
      <c r="N836" s="9">
        <f>IF(ISNA(MATCH(827,'Transfer Engine'!$C$2:$C$1369,0)),"",INDEX('Compliance Database'!$N$2:$N$1369,MATCH(827,'Transfer Engine'!$C$2:$C$1369,0)))</f>
        <v/>
      </c>
      <c r="O836" s="8">
        <f>IF(ISNA(MATCH(827,'Transfer Engine'!$C$2:$C$1369,0)),"",HYPERLINK(INDEX('Compliance Database'!$O$2:$O$1369,MATCH(827,'Transfer Engine'!$C$2:$C$1369,0)),"Open PDF"))</f>
        <v/>
      </c>
    </row>
    <row r="837" ht="188" customHeight="1">
      <c r="A837" s="8">
        <f>IF(ISNA(MATCH(828,'Transfer Engine'!$C$2:$C$1369,0)),"",INDEX('Compliance Database'!$A$2:$A$1369,MATCH(828,'Transfer Engine'!$C$2:$C$1369,0)))</f>
        <v/>
      </c>
      <c r="B837" s="8">
        <f>IF(ISNA(MATCH(828,'Transfer Engine'!$C$2:$C$1369,0)),"",INDEX('Compliance Database'!$B$2:$B$1369,MATCH(828,'Transfer Engine'!$C$2:$C$1369,0)))</f>
        <v/>
      </c>
      <c r="C837" s="8">
        <f>IF(ISNA(MATCH(828,'Transfer Engine'!$C$2:$C$1369,0)),"",INDEX('Compliance Database'!$C$2:$C$1369,MATCH(828,'Transfer Engine'!$C$2:$C$1369,0)))</f>
        <v/>
      </c>
      <c r="D837" s="9">
        <f>IF(ISNA(MATCH(828,'Transfer Engine'!$C$2:$C$1369,0)),"",INDEX('Compliance Database'!$D$2:$D$1369,MATCH(828,'Transfer Engine'!$C$2:$C$1369,0)))</f>
        <v/>
      </c>
      <c r="E837" s="8">
        <f>IF(ISNA(MATCH(828,'Transfer Engine'!$C$2:$C$1369,0)),"",INDEX('Compliance Database'!$E$2:$E$1369,MATCH(828,'Transfer Engine'!$C$2:$C$1369,0)))</f>
        <v/>
      </c>
      <c r="F837" s="8">
        <f>IF(ISNA(MATCH(828,'Transfer Engine'!$C$2:$C$1369,0)),"",INDEX('Compliance Database'!$F$2:$F$1369,MATCH(828,'Transfer Engine'!$C$2:$C$1369,0)))</f>
        <v/>
      </c>
      <c r="G837" s="8">
        <f>IF(ISNA(MATCH(828,'Transfer Engine'!$C$2:$C$1369,0)),"",INDEX('Compliance Database'!$G$2:$G$1369,MATCH(828,'Transfer Engine'!$C$2:$C$1369,0)))</f>
        <v/>
      </c>
      <c r="H837" s="9">
        <f>IF(ISNA(MATCH(828,'Transfer Engine'!$C$2:$C$1369,0)),"",INDEX('Compliance Database'!$H$2:$H$1369,MATCH(828,'Transfer Engine'!$C$2:$C$1369,0)))</f>
        <v/>
      </c>
      <c r="I837" s="9">
        <f>IF(ISNA(MATCH(828,'Transfer Engine'!$C$2:$C$1369,0)),"",INDEX('Compliance Database'!$I$2:$I$1369,MATCH(828,'Transfer Engine'!$C$2:$C$1369,0)))</f>
        <v/>
      </c>
      <c r="J837" s="8">
        <f>IF(ISNA(MATCH(828,'Transfer Engine'!$C$2:$C$1369,0)),"",INDEX('Compliance Database'!$J$2:$J$1369,MATCH(828,'Transfer Engine'!$C$2:$C$1369,0)))</f>
        <v/>
      </c>
      <c r="K837" s="9">
        <f>IF(ISNA(MATCH(828,'Transfer Engine'!$C$2:$C$1369,0)),"",INDEX('Compliance Database'!$K$2:$K$1369,MATCH(828,'Transfer Engine'!$C$2:$C$1369,0)))</f>
        <v/>
      </c>
      <c r="L837" s="9">
        <f>IF(ISNA(MATCH(828,'Transfer Engine'!$C$2:$C$1369,0)),"",INDEX('Compliance Database'!$L$2:$L$1369,MATCH(828,'Transfer Engine'!$C$2:$C$1369,0)))</f>
        <v/>
      </c>
      <c r="M837" s="9">
        <f>IF(ISNA(MATCH(828,'Transfer Engine'!$C$2:$C$1369,0)),"",INDEX('Compliance Database'!$M$2:$M$1369,MATCH(828,'Transfer Engine'!$C$2:$C$1369,0)))</f>
        <v/>
      </c>
      <c r="N837" s="9">
        <f>IF(ISNA(MATCH(828,'Transfer Engine'!$C$2:$C$1369,0)),"",INDEX('Compliance Database'!$N$2:$N$1369,MATCH(828,'Transfer Engine'!$C$2:$C$1369,0)))</f>
        <v/>
      </c>
      <c r="O837" s="8">
        <f>IF(ISNA(MATCH(828,'Transfer Engine'!$C$2:$C$1369,0)),"",HYPERLINK(INDEX('Compliance Database'!$O$2:$O$1369,MATCH(828,'Transfer Engine'!$C$2:$C$1369,0)),"Open PDF"))</f>
        <v/>
      </c>
    </row>
    <row r="838" ht="188" customHeight="1">
      <c r="A838" s="8">
        <f>IF(ISNA(MATCH(829,'Transfer Engine'!$C$2:$C$1369,0)),"",INDEX('Compliance Database'!$A$2:$A$1369,MATCH(829,'Transfer Engine'!$C$2:$C$1369,0)))</f>
        <v/>
      </c>
      <c r="B838" s="8">
        <f>IF(ISNA(MATCH(829,'Transfer Engine'!$C$2:$C$1369,0)),"",INDEX('Compliance Database'!$B$2:$B$1369,MATCH(829,'Transfer Engine'!$C$2:$C$1369,0)))</f>
        <v/>
      </c>
      <c r="C838" s="8">
        <f>IF(ISNA(MATCH(829,'Transfer Engine'!$C$2:$C$1369,0)),"",INDEX('Compliance Database'!$C$2:$C$1369,MATCH(829,'Transfer Engine'!$C$2:$C$1369,0)))</f>
        <v/>
      </c>
      <c r="D838" s="9">
        <f>IF(ISNA(MATCH(829,'Transfer Engine'!$C$2:$C$1369,0)),"",INDEX('Compliance Database'!$D$2:$D$1369,MATCH(829,'Transfer Engine'!$C$2:$C$1369,0)))</f>
        <v/>
      </c>
      <c r="E838" s="8">
        <f>IF(ISNA(MATCH(829,'Transfer Engine'!$C$2:$C$1369,0)),"",INDEX('Compliance Database'!$E$2:$E$1369,MATCH(829,'Transfer Engine'!$C$2:$C$1369,0)))</f>
        <v/>
      </c>
      <c r="F838" s="8">
        <f>IF(ISNA(MATCH(829,'Transfer Engine'!$C$2:$C$1369,0)),"",INDEX('Compliance Database'!$F$2:$F$1369,MATCH(829,'Transfer Engine'!$C$2:$C$1369,0)))</f>
        <v/>
      </c>
      <c r="G838" s="8">
        <f>IF(ISNA(MATCH(829,'Transfer Engine'!$C$2:$C$1369,0)),"",INDEX('Compliance Database'!$G$2:$G$1369,MATCH(829,'Transfer Engine'!$C$2:$C$1369,0)))</f>
        <v/>
      </c>
      <c r="H838" s="9">
        <f>IF(ISNA(MATCH(829,'Transfer Engine'!$C$2:$C$1369,0)),"",INDEX('Compliance Database'!$H$2:$H$1369,MATCH(829,'Transfer Engine'!$C$2:$C$1369,0)))</f>
        <v/>
      </c>
      <c r="I838" s="9">
        <f>IF(ISNA(MATCH(829,'Transfer Engine'!$C$2:$C$1369,0)),"",INDEX('Compliance Database'!$I$2:$I$1369,MATCH(829,'Transfer Engine'!$C$2:$C$1369,0)))</f>
        <v/>
      </c>
      <c r="J838" s="8">
        <f>IF(ISNA(MATCH(829,'Transfer Engine'!$C$2:$C$1369,0)),"",INDEX('Compliance Database'!$J$2:$J$1369,MATCH(829,'Transfer Engine'!$C$2:$C$1369,0)))</f>
        <v/>
      </c>
      <c r="K838" s="9">
        <f>IF(ISNA(MATCH(829,'Transfer Engine'!$C$2:$C$1369,0)),"",INDEX('Compliance Database'!$K$2:$K$1369,MATCH(829,'Transfer Engine'!$C$2:$C$1369,0)))</f>
        <v/>
      </c>
      <c r="L838" s="9">
        <f>IF(ISNA(MATCH(829,'Transfer Engine'!$C$2:$C$1369,0)),"",INDEX('Compliance Database'!$L$2:$L$1369,MATCH(829,'Transfer Engine'!$C$2:$C$1369,0)))</f>
        <v/>
      </c>
      <c r="M838" s="9">
        <f>IF(ISNA(MATCH(829,'Transfer Engine'!$C$2:$C$1369,0)),"",INDEX('Compliance Database'!$M$2:$M$1369,MATCH(829,'Transfer Engine'!$C$2:$C$1369,0)))</f>
        <v/>
      </c>
      <c r="N838" s="9">
        <f>IF(ISNA(MATCH(829,'Transfer Engine'!$C$2:$C$1369,0)),"",INDEX('Compliance Database'!$N$2:$N$1369,MATCH(829,'Transfer Engine'!$C$2:$C$1369,0)))</f>
        <v/>
      </c>
      <c r="O838" s="8">
        <f>IF(ISNA(MATCH(829,'Transfer Engine'!$C$2:$C$1369,0)),"",HYPERLINK(INDEX('Compliance Database'!$O$2:$O$1369,MATCH(829,'Transfer Engine'!$C$2:$C$1369,0)),"Open PDF"))</f>
        <v/>
      </c>
    </row>
    <row r="839" ht="188" customHeight="1">
      <c r="A839" s="8">
        <f>IF(ISNA(MATCH(830,'Transfer Engine'!$C$2:$C$1369,0)),"",INDEX('Compliance Database'!$A$2:$A$1369,MATCH(830,'Transfer Engine'!$C$2:$C$1369,0)))</f>
        <v/>
      </c>
      <c r="B839" s="8">
        <f>IF(ISNA(MATCH(830,'Transfer Engine'!$C$2:$C$1369,0)),"",INDEX('Compliance Database'!$B$2:$B$1369,MATCH(830,'Transfer Engine'!$C$2:$C$1369,0)))</f>
        <v/>
      </c>
      <c r="C839" s="8">
        <f>IF(ISNA(MATCH(830,'Transfer Engine'!$C$2:$C$1369,0)),"",INDEX('Compliance Database'!$C$2:$C$1369,MATCH(830,'Transfer Engine'!$C$2:$C$1369,0)))</f>
        <v/>
      </c>
      <c r="D839" s="9">
        <f>IF(ISNA(MATCH(830,'Transfer Engine'!$C$2:$C$1369,0)),"",INDEX('Compliance Database'!$D$2:$D$1369,MATCH(830,'Transfer Engine'!$C$2:$C$1369,0)))</f>
        <v/>
      </c>
      <c r="E839" s="8">
        <f>IF(ISNA(MATCH(830,'Transfer Engine'!$C$2:$C$1369,0)),"",INDEX('Compliance Database'!$E$2:$E$1369,MATCH(830,'Transfer Engine'!$C$2:$C$1369,0)))</f>
        <v/>
      </c>
      <c r="F839" s="8">
        <f>IF(ISNA(MATCH(830,'Transfer Engine'!$C$2:$C$1369,0)),"",INDEX('Compliance Database'!$F$2:$F$1369,MATCH(830,'Transfer Engine'!$C$2:$C$1369,0)))</f>
        <v/>
      </c>
      <c r="G839" s="8">
        <f>IF(ISNA(MATCH(830,'Transfer Engine'!$C$2:$C$1369,0)),"",INDEX('Compliance Database'!$G$2:$G$1369,MATCH(830,'Transfer Engine'!$C$2:$C$1369,0)))</f>
        <v/>
      </c>
      <c r="H839" s="9">
        <f>IF(ISNA(MATCH(830,'Transfer Engine'!$C$2:$C$1369,0)),"",INDEX('Compliance Database'!$H$2:$H$1369,MATCH(830,'Transfer Engine'!$C$2:$C$1369,0)))</f>
        <v/>
      </c>
      <c r="I839" s="9">
        <f>IF(ISNA(MATCH(830,'Transfer Engine'!$C$2:$C$1369,0)),"",INDEX('Compliance Database'!$I$2:$I$1369,MATCH(830,'Transfer Engine'!$C$2:$C$1369,0)))</f>
        <v/>
      </c>
      <c r="J839" s="8">
        <f>IF(ISNA(MATCH(830,'Transfer Engine'!$C$2:$C$1369,0)),"",INDEX('Compliance Database'!$J$2:$J$1369,MATCH(830,'Transfer Engine'!$C$2:$C$1369,0)))</f>
        <v/>
      </c>
      <c r="K839" s="9">
        <f>IF(ISNA(MATCH(830,'Transfer Engine'!$C$2:$C$1369,0)),"",INDEX('Compliance Database'!$K$2:$K$1369,MATCH(830,'Transfer Engine'!$C$2:$C$1369,0)))</f>
        <v/>
      </c>
      <c r="L839" s="9">
        <f>IF(ISNA(MATCH(830,'Transfer Engine'!$C$2:$C$1369,0)),"",INDEX('Compliance Database'!$L$2:$L$1369,MATCH(830,'Transfer Engine'!$C$2:$C$1369,0)))</f>
        <v/>
      </c>
      <c r="M839" s="9">
        <f>IF(ISNA(MATCH(830,'Transfer Engine'!$C$2:$C$1369,0)),"",INDEX('Compliance Database'!$M$2:$M$1369,MATCH(830,'Transfer Engine'!$C$2:$C$1369,0)))</f>
        <v/>
      </c>
      <c r="N839" s="9">
        <f>IF(ISNA(MATCH(830,'Transfer Engine'!$C$2:$C$1369,0)),"",INDEX('Compliance Database'!$N$2:$N$1369,MATCH(830,'Transfer Engine'!$C$2:$C$1369,0)))</f>
        <v/>
      </c>
      <c r="O839" s="8">
        <f>IF(ISNA(MATCH(830,'Transfer Engine'!$C$2:$C$1369,0)),"",HYPERLINK(INDEX('Compliance Database'!$O$2:$O$1369,MATCH(830,'Transfer Engine'!$C$2:$C$1369,0)),"Open PDF"))</f>
        <v/>
      </c>
    </row>
    <row r="840" ht="188" customHeight="1">
      <c r="A840" s="8">
        <f>IF(ISNA(MATCH(831,'Transfer Engine'!$C$2:$C$1369,0)),"",INDEX('Compliance Database'!$A$2:$A$1369,MATCH(831,'Transfer Engine'!$C$2:$C$1369,0)))</f>
        <v/>
      </c>
      <c r="B840" s="8">
        <f>IF(ISNA(MATCH(831,'Transfer Engine'!$C$2:$C$1369,0)),"",INDEX('Compliance Database'!$B$2:$B$1369,MATCH(831,'Transfer Engine'!$C$2:$C$1369,0)))</f>
        <v/>
      </c>
      <c r="C840" s="8">
        <f>IF(ISNA(MATCH(831,'Transfer Engine'!$C$2:$C$1369,0)),"",INDEX('Compliance Database'!$C$2:$C$1369,MATCH(831,'Transfer Engine'!$C$2:$C$1369,0)))</f>
        <v/>
      </c>
      <c r="D840" s="9">
        <f>IF(ISNA(MATCH(831,'Transfer Engine'!$C$2:$C$1369,0)),"",INDEX('Compliance Database'!$D$2:$D$1369,MATCH(831,'Transfer Engine'!$C$2:$C$1369,0)))</f>
        <v/>
      </c>
      <c r="E840" s="8">
        <f>IF(ISNA(MATCH(831,'Transfer Engine'!$C$2:$C$1369,0)),"",INDEX('Compliance Database'!$E$2:$E$1369,MATCH(831,'Transfer Engine'!$C$2:$C$1369,0)))</f>
        <v/>
      </c>
      <c r="F840" s="8">
        <f>IF(ISNA(MATCH(831,'Transfer Engine'!$C$2:$C$1369,0)),"",INDEX('Compliance Database'!$F$2:$F$1369,MATCH(831,'Transfer Engine'!$C$2:$C$1369,0)))</f>
        <v/>
      </c>
      <c r="G840" s="8">
        <f>IF(ISNA(MATCH(831,'Transfer Engine'!$C$2:$C$1369,0)),"",INDEX('Compliance Database'!$G$2:$G$1369,MATCH(831,'Transfer Engine'!$C$2:$C$1369,0)))</f>
        <v/>
      </c>
      <c r="H840" s="9">
        <f>IF(ISNA(MATCH(831,'Transfer Engine'!$C$2:$C$1369,0)),"",INDEX('Compliance Database'!$H$2:$H$1369,MATCH(831,'Transfer Engine'!$C$2:$C$1369,0)))</f>
        <v/>
      </c>
      <c r="I840" s="9">
        <f>IF(ISNA(MATCH(831,'Transfer Engine'!$C$2:$C$1369,0)),"",INDEX('Compliance Database'!$I$2:$I$1369,MATCH(831,'Transfer Engine'!$C$2:$C$1369,0)))</f>
        <v/>
      </c>
      <c r="J840" s="8">
        <f>IF(ISNA(MATCH(831,'Transfer Engine'!$C$2:$C$1369,0)),"",INDEX('Compliance Database'!$J$2:$J$1369,MATCH(831,'Transfer Engine'!$C$2:$C$1369,0)))</f>
        <v/>
      </c>
      <c r="K840" s="9">
        <f>IF(ISNA(MATCH(831,'Transfer Engine'!$C$2:$C$1369,0)),"",INDEX('Compliance Database'!$K$2:$K$1369,MATCH(831,'Transfer Engine'!$C$2:$C$1369,0)))</f>
        <v/>
      </c>
      <c r="L840" s="9">
        <f>IF(ISNA(MATCH(831,'Transfer Engine'!$C$2:$C$1369,0)),"",INDEX('Compliance Database'!$L$2:$L$1369,MATCH(831,'Transfer Engine'!$C$2:$C$1369,0)))</f>
        <v/>
      </c>
      <c r="M840" s="9">
        <f>IF(ISNA(MATCH(831,'Transfer Engine'!$C$2:$C$1369,0)),"",INDEX('Compliance Database'!$M$2:$M$1369,MATCH(831,'Transfer Engine'!$C$2:$C$1369,0)))</f>
        <v/>
      </c>
      <c r="N840" s="9">
        <f>IF(ISNA(MATCH(831,'Transfer Engine'!$C$2:$C$1369,0)),"",INDEX('Compliance Database'!$N$2:$N$1369,MATCH(831,'Transfer Engine'!$C$2:$C$1369,0)))</f>
        <v/>
      </c>
      <c r="O840" s="8">
        <f>IF(ISNA(MATCH(831,'Transfer Engine'!$C$2:$C$1369,0)),"",HYPERLINK(INDEX('Compliance Database'!$O$2:$O$1369,MATCH(831,'Transfer Engine'!$C$2:$C$1369,0)),"Open PDF"))</f>
        <v/>
      </c>
    </row>
    <row r="841" ht="188" customHeight="1">
      <c r="A841" s="8">
        <f>IF(ISNA(MATCH(832,'Transfer Engine'!$C$2:$C$1369,0)),"",INDEX('Compliance Database'!$A$2:$A$1369,MATCH(832,'Transfer Engine'!$C$2:$C$1369,0)))</f>
        <v/>
      </c>
      <c r="B841" s="8">
        <f>IF(ISNA(MATCH(832,'Transfer Engine'!$C$2:$C$1369,0)),"",INDEX('Compliance Database'!$B$2:$B$1369,MATCH(832,'Transfer Engine'!$C$2:$C$1369,0)))</f>
        <v/>
      </c>
      <c r="C841" s="8">
        <f>IF(ISNA(MATCH(832,'Transfer Engine'!$C$2:$C$1369,0)),"",INDEX('Compliance Database'!$C$2:$C$1369,MATCH(832,'Transfer Engine'!$C$2:$C$1369,0)))</f>
        <v/>
      </c>
      <c r="D841" s="9">
        <f>IF(ISNA(MATCH(832,'Transfer Engine'!$C$2:$C$1369,0)),"",INDEX('Compliance Database'!$D$2:$D$1369,MATCH(832,'Transfer Engine'!$C$2:$C$1369,0)))</f>
        <v/>
      </c>
      <c r="E841" s="8">
        <f>IF(ISNA(MATCH(832,'Transfer Engine'!$C$2:$C$1369,0)),"",INDEX('Compliance Database'!$E$2:$E$1369,MATCH(832,'Transfer Engine'!$C$2:$C$1369,0)))</f>
        <v/>
      </c>
      <c r="F841" s="8">
        <f>IF(ISNA(MATCH(832,'Transfer Engine'!$C$2:$C$1369,0)),"",INDEX('Compliance Database'!$F$2:$F$1369,MATCH(832,'Transfer Engine'!$C$2:$C$1369,0)))</f>
        <v/>
      </c>
      <c r="G841" s="8">
        <f>IF(ISNA(MATCH(832,'Transfer Engine'!$C$2:$C$1369,0)),"",INDEX('Compliance Database'!$G$2:$G$1369,MATCH(832,'Transfer Engine'!$C$2:$C$1369,0)))</f>
        <v/>
      </c>
      <c r="H841" s="9">
        <f>IF(ISNA(MATCH(832,'Transfer Engine'!$C$2:$C$1369,0)),"",INDEX('Compliance Database'!$H$2:$H$1369,MATCH(832,'Transfer Engine'!$C$2:$C$1369,0)))</f>
        <v/>
      </c>
      <c r="I841" s="9">
        <f>IF(ISNA(MATCH(832,'Transfer Engine'!$C$2:$C$1369,0)),"",INDEX('Compliance Database'!$I$2:$I$1369,MATCH(832,'Transfer Engine'!$C$2:$C$1369,0)))</f>
        <v/>
      </c>
      <c r="J841" s="8">
        <f>IF(ISNA(MATCH(832,'Transfer Engine'!$C$2:$C$1369,0)),"",INDEX('Compliance Database'!$J$2:$J$1369,MATCH(832,'Transfer Engine'!$C$2:$C$1369,0)))</f>
        <v/>
      </c>
      <c r="K841" s="9">
        <f>IF(ISNA(MATCH(832,'Transfer Engine'!$C$2:$C$1369,0)),"",INDEX('Compliance Database'!$K$2:$K$1369,MATCH(832,'Transfer Engine'!$C$2:$C$1369,0)))</f>
        <v/>
      </c>
      <c r="L841" s="9">
        <f>IF(ISNA(MATCH(832,'Transfer Engine'!$C$2:$C$1369,0)),"",INDEX('Compliance Database'!$L$2:$L$1369,MATCH(832,'Transfer Engine'!$C$2:$C$1369,0)))</f>
        <v/>
      </c>
      <c r="M841" s="9">
        <f>IF(ISNA(MATCH(832,'Transfer Engine'!$C$2:$C$1369,0)),"",INDEX('Compliance Database'!$M$2:$M$1369,MATCH(832,'Transfer Engine'!$C$2:$C$1369,0)))</f>
        <v/>
      </c>
      <c r="N841" s="9">
        <f>IF(ISNA(MATCH(832,'Transfer Engine'!$C$2:$C$1369,0)),"",INDEX('Compliance Database'!$N$2:$N$1369,MATCH(832,'Transfer Engine'!$C$2:$C$1369,0)))</f>
        <v/>
      </c>
      <c r="O841" s="8">
        <f>IF(ISNA(MATCH(832,'Transfer Engine'!$C$2:$C$1369,0)),"",HYPERLINK(INDEX('Compliance Database'!$O$2:$O$1369,MATCH(832,'Transfer Engine'!$C$2:$C$1369,0)),"Open PDF"))</f>
        <v/>
      </c>
    </row>
    <row r="842" ht="188" customHeight="1">
      <c r="A842" s="8">
        <f>IF(ISNA(MATCH(833,'Transfer Engine'!$C$2:$C$1369,0)),"",INDEX('Compliance Database'!$A$2:$A$1369,MATCH(833,'Transfer Engine'!$C$2:$C$1369,0)))</f>
        <v/>
      </c>
      <c r="B842" s="8">
        <f>IF(ISNA(MATCH(833,'Transfer Engine'!$C$2:$C$1369,0)),"",INDEX('Compliance Database'!$B$2:$B$1369,MATCH(833,'Transfer Engine'!$C$2:$C$1369,0)))</f>
        <v/>
      </c>
      <c r="C842" s="8">
        <f>IF(ISNA(MATCH(833,'Transfer Engine'!$C$2:$C$1369,0)),"",INDEX('Compliance Database'!$C$2:$C$1369,MATCH(833,'Transfer Engine'!$C$2:$C$1369,0)))</f>
        <v/>
      </c>
      <c r="D842" s="9">
        <f>IF(ISNA(MATCH(833,'Transfer Engine'!$C$2:$C$1369,0)),"",INDEX('Compliance Database'!$D$2:$D$1369,MATCH(833,'Transfer Engine'!$C$2:$C$1369,0)))</f>
        <v/>
      </c>
      <c r="E842" s="8">
        <f>IF(ISNA(MATCH(833,'Transfer Engine'!$C$2:$C$1369,0)),"",INDEX('Compliance Database'!$E$2:$E$1369,MATCH(833,'Transfer Engine'!$C$2:$C$1369,0)))</f>
        <v/>
      </c>
      <c r="F842" s="8">
        <f>IF(ISNA(MATCH(833,'Transfer Engine'!$C$2:$C$1369,0)),"",INDEX('Compliance Database'!$F$2:$F$1369,MATCH(833,'Transfer Engine'!$C$2:$C$1369,0)))</f>
        <v/>
      </c>
      <c r="G842" s="8">
        <f>IF(ISNA(MATCH(833,'Transfer Engine'!$C$2:$C$1369,0)),"",INDEX('Compliance Database'!$G$2:$G$1369,MATCH(833,'Transfer Engine'!$C$2:$C$1369,0)))</f>
        <v/>
      </c>
      <c r="H842" s="9">
        <f>IF(ISNA(MATCH(833,'Transfer Engine'!$C$2:$C$1369,0)),"",INDEX('Compliance Database'!$H$2:$H$1369,MATCH(833,'Transfer Engine'!$C$2:$C$1369,0)))</f>
        <v/>
      </c>
      <c r="I842" s="9">
        <f>IF(ISNA(MATCH(833,'Transfer Engine'!$C$2:$C$1369,0)),"",INDEX('Compliance Database'!$I$2:$I$1369,MATCH(833,'Transfer Engine'!$C$2:$C$1369,0)))</f>
        <v/>
      </c>
      <c r="J842" s="8">
        <f>IF(ISNA(MATCH(833,'Transfer Engine'!$C$2:$C$1369,0)),"",INDEX('Compliance Database'!$J$2:$J$1369,MATCH(833,'Transfer Engine'!$C$2:$C$1369,0)))</f>
        <v/>
      </c>
      <c r="K842" s="9">
        <f>IF(ISNA(MATCH(833,'Transfer Engine'!$C$2:$C$1369,0)),"",INDEX('Compliance Database'!$K$2:$K$1369,MATCH(833,'Transfer Engine'!$C$2:$C$1369,0)))</f>
        <v/>
      </c>
      <c r="L842" s="9">
        <f>IF(ISNA(MATCH(833,'Transfer Engine'!$C$2:$C$1369,0)),"",INDEX('Compliance Database'!$L$2:$L$1369,MATCH(833,'Transfer Engine'!$C$2:$C$1369,0)))</f>
        <v/>
      </c>
      <c r="M842" s="9">
        <f>IF(ISNA(MATCH(833,'Transfer Engine'!$C$2:$C$1369,0)),"",INDEX('Compliance Database'!$M$2:$M$1369,MATCH(833,'Transfer Engine'!$C$2:$C$1369,0)))</f>
        <v/>
      </c>
      <c r="N842" s="9">
        <f>IF(ISNA(MATCH(833,'Transfer Engine'!$C$2:$C$1369,0)),"",INDEX('Compliance Database'!$N$2:$N$1369,MATCH(833,'Transfer Engine'!$C$2:$C$1369,0)))</f>
        <v/>
      </c>
      <c r="O842" s="8">
        <f>IF(ISNA(MATCH(833,'Transfer Engine'!$C$2:$C$1369,0)),"",HYPERLINK(INDEX('Compliance Database'!$O$2:$O$1369,MATCH(833,'Transfer Engine'!$C$2:$C$1369,0)),"Open PDF"))</f>
        <v/>
      </c>
    </row>
    <row r="843" ht="188" customHeight="1">
      <c r="A843" s="8">
        <f>IF(ISNA(MATCH(834,'Transfer Engine'!$C$2:$C$1369,0)),"",INDEX('Compliance Database'!$A$2:$A$1369,MATCH(834,'Transfer Engine'!$C$2:$C$1369,0)))</f>
        <v/>
      </c>
      <c r="B843" s="8">
        <f>IF(ISNA(MATCH(834,'Transfer Engine'!$C$2:$C$1369,0)),"",INDEX('Compliance Database'!$B$2:$B$1369,MATCH(834,'Transfer Engine'!$C$2:$C$1369,0)))</f>
        <v/>
      </c>
      <c r="C843" s="8">
        <f>IF(ISNA(MATCH(834,'Transfer Engine'!$C$2:$C$1369,0)),"",INDEX('Compliance Database'!$C$2:$C$1369,MATCH(834,'Transfer Engine'!$C$2:$C$1369,0)))</f>
        <v/>
      </c>
      <c r="D843" s="9">
        <f>IF(ISNA(MATCH(834,'Transfer Engine'!$C$2:$C$1369,0)),"",INDEX('Compliance Database'!$D$2:$D$1369,MATCH(834,'Transfer Engine'!$C$2:$C$1369,0)))</f>
        <v/>
      </c>
      <c r="E843" s="8">
        <f>IF(ISNA(MATCH(834,'Transfer Engine'!$C$2:$C$1369,0)),"",INDEX('Compliance Database'!$E$2:$E$1369,MATCH(834,'Transfer Engine'!$C$2:$C$1369,0)))</f>
        <v/>
      </c>
      <c r="F843" s="8">
        <f>IF(ISNA(MATCH(834,'Transfer Engine'!$C$2:$C$1369,0)),"",INDEX('Compliance Database'!$F$2:$F$1369,MATCH(834,'Transfer Engine'!$C$2:$C$1369,0)))</f>
        <v/>
      </c>
      <c r="G843" s="8">
        <f>IF(ISNA(MATCH(834,'Transfer Engine'!$C$2:$C$1369,0)),"",INDEX('Compliance Database'!$G$2:$G$1369,MATCH(834,'Transfer Engine'!$C$2:$C$1369,0)))</f>
        <v/>
      </c>
      <c r="H843" s="9">
        <f>IF(ISNA(MATCH(834,'Transfer Engine'!$C$2:$C$1369,0)),"",INDEX('Compliance Database'!$H$2:$H$1369,MATCH(834,'Transfer Engine'!$C$2:$C$1369,0)))</f>
        <v/>
      </c>
      <c r="I843" s="9">
        <f>IF(ISNA(MATCH(834,'Transfer Engine'!$C$2:$C$1369,0)),"",INDEX('Compliance Database'!$I$2:$I$1369,MATCH(834,'Transfer Engine'!$C$2:$C$1369,0)))</f>
        <v/>
      </c>
      <c r="J843" s="8">
        <f>IF(ISNA(MATCH(834,'Transfer Engine'!$C$2:$C$1369,0)),"",INDEX('Compliance Database'!$J$2:$J$1369,MATCH(834,'Transfer Engine'!$C$2:$C$1369,0)))</f>
        <v/>
      </c>
      <c r="K843" s="9">
        <f>IF(ISNA(MATCH(834,'Transfer Engine'!$C$2:$C$1369,0)),"",INDEX('Compliance Database'!$K$2:$K$1369,MATCH(834,'Transfer Engine'!$C$2:$C$1369,0)))</f>
        <v/>
      </c>
      <c r="L843" s="9">
        <f>IF(ISNA(MATCH(834,'Transfer Engine'!$C$2:$C$1369,0)),"",INDEX('Compliance Database'!$L$2:$L$1369,MATCH(834,'Transfer Engine'!$C$2:$C$1369,0)))</f>
        <v/>
      </c>
      <c r="M843" s="9">
        <f>IF(ISNA(MATCH(834,'Transfer Engine'!$C$2:$C$1369,0)),"",INDEX('Compliance Database'!$M$2:$M$1369,MATCH(834,'Transfer Engine'!$C$2:$C$1369,0)))</f>
        <v/>
      </c>
      <c r="N843" s="9">
        <f>IF(ISNA(MATCH(834,'Transfer Engine'!$C$2:$C$1369,0)),"",INDEX('Compliance Database'!$N$2:$N$1369,MATCH(834,'Transfer Engine'!$C$2:$C$1369,0)))</f>
        <v/>
      </c>
      <c r="O843" s="8">
        <f>IF(ISNA(MATCH(834,'Transfer Engine'!$C$2:$C$1369,0)),"",HYPERLINK(INDEX('Compliance Database'!$O$2:$O$1369,MATCH(834,'Transfer Engine'!$C$2:$C$1369,0)),"Open PDF"))</f>
        <v/>
      </c>
    </row>
    <row r="844" ht="188" customHeight="1">
      <c r="A844" s="8">
        <f>IF(ISNA(MATCH(835,'Transfer Engine'!$C$2:$C$1369,0)),"",INDEX('Compliance Database'!$A$2:$A$1369,MATCH(835,'Transfer Engine'!$C$2:$C$1369,0)))</f>
        <v/>
      </c>
      <c r="B844" s="8">
        <f>IF(ISNA(MATCH(835,'Transfer Engine'!$C$2:$C$1369,0)),"",INDEX('Compliance Database'!$B$2:$B$1369,MATCH(835,'Transfer Engine'!$C$2:$C$1369,0)))</f>
        <v/>
      </c>
      <c r="C844" s="8">
        <f>IF(ISNA(MATCH(835,'Transfer Engine'!$C$2:$C$1369,0)),"",INDEX('Compliance Database'!$C$2:$C$1369,MATCH(835,'Transfer Engine'!$C$2:$C$1369,0)))</f>
        <v/>
      </c>
      <c r="D844" s="9">
        <f>IF(ISNA(MATCH(835,'Transfer Engine'!$C$2:$C$1369,0)),"",INDEX('Compliance Database'!$D$2:$D$1369,MATCH(835,'Transfer Engine'!$C$2:$C$1369,0)))</f>
        <v/>
      </c>
      <c r="E844" s="8">
        <f>IF(ISNA(MATCH(835,'Transfer Engine'!$C$2:$C$1369,0)),"",INDEX('Compliance Database'!$E$2:$E$1369,MATCH(835,'Transfer Engine'!$C$2:$C$1369,0)))</f>
        <v/>
      </c>
      <c r="F844" s="8">
        <f>IF(ISNA(MATCH(835,'Transfer Engine'!$C$2:$C$1369,0)),"",INDEX('Compliance Database'!$F$2:$F$1369,MATCH(835,'Transfer Engine'!$C$2:$C$1369,0)))</f>
        <v/>
      </c>
      <c r="G844" s="8">
        <f>IF(ISNA(MATCH(835,'Transfer Engine'!$C$2:$C$1369,0)),"",INDEX('Compliance Database'!$G$2:$G$1369,MATCH(835,'Transfer Engine'!$C$2:$C$1369,0)))</f>
        <v/>
      </c>
      <c r="H844" s="9">
        <f>IF(ISNA(MATCH(835,'Transfer Engine'!$C$2:$C$1369,0)),"",INDEX('Compliance Database'!$H$2:$H$1369,MATCH(835,'Transfer Engine'!$C$2:$C$1369,0)))</f>
        <v/>
      </c>
      <c r="I844" s="9">
        <f>IF(ISNA(MATCH(835,'Transfer Engine'!$C$2:$C$1369,0)),"",INDEX('Compliance Database'!$I$2:$I$1369,MATCH(835,'Transfer Engine'!$C$2:$C$1369,0)))</f>
        <v/>
      </c>
      <c r="J844" s="8">
        <f>IF(ISNA(MATCH(835,'Transfer Engine'!$C$2:$C$1369,0)),"",INDEX('Compliance Database'!$J$2:$J$1369,MATCH(835,'Transfer Engine'!$C$2:$C$1369,0)))</f>
        <v/>
      </c>
      <c r="K844" s="9">
        <f>IF(ISNA(MATCH(835,'Transfer Engine'!$C$2:$C$1369,0)),"",INDEX('Compliance Database'!$K$2:$K$1369,MATCH(835,'Transfer Engine'!$C$2:$C$1369,0)))</f>
        <v/>
      </c>
      <c r="L844" s="9">
        <f>IF(ISNA(MATCH(835,'Transfer Engine'!$C$2:$C$1369,0)),"",INDEX('Compliance Database'!$L$2:$L$1369,MATCH(835,'Transfer Engine'!$C$2:$C$1369,0)))</f>
        <v/>
      </c>
      <c r="M844" s="9">
        <f>IF(ISNA(MATCH(835,'Transfer Engine'!$C$2:$C$1369,0)),"",INDEX('Compliance Database'!$M$2:$M$1369,MATCH(835,'Transfer Engine'!$C$2:$C$1369,0)))</f>
        <v/>
      </c>
      <c r="N844" s="9">
        <f>IF(ISNA(MATCH(835,'Transfer Engine'!$C$2:$C$1369,0)),"",INDEX('Compliance Database'!$N$2:$N$1369,MATCH(835,'Transfer Engine'!$C$2:$C$1369,0)))</f>
        <v/>
      </c>
      <c r="O844" s="8">
        <f>IF(ISNA(MATCH(835,'Transfer Engine'!$C$2:$C$1369,0)),"",HYPERLINK(INDEX('Compliance Database'!$O$2:$O$1369,MATCH(835,'Transfer Engine'!$C$2:$C$1369,0)),"Open PDF"))</f>
        <v/>
      </c>
    </row>
    <row r="845" ht="188" customHeight="1">
      <c r="A845" s="8">
        <f>IF(ISNA(MATCH(836,'Transfer Engine'!$C$2:$C$1369,0)),"",INDEX('Compliance Database'!$A$2:$A$1369,MATCH(836,'Transfer Engine'!$C$2:$C$1369,0)))</f>
        <v/>
      </c>
      <c r="B845" s="8">
        <f>IF(ISNA(MATCH(836,'Transfer Engine'!$C$2:$C$1369,0)),"",INDEX('Compliance Database'!$B$2:$B$1369,MATCH(836,'Transfer Engine'!$C$2:$C$1369,0)))</f>
        <v/>
      </c>
      <c r="C845" s="8">
        <f>IF(ISNA(MATCH(836,'Transfer Engine'!$C$2:$C$1369,0)),"",INDEX('Compliance Database'!$C$2:$C$1369,MATCH(836,'Transfer Engine'!$C$2:$C$1369,0)))</f>
        <v/>
      </c>
      <c r="D845" s="9">
        <f>IF(ISNA(MATCH(836,'Transfer Engine'!$C$2:$C$1369,0)),"",INDEX('Compliance Database'!$D$2:$D$1369,MATCH(836,'Transfer Engine'!$C$2:$C$1369,0)))</f>
        <v/>
      </c>
      <c r="E845" s="8">
        <f>IF(ISNA(MATCH(836,'Transfer Engine'!$C$2:$C$1369,0)),"",INDEX('Compliance Database'!$E$2:$E$1369,MATCH(836,'Transfer Engine'!$C$2:$C$1369,0)))</f>
        <v/>
      </c>
      <c r="F845" s="8">
        <f>IF(ISNA(MATCH(836,'Transfer Engine'!$C$2:$C$1369,0)),"",INDEX('Compliance Database'!$F$2:$F$1369,MATCH(836,'Transfer Engine'!$C$2:$C$1369,0)))</f>
        <v/>
      </c>
      <c r="G845" s="8">
        <f>IF(ISNA(MATCH(836,'Transfer Engine'!$C$2:$C$1369,0)),"",INDEX('Compliance Database'!$G$2:$G$1369,MATCH(836,'Transfer Engine'!$C$2:$C$1369,0)))</f>
        <v/>
      </c>
      <c r="H845" s="9">
        <f>IF(ISNA(MATCH(836,'Transfer Engine'!$C$2:$C$1369,0)),"",INDEX('Compliance Database'!$H$2:$H$1369,MATCH(836,'Transfer Engine'!$C$2:$C$1369,0)))</f>
        <v/>
      </c>
      <c r="I845" s="9">
        <f>IF(ISNA(MATCH(836,'Transfer Engine'!$C$2:$C$1369,0)),"",INDEX('Compliance Database'!$I$2:$I$1369,MATCH(836,'Transfer Engine'!$C$2:$C$1369,0)))</f>
        <v/>
      </c>
      <c r="J845" s="8">
        <f>IF(ISNA(MATCH(836,'Transfer Engine'!$C$2:$C$1369,0)),"",INDEX('Compliance Database'!$J$2:$J$1369,MATCH(836,'Transfer Engine'!$C$2:$C$1369,0)))</f>
        <v/>
      </c>
      <c r="K845" s="9">
        <f>IF(ISNA(MATCH(836,'Transfer Engine'!$C$2:$C$1369,0)),"",INDEX('Compliance Database'!$K$2:$K$1369,MATCH(836,'Transfer Engine'!$C$2:$C$1369,0)))</f>
        <v/>
      </c>
      <c r="L845" s="9">
        <f>IF(ISNA(MATCH(836,'Transfer Engine'!$C$2:$C$1369,0)),"",INDEX('Compliance Database'!$L$2:$L$1369,MATCH(836,'Transfer Engine'!$C$2:$C$1369,0)))</f>
        <v/>
      </c>
      <c r="M845" s="9">
        <f>IF(ISNA(MATCH(836,'Transfer Engine'!$C$2:$C$1369,0)),"",INDEX('Compliance Database'!$M$2:$M$1369,MATCH(836,'Transfer Engine'!$C$2:$C$1369,0)))</f>
        <v/>
      </c>
      <c r="N845" s="9">
        <f>IF(ISNA(MATCH(836,'Transfer Engine'!$C$2:$C$1369,0)),"",INDEX('Compliance Database'!$N$2:$N$1369,MATCH(836,'Transfer Engine'!$C$2:$C$1369,0)))</f>
        <v/>
      </c>
      <c r="O845" s="8">
        <f>IF(ISNA(MATCH(836,'Transfer Engine'!$C$2:$C$1369,0)),"",HYPERLINK(INDEX('Compliance Database'!$O$2:$O$1369,MATCH(836,'Transfer Engine'!$C$2:$C$1369,0)),"Open PDF"))</f>
        <v/>
      </c>
    </row>
    <row r="846" ht="188" customHeight="1">
      <c r="A846" s="8">
        <f>IF(ISNA(MATCH(837,'Transfer Engine'!$C$2:$C$1369,0)),"",INDEX('Compliance Database'!$A$2:$A$1369,MATCH(837,'Transfer Engine'!$C$2:$C$1369,0)))</f>
        <v/>
      </c>
      <c r="B846" s="8">
        <f>IF(ISNA(MATCH(837,'Transfer Engine'!$C$2:$C$1369,0)),"",INDEX('Compliance Database'!$B$2:$B$1369,MATCH(837,'Transfer Engine'!$C$2:$C$1369,0)))</f>
        <v/>
      </c>
      <c r="C846" s="8">
        <f>IF(ISNA(MATCH(837,'Transfer Engine'!$C$2:$C$1369,0)),"",INDEX('Compliance Database'!$C$2:$C$1369,MATCH(837,'Transfer Engine'!$C$2:$C$1369,0)))</f>
        <v/>
      </c>
      <c r="D846" s="9">
        <f>IF(ISNA(MATCH(837,'Transfer Engine'!$C$2:$C$1369,0)),"",INDEX('Compliance Database'!$D$2:$D$1369,MATCH(837,'Transfer Engine'!$C$2:$C$1369,0)))</f>
        <v/>
      </c>
      <c r="E846" s="8">
        <f>IF(ISNA(MATCH(837,'Transfer Engine'!$C$2:$C$1369,0)),"",INDEX('Compliance Database'!$E$2:$E$1369,MATCH(837,'Transfer Engine'!$C$2:$C$1369,0)))</f>
        <v/>
      </c>
      <c r="F846" s="8">
        <f>IF(ISNA(MATCH(837,'Transfer Engine'!$C$2:$C$1369,0)),"",INDEX('Compliance Database'!$F$2:$F$1369,MATCH(837,'Transfer Engine'!$C$2:$C$1369,0)))</f>
        <v/>
      </c>
      <c r="G846" s="8">
        <f>IF(ISNA(MATCH(837,'Transfer Engine'!$C$2:$C$1369,0)),"",INDEX('Compliance Database'!$G$2:$G$1369,MATCH(837,'Transfer Engine'!$C$2:$C$1369,0)))</f>
        <v/>
      </c>
      <c r="H846" s="9">
        <f>IF(ISNA(MATCH(837,'Transfer Engine'!$C$2:$C$1369,0)),"",INDEX('Compliance Database'!$H$2:$H$1369,MATCH(837,'Transfer Engine'!$C$2:$C$1369,0)))</f>
        <v/>
      </c>
      <c r="I846" s="9">
        <f>IF(ISNA(MATCH(837,'Transfer Engine'!$C$2:$C$1369,0)),"",INDEX('Compliance Database'!$I$2:$I$1369,MATCH(837,'Transfer Engine'!$C$2:$C$1369,0)))</f>
        <v/>
      </c>
      <c r="J846" s="8">
        <f>IF(ISNA(MATCH(837,'Transfer Engine'!$C$2:$C$1369,0)),"",INDEX('Compliance Database'!$J$2:$J$1369,MATCH(837,'Transfer Engine'!$C$2:$C$1369,0)))</f>
        <v/>
      </c>
      <c r="K846" s="9">
        <f>IF(ISNA(MATCH(837,'Transfer Engine'!$C$2:$C$1369,0)),"",INDEX('Compliance Database'!$K$2:$K$1369,MATCH(837,'Transfer Engine'!$C$2:$C$1369,0)))</f>
        <v/>
      </c>
      <c r="L846" s="9">
        <f>IF(ISNA(MATCH(837,'Transfer Engine'!$C$2:$C$1369,0)),"",INDEX('Compliance Database'!$L$2:$L$1369,MATCH(837,'Transfer Engine'!$C$2:$C$1369,0)))</f>
        <v/>
      </c>
      <c r="M846" s="9">
        <f>IF(ISNA(MATCH(837,'Transfer Engine'!$C$2:$C$1369,0)),"",INDEX('Compliance Database'!$M$2:$M$1369,MATCH(837,'Transfer Engine'!$C$2:$C$1369,0)))</f>
        <v/>
      </c>
      <c r="N846" s="9">
        <f>IF(ISNA(MATCH(837,'Transfer Engine'!$C$2:$C$1369,0)),"",INDEX('Compliance Database'!$N$2:$N$1369,MATCH(837,'Transfer Engine'!$C$2:$C$1369,0)))</f>
        <v/>
      </c>
      <c r="O846" s="8">
        <f>IF(ISNA(MATCH(837,'Transfer Engine'!$C$2:$C$1369,0)),"",HYPERLINK(INDEX('Compliance Database'!$O$2:$O$1369,MATCH(837,'Transfer Engine'!$C$2:$C$1369,0)),"Open PDF"))</f>
        <v/>
      </c>
    </row>
    <row r="847" ht="188" customHeight="1">
      <c r="A847" s="8">
        <f>IF(ISNA(MATCH(838,'Transfer Engine'!$C$2:$C$1369,0)),"",INDEX('Compliance Database'!$A$2:$A$1369,MATCH(838,'Transfer Engine'!$C$2:$C$1369,0)))</f>
        <v/>
      </c>
      <c r="B847" s="8">
        <f>IF(ISNA(MATCH(838,'Transfer Engine'!$C$2:$C$1369,0)),"",INDEX('Compliance Database'!$B$2:$B$1369,MATCH(838,'Transfer Engine'!$C$2:$C$1369,0)))</f>
        <v/>
      </c>
      <c r="C847" s="8">
        <f>IF(ISNA(MATCH(838,'Transfer Engine'!$C$2:$C$1369,0)),"",INDEX('Compliance Database'!$C$2:$C$1369,MATCH(838,'Transfer Engine'!$C$2:$C$1369,0)))</f>
        <v/>
      </c>
      <c r="D847" s="9">
        <f>IF(ISNA(MATCH(838,'Transfer Engine'!$C$2:$C$1369,0)),"",INDEX('Compliance Database'!$D$2:$D$1369,MATCH(838,'Transfer Engine'!$C$2:$C$1369,0)))</f>
        <v/>
      </c>
      <c r="E847" s="8">
        <f>IF(ISNA(MATCH(838,'Transfer Engine'!$C$2:$C$1369,0)),"",INDEX('Compliance Database'!$E$2:$E$1369,MATCH(838,'Transfer Engine'!$C$2:$C$1369,0)))</f>
        <v/>
      </c>
      <c r="F847" s="8">
        <f>IF(ISNA(MATCH(838,'Transfer Engine'!$C$2:$C$1369,0)),"",INDEX('Compliance Database'!$F$2:$F$1369,MATCH(838,'Transfer Engine'!$C$2:$C$1369,0)))</f>
        <v/>
      </c>
      <c r="G847" s="8">
        <f>IF(ISNA(MATCH(838,'Transfer Engine'!$C$2:$C$1369,0)),"",INDEX('Compliance Database'!$G$2:$G$1369,MATCH(838,'Transfer Engine'!$C$2:$C$1369,0)))</f>
        <v/>
      </c>
      <c r="H847" s="9">
        <f>IF(ISNA(MATCH(838,'Transfer Engine'!$C$2:$C$1369,0)),"",INDEX('Compliance Database'!$H$2:$H$1369,MATCH(838,'Transfer Engine'!$C$2:$C$1369,0)))</f>
        <v/>
      </c>
      <c r="I847" s="9">
        <f>IF(ISNA(MATCH(838,'Transfer Engine'!$C$2:$C$1369,0)),"",INDEX('Compliance Database'!$I$2:$I$1369,MATCH(838,'Transfer Engine'!$C$2:$C$1369,0)))</f>
        <v/>
      </c>
      <c r="J847" s="8">
        <f>IF(ISNA(MATCH(838,'Transfer Engine'!$C$2:$C$1369,0)),"",INDEX('Compliance Database'!$J$2:$J$1369,MATCH(838,'Transfer Engine'!$C$2:$C$1369,0)))</f>
        <v/>
      </c>
      <c r="K847" s="9">
        <f>IF(ISNA(MATCH(838,'Transfer Engine'!$C$2:$C$1369,0)),"",INDEX('Compliance Database'!$K$2:$K$1369,MATCH(838,'Transfer Engine'!$C$2:$C$1369,0)))</f>
        <v/>
      </c>
      <c r="L847" s="9">
        <f>IF(ISNA(MATCH(838,'Transfer Engine'!$C$2:$C$1369,0)),"",INDEX('Compliance Database'!$L$2:$L$1369,MATCH(838,'Transfer Engine'!$C$2:$C$1369,0)))</f>
        <v/>
      </c>
      <c r="M847" s="9">
        <f>IF(ISNA(MATCH(838,'Transfer Engine'!$C$2:$C$1369,0)),"",INDEX('Compliance Database'!$M$2:$M$1369,MATCH(838,'Transfer Engine'!$C$2:$C$1369,0)))</f>
        <v/>
      </c>
      <c r="N847" s="9">
        <f>IF(ISNA(MATCH(838,'Transfer Engine'!$C$2:$C$1369,0)),"",INDEX('Compliance Database'!$N$2:$N$1369,MATCH(838,'Transfer Engine'!$C$2:$C$1369,0)))</f>
        <v/>
      </c>
      <c r="O847" s="8">
        <f>IF(ISNA(MATCH(838,'Transfer Engine'!$C$2:$C$1369,0)),"",HYPERLINK(INDEX('Compliance Database'!$O$2:$O$1369,MATCH(838,'Transfer Engine'!$C$2:$C$1369,0)),"Open PDF"))</f>
        <v/>
      </c>
    </row>
    <row r="848" ht="188" customHeight="1">
      <c r="A848" s="8">
        <f>IF(ISNA(MATCH(839,'Transfer Engine'!$C$2:$C$1369,0)),"",INDEX('Compliance Database'!$A$2:$A$1369,MATCH(839,'Transfer Engine'!$C$2:$C$1369,0)))</f>
        <v/>
      </c>
      <c r="B848" s="8">
        <f>IF(ISNA(MATCH(839,'Transfer Engine'!$C$2:$C$1369,0)),"",INDEX('Compliance Database'!$B$2:$B$1369,MATCH(839,'Transfer Engine'!$C$2:$C$1369,0)))</f>
        <v/>
      </c>
      <c r="C848" s="8">
        <f>IF(ISNA(MATCH(839,'Transfer Engine'!$C$2:$C$1369,0)),"",INDEX('Compliance Database'!$C$2:$C$1369,MATCH(839,'Transfer Engine'!$C$2:$C$1369,0)))</f>
        <v/>
      </c>
      <c r="D848" s="9">
        <f>IF(ISNA(MATCH(839,'Transfer Engine'!$C$2:$C$1369,0)),"",INDEX('Compliance Database'!$D$2:$D$1369,MATCH(839,'Transfer Engine'!$C$2:$C$1369,0)))</f>
        <v/>
      </c>
      <c r="E848" s="8">
        <f>IF(ISNA(MATCH(839,'Transfer Engine'!$C$2:$C$1369,0)),"",INDEX('Compliance Database'!$E$2:$E$1369,MATCH(839,'Transfer Engine'!$C$2:$C$1369,0)))</f>
        <v/>
      </c>
      <c r="F848" s="8">
        <f>IF(ISNA(MATCH(839,'Transfer Engine'!$C$2:$C$1369,0)),"",INDEX('Compliance Database'!$F$2:$F$1369,MATCH(839,'Transfer Engine'!$C$2:$C$1369,0)))</f>
        <v/>
      </c>
      <c r="G848" s="8">
        <f>IF(ISNA(MATCH(839,'Transfer Engine'!$C$2:$C$1369,0)),"",INDEX('Compliance Database'!$G$2:$G$1369,MATCH(839,'Transfer Engine'!$C$2:$C$1369,0)))</f>
        <v/>
      </c>
      <c r="H848" s="9">
        <f>IF(ISNA(MATCH(839,'Transfer Engine'!$C$2:$C$1369,0)),"",INDEX('Compliance Database'!$H$2:$H$1369,MATCH(839,'Transfer Engine'!$C$2:$C$1369,0)))</f>
        <v/>
      </c>
      <c r="I848" s="9">
        <f>IF(ISNA(MATCH(839,'Transfer Engine'!$C$2:$C$1369,0)),"",INDEX('Compliance Database'!$I$2:$I$1369,MATCH(839,'Transfer Engine'!$C$2:$C$1369,0)))</f>
        <v/>
      </c>
      <c r="J848" s="8">
        <f>IF(ISNA(MATCH(839,'Transfer Engine'!$C$2:$C$1369,0)),"",INDEX('Compliance Database'!$J$2:$J$1369,MATCH(839,'Transfer Engine'!$C$2:$C$1369,0)))</f>
        <v/>
      </c>
      <c r="K848" s="9">
        <f>IF(ISNA(MATCH(839,'Transfer Engine'!$C$2:$C$1369,0)),"",INDEX('Compliance Database'!$K$2:$K$1369,MATCH(839,'Transfer Engine'!$C$2:$C$1369,0)))</f>
        <v/>
      </c>
      <c r="L848" s="9">
        <f>IF(ISNA(MATCH(839,'Transfer Engine'!$C$2:$C$1369,0)),"",INDEX('Compliance Database'!$L$2:$L$1369,MATCH(839,'Transfer Engine'!$C$2:$C$1369,0)))</f>
        <v/>
      </c>
      <c r="M848" s="9">
        <f>IF(ISNA(MATCH(839,'Transfer Engine'!$C$2:$C$1369,0)),"",INDEX('Compliance Database'!$M$2:$M$1369,MATCH(839,'Transfer Engine'!$C$2:$C$1369,0)))</f>
        <v/>
      </c>
      <c r="N848" s="9">
        <f>IF(ISNA(MATCH(839,'Transfer Engine'!$C$2:$C$1369,0)),"",INDEX('Compliance Database'!$N$2:$N$1369,MATCH(839,'Transfer Engine'!$C$2:$C$1369,0)))</f>
        <v/>
      </c>
      <c r="O848" s="8">
        <f>IF(ISNA(MATCH(839,'Transfer Engine'!$C$2:$C$1369,0)),"",HYPERLINK(INDEX('Compliance Database'!$O$2:$O$1369,MATCH(839,'Transfer Engine'!$C$2:$C$1369,0)),"Open PDF"))</f>
        <v/>
      </c>
    </row>
    <row r="849" ht="188" customHeight="1">
      <c r="A849" s="8">
        <f>IF(ISNA(MATCH(840,'Transfer Engine'!$C$2:$C$1369,0)),"",INDEX('Compliance Database'!$A$2:$A$1369,MATCH(840,'Transfer Engine'!$C$2:$C$1369,0)))</f>
        <v/>
      </c>
      <c r="B849" s="8">
        <f>IF(ISNA(MATCH(840,'Transfer Engine'!$C$2:$C$1369,0)),"",INDEX('Compliance Database'!$B$2:$B$1369,MATCH(840,'Transfer Engine'!$C$2:$C$1369,0)))</f>
        <v/>
      </c>
      <c r="C849" s="8">
        <f>IF(ISNA(MATCH(840,'Transfer Engine'!$C$2:$C$1369,0)),"",INDEX('Compliance Database'!$C$2:$C$1369,MATCH(840,'Transfer Engine'!$C$2:$C$1369,0)))</f>
        <v/>
      </c>
      <c r="D849" s="9">
        <f>IF(ISNA(MATCH(840,'Transfer Engine'!$C$2:$C$1369,0)),"",INDEX('Compliance Database'!$D$2:$D$1369,MATCH(840,'Transfer Engine'!$C$2:$C$1369,0)))</f>
        <v/>
      </c>
      <c r="E849" s="8">
        <f>IF(ISNA(MATCH(840,'Transfer Engine'!$C$2:$C$1369,0)),"",INDEX('Compliance Database'!$E$2:$E$1369,MATCH(840,'Transfer Engine'!$C$2:$C$1369,0)))</f>
        <v/>
      </c>
      <c r="F849" s="8">
        <f>IF(ISNA(MATCH(840,'Transfer Engine'!$C$2:$C$1369,0)),"",INDEX('Compliance Database'!$F$2:$F$1369,MATCH(840,'Transfer Engine'!$C$2:$C$1369,0)))</f>
        <v/>
      </c>
      <c r="G849" s="8">
        <f>IF(ISNA(MATCH(840,'Transfer Engine'!$C$2:$C$1369,0)),"",INDEX('Compliance Database'!$G$2:$G$1369,MATCH(840,'Transfer Engine'!$C$2:$C$1369,0)))</f>
        <v/>
      </c>
      <c r="H849" s="9">
        <f>IF(ISNA(MATCH(840,'Transfer Engine'!$C$2:$C$1369,0)),"",INDEX('Compliance Database'!$H$2:$H$1369,MATCH(840,'Transfer Engine'!$C$2:$C$1369,0)))</f>
        <v/>
      </c>
      <c r="I849" s="9">
        <f>IF(ISNA(MATCH(840,'Transfer Engine'!$C$2:$C$1369,0)),"",INDEX('Compliance Database'!$I$2:$I$1369,MATCH(840,'Transfer Engine'!$C$2:$C$1369,0)))</f>
        <v/>
      </c>
      <c r="J849" s="8">
        <f>IF(ISNA(MATCH(840,'Transfer Engine'!$C$2:$C$1369,0)),"",INDEX('Compliance Database'!$J$2:$J$1369,MATCH(840,'Transfer Engine'!$C$2:$C$1369,0)))</f>
        <v/>
      </c>
      <c r="K849" s="9">
        <f>IF(ISNA(MATCH(840,'Transfer Engine'!$C$2:$C$1369,0)),"",INDEX('Compliance Database'!$K$2:$K$1369,MATCH(840,'Transfer Engine'!$C$2:$C$1369,0)))</f>
        <v/>
      </c>
      <c r="L849" s="9">
        <f>IF(ISNA(MATCH(840,'Transfer Engine'!$C$2:$C$1369,0)),"",INDEX('Compliance Database'!$L$2:$L$1369,MATCH(840,'Transfer Engine'!$C$2:$C$1369,0)))</f>
        <v/>
      </c>
      <c r="M849" s="9">
        <f>IF(ISNA(MATCH(840,'Transfer Engine'!$C$2:$C$1369,0)),"",INDEX('Compliance Database'!$M$2:$M$1369,MATCH(840,'Transfer Engine'!$C$2:$C$1369,0)))</f>
        <v/>
      </c>
      <c r="N849" s="9">
        <f>IF(ISNA(MATCH(840,'Transfer Engine'!$C$2:$C$1369,0)),"",INDEX('Compliance Database'!$N$2:$N$1369,MATCH(840,'Transfer Engine'!$C$2:$C$1369,0)))</f>
        <v/>
      </c>
      <c r="O849" s="8">
        <f>IF(ISNA(MATCH(840,'Transfer Engine'!$C$2:$C$1369,0)),"",HYPERLINK(INDEX('Compliance Database'!$O$2:$O$1369,MATCH(840,'Transfer Engine'!$C$2:$C$1369,0)),"Open PDF"))</f>
        <v/>
      </c>
    </row>
    <row r="850" ht="188" customHeight="1">
      <c r="A850" s="8">
        <f>IF(ISNA(MATCH(841,'Transfer Engine'!$C$2:$C$1369,0)),"",INDEX('Compliance Database'!$A$2:$A$1369,MATCH(841,'Transfer Engine'!$C$2:$C$1369,0)))</f>
        <v/>
      </c>
      <c r="B850" s="8">
        <f>IF(ISNA(MATCH(841,'Transfer Engine'!$C$2:$C$1369,0)),"",INDEX('Compliance Database'!$B$2:$B$1369,MATCH(841,'Transfer Engine'!$C$2:$C$1369,0)))</f>
        <v/>
      </c>
      <c r="C850" s="8">
        <f>IF(ISNA(MATCH(841,'Transfer Engine'!$C$2:$C$1369,0)),"",INDEX('Compliance Database'!$C$2:$C$1369,MATCH(841,'Transfer Engine'!$C$2:$C$1369,0)))</f>
        <v/>
      </c>
      <c r="D850" s="9">
        <f>IF(ISNA(MATCH(841,'Transfer Engine'!$C$2:$C$1369,0)),"",INDEX('Compliance Database'!$D$2:$D$1369,MATCH(841,'Transfer Engine'!$C$2:$C$1369,0)))</f>
        <v/>
      </c>
      <c r="E850" s="8">
        <f>IF(ISNA(MATCH(841,'Transfer Engine'!$C$2:$C$1369,0)),"",INDEX('Compliance Database'!$E$2:$E$1369,MATCH(841,'Transfer Engine'!$C$2:$C$1369,0)))</f>
        <v/>
      </c>
      <c r="F850" s="8">
        <f>IF(ISNA(MATCH(841,'Transfer Engine'!$C$2:$C$1369,0)),"",INDEX('Compliance Database'!$F$2:$F$1369,MATCH(841,'Transfer Engine'!$C$2:$C$1369,0)))</f>
        <v/>
      </c>
      <c r="G850" s="8">
        <f>IF(ISNA(MATCH(841,'Transfer Engine'!$C$2:$C$1369,0)),"",INDEX('Compliance Database'!$G$2:$G$1369,MATCH(841,'Transfer Engine'!$C$2:$C$1369,0)))</f>
        <v/>
      </c>
      <c r="H850" s="9">
        <f>IF(ISNA(MATCH(841,'Transfer Engine'!$C$2:$C$1369,0)),"",INDEX('Compliance Database'!$H$2:$H$1369,MATCH(841,'Transfer Engine'!$C$2:$C$1369,0)))</f>
        <v/>
      </c>
      <c r="I850" s="9">
        <f>IF(ISNA(MATCH(841,'Transfer Engine'!$C$2:$C$1369,0)),"",INDEX('Compliance Database'!$I$2:$I$1369,MATCH(841,'Transfer Engine'!$C$2:$C$1369,0)))</f>
        <v/>
      </c>
      <c r="J850" s="8">
        <f>IF(ISNA(MATCH(841,'Transfer Engine'!$C$2:$C$1369,0)),"",INDEX('Compliance Database'!$J$2:$J$1369,MATCH(841,'Transfer Engine'!$C$2:$C$1369,0)))</f>
        <v/>
      </c>
      <c r="K850" s="9">
        <f>IF(ISNA(MATCH(841,'Transfer Engine'!$C$2:$C$1369,0)),"",INDEX('Compliance Database'!$K$2:$K$1369,MATCH(841,'Transfer Engine'!$C$2:$C$1369,0)))</f>
        <v/>
      </c>
      <c r="L850" s="9">
        <f>IF(ISNA(MATCH(841,'Transfer Engine'!$C$2:$C$1369,0)),"",INDEX('Compliance Database'!$L$2:$L$1369,MATCH(841,'Transfer Engine'!$C$2:$C$1369,0)))</f>
        <v/>
      </c>
      <c r="M850" s="9">
        <f>IF(ISNA(MATCH(841,'Transfer Engine'!$C$2:$C$1369,0)),"",INDEX('Compliance Database'!$M$2:$M$1369,MATCH(841,'Transfer Engine'!$C$2:$C$1369,0)))</f>
        <v/>
      </c>
      <c r="N850" s="9">
        <f>IF(ISNA(MATCH(841,'Transfer Engine'!$C$2:$C$1369,0)),"",INDEX('Compliance Database'!$N$2:$N$1369,MATCH(841,'Transfer Engine'!$C$2:$C$1369,0)))</f>
        <v/>
      </c>
      <c r="O850" s="8">
        <f>IF(ISNA(MATCH(841,'Transfer Engine'!$C$2:$C$1369,0)),"",HYPERLINK(INDEX('Compliance Database'!$O$2:$O$1369,MATCH(841,'Transfer Engine'!$C$2:$C$1369,0)),"Open PDF"))</f>
        <v/>
      </c>
    </row>
    <row r="851" ht="188" customHeight="1">
      <c r="A851" s="8">
        <f>IF(ISNA(MATCH(842,'Transfer Engine'!$C$2:$C$1369,0)),"",INDEX('Compliance Database'!$A$2:$A$1369,MATCH(842,'Transfer Engine'!$C$2:$C$1369,0)))</f>
        <v/>
      </c>
      <c r="B851" s="8">
        <f>IF(ISNA(MATCH(842,'Transfer Engine'!$C$2:$C$1369,0)),"",INDEX('Compliance Database'!$B$2:$B$1369,MATCH(842,'Transfer Engine'!$C$2:$C$1369,0)))</f>
        <v/>
      </c>
      <c r="C851" s="8">
        <f>IF(ISNA(MATCH(842,'Transfer Engine'!$C$2:$C$1369,0)),"",INDEX('Compliance Database'!$C$2:$C$1369,MATCH(842,'Transfer Engine'!$C$2:$C$1369,0)))</f>
        <v/>
      </c>
      <c r="D851" s="9">
        <f>IF(ISNA(MATCH(842,'Transfer Engine'!$C$2:$C$1369,0)),"",INDEX('Compliance Database'!$D$2:$D$1369,MATCH(842,'Transfer Engine'!$C$2:$C$1369,0)))</f>
        <v/>
      </c>
      <c r="E851" s="8">
        <f>IF(ISNA(MATCH(842,'Transfer Engine'!$C$2:$C$1369,0)),"",INDEX('Compliance Database'!$E$2:$E$1369,MATCH(842,'Transfer Engine'!$C$2:$C$1369,0)))</f>
        <v/>
      </c>
      <c r="F851" s="8">
        <f>IF(ISNA(MATCH(842,'Transfer Engine'!$C$2:$C$1369,0)),"",INDEX('Compliance Database'!$F$2:$F$1369,MATCH(842,'Transfer Engine'!$C$2:$C$1369,0)))</f>
        <v/>
      </c>
      <c r="G851" s="8">
        <f>IF(ISNA(MATCH(842,'Transfer Engine'!$C$2:$C$1369,0)),"",INDEX('Compliance Database'!$G$2:$G$1369,MATCH(842,'Transfer Engine'!$C$2:$C$1369,0)))</f>
        <v/>
      </c>
      <c r="H851" s="9">
        <f>IF(ISNA(MATCH(842,'Transfer Engine'!$C$2:$C$1369,0)),"",INDEX('Compliance Database'!$H$2:$H$1369,MATCH(842,'Transfer Engine'!$C$2:$C$1369,0)))</f>
        <v/>
      </c>
      <c r="I851" s="9">
        <f>IF(ISNA(MATCH(842,'Transfer Engine'!$C$2:$C$1369,0)),"",INDEX('Compliance Database'!$I$2:$I$1369,MATCH(842,'Transfer Engine'!$C$2:$C$1369,0)))</f>
        <v/>
      </c>
      <c r="J851" s="8">
        <f>IF(ISNA(MATCH(842,'Transfer Engine'!$C$2:$C$1369,0)),"",INDEX('Compliance Database'!$J$2:$J$1369,MATCH(842,'Transfer Engine'!$C$2:$C$1369,0)))</f>
        <v/>
      </c>
      <c r="K851" s="9">
        <f>IF(ISNA(MATCH(842,'Transfer Engine'!$C$2:$C$1369,0)),"",INDEX('Compliance Database'!$K$2:$K$1369,MATCH(842,'Transfer Engine'!$C$2:$C$1369,0)))</f>
        <v/>
      </c>
      <c r="L851" s="9">
        <f>IF(ISNA(MATCH(842,'Transfer Engine'!$C$2:$C$1369,0)),"",INDEX('Compliance Database'!$L$2:$L$1369,MATCH(842,'Transfer Engine'!$C$2:$C$1369,0)))</f>
        <v/>
      </c>
      <c r="M851" s="9">
        <f>IF(ISNA(MATCH(842,'Transfer Engine'!$C$2:$C$1369,0)),"",INDEX('Compliance Database'!$M$2:$M$1369,MATCH(842,'Transfer Engine'!$C$2:$C$1369,0)))</f>
        <v/>
      </c>
      <c r="N851" s="9">
        <f>IF(ISNA(MATCH(842,'Transfer Engine'!$C$2:$C$1369,0)),"",INDEX('Compliance Database'!$N$2:$N$1369,MATCH(842,'Transfer Engine'!$C$2:$C$1369,0)))</f>
        <v/>
      </c>
      <c r="O851" s="8">
        <f>IF(ISNA(MATCH(842,'Transfer Engine'!$C$2:$C$1369,0)),"",HYPERLINK(INDEX('Compliance Database'!$O$2:$O$1369,MATCH(842,'Transfer Engine'!$C$2:$C$1369,0)),"Open PDF"))</f>
        <v/>
      </c>
    </row>
    <row r="852" ht="188" customHeight="1">
      <c r="A852" s="8">
        <f>IF(ISNA(MATCH(843,'Transfer Engine'!$C$2:$C$1369,0)),"",INDEX('Compliance Database'!$A$2:$A$1369,MATCH(843,'Transfer Engine'!$C$2:$C$1369,0)))</f>
        <v/>
      </c>
      <c r="B852" s="8">
        <f>IF(ISNA(MATCH(843,'Transfer Engine'!$C$2:$C$1369,0)),"",INDEX('Compliance Database'!$B$2:$B$1369,MATCH(843,'Transfer Engine'!$C$2:$C$1369,0)))</f>
        <v/>
      </c>
      <c r="C852" s="8">
        <f>IF(ISNA(MATCH(843,'Transfer Engine'!$C$2:$C$1369,0)),"",INDEX('Compliance Database'!$C$2:$C$1369,MATCH(843,'Transfer Engine'!$C$2:$C$1369,0)))</f>
        <v/>
      </c>
      <c r="D852" s="9">
        <f>IF(ISNA(MATCH(843,'Transfer Engine'!$C$2:$C$1369,0)),"",INDEX('Compliance Database'!$D$2:$D$1369,MATCH(843,'Transfer Engine'!$C$2:$C$1369,0)))</f>
        <v/>
      </c>
      <c r="E852" s="8">
        <f>IF(ISNA(MATCH(843,'Transfer Engine'!$C$2:$C$1369,0)),"",INDEX('Compliance Database'!$E$2:$E$1369,MATCH(843,'Transfer Engine'!$C$2:$C$1369,0)))</f>
        <v/>
      </c>
      <c r="F852" s="8">
        <f>IF(ISNA(MATCH(843,'Transfer Engine'!$C$2:$C$1369,0)),"",INDEX('Compliance Database'!$F$2:$F$1369,MATCH(843,'Transfer Engine'!$C$2:$C$1369,0)))</f>
        <v/>
      </c>
      <c r="G852" s="8">
        <f>IF(ISNA(MATCH(843,'Transfer Engine'!$C$2:$C$1369,0)),"",INDEX('Compliance Database'!$G$2:$G$1369,MATCH(843,'Transfer Engine'!$C$2:$C$1369,0)))</f>
        <v/>
      </c>
      <c r="H852" s="9">
        <f>IF(ISNA(MATCH(843,'Transfer Engine'!$C$2:$C$1369,0)),"",INDEX('Compliance Database'!$H$2:$H$1369,MATCH(843,'Transfer Engine'!$C$2:$C$1369,0)))</f>
        <v/>
      </c>
      <c r="I852" s="9">
        <f>IF(ISNA(MATCH(843,'Transfer Engine'!$C$2:$C$1369,0)),"",INDEX('Compliance Database'!$I$2:$I$1369,MATCH(843,'Transfer Engine'!$C$2:$C$1369,0)))</f>
        <v/>
      </c>
      <c r="J852" s="8">
        <f>IF(ISNA(MATCH(843,'Transfer Engine'!$C$2:$C$1369,0)),"",INDEX('Compliance Database'!$J$2:$J$1369,MATCH(843,'Transfer Engine'!$C$2:$C$1369,0)))</f>
        <v/>
      </c>
      <c r="K852" s="9">
        <f>IF(ISNA(MATCH(843,'Transfer Engine'!$C$2:$C$1369,0)),"",INDEX('Compliance Database'!$K$2:$K$1369,MATCH(843,'Transfer Engine'!$C$2:$C$1369,0)))</f>
        <v/>
      </c>
      <c r="L852" s="9">
        <f>IF(ISNA(MATCH(843,'Transfer Engine'!$C$2:$C$1369,0)),"",INDEX('Compliance Database'!$L$2:$L$1369,MATCH(843,'Transfer Engine'!$C$2:$C$1369,0)))</f>
        <v/>
      </c>
      <c r="M852" s="9">
        <f>IF(ISNA(MATCH(843,'Transfer Engine'!$C$2:$C$1369,0)),"",INDEX('Compliance Database'!$M$2:$M$1369,MATCH(843,'Transfer Engine'!$C$2:$C$1369,0)))</f>
        <v/>
      </c>
      <c r="N852" s="9">
        <f>IF(ISNA(MATCH(843,'Transfer Engine'!$C$2:$C$1369,0)),"",INDEX('Compliance Database'!$N$2:$N$1369,MATCH(843,'Transfer Engine'!$C$2:$C$1369,0)))</f>
        <v/>
      </c>
      <c r="O852" s="8">
        <f>IF(ISNA(MATCH(843,'Transfer Engine'!$C$2:$C$1369,0)),"",HYPERLINK(INDEX('Compliance Database'!$O$2:$O$1369,MATCH(843,'Transfer Engine'!$C$2:$C$1369,0)),"Open PDF"))</f>
        <v/>
      </c>
    </row>
    <row r="853" ht="188" customHeight="1">
      <c r="A853" s="8">
        <f>IF(ISNA(MATCH(844,'Transfer Engine'!$C$2:$C$1369,0)),"",INDEX('Compliance Database'!$A$2:$A$1369,MATCH(844,'Transfer Engine'!$C$2:$C$1369,0)))</f>
        <v/>
      </c>
      <c r="B853" s="8">
        <f>IF(ISNA(MATCH(844,'Transfer Engine'!$C$2:$C$1369,0)),"",INDEX('Compliance Database'!$B$2:$B$1369,MATCH(844,'Transfer Engine'!$C$2:$C$1369,0)))</f>
        <v/>
      </c>
      <c r="C853" s="8">
        <f>IF(ISNA(MATCH(844,'Transfer Engine'!$C$2:$C$1369,0)),"",INDEX('Compliance Database'!$C$2:$C$1369,MATCH(844,'Transfer Engine'!$C$2:$C$1369,0)))</f>
        <v/>
      </c>
      <c r="D853" s="9">
        <f>IF(ISNA(MATCH(844,'Transfer Engine'!$C$2:$C$1369,0)),"",INDEX('Compliance Database'!$D$2:$D$1369,MATCH(844,'Transfer Engine'!$C$2:$C$1369,0)))</f>
        <v/>
      </c>
      <c r="E853" s="8">
        <f>IF(ISNA(MATCH(844,'Transfer Engine'!$C$2:$C$1369,0)),"",INDEX('Compliance Database'!$E$2:$E$1369,MATCH(844,'Transfer Engine'!$C$2:$C$1369,0)))</f>
        <v/>
      </c>
      <c r="F853" s="8">
        <f>IF(ISNA(MATCH(844,'Transfer Engine'!$C$2:$C$1369,0)),"",INDEX('Compliance Database'!$F$2:$F$1369,MATCH(844,'Transfer Engine'!$C$2:$C$1369,0)))</f>
        <v/>
      </c>
      <c r="G853" s="8">
        <f>IF(ISNA(MATCH(844,'Transfer Engine'!$C$2:$C$1369,0)),"",INDEX('Compliance Database'!$G$2:$G$1369,MATCH(844,'Transfer Engine'!$C$2:$C$1369,0)))</f>
        <v/>
      </c>
      <c r="H853" s="9">
        <f>IF(ISNA(MATCH(844,'Transfer Engine'!$C$2:$C$1369,0)),"",INDEX('Compliance Database'!$H$2:$H$1369,MATCH(844,'Transfer Engine'!$C$2:$C$1369,0)))</f>
        <v/>
      </c>
      <c r="I853" s="9">
        <f>IF(ISNA(MATCH(844,'Transfer Engine'!$C$2:$C$1369,0)),"",INDEX('Compliance Database'!$I$2:$I$1369,MATCH(844,'Transfer Engine'!$C$2:$C$1369,0)))</f>
        <v/>
      </c>
      <c r="J853" s="8">
        <f>IF(ISNA(MATCH(844,'Transfer Engine'!$C$2:$C$1369,0)),"",INDEX('Compliance Database'!$J$2:$J$1369,MATCH(844,'Transfer Engine'!$C$2:$C$1369,0)))</f>
        <v/>
      </c>
      <c r="K853" s="9">
        <f>IF(ISNA(MATCH(844,'Transfer Engine'!$C$2:$C$1369,0)),"",INDEX('Compliance Database'!$K$2:$K$1369,MATCH(844,'Transfer Engine'!$C$2:$C$1369,0)))</f>
        <v/>
      </c>
      <c r="L853" s="9">
        <f>IF(ISNA(MATCH(844,'Transfer Engine'!$C$2:$C$1369,0)),"",INDEX('Compliance Database'!$L$2:$L$1369,MATCH(844,'Transfer Engine'!$C$2:$C$1369,0)))</f>
        <v/>
      </c>
      <c r="M853" s="9">
        <f>IF(ISNA(MATCH(844,'Transfer Engine'!$C$2:$C$1369,0)),"",INDEX('Compliance Database'!$M$2:$M$1369,MATCH(844,'Transfer Engine'!$C$2:$C$1369,0)))</f>
        <v/>
      </c>
      <c r="N853" s="9">
        <f>IF(ISNA(MATCH(844,'Transfer Engine'!$C$2:$C$1369,0)),"",INDEX('Compliance Database'!$N$2:$N$1369,MATCH(844,'Transfer Engine'!$C$2:$C$1369,0)))</f>
        <v/>
      </c>
      <c r="O853" s="8">
        <f>IF(ISNA(MATCH(844,'Transfer Engine'!$C$2:$C$1369,0)),"",HYPERLINK(INDEX('Compliance Database'!$O$2:$O$1369,MATCH(844,'Transfer Engine'!$C$2:$C$1369,0)),"Open PDF"))</f>
        <v/>
      </c>
    </row>
    <row r="854" ht="188" customHeight="1">
      <c r="A854" s="8">
        <f>IF(ISNA(MATCH(845,'Transfer Engine'!$C$2:$C$1369,0)),"",INDEX('Compliance Database'!$A$2:$A$1369,MATCH(845,'Transfer Engine'!$C$2:$C$1369,0)))</f>
        <v/>
      </c>
      <c r="B854" s="8">
        <f>IF(ISNA(MATCH(845,'Transfer Engine'!$C$2:$C$1369,0)),"",INDEX('Compliance Database'!$B$2:$B$1369,MATCH(845,'Transfer Engine'!$C$2:$C$1369,0)))</f>
        <v/>
      </c>
      <c r="C854" s="8">
        <f>IF(ISNA(MATCH(845,'Transfer Engine'!$C$2:$C$1369,0)),"",INDEX('Compliance Database'!$C$2:$C$1369,MATCH(845,'Transfer Engine'!$C$2:$C$1369,0)))</f>
        <v/>
      </c>
      <c r="D854" s="9">
        <f>IF(ISNA(MATCH(845,'Transfer Engine'!$C$2:$C$1369,0)),"",INDEX('Compliance Database'!$D$2:$D$1369,MATCH(845,'Transfer Engine'!$C$2:$C$1369,0)))</f>
        <v/>
      </c>
      <c r="E854" s="8">
        <f>IF(ISNA(MATCH(845,'Transfer Engine'!$C$2:$C$1369,0)),"",INDEX('Compliance Database'!$E$2:$E$1369,MATCH(845,'Transfer Engine'!$C$2:$C$1369,0)))</f>
        <v/>
      </c>
      <c r="F854" s="8">
        <f>IF(ISNA(MATCH(845,'Transfer Engine'!$C$2:$C$1369,0)),"",INDEX('Compliance Database'!$F$2:$F$1369,MATCH(845,'Transfer Engine'!$C$2:$C$1369,0)))</f>
        <v/>
      </c>
      <c r="G854" s="8">
        <f>IF(ISNA(MATCH(845,'Transfer Engine'!$C$2:$C$1369,0)),"",INDEX('Compliance Database'!$G$2:$G$1369,MATCH(845,'Transfer Engine'!$C$2:$C$1369,0)))</f>
        <v/>
      </c>
      <c r="H854" s="9">
        <f>IF(ISNA(MATCH(845,'Transfer Engine'!$C$2:$C$1369,0)),"",INDEX('Compliance Database'!$H$2:$H$1369,MATCH(845,'Transfer Engine'!$C$2:$C$1369,0)))</f>
        <v/>
      </c>
      <c r="I854" s="9">
        <f>IF(ISNA(MATCH(845,'Transfer Engine'!$C$2:$C$1369,0)),"",INDEX('Compliance Database'!$I$2:$I$1369,MATCH(845,'Transfer Engine'!$C$2:$C$1369,0)))</f>
        <v/>
      </c>
      <c r="J854" s="8">
        <f>IF(ISNA(MATCH(845,'Transfer Engine'!$C$2:$C$1369,0)),"",INDEX('Compliance Database'!$J$2:$J$1369,MATCH(845,'Transfer Engine'!$C$2:$C$1369,0)))</f>
        <v/>
      </c>
      <c r="K854" s="9">
        <f>IF(ISNA(MATCH(845,'Transfer Engine'!$C$2:$C$1369,0)),"",INDEX('Compliance Database'!$K$2:$K$1369,MATCH(845,'Transfer Engine'!$C$2:$C$1369,0)))</f>
        <v/>
      </c>
      <c r="L854" s="9">
        <f>IF(ISNA(MATCH(845,'Transfer Engine'!$C$2:$C$1369,0)),"",INDEX('Compliance Database'!$L$2:$L$1369,MATCH(845,'Transfer Engine'!$C$2:$C$1369,0)))</f>
        <v/>
      </c>
      <c r="M854" s="9">
        <f>IF(ISNA(MATCH(845,'Transfer Engine'!$C$2:$C$1369,0)),"",INDEX('Compliance Database'!$M$2:$M$1369,MATCH(845,'Transfer Engine'!$C$2:$C$1369,0)))</f>
        <v/>
      </c>
      <c r="N854" s="9">
        <f>IF(ISNA(MATCH(845,'Transfer Engine'!$C$2:$C$1369,0)),"",INDEX('Compliance Database'!$N$2:$N$1369,MATCH(845,'Transfer Engine'!$C$2:$C$1369,0)))</f>
        <v/>
      </c>
      <c r="O854" s="8">
        <f>IF(ISNA(MATCH(845,'Transfer Engine'!$C$2:$C$1369,0)),"",HYPERLINK(INDEX('Compliance Database'!$O$2:$O$1369,MATCH(845,'Transfer Engine'!$C$2:$C$1369,0)),"Open PDF"))</f>
        <v/>
      </c>
    </row>
    <row r="855" ht="188" customHeight="1">
      <c r="A855" s="8">
        <f>IF(ISNA(MATCH(846,'Transfer Engine'!$C$2:$C$1369,0)),"",INDEX('Compliance Database'!$A$2:$A$1369,MATCH(846,'Transfer Engine'!$C$2:$C$1369,0)))</f>
        <v/>
      </c>
      <c r="B855" s="8">
        <f>IF(ISNA(MATCH(846,'Transfer Engine'!$C$2:$C$1369,0)),"",INDEX('Compliance Database'!$B$2:$B$1369,MATCH(846,'Transfer Engine'!$C$2:$C$1369,0)))</f>
        <v/>
      </c>
      <c r="C855" s="8">
        <f>IF(ISNA(MATCH(846,'Transfer Engine'!$C$2:$C$1369,0)),"",INDEX('Compliance Database'!$C$2:$C$1369,MATCH(846,'Transfer Engine'!$C$2:$C$1369,0)))</f>
        <v/>
      </c>
      <c r="D855" s="9">
        <f>IF(ISNA(MATCH(846,'Transfer Engine'!$C$2:$C$1369,0)),"",INDEX('Compliance Database'!$D$2:$D$1369,MATCH(846,'Transfer Engine'!$C$2:$C$1369,0)))</f>
        <v/>
      </c>
      <c r="E855" s="8">
        <f>IF(ISNA(MATCH(846,'Transfer Engine'!$C$2:$C$1369,0)),"",INDEX('Compliance Database'!$E$2:$E$1369,MATCH(846,'Transfer Engine'!$C$2:$C$1369,0)))</f>
        <v/>
      </c>
      <c r="F855" s="8">
        <f>IF(ISNA(MATCH(846,'Transfer Engine'!$C$2:$C$1369,0)),"",INDEX('Compliance Database'!$F$2:$F$1369,MATCH(846,'Transfer Engine'!$C$2:$C$1369,0)))</f>
        <v/>
      </c>
      <c r="G855" s="8">
        <f>IF(ISNA(MATCH(846,'Transfer Engine'!$C$2:$C$1369,0)),"",INDEX('Compliance Database'!$G$2:$G$1369,MATCH(846,'Transfer Engine'!$C$2:$C$1369,0)))</f>
        <v/>
      </c>
      <c r="H855" s="9">
        <f>IF(ISNA(MATCH(846,'Transfer Engine'!$C$2:$C$1369,0)),"",INDEX('Compliance Database'!$H$2:$H$1369,MATCH(846,'Transfer Engine'!$C$2:$C$1369,0)))</f>
        <v/>
      </c>
      <c r="I855" s="9">
        <f>IF(ISNA(MATCH(846,'Transfer Engine'!$C$2:$C$1369,0)),"",INDEX('Compliance Database'!$I$2:$I$1369,MATCH(846,'Transfer Engine'!$C$2:$C$1369,0)))</f>
        <v/>
      </c>
      <c r="J855" s="8">
        <f>IF(ISNA(MATCH(846,'Transfer Engine'!$C$2:$C$1369,0)),"",INDEX('Compliance Database'!$J$2:$J$1369,MATCH(846,'Transfer Engine'!$C$2:$C$1369,0)))</f>
        <v/>
      </c>
      <c r="K855" s="9">
        <f>IF(ISNA(MATCH(846,'Transfer Engine'!$C$2:$C$1369,0)),"",INDEX('Compliance Database'!$K$2:$K$1369,MATCH(846,'Transfer Engine'!$C$2:$C$1369,0)))</f>
        <v/>
      </c>
      <c r="L855" s="9">
        <f>IF(ISNA(MATCH(846,'Transfer Engine'!$C$2:$C$1369,0)),"",INDEX('Compliance Database'!$L$2:$L$1369,MATCH(846,'Transfer Engine'!$C$2:$C$1369,0)))</f>
        <v/>
      </c>
      <c r="M855" s="9">
        <f>IF(ISNA(MATCH(846,'Transfer Engine'!$C$2:$C$1369,0)),"",INDEX('Compliance Database'!$M$2:$M$1369,MATCH(846,'Transfer Engine'!$C$2:$C$1369,0)))</f>
        <v/>
      </c>
      <c r="N855" s="9">
        <f>IF(ISNA(MATCH(846,'Transfer Engine'!$C$2:$C$1369,0)),"",INDEX('Compliance Database'!$N$2:$N$1369,MATCH(846,'Transfer Engine'!$C$2:$C$1369,0)))</f>
        <v/>
      </c>
      <c r="O855" s="8">
        <f>IF(ISNA(MATCH(846,'Transfer Engine'!$C$2:$C$1369,0)),"",HYPERLINK(INDEX('Compliance Database'!$O$2:$O$1369,MATCH(846,'Transfer Engine'!$C$2:$C$1369,0)),"Open PDF"))</f>
        <v/>
      </c>
    </row>
    <row r="856" ht="188" customHeight="1">
      <c r="A856" s="8">
        <f>IF(ISNA(MATCH(847,'Transfer Engine'!$C$2:$C$1369,0)),"",INDEX('Compliance Database'!$A$2:$A$1369,MATCH(847,'Transfer Engine'!$C$2:$C$1369,0)))</f>
        <v/>
      </c>
      <c r="B856" s="8">
        <f>IF(ISNA(MATCH(847,'Transfer Engine'!$C$2:$C$1369,0)),"",INDEX('Compliance Database'!$B$2:$B$1369,MATCH(847,'Transfer Engine'!$C$2:$C$1369,0)))</f>
        <v/>
      </c>
      <c r="C856" s="8">
        <f>IF(ISNA(MATCH(847,'Transfer Engine'!$C$2:$C$1369,0)),"",INDEX('Compliance Database'!$C$2:$C$1369,MATCH(847,'Transfer Engine'!$C$2:$C$1369,0)))</f>
        <v/>
      </c>
      <c r="D856" s="9">
        <f>IF(ISNA(MATCH(847,'Transfer Engine'!$C$2:$C$1369,0)),"",INDEX('Compliance Database'!$D$2:$D$1369,MATCH(847,'Transfer Engine'!$C$2:$C$1369,0)))</f>
        <v/>
      </c>
      <c r="E856" s="8">
        <f>IF(ISNA(MATCH(847,'Transfer Engine'!$C$2:$C$1369,0)),"",INDEX('Compliance Database'!$E$2:$E$1369,MATCH(847,'Transfer Engine'!$C$2:$C$1369,0)))</f>
        <v/>
      </c>
      <c r="F856" s="8">
        <f>IF(ISNA(MATCH(847,'Transfer Engine'!$C$2:$C$1369,0)),"",INDEX('Compliance Database'!$F$2:$F$1369,MATCH(847,'Transfer Engine'!$C$2:$C$1369,0)))</f>
        <v/>
      </c>
      <c r="G856" s="8">
        <f>IF(ISNA(MATCH(847,'Transfer Engine'!$C$2:$C$1369,0)),"",INDEX('Compliance Database'!$G$2:$G$1369,MATCH(847,'Transfer Engine'!$C$2:$C$1369,0)))</f>
        <v/>
      </c>
      <c r="H856" s="9">
        <f>IF(ISNA(MATCH(847,'Transfer Engine'!$C$2:$C$1369,0)),"",INDEX('Compliance Database'!$H$2:$H$1369,MATCH(847,'Transfer Engine'!$C$2:$C$1369,0)))</f>
        <v/>
      </c>
      <c r="I856" s="9">
        <f>IF(ISNA(MATCH(847,'Transfer Engine'!$C$2:$C$1369,0)),"",INDEX('Compliance Database'!$I$2:$I$1369,MATCH(847,'Transfer Engine'!$C$2:$C$1369,0)))</f>
        <v/>
      </c>
      <c r="J856" s="8">
        <f>IF(ISNA(MATCH(847,'Transfer Engine'!$C$2:$C$1369,0)),"",INDEX('Compliance Database'!$J$2:$J$1369,MATCH(847,'Transfer Engine'!$C$2:$C$1369,0)))</f>
        <v/>
      </c>
      <c r="K856" s="9">
        <f>IF(ISNA(MATCH(847,'Transfer Engine'!$C$2:$C$1369,0)),"",INDEX('Compliance Database'!$K$2:$K$1369,MATCH(847,'Transfer Engine'!$C$2:$C$1369,0)))</f>
        <v/>
      </c>
      <c r="L856" s="9">
        <f>IF(ISNA(MATCH(847,'Transfer Engine'!$C$2:$C$1369,0)),"",INDEX('Compliance Database'!$L$2:$L$1369,MATCH(847,'Transfer Engine'!$C$2:$C$1369,0)))</f>
        <v/>
      </c>
      <c r="M856" s="9">
        <f>IF(ISNA(MATCH(847,'Transfer Engine'!$C$2:$C$1369,0)),"",INDEX('Compliance Database'!$M$2:$M$1369,MATCH(847,'Transfer Engine'!$C$2:$C$1369,0)))</f>
        <v/>
      </c>
      <c r="N856" s="9">
        <f>IF(ISNA(MATCH(847,'Transfer Engine'!$C$2:$C$1369,0)),"",INDEX('Compliance Database'!$N$2:$N$1369,MATCH(847,'Transfer Engine'!$C$2:$C$1369,0)))</f>
        <v/>
      </c>
      <c r="O856" s="8">
        <f>IF(ISNA(MATCH(847,'Transfer Engine'!$C$2:$C$1369,0)),"",HYPERLINK(INDEX('Compliance Database'!$O$2:$O$1369,MATCH(847,'Transfer Engine'!$C$2:$C$1369,0)),"Open PDF"))</f>
        <v/>
      </c>
    </row>
    <row r="857" ht="188" customHeight="1">
      <c r="A857" s="8">
        <f>IF(ISNA(MATCH(848,'Transfer Engine'!$C$2:$C$1369,0)),"",INDEX('Compliance Database'!$A$2:$A$1369,MATCH(848,'Transfer Engine'!$C$2:$C$1369,0)))</f>
        <v/>
      </c>
      <c r="B857" s="8">
        <f>IF(ISNA(MATCH(848,'Transfer Engine'!$C$2:$C$1369,0)),"",INDEX('Compliance Database'!$B$2:$B$1369,MATCH(848,'Transfer Engine'!$C$2:$C$1369,0)))</f>
        <v/>
      </c>
      <c r="C857" s="8">
        <f>IF(ISNA(MATCH(848,'Transfer Engine'!$C$2:$C$1369,0)),"",INDEX('Compliance Database'!$C$2:$C$1369,MATCH(848,'Transfer Engine'!$C$2:$C$1369,0)))</f>
        <v/>
      </c>
      <c r="D857" s="9">
        <f>IF(ISNA(MATCH(848,'Transfer Engine'!$C$2:$C$1369,0)),"",INDEX('Compliance Database'!$D$2:$D$1369,MATCH(848,'Transfer Engine'!$C$2:$C$1369,0)))</f>
        <v/>
      </c>
      <c r="E857" s="8">
        <f>IF(ISNA(MATCH(848,'Transfer Engine'!$C$2:$C$1369,0)),"",INDEX('Compliance Database'!$E$2:$E$1369,MATCH(848,'Transfer Engine'!$C$2:$C$1369,0)))</f>
        <v/>
      </c>
      <c r="F857" s="8">
        <f>IF(ISNA(MATCH(848,'Transfer Engine'!$C$2:$C$1369,0)),"",INDEX('Compliance Database'!$F$2:$F$1369,MATCH(848,'Transfer Engine'!$C$2:$C$1369,0)))</f>
        <v/>
      </c>
      <c r="G857" s="8">
        <f>IF(ISNA(MATCH(848,'Transfer Engine'!$C$2:$C$1369,0)),"",INDEX('Compliance Database'!$G$2:$G$1369,MATCH(848,'Transfer Engine'!$C$2:$C$1369,0)))</f>
        <v/>
      </c>
      <c r="H857" s="9">
        <f>IF(ISNA(MATCH(848,'Transfer Engine'!$C$2:$C$1369,0)),"",INDEX('Compliance Database'!$H$2:$H$1369,MATCH(848,'Transfer Engine'!$C$2:$C$1369,0)))</f>
        <v/>
      </c>
      <c r="I857" s="9">
        <f>IF(ISNA(MATCH(848,'Transfer Engine'!$C$2:$C$1369,0)),"",INDEX('Compliance Database'!$I$2:$I$1369,MATCH(848,'Transfer Engine'!$C$2:$C$1369,0)))</f>
        <v/>
      </c>
      <c r="J857" s="8">
        <f>IF(ISNA(MATCH(848,'Transfer Engine'!$C$2:$C$1369,0)),"",INDEX('Compliance Database'!$J$2:$J$1369,MATCH(848,'Transfer Engine'!$C$2:$C$1369,0)))</f>
        <v/>
      </c>
      <c r="K857" s="9">
        <f>IF(ISNA(MATCH(848,'Transfer Engine'!$C$2:$C$1369,0)),"",INDEX('Compliance Database'!$K$2:$K$1369,MATCH(848,'Transfer Engine'!$C$2:$C$1369,0)))</f>
        <v/>
      </c>
      <c r="L857" s="9">
        <f>IF(ISNA(MATCH(848,'Transfer Engine'!$C$2:$C$1369,0)),"",INDEX('Compliance Database'!$L$2:$L$1369,MATCH(848,'Transfer Engine'!$C$2:$C$1369,0)))</f>
        <v/>
      </c>
      <c r="M857" s="9">
        <f>IF(ISNA(MATCH(848,'Transfer Engine'!$C$2:$C$1369,0)),"",INDEX('Compliance Database'!$M$2:$M$1369,MATCH(848,'Transfer Engine'!$C$2:$C$1369,0)))</f>
        <v/>
      </c>
      <c r="N857" s="9">
        <f>IF(ISNA(MATCH(848,'Transfer Engine'!$C$2:$C$1369,0)),"",INDEX('Compliance Database'!$N$2:$N$1369,MATCH(848,'Transfer Engine'!$C$2:$C$1369,0)))</f>
        <v/>
      </c>
      <c r="O857" s="8">
        <f>IF(ISNA(MATCH(848,'Transfer Engine'!$C$2:$C$1369,0)),"",HYPERLINK(INDEX('Compliance Database'!$O$2:$O$1369,MATCH(848,'Transfer Engine'!$C$2:$C$1369,0)),"Open PDF"))</f>
        <v/>
      </c>
    </row>
    <row r="858" ht="188" customHeight="1">
      <c r="A858" s="8">
        <f>IF(ISNA(MATCH(849,'Transfer Engine'!$C$2:$C$1369,0)),"",INDEX('Compliance Database'!$A$2:$A$1369,MATCH(849,'Transfer Engine'!$C$2:$C$1369,0)))</f>
        <v/>
      </c>
      <c r="B858" s="8">
        <f>IF(ISNA(MATCH(849,'Transfer Engine'!$C$2:$C$1369,0)),"",INDEX('Compliance Database'!$B$2:$B$1369,MATCH(849,'Transfer Engine'!$C$2:$C$1369,0)))</f>
        <v/>
      </c>
      <c r="C858" s="8">
        <f>IF(ISNA(MATCH(849,'Transfer Engine'!$C$2:$C$1369,0)),"",INDEX('Compliance Database'!$C$2:$C$1369,MATCH(849,'Transfer Engine'!$C$2:$C$1369,0)))</f>
        <v/>
      </c>
      <c r="D858" s="9">
        <f>IF(ISNA(MATCH(849,'Transfer Engine'!$C$2:$C$1369,0)),"",INDEX('Compliance Database'!$D$2:$D$1369,MATCH(849,'Transfer Engine'!$C$2:$C$1369,0)))</f>
        <v/>
      </c>
      <c r="E858" s="8">
        <f>IF(ISNA(MATCH(849,'Transfer Engine'!$C$2:$C$1369,0)),"",INDEX('Compliance Database'!$E$2:$E$1369,MATCH(849,'Transfer Engine'!$C$2:$C$1369,0)))</f>
        <v/>
      </c>
      <c r="F858" s="8">
        <f>IF(ISNA(MATCH(849,'Transfer Engine'!$C$2:$C$1369,0)),"",INDEX('Compliance Database'!$F$2:$F$1369,MATCH(849,'Transfer Engine'!$C$2:$C$1369,0)))</f>
        <v/>
      </c>
      <c r="G858" s="8">
        <f>IF(ISNA(MATCH(849,'Transfer Engine'!$C$2:$C$1369,0)),"",INDEX('Compliance Database'!$G$2:$G$1369,MATCH(849,'Transfer Engine'!$C$2:$C$1369,0)))</f>
        <v/>
      </c>
      <c r="H858" s="9">
        <f>IF(ISNA(MATCH(849,'Transfer Engine'!$C$2:$C$1369,0)),"",INDEX('Compliance Database'!$H$2:$H$1369,MATCH(849,'Transfer Engine'!$C$2:$C$1369,0)))</f>
        <v/>
      </c>
      <c r="I858" s="9">
        <f>IF(ISNA(MATCH(849,'Transfer Engine'!$C$2:$C$1369,0)),"",INDEX('Compliance Database'!$I$2:$I$1369,MATCH(849,'Transfer Engine'!$C$2:$C$1369,0)))</f>
        <v/>
      </c>
      <c r="J858" s="8">
        <f>IF(ISNA(MATCH(849,'Transfer Engine'!$C$2:$C$1369,0)),"",INDEX('Compliance Database'!$J$2:$J$1369,MATCH(849,'Transfer Engine'!$C$2:$C$1369,0)))</f>
        <v/>
      </c>
      <c r="K858" s="9">
        <f>IF(ISNA(MATCH(849,'Transfer Engine'!$C$2:$C$1369,0)),"",INDEX('Compliance Database'!$K$2:$K$1369,MATCH(849,'Transfer Engine'!$C$2:$C$1369,0)))</f>
        <v/>
      </c>
      <c r="L858" s="9">
        <f>IF(ISNA(MATCH(849,'Transfer Engine'!$C$2:$C$1369,0)),"",INDEX('Compliance Database'!$L$2:$L$1369,MATCH(849,'Transfer Engine'!$C$2:$C$1369,0)))</f>
        <v/>
      </c>
      <c r="M858" s="9">
        <f>IF(ISNA(MATCH(849,'Transfer Engine'!$C$2:$C$1369,0)),"",INDEX('Compliance Database'!$M$2:$M$1369,MATCH(849,'Transfer Engine'!$C$2:$C$1369,0)))</f>
        <v/>
      </c>
      <c r="N858" s="9">
        <f>IF(ISNA(MATCH(849,'Transfer Engine'!$C$2:$C$1369,0)),"",INDEX('Compliance Database'!$N$2:$N$1369,MATCH(849,'Transfer Engine'!$C$2:$C$1369,0)))</f>
        <v/>
      </c>
      <c r="O858" s="8">
        <f>IF(ISNA(MATCH(849,'Transfer Engine'!$C$2:$C$1369,0)),"",HYPERLINK(INDEX('Compliance Database'!$O$2:$O$1369,MATCH(849,'Transfer Engine'!$C$2:$C$1369,0)),"Open PDF"))</f>
        <v/>
      </c>
    </row>
    <row r="859" ht="188" customHeight="1">
      <c r="A859" s="8">
        <f>IF(ISNA(MATCH(850,'Transfer Engine'!$C$2:$C$1369,0)),"",INDEX('Compliance Database'!$A$2:$A$1369,MATCH(850,'Transfer Engine'!$C$2:$C$1369,0)))</f>
        <v/>
      </c>
      <c r="B859" s="8">
        <f>IF(ISNA(MATCH(850,'Transfer Engine'!$C$2:$C$1369,0)),"",INDEX('Compliance Database'!$B$2:$B$1369,MATCH(850,'Transfer Engine'!$C$2:$C$1369,0)))</f>
        <v/>
      </c>
      <c r="C859" s="8">
        <f>IF(ISNA(MATCH(850,'Transfer Engine'!$C$2:$C$1369,0)),"",INDEX('Compliance Database'!$C$2:$C$1369,MATCH(850,'Transfer Engine'!$C$2:$C$1369,0)))</f>
        <v/>
      </c>
      <c r="D859" s="9">
        <f>IF(ISNA(MATCH(850,'Transfer Engine'!$C$2:$C$1369,0)),"",INDEX('Compliance Database'!$D$2:$D$1369,MATCH(850,'Transfer Engine'!$C$2:$C$1369,0)))</f>
        <v/>
      </c>
      <c r="E859" s="8">
        <f>IF(ISNA(MATCH(850,'Transfer Engine'!$C$2:$C$1369,0)),"",INDEX('Compliance Database'!$E$2:$E$1369,MATCH(850,'Transfer Engine'!$C$2:$C$1369,0)))</f>
        <v/>
      </c>
      <c r="F859" s="8">
        <f>IF(ISNA(MATCH(850,'Transfer Engine'!$C$2:$C$1369,0)),"",INDEX('Compliance Database'!$F$2:$F$1369,MATCH(850,'Transfer Engine'!$C$2:$C$1369,0)))</f>
        <v/>
      </c>
      <c r="G859" s="8">
        <f>IF(ISNA(MATCH(850,'Transfer Engine'!$C$2:$C$1369,0)),"",INDEX('Compliance Database'!$G$2:$G$1369,MATCH(850,'Transfer Engine'!$C$2:$C$1369,0)))</f>
        <v/>
      </c>
      <c r="H859" s="9">
        <f>IF(ISNA(MATCH(850,'Transfer Engine'!$C$2:$C$1369,0)),"",INDEX('Compliance Database'!$H$2:$H$1369,MATCH(850,'Transfer Engine'!$C$2:$C$1369,0)))</f>
        <v/>
      </c>
      <c r="I859" s="9">
        <f>IF(ISNA(MATCH(850,'Transfer Engine'!$C$2:$C$1369,0)),"",INDEX('Compliance Database'!$I$2:$I$1369,MATCH(850,'Transfer Engine'!$C$2:$C$1369,0)))</f>
        <v/>
      </c>
      <c r="J859" s="8">
        <f>IF(ISNA(MATCH(850,'Transfer Engine'!$C$2:$C$1369,0)),"",INDEX('Compliance Database'!$J$2:$J$1369,MATCH(850,'Transfer Engine'!$C$2:$C$1369,0)))</f>
        <v/>
      </c>
      <c r="K859" s="9">
        <f>IF(ISNA(MATCH(850,'Transfer Engine'!$C$2:$C$1369,0)),"",INDEX('Compliance Database'!$K$2:$K$1369,MATCH(850,'Transfer Engine'!$C$2:$C$1369,0)))</f>
        <v/>
      </c>
      <c r="L859" s="9">
        <f>IF(ISNA(MATCH(850,'Transfer Engine'!$C$2:$C$1369,0)),"",INDEX('Compliance Database'!$L$2:$L$1369,MATCH(850,'Transfer Engine'!$C$2:$C$1369,0)))</f>
        <v/>
      </c>
      <c r="M859" s="9">
        <f>IF(ISNA(MATCH(850,'Transfer Engine'!$C$2:$C$1369,0)),"",INDEX('Compliance Database'!$M$2:$M$1369,MATCH(850,'Transfer Engine'!$C$2:$C$1369,0)))</f>
        <v/>
      </c>
      <c r="N859" s="9">
        <f>IF(ISNA(MATCH(850,'Transfer Engine'!$C$2:$C$1369,0)),"",INDEX('Compliance Database'!$N$2:$N$1369,MATCH(850,'Transfer Engine'!$C$2:$C$1369,0)))</f>
        <v/>
      </c>
      <c r="O859" s="8">
        <f>IF(ISNA(MATCH(850,'Transfer Engine'!$C$2:$C$1369,0)),"",HYPERLINK(INDEX('Compliance Database'!$O$2:$O$1369,MATCH(850,'Transfer Engine'!$C$2:$C$1369,0)),"Open PDF"))</f>
        <v/>
      </c>
    </row>
    <row r="860" ht="188" customHeight="1">
      <c r="A860" s="8">
        <f>IF(ISNA(MATCH(851,'Transfer Engine'!$C$2:$C$1369,0)),"",INDEX('Compliance Database'!$A$2:$A$1369,MATCH(851,'Transfer Engine'!$C$2:$C$1369,0)))</f>
        <v/>
      </c>
      <c r="B860" s="8">
        <f>IF(ISNA(MATCH(851,'Transfer Engine'!$C$2:$C$1369,0)),"",INDEX('Compliance Database'!$B$2:$B$1369,MATCH(851,'Transfer Engine'!$C$2:$C$1369,0)))</f>
        <v/>
      </c>
      <c r="C860" s="8">
        <f>IF(ISNA(MATCH(851,'Transfer Engine'!$C$2:$C$1369,0)),"",INDEX('Compliance Database'!$C$2:$C$1369,MATCH(851,'Transfer Engine'!$C$2:$C$1369,0)))</f>
        <v/>
      </c>
      <c r="D860" s="9">
        <f>IF(ISNA(MATCH(851,'Transfer Engine'!$C$2:$C$1369,0)),"",INDEX('Compliance Database'!$D$2:$D$1369,MATCH(851,'Transfer Engine'!$C$2:$C$1369,0)))</f>
        <v/>
      </c>
      <c r="E860" s="8">
        <f>IF(ISNA(MATCH(851,'Transfer Engine'!$C$2:$C$1369,0)),"",INDEX('Compliance Database'!$E$2:$E$1369,MATCH(851,'Transfer Engine'!$C$2:$C$1369,0)))</f>
        <v/>
      </c>
      <c r="F860" s="8">
        <f>IF(ISNA(MATCH(851,'Transfer Engine'!$C$2:$C$1369,0)),"",INDEX('Compliance Database'!$F$2:$F$1369,MATCH(851,'Transfer Engine'!$C$2:$C$1369,0)))</f>
        <v/>
      </c>
      <c r="G860" s="8">
        <f>IF(ISNA(MATCH(851,'Transfer Engine'!$C$2:$C$1369,0)),"",INDEX('Compliance Database'!$G$2:$G$1369,MATCH(851,'Transfer Engine'!$C$2:$C$1369,0)))</f>
        <v/>
      </c>
      <c r="H860" s="9">
        <f>IF(ISNA(MATCH(851,'Transfer Engine'!$C$2:$C$1369,0)),"",INDEX('Compliance Database'!$H$2:$H$1369,MATCH(851,'Transfer Engine'!$C$2:$C$1369,0)))</f>
        <v/>
      </c>
      <c r="I860" s="9">
        <f>IF(ISNA(MATCH(851,'Transfer Engine'!$C$2:$C$1369,0)),"",INDEX('Compliance Database'!$I$2:$I$1369,MATCH(851,'Transfer Engine'!$C$2:$C$1369,0)))</f>
        <v/>
      </c>
      <c r="J860" s="8">
        <f>IF(ISNA(MATCH(851,'Transfer Engine'!$C$2:$C$1369,0)),"",INDEX('Compliance Database'!$J$2:$J$1369,MATCH(851,'Transfer Engine'!$C$2:$C$1369,0)))</f>
        <v/>
      </c>
      <c r="K860" s="9">
        <f>IF(ISNA(MATCH(851,'Transfer Engine'!$C$2:$C$1369,0)),"",INDEX('Compliance Database'!$K$2:$K$1369,MATCH(851,'Transfer Engine'!$C$2:$C$1369,0)))</f>
        <v/>
      </c>
      <c r="L860" s="9">
        <f>IF(ISNA(MATCH(851,'Transfer Engine'!$C$2:$C$1369,0)),"",INDEX('Compliance Database'!$L$2:$L$1369,MATCH(851,'Transfer Engine'!$C$2:$C$1369,0)))</f>
        <v/>
      </c>
      <c r="M860" s="9">
        <f>IF(ISNA(MATCH(851,'Transfer Engine'!$C$2:$C$1369,0)),"",INDEX('Compliance Database'!$M$2:$M$1369,MATCH(851,'Transfer Engine'!$C$2:$C$1369,0)))</f>
        <v/>
      </c>
      <c r="N860" s="9">
        <f>IF(ISNA(MATCH(851,'Transfer Engine'!$C$2:$C$1369,0)),"",INDEX('Compliance Database'!$N$2:$N$1369,MATCH(851,'Transfer Engine'!$C$2:$C$1369,0)))</f>
        <v/>
      </c>
      <c r="O860" s="8">
        <f>IF(ISNA(MATCH(851,'Transfer Engine'!$C$2:$C$1369,0)),"",HYPERLINK(INDEX('Compliance Database'!$O$2:$O$1369,MATCH(851,'Transfer Engine'!$C$2:$C$1369,0)),"Open PDF"))</f>
        <v/>
      </c>
    </row>
    <row r="861" ht="188" customHeight="1">
      <c r="A861" s="8">
        <f>IF(ISNA(MATCH(852,'Transfer Engine'!$C$2:$C$1369,0)),"",INDEX('Compliance Database'!$A$2:$A$1369,MATCH(852,'Transfer Engine'!$C$2:$C$1369,0)))</f>
        <v/>
      </c>
      <c r="B861" s="8">
        <f>IF(ISNA(MATCH(852,'Transfer Engine'!$C$2:$C$1369,0)),"",INDEX('Compliance Database'!$B$2:$B$1369,MATCH(852,'Transfer Engine'!$C$2:$C$1369,0)))</f>
        <v/>
      </c>
      <c r="C861" s="8">
        <f>IF(ISNA(MATCH(852,'Transfer Engine'!$C$2:$C$1369,0)),"",INDEX('Compliance Database'!$C$2:$C$1369,MATCH(852,'Transfer Engine'!$C$2:$C$1369,0)))</f>
        <v/>
      </c>
      <c r="D861" s="9">
        <f>IF(ISNA(MATCH(852,'Transfer Engine'!$C$2:$C$1369,0)),"",INDEX('Compliance Database'!$D$2:$D$1369,MATCH(852,'Transfer Engine'!$C$2:$C$1369,0)))</f>
        <v/>
      </c>
      <c r="E861" s="8">
        <f>IF(ISNA(MATCH(852,'Transfer Engine'!$C$2:$C$1369,0)),"",INDEX('Compliance Database'!$E$2:$E$1369,MATCH(852,'Transfer Engine'!$C$2:$C$1369,0)))</f>
        <v/>
      </c>
      <c r="F861" s="8">
        <f>IF(ISNA(MATCH(852,'Transfer Engine'!$C$2:$C$1369,0)),"",INDEX('Compliance Database'!$F$2:$F$1369,MATCH(852,'Transfer Engine'!$C$2:$C$1369,0)))</f>
        <v/>
      </c>
      <c r="G861" s="8">
        <f>IF(ISNA(MATCH(852,'Transfer Engine'!$C$2:$C$1369,0)),"",INDEX('Compliance Database'!$G$2:$G$1369,MATCH(852,'Transfer Engine'!$C$2:$C$1369,0)))</f>
        <v/>
      </c>
      <c r="H861" s="9">
        <f>IF(ISNA(MATCH(852,'Transfer Engine'!$C$2:$C$1369,0)),"",INDEX('Compliance Database'!$H$2:$H$1369,MATCH(852,'Transfer Engine'!$C$2:$C$1369,0)))</f>
        <v/>
      </c>
      <c r="I861" s="9">
        <f>IF(ISNA(MATCH(852,'Transfer Engine'!$C$2:$C$1369,0)),"",INDEX('Compliance Database'!$I$2:$I$1369,MATCH(852,'Transfer Engine'!$C$2:$C$1369,0)))</f>
        <v/>
      </c>
      <c r="J861" s="8">
        <f>IF(ISNA(MATCH(852,'Transfer Engine'!$C$2:$C$1369,0)),"",INDEX('Compliance Database'!$J$2:$J$1369,MATCH(852,'Transfer Engine'!$C$2:$C$1369,0)))</f>
        <v/>
      </c>
      <c r="K861" s="9">
        <f>IF(ISNA(MATCH(852,'Transfer Engine'!$C$2:$C$1369,0)),"",INDEX('Compliance Database'!$K$2:$K$1369,MATCH(852,'Transfer Engine'!$C$2:$C$1369,0)))</f>
        <v/>
      </c>
      <c r="L861" s="9">
        <f>IF(ISNA(MATCH(852,'Transfer Engine'!$C$2:$C$1369,0)),"",INDEX('Compliance Database'!$L$2:$L$1369,MATCH(852,'Transfer Engine'!$C$2:$C$1369,0)))</f>
        <v/>
      </c>
      <c r="M861" s="9">
        <f>IF(ISNA(MATCH(852,'Transfer Engine'!$C$2:$C$1369,0)),"",INDEX('Compliance Database'!$M$2:$M$1369,MATCH(852,'Transfer Engine'!$C$2:$C$1369,0)))</f>
        <v/>
      </c>
      <c r="N861" s="9">
        <f>IF(ISNA(MATCH(852,'Transfer Engine'!$C$2:$C$1369,0)),"",INDEX('Compliance Database'!$N$2:$N$1369,MATCH(852,'Transfer Engine'!$C$2:$C$1369,0)))</f>
        <v/>
      </c>
      <c r="O861" s="8">
        <f>IF(ISNA(MATCH(852,'Transfer Engine'!$C$2:$C$1369,0)),"",HYPERLINK(INDEX('Compliance Database'!$O$2:$O$1369,MATCH(852,'Transfer Engine'!$C$2:$C$1369,0)),"Open PDF"))</f>
        <v/>
      </c>
    </row>
    <row r="862" ht="188" customHeight="1">
      <c r="A862" s="8">
        <f>IF(ISNA(MATCH(853,'Transfer Engine'!$C$2:$C$1369,0)),"",INDEX('Compliance Database'!$A$2:$A$1369,MATCH(853,'Transfer Engine'!$C$2:$C$1369,0)))</f>
        <v/>
      </c>
      <c r="B862" s="8">
        <f>IF(ISNA(MATCH(853,'Transfer Engine'!$C$2:$C$1369,0)),"",INDEX('Compliance Database'!$B$2:$B$1369,MATCH(853,'Transfer Engine'!$C$2:$C$1369,0)))</f>
        <v/>
      </c>
      <c r="C862" s="8">
        <f>IF(ISNA(MATCH(853,'Transfer Engine'!$C$2:$C$1369,0)),"",INDEX('Compliance Database'!$C$2:$C$1369,MATCH(853,'Transfer Engine'!$C$2:$C$1369,0)))</f>
        <v/>
      </c>
      <c r="D862" s="9">
        <f>IF(ISNA(MATCH(853,'Transfer Engine'!$C$2:$C$1369,0)),"",INDEX('Compliance Database'!$D$2:$D$1369,MATCH(853,'Transfer Engine'!$C$2:$C$1369,0)))</f>
        <v/>
      </c>
      <c r="E862" s="8">
        <f>IF(ISNA(MATCH(853,'Transfer Engine'!$C$2:$C$1369,0)),"",INDEX('Compliance Database'!$E$2:$E$1369,MATCH(853,'Transfer Engine'!$C$2:$C$1369,0)))</f>
        <v/>
      </c>
      <c r="F862" s="8">
        <f>IF(ISNA(MATCH(853,'Transfer Engine'!$C$2:$C$1369,0)),"",INDEX('Compliance Database'!$F$2:$F$1369,MATCH(853,'Transfer Engine'!$C$2:$C$1369,0)))</f>
        <v/>
      </c>
      <c r="G862" s="8">
        <f>IF(ISNA(MATCH(853,'Transfer Engine'!$C$2:$C$1369,0)),"",INDEX('Compliance Database'!$G$2:$G$1369,MATCH(853,'Transfer Engine'!$C$2:$C$1369,0)))</f>
        <v/>
      </c>
      <c r="H862" s="9">
        <f>IF(ISNA(MATCH(853,'Transfer Engine'!$C$2:$C$1369,0)),"",INDEX('Compliance Database'!$H$2:$H$1369,MATCH(853,'Transfer Engine'!$C$2:$C$1369,0)))</f>
        <v/>
      </c>
      <c r="I862" s="9">
        <f>IF(ISNA(MATCH(853,'Transfer Engine'!$C$2:$C$1369,0)),"",INDEX('Compliance Database'!$I$2:$I$1369,MATCH(853,'Transfer Engine'!$C$2:$C$1369,0)))</f>
        <v/>
      </c>
      <c r="J862" s="8">
        <f>IF(ISNA(MATCH(853,'Transfer Engine'!$C$2:$C$1369,0)),"",INDEX('Compliance Database'!$J$2:$J$1369,MATCH(853,'Transfer Engine'!$C$2:$C$1369,0)))</f>
        <v/>
      </c>
      <c r="K862" s="9">
        <f>IF(ISNA(MATCH(853,'Transfer Engine'!$C$2:$C$1369,0)),"",INDEX('Compliance Database'!$K$2:$K$1369,MATCH(853,'Transfer Engine'!$C$2:$C$1369,0)))</f>
        <v/>
      </c>
      <c r="L862" s="9">
        <f>IF(ISNA(MATCH(853,'Transfer Engine'!$C$2:$C$1369,0)),"",INDEX('Compliance Database'!$L$2:$L$1369,MATCH(853,'Transfer Engine'!$C$2:$C$1369,0)))</f>
        <v/>
      </c>
      <c r="M862" s="9">
        <f>IF(ISNA(MATCH(853,'Transfer Engine'!$C$2:$C$1369,0)),"",INDEX('Compliance Database'!$M$2:$M$1369,MATCH(853,'Transfer Engine'!$C$2:$C$1369,0)))</f>
        <v/>
      </c>
      <c r="N862" s="9">
        <f>IF(ISNA(MATCH(853,'Transfer Engine'!$C$2:$C$1369,0)),"",INDEX('Compliance Database'!$N$2:$N$1369,MATCH(853,'Transfer Engine'!$C$2:$C$1369,0)))</f>
        <v/>
      </c>
      <c r="O862" s="8">
        <f>IF(ISNA(MATCH(853,'Transfer Engine'!$C$2:$C$1369,0)),"",HYPERLINK(INDEX('Compliance Database'!$O$2:$O$1369,MATCH(853,'Transfer Engine'!$C$2:$C$1369,0)),"Open PDF"))</f>
        <v/>
      </c>
    </row>
    <row r="863" ht="188" customHeight="1">
      <c r="A863" s="8">
        <f>IF(ISNA(MATCH(854,'Transfer Engine'!$C$2:$C$1369,0)),"",INDEX('Compliance Database'!$A$2:$A$1369,MATCH(854,'Transfer Engine'!$C$2:$C$1369,0)))</f>
        <v/>
      </c>
      <c r="B863" s="8">
        <f>IF(ISNA(MATCH(854,'Transfer Engine'!$C$2:$C$1369,0)),"",INDEX('Compliance Database'!$B$2:$B$1369,MATCH(854,'Transfer Engine'!$C$2:$C$1369,0)))</f>
        <v/>
      </c>
      <c r="C863" s="8">
        <f>IF(ISNA(MATCH(854,'Transfer Engine'!$C$2:$C$1369,0)),"",INDEX('Compliance Database'!$C$2:$C$1369,MATCH(854,'Transfer Engine'!$C$2:$C$1369,0)))</f>
        <v/>
      </c>
      <c r="D863" s="9">
        <f>IF(ISNA(MATCH(854,'Transfer Engine'!$C$2:$C$1369,0)),"",INDEX('Compliance Database'!$D$2:$D$1369,MATCH(854,'Transfer Engine'!$C$2:$C$1369,0)))</f>
        <v/>
      </c>
      <c r="E863" s="8">
        <f>IF(ISNA(MATCH(854,'Transfer Engine'!$C$2:$C$1369,0)),"",INDEX('Compliance Database'!$E$2:$E$1369,MATCH(854,'Transfer Engine'!$C$2:$C$1369,0)))</f>
        <v/>
      </c>
      <c r="F863" s="8">
        <f>IF(ISNA(MATCH(854,'Transfer Engine'!$C$2:$C$1369,0)),"",INDEX('Compliance Database'!$F$2:$F$1369,MATCH(854,'Transfer Engine'!$C$2:$C$1369,0)))</f>
        <v/>
      </c>
      <c r="G863" s="8">
        <f>IF(ISNA(MATCH(854,'Transfer Engine'!$C$2:$C$1369,0)),"",INDEX('Compliance Database'!$G$2:$G$1369,MATCH(854,'Transfer Engine'!$C$2:$C$1369,0)))</f>
        <v/>
      </c>
      <c r="H863" s="9">
        <f>IF(ISNA(MATCH(854,'Transfer Engine'!$C$2:$C$1369,0)),"",INDEX('Compliance Database'!$H$2:$H$1369,MATCH(854,'Transfer Engine'!$C$2:$C$1369,0)))</f>
        <v/>
      </c>
      <c r="I863" s="9">
        <f>IF(ISNA(MATCH(854,'Transfer Engine'!$C$2:$C$1369,0)),"",INDEX('Compliance Database'!$I$2:$I$1369,MATCH(854,'Transfer Engine'!$C$2:$C$1369,0)))</f>
        <v/>
      </c>
      <c r="J863" s="8">
        <f>IF(ISNA(MATCH(854,'Transfer Engine'!$C$2:$C$1369,0)),"",INDEX('Compliance Database'!$J$2:$J$1369,MATCH(854,'Transfer Engine'!$C$2:$C$1369,0)))</f>
        <v/>
      </c>
      <c r="K863" s="9">
        <f>IF(ISNA(MATCH(854,'Transfer Engine'!$C$2:$C$1369,0)),"",INDEX('Compliance Database'!$K$2:$K$1369,MATCH(854,'Transfer Engine'!$C$2:$C$1369,0)))</f>
        <v/>
      </c>
      <c r="L863" s="9">
        <f>IF(ISNA(MATCH(854,'Transfer Engine'!$C$2:$C$1369,0)),"",INDEX('Compliance Database'!$L$2:$L$1369,MATCH(854,'Transfer Engine'!$C$2:$C$1369,0)))</f>
        <v/>
      </c>
      <c r="M863" s="9">
        <f>IF(ISNA(MATCH(854,'Transfer Engine'!$C$2:$C$1369,0)),"",INDEX('Compliance Database'!$M$2:$M$1369,MATCH(854,'Transfer Engine'!$C$2:$C$1369,0)))</f>
        <v/>
      </c>
      <c r="N863" s="9">
        <f>IF(ISNA(MATCH(854,'Transfer Engine'!$C$2:$C$1369,0)),"",INDEX('Compliance Database'!$N$2:$N$1369,MATCH(854,'Transfer Engine'!$C$2:$C$1369,0)))</f>
        <v/>
      </c>
      <c r="O863" s="8">
        <f>IF(ISNA(MATCH(854,'Transfer Engine'!$C$2:$C$1369,0)),"",HYPERLINK(INDEX('Compliance Database'!$O$2:$O$1369,MATCH(854,'Transfer Engine'!$C$2:$C$1369,0)),"Open PDF"))</f>
        <v/>
      </c>
    </row>
    <row r="864" ht="188" customHeight="1">
      <c r="A864" s="8">
        <f>IF(ISNA(MATCH(855,'Transfer Engine'!$C$2:$C$1369,0)),"",INDEX('Compliance Database'!$A$2:$A$1369,MATCH(855,'Transfer Engine'!$C$2:$C$1369,0)))</f>
        <v/>
      </c>
      <c r="B864" s="8">
        <f>IF(ISNA(MATCH(855,'Transfer Engine'!$C$2:$C$1369,0)),"",INDEX('Compliance Database'!$B$2:$B$1369,MATCH(855,'Transfer Engine'!$C$2:$C$1369,0)))</f>
        <v/>
      </c>
      <c r="C864" s="8">
        <f>IF(ISNA(MATCH(855,'Transfer Engine'!$C$2:$C$1369,0)),"",INDEX('Compliance Database'!$C$2:$C$1369,MATCH(855,'Transfer Engine'!$C$2:$C$1369,0)))</f>
        <v/>
      </c>
      <c r="D864" s="9">
        <f>IF(ISNA(MATCH(855,'Transfer Engine'!$C$2:$C$1369,0)),"",INDEX('Compliance Database'!$D$2:$D$1369,MATCH(855,'Transfer Engine'!$C$2:$C$1369,0)))</f>
        <v/>
      </c>
      <c r="E864" s="8">
        <f>IF(ISNA(MATCH(855,'Transfer Engine'!$C$2:$C$1369,0)),"",INDEX('Compliance Database'!$E$2:$E$1369,MATCH(855,'Transfer Engine'!$C$2:$C$1369,0)))</f>
        <v/>
      </c>
      <c r="F864" s="8">
        <f>IF(ISNA(MATCH(855,'Transfer Engine'!$C$2:$C$1369,0)),"",INDEX('Compliance Database'!$F$2:$F$1369,MATCH(855,'Transfer Engine'!$C$2:$C$1369,0)))</f>
        <v/>
      </c>
      <c r="G864" s="8">
        <f>IF(ISNA(MATCH(855,'Transfer Engine'!$C$2:$C$1369,0)),"",INDEX('Compliance Database'!$G$2:$G$1369,MATCH(855,'Transfer Engine'!$C$2:$C$1369,0)))</f>
        <v/>
      </c>
      <c r="H864" s="9">
        <f>IF(ISNA(MATCH(855,'Transfer Engine'!$C$2:$C$1369,0)),"",INDEX('Compliance Database'!$H$2:$H$1369,MATCH(855,'Transfer Engine'!$C$2:$C$1369,0)))</f>
        <v/>
      </c>
      <c r="I864" s="9">
        <f>IF(ISNA(MATCH(855,'Transfer Engine'!$C$2:$C$1369,0)),"",INDEX('Compliance Database'!$I$2:$I$1369,MATCH(855,'Transfer Engine'!$C$2:$C$1369,0)))</f>
        <v/>
      </c>
      <c r="J864" s="8">
        <f>IF(ISNA(MATCH(855,'Transfer Engine'!$C$2:$C$1369,0)),"",INDEX('Compliance Database'!$J$2:$J$1369,MATCH(855,'Transfer Engine'!$C$2:$C$1369,0)))</f>
        <v/>
      </c>
      <c r="K864" s="9">
        <f>IF(ISNA(MATCH(855,'Transfer Engine'!$C$2:$C$1369,0)),"",INDEX('Compliance Database'!$K$2:$K$1369,MATCH(855,'Transfer Engine'!$C$2:$C$1369,0)))</f>
        <v/>
      </c>
      <c r="L864" s="9">
        <f>IF(ISNA(MATCH(855,'Transfer Engine'!$C$2:$C$1369,0)),"",INDEX('Compliance Database'!$L$2:$L$1369,MATCH(855,'Transfer Engine'!$C$2:$C$1369,0)))</f>
        <v/>
      </c>
      <c r="M864" s="9">
        <f>IF(ISNA(MATCH(855,'Transfer Engine'!$C$2:$C$1369,0)),"",INDEX('Compliance Database'!$M$2:$M$1369,MATCH(855,'Transfer Engine'!$C$2:$C$1369,0)))</f>
        <v/>
      </c>
      <c r="N864" s="9">
        <f>IF(ISNA(MATCH(855,'Transfer Engine'!$C$2:$C$1369,0)),"",INDEX('Compliance Database'!$N$2:$N$1369,MATCH(855,'Transfer Engine'!$C$2:$C$1369,0)))</f>
        <v/>
      </c>
      <c r="O864" s="8">
        <f>IF(ISNA(MATCH(855,'Transfer Engine'!$C$2:$C$1369,0)),"",HYPERLINK(INDEX('Compliance Database'!$O$2:$O$1369,MATCH(855,'Transfer Engine'!$C$2:$C$1369,0)),"Open PDF"))</f>
        <v/>
      </c>
    </row>
    <row r="865" ht="188" customHeight="1">
      <c r="A865" s="8">
        <f>IF(ISNA(MATCH(856,'Transfer Engine'!$C$2:$C$1369,0)),"",INDEX('Compliance Database'!$A$2:$A$1369,MATCH(856,'Transfer Engine'!$C$2:$C$1369,0)))</f>
        <v/>
      </c>
      <c r="B865" s="8">
        <f>IF(ISNA(MATCH(856,'Transfer Engine'!$C$2:$C$1369,0)),"",INDEX('Compliance Database'!$B$2:$B$1369,MATCH(856,'Transfer Engine'!$C$2:$C$1369,0)))</f>
        <v/>
      </c>
      <c r="C865" s="8">
        <f>IF(ISNA(MATCH(856,'Transfer Engine'!$C$2:$C$1369,0)),"",INDEX('Compliance Database'!$C$2:$C$1369,MATCH(856,'Transfer Engine'!$C$2:$C$1369,0)))</f>
        <v/>
      </c>
      <c r="D865" s="9">
        <f>IF(ISNA(MATCH(856,'Transfer Engine'!$C$2:$C$1369,0)),"",INDEX('Compliance Database'!$D$2:$D$1369,MATCH(856,'Transfer Engine'!$C$2:$C$1369,0)))</f>
        <v/>
      </c>
      <c r="E865" s="8">
        <f>IF(ISNA(MATCH(856,'Transfer Engine'!$C$2:$C$1369,0)),"",INDEX('Compliance Database'!$E$2:$E$1369,MATCH(856,'Transfer Engine'!$C$2:$C$1369,0)))</f>
        <v/>
      </c>
      <c r="F865" s="8">
        <f>IF(ISNA(MATCH(856,'Transfer Engine'!$C$2:$C$1369,0)),"",INDEX('Compliance Database'!$F$2:$F$1369,MATCH(856,'Transfer Engine'!$C$2:$C$1369,0)))</f>
        <v/>
      </c>
      <c r="G865" s="8">
        <f>IF(ISNA(MATCH(856,'Transfer Engine'!$C$2:$C$1369,0)),"",INDEX('Compliance Database'!$G$2:$G$1369,MATCH(856,'Transfer Engine'!$C$2:$C$1369,0)))</f>
        <v/>
      </c>
      <c r="H865" s="9">
        <f>IF(ISNA(MATCH(856,'Transfer Engine'!$C$2:$C$1369,0)),"",INDEX('Compliance Database'!$H$2:$H$1369,MATCH(856,'Transfer Engine'!$C$2:$C$1369,0)))</f>
        <v/>
      </c>
      <c r="I865" s="9">
        <f>IF(ISNA(MATCH(856,'Transfer Engine'!$C$2:$C$1369,0)),"",INDEX('Compliance Database'!$I$2:$I$1369,MATCH(856,'Transfer Engine'!$C$2:$C$1369,0)))</f>
        <v/>
      </c>
      <c r="J865" s="8">
        <f>IF(ISNA(MATCH(856,'Transfer Engine'!$C$2:$C$1369,0)),"",INDEX('Compliance Database'!$J$2:$J$1369,MATCH(856,'Transfer Engine'!$C$2:$C$1369,0)))</f>
        <v/>
      </c>
      <c r="K865" s="9">
        <f>IF(ISNA(MATCH(856,'Transfer Engine'!$C$2:$C$1369,0)),"",INDEX('Compliance Database'!$K$2:$K$1369,MATCH(856,'Transfer Engine'!$C$2:$C$1369,0)))</f>
        <v/>
      </c>
      <c r="L865" s="9">
        <f>IF(ISNA(MATCH(856,'Transfer Engine'!$C$2:$C$1369,0)),"",INDEX('Compliance Database'!$L$2:$L$1369,MATCH(856,'Transfer Engine'!$C$2:$C$1369,0)))</f>
        <v/>
      </c>
      <c r="M865" s="9">
        <f>IF(ISNA(MATCH(856,'Transfer Engine'!$C$2:$C$1369,0)),"",INDEX('Compliance Database'!$M$2:$M$1369,MATCH(856,'Transfer Engine'!$C$2:$C$1369,0)))</f>
        <v/>
      </c>
      <c r="N865" s="9">
        <f>IF(ISNA(MATCH(856,'Transfer Engine'!$C$2:$C$1369,0)),"",INDEX('Compliance Database'!$N$2:$N$1369,MATCH(856,'Transfer Engine'!$C$2:$C$1369,0)))</f>
        <v/>
      </c>
      <c r="O865" s="8">
        <f>IF(ISNA(MATCH(856,'Transfer Engine'!$C$2:$C$1369,0)),"",HYPERLINK(INDEX('Compliance Database'!$O$2:$O$1369,MATCH(856,'Transfer Engine'!$C$2:$C$1369,0)),"Open PDF"))</f>
        <v/>
      </c>
    </row>
    <row r="866" ht="188" customHeight="1">
      <c r="A866" s="8">
        <f>IF(ISNA(MATCH(857,'Transfer Engine'!$C$2:$C$1369,0)),"",INDEX('Compliance Database'!$A$2:$A$1369,MATCH(857,'Transfer Engine'!$C$2:$C$1369,0)))</f>
        <v/>
      </c>
      <c r="B866" s="8">
        <f>IF(ISNA(MATCH(857,'Transfer Engine'!$C$2:$C$1369,0)),"",INDEX('Compliance Database'!$B$2:$B$1369,MATCH(857,'Transfer Engine'!$C$2:$C$1369,0)))</f>
        <v/>
      </c>
      <c r="C866" s="8">
        <f>IF(ISNA(MATCH(857,'Transfer Engine'!$C$2:$C$1369,0)),"",INDEX('Compliance Database'!$C$2:$C$1369,MATCH(857,'Transfer Engine'!$C$2:$C$1369,0)))</f>
        <v/>
      </c>
      <c r="D866" s="9">
        <f>IF(ISNA(MATCH(857,'Transfer Engine'!$C$2:$C$1369,0)),"",INDEX('Compliance Database'!$D$2:$D$1369,MATCH(857,'Transfer Engine'!$C$2:$C$1369,0)))</f>
        <v/>
      </c>
      <c r="E866" s="8">
        <f>IF(ISNA(MATCH(857,'Transfer Engine'!$C$2:$C$1369,0)),"",INDEX('Compliance Database'!$E$2:$E$1369,MATCH(857,'Transfer Engine'!$C$2:$C$1369,0)))</f>
        <v/>
      </c>
      <c r="F866" s="8">
        <f>IF(ISNA(MATCH(857,'Transfer Engine'!$C$2:$C$1369,0)),"",INDEX('Compliance Database'!$F$2:$F$1369,MATCH(857,'Transfer Engine'!$C$2:$C$1369,0)))</f>
        <v/>
      </c>
      <c r="G866" s="8">
        <f>IF(ISNA(MATCH(857,'Transfer Engine'!$C$2:$C$1369,0)),"",INDEX('Compliance Database'!$G$2:$G$1369,MATCH(857,'Transfer Engine'!$C$2:$C$1369,0)))</f>
        <v/>
      </c>
      <c r="H866" s="9">
        <f>IF(ISNA(MATCH(857,'Transfer Engine'!$C$2:$C$1369,0)),"",INDEX('Compliance Database'!$H$2:$H$1369,MATCH(857,'Transfer Engine'!$C$2:$C$1369,0)))</f>
        <v/>
      </c>
      <c r="I866" s="9">
        <f>IF(ISNA(MATCH(857,'Transfer Engine'!$C$2:$C$1369,0)),"",INDEX('Compliance Database'!$I$2:$I$1369,MATCH(857,'Transfer Engine'!$C$2:$C$1369,0)))</f>
        <v/>
      </c>
      <c r="J866" s="8">
        <f>IF(ISNA(MATCH(857,'Transfer Engine'!$C$2:$C$1369,0)),"",INDEX('Compliance Database'!$J$2:$J$1369,MATCH(857,'Transfer Engine'!$C$2:$C$1369,0)))</f>
        <v/>
      </c>
      <c r="K866" s="9">
        <f>IF(ISNA(MATCH(857,'Transfer Engine'!$C$2:$C$1369,0)),"",INDEX('Compliance Database'!$K$2:$K$1369,MATCH(857,'Transfer Engine'!$C$2:$C$1369,0)))</f>
        <v/>
      </c>
      <c r="L866" s="9">
        <f>IF(ISNA(MATCH(857,'Transfer Engine'!$C$2:$C$1369,0)),"",INDEX('Compliance Database'!$L$2:$L$1369,MATCH(857,'Transfer Engine'!$C$2:$C$1369,0)))</f>
        <v/>
      </c>
      <c r="M866" s="9">
        <f>IF(ISNA(MATCH(857,'Transfer Engine'!$C$2:$C$1369,0)),"",INDEX('Compliance Database'!$M$2:$M$1369,MATCH(857,'Transfer Engine'!$C$2:$C$1369,0)))</f>
        <v/>
      </c>
      <c r="N866" s="9">
        <f>IF(ISNA(MATCH(857,'Transfer Engine'!$C$2:$C$1369,0)),"",INDEX('Compliance Database'!$N$2:$N$1369,MATCH(857,'Transfer Engine'!$C$2:$C$1369,0)))</f>
        <v/>
      </c>
      <c r="O866" s="8">
        <f>IF(ISNA(MATCH(857,'Transfer Engine'!$C$2:$C$1369,0)),"",HYPERLINK(INDEX('Compliance Database'!$O$2:$O$1369,MATCH(857,'Transfer Engine'!$C$2:$C$1369,0)),"Open PDF"))</f>
        <v/>
      </c>
    </row>
    <row r="867" ht="188" customHeight="1">
      <c r="A867" s="8">
        <f>IF(ISNA(MATCH(858,'Transfer Engine'!$C$2:$C$1369,0)),"",INDEX('Compliance Database'!$A$2:$A$1369,MATCH(858,'Transfer Engine'!$C$2:$C$1369,0)))</f>
        <v/>
      </c>
      <c r="B867" s="8">
        <f>IF(ISNA(MATCH(858,'Transfer Engine'!$C$2:$C$1369,0)),"",INDEX('Compliance Database'!$B$2:$B$1369,MATCH(858,'Transfer Engine'!$C$2:$C$1369,0)))</f>
        <v/>
      </c>
      <c r="C867" s="8">
        <f>IF(ISNA(MATCH(858,'Transfer Engine'!$C$2:$C$1369,0)),"",INDEX('Compliance Database'!$C$2:$C$1369,MATCH(858,'Transfer Engine'!$C$2:$C$1369,0)))</f>
        <v/>
      </c>
      <c r="D867" s="9">
        <f>IF(ISNA(MATCH(858,'Transfer Engine'!$C$2:$C$1369,0)),"",INDEX('Compliance Database'!$D$2:$D$1369,MATCH(858,'Transfer Engine'!$C$2:$C$1369,0)))</f>
        <v/>
      </c>
      <c r="E867" s="8">
        <f>IF(ISNA(MATCH(858,'Transfer Engine'!$C$2:$C$1369,0)),"",INDEX('Compliance Database'!$E$2:$E$1369,MATCH(858,'Transfer Engine'!$C$2:$C$1369,0)))</f>
        <v/>
      </c>
      <c r="F867" s="8">
        <f>IF(ISNA(MATCH(858,'Transfer Engine'!$C$2:$C$1369,0)),"",INDEX('Compliance Database'!$F$2:$F$1369,MATCH(858,'Transfer Engine'!$C$2:$C$1369,0)))</f>
        <v/>
      </c>
      <c r="G867" s="8">
        <f>IF(ISNA(MATCH(858,'Transfer Engine'!$C$2:$C$1369,0)),"",INDEX('Compliance Database'!$G$2:$G$1369,MATCH(858,'Transfer Engine'!$C$2:$C$1369,0)))</f>
        <v/>
      </c>
      <c r="H867" s="9">
        <f>IF(ISNA(MATCH(858,'Transfer Engine'!$C$2:$C$1369,0)),"",INDEX('Compliance Database'!$H$2:$H$1369,MATCH(858,'Transfer Engine'!$C$2:$C$1369,0)))</f>
        <v/>
      </c>
      <c r="I867" s="9">
        <f>IF(ISNA(MATCH(858,'Transfer Engine'!$C$2:$C$1369,0)),"",INDEX('Compliance Database'!$I$2:$I$1369,MATCH(858,'Transfer Engine'!$C$2:$C$1369,0)))</f>
        <v/>
      </c>
      <c r="J867" s="8">
        <f>IF(ISNA(MATCH(858,'Transfer Engine'!$C$2:$C$1369,0)),"",INDEX('Compliance Database'!$J$2:$J$1369,MATCH(858,'Transfer Engine'!$C$2:$C$1369,0)))</f>
        <v/>
      </c>
      <c r="K867" s="9">
        <f>IF(ISNA(MATCH(858,'Transfer Engine'!$C$2:$C$1369,0)),"",INDEX('Compliance Database'!$K$2:$K$1369,MATCH(858,'Transfer Engine'!$C$2:$C$1369,0)))</f>
        <v/>
      </c>
      <c r="L867" s="9">
        <f>IF(ISNA(MATCH(858,'Transfer Engine'!$C$2:$C$1369,0)),"",INDEX('Compliance Database'!$L$2:$L$1369,MATCH(858,'Transfer Engine'!$C$2:$C$1369,0)))</f>
        <v/>
      </c>
      <c r="M867" s="9">
        <f>IF(ISNA(MATCH(858,'Transfer Engine'!$C$2:$C$1369,0)),"",INDEX('Compliance Database'!$M$2:$M$1369,MATCH(858,'Transfer Engine'!$C$2:$C$1369,0)))</f>
        <v/>
      </c>
      <c r="N867" s="9">
        <f>IF(ISNA(MATCH(858,'Transfer Engine'!$C$2:$C$1369,0)),"",INDEX('Compliance Database'!$N$2:$N$1369,MATCH(858,'Transfer Engine'!$C$2:$C$1369,0)))</f>
        <v/>
      </c>
      <c r="O867" s="8">
        <f>IF(ISNA(MATCH(858,'Transfer Engine'!$C$2:$C$1369,0)),"",HYPERLINK(INDEX('Compliance Database'!$O$2:$O$1369,MATCH(858,'Transfer Engine'!$C$2:$C$1369,0)),"Open PDF"))</f>
        <v/>
      </c>
    </row>
    <row r="868" ht="188" customHeight="1">
      <c r="A868" s="8">
        <f>IF(ISNA(MATCH(859,'Transfer Engine'!$C$2:$C$1369,0)),"",INDEX('Compliance Database'!$A$2:$A$1369,MATCH(859,'Transfer Engine'!$C$2:$C$1369,0)))</f>
        <v/>
      </c>
      <c r="B868" s="8">
        <f>IF(ISNA(MATCH(859,'Transfer Engine'!$C$2:$C$1369,0)),"",INDEX('Compliance Database'!$B$2:$B$1369,MATCH(859,'Transfer Engine'!$C$2:$C$1369,0)))</f>
        <v/>
      </c>
      <c r="C868" s="8">
        <f>IF(ISNA(MATCH(859,'Transfer Engine'!$C$2:$C$1369,0)),"",INDEX('Compliance Database'!$C$2:$C$1369,MATCH(859,'Transfer Engine'!$C$2:$C$1369,0)))</f>
        <v/>
      </c>
      <c r="D868" s="9">
        <f>IF(ISNA(MATCH(859,'Transfer Engine'!$C$2:$C$1369,0)),"",INDEX('Compliance Database'!$D$2:$D$1369,MATCH(859,'Transfer Engine'!$C$2:$C$1369,0)))</f>
        <v/>
      </c>
      <c r="E868" s="8">
        <f>IF(ISNA(MATCH(859,'Transfer Engine'!$C$2:$C$1369,0)),"",INDEX('Compliance Database'!$E$2:$E$1369,MATCH(859,'Transfer Engine'!$C$2:$C$1369,0)))</f>
        <v/>
      </c>
      <c r="F868" s="8">
        <f>IF(ISNA(MATCH(859,'Transfer Engine'!$C$2:$C$1369,0)),"",INDEX('Compliance Database'!$F$2:$F$1369,MATCH(859,'Transfer Engine'!$C$2:$C$1369,0)))</f>
        <v/>
      </c>
      <c r="G868" s="8">
        <f>IF(ISNA(MATCH(859,'Transfer Engine'!$C$2:$C$1369,0)),"",INDEX('Compliance Database'!$G$2:$G$1369,MATCH(859,'Transfer Engine'!$C$2:$C$1369,0)))</f>
        <v/>
      </c>
      <c r="H868" s="9">
        <f>IF(ISNA(MATCH(859,'Transfer Engine'!$C$2:$C$1369,0)),"",INDEX('Compliance Database'!$H$2:$H$1369,MATCH(859,'Transfer Engine'!$C$2:$C$1369,0)))</f>
        <v/>
      </c>
      <c r="I868" s="9">
        <f>IF(ISNA(MATCH(859,'Transfer Engine'!$C$2:$C$1369,0)),"",INDEX('Compliance Database'!$I$2:$I$1369,MATCH(859,'Transfer Engine'!$C$2:$C$1369,0)))</f>
        <v/>
      </c>
      <c r="J868" s="8">
        <f>IF(ISNA(MATCH(859,'Transfer Engine'!$C$2:$C$1369,0)),"",INDEX('Compliance Database'!$J$2:$J$1369,MATCH(859,'Transfer Engine'!$C$2:$C$1369,0)))</f>
        <v/>
      </c>
      <c r="K868" s="9">
        <f>IF(ISNA(MATCH(859,'Transfer Engine'!$C$2:$C$1369,0)),"",INDEX('Compliance Database'!$K$2:$K$1369,MATCH(859,'Transfer Engine'!$C$2:$C$1369,0)))</f>
        <v/>
      </c>
      <c r="L868" s="9">
        <f>IF(ISNA(MATCH(859,'Transfer Engine'!$C$2:$C$1369,0)),"",INDEX('Compliance Database'!$L$2:$L$1369,MATCH(859,'Transfer Engine'!$C$2:$C$1369,0)))</f>
        <v/>
      </c>
      <c r="M868" s="9">
        <f>IF(ISNA(MATCH(859,'Transfer Engine'!$C$2:$C$1369,0)),"",INDEX('Compliance Database'!$M$2:$M$1369,MATCH(859,'Transfer Engine'!$C$2:$C$1369,0)))</f>
        <v/>
      </c>
      <c r="N868" s="9">
        <f>IF(ISNA(MATCH(859,'Transfer Engine'!$C$2:$C$1369,0)),"",INDEX('Compliance Database'!$N$2:$N$1369,MATCH(859,'Transfer Engine'!$C$2:$C$1369,0)))</f>
        <v/>
      </c>
      <c r="O868" s="8">
        <f>IF(ISNA(MATCH(859,'Transfer Engine'!$C$2:$C$1369,0)),"",HYPERLINK(INDEX('Compliance Database'!$O$2:$O$1369,MATCH(859,'Transfer Engine'!$C$2:$C$1369,0)),"Open PDF"))</f>
        <v/>
      </c>
    </row>
    <row r="869" ht="188" customHeight="1">
      <c r="A869" s="8">
        <f>IF(ISNA(MATCH(860,'Transfer Engine'!$C$2:$C$1369,0)),"",INDEX('Compliance Database'!$A$2:$A$1369,MATCH(860,'Transfer Engine'!$C$2:$C$1369,0)))</f>
        <v/>
      </c>
      <c r="B869" s="8">
        <f>IF(ISNA(MATCH(860,'Transfer Engine'!$C$2:$C$1369,0)),"",INDEX('Compliance Database'!$B$2:$B$1369,MATCH(860,'Transfer Engine'!$C$2:$C$1369,0)))</f>
        <v/>
      </c>
      <c r="C869" s="8">
        <f>IF(ISNA(MATCH(860,'Transfer Engine'!$C$2:$C$1369,0)),"",INDEX('Compliance Database'!$C$2:$C$1369,MATCH(860,'Transfer Engine'!$C$2:$C$1369,0)))</f>
        <v/>
      </c>
      <c r="D869" s="9">
        <f>IF(ISNA(MATCH(860,'Transfer Engine'!$C$2:$C$1369,0)),"",INDEX('Compliance Database'!$D$2:$D$1369,MATCH(860,'Transfer Engine'!$C$2:$C$1369,0)))</f>
        <v/>
      </c>
      <c r="E869" s="8">
        <f>IF(ISNA(MATCH(860,'Transfer Engine'!$C$2:$C$1369,0)),"",INDEX('Compliance Database'!$E$2:$E$1369,MATCH(860,'Transfer Engine'!$C$2:$C$1369,0)))</f>
        <v/>
      </c>
      <c r="F869" s="8">
        <f>IF(ISNA(MATCH(860,'Transfer Engine'!$C$2:$C$1369,0)),"",INDEX('Compliance Database'!$F$2:$F$1369,MATCH(860,'Transfer Engine'!$C$2:$C$1369,0)))</f>
        <v/>
      </c>
      <c r="G869" s="8">
        <f>IF(ISNA(MATCH(860,'Transfer Engine'!$C$2:$C$1369,0)),"",INDEX('Compliance Database'!$G$2:$G$1369,MATCH(860,'Transfer Engine'!$C$2:$C$1369,0)))</f>
        <v/>
      </c>
      <c r="H869" s="9">
        <f>IF(ISNA(MATCH(860,'Transfer Engine'!$C$2:$C$1369,0)),"",INDEX('Compliance Database'!$H$2:$H$1369,MATCH(860,'Transfer Engine'!$C$2:$C$1369,0)))</f>
        <v/>
      </c>
      <c r="I869" s="9">
        <f>IF(ISNA(MATCH(860,'Transfer Engine'!$C$2:$C$1369,0)),"",INDEX('Compliance Database'!$I$2:$I$1369,MATCH(860,'Transfer Engine'!$C$2:$C$1369,0)))</f>
        <v/>
      </c>
      <c r="J869" s="8">
        <f>IF(ISNA(MATCH(860,'Transfer Engine'!$C$2:$C$1369,0)),"",INDEX('Compliance Database'!$J$2:$J$1369,MATCH(860,'Transfer Engine'!$C$2:$C$1369,0)))</f>
        <v/>
      </c>
      <c r="K869" s="9">
        <f>IF(ISNA(MATCH(860,'Transfer Engine'!$C$2:$C$1369,0)),"",INDEX('Compliance Database'!$K$2:$K$1369,MATCH(860,'Transfer Engine'!$C$2:$C$1369,0)))</f>
        <v/>
      </c>
      <c r="L869" s="9">
        <f>IF(ISNA(MATCH(860,'Transfer Engine'!$C$2:$C$1369,0)),"",INDEX('Compliance Database'!$L$2:$L$1369,MATCH(860,'Transfer Engine'!$C$2:$C$1369,0)))</f>
        <v/>
      </c>
      <c r="M869" s="9">
        <f>IF(ISNA(MATCH(860,'Transfer Engine'!$C$2:$C$1369,0)),"",INDEX('Compliance Database'!$M$2:$M$1369,MATCH(860,'Transfer Engine'!$C$2:$C$1369,0)))</f>
        <v/>
      </c>
      <c r="N869" s="9">
        <f>IF(ISNA(MATCH(860,'Transfer Engine'!$C$2:$C$1369,0)),"",INDEX('Compliance Database'!$N$2:$N$1369,MATCH(860,'Transfer Engine'!$C$2:$C$1369,0)))</f>
        <v/>
      </c>
      <c r="O869" s="8">
        <f>IF(ISNA(MATCH(860,'Transfer Engine'!$C$2:$C$1369,0)),"",HYPERLINK(INDEX('Compliance Database'!$O$2:$O$1369,MATCH(860,'Transfer Engine'!$C$2:$C$1369,0)),"Open PDF"))</f>
        <v/>
      </c>
    </row>
    <row r="870" ht="188" customHeight="1">
      <c r="A870" s="8">
        <f>IF(ISNA(MATCH(861,'Transfer Engine'!$C$2:$C$1369,0)),"",INDEX('Compliance Database'!$A$2:$A$1369,MATCH(861,'Transfer Engine'!$C$2:$C$1369,0)))</f>
        <v/>
      </c>
      <c r="B870" s="8">
        <f>IF(ISNA(MATCH(861,'Transfer Engine'!$C$2:$C$1369,0)),"",INDEX('Compliance Database'!$B$2:$B$1369,MATCH(861,'Transfer Engine'!$C$2:$C$1369,0)))</f>
        <v/>
      </c>
      <c r="C870" s="8">
        <f>IF(ISNA(MATCH(861,'Transfer Engine'!$C$2:$C$1369,0)),"",INDEX('Compliance Database'!$C$2:$C$1369,MATCH(861,'Transfer Engine'!$C$2:$C$1369,0)))</f>
        <v/>
      </c>
      <c r="D870" s="9">
        <f>IF(ISNA(MATCH(861,'Transfer Engine'!$C$2:$C$1369,0)),"",INDEX('Compliance Database'!$D$2:$D$1369,MATCH(861,'Transfer Engine'!$C$2:$C$1369,0)))</f>
        <v/>
      </c>
      <c r="E870" s="8">
        <f>IF(ISNA(MATCH(861,'Transfer Engine'!$C$2:$C$1369,0)),"",INDEX('Compliance Database'!$E$2:$E$1369,MATCH(861,'Transfer Engine'!$C$2:$C$1369,0)))</f>
        <v/>
      </c>
      <c r="F870" s="8">
        <f>IF(ISNA(MATCH(861,'Transfer Engine'!$C$2:$C$1369,0)),"",INDEX('Compliance Database'!$F$2:$F$1369,MATCH(861,'Transfer Engine'!$C$2:$C$1369,0)))</f>
        <v/>
      </c>
      <c r="G870" s="8">
        <f>IF(ISNA(MATCH(861,'Transfer Engine'!$C$2:$C$1369,0)),"",INDEX('Compliance Database'!$G$2:$G$1369,MATCH(861,'Transfer Engine'!$C$2:$C$1369,0)))</f>
        <v/>
      </c>
      <c r="H870" s="9">
        <f>IF(ISNA(MATCH(861,'Transfer Engine'!$C$2:$C$1369,0)),"",INDEX('Compliance Database'!$H$2:$H$1369,MATCH(861,'Transfer Engine'!$C$2:$C$1369,0)))</f>
        <v/>
      </c>
      <c r="I870" s="9">
        <f>IF(ISNA(MATCH(861,'Transfer Engine'!$C$2:$C$1369,0)),"",INDEX('Compliance Database'!$I$2:$I$1369,MATCH(861,'Transfer Engine'!$C$2:$C$1369,0)))</f>
        <v/>
      </c>
      <c r="J870" s="8">
        <f>IF(ISNA(MATCH(861,'Transfer Engine'!$C$2:$C$1369,0)),"",INDEX('Compliance Database'!$J$2:$J$1369,MATCH(861,'Transfer Engine'!$C$2:$C$1369,0)))</f>
        <v/>
      </c>
      <c r="K870" s="9">
        <f>IF(ISNA(MATCH(861,'Transfer Engine'!$C$2:$C$1369,0)),"",INDEX('Compliance Database'!$K$2:$K$1369,MATCH(861,'Transfer Engine'!$C$2:$C$1369,0)))</f>
        <v/>
      </c>
      <c r="L870" s="9">
        <f>IF(ISNA(MATCH(861,'Transfer Engine'!$C$2:$C$1369,0)),"",INDEX('Compliance Database'!$L$2:$L$1369,MATCH(861,'Transfer Engine'!$C$2:$C$1369,0)))</f>
        <v/>
      </c>
      <c r="M870" s="9">
        <f>IF(ISNA(MATCH(861,'Transfer Engine'!$C$2:$C$1369,0)),"",INDEX('Compliance Database'!$M$2:$M$1369,MATCH(861,'Transfer Engine'!$C$2:$C$1369,0)))</f>
        <v/>
      </c>
      <c r="N870" s="9">
        <f>IF(ISNA(MATCH(861,'Transfer Engine'!$C$2:$C$1369,0)),"",INDEX('Compliance Database'!$N$2:$N$1369,MATCH(861,'Transfer Engine'!$C$2:$C$1369,0)))</f>
        <v/>
      </c>
      <c r="O870" s="8">
        <f>IF(ISNA(MATCH(861,'Transfer Engine'!$C$2:$C$1369,0)),"",HYPERLINK(INDEX('Compliance Database'!$O$2:$O$1369,MATCH(861,'Transfer Engine'!$C$2:$C$1369,0)),"Open PDF"))</f>
        <v/>
      </c>
    </row>
    <row r="871" ht="188" customHeight="1">
      <c r="A871" s="8">
        <f>IF(ISNA(MATCH(862,'Transfer Engine'!$C$2:$C$1369,0)),"",INDEX('Compliance Database'!$A$2:$A$1369,MATCH(862,'Transfer Engine'!$C$2:$C$1369,0)))</f>
        <v/>
      </c>
      <c r="B871" s="8">
        <f>IF(ISNA(MATCH(862,'Transfer Engine'!$C$2:$C$1369,0)),"",INDEX('Compliance Database'!$B$2:$B$1369,MATCH(862,'Transfer Engine'!$C$2:$C$1369,0)))</f>
        <v/>
      </c>
      <c r="C871" s="8">
        <f>IF(ISNA(MATCH(862,'Transfer Engine'!$C$2:$C$1369,0)),"",INDEX('Compliance Database'!$C$2:$C$1369,MATCH(862,'Transfer Engine'!$C$2:$C$1369,0)))</f>
        <v/>
      </c>
      <c r="D871" s="9">
        <f>IF(ISNA(MATCH(862,'Transfer Engine'!$C$2:$C$1369,0)),"",INDEX('Compliance Database'!$D$2:$D$1369,MATCH(862,'Transfer Engine'!$C$2:$C$1369,0)))</f>
        <v/>
      </c>
      <c r="E871" s="8">
        <f>IF(ISNA(MATCH(862,'Transfer Engine'!$C$2:$C$1369,0)),"",INDEX('Compliance Database'!$E$2:$E$1369,MATCH(862,'Transfer Engine'!$C$2:$C$1369,0)))</f>
        <v/>
      </c>
      <c r="F871" s="8">
        <f>IF(ISNA(MATCH(862,'Transfer Engine'!$C$2:$C$1369,0)),"",INDEX('Compliance Database'!$F$2:$F$1369,MATCH(862,'Transfer Engine'!$C$2:$C$1369,0)))</f>
        <v/>
      </c>
      <c r="G871" s="8">
        <f>IF(ISNA(MATCH(862,'Transfer Engine'!$C$2:$C$1369,0)),"",INDEX('Compliance Database'!$G$2:$G$1369,MATCH(862,'Transfer Engine'!$C$2:$C$1369,0)))</f>
        <v/>
      </c>
      <c r="H871" s="9">
        <f>IF(ISNA(MATCH(862,'Transfer Engine'!$C$2:$C$1369,0)),"",INDEX('Compliance Database'!$H$2:$H$1369,MATCH(862,'Transfer Engine'!$C$2:$C$1369,0)))</f>
        <v/>
      </c>
      <c r="I871" s="9">
        <f>IF(ISNA(MATCH(862,'Transfer Engine'!$C$2:$C$1369,0)),"",INDEX('Compliance Database'!$I$2:$I$1369,MATCH(862,'Transfer Engine'!$C$2:$C$1369,0)))</f>
        <v/>
      </c>
      <c r="J871" s="8">
        <f>IF(ISNA(MATCH(862,'Transfer Engine'!$C$2:$C$1369,0)),"",INDEX('Compliance Database'!$J$2:$J$1369,MATCH(862,'Transfer Engine'!$C$2:$C$1369,0)))</f>
        <v/>
      </c>
      <c r="K871" s="9">
        <f>IF(ISNA(MATCH(862,'Transfer Engine'!$C$2:$C$1369,0)),"",INDEX('Compliance Database'!$K$2:$K$1369,MATCH(862,'Transfer Engine'!$C$2:$C$1369,0)))</f>
        <v/>
      </c>
      <c r="L871" s="9">
        <f>IF(ISNA(MATCH(862,'Transfer Engine'!$C$2:$C$1369,0)),"",INDEX('Compliance Database'!$L$2:$L$1369,MATCH(862,'Transfer Engine'!$C$2:$C$1369,0)))</f>
        <v/>
      </c>
      <c r="M871" s="9">
        <f>IF(ISNA(MATCH(862,'Transfer Engine'!$C$2:$C$1369,0)),"",INDEX('Compliance Database'!$M$2:$M$1369,MATCH(862,'Transfer Engine'!$C$2:$C$1369,0)))</f>
        <v/>
      </c>
      <c r="N871" s="9">
        <f>IF(ISNA(MATCH(862,'Transfer Engine'!$C$2:$C$1369,0)),"",INDEX('Compliance Database'!$N$2:$N$1369,MATCH(862,'Transfer Engine'!$C$2:$C$1369,0)))</f>
        <v/>
      </c>
      <c r="O871" s="8">
        <f>IF(ISNA(MATCH(862,'Transfer Engine'!$C$2:$C$1369,0)),"",HYPERLINK(INDEX('Compliance Database'!$O$2:$O$1369,MATCH(862,'Transfer Engine'!$C$2:$C$1369,0)),"Open PDF"))</f>
        <v/>
      </c>
    </row>
    <row r="872" ht="188" customHeight="1">
      <c r="A872" s="8">
        <f>IF(ISNA(MATCH(863,'Transfer Engine'!$C$2:$C$1369,0)),"",INDEX('Compliance Database'!$A$2:$A$1369,MATCH(863,'Transfer Engine'!$C$2:$C$1369,0)))</f>
        <v/>
      </c>
      <c r="B872" s="8">
        <f>IF(ISNA(MATCH(863,'Transfer Engine'!$C$2:$C$1369,0)),"",INDEX('Compliance Database'!$B$2:$B$1369,MATCH(863,'Transfer Engine'!$C$2:$C$1369,0)))</f>
        <v/>
      </c>
      <c r="C872" s="8">
        <f>IF(ISNA(MATCH(863,'Transfer Engine'!$C$2:$C$1369,0)),"",INDEX('Compliance Database'!$C$2:$C$1369,MATCH(863,'Transfer Engine'!$C$2:$C$1369,0)))</f>
        <v/>
      </c>
      <c r="D872" s="9">
        <f>IF(ISNA(MATCH(863,'Transfer Engine'!$C$2:$C$1369,0)),"",INDEX('Compliance Database'!$D$2:$D$1369,MATCH(863,'Transfer Engine'!$C$2:$C$1369,0)))</f>
        <v/>
      </c>
      <c r="E872" s="8">
        <f>IF(ISNA(MATCH(863,'Transfer Engine'!$C$2:$C$1369,0)),"",INDEX('Compliance Database'!$E$2:$E$1369,MATCH(863,'Transfer Engine'!$C$2:$C$1369,0)))</f>
        <v/>
      </c>
      <c r="F872" s="8">
        <f>IF(ISNA(MATCH(863,'Transfer Engine'!$C$2:$C$1369,0)),"",INDEX('Compliance Database'!$F$2:$F$1369,MATCH(863,'Transfer Engine'!$C$2:$C$1369,0)))</f>
        <v/>
      </c>
      <c r="G872" s="8">
        <f>IF(ISNA(MATCH(863,'Transfer Engine'!$C$2:$C$1369,0)),"",INDEX('Compliance Database'!$G$2:$G$1369,MATCH(863,'Transfer Engine'!$C$2:$C$1369,0)))</f>
        <v/>
      </c>
      <c r="H872" s="9">
        <f>IF(ISNA(MATCH(863,'Transfer Engine'!$C$2:$C$1369,0)),"",INDEX('Compliance Database'!$H$2:$H$1369,MATCH(863,'Transfer Engine'!$C$2:$C$1369,0)))</f>
        <v/>
      </c>
      <c r="I872" s="9">
        <f>IF(ISNA(MATCH(863,'Transfer Engine'!$C$2:$C$1369,0)),"",INDEX('Compliance Database'!$I$2:$I$1369,MATCH(863,'Transfer Engine'!$C$2:$C$1369,0)))</f>
        <v/>
      </c>
      <c r="J872" s="8">
        <f>IF(ISNA(MATCH(863,'Transfer Engine'!$C$2:$C$1369,0)),"",INDEX('Compliance Database'!$J$2:$J$1369,MATCH(863,'Transfer Engine'!$C$2:$C$1369,0)))</f>
        <v/>
      </c>
      <c r="K872" s="9">
        <f>IF(ISNA(MATCH(863,'Transfer Engine'!$C$2:$C$1369,0)),"",INDEX('Compliance Database'!$K$2:$K$1369,MATCH(863,'Transfer Engine'!$C$2:$C$1369,0)))</f>
        <v/>
      </c>
      <c r="L872" s="9">
        <f>IF(ISNA(MATCH(863,'Transfer Engine'!$C$2:$C$1369,0)),"",INDEX('Compliance Database'!$L$2:$L$1369,MATCH(863,'Transfer Engine'!$C$2:$C$1369,0)))</f>
        <v/>
      </c>
      <c r="M872" s="9">
        <f>IF(ISNA(MATCH(863,'Transfer Engine'!$C$2:$C$1369,0)),"",INDEX('Compliance Database'!$M$2:$M$1369,MATCH(863,'Transfer Engine'!$C$2:$C$1369,0)))</f>
        <v/>
      </c>
      <c r="N872" s="9">
        <f>IF(ISNA(MATCH(863,'Transfer Engine'!$C$2:$C$1369,0)),"",INDEX('Compliance Database'!$N$2:$N$1369,MATCH(863,'Transfer Engine'!$C$2:$C$1369,0)))</f>
        <v/>
      </c>
      <c r="O872" s="8">
        <f>IF(ISNA(MATCH(863,'Transfer Engine'!$C$2:$C$1369,0)),"",HYPERLINK(INDEX('Compliance Database'!$O$2:$O$1369,MATCH(863,'Transfer Engine'!$C$2:$C$1369,0)),"Open PDF"))</f>
        <v/>
      </c>
    </row>
    <row r="873" ht="188" customHeight="1">
      <c r="A873" s="8">
        <f>IF(ISNA(MATCH(864,'Transfer Engine'!$C$2:$C$1369,0)),"",INDEX('Compliance Database'!$A$2:$A$1369,MATCH(864,'Transfer Engine'!$C$2:$C$1369,0)))</f>
        <v/>
      </c>
      <c r="B873" s="8">
        <f>IF(ISNA(MATCH(864,'Transfer Engine'!$C$2:$C$1369,0)),"",INDEX('Compliance Database'!$B$2:$B$1369,MATCH(864,'Transfer Engine'!$C$2:$C$1369,0)))</f>
        <v/>
      </c>
      <c r="C873" s="8">
        <f>IF(ISNA(MATCH(864,'Transfer Engine'!$C$2:$C$1369,0)),"",INDEX('Compliance Database'!$C$2:$C$1369,MATCH(864,'Transfer Engine'!$C$2:$C$1369,0)))</f>
        <v/>
      </c>
      <c r="D873" s="9">
        <f>IF(ISNA(MATCH(864,'Transfer Engine'!$C$2:$C$1369,0)),"",INDEX('Compliance Database'!$D$2:$D$1369,MATCH(864,'Transfer Engine'!$C$2:$C$1369,0)))</f>
        <v/>
      </c>
      <c r="E873" s="8">
        <f>IF(ISNA(MATCH(864,'Transfer Engine'!$C$2:$C$1369,0)),"",INDEX('Compliance Database'!$E$2:$E$1369,MATCH(864,'Transfer Engine'!$C$2:$C$1369,0)))</f>
        <v/>
      </c>
      <c r="F873" s="8">
        <f>IF(ISNA(MATCH(864,'Transfer Engine'!$C$2:$C$1369,0)),"",INDEX('Compliance Database'!$F$2:$F$1369,MATCH(864,'Transfer Engine'!$C$2:$C$1369,0)))</f>
        <v/>
      </c>
      <c r="G873" s="8">
        <f>IF(ISNA(MATCH(864,'Transfer Engine'!$C$2:$C$1369,0)),"",INDEX('Compliance Database'!$G$2:$G$1369,MATCH(864,'Transfer Engine'!$C$2:$C$1369,0)))</f>
        <v/>
      </c>
      <c r="H873" s="9">
        <f>IF(ISNA(MATCH(864,'Transfer Engine'!$C$2:$C$1369,0)),"",INDEX('Compliance Database'!$H$2:$H$1369,MATCH(864,'Transfer Engine'!$C$2:$C$1369,0)))</f>
        <v/>
      </c>
      <c r="I873" s="9">
        <f>IF(ISNA(MATCH(864,'Transfer Engine'!$C$2:$C$1369,0)),"",INDEX('Compliance Database'!$I$2:$I$1369,MATCH(864,'Transfer Engine'!$C$2:$C$1369,0)))</f>
        <v/>
      </c>
      <c r="J873" s="8">
        <f>IF(ISNA(MATCH(864,'Transfer Engine'!$C$2:$C$1369,0)),"",INDEX('Compliance Database'!$J$2:$J$1369,MATCH(864,'Transfer Engine'!$C$2:$C$1369,0)))</f>
        <v/>
      </c>
      <c r="K873" s="9">
        <f>IF(ISNA(MATCH(864,'Transfer Engine'!$C$2:$C$1369,0)),"",INDEX('Compliance Database'!$K$2:$K$1369,MATCH(864,'Transfer Engine'!$C$2:$C$1369,0)))</f>
        <v/>
      </c>
      <c r="L873" s="9">
        <f>IF(ISNA(MATCH(864,'Transfer Engine'!$C$2:$C$1369,0)),"",INDEX('Compliance Database'!$L$2:$L$1369,MATCH(864,'Transfer Engine'!$C$2:$C$1369,0)))</f>
        <v/>
      </c>
      <c r="M873" s="9">
        <f>IF(ISNA(MATCH(864,'Transfer Engine'!$C$2:$C$1369,0)),"",INDEX('Compliance Database'!$M$2:$M$1369,MATCH(864,'Transfer Engine'!$C$2:$C$1369,0)))</f>
        <v/>
      </c>
      <c r="N873" s="9">
        <f>IF(ISNA(MATCH(864,'Transfer Engine'!$C$2:$C$1369,0)),"",INDEX('Compliance Database'!$N$2:$N$1369,MATCH(864,'Transfer Engine'!$C$2:$C$1369,0)))</f>
        <v/>
      </c>
      <c r="O873" s="8">
        <f>IF(ISNA(MATCH(864,'Transfer Engine'!$C$2:$C$1369,0)),"",HYPERLINK(INDEX('Compliance Database'!$O$2:$O$1369,MATCH(864,'Transfer Engine'!$C$2:$C$1369,0)),"Open PDF"))</f>
        <v/>
      </c>
    </row>
    <row r="874" ht="188" customHeight="1">
      <c r="A874" s="8">
        <f>IF(ISNA(MATCH(865,'Transfer Engine'!$C$2:$C$1369,0)),"",INDEX('Compliance Database'!$A$2:$A$1369,MATCH(865,'Transfer Engine'!$C$2:$C$1369,0)))</f>
        <v/>
      </c>
      <c r="B874" s="8">
        <f>IF(ISNA(MATCH(865,'Transfer Engine'!$C$2:$C$1369,0)),"",INDEX('Compliance Database'!$B$2:$B$1369,MATCH(865,'Transfer Engine'!$C$2:$C$1369,0)))</f>
        <v/>
      </c>
      <c r="C874" s="8">
        <f>IF(ISNA(MATCH(865,'Transfer Engine'!$C$2:$C$1369,0)),"",INDEX('Compliance Database'!$C$2:$C$1369,MATCH(865,'Transfer Engine'!$C$2:$C$1369,0)))</f>
        <v/>
      </c>
      <c r="D874" s="9">
        <f>IF(ISNA(MATCH(865,'Transfer Engine'!$C$2:$C$1369,0)),"",INDEX('Compliance Database'!$D$2:$D$1369,MATCH(865,'Transfer Engine'!$C$2:$C$1369,0)))</f>
        <v/>
      </c>
      <c r="E874" s="8">
        <f>IF(ISNA(MATCH(865,'Transfer Engine'!$C$2:$C$1369,0)),"",INDEX('Compliance Database'!$E$2:$E$1369,MATCH(865,'Transfer Engine'!$C$2:$C$1369,0)))</f>
        <v/>
      </c>
      <c r="F874" s="8">
        <f>IF(ISNA(MATCH(865,'Transfer Engine'!$C$2:$C$1369,0)),"",INDEX('Compliance Database'!$F$2:$F$1369,MATCH(865,'Transfer Engine'!$C$2:$C$1369,0)))</f>
        <v/>
      </c>
      <c r="G874" s="8">
        <f>IF(ISNA(MATCH(865,'Transfer Engine'!$C$2:$C$1369,0)),"",INDEX('Compliance Database'!$G$2:$G$1369,MATCH(865,'Transfer Engine'!$C$2:$C$1369,0)))</f>
        <v/>
      </c>
      <c r="H874" s="9">
        <f>IF(ISNA(MATCH(865,'Transfer Engine'!$C$2:$C$1369,0)),"",INDEX('Compliance Database'!$H$2:$H$1369,MATCH(865,'Transfer Engine'!$C$2:$C$1369,0)))</f>
        <v/>
      </c>
      <c r="I874" s="9">
        <f>IF(ISNA(MATCH(865,'Transfer Engine'!$C$2:$C$1369,0)),"",INDEX('Compliance Database'!$I$2:$I$1369,MATCH(865,'Transfer Engine'!$C$2:$C$1369,0)))</f>
        <v/>
      </c>
      <c r="J874" s="8">
        <f>IF(ISNA(MATCH(865,'Transfer Engine'!$C$2:$C$1369,0)),"",INDEX('Compliance Database'!$J$2:$J$1369,MATCH(865,'Transfer Engine'!$C$2:$C$1369,0)))</f>
        <v/>
      </c>
      <c r="K874" s="9">
        <f>IF(ISNA(MATCH(865,'Transfer Engine'!$C$2:$C$1369,0)),"",INDEX('Compliance Database'!$K$2:$K$1369,MATCH(865,'Transfer Engine'!$C$2:$C$1369,0)))</f>
        <v/>
      </c>
      <c r="L874" s="9">
        <f>IF(ISNA(MATCH(865,'Transfer Engine'!$C$2:$C$1369,0)),"",INDEX('Compliance Database'!$L$2:$L$1369,MATCH(865,'Transfer Engine'!$C$2:$C$1369,0)))</f>
        <v/>
      </c>
      <c r="M874" s="9">
        <f>IF(ISNA(MATCH(865,'Transfer Engine'!$C$2:$C$1369,0)),"",INDEX('Compliance Database'!$M$2:$M$1369,MATCH(865,'Transfer Engine'!$C$2:$C$1369,0)))</f>
        <v/>
      </c>
      <c r="N874" s="9">
        <f>IF(ISNA(MATCH(865,'Transfer Engine'!$C$2:$C$1369,0)),"",INDEX('Compliance Database'!$N$2:$N$1369,MATCH(865,'Transfer Engine'!$C$2:$C$1369,0)))</f>
        <v/>
      </c>
      <c r="O874" s="8">
        <f>IF(ISNA(MATCH(865,'Transfer Engine'!$C$2:$C$1369,0)),"",HYPERLINK(INDEX('Compliance Database'!$O$2:$O$1369,MATCH(865,'Transfer Engine'!$C$2:$C$1369,0)),"Open PDF"))</f>
        <v/>
      </c>
    </row>
    <row r="875" ht="188" customHeight="1">
      <c r="A875" s="8">
        <f>IF(ISNA(MATCH(866,'Transfer Engine'!$C$2:$C$1369,0)),"",INDEX('Compliance Database'!$A$2:$A$1369,MATCH(866,'Transfer Engine'!$C$2:$C$1369,0)))</f>
        <v/>
      </c>
      <c r="B875" s="8">
        <f>IF(ISNA(MATCH(866,'Transfer Engine'!$C$2:$C$1369,0)),"",INDEX('Compliance Database'!$B$2:$B$1369,MATCH(866,'Transfer Engine'!$C$2:$C$1369,0)))</f>
        <v/>
      </c>
      <c r="C875" s="8">
        <f>IF(ISNA(MATCH(866,'Transfer Engine'!$C$2:$C$1369,0)),"",INDEX('Compliance Database'!$C$2:$C$1369,MATCH(866,'Transfer Engine'!$C$2:$C$1369,0)))</f>
        <v/>
      </c>
      <c r="D875" s="9">
        <f>IF(ISNA(MATCH(866,'Transfer Engine'!$C$2:$C$1369,0)),"",INDEX('Compliance Database'!$D$2:$D$1369,MATCH(866,'Transfer Engine'!$C$2:$C$1369,0)))</f>
        <v/>
      </c>
      <c r="E875" s="8">
        <f>IF(ISNA(MATCH(866,'Transfer Engine'!$C$2:$C$1369,0)),"",INDEX('Compliance Database'!$E$2:$E$1369,MATCH(866,'Transfer Engine'!$C$2:$C$1369,0)))</f>
        <v/>
      </c>
      <c r="F875" s="8">
        <f>IF(ISNA(MATCH(866,'Transfer Engine'!$C$2:$C$1369,0)),"",INDEX('Compliance Database'!$F$2:$F$1369,MATCH(866,'Transfer Engine'!$C$2:$C$1369,0)))</f>
        <v/>
      </c>
      <c r="G875" s="8">
        <f>IF(ISNA(MATCH(866,'Transfer Engine'!$C$2:$C$1369,0)),"",INDEX('Compliance Database'!$G$2:$G$1369,MATCH(866,'Transfer Engine'!$C$2:$C$1369,0)))</f>
        <v/>
      </c>
      <c r="H875" s="9">
        <f>IF(ISNA(MATCH(866,'Transfer Engine'!$C$2:$C$1369,0)),"",INDEX('Compliance Database'!$H$2:$H$1369,MATCH(866,'Transfer Engine'!$C$2:$C$1369,0)))</f>
        <v/>
      </c>
      <c r="I875" s="9">
        <f>IF(ISNA(MATCH(866,'Transfer Engine'!$C$2:$C$1369,0)),"",INDEX('Compliance Database'!$I$2:$I$1369,MATCH(866,'Transfer Engine'!$C$2:$C$1369,0)))</f>
        <v/>
      </c>
      <c r="J875" s="8">
        <f>IF(ISNA(MATCH(866,'Transfer Engine'!$C$2:$C$1369,0)),"",INDEX('Compliance Database'!$J$2:$J$1369,MATCH(866,'Transfer Engine'!$C$2:$C$1369,0)))</f>
        <v/>
      </c>
      <c r="K875" s="9">
        <f>IF(ISNA(MATCH(866,'Transfer Engine'!$C$2:$C$1369,0)),"",INDEX('Compliance Database'!$K$2:$K$1369,MATCH(866,'Transfer Engine'!$C$2:$C$1369,0)))</f>
        <v/>
      </c>
      <c r="L875" s="9">
        <f>IF(ISNA(MATCH(866,'Transfer Engine'!$C$2:$C$1369,0)),"",INDEX('Compliance Database'!$L$2:$L$1369,MATCH(866,'Transfer Engine'!$C$2:$C$1369,0)))</f>
        <v/>
      </c>
      <c r="M875" s="9">
        <f>IF(ISNA(MATCH(866,'Transfer Engine'!$C$2:$C$1369,0)),"",INDEX('Compliance Database'!$M$2:$M$1369,MATCH(866,'Transfer Engine'!$C$2:$C$1369,0)))</f>
        <v/>
      </c>
      <c r="N875" s="9">
        <f>IF(ISNA(MATCH(866,'Transfer Engine'!$C$2:$C$1369,0)),"",INDEX('Compliance Database'!$N$2:$N$1369,MATCH(866,'Transfer Engine'!$C$2:$C$1369,0)))</f>
        <v/>
      </c>
      <c r="O875" s="8">
        <f>IF(ISNA(MATCH(866,'Transfer Engine'!$C$2:$C$1369,0)),"",HYPERLINK(INDEX('Compliance Database'!$O$2:$O$1369,MATCH(866,'Transfer Engine'!$C$2:$C$1369,0)),"Open PDF"))</f>
        <v/>
      </c>
    </row>
    <row r="876" ht="188" customHeight="1">
      <c r="A876" s="8">
        <f>IF(ISNA(MATCH(867,'Transfer Engine'!$C$2:$C$1369,0)),"",INDEX('Compliance Database'!$A$2:$A$1369,MATCH(867,'Transfer Engine'!$C$2:$C$1369,0)))</f>
        <v/>
      </c>
      <c r="B876" s="8">
        <f>IF(ISNA(MATCH(867,'Transfer Engine'!$C$2:$C$1369,0)),"",INDEX('Compliance Database'!$B$2:$B$1369,MATCH(867,'Transfer Engine'!$C$2:$C$1369,0)))</f>
        <v/>
      </c>
      <c r="C876" s="8">
        <f>IF(ISNA(MATCH(867,'Transfer Engine'!$C$2:$C$1369,0)),"",INDEX('Compliance Database'!$C$2:$C$1369,MATCH(867,'Transfer Engine'!$C$2:$C$1369,0)))</f>
        <v/>
      </c>
      <c r="D876" s="9">
        <f>IF(ISNA(MATCH(867,'Transfer Engine'!$C$2:$C$1369,0)),"",INDEX('Compliance Database'!$D$2:$D$1369,MATCH(867,'Transfer Engine'!$C$2:$C$1369,0)))</f>
        <v/>
      </c>
      <c r="E876" s="8">
        <f>IF(ISNA(MATCH(867,'Transfer Engine'!$C$2:$C$1369,0)),"",INDEX('Compliance Database'!$E$2:$E$1369,MATCH(867,'Transfer Engine'!$C$2:$C$1369,0)))</f>
        <v/>
      </c>
      <c r="F876" s="8">
        <f>IF(ISNA(MATCH(867,'Transfer Engine'!$C$2:$C$1369,0)),"",INDEX('Compliance Database'!$F$2:$F$1369,MATCH(867,'Transfer Engine'!$C$2:$C$1369,0)))</f>
        <v/>
      </c>
      <c r="G876" s="8">
        <f>IF(ISNA(MATCH(867,'Transfer Engine'!$C$2:$C$1369,0)),"",INDEX('Compliance Database'!$G$2:$G$1369,MATCH(867,'Transfer Engine'!$C$2:$C$1369,0)))</f>
        <v/>
      </c>
      <c r="H876" s="9">
        <f>IF(ISNA(MATCH(867,'Transfer Engine'!$C$2:$C$1369,0)),"",INDEX('Compliance Database'!$H$2:$H$1369,MATCH(867,'Transfer Engine'!$C$2:$C$1369,0)))</f>
        <v/>
      </c>
      <c r="I876" s="9">
        <f>IF(ISNA(MATCH(867,'Transfer Engine'!$C$2:$C$1369,0)),"",INDEX('Compliance Database'!$I$2:$I$1369,MATCH(867,'Transfer Engine'!$C$2:$C$1369,0)))</f>
        <v/>
      </c>
      <c r="J876" s="8">
        <f>IF(ISNA(MATCH(867,'Transfer Engine'!$C$2:$C$1369,0)),"",INDEX('Compliance Database'!$J$2:$J$1369,MATCH(867,'Transfer Engine'!$C$2:$C$1369,0)))</f>
        <v/>
      </c>
      <c r="K876" s="9">
        <f>IF(ISNA(MATCH(867,'Transfer Engine'!$C$2:$C$1369,0)),"",INDEX('Compliance Database'!$K$2:$K$1369,MATCH(867,'Transfer Engine'!$C$2:$C$1369,0)))</f>
        <v/>
      </c>
      <c r="L876" s="9">
        <f>IF(ISNA(MATCH(867,'Transfer Engine'!$C$2:$C$1369,0)),"",INDEX('Compliance Database'!$L$2:$L$1369,MATCH(867,'Transfer Engine'!$C$2:$C$1369,0)))</f>
        <v/>
      </c>
      <c r="M876" s="9">
        <f>IF(ISNA(MATCH(867,'Transfer Engine'!$C$2:$C$1369,0)),"",INDEX('Compliance Database'!$M$2:$M$1369,MATCH(867,'Transfer Engine'!$C$2:$C$1369,0)))</f>
        <v/>
      </c>
      <c r="N876" s="9">
        <f>IF(ISNA(MATCH(867,'Transfer Engine'!$C$2:$C$1369,0)),"",INDEX('Compliance Database'!$N$2:$N$1369,MATCH(867,'Transfer Engine'!$C$2:$C$1369,0)))</f>
        <v/>
      </c>
      <c r="O876" s="8">
        <f>IF(ISNA(MATCH(867,'Transfer Engine'!$C$2:$C$1369,0)),"",HYPERLINK(INDEX('Compliance Database'!$O$2:$O$1369,MATCH(867,'Transfer Engine'!$C$2:$C$1369,0)),"Open PDF"))</f>
        <v/>
      </c>
    </row>
    <row r="877" ht="188" customHeight="1">
      <c r="A877" s="8">
        <f>IF(ISNA(MATCH(868,'Transfer Engine'!$C$2:$C$1369,0)),"",INDEX('Compliance Database'!$A$2:$A$1369,MATCH(868,'Transfer Engine'!$C$2:$C$1369,0)))</f>
        <v/>
      </c>
      <c r="B877" s="8">
        <f>IF(ISNA(MATCH(868,'Transfer Engine'!$C$2:$C$1369,0)),"",INDEX('Compliance Database'!$B$2:$B$1369,MATCH(868,'Transfer Engine'!$C$2:$C$1369,0)))</f>
        <v/>
      </c>
      <c r="C877" s="8">
        <f>IF(ISNA(MATCH(868,'Transfer Engine'!$C$2:$C$1369,0)),"",INDEX('Compliance Database'!$C$2:$C$1369,MATCH(868,'Transfer Engine'!$C$2:$C$1369,0)))</f>
        <v/>
      </c>
      <c r="D877" s="9">
        <f>IF(ISNA(MATCH(868,'Transfer Engine'!$C$2:$C$1369,0)),"",INDEX('Compliance Database'!$D$2:$D$1369,MATCH(868,'Transfer Engine'!$C$2:$C$1369,0)))</f>
        <v/>
      </c>
      <c r="E877" s="8">
        <f>IF(ISNA(MATCH(868,'Transfer Engine'!$C$2:$C$1369,0)),"",INDEX('Compliance Database'!$E$2:$E$1369,MATCH(868,'Transfer Engine'!$C$2:$C$1369,0)))</f>
        <v/>
      </c>
      <c r="F877" s="8">
        <f>IF(ISNA(MATCH(868,'Transfer Engine'!$C$2:$C$1369,0)),"",INDEX('Compliance Database'!$F$2:$F$1369,MATCH(868,'Transfer Engine'!$C$2:$C$1369,0)))</f>
        <v/>
      </c>
      <c r="G877" s="8">
        <f>IF(ISNA(MATCH(868,'Transfer Engine'!$C$2:$C$1369,0)),"",INDEX('Compliance Database'!$G$2:$G$1369,MATCH(868,'Transfer Engine'!$C$2:$C$1369,0)))</f>
        <v/>
      </c>
      <c r="H877" s="9">
        <f>IF(ISNA(MATCH(868,'Transfer Engine'!$C$2:$C$1369,0)),"",INDEX('Compliance Database'!$H$2:$H$1369,MATCH(868,'Transfer Engine'!$C$2:$C$1369,0)))</f>
        <v/>
      </c>
      <c r="I877" s="9">
        <f>IF(ISNA(MATCH(868,'Transfer Engine'!$C$2:$C$1369,0)),"",INDEX('Compliance Database'!$I$2:$I$1369,MATCH(868,'Transfer Engine'!$C$2:$C$1369,0)))</f>
        <v/>
      </c>
      <c r="J877" s="8">
        <f>IF(ISNA(MATCH(868,'Transfer Engine'!$C$2:$C$1369,0)),"",INDEX('Compliance Database'!$J$2:$J$1369,MATCH(868,'Transfer Engine'!$C$2:$C$1369,0)))</f>
        <v/>
      </c>
      <c r="K877" s="9">
        <f>IF(ISNA(MATCH(868,'Transfer Engine'!$C$2:$C$1369,0)),"",INDEX('Compliance Database'!$K$2:$K$1369,MATCH(868,'Transfer Engine'!$C$2:$C$1369,0)))</f>
        <v/>
      </c>
      <c r="L877" s="9">
        <f>IF(ISNA(MATCH(868,'Transfer Engine'!$C$2:$C$1369,0)),"",INDEX('Compliance Database'!$L$2:$L$1369,MATCH(868,'Transfer Engine'!$C$2:$C$1369,0)))</f>
        <v/>
      </c>
      <c r="M877" s="9">
        <f>IF(ISNA(MATCH(868,'Transfer Engine'!$C$2:$C$1369,0)),"",INDEX('Compliance Database'!$M$2:$M$1369,MATCH(868,'Transfer Engine'!$C$2:$C$1369,0)))</f>
        <v/>
      </c>
      <c r="N877" s="9">
        <f>IF(ISNA(MATCH(868,'Transfer Engine'!$C$2:$C$1369,0)),"",INDEX('Compliance Database'!$N$2:$N$1369,MATCH(868,'Transfer Engine'!$C$2:$C$1369,0)))</f>
        <v/>
      </c>
      <c r="O877" s="8">
        <f>IF(ISNA(MATCH(868,'Transfer Engine'!$C$2:$C$1369,0)),"",HYPERLINK(INDEX('Compliance Database'!$O$2:$O$1369,MATCH(868,'Transfer Engine'!$C$2:$C$1369,0)),"Open PDF"))</f>
        <v/>
      </c>
    </row>
    <row r="878" ht="188" customHeight="1">
      <c r="A878" s="8">
        <f>IF(ISNA(MATCH(869,'Transfer Engine'!$C$2:$C$1369,0)),"",INDEX('Compliance Database'!$A$2:$A$1369,MATCH(869,'Transfer Engine'!$C$2:$C$1369,0)))</f>
        <v/>
      </c>
      <c r="B878" s="8">
        <f>IF(ISNA(MATCH(869,'Transfer Engine'!$C$2:$C$1369,0)),"",INDEX('Compliance Database'!$B$2:$B$1369,MATCH(869,'Transfer Engine'!$C$2:$C$1369,0)))</f>
        <v/>
      </c>
      <c r="C878" s="8">
        <f>IF(ISNA(MATCH(869,'Transfer Engine'!$C$2:$C$1369,0)),"",INDEX('Compliance Database'!$C$2:$C$1369,MATCH(869,'Transfer Engine'!$C$2:$C$1369,0)))</f>
        <v/>
      </c>
      <c r="D878" s="9">
        <f>IF(ISNA(MATCH(869,'Transfer Engine'!$C$2:$C$1369,0)),"",INDEX('Compliance Database'!$D$2:$D$1369,MATCH(869,'Transfer Engine'!$C$2:$C$1369,0)))</f>
        <v/>
      </c>
      <c r="E878" s="8">
        <f>IF(ISNA(MATCH(869,'Transfer Engine'!$C$2:$C$1369,0)),"",INDEX('Compliance Database'!$E$2:$E$1369,MATCH(869,'Transfer Engine'!$C$2:$C$1369,0)))</f>
        <v/>
      </c>
      <c r="F878" s="8">
        <f>IF(ISNA(MATCH(869,'Transfer Engine'!$C$2:$C$1369,0)),"",INDEX('Compliance Database'!$F$2:$F$1369,MATCH(869,'Transfer Engine'!$C$2:$C$1369,0)))</f>
        <v/>
      </c>
      <c r="G878" s="8">
        <f>IF(ISNA(MATCH(869,'Transfer Engine'!$C$2:$C$1369,0)),"",INDEX('Compliance Database'!$G$2:$G$1369,MATCH(869,'Transfer Engine'!$C$2:$C$1369,0)))</f>
        <v/>
      </c>
      <c r="H878" s="9">
        <f>IF(ISNA(MATCH(869,'Transfer Engine'!$C$2:$C$1369,0)),"",INDEX('Compliance Database'!$H$2:$H$1369,MATCH(869,'Transfer Engine'!$C$2:$C$1369,0)))</f>
        <v/>
      </c>
      <c r="I878" s="9">
        <f>IF(ISNA(MATCH(869,'Transfer Engine'!$C$2:$C$1369,0)),"",INDEX('Compliance Database'!$I$2:$I$1369,MATCH(869,'Transfer Engine'!$C$2:$C$1369,0)))</f>
        <v/>
      </c>
      <c r="J878" s="8">
        <f>IF(ISNA(MATCH(869,'Transfer Engine'!$C$2:$C$1369,0)),"",INDEX('Compliance Database'!$J$2:$J$1369,MATCH(869,'Transfer Engine'!$C$2:$C$1369,0)))</f>
        <v/>
      </c>
      <c r="K878" s="9">
        <f>IF(ISNA(MATCH(869,'Transfer Engine'!$C$2:$C$1369,0)),"",INDEX('Compliance Database'!$K$2:$K$1369,MATCH(869,'Transfer Engine'!$C$2:$C$1369,0)))</f>
        <v/>
      </c>
      <c r="L878" s="9">
        <f>IF(ISNA(MATCH(869,'Transfer Engine'!$C$2:$C$1369,0)),"",INDEX('Compliance Database'!$L$2:$L$1369,MATCH(869,'Transfer Engine'!$C$2:$C$1369,0)))</f>
        <v/>
      </c>
      <c r="M878" s="9">
        <f>IF(ISNA(MATCH(869,'Transfer Engine'!$C$2:$C$1369,0)),"",INDEX('Compliance Database'!$M$2:$M$1369,MATCH(869,'Transfer Engine'!$C$2:$C$1369,0)))</f>
        <v/>
      </c>
      <c r="N878" s="9">
        <f>IF(ISNA(MATCH(869,'Transfer Engine'!$C$2:$C$1369,0)),"",INDEX('Compliance Database'!$N$2:$N$1369,MATCH(869,'Transfer Engine'!$C$2:$C$1369,0)))</f>
        <v/>
      </c>
      <c r="O878" s="8">
        <f>IF(ISNA(MATCH(869,'Transfer Engine'!$C$2:$C$1369,0)),"",HYPERLINK(INDEX('Compliance Database'!$O$2:$O$1369,MATCH(869,'Transfer Engine'!$C$2:$C$1369,0)),"Open PDF"))</f>
        <v/>
      </c>
    </row>
    <row r="879" ht="188" customHeight="1">
      <c r="A879" s="8">
        <f>IF(ISNA(MATCH(870,'Transfer Engine'!$C$2:$C$1369,0)),"",INDEX('Compliance Database'!$A$2:$A$1369,MATCH(870,'Transfer Engine'!$C$2:$C$1369,0)))</f>
        <v/>
      </c>
      <c r="B879" s="8">
        <f>IF(ISNA(MATCH(870,'Transfer Engine'!$C$2:$C$1369,0)),"",INDEX('Compliance Database'!$B$2:$B$1369,MATCH(870,'Transfer Engine'!$C$2:$C$1369,0)))</f>
        <v/>
      </c>
      <c r="C879" s="8">
        <f>IF(ISNA(MATCH(870,'Transfer Engine'!$C$2:$C$1369,0)),"",INDEX('Compliance Database'!$C$2:$C$1369,MATCH(870,'Transfer Engine'!$C$2:$C$1369,0)))</f>
        <v/>
      </c>
      <c r="D879" s="9">
        <f>IF(ISNA(MATCH(870,'Transfer Engine'!$C$2:$C$1369,0)),"",INDEX('Compliance Database'!$D$2:$D$1369,MATCH(870,'Transfer Engine'!$C$2:$C$1369,0)))</f>
        <v/>
      </c>
      <c r="E879" s="8">
        <f>IF(ISNA(MATCH(870,'Transfer Engine'!$C$2:$C$1369,0)),"",INDEX('Compliance Database'!$E$2:$E$1369,MATCH(870,'Transfer Engine'!$C$2:$C$1369,0)))</f>
        <v/>
      </c>
      <c r="F879" s="8">
        <f>IF(ISNA(MATCH(870,'Transfer Engine'!$C$2:$C$1369,0)),"",INDEX('Compliance Database'!$F$2:$F$1369,MATCH(870,'Transfer Engine'!$C$2:$C$1369,0)))</f>
        <v/>
      </c>
      <c r="G879" s="8">
        <f>IF(ISNA(MATCH(870,'Transfer Engine'!$C$2:$C$1369,0)),"",INDEX('Compliance Database'!$G$2:$G$1369,MATCH(870,'Transfer Engine'!$C$2:$C$1369,0)))</f>
        <v/>
      </c>
      <c r="H879" s="9">
        <f>IF(ISNA(MATCH(870,'Transfer Engine'!$C$2:$C$1369,0)),"",INDEX('Compliance Database'!$H$2:$H$1369,MATCH(870,'Transfer Engine'!$C$2:$C$1369,0)))</f>
        <v/>
      </c>
      <c r="I879" s="9">
        <f>IF(ISNA(MATCH(870,'Transfer Engine'!$C$2:$C$1369,0)),"",INDEX('Compliance Database'!$I$2:$I$1369,MATCH(870,'Transfer Engine'!$C$2:$C$1369,0)))</f>
        <v/>
      </c>
      <c r="J879" s="8">
        <f>IF(ISNA(MATCH(870,'Transfer Engine'!$C$2:$C$1369,0)),"",INDEX('Compliance Database'!$J$2:$J$1369,MATCH(870,'Transfer Engine'!$C$2:$C$1369,0)))</f>
        <v/>
      </c>
      <c r="K879" s="9">
        <f>IF(ISNA(MATCH(870,'Transfer Engine'!$C$2:$C$1369,0)),"",INDEX('Compliance Database'!$K$2:$K$1369,MATCH(870,'Transfer Engine'!$C$2:$C$1369,0)))</f>
        <v/>
      </c>
      <c r="L879" s="9">
        <f>IF(ISNA(MATCH(870,'Transfer Engine'!$C$2:$C$1369,0)),"",INDEX('Compliance Database'!$L$2:$L$1369,MATCH(870,'Transfer Engine'!$C$2:$C$1369,0)))</f>
        <v/>
      </c>
      <c r="M879" s="9">
        <f>IF(ISNA(MATCH(870,'Transfer Engine'!$C$2:$C$1369,0)),"",INDEX('Compliance Database'!$M$2:$M$1369,MATCH(870,'Transfer Engine'!$C$2:$C$1369,0)))</f>
        <v/>
      </c>
      <c r="N879" s="9">
        <f>IF(ISNA(MATCH(870,'Transfer Engine'!$C$2:$C$1369,0)),"",INDEX('Compliance Database'!$N$2:$N$1369,MATCH(870,'Transfer Engine'!$C$2:$C$1369,0)))</f>
        <v/>
      </c>
      <c r="O879" s="8">
        <f>IF(ISNA(MATCH(870,'Transfer Engine'!$C$2:$C$1369,0)),"",HYPERLINK(INDEX('Compliance Database'!$O$2:$O$1369,MATCH(870,'Transfer Engine'!$C$2:$C$1369,0)),"Open PDF"))</f>
        <v/>
      </c>
    </row>
    <row r="880" ht="188" customHeight="1">
      <c r="A880" s="8">
        <f>IF(ISNA(MATCH(871,'Transfer Engine'!$C$2:$C$1369,0)),"",INDEX('Compliance Database'!$A$2:$A$1369,MATCH(871,'Transfer Engine'!$C$2:$C$1369,0)))</f>
        <v/>
      </c>
      <c r="B880" s="8">
        <f>IF(ISNA(MATCH(871,'Transfer Engine'!$C$2:$C$1369,0)),"",INDEX('Compliance Database'!$B$2:$B$1369,MATCH(871,'Transfer Engine'!$C$2:$C$1369,0)))</f>
        <v/>
      </c>
      <c r="C880" s="8">
        <f>IF(ISNA(MATCH(871,'Transfer Engine'!$C$2:$C$1369,0)),"",INDEX('Compliance Database'!$C$2:$C$1369,MATCH(871,'Transfer Engine'!$C$2:$C$1369,0)))</f>
        <v/>
      </c>
      <c r="D880" s="9">
        <f>IF(ISNA(MATCH(871,'Transfer Engine'!$C$2:$C$1369,0)),"",INDEX('Compliance Database'!$D$2:$D$1369,MATCH(871,'Transfer Engine'!$C$2:$C$1369,0)))</f>
        <v/>
      </c>
      <c r="E880" s="8">
        <f>IF(ISNA(MATCH(871,'Transfer Engine'!$C$2:$C$1369,0)),"",INDEX('Compliance Database'!$E$2:$E$1369,MATCH(871,'Transfer Engine'!$C$2:$C$1369,0)))</f>
        <v/>
      </c>
      <c r="F880" s="8">
        <f>IF(ISNA(MATCH(871,'Transfer Engine'!$C$2:$C$1369,0)),"",INDEX('Compliance Database'!$F$2:$F$1369,MATCH(871,'Transfer Engine'!$C$2:$C$1369,0)))</f>
        <v/>
      </c>
      <c r="G880" s="8">
        <f>IF(ISNA(MATCH(871,'Transfer Engine'!$C$2:$C$1369,0)),"",INDEX('Compliance Database'!$G$2:$G$1369,MATCH(871,'Transfer Engine'!$C$2:$C$1369,0)))</f>
        <v/>
      </c>
      <c r="H880" s="9">
        <f>IF(ISNA(MATCH(871,'Transfer Engine'!$C$2:$C$1369,0)),"",INDEX('Compliance Database'!$H$2:$H$1369,MATCH(871,'Transfer Engine'!$C$2:$C$1369,0)))</f>
        <v/>
      </c>
      <c r="I880" s="9">
        <f>IF(ISNA(MATCH(871,'Transfer Engine'!$C$2:$C$1369,0)),"",INDEX('Compliance Database'!$I$2:$I$1369,MATCH(871,'Transfer Engine'!$C$2:$C$1369,0)))</f>
        <v/>
      </c>
      <c r="J880" s="8">
        <f>IF(ISNA(MATCH(871,'Transfer Engine'!$C$2:$C$1369,0)),"",INDEX('Compliance Database'!$J$2:$J$1369,MATCH(871,'Transfer Engine'!$C$2:$C$1369,0)))</f>
        <v/>
      </c>
      <c r="K880" s="9">
        <f>IF(ISNA(MATCH(871,'Transfer Engine'!$C$2:$C$1369,0)),"",INDEX('Compliance Database'!$K$2:$K$1369,MATCH(871,'Transfer Engine'!$C$2:$C$1369,0)))</f>
        <v/>
      </c>
      <c r="L880" s="9">
        <f>IF(ISNA(MATCH(871,'Transfer Engine'!$C$2:$C$1369,0)),"",INDEX('Compliance Database'!$L$2:$L$1369,MATCH(871,'Transfer Engine'!$C$2:$C$1369,0)))</f>
        <v/>
      </c>
      <c r="M880" s="9">
        <f>IF(ISNA(MATCH(871,'Transfer Engine'!$C$2:$C$1369,0)),"",INDEX('Compliance Database'!$M$2:$M$1369,MATCH(871,'Transfer Engine'!$C$2:$C$1369,0)))</f>
        <v/>
      </c>
      <c r="N880" s="9">
        <f>IF(ISNA(MATCH(871,'Transfer Engine'!$C$2:$C$1369,0)),"",INDEX('Compliance Database'!$N$2:$N$1369,MATCH(871,'Transfer Engine'!$C$2:$C$1369,0)))</f>
        <v/>
      </c>
      <c r="O880" s="8">
        <f>IF(ISNA(MATCH(871,'Transfer Engine'!$C$2:$C$1369,0)),"",HYPERLINK(INDEX('Compliance Database'!$O$2:$O$1369,MATCH(871,'Transfer Engine'!$C$2:$C$1369,0)),"Open PDF"))</f>
        <v/>
      </c>
    </row>
    <row r="881" ht="188" customHeight="1">
      <c r="A881" s="8">
        <f>IF(ISNA(MATCH(872,'Transfer Engine'!$C$2:$C$1369,0)),"",INDEX('Compliance Database'!$A$2:$A$1369,MATCH(872,'Transfer Engine'!$C$2:$C$1369,0)))</f>
        <v/>
      </c>
      <c r="B881" s="8">
        <f>IF(ISNA(MATCH(872,'Transfer Engine'!$C$2:$C$1369,0)),"",INDEX('Compliance Database'!$B$2:$B$1369,MATCH(872,'Transfer Engine'!$C$2:$C$1369,0)))</f>
        <v/>
      </c>
      <c r="C881" s="8">
        <f>IF(ISNA(MATCH(872,'Transfer Engine'!$C$2:$C$1369,0)),"",INDEX('Compliance Database'!$C$2:$C$1369,MATCH(872,'Transfer Engine'!$C$2:$C$1369,0)))</f>
        <v/>
      </c>
      <c r="D881" s="9">
        <f>IF(ISNA(MATCH(872,'Transfer Engine'!$C$2:$C$1369,0)),"",INDEX('Compliance Database'!$D$2:$D$1369,MATCH(872,'Transfer Engine'!$C$2:$C$1369,0)))</f>
        <v/>
      </c>
      <c r="E881" s="8">
        <f>IF(ISNA(MATCH(872,'Transfer Engine'!$C$2:$C$1369,0)),"",INDEX('Compliance Database'!$E$2:$E$1369,MATCH(872,'Transfer Engine'!$C$2:$C$1369,0)))</f>
        <v/>
      </c>
      <c r="F881" s="8">
        <f>IF(ISNA(MATCH(872,'Transfer Engine'!$C$2:$C$1369,0)),"",INDEX('Compliance Database'!$F$2:$F$1369,MATCH(872,'Transfer Engine'!$C$2:$C$1369,0)))</f>
        <v/>
      </c>
      <c r="G881" s="8">
        <f>IF(ISNA(MATCH(872,'Transfer Engine'!$C$2:$C$1369,0)),"",INDEX('Compliance Database'!$G$2:$G$1369,MATCH(872,'Transfer Engine'!$C$2:$C$1369,0)))</f>
        <v/>
      </c>
      <c r="H881" s="9">
        <f>IF(ISNA(MATCH(872,'Transfer Engine'!$C$2:$C$1369,0)),"",INDEX('Compliance Database'!$H$2:$H$1369,MATCH(872,'Transfer Engine'!$C$2:$C$1369,0)))</f>
        <v/>
      </c>
      <c r="I881" s="9">
        <f>IF(ISNA(MATCH(872,'Transfer Engine'!$C$2:$C$1369,0)),"",INDEX('Compliance Database'!$I$2:$I$1369,MATCH(872,'Transfer Engine'!$C$2:$C$1369,0)))</f>
        <v/>
      </c>
      <c r="J881" s="8">
        <f>IF(ISNA(MATCH(872,'Transfer Engine'!$C$2:$C$1369,0)),"",INDEX('Compliance Database'!$J$2:$J$1369,MATCH(872,'Transfer Engine'!$C$2:$C$1369,0)))</f>
        <v/>
      </c>
      <c r="K881" s="9">
        <f>IF(ISNA(MATCH(872,'Transfer Engine'!$C$2:$C$1369,0)),"",INDEX('Compliance Database'!$K$2:$K$1369,MATCH(872,'Transfer Engine'!$C$2:$C$1369,0)))</f>
        <v/>
      </c>
      <c r="L881" s="9">
        <f>IF(ISNA(MATCH(872,'Transfer Engine'!$C$2:$C$1369,0)),"",INDEX('Compliance Database'!$L$2:$L$1369,MATCH(872,'Transfer Engine'!$C$2:$C$1369,0)))</f>
        <v/>
      </c>
      <c r="M881" s="9">
        <f>IF(ISNA(MATCH(872,'Transfer Engine'!$C$2:$C$1369,0)),"",INDEX('Compliance Database'!$M$2:$M$1369,MATCH(872,'Transfer Engine'!$C$2:$C$1369,0)))</f>
        <v/>
      </c>
      <c r="N881" s="9">
        <f>IF(ISNA(MATCH(872,'Transfer Engine'!$C$2:$C$1369,0)),"",INDEX('Compliance Database'!$N$2:$N$1369,MATCH(872,'Transfer Engine'!$C$2:$C$1369,0)))</f>
        <v/>
      </c>
      <c r="O881" s="8">
        <f>IF(ISNA(MATCH(872,'Transfer Engine'!$C$2:$C$1369,0)),"",HYPERLINK(INDEX('Compliance Database'!$O$2:$O$1369,MATCH(872,'Transfer Engine'!$C$2:$C$1369,0)),"Open PDF"))</f>
        <v/>
      </c>
    </row>
    <row r="882" ht="188" customHeight="1">
      <c r="A882" s="8">
        <f>IF(ISNA(MATCH(873,'Transfer Engine'!$C$2:$C$1369,0)),"",INDEX('Compliance Database'!$A$2:$A$1369,MATCH(873,'Transfer Engine'!$C$2:$C$1369,0)))</f>
        <v/>
      </c>
      <c r="B882" s="8">
        <f>IF(ISNA(MATCH(873,'Transfer Engine'!$C$2:$C$1369,0)),"",INDEX('Compliance Database'!$B$2:$B$1369,MATCH(873,'Transfer Engine'!$C$2:$C$1369,0)))</f>
        <v/>
      </c>
      <c r="C882" s="8">
        <f>IF(ISNA(MATCH(873,'Transfer Engine'!$C$2:$C$1369,0)),"",INDEX('Compliance Database'!$C$2:$C$1369,MATCH(873,'Transfer Engine'!$C$2:$C$1369,0)))</f>
        <v/>
      </c>
      <c r="D882" s="9">
        <f>IF(ISNA(MATCH(873,'Transfer Engine'!$C$2:$C$1369,0)),"",INDEX('Compliance Database'!$D$2:$D$1369,MATCH(873,'Transfer Engine'!$C$2:$C$1369,0)))</f>
        <v/>
      </c>
      <c r="E882" s="8">
        <f>IF(ISNA(MATCH(873,'Transfer Engine'!$C$2:$C$1369,0)),"",INDEX('Compliance Database'!$E$2:$E$1369,MATCH(873,'Transfer Engine'!$C$2:$C$1369,0)))</f>
        <v/>
      </c>
      <c r="F882" s="8">
        <f>IF(ISNA(MATCH(873,'Transfer Engine'!$C$2:$C$1369,0)),"",INDEX('Compliance Database'!$F$2:$F$1369,MATCH(873,'Transfer Engine'!$C$2:$C$1369,0)))</f>
        <v/>
      </c>
      <c r="G882" s="8">
        <f>IF(ISNA(MATCH(873,'Transfer Engine'!$C$2:$C$1369,0)),"",INDEX('Compliance Database'!$G$2:$G$1369,MATCH(873,'Transfer Engine'!$C$2:$C$1369,0)))</f>
        <v/>
      </c>
      <c r="H882" s="9">
        <f>IF(ISNA(MATCH(873,'Transfer Engine'!$C$2:$C$1369,0)),"",INDEX('Compliance Database'!$H$2:$H$1369,MATCH(873,'Transfer Engine'!$C$2:$C$1369,0)))</f>
        <v/>
      </c>
      <c r="I882" s="9">
        <f>IF(ISNA(MATCH(873,'Transfer Engine'!$C$2:$C$1369,0)),"",INDEX('Compliance Database'!$I$2:$I$1369,MATCH(873,'Transfer Engine'!$C$2:$C$1369,0)))</f>
        <v/>
      </c>
      <c r="J882" s="8">
        <f>IF(ISNA(MATCH(873,'Transfer Engine'!$C$2:$C$1369,0)),"",INDEX('Compliance Database'!$J$2:$J$1369,MATCH(873,'Transfer Engine'!$C$2:$C$1369,0)))</f>
        <v/>
      </c>
      <c r="K882" s="9">
        <f>IF(ISNA(MATCH(873,'Transfer Engine'!$C$2:$C$1369,0)),"",INDEX('Compliance Database'!$K$2:$K$1369,MATCH(873,'Transfer Engine'!$C$2:$C$1369,0)))</f>
        <v/>
      </c>
      <c r="L882" s="9">
        <f>IF(ISNA(MATCH(873,'Transfer Engine'!$C$2:$C$1369,0)),"",INDEX('Compliance Database'!$L$2:$L$1369,MATCH(873,'Transfer Engine'!$C$2:$C$1369,0)))</f>
        <v/>
      </c>
      <c r="M882" s="9">
        <f>IF(ISNA(MATCH(873,'Transfer Engine'!$C$2:$C$1369,0)),"",INDEX('Compliance Database'!$M$2:$M$1369,MATCH(873,'Transfer Engine'!$C$2:$C$1369,0)))</f>
        <v/>
      </c>
      <c r="N882" s="9">
        <f>IF(ISNA(MATCH(873,'Transfer Engine'!$C$2:$C$1369,0)),"",INDEX('Compliance Database'!$N$2:$N$1369,MATCH(873,'Transfer Engine'!$C$2:$C$1369,0)))</f>
        <v/>
      </c>
      <c r="O882" s="8">
        <f>IF(ISNA(MATCH(873,'Transfer Engine'!$C$2:$C$1369,0)),"",HYPERLINK(INDEX('Compliance Database'!$O$2:$O$1369,MATCH(873,'Transfer Engine'!$C$2:$C$1369,0)),"Open PDF"))</f>
        <v/>
      </c>
    </row>
    <row r="883" ht="188" customHeight="1">
      <c r="A883" s="8">
        <f>IF(ISNA(MATCH(874,'Transfer Engine'!$C$2:$C$1369,0)),"",INDEX('Compliance Database'!$A$2:$A$1369,MATCH(874,'Transfer Engine'!$C$2:$C$1369,0)))</f>
        <v/>
      </c>
      <c r="B883" s="8">
        <f>IF(ISNA(MATCH(874,'Transfer Engine'!$C$2:$C$1369,0)),"",INDEX('Compliance Database'!$B$2:$B$1369,MATCH(874,'Transfer Engine'!$C$2:$C$1369,0)))</f>
        <v/>
      </c>
      <c r="C883" s="8">
        <f>IF(ISNA(MATCH(874,'Transfer Engine'!$C$2:$C$1369,0)),"",INDEX('Compliance Database'!$C$2:$C$1369,MATCH(874,'Transfer Engine'!$C$2:$C$1369,0)))</f>
        <v/>
      </c>
      <c r="D883" s="9">
        <f>IF(ISNA(MATCH(874,'Transfer Engine'!$C$2:$C$1369,0)),"",INDEX('Compliance Database'!$D$2:$D$1369,MATCH(874,'Transfer Engine'!$C$2:$C$1369,0)))</f>
        <v/>
      </c>
      <c r="E883" s="8">
        <f>IF(ISNA(MATCH(874,'Transfer Engine'!$C$2:$C$1369,0)),"",INDEX('Compliance Database'!$E$2:$E$1369,MATCH(874,'Transfer Engine'!$C$2:$C$1369,0)))</f>
        <v/>
      </c>
      <c r="F883" s="8">
        <f>IF(ISNA(MATCH(874,'Transfer Engine'!$C$2:$C$1369,0)),"",INDEX('Compliance Database'!$F$2:$F$1369,MATCH(874,'Transfer Engine'!$C$2:$C$1369,0)))</f>
        <v/>
      </c>
      <c r="G883" s="8">
        <f>IF(ISNA(MATCH(874,'Transfer Engine'!$C$2:$C$1369,0)),"",INDEX('Compliance Database'!$G$2:$G$1369,MATCH(874,'Transfer Engine'!$C$2:$C$1369,0)))</f>
        <v/>
      </c>
      <c r="H883" s="9">
        <f>IF(ISNA(MATCH(874,'Transfer Engine'!$C$2:$C$1369,0)),"",INDEX('Compliance Database'!$H$2:$H$1369,MATCH(874,'Transfer Engine'!$C$2:$C$1369,0)))</f>
        <v/>
      </c>
      <c r="I883" s="9">
        <f>IF(ISNA(MATCH(874,'Transfer Engine'!$C$2:$C$1369,0)),"",INDEX('Compliance Database'!$I$2:$I$1369,MATCH(874,'Transfer Engine'!$C$2:$C$1369,0)))</f>
        <v/>
      </c>
      <c r="J883" s="8">
        <f>IF(ISNA(MATCH(874,'Transfer Engine'!$C$2:$C$1369,0)),"",INDEX('Compliance Database'!$J$2:$J$1369,MATCH(874,'Transfer Engine'!$C$2:$C$1369,0)))</f>
        <v/>
      </c>
      <c r="K883" s="9">
        <f>IF(ISNA(MATCH(874,'Transfer Engine'!$C$2:$C$1369,0)),"",INDEX('Compliance Database'!$K$2:$K$1369,MATCH(874,'Transfer Engine'!$C$2:$C$1369,0)))</f>
        <v/>
      </c>
      <c r="L883" s="9">
        <f>IF(ISNA(MATCH(874,'Transfer Engine'!$C$2:$C$1369,0)),"",INDEX('Compliance Database'!$L$2:$L$1369,MATCH(874,'Transfer Engine'!$C$2:$C$1369,0)))</f>
        <v/>
      </c>
      <c r="M883" s="9">
        <f>IF(ISNA(MATCH(874,'Transfer Engine'!$C$2:$C$1369,0)),"",INDEX('Compliance Database'!$M$2:$M$1369,MATCH(874,'Transfer Engine'!$C$2:$C$1369,0)))</f>
        <v/>
      </c>
      <c r="N883" s="9">
        <f>IF(ISNA(MATCH(874,'Transfer Engine'!$C$2:$C$1369,0)),"",INDEX('Compliance Database'!$N$2:$N$1369,MATCH(874,'Transfer Engine'!$C$2:$C$1369,0)))</f>
        <v/>
      </c>
      <c r="O883" s="8">
        <f>IF(ISNA(MATCH(874,'Transfer Engine'!$C$2:$C$1369,0)),"",HYPERLINK(INDEX('Compliance Database'!$O$2:$O$1369,MATCH(874,'Transfer Engine'!$C$2:$C$1369,0)),"Open PDF"))</f>
        <v/>
      </c>
    </row>
    <row r="884" ht="188" customHeight="1">
      <c r="A884" s="8">
        <f>IF(ISNA(MATCH(875,'Transfer Engine'!$C$2:$C$1369,0)),"",INDEX('Compliance Database'!$A$2:$A$1369,MATCH(875,'Transfer Engine'!$C$2:$C$1369,0)))</f>
        <v/>
      </c>
      <c r="B884" s="8">
        <f>IF(ISNA(MATCH(875,'Transfer Engine'!$C$2:$C$1369,0)),"",INDEX('Compliance Database'!$B$2:$B$1369,MATCH(875,'Transfer Engine'!$C$2:$C$1369,0)))</f>
        <v/>
      </c>
      <c r="C884" s="8">
        <f>IF(ISNA(MATCH(875,'Transfer Engine'!$C$2:$C$1369,0)),"",INDEX('Compliance Database'!$C$2:$C$1369,MATCH(875,'Transfer Engine'!$C$2:$C$1369,0)))</f>
        <v/>
      </c>
      <c r="D884" s="9">
        <f>IF(ISNA(MATCH(875,'Transfer Engine'!$C$2:$C$1369,0)),"",INDEX('Compliance Database'!$D$2:$D$1369,MATCH(875,'Transfer Engine'!$C$2:$C$1369,0)))</f>
        <v/>
      </c>
      <c r="E884" s="8">
        <f>IF(ISNA(MATCH(875,'Transfer Engine'!$C$2:$C$1369,0)),"",INDEX('Compliance Database'!$E$2:$E$1369,MATCH(875,'Transfer Engine'!$C$2:$C$1369,0)))</f>
        <v/>
      </c>
      <c r="F884" s="8">
        <f>IF(ISNA(MATCH(875,'Transfer Engine'!$C$2:$C$1369,0)),"",INDEX('Compliance Database'!$F$2:$F$1369,MATCH(875,'Transfer Engine'!$C$2:$C$1369,0)))</f>
        <v/>
      </c>
      <c r="G884" s="8">
        <f>IF(ISNA(MATCH(875,'Transfer Engine'!$C$2:$C$1369,0)),"",INDEX('Compliance Database'!$G$2:$G$1369,MATCH(875,'Transfer Engine'!$C$2:$C$1369,0)))</f>
        <v/>
      </c>
      <c r="H884" s="9">
        <f>IF(ISNA(MATCH(875,'Transfer Engine'!$C$2:$C$1369,0)),"",INDEX('Compliance Database'!$H$2:$H$1369,MATCH(875,'Transfer Engine'!$C$2:$C$1369,0)))</f>
        <v/>
      </c>
      <c r="I884" s="9">
        <f>IF(ISNA(MATCH(875,'Transfer Engine'!$C$2:$C$1369,0)),"",INDEX('Compliance Database'!$I$2:$I$1369,MATCH(875,'Transfer Engine'!$C$2:$C$1369,0)))</f>
        <v/>
      </c>
      <c r="J884" s="8">
        <f>IF(ISNA(MATCH(875,'Transfer Engine'!$C$2:$C$1369,0)),"",INDEX('Compliance Database'!$J$2:$J$1369,MATCH(875,'Transfer Engine'!$C$2:$C$1369,0)))</f>
        <v/>
      </c>
      <c r="K884" s="9">
        <f>IF(ISNA(MATCH(875,'Transfer Engine'!$C$2:$C$1369,0)),"",INDEX('Compliance Database'!$K$2:$K$1369,MATCH(875,'Transfer Engine'!$C$2:$C$1369,0)))</f>
        <v/>
      </c>
      <c r="L884" s="9">
        <f>IF(ISNA(MATCH(875,'Transfer Engine'!$C$2:$C$1369,0)),"",INDEX('Compliance Database'!$L$2:$L$1369,MATCH(875,'Transfer Engine'!$C$2:$C$1369,0)))</f>
        <v/>
      </c>
      <c r="M884" s="9">
        <f>IF(ISNA(MATCH(875,'Transfer Engine'!$C$2:$C$1369,0)),"",INDEX('Compliance Database'!$M$2:$M$1369,MATCH(875,'Transfer Engine'!$C$2:$C$1369,0)))</f>
        <v/>
      </c>
      <c r="N884" s="9">
        <f>IF(ISNA(MATCH(875,'Transfer Engine'!$C$2:$C$1369,0)),"",INDEX('Compliance Database'!$N$2:$N$1369,MATCH(875,'Transfer Engine'!$C$2:$C$1369,0)))</f>
        <v/>
      </c>
      <c r="O884" s="8">
        <f>IF(ISNA(MATCH(875,'Transfer Engine'!$C$2:$C$1369,0)),"",HYPERLINK(INDEX('Compliance Database'!$O$2:$O$1369,MATCH(875,'Transfer Engine'!$C$2:$C$1369,0)),"Open PDF"))</f>
        <v/>
      </c>
    </row>
    <row r="885" ht="188" customHeight="1">
      <c r="A885" s="8">
        <f>IF(ISNA(MATCH(876,'Transfer Engine'!$C$2:$C$1369,0)),"",INDEX('Compliance Database'!$A$2:$A$1369,MATCH(876,'Transfer Engine'!$C$2:$C$1369,0)))</f>
        <v/>
      </c>
      <c r="B885" s="8">
        <f>IF(ISNA(MATCH(876,'Transfer Engine'!$C$2:$C$1369,0)),"",INDEX('Compliance Database'!$B$2:$B$1369,MATCH(876,'Transfer Engine'!$C$2:$C$1369,0)))</f>
        <v/>
      </c>
      <c r="C885" s="8">
        <f>IF(ISNA(MATCH(876,'Transfer Engine'!$C$2:$C$1369,0)),"",INDEX('Compliance Database'!$C$2:$C$1369,MATCH(876,'Transfer Engine'!$C$2:$C$1369,0)))</f>
        <v/>
      </c>
      <c r="D885" s="9">
        <f>IF(ISNA(MATCH(876,'Transfer Engine'!$C$2:$C$1369,0)),"",INDEX('Compliance Database'!$D$2:$D$1369,MATCH(876,'Transfer Engine'!$C$2:$C$1369,0)))</f>
        <v/>
      </c>
      <c r="E885" s="8">
        <f>IF(ISNA(MATCH(876,'Transfer Engine'!$C$2:$C$1369,0)),"",INDEX('Compliance Database'!$E$2:$E$1369,MATCH(876,'Transfer Engine'!$C$2:$C$1369,0)))</f>
        <v/>
      </c>
      <c r="F885" s="8">
        <f>IF(ISNA(MATCH(876,'Transfer Engine'!$C$2:$C$1369,0)),"",INDEX('Compliance Database'!$F$2:$F$1369,MATCH(876,'Transfer Engine'!$C$2:$C$1369,0)))</f>
        <v/>
      </c>
      <c r="G885" s="8">
        <f>IF(ISNA(MATCH(876,'Transfer Engine'!$C$2:$C$1369,0)),"",INDEX('Compliance Database'!$G$2:$G$1369,MATCH(876,'Transfer Engine'!$C$2:$C$1369,0)))</f>
        <v/>
      </c>
      <c r="H885" s="9">
        <f>IF(ISNA(MATCH(876,'Transfer Engine'!$C$2:$C$1369,0)),"",INDEX('Compliance Database'!$H$2:$H$1369,MATCH(876,'Transfer Engine'!$C$2:$C$1369,0)))</f>
        <v/>
      </c>
      <c r="I885" s="9">
        <f>IF(ISNA(MATCH(876,'Transfer Engine'!$C$2:$C$1369,0)),"",INDEX('Compliance Database'!$I$2:$I$1369,MATCH(876,'Transfer Engine'!$C$2:$C$1369,0)))</f>
        <v/>
      </c>
      <c r="J885" s="8">
        <f>IF(ISNA(MATCH(876,'Transfer Engine'!$C$2:$C$1369,0)),"",INDEX('Compliance Database'!$J$2:$J$1369,MATCH(876,'Transfer Engine'!$C$2:$C$1369,0)))</f>
        <v/>
      </c>
      <c r="K885" s="9">
        <f>IF(ISNA(MATCH(876,'Transfer Engine'!$C$2:$C$1369,0)),"",INDEX('Compliance Database'!$K$2:$K$1369,MATCH(876,'Transfer Engine'!$C$2:$C$1369,0)))</f>
        <v/>
      </c>
      <c r="L885" s="9">
        <f>IF(ISNA(MATCH(876,'Transfer Engine'!$C$2:$C$1369,0)),"",INDEX('Compliance Database'!$L$2:$L$1369,MATCH(876,'Transfer Engine'!$C$2:$C$1369,0)))</f>
        <v/>
      </c>
      <c r="M885" s="9">
        <f>IF(ISNA(MATCH(876,'Transfer Engine'!$C$2:$C$1369,0)),"",INDEX('Compliance Database'!$M$2:$M$1369,MATCH(876,'Transfer Engine'!$C$2:$C$1369,0)))</f>
        <v/>
      </c>
      <c r="N885" s="9">
        <f>IF(ISNA(MATCH(876,'Transfer Engine'!$C$2:$C$1369,0)),"",INDEX('Compliance Database'!$N$2:$N$1369,MATCH(876,'Transfer Engine'!$C$2:$C$1369,0)))</f>
        <v/>
      </c>
      <c r="O885" s="8">
        <f>IF(ISNA(MATCH(876,'Transfer Engine'!$C$2:$C$1369,0)),"",HYPERLINK(INDEX('Compliance Database'!$O$2:$O$1369,MATCH(876,'Transfer Engine'!$C$2:$C$1369,0)),"Open PDF"))</f>
        <v/>
      </c>
    </row>
    <row r="886" ht="188" customHeight="1">
      <c r="A886" s="8">
        <f>IF(ISNA(MATCH(877,'Transfer Engine'!$C$2:$C$1369,0)),"",INDEX('Compliance Database'!$A$2:$A$1369,MATCH(877,'Transfer Engine'!$C$2:$C$1369,0)))</f>
        <v/>
      </c>
      <c r="B886" s="8">
        <f>IF(ISNA(MATCH(877,'Transfer Engine'!$C$2:$C$1369,0)),"",INDEX('Compliance Database'!$B$2:$B$1369,MATCH(877,'Transfer Engine'!$C$2:$C$1369,0)))</f>
        <v/>
      </c>
      <c r="C886" s="8">
        <f>IF(ISNA(MATCH(877,'Transfer Engine'!$C$2:$C$1369,0)),"",INDEX('Compliance Database'!$C$2:$C$1369,MATCH(877,'Transfer Engine'!$C$2:$C$1369,0)))</f>
        <v/>
      </c>
      <c r="D886" s="9">
        <f>IF(ISNA(MATCH(877,'Transfer Engine'!$C$2:$C$1369,0)),"",INDEX('Compliance Database'!$D$2:$D$1369,MATCH(877,'Transfer Engine'!$C$2:$C$1369,0)))</f>
        <v/>
      </c>
      <c r="E886" s="8">
        <f>IF(ISNA(MATCH(877,'Transfer Engine'!$C$2:$C$1369,0)),"",INDEX('Compliance Database'!$E$2:$E$1369,MATCH(877,'Transfer Engine'!$C$2:$C$1369,0)))</f>
        <v/>
      </c>
      <c r="F886" s="8">
        <f>IF(ISNA(MATCH(877,'Transfer Engine'!$C$2:$C$1369,0)),"",INDEX('Compliance Database'!$F$2:$F$1369,MATCH(877,'Transfer Engine'!$C$2:$C$1369,0)))</f>
        <v/>
      </c>
      <c r="G886" s="8">
        <f>IF(ISNA(MATCH(877,'Transfer Engine'!$C$2:$C$1369,0)),"",INDEX('Compliance Database'!$G$2:$G$1369,MATCH(877,'Transfer Engine'!$C$2:$C$1369,0)))</f>
        <v/>
      </c>
      <c r="H886" s="9">
        <f>IF(ISNA(MATCH(877,'Transfer Engine'!$C$2:$C$1369,0)),"",INDEX('Compliance Database'!$H$2:$H$1369,MATCH(877,'Transfer Engine'!$C$2:$C$1369,0)))</f>
        <v/>
      </c>
      <c r="I886" s="9">
        <f>IF(ISNA(MATCH(877,'Transfer Engine'!$C$2:$C$1369,0)),"",INDEX('Compliance Database'!$I$2:$I$1369,MATCH(877,'Transfer Engine'!$C$2:$C$1369,0)))</f>
        <v/>
      </c>
      <c r="J886" s="8">
        <f>IF(ISNA(MATCH(877,'Transfer Engine'!$C$2:$C$1369,0)),"",INDEX('Compliance Database'!$J$2:$J$1369,MATCH(877,'Transfer Engine'!$C$2:$C$1369,0)))</f>
        <v/>
      </c>
      <c r="K886" s="9">
        <f>IF(ISNA(MATCH(877,'Transfer Engine'!$C$2:$C$1369,0)),"",INDEX('Compliance Database'!$K$2:$K$1369,MATCH(877,'Transfer Engine'!$C$2:$C$1369,0)))</f>
        <v/>
      </c>
      <c r="L886" s="9">
        <f>IF(ISNA(MATCH(877,'Transfer Engine'!$C$2:$C$1369,0)),"",INDEX('Compliance Database'!$L$2:$L$1369,MATCH(877,'Transfer Engine'!$C$2:$C$1369,0)))</f>
        <v/>
      </c>
      <c r="M886" s="9">
        <f>IF(ISNA(MATCH(877,'Transfer Engine'!$C$2:$C$1369,0)),"",INDEX('Compliance Database'!$M$2:$M$1369,MATCH(877,'Transfer Engine'!$C$2:$C$1369,0)))</f>
        <v/>
      </c>
      <c r="N886" s="9">
        <f>IF(ISNA(MATCH(877,'Transfer Engine'!$C$2:$C$1369,0)),"",INDEX('Compliance Database'!$N$2:$N$1369,MATCH(877,'Transfer Engine'!$C$2:$C$1369,0)))</f>
        <v/>
      </c>
      <c r="O886" s="8">
        <f>IF(ISNA(MATCH(877,'Transfer Engine'!$C$2:$C$1369,0)),"",HYPERLINK(INDEX('Compliance Database'!$O$2:$O$1369,MATCH(877,'Transfer Engine'!$C$2:$C$1369,0)),"Open PDF"))</f>
        <v/>
      </c>
    </row>
    <row r="887" ht="188" customHeight="1">
      <c r="A887" s="8">
        <f>IF(ISNA(MATCH(878,'Transfer Engine'!$C$2:$C$1369,0)),"",INDEX('Compliance Database'!$A$2:$A$1369,MATCH(878,'Transfer Engine'!$C$2:$C$1369,0)))</f>
        <v/>
      </c>
      <c r="B887" s="8">
        <f>IF(ISNA(MATCH(878,'Transfer Engine'!$C$2:$C$1369,0)),"",INDEX('Compliance Database'!$B$2:$B$1369,MATCH(878,'Transfer Engine'!$C$2:$C$1369,0)))</f>
        <v/>
      </c>
      <c r="C887" s="8">
        <f>IF(ISNA(MATCH(878,'Transfer Engine'!$C$2:$C$1369,0)),"",INDEX('Compliance Database'!$C$2:$C$1369,MATCH(878,'Transfer Engine'!$C$2:$C$1369,0)))</f>
        <v/>
      </c>
      <c r="D887" s="9">
        <f>IF(ISNA(MATCH(878,'Transfer Engine'!$C$2:$C$1369,0)),"",INDEX('Compliance Database'!$D$2:$D$1369,MATCH(878,'Transfer Engine'!$C$2:$C$1369,0)))</f>
        <v/>
      </c>
      <c r="E887" s="8">
        <f>IF(ISNA(MATCH(878,'Transfer Engine'!$C$2:$C$1369,0)),"",INDEX('Compliance Database'!$E$2:$E$1369,MATCH(878,'Transfer Engine'!$C$2:$C$1369,0)))</f>
        <v/>
      </c>
      <c r="F887" s="8">
        <f>IF(ISNA(MATCH(878,'Transfer Engine'!$C$2:$C$1369,0)),"",INDEX('Compliance Database'!$F$2:$F$1369,MATCH(878,'Transfer Engine'!$C$2:$C$1369,0)))</f>
        <v/>
      </c>
      <c r="G887" s="8">
        <f>IF(ISNA(MATCH(878,'Transfer Engine'!$C$2:$C$1369,0)),"",INDEX('Compliance Database'!$G$2:$G$1369,MATCH(878,'Transfer Engine'!$C$2:$C$1369,0)))</f>
        <v/>
      </c>
      <c r="H887" s="9">
        <f>IF(ISNA(MATCH(878,'Transfer Engine'!$C$2:$C$1369,0)),"",INDEX('Compliance Database'!$H$2:$H$1369,MATCH(878,'Transfer Engine'!$C$2:$C$1369,0)))</f>
        <v/>
      </c>
      <c r="I887" s="9">
        <f>IF(ISNA(MATCH(878,'Transfer Engine'!$C$2:$C$1369,0)),"",INDEX('Compliance Database'!$I$2:$I$1369,MATCH(878,'Transfer Engine'!$C$2:$C$1369,0)))</f>
        <v/>
      </c>
      <c r="J887" s="8">
        <f>IF(ISNA(MATCH(878,'Transfer Engine'!$C$2:$C$1369,0)),"",INDEX('Compliance Database'!$J$2:$J$1369,MATCH(878,'Transfer Engine'!$C$2:$C$1369,0)))</f>
        <v/>
      </c>
      <c r="K887" s="9">
        <f>IF(ISNA(MATCH(878,'Transfer Engine'!$C$2:$C$1369,0)),"",INDEX('Compliance Database'!$K$2:$K$1369,MATCH(878,'Transfer Engine'!$C$2:$C$1369,0)))</f>
        <v/>
      </c>
      <c r="L887" s="9">
        <f>IF(ISNA(MATCH(878,'Transfer Engine'!$C$2:$C$1369,0)),"",INDEX('Compliance Database'!$L$2:$L$1369,MATCH(878,'Transfer Engine'!$C$2:$C$1369,0)))</f>
        <v/>
      </c>
      <c r="M887" s="9">
        <f>IF(ISNA(MATCH(878,'Transfer Engine'!$C$2:$C$1369,0)),"",INDEX('Compliance Database'!$M$2:$M$1369,MATCH(878,'Transfer Engine'!$C$2:$C$1369,0)))</f>
        <v/>
      </c>
      <c r="N887" s="9">
        <f>IF(ISNA(MATCH(878,'Transfer Engine'!$C$2:$C$1369,0)),"",INDEX('Compliance Database'!$N$2:$N$1369,MATCH(878,'Transfer Engine'!$C$2:$C$1369,0)))</f>
        <v/>
      </c>
      <c r="O887" s="8">
        <f>IF(ISNA(MATCH(878,'Transfer Engine'!$C$2:$C$1369,0)),"",HYPERLINK(INDEX('Compliance Database'!$O$2:$O$1369,MATCH(878,'Transfer Engine'!$C$2:$C$1369,0)),"Open PDF"))</f>
        <v/>
      </c>
    </row>
    <row r="888" ht="188" customHeight="1">
      <c r="A888" s="8">
        <f>IF(ISNA(MATCH(879,'Transfer Engine'!$C$2:$C$1369,0)),"",INDEX('Compliance Database'!$A$2:$A$1369,MATCH(879,'Transfer Engine'!$C$2:$C$1369,0)))</f>
        <v/>
      </c>
      <c r="B888" s="8">
        <f>IF(ISNA(MATCH(879,'Transfer Engine'!$C$2:$C$1369,0)),"",INDEX('Compliance Database'!$B$2:$B$1369,MATCH(879,'Transfer Engine'!$C$2:$C$1369,0)))</f>
        <v/>
      </c>
      <c r="C888" s="8">
        <f>IF(ISNA(MATCH(879,'Transfer Engine'!$C$2:$C$1369,0)),"",INDEX('Compliance Database'!$C$2:$C$1369,MATCH(879,'Transfer Engine'!$C$2:$C$1369,0)))</f>
        <v/>
      </c>
      <c r="D888" s="9">
        <f>IF(ISNA(MATCH(879,'Transfer Engine'!$C$2:$C$1369,0)),"",INDEX('Compliance Database'!$D$2:$D$1369,MATCH(879,'Transfer Engine'!$C$2:$C$1369,0)))</f>
        <v/>
      </c>
      <c r="E888" s="8">
        <f>IF(ISNA(MATCH(879,'Transfer Engine'!$C$2:$C$1369,0)),"",INDEX('Compliance Database'!$E$2:$E$1369,MATCH(879,'Transfer Engine'!$C$2:$C$1369,0)))</f>
        <v/>
      </c>
      <c r="F888" s="8">
        <f>IF(ISNA(MATCH(879,'Transfer Engine'!$C$2:$C$1369,0)),"",INDEX('Compliance Database'!$F$2:$F$1369,MATCH(879,'Transfer Engine'!$C$2:$C$1369,0)))</f>
        <v/>
      </c>
      <c r="G888" s="8">
        <f>IF(ISNA(MATCH(879,'Transfer Engine'!$C$2:$C$1369,0)),"",INDEX('Compliance Database'!$G$2:$G$1369,MATCH(879,'Transfer Engine'!$C$2:$C$1369,0)))</f>
        <v/>
      </c>
      <c r="H888" s="9">
        <f>IF(ISNA(MATCH(879,'Transfer Engine'!$C$2:$C$1369,0)),"",INDEX('Compliance Database'!$H$2:$H$1369,MATCH(879,'Transfer Engine'!$C$2:$C$1369,0)))</f>
        <v/>
      </c>
      <c r="I888" s="9">
        <f>IF(ISNA(MATCH(879,'Transfer Engine'!$C$2:$C$1369,0)),"",INDEX('Compliance Database'!$I$2:$I$1369,MATCH(879,'Transfer Engine'!$C$2:$C$1369,0)))</f>
        <v/>
      </c>
      <c r="J888" s="8">
        <f>IF(ISNA(MATCH(879,'Transfer Engine'!$C$2:$C$1369,0)),"",INDEX('Compliance Database'!$J$2:$J$1369,MATCH(879,'Transfer Engine'!$C$2:$C$1369,0)))</f>
        <v/>
      </c>
      <c r="K888" s="9">
        <f>IF(ISNA(MATCH(879,'Transfer Engine'!$C$2:$C$1369,0)),"",INDEX('Compliance Database'!$K$2:$K$1369,MATCH(879,'Transfer Engine'!$C$2:$C$1369,0)))</f>
        <v/>
      </c>
      <c r="L888" s="9">
        <f>IF(ISNA(MATCH(879,'Transfer Engine'!$C$2:$C$1369,0)),"",INDEX('Compliance Database'!$L$2:$L$1369,MATCH(879,'Transfer Engine'!$C$2:$C$1369,0)))</f>
        <v/>
      </c>
      <c r="M888" s="9">
        <f>IF(ISNA(MATCH(879,'Transfer Engine'!$C$2:$C$1369,0)),"",INDEX('Compliance Database'!$M$2:$M$1369,MATCH(879,'Transfer Engine'!$C$2:$C$1369,0)))</f>
        <v/>
      </c>
      <c r="N888" s="9">
        <f>IF(ISNA(MATCH(879,'Transfer Engine'!$C$2:$C$1369,0)),"",INDEX('Compliance Database'!$N$2:$N$1369,MATCH(879,'Transfer Engine'!$C$2:$C$1369,0)))</f>
        <v/>
      </c>
      <c r="O888" s="8">
        <f>IF(ISNA(MATCH(879,'Transfer Engine'!$C$2:$C$1369,0)),"",HYPERLINK(INDEX('Compliance Database'!$O$2:$O$1369,MATCH(879,'Transfer Engine'!$C$2:$C$1369,0)),"Open PDF"))</f>
        <v/>
      </c>
    </row>
    <row r="889" ht="188" customHeight="1">
      <c r="A889" s="8">
        <f>IF(ISNA(MATCH(880,'Transfer Engine'!$C$2:$C$1369,0)),"",INDEX('Compliance Database'!$A$2:$A$1369,MATCH(880,'Transfer Engine'!$C$2:$C$1369,0)))</f>
        <v/>
      </c>
      <c r="B889" s="8">
        <f>IF(ISNA(MATCH(880,'Transfer Engine'!$C$2:$C$1369,0)),"",INDEX('Compliance Database'!$B$2:$B$1369,MATCH(880,'Transfer Engine'!$C$2:$C$1369,0)))</f>
        <v/>
      </c>
      <c r="C889" s="8">
        <f>IF(ISNA(MATCH(880,'Transfer Engine'!$C$2:$C$1369,0)),"",INDEX('Compliance Database'!$C$2:$C$1369,MATCH(880,'Transfer Engine'!$C$2:$C$1369,0)))</f>
        <v/>
      </c>
      <c r="D889" s="9">
        <f>IF(ISNA(MATCH(880,'Transfer Engine'!$C$2:$C$1369,0)),"",INDEX('Compliance Database'!$D$2:$D$1369,MATCH(880,'Transfer Engine'!$C$2:$C$1369,0)))</f>
        <v/>
      </c>
      <c r="E889" s="8">
        <f>IF(ISNA(MATCH(880,'Transfer Engine'!$C$2:$C$1369,0)),"",INDEX('Compliance Database'!$E$2:$E$1369,MATCH(880,'Transfer Engine'!$C$2:$C$1369,0)))</f>
        <v/>
      </c>
      <c r="F889" s="8">
        <f>IF(ISNA(MATCH(880,'Transfer Engine'!$C$2:$C$1369,0)),"",INDEX('Compliance Database'!$F$2:$F$1369,MATCH(880,'Transfer Engine'!$C$2:$C$1369,0)))</f>
        <v/>
      </c>
      <c r="G889" s="8">
        <f>IF(ISNA(MATCH(880,'Transfer Engine'!$C$2:$C$1369,0)),"",INDEX('Compliance Database'!$G$2:$G$1369,MATCH(880,'Transfer Engine'!$C$2:$C$1369,0)))</f>
        <v/>
      </c>
      <c r="H889" s="9">
        <f>IF(ISNA(MATCH(880,'Transfer Engine'!$C$2:$C$1369,0)),"",INDEX('Compliance Database'!$H$2:$H$1369,MATCH(880,'Transfer Engine'!$C$2:$C$1369,0)))</f>
        <v/>
      </c>
      <c r="I889" s="9">
        <f>IF(ISNA(MATCH(880,'Transfer Engine'!$C$2:$C$1369,0)),"",INDEX('Compliance Database'!$I$2:$I$1369,MATCH(880,'Transfer Engine'!$C$2:$C$1369,0)))</f>
        <v/>
      </c>
      <c r="J889" s="8">
        <f>IF(ISNA(MATCH(880,'Transfer Engine'!$C$2:$C$1369,0)),"",INDEX('Compliance Database'!$J$2:$J$1369,MATCH(880,'Transfer Engine'!$C$2:$C$1369,0)))</f>
        <v/>
      </c>
      <c r="K889" s="9">
        <f>IF(ISNA(MATCH(880,'Transfer Engine'!$C$2:$C$1369,0)),"",INDEX('Compliance Database'!$K$2:$K$1369,MATCH(880,'Transfer Engine'!$C$2:$C$1369,0)))</f>
        <v/>
      </c>
      <c r="L889" s="9">
        <f>IF(ISNA(MATCH(880,'Transfer Engine'!$C$2:$C$1369,0)),"",INDEX('Compliance Database'!$L$2:$L$1369,MATCH(880,'Transfer Engine'!$C$2:$C$1369,0)))</f>
        <v/>
      </c>
      <c r="M889" s="9">
        <f>IF(ISNA(MATCH(880,'Transfer Engine'!$C$2:$C$1369,0)),"",INDEX('Compliance Database'!$M$2:$M$1369,MATCH(880,'Transfer Engine'!$C$2:$C$1369,0)))</f>
        <v/>
      </c>
      <c r="N889" s="9">
        <f>IF(ISNA(MATCH(880,'Transfer Engine'!$C$2:$C$1369,0)),"",INDEX('Compliance Database'!$N$2:$N$1369,MATCH(880,'Transfer Engine'!$C$2:$C$1369,0)))</f>
        <v/>
      </c>
      <c r="O889" s="8">
        <f>IF(ISNA(MATCH(880,'Transfer Engine'!$C$2:$C$1369,0)),"",HYPERLINK(INDEX('Compliance Database'!$O$2:$O$1369,MATCH(880,'Transfer Engine'!$C$2:$C$1369,0)),"Open PDF"))</f>
        <v/>
      </c>
    </row>
    <row r="890" ht="188" customHeight="1">
      <c r="A890" s="8">
        <f>IF(ISNA(MATCH(881,'Transfer Engine'!$C$2:$C$1369,0)),"",INDEX('Compliance Database'!$A$2:$A$1369,MATCH(881,'Transfer Engine'!$C$2:$C$1369,0)))</f>
        <v/>
      </c>
      <c r="B890" s="8">
        <f>IF(ISNA(MATCH(881,'Transfer Engine'!$C$2:$C$1369,0)),"",INDEX('Compliance Database'!$B$2:$B$1369,MATCH(881,'Transfer Engine'!$C$2:$C$1369,0)))</f>
        <v/>
      </c>
      <c r="C890" s="8">
        <f>IF(ISNA(MATCH(881,'Transfer Engine'!$C$2:$C$1369,0)),"",INDEX('Compliance Database'!$C$2:$C$1369,MATCH(881,'Transfer Engine'!$C$2:$C$1369,0)))</f>
        <v/>
      </c>
      <c r="D890" s="9">
        <f>IF(ISNA(MATCH(881,'Transfer Engine'!$C$2:$C$1369,0)),"",INDEX('Compliance Database'!$D$2:$D$1369,MATCH(881,'Transfer Engine'!$C$2:$C$1369,0)))</f>
        <v/>
      </c>
      <c r="E890" s="8">
        <f>IF(ISNA(MATCH(881,'Transfer Engine'!$C$2:$C$1369,0)),"",INDEX('Compliance Database'!$E$2:$E$1369,MATCH(881,'Transfer Engine'!$C$2:$C$1369,0)))</f>
        <v/>
      </c>
      <c r="F890" s="8">
        <f>IF(ISNA(MATCH(881,'Transfer Engine'!$C$2:$C$1369,0)),"",INDEX('Compliance Database'!$F$2:$F$1369,MATCH(881,'Transfer Engine'!$C$2:$C$1369,0)))</f>
        <v/>
      </c>
      <c r="G890" s="8">
        <f>IF(ISNA(MATCH(881,'Transfer Engine'!$C$2:$C$1369,0)),"",INDEX('Compliance Database'!$G$2:$G$1369,MATCH(881,'Transfer Engine'!$C$2:$C$1369,0)))</f>
        <v/>
      </c>
      <c r="H890" s="9">
        <f>IF(ISNA(MATCH(881,'Transfer Engine'!$C$2:$C$1369,0)),"",INDEX('Compliance Database'!$H$2:$H$1369,MATCH(881,'Transfer Engine'!$C$2:$C$1369,0)))</f>
        <v/>
      </c>
      <c r="I890" s="9">
        <f>IF(ISNA(MATCH(881,'Transfer Engine'!$C$2:$C$1369,0)),"",INDEX('Compliance Database'!$I$2:$I$1369,MATCH(881,'Transfer Engine'!$C$2:$C$1369,0)))</f>
        <v/>
      </c>
      <c r="J890" s="8">
        <f>IF(ISNA(MATCH(881,'Transfer Engine'!$C$2:$C$1369,0)),"",INDEX('Compliance Database'!$J$2:$J$1369,MATCH(881,'Transfer Engine'!$C$2:$C$1369,0)))</f>
        <v/>
      </c>
      <c r="K890" s="9">
        <f>IF(ISNA(MATCH(881,'Transfer Engine'!$C$2:$C$1369,0)),"",INDEX('Compliance Database'!$K$2:$K$1369,MATCH(881,'Transfer Engine'!$C$2:$C$1369,0)))</f>
        <v/>
      </c>
      <c r="L890" s="9">
        <f>IF(ISNA(MATCH(881,'Transfer Engine'!$C$2:$C$1369,0)),"",INDEX('Compliance Database'!$L$2:$L$1369,MATCH(881,'Transfer Engine'!$C$2:$C$1369,0)))</f>
        <v/>
      </c>
      <c r="M890" s="9">
        <f>IF(ISNA(MATCH(881,'Transfer Engine'!$C$2:$C$1369,0)),"",INDEX('Compliance Database'!$M$2:$M$1369,MATCH(881,'Transfer Engine'!$C$2:$C$1369,0)))</f>
        <v/>
      </c>
      <c r="N890" s="9">
        <f>IF(ISNA(MATCH(881,'Transfer Engine'!$C$2:$C$1369,0)),"",INDEX('Compliance Database'!$N$2:$N$1369,MATCH(881,'Transfer Engine'!$C$2:$C$1369,0)))</f>
        <v/>
      </c>
      <c r="O890" s="8">
        <f>IF(ISNA(MATCH(881,'Transfer Engine'!$C$2:$C$1369,0)),"",HYPERLINK(INDEX('Compliance Database'!$O$2:$O$1369,MATCH(881,'Transfer Engine'!$C$2:$C$1369,0)),"Open PDF"))</f>
        <v/>
      </c>
    </row>
    <row r="891" ht="188" customHeight="1">
      <c r="A891" s="8">
        <f>IF(ISNA(MATCH(882,'Transfer Engine'!$C$2:$C$1369,0)),"",INDEX('Compliance Database'!$A$2:$A$1369,MATCH(882,'Transfer Engine'!$C$2:$C$1369,0)))</f>
        <v/>
      </c>
      <c r="B891" s="8">
        <f>IF(ISNA(MATCH(882,'Transfer Engine'!$C$2:$C$1369,0)),"",INDEX('Compliance Database'!$B$2:$B$1369,MATCH(882,'Transfer Engine'!$C$2:$C$1369,0)))</f>
        <v/>
      </c>
      <c r="C891" s="8">
        <f>IF(ISNA(MATCH(882,'Transfer Engine'!$C$2:$C$1369,0)),"",INDEX('Compliance Database'!$C$2:$C$1369,MATCH(882,'Transfer Engine'!$C$2:$C$1369,0)))</f>
        <v/>
      </c>
      <c r="D891" s="9">
        <f>IF(ISNA(MATCH(882,'Transfer Engine'!$C$2:$C$1369,0)),"",INDEX('Compliance Database'!$D$2:$D$1369,MATCH(882,'Transfer Engine'!$C$2:$C$1369,0)))</f>
        <v/>
      </c>
      <c r="E891" s="8">
        <f>IF(ISNA(MATCH(882,'Transfer Engine'!$C$2:$C$1369,0)),"",INDEX('Compliance Database'!$E$2:$E$1369,MATCH(882,'Transfer Engine'!$C$2:$C$1369,0)))</f>
        <v/>
      </c>
      <c r="F891" s="8">
        <f>IF(ISNA(MATCH(882,'Transfer Engine'!$C$2:$C$1369,0)),"",INDEX('Compliance Database'!$F$2:$F$1369,MATCH(882,'Transfer Engine'!$C$2:$C$1369,0)))</f>
        <v/>
      </c>
      <c r="G891" s="8">
        <f>IF(ISNA(MATCH(882,'Transfer Engine'!$C$2:$C$1369,0)),"",INDEX('Compliance Database'!$G$2:$G$1369,MATCH(882,'Transfer Engine'!$C$2:$C$1369,0)))</f>
        <v/>
      </c>
      <c r="H891" s="9">
        <f>IF(ISNA(MATCH(882,'Transfer Engine'!$C$2:$C$1369,0)),"",INDEX('Compliance Database'!$H$2:$H$1369,MATCH(882,'Transfer Engine'!$C$2:$C$1369,0)))</f>
        <v/>
      </c>
      <c r="I891" s="9">
        <f>IF(ISNA(MATCH(882,'Transfer Engine'!$C$2:$C$1369,0)),"",INDEX('Compliance Database'!$I$2:$I$1369,MATCH(882,'Transfer Engine'!$C$2:$C$1369,0)))</f>
        <v/>
      </c>
      <c r="J891" s="8">
        <f>IF(ISNA(MATCH(882,'Transfer Engine'!$C$2:$C$1369,0)),"",INDEX('Compliance Database'!$J$2:$J$1369,MATCH(882,'Transfer Engine'!$C$2:$C$1369,0)))</f>
        <v/>
      </c>
      <c r="K891" s="9">
        <f>IF(ISNA(MATCH(882,'Transfer Engine'!$C$2:$C$1369,0)),"",INDEX('Compliance Database'!$K$2:$K$1369,MATCH(882,'Transfer Engine'!$C$2:$C$1369,0)))</f>
        <v/>
      </c>
      <c r="L891" s="9">
        <f>IF(ISNA(MATCH(882,'Transfer Engine'!$C$2:$C$1369,0)),"",INDEX('Compliance Database'!$L$2:$L$1369,MATCH(882,'Transfer Engine'!$C$2:$C$1369,0)))</f>
        <v/>
      </c>
      <c r="M891" s="9">
        <f>IF(ISNA(MATCH(882,'Transfer Engine'!$C$2:$C$1369,0)),"",INDEX('Compliance Database'!$M$2:$M$1369,MATCH(882,'Transfer Engine'!$C$2:$C$1369,0)))</f>
        <v/>
      </c>
      <c r="N891" s="9">
        <f>IF(ISNA(MATCH(882,'Transfer Engine'!$C$2:$C$1369,0)),"",INDEX('Compliance Database'!$N$2:$N$1369,MATCH(882,'Transfer Engine'!$C$2:$C$1369,0)))</f>
        <v/>
      </c>
      <c r="O891" s="8">
        <f>IF(ISNA(MATCH(882,'Transfer Engine'!$C$2:$C$1369,0)),"",HYPERLINK(INDEX('Compliance Database'!$O$2:$O$1369,MATCH(882,'Transfer Engine'!$C$2:$C$1369,0)),"Open PDF"))</f>
        <v/>
      </c>
    </row>
    <row r="892" ht="188" customHeight="1">
      <c r="A892" s="8">
        <f>IF(ISNA(MATCH(883,'Transfer Engine'!$C$2:$C$1369,0)),"",INDEX('Compliance Database'!$A$2:$A$1369,MATCH(883,'Transfer Engine'!$C$2:$C$1369,0)))</f>
        <v/>
      </c>
      <c r="B892" s="8">
        <f>IF(ISNA(MATCH(883,'Transfer Engine'!$C$2:$C$1369,0)),"",INDEX('Compliance Database'!$B$2:$B$1369,MATCH(883,'Transfer Engine'!$C$2:$C$1369,0)))</f>
        <v/>
      </c>
      <c r="C892" s="8">
        <f>IF(ISNA(MATCH(883,'Transfer Engine'!$C$2:$C$1369,0)),"",INDEX('Compliance Database'!$C$2:$C$1369,MATCH(883,'Transfer Engine'!$C$2:$C$1369,0)))</f>
        <v/>
      </c>
      <c r="D892" s="9">
        <f>IF(ISNA(MATCH(883,'Transfer Engine'!$C$2:$C$1369,0)),"",INDEX('Compliance Database'!$D$2:$D$1369,MATCH(883,'Transfer Engine'!$C$2:$C$1369,0)))</f>
        <v/>
      </c>
      <c r="E892" s="8">
        <f>IF(ISNA(MATCH(883,'Transfer Engine'!$C$2:$C$1369,0)),"",INDEX('Compliance Database'!$E$2:$E$1369,MATCH(883,'Transfer Engine'!$C$2:$C$1369,0)))</f>
        <v/>
      </c>
      <c r="F892" s="8">
        <f>IF(ISNA(MATCH(883,'Transfer Engine'!$C$2:$C$1369,0)),"",INDEX('Compliance Database'!$F$2:$F$1369,MATCH(883,'Transfer Engine'!$C$2:$C$1369,0)))</f>
        <v/>
      </c>
      <c r="G892" s="8">
        <f>IF(ISNA(MATCH(883,'Transfer Engine'!$C$2:$C$1369,0)),"",INDEX('Compliance Database'!$G$2:$G$1369,MATCH(883,'Transfer Engine'!$C$2:$C$1369,0)))</f>
        <v/>
      </c>
      <c r="H892" s="9">
        <f>IF(ISNA(MATCH(883,'Transfer Engine'!$C$2:$C$1369,0)),"",INDEX('Compliance Database'!$H$2:$H$1369,MATCH(883,'Transfer Engine'!$C$2:$C$1369,0)))</f>
        <v/>
      </c>
      <c r="I892" s="9">
        <f>IF(ISNA(MATCH(883,'Transfer Engine'!$C$2:$C$1369,0)),"",INDEX('Compliance Database'!$I$2:$I$1369,MATCH(883,'Transfer Engine'!$C$2:$C$1369,0)))</f>
        <v/>
      </c>
      <c r="J892" s="8">
        <f>IF(ISNA(MATCH(883,'Transfer Engine'!$C$2:$C$1369,0)),"",INDEX('Compliance Database'!$J$2:$J$1369,MATCH(883,'Transfer Engine'!$C$2:$C$1369,0)))</f>
        <v/>
      </c>
      <c r="K892" s="9">
        <f>IF(ISNA(MATCH(883,'Transfer Engine'!$C$2:$C$1369,0)),"",INDEX('Compliance Database'!$K$2:$K$1369,MATCH(883,'Transfer Engine'!$C$2:$C$1369,0)))</f>
        <v/>
      </c>
      <c r="L892" s="9">
        <f>IF(ISNA(MATCH(883,'Transfer Engine'!$C$2:$C$1369,0)),"",INDEX('Compliance Database'!$L$2:$L$1369,MATCH(883,'Transfer Engine'!$C$2:$C$1369,0)))</f>
        <v/>
      </c>
      <c r="M892" s="9">
        <f>IF(ISNA(MATCH(883,'Transfer Engine'!$C$2:$C$1369,0)),"",INDEX('Compliance Database'!$M$2:$M$1369,MATCH(883,'Transfer Engine'!$C$2:$C$1369,0)))</f>
        <v/>
      </c>
      <c r="N892" s="9">
        <f>IF(ISNA(MATCH(883,'Transfer Engine'!$C$2:$C$1369,0)),"",INDEX('Compliance Database'!$N$2:$N$1369,MATCH(883,'Transfer Engine'!$C$2:$C$1369,0)))</f>
        <v/>
      </c>
      <c r="O892" s="8">
        <f>IF(ISNA(MATCH(883,'Transfer Engine'!$C$2:$C$1369,0)),"",HYPERLINK(INDEX('Compliance Database'!$O$2:$O$1369,MATCH(883,'Transfer Engine'!$C$2:$C$1369,0)),"Open PDF"))</f>
        <v/>
      </c>
    </row>
    <row r="893" ht="188" customHeight="1">
      <c r="A893" s="8">
        <f>IF(ISNA(MATCH(884,'Transfer Engine'!$C$2:$C$1369,0)),"",INDEX('Compliance Database'!$A$2:$A$1369,MATCH(884,'Transfer Engine'!$C$2:$C$1369,0)))</f>
        <v/>
      </c>
      <c r="B893" s="8">
        <f>IF(ISNA(MATCH(884,'Transfer Engine'!$C$2:$C$1369,0)),"",INDEX('Compliance Database'!$B$2:$B$1369,MATCH(884,'Transfer Engine'!$C$2:$C$1369,0)))</f>
        <v/>
      </c>
      <c r="C893" s="8">
        <f>IF(ISNA(MATCH(884,'Transfer Engine'!$C$2:$C$1369,0)),"",INDEX('Compliance Database'!$C$2:$C$1369,MATCH(884,'Transfer Engine'!$C$2:$C$1369,0)))</f>
        <v/>
      </c>
      <c r="D893" s="9">
        <f>IF(ISNA(MATCH(884,'Transfer Engine'!$C$2:$C$1369,0)),"",INDEX('Compliance Database'!$D$2:$D$1369,MATCH(884,'Transfer Engine'!$C$2:$C$1369,0)))</f>
        <v/>
      </c>
      <c r="E893" s="8">
        <f>IF(ISNA(MATCH(884,'Transfer Engine'!$C$2:$C$1369,0)),"",INDEX('Compliance Database'!$E$2:$E$1369,MATCH(884,'Transfer Engine'!$C$2:$C$1369,0)))</f>
        <v/>
      </c>
      <c r="F893" s="8">
        <f>IF(ISNA(MATCH(884,'Transfer Engine'!$C$2:$C$1369,0)),"",INDEX('Compliance Database'!$F$2:$F$1369,MATCH(884,'Transfer Engine'!$C$2:$C$1369,0)))</f>
        <v/>
      </c>
      <c r="G893" s="8">
        <f>IF(ISNA(MATCH(884,'Transfer Engine'!$C$2:$C$1369,0)),"",INDEX('Compliance Database'!$G$2:$G$1369,MATCH(884,'Transfer Engine'!$C$2:$C$1369,0)))</f>
        <v/>
      </c>
      <c r="H893" s="9">
        <f>IF(ISNA(MATCH(884,'Transfer Engine'!$C$2:$C$1369,0)),"",INDEX('Compliance Database'!$H$2:$H$1369,MATCH(884,'Transfer Engine'!$C$2:$C$1369,0)))</f>
        <v/>
      </c>
      <c r="I893" s="9">
        <f>IF(ISNA(MATCH(884,'Transfer Engine'!$C$2:$C$1369,0)),"",INDEX('Compliance Database'!$I$2:$I$1369,MATCH(884,'Transfer Engine'!$C$2:$C$1369,0)))</f>
        <v/>
      </c>
      <c r="J893" s="8">
        <f>IF(ISNA(MATCH(884,'Transfer Engine'!$C$2:$C$1369,0)),"",INDEX('Compliance Database'!$J$2:$J$1369,MATCH(884,'Transfer Engine'!$C$2:$C$1369,0)))</f>
        <v/>
      </c>
      <c r="K893" s="9">
        <f>IF(ISNA(MATCH(884,'Transfer Engine'!$C$2:$C$1369,0)),"",INDEX('Compliance Database'!$K$2:$K$1369,MATCH(884,'Transfer Engine'!$C$2:$C$1369,0)))</f>
        <v/>
      </c>
      <c r="L893" s="9">
        <f>IF(ISNA(MATCH(884,'Transfer Engine'!$C$2:$C$1369,0)),"",INDEX('Compliance Database'!$L$2:$L$1369,MATCH(884,'Transfer Engine'!$C$2:$C$1369,0)))</f>
        <v/>
      </c>
      <c r="M893" s="9">
        <f>IF(ISNA(MATCH(884,'Transfer Engine'!$C$2:$C$1369,0)),"",INDEX('Compliance Database'!$M$2:$M$1369,MATCH(884,'Transfer Engine'!$C$2:$C$1369,0)))</f>
        <v/>
      </c>
      <c r="N893" s="9">
        <f>IF(ISNA(MATCH(884,'Transfer Engine'!$C$2:$C$1369,0)),"",INDEX('Compliance Database'!$N$2:$N$1369,MATCH(884,'Transfer Engine'!$C$2:$C$1369,0)))</f>
        <v/>
      </c>
      <c r="O893" s="8">
        <f>IF(ISNA(MATCH(884,'Transfer Engine'!$C$2:$C$1369,0)),"",HYPERLINK(INDEX('Compliance Database'!$O$2:$O$1369,MATCH(884,'Transfer Engine'!$C$2:$C$1369,0)),"Open PDF"))</f>
        <v/>
      </c>
    </row>
    <row r="894" ht="188" customHeight="1">
      <c r="A894" s="8">
        <f>IF(ISNA(MATCH(885,'Transfer Engine'!$C$2:$C$1369,0)),"",INDEX('Compliance Database'!$A$2:$A$1369,MATCH(885,'Transfer Engine'!$C$2:$C$1369,0)))</f>
        <v/>
      </c>
      <c r="B894" s="8">
        <f>IF(ISNA(MATCH(885,'Transfer Engine'!$C$2:$C$1369,0)),"",INDEX('Compliance Database'!$B$2:$B$1369,MATCH(885,'Transfer Engine'!$C$2:$C$1369,0)))</f>
        <v/>
      </c>
      <c r="C894" s="8">
        <f>IF(ISNA(MATCH(885,'Transfer Engine'!$C$2:$C$1369,0)),"",INDEX('Compliance Database'!$C$2:$C$1369,MATCH(885,'Transfer Engine'!$C$2:$C$1369,0)))</f>
        <v/>
      </c>
      <c r="D894" s="9">
        <f>IF(ISNA(MATCH(885,'Transfer Engine'!$C$2:$C$1369,0)),"",INDEX('Compliance Database'!$D$2:$D$1369,MATCH(885,'Transfer Engine'!$C$2:$C$1369,0)))</f>
        <v/>
      </c>
      <c r="E894" s="8">
        <f>IF(ISNA(MATCH(885,'Transfer Engine'!$C$2:$C$1369,0)),"",INDEX('Compliance Database'!$E$2:$E$1369,MATCH(885,'Transfer Engine'!$C$2:$C$1369,0)))</f>
        <v/>
      </c>
      <c r="F894" s="8">
        <f>IF(ISNA(MATCH(885,'Transfer Engine'!$C$2:$C$1369,0)),"",INDEX('Compliance Database'!$F$2:$F$1369,MATCH(885,'Transfer Engine'!$C$2:$C$1369,0)))</f>
        <v/>
      </c>
      <c r="G894" s="8">
        <f>IF(ISNA(MATCH(885,'Transfer Engine'!$C$2:$C$1369,0)),"",INDEX('Compliance Database'!$G$2:$G$1369,MATCH(885,'Transfer Engine'!$C$2:$C$1369,0)))</f>
        <v/>
      </c>
      <c r="H894" s="9">
        <f>IF(ISNA(MATCH(885,'Transfer Engine'!$C$2:$C$1369,0)),"",INDEX('Compliance Database'!$H$2:$H$1369,MATCH(885,'Transfer Engine'!$C$2:$C$1369,0)))</f>
        <v/>
      </c>
      <c r="I894" s="9">
        <f>IF(ISNA(MATCH(885,'Transfer Engine'!$C$2:$C$1369,0)),"",INDEX('Compliance Database'!$I$2:$I$1369,MATCH(885,'Transfer Engine'!$C$2:$C$1369,0)))</f>
        <v/>
      </c>
      <c r="J894" s="8">
        <f>IF(ISNA(MATCH(885,'Transfer Engine'!$C$2:$C$1369,0)),"",INDEX('Compliance Database'!$J$2:$J$1369,MATCH(885,'Transfer Engine'!$C$2:$C$1369,0)))</f>
        <v/>
      </c>
      <c r="K894" s="9">
        <f>IF(ISNA(MATCH(885,'Transfer Engine'!$C$2:$C$1369,0)),"",INDEX('Compliance Database'!$K$2:$K$1369,MATCH(885,'Transfer Engine'!$C$2:$C$1369,0)))</f>
        <v/>
      </c>
      <c r="L894" s="9">
        <f>IF(ISNA(MATCH(885,'Transfer Engine'!$C$2:$C$1369,0)),"",INDEX('Compliance Database'!$L$2:$L$1369,MATCH(885,'Transfer Engine'!$C$2:$C$1369,0)))</f>
        <v/>
      </c>
      <c r="M894" s="9">
        <f>IF(ISNA(MATCH(885,'Transfer Engine'!$C$2:$C$1369,0)),"",INDEX('Compliance Database'!$M$2:$M$1369,MATCH(885,'Transfer Engine'!$C$2:$C$1369,0)))</f>
        <v/>
      </c>
      <c r="N894" s="9">
        <f>IF(ISNA(MATCH(885,'Transfer Engine'!$C$2:$C$1369,0)),"",INDEX('Compliance Database'!$N$2:$N$1369,MATCH(885,'Transfer Engine'!$C$2:$C$1369,0)))</f>
        <v/>
      </c>
      <c r="O894" s="8">
        <f>IF(ISNA(MATCH(885,'Transfer Engine'!$C$2:$C$1369,0)),"",HYPERLINK(INDEX('Compliance Database'!$O$2:$O$1369,MATCH(885,'Transfer Engine'!$C$2:$C$1369,0)),"Open PDF"))</f>
        <v/>
      </c>
    </row>
    <row r="895" ht="188" customHeight="1">
      <c r="A895" s="8">
        <f>IF(ISNA(MATCH(886,'Transfer Engine'!$C$2:$C$1369,0)),"",INDEX('Compliance Database'!$A$2:$A$1369,MATCH(886,'Transfer Engine'!$C$2:$C$1369,0)))</f>
        <v/>
      </c>
      <c r="B895" s="8">
        <f>IF(ISNA(MATCH(886,'Transfer Engine'!$C$2:$C$1369,0)),"",INDEX('Compliance Database'!$B$2:$B$1369,MATCH(886,'Transfer Engine'!$C$2:$C$1369,0)))</f>
        <v/>
      </c>
      <c r="C895" s="8">
        <f>IF(ISNA(MATCH(886,'Transfer Engine'!$C$2:$C$1369,0)),"",INDEX('Compliance Database'!$C$2:$C$1369,MATCH(886,'Transfer Engine'!$C$2:$C$1369,0)))</f>
        <v/>
      </c>
      <c r="D895" s="9">
        <f>IF(ISNA(MATCH(886,'Transfer Engine'!$C$2:$C$1369,0)),"",INDEX('Compliance Database'!$D$2:$D$1369,MATCH(886,'Transfer Engine'!$C$2:$C$1369,0)))</f>
        <v/>
      </c>
      <c r="E895" s="8">
        <f>IF(ISNA(MATCH(886,'Transfer Engine'!$C$2:$C$1369,0)),"",INDEX('Compliance Database'!$E$2:$E$1369,MATCH(886,'Transfer Engine'!$C$2:$C$1369,0)))</f>
        <v/>
      </c>
      <c r="F895" s="8">
        <f>IF(ISNA(MATCH(886,'Transfer Engine'!$C$2:$C$1369,0)),"",INDEX('Compliance Database'!$F$2:$F$1369,MATCH(886,'Transfer Engine'!$C$2:$C$1369,0)))</f>
        <v/>
      </c>
      <c r="G895" s="8">
        <f>IF(ISNA(MATCH(886,'Transfer Engine'!$C$2:$C$1369,0)),"",INDEX('Compliance Database'!$G$2:$G$1369,MATCH(886,'Transfer Engine'!$C$2:$C$1369,0)))</f>
        <v/>
      </c>
      <c r="H895" s="9">
        <f>IF(ISNA(MATCH(886,'Transfer Engine'!$C$2:$C$1369,0)),"",INDEX('Compliance Database'!$H$2:$H$1369,MATCH(886,'Transfer Engine'!$C$2:$C$1369,0)))</f>
        <v/>
      </c>
      <c r="I895" s="9">
        <f>IF(ISNA(MATCH(886,'Transfer Engine'!$C$2:$C$1369,0)),"",INDEX('Compliance Database'!$I$2:$I$1369,MATCH(886,'Transfer Engine'!$C$2:$C$1369,0)))</f>
        <v/>
      </c>
      <c r="J895" s="8">
        <f>IF(ISNA(MATCH(886,'Transfer Engine'!$C$2:$C$1369,0)),"",INDEX('Compliance Database'!$J$2:$J$1369,MATCH(886,'Transfer Engine'!$C$2:$C$1369,0)))</f>
        <v/>
      </c>
      <c r="K895" s="9">
        <f>IF(ISNA(MATCH(886,'Transfer Engine'!$C$2:$C$1369,0)),"",INDEX('Compliance Database'!$K$2:$K$1369,MATCH(886,'Transfer Engine'!$C$2:$C$1369,0)))</f>
        <v/>
      </c>
      <c r="L895" s="9">
        <f>IF(ISNA(MATCH(886,'Transfer Engine'!$C$2:$C$1369,0)),"",INDEX('Compliance Database'!$L$2:$L$1369,MATCH(886,'Transfer Engine'!$C$2:$C$1369,0)))</f>
        <v/>
      </c>
      <c r="M895" s="9">
        <f>IF(ISNA(MATCH(886,'Transfer Engine'!$C$2:$C$1369,0)),"",INDEX('Compliance Database'!$M$2:$M$1369,MATCH(886,'Transfer Engine'!$C$2:$C$1369,0)))</f>
        <v/>
      </c>
      <c r="N895" s="9">
        <f>IF(ISNA(MATCH(886,'Transfer Engine'!$C$2:$C$1369,0)),"",INDEX('Compliance Database'!$N$2:$N$1369,MATCH(886,'Transfer Engine'!$C$2:$C$1369,0)))</f>
        <v/>
      </c>
      <c r="O895" s="8">
        <f>IF(ISNA(MATCH(886,'Transfer Engine'!$C$2:$C$1369,0)),"",HYPERLINK(INDEX('Compliance Database'!$O$2:$O$1369,MATCH(886,'Transfer Engine'!$C$2:$C$1369,0)),"Open PDF"))</f>
        <v/>
      </c>
    </row>
    <row r="896" ht="188" customHeight="1">
      <c r="A896" s="8">
        <f>IF(ISNA(MATCH(887,'Transfer Engine'!$C$2:$C$1369,0)),"",INDEX('Compliance Database'!$A$2:$A$1369,MATCH(887,'Transfer Engine'!$C$2:$C$1369,0)))</f>
        <v/>
      </c>
      <c r="B896" s="8">
        <f>IF(ISNA(MATCH(887,'Transfer Engine'!$C$2:$C$1369,0)),"",INDEX('Compliance Database'!$B$2:$B$1369,MATCH(887,'Transfer Engine'!$C$2:$C$1369,0)))</f>
        <v/>
      </c>
      <c r="C896" s="8">
        <f>IF(ISNA(MATCH(887,'Transfer Engine'!$C$2:$C$1369,0)),"",INDEX('Compliance Database'!$C$2:$C$1369,MATCH(887,'Transfer Engine'!$C$2:$C$1369,0)))</f>
        <v/>
      </c>
      <c r="D896" s="9">
        <f>IF(ISNA(MATCH(887,'Transfer Engine'!$C$2:$C$1369,0)),"",INDEX('Compliance Database'!$D$2:$D$1369,MATCH(887,'Transfer Engine'!$C$2:$C$1369,0)))</f>
        <v/>
      </c>
      <c r="E896" s="8">
        <f>IF(ISNA(MATCH(887,'Transfer Engine'!$C$2:$C$1369,0)),"",INDEX('Compliance Database'!$E$2:$E$1369,MATCH(887,'Transfer Engine'!$C$2:$C$1369,0)))</f>
        <v/>
      </c>
      <c r="F896" s="8">
        <f>IF(ISNA(MATCH(887,'Transfer Engine'!$C$2:$C$1369,0)),"",INDEX('Compliance Database'!$F$2:$F$1369,MATCH(887,'Transfer Engine'!$C$2:$C$1369,0)))</f>
        <v/>
      </c>
      <c r="G896" s="8">
        <f>IF(ISNA(MATCH(887,'Transfer Engine'!$C$2:$C$1369,0)),"",INDEX('Compliance Database'!$G$2:$G$1369,MATCH(887,'Transfer Engine'!$C$2:$C$1369,0)))</f>
        <v/>
      </c>
      <c r="H896" s="9">
        <f>IF(ISNA(MATCH(887,'Transfer Engine'!$C$2:$C$1369,0)),"",INDEX('Compliance Database'!$H$2:$H$1369,MATCH(887,'Transfer Engine'!$C$2:$C$1369,0)))</f>
        <v/>
      </c>
      <c r="I896" s="9">
        <f>IF(ISNA(MATCH(887,'Transfer Engine'!$C$2:$C$1369,0)),"",INDEX('Compliance Database'!$I$2:$I$1369,MATCH(887,'Transfer Engine'!$C$2:$C$1369,0)))</f>
        <v/>
      </c>
      <c r="J896" s="8">
        <f>IF(ISNA(MATCH(887,'Transfer Engine'!$C$2:$C$1369,0)),"",INDEX('Compliance Database'!$J$2:$J$1369,MATCH(887,'Transfer Engine'!$C$2:$C$1369,0)))</f>
        <v/>
      </c>
      <c r="K896" s="9">
        <f>IF(ISNA(MATCH(887,'Transfer Engine'!$C$2:$C$1369,0)),"",INDEX('Compliance Database'!$K$2:$K$1369,MATCH(887,'Transfer Engine'!$C$2:$C$1369,0)))</f>
        <v/>
      </c>
      <c r="L896" s="9">
        <f>IF(ISNA(MATCH(887,'Transfer Engine'!$C$2:$C$1369,0)),"",INDEX('Compliance Database'!$L$2:$L$1369,MATCH(887,'Transfer Engine'!$C$2:$C$1369,0)))</f>
        <v/>
      </c>
      <c r="M896" s="9">
        <f>IF(ISNA(MATCH(887,'Transfer Engine'!$C$2:$C$1369,0)),"",INDEX('Compliance Database'!$M$2:$M$1369,MATCH(887,'Transfer Engine'!$C$2:$C$1369,0)))</f>
        <v/>
      </c>
      <c r="N896" s="9">
        <f>IF(ISNA(MATCH(887,'Transfer Engine'!$C$2:$C$1369,0)),"",INDEX('Compliance Database'!$N$2:$N$1369,MATCH(887,'Transfer Engine'!$C$2:$C$1369,0)))</f>
        <v/>
      </c>
      <c r="O896" s="8">
        <f>IF(ISNA(MATCH(887,'Transfer Engine'!$C$2:$C$1369,0)),"",HYPERLINK(INDEX('Compliance Database'!$O$2:$O$1369,MATCH(887,'Transfer Engine'!$C$2:$C$1369,0)),"Open PDF"))</f>
        <v/>
      </c>
    </row>
    <row r="897" ht="188" customHeight="1">
      <c r="A897" s="8">
        <f>IF(ISNA(MATCH(888,'Transfer Engine'!$C$2:$C$1369,0)),"",INDEX('Compliance Database'!$A$2:$A$1369,MATCH(888,'Transfer Engine'!$C$2:$C$1369,0)))</f>
        <v/>
      </c>
      <c r="B897" s="8">
        <f>IF(ISNA(MATCH(888,'Transfer Engine'!$C$2:$C$1369,0)),"",INDEX('Compliance Database'!$B$2:$B$1369,MATCH(888,'Transfer Engine'!$C$2:$C$1369,0)))</f>
        <v/>
      </c>
      <c r="C897" s="8">
        <f>IF(ISNA(MATCH(888,'Transfer Engine'!$C$2:$C$1369,0)),"",INDEX('Compliance Database'!$C$2:$C$1369,MATCH(888,'Transfer Engine'!$C$2:$C$1369,0)))</f>
        <v/>
      </c>
      <c r="D897" s="9">
        <f>IF(ISNA(MATCH(888,'Transfer Engine'!$C$2:$C$1369,0)),"",INDEX('Compliance Database'!$D$2:$D$1369,MATCH(888,'Transfer Engine'!$C$2:$C$1369,0)))</f>
        <v/>
      </c>
      <c r="E897" s="8">
        <f>IF(ISNA(MATCH(888,'Transfer Engine'!$C$2:$C$1369,0)),"",INDEX('Compliance Database'!$E$2:$E$1369,MATCH(888,'Transfer Engine'!$C$2:$C$1369,0)))</f>
        <v/>
      </c>
      <c r="F897" s="8">
        <f>IF(ISNA(MATCH(888,'Transfer Engine'!$C$2:$C$1369,0)),"",INDEX('Compliance Database'!$F$2:$F$1369,MATCH(888,'Transfer Engine'!$C$2:$C$1369,0)))</f>
        <v/>
      </c>
      <c r="G897" s="8">
        <f>IF(ISNA(MATCH(888,'Transfer Engine'!$C$2:$C$1369,0)),"",INDEX('Compliance Database'!$G$2:$G$1369,MATCH(888,'Transfer Engine'!$C$2:$C$1369,0)))</f>
        <v/>
      </c>
      <c r="H897" s="9">
        <f>IF(ISNA(MATCH(888,'Transfer Engine'!$C$2:$C$1369,0)),"",INDEX('Compliance Database'!$H$2:$H$1369,MATCH(888,'Transfer Engine'!$C$2:$C$1369,0)))</f>
        <v/>
      </c>
      <c r="I897" s="9">
        <f>IF(ISNA(MATCH(888,'Transfer Engine'!$C$2:$C$1369,0)),"",INDEX('Compliance Database'!$I$2:$I$1369,MATCH(888,'Transfer Engine'!$C$2:$C$1369,0)))</f>
        <v/>
      </c>
      <c r="J897" s="8">
        <f>IF(ISNA(MATCH(888,'Transfer Engine'!$C$2:$C$1369,0)),"",INDEX('Compliance Database'!$J$2:$J$1369,MATCH(888,'Transfer Engine'!$C$2:$C$1369,0)))</f>
        <v/>
      </c>
      <c r="K897" s="9">
        <f>IF(ISNA(MATCH(888,'Transfer Engine'!$C$2:$C$1369,0)),"",INDEX('Compliance Database'!$K$2:$K$1369,MATCH(888,'Transfer Engine'!$C$2:$C$1369,0)))</f>
        <v/>
      </c>
      <c r="L897" s="9">
        <f>IF(ISNA(MATCH(888,'Transfer Engine'!$C$2:$C$1369,0)),"",INDEX('Compliance Database'!$L$2:$L$1369,MATCH(888,'Transfer Engine'!$C$2:$C$1369,0)))</f>
        <v/>
      </c>
      <c r="M897" s="9">
        <f>IF(ISNA(MATCH(888,'Transfer Engine'!$C$2:$C$1369,0)),"",INDEX('Compliance Database'!$M$2:$M$1369,MATCH(888,'Transfer Engine'!$C$2:$C$1369,0)))</f>
        <v/>
      </c>
      <c r="N897" s="9">
        <f>IF(ISNA(MATCH(888,'Transfer Engine'!$C$2:$C$1369,0)),"",INDEX('Compliance Database'!$N$2:$N$1369,MATCH(888,'Transfer Engine'!$C$2:$C$1369,0)))</f>
        <v/>
      </c>
      <c r="O897" s="8">
        <f>IF(ISNA(MATCH(888,'Transfer Engine'!$C$2:$C$1369,0)),"",HYPERLINK(INDEX('Compliance Database'!$O$2:$O$1369,MATCH(888,'Transfer Engine'!$C$2:$C$1369,0)),"Open PDF"))</f>
        <v/>
      </c>
    </row>
    <row r="898" ht="188" customHeight="1">
      <c r="A898" s="8">
        <f>IF(ISNA(MATCH(889,'Transfer Engine'!$C$2:$C$1369,0)),"",INDEX('Compliance Database'!$A$2:$A$1369,MATCH(889,'Transfer Engine'!$C$2:$C$1369,0)))</f>
        <v/>
      </c>
      <c r="B898" s="8">
        <f>IF(ISNA(MATCH(889,'Transfer Engine'!$C$2:$C$1369,0)),"",INDEX('Compliance Database'!$B$2:$B$1369,MATCH(889,'Transfer Engine'!$C$2:$C$1369,0)))</f>
        <v/>
      </c>
      <c r="C898" s="8">
        <f>IF(ISNA(MATCH(889,'Transfer Engine'!$C$2:$C$1369,0)),"",INDEX('Compliance Database'!$C$2:$C$1369,MATCH(889,'Transfer Engine'!$C$2:$C$1369,0)))</f>
        <v/>
      </c>
      <c r="D898" s="9">
        <f>IF(ISNA(MATCH(889,'Transfer Engine'!$C$2:$C$1369,0)),"",INDEX('Compliance Database'!$D$2:$D$1369,MATCH(889,'Transfer Engine'!$C$2:$C$1369,0)))</f>
        <v/>
      </c>
      <c r="E898" s="8">
        <f>IF(ISNA(MATCH(889,'Transfer Engine'!$C$2:$C$1369,0)),"",INDEX('Compliance Database'!$E$2:$E$1369,MATCH(889,'Transfer Engine'!$C$2:$C$1369,0)))</f>
        <v/>
      </c>
      <c r="F898" s="8">
        <f>IF(ISNA(MATCH(889,'Transfer Engine'!$C$2:$C$1369,0)),"",INDEX('Compliance Database'!$F$2:$F$1369,MATCH(889,'Transfer Engine'!$C$2:$C$1369,0)))</f>
        <v/>
      </c>
      <c r="G898" s="8">
        <f>IF(ISNA(MATCH(889,'Transfer Engine'!$C$2:$C$1369,0)),"",INDEX('Compliance Database'!$G$2:$G$1369,MATCH(889,'Transfer Engine'!$C$2:$C$1369,0)))</f>
        <v/>
      </c>
      <c r="H898" s="9">
        <f>IF(ISNA(MATCH(889,'Transfer Engine'!$C$2:$C$1369,0)),"",INDEX('Compliance Database'!$H$2:$H$1369,MATCH(889,'Transfer Engine'!$C$2:$C$1369,0)))</f>
        <v/>
      </c>
      <c r="I898" s="9">
        <f>IF(ISNA(MATCH(889,'Transfer Engine'!$C$2:$C$1369,0)),"",INDEX('Compliance Database'!$I$2:$I$1369,MATCH(889,'Transfer Engine'!$C$2:$C$1369,0)))</f>
        <v/>
      </c>
      <c r="J898" s="8">
        <f>IF(ISNA(MATCH(889,'Transfer Engine'!$C$2:$C$1369,0)),"",INDEX('Compliance Database'!$J$2:$J$1369,MATCH(889,'Transfer Engine'!$C$2:$C$1369,0)))</f>
        <v/>
      </c>
      <c r="K898" s="9">
        <f>IF(ISNA(MATCH(889,'Transfer Engine'!$C$2:$C$1369,0)),"",INDEX('Compliance Database'!$K$2:$K$1369,MATCH(889,'Transfer Engine'!$C$2:$C$1369,0)))</f>
        <v/>
      </c>
      <c r="L898" s="9">
        <f>IF(ISNA(MATCH(889,'Transfer Engine'!$C$2:$C$1369,0)),"",INDEX('Compliance Database'!$L$2:$L$1369,MATCH(889,'Transfer Engine'!$C$2:$C$1369,0)))</f>
        <v/>
      </c>
      <c r="M898" s="9">
        <f>IF(ISNA(MATCH(889,'Transfer Engine'!$C$2:$C$1369,0)),"",INDEX('Compliance Database'!$M$2:$M$1369,MATCH(889,'Transfer Engine'!$C$2:$C$1369,0)))</f>
        <v/>
      </c>
      <c r="N898" s="9">
        <f>IF(ISNA(MATCH(889,'Transfer Engine'!$C$2:$C$1369,0)),"",INDEX('Compliance Database'!$N$2:$N$1369,MATCH(889,'Transfer Engine'!$C$2:$C$1369,0)))</f>
        <v/>
      </c>
      <c r="O898" s="8">
        <f>IF(ISNA(MATCH(889,'Transfer Engine'!$C$2:$C$1369,0)),"",HYPERLINK(INDEX('Compliance Database'!$O$2:$O$1369,MATCH(889,'Transfer Engine'!$C$2:$C$1369,0)),"Open PDF"))</f>
        <v/>
      </c>
    </row>
    <row r="899" ht="188" customHeight="1">
      <c r="A899" s="8">
        <f>IF(ISNA(MATCH(890,'Transfer Engine'!$C$2:$C$1369,0)),"",INDEX('Compliance Database'!$A$2:$A$1369,MATCH(890,'Transfer Engine'!$C$2:$C$1369,0)))</f>
        <v/>
      </c>
      <c r="B899" s="8">
        <f>IF(ISNA(MATCH(890,'Transfer Engine'!$C$2:$C$1369,0)),"",INDEX('Compliance Database'!$B$2:$B$1369,MATCH(890,'Transfer Engine'!$C$2:$C$1369,0)))</f>
        <v/>
      </c>
      <c r="C899" s="8">
        <f>IF(ISNA(MATCH(890,'Transfer Engine'!$C$2:$C$1369,0)),"",INDEX('Compliance Database'!$C$2:$C$1369,MATCH(890,'Transfer Engine'!$C$2:$C$1369,0)))</f>
        <v/>
      </c>
      <c r="D899" s="9">
        <f>IF(ISNA(MATCH(890,'Transfer Engine'!$C$2:$C$1369,0)),"",INDEX('Compliance Database'!$D$2:$D$1369,MATCH(890,'Transfer Engine'!$C$2:$C$1369,0)))</f>
        <v/>
      </c>
      <c r="E899" s="8">
        <f>IF(ISNA(MATCH(890,'Transfer Engine'!$C$2:$C$1369,0)),"",INDEX('Compliance Database'!$E$2:$E$1369,MATCH(890,'Transfer Engine'!$C$2:$C$1369,0)))</f>
        <v/>
      </c>
      <c r="F899" s="8">
        <f>IF(ISNA(MATCH(890,'Transfer Engine'!$C$2:$C$1369,0)),"",INDEX('Compliance Database'!$F$2:$F$1369,MATCH(890,'Transfer Engine'!$C$2:$C$1369,0)))</f>
        <v/>
      </c>
      <c r="G899" s="8">
        <f>IF(ISNA(MATCH(890,'Transfer Engine'!$C$2:$C$1369,0)),"",INDEX('Compliance Database'!$G$2:$G$1369,MATCH(890,'Transfer Engine'!$C$2:$C$1369,0)))</f>
        <v/>
      </c>
      <c r="H899" s="9">
        <f>IF(ISNA(MATCH(890,'Transfer Engine'!$C$2:$C$1369,0)),"",INDEX('Compliance Database'!$H$2:$H$1369,MATCH(890,'Transfer Engine'!$C$2:$C$1369,0)))</f>
        <v/>
      </c>
      <c r="I899" s="9">
        <f>IF(ISNA(MATCH(890,'Transfer Engine'!$C$2:$C$1369,0)),"",INDEX('Compliance Database'!$I$2:$I$1369,MATCH(890,'Transfer Engine'!$C$2:$C$1369,0)))</f>
        <v/>
      </c>
      <c r="J899" s="8">
        <f>IF(ISNA(MATCH(890,'Transfer Engine'!$C$2:$C$1369,0)),"",INDEX('Compliance Database'!$J$2:$J$1369,MATCH(890,'Transfer Engine'!$C$2:$C$1369,0)))</f>
        <v/>
      </c>
      <c r="K899" s="9">
        <f>IF(ISNA(MATCH(890,'Transfer Engine'!$C$2:$C$1369,0)),"",INDEX('Compliance Database'!$K$2:$K$1369,MATCH(890,'Transfer Engine'!$C$2:$C$1369,0)))</f>
        <v/>
      </c>
      <c r="L899" s="9">
        <f>IF(ISNA(MATCH(890,'Transfer Engine'!$C$2:$C$1369,0)),"",INDEX('Compliance Database'!$L$2:$L$1369,MATCH(890,'Transfer Engine'!$C$2:$C$1369,0)))</f>
        <v/>
      </c>
      <c r="M899" s="9">
        <f>IF(ISNA(MATCH(890,'Transfer Engine'!$C$2:$C$1369,0)),"",INDEX('Compliance Database'!$M$2:$M$1369,MATCH(890,'Transfer Engine'!$C$2:$C$1369,0)))</f>
        <v/>
      </c>
      <c r="N899" s="9">
        <f>IF(ISNA(MATCH(890,'Transfer Engine'!$C$2:$C$1369,0)),"",INDEX('Compliance Database'!$N$2:$N$1369,MATCH(890,'Transfer Engine'!$C$2:$C$1369,0)))</f>
        <v/>
      </c>
      <c r="O899" s="8">
        <f>IF(ISNA(MATCH(890,'Transfer Engine'!$C$2:$C$1369,0)),"",HYPERLINK(INDEX('Compliance Database'!$O$2:$O$1369,MATCH(890,'Transfer Engine'!$C$2:$C$1369,0)),"Open PDF"))</f>
        <v/>
      </c>
    </row>
    <row r="900" ht="188" customHeight="1">
      <c r="A900" s="8">
        <f>IF(ISNA(MATCH(891,'Transfer Engine'!$C$2:$C$1369,0)),"",INDEX('Compliance Database'!$A$2:$A$1369,MATCH(891,'Transfer Engine'!$C$2:$C$1369,0)))</f>
        <v/>
      </c>
      <c r="B900" s="8">
        <f>IF(ISNA(MATCH(891,'Transfer Engine'!$C$2:$C$1369,0)),"",INDEX('Compliance Database'!$B$2:$B$1369,MATCH(891,'Transfer Engine'!$C$2:$C$1369,0)))</f>
        <v/>
      </c>
      <c r="C900" s="8">
        <f>IF(ISNA(MATCH(891,'Transfer Engine'!$C$2:$C$1369,0)),"",INDEX('Compliance Database'!$C$2:$C$1369,MATCH(891,'Transfer Engine'!$C$2:$C$1369,0)))</f>
        <v/>
      </c>
      <c r="D900" s="9">
        <f>IF(ISNA(MATCH(891,'Transfer Engine'!$C$2:$C$1369,0)),"",INDEX('Compliance Database'!$D$2:$D$1369,MATCH(891,'Transfer Engine'!$C$2:$C$1369,0)))</f>
        <v/>
      </c>
      <c r="E900" s="8">
        <f>IF(ISNA(MATCH(891,'Transfer Engine'!$C$2:$C$1369,0)),"",INDEX('Compliance Database'!$E$2:$E$1369,MATCH(891,'Transfer Engine'!$C$2:$C$1369,0)))</f>
        <v/>
      </c>
      <c r="F900" s="8">
        <f>IF(ISNA(MATCH(891,'Transfer Engine'!$C$2:$C$1369,0)),"",INDEX('Compliance Database'!$F$2:$F$1369,MATCH(891,'Transfer Engine'!$C$2:$C$1369,0)))</f>
        <v/>
      </c>
      <c r="G900" s="8">
        <f>IF(ISNA(MATCH(891,'Transfer Engine'!$C$2:$C$1369,0)),"",INDEX('Compliance Database'!$G$2:$G$1369,MATCH(891,'Transfer Engine'!$C$2:$C$1369,0)))</f>
        <v/>
      </c>
      <c r="H900" s="9">
        <f>IF(ISNA(MATCH(891,'Transfer Engine'!$C$2:$C$1369,0)),"",INDEX('Compliance Database'!$H$2:$H$1369,MATCH(891,'Transfer Engine'!$C$2:$C$1369,0)))</f>
        <v/>
      </c>
      <c r="I900" s="9">
        <f>IF(ISNA(MATCH(891,'Transfer Engine'!$C$2:$C$1369,0)),"",INDEX('Compliance Database'!$I$2:$I$1369,MATCH(891,'Transfer Engine'!$C$2:$C$1369,0)))</f>
        <v/>
      </c>
      <c r="J900" s="8">
        <f>IF(ISNA(MATCH(891,'Transfer Engine'!$C$2:$C$1369,0)),"",INDEX('Compliance Database'!$J$2:$J$1369,MATCH(891,'Transfer Engine'!$C$2:$C$1369,0)))</f>
        <v/>
      </c>
      <c r="K900" s="9">
        <f>IF(ISNA(MATCH(891,'Transfer Engine'!$C$2:$C$1369,0)),"",INDEX('Compliance Database'!$K$2:$K$1369,MATCH(891,'Transfer Engine'!$C$2:$C$1369,0)))</f>
        <v/>
      </c>
      <c r="L900" s="9">
        <f>IF(ISNA(MATCH(891,'Transfer Engine'!$C$2:$C$1369,0)),"",INDEX('Compliance Database'!$L$2:$L$1369,MATCH(891,'Transfer Engine'!$C$2:$C$1369,0)))</f>
        <v/>
      </c>
      <c r="M900" s="9">
        <f>IF(ISNA(MATCH(891,'Transfer Engine'!$C$2:$C$1369,0)),"",INDEX('Compliance Database'!$M$2:$M$1369,MATCH(891,'Transfer Engine'!$C$2:$C$1369,0)))</f>
        <v/>
      </c>
      <c r="N900" s="9">
        <f>IF(ISNA(MATCH(891,'Transfer Engine'!$C$2:$C$1369,0)),"",INDEX('Compliance Database'!$N$2:$N$1369,MATCH(891,'Transfer Engine'!$C$2:$C$1369,0)))</f>
        <v/>
      </c>
      <c r="O900" s="8">
        <f>IF(ISNA(MATCH(891,'Transfer Engine'!$C$2:$C$1369,0)),"",HYPERLINK(INDEX('Compliance Database'!$O$2:$O$1369,MATCH(891,'Transfer Engine'!$C$2:$C$1369,0)),"Open PDF"))</f>
        <v/>
      </c>
    </row>
    <row r="901" ht="188" customHeight="1">
      <c r="A901" s="8">
        <f>IF(ISNA(MATCH(892,'Transfer Engine'!$C$2:$C$1369,0)),"",INDEX('Compliance Database'!$A$2:$A$1369,MATCH(892,'Transfer Engine'!$C$2:$C$1369,0)))</f>
        <v/>
      </c>
      <c r="B901" s="8">
        <f>IF(ISNA(MATCH(892,'Transfer Engine'!$C$2:$C$1369,0)),"",INDEX('Compliance Database'!$B$2:$B$1369,MATCH(892,'Transfer Engine'!$C$2:$C$1369,0)))</f>
        <v/>
      </c>
      <c r="C901" s="8">
        <f>IF(ISNA(MATCH(892,'Transfer Engine'!$C$2:$C$1369,0)),"",INDEX('Compliance Database'!$C$2:$C$1369,MATCH(892,'Transfer Engine'!$C$2:$C$1369,0)))</f>
        <v/>
      </c>
      <c r="D901" s="9">
        <f>IF(ISNA(MATCH(892,'Transfer Engine'!$C$2:$C$1369,0)),"",INDEX('Compliance Database'!$D$2:$D$1369,MATCH(892,'Transfer Engine'!$C$2:$C$1369,0)))</f>
        <v/>
      </c>
      <c r="E901" s="8">
        <f>IF(ISNA(MATCH(892,'Transfer Engine'!$C$2:$C$1369,0)),"",INDEX('Compliance Database'!$E$2:$E$1369,MATCH(892,'Transfer Engine'!$C$2:$C$1369,0)))</f>
        <v/>
      </c>
      <c r="F901" s="8">
        <f>IF(ISNA(MATCH(892,'Transfer Engine'!$C$2:$C$1369,0)),"",INDEX('Compliance Database'!$F$2:$F$1369,MATCH(892,'Transfer Engine'!$C$2:$C$1369,0)))</f>
        <v/>
      </c>
      <c r="G901" s="8">
        <f>IF(ISNA(MATCH(892,'Transfer Engine'!$C$2:$C$1369,0)),"",INDEX('Compliance Database'!$G$2:$G$1369,MATCH(892,'Transfer Engine'!$C$2:$C$1369,0)))</f>
        <v/>
      </c>
      <c r="H901" s="9">
        <f>IF(ISNA(MATCH(892,'Transfer Engine'!$C$2:$C$1369,0)),"",INDEX('Compliance Database'!$H$2:$H$1369,MATCH(892,'Transfer Engine'!$C$2:$C$1369,0)))</f>
        <v/>
      </c>
      <c r="I901" s="9">
        <f>IF(ISNA(MATCH(892,'Transfer Engine'!$C$2:$C$1369,0)),"",INDEX('Compliance Database'!$I$2:$I$1369,MATCH(892,'Transfer Engine'!$C$2:$C$1369,0)))</f>
        <v/>
      </c>
      <c r="J901" s="8">
        <f>IF(ISNA(MATCH(892,'Transfer Engine'!$C$2:$C$1369,0)),"",INDEX('Compliance Database'!$J$2:$J$1369,MATCH(892,'Transfer Engine'!$C$2:$C$1369,0)))</f>
        <v/>
      </c>
      <c r="K901" s="9">
        <f>IF(ISNA(MATCH(892,'Transfer Engine'!$C$2:$C$1369,0)),"",INDEX('Compliance Database'!$K$2:$K$1369,MATCH(892,'Transfer Engine'!$C$2:$C$1369,0)))</f>
        <v/>
      </c>
      <c r="L901" s="9">
        <f>IF(ISNA(MATCH(892,'Transfer Engine'!$C$2:$C$1369,0)),"",INDEX('Compliance Database'!$L$2:$L$1369,MATCH(892,'Transfer Engine'!$C$2:$C$1369,0)))</f>
        <v/>
      </c>
      <c r="M901" s="9">
        <f>IF(ISNA(MATCH(892,'Transfer Engine'!$C$2:$C$1369,0)),"",INDEX('Compliance Database'!$M$2:$M$1369,MATCH(892,'Transfer Engine'!$C$2:$C$1369,0)))</f>
        <v/>
      </c>
      <c r="N901" s="9">
        <f>IF(ISNA(MATCH(892,'Transfer Engine'!$C$2:$C$1369,0)),"",INDEX('Compliance Database'!$N$2:$N$1369,MATCH(892,'Transfer Engine'!$C$2:$C$1369,0)))</f>
        <v/>
      </c>
      <c r="O901" s="8">
        <f>IF(ISNA(MATCH(892,'Transfer Engine'!$C$2:$C$1369,0)),"",HYPERLINK(INDEX('Compliance Database'!$O$2:$O$1369,MATCH(892,'Transfer Engine'!$C$2:$C$1369,0)),"Open PDF"))</f>
        <v/>
      </c>
    </row>
    <row r="902" ht="188" customHeight="1">
      <c r="A902" s="8">
        <f>IF(ISNA(MATCH(893,'Transfer Engine'!$C$2:$C$1369,0)),"",INDEX('Compliance Database'!$A$2:$A$1369,MATCH(893,'Transfer Engine'!$C$2:$C$1369,0)))</f>
        <v/>
      </c>
      <c r="B902" s="8">
        <f>IF(ISNA(MATCH(893,'Transfer Engine'!$C$2:$C$1369,0)),"",INDEX('Compliance Database'!$B$2:$B$1369,MATCH(893,'Transfer Engine'!$C$2:$C$1369,0)))</f>
        <v/>
      </c>
      <c r="C902" s="8">
        <f>IF(ISNA(MATCH(893,'Transfer Engine'!$C$2:$C$1369,0)),"",INDEX('Compliance Database'!$C$2:$C$1369,MATCH(893,'Transfer Engine'!$C$2:$C$1369,0)))</f>
        <v/>
      </c>
      <c r="D902" s="9">
        <f>IF(ISNA(MATCH(893,'Transfer Engine'!$C$2:$C$1369,0)),"",INDEX('Compliance Database'!$D$2:$D$1369,MATCH(893,'Transfer Engine'!$C$2:$C$1369,0)))</f>
        <v/>
      </c>
      <c r="E902" s="8">
        <f>IF(ISNA(MATCH(893,'Transfer Engine'!$C$2:$C$1369,0)),"",INDEX('Compliance Database'!$E$2:$E$1369,MATCH(893,'Transfer Engine'!$C$2:$C$1369,0)))</f>
        <v/>
      </c>
      <c r="F902" s="8">
        <f>IF(ISNA(MATCH(893,'Transfer Engine'!$C$2:$C$1369,0)),"",INDEX('Compliance Database'!$F$2:$F$1369,MATCH(893,'Transfer Engine'!$C$2:$C$1369,0)))</f>
        <v/>
      </c>
      <c r="G902" s="8">
        <f>IF(ISNA(MATCH(893,'Transfer Engine'!$C$2:$C$1369,0)),"",INDEX('Compliance Database'!$G$2:$G$1369,MATCH(893,'Transfer Engine'!$C$2:$C$1369,0)))</f>
        <v/>
      </c>
      <c r="H902" s="9">
        <f>IF(ISNA(MATCH(893,'Transfer Engine'!$C$2:$C$1369,0)),"",INDEX('Compliance Database'!$H$2:$H$1369,MATCH(893,'Transfer Engine'!$C$2:$C$1369,0)))</f>
        <v/>
      </c>
      <c r="I902" s="9">
        <f>IF(ISNA(MATCH(893,'Transfer Engine'!$C$2:$C$1369,0)),"",INDEX('Compliance Database'!$I$2:$I$1369,MATCH(893,'Transfer Engine'!$C$2:$C$1369,0)))</f>
        <v/>
      </c>
      <c r="J902" s="8">
        <f>IF(ISNA(MATCH(893,'Transfer Engine'!$C$2:$C$1369,0)),"",INDEX('Compliance Database'!$J$2:$J$1369,MATCH(893,'Transfer Engine'!$C$2:$C$1369,0)))</f>
        <v/>
      </c>
      <c r="K902" s="9">
        <f>IF(ISNA(MATCH(893,'Transfer Engine'!$C$2:$C$1369,0)),"",INDEX('Compliance Database'!$K$2:$K$1369,MATCH(893,'Transfer Engine'!$C$2:$C$1369,0)))</f>
        <v/>
      </c>
      <c r="L902" s="9">
        <f>IF(ISNA(MATCH(893,'Transfer Engine'!$C$2:$C$1369,0)),"",INDEX('Compliance Database'!$L$2:$L$1369,MATCH(893,'Transfer Engine'!$C$2:$C$1369,0)))</f>
        <v/>
      </c>
      <c r="M902" s="9">
        <f>IF(ISNA(MATCH(893,'Transfer Engine'!$C$2:$C$1369,0)),"",INDEX('Compliance Database'!$M$2:$M$1369,MATCH(893,'Transfer Engine'!$C$2:$C$1369,0)))</f>
        <v/>
      </c>
      <c r="N902" s="9">
        <f>IF(ISNA(MATCH(893,'Transfer Engine'!$C$2:$C$1369,0)),"",INDEX('Compliance Database'!$N$2:$N$1369,MATCH(893,'Transfer Engine'!$C$2:$C$1369,0)))</f>
        <v/>
      </c>
      <c r="O902" s="8">
        <f>IF(ISNA(MATCH(893,'Transfer Engine'!$C$2:$C$1369,0)),"",HYPERLINK(INDEX('Compliance Database'!$O$2:$O$1369,MATCH(893,'Transfer Engine'!$C$2:$C$1369,0)),"Open PDF"))</f>
        <v/>
      </c>
    </row>
    <row r="903" ht="188" customHeight="1">
      <c r="A903" s="8">
        <f>IF(ISNA(MATCH(894,'Transfer Engine'!$C$2:$C$1369,0)),"",INDEX('Compliance Database'!$A$2:$A$1369,MATCH(894,'Transfer Engine'!$C$2:$C$1369,0)))</f>
        <v/>
      </c>
      <c r="B903" s="8">
        <f>IF(ISNA(MATCH(894,'Transfer Engine'!$C$2:$C$1369,0)),"",INDEX('Compliance Database'!$B$2:$B$1369,MATCH(894,'Transfer Engine'!$C$2:$C$1369,0)))</f>
        <v/>
      </c>
      <c r="C903" s="8">
        <f>IF(ISNA(MATCH(894,'Transfer Engine'!$C$2:$C$1369,0)),"",INDEX('Compliance Database'!$C$2:$C$1369,MATCH(894,'Transfer Engine'!$C$2:$C$1369,0)))</f>
        <v/>
      </c>
      <c r="D903" s="9">
        <f>IF(ISNA(MATCH(894,'Transfer Engine'!$C$2:$C$1369,0)),"",INDEX('Compliance Database'!$D$2:$D$1369,MATCH(894,'Transfer Engine'!$C$2:$C$1369,0)))</f>
        <v/>
      </c>
      <c r="E903" s="8">
        <f>IF(ISNA(MATCH(894,'Transfer Engine'!$C$2:$C$1369,0)),"",INDEX('Compliance Database'!$E$2:$E$1369,MATCH(894,'Transfer Engine'!$C$2:$C$1369,0)))</f>
        <v/>
      </c>
      <c r="F903" s="8">
        <f>IF(ISNA(MATCH(894,'Transfer Engine'!$C$2:$C$1369,0)),"",INDEX('Compliance Database'!$F$2:$F$1369,MATCH(894,'Transfer Engine'!$C$2:$C$1369,0)))</f>
        <v/>
      </c>
      <c r="G903" s="8">
        <f>IF(ISNA(MATCH(894,'Transfer Engine'!$C$2:$C$1369,0)),"",INDEX('Compliance Database'!$G$2:$G$1369,MATCH(894,'Transfer Engine'!$C$2:$C$1369,0)))</f>
        <v/>
      </c>
      <c r="H903" s="9">
        <f>IF(ISNA(MATCH(894,'Transfer Engine'!$C$2:$C$1369,0)),"",INDEX('Compliance Database'!$H$2:$H$1369,MATCH(894,'Transfer Engine'!$C$2:$C$1369,0)))</f>
        <v/>
      </c>
      <c r="I903" s="9">
        <f>IF(ISNA(MATCH(894,'Transfer Engine'!$C$2:$C$1369,0)),"",INDEX('Compliance Database'!$I$2:$I$1369,MATCH(894,'Transfer Engine'!$C$2:$C$1369,0)))</f>
        <v/>
      </c>
      <c r="J903" s="8">
        <f>IF(ISNA(MATCH(894,'Transfer Engine'!$C$2:$C$1369,0)),"",INDEX('Compliance Database'!$J$2:$J$1369,MATCH(894,'Transfer Engine'!$C$2:$C$1369,0)))</f>
        <v/>
      </c>
      <c r="K903" s="9">
        <f>IF(ISNA(MATCH(894,'Transfer Engine'!$C$2:$C$1369,0)),"",INDEX('Compliance Database'!$K$2:$K$1369,MATCH(894,'Transfer Engine'!$C$2:$C$1369,0)))</f>
        <v/>
      </c>
      <c r="L903" s="9">
        <f>IF(ISNA(MATCH(894,'Transfer Engine'!$C$2:$C$1369,0)),"",INDEX('Compliance Database'!$L$2:$L$1369,MATCH(894,'Transfer Engine'!$C$2:$C$1369,0)))</f>
        <v/>
      </c>
      <c r="M903" s="9">
        <f>IF(ISNA(MATCH(894,'Transfer Engine'!$C$2:$C$1369,0)),"",INDEX('Compliance Database'!$M$2:$M$1369,MATCH(894,'Transfer Engine'!$C$2:$C$1369,0)))</f>
        <v/>
      </c>
      <c r="N903" s="9">
        <f>IF(ISNA(MATCH(894,'Transfer Engine'!$C$2:$C$1369,0)),"",INDEX('Compliance Database'!$N$2:$N$1369,MATCH(894,'Transfer Engine'!$C$2:$C$1369,0)))</f>
        <v/>
      </c>
      <c r="O903" s="8">
        <f>IF(ISNA(MATCH(894,'Transfer Engine'!$C$2:$C$1369,0)),"",HYPERLINK(INDEX('Compliance Database'!$O$2:$O$1369,MATCH(894,'Transfer Engine'!$C$2:$C$1369,0)),"Open PDF"))</f>
        <v/>
      </c>
    </row>
    <row r="904" ht="188" customHeight="1">
      <c r="A904" s="8">
        <f>IF(ISNA(MATCH(895,'Transfer Engine'!$C$2:$C$1369,0)),"",INDEX('Compliance Database'!$A$2:$A$1369,MATCH(895,'Transfer Engine'!$C$2:$C$1369,0)))</f>
        <v/>
      </c>
      <c r="B904" s="8">
        <f>IF(ISNA(MATCH(895,'Transfer Engine'!$C$2:$C$1369,0)),"",INDEX('Compliance Database'!$B$2:$B$1369,MATCH(895,'Transfer Engine'!$C$2:$C$1369,0)))</f>
        <v/>
      </c>
      <c r="C904" s="8">
        <f>IF(ISNA(MATCH(895,'Transfer Engine'!$C$2:$C$1369,0)),"",INDEX('Compliance Database'!$C$2:$C$1369,MATCH(895,'Transfer Engine'!$C$2:$C$1369,0)))</f>
        <v/>
      </c>
      <c r="D904" s="9">
        <f>IF(ISNA(MATCH(895,'Transfer Engine'!$C$2:$C$1369,0)),"",INDEX('Compliance Database'!$D$2:$D$1369,MATCH(895,'Transfer Engine'!$C$2:$C$1369,0)))</f>
        <v/>
      </c>
      <c r="E904" s="8">
        <f>IF(ISNA(MATCH(895,'Transfer Engine'!$C$2:$C$1369,0)),"",INDEX('Compliance Database'!$E$2:$E$1369,MATCH(895,'Transfer Engine'!$C$2:$C$1369,0)))</f>
        <v/>
      </c>
      <c r="F904" s="8">
        <f>IF(ISNA(MATCH(895,'Transfer Engine'!$C$2:$C$1369,0)),"",INDEX('Compliance Database'!$F$2:$F$1369,MATCH(895,'Transfer Engine'!$C$2:$C$1369,0)))</f>
        <v/>
      </c>
      <c r="G904" s="8">
        <f>IF(ISNA(MATCH(895,'Transfer Engine'!$C$2:$C$1369,0)),"",INDEX('Compliance Database'!$G$2:$G$1369,MATCH(895,'Transfer Engine'!$C$2:$C$1369,0)))</f>
        <v/>
      </c>
      <c r="H904" s="9">
        <f>IF(ISNA(MATCH(895,'Transfer Engine'!$C$2:$C$1369,0)),"",INDEX('Compliance Database'!$H$2:$H$1369,MATCH(895,'Transfer Engine'!$C$2:$C$1369,0)))</f>
        <v/>
      </c>
      <c r="I904" s="9">
        <f>IF(ISNA(MATCH(895,'Transfer Engine'!$C$2:$C$1369,0)),"",INDEX('Compliance Database'!$I$2:$I$1369,MATCH(895,'Transfer Engine'!$C$2:$C$1369,0)))</f>
        <v/>
      </c>
      <c r="J904" s="8">
        <f>IF(ISNA(MATCH(895,'Transfer Engine'!$C$2:$C$1369,0)),"",INDEX('Compliance Database'!$J$2:$J$1369,MATCH(895,'Transfer Engine'!$C$2:$C$1369,0)))</f>
        <v/>
      </c>
      <c r="K904" s="9">
        <f>IF(ISNA(MATCH(895,'Transfer Engine'!$C$2:$C$1369,0)),"",INDEX('Compliance Database'!$K$2:$K$1369,MATCH(895,'Transfer Engine'!$C$2:$C$1369,0)))</f>
        <v/>
      </c>
      <c r="L904" s="9">
        <f>IF(ISNA(MATCH(895,'Transfer Engine'!$C$2:$C$1369,0)),"",INDEX('Compliance Database'!$L$2:$L$1369,MATCH(895,'Transfer Engine'!$C$2:$C$1369,0)))</f>
        <v/>
      </c>
      <c r="M904" s="9">
        <f>IF(ISNA(MATCH(895,'Transfer Engine'!$C$2:$C$1369,0)),"",INDEX('Compliance Database'!$M$2:$M$1369,MATCH(895,'Transfer Engine'!$C$2:$C$1369,0)))</f>
        <v/>
      </c>
      <c r="N904" s="9">
        <f>IF(ISNA(MATCH(895,'Transfer Engine'!$C$2:$C$1369,0)),"",INDEX('Compliance Database'!$N$2:$N$1369,MATCH(895,'Transfer Engine'!$C$2:$C$1369,0)))</f>
        <v/>
      </c>
      <c r="O904" s="8">
        <f>IF(ISNA(MATCH(895,'Transfer Engine'!$C$2:$C$1369,0)),"",HYPERLINK(INDEX('Compliance Database'!$O$2:$O$1369,MATCH(895,'Transfer Engine'!$C$2:$C$1369,0)),"Open PDF"))</f>
        <v/>
      </c>
    </row>
    <row r="905" ht="188" customHeight="1">
      <c r="A905" s="8">
        <f>IF(ISNA(MATCH(896,'Transfer Engine'!$C$2:$C$1369,0)),"",INDEX('Compliance Database'!$A$2:$A$1369,MATCH(896,'Transfer Engine'!$C$2:$C$1369,0)))</f>
        <v/>
      </c>
      <c r="B905" s="8">
        <f>IF(ISNA(MATCH(896,'Transfer Engine'!$C$2:$C$1369,0)),"",INDEX('Compliance Database'!$B$2:$B$1369,MATCH(896,'Transfer Engine'!$C$2:$C$1369,0)))</f>
        <v/>
      </c>
      <c r="C905" s="8">
        <f>IF(ISNA(MATCH(896,'Transfer Engine'!$C$2:$C$1369,0)),"",INDEX('Compliance Database'!$C$2:$C$1369,MATCH(896,'Transfer Engine'!$C$2:$C$1369,0)))</f>
        <v/>
      </c>
      <c r="D905" s="9">
        <f>IF(ISNA(MATCH(896,'Transfer Engine'!$C$2:$C$1369,0)),"",INDEX('Compliance Database'!$D$2:$D$1369,MATCH(896,'Transfer Engine'!$C$2:$C$1369,0)))</f>
        <v/>
      </c>
      <c r="E905" s="8">
        <f>IF(ISNA(MATCH(896,'Transfer Engine'!$C$2:$C$1369,0)),"",INDEX('Compliance Database'!$E$2:$E$1369,MATCH(896,'Transfer Engine'!$C$2:$C$1369,0)))</f>
        <v/>
      </c>
      <c r="F905" s="8">
        <f>IF(ISNA(MATCH(896,'Transfer Engine'!$C$2:$C$1369,0)),"",INDEX('Compliance Database'!$F$2:$F$1369,MATCH(896,'Transfer Engine'!$C$2:$C$1369,0)))</f>
        <v/>
      </c>
      <c r="G905" s="8">
        <f>IF(ISNA(MATCH(896,'Transfer Engine'!$C$2:$C$1369,0)),"",INDEX('Compliance Database'!$G$2:$G$1369,MATCH(896,'Transfer Engine'!$C$2:$C$1369,0)))</f>
        <v/>
      </c>
      <c r="H905" s="9">
        <f>IF(ISNA(MATCH(896,'Transfer Engine'!$C$2:$C$1369,0)),"",INDEX('Compliance Database'!$H$2:$H$1369,MATCH(896,'Transfer Engine'!$C$2:$C$1369,0)))</f>
        <v/>
      </c>
      <c r="I905" s="9">
        <f>IF(ISNA(MATCH(896,'Transfer Engine'!$C$2:$C$1369,0)),"",INDEX('Compliance Database'!$I$2:$I$1369,MATCH(896,'Transfer Engine'!$C$2:$C$1369,0)))</f>
        <v/>
      </c>
      <c r="J905" s="8">
        <f>IF(ISNA(MATCH(896,'Transfer Engine'!$C$2:$C$1369,0)),"",INDEX('Compliance Database'!$J$2:$J$1369,MATCH(896,'Transfer Engine'!$C$2:$C$1369,0)))</f>
        <v/>
      </c>
      <c r="K905" s="9">
        <f>IF(ISNA(MATCH(896,'Transfer Engine'!$C$2:$C$1369,0)),"",INDEX('Compliance Database'!$K$2:$K$1369,MATCH(896,'Transfer Engine'!$C$2:$C$1369,0)))</f>
        <v/>
      </c>
      <c r="L905" s="9">
        <f>IF(ISNA(MATCH(896,'Transfer Engine'!$C$2:$C$1369,0)),"",INDEX('Compliance Database'!$L$2:$L$1369,MATCH(896,'Transfer Engine'!$C$2:$C$1369,0)))</f>
        <v/>
      </c>
      <c r="M905" s="9">
        <f>IF(ISNA(MATCH(896,'Transfer Engine'!$C$2:$C$1369,0)),"",INDEX('Compliance Database'!$M$2:$M$1369,MATCH(896,'Transfer Engine'!$C$2:$C$1369,0)))</f>
        <v/>
      </c>
      <c r="N905" s="9">
        <f>IF(ISNA(MATCH(896,'Transfer Engine'!$C$2:$C$1369,0)),"",INDEX('Compliance Database'!$N$2:$N$1369,MATCH(896,'Transfer Engine'!$C$2:$C$1369,0)))</f>
        <v/>
      </c>
      <c r="O905" s="8">
        <f>IF(ISNA(MATCH(896,'Transfer Engine'!$C$2:$C$1369,0)),"",HYPERLINK(INDEX('Compliance Database'!$O$2:$O$1369,MATCH(896,'Transfer Engine'!$C$2:$C$1369,0)),"Open PDF"))</f>
        <v/>
      </c>
    </row>
    <row r="906" ht="188" customHeight="1">
      <c r="A906" s="8">
        <f>IF(ISNA(MATCH(897,'Transfer Engine'!$C$2:$C$1369,0)),"",INDEX('Compliance Database'!$A$2:$A$1369,MATCH(897,'Transfer Engine'!$C$2:$C$1369,0)))</f>
        <v/>
      </c>
      <c r="B906" s="8">
        <f>IF(ISNA(MATCH(897,'Transfer Engine'!$C$2:$C$1369,0)),"",INDEX('Compliance Database'!$B$2:$B$1369,MATCH(897,'Transfer Engine'!$C$2:$C$1369,0)))</f>
        <v/>
      </c>
      <c r="C906" s="8">
        <f>IF(ISNA(MATCH(897,'Transfer Engine'!$C$2:$C$1369,0)),"",INDEX('Compliance Database'!$C$2:$C$1369,MATCH(897,'Transfer Engine'!$C$2:$C$1369,0)))</f>
        <v/>
      </c>
      <c r="D906" s="9">
        <f>IF(ISNA(MATCH(897,'Transfer Engine'!$C$2:$C$1369,0)),"",INDEX('Compliance Database'!$D$2:$D$1369,MATCH(897,'Transfer Engine'!$C$2:$C$1369,0)))</f>
        <v/>
      </c>
      <c r="E906" s="8">
        <f>IF(ISNA(MATCH(897,'Transfer Engine'!$C$2:$C$1369,0)),"",INDEX('Compliance Database'!$E$2:$E$1369,MATCH(897,'Transfer Engine'!$C$2:$C$1369,0)))</f>
        <v/>
      </c>
      <c r="F906" s="8">
        <f>IF(ISNA(MATCH(897,'Transfer Engine'!$C$2:$C$1369,0)),"",INDEX('Compliance Database'!$F$2:$F$1369,MATCH(897,'Transfer Engine'!$C$2:$C$1369,0)))</f>
        <v/>
      </c>
      <c r="G906" s="8">
        <f>IF(ISNA(MATCH(897,'Transfer Engine'!$C$2:$C$1369,0)),"",INDEX('Compliance Database'!$G$2:$G$1369,MATCH(897,'Transfer Engine'!$C$2:$C$1369,0)))</f>
        <v/>
      </c>
      <c r="H906" s="9">
        <f>IF(ISNA(MATCH(897,'Transfer Engine'!$C$2:$C$1369,0)),"",INDEX('Compliance Database'!$H$2:$H$1369,MATCH(897,'Transfer Engine'!$C$2:$C$1369,0)))</f>
        <v/>
      </c>
      <c r="I906" s="9">
        <f>IF(ISNA(MATCH(897,'Transfer Engine'!$C$2:$C$1369,0)),"",INDEX('Compliance Database'!$I$2:$I$1369,MATCH(897,'Transfer Engine'!$C$2:$C$1369,0)))</f>
        <v/>
      </c>
      <c r="J906" s="8">
        <f>IF(ISNA(MATCH(897,'Transfer Engine'!$C$2:$C$1369,0)),"",INDEX('Compliance Database'!$J$2:$J$1369,MATCH(897,'Transfer Engine'!$C$2:$C$1369,0)))</f>
        <v/>
      </c>
      <c r="K906" s="9">
        <f>IF(ISNA(MATCH(897,'Transfer Engine'!$C$2:$C$1369,0)),"",INDEX('Compliance Database'!$K$2:$K$1369,MATCH(897,'Transfer Engine'!$C$2:$C$1369,0)))</f>
        <v/>
      </c>
      <c r="L906" s="9">
        <f>IF(ISNA(MATCH(897,'Transfer Engine'!$C$2:$C$1369,0)),"",INDEX('Compliance Database'!$L$2:$L$1369,MATCH(897,'Transfer Engine'!$C$2:$C$1369,0)))</f>
        <v/>
      </c>
      <c r="M906" s="9">
        <f>IF(ISNA(MATCH(897,'Transfer Engine'!$C$2:$C$1369,0)),"",INDEX('Compliance Database'!$M$2:$M$1369,MATCH(897,'Transfer Engine'!$C$2:$C$1369,0)))</f>
        <v/>
      </c>
      <c r="N906" s="9">
        <f>IF(ISNA(MATCH(897,'Transfer Engine'!$C$2:$C$1369,0)),"",INDEX('Compliance Database'!$N$2:$N$1369,MATCH(897,'Transfer Engine'!$C$2:$C$1369,0)))</f>
        <v/>
      </c>
      <c r="O906" s="8">
        <f>IF(ISNA(MATCH(897,'Transfer Engine'!$C$2:$C$1369,0)),"",HYPERLINK(INDEX('Compliance Database'!$O$2:$O$1369,MATCH(897,'Transfer Engine'!$C$2:$C$1369,0)),"Open PDF"))</f>
        <v/>
      </c>
    </row>
    <row r="907" ht="188" customHeight="1">
      <c r="A907" s="8">
        <f>IF(ISNA(MATCH(898,'Transfer Engine'!$C$2:$C$1369,0)),"",INDEX('Compliance Database'!$A$2:$A$1369,MATCH(898,'Transfer Engine'!$C$2:$C$1369,0)))</f>
        <v/>
      </c>
      <c r="B907" s="8">
        <f>IF(ISNA(MATCH(898,'Transfer Engine'!$C$2:$C$1369,0)),"",INDEX('Compliance Database'!$B$2:$B$1369,MATCH(898,'Transfer Engine'!$C$2:$C$1369,0)))</f>
        <v/>
      </c>
      <c r="C907" s="8">
        <f>IF(ISNA(MATCH(898,'Transfer Engine'!$C$2:$C$1369,0)),"",INDEX('Compliance Database'!$C$2:$C$1369,MATCH(898,'Transfer Engine'!$C$2:$C$1369,0)))</f>
        <v/>
      </c>
      <c r="D907" s="9">
        <f>IF(ISNA(MATCH(898,'Transfer Engine'!$C$2:$C$1369,0)),"",INDEX('Compliance Database'!$D$2:$D$1369,MATCH(898,'Transfer Engine'!$C$2:$C$1369,0)))</f>
        <v/>
      </c>
      <c r="E907" s="8">
        <f>IF(ISNA(MATCH(898,'Transfer Engine'!$C$2:$C$1369,0)),"",INDEX('Compliance Database'!$E$2:$E$1369,MATCH(898,'Transfer Engine'!$C$2:$C$1369,0)))</f>
        <v/>
      </c>
      <c r="F907" s="8">
        <f>IF(ISNA(MATCH(898,'Transfer Engine'!$C$2:$C$1369,0)),"",INDEX('Compliance Database'!$F$2:$F$1369,MATCH(898,'Transfer Engine'!$C$2:$C$1369,0)))</f>
        <v/>
      </c>
      <c r="G907" s="8">
        <f>IF(ISNA(MATCH(898,'Transfer Engine'!$C$2:$C$1369,0)),"",INDEX('Compliance Database'!$G$2:$G$1369,MATCH(898,'Transfer Engine'!$C$2:$C$1369,0)))</f>
        <v/>
      </c>
      <c r="H907" s="9">
        <f>IF(ISNA(MATCH(898,'Transfer Engine'!$C$2:$C$1369,0)),"",INDEX('Compliance Database'!$H$2:$H$1369,MATCH(898,'Transfer Engine'!$C$2:$C$1369,0)))</f>
        <v/>
      </c>
      <c r="I907" s="9">
        <f>IF(ISNA(MATCH(898,'Transfer Engine'!$C$2:$C$1369,0)),"",INDEX('Compliance Database'!$I$2:$I$1369,MATCH(898,'Transfer Engine'!$C$2:$C$1369,0)))</f>
        <v/>
      </c>
      <c r="J907" s="8">
        <f>IF(ISNA(MATCH(898,'Transfer Engine'!$C$2:$C$1369,0)),"",INDEX('Compliance Database'!$J$2:$J$1369,MATCH(898,'Transfer Engine'!$C$2:$C$1369,0)))</f>
        <v/>
      </c>
      <c r="K907" s="9">
        <f>IF(ISNA(MATCH(898,'Transfer Engine'!$C$2:$C$1369,0)),"",INDEX('Compliance Database'!$K$2:$K$1369,MATCH(898,'Transfer Engine'!$C$2:$C$1369,0)))</f>
        <v/>
      </c>
      <c r="L907" s="9">
        <f>IF(ISNA(MATCH(898,'Transfer Engine'!$C$2:$C$1369,0)),"",INDEX('Compliance Database'!$L$2:$L$1369,MATCH(898,'Transfer Engine'!$C$2:$C$1369,0)))</f>
        <v/>
      </c>
      <c r="M907" s="9">
        <f>IF(ISNA(MATCH(898,'Transfer Engine'!$C$2:$C$1369,0)),"",INDEX('Compliance Database'!$M$2:$M$1369,MATCH(898,'Transfer Engine'!$C$2:$C$1369,0)))</f>
        <v/>
      </c>
      <c r="N907" s="9">
        <f>IF(ISNA(MATCH(898,'Transfer Engine'!$C$2:$C$1369,0)),"",INDEX('Compliance Database'!$N$2:$N$1369,MATCH(898,'Transfer Engine'!$C$2:$C$1369,0)))</f>
        <v/>
      </c>
      <c r="O907" s="8">
        <f>IF(ISNA(MATCH(898,'Transfer Engine'!$C$2:$C$1369,0)),"",HYPERLINK(INDEX('Compliance Database'!$O$2:$O$1369,MATCH(898,'Transfer Engine'!$C$2:$C$1369,0)),"Open PDF"))</f>
        <v/>
      </c>
    </row>
    <row r="908" ht="188" customHeight="1">
      <c r="A908" s="8">
        <f>IF(ISNA(MATCH(899,'Transfer Engine'!$C$2:$C$1369,0)),"",INDEX('Compliance Database'!$A$2:$A$1369,MATCH(899,'Transfer Engine'!$C$2:$C$1369,0)))</f>
        <v/>
      </c>
      <c r="B908" s="8">
        <f>IF(ISNA(MATCH(899,'Transfer Engine'!$C$2:$C$1369,0)),"",INDEX('Compliance Database'!$B$2:$B$1369,MATCH(899,'Transfer Engine'!$C$2:$C$1369,0)))</f>
        <v/>
      </c>
      <c r="C908" s="8">
        <f>IF(ISNA(MATCH(899,'Transfer Engine'!$C$2:$C$1369,0)),"",INDEX('Compliance Database'!$C$2:$C$1369,MATCH(899,'Transfer Engine'!$C$2:$C$1369,0)))</f>
        <v/>
      </c>
      <c r="D908" s="9">
        <f>IF(ISNA(MATCH(899,'Transfer Engine'!$C$2:$C$1369,0)),"",INDEX('Compliance Database'!$D$2:$D$1369,MATCH(899,'Transfer Engine'!$C$2:$C$1369,0)))</f>
        <v/>
      </c>
      <c r="E908" s="8">
        <f>IF(ISNA(MATCH(899,'Transfer Engine'!$C$2:$C$1369,0)),"",INDEX('Compliance Database'!$E$2:$E$1369,MATCH(899,'Transfer Engine'!$C$2:$C$1369,0)))</f>
        <v/>
      </c>
      <c r="F908" s="8">
        <f>IF(ISNA(MATCH(899,'Transfer Engine'!$C$2:$C$1369,0)),"",INDEX('Compliance Database'!$F$2:$F$1369,MATCH(899,'Transfer Engine'!$C$2:$C$1369,0)))</f>
        <v/>
      </c>
      <c r="G908" s="8">
        <f>IF(ISNA(MATCH(899,'Transfer Engine'!$C$2:$C$1369,0)),"",INDEX('Compliance Database'!$G$2:$G$1369,MATCH(899,'Transfer Engine'!$C$2:$C$1369,0)))</f>
        <v/>
      </c>
      <c r="H908" s="9">
        <f>IF(ISNA(MATCH(899,'Transfer Engine'!$C$2:$C$1369,0)),"",INDEX('Compliance Database'!$H$2:$H$1369,MATCH(899,'Transfer Engine'!$C$2:$C$1369,0)))</f>
        <v/>
      </c>
      <c r="I908" s="9">
        <f>IF(ISNA(MATCH(899,'Transfer Engine'!$C$2:$C$1369,0)),"",INDEX('Compliance Database'!$I$2:$I$1369,MATCH(899,'Transfer Engine'!$C$2:$C$1369,0)))</f>
        <v/>
      </c>
      <c r="J908" s="8">
        <f>IF(ISNA(MATCH(899,'Transfer Engine'!$C$2:$C$1369,0)),"",INDEX('Compliance Database'!$J$2:$J$1369,MATCH(899,'Transfer Engine'!$C$2:$C$1369,0)))</f>
        <v/>
      </c>
      <c r="K908" s="9">
        <f>IF(ISNA(MATCH(899,'Transfer Engine'!$C$2:$C$1369,0)),"",INDEX('Compliance Database'!$K$2:$K$1369,MATCH(899,'Transfer Engine'!$C$2:$C$1369,0)))</f>
        <v/>
      </c>
      <c r="L908" s="9">
        <f>IF(ISNA(MATCH(899,'Transfer Engine'!$C$2:$C$1369,0)),"",INDEX('Compliance Database'!$L$2:$L$1369,MATCH(899,'Transfer Engine'!$C$2:$C$1369,0)))</f>
        <v/>
      </c>
      <c r="M908" s="9">
        <f>IF(ISNA(MATCH(899,'Transfer Engine'!$C$2:$C$1369,0)),"",INDEX('Compliance Database'!$M$2:$M$1369,MATCH(899,'Transfer Engine'!$C$2:$C$1369,0)))</f>
        <v/>
      </c>
      <c r="N908" s="9">
        <f>IF(ISNA(MATCH(899,'Transfer Engine'!$C$2:$C$1369,0)),"",INDEX('Compliance Database'!$N$2:$N$1369,MATCH(899,'Transfer Engine'!$C$2:$C$1369,0)))</f>
        <v/>
      </c>
      <c r="O908" s="8">
        <f>IF(ISNA(MATCH(899,'Transfer Engine'!$C$2:$C$1369,0)),"",HYPERLINK(INDEX('Compliance Database'!$O$2:$O$1369,MATCH(899,'Transfer Engine'!$C$2:$C$1369,0)),"Open PDF"))</f>
        <v/>
      </c>
    </row>
    <row r="909" ht="188" customHeight="1">
      <c r="A909" s="8">
        <f>IF(ISNA(MATCH(900,'Transfer Engine'!$C$2:$C$1369,0)),"",INDEX('Compliance Database'!$A$2:$A$1369,MATCH(900,'Transfer Engine'!$C$2:$C$1369,0)))</f>
        <v/>
      </c>
      <c r="B909" s="8">
        <f>IF(ISNA(MATCH(900,'Transfer Engine'!$C$2:$C$1369,0)),"",INDEX('Compliance Database'!$B$2:$B$1369,MATCH(900,'Transfer Engine'!$C$2:$C$1369,0)))</f>
        <v/>
      </c>
      <c r="C909" s="8">
        <f>IF(ISNA(MATCH(900,'Transfer Engine'!$C$2:$C$1369,0)),"",INDEX('Compliance Database'!$C$2:$C$1369,MATCH(900,'Transfer Engine'!$C$2:$C$1369,0)))</f>
        <v/>
      </c>
      <c r="D909" s="9">
        <f>IF(ISNA(MATCH(900,'Transfer Engine'!$C$2:$C$1369,0)),"",INDEX('Compliance Database'!$D$2:$D$1369,MATCH(900,'Transfer Engine'!$C$2:$C$1369,0)))</f>
        <v/>
      </c>
      <c r="E909" s="8">
        <f>IF(ISNA(MATCH(900,'Transfer Engine'!$C$2:$C$1369,0)),"",INDEX('Compliance Database'!$E$2:$E$1369,MATCH(900,'Transfer Engine'!$C$2:$C$1369,0)))</f>
        <v/>
      </c>
      <c r="F909" s="8">
        <f>IF(ISNA(MATCH(900,'Transfer Engine'!$C$2:$C$1369,0)),"",INDEX('Compliance Database'!$F$2:$F$1369,MATCH(900,'Transfer Engine'!$C$2:$C$1369,0)))</f>
        <v/>
      </c>
      <c r="G909" s="8">
        <f>IF(ISNA(MATCH(900,'Transfer Engine'!$C$2:$C$1369,0)),"",INDEX('Compliance Database'!$G$2:$G$1369,MATCH(900,'Transfer Engine'!$C$2:$C$1369,0)))</f>
        <v/>
      </c>
      <c r="H909" s="9">
        <f>IF(ISNA(MATCH(900,'Transfer Engine'!$C$2:$C$1369,0)),"",INDEX('Compliance Database'!$H$2:$H$1369,MATCH(900,'Transfer Engine'!$C$2:$C$1369,0)))</f>
        <v/>
      </c>
      <c r="I909" s="9">
        <f>IF(ISNA(MATCH(900,'Transfer Engine'!$C$2:$C$1369,0)),"",INDEX('Compliance Database'!$I$2:$I$1369,MATCH(900,'Transfer Engine'!$C$2:$C$1369,0)))</f>
        <v/>
      </c>
      <c r="J909" s="8">
        <f>IF(ISNA(MATCH(900,'Transfer Engine'!$C$2:$C$1369,0)),"",INDEX('Compliance Database'!$J$2:$J$1369,MATCH(900,'Transfer Engine'!$C$2:$C$1369,0)))</f>
        <v/>
      </c>
      <c r="K909" s="9">
        <f>IF(ISNA(MATCH(900,'Transfer Engine'!$C$2:$C$1369,0)),"",INDEX('Compliance Database'!$K$2:$K$1369,MATCH(900,'Transfer Engine'!$C$2:$C$1369,0)))</f>
        <v/>
      </c>
      <c r="L909" s="9">
        <f>IF(ISNA(MATCH(900,'Transfer Engine'!$C$2:$C$1369,0)),"",INDEX('Compliance Database'!$L$2:$L$1369,MATCH(900,'Transfer Engine'!$C$2:$C$1369,0)))</f>
        <v/>
      </c>
      <c r="M909" s="9">
        <f>IF(ISNA(MATCH(900,'Transfer Engine'!$C$2:$C$1369,0)),"",INDEX('Compliance Database'!$M$2:$M$1369,MATCH(900,'Transfer Engine'!$C$2:$C$1369,0)))</f>
        <v/>
      </c>
      <c r="N909" s="9">
        <f>IF(ISNA(MATCH(900,'Transfer Engine'!$C$2:$C$1369,0)),"",INDEX('Compliance Database'!$N$2:$N$1369,MATCH(900,'Transfer Engine'!$C$2:$C$1369,0)))</f>
        <v/>
      </c>
      <c r="O909" s="8">
        <f>IF(ISNA(MATCH(900,'Transfer Engine'!$C$2:$C$1369,0)),"",HYPERLINK(INDEX('Compliance Database'!$O$2:$O$1369,MATCH(900,'Transfer Engine'!$C$2:$C$1369,0)),"Open PDF"))</f>
        <v/>
      </c>
    </row>
    <row r="910" ht="188" customHeight="1">
      <c r="A910" s="8">
        <f>IF(ISNA(MATCH(901,'Transfer Engine'!$C$2:$C$1369,0)),"",INDEX('Compliance Database'!$A$2:$A$1369,MATCH(901,'Transfer Engine'!$C$2:$C$1369,0)))</f>
        <v/>
      </c>
      <c r="B910" s="8">
        <f>IF(ISNA(MATCH(901,'Transfer Engine'!$C$2:$C$1369,0)),"",INDEX('Compliance Database'!$B$2:$B$1369,MATCH(901,'Transfer Engine'!$C$2:$C$1369,0)))</f>
        <v/>
      </c>
      <c r="C910" s="8">
        <f>IF(ISNA(MATCH(901,'Transfer Engine'!$C$2:$C$1369,0)),"",INDEX('Compliance Database'!$C$2:$C$1369,MATCH(901,'Transfer Engine'!$C$2:$C$1369,0)))</f>
        <v/>
      </c>
      <c r="D910" s="9">
        <f>IF(ISNA(MATCH(901,'Transfer Engine'!$C$2:$C$1369,0)),"",INDEX('Compliance Database'!$D$2:$D$1369,MATCH(901,'Transfer Engine'!$C$2:$C$1369,0)))</f>
        <v/>
      </c>
      <c r="E910" s="8">
        <f>IF(ISNA(MATCH(901,'Transfer Engine'!$C$2:$C$1369,0)),"",INDEX('Compliance Database'!$E$2:$E$1369,MATCH(901,'Transfer Engine'!$C$2:$C$1369,0)))</f>
        <v/>
      </c>
      <c r="F910" s="8">
        <f>IF(ISNA(MATCH(901,'Transfer Engine'!$C$2:$C$1369,0)),"",INDEX('Compliance Database'!$F$2:$F$1369,MATCH(901,'Transfer Engine'!$C$2:$C$1369,0)))</f>
        <v/>
      </c>
      <c r="G910" s="8">
        <f>IF(ISNA(MATCH(901,'Transfer Engine'!$C$2:$C$1369,0)),"",INDEX('Compliance Database'!$G$2:$G$1369,MATCH(901,'Transfer Engine'!$C$2:$C$1369,0)))</f>
        <v/>
      </c>
      <c r="H910" s="9">
        <f>IF(ISNA(MATCH(901,'Transfer Engine'!$C$2:$C$1369,0)),"",INDEX('Compliance Database'!$H$2:$H$1369,MATCH(901,'Transfer Engine'!$C$2:$C$1369,0)))</f>
        <v/>
      </c>
      <c r="I910" s="9">
        <f>IF(ISNA(MATCH(901,'Transfer Engine'!$C$2:$C$1369,0)),"",INDEX('Compliance Database'!$I$2:$I$1369,MATCH(901,'Transfer Engine'!$C$2:$C$1369,0)))</f>
        <v/>
      </c>
      <c r="J910" s="8">
        <f>IF(ISNA(MATCH(901,'Transfer Engine'!$C$2:$C$1369,0)),"",INDEX('Compliance Database'!$J$2:$J$1369,MATCH(901,'Transfer Engine'!$C$2:$C$1369,0)))</f>
        <v/>
      </c>
      <c r="K910" s="9">
        <f>IF(ISNA(MATCH(901,'Transfer Engine'!$C$2:$C$1369,0)),"",INDEX('Compliance Database'!$K$2:$K$1369,MATCH(901,'Transfer Engine'!$C$2:$C$1369,0)))</f>
        <v/>
      </c>
      <c r="L910" s="9">
        <f>IF(ISNA(MATCH(901,'Transfer Engine'!$C$2:$C$1369,0)),"",INDEX('Compliance Database'!$L$2:$L$1369,MATCH(901,'Transfer Engine'!$C$2:$C$1369,0)))</f>
        <v/>
      </c>
      <c r="M910" s="9">
        <f>IF(ISNA(MATCH(901,'Transfer Engine'!$C$2:$C$1369,0)),"",INDEX('Compliance Database'!$M$2:$M$1369,MATCH(901,'Transfer Engine'!$C$2:$C$1369,0)))</f>
        <v/>
      </c>
      <c r="N910" s="9">
        <f>IF(ISNA(MATCH(901,'Transfer Engine'!$C$2:$C$1369,0)),"",INDEX('Compliance Database'!$N$2:$N$1369,MATCH(901,'Transfer Engine'!$C$2:$C$1369,0)))</f>
        <v/>
      </c>
      <c r="O910" s="8">
        <f>IF(ISNA(MATCH(901,'Transfer Engine'!$C$2:$C$1369,0)),"",HYPERLINK(INDEX('Compliance Database'!$O$2:$O$1369,MATCH(901,'Transfer Engine'!$C$2:$C$1369,0)),"Open PDF"))</f>
        <v/>
      </c>
    </row>
    <row r="911" ht="188" customHeight="1">
      <c r="A911" s="8">
        <f>IF(ISNA(MATCH(902,'Transfer Engine'!$C$2:$C$1369,0)),"",INDEX('Compliance Database'!$A$2:$A$1369,MATCH(902,'Transfer Engine'!$C$2:$C$1369,0)))</f>
        <v/>
      </c>
      <c r="B911" s="8">
        <f>IF(ISNA(MATCH(902,'Transfer Engine'!$C$2:$C$1369,0)),"",INDEX('Compliance Database'!$B$2:$B$1369,MATCH(902,'Transfer Engine'!$C$2:$C$1369,0)))</f>
        <v/>
      </c>
      <c r="C911" s="8">
        <f>IF(ISNA(MATCH(902,'Transfer Engine'!$C$2:$C$1369,0)),"",INDEX('Compliance Database'!$C$2:$C$1369,MATCH(902,'Transfer Engine'!$C$2:$C$1369,0)))</f>
        <v/>
      </c>
      <c r="D911" s="9">
        <f>IF(ISNA(MATCH(902,'Transfer Engine'!$C$2:$C$1369,0)),"",INDEX('Compliance Database'!$D$2:$D$1369,MATCH(902,'Transfer Engine'!$C$2:$C$1369,0)))</f>
        <v/>
      </c>
      <c r="E911" s="8">
        <f>IF(ISNA(MATCH(902,'Transfer Engine'!$C$2:$C$1369,0)),"",INDEX('Compliance Database'!$E$2:$E$1369,MATCH(902,'Transfer Engine'!$C$2:$C$1369,0)))</f>
        <v/>
      </c>
      <c r="F911" s="8">
        <f>IF(ISNA(MATCH(902,'Transfer Engine'!$C$2:$C$1369,0)),"",INDEX('Compliance Database'!$F$2:$F$1369,MATCH(902,'Transfer Engine'!$C$2:$C$1369,0)))</f>
        <v/>
      </c>
      <c r="G911" s="8">
        <f>IF(ISNA(MATCH(902,'Transfer Engine'!$C$2:$C$1369,0)),"",INDEX('Compliance Database'!$G$2:$G$1369,MATCH(902,'Transfer Engine'!$C$2:$C$1369,0)))</f>
        <v/>
      </c>
      <c r="H911" s="9">
        <f>IF(ISNA(MATCH(902,'Transfer Engine'!$C$2:$C$1369,0)),"",INDEX('Compliance Database'!$H$2:$H$1369,MATCH(902,'Transfer Engine'!$C$2:$C$1369,0)))</f>
        <v/>
      </c>
      <c r="I911" s="9">
        <f>IF(ISNA(MATCH(902,'Transfer Engine'!$C$2:$C$1369,0)),"",INDEX('Compliance Database'!$I$2:$I$1369,MATCH(902,'Transfer Engine'!$C$2:$C$1369,0)))</f>
        <v/>
      </c>
      <c r="J911" s="8">
        <f>IF(ISNA(MATCH(902,'Transfer Engine'!$C$2:$C$1369,0)),"",INDEX('Compliance Database'!$J$2:$J$1369,MATCH(902,'Transfer Engine'!$C$2:$C$1369,0)))</f>
        <v/>
      </c>
      <c r="K911" s="9">
        <f>IF(ISNA(MATCH(902,'Transfer Engine'!$C$2:$C$1369,0)),"",INDEX('Compliance Database'!$K$2:$K$1369,MATCH(902,'Transfer Engine'!$C$2:$C$1369,0)))</f>
        <v/>
      </c>
      <c r="L911" s="9">
        <f>IF(ISNA(MATCH(902,'Transfer Engine'!$C$2:$C$1369,0)),"",INDEX('Compliance Database'!$L$2:$L$1369,MATCH(902,'Transfer Engine'!$C$2:$C$1369,0)))</f>
        <v/>
      </c>
      <c r="M911" s="9">
        <f>IF(ISNA(MATCH(902,'Transfer Engine'!$C$2:$C$1369,0)),"",INDEX('Compliance Database'!$M$2:$M$1369,MATCH(902,'Transfer Engine'!$C$2:$C$1369,0)))</f>
        <v/>
      </c>
      <c r="N911" s="9">
        <f>IF(ISNA(MATCH(902,'Transfer Engine'!$C$2:$C$1369,0)),"",INDEX('Compliance Database'!$N$2:$N$1369,MATCH(902,'Transfer Engine'!$C$2:$C$1369,0)))</f>
        <v/>
      </c>
      <c r="O911" s="8">
        <f>IF(ISNA(MATCH(902,'Transfer Engine'!$C$2:$C$1369,0)),"",HYPERLINK(INDEX('Compliance Database'!$O$2:$O$1369,MATCH(902,'Transfer Engine'!$C$2:$C$1369,0)),"Open PDF"))</f>
        <v/>
      </c>
    </row>
    <row r="912" ht="188" customHeight="1">
      <c r="A912" s="8">
        <f>IF(ISNA(MATCH(903,'Transfer Engine'!$C$2:$C$1369,0)),"",INDEX('Compliance Database'!$A$2:$A$1369,MATCH(903,'Transfer Engine'!$C$2:$C$1369,0)))</f>
        <v/>
      </c>
      <c r="B912" s="8">
        <f>IF(ISNA(MATCH(903,'Transfer Engine'!$C$2:$C$1369,0)),"",INDEX('Compliance Database'!$B$2:$B$1369,MATCH(903,'Transfer Engine'!$C$2:$C$1369,0)))</f>
        <v/>
      </c>
      <c r="C912" s="8">
        <f>IF(ISNA(MATCH(903,'Transfer Engine'!$C$2:$C$1369,0)),"",INDEX('Compliance Database'!$C$2:$C$1369,MATCH(903,'Transfer Engine'!$C$2:$C$1369,0)))</f>
        <v/>
      </c>
      <c r="D912" s="9">
        <f>IF(ISNA(MATCH(903,'Transfer Engine'!$C$2:$C$1369,0)),"",INDEX('Compliance Database'!$D$2:$D$1369,MATCH(903,'Transfer Engine'!$C$2:$C$1369,0)))</f>
        <v/>
      </c>
      <c r="E912" s="8">
        <f>IF(ISNA(MATCH(903,'Transfer Engine'!$C$2:$C$1369,0)),"",INDEX('Compliance Database'!$E$2:$E$1369,MATCH(903,'Transfer Engine'!$C$2:$C$1369,0)))</f>
        <v/>
      </c>
      <c r="F912" s="8">
        <f>IF(ISNA(MATCH(903,'Transfer Engine'!$C$2:$C$1369,0)),"",INDEX('Compliance Database'!$F$2:$F$1369,MATCH(903,'Transfer Engine'!$C$2:$C$1369,0)))</f>
        <v/>
      </c>
      <c r="G912" s="8">
        <f>IF(ISNA(MATCH(903,'Transfer Engine'!$C$2:$C$1369,0)),"",INDEX('Compliance Database'!$G$2:$G$1369,MATCH(903,'Transfer Engine'!$C$2:$C$1369,0)))</f>
        <v/>
      </c>
      <c r="H912" s="9">
        <f>IF(ISNA(MATCH(903,'Transfer Engine'!$C$2:$C$1369,0)),"",INDEX('Compliance Database'!$H$2:$H$1369,MATCH(903,'Transfer Engine'!$C$2:$C$1369,0)))</f>
        <v/>
      </c>
      <c r="I912" s="9">
        <f>IF(ISNA(MATCH(903,'Transfer Engine'!$C$2:$C$1369,0)),"",INDEX('Compliance Database'!$I$2:$I$1369,MATCH(903,'Transfer Engine'!$C$2:$C$1369,0)))</f>
        <v/>
      </c>
      <c r="J912" s="8">
        <f>IF(ISNA(MATCH(903,'Transfer Engine'!$C$2:$C$1369,0)),"",INDEX('Compliance Database'!$J$2:$J$1369,MATCH(903,'Transfer Engine'!$C$2:$C$1369,0)))</f>
        <v/>
      </c>
      <c r="K912" s="9">
        <f>IF(ISNA(MATCH(903,'Transfer Engine'!$C$2:$C$1369,0)),"",INDEX('Compliance Database'!$K$2:$K$1369,MATCH(903,'Transfer Engine'!$C$2:$C$1369,0)))</f>
        <v/>
      </c>
      <c r="L912" s="9">
        <f>IF(ISNA(MATCH(903,'Transfer Engine'!$C$2:$C$1369,0)),"",INDEX('Compliance Database'!$L$2:$L$1369,MATCH(903,'Transfer Engine'!$C$2:$C$1369,0)))</f>
        <v/>
      </c>
      <c r="M912" s="9">
        <f>IF(ISNA(MATCH(903,'Transfer Engine'!$C$2:$C$1369,0)),"",INDEX('Compliance Database'!$M$2:$M$1369,MATCH(903,'Transfer Engine'!$C$2:$C$1369,0)))</f>
        <v/>
      </c>
      <c r="N912" s="9">
        <f>IF(ISNA(MATCH(903,'Transfer Engine'!$C$2:$C$1369,0)),"",INDEX('Compliance Database'!$N$2:$N$1369,MATCH(903,'Transfer Engine'!$C$2:$C$1369,0)))</f>
        <v/>
      </c>
      <c r="O912" s="8">
        <f>IF(ISNA(MATCH(903,'Transfer Engine'!$C$2:$C$1369,0)),"",HYPERLINK(INDEX('Compliance Database'!$O$2:$O$1369,MATCH(903,'Transfer Engine'!$C$2:$C$1369,0)),"Open PDF"))</f>
        <v/>
      </c>
    </row>
    <row r="913" ht="188" customHeight="1">
      <c r="A913" s="8">
        <f>IF(ISNA(MATCH(904,'Transfer Engine'!$C$2:$C$1369,0)),"",INDEX('Compliance Database'!$A$2:$A$1369,MATCH(904,'Transfer Engine'!$C$2:$C$1369,0)))</f>
        <v/>
      </c>
      <c r="B913" s="8">
        <f>IF(ISNA(MATCH(904,'Transfer Engine'!$C$2:$C$1369,0)),"",INDEX('Compliance Database'!$B$2:$B$1369,MATCH(904,'Transfer Engine'!$C$2:$C$1369,0)))</f>
        <v/>
      </c>
      <c r="C913" s="8">
        <f>IF(ISNA(MATCH(904,'Transfer Engine'!$C$2:$C$1369,0)),"",INDEX('Compliance Database'!$C$2:$C$1369,MATCH(904,'Transfer Engine'!$C$2:$C$1369,0)))</f>
        <v/>
      </c>
      <c r="D913" s="9">
        <f>IF(ISNA(MATCH(904,'Transfer Engine'!$C$2:$C$1369,0)),"",INDEX('Compliance Database'!$D$2:$D$1369,MATCH(904,'Transfer Engine'!$C$2:$C$1369,0)))</f>
        <v/>
      </c>
      <c r="E913" s="8">
        <f>IF(ISNA(MATCH(904,'Transfer Engine'!$C$2:$C$1369,0)),"",INDEX('Compliance Database'!$E$2:$E$1369,MATCH(904,'Transfer Engine'!$C$2:$C$1369,0)))</f>
        <v/>
      </c>
      <c r="F913" s="8">
        <f>IF(ISNA(MATCH(904,'Transfer Engine'!$C$2:$C$1369,0)),"",INDEX('Compliance Database'!$F$2:$F$1369,MATCH(904,'Transfer Engine'!$C$2:$C$1369,0)))</f>
        <v/>
      </c>
      <c r="G913" s="8">
        <f>IF(ISNA(MATCH(904,'Transfer Engine'!$C$2:$C$1369,0)),"",INDEX('Compliance Database'!$G$2:$G$1369,MATCH(904,'Transfer Engine'!$C$2:$C$1369,0)))</f>
        <v/>
      </c>
      <c r="H913" s="9">
        <f>IF(ISNA(MATCH(904,'Transfer Engine'!$C$2:$C$1369,0)),"",INDEX('Compliance Database'!$H$2:$H$1369,MATCH(904,'Transfer Engine'!$C$2:$C$1369,0)))</f>
        <v/>
      </c>
      <c r="I913" s="9">
        <f>IF(ISNA(MATCH(904,'Transfer Engine'!$C$2:$C$1369,0)),"",INDEX('Compliance Database'!$I$2:$I$1369,MATCH(904,'Transfer Engine'!$C$2:$C$1369,0)))</f>
        <v/>
      </c>
      <c r="J913" s="8">
        <f>IF(ISNA(MATCH(904,'Transfer Engine'!$C$2:$C$1369,0)),"",INDEX('Compliance Database'!$J$2:$J$1369,MATCH(904,'Transfer Engine'!$C$2:$C$1369,0)))</f>
        <v/>
      </c>
      <c r="K913" s="9">
        <f>IF(ISNA(MATCH(904,'Transfer Engine'!$C$2:$C$1369,0)),"",INDEX('Compliance Database'!$K$2:$K$1369,MATCH(904,'Transfer Engine'!$C$2:$C$1369,0)))</f>
        <v/>
      </c>
      <c r="L913" s="9">
        <f>IF(ISNA(MATCH(904,'Transfer Engine'!$C$2:$C$1369,0)),"",INDEX('Compliance Database'!$L$2:$L$1369,MATCH(904,'Transfer Engine'!$C$2:$C$1369,0)))</f>
        <v/>
      </c>
      <c r="M913" s="9">
        <f>IF(ISNA(MATCH(904,'Transfer Engine'!$C$2:$C$1369,0)),"",INDEX('Compliance Database'!$M$2:$M$1369,MATCH(904,'Transfer Engine'!$C$2:$C$1369,0)))</f>
        <v/>
      </c>
      <c r="N913" s="9">
        <f>IF(ISNA(MATCH(904,'Transfer Engine'!$C$2:$C$1369,0)),"",INDEX('Compliance Database'!$N$2:$N$1369,MATCH(904,'Transfer Engine'!$C$2:$C$1369,0)))</f>
        <v/>
      </c>
      <c r="O913" s="8">
        <f>IF(ISNA(MATCH(904,'Transfer Engine'!$C$2:$C$1369,0)),"",HYPERLINK(INDEX('Compliance Database'!$O$2:$O$1369,MATCH(904,'Transfer Engine'!$C$2:$C$1369,0)),"Open PDF"))</f>
        <v/>
      </c>
    </row>
    <row r="914" ht="188" customHeight="1">
      <c r="A914" s="8">
        <f>IF(ISNA(MATCH(905,'Transfer Engine'!$C$2:$C$1369,0)),"",INDEX('Compliance Database'!$A$2:$A$1369,MATCH(905,'Transfer Engine'!$C$2:$C$1369,0)))</f>
        <v/>
      </c>
      <c r="B914" s="8">
        <f>IF(ISNA(MATCH(905,'Transfer Engine'!$C$2:$C$1369,0)),"",INDEX('Compliance Database'!$B$2:$B$1369,MATCH(905,'Transfer Engine'!$C$2:$C$1369,0)))</f>
        <v/>
      </c>
      <c r="C914" s="8">
        <f>IF(ISNA(MATCH(905,'Transfer Engine'!$C$2:$C$1369,0)),"",INDEX('Compliance Database'!$C$2:$C$1369,MATCH(905,'Transfer Engine'!$C$2:$C$1369,0)))</f>
        <v/>
      </c>
      <c r="D914" s="9">
        <f>IF(ISNA(MATCH(905,'Transfer Engine'!$C$2:$C$1369,0)),"",INDEX('Compliance Database'!$D$2:$D$1369,MATCH(905,'Transfer Engine'!$C$2:$C$1369,0)))</f>
        <v/>
      </c>
      <c r="E914" s="8">
        <f>IF(ISNA(MATCH(905,'Transfer Engine'!$C$2:$C$1369,0)),"",INDEX('Compliance Database'!$E$2:$E$1369,MATCH(905,'Transfer Engine'!$C$2:$C$1369,0)))</f>
        <v/>
      </c>
      <c r="F914" s="8">
        <f>IF(ISNA(MATCH(905,'Transfer Engine'!$C$2:$C$1369,0)),"",INDEX('Compliance Database'!$F$2:$F$1369,MATCH(905,'Transfer Engine'!$C$2:$C$1369,0)))</f>
        <v/>
      </c>
      <c r="G914" s="8">
        <f>IF(ISNA(MATCH(905,'Transfer Engine'!$C$2:$C$1369,0)),"",INDEX('Compliance Database'!$G$2:$G$1369,MATCH(905,'Transfer Engine'!$C$2:$C$1369,0)))</f>
        <v/>
      </c>
      <c r="H914" s="9">
        <f>IF(ISNA(MATCH(905,'Transfer Engine'!$C$2:$C$1369,0)),"",INDEX('Compliance Database'!$H$2:$H$1369,MATCH(905,'Transfer Engine'!$C$2:$C$1369,0)))</f>
        <v/>
      </c>
      <c r="I914" s="9">
        <f>IF(ISNA(MATCH(905,'Transfer Engine'!$C$2:$C$1369,0)),"",INDEX('Compliance Database'!$I$2:$I$1369,MATCH(905,'Transfer Engine'!$C$2:$C$1369,0)))</f>
        <v/>
      </c>
      <c r="J914" s="8">
        <f>IF(ISNA(MATCH(905,'Transfer Engine'!$C$2:$C$1369,0)),"",INDEX('Compliance Database'!$J$2:$J$1369,MATCH(905,'Transfer Engine'!$C$2:$C$1369,0)))</f>
        <v/>
      </c>
      <c r="K914" s="9">
        <f>IF(ISNA(MATCH(905,'Transfer Engine'!$C$2:$C$1369,0)),"",INDEX('Compliance Database'!$K$2:$K$1369,MATCH(905,'Transfer Engine'!$C$2:$C$1369,0)))</f>
        <v/>
      </c>
      <c r="L914" s="9">
        <f>IF(ISNA(MATCH(905,'Transfer Engine'!$C$2:$C$1369,0)),"",INDEX('Compliance Database'!$L$2:$L$1369,MATCH(905,'Transfer Engine'!$C$2:$C$1369,0)))</f>
        <v/>
      </c>
      <c r="M914" s="9">
        <f>IF(ISNA(MATCH(905,'Transfer Engine'!$C$2:$C$1369,0)),"",INDEX('Compliance Database'!$M$2:$M$1369,MATCH(905,'Transfer Engine'!$C$2:$C$1369,0)))</f>
        <v/>
      </c>
      <c r="N914" s="9">
        <f>IF(ISNA(MATCH(905,'Transfer Engine'!$C$2:$C$1369,0)),"",INDEX('Compliance Database'!$N$2:$N$1369,MATCH(905,'Transfer Engine'!$C$2:$C$1369,0)))</f>
        <v/>
      </c>
      <c r="O914" s="8">
        <f>IF(ISNA(MATCH(905,'Transfer Engine'!$C$2:$C$1369,0)),"",HYPERLINK(INDEX('Compliance Database'!$O$2:$O$1369,MATCH(905,'Transfer Engine'!$C$2:$C$1369,0)),"Open PDF"))</f>
        <v/>
      </c>
    </row>
    <row r="915" ht="188" customHeight="1">
      <c r="A915" s="8">
        <f>IF(ISNA(MATCH(906,'Transfer Engine'!$C$2:$C$1369,0)),"",INDEX('Compliance Database'!$A$2:$A$1369,MATCH(906,'Transfer Engine'!$C$2:$C$1369,0)))</f>
        <v/>
      </c>
      <c r="B915" s="8">
        <f>IF(ISNA(MATCH(906,'Transfer Engine'!$C$2:$C$1369,0)),"",INDEX('Compliance Database'!$B$2:$B$1369,MATCH(906,'Transfer Engine'!$C$2:$C$1369,0)))</f>
        <v/>
      </c>
      <c r="C915" s="8">
        <f>IF(ISNA(MATCH(906,'Transfer Engine'!$C$2:$C$1369,0)),"",INDEX('Compliance Database'!$C$2:$C$1369,MATCH(906,'Transfer Engine'!$C$2:$C$1369,0)))</f>
        <v/>
      </c>
      <c r="D915" s="9">
        <f>IF(ISNA(MATCH(906,'Transfer Engine'!$C$2:$C$1369,0)),"",INDEX('Compliance Database'!$D$2:$D$1369,MATCH(906,'Transfer Engine'!$C$2:$C$1369,0)))</f>
        <v/>
      </c>
      <c r="E915" s="8">
        <f>IF(ISNA(MATCH(906,'Transfer Engine'!$C$2:$C$1369,0)),"",INDEX('Compliance Database'!$E$2:$E$1369,MATCH(906,'Transfer Engine'!$C$2:$C$1369,0)))</f>
        <v/>
      </c>
      <c r="F915" s="8">
        <f>IF(ISNA(MATCH(906,'Transfer Engine'!$C$2:$C$1369,0)),"",INDEX('Compliance Database'!$F$2:$F$1369,MATCH(906,'Transfer Engine'!$C$2:$C$1369,0)))</f>
        <v/>
      </c>
      <c r="G915" s="8">
        <f>IF(ISNA(MATCH(906,'Transfer Engine'!$C$2:$C$1369,0)),"",INDEX('Compliance Database'!$G$2:$G$1369,MATCH(906,'Transfer Engine'!$C$2:$C$1369,0)))</f>
        <v/>
      </c>
      <c r="H915" s="9">
        <f>IF(ISNA(MATCH(906,'Transfer Engine'!$C$2:$C$1369,0)),"",INDEX('Compliance Database'!$H$2:$H$1369,MATCH(906,'Transfer Engine'!$C$2:$C$1369,0)))</f>
        <v/>
      </c>
      <c r="I915" s="9">
        <f>IF(ISNA(MATCH(906,'Transfer Engine'!$C$2:$C$1369,0)),"",INDEX('Compliance Database'!$I$2:$I$1369,MATCH(906,'Transfer Engine'!$C$2:$C$1369,0)))</f>
        <v/>
      </c>
      <c r="J915" s="8">
        <f>IF(ISNA(MATCH(906,'Transfer Engine'!$C$2:$C$1369,0)),"",INDEX('Compliance Database'!$J$2:$J$1369,MATCH(906,'Transfer Engine'!$C$2:$C$1369,0)))</f>
        <v/>
      </c>
      <c r="K915" s="9">
        <f>IF(ISNA(MATCH(906,'Transfer Engine'!$C$2:$C$1369,0)),"",INDEX('Compliance Database'!$K$2:$K$1369,MATCH(906,'Transfer Engine'!$C$2:$C$1369,0)))</f>
        <v/>
      </c>
      <c r="L915" s="9">
        <f>IF(ISNA(MATCH(906,'Transfer Engine'!$C$2:$C$1369,0)),"",INDEX('Compliance Database'!$L$2:$L$1369,MATCH(906,'Transfer Engine'!$C$2:$C$1369,0)))</f>
        <v/>
      </c>
      <c r="M915" s="9">
        <f>IF(ISNA(MATCH(906,'Transfer Engine'!$C$2:$C$1369,0)),"",INDEX('Compliance Database'!$M$2:$M$1369,MATCH(906,'Transfer Engine'!$C$2:$C$1369,0)))</f>
        <v/>
      </c>
      <c r="N915" s="9">
        <f>IF(ISNA(MATCH(906,'Transfer Engine'!$C$2:$C$1369,0)),"",INDEX('Compliance Database'!$N$2:$N$1369,MATCH(906,'Transfer Engine'!$C$2:$C$1369,0)))</f>
        <v/>
      </c>
      <c r="O915" s="8">
        <f>IF(ISNA(MATCH(906,'Transfer Engine'!$C$2:$C$1369,0)),"",HYPERLINK(INDEX('Compliance Database'!$O$2:$O$1369,MATCH(906,'Transfer Engine'!$C$2:$C$1369,0)),"Open PDF"))</f>
        <v/>
      </c>
    </row>
    <row r="916" ht="188" customHeight="1">
      <c r="A916" s="8">
        <f>IF(ISNA(MATCH(907,'Transfer Engine'!$C$2:$C$1369,0)),"",INDEX('Compliance Database'!$A$2:$A$1369,MATCH(907,'Transfer Engine'!$C$2:$C$1369,0)))</f>
        <v/>
      </c>
      <c r="B916" s="8">
        <f>IF(ISNA(MATCH(907,'Transfer Engine'!$C$2:$C$1369,0)),"",INDEX('Compliance Database'!$B$2:$B$1369,MATCH(907,'Transfer Engine'!$C$2:$C$1369,0)))</f>
        <v/>
      </c>
      <c r="C916" s="8">
        <f>IF(ISNA(MATCH(907,'Transfer Engine'!$C$2:$C$1369,0)),"",INDEX('Compliance Database'!$C$2:$C$1369,MATCH(907,'Transfer Engine'!$C$2:$C$1369,0)))</f>
        <v/>
      </c>
      <c r="D916" s="9">
        <f>IF(ISNA(MATCH(907,'Transfer Engine'!$C$2:$C$1369,0)),"",INDEX('Compliance Database'!$D$2:$D$1369,MATCH(907,'Transfer Engine'!$C$2:$C$1369,0)))</f>
        <v/>
      </c>
      <c r="E916" s="8">
        <f>IF(ISNA(MATCH(907,'Transfer Engine'!$C$2:$C$1369,0)),"",INDEX('Compliance Database'!$E$2:$E$1369,MATCH(907,'Transfer Engine'!$C$2:$C$1369,0)))</f>
        <v/>
      </c>
      <c r="F916" s="8">
        <f>IF(ISNA(MATCH(907,'Transfer Engine'!$C$2:$C$1369,0)),"",INDEX('Compliance Database'!$F$2:$F$1369,MATCH(907,'Transfer Engine'!$C$2:$C$1369,0)))</f>
        <v/>
      </c>
      <c r="G916" s="8">
        <f>IF(ISNA(MATCH(907,'Transfer Engine'!$C$2:$C$1369,0)),"",INDEX('Compliance Database'!$G$2:$G$1369,MATCH(907,'Transfer Engine'!$C$2:$C$1369,0)))</f>
        <v/>
      </c>
      <c r="H916" s="9">
        <f>IF(ISNA(MATCH(907,'Transfer Engine'!$C$2:$C$1369,0)),"",INDEX('Compliance Database'!$H$2:$H$1369,MATCH(907,'Transfer Engine'!$C$2:$C$1369,0)))</f>
        <v/>
      </c>
      <c r="I916" s="9">
        <f>IF(ISNA(MATCH(907,'Transfer Engine'!$C$2:$C$1369,0)),"",INDEX('Compliance Database'!$I$2:$I$1369,MATCH(907,'Transfer Engine'!$C$2:$C$1369,0)))</f>
        <v/>
      </c>
      <c r="J916" s="8">
        <f>IF(ISNA(MATCH(907,'Transfer Engine'!$C$2:$C$1369,0)),"",INDEX('Compliance Database'!$J$2:$J$1369,MATCH(907,'Transfer Engine'!$C$2:$C$1369,0)))</f>
        <v/>
      </c>
      <c r="K916" s="9">
        <f>IF(ISNA(MATCH(907,'Transfer Engine'!$C$2:$C$1369,0)),"",INDEX('Compliance Database'!$K$2:$K$1369,MATCH(907,'Transfer Engine'!$C$2:$C$1369,0)))</f>
        <v/>
      </c>
      <c r="L916" s="9">
        <f>IF(ISNA(MATCH(907,'Transfer Engine'!$C$2:$C$1369,0)),"",INDEX('Compliance Database'!$L$2:$L$1369,MATCH(907,'Transfer Engine'!$C$2:$C$1369,0)))</f>
        <v/>
      </c>
      <c r="M916" s="9">
        <f>IF(ISNA(MATCH(907,'Transfer Engine'!$C$2:$C$1369,0)),"",INDEX('Compliance Database'!$M$2:$M$1369,MATCH(907,'Transfer Engine'!$C$2:$C$1369,0)))</f>
        <v/>
      </c>
      <c r="N916" s="9">
        <f>IF(ISNA(MATCH(907,'Transfer Engine'!$C$2:$C$1369,0)),"",INDEX('Compliance Database'!$N$2:$N$1369,MATCH(907,'Transfer Engine'!$C$2:$C$1369,0)))</f>
        <v/>
      </c>
      <c r="O916" s="8">
        <f>IF(ISNA(MATCH(907,'Transfer Engine'!$C$2:$C$1369,0)),"",HYPERLINK(INDEX('Compliance Database'!$O$2:$O$1369,MATCH(907,'Transfer Engine'!$C$2:$C$1369,0)),"Open PDF"))</f>
        <v/>
      </c>
    </row>
    <row r="917" ht="188" customHeight="1">
      <c r="A917" s="8">
        <f>IF(ISNA(MATCH(908,'Transfer Engine'!$C$2:$C$1369,0)),"",INDEX('Compliance Database'!$A$2:$A$1369,MATCH(908,'Transfer Engine'!$C$2:$C$1369,0)))</f>
        <v/>
      </c>
      <c r="B917" s="8">
        <f>IF(ISNA(MATCH(908,'Transfer Engine'!$C$2:$C$1369,0)),"",INDEX('Compliance Database'!$B$2:$B$1369,MATCH(908,'Transfer Engine'!$C$2:$C$1369,0)))</f>
        <v/>
      </c>
      <c r="C917" s="8">
        <f>IF(ISNA(MATCH(908,'Transfer Engine'!$C$2:$C$1369,0)),"",INDEX('Compliance Database'!$C$2:$C$1369,MATCH(908,'Transfer Engine'!$C$2:$C$1369,0)))</f>
        <v/>
      </c>
      <c r="D917" s="9">
        <f>IF(ISNA(MATCH(908,'Transfer Engine'!$C$2:$C$1369,0)),"",INDEX('Compliance Database'!$D$2:$D$1369,MATCH(908,'Transfer Engine'!$C$2:$C$1369,0)))</f>
        <v/>
      </c>
      <c r="E917" s="8">
        <f>IF(ISNA(MATCH(908,'Transfer Engine'!$C$2:$C$1369,0)),"",INDEX('Compliance Database'!$E$2:$E$1369,MATCH(908,'Transfer Engine'!$C$2:$C$1369,0)))</f>
        <v/>
      </c>
      <c r="F917" s="8">
        <f>IF(ISNA(MATCH(908,'Transfer Engine'!$C$2:$C$1369,0)),"",INDEX('Compliance Database'!$F$2:$F$1369,MATCH(908,'Transfer Engine'!$C$2:$C$1369,0)))</f>
        <v/>
      </c>
      <c r="G917" s="8">
        <f>IF(ISNA(MATCH(908,'Transfer Engine'!$C$2:$C$1369,0)),"",INDEX('Compliance Database'!$G$2:$G$1369,MATCH(908,'Transfer Engine'!$C$2:$C$1369,0)))</f>
        <v/>
      </c>
      <c r="H917" s="9">
        <f>IF(ISNA(MATCH(908,'Transfer Engine'!$C$2:$C$1369,0)),"",INDEX('Compliance Database'!$H$2:$H$1369,MATCH(908,'Transfer Engine'!$C$2:$C$1369,0)))</f>
        <v/>
      </c>
      <c r="I917" s="9">
        <f>IF(ISNA(MATCH(908,'Transfer Engine'!$C$2:$C$1369,0)),"",INDEX('Compliance Database'!$I$2:$I$1369,MATCH(908,'Transfer Engine'!$C$2:$C$1369,0)))</f>
        <v/>
      </c>
      <c r="J917" s="8">
        <f>IF(ISNA(MATCH(908,'Transfer Engine'!$C$2:$C$1369,0)),"",INDEX('Compliance Database'!$J$2:$J$1369,MATCH(908,'Transfer Engine'!$C$2:$C$1369,0)))</f>
        <v/>
      </c>
      <c r="K917" s="9">
        <f>IF(ISNA(MATCH(908,'Transfer Engine'!$C$2:$C$1369,0)),"",INDEX('Compliance Database'!$K$2:$K$1369,MATCH(908,'Transfer Engine'!$C$2:$C$1369,0)))</f>
        <v/>
      </c>
      <c r="L917" s="9">
        <f>IF(ISNA(MATCH(908,'Transfer Engine'!$C$2:$C$1369,0)),"",INDEX('Compliance Database'!$L$2:$L$1369,MATCH(908,'Transfer Engine'!$C$2:$C$1369,0)))</f>
        <v/>
      </c>
      <c r="M917" s="9">
        <f>IF(ISNA(MATCH(908,'Transfer Engine'!$C$2:$C$1369,0)),"",INDEX('Compliance Database'!$M$2:$M$1369,MATCH(908,'Transfer Engine'!$C$2:$C$1369,0)))</f>
        <v/>
      </c>
      <c r="N917" s="9">
        <f>IF(ISNA(MATCH(908,'Transfer Engine'!$C$2:$C$1369,0)),"",INDEX('Compliance Database'!$N$2:$N$1369,MATCH(908,'Transfer Engine'!$C$2:$C$1369,0)))</f>
        <v/>
      </c>
      <c r="O917" s="8">
        <f>IF(ISNA(MATCH(908,'Transfer Engine'!$C$2:$C$1369,0)),"",HYPERLINK(INDEX('Compliance Database'!$O$2:$O$1369,MATCH(908,'Transfer Engine'!$C$2:$C$1369,0)),"Open PDF"))</f>
        <v/>
      </c>
    </row>
    <row r="918" ht="188" customHeight="1">
      <c r="A918" s="8">
        <f>IF(ISNA(MATCH(909,'Transfer Engine'!$C$2:$C$1369,0)),"",INDEX('Compliance Database'!$A$2:$A$1369,MATCH(909,'Transfer Engine'!$C$2:$C$1369,0)))</f>
        <v/>
      </c>
      <c r="B918" s="8">
        <f>IF(ISNA(MATCH(909,'Transfer Engine'!$C$2:$C$1369,0)),"",INDEX('Compliance Database'!$B$2:$B$1369,MATCH(909,'Transfer Engine'!$C$2:$C$1369,0)))</f>
        <v/>
      </c>
      <c r="C918" s="8">
        <f>IF(ISNA(MATCH(909,'Transfer Engine'!$C$2:$C$1369,0)),"",INDEX('Compliance Database'!$C$2:$C$1369,MATCH(909,'Transfer Engine'!$C$2:$C$1369,0)))</f>
        <v/>
      </c>
      <c r="D918" s="9">
        <f>IF(ISNA(MATCH(909,'Transfer Engine'!$C$2:$C$1369,0)),"",INDEX('Compliance Database'!$D$2:$D$1369,MATCH(909,'Transfer Engine'!$C$2:$C$1369,0)))</f>
        <v/>
      </c>
      <c r="E918" s="8">
        <f>IF(ISNA(MATCH(909,'Transfer Engine'!$C$2:$C$1369,0)),"",INDEX('Compliance Database'!$E$2:$E$1369,MATCH(909,'Transfer Engine'!$C$2:$C$1369,0)))</f>
        <v/>
      </c>
      <c r="F918" s="8">
        <f>IF(ISNA(MATCH(909,'Transfer Engine'!$C$2:$C$1369,0)),"",INDEX('Compliance Database'!$F$2:$F$1369,MATCH(909,'Transfer Engine'!$C$2:$C$1369,0)))</f>
        <v/>
      </c>
      <c r="G918" s="8">
        <f>IF(ISNA(MATCH(909,'Transfer Engine'!$C$2:$C$1369,0)),"",INDEX('Compliance Database'!$G$2:$G$1369,MATCH(909,'Transfer Engine'!$C$2:$C$1369,0)))</f>
        <v/>
      </c>
      <c r="H918" s="9">
        <f>IF(ISNA(MATCH(909,'Transfer Engine'!$C$2:$C$1369,0)),"",INDEX('Compliance Database'!$H$2:$H$1369,MATCH(909,'Transfer Engine'!$C$2:$C$1369,0)))</f>
        <v/>
      </c>
      <c r="I918" s="9">
        <f>IF(ISNA(MATCH(909,'Transfer Engine'!$C$2:$C$1369,0)),"",INDEX('Compliance Database'!$I$2:$I$1369,MATCH(909,'Transfer Engine'!$C$2:$C$1369,0)))</f>
        <v/>
      </c>
      <c r="J918" s="8">
        <f>IF(ISNA(MATCH(909,'Transfer Engine'!$C$2:$C$1369,0)),"",INDEX('Compliance Database'!$J$2:$J$1369,MATCH(909,'Transfer Engine'!$C$2:$C$1369,0)))</f>
        <v/>
      </c>
      <c r="K918" s="9">
        <f>IF(ISNA(MATCH(909,'Transfer Engine'!$C$2:$C$1369,0)),"",INDEX('Compliance Database'!$K$2:$K$1369,MATCH(909,'Transfer Engine'!$C$2:$C$1369,0)))</f>
        <v/>
      </c>
      <c r="L918" s="9">
        <f>IF(ISNA(MATCH(909,'Transfer Engine'!$C$2:$C$1369,0)),"",INDEX('Compliance Database'!$L$2:$L$1369,MATCH(909,'Transfer Engine'!$C$2:$C$1369,0)))</f>
        <v/>
      </c>
      <c r="M918" s="9">
        <f>IF(ISNA(MATCH(909,'Transfer Engine'!$C$2:$C$1369,0)),"",INDEX('Compliance Database'!$M$2:$M$1369,MATCH(909,'Transfer Engine'!$C$2:$C$1369,0)))</f>
        <v/>
      </c>
      <c r="N918" s="9">
        <f>IF(ISNA(MATCH(909,'Transfer Engine'!$C$2:$C$1369,0)),"",INDEX('Compliance Database'!$N$2:$N$1369,MATCH(909,'Transfer Engine'!$C$2:$C$1369,0)))</f>
        <v/>
      </c>
      <c r="O918" s="8">
        <f>IF(ISNA(MATCH(909,'Transfer Engine'!$C$2:$C$1369,0)),"",HYPERLINK(INDEX('Compliance Database'!$O$2:$O$1369,MATCH(909,'Transfer Engine'!$C$2:$C$1369,0)),"Open PDF"))</f>
        <v/>
      </c>
    </row>
    <row r="919" ht="188" customHeight="1">
      <c r="A919" s="8">
        <f>IF(ISNA(MATCH(910,'Transfer Engine'!$C$2:$C$1369,0)),"",INDEX('Compliance Database'!$A$2:$A$1369,MATCH(910,'Transfer Engine'!$C$2:$C$1369,0)))</f>
        <v/>
      </c>
      <c r="B919" s="8">
        <f>IF(ISNA(MATCH(910,'Transfer Engine'!$C$2:$C$1369,0)),"",INDEX('Compliance Database'!$B$2:$B$1369,MATCH(910,'Transfer Engine'!$C$2:$C$1369,0)))</f>
        <v/>
      </c>
      <c r="C919" s="8">
        <f>IF(ISNA(MATCH(910,'Transfer Engine'!$C$2:$C$1369,0)),"",INDEX('Compliance Database'!$C$2:$C$1369,MATCH(910,'Transfer Engine'!$C$2:$C$1369,0)))</f>
        <v/>
      </c>
      <c r="D919" s="9">
        <f>IF(ISNA(MATCH(910,'Transfer Engine'!$C$2:$C$1369,0)),"",INDEX('Compliance Database'!$D$2:$D$1369,MATCH(910,'Transfer Engine'!$C$2:$C$1369,0)))</f>
        <v/>
      </c>
      <c r="E919" s="8">
        <f>IF(ISNA(MATCH(910,'Transfer Engine'!$C$2:$C$1369,0)),"",INDEX('Compliance Database'!$E$2:$E$1369,MATCH(910,'Transfer Engine'!$C$2:$C$1369,0)))</f>
        <v/>
      </c>
      <c r="F919" s="8">
        <f>IF(ISNA(MATCH(910,'Transfer Engine'!$C$2:$C$1369,0)),"",INDEX('Compliance Database'!$F$2:$F$1369,MATCH(910,'Transfer Engine'!$C$2:$C$1369,0)))</f>
        <v/>
      </c>
      <c r="G919" s="8">
        <f>IF(ISNA(MATCH(910,'Transfer Engine'!$C$2:$C$1369,0)),"",INDEX('Compliance Database'!$G$2:$G$1369,MATCH(910,'Transfer Engine'!$C$2:$C$1369,0)))</f>
        <v/>
      </c>
      <c r="H919" s="9">
        <f>IF(ISNA(MATCH(910,'Transfer Engine'!$C$2:$C$1369,0)),"",INDEX('Compliance Database'!$H$2:$H$1369,MATCH(910,'Transfer Engine'!$C$2:$C$1369,0)))</f>
        <v/>
      </c>
      <c r="I919" s="9">
        <f>IF(ISNA(MATCH(910,'Transfer Engine'!$C$2:$C$1369,0)),"",INDEX('Compliance Database'!$I$2:$I$1369,MATCH(910,'Transfer Engine'!$C$2:$C$1369,0)))</f>
        <v/>
      </c>
      <c r="J919" s="8">
        <f>IF(ISNA(MATCH(910,'Transfer Engine'!$C$2:$C$1369,0)),"",INDEX('Compliance Database'!$J$2:$J$1369,MATCH(910,'Transfer Engine'!$C$2:$C$1369,0)))</f>
        <v/>
      </c>
      <c r="K919" s="9">
        <f>IF(ISNA(MATCH(910,'Transfer Engine'!$C$2:$C$1369,0)),"",INDEX('Compliance Database'!$K$2:$K$1369,MATCH(910,'Transfer Engine'!$C$2:$C$1369,0)))</f>
        <v/>
      </c>
      <c r="L919" s="9">
        <f>IF(ISNA(MATCH(910,'Transfer Engine'!$C$2:$C$1369,0)),"",INDEX('Compliance Database'!$L$2:$L$1369,MATCH(910,'Transfer Engine'!$C$2:$C$1369,0)))</f>
        <v/>
      </c>
      <c r="M919" s="9">
        <f>IF(ISNA(MATCH(910,'Transfer Engine'!$C$2:$C$1369,0)),"",INDEX('Compliance Database'!$M$2:$M$1369,MATCH(910,'Transfer Engine'!$C$2:$C$1369,0)))</f>
        <v/>
      </c>
      <c r="N919" s="9">
        <f>IF(ISNA(MATCH(910,'Transfer Engine'!$C$2:$C$1369,0)),"",INDEX('Compliance Database'!$N$2:$N$1369,MATCH(910,'Transfer Engine'!$C$2:$C$1369,0)))</f>
        <v/>
      </c>
      <c r="O919" s="8">
        <f>IF(ISNA(MATCH(910,'Transfer Engine'!$C$2:$C$1369,0)),"",HYPERLINK(INDEX('Compliance Database'!$O$2:$O$1369,MATCH(910,'Transfer Engine'!$C$2:$C$1369,0)),"Open PDF"))</f>
        <v/>
      </c>
    </row>
    <row r="920" ht="188" customHeight="1">
      <c r="A920" s="8">
        <f>IF(ISNA(MATCH(911,'Transfer Engine'!$C$2:$C$1369,0)),"",INDEX('Compliance Database'!$A$2:$A$1369,MATCH(911,'Transfer Engine'!$C$2:$C$1369,0)))</f>
        <v/>
      </c>
      <c r="B920" s="8">
        <f>IF(ISNA(MATCH(911,'Transfer Engine'!$C$2:$C$1369,0)),"",INDEX('Compliance Database'!$B$2:$B$1369,MATCH(911,'Transfer Engine'!$C$2:$C$1369,0)))</f>
        <v/>
      </c>
      <c r="C920" s="8">
        <f>IF(ISNA(MATCH(911,'Transfer Engine'!$C$2:$C$1369,0)),"",INDEX('Compliance Database'!$C$2:$C$1369,MATCH(911,'Transfer Engine'!$C$2:$C$1369,0)))</f>
        <v/>
      </c>
      <c r="D920" s="9">
        <f>IF(ISNA(MATCH(911,'Transfer Engine'!$C$2:$C$1369,0)),"",INDEX('Compliance Database'!$D$2:$D$1369,MATCH(911,'Transfer Engine'!$C$2:$C$1369,0)))</f>
        <v/>
      </c>
      <c r="E920" s="8">
        <f>IF(ISNA(MATCH(911,'Transfer Engine'!$C$2:$C$1369,0)),"",INDEX('Compliance Database'!$E$2:$E$1369,MATCH(911,'Transfer Engine'!$C$2:$C$1369,0)))</f>
        <v/>
      </c>
      <c r="F920" s="8">
        <f>IF(ISNA(MATCH(911,'Transfer Engine'!$C$2:$C$1369,0)),"",INDEX('Compliance Database'!$F$2:$F$1369,MATCH(911,'Transfer Engine'!$C$2:$C$1369,0)))</f>
        <v/>
      </c>
      <c r="G920" s="8">
        <f>IF(ISNA(MATCH(911,'Transfer Engine'!$C$2:$C$1369,0)),"",INDEX('Compliance Database'!$G$2:$G$1369,MATCH(911,'Transfer Engine'!$C$2:$C$1369,0)))</f>
        <v/>
      </c>
      <c r="H920" s="9">
        <f>IF(ISNA(MATCH(911,'Transfer Engine'!$C$2:$C$1369,0)),"",INDEX('Compliance Database'!$H$2:$H$1369,MATCH(911,'Transfer Engine'!$C$2:$C$1369,0)))</f>
        <v/>
      </c>
      <c r="I920" s="9">
        <f>IF(ISNA(MATCH(911,'Transfer Engine'!$C$2:$C$1369,0)),"",INDEX('Compliance Database'!$I$2:$I$1369,MATCH(911,'Transfer Engine'!$C$2:$C$1369,0)))</f>
        <v/>
      </c>
      <c r="J920" s="8">
        <f>IF(ISNA(MATCH(911,'Transfer Engine'!$C$2:$C$1369,0)),"",INDEX('Compliance Database'!$J$2:$J$1369,MATCH(911,'Transfer Engine'!$C$2:$C$1369,0)))</f>
        <v/>
      </c>
      <c r="K920" s="9">
        <f>IF(ISNA(MATCH(911,'Transfer Engine'!$C$2:$C$1369,0)),"",INDEX('Compliance Database'!$K$2:$K$1369,MATCH(911,'Transfer Engine'!$C$2:$C$1369,0)))</f>
        <v/>
      </c>
      <c r="L920" s="9">
        <f>IF(ISNA(MATCH(911,'Transfer Engine'!$C$2:$C$1369,0)),"",INDEX('Compliance Database'!$L$2:$L$1369,MATCH(911,'Transfer Engine'!$C$2:$C$1369,0)))</f>
        <v/>
      </c>
      <c r="M920" s="9">
        <f>IF(ISNA(MATCH(911,'Transfer Engine'!$C$2:$C$1369,0)),"",INDEX('Compliance Database'!$M$2:$M$1369,MATCH(911,'Transfer Engine'!$C$2:$C$1369,0)))</f>
        <v/>
      </c>
      <c r="N920" s="9">
        <f>IF(ISNA(MATCH(911,'Transfer Engine'!$C$2:$C$1369,0)),"",INDEX('Compliance Database'!$N$2:$N$1369,MATCH(911,'Transfer Engine'!$C$2:$C$1369,0)))</f>
        <v/>
      </c>
      <c r="O920" s="8">
        <f>IF(ISNA(MATCH(911,'Transfer Engine'!$C$2:$C$1369,0)),"",HYPERLINK(INDEX('Compliance Database'!$O$2:$O$1369,MATCH(911,'Transfer Engine'!$C$2:$C$1369,0)),"Open PDF"))</f>
        <v/>
      </c>
    </row>
    <row r="921" ht="188" customHeight="1">
      <c r="A921" s="8">
        <f>IF(ISNA(MATCH(912,'Transfer Engine'!$C$2:$C$1369,0)),"",INDEX('Compliance Database'!$A$2:$A$1369,MATCH(912,'Transfer Engine'!$C$2:$C$1369,0)))</f>
        <v/>
      </c>
      <c r="B921" s="8">
        <f>IF(ISNA(MATCH(912,'Transfer Engine'!$C$2:$C$1369,0)),"",INDEX('Compliance Database'!$B$2:$B$1369,MATCH(912,'Transfer Engine'!$C$2:$C$1369,0)))</f>
        <v/>
      </c>
      <c r="C921" s="8">
        <f>IF(ISNA(MATCH(912,'Transfer Engine'!$C$2:$C$1369,0)),"",INDEX('Compliance Database'!$C$2:$C$1369,MATCH(912,'Transfer Engine'!$C$2:$C$1369,0)))</f>
        <v/>
      </c>
      <c r="D921" s="9">
        <f>IF(ISNA(MATCH(912,'Transfer Engine'!$C$2:$C$1369,0)),"",INDEX('Compliance Database'!$D$2:$D$1369,MATCH(912,'Transfer Engine'!$C$2:$C$1369,0)))</f>
        <v/>
      </c>
      <c r="E921" s="8">
        <f>IF(ISNA(MATCH(912,'Transfer Engine'!$C$2:$C$1369,0)),"",INDEX('Compliance Database'!$E$2:$E$1369,MATCH(912,'Transfer Engine'!$C$2:$C$1369,0)))</f>
        <v/>
      </c>
      <c r="F921" s="8">
        <f>IF(ISNA(MATCH(912,'Transfer Engine'!$C$2:$C$1369,0)),"",INDEX('Compliance Database'!$F$2:$F$1369,MATCH(912,'Transfer Engine'!$C$2:$C$1369,0)))</f>
        <v/>
      </c>
      <c r="G921" s="8">
        <f>IF(ISNA(MATCH(912,'Transfer Engine'!$C$2:$C$1369,0)),"",INDEX('Compliance Database'!$G$2:$G$1369,MATCH(912,'Transfer Engine'!$C$2:$C$1369,0)))</f>
        <v/>
      </c>
      <c r="H921" s="9">
        <f>IF(ISNA(MATCH(912,'Transfer Engine'!$C$2:$C$1369,0)),"",INDEX('Compliance Database'!$H$2:$H$1369,MATCH(912,'Transfer Engine'!$C$2:$C$1369,0)))</f>
        <v/>
      </c>
      <c r="I921" s="9">
        <f>IF(ISNA(MATCH(912,'Transfer Engine'!$C$2:$C$1369,0)),"",INDEX('Compliance Database'!$I$2:$I$1369,MATCH(912,'Transfer Engine'!$C$2:$C$1369,0)))</f>
        <v/>
      </c>
      <c r="J921" s="8">
        <f>IF(ISNA(MATCH(912,'Transfer Engine'!$C$2:$C$1369,0)),"",INDEX('Compliance Database'!$J$2:$J$1369,MATCH(912,'Transfer Engine'!$C$2:$C$1369,0)))</f>
        <v/>
      </c>
      <c r="K921" s="9">
        <f>IF(ISNA(MATCH(912,'Transfer Engine'!$C$2:$C$1369,0)),"",INDEX('Compliance Database'!$K$2:$K$1369,MATCH(912,'Transfer Engine'!$C$2:$C$1369,0)))</f>
        <v/>
      </c>
      <c r="L921" s="9">
        <f>IF(ISNA(MATCH(912,'Transfer Engine'!$C$2:$C$1369,0)),"",INDEX('Compliance Database'!$L$2:$L$1369,MATCH(912,'Transfer Engine'!$C$2:$C$1369,0)))</f>
        <v/>
      </c>
      <c r="M921" s="9">
        <f>IF(ISNA(MATCH(912,'Transfer Engine'!$C$2:$C$1369,0)),"",INDEX('Compliance Database'!$M$2:$M$1369,MATCH(912,'Transfer Engine'!$C$2:$C$1369,0)))</f>
        <v/>
      </c>
      <c r="N921" s="9">
        <f>IF(ISNA(MATCH(912,'Transfer Engine'!$C$2:$C$1369,0)),"",INDEX('Compliance Database'!$N$2:$N$1369,MATCH(912,'Transfer Engine'!$C$2:$C$1369,0)))</f>
        <v/>
      </c>
      <c r="O921" s="8">
        <f>IF(ISNA(MATCH(912,'Transfer Engine'!$C$2:$C$1369,0)),"",HYPERLINK(INDEX('Compliance Database'!$O$2:$O$1369,MATCH(912,'Transfer Engine'!$C$2:$C$1369,0)),"Open PDF"))</f>
        <v/>
      </c>
    </row>
    <row r="922" ht="188" customHeight="1">
      <c r="A922" s="8">
        <f>IF(ISNA(MATCH(913,'Transfer Engine'!$C$2:$C$1369,0)),"",INDEX('Compliance Database'!$A$2:$A$1369,MATCH(913,'Transfer Engine'!$C$2:$C$1369,0)))</f>
        <v/>
      </c>
      <c r="B922" s="8">
        <f>IF(ISNA(MATCH(913,'Transfer Engine'!$C$2:$C$1369,0)),"",INDEX('Compliance Database'!$B$2:$B$1369,MATCH(913,'Transfer Engine'!$C$2:$C$1369,0)))</f>
        <v/>
      </c>
      <c r="C922" s="8">
        <f>IF(ISNA(MATCH(913,'Transfer Engine'!$C$2:$C$1369,0)),"",INDEX('Compliance Database'!$C$2:$C$1369,MATCH(913,'Transfer Engine'!$C$2:$C$1369,0)))</f>
        <v/>
      </c>
      <c r="D922" s="9">
        <f>IF(ISNA(MATCH(913,'Transfer Engine'!$C$2:$C$1369,0)),"",INDEX('Compliance Database'!$D$2:$D$1369,MATCH(913,'Transfer Engine'!$C$2:$C$1369,0)))</f>
        <v/>
      </c>
      <c r="E922" s="8">
        <f>IF(ISNA(MATCH(913,'Transfer Engine'!$C$2:$C$1369,0)),"",INDEX('Compliance Database'!$E$2:$E$1369,MATCH(913,'Transfer Engine'!$C$2:$C$1369,0)))</f>
        <v/>
      </c>
      <c r="F922" s="8">
        <f>IF(ISNA(MATCH(913,'Transfer Engine'!$C$2:$C$1369,0)),"",INDEX('Compliance Database'!$F$2:$F$1369,MATCH(913,'Transfer Engine'!$C$2:$C$1369,0)))</f>
        <v/>
      </c>
      <c r="G922" s="8">
        <f>IF(ISNA(MATCH(913,'Transfer Engine'!$C$2:$C$1369,0)),"",INDEX('Compliance Database'!$G$2:$G$1369,MATCH(913,'Transfer Engine'!$C$2:$C$1369,0)))</f>
        <v/>
      </c>
      <c r="H922" s="9">
        <f>IF(ISNA(MATCH(913,'Transfer Engine'!$C$2:$C$1369,0)),"",INDEX('Compliance Database'!$H$2:$H$1369,MATCH(913,'Transfer Engine'!$C$2:$C$1369,0)))</f>
        <v/>
      </c>
      <c r="I922" s="9">
        <f>IF(ISNA(MATCH(913,'Transfer Engine'!$C$2:$C$1369,0)),"",INDEX('Compliance Database'!$I$2:$I$1369,MATCH(913,'Transfer Engine'!$C$2:$C$1369,0)))</f>
        <v/>
      </c>
      <c r="J922" s="8">
        <f>IF(ISNA(MATCH(913,'Transfer Engine'!$C$2:$C$1369,0)),"",INDEX('Compliance Database'!$J$2:$J$1369,MATCH(913,'Transfer Engine'!$C$2:$C$1369,0)))</f>
        <v/>
      </c>
      <c r="K922" s="9">
        <f>IF(ISNA(MATCH(913,'Transfer Engine'!$C$2:$C$1369,0)),"",INDEX('Compliance Database'!$K$2:$K$1369,MATCH(913,'Transfer Engine'!$C$2:$C$1369,0)))</f>
        <v/>
      </c>
      <c r="L922" s="9">
        <f>IF(ISNA(MATCH(913,'Transfer Engine'!$C$2:$C$1369,0)),"",INDEX('Compliance Database'!$L$2:$L$1369,MATCH(913,'Transfer Engine'!$C$2:$C$1369,0)))</f>
        <v/>
      </c>
      <c r="M922" s="9">
        <f>IF(ISNA(MATCH(913,'Transfer Engine'!$C$2:$C$1369,0)),"",INDEX('Compliance Database'!$M$2:$M$1369,MATCH(913,'Transfer Engine'!$C$2:$C$1369,0)))</f>
        <v/>
      </c>
      <c r="N922" s="9">
        <f>IF(ISNA(MATCH(913,'Transfer Engine'!$C$2:$C$1369,0)),"",INDEX('Compliance Database'!$N$2:$N$1369,MATCH(913,'Transfer Engine'!$C$2:$C$1369,0)))</f>
        <v/>
      </c>
      <c r="O922" s="8">
        <f>IF(ISNA(MATCH(913,'Transfer Engine'!$C$2:$C$1369,0)),"",HYPERLINK(INDEX('Compliance Database'!$O$2:$O$1369,MATCH(913,'Transfer Engine'!$C$2:$C$1369,0)),"Open PDF"))</f>
        <v/>
      </c>
    </row>
    <row r="923" ht="188" customHeight="1">
      <c r="A923" s="8">
        <f>IF(ISNA(MATCH(914,'Transfer Engine'!$C$2:$C$1369,0)),"",INDEX('Compliance Database'!$A$2:$A$1369,MATCH(914,'Transfer Engine'!$C$2:$C$1369,0)))</f>
        <v/>
      </c>
      <c r="B923" s="8">
        <f>IF(ISNA(MATCH(914,'Transfer Engine'!$C$2:$C$1369,0)),"",INDEX('Compliance Database'!$B$2:$B$1369,MATCH(914,'Transfer Engine'!$C$2:$C$1369,0)))</f>
        <v/>
      </c>
      <c r="C923" s="8">
        <f>IF(ISNA(MATCH(914,'Transfer Engine'!$C$2:$C$1369,0)),"",INDEX('Compliance Database'!$C$2:$C$1369,MATCH(914,'Transfer Engine'!$C$2:$C$1369,0)))</f>
        <v/>
      </c>
      <c r="D923" s="9">
        <f>IF(ISNA(MATCH(914,'Transfer Engine'!$C$2:$C$1369,0)),"",INDEX('Compliance Database'!$D$2:$D$1369,MATCH(914,'Transfer Engine'!$C$2:$C$1369,0)))</f>
        <v/>
      </c>
      <c r="E923" s="8">
        <f>IF(ISNA(MATCH(914,'Transfer Engine'!$C$2:$C$1369,0)),"",INDEX('Compliance Database'!$E$2:$E$1369,MATCH(914,'Transfer Engine'!$C$2:$C$1369,0)))</f>
        <v/>
      </c>
      <c r="F923" s="8">
        <f>IF(ISNA(MATCH(914,'Transfer Engine'!$C$2:$C$1369,0)),"",INDEX('Compliance Database'!$F$2:$F$1369,MATCH(914,'Transfer Engine'!$C$2:$C$1369,0)))</f>
        <v/>
      </c>
      <c r="G923" s="8">
        <f>IF(ISNA(MATCH(914,'Transfer Engine'!$C$2:$C$1369,0)),"",INDEX('Compliance Database'!$G$2:$G$1369,MATCH(914,'Transfer Engine'!$C$2:$C$1369,0)))</f>
        <v/>
      </c>
      <c r="H923" s="9">
        <f>IF(ISNA(MATCH(914,'Transfer Engine'!$C$2:$C$1369,0)),"",INDEX('Compliance Database'!$H$2:$H$1369,MATCH(914,'Transfer Engine'!$C$2:$C$1369,0)))</f>
        <v/>
      </c>
      <c r="I923" s="9">
        <f>IF(ISNA(MATCH(914,'Transfer Engine'!$C$2:$C$1369,0)),"",INDEX('Compliance Database'!$I$2:$I$1369,MATCH(914,'Transfer Engine'!$C$2:$C$1369,0)))</f>
        <v/>
      </c>
      <c r="J923" s="8">
        <f>IF(ISNA(MATCH(914,'Transfer Engine'!$C$2:$C$1369,0)),"",INDEX('Compliance Database'!$J$2:$J$1369,MATCH(914,'Transfer Engine'!$C$2:$C$1369,0)))</f>
        <v/>
      </c>
      <c r="K923" s="9">
        <f>IF(ISNA(MATCH(914,'Transfer Engine'!$C$2:$C$1369,0)),"",INDEX('Compliance Database'!$K$2:$K$1369,MATCH(914,'Transfer Engine'!$C$2:$C$1369,0)))</f>
        <v/>
      </c>
      <c r="L923" s="9">
        <f>IF(ISNA(MATCH(914,'Transfer Engine'!$C$2:$C$1369,0)),"",INDEX('Compliance Database'!$L$2:$L$1369,MATCH(914,'Transfer Engine'!$C$2:$C$1369,0)))</f>
        <v/>
      </c>
      <c r="M923" s="9">
        <f>IF(ISNA(MATCH(914,'Transfer Engine'!$C$2:$C$1369,0)),"",INDEX('Compliance Database'!$M$2:$M$1369,MATCH(914,'Transfer Engine'!$C$2:$C$1369,0)))</f>
        <v/>
      </c>
      <c r="N923" s="9">
        <f>IF(ISNA(MATCH(914,'Transfer Engine'!$C$2:$C$1369,0)),"",INDEX('Compliance Database'!$N$2:$N$1369,MATCH(914,'Transfer Engine'!$C$2:$C$1369,0)))</f>
        <v/>
      </c>
      <c r="O923" s="8">
        <f>IF(ISNA(MATCH(914,'Transfer Engine'!$C$2:$C$1369,0)),"",HYPERLINK(INDEX('Compliance Database'!$O$2:$O$1369,MATCH(914,'Transfer Engine'!$C$2:$C$1369,0)),"Open PDF"))</f>
        <v/>
      </c>
    </row>
    <row r="924" ht="188" customHeight="1">
      <c r="A924" s="8">
        <f>IF(ISNA(MATCH(915,'Transfer Engine'!$C$2:$C$1369,0)),"",INDEX('Compliance Database'!$A$2:$A$1369,MATCH(915,'Transfer Engine'!$C$2:$C$1369,0)))</f>
        <v/>
      </c>
      <c r="B924" s="8">
        <f>IF(ISNA(MATCH(915,'Transfer Engine'!$C$2:$C$1369,0)),"",INDEX('Compliance Database'!$B$2:$B$1369,MATCH(915,'Transfer Engine'!$C$2:$C$1369,0)))</f>
        <v/>
      </c>
      <c r="C924" s="8">
        <f>IF(ISNA(MATCH(915,'Transfer Engine'!$C$2:$C$1369,0)),"",INDEX('Compliance Database'!$C$2:$C$1369,MATCH(915,'Transfer Engine'!$C$2:$C$1369,0)))</f>
        <v/>
      </c>
      <c r="D924" s="9">
        <f>IF(ISNA(MATCH(915,'Transfer Engine'!$C$2:$C$1369,0)),"",INDEX('Compliance Database'!$D$2:$D$1369,MATCH(915,'Transfer Engine'!$C$2:$C$1369,0)))</f>
        <v/>
      </c>
      <c r="E924" s="8">
        <f>IF(ISNA(MATCH(915,'Transfer Engine'!$C$2:$C$1369,0)),"",INDEX('Compliance Database'!$E$2:$E$1369,MATCH(915,'Transfer Engine'!$C$2:$C$1369,0)))</f>
        <v/>
      </c>
      <c r="F924" s="8">
        <f>IF(ISNA(MATCH(915,'Transfer Engine'!$C$2:$C$1369,0)),"",INDEX('Compliance Database'!$F$2:$F$1369,MATCH(915,'Transfer Engine'!$C$2:$C$1369,0)))</f>
        <v/>
      </c>
      <c r="G924" s="8">
        <f>IF(ISNA(MATCH(915,'Transfer Engine'!$C$2:$C$1369,0)),"",INDEX('Compliance Database'!$G$2:$G$1369,MATCH(915,'Transfer Engine'!$C$2:$C$1369,0)))</f>
        <v/>
      </c>
      <c r="H924" s="9">
        <f>IF(ISNA(MATCH(915,'Transfer Engine'!$C$2:$C$1369,0)),"",INDEX('Compliance Database'!$H$2:$H$1369,MATCH(915,'Transfer Engine'!$C$2:$C$1369,0)))</f>
        <v/>
      </c>
      <c r="I924" s="9">
        <f>IF(ISNA(MATCH(915,'Transfer Engine'!$C$2:$C$1369,0)),"",INDEX('Compliance Database'!$I$2:$I$1369,MATCH(915,'Transfer Engine'!$C$2:$C$1369,0)))</f>
        <v/>
      </c>
      <c r="J924" s="8">
        <f>IF(ISNA(MATCH(915,'Transfer Engine'!$C$2:$C$1369,0)),"",INDEX('Compliance Database'!$J$2:$J$1369,MATCH(915,'Transfer Engine'!$C$2:$C$1369,0)))</f>
        <v/>
      </c>
      <c r="K924" s="9">
        <f>IF(ISNA(MATCH(915,'Transfer Engine'!$C$2:$C$1369,0)),"",INDEX('Compliance Database'!$K$2:$K$1369,MATCH(915,'Transfer Engine'!$C$2:$C$1369,0)))</f>
        <v/>
      </c>
      <c r="L924" s="9">
        <f>IF(ISNA(MATCH(915,'Transfer Engine'!$C$2:$C$1369,0)),"",INDEX('Compliance Database'!$L$2:$L$1369,MATCH(915,'Transfer Engine'!$C$2:$C$1369,0)))</f>
        <v/>
      </c>
      <c r="M924" s="9">
        <f>IF(ISNA(MATCH(915,'Transfer Engine'!$C$2:$C$1369,0)),"",INDEX('Compliance Database'!$M$2:$M$1369,MATCH(915,'Transfer Engine'!$C$2:$C$1369,0)))</f>
        <v/>
      </c>
      <c r="N924" s="9">
        <f>IF(ISNA(MATCH(915,'Transfer Engine'!$C$2:$C$1369,0)),"",INDEX('Compliance Database'!$N$2:$N$1369,MATCH(915,'Transfer Engine'!$C$2:$C$1369,0)))</f>
        <v/>
      </c>
      <c r="O924" s="8">
        <f>IF(ISNA(MATCH(915,'Transfer Engine'!$C$2:$C$1369,0)),"",HYPERLINK(INDEX('Compliance Database'!$O$2:$O$1369,MATCH(915,'Transfer Engine'!$C$2:$C$1369,0)),"Open PDF"))</f>
        <v/>
      </c>
    </row>
    <row r="925" ht="188" customHeight="1">
      <c r="A925" s="8">
        <f>IF(ISNA(MATCH(916,'Transfer Engine'!$C$2:$C$1369,0)),"",INDEX('Compliance Database'!$A$2:$A$1369,MATCH(916,'Transfer Engine'!$C$2:$C$1369,0)))</f>
        <v/>
      </c>
      <c r="B925" s="8">
        <f>IF(ISNA(MATCH(916,'Transfer Engine'!$C$2:$C$1369,0)),"",INDEX('Compliance Database'!$B$2:$B$1369,MATCH(916,'Transfer Engine'!$C$2:$C$1369,0)))</f>
        <v/>
      </c>
      <c r="C925" s="8">
        <f>IF(ISNA(MATCH(916,'Transfer Engine'!$C$2:$C$1369,0)),"",INDEX('Compliance Database'!$C$2:$C$1369,MATCH(916,'Transfer Engine'!$C$2:$C$1369,0)))</f>
        <v/>
      </c>
      <c r="D925" s="9">
        <f>IF(ISNA(MATCH(916,'Transfer Engine'!$C$2:$C$1369,0)),"",INDEX('Compliance Database'!$D$2:$D$1369,MATCH(916,'Transfer Engine'!$C$2:$C$1369,0)))</f>
        <v/>
      </c>
      <c r="E925" s="8">
        <f>IF(ISNA(MATCH(916,'Transfer Engine'!$C$2:$C$1369,0)),"",INDEX('Compliance Database'!$E$2:$E$1369,MATCH(916,'Transfer Engine'!$C$2:$C$1369,0)))</f>
        <v/>
      </c>
      <c r="F925" s="8">
        <f>IF(ISNA(MATCH(916,'Transfer Engine'!$C$2:$C$1369,0)),"",INDEX('Compliance Database'!$F$2:$F$1369,MATCH(916,'Transfer Engine'!$C$2:$C$1369,0)))</f>
        <v/>
      </c>
      <c r="G925" s="8">
        <f>IF(ISNA(MATCH(916,'Transfer Engine'!$C$2:$C$1369,0)),"",INDEX('Compliance Database'!$G$2:$G$1369,MATCH(916,'Transfer Engine'!$C$2:$C$1369,0)))</f>
        <v/>
      </c>
      <c r="H925" s="9">
        <f>IF(ISNA(MATCH(916,'Transfer Engine'!$C$2:$C$1369,0)),"",INDEX('Compliance Database'!$H$2:$H$1369,MATCH(916,'Transfer Engine'!$C$2:$C$1369,0)))</f>
        <v/>
      </c>
      <c r="I925" s="9">
        <f>IF(ISNA(MATCH(916,'Transfer Engine'!$C$2:$C$1369,0)),"",INDEX('Compliance Database'!$I$2:$I$1369,MATCH(916,'Transfer Engine'!$C$2:$C$1369,0)))</f>
        <v/>
      </c>
      <c r="J925" s="8">
        <f>IF(ISNA(MATCH(916,'Transfer Engine'!$C$2:$C$1369,0)),"",INDEX('Compliance Database'!$J$2:$J$1369,MATCH(916,'Transfer Engine'!$C$2:$C$1369,0)))</f>
        <v/>
      </c>
      <c r="K925" s="9">
        <f>IF(ISNA(MATCH(916,'Transfer Engine'!$C$2:$C$1369,0)),"",INDEX('Compliance Database'!$K$2:$K$1369,MATCH(916,'Transfer Engine'!$C$2:$C$1369,0)))</f>
        <v/>
      </c>
      <c r="L925" s="9">
        <f>IF(ISNA(MATCH(916,'Transfer Engine'!$C$2:$C$1369,0)),"",INDEX('Compliance Database'!$L$2:$L$1369,MATCH(916,'Transfer Engine'!$C$2:$C$1369,0)))</f>
        <v/>
      </c>
      <c r="M925" s="9">
        <f>IF(ISNA(MATCH(916,'Transfer Engine'!$C$2:$C$1369,0)),"",INDEX('Compliance Database'!$M$2:$M$1369,MATCH(916,'Transfer Engine'!$C$2:$C$1369,0)))</f>
        <v/>
      </c>
      <c r="N925" s="9">
        <f>IF(ISNA(MATCH(916,'Transfer Engine'!$C$2:$C$1369,0)),"",INDEX('Compliance Database'!$N$2:$N$1369,MATCH(916,'Transfer Engine'!$C$2:$C$1369,0)))</f>
        <v/>
      </c>
      <c r="O925" s="8">
        <f>IF(ISNA(MATCH(916,'Transfer Engine'!$C$2:$C$1369,0)),"",HYPERLINK(INDEX('Compliance Database'!$O$2:$O$1369,MATCH(916,'Transfer Engine'!$C$2:$C$1369,0)),"Open PDF"))</f>
        <v/>
      </c>
    </row>
    <row r="926" ht="188" customHeight="1">
      <c r="A926" s="8">
        <f>IF(ISNA(MATCH(917,'Transfer Engine'!$C$2:$C$1369,0)),"",INDEX('Compliance Database'!$A$2:$A$1369,MATCH(917,'Transfer Engine'!$C$2:$C$1369,0)))</f>
        <v/>
      </c>
      <c r="B926" s="8">
        <f>IF(ISNA(MATCH(917,'Transfer Engine'!$C$2:$C$1369,0)),"",INDEX('Compliance Database'!$B$2:$B$1369,MATCH(917,'Transfer Engine'!$C$2:$C$1369,0)))</f>
        <v/>
      </c>
      <c r="C926" s="8">
        <f>IF(ISNA(MATCH(917,'Transfer Engine'!$C$2:$C$1369,0)),"",INDEX('Compliance Database'!$C$2:$C$1369,MATCH(917,'Transfer Engine'!$C$2:$C$1369,0)))</f>
        <v/>
      </c>
      <c r="D926" s="9">
        <f>IF(ISNA(MATCH(917,'Transfer Engine'!$C$2:$C$1369,0)),"",INDEX('Compliance Database'!$D$2:$D$1369,MATCH(917,'Transfer Engine'!$C$2:$C$1369,0)))</f>
        <v/>
      </c>
      <c r="E926" s="8">
        <f>IF(ISNA(MATCH(917,'Transfer Engine'!$C$2:$C$1369,0)),"",INDEX('Compliance Database'!$E$2:$E$1369,MATCH(917,'Transfer Engine'!$C$2:$C$1369,0)))</f>
        <v/>
      </c>
      <c r="F926" s="8">
        <f>IF(ISNA(MATCH(917,'Transfer Engine'!$C$2:$C$1369,0)),"",INDEX('Compliance Database'!$F$2:$F$1369,MATCH(917,'Transfer Engine'!$C$2:$C$1369,0)))</f>
        <v/>
      </c>
      <c r="G926" s="8">
        <f>IF(ISNA(MATCH(917,'Transfer Engine'!$C$2:$C$1369,0)),"",INDEX('Compliance Database'!$G$2:$G$1369,MATCH(917,'Transfer Engine'!$C$2:$C$1369,0)))</f>
        <v/>
      </c>
      <c r="H926" s="9">
        <f>IF(ISNA(MATCH(917,'Transfer Engine'!$C$2:$C$1369,0)),"",INDEX('Compliance Database'!$H$2:$H$1369,MATCH(917,'Transfer Engine'!$C$2:$C$1369,0)))</f>
        <v/>
      </c>
      <c r="I926" s="9">
        <f>IF(ISNA(MATCH(917,'Transfer Engine'!$C$2:$C$1369,0)),"",INDEX('Compliance Database'!$I$2:$I$1369,MATCH(917,'Transfer Engine'!$C$2:$C$1369,0)))</f>
        <v/>
      </c>
      <c r="J926" s="8">
        <f>IF(ISNA(MATCH(917,'Transfer Engine'!$C$2:$C$1369,0)),"",INDEX('Compliance Database'!$J$2:$J$1369,MATCH(917,'Transfer Engine'!$C$2:$C$1369,0)))</f>
        <v/>
      </c>
      <c r="K926" s="9">
        <f>IF(ISNA(MATCH(917,'Transfer Engine'!$C$2:$C$1369,0)),"",INDEX('Compliance Database'!$K$2:$K$1369,MATCH(917,'Transfer Engine'!$C$2:$C$1369,0)))</f>
        <v/>
      </c>
      <c r="L926" s="9">
        <f>IF(ISNA(MATCH(917,'Transfer Engine'!$C$2:$C$1369,0)),"",INDEX('Compliance Database'!$L$2:$L$1369,MATCH(917,'Transfer Engine'!$C$2:$C$1369,0)))</f>
        <v/>
      </c>
      <c r="M926" s="9">
        <f>IF(ISNA(MATCH(917,'Transfer Engine'!$C$2:$C$1369,0)),"",INDEX('Compliance Database'!$M$2:$M$1369,MATCH(917,'Transfer Engine'!$C$2:$C$1369,0)))</f>
        <v/>
      </c>
      <c r="N926" s="9">
        <f>IF(ISNA(MATCH(917,'Transfer Engine'!$C$2:$C$1369,0)),"",INDEX('Compliance Database'!$N$2:$N$1369,MATCH(917,'Transfer Engine'!$C$2:$C$1369,0)))</f>
        <v/>
      </c>
      <c r="O926" s="8">
        <f>IF(ISNA(MATCH(917,'Transfer Engine'!$C$2:$C$1369,0)),"",HYPERLINK(INDEX('Compliance Database'!$O$2:$O$1369,MATCH(917,'Transfer Engine'!$C$2:$C$1369,0)),"Open PDF"))</f>
        <v/>
      </c>
    </row>
    <row r="927" ht="188" customHeight="1">
      <c r="A927" s="8">
        <f>IF(ISNA(MATCH(918,'Transfer Engine'!$C$2:$C$1369,0)),"",INDEX('Compliance Database'!$A$2:$A$1369,MATCH(918,'Transfer Engine'!$C$2:$C$1369,0)))</f>
        <v/>
      </c>
      <c r="B927" s="8">
        <f>IF(ISNA(MATCH(918,'Transfer Engine'!$C$2:$C$1369,0)),"",INDEX('Compliance Database'!$B$2:$B$1369,MATCH(918,'Transfer Engine'!$C$2:$C$1369,0)))</f>
        <v/>
      </c>
      <c r="C927" s="8">
        <f>IF(ISNA(MATCH(918,'Transfer Engine'!$C$2:$C$1369,0)),"",INDEX('Compliance Database'!$C$2:$C$1369,MATCH(918,'Transfer Engine'!$C$2:$C$1369,0)))</f>
        <v/>
      </c>
      <c r="D927" s="9">
        <f>IF(ISNA(MATCH(918,'Transfer Engine'!$C$2:$C$1369,0)),"",INDEX('Compliance Database'!$D$2:$D$1369,MATCH(918,'Transfer Engine'!$C$2:$C$1369,0)))</f>
        <v/>
      </c>
      <c r="E927" s="8">
        <f>IF(ISNA(MATCH(918,'Transfer Engine'!$C$2:$C$1369,0)),"",INDEX('Compliance Database'!$E$2:$E$1369,MATCH(918,'Transfer Engine'!$C$2:$C$1369,0)))</f>
        <v/>
      </c>
      <c r="F927" s="8">
        <f>IF(ISNA(MATCH(918,'Transfer Engine'!$C$2:$C$1369,0)),"",INDEX('Compliance Database'!$F$2:$F$1369,MATCH(918,'Transfer Engine'!$C$2:$C$1369,0)))</f>
        <v/>
      </c>
      <c r="G927" s="8">
        <f>IF(ISNA(MATCH(918,'Transfer Engine'!$C$2:$C$1369,0)),"",INDEX('Compliance Database'!$G$2:$G$1369,MATCH(918,'Transfer Engine'!$C$2:$C$1369,0)))</f>
        <v/>
      </c>
      <c r="H927" s="9">
        <f>IF(ISNA(MATCH(918,'Transfer Engine'!$C$2:$C$1369,0)),"",INDEX('Compliance Database'!$H$2:$H$1369,MATCH(918,'Transfer Engine'!$C$2:$C$1369,0)))</f>
        <v/>
      </c>
      <c r="I927" s="9">
        <f>IF(ISNA(MATCH(918,'Transfer Engine'!$C$2:$C$1369,0)),"",INDEX('Compliance Database'!$I$2:$I$1369,MATCH(918,'Transfer Engine'!$C$2:$C$1369,0)))</f>
        <v/>
      </c>
      <c r="J927" s="8">
        <f>IF(ISNA(MATCH(918,'Transfer Engine'!$C$2:$C$1369,0)),"",INDEX('Compliance Database'!$J$2:$J$1369,MATCH(918,'Transfer Engine'!$C$2:$C$1369,0)))</f>
        <v/>
      </c>
      <c r="K927" s="9">
        <f>IF(ISNA(MATCH(918,'Transfer Engine'!$C$2:$C$1369,0)),"",INDEX('Compliance Database'!$K$2:$K$1369,MATCH(918,'Transfer Engine'!$C$2:$C$1369,0)))</f>
        <v/>
      </c>
      <c r="L927" s="9">
        <f>IF(ISNA(MATCH(918,'Transfer Engine'!$C$2:$C$1369,0)),"",INDEX('Compliance Database'!$L$2:$L$1369,MATCH(918,'Transfer Engine'!$C$2:$C$1369,0)))</f>
        <v/>
      </c>
      <c r="M927" s="9">
        <f>IF(ISNA(MATCH(918,'Transfer Engine'!$C$2:$C$1369,0)),"",INDEX('Compliance Database'!$M$2:$M$1369,MATCH(918,'Transfer Engine'!$C$2:$C$1369,0)))</f>
        <v/>
      </c>
      <c r="N927" s="9">
        <f>IF(ISNA(MATCH(918,'Transfer Engine'!$C$2:$C$1369,0)),"",INDEX('Compliance Database'!$N$2:$N$1369,MATCH(918,'Transfer Engine'!$C$2:$C$1369,0)))</f>
        <v/>
      </c>
      <c r="O927" s="8">
        <f>IF(ISNA(MATCH(918,'Transfer Engine'!$C$2:$C$1369,0)),"",HYPERLINK(INDEX('Compliance Database'!$O$2:$O$1369,MATCH(918,'Transfer Engine'!$C$2:$C$1369,0)),"Open PDF"))</f>
        <v/>
      </c>
    </row>
    <row r="928" ht="188" customHeight="1">
      <c r="A928" s="8">
        <f>IF(ISNA(MATCH(919,'Transfer Engine'!$C$2:$C$1369,0)),"",INDEX('Compliance Database'!$A$2:$A$1369,MATCH(919,'Transfer Engine'!$C$2:$C$1369,0)))</f>
        <v/>
      </c>
      <c r="B928" s="8">
        <f>IF(ISNA(MATCH(919,'Transfer Engine'!$C$2:$C$1369,0)),"",INDEX('Compliance Database'!$B$2:$B$1369,MATCH(919,'Transfer Engine'!$C$2:$C$1369,0)))</f>
        <v/>
      </c>
      <c r="C928" s="8">
        <f>IF(ISNA(MATCH(919,'Transfer Engine'!$C$2:$C$1369,0)),"",INDEX('Compliance Database'!$C$2:$C$1369,MATCH(919,'Transfer Engine'!$C$2:$C$1369,0)))</f>
        <v/>
      </c>
      <c r="D928" s="9">
        <f>IF(ISNA(MATCH(919,'Transfer Engine'!$C$2:$C$1369,0)),"",INDEX('Compliance Database'!$D$2:$D$1369,MATCH(919,'Transfer Engine'!$C$2:$C$1369,0)))</f>
        <v/>
      </c>
      <c r="E928" s="8">
        <f>IF(ISNA(MATCH(919,'Transfer Engine'!$C$2:$C$1369,0)),"",INDEX('Compliance Database'!$E$2:$E$1369,MATCH(919,'Transfer Engine'!$C$2:$C$1369,0)))</f>
        <v/>
      </c>
      <c r="F928" s="8">
        <f>IF(ISNA(MATCH(919,'Transfer Engine'!$C$2:$C$1369,0)),"",INDEX('Compliance Database'!$F$2:$F$1369,MATCH(919,'Transfer Engine'!$C$2:$C$1369,0)))</f>
        <v/>
      </c>
      <c r="G928" s="8">
        <f>IF(ISNA(MATCH(919,'Transfer Engine'!$C$2:$C$1369,0)),"",INDEX('Compliance Database'!$G$2:$G$1369,MATCH(919,'Transfer Engine'!$C$2:$C$1369,0)))</f>
        <v/>
      </c>
      <c r="H928" s="9">
        <f>IF(ISNA(MATCH(919,'Transfer Engine'!$C$2:$C$1369,0)),"",INDEX('Compliance Database'!$H$2:$H$1369,MATCH(919,'Transfer Engine'!$C$2:$C$1369,0)))</f>
        <v/>
      </c>
      <c r="I928" s="9">
        <f>IF(ISNA(MATCH(919,'Transfer Engine'!$C$2:$C$1369,0)),"",INDEX('Compliance Database'!$I$2:$I$1369,MATCH(919,'Transfer Engine'!$C$2:$C$1369,0)))</f>
        <v/>
      </c>
      <c r="J928" s="8">
        <f>IF(ISNA(MATCH(919,'Transfer Engine'!$C$2:$C$1369,0)),"",INDEX('Compliance Database'!$J$2:$J$1369,MATCH(919,'Transfer Engine'!$C$2:$C$1369,0)))</f>
        <v/>
      </c>
      <c r="K928" s="9">
        <f>IF(ISNA(MATCH(919,'Transfer Engine'!$C$2:$C$1369,0)),"",INDEX('Compliance Database'!$K$2:$K$1369,MATCH(919,'Transfer Engine'!$C$2:$C$1369,0)))</f>
        <v/>
      </c>
      <c r="L928" s="9">
        <f>IF(ISNA(MATCH(919,'Transfer Engine'!$C$2:$C$1369,0)),"",INDEX('Compliance Database'!$L$2:$L$1369,MATCH(919,'Transfer Engine'!$C$2:$C$1369,0)))</f>
        <v/>
      </c>
      <c r="M928" s="9">
        <f>IF(ISNA(MATCH(919,'Transfer Engine'!$C$2:$C$1369,0)),"",INDEX('Compliance Database'!$M$2:$M$1369,MATCH(919,'Transfer Engine'!$C$2:$C$1369,0)))</f>
        <v/>
      </c>
      <c r="N928" s="9">
        <f>IF(ISNA(MATCH(919,'Transfer Engine'!$C$2:$C$1369,0)),"",INDEX('Compliance Database'!$N$2:$N$1369,MATCH(919,'Transfer Engine'!$C$2:$C$1369,0)))</f>
        <v/>
      </c>
      <c r="O928" s="8">
        <f>IF(ISNA(MATCH(919,'Transfer Engine'!$C$2:$C$1369,0)),"",HYPERLINK(INDEX('Compliance Database'!$O$2:$O$1369,MATCH(919,'Transfer Engine'!$C$2:$C$1369,0)),"Open PDF"))</f>
        <v/>
      </c>
    </row>
    <row r="929" ht="188" customHeight="1">
      <c r="A929" s="8">
        <f>IF(ISNA(MATCH(920,'Transfer Engine'!$C$2:$C$1369,0)),"",INDEX('Compliance Database'!$A$2:$A$1369,MATCH(920,'Transfer Engine'!$C$2:$C$1369,0)))</f>
        <v/>
      </c>
      <c r="B929" s="8">
        <f>IF(ISNA(MATCH(920,'Transfer Engine'!$C$2:$C$1369,0)),"",INDEX('Compliance Database'!$B$2:$B$1369,MATCH(920,'Transfer Engine'!$C$2:$C$1369,0)))</f>
        <v/>
      </c>
      <c r="C929" s="8">
        <f>IF(ISNA(MATCH(920,'Transfer Engine'!$C$2:$C$1369,0)),"",INDEX('Compliance Database'!$C$2:$C$1369,MATCH(920,'Transfer Engine'!$C$2:$C$1369,0)))</f>
        <v/>
      </c>
      <c r="D929" s="9">
        <f>IF(ISNA(MATCH(920,'Transfer Engine'!$C$2:$C$1369,0)),"",INDEX('Compliance Database'!$D$2:$D$1369,MATCH(920,'Transfer Engine'!$C$2:$C$1369,0)))</f>
        <v/>
      </c>
      <c r="E929" s="8">
        <f>IF(ISNA(MATCH(920,'Transfer Engine'!$C$2:$C$1369,0)),"",INDEX('Compliance Database'!$E$2:$E$1369,MATCH(920,'Transfer Engine'!$C$2:$C$1369,0)))</f>
        <v/>
      </c>
      <c r="F929" s="8">
        <f>IF(ISNA(MATCH(920,'Transfer Engine'!$C$2:$C$1369,0)),"",INDEX('Compliance Database'!$F$2:$F$1369,MATCH(920,'Transfer Engine'!$C$2:$C$1369,0)))</f>
        <v/>
      </c>
      <c r="G929" s="8">
        <f>IF(ISNA(MATCH(920,'Transfer Engine'!$C$2:$C$1369,0)),"",INDEX('Compliance Database'!$G$2:$G$1369,MATCH(920,'Transfer Engine'!$C$2:$C$1369,0)))</f>
        <v/>
      </c>
      <c r="H929" s="9">
        <f>IF(ISNA(MATCH(920,'Transfer Engine'!$C$2:$C$1369,0)),"",INDEX('Compliance Database'!$H$2:$H$1369,MATCH(920,'Transfer Engine'!$C$2:$C$1369,0)))</f>
        <v/>
      </c>
      <c r="I929" s="9">
        <f>IF(ISNA(MATCH(920,'Transfer Engine'!$C$2:$C$1369,0)),"",INDEX('Compliance Database'!$I$2:$I$1369,MATCH(920,'Transfer Engine'!$C$2:$C$1369,0)))</f>
        <v/>
      </c>
      <c r="J929" s="8">
        <f>IF(ISNA(MATCH(920,'Transfer Engine'!$C$2:$C$1369,0)),"",INDEX('Compliance Database'!$J$2:$J$1369,MATCH(920,'Transfer Engine'!$C$2:$C$1369,0)))</f>
        <v/>
      </c>
      <c r="K929" s="9">
        <f>IF(ISNA(MATCH(920,'Transfer Engine'!$C$2:$C$1369,0)),"",INDEX('Compliance Database'!$K$2:$K$1369,MATCH(920,'Transfer Engine'!$C$2:$C$1369,0)))</f>
        <v/>
      </c>
      <c r="L929" s="9">
        <f>IF(ISNA(MATCH(920,'Transfer Engine'!$C$2:$C$1369,0)),"",INDEX('Compliance Database'!$L$2:$L$1369,MATCH(920,'Transfer Engine'!$C$2:$C$1369,0)))</f>
        <v/>
      </c>
      <c r="M929" s="9">
        <f>IF(ISNA(MATCH(920,'Transfer Engine'!$C$2:$C$1369,0)),"",INDEX('Compliance Database'!$M$2:$M$1369,MATCH(920,'Transfer Engine'!$C$2:$C$1369,0)))</f>
        <v/>
      </c>
      <c r="N929" s="9">
        <f>IF(ISNA(MATCH(920,'Transfer Engine'!$C$2:$C$1369,0)),"",INDEX('Compliance Database'!$N$2:$N$1369,MATCH(920,'Transfer Engine'!$C$2:$C$1369,0)))</f>
        <v/>
      </c>
      <c r="O929" s="8">
        <f>IF(ISNA(MATCH(920,'Transfer Engine'!$C$2:$C$1369,0)),"",HYPERLINK(INDEX('Compliance Database'!$O$2:$O$1369,MATCH(920,'Transfer Engine'!$C$2:$C$1369,0)),"Open PDF"))</f>
        <v/>
      </c>
    </row>
    <row r="930" ht="188" customHeight="1">
      <c r="A930" s="8">
        <f>IF(ISNA(MATCH(921,'Transfer Engine'!$C$2:$C$1369,0)),"",INDEX('Compliance Database'!$A$2:$A$1369,MATCH(921,'Transfer Engine'!$C$2:$C$1369,0)))</f>
        <v/>
      </c>
      <c r="B930" s="8">
        <f>IF(ISNA(MATCH(921,'Transfer Engine'!$C$2:$C$1369,0)),"",INDEX('Compliance Database'!$B$2:$B$1369,MATCH(921,'Transfer Engine'!$C$2:$C$1369,0)))</f>
        <v/>
      </c>
      <c r="C930" s="8">
        <f>IF(ISNA(MATCH(921,'Transfer Engine'!$C$2:$C$1369,0)),"",INDEX('Compliance Database'!$C$2:$C$1369,MATCH(921,'Transfer Engine'!$C$2:$C$1369,0)))</f>
        <v/>
      </c>
      <c r="D930" s="9">
        <f>IF(ISNA(MATCH(921,'Transfer Engine'!$C$2:$C$1369,0)),"",INDEX('Compliance Database'!$D$2:$D$1369,MATCH(921,'Transfer Engine'!$C$2:$C$1369,0)))</f>
        <v/>
      </c>
      <c r="E930" s="8">
        <f>IF(ISNA(MATCH(921,'Transfer Engine'!$C$2:$C$1369,0)),"",INDEX('Compliance Database'!$E$2:$E$1369,MATCH(921,'Transfer Engine'!$C$2:$C$1369,0)))</f>
        <v/>
      </c>
      <c r="F930" s="8">
        <f>IF(ISNA(MATCH(921,'Transfer Engine'!$C$2:$C$1369,0)),"",INDEX('Compliance Database'!$F$2:$F$1369,MATCH(921,'Transfer Engine'!$C$2:$C$1369,0)))</f>
        <v/>
      </c>
      <c r="G930" s="8">
        <f>IF(ISNA(MATCH(921,'Transfer Engine'!$C$2:$C$1369,0)),"",INDEX('Compliance Database'!$G$2:$G$1369,MATCH(921,'Transfer Engine'!$C$2:$C$1369,0)))</f>
        <v/>
      </c>
      <c r="H930" s="9">
        <f>IF(ISNA(MATCH(921,'Transfer Engine'!$C$2:$C$1369,0)),"",INDEX('Compliance Database'!$H$2:$H$1369,MATCH(921,'Transfer Engine'!$C$2:$C$1369,0)))</f>
        <v/>
      </c>
      <c r="I930" s="9">
        <f>IF(ISNA(MATCH(921,'Transfer Engine'!$C$2:$C$1369,0)),"",INDEX('Compliance Database'!$I$2:$I$1369,MATCH(921,'Transfer Engine'!$C$2:$C$1369,0)))</f>
        <v/>
      </c>
      <c r="J930" s="8">
        <f>IF(ISNA(MATCH(921,'Transfer Engine'!$C$2:$C$1369,0)),"",INDEX('Compliance Database'!$J$2:$J$1369,MATCH(921,'Transfer Engine'!$C$2:$C$1369,0)))</f>
        <v/>
      </c>
      <c r="K930" s="9">
        <f>IF(ISNA(MATCH(921,'Transfer Engine'!$C$2:$C$1369,0)),"",INDEX('Compliance Database'!$K$2:$K$1369,MATCH(921,'Transfer Engine'!$C$2:$C$1369,0)))</f>
        <v/>
      </c>
      <c r="L930" s="9">
        <f>IF(ISNA(MATCH(921,'Transfer Engine'!$C$2:$C$1369,0)),"",INDEX('Compliance Database'!$L$2:$L$1369,MATCH(921,'Transfer Engine'!$C$2:$C$1369,0)))</f>
        <v/>
      </c>
      <c r="M930" s="9">
        <f>IF(ISNA(MATCH(921,'Transfer Engine'!$C$2:$C$1369,0)),"",INDEX('Compliance Database'!$M$2:$M$1369,MATCH(921,'Transfer Engine'!$C$2:$C$1369,0)))</f>
        <v/>
      </c>
      <c r="N930" s="9">
        <f>IF(ISNA(MATCH(921,'Transfer Engine'!$C$2:$C$1369,0)),"",INDEX('Compliance Database'!$N$2:$N$1369,MATCH(921,'Transfer Engine'!$C$2:$C$1369,0)))</f>
        <v/>
      </c>
      <c r="O930" s="8">
        <f>IF(ISNA(MATCH(921,'Transfer Engine'!$C$2:$C$1369,0)),"",HYPERLINK(INDEX('Compliance Database'!$O$2:$O$1369,MATCH(921,'Transfer Engine'!$C$2:$C$1369,0)),"Open PDF"))</f>
        <v/>
      </c>
    </row>
    <row r="931" ht="188" customHeight="1">
      <c r="A931" s="8">
        <f>IF(ISNA(MATCH(922,'Transfer Engine'!$C$2:$C$1369,0)),"",INDEX('Compliance Database'!$A$2:$A$1369,MATCH(922,'Transfer Engine'!$C$2:$C$1369,0)))</f>
        <v/>
      </c>
      <c r="B931" s="8">
        <f>IF(ISNA(MATCH(922,'Transfer Engine'!$C$2:$C$1369,0)),"",INDEX('Compliance Database'!$B$2:$B$1369,MATCH(922,'Transfer Engine'!$C$2:$C$1369,0)))</f>
        <v/>
      </c>
      <c r="C931" s="8">
        <f>IF(ISNA(MATCH(922,'Transfer Engine'!$C$2:$C$1369,0)),"",INDEX('Compliance Database'!$C$2:$C$1369,MATCH(922,'Transfer Engine'!$C$2:$C$1369,0)))</f>
        <v/>
      </c>
      <c r="D931" s="9">
        <f>IF(ISNA(MATCH(922,'Transfer Engine'!$C$2:$C$1369,0)),"",INDEX('Compliance Database'!$D$2:$D$1369,MATCH(922,'Transfer Engine'!$C$2:$C$1369,0)))</f>
        <v/>
      </c>
      <c r="E931" s="8">
        <f>IF(ISNA(MATCH(922,'Transfer Engine'!$C$2:$C$1369,0)),"",INDEX('Compliance Database'!$E$2:$E$1369,MATCH(922,'Transfer Engine'!$C$2:$C$1369,0)))</f>
        <v/>
      </c>
      <c r="F931" s="8">
        <f>IF(ISNA(MATCH(922,'Transfer Engine'!$C$2:$C$1369,0)),"",INDEX('Compliance Database'!$F$2:$F$1369,MATCH(922,'Transfer Engine'!$C$2:$C$1369,0)))</f>
        <v/>
      </c>
      <c r="G931" s="8">
        <f>IF(ISNA(MATCH(922,'Transfer Engine'!$C$2:$C$1369,0)),"",INDEX('Compliance Database'!$G$2:$G$1369,MATCH(922,'Transfer Engine'!$C$2:$C$1369,0)))</f>
        <v/>
      </c>
      <c r="H931" s="9">
        <f>IF(ISNA(MATCH(922,'Transfer Engine'!$C$2:$C$1369,0)),"",INDEX('Compliance Database'!$H$2:$H$1369,MATCH(922,'Transfer Engine'!$C$2:$C$1369,0)))</f>
        <v/>
      </c>
      <c r="I931" s="9">
        <f>IF(ISNA(MATCH(922,'Transfer Engine'!$C$2:$C$1369,0)),"",INDEX('Compliance Database'!$I$2:$I$1369,MATCH(922,'Transfer Engine'!$C$2:$C$1369,0)))</f>
        <v/>
      </c>
      <c r="J931" s="8">
        <f>IF(ISNA(MATCH(922,'Transfer Engine'!$C$2:$C$1369,0)),"",INDEX('Compliance Database'!$J$2:$J$1369,MATCH(922,'Transfer Engine'!$C$2:$C$1369,0)))</f>
        <v/>
      </c>
      <c r="K931" s="9">
        <f>IF(ISNA(MATCH(922,'Transfer Engine'!$C$2:$C$1369,0)),"",INDEX('Compliance Database'!$K$2:$K$1369,MATCH(922,'Transfer Engine'!$C$2:$C$1369,0)))</f>
        <v/>
      </c>
      <c r="L931" s="9">
        <f>IF(ISNA(MATCH(922,'Transfer Engine'!$C$2:$C$1369,0)),"",INDEX('Compliance Database'!$L$2:$L$1369,MATCH(922,'Transfer Engine'!$C$2:$C$1369,0)))</f>
        <v/>
      </c>
      <c r="M931" s="9">
        <f>IF(ISNA(MATCH(922,'Transfer Engine'!$C$2:$C$1369,0)),"",INDEX('Compliance Database'!$M$2:$M$1369,MATCH(922,'Transfer Engine'!$C$2:$C$1369,0)))</f>
        <v/>
      </c>
      <c r="N931" s="9">
        <f>IF(ISNA(MATCH(922,'Transfer Engine'!$C$2:$C$1369,0)),"",INDEX('Compliance Database'!$N$2:$N$1369,MATCH(922,'Transfer Engine'!$C$2:$C$1369,0)))</f>
        <v/>
      </c>
      <c r="O931" s="8">
        <f>IF(ISNA(MATCH(922,'Transfer Engine'!$C$2:$C$1369,0)),"",HYPERLINK(INDEX('Compliance Database'!$O$2:$O$1369,MATCH(922,'Transfer Engine'!$C$2:$C$1369,0)),"Open PDF"))</f>
        <v/>
      </c>
    </row>
    <row r="932" ht="188" customHeight="1">
      <c r="A932" s="8">
        <f>IF(ISNA(MATCH(923,'Transfer Engine'!$C$2:$C$1369,0)),"",INDEX('Compliance Database'!$A$2:$A$1369,MATCH(923,'Transfer Engine'!$C$2:$C$1369,0)))</f>
        <v/>
      </c>
      <c r="B932" s="8">
        <f>IF(ISNA(MATCH(923,'Transfer Engine'!$C$2:$C$1369,0)),"",INDEX('Compliance Database'!$B$2:$B$1369,MATCH(923,'Transfer Engine'!$C$2:$C$1369,0)))</f>
        <v/>
      </c>
      <c r="C932" s="8">
        <f>IF(ISNA(MATCH(923,'Transfer Engine'!$C$2:$C$1369,0)),"",INDEX('Compliance Database'!$C$2:$C$1369,MATCH(923,'Transfer Engine'!$C$2:$C$1369,0)))</f>
        <v/>
      </c>
      <c r="D932" s="9">
        <f>IF(ISNA(MATCH(923,'Transfer Engine'!$C$2:$C$1369,0)),"",INDEX('Compliance Database'!$D$2:$D$1369,MATCH(923,'Transfer Engine'!$C$2:$C$1369,0)))</f>
        <v/>
      </c>
      <c r="E932" s="8">
        <f>IF(ISNA(MATCH(923,'Transfer Engine'!$C$2:$C$1369,0)),"",INDEX('Compliance Database'!$E$2:$E$1369,MATCH(923,'Transfer Engine'!$C$2:$C$1369,0)))</f>
        <v/>
      </c>
      <c r="F932" s="8">
        <f>IF(ISNA(MATCH(923,'Transfer Engine'!$C$2:$C$1369,0)),"",INDEX('Compliance Database'!$F$2:$F$1369,MATCH(923,'Transfer Engine'!$C$2:$C$1369,0)))</f>
        <v/>
      </c>
      <c r="G932" s="8">
        <f>IF(ISNA(MATCH(923,'Transfer Engine'!$C$2:$C$1369,0)),"",INDEX('Compliance Database'!$G$2:$G$1369,MATCH(923,'Transfer Engine'!$C$2:$C$1369,0)))</f>
        <v/>
      </c>
      <c r="H932" s="9">
        <f>IF(ISNA(MATCH(923,'Transfer Engine'!$C$2:$C$1369,0)),"",INDEX('Compliance Database'!$H$2:$H$1369,MATCH(923,'Transfer Engine'!$C$2:$C$1369,0)))</f>
        <v/>
      </c>
      <c r="I932" s="9">
        <f>IF(ISNA(MATCH(923,'Transfer Engine'!$C$2:$C$1369,0)),"",INDEX('Compliance Database'!$I$2:$I$1369,MATCH(923,'Transfer Engine'!$C$2:$C$1369,0)))</f>
        <v/>
      </c>
      <c r="J932" s="8">
        <f>IF(ISNA(MATCH(923,'Transfer Engine'!$C$2:$C$1369,0)),"",INDEX('Compliance Database'!$J$2:$J$1369,MATCH(923,'Transfer Engine'!$C$2:$C$1369,0)))</f>
        <v/>
      </c>
      <c r="K932" s="9">
        <f>IF(ISNA(MATCH(923,'Transfer Engine'!$C$2:$C$1369,0)),"",INDEX('Compliance Database'!$K$2:$K$1369,MATCH(923,'Transfer Engine'!$C$2:$C$1369,0)))</f>
        <v/>
      </c>
      <c r="L932" s="9">
        <f>IF(ISNA(MATCH(923,'Transfer Engine'!$C$2:$C$1369,0)),"",INDEX('Compliance Database'!$L$2:$L$1369,MATCH(923,'Transfer Engine'!$C$2:$C$1369,0)))</f>
        <v/>
      </c>
      <c r="M932" s="9">
        <f>IF(ISNA(MATCH(923,'Transfer Engine'!$C$2:$C$1369,0)),"",INDEX('Compliance Database'!$M$2:$M$1369,MATCH(923,'Transfer Engine'!$C$2:$C$1369,0)))</f>
        <v/>
      </c>
      <c r="N932" s="9">
        <f>IF(ISNA(MATCH(923,'Transfer Engine'!$C$2:$C$1369,0)),"",INDEX('Compliance Database'!$N$2:$N$1369,MATCH(923,'Transfer Engine'!$C$2:$C$1369,0)))</f>
        <v/>
      </c>
      <c r="O932" s="8">
        <f>IF(ISNA(MATCH(923,'Transfer Engine'!$C$2:$C$1369,0)),"",HYPERLINK(INDEX('Compliance Database'!$O$2:$O$1369,MATCH(923,'Transfer Engine'!$C$2:$C$1369,0)),"Open PDF"))</f>
        <v/>
      </c>
    </row>
    <row r="933" ht="188" customHeight="1">
      <c r="A933" s="8">
        <f>IF(ISNA(MATCH(924,'Transfer Engine'!$C$2:$C$1369,0)),"",INDEX('Compliance Database'!$A$2:$A$1369,MATCH(924,'Transfer Engine'!$C$2:$C$1369,0)))</f>
        <v/>
      </c>
      <c r="B933" s="8">
        <f>IF(ISNA(MATCH(924,'Transfer Engine'!$C$2:$C$1369,0)),"",INDEX('Compliance Database'!$B$2:$B$1369,MATCH(924,'Transfer Engine'!$C$2:$C$1369,0)))</f>
        <v/>
      </c>
      <c r="C933" s="8">
        <f>IF(ISNA(MATCH(924,'Transfer Engine'!$C$2:$C$1369,0)),"",INDEX('Compliance Database'!$C$2:$C$1369,MATCH(924,'Transfer Engine'!$C$2:$C$1369,0)))</f>
        <v/>
      </c>
      <c r="D933" s="9">
        <f>IF(ISNA(MATCH(924,'Transfer Engine'!$C$2:$C$1369,0)),"",INDEX('Compliance Database'!$D$2:$D$1369,MATCH(924,'Transfer Engine'!$C$2:$C$1369,0)))</f>
        <v/>
      </c>
      <c r="E933" s="8">
        <f>IF(ISNA(MATCH(924,'Transfer Engine'!$C$2:$C$1369,0)),"",INDEX('Compliance Database'!$E$2:$E$1369,MATCH(924,'Transfer Engine'!$C$2:$C$1369,0)))</f>
        <v/>
      </c>
      <c r="F933" s="8">
        <f>IF(ISNA(MATCH(924,'Transfer Engine'!$C$2:$C$1369,0)),"",INDEX('Compliance Database'!$F$2:$F$1369,MATCH(924,'Transfer Engine'!$C$2:$C$1369,0)))</f>
        <v/>
      </c>
      <c r="G933" s="8">
        <f>IF(ISNA(MATCH(924,'Transfer Engine'!$C$2:$C$1369,0)),"",INDEX('Compliance Database'!$G$2:$G$1369,MATCH(924,'Transfer Engine'!$C$2:$C$1369,0)))</f>
        <v/>
      </c>
      <c r="H933" s="9">
        <f>IF(ISNA(MATCH(924,'Transfer Engine'!$C$2:$C$1369,0)),"",INDEX('Compliance Database'!$H$2:$H$1369,MATCH(924,'Transfer Engine'!$C$2:$C$1369,0)))</f>
        <v/>
      </c>
      <c r="I933" s="9">
        <f>IF(ISNA(MATCH(924,'Transfer Engine'!$C$2:$C$1369,0)),"",INDEX('Compliance Database'!$I$2:$I$1369,MATCH(924,'Transfer Engine'!$C$2:$C$1369,0)))</f>
        <v/>
      </c>
      <c r="J933" s="8">
        <f>IF(ISNA(MATCH(924,'Transfer Engine'!$C$2:$C$1369,0)),"",INDEX('Compliance Database'!$J$2:$J$1369,MATCH(924,'Transfer Engine'!$C$2:$C$1369,0)))</f>
        <v/>
      </c>
      <c r="K933" s="9">
        <f>IF(ISNA(MATCH(924,'Transfer Engine'!$C$2:$C$1369,0)),"",INDEX('Compliance Database'!$K$2:$K$1369,MATCH(924,'Transfer Engine'!$C$2:$C$1369,0)))</f>
        <v/>
      </c>
      <c r="L933" s="9">
        <f>IF(ISNA(MATCH(924,'Transfer Engine'!$C$2:$C$1369,0)),"",INDEX('Compliance Database'!$L$2:$L$1369,MATCH(924,'Transfer Engine'!$C$2:$C$1369,0)))</f>
        <v/>
      </c>
      <c r="M933" s="9">
        <f>IF(ISNA(MATCH(924,'Transfer Engine'!$C$2:$C$1369,0)),"",INDEX('Compliance Database'!$M$2:$M$1369,MATCH(924,'Transfer Engine'!$C$2:$C$1369,0)))</f>
        <v/>
      </c>
      <c r="N933" s="9">
        <f>IF(ISNA(MATCH(924,'Transfer Engine'!$C$2:$C$1369,0)),"",INDEX('Compliance Database'!$N$2:$N$1369,MATCH(924,'Transfer Engine'!$C$2:$C$1369,0)))</f>
        <v/>
      </c>
      <c r="O933" s="8">
        <f>IF(ISNA(MATCH(924,'Transfer Engine'!$C$2:$C$1369,0)),"",HYPERLINK(INDEX('Compliance Database'!$O$2:$O$1369,MATCH(924,'Transfer Engine'!$C$2:$C$1369,0)),"Open PDF"))</f>
        <v/>
      </c>
    </row>
    <row r="934" ht="188" customHeight="1">
      <c r="A934" s="8">
        <f>IF(ISNA(MATCH(925,'Transfer Engine'!$C$2:$C$1369,0)),"",INDEX('Compliance Database'!$A$2:$A$1369,MATCH(925,'Transfer Engine'!$C$2:$C$1369,0)))</f>
        <v/>
      </c>
      <c r="B934" s="8">
        <f>IF(ISNA(MATCH(925,'Transfer Engine'!$C$2:$C$1369,0)),"",INDEX('Compliance Database'!$B$2:$B$1369,MATCH(925,'Transfer Engine'!$C$2:$C$1369,0)))</f>
        <v/>
      </c>
      <c r="C934" s="8">
        <f>IF(ISNA(MATCH(925,'Transfer Engine'!$C$2:$C$1369,0)),"",INDEX('Compliance Database'!$C$2:$C$1369,MATCH(925,'Transfer Engine'!$C$2:$C$1369,0)))</f>
        <v/>
      </c>
      <c r="D934" s="9">
        <f>IF(ISNA(MATCH(925,'Transfer Engine'!$C$2:$C$1369,0)),"",INDEX('Compliance Database'!$D$2:$D$1369,MATCH(925,'Transfer Engine'!$C$2:$C$1369,0)))</f>
        <v/>
      </c>
      <c r="E934" s="8">
        <f>IF(ISNA(MATCH(925,'Transfer Engine'!$C$2:$C$1369,0)),"",INDEX('Compliance Database'!$E$2:$E$1369,MATCH(925,'Transfer Engine'!$C$2:$C$1369,0)))</f>
        <v/>
      </c>
      <c r="F934" s="8">
        <f>IF(ISNA(MATCH(925,'Transfer Engine'!$C$2:$C$1369,0)),"",INDEX('Compliance Database'!$F$2:$F$1369,MATCH(925,'Transfer Engine'!$C$2:$C$1369,0)))</f>
        <v/>
      </c>
      <c r="G934" s="8">
        <f>IF(ISNA(MATCH(925,'Transfer Engine'!$C$2:$C$1369,0)),"",INDEX('Compliance Database'!$G$2:$G$1369,MATCH(925,'Transfer Engine'!$C$2:$C$1369,0)))</f>
        <v/>
      </c>
      <c r="H934" s="9">
        <f>IF(ISNA(MATCH(925,'Transfer Engine'!$C$2:$C$1369,0)),"",INDEX('Compliance Database'!$H$2:$H$1369,MATCH(925,'Transfer Engine'!$C$2:$C$1369,0)))</f>
        <v/>
      </c>
      <c r="I934" s="9">
        <f>IF(ISNA(MATCH(925,'Transfer Engine'!$C$2:$C$1369,0)),"",INDEX('Compliance Database'!$I$2:$I$1369,MATCH(925,'Transfer Engine'!$C$2:$C$1369,0)))</f>
        <v/>
      </c>
      <c r="J934" s="8">
        <f>IF(ISNA(MATCH(925,'Transfer Engine'!$C$2:$C$1369,0)),"",INDEX('Compliance Database'!$J$2:$J$1369,MATCH(925,'Transfer Engine'!$C$2:$C$1369,0)))</f>
        <v/>
      </c>
      <c r="K934" s="9">
        <f>IF(ISNA(MATCH(925,'Transfer Engine'!$C$2:$C$1369,0)),"",INDEX('Compliance Database'!$K$2:$K$1369,MATCH(925,'Transfer Engine'!$C$2:$C$1369,0)))</f>
        <v/>
      </c>
      <c r="L934" s="9">
        <f>IF(ISNA(MATCH(925,'Transfer Engine'!$C$2:$C$1369,0)),"",INDEX('Compliance Database'!$L$2:$L$1369,MATCH(925,'Transfer Engine'!$C$2:$C$1369,0)))</f>
        <v/>
      </c>
      <c r="M934" s="9">
        <f>IF(ISNA(MATCH(925,'Transfer Engine'!$C$2:$C$1369,0)),"",INDEX('Compliance Database'!$M$2:$M$1369,MATCH(925,'Transfer Engine'!$C$2:$C$1369,0)))</f>
        <v/>
      </c>
      <c r="N934" s="9">
        <f>IF(ISNA(MATCH(925,'Transfer Engine'!$C$2:$C$1369,0)),"",INDEX('Compliance Database'!$N$2:$N$1369,MATCH(925,'Transfer Engine'!$C$2:$C$1369,0)))</f>
        <v/>
      </c>
      <c r="O934" s="8">
        <f>IF(ISNA(MATCH(925,'Transfer Engine'!$C$2:$C$1369,0)),"",HYPERLINK(INDEX('Compliance Database'!$O$2:$O$1369,MATCH(925,'Transfer Engine'!$C$2:$C$1369,0)),"Open PDF"))</f>
        <v/>
      </c>
    </row>
    <row r="935" ht="188" customHeight="1">
      <c r="A935" s="8">
        <f>IF(ISNA(MATCH(926,'Transfer Engine'!$C$2:$C$1369,0)),"",INDEX('Compliance Database'!$A$2:$A$1369,MATCH(926,'Transfer Engine'!$C$2:$C$1369,0)))</f>
        <v/>
      </c>
      <c r="B935" s="8">
        <f>IF(ISNA(MATCH(926,'Transfer Engine'!$C$2:$C$1369,0)),"",INDEX('Compliance Database'!$B$2:$B$1369,MATCH(926,'Transfer Engine'!$C$2:$C$1369,0)))</f>
        <v/>
      </c>
      <c r="C935" s="8">
        <f>IF(ISNA(MATCH(926,'Transfer Engine'!$C$2:$C$1369,0)),"",INDEX('Compliance Database'!$C$2:$C$1369,MATCH(926,'Transfer Engine'!$C$2:$C$1369,0)))</f>
        <v/>
      </c>
      <c r="D935" s="9">
        <f>IF(ISNA(MATCH(926,'Transfer Engine'!$C$2:$C$1369,0)),"",INDEX('Compliance Database'!$D$2:$D$1369,MATCH(926,'Transfer Engine'!$C$2:$C$1369,0)))</f>
        <v/>
      </c>
      <c r="E935" s="8">
        <f>IF(ISNA(MATCH(926,'Transfer Engine'!$C$2:$C$1369,0)),"",INDEX('Compliance Database'!$E$2:$E$1369,MATCH(926,'Transfer Engine'!$C$2:$C$1369,0)))</f>
        <v/>
      </c>
      <c r="F935" s="8">
        <f>IF(ISNA(MATCH(926,'Transfer Engine'!$C$2:$C$1369,0)),"",INDEX('Compliance Database'!$F$2:$F$1369,MATCH(926,'Transfer Engine'!$C$2:$C$1369,0)))</f>
        <v/>
      </c>
      <c r="G935" s="8">
        <f>IF(ISNA(MATCH(926,'Transfer Engine'!$C$2:$C$1369,0)),"",INDEX('Compliance Database'!$G$2:$G$1369,MATCH(926,'Transfer Engine'!$C$2:$C$1369,0)))</f>
        <v/>
      </c>
      <c r="H935" s="9">
        <f>IF(ISNA(MATCH(926,'Transfer Engine'!$C$2:$C$1369,0)),"",INDEX('Compliance Database'!$H$2:$H$1369,MATCH(926,'Transfer Engine'!$C$2:$C$1369,0)))</f>
        <v/>
      </c>
      <c r="I935" s="9">
        <f>IF(ISNA(MATCH(926,'Transfer Engine'!$C$2:$C$1369,0)),"",INDEX('Compliance Database'!$I$2:$I$1369,MATCH(926,'Transfer Engine'!$C$2:$C$1369,0)))</f>
        <v/>
      </c>
      <c r="J935" s="8">
        <f>IF(ISNA(MATCH(926,'Transfer Engine'!$C$2:$C$1369,0)),"",INDEX('Compliance Database'!$J$2:$J$1369,MATCH(926,'Transfer Engine'!$C$2:$C$1369,0)))</f>
        <v/>
      </c>
      <c r="K935" s="9">
        <f>IF(ISNA(MATCH(926,'Transfer Engine'!$C$2:$C$1369,0)),"",INDEX('Compliance Database'!$K$2:$K$1369,MATCH(926,'Transfer Engine'!$C$2:$C$1369,0)))</f>
        <v/>
      </c>
      <c r="L935" s="9">
        <f>IF(ISNA(MATCH(926,'Transfer Engine'!$C$2:$C$1369,0)),"",INDEX('Compliance Database'!$L$2:$L$1369,MATCH(926,'Transfer Engine'!$C$2:$C$1369,0)))</f>
        <v/>
      </c>
      <c r="M935" s="9">
        <f>IF(ISNA(MATCH(926,'Transfer Engine'!$C$2:$C$1369,0)),"",INDEX('Compliance Database'!$M$2:$M$1369,MATCH(926,'Transfer Engine'!$C$2:$C$1369,0)))</f>
        <v/>
      </c>
      <c r="N935" s="9">
        <f>IF(ISNA(MATCH(926,'Transfer Engine'!$C$2:$C$1369,0)),"",INDEX('Compliance Database'!$N$2:$N$1369,MATCH(926,'Transfer Engine'!$C$2:$C$1369,0)))</f>
        <v/>
      </c>
      <c r="O935" s="8">
        <f>IF(ISNA(MATCH(926,'Transfer Engine'!$C$2:$C$1369,0)),"",HYPERLINK(INDEX('Compliance Database'!$O$2:$O$1369,MATCH(926,'Transfer Engine'!$C$2:$C$1369,0)),"Open PDF"))</f>
        <v/>
      </c>
    </row>
    <row r="936" ht="188" customHeight="1">
      <c r="A936" s="8">
        <f>IF(ISNA(MATCH(927,'Transfer Engine'!$C$2:$C$1369,0)),"",INDEX('Compliance Database'!$A$2:$A$1369,MATCH(927,'Transfer Engine'!$C$2:$C$1369,0)))</f>
        <v/>
      </c>
      <c r="B936" s="8">
        <f>IF(ISNA(MATCH(927,'Transfer Engine'!$C$2:$C$1369,0)),"",INDEX('Compliance Database'!$B$2:$B$1369,MATCH(927,'Transfer Engine'!$C$2:$C$1369,0)))</f>
        <v/>
      </c>
      <c r="C936" s="8">
        <f>IF(ISNA(MATCH(927,'Transfer Engine'!$C$2:$C$1369,0)),"",INDEX('Compliance Database'!$C$2:$C$1369,MATCH(927,'Transfer Engine'!$C$2:$C$1369,0)))</f>
        <v/>
      </c>
      <c r="D936" s="9">
        <f>IF(ISNA(MATCH(927,'Transfer Engine'!$C$2:$C$1369,0)),"",INDEX('Compliance Database'!$D$2:$D$1369,MATCH(927,'Transfer Engine'!$C$2:$C$1369,0)))</f>
        <v/>
      </c>
      <c r="E936" s="8">
        <f>IF(ISNA(MATCH(927,'Transfer Engine'!$C$2:$C$1369,0)),"",INDEX('Compliance Database'!$E$2:$E$1369,MATCH(927,'Transfer Engine'!$C$2:$C$1369,0)))</f>
        <v/>
      </c>
      <c r="F936" s="8">
        <f>IF(ISNA(MATCH(927,'Transfer Engine'!$C$2:$C$1369,0)),"",INDEX('Compliance Database'!$F$2:$F$1369,MATCH(927,'Transfer Engine'!$C$2:$C$1369,0)))</f>
        <v/>
      </c>
      <c r="G936" s="8">
        <f>IF(ISNA(MATCH(927,'Transfer Engine'!$C$2:$C$1369,0)),"",INDEX('Compliance Database'!$G$2:$G$1369,MATCH(927,'Transfer Engine'!$C$2:$C$1369,0)))</f>
        <v/>
      </c>
      <c r="H936" s="9">
        <f>IF(ISNA(MATCH(927,'Transfer Engine'!$C$2:$C$1369,0)),"",INDEX('Compliance Database'!$H$2:$H$1369,MATCH(927,'Transfer Engine'!$C$2:$C$1369,0)))</f>
        <v/>
      </c>
      <c r="I936" s="9">
        <f>IF(ISNA(MATCH(927,'Transfer Engine'!$C$2:$C$1369,0)),"",INDEX('Compliance Database'!$I$2:$I$1369,MATCH(927,'Transfer Engine'!$C$2:$C$1369,0)))</f>
        <v/>
      </c>
      <c r="J936" s="8">
        <f>IF(ISNA(MATCH(927,'Transfer Engine'!$C$2:$C$1369,0)),"",INDEX('Compliance Database'!$J$2:$J$1369,MATCH(927,'Transfer Engine'!$C$2:$C$1369,0)))</f>
        <v/>
      </c>
      <c r="K936" s="9">
        <f>IF(ISNA(MATCH(927,'Transfer Engine'!$C$2:$C$1369,0)),"",INDEX('Compliance Database'!$K$2:$K$1369,MATCH(927,'Transfer Engine'!$C$2:$C$1369,0)))</f>
        <v/>
      </c>
      <c r="L936" s="9">
        <f>IF(ISNA(MATCH(927,'Transfer Engine'!$C$2:$C$1369,0)),"",INDEX('Compliance Database'!$L$2:$L$1369,MATCH(927,'Transfer Engine'!$C$2:$C$1369,0)))</f>
        <v/>
      </c>
      <c r="M936" s="9">
        <f>IF(ISNA(MATCH(927,'Transfer Engine'!$C$2:$C$1369,0)),"",INDEX('Compliance Database'!$M$2:$M$1369,MATCH(927,'Transfer Engine'!$C$2:$C$1369,0)))</f>
        <v/>
      </c>
      <c r="N936" s="9">
        <f>IF(ISNA(MATCH(927,'Transfer Engine'!$C$2:$C$1369,0)),"",INDEX('Compliance Database'!$N$2:$N$1369,MATCH(927,'Transfer Engine'!$C$2:$C$1369,0)))</f>
        <v/>
      </c>
      <c r="O936" s="8">
        <f>IF(ISNA(MATCH(927,'Transfer Engine'!$C$2:$C$1369,0)),"",HYPERLINK(INDEX('Compliance Database'!$O$2:$O$1369,MATCH(927,'Transfer Engine'!$C$2:$C$1369,0)),"Open PDF"))</f>
        <v/>
      </c>
    </row>
    <row r="937" ht="188" customHeight="1">
      <c r="A937" s="8">
        <f>IF(ISNA(MATCH(928,'Transfer Engine'!$C$2:$C$1369,0)),"",INDEX('Compliance Database'!$A$2:$A$1369,MATCH(928,'Transfer Engine'!$C$2:$C$1369,0)))</f>
        <v/>
      </c>
      <c r="B937" s="8">
        <f>IF(ISNA(MATCH(928,'Transfer Engine'!$C$2:$C$1369,0)),"",INDEX('Compliance Database'!$B$2:$B$1369,MATCH(928,'Transfer Engine'!$C$2:$C$1369,0)))</f>
        <v/>
      </c>
      <c r="C937" s="8">
        <f>IF(ISNA(MATCH(928,'Transfer Engine'!$C$2:$C$1369,0)),"",INDEX('Compliance Database'!$C$2:$C$1369,MATCH(928,'Transfer Engine'!$C$2:$C$1369,0)))</f>
        <v/>
      </c>
      <c r="D937" s="9">
        <f>IF(ISNA(MATCH(928,'Transfer Engine'!$C$2:$C$1369,0)),"",INDEX('Compliance Database'!$D$2:$D$1369,MATCH(928,'Transfer Engine'!$C$2:$C$1369,0)))</f>
        <v/>
      </c>
      <c r="E937" s="8">
        <f>IF(ISNA(MATCH(928,'Transfer Engine'!$C$2:$C$1369,0)),"",INDEX('Compliance Database'!$E$2:$E$1369,MATCH(928,'Transfer Engine'!$C$2:$C$1369,0)))</f>
        <v/>
      </c>
      <c r="F937" s="8">
        <f>IF(ISNA(MATCH(928,'Transfer Engine'!$C$2:$C$1369,0)),"",INDEX('Compliance Database'!$F$2:$F$1369,MATCH(928,'Transfer Engine'!$C$2:$C$1369,0)))</f>
        <v/>
      </c>
      <c r="G937" s="8">
        <f>IF(ISNA(MATCH(928,'Transfer Engine'!$C$2:$C$1369,0)),"",INDEX('Compliance Database'!$G$2:$G$1369,MATCH(928,'Transfer Engine'!$C$2:$C$1369,0)))</f>
        <v/>
      </c>
      <c r="H937" s="9">
        <f>IF(ISNA(MATCH(928,'Transfer Engine'!$C$2:$C$1369,0)),"",INDEX('Compliance Database'!$H$2:$H$1369,MATCH(928,'Transfer Engine'!$C$2:$C$1369,0)))</f>
        <v/>
      </c>
      <c r="I937" s="9">
        <f>IF(ISNA(MATCH(928,'Transfer Engine'!$C$2:$C$1369,0)),"",INDEX('Compliance Database'!$I$2:$I$1369,MATCH(928,'Transfer Engine'!$C$2:$C$1369,0)))</f>
        <v/>
      </c>
      <c r="J937" s="8">
        <f>IF(ISNA(MATCH(928,'Transfer Engine'!$C$2:$C$1369,0)),"",INDEX('Compliance Database'!$J$2:$J$1369,MATCH(928,'Transfer Engine'!$C$2:$C$1369,0)))</f>
        <v/>
      </c>
      <c r="K937" s="9">
        <f>IF(ISNA(MATCH(928,'Transfer Engine'!$C$2:$C$1369,0)),"",INDEX('Compliance Database'!$K$2:$K$1369,MATCH(928,'Transfer Engine'!$C$2:$C$1369,0)))</f>
        <v/>
      </c>
      <c r="L937" s="9">
        <f>IF(ISNA(MATCH(928,'Transfer Engine'!$C$2:$C$1369,0)),"",INDEX('Compliance Database'!$L$2:$L$1369,MATCH(928,'Transfer Engine'!$C$2:$C$1369,0)))</f>
        <v/>
      </c>
      <c r="M937" s="9">
        <f>IF(ISNA(MATCH(928,'Transfer Engine'!$C$2:$C$1369,0)),"",INDEX('Compliance Database'!$M$2:$M$1369,MATCH(928,'Transfer Engine'!$C$2:$C$1369,0)))</f>
        <v/>
      </c>
      <c r="N937" s="9">
        <f>IF(ISNA(MATCH(928,'Transfer Engine'!$C$2:$C$1369,0)),"",INDEX('Compliance Database'!$N$2:$N$1369,MATCH(928,'Transfer Engine'!$C$2:$C$1369,0)))</f>
        <v/>
      </c>
      <c r="O937" s="8">
        <f>IF(ISNA(MATCH(928,'Transfer Engine'!$C$2:$C$1369,0)),"",HYPERLINK(INDEX('Compliance Database'!$O$2:$O$1369,MATCH(928,'Transfer Engine'!$C$2:$C$1369,0)),"Open PDF"))</f>
        <v/>
      </c>
    </row>
    <row r="938" ht="188" customHeight="1">
      <c r="A938" s="8">
        <f>IF(ISNA(MATCH(929,'Transfer Engine'!$C$2:$C$1369,0)),"",INDEX('Compliance Database'!$A$2:$A$1369,MATCH(929,'Transfer Engine'!$C$2:$C$1369,0)))</f>
        <v/>
      </c>
      <c r="B938" s="8">
        <f>IF(ISNA(MATCH(929,'Transfer Engine'!$C$2:$C$1369,0)),"",INDEX('Compliance Database'!$B$2:$B$1369,MATCH(929,'Transfer Engine'!$C$2:$C$1369,0)))</f>
        <v/>
      </c>
      <c r="C938" s="8">
        <f>IF(ISNA(MATCH(929,'Transfer Engine'!$C$2:$C$1369,0)),"",INDEX('Compliance Database'!$C$2:$C$1369,MATCH(929,'Transfer Engine'!$C$2:$C$1369,0)))</f>
        <v/>
      </c>
      <c r="D938" s="9">
        <f>IF(ISNA(MATCH(929,'Transfer Engine'!$C$2:$C$1369,0)),"",INDEX('Compliance Database'!$D$2:$D$1369,MATCH(929,'Transfer Engine'!$C$2:$C$1369,0)))</f>
        <v/>
      </c>
      <c r="E938" s="8">
        <f>IF(ISNA(MATCH(929,'Transfer Engine'!$C$2:$C$1369,0)),"",INDEX('Compliance Database'!$E$2:$E$1369,MATCH(929,'Transfer Engine'!$C$2:$C$1369,0)))</f>
        <v/>
      </c>
      <c r="F938" s="8">
        <f>IF(ISNA(MATCH(929,'Transfer Engine'!$C$2:$C$1369,0)),"",INDEX('Compliance Database'!$F$2:$F$1369,MATCH(929,'Transfer Engine'!$C$2:$C$1369,0)))</f>
        <v/>
      </c>
      <c r="G938" s="8">
        <f>IF(ISNA(MATCH(929,'Transfer Engine'!$C$2:$C$1369,0)),"",INDEX('Compliance Database'!$G$2:$G$1369,MATCH(929,'Transfer Engine'!$C$2:$C$1369,0)))</f>
        <v/>
      </c>
      <c r="H938" s="9">
        <f>IF(ISNA(MATCH(929,'Transfer Engine'!$C$2:$C$1369,0)),"",INDEX('Compliance Database'!$H$2:$H$1369,MATCH(929,'Transfer Engine'!$C$2:$C$1369,0)))</f>
        <v/>
      </c>
      <c r="I938" s="9">
        <f>IF(ISNA(MATCH(929,'Transfer Engine'!$C$2:$C$1369,0)),"",INDEX('Compliance Database'!$I$2:$I$1369,MATCH(929,'Transfer Engine'!$C$2:$C$1369,0)))</f>
        <v/>
      </c>
      <c r="J938" s="8">
        <f>IF(ISNA(MATCH(929,'Transfer Engine'!$C$2:$C$1369,0)),"",INDEX('Compliance Database'!$J$2:$J$1369,MATCH(929,'Transfer Engine'!$C$2:$C$1369,0)))</f>
        <v/>
      </c>
      <c r="K938" s="9">
        <f>IF(ISNA(MATCH(929,'Transfer Engine'!$C$2:$C$1369,0)),"",INDEX('Compliance Database'!$K$2:$K$1369,MATCH(929,'Transfer Engine'!$C$2:$C$1369,0)))</f>
        <v/>
      </c>
      <c r="L938" s="9">
        <f>IF(ISNA(MATCH(929,'Transfer Engine'!$C$2:$C$1369,0)),"",INDEX('Compliance Database'!$L$2:$L$1369,MATCH(929,'Transfer Engine'!$C$2:$C$1369,0)))</f>
        <v/>
      </c>
      <c r="M938" s="9">
        <f>IF(ISNA(MATCH(929,'Transfer Engine'!$C$2:$C$1369,0)),"",INDEX('Compliance Database'!$M$2:$M$1369,MATCH(929,'Transfer Engine'!$C$2:$C$1369,0)))</f>
        <v/>
      </c>
      <c r="N938" s="9">
        <f>IF(ISNA(MATCH(929,'Transfer Engine'!$C$2:$C$1369,0)),"",INDEX('Compliance Database'!$N$2:$N$1369,MATCH(929,'Transfer Engine'!$C$2:$C$1369,0)))</f>
        <v/>
      </c>
      <c r="O938" s="8">
        <f>IF(ISNA(MATCH(929,'Transfer Engine'!$C$2:$C$1369,0)),"",HYPERLINK(INDEX('Compliance Database'!$O$2:$O$1369,MATCH(929,'Transfer Engine'!$C$2:$C$1369,0)),"Open PDF"))</f>
        <v/>
      </c>
    </row>
    <row r="939" ht="188" customHeight="1">
      <c r="A939" s="8">
        <f>IF(ISNA(MATCH(930,'Transfer Engine'!$C$2:$C$1369,0)),"",INDEX('Compliance Database'!$A$2:$A$1369,MATCH(930,'Transfer Engine'!$C$2:$C$1369,0)))</f>
        <v/>
      </c>
      <c r="B939" s="8">
        <f>IF(ISNA(MATCH(930,'Transfer Engine'!$C$2:$C$1369,0)),"",INDEX('Compliance Database'!$B$2:$B$1369,MATCH(930,'Transfer Engine'!$C$2:$C$1369,0)))</f>
        <v/>
      </c>
      <c r="C939" s="8">
        <f>IF(ISNA(MATCH(930,'Transfer Engine'!$C$2:$C$1369,0)),"",INDEX('Compliance Database'!$C$2:$C$1369,MATCH(930,'Transfer Engine'!$C$2:$C$1369,0)))</f>
        <v/>
      </c>
      <c r="D939" s="9">
        <f>IF(ISNA(MATCH(930,'Transfer Engine'!$C$2:$C$1369,0)),"",INDEX('Compliance Database'!$D$2:$D$1369,MATCH(930,'Transfer Engine'!$C$2:$C$1369,0)))</f>
        <v/>
      </c>
      <c r="E939" s="8">
        <f>IF(ISNA(MATCH(930,'Transfer Engine'!$C$2:$C$1369,0)),"",INDEX('Compliance Database'!$E$2:$E$1369,MATCH(930,'Transfer Engine'!$C$2:$C$1369,0)))</f>
        <v/>
      </c>
      <c r="F939" s="8">
        <f>IF(ISNA(MATCH(930,'Transfer Engine'!$C$2:$C$1369,0)),"",INDEX('Compliance Database'!$F$2:$F$1369,MATCH(930,'Transfer Engine'!$C$2:$C$1369,0)))</f>
        <v/>
      </c>
      <c r="G939" s="8">
        <f>IF(ISNA(MATCH(930,'Transfer Engine'!$C$2:$C$1369,0)),"",INDEX('Compliance Database'!$G$2:$G$1369,MATCH(930,'Transfer Engine'!$C$2:$C$1369,0)))</f>
        <v/>
      </c>
      <c r="H939" s="9">
        <f>IF(ISNA(MATCH(930,'Transfer Engine'!$C$2:$C$1369,0)),"",INDEX('Compliance Database'!$H$2:$H$1369,MATCH(930,'Transfer Engine'!$C$2:$C$1369,0)))</f>
        <v/>
      </c>
      <c r="I939" s="9">
        <f>IF(ISNA(MATCH(930,'Transfer Engine'!$C$2:$C$1369,0)),"",INDEX('Compliance Database'!$I$2:$I$1369,MATCH(930,'Transfer Engine'!$C$2:$C$1369,0)))</f>
        <v/>
      </c>
      <c r="J939" s="8">
        <f>IF(ISNA(MATCH(930,'Transfer Engine'!$C$2:$C$1369,0)),"",INDEX('Compliance Database'!$J$2:$J$1369,MATCH(930,'Transfer Engine'!$C$2:$C$1369,0)))</f>
        <v/>
      </c>
      <c r="K939" s="9">
        <f>IF(ISNA(MATCH(930,'Transfer Engine'!$C$2:$C$1369,0)),"",INDEX('Compliance Database'!$K$2:$K$1369,MATCH(930,'Transfer Engine'!$C$2:$C$1369,0)))</f>
        <v/>
      </c>
      <c r="L939" s="9">
        <f>IF(ISNA(MATCH(930,'Transfer Engine'!$C$2:$C$1369,0)),"",INDEX('Compliance Database'!$L$2:$L$1369,MATCH(930,'Transfer Engine'!$C$2:$C$1369,0)))</f>
        <v/>
      </c>
      <c r="M939" s="9">
        <f>IF(ISNA(MATCH(930,'Transfer Engine'!$C$2:$C$1369,0)),"",INDEX('Compliance Database'!$M$2:$M$1369,MATCH(930,'Transfer Engine'!$C$2:$C$1369,0)))</f>
        <v/>
      </c>
      <c r="N939" s="9">
        <f>IF(ISNA(MATCH(930,'Transfer Engine'!$C$2:$C$1369,0)),"",INDEX('Compliance Database'!$N$2:$N$1369,MATCH(930,'Transfer Engine'!$C$2:$C$1369,0)))</f>
        <v/>
      </c>
      <c r="O939" s="8">
        <f>IF(ISNA(MATCH(930,'Transfer Engine'!$C$2:$C$1369,0)),"",HYPERLINK(INDEX('Compliance Database'!$O$2:$O$1369,MATCH(930,'Transfer Engine'!$C$2:$C$1369,0)),"Open PDF"))</f>
        <v/>
      </c>
    </row>
    <row r="940" ht="188" customHeight="1">
      <c r="A940" s="8">
        <f>IF(ISNA(MATCH(931,'Transfer Engine'!$C$2:$C$1369,0)),"",INDEX('Compliance Database'!$A$2:$A$1369,MATCH(931,'Transfer Engine'!$C$2:$C$1369,0)))</f>
        <v/>
      </c>
      <c r="B940" s="8">
        <f>IF(ISNA(MATCH(931,'Transfer Engine'!$C$2:$C$1369,0)),"",INDEX('Compliance Database'!$B$2:$B$1369,MATCH(931,'Transfer Engine'!$C$2:$C$1369,0)))</f>
        <v/>
      </c>
      <c r="C940" s="8">
        <f>IF(ISNA(MATCH(931,'Transfer Engine'!$C$2:$C$1369,0)),"",INDEX('Compliance Database'!$C$2:$C$1369,MATCH(931,'Transfer Engine'!$C$2:$C$1369,0)))</f>
        <v/>
      </c>
      <c r="D940" s="9">
        <f>IF(ISNA(MATCH(931,'Transfer Engine'!$C$2:$C$1369,0)),"",INDEX('Compliance Database'!$D$2:$D$1369,MATCH(931,'Transfer Engine'!$C$2:$C$1369,0)))</f>
        <v/>
      </c>
      <c r="E940" s="8">
        <f>IF(ISNA(MATCH(931,'Transfer Engine'!$C$2:$C$1369,0)),"",INDEX('Compliance Database'!$E$2:$E$1369,MATCH(931,'Transfer Engine'!$C$2:$C$1369,0)))</f>
        <v/>
      </c>
      <c r="F940" s="8">
        <f>IF(ISNA(MATCH(931,'Transfer Engine'!$C$2:$C$1369,0)),"",INDEX('Compliance Database'!$F$2:$F$1369,MATCH(931,'Transfer Engine'!$C$2:$C$1369,0)))</f>
        <v/>
      </c>
      <c r="G940" s="8">
        <f>IF(ISNA(MATCH(931,'Transfer Engine'!$C$2:$C$1369,0)),"",INDEX('Compliance Database'!$G$2:$G$1369,MATCH(931,'Transfer Engine'!$C$2:$C$1369,0)))</f>
        <v/>
      </c>
      <c r="H940" s="9">
        <f>IF(ISNA(MATCH(931,'Transfer Engine'!$C$2:$C$1369,0)),"",INDEX('Compliance Database'!$H$2:$H$1369,MATCH(931,'Transfer Engine'!$C$2:$C$1369,0)))</f>
        <v/>
      </c>
      <c r="I940" s="9">
        <f>IF(ISNA(MATCH(931,'Transfer Engine'!$C$2:$C$1369,0)),"",INDEX('Compliance Database'!$I$2:$I$1369,MATCH(931,'Transfer Engine'!$C$2:$C$1369,0)))</f>
        <v/>
      </c>
      <c r="J940" s="8">
        <f>IF(ISNA(MATCH(931,'Transfer Engine'!$C$2:$C$1369,0)),"",INDEX('Compliance Database'!$J$2:$J$1369,MATCH(931,'Transfer Engine'!$C$2:$C$1369,0)))</f>
        <v/>
      </c>
      <c r="K940" s="9">
        <f>IF(ISNA(MATCH(931,'Transfer Engine'!$C$2:$C$1369,0)),"",INDEX('Compliance Database'!$K$2:$K$1369,MATCH(931,'Transfer Engine'!$C$2:$C$1369,0)))</f>
        <v/>
      </c>
      <c r="L940" s="9">
        <f>IF(ISNA(MATCH(931,'Transfer Engine'!$C$2:$C$1369,0)),"",INDEX('Compliance Database'!$L$2:$L$1369,MATCH(931,'Transfer Engine'!$C$2:$C$1369,0)))</f>
        <v/>
      </c>
      <c r="M940" s="9">
        <f>IF(ISNA(MATCH(931,'Transfer Engine'!$C$2:$C$1369,0)),"",INDEX('Compliance Database'!$M$2:$M$1369,MATCH(931,'Transfer Engine'!$C$2:$C$1369,0)))</f>
        <v/>
      </c>
      <c r="N940" s="9">
        <f>IF(ISNA(MATCH(931,'Transfer Engine'!$C$2:$C$1369,0)),"",INDEX('Compliance Database'!$N$2:$N$1369,MATCH(931,'Transfer Engine'!$C$2:$C$1369,0)))</f>
        <v/>
      </c>
      <c r="O940" s="8">
        <f>IF(ISNA(MATCH(931,'Transfer Engine'!$C$2:$C$1369,0)),"",HYPERLINK(INDEX('Compliance Database'!$O$2:$O$1369,MATCH(931,'Transfer Engine'!$C$2:$C$1369,0)),"Open PDF"))</f>
        <v/>
      </c>
    </row>
    <row r="941" ht="188" customHeight="1">
      <c r="A941" s="8">
        <f>IF(ISNA(MATCH(932,'Transfer Engine'!$C$2:$C$1369,0)),"",INDEX('Compliance Database'!$A$2:$A$1369,MATCH(932,'Transfer Engine'!$C$2:$C$1369,0)))</f>
        <v/>
      </c>
      <c r="B941" s="8">
        <f>IF(ISNA(MATCH(932,'Transfer Engine'!$C$2:$C$1369,0)),"",INDEX('Compliance Database'!$B$2:$B$1369,MATCH(932,'Transfer Engine'!$C$2:$C$1369,0)))</f>
        <v/>
      </c>
      <c r="C941" s="8">
        <f>IF(ISNA(MATCH(932,'Transfer Engine'!$C$2:$C$1369,0)),"",INDEX('Compliance Database'!$C$2:$C$1369,MATCH(932,'Transfer Engine'!$C$2:$C$1369,0)))</f>
        <v/>
      </c>
      <c r="D941" s="9">
        <f>IF(ISNA(MATCH(932,'Transfer Engine'!$C$2:$C$1369,0)),"",INDEX('Compliance Database'!$D$2:$D$1369,MATCH(932,'Transfer Engine'!$C$2:$C$1369,0)))</f>
        <v/>
      </c>
      <c r="E941" s="8">
        <f>IF(ISNA(MATCH(932,'Transfer Engine'!$C$2:$C$1369,0)),"",INDEX('Compliance Database'!$E$2:$E$1369,MATCH(932,'Transfer Engine'!$C$2:$C$1369,0)))</f>
        <v/>
      </c>
      <c r="F941" s="8">
        <f>IF(ISNA(MATCH(932,'Transfer Engine'!$C$2:$C$1369,0)),"",INDEX('Compliance Database'!$F$2:$F$1369,MATCH(932,'Transfer Engine'!$C$2:$C$1369,0)))</f>
        <v/>
      </c>
      <c r="G941" s="8">
        <f>IF(ISNA(MATCH(932,'Transfer Engine'!$C$2:$C$1369,0)),"",INDEX('Compliance Database'!$G$2:$G$1369,MATCH(932,'Transfer Engine'!$C$2:$C$1369,0)))</f>
        <v/>
      </c>
      <c r="H941" s="9">
        <f>IF(ISNA(MATCH(932,'Transfer Engine'!$C$2:$C$1369,0)),"",INDEX('Compliance Database'!$H$2:$H$1369,MATCH(932,'Transfer Engine'!$C$2:$C$1369,0)))</f>
        <v/>
      </c>
      <c r="I941" s="9">
        <f>IF(ISNA(MATCH(932,'Transfer Engine'!$C$2:$C$1369,0)),"",INDEX('Compliance Database'!$I$2:$I$1369,MATCH(932,'Transfer Engine'!$C$2:$C$1369,0)))</f>
        <v/>
      </c>
      <c r="J941" s="8">
        <f>IF(ISNA(MATCH(932,'Transfer Engine'!$C$2:$C$1369,0)),"",INDEX('Compliance Database'!$J$2:$J$1369,MATCH(932,'Transfer Engine'!$C$2:$C$1369,0)))</f>
        <v/>
      </c>
      <c r="K941" s="9">
        <f>IF(ISNA(MATCH(932,'Transfer Engine'!$C$2:$C$1369,0)),"",INDEX('Compliance Database'!$K$2:$K$1369,MATCH(932,'Transfer Engine'!$C$2:$C$1369,0)))</f>
        <v/>
      </c>
      <c r="L941" s="9">
        <f>IF(ISNA(MATCH(932,'Transfer Engine'!$C$2:$C$1369,0)),"",INDEX('Compliance Database'!$L$2:$L$1369,MATCH(932,'Transfer Engine'!$C$2:$C$1369,0)))</f>
        <v/>
      </c>
      <c r="M941" s="9">
        <f>IF(ISNA(MATCH(932,'Transfer Engine'!$C$2:$C$1369,0)),"",INDEX('Compliance Database'!$M$2:$M$1369,MATCH(932,'Transfer Engine'!$C$2:$C$1369,0)))</f>
        <v/>
      </c>
      <c r="N941" s="9">
        <f>IF(ISNA(MATCH(932,'Transfer Engine'!$C$2:$C$1369,0)),"",INDEX('Compliance Database'!$N$2:$N$1369,MATCH(932,'Transfer Engine'!$C$2:$C$1369,0)))</f>
        <v/>
      </c>
      <c r="O941" s="8">
        <f>IF(ISNA(MATCH(932,'Transfer Engine'!$C$2:$C$1369,0)),"",HYPERLINK(INDEX('Compliance Database'!$O$2:$O$1369,MATCH(932,'Transfer Engine'!$C$2:$C$1369,0)),"Open PDF"))</f>
        <v/>
      </c>
    </row>
    <row r="942" ht="188" customHeight="1">
      <c r="A942" s="8">
        <f>IF(ISNA(MATCH(933,'Transfer Engine'!$C$2:$C$1369,0)),"",INDEX('Compliance Database'!$A$2:$A$1369,MATCH(933,'Transfer Engine'!$C$2:$C$1369,0)))</f>
        <v/>
      </c>
      <c r="B942" s="8">
        <f>IF(ISNA(MATCH(933,'Transfer Engine'!$C$2:$C$1369,0)),"",INDEX('Compliance Database'!$B$2:$B$1369,MATCH(933,'Transfer Engine'!$C$2:$C$1369,0)))</f>
        <v/>
      </c>
      <c r="C942" s="8">
        <f>IF(ISNA(MATCH(933,'Transfer Engine'!$C$2:$C$1369,0)),"",INDEX('Compliance Database'!$C$2:$C$1369,MATCH(933,'Transfer Engine'!$C$2:$C$1369,0)))</f>
        <v/>
      </c>
      <c r="D942" s="9">
        <f>IF(ISNA(MATCH(933,'Transfer Engine'!$C$2:$C$1369,0)),"",INDEX('Compliance Database'!$D$2:$D$1369,MATCH(933,'Transfer Engine'!$C$2:$C$1369,0)))</f>
        <v/>
      </c>
      <c r="E942" s="8">
        <f>IF(ISNA(MATCH(933,'Transfer Engine'!$C$2:$C$1369,0)),"",INDEX('Compliance Database'!$E$2:$E$1369,MATCH(933,'Transfer Engine'!$C$2:$C$1369,0)))</f>
        <v/>
      </c>
      <c r="F942" s="8">
        <f>IF(ISNA(MATCH(933,'Transfer Engine'!$C$2:$C$1369,0)),"",INDEX('Compliance Database'!$F$2:$F$1369,MATCH(933,'Transfer Engine'!$C$2:$C$1369,0)))</f>
        <v/>
      </c>
      <c r="G942" s="8">
        <f>IF(ISNA(MATCH(933,'Transfer Engine'!$C$2:$C$1369,0)),"",INDEX('Compliance Database'!$G$2:$G$1369,MATCH(933,'Transfer Engine'!$C$2:$C$1369,0)))</f>
        <v/>
      </c>
      <c r="H942" s="9">
        <f>IF(ISNA(MATCH(933,'Transfer Engine'!$C$2:$C$1369,0)),"",INDEX('Compliance Database'!$H$2:$H$1369,MATCH(933,'Transfer Engine'!$C$2:$C$1369,0)))</f>
        <v/>
      </c>
      <c r="I942" s="9">
        <f>IF(ISNA(MATCH(933,'Transfer Engine'!$C$2:$C$1369,0)),"",INDEX('Compliance Database'!$I$2:$I$1369,MATCH(933,'Transfer Engine'!$C$2:$C$1369,0)))</f>
        <v/>
      </c>
      <c r="J942" s="8">
        <f>IF(ISNA(MATCH(933,'Transfer Engine'!$C$2:$C$1369,0)),"",INDEX('Compliance Database'!$J$2:$J$1369,MATCH(933,'Transfer Engine'!$C$2:$C$1369,0)))</f>
        <v/>
      </c>
      <c r="K942" s="9">
        <f>IF(ISNA(MATCH(933,'Transfer Engine'!$C$2:$C$1369,0)),"",INDEX('Compliance Database'!$K$2:$K$1369,MATCH(933,'Transfer Engine'!$C$2:$C$1369,0)))</f>
        <v/>
      </c>
      <c r="L942" s="9">
        <f>IF(ISNA(MATCH(933,'Transfer Engine'!$C$2:$C$1369,0)),"",INDEX('Compliance Database'!$L$2:$L$1369,MATCH(933,'Transfer Engine'!$C$2:$C$1369,0)))</f>
        <v/>
      </c>
      <c r="M942" s="9">
        <f>IF(ISNA(MATCH(933,'Transfer Engine'!$C$2:$C$1369,0)),"",INDEX('Compliance Database'!$M$2:$M$1369,MATCH(933,'Transfer Engine'!$C$2:$C$1369,0)))</f>
        <v/>
      </c>
      <c r="N942" s="9">
        <f>IF(ISNA(MATCH(933,'Transfer Engine'!$C$2:$C$1369,0)),"",INDEX('Compliance Database'!$N$2:$N$1369,MATCH(933,'Transfer Engine'!$C$2:$C$1369,0)))</f>
        <v/>
      </c>
      <c r="O942" s="8">
        <f>IF(ISNA(MATCH(933,'Transfer Engine'!$C$2:$C$1369,0)),"",HYPERLINK(INDEX('Compliance Database'!$O$2:$O$1369,MATCH(933,'Transfer Engine'!$C$2:$C$1369,0)),"Open PDF"))</f>
        <v/>
      </c>
    </row>
    <row r="943" ht="188" customHeight="1">
      <c r="A943" s="8">
        <f>IF(ISNA(MATCH(934,'Transfer Engine'!$C$2:$C$1369,0)),"",INDEX('Compliance Database'!$A$2:$A$1369,MATCH(934,'Transfer Engine'!$C$2:$C$1369,0)))</f>
        <v/>
      </c>
      <c r="B943" s="8">
        <f>IF(ISNA(MATCH(934,'Transfer Engine'!$C$2:$C$1369,0)),"",INDEX('Compliance Database'!$B$2:$B$1369,MATCH(934,'Transfer Engine'!$C$2:$C$1369,0)))</f>
        <v/>
      </c>
      <c r="C943" s="8">
        <f>IF(ISNA(MATCH(934,'Transfer Engine'!$C$2:$C$1369,0)),"",INDEX('Compliance Database'!$C$2:$C$1369,MATCH(934,'Transfer Engine'!$C$2:$C$1369,0)))</f>
        <v/>
      </c>
      <c r="D943" s="9">
        <f>IF(ISNA(MATCH(934,'Transfer Engine'!$C$2:$C$1369,0)),"",INDEX('Compliance Database'!$D$2:$D$1369,MATCH(934,'Transfer Engine'!$C$2:$C$1369,0)))</f>
        <v/>
      </c>
      <c r="E943" s="8">
        <f>IF(ISNA(MATCH(934,'Transfer Engine'!$C$2:$C$1369,0)),"",INDEX('Compliance Database'!$E$2:$E$1369,MATCH(934,'Transfer Engine'!$C$2:$C$1369,0)))</f>
        <v/>
      </c>
      <c r="F943" s="8">
        <f>IF(ISNA(MATCH(934,'Transfer Engine'!$C$2:$C$1369,0)),"",INDEX('Compliance Database'!$F$2:$F$1369,MATCH(934,'Transfer Engine'!$C$2:$C$1369,0)))</f>
        <v/>
      </c>
      <c r="G943" s="8">
        <f>IF(ISNA(MATCH(934,'Transfer Engine'!$C$2:$C$1369,0)),"",INDEX('Compliance Database'!$G$2:$G$1369,MATCH(934,'Transfer Engine'!$C$2:$C$1369,0)))</f>
        <v/>
      </c>
      <c r="H943" s="9">
        <f>IF(ISNA(MATCH(934,'Transfer Engine'!$C$2:$C$1369,0)),"",INDEX('Compliance Database'!$H$2:$H$1369,MATCH(934,'Transfer Engine'!$C$2:$C$1369,0)))</f>
        <v/>
      </c>
      <c r="I943" s="9">
        <f>IF(ISNA(MATCH(934,'Transfer Engine'!$C$2:$C$1369,0)),"",INDEX('Compliance Database'!$I$2:$I$1369,MATCH(934,'Transfer Engine'!$C$2:$C$1369,0)))</f>
        <v/>
      </c>
      <c r="J943" s="8">
        <f>IF(ISNA(MATCH(934,'Transfer Engine'!$C$2:$C$1369,0)),"",INDEX('Compliance Database'!$J$2:$J$1369,MATCH(934,'Transfer Engine'!$C$2:$C$1369,0)))</f>
        <v/>
      </c>
      <c r="K943" s="9">
        <f>IF(ISNA(MATCH(934,'Transfer Engine'!$C$2:$C$1369,0)),"",INDEX('Compliance Database'!$K$2:$K$1369,MATCH(934,'Transfer Engine'!$C$2:$C$1369,0)))</f>
        <v/>
      </c>
      <c r="L943" s="9">
        <f>IF(ISNA(MATCH(934,'Transfer Engine'!$C$2:$C$1369,0)),"",INDEX('Compliance Database'!$L$2:$L$1369,MATCH(934,'Transfer Engine'!$C$2:$C$1369,0)))</f>
        <v/>
      </c>
      <c r="M943" s="9">
        <f>IF(ISNA(MATCH(934,'Transfer Engine'!$C$2:$C$1369,0)),"",INDEX('Compliance Database'!$M$2:$M$1369,MATCH(934,'Transfer Engine'!$C$2:$C$1369,0)))</f>
        <v/>
      </c>
      <c r="N943" s="9">
        <f>IF(ISNA(MATCH(934,'Transfer Engine'!$C$2:$C$1369,0)),"",INDEX('Compliance Database'!$N$2:$N$1369,MATCH(934,'Transfer Engine'!$C$2:$C$1369,0)))</f>
        <v/>
      </c>
      <c r="O943" s="8">
        <f>IF(ISNA(MATCH(934,'Transfer Engine'!$C$2:$C$1369,0)),"",HYPERLINK(INDEX('Compliance Database'!$O$2:$O$1369,MATCH(934,'Transfer Engine'!$C$2:$C$1369,0)),"Open PDF"))</f>
        <v/>
      </c>
    </row>
    <row r="944" ht="188" customHeight="1">
      <c r="A944" s="8">
        <f>IF(ISNA(MATCH(935,'Transfer Engine'!$C$2:$C$1369,0)),"",INDEX('Compliance Database'!$A$2:$A$1369,MATCH(935,'Transfer Engine'!$C$2:$C$1369,0)))</f>
        <v/>
      </c>
      <c r="B944" s="8">
        <f>IF(ISNA(MATCH(935,'Transfer Engine'!$C$2:$C$1369,0)),"",INDEX('Compliance Database'!$B$2:$B$1369,MATCH(935,'Transfer Engine'!$C$2:$C$1369,0)))</f>
        <v/>
      </c>
      <c r="C944" s="8">
        <f>IF(ISNA(MATCH(935,'Transfer Engine'!$C$2:$C$1369,0)),"",INDEX('Compliance Database'!$C$2:$C$1369,MATCH(935,'Transfer Engine'!$C$2:$C$1369,0)))</f>
        <v/>
      </c>
      <c r="D944" s="9">
        <f>IF(ISNA(MATCH(935,'Transfer Engine'!$C$2:$C$1369,0)),"",INDEX('Compliance Database'!$D$2:$D$1369,MATCH(935,'Transfer Engine'!$C$2:$C$1369,0)))</f>
        <v/>
      </c>
      <c r="E944" s="8">
        <f>IF(ISNA(MATCH(935,'Transfer Engine'!$C$2:$C$1369,0)),"",INDEX('Compliance Database'!$E$2:$E$1369,MATCH(935,'Transfer Engine'!$C$2:$C$1369,0)))</f>
        <v/>
      </c>
      <c r="F944" s="8">
        <f>IF(ISNA(MATCH(935,'Transfer Engine'!$C$2:$C$1369,0)),"",INDEX('Compliance Database'!$F$2:$F$1369,MATCH(935,'Transfer Engine'!$C$2:$C$1369,0)))</f>
        <v/>
      </c>
      <c r="G944" s="8">
        <f>IF(ISNA(MATCH(935,'Transfer Engine'!$C$2:$C$1369,0)),"",INDEX('Compliance Database'!$G$2:$G$1369,MATCH(935,'Transfer Engine'!$C$2:$C$1369,0)))</f>
        <v/>
      </c>
      <c r="H944" s="9">
        <f>IF(ISNA(MATCH(935,'Transfer Engine'!$C$2:$C$1369,0)),"",INDEX('Compliance Database'!$H$2:$H$1369,MATCH(935,'Transfer Engine'!$C$2:$C$1369,0)))</f>
        <v/>
      </c>
      <c r="I944" s="9">
        <f>IF(ISNA(MATCH(935,'Transfer Engine'!$C$2:$C$1369,0)),"",INDEX('Compliance Database'!$I$2:$I$1369,MATCH(935,'Transfer Engine'!$C$2:$C$1369,0)))</f>
        <v/>
      </c>
      <c r="J944" s="8">
        <f>IF(ISNA(MATCH(935,'Transfer Engine'!$C$2:$C$1369,0)),"",INDEX('Compliance Database'!$J$2:$J$1369,MATCH(935,'Transfer Engine'!$C$2:$C$1369,0)))</f>
        <v/>
      </c>
      <c r="K944" s="9">
        <f>IF(ISNA(MATCH(935,'Transfer Engine'!$C$2:$C$1369,0)),"",INDEX('Compliance Database'!$K$2:$K$1369,MATCH(935,'Transfer Engine'!$C$2:$C$1369,0)))</f>
        <v/>
      </c>
      <c r="L944" s="9">
        <f>IF(ISNA(MATCH(935,'Transfer Engine'!$C$2:$C$1369,0)),"",INDEX('Compliance Database'!$L$2:$L$1369,MATCH(935,'Transfer Engine'!$C$2:$C$1369,0)))</f>
        <v/>
      </c>
      <c r="M944" s="9">
        <f>IF(ISNA(MATCH(935,'Transfer Engine'!$C$2:$C$1369,0)),"",INDEX('Compliance Database'!$M$2:$M$1369,MATCH(935,'Transfer Engine'!$C$2:$C$1369,0)))</f>
        <v/>
      </c>
      <c r="N944" s="9">
        <f>IF(ISNA(MATCH(935,'Transfer Engine'!$C$2:$C$1369,0)),"",INDEX('Compliance Database'!$N$2:$N$1369,MATCH(935,'Transfer Engine'!$C$2:$C$1369,0)))</f>
        <v/>
      </c>
      <c r="O944" s="8">
        <f>IF(ISNA(MATCH(935,'Transfer Engine'!$C$2:$C$1369,0)),"",HYPERLINK(INDEX('Compliance Database'!$O$2:$O$1369,MATCH(935,'Transfer Engine'!$C$2:$C$1369,0)),"Open PDF"))</f>
        <v/>
      </c>
    </row>
    <row r="945" ht="188" customHeight="1">
      <c r="A945" s="8">
        <f>IF(ISNA(MATCH(936,'Transfer Engine'!$C$2:$C$1369,0)),"",INDEX('Compliance Database'!$A$2:$A$1369,MATCH(936,'Transfer Engine'!$C$2:$C$1369,0)))</f>
        <v/>
      </c>
      <c r="B945" s="8">
        <f>IF(ISNA(MATCH(936,'Transfer Engine'!$C$2:$C$1369,0)),"",INDEX('Compliance Database'!$B$2:$B$1369,MATCH(936,'Transfer Engine'!$C$2:$C$1369,0)))</f>
        <v/>
      </c>
      <c r="C945" s="8">
        <f>IF(ISNA(MATCH(936,'Transfer Engine'!$C$2:$C$1369,0)),"",INDEX('Compliance Database'!$C$2:$C$1369,MATCH(936,'Transfer Engine'!$C$2:$C$1369,0)))</f>
        <v/>
      </c>
      <c r="D945" s="9">
        <f>IF(ISNA(MATCH(936,'Transfer Engine'!$C$2:$C$1369,0)),"",INDEX('Compliance Database'!$D$2:$D$1369,MATCH(936,'Transfer Engine'!$C$2:$C$1369,0)))</f>
        <v/>
      </c>
      <c r="E945" s="8">
        <f>IF(ISNA(MATCH(936,'Transfer Engine'!$C$2:$C$1369,0)),"",INDEX('Compliance Database'!$E$2:$E$1369,MATCH(936,'Transfer Engine'!$C$2:$C$1369,0)))</f>
        <v/>
      </c>
      <c r="F945" s="8">
        <f>IF(ISNA(MATCH(936,'Transfer Engine'!$C$2:$C$1369,0)),"",INDEX('Compliance Database'!$F$2:$F$1369,MATCH(936,'Transfer Engine'!$C$2:$C$1369,0)))</f>
        <v/>
      </c>
      <c r="G945" s="8">
        <f>IF(ISNA(MATCH(936,'Transfer Engine'!$C$2:$C$1369,0)),"",INDEX('Compliance Database'!$G$2:$G$1369,MATCH(936,'Transfer Engine'!$C$2:$C$1369,0)))</f>
        <v/>
      </c>
      <c r="H945" s="9">
        <f>IF(ISNA(MATCH(936,'Transfer Engine'!$C$2:$C$1369,0)),"",INDEX('Compliance Database'!$H$2:$H$1369,MATCH(936,'Transfer Engine'!$C$2:$C$1369,0)))</f>
        <v/>
      </c>
      <c r="I945" s="9">
        <f>IF(ISNA(MATCH(936,'Transfer Engine'!$C$2:$C$1369,0)),"",INDEX('Compliance Database'!$I$2:$I$1369,MATCH(936,'Transfer Engine'!$C$2:$C$1369,0)))</f>
        <v/>
      </c>
      <c r="J945" s="8">
        <f>IF(ISNA(MATCH(936,'Transfer Engine'!$C$2:$C$1369,0)),"",INDEX('Compliance Database'!$J$2:$J$1369,MATCH(936,'Transfer Engine'!$C$2:$C$1369,0)))</f>
        <v/>
      </c>
      <c r="K945" s="9">
        <f>IF(ISNA(MATCH(936,'Transfer Engine'!$C$2:$C$1369,0)),"",INDEX('Compliance Database'!$K$2:$K$1369,MATCH(936,'Transfer Engine'!$C$2:$C$1369,0)))</f>
        <v/>
      </c>
      <c r="L945" s="9">
        <f>IF(ISNA(MATCH(936,'Transfer Engine'!$C$2:$C$1369,0)),"",INDEX('Compliance Database'!$L$2:$L$1369,MATCH(936,'Transfer Engine'!$C$2:$C$1369,0)))</f>
        <v/>
      </c>
      <c r="M945" s="9">
        <f>IF(ISNA(MATCH(936,'Transfer Engine'!$C$2:$C$1369,0)),"",INDEX('Compliance Database'!$M$2:$M$1369,MATCH(936,'Transfer Engine'!$C$2:$C$1369,0)))</f>
        <v/>
      </c>
      <c r="N945" s="9">
        <f>IF(ISNA(MATCH(936,'Transfer Engine'!$C$2:$C$1369,0)),"",INDEX('Compliance Database'!$N$2:$N$1369,MATCH(936,'Transfer Engine'!$C$2:$C$1369,0)))</f>
        <v/>
      </c>
      <c r="O945" s="8">
        <f>IF(ISNA(MATCH(936,'Transfer Engine'!$C$2:$C$1369,0)),"",HYPERLINK(INDEX('Compliance Database'!$O$2:$O$1369,MATCH(936,'Transfer Engine'!$C$2:$C$1369,0)),"Open PDF"))</f>
        <v/>
      </c>
    </row>
    <row r="946" ht="188" customHeight="1">
      <c r="A946" s="8">
        <f>IF(ISNA(MATCH(937,'Transfer Engine'!$C$2:$C$1369,0)),"",INDEX('Compliance Database'!$A$2:$A$1369,MATCH(937,'Transfer Engine'!$C$2:$C$1369,0)))</f>
        <v/>
      </c>
      <c r="B946" s="8">
        <f>IF(ISNA(MATCH(937,'Transfer Engine'!$C$2:$C$1369,0)),"",INDEX('Compliance Database'!$B$2:$B$1369,MATCH(937,'Transfer Engine'!$C$2:$C$1369,0)))</f>
        <v/>
      </c>
      <c r="C946" s="8">
        <f>IF(ISNA(MATCH(937,'Transfer Engine'!$C$2:$C$1369,0)),"",INDEX('Compliance Database'!$C$2:$C$1369,MATCH(937,'Transfer Engine'!$C$2:$C$1369,0)))</f>
        <v/>
      </c>
      <c r="D946" s="9">
        <f>IF(ISNA(MATCH(937,'Transfer Engine'!$C$2:$C$1369,0)),"",INDEX('Compliance Database'!$D$2:$D$1369,MATCH(937,'Transfer Engine'!$C$2:$C$1369,0)))</f>
        <v/>
      </c>
      <c r="E946" s="8">
        <f>IF(ISNA(MATCH(937,'Transfer Engine'!$C$2:$C$1369,0)),"",INDEX('Compliance Database'!$E$2:$E$1369,MATCH(937,'Transfer Engine'!$C$2:$C$1369,0)))</f>
        <v/>
      </c>
      <c r="F946" s="8">
        <f>IF(ISNA(MATCH(937,'Transfer Engine'!$C$2:$C$1369,0)),"",INDEX('Compliance Database'!$F$2:$F$1369,MATCH(937,'Transfer Engine'!$C$2:$C$1369,0)))</f>
        <v/>
      </c>
      <c r="G946" s="8">
        <f>IF(ISNA(MATCH(937,'Transfer Engine'!$C$2:$C$1369,0)),"",INDEX('Compliance Database'!$G$2:$G$1369,MATCH(937,'Transfer Engine'!$C$2:$C$1369,0)))</f>
        <v/>
      </c>
      <c r="H946" s="9">
        <f>IF(ISNA(MATCH(937,'Transfer Engine'!$C$2:$C$1369,0)),"",INDEX('Compliance Database'!$H$2:$H$1369,MATCH(937,'Transfer Engine'!$C$2:$C$1369,0)))</f>
        <v/>
      </c>
      <c r="I946" s="9">
        <f>IF(ISNA(MATCH(937,'Transfer Engine'!$C$2:$C$1369,0)),"",INDEX('Compliance Database'!$I$2:$I$1369,MATCH(937,'Transfer Engine'!$C$2:$C$1369,0)))</f>
        <v/>
      </c>
      <c r="J946" s="8">
        <f>IF(ISNA(MATCH(937,'Transfer Engine'!$C$2:$C$1369,0)),"",INDEX('Compliance Database'!$J$2:$J$1369,MATCH(937,'Transfer Engine'!$C$2:$C$1369,0)))</f>
        <v/>
      </c>
      <c r="K946" s="9">
        <f>IF(ISNA(MATCH(937,'Transfer Engine'!$C$2:$C$1369,0)),"",INDEX('Compliance Database'!$K$2:$K$1369,MATCH(937,'Transfer Engine'!$C$2:$C$1369,0)))</f>
        <v/>
      </c>
      <c r="L946" s="9">
        <f>IF(ISNA(MATCH(937,'Transfer Engine'!$C$2:$C$1369,0)),"",INDEX('Compliance Database'!$L$2:$L$1369,MATCH(937,'Transfer Engine'!$C$2:$C$1369,0)))</f>
        <v/>
      </c>
      <c r="M946" s="9">
        <f>IF(ISNA(MATCH(937,'Transfer Engine'!$C$2:$C$1369,0)),"",INDEX('Compliance Database'!$M$2:$M$1369,MATCH(937,'Transfer Engine'!$C$2:$C$1369,0)))</f>
        <v/>
      </c>
      <c r="N946" s="9">
        <f>IF(ISNA(MATCH(937,'Transfer Engine'!$C$2:$C$1369,0)),"",INDEX('Compliance Database'!$N$2:$N$1369,MATCH(937,'Transfer Engine'!$C$2:$C$1369,0)))</f>
        <v/>
      </c>
      <c r="O946" s="8">
        <f>IF(ISNA(MATCH(937,'Transfer Engine'!$C$2:$C$1369,0)),"",HYPERLINK(INDEX('Compliance Database'!$O$2:$O$1369,MATCH(937,'Transfer Engine'!$C$2:$C$1369,0)),"Open PDF"))</f>
        <v/>
      </c>
    </row>
    <row r="947" ht="188" customHeight="1">
      <c r="A947" s="8">
        <f>IF(ISNA(MATCH(938,'Transfer Engine'!$C$2:$C$1369,0)),"",INDEX('Compliance Database'!$A$2:$A$1369,MATCH(938,'Transfer Engine'!$C$2:$C$1369,0)))</f>
        <v/>
      </c>
      <c r="B947" s="8">
        <f>IF(ISNA(MATCH(938,'Transfer Engine'!$C$2:$C$1369,0)),"",INDEX('Compliance Database'!$B$2:$B$1369,MATCH(938,'Transfer Engine'!$C$2:$C$1369,0)))</f>
        <v/>
      </c>
      <c r="C947" s="8">
        <f>IF(ISNA(MATCH(938,'Transfer Engine'!$C$2:$C$1369,0)),"",INDEX('Compliance Database'!$C$2:$C$1369,MATCH(938,'Transfer Engine'!$C$2:$C$1369,0)))</f>
        <v/>
      </c>
      <c r="D947" s="9">
        <f>IF(ISNA(MATCH(938,'Transfer Engine'!$C$2:$C$1369,0)),"",INDEX('Compliance Database'!$D$2:$D$1369,MATCH(938,'Transfer Engine'!$C$2:$C$1369,0)))</f>
        <v/>
      </c>
      <c r="E947" s="8">
        <f>IF(ISNA(MATCH(938,'Transfer Engine'!$C$2:$C$1369,0)),"",INDEX('Compliance Database'!$E$2:$E$1369,MATCH(938,'Transfer Engine'!$C$2:$C$1369,0)))</f>
        <v/>
      </c>
      <c r="F947" s="8">
        <f>IF(ISNA(MATCH(938,'Transfer Engine'!$C$2:$C$1369,0)),"",INDEX('Compliance Database'!$F$2:$F$1369,MATCH(938,'Transfer Engine'!$C$2:$C$1369,0)))</f>
        <v/>
      </c>
      <c r="G947" s="8">
        <f>IF(ISNA(MATCH(938,'Transfer Engine'!$C$2:$C$1369,0)),"",INDEX('Compliance Database'!$G$2:$G$1369,MATCH(938,'Transfer Engine'!$C$2:$C$1369,0)))</f>
        <v/>
      </c>
      <c r="H947" s="9">
        <f>IF(ISNA(MATCH(938,'Transfer Engine'!$C$2:$C$1369,0)),"",INDEX('Compliance Database'!$H$2:$H$1369,MATCH(938,'Transfer Engine'!$C$2:$C$1369,0)))</f>
        <v/>
      </c>
      <c r="I947" s="9">
        <f>IF(ISNA(MATCH(938,'Transfer Engine'!$C$2:$C$1369,0)),"",INDEX('Compliance Database'!$I$2:$I$1369,MATCH(938,'Transfer Engine'!$C$2:$C$1369,0)))</f>
        <v/>
      </c>
      <c r="J947" s="8">
        <f>IF(ISNA(MATCH(938,'Transfer Engine'!$C$2:$C$1369,0)),"",INDEX('Compliance Database'!$J$2:$J$1369,MATCH(938,'Transfer Engine'!$C$2:$C$1369,0)))</f>
        <v/>
      </c>
      <c r="K947" s="9">
        <f>IF(ISNA(MATCH(938,'Transfer Engine'!$C$2:$C$1369,0)),"",INDEX('Compliance Database'!$K$2:$K$1369,MATCH(938,'Transfer Engine'!$C$2:$C$1369,0)))</f>
        <v/>
      </c>
      <c r="L947" s="9">
        <f>IF(ISNA(MATCH(938,'Transfer Engine'!$C$2:$C$1369,0)),"",INDEX('Compliance Database'!$L$2:$L$1369,MATCH(938,'Transfer Engine'!$C$2:$C$1369,0)))</f>
        <v/>
      </c>
      <c r="M947" s="9">
        <f>IF(ISNA(MATCH(938,'Transfer Engine'!$C$2:$C$1369,0)),"",INDEX('Compliance Database'!$M$2:$M$1369,MATCH(938,'Transfer Engine'!$C$2:$C$1369,0)))</f>
        <v/>
      </c>
      <c r="N947" s="9">
        <f>IF(ISNA(MATCH(938,'Transfer Engine'!$C$2:$C$1369,0)),"",INDEX('Compliance Database'!$N$2:$N$1369,MATCH(938,'Transfer Engine'!$C$2:$C$1369,0)))</f>
        <v/>
      </c>
      <c r="O947" s="8">
        <f>IF(ISNA(MATCH(938,'Transfer Engine'!$C$2:$C$1369,0)),"",HYPERLINK(INDEX('Compliance Database'!$O$2:$O$1369,MATCH(938,'Transfer Engine'!$C$2:$C$1369,0)),"Open PDF"))</f>
        <v/>
      </c>
    </row>
    <row r="948" ht="188" customHeight="1">
      <c r="A948" s="8">
        <f>IF(ISNA(MATCH(939,'Transfer Engine'!$C$2:$C$1369,0)),"",INDEX('Compliance Database'!$A$2:$A$1369,MATCH(939,'Transfer Engine'!$C$2:$C$1369,0)))</f>
        <v/>
      </c>
      <c r="B948" s="8">
        <f>IF(ISNA(MATCH(939,'Transfer Engine'!$C$2:$C$1369,0)),"",INDEX('Compliance Database'!$B$2:$B$1369,MATCH(939,'Transfer Engine'!$C$2:$C$1369,0)))</f>
        <v/>
      </c>
      <c r="C948" s="8">
        <f>IF(ISNA(MATCH(939,'Transfer Engine'!$C$2:$C$1369,0)),"",INDEX('Compliance Database'!$C$2:$C$1369,MATCH(939,'Transfer Engine'!$C$2:$C$1369,0)))</f>
        <v/>
      </c>
      <c r="D948" s="9">
        <f>IF(ISNA(MATCH(939,'Transfer Engine'!$C$2:$C$1369,0)),"",INDEX('Compliance Database'!$D$2:$D$1369,MATCH(939,'Transfer Engine'!$C$2:$C$1369,0)))</f>
        <v/>
      </c>
      <c r="E948" s="8">
        <f>IF(ISNA(MATCH(939,'Transfer Engine'!$C$2:$C$1369,0)),"",INDEX('Compliance Database'!$E$2:$E$1369,MATCH(939,'Transfer Engine'!$C$2:$C$1369,0)))</f>
        <v/>
      </c>
      <c r="F948" s="8">
        <f>IF(ISNA(MATCH(939,'Transfer Engine'!$C$2:$C$1369,0)),"",INDEX('Compliance Database'!$F$2:$F$1369,MATCH(939,'Transfer Engine'!$C$2:$C$1369,0)))</f>
        <v/>
      </c>
      <c r="G948" s="8">
        <f>IF(ISNA(MATCH(939,'Transfer Engine'!$C$2:$C$1369,0)),"",INDEX('Compliance Database'!$G$2:$G$1369,MATCH(939,'Transfer Engine'!$C$2:$C$1369,0)))</f>
        <v/>
      </c>
      <c r="H948" s="9">
        <f>IF(ISNA(MATCH(939,'Transfer Engine'!$C$2:$C$1369,0)),"",INDEX('Compliance Database'!$H$2:$H$1369,MATCH(939,'Transfer Engine'!$C$2:$C$1369,0)))</f>
        <v/>
      </c>
      <c r="I948" s="9">
        <f>IF(ISNA(MATCH(939,'Transfer Engine'!$C$2:$C$1369,0)),"",INDEX('Compliance Database'!$I$2:$I$1369,MATCH(939,'Transfer Engine'!$C$2:$C$1369,0)))</f>
        <v/>
      </c>
      <c r="J948" s="8">
        <f>IF(ISNA(MATCH(939,'Transfer Engine'!$C$2:$C$1369,0)),"",INDEX('Compliance Database'!$J$2:$J$1369,MATCH(939,'Transfer Engine'!$C$2:$C$1369,0)))</f>
        <v/>
      </c>
      <c r="K948" s="9">
        <f>IF(ISNA(MATCH(939,'Transfer Engine'!$C$2:$C$1369,0)),"",INDEX('Compliance Database'!$K$2:$K$1369,MATCH(939,'Transfer Engine'!$C$2:$C$1369,0)))</f>
        <v/>
      </c>
      <c r="L948" s="9">
        <f>IF(ISNA(MATCH(939,'Transfer Engine'!$C$2:$C$1369,0)),"",INDEX('Compliance Database'!$L$2:$L$1369,MATCH(939,'Transfer Engine'!$C$2:$C$1369,0)))</f>
        <v/>
      </c>
      <c r="M948" s="9">
        <f>IF(ISNA(MATCH(939,'Transfer Engine'!$C$2:$C$1369,0)),"",INDEX('Compliance Database'!$M$2:$M$1369,MATCH(939,'Transfer Engine'!$C$2:$C$1369,0)))</f>
        <v/>
      </c>
      <c r="N948" s="9">
        <f>IF(ISNA(MATCH(939,'Transfer Engine'!$C$2:$C$1369,0)),"",INDEX('Compliance Database'!$N$2:$N$1369,MATCH(939,'Transfer Engine'!$C$2:$C$1369,0)))</f>
        <v/>
      </c>
      <c r="O948" s="8">
        <f>IF(ISNA(MATCH(939,'Transfer Engine'!$C$2:$C$1369,0)),"",HYPERLINK(INDEX('Compliance Database'!$O$2:$O$1369,MATCH(939,'Transfer Engine'!$C$2:$C$1369,0)),"Open PDF"))</f>
        <v/>
      </c>
    </row>
    <row r="949" ht="188" customHeight="1">
      <c r="A949" s="8">
        <f>IF(ISNA(MATCH(940,'Transfer Engine'!$C$2:$C$1369,0)),"",INDEX('Compliance Database'!$A$2:$A$1369,MATCH(940,'Transfer Engine'!$C$2:$C$1369,0)))</f>
        <v/>
      </c>
      <c r="B949" s="8">
        <f>IF(ISNA(MATCH(940,'Transfer Engine'!$C$2:$C$1369,0)),"",INDEX('Compliance Database'!$B$2:$B$1369,MATCH(940,'Transfer Engine'!$C$2:$C$1369,0)))</f>
        <v/>
      </c>
      <c r="C949" s="8">
        <f>IF(ISNA(MATCH(940,'Transfer Engine'!$C$2:$C$1369,0)),"",INDEX('Compliance Database'!$C$2:$C$1369,MATCH(940,'Transfer Engine'!$C$2:$C$1369,0)))</f>
        <v/>
      </c>
      <c r="D949" s="9">
        <f>IF(ISNA(MATCH(940,'Transfer Engine'!$C$2:$C$1369,0)),"",INDEX('Compliance Database'!$D$2:$D$1369,MATCH(940,'Transfer Engine'!$C$2:$C$1369,0)))</f>
        <v/>
      </c>
      <c r="E949" s="8">
        <f>IF(ISNA(MATCH(940,'Transfer Engine'!$C$2:$C$1369,0)),"",INDEX('Compliance Database'!$E$2:$E$1369,MATCH(940,'Transfer Engine'!$C$2:$C$1369,0)))</f>
        <v/>
      </c>
      <c r="F949" s="8">
        <f>IF(ISNA(MATCH(940,'Transfer Engine'!$C$2:$C$1369,0)),"",INDEX('Compliance Database'!$F$2:$F$1369,MATCH(940,'Transfer Engine'!$C$2:$C$1369,0)))</f>
        <v/>
      </c>
      <c r="G949" s="8">
        <f>IF(ISNA(MATCH(940,'Transfer Engine'!$C$2:$C$1369,0)),"",INDEX('Compliance Database'!$G$2:$G$1369,MATCH(940,'Transfer Engine'!$C$2:$C$1369,0)))</f>
        <v/>
      </c>
      <c r="H949" s="9">
        <f>IF(ISNA(MATCH(940,'Transfer Engine'!$C$2:$C$1369,0)),"",INDEX('Compliance Database'!$H$2:$H$1369,MATCH(940,'Transfer Engine'!$C$2:$C$1369,0)))</f>
        <v/>
      </c>
      <c r="I949" s="9">
        <f>IF(ISNA(MATCH(940,'Transfer Engine'!$C$2:$C$1369,0)),"",INDEX('Compliance Database'!$I$2:$I$1369,MATCH(940,'Transfer Engine'!$C$2:$C$1369,0)))</f>
        <v/>
      </c>
      <c r="J949" s="8">
        <f>IF(ISNA(MATCH(940,'Transfer Engine'!$C$2:$C$1369,0)),"",INDEX('Compliance Database'!$J$2:$J$1369,MATCH(940,'Transfer Engine'!$C$2:$C$1369,0)))</f>
        <v/>
      </c>
      <c r="K949" s="9">
        <f>IF(ISNA(MATCH(940,'Transfer Engine'!$C$2:$C$1369,0)),"",INDEX('Compliance Database'!$K$2:$K$1369,MATCH(940,'Transfer Engine'!$C$2:$C$1369,0)))</f>
        <v/>
      </c>
      <c r="L949" s="9">
        <f>IF(ISNA(MATCH(940,'Transfer Engine'!$C$2:$C$1369,0)),"",INDEX('Compliance Database'!$L$2:$L$1369,MATCH(940,'Transfer Engine'!$C$2:$C$1369,0)))</f>
        <v/>
      </c>
      <c r="M949" s="9">
        <f>IF(ISNA(MATCH(940,'Transfer Engine'!$C$2:$C$1369,0)),"",INDEX('Compliance Database'!$M$2:$M$1369,MATCH(940,'Transfer Engine'!$C$2:$C$1369,0)))</f>
        <v/>
      </c>
      <c r="N949" s="9">
        <f>IF(ISNA(MATCH(940,'Transfer Engine'!$C$2:$C$1369,0)),"",INDEX('Compliance Database'!$N$2:$N$1369,MATCH(940,'Transfer Engine'!$C$2:$C$1369,0)))</f>
        <v/>
      </c>
      <c r="O949" s="8">
        <f>IF(ISNA(MATCH(940,'Transfer Engine'!$C$2:$C$1369,0)),"",HYPERLINK(INDEX('Compliance Database'!$O$2:$O$1369,MATCH(940,'Transfer Engine'!$C$2:$C$1369,0)),"Open PDF"))</f>
        <v/>
      </c>
    </row>
    <row r="950" ht="188" customHeight="1">
      <c r="A950" s="8">
        <f>IF(ISNA(MATCH(941,'Transfer Engine'!$C$2:$C$1369,0)),"",INDEX('Compliance Database'!$A$2:$A$1369,MATCH(941,'Transfer Engine'!$C$2:$C$1369,0)))</f>
        <v/>
      </c>
      <c r="B950" s="8">
        <f>IF(ISNA(MATCH(941,'Transfer Engine'!$C$2:$C$1369,0)),"",INDEX('Compliance Database'!$B$2:$B$1369,MATCH(941,'Transfer Engine'!$C$2:$C$1369,0)))</f>
        <v/>
      </c>
      <c r="C950" s="8">
        <f>IF(ISNA(MATCH(941,'Transfer Engine'!$C$2:$C$1369,0)),"",INDEX('Compliance Database'!$C$2:$C$1369,MATCH(941,'Transfer Engine'!$C$2:$C$1369,0)))</f>
        <v/>
      </c>
      <c r="D950" s="9">
        <f>IF(ISNA(MATCH(941,'Transfer Engine'!$C$2:$C$1369,0)),"",INDEX('Compliance Database'!$D$2:$D$1369,MATCH(941,'Transfer Engine'!$C$2:$C$1369,0)))</f>
        <v/>
      </c>
      <c r="E950" s="8">
        <f>IF(ISNA(MATCH(941,'Transfer Engine'!$C$2:$C$1369,0)),"",INDEX('Compliance Database'!$E$2:$E$1369,MATCH(941,'Transfer Engine'!$C$2:$C$1369,0)))</f>
        <v/>
      </c>
      <c r="F950" s="8">
        <f>IF(ISNA(MATCH(941,'Transfer Engine'!$C$2:$C$1369,0)),"",INDEX('Compliance Database'!$F$2:$F$1369,MATCH(941,'Transfer Engine'!$C$2:$C$1369,0)))</f>
        <v/>
      </c>
      <c r="G950" s="8">
        <f>IF(ISNA(MATCH(941,'Transfer Engine'!$C$2:$C$1369,0)),"",INDEX('Compliance Database'!$G$2:$G$1369,MATCH(941,'Transfer Engine'!$C$2:$C$1369,0)))</f>
        <v/>
      </c>
      <c r="H950" s="9">
        <f>IF(ISNA(MATCH(941,'Transfer Engine'!$C$2:$C$1369,0)),"",INDEX('Compliance Database'!$H$2:$H$1369,MATCH(941,'Transfer Engine'!$C$2:$C$1369,0)))</f>
        <v/>
      </c>
      <c r="I950" s="9">
        <f>IF(ISNA(MATCH(941,'Transfer Engine'!$C$2:$C$1369,0)),"",INDEX('Compliance Database'!$I$2:$I$1369,MATCH(941,'Transfer Engine'!$C$2:$C$1369,0)))</f>
        <v/>
      </c>
      <c r="J950" s="8">
        <f>IF(ISNA(MATCH(941,'Transfer Engine'!$C$2:$C$1369,0)),"",INDEX('Compliance Database'!$J$2:$J$1369,MATCH(941,'Transfer Engine'!$C$2:$C$1369,0)))</f>
        <v/>
      </c>
      <c r="K950" s="9">
        <f>IF(ISNA(MATCH(941,'Transfer Engine'!$C$2:$C$1369,0)),"",INDEX('Compliance Database'!$K$2:$K$1369,MATCH(941,'Transfer Engine'!$C$2:$C$1369,0)))</f>
        <v/>
      </c>
      <c r="L950" s="9">
        <f>IF(ISNA(MATCH(941,'Transfer Engine'!$C$2:$C$1369,0)),"",INDEX('Compliance Database'!$L$2:$L$1369,MATCH(941,'Transfer Engine'!$C$2:$C$1369,0)))</f>
        <v/>
      </c>
      <c r="M950" s="9">
        <f>IF(ISNA(MATCH(941,'Transfer Engine'!$C$2:$C$1369,0)),"",INDEX('Compliance Database'!$M$2:$M$1369,MATCH(941,'Transfer Engine'!$C$2:$C$1369,0)))</f>
        <v/>
      </c>
      <c r="N950" s="9">
        <f>IF(ISNA(MATCH(941,'Transfer Engine'!$C$2:$C$1369,0)),"",INDEX('Compliance Database'!$N$2:$N$1369,MATCH(941,'Transfer Engine'!$C$2:$C$1369,0)))</f>
        <v/>
      </c>
      <c r="O950" s="8">
        <f>IF(ISNA(MATCH(941,'Transfer Engine'!$C$2:$C$1369,0)),"",HYPERLINK(INDEX('Compliance Database'!$O$2:$O$1369,MATCH(941,'Transfer Engine'!$C$2:$C$1369,0)),"Open PDF"))</f>
        <v/>
      </c>
    </row>
    <row r="951" ht="188" customHeight="1">
      <c r="A951" s="8">
        <f>IF(ISNA(MATCH(942,'Transfer Engine'!$C$2:$C$1369,0)),"",INDEX('Compliance Database'!$A$2:$A$1369,MATCH(942,'Transfer Engine'!$C$2:$C$1369,0)))</f>
        <v/>
      </c>
      <c r="B951" s="8">
        <f>IF(ISNA(MATCH(942,'Transfer Engine'!$C$2:$C$1369,0)),"",INDEX('Compliance Database'!$B$2:$B$1369,MATCH(942,'Transfer Engine'!$C$2:$C$1369,0)))</f>
        <v/>
      </c>
      <c r="C951" s="8">
        <f>IF(ISNA(MATCH(942,'Transfer Engine'!$C$2:$C$1369,0)),"",INDEX('Compliance Database'!$C$2:$C$1369,MATCH(942,'Transfer Engine'!$C$2:$C$1369,0)))</f>
        <v/>
      </c>
      <c r="D951" s="9">
        <f>IF(ISNA(MATCH(942,'Transfer Engine'!$C$2:$C$1369,0)),"",INDEX('Compliance Database'!$D$2:$D$1369,MATCH(942,'Transfer Engine'!$C$2:$C$1369,0)))</f>
        <v/>
      </c>
      <c r="E951" s="8">
        <f>IF(ISNA(MATCH(942,'Transfer Engine'!$C$2:$C$1369,0)),"",INDEX('Compliance Database'!$E$2:$E$1369,MATCH(942,'Transfer Engine'!$C$2:$C$1369,0)))</f>
        <v/>
      </c>
      <c r="F951" s="8">
        <f>IF(ISNA(MATCH(942,'Transfer Engine'!$C$2:$C$1369,0)),"",INDEX('Compliance Database'!$F$2:$F$1369,MATCH(942,'Transfer Engine'!$C$2:$C$1369,0)))</f>
        <v/>
      </c>
      <c r="G951" s="8">
        <f>IF(ISNA(MATCH(942,'Transfer Engine'!$C$2:$C$1369,0)),"",INDEX('Compliance Database'!$G$2:$G$1369,MATCH(942,'Transfer Engine'!$C$2:$C$1369,0)))</f>
        <v/>
      </c>
      <c r="H951" s="9">
        <f>IF(ISNA(MATCH(942,'Transfer Engine'!$C$2:$C$1369,0)),"",INDEX('Compliance Database'!$H$2:$H$1369,MATCH(942,'Transfer Engine'!$C$2:$C$1369,0)))</f>
        <v/>
      </c>
      <c r="I951" s="9">
        <f>IF(ISNA(MATCH(942,'Transfer Engine'!$C$2:$C$1369,0)),"",INDEX('Compliance Database'!$I$2:$I$1369,MATCH(942,'Transfer Engine'!$C$2:$C$1369,0)))</f>
        <v/>
      </c>
      <c r="J951" s="8">
        <f>IF(ISNA(MATCH(942,'Transfer Engine'!$C$2:$C$1369,0)),"",INDEX('Compliance Database'!$J$2:$J$1369,MATCH(942,'Transfer Engine'!$C$2:$C$1369,0)))</f>
        <v/>
      </c>
      <c r="K951" s="9">
        <f>IF(ISNA(MATCH(942,'Transfer Engine'!$C$2:$C$1369,0)),"",INDEX('Compliance Database'!$K$2:$K$1369,MATCH(942,'Transfer Engine'!$C$2:$C$1369,0)))</f>
        <v/>
      </c>
      <c r="L951" s="9">
        <f>IF(ISNA(MATCH(942,'Transfer Engine'!$C$2:$C$1369,0)),"",INDEX('Compliance Database'!$L$2:$L$1369,MATCH(942,'Transfer Engine'!$C$2:$C$1369,0)))</f>
        <v/>
      </c>
      <c r="M951" s="9">
        <f>IF(ISNA(MATCH(942,'Transfer Engine'!$C$2:$C$1369,0)),"",INDEX('Compliance Database'!$M$2:$M$1369,MATCH(942,'Transfer Engine'!$C$2:$C$1369,0)))</f>
        <v/>
      </c>
      <c r="N951" s="9">
        <f>IF(ISNA(MATCH(942,'Transfer Engine'!$C$2:$C$1369,0)),"",INDEX('Compliance Database'!$N$2:$N$1369,MATCH(942,'Transfer Engine'!$C$2:$C$1369,0)))</f>
        <v/>
      </c>
      <c r="O951" s="8">
        <f>IF(ISNA(MATCH(942,'Transfer Engine'!$C$2:$C$1369,0)),"",HYPERLINK(INDEX('Compliance Database'!$O$2:$O$1369,MATCH(942,'Transfer Engine'!$C$2:$C$1369,0)),"Open PDF"))</f>
        <v/>
      </c>
    </row>
    <row r="952" ht="188" customHeight="1">
      <c r="A952" s="8">
        <f>IF(ISNA(MATCH(943,'Transfer Engine'!$C$2:$C$1369,0)),"",INDEX('Compliance Database'!$A$2:$A$1369,MATCH(943,'Transfer Engine'!$C$2:$C$1369,0)))</f>
        <v/>
      </c>
      <c r="B952" s="8">
        <f>IF(ISNA(MATCH(943,'Transfer Engine'!$C$2:$C$1369,0)),"",INDEX('Compliance Database'!$B$2:$B$1369,MATCH(943,'Transfer Engine'!$C$2:$C$1369,0)))</f>
        <v/>
      </c>
      <c r="C952" s="8">
        <f>IF(ISNA(MATCH(943,'Transfer Engine'!$C$2:$C$1369,0)),"",INDEX('Compliance Database'!$C$2:$C$1369,MATCH(943,'Transfer Engine'!$C$2:$C$1369,0)))</f>
        <v/>
      </c>
      <c r="D952" s="9">
        <f>IF(ISNA(MATCH(943,'Transfer Engine'!$C$2:$C$1369,0)),"",INDEX('Compliance Database'!$D$2:$D$1369,MATCH(943,'Transfer Engine'!$C$2:$C$1369,0)))</f>
        <v/>
      </c>
      <c r="E952" s="8">
        <f>IF(ISNA(MATCH(943,'Transfer Engine'!$C$2:$C$1369,0)),"",INDEX('Compliance Database'!$E$2:$E$1369,MATCH(943,'Transfer Engine'!$C$2:$C$1369,0)))</f>
        <v/>
      </c>
      <c r="F952" s="8">
        <f>IF(ISNA(MATCH(943,'Transfer Engine'!$C$2:$C$1369,0)),"",INDEX('Compliance Database'!$F$2:$F$1369,MATCH(943,'Transfer Engine'!$C$2:$C$1369,0)))</f>
        <v/>
      </c>
      <c r="G952" s="8">
        <f>IF(ISNA(MATCH(943,'Transfer Engine'!$C$2:$C$1369,0)),"",INDEX('Compliance Database'!$G$2:$G$1369,MATCH(943,'Transfer Engine'!$C$2:$C$1369,0)))</f>
        <v/>
      </c>
      <c r="H952" s="9">
        <f>IF(ISNA(MATCH(943,'Transfer Engine'!$C$2:$C$1369,0)),"",INDEX('Compliance Database'!$H$2:$H$1369,MATCH(943,'Transfer Engine'!$C$2:$C$1369,0)))</f>
        <v/>
      </c>
      <c r="I952" s="9">
        <f>IF(ISNA(MATCH(943,'Transfer Engine'!$C$2:$C$1369,0)),"",INDEX('Compliance Database'!$I$2:$I$1369,MATCH(943,'Transfer Engine'!$C$2:$C$1369,0)))</f>
        <v/>
      </c>
      <c r="J952" s="8">
        <f>IF(ISNA(MATCH(943,'Transfer Engine'!$C$2:$C$1369,0)),"",INDEX('Compliance Database'!$J$2:$J$1369,MATCH(943,'Transfer Engine'!$C$2:$C$1369,0)))</f>
        <v/>
      </c>
      <c r="K952" s="9">
        <f>IF(ISNA(MATCH(943,'Transfer Engine'!$C$2:$C$1369,0)),"",INDEX('Compliance Database'!$K$2:$K$1369,MATCH(943,'Transfer Engine'!$C$2:$C$1369,0)))</f>
        <v/>
      </c>
      <c r="L952" s="9">
        <f>IF(ISNA(MATCH(943,'Transfer Engine'!$C$2:$C$1369,0)),"",INDEX('Compliance Database'!$L$2:$L$1369,MATCH(943,'Transfer Engine'!$C$2:$C$1369,0)))</f>
        <v/>
      </c>
      <c r="M952" s="9">
        <f>IF(ISNA(MATCH(943,'Transfer Engine'!$C$2:$C$1369,0)),"",INDEX('Compliance Database'!$M$2:$M$1369,MATCH(943,'Transfer Engine'!$C$2:$C$1369,0)))</f>
        <v/>
      </c>
      <c r="N952" s="9">
        <f>IF(ISNA(MATCH(943,'Transfer Engine'!$C$2:$C$1369,0)),"",INDEX('Compliance Database'!$N$2:$N$1369,MATCH(943,'Transfer Engine'!$C$2:$C$1369,0)))</f>
        <v/>
      </c>
      <c r="O952" s="8">
        <f>IF(ISNA(MATCH(943,'Transfer Engine'!$C$2:$C$1369,0)),"",HYPERLINK(INDEX('Compliance Database'!$O$2:$O$1369,MATCH(943,'Transfer Engine'!$C$2:$C$1369,0)),"Open PDF"))</f>
        <v/>
      </c>
    </row>
    <row r="953" ht="188" customHeight="1">
      <c r="A953" s="8">
        <f>IF(ISNA(MATCH(944,'Transfer Engine'!$C$2:$C$1369,0)),"",INDEX('Compliance Database'!$A$2:$A$1369,MATCH(944,'Transfer Engine'!$C$2:$C$1369,0)))</f>
        <v/>
      </c>
      <c r="B953" s="8">
        <f>IF(ISNA(MATCH(944,'Transfer Engine'!$C$2:$C$1369,0)),"",INDEX('Compliance Database'!$B$2:$B$1369,MATCH(944,'Transfer Engine'!$C$2:$C$1369,0)))</f>
        <v/>
      </c>
      <c r="C953" s="8">
        <f>IF(ISNA(MATCH(944,'Transfer Engine'!$C$2:$C$1369,0)),"",INDEX('Compliance Database'!$C$2:$C$1369,MATCH(944,'Transfer Engine'!$C$2:$C$1369,0)))</f>
        <v/>
      </c>
      <c r="D953" s="9">
        <f>IF(ISNA(MATCH(944,'Transfer Engine'!$C$2:$C$1369,0)),"",INDEX('Compliance Database'!$D$2:$D$1369,MATCH(944,'Transfer Engine'!$C$2:$C$1369,0)))</f>
        <v/>
      </c>
      <c r="E953" s="8">
        <f>IF(ISNA(MATCH(944,'Transfer Engine'!$C$2:$C$1369,0)),"",INDEX('Compliance Database'!$E$2:$E$1369,MATCH(944,'Transfer Engine'!$C$2:$C$1369,0)))</f>
        <v/>
      </c>
      <c r="F953" s="8">
        <f>IF(ISNA(MATCH(944,'Transfer Engine'!$C$2:$C$1369,0)),"",INDEX('Compliance Database'!$F$2:$F$1369,MATCH(944,'Transfer Engine'!$C$2:$C$1369,0)))</f>
        <v/>
      </c>
      <c r="G953" s="8">
        <f>IF(ISNA(MATCH(944,'Transfer Engine'!$C$2:$C$1369,0)),"",INDEX('Compliance Database'!$G$2:$G$1369,MATCH(944,'Transfer Engine'!$C$2:$C$1369,0)))</f>
        <v/>
      </c>
      <c r="H953" s="9">
        <f>IF(ISNA(MATCH(944,'Transfer Engine'!$C$2:$C$1369,0)),"",INDEX('Compliance Database'!$H$2:$H$1369,MATCH(944,'Transfer Engine'!$C$2:$C$1369,0)))</f>
        <v/>
      </c>
      <c r="I953" s="9">
        <f>IF(ISNA(MATCH(944,'Transfer Engine'!$C$2:$C$1369,0)),"",INDEX('Compliance Database'!$I$2:$I$1369,MATCH(944,'Transfer Engine'!$C$2:$C$1369,0)))</f>
        <v/>
      </c>
      <c r="J953" s="8">
        <f>IF(ISNA(MATCH(944,'Transfer Engine'!$C$2:$C$1369,0)),"",INDEX('Compliance Database'!$J$2:$J$1369,MATCH(944,'Transfer Engine'!$C$2:$C$1369,0)))</f>
        <v/>
      </c>
      <c r="K953" s="9">
        <f>IF(ISNA(MATCH(944,'Transfer Engine'!$C$2:$C$1369,0)),"",INDEX('Compliance Database'!$K$2:$K$1369,MATCH(944,'Transfer Engine'!$C$2:$C$1369,0)))</f>
        <v/>
      </c>
      <c r="L953" s="9">
        <f>IF(ISNA(MATCH(944,'Transfer Engine'!$C$2:$C$1369,0)),"",INDEX('Compliance Database'!$L$2:$L$1369,MATCH(944,'Transfer Engine'!$C$2:$C$1369,0)))</f>
        <v/>
      </c>
      <c r="M953" s="9">
        <f>IF(ISNA(MATCH(944,'Transfer Engine'!$C$2:$C$1369,0)),"",INDEX('Compliance Database'!$M$2:$M$1369,MATCH(944,'Transfer Engine'!$C$2:$C$1369,0)))</f>
        <v/>
      </c>
      <c r="N953" s="9">
        <f>IF(ISNA(MATCH(944,'Transfer Engine'!$C$2:$C$1369,0)),"",INDEX('Compliance Database'!$N$2:$N$1369,MATCH(944,'Transfer Engine'!$C$2:$C$1369,0)))</f>
        <v/>
      </c>
      <c r="O953" s="8">
        <f>IF(ISNA(MATCH(944,'Transfer Engine'!$C$2:$C$1369,0)),"",HYPERLINK(INDEX('Compliance Database'!$O$2:$O$1369,MATCH(944,'Transfer Engine'!$C$2:$C$1369,0)),"Open PDF"))</f>
        <v/>
      </c>
    </row>
    <row r="954" ht="188" customHeight="1">
      <c r="A954" s="8">
        <f>IF(ISNA(MATCH(945,'Transfer Engine'!$C$2:$C$1369,0)),"",INDEX('Compliance Database'!$A$2:$A$1369,MATCH(945,'Transfer Engine'!$C$2:$C$1369,0)))</f>
        <v/>
      </c>
      <c r="B954" s="8">
        <f>IF(ISNA(MATCH(945,'Transfer Engine'!$C$2:$C$1369,0)),"",INDEX('Compliance Database'!$B$2:$B$1369,MATCH(945,'Transfer Engine'!$C$2:$C$1369,0)))</f>
        <v/>
      </c>
      <c r="C954" s="8">
        <f>IF(ISNA(MATCH(945,'Transfer Engine'!$C$2:$C$1369,0)),"",INDEX('Compliance Database'!$C$2:$C$1369,MATCH(945,'Transfer Engine'!$C$2:$C$1369,0)))</f>
        <v/>
      </c>
      <c r="D954" s="9">
        <f>IF(ISNA(MATCH(945,'Transfer Engine'!$C$2:$C$1369,0)),"",INDEX('Compliance Database'!$D$2:$D$1369,MATCH(945,'Transfer Engine'!$C$2:$C$1369,0)))</f>
        <v/>
      </c>
      <c r="E954" s="8">
        <f>IF(ISNA(MATCH(945,'Transfer Engine'!$C$2:$C$1369,0)),"",INDEX('Compliance Database'!$E$2:$E$1369,MATCH(945,'Transfer Engine'!$C$2:$C$1369,0)))</f>
        <v/>
      </c>
      <c r="F954" s="8">
        <f>IF(ISNA(MATCH(945,'Transfer Engine'!$C$2:$C$1369,0)),"",INDEX('Compliance Database'!$F$2:$F$1369,MATCH(945,'Transfer Engine'!$C$2:$C$1369,0)))</f>
        <v/>
      </c>
      <c r="G954" s="8">
        <f>IF(ISNA(MATCH(945,'Transfer Engine'!$C$2:$C$1369,0)),"",INDEX('Compliance Database'!$G$2:$G$1369,MATCH(945,'Transfer Engine'!$C$2:$C$1369,0)))</f>
        <v/>
      </c>
      <c r="H954" s="9">
        <f>IF(ISNA(MATCH(945,'Transfer Engine'!$C$2:$C$1369,0)),"",INDEX('Compliance Database'!$H$2:$H$1369,MATCH(945,'Transfer Engine'!$C$2:$C$1369,0)))</f>
        <v/>
      </c>
      <c r="I954" s="9">
        <f>IF(ISNA(MATCH(945,'Transfer Engine'!$C$2:$C$1369,0)),"",INDEX('Compliance Database'!$I$2:$I$1369,MATCH(945,'Transfer Engine'!$C$2:$C$1369,0)))</f>
        <v/>
      </c>
      <c r="J954" s="8">
        <f>IF(ISNA(MATCH(945,'Transfer Engine'!$C$2:$C$1369,0)),"",INDEX('Compliance Database'!$J$2:$J$1369,MATCH(945,'Transfer Engine'!$C$2:$C$1369,0)))</f>
        <v/>
      </c>
      <c r="K954" s="9">
        <f>IF(ISNA(MATCH(945,'Transfer Engine'!$C$2:$C$1369,0)),"",INDEX('Compliance Database'!$K$2:$K$1369,MATCH(945,'Transfer Engine'!$C$2:$C$1369,0)))</f>
        <v/>
      </c>
      <c r="L954" s="9">
        <f>IF(ISNA(MATCH(945,'Transfer Engine'!$C$2:$C$1369,0)),"",INDEX('Compliance Database'!$L$2:$L$1369,MATCH(945,'Transfer Engine'!$C$2:$C$1369,0)))</f>
        <v/>
      </c>
      <c r="M954" s="9">
        <f>IF(ISNA(MATCH(945,'Transfer Engine'!$C$2:$C$1369,0)),"",INDEX('Compliance Database'!$M$2:$M$1369,MATCH(945,'Transfer Engine'!$C$2:$C$1369,0)))</f>
        <v/>
      </c>
      <c r="N954" s="9">
        <f>IF(ISNA(MATCH(945,'Transfer Engine'!$C$2:$C$1369,0)),"",INDEX('Compliance Database'!$N$2:$N$1369,MATCH(945,'Transfer Engine'!$C$2:$C$1369,0)))</f>
        <v/>
      </c>
      <c r="O954" s="8">
        <f>IF(ISNA(MATCH(945,'Transfer Engine'!$C$2:$C$1369,0)),"",HYPERLINK(INDEX('Compliance Database'!$O$2:$O$1369,MATCH(945,'Transfer Engine'!$C$2:$C$1369,0)),"Open PDF"))</f>
        <v/>
      </c>
    </row>
    <row r="955" ht="188" customHeight="1">
      <c r="A955" s="8">
        <f>IF(ISNA(MATCH(946,'Transfer Engine'!$C$2:$C$1369,0)),"",INDEX('Compliance Database'!$A$2:$A$1369,MATCH(946,'Transfer Engine'!$C$2:$C$1369,0)))</f>
        <v/>
      </c>
      <c r="B955" s="8">
        <f>IF(ISNA(MATCH(946,'Transfer Engine'!$C$2:$C$1369,0)),"",INDEX('Compliance Database'!$B$2:$B$1369,MATCH(946,'Transfer Engine'!$C$2:$C$1369,0)))</f>
        <v/>
      </c>
      <c r="C955" s="8">
        <f>IF(ISNA(MATCH(946,'Transfer Engine'!$C$2:$C$1369,0)),"",INDEX('Compliance Database'!$C$2:$C$1369,MATCH(946,'Transfer Engine'!$C$2:$C$1369,0)))</f>
        <v/>
      </c>
      <c r="D955" s="9">
        <f>IF(ISNA(MATCH(946,'Transfer Engine'!$C$2:$C$1369,0)),"",INDEX('Compliance Database'!$D$2:$D$1369,MATCH(946,'Transfer Engine'!$C$2:$C$1369,0)))</f>
        <v/>
      </c>
      <c r="E955" s="8">
        <f>IF(ISNA(MATCH(946,'Transfer Engine'!$C$2:$C$1369,0)),"",INDEX('Compliance Database'!$E$2:$E$1369,MATCH(946,'Transfer Engine'!$C$2:$C$1369,0)))</f>
        <v/>
      </c>
      <c r="F955" s="8">
        <f>IF(ISNA(MATCH(946,'Transfer Engine'!$C$2:$C$1369,0)),"",INDEX('Compliance Database'!$F$2:$F$1369,MATCH(946,'Transfer Engine'!$C$2:$C$1369,0)))</f>
        <v/>
      </c>
      <c r="G955" s="8">
        <f>IF(ISNA(MATCH(946,'Transfer Engine'!$C$2:$C$1369,0)),"",INDEX('Compliance Database'!$G$2:$G$1369,MATCH(946,'Transfer Engine'!$C$2:$C$1369,0)))</f>
        <v/>
      </c>
      <c r="H955" s="9">
        <f>IF(ISNA(MATCH(946,'Transfer Engine'!$C$2:$C$1369,0)),"",INDEX('Compliance Database'!$H$2:$H$1369,MATCH(946,'Transfer Engine'!$C$2:$C$1369,0)))</f>
        <v/>
      </c>
      <c r="I955" s="9">
        <f>IF(ISNA(MATCH(946,'Transfer Engine'!$C$2:$C$1369,0)),"",INDEX('Compliance Database'!$I$2:$I$1369,MATCH(946,'Transfer Engine'!$C$2:$C$1369,0)))</f>
        <v/>
      </c>
      <c r="J955" s="8">
        <f>IF(ISNA(MATCH(946,'Transfer Engine'!$C$2:$C$1369,0)),"",INDEX('Compliance Database'!$J$2:$J$1369,MATCH(946,'Transfer Engine'!$C$2:$C$1369,0)))</f>
        <v/>
      </c>
      <c r="K955" s="9">
        <f>IF(ISNA(MATCH(946,'Transfer Engine'!$C$2:$C$1369,0)),"",INDEX('Compliance Database'!$K$2:$K$1369,MATCH(946,'Transfer Engine'!$C$2:$C$1369,0)))</f>
        <v/>
      </c>
      <c r="L955" s="9">
        <f>IF(ISNA(MATCH(946,'Transfer Engine'!$C$2:$C$1369,0)),"",INDEX('Compliance Database'!$L$2:$L$1369,MATCH(946,'Transfer Engine'!$C$2:$C$1369,0)))</f>
        <v/>
      </c>
      <c r="M955" s="9">
        <f>IF(ISNA(MATCH(946,'Transfer Engine'!$C$2:$C$1369,0)),"",INDEX('Compliance Database'!$M$2:$M$1369,MATCH(946,'Transfer Engine'!$C$2:$C$1369,0)))</f>
        <v/>
      </c>
      <c r="N955" s="9">
        <f>IF(ISNA(MATCH(946,'Transfer Engine'!$C$2:$C$1369,0)),"",INDEX('Compliance Database'!$N$2:$N$1369,MATCH(946,'Transfer Engine'!$C$2:$C$1369,0)))</f>
        <v/>
      </c>
      <c r="O955" s="8">
        <f>IF(ISNA(MATCH(946,'Transfer Engine'!$C$2:$C$1369,0)),"",HYPERLINK(INDEX('Compliance Database'!$O$2:$O$1369,MATCH(946,'Transfer Engine'!$C$2:$C$1369,0)),"Open PDF"))</f>
        <v/>
      </c>
    </row>
    <row r="956" ht="188" customHeight="1">
      <c r="A956" s="8">
        <f>IF(ISNA(MATCH(947,'Transfer Engine'!$C$2:$C$1369,0)),"",INDEX('Compliance Database'!$A$2:$A$1369,MATCH(947,'Transfer Engine'!$C$2:$C$1369,0)))</f>
        <v/>
      </c>
      <c r="B956" s="8">
        <f>IF(ISNA(MATCH(947,'Transfer Engine'!$C$2:$C$1369,0)),"",INDEX('Compliance Database'!$B$2:$B$1369,MATCH(947,'Transfer Engine'!$C$2:$C$1369,0)))</f>
        <v/>
      </c>
      <c r="C956" s="8">
        <f>IF(ISNA(MATCH(947,'Transfer Engine'!$C$2:$C$1369,0)),"",INDEX('Compliance Database'!$C$2:$C$1369,MATCH(947,'Transfer Engine'!$C$2:$C$1369,0)))</f>
        <v/>
      </c>
      <c r="D956" s="9">
        <f>IF(ISNA(MATCH(947,'Transfer Engine'!$C$2:$C$1369,0)),"",INDEX('Compliance Database'!$D$2:$D$1369,MATCH(947,'Transfer Engine'!$C$2:$C$1369,0)))</f>
        <v/>
      </c>
      <c r="E956" s="8">
        <f>IF(ISNA(MATCH(947,'Transfer Engine'!$C$2:$C$1369,0)),"",INDEX('Compliance Database'!$E$2:$E$1369,MATCH(947,'Transfer Engine'!$C$2:$C$1369,0)))</f>
        <v/>
      </c>
      <c r="F956" s="8">
        <f>IF(ISNA(MATCH(947,'Transfer Engine'!$C$2:$C$1369,0)),"",INDEX('Compliance Database'!$F$2:$F$1369,MATCH(947,'Transfer Engine'!$C$2:$C$1369,0)))</f>
        <v/>
      </c>
      <c r="G956" s="8">
        <f>IF(ISNA(MATCH(947,'Transfer Engine'!$C$2:$C$1369,0)),"",INDEX('Compliance Database'!$G$2:$G$1369,MATCH(947,'Transfer Engine'!$C$2:$C$1369,0)))</f>
        <v/>
      </c>
      <c r="H956" s="9">
        <f>IF(ISNA(MATCH(947,'Transfer Engine'!$C$2:$C$1369,0)),"",INDEX('Compliance Database'!$H$2:$H$1369,MATCH(947,'Transfer Engine'!$C$2:$C$1369,0)))</f>
        <v/>
      </c>
      <c r="I956" s="9">
        <f>IF(ISNA(MATCH(947,'Transfer Engine'!$C$2:$C$1369,0)),"",INDEX('Compliance Database'!$I$2:$I$1369,MATCH(947,'Transfer Engine'!$C$2:$C$1369,0)))</f>
        <v/>
      </c>
      <c r="J956" s="8">
        <f>IF(ISNA(MATCH(947,'Transfer Engine'!$C$2:$C$1369,0)),"",INDEX('Compliance Database'!$J$2:$J$1369,MATCH(947,'Transfer Engine'!$C$2:$C$1369,0)))</f>
        <v/>
      </c>
      <c r="K956" s="9">
        <f>IF(ISNA(MATCH(947,'Transfer Engine'!$C$2:$C$1369,0)),"",INDEX('Compliance Database'!$K$2:$K$1369,MATCH(947,'Transfer Engine'!$C$2:$C$1369,0)))</f>
        <v/>
      </c>
      <c r="L956" s="9">
        <f>IF(ISNA(MATCH(947,'Transfer Engine'!$C$2:$C$1369,0)),"",INDEX('Compliance Database'!$L$2:$L$1369,MATCH(947,'Transfer Engine'!$C$2:$C$1369,0)))</f>
        <v/>
      </c>
      <c r="M956" s="9">
        <f>IF(ISNA(MATCH(947,'Transfer Engine'!$C$2:$C$1369,0)),"",INDEX('Compliance Database'!$M$2:$M$1369,MATCH(947,'Transfer Engine'!$C$2:$C$1369,0)))</f>
        <v/>
      </c>
      <c r="N956" s="9">
        <f>IF(ISNA(MATCH(947,'Transfer Engine'!$C$2:$C$1369,0)),"",INDEX('Compliance Database'!$N$2:$N$1369,MATCH(947,'Transfer Engine'!$C$2:$C$1369,0)))</f>
        <v/>
      </c>
      <c r="O956" s="8">
        <f>IF(ISNA(MATCH(947,'Transfer Engine'!$C$2:$C$1369,0)),"",HYPERLINK(INDEX('Compliance Database'!$O$2:$O$1369,MATCH(947,'Transfer Engine'!$C$2:$C$1369,0)),"Open PDF"))</f>
        <v/>
      </c>
    </row>
    <row r="957" ht="188" customHeight="1">
      <c r="A957" s="8">
        <f>IF(ISNA(MATCH(948,'Transfer Engine'!$C$2:$C$1369,0)),"",INDEX('Compliance Database'!$A$2:$A$1369,MATCH(948,'Transfer Engine'!$C$2:$C$1369,0)))</f>
        <v/>
      </c>
      <c r="B957" s="8">
        <f>IF(ISNA(MATCH(948,'Transfer Engine'!$C$2:$C$1369,0)),"",INDEX('Compliance Database'!$B$2:$B$1369,MATCH(948,'Transfer Engine'!$C$2:$C$1369,0)))</f>
        <v/>
      </c>
      <c r="C957" s="8">
        <f>IF(ISNA(MATCH(948,'Transfer Engine'!$C$2:$C$1369,0)),"",INDEX('Compliance Database'!$C$2:$C$1369,MATCH(948,'Transfer Engine'!$C$2:$C$1369,0)))</f>
        <v/>
      </c>
      <c r="D957" s="9">
        <f>IF(ISNA(MATCH(948,'Transfer Engine'!$C$2:$C$1369,0)),"",INDEX('Compliance Database'!$D$2:$D$1369,MATCH(948,'Transfer Engine'!$C$2:$C$1369,0)))</f>
        <v/>
      </c>
      <c r="E957" s="8">
        <f>IF(ISNA(MATCH(948,'Transfer Engine'!$C$2:$C$1369,0)),"",INDEX('Compliance Database'!$E$2:$E$1369,MATCH(948,'Transfer Engine'!$C$2:$C$1369,0)))</f>
        <v/>
      </c>
      <c r="F957" s="8">
        <f>IF(ISNA(MATCH(948,'Transfer Engine'!$C$2:$C$1369,0)),"",INDEX('Compliance Database'!$F$2:$F$1369,MATCH(948,'Transfer Engine'!$C$2:$C$1369,0)))</f>
        <v/>
      </c>
      <c r="G957" s="8">
        <f>IF(ISNA(MATCH(948,'Transfer Engine'!$C$2:$C$1369,0)),"",INDEX('Compliance Database'!$G$2:$G$1369,MATCH(948,'Transfer Engine'!$C$2:$C$1369,0)))</f>
        <v/>
      </c>
      <c r="H957" s="9">
        <f>IF(ISNA(MATCH(948,'Transfer Engine'!$C$2:$C$1369,0)),"",INDEX('Compliance Database'!$H$2:$H$1369,MATCH(948,'Transfer Engine'!$C$2:$C$1369,0)))</f>
        <v/>
      </c>
      <c r="I957" s="9">
        <f>IF(ISNA(MATCH(948,'Transfer Engine'!$C$2:$C$1369,0)),"",INDEX('Compliance Database'!$I$2:$I$1369,MATCH(948,'Transfer Engine'!$C$2:$C$1369,0)))</f>
        <v/>
      </c>
      <c r="J957" s="8">
        <f>IF(ISNA(MATCH(948,'Transfer Engine'!$C$2:$C$1369,0)),"",INDEX('Compliance Database'!$J$2:$J$1369,MATCH(948,'Transfer Engine'!$C$2:$C$1369,0)))</f>
        <v/>
      </c>
      <c r="K957" s="9">
        <f>IF(ISNA(MATCH(948,'Transfer Engine'!$C$2:$C$1369,0)),"",INDEX('Compliance Database'!$K$2:$K$1369,MATCH(948,'Transfer Engine'!$C$2:$C$1369,0)))</f>
        <v/>
      </c>
      <c r="L957" s="9">
        <f>IF(ISNA(MATCH(948,'Transfer Engine'!$C$2:$C$1369,0)),"",INDEX('Compliance Database'!$L$2:$L$1369,MATCH(948,'Transfer Engine'!$C$2:$C$1369,0)))</f>
        <v/>
      </c>
      <c r="M957" s="9">
        <f>IF(ISNA(MATCH(948,'Transfer Engine'!$C$2:$C$1369,0)),"",INDEX('Compliance Database'!$M$2:$M$1369,MATCH(948,'Transfer Engine'!$C$2:$C$1369,0)))</f>
        <v/>
      </c>
      <c r="N957" s="9">
        <f>IF(ISNA(MATCH(948,'Transfer Engine'!$C$2:$C$1369,0)),"",INDEX('Compliance Database'!$N$2:$N$1369,MATCH(948,'Transfer Engine'!$C$2:$C$1369,0)))</f>
        <v/>
      </c>
      <c r="O957" s="8">
        <f>IF(ISNA(MATCH(948,'Transfer Engine'!$C$2:$C$1369,0)),"",HYPERLINK(INDEX('Compliance Database'!$O$2:$O$1369,MATCH(948,'Transfer Engine'!$C$2:$C$1369,0)),"Open PDF"))</f>
        <v/>
      </c>
    </row>
    <row r="958" ht="188" customHeight="1">
      <c r="A958" s="8">
        <f>IF(ISNA(MATCH(949,'Transfer Engine'!$C$2:$C$1369,0)),"",INDEX('Compliance Database'!$A$2:$A$1369,MATCH(949,'Transfer Engine'!$C$2:$C$1369,0)))</f>
        <v/>
      </c>
      <c r="B958" s="8">
        <f>IF(ISNA(MATCH(949,'Transfer Engine'!$C$2:$C$1369,0)),"",INDEX('Compliance Database'!$B$2:$B$1369,MATCH(949,'Transfer Engine'!$C$2:$C$1369,0)))</f>
        <v/>
      </c>
      <c r="C958" s="8">
        <f>IF(ISNA(MATCH(949,'Transfer Engine'!$C$2:$C$1369,0)),"",INDEX('Compliance Database'!$C$2:$C$1369,MATCH(949,'Transfer Engine'!$C$2:$C$1369,0)))</f>
        <v/>
      </c>
      <c r="D958" s="9">
        <f>IF(ISNA(MATCH(949,'Transfer Engine'!$C$2:$C$1369,0)),"",INDEX('Compliance Database'!$D$2:$D$1369,MATCH(949,'Transfer Engine'!$C$2:$C$1369,0)))</f>
        <v/>
      </c>
      <c r="E958" s="8">
        <f>IF(ISNA(MATCH(949,'Transfer Engine'!$C$2:$C$1369,0)),"",INDEX('Compliance Database'!$E$2:$E$1369,MATCH(949,'Transfer Engine'!$C$2:$C$1369,0)))</f>
        <v/>
      </c>
      <c r="F958" s="8">
        <f>IF(ISNA(MATCH(949,'Transfer Engine'!$C$2:$C$1369,0)),"",INDEX('Compliance Database'!$F$2:$F$1369,MATCH(949,'Transfer Engine'!$C$2:$C$1369,0)))</f>
        <v/>
      </c>
      <c r="G958" s="8">
        <f>IF(ISNA(MATCH(949,'Transfer Engine'!$C$2:$C$1369,0)),"",INDEX('Compliance Database'!$G$2:$G$1369,MATCH(949,'Transfer Engine'!$C$2:$C$1369,0)))</f>
        <v/>
      </c>
      <c r="H958" s="9">
        <f>IF(ISNA(MATCH(949,'Transfer Engine'!$C$2:$C$1369,0)),"",INDEX('Compliance Database'!$H$2:$H$1369,MATCH(949,'Transfer Engine'!$C$2:$C$1369,0)))</f>
        <v/>
      </c>
      <c r="I958" s="9">
        <f>IF(ISNA(MATCH(949,'Transfer Engine'!$C$2:$C$1369,0)),"",INDEX('Compliance Database'!$I$2:$I$1369,MATCH(949,'Transfer Engine'!$C$2:$C$1369,0)))</f>
        <v/>
      </c>
      <c r="J958" s="8">
        <f>IF(ISNA(MATCH(949,'Transfer Engine'!$C$2:$C$1369,0)),"",INDEX('Compliance Database'!$J$2:$J$1369,MATCH(949,'Transfer Engine'!$C$2:$C$1369,0)))</f>
        <v/>
      </c>
      <c r="K958" s="9">
        <f>IF(ISNA(MATCH(949,'Transfer Engine'!$C$2:$C$1369,0)),"",INDEX('Compliance Database'!$K$2:$K$1369,MATCH(949,'Transfer Engine'!$C$2:$C$1369,0)))</f>
        <v/>
      </c>
      <c r="L958" s="9">
        <f>IF(ISNA(MATCH(949,'Transfer Engine'!$C$2:$C$1369,0)),"",INDEX('Compliance Database'!$L$2:$L$1369,MATCH(949,'Transfer Engine'!$C$2:$C$1369,0)))</f>
        <v/>
      </c>
      <c r="M958" s="9">
        <f>IF(ISNA(MATCH(949,'Transfer Engine'!$C$2:$C$1369,0)),"",INDEX('Compliance Database'!$M$2:$M$1369,MATCH(949,'Transfer Engine'!$C$2:$C$1369,0)))</f>
        <v/>
      </c>
      <c r="N958" s="9">
        <f>IF(ISNA(MATCH(949,'Transfer Engine'!$C$2:$C$1369,0)),"",INDEX('Compliance Database'!$N$2:$N$1369,MATCH(949,'Transfer Engine'!$C$2:$C$1369,0)))</f>
        <v/>
      </c>
      <c r="O958" s="8">
        <f>IF(ISNA(MATCH(949,'Transfer Engine'!$C$2:$C$1369,0)),"",HYPERLINK(INDEX('Compliance Database'!$O$2:$O$1369,MATCH(949,'Transfer Engine'!$C$2:$C$1369,0)),"Open PDF"))</f>
        <v/>
      </c>
    </row>
    <row r="959" ht="188" customHeight="1">
      <c r="A959" s="8">
        <f>IF(ISNA(MATCH(950,'Transfer Engine'!$C$2:$C$1369,0)),"",INDEX('Compliance Database'!$A$2:$A$1369,MATCH(950,'Transfer Engine'!$C$2:$C$1369,0)))</f>
        <v/>
      </c>
      <c r="B959" s="8">
        <f>IF(ISNA(MATCH(950,'Transfer Engine'!$C$2:$C$1369,0)),"",INDEX('Compliance Database'!$B$2:$B$1369,MATCH(950,'Transfer Engine'!$C$2:$C$1369,0)))</f>
        <v/>
      </c>
      <c r="C959" s="8">
        <f>IF(ISNA(MATCH(950,'Transfer Engine'!$C$2:$C$1369,0)),"",INDEX('Compliance Database'!$C$2:$C$1369,MATCH(950,'Transfer Engine'!$C$2:$C$1369,0)))</f>
        <v/>
      </c>
      <c r="D959" s="9">
        <f>IF(ISNA(MATCH(950,'Transfer Engine'!$C$2:$C$1369,0)),"",INDEX('Compliance Database'!$D$2:$D$1369,MATCH(950,'Transfer Engine'!$C$2:$C$1369,0)))</f>
        <v/>
      </c>
      <c r="E959" s="8">
        <f>IF(ISNA(MATCH(950,'Transfer Engine'!$C$2:$C$1369,0)),"",INDEX('Compliance Database'!$E$2:$E$1369,MATCH(950,'Transfer Engine'!$C$2:$C$1369,0)))</f>
        <v/>
      </c>
      <c r="F959" s="8">
        <f>IF(ISNA(MATCH(950,'Transfer Engine'!$C$2:$C$1369,0)),"",INDEX('Compliance Database'!$F$2:$F$1369,MATCH(950,'Transfer Engine'!$C$2:$C$1369,0)))</f>
        <v/>
      </c>
      <c r="G959" s="8">
        <f>IF(ISNA(MATCH(950,'Transfer Engine'!$C$2:$C$1369,0)),"",INDEX('Compliance Database'!$G$2:$G$1369,MATCH(950,'Transfer Engine'!$C$2:$C$1369,0)))</f>
        <v/>
      </c>
      <c r="H959" s="9">
        <f>IF(ISNA(MATCH(950,'Transfer Engine'!$C$2:$C$1369,0)),"",INDEX('Compliance Database'!$H$2:$H$1369,MATCH(950,'Transfer Engine'!$C$2:$C$1369,0)))</f>
        <v/>
      </c>
      <c r="I959" s="9">
        <f>IF(ISNA(MATCH(950,'Transfer Engine'!$C$2:$C$1369,0)),"",INDEX('Compliance Database'!$I$2:$I$1369,MATCH(950,'Transfer Engine'!$C$2:$C$1369,0)))</f>
        <v/>
      </c>
      <c r="J959" s="8">
        <f>IF(ISNA(MATCH(950,'Transfer Engine'!$C$2:$C$1369,0)),"",INDEX('Compliance Database'!$J$2:$J$1369,MATCH(950,'Transfer Engine'!$C$2:$C$1369,0)))</f>
        <v/>
      </c>
      <c r="K959" s="9">
        <f>IF(ISNA(MATCH(950,'Transfer Engine'!$C$2:$C$1369,0)),"",INDEX('Compliance Database'!$K$2:$K$1369,MATCH(950,'Transfer Engine'!$C$2:$C$1369,0)))</f>
        <v/>
      </c>
      <c r="L959" s="9">
        <f>IF(ISNA(MATCH(950,'Transfer Engine'!$C$2:$C$1369,0)),"",INDEX('Compliance Database'!$L$2:$L$1369,MATCH(950,'Transfer Engine'!$C$2:$C$1369,0)))</f>
        <v/>
      </c>
      <c r="M959" s="9">
        <f>IF(ISNA(MATCH(950,'Transfer Engine'!$C$2:$C$1369,0)),"",INDEX('Compliance Database'!$M$2:$M$1369,MATCH(950,'Transfer Engine'!$C$2:$C$1369,0)))</f>
        <v/>
      </c>
      <c r="N959" s="9">
        <f>IF(ISNA(MATCH(950,'Transfer Engine'!$C$2:$C$1369,0)),"",INDEX('Compliance Database'!$N$2:$N$1369,MATCH(950,'Transfer Engine'!$C$2:$C$1369,0)))</f>
        <v/>
      </c>
      <c r="O959" s="8">
        <f>IF(ISNA(MATCH(950,'Transfer Engine'!$C$2:$C$1369,0)),"",HYPERLINK(INDEX('Compliance Database'!$O$2:$O$1369,MATCH(950,'Transfer Engine'!$C$2:$C$1369,0)),"Open PDF"))</f>
        <v/>
      </c>
    </row>
    <row r="960" ht="188" customHeight="1">
      <c r="A960" s="8">
        <f>IF(ISNA(MATCH(951,'Transfer Engine'!$C$2:$C$1369,0)),"",INDEX('Compliance Database'!$A$2:$A$1369,MATCH(951,'Transfer Engine'!$C$2:$C$1369,0)))</f>
        <v/>
      </c>
      <c r="B960" s="8">
        <f>IF(ISNA(MATCH(951,'Transfer Engine'!$C$2:$C$1369,0)),"",INDEX('Compliance Database'!$B$2:$B$1369,MATCH(951,'Transfer Engine'!$C$2:$C$1369,0)))</f>
        <v/>
      </c>
      <c r="C960" s="8">
        <f>IF(ISNA(MATCH(951,'Transfer Engine'!$C$2:$C$1369,0)),"",INDEX('Compliance Database'!$C$2:$C$1369,MATCH(951,'Transfer Engine'!$C$2:$C$1369,0)))</f>
        <v/>
      </c>
      <c r="D960" s="9">
        <f>IF(ISNA(MATCH(951,'Transfer Engine'!$C$2:$C$1369,0)),"",INDEX('Compliance Database'!$D$2:$D$1369,MATCH(951,'Transfer Engine'!$C$2:$C$1369,0)))</f>
        <v/>
      </c>
      <c r="E960" s="8">
        <f>IF(ISNA(MATCH(951,'Transfer Engine'!$C$2:$C$1369,0)),"",INDEX('Compliance Database'!$E$2:$E$1369,MATCH(951,'Transfer Engine'!$C$2:$C$1369,0)))</f>
        <v/>
      </c>
      <c r="F960" s="8">
        <f>IF(ISNA(MATCH(951,'Transfer Engine'!$C$2:$C$1369,0)),"",INDEX('Compliance Database'!$F$2:$F$1369,MATCH(951,'Transfer Engine'!$C$2:$C$1369,0)))</f>
        <v/>
      </c>
      <c r="G960" s="8">
        <f>IF(ISNA(MATCH(951,'Transfer Engine'!$C$2:$C$1369,0)),"",INDEX('Compliance Database'!$G$2:$G$1369,MATCH(951,'Transfer Engine'!$C$2:$C$1369,0)))</f>
        <v/>
      </c>
      <c r="H960" s="9">
        <f>IF(ISNA(MATCH(951,'Transfer Engine'!$C$2:$C$1369,0)),"",INDEX('Compliance Database'!$H$2:$H$1369,MATCH(951,'Transfer Engine'!$C$2:$C$1369,0)))</f>
        <v/>
      </c>
      <c r="I960" s="9">
        <f>IF(ISNA(MATCH(951,'Transfer Engine'!$C$2:$C$1369,0)),"",INDEX('Compliance Database'!$I$2:$I$1369,MATCH(951,'Transfer Engine'!$C$2:$C$1369,0)))</f>
        <v/>
      </c>
      <c r="J960" s="8">
        <f>IF(ISNA(MATCH(951,'Transfer Engine'!$C$2:$C$1369,0)),"",INDEX('Compliance Database'!$J$2:$J$1369,MATCH(951,'Transfer Engine'!$C$2:$C$1369,0)))</f>
        <v/>
      </c>
      <c r="K960" s="9">
        <f>IF(ISNA(MATCH(951,'Transfer Engine'!$C$2:$C$1369,0)),"",INDEX('Compliance Database'!$K$2:$K$1369,MATCH(951,'Transfer Engine'!$C$2:$C$1369,0)))</f>
        <v/>
      </c>
      <c r="L960" s="9">
        <f>IF(ISNA(MATCH(951,'Transfer Engine'!$C$2:$C$1369,0)),"",INDEX('Compliance Database'!$L$2:$L$1369,MATCH(951,'Transfer Engine'!$C$2:$C$1369,0)))</f>
        <v/>
      </c>
      <c r="M960" s="9">
        <f>IF(ISNA(MATCH(951,'Transfer Engine'!$C$2:$C$1369,0)),"",INDEX('Compliance Database'!$M$2:$M$1369,MATCH(951,'Transfer Engine'!$C$2:$C$1369,0)))</f>
        <v/>
      </c>
      <c r="N960" s="9">
        <f>IF(ISNA(MATCH(951,'Transfer Engine'!$C$2:$C$1369,0)),"",INDEX('Compliance Database'!$N$2:$N$1369,MATCH(951,'Transfer Engine'!$C$2:$C$1369,0)))</f>
        <v/>
      </c>
      <c r="O960" s="8">
        <f>IF(ISNA(MATCH(951,'Transfer Engine'!$C$2:$C$1369,0)),"",HYPERLINK(INDEX('Compliance Database'!$O$2:$O$1369,MATCH(951,'Transfer Engine'!$C$2:$C$1369,0)),"Open PDF"))</f>
        <v/>
      </c>
    </row>
    <row r="961" ht="188" customHeight="1">
      <c r="A961" s="8">
        <f>IF(ISNA(MATCH(952,'Transfer Engine'!$C$2:$C$1369,0)),"",INDEX('Compliance Database'!$A$2:$A$1369,MATCH(952,'Transfer Engine'!$C$2:$C$1369,0)))</f>
        <v/>
      </c>
      <c r="B961" s="8">
        <f>IF(ISNA(MATCH(952,'Transfer Engine'!$C$2:$C$1369,0)),"",INDEX('Compliance Database'!$B$2:$B$1369,MATCH(952,'Transfer Engine'!$C$2:$C$1369,0)))</f>
        <v/>
      </c>
      <c r="C961" s="8">
        <f>IF(ISNA(MATCH(952,'Transfer Engine'!$C$2:$C$1369,0)),"",INDEX('Compliance Database'!$C$2:$C$1369,MATCH(952,'Transfer Engine'!$C$2:$C$1369,0)))</f>
        <v/>
      </c>
      <c r="D961" s="9">
        <f>IF(ISNA(MATCH(952,'Transfer Engine'!$C$2:$C$1369,0)),"",INDEX('Compliance Database'!$D$2:$D$1369,MATCH(952,'Transfer Engine'!$C$2:$C$1369,0)))</f>
        <v/>
      </c>
      <c r="E961" s="8">
        <f>IF(ISNA(MATCH(952,'Transfer Engine'!$C$2:$C$1369,0)),"",INDEX('Compliance Database'!$E$2:$E$1369,MATCH(952,'Transfer Engine'!$C$2:$C$1369,0)))</f>
        <v/>
      </c>
      <c r="F961" s="8">
        <f>IF(ISNA(MATCH(952,'Transfer Engine'!$C$2:$C$1369,0)),"",INDEX('Compliance Database'!$F$2:$F$1369,MATCH(952,'Transfer Engine'!$C$2:$C$1369,0)))</f>
        <v/>
      </c>
      <c r="G961" s="8">
        <f>IF(ISNA(MATCH(952,'Transfer Engine'!$C$2:$C$1369,0)),"",INDEX('Compliance Database'!$G$2:$G$1369,MATCH(952,'Transfer Engine'!$C$2:$C$1369,0)))</f>
        <v/>
      </c>
      <c r="H961" s="9">
        <f>IF(ISNA(MATCH(952,'Transfer Engine'!$C$2:$C$1369,0)),"",INDEX('Compliance Database'!$H$2:$H$1369,MATCH(952,'Transfer Engine'!$C$2:$C$1369,0)))</f>
        <v/>
      </c>
      <c r="I961" s="9">
        <f>IF(ISNA(MATCH(952,'Transfer Engine'!$C$2:$C$1369,0)),"",INDEX('Compliance Database'!$I$2:$I$1369,MATCH(952,'Transfer Engine'!$C$2:$C$1369,0)))</f>
        <v/>
      </c>
      <c r="J961" s="8">
        <f>IF(ISNA(MATCH(952,'Transfer Engine'!$C$2:$C$1369,0)),"",INDEX('Compliance Database'!$J$2:$J$1369,MATCH(952,'Transfer Engine'!$C$2:$C$1369,0)))</f>
        <v/>
      </c>
      <c r="K961" s="9">
        <f>IF(ISNA(MATCH(952,'Transfer Engine'!$C$2:$C$1369,0)),"",INDEX('Compliance Database'!$K$2:$K$1369,MATCH(952,'Transfer Engine'!$C$2:$C$1369,0)))</f>
        <v/>
      </c>
      <c r="L961" s="9">
        <f>IF(ISNA(MATCH(952,'Transfer Engine'!$C$2:$C$1369,0)),"",INDEX('Compliance Database'!$L$2:$L$1369,MATCH(952,'Transfer Engine'!$C$2:$C$1369,0)))</f>
        <v/>
      </c>
      <c r="M961" s="9">
        <f>IF(ISNA(MATCH(952,'Transfer Engine'!$C$2:$C$1369,0)),"",INDEX('Compliance Database'!$M$2:$M$1369,MATCH(952,'Transfer Engine'!$C$2:$C$1369,0)))</f>
        <v/>
      </c>
      <c r="N961" s="9">
        <f>IF(ISNA(MATCH(952,'Transfer Engine'!$C$2:$C$1369,0)),"",INDEX('Compliance Database'!$N$2:$N$1369,MATCH(952,'Transfer Engine'!$C$2:$C$1369,0)))</f>
        <v/>
      </c>
      <c r="O961" s="8">
        <f>IF(ISNA(MATCH(952,'Transfer Engine'!$C$2:$C$1369,0)),"",HYPERLINK(INDEX('Compliance Database'!$O$2:$O$1369,MATCH(952,'Transfer Engine'!$C$2:$C$1369,0)),"Open PDF"))</f>
        <v/>
      </c>
    </row>
    <row r="962" ht="188" customHeight="1">
      <c r="A962" s="8">
        <f>IF(ISNA(MATCH(953,'Transfer Engine'!$C$2:$C$1369,0)),"",INDEX('Compliance Database'!$A$2:$A$1369,MATCH(953,'Transfer Engine'!$C$2:$C$1369,0)))</f>
        <v/>
      </c>
      <c r="B962" s="8">
        <f>IF(ISNA(MATCH(953,'Transfer Engine'!$C$2:$C$1369,0)),"",INDEX('Compliance Database'!$B$2:$B$1369,MATCH(953,'Transfer Engine'!$C$2:$C$1369,0)))</f>
        <v/>
      </c>
      <c r="C962" s="8">
        <f>IF(ISNA(MATCH(953,'Transfer Engine'!$C$2:$C$1369,0)),"",INDEX('Compliance Database'!$C$2:$C$1369,MATCH(953,'Transfer Engine'!$C$2:$C$1369,0)))</f>
        <v/>
      </c>
      <c r="D962" s="9">
        <f>IF(ISNA(MATCH(953,'Transfer Engine'!$C$2:$C$1369,0)),"",INDEX('Compliance Database'!$D$2:$D$1369,MATCH(953,'Transfer Engine'!$C$2:$C$1369,0)))</f>
        <v/>
      </c>
      <c r="E962" s="8">
        <f>IF(ISNA(MATCH(953,'Transfer Engine'!$C$2:$C$1369,0)),"",INDEX('Compliance Database'!$E$2:$E$1369,MATCH(953,'Transfer Engine'!$C$2:$C$1369,0)))</f>
        <v/>
      </c>
      <c r="F962" s="8">
        <f>IF(ISNA(MATCH(953,'Transfer Engine'!$C$2:$C$1369,0)),"",INDEX('Compliance Database'!$F$2:$F$1369,MATCH(953,'Transfer Engine'!$C$2:$C$1369,0)))</f>
        <v/>
      </c>
      <c r="G962" s="8">
        <f>IF(ISNA(MATCH(953,'Transfer Engine'!$C$2:$C$1369,0)),"",INDEX('Compliance Database'!$G$2:$G$1369,MATCH(953,'Transfer Engine'!$C$2:$C$1369,0)))</f>
        <v/>
      </c>
      <c r="H962" s="9">
        <f>IF(ISNA(MATCH(953,'Transfer Engine'!$C$2:$C$1369,0)),"",INDEX('Compliance Database'!$H$2:$H$1369,MATCH(953,'Transfer Engine'!$C$2:$C$1369,0)))</f>
        <v/>
      </c>
      <c r="I962" s="9">
        <f>IF(ISNA(MATCH(953,'Transfer Engine'!$C$2:$C$1369,0)),"",INDEX('Compliance Database'!$I$2:$I$1369,MATCH(953,'Transfer Engine'!$C$2:$C$1369,0)))</f>
        <v/>
      </c>
      <c r="J962" s="8">
        <f>IF(ISNA(MATCH(953,'Transfer Engine'!$C$2:$C$1369,0)),"",INDEX('Compliance Database'!$J$2:$J$1369,MATCH(953,'Transfer Engine'!$C$2:$C$1369,0)))</f>
        <v/>
      </c>
      <c r="K962" s="9">
        <f>IF(ISNA(MATCH(953,'Transfer Engine'!$C$2:$C$1369,0)),"",INDEX('Compliance Database'!$K$2:$K$1369,MATCH(953,'Transfer Engine'!$C$2:$C$1369,0)))</f>
        <v/>
      </c>
      <c r="L962" s="9">
        <f>IF(ISNA(MATCH(953,'Transfer Engine'!$C$2:$C$1369,0)),"",INDEX('Compliance Database'!$L$2:$L$1369,MATCH(953,'Transfer Engine'!$C$2:$C$1369,0)))</f>
        <v/>
      </c>
      <c r="M962" s="9">
        <f>IF(ISNA(MATCH(953,'Transfer Engine'!$C$2:$C$1369,0)),"",INDEX('Compliance Database'!$M$2:$M$1369,MATCH(953,'Transfer Engine'!$C$2:$C$1369,0)))</f>
        <v/>
      </c>
      <c r="N962" s="9">
        <f>IF(ISNA(MATCH(953,'Transfer Engine'!$C$2:$C$1369,0)),"",INDEX('Compliance Database'!$N$2:$N$1369,MATCH(953,'Transfer Engine'!$C$2:$C$1369,0)))</f>
        <v/>
      </c>
      <c r="O962" s="8">
        <f>IF(ISNA(MATCH(953,'Transfer Engine'!$C$2:$C$1369,0)),"",HYPERLINK(INDEX('Compliance Database'!$O$2:$O$1369,MATCH(953,'Transfer Engine'!$C$2:$C$1369,0)),"Open PDF"))</f>
        <v/>
      </c>
    </row>
    <row r="963" ht="188" customHeight="1">
      <c r="A963" s="8">
        <f>IF(ISNA(MATCH(954,'Transfer Engine'!$C$2:$C$1369,0)),"",INDEX('Compliance Database'!$A$2:$A$1369,MATCH(954,'Transfer Engine'!$C$2:$C$1369,0)))</f>
        <v/>
      </c>
      <c r="B963" s="8">
        <f>IF(ISNA(MATCH(954,'Transfer Engine'!$C$2:$C$1369,0)),"",INDEX('Compliance Database'!$B$2:$B$1369,MATCH(954,'Transfer Engine'!$C$2:$C$1369,0)))</f>
        <v/>
      </c>
      <c r="C963" s="8">
        <f>IF(ISNA(MATCH(954,'Transfer Engine'!$C$2:$C$1369,0)),"",INDEX('Compliance Database'!$C$2:$C$1369,MATCH(954,'Transfer Engine'!$C$2:$C$1369,0)))</f>
        <v/>
      </c>
      <c r="D963" s="9">
        <f>IF(ISNA(MATCH(954,'Transfer Engine'!$C$2:$C$1369,0)),"",INDEX('Compliance Database'!$D$2:$D$1369,MATCH(954,'Transfer Engine'!$C$2:$C$1369,0)))</f>
        <v/>
      </c>
      <c r="E963" s="8">
        <f>IF(ISNA(MATCH(954,'Transfer Engine'!$C$2:$C$1369,0)),"",INDEX('Compliance Database'!$E$2:$E$1369,MATCH(954,'Transfer Engine'!$C$2:$C$1369,0)))</f>
        <v/>
      </c>
      <c r="F963" s="8">
        <f>IF(ISNA(MATCH(954,'Transfer Engine'!$C$2:$C$1369,0)),"",INDEX('Compliance Database'!$F$2:$F$1369,MATCH(954,'Transfer Engine'!$C$2:$C$1369,0)))</f>
        <v/>
      </c>
      <c r="G963" s="8">
        <f>IF(ISNA(MATCH(954,'Transfer Engine'!$C$2:$C$1369,0)),"",INDEX('Compliance Database'!$G$2:$G$1369,MATCH(954,'Transfer Engine'!$C$2:$C$1369,0)))</f>
        <v/>
      </c>
      <c r="H963" s="9">
        <f>IF(ISNA(MATCH(954,'Transfer Engine'!$C$2:$C$1369,0)),"",INDEX('Compliance Database'!$H$2:$H$1369,MATCH(954,'Transfer Engine'!$C$2:$C$1369,0)))</f>
        <v/>
      </c>
      <c r="I963" s="9">
        <f>IF(ISNA(MATCH(954,'Transfer Engine'!$C$2:$C$1369,0)),"",INDEX('Compliance Database'!$I$2:$I$1369,MATCH(954,'Transfer Engine'!$C$2:$C$1369,0)))</f>
        <v/>
      </c>
      <c r="J963" s="8">
        <f>IF(ISNA(MATCH(954,'Transfer Engine'!$C$2:$C$1369,0)),"",INDEX('Compliance Database'!$J$2:$J$1369,MATCH(954,'Transfer Engine'!$C$2:$C$1369,0)))</f>
        <v/>
      </c>
      <c r="K963" s="9">
        <f>IF(ISNA(MATCH(954,'Transfer Engine'!$C$2:$C$1369,0)),"",INDEX('Compliance Database'!$K$2:$K$1369,MATCH(954,'Transfer Engine'!$C$2:$C$1369,0)))</f>
        <v/>
      </c>
      <c r="L963" s="9">
        <f>IF(ISNA(MATCH(954,'Transfer Engine'!$C$2:$C$1369,0)),"",INDEX('Compliance Database'!$L$2:$L$1369,MATCH(954,'Transfer Engine'!$C$2:$C$1369,0)))</f>
        <v/>
      </c>
      <c r="M963" s="9">
        <f>IF(ISNA(MATCH(954,'Transfer Engine'!$C$2:$C$1369,0)),"",INDEX('Compliance Database'!$M$2:$M$1369,MATCH(954,'Transfer Engine'!$C$2:$C$1369,0)))</f>
        <v/>
      </c>
      <c r="N963" s="9">
        <f>IF(ISNA(MATCH(954,'Transfer Engine'!$C$2:$C$1369,0)),"",INDEX('Compliance Database'!$N$2:$N$1369,MATCH(954,'Transfer Engine'!$C$2:$C$1369,0)))</f>
        <v/>
      </c>
      <c r="O963" s="8">
        <f>IF(ISNA(MATCH(954,'Transfer Engine'!$C$2:$C$1369,0)),"",HYPERLINK(INDEX('Compliance Database'!$O$2:$O$1369,MATCH(954,'Transfer Engine'!$C$2:$C$1369,0)),"Open PDF"))</f>
        <v/>
      </c>
    </row>
    <row r="964" ht="188" customHeight="1">
      <c r="A964" s="8">
        <f>IF(ISNA(MATCH(955,'Transfer Engine'!$C$2:$C$1369,0)),"",INDEX('Compliance Database'!$A$2:$A$1369,MATCH(955,'Transfer Engine'!$C$2:$C$1369,0)))</f>
        <v/>
      </c>
      <c r="B964" s="8">
        <f>IF(ISNA(MATCH(955,'Transfer Engine'!$C$2:$C$1369,0)),"",INDEX('Compliance Database'!$B$2:$B$1369,MATCH(955,'Transfer Engine'!$C$2:$C$1369,0)))</f>
        <v/>
      </c>
      <c r="C964" s="8">
        <f>IF(ISNA(MATCH(955,'Transfer Engine'!$C$2:$C$1369,0)),"",INDEX('Compliance Database'!$C$2:$C$1369,MATCH(955,'Transfer Engine'!$C$2:$C$1369,0)))</f>
        <v/>
      </c>
      <c r="D964" s="9">
        <f>IF(ISNA(MATCH(955,'Transfer Engine'!$C$2:$C$1369,0)),"",INDEX('Compliance Database'!$D$2:$D$1369,MATCH(955,'Transfer Engine'!$C$2:$C$1369,0)))</f>
        <v/>
      </c>
      <c r="E964" s="8">
        <f>IF(ISNA(MATCH(955,'Transfer Engine'!$C$2:$C$1369,0)),"",INDEX('Compliance Database'!$E$2:$E$1369,MATCH(955,'Transfer Engine'!$C$2:$C$1369,0)))</f>
        <v/>
      </c>
      <c r="F964" s="8">
        <f>IF(ISNA(MATCH(955,'Transfer Engine'!$C$2:$C$1369,0)),"",INDEX('Compliance Database'!$F$2:$F$1369,MATCH(955,'Transfer Engine'!$C$2:$C$1369,0)))</f>
        <v/>
      </c>
      <c r="G964" s="8">
        <f>IF(ISNA(MATCH(955,'Transfer Engine'!$C$2:$C$1369,0)),"",INDEX('Compliance Database'!$G$2:$G$1369,MATCH(955,'Transfer Engine'!$C$2:$C$1369,0)))</f>
        <v/>
      </c>
      <c r="H964" s="9">
        <f>IF(ISNA(MATCH(955,'Transfer Engine'!$C$2:$C$1369,0)),"",INDEX('Compliance Database'!$H$2:$H$1369,MATCH(955,'Transfer Engine'!$C$2:$C$1369,0)))</f>
        <v/>
      </c>
      <c r="I964" s="9">
        <f>IF(ISNA(MATCH(955,'Transfer Engine'!$C$2:$C$1369,0)),"",INDEX('Compliance Database'!$I$2:$I$1369,MATCH(955,'Transfer Engine'!$C$2:$C$1369,0)))</f>
        <v/>
      </c>
      <c r="J964" s="8">
        <f>IF(ISNA(MATCH(955,'Transfer Engine'!$C$2:$C$1369,0)),"",INDEX('Compliance Database'!$J$2:$J$1369,MATCH(955,'Transfer Engine'!$C$2:$C$1369,0)))</f>
        <v/>
      </c>
      <c r="K964" s="9">
        <f>IF(ISNA(MATCH(955,'Transfer Engine'!$C$2:$C$1369,0)),"",INDEX('Compliance Database'!$K$2:$K$1369,MATCH(955,'Transfer Engine'!$C$2:$C$1369,0)))</f>
        <v/>
      </c>
      <c r="L964" s="9">
        <f>IF(ISNA(MATCH(955,'Transfer Engine'!$C$2:$C$1369,0)),"",INDEX('Compliance Database'!$L$2:$L$1369,MATCH(955,'Transfer Engine'!$C$2:$C$1369,0)))</f>
        <v/>
      </c>
      <c r="M964" s="9">
        <f>IF(ISNA(MATCH(955,'Transfer Engine'!$C$2:$C$1369,0)),"",INDEX('Compliance Database'!$M$2:$M$1369,MATCH(955,'Transfer Engine'!$C$2:$C$1369,0)))</f>
        <v/>
      </c>
      <c r="N964" s="9">
        <f>IF(ISNA(MATCH(955,'Transfer Engine'!$C$2:$C$1369,0)),"",INDEX('Compliance Database'!$N$2:$N$1369,MATCH(955,'Transfer Engine'!$C$2:$C$1369,0)))</f>
        <v/>
      </c>
      <c r="O964" s="8">
        <f>IF(ISNA(MATCH(955,'Transfer Engine'!$C$2:$C$1369,0)),"",HYPERLINK(INDEX('Compliance Database'!$O$2:$O$1369,MATCH(955,'Transfer Engine'!$C$2:$C$1369,0)),"Open PDF"))</f>
        <v/>
      </c>
    </row>
    <row r="965" ht="188" customHeight="1">
      <c r="A965" s="8">
        <f>IF(ISNA(MATCH(956,'Transfer Engine'!$C$2:$C$1369,0)),"",INDEX('Compliance Database'!$A$2:$A$1369,MATCH(956,'Transfer Engine'!$C$2:$C$1369,0)))</f>
        <v/>
      </c>
      <c r="B965" s="8">
        <f>IF(ISNA(MATCH(956,'Transfer Engine'!$C$2:$C$1369,0)),"",INDEX('Compliance Database'!$B$2:$B$1369,MATCH(956,'Transfer Engine'!$C$2:$C$1369,0)))</f>
        <v/>
      </c>
      <c r="C965" s="8">
        <f>IF(ISNA(MATCH(956,'Transfer Engine'!$C$2:$C$1369,0)),"",INDEX('Compliance Database'!$C$2:$C$1369,MATCH(956,'Transfer Engine'!$C$2:$C$1369,0)))</f>
        <v/>
      </c>
      <c r="D965" s="9">
        <f>IF(ISNA(MATCH(956,'Transfer Engine'!$C$2:$C$1369,0)),"",INDEX('Compliance Database'!$D$2:$D$1369,MATCH(956,'Transfer Engine'!$C$2:$C$1369,0)))</f>
        <v/>
      </c>
      <c r="E965" s="8">
        <f>IF(ISNA(MATCH(956,'Transfer Engine'!$C$2:$C$1369,0)),"",INDEX('Compliance Database'!$E$2:$E$1369,MATCH(956,'Transfer Engine'!$C$2:$C$1369,0)))</f>
        <v/>
      </c>
      <c r="F965" s="8">
        <f>IF(ISNA(MATCH(956,'Transfer Engine'!$C$2:$C$1369,0)),"",INDEX('Compliance Database'!$F$2:$F$1369,MATCH(956,'Transfer Engine'!$C$2:$C$1369,0)))</f>
        <v/>
      </c>
      <c r="G965" s="8">
        <f>IF(ISNA(MATCH(956,'Transfer Engine'!$C$2:$C$1369,0)),"",INDEX('Compliance Database'!$G$2:$G$1369,MATCH(956,'Transfer Engine'!$C$2:$C$1369,0)))</f>
        <v/>
      </c>
      <c r="H965" s="9">
        <f>IF(ISNA(MATCH(956,'Transfer Engine'!$C$2:$C$1369,0)),"",INDEX('Compliance Database'!$H$2:$H$1369,MATCH(956,'Transfer Engine'!$C$2:$C$1369,0)))</f>
        <v/>
      </c>
      <c r="I965" s="9">
        <f>IF(ISNA(MATCH(956,'Transfer Engine'!$C$2:$C$1369,0)),"",INDEX('Compliance Database'!$I$2:$I$1369,MATCH(956,'Transfer Engine'!$C$2:$C$1369,0)))</f>
        <v/>
      </c>
      <c r="J965" s="8">
        <f>IF(ISNA(MATCH(956,'Transfer Engine'!$C$2:$C$1369,0)),"",INDEX('Compliance Database'!$J$2:$J$1369,MATCH(956,'Transfer Engine'!$C$2:$C$1369,0)))</f>
        <v/>
      </c>
      <c r="K965" s="9">
        <f>IF(ISNA(MATCH(956,'Transfer Engine'!$C$2:$C$1369,0)),"",INDEX('Compliance Database'!$K$2:$K$1369,MATCH(956,'Transfer Engine'!$C$2:$C$1369,0)))</f>
        <v/>
      </c>
      <c r="L965" s="9">
        <f>IF(ISNA(MATCH(956,'Transfer Engine'!$C$2:$C$1369,0)),"",INDEX('Compliance Database'!$L$2:$L$1369,MATCH(956,'Transfer Engine'!$C$2:$C$1369,0)))</f>
        <v/>
      </c>
      <c r="M965" s="9">
        <f>IF(ISNA(MATCH(956,'Transfer Engine'!$C$2:$C$1369,0)),"",INDEX('Compliance Database'!$M$2:$M$1369,MATCH(956,'Transfer Engine'!$C$2:$C$1369,0)))</f>
        <v/>
      </c>
      <c r="N965" s="9">
        <f>IF(ISNA(MATCH(956,'Transfer Engine'!$C$2:$C$1369,0)),"",INDEX('Compliance Database'!$N$2:$N$1369,MATCH(956,'Transfer Engine'!$C$2:$C$1369,0)))</f>
        <v/>
      </c>
      <c r="O965" s="8">
        <f>IF(ISNA(MATCH(956,'Transfer Engine'!$C$2:$C$1369,0)),"",HYPERLINK(INDEX('Compliance Database'!$O$2:$O$1369,MATCH(956,'Transfer Engine'!$C$2:$C$1369,0)),"Open PDF"))</f>
        <v/>
      </c>
    </row>
    <row r="966" ht="188" customHeight="1">
      <c r="A966" s="8">
        <f>IF(ISNA(MATCH(957,'Transfer Engine'!$C$2:$C$1369,0)),"",INDEX('Compliance Database'!$A$2:$A$1369,MATCH(957,'Transfer Engine'!$C$2:$C$1369,0)))</f>
        <v/>
      </c>
      <c r="B966" s="8">
        <f>IF(ISNA(MATCH(957,'Transfer Engine'!$C$2:$C$1369,0)),"",INDEX('Compliance Database'!$B$2:$B$1369,MATCH(957,'Transfer Engine'!$C$2:$C$1369,0)))</f>
        <v/>
      </c>
      <c r="C966" s="8">
        <f>IF(ISNA(MATCH(957,'Transfer Engine'!$C$2:$C$1369,0)),"",INDEX('Compliance Database'!$C$2:$C$1369,MATCH(957,'Transfer Engine'!$C$2:$C$1369,0)))</f>
        <v/>
      </c>
      <c r="D966" s="9">
        <f>IF(ISNA(MATCH(957,'Transfer Engine'!$C$2:$C$1369,0)),"",INDEX('Compliance Database'!$D$2:$D$1369,MATCH(957,'Transfer Engine'!$C$2:$C$1369,0)))</f>
        <v/>
      </c>
      <c r="E966" s="8">
        <f>IF(ISNA(MATCH(957,'Transfer Engine'!$C$2:$C$1369,0)),"",INDEX('Compliance Database'!$E$2:$E$1369,MATCH(957,'Transfer Engine'!$C$2:$C$1369,0)))</f>
        <v/>
      </c>
      <c r="F966" s="8">
        <f>IF(ISNA(MATCH(957,'Transfer Engine'!$C$2:$C$1369,0)),"",INDEX('Compliance Database'!$F$2:$F$1369,MATCH(957,'Transfer Engine'!$C$2:$C$1369,0)))</f>
        <v/>
      </c>
      <c r="G966" s="8">
        <f>IF(ISNA(MATCH(957,'Transfer Engine'!$C$2:$C$1369,0)),"",INDEX('Compliance Database'!$G$2:$G$1369,MATCH(957,'Transfer Engine'!$C$2:$C$1369,0)))</f>
        <v/>
      </c>
      <c r="H966" s="9">
        <f>IF(ISNA(MATCH(957,'Transfer Engine'!$C$2:$C$1369,0)),"",INDEX('Compliance Database'!$H$2:$H$1369,MATCH(957,'Transfer Engine'!$C$2:$C$1369,0)))</f>
        <v/>
      </c>
      <c r="I966" s="9">
        <f>IF(ISNA(MATCH(957,'Transfer Engine'!$C$2:$C$1369,0)),"",INDEX('Compliance Database'!$I$2:$I$1369,MATCH(957,'Transfer Engine'!$C$2:$C$1369,0)))</f>
        <v/>
      </c>
      <c r="J966" s="8">
        <f>IF(ISNA(MATCH(957,'Transfer Engine'!$C$2:$C$1369,0)),"",INDEX('Compliance Database'!$J$2:$J$1369,MATCH(957,'Transfer Engine'!$C$2:$C$1369,0)))</f>
        <v/>
      </c>
      <c r="K966" s="9">
        <f>IF(ISNA(MATCH(957,'Transfer Engine'!$C$2:$C$1369,0)),"",INDEX('Compliance Database'!$K$2:$K$1369,MATCH(957,'Transfer Engine'!$C$2:$C$1369,0)))</f>
        <v/>
      </c>
      <c r="L966" s="9">
        <f>IF(ISNA(MATCH(957,'Transfer Engine'!$C$2:$C$1369,0)),"",INDEX('Compliance Database'!$L$2:$L$1369,MATCH(957,'Transfer Engine'!$C$2:$C$1369,0)))</f>
        <v/>
      </c>
      <c r="M966" s="9">
        <f>IF(ISNA(MATCH(957,'Transfer Engine'!$C$2:$C$1369,0)),"",INDEX('Compliance Database'!$M$2:$M$1369,MATCH(957,'Transfer Engine'!$C$2:$C$1369,0)))</f>
        <v/>
      </c>
      <c r="N966" s="9">
        <f>IF(ISNA(MATCH(957,'Transfer Engine'!$C$2:$C$1369,0)),"",INDEX('Compliance Database'!$N$2:$N$1369,MATCH(957,'Transfer Engine'!$C$2:$C$1369,0)))</f>
        <v/>
      </c>
      <c r="O966" s="8">
        <f>IF(ISNA(MATCH(957,'Transfer Engine'!$C$2:$C$1369,0)),"",HYPERLINK(INDEX('Compliance Database'!$O$2:$O$1369,MATCH(957,'Transfer Engine'!$C$2:$C$1369,0)),"Open PDF"))</f>
        <v/>
      </c>
    </row>
    <row r="967" ht="188" customHeight="1">
      <c r="A967" s="8">
        <f>IF(ISNA(MATCH(958,'Transfer Engine'!$C$2:$C$1369,0)),"",INDEX('Compliance Database'!$A$2:$A$1369,MATCH(958,'Transfer Engine'!$C$2:$C$1369,0)))</f>
        <v/>
      </c>
      <c r="B967" s="8">
        <f>IF(ISNA(MATCH(958,'Transfer Engine'!$C$2:$C$1369,0)),"",INDEX('Compliance Database'!$B$2:$B$1369,MATCH(958,'Transfer Engine'!$C$2:$C$1369,0)))</f>
        <v/>
      </c>
      <c r="C967" s="8">
        <f>IF(ISNA(MATCH(958,'Transfer Engine'!$C$2:$C$1369,0)),"",INDEX('Compliance Database'!$C$2:$C$1369,MATCH(958,'Transfer Engine'!$C$2:$C$1369,0)))</f>
        <v/>
      </c>
      <c r="D967" s="9">
        <f>IF(ISNA(MATCH(958,'Transfer Engine'!$C$2:$C$1369,0)),"",INDEX('Compliance Database'!$D$2:$D$1369,MATCH(958,'Transfer Engine'!$C$2:$C$1369,0)))</f>
        <v/>
      </c>
      <c r="E967" s="8">
        <f>IF(ISNA(MATCH(958,'Transfer Engine'!$C$2:$C$1369,0)),"",INDEX('Compliance Database'!$E$2:$E$1369,MATCH(958,'Transfer Engine'!$C$2:$C$1369,0)))</f>
        <v/>
      </c>
      <c r="F967" s="8">
        <f>IF(ISNA(MATCH(958,'Transfer Engine'!$C$2:$C$1369,0)),"",INDEX('Compliance Database'!$F$2:$F$1369,MATCH(958,'Transfer Engine'!$C$2:$C$1369,0)))</f>
        <v/>
      </c>
      <c r="G967" s="8">
        <f>IF(ISNA(MATCH(958,'Transfer Engine'!$C$2:$C$1369,0)),"",INDEX('Compliance Database'!$G$2:$G$1369,MATCH(958,'Transfer Engine'!$C$2:$C$1369,0)))</f>
        <v/>
      </c>
      <c r="H967" s="9">
        <f>IF(ISNA(MATCH(958,'Transfer Engine'!$C$2:$C$1369,0)),"",INDEX('Compliance Database'!$H$2:$H$1369,MATCH(958,'Transfer Engine'!$C$2:$C$1369,0)))</f>
        <v/>
      </c>
      <c r="I967" s="9">
        <f>IF(ISNA(MATCH(958,'Transfer Engine'!$C$2:$C$1369,0)),"",INDEX('Compliance Database'!$I$2:$I$1369,MATCH(958,'Transfer Engine'!$C$2:$C$1369,0)))</f>
        <v/>
      </c>
      <c r="J967" s="8">
        <f>IF(ISNA(MATCH(958,'Transfer Engine'!$C$2:$C$1369,0)),"",INDEX('Compliance Database'!$J$2:$J$1369,MATCH(958,'Transfer Engine'!$C$2:$C$1369,0)))</f>
        <v/>
      </c>
      <c r="K967" s="9">
        <f>IF(ISNA(MATCH(958,'Transfer Engine'!$C$2:$C$1369,0)),"",INDEX('Compliance Database'!$K$2:$K$1369,MATCH(958,'Transfer Engine'!$C$2:$C$1369,0)))</f>
        <v/>
      </c>
      <c r="L967" s="9">
        <f>IF(ISNA(MATCH(958,'Transfer Engine'!$C$2:$C$1369,0)),"",INDEX('Compliance Database'!$L$2:$L$1369,MATCH(958,'Transfer Engine'!$C$2:$C$1369,0)))</f>
        <v/>
      </c>
      <c r="M967" s="9">
        <f>IF(ISNA(MATCH(958,'Transfer Engine'!$C$2:$C$1369,0)),"",INDEX('Compliance Database'!$M$2:$M$1369,MATCH(958,'Transfer Engine'!$C$2:$C$1369,0)))</f>
        <v/>
      </c>
      <c r="N967" s="9">
        <f>IF(ISNA(MATCH(958,'Transfer Engine'!$C$2:$C$1369,0)),"",INDEX('Compliance Database'!$N$2:$N$1369,MATCH(958,'Transfer Engine'!$C$2:$C$1369,0)))</f>
        <v/>
      </c>
      <c r="O967" s="8">
        <f>IF(ISNA(MATCH(958,'Transfer Engine'!$C$2:$C$1369,0)),"",HYPERLINK(INDEX('Compliance Database'!$O$2:$O$1369,MATCH(958,'Transfer Engine'!$C$2:$C$1369,0)),"Open PDF"))</f>
        <v/>
      </c>
    </row>
    <row r="968" ht="188" customHeight="1">
      <c r="A968" s="8">
        <f>IF(ISNA(MATCH(959,'Transfer Engine'!$C$2:$C$1369,0)),"",INDEX('Compliance Database'!$A$2:$A$1369,MATCH(959,'Transfer Engine'!$C$2:$C$1369,0)))</f>
        <v/>
      </c>
      <c r="B968" s="8">
        <f>IF(ISNA(MATCH(959,'Transfer Engine'!$C$2:$C$1369,0)),"",INDEX('Compliance Database'!$B$2:$B$1369,MATCH(959,'Transfer Engine'!$C$2:$C$1369,0)))</f>
        <v/>
      </c>
      <c r="C968" s="8">
        <f>IF(ISNA(MATCH(959,'Transfer Engine'!$C$2:$C$1369,0)),"",INDEX('Compliance Database'!$C$2:$C$1369,MATCH(959,'Transfer Engine'!$C$2:$C$1369,0)))</f>
        <v/>
      </c>
      <c r="D968" s="9">
        <f>IF(ISNA(MATCH(959,'Transfer Engine'!$C$2:$C$1369,0)),"",INDEX('Compliance Database'!$D$2:$D$1369,MATCH(959,'Transfer Engine'!$C$2:$C$1369,0)))</f>
        <v/>
      </c>
      <c r="E968" s="8">
        <f>IF(ISNA(MATCH(959,'Transfer Engine'!$C$2:$C$1369,0)),"",INDEX('Compliance Database'!$E$2:$E$1369,MATCH(959,'Transfer Engine'!$C$2:$C$1369,0)))</f>
        <v/>
      </c>
      <c r="F968" s="8">
        <f>IF(ISNA(MATCH(959,'Transfer Engine'!$C$2:$C$1369,0)),"",INDEX('Compliance Database'!$F$2:$F$1369,MATCH(959,'Transfer Engine'!$C$2:$C$1369,0)))</f>
        <v/>
      </c>
      <c r="G968" s="8">
        <f>IF(ISNA(MATCH(959,'Transfer Engine'!$C$2:$C$1369,0)),"",INDEX('Compliance Database'!$G$2:$G$1369,MATCH(959,'Transfer Engine'!$C$2:$C$1369,0)))</f>
        <v/>
      </c>
      <c r="H968" s="9">
        <f>IF(ISNA(MATCH(959,'Transfer Engine'!$C$2:$C$1369,0)),"",INDEX('Compliance Database'!$H$2:$H$1369,MATCH(959,'Transfer Engine'!$C$2:$C$1369,0)))</f>
        <v/>
      </c>
      <c r="I968" s="9">
        <f>IF(ISNA(MATCH(959,'Transfer Engine'!$C$2:$C$1369,0)),"",INDEX('Compliance Database'!$I$2:$I$1369,MATCH(959,'Transfer Engine'!$C$2:$C$1369,0)))</f>
        <v/>
      </c>
      <c r="J968" s="8">
        <f>IF(ISNA(MATCH(959,'Transfer Engine'!$C$2:$C$1369,0)),"",INDEX('Compliance Database'!$J$2:$J$1369,MATCH(959,'Transfer Engine'!$C$2:$C$1369,0)))</f>
        <v/>
      </c>
      <c r="K968" s="9">
        <f>IF(ISNA(MATCH(959,'Transfer Engine'!$C$2:$C$1369,0)),"",INDEX('Compliance Database'!$K$2:$K$1369,MATCH(959,'Transfer Engine'!$C$2:$C$1369,0)))</f>
        <v/>
      </c>
      <c r="L968" s="9">
        <f>IF(ISNA(MATCH(959,'Transfer Engine'!$C$2:$C$1369,0)),"",INDEX('Compliance Database'!$L$2:$L$1369,MATCH(959,'Transfer Engine'!$C$2:$C$1369,0)))</f>
        <v/>
      </c>
      <c r="M968" s="9">
        <f>IF(ISNA(MATCH(959,'Transfer Engine'!$C$2:$C$1369,0)),"",INDEX('Compliance Database'!$M$2:$M$1369,MATCH(959,'Transfer Engine'!$C$2:$C$1369,0)))</f>
        <v/>
      </c>
      <c r="N968" s="9">
        <f>IF(ISNA(MATCH(959,'Transfer Engine'!$C$2:$C$1369,0)),"",INDEX('Compliance Database'!$N$2:$N$1369,MATCH(959,'Transfer Engine'!$C$2:$C$1369,0)))</f>
        <v/>
      </c>
      <c r="O968" s="8">
        <f>IF(ISNA(MATCH(959,'Transfer Engine'!$C$2:$C$1369,0)),"",HYPERLINK(INDEX('Compliance Database'!$O$2:$O$1369,MATCH(959,'Transfer Engine'!$C$2:$C$1369,0)),"Open PDF"))</f>
        <v/>
      </c>
    </row>
    <row r="969" ht="188" customHeight="1">
      <c r="A969" s="8">
        <f>IF(ISNA(MATCH(960,'Transfer Engine'!$C$2:$C$1369,0)),"",INDEX('Compliance Database'!$A$2:$A$1369,MATCH(960,'Transfer Engine'!$C$2:$C$1369,0)))</f>
        <v/>
      </c>
      <c r="B969" s="8">
        <f>IF(ISNA(MATCH(960,'Transfer Engine'!$C$2:$C$1369,0)),"",INDEX('Compliance Database'!$B$2:$B$1369,MATCH(960,'Transfer Engine'!$C$2:$C$1369,0)))</f>
        <v/>
      </c>
      <c r="C969" s="8">
        <f>IF(ISNA(MATCH(960,'Transfer Engine'!$C$2:$C$1369,0)),"",INDEX('Compliance Database'!$C$2:$C$1369,MATCH(960,'Transfer Engine'!$C$2:$C$1369,0)))</f>
        <v/>
      </c>
      <c r="D969" s="9">
        <f>IF(ISNA(MATCH(960,'Transfer Engine'!$C$2:$C$1369,0)),"",INDEX('Compliance Database'!$D$2:$D$1369,MATCH(960,'Transfer Engine'!$C$2:$C$1369,0)))</f>
        <v/>
      </c>
      <c r="E969" s="8">
        <f>IF(ISNA(MATCH(960,'Transfer Engine'!$C$2:$C$1369,0)),"",INDEX('Compliance Database'!$E$2:$E$1369,MATCH(960,'Transfer Engine'!$C$2:$C$1369,0)))</f>
        <v/>
      </c>
      <c r="F969" s="8">
        <f>IF(ISNA(MATCH(960,'Transfer Engine'!$C$2:$C$1369,0)),"",INDEX('Compliance Database'!$F$2:$F$1369,MATCH(960,'Transfer Engine'!$C$2:$C$1369,0)))</f>
        <v/>
      </c>
      <c r="G969" s="8">
        <f>IF(ISNA(MATCH(960,'Transfer Engine'!$C$2:$C$1369,0)),"",INDEX('Compliance Database'!$G$2:$G$1369,MATCH(960,'Transfer Engine'!$C$2:$C$1369,0)))</f>
        <v/>
      </c>
      <c r="H969" s="9">
        <f>IF(ISNA(MATCH(960,'Transfer Engine'!$C$2:$C$1369,0)),"",INDEX('Compliance Database'!$H$2:$H$1369,MATCH(960,'Transfer Engine'!$C$2:$C$1369,0)))</f>
        <v/>
      </c>
      <c r="I969" s="9">
        <f>IF(ISNA(MATCH(960,'Transfer Engine'!$C$2:$C$1369,0)),"",INDEX('Compliance Database'!$I$2:$I$1369,MATCH(960,'Transfer Engine'!$C$2:$C$1369,0)))</f>
        <v/>
      </c>
      <c r="J969" s="8">
        <f>IF(ISNA(MATCH(960,'Transfer Engine'!$C$2:$C$1369,0)),"",INDEX('Compliance Database'!$J$2:$J$1369,MATCH(960,'Transfer Engine'!$C$2:$C$1369,0)))</f>
        <v/>
      </c>
      <c r="K969" s="9">
        <f>IF(ISNA(MATCH(960,'Transfer Engine'!$C$2:$C$1369,0)),"",INDEX('Compliance Database'!$K$2:$K$1369,MATCH(960,'Transfer Engine'!$C$2:$C$1369,0)))</f>
        <v/>
      </c>
      <c r="L969" s="9">
        <f>IF(ISNA(MATCH(960,'Transfer Engine'!$C$2:$C$1369,0)),"",INDEX('Compliance Database'!$L$2:$L$1369,MATCH(960,'Transfer Engine'!$C$2:$C$1369,0)))</f>
        <v/>
      </c>
      <c r="M969" s="9">
        <f>IF(ISNA(MATCH(960,'Transfer Engine'!$C$2:$C$1369,0)),"",INDEX('Compliance Database'!$M$2:$M$1369,MATCH(960,'Transfer Engine'!$C$2:$C$1369,0)))</f>
        <v/>
      </c>
      <c r="N969" s="9">
        <f>IF(ISNA(MATCH(960,'Transfer Engine'!$C$2:$C$1369,0)),"",INDEX('Compliance Database'!$N$2:$N$1369,MATCH(960,'Transfer Engine'!$C$2:$C$1369,0)))</f>
        <v/>
      </c>
      <c r="O969" s="8">
        <f>IF(ISNA(MATCH(960,'Transfer Engine'!$C$2:$C$1369,0)),"",HYPERLINK(INDEX('Compliance Database'!$O$2:$O$1369,MATCH(960,'Transfer Engine'!$C$2:$C$1369,0)),"Open PDF"))</f>
        <v/>
      </c>
    </row>
    <row r="970" ht="188" customHeight="1">
      <c r="A970" s="8">
        <f>IF(ISNA(MATCH(961,'Transfer Engine'!$C$2:$C$1369,0)),"",INDEX('Compliance Database'!$A$2:$A$1369,MATCH(961,'Transfer Engine'!$C$2:$C$1369,0)))</f>
        <v/>
      </c>
      <c r="B970" s="8">
        <f>IF(ISNA(MATCH(961,'Transfer Engine'!$C$2:$C$1369,0)),"",INDEX('Compliance Database'!$B$2:$B$1369,MATCH(961,'Transfer Engine'!$C$2:$C$1369,0)))</f>
        <v/>
      </c>
      <c r="C970" s="8">
        <f>IF(ISNA(MATCH(961,'Transfer Engine'!$C$2:$C$1369,0)),"",INDEX('Compliance Database'!$C$2:$C$1369,MATCH(961,'Transfer Engine'!$C$2:$C$1369,0)))</f>
        <v/>
      </c>
      <c r="D970" s="9">
        <f>IF(ISNA(MATCH(961,'Transfer Engine'!$C$2:$C$1369,0)),"",INDEX('Compliance Database'!$D$2:$D$1369,MATCH(961,'Transfer Engine'!$C$2:$C$1369,0)))</f>
        <v/>
      </c>
      <c r="E970" s="8">
        <f>IF(ISNA(MATCH(961,'Transfer Engine'!$C$2:$C$1369,0)),"",INDEX('Compliance Database'!$E$2:$E$1369,MATCH(961,'Transfer Engine'!$C$2:$C$1369,0)))</f>
        <v/>
      </c>
      <c r="F970" s="8">
        <f>IF(ISNA(MATCH(961,'Transfer Engine'!$C$2:$C$1369,0)),"",INDEX('Compliance Database'!$F$2:$F$1369,MATCH(961,'Transfer Engine'!$C$2:$C$1369,0)))</f>
        <v/>
      </c>
      <c r="G970" s="8">
        <f>IF(ISNA(MATCH(961,'Transfer Engine'!$C$2:$C$1369,0)),"",INDEX('Compliance Database'!$G$2:$G$1369,MATCH(961,'Transfer Engine'!$C$2:$C$1369,0)))</f>
        <v/>
      </c>
      <c r="H970" s="9">
        <f>IF(ISNA(MATCH(961,'Transfer Engine'!$C$2:$C$1369,0)),"",INDEX('Compliance Database'!$H$2:$H$1369,MATCH(961,'Transfer Engine'!$C$2:$C$1369,0)))</f>
        <v/>
      </c>
      <c r="I970" s="9">
        <f>IF(ISNA(MATCH(961,'Transfer Engine'!$C$2:$C$1369,0)),"",INDEX('Compliance Database'!$I$2:$I$1369,MATCH(961,'Transfer Engine'!$C$2:$C$1369,0)))</f>
        <v/>
      </c>
      <c r="J970" s="8">
        <f>IF(ISNA(MATCH(961,'Transfer Engine'!$C$2:$C$1369,0)),"",INDEX('Compliance Database'!$J$2:$J$1369,MATCH(961,'Transfer Engine'!$C$2:$C$1369,0)))</f>
        <v/>
      </c>
      <c r="K970" s="9">
        <f>IF(ISNA(MATCH(961,'Transfer Engine'!$C$2:$C$1369,0)),"",INDEX('Compliance Database'!$K$2:$K$1369,MATCH(961,'Transfer Engine'!$C$2:$C$1369,0)))</f>
        <v/>
      </c>
      <c r="L970" s="9">
        <f>IF(ISNA(MATCH(961,'Transfer Engine'!$C$2:$C$1369,0)),"",INDEX('Compliance Database'!$L$2:$L$1369,MATCH(961,'Transfer Engine'!$C$2:$C$1369,0)))</f>
        <v/>
      </c>
      <c r="M970" s="9">
        <f>IF(ISNA(MATCH(961,'Transfer Engine'!$C$2:$C$1369,0)),"",INDEX('Compliance Database'!$M$2:$M$1369,MATCH(961,'Transfer Engine'!$C$2:$C$1369,0)))</f>
        <v/>
      </c>
      <c r="N970" s="9">
        <f>IF(ISNA(MATCH(961,'Transfer Engine'!$C$2:$C$1369,0)),"",INDEX('Compliance Database'!$N$2:$N$1369,MATCH(961,'Transfer Engine'!$C$2:$C$1369,0)))</f>
        <v/>
      </c>
      <c r="O970" s="8">
        <f>IF(ISNA(MATCH(961,'Transfer Engine'!$C$2:$C$1369,0)),"",HYPERLINK(INDEX('Compliance Database'!$O$2:$O$1369,MATCH(961,'Transfer Engine'!$C$2:$C$1369,0)),"Open PDF"))</f>
        <v/>
      </c>
    </row>
    <row r="971" ht="188" customHeight="1">
      <c r="A971" s="8">
        <f>IF(ISNA(MATCH(962,'Transfer Engine'!$C$2:$C$1369,0)),"",INDEX('Compliance Database'!$A$2:$A$1369,MATCH(962,'Transfer Engine'!$C$2:$C$1369,0)))</f>
        <v/>
      </c>
      <c r="B971" s="8">
        <f>IF(ISNA(MATCH(962,'Transfer Engine'!$C$2:$C$1369,0)),"",INDEX('Compliance Database'!$B$2:$B$1369,MATCH(962,'Transfer Engine'!$C$2:$C$1369,0)))</f>
        <v/>
      </c>
      <c r="C971" s="8">
        <f>IF(ISNA(MATCH(962,'Transfer Engine'!$C$2:$C$1369,0)),"",INDEX('Compliance Database'!$C$2:$C$1369,MATCH(962,'Transfer Engine'!$C$2:$C$1369,0)))</f>
        <v/>
      </c>
      <c r="D971" s="9">
        <f>IF(ISNA(MATCH(962,'Transfer Engine'!$C$2:$C$1369,0)),"",INDEX('Compliance Database'!$D$2:$D$1369,MATCH(962,'Transfer Engine'!$C$2:$C$1369,0)))</f>
        <v/>
      </c>
      <c r="E971" s="8">
        <f>IF(ISNA(MATCH(962,'Transfer Engine'!$C$2:$C$1369,0)),"",INDEX('Compliance Database'!$E$2:$E$1369,MATCH(962,'Transfer Engine'!$C$2:$C$1369,0)))</f>
        <v/>
      </c>
      <c r="F971" s="8">
        <f>IF(ISNA(MATCH(962,'Transfer Engine'!$C$2:$C$1369,0)),"",INDEX('Compliance Database'!$F$2:$F$1369,MATCH(962,'Transfer Engine'!$C$2:$C$1369,0)))</f>
        <v/>
      </c>
      <c r="G971" s="8">
        <f>IF(ISNA(MATCH(962,'Transfer Engine'!$C$2:$C$1369,0)),"",INDEX('Compliance Database'!$G$2:$G$1369,MATCH(962,'Transfer Engine'!$C$2:$C$1369,0)))</f>
        <v/>
      </c>
      <c r="H971" s="9">
        <f>IF(ISNA(MATCH(962,'Transfer Engine'!$C$2:$C$1369,0)),"",INDEX('Compliance Database'!$H$2:$H$1369,MATCH(962,'Transfer Engine'!$C$2:$C$1369,0)))</f>
        <v/>
      </c>
      <c r="I971" s="9">
        <f>IF(ISNA(MATCH(962,'Transfer Engine'!$C$2:$C$1369,0)),"",INDEX('Compliance Database'!$I$2:$I$1369,MATCH(962,'Transfer Engine'!$C$2:$C$1369,0)))</f>
        <v/>
      </c>
      <c r="J971" s="8">
        <f>IF(ISNA(MATCH(962,'Transfer Engine'!$C$2:$C$1369,0)),"",INDEX('Compliance Database'!$J$2:$J$1369,MATCH(962,'Transfer Engine'!$C$2:$C$1369,0)))</f>
        <v/>
      </c>
      <c r="K971" s="9">
        <f>IF(ISNA(MATCH(962,'Transfer Engine'!$C$2:$C$1369,0)),"",INDEX('Compliance Database'!$K$2:$K$1369,MATCH(962,'Transfer Engine'!$C$2:$C$1369,0)))</f>
        <v/>
      </c>
      <c r="L971" s="9">
        <f>IF(ISNA(MATCH(962,'Transfer Engine'!$C$2:$C$1369,0)),"",INDEX('Compliance Database'!$L$2:$L$1369,MATCH(962,'Transfer Engine'!$C$2:$C$1369,0)))</f>
        <v/>
      </c>
      <c r="M971" s="9">
        <f>IF(ISNA(MATCH(962,'Transfer Engine'!$C$2:$C$1369,0)),"",INDEX('Compliance Database'!$M$2:$M$1369,MATCH(962,'Transfer Engine'!$C$2:$C$1369,0)))</f>
        <v/>
      </c>
      <c r="N971" s="9">
        <f>IF(ISNA(MATCH(962,'Transfer Engine'!$C$2:$C$1369,0)),"",INDEX('Compliance Database'!$N$2:$N$1369,MATCH(962,'Transfer Engine'!$C$2:$C$1369,0)))</f>
        <v/>
      </c>
      <c r="O971" s="8">
        <f>IF(ISNA(MATCH(962,'Transfer Engine'!$C$2:$C$1369,0)),"",HYPERLINK(INDEX('Compliance Database'!$O$2:$O$1369,MATCH(962,'Transfer Engine'!$C$2:$C$1369,0)),"Open PDF"))</f>
        <v/>
      </c>
    </row>
    <row r="972" ht="188" customHeight="1">
      <c r="A972" s="8">
        <f>IF(ISNA(MATCH(963,'Transfer Engine'!$C$2:$C$1369,0)),"",INDEX('Compliance Database'!$A$2:$A$1369,MATCH(963,'Transfer Engine'!$C$2:$C$1369,0)))</f>
        <v/>
      </c>
      <c r="B972" s="8">
        <f>IF(ISNA(MATCH(963,'Transfer Engine'!$C$2:$C$1369,0)),"",INDEX('Compliance Database'!$B$2:$B$1369,MATCH(963,'Transfer Engine'!$C$2:$C$1369,0)))</f>
        <v/>
      </c>
      <c r="C972" s="8">
        <f>IF(ISNA(MATCH(963,'Transfer Engine'!$C$2:$C$1369,0)),"",INDEX('Compliance Database'!$C$2:$C$1369,MATCH(963,'Transfer Engine'!$C$2:$C$1369,0)))</f>
        <v/>
      </c>
      <c r="D972" s="9">
        <f>IF(ISNA(MATCH(963,'Transfer Engine'!$C$2:$C$1369,0)),"",INDEX('Compliance Database'!$D$2:$D$1369,MATCH(963,'Transfer Engine'!$C$2:$C$1369,0)))</f>
        <v/>
      </c>
      <c r="E972" s="8">
        <f>IF(ISNA(MATCH(963,'Transfer Engine'!$C$2:$C$1369,0)),"",INDEX('Compliance Database'!$E$2:$E$1369,MATCH(963,'Transfer Engine'!$C$2:$C$1369,0)))</f>
        <v/>
      </c>
      <c r="F972" s="8">
        <f>IF(ISNA(MATCH(963,'Transfer Engine'!$C$2:$C$1369,0)),"",INDEX('Compliance Database'!$F$2:$F$1369,MATCH(963,'Transfer Engine'!$C$2:$C$1369,0)))</f>
        <v/>
      </c>
      <c r="G972" s="8">
        <f>IF(ISNA(MATCH(963,'Transfer Engine'!$C$2:$C$1369,0)),"",INDEX('Compliance Database'!$G$2:$G$1369,MATCH(963,'Transfer Engine'!$C$2:$C$1369,0)))</f>
        <v/>
      </c>
      <c r="H972" s="9">
        <f>IF(ISNA(MATCH(963,'Transfer Engine'!$C$2:$C$1369,0)),"",INDEX('Compliance Database'!$H$2:$H$1369,MATCH(963,'Transfer Engine'!$C$2:$C$1369,0)))</f>
        <v/>
      </c>
      <c r="I972" s="9">
        <f>IF(ISNA(MATCH(963,'Transfer Engine'!$C$2:$C$1369,0)),"",INDEX('Compliance Database'!$I$2:$I$1369,MATCH(963,'Transfer Engine'!$C$2:$C$1369,0)))</f>
        <v/>
      </c>
      <c r="J972" s="8">
        <f>IF(ISNA(MATCH(963,'Transfer Engine'!$C$2:$C$1369,0)),"",INDEX('Compliance Database'!$J$2:$J$1369,MATCH(963,'Transfer Engine'!$C$2:$C$1369,0)))</f>
        <v/>
      </c>
      <c r="K972" s="9">
        <f>IF(ISNA(MATCH(963,'Transfer Engine'!$C$2:$C$1369,0)),"",INDEX('Compliance Database'!$K$2:$K$1369,MATCH(963,'Transfer Engine'!$C$2:$C$1369,0)))</f>
        <v/>
      </c>
      <c r="L972" s="9">
        <f>IF(ISNA(MATCH(963,'Transfer Engine'!$C$2:$C$1369,0)),"",INDEX('Compliance Database'!$L$2:$L$1369,MATCH(963,'Transfer Engine'!$C$2:$C$1369,0)))</f>
        <v/>
      </c>
      <c r="M972" s="9">
        <f>IF(ISNA(MATCH(963,'Transfer Engine'!$C$2:$C$1369,0)),"",INDEX('Compliance Database'!$M$2:$M$1369,MATCH(963,'Transfer Engine'!$C$2:$C$1369,0)))</f>
        <v/>
      </c>
      <c r="N972" s="9">
        <f>IF(ISNA(MATCH(963,'Transfer Engine'!$C$2:$C$1369,0)),"",INDEX('Compliance Database'!$N$2:$N$1369,MATCH(963,'Transfer Engine'!$C$2:$C$1369,0)))</f>
        <v/>
      </c>
      <c r="O972" s="8">
        <f>IF(ISNA(MATCH(963,'Transfer Engine'!$C$2:$C$1369,0)),"",HYPERLINK(INDEX('Compliance Database'!$O$2:$O$1369,MATCH(963,'Transfer Engine'!$C$2:$C$1369,0)),"Open PDF"))</f>
        <v/>
      </c>
    </row>
    <row r="973" ht="188" customHeight="1">
      <c r="A973" s="8">
        <f>IF(ISNA(MATCH(964,'Transfer Engine'!$C$2:$C$1369,0)),"",INDEX('Compliance Database'!$A$2:$A$1369,MATCH(964,'Transfer Engine'!$C$2:$C$1369,0)))</f>
        <v/>
      </c>
      <c r="B973" s="8">
        <f>IF(ISNA(MATCH(964,'Transfer Engine'!$C$2:$C$1369,0)),"",INDEX('Compliance Database'!$B$2:$B$1369,MATCH(964,'Transfer Engine'!$C$2:$C$1369,0)))</f>
        <v/>
      </c>
      <c r="C973" s="8">
        <f>IF(ISNA(MATCH(964,'Transfer Engine'!$C$2:$C$1369,0)),"",INDEX('Compliance Database'!$C$2:$C$1369,MATCH(964,'Transfer Engine'!$C$2:$C$1369,0)))</f>
        <v/>
      </c>
      <c r="D973" s="9">
        <f>IF(ISNA(MATCH(964,'Transfer Engine'!$C$2:$C$1369,0)),"",INDEX('Compliance Database'!$D$2:$D$1369,MATCH(964,'Transfer Engine'!$C$2:$C$1369,0)))</f>
        <v/>
      </c>
      <c r="E973" s="8">
        <f>IF(ISNA(MATCH(964,'Transfer Engine'!$C$2:$C$1369,0)),"",INDEX('Compliance Database'!$E$2:$E$1369,MATCH(964,'Transfer Engine'!$C$2:$C$1369,0)))</f>
        <v/>
      </c>
      <c r="F973" s="8">
        <f>IF(ISNA(MATCH(964,'Transfer Engine'!$C$2:$C$1369,0)),"",INDEX('Compliance Database'!$F$2:$F$1369,MATCH(964,'Transfer Engine'!$C$2:$C$1369,0)))</f>
        <v/>
      </c>
      <c r="G973" s="8">
        <f>IF(ISNA(MATCH(964,'Transfer Engine'!$C$2:$C$1369,0)),"",INDEX('Compliance Database'!$G$2:$G$1369,MATCH(964,'Transfer Engine'!$C$2:$C$1369,0)))</f>
        <v/>
      </c>
      <c r="H973" s="9">
        <f>IF(ISNA(MATCH(964,'Transfer Engine'!$C$2:$C$1369,0)),"",INDEX('Compliance Database'!$H$2:$H$1369,MATCH(964,'Transfer Engine'!$C$2:$C$1369,0)))</f>
        <v/>
      </c>
      <c r="I973" s="9">
        <f>IF(ISNA(MATCH(964,'Transfer Engine'!$C$2:$C$1369,0)),"",INDEX('Compliance Database'!$I$2:$I$1369,MATCH(964,'Transfer Engine'!$C$2:$C$1369,0)))</f>
        <v/>
      </c>
      <c r="J973" s="8">
        <f>IF(ISNA(MATCH(964,'Transfer Engine'!$C$2:$C$1369,0)),"",INDEX('Compliance Database'!$J$2:$J$1369,MATCH(964,'Transfer Engine'!$C$2:$C$1369,0)))</f>
        <v/>
      </c>
      <c r="K973" s="9">
        <f>IF(ISNA(MATCH(964,'Transfer Engine'!$C$2:$C$1369,0)),"",INDEX('Compliance Database'!$K$2:$K$1369,MATCH(964,'Transfer Engine'!$C$2:$C$1369,0)))</f>
        <v/>
      </c>
      <c r="L973" s="9">
        <f>IF(ISNA(MATCH(964,'Transfer Engine'!$C$2:$C$1369,0)),"",INDEX('Compliance Database'!$L$2:$L$1369,MATCH(964,'Transfer Engine'!$C$2:$C$1369,0)))</f>
        <v/>
      </c>
      <c r="M973" s="9">
        <f>IF(ISNA(MATCH(964,'Transfer Engine'!$C$2:$C$1369,0)),"",INDEX('Compliance Database'!$M$2:$M$1369,MATCH(964,'Transfer Engine'!$C$2:$C$1369,0)))</f>
        <v/>
      </c>
      <c r="N973" s="9">
        <f>IF(ISNA(MATCH(964,'Transfer Engine'!$C$2:$C$1369,0)),"",INDEX('Compliance Database'!$N$2:$N$1369,MATCH(964,'Transfer Engine'!$C$2:$C$1369,0)))</f>
        <v/>
      </c>
      <c r="O973" s="8">
        <f>IF(ISNA(MATCH(964,'Transfer Engine'!$C$2:$C$1369,0)),"",HYPERLINK(INDEX('Compliance Database'!$O$2:$O$1369,MATCH(964,'Transfer Engine'!$C$2:$C$1369,0)),"Open PDF"))</f>
        <v/>
      </c>
    </row>
    <row r="974" ht="188" customHeight="1">
      <c r="A974" s="8">
        <f>IF(ISNA(MATCH(965,'Transfer Engine'!$C$2:$C$1369,0)),"",INDEX('Compliance Database'!$A$2:$A$1369,MATCH(965,'Transfer Engine'!$C$2:$C$1369,0)))</f>
        <v/>
      </c>
      <c r="B974" s="8">
        <f>IF(ISNA(MATCH(965,'Transfer Engine'!$C$2:$C$1369,0)),"",INDEX('Compliance Database'!$B$2:$B$1369,MATCH(965,'Transfer Engine'!$C$2:$C$1369,0)))</f>
        <v/>
      </c>
      <c r="C974" s="8">
        <f>IF(ISNA(MATCH(965,'Transfer Engine'!$C$2:$C$1369,0)),"",INDEX('Compliance Database'!$C$2:$C$1369,MATCH(965,'Transfer Engine'!$C$2:$C$1369,0)))</f>
        <v/>
      </c>
      <c r="D974" s="9">
        <f>IF(ISNA(MATCH(965,'Transfer Engine'!$C$2:$C$1369,0)),"",INDEX('Compliance Database'!$D$2:$D$1369,MATCH(965,'Transfer Engine'!$C$2:$C$1369,0)))</f>
        <v/>
      </c>
      <c r="E974" s="8">
        <f>IF(ISNA(MATCH(965,'Transfer Engine'!$C$2:$C$1369,0)),"",INDEX('Compliance Database'!$E$2:$E$1369,MATCH(965,'Transfer Engine'!$C$2:$C$1369,0)))</f>
        <v/>
      </c>
      <c r="F974" s="8">
        <f>IF(ISNA(MATCH(965,'Transfer Engine'!$C$2:$C$1369,0)),"",INDEX('Compliance Database'!$F$2:$F$1369,MATCH(965,'Transfer Engine'!$C$2:$C$1369,0)))</f>
        <v/>
      </c>
      <c r="G974" s="8">
        <f>IF(ISNA(MATCH(965,'Transfer Engine'!$C$2:$C$1369,0)),"",INDEX('Compliance Database'!$G$2:$G$1369,MATCH(965,'Transfer Engine'!$C$2:$C$1369,0)))</f>
        <v/>
      </c>
      <c r="H974" s="9">
        <f>IF(ISNA(MATCH(965,'Transfer Engine'!$C$2:$C$1369,0)),"",INDEX('Compliance Database'!$H$2:$H$1369,MATCH(965,'Transfer Engine'!$C$2:$C$1369,0)))</f>
        <v/>
      </c>
      <c r="I974" s="9">
        <f>IF(ISNA(MATCH(965,'Transfer Engine'!$C$2:$C$1369,0)),"",INDEX('Compliance Database'!$I$2:$I$1369,MATCH(965,'Transfer Engine'!$C$2:$C$1369,0)))</f>
        <v/>
      </c>
      <c r="J974" s="8">
        <f>IF(ISNA(MATCH(965,'Transfer Engine'!$C$2:$C$1369,0)),"",INDEX('Compliance Database'!$J$2:$J$1369,MATCH(965,'Transfer Engine'!$C$2:$C$1369,0)))</f>
        <v/>
      </c>
      <c r="K974" s="9">
        <f>IF(ISNA(MATCH(965,'Transfer Engine'!$C$2:$C$1369,0)),"",INDEX('Compliance Database'!$K$2:$K$1369,MATCH(965,'Transfer Engine'!$C$2:$C$1369,0)))</f>
        <v/>
      </c>
      <c r="L974" s="9">
        <f>IF(ISNA(MATCH(965,'Transfer Engine'!$C$2:$C$1369,0)),"",INDEX('Compliance Database'!$L$2:$L$1369,MATCH(965,'Transfer Engine'!$C$2:$C$1369,0)))</f>
        <v/>
      </c>
      <c r="M974" s="9">
        <f>IF(ISNA(MATCH(965,'Transfer Engine'!$C$2:$C$1369,0)),"",INDEX('Compliance Database'!$M$2:$M$1369,MATCH(965,'Transfer Engine'!$C$2:$C$1369,0)))</f>
        <v/>
      </c>
      <c r="N974" s="9">
        <f>IF(ISNA(MATCH(965,'Transfer Engine'!$C$2:$C$1369,0)),"",INDEX('Compliance Database'!$N$2:$N$1369,MATCH(965,'Transfer Engine'!$C$2:$C$1369,0)))</f>
        <v/>
      </c>
      <c r="O974" s="8">
        <f>IF(ISNA(MATCH(965,'Transfer Engine'!$C$2:$C$1369,0)),"",HYPERLINK(INDEX('Compliance Database'!$O$2:$O$1369,MATCH(965,'Transfer Engine'!$C$2:$C$1369,0)),"Open PDF"))</f>
        <v/>
      </c>
    </row>
    <row r="975" ht="188" customHeight="1">
      <c r="A975" s="8">
        <f>IF(ISNA(MATCH(966,'Transfer Engine'!$C$2:$C$1369,0)),"",INDEX('Compliance Database'!$A$2:$A$1369,MATCH(966,'Transfer Engine'!$C$2:$C$1369,0)))</f>
        <v/>
      </c>
      <c r="B975" s="8">
        <f>IF(ISNA(MATCH(966,'Transfer Engine'!$C$2:$C$1369,0)),"",INDEX('Compliance Database'!$B$2:$B$1369,MATCH(966,'Transfer Engine'!$C$2:$C$1369,0)))</f>
        <v/>
      </c>
      <c r="C975" s="8">
        <f>IF(ISNA(MATCH(966,'Transfer Engine'!$C$2:$C$1369,0)),"",INDEX('Compliance Database'!$C$2:$C$1369,MATCH(966,'Transfer Engine'!$C$2:$C$1369,0)))</f>
        <v/>
      </c>
      <c r="D975" s="9">
        <f>IF(ISNA(MATCH(966,'Transfer Engine'!$C$2:$C$1369,0)),"",INDEX('Compliance Database'!$D$2:$D$1369,MATCH(966,'Transfer Engine'!$C$2:$C$1369,0)))</f>
        <v/>
      </c>
      <c r="E975" s="8">
        <f>IF(ISNA(MATCH(966,'Transfer Engine'!$C$2:$C$1369,0)),"",INDEX('Compliance Database'!$E$2:$E$1369,MATCH(966,'Transfer Engine'!$C$2:$C$1369,0)))</f>
        <v/>
      </c>
      <c r="F975" s="8">
        <f>IF(ISNA(MATCH(966,'Transfer Engine'!$C$2:$C$1369,0)),"",INDEX('Compliance Database'!$F$2:$F$1369,MATCH(966,'Transfer Engine'!$C$2:$C$1369,0)))</f>
        <v/>
      </c>
      <c r="G975" s="8">
        <f>IF(ISNA(MATCH(966,'Transfer Engine'!$C$2:$C$1369,0)),"",INDEX('Compliance Database'!$G$2:$G$1369,MATCH(966,'Transfer Engine'!$C$2:$C$1369,0)))</f>
        <v/>
      </c>
      <c r="H975" s="9">
        <f>IF(ISNA(MATCH(966,'Transfer Engine'!$C$2:$C$1369,0)),"",INDEX('Compliance Database'!$H$2:$H$1369,MATCH(966,'Transfer Engine'!$C$2:$C$1369,0)))</f>
        <v/>
      </c>
      <c r="I975" s="9">
        <f>IF(ISNA(MATCH(966,'Transfer Engine'!$C$2:$C$1369,0)),"",INDEX('Compliance Database'!$I$2:$I$1369,MATCH(966,'Transfer Engine'!$C$2:$C$1369,0)))</f>
        <v/>
      </c>
      <c r="J975" s="8">
        <f>IF(ISNA(MATCH(966,'Transfer Engine'!$C$2:$C$1369,0)),"",INDEX('Compliance Database'!$J$2:$J$1369,MATCH(966,'Transfer Engine'!$C$2:$C$1369,0)))</f>
        <v/>
      </c>
      <c r="K975" s="9">
        <f>IF(ISNA(MATCH(966,'Transfer Engine'!$C$2:$C$1369,0)),"",INDEX('Compliance Database'!$K$2:$K$1369,MATCH(966,'Transfer Engine'!$C$2:$C$1369,0)))</f>
        <v/>
      </c>
      <c r="L975" s="9">
        <f>IF(ISNA(MATCH(966,'Transfer Engine'!$C$2:$C$1369,0)),"",INDEX('Compliance Database'!$L$2:$L$1369,MATCH(966,'Transfer Engine'!$C$2:$C$1369,0)))</f>
        <v/>
      </c>
      <c r="M975" s="9">
        <f>IF(ISNA(MATCH(966,'Transfer Engine'!$C$2:$C$1369,0)),"",INDEX('Compliance Database'!$M$2:$M$1369,MATCH(966,'Transfer Engine'!$C$2:$C$1369,0)))</f>
        <v/>
      </c>
      <c r="N975" s="9">
        <f>IF(ISNA(MATCH(966,'Transfer Engine'!$C$2:$C$1369,0)),"",INDEX('Compliance Database'!$N$2:$N$1369,MATCH(966,'Transfer Engine'!$C$2:$C$1369,0)))</f>
        <v/>
      </c>
      <c r="O975" s="8">
        <f>IF(ISNA(MATCH(966,'Transfer Engine'!$C$2:$C$1369,0)),"",HYPERLINK(INDEX('Compliance Database'!$O$2:$O$1369,MATCH(966,'Transfer Engine'!$C$2:$C$1369,0)),"Open PDF"))</f>
        <v/>
      </c>
    </row>
    <row r="976" ht="188" customHeight="1">
      <c r="A976" s="8">
        <f>IF(ISNA(MATCH(967,'Transfer Engine'!$C$2:$C$1369,0)),"",INDEX('Compliance Database'!$A$2:$A$1369,MATCH(967,'Transfer Engine'!$C$2:$C$1369,0)))</f>
        <v/>
      </c>
      <c r="B976" s="8">
        <f>IF(ISNA(MATCH(967,'Transfer Engine'!$C$2:$C$1369,0)),"",INDEX('Compliance Database'!$B$2:$B$1369,MATCH(967,'Transfer Engine'!$C$2:$C$1369,0)))</f>
        <v/>
      </c>
      <c r="C976" s="8">
        <f>IF(ISNA(MATCH(967,'Transfer Engine'!$C$2:$C$1369,0)),"",INDEX('Compliance Database'!$C$2:$C$1369,MATCH(967,'Transfer Engine'!$C$2:$C$1369,0)))</f>
        <v/>
      </c>
      <c r="D976" s="9">
        <f>IF(ISNA(MATCH(967,'Transfer Engine'!$C$2:$C$1369,0)),"",INDEX('Compliance Database'!$D$2:$D$1369,MATCH(967,'Transfer Engine'!$C$2:$C$1369,0)))</f>
        <v/>
      </c>
      <c r="E976" s="8">
        <f>IF(ISNA(MATCH(967,'Transfer Engine'!$C$2:$C$1369,0)),"",INDEX('Compliance Database'!$E$2:$E$1369,MATCH(967,'Transfer Engine'!$C$2:$C$1369,0)))</f>
        <v/>
      </c>
      <c r="F976" s="8">
        <f>IF(ISNA(MATCH(967,'Transfer Engine'!$C$2:$C$1369,0)),"",INDEX('Compliance Database'!$F$2:$F$1369,MATCH(967,'Transfer Engine'!$C$2:$C$1369,0)))</f>
        <v/>
      </c>
      <c r="G976" s="8">
        <f>IF(ISNA(MATCH(967,'Transfer Engine'!$C$2:$C$1369,0)),"",INDEX('Compliance Database'!$G$2:$G$1369,MATCH(967,'Transfer Engine'!$C$2:$C$1369,0)))</f>
        <v/>
      </c>
      <c r="H976" s="9">
        <f>IF(ISNA(MATCH(967,'Transfer Engine'!$C$2:$C$1369,0)),"",INDEX('Compliance Database'!$H$2:$H$1369,MATCH(967,'Transfer Engine'!$C$2:$C$1369,0)))</f>
        <v/>
      </c>
      <c r="I976" s="9">
        <f>IF(ISNA(MATCH(967,'Transfer Engine'!$C$2:$C$1369,0)),"",INDEX('Compliance Database'!$I$2:$I$1369,MATCH(967,'Transfer Engine'!$C$2:$C$1369,0)))</f>
        <v/>
      </c>
      <c r="J976" s="8">
        <f>IF(ISNA(MATCH(967,'Transfer Engine'!$C$2:$C$1369,0)),"",INDEX('Compliance Database'!$J$2:$J$1369,MATCH(967,'Transfer Engine'!$C$2:$C$1369,0)))</f>
        <v/>
      </c>
      <c r="K976" s="9">
        <f>IF(ISNA(MATCH(967,'Transfer Engine'!$C$2:$C$1369,0)),"",INDEX('Compliance Database'!$K$2:$K$1369,MATCH(967,'Transfer Engine'!$C$2:$C$1369,0)))</f>
        <v/>
      </c>
      <c r="L976" s="9">
        <f>IF(ISNA(MATCH(967,'Transfer Engine'!$C$2:$C$1369,0)),"",INDEX('Compliance Database'!$L$2:$L$1369,MATCH(967,'Transfer Engine'!$C$2:$C$1369,0)))</f>
        <v/>
      </c>
      <c r="M976" s="9">
        <f>IF(ISNA(MATCH(967,'Transfer Engine'!$C$2:$C$1369,0)),"",INDEX('Compliance Database'!$M$2:$M$1369,MATCH(967,'Transfer Engine'!$C$2:$C$1369,0)))</f>
        <v/>
      </c>
      <c r="N976" s="9">
        <f>IF(ISNA(MATCH(967,'Transfer Engine'!$C$2:$C$1369,0)),"",INDEX('Compliance Database'!$N$2:$N$1369,MATCH(967,'Transfer Engine'!$C$2:$C$1369,0)))</f>
        <v/>
      </c>
      <c r="O976" s="8">
        <f>IF(ISNA(MATCH(967,'Transfer Engine'!$C$2:$C$1369,0)),"",HYPERLINK(INDEX('Compliance Database'!$O$2:$O$1369,MATCH(967,'Transfer Engine'!$C$2:$C$1369,0)),"Open PDF"))</f>
        <v/>
      </c>
    </row>
    <row r="977" ht="188" customHeight="1">
      <c r="A977" s="8">
        <f>IF(ISNA(MATCH(968,'Transfer Engine'!$C$2:$C$1369,0)),"",INDEX('Compliance Database'!$A$2:$A$1369,MATCH(968,'Transfer Engine'!$C$2:$C$1369,0)))</f>
        <v/>
      </c>
      <c r="B977" s="8">
        <f>IF(ISNA(MATCH(968,'Transfer Engine'!$C$2:$C$1369,0)),"",INDEX('Compliance Database'!$B$2:$B$1369,MATCH(968,'Transfer Engine'!$C$2:$C$1369,0)))</f>
        <v/>
      </c>
      <c r="C977" s="8">
        <f>IF(ISNA(MATCH(968,'Transfer Engine'!$C$2:$C$1369,0)),"",INDEX('Compliance Database'!$C$2:$C$1369,MATCH(968,'Transfer Engine'!$C$2:$C$1369,0)))</f>
        <v/>
      </c>
      <c r="D977" s="9">
        <f>IF(ISNA(MATCH(968,'Transfer Engine'!$C$2:$C$1369,0)),"",INDEX('Compliance Database'!$D$2:$D$1369,MATCH(968,'Transfer Engine'!$C$2:$C$1369,0)))</f>
        <v/>
      </c>
      <c r="E977" s="8">
        <f>IF(ISNA(MATCH(968,'Transfer Engine'!$C$2:$C$1369,0)),"",INDEX('Compliance Database'!$E$2:$E$1369,MATCH(968,'Transfer Engine'!$C$2:$C$1369,0)))</f>
        <v/>
      </c>
      <c r="F977" s="8">
        <f>IF(ISNA(MATCH(968,'Transfer Engine'!$C$2:$C$1369,0)),"",INDEX('Compliance Database'!$F$2:$F$1369,MATCH(968,'Transfer Engine'!$C$2:$C$1369,0)))</f>
        <v/>
      </c>
      <c r="G977" s="8">
        <f>IF(ISNA(MATCH(968,'Transfer Engine'!$C$2:$C$1369,0)),"",INDEX('Compliance Database'!$G$2:$G$1369,MATCH(968,'Transfer Engine'!$C$2:$C$1369,0)))</f>
        <v/>
      </c>
      <c r="H977" s="9">
        <f>IF(ISNA(MATCH(968,'Transfer Engine'!$C$2:$C$1369,0)),"",INDEX('Compliance Database'!$H$2:$H$1369,MATCH(968,'Transfer Engine'!$C$2:$C$1369,0)))</f>
        <v/>
      </c>
      <c r="I977" s="9">
        <f>IF(ISNA(MATCH(968,'Transfer Engine'!$C$2:$C$1369,0)),"",INDEX('Compliance Database'!$I$2:$I$1369,MATCH(968,'Transfer Engine'!$C$2:$C$1369,0)))</f>
        <v/>
      </c>
      <c r="J977" s="8">
        <f>IF(ISNA(MATCH(968,'Transfer Engine'!$C$2:$C$1369,0)),"",INDEX('Compliance Database'!$J$2:$J$1369,MATCH(968,'Transfer Engine'!$C$2:$C$1369,0)))</f>
        <v/>
      </c>
      <c r="K977" s="9">
        <f>IF(ISNA(MATCH(968,'Transfer Engine'!$C$2:$C$1369,0)),"",INDEX('Compliance Database'!$K$2:$K$1369,MATCH(968,'Transfer Engine'!$C$2:$C$1369,0)))</f>
        <v/>
      </c>
      <c r="L977" s="9">
        <f>IF(ISNA(MATCH(968,'Transfer Engine'!$C$2:$C$1369,0)),"",INDEX('Compliance Database'!$L$2:$L$1369,MATCH(968,'Transfer Engine'!$C$2:$C$1369,0)))</f>
        <v/>
      </c>
      <c r="M977" s="9">
        <f>IF(ISNA(MATCH(968,'Transfer Engine'!$C$2:$C$1369,0)),"",INDEX('Compliance Database'!$M$2:$M$1369,MATCH(968,'Transfer Engine'!$C$2:$C$1369,0)))</f>
        <v/>
      </c>
      <c r="N977" s="9">
        <f>IF(ISNA(MATCH(968,'Transfer Engine'!$C$2:$C$1369,0)),"",INDEX('Compliance Database'!$N$2:$N$1369,MATCH(968,'Transfer Engine'!$C$2:$C$1369,0)))</f>
        <v/>
      </c>
      <c r="O977" s="8">
        <f>IF(ISNA(MATCH(968,'Transfer Engine'!$C$2:$C$1369,0)),"",HYPERLINK(INDEX('Compliance Database'!$O$2:$O$1369,MATCH(968,'Transfer Engine'!$C$2:$C$1369,0)),"Open PDF"))</f>
        <v/>
      </c>
    </row>
    <row r="978" ht="188" customHeight="1">
      <c r="A978" s="8">
        <f>IF(ISNA(MATCH(969,'Transfer Engine'!$C$2:$C$1369,0)),"",INDEX('Compliance Database'!$A$2:$A$1369,MATCH(969,'Transfer Engine'!$C$2:$C$1369,0)))</f>
        <v/>
      </c>
      <c r="B978" s="8">
        <f>IF(ISNA(MATCH(969,'Transfer Engine'!$C$2:$C$1369,0)),"",INDEX('Compliance Database'!$B$2:$B$1369,MATCH(969,'Transfer Engine'!$C$2:$C$1369,0)))</f>
        <v/>
      </c>
      <c r="C978" s="8">
        <f>IF(ISNA(MATCH(969,'Transfer Engine'!$C$2:$C$1369,0)),"",INDEX('Compliance Database'!$C$2:$C$1369,MATCH(969,'Transfer Engine'!$C$2:$C$1369,0)))</f>
        <v/>
      </c>
      <c r="D978" s="9">
        <f>IF(ISNA(MATCH(969,'Transfer Engine'!$C$2:$C$1369,0)),"",INDEX('Compliance Database'!$D$2:$D$1369,MATCH(969,'Transfer Engine'!$C$2:$C$1369,0)))</f>
        <v/>
      </c>
      <c r="E978" s="8">
        <f>IF(ISNA(MATCH(969,'Transfer Engine'!$C$2:$C$1369,0)),"",INDEX('Compliance Database'!$E$2:$E$1369,MATCH(969,'Transfer Engine'!$C$2:$C$1369,0)))</f>
        <v/>
      </c>
      <c r="F978" s="8">
        <f>IF(ISNA(MATCH(969,'Transfer Engine'!$C$2:$C$1369,0)),"",INDEX('Compliance Database'!$F$2:$F$1369,MATCH(969,'Transfer Engine'!$C$2:$C$1369,0)))</f>
        <v/>
      </c>
      <c r="G978" s="8">
        <f>IF(ISNA(MATCH(969,'Transfer Engine'!$C$2:$C$1369,0)),"",INDEX('Compliance Database'!$G$2:$G$1369,MATCH(969,'Transfer Engine'!$C$2:$C$1369,0)))</f>
        <v/>
      </c>
      <c r="H978" s="9">
        <f>IF(ISNA(MATCH(969,'Transfer Engine'!$C$2:$C$1369,0)),"",INDEX('Compliance Database'!$H$2:$H$1369,MATCH(969,'Transfer Engine'!$C$2:$C$1369,0)))</f>
        <v/>
      </c>
      <c r="I978" s="9">
        <f>IF(ISNA(MATCH(969,'Transfer Engine'!$C$2:$C$1369,0)),"",INDEX('Compliance Database'!$I$2:$I$1369,MATCH(969,'Transfer Engine'!$C$2:$C$1369,0)))</f>
        <v/>
      </c>
      <c r="J978" s="8">
        <f>IF(ISNA(MATCH(969,'Transfer Engine'!$C$2:$C$1369,0)),"",INDEX('Compliance Database'!$J$2:$J$1369,MATCH(969,'Transfer Engine'!$C$2:$C$1369,0)))</f>
        <v/>
      </c>
      <c r="K978" s="9">
        <f>IF(ISNA(MATCH(969,'Transfer Engine'!$C$2:$C$1369,0)),"",INDEX('Compliance Database'!$K$2:$K$1369,MATCH(969,'Transfer Engine'!$C$2:$C$1369,0)))</f>
        <v/>
      </c>
      <c r="L978" s="9">
        <f>IF(ISNA(MATCH(969,'Transfer Engine'!$C$2:$C$1369,0)),"",INDEX('Compliance Database'!$L$2:$L$1369,MATCH(969,'Transfer Engine'!$C$2:$C$1369,0)))</f>
        <v/>
      </c>
      <c r="M978" s="9">
        <f>IF(ISNA(MATCH(969,'Transfer Engine'!$C$2:$C$1369,0)),"",INDEX('Compliance Database'!$M$2:$M$1369,MATCH(969,'Transfer Engine'!$C$2:$C$1369,0)))</f>
        <v/>
      </c>
      <c r="N978" s="9">
        <f>IF(ISNA(MATCH(969,'Transfer Engine'!$C$2:$C$1369,0)),"",INDEX('Compliance Database'!$N$2:$N$1369,MATCH(969,'Transfer Engine'!$C$2:$C$1369,0)))</f>
        <v/>
      </c>
      <c r="O978" s="8">
        <f>IF(ISNA(MATCH(969,'Transfer Engine'!$C$2:$C$1369,0)),"",HYPERLINK(INDEX('Compliance Database'!$O$2:$O$1369,MATCH(969,'Transfer Engine'!$C$2:$C$1369,0)),"Open PDF"))</f>
        <v/>
      </c>
    </row>
    <row r="979" ht="188" customHeight="1">
      <c r="A979" s="8">
        <f>IF(ISNA(MATCH(970,'Transfer Engine'!$C$2:$C$1369,0)),"",INDEX('Compliance Database'!$A$2:$A$1369,MATCH(970,'Transfer Engine'!$C$2:$C$1369,0)))</f>
        <v/>
      </c>
      <c r="B979" s="8">
        <f>IF(ISNA(MATCH(970,'Transfer Engine'!$C$2:$C$1369,0)),"",INDEX('Compliance Database'!$B$2:$B$1369,MATCH(970,'Transfer Engine'!$C$2:$C$1369,0)))</f>
        <v/>
      </c>
      <c r="C979" s="8">
        <f>IF(ISNA(MATCH(970,'Transfer Engine'!$C$2:$C$1369,0)),"",INDEX('Compliance Database'!$C$2:$C$1369,MATCH(970,'Transfer Engine'!$C$2:$C$1369,0)))</f>
        <v/>
      </c>
      <c r="D979" s="9">
        <f>IF(ISNA(MATCH(970,'Transfer Engine'!$C$2:$C$1369,0)),"",INDEX('Compliance Database'!$D$2:$D$1369,MATCH(970,'Transfer Engine'!$C$2:$C$1369,0)))</f>
        <v/>
      </c>
      <c r="E979" s="8">
        <f>IF(ISNA(MATCH(970,'Transfer Engine'!$C$2:$C$1369,0)),"",INDEX('Compliance Database'!$E$2:$E$1369,MATCH(970,'Transfer Engine'!$C$2:$C$1369,0)))</f>
        <v/>
      </c>
      <c r="F979" s="8">
        <f>IF(ISNA(MATCH(970,'Transfer Engine'!$C$2:$C$1369,0)),"",INDEX('Compliance Database'!$F$2:$F$1369,MATCH(970,'Transfer Engine'!$C$2:$C$1369,0)))</f>
        <v/>
      </c>
      <c r="G979" s="8">
        <f>IF(ISNA(MATCH(970,'Transfer Engine'!$C$2:$C$1369,0)),"",INDEX('Compliance Database'!$G$2:$G$1369,MATCH(970,'Transfer Engine'!$C$2:$C$1369,0)))</f>
        <v/>
      </c>
      <c r="H979" s="9">
        <f>IF(ISNA(MATCH(970,'Transfer Engine'!$C$2:$C$1369,0)),"",INDEX('Compliance Database'!$H$2:$H$1369,MATCH(970,'Transfer Engine'!$C$2:$C$1369,0)))</f>
        <v/>
      </c>
      <c r="I979" s="9">
        <f>IF(ISNA(MATCH(970,'Transfer Engine'!$C$2:$C$1369,0)),"",INDEX('Compliance Database'!$I$2:$I$1369,MATCH(970,'Transfer Engine'!$C$2:$C$1369,0)))</f>
        <v/>
      </c>
      <c r="J979" s="8">
        <f>IF(ISNA(MATCH(970,'Transfer Engine'!$C$2:$C$1369,0)),"",INDEX('Compliance Database'!$J$2:$J$1369,MATCH(970,'Transfer Engine'!$C$2:$C$1369,0)))</f>
        <v/>
      </c>
      <c r="K979" s="9">
        <f>IF(ISNA(MATCH(970,'Transfer Engine'!$C$2:$C$1369,0)),"",INDEX('Compliance Database'!$K$2:$K$1369,MATCH(970,'Transfer Engine'!$C$2:$C$1369,0)))</f>
        <v/>
      </c>
      <c r="L979" s="9">
        <f>IF(ISNA(MATCH(970,'Transfer Engine'!$C$2:$C$1369,0)),"",INDEX('Compliance Database'!$L$2:$L$1369,MATCH(970,'Transfer Engine'!$C$2:$C$1369,0)))</f>
        <v/>
      </c>
      <c r="M979" s="9">
        <f>IF(ISNA(MATCH(970,'Transfer Engine'!$C$2:$C$1369,0)),"",INDEX('Compliance Database'!$M$2:$M$1369,MATCH(970,'Transfer Engine'!$C$2:$C$1369,0)))</f>
        <v/>
      </c>
      <c r="N979" s="9">
        <f>IF(ISNA(MATCH(970,'Transfer Engine'!$C$2:$C$1369,0)),"",INDEX('Compliance Database'!$N$2:$N$1369,MATCH(970,'Transfer Engine'!$C$2:$C$1369,0)))</f>
        <v/>
      </c>
      <c r="O979" s="8">
        <f>IF(ISNA(MATCH(970,'Transfer Engine'!$C$2:$C$1369,0)),"",HYPERLINK(INDEX('Compliance Database'!$O$2:$O$1369,MATCH(970,'Transfer Engine'!$C$2:$C$1369,0)),"Open PDF"))</f>
        <v/>
      </c>
    </row>
    <row r="980" ht="188" customHeight="1">
      <c r="A980" s="8">
        <f>IF(ISNA(MATCH(971,'Transfer Engine'!$C$2:$C$1369,0)),"",INDEX('Compliance Database'!$A$2:$A$1369,MATCH(971,'Transfer Engine'!$C$2:$C$1369,0)))</f>
        <v/>
      </c>
      <c r="B980" s="8">
        <f>IF(ISNA(MATCH(971,'Transfer Engine'!$C$2:$C$1369,0)),"",INDEX('Compliance Database'!$B$2:$B$1369,MATCH(971,'Transfer Engine'!$C$2:$C$1369,0)))</f>
        <v/>
      </c>
      <c r="C980" s="8">
        <f>IF(ISNA(MATCH(971,'Transfer Engine'!$C$2:$C$1369,0)),"",INDEX('Compliance Database'!$C$2:$C$1369,MATCH(971,'Transfer Engine'!$C$2:$C$1369,0)))</f>
        <v/>
      </c>
      <c r="D980" s="9">
        <f>IF(ISNA(MATCH(971,'Transfer Engine'!$C$2:$C$1369,0)),"",INDEX('Compliance Database'!$D$2:$D$1369,MATCH(971,'Transfer Engine'!$C$2:$C$1369,0)))</f>
        <v/>
      </c>
      <c r="E980" s="8">
        <f>IF(ISNA(MATCH(971,'Transfer Engine'!$C$2:$C$1369,0)),"",INDEX('Compliance Database'!$E$2:$E$1369,MATCH(971,'Transfer Engine'!$C$2:$C$1369,0)))</f>
        <v/>
      </c>
      <c r="F980" s="8">
        <f>IF(ISNA(MATCH(971,'Transfer Engine'!$C$2:$C$1369,0)),"",INDEX('Compliance Database'!$F$2:$F$1369,MATCH(971,'Transfer Engine'!$C$2:$C$1369,0)))</f>
        <v/>
      </c>
      <c r="G980" s="8">
        <f>IF(ISNA(MATCH(971,'Transfer Engine'!$C$2:$C$1369,0)),"",INDEX('Compliance Database'!$G$2:$G$1369,MATCH(971,'Transfer Engine'!$C$2:$C$1369,0)))</f>
        <v/>
      </c>
      <c r="H980" s="9">
        <f>IF(ISNA(MATCH(971,'Transfer Engine'!$C$2:$C$1369,0)),"",INDEX('Compliance Database'!$H$2:$H$1369,MATCH(971,'Transfer Engine'!$C$2:$C$1369,0)))</f>
        <v/>
      </c>
      <c r="I980" s="9">
        <f>IF(ISNA(MATCH(971,'Transfer Engine'!$C$2:$C$1369,0)),"",INDEX('Compliance Database'!$I$2:$I$1369,MATCH(971,'Transfer Engine'!$C$2:$C$1369,0)))</f>
        <v/>
      </c>
      <c r="J980" s="8">
        <f>IF(ISNA(MATCH(971,'Transfer Engine'!$C$2:$C$1369,0)),"",INDEX('Compliance Database'!$J$2:$J$1369,MATCH(971,'Transfer Engine'!$C$2:$C$1369,0)))</f>
        <v/>
      </c>
      <c r="K980" s="9">
        <f>IF(ISNA(MATCH(971,'Transfer Engine'!$C$2:$C$1369,0)),"",INDEX('Compliance Database'!$K$2:$K$1369,MATCH(971,'Transfer Engine'!$C$2:$C$1369,0)))</f>
        <v/>
      </c>
      <c r="L980" s="9">
        <f>IF(ISNA(MATCH(971,'Transfer Engine'!$C$2:$C$1369,0)),"",INDEX('Compliance Database'!$L$2:$L$1369,MATCH(971,'Transfer Engine'!$C$2:$C$1369,0)))</f>
        <v/>
      </c>
      <c r="M980" s="9">
        <f>IF(ISNA(MATCH(971,'Transfer Engine'!$C$2:$C$1369,0)),"",INDEX('Compliance Database'!$M$2:$M$1369,MATCH(971,'Transfer Engine'!$C$2:$C$1369,0)))</f>
        <v/>
      </c>
      <c r="N980" s="9">
        <f>IF(ISNA(MATCH(971,'Transfer Engine'!$C$2:$C$1369,0)),"",INDEX('Compliance Database'!$N$2:$N$1369,MATCH(971,'Transfer Engine'!$C$2:$C$1369,0)))</f>
        <v/>
      </c>
      <c r="O980" s="8">
        <f>IF(ISNA(MATCH(971,'Transfer Engine'!$C$2:$C$1369,0)),"",HYPERLINK(INDEX('Compliance Database'!$O$2:$O$1369,MATCH(971,'Transfer Engine'!$C$2:$C$1369,0)),"Open PDF"))</f>
        <v/>
      </c>
    </row>
    <row r="981" ht="188" customHeight="1">
      <c r="A981" s="8">
        <f>IF(ISNA(MATCH(972,'Transfer Engine'!$C$2:$C$1369,0)),"",INDEX('Compliance Database'!$A$2:$A$1369,MATCH(972,'Transfer Engine'!$C$2:$C$1369,0)))</f>
        <v/>
      </c>
      <c r="B981" s="8">
        <f>IF(ISNA(MATCH(972,'Transfer Engine'!$C$2:$C$1369,0)),"",INDEX('Compliance Database'!$B$2:$B$1369,MATCH(972,'Transfer Engine'!$C$2:$C$1369,0)))</f>
        <v/>
      </c>
      <c r="C981" s="8">
        <f>IF(ISNA(MATCH(972,'Transfer Engine'!$C$2:$C$1369,0)),"",INDEX('Compliance Database'!$C$2:$C$1369,MATCH(972,'Transfer Engine'!$C$2:$C$1369,0)))</f>
        <v/>
      </c>
      <c r="D981" s="9">
        <f>IF(ISNA(MATCH(972,'Transfer Engine'!$C$2:$C$1369,0)),"",INDEX('Compliance Database'!$D$2:$D$1369,MATCH(972,'Transfer Engine'!$C$2:$C$1369,0)))</f>
        <v/>
      </c>
      <c r="E981" s="8">
        <f>IF(ISNA(MATCH(972,'Transfer Engine'!$C$2:$C$1369,0)),"",INDEX('Compliance Database'!$E$2:$E$1369,MATCH(972,'Transfer Engine'!$C$2:$C$1369,0)))</f>
        <v/>
      </c>
      <c r="F981" s="8">
        <f>IF(ISNA(MATCH(972,'Transfer Engine'!$C$2:$C$1369,0)),"",INDEX('Compliance Database'!$F$2:$F$1369,MATCH(972,'Transfer Engine'!$C$2:$C$1369,0)))</f>
        <v/>
      </c>
      <c r="G981" s="8">
        <f>IF(ISNA(MATCH(972,'Transfer Engine'!$C$2:$C$1369,0)),"",INDEX('Compliance Database'!$G$2:$G$1369,MATCH(972,'Transfer Engine'!$C$2:$C$1369,0)))</f>
        <v/>
      </c>
      <c r="H981" s="9">
        <f>IF(ISNA(MATCH(972,'Transfer Engine'!$C$2:$C$1369,0)),"",INDEX('Compliance Database'!$H$2:$H$1369,MATCH(972,'Transfer Engine'!$C$2:$C$1369,0)))</f>
        <v/>
      </c>
      <c r="I981" s="9">
        <f>IF(ISNA(MATCH(972,'Transfer Engine'!$C$2:$C$1369,0)),"",INDEX('Compliance Database'!$I$2:$I$1369,MATCH(972,'Transfer Engine'!$C$2:$C$1369,0)))</f>
        <v/>
      </c>
      <c r="J981" s="8">
        <f>IF(ISNA(MATCH(972,'Transfer Engine'!$C$2:$C$1369,0)),"",INDEX('Compliance Database'!$J$2:$J$1369,MATCH(972,'Transfer Engine'!$C$2:$C$1369,0)))</f>
        <v/>
      </c>
      <c r="K981" s="9">
        <f>IF(ISNA(MATCH(972,'Transfer Engine'!$C$2:$C$1369,0)),"",INDEX('Compliance Database'!$K$2:$K$1369,MATCH(972,'Transfer Engine'!$C$2:$C$1369,0)))</f>
        <v/>
      </c>
      <c r="L981" s="9">
        <f>IF(ISNA(MATCH(972,'Transfer Engine'!$C$2:$C$1369,0)),"",INDEX('Compliance Database'!$L$2:$L$1369,MATCH(972,'Transfer Engine'!$C$2:$C$1369,0)))</f>
        <v/>
      </c>
      <c r="M981" s="9">
        <f>IF(ISNA(MATCH(972,'Transfer Engine'!$C$2:$C$1369,0)),"",INDEX('Compliance Database'!$M$2:$M$1369,MATCH(972,'Transfer Engine'!$C$2:$C$1369,0)))</f>
        <v/>
      </c>
      <c r="N981" s="9">
        <f>IF(ISNA(MATCH(972,'Transfer Engine'!$C$2:$C$1369,0)),"",INDEX('Compliance Database'!$N$2:$N$1369,MATCH(972,'Transfer Engine'!$C$2:$C$1369,0)))</f>
        <v/>
      </c>
      <c r="O981" s="8">
        <f>IF(ISNA(MATCH(972,'Transfer Engine'!$C$2:$C$1369,0)),"",HYPERLINK(INDEX('Compliance Database'!$O$2:$O$1369,MATCH(972,'Transfer Engine'!$C$2:$C$1369,0)),"Open PDF"))</f>
        <v/>
      </c>
    </row>
    <row r="982" ht="188" customHeight="1">
      <c r="A982" s="8">
        <f>IF(ISNA(MATCH(973,'Transfer Engine'!$C$2:$C$1369,0)),"",INDEX('Compliance Database'!$A$2:$A$1369,MATCH(973,'Transfer Engine'!$C$2:$C$1369,0)))</f>
        <v/>
      </c>
      <c r="B982" s="8">
        <f>IF(ISNA(MATCH(973,'Transfer Engine'!$C$2:$C$1369,0)),"",INDEX('Compliance Database'!$B$2:$B$1369,MATCH(973,'Transfer Engine'!$C$2:$C$1369,0)))</f>
        <v/>
      </c>
      <c r="C982" s="8">
        <f>IF(ISNA(MATCH(973,'Transfer Engine'!$C$2:$C$1369,0)),"",INDEX('Compliance Database'!$C$2:$C$1369,MATCH(973,'Transfer Engine'!$C$2:$C$1369,0)))</f>
        <v/>
      </c>
      <c r="D982" s="9">
        <f>IF(ISNA(MATCH(973,'Transfer Engine'!$C$2:$C$1369,0)),"",INDEX('Compliance Database'!$D$2:$D$1369,MATCH(973,'Transfer Engine'!$C$2:$C$1369,0)))</f>
        <v/>
      </c>
      <c r="E982" s="8">
        <f>IF(ISNA(MATCH(973,'Transfer Engine'!$C$2:$C$1369,0)),"",INDEX('Compliance Database'!$E$2:$E$1369,MATCH(973,'Transfer Engine'!$C$2:$C$1369,0)))</f>
        <v/>
      </c>
      <c r="F982" s="8">
        <f>IF(ISNA(MATCH(973,'Transfer Engine'!$C$2:$C$1369,0)),"",INDEX('Compliance Database'!$F$2:$F$1369,MATCH(973,'Transfer Engine'!$C$2:$C$1369,0)))</f>
        <v/>
      </c>
      <c r="G982" s="8">
        <f>IF(ISNA(MATCH(973,'Transfer Engine'!$C$2:$C$1369,0)),"",INDEX('Compliance Database'!$G$2:$G$1369,MATCH(973,'Transfer Engine'!$C$2:$C$1369,0)))</f>
        <v/>
      </c>
      <c r="H982" s="9">
        <f>IF(ISNA(MATCH(973,'Transfer Engine'!$C$2:$C$1369,0)),"",INDEX('Compliance Database'!$H$2:$H$1369,MATCH(973,'Transfer Engine'!$C$2:$C$1369,0)))</f>
        <v/>
      </c>
      <c r="I982" s="9">
        <f>IF(ISNA(MATCH(973,'Transfer Engine'!$C$2:$C$1369,0)),"",INDEX('Compliance Database'!$I$2:$I$1369,MATCH(973,'Transfer Engine'!$C$2:$C$1369,0)))</f>
        <v/>
      </c>
      <c r="J982" s="8">
        <f>IF(ISNA(MATCH(973,'Transfer Engine'!$C$2:$C$1369,0)),"",INDEX('Compliance Database'!$J$2:$J$1369,MATCH(973,'Transfer Engine'!$C$2:$C$1369,0)))</f>
        <v/>
      </c>
      <c r="K982" s="9">
        <f>IF(ISNA(MATCH(973,'Transfer Engine'!$C$2:$C$1369,0)),"",INDEX('Compliance Database'!$K$2:$K$1369,MATCH(973,'Transfer Engine'!$C$2:$C$1369,0)))</f>
        <v/>
      </c>
      <c r="L982" s="9">
        <f>IF(ISNA(MATCH(973,'Transfer Engine'!$C$2:$C$1369,0)),"",INDEX('Compliance Database'!$L$2:$L$1369,MATCH(973,'Transfer Engine'!$C$2:$C$1369,0)))</f>
        <v/>
      </c>
      <c r="M982" s="9">
        <f>IF(ISNA(MATCH(973,'Transfer Engine'!$C$2:$C$1369,0)),"",INDEX('Compliance Database'!$M$2:$M$1369,MATCH(973,'Transfer Engine'!$C$2:$C$1369,0)))</f>
        <v/>
      </c>
      <c r="N982" s="9">
        <f>IF(ISNA(MATCH(973,'Transfer Engine'!$C$2:$C$1369,0)),"",INDEX('Compliance Database'!$N$2:$N$1369,MATCH(973,'Transfer Engine'!$C$2:$C$1369,0)))</f>
        <v/>
      </c>
      <c r="O982" s="8">
        <f>IF(ISNA(MATCH(973,'Transfer Engine'!$C$2:$C$1369,0)),"",HYPERLINK(INDEX('Compliance Database'!$O$2:$O$1369,MATCH(973,'Transfer Engine'!$C$2:$C$1369,0)),"Open PDF"))</f>
        <v/>
      </c>
    </row>
    <row r="983" ht="188" customHeight="1">
      <c r="A983" s="8">
        <f>IF(ISNA(MATCH(974,'Transfer Engine'!$C$2:$C$1369,0)),"",INDEX('Compliance Database'!$A$2:$A$1369,MATCH(974,'Transfer Engine'!$C$2:$C$1369,0)))</f>
        <v/>
      </c>
      <c r="B983" s="8">
        <f>IF(ISNA(MATCH(974,'Transfer Engine'!$C$2:$C$1369,0)),"",INDEX('Compliance Database'!$B$2:$B$1369,MATCH(974,'Transfer Engine'!$C$2:$C$1369,0)))</f>
        <v/>
      </c>
      <c r="C983" s="8">
        <f>IF(ISNA(MATCH(974,'Transfer Engine'!$C$2:$C$1369,0)),"",INDEX('Compliance Database'!$C$2:$C$1369,MATCH(974,'Transfer Engine'!$C$2:$C$1369,0)))</f>
        <v/>
      </c>
      <c r="D983" s="9">
        <f>IF(ISNA(MATCH(974,'Transfer Engine'!$C$2:$C$1369,0)),"",INDEX('Compliance Database'!$D$2:$D$1369,MATCH(974,'Transfer Engine'!$C$2:$C$1369,0)))</f>
        <v/>
      </c>
      <c r="E983" s="8">
        <f>IF(ISNA(MATCH(974,'Transfer Engine'!$C$2:$C$1369,0)),"",INDEX('Compliance Database'!$E$2:$E$1369,MATCH(974,'Transfer Engine'!$C$2:$C$1369,0)))</f>
        <v/>
      </c>
      <c r="F983" s="8">
        <f>IF(ISNA(MATCH(974,'Transfer Engine'!$C$2:$C$1369,0)),"",INDEX('Compliance Database'!$F$2:$F$1369,MATCH(974,'Transfer Engine'!$C$2:$C$1369,0)))</f>
        <v/>
      </c>
      <c r="G983" s="8">
        <f>IF(ISNA(MATCH(974,'Transfer Engine'!$C$2:$C$1369,0)),"",INDEX('Compliance Database'!$G$2:$G$1369,MATCH(974,'Transfer Engine'!$C$2:$C$1369,0)))</f>
        <v/>
      </c>
      <c r="H983" s="9">
        <f>IF(ISNA(MATCH(974,'Transfer Engine'!$C$2:$C$1369,0)),"",INDEX('Compliance Database'!$H$2:$H$1369,MATCH(974,'Transfer Engine'!$C$2:$C$1369,0)))</f>
        <v/>
      </c>
      <c r="I983" s="9">
        <f>IF(ISNA(MATCH(974,'Transfer Engine'!$C$2:$C$1369,0)),"",INDEX('Compliance Database'!$I$2:$I$1369,MATCH(974,'Transfer Engine'!$C$2:$C$1369,0)))</f>
        <v/>
      </c>
      <c r="J983" s="8">
        <f>IF(ISNA(MATCH(974,'Transfer Engine'!$C$2:$C$1369,0)),"",INDEX('Compliance Database'!$J$2:$J$1369,MATCH(974,'Transfer Engine'!$C$2:$C$1369,0)))</f>
        <v/>
      </c>
      <c r="K983" s="9">
        <f>IF(ISNA(MATCH(974,'Transfer Engine'!$C$2:$C$1369,0)),"",INDEX('Compliance Database'!$K$2:$K$1369,MATCH(974,'Transfer Engine'!$C$2:$C$1369,0)))</f>
        <v/>
      </c>
      <c r="L983" s="9">
        <f>IF(ISNA(MATCH(974,'Transfer Engine'!$C$2:$C$1369,0)),"",INDEX('Compliance Database'!$L$2:$L$1369,MATCH(974,'Transfer Engine'!$C$2:$C$1369,0)))</f>
        <v/>
      </c>
      <c r="M983" s="9">
        <f>IF(ISNA(MATCH(974,'Transfer Engine'!$C$2:$C$1369,0)),"",INDEX('Compliance Database'!$M$2:$M$1369,MATCH(974,'Transfer Engine'!$C$2:$C$1369,0)))</f>
        <v/>
      </c>
      <c r="N983" s="9">
        <f>IF(ISNA(MATCH(974,'Transfer Engine'!$C$2:$C$1369,0)),"",INDEX('Compliance Database'!$N$2:$N$1369,MATCH(974,'Transfer Engine'!$C$2:$C$1369,0)))</f>
        <v/>
      </c>
      <c r="O983" s="8">
        <f>IF(ISNA(MATCH(974,'Transfer Engine'!$C$2:$C$1369,0)),"",HYPERLINK(INDEX('Compliance Database'!$O$2:$O$1369,MATCH(974,'Transfer Engine'!$C$2:$C$1369,0)),"Open PDF"))</f>
        <v/>
      </c>
    </row>
    <row r="984" ht="188" customHeight="1">
      <c r="A984" s="8">
        <f>IF(ISNA(MATCH(975,'Transfer Engine'!$C$2:$C$1369,0)),"",INDEX('Compliance Database'!$A$2:$A$1369,MATCH(975,'Transfer Engine'!$C$2:$C$1369,0)))</f>
        <v/>
      </c>
      <c r="B984" s="8">
        <f>IF(ISNA(MATCH(975,'Transfer Engine'!$C$2:$C$1369,0)),"",INDEX('Compliance Database'!$B$2:$B$1369,MATCH(975,'Transfer Engine'!$C$2:$C$1369,0)))</f>
        <v/>
      </c>
      <c r="C984" s="8">
        <f>IF(ISNA(MATCH(975,'Transfer Engine'!$C$2:$C$1369,0)),"",INDEX('Compliance Database'!$C$2:$C$1369,MATCH(975,'Transfer Engine'!$C$2:$C$1369,0)))</f>
        <v/>
      </c>
      <c r="D984" s="9">
        <f>IF(ISNA(MATCH(975,'Transfer Engine'!$C$2:$C$1369,0)),"",INDEX('Compliance Database'!$D$2:$D$1369,MATCH(975,'Transfer Engine'!$C$2:$C$1369,0)))</f>
        <v/>
      </c>
      <c r="E984" s="8">
        <f>IF(ISNA(MATCH(975,'Transfer Engine'!$C$2:$C$1369,0)),"",INDEX('Compliance Database'!$E$2:$E$1369,MATCH(975,'Transfer Engine'!$C$2:$C$1369,0)))</f>
        <v/>
      </c>
      <c r="F984" s="8">
        <f>IF(ISNA(MATCH(975,'Transfer Engine'!$C$2:$C$1369,0)),"",INDEX('Compliance Database'!$F$2:$F$1369,MATCH(975,'Transfer Engine'!$C$2:$C$1369,0)))</f>
        <v/>
      </c>
      <c r="G984" s="8">
        <f>IF(ISNA(MATCH(975,'Transfer Engine'!$C$2:$C$1369,0)),"",INDEX('Compliance Database'!$G$2:$G$1369,MATCH(975,'Transfer Engine'!$C$2:$C$1369,0)))</f>
        <v/>
      </c>
      <c r="H984" s="9">
        <f>IF(ISNA(MATCH(975,'Transfer Engine'!$C$2:$C$1369,0)),"",INDEX('Compliance Database'!$H$2:$H$1369,MATCH(975,'Transfer Engine'!$C$2:$C$1369,0)))</f>
        <v/>
      </c>
      <c r="I984" s="9">
        <f>IF(ISNA(MATCH(975,'Transfer Engine'!$C$2:$C$1369,0)),"",INDEX('Compliance Database'!$I$2:$I$1369,MATCH(975,'Transfer Engine'!$C$2:$C$1369,0)))</f>
        <v/>
      </c>
      <c r="J984" s="8">
        <f>IF(ISNA(MATCH(975,'Transfer Engine'!$C$2:$C$1369,0)),"",INDEX('Compliance Database'!$J$2:$J$1369,MATCH(975,'Transfer Engine'!$C$2:$C$1369,0)))</f>
        <v/>
      </c>
      <c r="K984" s="9">
        <f>IF(ISNA(MATCH(975,'Transfer Engine'!$C$2:$C$1369,0)),"",INDEX('Compliance Database'!$K$2:$K$1369,MATCH(975,'Transfer Engine'!$C$2:$C$1369,0)))</f>
        <v/>
      </c>
      <c r="L984" s="9">
        <f>IF(ISNA(MATCH(975,'Transfer Engine'!$C$2:$C$1369,0)),"",INDEX('Compliance Database'!$L$2:$L$1369,MATCH(975,'Transfer Engine'!$C$2:$C$1369,0)))</f>
        <v/>
      </c>
      <c r="M984" s="9">
        <f>IF(ISNA(MATCH(975,'Transfer Engine'!$C$2:$C$1369,0)),"",INDEX('Compliance Database'!$M$2:$M$1369,MATCH(975,'Transfer Engine'!$C$2:$C$1369,0)))</f>
        <v/>
      </c>
      <c r="N984" s="9">
        <f>IF(ISNA(MATCH(975,'Transfer Engine'!$C$2:$C$1369,0)),"",INDEX('Compliance Database'!$N$2:$N$1369,MATCH(975,'Transfer Engine'!$C$2:$C$1369,0)))</f>
        <v/>
      </c>
      <c r="O984" s="8">
        <f>IF(ISNA(MATCH(975,'Transfer Engine'!$C$2:$C$1369,0)),"",HYPERLINK(INDEX('Compliance Database'!$O$2:$O$1369,MATCH(975,'Transfer Engine'!$C$2:$C$1369,0)),"Open PDF"))</f>
        <v/>
      </c>
    </row>
    <row r="985" ht="188" customHeight="1">
      <c r="A985" s="8">
        <f>IF(ISNA(MATCH(976,'Transfer Engine'!$C$2:$C$1369,0)),"",INDEX('Compliance Database'!$A$2:$A$1369,MATCH(976,'Transfer Engine'!$C$2:$C$1369,0)))</f>
        <v/>
      </c>
      <c r="B985" s="8">
        <f>IF(ISNA(MATCH(976,'Transfer Engine'!$C$2:$C$1369,0)),"",INDEX('Compliance Database'!$B$2:$B$1369,MATCH(976,'Transfer Engine'!$C$2:$C$1369,0)))</f>
        <v/>
      </c>
      <c r="C985" s="8">
        <f>IF(ISNA(MATCH(976,'Transfer Engine'!$C$2:$C$1369,0)),"",INDEX('Compliance Database'!$C$2:$C$1369,MATCH(976,'Transfer Engine'!$C$2:$C$1369,0)))</f>
        <v/>
      </c>
      <c r="D985" s="9">
        <f>IF(ISNA(MATCH(976,'Transfer Engine'!$C$2:$C$1369,0)),"",INDEX('Compliance Database'!$D$2:$D$1369,MATCH(976,'Transfer Engine'!$C$2:$C$1369,0)))</f>
        <v/>
      </c>
      <c r="E985" s="8">
        <f>IF(ISNA(MATCH(976,'Transfer Engine'!$C$2:$C$1369,0)),"",INDEX('Compliance Database'!$E$2:$E$1369,MATCH(976,'Transfer Engine'!$C$2:$C$1369,0)))</f>
        <v/>
      </c>
      <c r="F985" s="8">
        <f>IF(ISNA(MATCH(976,'Transfer Engine'!$C$2:$C$1369,0)),"",INDEX('Compliance Database'!$F$2:$F$1369,MATCH(976,'Transfer Engine'!$C$2:$C$1369,0)))</f>
        <v/>
      </c>
      <c r="G985" s="8">
        <f>IF(ISNA(MATCH(976,'Transfer Engine'!$C$2:$C$1369,0)),"",INDEX('Compliance Database'!$G$2:$G$1369,MATCH(976,'Transfer Engine'!$C$2:$C$1369,0)))</f>
        <v/>
      </c>
      <c r="H985" s="9">
        <f>IF(ISNA(MATCH(976,'Transfer Engine'!$C$2:$C$1369,0)),"",INDEX('Compliance Database'!$H$2:$H$1369,MATCH(976,'Transfer Engine'!$C$2:$C$1369,0)))</f>
        <v/>
      </c>
      <c r="I985" s="9">
        <f>IF(ISNA(MATCH(976,'Transfer Engine'!$C$2:$C$1369,0)),"",INDEX('Compliance Database'!$I$2:$I$1369,MATCH(976,'Transfer Engine'!$C$2:$C$1369,0)))</f>
        <v/>
      </c>
      <c r="J985" s="8">
        <f>IF(ISNA(MATCH(976,'Transfer Engine'!$C$2:$C$1369,0)),"",INDEX('Compliance Database'!$J$2:$J$1369,MATCH(976,'Transfer Engine'!$C$2:$C$1369,0)))</f>
        <v/>
      </c>
      <c r="K985" s="9">
        <f>IF(ISNA(MATCH(976,'Transfer Engine'!$C$2:$C$1369,0)),"",INDEX('Compliance Database'!$K$2:$K$1369,MATCH(976,'Transfer Engine'!$C$2:$C$1369,0)))</f>
        <v/>
      </c>
      <c r="L985" s="9">
        <f>IF(ISNA(MATCH(976,'Transfer Engine'!$C$2:$C$1369,0)),"",INDEX('Compliance Database'!$L$2:$L$1369,MATCH(976,'Transfer Engine'!$C$2:$C$1369,0)))</f>
        <v/>
      </c>
      <c r="M985" s="9">
        <f>IF(ISNA(MATCH(976,'Transfer Engine'!$C$2:$C$1369,0)),"",INDEX('Compliance Database'!$M$2:$M$1369,MATCH(976,'Transfer Engine'!$C$2:$C$1369,0)))</f>
        <v/>
      </c>
      <c r="N985" s="9">
        <f>IF(ISNA(MATCH(976,'Transfer Engine'!$C$2:$C$1369,0)),"",INDEX('Compliance Database'!$N$2:$N$1369,MATCH(976,'Transfer Engine'!$C$2:$C$1369,0)))</f>
        <v/>
      </c>
      <c r="O985" s="8">
        <f>IF(ISNA(MATCH(976,'Transfer Engine'!$C$2:$C$1369,0)),"",HYPERLINK(INDEX('Compliance Database'!$O$2:$O$1369,MATCH(976,'Transfer Engine'!$C$2:$C$1369,0)),"Open PDF"))</f>
        <v/>
      </c>
    </row>
    <row r="986" ht="188" customHeight="1">
      <c r="A986" s="8">
        <f>IF(ISNA(MATCH(977,'Transfer Engine'!$C$2:$C$1369,0)),"",INDEX('Compliance Database'!$A$2:$A$1369,MATCH(977,'Transfer Engine'!$C$2:$C$1369,0)))</f>
        <v/>
      </c>
      <c r="B986" s="8">
        <f>IF(ISNA(MATCH(977,'Transfer Engine'!$C$2:$C$1369,0)),"",INDEX('Compliance Database'!$B$2:$B$1369,MATCH(977,'Transfer Engine'!$C$2:$C$1369,0)))</f>
        <v/>
      </c>
      <c r="C986" s="8">
        <f>IF(ISNA(MATCH(977,'Transfer Engine'!$C$2:$C$1369,0)),"",INDEX('Compliance Database'!$C$2:$C$1369,MATCH(977,'Transfer Engine'!$C$2:$C$1369,0)))</f>
        <v/>
      </c>
      <c r="D986" s="9">
        <f>IF(ISNA(MATCH(977,'Transfer Engine'!$C$2:$C$1369,0)),"",INDEX('Compliance Database'!$D$2:$D$1369,MATCH(977,'Transfer Engine'!$C$2:$C$1369,0)))</f>
        <v/>
      </c>
      <c r="E986" s="8">
        <f>IF(ISNA(MATCH(977,'Transfer Engine'!$C$2:$C$1369,0)),"",INDEX('Compliance Database'!$E$2:$E$1369,MATCH(977,'Transfer Engine'!$C$2:$C$1369,0)))</f>
        <v/>
      </c>
      <c r="F986" s="8">
        <f>IF(ISNA(MATCH(977,'Transfer Engine'!$C$2:$C$1369,0)),"",INDEX('Compliance Database'!$F$2:$F$1369,MATCH(977,'Transfer Engine'!$C$2:$C$1369,0)))</f>
        <v/>
      </c>
      <c r="G986" s="8">
        <f>IF(ISNA(MATCH(977,'Transfer Engine'!$C$2:$C$1369,0)),"",INDEX('Compliance Database'!$G$2:$G$1369,MATCH(977,'Transfer Engine'!$C$2:$C$1369,0)))</f>
        <v/>
      </c>
      <c r="H986" s="9">
        <f>IF(ISNA(MATCH(977,'Transfer Engine'!$C$2:$C$1369,0)),"",INDEX('Compliance Database'!$H$2:$H$1369,MATCH(977,'Transfer Engine'!$C$2:$C$1369,0)))</f>
        <v/>
      </c>
      <c r="I986" s="9">
        <f>IF(ISNA(MATCH(977,'Transfer Engine'!$C$2:$C$1369,0)),"",INDEX('Compliance Database'!$I$2:$I$1369,MATCH(977,'Transfer Engine'!$C$2:$C$1369,0)))</f>
        <v/>
      </c>
      <c r="J986" s="8">
        <f>IF(ISNA(MATCH(977,'Transfer Engine'!$C$2:$C$1369,0)),"",INDEX('Compliance Database'!$J$2:$J$1369,MATCH(977,'Transfer Engine'!$C$2:$C$1369,0)))</f>
        <v/>
      </c>
      <c r="K986" s="9">
        <f>IF(ISNA(MATCH(977,'Transfer Engine'!$C$2:$C$1369,0)),"",INDEX('Compliance Database'!$K$2:$K$1369,MATCH(977,'Transfer Engine'!$C$2:$C$1369,0)))</f>
        <v/>
      </c>
      <c r="L986" s="9">
        <f>IF(ISNA(MATCH(977,'Transfer Engine'!$C$2:$C$1369,0)),"",INDEX('Compliance Database'!$L$2:$L$1369,MATCH(977,'Transfer Engine'!$C$2:$C$1369,0)))</f>
        <v/>
      </c>
      <c r="M986" s="9">
        <f>IF(ISNA(MATCH(977,'Transfer Engine'!$C$2:$C$1369,0)),"",INDEX('Compliance Database'!$M$2:$M$1369,MATCH(977,'Transfer Engine'!$C$2:$C$1369,0)))</f>
        <v/>
      </c>
      <c r="N986" s="9">
        <f>IF(ISNA(MATCH(977,'Transfer Engine'!$C$2:$C$1369,0)),"",INDEX('Compliance Database'!$N$2:$N$1369,MATCH(977,'Transfer Engine'!$C$2:$C$1369,0)))</f>
        <v/>
      </c>
      <c r="O986" s="8">
        <f>IF(ISNA(MATCH(977,'Transfer Engine'!$C$2:$C$1369,0)),"",HYPERLINK(INDEX('Compliance Database'!$O$2:$O$1369,MATCH(977,'Transfer Engine'!$C$2:$C$1369,0)),"Open PDF"))</f>
        <v/>
      </c>
    </row>
    <row r="987" ht="188" customHeight="1">
      <c r="A987" s="8">
        <f>IF(ISNA(MATCH(978,'Transfer Engine'!$C$2:$C$1369,0)),"",INDEX('Compliance Database'!$A$2:$A$1369,MATCH(978,'Transfer Engine'!$C$2:$C$1369,0)))</f>
        <v/>
      </c>
      <c r="B987" s="8">
        <f>IF(ISNA(MATCH(978,'Transfer Engine'!$C$2:$C$1369,0)),"",INDEX('Compliance Database'!$B$2:$B$1369,MATCH(978,'Transfer Engine'!$C$2:$C$1369,0)))</f>
        <v/>
      </c>
      <c r="C987" s="8">
        <f>IF(ISNA(MATCH(978,'Transfer Engine'!$C$2:$C$1369,0)),"",INDEX('Compliance Database'!$C$2:$C$1369,MATCH(978,'Transfer Engine'!$C$2:$C$1369,0)))</f>
        <v/>
      </c>
      <c r="D987" s="9">
        <f>IF(ISNA(MATCH(978,'Transfer Engine'!$C$2:$C$1369,0)),"",INDEX('Compliance Database'!$D$2:$D$1369,MATCH(978,'Transfer Engine'!$C$2:$C$1369,0)))</f>
        <v/>
      </c>
      <c r="E987" s="8">
        <f>IF(ISNA(MATCH(978,'Transfer Engine'!$C$2:$C$1369,0)),"",INDEX('Compliance Database'!$E$2:$E$1369,MATCH(978,'Transfer Engine'!$C$2:$C$1369,0)))</f>
        <v/>
      </c>
      <c r="F987" s="8">
        <f>IF(ISNA(MATCH(978,'Transfer Engine'!$C$2:$C$1369,0)),"",INDEX('Compliance Database'!$F$2:$F$1369,MATCH(978,'Transfer Engine'!$C$2:$C$1369,0)))</f>
        <v/>
      </c>
      <c r="G987" s="8">
        <f>IF(ISNA(MATCH(978,'Transfer Engine'!$C$2:$C$1369,0)),"",INDEX('Compliance Database'!$G$2:$G$1369,MATCH(978,'Transfer Engine'!$C$2:$C$1369,0)))</f>
        <v/>
      </c>
      <c r="H987" s="9">
        <f>IF(ISNA(MATCH(978,'Transfer Engine'!$C$2:$C$1369,0)),"",INDEX('Compliance Database'!$H$2:$H$1369,MATCH(978,'Transfer Engine'!$C$2:$C$1369,0)))</f>
        <v/>
      </c>
      <c r="I987" s="9">
        <f>IF(ISNA(MATCH(978,'Transfer Engine'!$C$2:$C$1369,0)),"",INDEX('Compliance Database'!$I$2:$I$1369,MATCH(978,'Transfer Engine'!$C$2:$C$1369,0)))</f>
        <v/>
      </c>
      <c r="J987" s="8">
        <f>IF(ISNA(MATCH(978,'Transfer Engine'!$C$2:$C$1369,0)),"",INDEX('Compliance Database'!$J$2:$J$1369,MATCH(978,'Transfer Engine'!$C$2:$C$1369,0)))</f>
        <v/>
      </c>
      <c r="K987" s="9">
        <f>IF(ISNA(MATCH(978,'Transfer Engine'!$C$2:$C$1369,0)),"",INDEX('Compliance Database'!$K$2:$K$1369,MATCH(978,'Transfer Engine'!$C$2:$C$1369,0)))</f>
        <v/>
      </c>
      <c r="L987" s="9">
        <f>IF(ISNA(MATCH(978,'Transfer Engine'!$C$2:$C$1369,0)),"",INDEX('Compliance Database'!$L$2:$L$1369,MATCH(978,'Transfer Engine'!$C$2:$C$1369,0)))</f>
        <v/>
      </c>
      <c r="M987" s="9">
        <f>IF(ISNA(MATCH(978,'Transfer Engine'!$C$2:$C$1369,0)),"",INDEX('Compliance Database'!$M$2:$M$1369,MATCH(978,'Transfer Engine'!$C$2:$C$1369,0)))</f>
        <v/>
      </c>
      <c r="N987" s="9">
        <f>IF(ISNA(MATCH(978,'Transfer Engine'!$C$2:$C$1369,0)),"",INDEX('Compliance Database'!$N$2:$N$1369,MATCH(978,'Transfer Engine'!$C$2:$C$1369,0)))</f>
        <v/>
      </c>
      <c r="O987" s="8">
        <f>IF(ISNA(MATCH(978,'Transfer Engine'!$C$2:$C$1369,0)),"",HYPERLINK(INDEX('Compliance Database'!$O$2:$O$1369,MATCH(978,'Transfer Engine'!$C$2:$C$1369,0)),"Open PDF"))</f>
        <v/>
      </c>
    </row>
    <row r="988" ht="188" customHeight="1">
      <c r="A988" s="8">
        <f>IF(ISNA(MATCH(979,'Transfer Engine'!$C$2:$C$1369,0)),"",INDEX('Compliance Database'!$A$2:$A$1369,MATCH(979,'Transfer Engine'!$C$2:$C$1369,0)))</f>
        <v/>
      </c>
      <c r="B988" s="8">
        <f>IF(ISNA(MATCH(979,'Transfer Engine'!$C$2:$C$1369,0)),"",INDEX('Compliance Database'!$B$2:$B$1369,MATCH(979,'Transfer Engine'!$C$2:$C$1369,0)))</f>
        <v/>
      </c>
      <c r="C988" s="8">
        <f>IF(ISNA(MATCH(979,'Transfer Engine'!$C$2:$C$1369,0)),"",INDEX('Compliance Database'!$C$2:$C$1369,MATCH(979,'Transfer Engine'!$C$2:$C$1369,0)))</f>
        <v/>
      </c>
      <c r="D988" s="9">
        <f>IF(ISNA(MATCH(979,'Transfer Engine'!$C$2:$C$1369,0)),"",INDEX('Compliance Database'!$D$2:$D$1369,MATCH(979,'Transfer Engine'!$C$2:$C$1369,0)))</f>
        <v/>
      </c>
      <c r="E988" s="8">
        <f>IF(ISNA(MATCH(979,'Transfer Engine'!$C$2:$C$1369,0)),"",INDEX('Compliance Database'!$E$2:$E$1369,MATCH(979,'Transfer Engine'!$C$2:$C$1369,0)))</f>
        <v/>
      </c>
      <c r="F988" s="8">
        <f>IF(ISNA(MATCH(979,'Transfer Engine'!$C$2:$C$1369,0)),"",INDEX('Compliance Database'!$F$2:$F$1369,MATCH(979,'Transfer Engine'!$C$2:$C$1369,0)))</f>
        <v/>
      </c>
      <c r="G988" s="8">
        <f>IF(ISNA(MATCH(979,'Transfer Engine'!$C$2:$C$1369,0)),"",INDEX('Compliance Database'!$G$2:$G$1369,MATCH(979,'Transfer Engine'!$C$2:$C$1369,0)))</f>
        <v/>
      </c>
      <c r="H988" s="9">
        <f>IF(ISNA(MATCH(979,'Transfer Engine'!$C$2:$C$1369,0)),"",INDEX('Compliance Database'!$H$2:$H$1369,MATCH(979,'Transfer Engine'!$C$2:$C$1369,0)))</f>
        <v/>
      </c>
      <c r="I988" s="9">
        <f>IF(ISNA(MATCH(979,'Transfer Engine'!$C$2:$C$1369,0)),"",INDEX('Compliance Database'!$I$2:$I$1369,MATCH(979,'Transfer Engine'!$C$2:$C$1369,0)))</f>
        <v/>
      </c>
      <c r="J988" s="8">
        <f>IF(ISNA(MATCH(979,'Transfer Engine'!$C$2:$C$1369,0)),"",INDEX('Compliance Database'!$J$2:$J$1369,MATCH(979,'Transfer Engine'!$C$2:$C$1369,0)))</f>
        <v/>
      </c>
      <c r="K988" s="9">
        <f>IF(ISNA(MATCH(979,'Transfer Engine'!$C$2:$C$1369,0)),"",INDEX('Compliance Database'!$K$2:$K$1369,MATCH(979,'Transfer Engine'!$C$2:$C$1369,0)))</f>
        <v/>
      </c>
      <c r="L988" s="9">
        <f>IF(ISNA(MATCH(979,'Transfer Engine'!$C$2:$C$1369,0)),"",INDEX('Compliance Database'!$L$2:$L$1369,MATCH(979,'Transfer Engine'!$C$2:$C$1369,0)))</f>
        <v/>
      </c>
      <c r="M988" s="9">
        <f>IF(ISNA(MATCH(979,'Transfer Engine'!$C$2:$C$1369,0)),"",INDEX('Compliance Database'!$M$2:$M$1369,MATCH(979,'Transfer Engine'!$C$2:$C$1369,0)))</f>
        <v/>
      </c>
      <c r="N988" s="9">
        <f>IF(ISNA(MATCH(979,'Transfer Engine'!$C$2:$C$1369,0)),"",INDEX('Compliance Database'!$N$2:$N$1369,MATCH(979,'Transfer Engine'!$C$2:$C$1369,0)))</f>
        <v/>
      </c>
      <c r="O988" s="8">
        <f>IF(ISNA(MATCH(979,'Transfer Engine'!$C$2:$C$1369,0)),"",HYPERLINK(INDEX('Compliance Database'!$O$2:$O$1369,MATCH(979,'Transfer Engine'!$C$2:$C$1369,0)),"Open PDF"))</f>
        <v/>
      </c>
    </row>
    <row r="989" ht="188" customHeight="1">
      <c r="A989" s="8">
        <f>IF(ISNA(MATCH(980,'Transfer Engine'!$C$2:$C$1369,0)),"",INDEX('Compliance Database'!$A$2:$A$1369,MATCH(980,'Transfer Engine'!$C$2:$C$1369,0)))</f>
        <v/>
      </c>
      <c r="B989" s="8">
        <f>IF(ISNA(MATCH(980,'Transfer Engine'!$C$2:$C$1369,0)),"",INDEX('Compliance Database'!$B$2:$B$1369,MATCH(980,'Transfer Engine'!$C$2:$C$1369,0)))</f>
        <v/>
      </c>
      <c r="C989" s="8">
        <f>IF(ISNA(MATCH(980,'Transfer Engine'!$C$2:$C$1369,0)),"",INDEX('Compliance Database'!$C$2:$C$1369,MATCH(980,'Transfer Engine'!$C$2:$C$1369,0)))</f>
        <v/>
      </c>
      <c r="D989" s="9">
        <f>IF(ISNA(MATCH(980,'Transfer Engine'!$C$2:$C$1369,0)),"",INDEX('Compliance Database'!$D$2:$D$1369,MATCH(980,'Transfer Engine'!$C$2:$C$1369,0)))</f>
        <v/>
      </c>
      <c r="E989" s="8">
        <f>IF(ISNA(MATCH(980,'Transfer Engine'!$C$2:$C$1369,0)),"",INDEX('Compliance Database'!$E$2:$E$1369,MATCH(980,'Transfer Engine'!$C$2:$C$1369,0)))</f>
        <v/>
      </c>
      <c r="F989" s="8">
        <f>IF(ISNA(MATCH(980,'Transfer Engine'!$C$2:$C$1369,0)),"",INDEX('Compliance Database'!$F$2:$F$1369,MATCH(980,'Transfer Engine'!$C$2:$C$1369,0)))</f>
        <v/>
      </c>
      <c r="G989" s="8">
        <f>IF(ISNA(MATCH(980,'Transfer Engine'!$C$2:$C$1369,0)),"",INDEX('Compliance Database'!$G$2:$G$1369,MATCH(980,'Transfer Engine'!$C$2:$C$1369,0)))</f>
        <v/>
      </c>
      <c r="H989" s="9">
        <f>IF(ISNA(MATCH(980,'Transfer Engine'!$C$2:$C$1369,0)),"",INDEX('Compliance Database'!$H$2:$H$1369,MATCH(980,'Transfer Engine'!$C$2:$C$1369,0)))</f>
        <v/>
      </c>
      <c r="I989" s="9">
        <f>IF(ISNA(MATCH(980,'Transfer Engine'!$C$2:$C$1369,0)),"",INDEX('Compliance Database'!$I$2:$I$1369,MATCH(980,'Transfer Engine'!$C$2:$C$1369,0)))</f>
        <v/>
      </c>
      <c r="J989" s="8">
        <f>IF(ISNA(MATCH(980,'Transfer Engine'!$C$2:$C$1369,0)),"",INDEX('Compliance Database'!$J$2:$J$1369,MATCH(980,'Transfer Engine'!$C$2:$C$1369,0)))</f>
        <v/>
      </c>
      <c r="K989" s="9">
        <f>IF(ISNA(MATCH(980,'Transfer Engine'!$C$2:$C$1369,0)),"",INDEX('Compliance Database'!$K$2:$K$1369,MATCH(980,'Transfer Engine'!$C$2:$C$1369,0)))</f>
        <v/>
      </c>
      <c r="L989" s="9">
        <f>IF(ISNA(MATCH(980,'Transfer Engine'!$C$2:$C$1369,0)),"",INDEX('Compliance Database'!$L$2:$L$1369,MATCH(980,'Transfer Engine'!$C$2:$C$1369,0)))</f>
        <v/>
      </c>
      <c r="M989" s="9">
        <f>IF(ISNA(MATCH(980,'Transfer Engine'!$C$2:$C$1369,0)),"",INDEX('Compliance Database'!$M$2:$M$1369,MATCH(980,'Transfer Engine'!$C$2:$C$1369,0)))</f>
        <v/>
      </c>
      <c r="N989" s="9">
        <f>IF(ISNA(MATCH(980,'Transfer Engine'!$C$2:$C$1369,0)),"",INDEX('Compliance Database'!$N$2:$N$1369,MATCH(980,'Transfer Engine'!$C$2:$C$1369,0)))</f>
        <v/>
      </c>
      <c r="O989" s="8">
        <f>IF(ISNA(MATCH(980,'Transfer Engine'!$C$2:$C$1369,0)),"",HYPERLINK(INDEX('Compliance Database'!$O$2:$O$1369,MATCH(980,'Transfer Engine'!$C$2:$C$1369,0)),"Open PDF"))</f>
        <v/>
      </c>
    </row>
    <row r="990" ht="188" customHeight="1">
      <c r="A990" s="8">
        <f>IF(ISNA(MATCH(981,'Transfer Engine'!$C$2:$C$1369,0)),"",INDEX('Compliance Database'!$A$2:$A$1369,MATCH(981,'Transfer Engine'!$C$2:$C$1369,0)))</f>
        <v/>
      </c>
      <c r="B990" s="8">
        <f>IF(ISNA(MATCH(981,'Transfer Engine'!$C$2:$C$1369,0)),"",INDEX('Compliance Database'!$B$2:$B$1369,MATCH(981,'Transfer Engine'!$C$2:$C$1369,0)))</f>
        <v/>
      </c>
      <c r="C990" s="8">
        <f>IF(ISNA(MATCH(981,'Transfer Engine'!$C$2:$C$1369,0)),"",INDEX('Compliance Database'!$C$2:$C$1369,MATCH(981,'Transfer Engine'!$C$2:$C$1369,0)))</f>
        <v/>
      </c>
      <c r="D990" s="9">
        <f>IF(ISNA(MATCH(981,'Transfer Engine'!$C$2:$C$1369,0)),"",INDEX('Compliance Database'!$D$2:$D$1369,MATCH(981,'Transfer Engine'!$C$2:$C$1369,0)))</f>
        <v/>
      </c>
      <c r="E990" s="8">
        <f>IF(ISNA(MATCH(981,'Transfer Engine'!$C$2:$C$1369,0)),"",INDEX('Compliance Database'!$E$2:$E$1369,MATCH(981,'Transfer Engine'!$C$2:$C$1369,0)))</f>
        <v/>
      </c>
      <c r="F990" s="8">
        <f>IF(ISNA(MATCH(981,'Transfer Engine'!$C$2:$C$1369,0)),"",INDEX('Compliance Database'!$F$2:$F$1369,MATCH(981,'Transfer Engine'!$C$2:$C$1369,0)))</f>
        <v/>
      </c>
      <c r="G990" s="8">
        <f>IF(ISNA(MATCH(981,'Transfer Engine'!$C$2:$C$1369,0)),"",INDEX('Compliance Database'!$G$2:$G$1369,MATCH(981,'Transfer Engine'!$C$2:$C$1369,0)))</f>
        <v/>
      </c>
      <c r="H990" s="9">
        <f>IF(ISNA(MATCH(981,'Transfer Engine'!$C$2:$C$1369,0)),"",INDEX('Compliance Database'!$H$2:$H$1369,MATCH(981,'Transfer Engine'!$C$2:$C$1369,0)))</f>
        <v/>
      </c>
      <c r="I990" s="9">
        <f>IF(ISNA(MATCH(981,'Transfer Engine'!$C$2:$C$1369,0)),"",INDEX('Compliance Database'!$I$2:$I$1369,MATCH(981,'Transfer Engine'!$C$2:$C$1369,0)))</f>
        <v/>
      </c>
      <c r="J990" s="8">
        <f>IF(ISNA(MATCH(981,'Transfer Engine'!$C$2:$C$1369,0)),"",INDEX('Compliance Database'!$J$2:$J$1369,MATCH(981,'Transfer Engine'!$C$2:$C$1369,0)))</f>
        <v/>
      </c>
      <c r="K990" s="9">
        <f>IF(ISNA(MATCH(981,'Transfer Engine'!$C$2:$C$1369,0)),"",INDEX('Compliance Database'!$K$2:$K$1369,MATCH(981,'Transfer Engine'!$C$2:$C$1369,0)))</f>
        <v/>
      </c>
      <c r="L990" s="9">
        <f>IF(ISNA(MATCH(981,'Transfer Engine'!$C$2:$C$1369,0)),"",INDEX('Compliance Database'!$L$2:$L$1369,MATCH(981,'Transfer Engine'!$C$2:$C$1369,0)))</f>
        <v/>
      </c>
      <c r="M990" s="9">
        <f>IF(ISNA(MATCH(981,'Transfer Engine'!$C$2:$C$1369,0)),"",INDEX('Compliance Database'!$M$2:$M$1369,MATCH(981,'Transfer Engine'!$C$2:$C$1369,0)))</f>
        <v/>
      </c>
      <c r="N990" s="9">
        <f>IF(ISNA(MATCH(981,'Transfer Engine'!$C$2:$C$1369,0)),"",INDEX('Compliance Database'!$N$2:$N$1369,MATCH(981,'Transfer Engine'!$C$2:$C$1369,0)))</f>
        <v/>
      </c>
      <c r="O990" s="8">
        <f>IF(ISNA(MATCH(981,'Transfer Engine'!$C$2:$C$1369,0)),"",HYPERLINK(INDEX('Compliance Database'!$O$2:$O$1369,MATCH(981,'Transfer Engine'!$C$2:$C$1369,0)),"Open PDF"))</f>
        <v/>
      </c>
    </row>
    <row r="991" ht="188" customHeight="1">
      <c r="A991" s="8">
        <f>IF(ISNA(MATCH(982,'Transfer Engine'!$C$2:$C$1369,0)),"",INDEX('Compliance Database'!$A$2:$A$1369,MATCH(982,'Transfer Engine'!$C$2:$C$1369,0)))</f>
        <v/>
      </c>
      <c r="B991" s="8">
        <f>IF(ISNA(MATCH(982,'Transfer Engine'!$C$2:$C$1369,0)),"",INDEX('Compliance Database'!$B$2:$B$1369,MATCH(982,'Transfer Engine'!$C$2:$C$1369,0)))</f>
        <v/>
      </c>
      <c r="C991" s="8">
        <f>IF(ISNA(MATCH(982,'Transfer Engine'!$C$2:$C$1369,0)),"",INDEX('Compliance Database'!$C$2:$C$1369,MATCH(982,'Transfer Engine'!$C$2:$C$1369,0)))</f>
        <v/>
      </c>
      <c r="D991" s="9">
        <f>IF(ISNA(MATCH(982,'Transfer Engine'!$C$2:$C$1369,0)),"",INDEX('Compliance Database'!$D$2:$D$1369,MATCH(982,'Transfer Engine'!$C$2:$C$1369,0)))</f>
        <v/>
      </c>
      <c r="E991" s="8">
        <f>IF(ISNA(MATCH(982,'Transfer Engine'!$C$2:$C$1369,0)),"",INDEX('Compliance Database'!$E$2:$E$1369,MATCH(982,'Transfer Engine'!$C$2:$C$1369,0)))</f>
        <v/>
      </c>
      <c r="F991" s="8">
        <f>IF(ISNA(MATCH(982,'Transfer Engine'!$C$2:$C$1369,0)),"",INDEX('Compliance Database'!$F$2:$F$1369,MATCH(982,'Transfer Engine'!$C$2:$C$1369,0)))</f>
        <v/>
      </c>
      <c r="G991" s="8">
        <f>IF(ISNA(MATCH(982,'Transfer Engine'!$C$2:$C$1369,0)),"",INDEX('Compliance Database'!$G$2:$G$1369,MATCH(982,'Transfer Engine'!$C$2:$C$1369,0)))</f>
        <v/>
      </c>
      <c r="H991" s="9">
        <f>IF(ISNA(MATCH(982,'Transfer Engine'!$C$2:$C$1369,0)),"",INDEX('Compliance Database'!$H$2:$H$1369,MATCH(982,'Transfer Engine'!$C$2:$C$1369,0)))</f>
        <v/>
      </c>
      <c r="I991" s="9">
        <f>IF(ISNA(MATCH(982,'Transfer Engine'!$C$2:$C$1369,0)),"",INDEX('Compliance Database'!$I$2:$I$1369,MATCH(982,'Transfer Engine'!$C$2:$C$1369,0)))</f>
        <v/>
      </c>
      <c r="J991" s="8">
        <f>IF(ISNA(MATCH(982,'Transfer Engine'!$C$2:$C$1369,0)),"",INDEX('Compliance Database'!$J$2:$J$1369,MATCH(982,'Transfer Engine'!$C$2:$C$1369,0)))</f>
        <v/>
      </c>
      <c r="K991" s="9">
        <f>IF(ISNA(MATCH(982,'Transfer Engine'!$C$2:$C$1369,0)),"",INDEX('Compliance Database'!$K$2:$K$1369,MATCH(982,'Transfer Engine'!$C$2:$C$1369,0)))</f>
        <v/>
      </c>
      <c r="L991" s="9">
        <f>IF(ISNA(MATCH(982,'Transfer Engine'!$C$2:$C$1369,0)),"",INDEX('Compliance Database'!$L$2:$L$1369,MATCH(982,'Transfer Engine'!$C$2:$C$1369,0)))</f>
        <v/>
      </c>
      <c r="M991" s="9">
        <f>IF(ISNA(MATCH(982,'Transfer Engine'!$C$2:$C$1369,0)),"",INDEX('Compliance Database'!$M$2:$M$1369,MATCH(982,'Transfer Engine'!$C$2:$C$1369,0)))</f>
        <v/>
      </c>
      <c r="N991" s="9">
        <f>IF(ISNA(MATCH(982,'Transfer Engine'!$C$2:$C$1369,0)),"",INDEX('Compliance Database'!$N$2:$N$1369,MATCH(982,'Transfer Engine'!$C$2:$C$1369,0)))</f>
        <v/>
      </c>
      <c r="O991" s="8">
        <f>IF(ISNA(MATCH(982,'Transfer Engine'!$C$2:$C$1369,0)),"",HYPERLINK(INDEX('Compliance Database'!$O$2:$O$1369,MATCH(982,'Transfer Engine'!$C$2:$C$1369,0)),"Open PDF"))</f>
        <v/>
      </c>
    </row>
    <row r="992" ht="188" customHeight="1">
      <c r="A992" s="8">
        <f>IF(ISNA(MATCH(983,'Transfer Engine'!$C$2:$C$1369,0)),"",INDEX('Compliance Database'!$A$2:$A$1369,MATCH(983,'Transfer Engine'!$C$2:$C$1369,0)))</f>
        <v/>
      </c>
      <c r="B992" s="8">
        <f>IF(ISNA(MATCH(983,'Transfer Engine'!$C$2:$C$1369,0)),"",INDEX('Compliance Database'!$B$2:$B$1369,MATCH(983,'Transfer Engine'!$C$2:$C$1369,0)))</f>
        <v/>
      </c>
      <c r="C992" s="8">
        <f>IF(ISNA(MATCH(983,'Transfer Engine'!$C$2:$C$1369,0)),"",INDEX('Compliance Database'!$C$2:$C$1369,MATCH(983,'Transfer Engine'!$C$2:$C$1369,0)))</f>
        <v/>
      </c>
      <c r="D992" s="9">
        <f>IF(ISNA(MATCH(983,'Transfer Engine'!$C$2:$C$1369,0)),"",INDEX('Compliance Database'!$D$2:$D$1369,MATCH(983,'Transfer Engine'!$C$2:$C$1369,0)))</f>
        <v/>
      </c>
      <c r="E992" s="8">
        <f>IF(ISNA(MATCH(983,'Transfer Engine'!$C$2:$C$1369,0)),"",INDEX('Compliance Database'!$E$2:$E$1369,MATCH(983,'Transfer Engine'!$C$2:$C$1369,0)))</f>
        <v/>
      </c>
      <c r="F992" s="8">
        <f>IF(ISNA(MATCH(983,'Transfer Engine'!$C$2:$C$1369,0)),"",INDEX('Compliance Database'!$F$2:$F$1369,MATCH(983,'Transfer Engine'!$C$2:$C$1369,0)))</f>
        <v/>
      </c>
      <c r="G992" s="8">
        <f>IF(ISNA(MATCH(983,'Transfer Engine'!$C$2:$C$1369,0)),"",INDEX('Compliance Database'!$G$2:$G$1369,MATCH(983,'Transfer Engine'!$C$2:$C$1369,0)))</f>
        <v/>
      </c>
      <c r="H992" s="9">
        <f>IF(ISNA(MATCH(983,'Transfer Engine'!$C$2:$C$1369,0)),"",INDEX('Compliance Database'!$H$2:$H$1369,MATCH(983,'Transfer Engine'!$C$2:$C$1369,0)))</f>
        <v/>
      </c>
      <c r="I992" s="9">
        <f>IF(ISNA(MATCH(983,'Transfer Engine'!$C$2:$C$1369,0)),"",INDEX('Compliance Database'!$I$2:$I$1369,MATCH(983,'Transfer Engine'!$C$2:$C$1369,0)))</f>
        <v/>
      </c>
      <c r="J992" s="8">
        <f>IF(ISNA(MATCH(983,'Transfer Engine'!$C$2:$C$1369,0)),"",INDEX('Compliance Database'!$J$2:$J$1369,MATCH(983,'Transfer Engine'!$C$2:$C$1369,0)))</f>
        <v/>
      </c>
      <c r="K992" s="9">
        <f>IF(ISNA(MATCH(983,'Transfer Engine'!$C$2:$C$1369,0)),"",INDEX('Compliance Database'!$K$2:$K$1369,MATCH(983,'Transfer Engine'!$C$2:$C$1369,0)))</f>
        <v/>
      </c>
      <c r="L992" s="9">
        <f>IF(ISNA(MATCH(983,'Transfer Engine'!$C$2:$C$1369,0)),"",INDEX('Compliance Database'!$L$2:$L$1369,MATCH(983,'Transfer Engine'!$C$2:$C$1369,0)))</f>
        <v/>
      </c>
      <c r="M992" s="9">
        <f>IF(ISNA(MATCH(983,'Transfer Engine'!$C$2:$C$1369,0)),"",INDEX('Compliance Database'!$M$2:$M$1369,MATCH(983,'Transfer Engine'!$C$2:$C$1369,0)))</f>
        <v/>
      </c>
      <c r="N992" s="9">
        <f>IF(ISNA(MATCH(983,'Transfer Engine'!$C$2:$C$1369,0)),"",INDEX('Compliance Database'!$N$2:$N$1369,MATCH(983,'Transfer Engine'!$C$2:$C$1369,0)))</f>
        <v/>
      </c>
      <c r="O992" s="8">
        <f>IF(ISNA(MATCH(983,'Transfer Engine'!$C$2:$C$1369,0)),"",HYPERLINK(INDEX('Compliance Database'!$O$2:$O$1369,MATCH(983,'Transfer Engine'!$C$2:$C$1369,0)),"Open PDF"))</f>
        <v/>
      </c>
    </row>
    <row r="993" ht="188" customHeight="1">
      <c r="A993" s="8">
        <f>IF(ISNA(MATCH(984,'Transfer Engine'!$C$2:$C$1369,0)),"",INDEX('Compliance Database'!$A$2:$A$1369,MATCH(984,'Transfer Engine'!$C$2:$C$1369,0)))</f>
        <v/>
      </c>
      <c r="B993" s="8">
        <f>IF(ISNA(MATCH(984,'Transfer Engine'!$C$2:$C$1369,0)),"",INDEX('Compliance Database'!$B$2:$B$1369,MATCH(984,'Transfer Engine'!$C$2:$C$1369,0)))</f>
        <v/>
      </c>
      <c r="C993" s="8">
        <f>IF(ISNA(MATCH(984,'Transfer Engine'!$C$2:$C$1369,0)),"",INDEX('Compliance Database'!$C$2:$C$1369,MATCH(984,'Transfer Engine'!$C$2:$C$1369,0)))</f>
        <v/>
      </c>
      <c r="D993" s="9">
        <f>IF(ISNA(MATCH(984,'Transfer Engine'!$C$2:$C$1369,0)),"",INDEX('Compliance Database'!$D$2:$D$1369,MATCH(984,'Transfer Engine'!$C$2:$C$1369,0)))</f>
        <v/>
      </c>
      <c r="E993" s="8">
        <f>IF(ISNA(MATCH(984,'Transfer Engine'!$C$2:$C$1369,0)),"",INDEX('Compliance Database'!$E$2:$E$1369,MATCH(984,'Transfer Engine'!$C$2:$C$1369,0)))</f>
        <v/>
      </c>
      <c r="F993" s="8">
        <f>IF(ISNA(MATCH(984,'Transfer Engine'!$C$2:$C$1369,0)),"",INDEX('Compliance Database'!$F$2:$F$1369,MATCH(984,'Transfer Engine'!$C$2:$C$1369,0)))</f>
        <v/>
      </c>
      <c r="G993" s="8">
        <f>IF(ISNA(MATCH(984,'Transfer Engine'!$C$2:$C$1369,0)),"",INDEX('Compliance Database'!$G$2:$G$1369,MATCH(984,'Transfer Engine'!$C$2:$C$1369,0)))</f>
        <v/>
      </c>
      <c r="H993" s="9">
        <f>IF(ISNA(MATCH(984,'Transfer Engine'!$C$2:$C$1369,0)),"",INDEX('Compliance Database'!$H$2:$H$1369,MATCH(984,'Transfer Engine'!$C$2:$C$1369,0)))</f>
        <v/>
      </c>
      <c r="I993" s="9">
        <f>IF(ISNA(MATCH(984,'Transfer Engine'!$C$2:$C$1369,0)),"",INDEX('Compliance Database'!$I$2:$I$1369,MATCH(984,'Transfer Engine'!$C$2:$C$1369,0)))</f>
        <v/>
      </c>
      <c r="J993" s="8">
        <f>IF(ISNA(MATCH(984,'Transfer Engine'!$C$2:$C$1369,0)),"",INDEX('Compliance Database'!$J$2:$J$1369,MATCH(984,'Transfer Engine'!$C$2:$C$1369,0)))</f>
        <v/>
      </c>
      <c r="K993" s="9">
        <f>IF(ISNA(MATCH(984,'Transfer Engine'!$C$2:$C$1369,0)),"",INDEX('Compliance Database'!$K$2:$K$1369,MATCH(984,'Transfer Engine'!$C$2:$C$1369,0)))</f>
        <v/>
      </c>
      <c r="L993" s="9">
        <f>IF(ISNA(MATCH(984,'Transfer Engine'!$C$2:$C$1369,0)),"",INDEX('Compliance Database'!$L$2:$L$1369,MATCH(984,'Transfer Engine'!$C$2:$C$1369,0)))</f>
        <v/>
      </c>
      <c r="M993" s="9">
        <f>IF(ISNA(MATCH(984,'Transfer Engine'!$C$2:$C$1369,0)),"",INDEX('Compliance Database'!$M$2:$M$1369,MATCH(984,'Transfer Engine'!$C$2:$C$1369,0)))</f>
        <v/>
      </c>
      <c r="N993" s="9">
        <f>IF(ISNA(MATCH(984,'Transfer Engine'!$C$2:$C$1369,0)),"",INDEX('Compliance Database'!$N$2:$N$1369,MATCH(984,'Transfer Engine'!$C$2:$C$1369,0)))</f>
        <v/>
      </c>
      <c r="O993" s="8">
        <f>IF(ISNA(MATCH(984,'Transfer Engine'!$C$2:$C$1369,0)),"",HYPERLINK(INDEX('Compliance Database'!$O$2:$O$1369,MATCH(984,'Transfer Engine'!$C$2:$C$1369,0)),"Open PDF"))</f>
        <v/>
      </c>
    </row>
    <row r="994" ht="188" customHeight="1">
      <c r="A994" s="8">
        <f>IF(ISNA(MATCH(985,'Transfer Engine'!$C$2:$C$1369,0)),"",INDEX('Compliance Database'!$A$2:$A$1369,MATCH(985,'Transfer Engine'!$C$2:$C$1369,0)))</f>
        <v/>
      </c>
      <c r="B994" s="8">
        <f>IF(ISNA(MATCH(985,'Transfer Engine'!$C$2:$C$1369,0)),"",INDEX('Compliance Database'!$B$2:$B$1369,MATCH(985,'Transfer Engine'!$C$2:$C$1369,0)))</f>
        <v/>
      </c>
      <c r="C994" s="8">
        <f>IF(ISNA(MATCH(985,'Transfer Engine'!$C$2:$C$1369,0)),"",INDEX('Compliance Database'!$C$2:$C$1369,MATCH(985,'Transfer Engine'!$C$2:$C$1369,0)))</f>
        <v/>
      </c>
      <c r="D994" s="9">
        <f>IF(ISNA(MATCH(985,'Transfer Engine'!$C$2:$C$1369,0)),"",INDEX('Compliance Database'!$D$2:$D$1369,MATCH(985,'Transfer Engine'!$C$2:$C$1369,0)))</f>
        <v/>
      </c>
      <c r="E994" s="8">
        <f>IF(ISNA(MATCH(985,'Transfer Engine'!$C$2:$C$1369,0)),"",INDEX('Compliance Database'!$E$2:$E$1369,MATCH(985,'Transfer Engine'!$C$2:$C$1369,0)))</f>
        <v/>
      </c>
      <c r="F994" s="8">
        <f>IF(ISNA(MATCH(985,'Transfer Engine'!$C$2:$C$1369,0)),"",INDEX('Compliance Database'!$F$2:$F$1369,MATCH(985,'Transfer Engine'!$C$2:$C$1369,0)))</f>
        <v/>
      </c>
      <c r="G994" s="8">
        <f>IF(ISNA(MATCH(985,'Transfer Engine'!$C$2:$C$1369,0)),"",INDEX('Compliance Database'!$G$2:$G$1369,MATCH(985,'Transfer Engine'!$C$2:$C$1369,0)))</f>
        <v/>
      </c>
      <c r="H994" s="9">
        <f>IF(ISNA(MATCH(985,'Transfer Engine'!$C$2:$C$1369,0)),"",INDEX('Compliance Database'!$H$2:$H$1369,MATCH(985,'Transfer Engine'!$C$2:$C$1369,0)))</f>
        <v/>
      </c>
      <c r="I994" s="9">
        <f>IF(ISNA(MATCH(985,'Transfer Engine'!$C$2:$C$1369,0)),"",INDEX('Compliance Database'!$I$2:$I$1369,MATCH(985,'Transfer Engine'!$C$2:$C$1369,0)))</f>
        <v/>
      </c>
      <c r="J994" s="8">
        <f>IF(ISNA(MATCH(985,'Transfer Engine'!$C$2:$C$1369,0)),"",INDEX('Compliance Database'!$J$2:$J$1369,MATCH(985,'Transfer Engine'!$C$2:$C$1369,0)))</f>
        <v/>
      </c>
      <c r="K994" s="9">
        <f>IF(ISNA(MATCH(985,'Transfer Engine'!$C$2:$C$1369,0)),"",INDEX('Compliance Database'!$K$2:$K$1369,MATCH(985,'Transfer Engine'!$C$2:$C$1369,0)))</f>
        <v/>
      </c>
      <c r="L994" s="9">
        <f>IF(ISNA(MATCH(985,'Transfer Engine'!$C$2:$C$1369,0)),"",INDEX('Compliance Database'!$L$2:$L$1369,MATCH(985,'Transfer Engine'!$C$2:$C$1369,0)))</f>
        <v/>
      </c>
      <c r="M994" s="9">
        <f>IF(ISNA(MATCH(985,'Transfer Engine'!$C$2:$C$1369,0)),"",INDEX('Compliance Database'!$M$2:$M$1369,MATCH(985,'Transfer Engine'!$C$2:$C$1369,0)))</f>
        <v/>
      </c>
      <c r="N994" s="9">
        <f>IF(ISNA(MATCH(985,'Transfer Engine'!$C$2:$C$1369,0)),"",INDEX('Compliance Database'!$N$2:$N$1369,MATCH(985,'Transfer Engine'!$C$2:$C$1369,0)))</f>
        <v/>
      </c>
      <c r="O994" s="8">
        <f>IF(ISNA(MATCH(985,'Transfer Engine'!$C$2:$C$1369,0)),"",HYPERLINK(INDEX('Compliance Database'!$O$2:$O$1369,MATCH(985,'Transfer Engine'!$C$2:$C$1369,0)),"Open PDF"))</f>
        <v/>
      </c>
    </row>
    <row r="995" ht="188" customHeight="1">
      <c r="A995" s="8">
        <f>IF(ISNA(MATCH(986,'Transfer Engine'!$C$2:$C$1369,0)),"",INDEX('Compliance Database'!$A$2:$A$1369,MATCH(986,'Transfer Engine'!$C$2:$C$1369,0)))</f>
        <v/>
      </c>
      <c r="B995" s="8">
        <f>IF(ISNA(MATCH(986,'Transfer Engine'!$C$2:$C$1369,0)),"",INDEX('Compliance Database'!$B$2:$B$1369,MATCH(986,'Transfer Engine'!$C$2:$C$1369,0)))</f>
        <v/>
      </c>
      <c r="C995" s="8">
        <f>IF(ISNA(MATCH(986,'Transfer Engine'!$C$2:$C$1369,0)),"",INDEX('Compliance Database'!$C$2:$C$1369,MATCH(986,'Transfer Engine'!$C$2:$C$1369,0)))</f>
        <v/>
      </c>
      <c r="D995" s="9">
        <f>IF(ISNA(MATCH(986,'Transfer Engine'!$C$2:$C$1369,0)),"",INDEX('Compliance Database'!$D$2:$D$1369,MATCH(986,'Transfer Engine'!$C$2:$C$1369,0)))</f>
        <v/>
      </c>
      <c r="E995" s="8">
        <f>IF(ISNA(MATCH(986,'Transfer Engine'!$C$2:$C$1369,0)),"",INDEX('Compliance Database'!$E$2:$E$1369,MATCH(986,'Transfer Engine'!$C$2:$C$1369,0)))</f>
        <v/>
      </c>
      <c r="F995" s="8">
        <f>IF(ISNA(MATCH(986,'Transfer Engine'!$C$2:$C$1369,0)),"",INDEX('Compliance Database'!$F$2:$F$1369,MATCH(986,'Transfer Engine'!$C$2:$C$1369,0)))</f>
        <v/>
      </c>
      <c r="G995" s="8">
        <f>IF(ISNA(MATCH(986,'Transfer Engine'!$C$2:$C$1369,0)),"",INDEX('Compliance Database'!$G$2:$G$1369,MATCH(986,'Transfer Engine'!$C$2:$C$1369,0)))</f>
        <v/>
      </c>
      <c r="H995" s="9">
        <f>IF(ISNA(MATCH(986,'Transfer Engine'!$C$2:$C$1369,0)),"",INDEX('Compliance Database'!$H$2:$H$1369,MATCH(986,'Transfer Engine'!$C$2:$C$1369,0)))</f>
        <v/>
      </c>
      <c r="I995" s="9">
        <f>IF(ISNA(MATCH(986,'Transfer Engine'!$C$2:$C$1369,0)),"",INDEX('Compliance Database'!$I$2:$I$1369,MATCH(986,'Transfer Engine'!$C$2:$C$1369,0)))</f>
        <v/>
      </c>
      <c r="J995" s="8">
        <f>IF(ISNA(MATCH(986,'Transfer Engine'!$C$2:$C$1369,0)),"",INDEX('Compliance Database'!$J$2:$J$1369,MATCH(986,'Transfer Engine'!$C$2:$C$1369,0)))</f>
        <v/>
      </c>
      <c r="K995" s="9">
        <f>IF(ISNA(MATCH(986,'Transfer Engine'!$C$2:$C$1369,0)),"",INDEX('Compliance Database'!$K$2:$K$1369,MATCH(986,'Transfer Engine'!$C$2:$C$1369,0)))</f>
        <v/>
      </c>
      <c r="L995" s="9">
        <f>IF(ISNA(MATCH(986,'Transfer Engine'!$C$2:$C$1369,0)),"",INDEX('Compliance Database'!$L$2:$L$1369,MATCH(986,'Transfer Engine'!$C$2:$C$1369,0)))</f>
        <v/>
      </c>
      <c r="M995" s="9">
        <f>IF(ISNA(MATCH(986,'Transfer Engine'!$C$2:$C$1369,0)),"",INDEX('Compliance Database'!$M$2:$M$1369,MATCH(986,'Transfer Engine'!$C$2:$C$1369,0)))</f>
        <v/>
      </c>
      <c r="N995" s="9">
        <f>IF(ISNA(MATCH(986,'Transfer Engine'!$C$2:$C$1369,0)),"",INDEX('Compliance Database'!$N$2:$N$1369,MATCH(986,'Transfer Engine'!$C$2:$C$1369,0)))</f>
        <v/>
      </c>
      <c r="O995" s="8">
        <f>IF(ISNA(MATCH(986,'Transfer Engine'!$C$2:$C$1369,0)),"",HYPERLINK(INDEX('Compliance Database'!$O$2:$O$1369,MATCH(986,'Transfer Engine'!$C$2:$C$1369,0)),"Open PDF"))</f>
        <v/>
      </c>
    </row>
    <row r="996" ht="188" customHeight="1">
      <c r="A996" s="8">
        <f>IF(ISNA(MATCH(987,'Transfer Engine'!$C$2:$C$1369,0)),"",INDEX('Compliance Database'!$A$2:$A$1369,MATCH(987,'Transfer Engine'!$C$2:$C$1369,0)))</f>
        <v/>
      </c>
      <c r="B996" s="8">
        <f>IF(ISNA(MATCH(987,'Transfer Engine'!$C$2:$C$1369,0)),"",INDEX('Compliance Database'!$B$2:$B$1369,MATCH(987,'Transfer Engine'!$C$2:$C$1369,0)))</f>
        <v/>
      </c>
      <c r="C996" s="8">
        <f>IF(ISNA(MATCH(987,'Transfer Engine'!$C$2:$C$1369,0)),"",INDEX('Compliance Database'!$C$2:$C$1369,MATCH(987,'Transfer Engine'!$C$2:$C$1369,0)))</f>
        <v/>
      </c>
      <c r="D996" s="9">
        <f>IF(ISNA(MATCH(987,'Transfer Engine'!$C$2:$C$1369,0)),"",INDEX('Compliance Database'!$D$2:$D$1369,MATCH(987,'Transfer Engine'!$C$2:$C$1369,0)))</f>
        <v/>
      </c>
      <c r="E996" s="8">
        <f>IF(ISNA(MATCH(987,'Transfer Engine'!$C$2:$C$1369,0)),"",INDEX('Compliance Database'!$E$2:$E$1369,MATCH(987,'Transfer Engine'!$C$2:$C$1369,0)))</f>
        <v/>
      </c>
      <c r="F996" s="8">
        <f>IF(ISNA(MATCH(987,'Transfer Engine'!$C$2:$C$1369,0)),"",INDEX('Compliance Database'!$F$2:$F$1369,MATCH(987,'Transfer Engine'!$C$2:$C$1369,0)))</f>
        <v/>
      </c>
      <c r="G996" s="8">
        <f>IF(ISNA(MATCH(987,'Transfer Engine'!$C$2:$C$1369,0)),"",INDEX('Compliance Database'!$G$2:$G$1369,MATCH(987,'Transfer Engine'!$C$2:$C$1369,0)))</f>
        <v/>
      </c>
      <c r="H996" s="9">
        <f>IF(ISNA(MATCH(987,'Transfer Engine'!$C$2:$C$1369,0)),"",INDEX('Compliance Database'!$H$2:$H$1369,MATCH(987,'Transfer Engine'!$C$2:$C$1369,0)))</f>
        <v/>
      </c>
      <c r="I996" s="9">
        <f>IF(ISNA(MATCH(987,'Transfer Engine'!$C$2:$C$1369,0)),"",INDEX('Compliance Database'!$I$2:$I$1369,MATCH(987,'Transfer Engine'!$C$2:$C$1369,0)))</f>
        <v/>
      </c>
      <c r="J996" s="8">
        <f>IF(ISNA(MATCH(987,'Transfer Engine'!$C$2:$C$1369,0)),"",INDEX('Compliance Database'!$J$2:$J$1369,MATCH(987,'Transfer Engine'!$C$2:$C$1369,0)))</f>
        <v/>
      </c>
      <c r="K996" s="9">
        <f>IF(ISNA(MATCH(987,'Transfer Engine'!$C$2:$C$1369,0)),"",INDEX('Compliance Database'!$K$2:$K$1369,MATCH(987,'Transfer Engine'!$C$2:$C$1369,0)))</f>
        <v/>
      </c>
      <c r="L996" s="9">
        <f>IF(ISNA(MATCH(987,'Transfer Engine'!$C$2:$C$1369,0)),"",INDEX('Compliance Database'!$L$2:$L$1369,MATCH(987,'Transfer Engine'!$C$2:$C$1369,0)))</f>
        <v/>
      </c>
      <c r="M996" s="9">
        <f>IF(ISNA(MATCH(987,'Transfer Engine'!$C$2:$C$1369,0)),"",INDEX('Compliance Database'!$M$2:$M$1369,MATCH(987,'Transfer Engine'!$C$2:$C$1369,0)))</f>
        <v/>
      </c>
      <c r="N996" s="9">
        <f>IF(ISNA(MATCH(987,'Transfer Engine'!$C$2:$C$1369,0)),"",INDEX('Compliance Database'!$N$2:$N$1369,MATCH(987,'Transfer Engine'!$C$2:$C$1369,0)))</f>
        <v/>
      </c>
      <c r="O996" s="8">
        <f>IF(ISNA(MATCH(987,'Transfer Engine'!$C$2:$C$1369,0)),"",HYPERLINK(INDEX('Compliance Database'!$O$2:$O$1369,MATCH(987,'Transfer Engine'!$C$2:$C$1369,0)),"Open PDF"))</f>
        <v/>
      </c>
    </row>
    <row r="997" ht="188" customHeight="1">
      <c r="A997" s="8">
        <f>IF(ISNA(MATCH(988,'Transfer Engine'!$C$2:$C$1369,0)),"",INDEX('Compliance Database'!$A$2:$A$1369,MATCH(988,'Transfer Engine'!$C$2:$C$1369,0)))</f>
        <v/>
      </c>
      <c r="B997" s="8">
        <f>IF(ISNA(MATCH(988,'Transfer Engine'!$C$2:$C$1369,0)),"",INDEX('Compliance Database'!$B$2:$B$1369,MATCH(988,'Transfer Engine'!$C$2:$C$1369,0)))</f>
        <v/>
      </c>
      <c r="C997" s="8">
        <f>IF(ISNA(MATCH(988,'Transfer Engine'!$C$2:$C$1369,0)),"",INDEX('Compliance Database'!$C$2:$C$1369,MATCH(988,'Transfer Engine'!$C$2:$C$1369,0)))</f>
        <v/>
      </c>
      <c r="D997" s="9">
        <f>IF(ISNA(MATCH(988,'Transfer Engine'!$C$2:$C$1369,0)),"",INDEX('Compliance Database'!$D$2:$D$1369,MATCH(988,'Transfer Engine'!$C$2:$C$1369,0)))</f>
        <v/>
      </c>
      <c r="E997" s="8">
        <f>IF(ISNA(MATCH(988,'Transfer Engine'!$C$2:$C$1369,0)),"",INDEX('Compliance Database'!$E$2:$E$1369,MATCH(988,'Transfer Engine'!$C$2:$C$1369,0)))</f>
        <v/>
      </c>
      <c r="F997" s="8">
        <f>IF(ISNA(MATCH(988,'Transfer Engine'!$C$2:$C$1369,0)),"",INDEX('Compliance Database'!$F$2:$F$1369,MATCH(988,'Transfer Engine'!$C$2:$C$1369,0)))</f>
        <v/>
      </c>
      <c r="G997" s="8">
        <f>IF(ISNA(MATCH(988,'Transfer Engine'!$C$2:$C$1369,0)),"",INDEX('Compliance Database'!$G$2:$G$1369,MATCH(988,'Transfer Engine'!$C$2:$C$1369,0)))</f>
        <v/>
      </c>
      <c r="H997" s="9">
        <f>IF(ISNA(MATCH(988,'Transfer Engine'!$C$2:$C$1369,0)),"",INDEX('Compliance Database'!$H$2:$H$1369,MATCH(988,'Transfer Engine'!$C$2:$C$1369,0)))</f>
        <v/>
      </c>
      <c r="I997" s="9">
        <f>IF(ISNA(MATCH(988,'Transfer Engine'!$C$2:$C$1369,0)),"",INDEX('Compliance Database'!$I$2:$I$1369,MATCH(988,'Transfer Engine'!$C$2:$C$1369,0)))</f>
        <v/>
      </c>
      <c r="J997" s="8">
        <f>IF(ISNA(MATCH(988,'Transfer Engine'!$C$2:$C$1369,0)),"",INDEX('Compliance Database'!$J$2:$J$1369,MATCH(988,'Transfer Engine'!$C$2:$C$1369,0)))</f>
        <v/>
      </c>
      <c r="K997" s="9">
        <f>IF(ISNA(MATCH(988,'Transfer Engine'!$C$2:$C$1369,0)),"",INDEX('Compliance Database'!$K$2:$K$1369,MATCH(988,'Transfer Engine'!$C$2:$C$1369,0)))</f>
        <v/>
      </c>
      <c r="L997" s="9">
        <f>IF(ISNA(MATCH(988,'Transfer Engine'!$C$2:$C$1369,0)),"",INDEX('Compliance Database'!$L$2:$L$1369,MATCH(988,'Transfer Engine'!$C$2:$C$1369,0)))</f>
        <v/>
      </c>
      <c r="M997" s="9">
        <f>IF(ISNA(MATCH(988,'Transfer Engine'!$C$2:$C$1369,0)),"",INDEX('Compliance Database'!$M$2:$M$1369,MATCH(988,'Transfer Engine'!$C$2:$C$1369,0)))</f>
        <v/>
      </c>
      <c r="N997" s="9">
        <f>IF(ISNA(MATCH(988,'Transfer Engine'!$C$2:$C$1369,0)),"",INDEX('Compliance Database'!$N$2:$N$1369,MATCH(988,'Transfer Engine'!$C$2:$C$1369,0)))</f>
        <v/>
      </c>
      <c r="O997" s="8">
        <f>IF(ISNA(MATCH(988,'Transfer Engine'!$C$2:$C$1369,0)),"",HYPERLINK(INDEX('Compliance Database'!$O$2:$O$1369,MATCH(988,'Transfer Engine'!$C$2:$C$1369,0)),"Open PDF"))</f>
        <v/>
      </c>
    </row>
    <row r="998" ht="188" customHeight="1">
      <c r="A998" s="8">
        <f>IF(ISNA(MATCH(989,'Transfer Engine'!$C$2:$C$1369,0)),"",INDEX('Compliance Database'!$A$2:$A$1369,MATCH(989,'Transfer Engine'!$C$2:$C$1369,0)))</f>
        <v/>
      </c>
      <c r="B998" s="8">
        <f>IF(ISNA(MATCH(989,'Transfer Engine'!$C$2:$C$1369,0)),"",INDEX('Compliance Database'!$B$2:$B$1369,MATCH(989,'Transfer Engine'!$C$2:$C$1369,0)))</f>
        <v/>
      </c>
      <c r="C998" s="8">
        <f>IF(ISNA(MATCH(989,'Transfer Engine'!$C$2:$C$1369,0)),"",INDEX('Compliance Database'!$C$2:$C$1369,MATCH(989,'Transfer Engine'!$C$2:$C$1369,0)))</f>
        <v/>
      </c>
      <c r="D998" s="9">
        <f>IF(ISNA(MATCH(989,'Transfer Engine'!$C$2:$C$1369,0)),"",INDEX('Compliance Database'!$D$2:$D$1369,MATCH(989,'Transfer Engine'!$C$2:$C$1369,0)))</f>
        <v/>
      </c>
      <c r="E998" s="8">
        <f>IF(ISNA(MATCH(989,'Transfer Engine'!$C$2:$C$1369,0)),"",INDEX('Compliance Database'!$E$2:$E$1369,MATCH(989,'Transfer Engine'!$C$2:$C$1369,0)))</f>
        <v/>
      </c>
      <c r="F998" s="8">
        <f>IF(ISNA(MATCH(989,'Transfer Engine'!$C$2:$C$1369,0)),"",INDEX('Compliance Database'!$F$2:$F$1369,MATCH(989,'Transfer Engine'!$C$2:$C$1369,0)))</f>
        <v/>
      </c>
      <c r="G998" s="8">
        <f>IF(ISNA(MATCH(989,'Transfer Engine'!$C$2:$C$1369,0)),"",INDEX('Compliance Database'!$G$2:$G$1369,MATCH(989,'Transfer Engine'!$C$2:$C$1369,0)))</f>
        <v/>
      </c>
      <c r="H998" s="9">
        <f>IF(ISNA(MATCH(989,'Transfer Engine'!$C$2:$C$1369,0)),"",INDEX('Compliance Database'!$H$2:$H$1369,MATCH(989,'Transfer Engine'!$C$2:$C$1369,0)))</f>
        <v/>
      </c>
      <c r="I998" s="9">
        <f>IF(ISNA(MATCH(989,'Transfer Engine'!$C$2:$C$1369,0)),"",INDEX('Compliance Database'!$I$2:$I$1369,MATCH(989,'Transfer Engine'!$C$2:$C$1369,0)))</f>
        <v/>
      </c>
      <c r="J998" s="8">
        <f>IF(ISNA(MATCH(989,'Transfer Engine'!$C$2:$C$1369,0)),"",INDEX('Compliance Database'!$J$2:$J$1369,MATCH(989,'Transfer Engine'!$C$2:$C$1369,0)))</f>
        <v/>
      </c>
      <c r="K998" s="9">
        <f>IF(ISNA(MATCH(989,'Transfer Engine'!$C$2:$C$1369,0)),"",INDEX('Compliance Database'!$K$2:$K$1369,MATCH(989,'Transfer Engine'!$C$2:$C$1369,0)))</f>
        <v/>
      </c>
      <c r="L998" s="9">
        <f>IF(ISNA(MATCH(989,'Transfer Engine'!$C$2:$C$1369,0)),"",INDEX('Compliance Database'!$L$2:$L$1369,MATCH(989,'Transfer Engine'!$C$2:$C$1369,0)))</f>
        <v/>
      </c>
      <c r="M998" s="9">
        <f>IF(ISNA(MATCH(989,'Transfer Engine'!$C$2:$C$1369,0)),"",INDEX('Compliance Database'!$M$2:$M$1369,MATCH(989,'Transfer Engine'!$C$2:$C$1369,0)))</f>
        <v/>
      </c>
      <c r="N998" s="9">
        <f>IF(ISNA(MATCH(989,'Transfer Engine'!$C$2:$C$1369,0)),"",INDEX('Compliance Database'!$N$2:$N$1369,MATCH(989,'Transfer Engine'!$C$2:$C$1369,0)))</f>
        <v/>
      </c>
      <c r="O998" s="8">
        <f>IF(ISNA(MATCH(989,'Transfer Engine'!$C$2:$C$1369,0)),"",HYPERLINK(INDEX('Compliance Database'!$O$2:$O$1369,MATCH(989,'Transfer Engine'!$C$2:$C$1369,0)),"Open PDF"))</f>
        <v/>
      </c>
    </row>
    <row r="999" ht="188" customHeight="1">
      <c r="A999" s="8">
        <f>IF(ISNA(MATCH(990,'Transfer Engine'!$C$2:$C$1369,0)),"",INDEX('Compliance Database'!$A$2:$A$1369,MATCH(990,'Transfer Engine'!$C$2:$C$1369,0)))</f>
        <v/>
      </c>
      <c r="B999" s="8">
        <f>IF(ISNA(MATCH(990,'Transfer Engine'!$C$2:$C$1369,0)),"",INDEX('Compliance Database'!$B$2:$B$1369,MATCH(990,'Transfer Engine'!$C$2:$C$1369,0)))</f>
        <v/>
      </c>
      <c r="C999" s="8">
        <f>IF(ISNA(MATCH(990,'Transfer Engine'!$C$2:$C$1369,0)),"",INDEX('Compliance Database'!$C$2:$C$1369,MATCH(990,'Transfer Engine'!$C$2:$C$1369,0)))</f>
        <v/>
      </c>
      <c r="D999" s="9">
        <f>IF(ISNA(MATCH(990,'Transfer Engine'!$C$2:$C$1369,0)),"",INDEX('Compliance Database'!$D$2:$D$1369,MATCH(990,'Transfer Engine'!$C$2:$C$1369,0)))</f>
        <v/>
      </c>
      <c r="E999" s="8">
        <f>IF(ISNA(MATCH(990,'Transfer Engine'!$C$2:$C$1369,0)),"",INDEX('Compliance Database'!$E$2:$E$1369,MATCH(990,'Transfer Engine'!$C$2:$C$1369,0)))</f>
        <v/>
      </c>
      <c r="F999" s="8">
        <f>IF(ISNA(MATCH(990,'Transfer Engine'!$C$2:$C$1369,0)),"",INDEX('Compliance Database'!$F$2:$F$1369,MATCH(990,'Transfer Engine'!$C$2:$C$1369,0)))</f>
        <v/>
      </c>
      <c r="G999" s="8">
        <f>IF(ISNA(MATCH(990,'Transfer Engine'!$C$2:$C$1369,0)),"",INDEX('Compliance Database'!$G$2:$G$1369,MATCH(990,'Transfer Engine'!$C$2:$C$1369,0)))</f>
        <v/>
      </c>
      <c r="H999" s="9">
        <f>IF(ISNA(MATCH(990,'Transfer Engine'!$C$2:$C$1369,0)),"",INDEX('Compliance Database'!$H$2:$H$1369,MATCH(990,'Transfer Engine'!$C$2:$C$1369,0)))</f>
        <v/>
      </c>
      <c r="I999" s="9">
        <f>IF(ISNA(MATCH(990,'Transfer Engine'!$C$2:$C$1369,0)),"",INDEX('Compliance Database'!$I$2:$I$1369,MATCH(990,'Transfer Engine'!$C$2:$C$1369,0)))</f>
        <v/>
      </c>
      <c r="J999" s="8">
        <f>IF(ISNA(MATCH(990,'Transfer Engine'!$C$2:$C$1369,0)),"",INDEX('Compliance Database'!$J$2:$J$1369,MATCH(990,'Transfer Engine'!$C$2:$C$1369,0)))</f>
        <v/>
      </c>
      <c r="K999" s="9">
        <f>IF(ISNA(MATCH(990,'Transfer Engine'!$C$2:$C$1369,0)),"",INDEX('Compliance Database'!$K$2:$K$1369,MATCH(990,'Transfer Engine'!$C$2:$C$1369,0)))</f>
        <v/>
      </c>
      <c r="L999" s="9">
        <f>IF(ISNA(MATCH(990,'Transfer Engine'!$C$2:$C$1369,0)),"",INDEX('Compliance Database'!$L$2:$L$1369,MATCH(990,'Transfer Engine'!$C$2:$C$1369,0)))</f>
        <v/>
      </c>
      <c r="M999" s="9">
        <f>IF(ISNA(MATCH(990,'Transfer Engine'!$C$2:$C$1369,0)),"",INDEX('Compliance Database'!$M$2:$M$1369,MATCH(990,'Transfer Engine'!$C$2:$C$1369,0)))</f>
        <v/>
      </c>
      <c r="N999" s="9">
        <f>IF(ISNA(MATCH(990,'Transfer Engine'!$C$2:$C$1369,0)),"",INDEX('Compliance Database'!$N$2:$N$1369,MATCH(990,'Transfer Engine'!$C$2:$C$1369,0)))</f>
        <v/>
      </c>
      <c r="O999" s="8">
        <f>IF(ISNA(MATCH(990,'Transfer Engine'!$C$2:$C$1369,0)),"",HYPERLINK(INDEX('Compliance Database'!$O$2:$O$1369,MATCH(990,'Transfer Engine'!$C$2:$C$1369,0)),"Open PDF"))</f>
        <v/>
      </c>
    </row>
    <row r="1000" ht="188" customHeight="1">
      <c r="A1000" s="8">
        <f>IF(ISNA(MATCH(991,'Transfer Engine'!$C$2:$C$1369,0)),"",INDEX('Compliance Database'!$A$2:$A$1369,MATCH(991,'Transfer Engine'!$C$2:$C$1369,0)))</f>
        <v/>
      </c>
      <c r="B1000" s="8">
        <f>IF(ISNA(MATCH(991,'Transfer Engine'!$C$2:$C$1369,0)),"",INDEX('Compliance Database'!$B$2:$B$1369,MATCH(991,'Transfer Engine'!$C$2:$C$1369,0)))</f>
        <v/>
      </c>
      <c r="C1000" s="8">
        <f>IF(ISNA(MATCH(991,'Transfer Engine'!$C$2:$C$1369,0)),"",INDEX('Compliance Database'!$C$2:$C$1369,MATCH(991,'Transfer Engine'!$C$2:$C$1369,0)))</f>
        <v/>
      </c>
      <c r="D1000" s="9">
        <f>IF(ISNA(MATCH(991,'Transfer Engine'!$C$2:$C$1369,0)),"",INDEX('Compliance Database'!$D$2:$D$1369,MATCH(991,'Transfer Engine'!$C$2:$C$1369,0)))</f>
        <v/>
      </c>
      <c r="E1000" s="8">
        <f>IF(ISNA(MATCH(991,'Transfer Engine'!$C$2:$C$1369,0)),"",INDEX('Compliance Database'!$E$2:$E$1369,MATCH(991,'Transfer Engine'!$C$2:$C$1369,0)))</f>
        <v/>
      </c>
      <c r="F1000" s="8">
        <f>IF(ISNA(MATCH(991,'Transfer Engine'!$C$2:$C$1369,0)),"",INDEX('Compliance Database'!$F$2:$F$1369,MATCH(991,'Transfer Engine'!$C$2:$C$1369,0)))</f>
        <v/>
      </c>
      <c r="G1000" s="8">
        <f>IF(ISNA(MATCH(991,'Transfer Engine'!$C$2:$C$1369,0)),"",INDEX('Compliance Database'!$G$2:$G$1369,MATCH(991,'Transfer Engine'!$C$2:$C$1369,0)))</f>
        <v/>
      </c>
      <c r="H1000" s="9">
        <f>IF(ISNA(MATCH(991,'Transfer Engine'!$C$2:$C$1369,0)),"",INDEX('Compliance Database'!$H$2:$H$1369,MATCH(991,'Transfer Engine'!$C$2:$C$1369,0)))</f>
        <v/>
      </c>
      <c r="I1000" s="9">
        <f>IF(ISNA(MATCH(991,'Transfer Engine'!$C$2:$C$1369,0)),"",INDEX('Compliance Database'!$I$2:$I$1369,MATCH(991,'Transfer Engine'!$C$2:$C$1369,0)))</f>
        <v/>
      </c>
      <c r="J1000" s="8">
        <f>IF(ISNA(MATCH(991,'Transfer Engine'!$C$2:$C$1369,0)),"",INDEX('Compliance Database'!$J$2:$J$1369,MATCH(991,'Transfer Engine'!$C$2:$C$1369,0)))</f>
        <v/>
      </c>
      <c r="K1000" s="9">
        <f>IF(ISNA(MATCH(991,'Transfer Engine'!$C$2:$C$1369,0)),"",INDEX('Compliance Database'!$K$2:$K$1369,MATCH(991,'Transfer Engine'!$C$2:$C$1369,0)))</f>
        <v/>
      </c>
      <c r="L1000" s="9">
        <f>IF(ISNA(MATCH(991,'Transfer Engine'!$C$2:$C$1369,0)),"",INDEX('Compliance Database'!$L$2:$L$1369,MATCH(991,'Transfer Engine'!$C$2:$C$1369,0)))</f>
        <v/>
      </c>
      <c r="M1000" s="9">
        <f>IF(ISNA(MATCH(991,'Transfer Engine'!$C$2:$C$1369,0)),"",INDEX('Compliance Database'!$M$2:$M$1369,MATCH(991,'Transfer Engine'!$C$2:$C$1369,0)))</f>
        <v/>
      </c>
      <c r="N1000" s="9">
        <f>IF(ISNA(MATCH(991,'Transfer Engine'!$C$2:$C$1369,0)),"",INDEX('Compliance Database'!$N$2:$N$1369,MATCH(991,'Transfer Engine'!$C$2:$C$1369,0)))</f>
        <v/>
      </c>
      <c r="O1000" s="8">
        <f>IF(ISNA(MATCH(991,'Transfer Engine'!$C$2:$C$1369,0)),"",HYPERLINK(INDEX('Compliance Database'!$O$2:$O$1369,MATCH(991,'Transfer Engine'!$C$2:$C$1369,0)),"Open PDF"))</f>
        <v/>
      </c>
    </row>
    <row r="1001" ht="188" customHeight="1">
      <c r="A1001" s="8">
        <f>IF(ISNA(MATCH(992,'Transfer Engine'!$C$2:$C$1369,0)),"",INDEX('Compliance Database'!$A$2:$A$1369,MATCH(992,'Transfer Engine'!$C$2:$C$1369,0)))</f>
        <v/>
      </c>
      <c r="B1001" s="8">
        <f>IF(ISNA(MATCH(992,'Transfer Engine'!$C$2:$C$1369,0)),"",INDEX('Compliance Database'!$B$2:$B$1369,MATCH(992,'Transfer Engine'!$C$2:$C$1369,0)))</f>
        <v/>
      </c>
      <c r="C1001" s="8">
        <f>IF(ISNA(MATCH(992,'Transfer Engine'!$C$2:$C$1369,0)),"",INDEX('Compliance Database'!$C$2:$C$1369,MATCH(992,'Transfer Engine'!$C$2:$C$1369,0)))</f>
        <v/>
      </c>
      <c r="D1001" s="9">
        <f>IF(ISNA(MATCH(992,'Transfer Engine'!$C$2:$C$1369,0)),"",INDEX('Compliance Database'!$D$2:$D$1369,MATCH(992,'Transfer Engine'!$C$2:$C$1369,0)))</f>
        <v/>
      </c>
      <c r="E1001" s="8">
        <f>IF(ISNA(MATCH(992,'Transfer Engine'!$C$2:$C$1369,0)),"",INDEX('Compliance Database'!$E$2:$E$1369,MATCH(992,'Transfer Engine'!$C$2:$C$1369,0)))</f>
        <v/>
      </c>
      <c r="F1001" s="8">
        <f>IF(ISNA(MATCH(992,'Transfer Engine'!$C$2:$C$1369,0)),"",INDEX('Compliance Database'!$F$2:$F$1369,MATCH(992,'Transfer Engine'!$C$2:$C$1369,0)))</f>
        <v/>
      </c>
      <c r="G1001" s="8">
        <f>IF(ISNA(MATCH(992,'Transfer Engine'!$C$2:$C$1369,0)),"",INDEX('Compliance Database'!$G$2:$G$1369,MATCH(992,'Transfer Engine'!$C$2:$C$1369,0)))</f>
        <v/>
      </c>
      <c r="H1001" s="9">
        <f>IF(ISNA(MATCH(992,'Transfer Engine'!$C$2:$C$1369,0)),"",INDEX('Compliance Database'!$H$2:$H$1369,MATCH(992,'Transfer Engine'!$C$2:$C$1369,0)))</f>
        <v/>
      </c>
      <c r="I1001" s="9">
        <f>IF(ISNA(MATCH(992,'Transfer Engine'!$C$2:$C$1369,0)),"",INDEX('Compliance Database'!$I$2:$I$1369,MATCH(992,'Transfer Engine'!$C$2:$C$1369,0)))</f>
        <v/>
      </c>
      <c r="J1001" s="8">
        <f>IF(ISNA(MATCH(992,'Transfer Engine'!$C$2:$C$1369,0)),"",INDEX('Compliance Database'!$J$2:$J$1369,MATCH(992,'Transfer Engine'!$C$2:$C$1369,0)))</f>
        <v/>
      </c>
      <c r="K1001" s="9">
        <f>IF(ISNA(MATCH(992,'Transfer Engine'!$C$2:$C$1369,0)),"",INDEX('Compliance Database'!$K$2:$K$1369,MATCH(992,'Transfer Engine'!$C$2:$C$1369,0)))</f>
        <v/>
      </c>
      <c r="L1001" s="9">
        <f>IF(ISNA(MATCH(992,'Transfer Engine'!$C$2:$C$1369,0)),"",INDEX('Compliance Database'!$L$2:$L$1369,MATCH(992,'Transfer Engine'!$C$2:$C$1369,0)))</f>
        <v/>
      </c>
      <c r="M1001" s="9">
        <f>IF(ISNA(MATCH(992,'Transfer Engine'!$C$2:$C$1369,0)),"",INDEX('Compliance Database'!$M$2:$M$1369,MATCH(992,'Transfer Engine'!$C$2:$C$1369,0)))</f>
        <v/>
      </c>
      <c r="N1001" s="9">
        <f>IF(ISNA(MATCH(992,'Transfer Engine'!$C$2:$C$1369,0)),"",INDEX('Compliance Database'!$N$2:$N$1369,MATCH(992,'Transfer Engine'!$C$2:$C$1369,0)))</f>
        <v/>
      </c>
      <c r="O1001" s="8">
        <f>IF(ISNA(MATCH(992,'Transfer Engine'!$C$2:$C$1369,0)),"",HYPERLINK(INDEX('Compliance Database'!$O$2:$O$1369,MATCH(992,'Transfer Engine'!$C$2:$C$1369,0)),"Open PDF"))</f>
        <v/>
      </c>
    </row>
    <row r="1002" ht="188" customHeight="1">
      <c r="A1002" s="8">
        <f>IF(ISNA(MATCH(993,'Transfer Engine'!$C$2:$C$1369,0)),"",INDEX('Compliance Database'!$A$2:$A$1369,MATCH(993,'Transfer Engine'!$C$2:$C$1369,0)))</f>
        <v/>
      </c>
      <c r="B1002" s="8">
        <f>IF(ISNA(MATCH(993,'Transfer Engine'!$C$2:$C$1369,0)),"",INDEX('Compliance Database'!$B$2:$B$1369,MATCH(993,'Transfer Engine'!$C$2:$C$1369,0)))</f>
        <v/>
      </c>
      <c r="C1002" s="8">
        <f>IF(ISNA(MATCH(993,'Transfer Engine'!$C$2:$C$1369,0)),"",INDEX('Compliance Database'!$C$2:$C$1369,MATCH(993,'Transfer Engine'!$C$2:$C$1369,0)))</f>
        <v/>
      </c>
      <c r="D1002" s="9">
        <f>IF(ISNA(MATCH(993,'Transfer Engine'!$C$2:$C$1369,0)),"",INDEX('Compliance Database'!$D$2:$D$1369,MATCH(993,'Transfer Engine'!$C$2:$C$1369,0)))</f>
        <v/>
      </c>
      <c r="E1002" s="8">
        <f>IF(ISNA(MATCH(993,'Transfer Engine'!$C$2:$C$1369,0)),"",INDEX('Compliance Database'!$E$2:$E$1369,MATCH(993,'Transfer Engine'!$C$2:$C$1369,0)))</f>
        <v/>
      </c>
      <c r="F1002" s="8">
        <f>IF(ISNA(MATCH(993,'Transfer Engine'!$C$2:$C$1369,0)),"",INDEX('Compliance Database'!$F$2:$F$1369,MATCH(993,'Transfer Engine'!$C$2:$C$1369,0)))</f>
        <v/>
      </c>
      <c r="G1002" s="8">
        <f>IF(ISNA(MATCH(993,'Transfer Engine'!$C$2:$C$1369,0)),"",INDEX('Compliance Database'!$G$2:$G$1369,MATCH(993,'Transfer Engine'!$C$2:$C$1369,0)))</f>
        <v/>
      </c>
      <c r="H1002" s="9">
        <f>IF(ISNA(MATCH(993,'Transfer Engine'!$C$2:$C$1369,0)),"",INDEX('Compliance Database'!$H$2:$H$1369,MATCH(993,'Transfer Engine'!$C$2:$C$1369,0)))</f>
        <v/>
      </c>
      <c r="I1002" s="9">
        <f>IF(ISNA(MATCH(993,'Transfer Engine'!$C$2:$C$1369,0)),"",INDEX('Compliance Database'!$I$2:$I$1369,MATCH(993,'Transfer Engine'!$C$2:$C$1369,0)))</f>
        <v/>
      </c>
      <c r="J1002" s="8">
        <f>IF(ISNA(MATCH(993,'Transfer Engine'!$C$2:$C$1369,0)),"",INDEX('Compliance Database'!$J$2:$J$1369,MATCH(993,'Transfer Engine'!$C$2:$C$1369,0)))</f>
        <v/>
      </c>
      <c r="K1002" s="9">
        <f>IF(ISNA(MATCH(993,'Transfer Engine'!$C$2:$C$1369,0)),"",INDEX('Compliance Database'!$K$2:$K$1369,MATCH(993,'Transfer Engine'!$C$2:$C$1369,0)))</f>
        <v/>
      </c>
      <c r="L1002" s="9">
        <f>IF(ISNA(MATCH(993,'Transfer Engine'!$C$2:$C$1369,0)),"",INDEX('Compliance Database'!$L$2:$L$1369,MATCH(993,'Transfer Engine'!$C$2:$C$1369,0)))</f>
        <v/>
      </c>
      <c r="M1002" s="9">
        <f>IF(ISNA(MATCH(993,'Transfer Engine'!$C$2:$C$1369,0)),"",INDEX('Compliance Database'!$M$2:$M$1369,MATCH(993,'Transfer Engine'!$C$2:$C$1369,0)))</f>
        <v/>
      </c>
      <c r="N1002" s="9">
        <f>IF(ISNA(MATCH(993,'Transfer Engine'!$C$2:$C$1369,0)),"",INDEX('Compliance Database'!$N$2:$N$1369,MATCH(993,'Transfer Engine'!$C$2:$C$1369,0)))</f>
        <v/>
      </c>
      <c r="O1002" s="8">
        <f>IF(ISNA(MATCH(993,'Transfer Engine'!$C$2:$C$1369,0)),"",HYPERLINK(INDEX('Compliance Database'!$O$2:$O$1369,MATCH(993,'Transfer Engine'!$C$2:$C$1369,0)),"Open PDF"))</f>
        <v/>
      </c>
    </row>
    <row r="1003" ht="188" customHeight="1">
      <c r="A1003" s="8">
        <f>IF(ISNA(MATCH(994,'Transfer Engine'!$C$2:$C$1369,0)),"",INDEX('Compliance Database'!$A$2:$A$1369,MATCH(994,'Transfer Engine'!$C$2:$C$1369,0)))</f>
        <v/>
      </c>
      <c r="B1003" s="8">
        <f>IF(ISNA(MATCH(994,'Transfer Engine'!$C$2:$C$1369,0)),"",INDEX('Compliance Database'!$B$2:$B$1369,MATCH(994,'Transfer Engine'!$C$2:$C$1369,0)))</f>
        <v/>
      </c>
      <c r="C1003" s="8">
        <f>IF(ISNA(MATCH(994,'Transfer Engine'!$C$2:$C$1369,0)),"",INDEX('Compliance Database'!$C$2:$C$1369,MATCH(994,'Transfer Engine'!$C$2:$C$1369,0)))</f>
        <v/>
      </c>
      <c r="D1003" s="9">
        <f>IF(ISNA(MATCH(994,'Transfer Engine'!$C$2:$C$1369,0)),"",INDEX('Compliance Database'!$D$2:$D$1369,MATCH(994,'Transfer Engine'!$C$2:$C$1369,0)))</f>
        <v/>
      </c>
      <c r="E1003" s="8">
        <f>IF(ISNA(MATCH(994,'Transfer Engine'!$C$2:$C$1369,0)),"",INDEX('Compliance Database'!$E$2:$E$1369,MATCH(994,'Transfer Engine'!$C$2:$C$1369,0)))</f>
        <v/>
      </c>
      <c r="F1003" s="8">
        <f>IF(ISNA(MATCH(994,'Transfer Engine'!$C$2:$C$1369,0)),"",INDEX('Compliance Database'!$F$2:$F$1369,MATCH(994,'Transfer Engine'!$C$2:$C$1369,0)))</f>
        <v/>
      </c>
      <c r="G1003" s="8">
        <f>IF(ISNA(MATCH(994,'Transfer Engine'!$C$2:$C$1369,0)),"",INDEX('Compliance Database'!$G$2:$G$1369,MATCH(994,'Transfer Engine'!$C$2:$C$1369,0)))</f>
        <v/>
      </c>
      <c r="H1003" s="9">
        <f>IF(ISNA(MATCH(994,'Transfer Engine'!$C$2:$C$1369,0)),"",INDEX('Compliance Database'!$H$2:$H$1369,MATCH(994,'Transfer Engine'!$C$2:$C$1369,0)))</f>
        <v/>
      </c>
      <c r="I1003" s="9">
        <f>IF(ISNA(MATCH(994,'Transfer Engine'!$C$2:$C$1369,0)),"",INDEX('Compliance Database'!$I$2:$I$1369,MATCH(994,'Transfer Engine'!$C$2:$C$1369,0)))</f>
        <v/>
      </c>
      <c r="J1003" s="8">
        <f>IF(ISNA(MATCH(994,'Transfer Engine'!$C$2:$C$1369,0)),"",INDEX('Compliance Database'!$J$2:$J$1369,MATCH(994,'Transfer Engine'!$C$2:$C$1369,0)))</f>
        <v/>
      </c>
      <c r="K1003" s="9">
        <f>IF(ISNA(MATCH(994,'Transfer Engine'!$C$2:$C$1369,0)),"",INDEX('Compliance Database'!$K$2:$K$1369,MATCH(994,'Transfer Engine'!$C$2:$C$1369,0)))</f>
        <v/>
      </c>
      <c r="L1003" s="9">
        <f>IF(ISNA(MATCH(994,'Transfer Engine'!$C$2:$C$1369,0)),"",INDEX('Compliance Database'!$L$2:$L$1369,MATCH(994,'Transfer Engine'!$C$2:$C$1369,0)))</f>
        <v/>
      </c>
      <c r="M1003" s="9">
        <f>IF(ISNA(MATCH(994,'Transfer Engine'!$C$2:$C$1369,0)),"",INDEX('Compliance Database'!$M$2:$M$1369,MATCH(994,'Transfer Engine'!$C$2:$C$1369,0)))</f>
        <v/>
      </c>
      <c r="N1003" s="9">
        <f>IF(ISNA(MATCH(994,'Transfer Engine'!$C$2:$C$1369,0)),"",INDEX('Compliance Database'!$N$2:$N$1369,MATCH(994,'Transfer Engine'!$C$2:$C$1369,0)))</f>
        <v/>
      </c>
      <c r="O1003" s="8">
        <f>IF(ISNA(MATCH(994,'Transfer Engine'!$C$2:$C$1369,0)),"",HYPERLINK(INDEX('Compliance Database'!$O$2:$O$1369,MATCH(994,'Transfer Engine'!$C$2:$C$1369,0)),"Open PDF"))</f>
        <v/>
      </c>
    </row>
    <row r="1004" ht="188" customHeight="1">
      <c r="A1004" s="8">
        <f>IF(ISNA(MATCH(995,'Transfer Engine'!$C$2:$C$1369,0)),"",INDEX('Compliance Database'!$A$2:$A$1369,MATCH(995,'Transfer Engine'!$C$2:$C$1369,0)))</f>
        <v/>
      </c>
      <c r="B1004" s="8">
        <f>IF(ISNA(MATCH(995,'Transfer Engine'!$C$2:$C$1369,0)),"",INDEX('Compliance Database'!$B$2:$B$1369,MATCH(995,'Transfer Engine'!$C$2:$C$1369,0)))</f>
        <v/>
      </c>
      <c r="C1004" s="8">
        <f>IF(ISNA(MATCH(995,'Transfer Engine'!$C$2:$C$1369,0)),"",INDEX('Compliance Database'!$C$2:$C$1369,MATCH(995,'Transfer Engine'!$C$2:$C$1369,0)))</f>
        <v/>
      </c>
      <c r="D1004" s="9">
        <f>IF(ISNA(MATCH(995,'Transfer Engine'!$C$2:$C$1369,0)),"",INDEX('Compliance Database'!$D$2:$D$1369,MATCH(995,'Transfer Engine'!$C$2:$C$1369,0)))</f>
        <v/>
      </c>
      <c r="E1004" s="8">
        <f>IF(ISNA(MATCH(995,'Transfer Engine'!$C$2:$C$1369,0)),"",INDEX('Compliance Database'!$E$2:$E$1369,MATCH(995,'Transfer Engine'!$C$2:$C$1369,0)))</f>
        <v/>
      </c>
      <c r="F1004" s="8">
        <f>IF(ISNA(MATCH(995,'Transfer Engine'!$C$2:$C$1369,0)),"",INDEX('Compliance Database'!$F$2:$F$1369,MATCH(995,'Transfer Engine'!$C$2:$C$1369,0)))</f>
        <v/>
      </c>
      <c r="G1004" s="8">
        <f>IF(ISNA(MATCH(995,'Transfer Engine'!$C$2:$C$1369,0)),"",INDEX('Compliance Database'!$G$2:$G$1369,MATCH(995,'Transfer Engine'!$C$2:$C$1369,0)))</f>
        <v/>
      </c>
      <c r="H1004" s="9">
        <f>IF(ISNA(MATCH(995,'Transfer Engine'!$C$2:$C$1369,0)),"",INDEX('Compliance Database'!$H$2:$H$1369,MATCH(995,'Transfer Engine'!$C$2:$C$1369,0)))</f>
        <v/>
      </c>
      <c r="I1004" s="9">
        <f>IF(ISNA(MATCH(995,'Transfer Engine'!$C$2:$C$1369,0)),"",INDEX('Compliance Database'!$I$2:$I$1369,MATCH(995,'Transfer Engine'!$C$2:$C$1369,0)))</f>
        <v/>
      </c>
      <c r="J1004" s="8">
        <f>IF(ISNA(MATCH(995,'Transfer Engine'!$C$2:$C$1369,0)),"",INDEX('Compliance Database'!$J$2:$J$1369,MATCH(995,'Transfer Engine'!$C$2:$C$1369,0)))</f>
        <v/>
      </c>
      <c r="K1004" s="9">
        <f>IF(ISNA(MATCH(995,'Transfer Engine'!$C$2:$C$1369,0)),"",INDEX('Compliance Database'!$K$2:$K$1369,MATCH(995,'Transfer Engine'!$C$2:$C$1369,0)))</f>
        <v/>
      </c>
      <c r="L1004" s="9">
        <f>IF(ISNA(MATCH(995,'Transfer Engine'!$C$2:$C$1369,0)),"",INDEX('Compliance Database'!$L$2:$L$1369,MATCH(995,'Transfer Engine'!$C$2:$C$1369,0)))</f>
        <v/>
      </c>
      <c r="M1004" s="9">
        <f>IF(ISNA(MATCH(995,'Transfer Engine'!$C$2:$C$1369,0)),"",INDEX('Compliance Database'!$M$2:$M$1369,MATCH(995,'Transfer Engine'!$C$2:$C$1369,0)))</f>
        <v/>
      </c>
      <c r="N1004" s="9">
        <f>IF(ISNA(MATCH(995,'Transfer Engine'!$C$2:$C$1369,0)),"",INDEX('Compliance Database'!$N$2:$N$1369,MATCH(995,'Transfer Engine'!$C$2:$C$1369,0)))</f>
        <v/>
      </c>
      <c r="O1004" s="8">
        <f>IF(ISNA(MATCH(995,'Transfer Engine'!$C$2:$C$1369,0)),"",HYPERLINK(INDEX('Compliance Database'!$O$2:$O$1369,MATCH(995,'Transfer Engine'!$C$2:$C$1369,0)),"Open PDF"))</f>
        <v/>
      </c>
    </row>
    <row r="1005" ht="188" customHeight="1">
      <c r="A1005" s="8">
        <f>IF(ISNA(MATCH(996,'Transfer Engine'!$C$2:$C$1369,0)),"",INDEX('Compliance Database'!$A$2:$A$1369,MATCH(996,'Transfer Engine'!$C$2:$C$1369,0)))</f>
        <v/>
      </c>
      <c r="B1005" s="8">
        <f>IF(ISNA(MATCH(996,'Transfer Engine'!$C$2:$C$1369,0)),"",INDEX('Compliance Database'!$B$2:$B$1369,MATCH(996,'Transfer Engine'!$C$2:$C$1369,0)))</f>
        <v/>
      </c>
      <c r="C1005" s="8">
        <f>IF(ISNA(MATCH(996,'Transfer Engine'!$C$2:$C$1369,0)),"",INDEX('Compliance Database'!$C$2:$C$1369,MATCH(996,'Transfer Engine'!$C$2:$C$1369,0)))</f>
        <v/>
      </c>
      <c r="D1005" s="9">
        <f>IF(ISNA(MATCH(996,'Transfer Engine'!$C$2:$C$1369,0)),"",INDEX('Compliance Database'!$D$2:$D$1369,MATCH(996,'Transfer Engine'!$C$2:$C$1369,0)))</f>
        <v/>
      </c>
      <c r="E1005" s="8">
        <f>IF(ISNA(MATCH(996,'Transfer Engine'!$C$2:$C$1369,0)),"",INDEX('Compliance Database'!$E$2:$E$1369,MATCH(996,'Transfer Engine'!$C$2:$C$1369,0)))</f>
        <v/>
      </c>
      <c r="F1005" s="8">
        <f>IF(ISNA(MATCH(996,'Transfer Engine'!$C$2:$C$1369,0)),"",INDEX('Compliance Database'!$F$2:$F$1369,MATCH(996,'Transfer Engine'!$C$2:$C$1369,0)))</f>
        <v/>
      </c>
      <c r="G1005" s="8">
        <f>IF(ISNA(MATCH(996,'Transfer Engine'!$C$2:$C$1369,0)),"",INDEX('Compliance Database'!$G$2:$G$1369,MATCH(996,'Transfer Engine'!$C$2:$C$1369,0)))</f>
        <v/>
      </c>
      <c r="H1005" s="9">
        <f>IF(ISNA(MATCH(996,'Transfer Engine'!$C$2:$C$1369,0)),"",INDEX('Compliance Database'!$H$2:$H$1369,MATCH(996,'Transfer Engine'!$C$2:$C$1369,0)))</f>
        <v/>
      </c>
      <c r="I1005" s="9">
        <f>IF(ISNA(MATCH(996,'Transfer Engine'!$C$2:$C$1369,0)),"",INDEX('Compliance Database'!$I$2:$I$1369,MATCH(996,'Transfer Engine'!$C$2:$C$1369,0)))</f>
        <v/>
      </c>
      <c r="J1005" s="8">
        <f>IF(ISNA(MATCH(996,'Transfer Engine'!$C$2:$C$1369,0)),"",INDEX('Compliance Database'!$J$2:$J$1369,MATCH(996,'Transfer Engine'!$C$2:$C$1369,0)))</f>
        <v/>
      </c>
      <c r="K1005" s="9">
        <f>IF(ISNA(MATCH(996,'Transfer Engine'!$C$2:$C$1369,0)),"",INDEX('Compliance Database'!$K$2:$K$1369,MATCH(996,'Transfer Engine'!$C$2:$C$1369,0)))</f>
        <v/>
      </c>
      <c r="L1005" s="9">
        <f>IF(ISNA(MATCH(996,'Transfer Engine'!$C$2:$C$1369,0)),"",INDEX('Compliance Database'!$L$2:$L$1369,MATCH(996,'Transfer Engine'!$C$2:$C$1369,0)))</f>
        <v/>
      </c>
      <c r="M1005" s="9">
        <f>IF(ISNA(MATCH(996,'Transfer Engine'!$C$2:$C$1369,0)),"",INDEX('Compliance Database'!$M$2:$M$1369,MATCH(996,'Transfer Engine'!$C$2:$C$1369,0)))</f>
        <v/>
      </c>
      <c r="N1005" s="9">
        <f>IF(ISNA(MATCH(996,'Transfer Engine'!$C$2:$C$1369,0)),"",INDEX('Compliance Database'!$N$2:$N$1369,MATCH(996,'Transfer Engine'!$C$2:$C$1369,0)))</f>
        <v/>
      </c>
      <c r="O1005" s="8">
        <f>IF(ISNA(MATCH(996,'Transfer Engine'!$C$2:$C$1369,0)),"",HYPERLINK(INDEX('Compliance Database'!$O$2:$O$1369,MATCH(996,'Transfer Engine'!$C$2:$C$1369,0)),"Open PDF"))</f>
        <v/>
      </c>
    </row>
    <row r="1006" ht="188" customHeight="1">
      <c r="A1006" s="8">
        <f>IF(ISNA(MATCH(997,'Transfer Engine'!$C$2:$C$1369,0)),"",INDEX('Compliance Database'!$A$2:$A$1369,MATCH(997,'Transfer Engine'!$C$2:$C$1369,0)))</f>
        <v/>
      </c>
      <c r="B1006" s="8">
        <f>IF(ISNA(MATCH(997,'Transfer Engine'!$C$2:$C$1369,0)),"",INDEX('Compliance Database'!$B$2:$B$1369,MATCH(997,'Transfer Engine'!$C$2:$C$1369,0)))</f>
        <v/>
      </c>
      <c r="C1006" s="8">
        <f>IF(ISNA(MATCH(997,'Transfer Engine'!$C$2:$C$1369,0)),"",INDEX('Compliance Database'!$C$2:$C$1369,MATCH(997,'Transfer Engine'!$C$2:$C$1369,0)))</f>
        <v/>
      </c>
      <c r="D1006" s="9">
        <f>IF(ISNA(MATCH(997,'Transfer Engine'!$C$2:$C$1369,0)),"",INDEX('Compliance Database'!$D$2:$D$1369,MATCH(997,'Transfer Engine'!$C$2:$C$1369,0)))</f>
        <v/>
      </c>
      <c r="E1006" s="8">
        <f>IF(ISNA(MATCH(997,'Transfer Engine'!$C$2:$C$1369,0)),"",INDEX('Compliance Database'!$E$2:$E$1369,MATCH(997,'Transfer Engine'!$C$2:$C$1369,0)))</f>
        <v/>
      </c>
      <c r="F1006" s="8">
        <f>IF(ISNA(MATCH(997,'Transfer Engine'!$C$2:$C$1369,0)),"",INDEX('Compliance Database'!$F$2:$F$1369,MATCH(997,'Transfer Engine'!$C$2:$C$1369,0)))</f>
        <v/>
      </c>
      <c r="G1006" s="8">
        <f>IF(ISNA(MATCH(997,'Transfer Engine'!$C$2:$C$1369,0)),"",INDEX('Compliance Database'!$G$2:$G$1369,MATCH(997,'Transfer Engine'!$C$2:$C$1369,0)))</f>
        <v/>
      </c>
      <c r="H1006" s="9">
        <f>IF(ISNA(MATCH(997,'Transfer Engine'!$C$2:$C$1369,0)),"",INDEX('Compliance Database'!$H$2:$H$1369,MATCH(997,'Transfer Engine'!$C$2:$C$1369,0)))</f>
        <v/>
      </c>
      <c r="I1006" s="9">
        <f>IF(ISNA(MATCH(997,'Transfer Engine'!$C$2:$C$1369,0)),"",INDEX('Compliance Database'!$I$2:$I$1369,MATCH(997,'Transfer Engine'!$C$2:$C$1369,0)))</f>
        <v/>
      </c>
      <c r="J1006" s="8">
        <f>IF(ISNA(MATCH(997,'Transfer Engine'!$C$2:$C$1369,0)),"",INDEX('Compliance Database'!$J$2:$J$1369,MATCH(997,'Transfer Engine'!$C$2:$C$1369,0)))</f>
        <v/>
      </c>
      <c r="K1006" s="9">
        <f>IF(ISNA(MATCH(997,'Transfer Engine'!$C$2:$C$1369,0)),"",INDEX('Compliance Database'!$K$2:$K$1369,MATCH(997,'Transfer Engine'!$C$2:$C$1369,0)))</f>
        <v/>
      </c>
      <c r="L1006" s="9">
        <f>IF(ISNA(MATCH(997,'Transfer Engine'!$C$2:$C$1369,0)),"",INDEX('Compliance Database'!$L$2:$L$1369,MATCH(997,'Transfer Engine'!$C$2:$C$1369,0)))</f>
        <v/>
      </c>
      <c r="M1006" s="9">
        <f>IF(ISNA(MATCH(997,'Transfer Engine'!$C$2:$C$1369,0)),"",INDEX('Compliance Database'!$M$2:$M$1369,MATCH(997,'Transfer Engine'!$C$2:$C$1369,0)))</f>
        <v/>
      </c>
      <c r="N1006" s="9">
        <f>IF(ISNA(MATCH(997,'Transfer Engine'!$C$2:$C$1369,0)),"",INDEX('Compliance Database'!$N$2:$N$1369,MATCH(997,'Transfer Engine'!$C$2:$C$1369,0)))</f>
        <v/>
      </c>
      <c r="O1006" s="8">
        <f>IF(ISNA(MATCH(997,'Transfer Engine'!$C$2:$C$1369,0)),"",HYPERLINK(INDEX('Compliance Database'!$O$2:$O$1369,MATCH(997,'Transfer Engine'!$C$2:$C$1369,0)),"Open PDF"))</f>
        <v/>
      </c>
    </row>
    <row r="1007" ht="188" customHeight="1">
      <c r="A1007" s="8">
        <f>IF(ISNA(MATCH(998,'Transfer Engine'!$C$2:$C$1369,0)),"",INDEX('Compliance Database'!$A$2:$A$1369,MATCH(998,'Transfer Engine'!$C$2:$C$1369,0)))</f>
        <v/>
      </c>
      <c r="B1007" s="8">
        <f>IF(ISNA(MATCH(998,'Transfer Engine'!$C$2:$C$1369,0)),"",INDEX('Compliance Database'!$B$2:$B$1369,MATCH(998,'Transfer Engine'!$C$2:$C$1369,0)))</f>
        <v/>
      </c>
      <c r="C1007" s="8">
        <f>IF(ISNA(MATCH(998,'Transfer Engine'!$C$2:$C$1369,0)),"",INDEX('Compliance Database'!$C$2:$C$1369,MATCH(998,'Transfer Engine'!$C$2:$C$1369,0)))</f>
        <v/>
      </c>
      <c r="D1007" s="9">
        <f>IF(ISNA(MATCH(998,'Transfer Engine'!$C$2:$C$1369,0)),"",INDEX('Compliance Database'!$D$2:$D$1369,MATCH(998,'Transfer Engine'!$C$2:$C$1369,0)))</f>
        <v/>
      </c>
      <c r="E1007" s="8">
        <f>IF(ISNA(MATCH(998,'Transfer Engine'!$C$2:$C$1369,0)),"",INDEX('Compliance Database'!$E$2:$E$1369,MATCH(998,'Transfer Engine'!$C$2:$C$1369,0)))</f>
        <v/>
      </c>
      <c r="F1007" s="8">
        <f>IF(ISNA(MATCH(998,'Transfer Engine'!$C$2:$C$1369,0)),"",INDEX('Compliance Database'!$F$2:$F$1369,MATCH(998,'Transfer Engine'!$C$2:$C$1369,0)))</f>
        <v/>
      </c>
      <c r="G1007" s="8">
        <f>IF(ISNA(MATCH(998,'Transfer Engine'!$C$2:$C$1369,0)),"",INDEX('Compliance Database'!$G$2:$G$1369,MATCH(998,'Transfer Engine'!$C$2:$C$1369,0)))</f>
        <v/>
      </c>
      <c r="H1007" s="9">
        <f>IF(ISNA(MATCH(998,'Transfer Engine'!$C$2:$C$1369,0)),"",INDEX('Compliance Database'!$H$2:$H$1369,MATCH(998,'Transfer Engine'!$C$2:$C$1369,0)))</f>
        <v/>
      </c>
      <c r="I1007" s="9">
        <f>IF(ISNA(MATCH(998,'Transfer Engine'!$C$2:$C$1369,0)),"",INDEX('Compliance Database'!$I$2:$I$1369,MATCH(998,'Transfer Engine'!$C$2:$C$1369,0)))</f>
        <v/>
      </c>
      <c r="J1007" s="8">
        <f>IF(ISNA(MATCH(998,'Transfer Engine'!$C$2:$C$1369,0)),"",INDEX('Compliance Database'!$J$2:$J$1369,MATCH(998,'Transfer Engine'!$C$2:$C$1369,0)))</f>
        <v/>
      </c>
      <c r="K1007" s="9">
        <f>IF(ISNA(MATCH(998,'Transfer Engine'!$C$2:$C$1369,0)),"",INDEX('Compliance Database'!$K$2:$K$1369,MATCH(998,'Transfer Engine'!$C$2:$C$1369,0)))</f>
        <v/>
      </c>
      <c r="L1007" s="9">
        <f>IF(ISNA(MATCH(998,'Transfer Engine'!$C$2:$C$1369,0)),"",INDEX('Compliance Database'!$L$2:$L$1369,MATCH(998,'Transfer Engine'!$C$2:$C$1369,0)))</f>
        <v/>
      </c>
      <c r="M1007" s="9">
        <f>IF(ISNA(MATCH(998,'Transfer Engine'!$C$2:$C$1369,0)),"",INDEX('Compliance Database'!$M$2:$M$1369,MATCH(998,'Transfer Engine'!$C$2:$C$1369,0)))</f>
        <v/>
      </c>
      <c r="N1007" s="9">
        <f>IF(ISNA(MATCH(998,'Transfer Engine'!$C$2:$C$1369,0)),"",INDEX('Compliance Database'!$N$2:$N$1369,MATCH(998,'Transfer Engine'!$C$2:$C$1369,0)))</f>
        <v/>
      </c>
      <c r="O1007" s="8">
        <f>IF(ISNA(MATCH(998,'Transfer Engine'!$C$2:$C$1369,0)),"",HYPERLINK(INDEX('Compliance Database'!$O$2:$O$1369,MATCH(998,'Transfer Engine'!$C$2:$C$1369,0)),"Open PDF"))</f>
        <v/>
      </c>
    </row>
    <row r="1008" ht="188" customHeight="1">
      <c r="A1008" s="8">
        <f>IF(ISNA(MATCH(999,'Transfer Engine'!$C$2:$C$1369,0)),"",INDEX('Compliance Database'!$A$2:$A$1369,MATCH(999,'Transfer Engine'!$C$2:$C$1369,0)))</f>
        <v/>
      </c>
      <c r="B1008" s="8">
        <f>IF(ISNA(MATCH(999,'Transfer Engine'!$C$2:$C$1369,0)),"",INDEX('Compliance Database'!$B$2:$B$1369,MATCH(999,'Transfer Engine'!$C$2:$C$1369,0)))</f>
        <v/>
      </c>
      <c r="C1008" s="8">
        <f>IF(ISNA(MATCH(999,'Transfer Engine'!$C$2:$C$1369,0)),"",INDEX('Compliance Database'!$C$2:$C$1369,MATCH(999,'Transfer Engine'!$C$2:$C$1369,0)))</f>
        <v/>
      </c>
      <c r="D1008" s="9">
        <f>IF(ISNA(MATCH(999,'Transfer Engine'!$C$2:$C$1369,0)),"",INDEX('Compliance Database'!$D$2:$D$1369,MATCH(999,'Transfer Engine'!$C$2:$C$1369,0)))</f>
        <v/>
      </c>
      <c r="E1008" s="8">
        <f>IF(ISNA(MATCH(999,'Transfer Engine'!$C$2:$C$1369,0)),"",INDEX('Compliance Database'!$E$2:$E$1369,MATCH(999,'Transfer Engine'!$C$2:$C$1369,0)))</f>
        <v/>
      </c>
      <c r="F1008" s="8">
        <f>IF(ISNA(MATCH(999,'Transfer Engine'!$C$2:$C$1369,0)),"",INDEX('Compliance Database'!$F$2:$F$1369,MATCH(999,'Transfer Engine'!$C$2:$C$1369,0)))</f>
        <v/>
      </c>
      <c r="G1008" s="8">
        <f>IF(ISNA(MATCH(999,'Transfer Engine'!$C$2:$C$1369,0)),"",INDEX('Compliance Database'!$G$2:$G$1369,MATCH(999,'Transfer Engine'!$C$2:$C$1369,0)))</f>
        <v/>
      </c>
      <c r="H1008" s="9">
        <f>IF(ISNA(MATCH(999,'Transfer Engine'!$C$2:$C$1369,0)),"",INDEX('Compliance Database'!$H$2:$H$1369,MATCH(999,'Transfer Engine'!$C$2:$C$1369,0)))</f>
        <v/>
      </c>
      <c r="I1008" s="9">
        <f>IF(ISNA(MATCH(999,'Transfer Engine'!$C$2:$C$1369,0)),"",INDEX('Compliance Database'!$I$2:$I$1369,MATCH(999,'Transfer Engine'!$C$2:$C$1369,0)))</f>
        <v/>
      </c>
      <c r="J1008" s="8">
        <f>IF(ISNA(MATCH(999,'Transfer Engine'!$C$2:$C$1369,0)),"",INDEX('Compliance Database'!$J$2:$J$1369,MATCH(999,'Transfer Engine'!$C$2:$C$1369,0)))</f>
        <v/>
      </c>
      <c r="K1008" s="9">
        <f>IF(ISNA(MATCH(999,'Transfer Engine'!$C$2:$C$1369,0)),"",INDEX('Compliance Database'!$K$2:$K$1369,MATCH(999,'Transfer Engine'!$C$2:$C$1369,0)))</f>
        <v/>
      </c>
      <c r="L1008" s="9">
        <f>IF(ISNA(MATCH(999,'Transfer Engine'!$C$2:$C$1369,0)),"",INDEX('Compliance Database'!$L$2:$L$1369,MATCH(999,'Transfer Engine'!$C$2:$C$1369,0)))</f>
        <v/>
      </c>
      <c r="M1008" s="9">
        <f>IF(ISNA(MATCH(999,'Transfer Engine'!$C$2:$C$1369,0)),"",INDEX('Compliance Database'!$M$2:$M$1369,MATCH(999,'Transfer Engine'!$C$2:$C$1369,0)))</f>
        <v/>
      </c>
      <c r="N1008" s="9">
        <f>IF(ISNA(MATCH(999,'Transfer Engine'!$C$2:$C$1369,0)),"",INDEX('Compliance Database'!$N$2:$N$1369,MATCH(999,'Transfer Engine'!$C$2:$C$1369,0)))</f>
        <v/>
      </c>
      <c r="O1008" s="8">
        <f>IF(ISNA(MATCH(999,'Transfer Engine'!$C$2:$C$1369,0)),"",HYPERLINK(INDEX('Compliance Database'!$O$2:$O$1369,MATCH(999,'Transfer Engine'!$C$2:$C$1369,0)),"Open PDF"))</f>
        <v/>
      </c>
    </row>
    <row r="1009" ht="188" customHeight="1">
      <c r="A1009" s="8">
        <f>IF(ISNA(MATCH(1000,'Transfer Engine'!$C$2:$C$1369,0)),"",INDEX('Compliance Database'!$A$2:$A$1369,MATCH(1000,'Transfer Engine'!$C$2:$C$1369,0)))</f>
        <v/>
      </c>
      <c r="B1009" s="8">
        <f>IF(ISNA(MATCH(1000,'Transfer Engine'!$C$2:$C$1369,0)),"",INDEX('Compliance Database'!$B$2:$B$1369,MATCH(1000,'Transfer Engine'!$C$2:$C$1369,0)))</f>
        <v/>
      </c>
      <c r="C1009" s="8">
        <f>IF(ISNA(MATCH(1000,'Transfer Engine'!$C$2:$C$1369,0)),"",INDEX('Compliance Database'!$C$2:$C$1369,MATCH(1000,'Transfer Engine'!$C$2:$C$1369,0)))</f>
        <v/>
      </c>
      <c r="D1009" s="9">
        <f>IF(ISNA(MATCH(1000,'Transfer Engine'!$C$2:$C$1369,0)),"",INDEX('Compliance Database'!$D$2:$D$1369,MATCH(1000,'Transfer Engine'!$C$2:$C$1369,0)))</f>
        <v/>
      </c>
      <c r="E1009" s="8">
        <f>IF(ISNA(MATCH(1000,'Transfer Engine'!$C$2:$C$1369,0)),"",INDEX('Compliance Database'!$E$2:$E$1369,MATCH(1000,'Transfer Engine'!$C$2:$C$1369,0)))</f>
        <v/>
      </c>
      <c r="F1009" s="8">
        <f>IF(ISNA(MATCH(1000,'Transfer Engine'!$C$2:$C$1369,0)),"",INDEX('Compliance Database'!$F$2:$F$1369,MATCH(1000,'Transfer Engine'!$C$2:$C$1369,0)))</f>
        <v/>
      </c>
      <c r="G1009" s="8">
        <f>IF(ISNA(MATCH(1000,'Transfer Engine'!$C$2:$C$1369,0)),"",INDEX('Compliance Database'!$G$2:$G$1369,MATCH(1000,'Transfer Engine'!$C$2:$C$1369,0)))</f>
        <v/>
      </c>
      <c r="H1009" s="9">
        <f>IF(ISNA(MATCH(1000,'Transfer Engine'!$C$2:$C$1369,0)),"",INDEX('Compliance Database'!$H$2:$H$1369,MATCH(1000,'Transfer Engine'!$C$2:$C$1369,0)))</f>
        <v/>
      </c>
      <c r="I1009" s="9">
        <f>IF(ISNA(MATCH(1000,'Transfer Engine'!$C$2:$C$1369,0)),"",INDEX('Compliance Database'!$I$2:$I$1369,MATCH(1000,'Transfer Engine'!$C$2:$C$1369,0)))</f>
        <v/>
      </c>
      <c r="J1009" s="8">
        <f>IF(ISNA(MATCH(1000,'Transfer Engine'!$C$2:$C$1369,0)),"",INDEX('Compliance Database'!$J$2:$J$1369,MATCH(1000,'Transfer Engine'!$C$2:$C$1369,0)))</f>
        <v/>
      </c>
      <c r="K1009" s="9">
        <f>IF(ISNA(MATCH(1000,'Transfer Engine'!$C$2:$C$1369,0)),"",INDEX('Compliance Database'!$K$2:$K$1369,MATCH(1000,'Transfer Engine'!$C$2:$C$1369,0)))</f>
        <v/>
      </c>
      <c r="L1009" s="9">
        <f>IF(ISNA(MATCH(1000,'Transfer Engine'!$C$2:$C$1369,0)),"",INDEX('Compliance Database'!$L$2:$L$1369,MATCH(1000,'Transfer Engine'!$C$2:$C$1369,0)))</f>
        <v/>
      </c>
      <c r="M1009" s="9">
        <f>IF(ISNA(MATCH(1000,'Transfer Engine'!$C$2:$C$1369,0)),"",INDEX('Compliance Database'!$M$2:$M$1369,MATCH(1000,'Transfer Engine'!$C$2:$C$1369,0)))</f>
        <v/>
      </c>
      <c r="N1009" s="9">
        <f>IF(ISNA(MATCH(1000,'Transfer Engine'!$C$2:$C$1369,0)),"",INDEX('Compliance Database'!$N$2:$N$1369,MATCH(1000,'Transfer Engine'!$C$2:$C$1369,0)))</f>
        <v/>
      </c>
      <c r="O1009" s="8">
        <f>IF(ISNA(MATCH(1000,'Transfer Engine'!$C$2:$C$1369,0)),"",HYPERLINK(INDEX('Compliance Database'!$O$2:$O$1369,MATCH(1000,'Transfer Engine'!$C$2:$C$1369,0)),"Open PDF"))</f>
        <v/>
      </c>
    </row>
    <row r="1010" ht="188" customHeight="1">
      <c r="A1010" s="8">
        <f>IF(ISNA(MATCH(1001,'Transfer Engine'!$C$2:$C$1369,0)),"",INDEX('Compliance Database'!$A$2:$A$1369,MATCH(1001,'Transfer Engine'!$C$2:$C$1369,0)))</f>
        <v/>
      </c>
      <c r="B1010" s="8">
        <f>IF(ISNA(MATCH(1001,'Transfer Engine'!$C$2:$C$1369,0)),"",INDEX('Compliance Database'!$B$2:$B$1369,MATCH(1001,'Transfer Engine'!$C$2:$C$1369,0)))</f>
        <v/>
      </c>
      <c r="C1010" s="8">
        <f>IF(ISNA(MATCH(1001,'Transfer Engine'!$C$2:$C$1369,0)),"",INDEX('Compliance Database'!$C$2:$C$1369,MATCH(1001,'Transfer Engine'!$C$2:$C$1369,0)))</f>
        <v/>
      </c>
      <c r="D1010" s="9">
        <f>IF(ISNA(MATCH(1001,'Transfer Engine'!$C$2:$C$1369,0)),"",INDEX('Compliance Database'!$D$2:$D$1369,MATCH(1001,'Transfer Engine'!$C$2:$C$1369,0)))</f>
        <v/>
      </c>
      <c r="E1010" s="8">
        <f>IF(ISNA(MATCH(1001,'Transfer Engine'!$C$2:$C$1369,0)),"",INDEX('Compliance Database'!$E$2:$E$1369,MATCH(1001,'Transfer Engine'!$C$2:$C$1369,0)))</f>
        <v/>
      </c>
      <c r="F1010" s="8">
        <f>IF(ISNA(MATCH(1001,'Transfer Engine'!$C$2:$C$1369,0)),"",INDEX('Compliance Database'!$F$2:$F$1369,MATCH(1001,'Transfer Engine'!$C$2:$C$1369,0)))</f>
        <v/>
      </c>
      <c r="G1010" s="8">
        <f>IF(ISNA(MATCH(1001,'Transfer Engine'!$C$2:$C$1369,0)),"",INDEX('Compliance Database'!$G$2:$G$1369,MATCH(1001,'Transfer Engine'!$C$2:$C$1369,0)))</f>
        <v/>
      </c>
      <c r="H1010" s="9">
        <f>IF(ISNA(MATCH(1001,'Transfer Engine'!$C$2:$C$1369,0)),"",INDEX('Compliance Database'!$H$2:$H$1369,MATCH(1001,'Transfer Engine'!$C$2:$C$1369,0)))</f>
        <v/>
      </c>
      <c r="I1010" s="9">
        <f>IF(ISNA(MATCH(1001,'Transfer Engine'!$C$2:$C$1369,0)),"",INDEX('Compliance Database'!$I$2:$I$1369,MATCH(1001,'Transfer Engine'!$C$2:$C$1369,0)))</f>
        <v/>
      </c>
      <c r="J1010" s="8">
        <f>IF(ISNA(MATCH(1001,'Transfer Engine'!$C$2:$C$1369,0)),"",INDEX('Compliance Database'!$J$2:$J$1369,MATCH(1001,'Transfer Engine'!$C$2:$C$1369,0)))</f>
        <v/>
      </c>
      <c r="K1010" s="9">
        <f>IF(ISNA(MATCH(1001,'Transfer Engine'!$C$2:$C$1369,0)),"",INDEX('Compliance Database'!$K$2:$K$1369,MATCH(1001,'Transfer Engine'!$C$2:$C$1369,0)))</f>
        <v/>
      </c>
      <c r="L1010" s="9">
        <f>IF(ISNA(MATCH(1001,'Transfer Engine'!$C$2:$C$1369,0)),"",INDEX('Compliance Database'!$L$2:$L$1369,MATCH(1001,'Transfer Engine'!$C$2:$C$1369,0)))</f>
        <v/>
      </c>
      <c r="M1010" s="9">
        <f>IF(ISNA(MATCH(1001,'Transfer Engine'!$C$2:$C$1369,0)),"",INDEX('Compliance Database'!$M$2:$M$1369,MATCH(1001,'Transfer Engine'!$C$2:$C$1369,0)))</f>
        <v/>
      </c>
      <c r="N1010" s="9">
        <f>IF(ISNA(MATCH(1001,'Transfer Engine'!$C$2:$C$1369,0)),"",INDEX('Compliance Database'!$N$2:$N$1369,MATCH(1001,'Transfer Engine'!$C$2:$C$1369,0)))</f>
        <v/>
      </c>
      <c r="O1010" s="8">
        <f>IF(ISNA(MATCH(1001,'Transfer Engine'!$C$2:$C$1369,0)),"",HYPERLINK(INDEX('Compliance Database'!$O$2:$O$1369,MATCH(1001,'Transfer Engine'!$C$2:$C$1369,0)),"Open PDF"))</f>
        <v/>
      </c>
    </row>
    <row r="1011" ht="188" customHeight="1">
      <c r="A1011" s="8">
        <f>IF(ISNA(MATCH(1002,'Transfer Engine'!$C$2:$C$1369,0)),"",INDEX('Compliance Database'!$A$2:$A$1369,MATCH(1002,'Transfer Engine'!$C$2:$C$1369,0)))</f>
        <v/>
      </c>
      <c r="B1011" s="8">
        <f>IF(ISNA(MATCH(1002,'Transfer Engine'!$C$2:$C$1369,0)),"",INDEX('Compliance Database'!$B$2:$B$1369,MATCH(1002,'Transfer Engine'!$C$2:$C$1369,0)))</f>
        <v/>
      </c>
      <c r="C1011" s="8">
        <f>IF(ISNA(MATCH(1002,'Transfer Engine'!$C$2:$C$1369,0)),"",INDEX('Compliance Database'!$C$2:$C$1369,MATCH(1002,'Transfer Engine'!$C$2:$C$1369,0)))</f>
        <v/>
      </c>
      <c r="D1011" s="9">
        <f>IF(ISNA(MATCH(1002,'Transfer Engine'!$C$2:$C$1369,0)),"",INDEX('Compliance Database'!$D$2:$D$1369,MATCH(1002,'Transfer Engine'!$C$2:$C$1369,0)))</f>
        <v/>
      </c>
      <c r="E1011" s="8">
        <f>IF(ISNA(MATCH(1002,'Transfer Engine'!$C$2:$C$1369,0)),"",INDEX('Compliance Database'!$E$2:$E$1369,MATCH(1002,'Transfer Engine'!$C$2:$C$1369,0)))</f>
        <v/>
      </c>
      <c r="F1011" s="8">
        <f>IF(ISNA(MATCH(1002,'Transfer Engine'!$C$2:$C$1369,0)),"",INDEX('Compliance Database'!$F$2:$F$1369,MATCH(1002,'Transfer Engine'!$C$2:$C$1369,0)))</f>
        <v/>
      </c>
      <c r="G1011" s="8">
        <f>IF(ISNA(MATCH(1002,'Transfer Engine'!$C$2:$C$1369,0)),"",INDEX('Compliance Database'!$G$2:$G$1369,MATCH(1002,'Transfer Engine'!$C$2:$C$1369,0)))</f>
        <v/>
      </c>
      <c r="H1011" s="9">
        <f>IF(ISNA(MATCH(1002,'Transfer Engine'!$C$2:$C$1369,0)),"",INDEX('Compliance Database'!$H$2:$H$1369,MATCH(1002,'Transfer Engine'!$C$2:$C$1369,0)))</f>
        <v/>
      </c>
      <c r="I1011" s="9">
        <f>IF(ISNA(MATCH(1002,'Transfer Engine'!$C$2:$C$1369,0)),"",INDEX('Compliance Database'!$I$2:$I$1369,MATCH(1002,'Transfer Engine'!$C$2:$C$1369,0)))</f>
        <v/>
      </c>
      <c r="J1011" s="8">
        <f>IF(ISNA(MATCH(1002,'Transfer Engine'!$C$2:$C$1369,0)),"",INDEX('Compliance Database'!$J$2:$J$1369,MATCH(1002,'Transfer Engine'!$C$2:$C$1369,0)))</f>
        <v/>
      </c>
      <c r="K1011" s="9">
        <f>IF(ISNA(MATCH(1002,'Transfer Engine'!$C$2:$C$1369,0)),"",INDEX('Compliance Database'!$K$2:$K$1369,MATCH(1002,'Transfer Engine'!$C$2:$C$1369,0)))</f>
        <v/>
      </c>
      <c r="L1011" s="9">
        <f>IF(ISNA(MATCH(1002,'Transfer Engine'!$C$2:$C$1369,0)),"",INDEX('Compliance Database'!$L$2:$L$1369,MATCH(1002,'Transfer Engine'!$C$2:$C$1369,0)))</f>
        <v/>
      </c>
      <c r="M1011" s="9">
        <f>IF(ISNA(MATCH(1002,'Transfer Engine'!$C$2:$C$1369,0)),"",INDEX('Compliance Database'!$M$2:$M$1369,MATCH(1002,'Transfer Engine'!$C$2:$C$1369,0)))</f>
        <v/>
      </c>
      <c r="N1011" s="9">
        <f>IF(ISNA(MATCH(1002,'Transfer Engine'!$C$2:$C$1369,0)),"",INDEX('Compliance Database'!$N$2:$N$1369,MATCH(1002,'Transfer Engine'!$C$2:$C$1369,0)))</f>
        <v/>
      </c>
      <c r="O1011" s="8">
        <f>IF(ISNA(MATCH(1002,'Transfer Engine'!$C$2:$C$1369,0)),"",HYPERLINK(INDEX('Compliance Database'!$O$2:$O$1369,MATCH(1002,'Transfer Engine'!$C$2:$C$1369,0)),"Open PDF"))</f>
        <v/>
      </c>
    </row>
    <row r="1012" ht="188" customHeight="1">
      <c r="A1012" s="8">
        <f>IF(ISNA(MATCH(1003,'Transfer Engine'!$C$2:$C$1369,0)),"",INDEX('Compliance Database'!$A$2:$A$1369,MATCH(1003,'Transfer Engine'!$C$2:$C$1369,0)))</f>
        <v/>
      </c>
      <c r="B1012" s="8">
        <f>IF(ISNA(MATCH(1003,'Transfer Engine'!$C$2:$C$1369,0)),"",INDEX('Compliance Database'!$B$2:$B$1369,MATCH(1003,'Transfer Engine'!$C$2:$C$1369,0)))</f>
        <v/>
      </c>
      <c r="C1012" s="8">
        <f>IF(ISNA(MATCH(1003,'Transfer Engine'!$C$2:$C$1369,0)),"",INDEX('Compliance Database'!$C$2:$C$1369,MATCH(1003,'Transfer Engine'!$C$2:$C$1369,0)))</f>
        <v/>
      </c>
      <c r="D1012" s="9">
        <f>IF(ISNA(MATCH(1003,'Transfer Engine'!$C$2:$C$1369,0)),"",INDEX('Compliance Database'!$D$2:$D$1369,MATCH(1003,'Transfer Engine'!$C$2:$C$1369,0)))</f>
        <v/>
      </c>
      <c r="E1012" s="8">
        <f>IF(ISNA(MATCH(1003,'Transfer Engine'!$C$2:$C$1369,0)),"",INDEX('Compliance Database'!$E$2:$E$1369,MATCH(1003,'Transfer Engine'!$C$2:$C$1369,0)))</f>
        <v/>
      </c>
      <c r="F1012" s="8">
        <f>IF(ISNA(MATCH(1003,'Transfer Engine'!$C$2:$C$1369,0)),"",INDEX('Compliance Database'!$F$2:$F$1369,MATCH(1003,'Transfer Engine'!$C$2:$C$1369,0)))</f>
        <v/>
      </c>
      <c r="G1012" s="8">
        <f>IF(ISNA(MATCH(1003,'Transfer Engine'!$C$2:$C$1369,0)),"",INDEX('Compliance Database'!$G$2:$G$1369,MATCH(1003,'Transfer Engine'!$C$2:$C$1369,0)))</f>
        <v/>
      </c>
      <c r="H1012" s="9">
        <f>IF(ISNA(MATCH(1003,'Transfer Engine'!$C$2:$C$1369,0)),"",INDEX('Compliance Database'!$H$2:$H$1369,MATCH(1003,'Transfer Engine'!$C$2:$C$1369,0)))</f>
        <v/>
      </c>
      <c r="I1012" s="9">
        <f>IF(ISNA(MATCH(1003,'Transfer Engine'!$C$2:$C$1369,0)),"",INDEX('Compliance Database'!$I$2:$I$1369,MATCH(1003,'Transfer Engine'!$C$2:$C$1369,0)))</f>
        <v/>
      </c>
      <c r="J1012" s="8">
        <f>IF(ISNA(MATCH(1003,'Transfer Engine'!$C$2:$C$1369,0)),"",INDEX('Compliance Database'!$J$2:$J$1369,MATCH(1003,'Transfer Engine'!$C$2:$C$1369,0)))</f>
        <v/>
      </c>
      <c r="K1012" s="9">
        <f>IF(ISNA(MATCH(1003,'Transfer Engine'!$C$2:$C$1369,0)),"",INDEX('Compliance Database'!$K$2:$K$1369,MATCH(1003,'Transfer Engine'!$C$2:$C$1369,0)))</f>
        <v/>
      </c>
      <c r="L1012" s="9">
        <f>IF(ISNA(MATCH(1003,'Transfer Engine'!$C$2:$C$1369,0)),"",INDEX('Compliance Database'!$L$2:$L$1369,MATCH(1003,'Transfer Engine'!$C$2:$C$1369,0)))</f>
        <v/>
      </c>
      <c r="M1012" s="9">
        <f>IF(ISNA(MATCH(1003,'Transfer Engine'!$C$2:$C$1369,0)),"",INDEX('Compliance Database'!$M$2:$M$1369,MATCH(1003,'Transfer Engine'!$C$2:$C$1369,0)))</f>
        <v/>
      </c>
      <c r="N1012" s="9">
        <f>IF(ISNA(MATCH(1003,'Transfer Engine'!$C$2:$C$1369,0)),"",INDEX('Compliance Database'!$N$2:$N$1369,MATCH(1003,'Transfer Engine'!$C$2:$C$1369,0)))</f>
        <v/>
      </c>
      <c r="O1012" s="8">
        <f>IF(ISNA(MATCH(1003,'Transfer Engine'!$C$2:$C$1369,0)),"",HYPERLINK(INDEX('Compliance Database'!$O$2:$O$1369,MATCH(1003,'Transfer Engine'!$C$2:$C$1369,0)),"Open PDF"))</f>
        <v/>
      </c>
    </row>
    <row r="1013" ht="188" customHeight="1">
      <c r="A1013" s="8">
        <f>IF(ISNA(MATCH(1004,'Transfer Engine'!$C$2:$C$1369,0)),"",INDEX('Compliance Database'!$A$2:$A$1369,MATCH(1004,'Transfer Engine'!$C$2:$C$1369,0)))</f>
        <v/>
      </c>
      <c r="B1013" s="8">
        <f>IF(ISNA(MATCH(1004,'Transfer Engine'!$C$2:$C$1369,0)),"",INDEX('Compliance Database'!$B$2:$B$1369,MATCH(1004,'Transfer Engine'!$C$2:$C$1369,0)))</f>
        <v/>
      </c>
      <c r="C1013" s="8">
        <f>IF(ISNA(MATCH(1004,'Transfer Engine'!$C$2:$C$1369,0)),"",INDEX('Compliance Database'!$C$2:$C$1369,MATCH(1004,'Transfer Engine'!$C$2:$C$1369,0)))</f>
        <v/>
      </c>
      <c r="D1013" s="9">
        <f>IF(ISNA(MATCH(1004,'Transfer Engine'!$C$2:$C$1369,0)),"",INDEX('Compliance Database'!$D$2:$D$1369,MATCH(1004,'Transfer Engine'!$C$2:$C$1369,0)))</f>
        <v/>
      </c>
      <c r="E1013" s="8">
        <f>IF(ISNA(MATCH(1004,'Transfer Engine'!$C$2:$C$1369,0)),"",INDEX('Compliance Database'!$E$2:$E$1369,MATCH(1004,'Transfer Engine'!$C$2:$C$1369,0)))</f>
        <v/>
      </c>
      <c r="F1013" s="8">
        <f>IF(ISNA(MATCH(1004,'Transfer Engine'!$C$2:$C$1369,0)),"",INDEX('Compliance Database'!$F$2:$F$1369,MATCH(1004,'Transfer Engine'!$C$2:$C$1369,0)))</f>
        <v/>
      </c>
      <c r="G1013" s="8">
        <f>IF(ISNA(MATCH(1004,'Transfer Engine'!$C$2:$C$1369,0)),"",INDEX('Compliance Database'!$G$2:$G$1369,MATCH(1004,'Transfer Engine'!$C$2:$C$1369,0)))</f>
        <v/>
      </c>
      <c r="H1013" s="9">
        <f>IF(ISNA(MATCH(1004,'Transfer Engine'!$C$2:$C$1369,0)),"",INDEX('Compliance Database'!$H$2:$H$1369,MATCH(1004,'Transfer Engine'!$C$2:$C$1369,0)))</f>
        <v/>
      </c>
      <c r="I1013" s="9">
        <f>IF(ISNA(MATCH(1004,'Transfer Engine'!$C$2:$C$1369,0)),"",INDEX('Compliance Database'!$I$2:$I$1369,MATCH(1004,'Transfer Engine'!$C$2:$C$1369,0)))</f>
        <v/>
      </c>
      <c r="J1013" s="8">
        <f>IF(ISNA(MATCH(1004,'Transfer Engine'!$C$2:$C$1369,0)),"",INDEX('Compliance Database'!$J$2:$J$1369,MATCH(1004,'Transfer Engine'!$C$2:$C$1369,0)))</f>
        <v/>
      </c>
      <c r="K1013" s="9">
        <f>IF(ISNA(MATCH(1004,'Transfer Engine'!$C$2:$C$1369,0)),"",INDEX('Compliance Database'!$K$2:$K$1369,MATCH(1004,'Transfer Engine'!$C$2:$C$1369,0)))</f>
        <v/>
      </c>
      <c r="L1013" s="9">
        <f>IF(ISNA(MATCH(1004,'Transfer Engine'!$C$2:$C$1369,0)),"",INDEX('Compliance Database'!$L$2:$L$1369,MATCH(1004,'Transfer Engine'!$C$2:$C$1369,0)))</f>
        <v/>
      </c>
      <c r="M1013" s="9">
        <f>IF(ISNA(MATCH(1004,'Transfer Engine'!$C$2:$C$1369,0)),"",INDEX('Compliance Database'!$M$2:$M$1369,MATCH(1004,'Transfer Engine'!$C$2:$C$1369,0)))</f>
        <v/>
      </c>
      <c r="N1013" s="9">
        <f>IF(ISNA(MATCH(1004,'Transfer Engine'!$C$2:$C$1369,0)),"",INDEX('Compliance Database'!$N$2:$N$1369,MATCH(1004,'Transfer Engine'!$C$2:$C$1369,0)))</f>
        <v/>
      </c>
      <c r="O1013" s="8">
        <f>IF(ISNA(MATCH(1004,'Transfer Engine'!$C$2:$C$1369,0)),"",HYPERLINK(INDEX('Compliance Database'!$O$2:$O$1369,MATCH(1004,'Transfer Engine'!$C$2:$C$1369,0)),"Open PDF"))</f>
        <v/>
      </c>
    </row>
    <row r="1014" ht="188" customHeight="1">
      <c r="A1014" s="8">
        <f>IF(ISNA(MATCH(1005,'Transfer Engine'!$C$2:$C$1369,0)),"",INDEX('Compliance Database'!$A$2:$A$1369,MATCH(1005,'Transfer Engine'!$C$2:$C$1369,0)))</f>
        <v/>
      </c>
      <c r="B1014" s="8">
        <f>IF(ISNA(MATCH(1005,'Transfer Engine'!$C$2:$C$1369,0)),"",INDEX('Compliance Database'!$B$2:$B$1369,MATCH(1005,'Transfer Engine'!$C$2:$C$1369,0)))</f>
        <v/>
      </c>
      <c r="C1014" s="8">
        <f>IF(ISNA(MATCH(1005,'Transfer Engine'!$C$2:$C$1369,0)),"",INDEX('Compliance Database'!$C$2:$C$1369,MATCH(1005,'Transfer Engine'!$C$2:$C$1369,0)))</f>
        <v/>
      </c>
      <c r="D1014" s="9">
        <f>IF(ISNA(MATCH(1005,'Transfer Engine'!$C$2:$C$1369,0)),"",INDEX('Compliance Database'!$D$2:$D$1369,MATCH(1005,'Transfer Engine'!$C$2:$C$1369,0)))</f>
        <v/>
      </c>
      <c r="E1014" s="8">
        <f>IF(ISNA(MATCH(1005,'Transfer Engine'!$C$2:$C$1369,0)),"",INDEX('Compliance Database'!$E$2:$E$1369,MATCH(1005,'Transfer Engine'!$C$2:$C$1369,0)))</f>
        <v/>
      </c>
      <c r="F1014" s="8">
        <f>IF(ISNA(MATCH(1005,'Transfer Engine'!$C$2:$C$1369,0)),"",INDEX('Compliance Database'!$F$2:$F$1369,MATCH(1005,'Transfer Engine'!$C$2:$C$1369,0)))</f>
        <v/>
      </c>
      <c r="G1014" s="8">
        <f>IF(ISNA(MATCH(1005,'Transfer Engine'!$C$2:$C$1369,0)),"",INDEX('Compliance Database'!$G$2:$G$1369,MATCH(1005,'Transfer Engine'!$C$2:$C$1369,0)))</f>
        <v/>
      </c>
      <c r="H1014" s="9">
        <f>IF(ISNA(MATCH(1005,'Transfer Engine'!$C$2:$C$1369,0)),"",INDEX('Compliance Database'!$H$2:$H$1369,MATCH(1005,'Transfer Engine'!$C$2:$C$1369,0)))</f>
        <v/>
      </c>
      <c r="I1014" s="9">
        <f>IF(ISNA(MATCH(1005,'Transfer Engine'!$C$2:$C$1369,0)),"",INDEX('Compliance Database'!$I$2:$I$1369,MATCH(1005,'Transfer Engine'!$C$2:$C$1369,0)))</f>
        <v/>
      </c>
      <c r="J1014" s="8">
        <f>IF(ISNA(MATCH(1005,'Transfer Engine'!$C$2:$C$1369,0)),"",INDEX('Compliance Database'!$J$2:$J$1369,MATCH(1005,'Transfer Engine'!$C$2:$C$1369,0)))</f>
        <v/>
      </c>
      <c r="K1014" s="9">
        <f>IF(ISNA(MATCH(1005,'Transfer Engine'!$C$2:$C$1369,0)),"",INDEX('Compliance Database'!$K$2:$K$1369,MATCH(1005,'Transfer Engine'!$C$2:$C$1369,0)))</f>
        <v/>
      </c>
      <c r="L1014" s="9">
        <f>IF(ISNA(MATCH(1005,'Transfer Engine'!$C$2:$C$1369,0)),"",INDEX('Compliance Database'!$L$2:$L$1369,MATCH(1005,'Transfer Engine'!$C$2:$C$1369,0)))</f>
        <v/>
      </c>
      <c r="M1014" s="9">
        <f>IF(ISNA(MATCH(1005,'Transfer Engine'!$C$2:$C$1369,0)),"",INDEX('Compliance Database'!$M$2:$M$1369,MATCH(1005,'Transfer Engine'!$C$2:$C$1369,0)))</f>
        <v/>
      </c>
      <c r="N1014" s="9">
        <f>IF(ISNA(MATCH(1005,'Transfer Engine'!$C$2:$C$1369,0)),"",INDEX('Compliance Database'!$N$2:$N$1369,MATCH(1005,'Transfer Engine'!$C$2:$C$1369,0)))</f>
        <v/>
      </c>
      <c r="O1014" s="8">
        <f>IF(ISNA(MATCH(1005,'Transfer Engine'!$C$2:$C$1369,0)),"",HYPERLINK(INDEX('Compliance Database'!$O$2:$O$1369,MATCH(1005,'Transfer Engine'!$C$2:$C$1369,0)),"Open PDF"))</f>
        <v/>
      </c>
    </row>
    <row r="1015" ht="188" customHeight="1">
      <c r="A1015" s="8">
        <f>IF(ISNA(MATCH(1006,'Transfer Engine'!$C$2:$C$1369,0)),"",INDEX('Compliance Database'!$A$2:$A$1369,MATCH(1006,'Transfer Engine'!$C$2:$C$1369,0)))</f>
        <v/>
      </c>
      <c r="B1015" s="8">
        <f>IF(ISNA(MATCH(1006,'Transfer Engine'!$C$2:$C$1369,0)),"",INDEX('Compliance Database'!$B$2:$B$1369,MATCH(1006,'Transfer Engine'!$C$2:$C$1369,0)))</f>
        <v/>
      </c>
      <c r="C1015" s="8">
        <f>IF(ISNA(MATCH(1006,'Transfer Engine'!$C$2:$C$1369,0)),"",INDEX('Compliance Database'!$C$2:$C$1369,MATCH(1006,'Transfer Engine'!$C$2:$C$1369,0)))</f>
        <v/>
      </c>
      <c r="D1015" s="9">
        <f>IF(ISNA(MATCH(1006,'Transfer Engine'!$C$2:$C$1369,0)),"",INDEX('Compliance Database'!$D$2:$D$1369,MATCH(1006,'Transfer Engine'!$C$2:$C$1369,0)))</f>
        <v/>
      </c>
      <c r="E1015" s="8">
        <f>IF(ISNA(MATCH(1006,'Transfer Engine'!$C$2:$C$1369,0)),"",INDEX('Compliance Database'!$E$2:$E$1369,MATCH(1006,'Transfer Engine'!$C$2:$C$1369,0)))</f>
        <v/>
      </c>
      <c r="F1015" s="8">
        <f>IF(ISNA(MATCH(1006,'Transfer Engine'!$C$2:$C$1369,0)),"",INDEX('Compliance Database'!$F$2:$F$1369,MATCH(1006,'Transfer Engine'!$C$2:$C$1369,0)))</f>
        <v/>
      </c>
      <c r="G1015" s="8">
        <f>IF(ISNA(MATCH(1006,'Transfer Engine'!$C$2:$C$1369,0)),"",INDEX('Compliance Database'!$G$2:$G$1369,MATCH(1006,'Transfer Engine'!$C$2:$C$1369,0)))</f>
        <v/>
      </c>
      <c r="H1015" s="9">
        <f>IF(ISNA(MATCH(1006,'Transfer Engine'!$C$2:$C$1369,0)),"",INDEX('Compliance Database'!$H$2:$H$1369,MATCH(1006,'Transfer Engine'!$C$2:$C$1369,0)))</f>
        <v/>
      </c>
      <c r="I1015" s="9">
        <f>IF(ISNA(MATCH(1006,'Transfer Engine'!$C$2:$C$1369,0)),"",INDEX('Compliance Database'!$I$2:$I$1369,MATCH(1006,'Transfer Engine'!$C$2:$C$1369,0)))</f>
        <v/>
      </c>
      <c r="J1015" s="8">
        <f>IF(ISNA(MATCH(1006,'Transfer Engine'!$C$2:$C$1369,0)),"",INDEX('Compliance Database'!$J$2:$J$1369,MATCH(1006,'Transfer Engine'!$C$2:$C$1369,0)))</f>
        <v/>
      </c>
      <c r="K1015" s="9">
        <f>IF(ISNA(MATCH(1006,'Transfer Engine'!$C$2:$C$1369,0)),"",INDEX('Compliance Database'!$K$2:$K$1369,MATCH(1006,'Transfer Engine'!$C$2:$C$1369,0)))</f>
        <v/>
      </c>
      <c r="L1015" s="9">
        <f>IF(ISNA(MATCH(1006,'Transfer Engine'!$C$2:$C$1369,0)),"",INDEX('Compliance Database'!$L$2:$L$1369,MATCH(1006,'Transfer Engine'!$C$2:$C$1369,0)))</f>
        <v/>
      </c>
      <c r="M1015" s="9">
        <f>IF(ISNA(MATCH(1006,'Transfer Engine'!$C$2:$C$1369,0)),"",INDEX('Compliance Database'!$M$2:$M$1369,MATCH(1006,'Transfer Engine'!$C$2:$C$1369,0)))</f>
        <v/>
      </c>
      <c r="N1015" s="9">
        <f>IF(ISNA(MATCH(1006,'Transfer Engine'!$C$2:$C$1369,0)),"",INDEX('Compliance Database'!$N$2:$N$1369,MATCH(1006,'Transfer Engine'!$C$2:$C$1369,0)))</f>
        <v/>
      </c>
      <c r="O1015" s="8">
        <f>IF(ISNA(MATCH(1006,'Transfer Engine'!$C$2:$C$1369,0)),"",HYPERLINK(INDEX('Compliance Database'!$O$2:$O$1369,MATCH(1006,'Transfer Engine'!$C$2:$C$1369,0)),"Open PDF"))</f>
        <v/>
      </c>
    </row>
    <row r="1016" ht="188" customHeight="1">
      <c r="A1016" s="8">
        <f>IF(ISNA(MATCH(1007,'Transfer Engine'!$C$2:$C$1369,0)),"",INDEX('Compliance Database'!$A$2:$A$1369,MATCH(1007,'Transfer Engine'!$C$2:$C$1369,0)))</f>
        <v/>
      </c>
      <c r="B1016" s="8">
        <f>IF(ISNA(MATCH(1007,'Transfer Engine'!$C$2:$C$1369,0)),"",INDEX('Compliance Database'!$B$2:$B$1369,MATCH(1007,'Transfer Engine'!$C$2:$C$1369,0)))</f>
        <v/>
      </c>
      <c r="C1016" s="8">
        <f>IF(ISNA(MATCH(1007,'Transfer Engine'!$C$2:$C$1369,0)),"",INDEX('Compliance Database'!$C$2:$C$1369,MATCH(1007,'Transfer Engine'!$C$2:$C$1369,0)))</f>
        <v/>
      </c>
      <c r="D1016" s="9">
        <f>IF(ISNA(MATCH(1007,'Transfer Engine'!$C$2:$C$1369,0)),"",INDEX('Compliance Database'!$D$2:$D$1369,MATCH(1007,'Transfer Engine'!$C$2:$C$1369,0)))</f>
        <v/>
      </c>
      <c r="E1016" s="8">
        <f>IF(ISNA(MATCH(1007,'Transfer Engine'!$C$2:$C$1369,0)),"",INDEX('Compliance Database'!$E$2:$E$1369,MATCH(1007,'Transfer Engine'!$C$2:$C$1369,0)))</f>
        <v/>
      </c>
      <c r="F1016" s="8">
        <f>IF(ISNA(MATCH(1007,'Transfer Engine'!$C$2:$C$1369,0)),"",INDEX('Compliance Database'!$F$2:$F$1369,MATCH(1007,'Transfer Engine'!$C$2:$C$1369,0)))</f>
        <v/>
      </c>
      <c r="G1016" s="8">
        <f>IF(ISNA(MATCH(1007,'Transfer Engine'!$C$2:$C$1369,0)),"",INDEX('Compliance Database'!$G$2:$G$1369,MATCH(1007,'Transfer Engine'!$C$2:$C$1369,0)))</f>
        <v/>
      </c>
      <c r="H1016" s="9">
        <f>IF(ISNA(MATCH(1007,'Transfer Engine'!$C$2:$C$1369,0)),"",INDEX('Compliance Database'!$H$2:$H$1369,MATCH(1007,'Transfer Engine'!$C$2:$C$1369,0)))</f>
        <v/>
      </c>
      <c r="I1016" s="9">
        <f>IF(ISNA(MATCH(1007,'Transfer Engine'!$C$2:$C$1369,0)),"",INDEX('Compliance Database'!$I$2:$I$1369,MATCH(1007,'Transfer Engine'!$C$2:$C$1369,0)))</f>
        <v/>
      </c>
      <c r="J1016" s="8">
        <f>IF(ISNA(MATCH(1007,'Transfer Engine'!$C$2:$C$1369,0)),"",INDEX('Compliance Database'!$J$2:$J$1369,MATCH(1007,'Transfer Engine'!$C$2:$C$1369,0)))</f>
        <v/>
      </c>
      <c r="K1016" s="9">
        <f>IF(ISNA(MATCH(1007,'Transfer Engine'!$C$2:$C$1369,0)),"",INDEX('Compliance Database'!$K$2:$K$1369,MATCH(1007,'Transfer Engine'!$C$2:$C$1369,0)))</f>
        <v/>
      </c>
      <c r="L1016" s="9">
        <f>IF(ISNA(MATCH(1007,'Transfer Engine'!$C$2:$C$1369,0)),"",INDEX('Compliance Database'!$L$2:$L$1369,MATCH(1007,'Transfer Engine'!$C$2:$C$1369,0)))</f>
        <v/>
      </c>
      <c r="M1016" s="9">
        <f>IF(ISNA(MATCH(1007,'Transfer Engine'!$C$2:$C$1369,0)),"",INDEX('Compliance Database'!$M$2:$M$1369,MATCH(1007,'Transfer Engine'!$C$2:$C$1369,0)))</f>
        <v/>
      </c>
      <c r="N1016" s="9">
        <f>IF(ISNA(MATCH(1007,'Transfer Engine'!$C$2:$C$1369,0)),"",INDEX('Compliance Database'!$N$2:$N$1369,MATCH(1007,'Transfer Engine'!$C$2:$C$1369,0)))</f>
        <v/>
      </c>
      <c r="O1016" s="8">
        <f>IF(ISNA(MATCH(1007,'Transfer Engine'!$C$2:$C$1369,0)),"",HYPERLINK(INDEX('Compliance Database'!$O$2:$O$1369,MATCH(1007,'Transfer Engine'!$C$2:$C$1369,0)),"Open PDF"))</f>
        <v/>
      </c>
    </row>
    <row r="1017" ht="188" customHeight="1">
      <c r="A1017" s="8">
        <f>IF(ISNA(MATCH(1008,'Transfer Engine'!$C$2:$C$1369,0)),"",INDEX('Compliance Database'!$A$2:$A$1369,MATCH(1008,'Transfer Engine'!$C$2:$C$1369,0)))</f>
        <v/>
      </c>
      <c r="B1017" s="8">
        <f>IF(ISNA(MATCH(1008,'Transfer Engine'!$C$2:$C$1369,0)),"",INDEX('Compliance Database'!$B$2:$B$1369,MATCH(1008,'Transfer Engine'!$C$2:$C$1369,0)))</f>
        <v/>
      </c>
      <c r="C1017" s="8">
        <f>IF(ISNA(MATCH(1008,'Transfer Engine'!$C$2:$C$1369,0)),"",INDEX('Compliance Database'!$C$2:$C$1369,MATCH(1008,'Transfer Engine'!$C$2:$C$1369,0)))</f>
        <v/>
      </c>
      <c r="D1017" s="9">
        <f>IF(ISNA(MATCH(1008,'Transfer Engine'!$C$2:$C$1369,0)),"",INDEX('Compliance Database'!$D$2:$D$1369,MATCH(1008,'Transfer Engine'!$C$2:$C$1369,0)))</f>
        <v/>
      </c>
      <c r="E1017" s="8">
        <f>IF(ISNA(MATCH(1008,'Transfer Engine'!$C$2:$C$1369,0)),"",INDEX('Compliance Database'!$E$2:$E$1369,MATCH(1008,'Transfer Engine'!$C$2:$C$1369,0)))</f>
        <v/>
      </c>
      <c r="F1017" s="8">
        <f>IF(ISNA(MATCH(1008,'Transfer Engine'!$C$2:$C$1369,0)),"",INDEX('Compliance Database'!$F$2:$F$1369,MATCH(1008,'Transfer Engine'!$C$2:$C$1369,0)))</f>
        <v/>
      </c>
      <c r="G1017" s="8">
        <f>IF(ISNA(MATCH(1008,'Transfer Engine'!$C$2:$C$1369,0)),"",INDEX('Compliance Database'!$G$2:$G$1369,MATCH(1008,'Transfer Engine'!$C$2:$C$1369,0)))</f>
        <v/>
      </c>
      <c r="H1017" s="9">
        <f>IF(ISNA(MATCH(1008,'Transfer Engine'!$C$2:$C$1369,0)),"",INDEX('Compliance Database'!$H$2:$H$1369,MATCH(1008,'Transfer Engine'!$C$2:$C$1369,0)))</f>
        <v/>
      </c>
      <c r="I1017" s="9">
        <f>IF(ISNA(MATCH(1008,'Transfer Engine'!$C$2:$C$1369,0)),"",INDEX('Compliance Database'!$I$2:$I$1369,MATCH(1008,'Transfer Engine'!$C$2:$C$1369,0)))</f>
        <v/>
      </c>
      <c r="J1017" s="8">
        <f>IF(ISNA(MATCH(1008,'Transfer Engine'!$C$2:$C$1369,0)),"",INDEX('Compliance Database'!$J$2:$J$1369,MATCH(1008,'Transfer Engine'!$C$2:$C$1369,0)))</f>
        <v/>
      </c>
      <c r="K1017" s="9">
        <f>IF(ISNA(MATCH(1008,'Transfer Engine'!$C$2:$C$1369,0)),"",INDEX('Compliance Database'!$K$2:$K$1369,MATCH(1008,'Transfer Engine'!$C$2:$C$1369,0)))</f>
        <v/>
      </c>
      <c r="L1017" s="9">
        <f>IF(ISNA(MATCH(1008,'Transfer Engine'!$C$2:$C$1369,0)),"",INDEX('Compliance Database'!$L$2:$L$1369,MATCH(1008,'Transfer Engine'!$C$2:$C$1369,0)))</f>
        <v/>
      </c>
      <c r="M1017" s="9">
        <f>IF(ISNA(MATCH(1008,'Transfer Engine'!$C$2:$C$1369,0)),"",INDEX('Compliance Database'!$M$2:$M$1369,MATCH(1008,'Transfer Engine'!$C$2:$C$1369,0)))</f>
        <v/>
      </c>
      <c r="N1017" s="9">
        <f>IF(ISNA(MATCH(1008,'Transfer Engine'!$C$2:$C$1369,0)),"",INDEX('Compliance Database'!$N$2:$N$1369,MATCH(1008,'Transfer Engine'!$C$2:$C$1369,0)))</f>
        <v/>
      </c>
      <c r="O1017" s="8">
        <f>IF(ISNA(MATCH(1008,'Transfer Engine'!$C$2:$C$1369,0)),"",HYPERLINK(INDEX('Compliance Database'!$O$2:$O$1369,MATCH(1008,'Transfer Engine'!$C$2:$C$1369,0)),"Open PDF"))</f>
        <v/>
      </c>
    </row>
    <row r="1018" ht="188" customHeight="1">
      <c r="A1018" s="8">
        <f>IF(ISNA(MATCH(1009,'Transfer Engine'!$C$2:$C$1369,0)),"",INDEX('Compliance Database'!$A$2:$A$1369,MATCH(1009,'Transfer Engine'!$C$2:$C$1369,0)))</f>
        <v/>
      </c>
      <c r="B1018" s="8">
        <f>IF(ISNA(MATCH(1009,'Transfer Engine'!$C$2:$C$1369,0)),"",INDEX('Compliance Database'!$B$2:$B$1369,MATCH(1009,'Transfer Engine'!$C$2:$C$1369,0)))</f>
        <v/>
      </c>
      <c r="C1018" s="8">
        <f>IF(ISNA(MATCH(1009,'Transfer Engine'!$C$2:$C$1369,0)),"",INDEX('Compliance Database'!$C$2:$C$1369,MATCH(1009,'Transfer Engine'!$C$2:$C$1369,0)))</f>
        <v/>
      </c>
      <c r="D1018" s="9">
        <f>IF(ISNA(MATCH(1009,'Transfer Engine'!$C$2:$C$1369,0)),"",INDEX('Compliance Database'!$D$2:$D$1369,MATCH(1009,'Transfer Engine'!$C$2:$C$1369,0)))</f>
        <v/>
      </c>
      <c r="E1018" s="8">
        <f>IF(ISNA(MATCH(1009,'Transfer Engine'!$C$2:$C$1369,0)),"",INDEX('Compliance Database'!$E$2:$E$1369,MATCH(1009,'Transfer Engine'!$C$2:$C$1369,0)))</f>
        <v/>
      </c>
      <c r="F1018" s="8">
        <f>IF(ISNA(MATCH(1009,'Transfer Engine'!$C$2:$C$1369,0)),"",INDEX('Compliance Database'!$F$2:$F$1369,MATCH(1009,'Transfer Engine'!$C$2:$C$1369,0)))</f>
        <v/>
      </c>
      <c r="G1018" s="8">
        <f>IF(ISNA(MATCH(1009,'Transfer Engine'!$C$2:$C$1369,0)),"",INDEX('Compliance Database'!$G$2:$G$1369,MATCH(1009,'Transfer Engine'!$C$2:$C$1369,0)))</f>
        <v/>
      </c>
      <c r="H1018" s="9">
        <f>IF(ISNA(MATCH(1009,'Transfer Engine'!$C$2:$C$1369,0)),"",INDEX('Compliance Database'!$H$2:$H$1369,MATCH(1009,'Transfer Engine'!$C$2:$C$1369,0)))</f>
        <v/>
      </c>
      <c r="I1018" s="9">
        <f>IF(ISNA(MATCH(1009,'Transfer Engine'!$C$2:$C$1369,0)),"",INDEX('Compliance Database'!$I$2:$I$1369,MATCH(1009,'Transfer Engine'!$C$2:$C$1369,0)))</f>
        <v/>
      </c>
      <c r="J1018" s="8">
        <f>IF(ISNA(MATCH(1009,'Transfer Engine'!$C$2:$C$1369,0)),"",INDEX('Compliance Database'!$J$2:$J$1369,MATCH(1009,'Transfer Engine'!$C$2:$C$1369,0)))</f>
        <v/>
      </c>
      <c r="K1018" s="9">
        <f>IF(ISNA(MATCH(1009,'Transfer Engine'!$C$2:$C$1369,0)),"",INDEX('Compliance Database'!$K$2:$K$1369,MATCH(1009,'Transfer Engine'!$C$2:$C$1369,0)))</f>
        <v/>
      </c>
      <c r="L1018" s="9">
        <f>IF(ISNA(MATCH(1009,'Transfer Engine'!$C$2:$C$1369,0)),"",INDEX('Compliance Database'!$L$2:$L$1369,MATCH(1009,'Transfer Engine'!$C$2:$C$1369,0)))</f>
        <v/>
      </c>
      <c r="M1018" s="9">
        <f>IF(ISNA(MATCH(1009,'Transfer Engine'!$C$2:$C$1369,0)),"",INDEX('Compliance Database'!$M$2:$M$1369,MATCH(1009,'Transfer Engine'!$C$2:$C$1369,0)))</f>
        <v/>
      </c>
      <c r="N1018" s="9">
        <f>IF(ISNA(MATCH(1009,'Transfer Engine'!$C$2:$C$1369,0)),"",INDEX('Compliance Database'!$N$2:$N$1369,MATCH(1009,'Transfer Engine'!$C$2:$C$1369,0)))</f>
        <v/>
      </c>
      <c r="O1018" s="8">
        <f>IF(ISNA(MATCH(1009,'Transfer Engine'!$C$2:$C$1369,0)),"",HYPERLINK(INDEX('Compliance Database'!$O$2:$O$1369,MATCH(1009,'Transfer Engine'!$C$2:$C$1369,0)),"Open PDF"))</f>
        <v/>
      </c>
    </row>
    <row r="1019" ht="188" customHeight="1">
      <c r="A1019" s="8">
        <f>IF(ISNA(MATCH(1010,'Transfer Engine'!$C$2:$C$1369,0)),"",INDEX('Compliance Database'!$A$2:$A$1369,MATCH(1010,'Transfer Engine'!$C$2:$C$1369,0)))</f>
        <v/>
      </c>
      <c r="B1019" s="8">
        <f>IF(ISNA(MATCH(1010,'Transfer Engine'!$C$2:$C$1369,0)),"",INDEX('Compliance Database'!$B$2:$B$1369,MATCH(1010,'Transfer Engine'!$C$2:$C$1369,0)))</f>
        <v/>
      </c>
      <c r="C1019" s="8">
        <f>IF(ISNA(MATCH(1010,'Transfer Engine'!$C$2:$C$1369,0)),"",INDEX('Compliance Database'!$C$2:$C$1369,MATCH(1010,'Transfer Engine'!$C$2:$C$1369,0)))</f>
        <v/>
      </c>
      <c r="D1019" s="9">
        <f>IF(ISNA(MATCH(1010,'Transfer Engine'!$C$2:$C$1369,0)),"",INDEX('Compliance Database'!$D$2:$D$1369,MATCH(1010,'Transfer Engine'!$C$2:$C$1369,0)))</f>
        <v/>
      </c>
      <c r="E1019" s="8">
        <f>IF(ISNA(MATCH(1010,'Transfer Engine'!$C$2:$C$1369,0)),"",INDEX('Compliance Database'!$E$2:$E$1369,MATCH(1010,'Transfer Engine'!$C$2:$C$1369,0)))</f>
        <v/>
      </c>
      <c r="F1019" s="8">
        <f>IF(ISNA(MATCH(1010,'Transfer Engine'!$C$2:$C$1369,0)),"",INDEX('Compliance Database'!$F$2:$F$1369,MATCH(1010,'Transfer Engine'!$C$2:$C$1369,0)))</f>
        <v/>
      </c>
      <c r="G1019" s="8">
        <f>IF(ISNA(MATCH(1010,'Transfer Engine'!$C$2:$C$1369,0)),"",INDEX('Compliance Database'!$G$2:$G$1369,MATCH(1010,'Transfer Engine'!$C$2:$C$1369,0)))</f>
        <v/>
      </c>
      <c r="H1019" s="9">
        <f>IF(ISNA(MATCH(1010,'Transfer Engine'!$C$2:$C$1369,0)),"",INDEX('Compliance Database'!$H$2:$H$1369,MATCH(1010,'Transfer Engine'!$C$2:$C$1369,0)))</f>
        <v/>
      </c>
      <c r="I1019" s="9">
        <f>IF(ISNA(MATCH(1010,'Transfer Engine'!$C$2:$C$1369,0)),"",INDEX('Compliance Database'!$I$2:$I$1369,MATCH(1010,'Transfer Engine'!$C$2:$C$1369,0)))</f>
        <v/>
      </c>
      <c r="J1019" s="8">
        <f>IF(ISNA(MATCH(1010,'Transfer Engine'!$C$2:$C$1369,0)),"",INDEX('Compliance Database'!$J$2:$J$1369,MATCH(1010,'Transfer Engine'!$C$2:$C$1369,0)))</f>
        <v/>
      </c>
      <c r="K1019" s="9">
        <f>IF(ISNA(MATCH(1010,'Transfer Engine'!$C$2:$C$1369,0)),"",INDEX('Compliance Database'!$K$2:$K$1369,MATCH(1010,'Transfer Engine'!$C$2:$C$1369,0)))</f>
        <v/>
      </c>
      <c r="L1019" s="9">
        <f>IF(ISNA(MATCH(1010,'Transfer Engine'!$C$2:$C$1369,0)),"",INDEX('Compliance Database'!$L$2:$L$1369,MATCH(1010,'Transfer Engine'!$C$2:$C$1369,0)))</f>
        <v/>
      </c>
      <c r="M1019" s="9">
        <f>IF(ISNA(MATCH(1010,'Transfer Engine'!$C$2:$C$1369,0)),"",INDEX('Compliance Database'!$M$2:$M$1369,MATCH(1010,'Transfer Engine'!$C$2:$C$1369,0)))</f>
        <v/>
      </c>
      <c r="N1019" s="9">
        <f>IF(ISNA(MATCH(1010,'Transfer Engine'!$C$2:$C$1369,0)),"",INDEX('Compliance Database'!$N$2:$N$1369,MATCH(1010,'Transfer Engine'!$C$2:$C$1369,0)))</f>
        <v/>
      </c>
      <c r="O1019" s="8">
        <f>IF(ISNA(MATCH(1010,'Transfer Engine'!$C$2:$C$1369,0)),"",HYPERLINK(INDEX('Compliance Database'!$O$2:$O$1369,MATCH(1010,'Transfer Engine'!$C$2:$C$1369,0)),"Open PDF"))</f>
        <v/>
      </c>
    </row>
    <row r="1020" ht="188" customHeight="1">
      <c r="A1020" s="8">
        <f>IF(ISNA(MATCH(1011,'Transfer Engine'!$C$2:$C$1369,0)),"",INDEX('Compliance Database'!$A$2:$A$1369,MATCH(1011,'Transfer Engine'!$C$2:$C$1369,0)))</f>
        <v/>
      </c>
      <c r="B1020" s="8">
        <f>IF(ISNA(MATCH(1011,'Transfer Engine'!$C$2:$C$1369,0)),"",INDEX('Compliance Database'!$B$2:$B$1369,MATCH(1011,'Transfer Engine'!$C$2:$C$1369,0)))</f>
        <v/>
      </c>
      <c r="C1020" s="8">
        <f>IF(ISNA(MATCH(1011,'Transfer Engine'!$C$2:$C$1369,0)),"",INDEX('Compliance Database'!$C$2:$C$1369,MATCH(1011,'Transfer Engine'!$C$2:$C$1369,0)))</f>
        <v/>
      </c>
      <c r="D1020" s="9">
        <f>IF(ISNA(MATCH(1011,'Transfer Engine'!$C$2:$C$1369,0)),"",INDEX('Compliance Database'!$D$2:$D$1369,MATCH(1011,'Transfer Engine'!$C$2:$C$1369,0)))</f>
        <v/>
      </c>
      <c r="E1020" s="8">
        <f>IF(ISNA(MATCH(1011,'Transfer Engine'!$C$2:$C$1369,0)),"",INDEX('Compliance Database'!$E$2:$E$1369,MATCH(1011,'Transfer Engine'!$C$2:$C$1369,0)))</f>
        <v/>
      </c>
      <c r="F1020" s="8">
        <f>IF(ISNA(MATCH(1011,'Transfer Engine'!$C$2:$C$1369,0)),"",INDEX('Compliance Database'!$F$2:$F$1369,MATCH(1011,'Transfer Engine'!$C$2:$C$1369,0)))</f>
        <v/>
      </c>
      <c r="G1020" s="8">
        <f>IF(ISNA(MATCH(1011,'Transfer Engine'!$C$2:$C$1369,0)),"",INDEX('Compliance Database'!$G$2:$G$1369,MATCH(1011,'Transfer Engine'!$C$2:$C$1369,0)))</f>
        <v/>
      </c>
      <c r="H1020" s="9">
        <f>IF(ISNA(MATCH(1011,'Transfer Engine'!$C$2:$C$1369,0)),"",INDEX('Compliance Database'!$H$2:$H$1369,MATCH(1011,'Transfer Engine'!$C$2:$C$1369,0)))</f>
        <v/>
      </c>
      <c r="I1020" s="9">
        <f>IF(ISNA(MATCH(1011,'Transfer Engine'!$C$2:$C$1369,0)),"",INDEX('Compliance Database'!$I$2:$I$1369,MATCH(1011,'Transfer Engine'!$C$2:$C$1369,0)))</f>
        <v/>
      </c>
      <c r="J1020" s="8">
        <f>IF(ISNA(MATCH(1011,'Transfer Engine'!$C$2:$C$1369,0)),"",INDEX('Compliance Database'!$J$2:$J$1369,MATCH(1011,'Transfer Engine'!$C$2:$C$1369,0)))</f>
        <v/>
      </c>
      <c r="K1020" s="9">
        <f>IF(ISNA(MATCH(1011,'Transfer Engine'!$C$2:$C$1369,0)),"",INDEX('Compliance Database'!$K$2:$K$1369,MATCH(1011,'Transfer Engine'!$C$2:$C$1369,0)))</f>
        <v/>
      </c>
      <c r="L1020" s="9">
        <f>IF(ISNA(MATCH(1011,'Transfer Engine'!$C$2:$C$1369,0)),"",INDEX('Compliance Database'!$L$2:$L$1369,MATCH(1011,'Transfer Engine'!$C$2:$C$1369,0)))</f>
        <v/>
      </c>
      <c r="M1020" s="9">
        <f>IF(ISNA(MATCH(1011,'Transfer Engine'!$C$2:$C$1369,0)),"",INDEX('Compliance Database'!$M$2:$M$1369,MATCH(1011,'Transfer Engine'!$C$2:$C$1369,0)))</f>
        <v/>
      </c>
      <c r="N1020" s="9">
        <f>IF(ISNA(MATCH(1011,'Transfer Engine'!$C$2:$C$1369,0)),"",INDEX('Compliance Database'!$N$2:$N$1369,MATCH(1011,'Transfer Engine'!$C$2:$C$1369,0)))</f>
        <v/>
      </c>
      <c r="O1020" s="8">
        <f>IF(ISNA(MATCH(1011,'Transfer Engine'!$C$2:$C$1369,0)),"",HYPERLINK(INDEX('Compliance Database'!$O$2:$O$1369,MATCH(1011,'Transfer Engine'!$C$2:$C$1369,0)),"Open PDF"))</f>
        <v/>
      </c>
    </row>
    <row r="1021" ht="188" customHeight="1">
      <c r="A1021" s="8">
        <f>IF(ISNA(MATCH(1012,'Transfer Engine'!$C$2:$C$1369,0)),"",INDEX('Compliance Database'!$A$2:$A$1369,MATCH(1012,'Transfer Engine'!$C$2:$C$1369,0)))</f>
        <v/>
      </c>
      <c r="B1021" s="8">
        <f>IF(ISNA(MATCH(1012,'Transfer Engine'!$C$2:$C$1369,0)),"",INDEX('Compliance Database'!$B$2:$B$1369,MATCH(1012,'Transfer Engine'!$C$2:$C$1369,0)))</f>
        <v/>
      </c>
      <c r="C1021" s="8">
        <f>IF(ISNA(MATCH(1012,'Transfer Engine'!$C$2:$C$1369,0)),"",INDEX('Compliance Database'!$C$2:$C$1369,MATCH(1012,'Transfer Engine'!$C$2:$C$1369,0)))</f>
        <v/>
      </c>
      <c r="D1021" s="9">
        <f>IF(ISNA(MATCH(1012,'Transfer Engine'!$C$2:$C$1369,0)),"",INDEX('Compliance Database'!$D$2:$D$1369,MATCH(1012,'Transfer Engine'!$C$2:$C$1369,0)))</f>
        <v/>
      </c>
      <c r="E1021" s="8">
        <f>IF(ISNA(MATCH(1012,'Transfer Engine'!$C$2:$C$1369,0)),"",INDEX('Compliance Database'!$E$2:$E$1369,MATCH(1012,'Transfer Engine'!$C$2:$C$1369,0)))</f>
        <v/>
      </c>
      <c r="F1021" s="8">
        <f>IF(ISNA(MATCH(1012,'Transfer Engine'!$C$2:$C$1369,0)),"",INDEX('Compliance Database'!$F$2:$F$1369,MATCH(1012,'Transfer Engine'!$C$2:$C$1369,0)))</f>
        <v/>
      </c>
      <c r="G1021" s="8">
        <f>IF(ISNA(MATCH(1012,'Transfer Engine'!$C$2:$C$1369,0)),"",INDEX('Compliance Database'!$G$2:$G$1369,MATCH(1012,'Transfer Engine'!$C$2:$C$1369,0)))</f>
        <v/>
      </c>
      <c r="H1021" s="9">
        <f>IF(ISNA(MATCH(1012,'Transfer Engine'!$C$2:$C$1369,0)),"",INDEX('Compliance Database'!$H$2:$H$1369,MATCH(1012,'Transfer Engine'!$C$2:$C$1369,0)))</f>
        <v/>
      </c>
      <c r="I1021" s="9">
        <f>IF(ISNA(MATCH(1012,'Transfer Engine'!$C$2:$C$1369,0)),"",INDEX('Compliance Database'!$I$2:$I$1369,MATCH(1012,'Transfer Engine'!$C$2:$C$1369,0)))</f>
        <v/>
      </c>
      <c r="J1021" s="8">
        <f>IF(ISNA(MATCH(1012,'Transfer Engine'!$C$2:$C$1369,0)),"",INDEX('Compliance Database'!$J$2:$J$1369,MATCH(1012,'Transfer Engine'!$C$2:$C$1369,0)))</f>
        <v/>
      </c>
      <c r="K1021" s="9">
        <f>IF(ISNA(MATCH(1012,'Transfer Engine'!$C$2:$C$1369,0)),"",INDEX('Compliance Database'!$K$2:$K$1369,MATCH(1012,'Transfer Engine'!$C$2:$C$1369,0)))</f>
        <v/>
      </c>
      <c r="L1021" s="9">
        <f>IF(ISNA(MATCH(1012,'Transfer Engine'!$C$2:$C$1369,0)),"",INDEX('Compliance Database'!$L$2:$L$1369,MATCH(1012,'Transfer Engine'!$C$2:$C$1369,0)))</f>
        <v/>
      </c>
      <c r="M1021" s="9">
        <f>IF(ISNA(MATCH(1012,'Transfer Engine'!$C$2:$C$1369,0)),"",INDEX('Compliance Database'!$M$2:$M$1369,MATCH(1012,'Transfer Engine'!$C$2:$C$1369,0)))</f>
        <v/>
      </c>
      <c r="N1021" s="9">
        <f>IF(ISNA(MATCH(1012,'Transfer Engine'!$C$2:$C$1369,0)),"",INDEX('Compliance Database'!$N$2:$N$1369,MATCH(1012,'Transfer Engine'!$C$2:$C$1369,0)))</f>
        <v/>
      </c>
      <c r="O1021" s="8">
        <f>IF(ISNA(MATCH(1012,'Transfer Engine'!$C$2:$C$1369,0)),"",HYPERLINK(INDEX('Compliance Database'!$O$2:$O$1369,MATCH(1012,'Transfer Engine'!$C$2:$C$1369,0)),"Open PDF"))</f>
        <v/>
      </c>
    </row>
    <row r="1022" ht="188" customHeight="1">
      <c r="A1022" s="8">
        <f>IF(ISNA(MATCH(1013,'Transfer Engine'!$C$2:$C$1369,0)),"",INDEX('Compliance Database'!$A$2:$A$1369,MATCH(1013,'Transfer Engine'!$C$2:$C$1369,0)))</f>
        <v/>
      </c>
      <c r="B1022" s="8">
        <f>IF(ISNA(MATCH(1013,'Transfer Engine'!$C$2:$C$1369,0)),"",INDEX('Compliance Database'!$B$2:$B$1369,MATCH(1013,'Transfer Engine'!$C$2:$C$1369,0)))</f>
        <v/>
      </c>
      <c r="C1022" s="8">
        <f>IF(ISNA(MATCH(1013,'Transfer Engine'!$C$2:$C$1369,0)),"",INDEX('Compliance Database'!$C$2:$C$1369,MATCH(1013,'Transfer Engine'!$C$2:$C$1369,0)))</f>
        <v/>
      </c>
      <c r="D1022" s="9">
        <f>IF(ISNA(MATCH(1013,'Transfer Engine'!$C$2:$C$1369,0)),"",INDEX('Compliance Database'!$D$2:$D$1369,MATCH(1013,'Transfer Engine'!$C$2:$C$1369,0)))</f>
        <v/>
      </c>
      <c r="E1022" s="8">
        <f>IF(ISNA(MATCH(1013,'Transfer Engine'!$C$2:$C$1369,0)),"",INDEX('Compliance Database'!$E$2:$E$1369,MATCH(1013,'Transfer Engine'!$C$2:$C$1369,0)))</f>
        <v/>
      </c>
      <c r="F1022" s="8">
        <f>IF(ISNA(MATCH(1013,'Transfer Engine'!$C$2:$C$1369,0)),"",INDEX('Compliance Database'!$F$2:$F$1369,MATCH(1013,'Transfer Engine'!$C$2:$C$1369,0)))</f>
        <v/>
      </c>
      <c r="G1022" s="8">
        <f>IF(ISNA(MATCH(1013,'Transfer Engine'!$C$2:$C$1369,0)),"",INDEX('Compliance Database'!$G$2:$G$1369,MATCH(1013,'Transfer Engine'!$C$2:$C$1369,0)))</f>
        <v/>
      </c>
      <c r="H1022" s="9">
        <f>IF(ISNA(MATCH(1013,'Transfer Engine'!$C$2:$C$1369,0)),"",INDEX('Compliance Database'!$H$2:$H$1369,MATCH(1013,'Transfer Engine'!$C$2:$C$1369,0)))</f>
        <v/>
      </c>
      <c r="I1022" s="9">
        <f>IF(ISNA(MATCH(1013,'Transfer Engine'!$C$2:$C$1369,0)),"",INDEX('Compliance Database'!$I$2:$I$1369,MATCH(1013,'Transfer Engine'!$C$2:$C$1369,0)))</f>
        <v/>
      </c>
      <c r="J1022" s="8">
        <f>IF(ISNA(MATCH(1013,'Transfer Engine'!$C$2:$C$1369,0)),"",INDEX('Compliance Database'!$J$2:$J$1369,MATCH(1013,'Transfer Engine'!$C$2:$C$1369,0)))</f>
        <v/>
      </c>
      <c r="K1022" s="9">
        <f>IF(ISNA(MATCH(1013,'Transfer Engine'!$C$2:$C$1369,0)),"",INDEX('Compliance Database'!$K$2:$K$1369,MATCH(1013,'Transfer Engine'!$C$2:$C$1369,0)))</f>
        <v/>
      </c>
      <c r="L1022" s="9">
        <f>IF(ISNA(MATCH(1013,'Transfer Engine'!$C$2:$C$1369,0)),"",INDEX('Compliance Database'!$L$2:$L$1369,MATCH(1013,'Transfer Engine'!$C$2:$C$1369,0)))</f>
        <v/>
      </c>
      <c r="M1022" s="9">
        <f>IF(ISNA(MATCH(1013,'Transfer Engine'!$C$2:$C$1369,0)),"",INDEX('Compliance Database'!$M$2:$M$1369,MATCH(1013,'Transfer Engine'!$C$2:$C$1369,0)))</f>
        <v/>
      </c>
      <c r="N1022" s="9">
        <f>IF(ISNA(MATCH(1013,'Transfer Engine'!$C$2:$C$1369,0)),"",INDEX('Compliance Database'!$N$2:$N$1369,MATCH(1013,'Transfer Engine'!$C$2:$C$1369,0)))</f>
        <v/>
      </c>
      <c r="O1022" s="8">
        <f>IF(ISNA(MATCH(1013,'Transfer Engine'!$C$2:$C$1369,0)),"",HYPERLINK(INDEX('Compliance Database'!$O$2:$O$1369,MATCH(1013,'Transfer Engine'!$C$2:$C$1369,0)),"Open PDF"))</f>
        <v/>
      </c>
    </row>
    <row r="1023" ht="188" customHeight="1">
      <c r="A1023" s="8">
        <f>IF(ISNA(MATCH(1014,'Transfer Engine'!$C$2:$C$1369,0)),"",INDEX('Compliance Database'!$A$2:$A$1369,MATCH(1014,'Transfer Engine'!$C$2:$C$1369,0)))</f>
        <v/>
      </c>
      <c r="B1023" s="8">
        <f>IF(ISNA(MATCH(1014,'Transfer Engine'!$C$2:$C$1369,0)),"",INDEX('Compliance Database'!$B$2:$B$1369,MATCH(1014,'Transfer Engine'!$C$2:$C$1369,0)))</f>
        <v/>
      </c>
      <c r="C1023" s="8">
        <f>IF(ISNA(MATCH(1014,'Transfer Engine'!$C$2:$C$1369,0)),"",INDEX('Compliance Database'!$C$2:$C$1369,MATCH(1014,'Transfer Engine'!$C$2:$C$1369,0)))</f>
        <v/>
      </c>
      <c r="D1023" s="9">
        <f>IF(ISNA(MATCH(1014,'Transfer Engine'!$C$2:$C$1369,0)),"",INDEX('Compliance Database'!$D$2:$D$1369,MATCH(1014,'Transfer Engine'!$C$2:$C$1369,0)))</f>
        <v/>
      </c>
      <c r="E1023" s="8">
        <f>IF(ISNA(MATCH(1014,'Transfer Engine'!$C$2:$C$1369,0)),"",INDEX('Compliance Database'!$E$2:$E$1369,MATCH(1014,'Transfer Engine'!$C$2:$C$1369,0)))</f>
        <v/>
      </c>
      <c r="F1023" s="8">
        <f>IF(ISNA(MATCH(1014,'Transfer Engine'!$C$2:$C$1369,0)),"",INDEX('Compliance Database'!$F$2:$F$1369,MATCH(1014,'Transfer Engine'!$C$2:$C$1369,0)))</f>
        <v/>
      </c>
      <c r="G1023" s="8">
        <f>IF(ISNA(MATCH(1014,'Transfer Engine'!$C$2:$C$1369,0)),"",INDEX('Compliance Database'!$G$2:$G$1369,MATCH(1014,'Transfer Engine'!$C$2:$C$1369,0)))</f>
        <v/>
      </c>
      <c r="H1023" s="9">
        <f>IF(ISNA(MATCH(1014,'Transfer Engine'!$C$2:$C$1369,0)),"",INDEX('Compliance Database'!$H$2:$H$1369,MATCH(1014,'Transfer Engine'!$C$2:$C$1369,0)))</f>
        <v/>
      </c>
      <c r="I1023" s="9">
        <f>IF(ISNA(MATCH(1014,'Transfer Engine'!$C$2:$C$1369,0)),"",INDEX('Compliance Database'!$I$2:$I$1369,MATCH(1014,'Transfer Engine'!$C$2:$C$1369,0)))</f>
        <v/>
      </c>
      <c r="J1023" s="8">
        <f>IF(ISNA(MATCH(1014,'Transfer Engine'!$C$2:$C$1369,0)),"",INDEX('Compliance Database'!$J$2:$J$1369,MATCH(1014,'Transfer Engine'!$C$2:$C$1369,0)))</f>
        <v/>
      </c>
      <c r="K1023" s="9">
        <f>IF(ISNA(MATCH(1014,'Transfer Engine'!$C$2:$C$1369,0)),"",INDEX('Compliance Database'!$K$2:$K$1369,MATCH(1014,'Transfer Engine'!$C$2:$C$1369,0)))</f>
        <v/>
      </c>
      <c r="L1023" s="9">
        <f>IF(ISNA(MATCH(1014,'Transfer Engine'!$C$2:$C$1369,0)),"",INDEX('Compliance Database'!$L$2:$L$1369,MATCH(1014,'Transfer Engine'!$C$2:$C$1369,0)))</f>
        <v/>
      </c>
      <c r="M1023" s="9">
        <f>IF(ISNA(MATCH(1014,'Transfer Engine'!$C$2:$C$1369,0)),"",INDEX('Compliance Database'!$M$2:$M$1369,MATCH(1014,'Transfer Engine'!$C$2:$C$1369,0)))</f>
        <v/>
      </c>
      <c r="N1023" s="9">
        <f>IF(ISNA(MATCH(1014,'Transfer Engine'!$C$2:$C$1369,0)),"",INDEX('Compliance Database'!$N$2:$N$1369,MATCH(1014,'Transfer Engine'!$C$2:$C$1369,0)))</f>
        <v/>
      </c>
      <c r="O1023" s="8">
        <f>IF(ISNA(MATCH(1014,'Transfer Engine'!$C$2:$C$1369,0)),"",HYPERLINK(INDEX('Compliance Database'!$O$2:$O$1369,MATCH(1014,'Transfer Engine'!$C$2:$C$1369,0)),"Open PDF"))</f>
        <v/>
      </c>
    </row>
    <row r="1024" ht="188" customHeight="1">
      <c r="A1024" s="8">
        <f>IF(ISNA(MATCH(1015,'Transfer Engine'!$C$2:$C$1369,0)),"",INDEX('Compliance Database'!$A$2:$A$1369,MATCH(1015,'Transfer Engine'!$C$2:$C$1369,0)))</f>
        <v/>
      </c>
      <c r="B1024" s="8">
        <f>IF(ISNA(MATCH(1015,'Transfer Engine'!$C$2:$C$1369,0)),"",INDEX('Compliance Database'!$B$2:$B$1369,MATCH(1015,'Transfer Engine'!$C$2:$C$1369,0)))</f>
        <v/>
      </c>
      <c r="C1024" s="8">
        <f>IF(ISNA(MATCH(1015,'Transfer Engine'!$C$2:$C$1369,0)),"",INDEX('Compliance Database'!$C$2:$C$1369,MATCH(1015,'Transfer Engine'!$C$2:$C$1369,0)))</f>
        <v/>
      </c>
      <c r="D1024" s="9">
        <f>IF(ISNA(MATCH(1015,'Transfer Engine'!$C$2:$C$1369,0)),"",INDEX('Compliance Database'!$D$2:$D$1369,MATCH(1015,'Transfer Engine'!$C$2:$C$1369,0)))</f>
        <v/>
      </c>
      <c r="E1024" s="8">
        <f>IF(ISNA(MATCH(1015,'Transfer Engine'!$C$2:$C$1369,0)),"",INDEX('Compliance Database'!$E$2:$E$1369,MATCH(1015,'Transfer Engine'!$C$2:$C$1369,0)))</f>
        <v/>
      </c>
      <c r="F1024" s="8">
        <f>IF(ISNA(MATCH(1015,'Transfer Engine'!$C$2:$C$1369,0)),"",INDEX('Compliance Database'!$F$2:$F$1369,MATCH(1015,'Transfer Engine'!$C$2:$C$1369,0)))</f>
        <v/>
      </c>
      <c r="G1024" s="8">
        <f>IF(ISNA(MATCH(1015,'Transfer Engine'!$C$2:$C$1369,0)),"",INDEX('Compliance Database'!$G$2:$G$1369,MATCH(1015,'Transfer Engine'!$C$2:$C$1369,0)))</f>
        <v/>
      </c>
      <c r="H1024" s="9">
        <f>IF(ISNA(MATCH(1015,'Transfer Engine'!$C$2:$C$1369,0)),"",INDEX('Compliance Database'!$H$2:$H$1369,MATCH(1015,'Transfer Engine'!$C$2:$C$1369,0)))</f>
        <v/>
      </c>
      <c r="I1024" s="9">
        <f>IF(ISNA(MATCH(1015,'Transfer Engine'!$C$2:$C$1369,0)),"",INDEX('Compliance Database'!$I$2:$I$1369,MATCH(1015,'Transfer Engine'!$C$2:$C$1369,0)))</f>
        <v/>
      </c>
      <c r="J1024" s="8">
        <f>IF(ISNA(MATCH(1015,'Transfer Engine'!$C$2:$C$1369,0)),"",INDEX('Compliance Database'!$J$2:$J$1369,MATCH(1015,'Transfer Engine'!$C$2:$C$1369,0)))</f>
        <v/>
      </c>
      <c r="K1024" s="9">
        <f>IF(ISNA(MATCH(1015,'Transfer Engine'!$C$2:$C$1369,0)),"",INDEX('Compliance Database'!$K$2:$K$1369,MATCH(1015,'Transfer Engine'!$C$2:$C$1369,0)))</f>
        <v/>
      </c>
      <c r="L1024" s="9">
        <f>IF(ISNA(MATCH(1015,'Transfer Engine'!$C$2:$C$1369,0)),"",INDEX('Compliance Database'!$L$2:$L$1369,MATCH(1015,'Transfer Engine'!$C$2:$C$1369,0)))</f>
        <v/>
      </c>
      <c r="M1024" s="9">
        <f>IF(ISNA(MATCH(1015,'Transfer Engine'!$C$2:$C$1369,0)),"",INDEX('Compliance Database'!$M$2:$M$1369,MATCH(1015,'Transfer Engine'!$C$2:$C$1369,0)))</f>
        <v/>
      </c>
      <c r="N1024" s="9">
        <f>IF(ISNA(MATCH(1015,'Transfer Engine'!$C$2:$C$1369,0)),"",INDEX('Compliance Database'!$N$2:$N$1369,MATCH(1015,'Transfer Engine'!$C$2:$C$1369,0)))</f>
        <v/>
      </c>
      <c r="O1024" s="8">
        <f>IF(ISNA(MATCH(1015,'Transfer Engine'!$C$2:$C$1369,0)),"",HYPERLINK(INDEX('Compliance Database'!$O$2:$O$1369,MATCH(1015,'Transfer Engine'!$C$2:$C$1369,0)),"Open PDF"))</f>
        <v/>
      </c>
    </row>
    <row r="1025" ht="188" customHeight="1">
      <c r="A1025" s="8">
        <f>IF(ISNA(MATCH(1016,'Transfer Engine'!$C$2:$C$1369,0)),"",INDEX('Compliance Database'!$A$2:$A$1369,MATCH(1016,'Transfer Engine'!$C$2:$C$1369,0)))</f>
        <v/>
      </c>
      <c r="B1025" s="8">
        <f>IF(ISNA(MATCH(1016,'Transfer Engine'!$C$2:$C$1369,0)),"",INDEX('Compliance Database'!$B$2:$B$1369,MATCH(1016,'Transfer Engine'!$C$2:$C$1369,0)))</f>
        <v/>
      </c>
      <c r="C1025" s="8">
        <f>IF(ISNA(MATCH(1016,'Transfer Engine'!$C$2:$C$1369,0)),"",INDEX('Compliance Database'!$C$2:$C$1369,MATCH(1016,'Transfer Engine'!$C$2:$C$1369,0)))</f>
        <v/>
      </c>
      <c r="D1025" s="9">
        <f>IF(ISNA(MATCH(1016,'Transfer Engine'!$C$2:$C$1369,0)),"",INDEX('Compliance Database'!$D$2:$D$1369,MATCH(1016,'Transfer Engine'!$C$2:$C$1369,0)))</f>
        <v/>
      </c>
      <c r="E1025" s="8">
        <f>IF(ISNA(MATCH(1016,'Transfer Engine'!$C$2:$C$1369,0)),"",INDEX('Compliance Database'!$E$2:$E$1369,MATCH(1016,'Transfer Engine'!$C$2:$C$1369,0)))</f>
        <v/>
      </c>
      <c r="F1025" s="8">
        <f>IF(ISNA(MATCH(1016,'Transfer Engine'!$C$2:$C$1369,0)),"",INDEX('Compliance Database'!$F$2:$F$1369,MATCH(1016,'Transfer Engine'!$C$2:$C$1369,0)))</f>
        <v/>
      </c>
      <c r="G1025" s="8">
        <f>IF(ISNA(MATCH(1016,'Transfer Engine'!$C$2:$C$1369,0)),"",INDEX('Compliance Database'!$G$2:$G$1369,MATCH(1016,'Transfer Engine'!$C$2:$C$1369,0)))</f>
        <v/>
      </c>
      <c r="H1025" s="9">
        <f>IF(ISNA(MATCH(1016,'Transfer Engine'!$C$2:$C$1369,0)),"",INDEX('Compliance Database'!$H$2:$H$1369,MATCH(1016,'Transfer Engine'!$C$2:$C$1369,0)))</f>
        <v/>
      </c>
      <c r="I1025" s="9">
        <f>IF(ISNA(MATCH(1016,'Transfer Engine'!$C$2:$C$1369,0)),"",INDEX('Compliance Database'!$I$2:$I$1369,MATCH(1016,'Transfer Engine'!$C$2:$C$1369,0)))</f>
        <v/>
      </c>
      <c r="J1025" s="8">
        <f>IF(ISNA(MATCH(1016,'Transfer Engine'!$C$2:$C$1369,0)),"",INDEX('Compliance Database'!$J$2:$J$1369,MATCH(1016,'Transfer Engine'!$C$2:$C$1369,0)))</f>
        <v/>
      </c>
      <c r="K1025" s="9">
        <f>IF(ISNA(MATCH(1016,'Transfer Engine'!$C$2:$C$1369,0)),"",INDEX('Compliance Database'!$K$2:$K$1369,MATCH(1016,'Transfer Engine'!$C$2:$C$1369,0)))</f>
        <v/>
      </c>
      <c r="L1025" s="9">
        <f>IF(ISNA(MATCH(1016,'Transfer Engine'!$C$2:$C$1369,0)),"",INDEX('Compliance Database'!$L$2:$L$1369,MATCH(1016,'Transfer Engine'!$C$2:$C$1369,0)))</f>
        <v/>
      </c>
      <c r="M1025" s="9">
        <f>IF(ISNA(MATCH(1016,'Transfer Engine'!$C$2:$C$1369,0)),"",INDEX('Compliance Database'!$M$2:$M$1369,MATCH(1016,'Transfer Engine'!$C$2:$C$1369,0)))</f>
        <v/>
      </c>
      <c r="N1025" s="9">
        <f>IF(ISNA(MATCH(1016,'Transfer Engine'!$C$2:$C$1369,0)),"",INDEX('Compliance Database'!$N$2:$N$1369,MATCH(1016,'Transfer Engine'!$C$2:$C$1369,0)))</f>
        <v/>
      </c>
      <c r="O1025" s="8">
        <f>IF(ISNA(MATCH(1016,'Transfer Engine'!$C$2:$C$1369,0)),"",HYPERLINK(INDEX('Compliance Database'!$O$2:$O$1369,MATCH(1016,'Transfer Engine'!$C$2:$C$1369,0)),"Open PDF"))</f>
        <v/>
      </c>
    </row>
    <row r="1026" ht="188" customHeight="1">
      <c r="A1026" s="8">
        <f>IF(ISNA(MATCH(1017,'Transfer Engine'!$C$2:$C$1369,0)),"",INDEX('Compliance Database'!$A$2:$A$1369,MATCH(1017,'Transfer Engine'!$C$2:$C$1369,0)))</f>
        <v/>
      </c>
      <c r="B1026" s="8">
        <f>IF(ISNA(MATCH(1017,'Transfer Engine'!$C$2:$C$1369,0)),"",INDEX('Compliance Database'!$B$2:$B$1369,MATCH(1017,'Transfer Engine'!$C$2:$C$1369,0)))</f>
        <v/>
      </c>
      <c r="C1026" s="8">
        <f>IF(ISNA(MATCH(1017,'Transfer Engine'!$C$2:$C$1369,0)),"",INDEX('Compliance Database'!$C$2:$C$1369,MATCH(1017,'Transfer Engine'!$C$2:$C$1369,0)))</f>
        <v/>
      </c>
      <c r="D1026" s="9">
        <f>IF(ISNA(MATCH(1017,'Transfer Engine'!$C$2:$C$1369,0)),"",INDEX('Compliance Database'!$D$2:$D$1369,MATCH(1017,'Transfer Engine'!$C$2:$C$1369,0)))</f>
        <v/>
      </c>
      <c r="E1026" s="8">
        <f>IF(ISNA(MATCH(1017,'Transfer Engine'!$C$2:$C$1369,0)),"",INDEX('Compliance Database'!$E$2:$E$1369,MATCH(1017,'Transfer Engine'!$C$2:$C$1369,0)))</f>
        <v/>
      </c>
      <c r="F1026" s="8">
        <f>IF(ISNA(MATCH(1017,'Transfer Engine'!$C$2:$C$1369,0)),"",INDEX('Compliance Database'!$F$2:$F$1369,MATCH(1017,'Transfer Engine'!$C$2:$C$1369,0)))</f>
        <v/>
      </c>
      <c r="G1026" s="8">
        <f>IF(ISNA(MATCH(1017,'Transfer Engine'!$C$2:$C$1369,0)),"",INDEX('Compliance Database'!$G$2:$G$1369,MATCH(1017,'Transfer Engine'!$C$2:$C$1369,0)))</f>
        <v/>
      </c>
      <c r="H1026" s="9">
        <f>IF(ISNA(MATCH(1017,'Transfer Engine'!$C$2:$C$1369,0)),"",INDEX('Compliance Database'!$H$2:$H$1369,MATCH(1017,'Transfer Engine'!$C$2:$C$1369,0)))</f>
        <v/>
      </c>
      <c r="I1026" s="9">
        <f>IF(ISNA(MATCH(1017,'Transfer Engine'!$C$2:$C$1369,0)),"",INDEX('Compliance Database'!$I$2:$I$1369,MATCH(1017,'Transfer Engine'!$C$2:$C$1369,0)))</f>
        <v/>
      </c>
      <c r="J1026" s="8">
        <f>IF(ISNA(MATCH(1017,'Transfer Engine'!$C$2:$C$1369,0)),"",INDEX('Compliance Database'!$J$2:$J$1369,MATCH(1017,'Transfer Engine'!$C$2:$C$1369,0)))</f>
        <v/>
      </c>
      <c r="K1026" s="9">
        <f>IF(ISNA(MATCH(1017,'Transfer Engine'!$C$2:$C$1369,0)),"",INDEX('Compliance Database'!$K$2:$K$1369,MATCH(1017,'Transfer Engine'!$C$2:$C$1369,0)))</f>
        <v/>
      </c>
      <c r="L1026" s="9">
        <f>IF(ISNA(MATCH(1017,'Transfer Engine'!$C$2:$C$1369,0)),"",INDEX('Compliance Database'!$L$2:$L$1369,MATCH(1017,'Transfer Engine'!$C$2:$C$1369,0)))</f>
        <v/>
      </c>
      <c r="M1026" s="9">
        <f>IF(ISNA(MATCH(1017,'Transfer Engine'!$C$2:$C$1369,0)),"",INDEX('Compliance Database'!$M$2:$M$1369,MATCH(1017,'Transfer Engine'!$C$2:$C$1369,0)))</f>
        <v/>
      </c>
      <c r="N1026" s="9">
        <f>IF(ISNA(MATCH(1017,'Transfer Engine'!$C$2:$C$1369,0)),"",INDEX('Compliance Database'!$N$2:$N$1369,MATCH(1017,'Transfer Engine'!$C$2:$C$1369,0)))</f>
        <v/>
      </c>
      <c r="O1026" s="8">
        <f>IF(ISNA(MATCH(1017,'Transfer Engine'!$C$2:$C$1369,0)),"",HYPERLINK(INDEX('Compliance Database'!$O$2:$O$1369,MATCH(1017,'Transfer Engine'!$C$2:$C$1369,0)),"Open PDF"))</f>
        <v/>
      </c>
    </row>
    <row r="1027" ht="188" customHeight="1">
      <c r="A1027" s="8">
        <f>IF(ISNA(MATCH(1018,'Transfer Engine'!$C$2:$C$1369,0)),"",INDEX('Compliance Database'!$A$2:$A$1369,MATCH(1018,'Transfer Engine'!$C$2:$C$1369,0)))</f>
        <v/>
      </c>
      <c r="B1027" s="8">
        <f>IF(ISNA(MATCH(1018,'Transfer Engine'!$C$2:$C$1369,0)),"",INDEX('Compliance Database'!$B$2:$B$1369,MATCH(1018,'Transfer Engine'!$C$2:$C$1369,0)))</f>
        <v/>
      </c>
      <c r="C1027" s="8">
        <f>IF(ISNA(MATCH(1018,'Transfer Engine'!$C$2:$C$1369,0)),"",INDEX('Compliance Database'!$C$2:$C$1369,MATCH(1018,'Transfer Engine'!$C$2:$C$1369,0)))</f>
        <v/>
      </c>
      <c r="D1027" s="9">
        <f>IF(ISNA(MATCH(1018,'Transfer Engine'!$C$2:$C$1369,0)),"",INDEX('Compliance Database'!$D$2:$D$1369,MATCH(1018,'Transfer Engine'!$C$2:$C$1369,0)))</f>
        <v/>
      </c>
      <c r="E1027" s="8">
        <f>IF(ISNA(MATCH(1018,'Transfer Engine'!$C$2:$C$1369,0)),"",INDEX('Compliance Database'!$E$2:$E$1369,MATCH(1018,'Transfer Engine'!$C$2:$C$1369,0)))</f>
        <v/>
      </c>
      <c r="F1027" s="8">
        <f>IF(ISNA(MATCH(1018,'Transfer Engine'!$C$2:$C$1369,0)),"",INDEX('Compliance Database'!$F$2:$F$1369,MATCH(1018,'Transfer Engine'!$C$2:$C$1369,0)))</f>
        <v/>
      </c>
      <c r="G1027" s="8">
        <f>IF(ISNA(MATCH(1018,'Transfer Engine'!$C$2:$C$1369,0)),"",INDEX('Compliance Database'!$G$2:$G$1369,MATCH(1018,'Transfer Engine'!$C$2:$C$1369,0)))</f>
        <v/>
      </c>
      <c r="H1027" s="9">
        <f>IF(ISNA(MATCH(1018,'Transfer Engine'!$C$2:$C$1369,0)),"",INDEX('Compliance Database'!$H$2:$H$1369,MATCH(1018,'Transfer Engine'!$C$2:$C$1369,0)))</f>
        <v/>
      </c>
      <c r="I1027" s="9">
        <f>IF(ISNA(MATCH(1018,'Transfer Engine'!$C$2:$C$1369,0)),"",INDEX('Compliance Database'!$I$2:$I$1369,MATCH(1018,'Transfer Engine'!$C$2:$C$1369,0)))</f>
        <v/>
      </c>
      <c r="J1027" s="8">
        <f>IF(ISNA(MATCH(1018,'Transfer Engine'!$C$2:$C$1369,0)),"",INDEX('Compliance Database'!$J$2:$J$1369,MATCH(1018,'Transfer Engine'!$C$2:$C$1369,0)))</f>
        <v/>
      </c>
      <c r="K1027" s="9">
        <f>IF(ISNA(MATCH(1018,'Transfer Engine'!$C$2:$C$1369,0)),"",INDEX('Compliance Database'!$K$2:$K$1369,MATCH(1018,'Transfer Engine'!$C$2:$C$1369,0)))</f>
        <v/>
      </c>
      <c r="L1027" s="9">
        <f>IF(ISNA(MATCH(1018,'Transfer Engine'!$C$2:$C$1369,0)),"",INDEX('Compliance Database'!$L$2:$L$1369,MATCH(1018,'Transfer Engine'!$C$2:$C$1369,0)))</f>
        <v/>
      </c>
      <c r="M1027" s="9">
        <f>IF(ISNA(MATCH(1018,'Transfer Engine'!$C$2:$C$1369,0)),"",INDEX('Compliance Database'!$M$2:$M$1369,MATCH(1018,'Transfer Engine'!$C$2:$C$1369,0)))</f>
        <v/>
      </c>
      <c r="N1027" s="9">
        <f>IF(ISNA(MATCH(1018,'Transfer Engine'!$C$2:$C$1369,0)),"",INDEX('Compliance Database'!$N$2:$N$1369,MATCH(1018,'Transfer Engine'!$C$2:$C$1369,0)))</f>
        <v/>
      </c>
      <c r="O1027" s="8">
        <f>IF(ISNA(MATCH(1018,'Transfer Engine'!$C$2:$C$1369,0)),"",HYPERLINK(INDEX('Compliance Database'!$O$2:$O$1369,MATCH(1018,'Transfer Engine'!$C$2:$C$1369,0)),"Open PDF"))</f>
        <v/>
      </c>
    </row>
    <row r="1028" ht="188" customHeight="1">
      <c r="A1028" s="8">
        <f>IF(ISNA(MATCH(1019,'Transfer Engine'!$C$2:$C$1369,0)),"",INDEX('Compliance Database'!$A$2:$A$1369,MATCH(1019,'Transfer Engine'!$C$2:$C$1369,0)))</f>
        <v/>
      </c>
      <c r="B1028" s="8">
        <f>IF(ISNA(MATCH(1019,'Transfer Engine'!$C$2:$C$1369,0)),"",INDEX('Compliance Database'!$B$2:$B$1369,MATCH(1019,'Transfer Engine'!$C$2:$C$1369,0)))</f>
        <v/>
      </c>
      <c r="C1028" s="8">
        <f>IF(ISNA(MATCH(1019,'Transfer Engine'!$C$2:$C$1369,0)),"",INDEX('Compliance Database'!$C$2:$C$1369,MATCH(1019,'Transfer Engine'!$C$2:$C$1369,0)))</f>
        <v/>
      </c>
      <c r="D1028" s="9">
        <f>IF(ISNA(MATCH(1019,'Transfer Engine'!$C$2:$C$1369,0)),"",INDEX('Compliance Database'!$D$2:$D$1369,MATCH(1019,'Transfer Engine'!$C$2:$C$1369,0)))</f>
        <v/>
      </c>
      <c r="E1028" s="8">
        <f>IF(ISNA(MATCH(1019,'Transfer Engine'!$C$2:$C$1369,0)),"",INDEX('Compliance Database'!$E$2:$E$1369,MATCH(1019,'Transfer Engine'!$C$2:$C$1369,0)))</f>
        <v/>
      </c>
      <c r="F1028" s="8">
        <f>IF(ISNA(MATCH(1019,'Transfer Engine'!$C$2:$C$1369,0)),"",INDEX('Compliance Database'!$F$2:$F$1369,MATCH(1019,'Transfer Engine'!$C$2:$C$1369,0)))</f>
        <v/>
      </c>
      <c r="G1028" s="8">
        <f>IF(ISNA(MATCH(1019,'Transfer Engine'!$C$2:$C$1369,0)),"",INDEX('Compliance Database'!$G$2:$G$1369,MATCH(1019,'Transfer Engine'!$C$2:$C$1369,0)))</f>
        <v/>
      </c>
      <c r="H1028" s="9">
        <f>IF(ISNA(MATCH(1019,'Transfer Engine'!$C$2:$C$1369,0)),"",INDEX('Compliance Database'!$H$2:$H$1369,MATCH(1019,'Transfer Engine'!$C$2:$C$1369,0)))</f>
        <v/>
      </c>
      <c r="I1028" s="9">
        <f>IF(ISNA(MATCH(1019,'Transfer Engine'!$C$2:$C$1369,0)),"",INDEX('Compliance Database'!$I$2:$I$1369,MATCH(1019,'Transfer Engine'!$C$2:$C$1369,0)))</f>
        <v/>
      </c>
      <c r="J1028" s="8">
        <f>IF(ISNA(MATCH(1019,'Transfer Engine'!$C$2:$C$1369,0)),"",INDEX('Compliance Database'!$J$2:$J$1369,MATCH(1019,'Transfer Engine'!$C$2:$C$1369,0)))</f>
        <v/>
      </c>
      <c r="K1028" s="9">
        <f>IF(ISNA(MATCH(1019,'Transfer Engine'!$C$2:$C$1369,0)),"",INDEX('Compliance Database'!$K$2:$K$1369,MATCH(1019,'Transfer Engine'!$C$2:$C$1369,0)))</f>
        <v/>
      </c>
      <c r="L1028" s="9">
        <f>IF(ISNA(MATCH(1019,'Transfer Engine'!$C$2:$C$1369,0)),"",INDEX('Compliance Database'!$L$2:$L$1369,MATCH(1019,'Transfer Engine'!$C$2:$C$1369,0)))</f>
        <v/>
      </c>
      <c r="M1028" s="9">
        <f>IF(ISNA(MATCH(1019,'Transfer Engine'!$C$2:$C$1369,0)),"",INDEX('Compliance Database'!$M$2:$M$1369,MATCH(1019,'Transfer Engine'!$C$2:$C$1369,0)))</f>
        <v/>
      </c>
      <c r="N1028" s="9">
        <f>IF(ISNA(MATCH(1019,'Transfer Engine'!$C$2:$C$1369,0)),"",INDEX('Compliance Database'!$N$2:$N$1369,MATCH(1019,'Transfer Engine'!$C$2:$C$1369,0)))</f>
        <v/>
      </c>
      <c r="O1028" s="8">
        <f>IF(ISNA(MATCH(1019,'Transfer Engine'!$C$2:$C$1369,0)),"",HYPERLINK(INDEX('Compliance Database'!$O$2:$O$1369,MATCH(1019,'Transfer Engine'!$C$2:$C$1369,0)),"Open PDF"))</f>
        <v/>
      </c>
    </row>
    <row r="1029" ht="188" customHeight="1">
      <c r="A1029" s="8">
        <f>IF(ISNA(MATCH(1020,'Transfer Engine'!$C$2:$C$1369,0)),"",INDEX('Compliance Database'!$A$2:$A$1369,MATCH(1020,'Transfer Engine'!$C$2:$C$1369,0)))</f>
        <v/>
      </c>
      <c r="B1029" s="8">
        <f>IF(ISNA(MATCH(1020,'Transfer Engine'!$C$2:$C$1369,0)),"",INDEX('Compliance Database'!$B$2:$B$1369,MATCH(1020,'Transfer Engine'!$C$2:$C$1369,0)))</f>
        <v/>
      </c>
      <c r="C1029" s="8">
        <f>IF(ISNA(MATCH(1020,'Transfer Engine'!$C$2:$C$1369,0)),"",INDEX('Compliance Database'!$C$2:$C$1369,MATCH(1020,'Transfer Engine'!$C$2:$C$1369,0)))</f>
        <v/>
      </c>
      <c r="D1029" s="9">
        <f>IF(ISNA(MATCH(1020,'Transfer Engine'!$C$2:$C$1369,0)),"",INDEX('Compliance Database'!$D$2:$D$1369,MATCH(1020,'Transfer Engine'!$C$2:$C$1369,0)))</f>
        <v/>
      </c>
      <c r="E1029" s="8">
        <f>IF(ISNA(MATCH(1020,'Transfer Engine'!$C$2:$C$1369,0)),"",INDEX('Compliance Database'!$E$2:$E$1369,MATCH(1020,'Transfer Engine'!$C$2:$C$1369,0)))</f>
        <v/>
      </c>
      <c r="F1029" s="8">
        <f>IF(ISNA(MATCH(1020,'Transfer Engine'!$C$2:$C$1369,0)),"",INDEX('Compliance Database'!$F$2:$F$1369,MATCH(1020,'Transfer Engine'!$C$2:$C$1369,0)))</f>
        <v/>
      </c>
      <c r="G1029" s="8">
        <f>IF(ISNA(MATCH(1020,'Transfer Engine'!$C$2:$C$1369,0)),"",INDEX('Compliance Database'!$G$2:$G$1369,MATCH(1020,'Transfer Engine'!$C$2:$C$1369,0)))</f>
        <v/>
      </c>
      <c r="H1029" s="9">
        <f>IF(ISNA(MATCH(1020,'Transfer Engine'!$C$2:$C$1369,0)),"",INDEX('Compliance Database'!$H$2:$H$1369,MATCH(1020,'Transfer Engine'!$C$2:$C$1369,0)))</f>
        <v/>
      </c>
      <c r="I1029" s="9">
        <f>IF(ISNA(MATCH(1020,'Transfer Engine'!$C$2:$C$1369,0)),"",INDEX('Compliance Database'!$I$2:$I$1369,MATCH(1020,'Transfer Engine'!$C$2:$C$1369,0)))</f>
        <v/>
      </c>
      <c r="J1029" s="8">
        <f>IF(ISNA(MATCH(1020,'Transfer Engine'!$C$2:$C$1369,0)),"",INDEX('Compliance Database'!$J$2:$J$1369,MATCH(1020,'Transfer Engine'!$C$2:$C$1369,0)))</f>
        <v/>
      </c>
      <c r="K1029" s="9">
        <f>IF(ISNA(MATCH(1020,'Transfer Engine'!$C$2:$C$1369,0)),"",INDEX('Compliance Database'!$K$2:$K$1369,MATCH(1020,'Transfer Engine'!$C$2:$C$1369,0)))</f>
        <v/>
      </c>
      <c r="L1029" s="9">
        <f>IF(ISNA(MATCH(1020,'Transfer Engine'!$C$2:$C$1369,0)),"",INDEX('Compliance Database'!$L$2:$L$1369,MATCH(1020,'Transfer Engine'!$C$2:$C$1369,0)))</f>
        <v/>
      </c>
      <c r="M1029" s="9">
        <f>IF(ISNA(MATCH(1020,'Transfer Engine'!$C$2:$C$1369,0)),"",INDEX('Compliance Database'!$M$2:$M$1369,MATCH(1020,'Transfer Engine'!$C$2:$C$1369,0)))</f>
        <v/>
      </c>
      <c r="N1029" s="9">
        <f>IF(ISNA(MATCH(1020,'Transfer Engine'!$C$2:$C$1369,0)),"",INDEX('Compliance Database'!$N$2:$N$1369,MATCH(1020,'Transfer Engine'!$C$2:$C$1369,0)))</f>
        <v/>
      </c>
      <c r="O1029" s="8">
        <f>IF(ISNA(MATCH(1020,'Transfer Engine'!$C$2:$C$1369,0)),"",HYPERLINK(INDEX('Compliance Database'!$O$2:$O$1369,MATCH(1020,'Transfer Engine'!$C$2:$C$1369,0)),"Open PDF"))</f>
        <v/>
      </c>
    </row>
    <row r="1030" ht="188" customHeight="1">
      <c r="A1030" s="8">
        <f>IF(ISNA(MATCH(1021,'Transfer Engine'!$C$2:$C$1369,0)),"",INDEX('Compliance Database'!$A$2:$A$1369,MATCH(1021,'Transfer Engine'!$C$2:$C$1369,0)))</f>
        <v/>
      </c>
      <c r="B1030" s="8">
        <f>IF(ISNA(MATCH(1021,'Transfer Engine'!$C$2:$C$1369,0)),"",INDEX('Compliance Database'!$B$2:$B$1369,MATCH(1021,'Transfer Engine'!$C$2:$C$1369,0)))</f>
        <v/>
      </c>
      <c r="C1030" s="8">
        <f>IF(ISNA(MATCH(1021,'Transfer Engine'!$C$2:$C$1369,0)),"",INDEX('Compliance Database'!$C$2:$C$1369,MATCH(1021,'Transfer Engine'!$C$2:$C$1369,0)))</f>
        <v/>
      </c>
      <c r="D1030" s="9">
        <f>IF(ISNA(MATCH(1021,'Transfer Engine'!$C$2:$C$1369,0)),"",INDEX('Compliance Database'!$D$2:$D$1369,MATCH(1021,'Transfer Engine'!$C$2:$C$1369,0)))</f>
        <v/>
      </c>
      <c r="E1030" s="8">
        <f>IF(ISNA(MATCH(1021,'Transfer Engine'!$C$2:$C$1369,0)),"",INDEX('Compliance Database'!$E$2:$E$1369,MATCH(1021,'Transfer Engine'!$C$2:$C$1369,0)))</f>
        <v/>
      </c>
      <c r="F1030" s="8">
        <f>IF(ISNA(MATCH(1021,'Transfer Engine'!$C$2:$C$1369,0)),"",INDEX('Compliance Database'!$F$2:$F$1369,MATCH(1021,'Transfer Engine'!$C$2:$C$1369,0)))</f>
        <v/>
      </c>
      <c r="G1030" s="8">
        <f>IF(ISNA(MATCH(1021,'Transfer Engine'!$C$2:$C$1369,0)),"",INDEX('Compliance Database'!$G$2:$G$1369,MATCH(1021,'Transfer Engine'!$C$2:$C$1369,0)))</f>
        <v/>
      </c>
      <c r="H1030" s="9">
        <f>IF(ISNA(MATCH(1021,'Transfer Engine'!$C$2:$C$1369,0)),"",INDEX('Compliance Database'!$H$2:$H$1369,MATCH(1021,'Transfer Engine'!$C$2:$C$1369,0)))</f>
        <v/>
      </c>
      <c r="I1030" s="9">
        <f>IF(ISNA(MATCH(1021,'Transfer Engine'!$C$2:$C$1369,0)),"",INDEX('Compliance Database'!$I$2:$I$1369,MATCH(1021,'Transfer Engine'!$C$2:$C$1369,0)))</f>
        <v/>
      </c>
      <c r="J1030" s="8">
        <f>IF(ISNA(MATCH(1021,'Transfer Engine'!$C$2:$C$1369,0)),"",INDEX('Compliance Database'!$J$2:$J$1369,MATCH(1021,'Transfer Engine'!$C$2:$C$1369,0)))</f>
        <v/>
      </c>
      <c r="K1030" s="9">
        <f>IF(ISNA(MATCH(1021,'Transfer Engine'!$C$2:$C$1369,0)),"",INDEX('Compliance Database'!$K$2:$K$1369,MATCH(1021,'Transfer Engine'!$C$2:$C$1369,0)))</f>
        <v/>
      </c>
      <c r="L1030" s="9">
        <f>IF(ISNA(MATCH(1021,'Transfer Engine'!$C$2:$C$1369,0)),"",INDEX('Compliance Database'!$L$2:$L$1369,MATCH(1021,'Transfer Engine'!$C$2:$C$1369,0)))</f>
        <v/>
      </c>
      <c r="M1030" s="9">
        <f>IF(ISNA(MATCH(1021,'Transfer Engine'!$C$2:$C$1369,0)),"",INDEX('Compliance Database'!$M$2:$M$1369,MATCH(1021,'Transfer Engine'!$C$2:$C$1369,0)))</f>
        <v/>
      </c>
      <c r="N1030" s="9">
        <f>IF(ISNA(MATCH(1021,'Transfer Engine'!$C$2:$C$1369,0)),"",INDEX('Compliance Database'!$N$2:$N$1369,MATCH(1021,'Transfer Engine'!$C$2:$C$1369,0)))</f>
        <v/>
      </c>
      <c r="O1030" s="8">
        <f>IF(ISNA(MATCH(1021,'Transfer Engine'!$C$2:$C$1369,0)),"",HYPERLINK(INDEX('Compliance Database'!$O$2:$O$1369,MATCH(1021,'Transfer Engine'!$C$2:$C$1369,0)),"Open PDF"))</f>
        <v/>
      </c>
    </row>
    <row r="1031" ht="188" customHeight="1">
      <c r="A1031" s="8">
        <f>IF(ISNA(MATCH(1022,'Transfer Engine'!$C$2:$C$1369,0)),"",INDEX('Compliance Database'!$A$2:$A$1369,MATCH(1022,'Transfer Engine'!$C$2:$C$1369,0)))</f>
        <v/>
      </c>
      <c r="B1031" s="8">
        <f>IF(ISNA(MATCH(1022,'Transfer Engine'!$C$2:$C$1369,0)),"",INDEX('Compliance Database'!$B$2:$B$1369,MATCH(1022,'Transfer Engine'!$C$2:$C$1369,0)))</f>
        <v/>
      </c>
      <c r="C1031" s="8">
        <f>IF(ISNA(MATCH(1022,'Transfer Engine'!$C$2:$C$1369,0)),"",INDEX('Compliance Database'!$C$2:$C$1369,MATCH(1022,'Transfer Engine'!$C$2:$C$1369,0)))</f>
        <v/>
      </c>
      <c r="D1031" s="9">
        <f>IF(ISNA(MATCH(1022,'Transfer Engine'!$C$2:$C$1369,0)),"",INDEX('Compliance Database'!$D$2:$D$1369,MATCH(1022,'Transfer Engine'!$C$2:$C$1369,0)))</f>
        <v/>
      </c>
      <c r="E1031" s="8">
        <f>IF(ISNA(MATCH(1022,'Transfer Engine'!$C$2:$C$1369,0)),"",INDEX('Compliance Database'!$E$2:$E$1369,MATCH(1022,'Transfer Engine'!$C$2:$C$1369,0)))</f>
        <v/>
      </c>
      <c r="F1031" s="8">
        <f>IF(ISNA(MATCH(1022,'Transfer Engine'!$C$2:$C$1369,0)),"",INDEX('Compliance Database'!$F$2:$F$1369,MATCH(1022,'Transfer Engine'!$C$2:$C$1369,0)))</f>
        <v/>
      </c>
      <c r="G1031" s="8">
        <f>IF(ISNA(MATCH(1022,'Transfer Engine'!$C$2:$C$1369,0)),"",INDEX('Compliance Database'!$G$2:$G$1369,MATCH(1022,'Transfer Engine'!$C$2:$C$1369,0)))</f>
        <v/>
      </c>
      <c r="H1031" s="9">
        <f>IF(ISNA(MATCH(1022,'Transfer Engine'!$C$2:$C$1369,0)),"",INDEX('Compliance Database'!$H$2:$H$1369,MATCH(1022,'Transfer Engine'!$C$2:$C$1369,0)))</f>
        <v/>
      </c>
      <c r="I1031" s="9">
        <f>IF(ISNA(MATCH(1022,'Transfer Engine'!$C$2:$C$1369,0)),"",INDEX('Compliance Database'!$I$2:$I$1369,MATCH(1022,'Transfer Engine'!$C$2:$C$1369,0)))</f>
        <v/>
      </c>
      <c r="J1031" s="8">
        <f>IF(ISNA(MATCH(1022,'Transfer Engine'!$C$2:$C$1369,0)),"",INDEX('Compliance Database'!$J$2:$J$1369,MATCH(1022,'Transfer Engine'!$C$2:$C$1369,0)))</f>
        <v/>
      </c>
      <c r="K1031" s="9">
        <f>IF(ISNA(MATCH(1022,'Transfer Engine'!$C$2:$C$1369,0)),"",INDEX('Compliance Database'!$K$2:$K$1369,MATCH(1022,'Transfer Engine'!$C$2:$C$1369,0)))</f>
        <v/>
      </c>
      <c r="L1031" s="9">
        <f>IF(ISNA(MATCH(1022,'Transfer Engine'!$C$2:$C$1369,0)),"",INDEX('Compliance Database'!$L$2:$L$1369,MATCH(1022,'Transfer Engine'!$C$2:$C$1369,0)))</f>
        <v/>
      </c>
      <c r="M1031" s="9">
        <f>IF(ISNA(MATCH(1022,'Transfer Engine'!$C$2:$C$1369,0)),"",INDEX('Compliance Database'!$M$2:$M$1369,MATCH(1022,'Transfer Engine'!$C$2:$C$1369,0)))</f>
        <v/>
      </c>
      <c r="N1031" s="9">
        <f>IF(ISNA(MATCH(1022,'Transfer Engine'!$C$2:$C$1369,0)),"",INDEX('Compliance Database'!$N$2:$N$1369,MATCH(1022,'Transfer Engine'!$C$2:$C$1369,0)))</f>
        <v/>
      </c>
      <c r="O1031" s="8">
        <f>IF(ISNA(MATCH(1022,'Transfer Engine'!$C$2:$C$1369,0)),"",HYPERLINK(INDEX('Compliance Database'!$O$2:$O$1369,MATCH(1022,'Transfer Engine'!$C$2:$C$1369,0)),"Open PDF"))</f>
        <v/>
      </c>
    </row>
    <row r="1032" ht="188" customHeight="1">
      <c r="A1032" s="8">
        <f>IF(ISNA(MATCH(1023,'Transfer Engine'!$C$2:$C$1369,0)),"",INDEX('Compliance Database'!$A$2:$A$1369,MATCH(1023,'Transfer Engine'!$C$2:$C$1369,0)))</f>
        <v/>
      </c>
      <c r="B1032" s="8">
        <f>IF(ISNA(MATCH(1023,'Transfer Engine'!$C$2:$C$1369,0)),"",INDEX('Compliance Database'!$B$2:$B$1369,MATCH(1023,'Transfer Engine'!$C$2:$C$1369,0)))</f>
        <v/>
      </c>
      <c r="C1032" s="8">
        <f>IF(ISNA(MATCH(1023,'Transfer Engine'!$C$2:$C$1369,0)),"",INDEX('Compliance Database'!$C$2:$C$1369,MATCH(1023,'Transfer Engine'!$C$2:$C$1369,0)))</f>
        <v/>
      </c>
      <c r="D1032" s="9">
        <f>IF(ISNA(MATCH(1023,'Transfer Engine'!$C$2:$C$1369,0)),"",INDEX('Compliance Database'!$D$2:$D$1369,MATCH(1023,'Transfer Engine'!$C$2:$C$1369,0)))</f>
        <v/>
      </c>
      <c r="E1032" s="8">
        <f>IF(ISNA(MATCH(1023,'Transfer Engine'!$C$2:$C$1369,0)),"",INDEX('Compliance Database'!$E$2:$E$1369,MATCH(1023,'Transfer Engine'!$C$2:$C$1369,0)))</f>
        <v/>
      </c>
      <c r="F1032" s="8">
        <f>IF(ISNA(MATCH(1023,'Transfer Engine'!$C$2:$C$1369,0)),"",INDEX('Compliance Database'!$F$2:$F$1369,MATCH(1023,'Transfer Engine'!$C$2:$C$1369,0)))</f>
        <v/>
      </c>
      <c r="G1032" s="8">
        <f>IF(ISNA(MATCH(1023,'Transfer Engine'!$C$2:$C$1369,0)),"",INDEX('Compliance Database'!$G$2:$G$1369,MATCH(1023,'Transfer Engine'!$C$2:$C$1369,0)))</f>
        <v/>
      </c>
      <c r="H1032" s="9">
        <f>IF(ISNA(MATCH(1023,'Transfer Engine'!$C$2:$C$1369,0)),"",INDEX('Compliance Database'!$H$2:$H$1369,MATCH(1023,'Transfer Engine'!$C$2:$C$1369,0)))</f>
        <v/>
      </c>
      <c r="I1032" s="9">
        <f>IF(ISNA(MATCH(1023,'Transfer Engine'!$C$2:$C$1369,0)),"",INDEX('Compliance Database'!$I$2:$I$1369,MATCH(1023,'Transfer Engine'!$C$2:$C$1369,0)))</f>
        <v/>
      </c>
      <c r="J1032" s="8">
        <f>IF(ISNA(MATCH(1023,'Transfer Engine'!$C$2:$C$1369,0)),"",INDEX('Compliance Database'!$J$2:$J$1369,MATCH(1023,'Transfer Engine'!$C$2:$C$1369,0)))</f>
        <v/>
      </c>
      <c r="K1032" s="9">
        <f>IF(ISNA(MATCH(1023,'Transfer Engine'!$C$2:$C$1369,0)),"",INDEX('Compliance Database'!$K$2:$K$1369,MATCH(1023,'Transfer Engine'!$C$2:$C$1369,0)))</f>
        <v/>
      </c>
      <c r="L1032" s="9">
        <f>IF(ISNA(MATCH(1023,'Transfer Engine'!$C$2:$C$1369,0)),"",INDEX('Compliance Database'!$L$2:$L$1369,MATCH(1023,'Transfer Engine'!$C$2:$C$1369,0)))</f>
        <v/>
      </c>
      <c r="M1032" s="9">
        <f>IF(ISNA(MATCH(1023,'Transfer Engine'!$C$2:$C$1369,0)),"",INDEX('Compliance Database'!$M$2:$M$1369,MATCH(1023,'Transfer Engine'!$C$2:$C$1369,0)))</f>
        <v/>
      </c>
      <c r="N1032" s="9">
        <f>IF(ISNA(MATCH(1023,'Transfer Engine'!$C$2:$C$1369,0)),"",INDEX('Compliance Database'!$N$2:$N$1369,MATCH(1023,'Transfer Engine'!$C$2:$C$1369,0)))</f>
        <v/>
      </c>
      <c r="O1032" s="8">
        <f>IF(ISNA(MATCH(1023,'Transfer Engine'!$C$2:$C$1369,0)),"",HYPERLINK(INDEX('Compliance Database'!$O$2:$O$1369,MATCH(1023,'Transfer Engine'!$C$2:$C$1369,0)),"Open PDF"))</f>
        <v/>
      </c>
    </row>
    <row r="1033" ht="188" customHeight="1">
      <c r="A1033" s="8">
        <f>IF(ISNA(MATCH(1024,'Transfer Engine'!$C$2:$C$1369,0)),"",INDEX('Compliance Database'!$A$2:$A$1369,MATCH(1024,'Transfer Engine'!$C$2:$C$1369,0)))</f>
        <v/>
      </c>
      <c r="B1033" s="8">
        <f>IF(ISNA(MATCH(1024,'Transfer Engine'!$C$2:$C$1369,0)),"",INDEX('Compliance Database'!$B$2:$B$1369,MATCH(1024,'Transfer Engine'!$C$2:$C$1369,0)))</f>
        <v/>
      </c>
      <c r="C1033" s="8">
        <f>IF(ISNA(MATCH(1024,'Transfer Engine'!$C$2:$C$1369,0)),"",INDEX('Compliance Database'!$C$2:$C$1369,MATCH(1024,'Transfer Engine'!$C$2:$C$1369,0)))</f>
        <v/>
      </c>
      <c r="D1033" s="9">
        <f>IF(ISNA(MATCH(1024,'Transfer Engine'!$C$2:$C$1369,0)),"",INDEX('Compliance Database'!$D$2:$D$1369,MATCH(1024,'Transfer Engine'!$C$2:$C$1369,0)))</f>
        <v/>
      </c>
      <c r="E1033" s="8">
        <f>IF(ISNA(MATCH(1024,'Transfer Engine'!$C$2:$C$1369,0)),"",INDEX('Compliance Database'!$E$2:$E$1369,MATCH(1024,'Transfer Engine'!$C$2:$C$1369,0)))</f>
        <v/>
      </c>
      <c r="F1033" s="8">
        <f>IF(ISNA(MATCH(1024,'Transfer Engine'!$C$2:$C$1369,0)),"",INDEX('Compliance Database'!$F$2:$F$1369,MATCH(1024,'Transfer Engine'!$C$2:$C$1369,0)))</f>
        <v/>
      </c>
      <c r="G1033" s="8">
        <f>IF(ISNA(MATCH(1024,'Transfer Engine'!$C$2:$C$1369,0)),"",INDEX('Compliance Database'!$G$2:$G$1369,MATCH(1024,'Transfer Engine'!$C$2:$C$1369,0)))</f>
        <v/>
      </c>
      <c r="H1033" s="9">
        <f>IF(ISNA(MATCH(1024,'Transfer Engine'!$C$2:$C$1369,0)),"",INDEX('Compliance Database'!$H$2:$H$1369,MATCH(1024,'Transfer Engine'!$C$2:$C$1369,0)))</f>
        <v/>
      </c>
      <c r="I1033" s="9">
        <f>IF(ISNA(MATCH(1024,'Transfer Engine'!$C$2:$C$1369,0)),"",INDEX('Compliance Database'!$I$2:$I$1369,MATCH(1024,'Transfer Engine'!$C$2:$C$1369,0)))</f>
        <v/>
      </c>
      <c r="J1033" s="8">
        <f>IF(ISNA(MATCH(1024,'Transfer Engine'!$C$2:$C$1369,0)),"",INDEX('Compliance Database'!$J$2:$J$1369,MATCH(1024,'Transfer Engine'!$C$2:$C$1369,0)))</f>
        <v/>
      </c>
      <c r="K1033" s="9">
        <f>IF(ISNA(MATCH(1024,'Transfer Engine'!$C$2:$C$1369,0)),"",INDEX('Compliance Database'!$K$2:$K$1369,MATCH(1024,'Transfer Engine'!$C$2:$C$1369,0)))</f>
        <v/>
      </c>
      <c r="L1033" s="9">
        <f>IF(ISNA(MATCH(1024,'Transfer Engine'!$C$2:$C$1369,0)),"",INDEX('Compliance Database'!$L$2:$L$1369,MATCH(1024,'Transfer Engine'!$C$2:$C$1369,0)))</f>
        <v/>
      </c>
      <c r="M1033" s="9">
        <f>IF(ISNA(MATCH(1024,'Transfer Engine'!$C$2:$C$1369,0)),"",INDEX('Compliance Database'!$M$2:$M$1369,MATCH(1024,'Transfer Engine'!$C$2:$C$1369,0)))</f>
        <v/>
      </c>
      <c r="N1033" s="9">
        <f>IF(ISNA(MATCH(1024,'Transfer Engine'!$C$2:$C$1369,0)),"",INDEX('Compliance Database'!$N$2:$N$1369,MATCH(1024,'Transfer Engine'!$C$2:$C$1369,0)))</f>
        <v/>
      </c>
      <c r="O1033" s="8">
        <f>IF(ISNA(MATCH(1024,'Transfer Engine'!$C$2:$C$1369,0)),"",HYPERLINK(INDEX('Compliance Database'!$O$2:$O$1369,MATCH(1024,'Transfer Engine'!$C$2:$C$1369,0)),"Open PDF"))</f>
        <v/>
      </c>
    </row>
    <row r="1034" ht="188" customHeight="1">
      <c r="A1034" s="8">
        <f>IF(ISNA(MATCH(1025,'Transfer Engine'!$C$2:$C$1369,0)),"",INDEX('Compliance Database'!$A$2:$A$1369,MATCH(1025,'Transfer Engine'!$C$2:$C$1369,0)))</f>
        <v/>
      </c>
      <c r="B1034" s="8">
        <f>IF(ISNA(MATCH(1025,'Transfer Engine'!$C$2:$C$1369,0)),"",INDEX('Compliance Database'!$B$2:$B$1369,MATCH(1025,'Transfer Engine'!$C$2:$C$1369,0)))</f>
        <v/>
      </c>
      <c r="C1034" s="8">
        <f>IF(ISNA(MATCH(1025,'Transfer Engine'!$C$2:$C$1369,0)),"",INDEX('Compliance Database'!$C$2:$C$1369,MATCH(1025,'Transfer Engine'!$C$2:$C$1369,0)))</f>
        <v/>
      </c>
      <c r="D1034" s="9">
        <f>IF(ISNA(MATCH(1025,'Transfer Engine'!$C$2:$C$1369,0)),"",INDEX('Compliance Database'!$D$2:$D$1369,MATCH(1025,'Transfer Engine'!$C$2:$C$1369,0)))</f>
        <v/>
      </c>
      <c r="E1034" s="8">
        <f>IF(ISNA(MATCH(1025,'Transfer Engine'!$C$2:$C$1369,0)),"",INDEX('Compliance Database'!$E$2:$E$1369,MATCH(1025,'Transfer Engine'!$C$2:$C$1369,0)))</f>
        <v/>
      </c>
      <c r="F1034" s="8">
        <f>IF(ISNA(MATCH(1025,'Transfer Engine'!$C$2:$C$1369,0)),"",INDEX('Compliance Database'!$F$2:$F$1369,MATCH(1025,'Transfer Engine'!$C$2:$C$1369,0)))</f>
        <v/>
      </c>
      <c r="G1034" s="8">
        <f>IF(ISNA(MATCH(1025,'Transfer Engine'!$C$2:$C$1369,0)),"",INDEX('Compliance Database'!$G$2:$G$1369,MATCH(1025,'Transfer Engine'!$C$2:$C$1369,0)))</f>
        <v/>
      </c>
      <c r="H1034" s="9">
        <f>IF(ISNA(MATCH(1025,'Transfer Engine'!$C$2:$C$1369,0)),"",INDEX('Compliance Database'!$H$2:$H$1369,MATCH(1025,'Transfer Engine'!$C$2:$C$1369,0)))</f>
        <v/>
      </c>
      <c r="I1034" s="9">
        <f>IF(ISNA(MATCH(1025,'Transfer Engine'!$C$2:$C$1369,0)),"",INDEX('Compliance Database'!$I$2:$I$1369,MATCH(1025,'Transfer Engine'!$C$2:$C$1369,0)))</f>
        <v/>
      </c>
      <c r="J1034" s="8">
        <f>IF(ISNA(MATCH(1025,'Transfer Engine'!$C$2:$C$1369,0)),"",INDEX('Compliance Database'!$J$2:$J$1369,MATCH(1025,'Transfer Engine'!$C$2:$C$1369,0)))</f>
        <v/>
      </c>
      <c r="K1034" s="9">
        <f>IF(ISNA(MATCH(1025,'Transfer Engine'!$C$2:$C$1369,0)),"",INDEX('Compliance Database'!$K$2:$K$1369,MATCH(1025,'Transfer Engine'!$C$2:$C$1369,0)))</f>
        <v/>
      </c>
      <c r="L1034" s="9">
        <f>IF(ISNA(MATCH(1025,'Transfer Engine'!$C$2:$C$1369,0)),"",INDEX('Compliance Database'!$L$2:$L$1369,MATCH(1025,'Transfer Engine'!$C$2:$C$1369,0)))</f>
        <v/>
      </c>
      <c r="M1034" s="9">
        <f>IF(ISNA(MATCH(1025,'Transfer Engine'!$C$2:$C$1369,0)),"",INDEX('Compliance Database'!$M$2:$M$1369,MATCH(1025,'Transfer Engine'!$C$2:$C$1369,0)))</f>
        <v/>
      </c>
      <c r="N1034" s="9">
        <f>IF(ISNA(MATCH(1025,'Transfer Engine'!$C$2:$C$1369,0)),"",INDEX('Compliance Database'!$N$2:$N$1369,MATCH(1025,'Transfer Engine'!$C$2:$C$1369,0)))</f>
        <v/>
      </c>
      <c r="O1034" s="8">
        <f>IF(ISNA(MATCH(1025,'Transfer Engine'!$C$2:$C$1369,0)),"",HYPERLINK(INDEX('Compliance Database'!$O$2:$O$1369,MATCH(1025,'Transfer Engine'!$C$2:$C$1369,0)),"Open PDF"))</f>
        <v/>
      </c>
    </row>
    <row r="1035" ht="188" customHeight="1">
      <c r="A1035" s="8">
        <f>IF(ISNA(MATCH(1026,'Transfer Engine'!$C$2:$C$1369,0)),"",INDEX('Compliance Database'!$A$2:$A$1369,MATCH(1026,'Transfer Engine'!$C$2:$C$1369,0)))</f>
        <v/>
      </c>
      <c r="B1035" s="8">
        <f>IF(ISNA(MATCH(1026,'Transfer Engine'!$C$2:$C$1369,0)),"",INDEX('Compliance Database'!$B$2:$B$1369,MATCH(1026,'Transfer Engine'!$C$2:$C$1369,0)))</f>
        <v/>
      </c>
      <c r="C1035" s="8">
        <f>IF(ISNA(MATCH(1026,'Transfer Engine'!$C$2:$C$1369,0)),"",INDEX('Compliance Database'!$C$2:$C$1369,MATCH(1026,'Transfer Engine'!$C$2:$C$1369,0)))</f>
        <v/>
      </c>
      <c r="D1035" s="9">
        <f>IF(ISNA(MATCH(1026,'Transfer Engine'!$C$2:$C$1369,0)),"",INDEX('Compliance Database'!$D$2:$D$1369,MATCH(1026,'Transfer Engine'!$C$2:$C$1369,0)))</f>
        <v/>
      </c>
      <c r="E1035" s="8">
        <f>IF(ISNA(MATCH(1026,'Transfer Engine'!$C$2:$C$1369,0)),"",INDEX('Compliance Database'!$E$2:$E$1369,MATCH(1026,'Transfer Engine'!$C$2:$C$1369,0)))</f>
        <v/>
      </c>
      <c r="F1035" s="8">
        <f>IF(ISNA(MATCH(1026,'Transfer Engine'!$C$2:$C$1369,0)),"",INDEX('Compliance Database'!$F$2:$F$1369,MATCH(1026,'Transfer Engine'!$C$2:$C$1369,0)))</f>
        <v/>
      </c>
      <c r="G1035" s="8">
        <f>IF(ISNA(MATCH(1026,'Transfer Engine'!$C$2:$C$1369,0)),"",INDEX('Compliance Database'!$G$2:$G$1369,MATCH(1026,'Transfer Engine'!$C$2:$C$1369,0)))</f>
        <v/>
      </c>
      <c r="H1035" s="9">
        <f>IF(ISNA(MATCH(1026,'Transfer Engine'!$C$2:$C$1369,0)),"",INDEX('Compliance Database'!$H$2:$H$1369,MATCH(1026,'Transfer Engine'!$C$2:$C$1369,0)))</f>
        <v/>
      </c>
      <c r="I1035" s="9">
        <f>IF(ISNA(MATCH(1026,'Transfer Engine'!$C$2:$C$1369,0)),"",INDEX('Compliance Database'!$I$2:$I$1369,MATCH(1026,'Transfer Engine'!$C$2:$C$1369,0)))</f>
        <v/>
      </c>
      <c r="J1035" s="8">
        <f>IF(ISNA(MATCH(1026,'Transfer Engine'!$C$2:$C$1369,0)),"",INDEX('Compliance Database'!$J$2:$J$1369,MATCH(1026,'Transfer Engine'!$C$2:$C$1369,0)))</f>
        <v/>
      </c>
      <c r="K1035" s="9">
        <f>IF(ISNA(MATCH(1026,'Transfer Engine'!$C$2:$C$1369,0)),"",INDEX('Compliance Database'!$K$2:$K$1369,MATCH(1026,'Transfer Engine'!$C$2:$C$1369,0)))</f>
        <v/>
      </c>
      <c r="L1035" s="9">
        <f>IF(ISNA(MATCH(1026,'Transfer Engine'!$C$2:$C$1369,0)),"",INDEX('Compliance Database'!$L$2:$L$1369,MATCH(1026,'Transfer Engine'!$C$2:$C$1369,0)))</f>
        <v/>
      </c>
      <c r="M1035" s="9">
        <f>IF(ISNA(MATCH(1026,'Transfer Engine'!$C$2:$C$1369,0)),"",INDEX('Compliance Database'!$M$2:$M$1369,MATCH(1026,'Transfer Engine'!$C$2:$C$1369,0)))</f>
        <v/>
      </c>
      <c r="N1035" s="9">
        <f>IF(ISNA(MATCH(1026,'Transfer Engine'!$C$2:$C$1369,0)),"",INDEX('Compliance Database'!$N$2:$N$1369,MATCH(1026,'Transfer Engine'!$C$2:$C$1369,0)))</f>
        <v/>
      </c>
      <c r="O1035" s="8">
        <f>IF(ISNA(MATCH(1026,'Transfer Engine'!$C$2:$C$1369,0)),"",HYPERLINK(INDEX('Compliance Database'!$O$2:$O$1369,MATCH(1026,'Transfer Engine'!$C$2:$C$1369,0)),"Open PDF"))</f>
        <v/>
      </c>
    </row>
    <row r="1036" ht="188" customHeight="1">
      <c r="A1036" s="8">
        <f>IF(ISNA(MATCH(1027,'Transfer Engine'!$C$2:$C$1369,0)),"",INDEX('Compliance Database'!$A$2:$A$1369,MATCH(1027,'Transfer Engine'!$C$2:$C$1369,0)))</f>
        <v/>
      </c>
      <c r="B1036" s="8">
        <f>IF(ISNA(MATCH(1027,'Transfer Engine'!$C$2:$C$1369,0)),"",INDEX('Compliance Database'!$B$2:$B$1369,MATCH(1027,'Transfer Engine'!$C$2:$C$1369,0)))</f>
        <v/>
      </c>
      <c r="C1036" s="8">
        <f>IF(ISNA(MATCH(1027,'Transfer Engine'!$C$2:$C$1369,0)),"",INDEX('Compliance Database'!$C$2:$C$1369,MATCH(1027,'Transfer Engine'!$C$2:$C$1369,0)))</f>
        <v/>
      </c>
      <c r="D1036" s="9">
        <f>IF(ISNA(MATCH(1027,'Transfer Engine'!$C$2:$C$1369,0)),"",INDEX('Compliance Database'!$D$2:$D$1369,MATCH(1027,'Transfer Engine'!$C$2:$C$1369,0)))</f>
        <v/>
      </c>
      <c r="E1036" s="8">
        <f>IF(ISNA(MATCH(1027,'Transfer Engine'!$C$2:$C$1369,0)),"",INDEX('Compliance Database'!$E$2:$E$1369,MATCH(1027,'Transfer Engine'!$C$2:$C$1369,0)))</f>
        <v/>
      </c>
      <c r="F1036" s="8">
        <f>IF(ISNA(MATCH(1027,'Transfer Engine'!$C$2:$C$1369,0)),"",INDEX('Compliance Database'!$F$2:$F$1369,MATCH(1027,'Transfer Engine'!$C$2:$C$1369,0)))</f>
        <v/>
      </c>
      <c r="G1036" s="8">
        <f>IF(ISNA(MATCH(1027,'Transfer Engine'!$C$2:$C$1369,0)),"",INDEX('Compliance Database'!$G$2:$G$1369,MATCH(1027,'Transfer Engine'!$C$2:$C$1369,0)))</f>
        <v/>
      </c>
      <c r="H1036" s="9">
        <f>IF(ISNA(MATCH(1027,'Transfer Engine'!$C$2:$C$1369,0)),"",INDEX('Compliance Database'!$H$2:$H$1369,MATCH(1027,'Transfer Engine'!$C$2:$C$1369,0)))</f>
        <v/>
      </c>
      <c r="I1036" s="9">
        <f>IF(ISNA(MATCH(1027,'Transfer Engine'!$C$2:$C$1369,0)),"",INDEX('Compliance Database'!$I$2:$I$1369,MATCH(1027,'Transfer Engine'!$C$2:$C$1369,0)))</f>
        <v/>
      </c>
      <c r="J1036" s="8">
        <f>IF(ISNA(MATCH(1027,'Transfer Engine'!$C$2:$C$1369,0)),"",INDEX('Compliance Database'!$J$2:$J$1369,MATCH(1027,'Transfer Engine'!$C$2:$C$1369,0)))</f>
        <v/>
      </c>
      <c r="K1036" s="9">
        <f>IF(ISNA(MATCH(1027,'Transfer Engine'!$C$2:$C$1369,0)),"",INDEX('Compliance Database'!$K$2:$K$1369,MATCH(1027,'Transfer Engine'!$C$2:$C$1369,0)))</f>
        <v/>
      </c>
      <c r="L1036" s="9">
        <f>IF(ISNA(MATCH(1027,'Transfer Engine'!$C$2:$C$1369,0)),"",INDEX('Compliance Database'!$L$2:$L$1369,MATCH(1027,'Transfer Engine'!$C$2:$C$1369,0)))</f>
        <v/>
      </c>
      <c r="M1036" s="9">
        <f>IF(ISNA(MATCH(1027,'Transfer Engine'!$C$2:$C$1369,0)),"",INDEX('Compliance Database'!$M$2:$M$1369,MATCH(1027,'Transfer Engine'!$C$2:$C$1369,0)))</f>
        <v/>
      </c>
      <c r="N1036" s="9">
        <f>IF(ISNA(MATCH(1027,'Transfer Engine'!$C$2:$C$1369,0)),"",INDEX('Compliance Database'!$N$2:$N$1369,MATCH(1027,'Transfer Engine'!$C$2:$C$1369,0)))</f>
        <v/>
      </c>
      <c r="O1036" s="8">
        <f>IF(ISNA(MATCH(1027,'Transfer Engine'!$C$2:$C$1369,0)),"",HYPERLINK(INDEX('Compliance Database'!$O$2:$O$1369,MATCH(1027,'Transfer Engine'!$C$2:$C$1369,0)),"Open PDF"))</f>
        <v/>
      </c>
    </row>
    <row r="1037" ht="188" customHeight="1">
      <c r="A1037" s="8">
        <f>IF(ISNA(MATCH(1028,'Transfer Engine'!$C$2:$C$1369,0)),"",INDEX('Compliance Database'!$A$2:$A$1369,MATCH(1028,'Transfer Engine'!$C$2:$C$1369,0)))</f>
        <v/>
      </c>
      <c r="B1037" s="8">
        <f>IF(ISNA(MATCH(1028,'Transfer Engine'!$C$2:$C$1369,0)),"",INDEX('Compliance Database'!$B$2:$B$1369,MATCH(1028,'Transfer Engine'!$C$2:$C$1369,0)))</f>
        <v/>
      </c>
      <c r="C1037" s="8">
        <f>IF(ISNA(MATCH(1028,'Transfer Engine'!$C$2:$C$1369,0)),"",INDEX('Compliance Database'!$C$2:$C$1369,MATCH(1028,'Transfer Engine'!$C$2:$C$1369,0)))</f>
        <v/>
      </c>
      <c r="D1037" s="9">
        <f>IF(ISNA(MATCH(1028,'Transfer Engine'!$C$2:$C$1369,0)),"",INDEX('Compliance Database'!$D$2:$D$1369,MATCH(1028,'Transfer Engine'!$C$2:$C$1369,0)))</f>
        <v/>
      </c>
      <c r="E1037" s="8">
        <f>IF(ISNA(MATCH(1028,'Transfer Engine'!$C$2:$C$1369,0)),"",INDEX('Compliance Database'!$E$2:$E$1369,MATCH(1028,'Transfer Engine'!$C$2:$C$1369,0)))</f>
        <v/>
      </c>
      <c r="F1037" s="8">
        <f>IF(ISNA(MATCH(1028,'Transfer Engine'!$C$2:$C$1369,0)),"",INDEX('Compliance Database'!$F$2:$F$1369,MATCH(1028,'Transfer Engine'!$C$2:$C$1369,0)))</f>
        <v/>
      </c>
      <c r="G1037" s="8">
        <f>IF(ISNA(MATCH(1028,'Transfer Engine'!$C$2:$C$1369,0)),"",INDEX('Compliance Database'!$G$2:$G$1369,MATCH(1028,'Transfer Engine'!$C$2:$C$1369,0)))</f>
        <v/>
      </c>
      <c r="H1037" s="9">
        <f>IF(ISNA(MATCH(1028,'Transfer Engine'!$C$2:$C$1369,0)),"",INDEX('Compliance Database'!$H$2:$H$1369,MATCH(1028,'Transfer Engine'!$C$2:$C$1369,0)))</f>
        <v/>
      </c>
      <c r="I1037" s="9">
        <f>IF(ISNA(MATCH(1028,'Transfer Engine'!$C$2:$C$1369,0)),"",INDEX('Compliance Database'!$I$2:$I$1369,MATCH(1028,'Transfer Engine'!$C$2:$C$1369,0)))</f>
        <v/>
      </c>
      <c r="J1037" s="8">
        <f>IF(ISNA(MATCH(1028,'Transfer Engine'!$C$2:$C$1369,0)),"",INDEX('Compliance Database'!$J$2:$J$1369,MATCH(1028,'Transfer Engine'!$C$2:$C$1369,0)))</f>
        <v/>
      </c>
      <c r="K1037" s="9">
        <f>IF(ISNA(MATCH(1028,'Transfer Engine'!$C$2:$C$1369,0)),"",INDEX('Compliance Database'!$K$2:$K$1369,MATCH(1028,'Transfer Engine'!$C$2:$C$1369,0)))</f>
        <v/>
      </c>
      <c r="L1037" s="9">
        <f>IF(ISNA(MATCH(1028,'Transfer Engine'!$C$2:$C$1369,0)),"",INDEX('Compliance Database'!$L$2:$L$1369,MATCH(1028,'Transfer Engine'!$C$2:$C$1369,0)))</f>
        <v/>
      </c>
      <c r="M1037" s="9">
        <f>IF(ISNA(MATCH(1028,'Transfer Engine'!$C$2:$C$1369,0)),"",INDEX('Compliance Database'!$M$2:$M$1369,MATCH(1028,'Transfer Engine'!$C$2:$C$1369,0)))</f>
        <v/>
      </c>
      <c r="N1037" s="9">
        <f>IF(ISNA(MATCH(1028,'Transfer Engine'!$C$2:$C$1369,0)),"",INDEX('Compliance Database'!$N$2:$N$1369,MATCH(1028,'Transfer Engine'!$C$2:$C$1369,0)))</f>
        <v/>
      </c>
      <c r="O1037" s="8">
        <f>IF(ISNA(MATCH(1028,'Transfer Engine'!$C$2:$C$1369,0)),"",HYPERLINK(INDEX('Compliance Database'!$O$2:$O$1369,MATCH(1028,'Transfer Engine'!$C$2:$C$1369,0)),"Open PDF"))</f>
        <v/>
      </c>
    </row>
    <row r="1038" ht="188" customHeight="1">
      <c r="A1038" s="8">
        <f>IF(ISNA(MATCH(1029,'Transfer Engine'!$C$2:$C$1369,0)),"",INDEX('Compliance Database'!$A$2:$A$1369,MATCH(1029,'Transfer Engine'!$C$2:$C$1369,0)))</f>
        <v/>
      </c>
      <c r="B1038" s="8">
        <f>IF(ISNA(MATCH(1029,'Transfer Engine'!$C$2:$C$1369,0)),"",INDEX('Compliance Database'!$B$2:$B$1369,MATCH(1029,'Transfer Engine'!$C$2:$C$1369,0)))</f>
        <v/>
      </c>
      <c r="C1038" s="8">
        <f>IF(ISNA(MATCH(1029,'Transfer Engine'!$C$2:$C$1369,0)),"",INDEX('Compliance Database'!$C$2:$C$1369,MATCH(1029,'Transfer Engine'!$C$2:$C$1369,0)))</f>
        <v/>
      </c>
      <c r="D1038" s="9">
        <f>IF(ISNA(MATCH(1029,'Transfer Engine'!$C$2:$C$1369,0)),"",INDEX('Compliance Database'!$D$2:$D$1369,MATCH(1029,'Transfer Engine'!$C$2:$C$1369,0)))</f>
        <v/>
      </c>
      <c r="E1038" s="8">
        <f>IF(ISNA(MATCH(1029,'Transfer Engine'!$C$2:$C$1369,0)),"",INDEX('Compliance Database'!$E$2:$E$1369,MATCH(1029,'Transfer Engine'!$C$2:$C$1369,0)))</f>
        <v/>
      </c>
      <c r="F1038" s="8">
        <f>IF(ISNA(MATCH(1029,'Transfer Engine'!$C$2:$C$1369,0)),"",INDEX('Compliance Database'!$F$2:$F$1369,MATCH(1029,'Transfer Engine'!$C$2:$C$1369,0)))</f>
        <v/>
      </c>
      <c r="G1038" s="8">
        <f>IF(ISNA(MATCH(1029,'Transfer Engine'!$C$2:$C$1369,0)),"",INDEX('Compliance Database'!$G$2:$G$1369,MATCH(1029,'Transfer Engine'!$C$2:$C$1369,0)))</f>
        <v/>
      </c>
      <c r="H1038" s="9">
        <f>IF(ISNA(MATCH(1029,'Transfer Engine'!$C$2:$C$1369,0)),"",INDEX('Compliance Database'!$H$2:$H$1369,MATCH(1029,'Transfer Engine'!$C$2:$C$1369,0)))</f>
        <v/>
      </c>
      <c r="I1038" s="9">
        <f>IF(ISNA(MATCH(1029,'Transfer Engine'!$C$2:$C$1369,0)),"",INDEX('Compliance Database'!$I$2:$I$1369,MATCH(1029,'Transfer Engine'!$C$2:$C$1369,0)))</f>
        <v/>
      </c>
      <c r="J1038" s="8">
        <f>IF(ISNA(MATCH(1029,'Transfer Engine'!$C$2:$C$1369,0)),"",INDEX('Compliance Database'!$J$2:$J$1369,MATCH(1029,'Transfer Engine'!$C$2:$C$1369,0)))</f>
        <v/>
      </c>
      <c r="K1038" s="9">
        <f>IF(ISNA(MATCH(1029,'Transfer Engine'!$C$2:$C$1369,0)),"",INDEX('Compliance Database'!$K$2:$K$1369,MATCH(1029,'Transfer Engine'!$C$2:$C$1369,0)))</f>
        <v/>
      </c>
      <c r="L1038" s="9">
        <f>IF(ISNA(MATCH(1029,'Transfer Engine'!$C$2:$C$1369,0)),"",INDEX('Compliance Database'!$L$2:$L$1369,MATCH(1029,'Transfer Engine'!$C$2:$C$1369,0)))</f>
        <v/>
      </c>
      <c r="M1038" s="9">
        <f>IF(ISNA(MATCH(1029,'Transfer Engine'!$C$2:$C$1369,0)),"",INDEX('Compliance Database'!$M$2:$M$1369,MATCH(1029,'Transfer Engine'!$C$2:$C$1369,0)))</f>
        <v/>
      </c>
      <c r="N1038" s="9">
        <f>IF(ISNA(MATCH(1029,'Transfer Engine'!$C$2:$C$1369,0)),"",INDEX('Compliance Database'!$N$2:$N$1369,MATCH(1029,'Transfer Engine'!$C$2:$C$1369,0)))</f>
        <v/>
      </c>
      <c r="O1038" s="8">
        <f>IF(ISNA(MATCH(1029,'Transfer Engine'!$C$2:$C$1369,0)),"",HYPERLINK(INDEX('Compliance Database'!$O$2:$O$1369,MATCH(1029,'Transfer Engine'!$C$2:$C$1369,0)),"Open PDF"))</f>
        <v/>
      </c>
    </row>
    <row r="1039" ht="188" customHeight="1">
      <c r="A1039" s="8">
        <f>IF(ISNA(MATCH(1030,'Transfer Engine'!$C$2:$C$1369,0)),"",INDEX('Compliance Database'!$A$2:$A$1369,MATCH(1030,'Transfer Engine'!$C$2:$C$1369,0)))</f>
        <v/>
      </c>
      <c r="B1039" s="8">
        <f>IF(ISNA(MATCH(1030,'Transfer Engine'!$C$2:$C$1369,0)),"",INDEX('Compliance Database'!$B$2:$B$1369,MATCH(1030,'Transfer Engine'!$C$2:$C$1369,0)))</f>
        <v/>
      </c>
      <c r="C1039" s="8">
        <f>IF(ISNA(MATCH(1030,'Transfer Engine'!$C$2:$C$1369,0)),"",INDEX('Compliance Database'!$C$2:$C$1369,MATCH(1030,'Transfer Engine'!$C$2:$C$1369,0)))</f>
        <v/>
      </c>
      <c r="D1039" s="9">
        <f>IF(ISNA(MATCH(1030,'Transfer Engine'!$C$2:$C$1369,0)),"",INDEX('Compliance Database'!$D$2:$D$1369,MATCH(1030,'Transfer Engine'!$C$2:$C$1369,0)))</f>
        <v/>
      </c>
      <c r="E1039" s="8">
        <f>IF(ISNA(MATCH(1030,'Transfer Engine'!$C$2:$C$1369,0)),"",INDEX('Compliance Database'!$E$2:$E$1369,MATCH(1030,'Transfer Engine'!$C$2:$C$1369,0)))</f>
        <v/>
      </c>
      <c r="F1039" s="8">
        <f>IF(ISNA(MATCH(1030,'Transfer Engine'!$C$2:$C$1369,0)),"",INDEX('Compliance Database'!$F$2:$F$1369,MATCH(1030,'Transfer Engine'!$C$2:$C$1369,0)))</f>
        <v/>
      </c>
      <c r="G1039" s="8">
        <f>IF(ISNA(MATCH(1030,'Transfer Engine'!$C$2:$C$1369,0)),"",INDEX('Compliance Database'!$G$2:$G$1369,MATCH(1030,'Transfer Engine'!$C$2:$C$1369,0)))</f>
        <v/>
      </c>
      <c r="H1039" s="9">
        <f>IF(ISNA(MATCH(1030,'Transfer Engine'!$C$2:$C$1369,0)),"",INDEX('Compliance Database'!$H$2:$H$1369,MATCH(1030,'Transfer Engine'!$C$2:$C$1369,0)))</f>
        <v/>
      </c>
      <c r="I1039" s="9">
        <f>IF(ISNA(MATCH(1030,'Transfer Engine'!$C$2:$C$1369,0)),"",INDEX('Compliance Database'!$I$2:$I$1369,MATCH(1030,'Transfer Engine'!$C$2:$C$1369,0)))</f>
        <v/>
      </c>
      <c r="J1039" s="8">
        <f>IF(ISNA(MATCH(1030,'Transfer Engine'!$C$2:$C$1369,0)),"",INDEX('Compliance Database'!$J$2:$J$1369,MATCH(1030,'Transfer Engine'!$C$2:$C$1369,0)))</f>
        <v/>
      </c>
      <c r="K1039" s="9">
        <f>IF(ISNA(MATCH(1030,'Transfer Engine'!$C$2:$C$1369,0)),"",INDEX('Compliance Database'!$K$2:$K$1369,MATCH(1030,'Transfer Engine'!$C$2:$C$1369,0)))</f>
        <v/>
      </c>
      <c r="L1039" s="9">
        <f>IF(ISNA(MATCH(1030,'Transfer Engine'!$C$2:$C$1369,0)),"",INDEX('Compliance Database'!$L$2:$L$1369,MATCH(1030,'Transfer Engine'!$C$2:$C$1369,0)))</f>
        <v/>
      </c>
      <c r="M1039" s="9">
        <f>IF(ISNA(MATCH(1030,'Transfer Engine'!$C$2:$C$1369,0)),"",INDEX('Compliance Database'!$M$2:$M$1369,MATCH(1030,'Transfer Engine'!$C$2:$C$1369,0)))</f>
        <v/>
      </c>
      <c r="N1039" s="9">
        <f>IF(ISNA(MATCH(1030,'Transfer Engine'!$C$2:$C$1369,0)),"",INDEX('Compliance Database'!$N$2:$N$1369,MATCH(1030,'Transfer Engine'!$C$2:$C$1369,0)))</f>
        <v/>
      </c>
      <c r="O1039" s="8">
        <f>IF(ISNA(MATCH(1030,'Transfer Engine'!$C$2:$C$1369,0)),"",HYPERLINK(INDEX('Compliance Database'!$O$2:$O$1369,MATCH(1030,'Transfer Engine'!$C$2:$C$1369,0)),"Open PDF"))</f>
        <v/>
      </c>
    </row>
    <row r="1040" ht="188" customHeight="1">
      <c r="A1040" s="8">
        <f>IF(ISNA(MATCH(1031,'Transfer Engine'!$C$2:$C$1369,0)),"",INDEX('Compliance Database'!$A$2:$A$1369,MATCH(1031,'Transfer Engine'!$C$2:$C$1369,0)))</f>
        <v/>
      </c>
      <c r="B1040" s="8">
        <f>IF(ISNA(MATCH(1031,'Transfer Engine'!$C$2:$C$1369,0)),"",INDEX('Compliance Database'!$B$2:$B$1369,MATCH(1031,'Transfer Engine'!$C$2:$C$1369,0)))</f>
        <v/>
      </c>
      <c r="C1040" s="8">
        <f>IF(ISNA(MATCH(1031,'Transfer Engine'!$C$2:$C$1369,0)),"",INDEX('Compliance Database'!$C$2:$C$1369,MATCH(1031,'Transfer Engine'!$C$2:$C$1369,0)))</f>
        <v/>
      </c>
      <c r="D1040" s="9">
        <f>IF(ISNA(MATCH(1031,'Transfer Engine'!$C$2:$C$1369,0)),"",INDEX('Compliance Database'!$D$2:$D$1369,MATCH(1031,'Transfer Engine'!$C$2:$C$1369,0)))</f>
        <v/>
      </c>
      <c r="E1040" s="8">
        <f>IF(ISNA(MATCH(1031,'Transfer Engine'!$C$2:$C$1369,0)),"",INDEX('Compliance Database'!$E$2:$E$1369,MATCH(1031,'Transfer Engine'!$C$2:$C$1369,0)))</f>
        <v/>
      </c>
      <c r="F1040" s="8">
        <f>IF(ISNA(MATCH(1031,'Transfer Engine'!$C$2:$C$1369,0)),"",INDEX('Compliance Database'!$F$2:$F$1369,MATCH(1031,'Transfer Engine'!$C$2:$C$1369,0)))</f>
        <v/>
      </c>
      <c r="G1040" s="8">
        <f>IF(ISNA(MATCH(1031,'Transfer Engine'!$C$2:$C$1369,0)),"",INDEX('Compliance Database'!$G$2:$G$1369,MATCH(1031,'Transfer Engine'!$C$2:$C$1369,0)))</f>
        <v/>
      </c>
      <c r="H1040" s="9">
        <f>IF(ISNA(MATCH(1031,'Transfer Engine'!$C$2:$C$1369,0)),"",INDEX('Compliance Database'!$H$2:$H$1369,MATCH(1031,'Transfer Engine'!$C$2:$C$1369,0)))</f>
        <v/>
      </c>
      <c r="I1040" s="9">
        <f>IF(ISNA(MATCH(1031,'Transfer Engine'!$C$2:$C$1369,0)),"",INDEX('Compliance Database'!$I$2:$I$1369,MATCH(1031,'Transfer Engine'!$C$2:$C$1369,0)))</f>
        <v/>
      </c>
      <c r="J1040" s="8">
        <f>IF(ISNA(MATCH(1031,'Transfer Engine'!$C$2:$C$1369,0)),"",INDEX('Compliance Database'!$J$2:$J$1369,MATCH(1031,'Transfer Engine'!$C$2:$C$1369,0)))</f>
        <v/>
      </c>
      <c r="K1040" s="9">
        <f>IF(ISNA(MATCH(1031,'Transfer Engine'!$C$2:$C$1369,0)),"",INDEX('Compliance Database'!$K$2:$K$1369,MATCH(1031,'Transfer Engine'!$C$2:$C$1369,0)))</f>
        <v/>
      </c>
      <c r="L1040" s="9">
        <f>IF(ISNA(MATCH(1031,'Transfer Engine'!$C$2:$C$1369,0)),"",INDEX('Compliance Database'!$L$2:$L$1369,MATCH(1031,'Transfer Engine'!$C$2:$C$1369,0)))</f>
        <v/>
      </c>
      <c r="M1040" s="9">
        <f>IF(ISNA(MATCH(1031,'Transfer Engine'!$C$2:$C$1369,0)),"",INDEX('Compliance Database'!$M$2:$M$1369,MATCH(1031,'Transfer Engine'!$C$2:$C$1369,0)))</f>
        <v/>
      </c>
      <c r="N1040" s="9">
        <f>IF(ISNA(MATCH(1031,'Transfer Engine'!$C$2:$C$1369,0)),"",INDEX('Compliance Database'!$N$2:$N$1369,MATCH(1031,'Transfer Engine'!$C$2:$C$1369,0)))</f>
        <v/>
      </c>
      <c r="O1040" s="8">
        <f>IF(ISNA(MATCH(1031,'Transfer Engine'!$C$2:$C$1369,0)),"",HYPERLINK(INDEX('Compliance Database'!$O$2:$O$1369,MATCH(1031,'Transfer Engine'!$C$2:$C$1369,0)),"Open PDF"))</f>
        <v/>
      </c>
    </row>
    <row r="1041" ht="188" customHeight="1">
      <c r="A1041" s="8">
        <f>IF(ISNA(MATCH(1032,'Transfer Engine'!$C$2:$C$1369,0)),"",INDEX('Compliance Database'!$A$2:$A$1369,MATCH(1032,'Transfer Engine'!$C$2:$C$1369,0)))</f>
        <v/>
      </c>
      <c r="B1041" s="8">
        <f>IF(ISNA(MATCH(1032,'Transfer Engine'!$C$2:$C$1369,0)),"",INDEX('Compliance Database'!$B$2:$B$1369,MATCH(1032,'Transfer Engine'!$C$2:$C$1369,0)))</f>
        <v/>
      </c>
      <c r="C1041" s="8">
        <f>IF(ISNA(MATCH(1032,'Transfer Engine'!$C$2:$C$1369,0)),"",INDEX('Compliance Database'!$C$2:$C$1369,MATCH(1032,'Transfer Engine'!$C$2:$C$1369,0)))</f>
        <v/>
      </c>
      <c r="D1041" s="9">
        <f>IF(ISNA(MATCH(1032,'Transfer Engine'!$C$2:$C$1369,0)),"",INDEX('Compliance Database'!$D$2:$D$1369,MATCH(1032,'Transfer Engine'!$C$2:$C$1369,0)))</f>
        <v/>
      </c>
      <c r="E1041" s="8">
        <f>IF(ISNA(MATCH(1032,'Transfer Engine'!$C$2:$C$1369,0)),"",INDEX('Compliance Database'!$E$2:$E$1369,MATCH(1032,'Transfer Engine'!$C$2:$C$1369,0)))</f>
        <v/>
      </c>
      <c r="F1041" s="8">
        <f>IF(ISNA(MATCH(1032,'Transfer Engine'!$C$2:$C$1369,0)),"",INDEX('Compliance Database'!$F$2:$F$1369,MATCH(1032,'Transfer Engine'!$C$2:$C$1369,0)))</f>
        <v/>
      </c>
      <c r="G1041" s="8">
        <f>IF(ISNA(MATCH(1032,'Transfer Engine'!$C$2:$C$1369,0)),"",INDEX('Compliance Database'!$G$2:$G$1369,MATCH(1032,'Transfer Engine'!$C$2:$C$1369,0)))</f>
        <v/>
      </c>
      <c r="H1041" s="9">
        <f>IF(ISNA(MATCH(1032,'Transfer Engine'!$C$2:$C$1369,0)),"",INDEX('Compliance Database'!$H$2:$H$1369,MATCH(1032,'Transfer Engine'!$C$2:$C$1369,0)))</f>
        <v/>
      </c>
      <c r="I1041" s="9">
        <f>IF(ISNA(MATCH(1032,'Transfer Engine'!$C$2:$C$1369,0)),"",INDEX('Compliance Database'!$I$2:$I$1369,MATCH(1032,'Transfer Engine'!$C$2:$C$1369,0)))</f>
        <v/>
      </c>
      <c r="J1041" s="8">
        <f>IF(ISNA(MATCH(1032,'Transfer Engine'!$C$2:$C$1369,0)),"",INDEX('Compliance Database'!$J$2:$J$1369,MATCH(1032,'Transfer Engine'!$C$2:$C$1369,0)))</f>
        <v/>
      </c>
      <c r="K1041" s="9">
        <f>IF(ISNA(MATCH(1032,'Transfer Engine'!$C$2:$C$1369,0)),"",INDEX('Compliance Database'!$K$2:$K$1369,MATCH(1032,'Transfer Engine'!$C$2:$C$1369,0)))</f>
        <v/>
      </c>
      <c r="L1041" s="9">
        <f>IF(ISNA(MATCH(1032,'Transfer Engine'!$C$2:$C$1369,0)),"",INDEX('Compliance Database'!$L$2:$L$1369,MATCH(1032,'Transfer Engine'!$C$2:$C$1369,0)))</f>
        <v/>
      </c>
      <c r="M1041" s="9">
        <f>IF(ISNA(MATCH(1032,'Transfer Engine'!$C$2:$C$1369,0)),"",INDEX('Compliance Database'!$M$2:$M$1369,MATCH(1032,'Transfer Engine'!$C$2:$C$1369,0)))</f>
        <v/>
      </c>
      <c r="N1041" s="9">
        <f>IF(ISNA(MATCH(1032,'Transfer Engine'!$C$2:$C$1369,0)),"",INDEX('Compliance Database'!$N$2:$N$1369,MATCH(1032,'Transfer Engine'!$C$2:$C$1369,0)))</f>
        <v/>
      </c>
      <c r="O1041" s="8">
        <f>IF(ISNA(MATCH(1032,'Transfer Engine'!$C$2:$C$1369,0)),"",HYPERLINK(INDEX('Compliance Database'!$O$2:$O$1369,MATCH(1032,'Transfer Engine'!$C$2:$C$1369,0)),"Open PDF"))</f>
        <v/>
      </c>
    </row>
    <row r="1042" ht="188" customHeight="1">
      <c r="A1042" s="8">
        <f>IF(ISNA(MATCH(1033,'Transfer Engine'!$C$2:$C$1369,0)),"",INDEX('Compliance Database'!$A$2:$A$1369,MATCH(1033,'Transfer Engine'!$C$2:$C$1369,0)))</f>
        <v/>
      </c>
      <c r="B1042" s="8">
        <f>IF(ISNA(MATCH(1033,'Transfer Engine'!$C$2:$C$1369,0)),"",INDEX('Compliance Database'!$B$2:$B$1369,MATCH(1033,'Transfer Engine'!$C$2:$C$1369,0)))</f>
        <v/>
      </c>
      <c r="C1042" s="8">
        <f>IF(ISNA(MATCH(1033,'Transfer Engine'!$C$2:$C$1369,0)),"",INDEX('Compliance Database'!$C$2:$C$1369,MATCH(1033,'Transfer Engine'!$C$2:$C$1369,0)))</f>
        <v/>
      </c>
      <c r="D1042" s="9">
        <f>IF(ISNA(MATCH(1033,'Transfer Engine'!$C$2:$C$1369,0)),"",INDEX('Compliance Database'!$D$2:$D$1369,MATCH(1033,'Transfer Engine'!$C$2:$C$1369,0)))</f>
        <v/>
      </c>
      <c r="E1042" s="8">
        <f>IF(ISNA(MATCH(1033,'Transfer Engine'!$C$2:$C$1369,0)),"",INDEX('Compliance Database'!$E$2:$E$1369,MATCH(1033,'Transfer Engine'!$C$2:$C$1369,0)))</f>
        <v/>
      </c>
      <c r="F1042" s="8">
        <f>IF(ISNA(MATCH(1033,'Transfer Engine'!$C$2:$C$1369,0)),"",INDEX('Compliance Database'!$F$2:$F$1369,MATCH(1033,'Transfer Engine'!$C$2:$C$1369,0)))</f>
        <v/>
      </c>
      <c r="G1042" s="8">
        <f>IF(ISNA(MATCH(1033,'Transfer Engine'!$C$2:$C$1369,0)),"",INDEX('Compliance Database'!$G$2:$G$1369,MATCH(1033,'Transfer Engine'!$C$2:$C$1369,0)))</f>
        <v/>
      </c>
      <c r="H1042" s="9">
        <f>IF(ISNA(MATCH(1033,'Transfer Engine'!$C$2:$C$1369,0)),"",INDEX('Compliance Database'!$H$2:$H$1369,MATCH(1033,'Transfer Engine'!$C$2:$C$1369,0)))</f>
        <v/>
      </c>
      <c r="I1042" s="9">
        <f>IF(ISNA(MATCH(1033,'Transfer Engine'!$C$2:$C$1369,0)),"",INDEX('Compliance Database'!$I$2:$I$1369,MATCH(1033,'Transfer Engine'!$C$2:$C$1369,0)))</f>
        <v/>
      </c>
      <c r="J1042" s="8">
        <f>IF(ISNA(MATCH(1033,'Transfer Engine'!$C$2:$C$1369,0)),"",INDEX('Compliance Database'!$J$2:$J$1369,MATCH(1033,'Transfer Engine'!$C$2:$C$1369,0)))</f>
        <v/>
      </c>
      <c r="K1042" s="9">
        <f>IF(ISNA(MATCH(1033,'Transfer Engine'!$C$2:$C$1369,0)),"",INDEX('Compliance Database'!$K$2:$K$1369,MATCH(1033,'Transfer Engine'!$C$2:$C$1369,0)))</f>
        <v/>
      </c>
      <c r="L1042" s="9">
        <f>IF(ISNA(MATCH(1033,'Transfer Engine'!$C$2:$C$1369,0)),"",INDEX('Compliance Database'!$L$2:$L$1369,MATCH(1033,'Transfer Engine'!$C$2:$C$1369,0)))</f>
        <v/>
      </c>
      <c r="M1042" s="9">
        <f>IF(ISNA(MATCH(1033,'Transfer Engine'!$C$2:$C$1369,0)),"",INDEX('Compliance Database'!$M$2:$M$1369,MATCH(1033,'Transfer Engine'!$C$2:$C$1369,0)))</f>
        <v/>
      </c>
      <c r="N1042" s="9">
        <f>IF(ISNA(MATCH(1033,'Transfer Engine'!$C$2:$C$1369,0)),"",INDEX('Compliance Database'!$N$2:$N$1369,MATCH(1033,'Transfer Engine'!$C$2:$C$1369,0)))</f>
        <v/>
      </c>
      <c r="O1042" s="8">
        <f>IF(ISNA(MATCH(1033,'Transfer Engine'!$C$2:$C$1369,0)),"",HYPERLINK(INDEX('Compliance Database'!$O$2:$O$1369,MATCH(1033,'Transfer Engine'!$C$2:$C$1369,0)),"Open PDF"))</f>
        <v/>
      </c>
    </row>
    <row r="1043" ht="188" customHeight="1">
      <c r="A1043" s="8">
        <f>IF(ISNA(MATCH(1034,'Transfer Engine'!$C$2:$C$1369,0)),"",INDEX('Compliance Database'!$A$2:$A$1369,MATCH(1034,'Transfer Engine'!$C$2:$C$1369,0)))</f>
        <v/>
      </c>
      <c r="B1043" s="8">
        <f>IF(ISNA(MATCH(1034,'Transfer Engine'!$C$2:$C$1369,0)),"",INDEX('Compliance Database'!$B$2:$B$1369,MATCH(1034,'Transfer Engine'!$C$2:$C$1369,0)))</f>
        <v/>
      </c>
      <c r="C1043" s="8">
        <f>IF(ISNA(MATCH(1034,'Transfer Engine'!$C$2:$C$1369,0)),"",INDEX('Compliance Database'!$C$2:$C$1369,MATCH(1034,'Transfer Engine'!$C$2:$C$1369,0)))</f>
        <v/>
      </c>
      <c r="D1043" s="9">
        <f>IF(ISNA(MATCH(1034,'Transfer Engine'!$C$2:$C$1369,0)),"",INDEX('Compliance Database'!$D$2:$D$1369,MATCH(1034,'Transfer Engine'!$C$2:$C$1369,0)))</f>
        <v/>
      </c>
      <c r="E1043" s="8">
        <f>IF(ISNA(MATCH(1034,'Transfer Engine'!$C$2:$C$1369,0)),"",INDEX('Compliance Database'!$E$2:$E$1369,MATCH(1034,'Transfer Engine'!$C$2:$C$1369,0)))</f>
        <v/>
      </c>
      <c r="F1043" s="8">
        <f>IF(ISNA(MATCH(1034,'Transfer Engine'!$C$2:$C$1369,0)),"",INDEX('Compliance Database'!$F$2:$F$1369,MATCH(1034,'Transfer Engine'!$C$2:$C$1369,0)))</f>
        <v/>
      </c>
      <c r="G1043" s="8">
        <f>IF(ISNA(MATCH(1034,'Transfer Engine'!$C$2:$C$1369,0)),"",INDEX('Compliance Database'!$G$2:$G$1369,MATCH(1034,'Transfer Engine'!$C$2:$C$1369,0)))</f>
        <v/>
      </c>
      <c r="H1043" s="9">
        <f>IF(ISNA(MATCH(1034,'Transfer Engine'!$C$2:$C$1369,0)),"",INDEX('Compliance Database'!$H$2:$H$1369,MATCH(1034,'Transfer Engine'!$C$2:$C$1369,0)))</f>
        <v/>
      </c>
      <c r="I1043" s="9">
        <f>IF(ISNA(MATCH(1034,'Transfer Engine'!$C$2:$C$1369,0)),"",INDEX('Compliance Database'!$I$2:$I$1369,MATCH(1034,'Transfer Engine'!$C$2:$C$1369,0)))</f>
        <v/>
      </c>
      <c r="J1043" s="8">
        <f>IF(ISNA(MATCH(1034,'Transfer Engine'!$C$2:$C$1369,0)),"",INDEX('Compliance Database'!$J$2:$J$1369,MATCH(1034,'Transfer Engine'!$C$2:$C$1369,0)))</f>
        <v/>
      </c>
      <c r="K1043" s="9">
        <f>IF(ISNA(MATCH(1034,'Transfer Engine'!$C$2:$C$1369,0)),"",INDEX('Compliance Database'!$K$2:$K$1369,MATCH(1034,'Transfer Engine'!$C$2:$C$1369,0)))</f>
        <v/>
      </c>
      <c r="L1043" s="9">
        <f>IF(ISNA(MATCH(1034,'Transfer Engine'!$C$2:$C$1369,0)),"",INDEX('Compliance Database'!$L$2:$L$1369,MATCH(1034,'Transfer Engine'!$C$2:$C$1369,0)))</f>
        <v/>
      </c>
      <c r="M1043" s="9">
        <f>IF(ISNA(MATCH(1034,'Transfer Engine'!$C$2:$C$1369,0)),"",INDEX('Compliance Database'!$M$2:$M$1369,MATCH(1034,'Transfer Engine'!$C$2:$C$1369,0)))</f>
        <v/>
      </c>
      <c r="N1043" s="9">
        <f>IF(ISNA(MATCH(1034,'Transfer Engine'!$C$2:$C$1369,0)),"",INDEX('Compliance Database'!$N$2:$N$1369,MATCH(1034,'Transfer Engine'!$C$2:$C$1369,0)))</f>
        <v/>
      </c>
      <c r="O1043" s="8">
        <f>IF(ISNA(MATCH(1034,'Transfer Engine'!$C$2:$C$1369,0)),"",HYPERLINK(INDEX('Compliance Database'!$O$2:$O$1369,MATCH(1034,'Transfer Engine'!$C$2:$C$1369,0)),"Open PDF"))</f>
        <v/>
      </c>
    </row>
    <row r="1044" ht="188" customHeight="1">
      <c r="A1044" s="8">
        <f>IF(ISNA(MATCH(1035,'Transfer Engine'!$C$2:$C$1369,0)),"",INDEX('Compliance Database'!$A$2:$A$1369,MATCH(1035,'Transfer Engine'!$C$2:$C$1369,0)))</f>
        <v/>
      </c>
      <c r="B1044" s="8">
        <f>IF(ISNA(MATCH(1035,'Transfer Engine'!$C$2:$C$1369,0)),"",INDEX('Compliance Database'!$B$2:$B$1369,MATCH(1035,'Transfer Engine'!$C$2:$C$1369,0)))</f>
        <v/>
      </c>
      <c r="C1044" s="8">
        <f>IF(ISNA(MATCH(1035,'Transfer Engine'!$C$2:$C$1369,0)),"",INDEX('Compliance Database'!$C$2:$C$1369,MATCH(1035,'Transfer Engine'!$C$2:$C$1369,0)))</f>
        <v/>
      </c>
      <c r="D1044" s="9">
        <f>IF(ISNA(MATCH(1035,'Transfer Engine'!$C$2:$C$1369,0)),"",INDEX('Compliance Database'!$D$2:$D$1369,MATCH(1035,'Transfer Engine'!$C$2:$C$1369,0)))</f>
        <v/>
      </c>
      <c r="E1044" s="8">
        <f>IF(ISNA(MATCH(1035,'Transfer Engine'!$C$2:$C$1369,0)),"",INDEX('Compliance Database'!$E$2:$E$1369,MATCH(1035,'Transfer Engine'!$C$2:$C$1369,0)))</f>
        <v/>
      </c>
      <c r="F1044" s="8">
        <f>IF(ISNA(MATCH(1035,'Transfer Engine'!$C$2:$C$1369,0)),"",INDEX('Compliance Database'!$F$2:$F$1369,MATCH(1035,'Transfer Engine'!$C$2:$C$1369,0)))</f>
        <v/>
      </c>
      <c r="G1044" s="8">
        <f>IF(ISNA(MATCH(1035,'Transfer Engine'!$C$2:$C$1369,0)),"",INDEX('Compliance Database'!$G$2:$G$1369,MATCH(1035,'Transfer Engine'!$C$2:$C$1369,0)))</f>
        <v/>
      </c>
      <c r="H1044" s="9">
        <f>IF(ISNA(MATCH(1035,'Transfer Engine'!$C$2:$C$1369,0)),"",INDEX('Compliance Database'!$H$2:$H$1369,MATCH(1035,'Transfer Engine'!$C$2:$C$1369,0)))</f>
        <v/>
      </c>
      <c r="I1044" s="9">
        <f>IF(ISNA(MATCH(1035,'Transfer Engine'!$C$2:$C$1369,0)),"",INDEX('Compliance Database'!$I$2:$I$1369,MATCH(1035,'Transfer Engine'!$C$2:$C$1369,0)))</f>
        <v/>
      </c>
      <c r="J1044" s="8">
        <f>IF(ISNA(MATCH(1035,'Transfer Engine'!$C$2:$C$1369,0)),"",INDEX('Compliance Database'!$J$2:$J$1369,MATCH(1035,'Transfer Engine'!$C$2:$C$1369,0)))</f>
        <v/>
      </c>
      <c r="K1044" s="9">
        <f>IF(ISNA(MATCH(1035,'Transfer Engine'!$C$2:$C$1369,0)),"",INDEX('Compliance Database'!$K$2:$K$1369,MATCH(1035,'Transfer Engine'!$C$2:$C$1369,0)))</f>
        <v/>
      </c>
      <c r="L1044" s="9">
        <f>IF(ISNA(MATCH(1035,'Transfer Engine'!$C$2:$C$1369,0)),"",INDEX('Compliance Database'!$L$2:$L$1369,MATCH(1035,'Transfer Engine'!$C$2:$C$1369,0)))</f>
        <v/>
      </c>
      <c r="M1044" s="9">
        <f>IF(ISNA(MATCH(1035,'Transfer Engine'!$C$2:$C$1369,0)),"",INDEX('Compliance Database'!$M$2:$M$1369,MATCH(1035,'Transfer Engine'!$C$2:$C$1369,0)))</f>
        <v/>
      </c>
      <c r="N1044" s="9">
        <f>IF(ISNA(MATCH(1035,'Transfer Engine'!$C$2:$C$1369,0)),"",INDEX('Compliance Database'!$N$2:$N$1369,MATCH(1035,'Transfer Engine'!$C$2:$C$1369,0)))</f>
        <v/>
      </c>
      <c r="O1044" s="8">
        <f>IF(ISNA(MATCH(1035,'Transfer Engine'!$C$2:$C$1369,0)),"",HYPERLINK(INDEX('Compliance Database'!$O$2:$O$1369,MATCH(1035,'Transfer Engine'!$C$2:$C$1369,0)),"Open PDF"))</f>
        <v/>
      </c>
    </row>
    <row r="1045" ht="188" customHeight="1">
      <c r="A1045" s="8">
        <f>IF(ISNA(MATCH(1036,'Transfer Engine'!$C$2:$C$1369,0)),"",INDEX('Compliance Database'!$A$2:$A$1369,MATCH(1036,'Transfer Engine'!$C$2:$C$1369,0)))</f>
        <v/>
      </c>
      <c r="B1045" s="8">
        <f>IF(ISNA(MATCH(1036,'Transfer Engine'!$C$2:$C$1369,0)),"",INDEX('Compliance Database'!$B$2:$B$1369,MATCH(1036,'Transfer Engine'!$C$2:$C$1369,0)))</f>
        <v/>
      </c>
      <c r="C1045" s="8">
        <f>IF(ISNA(MATCH(1036,'Transfer Engine'!$C$2:$C$1369,0)),"",INDEX('Compliance Database'!$C$2:$C$1369,MATCH(1036,'Transfer Engine'!$C$2:$C$1369,0)))</f>
        <v/>
      </c>
      <c r="D1045" s="9">
        <f>IF(ISNA(MATCH(1036,'Transfer Engine'!$C$2:$C$1369,0)),"",INDEX('Compliance Database'!$D$2:$D$1369,MATCH(1036,'Transfer Engine'!$C$2:$C$1369,0)))</f>
        <v/>
      </c>
      <c r="E1045" s="8">
        <f>IF(ISNA(MATCH(1036,'Transfer Engine'!$C$2:$C$1369,0)),"",INDEX('Compliance Database'!$E$2:$E$1369,MATCH(1036,'Transfer Engine'!$C$2:$C$1369,0)))</f>
        <v/>
      </c>
      <c r="F1045" s="8">
        <f>IF(ISNA(MATCH(1036,'Transfer Engine'!$C$2:$C$1369,0)),"",INDEX('Compliance Database'!$F$2:$F$1369,MATCH(1036,'Transfer Engine'!$C$2:$C$1369,0)))</f>
        <v/>
      </c>
      <c r="G1045" s="8">
        <f>IF(ISNA(MATCH(1036,'Transfer Engine'!$C$2:$C$1369,0)),"",INDEX('Compliance Database'!$G$2:$G$1369,MATCH(1036,'Transfer Engine'!$C$2:$C$1369,0)))</f>
        <v/>
      </c>
      <c r="H1045" s="9">
        <f>IF(ISNA(MATCH(1036,'Transfer Engine'!$C$2:$C$1369,0)),"",INDEX('Compliance Database'!$H$2:$H$1369,MATCH(1036,'Transfer Engine'!$C$2:$C$1369,0)))</f>
        <v/>
      </c>
      <c r="I1045" s="9">
        <f>IF(ISNA(MATCH(1036,'Transfer Engine'!$C$2:$C$1369,0)),"",INDEX('Compliance Database'!$I$2:$I$1369,MATCH(1036,'Transfer Engine'!$C$2:$C$1369,0)))</f>
        <v/>
      </c>
      <c r="J1045" s="8">
        <f>IF(ISNA(MATCH(1036,'Transfer Engine'!$C$2:$C$1369,0)),"",INDEX('Compliance Database'!$J$2:$J$1369,MATCH(1036,'Transfer Engine'!$C$2:$C$1369,0)))</f>
        <v/>
      </c>
      <c r="K1045" s="9">
        <f>IF(ISNA(MATCH(1036,'Transfer Engine'!$C$2:$C$1369,0)),"",INDEX('Compliance Database'!$K$2:$K$1369,MATCH(1036,'Transfer Engine'!$C$2:$C$1369,0)))</f>
        <v/>
      </c>
      <c r="L1045" s="9">
        <f>IF(ISNA(MATCH(1036,'Transfer Engine'!$C$2:$C$1369,0)),"",INDEX('Compliance Database'!$L$2:$L$1369,MATCH(1036,'Transfer Engine'!$C$2:$C$1369,0)))</f>
        <v/>
      </c>
      <c r="M1045" s="9">
        <f>IF(ISNA(MATCH(1036,'Transfer Engine'!$C$2:$C$1369,0)),"",INDEX('Compliance Database'!$M$2:$M$1369,MATCH(1036,'Transfer Engine'!$C$2:$C$1369,0)))</f>
        <v/>
      </c>
      <c r="N1045" s="9">
        <f>IF(ISNA(MATCH(1036,'Transfer Engine'!$C$2:$C$1369,0)),"",INDEX('Compliance Database'!$N$2:$N$1369,MATCH(1036,'Transfer Engine'!$C$2:$C$1369,0)))</f>
        <v/>
      </c>
      <c r="O1045" s="8">
        <f>IF(ISNA(MATCH(1036,'Transfer Engine'!$C$2:$C$1369,0)),"",HYPERLINK(INDEX('Compliance Database'!$O$2:$O$1369,MATCH(1036,'Transfer Engine'!$C$2:$C$1369,0)),"Open PDF"))</f>
        <v/>
      </c>
    </row>
    <row r="1046" ht="188" customHeight="1">
      <c r="A1046" s="8">
        <f>IF(ISNA(MATCH(1037,'Transfer Engine'!$C$2:$C$1369,0)),"",INDEX('Compliance Database'!$A$2:$A$1369,MATCH(1037,'Transfer Engine'!$C$2:$C$1369,0)))</f>
        <v/>
      </c>
      <c r="B1046" s="8">
        <f>IF(ISNA(MATCH(1037,'Transfer Engine'!$C$2:$C$1369,0)),"",INDEX('Compliance Database'!$B$2:$B$1369,MATCH(1037,'Transfer Engine'!$C$2:$C$1369,0)))</f>
        <v/>
      </c>
      <c r="C1046" s="8">
        <f>IF(ISNA(MATCH(1037,'Transfer Engine'!$C$2:$C$1369,0)),"",INDEX('Compliance Database'!$C$2:$C$1369,MATCH(1037,'Transfer Engine'!$C$2:$C$1369,0)))</f>
        <v/>
      </c>
      <c r="D1046" s="9">
        <f>IF(ISNA(MATCH(1037,'Transfer Engine'!$C$2:$C$1369,0)),"",INDEX('Compliance Database'!$D$2:$D$1369,MATCH(1037,'Transfer Engine'!$C$2:$C$1369,0)))</f>
        <v/>
      </c>
      <c r="E1046" s="8">
        <f>IF(ISNA(MATCH(1037,'Transfer Engine'!$C$2:$C$1369,0)),"",INDEX('Compliance Database'!$E$2:$E$1369,MATCH(1037,'Transfer Engine'!$C$2:$C$1369,0)))</f>
        <v/>
      </c>
      <c r="F1046" s="8">
        <f>IF(ISNA(MATCH(1037,'Transfer Engine'!$C$2:$C$1369,0)),"",INDEX('Compliance Database'!$F$2:$F$1369,MATCH(1037,'Transfer Engine'!$C$2:$C$1369,0)))</f>
        <v/>
      </c>
      <c r="G1046" s="8">
        <f>IF(ISNA(MATCH(1037,'Transfer Engine'!$C$2:$C$1369,0)),"",INDEX('Compliance Database'!$G$2:$G$1369,MATCH(1037,'Transfer Engine'!$C$2:$C$1369,0)))</f>
        <v/>
      </c>
      <c r="H1046" s="9">
        <f>IF(ISNA(MATCH(1037,'Transfer Engine'!$C$2:$C$1369,0)),"",INDEX('Compliance Database'!$H$2:$H$1369,MATCH(1037,'Transfer Engine'!$C$2:$C$1369,0)))</f>
        <v/>
      </c>
      <c r="I1046" s="9">
        <f>IF(ISNA(MATCH(1037,'Transfer Engine'!$C$2:$C$1369,0)),"",INDEX('Compliance Database'!$I$2:$I$1369,MATCH(1037,'Transfer Engine'!$C$2:$C$1369,0)))</f>
        <v/>
      </c>
      <c r="J1046" s="8">
        <f>IF(ISNA(MATCH(1037,'Transfer Engine'!$C$2:$C$1369,0)),"",INDEX('Compliance Database'!$J$2:$J$1369,MATCH(1037,'Transfer Engine'!$C$2:$C$1369,0)))</f>
        <v/>
      </c>
      <c r="K1046" s="9">
        <f>IF(ISNA(MATCH(1037,'Transfer Engine'!$C$2:$C$1369,0)),"",INDEX('Compliance Database'!$K$2:$K$1369,MATCH(1037,'Transfer Engine'!$C$2:$C$1369,0)))</f>
        <v/>
      </c>
      <c r="L1046" s="9">
        <f>IF(ISNA(MATCH(1037,'Transfer Engine'!$C$2:$C$1369,0)),"",INDEX('Compliance Database'!$L$2:$L$1369,MATCH(1037,'Transfer Engine'!$C$2:$C$1369,0)))</f>
        <v/>
      </c>
      <c r="M1046" s="9">
        <f>IF(ISNA(MATCH(1037,'Transfer Engine'!$C$2:$C$1369,0)),"",INDEX('Compliance Database'!$M$2:$M$1369,MATCH(1037,'Transfer Engine'!$C$2:$C$1369,0)))</f>
        <v/>
      </c>
      <c r="N1046" s="9">
        <f>IF(ISNA(MATCH(1037,'Transfer Engine'!$C$2:$C$1369,0)),"",INDEX('Compliance Database'!$N$2:$N$1369,MATCH(1037,'Transfer Engine'!$C$2:$C$1369,0)))</f>
        <v/>
      </c>
      <c r="O1046" s="8">
        <f>IF(ISNA(MATCH(1037,'Transfer Engine'!$C$2:$C$1369,0)),"",HYPERLINK(INDEX('Compliance Database'!$O$2:$O$1369,MATCH(1037,'Transfer Engine'!$C$2:$C$1369,0)),"Open PDF"))</f>
        <v/>
      </c>
    </row>
    <row r="1047" ht="188" customHeight="1">
      <c r="A1047" s="8">
        <f>IF(ISNA(MATCH(1038,'Transfer Engine'!$C$2:$C$1369,0)),"",INDEX('Compliance Database'!$A$2:$A$1369,MATCH(1038,'Transfer Engine'!$C$2:$C$1369,0)))</f>
        <v/>
      </c>
      <c r="B1047" s="8">
        <f>IF(ISNA(MATCH(1038,'Transfer Engine'!$C$2:$C$1369,0)),"",INDEX('Compliance Database'!$B$2:$B$1369,MATCH(1038,'Transfer Engine'!$C$2:$C$1369,0)))</f>
        <v/>
      </c>
      <c r="C1047" s="8">
        <f>IF(ISNA(MATCH(1038,'Transfer Engine'!$C$2:$C$1369,0)),"",INDEX('Compliance Database'!$C$2:$C$1369,MATCH(1038,'Transfer Engine'!$C$2:$C$1369,0)))</f>
        <v/>
      </c>
      <c r="D1047" s="9">
        <f>IF(ISNA(MATCH(1038,'Transfer Engine'!$C$2:$C$1369,0)),"",INDEX('Compliance Database'!$D$2:$D$1369,MATCH(1038,'Transfer Engine'!$C$2:$C$1369,0)))</f>
        <v/>
      </c>
      <c r="E1047" s="8">
        <f>IF(ISNA(MATCH(1038,'Transfer Engine'!$C$2:$C$1369,0)),"",INDEX('Compliance Database'!$E$2:$E$1369,MATCH(1038,'Transfer Engine'!$C$2:$C$1369,0)))</f>
        <v/>
      </c>
      <c r="F1047" s="8">
        <f>IF(ISNA(MATCH(1038,'Transfer Engine'!$C$2:$C$1369,0)),"",INDEX('Compliance Database'!$F$2:$F$1369,MATCH(1038,'Transfer Engine'!$C$2:$C$1369,0)))</f>
        <v/>
      </c>
      <c r="G1047" s="8">
        <f>IF(ISNA(MATCH(1038,'Transfer Engine'!$C$2:$C$1369,0)),"",INDEX('Compliance Database'!$G$2:$G$1369,MATCH(1038,'Transfer Engine'!$C$2:$C$1369,0)))</f>
        <v/>
      </c>
      <c r="H1047" s="9">
        <f>IF(ISNA(MATCH(1038,'Transfer Engine'!$C$2:$C$1369,0)),"",INDEX('Compliance Database'!$H$2:$H$1369,MATCH(1038,'Transfer Engine'!$C$2:$C$1369,0)))</f>
        <v/>
      </c>
      <c r="I1047" s="9">
        <f>IF(ISNA(MATCH(1038,'Transfer Engine'!$C$2:$C$1369,0)),"",INDEX('Compliance Database'!$I$2:$I$1369,MATCH(1038,'Transfer Engine'!$C$2:$C$1369,0)))</f>
        <v/>
      </c>
      <c r="J1047" s="8">
        <f>IF(ISNA(MATCH(1038,'Transfer Engine'!$C$2:$C$1369,0)),"",INDEX('Compliance Database'!$J$2:$J$1369,MATCH(1038,'Transfer Engine'!$C$2:$C$1369,0)))</f>
        <v/>
      </c>
      <c r="K1047" s="9">
        <f>IF(ISNA(MATCH(1038,'Transfer Engine'!$C$2:$C$1369,0)),"",INDEX('Compliance Database'!$K$2:$K$1369,MATCH(1038,'Transfer Engine'!$C$2:$C$1369,0)))</f>
        <v/>
      </c>
      <c r="L1047" s="9">
        <f>IF(ISNA(MATCH(1038,'Transfer Engine'!$C$2:$C$1369,0)),"",INDEX('Compliance Database'!$L$2:$L$1369,MATCH(1038,'Transfer Engine'!$C$2:$C$1369,0)))</f>
        <v/>
      </c>
      <c r="M1047" s="9">
        <f>IF(ISNA(MATCH(1038,'Transfer Engine'!$C$2:$C$1369,0)),"",INDEX('Compliance Database'!$M$2:$M$1369,MATCH(1038,'Transfer Engine'!$C$2:$C$1369,0)))</f>
        <v/>
      </c>
      <c r="N1047" s="9">
        <f>IF(ISNA(MATCH(1038,'Transfer Engine'!$C$2:$C$1369,0)),"",INDEX('Compliance Database'!$N$2:$N$1369,MATCH(1038,'Transfer Engine'!$C$2:$C$1369,0)))</f>
        <v/>
      </c>
      <c r="O1047" s="8">
        <f>IF(ISNA(MATCH(1038,'Transfer Engine'!$C$2:$C$1369,0)),"",HYPERLINK(INDEX('Compliance Database'!$O$2:$O$1369,MATCH(1038,'Transfer Engine'!$C$2:$C$1369,0)),"Open PDF"))</f>
        <v/>
      </c>
    </row>
    <row r="1048" ht="188" customHeight="1">
      <c r="A1048" s="8">
        <f>IF(ISNA(MATCH(1039,'Transfer Engine'!$C$2:$C$1369,0)),"",INDEX('Compliance Database'!$A$2:$A$1369,MATCH(1039,'Transfer Engine'!$C$2:$C$1369,0)))</f>
        <v/>
      </c>
      <c r="B1048" s="8">
        <f>IF(ISNA(MATCH(1039,'Transfer Engine'!$C$2:$C$1369,0)),"",INDEX('Compliance Database'!$B$2:$B$1369,MATCH(1039,'Transfer Engine'!$C$2:$C$1369,0)))</f>
        <v/>
      </c>
      <c r="C1048" s="8">
        <f>IF(ISNA(MATCH(1039,'Transfer Engine'!$C$2:$C$1369,0)),"",INDEX('Compliance Database'!$C$2:$C$1369,MATCH(1039,'Transfer Engine'!$C$2:$C$1369,0)))</f>
        <v/>
      </c>
      <c r="D1048" s="9">
        <f>IF(ISNA(MATCH(1039,'Transfer Engine'!$C$2:$C$1369,0)),"",INDEX('Compliance Database'!$D$2:$D$1369,MATCH(1039,'Transfer Engine'!$C$2:$C$1369,0)))</f>
        <v/>
      </c>
      <c r="E1048" s="8">
        <f>IF(ISNA(MATCH(1039,'Transfer Engine'!$C$2:$C$1369,0)),"",INDEX('Compliance Database'!$E$2:$E$1369,MATCH(1039,'Transfer Engine'!$C$2:$C$1369,0)))</f>
        <v/>
      </c>
      <c r="F1048" s="8">
        <f>IF(ISNA(MATCH(1039,'Transfer Engine'!$C$2:$C$1369,0)),"",INDEX('Compliance Database'!$F$2:$F$1369,MATCH(1039,'Transfer Engine'!$C$2:$C$1369,0)))</f>
        <v/>
      </c>
      <c r="G1048" s="8">
        <f>IF(ISNA(MATCH(1039,'Transfer Engine'!$C$2:$C$1369,0)),"",INDEX('Compliance Database'!$G$2:$G$1369,MATCH(1039,'Transfer Engine'!$C$2:$C$1369,0)))</f>
        <v/>
      </c>
      <c r="H1048" s="9">
        <f>IF(ISNA(MATCH(1039,'Transfer Engine'!$C$2:$C$1369,0)),"",INDEX('Compliance Database'!$H$2:$H$1369,MATCH(1039,'Transfer Engine'!$C$2:$C$1369,0)))</f>
        <v/>
      </c>
      <c r="I1048" s="9">
        <f>IF(ISNA(MATCH(1039,'Transfer Engine'!$C$2:$C$1369,0)),"",INDEX('Compliance Database'!$I$2:$I$1369,MATCH(1039,'Transfer Engine'!$C$2:$C$1369,0)))</f>
        <v/>
      </c>
      <c r="J1048" s="8">
        <f>IF(ISNA(MATCH(1039,'Transfer Engine'!$C$2:$C$1369,0)),"",INDEX('Compliance Database'!$J$2:$J$1369,MATCH(1039,'Transfer Engine'!$C$2:$C$1369,0)))</f>
        <v/>
      </c>
      <c r="K1048" s="9">
        <f>IF(ISNA(MATCH(1039,'Transfer Engine'!$C$2:$C$1369,0)),"",INDEX('Compliance Database'!$K$2:$K$1369,MATCH(1039,'Transfer Engine'!$C$2:$C$1369,0)))</f>
        <v/>
      </c>
      <c r="L1048" s="9">
        <f>IF(ISNA(MATCH(1039,'Transfer Engine'!$C$2:$C$1369,0)),"",INDEX('Compliance Database'!$L$2:$L$1369,MATCH(1039,'Transfer Engine'!$C$2:$C$1369,0)))</f>
        <v/>
      </c>
      <c r="M1048" s="9">
        <f>IF(ISNA(MATCH(1039,'Transfer Engine'!$C$2:$C$1369,0)),"",INDEX('Compliance Database'!$M$2:$M$1369,MATCH(1039,'Transfer Engine'!$C$2:$C$1369,0)))</f>
        <v/>
      </c>
      <c r="N1048" s="9">
        <f>IF(ISNA(MATCH(1039,'Transfer Engine'!$C$2:$C$1369,0)),"",INDEX('Compliance Database'!$N$2:$N$1369,MATCH(1039,'Transfer Engine'!$C$2:$C$1369,0)))</f>
        <v/>
      </c>
      <c r="O1048" s="8">
        <f>IF(ISNA(MATCH(1039,'Transfer Engine'!$C$2:$C$1369,0)),"",HYPERLINK(INDEX('Compliance Database'!$O$2:$O$1369,MATCH(1039,'Transfer Engine'!$C$2:$C$1369,0)),"Open PDF"))</f>
        <v/>
      </c>
    </row>
    <row r="1049" ht="188" customHeight="1">
      <c r="A1049" s="8">
        <f>IF(ISNA(MATCH(1040,'Transfer Engine'!$C$2:$C$1369,0)),"",INDEX('Compliance Database'!$A$2:$A$1369,MATCH(1040,'Transfer Engine'!$C$2:$C$1369,0)))</f>
        <v/>
      </c>
      <c r="B1049" s="8">
        <f>IF(ISNA(MATCH(1040,'Transfer Engine'!$C$2:$C$1369,0)),"",INDEX('Compliance Database'!$B$2:$B$1369,MATCH(1040,'Transfer Engine'!$C$2:$C$1369,0)))</f>
        <v/>
      </c>
      <c r="C1049" s="8">
        <f>IF(ISNA(MATCH(1040,'Transfer Engine'!$C$2:$C$1369,0)),"",INDEX('Compliance Database'!$C$2:$C$1369,MATCH(1040,'Transfer Engine'!$C$2:$C$1369,0)))</f>
        <v/>
      </c>
      <c r="D1049" s="9">
        <f>IF(ISNA(MATCH(1040,'Transfer Engine'!$C$2:$C$1369,0)),"",INDEX('Compliance Database'!$D$2:$D$1369,MATCH(1040,'Transfer Engine'!$C$2:$C$1369,0)))</f>
        <v/>
      </c>
      <c r="E1049" s="8">
        <f>IF(ISNA(MATCH(1040,'Transfer Engine'!$C$2:$C$1369,0)),"",INDEX('Compliance Database'!$E$2:$E$1369,MATCH(1040,'Transfer Engine'!$C$2:$C$1369,0)))</f>
        <v/>
      </c>
      <c r="F1049" s="8">
        <f>IF(ISNA(MATCH(1040,'Transfer Engine'!$C$2:$C$1369,0)),"",INDEX('Compliance Database'!$F$2:$F$1369,MATCH(1040,'Transfer Engine'!$C$2:$C$1369,0)))</f>
        <v/>
      </c>
      <c r="G1049" s="8">
        <f>IF(ISNA(MATCH(1040,'Transfer Engine'!$C$2:$C$1369,0)),"",INDEX('Compliance Database'!$G$2:$G$1369,MATCH(1040,'Transfer Engine'!$C$2:$C$1369,0)))</f>
        <v/>
      </c>
      <c r="H1049" s="9">
        <f>IF(ISNA(MATCH(1040,'Transfer Engine'!$C$2:$C$1369,0)),"",INDEX('Compliance Database'!$H$2:$H$1369,MATCH(1040,'Transfer Engine'!$C$2:$C$1369,0)))</f>
        <v/>
      </c>
      <c r="I1049" s="9">
        <f>IF(ISNA(MATCH(1040,'Transfer Engine'!$C$2:$C$1369,0)),"",INDEX('Compliance Database'!$I$2:$I$1369,MATCH(1040,'Transfer Engine'!$C$2:$C$1369,0)))</f>
        <v/>
      </c>
      <c r="J1049" s="8">
        <f>IF(ISNA(MATCH(1040,'Transfer Engine'!$C$2:$C$1369,0)),"",INDEX('Compliance Database'!$J$2:$J$1369,MATCH(1040,'Transfer Engine'!$C$2:$C$1369,0)))</f>
        <v/>
      </c>
      <c r="K1049" s="9">
        <f>IF(ISNA(MATCH(1040,'Transfer Engine'!$C$2:$C$1369,0)),"",INDEX('Compliance Database'!$K$2:$K$1369,MATCH(1040,'Transfer Engine'!$C$2:$C$1369,0)))</f>
        <v/>
      </c>
      <c r="L1049" s="9">
        <f>IF(ISNA(MATCH(1040,'Transfer Engine'!$C$2:$C$1369,0)),"",INDEX('Compliance Database'!$L$2:$L$1369,MATCH(1040,'Transfer Engine'!$C$2:$C$1369,0)))</f>
        <v/>
      </c>
      <c r="M1049" s="9">
        <f>IF(ISNA(MATCH(1040,'Transfer Engine'!$C$2:$C$1369,0)),"",INDEX('Compliance Database'!$M$2:$M$1369,MATCH(1040,'Transfer Engine'!$C$2:$C$1369,0)))</f>
        <v/>
      </c>
      <c r="N1049" s="9">
        <f>IF(ISNA(MATCH(1040,'Transfer Engine'!$C$2:$C$1369,0)),"",INDEX('Compliance Database'!$N$2:$N$1369,MATCH(1040,'Transfer Engine'!$C$2:$C$1369,0)))</f>
        <v/>
      </c>
      <c r="O1049" s="8">
        <f>IF(ISNA(MATCH(1040,'Transfer Engine'!$C$2:$C$1369,0)),"",HYPERLINK(INDEX('Compliance Database'!$O$2:$O$1369,MATCH(1040,'Transfer Engine'!$C$2:$C$1369,0)),"Open PDF"))</f>
        <v/>
      </c>
    </row>
    <row r="1050" ht="188" customHeight="1">
      <c r="A1050" s="8">
        <f>IF(ISNA(MATCH(1041,'Transfer Engine'!$C$2:$C$1369,0)),"",INDEX('Compliance Database'!$A$2:$A$1369,MATCH(1041,'Transfer Engine'!$C$2:$C$1369,0)))</f>
        <v/>
      </c>
      <c r="B1050" s="8">
        <f>IF(ISNA(MATCH(1041,'Transfer Engine'!$C$2:$C$1369,0)),"",INDEX('Compliance Database'!$B$2:$B$1369,MATCH(1041,'Transfer Engine'!$C$2:$C$1369,0)))</f>
        <v/>
      </c>
      <c r="C1050" s="8">
        <f>IF(ISNA(MATCH(1041,'Transfer Engine'!$C$2:$C$1369,0)),"",INDEX('Compliance Database'!$C$2:$C$1369,MATCH(1041,'Transfer Engine'!$C$2:$C$1369,0)))</f>
        <v/>
      </c>
      <c r="D1050" s="9">
        <f>IF(ISNA(MATCH(1041,'Transfer Engine'!$C$2:$C$1369,0)),"",INDEX('Compliance Database'!$D$2:$D$1369,MATCH(1041,'Transfer Engine'!$C$2:$C$1369,0)))</f>
        <v/>
      </c>
      <c r="E1050" s="8">
        <f>IF(ISNA(MATCH(1041,'Transfer Engine'!$C$2:$C$1369,0)),"",INDEX('Compliance Database'!$E$2:$E$1369,MATCH(1041,'Transfer Engine'!$C$2:$C$1369,0)))</f>
        <v/>
      </c>
      <c r="F1050" s="8">
        <f>IF(ISNA(MATCH(1041,'Transfer Engine'!$C$2:$C$1369,0)),"",INDEX('Compliance Database'!$F$2:$F$1369,MATCH(1041,'Transfer Engine'!$C$2:$C$1369,0)))</f>
        <v/>
      </c>
      <c r="G1050" s="8">
        <f>IF(ISNA(MATCH(1041,'Transfer Engine'!$C$2:$C$1369,0)),"",INDEX('Compliance Database'!$G$2:$G$1369,MATCH(1041,'Transfer Engine'!$C$2:$C$1369,0)))</f>
        <v/>
      </c>
      <c r="H1050" s="9">
        <f>IF(ISNA(MATCH(1041,'Transfer Engine'!$C$2:$C$1369,0)),"",INDEX('Compliance Database'!$H$2:$H$1369,MATCH(1041,'Transfer Engine'!$C$2:$C$1369,0)))</f>
        <v/>
      </c>
      <c r="I1050" s="9">
        <f>IF(ISNA(MATCH(1041,'Transfer Engine'!$C$2:$C$1369,0)),"",INDEX('Compliance Database'!$I$2:$I$1369,MATCH(1041,'Transfer Engine'!$C$2:$C$1369,0)))</f>
        <v/>
      </c>
      <c r="J1050" s="8">
        <f>IF(ISNA(MATCH(1041,'Transfer Engine'!$C$2:$C$1369,0)),"",INDEX('Compliance Database'!$J$2:$J$1369,MATCH(1041,'Transfer Engine'!$C$2:$C$1369,0)))</f>
        <v/>
      </c>
      <c r="K1050" s="9">
        <f>IF(ISNA(MATCH(1041,'Transfer Engine'!$C$2:$C$1369,0)),"",INDEX('Compliance Database'!$K$2:$K$1369,MATCH(1041,'Transfer Engine'!$C$2:$C$1369,0)))</f>
        <v/>
      </c>
      <c r="L1050" s="9">
        <f>IF(ISNA(MATCH(1041,'Transfer Engine'!$C$2:$C$1369,0)),"",INDEX('Compliance Database'!$L$2:$L$1369,MATCH(1041,'Transfer Engine'!$C$2:$C$1369,0)))</f>
        <v/>
      </c>
      <c r="M1050" s="9">
        <f>IF(ISNA(MATCH(1041,'Transfer Engine'!$C$2:$C$1369,0)),"",INDEX('Compliance Database'!$M$2:$M$1369,MATCH(1041,'Transfer Engine'!$C$2:$C$1369,0)))</f>
        <v/>
      </c>
      <c r="N1050" s="9">
        <f>IF(ISNA(MATCH(1041,'Transfer Engine'!$C$2:$C$1369,0)),"",INDEX('Compliance Database'!$N$2:$N$1369,MATCH(1041,'Transfer Engine'!$C$2:$C$1369,0)))</f>
        <v/>
      </c>
      <c r="O1050" s="8">
        <f>IF(ISNA(MATCH(1041,'Transfer Engine'!$C$2:$C$1369,0)),"",HYPERLINK(INDEX('Compliance Database'!$O$2:$O$1369,MATCH(1041,'Transfer Engine'!$C$2:$C$1369,0)),"Open PDF"))</f>
        <v/>
      </c>
    </row>
    <row r="1051" ht="188" customHeight="1">
      <c r="A1051" s="8">
        <f>IF(ISNA(MATCH(1042,'Transfer Engine'!$C$2:$C$1369,0)),"",INDEX('Compliance Database'!$A$2:$A$1369,MATCH(1042,'Transfer Engine'!$C$2:$C$1369,0)))</f>
        <v/>
      </c>
      <c r="B1051" s="8">
        <f>IF(ISNA(MATCH(1042,'Transfer Engine'!$C$2:$C$1369,0)),"",INDEX('Compliance Database'!$B$2:$B$1369,MATCH(1042,'Transfer Engine'!$C$2:$C$1369,0)))</f>
        <v/>
      </c>
      <c r="C1051" s="8">
        <f>IF(ISNA(MATCH(1042,'Transfer Engine'!$C$2:$C$1369,0)),"",INDEX('Compliance Database'!$C$2:$C$1369,MATCH(1042,'Transfer Engine'!$C$2:$C$1369,0)))</f>
        <v/>
      </c>
      <c r="D1051" s="9">
        <f>IF(ISNA(MATCH(1042,'Transfer Engine'!$C$2:$C$1369,0)),"",INDEX('Compliance Database'!$D$2:$D$1369,MATCH(1042,'Transfer Engine'!$C$2:$C$1369,0)))</f>
        <v/>
      </c>
      <c r="E1051" s="8">
        <f>IF(ISNA(MATCH(1042,'Transfer Engine'!$C$2:$C$1369,0)),"",INDEX('Compliance Database'!$E$2:$E$1369,MATCH(1042,'Transfer Engine'!$C$2:$C$1369,0)))</f>
        <v/>
      </c>
      <c r="F1051" s="8">
        <f>IF(ISNA(MATCH(1042,'Transfer Engine'!$C$2:$C$1369,0)),"",INDEX('Compliance Database'!$F$2:$F$1369,MATCH(1042,'Transfer Engine'!$C$2:$C$1369,0)))</f>
        <v/>
      </c>
      <c r="G1051" s="8">
        <f>IF(ISNA(MATCH(1042,'Transfer Engine'!$C$2:$C$1369,0)),"",INDEX('Compliance Database'!$G$2:$G$1369,MATCH(1042,'Transfer Engine'!$C$2:$C$1369,0)))</f>
        <v/>
      </c>
      <c r="H1051" s="9">
        <f>IF(ISNA(MATCH(1042,'Transfer Engine'!$C$2:$C$1369,0)),"",INDEX('Compliance Database'!$H$2:$H$1369,MATCH(1042,'Transfer Engine'!$C$2:$C$1369,0)))</f>
        <v/>
      </c>
      <c r="I1051" s="9">
        <f>IF(ISNA(MATCH(1042,'Transfer Engine'!$C$2:$C$1369,0)),"",INDEX('Compliance Database'!$I$2:$I$1369,MATCH(1042,'Transfer Engine'!$C$2:$C$1369,0)))</f>
        <v/>
      </c>
      <c r="J1051" s="8">
        <f>IF(ISNA(MATCH(1042,'Transfer Engine'!$C$2:$C$1369,0)),"",INDEX('Compliance Database'!$J$2:$J$1369,MATCH(1042,'Transfer Engine'!$C$2:$C$1369,0)))</f>
        <v/>
      </c>
      <c r="K1051" s="9">
        <f>IF(ISNA(MATCH(1042,'Transfer Engine'!$C$2:$C$1369,0)),"",INDEX('Compliance Database'!$K$2:$K$1369,MATCH(1042,'Transfer Engine'!$C$2:$C$1369,0)))</f>
        <v/>
      </c>
      <c r="L1051" s="9">
        <f>IF(ISNA(MATCH(1042,'Transfer Engine'!$C$2:$C$1369,0)),"",INDEX('Compliance Database'!$L$2:$L$1369,MATCH(1042,'Transfer Engine'!$C$2:$C$1369,0)))</f>
        <v/>
      </c>
      <c r="M1051" s="9">
        <f>IF(ISNA(MATCH(1042,'Transfer Engine'!$C$2:$C$1369,0)),"",INDEX('Compliance Database'!$M$2:$M$1369,MATCH(1042,'Transfer Engine'!$C$2:$C$1369,0)))</f>
        <v/>
      </c>
      <c r="N1051" s="9">
        <f>IF(ISNA(MATCH(1042,'Transfer Engine'!$C$2:$C$1369,0)),"",INDEX('Compliance Database'!$N$2:$N$1369,MATCH(1042,'Transfer Engine'!$C$2:$C$1369,0)))</f>
        <v/>
      </c>
      <c r="O1051" s="8">
        <f>IF(ISNA(MATCH(1042,'Transfer Engine'!$C$2:$C$1369,0)),"",HYPERLINK(INDEX('Compliance Database'!$O$2:$O$1369,MATCH(1042,'Transfer Engine'!$C$2:$C$1369,0)),"Open PDF"))</f>
        <v/>
      </c>
    </row>
    <row r="1052" ht="188" customHeight="1">
      <c r="A1052" s="8">
        <f>IF(ISNA(MATCH(1043,'Transfer Engine'!$C$2:$C$1369,0)),"",INDEX('Compliance Database'!$A$2:$A$1369,MATCH(1043,'Transfer Engine'!$C$2:$C$1369,0)))</f>
        <v/>
      </c>
      <c r="B1052" s="8">
        <f>IF(ISNA(MATCH(1043,'Transfer Engine'!$C$2:$C$1369,0)),"",INDEX('Compliance Database'!$B$2:$B$1369,MATCH(1043,'Transfer Engine'!$C$2:$C$1369,0)))</f>
        <v/>
      </c>
      <c r="C1052" s="8">
        <f>IF(ISNA(MATCH(1043,'Transfer Engine'!$C$2:$C$1369,0)),"",INDEX('Compliance Database'!$C$2:$C$1369,MATCH(1043,'Transfer Engine'!$C$2:$C$1369,0)))</f>
        <v/>
      </c>
      <c r="D1052" s="9">
        <f>IF(ISNA(MATCH(1043,'Transfer Engine'!$C$2:$C$1369,0)),"",INDEX('Compliance Database'!$D$2:$D$1369,MATCH(1043,'Transfer Engine'!$C$2:$C$1369,0)))</f>
        <v/>
      </c>
      <c r="E1052" s="8">
        <f>IF(ISNA(MATCH(1043,'Transfer Engine'!$C$2:$C$1369,0)),"",INDEX('Compliance Database'!$E$2:$E$1369,MATCH(1043,'Transfer Engine'!$C$2:$C$1369,0)))</f>
        <v/>
      </c>
      <c r="F1052" s="8">
        <f>IF(ISNA(MATCH(1043,'Transfer Engine'!$C$2:$C$1369,0)),"",INDEX('Compliance Database'!$F$2:$F$1369,MATCH(1043,'Transfer Engine'!$C$2:$C$1369,0)))</f>
        <v/>
      </c>
      <c r="G1052" s="8">
        <f>IF(ISNA(MATCH(1043,'Transfer Engine'!$C$2:$C$1369,0)),"",INDEX('Compliance Database'!$G$2:$G$1369,MATCH(1043,'Transfer Engine'!$C$2:$C$1369,0)))</f>
        <v/>
      </c>
      <c r="H1052" s="9">
        <f>IF(ISNA(MATCH(1043,'Transfer Engine'!$C$2:$C$1369,0)),"",INDEX('Compliance Database'!$H$2:$H$1369,MATCH(1043,'Transfer Engine'!$C$2:$C$1369,0)))</f>
        <v/>
      </c>
      <c r="I1052" s="9">
        <f>IF(ISNA(MATCH(1043,'Transfer Engine'!$C$2:$C$1369,0)),"",INDEX('Compliance Database'!$I$2:$I$1369,MATCH(1043,'Transfer Engine'!$C$2:$C$1369,0)))</f>
        <v/>
      </c>
      <c r="J1052" s="8">
        <f>IF(ISNA(MATCH(1043,'Transfer Engine'!$C$2:$C$1369,0)),"",INDEX('Compliance Database'!$J$2:$J$1369,MATCH(1043,'Transfer Engine'!$C$2:$C$1369,0)))</f>
        <v/>
      </c>
      <c r="K1052" s="9">
        <f>IF(ISNA(MATCH(1043,'Transfer Engine'!$C$2:$C$1369,0)),"",INDEX('Compliance Database'!$K$2:$K$1369,MATCH(1043,'Transfer Engine'!$C$2:$C$1369,0)))</f>
        <v/>
      </c>
      <c r="L1052" s="9">
        <f>IF(ISNA(MATCH(1043,'Transfer Engine'!$C$2:$C$1369,0)),"",INDEX('Compliance Database'!$L$2:$L$1369,MATCH(1043,'Transfer Engine'!$C$2:$C$1369,0)))</f>
        <v/>
      </c>
      <c r="M1052" s="9">
        <f>IF(ISNA(MATCH(1043,'Transfer Engine'!$C$2:$C$1369,0)),"",INDEX('Compliance Database'!$M$2:$M$1369,MATCH(1043,'Transfer Engine'!$C$2:$C$1369,0)))</f>
        <v/>
      </c>
      <c r="N1052" s="9">
        <f>IF(ISNA(MATCH(1043,'Transfer Engine'!$C$2:$C$1369,0)),"",INDEX('Compliance Database'!$N$2:$N$1369,MATCH(1043,'Transfer Engine'!$C$2:$C$1369,0)))</f>
        <v/>
      </c>
      <c r="O1052" s="8">
        <f>IF(ISNA(MATCH(1043,'Transfer Engine'!$C$2:$C$1369,0)),"",HYPERLINK(INDEX('Compliance Database'!$O$2:$O$1369,MATCH(1043,'Transfer Engine'!$C$2:$C$1369,0)),"Open PDF"))</f>
        <v/>
      </c>
    </row>
    <row r="1053" ht="188" customHeight="1">
      <c r="A1053" s="8">
        <f>IF(ISNA(MATCH(1044,'Transfer Engine'!$C$2:$C$1369,0)),"",INDEX('Compliance Database'!$A$2:$A$1369,MATCH(1044,'Transfer Engine'!$C$2:$C$1369,0)))</f>
        <v/>
      </c>
      <c r="B1053" s="8">
        <f>IF(ISNA(MATCH(1044,'Transfer Engine'!$C$2:$C$1369,0)),"",INDEX('Compliance Database'!$B$2:$B$1369,MATCH(1044,'Transfer Engine'!$C$2:$C$1369,0)))</f>
        <v/>
      </c>
      <c r="C1053" s="8">
        <f>IF(ISNA(MATCH(1044,'Transfer Engine'!$C$2:$C$1369,0)),"",INDEX('Compliance Database'!$C$2:$C$1369,MATCH(1044,'Transfer Engine'!$C$2:$C$1369,0)))</f>
        <v/>
      </c>
      <c r="D1053" s="9">
        <f>IF(ISNA(MATCH(1044,'Transfer Engine'!$C$2:$C$1369,0)),"",INDEX('Compliance Database'!$D$2:$D$1369,MATCH(1044,'Transfer Engine'!$C$2:$C$1369,0)))</f>
        <v/>
      </c>
      <c r="E1053" s="8">
        <f>IF(ISNA(MATCH(1044,'Transfer Engine'!$C$2:$C$1369,0)),"",INDEX('Compliance Database'!$E$2:$E$1369,MATCH(1044,'Transfer Engine'!$C$2:$C$1369,0)))</f>
        <v/>
      </c>
      <c r="F1053" s="8">
        <f>IF(ISNA(MATCH(1044,'Transfer Engine'!$C$2:$C$1369,0)),"",INDEX('Compliance Database'!$F$2:$F$1369,MATCH(1044,'Transfer Engine'!$C$2:$C$1369,0)))</f>
        <v/>
      </c>
      <c r="G1053" s="8">
        <f>IF(ISNA(MATCH(1044,'Transfer Engine'!$C$2:$C$1369,0)),"",INDEX('Compliance Database'!$G$2:$G$1369,MATCH(1044,'Transfer Engine'!$C$2:$C$1369,0)))</f>
        <v/>
      </c>
      <c r="H1053" s="9">
        <f>IF(ISNA(MATCH(1044,'Transfer Engine'!$C$2:$C$1369,0)),"",INDEX('Compliance Database'!$H$2:$H$1369,MATCH(1044,'Transfer Engine'!$C$2:$C$1369,0)))</f>
        <v/>
      </c>
      <c r="I1053" s="9">
        <f>IF(ISNA(MATCH(1044,'Transfer Engine'!$C$2:$C$1369,0)),"",INDEX('Compliance Database'!$I$2:$I$1369,MATCH(1044,'Transfer Engine'!$C$2:$C$1369,0)))</f>
        <v/>
      </c>
      <c r="J1053" s="8">
        <f>IF(ISNA(MATCH(1044,'Transfer Engine'!$C$2:$C$1369,0)),"",INDEX('Compliance Database'!$J$2:$J$1369,MATCH(1044,'Transfer Engine'!$C$2:$C$1369,0)))</f>
        <v/>
      </c>
      <c r="K1053" s="9">
        <f>IF(ISNA(MATCH(1044,'Transfer Engine'!$C$2:$C$1369,0)),"",INDEX('Compliance Database'!$K$2:$K$1369,MATCH(1044,'Transfer Engine'!$C$2:$C$1369,0)))</f>
        <v/>
      </c>
      <c r="L1053" s="9">
        <f>IF(ISNA(MATCH(1044,'Transfer Engine'!$C$2:$C$1369,0)),"",INDEX('Compliance Database'!$L$2:$L$1369,MATCH(1044,'Transfer Engine'!$C$2:$C$1369,0)))</f>
        <v/>
      </c>
      <c r="M1053" s="9">
        <f>IF(ISNA(MATCH(1044,'Transfer Engine'!$C$2:$C$1369,0)),"",INDEX('Compliance Database'!$M$2:$M$1369,MATCH(1044,'Transfer Engine'!$C$2:$C$1369,0)))</f>
        <v/>
      </c>
      <c r="N1053" s="9">
        <f>IF(ISNA(MATCH(1044,'Transfer Engine'!$C$2:$C$1369,0)),"",INDEX('Compliance Database'!$N$2:$N$1369,MATCH(1044,'Transfer Engine'!$C$2:$C$1369,0)))</f>
        <v/>
      </c>
      <c r="O1053" s="8">
        <f>IF(ISNA(MATCH(1044,'Transfer Engine'!$C$2:$C$1369,0)),"",HYPERLINK(INDEX('Compliance Database'!$O$2:$O$1369,MATCH(1044,'Transfer Engine'!$C$2:$C$1369,0)),"Open PDF"))</f>
        <v/>
      </c>
    </row>
    <row r="1054" ht="188" customHeight="1">
      <c r="A1054" s="8">
        <f>IF(ISNA(MATCH(1045,'Transfer Engine'!$C$2:$C$1369,0)),"",INDEX('Compliance Database'!$A$2:$A$1369,MATCH(1045,'Transfer Engine'!$C$2:$C$1369,0)))</f>
        <v/>
      </c>
      <c r="B1054" s="8">
        <f>IF(ISNA(MATCH(1045,'Transfer Engine'!$C$2:$C$1369,0)),"",INDEX('Compliance Database'!$B$2:$B$1369,MATCH(1045,'Transfer Engine'!$C$2:$C$1369,0)))</f>
        <v/>
      </c>
      <c r="C1054" s="8">
        <f>IF(ISNA(MATCH(1045,'Transfer Engine'!$C$2:$C$1369,0)),"",INDEX('Compliance Database'!$C$2:$C$1369,MATCH(1045,'Transfer Engine'!$C$2:$C$1369,0)))</f>
        <v/>
      </c>
      <c r="D1054" s="9">
        <f>IF(ISNA(MATCH(1045,'Transfer Engine'!$C$2:$C$1369,0)),"",INDEX('Compliance Database'!$D$2:$D$1369,MATCH(1045,'Transfer Engine'!$C$2:$C$1369,0)))</f>
        <v/>
      </c>
      <c r="E1054" s="8">
        <f>IF(ISNA(MATCH(1045,'Transfer Engine'!$C$2:$C$1369,0)),"",INDEX('Compliance Database'!$E$2:$E$1369,MATCH(1045,'Transfer Engine'!$C$2:$C$1369,0)))</f>
        <v/>
      </c>
      <c r="F1054" s="8">
        <f>IF(ISNA(MATCH(1045,'Transfer Engine'!$C$2:$C$1369,0)),"",INDEX('Compliance Database'!$F$2:$F$1369,MATCH(1045,'Transfer Engine'!$C$2:$C$1369,0)))</f>
        <v/>
      </c>
      <c r="G1054" s="8">
        <f>IF(ISNA(MATCH(1045,'Transfer Engine'!$C$2:$C$1369,0)),"",INDEX('Compliance Database'!$G$2:$G$1369,MATCH(1045,'Transfer Engine'!$C$2:$C$1369,0)))</f>
        <v/>
      </c>
      <c r="H1054" s="9">
        <f>IF(ISNA(MATCH(1045,'Transfer Engine'!$C$2:$C$1369,0)),"",INDEX('Compliance Database'!$H$2:$H$1369,MATCH(1045,'Transfer Engine'!$C$2:$C$1369,0)))</f>
        <v/>
      </c>
      <c r="I1054" s="9">
        <f>IF(ISNA(MATCH(1045,'Transfer Engine'!$C$2:$C$1369,0)),"",INDEX('Compliance Database'!$I$2:$I$1369,MATCH(1045,'Transfer Engine'!$C$2:$C$1369,0)))</f>
        <v/>
      </c>
      <c r="J1054" s="8">
        <f>IF(ISNA(MATCH(1045,'Transfer Engine'!$C$2:$C$1369,0)),"",INDEX('Compliance Database'!$J$2:$J$1369,MATCH(1045,'Transfer Engine'!$C$2:$C$1369,0)))</f>
        <v/>
      </c>
      <c r="K1054" s="9">
        <f>IF(ISNA(MATCH(1045,'Transfer Engine'!$C$2:$C$1369,0)),"",INDEX('Compliance Database'!$K$2:$K$1369,MATCH(1045,'Transfer Engine'!$C$2:$C$1369,0)))</f>
        <v/>
      </c>
      <c r="L1054" s="9">
        <f>IF(ISNA(MATCH(1045,'Transfer Engine'!$C$2:$C$1369,0)),"",INDEX('Compliance Database'!$L$2:$L$1369,MATCH(1045,'Transfer Engine'!$C$2:$C$1369,0)))</f>
        <v/>
      </c>
      <c r="M1054" s="9">
        <f>IF(ISNA(MATCH(1045,'Transfer Engine'!$C$2:$C$1369,0)),"",INDEX('Compliance Database'!$M$2:$M$1369,MATCH(1045,'Transfer Engine'!$C$2:$C$1369,0)))</f>
        <v/>
      </c>
      <c r="N1054" s="9">
        <f>IF(ISNA(MATCH(1045,'Transfer Engine'!$C$2:$C$1369,0)),"",INDEX('Compliance Database'!$N$2:$N$1369,MATCH(1045,'Transfer Engine'!$C$2:$C$1369,0)))</f>
        <v/>
      </c>
      <c r="O1054" s="8">
        <f>IF(ISNA(MATCH(1045,'Transfer Engine'!$C$2:$C$1369,0)),"",HYPERLINK(INDEX('Compliance Database'!$O$2:$O$1369,MATCH(1045,'Transfer Engine'!$C$2:$C$1369,0)),"Open PDF"))</f>
        <v/>
      </c>
    </row>
    <row r="1055" ht="188" customHeight="1">
      <c r="A1055" s="8">
        <f>IF(ISNA(MATCH(1046,'Transfer Engine'!$C$2:$C$1369,0)),"",INDEX('Compliance Database'!$A$2:$A$1369,MATCH(1046,'Transfer Engine'!$C$2:$C$1369,0)))</f>
        <v/>
      </c>
      <c r="B1055" s="8">
        <f>IF(ISNA(MATCH(1046,'Transfer Engine'!$C$2:$C$1369,0)),"",INDEX('Compliance Database'!$B$2:$B$1369,MATCH(1046,'Transfer Engine'!$C$2:$C$1369,0)))</f>
        <v/>
      </c>
      <c r="C1055" s="8">
        <f>IF(ISNA(MATCH(1046,'Transfer Engine'!$C$2:$C$1369,0)),"",INDEX('Compliance Database'!$C$2:$C$1369,MATCH(1046,'Transfer Engine'!$C$2:$C$1369,0)))</f>
        <v/>
      </c>
      <c r="D1055" s="9">
        <f>IF(ISNA(MATCH(1046,'Transfer Engine'!$C$2:$C$1369,0)),"",INDEX('Compliance Database'!$D$2:$D$1369,MATCH(1046,'Transfer Engine'!$C$2:$C$1369,0)))</f>
        <v/>
      </c>
      <c r="E1055" s="8">
        <f>IF(ISNA(MATCH(1046,'Transfer Engine'!$C$2:$C$1369,0)),"",INDEX('Compliance Database'!$E$2:$E$1369,MATCH(1046,'Transfer Engine'!$C$2:$C$1369,0)))</f>
        <v/>
      </c>
      <c r="F1055" s="8">
        <f>IF(ISNA(MATCH(1046,'Transfer Engine'!$C$2:$C$1369,0)),"",INDEX('Compliance Database'!$F$2:$F$1369,MATCH(1046,'Transfer Engine'!$C$2:$C$1369,0)))</f>
        <v/>
      </c>
      <c r="G1055" s="8">
        <f>IF(ISNA(MATCH(1046,'Transfer Engine'!$C$2:$C$1369,0)),"",INDEX('Compliance Database'!$G$2:$G$1369,MATCH(1046,'Transfer Engine'!$C$2:$C$1369,0)))</f>
        <v/>
      </c>
      <c r="H1055" s="9">
        <f>IF(ISNA(MATCH(1046,'Transfer Engine'!$C$2:$C$1369,0)),"",INDEX('Compliance Database'!$H$2:$H$1369,MATCH(1046,'Transfer Engine'!$C$2:$C$1369,0)))</f>
        <v/>
      </c>
      <c r="I1055" s="9">
        <f>IF(ISNA(MATCH(1046,'Transfer Engine'!$C$2:$C$1369,0)),"",INDEX('Compliance Database'!$I$2:$I$1369,MATCH(1046,'Transfer Engine'!$C$2:$C$1369,0)))</f>
        <v/>
      </c>
      <c r="J1055" s="8">
        <f>IF(ISNA(MATCH(1046,'Transfer Engine'!$C$2:$C$1369,0)),"",INDEX('Compliance Database'!$J$2:$J$1369,MATCH(1046,'Transfer Engine'!$C$2:$C$1369,0)))</f>
        <v/>
      </c>
      <c r="K1055" s="9">
        <f>IF(ISNA(MATCH(1046,'Transfer Engine'!$C$2:$C$1369,0)),"",INDEX('Compliance Database'!$K$2:$K$1369,MATCH(1046,'Transfer Engine'!$C$2:$C$1369,0)))</f>
        <v/>
      </c>
      <c r="L1055" s="9">
        <f>IF(ISNA(MATCH(1046,'Transfer Engine'!$C$2:$C$1369,0)),"",INDEX('Compliance Database'!$L$2:$L$1369,MATCH(1046,'Transfer Engine'!$C$2:$C$1369,0)))</f>
        <v/>
      </c>
      <c r="M1055" s="9">
        <f>IF(ISNA(MATCH(1046,'Transfer Engine'!$C$2:$C$1369,0)),"",INDEX('Compliance Database'!$M$2:$M$1369,MATCH(1046,'Transfer Engine'!$C$2:$C$1369,0)))</f>
        <v/>
      </c>
      <c r="N1055" s="9">
        <f>IF(ISNA(MATCH(1046,'Transfer Engine'!$C$2:$C$1369,0)),"",INDEX('Compliance Database'!$N$2:$N$1369,MATCH(1046,'Transfer Engine'!$C$2:$C$1369,0)))</f>
        <v/>
      </c>
      <c r="O1055" s="8">
        <f>IF(ISNA(MATCH(1046,'Transfer Engine'!$C$2:$C$1369,0)),"",HYPERLINK(INDEX('Compliance Database'!$O$2:$O$1369,MATCH(1046,'Transfer Engine'!$C$2:$C$1369,0)),"Open PDF"))</f>
        <v/>
      </c>
    </row>
    <row r="1056" ht="188" customHeight="1">
      <c r="A1056" s="8">
        <f>IF(ISNA(MATCH(1047,'Transfer Engine'!$C$2:$C$1369,0)),"",INDEX('Compliance Database'!$A$2:$A$1369,MATCH(1047,'Transfer Engine'!$C$2:$C$1369,0)))</f>
        <v/>
      </c>
      <c r="B1056" s="8">
        <f>IF(ISNA(MATCH(1047,'Transfer Engine'!$C$2:$C$1369,0)),"",INDEX('Compliance Database'!$B$2:$B$1369,MATCH(1047,'Transfer Engine'!$C$2:$C$1369,0)))</f>
        <v/>
      </c>
      <c r="C1056" s="8">
        <f>IF(ISNA(MATCH(1047,'Transfer Engine'!$C$2:$C$1369,0)),"",INDEX('Compliance Database'!$C$2:$C$1369,MATCH(1047,'Transfer Engine'!$C$2:$C$1369,0)))</f>
        <v/>
      </c>
      <c r="D1056" s="9">
        <f>IF(ISNA(MATCH(1047,'Transfer Engine'!$C$2:$C$1369,0)),"",INDEX('Compliance Database'!$D$2:$D$1369,MATCH(1047,'Transfer Engine'!$C$2:$C$1369,0)))</f>
        <v/>
      </c>
      <c r="E1056" s="8">
        <f>IF(ISNA(MATCH(1047,'Transfer Engine'!$C$2:$C$1369,0)),"",INDEX('Compliance Database'!$E$2:$E$1369,MATCH(1047,'Transfer Engine'!$C$2:$C$1369,0)))</f>
        <v/>
      </c>
      <c r="F1056" s="8">
        <f>IF(ISNA(MATCH(1047,'Transfer Engine'!$C$2:$C$1369,0)),"",INDEX('Compliance Database'!$F$2:$F$1369,MATCH(1047,'Transfer Engine'!$C$2:$C$1369,0)))</f>
        <v/>
      </c>
      <c r="G1056" s="8">
        <f>IF(ISNA(MATCH(1047,'Transfer Engine'!$C$2:$C$1369,0)),"",INDEX('Compliance Database'!$G$2:$G$1369,MATCH(1047,'Transfer Engine'!$C$2:$C$1369,0)))</f>
        <v/>
      </c>
      <c r="H1056" s="9">
        <f>IF(ISNA(MATCH(1047,'Transfer Engine'!$C$2:$C$1369,0)),"",INDEX('Compliance Database'!$H$2:$H$1369,MATCH(1047,'Transfer Engine'!$C$2:$C$1369,0)))</f>
        <v/>
      </c>
      <c r="I1056" s="9">
        <f>IF(ISNA(MATCH(1047,'Transfer Engine'!$C$2:$C$1369,0)),"",INDEX('Compliance Database'!$I$2:$I$1369,MATCH(1047,'Transfer Engine'!$C$2:$C$1369,0)))</f>
        <v/>
      </c>
      <c r="J1056" s="8">
        <f>IF(ISNA(MATCH(1047,'Transfer Engine'!$C$2:$C$1369,0)),"",INDEX('Compliance Database'!$J$2:$J$1369,MATCH(1047,'Transfer Engine'!$C$2:$C$1369,0)))</f>
        <v/>
      </c>
      <c r="K1056" s="9">
        <f>IF(ISNA(MATCH(1047,'Transfer Engine'!$C$2:$C$1369,0)),"",INDEX('Compliance Database'!$K$2:$K$1369,MATCH(1047,'Transfer Engine'!$C$2:$C$1369,0)))</f>
        <v/>
      </c>
      <c r="L1056" s="9">
        <f>IF(ISNA(MATCH(1047,'Transfer Engine'!$C$2:$C$1369,0)),"",INDEX('Compliance Database'!$L$2:$L$1369,MATCH(1047,'Transfer Engine'!$C$2:$C$1369,0)))</f>
        <v/>
      </c>
      <c r="M1056" s="9">
        <f>IF(ISNA(MATCH(1047,'Transfer Engine'!$C$2:$C$1369,0)),"",INDEX('Compliance Database'!$M$2:$M$1369,MATCH(1047,'Transfer Engine'!$C$2:$C$1369,0)))</f>
        <v/>
      </c>
      <c r="N1056" s="9">
        <f>IF(ISNA(MATCH(1047,'Transfer Engine'!$C$2:$C$1369,0)),"",INDEX('Compliance Database'!$N$2:$N$1369,MATCH(1047,'Transfer Engine'!$C$2:$C$1369,0)))</f>
        <v/>
      </c>
      <c r="O1056" s="8">
        <f>IF(ISNA(MATCH(1047,'Transfer Engine'!$C$2:$C$1369,0)),"",HYPERLINK(INDEX('Compliance Database'!$O$2:$O$1369,MATCH(1047,'Transfer Engine'!$C$2:$C$1369,0)),"Open PDF"))</f>
        <v/>
      </c>
    </row>
    <row r="1057" ht="188" customHeight="1">
      <c r="A1057" s="8">
        <f>IF(ISNA(MATCH(1048,'Transfer Engine'!$C$2:$C$1369,0)),"",INDEX('Compliance Database'!$A$2:$A$1369,MATCH(1048,'Transfer Engine'!$C$2:$C$1369,0)))</f>
        <v/>
      </c>
      <c r="B1057" s="8">
        <f>IF(ISNA(MATCH(1048,'Transfer Engine'!$C$2:$C$1369,0)),"",INDEX('Compliance Database'!$B$2:$B$1369,MATCH(1048,'Transfer Engine'!$C$2:$C$1369,0)))</f>
        <v/>
      </c>
      <c r="C1057" s="8">
        <f>IF(ISNA(MATCH(1048,'Transfer Engine'!$C$2:$C$1369,0)),"",INDEX('Compliance Database'!$C$2:$C$1369,MATCH(1048,'Transfer Engine'!$C$2:$C$1369,0)))</f>
        <v/>
      </c>
      <c r="D1057" s="9">
        <f>IF(ISNA(MATCH(1048,'Transfer Engine'!$C$2:$C$1369,0)),"",INDEX('Compliance Database'!$D$2:$D$1369,MATCH(1048,'Transfer Engine'!$C$2:$C$1369,0)))</f>
        <v/>
      </c>
      <c r="E1057" s="8">
        <f>IF(ISNA(MATCH(1048,'Transfer Engine'!$C$2:$C$1369,0)),"",INDEX('Compliance Database'!$E$2:$E$1369,MATCH(1048,'Transfer Engine'!$C$2:$C$1369,0)))</f>
        <v/>
      </c>
      <c r="F1057" s="8">
        <f>IF(ISNA(MATCH(1048,'Transfer Engine'!$C$2:$C$1369,0)),"",INDEX('Compliance Database'!$F$2:$F$1369,MATCH(1048,'Transfer Engine'!$C$2:$C$1369,0)))</f>
        <v/>
      </c>
      <c r="G1057" s="8">
        <f>IF(ISNA(MATCH(1048,'Transfer Engine'!$C$2:$C$1369,0)),"",INDEX('Compliance Database'!$G$2:$G$1369,MATCH(1048,'Transfer Engine'!$C$2:$C$1369,0)))</f>
        <v/>
      </c>
      <c r="H1057" s="9">
        <f>IF(ISNA(MATCH(1048,'Transfer Engine'!$C$2:$C$1369,0)),"",INDEX('Compliance Database'!$H$2:$H$1369,MATCH(1048,'Transfer Engine'!$C$2:$C$1369,0)))</f>
        <v/>
      </c>
      <c r="I1057" s="9">
        <f>IF(ISNA(MATCH(1048,'Transfer Engine'!$C$2:$C$1369,0)),"",INDEX('Compliance Database'!$I$2:$I$1369,MATCH(1048,'Transfer Engine'!$C$2:$C$1369,0)))</f>
        <v/>
      </c>
      <c r="J1057" s="8">
        <f>IF(ISNA(MATCH(1048,'Transfer Engine'!$C$2:$C$1369,0)),"",INDEX('Compliance Database'!$J$2:$J$1369,MATCH(1048,'Transfer Engine'!$C$2:$C$1369,0)))</f>
        <v/>
      </c>
      <c r="K1057" s="9">
        <f>IF(ISNA(MATCH(1048,'Transfer Engine'!$C$2:$C$1369,0)),"",INDEX('Compliance Database'!$K$2:$K$1369,MATCH(1048,'Transfer Engine'!$C$2:$C$1369,0)))</f>
        <v/>
      </c>
      <c r="L1057" s="9">
        <f>IF(ISNA(MATCH(1048,'Transfer Engine'!$C$2:$C$1369,0)),"",INDEX('Compliance Database'!$L$2:$L$1369,MATCH(1048,'Transfer Engine'!$C$2:$C$1369,0)))</f>
        <v/>
      </c>
      <c r="M1057" s="9">
        <f>IF(ISNA(MATCH(1048,'Transfer Engine'!$C$2:$C$1369,0)),"",INDEX('Compliance Database'!$M$2:$M$1369,MATCH(1048,'Transfer Engine'!$C$2:$C$1369,0)))</f>
        <v/>
      </c>
      <c r="N1057" s="9">
        <f>IF(ISNA(MATCH(1048,'Transfer Engine'!$C$2:$C$1369,0)),"",INDEX('Compliance Database'!$N$2:$N$1369,MATCH(1048,'Transfer Engine'!$C$2:$C$1369,0)))</f>
        <v/>
      </c>
      <c r="O1057" s="8">
        <f>IF(ISNA(MATCH(1048,'Transfer Engine'!$C$2:$C$1369,0)),"",HYPERLINK(INDEX('Compliance Database'!$O$2:$O$1369,MATCH(1048,'Transfer Engine'!$C$2:$C$1369,0)),"Open PDF"))</f>
        <v/>
      </c>
    </row>
    <row r="1058" ht="188" customHeight="1">
      <c r="A1058" s="8">
        <f>IF(ISNA(MATCH(1049,'Transfer Engine'!$C$2:$C$1369,0)),"",INDEX('Compliance Database'!$A$2:$A$1369,MATCH(1049,'Transfer Engine'!$C$2:$C$1369,0)))</f>
        <v/>
      </c>
      <c r="B1058" s="8">
        <f>IF(ISNA(MATCH(1049,'Transfer Engine'!$C$2:$C$1369,0)),"",INDEX('Compliance Database'!$B$2:$B$1369,MATCH(1049,'Transfer Engine'!$C$2:$C$1369,0)))</f>
        <v/>
      </c>
      <c r="C1058" s="8">
        <f>IF(ISNA(MATCH(1049,'Transfer Engine'!$C$2:$C$1369,0)),"",INDEX('Compliance Database'!$C$2:$C$1369,MATCH(1049,'Transfer Engine'!$C$2:$C$1369,0)))</f>
        <v/>
      </c>
      <c r="D1058" s="9">
        <f>IF(ISNA(MATCH(1049,'Transfer Engine'!$C$2:$C$1369,0)),"",INDEX('Compliance Database'!$D$2:$D$1369,MATCH(1049,'Transfer Engine'!$C$2:$C$1369,0)))</f>
        <v/>
      </c>
      <c r="E1058" s="8">
        <f>IF(ISNA(MATCH(1049,'Transfer Engine'!$C$2:$C$1369,0)),"",INDEX('Compliance Database'!$E$2:$E$1369,MATCH(1049,'Transfer Engine'!$C$2:$C$1369,0)))</f>
        <v/>
      </c>
      <c r="F1058" s="8">
        <f>IF(ISNA(MATCH(1049,'Transfer Engine'!$C$2:$C$1369,0)),"",INDEX('Compliance Database'!$F$2:$F$1369,MATCH(1049,'Transfer Engine'!$C$2:$C$1369,0)))</f>
        <v/>
      </c>
      <c r="G1058" s="8">
        <f>IF(ISNA(MATCH(1049,'Transfer Engine'!$C$2:$C$1369,0)),"",INDEX('Compliance Database'!$G$2:$G$1369,MATCH(1049,'Transfer Engine'!$C$2:$C$1369,0)))</f>
        <v/>
      </c>
      <c r="H1058" s="9">
        <f>IF(ISNA(MATCH(1049,'Transfer Engine'!$C$2:$C$1369,0)),"",INDEX('Compliance Database'!$H$2:$H$1369,MATCH(1049,'Transfer Engine'!$C$2:$C$1369,0)))</f>
        <v/>
      </c>
      <c r="I1058" s="9">
        <f>IF(ISNA(MATCH(1049,'Transfer Engine'!$C$2:$C$1369,0)),"",INDEX('Compliance Database'!$I$2:$I$1369,MATCH(1049,'Transfer Engine'!$C$2:$C$1369,0)))</f>
        <v/>
      </c>
      <c r="J1058" s="8">
        <f>IF(ISNA(MATCH(1049,'Transfer Engine'!$C$2:$C$1369,0)),"",INDEX('Compliance Database'!$J$2:$J$1369,MATCH(1049,'Transfer Engine'!$C$2:$C$1369,0)))</f>
        <v/>
      </c>
      <c r="K1058" s="9">
        <f>IF(ISNA(MATCH(1049,'Transfer Engine'!$C$2:$C$1369,0)),"",INDEX('Compliance Database'!$K$2:$K$1369,MATCH(1049,'Transfer Engine'!$C$2:$C$1369,0)))</f>
        <v/>
      </c>
      <c r="L1058" s="9">
        <f>IF(ISNA(MATCH(1049,'Transfer Engine'!$C$2:$C$1369,0)),"",INDEX('Compliance Database'!$L$2:$L$1369,MATCH(1049,'Transfer Engine'!$C$2:$C$1369,0)))</f>
        <v/>
      </c>
      <c r="M1058" s="9">
        <f>IF(ISNA(MATCH(1049,'Transfer Engine'!$C$2:$C$1369,0)),"",INDEX('Compliance Database'!$M$2:$M$1369,MATCH(1049,'Transfer Engine'!$C$2:$C$1369,0)))</f>
        <v/>
      </c>
      <c r="N1058" s="9">
        <f>IF(ISNA(MATCH(1049,'Transfer Engine'!$C$2:$C$1369,0)),"",INDEX('Compliance Database'!$N$2:$N$1369,MATCH(1049,'Transfer Engine'!$C$2:$C$1369,0)))</f>
        <v/>
      </c>
      <c r="O1058" s="8">
        <f>IF(ISNA(MATCH(1049,'Transfer Engine'!$C$2:$C$1369,0)),"",HYPERLINK(INDEX('Compliance Database'!$O$2:$O$1369,MATCH(1049,'Transfer Engine'!$C$2:$C$1369,0)),"Open PDF"))</f>
        <v/>
      </c>
    </row>
    <row r="1059" ht="188" customHeight="1">
      <c r="A1059" s="8">
        <f>IF(ISNA(MATCH(1050,'Transfer Engine'!$C$2:$C$1369,0)),"",INDEX('Compliance Database'!$A$2:$A$1369,MATCH(1050,'Transfer Engine'!$C$2:$C$1369,0)))</f>
        <v/>
      </c>
      <c r="B1059" s="8">
        <f>IF(ISNA(MATCH(1050,'Transfer Engine'!$C$2:$C$1369,0)),"",INDEX('Compliance Database'!$B$2:$B$1369,MATCH(1050,'Transfer Engine'!$C$2:$C$1369,0)))</f>
        <v/>
      </c>
      <c r="C1059" s="8">
        <f>IF(ISNA(MATCH(1050,'Transfer Engine'!$C$2:$C$1369,0)),"",INDEX('Compliance Database'!$C$2:$C$1369,MATCH(1050,'Transfer Engine'!$C$2:$C$1369,0)))</f>
        <v/>
      </c>
      <c r="D1059" s="9">
        <f>IF(ISNA(MATCH(1050,'Transfer Engine'!$C$2:$C$1369,0)),"",INDEX('Compliance Database'!$D$2:$D$1369,MATCH(1050,'Transfer Engine'!$C$2:$C$1369,0)))</f>
        <v/>
      </c>
      <c r="E1059" s="8">
        <f>IF(ISNA(MATCH(1050,'Transfer Engine'!$C$2:$C$1369,0)),"",INDEX('Compliance Database'!$E$2:$E$1369,MATCH(1050,'Transfer Engine'!$C$2:$C$1369,0)))</f>
        <v/>
      </c>
      <c r="F1059" s="8">
        <f>IF(ISNA(MATCH(1050,'Transfer Engine'!$C$2:$C$1369,0)),"",INDEX('Compliance Database'!$F$2:$F$1369,MATCH(1050,'Transfer Engine'!$C$2:$C$1369,0)))</f>
        <v/>
      </c>
      <c r="G1059" s="8">
        <f>IF(ISNA(MATCH(1050,'Transfer Engine'!$C$2:$C$1369,0)),"",INDEX('Compliance Database'!$G$2:$G$1369,MATCH(1050,'Transfer Engine'!$C$2:$C$1369,0)))</f>
        <v/>
      </c>
      <c r="H1059" s="9">
        <f>IF(ISNA(MATCH(1050,'Transfer Engine'!$C$2:$C$1369,0)),"",INDEX('Compliance Database'!$H$2:$H$1369,MATCH(1050,'Transfer Engine'!$C$2:$C$1369,0)))</f>
        <v/>
      </c>
      <c r="I1059" s="9">
        <f>IF(ISNA(MATCH(1050,'Transfer Engine'!$C$2:$C$1369,0)),"",INDEX('Compliance Database'!$I$2:$I$1369,MATCH(1050,'Transfer Engine'!$C$2:$C$1369,0)))</f>
        <v/>
      </c>
      <c r="J1059" s="8">
        <f>IF(ISNA(MATCH(1050,'Transfer Engine'!$C$2:$C$1369,0)),"",INDEX('Compliance Database'!$J$2:$J$1369,MATCH(1050,'Transfer Engine'!$C$2:$C$1369,0)))</f>
        <v/>
      </c>
      <c r="K1059" s="9">
        <f>IF(ISNA(MATCH(1050,'Transfer Engine'!$C$2:$C$1369,0)),"",INDEX('Compliance Database'!$K$2:$K$1369,MATCH(1050,'Transfer Engine'!$C$2:$C$1369,0)))</f>
        <v/>
      </c>
      <c r="L1059" s="9">
        <f>IF(ISNA(MATCH(1050,'Transfer Engine'!$C$2:$C$1369,0)),"",INDEX('Compliance Database'!$L$2:$L$1369,MATCH(1050,'Transfer Engine'!$C$2:$C$1369,0)))</f>
        <v/>
      </c>
      <c r="M1059" s="9">
        <f>IF(ISNA(MATCH(1050,'Transfer Engine'!$C$2:$C$1369,0)),"",INDEX('Compliance Database'!$M$2:$M$1369,MATCH(1050,'Transfer Engine'!$C$2:$C$1369,0)))</f>
        <v/>
      </c>
      <c r="N1059" s="9">
        <f>IF(ISNA(MATCH(1050,'Transfer Engine'!$C$2:$C$1369,0)),"",INDEX('Compliance Database'!$N$2:$N$1369,MATCH(1050,'Transfer Engine'!$C$2:$C$1369,0)))</f>
        <v/>
      </c>
      <c r="O1059" s="8">
        <f>IF(ISNA(MATCH(1050,'Transfer Engine'!$C$2:$C$1369,0)),"",HYPERLINK(INDEX('Compliance Database'!$O$2:$O$1369,MATCH(1050,'Transfer Engine'!$C$2:$C$1369,0)),"Open PDF"))</f>
        <v/>
      </c>
    </row>
    <row r="1060" ht="188" customHeight="1">
      <c r="A1060" s="8">
        <f>IF(ISNA(MATCH(1051,'Transfer Engine'!$C$2:$C$1369,0)),"",INDEX('Compliance Database'!$A$2:$A$1369,MATCH(1051,'Transfer Engine'!$C$2:$C$1369,0)))</f>
        <v/>
      </c>
      <c r="B1060" s="8">
        <f>IF(ISNA(MATCH(1051,'Transfer Engine'!$C$2:$C$1369,0)),"",INDEX('Compliance Database'!$B$2:$B$1369,MATCH(1051,'Transfer Engine'!$C$2:$C$1369,0)))</f>
        <v/>
      </c>
      <c r="C1060" s="8">
        <f>IF(ISNA(MATCH(1051,'Transfer Engine'!$C$2:$C$1369,0)),"",INDEX('Compliance Database'!$C$2:$C$1369,MATCH(1051,'Transfer Engine'!$C$2:$C$1369,0)))</f>
        <v/>
      </c>
      <c r="D1060" s="9">
        <f>IF(ISNA(MATCH(1051,'Transfer Engine'!$C$2:$C$1369,0)),"",INDEX('Compliance Database'!$D$2:$D$1369,MATCH(1051,'Transfer Engine'!$C$2:$C$1369,0)))</f>
        <v/>
      </c>
      <c r="E1060" s="8">
        <f>IF(ISNA(MATCH(1051,'Transfer Engine'!$C$2:$C$1369,0)),"",INDEX('Compliance Database'!$E$2:$E$1369,MATCH(1051,'Transfer Engine'!$C$2:$C$1369,0)))</f>
        <v/>
      </c>
      <c r="F1060" s="8">
        <f>IF(ISNA(MATCH(1051,'Transfer Engine'!$C$2:$C$1369,0)),"",INDEX('Compliance Database'!$F$2:$F$1369,MATCH(1051,'Transfer Engine'!$C$2:$C$1369,0)))</f>
        <v/>
      </c>
      <c r="G1060" s="8">
        <f>IF(ISNA(MATCH(1051,'Transfer Engine'!$C$2:$C$1369,0)),"",INDEX('Compliance Database'!$G$2:$G$1369,MATCH(1051,'Transfer Engine'!$C$2:$C$1369,0)))</f>
        <v/>
      </c>
      <c r="H1060" s="9">
        <f>IF(ISNA(MATCH(1051,'Transfer Engine'!$C$2:$C$1369,0)),"",INDEX('Compliance Database'!$H$2:$H$1369,MATCH(1051,'Transfer Engine'!$C$2:$C$1369,0)))</f>
        <v/>
      </c>
      <c r="I1060" s="9">
        <f>IF(ISNA(MATCH(1051,'Transfer Engine'!$C$2:$C$1369,0)),"",INDEX('Compliance Database'!$I$2:$I$1369,MATCH(1051,'Transfer Engine'!$C$2:$C$1369,0)))</f>
        <v/>
      </c>
      <c r="J1060" s="8">
        <f>IF(ISNA(MATCH(1051,'Transfer Engine'!$C$2:$C$1369,0)),"",INDEX('Compliance Database'!$J$2:$J$1369,MATCH(1051,'Transfer Engine'!$C$2:$C$1369,0)))</f>
        <v/>
      </c>
      <c r="K1060" s="9">
        <f>IF(ISNA(MATCH(1051,'Transfer Engine'!$C$2:$C$1369,0)),"",INDEX('Compliance Database'!$K$2:$K$1369,MATCH(1051,'Transfer Engine'!$C$2:$C$1369,0)))</f>
        <v/>
      </c>
      <c r="L1060" s="9">
        <f>IF(ISNA(MATCH(1051,'Transfer Engine'!$C$2:$C$1369,0)),"",INDEX('Compliance Database'!$L$2:$L$1369,MATCH(1051,'Transfer Engine'!$C$2:$C$1369,0)))</f>
        <v/>
      </c>
      <c r="M1060" s="9">
        <f>IF(ISNA(MATCH(1051,'Transfer Engine'!$C$2:$C$1369,0)),"",INDEX('Compliance Database'!$M$2:$M$1369,MATCH(1051,'Transfer Engine'!$C$2:$C$1369,0)))</f>
        <v/>
      </c>
      <c r="N1060" s="9">
        <f>IF(ISNA(MATCH(1051,'Transfer Engine'!$C$2:$C$1369,0)),"",INDEX('Compliance Database'!$N$2:$N$1369,MATCH(1051,'Transfer Engine'!$C$2:$C$1369,0)))</f>
        <v/>
      </c>
      <c r="O1060" s="8">
        <f>IF(ISNA(MATCH(1051,'Transfer Engine'!$C$2:$C$1369,0)),"",HYPERLINK(INDEX('Compliance Database'!$O$2:$O$1369,MATCH(1051,'Transfer Engine'!$C$2:$C$1369,0)),"Open PDF"))</f>
        <v/>
      </c>
    </row>
    <row r="1061" ht="188" customHeight="1">
      <c r="A1061" s="8">
        <f>IF(ISNA(MATCH(1052,'Transfer Engine'!$C$2:$C$1369,0)),"",INDEX('Compliance Database'!$A$2:$A$1369,MATCH(1052,'Transfer Engine'!$C$2:$C$1369,0)))</f>
        <v/>
      </c>
      <c r="B1061" s="8">
        <f>IF(ISNA(MATCH(1052,'Transfer Engine'!$C$2:$C$1369,0)),"",INDEX('Compliance Database'!$B$2:$B$1369,MATCH(1052,'Transfer Engine'!$C$2:$C$1369,0)))</f>
        <v/>
      </c>
      <c r="C1061" s="8">
        <f>IF(ISNA(MATCH(1052,'Transfer Engine'!$C$2:$C$1369,0)),"",INDEX('Compliance Database'!$C$2:$C$1369,MATCH(1052,'Transfer Engine'!$C$2:$C$1369,0)))</f>
        <v/>
      </c>
      <c r="D1061" s="9">
        <f>IF(ISNA(MATCH(1052,'Transfer Engine'!$C$2:$C$1369,0)),"",INDEX('Compliance Database'!$D$2:$D$1369,MATCH(1052,'Transfer Engine'!$C$2:$C$1369,0)))</f>
        <v/>
      </c>
      <c r="E1061" s="8">
        <f>IF(ISNA(MATCH(1052,'Transfer Engine'!$C$2:$C$1369,0)),"",INDEX('Compliance Database'!$E$2:$E$1369,MATCH(1052,'Transfer Engine'!$C$2:$C$1369,0)))</f>
        <v/>
      </c>
      <c r="F1061" s="8">
        <f>IF(ISNA(MATCH(1052,'Transfer Engine'!$C$2:$C$1369,0)),"",INDEX('Compliance Database'!$F$2:$F$1369,MATCH(1052,'Transfer Engine'!$C$2:$C$1369,0)))</f>
        <v/>
      </c>
      <c r="G1061" s="8">
        <f>IF(ISNA(MATCH(1052,'Transfer Engine'!$C$2:$C$1369,0)),"",INDEX('Compliance Database'!$G$2:$G$1369,MATCH(1052,'Transfer Engine'!$C$2:$C$1369,0)))</f>
        <v/>
      </c>
      <c r="H1061" s="9">
        <f>IF(ISNA(MATCH(1052,'Transfer Engine'!$C$2:$C$1369,0)),"",INDEX('Compliance Database'!$H$2:$H$1369,MATCH(1052,'Transfer Engine'!$C$2:$C$1369,0)))</f>
        <v/>
      </c>
      <c r="I1061" s="9">
        <f>IF(ISNA(MATCH(1052,'Transfer Engine'!$C$2:$C$1369,0)),"",INDEX('Compliance Database'!$I$2:$I$1369,MATCH(1052,'Transfer Engine'!$C$2:$C$1369,0)))</f>
        <v/>
      </c>
      <c r="J1061" s="8">
        <f>IF(ISNA(MATCH(1052,'Transfer Engine'!$C$2:$C$1369,0)),"",INDEX('Compliance Database'!$J$2:$J$1369,MATCH(1052,'Transfer Engine'!$C$2:$C$1369,0)))</f>
        <v/>
      </c>
      <c r="K1061" s="9">
        <f>IF(ISNA(MATCH(1052,'Transfer Engine'!$C$2:$C$1369,0)),"",INDEX('Compliance Database'!$K$2:$K$1369,MATCH(1052,'Transfer Engine'!$C$2:$C$1369,0)))</f>
        <v/>
      </c>
      <c r="L1061" s="9">
        <f>IF(ISNA(MATCH(1052,'Transfer Engine'!$C$2:$C$1369,0)),"",INDEX('Compliance Database'!$L$2:$L$1369,MATCH(1052,'Transfer Engine'!$C$2:$C$1369,0)))</f>
        <v/>
      </c>
      <c r="M1061" s="9">
        <f>IF(ISNA(MATCH(1052,'Transfer Engine'!$C$2:$C$1369,0)),"",INDEX('Compliance Database'!$M$2:$M$1369,MATCH(1052,'Transfer Engine'!$C$2:$C$1369,0)))</f>
        <v/>
      </c>
      <c r="N1061" s="9">
        <f>IF(ISNA(MATCH(1052,'Transfer Engine'!$C$2:$C$1369,0)),"",INDEX('Compliance Database'!$N$2:$N$1369,MATCH(1052,'Transfer Engine'!$C$2:$C$1369,0)))</f>
        <v/>
      </c>
      <c r="O1061" s="8">
        <f>IF(ISNA(MATCH(1052,'Transfer Engine'!$C$2:$C$1369,0)),"",HYPERLINK(INDEX('Compliance Database'!$O$2:$O$1369,MATCH(1052,'Transfer Engine'!$C$2:$C$1369,0)),"Open PDF"))</f>
        <v/>
      </c>
    </row>
    <row r="1062" ht="188" customHeight="1">
      <c r="A1062" s="8">
        <f>IF(ISNA(MATCH(1053,'Transfer Engine'!$C$2:$C$1369,0)),"",INDEX('Compliance Database'!$A$2:$A$1369,MATCH(1053,'Transfer Engine'!$C$2:$C$1369,0)))</f>
        <v/>
      </c>
      <c r="B1062" s="8">
        <f>IF(ISNA(MATCH(1053,'Transfer Engine'!$C$2:$C$1369,0)),"",INDEX('Compliance Database'!$B$2:$B$1369,MATCH(1053,'Transfer Engine'!$C$2:$C$1369,0)))</f>
        <v/>
      </c>
      <c r="C1062" s="8">
        <f>IF(ISNA(MATCH(1053,'Transfer Engine'!$C$2:$C$1369,0)),"",INDEX('Compliance Database'!$C$2:$C$1369,MATCH(1053,'Transfer Engine'!$C$2:$C$1369,0)))</f>
        <v/>
      </c>
      <c r="D1062" s="9">
        <f>IF(ISNA(MATCH(1053,'Transfer Engine'!$C$2:$C$1369,0)),"",INDEX('Compliance Database'!$D$2:$D$1369,MATCH(1053,'Transfer Engine'!$C$2:$C$1369,0)))</f>
        <v/>
      </c>
      <c r="E1062" s="8">
        <f>IF(ISNA(MATCH(1053,'Transfer Engine'!$C$2:$C$1369,0)),"",INDEX('Compliance Database'!$E$2:$E$1369,MATCH(1053,'Transfer Engine'!$C$2:$C$1369,0)))</f>
        <v/>
      </c>
      <c r="F1062" s="8">
        <f>IF(ISNA(MATCH(1053,'Transfer Engine'!$C$2:$C$1369,0)),"",INDEX('Compliance Database'!$F$2:$F$1369,MATCH(1053,'Transfer Engine'!$C$2:$C$1369,0)))</f>
        <v/>
      </c>
      <c r="G1062" s="8">
        <f>IF(ISNA(MATCH(1053,'Transfer Engine'!$C$2:$C$1369,0)),"",INDEX('Compliance Database'!$G$2:$G$1369,MATCH(1053,'Transfer Engine'!$C$2:$C$1369,0)))</f>
        <v/>
      </c>
      <c r="H1062" s="9">
        <f>IF(ISNA(MATCH(1053,'Transfer Engine'!$C$2:$C$1369,0)),"",INDEX('Compliance Database'!$H$2:$H$1369,MATCH(1053,'Transfer Engine'!$C$2:$C$1369,0)))</f>
        <v/>
      </c>
      <c r="I1062" s="9">
        <f>IF(ISNA(MATCH(1053,'Transfer Engine'!$C$2:$C$1369,0)),"",INDEX('Compliance Database'!$I$2:$I$1369,MATCH(1053,'Transfer Engine'!$C$2:$C$1369,0)))</f>
        <v/>
      </c>
      <c r="J1062" s="8">
        <f>IF(ISNA(MATCH(1053,'Transfer Engine'!$C$2:$C$1369,0)),"",INDEX('Compliance Database'!$J$2:$J$1369,MATCH(1053,'Transfer Engine'!$C$2:$C$1369,0)))</f>
        <v/>
      </c>
      <c r="K1062" s="9">
        <f>IF(ISNA(MATCH(1053,'Transfer Engine'!$C$2:$C$1369,0)),"",INDEX('Compliance Database'!$K$2:$K$1369,MATCH(1053,'Transfer Engine'!$C$2:$C$1369,0)))</f>
        <v/>
      </c>
      <c r="L1062" s="9">
        <f>IF(ISNA(MATCH(1053,'Transfer Engine'!$C$2:$C$1369,0)),"",INDEX('Compliance Database'!$L$2:$L$1369,MATCH(1053,'Transfer Engine'!$C$2:$C$1369,0)))</f>
        <v/>
      </c>
      <c r="M1062" s="9">
        <f>IF(ISNA(MATCH(1053,'Transfer Engine'!$C$2:$C$1369,0)),"",INDEX('Compliance Database'!$M$2:$M$1369,MATCH(1053,'Transfer Engine'!$C$2:$C$1369,0)))</f>
        <v/>
      </c>
      <c r="N1062" s="9">
        <f>IF(ISNA(MATCH(1053,'Transfer Engine'!$C$2:$C$1369,0)),"",INDEX('Compliance Database'!$N$2:$N$1369,MATCH(1053,'Transfer Engine'!$C$2:$C$1369,0)))</f>
        <v/>
      </c>
      <c r="O1062" s="8">
        <f>IF(ISNA(MATCH(1053,'Transfer Engine'!$C$2:$C$1369,0)),"",HYPERLINK(INDEX('Compliance Database'!$O$2:$O$1369,MATCH(1053,'Transfer Engine'!$C$2:$C$1369,0)),"Open PDF"))</f>
        <v/>
      </c>
    </row>
    <row r="1063" ht="188" customHeight="1">
      <c r="A1063" s="8">
        <f>IF(ISNA(MATCH(1054,'Transfer Engine'!$C$2:$C$1369,0)),"",INDEX('Compliance Database'!$A$2:$A$1369,MATCH(1054,'Transfer Engine'!$C$2:$C$1369,0)))</f>
        <v/>
      </c>
      <c r="B1063" s="8">
        <f>IF(ISNA(MATCH(1054,'Transfer Engine'!$C$2:$C$1369,0)),"",INDEX('Compliance Database'!$B$2:$B$1369,MATCH(1054,'Transfer Engine'!$C$2:$C$1369,0)))</f>
        <v/>
      </c>
      <c r="C1063" s="8">
        <f>IF(ISNA(MATCH(1054,'Transfer Engine'!$C$2:$C$1369,0)),"",INDEX('Compliance Database'!$C$2:$C$1369,MATCH(1054,'Transfer Engine'!$C$2:$C$1369,0)))</f>
        <v/>
      </c>
      <c r="D1063" s="9">
        <f>IF(ISNA(MATCH(1054,'Transfer Engine'!$C$2:$C$1369,0)),"",INDEX('Compliance Database'!$D$2:$D$1369,MATCH(1054,'Transfer Engine'!$C$2:$C$1369,0)))</f>
        <v/>
      </c>
      <c r="E1063" s="8">
        <f>IF(ISNA(MATCH(1054,'Transfer Engine'!$C$2:$C$1369,0)),"",INDEX('Compliance Database'!$E$2:$E$1369,MATCH(1054,'Transfer Engine'!$C$2:$C$1369,0)))</f>
        <v/>
      </c>
      <c r="F1063" s="8">
        <f>IF(ISNA(MATCH(1054,'Transfer Engine'!$C$2:$C$1369,0)),"",INDEX('Compliance Database'!$F$2:$F$1369,MATCH(1054,'Transfer Engine'!$C$2:$C$1369,0)))</f>
        <v/>
      </c>
      <c r="G1063" s="8">
        <f>IF(ISNA(MATCH(1054,'Transfer Engine'!$C$2:$C$1369,0)),"",INDEX('Compliance Database'!$G$2:$G$1369,MATCH(1054,'Transfer Engine'!$C$2:$C$1369,0)))</f>
        <v/>
      </c>
      <c r="H1063" s="9">
        <f>IF(ISNA(MATCH(1054,'Transfer Engine'!$C$2:$C$1369,0)),"",INDEX('Compliance Database'!$H$2:$H$1369,MATCH(1054,'Transfer Engine'!$C$2:$C$1369,0)))</f>
        <v/>
      </c>
      <c r="I1063" s="9">
        <f>IF(ISNA(MATCH(1054,'Transfer Engine'!$C$2:$C$1369,0)),"",INDEX('Compliance Database'!$I$2:$I$1369,MATCH(1054,'Transfer Engine'!$C$2:$C$1369,0)))</f>
        <v/>
      </c>
      <c r="J1063" s="8">
        <f>IF(ISNA(MATCH(1054,'Transfer Engine'!$C$2:$C$1369,0)),"",INDEX('Compliance Database'!$J$2:$J$1369,MATCH(1054,'Transfer Engine'!$C$2:$C$1369,0)))</f>
        <v/>
      </c>
      <c r="K1063" s="9">
        <f>IF(ISNA(MATCH(1054,'Transfer Engine'!$C$2:$C$1369,0)),"",INDEX('Compliance Database'!$K$2:$K$1369,MATCH(1054,'Transfer Engine'!$C$2:$C$1369,0)))</f>
        <v/>
      </c>
      <c r="L1063" s="9">
        <f>IF(ISNA(MATCH(1054,'Transfer Engine'!$C$2:$C$1369,0)),"",INDEX('Compliance Database'!$L$2:$L$1369,MATCH(1054,'Transfer Engine'!$C$2:$C$1369,0)))</f>
        <v/>
      </c>
      <c r="M1063" s="9">
        <f>IF(ISNA(MATCH(1054,'Transfer Engine'!$C$2:$C$1369,0)),"",INDEX('Compliance Database'!$M$2:$M$1369,MATCH(1054,'Transfer Engine'!$C$2:$C$1369,0)))</f>
        <v/>
      </c>
      <c r="N1063" s="9">
        <f>IF(ISNA(MATCH(1054,'Transfer Engine'!$C$2:$C$1369,0)),"",INDEX('Compliance Database'!$N$2:$N$1369,MATCH(1054,'Transfer Engine'!$C$2:$C$1369,0)))</f>
        <v/>
      </c>
      <c r="O1063" s="8">
        <f>IF(ISNA(MATCH(1054,'Transfer Engine'!$C$2:$C$1369,0)),"",HYPERLINK(INDEX('Compliance Database'!$O$2:$O$1369,MATCH(1054,'Transfer Engine'!$C$2:$C$1369,0)),"Open PDF"))</f>
        <v/>
      </c>
    </row>
    <row r="1064" ht="188" customHeight="1">
      <c r="A1064" s="8">
        <f>IF(ISNA(MATCH(1055,'Transfer Engine'!$C$2:$C$1369,0)),"",INDEX('Compliance Database'!$A$2:$A$1369,MATCH(1055,'Transfer Engine'!$C$2:$C$1369,0)))</f>
        <v/>
      </c>
      <c r="B1064" s="8">
        <f>IF(ISNA(MATCH(1055,'Transfer Engine'!$C$2:$C$1369,0)),"",INDEX('Compliance Database'!$B$2:$B$1369,MATCH(1055,'Transfer Engine'!$C$2:$C$1369,0)))</f>
        <v/>
      </c>
      <c r="C1064" s="8">
        <f>IF(ISNA(MATCH(1055,'Transfer Engine'!$C$2:$C$1369,0)),"",INDEX('Compliance Database'!$C$2:$C$1369,MATCH(1055,'Transfer Engine'!$C$2:$C$1369,0)))</f>
        <v/>
      </c>
      <c r="D1064" s="9">
        <f>IF(ISNA(MATCH(1055,'Transfer Engine'!$C$2:$C$1369,0)),"",INDEX('Compliance Database'!$D$2:$D$1369,MATCH(1055,'Transfer Engine'!$C$2:$C$1369,0)))</f>
        <v/>
      </c>
      <c r="E1064" s="8">
        <f>IF(ISNA(MATCH(1055,'Transfer Engine'!$C$2:$C$1369,0)),"",INDEX('Compliance Database'!$E$2:$E$1369,MATCH(1055,'Transfer Engine'!$C$2:$C$1369,0)))</f>
        <v/>
      </c>
      <c r="F1064" s="8">
        <f>IF(ISNA(MATCH(1055,'Transfer Engine'!$C$2:$C$1369,0)),"",INDEX('Compliance Database'!$F$2:$F$1369,MATCH(1055,'Transfer Engine'!$C$2:$C$1369,0)))</f>
        <v/>
      </c>
      <c r="G1064" s="8">
        <f>IF(ISNA(MATCH(1055,'Transfer Engine'!$C$2:$C$1369,0)),"",INDEX('Compliance Database'!$G$2:$G$1369,MATCH(1055,'Transfer Engine'!$C$2:$C$1369,0)))</f>
        <v/>
      </c>
      <c r="H1064" s="9">
        <f>IF(ISNA(MATCH(1055,'Transfer Engine'!$C$2:$C$1369,0)),"",INDEX('Compliance Database'!$H$2:$H$1369,MATCH(1055,'Transfer Engine'!$C$2:$C$1369,0)))</f>
        <v/>
      </c>
      <c r="I1064" s="9">
        <f>IF(ISNA(MATCH(1055,'Transfer Engine'!$C$2:$C$1369,0)),"",INDEX('Compliance Database'!$I$2:$I$1369,MATCH(1055,'Transfer Engine'!$C$2:$C$1369,0)))</f>
        <v/>
      </c>
      <c r="J1064" s="8">
        <f>IF(ISNA(MATCH(1055,'Transfer Engine'!$C$2:$C$1369,0)),"",INDEX('Compliance Database'!$J$2:$J$1369,MATCH(1055,'Transfer Engine'!$C$2:$C$1369,0)))</f>
        <v/>
      </c>
      <c r="K1064" s="9">
        <f>IF(ISNA(MATCH(1055,'Transfer Engine'!$C$2:$C$1369,0)),"",INDEX('Compliance Database'!$K$2:$K$1369,MATCH(1055,'Transfer Engine'!$C$2:$C$1369,0)))</f>
        <v/>
      </c>
      <c r="L1064" s="9">
        <f>IF(ISNA(MATCH(1055,'Transfer Engine'!$C$2:$C$1369,0)),"",INDEX('Compliance Database'!$L$2:$L$1369,MATCH(1055,'Transfer Engine'!$C$2:$C$1369,0)))</f>
        <v/>
      </c>
      <c r="M1064" s="9">
        <f>IF(ISNA(MATCH(1055,'Transfer Engine'!$C$2:$C$1369,0)),"",INDEX('Compliance Database'!$M$2:$M$1369,MATCH(1055,'Transfer Engine'!$C$2:$C$1369,0)))</f>
        <v/>
      </c>
      <c r="N1064" s="9">
        <f>IF(ISNA(MATCH(1055,'Transfer Engine'!$C$2:$C$1369,0)),"",INDEX('Compliance Database'!$N$2:$N$1369,MATCH(1055,'Transfer Engine'!$C$2:$C$1369,0)))</f>
        <v/>
      </c>
      <c r="O1064" s="8">
        <f>IF(ISNA(MATCH(1055,'Transfer Engine'!$C$2:$C$1369,0)),"",HYPERLINK(INDEX('Compliance Database'!$O$2:$O$1369,MATCH(1055,'Transfer Engine'!$C$2:$C$1369,0)),"Open PDF"))</f>
        <v/>
      </c>
    </row>
    <row r="1065" ht="188" customHeight="1">
      <c r="A1065" s="8">
        <f>IF(ISNA(MATCH(1056,'Transfer Engine'!$C$2:$C$1369,0)),"",INDEX('Compliance Database'!$A$2:$A$1369,MATCH(1056,'Transfer Engine'!$C$2:$C$1369,0)))</f>
        <v/>
      </c>
      <c r="B1065" s="8">
        <f>IF(ISNA(MATCH(1056,'Transfer Engine'!$C$2:$C$1369,0)),"",INDEX('Compliance Database'!$B$2:$B$1369,MATCH(1056,'Transfer Engine'!$C$2:$C$1369,0)))</f>
        <v/>
      </c>
      <c r="C1065" s="8">
        <f>IF(ISNA(MATCH(1056,'Transfer Engine'!$C$2:$C$1369,0)),"",INDEX('Compliance Database'!$C$2:$C$1369,MATCH(1056,'Transfer Engine'!$C$2:$C$1369,0)))</f>
        <v/>
      </c>
      <c r="D1065" s="9">
        <f>IF(ISNA(MATCH(1056,'Transfer Engine'!$C$2:$C$1369,0)),"",INDEX('Compliance Database'!$D$2:$D$1369,MATCH(1056,'Transfer Engine'!$C$2:$C$1369,0)))</f>
        <v/>
      </c>
      <c r="E1065" s="8">
        <f>IF(ISNA(MATCH(1056,'Transfer Engine'!$C$2:$C$1369,0)),"",INDEX('Compliance Database'!$E$2:$E$1369,MATCH(1056,'Transfer Engine'!$C$2:$C$1369,0)))</f>
        <v/>
      </c>
      <c r="F1065" s="8">
        <f>IF(ISNA(MATCH(1056,'Transfer Engine'!$C$2:$C$1369,0)),"",INDEX('Compliance Database'!$F$2:$F$1369,MATCH(1056,'Transfer Engine'!$C$2:$C$1369,0)))</f>
        <v/>
      </c>
      <c r="G1065" s="8">
        <f>IF(ISNA(MATCH(1056,'Transfer Engine'!$C$2:$C$1369,0)),"",INDEX('Compliance Database'!$G$2:$G$1369,MATCH(1056,'Transfer Engine'!$C$2:$C$1369,0)))</f>
        <v/>
      </c>
      <c r="H1065" s="9">
        <f>IF(ISNA(MATCH(1056,'Transfer Engine'!$C$2:$C$1369,0)),"",INDEX('Compliance Database'!$H$2:$H$1369,MATCH(1056,'Transfer Engine'!$C$2:$C$1369,0)))</f>
        <v/>
      </c>
      <c r="I1065" s="9">
        <f>IF(ISNA(MATCH(1056,'Transfer Engine'!$C$2:$C$1369,0)),"",INDEX('Compliance Database'!$I$2:$I$1369,MATCH(1056,'Transfer Engine'!$C$2:$C$1369,0)))</f>
        <v/>
      </c>
      <c r="J1065" s="8">
        <f>IF(ISNA(MATCH(1056,'Transfer Engine'!$C$2:$C$1369,0)),"",INDEX('Compliance Database'!$J$2:$J$1369,MATCH(1056,'Transfer Engine'!$C$2:$C$1369,0)))</f>
        <v/>
      </c>
      <c r="K1065" s="9">
        <f>IF(ISNA(MATCH(1056,'Transfer Engine'!$C$2:$C$1369,0)),"",INDEX('Compliance Database'!$K$2:$K$1369,MATCH(1056,'Transfer Engine'!$C$2:$C$1369,0)))</f>
        <v/>
      </c>
      <c r="L1065" s="9">
        <f>IF(ISNA(MATCH(1056,'Transfer Engine'!$C$2:$C$1369,0)),"",INDEX('Compliance Database'!$L$2:$L$1369,MATCH(1056,'Transfer Engine'!$C$2:$C$1369,0)))</f>
        <v/>
      </c>
      <c r="M1065" s="9">
        <f>IF(ISNA(MATCH(1056,'Transfer Engine'!$C$2:$C$1369,0)),"",INDEX('Compliance Database'!$M$2:$M$1369,MATCH(1056,'Transfer Engine'!$C$2:$C$1369,0)))</f>
        <v/>
      </c>
      <c r="N1065" s="9">
        <f>IF(ISNA(MATCH(1056,'Transfer Engine'!$C$2:$C$1369,0)),"",INDEX('Compliance Database'!$N$2:$N$1369,MATCH(1056,'Transfer Engine'!$C$2:$C$1369,0)))</f>
        <v/>
      </c>
      <c r="O1065" s="8">
        <f>IF(ISNA(MATCH(1056,'Transfer Engine'!$C$2:$C$1369,0)),"",HYPERLINK(INDEX('Compliance Database'!$O$2:$O$1369,MATCH(1056,'Transfer Engine'!$C$2:$C$1369,0)),"Open PDF"))</f>
        <v/>
      </c>
    </row>
    <row r="1066" ht="188" customHeight="1">
      <c r="A1066" s="8">
        <f>IF(ISNA(MATCH(1057,'Transfer Engine'!$C$2:$C$1369,0)),"",INDEX('Compliance Database'!$A$2:$A$1369,MATCH(1057,'Transfer Engine'!$C$2:$C$1369,0)))</f>
        <v/>
      </c>
      <c r="B1066" s="8">
        <f>IF(ISNA(MATCH(1057,'Transfer Engine'!$C$2:$C$1369,0)),"",INDEX('Compliance Database'!$B$2:$B$1369,MATCH(1057,'Transfer Engine'!$C$2:$C$1369,0)))</f>
        <v/>
      </c>
      <c r="C1066" s="8">
        <f>IF(ISNA(MATCH(1057,'Transfer Engine'!$C$2:$C$1369,0)),"",INDEX('Compliance Database'!$C$2:$C$1369,MATCH(1057,'Transfer Engine'!$C$2:$C$1369,0)))</f>
        <v/>
      </c>
      <c r="D1066" s="9">
        <f>IF(ISNA(MATCH(1057,'Transfer Engine'!$C$2:$C$1369,0)),"",INDEX('Compliance Database'!$D$2:$D$1369,MATCH(1057,'Transfer Engine'!$C$2:$C$1369,0)))</f>
        <v/>
      </c>
      <c r="E1066" s="8">
        <f>IF(ISNA(MATCH(1057,'Transfer Engine'!$C$2:$C$1369,0)),"",INDEX('Compliance Database'!$E$2:$E$1369,MATCH(1057,'Transfer Engine'!$C$2:$C$1369,0)))</f>
        <v/>
      </c>
      <c r="F1066" s="8">
        <f>IF(ISNA(MATCH(1057,'Transfer Engine'!$C$2:$C$1369,0)),"",INDEX('Compliance Database'!$F$2:$F$1369,MATCH(1057,'Transfer Engine'!$C$2:$C$1369,0)))</f>
        <v/>
      </c>
      <c r="G1066" s="8">
        <f>IF(ISNA(MATCH(1057,'Transfer Engine'!$C$2:$C$1369,0)),"",INDEX('Compliance Database'!$G$2:$G$1369,MATCH(1057,'Transfer Engine'!$C$2:$C$1369,0)))</f>
        <v/>
      </c>
      <c r="H1066" s="9">
        <f>IF(ISNA(MATCH(1057,'Transfer Engine'!$C$2:$C$1369,0)),"",INDEX('Compliance Database'!$H$2:$H$1369,MATCH(1057,'Transfer Engine'!$C$2:$C$1369,0)))</f>
        <v/>
      </c>
      <c r="I1066" s="9">
        <f>IF(ISNA(MATCH(1057,'Transfer Engine'!$C$2:$C$1369,0)),"",INDEX('Compliance Database'!$I$2:$I$1369,MATCH(1057,'Transfer Engine'!$C$2:$C$1369,0)))</f>
        <v/>
      </c>
      <c r="J1066" s="8">
        <f>IF(ISNA(MATCH(1057,'Transfer Engine'!$C$2:$C$1369,0)),"",INDEX('Compliance Database'!$J$2:$J$1369,MATCH(1057,'Transfer Engine'!$C$2:$C$1369,0)))</f>
        <v/>
      </c>
      <c r="K1066" s="9">
        <f>IF(ISNA(MATCH(1057,'Transfer Engine'!$C$2:$C$1369,0)),"",INDEX('Compliance Database'!$K$2:$K$1369,MATCH(1057,'Transfer Engine'!$C$2:$C$1369,0)))</f>
        <v/>
      </c>
      <c r="L1066" s="9">
        <f>IF(ISNA(MATCH(1057,'Transfer Engine'!$C$2:$C$1369,0)),"",INDEX('Compliance Database'!$L$2:$L$1369,MATCH(1057,'Transfer Engine'!$C$2:$C$1369,0)))</f>
        <v/>
      </c>
      <c r="M1066" s="9">
        <f>IF(ISNA(MATCH(1057,'Transfer Engine'!$C$2:$C$1369,0)),"",INDEX('Compliance Database'!$M$2:$M$1369,MATCH(1057,'Transfer Engine'!$C$2:$C$1369,0)))</f>
        <v/>
      </c>
      <c r="N1066" s="9">
        <f>IF(ISNA(MATCH(1057,'Transfer Engine'!$C$2:$C$1369,0)),"",INDEX('Compliance Database'!$N$2:$N$1369,MATCH(1057,'Transfer Engine'!$C$2:$C$1369,0)))</f>
        <v/>
      </c>
      <c r="O1066" s="8">
        <f>IF(ISNA(MATCH(1057,'Transfer Engine'!$C$2:$C$1369,0)),"",HYPERLINK(INDEX('Compliance Database'!$O$2:$O$1369,MATCH(1057,'Transfer Engine'!$C$2:$C$1369,0)),"Open PDF"))</f>
        <v/>
      </c>
    </row>
    <row r="1067" ht="188" customHeight="1">
      <c r="A1067" s="8">
        <f>IF(ISNA(MATCH(1058,'Transfer Engine'!$C$2:$C$1369,0)),"",INDEX('Compliance Database'!$A$2:$A$1369,MATCH(1058,'Transfer Engine'!$C$2:$C$1369,0)))</f>
        <v/>
      </c>
      <c r="B1067" s="8">
        <f>IF(ISNA(MATCH(1058,'Transfer Engine'!$C$2:$C$1369,0)),"",INDEX('Compliance Database'!$B$2:$B$1369,MATCH(1058,'Transfer Engine'!$C$2:$C$1369,0)))</f>
        <v/>
      </c>
      <c r="C1067" s="8">
        <f>IF(ISNA(MATCH(1058,'Transfer Engine'!$C$2:$C$1369,0)),"",INDEX('Compliance Database'!$C$2:$C$1369,MATCH(1058,'Transfer Engine'!$C$2:$C$1369,0)))</f>
        <v/>
      </c>
      <c r="D1067" s="9">
        <f>IF(ISNA(MATCH(1058,'Transfer Engine'!$C$2:$C$1369,0)),"",INDEX('Compliance Database'!$D$2:$D$1369,MATCH(1058,'Transfer Engine'!$C$2:$C$1369,0)))</f>
        <v/>
      </c>
      <c r="E1067" s="8">
        <f>IF(ISNA(MATCH(1058,'Transfer Engine'!$C$2:$C$1369,0)),"",INDEX('Compliance Database'!$E$2:$E$1369,MATCH(1058,'Transfer Engine'!$C$2:$C$1369,0)))</f>
        <v/>
      </c>
      <c r="F1067" s="8">
        <f>IF(ISNA(MATCH(1058,'Transfer Engine'!$C$2:$C$1369,0)),"",INDEX('Compliance Database'!$F$2:$F$1369,MATCH(1058,'Transfer Engine'!$C$2:$C$1369,0)))</f>
        <v/>
      </c>
      <c r="G1067" s="8">
        <f>IF(ISNA(MATCH(1058,'Transfer Engine'!$C$2:$C$1369,0)),"",INDEX('Compliance Database'!$G$2:$G$1369,MATCH(1058,'Transfer Engine'!$C$2:$C$1369,0)))</f>
        <v/>
      </c>
      <c r="H1067" s="9">
        <f>IF(ISNA(MATCH(1058,'Transfer Engine'!$C$2:$C$1369,0)),"",INDEX('Compliance Database'!$H$2:$H$1369,MATCH(1058,'Transfer Engine'!$C$2:$C$1369,0)))</f>
        <v/>
      </c>
      <c r="I1067" s="9">
        <f>IF(ISNA(MATCH(1058,'Transfer Engine'!$C$2:$C$1369,0)),"",INDEX('Compliance Database'!$I$2:$I$1369,MATCH(1058,'Transfer Engine'!$C$2:$C$1369,0)))</f>
        <v/>
      </c>
      <c r="J1067" s="8">
        <f>IF(ISNA(MATCH(1058,'Transfer Engine'!$C$2:$C$1369,0)),"",INDEX('Compliance Database'!$J$2:$J$1369,MATCH(1058,'Transfer Engine'!$C$2:$C$1369,0)))</f>
        <v/>
      </c>
      <c r="K1067" s="9">
        <f>IF(ISNA(MATCH(1058,'Transfer Engine'!$C$2:$C$1369,0)),"",INDEX('Compliance Database'!$K$2:$K$1369,MATCH(1058,'Transfer Engine'!$C$2:$C$1369,0)))</f>
        <v/>
      </c>
      <c r="L1067" s="9">
        <f>IF(ISNA(MATCH(1058,'Transfer Engine'!$C$2:$C$1369,0)),"",INDEX('Compliance Database'!$L$2:$L$1369,MATCH(1058,'Transfer Engine'!$C$2:$C$1369,0)))</f>
        <v/>
      </c>
      <c r="M1067" s="9">
        <f>IF(ISNA(MATCH(1058,'Transfer Engine'!$C$2:$C$1369,0)),"",INDEX('Compliance Database'!$M$2:$M$1369,MATCH(1058,'Transfer Engine'!$C$2:$C$1369,0)))</f>
        <v/>
      </c>
      <c r="N1067" s="9">
        <f>IF(ISNA(MATCH(1058,'Transfer Engine'!$C$2:$C$1369,0)),"",INDEX('Compliance Database'!$N$2:$N$1369,MATCH(1058,'Transfer Engine'!$C$2:$C$1369,0)))</f>
        <v/>
      </c>
      <c r="O1067" s="8">
        <f>IF(ISNA(MATCH(1058,'Transfer Engine'!$C$2:$C$1369,0)),"",HYPERLINK(INDEX('Compliance Database'!$O$2:$O$1369,MATCH(1058,'Transfer Engine'!$C$2:$C$1369,0)),"Open PDF"))</f>
        <v/>
      </c>
    </row>
    <row r="1068" ht="188" customHeight="1">
      <c r="A1068" s="8">
        <f>IF(ISNA(MATCH(1059,'Transfer Engine'!$C$2:$C$1369,0)),"",INDEX('Compliance Database'!$A$2:$A$1369,MATCH(1059,'Transfer Engine'!$C$2:$C$1369,0)))</f>
        <v/>
      </c>
      <c r="B1068" s="8">
        <f>IF(ISNA(MATCH(1059,'Transfer Engine'!$C$2:$C$1369,0)),"",INDEX('Compliance Database'!$B$2:$B$1369,MATCH(1059,'Transfer Engine'!$C$2:$C$1369,0)))</f>
        <v/>
      </c>
      <c r="C1068" s="8">
        <f>IF(ISNA(MATCH(1059,'Transfer Engine'!$C$2:$C$1369,0)),"",INDEX('Compliance Database'!$C$2:$C$1369,MATCH(1059,'Transfer Engine'!$C$2:$C$1369,0)))</f>
        <v/>
      </c>
      <c r="D1068" s="9">
        <f>IF(ISNA(MATCH(1059,'Transfer Engine'!$C$2:$C$1369,0)),"",INDEX('Compliance Database'!$D$2:$D$1369,MATCH(1059,'Transfer Engine'!$C$2:$C$1369,0)))</f>
        <v/>
      </c>
      <c r="E1068" s="8">
        <f>IF(ISNA(MATCH(1059,'Transfer Engine'!$C$2:$C$1369,0)),"",INDEX('Compliance Database'!$E$2:$E$1369,MATCH(1059,'Transfer Engine'!$C$2:$C$1369,0)))</f>
        <v/>
      </c>
      <c r="F1068" s="8">
        <f>IF(ISNA(MATCH(1059,'Transfer Engine'!$C$2:$C$1369,0)),"",INDEX('Compliance Database'!$F$2:$F$1369,MATCH(1059,'Transfer Engine'!$C$2:$C$1369,0)))</f>
        <v/>
      </c>
      <c r="G1068" s="8">
        <f>IF(ISNA(MATCH(1059,'Transfer Engine'!$C$2:$C$1369,0)),"",INDEX('Compliance Database'!$G$2:$G$1369,MATCH(1059,'Transfer Engine'!$C$2:$C$1369,0)))</f>
        <v/>
      </c>
      <c r="H1068" s="9">
        <f>IF(ISNA(MATCH(1059,'Transfer Engine'!$C$2:$C$1369,0)),"",INDEX('Compliance Database'!$H$2:$H$1369,MATCH(1059,'Transfer Engine'!$C$2:$C$1369,0)))</f>
        <v/>
      </c>
      <c r="I1068" s="9">
        <f>IF(ISNA(MATCH(1059,'Transfer Engine'!$C$2:$C$1369,0)),"",INDEX('Compliance Database'!$I$2:$I$1369,MATCH(1059,'Transfer Engine'!$C$2:$C$1369,0)))</f>
        <v/>
      </c>
      <c r="J1068" s="8">
        <f>IF(ISNA(MATCH(1059,'Transfer Engine'!$C$2:$C$1369,0)),"",INDEX('Compliance Database'!$J$2:$J$1369,MATCH(1059,'Transfer Engine'!$C$2:$C$1369,0)))</f>
        <v/>
      </c>
      <c r="K1068" s="9">
        <f>IF(ISNA(MATCH(1059,'Transfer Engine'!$C$2:$C$1369,0)),"",INDEX('Compliance Database'!$K$2:$K$1369,MATCH(1059,'Transfer Engine'!$C$2:$C$1369,0)))</f>
        <v/>
      </c>
      <c r="L1068" s="9">
        <f>IF(ISNA(MATCH(1059,'Transfer Engine'!$C$2:$C$1369,0)),"",INDEX('Compliance Database'!$L$2:$L$1369,MATCH(1059,'Transfer Engine'!$C$2:$C$1369,0)))</f>
        <v/>
      </c>
      <c r="M1068" s="9">
        <f>IF(ISNA(MATCH(1059,'Transfer Engine'!$C$2:$C$1369,0)),"",INDEX('Compliance Database'!$M$2:$M$1369,MATCH(1059,'Transfer Engine'!$C$2:$C$1369,0)))</f>
        <v/>
      </c>
      <c r="N1068" s="9">
        <f>IF(ISNA(MATCH(1059,'Transfer Engine'!$C$2:$C$1369,0)),"",INDEX('Compliance Database'!$N$2:$N$1369,MATCH(1059,'Transfer Engine'!$C$2:$C$1369,0)))</f>
        <v/>
      </c>
      <c r="O1068" s="8">
        <f>IF(ISNA(MATCH(1059,'Transfer Engine'!$C$2:$C$1369,0)),"",HYPERLINK(INDEX('Compliance Database'!$O$2:$O$1369,MATCH(1059,'Transfer Engine'!$C$2:$C$1369,0)),"Open PDF"))</f>
        <v/>
      </c>
    </row>
    <row r="1069" ht="188" customHeight="1">
      <c r="A1069" s="8">
        <f>IF(ISNA(MATCH(1060,'Transfer Engine'!$C$2:$C$1369,0)),"",INDEX('Compliance Database'!$A$2:$A$1369,MATCH(1060,'Transfer Engine'!$C$2:$C$1369,0)))</f>
        <v/>
      </c>
      <c r="B1069" s="8">
        <f>IF(ISNA(MATCH(1060,'Transfer Engine'!$C$2:$C$1369,0)),"",INDEX('Compliance Database'!$B$2:$B$1369,MATCH(1060,'Transfer Engine'!$C$2:$C$1369,0)))</f>
        <v/>
      </c>
      <c r="C1069" s="8">
        <f>IF(ISNA(MATCH(1060,'Transfer Engine'!$C$2:$C$1369,0)),"",INDEX('Compliance Database'!$C$2:$C$1369,MATCH(1060,'Transfer Engine'!$C$2:$C$1369,0)))</f>
        <v/>
      </c>
      <c r="D1069" s="9">
        <f>IF(ISNA(MATCH(1060,'Transfer Engine'!$C$2:$C$1369,0)),"",INDEX('Compliance Database'!$D$2:$D$1369,MATCH(1060,'Transfer Engine'!$C$2:$C$1369,0)))</f>
        <v/>
      </c>
      <c r="E1069" s="8">
        <f>IF(ISNA(MATCH(1060,'Transfer Engine'!$C$2:$C$1369,0)),"",INDEX('Compliance Database'!$E$2:$E$1369,MATCH(1060,'Transfer Engine'!$C$2:$C$1369,0)))</f>
        <v/>
      </c>
      <c r="F1069" s="8">
        <f>IF(ISNA(MATCH(1060,'Transfer Engine'!$C$2:$C$1369,0)),"",INDEX('Compliance Database'!$F$2:$F$1369,MATCH(1060,'Transfer Engine'!$C$2:$C$1369,0)))</f>
        <v/>
      </c>
      <c r="G1069" s="8">
        <f>IF(ISNA(MATCH(1060,'Transfer Engine'!$C$2:$C$1369,0)),"",INDEX('Compliance Database'!$G$2:$G$1369,MATCH(1060,'Transfer Engine'!$C$2:$C$1369,0)))</f>
        <v/>
      </c>
      <c r="H1069" s="9">
        <f>IF(ISNA(MATCH(1060,'Transfer Engine'!$C$2:$C$1369,0)),"",INDEX('Compliance Database'!$H$2:$H$1369,MATCH(1060,'Transfer Engine'!$C$2:$C$1369,0)))</f>
        <v/>
      </c>
      <c r="I1069" s="9">
        <f>IF(ISNA(MATCH(1060,'Transfer Engine'!$C$2:$C$1369,0)),"",INDEX('Compliance Database'!$I$2:$I$1369,MATCH(1060,'Transfer Engine'!$C$2:$C$1369,0)))</f>
        <v/>
      </c>
      <c r="J1069" s="8">
        <f>IF(ISNA(MATCH(1060,'Transfer Engine'!$C$2:$C$1369,0)),"",INDEX('Compliance Database'!$J$2:$J$1369,MATCH(1060,'Transfer Engine'!$C$2:$C$1369,0)))</f>
        <v/>
      </c>
      <c r="K1069" s="9">
        <f>IF(ISNA(MATCH(1060,'Transfer Engine'!$C$2:$C$1369,0)),"",INDEX('Compliance Database'!$K$2:$K$1369,MATCH(1060,'Transfer Engine'!$C$2:$C$1369,0)))</f>
        <v/>
      </c>
      <c r="L1069" s="9">
        <f>IF(ISNA(MATCH(1060,'Transfer Engine'!$C$2:$C$1369,0)),"",INDEX('Compliance Database'!$L$2:$L$1369,MATCH(1060,'Transfer Engine'!$C$2:$C$1369,0)))</f>
        <v/>
      </c>
      <c r="M1069" s="9">
        <f>IF(ISNA(MATCH(1060,'Transfer Engine'!$C$2:$C$1369,0)),"",INDEX('Compliance Database'!$M$2:$M$1369,MATCH(1060,'Transfer Engine'!$C$2:$C$1369,0)))</f>
        <v/>
      </c>
      <c r="N1069" s="9">
        <f>IF(ISNA(MATCH(1060,'Transfer Engine'!$C$2:$C$1369,0)),"",INDEX('Compliance Database'!$N$2:$N$1369,MATCH(1060,'Transfer Engine'!$C$2:$C$1369,0)))</f>
        <v/>
      </c>
      <c r="O1069" s="8">
        <f>IF(ISNA(MATCH(1060,'Transfer Engine'!$C$2:$C$1369,0)),"",HYPERLINK(INDEX('Compliance Database'!$O$2:$O$1369,MATCH(1060,'Transfer Engine'!$C$2:$C$1369,0)),"Open PDF"))</f>
        <v/>
      </c>
    </row>
    <row r="1070" ht="188" customHeight="1">
      <c r="A1070" s="8">
        <f>IF(ISNA(MATCH(1061,'Transfer Engine'!$C$2:$C$1369,0)),"",INDEX('Compliance Database'!$A$2:$A$1369,MATCH(1061,'Transfer Engine'!$C$2:$C$1369,0)))</f>
        <v/>
      </c>
      <c r="B1070" s="8">
        <f>IF(ISNA(MATCH(1061,'Transfer Engine'!$C$2:$C$1369,0)),"",INDEX('Compliance Database'!$B$2:$B$1369,MATCH(1061,'Transfer Engine'!$C$2:$C$1369,0)))</f>
        <v/>
      </c>
      <c r="C1070" s="8">
        <f>IF(ISNA(MATCH(1061,'Transfer Engine'!$C$2:$C$1369,0)),"",INDEX('Compliance Database'!$C$2:$C$1369,MATCH(1061,'Transfer Engine'!$C$2:$C$1369,0)))</f>
        <v/>
      </c>
      <c r="D1070" s="9">
        <f>IF(ISNA(MATCH(1061,'Transfer Engine'!$C$2:$C$1369,0)),"",INDEX('Compliance Database'!$D$2:$D$1369,MATCH(1061,'Transfer Engine'!$C$2:$C$1369,0)))</f>
        <v/>
      </c>
      <c r="E1070" s="8">
        <f>IF(ISNA(MATCH(1061,'Transfer Engine'!$C$2:$C$1369,0)),"",INDEX('Compliance Database'!$E$2:$E$1369,MATCH(1061,'Transfer Engine'!$C$2:$C$1369,0)))</f>
        <v/>
      </c>
      <c r="F1070" s="8">
        <f>IF(ISNA(MATCH(1061,'Transfer Engine'!$C$2:$C$1369,0)),"",INDEX('Compliance Database'!$F$2:$F$1369,MATCH(1061,'Transfer Engine'!$C$2:$C$1369,0)))</f>
        <v/>
      </c>
      <c r="G1070" s="8">
        <f>IF(ISNA(MATCH(1061,'Transfer Engine'!$C$2:$C$1369,0)),"",INDEX('Compliance Database'!$G$2:$G$1369,MATCH(1061,'Transfer Engine'!$C$2:$C$1369,0)))</f>
        <v/>
      </c>
      <c r="H1070" s="9">
        <f>IF(ISNA(MATCH(1061,'Transfer Engine'!$C$2:$C$1369,0)),"",INDEX('Compliance Database'!$H$2:$H$1369,MATCH(1061,'Transfer Engine'!$C$2:$C$1369,0)))</f>
        <v/>
      </c>
      <c r="I1070" s="9">
        <f>IF(ISNA(MATCH(1061,'Transfer Engine'!$C$2:$C$1369,0)),"",INDEX('Compliance Database'!$I$2:$I$1369,MATCH(1061,'Transfer Engine'!$C$2:$C$1369,0)))</f>
        <v/>
      </c>
      <c r="J1070" s="8">
        <f>IF(ISNA(MATCH(1061,'Transfer Engine'!$C$2:$C$1369,0)),"",INDEX('Compliance Database'!$J$2:$J$1369,MATCH(1061,'Transfer Engine'!$C$2:$C$1369,0)))</f>
        <v/>
      </c>
      <c r="K1070" s="9">
        <f>IF(ISNA(MATCH(1061,'Transfer Engine'!$C$2:$C$1369,0)),"",INDEX('Compliance Database'!$K$2:$K$1369,MATCH(1061,'Transfer Engine'!$C$2:$C$1369,0)))</f>
        <v/>
      </c>
      <c r="L1070" s="9">
        <f>IF(ISNA(MATCH(1061,'Transfer Engine'!$C$2:$C$1369,0)),"",INDEX('Compliance Database'!$L$2:$L$1369,MATCH(1061,'Transfer Engine'!$C$2:$C$1369,0)))</f>
        <v/>
      </c>
      <c r="M1070" s="9">
        <f>IF(ISNA(MATCH(1061,'Transfer Engine'!$C$2:$C$1369,0)),"",INDEX('Compliance Database'!$M$2:$M$1369,MATCH(1061,'Transfer Engine'!$C$2:$C$1369,0)))</f>
        <v/>
      </c>
      <c r="N1070" s="9">
        <f>IF(ISNA(MATCH(1061,'Transfer Engine'!$C$2:$C$1369,0)),"",INDEX('Compliance Database'!$N$2:$N$1369,MATCH(1061,'Transfer Engine'!$C$2:$C$1369,0)))</f>
        <v/>
      </c>
      <c r="O1070" s="8">
        <f>IF(ISNA(MATCH(1061,'Transfer Engine'!$C$2:$C$1369,0)),"",HYPERLINK(INDEX('Compliance Database'!$O$2:$O$1369,MATCH(1061,'Transfer Engine'!$C$2:$C$1369,0)),"Open PDF"))</f>
        <v/>
      </c>
    </row>
    <row r="1071" ht="188" customHeight="1">
      <c r="A1071" s="8">
        <f>IF(ISNA(MATCH(1062,'Transfer Engine'!$C$2:$C$1369,0)),"",INDEX('Compliance Database'!$A$2:$A$1369,MATCH(1062,'Transfer Engine'!$C$2:$C$1369,0)))</f>
        <v/>
      </c>
      <c r="B1071" s="8">
        <f>IF(ISNA(MATCH(1062,'Transfer Engine'!$C$2:$C$1369,0)),"",INDEX('Compliance Database'!$B$2:$B$1369,MATCH(1062,'Transfer Engine'!$C$2:$C$1369,0)))</f>
        <v/>
      </c>
      <c r="C1071" s="8">
        <f>IF(ISNA(MATCH(1062,'Transfer Engine'!$C$2:$C$1369,0)),"",INDEX('Compliance Database'!$C$2:$C$1369,MATCH(1062,'Transfer Engine'!$C$2:$C$1369,0)))</f>
        <v/>
      </c>
      <c r="D1071" s="9">
        <f>IF(ISNA(MATCH(1062,'Transfer Engine'!$C$2:$C$1369,0)),"",INDEX('Compliance Database'!$D$2:$D$1369,MATCH(1062,'Transfer Engine'!$C$2:$C$1369,0)))</f>
        <v/>
      </c>
      <c r="E1071" s="8">
        <f>IF(ISNA(MATCH(1062,'Transfer Engine'!$C$2:$C$1369,0)),"",INDEX('Compliance Database'!$E$2:$E$1369,MATCH(1062,'Transfer Engine'!$C$2:$C$1369,0)))</f>
        <v/>
      </c>
      <c r="F1071" s="8">
        <f>IF(ISNA(MATCH(1062,'Transfer Engine'!$C$2:$C$1369,0)),"",INDEX('Compliance Database'!$F$2:$F$1369,MATCH(1062,'Transfer Engine'!$C$2:$C$1369,0)))</f>
        <v/>
      </c>
      <c r="G1071" s="8">
        <f>IF(ISNA(MATCH(1062,'Transfer Engine'!$C$2:$C$1369,0)),"",INDEX('Compliance Database'!$G$2:$G$1369,MATCH(1062,'Transfer Engine'!$C$2:$C$1369,0)))</f>
        <v/>
      </c>
      <c r="H1071" s="9">
        <f>IF(ISNA(MATCH(1062,'Transfer Engine'!$C$2:$C$1369,0)),"",INDEX('Compliance Database'!$H$2:$H$1369,MATCH(1062,'Transfer Engine'!$C$2:$C$1369,0)))</f>
        <v/>
      </c>
      <c r="I1071" s="9">
        <f>IF(ISNA(MATCH(1062,'Transfer Engine'!$C$2:$C$1369,0)),"",INDEX('Compliance Database'!$I$2:$I$1369,MATCH(1062,'Transfer Engine'!$C$2:$C$1369,0)))</f>
        <v/>
      </c>
      <c r="J1071" s="8">
        <f>IF(ISNA(MATCH(1062,'Transfer Engine'!$C$2:$C$1369,0)),"",INDEX('Compliance Database'!$J$2:$J$1369,MATCH(1062,'Transfer Engine'!$C$2:$C$1369,0)))</f>
        <v/>
      </c>
      <c r="K1071" s="9">
        <f>IF(ISNA(MATCH(1062,'Transfer Engine'!$C$2:$C$1369,0)),"",INDEX('Compliance Database'!$K$2:$K$1369,MATCH(1062,'Transfer Engine'!$C$2:$C$1369,0)))</f>
        <v/>
      </c>
      <c r="L1071" s="9">
        <f>IF(ISNA(MATCH(1062,'Transfer Engine'!$C$2:$C$1369,0)),"",INDEX('Compliance Database'!$L$2:$L$1369,MATCH(1062,'Transfer Engine'!$C$2:$C$1369,0)))</f>
        <v/>
      </c>
      <c r="M1071" s="9">
        <f>IF(ISNA(MATCH(1062,'Transfer Engine'!$C$2:$C$1369,0)),"",INDEX('Compliance Database'!$M$2:$M$1369,MATCH(1062,'Transfer Engine'!$C$2:$C$1369,0)))</f>
        <v/>
      </c>
      <c r="N1071" s="9">
        <f>IF(ISNA(MATCH(1062,'Transfer Engine'!$C$2:$C$1369,0)),"",INDEX('Compliance Database'!$N$2:$N$1369,MATCH(1062,'Transfer Engine'!$C$2:$C$1369,0)))</f>
        <v/>
      </c>
      <c r="O1071" s="8">
        <f>IF(ISNA(MATCH(1062,'Transfer Engine'!$C$2:$C$1369,0)),"",HYPERLINK(INDEX('Compliance Database'!$O$2:$O$1369,MATCH(1062,'Transfer Engine'!$C$2:$C$1369,0)),"Open PDF"))</f>
        <v/>
      </c>
    </row>
    <row r="1072" ht="188" customHeight="1">
      <c r="A1072" s="8">
        <f>IF(ISNA(MATCH(1063,'Transfer Engine'!$C$2:$C$1369,0)),"",INDEX('Compliance Database'!$A$2:$A$1369,MATCH(1063,'Transfer Engine'!$C$2:$C$1369,0)))</f>
        <v/>
      </c>
      <c r="B1072" s="8">
        <f>IF(ISNA(MATCH(1063,'Transfer Engine'!$C$2:$C$1369,0)),"",INDEX('Compliance Database'!$B$2:$B$1369,MATCH(1063,'Transfer Engine'!$C$2:$C$1369,0)))</f>
        <v/>
      </c>
      <c r="C1072" s="8">
        <f>IF(ISNA(MATCH(1063,'Transfer Engine'!$C$2:$C$1369,0)),"",INDEX('Compliance Database'!$C$2:$C$1369,MATCH(1063,'Transfer Engine'!$C$2:$C$1369,0)))</f>
        <v/>
      </c>
      <c r="D1072" s="9">
        <f>IF(ISNA(MATCH(1063,'Transfer Engine'!$C$2:$C$1369,0)),"",INDEX('Compliance Database'!$D$2:$D$1369,MATCH(1063,'Transfer Engine'!$C$2:$C$1369,0)))</f>
        <v/>
      </c>
      <c r="E1072" s="8">
        <f>IF(ISNA(MATCH(1063,'Transfer Engine'!$C$2:$C$1369,0)),"",INDEX('Compliance Database'!$E$2:$E$1369,MATCH(1063,'Transfer Engine'!$C$2:$C$1369,0)))</f>
        <v/>
      </c>
      <c r="F1072" s="8">
        <f>IF(ISNA(MATCH(1063,'Transfer Engine'!$C$2:$C$1369,0)),"",INDEX('Compliance Database'!$F$2:$F$1369,MATCH(1063,'Transfer Engine'!$C$2:$C$1369,0)))</f>
        <v/>
      </c>
      <c r="G1072" s="8">
        <f>IF(ISNA(MATCH(1063,'Transfer Engine'!$C$2:$C$1369,0)),"",INDEX('Compliance Database'!$G$2:$G$1369,MATCH(1063,'Transfer Engine'!$C$2:$C$1369,0)))</f>
        <v/>
      </c>
      <c r="H1072" s="9">
        <f>IF(ISNA(MATCH(1063,'Transfer Engine'!$C$2:$C$1369,0)),"",INDEX('Compliance Database'!$H$2:$H$1369,MATCH(1063,'Transfer Engine'!$C$2:$C$1369,0)))</f>
        <v/>
      </c>
      <c r="I1072" s="9">
        <f>IF(ISNA(MATCH(1063,'Transfer Engine'!$C$2:$C$1369,0)),"",INDEX('Compliance Database'!$I$2:$I$1369,MATCH(1063,'Transfer Engine'!$C$2:$C$1369,0)))</f>
        <v/>
      </c>
      <c r="J1072" s="8">
        <f>IF(ISNA(MATCH(1063,'Transfer Engine'!$C$2:$C$1369,0)),"",INDEX('Compliance Database'!$J$2:$J$1369,MATCH(1063,'Transfer Engine'!$C$2:$C$1369,0)))</f>
        <v/>
      </c>
      <c r="K1072" s="9">
        <f>IF(ISNA(MATCH(1063,'Transfer Engine'!$C$2:$C$1369,0)),"",INDEX('Compliance Database'!$K$2:$K$1369,MATCH(1063,'Transfer Engine'!$C$2:$C$1369,0)))</f>
        <v/>
      </c>
      <c r="L1072" s="9">
        <f>IF(ISNA(MATCH(1063,'Transfer Engine'!$C$2:$C$1369,0)),"",INDEX('Compliance Database'!$L$2:$L$1369,MATCH(1063,'Transfer Engine'!$C$2:$C$1369,0)))</f>
        <v/>
      </c>
      <c r="M1072" s="9">
        <f>IF(ISNA(MATCH(1063,'Transfer Engine'!$C$2:$C$1369,0)),"",INDEX('Compliance Database'!$M$2:$M$1369,MATCH(1063,'Transfer Engine'!$C$2:$C$1369,0)))</f>
        <v/>
      </c>
      <c r="N1072" s="9">
        <f>IF(ISNA(MATCH(1063,'Transfer Engine'!$C$2:$C$1369,0)),"",INDEX('Compliance Database'!$N$2:$N$1369,MATCH(1063,'Transfer Engine'!$C$2:$C$1369,0)))</f>
        <v/>
      </c>
      <c r="O1072" s="8">
        <f>IF(ISNA(MATCH(1063,'Transfer Engine'!$C$2:$C$1369,0)),"",HYPERLINK(INDEX('Compliance Database'!$O$2:$O$1369,MATCH(1063,'Transfer Engine'!$C$2:$C$1369,0)),"Open PDF"))</f>
        <v/>
      </c>
    </row>
    <row r="1073" ht="188" customHeight="1">
      <c r="A1073" s="8">
        <f>IF(ISNA(MATCH(1064,'Transfer Engine'!$C$2:$C$1369,0)),"",INDEX('Compliance Database'!$A$2:$A$1369,MATCH(1064,'Transfer Engine'!$C$2:$C$1369,0)))</f>
        <v/>
      </c>
      <c r="B1073" s="8">
        <f>IF(ISNA(MATCH(1064,'Transfer Engine'!$C$2:$C$1369,0)),"",INDEX('Compliance Database'!$B$2:$B$1369,MATCH(1064,'Transfer Engine'!$C$2:$C$1369,0)))</f>
        <v/>
      </c>
      <c r="C1073" s="8">
        <f>IF(ISNA(MATCH(1064,'Transfer Engine'!$C$2:$C$1369,0)),"",INDEX('Compliance Database'!$C$2:$C$1369,MATCH(1064,'Transfer Engine'!$C$2:$C$1369,0)))</f>
        <v/>
      </c>
      <c r="D1073" s="9">
        <f>IF(ISNA(MATCH(1064,'Transfer Engine'!$C$2:$C$1369,0)),"",INDEX('Compliance Database'!$D$2:$D$1369,MATCH(1064,'Transfer Engine'!$C$2:$C$1369,0)))</f>
        <v/>
      </c>
      <c r="E1073" s="8">
        <f>IF(ISNA(MATCH(1064,'Transfer Engine'!$C$2:$C$1369,0)),"",INDEX('Compliance Database'!$E$2:$E$1369,MATCH(1064,'Transfer Engine'!$C$2:$C$1369,0)))</f>
        <v/>
      </c>
      <c r="F1073" s="8">
        <f>IF(ISNA(MATCH(1064,'Transfer Engine'!$C$2:$C$1369,0)),"",INDEX('Compliance Database'!$F$2:$F$1369,MATCH(1064,'Transfer Engine'!$C$2:$C$1369,0)))</f>
        <v/>
      </c>
      <c r="G1073" s="8">
        <f>IF(ISNA(MATCH(1064,'Transfer Engine'!$C$2:$C$1369,0)),"",INDEX('Compliance Database'!$G$2:$G$1369,MATCH(1064,'Transfer Engine'!$C$2:$C$1369,0)))</f>
        <v/>
      </c>
      <c r="H1073" s="9">
        <f>IF(ISNA(MATCH(1064,'Transfer Engine'!$C$2:$C$1369,0)),"",INDEX('Compliance Database'!$H$2:$H$1369,MATCH(1064,'Transfer Engine'!$C$2:$C$1369,0)))</f>
        <v/>
      </c>
      <c r="I1073" s="9">
        <f>IF(ISNA(MATCH(1064,'Transfer Engine'!$C$2:$C$1369,0)),"",INDEX('Compliance Database'!$I$2:$I$1369,MATCH(1064,'Transfer Engine'!$C$2:$C$1369,0)))</f>
        <v/>
      </c>
      <c r="J1073" s="8">
        <f>IF(ISNA(MATCH(1064,'Transfer Engine'!$C$2:$C$1369,0)),"",INDEX('Compliance Database'!$J$2:$J$1369,MATCH(1064,'Transfer Engine'!$C$2:$C$1369,0)))</f>
        <v/>
      </c>
      <c r="K1073" s="9">
        <f>IF(ISNA(MATCH(1064,'Transfer Engine'!$C$2:$C$1369,0)),"",INDEX('Compliance Database'!$K$2:$K$1369,MATCH(1064,'Transfer Engine'!$C$2:$C$1369,0)))</f>
        <v/>
      </c>
      <c r="L1073" s="9">
        <f>IF(ISNA(MATCH(1064,'Transfer Engine'!$C$2:$C$1369,0)),"",INDEX('Compliance Database'!$L$2:$L$1369,MATCH(1064,'Transfer Engine'!$C$2:$C$1369,0)))</f>
        <v/>
      </c>
      <c r="M1073" s="9">
        <f>IF(ISNA(MATCH(1064,'Transfer Engine'!$C$2:$C$1369,0)),"",INDEX('Compliance Database'!$M$2:$M$1369,MATCH(1064,'Transfer Engine'!$C$2:$C$1369,0)))</f>
        <v/>
      </c>
      <c r="N1073" s="9">
        <f>IF(ISNA(MATCH(1064,'Transfer Engine'!$C$2:$C$1369,0)),"",INDEX('Compliance Database'!$N$2:$N$1369,MATCH(1064,'Transfer Engine'!$C$2:$C$1369,0)))</f>
        <v/>
      </c>
      <c r="O1073" s="8">
        <f>IF(ISNA(MATCH(1064,'Transfer Engine'!$C$2:$C$1369,0)),"",HYPERLINK(INDEX('Compliance Database'!$O$2:$O$1369,MATCH(1064,'Transfer Engine'!$C$2:$C$1369,0)),"Open PDF"))</f>
        <v/>
      </c>
    </row>
    <row r="1074" ht="188" customHeight="1">
      <c r="A1074" s="8">
        <f>IF(ISNA(MATCH(1065,'Transfer Engine'!$C$2:$C$1369,0)),"",INDEX('Compliance Database'!$A$2:$A$1369,MATCH(1065,'Transfer Engine'!$C$2:$C$1369,0)))</f>
        <v/>
      </c>
      <c r="B1074" s="8">
        <f>IF(ISNA(MATCH(1065,'Transfer Engine'!$C$2:$C$1369,0)),"",INDEX('Compliance Database'!$B$2:$B$1369,MATCH(1065,'Transfer Engine'!$C$2:$C$1369,0)))</f>
        <v/>
      </c>
      <c r="C1074" s="8">
        <f>IF(ISNA(MATCH(1065,'Transfer Engine'!$C$2:$C$1369,0)),"",INDEX('Compliance Database'!$C$2:$C$1369,MATCH(1065,'Transfer Engine'!$C$2:$C$1369,0)))</f>
        <v/>
      </c>
      <c r="D1074" s="9">
        <f>IF(ISNA(MATCH(1065,'Transfer Engine'!$C$2:$C$1369,0)),"",INDEX('Compliance Database'!$D$2:$D$1369,MATCH(1065,'Transfer Engine'!$C$2:$C$1369,0)))</f>
        <v/>
      </c>
      <c r="E1074" s="8">
        <f>IF(ISNA(MATCH(1065,'Transfer Engine'!$C$2:$C$1369,0)),"",INDEX('Compliance Database'!$E$2:$E$1369,MATCH(1065,'Transfer Engine'!$C$2:$C$1369,0)))</f>
        <v/>
      </c>
      <c r="F1074" s="8">
        <f>IF(ISNA(MATCH(1065,'Transfer Engine'!$C$2:$C$1369,0)),"",INDEX('Compliance Database'!$F$2:$F$1369,MATCH(1065,'Transfer Engine'!$C$2:$C$1369,0)))</f>
        <v/>
      </c>
      <c r="G1074" s="8">
        <f>IF(ISNA(MATCH(1065,'Transfer Engine'!$C$2:$C$1369,0)),"",INDEX('Compliance Database'!$G$2:$G$1369,MATCH(1065,'Transfer Engine'!$C$2:$C$1369,0)))</f>
        <v/>
      </c>
      <c r="H1074" s="9">
        <f>IF(ISNA(MATCH(1065,'Transfer Engine'!$C$2:$C$1369,0)),"",INDEX('Compliance Database'!$H$2:$H$1369,MATCH(1065,'Transfer Engine'!$C$2:$C$1369,0)))</f>
        <v/>
      </c>
      <c r="I1074" s="9">
        <f>IF(ISNA(MATCH(1065,'Transfer Engine'!$C$2:$C$1369,0)),"",INDEX('Compliance Database'!$I$2:$I$1369,MATCH(1065,'Transfer Engine'!$C$2:$C$1369,0)))</f>
        <v/>
      </c>
      <c r="J1074" s="8">
        <f>IF(ISNA(MATCH(1065,'Transfer Engine'!$C$2:$C$1369,0)),"",INDEX('Compliance Database'!$J$2:$J$1369,MATCH(1065,'Transfer Engine'!$C$2:$C$1369,0)))</f>
        <v/>
      </c>
      <c r="K1074" s="9">
        <f>IF(ISNA(MATCH(1065,'Transfer Engine'!$C$2:$C$1369,0)),"",INDEX('Compliance Database'!$K$2:$K$1369,MATCH(1065,'Transfer Engine'!$C$2:$C$1369,0)))</f>
        <v/>
      </c>
      <c r="L1074" s="9">
        <f>IF(ISNA(MATCH(1065,'Transfer Engine'!$C$2:$C$1369,0)),"",INDEX('Compliance Database'!$L$2:$L$1369,MATCH(1065,'Transfer Engine'!$C$2:$C$1369,0)))</f>
        <v/>
      </c>
      <c r="M1074" s="9">
        <f>IF(ISNA(MATCH(1065,'Transfer Engine'!$C$2:$C$1369,0)),"",INDEX('Compliance Database'!$M$2:$M$1369,MATCH(1065,'Transfer Engine'!$C$2:$C$1369,0)))</f>
        <v/>
      </c>
      <c r="N1074" s="9">
        <f>IF(ISNA(MATCH(1065,'Transfer Engine'!$C$2:$C$1369,0)),"",INDEX('Compliance Database'!$N$2:$N$1369,MATCH(1065,'Transfer Engine'!$C$2:$C$1369,0)))</f>
        <v/>
      </c>
      <c r="O1074" s="8">
        <f>IF(ISNA(MATCH(1065,'Transfer Engine'!$C$2:$C$1369,0)),"",HYPERLINK(INDEX('Compliance Database'!$O$2:$O$1369,MATCH(1065,'Transfer Engine'!$C$2:$C$1369,0)),"Open PDF"))</f>
        <v/>
      </c>
    </row>
    <row r="1075" ht="188" customHeight="1">
      <c r="A1075" s="8">
        <f>IF(ISNA(MATCH(1066,'Transfer Engine'!$C$2:$C$1369,0)),"",INDEX('Compliance Database'!$A$2:$A$1369,MATCH(1066,'Transfer Engine'!$C$2:$C$1369,0)))</f>
        <v/>
      </c>
      <c r="B1075" s="8">
        <f>IF(ISNA(MATCH(1066,'Transfer Engine'!$C$2:$C$1369,0)),"",INDEX('Compliance Database'!$B$2:$B$1369,MATCH(1066,'Transfer Engine'!$C$2:$C$1369,0)))</f>
        <v/>
      </c>
      <c r="C1075" s="8">
        <f>IF(ISNA(MATCH(1066,'Transfer Engine'!$C$2:$C$1369,0)),"",INDEX('Compliance Database'!$C$2:$C$1369,MATCH(1066,'Transfer Engine'!$C$2:$C$1369,0)))</f>
        <v/>
      </c>
      <c r="D1075" s="9">
        <f>IF(ISNA(MATCH(1066,'Transfer Engine'!$C$2:$C$1369,0)),"",INDEX('Compliance Database'!$D$2:$D$1369,MATCH(1066,'Transfer Engine'!$C$2:$C$1369,0)))</f>
        <v/>
      </c>
      <c r="E1075" s="8">
        <f>IF(ISNA(MATCH(1066,'Transfer Engine'!$C$2:$C$1369,0)),"",INDEX('Compliance Database'!$E$2:$E$1369,MATCH(1066,'Transfer Engine'!$C$2:$C$1369,0)))</f>
        <v/>
      </c>
      <c r="F1075" s="8">
        <f>IF(ISNA(MATCH(1066,'Transfer Engine'!$C$2:$C$1369,0)),"",INDEX('Compliance Database'!$F$2:$F$1369,MATCH(1066,'Transfer Engine'!$C$2:$C$1369,0)))</f>
        <v/>
      </c>
      <c r="G1075" s="8">
        <f>IF(ISNA(MATCH(1066,'Transfer Engine'!$C$2:$C$1369,0)),"",INDEX('Compliance Database'!$G$2:$G$1369,MATCH(1066,'Transfer Engine'!$C$2:$C$1369,0)))</f>
        <v/>
      </c>
      <c r="H1075" s="9">
        <f>IF(ISNA(MATCH(1066,'Transfer Engine'!$C$2:$C$1369,0)),"",INDEX('Compliance Database'!$H$2:$H$1369,MATCH(1066,'Transfer Engine'!$C$2:$C$1369,0)))</f>
        <v/>
      </c>
      <c r="I1075" s="9">
        <f>IF(ISNA(MATCH(1066,'Transfer Engine'!$C$2:$C$1369,0)),"",INDEX('Compliance Database'!$I$2:$I$1369,MATCH(1066,'Transfer Engine'!$C$2:$C$1369,0)))</f>
        <v/>
      </c>
      <c r="J1075" s="8">
        <f>IF(ISNA(MATCH(1066,'Transfer Engine'!$C$2:$C$1369,0)),"",INDEX('Compliance Database'!$J$2:$J$1369,MATCH(1066,'Transfer Engine'!$C$2:$C$1369,0)))</f>
        <v/>
      </c>
      <c r="K1075" s="9">
        <f>IF(ISNA(MATCH(1066,'Transfer Engine'!$C$2:$C$1369,0)),"",INDEX('Compliance Database'!$K$2:$K$1369,MATCH(1066,'Transfer Engine'!$C$2:$C$1369,0)))</f>
        <v/>
      </c>
      <c r="L1075" s="9">
        <f>IF(ISNA(MATCH(1066,'Transfer Engine'!$C$2:$C$1369,0)),"",INDEX('Compliance Database'!$L$2:$L$1369,MATCH(1066,'Transfer Engine'!$C$2:$C$1369,0)))</f>
        <v/>
      </c>
      <c r="M1075" s="9">
        <f>IF(ISNA(MATCH(1066,'Transfer Engine'!$C$2:$C$1369,0)),"",INDEX('Compliance Database'!$M$2:$M$1369,MATCH(1066,'Transfer Engine'!$C$2:$C$1369,0)))</f>
        <v/>
      </c>
      <c r="N1075" s="9">
        <f>IF(ISNA(MATCH(1066,'Transfer Engine'!$C$2:$C$1369,0)),"",INDEX('Compliance Database'!$N$2:$N$1369,MATCH(1066,'Transfer Engine'!$C$2:$C$1369,0)))</f>
        <v/>
      </c>
      <c r="O1075" s="8">
        <f>IF(ISNA(MATCH(1066,'Transfer Engine'!$C$2:$C$1369,0)),"",HYPERLINK(INDEX('Compliance Database'!$O$2:$O$1369,MATCH(1066,'Transfer Engine'!$C$2:$C$1369,0)),"Open PDF"))</f>
        <v/>
      </c>
    </row>
    <row r="1076" ht="188" customHeight="1">
      <c r="A1076" s="8">
        <f>IF(ISNA(MATCH(1067,'Transfer Engine'!$C$2:$C$1369,0)),"",INDEX('Compliance Database'!$A$2:$A$1369,MATCH(1067,'Transfer Engine'!$C$2:$C$1369,0)))</f>
        <v/>
      </c>
      <c r="B1076" s="8">
        <f>IF(ISNA(MATCH(1067,'Transfer Engine'!$C$2:$C$1369,0)),"",INDEX('Compliance Database'!$B$2:$B$1369,MATCH(1067,'Transfer Engine'!$C$2:$C$1369,0)))</f>
        <v/>
      </c>
      <c r="C1076" s="8">
        <f>IF(ISNA(MATCH(1067,'Transfer Engine'!$C$2:$C$1369,0)),"",INDEX('Compliance Database'!$C$2:$C$1369,MATCH(1067,'Transfer Engine'!$C$2:$C$1369,0)))</f>
        <v/>
      </c>
      <c r="D1076" s="9">
        <f>IF(ISNA(MATCH(1067,'Transfer Engine'!$C$2:$C$1369,0)),"",INDEX('Compliance Database'!$D$2:$D$1369,MATCH(1067,'Transfer Engine'!$C$2:$C$1369,0)))</f>
        <v/>
      </c>
      <c r="E1076" s="8">
        <f>IF(ISNA(MATCH(1067,'Transfer Engine'!$C$2:$C$1369,0)),"",INDEX('Compliance Database'!$E$2:$E$1369,MATCH(1067,'Transfer Engine'!$C$2:$C$1369,0)))</f>
        <v/>
      </c>
      <c r="F1076" s="8">
        <f>IF(ISNA(MATCH(1067,'Transfer Engine'!$C$2:$C$1369,0)),"",INDEX('Compliance Database'!$F$2:$F$1369,MATCH(1067,'Transfer Engine'!$C$2:$C$1369,0)))</f>
        <v/>
      </c>
      <c r="G1076" s="8">
        <f>IF(ISNA(MATCH(1067,'Transfer Engine'!$C$2:$C$1369,0)),"",INDEX('Compliance Database'!$G$2:$G$1369,MATCH(1067,'Transfer Engine'!$C$2:$C$1369,0)))</f>
        <v/>
      </c>
      <c r="H1076" s="9">
        <f>IF(ISNA(MATCH(1067,'Transfer Engine'!$C$2:$C$1369,0)),"",INDEX('Compliance Database'!$H$2:$H$1369,MATCH(1067,'Transfer Engine'!$C$2:$C$1369,0)))</f>
        <v/>
      </c>
      <c r="I1076" s="9">
        <f>IF(ISNA(MATCH(1067,'Transfer Engine'!$C$2:$C$1369,0)),"",INDEX('Compliance Database'!$I$2:$I$1369,MATCH(1067,'Transfer Engine'!$C$2:$C$1369,0)))</f>
        <v/>
      </c>
      <c r="J1076" s="8">
        <f>IF(ISNA(MATCH(1067,'Transfer Engine'!$C$2:$C$1369,0)),"",INDEX('Compliance Database'!$J$2:$J$1369,MATCH(1067,'Transfer Engine'!$C$2:$C$1369,0)))</f>
        <v/>
      </c>
      <c r="K1076" s="9">
        <f>IF(ISNA(MATCH(1067,'Transfer Engine'!$C$2:$C$1369,0)),"",INDEX('Compliance Database'!$K$2:$K$1369,MATCH(1067,'Transfer Engine'!$C$2:$C$1369,0)))</f>
        <v/>
      </c>
      <c r="L1076" s="9">
        <f>IF(ISNA(MATCH(1067,'Transfer Engine'!$C$2:$C$1369,0)),"",INDEX('Compliance Database'!$L$2:$L$1369,MATCH(1067,'Transfer Engine'!$C$2:$C$1369,0)))</f>
        <v/>
      </c>
      <c r="M1076" s="9">
        <f>IF(ISNA(MATCH(1067,'Transfer Engine'!$C$2:$C$1369,0)),"",INDEX('Compliance Database'!$M$2:$M$1369,MATCH(1067,'Transfer Engine'!$C$2:$C$1369,0)))</f>
        <v/>
      </c>
      <c r="N1076" s="9">
        <f>IF(ISNA(MATCH(1067,'Transfer Engine'!$C$2:$C$1369,0)),"",INDEX('Compliance Database'!$N$2:$N$1369,MATCH(1067,'Transfer Engine'!$C$2:$C$1369,0)))</f>
        <v/>
      </c>
      <c r="O1076" s="8">
        <f>IF(ISNA(MATCH(1067,'Transfer Engine'!$C$2:$C$1369,0)),"",HYPERLINK(INDEX('Compliance Database'!$O$2:$O$1369,MATCH(1067,'Transfer Engine'!$C$2:$C$1369,0)),"Open PDF"))</f>
        <v/>
      </c>
    </row>
    <row r="1077" ht="188" customHeight="1">
      <c r="A1077" s="8">
        <f>IF(ISNA(MATCH(1068,'Transfer Engine'!$C$2:$C$1369,0)),"",INDEX('Compliance Database'!$A$2:$A$1369,MATCH(1068,'Transfer Engine'!$C$2:$C$1369,0)))</f>
        <v/>
      </c>
      <c r="B1077" s="8">
        <f>IF(ISNA(MATCH(1068,'Transfer Engine'!$C$2:$C$1369,0)),"",INDEX('Compliance Database'!$B$2:$B$1369,MATCH(1068,'Transfer Engine'!$C$2:$C$1369,0)))</f>
        <v/>
      </c>
      <c r="C1077" s="8">
        <f>IF(ISNA(MATCH(1068,'Transfer Engine'!$C$2:$C$1369,0)),"",INDEX('Compliance Database'!$C$2:$C$1369,MATCH(1068,'Transfer Engine'!$C$2:$C$1369,0)))</f>
        <v/>
      </c>
      <c r="D1077" s="9">
        <f>IF(ISNA(MATCH(1068,'Transfer Engine'!$C$2:$C$1369,0)),"",INDEX('Compliance Database'!$D$2:$D$1369,MATCH(1068,'Transfer Engine'!$C$2:$C$1369,0)))</f>
        <v/>
      </c>
      <c r="E1077" s="8">
        <f>IF(ISNA(MATCH(1068,'Transfer Engine'!$C$2:$C$1369,0)),"",INDEX('Compliance Database'!$E$2:$E$1369,MATCH(1068,'Transfer Engine'!$C$2:$C$1369,0)))</f>
        <v/>
      </c>
      <c r="F1077" s="8">
        <f>IF(ISNA(MATCH(1068,'Transfer Engine'!$C$2:$C$1369,0)),"",INDEX('Compliance Database'!$F$2:$F$1369,MATCH(1068,'Transfer Engine'!$C$2:$C$1369,0)))</f>
        <v/>
      </c>
      <c r="G1077" s="8">
        <f>IF(ISNA(MATCH(1068,'Transfer Engine'!$C$2:$C$1369,0)),"",INDEX('Compliance Database'!$G$2:$G$1369,MATCH(1068,'Transfer Engine'!$C$2:$C$1369,0)))</f>
        <v/>
      </c>
      <c r="H1077" s="9">
        <f>IF(ISNA(MATCH(1068,'Transfer Engine'!$C$2:$C$1369,0)),"",INDEX('Compliance Database'!$H$2:$H$1369,MATCH(1068,'Transfer Engine'!$C$2:$C$1369,0)))</f>
        <v/>
      </c>
      <c r="I1077" s="9">
        <f>IF(ISNA(MATCH(1068,'Transfer Engine'!$C$2:$C$1369,0)),"",INDEX('Compliance Database'!$I$2:$I$1369,MATCH(1068,'Transfer Engine'!$C$2:$C$1369,0)))</f>
        <v/>
      </c>
      <c r="J1077" s="8">
        <f>IF(ISNA(MATCH(1068,'Transfer Engine'!$C$2:$C$1369,0)),"",INDEX('Compliance Database'!$J$2:$J$1369,MATCH(1068,'Transfer Engine'!$C$2:$C$1369,0)))</f>
        <v/>
      </c>
      <c r="K1077" s="9">
        <f>IF(ISNA(MATCH(1068,'Transfer Engine'!$C$2:$C$1369,0)),"",INDEX('Compliance Database'!$K$2:$K$1369,MATCH(1068,'Transfer Engine'!$C$2:$C$1369,0)))</f>
        <v/>
      </c>
      <c r="L1077" s="9">
        <f>IF(ISNA(MATCH(1068,'Transfer Engine'!$C$2:$C$1369,0)),"",INDEX('Compliance Database'!$L$2:$L$1369,MATCH(1068,'Transfer Engine'!$C$2:$C$1369,0)))</f>
        <v/>
      </c>
      <c r="M1077" s="9">
        <f>IF(ISNA(MATCH(1068,'Transfer Engine'!$C$2:$C$1369,0)),"",INDEX('Compliance Database'!$M$2:$M$1369,MATCH(1068,'Transfer Engine'!$C$2:$C$1369,0)))</f>
        <v/>
      </c>
      <c r="N1077" s="9">
        <f>IF(ISNA(MATCH(1068,'Transfer Engine'!$C$2:$C$1369,0)),"",INDEX('Compliance Database'!$N$2:$N$1369,MATCH(1068,'Transfer Engine'!$C$2:$C$1369,0)))</f>
        <v/>
      </c>
      <c r="O1077" s="8">
        <f>IF(ISNA(MATCH(1068,'Transfer Engine'!$C$2:$C$1369,0)),"",HYPERLINK(INDEX('Compliance Database'!$O$2:$O$1369,MATCH(1068,'Transfer Engine'!$C$2:$C$1369,0)),"Open PDF"))</f>
        <v/>
      </c>
    </row>
    <row r="1078" ht="188" customHeight="1">
      <c r="A1078" s="8">
        <f>IF(ISNA(MATCH(1069,'Transfer Engine'!$C$2:$C$1369,0)),"",INDEX('Compliance Database'!$A$2:$A$1369,MATCH(1069,'Transfer Engine'!$C$2:$C$1369,0)))</f>
        <v/>
      </c>
      <c r="B1078" s="8">
        <f>IF(ISNA(MATCH(1069,'Transfer Engine'!$C$2:$C$1369,0)),"",INDEX('Compliance Database'!$B$2:$B$1369,MATCH(1069,'Transfer Engine'!$C$2:$C$1369,0)))</f>
        <v/>
      </c>
      <c r="C1078" s="8">
        <f>IF(ISNA(MATCH(1069,'Transfer Engine'!$C$2:$C$1369,0)),"",INDEX('Compliance Database'!$C$2:$C$1369,MATCH(1069,'Transfer Engine'!$C$2:$C$1369,0)))</f>
        <v/>
      </c>
      <c r="D1078" s="9">
        <f>IF(ISNA(MATCH(1069,'Transfer Engine'!$C$2:$C$1369,0)),"",INDEX('Compliance Database'!$D$2:$D$1369,MATCH(1069,'Transfer Engine'!$C$2:$C$1369,0)))</f>
        <v/>
      </c>
      <c r="E1078" s="8">
        <f>IF(ISNA(MATCH(1069,'Transfer Engine'!$C$2:$C$1369,0)),"",INDEX('Compliance Database'!$E$2:$E$1369,MATCH(1069,'Transfer Engine'!$C$2:$C$1369,0)))</f>
        <v/>
      </c>
      <c r="F1078" s="8">
        <f>IF(ISNA(MATCH(1069,'Transfer Engine'!$C$2:$C$1369,0)),"",INDEX('Compliance Database'!$F$2:$F$1369,MATCH(1069,'Transfer Engine'!$C$2:$C$1369,0)))</f>
        <v/>
      </c>
      <c r="G1078" s="8">
        <f>IF(ISNA(MATCH(1069,'Transfer Engine'!$C$2:$C$1369,0)),"",INDEX('Compliance Database'!$G$2:$G$1369,MATCH(1069,'Transfer Engine'!$C$2:$C$1369,0)))</f>
        <v/>
      </c>
      <c r="H1078" s="9">
        <f>IF(ISNA(MATCH(1069,'Transfer Engine'!$C$2:$C$1369,0)),"",INDEX('Compliance Database'!$H$2:$H$1369,MATCH(1069,'Transfer Engine'!$C$2:$C$1369,0)))</f>
        <v/>
      </c>
      <c r="I1078" s="9">
        <f>IF(ISNA(MATCH(1069,'Transfer Engine'!$C$2:$C$1369,0)),"",INDEX('Compliance Database'!$I$2:$I$1369,MATCH(1069,'Transfer Engine'!$C$2:$C$1369,0)))</f>
        <v/>
      </c>
      <c r="J1078" s="8">
        <f>IF(ISNA(MATCH(1069,'Transfer Engine'!$C$2:$C$1369,0)),"",INDEX('Compliance Database'!$J$2:$J$1369,MATCH(1069,'Transfer Engine'!$C$2:$C$1369,0)))</f>
        <v/>
      </c>
      <c r="K1078" s="9">
        <f>IF(ISNA(MATCH(1069,'Transfer Engine'!$C$2:$C$1369,0)),"",INDEX('Compliance Database'!$K$2:$K$1369,MATCH(1069,'Transfer Engine'!$C$2:$C$1369,0)))</f>
        <v/>
      </c>
      <c r="L1078" s="9">
        <f>IF(ISNA(MATCH(1069,'Transfer Engine'!$C$2:$C$1369,0)),"",INDEX('Compliance Database'!$L$2:$L$1369,MATCH(1069,'Transfer Engine'!$C$2:$C$1369,0)))</f>
        <v/>
      </c>
      <c r="M1078" s="9">
        <f>IF(ISNA(MATCH(1069,'Transfer Engine'!$C$2:$C$1369,0)),"",INDEX('Compliance Database'!$M$2:$M$1369,MATCH(1069,'Transfer Engine'!$C$2:$C$1369,0)))</f>
        <v/>
      </c>
      <c r="N1078" s="9">
        <f>IF(ISNA(MATCH(1069,'Transfer Engine'!$C$2:$C$1369,0)),"",INDEX('Compliance Database'!$N$2:$N$1369,MATCH(1069,'Transfer Engine'!$C$2:$C$1369,0)))</f>
        <v/>
      </c>
      <c r="O1078" s="8">
        <f>IF(ISNA(MATCH(1069,'Transfer Engine'!$C$2:$C$1369,0)),"",HYPERLINK(INDEX('Compliance Database'!$O$2:$O$1369,MATCH(1069,'Transfer Engine'!$C$2:$C$1369,0)),"Open PDF"))</f>
        <v/>
      </c>
    </row>
    <row r="1079" ht="188" customHeight="1">
      <c r="A1079" s="8">
        <f>IF(ISNA(MATCH(1070,'Transfer Engine'!$C$2:$C$1369,0)),"",INDEX('Compliance Database'!$A$2:$A$1369,MATCH(1070,'Transfer Engine'!$C$2:$C$1369,0)))</f>
        <v/>
      </c>
      <c r="B1079" s="8">
        <f>IF(ISNA(MATCH(1070,'Transfer Engine'!$C$2:$C$1369,0)),"",INDEX('Compliance Database'!$B$2:$B$1369,MATCH(1070,'Transfer Engine'!$C$2:$C$1369,0)))</f>
        <v/>
      </c>
      <c r="C1079" s="8">
        <f>IF(ISNA(MATCH(1070,'Transfer Engine'!$C$2:$C$1369,0)),"",INDEX('Compliance Database'!$C$2:$C$1369,MATCH(1070,'Transfer Engine'!$C$2:$C$1369,0)))</f>
        <v/>
      </c>
      <c r="D1079" s="9">
        <f>IF(ISNA(MATCH(1070,'Transfer Engine'!$C$2:$C$1369,0)),"",INDEX('Compliance Database'!$D$2:$D$1369,MATCH(1070,'Transfer Engine'!$C$2:$C$1369,0)))</f>
        <v/>
      </c>
      <c r="E1079" s="8">
        <f>IF(ISNA(MATCH(1070,'Transfer Engine'!$C$2:$C$1369,0)),"",INDEX('Compliance Database'!$E$2:$E$1369,MATCH(1070,'Transfer Engine'!$C$2:$C$1369,0)))</f>
        <v/>
      </c>
      <c r="F1079" s="8">
        <f>IF(ISNA(MATCH(1070,'Transfer Engine'!$C$2:$C$1369,0)),"",INDEX('Compliance Database'!$F$2:$F$1369,MATCH(1070,'Transfer Engine'!$C$2:$C$1369,0)))</f>
        <v/>
      </c>
      <c r="G1079" s="8">
        <f>IF(ISNA(MATCH(1070,'Transfer Engine'!$C$2:$C$1369,0)),"",INDEX('Compliance Database'!$G$2:$G$1369,MATCH(1070,'Transfer Engine'!$C$2:$C$1369,0)))</f>
        <v/>
      </c>
      <c r="H1079" s="9">
        <f>IF(ISNA(MATCH(1070,'Transfer Engine'!$C$2:$C$1369,0)),"",INDEX('Compliance Database'!$H$2:$H$1369,MATCH(1070,'Transfer Engine'!$C$2:$C$1369,0)))</f>
        <v/>
      </c>
      <c r="I1079" s="9">
        <f>IF(ISNA(MATCH(1070,'Transfer Engine'!$C$2:$C$1369,0)),"",INDEX('Compliance Database'!$I$2:$I$1369,MATCH(1070,'Transfer Engine'!$C$2:$C$1369,0)))</f>
        <v/>
      </c>
      <c r="J1079" s="8">
        <f>IF(ISNA(MATCH(1070,'Transfer Engine'!$C$2:$C$1369,0)),"",INDEX('Compliance Database'!$J$2:$J$1369,MATCH(1070,'Transfer Engine'!$C$2:$C$1369,0)))</f>
        <v/>
      </c>
      <c r="K1079" s="9">
        <f>IF(ISNA(MATCH(1070,'Transfer Engine'!$C$2:$C$1369,0)),"",INDEX('Compliance Database'!$K$2:$K$1369,MATCH(1070,'Transfer Engine'!$C$2:$C$1369,0)))</f>
        <v/>
      </c>
      <c r="L1079" s="9">
        <f>IF(ISNA(MATCH(1070,'Transfer Engine'!$C$2:$C$1369,0)),"",INDEX('Compliance Database'!$L$2:$L$1369,MATCH(1070,'Transfer Engine'!$C$2:$C$1369,0)))</f>
        <v/>
      </c>
      <c r="M1079" s="9">
        <f>IF(ISNA(MATCH(1070,'Transfer Engine'!$C$2:$C$1369,0)),"",INDEX('Compliance Database'!$M$2:$M$1369,MATCH(1070,'Transfer Engine'!$C$2:$C$1369,0)))</f>
        <v/>
      </c>
      <c r="N1079" s="9">
        <f>IF(ISNA(MATCH(1070,'Transfer Engine'!$C$2:$C$1369,0)),"",INDEX('Compliance Database'!$N$2:$N$1369,MATCH(1070,'Transfer Engine'!$C$2:$C$1369,0)))</f>
        <v/>
      </c>
      <c r="O1079" s="8">
        <f>IF(ISNA(MATCH(1070,'Transfer Engine'!$C$2:$C$1369,0)),"",HYPERLINK(INDEX('Compliance Database'!$O$2:$O$1369,MATCH(1070,'Transfer Engine'!$C$2:$C$1369,0)),"Open PDF"))</f>
        <v/>
      </c>
    </row>
    <row r="1080" ht="188" customHeight="1">
      <c r="A1080" s="8">
        <f>IF(ISNA(MATCH(1071,'Transfer Engine'!$C$2:$C$1369,0)),"",INDEX('Compliance Database'!$A$2:$A$1369,MATCH(1071,'Transfer Engine'!$C$2:$C$1369,0)))</f>
        <v/>
      </c>
      <c r="B1080" s="8">
        <f>IF(ISNA(MATCH(1071,'Transfer Engine'!$C$2:$C$1369,0)),"",INDEX('Compliance Database'!$B$2:$B$1369,MATCH(1071,'Transfer Engine'!$C$2:$C$1369,0)))</f>
        <v/>
      </c>
      <c r="C1080" s="8">
        <f>IF(ISNA(MATCH(1071,'Transfer Engine'!$C$2:$C$1369,0)),"",INDEX('Compliance Database'!$C$2:$C$1369,MATCH(1071,'Transfer Engine'!$C$2:$C$1369,0)))</f>
        <v/>
      </c>
      <c r="D1080" s="9">
        <f>IF(ISNA(MATCH(1071,'Transfer Engine'!$C$2:$C$1369,0)),"",INDEX('Compliance Database'!$D$2:$D$1369,MATCH(1071,'Transfer Engine'!$C$2:$C$1369,0)))</f>
        <v/>
      </c>
      <c r="E1080" s="8">
        <f>IF(ISNA(MATCH(1071,'Transfer Engine'!$C$2:$C$1369,0)),"",INDEX('Compliance Database'!$E$2:$E$1369,MATCH(1071,'Transfer Engine'!$C$2:$C$1369,0)))</f>
        <v/>
      </c>
      <c r="F1080" s="8">
        <f>IF(ISNA(MATCH(1071,'Transfer Engine'!$C$2:$C$1369,0)),"",INDEX('Compliance Database'!$F$2:$F$1369,MATCH(1071,'Transfer Engine'!$C$2:$C$1369,0)))</f>
        <v/>
      </c>
      <c r="G1080" s="8">
        <f>IF(ISNA(MATCH(1071,'Transfer Engine'!$C$2:$C$1369,0)),"",INDEX('Compliance Database'!$G$2:$G$1369,MATCH(1071,'Transfer Engine'!$C$2:$C$1369,0)))</f>
        <v/>
      </c>
      <c r="H1080" s="9">
        <f>IF(ISNA(MATCH(1071,'Transfer Engine'!$C$2:$C$1369,0)),"",INDEX('Compliance Database'!$H$2:$H$1369,MATCH(1071,'Transfer Engine'!$C$2:$C$1369,0)))</f>
        <v/>
      </c>
      <c r="I1080" s="9">
        <f>IF(ISNA(MATCH(1071,'Transfer Engine'!$C$2:$C$1369,0)),"",INDEX('Compliance Database'!$I$2:$I$1369,MATCH(1071,'Transfer Engine'!$C$2:$C$1369,0)))</f>
        <v/>
      </c>
      <c r="J1080" s="8">
        <f>IF(ISNA(MATCH(1071,'Transfer Engine'!$C$2:$C$1369,0)),"",INDEX('Compliance Database'!$J$2:$J$1369,MATCH(1071,'Transfer Engine'!$C$2:$C$1369,0)))</f>
        <v/>
      </c>
      <c r="K1080" s="9">
        <f>IF(ISNA(MATCH(1071,'Transfer Engine'!$C$2:$C$1369,0)),"",INDEX('Compliance Database'!$K$2:$K$1369,MATCH(1071,'Transfer Engine'!$C$2:$C$1369,0)))</f>
        <v/>
      </c>
      <c r="L1080" s="9">
        <f>IF(ISNA(MATCH(1071,'Transfer Engine'!$C$2:$C$1369,0)),"",INDEX('Compliance Database'!$L$2:$L$1369,MATCH(1071,'Transfer Engine'!$C$2:$C$1369,0)))</f>
        <v/>
      </c>
      <c r="M1080" s="9">
        <f>IF(ISNA(MATCH(1071,'Transfer Engine'!$C$2:$C$1369,0)),"",INDEX('Compliance Database'!$M$2:$M$1369,MATCH(1071,'Transfer Engine'!$C$2:$C$1369,0)))</f>
        <v/>
      </c>
      <c r="N1080" s="9">
        <f>IF(ISNA(MATCH(1071,'Transfer Engine'!$C$2:$C$1369,0)),"",INDEX('Compliance Database'!$N$2:$N$1369,MATCH(1071,'Transfer Engine'!$C$2:$C$1369,0)))</f>
        <v/>
      </c>
      <c r="O1080" s="8">
        <f>IF(ISNA(MATCH(1071,'Transfer Engine'!$C$2:$C$1369,0)),"",HYPERLINK(INDEX('Compliance Database'!$O$2:$O$1369,MATCH(1071,'Transfer Engine'!$C$2:$C$1369,0)),"Open PDF"))</f>
        <v/>
      </c>
    </row>
    <row r="1081" ht="188" customHeight="1">
      <c r="A1081" s="8">
        <f>IF(ISNA(MATCH(1072,'Transfer Engine'!$C$2:$C$1369,0)),"",INDEX('Compliance Database'!$A$2:$A$1369,MATCH(1072,'Transfer Engine'!$C$2:$C$1369,0)))</f>
        <v/>
      </c>
      <c r="B1081" s="8">
        <f>IF(ISNA(MATCH(1072,'Transfer Engine'!$C$2:$C$1369,0)),"",INDEX('Compliance Database'!$B$2:$B$1369,MATCH(1072,'Transfer Engine'!$C$2:$C$1369,0)))</f>
        <v/>
      </c>
      <c r="C1081" s="8">
        <f>IF(ISNA(MATCH(1072,'Transfer Engine'!$C$2:$C$1369,0)),"",INDEX('Compliance Database'!$C$2:$C$1369,MATCH(1072,'Transfer Engine'!$C$2:$C$1369,0)))</f>
        <v/>
      </c>
      <c r="D1081" s="9">
        <f>IF(ISNA(MATCH(1072,'Transfer Engine'!$C$2:$C$1369,0)),"",INDEX('Compliance Database'!$D$2:$D$1369,MATCH(1072,'Transfer Engine'!$C$2:$C$1369,0)))</f>
        <v/>
      </c>
      <c r="E1081" s="8">
        <f>IF(ISNA(MATCH(1072,'Transfer Engine'!$C$2:$C$1369,0)),"",INDEX('Compliance Database'!$E$2:$E$1369,MATCH(1072,'Transfer Engine'!$C$2:$C$1369,0)))</f>
        <v/>
      </c>
      <c r="F1081" s="8">
        <f>IF(ISNA(MATCH(1072,'Transfer Engine'!$C$2:$C$1369,0)),"",INDEX('Compliance Database'!$F$2:$F$1369,MATCH(1072,'Transfer Engine'!$C$2:$C$1369,0)))</f>
        <v/>
      </c>
      <c r="G1081" s="8">
        <f>IF(ISNA(MATCH(1072,'Transfer Engine'!$C$2:$C$1369,0)),"",INDEX('Compliance Database'!$G$2:$G$1369,MATCH(1072,'Transfer Engine'!$C$2:$C$1369,0)))</f>
        <v/>
      </c>
      <c r="H1081" s="9">
        <f>IF(ISNA(MATCH(1072,'Transfer Engine'!$C$2:$C$1369,0)),"",INDEX('Compliance Database'!$H$2:$H$1369,MATCH(1072,'Transfer Engine'!$C$2:$C$1369,0)))</f>
        <v/>
      </c>
      <c r="I1081" s="9">
        <f>IF(ISNA(MATCH(1072,'Transfer Engine'!$C$2:$C$1369,0)),"",INDEX('Compliance Database'!$I$2:$I$1369,MATCH(1072,'Transfer Engine'!$C$2:$C$1369,0)))</f>
        <v/>
      </c>
      <c r="J1081" s="8">
        <f>IF(ISNA(MATCH(1072,'Transfer Engine'!$C$2:$C$1369,0)),"",INDEX('Compliance Database'!$J$2:$J$1369,MATCH(1072,'Transfer Engine'!$C$2:$C$1369,0)))</f>
        <v/>
      </c>
      <c r="K1081" s="9">
        <f>IF(ISNA(MATCH(1072,'Transfer Engine'!$C$2:$C$1369,0)),"",INDEX('Compliance Database'!$K$2:$K$1369,MATCH(1072,'Transfer Engine'!$C$2:$C$1369,0)))</f>
        <v/>
      </c>
      <c r="L1081" s="9">
        <f>IF(ISNA(MATCH(1072,'Transfer Engine'!$C$2:$C$1369,0)),"",INDEX('Compliance Database'!$L$2:$L$1369,MATCH(1072,'Transfer Engine'!$C$2:$C$1369,0)))</f>
        <v/>
      </c>
      <c r="M1081" s="9">
        <f>IF(ISNA(MATCH(1072,'Transfer Engine'!$C$2:$C$1369,0)),"",INDEX('Compliance Database'!$M$2:$M$1369,MATCH(1072,'Transfer Engine'!$C$2:$C$1369,0)))</f>
        <v/>
      </c>
      <c r="N1081" s="9">
        <f>IF(ISNA(MATCH(1072,'Transfer Engine'!$C$2:$C$1369,0)),"",INDEX('Compliance Database'!$N$2:$N$1369,MATCH(1072,'Transfer Engine'!$C$2:$C$1369,0)))</f>
        <v/>
      </c>
      <c r="O1081" s="8">
        <f>IF(ISNA(MATCH(1072,'Transfer Engine'!$C$2:$C$1369,0)),"",HYPERLINK(INDEX('Compliance Database'!$O$2:$O$1369,MATCH(1072,'Transfer Engine'!$C$2:$C$1369,0)),"Open PDF"))</f>
        <v/>
      </c>
    </row>
    <row r="1082" ht="188" customHeight="1">
      <c r="A1082" s="8">
        <f>IF(ISNA(MATCH(1073,'Transfer Engine'!$C$2:$C$1369,0)),"",INDEX('Compliance Database'!$A$2:$A$1369,MATCH(1073,'Transfer Engine'!$C$2:$C$1369,0)))</f>
        <v/>
      </c>
      <c r="B1082" s="8">
        <f>IF(ISNA(MATCH(1073,'Transfer Engine'!$C$2:$C$1369,0)),"",INDEX('Compliance Database'!$B$2:$B$1369,MATCH(1073,'Transfer Engine'!$C$2:$C$1369,0)))</f>
        <v/>
      </c>
      <c r="C1082" s="8">
        <f>IF(ISNA(MATCH(1073,'Transfer Engine'!$C$2:$C$1369,0)),"",INDEX('Compliance Database'!$C$2:$C$1369,MATCH(1073,'Transfer Engine'!$C$2:$C$1369,0)))</f>
        <v/>
      </c>
      <c r="D1082" s="9">
        <f>IF(ISNA(MATCH(1073,'Transfer Engine'!$C$2:$C$1369,0)),"",INDEX('Compliance Database'!$D$2:$D$1369,MATCH(1073,'Transfer Engine'!$C$2:$C$1369,0)))</f>
        <v/>
      </c>
      <c r="E1082" s="8">
        <f>IF(ISNA(MATCH(1073,'Transfer Engine'!$C$2:$C$1369,0)),"",INDEX('Compliance Database'!$E$2:$E$1369,MATCH(1073,'Transfer Engine'!$C$2:$C$1369,0)))</f>
        <v/>
      </c>
      <c r="F1082" s="8">
        <f>IF(ISNA(MATCH(1073,'Transfer Engine'!$C$2:$C$1369,0)),"",INDEX('Compliance Database'!$F$2:$F$1369,MATCH(1073,'Transfer Engine'!$C$2:$C$1369,0)))</f>
        <v/>
      </c>
      <c r="G1082" s="8">
        <f>IF(ISNA(MATCH(1073,'Transfer Engine'!$C$2:$C$1369,0)),"",INDEX('Compliance Database'!$G$2:$G$1369,MATCH(1073,'Transfer Engine'!$C$2:$C$1369,0)))</f>
        <v/>
      </c>
      <c r="H1082" s="9">
        <f>IF(ISNA(MATCH(1073,'Transfer Engine'!$C$2:$C$1369,0)),"",INDEX('Compliance Database'!$H$2:$H$1369,MATCH(1073,'Transfer Engine'!$C$2:$C$1369,0)))</f>
        <v/>
      </c>
      <c r="I1082" s="9">
        <f>IF(ISNA(MATCH(1073,'Transfer Engine'!$C$2:$C$1369,0)),"",INDEX('Compliance Database'!$I$2:$I$1369,MATCH(1073,'Transfer Engine'!$C$2:$C$1369,0)))</f>
        <v/>
      </c>
      <c r="J1082" s="8">
        <f>IF(ISNA(MATCH(1073,'Transfer Engine'!$C$2:$C$1369,0)),"",INDEX('Compliance Database'!$J$2:$J$1369,MATCH(1073,'Transfer Engine'!$C$2:$C$1369,0)))</f>
        <v/>
      </c>
      <c r="K1082" s="9">
        <f>IF(ISNA(MATCH(1073,'Transfer Engine'!$C$2:$C$1369,0)),"",INDEX('Compliance Database'!$K$2:$K$1369,MATCH(1073,'Transfer Engine'!$C$2:$C$1369,0)))</f>
        <v/>
      </c>
      <c r="L1082" s="9">
        <f>IF(ISNA(MATCH(1073,'Transfer Engine'!$C$2:$C$1369,0)),"",INDEX('Compliance Database'!$L$2:$L$1369,MATCH(1073,'Transfer Engine'!$C$2:$C$1369,0)))</f>
        <v/>
      </c>
      <c r="M1082" s="9">
        <f>IF(ISNA(MATCH(1073,'Transfer Engine'!$C$2:$C$1369,0)),"",INDEX('Compliance Database'!$M$2:$M$1369,MATCH(1073,'Transfer Engine'!$C$2:$C$1369,0)))</f>
        <v/>
      </c>
      <c r="N1082" s="9">
        <f>IF(ISNA(MATCH(1073,'Transfer Engine'!$C$2:$C$1369,0)),"",INDEX('Compliance Database'!$N$2:$N$1369,MATCH(1073,'Transfer Engine'!$C$2:$C$1369,0)))</f>
        <v/>
      </c>
      <c r="O1082" s="8">
        <f>IF(ISNA(MATCH(1073,'Transfer Engine'!$C$2:$C$1369,0)),"",HYPERLINK(INDEX('Compliance Database'!$O$2:$O$1369,MATCH(1073,'Transfer Engine'!$C$2:$C$1369,0)),"Open PDF"))</f>
        <v/>
      </c>
    </row>
    <row r="1083" ht="188" customHeight="1">
      <c r="A1083" s="8">
        <f>IF(ISNA(MATCH(1074,'Transfer Engine'!$C$2:$C$1369,0)),"",INDEX('Compliance Database'!$A$2:$A$1369,MATCH(1074,'Transfer Engine'!$C$2:$C$1369,0)))</f>
        <v/>
      </c>
      <c r="B1083" s="8">
        <f>IF(ISNA(MATCH(1074,'Transfer Engine'!$C$2:$C$1369,0)),"",INDEX('Compliance Database'!$B$2:$B$1369,MATCH(1074,'Transfer Engine'!$C$2:$C$1369,0)))</f>
        <v/>
      </c>
      <c r="C1083" s="8">
        <f>IF(ISNA(MATCH(1074,'Transfer Engine'!$C$2:$C$1369,0)),"",INDEX('Compliance Database'!$C$2:$C$1369,MATCH(1074,'Transfer Engine'!$C$2:$C$1369,0)))</f>
        <v/>
      </c>
      <c r="D1083" s="9">
        <f>IF(ISNA(MATCH(1074,'Transfer Engine'!$C$2:$C$1369,0)),"",INDEX('Compliance Database'!$D$2:$D$1369,MATCH(1074,'Transfer Engine'!$C$2:$C$1369,0)))</f>
        <v/>
      </c>
      <c r="E1083" s="8">
        <f>IF(ISNA(MATCH(1074,'Transfer Engine'!$C$2:$C$1369,0)),"",INDEX('Compliance Database'!$E$2:$E$1369,MATCH(1074,'Transfer Engine'!$C$2:$C$1369,0)))</f>
        <v/>
      </c>
      <c r="F1083" s="8">
        <f>IF(ISNA(MATCH(1074,'Transfer Engine'!$C$2:$C$1369,0)),"",INDEX('Compliance Database'!$F$2:$F$1369,MATCH(1074,'Transfer Engine'!$C$2:$C$1369,0)))</f>
        <v/>
      </c>
      <c r="G1083" s="8">
        <f>IF(ISNA(MATCH(1074,'Transfer Engine'!$C$2:$C$1369,0)),"",INDEX('Compliance Database'!$G$2:$G$1369,MATCH(1074,'Transfer Engine'!$C$2:$C$1369,0)))</f>
        <v/>
      </c>
      <c r="H1083" s="9">
        <f>IF(ISNA(MATCH(1074,'Transfer Engine'!$C$2:$C$1369,0)),"",INDEX('Compliance Database'!$H$2:$H$1369,MATCH(1074,'Transfer Engine'!$C$2:$C$1369,0)))</f>
        <v/>
      </c>
      <c r="I1083" s="9">
        <f>IF(ISNA(MATCH(1074,'Transfer Engine'!$C$2:$C$1369,0)),"",INDEX('Compliance Database'!$I$2:$I$1369,MATCH(1074,'Transfer Engine'!$C$2:$C$1369,0)))</f>
        <v/>
      </c>
      <c r="J1083" s="8">
        <f>IF(ISNA(MATCH(1074,'Transfer Engine'!$C$2:$C$1369,0)),"",INDEX('Compliance Database'!$J$2:$J$1369,MATCH(1074,'Transfer Engine'!$C$2:$C$1369,0)))</f>
        <v/>
      </c>
      <c r="K1083" s="9">
        <f>IF(ISNA(MATCH(1074,'Transfer Engine'!$C$2:$C$1369,0)),"",INDEX('Compliance Database'!$K$2:$K$1369,MATCH(1074,'Transfer Engine'!$C$2:$C$1369,0)))</f>
        <v/>
      </c>
      <c r="L1083" s="9">
        <f>IF(ISNA(MATCH(1074,'Transfer Engine'!$C$2:$C$1369,0)),"",INDEX('Compliance Database'!$L$2:$L$1369,MATCH(1074,'Transfer Engine'!$C$2:$C$1369,0)))</f>
        <v/>
      </c>
      <c r="M1083" s="9">
        <f>IF(ISNA(MATCH(1074,'Transfer Engine'!$C$2:$C$1369,0)),"",INDEX('Compliance Database'!$M$2:$M$1369,MATCH(1074,'Transfer Engine'!$C$2:$C$1369,0)))</f>
        <v/>
      </c>
      <c r="N1083" s="9">
        <f>IF(ISNA(MATCH(1074,'Transfer Engine'!$C$2:$C$1369,0)),"",INDEX('Compliance Database'!$N$2:$N$1369,MATCH(1074,'Transfer Engine'!$C$2:$C$1369,0)))</f>
        <v/>
      </c>
      <c r="O1083" s="8">
        <f>IF(ISNA(MATCH(1074,'Transfer Engine'!$C$2:$C$1369,0)),"",HYPERLINK(INDEX('Compliance Database'!$O$2:$O$1369,MATCH(1074,'Transfer Engine'!$C$2:$C$1369,0)),"Open PDF"))</f>
        <v/>
      </c>
    </row>
    <row r="1084" ht="188" customHeight="1">
      <c r="A1084" s="8">
        <f>IF(ISNA(MATCH(1075,'Transfer Engine'!$C$2:$C$1369,0)),"",INDEX('Compliance Database'!$A$2:$A$1369,MATCH(1075,'Transfer Engine'!$C$2:$C$1369,0)))</f>
        <v/>
      </c>
      <c r="B1084" s="8">
        <f>IF(ISNA(MATCH(1075,'Transfer Engine'!$C$2:$C$1369,0)),"",INDEX('Compliance Database'!$B$2:$B$1369,MATCH(1075,'Transfer Engine'!$C$2:$C$1369,0)))</f>
        <v/>
      </c>
      <c r="C1084" s="8">
        <f>IF(ISNA(MATCH(1075,'Transfer Engine'!$C$2:$C$1369,0)),"",INDEX('Compliance Database'!$C$2:$C$1369,MATCH(1075,'Transfer Engine'!$C$2:$C$1369,0)))</f>
        <v/>
      </c>
      <c r="D1084" s="9">
        <f>IF(ISNA(MATCH(1075,'Transfer Engine'!$C$2:$C$1369,0)),"",INDEX('Compliance Database'!$D$2:$D$1369,MATCH(1075,'Transfer Engine'!$C$2:$C$1369,0)))</f>
        <v/>
      </c>
      <c r="E1084" s="8">
        <f>IF(ISNA(MATCH(1075,'Transfer Engine'!$C$2:$C$1369,0)),"",INDEX('Compliance Database'!$E$2:$E$1369,MATCH(1075,'Transfer Engine'!$C$2:$C$1369,0)))</f>
        <v/>
      </c>
      <c r="F1084" s="8">
        <f>IF(ISNA(MATCH(1075,'Transfer Engine'!$C$2:$C$1369,0)),"",INDEX('Compliance Database'!$F$2:$F$1369,MATCH(1075,'Transfer Engine'!$C$2:$C$1369,0)))</f>
        <v/>
      </c>
      <c r="G1084" s="8">
        <f>IF(ISNA(MATCH(1075,'Transfer Engine'!$C$2:$C$1369,0)),"",INDEX('Compliance Database'!$G$2:$G$1369,MATCH(1075,'Transfer Engine'!$C$2:$C$1369,0)))</f>
        <v/>
      </c>
      <c r="H1084" s="9">
        <f>IF(ISNA(MATCH(1075,'Transfer Engine'!$C$2:$C$1369,0)),"",INDEX('Compliance Database'!$H$2:$H$1369,MATCH(1075,'Transfer Engine'!$C$2:$C$1369,0)))</f>
        <v/>
      </c>
      <c r="I1084" s="9">
        <f>IF(ISNA(MATCH(1075,'Transfer Engine'!$C$2:$C$1369,0)),"",INDEX('Compliance Database'!$I$2:$I$1369,MATCH(1075,'Transfer Engine'!$C$2:$C$1369,0)))</f>
        <v/>
      </c>
      <c r="J1084" s="8">
        <f>IF(ISNA(MATCH(1075,'Transfer Engine'!$C$2:$C$1369,0)),"",INDEX('Compliance Database'!$J$2:$J$1369,MATCH(1075,'Transfer Engine'!$C$2:$C$1369,0)))</f>
        <v/>
      </c>
      <c r="K1084" s="9">
        <f>IF(ISNA(MATCH(1075,'Transfer Engine'!$C$2:$C$1369,0)),"",INDEX('Compliance Database'!$K$2:$K$1369,MATCH(1075,'Transfer Engine'!$C$2:$C$1369,0)))</f>
        <v/>
      </c>
      <c r="L1084" s="9">
        <f>IF(ISNA(MATCH(1075,'Transfer Engine'!$C$2:$C$1369,0)),"",INDEX('Compliance Database'!$L$2:$L$1369,MATCH(1075,'Transfer Engine'!$C$2:$C$1369,0)))</f>
        <v/>
      </c>
      <c r="M1084" s="9">
        <f>IF(ISNA(MATCH(1075,'Transfer Engine'!$C$2:$C$1369,0)),"",INDEX('Compliance Database'!$M$2:$M$1369,MATCH(1075,'Transfer Engine'!$C$2:$C$1369,0)))</f>
        <v/>
      </c>
      <c r="N1084" s="9">
        <f>IF(ISNA(MATCH(1075,'Transfer Engine'!$C$2:$C$1369,0)),"",INDEX('Compliance Database'!$N$2:$N$1369,MATCH(1075,'Transfer Engine'!$C$2:$C$1369,0)))</f>
        <v/>
      </c>
      <c r="O1084" s="8">
        <f>IF(ISNA(MATCH(1075,'Transfer Engine'!$C$2:$C$1369,0)),"",HYPERLINK(INDEX('Compliance Database'!$O$2:$O$1369,MATCH(1075,'Transfer Engine'!$C$2:$C$1369,0)),"Open PDF"))</f>
        <v/>
      </c>
    </row>
    <row r="1085" ht="188" customHeight="1">
      <c r="A1085" s="8">
        <f>IF(ISNA(MATCH(1076,'Transfer Engine'!$C$2:$C$1369,0)),"",INDEX('Compliance Database'!$A$2:$A$1369,MATCH(1076,'Transfer Engine'!$C$2:$C$1369,0)))</f>
        <v/>
      </c>
      <c r="B1085" s="8">
        <f>IF(ISNA(MATCH(1076,'Transfer Engine'!$C$2:$C$1369,0)),"",INDEX('Compliance Database'!$B$2:$B$1369,MATCH(1076,'Transfer Engine'!$C$2:$C$1369,0)))</f>
        <v/>
      </c>
      <c r="C1085" s="8">
        <f>IF(ISNA(MATCH(1076,'Transfer Engine'!$C$2:$C$1369,0)),"",INDEX('Compliance Database'!$C$2:$C$1369,MATCH(1076,'Transfer Engine'!$C$2:$C$1369,0)))</f>
        <v/>
      </c>
      <c r="D1085" s="9">
        <f>IF(ISNA(MATCH(1076,'Transfer Engine'!$C$2:$C$1369,0)),"",INDEX('Compliance Database'!$D$2:$D$1369,MATCH(1076,'Transfer Engine'!$C$2:$C$1369,0)))</f>
        <v/>
      </c>
      <c r="E1085" s="8">
        <f>IF(ISNA(MATCH(1076,'Transfer Engine'!$C$2:$C$1369,0)),"",INDEX('Compliance Database'!$E$2:$E$1369,MATCH(1076,'Transfer Engine'!$C$2:$C$1369,0)))</f>
        <v/>
      </c>
      <c r="F1085" s="8">
        <f>IF(ISNA(MATCH(1076,'Transfer Engine'!$C$2:$C$1369,0)),"",INDEX('Compliance Database'!$F$2:$F$1369,MATCH(1076,'Transfer Engine'!$C$2:$C$1369,0)))</f>
        <v/>
      </c>
      <c r="G1085" s="8">
        <f>IF(ISNA(MATCH(1076,'Transfer Engine'!$C$2:$C$1369,0)),"",INDEX('Compliance Database'!$G$2:$G$1369,MATCH(1076,'Transfer Engine'!$C$2:$C$1369,0)))</f>
        <v/>
      </c>
      <c r="H1085" s="9">
        <f>IF(ISNA(MATCH(1076,'Transfer Engine'!$C$2:$C$1369,0)),"",INDEX('Compliance Database'!$H$2:$H$1369,MATCH(1076,'Transfer Engine'!$C$2:$C$1369,0)))</f>
        <v/>
      </c>
      <c r="I1085" s="9">
        <f>IF(ISNA(MATCH(1076,'Transfer Engine'!$C$2:$C$1369,0)),"",INDEX('Compliance Database'!$I$2:$I$1369,MATCH(1076,'Transfer Engine'!$C$2:$C$1369,0)))</f>
        <v/>
      </c>
      <c r="J1085" s="8">
        <f>IF(ISNA(MATCH(1076,'Transfer Engine'!$C$2:$C$1369,0)),"",INDEX('Compliance Database'!$J$2:$J$1369,MATCH(1076,'Transfer Engine'!$C$2:$C$1369,0)))</f>
        <v/>
      </c>
      <c r="K1085" s="9">
        <f>IF(ISNA(MATCH(1076,'Transfer Engine'!$C$2:$C$1369,0)),"",INDEX('Compliance Database'!$K$2:$K$1369,MATCH(1076,'Transfer Engine'!$C$2:$C$1369,0)))</f>
        <v/>
      </c>
      <c r="L1085" s="9">
        <f>IF(ISNA(MATCH(1076,'Transfer Engine'!$C$2:$C$1369,0)),"",INDEX('Compliance Database'!$L$2:$L$1369,MATCH(1076,'Transfer Engine'!$C$2:$C$1369,0)))</f>
        <v/>
      </c>
      <c r="M1085" s="9">
        <f>IF(ISNA(MATCH(1076,'Transfer Engine'!$C$2:$C$1369,0)),"",INDEX('Compliance Database'!$M$2:$M$1369,MATCH(1076,'Transfer Engine'!$C$2:$C$1369,0)))</f>
        <v/>
      </c>
      <c r="N1085" s="9">
        <f>IF(ISNA(MATCH(1076,'Transfer Engine'!$C$2:$C$1369,0)),"",INDEX('Compliance Database'!$N$2:$N$1369,MATCH(1076,'Transfer Engine'!$C$2:$C$1369,0)))</f>
        <v/>
      </c>
      <c r="O1085" s="8">
        <f>IF(ISNA(MATCH(1076,'Transfer Engine'!$C$2:$C$1369,0)),"",HYPERLINK(INDEX('Compliance Database'!$O$2:$O$1369,MATCH(1076,'Transfer Engine'!$C$2:$C$1369,0)),"Open PDF"))</f>
        <v/>
      </c>
    </row>
    <row r="1086" ht="188" customHeight="1">
      <c r="A1086" s="8">
        <f>IF(ISNA(MATCH(1077,'Transfer Engine'!$C$2:$C$1369,0)),"",INDEX('Compliance Database'!$A$2:$A$1369,MATCH(1077,'Transfer Engine'!$C$2:$C$1369,0)))</f>
        <v/>
      </c>
      <c r="B1086" s="8">
        <f>IF(ISNA(MATCH(1077,'Transfer Engine'!$C$2:$C$1369,0)),"",INDEX('Compliance Database'!$B$2:$B$1369,MATCH(1077,'Transfer Engine'!$C$2:$C$1369,0)))</f>
        <v/>
      </c>
      <c r="C1086" s="8">
        <f>IF(ISNA(MATCH(1077,'Transfer Engine'!$C$2:$C$1369,0)),"",INDEX('Compliance Database'!$C$2:$C$1369,MATCH(1077,'Transfer Engine'!$C$2:$C$1369,0)))</f>
        <v/>
      </c>
      <c r="D1086" s="9">
        <f>IF(ISNA(MATCH(1077,'Transfer Engine'!$C$2:$C$1369,0)),"",INDEX('Compliance Database'!$D$2:$D$1369,MATCH(1077,'Transfer Engine'!$C$2:$C$1369,0)))</f>
        <v/>
      </c>
      <c r="E1086" s="8">
        <f>IF(ISNA(MATCH(1077,'Transfer Engine'!$C$2:$C$1369,0)),"",INDEX('Compliance Database'!$E$2:$E$1369,MATCH(1077,'Transfer Engine'!$C$2:$C$1369,0)))</f>
        <v/>
      </c>
      <c r="F1086" s="8">
        <f>IF(ISNA(MATCH(1077,'Transfer Engine'!$C$2:$C$1369,0)),"",INDEX('Compliance Database'!$F$2:$F$1369,MATCH(1077,'Transfer Engine'!$C$2:$C$1369,0)))</f>
        <v/>
      </c>
      <c r="G1086" s="8">
        <f>IF(ISNA(MATCH(1077,'Transfer Engine'!$C$2:$C$1369,0)),"",INDEX('Compliance Database'!$G$2:$G$1369,MATCH(1077,'Transfer Engine'!$C$2:$C$1369,0)))</f>
        <v/>
      </c>
      <c r="H1086" s="9">
        <f>IF(ISNA(MATCH(1077,'Transfer Engine'!$C$2:$C$1369,0)),"",INDEX('Compliance Database'!$H$2:$H$1369,MATCH(1077,'Transfer Engine'!$C$2:$C$1369,0)))</f>
        <v/>
      </c>
      <c r="I1086" s="9">
        <f>IF(ISNA(MATCH(1077,'Transfer Engine'!$C$2:$C$1369,0)),"",INDEX('Compliance Database'!$I$2:$I$1369,MATCH(1077,'Transfer Engine'!$C$2:$C$1369,0)))</f>
        <v/>
      </c>
      <c r="J1086" s="8">
        <f>IF(ISNA(MATCH(1077,'Transfer Engine'!$C$2:$C$1369,0)),"",INDEX('Compliance Database'!$J$2:$J$1369,MATCH(1077,'Transfer Engine'!$C$2:$C$1369,0)))</f>
        <v/>
      </c>
      <c r="K1086" s="9">
        <f>IF(ISNA(MATCH(1077,'Transfer Engine'!$C$2:$C$1369,0)),"",INDEX('Compliance Database'!$K$2:$K$1369,MATCH(1077,'Transfer Engine'!$C$2:$C$1369,0)))</f>
        <v/>
      </c>
      <c r="L1086" s="9">
        <f>IF(ISNA(MATCH(1077,'Transfer Engine'!$C$2:$C$1369,0)),"",INDEX('Compliance Database'!$L$2:$L$1369,MATCH(1077,'Transfer Engine'!$C$2:$C$1369,0)))</f>
        <v/>
      </c>
      <c r="M1086" s="9">
        <f>IF(ISNA(MATCH(1077,'Transfer Engine'!$C$2:$C$1369,0)),"",INDEX('Compliance Database'!$M$2:$M$1369,MATCH(1077,'Transfer Engine'!$C$2:$C$1369,0)))</f>
        <v/>
      </c>
      <c r="N1086" s="9">
        <f>IF(ISNA(MATCH(1077,'Transfer Engine'!$C$2:$C$1369,0)),"",INDEX('Compliance Database'!$N$2:$N$1369,MATCH(1077,'Transfer Engine'!$C$2:$C$1369,0)))</f>
        <v/>
      </c>
      <c r="O1086" s="8">
        <f>IF(ISNA(MATCH(1077,'Transfer Engine'!$C$2:$C$1369,0)),"",HYPERLINK(INDEX('Compliance Database'!$O$2:$O$1369,MATCH(1077,'Transfer Engine'!$C$2:$C$1369,0)),"Open PDF"))</f>
        <v/>
      </c>
    </row>
    <row r="1087" ht="188" customHeight="1">
      <c r="A1087" s="8">
        <f>IF(ISNA(MATCH(1078,'Transfer Engine'!$C$2:$C$1369,0)),"",INDEX('Compliance Database'!$A$2:$A$1369,MATCH(1078,'Transfer Engine'!$C$2:$C$1369,0)))</f>
        <v/>
      </c>
      <c r="B1087" s="8">
        <f>IF(ISNA(MATCH(1078,'Transfer Engine'!$C$2:$C$1369,0)),"",INDEX('Compliance Database'!$B$2:$B$1369,MATCH(1078,'Transfer Engine'!$C$2:$C$1369,0)))</f>
        <v/>
      </c>
      <c r="C1087" s="8">
        <f>IF(ISNA(MATCH(1078,'Transfer Engine'!$C$2:$C$1369,0)),"",INDEX('Compliance Database'!$C$2:$C$1369,MATCH(1078,'Transfer Engine'!$C$2:$C$1369,0)))</f>
        <v/>
      </c>
      <c r="D1087" s="9">
        <f>IF(ISNA(MATCH(1078,'Transfer Engine'!$C$2:$C$1369,0)),"",INDEX('Compliance Database'!$D$2:$D$1369,MATCH(1078,'Transfer Engine'!$C$2:$C$1369,0)))</f>
        <v/>
      </c>
      <c r="E1087" s="8">
        <f>IF(ISNA(MATCH(1078,'Transfer Engine'!$C$2:$C$1369,0)),"",INDEX('Compliance Database'!$E$2:$E$1369,MATCH(1078,'Transfer Engine'!$C$2:$C$1369,0)))</f>
        <v/>
      </c>
      <c r="F1087" s="8">
        <f>IF(ISNA(MATCH(1078,'Transfer Engine'!$C$2:$C$1369,0)),"",INDEX('Compliance Database'!$F$2:$F$1369,MATCH(1078,'Transfer Engine'!$C$2:$C$1369,0)))</f>
        <v/>
      </c>
      <c r="G1087" s="8">
        <f>IF(ISNA(MATCH(1078,'Transfer Engine'!$C$2:$C$1369,0)),"",INDEX('Compliance Database'!$G$2:$G$1369,MATCH(1078,'Transfer Engine'!$C$2:$C$1369,0)))</f>
        <v/>
      </c>
      <c r="H1087" s="9">
        <f>IF(ISNA(MATCH(1078,'Transfer Engine'!$C$2:$C$1369,0)),"",INDEX('Compliance Database'!$H$2:$H$1369,MATCH(1078,'Transfer Engine'!$C$2:$C$1369,0)))</f>
        <v/>
      </c>
      <c r="I1087" s="9">
        <f>IF(ISNA(MATCH(1078,'Transfer Engine'!$C$2:$C$1369,0)),"",INDEX('Compliance Database'!$I$2:$I$1369,MATCH(1078,'Transfer Engine'!$C$2:$C$1369,0)))</f>
        <v/>
      </c>
      <c r="J1087" s="8">
        <f>IF(ISNA(MATCH(1078,'Transfer Engine'!$C$2:$C$1369,0)),"",INDEX('Compliance Database'!$J$2:$J$1369,MATCH(1078,'Transfer Engine'!$C$2:$C$1369,0)))</f>
        <v/>
      </c>
      <c r="K1087" s="9">
        <f>IF(ISNA(MATCH(1078,'Transfer Engine'!$C$2:$C$1369,0)),"",INDEX('Compliance Database'!$K$2:$K$1369,MATCH(1078,'Transfer Engine'!$C$2:$C$1369,0)))</f>
        <v/>
      </c>
      <c r="L1087" s="9">
        <f>IF(ISNA(MATCH(1078,'Transfer Engine'!$C$2:$C$1369,0)),"",INDEX('Compliance Database'!$L$2:$L$1369,MATCH(1078,'Transfer Engine'!$C$2:$C$1369,0)))</f>
        <v/>
      </c>
      <c r="M1087" s="9">
        <f>IF(ISNA(MATCH(1078,'Transfer Engine'!$C$2:$C$1369,0)),"",INDEX('Compliance Database'!$M$2:$M$1369,MATCH(1078,'Transfer Engine'!$C$2:$C$1369,0)))</f>
        <v/>
      </c>
      <c r="N1087" s="9">
        <f>IF(ISNA(MATCH(1078,'Transfer Engine'!$C$2:$C$1369,0)),"",INDEX('Compliance Database'!$N$2:$N$1369,MATCH(1078,'Transfer Engine'!$C$2:$C$1369,0)))</f>
        <v/>
      </c>
      <c r="O1087" s="8">
        <f>IF(ISNA(MATCH(1078,'Transfer Engine'!$C$2:$C$1369,0)),"",HYPERLINK(INDEX('Compliance Database'!$O$2:$O$1369,MATCH(1078,'Transfer Engine'!$C$2:$C$1369,0)),"Open PDF"))</f>
        <v/>
      </c>
    </row>
    <row r="1088" ht="188" customHeight="1">
      <c r="A1088" s="8">
        <f>IF(ISNA(MATCH(1079,'Transfer Engine'!$C$2:$C$1369,0)),"",INDEX('Compliance Database'!$A$2:$A$1369,MATCH(1079,'Transfer Engine'!$C$2:$C$1369,0)))</f>
        <v/>
      </c>
      <c r="B1088" s="8">
        <f>IF(ISNA(MATCH(1079,'Transfer Engine'!$C$2:$C$1369,0)),"",INDEX('Compliance Database'!$B$2:$B$1369,MATCH(1079,'Transfer Engine'!$C$2:$C$1369,0)))</f>
        <v/>
      </c>
      <c r="C1088" s="8">
        <f>IF(ISNA(MATCH(1079,'Transfer Engine'!$C$2:$C$1369,0)),"",INDEX('Compliance Database'!$C$2:$C$1369,MATCH(1079,'Transfer Engine'!$C$2:$C$1369,0)))</f>
        <v/>
      </c>
      <c r="D1088" s="9">
        <f>IF(ISNA(MATCH(1079,'Transfer Engine'!$C$2:$C$1369,0)),"",INDEX('Compliance Database'!$D$2:$D$1369,MATCH(1079,'Transfer Engine'!$C$2:$C$1369,0)))</f>
        <v/>
      </c>
      <c r="E1088" s="8">
        <f>IF(ISNA(MATCH(1079,'Transfer Engine'!$C$2:$C$1369,0)),"",INDEX('Compliance Database'!$E$2:$E$1369,MATCH(1079,'Transfer Engine'!$C$2:$C$1369,0)))</f>
        <v/>
      </c>
      <c r="F1088" s="8">
        <f>IF(ISNA(MATCH(1079,'Transfer Engine'!$C$2:$C$1369,0)),"",INDEX('Compliance Database'!$F$2:$F$1369,MATCH(1079,'Transfer Engine'!$C$2:$C$1369,0)))</f>
        <v/>
      </c>
      <c r="G1088" s="8">
        <f>IF(ISNA(MATCH(1079,'Transfer Engine'!$C$2:$C$1369,0)),"",INDEX('Compliance Database'!$G$2:$G$1369,MATCH(1079,'Transfer Engine'!$C$2:$C$1369,0)))</f>
        <v/>
      </c>
      <c r="H1088" s="9">
        <f>IF(ISNA(MATCH(1079,'Transfer Engine'!$C$2:$C$1369,0)),"",INDEX('Compliance Database'!$H$2:$H$1369,MATCH(1079,'Transfer Engine'!$C$2:$C$1369,0)))</f>
        <v/>
      </c>
      <c r="I1088" s="9">
        <f>IF(ISNA(MATCH(1079,'Transfer Engine'!$C$2:$C$1369,0)),"",INDEX('Compliance Database'!$I$2:$I$1369,MATCH(1079,'Transfer Engine'!$C$2:$C$1369,0)))</f>
        <v/>
      </c>
      <c r="J1088" s="8">
        <f>IF(ISNA(MATCH(1079,'Transfer Engine'!$C$2:$C$1369,0)),"",INDEX('Compliance Database'!$J$2:$J$1369,MATCH(1079,'Transfer Engine'!$C$2:$C$1369,0)))</f>
        <v/>
      </c>
      <c r="K1088" s="9">
        <f>IF(ISNA(MATCH(1079,'Transfer Engine'!$C$2:$C$1369,0)),"",INDEX('Compliance Database'!$K$2:$K$1369,MATCH(1079,'Transfer Engine'!$C$2:$C$1369,0)))</f>
        <v/>
      </c>
      <c r="L1088" s="9">
        <f>IF(ISNA(MATCH(1079,'Transfer Engine'!$C$2:$C$1369,0)),"",INDEX('Compliance Database'!$L$2:$L$1369,MATCH(1079,'Transfer Engine'!$C$2:$C$1369,0)))</f>
        <v/>
      </c>
      <c r="M1088" s="9">
        <f>IF(ISNA(MATCH(1079,'Transfer Engine'!$C$2:$C$1369,0)),"",INDEX('Compliance Database'!$M$2:$M$1369,MATCH(1079,'Transfer Engine'!$C$2:$C$1369,0)))</f>
        <v/>
      </c>
      <c r="N1088" s="9">
        <f>IF(ISNA(MATCH(1079,'Transfer Engine'!$C$2:$C$1369,0)),"",INDEX('Compliance Database'!$N$2:$N$1369,MATCH(1079,'Transfer Engine'!$C$2:$C$1369,0)))</f>
        <v/>
      </c>
      <c r="O1088" s="8">
        <f>IF(ISNA(MATCH(1079,'Transfer Engine'!$C$2:$C$1369,0)),"",HYPERLINK(INDEX('Compliance Database'!$O$2:$O$1369,MATCH(1079,'Transfer Engine'!$C$2:$C$1369,0)),"Open PDF"))</f>
        <v/>
      </c>
    </row>
    <row r="1089" ht="188" customHeight="1">
      <c r="A1089" s="8">
        <f>IF(ISNA(MATCH(1080,'Transfer Engine'!$C$2:$C$1369,0)),"",INDEX('Compliance Database'!$A$2:$A$1369,MATCH(1080,'Transfer Engine'!$C$2:$C$1369,0)))</f>
        <v/>
      </c>
      <c r="B1089" s="8">
        <f>IF(ISNA(MATCH(1080,'Transfer Engine'!$C$2:$C$1369,0)),"",INDEX('Compliance Database'!$B$2:$B$1369,MATCH(1080,'Transfer Engine'!$C$2:$C$1369,0)))</f>
        <v/>
      </c>
      <c r="C1089" s="8">
        <f>IF(ISNA(MATCH(1080,'Transfer Engine'!$C$2:$C$1369,0)),"",INDEX('Compliance Database'!$C$2:$C$1369,MATCH(1080,'Transfer Engine'!$C$2:$C$1369,0)))</f>
        <v/>
      </c>
      <c r="D1089" s="9">
        <f>IF(ISNA(MATCH(1080,'Transfer Engine'!$C$2:$C$1369,0)),"",INDEX('Compliance Database'!$D$2:$D$1369,MATCH(1080,'Transfer Engine'!$C$2:$C$1369,0)))</f>
        <v/>
      </c>
      <c r="E1089" s="8">
        <f>IF(ISNA(MATCH(1080,'Transfer Engine'!$C$2:$C$1369,0)),"",INDEX('Compliance Database'!$E$2:$E$1369,MATCH(1080,'Transfer Engine'!$C$2:$C$1369,0)))</f>
        <v/>
      </c>
      <c r="F1089" s="8">
        <f>IF(ISNA(MATCH(1080,'Transfer Engine'!$C$2:$C$1369,0)),"",INDEX('Compliance Database'!$F$2:$F$1369,MATCH(1080,'Transfer Engine'!$C$2:$C$1369,0)))</f>
        <v/>
      </c>
      <c r="G1089" s="8">
        <f>IF(ISNA(MATCH(1080,'Transfer Engine'!$C$2:$C$1369,0)),"",INDEX('Compliance Database'!$G$2:$G$1369,MATCH(1080,'Transfer Engine'!$C$2:$C$1369,0)))</f>
        <v/>
      </c>
      <c r="H1089" s="9">
        <f>IF(ISNA(MATCH(1080,'Transfer Engine'!$C$2:$C$1369,0)),"",INDEX('Compliance Database'!$H$2:$H$1369,MATCH(1080,'Transfer Engine'!$C$2:$C$1369,0)))</f>
        <v/>
      </c>
      <c r="I1089" s="9">
        <f>IF(ISNA(MATCH(1080,'Transfer Engine'!$C$2:$C$1369,0)),"",INDEX('Compliance Database'!$I$2:$I$1369,MATCH(1080,'Transfer Engine'!$C$2:$C$1369,0)))</f>
        <v/>
      </c>
      <c r="J1089" s="8">
        <f>IF(ISNA(MATCH(1080,'Transfer Engine'!$C$2:$C$1369,0)),"",INDEX('Compliance Database'!$J$2:$J$1369,MATCH(1080,'Transfer Engine'!$C$2:$C$1369,0)))</f>
        <v/>
      </c>
      <c r="K1089" s="9">
        <f>IF(ISNA(MATCH(1080,'Transfer Engine'!$C$2:$C$1369,0)),"",INDEX('Compliance Database'!$K$2:$K$1369,MATCH(1080,'Transfer Engine'!$C$2:$C$1369,0)))</f>
        <v/>
      </c>
      <c r="L1089" s="9">
        <f>IF(ISNA(MATCH(1080,'Transfer Engine'!$C$2:$C$1369,0)),"",INDEX('Compliance Database'!$L$2:$L$1369,MATCH(1080,'Transfer Engine'!$C$2:$C$1369,0)))</f>
        <v/>
      </c>
      <c r="M1089" s="9">
        <f>IF(ISNA(MATCH(1080,'Transfer Engine'!$C$2:$C$1369,0)),"",INDEX('Compliance Database'!$M$2:$M$1369,MATCH(1080,'Transfer Engine'!$C$2:$C$1369,0)))</f>
        <v/>
      </c>
      <c r="N1089" s="9">
        <f>IF(ISNA(MATCH(1080,'Transfer Engine'!$C$2:$C$1369,0)),"",INDEX('Compliance Database'!$N$2:$N$1369,MATCH(1080,'Transfer Engine'!$C$2:$C$1369,0)))</f>
        <v/>
      </c>
      <c r="O1089" s="8">
        <f>IF(ISNA(MATCH(1080,'Transfer Engine'!$C$2:$C$1369,0)),"",HYPERLINK(INDEX('Compliance Database'!$O$2:$O$1369,MATCH(1080,'Transfer Engine'!$C$2:$C$1369,0)),"Open PDF"))</f>
        <v/>
      </c>
    </row>
    <row r="1090" ht="188" customHeight="1">
      <c r="A1090" s="8">
        <f>IF(ISNA(MATCH(1081,'Transfer Engine'!$C$2:$C$1369,0)),"",INDEX('Compliance Database'!$A$2:$A$1369,MATCH(1081,'Transfer Engine'!$C$2:$C$1369,0)))</f>
        <v/>
      </c>
      <c r="B1090" s="8">
        <f>IF(ISNA(MATCH(1081,'Transfer Engine'!$C$2:$C$1369,0)),"",INDEX('Compliance Database'!$B$2:$B$1369,MATCH(1081,'Transfer Engine'!$C$2:$C$1369,0)))</f>
        <v/>
      </c>
      <c r="C1090" s="8">
        <f>IF(ISNA(MATCH(1081,'Transfer Engine'!$C$2:$C$1369,0)),"",INDEX('Compliance Database'!$C$2:$C$1369,MATCH(1081,'Transfer Engine'!$C$2:$C$1369,0)))</f>
        <v/>
      </c>
      <c r="D1090" s="9">
        <f>IF(ISNA(MATCH(1081,'Transfer Engine'!$C$2:$C$1369,0)),"",INDEX('Compliance Database'!$D$2:$D$1369,MATCH(1081,'Transfer Engine'!$C$2:$C$1369,0)))</f>
        <v/>
      </c>
      <c r="E1090" s="8">
        <f>IF(ISNA(MATCH(1081,'Transfer Engine'!$C$2:$C$1369,0)),"",INDEX('Compliance Database'!$E$2:$E$1369,MATCH(1081,'Transfer Engine'!$C$2:$C$1369,0)))</f>
        <v/>
      </c>
      <c r="F1090" s="8">
        <f>IF(ISNA(MATCH(1081,'Transfer Engine'!$C$2:$C$1369,0)),"",INDEX('Compliance Database'!$F$2:$F$1369,MATCH(1081,'Transfer Engine'!$C$2:$C$1369,0)))</f>
        <v/>
      </c>
      <c r="G1090" s="8">
        <f>IF(ISNA(MATCH(1081,'Transfer Engine'!$C$2:$C$1369,0)),"",INDEX('Compliance Database'!$G$2:$G$1369,MATCH(1081,'Transfer Engine'!$C$2:$C$1369,0)))</f>
        <v/>
      </c>
      <c r="H1090" s="9">
        <f>IF(ISNA(MATCH(1081,'Transfer Engine'!$C$2:$C$1369,0)),"",INDEX('Compliance Database'!$H$2:$H$1369,MATCH(1081,'Transfer Engine'!$C$2:$C$1369,0)))</f>
        <v/>
      </c>
      <c r="I1090" s="9">
        <f>IF(ISNA(MATCH(1081,'Transfer Engine'!$C$2:$C$1369,0)),"",INDEX('Compliance Database'!$I$2:$I$1369,MATCH(1081,'Transfer Engine'!$C$2:$C$1369,0)))</f>
        <v/>
      </c>
      <c r="J1090" s="8">
        <f>IF(ISNA(MATCH(1081,'Transfer Engine'!$C$2:$C$1369,0)),"",INDEX('Compliance Database'!$J$2:$J$1369,MATCH(1081,'Transfer Engine'!$C$2:$C$1369,0)))</f>
        <v/>
      </c>
      <c r="K1090" s="9">
        <f>IF(ISNA(MATCH(1081,'Transfer Engine'!$C$2:$C$1369,0)),"",INDEX('Compliance Database'!$K$2:$K$1369,MATCH(1081,'Transfer Engine'!$C$2:$C$1369,0)))</f>
        <v/>
      </c>
      <c r="L1090" s="9">
        <f>IF(ISNA(MATCH(1081,'Transfer Engine'!$C$2:$C$1369,0)),"",INDEX('Compliance Database'!$L$2:$L$1369,MATCH(1081,'Transfer Engine'!$C$2:$C$1369,0)))</f>
        <v/>
      </c>
      <c r="M1090" s="9">
        <f>IF(ISNA(MATCH(1081,'Transfer Engine'!$C$2:$C$1369,0)),"",INDEX('Compliance Database'!$M$2:$M$1369,MATCH(1081,'Transfer Engine'!$C$2:$C$1369,0)))</f>
        <v/>
      </c>
      <c r="N1090" s="9">
        <f>IF(ISNA(MATCH(1081,'Transfer Engine'!$C$2:$C$1369,0)),"",INDEX('Compliance Database'!$N$2:$N$1369,MATCH(1081,'Transfer Engine'!$C$2:$C$1369,0)))</f>
        <v/>
      </c>
      <c r="O1090" s="8">
        <f>IF(ISNA(MATCH(1081,'Transfer Engine'!$C$2:$C$1369,0)),"",HYPERLINK(INDEX('Compliance Database'!$O$2:$O$1369,MATCH(1081,'Transfer Engine'!$C$2:$C$1369,0)),"Open PDF"))</f>
        <v/>
      </c>
    </row>
    <row r="1091" ht="188" customHeight="1">
      <c r="A1091" s="8">
        <f>IF(ISNA(MATCH(1082,'Transfer Engine'!$C$2:$C$1369,0)),"",INDEX('Compliance Database'!$A$2:$A$1369,MATCH(1082,'Transfer Engine'!$C$2:$C$1369,0)))</f>
        <v/>
      </c>
      <c r="B1091" s="8">
        <f>IF(ISNA(MATCH(1082,'Transfer Engine'!$C$2:$C$1369,0)),"",INDEX('Compliance Database'!$B$2:$B$1369,MATCH(1082,'Transfer Engine'!$C$2:$C$1369,0)))</f>
        <v/>
      </c>
      <c r="C1091" s="8">
        <f>IF(ISNA(MATCH(1082,'Transfer Engine'!$C$2:$C$1369,0)),"",INDEX('Compliance Database'!$C$2:$C$1369,MATCH(1082,'Transfer Engine'!$C$2:$C$1369,0)))</f>
        <v/>
      </c>
      <c r="D1091" s="9">
        <f>IF(ISNA(MATCH(1082,'Transfer Engine'!$C$2:$C$1369,0)),"",INDEX('Compliance Database'!$D$2:$D$1369,MATCH(1082,'Transfer Engine'!$C$2:$C$1369,0)))</f>
        <v/>
      </c>
      <c r="E1091" s="8">
        <f>IF(ISNA(MATCH(1082,'Transfer Engine'!$C$2:$C$1369,0)),"",INDEX('Compliance Database'!$E$2:$E$1369,MATCH(1082,'Transfer Engine'!$C$2:$C$1369,0)))</f>
        <v/>
      </c>
      <c r="F1091" s="8">
        <f>IF(ISNA(MATCH(1082,'Transfer Engine'!$C$2:$C$1369,0)),"",INDEX('Compliance Database'!$F$2:$F$1369,MATCH(1082,'Transfer Engine'!$C$2:$C$1369,0)))</f>
        <v/>
      </c>
      <c r="G1091" s="8">
        <f>IF(ISNA(MATCH(1082,'Transfer Engine'!$C$2:$C$1369,0)),"",INDEX('Compliance Database'!$G$2:$G$1369,MATCH(1082,'Transfer Engine'!$C$2:$C$1369,0)))</f>
        <v/>
      </c>
      <c r="H1091" s="9">
        <f>IF(ISNA(MATCH(1082,'Transfer Engine'!$C$2:$C$1369,0)),"",INDEX('Compliance Database'!$H$2:$H$1369,MATCH(1082,'Transfer Engine'!$C$2:$C$1369,0)))</f>
        <v/>
      </c>
      <c r="I1091" s="9">
        <f>IF(ISNA(MATCH(1082,'Transfer Engine'!$C$2:$C$1369,0)),"",INDEX('Compliance Database'!$I$2:$I$1369,MATCH(1082,'Transfer Engine'!$C$2:$C$1369,0)))</f>
        <v/>
      </c>
      <c r="J1091" s="8">
        <f>IF(ISNA(MATCH(1082,'Transfer Engine'!$C$2:$C$1369,0)),"",INDEX('Compliance Database'!$J$2:$J$1369,MATCH(1082,'Transfer Engine'!$C$2:$C$1369,0)))</f>
        <v/>
      </c>
      <c r="K1091" s="9">
        <f>IF(ISNA(MATCH(1082,'Transfer Engine'!$C$2:$C$1369,0)),"",INDEX('Compliance Database'!$K$2:$K$1369,MATCH(1082,'Transfer Engine'!$C$2:$C$1369,0)))</f>
        <v/>
      </c>
      <c r="L1091" s="9">
        <f>IF(ISNA(MATCH(1082,'Transfer Engine'!$C$2:$C$1369,0)),"",INDEX('Compliance Database'!$L$2:$L$1369,MATCH(1082,'Transfer Engine'!$C$2:$C$1369,0)))</f>
        <v/>
      </c>
      <c r="M1091" s="9">
        <f>IF(ISNA(MATCH(1082,'Transfer Engine'!$C$2:$C$1369,0)),"",INDEX('Compliance Database'!$M$2:$M$1369,MATCH(1082,'Transfer Engine'!$C$2:$C$1369,0)))</f>
        <v/>
      </c>
      <c r="N1091" s="9">
        <f>IF(ISNA(MATCH(1082,'Transfer Engine'!$C$2:$C$1369,0)),"",INDEX('Compliance Database'!$N$2:$N$1369,MATCH(1082,'Transfer Engine'!$C$2:$C$1369,0)))</f>
        <v/>
      </c>
      <c r="O1091" s="8">
        <f>IF(ISNA(MATCH(1082,'Transfer Engine'!$C$2:$C$1369,0)),"",HYPERLINK(INDEX('Compliance Database'!$O$2:$O$1369,MATCH(1082,'Transfer Engine'!$C$2:$C$1369,0)),"Open PDF"))</f>
        <v/>
      </c>
    </row>
    <row r="1092" ht="188" customHeight="1">
      <c r="A1092" s="8">
        <f>IF(ISNA(MATCH(1083,'Transfer Engine'!$C$2:$C$1369,0)),"",INDEX('Compliance Database'!$A$2:$A$1369,MATCH(1083,'Transfer Engine'!$C$2:$C$1369,0)))</f>
        <v/>
      </c>
      <c r="B1092" s="8">
        <f>IF(ISNA(MATCH(1083,'Transfer Engine'!$C$2:$C$1369,0)),"",INDEX('Compliance Database'!$B$2:$B$1369,MATCH(1083,'Transfer Engine'!$C$2:$C$1369,0)))</f>
        <v/>
      </c>
      <c r="C1092" s="8">
        <f>IF(ISNA(MATCH(1083,'Transfer Engine'!$C$2:$C$1369,0)),"",INDEX('Compliance Database'!$C$2:$C$1369,MATCH(1083,'Transfer Engine'!$C$2:$C$1369,0)))</f>
        <v/>
      </c>
      <c r="D1092" s="9">
        <f>IF(ISNA(MATCH(1083,'Transfer Engine'!$C$2:$C$1369,0)),"",INDEX('Compliance Database'!$D$2:$D$1369,MATCH(1083,'Transfer Engine'!$C$2:$C$1369,0)))</f>
        <v/>
      </c>
      <c r="E1092" s="8">
        <f>IF(ISNA(MATCH(1083,'Transfer Engine'!$C$2:$C$1369,0)),"",INDEX('Compliance Database'!$E$2:$E$1369,MATCH(1083,'Transfer Engine'!$C$2:$C$1369,0)))</f>
        <v/>
      </c>
      <c r="F1092" s="8">
        <f>IF(ISNA(MATCH(1083,'Transfer Engine'!$C$2:$C$1369,0)),"",INDEX('Compliance Database'!$F$2:$F$1369,MATCH(1083,'Transfer Engine'!$C$2:$C$1369,0)))</f>
        <v/>
      </c>
      <c r="G1092" s="8">
        <f>IF(ISNA(MATCH(1083,'Transfer Engine'!$C$2:$C$1369,0)),"",INDEX('Compliance Database'!$G$2:$G$1369,MATCH(1083,'Transfer Engine'!$C$2:$C$1369,0)))</f>
        <v/>
      </c>
      <c r="H1092" s="9">
        <f>IF(ISNA(MATCH(1083,'Transfer Engine'!$C$2:$C$1369,0)),"",INDEX('Compliance Database'!$H$2:$H$1369,MATCH(1083,'Transfer Engine'!$C$2:$C$1369,0)))</f>
        <v/>
      </c>
      <c r="I1092" s="9">
        <f>IF(ISNA(MATCH(1083,'Transfer Engine'!$C$2:$C$1369,0)),"",INDEX('Compliance Database'!$I$2:$I$1369,MATCH(1083,'Transfer Engine'!$C$2:$C$1369,0)))</f>
        <v/>
      </c>
      <c r="J1092" s="8">
        <f>IF(ISNA(MATCH(1083,'Transfer Engine'!$C$2:$C$1369,0)),"",INDEX('Compliance Database'!$J$2:$J$1369,MATCH(1083,'Transfer Engine'!$C$2:$C$1369,0)))</f>
        <v/>
      </c>
      <c r="K1092" s="9">
        <f>IF(ISNA(MATCH(1083,'Transfer Engine'!$C$2:$C$1369,0)),"",INDEX('Compliance Database'!$K$2:$K$1369,MATCH(1083,'Transfer Engine'!$C$2:$C$1369,0)))</f>
        <v/>
      </c>
      <c r="L1092" s="9">
        <f>IF(ISNA(MATCH(1083,'Transfer Engine'!$C$2:$C$1369,0)),"",INDEX('Compliance Database'!$L$2:$L$1369,MATCH(1083,'Transfer Engine'!$C$2:$C$1369,0)))</f>
        <v/>
      </c>
      <c r="M1092" s="9">
        <f>IF(ISNA(MATCH(1083,'Transfer Engine'!$C$2:$C$1369,0)),"",INDEX('Compliance Database'!$M$2:$M$1369,MATCH(1083,'Transfer Engine'!$C$2:$C$1369,0)))</f>
        <v/>
      </c>
      <c r="N1092" s="9">
        <f>IF(ISNA(MATCH(1083,'Transfer Engine'!$C$2:$C$1369,0)),"",INDEX('Compliance Database'!$N$2:$N$1369,MATCH(1083,'Transfer Engine'!$C$2:$C$1369,0)))</f>
        <v/>
      </c>
      <c r="O1092" s="8">
        <f>IF(ISNA(MATCH(1083,'Transfer Engine'!$C$2:$C$1369,0)),"",HYPERLINK(INDEX('Compliance Database'!$O$2:$O$1369,MATCH(1083,'Transfer Engine'!$C$2:$C$1369,0)),"Open PDF"))</f>
        <v/>
      </c>
    </row>
    <row r="1093" ht="188" customHeight="1">
      <c r="A1093" s="8">
        <f>IF(ISNA(MATCH(1084,'Transfer Engine'!$C$2:$C$1369,0)),"",INDEX('Compliance Database'!$A$2:$A$1369,MATCH(1084,'Transfer Engine'!$C$2:$C$1369,0)))</f>
        <v/>
      </c>
      <c r="B1093" s="8">
        <f>IF(ISNA(MATCH(1084,'Transfer Engine'!$C$2:$C$1369,0)),"",INDEX('Compliance Database'!$B$2:$B$1369,MATCH(1084,'Transfer Engine'!$C$2:$C$1369,0)))</f>
        <v/>
      </c>
      <c r="C1093" s="8">
        <f>IF(ISNA(MATCH(1084,'Transfer Engine'!$C$2:$C$1369,0)),"",INDEX('Compliance Database'!$C$2:$C$1369,MATCH(1084,'Transfer Engine'!$C$2:$C$1369,0)))</f>
        <v/>
      </c>
      <c r="D1093" s="9">
        <f>IF(ISNA(MATCH(1084,'Transfer Engine'!$C$2:$C$1369,0)),"",INDEX('Compliance Database'!$D$2:$D$1369,MATCH(1084,'Transfer Engine'!$C$2:$C$1369,0)))</f>
        <v/>
      </c>
      <c r="E1093" s="8">
        <f>IF(ISNA(MATCH(1084,'Transfer Engine'!$C$2:$C$1369,0)),"",INDEX('Compliance Database'!$E$2:$E$1369,MATCH(1084,'Transfer Engine'!$C$2:$C$1369,0)))</f>
        <v/>
      </c>
      <c r="F1093" s="8">
        <f>IF(ISNA(MATCH(1084,'Transfer Engine'!$C$2:$C$1369,0)),"",INDEX('Compliance Database'!$F$2:$F$1369,MATCH(1084,'Transfer Engine'!$C$2:$C$1369,0)))</f>
        <v/>
      </c>
      <c r="G1093" s="8">
        <f>IF(ISNA(MATCH(1084,'Transfer Engine'!$C$2:$C$1369,0)),"",INDEX('Compliance Database'!$G$2:$G$1369,MATCH(1084,'Transfer Engine'!$C$2:$C$1369,0)))</f>
        <v/>
      </c>
      <c r="H1093" s="9">
        <f>IF(ISNA(MATCH(1084,'Transfer Engine'!$C$2:$C$1369,0)),"",INDEX('Compliance Database'!$H$2:$H$1369,MATCH(1084,'Transfer Engine'!$C$2:$C$1369,0)))</f>
        <v/>
      </c>
      <c r="I1093" s="9">
        <f>IF(ISNA(MATCH(1084,'Transfer Engine'!$C$2:$C$1369,0)),"",INDEX('Compliance Database'!$I$2:$I$1369,MATCH(1084,'Transfer Engine'!$C$2:$C$1369,0)))</f>
        <v/>
      </c>
      <c r="J1093" s="8">
        <f>IF(ISNA(MATCH(1084,'Transfer Engine'!$C$2:$C$1369,0)),"",INDEX('Compliance Database'!$J$2:$J$1369,MATCH(1084,'Transfer Engine'!$C$2:$C$1369,0)))</f>
        <v/>
      </c>
      <c r="K1093" s="9">
        <f>IF(ISNA(MATCH(1084,'Transfer Engine'!$C$2:$C$1369,0)),"",INDEX('Compliance Database'!$K$2:$K$1369,MATCH(1084,'Transfer Engine'!$C$2:$C$1369,0)))</f>
        <v/>
      </c>
      <c r="L1093" s="9">
        <f>IF(ISNA(MATCH(1084,'Transfer Engine'!$C$2:$C$1369,0)),"",INDEX('Compliance Database'!$L$2:$L$1369,MATCH(1084,'Transfer Engine'!$C$2:$C$1369,0)))</f>
        <v/>
      </c>
      <c r="M1093" s="9">
        <f>IF(ISNA(MATCH(1084,'Transfer Engine'!$C$2:$C$1369,0)),"",INDEX('Compliance Database'!$M$2:$M$1369,MATCH(1084,'Transfer Engine'!$C$2:$C$1369,0)))</f>
        <v/>
      </c>
      <c r="N1093" s="9">
        <f>IF(ISNA(MATCH(1084,'Transfer Engine'!$C$2:$C$1369,0)),"",INDEX('Compliance Database'!$N$2:$N$1369,MATCH(1084,'Transfer Engine'!$C$2:$C$1369,0)))</f>
        <v/>
      </c>
      <c r="O1093" s="8">
        <f>IF(ISNA(MATCH(1084,'Transfer Engine'!$C$2:$C$1369,0)),"",HYPERLINK(INDEX('Compliance Database'!$O$2:$O$1369,MATCH(1084,'Transfer Engine'!$C$2:$C$1369,0)),"Open PDF"))</f>
        <v/>
      </c>
    </row>
    <row r="1094" ht="188" customHeight="1">
      <c r="A1094" s="8">
        <f>IF(ISNA(MATCH(1085,'Transfer Engine'!$C$2:$C$1369,0)),"",INDEX('Compliance Database'!$A$2:$A$1369,MATCH(1085,'Transfer Engine'!$C$2:$C$1369,0)))</f>
        <v/>
      </c>
      <c r="B1094" s="8">
        <f>IF(ISNA(MATCH(1085,'Transfer Engine'!$C$2:$C$1369,0)),"",INDEX('Compliance Database'!$B$2:$B$1369,MATCH(1085,'Transfer Engine'!$C$2:$C$1369,0)))</f>
        <v/>
      </c>
      <c r="C1094" s="8">
        <f>IF(ISNA(MATCH(1085,'Transfer Engine'!$C$2:$C$1369,0)),"",INDEX('Compliance Database'!$C$2:$C$1369,MATCH(1085,'Transfer Engine'!$C$2:$C$1369,0)))</f>
        <v/>
      </c>
      <c r="D1094" s="9">
        <f>IF(ISNA(MATCH(1085,'Transfer Engine'!$C$2:$C$1369,0)),"",INDEX('Compliance Database'!$D$2:$D$1369,MATCH(1085,'Transfer Engine'!$C$2:$C$1369,0)))</f>
        <v/>
      </c>
      <c r="E1094" s="8">
        <f>IF(ISNA(MATCH(1085,'Transfer Engine'!$C$2:$C$1369,0)),"",INDEX('Compliance Database'!$E$2:$E$1369,MATCH(1085,'Transfer Engine'!$C$2:$C$1369,0)))</f>
        <v/>
      </c>
      <c r="F1094" s="8">
        <f>IF(ISNA(MATCH(1085,'Transfer Engine'!$C$2:$C$1369,0)),"",INDEX('Compliance Database'!$F$2:$F$1369,MATCH(1085,'Transfer Engine'!$C$2:$C$1369,0)))</f>
        <v/>
      </c>
      <c r="G1094" s="8">
        <f>IF(ISNA(MATCH(1085,'Transfer Engine'!$C$2:$C$1369,0)),"",INDEX('Compliance Database'!$G$2:$G$1369,MATCH(1085,'Transfer Engine'!$C$2:$C$1369,0)))</f>
        <v/>
      </c>
      <c r="H1094" s="9">
        <f>IF(ISNA(MATCH(1085,'Transfer Engine'!$C$2:$C$1369,0)),"",INDEX('Compliance Database'!$H$2:$H$1369,MATCH(1085,'Transfer Engine'!$C$2:$C$1369,0)))</f>
        <v/>
      </c>
      <c r="I1094" s="9">
        <f>IF(ISNA(MATCH(1085,'Transfer Engine'!$C$2:$C$1369,0)),"",INDEX('Compliance Database'!$I$2:$I$1369,MATCH(1085,'Transfer Engine'!$C$2:$C$1369,0)))</f>
        <v/>
      </c>
      <c r="J1094" s="8">
        <f>IF(ISNA(MATCH(1085,'Transfer Engine'!$C$2:$C$1369,0)),"",INDEX('Compliance Database'!$J$2:$J$1369,MATCH(1085,'Transfer Engine'!$C$2:$C$1369,0)))</f>
        <v/>
      </c>
      <c r="K1094" s="9">
        <f>IF(ISNA(MATCH(1085,'Transfer Engine'!$C$2:$C$1369,0)),"",INDEX('Compliance Database'!$K$2:$K$1369,MATCH(1085,'Transfer Engine'!$C$2:$C$1369,0)))</f>
        <v/>
      </c>
      <c r="L1094" s="9">
        <f>IF(ISNA(MATCH(1085,'Transfer Engine'!$C$2:$C$1369,0)),"",INDEX('Compliance Database'!$L$2:$L$1369,MATCH(1085,'Transfer Engine'!$C$2:$C$1369,0)))</f>
        <v/>
      </c>
      <c r="M1094" s="9">
        <f>IF(ISNA(MATCH(1085,'Transfer Engine'!$C$2:$C$1369,0)),"",INDEX('Compliance Database'!$M$2:$M$1369,MATCH(1085,'Transfer Engine'!$C$2:$C$1369,0)))</f>
        <v/>
      </c>
      <c r="N1094" s="9">
        <f>IF(ISNA(MATCH(1085,'Transfer Engine'!$C$2:$C$1369,0)),"",INDEX('Compliance Database'!$N$2:$N$1369,MATCH(1085,'Transfer Engine'!$C$2:$C$1369,0)))</f>
        <v/>
      </c>
      <c r="O1094" s="8">
        <f>IF(ISNA(MATCH(1085,'Transfer Engine'!$C$2:$C$1369,0)),"",HYPERLINK(INDEX('Compliance Database'!$O$2:$O$1369,MATCH(1085,'Transfer Engine'!$C$2:$C$1369,0)),"Open PDF"))</f>
        <v/>
      </c>
    </row>
    <row r="1095" ht="188" customHeight="1">
      <c r="A1095" s="8">
        <f>IF(ISNA(MATCH(1086,'Transfer Engine'!$C$2:$C$1369,0)),"",INDEX('Compliance Database'!$A$2:$A$1369,MATCH(1086,'Transfer Engine'!$C$2:$C$1369,0)))</f>
        <v/>
      </c>
      <c r="B1095" s="8">
        <f>IF(ISNA(MATCH(1086,'Transfer Engine'!$C$2:$C$1369,0)),"",INDEX('Compliance Database'!$B$2:$B$1369,MATCH(1086,'Transfer Engine'!$C$2:$C$1369,0)))</f>
        <v/>
      </c>
      <c r="C1095" s="8">
        <f>IF(ISNA(MATCH(1086,'Transfer Engine'!$C$2:$C$1369,0)),"",INDEX('Compliance Database'!$C$2:$C$1369,MATCH(1086,'Transfer Engine'!$C$2:$C$1369,0)))</f>
        <v/>
      </c>
      <c r="D1095" s="9">
        <f>IF(ISNA(MATCH(1086,'Transfer Engine'!$C$2:$C$1369,0)),"",INDEX('Compliance Database'!$D$2:$D$1369,MATCH(1086,'Transfer Engine'!$C$2:$C$1369,0)))</f>
        <v/>
      </c>
      <c r="E1095" s="8">
        <f>IF(ISNA(MATCH(1086,'Transfer Engine'!$C$2:$C$1369,0)),"",INDEX('Compliance Database'!$E$2:$E$1369,MATCH(1086,'Transfer Engine'!$C$2:$C$1369,0)))</f>
        <v/>
      </c>
      <c r="F1095" s="8">
        <f>IF(ISNA(MATCH(1086,'Transfer Engine'!$C$2:$C$1369,0)),"",INDEX('Compliance Database'!$F$2:$F$1369,MATCH(1086,'Transfer Engine'!$C$2:$C$1369,0)))</f>
        <v/>
      </c>
      <c r="G1095" s="8">
        <f>IF(ISNA(MATCH(1086,'Transfer Engine'!$C$2:$C$1369,0)),"",INDEX('Compliance Database'!$G$2:$G$1369,MATCH(1086,'Transfer Engine'!$C$2:$C$1369,0)))</f>
        <v/>
      </c>
      <c r="H1095" s="9">
        <f>IF(ISNA(MATCH(1086,'Transfer Engine'!$C$2:$C$1369,0)),"",INDEX('Compliance Database'!$H$2:$H$1369,MATCH(1086,'Transfer Engine'!$C$2:$C$1369,0)))</f>
        <v/>
      </c>
      <c r="I1095" s="9">
        <f>IF(ISNA(MATCH(1086,'Transfer Engine'!$C$2:$C$1369,0)),"",INDEX('Compliance Database'!$I$2:$I$1369,MATCH(1086,'Transfer Engine'!$C$2:$C$1369,0)))</f>
        <v/>
      </c>
      <c r="J1095" s="8">
        <f>IF(ISNA(MATCH(1086,'Transfer Engine'!$C$2:$C$1369,0)),"",INDEX('Compliance Database'!$J$2:$J$1369,MATCH(1086,'Transfer Engine'!$C$2:$C$1369,0)))</f>
        <v/>
      </c>
      <c r="K1095" s="9">
        <f>IF(ISNA(MATCH(1086,'Transfer Engine'!$C$2:$C$1369,0)),"",INDEX('Compliance Database'!$K$2:$K$1369,MATCH(1086,'Transfer Engine'!$C$2:$C$1369,0)))</f>
        <v/>
      </c>
      <c r="L1095" s="9">
        <f>IF(ISNA(MATCH(1086,'Transfer Engine'!$C$2:$C$1369,0)),"",INDEX('Compliance Database'!$L$2:$L$1369,MATCH(1086,'Transfer Engine'!$C$2:$C$1369,0)))</f>
        <v/>
      </c>
      <c r="M1095" s="9">
        <f>IF(ISNA(MATCH(1086,'Transfer Engine'!$C$2:$C$1369,0)),"",INDEX('Compliance Database'!$M$2:$M$1369,MATCH(1086,'Transfer Engine'!$C$2:$C$1369,0)))</f>
        <v/>
      </c>
      <c r="N1095" s="9">
        <f>IF(ISNA(MATCH(1086,'Transfer Engine'!$C$2:$C$1369,0)),"",INDEX('Compliance Database'!$N$2:$N$1369,MATCH(1086,'Transfer Engine'!$C$2:$C$1369,0)))</f>
        <v/>
      </c>
      <c r="O1095" s="8">
        <f>IF(ISNA(MATCH(1086,'Transfer Engine'!$C$2:$C$1369,0)),"",HYPERLINK(INDEX('Compliance Database'!$O$2:$O$1369,MATCH(1086,'Transfer Engine'!$C$2:$C$1369,0)),"Open PDF"))</f>
        <v/>
      </c>
    </row>
    <row r="1096" ht="188" customHeight="1">
      <c r="A1096" s="8">
        <f>IF(ISNA(MATCH(1087,'Transfer Engine'!$C$2:$C$1369,0)),"",INDEX('Compliance Database'!$A$2:$A$1369,MATCH(1087,'Transfer Engine'!$C$2:$C$1369,0)))</f>
        <v/>
      </c>
      <c r="B1096" s="8">
        <f>IF(ISNA(MATCH(1087,'Transfer Engine'!$C$2:$C$1369,0)),"",INDEX('Compliance Database'!$B$2:$B$1369,MATCH(1087,'Transfer Engine'!$C$2:$C$1369,0)))</f>
        <v/>
      </c>
      <c r="C1096" s="8">
        <f>IF(ISNA(MATCH(1087,'Transfer Engine'!$C$2:$C$1369,0)),"",INDEX('Compliance Database'!$C$2:$C$1369,MATCH(1087,'Transfer Engine'!$C$2:$C$1369,0)))</f>
        <v/>
      </c>
      <c r="D1096" s="9">
        <f>IF(ISNA(MATCH(1087,'Transfer Engine'!$C$2:$C$1369,0)),"",INDEX('Compliance Database'!$D$2:$D$1369,MATCH(1087,'Transfer Engine'!$C$2:$C$1369,0)))</f>
        <v/>
      </c>
      <c r="E1096" s="8">
        <f>IF(ISNA(MATCH(1087,'Transfer Engine'!$C$2:$C$1369,0)),"",INDEX('Compliance Database'!$E$2:$E$1369,MATCH(1087,'Transfer Engine'!$C$2:$C$1369,0)))</f>
        <v/>
      </c>
      <c r="F1096" s="8">
        <f>IF(ISNA(MATCH(1087,'Transfer Engine'!$C$2:$C$1369,0)),"",INDEX('Compliance Database'!$F$2:$F$1369,MATCH(1087,'Transfer Engine'!$C$2:$C$1369,0)))</f>
        <v/>
      </c>
      <c r="G1096" s="8">
        <f>IF(ISNA(MATCH(1087,'Transfer Engine'!$C$2:$C$1369,0)),"",INDEX('Compliance Database'!$G$2:$G$1369,MATCH(1087,'Transfer Engine'!$C$2:$C$1369,0)))</f>
        <v/>
      </c>
      <c r="H1096" s="9">
        <f>IF(ISNA(MATCH(1087,'Transfer Engine'!$C$2:$C$1369,0)),"",INDEX('Compliance Database'!$H$2:$H$1369,MATCH(1087,'Transfer Engine'!$C$2:$C$1369,0)))</f>
        <v/>
      </c>
      <c r="I1096" s="9">
        <f>IF(ISNA(MATCH(1087,'Transfer Engine'!$C$2:$C$1369,0)),"",INDEX('Compliance Database'!$I$2:$I$1369,MATCH(1087,'Transfer Engine'!$C$2:$C$1369,0)))</f>
        <v/>
      </c>
      <c r="J1096" s="8">
        <f>IF(ISNA(MATCH(1087,'Transfer Engine'!$C$2:$C$1369,0)),"",INDEX('Compliance Database'!$J$2:$J$1369,MATCH(1087,'Transfer Engine'!$C$2:$C$1369,0)))</f>
        <v/>
      </c>
      <c r="K1096" s="9">
        <f>IF(ISNA(MATCH(1087,'Transfer Engine'!$C$2:$C$1369,0)),"",INDEX('Compliance Database'!$K$2:$K$1369,MATCH(1087,'Transfer Engine'!$C$2:$C$1369,0)))</f>
        <v/>
      </c>
      <c r="L1096" s="9">
        <f>IF(ISNA(MATCH(1087,'Transfer Engine'!$C$2:$C$1369,0)),"",INDEX('Compliance Database'!$L$2:$L$1369,MATCH(1087,'Transfer Engine'!$C$2:$C$1369,0)))</f>
        <v/>
      </c>
      <c r="M1096" s="9">
        <f>IF(ISNA(MATCH(1087,'Transfer Engine'!$C$2:$C$1369,0)),"",INDEX('Compliance Database'!$M$2:$M$1369,MATCH(1087,'Transfer Engine'!$C$2:$C$1369,0)))</f>
        <v/>
      </c>
      <c r="N1096" s="9">
        <f>IF(ISNA(MATCH(1087,'Transfer Engine'!$C$2:$C$1369,0)),"",INDEX('Compliance Database'!$N$2:$N$1369,MATCH(1087,'Transfer Engine'!$C$2:$C$1369,0)))</f>
        <v/>
      </c>
      <c r="O1096" s="8">
        <f>IF(ISNA(MATCH(1087,'Transfer Engine'!$C$2:$C$1369,0)),"",HYPERLINK(INDEX('Compliance Database'!$O$2:$O$1369,MATCH(1087,'Transfer Engine'!$C$2:$C$1369,0)),"Open PDF"))</f>
        <v/>
      </c>
    </row>
    <row r="1097" ht="188" customHeight="1">
      <c r="A1097" s="8">
        <f>IF(ISNA(MATCH(1088,'Transfer Engine'!$C$2:$C$1369,0)),"",INDEX('Compliance Database'!$A$2:$A$1369,MATCH(1088,'Transfer Engine'!$C$2:$C$1369,0)))</f>
        <v/>
      </c>
      <c r="B1097" s="8">
        <f>IF(ISNA(MATCH(1088,'Transfer Engine'!$C$2:$C$1369,0)),"",INDEX('Compliance Database'!$B$2:$B$1369,MATCH(1088,'Transfer Engine'!$C$2:$C$1369,0)))</f>
        <v/>
      </c>
      <c r="C1097" s="8">
        <f>IF(ISNA(MATCH(1088,'Transfer Engine'!$C$2:$C$1369,0)),"",INDEX('Compliance Database'!$C$2:$C$1369,MATCH(1088,'Transfer Engine'!$C$2:$C$1369,0)))</f>
        <v/>
      </c>
      <c r="D1097" s="9">
        <f>IF(ISNA(MATCH(1088,'Transfer Engine'!$C$2:$C$1369,0)),"",INDEX('Compliance Database'!$D$2:$D$1369,MATCH(1088,'Transfer Engine'!$C$2:$C$1369,0)))</f>
        <v/>
      </c>
      <c r="E1097" s="8">
        <f>IF(ISNA(MATCH(1088,'Transfer Engine'!$C$2:$C$1369,0)),"",INDEX('Compliance Database'!$E$2:$E$1369,MATCH(1088,'Transfer Engine'!$C$2:$C$1369,0)))</f>
        <v/>
      </c>
      <c r="F1097" s="8">
        <f>IF(ISNA(MATCH(1088,'Transfer Engine'!$C$2:$C$1369,0)),"",INDEX('Compliance Database'!$F$2:$F$1369,MATCH(1088,'Transfer Engine'!$C$2:$C$1369,0)))</f>
        <v/>
      </c>
      <c r="G1097" s="8">
        <f>IF(ISNA(MATCH(1088,'Transfer Engine'!$C$2:$C$1369,0)),"",INDEX('Compliance Database'!$G$2:$G$1369,MATCH(1088,'Transfer Engine'!$C$2:$C$1369,0)))</f>
        <v/>
      </c>
      <c r="H1097" s="9">
        <f>IF(ISNA(MATCH(1088,'Transfer Engine'!$C$2:$C$1369,0)),"",INDEX('Compliance Database'!$H$2:$H$1369,MATCH(1088,'Transfer Engine'!$C$2:$C$1369,0)))</f>
        <v/>
      </c>
      <c r="I1097" s="9">
        <f>IF(ISNA(MATCH(1088,'Transfer Engine'!$C$2:$C$1369,0)),"",INDEX('Compliance Database'!$I$2:$I$1369,MATCH(1088,'Transfer Engine'!$C$2:$C$1369,0)))</f>
        <v/>
      </c>
      <c r="J1097" s="8">
        <f>IF(ISNA(MATCH(1088,'Transfer Engine'!$C$2:$C$1369,0)),"",INDEX('Compliance Database'!$J$2:$J$1369,MATCH(1088,'Transfer Engine'!$C$2:$C$1369,0)))</f>
        <v/>
      </c>
      <c r="K1097" s="9">
        <f>IF(ISNA(MATCH(1088,'Transfer Engine'!$C$2:$C$1369,0)),"",INDEX('Compliance Database'!$K$2:$K$1369,MATCH(1088,'Transfer Engine'!$C$2:$C$1369,0)))</f>
        <v/>
      </c>
      <c r="L1097" s="9">
        <f>IF(ISNA(MATCH(1088,'Transfer Engine'!$C$2:$C$1369,0)),"",INDEX('Compliance Database'!$L$2:$L$1369,MATCH(1088,'Transfer Engine'!$C$2:$C$1369,0)))</f>
        <v/>
      </c>
      <c r="M1097" s="9">
        <f>IF(ISNA(MATCH(1088,'Transfer Engine'!$C$2:$C$1369,0)),"",INDEX('Compliance Database'!$M$2:$M$1369,MATCH(1088,'Transfer Engine'!$C$2:$C$1369,0)))</f>
        <v/>
      </c>
      <c r="N1097" s="9">
        <f>IF(ISNA(MATCH(1088,'Transfer Engine'!$C$2:$C$1369,0)),"",INDEX('Compliance Database'!$N$2:$N$1369,MATCH(1088,'Transfer Engine'!$C$2:$C$1369,0)))</f>
        <v/>
      </c>
      <c r="O1097" s="8">
        <f>IF(ISNA(MATCH(1088,'Transfer Engine'!$C$2:$C$1369,0)),"",HYPERLINK(INDEX('Compliance Database'!$O$2:$O$1369,MATCH(1088,'Transfer Engine'!$C$2:$C$1369,0)),"Open PDF"))</f>
        <v/>
      </c>
    </row>
    <row r="1098" ht="188" customHeight="1">
      <c r="A1098" s="8">
        <f>IF(ISNA(MATCH(1089,'Transfer Engine'!$C$2:$C$1369,0)),"",INDEX('Compliance Database'!$A$2:$A$1369,MATCH(1089,'Transfer Engine'!$C$2:$C$1369,0)))</f>
        <v/>
      </c>
      <c r="B1098" s="8">
        <f>IF(ISNA(MATCH(1089,'Transfer Engine'!$C$2:$C$1369,0)),"",INDEX('Compliance Database'!$B$2:$B$1369,MATCH(1089,'Transfer Engine'!$C$2:$C$1369,0)))</f>
        <v/>
      </c>
      <c r="C1098" s="8">
        <f>IF(ISNA(MATCH(1089,'Transfer Engine'!$C$2:$C$1369,0)),"",INDEX('Compliance Database'!$C$2:$C$1369,MATCH(1089,'Transfer Engine'!$C$2:$C$1369,0)))</f>
        <v/>
      </c>
      <c r="D1098" s="9">
        <f>IF(ISNA(MATCH(1089,'Transfer Engine'!$C$2:$C$1369,0)),"",INDEX('Compliance Database'!$D$2:$D$1369,MATCH(1089,'Transfer Engine'!$C$2:$C$1369,0)))</f>
        <v/>
      </c>
      <c r="E1098" s="8">
        <f>IF(ISNA(MATCH(1089,'Transfer Engine'!$C$2:$C$1369,0)),"",INDEX('Compliance Database'!$E$2:$E$1369,MATCH(1089,'Transfer Engine'!$C$2:$C$1369,0)))</f>
        <v/>
      </c>
      <c r="F1098" s="8">
        <f>IF(ISNA(MATCH(1089,'Transfer Engine'!$C$2:$C$1369,0)),"",INDEX('Compliance Database'!$F$2:$F$1369,MATCH(1089,'Transfer Engine'!$C$2:$C$1369,0)))</f>
        <v/>
      </c>
      <c r="G1098" s="8">
        <f>IF(ISNA(MATCH(1089,'Transfer Engine'!$C$2:$C$1369,0)),"",INDEX('Compliance Database'!$G$2:$G$1369,MATCH(1089,'Transfer Engine'!$C$2:$C$1369,0)))</f>
        <v/>
      </c>
      <c r="H1098" s="9">
        <f>IF(ISNA(MATCH(1089,'Transfer Engine'!$C$2:$C$1369,0)),"",INDEX('Compliance Database'!$H$2:$H$1369,MATCH(1089,'Transfer Engine'!$C$2:$C$1369,0)))</f>
        <v/>
      </c>
      <c r="I1098" s="9">
        <f>IF(ISNA(MATCH(1089,'Transfer Engine'!$C$2:$C$1369,0)),"",INDEX('Compliance Database'!$I$2:$I$1369,MATCH(1089,'Transfer Engine'!$C$2:$C$1369,0)))</f>
        <v/>
      </c>
      <c r="J1098" s="8">
        <f>IF(ISNA(MATCH(1089,'Transfer Engine'!$C$2:$C$1369,0)),"",INDEX('Compliance Database'!$J$2:$J$1369,MATCH(1089,'Transfer Engine'!$C$2:$C$1369,0)))</f>
        <v/>
      </c>
      <c r="K1098" s="9">
        <f>IF(ISNA(MATCH(1089,'Transfer Engine'!$C$2:$C$1369,0)),"",INDEX('Compliance Database'!$K$2:$K$1369,MATCH(1089,'Transfer Engine'!$C$2:$C$1369,0)))</f>
        <v/>
      </c>
      <c r="L1098" s="9">
        <f>IF(ISNA(MATCH(1089,'Transfer Engine'!$C$2:$C$1369,0)),"",INDEX('Compliance Database'!$L$2:$L$1369,MATCH(1089,'Transfer Engine'!$C$2:$C$1369,0)))</f>
        <v/>
      </c>
      <c r="M1098" s="9">
        <f>IF(ISNA(MATCH(1089,'Transfer Engine'!$C$2:$C$1369,0)),"",INDEX('Compliance Database'!$M$2:$M$1369,MATCH(1089,'Transfer Engine'!$C$2:$C$1369,0)))</f>
        <v/>
      </c>
      <c r="N1098" s="9">
        <f>IF(ISNA(MATCH(1089,'Transfer Engine'!$C$2:$C$1369,0)),"",INDEX('Compliance Database'!$N$2:$N$1369,MATCH(1089,'Transfer Engine'!$C$2:$C$1369,0)))</f>
        <v/>
      </c>
      <c r="O1098" s="8">
        <f>IF(ISNA(MATCH(1089,'Transfer Engine'!$C$2:$C$1369,0)),"",HYPERLINK(INDEX('Compliance Database'!$O$2:$O$1369,MATCH(1089,'Transfer Engine'!$C$2:$C$1369,0)),"Open PDF"))</f>
        <v/>
      </c>
    </row>
    <row r="1099" ht="188" customHeight="1">
      <c r="A1099" s="8">
        <f>IF(ISNA(MATCH(1090,'Transfer Engine'!$C$2:$C$1369,0)),"",INDEX('Compliance Database'!$A$2:$A$1369,MATCH(1090,'Transfer Engine'!$C$2:$C$1369,0)))</f>
        <v/>
      </c>
      <c r="B1099" s="8">
        <f>IF(ISNA(MATCH(1090,'Transfer Engine'!$C$2:$C$1369,0)),"",INDEX('Compliance Database'!$B$2:$B$1369,MATCH(1090,'Transfer Engine'!$C$2:$C$1369,0)))</f>
        <v/>
      </c>
      <c r="C1099" s="8">
        <f>IF(ISNA(MATCH(1090,'Transfer Engine'!$C$2:$C$1369,0)),"",INDEX('Compliance Database'!$C$2:$C$1369,MATCH(1090,'Transfer Engine'!$C$2:$C$1369,0)))</f>
        <v/>
      </c>
      <c r="D1099" s="9">
        <f>IF(ISNA(MATCH(1090,'Transfer Engine'!$C$2:$C$1369,0)),"",INDEX('Compliance Database'!$D$2:$D$1369,MATCH(1090,'Transfer Engine'!$C$2:$C$1369,0)))</f>
        <v/>
      </c>
      <c r="E1099" s="8">
        <f>IF(ISNA(MATCH(1090,'Transfer Engine'!$C$2:$C$1369,0)),"",INDEX('Compliance Database'!$E$2:$E$1369,MATCH(1090,'Transfer Engine'!$C$2:$C$1369,0)))</f>
        <v/>
      </c>
      <c r="F1099" s="8">
        <f>IF(ISNA(MATCH(1090,'Transfer Engine'!$C$2:$C$1369,0)),"",INDEX('Compliance Database'!$F$2:$F$1369,MATCH(1090,'Transfer Engine'!$C$2:$C$1369,0)))</f>
        <v/>
      </c>
      <c r="G1099" s="8">
        <f>IF(ISNA(MATCH(1090,'Transfer Engine'!$C$2:$C$1369,0)),"",INDEX('Compliance Database'!$G$2:$G$1369,MATCH(1090,'Transfer Engine'!$C$2:$C$1369,0)))</f>
        <v/>
      </c>
      <c r="H1099" s="9">
        <f>IF(ISNA(MATCH(1090,'Transfer Engine'!$C$2:$C$1369,0)),"",INDEX('Compliance Database'!$H$2:$H$1369,MATCH(1090,'Transfer Engine'!$C$2:$C$1369,0)))</f>
        <v/>
      </c>
      <c r="I1099" s="9">
        <f>IF(ISNA(MATCH(1090,'Transfer Engine'!$C$2:$C$1369,0)),"",INDEX('Compliance Database'!$I$2:$I$1369,MATCH(1090,'Transfer Engine'!$C$2:$C$1369,0)))</f>
        <v/>
      </c>
      <c r="J1099" s="8">
        <f>IF(ISNA(MATCH(1090,'Transfer Engine'!$C$2:$C$1369,0)),"",INDEX('Compliance Database'!$J$2:$J$1369,MATCH(1090,'Transfer Engine'!$C$2:$C$1369,0)))</f>
        <v/>
      </c>
      <c r="K1099" s="9">
        <f>IF(ISNA(MATCH(1090,'Transfer Engine'!$C$2:$C$1369,0)),"",INDEX('Compliance Database'!$K$2:$K$1369,MATCH(1090,'Transfer Engine'!$C$2:$C$1369,0)))</f>
        <v/>
      </c>
      <c r="L1099" s="9">
        <f>IF(ISNA(MATCH(1090,'Transfer Engine'!$C$2:$C$1369,0)),"",INDEX('Compliance Database'!$L$2:$L$1369,MATCH(1090,'Transfer Engine'!$C$2:$C$1369,0)))</f>
        <v/>
      </c>
      <c r="M1099" s="9">
        <f>IF(ISNA(MATCH(1090,'Transfer Engine'!$C$2:$C$1369,0)),"",INDEX('Compliance Database'!$M$2:$M$1369,MATCH(1090,'Transfer Engine'!$C$2:$C$1369,0)))</f>
        <v/>
      </c>
      <c r="N1099" s="9">
        <f>IF(ISNA(MATCH(1090,'Transfer Engine'!$C$2:$C$1369,0)),"",INDEX('Compliance Database'!$N$2:$N$1369,MATCH(1090,'Transfer Engine'!$C$2:$C$1369,0)))</f>
        <v/>
      </c>
      <c r="O1099" s="8">
        <f>IF(ISNA(MATCH(1090,'Transfer Engine'!$C$2:$C$1369,0)),"",HYPERLINK(INDEX('Compliance Database'!$O$2:$O$1369,MATCH(1090,'Transfer Engine'!$C$2:$C$1369,0)),"Open PDF"))</f>
        <v/>
      </c>
    </row>
    <row r="1100" ht="188" customHeight="1">
      <c r="A1100" s="8">
        <f>IF(ISNA(MATCH(1091,'Transfer Engine'!$C$2:$C$1369,0)),"",INDEX('Compliance Database'!$A$2:$A$1369,MATCH(1091,'Transfer Engine'!$C$2:$C$1369,0)))</f>
        <v/>
      </c>
      <c r="B1100" s="8">
        <f>IF(ISNA(MATCH(1091,'Transfer Engine'!$C$2:$C$1369,0)),"",INDEX('Compliance Database'!$B$2:$B$1369,MATCH(1091,'Transfer Engine'!$C$2:$C$1369,0)))</f>
        <v/>
      </c>
      <c r="C1100" s="8">
        <f>IF(ISNA(MATCH(1091,'Transfer Engine'!$C$2:$C$1369,0)),"",INDEX('Compliance Database'!$C$2:$C$1369,MATCH(1091,'Transfer Engine'!$C$2:$C$1369,0)))</f>
        <v/>
      </c>
      <c r="D1100" s="9">
        <f>IF(ISNA(MATCH(1091,'Transfer Engine'!$C$2:$C$1369,0)),"",INDEX('Compliance Database'!$D$2:$D$1369,MATCH(1091,'Transfer Engine'!$C$2:$C$1369,0)))</f>
        <v/>
      </c>
      <c r="E1100" s="8">
        <f>IF(ISNA(MATCH(1091,'Transfer Engine'!$C$2:$C$1369,0)),"",INDEX('Compliance Database'!$E$2:$E$1369,MATCH(1091,'Transfer Engine'!$C$2:$C$1369,0)))</f>
        <v/>
      </c>
      <c r="F1100" s="8">
        <f>IF(ISNA(MATCH(1091,'Transfer Engine'!$C$2:$C$1369,0)),"",INDEX('Compliance Database'!$F$2:$F$1369,MATCH(1091,'Transfer Engine'!$C$2:$C$1369,0)))</f>
        <v/>
      </c>
      <c r="G1100" s="8">
        <f>IF(ISNA(MATCH(1091,'Transfer Engine'!$C$2:$C$1369,0)),"",INDEX('Compliance Database'!$G$2:$G$1369,MATCH(1091,'Transfer Engine'!$C$2:$C$1369,0)))</f>
        <v/>
      </c>
      <c r="H1100" s="9">
        <f>IF(ISNA(MATCH(1091,'Transfer Engine'!$C$2:$C$1369,0)),"",INDEX('Compliance Database'!$H$2:$H$1369,MATCH(1091,'Transfer Engine'!$C$2:$C$1369,0)))</f>
        <v/>
      </c>
      <c r="I1100" s="9">
        <f>IF(ISNA(MATCH(1091,'Transfer Engine'!$C$2:$C$1369,0)),"",INDEX('Compliance Database'!$I$2:$I$1369,MATCH(1091,'Transfer Engine'!$C$2:$C$1369,0)))</f>
        <v/>
      </c>
      <c r="J1100" s="8">
        <f>IF(ISNA(MATCH(1091,'Transfer Engine'!$C$2:$C$1369,0)),"",INDEX('Compliance Database'!$J$2:$J$1369,MATCH(1091,'Transfer Engine'!$C$2:$C$1369,0)))</f>
        <v/>
      </c>
      <c r="K1100" s="9">
        <f>IF(ISNA(MATCH(1091,'Transfer Engine'!$C$2:$C$1369,0)),"",INDEX('Compliance Database'!$K$2:$K$1369,MATCH(1091,'Transfer Engine'!$C$2:$C$1369,0)))</f>
        <v/>
      </c>
      <c r="L1100" s="9">
        <f>IF(ISNA(MATCH(1091,'Transfer Engine'!$C$2:$C$1369,0)),"",INDEX('Compliance Database'!$L$2:$L$1369,MATCH(1091,'Transfer Engine'!$C$2:$C$1369,0)))</f>
        <v/>
      </c>
      <c r="M1100" s="9">
        <f>IF(ISNA(MATCH(1091,'Transfer Engine'!$C$2:$C$1369,0)),"",INDEX('Compliance Database'!$M$2:$M$1369,MATCH(1091,'Transfer Engine'!$C$2:$C$1369,0)))</f>
        <v/>
      </c>
      <c r="N1100" s="9">
        <f>IF(ISNA(MATCH(1091,'Transfer Engine'!$C$2:$C$1369,0)),"",INDEX('Compliance Database'!$N$2:$N$1369,MATCH(1091,'Transfer Engine'!$C$2:$C$1369,0)))</f>
        <v/>
      </c>
      <c r="O1100" s="8">
        <f>IF(ISNA(MATCH(1091,'Transfer Engine'!$C$2:$C$1369,0)),"",HYPERLINK(INDEX('Compliance Database'!$O$2:$O$1369,MATCH(1091,'Transfer Engine'!$C$2:$C$1369,0)),"Open PDF"))</f>
        <v/>
      </c>
    </row>
    <row r="1101" ht="188" customHeight="1">
      <c r="A1101" s="8">
        <f>IF(ISNA(MATCH(1092,'Transfer Engine'!$C$2:$C$1369,0)),"",INDEX('Compliance Database'!$A$2:$A$1369,MATCH(1092,'Transfer Engine'!$C$2:$C$1369,0)))</f>
        <v/>
      </c>
      <c r="B1101" s="8">
        <f>IF(ISNA(MATCH(1092,'Transfer Engine'!$C$2:$C$1369,0)),"",INDEX('Compliance Database'!$B$2:$B$1369,MATCH(1092,'Transfer Engine'!$C$2:$C$1369,0)))</f>
        <v/>
      </c>
      <c r="C1101" s="8">
        <f>IF(ISNA(MATCH(1092,'Transfer Engine'!$C$2:$C$1369,0)),"",INDEX('Compliance Database'!$C$2:$C$1369,MATCH(1092,'Transfer Engine'!$C$2:$C$1369,0)))</f>
        <v/>
      </c>
      <c r="D1101" s="9">
        <f>IF(ISNA(MATCH(1092,'Transfer Engine'!$C$2:$C$1369,0)),"",INDEX('Compliance Database'!$D$2:$D$1369,MATCH(1092,'Transfer Engine'!$C$2:$C$1369,0)))</f>
        <v/>
      </c>
      <c r="E1101" s="8">
        <f>IF(ISNA(MATCH(1092,'Transfer Engine'!$C$2:$C$1369,0)),"",INDEX('Compliance Database'!$E$2:$E$1369,MATCH(1092,'Transfer Engine'!$C$2:$C$1369,0)))</f>
        <v/>
      </c>
      <c r="F1101" s="8">
        <f>IF(ISNA(MATCH(1092,'Transfer Engine'!$C$2:$C$1369,0)),"",INDEX('Compliance Database'!$F$2:$F$1369,MATCH(1092,'Transfer Engine'!$C$2:$C$1369,0)))</f>
        <v/>
      </c>
      <c r="G1101" s="8">
        <f>IF(ISNA(MATCH(1092,'Transfer Engine'!$C$2:$C$1369,0)),"",INDEX('Compliance Database'!$G$2:$G$1369,MATCH(1092,'Transfer Engine'!$C$2:$C$1369,0)))</f>
        <v/>
      </c>
      <c r="H1101" s="9">
        <f>IF(ISNA(MATCH(1092,'Transfer Engine'!$C$2:$C$1369,0)),"",INDEX('Compliance Database'!$H$2:$H$1369,MATCH(1092,'Transfer Engine'!$C$2:$C$1369,0)))</f>
        <v/>
      </c>
      <c r="I1101" s="9">
        <f>IF(ISNA(MATCH(1092,'Transfer Engine'!$C$2:$C$1369,0)),"",INDEX('Compliance Database'!$I$2:$I$1369,MATCH(1092,'Transfer Engine'!$C$2:$C$1369,0)))</f>
        <v/>
      </c>
      <c r="J1101" s="8">
        <f>IF(ISNA(MATCH(1092,'Transfer Engine'!$C$2:$C$1369,0)),"",INDEX('Compliance Database'!$J$2:$J$1369,MATCH(1092,'Transfer Engine'!$C$2:$C$1369,0)))</f>
        <v/>
      </c>
      <c r="K1101" s="9">
        <f>IF(ISNA(MATCH(1092,'Transfer Engine'!$C$2:$C$1369,0)),"",INDEX('Compliance Database'!$K$2:$K$1369,MATCH(1092,'Transfer Engine'!$C$2:$C$1369,0)))</f>
        <v/>
      </c>
      <c r="L1101" s="9">
        <f>IF(ISNA(MATCH(1092,'Transfer Engine'!$C$2:$C$1369,0)),"",INDEX('Compliance Database'!$L$2:$L$1369,MATCH(1092,'Transfer Engine'!$C$2:$C$1369,0)))</f>
        <v/>
      </c>
      <c r="M1101" s="9">
        <f>IF(ISNA(MATCH(1092,'Transfer Engine'!$C$2:$C$1369,0)),"",INDEX('Compliance Database'!$M$2:$M$1369,MATCH(1092,'Transfer Engine'!$C$2:$C$1369,0)))</f>
        <v/>
      </c>
      <c r="N1101" s="9">
        <f>IF(ISNA(MATCH(1092,'Transfer Engine'!$C$2:$C$1369,0)),"",INDEX('Compliance Database'!$N$2:$N$1369,MATCH(1092,'Transfer Engine'!$C$2:$C$1369,0)))</f>
        <v/>
      </c>
      <c r="O1101" s="8">
        <f>IF(ISNA(MATCH(1092,'Transfer Engine'!$C$2:$C$1369,0)),"",HYPERLINK(INDEX('Compliance Database'!$O$2:$O$1369,MATCH(1092,'Transfer Engine'!$C$2:$C$1369,0)),"Open PDF"))</f>
        <v/>
      </c>
    </row>
    <row r="1102" ht="188" customHeight="1">
      <c r="A1102" s="8">
        <f>IF(ISNA(MATCH(1093,'Transfer Engine'!$C$2:$C$1369,0)),"",INDEX('Compliance Database'!$A$2:$A$1369,MATCH(1093,'Transfer Engine'!$C$2:$C$1369,0)))</f>
        <v/>
      </c>
      <c r="B1102" s="8">
        <f>IF(ISNA(MATCH(1093,'Transfer Engine'!$C$2:$C$1369,0)),"",INDEX('Compliance Database'!$B$2:$B$1369,MATCH(1093,'Transfer Engine'!$C$2:$C$1369,0)))</f>
        <v/>
      </c>
      <c r="C1102" s="8">
        <f>IF(ISNA(MATCH(1093,'Transfer Engine'!$C$2:$C$1369,0)),"",INDEX('Compliance Database'!$C$2:$C$1369,MATCH(1093,'Transfer Engine'!$C$2:$C$1369,0)))</f>
        <v/>
      </c>
      <c r="D1102" s="9">
        <f>IF(ISNA(MATCH(1093,'Transfer Engine'!$C$2:$C$1369,0)),"",INDEX('Compliance Database'!$D$2:$D$1369,MATCH(1093,'Transfer Engine'!$C$2:$C$1369,0)))</f>
        <v/>
      </c>
      <c r="E1102" s="8">
        <f>IF(ISNA(MATCH(1093,'Transfer Engine'!$C$2:$C$1369,0)),"",INDEX('Compliance Database'!$E$2:$E$1369,MATCH(1093,'Transfer Engine'!$C$2:$C$1369,0)))</f>
        <v/>
      </c>
      <c r="F1102" s="8">
        <f>IF(ISNA(MATCH(1093,'Transfer Engine'!$C$2:$C$1369,0)),"",INDEX('Compliance Database'!$F$2:$F$1369,MATCH(1093,'Transfer Engine'!$C$2:$C$1369,0)))</f>
        <v/>
      </c>
      <c r="G1102" s="8">
        <f>IF(ISNA(MATCH(1093,'Transfer Engine'!$C$2:$C$1369,0)),"",INDEX('Compliance Database'!$G$2:$G$1369,MATCH(1093,'Transfer Engine'!$C$2:$C$1369,0)))</f>
        <v/>
      </c>
      <c r="H1102" s="9">
        <f>IF(ISNA(MATCH(1093,'Transfer Engine'!$C$2:$C$1369,0)),"",INDEX('Compliance Database'!$H$2:$H$1369,MATCH(1093,'Transfer Engine'!$C$2:$C$1369,0)))</f>
        <v/>
      </c>
      <c r="I1102" s="9">
        <f>IF(ISNA(MATCH(1093,'Transfer Engine'!$C$2:$C$1369,0)),"",INDEX('Compliance Database'!$I$2:$I$1369,MATCH(1093,'Transfer Engine'!$C$2:$C$1369,0)))</f>
        <v/>
      </c>
      <c r="J1102" s="8">
        <f>IF(ISNA(MATCH(1093,'Transfer Engine'!$C$2:$C$1369,0)),"",INDEX('Compliance Database'!$J$2:$J$1369,MATCH(1093,'Transfer Engine'!$C$2:$C$1369,0)))</f>
        <v/>
      </c>
      <c r="K1102" s="9">
        <f>IF(ISNA(MATCH(1093,'Transfer Engine'!$C$2:$C$1369,0)),"",INDEX('Compliance Database'!$K$2:$K$1369,MATCH(1093,'Transfer Engine'!$C$2:$C$1369,0)))</f>
        <v/>
      </c>
      <c r="L1102" s="9">
        <f>IF(ISNA(MATCH(1093,'Transfer Engine'!$C$2:$C$1369,0)),"",INDEX('Compliance Database'!$L$2:$L$1369,MATCH(1093,'Transfer Engine'!$C$2:$C$1369,0)))</f>
        <v/>
      </c>
      <c r="M1102" s="9">
        <f>IF(ISNA(MATCH(1093,'Transfer Engine'!$C$2:$C$1369,0)),"",INDEX('Compliance Database'!$M$2:$M$1369,MATCH(1093,'Transfer Engine'!$C$2:$C$1369,0)))</f>
        <v/>
      </c>
      <c r="N1102" s="9">
        <f>IF(ISNA(MATCH(1093,'Transfer Engine'!$C$2:$C$1369,0)),"",INDEX('Compliance Database'!$N$2:$N$1369,MATCH(1093,'Transfer Engine'!$C$2:$C$1369,0)))</f>
        <v/>
      </c>
      <c r="O1102" s="8">
        <f>IF(ISNA(MATCH(1093,'Transfer Engine'!$C$2:$C$1369,0)),"",HYPERLINK(INDEX('Compliance Database'!$O$2:$O$1369,MATCH(1093,'Transfer Engine'!$C$2:$C$1369,0)),"Open PDF"))</f>
        <v/>
      </c>
    </row>
    <row r="1103" ht="188" customHeight="1">
      <c r="A1103" s="8">
        <f>IF(ISNA(MATCH(1094,'Transfer Engine'!$C$2:$C$1369,0)),"",INDEX('Compliance Database'!$A$2:$A$1369,MATCH(1094,'Transfer Engine'!$C$2:$C$1369,0)))</f>
        <v/>
      </c>
      <c r="B1103" s="8">
        <f>IF(ISNA(MATCH(1094,'Transfer Engine'!$C$2:$C$1369,0)),"",INDEX('Compliance Database'!$B$2:$B$1369,MATCH(1094,'Transfer Engine'!$C$2:$C$1369,0)))</f>
        <v/>
      </c>
      <c r="C1103" s="8">
        <f>IF(ISNA(MATCH(1094,'Transfer Engine'!$C$2:$C$1369,0)),"",INDEX('Compliance Database'!$C$2:$C$1369,MATCH(1094,'Transfer Engine'!$C$2:$C$1369,0)))</f>
        <v/>
      </c>
      <c r="D1103" s="9">
        <f>IF(ISNA(MATCH(1094,'Transfer Engine'!$C$2:$C$1369,0)),"",INDEX('Compliance Database'!$D$2:$D$1369,MATCH(1094,'Transfer Engine'!$C$2:$C$1369,0)))</f>
        <v/>
      </c>
      <c r="E1103" s="8">
        <f>IF(ISNA(MATCH(1094,'Transfer Engine'!$C$2:$C$1369,0)),"",INDEX('Compliance Database'!$E$2:$E$1369,MATCH(1094,'Transfer Engine'!$C$2:$C$1369,0)))</f>
        <v/>
      </c>
      <c r="F1103" s="8">
        <f>IF(ISNA(MATCH(1094,'Transfer Engine'!$C$2:$C$1369,0)),"",INDEX('Compliance Database'!$F$2:$F$1369,MATCH(1094,'Transfer Engine'!$C$2:$C$1369,0)))</f>
        <v/>
      </c>
      <c r="G1103" s="8">
        <f>IF(ISNA(MATCH(1094,'Transfer Engine'!$C$2:$C$1369,0)),"",INDEX('Compliance Database'!$G$2:$G$1369,MATCH(1094,'Transfer Engine'!$C$2:$C$1369,0)))</f>
        <v/>
      </c>
      <c r="H1103" s="9">
        <f>IF(ISNA(MATCH(1094,'Transfer Engine'!$C$2:$C$1369,0)),"",INDEX('Compliance Database'!$H$2:$H$1369,MATCH(1094,'Transfer Engine'!$C$2:$C$1369,0)))</f>
        <v/>
      </c>
      <c r="I1103" s="9">
        <f>IF(ISNA(MATCH(1094,'Transfer Engine'!$C$2:$C$1369,0)),"",INDEX('Compliance Database'!$I$2:$I$1369,MATCH(1094,'Transfer Engine'!$C$2:$C$1369,0)))</f>
        <v/>
      </c>
      <c r="J1103" s="8">
        <f>IF(ISNA(MATCH(1094,'Transfer Engine'!$C$2:$C$1369,0)),"",INDEX('Compliance Database'!$J$2:$J$1369,MATCH(1094,'Transfer Engine'!$C$2:$C$1369,0)))</f>
        <v/>
      </c>
      <c r="K1103" s="9">
        <f>IF(ISNA(MATCH(1094,'Transfer Engine'!$C$2:$C$1369,0)),"",INDEX('Compliance Database'!$K$2:$K$1369,MATCH(1094,'Transfer Engine'!$C$2:$C$1369,0)))</f>
        <v/>
      </c>
      <c r="L1103" s="9">
        <f>IF(ISNA(MATCH(1094,'Transfer Engine'!$C$2:$C$1369,0)),"",INDEX('Compliance Database'!$L$2:$L$1369,MATCH(1094,'Transfer Engine'!$C$2:$C$1369,0)))</f>
        <v/>
      </c>
      <c r="M1103" s="9">
        <f>IF(ISNA(MATCH(1094,'Transfer Engine'!$C$2:$C$1369,0)),"",INDEX('Compliance Database'!$M$2:$M$1369,MATCH(1094,'Transfer Engine'!$C$2:$C$1369,0)))</f>
        <v/>
      </c>
      <c r="N1103" s="9">
        <f>IF(ISNA(MATCH(1094,'Transfer Engine'!$C$2:$C$1369,0)),"",INDEX('Compliance Database'!$N$2:$N$1369,MATCH(1094,'Transfer Engine'!$C$2:$C$1369,0)))</f>
        <v/>
      </c>
      <c r="O1103" s="8">
        <f>IF(ISNA(MATCH(1094,'Transfer Engine'!$C$2:$C$1369,0)),"",HYPERLINK(INDEX('Compliance Database'!$O$2:$O$1369,MATCH(1094,'Transfer Engine'!$C$2:$C$1369,0)),"Open PDF"))</f>
        <v/>
      </c>
    </row>
    <row r="1104" ht="188" customHeight="1">
      <c r="A1104" s="8">
        <f>IF(ISNA(MATCH(1095,'Transfer Engine'!$C$2:$C$1369,0)),"",INDEX('Compliance Database'!$A$2:$A$1369,MATCH(1095,'Transfer Engine'!$C$2:$C$1369,0)))</f>
        <v/>
      </c>
      <c r="B1104" s="8">
        <f>IF(ISNA(MATCH(1095,'Transfer Engine'!$C$2:$C$1369,0)),"",INDEX('Compliance Database'!$B$2:$B$1369,MATCH(1095,'Transfer Engine'!$C$2:$C$1369,0)))</f>
        <v/>
      </c>
      <c r="C1104" s="8">
        <f>IF(ISNA(MATCH(1095,'Transfer Engine'!$C$2:$C$1369,0)),"",INDEX('Compliance Database'!$C$2:$C$1369,MATCH(1095,'Transfer Engine'!$C$2:$C$1369,0)))</f>
        <v/>
      </c>
      <c r="D1104" s="9">
        <f>IF(ISNA(MATCH(1095,'Transfer Engine'!$C$2:$C$1369,0)),"",INDEX('Compliance Database'!$D$2:$D$1369,MATCH(1095,'Transfer Engine'!$C$2:$C$1369,0)))</f>
        <v/>
      </c>
      <c r="E1104" s="8">
        <f>IF(ISNA(MATCH(1095,'Transfer Engine'!$C$2:$C$1369,0)),"",INDEX('Compliance Database'!$E$2:$E$1369,MATCH(1095,'Transfer Engine'!$C$2:$C$1369,0)))</f>
        <v/>
      </c>
      <c r="F1104" s="8">
        <f>IF(ISNA(MATCH(1095,'Transfer Engine'!$C$2:$C$1369,0)),"",INDEX('Compliance Database'!$F$2:$F$1369,MATCH(1095,'Transfer Engine'!$C$2:$C$1369,0)))</f>
        <v/>
      </c>
      <c r="G1104" s="8">
        <f>IF(ISNA(MATCH(1095,'Transfer Engine'!$C$2:$C$1369,0)),"",INDEX('Compliance Database'!$G$2:$G$1369,MATCH(1095,'Transfer Engine'!$C$2:$C$1369,0)))</f>
        <v/>
      </c>
      <c r="H1104" s="9">
        <f>IF(ISNA(MATCH(1095,'Transfer Engine'!$C$2:$C$1369,0)),"",INDEX('Compliance Database'!$H$2:$H$1369,MATCH(1095,'Transfer Engine'!$C$2:$C$1369,0)))</f>
        <v/>
      </c>
      <c r="I1104" s="9">
        <f>IF(ISNA(MATCH(1095,'Transfer Engine'!$C$2:$C$1369,0)),"",INDEX('Compliance Database'!$I$2:$I$1369,MATCH(1095,'Transfer Engine'!$C$2:$C$1369,0)))</f>
        <v/>
      </c>
      <c r="J1104" s="8">
        <f>IF(ISNA(MATCH(1095,'Transfer Engine'!$C$2:$C$1369,0)),"",INDEX('Compliance Database'!$J$2:$J$1369,MATCH(1095,'Transfer Engine'!$C$2:$C$1369,0)))</f>
        <v/>
      </c>
      <c r="K1104" s="9">
        <f>IF(ISNA(MATCH(1095,'Transfer Engine'!$C$2:$C$1369,0)),"",INDEX('Compliance Database'!$K$2:$K$1369,MATCH(1095,'Transfer Engine'!$C$2:$C$1369,0)))</f>
        <v/>
      </c>
      <c r="L1104" s="9">
        <f>IF(ISNA(MATCH(1095,'Transfer Engine'!$C$2:$C$1369,0)),"",INDEX('Compliance Database'!$L$2:$L$1369,MATCH(1095,'Transfer Engine'!$C$2:$C$1369,0)))</f>
        <v/>
      </c>
      <c r="M1104" s="9">
        <f>IF(ISNA(MATCH(1095,'Transfer Engine'!$C$2:$C$1369,0)),"",INDEX('Compliance Database'!$M$2:$M$1369,MATCH(1095,'Transfer Engine'!$C$2:$C$1369,0)))</f>
        <v/>
      </c>
      <c r="N1104" s="9">
        <f>IF(ISNA(MATCH(1095,'Transfer Engine'!$C$2:$C$1369,0)),"",INDEX('Compliance Database'!$N$2:$N$1369,MATCH(1095,'Transfer Engine'!$C$2:$C$1369,0)))</f>
        <v/>
      </c>
      <c r="O1104" s="8">
        <f>IF(ISNA(MATCH(1095,'Transfer Engine'!$C$2:$C$1369,0)),"",HYPERLINK(INDEX('Compliance Database'!$O$2:$O$1369,MATCH(1095,'Transfer Engine'!$C$2:$C$1369,0)),"Open PDF"))</f>
        <v/>
      </c>
    </row>
    <row r="1105" ht="188" customHeight="1">
      <c r="A1105" s="8">
        <f>IF(ISNA(MATCH(1096,'Transfer Engine'!$C$2:$C$1369,0)),"",INDEX('Compliance Database'!$A$2:$A$1369,MATCH(1096,'Transfer Engine'!$C$2:$C$1369,0)))</f>
        <v/>
      </c>
      <c r="B1105" s="8">
        <f>IF(ISNA(MATCH(1096,'Transfer Engine'!$C$2:$C$1369,0)),"",INDEX('Compliance Database'!$B$2:$B$1369,MATCH(1096,'Transfer Engine'!$C$2:$C$1369,0)))</f>
        <v/>
      </c>
      <c r="C1105" s="8">
        <f>IF(ISNA(MATCH(1096,'Transfer Engine'!$C$2:$C$1369,0)),"",INDEX('Compliance Database'!$C$2:$C$1369,MATCH(1096,'Transfer Engine'!$C$2:$C$1369,0)))</f>
        <v/>
      </c>
      <c r="D1105" s="9">
        <f>IF(ISNA(MATCH(1096,'Transfer Engine'!$C$2:$C$1369,0)),"",INDEX('Compliance Database'!$D$2:$D$1369,MATCH(1096,'Transfer Engine'!$C$2:$C$1369,0)))</f>
        <v/>
      </c>
      <c r="E1105" s="8">
        <f>IF(ISNA(MATCH(1096,'Transfer Engine'!$C$2:$C$1369,0)),"",INDEX('Compliance Database'!$E$2:$E$1369,MATCH(1096,'Transfer Engine'!$C$2:$C$1369,0)))</f>
        <v/>
      </c>
      <c r="F1105" s="8">
        <f>IF(ISNA(MATCH(1096,'Transfer Engine'!$C$2:$C$1369,0)),"",INDEX('Compliance Database'!$F$2:$F$1369,MATCH(1096,'Transfer Engine'!$C$2:$C$1369,0)))</f>
        <v/>
      </c>
      <c r="G1105" s="8">
        <f>IF(ISNA(MATCH(1096,'Transfer Engine'!$C$2:$C$1369,0)),"",INDEX('Compliance Database'!$G$2:$G$1369,MATCH(1096,'Transfer Engine'!$C$2:$C$1369,0)))</f>
        <v/>
      </c>
      <c r="H1105" s="9">
        <f>IF(ISNA(MATCH(1096,'Transfer Engine'!$C$2:$C$1369,0)),"",INDEX('Compliance Database'!$H$2:$H$1369,MATCH(1096,'Transfer Engine'!$C$2:$C$1369,0)))</f>
        <v/>
      </c>
      <c r="I1105" s="9">
        <f>IF(ISNA(MATCH(1096,'Transfer Engine'!$C$2:$C$1369,0)),"",INDEX('Compliance Database'!$I$2:$I$1369,MATCH(1096,'Transfer Engine'!$C$2:$C$1369,0)))</f>
        <v/>
      </c>
      <c r="J1105" s="8">
        <f>IF(ISNA(MATCH(1096,'Transfer Engine'!$C$2:$C$1369,0)),"",INDEX('Compliance Database'!$J$2:$J$1369,MATCH(1096,'Transfer Engine'!$C$2:$C$1369,0)))</f>
        <v/>
      </c>
      <c r="K1105" s="9">
        <f>IF(ISNA(MATCH(1096,'Transfer Engine'!$C$2:$C$1369,0)),"",INDEX('Compliance Database'!$K$2:$K$1369,MATCH(1096,'Transfer Engine'!$C$2:$C$1369,0)))</f>
        <v/>
      </c>
      <c r="L1105" s="9">
        <f>IF(ISNA(MATCH(1096,'Transfer Engine'!$C$2:$C$1369,0)),"",INDEX('Compliance Database'!$L$2:$L$1369,MATCH(1096,'Transfer Engine'!$C$2:$C$1369,0)))</f>
        <v/>
      </c>
      <c r="M1105" s="9">
        <f>IF(ISNA(MATCH(1096,'Transfer Engine'!$C$2:$C$1369,0)),"",INDEX('Compliance Database'!$M$2:$M$1369,MATCH(1096,'Transfer Engine'!$C$2:$C$1369,0)))</f>
        <v/>
      </c>
      <c r="N1105" s="9">
        <f>IF(ISNA(MATCH(1096,'Transfer Engine'!$C$2:$C$1369,0)),"",INDEX('Compliance Database'!$N$2:$N$1369,MATCH(1096,'Transfer Engine'!$C$2:$C$1369,0)))</f>
        <v/>
      </c>
      <c r="O1105" s="8">
        <f>IF(ISNA(MATCH(1096,'Transfer Engine'!$C$2:$C$1369,0)),"",HYPERLINK(INDEX('Compliance Database'!$O$2:$O$1369,MATCH(1096,'Transfer Engine'!$C$2:$C$1369,0)),"Open PDF"))</f>
        <v/>
      </c>
    </row>
    <row r="1106" ht="188" customHeight="1">
      <c r="A1106" s="8">
        <f>IF(ISNA(MATCH(1097,'Transfer Engine'!$C$2:$C$1369,0)),"",INDEX('Compliance Database'!$A$2:$A$1369,MATCH(1097,'Transfer Engine'!$C$2:$C$1369,0)))</f>
        <v/>
      </c>
      <c r="B1106" s="8">
        <f>IF(ISNA(MATCH(1097,'Transfer Engine'!$C$2:$C$1369,0)),"",INDEX('Compliance Database'!$B$2:$B$1369,MATCH(1097,'Transfer Engine'!$C$2:$C$1369,0)))</f>
        <v/>
      </c>
      <c r="C1106" s="8">
        <f>IF(ISNA(MATCH(1097,'Transfer Engine'!$C$2:$C$1369,0)),"",INDEX('Compliance Database'!$C$2:$C$1369,MATCH(1097,'Transfer Engine'!$C$2:$C$1369,0)))</f>
        <v/>
      </c>
      <c r="D1106" s="9">
        <f>IF(ISNA(MATCH(1097,'Transfer Engine'!$C$2:$C$1369,0)),"",INDEX('Compliance Database'!$D$2:$D$1369,MATCH(1097,'Transfer Engine'!$C$2:$C$1369,0)))</f>
        <v/>
      </c>
      <c r="E1106" s="8">
        <f>IF(ISNA(MATCH(1097,'Transfer Engine'!$C$2:$C$1369,0)),"",INDEX('Compliance Database'!$E$2:$E$1369,MATCH(1097,'Transfer Engine'!$C$2:$C$1369,0)))</f>
        <v/>
      </c>
      <c r="F1106" s="8">
        <f>IF(ISNA(MATCH(1097,'Transfer Engine'!$C$2:$C$1369,0)),"",INDEX('Compliance Database'!$F$2:$F$1369,MATCH(1097,'Transfer Engine'!$C$2:$C$1369,0)))</f>
        <v/>
      </c>
      <c r="G1106" s="8">
        <f>IF(ISNA(MATCH(1097,'Transfer Engine'!$C$2:$C$1369,0)),"",INDEX('Compliance Database'!$G$2:$G$1369,MATCH(1097,'Transfer Engine'!$C$2:$C$1369,0)))</f>
        <v/>
      </c>
      <c r="H1106" s="9">
        <f>IF(ISNA(MATCH(1097,'Transfer Engine'!$C$2:$C$1369,0)),"",INDEX('Compliance Database'!$H$2:$H$1369,MATCH(1097,'Transfer Engine'!$C$2:$C$1369,0)))</f>
        <v/>
      </c>
      <c r="I1106" s="9">
        <f>IF(ISNA(MATCH(1097,'Transfer Engine'!$C$2:$C$1369,0)),"",INDEX('Compliance Database'!$I$2:$I$1369,MATCH(1097,'Transfer Engine'!$C$2:$C$1369,0)))</f>
        <v/>
      </c>
      <c r="J1106" s="8">
        <f>IF(ISNA(MATCH(1097,'Transfer Engine'!$C$2:$C$1369,0)),"",INDEX('Compliance Database'!$J$2:$J$1369,MATCH(1097,'Transfer Engine'!$C$2:$C$1369,0)))</f>
        <v/>
      </c>
      <c r="K1106" s="9">
        <f>IF(ISNA(MATCH(1097,'Transfer Engine'!$C$2:$C$1369,0)),"",INDEX('Compliance Database'!$K$2:$K$1369,MATCH(1097,'Transfer Engine'!$C$2:$C$1369,0)))</f>
        <v/>
      </c>
      <c r="L1106" s="9">
        <f>IF(ISNA(MATCH(1097,'Transfer Engine'!$C$2:$C$1369,0)),"",INDEX('Compliance Database'!$L$2:$L$1369,MATCH(1097,'Transfer Engine'!$C$2:$C$1369,0)))</f>
        <v/>
      </c>
      <c r="M1106" s="9">
        <f>IF(ISNA(MATCH(1097,'Transfer Engine'!$C$2:$C$1369,0)),"",INDEX('Compliance Database'!$M$2:$M$1369,MATCH(1097,'Transfer Engine'!$C$2:$C$1369,0)))</f>
        <v/>
      </c>
      <c r="N1106" s="9">
        <f>IF(ISNA(MATCH(1097,'Transfer Engine'!$C$2:$C$1369,0)),"",INDEX('Compliance Database'!$N$2:$N$1369,MATCH(1097,'Transfer Engine'!$C$2:$C$1369,0)))</f>
        <v/>
      </c>
      <c r="O1106" s="8">
        <f>IF(ISNA(MATCH(1097,'Transfer Engine'!$C$2:$C$1369,0)),"",HYPERLINK(INDEX('Compliance Database'!$O$2:$O$1369,MATCH(1097,'Transfer Engine'!$C$2:$C$1369,0)),"Open PDF"))</f>
        <v/>
      </c>
    </row>
    <row r="1107" ht="188" customHeight="1">
      <c r="A1107" s="8">
        <f>IF(ISNA(MATCH(1098,'Transfer Engine'!$C$2:$C$1369,0)),"",INDEX('Compliance Database'!$A$2:$A$1369,MATCH(1098,'Transfer Engine'!$C$2:$C$1369,0)))</f>
        <v/>
      </c>
      <c r="B1107" s="8">
        <f>IF(ISNA(MATCH(1098,'Transfer Engine'!$C$2:$C$1369,0)),"",INDEX('Compliance Database'!$B$2:$B$1369,MATCH(1098,'Transfer Engine'!$C$2:$C$1369,0)))</f>
        <v/>
      </c>
      <c r="C1107" s="8">
        <f>IF(ISNA(MATCH(1098,'Transfer Engine'!$C$2:$C$1369,0)),"",INDEX('Compliance Database'!$C$2:$C$1369,MATCH(1098,'Transfer Engine'!$C$2:$C$1369,0)))</f>
        <v/>
      </c>
      <c r="D1107" s="9">
        <f>IF(ISNA(MATCH(1098,'Transfer Engine'!$C$2:$C$1369,0)),"",INDEX('Compliance Database'!$D$2:$D$1369,MATCH(1098,'Transfer Engine'!$C$2:$C$1369,0)))</f>
        <v/>
      </c>
      <c r="E1107" s="8">
        <f>IF(ISNA(MATCH(1098,'Transfer Engine'!$C$2:$C$1369,0)),"",INDEX('Compliance Database'!$E$2:$E$1369,MATCH(1098,'Transfer Engine'!$C$2:$C$1369,0)))</f>
        <v/>
      </c>
      <c r="F1107" s="8">
        <f>IF(ISNA(MATCH(1098,'Transfer Engine'!$C$2:$C$1369,0)),"",INDEX('Compliance Database'!$F$2:$F$1369,MATCH(1098,'Transfer Engine'!$C$2:$C$1369,0)))</f>
        <v/>
      </c>
      <c r="G1107" s="8">
        <f>IF(ISNA(MATCH(1098,'Transfer Engine'!$C$2:$C$1369,0)),"",INDEX('Compliance Database'!$G$2:$G$1369,MATCH(1098,'Transfer Engine'!$C$2:$C$1369,0)))</f>
        <v/>
      </c>
      <c r="H1107" s="9">
        <f>IF(ISNA(MATCH(1098,'Transfer Engine'!$C$2:$C$1369,0)),"",INDEX('Compliance Database'!$H$2:$H$1369,MATCH(1098,'Transfer Engine'!$C$2:$C$1369,0)))</f>
        <v/>
      </c>
      <c r="I1107" s="9">
        <f>IF(ISNA(MATCH(1098,'Transfer Engine'!$C$2:$C$1369,0)),"",INDEX('Compliance Database'!$I$2:$I$1369,MATCH(1098,'Transfer Engine'!$C$2:$C$1369,0)))</f>
        <v/>
      </c>
      <c r="J1107" s="8">
        <f>IF(ISNA(MATCH(1098,'Transfer Engine'!$C$2:$C$1369,0)),"",INDEX('Compliance Database'!$J$2:$J$1369,MATCH(1098,'Transfer Engine'!$C$2:$C$1369,0)))</f>
        <v/>
      </c>
      <c r="K1107" s="9">
        <f>IF(ISNA(MATCH(1098,'Transfer Engine'!$C$2:$C$1369,0)),"",INDEX('Compliance Database'!$K$2:$K$1369,MATCH(1098,'Transfer Engine'!$C$2:$C$1369,0)))</f>
        <v/>
      </c>
      <c r="L1107" s="9">
        <f>IF(ISNA(MATCH(1098,'Transfer Engine'!$C$2:$C$1369,0)),"",INDEX('Compliance Database'!$L$2:$L$1369,MATCH(1098,'Transfer Engine'!$C$2:$C$1369,0)))</f>
        <v/>
      </c>
      <c r="M1107" s="9">
        <f>IF(ISNA(MATCH(1098,'Transfer Engine'!$C$2:$C$1369,0)),"",INDEX('Compliance Database'!$M$2:$M$1369,MATCH(1098,'Transfer Engine'!$C$2:$C$1369,0)))</f>
        <v/>
      </c>
      <c r="N1107" s="9">
        <f>IF(ISNA(MATCH(1098,'Transfer Engine'!$C$2:$C$1369,0)),"",INDEX('Compliance Database'!$N$2:$N$1369,MATCH(1098,'Transfer Engine'!$C$2:$C$1369,0)))</f>
        <v/>
      </c>
      <c r="O1107" s="8">
        <f>IF(ISNA(MATCH(1098,'Transfer Engine'!$C$2:$C$1369,0)),"",HYPERLINK(INDEX('Compliance Database'!$O$2:$O$1369,MATCH(1098,'Transfer Engine'!$C$2:$C$1369,0)),"Open PDF"))</f>
        <v/>
      </c>
    </row>
    <row r="1108" ht="188" customHeight="1">
      <c r="A1108" s="8">
        <f>IF(ISNA(MATCH(1099,'Transfer Engine'!$C$2:$C$1369,0)),"",INDEX('Compliance Database'!$A$2:$A$1369,MATCH(1099,'Transfer Engine'!$C$2:$C$1369,0)))</f>
        <v/>
      </c>
      <c r="B1108" s="8">
        <f>IF(ISNA(MATCH(1099,'Transfer Engine'!$C$2:$C$1369,0)),"",INDEX('Compliance Database'!$B$2:$B$1369,MATCH(1099,'Transfer Engine'!$C$2:$C$1369,0)))</f>
        <v/>
      </c>
      <c r="C1108" s="8">
        <f>IF(ISNA(MATCH(1099,'Transfer Engine'!$C$2:$C$1369,0)),"",INDEX('Compliance Database'!$C$2:$C$1369,MATCH(1099,'Transfer Engine'!$C$2:$C$1369,0)))</f>
        <v/>
      </c>
      <c r="D1108" s="9">
        <f>IF(ISNA(MATCH(1099,'Transfer Engine'!$C$2:$C$1369,0)),"",INDEX('Compliance Database'!$D$2:$D$1369,MATCH(1099,'Transfer Engine'!$C$2:$C$1369,0)))</f>
        <v/>
      </c>
      <c r="E1108" s="8">
        <f>IF(ISNA(MATCH(1099,'Transfer Engine'!$C$2:$C$1369,0)),"",INDEX('Compliance Database'!$E$2:$E$1369,MATCH(1099,'Transfer Engine'!$C$2:$C$1369,0)))</f>
        <v/>
      </c>
      <c r="F1108" s="8">
        <f>IF(ISNA(MATCH(1099,'Transfer Engine'!$C$2:$C$1369,0)),"",INDEX('Compliance Database'!$F$2:$F$1369,MATCH(1099,'Transfer Engine'!$C$2:$C$1369,0)))</f>
        <v/>
      </c>
      <c r="G1108" s="8">
        <f>IF(ISNA(MATCH(1099,'Transfer Engine'!$C$2:$C$1369,0)),"",INDEX('Compliance Database'!$G$2:$G$1369,MATCH(1099,'Transfer Engine'!$C$2:$C$1369,0)))</f>
        <v/>
      </c>
      <c r="H1108" s="9">
        <f>IF(ISNA(MATCH(1099,'Transfer Engine'!$C$2:$C$1369,0)),"",INDEX('Compliance Database'!$H$2:$H$1369,MATCH(1099,'Transfer Engine'!$C$2:$C$1369,0)))</f>
        <v/>
      </c>
      <c r="I1108" s="9">
        <f>IF(ISNA(MATCH(1099,'Transfer Engine'!$C$2:$C$1369,0)),"",INDEX('Compliance Database'!$I$2:$I$1369,MATCH(1099,'Transfer Engine'!$C$2:$C$1369,0)))</f>
        <v/>
      </c>
      <c r="J1108" s="8">
        <f>IF(ISNA(MATCH(1099,'Transfer Engine'!$C$2:$C$1369,0)),"",INDEX('Compliance Database'!$J$2:$J$1369,MATCH(1099,'Transfer Engine'!$C$2:$C$1369,0)))</f>
        <v/>
      </c>
      <c r="K1108" s="9">
        <f>IF(ISNA(MATCH(1099,'Transfer Engine'!$C$2:$C$1369,0)),"",INDEX('Compliance Database'!$K$2:$K$1369,MATCH(1099,'Transfer Engine'!$C$2:$C$1369,0)))</f>
        <v/>
      </c>
      <c r="L1108" s="9">
        <f>IF(ISNA(MATCH(1099,'Transfer Engine'!$C$2:$C$1369,0)),"",INDEX('Compliance Database'!$L$2:$L$1369,MATCH(1099,'Transfer Engine'!$C$2:$C$1369,0)))</f>
        <v/>
      </c>
      <c r="M1108" s="9">
        <f>IF(ISNA(MATCH(1099,'Transfer Engine'!$C$2:$C$1369,0)),"",INDEX('Compliance Database'!$M$2:$M$1369,MATCH(1099,'Transfer Engine'!$C$2:$C$1369,0)))</f>
        <v/>
      </c>
      <c r="N1108" s="9">
        <f>IF(ISNA(MATCH(1099,'Transfer Engine'!$C$2:$C$1369,0)),"",INDEX('Compliance Database'!$N$2:$N$1369,MATCH(1099,'Transfer Engine'!$C$2:$C$1369,0)))</f>
        <v/>
      </c>
      <c r="O1108" s="8">
        <f>IF(ISNA(MATCH(1099,'Transfer Engine'!$C$2:$C$1369,0)),"",HYPERLINK(INDEX('Compliance Database'!$O$2:$O$1369,MATCH(1099,'Transfer Engine'!$C$2:$C$1369,0)),"Open PDF"))</f>
        <v/>
      </c>
    </row>
    <row r="1109" ht="188" customHeight="1">
      <c r="A1109" s="8">
        <f>IF(ISNA(MATCH(1100,'Transfer Engine'!$C$2:$C$1369,0)),"",INDEX('Compliance Database'!$A$2:$A$1369,MATCH(1100,'Transfer Engine'!$C$2:$C$1369,0)))</f>
        <v/>
      </c>
      <c r="B1109" s="8">
        <f>IF(ISNA(MATCH(1100,'Transfer Engine'!$C$2:$C$1369,0)),"",INDEX('Compliance Database'!$B$2:$B$1369,MATCH(1100,'Transfer Engine'!$C$2:$C$1369,0)))</f>
        <v/>
      </c>
      <c r="C1109" s="8">
        <f>IF(ISNA(MATCH(1100,'Transfer Engine'!$C$2:$C$1369,0)),"",INDEX('Compliance Database'!$C$2:$C$1369,MATCH(1100,'Transfer Engine'!$C$2:$C$1369,0)))</f>
        <v/>
      </c>
      <c r="D1109" s="9">
        <f>IF(ISNA(MATCH(1100,'Transfer Engine'!$C$2:$C$1369,0)),"",INDEX('Compliance Database'!$D$2:$D$1369,MATCH(1100,'Transfer Engine'!$C$2:$C$1369,0)))</f>
        <v/>
      </c>
      <c r="E1109" s="8">
        <f>IF(ISNA(MATCH(1100,'Transfer Engine'!$C$2:$C$1369,0)),"",INDEX('Compliance Database'!$E$2:$E$1369,MATCH(1100,'Transfer Engine'!$C$2:$C$1369,0)))</f>
        <v/>
      </c>
      <c r="F1109" s="8">
        <f>IF(ISNA(MATCH(1100,'Transfer Engine'!$C$2:$C$1369,0)),"",INDEX('Compliance Database'!$F$2:$F$1369,MATCH(1100,'Transfer Engine'!$C$2:$C$1369,0)))</f>
        <v/>
      </c>
      <c r="G1109" s="8">
        <f>IF(ISNA(MATCH(1100,'Transfer Engine'!$C$2:$C$1369,0)),"",INDEX('Compliance Database'!$G$2:$G$1369,MATCH(1100,'Transfer Engine'!$C$2:$C$1369,0)))</f>
        <v/>
      </c>
      <c r="H1109" s="9">
        <f>IF(ISNA(MATCH(1100,'Transfer Engine'!$C$2:$C$1369,0)),"",INDEX('Compliance Database'!$H$2:$H$1369,MATCH(1100,'Transfer Engine'!$C$2:$C$1369,0)))</f>
        <v/>
      </c>
      <c r="I1109" s="9">
        <f>IF(ISNA(MATCH(1100,'Transfer Engine'!$C$2:$C$1369,0)),"",INDEX('Compliance Database'!$I$2:$I$1369,MATCH(1100,'Transfer Engine'!$C$2:$C$1369,0)))</f>
        <v/>
      </c>
      <c r="J1109" s="8">
        <f>IF(ISNA(MATCH(1100,'Transfer Engine'!$C$2:$C$1369,0)),"",INDEX('Compliance Database'!$J$2:$J$1369,MATCH(1100,'Transfer Engine'!$C$2:$C$1369,0)))</f>
        <v/>
      </c>
      <c r="K1109" s="9">
        <f>IF(ISNA(MATCH(1100,'Transfer Engine'!$C$2:$C$1369,0)),"",INDEX('Compliance Database'!$K$2:$K$1369,MATCH(1100,'Transfer Engine'!$C$2:$C$1369,0)))</f>
        <v/>
      </c>
      <c r="L1109" s="9">
        <f>IF(ISNA(MATCH(1100,'Transfer Engine'!$C$2:$C$1369,0)),"",INDEX('Compliance Database'!$L$2:$L$1369,MATCH(1100,'Transfer Engine'!$C$2:$C$1369,0)))</f>
        <v/>
      </c>
      <c r="M1109" s="9">
        <f>IF(ISNA(MATCH(1100,'Transfer Engine'!$C$2:$C$1369,0)),"",INDEX('Compliance Database'!$M$2:$M$1369,MATCH(1100,'Transfer Engine'!$C$2:$C$1369,0)))</f>
        <v/>
      </c>
      <c r="N1109" s="9">
        <f>IF(ISNA(MATCH(1100,'Transfer Engine'!$C$2:$C$1369,0)),"",INDEX('Compliance Database'!$N$2:$N$1369,MATCH(1100,'Transfer Engine'!$C$2:$C$1369,0)))</f>
        <v/>
      </c>
      <c r="O1109" s="8">
        <f>IF(ISNA(MATCH(1100,'Transfer Engine'!$C$2:$C$1369,0)),"",HYPERLINK(INDEX('Compliance Database'!$O$2:$O$1369,MATCH(1100,'Transfer Engine'!$C$2:$C$1369,0)),"Open PDF"))</f>
        <v/>
      </c>
    </row>
    <row r="1110" ht="188" customHeight="1">
      <c r="A1110" s="8">
        <f>IF(ISNA(MATCH(1101,'Transfer Engine'!$C$2:$C$1369,0)),"",INDEX('Compliance Database'!$A$2:$A$1369,MATCH(1101,'Transfer Engine'!$C$2:$C$1369,0)))</f>
        <v/>
      </c>
      <c r="B1110" s="8">
        <f>IF(ISNA(MATCH(1101,'Transfer Engine'!$C$2:$C$1369,0)),"",INDEX('Compliance Database'!$B$2:$B$1369,MATCH(1101,'Transfer Engine'!$C$2:$C$1369,0)))</f>
        <v/>
      </c>
      <c r="C1110" s="8">
        <f>IF(ISNA(MATCH(1101,'Transfer Engine'!$C$2:$C$1369,0)),"",INDEX('Compliance Database'!$C$2:$C$1369,MATCH(1101,'Transfer Engine'!$C$2:$C$1369,0)))</f>
        <v/>
      </c>
      <c r="D1110" s="9">
        <f>IF(ISNA(MATCH(1101,'Transfer Engine'!$C$2:$C$1369,0)),"",INDEX('Compliance Database'!$D$2:$D$1369,MATCH(1101,'Transfer Engine'!$C$2:$C$1369,0)))</f>
        <v/>
      </c>
      <c r="E1110" s="8">
        <f>IF(ISNA(MATCH(1101,'Transfer Engine'!$C$2:$C$1369,0)),"",INDEX('Compliance Database'!$E$2:$E$1369,MATCH(1101,'Transfer Engine'!$C$2:$C$1369,0)))</f>
        <v/>
      </c>
      <c r="F1110" s="8">
        <f>IF(ISNA(MATCH(1101,'Transfer Engine'!$C$2:$C$1369,0)),"",INDEX('Compliance Database'!$F$2:$F$1369,MATCH(1101,'Transfer Engine'!$C$2:$C$1369,0)))</f>
        <v/>
      </c>
      <c r="G1110" s="8">
        <f>IF(ISNA(MATCH(1101,'Transfer Engine'!$C$2:$C$1369,0)),"",INDEX('Compliance Database'!$G$2:$G$1369,MATCH(1101,'Transfer Engine'!$C$2:$C$1369,0)))</f>
        <v/>
      </c>
      <c r="H1110" s="9">
        <f>IF(ISNA(MATCH(1101,'Transfer Engine'!$C$2:$C$1369,0)),"",INDEX('Compliance Database'!$H$2:$H$1369,MATCH(1101,'Transfer Engine'!$C$2:$C$1369,0)))</f>
        <v/>
      </c>
      <c r="I1110" s="9">
        <f>IF(ISNA(MATCH(1101,'Transfer Engine'!$C$2:$C$1369,0)),"",INDEX('Compliance Database'!$I$2:$I$1369,MATCH(1101,'Transfer Engine'!$C$2:$C$1369,0)))</f>
        <v/>
      </c>
      <c r="J1110" s="8">
        <f>IF(ISNA(MATCH(1101,'Transfer Engine'!$C$2:$C$1369,0)),"",INDEX('Compliance Database'!$J$2:$J$1369,MATCH(1101,'Transfer Engine'!$C$2:$C$1369,0)))</f>
        <v/>
      </c>
      <c r="K1110" s="9">
        <f>IF(ISNA(MATCH(1101,'Transfer Engine'!$C$2:$C$1369,0)),"",INDEX('Compliance Database'!$K$2:$K$1369,MATCH(1101,'Transfer Engine'!$C$2:$C$1369,0)))</f>
        <v/>
      </c>
      <c r="L1110" s="9">
        <f>IF(ISNA(MATCH(1101,'Transfer Engine'!$C$2:$C$1369,0)),"",INDEX('Compliance Database'!$L$2:$L$1369,MATCH(1101,'Transfer Engine'!$C$2:$C$1369,0)))</f>
        <v/>
      </c>
      <c r="M1110" s="9">
        <f>IF(ISNA(MATCH(1101,'Transfer Engine'!$C$2:$C$1369,0)),"",INDEX('Compliance Database'!$M$2:$M$1369,MATCH(1101,'Transfer Engine'!$C$2:$C$1369,0)))</f>
        <v/>
      </c>
      <c r="N1110" s="9">
        <f>IF(ISNA(MATCH(1101,'Transfer Engine'!$C$2:$C$1369,0)),"",INDEX('Compliance Database'!$N$2:$N$1369,MATCH(1101,'Transfer Engine'!$C$2:$C$1369,0)))</f>
        <v/>
      </c>
      <c r="O1110" s="8">
        <f>IF(ISNA(MATCH(1101,'Transfer Engine'!$C$2:$C$1369,0)),"",HYPERLINK(INDEX('Compliance Database'!$O$2:$O$1369,MATCH(1101,'Transfer Engine'!$C$2:$C$1369,0)),"Open PDF"))</f>
        <v/>
      </c>
    </row>
    <row r="1111" ht="188" customHeight="1">
      <c r="A1111" s="8">
        <f>IF(ISNA(MATCH(1102,'Transfer Engine'!$C$2:$C$1369,0)),"",INDEX('Compliance Database'!$A$2:$A$1369,MATCH(1102,'Transfer Engine'!$C$2:$C$1369,0)))</f>
        <v/>
      </c>
      <c r="B1111" s="8">
        <f>IF(ISNA(MATCH(1102,'Transfer Engine'!$C$2:$C$1369,0)),"",INDEX('Compliance Database'!$B$2:$B$1369,MATCH(1102,'Transfer Engine'!$C$2:$C$1369,0)))</f>
        <v/>
      </c>
      <c r="C1111" s="8">
        <f>IF(ISNA(MATCH(1102,'Transfer Engine'!$C$2:$C$1369,0)),"",INDEX('Compliance Database'!$C$2:$C$1369,MATCH(1102,'Transfer Engine'!$C$2:$C$1369,0)))</f>
        <v/>
      </c>
      <c r="D1111" s="9">
        <f>IF(ISNA(MATCH(1102,'Transfer Engine'!$C$2:$C$1369,0)),"",INDEX('Compliance Database'!$D$2:$D$1369,MATCH(1102,'Transfer Engine'!$C$2:$C$1369,0)))</f>
        <v/>
      </c>
      <c r="E1111" s="8">
        <f>IF(ISNA(MATCH(1102,'Transfer Engine'!$C$2:$C$1369,0)),"",INDEX('Compliance Database'!$E$2:$E$1369,MATCH(1102,'Transfer Engine'!$C$2:$C$1369,0)))</f>
        <v/>
      </c>
      <c r="F1111" s="8">
        <f>IF(ISNA(MATCH(1102,'Transfer Engine'!$C$2:$C$1369,0)),"",INDEX('Compliance Database'!$F$2:$F$1369,MATCH(1102,'Transfer Engine'!$C$2:$C$1369,0)))</f>
        <v/>
      </c>
      <c r="G1111" s="8">
        <f>IF(ISNA(MATCH(1102,'Transfer Engine'!$C$2:$C$1369,0)),"",INDEX('Compliance Database'!$G$2:$G$1369,MATCH(1102,'Transfer Engine'!$C$2:$C$1369,0)))</f>
        <v/>
      </c>
      <c r="H1111" s="9">
        <f>IF(ISNA(MATCH(1102,'Transfer Engine'!$C$2:$C$1369,0)),"",INDEX('Compliance Database'!$H$2:$H$1369,MATCH(1102,'Transfer Engine'!$C$2:$C$1369,0)))</f>
        <v/>
      </c>
      <c r="I1111" s="9">
        <f>IF(ISNA(MATCH(1102,'Transfer Engine'!$C$2:$C$1369,0)),"",INDEX('Compliance Database'!$I$2:$I$1369,MATCH(1102,'Transfer Engine'!$C$2:$C$1369,0)))</f>
        <v/>
      </c>
      <c r="J1111" s="8">
        <f>IF(ISNA(MATCH(1102,'Transfer Engine'!$C$2:$C$1369,0)),"",INDEX('Compliance Database'!$J$2:$J$1369,MATCH(1102,'Transfer Engine'!$C$2:$C$1369,0)))</f>
        <v/>
      </c>
      <c r="K1111" s="9">
        <f>IF(ISNA(MATCH(1102,'Transfer Engine'!$C$2:$C$1369,0)),"",INDEX('Compliance Database'!$K$2:$K$1369,MATCH(1102,'Transfer Engine'!$C$2:$C$1369,0)))</f>
        <v/>
      </c>
      <c r="L1111" s="9">
        <f>IF(ISNA(MATCH(1102,'Transfer Engine'!$C$2:$C$1369,0)),"",INDEX('Compliance Database'!$L$2:$L$1369,MATCH(1102,'Transfer Engine'!$C$2:$C$1369,0)))</f>
        <v/>
      </c>
      <c r="M1111" s="9">
        <f>IF(ISNA(MATCH(1102,'Transfer Engine'!$C$2:$C$1369,0)),"",INDEX('Compliance Database'!$M$2:$M$1369,MATCH(1102,'Transfer Engine'!$C$2:$C$1369,0)))</f>
        <v/>
      </c>
      <c r="N1111" s="9">
        <f>IF(ISNA(MATCH(1102,'Transfer Engine'!$C$2:$C$1369,0)),"",INDEX('Compliance Database'!$N$2:$N$1369,MATCH(1102,'Transfer Engine'!$C$2:$C$1369,0)))</f>
        <v/>
      </c>
      <c r="O1111" s="8">
        <f>IF(ISNA(MATCH(1102,'Transfer Engine'!$C$2:$C$1369,0)),"",HYPERLINK(INDEX('Compliance Database'!$O$2:$O$1369,MATCH(1102,'Transfer Engine'!$C$2:$C$1369,0)),"Open PDF"))</f>
        <v/>
      </c>
    </row>
    <row r="1112" ht="188" customHeight="1">
      <c r="A1112" s="8">
        <f>IF(ISNA(MATCH(1103,'Transfer Engine'!$C$2:$C$1369,0)),"",INDEX('Compliance Database'!$A$2:$A$1369,MATCH(1103,'Transfer Engine'!$C$2:$C$1369,0)))</f>
        <v/>
      </c>
      <c r="B1112" s="8">
        <f>IF(ISNA(MATCH(1103,'Transfer Engine'!$C$2:$C$1369,0)),"",INDEX('Compliance Database'!$B$2:$B$1369,MATCH(1103,'Transfer Engine'!$C$2:$C$1369,0)))</f>
        <v/>
      </c>
      <c r="C1112" s="8">
        <f>IF(ISNA(MATCH(1103,'Transfer Engine'!$C$2:$C$1369,0)),"",INDEX('Compliance Database'!$C$2:$C$1369,MATCH(1103,'Transfer Engine'!$C$2:$C$1369,0)))</f>
        <v/>
      </c>
      <c r="D1112" s="9">
        <f>IF(ISNA(MATCH(1103,'Transfer Engine'!$C$2:$C$1369,0)),"",INDEX('Compliance Database'!$D$2:$D$1369,MATCH(1103,'Transfer Engine'!$C$2:$C$1369,0)))</f>
        <v/>
      </c>
      <c r="E1112" s="8">
        <f>IF(ISNA(MATCH(1103,'Transfer Engine'!$C$2:$C$1369,0)),"",INDEX('Compliance Database'!$E$2:$E$1369,MATCH(1103,'Transfer Engine'!$C$2:$C$1369,0)))</f>
        <v/>
      </c>
      <c r="F1112" s="8">
        <f>IF(ISNA(MATCH(1103,'Transfer Engine'!$C$2:$C$1369,0)),"",INDEX('Compliance Database'!$F$2:$F$1369,MATCH(1103,'Transfer Engine'!$C$2:$C$1369,0)))</f>
        <v/>
      </c>
      <c r="G1112" s="8">
        <f>IF(ISNA(MATCH(1103,'Transfer Engine'!$C$2:$C$1369,0)),"",INDEX('Compliance Database'!$G$2:$G$1369,MATCH(1103,'Transfer Engine'!$C$2:$C$1369,0)))</f>
        <v/>
      </c>
      <c r="H1112" s="9">
        <f>IF(ISNA(MATCH(1103,'Transfer Engine'!$C$2:$C$1369,0)),"",INDEX('Compliance Database'!$H$2:$H$1369,MATCH(1103,'Transfer Engine'!$C$2:$C$1369,0)))</f>
        <v/>
      </c>
      <c r="I1112" s="9">
        <f>IF(ISNA(MATCH(1103,'Transfer Engine'!$C$2:$C$1369,0)),"",INDEX('Compliance Database'!$I$2:$I$1369,MATCH(1103,'Transfer Engine'!$C$2:$C$1369,0)))</f>
        <v/>
      </c>
      <c r="J1112" s="8">
        <f>IF(ISNA(MATCH(1103,'Transfer Engine'!$C$2:$C$1369,0)),"",INDEX('Compliance Database'!$J$2:$J$1369,MATCH(1103,'Transfer Engine'!$C$2:$C$1369,0)))</f>
        <v/>
      </c>
      <c r="K1112" s="9">
        <f>IF(ISNA(MATCH(1103,'Transfer Engine'!$C$2:$C$1369,0)),"",INDEX('Compliance Database'!$K$2:$K$1369,MATCH(1103,'Transfer Engine'!$C$2:$C$1369,0)))</f>
        <v/>
      </c>
      <c r="L1112" s="9">
        <f>IF(ISNA(MATCH(1103,'Transfer Engine'!$C$2:$C$1369,0)),"",INDEX('Compliance Database'!$L$2:$L$1369,MATCH(1103,'Transfer Engine'!$C$2:$C$1369,0)))</f>
        <v/>
      </c>
      <c r="M1112" s="9">
        <f>IF(ISNA(MATCH(1103,'Transfer Engine'!$C$2:$C$1369,0)),"",INDEX('Compliance Database'!$M$2:$M$1369,MATCH(1103,'Transfer Engine'!$C$2:$C$1369,0)))</f>
        <v/>
      </c>
      <c r="N1112" s="9">
        <f>IF(ISNA(MATCH(1103,'Transfer Engine'!$C$2:$C$1369,0)),"",INDEX('Compliance Database'!$N$2:$N$1369,MATCH(1103,'Transfer Engine'!$C$2:$C$1369,0)))</f>
        <v/>
      </c>
      <c r="O1112" s="8">
        <f>IF(ISNA(MATCH(1103,'Transfer Engine'!$C$2:$C$1369,0)),"",HYPERLINK(INDEX('Compliance Database'!$O$2:$O$1369,MATCH(1103,'Transfer Engine'!$C$2:$C$1369,0)),"Open PDF"))</f>
        <v/>
      </c>
    </row>
    <row r="1113" ht="188" customHeight="1">
      <c r="A1113" s="8">
        <f>IF(ISNA(MATCH(1104,'Transfer Engine'!$C$2:$C$1369,0)),"",INDEX('Compliance Database'!$A$2:$A$1369,MATCH(1104,'Transfer Engine'!$C$2:$C$1369,0)))</f>
        <v/>
      </c>
      <c r="B1113" s="8">
        <f>IF(ISNA(MATCH(1104,'Transfer Engine'!$C$2:$C$1369,0)),"",INDEX('Compliance Database'!$B$2:$B$1369,MATCH(1104,'Transfer Engine'!$C$2:$C$1369,0)))</f>
        <v/>
      </c>
      <c r="C1113" s="8">
        <f>IF(ISNA(MATCH(1104,'Transfer Engine'!$C$2:$C$1369,0)),"",INDEX('Compliance Database'!$C$2:$C$1369,MATCH(1104,'Transfer Engine'!$C$2:$C$1369,0)))</f>
        <v/>
      </c>
      <c r="D1113" s="9">
        <f>IF(ISNA(MATCH(1104,'Transfer Engine'!$C$2:$C$1369,0)),"",INDEX('Compliance Database'!$D$2:$D$1369,MATCH(1104,'Transfer Engine'!$C$2:$C$1369,0)))</f>
        <v/>
      </c>
      <c r="E1113" s="8">
        <f>IF(ISNA(MATCH(1104,'Transfer Engine'!$C$2:$C$1369,0)),"",INDEX('Compliance Database'!$E$2:$E$1369,MATCH(1104,'Transfer Engine'!$C$2:$C$1369,0)))</f>
        <v/>
      </c>
      <c r="F1113" s="8">
        <f>IF(ISNA(MATCH(1104,'Transfer Engine'!$C$2:$C$1369,0)),"",INDEX('Compliance Database'!$F$2:$F$1369,MATCH(1104,'Transfer Engine'!$C$2:$C$1369,0)))</f>
        <v/>
      </c>
      <c r="G1113" s="8">
        <f>IF(ISNA(MATCH(1104,'Transfer Engine'!$C$2:$C$1369,0)),"",INDEX('Compliance Database'!$G$2:$G$1369,MATCH(1104,'Transfer Engine'!$C$2:$C$1369,0)))</f>
        <v/>
      </c>
      <c r="H1113" s="9">
        <f>IF(ISNA(MATCH(1104,'Transfer Engine'!$C$2:$C$1369,0)),"",INDEX('Compliance Database'!$H$2:$H$1369,MATCH(1104,'Transfer Engine'!$C$2:$C$1369,0)))</f>
        <v/>
      </c>
      <c r="I1113" s="9">
        <f>IF(ISNA(MATCH(1104,'Transfer Engine'!$C$2:$C$1369,0)),"",INDEX('Compliance Database'!$I$2:$I$1369,MATCH(1104,'Transfer Engine'!$C$2:$C$1369,0)))</f>
        <v/>
      </c>
      <c r="J1113" s="8">
        <f>IF(ISNA(MATCH(1104,'Transfer Engine'!$C$2:$C$1369,0)),"",INDEX('Compliance Database'!$J$2:$J$1369,MATCH(1104,'Transfer Engine'!$C$2:$C$1369,0)))</f>
        <v/>
      </c>
      <c r="K1113" s="9">
        <f>IF(ISNA(MATCH(1104,'Transfer Engine'!$C$2:$C$1369,0)),"",INDEX('Compliance Database'!$K$2:$K$1369,MATCH(1104,'Transfer Engine'!$C$2:$C$1369,0)))</f>
        <v/>
      </c>
      <c r="L1113" s="9">
        <f>IF(ISNA(MATCH(1104,'Transfer Engine'!$C$2:$C$1369,0)),"",INDEX('Compliance Database'!$L$2:$L$1369,MATCH(1104,'Transfer Engine'!$C$2:$C$1369,0)))</f>
        <v/>
      </c>
      <c r="M1113" s="9">
        <f>IF(ISNA(MATCH(1104,'Transfer Engine'!$C$2:$C$1369,0)),"",INDEX('Compliance Database'!$M$2:$M$1369,MATCH(1104,'Transfer Engine'!$C$2:$C$1369,0)))</f>
        <v/>
      </c>
      <c r="N1113" s="9">
        <f>IF(ISNA(MATCH(1104,'Transfer Engine'!$C$2:$C$1369,0)),"",INDEX('Compliance Database'!$N$2:$N$1369,MATCH(1104,'Transfer Engine'!$C$2:$C$1369,0)))</f>
        <v/>
      </c>
      <c r="O1113" s="8">
        <f>IF(ISNA(MATCH(1104,'Transfer Engine'!$C$2:$C$1369,0)),"",HYPERLINK(INDEX('Compliance Database'!$O$2:$O$1369,MATCH(1104,'Transfer Engine'!$C$2:$C$1369,0)),"Open PDF"))</f>
        <v/>
      </c>
    </row>
    <row r="1114" ht="188" customHeight="1">
      <c r="A1114" s="8">
        <f>IF(ISNA(MATCH(1105,'Transfer Engine'!$C$2:$C$1369,0)),"",INDEX('Compliance Database'!$A$2:$A$1369,MATCH(1105,'Transfer Engine'!$C$2:$C$1369,0)))</f>
        <v/>
      </c>
      <c r="B1114" s="8">
        <f>IF(ISNA(MATCH(1105,'Transfer Engine'!$C$2:$C$1369,0)),"",INDEX('Compliance Database'!$B$2:$B$1369,MATCH(1105,'Transfer Engine'!$C$2:$C$1369,0)))</f>
        <v/>
      </c>
      <c r="C1114" s="8">
        <f>IF(ISNA(MATCH(1105,'Transfer Engine'!$C$2:$C$1369,0)),"",INDEX('Compliance Database'!$C$2:$C$1369,MATCH(1105,'Transfer Engine'!$C$2:$C$1369,0)))</f>
        <v/>
      </c>
      <c r="D1114" s="9">
        <f>IF(ISNA(MATCH(1105,'Transfer Engine'!$C$2:$C$1369,0)),"",INDEX('Compliance Database'!$D$2:$D$1369,MATCH(1105,'Transfer Engine'!$C$2:$C$1369,0)))</f>
        <v/>
      </c>
      <c r="E1114" s="8">
        <f>IF(ISNA(MATCH(1105,'Transfer Engine'!$C$2:$C$1369,0)),"",INDEX('Compliance Database'!$E$2:$E$1369,MATCH(1105,'Transfer Engine'!$C$2:$C$1369,0)))</f>
        <v/>
      </c>
      <c r="F1114" s="8">
        <f>IF(ISNA(MATCH(1105,'Transfer Engine'!$C$2:$C$1369,0)),"",INDEX('Compliance Database'!$F$2:$F$1369,MATCH(1105,'Transfer Engine'!$C$2:$C$1369,0)))</f>
        <v/>
      </c>
      <c r="G1114" s="8">
        <f>IF(ISNA(MATCH(1105,'Transfer Engine'!$C$2:$C$1369,0)),"",INDEX('Compliance Database'!$G$2:$G$1369,MATCH(1105,'Transfer Engine'!$C$2:$C$1369,0)))</f>
        <v/>
      </c>
      <c r="H1114" s="9">
        <f>IF(ISNA(MATCH(1105,'Transfer Engine'!$C$2:$C$1369,0)),"",INDEX('Compliance Database'!$H$2:$H$1369,MATCH(1105,'Transfer Engine'!$C$2:$C$1369,0)))</f>
        <v/>
      </c>
      <c r="I1114" s="9">
        <f>IF(ISNA(MATCH(1105,'Transfer Engine'!$C$2:$C$1369,0)),"",INDEX('Compliance Database'!$I$2:$I$1369,MATCH(1105,'Transfer Engine'!$C$2:$C$1369,0)))</f>
        <v/>
      </c>
      <c r="J1114" s="8">
        <f>IF(ISNA(MATCH(1105,'Transfer Engine'!$C$2:$C$1369,0)),"",INDEX('Compliance Database'!$J$2:$J$1369,MATCH(1105,'Transfer Engine'!$C$2:$C$1369,0)))</f>
        <v/>
      </c>
      <c r="K1114" s="9">
        <f>IF(ISNA(MATCH(1105,'Transfer Engine'!$C$2:$C$1369,0)),"",INDEX('Compliance Database'!$K$2:$K$1369,MATCH(1105,'Transfer Engine'!$C$2:$C$1369,0)))</f>
        <v/>
      </c>
      <c r="L1114" s="9">
        <f>IF(ISNA(MATCH(1105,'Transfer Engine'!$C$2:$C$1369,0)),"",INDEX('Compliance Database'!$L$2:$L$1369,MATCH(1105,'Transfer Engine'!$C$2:$C$1369,0)))</f>
        <v/>
      </c>
      <c r="M1114" s="9">
        <f>IF(ISNA(MATCH(1105,'Transfer Engine'!$C$2:$C$1369,0)),"",INDEX('Compliance Database'!$M$2:$M$1369,MATCH(1105,'Transfer Engine'!$C$2:$C$1369,0)))</f>
        <v/>
      </c>
      <c r="N1114" s="9">
        <f>IF(ISNA(MATCH(1105,'Transfer Engine'!$C$2:$C$1369,0)),"",INDEX('Compliance Database'!$N$2:$N$1369,MATCH(1105,'Transfer Engine'!$C$2:$C$1369,0)))</f>
        <v/>
      </c>
      <c r="O1114" s="8">
        <f>IF(ISNA(MATCH(1105,'Transfer Engine'!$C$2:$C$1369,0)),"",HYPERLINK(INDEX('Compliance Database'!$O$2:$O$1369,MATCH(1105,'Transfer Engine'!$C$2:$C$1369,0)),"Open PDF"))</f>
        <v/>
      </c>
    </row>
    <row r="1115" ht="188" customHeight="1">
      <c r="A1115" s="8">
        <f>IF(ISNA(MATCH(1106,'Transfer Engine'!$C$2:$C$1369,0)),"",INDEX('Compliance Database'!$A$2:$A$1369,MATCH(1106,'Transfer Engine'!$C$2:$C$1369,0)))</f>
        <v/>
      </c>
      <c r="B1115" s="8">
        <f>IF(ISNA(MATCH(1106,'Transfer Engine'!$C$2:$C$1369,0)),"",INDEX('Compliance Database'!$B$2:$B$1369,MATCH(1106,'Transfer Engine'!$C$2:$C$1369,0)))</f>
        <v/>
      </c>
      <c r="C1115" s="8">
        <f>IF(ISNA(MATCH(1106,'Transfer Engine'!$C$2:$C$1369,0)),"",INDEX('Compliance Database'!$C$2:$C$1369,MATCH(1106,'Transfer Engine'!$C$2:$C$1369,0)))</f>
        <v/>
      </c>
      <c r="D1115" s="9">
        <f>IF(ISNA(MATCH(1106,'Transfer Engine'!$C$2:$C$1369,0)),"",INDEX('Compliance Database'!$D$2:$D$1369,MATCH(1106,'Transfer Engine'!$C$2:$C$1369,0)))</f>
        <v/>
      </c>
      <c r="E1115" s="8">
        <f>IF(ISNA(MATCH(1106,'Transfer Engine'!$C$2:$C$1369,0)),"",INDEX('Compliance Database'!$E$2:$E$1369,MATCH(1106,'Transfer Engine'!$C$2:$C$1369,0)))</f>
        <v/>
      </c>
      <c r="F1115" s="8">
        <f>IF(ISNA(MATCH(1106,'Transfer Engine'!$C$2:$C$1369,0)),"",INDEX('Compliance Database'!$F$2:$F$1369,MATCH(1106,'Transfer Engine'!$C$2:$C$1369,0)))</f>
        <v/>
      </c>
      <c r="G1115" s="8">
        <f>IF(ISNA(MATCH(1106,'Transfer Engine'!$C$2:$C$1369,0)),"",INDEX('Compliance Database'!$G$2:$G$1369,MATCH(1106,'Transfer Engine'!$C$2:$C$1369,0)))</f>
        <v/>
      </c>
      <c r="H1115" s="9">
        <f>IF(ISNA(MATCH(1106,'Transfer Engine'!$C$2:$C$1369,0)),"",INDEX('Compliance Database'!$H$2:$H$1369,MATCH(1106,'Transfer Engine'!$C$2:$C$1369,0)))</f>
        <v/>
      </c>
      <c r="I1115" s="9">
        <f>IF(ISNA(MATCH(1106,'Transfer Engine'!$C$2:$C$1369,0)),"",INDEX('Compliance Database'!$I$2:$I$1369,MATCH(1106,'Transfer Engine'!$C$2:$C$1369,0)))</f>
        <v/>
      </c>
      <c r="J1115" s="8">
        <f>IF(ISNA(MATCH(1106,'Transfer Engine'!$C$2:$C$1369,0)),"",INDEX('Compliance Database'!$J$2:$J$1369,MATCH(1106,'Transfer Engine'!$C$2:$C$1369,0)))</f>
        <v/>
      </c>
      <c r="K1115" s="9">
        <f>IF(ISNA(MATCH(1106,'Transfer Engine'!$C$2:$C$1369,0)),"",INDEX('Compliance Database'!$K$2:$K$1369,MATCH(1106,'Transfer Engine'!$C$2:$C$1369,0)))</f>
        <v/>
      </c>
      <c r="L1115" s="9">
        <f>IF(ISNA(MATCH(1106,'Transfer Engine'!$C$2:$C$1369,0)),"",INDEX('Compliance Database'!$L$2:$L$1369,MATCH(1106,'Transfer Engine'!$C$2:$C$1369,0)))</f>
        <v/>
      </c>
      <c r="M1115" s="9">
        <f>IF(ISNA(MATCH(1106,'Transfer Engine'!$C$2:$C$1369,0)),"",INDEX('Compliance Database'!$M$2:$M$1369,MATCH(1106,'Transfer Engine'!$C$2:$C$1369,0)))</f>
        <v/>
      </c>
      <c r="N1115" s="9">
        <f>IF(ISNA(MATCH(1106,'Transfer Engine'!$C$2:$C$1369,0)),"",INDEX('Compliance Database'!$N$2:$N$1369,MATCH(1106,'Transfer Engine'!$C$2:$C$1369,0)))</f>
        <v/>
      </c>
      <c r="O1115" s="8">
        <f>IF(ISNA(MATCH(1106,'Transfer Engine'!$C$2:$C$1369,0)),"",HYPERLINK(INDEX('Compliance Database'!$O$2:$O$1369,MATCH(1106,'Transfer Engine'!$C$2:$C$1369,0)),"Open PDF"))</f>
        <v/>
      </c>
    </row>
    <row r="1116" ht="188" customHeight="1">
      <c r="A1116" s="8">
        <f>IF(ISNA(MATCH(1107,'Transfer Engine'!$C$2:$C$1369,0)),"",INDEX('Compliance Database'!$A$2:$A$1369,MATCH(1107,'Transfer Engine'!$C$2:$C$1369,0)))</f>
        <v/>
      </c>
      <c r="B1116" s="8">
        <f>IF(ISNA(MATCH(1107,'Transfer Engine'!$C$2:$C$1369,0)),"",INDEX('Compliance Database'!$B$2:$B$1369,MATCH(1107,'Transfer Engine'!$C$2:$C$1369,0)))</f>
        <v/>
      </c>
      <c r="C1116" s="8">
        <f>IF(ISNA(MATCH(1107,'Transfer Engine'!$C$2:$C$1369,0)),"",INDEX('Compliance Database'!$C$2:$C$1369,MATCH(1107,'Transfer Engine'!$C$2:$C$1369,0)))</f>
        <v/>
      </c>
      <c r="D1116" s="9">
        <f>IF(ISNA(MATCH(1107,'Transfer Engine'!$C$2:$C$1369,0)),"",INDEX('Compliance Database'!$D$2:$D$1369,MATCH(1107,'Transfer Engine'!$C$2:$C$1369,0)))</f>
        <v/>
      </c>
      <c r="E1116" s="8">
        <f>IF(ISNA(MATCH(1107,'Transfer Engine'!$C$2:$C$1369,0)),"",INDEX('Compliance Database'!$E$2:$E$1369,MATCH(1107,'Transfer Engine'!$C$2:$C$1369,0)))</f>
        <v/>
      </c>
      <c r="F1116" s="8">
        <f>IF(ISNA(MATCH(1107,'Transfer Engine'!$C$2:$C$1369,0)),"",INDEX('Compliance Database'!$F$2:$F$1369,MATCH(1107,'Transfer Engine'!$C$2:$C$1369,0)))</f>
        <v/>
      </c>
      <c r="G1116" s="8">
        <f>IF(ISNA(MATCH(1107,'Transfer Engine'!$C$2:$C$1369,0)),"",INDEX('Compliance Database'!$G$2:$G$1369,MATCH(1107,'Transfer Engine'!$C$2:$C$1369,0)))</f>
        <v/>
      </c>
      <c r="H1116" s="9">
        <f>IF(ISNA(MATCH(1107,'Transfer Engine'!$C$2:$C$1369,0)),"",INDEX('Compliance Database'!$H$2:$H$1369,MATCH(1107,'Transfer Engine'!$C$2:$C$1369,0)))</f>
        <v/>
      </c>
      <c r="I1116" s="9">
        <f>IF(ISNA(MATCH(1107,'Transfer Engine'!$C$2:$C$1369,0)),"",INDEX('Compliance Database'!$I$2:$I$1369,MATCH(1107,'Transfer Engine'!$C$2:$C$1369,0)))</f>
        <v/>
      </c>
      <c r="J1116" s="8">
        <f>IF(ISNA(MATCH(1107,'Transfer Engine'!$C$2:$C$1369,0)),"",INDEX('Compliance Database'!$J$2:$J$1369,MATCH(1107,'Transfer Engine'!$C$2:$C$1369,0)))</f>
        <v/>
      </c>
      <c r="K1116" s="9">
        <f>IF(ISNA(MATCH(1107,'Transfer Engine'!$C$2:$C$1369,0)),"",INDEX('Compliance Database'!$K$2:$K$1369,MATCH(1107,'Transfer Engine'!$C$2:$C$1369,0)))</f>
        <v/>
      </c>
      <c r="L1116" s="9">
        <f>IF(ISNA(MATCH(1107,'Transfer Engine'!$C$2:$C$1369,0)),"",INDEX('Compliance Database'!$L$2:$L$1369,MATCH(1107,'Transfer Engine'!$C$2:$C$1369,0)))</f>
        <v/>
      </c>
      <c r="M1116" s="9">
        <f>IF(ISNA(MATCH(1107,'Transfer Engine'!$C$2:$C$1369,0)),"",INDEX('Compliance Database'!$M$2:$M$1369,MATCH(1107,'Transfer Engine'!$C$2:$C$1369,0)))</f>
        <v/>
      </c>
      <c r="N1116" s="9">
        <f>IF(ISNA(MATCH(1107,'Transfer Engine'!$C$2:$C$1369,0)),"",INDEX('Compliance Database'!$N$2:$N$1369,MATCH(1107,'Transfer Engine'!$C$2:$C$1369,0)))</f>
        <v/>
      </c>
      <c r="O1116" s="8">
        <f>IF(ISNA(MATCH(1107,'Transfer Engine'!$C$2:$C$1369,0)),"",HYPERLINK(INDEX('Compliance Database'!$O$2:$O$1369,MATCH(1107,'Transfer Engine'!$C$2:$C$1369,0)),"Open PDF"))</f>
        <v/>
      </c>
    </row>
    <row r="1117" ht="188" customHeight="1">
      <c r="A1117" s="8">
        <f>IF(ISNA(MATCH(1108,'Transfer Engine'!$C$2:$C$1369,0)),"",INDEX('Compliance Database'!$A$2:$A$1369,MATCH(1108,'Transfer Engine'!$C$2:$C$1369,0)))</f>
        <v/>
      </c>
      <c r="B1117" s="8">
        <f>IF(ISNA(MATCH(1108,'Transfer Engine'!$C$2:$C$1369,0)),"",INDEX('Compliance Database'!$B$2:$B$1369,MATCH(1108,'Transfer Engine'!$C$2:$C$1369,0)))</f>
        <v/>
      </c>
      <c r="C1117" s="8">
        <f>IF(ISNA(MATCH(1108,'Transfer Engine'!$C$2:$C$1369,0)),"",INDEX('Compliance Database'!$C$2:$C$1369,MATCH(1108,'Transfer Engine'!$C$2:$C$1369,0)))</f>
        <v/>
      </c>
      <c r="D1117" s="9">
        <f>IF(ISNA(MATCH(1108,'Transfer Engine'!$C$2:$C$1369,0)),"",INDEX('Compliance Database'!$D$2:$D$1369,MATCH(1108,'Transfer Engine'!$C$2:$C$1369,0)))</f>
        <v/>
      </c>
      <c r="E1117" s="8">
        <f>IF(ISNA(MATCH(1108,'Transfer Engine'!$C$2:$C$1369,0)),"",INDEX('Compliance Database'!$E$2:$E$1369,MATCH(1108,'Transfer Engine'!$C$2:$C$1369,0)))</f>
        <v/>
      </c>
      <c r="F1117" s="8">
        <f>IF(ISNA(MATCH(1108,'Transfer Engine'!$C$2:$C$1369,0)),"",INDEX('Compliance Database'!$F$2:$F$1369,MATCH(1108,'Transfer Engine'!$C$2:$C$1369,0)))</f>
        <v/>
      </c>
      <c r="G1117" s="8">
        <f>IF(ISNA(MATCH(1108,'Transfer Engine'!$C$2:$C$1369,0)),"",INDEX('Compliance Database'!$G$2:$G$1369,MATCH(1108,'Transfer Engine'!$C$2:$C$1369,0)))</f>
        <v/>
      </c>
      <c r="H1117" s="9">
        <f>IF(ISNA(MATCH(1108,'Transfer Engine'!$C$2:$C$1369,0)),"",INDEX('Compliance Database'!$H$2:$H$1369,MATCH(1108,'Transfer Engine'!$C$2:$C$1369,0)))</f>
        <v/>
      </c>
      <c r="I1117" s="9">
        <f>IF(ISNA(MATCH(1108,'Transfer Engine'!$C$2:$C$1369,0)),"",INDEX('Compliance Database'!$I$2:$I$1369,MATCH(1108,'Transfer Engine'!$C$2:$C$1369,0)))</f>
        <v/>
      </c>
      <c r="J1117" s="8">
        <f>IF(ISNA(MATCH(1108,'Transfer Engine'!$C$2:$C$1369,0)),"",INDEX('Compliance Database'!$J$2:$J$1369,MATCH(1108,'Transfer Engine'!$C$2:$C$1369,0)))</f>
        <v/>
      </c>
      <c r="K1117" s="9">
        <f>IF(ISNA(MATCH(1108,'Transfer Engine'!$C$2:$C$1369,0)),"",INDEX('Compliance Database'!$K$2:$K$1369,MATCH(1108,'Transfer Engine'!$C$2:$C$1369,0)))</f>
        <v/>
      </c>
      <c r="L1117" s="9">
        <f>IF(ISNA(MATCH(1108,'Transfer Engine'!$C$2:$C$1369,0)),"",INDEX('Compliance Database'!$L$2:$L$1369,MATCH(1108,'Transfer Engine'!$C$2:$C$1369,0)))</f>
        <v/>
      </c>
      <c r="M1117" s="9">
        <f>IF(ISNA(MATCH(1108,'Transfer Engine'!$C$2:$C$1369,0)),"",INDEX('Compliance Database'!$M$2:$M$1369,MATCH(1108,'Transfer Engine'!$C$2:$C$1369,0)))</f>
        <v/>
      </c>
      <c r="N1117" s="9">
        <f>IF(ISNA(MATCH(1108,'Transfer Engine'!$C$2:$C$1369,0)),"",INDEX('Compliance Database'!$N$2:$N$1369,MATCH(1108,'Transfer Engine'!$C$2:$C$1369,0)))</f>
        <v/>
      </c>
      <c r="O1117" s="8">
        <f>IF(ISNA(MATCH(1108,'Transfer Engine'!$C$2:$C$1369,0)),"",HYPERLINK(INDEX('Compliance Database'!$O$2:$O$1369,MATCH(1108,'Transfer Engine'!$C$2:$C$1369,0)),"Open PDF"))</f>
        <v/>
      </c>
    </row>
    <row r="1118" ht="188" customHeight="1">
      <c r="A1118" s="8">
        <f>IF(ISNA(MATCH(1109,'Transfer Engine'!$C$2:$C$1369,0)),"",INDEX('Compliance Database'!$A$2:$A$1369,MATCH(1109,'Transfer Engine'!$C$2:$C$1369,0)))</f>
        <v/>
      </c>
      <c r="B1118" s="8">
        <f>IF(ISNA(MATCH(1109,'Transfer Engine'!$C$2:$C$1369,0)),"",INDEX('Compliance Database'!$B$2:$B$1369,MATCH(1109,'Transfer Engine'!$C$2:$C$1369,0)))</f>
        <v/>
      </c>
      <c r="C1118" s="8">
        <f>IF(ISNA(MATCH(1109,'Transfer Engine'!$C$2:$C$1369,0)),"",INDEX('Compliance Database'!$C$2:$C$1369,MATCH(1109,'Transfer Engine'!$C$2:$C$1369,0)))</f>
        <v/>
      </c>
      <c r="D1118" s="9">
        <f>IF(ISNA(MATCH(1109,'Transfer Engine'!$C$2:$C$1369,0)),"",INDEX('Compliance Database'!$D$2:$D$1369,MATCH(1109,'Transfer Engine'!$C$2:$C$1369,0)))</f>
        <v/>
      </c>
      <c r="E1118" s="8">
        <f>IF(ISNA(MATCH(1109,'Transfer Engine'!$C$2:$C$1369,0)),"",INDEX('Compliance Database'!$E$2:$E$1369,MATCH(1109,'Transfer Engine'!$C$2:$C$1369,0)))</f>
        <v/>
      </c>
      <c r="F1118" s="8">
        <f>IF(ISNA(MATCH(1109,'Transfer Engine'!$C$2:$C$1369,0)),"",INDEX('Compliance Database'!$F$2:$F$1369,MATCH(1109,'Transfer Engine'!$C$2:$C$1369,0)))</f>
        <v/>
      </c>
      <c r="G1118" s="8">
        <f>IF(ISNA(MATCH(1109,'Transfer Engine'!$C$2:$C$1369,0)),"",INDEX('Compliance Database'!$G$2:$G$1369,MATCH(1109,'Transfer Engine'!$C$2:$C$1369,0)))</f>
        <v/>
      </c>
      <c r="H1118" s="9">
        <f>IF(ISNA(MATCH(1109,'Transfer Engine'!$C$2:$C$1369,0)),"",INDEX('Compliance Database'!$H$2:$H$1369,MATCH(1109,'Transfer Engine'!$C$2:$C$1369,0)))</f>
        <v/>
      </c>
      <c r="I1118" s="9">
        <f>IF(ISNA(MATCH(1109,'Transfer Engine'!$C$2:$C$1369,0)),"",INDEX('Compliance Database'!$I$2:$I$1369,MATCH(1109,'Transfer Engine'!$C$2:$C$1369,0)))</f>
        <v/>
      </c>
      <c r="J1118" s="8">
        <f>IF(ISNA(MATCH(1109,'Transfer Engine'!$C$2:$C$1369,0)),"",INDEX('Compliance Database'!$J$2:$J$1369,MATCH(1109,'Transfer Engine'!$C$2:$C$1369,0)))</f>
        <v/>
      </c>
      <c r="K1118" s="9">
        <f>IF(ISNA(MATCH(1109,'Transfer Engine'!$C$2:$C$1369,0)),"",INDEX('Compliance Database'!$K$2:$K$1369,MATCH(1109,'Transfer Engine'!$C$2:$C$1369,0)))</f>
        <v/>
      </c>
      <c r="L1118" s="9">
        <f>IF(ISNA(MATCH(1109,'Transfer Engine'!$C$2:$C$1369,0)),"",INDEX('Compliance Database'!$L$2:$L$1369,MATCH(1109,'Transfer Engine'!$C$2:$C$1369,0)))</f>
        <v/>
      </c>
      <c r="M1118" s="9">
        <f>IF(ISNA(MATCH(1109,'Transfer Engine'!$C$2:$C$1369,0)),"",INDEX('Compliance Database'!$M$2:$M$1369,MATCH(1109,'Transfer Engine'!$C$2:$C$1369,0)))</f>
        <v/>
      </c>
      <c r="N1118" s="9">
        <f>IF(ISNA(MATCH(1109,'Transfer Engine'!$C$2:$C$1369,0)),"",INDEX('Compliance Database'!$N$2:$N$1369,MATCH(1109,'Transfer Engine'!$C$2:$C$1369,0)))</f>
        <v/>
      </c>
      <c r="O1118" s="8">
        <f>IF(ISNA(MATCH(1109,'Transfer Engine'!$C$2:$C$1369,0)),"",HYPERLINK(INDEX('Compliance Database'!$O$2:$O$1369,MATCH(1109,'Transfer Engine'!$C$2:$C$1369,0)),"Open PDF"))</f>
        <v/>
      </c>
    </row>
    <row r="1119" ht="188" customHeight="1">
      <c r="A1119" s="8">
        <f>IF(ISNA(MATCH(1110,'Transfer Engine'!$C$2:$C$1369,0)),"",INDEX('Compliance Database'!$A$2:$A$1369,MATCH(1110,'Transfer Engine'!$C$2:$C$1369,0)))</f>
        <v/>
      </c>
      <c r="B1119" s="8">
        <f>IF(ISNA(MATCH(1110,'Transfer Engine'!$C$2:$C$1369,0)),"",INDEX('Compliance Database'!$B$2:$B$1369,MATCH(1110,'Transfer Engine'!$C$2:$C$1369,0)))</f>
        <v/>
      </c>
      <c r="C1119" s="8">
        <f>IF(ISNA(MATCH(1110,'Transfer Engine'!$C$2:$C$1369,0)),"",INDEX('Compliance Database'!$C$2:$C$1369,MATCH(1110,'Transfer Engine'!$C$2:$C$1369,0)))</f>
        <v/>
      </c>
      <c r="D1119" s="9">
        <f>IF(ISNA(MATCH(1110,'Transfer Engine'!$C$2:$C$1369,0)),"",INDEX('Compliance Database'!$D$2:$D$1369,MATCH(1110,'Transfer Engine'!$C$2:$C$1369,0)))</f>
        <v/>
      </c>
      <c r="E1119" s="8">
        <f>IF(ISNA(MATCH(1110,'Transfer Engine'!$C$2:$C$1369,0)),"",INDEX('Compliance Database'!$E$2:$E$1369,MATCH(1110,'Transfer Engine'!$C$2:$C$1369,0)))</f>
        <v/>
      </c>
      <c r="F1119" s="8">
        <f>IF(ISNA(MATCH(1110,'Transfer Engine'!$C$2:$C$1369,0)),"",INDEX('Compliance Database'!$F$2:$F$1369,MATCH(1110,'Transfer Engine'!$C$2:$C$1369,0)))</f>
        <v/>
      </c>
      <c r="G1119" s="8">
        <f>IF(ISNA(MATCH(1110,'Transfer Engine'!$C$2:$C$1369,0)),"",INDEX('Compliance Database'!$G$2:$G$1369,MATCH(1110,'Transfer Engine'!$C$2:$C$1369,0)))</f>
        <v/>
      </c>
      <c r="H1119" s="9">
        <f>IF(ISNA(MATCH(1110,'Transfer Engine'!$C$2:$C$1369,0)),"",INDEX('Compliance Database'!$H$2:$H$1369,MATCH(1110,'Transfer Engine'!$C$2:$C$1369,0)))</f>
        <v/>
      </c>
      <c r="I1119" s="9">
        <f>IF(ISNA(MATCH(1110,'Transfer Engine'!$C$2:$C$1369,0)),"",INDEX('Compliance Database'!$I$2:$I$1369,MATCH(1110,'Transfer Engine'!$C$2:$C$1369,0)))</f>
        <v/>
      </c>
      <c r="J1119" s="8">
        <f>IF(ISNA(MATCH(1110,'Transfer Engine'!$C$2:$C$1369,0)),"",INDEX('Compliance Database'!$J$2:$J$1369,MATCH(1110,'Transfer Engine'!$C$2:$C$1369,0)))</f>
        <v/>
      </c>
      <c r="K1119" s="9">
        <f>IF(ISNA(MATCH(1110,'Transfer Engine'!$C$2:$C$1369,0)),"",INDEX('Compliance Database'!$K$2:$K$1369,MATCH(1110,'Transfer Engine'!$C$2:$C$1369,0)))</f>
        <v/>
      </c>
      <c r="L1119" s="9">
        <f>IF(ISNA(MATCH(1110,'Transfer Engine'!$C$2:$C$1369,0)),"",INDEX('Compliance Database'!$L$2:$L$1369,MATCH(1110,'Transfer Engine'!$C$2:$C$1369,0)))</f>
        <v/>
      </c>
      <c r="M1119" s="9">
        <f>IF(ISNA(MATCH(1110,'Transfer Engine'!$C$2:$C$1369,0)),"",INDEX('Compliance Database'!$M$2:$M$1369,MATCH(1110,'Transfer Engine'!$C$2:$C$1369,0)))</f>
        <v/>
      </c>
      <c r="N1119" s="9">
        <f>IF(ISNA(MATCH(1110,'Transfer Engine'!$C$2:$C$1369,0)),"",INDEX('Compliance Database'!$N$2:$N$1369,MATCH(1110,'Transfer Engine'!$C$2:$C$1369,0)))</f>
        <v/>
      </c>
      <c r="O1119" s="8">
        <f>IF(ISNA(MATCH(1110,'Transfer Engine'!$C$2:$C$1369,0)),"",HYPERLINK(INDEX('Compliance Database'!$O$2:$O$1369,MATCH(1110,'Transfer Engine'!$C$2:$C$1369,0)),"Open PDF"))</f>
        <v/>
      </c>
    </row>
    <row r="1120" ht="188" customHeight="1">
      <c r="A1120" s="8">
        <f>IF(ISNA(MATCH(1111,'Transfer Engine'!$C$2:$C$1369,0)),"",INDEX('Compliance Database'!$A$2:$A$1369,MATCH(1111,'Transfer Engine'!$C$2:$C$1369,0)))</f>
        <v/>
      </c>
      <c r="B1120" s="8">
        <f>IF(ISNA(MATCH(1111,'Transfer Engine'!$C$2:$C$1369,0)),"",INDEX('Compliance Database'!$B$2:$B$1369,MATCH(1111,'Transfer Engine'!$C$2:$C$1369,0)))</f>
        <v/>
      </c>
      <c r="C1120" s="8">
        <f>IF(ISNA(MATCH(1111,'Transfer Engine'!$C$2:$C$1369,0)),"",INDEX('Compliance Database'!$C$2:$C$1369,MATCH(1111,'Transfer Engine'!$C$2:$C$1369,0)))</f>
        <v/>
      </c>
      <c r="D1120" s="9">
        <f>IF(ISNA(MATCH(1111,'Transfer Engine'!$C$2:$C$1369,0)),"",INDEX('Compliance Database'!$D$2:$D$1369,MATCH(1111,'Transfer Engine'!$C$2:$C$1369,0)))</f>
        <v/>
      </c>
      <c r="E1120" s="8">
        <f>IF(ISNA(MATCH(1111,'Transfer Engine'!$C$2:$C$1369,0)),"",INDEX('Compliance Database'!$E$2:$E$1369,MATCH(1111,'Transfer Engine'!$C$2:$C$1369,0)))</f>
        <v/>
      </c>
      <c r="F1120" s="8">
        <f>IF(ISNA(MATCH(1111,'Transfer Engine'!$C$2:$C$1369,0)),"",INDEX('Compliance Database'!$F$2:$F$1369,MATCH(1111,'Transfer Engine'!$C$2:$C$1369,0)))</f>
        <v/>
      </c>
      <c r="G1120" s="8">
        <f>IF(ISNA(MATCH(1111,'Transfer Engine'!$C$2:$C$1369,0)),"",INDEX('Compliance Database'!$G$2:$G$1369,MATCH(1111,'Transfer Engine'!$C$2:$C$1369,0)))</f>
        <v/>
      </c>
      <c r="H1120" s="9">
        <f>IF(ISNA(MATCH(1111,'Transfer Engine'!$C$2:$C$1369,0)),"",INDEX('Compliance Database'!$H$2:$H$1369,MATCH(1111,'Transfer Engine'!$C$2:$C$1369,0)))</f>
        <v/>
      </c>
      <c r="I1120" s="9">
        <f>IF(ISNA(MATCH(1111,'Transfer Engine'!$C$2:$C$1369,0)),"",INDEX('Compliance Database'!$I$2:$I$1369,MATCH(1111,'Transfer Engine'!$C$2:$C$1369,0)))</f>
        <v/>
      </c>
      <c r="J1120" s="8">
        <f>IF(ISNA(MATCH(1111,'Transfer Engine'!$C$2:$C$1369,0)),"",INDEX('Compliance Database'!$J$2:$J$1369,MATCH(1111,'Transfer Engine'!$C$2:$C$1369,0)))</f>
        <v/>
      </c>
      <c r="K1120" s="9">
        <f>IF(ISNA(MATCH(1111,'Transfer Engine'!$C$2:$C$1369,0)),"",INDEX('Compliance Database'!$K$2:$K$1369,MATCH(1111,'Transfer Engine'!$C$2:$C$1369,0)))</f>
        <v/>
      </c>
      <c r="L1120" s="9">
        <f>IF(ISNA(MATCH(1111,'Transfer Engine'!$C$2:$C$1369,0)),"",INDEX('Compliance Database'!$L$2:$L$1369,MATCH(1111,'Transfer Engine'!$C$2:$C$1369,0)))</f>
        <v/>
      </c>
      <c r="M1120" s="9">
        <f>IF(ISNA(MATCH(1111,'Transfer Engine'!$C$2:$C$1369,0)),"",INDEX('Compliance Database'!$M$2:$M$1369,MATCH(1111,'Transfer Engine'!$C$2:$C$1369,0)))</f>
        <v/>
      </c>
      <c r="N1120" s="9">
        <f>IF(ISNA(MATCH(1111,'Transfer Engine'!$C$2:$C$1369,0)),"",INDEX('Compliance Database'!$N$2:$N$1369,MATCH(1111,'Transfer Engine'!$C$2:$C$1369,0)))</f>
        <v/>
      </c>
      <c r="O1120" s="8">
        <f>IF(ISNA(MATCH(1111,'Transfer Engine'!$C$2:$C$1369,0)),"",HYPERLINK(INDEX('Compliance Database'!$O$2:$O$1369,MATCH(1111,'Transfer Engine'!$C$2:$C$1369,0)),"Open PDF"))</f>
        <v/>
      </c>
    </row>
    <row r="1121" ht="188" customHeight="1">
      <c r="A1121" s="8">
        <f>IF(ISNA(MATCH(1112,'Transfer Engine'!$C$2:$C$1369,0)),"",INDEX('Compliance Database'!$A$2:$A$1369,MATCH(1112,'Transfer Engine'!$C$2:$C$1369,0)))</f>
        <v/>
      </c>
      <c r="B1121" s="8">
        <f>IF(ISNA(MATCH(1112,'Transfer Engine'!$C$2:$C$1369,0)),"",INDEX('Compliance Database'!$B$2:$B$1369,MATCH(1112,'Transfer Engine'!$C$2:$C$1369,0)))</f>
        <v/>
      </c>
      <c r="C1121" s="8">
        <f>IF(ISNA(MATCH(1112,'Transfer Engine'!$C$2:$C$1369,0)),"",INDEX('Compliance Database'!$C$2:$C$1369,MATCH(1112,'Transfer Engine'!$C$2:$C$1369,0)))</f>
        <v/>
      </c>
      <c r="D1121" s="9">
        <f>IF(ISNA(MATCH(1112,'Transfer Engine'!$C$2:$C$1369,0)),"",INDEX('Compliance Database'!$D$2:$D$1369,MATCH(1112,'Transfer Engine'!$C$2:$C$1369,0)))</f>
        <v/>
      </c>
      <c r="E1121" s="8">
        <f>IF(ISNA(MATCH(1112,'Transfer Engine'!$C$2:$C$1369,0)),"",INDEX('Compliance Database'!$E$2:$E$1369,MATCH(1112,'Transfer Engine'!$C$2:$C$1369,0)))</f>
        <v/>
      </c>
      <c r="F1121" s="8">
        <f>IF(ISNA(MATCH(1112,'Transfer Engine'!$C$2:$C$1369,0)),"",INDEX('Compliance Database'!$F$2:$F$1369,MATCH(1112,'Transfer Engine'!$C$2:$C$1369,0)))</f>
        <v/>
      </c>
      <c r="G1121" s="8">
        <f>IF(ISNA(MATCH(1112,'Transfer Engine'!$C$2:$C$1369,0)),"",INDEX('Compliance Database'!$G$2:$G$1369,MATCH(1112,'Transfer Engine'!$C$2:$C$1369,0)))</f>
        <v/>
      </c>
      <c r="H1121" s="9">
        <f>IF(ISNA(MATCH(1112,'Transfer Engine'!$C$2:$C$1369,0)),"",INDEX('Compliance Database'!$H$2:$H$1369,MATCH(1112,'Transfer Engine'!$C$2:$C$1369,0)))</f>
        <v/>
      </c>
      <c r="I1121" s="9">
        <f>IF(ISNA(MATCH(1112,'Transfer Engine'!$C$2:$C$1369,0)),"",INDEX('Compliance Database'!$I$2:$I$1369,MATCH(1112,'Transfer Engine'!$C$2:$C$1369,0)))</f>
        <v/>
      </c>
      <c r="J1121" s="8">
        <f>IF(ISNA(MATCH(1112,'Transfer Engine'!$C$2:$C$1369,0)),"",INDEX('Compliance Database'!$J$2:$J$1369,MATCH(1112,'Transfer Engine'!$C$2:$C$1369,0)))</f>
        <v/>
      </c>
      <c r="K1121" s="9">
        <f>IF(ISNA(MATCH(1112,'Transfer Engine'!$C$2:$C$1369,0)),"",INDEX('Compliance Database'!$K$2:$K$1369,MATCH(1112,'Transfer Engine'!$C$2:$C$1369,0)))</f>
        <v/>
      </c>
      <c r="L1121" s="9">
        <f>IF(ISNA(MATCH(1112,'Transfer Engine'!$C$2:$C$1369,0)),"",INDEX('Compliance Database'!$L$2:$L$1369,MATCH(1112,'Transfer Engine'!$C$2:$C$1369,0)))</f>
        <v/>
      </c>
      <c r="M1121" s="9">
        <f>IF(ISNA(MATCH(1112,'Transfer Engine'!$C$2:$C$1369,0)),"",INDEX('Compliance Database'!$M$2:$M$1369,MATCH(1112,'Transfer Engine'!$C$2:$C$1369,0)))</f>
        <v/>
      </c>
      <c r="N1121" s="9">
        <f>IF(ISNA(MATCH(1112,'Transfer Engine'!$C$2:$C$1369,0)),"",INDEX('Compliance Database'!$N$2:$N$1369,MATCH(1112,'Transfer Engine'!$C$2:$C$1369,0)))</f>
        <v/>
      </c>
      <c r="O1121" s="8">
        <f>IF(ISNA(MATCH(1112,'Transfer Engine'!$C$2:$C$1369,0)),"",HYPERLINK(INDEX('Compliance Database'!$O$2:$O$1369,MATCH(1112,'Transfer Engine'!$C$2:$C$1369,0)),"Open PDF"))</f>
        <v/>
      </c>
    </row>
    <row r="1122" ht="188" customHeight="1">
      <c r="A1122" s="8">
        <f>IF(ISNA(MATCH(1113,'Transfer Engine'!$C$2:$C$1369,0)),"",INDEX('Compliance Database'!$A$2:$A$1369,MATCH(1113,'Transfer Engine'!$C$2:$C$1369,0)))</f>
        <v/>
      </c>
      <c r="B1122" s="8">
        <f>IF(ISNA(MATCH(1113,'Transfer Engine'!$C$2:$C$1369,0)),"",INDEX('Compliance Database'!$B$2:$B$1369,MATCH(1113,'Transfer Engine'!$C$2:$C$1369,0)))</f>
        <v/>
      </c>
      <c r="C1122" s="8">
        <f>IF(ISNA(MATCH(1113,'Transfer Engine'!$C$2:$C$1369,0)),"",INDEX('Compliance Database'!$C$2:$C$1369,MATCH(1113,'Transfer Engine'!$C$2:$C$1369,0)))</f>
        <v/>
      </c>
      <c r="D1122" s="9">
        <f>IF(ISNA(MATCH(1113,'Transfer Engine'!$C$2:$C$1369,0)),"",INDEX('Compliance Database'!$D$2:$D$1369,MATCH(1113,'Transfer Engine'!$C$2:$C$1369,0)))</f>
        <v/>
      </c>
      <c r="E1122" s="8">
        <f>IF(ISNA(MATCH(1113,'Transfer Engine'!$C$2:$C$1369,0)),"",INDEX('Compliance Database'!$E$2:$E$1369,MATCH(1113,'Transfer Engine'!$C$2:$C$1369,0)))</f>
        <v/>
      </c>
      <c r="F1122" s="8">
        <f>IF(ISNA(MATCH(1113,'Transfer Engine'!$C$2:$C$1369,0)),"",INDEX('Compliance Database'!$F$2:$F$1369,MATCH(1113,'Transfer Engine'!$C$2:$C$1369,0)))</f>
        <v/>
      </c>
      <c r="G1122" s="8">
        <f>IF(ISNA(MATCH(1113,'Transfer Engine'!$C$2:$C$1369,0)),"",INDEX('Compliance Database'!$G$2:$G$1369,MATCH(1113,'Transfer Engine'!$C$2:$C$1369,0)))</f>
        <v/>
      </c>
      <c r="H1122" s="9">
        <f>IF(ISNA(MATCH(1113,'Transfer Engine'!$C$2:$C$1369,0)),"",INDEX('Compliance Database'!$H$2:$H$1369,MATCH(1113,'Transfer Engine'!$C$2:$C$1369,0)))</f>
        <v/>
      </c>
      <c r="I1122" s="9">
        <f>IF(ISNA(MATCH(1113,'Transfer Engine'!$C$2:$C$1369,0)),"",INDEX('Compliance Database'!$I$2:$I$1369,MATCH(1113,'Transfer Engine'!$C$2:$C$1369,0)))</f>
        <v/>
      </c>
      <c r="J1122" s="8">
        <f>IF(ISNA(MATCH(1113,'Transfer Engine'!$C$2:$C$1369,0)),"",INDEX('Compliance Database'!$J$2:$J$1369,MATCH(1113,'Transfer Engine'!$C$2:$C$1369,0)))</f>
        <v/>
      </c>
      <c r="K1122" s="9">
        <f>IF(ISNA(MATCH(1113,'Transfer Engine'!$C$2:$C$1369,0)),"",INDEX('Compliance Database'!$K$2:$K$1369,MATCH(1113,'Transfer Engine'!$C$2:$C$1369,0)))</f>
        <v/>
      </c>
      <c r="L1122" s="9">
        <f>IF(ISNA(MATCH(1113,'Transfer Engine'!$C$2:$C$1369,0)),"",INDEX('Compliance Database'!$L$2:$L$1369,MATCH(1113,'Transfer Engine'!$C$2:$C$1369,0)))</f>
        <v/>
      </c>
      <c r="M1122" s="9">
        <f>IF(ISNA(MATCH(1113,'Transfer Engine'!$C$2:$C$1369,0)),"",INDEX('Compliance Database'!$M$2:$M$1369,MATCH(1113,'Transfer Engine'!$C$2:$C$1369,0)))</f>
        <v/>
      </c>
      <c r="N1122" s="9">
        <f>IF(ISNA(MATCH(1113,'Transfer Engine'!$C$2:$C$1369,0)),"",INDEX('Compliance Database'!$N$2:$N$1369,MATCH(1113,'Transfer Engine'!$C$2:$C$1369,0)))</f>
        <v/>
      </c>
      <c r="O1122" s="8">
        <f>IF(ISNA(MATCH(1113,'Transfer Engine'!$C$2:$C$1369,0)),"",HYPERLINK(INDEX('Compliance Database'!$O$2:$O$1369,MATCH(1113,'Transfer Engine'!$C$2:$C$1369,0)),"Open PDF"))</f>
        <v/>
      </c>
    </row>
    <row r="1123" ht="188" customHeight="1">
      <c r="A1123" s="8">
        <f>IF(ISNA(MATCH(1114,'Transfer Engine'!$C$2:$C$1369,0)),"",INDEX('Compliance Database'!$A$2:$A$1369,MATCH(1114,'Transfer Engine'!$C$2:$C$1369,0)))</f>
        <v/>
      </c>
      <c r="B1123" s="8">
        <f>IF(ISNA(MATCH(1114,'Transfer Engine'!$C$2:$C$1369,0)),"",INDEX('Compliance Database'!$B$2:$B$1369,MATCH(1114,'Transfer Engine'!$C$2:$C$1369,0)))</f>
        <v/>
      </c>
      <c r="C1123" s="8">
        <f>IF(ISNA(MATCH(1114,'Transfer Engine'!$C$2:$C$1369,0)),"",INDEX('Compliance Database'!$C$2:$C$1369,MATCH(1114,'Transfer Engine'!$C$2:$C$1369,0)))</f>
        <v/>
      </c>
      <c r="D1123" s="9">
        <f>IF(ISNA(MATCH(1114,'Transfer Engine'!$C$2:$C$1369,0)),"",INDEX('Compliance Database'!$D$2:$D$1369,MATCH(1114,'Transfer Engine'!$C$2:$C$1369,0)))</f>
        <v/>
      </c>
      <c r="E1123" s="8">
        <f>IF(ISNA(MATCH(1114,'Transfer Engine'!$C$2:$C$1369,0)),"",INDEX('Compliance Database'!$E$2:$E$1369,MATCH(1114,'Transfer Engine'!$C$2:$C$1369,0)))</f>
        <v/>
      </c>
      <c r="F1123" s="8">
        <f>IF(ISNA(MATCH(1114,'Transfer Engine'!$C$2:$C$1369,0)),"",INDEX('Compliance Database'!$F$2:$F$1369,MATCH(1114,'Transfer Engine'!$C$2:$C$1369,0)))</f>
        <v/>
      </c>
      <c r="G1123" s="8">
        <f>IF(ISNA(MATCH(1114,'Transfer Engine'!$C$2:$C$1369,0)),"",INDEX('Compliance Database'!$G$2:$G$1369,MATCH(1114,'Transfer Engine'!$C$2:$C$1369,0)))</f>
        <v/>
      </c>
      <c r="H1123" s="9">
        <f>IF(ISNA(MATCH(1114,'Transfer Engine'!$C$2:$C$1369,0)),"",INDEX('Compliance Database'!$H$2:$H$1369,MATCH(1114,'Transfer Engine'!$C$2:$C$1369,0)))</f>
        <v/>
      </c>
      <c r="I1123" s="9">
        <f>IF(ISNA(MATCH(1114,'Transfer Engine'!$C$2:$C$1369,0)),"",INDEX('Compliance Database'!$I$2:$I$1369,MATCH(1114,'Transfer Engine'!$C$2:$C$1369,0)))</f>
        <v/>
      </c>
      <c r="J1123" s="8">
        <f>IF(ISNA(MATCH(1114,'Transfer Engine'!$C$2:$C$1369,0)),"",INDEX('Compliance Database'!$J$2:$J$1369,MATCH(1114,'Transfer Engine'!$C$2:$C$1369,0)))</f>
        <v/>
      </c>
      <c r="K1123" s="9">
        <f>IF(ISNA(MATCH(1114,'Transfer Engine'!$C$2:$C$1369,0)),"",INDEX('Compliance Database'!$K$2:$K$1369,MATCH(1114,'Transfer Engine'!$C$2:$C$1369,0)))</f>
        <v/>
      </c>
      <c r="L1123" s="9">
        <f>IF(ISNA(MATCH(1114,'Transfer Engine'!$C$2:$C$1369,0)),"",INDEX('Compliance Database'!$L$2:$L$1369,MATCH(1114,'Transfer Engine'!$C$2:$C$1369,0)))</f>
        <v/>
      </c>
      <c r="M1123" s="9">
        <f>IF(ISNA(MATCH(1114,'Transfer Engine'!$C$2:$C$1369,0)),"",INDEX('Compliance Database'!$M$2:$M$1369,MATCH(1114,'Transfer Engine'!$C$2:$C$1369,0)))</f>
        <v/>
      </c>
      <c r="N1123" s="9">
        <f>IF(ISNA(MATCH(1114,'Transfer Engine'!$C$2:$C$1369,0)),"",INDEX('Compliance Database'!$N$2:$N$1369,MATCH(1114,'Transfer Engine'!$C$2:$C$1369,0)))</f>
        <v/>
      </c>
      <c r="O1123" s="8">
        <f>IF(ISNA(MATCH(1114,'Transfer Engine'!$C$2:$C$1369,0)),"",HYPERLINK(INDEX('Compliance Database'!$O$2:$O$1369,MATCH(1114,'Transfer Engine'!$C$2:$C$1369,0)),"Open PDF"))</f>
        <v/>
      </c>
    </row>
    <row r="1124" ht="188" customHeight="1">
      <c r="A1124" s="8">
        <f>IF(ISNA(MATCH(1115,'Transfer Engine'!$C$2:$C$1369,0)),"",INDEX('Compliance Database'!$A$2:$A$1369,MATCH(1115,'Transfer Engine'!$C$2:$C$1369,0)))</f>
        <v/>
      </c>
      <c r="B1124" s="8">
        <f>IF(ISNA(MATCH(1115,'Transfer Engine'!$C$2:$C$1369,0)),"",INDEX('Compliance Database'!$B$2:$B$1369,MATCH(1115,'Transfer Engine'!$C$2:$C$1369,0)))</f>
        <v/>
      </c>
      <c r="C1124" s="8">
        <f>IF(ISNA(MATCH(1115,'Transfer Engine'!$C$2:$C$1369,0)),"",INDEX('Compliance Database'!$C$2:$C$1369,MATCH(1115,'Transfer Engine'!$C$2:$C$1369,0)))</f>
        <v/>
      </c>
      <c r="D1124" s="9">
        <f>IF(ISNA(MATCH(1115,'Transfer Engine'!$C$2:$C$1369,0)),"",INDEX('Compliance Database'!$D$2:$D$1369,MATCH(1115,'Transfer Engine'!$C$2:$C$1369,0)))</f>
        <v/>
      </c>
      <c r="E1124" s="8">
        <f>IF(ISNA(MATCH(1115,'Transfer Engine'!$C$2:$C$1369,0)),"",INDEX('Compliance Database'!$E$2:$E$1369,MATCH(1115,'Transfer Engine'!$C$2:$C$1369,0)))</f>
        <v/>
      </c>
      <c r="F1124" s="8">
        <f>IF(ISNA(MATCH(1115,'Transfer Engine'!$C$2:$C$1369,0)),"",INDEX('Compliance Database'!$F$2:$F$1369,MATCH(1115,'Transfer Engine'!$C$2:$C$1369,0)))</f>
        <v/>
      </c>
      <c r="G1124" s="8">
        <f>IF(ISNA(MATCH(1115,'Transfer Engine'!$C$2:$C$1369,0)),"",INDEX('Compliance Database'!$G$2:$G$1369,MATCH(1115,'Transfer Engine'!$C$2:$C$1369,0)))</f>
        <v/>
      </c>
      <c r="H1124" s="9">
        <f>IF(ISNA(MATCH(1115,'Transfer Engine'!$C$2:$C$1369,0)),"",INDEX('Compliance Database'!$H$2:$H$1369,MATCH(1115,'Transfer Engine'!$C$2:$C$1369,0)))</f>
        <v/>
      </c>
      <c r="I1124" s="9">
        <f>IF(ISNA(MATCH(1115,'Transfer Engine'!$C$2:$C$1369,0)),"",INDEX('Compliance Database'!$I$2:$I$1369,MATCH(1115,'Transfer Engine'!$C$2:$C$1369,0)))</f>
        <v/>
      </c>
      <c r="J1124" s="8">
        <f>IF(ISNA(MATCH(1115,'Transfer Engine'!$C$2:$C$1369,0)),"",INDEX('Compliance Database'!$J$2:$J$1369,MATCH(1115,'Transfer Engine'!$C$2:$C$1369,0)))</f>
        <v/>
      </c>
      <c r="K1124" s="9">
        <f>IF(ISNA(MATCH(1115,'Transfer Engine'!$C$2:$C$1369,0)),"",INDEX('Compliance Database'!$K$2:$K$1369,MATCH(1115,'Transfer Engine'!$C$2:$C$1369,0)))</f>
        <v/>
      </c>
      <c r="L1124" s="9">
        <f>IF(ISNA(MATCH(1115,'Transfer Engine'!$C$2:$C$1369,0)),"",INDEX('Compliance Database'!$L$2:$L$1369,MATCH(1115,'Transfer Engine'!$C$2:$C$1369,0)))</f>
        <v/>
      </c>
      <c r="M1124" s="9">
        <f>IF(ISNA(MATCH(1115,'Transfer Engine'!$C$2:$C$1369,0)),"",INDEX('Compliance Database'!$M$2:$M$1369,MATCH(1115,'Transfer Engine'!$C$2:$C$1369,0)))</f>
        <v/>
      </c>
      <c r="N1124" s="9">
        <f>IF(ISNA(MATCH(1115,'Transfer Engine'!$C$2:$C$1369,0)),"",INDEX('Compliance Database'!$N$2:$N$1369,MATCH(1115,'Transfer Engine'!$C$2:$C$1369,0)))</f>
        <v/>
      </c>
      <c r="O1124" s="8">
        <f>IF(ISNA(MATCH(1115,'Transfer Engine'!$C$2:$C$1369,0)),"",HYPERLINK(INDEX('Compliance Database'!$O$2:$O$1369,MATCH(1115,'Transfer Engine'!$C$2:$C$1369,0)),"Open PDF"))</f>
        <v/>
      </c>
    </row>
    <row r="1125" ht="188" customHeight="1">
      <c r="A1125" s="8">
        <f>IF(ISNA(MATCH(1116,'Transfer Engine'!$C$2:$C$1369,0)),"",INDEX('Compliance Database'!$A$2:$A$1369,MATCH(1116,'Transfer Engine'!$C$2:$C$1369,0)))</f>
        <v/>
      </c>
      <c r="B1125" s="8">
        <f>IF(ISNA(MATCH(1116,'Transfer Engine'!$C$2:$C$1369,0)),"",INDEX('Compliance Database'!$B$2:$B$1369,MATCH(1116,'Transfer Engine'!$C$2:$C$1369,0)))</f>
        <v/>
      </c>
      <c r="C1125" s="8">
        <f>IF(ISNA(MATCH(1116,'Transfer Engine'!$C$2:$C$1369,0)),"",INDEX('Compliance Database'!$C$2:$C$1369,MATCH(1116,'Transfer Engine'!$C$2:$C$1369,0)))</f>
        <v/>
      </c>
      <c r="D1125" s="9">
        <f>IF(ISNA(MATCH(1116,'Transfer Engine'!$C$2:$C$1369,0)),"",INDEX('Compliance Database'!$D$2:$D$1369,MATCH(1116,'Transfer Engine'!$C$2:$C$1369,0)))</f>
        <v/>
      </c>
      <c r="E1125" s="8">
        <f>IF(ISNA(MATCH(1116,'Transfer Engine'!$C$2:$C$1369,0)),"",INDEX('Compliance Database'!$E$2:$E$1369,MATCH(1116,'Transfer Engine'!$C$2:$C$1369,0)))</f>
        <v/>
      </c>
      <c r="F1125" s="8">
        <f>IF(ISNA(MATCH(1116,'Transfer Engine'!$C$2:$C$1369,0)),"",INDEX('Compliance Database'!$F$2:$F$1369,MATCH(1116,'Transfer Engine'!$C$2:$C$1369,0)))</f>
        <v/>
      </c>
      <c r="G1125" s="8">
        <f>IF(ISNA(MATCH(1116,'Transfer Engine'!$C$2:$C$1369,0)),"",INDEX('Compliance Database'!$G$2:$G$1369,MATCH(1116,'Transfer Engine'!$C$2:$C$1369,0)))</f>
        <v/>
      </c>
      <c r="H1125" s="9">
        <f>IF(ISNA(MATCH(1116,'Transfer Engine'!$C$2:$C$1369,0)),"",INDEX('Compliance Database'!$H$2:$H$1369,MATCH(1116,'Transfer Engine'!$C$2:$C$1369,0)))</f>
        <v/>
      </c>
      <c r="I1125" s="9">
        <f>IF(ISNA(MATCH(1116,'Transfer Engine'!$C$2:$C$1369,0)),"",INDEX('Compliance Database'!$I$2:$I$1369,MATCH(1116,'Transfer Engine'!$C$2:$C$1369,0)))</f>
        <v/>
      </c>
      <c r="J1125" s="8">
        <f>IF(ISNA(MATCH(1116,'Transfer Engine'!$C$2:$C$1369,0)),"",INDEX('Compliance Database'!$J$2:$J$1369,MATCH(1116,'Transfer Engine'!$C$2:$C$1369,0)))</f>
        <v/>
      </c>
      <c r="K1125" s="9">
        <f>IF(ISNA(MATCH(1116,'Transfer Engine'!$C$2:$C$1369,0)),"",INDEX('Compliance Database'!$K$2:$K$1369,MATCH(1116,'Transfer Engine'!$C$2:$C$1369,0)))</f>
        <v/>
      </c>
      <c r="L1125" s="9">
        <f>IF(ISNA(MATCH(1116,'Transfer Engine'!$C$2:$C$1369,0)),"",INDEX('Compliance Database'!$L$2:$L$1369,MATCH(1116,'Transfer Engine'!$C$2:$C$1369,0)))</f>
        <v/>
      </c>
      <c r="M1125" s="9">
        <f>IF(ISNA(MATCH(1116,'Transfer Engine'!$C$2:$C$1369,0)),"",INDEX('Compliance Database'!$M$2:$M$1369,MATCH(1116,'Transfer Engine'!$C$2:$C$1369,0)))</f>
        <v/>
      </c>
      <c r="N1125" s="9">
        <f>IF(ISNA(MATCH(1116,'Transfer Engine'!$C$2:$C$1369,0)),"",INDEX('Compliance Database'!$N$2:$N$1369,MATCH(1116,'Transfer Engine'!$C$2:$C$1369,0)))</f>
        <v/>
      </c>
      <c r="O1125" s="8">
        <f>IF(ISNA(MATCH(1116,'Transfer Engine'!$C$2:$C$1369,0)),"",HYPERLINK(INDEX('Compliance Database'!$O$2:$O$1369,MATCH(1116,'Transfer Engine'!$C$2:$C$1369,0)),"Open PDF"))</f>
        <v/>
      </c>
    </row>
    <row r="1126" ht="188" customHeight="1">
      <c r="A1126" s="8">
        <f>IF(ISNA(MATCH(1117,'Transfer Engine'!$C$2:$C$1369,0)),"",INDEX('Compliance Database'!$A$2:$A$1369,MATCH(1117,'Transfer Engine'!$C$2:$C$1369,0)))</f>
        <v/>
      </c>
      <c r="B1126" s="8">
        <f>IF(ISNA(MATCH(1117,'Transfer Engine'!$C$2:$C$1369,0)),"",INDEX('Compliance Database'!$B$2:$B$1369,MATCH(1117,'Transfer Engine'!$C$2:$C$1369,0)))</f>
        <v/>
      </c>
      <c r="C1126" s="8">
        <f>IF(ISNA(MATCH(1117,'Transfer Engine'!$C$2:$C$1369,0)),"",INDEX('Compliance Database'!$C$2:$C$1369,MATCH(1117,'Transfer Engine'!$C$2:$C$1369,0)))</f>
        <v/>
      </c>
      <c r="D1126" s="9">
        <f>IF(ISNA(MATCH(1117,'Transfer Engine'!$C$2:$C$1369,0)),"",INDEX('Compliance Database'!$D$2:$D$1369,MATCH(1117,'Transfer Engine'!$C$2:$C$1369,0)))</f>
        <v/>
      </c>
      <c r="E1126" s="8">
        <f>IF(ISNA(MATCH(1117,'Transfer Engine'!$C$2:$C$1369,0)),"",INDEX('Compliance Database'!$E$2:$E$1369,MATCH(1117,'Transfer Engine'!$C$2:$C$1369,0)))</f>
        <v/>
      </c>
      <c r="F1126" s="8">
        <f>IF(ISNA(MATCH(1117,'Transfer Engine'!$C$2:$C$1369,0)),"",INDEX('Compliance Database'!$F$2:$F$1369,MATCH(1117,'Transfer Engine'!$C$2:$C$1369,0)))</f>
        <v/>
      </c>
      <c r="G1126" s="8">
        <f>IF(ISNA(MATCH(1117,'Transfer Engine'!$C$2:$C$1369,0)),"",INDEX('Compliance Database'!$G$2:$G$1369,MATCH(1117,'Transfer Engine'!$C$2:$C$1369,0)))</f>
        <v/>
      </c>
      <c r="H1126" s="9">
        <f>IF(ISNA(MATCH(1117,'Transfer Engine'!$C$2:$C$1369,0)),"",INDEX('Compliance Database'!$H$2:$H$1369,MATCH(1117,'Transfer Engine'!$C$2:$C$1369,0)))</f>
        <v/>
      </c>
      <c r="I1126" s="9">
        <f>IF(ISNA(MATCH(1117,'Transfer Engine'!$C$2:$C$1369,0)),"",INDEX('Compliance Database'!$I$2:$I$1369,MATCH(1117,'Transfer Engine'!$C$2:$C$1369,0)))</f>
        <v/>
      </c>
      <c r="J1126" s="8">
        <f>IF(ISNA(MATCH(1117,'Transfer Engine'!$C$2:$C$1369,0)),"",INDEX('Compliance Database'!$J$2:$J$1369,MATCH(1117,'Transfer Engine'!$C$2:$C$1369,0)))</f>
        <v/>
      </c>
      <c r="K1126" s="9">
        <f>IF(ISNA(MATCH(1117,'Transfer Engine'!$C$2:$C$1369,0)),"",INDEX('Compliance Database'!$K$2:$K$1369,MATCH(1117,'Transfer Engine'!$C$2:$C$1369,0)))</f>
        <v/>
      </c>
      <c r="L1126" s="9">
        <f>IF(ISNA(MATCH(1117,'Transfer Engine'!$C$2:$C$1369,0)),"",INDEX('Compliance Database'!$L$2:$L$1369,MATCH(1117,'Transfer Engine'!$C$2:$C$1369,0)))</f>
        <v/>
      </c>
      <c r="M1126" s="9">
        <f>IF(ISNA(MATCH(1117,'Transfer Engine'!$C$2:$C$1369,0)),"",INDEX('Compliance Database'!$M$2:$M$1369,MATCH(1117,'Transfer Engine'!$C$2:$C$1369,0)))</f>
        <v/>
      </c>
      <c r="N1126" s="9">
        <f>IF(ISNA(MATCH(1117,'Transfer Engine'!$C$2:$C$1369,0)),"",INDEX('Compliance Database'!$N$2:$N$1369,MATCH(1117,'Transfer Engine'!$C$2:$C$1369,0)))</f>
        <v/>
      </c>
      <c r="O1126" s="8">
        <f>IF(ISNA(MATCH(1117,'Transfer Engine'!$C$2:$C$1369,0)),"",HYPERLINK(INDEX('Compliance Database'!$O$2:$O$1369,MATCH(1117,'Transfer Engine'!$C$2:$C$1369,0)),"Open PDF"))</f>
        <v/>
      </c>
    </row>
    <row r="1127" ht="188" customHeight="1">
      <c r="A1127" s="8">
        <f>IF(ISNA(MATCH(1118,'Transfer Engine'!$C$2:$C$1369,0)),"",INDEX('Compliance Database'!$A$2:$A$1369,MATCH(1118,'Transfer Engine'!$C$2:$C$1369,0)))</f>
        <v/>
      </c>
      <c r="B1127" s="8">
        <f>IF(ISNA(MATCH(1118,'Transfer Engine'!$C$2:$C$1369,0)),"",INDEX('Compliance Database'!$B$2:$B$1369,MATCH(1118,'Transfer Engine'!$C$2:$C$1369,0)))</f>
        <v/>
      </c>
      <c r="C1127" s="8">
        <f>IF(ISNA(MATCH(1118,'Transfer Engine'!$C$2:$C$1369,0)),"",INDEX('Compliance Database'!$C$2:$C$1369,MATCH(1118,'Transfer Engine'!$C$2:$C$1369,0)))</f>
        <v/>
      </c>
      <c r="D1127" s="9">
        <f>IF(ISNA(MATCH(1118,'Transfer Engine'!$C$2:$C$1369,0)),"",INDEX('Compliance Database'!$D$2:$D$1369,MATCH(1118,'Transfer Engine'!$C$2:$C$1369,0)))</f>
        <v/>
      </c>
      <c r="E1127" s="8">
        <f>IF(ISNA(MATCH(1118,'Transfer Engine'!$C$2:$C$1369,0)),"",INDEX('Compliance Database'!$E$2:$E$1369,MATCH(1118,'Transfer Engine'!$C$2:$C$1369,0)))</f>
        <v/>
      </c>
      <c r="F1127" s="8">
        <f>IF(ISNA(MATCH(1118,'Transfer Engine'!$C$2:$C$1369,0)),"",INDEX('Compliance Database'!$F$2:$F$1369,MATCH(1118,'Transfer Engine'!$C$2:$C$1369,0)))</f>
        <v/>
      </c>
      <c r="G1127" s="8">
        <f>IF(ISNA(MATCH(1118,'Transfer Engine'!$C$2:$C$1369,0)),"",INDEX('Compliance Database'!$G$2:$G$1369,MATCH(1118,'Transfer Engine'!$C$2:$C$1369,0)))</f>
        <v/>
      </c>
      <c r="H1127" s="9">
        <f>IF(ISNA(MATCH(1118,'Transfer Engine'!$C$2:$C$1369,0)),"",INDEX('Compliance Database'!$H$2:$H$1369,MATCH(1118,'Transfer Engine'!$C$2:$C$1369,0)))</f>
        <v/>
      </c>
      <c r="I1127" s="9">
        <f>IF(ISNA(MATCH(1118,'Transfer Engine'!$C$2:$C$1369,0)),"",INDEX('Compliance Database'!$I$2:$I$1369,MATCH(1118,'Transfer Engine'!$C$2:$C$1369,0)))</f>
        <v/>
      </c>
      <c r="J1127" s="8">
        <f>IF(ISNA(MATCH(1118,'Transfer Engine'!$C$2:$C$1369,0)),"",INDEX('Compliance Database'!$J$2:$J$1369,MATCH(1118,'Transfer Engine'!$C$2:$C$1369,0)))</f>
        <v/>
      </c>
      <c r="K1127" s="9">
        <f>IF(ISNA(MATCH(1118,'Transfer Engine'!$C$2:$C$1369,0)),"",INDEX('Compliance Database'!$K$2:$K$1369,MATCH(1118,'Transfer Engine'!$C$2:$C$1369,0)))</f>
        <v/>
      </c>
      <c r="L1127" s="9">
        <f>IF(ISNA(MATCH(1118,'Transfer Engine'!$C$2:$C$1369,0)),"",INDEX('Compliance Database'!$L$2:$L$1369,MATCH(1118,'Transfer Engine'!$C$2:$C$1369,0)))</f>
        <v/>
      </c>
      <c r="M1127" s="9">
        <f>IF(ISNA(MATCH(1118,'Transfer Engine'!$C$2:$C$1369,0)),"",INDEX('Compliance Database'!$M$2:$M$1369,MATCH(1118,'Transfer Engine'!$C$2:$C$1369,0)))</f>
        <v/>
      </c>
      <c r="N1127" s="9">
        <f>IF(ISNA(MATCH(1118,'Transfer Engine'!$C$2:$C$1369,0)),"",INDEX('Compliance Database'!$N$2:$N$1369,MATCH(1118,'Transfer Engine'!$C$2:$C$1369,0)))</f>
        <v/>
      </c>
      <c r="O1127" s="8">
        <f>IF(ISNA(MATCH(1118,'Transfer Engine'!$C$2:$C$1369,0)),"",HYPERLINK(INDEX('Compliance Database'!$O$2:$O$1369,MATCH(1118,'Transfer Engine'!$C$2:$C$1369,0)),"Open PDF"))</f>
        <v/>
      </c>
    </row>
    <row r="1128" ht="188" customHeight="1">
      <c r="A1128" s="8">
        <f>IF(ISNA(MATCH(1119,'Transfer Engine'!$C$2:$C$1369,0)),"",INDEX('Compliance Database'!$A$2:$A$1369,MATCH(1119,'Transfer Engine'!$C$2:$C$1369,0)))</f>
        <v/>
      </c>
      <c r="B1128" s="8">
        <f>IF(ISNA(MATCH(1119,'Transfer Engine'!$C$2:$C$1369,0)),"",INDEX('Compliance Database'!$B$2:$B$1369,MATCH(1119,'Transfer Engine'!$C$2:$C$1369,0)))</f>
        <v/>
      </c>
      <c r="C1128" s="8">
        <f>IF(ISNA(MATCH(1119,'Transfer Engine'!$C$2:$C$1369,0)),"",INDEX('Compliance Database'!$C$2:$C$1369,MATCH(1119,'Transfer Engine'!$C$2:$C$1369,0)))</f>
        <v/>
      </c>
      <c r="D1128" s="9">
        <f>IF(ISNA(MATCH(1119,'Transfer Engine'!$C$2:$C$1369,0)),"",INDEX('Compliance Database'!$D$2:$D$1369,MATCH(1119,'Transfer Engine'!$C$2:$C$1369,0)))</f>
        <v/>
      </c>
      <c r="E1128" s="8">
        <f>IF(ISNA(MATCH(1119,'Transfer Engine'!$C$2:$C$1369,0)),"",INDEX('Compliance Database'!$E$2:$E$1369,MATCH(1119,'Transfer Engine'!$C$2:$C$1369,0)))</f>
        <v/>
      </c>
      <c r="F1128" s="8">
        <f>IF(ISNA(MATCH(1119,'Transfer Engine'!$C$2:$C$1369,0)),"",INDEX('Compliance Database'!$F$2:$F$1369,MATCH(1119,'Transfer Engine'!$C$2:$C$1369,0)))</f>
        <v/>
      </c>
      <c r="G1128" s="8">
        <f>IF(ISNA(MATCH(1119,'Transfer Engine'!$C$2:$C$1369,0)),"",INDEX('Compliance Database'!$G$2:$G$1369,MATCH(1119,'Transfer Engine'!$C$2:$C$1369,0)))</f>
        <v/>
      </c>
      <c r="H1128" s="9">
        <f>IF(ISNA(MATCH(1119,'Transfer Engine'!$C$2:$C$1369,0)),"",INDEX('Compliance Database'!$H$2:$H$1369,MATCH(1119,'Transfer Engine'!$C$2:$C$1369,0)))</f>
        <v/>
      </c>
      <c r="I1128" s="9">
        <f>IF(ISNA(MATCH(1119,'Transfer Engine'!$C$2:$C$1369,0)),"",INDEX('Compliance Database'!$I$2:$I$1369,MATCH(1119,'Transfer Engine'!$C$2:$C$1369,0)))</f>
        <v/>
      </c>
      <c r="J1128" s="8">
        <f>IF(ISNA(MATCH(1119,'Transfer Engine'!$C$2:$C$1369,0)),"",INDEX('Compliance Database'!$J$2:$J$1369,MATCH(1119,'Transfer Engine'!$C$2:$C$1369,0)))</f>
        <v/>
      </c>
      <c r="K1128" s="9">
        <f>IF(ISNA(MATCH(1119,'Transfer Engine'!$C$2:$C$1369,0)),"",INDEX('Compliance Database'!$K$2:$K$1369,MATCH(1119,'Transfer Engine'!$C$2:$C$1369,0)))</f>
        <v/>
      </c>
      <c r="L1128" s="9">
        <f>IF(ISNA(MATCH(1119,'Transfer Engine'!$C$2:$C$1369,0)),"",INDEX('Compliance Database'!$L$2:$L$1369,MATCH(1119,'Transfer Engine'!$C$2:$C$1369,0)))</f>
        <v/>
      </c>
      <c r="M1128" s="9">
        <f>IF(ISNA(MATCH(1119,'Transfer Engine'!$C$2:$C$1369,0)),"",INDEX('Compliance Database'!$M$2:$M$1369,MATCH(1119,'Transfer Engine'!$C$2:$C$1369,0)))</f>
        <v/>
      </c>
      <c r="N1128" s="9">
        <f>IF(ISNA(MATCH(1119,'Transfer Engine'!$C$2:$C$1369,0)),"",INDEX('Compliance Database'!$N$2:$N$1369,MATCH(1119,'Transfer Engine'!$C$2:$C$1369,0)))</f>
        <v/>
      </c>
      <c r="O1128" s="8">
        <f>IF(ISNA(MATCH(1119,'Transfer Engine'!$C$2:$C$1369,0)),"",HYPERLINK(INDEX('Compliance Database'!$O$2:$O$1369,MATCH(1119,'Transfer Engine'!$C$2:$C$1369,0)),"Open PDF"))</f>
        <v/>
      </c>
    </row>
    <row r="1129" ht="188" customHeight="1">
      <c r="A1129" s="8">
        <f>IF(ISNA(MATCH(1120,'Transfer Engine'!$C$2:$C$1369,0)),"",INDEX('Compliance Database'!$A$2:$A$1369,MATCH(1120,'Transfer Engine'!$C$2:$C$1369,0)))</f>
        <v/>
      </c>
      <c r="B1129" s="8">
        <f>IF(ISNA(MATCH(1120,'Transfer Engine'!$C$2:$C$1369,0)),"",INDEX('Compliance Database'!$B$2:$B$1369,MATCH(1120,'Transfer Engine'!$C$2:$C$1369,0)))</f>
        <v/>
      </c>
      <c r="C1129" s="8">
        <f>IF(ISNA(MATCH(1120,'Transfer Engine'!$C$2:$C$1369,0)),"",INDEX('Compliance Database'!$C$2:$C$1369,MATCH(1120,'Transfer Engine'!$C$2:$C$1369,0)))</f>
        <v/>
      </c>
      <c r="D1129" s="9">
        <f>IF(ISNA(MATCH(1120,'Transfer Engine'!$C$2:$C$1369,0)),"",INDEX('Compliance Database'!$D$2:$D$1369,MATCH(1120,'Transfer Engine'!$C$2:$C$1369,0)))</f>
        <v/>
      </c>
      <c r="E1129" s="8">
        <f>IF(ISNA(MATCH(1120,'Transfer Engine'!$C$2:$C$1369,0)),"",INDEX('Compliance Database'!$E$2:$E$1369,MATCH(1120,'Transfer Engine'!$C$2:$C$1369,0)))</f>
        <v/>
      </c>
      <c r="F1129" s="8">
        <f>IF(ISNA(MATCH(1120,'Transfer Engine'!$C$2:$C$1369,0)),"",INDEX('Compliance Database'!$F$2:$F$1369,MATCH(1120,'Transfer Engine'!$C$2:$C$1369,0)))</f>
        <v/>
      </c>
      <c r="G1129" s="8">
        <f>IF(ISNA(MATCH(1120,'Transfer Engine'!$C$2:$C$1369,0)),"",INDEX('Compliance Database'!$G$2:$G$1369,MATCH(1120,'Transfer Engine'!$C$2:$C$1369,0)))</f>
        <v/>
      </c>
      <c r="H1129" s="9">
        <f>IF(ISNA(MATCH(1120,'Transfer Engine'!$C$2:$C$1369,0)),"",INDEX('Compliance Database'!$H$2:$H$1369,MATCH(1120,'Transfer Engine'!$C$2:$C$1369,0)))</f>
        <v/>
      </c>
      <c r="I1129" s="9">
        <f>IF(ISNA(MATCH(1120,'Transfer Engine'!$C$2:$C$1369,0)),"",INDEX('Compliance Database'!$I$2:$I$1369,MATCH(1120,'Transfer Engine'!$C$2:$C$1369,0)))</f>
        <v/>
      </c>
      <c r="J1129" s="8">
        <f>IF(ISNA(MATCH(1120,'Transfer Engine'!$C$2:$C$1369,0)),"",INDEX('Compliance Database'!$J$2:$J$1369,MATCH(1120,'Transfer Engine'!$C$2:$C$1369,0)))</f>
        <v/>
      </c>
      <c r="K1129" s="9">
        <f>IF(ISNA(MATCH(1120,'Transfer Engine'!$C$2:$C$1369,0)),"",INDEX('Compliance Database'!$K$2:$K$1369,MATCH(1120,'Transfer Engine'!$C$2:$C$1369,0)))</f>
        <v/>
      </c>
      <c r="L1129" s="9">
        <f>IF(ISNA(MATCH(1120,'Transfer Engine'!$C$2:$C$1369,0)),"",INDEX('Compliance Database'!$L$2:$L$1369,MATCH(1120,'Transfer Engine'!$C$2:$C$1369,0)))</f>
        <v/>
      </c>
      <c r="M1129" s="9">
        <f>IF(ISNA(MATCH(1120,'Transfer Engine'!$C$2:$C$1369,0)),"",INDEX('Compliance Database'!$M$2:$M$1369,MATCH(1120,'Transfer Engine'!$C$2:$C$1369,0)))</f>
        <v/>
      </c>
      <c r="N1129" s="9">
        <f>IF(ISNA(MATCH(1120,'Transfer Engine'!$C$2:$C$1369,0)),"",INDEX('Compliance Database'!$N$2:$N$1369,MATCH(1120,'Transfer Engine'!$C$2:$C$1369,0)))</f>
        <v/>
      </c>
      <c r="O1129" s="8">
        <f>IF(ISNA(MATCH(1120,'Transfer Engine'!$C$2:$C$1369,0)),"",HYPERLINK(INDEX('Compliance Database'!$O$2:$O$1369,MATCH(1120,'Transfer Engine'!$C$2:$C$1369,0)),"Open PDF"))</f>
        <v/>
      </c>
    </row>
    <row r="1130" ht="188" customHeight="1">
      <c r="A1130" s="8">
        <f>IF(ISNA(MATCH(1121,'Transfer Engine'!$C$2:$C$1369,0)),"",INDEX('Compliance Database'!$A$2:$A$1369,MATCH(1121,'Transfer Engine'!$C$2:$C$1369,0)))</f>
        <v/>
      </c>
      <c r="B1130" s="8">
        <f>IF(ISNA(MATCH(1121,'Transfer Engine'!$C$2:$C$1369,0)),"",INDEX('Compliance Database'!$B$2:$B$1369,MATCH(1121,'Transfer Engine'!$C$2:$C$1369,0)))</f>
        <v/>
      </c>
      <c r="C1130" s="8">
        <f>IF(ISNA(MATCH(1121,'Transfer Engine'!$C$2:$C$1369,0)),"",INDEX('Compliance Database'!$C$2:$C$1369,MATCH(1121,'Transfer Engine'!$C$2:$C$1369,0)))</f>
        <v/>
      </c>
      <c r="D1130" s="9">
        <f>IF(ISNA(MATCH(1121,'Transfer Engine'!$C$2:$C$1369,0)),"",INDEX('Compliance Database'!$D$2:$D$1369,MATCH(1121,'Transfer Engine'!$C$2:$C$1369,0)))</f>
        <v/>
      </c>
      <c r="E1130" s="8">
        <f>IF(ISNA(MATCH(1121,'Transfer Engine'!$C$2:$C$1369,0)),"",INDEX('Compliance Database'!$E$2:$E$1369,MATCH(1121,'Transfer Engine'!$C$2:$C$1369,0)))</f>
        <v/>
      </c>
      <c r="F1130" s="8">
        <f>IF(ISNA(MATCH(1121,'Transfer Engine'!$C$2:$C$1369,0)),"",INDEX('Compliance Database'!$F$2:$F$1369,MATCH(1121,'Transfer Engine'!$C$2:$C$1369,0)))</f>
        <v/>
      </c>
      <c r="G1130" s="8">
        <f>IF(ISNA(MATCH(1121,'Transfer Engine'!$C$2:$C$1369,0)),"",INDEX('Compliance Database'!$G$2:$G$1369,MATCH(1121,'Transfer Engine'!$C$2:$C$1369,0)))</f>
        <v/>
      </c>
      <c r="H1130" s="9">
        <f>IF(ISNA(MATCH(1121,'Transfer Engine'!$C$2:$C$1369,0)),"",INDEX('Compliance Database'!$H$2:$H$1369,MATCH(1121,'Transfer Engine'!$C$2:$C$1369,0)))</f>
        <v/>
      </c>
      <c r="I1130" s="9">
        <f>IF(ISNA(MATCH(1121,'Transfer Engine'!$C$2:$C$1369,0)),"",INDEX('Compliance Database'!$I$2:$I$1369,MATCH(1121,'Transfer Engine'!$C$2:$C$1369,0)))</f>
        <v/>
      </c>
      <c r="J1130" s="8">
        <f>IF(ISNA(MATCH(1121,'Transfer Engine'!$C$2:$C$1369,0)),"",INDEX('Compliance Database'!$J$2:$J$1369,MATCH(1121,'Transfer Engine'!$C$2:$C$1369,0)))</f>
        <v/>
      </c>
      <c r="K1130" s="9">
        <f>IF(ISNA(MATCH(1121,'Transfer Engine'!$C$2:$C$1369,0)),"",INDEX('Compliance Database'!$K$2:$K$1369,MATCH(1121,'Transfer Engine'!$C$2:$C$1369,0)))</f>
        <v/>
      </c>
      <c r="L1130" s="9">
        <f>IF(ISNA(MATCH(1121,'Transfer Engine'!$C$2:$C$1369,0)),"",INDEX('Compliance Database'!$L$2:$L$1369,MATCH(1121,'Transfer Engine'!$C$2:$C$1369,0)))</f>
        <v/>
      </c>
      <c r="M1130" s="9">
        <f>IF(ISNA(MATCH(1121,'Transfer Engine'!$C$2:$C$1369,0)),"",INDEX('Compliance Database'!$M$2:$M$1369,MATCH(1121,'Transfer Engine'!$C$2:$C$1369,0)))</f>
        <v/>
      </c>
      <c r="N1130" s="9">
        <f>IF(ISNA(MATCH(1121,'Transfer Engine'!$C$2:$C$1369,0)),"",INDEX('Compliance Database'!$N$2:$N$1369,MATCH(1121,'Transfer Engine'!$C$2:$C$1369,0)))</f>
        <v/>
      </c>
      <c r="O1130" s="8">
        <f>IF(ISNA(MATCH(1121,'Transfer Engine'!$C$2:$C$1369,0)),"",HYPERLINK(INDEX('Compliance Database'!$O$2:$O$1369,MATCH(1121,'Transfer Engine'!$C$2:$C$1369,0)),"Open PDF"))</f>
        <v/>
      </c>
    </row>
    <row r="1131" ht="188" customHeight="1">
      <c r="A1131" s="8">
        <f>IF(ISNA(MATCH(1122,'Transfer Engine'!$C$2:$C$1369,0)),"",INDEX('Compliance Database'!$A$2:$A$1369,MATCH(1122,'Transfer Engine'!$C$2:$C$1369,0)))</f>
        <v/>
      </c>
      <c r="B1131" s="8">
        <f>IF(ISNA(MATCH(1122,'Transfer Engine'!$C$2:$C$1369,0)),"",INDEX('Compliance Database'!$B$2:$B$1369,MATCH(1122,'Transfer Engine'!$C$2:$C$1369,0)))</f>
        <v/>
      </c>
      <c r="C1131" s="8">
        <f>IF(ISNA(MATCH(1122,'Transfer Engine'!$C$2:$C$1369,0)),"",INDEX('Compliance Database'!$C$2:$C$1369,MATCH(1122,'Transfer Engine'!$C$2:$C$1369,0)))</f>
        <v/>
      </c>
      <c r="D1131" s="9">
        <f>IF(ISNA(MATCH(1122,'Transfer Engine'!$C$2:$C$1369,0)),"",INDEX('Compliance Database'!$D$2:$D$1369,MATCH(1122,'Transfer Engine'!$C$2:$C$1369,0)))</f>
        <v/>
      </c>
      <c r="E1131" s="8">
        <f>IF(ISNA(MATCH(1122,'Transfer Engine'!$C$2:$C$1369,0)),"",INDEX('Compliance Database'!$E$2:$E$1369,MATCH(1122,'Transfer Engine'!$C$2:$C$1369,0)))</f>
        <v/>
      </c>
      <c r="F1131" s="8">
        <f>IF(ISNA(MATCH(1122,'Transfer Engine'!$C$2:$C$1369,0)),"",INDEX('Compliance Database'!$F$2:$F$1369,MATCH(1122,'Transfer Engine'!$C$2:$C$1369,0)))</f>
        <v/>
      </c>
      <c r="G1131" s="8">
        <f>IF(ISNA(MATCH(1122,'Transfer Engine'!$C$2:$C$1369,0)),"",INDEX('Compliance Database'!$G$2:$G$1369,MATCH(1122,'Transfer Engine'!$C$2:$C$1369,0)))</f>
        <v/>
      </c>
      <c r="H1131" s="9">
        <f>IF(ISNA(MATCH(1122,'Transfer Engine'!$C$2:$C$1369,0)),"",INDEX('Compliance Database'!$H$2:$H$1369,MATCH(1122,'Transfer Engine'!$C$2:$C$1369,0)))</f>
        <v/>
      </c>
      <c r="I1131" s="9">
        <f>IF(ISNA(MATCH(1122,'Transfer Engine'!$C$2:$C$1369,0)),"",INDEX('Compliance Database'!$I$2:$I$1369,MATCH(1122,'Transfer Engine'!$C$2:$C$1369,0)))</f>
        <v/>
      </c>
      <c r="J1131" s="8">
        <f>IF(ISNA(MATCH(1122,'Transfer Engine'!$C$2:$C$1369,0)),"",INDEX('Compliance Database'!$J$2:$J$1369,MATCH(1122,'Transfer Engine'!$C$2:$C$1369,0)))</f>
        <v/>
      </c>
      <c r="K1131" s="9">
        <f>IF(ISNA(MATCH(1122,'Transfer Engine'!$C$2:$C$1369,0)),"",INDEX('Compliance Database'!$K$2:$K$1369,MATCH(1122,'Transfer Engine'!$C$2:$C$1369,0)))</f>
        <v/>
      </c>
      <c r="L1131" s="9">
        <f>IF(ISNA(MATCH(1122,'Transfer Engine'!$C$2:$C$1369,0)),"",INDEX('Compliance Database'!$L$2:$L$1369,MATCH(1122,'Transfer Engine'!$C$2:$C$1369,0)))</f>
        <v/>
      </c>
      <c r="M1131" s="9">
        <f>IF(ISNA(MATCH(1122,'Transfer Engine'!$C$2:$C$1369,0)),"",INDEX('Compliance Database'!$M$2:$M$1369,MATCH(1122,'Transfer Engine'!$C$2:$C$1369,0)))</f>
        <v/>
      </c>
      <c r="N1131" s="9">
        <f>IF(ISNA(MATCH(1122,'Transfer Engine'!$C$2:$C$1369,0)),"",INDEX('Compliance Database'!$N$2:$N$1369,MATCH(1122,'Transfer Engine'!$C$2:$C$1369,0)))</f>
        <v/>
      </c>
      <c r="O1131" s="8">
        <f>IF(ISNA(MATCH(1122,'Transfer Engine'!$C$2:$C$1369,0)),"",HYPERLINK(INDEX('Compliance Database'!$O$2:$O$1369,MATCH(1122,'Transfer Engine'!$C$2:$C$1369,0)),"Open PDF"))</f>
        <v/>
      </c>
    </row>
    <row r="1132" ht="188" customHeight="1">
      <c r="A1132" s="8">
        <f>IF(ISNA(MATCH(1123,'Transfer Engine'!$C$2:$C$1369,0)),"",INDEX('Compliance Database'!$A$2:$A$1369,MATCH(1123,'Transfer Engine'!$C$2:$C$1369,0)))</f>
        <v/>
      </c>
      <c r="B1132" s="8">
        <f>IF(ISNA(MATCH(1123,'Transfer Engine'!$C$2:$C$1369,0)),"",INDEX('Compliance Database'!$B$2:$B$1369,MATCH(1123,'Transfer Engine'!$C$2:$C$1369,0)))</f>
        <v/>
      </c>
      <c r="C1132" s="8">
        <f>IF(ISNA(MATCH(1123,'Transfer Engine'!$C$2:$C$1369,0)),"",INDEX('Compliance Database'!$C$2:$C$1369,MATCH(1123,'Transfer Engine'!$C$2:$C$1369,0)))</f>
        <v/>
      </c>
      <c r="D1132" s="9">
        <f>IF(ISNA(MATCH(1123,'Transfer Engine'!$C$2:$C$1369,0)),"",INDEX('Compliance Database'!$D$2:$D$1369,MATCH(1123,'Transfer Engine'!$C$2:$C$1369,0)))</f>
        <v/>
      </c>
      <c r="E1132" s="8">
        <f>IF(ISNA(MATCH(1123,'Transfer Engine'!$C$2:$C$1369,0)),"",INDEX('Compliance Database'!$E$2:$E$1369,MATCH(1123,'Transfer Engine'!$C$2:$C$1369,0)))</f>
        <v/>
      </c>
      <c r="F1132" s="8">
        <f>IF(ISNA(MATCH(1123,'Transfer Engine'!$C$2:$C$1369,0)),"",INDEX('Compliance Database'!$F$2:$F$1369,MATCH(1123,'Transfer Engine'!$C$2:$C$1369,0)))</f>
        <v/>
      </c>
      <c r="G1132" s="8">
        <f>IF(ISNA(MATCH(1123,'Transfer Engine'!$C$2:$C$1369,0)),"",INDEX('Compliance Database'!$G$2:$G$1369,MATCH(1123,'Transfer Engine'!$C$2:$C$1369,0)))</f>
        <v/>
      </c>
      <c r="H1132" s="9">
        <f>IF(ISNA(MATCH(1123,'Transfer Engine'!$C$2:$C$1369,0)),"",INDEX('Compliance Database'!$H$2:$H$1369,MATCH(1123,'Transfer Engine'!$C$2:$C$1369,0)))</f>
        <v/>
      </c>
      <c r="I1132" s="9">
        <f>IF(ISNA(MATCH(1123,'Transfer Engine'!$C$2:$C$1369,0)),"",INDEX('Compliance Database'!$I$2:$I$1369,MATCH(1123,'Transfer Engine'!$C$2:$C$1369,0)))</f>
        <v/>
      </c>
      <c r="J1132" s="8">
        <f>IF(ISNA(MATCH(1123,'Transfer Engine'!$C$2:$C$1369,0)),"",INDEX('Compliance Database'!$J$2:$J$1369,MATCH(1123,'Transfer Engine'!$C$2:$C$1369,0)))</f>
        <v/>
      </c>
      <c r="K1132" s="9">
        <f>IF(ISNA(MATCH(1123,'Transfer Engine'!$C$2:$C$1369,0)),"",INDEX('Compliance Database'!$K$2:$K$1369,MATCH(1123,'Transfer Engine'!$C$2:$C$1369,0)))</f>
        <v/>
      </c>
      <c r="L1132" s="9">
        <f>IF(ISNA(MATCH(1123,'Transfer Engine'!$C$2:$C$1369,0)),"",INDEX('Compliance Database'!$L$2:$L$1369,MATCH(1123,'Transfer Engine'!$C$2:$C$1369,0)))</f>
        <v/>
      </c>
      <c r="M1132" s="9">
        <f>IF(ISNA(MATCH(1123,'Transfer Engine'!$C$2:$C$1369,0)),"",INDEX('Compliance Database'!$M$2:$M$1369,MATCH(1123,'Transfer Engine'!$C$2:$C$1369,0)))</f>
        <v/>
      </c>
      <c r="N1132" s="9">
        <f>IF(ISNA(MATCH(1123,'Transfer Engine'!$C$2:$C$1369,0)),"",INDEX('Compliance Database'!$N$2:$N$1369,MATCH(1123,'Transfer Engine'!$C$2:$C$1369,0)))</f>
        <v/>
      </c>
      <c r="O1132" s="8">
        <f>IF(ISNA(MATCH(1123,'Transfer Engine'!$C$2:$C$1369,0)),"",HYPERLINK(INDEX('Compliance Database'!$O$2:$O$1369,MATCH(1123,'Transfer Engine'!$C$2:$C$1369,0)),"Open PDF"))</f>
        <v/>
      </c>
    </row>
    <row r="1133" ht="188" customHeight="1">
      <c r="A1133" s="8">
        <f>IF(ISNA(MATCH(1124,'Transfer Engine'!$C$2:$C$1369,0)),"",INDEX('Compliance Database'!$A$2:$A$1369,MATCH(1124,'Transfer Engine'!$C$2:$C$1369,0)))</f>
        <v/>
      </c>
      <c r="B1133" s="8">
        <f>IF(ISNA(MATCH(1124,'Transfer Engine'!$C$2:$C$1369,0)),"",INDEX('Compliance Database'!$B$2:$B$1369,MATCH(1124,'Transfer Engine'!$C$2:$C$1369,0)))</f>
        <v/>
      </c>
      <c r="C1133" s="8">
        <f>IF(ISNA(MATCH(1124,'Transfer Engine'!$C$2:$C$1369,0)),"",INDEX('Compliance Database'!$C$2:$C$1369,MATCH(1124,'Transfer Engine'!$C$2:$C$1369,0)))</f>
        <v/>
      </c>
      <c r="D1133" s="9">
        <f>IF(ISNA(MATCH(1124,'Transfer Engine'!$C$2:$C$1369,0)),"",INDEX('Compliance Database'!$D$2:$D$1369,MATCH(1124,'Transfer Engine'!$C$2:$C$1369,0)))</f>
        <v/>
      </c>
      <c r="E1133" s="8">
        <f>IF(ISNA(MATCH(1124,'Transfer Engine'!$C$2:$C$1369,0)),"",INDEX('Compliance Database'!$E$2:$E$1369,MATCH(1124,'Transfer Engine'!$C$2:$C$1369,0)))</f>
        <v/>
      </c>
      <c r="F1133" s="8">
        <f>IF(ISNA(MATCH(1124,'Transfer Engine'!$C$2:$C$1369,0)),"",INDEX('Compliance Database'!$F$2:$F$1369,MATCH(1124,'Transfer Engine'!$C$2:$C$1369,0)))</f>
        <v/>
      </c>
      <c r="G1133" s="8">
        <f>IF(ISNA(MATCH(1124,'Transfer Engine'!$C$2:$C$1369,0)),"",INDEX('Compliance Database'!$G$2:$G$1369,MATCH(1124,'Transfer Engine'!$C$2:$C$1369,0)))</f>
        <v/>
      </c>
      <c r="H1133" s="9">
        <f>IF(ISNA(MATCH(1124,'Transfer Engine'!$C$2:$C$1369,0)),"",INDEX('Compliance Database'!$H$2:$H$1369,MATCH(1124,'Transfer Engine'!$C$2:$C$1369,0)))</f>
        <v/>
      </c>
      <c r="I1133" s="9">
        <f>IF(ISNA(MATCH(1124,'Transfer Engine'!$C$2:$C$1369,0)),"",INDEX('Compliance Database'!$I$2:$I$1369,MATCH(1124,'Transfer Engine'!$C$2:$C$1369,0)))</f>
        <v/>
      </c>
      <c r="J1133" s="8">
        <f>IF(ISNA(MATCH(1124,'Transfer Engine'!$C$2:$C$1369,0)),"",INDEX('Compliance Database'!$J$2:$J$1369,MATCH(1124,'Transfer Engine'!$C$2:$C$1369,0)))</f>
        <v/>
      </c>
      <c r="K1133" s="9">
        <f>IF(ISNA(MATCH(1124,'Transfer Engine'!$C$2:$C$1369,0)),"",INDEX('Compliance Database'!$K$2:$K$1369,MATCH(1124,'Transfer Engine'!$C$2:$C$1369,0)))</f>
        <v/>
      </c>
      <c r="L1133" s="9">
        <f>IF(ISNA(MATCH(1124,'Transfer Engine'!$C$2:$C$1369,0)),"",INDEX('Compliance Database'!$L$2:$L$1369,MATCH(1124,'Transfer Engine'!$C$2:$C$1369,0)))</f>
        <v/>
      </c>
      <c r="M1133" s="9">
        <f>IF(ISNA(MATCH(1124,'Transfer Engine'!$C$2:$C$1369,0)),"",INDEX('Compliance Database'!$M$2:$M$1369,MATCH(1124,'Transfer Engine'!$C$2:$C$1369,0)))</f>
        <v/>
      </c>
      <c r="N1133" s="9">
        <f>IF(ISNA(MATCH(1124,'Transfer Engine'!$C$2:$C$1369,0)),"",INDEX('Compliance Database'!$N$2:$N$1369,MATCH(1124,'Transfer Engine'!$C$2:$C$1369,0)))</f>
        <v/>
      </c>
      <c r="O1133" s="8">
        <f>IF(ISNA(MATCH(1124,'Transfer Engine'!$C$2:$C$1369,0)),"",HYPERLINK(INDEX('Compliance Database'!$O$2:$O$1369,MATCH(1124,'Transfer Engine'!$C$2:$C$1369,0)),"Open PDF"))</f>
        <v/>
      </c>
    </row>
    <row r="1134" ht="188" customHeight="1">
      <c r="A1134" s="8">
        <f>IF(ISNA(MATCH(1125,'Transfer Engine'!$C$2:$C$1369,0)),"",INDEX('Compliance Database'!$A$2:$A$1369,MATCH(1125,'Transfer Engine'!$C$2:$C$1369,0)))</f>
        <v/>
      </c>
      <c r="B1134" s="8">
        <f>IF(ISNA(MATCH(1125,'Transfer Engine'!$C$2:$C$1369,0)),"",INDEX('Compliance Database'!$B$2:$B$1369,MATCH(1125,'Transfer Engine'!$C$2:$C$1369,0)))</f>
        <v/>
      </c>
      <c r="C1134" s="8">
        <f>IF(ISNA(MATCH(1125,'Transfer Engine'!$C$2:$C$1369,0)),"",INDEX('Compliance Database'!$C$2:$C$1369,MATCH(1125,'Transfer Engine'!$C$2:$C$1369,0)))</f>
        <v/>
      </c>
      <c r="D1134" s="9">
        <f>IF(ISNA(MATCH(1125,'Transfer Engine'!$C$2:$C$1369,0)),"",INDEX('Compliance Database'!$D$2:$D$1369,MATCH(1125,'Transfer Engine'!$C$2:$C$1369,0)))</f>
        <v/>
      </c>
      <c r="E1134" s="8">
        <f>IF(ISNA(MATCH(1125,'Transfer Engine'!$C$2:$C$1369,0)),"",INDEX('Compliance Database'!$E$2:$E$1369,MATCH(1125,'Transfer Engine'!$C$2:$C$1369,0)))</f>
        <v/>
      </c>
      <c r="F1134" s="8">
        <f>IF(ISNA(MATCH(1125,'Transfer Engine'!$C$2:$C$1369,0)),"",INDEX('Compliance Database'!$F$2:$F$1369,MATCH(1125,'Transfer Engine'!$C$2:$C$1369,0)))</f>
        <v/>
      </c>
      <c r="G1134" s="8">
        <f>IF(ISNA(MATCH(1125,'Transfer Engine'!$C$2:$C$1369,0)),"",INDEX('Compliance Database'!$G$2:$G$1369,MATCH(1125,'Transfer Engine'!$C$2:$C$1369,0)))</f>
        <v/>
      </c>
      <c r="H1134" s="9">
        <f>IF(ISNA(MATCH(1125,'Transfer Engine'!$C$2:$C$1369,0)),"",INDEX('Compliance Database'!$H$2:$H$1369,MATCH(1125,'Transfer Engine'!$C$2:$C$1369,0)))</f>
        <v/>
      </c>
      <c r="I1134" s="9">
        <f>IF(ISNA(MATCH(1125,'Transfer Engine'!$C$2:$C$1369,0)),"",INDEX('Compliance Database'!$I$2:$I$1369,MATCH(1125,'Transfer Engine'!$C$2:$C$1369,0)))</f>
        <v/>
      </c>
      <c r="J1134" s="8">
        <f>IF(ISNA(MATCH(1125,'Transfer Engine'!$C$2:$C$1369,0)),"",INDEX('Compliance Database'!$J$2:$J$1369,MATCH(1125,'Transfer Engine'!$C$2:$C$1369,0)))</f>
        <v/>
      </c>
      <c r="K1134" s="9">
        <f>IF(ISNA(MATCH(1125,'Transfer Engine'!$C$2:$C$1369,0)),"",INDEX('Compliance Database'!$K$2:$K$1369,MATCH(1125,'Transfer Engine'!$C$2:$C$1369,0)))</f>
        <v/>
      </c>
      <c r="L1134" s="9">
        <f>IF(ISNA(MATCH(1125,'Transfer Engine'!$C$2:$C$1369,0)),"",INDEX('Compliance Database'!$L$2:$L$1369,MATCH(1125,'Transfer Engine'!$C$2:$C$1369,0)))</f>
        <v/>
      </c>
      <c r="M1134" s="9">
        <f>IF(ISNA(MATCH(1125,'Transfer Engine'!$C$2:$C$1369,0)),"",INDEX('Compliance Database'!$M$2:$M$1369,MATCH(1125,'Transfer Engine'!$C$2:$C$1369,0)))</f>
        <v/>
      </c>
      <c r="N1134" s="9">
        <f>IF(ISNA(MATCH(1125,'Transfer Engine'!$C$2:$C$1369,0)),"",INDEX('Compliance Database'!$N$2:$N$1369,MATCH(1125,'Transfer Engine'!$C$2:$C$1369,0)))</f>
        <v/>
      </c>
      <c r="O1134" s="8">
        <f>IF(ISNA(MATCH(1125,'Transfer Engine'!$C$2:$C$1369,0)),"",HYPERLINK(INDEX('Compliance Database'!$O$2:$O$1369,MATCH(1125,'Transfer Engine'!$C$2:$C$1369,0)),"Open PDF"))</f>
        <v/>
      </c>
    </row>
    <row r="1135" ht="188" customHeight="1">
      <c r="A1135" s="8">
        <f>IF(ISNA(MATCH(1126,'Transfer Engine'!$C$2:$C$1369,0)),"",INDEX('Compliance Database'!$A$2:$A$1369,MATCH(1126,'Transfer Engine'!$C$2:$C$1369,0)))</f>
        <v/>
      </c>
      <c r="B1135" s="8">
        <f>IF(ISNA(MATCH(1126,'Transfer Engine'!$C$2:$C$1369,0)),"",INDEX('Compliance Database'!$B$2:$B$1369,MATCH(1126,'Transfer Engine'!$C$2:$C$1369,0)))</f>
        <v/>
      </c>
      <c r="C1135" s="8">
        <f>IF(ISNA(MATCH(1126,'Transfer Engine'!$C$2:$C$1369,0)),"",INDEX('Compliance Database'!$C$2:$C$1369,MATCH(1126,'Transfer Engine'!$C$2:$C$1369,0)))</f>
        <v/>
      </c>
      <c r="D1135" s="9">
        <f>IF(ISNA(MATCH(1126,'Transfer Engine'!$C$2:$C$1369,0)),"",INDEX('Compliance Database'!$D$2:$D$1369,MATCH(1126,'Transfer Engine'!$C$2:$C$1369,0)))</f>
        <v/>
      </c>
      <c r="E1135" s="8">
        <f>IF(ISNA(MATCH(1126,'Transfer Engine'!$C$2:$C$1369,0)),"",INDEX('Compliance Database'!$E$2:$E$1369,MATCH(1126,'Transfer Engine'!$C$2:$C$1369,0)))</f>
        <v/>
      </c>
      <c r="F1135" s="8">
        <f>IF(ISNA(MATCH(1126,'Transfer Engine'!$C$2:$C$1369,0)),"",INDEX('Compliance Database'!$F$2:$F$1369,MATCH(1126,'Transfer Engine'!$C$2:$C$1369,0)))</f>
        <v/>
      </c>
      <c r="G1135" s="8">
        <f>IF(ISNA(MATCH(1126,'Transfer Engine'!$C$2:$C$1369,0)),"",INDEX('Compliance Database'!$G$2:$G$1369,MATCH(1126,'Transfer Engine'!$C$2:$C$1369,0)))</f>
        <v/>
      </c>
      <c r="H1135" s="9">
        <f>IF(ISNA(MATCH(1126,'Transfer Engine'!$C$2:$C$1369,0)),"",INDEX('Compliance Database'!$H$2:$H$1369,MATCH(1126,'Transfer Engine'!$C$2:$C$1369,0)))</f>
        <v/>
      </c>
      <c r="I1135" s="9">
        <f>IF(ISNA(MATCH(1126,'Transfer Engine'!$C$2:$C$1369,0)),"",INDEX('Compliance Database'!$I$2:$I$1369,MATCH(1126,'Transfer Engine'!$C$2:$C$1369,0)))</f>
        <v/>
      </c>
      <c r="J1135" s="8">
        <f>IF(ISNA(MATCH(1126,'Transfer Engine'!$C$2:$C$1369,0)),"",INDEX('Compliance Database'!$J$2:$J$1369,MATCH(1126,'Transfer Engine'!$C$2:$C$1369,0)))</f>
        <v/>
      </c>
      <c r="K1135" s="9">
        <f>IF(ISNA(MATCH(1126,'Transfer Engine'!$C$2:$C$1369,0)),"",INDEX('Compliance Database'!$K$2:$K$1369,MATCH(1126,'Transfer Engine'!$C$2:$C$1369,0)))</f>
        <v/>
      </c>
      <c r="L1135" s="9">
        <f>IF(ISNA(MATCH(1126,'Transfer Engine'!$C$2:$C$1369,0)),"",INDEX('Compliance Database'!$L$2:$L$1369,MATCH(1126,'Transfer Engine'!$C$2:$C$1369,0)))</f>
        <v/>
      </c>
      <c r="M1135" s="9">
        <f>IF(ISNA(MATCH(1126,'Transfer Engine'!$C$2:$C$1369,0)),"",INDEX('Compliance Database'!$M$2:$M$1369,MATCH(1126,'Transfer Engine'!$C$2:$C$1369,0)))</f>
        <v/>
      </c>
      <c r="N1135" s="9">
        <f>IF(ISNA(MATCH(1126,'Transfer Engine'!$C$2:$C$1369,0)),"",INDEX('Compliance Database'!$N$2:$N$1369,MATCH(1126,'Transfer Engine'!$C$2:$C$1369,0)))</f>
        <v/>
      </c>
      <c r="O1135" s="8">
        <f>IF(ISNA(MATCH(1126,'Transfer Engine'!$C$2:$C$1369,0)),"",HYPERLINK(INDEX('Compliance Database'!$O$2:$O$1369,MATCH(1126,'Transfer Engine'!$C$2:$C$1369,0)),"Open PDF"))</f>
        <v/>
      </c>
    </row>
    <row r="1136" ht="188" customHeight="1">
      <c r="A1136" s="8">
        <f>IF(ISNA(MATCH(1127,'Transfer Engine'!$C$2:$C$1369,0)),"",INDEX('Compliance Database'!$A$2:$A$1369,MATCH(1127,'Transfer Engine'!$C$2:$C$1369,0)))</f>
        <v/>
      </c>
      <c r="B1136" s="8">
        <f>IF(ISNA(MATCH(1127,'Transfer Engine'!$C$2:$C$1369,0)),"",INDEX('Compliance Database'!$B$2:$B$1369,MATCH(1127,'Transfer Engine'!$C$2:$C$1369,0)))</f>
        <v/>
      </c>
      <c r="C1136" s="8">
        <f>IF(ISNA(MATCH(1127,'Transfer Engine'!$C$2:$C$1369,0)),"",INDEX('Compliance Database'!$C$2:$C$1369,MATCH(1127,'Transfer Engine'!$C$2:$C$1369,0)))</f>
        <v/>
      </c>
      <c r="D1136" s="9">
        <f>IF(ISNA(MATCH(1127,'Transfer Engine'!$C$2:$C$1369,0)),"",INDEX('Compliance Database'!$D$2:$D$1369,MATCH(1127,'Transfer Engine'!$C$2:$C$1369,0)))</f>
        <v/>
      </c>
      <c r="E1136" s="8">
        <f>IF(ISNA(MATCH(1127,'Transfer Engine'!$C$2:$C$1369,0)),"",INDEX('Compliance Database'!$E$2:$E$1369,MATCH(1127,'Transfer Engine'!$C$2:$C$1369,0)))</f>
        <v/>
      </c>
      <c r="F1136" s="8">
        <f>IF(ISNA(MATCH(1127,'Transfer Engine'!$C$2:$C$1369,0)),"",INDEX('Compliance Database'!$F$2:$F$1369,MATCH(1127,'Transfer Engine'!$C$2:$C$1369,0)))</f>
        <v/>
      </c>
      <c r="G1136" s="8">
        <f>IF(ISNA(MATCH(1127,'Transfer Engine'!$C$2:$C$1369,0)),"",INDEX('Compliance Database'!$G$2:$G$1369,MATCH(1127,'Transfer Engine'!$C$2:$C$1369,0)))</f>
        <v/>
      </c>
      <c r="H1136" s="9">
        <f>IF(ISNA(MATCH(1127,'Transfer Engine'!$C$2:$C$1369,0)),"",INDEX('Compliance Database'!$H$2:$H$1369,MATCH(1127,'Transfer Engine'!$C$2:$C$1369,0)))</f>
        <v/>
      </c>
      <c r="I1136" s="9">
        <f>IF(ISNA(MATCH(1127,'Transfer Engine'!$C$2:$C$1369,0)),"",INDEX('Compliance Database'!$I$2:$I$1369,MATCH(1127,'Transfer Engine'!$C$2:$C$1369,0)))</f>
        <v/>
      </c>
      <c r="J1136" s="8">
        <f>IF(ISNA(MATCH(1127,'Transfer Engine'!$C$2:$C$1369,0)),"",INDEX('Compliance Database'!$J$2:$J$1369,MATCH(1127,'Transfer Engine'!$C$2:$C$1369,0)))</f>
        <v/>
      </c>
      <c r="K1136" s="9">
        <f>IF(ISNA(MATCH(1127,'Transfer Engine'!$C$2:$C$1369,0)),"",INDEX('Compliance Database'!$K$2:$K$1369,MATCH(1127,'Transfer Engine'!$C$2:$C$1369,0)))</f>
        <v/>
      </c>
      <c r="L1136" s="9">
        <f>IF(ISNA(MATCH(1127,'Transfer Engine'!$C$2:$C$1369,0)),"",INDEX('Compliance Database'!$L$2:$L$1369,MATCH(1127,'Transfer Engine'!$C$2:$C$1369,0)))</f>
        <v/>
      </c>
      <c r="M1136" s="9">
        <f>IF(ISNA(MATCH(1127,'Transfer Engine'!$C$2:$C$1369,0)),"",INDEX('Compliance Database'!$M$2:$M$1369,MATCH(1127,'Transfer Engine'!$C$2:$C$1369,0)))</f>
        <v/>
      </c>
      <c r="N1136" s="9">
        <f>IF(ISNA(MATCH(1127,'Transfer Engine'!$C$2:$C$1369,0)),"",INDEX('Compliance Database'!$N$2:$N$1369,MATCH(1127,'Transfer Engine'!$C$2:$C$1369,0)))</f>
        <v/>
      </c>
      <c r="O1136" s="8">
        <f>IF(ISNA(MATCH(1127,'Transfer Engine'!$C$2:$C$1369,0)),"",HYPERLINK(INDEX('Compliance Database'!$O$2:$O$1369,MATCH(1127,'Transfer Engine'!$C$2:$C$1369,0)),"Open PDF"))</f>
        <v/>
      </c>
    </row>
    <row r="1137" ht="188" customHeight="1">
      <c r="A1137" s="8">
        <f>IF(ISNA(MATCH(1128,'Transfer Engine'!$C$2:$C$1369,0)),"",INDEX('Compliance Database'!$A$2:$A$1369,MATCH(1128,'Transfer Engine'!$C$2:$C$1369,0)))</f>
        <v/>
      </c>
      <c r="B1137" s="8">
        <f>IF(ISNA(MATCH(1128,'Transfer Engine'!$C$2:$C$1369,0)),"",INDEX('Compliance Database'!$B$2:$B$1369,MATCH(1128,'Transfer Engine'!$C$2:$C$1369,0)))</f>
        <v/>
      </c>
      <c r="C1137" s="8">
        <f>IF(ISNA(MATCH(1128,'Transfer Engine'!$C$2:$C$1369,0)),"",INDEX('Compliance Database'!$C$2:$C$1369,MATCH(1128,'Transfer Engine'!$C$2:$C$1369,0)))</f>
        <v/>
      </c>
      <c r="D1137" s="9">
        <f>IF(ISNA(MATCH(1128,'Transfer Engine'!$C$2:$C$1369,0)),"",INDEX('Compliance Database'!$D$2:$D$1369,MATCH(1128,'Transfer Engine'!$C$2:$C$1369,0)))</f>
        <v/>
      </c>
      <c r="E1137" s="8">
        <f>IF(ISNA(MATCH(1128,'Transfer Engine'!$C$2:$C$1369,0)),"",INDEX('Compliance Database'!$E$2:$E$1369,MATCH(1128,'Transfer Engine'!$C$2:$C$1369,0)))</f>
        <v/>
      </c>
      <c r="F1137" s="8">
        <f>IF(ISNA(MATCH(1128,'Transfer Engine'!$C$2:$C$1369,0)),"",INDEX('Compliance Database'!$F$2:$F$1369,MATCH(1128,'Transfer Engine'!$C$2:$C$1369,0)))</f>
        <v/>
      </c>
      <c r="G1137" s="8">
        <f>IF(ISNA(MATCH(1128,'Transfer Engine'!$C$2:$C$1369,0)),"",INDEX('Compliance Database'!$G$2:$G$1369,MATCH(1128,'Transfer Engine'!$C$2:$C$1369,0)))</f>
        <v/>
      </c>
      <c r="H1137" s="9">
        <f>IF(ISNA(MATCH(1128,'Transfer Engine'!$C$2:$C$1369,0)),"",INDEX('Compliance Database'!$H$2:$H$1369,MATCH(1128,'Transfer Engine'!$C$2:$C$1369,0)))</f>
        <v/>
      </c>
      <c r="I1137" s="9">
        <f>IF(ISNA(MATCH(1128,'Transfer Engine'!$C$2:$C$1369,0)),"",INDEX('Compliance Database'!$I$2:$I$1369,MATCH(1128,'Transfer Engine'!$C$2:$C$1369,0)))</f>
        <v/>
      </c>
      <c r="J1137" s="8">
        <f>IF(ISNA(MATCH(1128,'Transfer Engine'!$C$2:$C$1369,0)),"",INDEX('Compliance Database'!$J$2:$J$1369,MATCH(1128,'Transfer Engine'!$C$2:$C$1369,0)))</f>
        <v/>
      </c>
      <c r="K1137" s="9">
        <f>IF(ISNA(MATCH(1128,'Transfer Engine'!$C$2:$C$1369,0)),"",INDEX('Compliance Database'!$K$2:$K$1369,MATCH(1128,'Transfer Engine'!$C$2:$C$1369,0)))</f>
        <v/>
      </c>
      <c r="L1137" s="9">
        <f>IF(ISNA(MATCH(1128,'Transfer Engine'!$C$2:$C$1369,0)),"",INDEX('Compliance Database'!$L$2:$L$1369,MATCH(1128,'Transfer Engine'!$C$2:$C$1369,0)))</f>
        <v/>
      </c>
      <c r="M1137" s="9">
        <f>IF(ISNA(MATCH(1128,'Transfer Engine'!$C$2:$C$1369,0)),"",INDEX('Compliance Database'!$M$2:$M$1369,MATCH(1128,'Transfer Engine'!$C$2:$C$1369,0)))</f>
        <v/>
      </c>
      <c r="N1137" s="9">
        <f>IF(ISNA(MATCH(1128,'Transfer Engine'!$C$2:$C$1369,0)),"",INDEX('Compliance Database'!$N$2:$N$1369,MATCH(1128,'Transfer Engine'!$C$2:$C$1369,0)))</f>
        <v/>
      </c>
      <c r="O1137" s="8">
        <f>IF(ISNA(MATCH(1128,'Transfer Engine'!$C$2:$C$1369,0)),"",HYPERLINK(INDEX('Compliance Database'!$O$2:$O$1369,MATCH(1128,'Transfer Engine'!$C$2:$C$1369,0)),"Open PDF"))</f>
        <v/>
      </c>
    </row>
    <row r="1138" ht="188" customHeight="1">
      <c r="A1138" s="8">
        <f>IF(ISNA(MATCH(1129,'Transfer Engine'!$C$2:$C$1369,0)),"",INDEX('Compliance Database'!$A$2:$A$1369,MATCH(1129,'Transfer Engine'!$C$2:$C$1369,0)))</f>
        <v/>
      </c>
      <c r="B1138" s="8">
        <f>IF(ISNA(MATCH(1129,'Transfer Engine'!$C$2:$C$1369,0)),"",INDEX('Compliance Database'!$B$2:$B$1369,MATCH(1129,'Transfer Engine'!$C$2:$C$1369,0)))</f>
        <v/>
      </c>
      <c r="C1138" s="8">
        <f>IF(ISNA(MATCH(1129,'Transfer Engine'!$C$2:$C$1369,0)),"",INDEX('Compliance Database'!$C$2:$C$1369,MATCH(1129,'Transfer Engine'!$C$2:$C$1369,0)))</f>
        <v/>
      </c>
      <c r="D1138" s="9">
        <f>IF(ISNA(MATCH(1129,'Transfer Engine'!$C$2:$C$1369,0)),"",INDEX('Compliance Database'!$D$2:$D$1369,MATCH(1129,'Transfer Engine'!$C$2:$C$1369,0)))</f>
        <v/>
      </c>
      <c r="E1138" s="8">
        <f>IF(ISNA(MATCH(1129,'Transfer Engine'!$C$2:$C$1369,0)),"",INDEX('Compliance Database'!$E$2:$E$1369,MATCH(1129,'Transfer Engine'!$C$2:$C$1369,0)))</f>
        <v/>
      </c>
      <c r="F1138" s="8">
        <f>IF(ISNA(MATCH(1129,'Transfer Engine'!$C$2:$C$1369,0)),"",INDEX('Compliance Database'!$F$2:$F$1369,MATCH(1129,'Transfer Engine'!$C$2:$C$1369,0)))</f>
        <v/>
      </c>
      <c r="G1138" s="8">
        <f>IF(ISNA(MATCH(1129,'Transfer Engine'!$C$2:$C$1369,0)),"",INDEX('Compliance Database'!$G$2:$G$1369,MATCH(1129,'Transfer Engine'!$C$2:$C$1369,0)))</f>
        <v/>
      </c>
      <c r="H1138" s="9">
        <f>IF(ISNA(MATCH(1129,'Transfer Engine'!$C$2:$C$1369,0)),"",INDEX('Compliance Database'!$H$2:$H$1369,MATCH(1129,'Transfer Engine'!$C$2:$C$1369,0)))</f>
        <v/>
      </c>
      <c r="I1138" s="9">
        <f>IF(ISNA(MATCH(1129,'Transfer Engine'!$C$2:$C$1369,0)),"",INDEX('Compliance Database'!$I$2:$I$1369,MATCH(1129,'Transfer Engine'!$C$2:$C$1369,0)))</f>
        <v/>
      </c>
      <c r="J1138" s="8">
        <f>IF(ISNA(MATCH(1129,'Transfer Engine'!$C$2:$C$1369,0)),"",INDEX('Compliance Database'!$J$2:$J$1369,MATCH(1129,'Transfer Engine'!$C$2:$C$1369,0)))</f>
        <v/>
      </c>
      <c r="K1138" s="9">
        <f>IF(ISNA(MATCH(1129,'Transfer Engine'!$C$2:$C$1369,0)),"",INDEX('Compliance Database'!$K$2:$K$1369,MATCH(1129,'Transfer Engine'!$C$2:$C$1369,0)))</f>
        <v/>
      </c>
      <c r="L1138" s="9">
        <f>IF(ISNA(MATCH(1129,'Transfer Engine'!$C$2:$C$1369,0)),"",INDEX('Compliance Database'!$L$2:$L$1369,MATCH(1129,'Transfer Engine'!$C$2:$C$1369,0)))</f>
        <v/>
      </c>
      <c r="M1138" s="9">
        <f>IF(ISNA(MATCH(1129,'Transfer Engine'!$C$2:$C$1369,0)),"",INDEX('Compliance Database'!$M$2:$M$1369,MATCH(1129,'Transfer Engine'!$C$2:$C$1369,0)))</f>
        <v/>
      </c>
      <c r="N1138" s="9">
        <f>IF(ISNA(MATCH(1129,'Transfer Engine'!$C$2:$C$1369,0)),"",INDEX('Compliance Database'!$N$2:$N$1369,MATCH(1129,'Transfer Engine'!$C$2:$C$1369,0)))</f>
        <v/>
      </c>
      <c r="O1138" s="8">
        <f>IF(ISNA(MATCH(1129,'Transfer Engine'!$C$2:$C$1369,0)),"",HYPERLINK(INDEX('Compliance Database'!$O$2:$O$1369,MATCH(1129,'Transfer Engine'!$C$2:$C$1369,0)),"Open PDF"))</f>
        <v/>
      </c>
    </row>
    <row r="1139" ht="188" customHeight="1">
      <c r="A1139" s="8">
        <f>IF(ISNA(MATCH(1130,'Transfer Engine'!$C$2:$C$1369,0)),"",INDEX('Compliance Database'!$A$2:$A$1369,MATCH(1130,'Transfer Engine'!$C$2:$C$1369,0)))</f>
        <v/>
      </c>
      <c r="B1139" s="8">
        <f>IF(ISNA(MATCH(1130,'Transfer Engine'!$C$2:$C$1369,0)),"",INDEX('Compliance Database'!$B$2:$B$1369,MATCH(1130,'Transfer Engine'!$C$2:$C$1369,0)))</f>
        <v/>
      </c>
      <c r="C1139" s="8">
        <f>IF(ISNA(MATCH(1130,'Transfer Engine'!$C$2:$C$1369,0)),"",INDEX('Compliance Database'!$C$2:$C$1369,MATCH(1130,'Transfer Engine'!$C$2:$C$1369,0)))</f>
        <v/>
      </c>
      <c r="D1139" s="9">
        <f>IF(ISNA(MATCH(1130,'Transfer Engine'!$C$2:$C$1369,0)),"",INDEX('Compliance Database'!$D$2:$D$1369,MATCH(1130,'Transfer Engine'!$C$2:$C$1369,0)))</f>
        <v/>
      </c>
      <c r="E1139" s="8">
        <f>IF(ISNA(MATCH(1130,'Transfer Engine'!$C$2:$C$1369,0)),"",INDEX('Compliance Database'!$E$2:$E$1369,MATCH(1130,'Transfer Engine'!$C$2:$C$1369,0)))</f>
        <v/>
      </c>
      <c r="F1139" s="8">
        <f>IF(ISNA(MATCH(1130,'Transfer Engine'!$C$2:$C$1369,0)),"",INDEX('Compliance Database'!$F$2:$F$1369,MATCH(1130,'Transfer Engine'!$C$2:$C$1369,0)))</f>
        <v/>
      </c>
      <c r="G1139" s="8">
        <f>IF(ISNA(MATCH(1130,'Transfer Engine'!$C$2:$C$1369,0)),"",INDEX('Compliance Database'!$G$2:$G$1369,MATCH(1130,'Transfer Engine'!$C$2:$C$1369,0)))</f>
        <v/>
      </c>
      <c r="H1139" s="9">
        <f>IF(ISNA(MATCH(1130,'Transfer Engine'!$C$2:$C$1369,0)),"",INDEX('Compliance Database'!$H$2:$H$1369,MATCH(1130,'Transfer Engine'!$C$2:$C$1369,0)))</f>
        <v/>
      </c>
      <c r="I1139" s="9">
        <f>IF(ISNA(MATCH(1130,'Transfer Engine'!$C$2:$C$1369,0)),"",INDEX('Compliance Database'!$I$2:$I$1369,MATCH(1130,'Transfer Engine'!$C$2:$C$1369,0)))</f>
        <v/>
      </c>
      <c r="J1139" s="8">
        <f>IF(ISNA(MATCH(1130,'Transfer Engine'!$C$2:$C$1369,0)),"",INDEX('Compliance Database'!$J$2:$J$1369,MATCH(1130,'Transfer Engine'!$C$2:$C$1369,0)))</f>
        <v/>
      </c>
      <c r="K1139" s="9">
        <f>IF(ISNA(MATCH(1130,'Transfer Engine'!$C$2:$C$1369,0)),"",INDEX('Compliance Database'!$K$2:$K$1369,MATCH(1130,'Transfer Engine'!$C$2:$C$1369,0)))</f>
        <v/>
      </c>
      <c r="L1139" s="9">
        <f>IF(ISNA(MATCH(1130,'Transfer Engine'!$C$2:$C$1369,0)),"",INDEX('Compliance Database'!$L$2:$L$1369,MATCH(1130,'Transfer Engine'!$C$2:$C$1369,0)))</f>
        <v/>
      </c>
      <c r="M1139" s="9">
        <f>IF(ISNA(MATCH(1130,'Transfer Engine'!$C$2:$C$1369,0)),"",INDEX('Compliance Database'!$M$2:$M$1369,MATCH(1130,'Transfer Engine'!$C$2:$C$1369,0)))</f>
        <v/>
      </c>
      <c r="N1139" s="9">
        <f>IF(ISNA(MATCH(1130,'Transfer Engine'!$C$2:$C$1369,0)),"",INDEX('Compliance Database'!$N$2:$N$1369,MATCH(1130,'Transfer Engine'!$C$2:$C$1369,0)))</f>
        <v/>
      </c>
      <c r="O1139" s="8">
        <f>IF(ISNA(MATCH(1130,'Transfer Engine'!$C$2:$C$1369,0)),"",HYPERLINK(INDEX('Compliance Database'!$O$2:$O$1369,MATCH(1130,'Transfer Engine'!$C$2:$C$1369,0)),"Open PDF"))</f>
        <v/>
      </c>
    </row>
    <row r="1140" ht="188" customHeight="1">
      <c r="A1140" s="8">
        <f>IF(ISNA(MATCH(1131,'Transfer Engine'!$C$2:$C$1369,0)),"",INDEX('Compliance Database'!$A$2:$A$1369,MATCH(1131,'Transfer Engine'!$C$2:$C$1369,0)))</f>
        <v/>
      </c>
      <c r="B1140" s="8">
        <f>IF(ISNA(MATCH(1131,'Transfer Engine'!$C$2:$C$1369,0)),"",INDEX('Compliance Database'!$B$2:$B$1369,MATCH(1131,'Transfer Engine'!$C$2:$C$1369,0)))</f>
        <v/>
      </c>
      <c r="C1140" s="8">
        <f>IF(ISNA(MATCH(1131,'Transfer Engine'!$C$2:$C$1369,0)),"",INDEX('Compliance Database'!$C$2:$C$1369,MATCH(1131,'Transfer Engine'!$C$2:$C$1369,0)))</f>
        <v/>
      </c>
      <c r="D1140" s="9">
        <f>IF(ISNA(MATCH(1131,'Transfer Engine'!$C$2:$C$1369,0)),"",INDEX('Compliance Database'!$D$2:$D$1369,MATCH(1131,'Transfer Engine'!$C$2:$C$1369,0)))</f>
        <v/>
      </c>
      <c r="E1140" s="8">
        <f>IF(ISNA(MATCH(1131,'Transfer Engine'!$C$2:$C$1369,0)),"",INDEX('Compliance Database'!$E$2:$E$1369,MATCH(1131,'Transfer Engine'!$C$2:$C$1369,0)))</f>
        <v/>
      </c>
      <c r="F1140" s="8">
        <f>IF(ISNA(MATCH(1131,'Transfer Engine'!$C$2:$C$1369,0)),"",INDEX('Compliance Database'!$F$2:$F$1369,MATCH(1131,'Transfer Engine'!$C$2:$C$1369,0)))</f>
        <v/>
      </c>
      <c r="G1140" s="8">
        <f>IF(ISNA(MATCH(1131,'Transfer Engine'!$C$2:$C$1369,0)),"",INDEX('Compliance Database'!$G$2:$G$1369,MATCH(1131,'Transfer Engine'!$C$2:$C$1369,0)))</f>
        <v/>
      </c>
      <c r="H1140" s="9">
        <f>IF(ISNA(MATCH(1131,'Transfer Engine'!$C$2:$C$1369,0)),"",INDEX('Compliance Database'!$H$2:$H$1369,MATCH(1131,'Transfer Engine'!$C$2:$C$1369,0)))</f>
        <v/>
      </c>
      <c r="I1140" s="9">
        <f>IF(ISNA(MATCH(1131,'Transfer Engine'!$C$2:$C$1369,0)),"",INDEX('Compliance Database'!$I$2:$I$1369,MATCH(1131,'Transfer Engine'!$C$2:$C$1369,0)))</f>
        <v/>
      </c>
      <c r="J1140" s="8">
        <f>IF(ISNA(MATCH(1131,'Transfer Engine'!$C$2:$C$1369,0)),"",INDEX('Compliance Database'!$J$2:$J$1369,MATCH(1131,'Transfer Engine'!$C$2:$C$1369,0)))</f>
        <v/>
      </c>
      <c r="K1140" s="9">
        <f>IF(ISNA(MATCH(1131,'Transfer Engine'!$C$2:$C$1369,0)),"",INDEX('Compliance Database'!$K$2:$K$1369,MATCH(1131,'Transfer Engine'!$C$2:$C$1369,0)))</f>
        <v/>
      </c>
      <c r="L1140" s="9">
        <f>IF(ISNA(MATCH(1131,'Transfer Engine'!$C$2:$C$1369,0)),"",INDEX('Compliance Database'!$L$2:$L$1369,MATCH(1131,'Transfer Engine'!$C$2:$C$1369,0)))</f>
        <v/>
      </c>
      <c r="M1140" s="9">
        <f>IF(ISNA(MATCH(1131,'Transfer Engine'!$C$2:$C$1369,0)),"",INDEX('Compliance Database'!$M$2:$M$1369,MATCH(1131,'Transfer Engine'!$C$2:$C$1369,0)))</f>
        <v/>
      </c>
      <c r="N1140" s="9">
        <f>IF(ISNA(MATCH(1131,'Transfer Engine'!$C$2:$C$1369,0)),"",INDEX('Compliance Database'!$N$2:$N$1369,MATCH(1131,'Transfer Engine'!$C$2:$C$1369,0)))</f>
        <v/>
      </c>
      <c r="O1140" s="8">
        <f>IF(ISNA(MATCH(1131,'Transfer Engine'!$C$2:$C$1369,0)),"",HYPERLINK(INDEX('Compliance Database'!$O$2:$O$1369,MATCH(1131,'Transfer Engine'!$C$2:$C$1369,0)),"Open PDF"))</f>
        <v/>
      </c>
    </row>
    <row r="1141" ht="188" customHeight="1">
      <c r="A1141" s="8">
        <f>IF(ISNA(MATCH(1132,'Transfer Engine'!$C$2:$C$1369,0)),"",INDEX('Compliance Database'!$A$2:$A$1369,MATCH(1132,'Transfer Engine'!$C$2:$C$1369,0)))</f>
        <v/>
      </c>
      <c r="B1141" s="8">
        <f>IF(ISNA(MATCH(1132,'Transfer Engine'!$C$2:$C$1369,0)),"",INDEX('Compliance Database'!$B$2:$B$1369,MATCH(1132,'Transfer Engine'!$C$2:$C$1369,0)))</f>
        <v/>
      </c>
      <c r="C1141" s="8">
        <f>IF(ISNA(MATCH(1132,'Transfer Engine'!$C$2:$C$1369,0)),"",INDEX('Compliance Database'!$C$2:$C$1369,MATCH(1132,'Transfer Engine'!$C$2:$C$1369,0)))</f>
        <v/>
      </c>
      <c r="D1141" s="9">
        <f>IF(ISNA(MATCH(1132,'Transfer Engine'!$C$2:$C$1369,0)),"",INDEX('Compliance Database'!$D$2:$D$1369,MATCH(1132,'Transfer Engine'!$C$2:$C$1369,0)))</f>
        <v/>
      </c>
      <c r="E1141" s="8">
        <f>IF(ISNA(MATCH(1132,'Transfer Engine'!$C$2:$C$1369,0)),"",INDEX('Compliance Database'!$E$2:$E$1369,MATCH(1132,'Transfer Engine'!$C$2:$C$1369,0)))</f>
        <v/>
      </c>
      <c r="F1141" s="8">
        <f>IF(ISNA(MATCH(1132,'Transfer Engine'!$C$2:$C$1369,0)),"",INDEX('Compliance Database'!$F$2:$F$1369,MATCH(1132,'Transfer Engine'!$C$2:$C$1369,0)))</f>
        <v/>
      </c>
      <c r="G1141" s="8">
        <f>IF(ISNA(MATCH(1132,'Transfer Engine'!$C$2:$C$1369,0)),"",INDEX('Compliance Database'!$G$2:$G$1369,MATCH(1132,'Transfer Engine'!$C$2:$C$1369,0)))</f>
        <v/>
      </c>
      <c r="H1141" s="9">
        <f>IF(ISNA(MATCH(1132,'Transfer Engine'!$C$2:$C$1369,0)),"",INDEX('Compliance Database'!$H$2:$H$1369,MATCH(1132,'Transfer Engine'!$C$2:$C$1369,0)))</f>
        <v/>
      </c>
      <c r="I1141" s="9">
        <f>IF(ISNA(MATCH(1132,'Transfer Engine'!$C$2:$C$1369,0)),"",INDEX('Compliance Database'!$I$2:$I$1369,MATCH(1132,'Transfer Engine'!$C$2:$C$1369,0)))</f>
        <v/>
      </c>
      <c r="J1141" s="8">
        <f>IF(ISNA(MATCH(1132,'Transfer Engine'!$C$2:$C$1369,0)),"",INDEX('Compliance Database'!$J$2:$J$1369,MATCH(1132,'Transfer Engine'!$C$2:$C$1369,0)))</f>
        <v/>
      </c>
      <c r="K1141" s="9">
        <f>IF(ISNA(MATCH(1132,'Transfer Engine'!$C$2:$C$1369,0)),"",INDEX('Compliance Database'!$K$2:$K$1369,MATCH(1132,'Transfer Engine'!$C$2:$C$1369,0)))</f>
        <v/>
      </c>
      <c r="L1141" s="9">
        <f>IF(ISNA(MATCH(1132,'Transfer Engine'!$C$2:$C$1369,0)),"",INDEX('Compliance Database'!$L$2:$L$1369,MATCH(1132,'Transfer Engine'!$C$2:$C$1369,0)))</f>
        <v/>
      </c>
      <c r="M1141" s="9">
        <f>IF(ISNA(MATCH(1132,'Transfer Engine'!$C$2:$C$1369,0)),"",INDEX('Compliance Database'!$M$2:$M$1369,MATCH(1132,'Transfer Engine'!$C$2:$C$1369,0)))</f>
        <v/>
      </c>
      <c r="N1141" s="9">
        <f>IF(ISNA(MATCH(1132,'Transfer Engine'!$C$2:$C$1369,0)),"",INDEX('Compliance Database'!$N$2:$N$1369,MATCH(1132,'Transfer Engine'!$C$2:$C$1369,0)))</f>
        <v/>
      </c>
      <c r="O1141" s="8">
        <f>IF(ISNA(MATCH(1132,'Transfer Engine'!$C$2:$C$1369,0)),"",HYPERLINK(INDEX('Compliance Database'!$O$2:$O$1369,MATCH(1132,'Transfer Engine'!$C$2:$C$1369,0)),"Open PDF"))</f>
        <v/>
      </c>
    </row>
    <row r="1142" ht="188" customHeight="1">
      <c r="A1142" s="8">
        <f>IF(ISNA(MATCH(1133,'Transfer Engine'!$C$2:$C$1369,0)),"",INDEX('Compliance Database'!$A$2:$A$1369,MATCH(1133,'Transfer Engine'!$C$2:$C$1369,0)))</f>
        <v/>
      </c>
      <c r="B1142" s="8">
        <f>IF(ISNA(MATCH(1133,'Transfer Engine'!$C$2:$C$1369,0)),"",INDEX('Compliance Database'!$B$2:$B$1369,MATCH(1133,'Transfer Engine'!$C$2:$C$1369,0)))</f>
        <v/>
      </c>
      <c r="C1142" s="8">
        <f>IF(ISNA(MATCH(1133,'Transfer Engine'!$C$2:$C$1369,0)),"",INDEX('Compliance Database'!$C$2:$C$1369,MATCH(1133,'Transfer Engine'!$C$2:$C$1369,0)))</f>
        <v/>
      </c>
      <c r="D1142" s="9">
        <f>IF(ISNA(MATCH(1133,'Transfer Engine'!$C$2:$C$1369,0)),"",INDEX('Compliance Database'!$D$2:$D$1369,MATCH(1133,'Transfer Engine'!$C$2:$C$1369,0)))</f>
        <v/>
      </c>
      <c r="E1142" s="8">
        <f>IF(ISNA(MATCH(1133,'Transfer Engine'!$C$2:$C$1369,0)),"",INDEX('Compliance Database'!$E$2:$E$1369,MATCH(1133,'Transfer Engine'!$C$2:$C$1369,0)))</f>
        <v/>
      </c>
      <c r="F1142" s="8">
        <f>IF(ISNA(MATCH(1133,'Transfer Engine'!$C$2:$C$1369,0)),"",INDEX('Compliance Database'!$F$2:$F$1369,MATCH(1133,'Transfer Engine'!$C$2:$C$1369,0)))</f>
        <v/>
      </c>
      <c r="G1142" s="8">
        <f>IF(ISNA(MATCH(1133,'Transfer Engine'!$C$2:$C$1369,0)),"",INDEX('Compliance Database'!$G$2:$G$1369,MATCH(1133,'Transfer Engine'!$C$2:$C$1369,0)))</f>
        <v/>
      </c>
      <c r="H1142" s="9">
        <f>IF(ISNA(MATCH(1133,'Transfer Engine'!$C$2:$C$1369,0)),"",INDEX('Compliance Database'!$H$2:$H$1369,MATCH(1133,'Transfer Engine'!$C$2:$C$1369,0)))</f>
        <v/>
      </c>
      <c r="I1142" s="9">
        <f>IF(ISNA(MATCH(1133,'Transfer Engine'!$C$2:$C$1369,0)),"",INDEX('Compliance Database'!$I$2:$I$1369,MATCH(1133,'Transfer Engine'!$C$2:$C$1369,0)))</f>
        <v/>
      </c>
      <c r="J1142" s="8">
        <f>IF(ISNA(MATCH(1133,'Transfer Engine'!$C$2:$C$1369,0)),"",INDEX('Compliance Database'!$J$2:$J$1369,MATCH(1133,'Transfer Engine'!$C$2:$C$1369,0)))</f>
        <v/>
      </c>
      <c r="K1142" s="9">
        <f>IF(ISNA(MATCH(1133,'Transfer Engine'!$C$2:$C$1369,0)),"",INDEX('Compliance Database'!$K$2:$K$1369,MATCH(1133,'Transfer Engine'!$C$2:$C$1369,0)))</f>
        <v/>
      </c>
      <c r="L1142" s="9">
        <f>IF(ISNA(MATCH(1133,'Transfer Engine'!$C$2:$C$1369,0)),"",INDEX('Compliance Database'!$L$2:$L$1369,MATCH(1133,'Transfer Engine'!$C$2:$C$1369,0)))</f>
        <v/>
      </c>
      <c r="M1142" s="9">
        <f>IF(ISNA(MATCH(1133,'Transfer Engine'!$C$2:$C$1369,0)),"",INDEX('Compliance Database'!$M$2:$M$1369,MATCH(1133,'Transfer Engine'!$C$2:$C$1369,0)))</f>
        <v/>
      </c>
      <c r="N1142" s="9">
        <f>IF(ISNA(MATCH(1133,'Transfer Engine'!$C$2:$C$1369,0)),"",INDEX('Compliance Database'!$N$2:$N$1369,MATCH(1133,'Transfer Engine'!$C$2:$C$1369,0)))</f>
        <v/>
      </c>
      <c r="O1142" s="8">
        <f>IF(ISNA(MATCH(1133,'Transfer Engine'!$C$2:$C$1369,0)),"",HYPERLINK(INDEX('Compliance Database'!$O$2:$O$1369,MATCH(1133,'Transfer Engine'!$C$2:$C$1369,0)),"Open PDF"))</f>
        <v/>
      </c>
    </row>
    <row r="1143" ht="188" customHeight="1">
      <c r="A1143" s="8">
        <f>IF(ISNA(MATCH(1134,'Transfer Engine'!$C$2:$C$1369,0)),"",INDEX('Compliance Database'!$A$2:$A$1369,MATCH(1134,'Transfer Engine'!$C$2:$C$1369,0)))</f>
        <v/>
      </c>
      <c r="B1143" s="8">
        <f>IF(ISNA(MATCH(1134,'Transfer Engine'!$C$2:$C$1369,0)),"",INDEX('Compliance Database'!$B$2:$B$1369,MATCH(1134,'Transfer Engine'!$C$2:$C$1369,0)))</f>
        <v/>
      </c>
      <c r="C1143" s="8">
        <f>IF(ISNA(MATCH(1134,'Transfer Engine'!$C$2:$C$1369,0)),"",INDEX('Compliance Database'!$C$2:$C$1369,MATCH(1134,'Transfer Engine'!$C$2:$C$1369,0)))</f>
        <v/>
      </c>
      <c r="D1143" s="9">
        <f>IF(ISNA(MATCH(1134,'Transfer Engine'!$C$2:$C$1369,0)),"",INDEX('Compliance Database'!$D$2:$D$1369,MATCH(1134,'Transfer Engine'!$C$2:$C$1369,0)))</f>
        <v/>
      </c>
      <c r="E1143" s="8">
        <f>IF(ISNA(MATCH(1134,'Transfer Engine'!$C$2:$C$1369,0)),"",INDEX('Compliance Database'!$E$2:$E$1369,MATCH(1134,'Transfer Engine'!$C$2:$C$1369,0)))</f>
        <v/>
      </c>
      <c r="F1143" s="8">
        <f>IF(ISNA(MATCH(1134,'Transfer Engine'!$C$2:$C$1369,0)),"",INDEX('Compliance Database'!$F$2:$F$1369,MATCH(1134,'Transfer Engine'!$C$2:$C$1369,0)))</f>
        <v/>
      </c>
      <c r="G1143" s="8">
        <f>IF(ISNA(MATCH(1134,'Transfer Engine'!$C$2:$C$1369,0)),"",INDEX('Compliance Database'!$G$2:$G$1369,MATCH(1134,'Transfer Engine'!$C$2:$C$1369,0)))</f>
        <v/>
      </c>
      <c r="H1143" s="9">
        <f>IF(ISNA(MATCH(1134,'Transfer Engine'!$C$2:$C$1369,0)),"",INDEX('Compliance Database'!$H$2:$H$1369,MATCH(1134,'Transfer Engine'!$C$2:$C$1369,0)))</f>
        <v/>
      </c>
      <c r="I1143" s="9">
        <f>IF(ISNA(MATCH(1134,'Transfer Engine'!$C$2:$C$1369,0)),"",INDEX('Compliance Database'!$I$2:$I$1369,MATCH(1134,'Transfer Engine'!$C$2:$C$1369,0)))</f>
        <v/>
      </c>
      <c r="J1143" s="8">
        <f>IF(ISNA(MATCH(1134,'Transfer Engine'!$C$2:$C$1369,0)),"",INDEX('Compliance Database'!$J$2:$J$1369,MATCH(1134,'Transfer Engine'!$C$2:$C$1369,0)))</f>
        <v/>
      </c>
      <c r="K1143" s="9">
        <f>IF(ISNA(MATCH(1134,'Transfer Engine'!$C$2:$C$1369,0)),"",INDEX('Compliance Database'!$K$2:$K$1369,MATCH(1134,'Transfer Engine'!$C$2:$C$1369,0)))</f>
        <v/>
      </c>
      <c r="L1143" s="9">
        <f>IF(ISNA(MATCH(1134,'Transfer Engine'!$C$2:$C$1369,0)),"",INDEX('Compliance Database'!$L$2:$L$1369,MATCH(1134,'Transfer Engine'!$C$2:$C$1369,0)))</f>
        <v/>
      </c>
      <c r="M1143" s="9">
        <f>IF(ISNA(MATCH(1134,'Transfer Engine'!$C$2:$C$1369,0)),"",INDEX('Compliance Database'!$M$2:$M$1369,MATCH(1134,'Transfer Engine'!$C$2:$C$1369,0)))</f>
        <v/>
      </c>
      <c r="N1143" s="9">
        <f>IF(ISNA(MATCH(1134,'Transfer Engine'!$C$2:$C$1369,0)),"",INDEX('Compliance Database'!$N$2:$N$1369,MATCH(1134,'Transfer Engine'!$C$2:$C$1369,0)))</f>
        <v/>
      </c>
      <c r="O1143" s="8">
        <f>IF(ISNA(MATCH(1134,'Transfer Engine'!$C$2:$C$1369,0)),"",HYPERLINK(INDEX('Compliance Database'!$O$2:$O$1369,MATCH(1134,'Transfer Engine'!$C$2:$C$1369,0)),"Open PDF"))</f>
        <v/>
      </c>
    </row>
    <row r="1144" ht="188" customHeight="1">
      <c r="A1144" s="8">
        <f>IF(ISNA(MATCH(1135,'Transfer Engine'!$C$2:$C$1369,0)),"",INDEX('Compliance Database'!$A$2:$A$1369,MATCH(1135,'Transfer Engine'!$C$2:$C$1369,0)))</f>
        <v/>
      </c>
      <c r="B1144" s="8">
        <f>IF(ISNA(MATCH(1135,'Transfer Engine'!$C$2:$C$1369,0)),"",INDEX('Compliance Database'!$B$2:$B$1369,MATCH(1135,'Transfer Engine'!$C$2:$C$1369,0)))</f>
        <v/>
      </c>
      <c r="C1144" s="8">
        <f>IF(ISNA(MATCH(1135,'Transfer Engine'!$C$2:$C$1369,0)),"",INDEX('Compliance Database'!$C$2:$C$1369,MATCH(1135,'Transfer Engine'!$C$2:$C$1369,0)))</f>
        <v/>
      </c>
      <c r="D1144" s="9">
        <f>IF(ISNA(MATCH(1135,'Transfer Engine'!$C$2:$C$1369,0)),"",INDEX('Compliance Database'!$D$2:$D$1369,MATCH(1135,'Transfer Engine'!$C$2:$C$1369,0)))</f>
        <v/>
      </c>
      <c r="E1144" s="8">
        <f>IF(ISNA(MATCH(1135,'Transfer Engine'!$C$2:$C$1369,0)),"",INDEX('Compliance Database'!$E$2:$E$1369,MATCH(1135,'Transfer Engine'!$C$2:$C$1369,0)))</f>
        <v/>
      </c>
      <c r="F1144" s="8">
        <f>IF(ISNA(MATCH(1135,'Transfer Engine'!$C$2:$C$1369,0)),"",INDEX('Compliance Database'!$F$2:$F$1369,MATCH(1135,'Transfer Engine'!$C$2:$C$1369,0)))</f>
        <v/>
      </c>
      <c r="G1144" s="8">
        <f>IF(ISNA(MATCH(1135,'Transfer Engine'!$C$2:$C$1369,0)),"",INDEX('Compliance Database'!$G$2:$G$1369,MATCH(1135,'Transfer Engine'!$C$2:$C$1369,0)))</f>
        <v/>
      </c>
      <c r="H1144" s="9">
        <f>IF(ISNA(MATCH(1135,'Transfer Engine'!$C$2:$C$1369,0)),"",INDEX('Compliance Database'!$H$2:$H$1369,MATCH(1135,'Transfer Engine'!$C$2:$C$1369,0)))</f>
        <v/>
      </c>
      <c r="I1144" s="9">
        <f>IF(ISNA(MATCH(1135,'Transfer Engine'!$C$2:$C$1369,0)),"",INDEX('Compliance Database'!$I$2:$I$1369,MATCH(1135,'Transfer Engine'!$C$2:$C$1369,0)))</f>
        <v/>
      </c>
      <c r="J1144" s="8">
        <f>IF(ISNA(MATCH(1135,'Transfer Engine'!$C$2:$C$1369,0)),"",INDEX('Compliance Database'!$J$2:$J$1369,MATCH(1135,'Transfer Engine'!$C$2:$C$1369,0)))</f>
        <v/>
      </c>
      <c r="K1144" s="9">
        <f>IF(ISNA(MATCH(1135,'Transfer Engine'!$C$2:$C$1369,0)),"",INDEX('Compliance Database'!$K$2:$K$1369,MATCH(1135,'Transfer Engine'!$C$2:$C$1369,0)))</f>
        <v/>
      </c>
      <c r="L1144" s="9">
        <f>IF(ISNA(MATCH(1135,'Transfer Engine'!$C$2:$C$1369,0)),"",INDEX('Compliance Database'!$L$2:$L$1369,MATCH(1135,'Transfer Engine'!$C$2:$C$1369,0)))</f>
        <v/>
      </c>
      <c r="M1144" s="9">
        <f>IF(ISNA(MATCH(1135,'Transfer Engine'!$C$2:$C$1369,0)),"",INDEX('Compliance Database'!$M$2:$M$1369,MATCH(1135,'Transfer Engine'!$C$2:$C$1369,0)))</f>
        <v/>
      </c>
      <c r="N1144" s="9">
        <f>IF(ISNA(MATCH(1135,'Transfer Engine'!$C$2:$C$1369,0)),"",INDEX('Compliance Database'!$N$2:$N$1369,MATCH(1135,'Transfer Engine'!$C$2:$C$1369,0)))</f>
        <v/>
      </c>
      <c r="O1144" s="8">
        <f>IF(ISNA(MATCH(1135,'Transfer Engine'!$C$2:$C$1369,0)),"",HYPERLINK(INDEX('Compliance Database'!$O$2:$O$1369,MATCH(1135,'Transfer Engine'!$C$2:$C$1369,0)),"Open PDF"))</f>
        <v/>
      </c>
    </row>
    <row r="1145" ht="188" customHeight="1">
      <c r="A1145" s="8">
        <f>IF(ISNA(MATCH(1136,'Transfer Engine'!$C$2:$C$1369,0)),"",INDEX('Compliance Database'!$A$2:$A$1369,MATCH(1136,'Transfer Engine'!$C$2:$C$1369,0)))</f>
        <v/>
      </c>
      <c r="B1145" s="8">
        <f>IF(ISNA(MATCH(1136,'Transfer Engine'!$C$2:$C$1369,0)),"",INDEX('Compliance Database'!$B$2:$B$1369,MATCH(1136,'Transfer Engine'!$C$2:$C$1369,0)))</f>
        <v/>
      </c>
      <c r="C1145" s="8">
        <f>IF(ISNA(MATCH(1136,'Transfer Engine'!$C$2:$C$1369,0)),"",INDEX('Compliance Database'!$C$2:$C$1369,MATCH(1136,'Transfer Engine'!$C$2:$C$1369,0)))</f>
        <v/>
      </c>
      <c r="D1145" s="9">
        <f>IF(ISNA(MATCH(1136,'Transfer Engine'!$C$2:$C$1369,0)),"",INDEX('Compliance Database'!$D$2:$D$1369,MATCH(1136,'Transfer Engine'!$C$2:$C$1369,0)))</f>
        <v/>
      </c>
      <c r="E1145" s="8">
        <f>IF(ISNA(MATCH(1136,'Transfer Engine'!$C$2:$C$1369,0)),"",INDEX('Compliance Database'!$E$2:$E$1369,MATCH(1136,'Transfer Engine'!$C$2:$C$1369,0)))</f>
        <v/>
      </c>
      <c r="F1145" s="8">
        <f>IF(ISNA(MATCH(1136,'Transfer Engine'!$C$2:$C$1369,0)),"",INDEX('Compliance Database'!$F$2:$F$1369,MATCH(1136,'Transfer Engine'!$C$2:$C$1369,0)))</f>
        <v/>
      </c>
      <c r="G1145" s="8">
        <f>IF(ISNA(MATCH(1136,'Transfer Engine'!$C$2:$C$1369,0)),"",INDEX('Compliance Database'!$G$2:$G$1369,MATCH(1136,'Transfer Engine'!$C$2:$C$1369,0)))</f>
        <v/>
      </c>
      <c r="H1145" s="9">
        <f>IF(ISNA(MATCH(1136,'Transfer Engine'!$C$2:$C$1369,0)),"",INDEX('Compliance Database'!$H$2:$H$1369,MATCH(1136,'Transfer Engine'!$C$2:$C$1369,0)))</f>
        <v/>
      </c>
      <c r="I1145" s="9">
        <f>IF(ISNA(MATCH(1136,'Transfer Engine'!$C$2:$C$1369,0)),"",INDEX('Compliance Database'!$I$2:$I$1369,MATCH(1136,'Transfer Engine'!$C$2:$C$1369,0)))</f>
        <v/>
      </c>
      <c r="J1145" s="8">
        <f>IF(ISNA(MATCH(1136,'Transfer Engine'!$C$2:$C$1369,0)),"",INDEX('Compliance Database'!$J$2:$J$1369,MATCH(1136,'Transfer Engine'!$C$2:$C$1369,0)))</f>
        <v/>
      </c>
      <c r="K1145" s="9">
        <f>IF(ISNA(MATCH(1136,'Transfer Engine'!$C$2:$C$1369,0)),"",INDEX('Compliance Database'!$K$2:$K$1369,MATCH(1136,'Transfer Engine'!$C$2:$C$1369,0)))</f>
        <v/>
      </c>
      <c r="L1145" s="9">
        <f>IF(ISNA(MATCH(1136,'Transfer Engine'!$C$2:$C$1369,0)),"",INDEX('Compliance Database'!$L$2:$L$1369,MATCH(1136,'Transfer Engine'!$C$2:$C$1369,0)))</f>
        <v/>
      </c>
      <c r="M1145" s="9">
        <f>IF(ISNA(MATCH(1136,'Transfer Engine'!$C$2:$C$1369,0)),"",INDEX('Compliance Database'!$M$2:$M$1369,MATCH(1136,'Transfer Engine'!$C$2:$C$1369,0)))</f>
        <v/>
      </c>
      <c r="N1145" s="9">
        <f>IF(ISNA(MATCH(1136,'Transfer Engine'!$C$2:$C$1369,0)),"",INDEX('Compliance Database'!$N$2:$N$1369,MATCH(1136,'Transfer Engine'!$C$2:$C$1369,0)))</f>
        <v/>
      </c>
      <c r="O1145" s="8">
        <f>IF(ISNA(MATCH(1136,'Transfer Engine'!$C$2:$C$1369,0)),"",HYPERLINK(INDEX('Compliance Database'!$O$2:$O$1369,MATCH(1136,'Transfer Engine'!$C$2:$C$1369,0)),"Open PDF"))</f>
        <v/>
      </c>
    </row>
    <row r="1146" ht="188" customHeight="1">
      <c r="A1146" s="8">
        <f>IF(ISNA(MATCH(1137,'Transfer Engine'!$C$2:$C$1369,0)),"",INDEX('Compliance Database'!$A$2:$A$1369,MATCH(1137,'Transfer Engine'!$C$2:$C$1369,0)))</f>
        <v/>
      </c>
      <c r="B1146" s="8">
        <f>IF(ISNA(MATCH(1137,'Transfer Engine'!$C$2:$C$1369,0)),"",INDEX('Compliance Database'!$B$2:$B$1369,MATCH(1137,'Transfer Engine'!$C$2:$C$1369,0)))</f>
        <v/>
      </c>
      <c r="C1146" s="8">
        <f>IF(ISNA(MATCH(1137,'Transfer Engine'!$C$2:$C$1369,0)),"",INDEX('Compliance Database'!$C$2:$C$1369,MATCH(1137,'Transfer Engine'!$C$2:$C$1369,0)))</f>
        <v/>
      </c>
      <c r="D1146" s="9">
        <f>IF(ISNA(MATCH(1137,'Transfer Engine'!$C$2:$C$1369,0)),"",INDEX('Compliance Database'!$D$2:$D$1369,MATCH(1137,'Transfer Engine'!$C$2:$C$1369,0)))</f>
        <v/>
      </c>
      <c r="E1146" s="8">
        <f>IF(ISNA(MATCH(1137,'Transfer Engine'!$C$2:$C$1369,0)),"",INDEX('Compliance Database'!$E$2:$E$1369,MATCH(1137,'Transfer Engine'!$C$2:$C$1369,0)))</f>
        <v/>
      </c>
      <c r="F1146" s="8">
        <f>IF(ISNA(MATCH(1137,'Transfer Engine'!$C$2:$C$1369,0)),"",INDEX('Compliance Database'!$F$2:$F$1369,MATCH(1137,'Transfer Engine'!$C$2:$C$1369,0)))</f>
        <v/>
      </c>
      <c r="G1146" s="8">
        <f>IF(ISNA(MATCH(1137,'Transfer Engine'!$C$2:$C$1369,0)),"",INDEX('Compliance Database'!$G$2:$G$1369,MATCH(1137,'Transfer Engine'!$C$2:$C$1369,0)))</f>
        <v/>
      </c>
      <c r="H1146" s="9">
        <f>IF(ISNA(MATCH(1137,'Transfer Engine'!$C$2:$C$1369,0)),"",INDEX('Compliance Database'!$H$2:$H$1369,MATCH(1137,'Transfer Engine'!$C$2:$C$1369,0)))</f>
        <v/>
      </c>
      <c r="I1146" s="9">
        <f>IF(ISNA(MATCH(1137,'Transfer Engine'!$C$2:$C$1369,0)),"",INDEX('Compliance Database'!$I$2:$I$1369,MATCH(1137,'Transfer Engine'!$C$2:$C$1369,0)))</f>
        <v/>
      </c>
      <c r="J1146" s="8">
        <f>IF(ISNA(MATCH(1137,'Transfer Engine'!$C$2:$C$1369,0)),"",INDEX('Compliance Database'!$J$2:$J$1369,MATCH(1137,'Transfer Engine'!$C$2:$C$1369,0)))</f>
        <v/>
      </c>
      <c r="K1146" s="9">
        <f>IF(ISNA(MATCH(1137,'Transfer Engine'!$C$2:$C$1369,0)),"",INDEX('Compliance Database'!$K$2:$K$1369,MATCH(1137,'Transfer Engine'!$C$2:$C$1369,0)))</f>
        <v/>
      </c>
      <c r="L1146" s="9">
        <f>IF(ISNA(MATCH(1137,'Transfer Engine'!$C$2:$C$1369,0)),"",INDEX('Compliance Database'!$L$2:$L$1369,MATCH(1137,'Transfer Engine'!$C$2:$C$1369,0)))</f>
        <v/>
      </c>
      <c r="M1146" s="9">
        <f>IF(ISNA(MATCH(1137,'Transfer Engine'!$C$2:$C$1369,0)),"",INDEX('Compliance Database'!$M$2:$M$1369,MATCH(1137,'Transfer Engine'!$C$2:$C$1369,0)))</f>
        <v/>
      </c>
      <c r="N1146" s="9">
        <f>IF(ISNA(MATCH(1137,'Transfer Engine'!$C$2:$C$1369,0)),"",INDEX('Compliance Database'!$N$2:$N$1369,MATCH(1137,'Transfer Engine'!$C$2:$C$1369,0)))</f>
        <v/>
      </c>
      <c r="O1146" s="8">
        <f>IF(ISNA(MATCH(1137,'Transfer Engine'!$C$2:$C$1369,0)),"",HYPERLINK(INDEX('Compliance Database'!$O$2:$O$1369,MATCH(1137,'Transfer Engine'!$C$2:$C$1369,0)),"Open PDF"))</f>
        <v/>
      </c>
    </row>
    <row r="1147" ht="188" customHeight="1">
      <c r="A1147" s="8">
        <f>IF(ISNA(MATCH(1138,'Transfer Engine'!$C$2:$C$1369,0)),"",INDEX('Compliance Database'!$A$2:$A$1369,MATCH(1138,'Transfer Engine'!$C$2:$C$1369,0)))</f>
        <v/>
      </c>
      <c r="B1147" s="8">
        <f>IF(ISNA(MATCH(1138,'Transfer Engine'!$C$2:$C$1369,0)),"",INDEX('Compliance Database'!$B$2:$B$1369,MATCH(1138,'Transfer Engine'!$C$2:$C$1369,0)))</f>
        <v/>
      </c>
      <c r="C1147" s="8">
        <f>IF(ISNA(MATCH(1138,'Transfer Engine'!$C$2:$C$1369,0)),"",INDEX('Compliance Database'!$C$2:$C$1369,MATCH(1138,'Transfer Engine'!$C$2:$C$1369,0)))</f>
        <v/>
      </c>
      <c r="D1147" s="9">
        <f>IF(ISNA(MATCH(1138,'Transfer Engine'!$C$2:$C$1369,0)),"",INDEX('Compliance Database'!$D$2:$D$1369,MATCH(1138,'Transfer Engine'!$C$2:$C$1369,0)))</f>
        <v/>
      </c>
      <c r="E1147" s="8">
        <f>IF(ISNA(MATCH(1138,'Transfer Engine'!$C$2:$C$1369,0)),"",INDEX('Compliance Database'!$E$2:$E$1369,MATCH(1138,'Transfer Engine'!$C$2:$C$1369,0)))</f>
        <v/>
      </c>
      <c r="F1147" s="8">
        <f>IF(ISNA(MATCH(1138,'Transfer Engine'!$C$2:$C$1369,0)),"",INDEX('Compliance Database'!$F$2:$F$1369,MATCH(1138,'Transfer Engine'!$C$2:$C$1369,0)))</f>
        <v/>
      </c>
      <c r="G1147" s="8">
        <f>IF(ISNA(MATCH(1138,'Transfer Engine'!$C$2:$C$1369,0)),"",INDEX('Compliance Database'!$G$2:$G$1369,MATCH(1138,'Transfer Engine'!$C$2:$C$1369,0)))</f>
        <v/>
      </c>
      <c r="H1147" s="9">
        <f>IF(ISNA(MATCH(1138,'Transfer Engine'!$C$2:$C$1369,0)),"",INDEX('Compliance Database'!$H$2:$H$1369,MATCH(1138,'Transfer Engine'!$C$2:$C$1369,0)))</f>
        <v/>
      </c>
      <c r="I1147" s="9">
        <f>IF(ISNA(MATCH(1138,'Transfer Engine'!$C$2:$C$1369,0)),"",INDEX('Compliance Database'!$I$2:$I$1369,MATCH(1138,'Transfer Engine'!$C$2:$C$1369,0)))</f>
        <v/>
      </c>
      <c r="J1147" s="8">
        <f>IF(ISNA(MATCH(1138,'Transfer Engine'!$C$2:$C$1369,0)),"",INDEX('Compliance Database'!$J$2:$J$1369,MATCH(1138,'Transfer Engine'!$C$2:$C$1369,0)))</f>
        <v/>
      </c>
      <c r="K1147" s="9">
        <f>IF(ISNA(MATCH(1138,'Transfer Engine'!$C$2:$C$1369,0)),"",INDEX('Compliance Database'!$K$2:$K$1369,MATCH(1138,'Transfer Engine'!$C$2:$C$1369,0)))</f>
        <v/>
      </c>
      <c r="L1147" s="9">
        <f>IF(ISNA(MATCH(1138,'Transfer Engine'!$C$2:$C$1369,0)),"",INDEX('Compliance Database'!$L$2:$L$1369,MATCH(1138,'Transfer Engine'!$C$2:$C$1369,0)))</f>
        <v/>
      </c>
      <c r="M1147" s="9">
        <f>IF(ISNA(MATCH(1138,'Transfer Engine'!$C$2:$C$1369,0)),"",INDEX('Compliance Database'!$M$2:$M$1369,MATCH(1138,'Transfer Engine'!$C$2:$C$1369,0)))</f>
        <v/>
      </c>
      <c r="N1147" s="9">
        <f>IF(ISNA(MATCH(1138,'Transfer Engine'!$C$2:$C$1369,0)),"",INDEX('Compliance Database'!$N$2:$N$1369,MATCH(1138,'Transfer Engine'!$C$2:$C$1369,0)))</f>
        <v/>
      </c>
      <c r="O1147" s="8">
        <f>IF(ISNA(MATCH(1138,'Transfer Engine'!$C$2:$C$1369,0)),"",HYPERLINK(INDEX('Compliance Database'!$O$2:$O$1369,MATCH(1138,'Transfer Engine'!$C$2:$C$1369,0)),"Open PDF"))</f>
        <v/>
      </c>
    </row>
    <row r="1148" ht="188" customHeight="1">
      <c r="A1148" s="8">
        <f>IF(ISNA(MATCH(1139,'Transfer Engine'!$C$2:$C$1369,0)),"",INDEX('Compliance Database'!$A$2:$A$1369,MATCH(1139,'Transfer Engine'!$C$2:$C$1369,0)))</f>
        <v/>
      </c>
      <c r="B1148" s="8">
        <f>IF(ISNA(MATCH(1139,'Transfer Engine'!$C$2:$C$1369,0)),"",INDEX('Compliance Database'!$B$2:$B$1369,MATCH(1139,'Transfer Engine'!$C$2:$C$1369,0)))</f>
        <v/>
      </c>
      <c r="C1148" s="8">
        <f>IF(ISNA(MATCH(1139,'Transfer Engine'!$C$2:$C$1369,0)),"",INDEX('Compliance Database'!$C$2:$C$1369,MATCH(1139,'Transfer Engine'!$C$2:$C$1369,0)))</f>
        <v/>
      </c>
      <c r="D1148" s="9">
        <f>IF(ISNA(MATCH(1139,'Transfer Engine'!$C$2:$C$1369,0)),"",INDEX('Compliance Database'!$D$2:$D$1369,MATCH(1139,'Transfer Engine'!$C$2:$C$1369,0)))</f>
        <v/>
      </c>
      <c r="E1148" s="8">
        <f>IF(ISNA(MATCH(1139,'Transfer Engine'!$C$2:$C$1369,0)),"",INDEX('Compliance Database'!$E$2:$E$1369,MATCH(1139,'Transfer Engine'!$C$2:$C$1369,0)))</f>
        <v/>
      </c>
      <c r="F1148" s="8">
        <f>IF(ISNA(MATCH(1139,'Transfer Engine'!$C$2:$C$1369,0)),"",INDEX('Compliance Database'!$F$2:$F$1369,MATCH(1139,'Transfer Engine'!$C$2:$C$1369,0)))</f>
        <v/>
      </c>
      <c r="G1148" s="8">
        <f>IF(ISNA(MATCH(1139,'Transfer Engine'!$C$2:$C$1369,0)),"",INDEX('Compliance Database'!$G$2:$G$1369,MATCH(1139,'Transfer Engine'!$C$2:$C$1369,0)))</f>
        <v/>
      </c>
      <c r="H1148" s="9">
        <f>IF(ISNA(MATCH(1139,'Transfer Engine'!$C$2:$C$1369,0)),"",INDEX('Compliance Database'!$H$2:$H$1369,MATCH(1139,'Transfer Engine'!$C$2:$C$1369,0)))</f>
        <v/>
      </c>
      <c r="I1148" s="9">
        <f>IF(ISNA(MATCH(1139,'Transfer Engine'!$C$2:$C$1369,0)),"",INDEX('Compliance Database'!$I$2:$I$1369,MATCH(1139,'Transfer Engine'!$C$2:$C$1369,0)))</f>
        <v/>
      </c>
      <c r="J1148" s="8">
        <f>IF(ISNA(MATCH(1139,'Transfer Engine'!$C$2:$C$1369,0)),"",INDEX('Compliance Database'!$J$2:$J$1369,MATCH(1139,'Transfer Engine'!$C$2:$C$1369,0)))</f>
        <v/>
      </c>
      <c r="K1148" s="9">
        <f>IF(ISNA(MATCH(1139,'Transfer Engine'!$C$2:$C$1369,0)),"",INDEX('Compliance Database'!$K$2:$K$1369,MATCH(1139,'Transfer Engine'!$C$2:$C$1369,0)))</f>
        <v/>
      </c>
      <c r="L1148" s="9">
        <f>IF(ISNA(MATCH(1139,'Transfer Engine'!$C$2:$C$1369,0)),"",INDEX('Compliance Database'!$L$2:$L$1369,MATCH(1139,'Transfer Engine'!$C$2:$C$1369,0)))</f>
        <v/>
      </c>
      <c r="M1148" s="9">
        <f>IF(ISNA(MATCH(1139,'Transfer Engine'!$C$2:$C$1369,0)),"",INDEX('Compliance Database'!$M$2:$M$1369,MATCH(1139,'Transfer Engine'!$C$2:$C$1369,0)))</f>
        <v/>
      </c>
      <c r="N1148" s="9">
        <f>IF(ISNA(MATCH(1139,'Transfer Engine'!$C$2:$C$1369,0)),"",INDEX('Compliance Database'!$N$2:$N$1369,MATCH(1139,'Transfer Engine'!$C$2:$C$1369,0)))</f>
        <v/>
      </c>
      <c r="O1148" s="8">
        <f>IF(ISNA(MATCH(1139,'Transfer Engine'!$C$2:$C$1369,0)),"",HYPERLINK(INDEX('Compliance Database'!$O$2:$O$1369,MATCH(1139,'Transfer Engine'!$C$2:$C$1369,0)),"Open PDF"))</f>
        <v/>
      </c>
    </row>
    <row r="1149" ht="188" customHeight="1">
      <c r="A1149" s="8">
        <f>IF(ISNA(MATCH(1140,'Transfer Engine'!$C$2:$C$1369,0)),"",INDEX('Compliance Database'!$A$2:$A$1369,MATCH(1140,'Transfer Engine'!$C$2:$C$1369,0)))</f>
        <v/>
      </c>
      <c r="B1149" s="8">
        <f>IF(ISNA(MATCH(1140,'Transfer Engine'!$C$2:$C$1369,0)),"",INDEX('Compliance Database'!$B$2:$B$1369,MATCH(1140,'Transfer Engine'!$C$2:$C$1369,0)))</f>
        <v/>
      </c>
      <c r="C1149" s="8">
        <f>IF(ISNA(MATCH(1140,'Transfer Engine'!$C$2:$C$1369,0)),"",INDEX('Compliance Database'!$C$2:$C$1369,MATCH(1140,'Transfer Engine'!$C$2:$C$1369,0)))</f>
        <v/>
      </c>
      <c r="D1149" s="9">
        <f>IF(ISNA(MATCH(1140,'Transfer Engine'!$C$2:$C$1369,0)),"",INDEX('Compliance Database'!$D$2:$D$1369,MATCH(1140,'Transfer Engine'!$C$2:$C$1369,0)))</f>
        <v/>
      </c>
      <c r="E1149" s="8">
        <f>IF(ISNA(MATCH(1140,'Transfer Engine'!$C$2:$C$1369,0)),"",INDEX('Compliance Database'!$E$2:$E$1369,MATCH(1140,'Transfer Engine'!$C$2:$C$1369,0)))</f>
        <v/>
      </c>
      <c r="F1149" s="8">
        <f>IF(ISNA(MATCH(1140,'Transfer Engine'!$C$2:$C$1369,0)),"",INDEX('Compliance Database'!$F$2:$F$1369,MATCH(1140,'Transfer Engine'!$C$2:$C$1369,0)))</f>
        <v/>
      </c>
      <c r="G1149" s="8">
        <f>IF(ISNA(MATCH(1140,'Transfer Engine'!$C$2:$C$1369,0)),"",INDEX('Compliance Database'!$G$2:$G$1369,MATCH(1140,'Transfer Engine'!$C$2:$C$1369,0)))</f>
        <v/>
      </c>
      <c r="H1149" s="9">
        <f>IF(ISNA(MATCH(1140,'Transfer Engine'!$C$2:$C$1369,0)),"",INDEX('Compliance Database'!$H$2:$H$1369,MATCH(1140,'Transfer Engine'!$C$2:$C$1369,0)))</f>
        <v/>
      </c>
      <c r="I1149" s="9">
        <f>IF(ISNA(MATCH(1140,'Transfer Engine'!$C$2:$C$1369,0)),"",INDEX('Compliance Database'!$I$2:$I$1369,MATCH(1140,'Transfer Engine'!$C$2:$C$1369,0)))</f>
        <v/>
      </c>
      <c r="J1149" s="8">
        <f>IF(ISNA(MATCH(1140,'Transfer Engine'!$C$2:$C$1369,0)),"",INDEX('Compliance Database'!$J$2:$J$1369,MATCH(1140,'Transfer Engine'!$C$2:$C$1369,0)))</f>
        <v/>
      </c>
      <c r="K1149" s="9">
        <f>IF(ISNA(MATCH(1140,'Transfer Engine'!$C$2:$C$1369,0)),"",INDEX('Compliance Database'!$K$2:$K$1369,MATCH(1140,'Transfer Engine'!$C$2:$C$1369,0)))</f>
        <v/>
      </c>
      <c r="L1149" s="9">
        <f>IF(ISNA(MATCH(1140,'Transfer Engine'!$C$2:$C$1369,0)),"",INDEX('Compliance Database'!$L$2:$L$1369,MATCH(1140,'Transfer Engine'!$C$2:$C$1369,0)))</f>
        <v/>
      </c>
      <c r="M1149" s="9">
        <f>IF(ISNA(MATCH(1140,'Transfer Engine'!$C$2:$C$1369,0)),"",INDEX('Compliance Database'!$M$2:$M$1369,MATCH(1140,'Transfer Engine'!$C$2:$C$1369,0)))</f>
        <v/>
      </c>
      <c r="N1149" s="9">
        <f>IF(ISNA(MATCH(1140,'Transfer Engine'!$C$2:$C$1369,0)),"",INDEX('Compliance Database'!$N$2:$N$1369,MATCH(1140,'Transfer Engine'!$C$2:$C$1369,0)))</f>
        <v/>
      </c>
      <c r="O1149" s="8">
        <f>IF(ISNA(MATCH(1140,'Transfer Engine'!$C$2:$C$1369,0)),"",HYPERLINK(INDEX('Compliance Database'!$O$2:$O$1369,MATCH(1140,'Transfer Engine'!$C$2:$C$1369,0)),"Open PDF"))</f>
        <v/>
      </c>
    </row>
    <row r="1150" ht="188" customHeight="1">
      <c r="A1150" s="8">
        <f>IF(ISNA(MATCH(1141,'Transfer Engine'!$C$2:$C$1369,0)),"",INDEX('Compliance Database'!$A$2:$A$1369,MATCH(1141,'Transfer Engine'!$C$2:$C$1369,0)))</f>
        <v/>
      </c>
      <c r="B1150" s="8">
        <f>IF(ISNA(MATCH(1141,'Transfer Engine'!$C$2:$C$1369,0)),"",INDEX('Compliance Database'!$B$2:$B$1369,MATCH(1141,'Transfer Engine'!$C$2:$C$1369,0)))</f>
        <v/>
      </c>
      <c r="C1150" s="8">
        <f>IF(ISNA(MATCH(1141,'Transfer Engine'!$C$2:$C$1369,0)),"",INDEX('Compliance Database'!$C$2:$C$1369,MATCH(1141,'Transfer Engine'!$C$2:$C$1369,0)))</f>
        <v/>
      </c>
      <c r="D1150" s="9">
        <f>IF(ISNA(MATCH(1141,'Transfer Engine'!$C$2:$C$1369,0)),"",INDEX('Compliance Database'!$D$2:$D$1369,MATCH(1141,'Transfer Engine'!$C$2:$C$1369,0)))</f>
        <v/>
      </c>
      <c r="E1150" s="8">
        <f>IF(ISNA(MATCH(1141,'Transfer Engine'!$C$2:$C$1369,0)),"",INDEX('Compliance Database'!$E$2:$E$1369,MATCH(1141,'Transfer Engine'!$C$2:$C$1369,0)))</f>
        <v/>
      </c>
      <c r="F1150" s="8">
        <f>IF(ISNA(MATCH(1141,'Transfer Engine'!$C$2:$C$1369,0)),"",INDEX('Compliance Database'!$F$2:$F$1369,MATCH(1141,'Transfer Engine'!$C$2:$C$1369,0)))</f>
        <v/>
      </c>
      <c r="G1150" s="8">
        <f>IF(ISNA(MATCH(1141,'Transfer Engine'!$C$2:$C$1369,0)),"",INDEX('Compliance Database'!$G$2:$G$1369,MATCH(1141,'Transfer Engine'!$C$2:$C$1369,0)))</f>
        <v/>
      </c>
      <c r="H1150" s="9">
        <f>IF(ISNA(MATCH(1141,'Transfer Engine'!$C$2:$C$1369,0)),"",INDEX('Compliance Database'!$H$2:$H$1369,MATCH(1141,'Transfer Engine'!$C$2:$C$1369,0)))</f>
        <v/>
      </c>
      <c r="I1150" s="9">
        <f>IF(ISNA(MATCH(1141,'Transfer Engine'!$C$2:$C$1369,0)),"",INDEX('Compliance Database'!$I$2:$I$1369,MATCH(1141,'Transfer Engine'!$C$2:$C$1369,0)))</f>
        <v/>
      </c>
      <c r="J1150" s="8">
        <f>IF(ISNA(MATCH(1141,'Transfer Engine'!$C$2:$C$1369,0)),"",INDEX('Compliance Database'!$J$2:$J$1369,MATCH(1141,'Transfer Engine'!$C$2:$C$1369,0)))</f>
        <v/>
      </c>
      <c r="K1150" s="9">
        <f>IF(ISNA(MATCH(1141,'Transfer Engine'!$C$2:$C$1369,0)),"",INDEX('Compliance Database'!$K$2:$K$1369,MATCH(1141,'Transfer Engine'!$C$2:$C$1369,0)))</f>
        <v/>
      </c>
      <c r="L1150" s="9">
        <f>IF(ISNA(MATCH(1141,'Transfer Engine'!$C$2:$C$1369,0)),"",INDEX('Compliance Database'!$L$2:$L$1369,MATCH(1141,'Transfer Engine'!$C$2:$C$1369,0)))</f>
        <v/>
      </c>
      <c r="M1150" s="9">
        <f>IF(ISNA(MATCH(1141,'Transfer Engine'!$C$2:$C$1369,0)),"",INDEX('Compliance Database'!$M$2:$M$1369,MATCH(1141,'Transfer Engine'!$C$2:$C$1369,0)))</f>
        <v/>
      </c>
      <c r="N1150" s="9">
        <f>IF(ISNA(MATCH(1141,'Transfer Engine'!$C$2:$C$1369,0)),"",INDEX('Compliance Database'!$N$2:$N$1369,MATCH(1141,'Transfer Engine'!$C$2:$C$1369,0)))</f>
        <v/>
      </c>
      <c r="O1150" s="8">
        <f>IF(ISNA(MATCH(1141,'Transfer Engine'!$C$2:$C$1369,0)),"",HYPERLINK(INDEX('Compliance Database'!$O$2:$O$1369,MATCH(1141,'Transfer Engine'!$C$2:$C$1369,0)),"Open PDF"))</f>
        <v/>
      </c>
    </row>
    <row r="1151" ht="188" customHeight="1">
      <c r="A1151" s="8">
        <f>IF(ISNA(MATCH(1142,'Transfer Engine'!$C$2:$C$1369,0)),"",INDEX('Compliance Database'!$A$2:$A$1369,MATCH(1142,'Transfer Engine'!$C$2:$C$1369,0)))</f>
        <v/>
      </c>
      <c r="B1151" s="8">
        <f>IF(ISNA(MATCH(1142,'Transfer Engine'!$C$2:$C$1369,0)),"",INDEX('Compliance Database'!$B$2:$B$1369,MATCH(1142,'Transfer Engine'!$C$2:$C$1369,0)))</f>
        <v/>
      </c>
      <c r="C1151" s="8">
        <f>IF(ISNA(MATCH(1142,'Transfer Engine'!$C$2:$C$1369,0)),"",INDEX('Compliance Database'!$C$2:$C$1369,MATCH(1142,'Transfer Engine'!$C$2:$C$1369,0)))</f>
        <v/>
      </c>
      <c r="D1151" s="9">
        <f>IF(ISNA(MATCH(1142,'Transfer Engine'!$C$2:$C$1369,0)),"",INDEX('Compliance Database'!$D$2:$D$1369,MATCH(1142,'Transfer Engine'!$C$2:$C$1369,0)))</f>
        <v/>
      </c>
      <c r="E1151" s="8">
        <f>IF(ISNA(MATCH(1142,'Transfer Engine'!$C$2:$C$1369,0)),"",INDEX('Compliance Database'!$E$2:$E$1369,MATCH(1142,'Transfer Engine'!$C$2:$C$1369,0)))</f>
        <v/>
      </c>
      <c r="F1151" s="8">
        <f>IF(ISNA(MATCH(1142,'Transfer Engine'!$C$2:$C$1369,0)),"",INDEX('Compliance Database'!$F$2:$F$1369,MATCH(1142,'Transfer Engine'!$C$2:$C$1369,0)))</f>
        <v/>
      </c>
      <c r="G1151" s="8">
        <f>IF(ISNA(MATCH(1142,'Transfer Engine'!$C$2:$C$1369,0)),"",INDEX('Compliance Database'!$G$2:$G$1369,MATCH(1142,'Transfer Engine'!$C$2:$C$1369,0)))</f>
        <v/>
      </c>
      <c r="H1151" s="9">
        <f>IF(ISNA(MATCH(1142,'Transfer Engine'!$C$2:$C$1369,0)),"",INDEX('Compliance Database'!$H$2:$H$1369,MATCH(1142,'Transfer Engine'!$C$2:$C$1369,0)))</f>
        <v/>
      </c>
      <c r="I1151" s="9">
        <f>IF(ISNA(MATCH(1142,'Transfer Engine'!$C$2:$C$1369,0)),"",INDEX('Compliance Database'!$I$2:$I$1369,MATCH(1142,'Transfer Engine'!$C$2:$C$1369,0)))</f>
        <v/>
      </c>
      <c r="J1151" s="8">
        <f>IF(ISNA(MATCH(1142,'Transfer Engine'!$C$2:$C$1369,0)),"",INDEX('Compliance Database'!$J$2:$J$1369,MATCH(1142,'Transfer Engine'!$C$2:$C$1369,0)))</f>
        <v/>
      </c>
      <c r="K1151" s="9">
        <f>IF(ISNA(MATCH(1142,'Transfer Engine'!$C$2:$C$1369,0)),"",INDEX('Compliance Database'!$K$2:$K$1369,MATCH(1142,'Transfer Engine'!$C$2:$C$1369,0)))</f>
        <v/>
      </c>
      <c r="L1151" s="9">
        <f>IF(ISNA(MATCH(1142,'Transfer Engine'!$C$2:$C$1369,0)),"",INDEX('Compliance Database'!$L$2:$L$1369,MATCH(1142,'Transfer Engine'!$C$2:$C$1369,0)))</f>
        <v/>
      </c>
      <c r="M1151" s="9">
        <f>IF(ISNA(MATCH(1142,'Transfer Engine'!$C$2:$C$1369,0)),"",INDEX('Compliance Database'!$M$2:$M$1369,MATCH(1142,'Transfer Engine'!$C$2:$C$1369,0)))</f>
        <v/>
      </c>
      <c r="N1151" s="9">
        <f>IF(ISNA(MATCH(1142,'Transfer Engine'!$C$2:$C$1369,0)),"",INDEX('Compliance Database'!$N$2:$N$1369,MATCH(1142,'Transfer Engine'!$C$2:$C$1369,0)))</f>
        <v/>
      </c>
      <c r="O1151" s="8">
        <f>IF(ISNA(MATCH(1142,'Transfer Engine'!$C$2:$C$1369,0)),"",HYPERLINK(INDEX('Compliance Database'!$O$2:$O$1369,MATCH(1142,'Transfer Engine'!$C$2:$C$1369,0)),"Open PDF"))</f>
        <v/>
      </c>
    </row>
    <row r="1152" ht="188" customHeight="1">
      <c r="A1152" s="8">
        <f>IF(ISNA(MATCH(1143,'Transfer Engine'!$C$2:$C$1369,0)),"",INDEX('Compliance Database'!$A$2:$A$1369,MATCH(1143,'Transfer Engine'!$C$2:$C$1369,0)))</f>
        <v/>
      </c>
      <c r="B1152" s="8">
        <f>IF(ISNA(MATCH(1143,'Transfer Engine'!$C$2:$C$1369,0)),"",INDEX('Compliance Database'!$B$2:$B$1369,MATCH(1143,'Transfer Engine'!$C$2:$C$1369,0)))</f>
        <v/>
      </c>
      <c r="C1152" s="8">
        <f>IF(ISNA(MATCH(1143,'Transfer Engine'!$C$2:$C$1369,0)),"",INDEX('Compliance Database'!$C$2:$C$1369,MATCH(1143,'Transfer Engine'!$C$2:$C$1369,0)))</f>
        <v/>
      </c>
      <c r="D1152" s="9">
        <f>IF(ISNA(MATCH(1143,'Transfer Engine'!$C$2:$C$1369,0)),"",INDEX('Compliance Database'!$D$2:$D$1369,MATCH(1143,'Transfer Engine'!$C$2:$C$1369,0)))</f>
        <v/>
      </c>
      <c r="E1152" s="8">
        <f>IF(ISNA(MATCH(1143,'Transfer Engine'!$C$2:$C$1369,0)),"",INDEX('Compliance Database'!$E$2:$E$1369,MATCH(1143,'Transfer Engine'!$C$2:$C$1369,0)))</f>
        <v/>
      </c>
      <c r="F1152" s="8">
        <f>IF(ISNA(MATCH(1143,'Transfer Engine'!$C$2:$C$1369,0)),"",INDEX('Compliance Database'!$F$2:$F$1369,MATCH(1143,'Transfer Engine'!$C$2:$C$1369,0)))</f>
        <v/>
      </c>
      <c r="G1152" s="8">
        <f>IF(ISNA(MATCH(1143,'Transfer Engine'!$C$2:$C$1369,0)),"",INDEX('Compliance Database'!$G$2:$G$1369,MATCH(1143,'Transfer Engine'!$C$2:$C$1369,0)))</f>
        <v/>
      </c>
      <c r="H1152" s="9">
        <f>IF(ISNA(MATCH(1143,'Transfer Engine'!$C$2:$C$1369,0)),"",INDEX('Compliance Database'!$H$2:$H$1369,MATCH(1143,'Transfer Engine'!$C$2:$C$1369,0)))</f>
        <v/>
      </c>
      <c r="I1152" s="9">
        <f>IF(ISNA(MATCH(1143,'Transfer Engine'!$C$2:$C$1369,0)),"",INDEX('Compliance Database'!$I$2:$I$1369,MATCH(1143,'Transfer Engine'!$C$2:$C$1369,0)))</f>
        <v/>
      </c>
      <c r="J1152" s="8">
        <f>IF(ISNA(MATCH(1143,'Transfer Engine'!$C$2:$C$1369,0)),"",INDEX('Compliance Database'!$J$2:$J$1369,MATCH(1143,'Transfer Engine'!$C$2:$C$1369,0)))</f>
        <v/>
      </c>
      <c r="K1152" s="9">
        <f>IF(ISNA(MATCH(1143,'Transfer Engine'!$C$2:$C$1369,0)),"",INDEX('Compliance Database'!$K$2:$K$1369,MATCH(1143,'Transfer Engine'!$C$2:$C$1369,0)))</f>
        <v/>
      </c>
      <c r="L1152" s="9">
        <f>IF(ISNA(MATCH(1143,'Transfer Engine'!$C$2:$C$1369,0)),"",INDEX('Compliance Database'!$L$2:$L$1369,MATCH(1143,'Transfer Engine'!$C$2:$C$1369,0)))</f>
        <v/>
      </c>
      <c r="M1152" s="9">
        <f>IF(ISNA(MATCH(1143,'Transfer Engine'!$C$2:$C$1369,0)),"",INDEX('Compliance Database'!$M$2:$M$1369,MATCH(1143,'Transfer Engine'!$C$2:$C$1369,0)))</f>
        <v/>
      </c>
      <c r="N1152" s="9">
        <f>IF(ISNA(MATCH(1143,'Transfer Engine'!$C$2:$C$1369,0)),"",INDEX('Compliance Database'!$N$2:$N$1369,MATCH(1143,'Transfer Engine'!$C$2:$C$1369,0)))</f>
        <v/>
      </c>
      <c r="O1152" s="8">
        <f>IF(ISNA(MATCH(1143,'Transfer Engine'!$C$2:$C$1369,0)),"",HYPERLINK(INDEX('Compliance Database'!$O$2:$O$1369,MATCH(1143,'Transfer Engine'!$C$2:$C$1369,0)),"Open PDF"))</f>
        <v/>
      </c>
    </row>
    <row r="1153" ht="188" customHeight="1">
      <c r="A1153" s="8">
        <f>IF(ISNA(MATCH(1144,'Transfer Engine'!$C$2:$C$1369,0)),"",INDEX('Compliance Database'!$A$2:$A$1369,MATCH(1144,'Transfer Engine'!$C$2:$C$1369,0)))</f>
        <v/>
      </c>
      <c r="B1153" s="8">
        <f>IF(ISNA(MATCH(1144,'Transfer Engine'!$C$2:$C$1369,0)),"",INDEX('Compliance Database'!$B$2:$B$1369,MATCH(1144,'Transfer Engine'!$C$2:$C$1369,0)))</f>
        <v/>
      </c>
      <c r="C1153" s="8">
        <f>IF(ISNA(MATCH(1144,'Transfer Engine'!$C$2:$C$1369,0)),"",INDEX('Compliance Database'!$C$2:$C$1369,MATCH(1144,'Transfer Engine'!$C$2:$C$1369,0)))</f>
        <v/>
      </c>
      <c r="D1153" s="9">
        <f>IF(ISNA(MATCH(1144,'Transfer Engine'!$C$2:$C$1369,0)),"",INDEX('Compliance Database'!$D$2:$D$1369,MATCH(1144,'Transfer Engine'!$C$2:$C$1369,0)))</f>
        <v/>
      </c>
      <c r="E1153" s="8">
        <f>IF(ISNA(MATCH(1144,'Transfer Engine'!$C$2:$C$1369,0)),"",INDEX('Compliance Database'!$E$2:$E$1369,MATCH(1144,'Transfer Engine'!$C$2:$C$1369,0)))</f>
        <v/>
      </c>
      <c r="F1153" s="8">
        <f>IF(ISNA(MATCH(1144,'Transfer Engine'!$C$2:$C$1369,0)),"",INDEX('Compliance Database'!$F$2:$F$1369,MATCH(1144,'Transfer Engine'!$C$2:$C$1369,0)))</f>
        <v/>
      </c>
      <c r="G1153" s="8">
        <f>IF(ISNA(MATCH(1144,'Transfer Engine'!$C$2:$C$1369,0)),"",INDEX('Compliance Database'!$G$2:$G$1369,MATCH(1144,'Transfer Engine'!$C$2:$C$1369,0)))</f>
        <v/>
      </c>
      <c r="H1153" s="9">
        <f>IF(ISNA(MATCH(1144,'Transfer Engine'!$C$2:$C$1369,0)),"",INDEX('Compliance Database'!$H$2:$H$1369,MATCH(1144,'Transfer Engine'!$C$2:$C$1369,0)))</f>
        <v/>
      </c>
      <c r="I1153" s="9">
        <f>IF(ISNA(MATCH(1144,'Transfer Engine'!$C$2:$C$1369,0)),"",INDEX('Compliance Database'!$I$2:$I$1369,MATCH(1144,'Transfer Engine'!$C$2:$C$1369,0)))</f>
        <v/>
      </c>
      <c r="J1153" s="8">
        <f>IF(ISNA(MATCH(1144,'Transfer Engine'!$C$2:$C$1369,0)),"",INDEX('Compliance Database'!$J$2:$J$1369,MATCH(1144,'Transfer Engine'!$C$2:$C$1369,0)))</f>
        <v/>
      </c>
      <c r="K1153" s="9">
        <f>IF(ISNA(MATCH(1144,'Transfer Engine'!$C$2:$C$1369,0)),"",INDEX('Compliance Database'!$K$2:$K$1369,MATCH(1144,'Transfer Engine'!$C$2:$C$1369,0)))</f>
        <v/>
      </c>
      <c r="L1153" s="9">
        <f>IF(ISNA(MATCH(1144,'Transfer Engine'!$C$2:$C$1369,0)),"",INDEX('Compliance Database'!$L$2:$L$1369,MATCH(1144,'Transfer Engine'!$C$2:$C$1369,0)))</f>
        <v/>
      </c>
      <c r="M1153" s="9">
        <f>IF(ISNA(MATCH(1144,'Transfer Engine'!$C$2:$C$1369,0)),"",INDEX('Compliance Database'!$M$2:$M$1369,MATCH(1144,'Transfer Engine'!$C$2:$C$1369,0)))</f>
        <v/>
      </c>
      <c r="N1153" s="9">
        <f>IF(ISNA(MATCH(1144,'Transfer Engine'!$C$2:$C$1369,0)),"",INDEX('Compliance Database'!$N$2:$N$1369,MATCH(1144,'Transfer Engine'!$C$2:$C$1369,0)))</f>
        <v/>
      </c>
      <c r="O1153" s="8">
        <f>IF(ISNA(MATCH(1144,'Transfer Engine'!$C$2:$C$1369,0)),"",HYPERLINK(INDEX('Compliance Database'!$O$2:$O$1369,MATCH(1144,'Transfer Engine'!$C$2:$C$1369,0)),"Open PDF"))</f>
        <v/>
      </c>
    </row>
    <row r="1154" ht="188" customHeight="1">
      <c r="A1154" s="8">
        <f>IF(ISNA(MATCH(1145,'Transfer Engine'!$C$2:$C$1369,0)),"",INDEX('Compliance Database'!$A$2:$A$1369,MATCH(1145,'Transfer Engine'!$C$2:$C$1369,0)))</f>
        <v/>
      </c>
      <c r="B1154" s="8">
        <f>IF(ISNA(MATCH(1145,'Transfer Engine'!$C$2:$C$1369,0)),"",INDEX('Compliance Database'!$B$2:$B$1369,MATCH(1145,'Transfer Engine'!$C$2:$C$1369,0)))</f>
        <v/>
      </c>
      <c r="C1154" s="8">
        <f>IF(ISNA(MATCH(1145,'Transfer Engine'!$C$2:$C$1369,0)),"",INDEX('Compliance Database'!$C$2:$C$1369,MATCH(1145,'Transfer Engine'!$C$2:$C$1369,0)))</f>
        <v/>
      </c>
      <c r="D1154" s="9">
        <f>IF(ISNA(MATCH(1145,'Transfer Engine'!$C$2:$C$1369,0)),"",INDEX('Compliance Database'!$D$2:$D$1369,MATCH(1145,'Transfer Engine'!$C$2:$C$1369,0)))</f>
        <v/>
      </c>
      <c r="E1154" s="8">
        <f>IF(ISNA(MATCH(1145,'Transfer Engine'!$C$2:$C$1369,0)),"",INDEX('Compliance Database'!$E$2:$E$1369,MATCH(1145,'Transfer Engine'!$C$2:$C$1369,0)))</f>
        <v/>
      </c>
      <c r="F1154" s="8">
        <f>IF(ISNA(MATCH(1145,'Transfer Engine'!$C$2:$C$1369,0)),"",INDEX('Compliance Database'!$F$2:$F$1369,MATCH(1145,'Transfer Engine'!$C$2:$C$1369,0)))</f>
        <v/>
      </c>
      <c r="G1154" s="8">
        <f>IF(ISNA(MATCH(1145,'Transfer Engine'!$C$2:$C$1369,0)),"",INDEX('Compliance Database'!$G$2:$G$1369,MATCH(1145,'Transfer Engine'!$C$2:$C$1369,0)))</f>
        <v/>
      </c>
      <c r="H1154" s="9">
        <f>IF(ISNA(MATCH(1145,'Transfer Engine'!$C$2:$C$1369,0)),"",INDEX('Compliance Database'!$H$2:$H$1369,MATCH(1145,'Transfer Engine'!$C$2:$C$1369,0)))</f>
        <v/>
      </c>
      <c r="I1154" s="9">
        <f>IF(ISNA(MATCH(1145,'Transfer Engine'!$C$2:$C$1369,0)),"",INDEX('Compliance Database'!$I$2:$I$1369,MATCH(1145,'Transfer Engine'!$C$2:$C$1369,0)))</f>
        <v/>
      </c>
      <c r="J1154" s="8">
        <f>IF(ISNA(MATCH(1145,'Transfer Engine'!$C$2:$C$1369,0)),"",INDEX('Compliance Database'!$J$2:$J$1369,MATCH(1145,'Transfer Engine'!$C$2:$C$1369,0)))</f>
        <v/>
      </c>
      <c r="K1154" s="9">
        <f>IF(ISNA(MATCH(1145,'Transfer Engine'!$C$2:$C$1369,0)),"",INDEX('Compliance Database'!$K$2:$K$1369,MATCH(1145,'Transfer Engine'!$C$2:$C$1369,0)))</f>
        <v/>
      </c>
      <c r="L1154" s="9">
        <f>IF(ISNA(MATCH(1145,'Transfer Engine'!$C$2:$C$1369,0)),"",INDEX('Compliance Database'!$L$2:$L$1369,MATCH(1145,'Transfer Engine'!$C$2:$C$1369,0)))</f>
        <v/>
      </c>
      <c r="M1154" s="9">
        <f>IF(ISNA(MATCH(1145,'Transfer Engine'!$C$2:$C$1369,0)),"",INDEX('Compliance Database'!$M$2:$M$1369,MATCH(1145,'Transfer Engine'!$C$2:$C$1369,0)))</f>
        <v/>
      </c>
      <c r="N1154" s="9">
        <f>IF(ISNA(MATCH(1145,'Transfer Engine'!$C$2:$C$1369,0)),"",INDEX('Compliance Database'!$N$2:$N$1369,MATCH(1145,'Transfer Engine'!$C$2:$C$1369,0)))</f>
        <v/>
      </c>
      <c r="O1154" s="8">
        <f>IF(ISNA(MATCH(1145,'Transfer Engine'!$C$2:$C$1369,0)),"",HYPERLINK(INDEX('Compliance Database'!$O$2:$O$1369,MATCH(1145,'Transfer Engine'!$C$2:$C$1369,0)),"Open PDF"))</f>
        <v/>
      </c>
    </row>
    <row r="1155" ht="188" customHeight="1">
      <c r="A1155" s="8">
        <f>IF(ISNA(MATCH(1146,'Transfer Engine'!$C$2:$C$1369,0)),"",INDEX('Compliance Database'!$A$2:$A$1369,MATCH(1146,'Transfer Engine'!$C$2:$C$1369,0)))</f>
        <v/>
      </c>
      <c r="B1155" s="8">
        <f>IF(ISNA(MATCH(1146,'Transfer Engine'!$C$2:$C$1369,0)),"",INDEX('Compliance Database'!$B$2:$B$1369,MATCH(1146,'Transfer Engine'!$C$2:$C$1369,0)))</f>
        <v/>
      </c>
      <c r="C1155" s="8">
        <f>IF(ISNA(MATCH(1146,'Transfer Engine'!$C$2:$C$1369,0)),"",INDEX('Compliance Database'!$C$2:$C$1369,MATCH(1146,'Transfer Engine'!$C$2:$C$1369,0)))</f>
        <v/>
      </c>
      <c r="D1155" s="9">
        <f>IF(ISNA(MATCH(1146,'Transfer Engine'!$C$2:$C$1369,0)),"",INDEX('Compliance Database'!$D$2:$D$1369,MATCH(1146,'Transfer Engine'!$C$2:$C$1369,0)))</f>
        <v/>
      </c>
      <c r="E1155" s="8">
        <f>IF(ISNA(MATCH(1146,'Transfer Engine'!$C$2:$C$1369,0)),"",INDEX('Compliance Database'!$E$2:$E$1369,MATCH(1146,'Transfer Engine'!$C$2:$C$1369,0)))</f>
        <v/>
      </c>
      <c r="F1155" s="8">
        <f>IF(ISNA(MATCH(1146,'Transfer Engine'!$C$2:$C$1369,0)),"",INDEX('Compliance Database'!$F$2:$F$1369,MATCH(1146,'Transfer Engine'!$C$2:$C$1369,0)))</f>
        <v/>
      </c>
      <c r="G1155" s="8">
        <f>IF(ISNA(MATCH(1146,'Transfer Engine'!$C$2:$C$1369,0)),"",INDEX('Compliance Database'!$G$2:$G$1369,MATCH(1146,'Transfer Engine'!$C$2:$C$1369,0)))</f>
        <v/>
      </c>
      <c r="H1155" s="9">
        <f>IF(ISNA(MATCH(1146,'Transfer Engine'!$C$2:$C$1369,0)),"",INDEX('Compliance Database'!$H$2:$H$1369,MATCH(1146,'Transfer Engine'!$C$2:$C$1369,0)))</f>
        <v/>
      </c>
      <c r="I1155" s="9">
        <f>IF(ISNA(MATCH(1146,'Transfer Engine'!$C$2:$C$1369,0)),"",INDEX('Compliance Database'!$I$2:$I$1369,MATCH(1146,'Transfer Engine'!$C$2:$C$1369,0)))</f>
        <v/>
      </c>
      <c r="J1155" s="8">
        <f>IF(ISNA(MATCH(1146,'Transfer Engine'!$C$2:$C$1369,0)),"",INDEX('Compliance Database'!$J$2:$J$1369,MATCH(1146,'Transfer Engine'!$C$2:$C$1369,0)))</f>
        <v/>
      </c>
      <c r="K1155" s="9">
        <f>IF(ISNA(MATCH(1146,'Transfer Engine'!$C$2:$C$1369,0)),"",INDEX('Compliance Database'!$K$2:$K$1369,MATCH(1146,'Transfer Engine'!$C$2:$C$1369,0)))</f>
        <v/>
      </c>
      <c r="L1155" s="9">
        <f>IF(ISNA(MATCH(1146,'Transfer Engine'!$C$2:$C$1369,0)),"",INDEX('Compliance Database'!$L$2:$L$1369,MATCH(1146,'Transfer Engine'!$C$2:$C$1369,0)))</f>
        <v/>
      </c>
      <c r="M1155" s="9">
        <f>IF(ISNA(MATCH(1146,'Transfer Engine'!$C$2:$C$1369,0)),"",INDEX('Compliance Database'!$M$2:$M$1369,MATCH(1146,'Transfer Engine'!$C$2:$C$1369,0)))</f>
        <v/>
      </c>
      <c r="N1155" s="9">
        <f>IF(ISNA(MATCH(1146,'Transfer Engine'!$C$2:$C$1369,0)),"",INDEX('Compliance Database'!$N$2:$N$1369,MATCH(1146,'Transfer Engine'!$C$2:$C$1369,0)))</f>
        <v/>
      </c>
      <c r="O1155" s="8">
        <f>IF(ISNA(MATCH(1146,'Transfer Engine'!$C$2:$C$1369,0)),"",HYPERLINK(INDEX('Compliance Database'!$O$2:$O$1369,MATCH(1146,'Transfer Engine'!$C$2:$C$1369,0)),"Open PDF"))</f>
        <v/>
      </c>
    </row>
    <row r="1156" ht="188" customHeight="1">
      <c r="A1156" s="8">
        <f>IF(ISNA(MATCH(1147,'Transfer Engine'!$C$2:$C$1369,0)),"",INDEX('Compliance Database'!$A$2:$A$1369,MATCH(1147,'Transfer Engine'!$C$2:$C$1369,0)))</f>
        <v/>
      </c>
      <c r="B1156" s="8">
        <f>IF(ISNA(MATCH(1147,'Transfer Engine'!$C$2:$C$1369,0)),"",INDEX('Compliance Database'!$B$2:$B$1369,MATCH(1147,'Transfer Engine'!$C$2:$C$1369,0)))</f>
        <v/>
      </c>
      <c r="C1156" s="8">
        <f>IF(ISNA(MATCH(1147,'Transfer Engine'!$C$2:$C$1369,0)),"",INDEX('Compliance Database'!$C$2:$C$1369,MATCH(1147,'Transfer Engine'!$C$2:$C$1369,0)))</f>
        <v/>
      </c>
      <c r="D1156" s="9">
        <f>IF(ISNA(MATCH(1147,'Transfer Engine'!$C$2:$C$1369,0)),"",INDEX('Compliance Database'!$D$2:$D$1369,MATCH(1147,'Transfer Engine'!$C$2:$C$1369,0)))</f>
        <v/>
      </c>
      <c r="E1156" s="8">
        <f>IF(ISNA(MATCH(1147,'Transfer Engine'!$C$2:$C$1369,0)),"",INDEX('Compliance Database'!$E$2:$E$1369,MATCH(1147,'Transfer Engine'!$C$2:$C$1369,0)))</f>
        <v/>
      </c>
      <c r="F1156" s="8">
        <f>IF(ISNA(MATCH(1147,'Transfer Engine'!$C$2:$C$1369,0)),"",INDEX('Compliance Database'!$F$2:$F$1369,MATCH(1147,'Transfer Engine'!$C$2:$C$1369,0)))</f>
        <v/>
      </c>
      <c r="G1156" s="8">
        <f>IF(ISNA(MATCH(1147,'Transfer Engine'!$C$2:$C$1369,0)),"",INDEX('Compliance Database'!$G$2:$G$1369,MATCH(1147,'Transfer Engine'!$C$2:$C$1369,0)))</f>
        <v/>
      </c>
      <c r="H1156" s="9">
        <f>IF(ISNA(MATCH(1147,'Transfer Engine'!$C$2:$C$1369,0)),"",INDEX('Compliance Database'!$H$2:$H$1369,MATCH(1147,'Transfer Engine'!$C$2:$C$1369,0)))</f>
        <v/>
      </c>
      <c r="I1156" s="9">
        <f>IF(ISNA(MATCH(1147,'Transfer Engine'!$C$2:$C$1369,0)),"",INDEX('Compliance Database'!$I$2:$I$1369,MATCH(1147,'Transfer Engine'!$C$2:$C$1369,0)))</f>
        <v/>
      </c>
      <c r="J1156" s="8">
        <f>IF(ISNA(MATCH(1147,'Transfer Engine'!$C$2:$C$1369,0)),"",INDEX('Compliance Database'!$J$2:$J$1369,MATCH(1147,'Transfer Engine'!$C$2:$C$1369,0)))</f>
        <v/>
      </c>
      <c r="K1156" s="9">
        <f>IF(ISNA(MATCH(1147,'Transfer Engine'!$C$2:$C$1369,0)),"",INDEX('Compliance Database'!$K$2:$K$1369,MATCH(1147,'Transfer Engine'!$C$2:$C$1369,0)))</f>
        <v/>
      </c>
      <c r="L1156" s="9">
        <f>IF(ISNA(MATCH(1147,'Transfer Engine'!$C$2:$C$1369,0)),"",INDEX('Compliance Database'!$L$2:$L$1369,MATCH(1147,'Transfer Engine'!$C$2:$C$1369,0)))</f>
        <v/>
      </c>
      <c r="M1156" s="9">
        <f>IF(ISNA(MATCH(1147,'Transfer Engine'!$C$2:$C$1369,0)),"",INDEX('Compliance Database'!$M$2:$M$1369,MATCH(1147,'Transfer Engine'!$C$2:$C$1369,0)))</f>
        <v/>
      </c>
      <c r="N1156" s="9">
        <f>IF(ISNA(MATCH(1147,'Transfer Engine'!$C$2:$C$1369,0)),"",INDEX('Compliance Database'!$N$2:$N$1369,MATCH(1147,'Transfer Engine'!$C$2:$C$1369,0)))</f>
        <v/>
      </c>
      <c r="O1156" s="8">
        <f>IF(ISNA(MATCH(1147,'Transfer Engine'!$C$2:$C$1369,0)),"",HYPERLINK(INDEX('Compliance Database'!$O$2:$O$1369,MATCH(1147,'Transfer Engine'!$C$2:$C$1369,0)),"Open PDF"))</f>
        <v/>
      </c>
    </row>
    <row r="1157" ht="188" customHeight="1">
      <c r="A1157" s="8">
        <f>IF(ISNA(MATCH(1148,'Transfer Engine'!$C$2:$C$1369,0)),"",INDEX('Compliance Database'!$A$2:$A$1369,MATCH(1148,'Transfer Engine'!$C$2:$C$1369,0)))</f>
        <v/>
      </c>
      <c r="B1157" s="8">
        <f>IF(ISNA(MATCH(1148,'Transfer Engine'!$C$2:$C$1369,0)),"",INDEX('Compliance Database'!$B$2:$B$1369,MATCH(1148,'Transfer Engine'!$C$2:$C$1369,0)))</f>
        <v/>
      </c>
      <c r="C1157" s="8">
        <f>IF(ISNA(MATCH(1148,'Transfer Engine'!$C$2:$C$1369,0)),"",INDEX('Compliance Database'!$C$2:$C$1369,MATCH(1148,'Transfer Engine'!$C$2:$C$1369,0)))</f>
        <v/>
      </c>
      <c r="D1157" s="9">
        <f>IF(ISNA(MATCH(1148,'Transfer Engine'!$C$2:$C$1369,0)),"",INDEX('Compliance Database'!$D$2:$D$1369,MATCH(1148,'Transfer Engine'!$C$2:$C$1369,0)))</f>
        <v/>
      </c>
      <c r="E1157" s="8">
        <f>IF(ISNA(MATCH(1148,'Transfer Engine'!$C$2:$C$1369,0)),"",INDEX('Compliance Database'!$E$2:$E$1369,MATCH(1148,'Transfer Engine'!$C$2:$C$1369,0)))</f>
        <v/>
      </c>
      <c r="F1157" s="8">
        <f>IF(ISNA(MATCH(1148,'Transfer Engine'!$C$2:$C$1369,0)),"",INDEX('Compliance Database'!$F$2:$F$1369,MATCH(1148,'Transfer Engine'!$C$2:$C$1369,0)))</f>
        <v/>
      </c>
      <c r="G1157" s="8">
        <f>IF(ISNA(MATCH(1148,'Transfer Engine'!$C$2:$C$1369,0)),"",INDEX('Compliance Database'!$G$2:$G$1369,MATCH(1148,'Transfer Engine'!$C$2:$C$1369,0)))</f>
        <v/>
      </c>
      <c r="H1157" s="9">
        <f>IF(ISNA(MATCH(1148,'Transfer Engine'!$C$2:$C$1369,0)),"",INDEX('Compliance Database'!$H$2:$H$1369,MATCH(1148,'Transfer Engine'!$C$2:$C$1369,0)))</f>
        <v/>
      </c>
      <c r="I1157" s="9">
        <f>IF(ISNA(MATCH(1148,'Transfer Engine'!$C$2:$C$1369,0)),"",INDEX('Compliance Database'!$I$2:$I$1369,MATCH(1148,'Transfer Engine'!$C$2:$C$1369,0)))</f>
        <v/>
      </c>
      <c r="J1157" s="8">
        <f>IF(ISNA(MATCH(1148,'Transfer Engine'!$C$2:$C$1369,0)),"",INDEX('Compliance Database'!$J$2:$J$1369,MATCH(1148,'Transfer Engine'!$C$2:$C$1369,0)))</f>
        <v/>
      </c>
      <c r="K1157" s="9">
        <f>IF(ISNA(MATCH(1148,'Transfer Engine'!$C$2:$C$1369,0)),"",INDEX('Compliance Database'!$K$2:$K$1369,MATCH(1148,'Transfer Engine'!$C$2:$C$1369,0)))</f>
        <v/>
      </c>
      <c r="L1157" s="9">
        <f>IF(ISNA(MATCH(1148,'Transfer Engine'!$C$2:$C$1369,0)),"",INDEX('Compliance Database'!$L$2:$L$1369,MATCH(1148,'Transfer Engine'!$C$2:$C$1369,0)))</f>
        <v/>
      </c>
      <c r="M1157" s="9">
        <f>IF(ISNA(MATCH(1148,'Transfer Engine'!$C$2:$C$1369,0)),"",INDEX('Compliance Database'!$M$2:$M$1369,MATCH(1148,'Transfer Engine'!$C$2:$C$1369,0)))</f>
        <v/>
      </c>
      <c r="N1157" s="9">
        <f>IF(ISNA(MATCH(1148,'Transfer Engine'!$C$2:$C$1369,0)),"",INDEX('Compliance Database'!$N$2:$N$1369,MATCH(1148,'Transfer Engine'!$C$2:$C$1369,0)))</f>
        <v/>
      </c>
      <c r="O1157" s="8">
        <f>IF(ISNA(MATCH(1148,'Transfer Engine'!$C$2:$C$1369,0)),"",HYPERLINK(INDEX('Compliance Database'!$O$2:$O$1369,MATCH(1148,'Transfer Engine'!$C$2:$C$1369,0)),"Open PDF"))</f>
        <v/>
      </c>
    </row>
    <row r="1158" ht="188" customHeight="1">
      <c r="A1158" s="8">
        <f>IF(ISNA(MATCH(1149,'Transfer Engine'!$C$2:$C$1369,0)),"",INDEX('Compliance Database'!$A$2:$A$1369,MATCH(1149,'Transfer Engine'!$C$2:$C$1369,0)))</f>
        <v/>
      </c>
      <c r="B1158" s="8">
        <f>IF(ISNA(MATCH(1149,'Transfer Engine'!$C$2:$C$1369,0)),"",INDEX('Compliance Database'!$B$2:$B$1369,MATCH(1149,'Transfer Engine'!$C$2:$C$1369,0)))</f>
        <v/>
      </c>
      <c r="C1158" s="8">
        <f>IF(ISNA(MATCH(1149,'Transfer Engine'!$C$2:$C$1369,0)),"",INDEX('Compliance Database'!$C$2:$C$1369,MATCH(1149,'Transfer Engine'!$C$2:$C$1369,0)))</f>
        <v/>
      </c>
      <c r="D1158" s="9">
        <f>IF(ISNA(MATCH(1149,'Transfer Engine'!$C$2:$C$1369,0)),"",INDEX('Compliance Database'!$D$2:$D$1369,MATCH(1149,'Transfer Engine'!$C$2:$C$1369,0)))</f>
        <v/>
      </c>
      <c r="E1158" s="8">
        <f>IF(ISNA(MATCH(1149,'Transfer Engine'!$C$2:$C$1369,0)),"",INDEX('Compliance Database'!$E$2:$E$1369,MATCH(1149,'Transfer Engine'!$C$2:$C$1369,0)))</f>
        <v/>
      </c>
      <c r="F1158" s="8">
        <f>IF(ISNA(MATCH(1149,'Transfer Engine'!$C$2:$C$1369,0)),"",INDEX('Compliance Database'!$F$2:$F$1369,MATCH(1149,'Transfer Engine'!$C$2:$C$1369,0)))</f>
        <v/>
      </c>
      <c r="G1158" s="8">
        <f>IF(ISNA(MATCH(1149,'Transfer Engine'!$C$2:$C$1369,0)),"",INDEX('Compliance Database'!$G$2:$G$1369,MATCH(1149,'Transfer Engine'!$C$2:$C$1369,0)))</f>
        <v/>
      </c>
      <c r="H1158" s="9">
        <f>IF(ISNA(MATCH(1149,'Transfer Engine'!$C$2:$C$1369,0)),"",INDEX('Compliance Database'!$H$2:$H$1369,MATCH(1149,'Transfer Engine'!$C$2:$C$1369,0)))</f>
        <v/>
      </c>
      <c r="I1158" s="9">
        <f>IF(ISNA(MATCH(1149,'Transfer Engine'!$C$2:$C$1369,0)),"",INDEX('Compliance Database'!$I$2:$I$1369,MATCH(1149,'Transfer Engine'!$C$2:$C$1369,0)))</f>
        <v/>
      </c>
      <c r="J1158" s="8">
        <f>IF(ISNA(MATCH(1149,'Transfer Engine'!$C$2:$C$1369,0)),"",INDEX('Compliance Database'!$J$2:$J$1369,MATCH(1149,'Transfer Engine'!$C$2:$C$1369,0)))</f>
        <v/>
      </c>
      <c r="K1158" s="9">
        <f>IF(ISNA(MATCH(1149,'Transfer Engine'!$C$2:$C$1369,0)),"",INDEX('Compliance Database'!$K$2:$K$1369,MATCH(1149,'Transfer Engine'!$C$2:$C$1369,0)))</f>
        <v/>
      </c>
      <c r="L1158" s="9">
        <f>IF(ISNA(MATCH(1149,'Transfer Engine'!$C$2:$C$1369,0)),"",INDEX('Compliance Database'!$L$2:$L$1369,MATCH(1149,'Transfer Engine'!$C$2:$C$1369,0)))</f>
        <v/>
      </c>
      <c r="M1158" s="9">
        <f>IF(ISNA(MATCH(1149,'Transfer Engine'!$C$2:$C$1369,0)),"",INDEX('Compliance Database'!$M$2:$M$1369,MATCH(1149,'Transfer Engine'!$C$2:$C$1369,0)))</f>
        <v/>
      </c>
      <c r="N1158" s="9">
        <f>IF(ISNA(MATCH(1149,'Transfer Engine'!$C$2:$C$1369,0)),"",INDEX('Compliance Database'!$N$2:$N$1369,MATCH(1149,'Transfer Engine'!$C$2:$C$1369,0)))</f>
        <v/>
      </c>
      <c r="O1158" s="8">
        <f>IF(ISNA(MATCH(1149,'Transfer Engine'!$C$2:$C$1369,0)),"",HYPERLINK(INDEX('Compliance Database'!$O$2:$O$1369,MATCH(1149,'Transfer Engine'!$C$2:$C$1369,0)),"Open PDF"))</f>
        <v/>
      </c>
    </row>
    <row r="1159" ht="188" customHeight="1">
      <c r="A1159" s="8">
        <f>IF(ISNA(MATCH(1150,'Transfer Engine'!$C$2:$C$1369,0)),"",INDEX('Compliance Database'!$A$2:$A$1369,MATCH(1150,'Transfer Engine'!$C$2:$C$1369,0)))</f>
        <v/>
      </c>
      <c r="B1159" s="8">
        <f>IF(ISNA(MATCH(1150,'Transfer Engine'!$C$2:$C$1369,0)),"",INDEX('Compliance Database'!$B$2:$B$1369,MATCH(1150,'Transfer Engine'!$C$2:$C$1369,0)))</f>
        <v/>
      </c>
      <c r="C1159" s="8">
        <f>IF(ISNA(MATCH(1150,'Transfer Engine'!$C$2:$C$1369,0)),"",INDEX('Compliance Database'!$C$2:$C$1369,MATCH(1150,'Transfer Engine'!$C$2:$C$1369,0)))</f>
        <v/>
      </c>
      <c r="D1159" s="9">
        <f>IF(ISNA(MATCH(1150,'Transfer Engine'!$C$2:$C$1369,0)),"",INDEX('Compliance Database'!$D$2:$D$1369,MATCH(1150,'Transfer Engine'!$C$2:$C$1369,0)))</f>
        <v/>
      </c>
      <c r="E1159" s="8">
        <f>IF(ISNA(MATCH(1150,'Transfer Engine'!$C$2:$C$1369,0)),"",INDEX('Compliance Database'!$E$2:$E$1369,MATCH(1150,'Transfer Engine'!$C$2:$C$1369,0)))</f>
        <v/>
      </c>
      <c r="F1159" s="8">
        <f>IF(ISNA(MATCH(1150,'Transfer Engine'!$C$2:$C$1369,0)),"",INDEX('Compliance Database'!$F$2:$F$1369,MATCH(1150,'Transfer Engine'!$C$2:$C$1369,0)))</f>
        <v/>
      </c>
      <c r="G1159" s="8">
        <f>IF(ISNA(MATCH(1150,'Transfer Engine'!$C$2:$C$1369,0)),"",INDEX('Compliance Database'!$G$2:$G$1369,MATCH(1150,'Transfer Engine'!$C$2:$C$1369,0)))</f>
        <v/>
      </c>
      <c r="H1159" s="9">
        <f>IF(ISNA(MATCH(1150,'Transfer Engine'!$C$2:$C$1369,0)),"",INDEX('Compliance Database'!$H$2:$H$1369,MATCH(1150,'Transfer Engine'!$C$2:$C$1369,0)))</f>
        <v/>
      </c>
      <c r="I1159" s="9">
        <f>IF(ISNA(MATCH(1150,'Transfer Engine'!$C$2:$C$1369,0)),"",INDEX('Compliance Database'!$I$2:$I$1369,MATCH(1150,'Transfer Engine'!$C$2:$C$1369,0)))</f>
        <v/>
      </c>
      <c r="J1159" s="8">
        <f>IF(ISNA(MATCH(1150,'Transfer Engine'!$C$2:$C$1369,0)),"",INDEX('Compliance Database'!$J$2:$J$1369,MATCH(1150,'Transfer Engine'!$C$2:$C$1369,0)))</f>
        <v/>
      </c>
      <c r="K1159" s="9">
        <f>IF(ISNA(MATCH(1150,'Transfer Engine'!$C$2:$C$1369,0)),"",INDEX('Compliance Database'!$K$2:$K$1369,MATCH(1150,'Transfer Engine'!$C$2:$C$1369,0)))</f>
        <v/>
      </c>
      <c r="L1159" s="9">
        <f>IF(ISNA(MATCH(1150,'Transfer Engine'!$C$2:$C$1369,0)),"",INDEX('Compliance Database'!$L$2:$L$1369,MATCH(1150,'Transfer Engine'!$C$2:$C$1369,0)))</f>
        <v/>
      </c>
      <c r="M1159" s="9">
        <f>IF(ISNA(MATCH(1150,'Transfer Engine'!$C$2:$C$1369,0)),"",INDEX('Compliance Database'!$M$2:$M$1369,MATCH(1150,'Transfer Engine'!$C$2:$C$1369,0)))</f>
        <v/>
      </c>
      <c r="N1159" s="9">
        <f>IF(ISNA(MATCH(1150,'Transfer Engine'!$C$2:$C$1369,0)),"",INDEX('Compliance Database'!$N$2:$N$1369,MATCH(1150,'Transfer Engine'!$C$2:$C$1369,0)))</f>
        <v/>
      </c>
      <c r="O1159" s="8">
        <f>IF(ISNA(MATCH(1150,'Transfer Engine'!$C$2:$C$1369,0)),"",HYPERLINK(INDEX('Compliance Database'!$O$2:$O$1369,MATCH(1150,'Transfer Engine'!$C$2:$C$1369,0)),"Open PDF"))</f>
        <v/>
      </c>
    </row>
    <row r="1160" ht="188" customHeight="1">
      <c r="A1160" s="8">
        <f>IF(ISNA(MATCH(1151,'Transfer Engine'!$C$2:$C$1369,0)),"",INDEX('Compliance Database'!$A$2:$A$1369,MATCH(1151,'Transfer Engine'!$C$2:$C$1369,0)))</f>
        <v/>
      </c>
      <c r="B1160" s="8">
        <f>IF(ISNA(MATCH(1151,'Transfer Engine'!$C$2:$C$1369,0)),"",INDEX('Compliance Database'!$B$2:$B$1369,MATCH(1151,'Transfer Engine'!$C$2:$C$1369,0)))</f>
        <v/>
      </c>
      <c r="C1160" s="8">
        <f>IF(ISNA(MATCH(1151,'Transfer Engine'!$C$2:$C$1369,0)),"",INDEX('Compliance Database'!$C$2:$C$1369,MATCH(1151,'Transfer Engine'!$C$2:$C$1369,0)))</f>
        <v/>
      </c>
      <c r="D1160" s="9">
        <f>IF(ISNA(MATCH(1151,'Transfer Engine'!$C$2:$C$1369,0)),"",INDEX('Compliance Database'!$D$2:$D$1369,MATCH(1151,'Transfer Engine'!$C$2:$C$1369,0)))</f>
        <v/>
      </c>
      <c r="E1160" s="8">
        <f>IF(ISNA(MATCH(1151,'Transfer Engine'!$C$2:$C$1369,0)),"",INDEX('Compliance Database'!$E$2:$E$1369,MATCH(1151,'Transfer Engine'!$C$2:$C$1369,0)))</f>
        <v/>
      </c>
      <c r="F1160" s="8">
        <f>IF(ISNA(MATCH(1151,'Transfer Engine'!$C$2:$C$1369,0)),"",INDEX('Compliance Database'!$F$2:$F$1369,MATCH(1151,'Transfer Engine'!$C$2:$C$1369,0)))</f>
        <v/>
      </c>
      <c r="G1160" s="8">
        <f>IF(ISNA(MATCH(1151,'Transfer Engine'!$C$2:$C$1369,0)),"",INDEX('Compliance Database'!$G$2:$G$1369,MATCH(1151,'Transfer Engine'!$C$2:$C$1369,0)))</f>
        <v/>
      </c>
      <c r="H1160" s="9">
        <f>IF(ISNA(MATCH(1151,'Transfer Engine'!$C$2:$C$1369,0)),"",INDEX('Compliance Database'!$H$2:$H$1369,MATCH(1151,'Transfer Engine'!$C$2:$C$1369,0)))</f>
        <v/>
      </c>
      <c r="I1160" s="9">
        <f>IF(ISNA(MATCH(1151,'Transfer Engine'!$C$2:$C$1369,0)),"",INDEX('Compliance Database'!$I$2:$I$1369,MATCH(1151,'Transfer Engine'!$C$2:$C$1369,0)))</f>
        <v/>
      </c>
      <c r="J1160" s="8">
        <f>IF(ISNA(MATCH(1151,'Transfer Engine'!$C$2:$C$1369,0)),"",INDEX('Compliance Database'!$J$2:$J$1369,MATCH(1151,'Transfer Engine'!$C$2:$C$1369,0)))</f>
        <v/>
      </c>
      <c r="K1160" s="9">
        <f>IF(ISNA(MATCH(1151,'Transfer Engine'!$C$2:$C$1369,0)),"",INDEX('Compliance Database'!$K$2:$K$1369,MATCH(1151,'Transfer Engine'!$C$2:$C$1369,0)))</f>
        <v/>
      </c>
      <c r="L1160" s="9">
        <f>IF(ISNA(MATCH(1151,'Transfer Engine'!$C$2:$C$1369,0)),"",INDEX('Compliance Database'!$L$2:$L$1369,MATCH(1151,'Transfer Engine'!$C$2:$C$1369,0)))</f>
        <v/>
      </c>
      <c r="M1160" s="9">
        <f>IF(ISNA(MATCH(1151,'Transfer Engine'!$C$2:$C$1369,0)),"",INDEX('Compliance Database'!$M$2:$M$1369,MATCH(1151,'Transfer Engine'!$C$2:$C$1369,0)))</f>
        <v/>
      </c>
      <c r="N1160" s="9">
        <f>IF(ISNA(MATCH(1151,'Transfer Engine'!$C$2:$C$1369,0)),"",INDEX('Compliance Database'!$N$2:$N$1369,MATCH(1151,'Transfer Engine'!$C$2:$C$1369,0)))</f>
        <v/>
      </c>
      <c r="O1160" s="8">
        <f>IF(ISNA(MATCH(1151,'Transfer Engine'!$C$2:$C$1369,0)),"",HYPERLINK(INDEX('Compliance Database'!$O$2:$O$1369,MATCH(1151,'Transfer Engine'!$C$2:$C$1369,0)),"Open PDF"))</f>
        <v/>
      </c>
    </row>
    <row r="1161" ht="188" customHeight="1">
      <c r="A1161" s="8">
        <f>IF(ISNA(MATCH(1152,'Transfer Engine'!$C$2:$C$1369,0)),"",INDEX('Compliance Database'!$A$2:$A$1369,MATCH(1152,'Transfer Engine'!$C$2:$C$1369,0)))</f>
        <v/>
      </c>
      <c r="B1161" s="8">
        <f>IF(ISNA(MATCH(1152,'Transfer Engine'!$C$2:$C$1369,0)),"",INDEX('Compliance Database'!$B$2:$B$1369,MATCH(1152,'Transfer Engine'!$C$2:$C$1369,0)))</f>
        <v/>
      </c>
      <c r="C1161" s="8">
        <f>IF(ISNA(MATCH(1152,'Transfer Engine'!$C$2:$C$1369,0)),"",INDEX('Compliance Database'!$C$2:$C$1369,MATCH(1152,'Transfer Engine'!$C$2:$C$1369,0)))</f>
        <v/>
      </c>
      <c r="D1161" s="9">
        <f>IF(ISNA(MATCH(1152,'Transfer Engine'!$C$2:$C$1369,0)),"",INDEX('Compliance Database'!$D$2:$D$1369,MATCH(1152,'Transfer Engine'!$C$2:$C$1369,0)))</f>
        <v/>
      </c>
      <c r="E1161" s="8">
        <f>IF(ISNA(MATCH(1152,'Transfer Engine'!$C$2:$C$1369,0)),"",INDEX('Compliance Database'!$E$2:$E$1369,MATCH(1152,'Transfer Engine'!$C$2:$C$1369,0)))</f>
        <v/>
      </c>
      <c r="F1161" s="8">
        <f>IF(ISNA(MATCH(1152,'Transfer Engine'!$C$2:$C$1369,0)),"",INDEX('Compliance Database'!$F$2:$F$1369,MATCH(1152,'Transfer Engine'!$C$2:$C$1369,0)))</f>
        <v/>
      </c>
      <c r="G1161" s="8">
        <f>IF(ISNA(MATCH(1152,'Transfer Engine'!$C$2:$C$1369,0)),"",INDEX('Compliance Database'!$G$2:$G$1369,MATCH(1152,'Transfer Engine'!$C$2:$C$1369,0)))</f>
        <v/>
      </c>
      <c r="H1161" s="9">
        <f>IF(ISNA(MATCH(1152,'Transfer Engine'!$C$2:$C$1369,0)),"",INDEX('Compliance Database'!$H$2:$H$1369,MATCH(1152,'Transfer Engine'!$C$2:$C$1369,0)))</f>
        <v/>
      </c>
      <c r="I1161" s="9">
        <f>IF(ISNA(MATCH(1152,'Transfer Engine'!$C$2:$C$1369,0)),"",INDEX('Compliance Database'!$I$2:$I$1369,MATCH(1152,'Transfer Engine'!$C$2:$C$1369,0)))</f>
        <v/>
      </c>
      <c r="J1161" s="8">
        <f>IF(ISNA(MATCH(1152,'Transfer Engine'!$C$2:$C$1369,0)),"",INDEX('Compliance Database'!$J$2:$J$1369,MATCH(1152,'Transfer Engine'!$C$2:$C$1369,0)))</f>
        <v/>
      </c>
      <c r="K1161" s="9">
        <f>IF(ISNA(MATCH(1152,'Transfer Engine'!$C$2:$C$1369,0)),"",INDEX('Compliance Database'!$K$2:$K$1369,MATCH(1152,'Transfer Engine'!$C$2:$C$1369,0)))</f>
        <v/>
      </c>
      <c r="L1161" s="9">
        <f>IF(ISNA(MATCH(1152,'Transfer Engine'!$C$2:$C$1369,0)),"",INDEX('Compliance Database'!$L$2:$L$1369,MATCH(1152,'Transfer Engine'!$C$2:$C$1369,0)))</f>
        <v/>
      </c>
      <c r="M1161" s="9">
        <f>IF(ISNA(MATCH(1152,'Transfer Engine'!$C$2:$C$1369,0)),"",INDEX('Compliance Database'!$M$2:$M$1369,MATCH(1152,'Transfer Engine'!$C$2:$C$1369,0)))</f>
        <v/>
      </c>
      <c r="N1161" s="9">
        <f>IF(ISNA(MATCH(1152,'Transfer Engine'!$C$2:$C$1369,0)),"",INDEX('Compliance Database'!$N$2:$N$1369,MATCH(1152,'Transfer Engine'!$C$2:$C$1369,0)))</f>
        <v/>
      </c>
      <c r="O1161" s="8">
        <f>IF(ISNA(MATCH(1152,'Transfer Engine'!$C$2:$C$1369,0)),"",HYPERLINK(INDEX('Compliance Database'!$O$2:$O$1369,MATCH(1152,'Transfer Engine'!$C$2:$C$1369,0)),"Open PDF"))</f>
        <v/>
      </c>
    </row>
    <row r="1162" ht="188" customHeight="1">
      <c r="A1162" s="8">
        <f>IF(ISNA(MATCH(1153,'Transfer Engine'!$C$2:$C$1369,0)),"",INDEX('Compliance Database'!$A$2:$A$1369,MATCH(1153,'Transfer Engine'!$C$2:$C$1369,0)))</f>
        <v/>
      </c>
      <c r="B1162" s="8">
        <f>IF(ISNA(MATCH(1153,'Transfer Engine'!$C$2:$C$1369,0)),"",INDEX('Compliance Database'!$B$2:$B$1369,MATCH(1153,'Transfer Engine'!$C$2:$C$1369,0)))</f>
        <v/>
      </c>
      <c r="C1162" s="8">
        <f>IF(ISNA(MATCH(1153,'Transfer Engine'!$C$2:$C$1369,0)),"",INDEX('Compliance Database'!$C$2:$C$1369,MATCH(1153,'Transfer Engine'!$C$2:$C$1369,0)))</f>
        <v/>
      </c>
      <c r="D1162" s="9">
        <f>IF(ISNA(MATCH(1153,'Transfer Engine'!$C$2:$C$1369,0)),"",INDEX('Compliance Database'!$D$2:$D$1369,MATCH(1153,'Transfer Engine'!$C$2:$C$1369,0)))</f>
        <v/>
      </c>
      <c r="E1162" s="8">
        <f>IF(ISNA(MATCH(1153,'Transfer Engine'!$C$2:$C$1369,0)),"",INDEX('Compliance Database'!$E$2:$E$1369,MATCH(1153,'Transfer Engine'!$C$2:$C$1369,0)))</f>
        <v/>
      </c>
      <c r="F1162" s="8">
        <f>IF(ISNA(MATCH(1153,'Transfer Engine'!$C$2:$C$1369,0)),"",INDEX('Compliance Database'!$F$2:$F$1369,MATCH(1153,'Transfer Engine'!$C$2:$C$1369,0)))</f>
        <v/>
      </c>
      <c r="G1162" s="8">
        <f>IF(ISNA(MATCH(1153,'Transfer Engine'!$C$2:$C$1369,0)),"",INDEX('Compliance Database'!$G$2:$G$1369,MATCH(1153,'Transfer Engine'!$C$2:$C$1369,0)))</f>
        <v/>
      </c>
      <c r="H1162" s="9">
        <f>IF(ISNA(MATCH(1153,'Transfer Engine'!$C$2:$C$1369,0)),"",INDEX('Compliance Database'!$H$2:$H$1369,MATCH(1153,'Transfer Engine'!$C$2:$C$1369,0)))</f>
        <v/>
      </c>
      <c r="I1162" s="9">
        <f>IF(ISNA(MATCH(1153,'Transfer Engine'!$C$2:$C$1369,0)),"",INDEX('Compliance Database'!$I$2:$I$1369,MATCH(1153,'Transfer Engine'!$C$2:$C$1369,0)))</f>
        <v/>
      </c>
      <c r="J1162" s="8">
        <f>IF(ISNA(MATCH(1153,'Transfer Engine'!$C$2:$C$1369,0)),"",INDEX('Compliance Database'!$J$2:$J$1369,MATCH(1153,'Transfer Engine'!$C$2:$C$1369,0)))</f>
        <v/>
      </c>
      <c r="K1162" s="9">
        <f>IF(ISNA(MATCH(1153,'Transfer Engine'!$C$2:$C$1369,0)),"",INDEX('Compliance Database'!$K$2:$K$1369,MATCH(1153,'Transfer Engine'!$C$2:$C$1369,0)))</f>
        <v/>
      </c>
      <c r="L1162" s="9">
        <f>IF(ISNA(MATCH(1153,'Transfer Engine'!$C$2:$C$1369,0)),"",INDEX('Compliance Database'!$L$2:$L$1369,MATCH(1153,'Transfer Engine'!$C$2:$C$1369,0)))</f>
        <v/>
      </c>
      <c r="M1162" s="9">
        <f>IF(ISNA(MATCH(1153,'Transfer Engine'!$C$2:$C$1369,0)),"",INDEX('Compliance Database'!$M$2:$M$1369,MATCH(1153,'Transfer Engine'!$C$2:$C$1369,0)))</f>
        <v/>
      </c>
      <c r="N1162" s="9">
        <f>IF(ISNA(MATCH(1153,'Transfer Engine'!$C$2:$C$1369,0)),"",INDEX('Compliance Database'!$N$2:$N$1369,MATCH(1153,'Transfer Engine'!$C$2:$C$1369,0)))</f>
        <v/>
      </c>
      <c r="O1162" s="8">
        <f>IF(ISNA(MATCH(1153,'Transfer Engine'!$C$2:$C$1369,0)),"",HYPERLINK(INDEX('Compliance Database'!$O$2:$O$1369,MATCH(1153,'Transfer Engine'!$C$2:$C$1369,0)),"Open PDF"))</f>
        <v/>
      </c>
    </row>
    <row r="1163" ht="188" customHeight="1">
      <c r="A1163" s="8">
        <f>IF(ISNA(MATCH(1154,'Transfer Engine'!$C$2:$C$1369,0)),"",INDEX('Compliance Database'!$A$2:$A$1369,MATCH(1154,'Transfer Engine'!$C$2:$C$1369,0)))</f>
        <v/>
      </c>
      <c r="B1163" s="8">
        <f>IF(ISNA(MATCH(1154,'Transfer Engine'!$C$2:$C$1369,0)),"",INDEX('Compliance Database'!$B$2:$B$1369,MATCH(1154,'Transfer Engine'!$C$2:$C$1369,0)))</f>
        <v/>
      </c>
      <c r="C1163" s="8">
        <f>IF(ISNA(MATCH(1154,'Transfer Engine'!$C$2:$C$1369,0)),"",INDEX('Compliance Database'!$C$2:$C$1369,MATCH(1154,'Transfer Engine'!$C$2:$C$1369,0)))</f>
        <v/>
      </c>
      <c r="D1163" s="9">
        <f>IF(ISNA(MATCH(1154,'Transfer Engine'!$C$2:$C$1369,0)),"",INDEX('Compliance Database'!$D$2:$D$1369,MATCH(1154,'Transfer Engine'!$C$2:$C$1369,0)))</f>
        <v/>
      </c>
      <c r="E1163" s="8">
        <f>IF(ISNA(MATCH(1154,'Transfer Engine'!$C$2:$C$1369,0)),"",INDEX('Compliance Database'!$E$2:$E$1369,MATCH(1154,'Transfer Engine'!$C$2:$C$1369,0)))</f>
        <v/>
      </c>
      <c r="F1163" s="8">
        <f>IF(ISNA(MATCH(1154,'Transfer Engine'!$C$2:$C$1369,0)),"",INDEX('Compliance Database'!$F$2:$F$1369,MATCH(1154,'Transfer Engine'!$C$2:$C$1369,0)))</f>
        <v/>
      </c>
      <c r="G1163" s="8">
        <f>IF(ISNA(MATCH(1154,'Transfer Engine'!$C$2:$C$1369,0)),"",INDEX('Compliance Database'!$G$2:$G$1369,MATCH(1154,'Transfer Engine'!$C$2:$C$1369,0)))</f>
        <v/>
      </c>
      <c r="H1163" s="9">
        <f>IF(ISNA(MATCH(1154,'Transfer Engine'!$C$2:$C$1369,0)),"",INDEX('Compliance Database'!$H$2:$H$1369,MATCH(1154,'Transfer Engine'!$C$2:$C$1369,0)))</f>
        <v/>
      </c>
      <c r="I1163" s="9">
        <f>IF(ISNA(MATCH(1154,'Transfer Engine'!$C$2:$C$1369,0)),"",INDEX('Compliance Database'!$I$2:$I$1369,MATCH(1154,'Transfer Engine'!$C$2:$C$1369,0)))</f>
        <v/>
      </c>
      <c r="J1163" s="8">
        <f>IF(ISNA(MATCH(1154,'Transfer Engine'!$C$2:$C$1369,0)),"",INDEX('Compliance Database'!$J$2:$J$1369,MATCH(1154,'Transfer Engine'!$C$2:$C$1369,0)))</f>
        <v/>
      </c>
      <c r="K1163" s="9">
        <f>IF(ISNA(MATCH(1154,'Transfer Engine'!$C$2:$C$1369,0)),"",INDEX('Compliance Database'!$K$2:$K$1369,MATCH(1154,'Transfer Engine'!$C$2:$C$1369,0)))</f>
        <v/>
      </c>
      <c r="L1163" s="9">
        <f>IF(ISNA(MATCH(1154,'Transfer Engine'!$C$2:$C$1369,0)),"",INDEX('Compliance Database'!$L$2:$L$1369,MATCH(1154,'Transfer Engine'!$C$2:$C$1369,0)))</f>
        <v/>
      </c>
      <c r="M1163" s="9">
        <f>IF(ISNA(MATCH(1154,'Transfer Engine'!$C$2:$C$1369,0)),"",INDEX('Compliance Database'!$M$2:$M$1369,MATCH(1154,'Transfer Engine'!$C$2:$C$1369,0)))</f>
        <v/>
      </c>
      <c r="N1163" s="9">
        <f>IF(ISNA(MATCH(1154,'Transfer Engine'!$C$2:$C$1369,0)),"",INDEX('Compliance Database'!$N$2:$N$1369,MATCH(1154,'Transfer Engine'!$C$2:$C$1369,0)))</f>
        <v/>
      </c>
      <c r="O1163" s="8">
        <f>IF(ISNA(MATCH(1154,'Transfer Engine'!$C$2:$C$1369,0)),"",HYPERLINK(INDEX('Compliance Database'!$O$2:$O$1369,MATCH(1154,'Transfer Engine'!$C$2:$C$1369,0)),"Open PDF"))</f>
        <v/>
      </c>
    </row>
    <row r="1164" ht="188" customHeight="1">
      <c r="A1164" s="8">
        <f>IF(ISNA(MATCH(1155,'Transfer Engine'!$C$2:$C$1369,0)),"",INDEX('Compliance Database'!$A$2:$A$1369,MATCH(1155,'Transfer Engine'!$C$2:$C$1369,0)))</f>
        <v/>
      </c>
      <c r="B1164" s="8">
        <f>IF(ISNA(MATCH(1155,'Transfer Engine'!$C$2:$C$1369,0)),"",INDEX('Compliance Database'!$B$2:$B$1369,MATCH(1155,'Transfer Engine'!$C$2:$C$1369,0)))</f>
        <v/>
      </c>
      <c r="C1164" s="8">
        <f>IF(ISNA(MATCH(1155,'Transfer Engine'!$C$2:$C$1369,0)),"",INDEX('Compliance Database'!$C$2:$C$1369,MATCH(1155,'Transfer Engine'!$C$2:$C$1369,0)))</f>
        <v/>
      </c>
      <c r="D1164" s="9">
        <f>IF(ISNA(MATCH(1155,'Transfer Engine'!$C$2:$C$1369,0)),"",INDEX('Compliance Database'!$D$2:$D$1369,MATCH(1155,'Transfer Engine'!$C$2:$C$1369,0)))</f>
        <v/>
      </c>
      <c r="E1164" s="8">
        <f>IF(ISNA(MATCH(1155,'Transfer Engine'!$C$2:$C$1369,0)),"",INDEX('Compliance Database'!$E$2:$E$1369,MATCH(1155,'Transfer Engine'!$C$2:$C$1369,0)))</f>
        <v/>
      </c>
      <c r="F1164" s="8">
        <f>IF(ISNA(MATCH(1155,'Transfer Engine'!$C$2:$C$1369,0)),"",INDEX('Compliance Database'!$F$2:$F$1369,MATCH(1155,'Transfer Engine'!$C$2:$C$1369,0)))</f>
        <v/>
      </c>
      <c r="G1164" s="8">
        <f>IF(ISNA(MATCH(1155,'Transfer Engine'!$C$2:$C$1369,0)),"",INDEX('Compliance Database'!$G$2:$G$1369,MATCH(1155,'Transfer Engine'!$C$2:$C$1369,0)))</f>
        <v/>
      </c>
      <c r="H1164" s="9">
        <f>IF(ISNA(MATCH(1155,'Transfer Engine'!$C$2:$C$1369,0)),"",INDEX('Compliance Database'!$H$2:$H$1369,MATCH(1155,'Transfer Engine'!$C$2:$C$1369,0)))</f>
        <v/>
      </c>
      <c r="I1164" s="9">
        <f>IF(ISNA(MATCH(1155,'Transfer Engine'!$C$2:$C$1369,0)),"",INDEX('Compliance Database'!$I$2:$I$1369,MATCH(1155,'Transfer Engine'!$C$2:$C$1369,0)))</f>
        <v/>
      </c>
      <c r="J1164" s="8">
        <f>IF(ISNA(MATCH(1155,'Transfer Engine'!$C$2:$C$1369,0)),"",INDEX('Compliance Database'!$J$2:$J$1369,MATCH(1155,'Transfer Engine'!$C$2:$C$1369,0)))</f>
        <v/>
      </c>
      <c r="K1164" s="9">
        <f>IF(ISNA(MATCH(1155,'Transfer Engine'!$C$2:$C$1369,0)),"",INDEX('Compliance Database'!$K$2:$K$1369,MATCH(1155,'Transfer Engine'!$C$2:$C$1369,0)))</f>
        <v/>
      </c>
      <c r="L1164" s="9">
        <f>IF(ISNA(MATCH(1155,'Transfer Engine'!$C$2:$C$1369,0)),"",INDEX('Compliance Database'!$L$2:$L$1369,MATCH(1155,'Transfer Engine'!$C$2:$C$1369,0)))</f>
        <v/>
      </c>
      <c r="M1164" s="9">
        <f>IF(ISNA(MATCH(1155,'Transfer Engine'!$C$2:$C$1369,0)),"",INDEX('Compliance Database'!$M$2:$M$1369,MATCH(1155,'Transfer Engine'!$C$2:$C$1369,0)))</f>
        <v/>
      </c>
      <c r="N1164" s="9">
        <f>IF(ISNA(MATCH(1155,'Transfer Engine'!$C$2:$C$1369,0)),"",INDEX('Compliance Database'!$N$2:$N$1369,MATCH(1155,'Transfer Engine'!$C$2:$C$1369,0)))</f>
        <v/>
      </c>
      <c r="O1164" s="8">
        <f>IF(ISNA(MATCH(1155,'Transfer Engine'!$C$2:$C$1369,0)),"",HYPERLINK(INDEX('Compliance Database'!$O$2:$O$1369,MATCH(1155,'Transfer Engine'!$C$2:$C$1369,0)),"Open PDF"))</f>
        <v/>
      </c>
    </row>
    <row r="1165" ht="188" customHeight="1">
      <c r="A1165" s="8">
        <f>IF(ISNA(MATCH(1156,'Transfer Engine'!$C$2:$C$1369,0)),"",INDEX('Compliance Database'!$A$2:$A$1369,MATCH(1156,'Transfer Engine'!$C$2:$C$1369,0)))</f>
        <v/>
      </c>
      <c r="B1165" s="8">
        <f>IF(ISNA(MATCH(1156,'Transfer Engine'!$C$2:$C$1369,0)),"",INDEX('Compliance Database'!$B$2:$B$1369,MATCH(1156,'Transfer Engine'!$C$2:$C$1369,0)))</f>
        <v/>
      </c>
      <c r="C1165" s="8">
        <f>IF(ISNA(MATCH(1156,'Transfer Engine'!$C$2:$C$1369,0)),"",INDEX('Compliance Database'!$C$2:$C$1369,MATCH(1156,'Transfer Engine'!$C$2:$C$1369,0)))</f>
        <v/>
      </c>
      <c r="D1165" s="9">
        <f>IF(ISNA(MATCH(1156,'Transfer Engine'!$C$2:$C$1369,0)),"",INDEX('Compliance Database'!$D$2:$D$1369,MATCH(1156,'Transfer Engine'!$C$2:$C$1369,0)))</f>
        <v/>
      </c>
      <c r="E1165" s="8">
        <f>IF(ISNA(MATCH(1156,'Transfer Engine'!$C$2:$C$1369,0)),"",INDEX('Compliance Database'!$E$2:$E$1369,MATCH(1156,'Transfer Engine'!$C$2:$C$1369,0)))</f>
        <v/>
      </c>
      <c r="F1165" s="8">
        <f>IF(ISNA(MATCH(1156,'Transfer Engine'!$C$2:$C$1369,0)),"",INDEX('Compliance Database'!$F$2:$F$1369,MATCH(1156,'Transfer Engine'!$C$2:$C$1369,0)))</f>
        <v/>
      </c>
      <c r="G1165" s="8">
        <f>IF(ISNA(MATCH(1156,'Transfer Engine'!$C$2:$C$1369,0)),"",INDEX('Compliance Database'!$G$2:$G$1369,MATCH(1156,'Transfer Engine'!$C$2:$C$1369,0)))</f>
        <v/>
      </c>
      <c r="H1165" s="9">
        <f>IF(ISNA(MATCH(1156,'Transfer Engine'!$C$2:$C$1369,0)),"",INDEX('Compliance Database'!$H$2:$H$1369,MATCH(1156,'Transfer Engine'!$C$2:$C$1369,0)))</f>
        <v/>
      </c>
      <c r="I1165" s="9">
        <f>IF(ISNA(MATCH(1156,'Transfer Engine'!$C$2:$C$1369,0)),"",INDEX('Compliance Database'!$I$2:$I$1369,MATCH(1156,'Transfer Engine'!$C$2:$C$1369,0)))</f>
        <v/>
      </c>
      <c r="J1165" s="8">
        <f>IF(ISNA(MATCH(1156,'Transfer Engine'!$C$2:$C$1369,0)),"",INDEX('Compliance Database'!$J$2:$J$1369,MATCH(1156,'Transfer Engine'!$C$2:$C$1369,0)))</f>
        <v/>
      </c>
      <c r="K1165" s="9">
        <f>IF(ISNA(MATCH(1156,'Transfer Engine'!$C$2:$C$1369,0)),"",INDEX('Compliance Database'!$K$2:$K$1369,MATCH(1156,'Transfer Engine'!$C$2:$C$1369,0)))</f>
        <v/>
      </c>
      <c r="L1165" s="9">
        <f>IF(ISNA(MATCH(1156,'Transfer Engine'!$C$2:$C$1369,0)),"",INDEX('Compliance Database'!$L$2:$L$1369,MATCH(1156,'Transfer Engine'!$C$2:$C$1369,0)))</f>
        <v/>
      </c>
      <c r="M1165" s="9">
        <f>IF(ISNA(MATCH(1156,'Transfer Engine'!$C$2:$C$1369,0)),"",INDEX('Compliance Database'!$M$2:$M$1369,MATCH(1156,'Transfer Engine'!$C$2:$C$1369,0)))</f>
        <v/>
      </c>
      <c r="N1165" s="9">
        <f>IF(ISNA(MATCH(1156,'Transfer Engine'!$C$2:$C$1369,0)),"",INDEX('Compliance Database'!$N$2:$N$1369,MATCH(1156,'Transfer Engine'!$C$2:$C$1369,0)))</f>
        <v/>
      </c>
      <c r="O1165" s="8">
        <f>IF(ISNA(MATCH(1156,'Transfer Engine'!$C$2:$C$1369,0)),"",HYPERLINK(INDEX('Compliance Database'!$O$2:$O$1369,MATCH(1156,'Transfer Engine'!$C$2:$C$1369,0)),"Open PDF"))</f>
        <v/>
      </c>
    </row>
    <row r="1166" ht="188" customHeight="1">
      <c r="A1166" s="8">
        <f>IF(ISNA(MATCH(1157,'Transfer Engine'!$C$2:$C$1369,0)),"",INDEX('Compliance Database'!$A$2:$A$1369,MATCH(1157,'Transfer Engine'!$C$2:$C$1369,0)))</f>
        <v/>
      </c>
      <c r="B1166" s="8">
        <f>IF(ISNA(MATCH(1157,'Transfer Engine'!$C$2:$C$1369,0)),"",INDEX('Compliance Database'!$B$2:$B$1369,MATCH(1157,'Transfer Engine'!$C$2:$C$1369,0)))</f>
        <v/>
      </c>
      <c r="C1166" s="8">
        <f>IF(ISNA(MATCH(1157,'Transfer Engine'!$C$2:$C$1369,0)),"",INDEX('Compliance Database'!$C$2:$C$1369,MATCH(1157,'Transfer Engine'!$C$2:$C$1369,0)))</f>
        <v/>
      </c>
      <c r="D1166" s="9">
        <f>IF(ISNA(MATCH(1157,'Transfer Engine'!$C$2:$C$1369,0)),"",INDEX('Compliance Database'!$D$2:$D$1369,MATCH(1157,'Transfer Engine'!$C$2:$C$1369,0)))</f>
        <v/>
      </c>
      <c r="E1166" s="8">
        <f>IF(ISNA(MATCH(1157,'Transfer Engine'!$C$2:$C$1369,0)),"",INDEX('Compliance Database'!$E$2:$E$1369,MATCH(1157,'Transfer Engine'!$C$2:$C$1369,0)))</f>
        <v/>
      </c>
      <c r="F1166" s="8">
        <f>IF(ISNA(MATCH(1157,'Transfer Engine'!$C$2:$C$1369,0)),"",INDEX('Compliance Database'!$F$2:$F$1369,MATCH(1157,'Transfer Engine'!$C$2:$C$1369,0)))</f>
        <v/>
      </c>
      <c r="G1166" s="8">
        <f>IF(ISNA(MATCH(1157,'Transfer Engine'!$C$2:$C$1369,0)),"",INDEX('Compliance Database'!$G$2:$G$1369,MATCH(1157,'Transfer Engine'!$C$2:$C$1369,0)))</f>
        <v/>
      </c>
      <c r="H1166" s="9">
        <f>IF(ISNA(MATCH(1157,'Transfer Engine'!$C$2:$C$1369,0)),"",INDEX('Compliance Database'!$H$2:$H$1369,MATCH(1157,'Transfer Engine'!$C$2:$C$1369,0)))</f>
        <v/>
      </c>
      <c r="I1166" s="9">
        <f>IF(ISNA(MATCH(1157,'Transfer Engine'!$C$2:$C$1369,0)),"",INDEX('Compliance Database'!$I$2:$I$1369,MATCH(1157,'Transfer Engine'!$C$2:$C$1369,0)))</f>
        <v/>
      </c>
      <c r="J1166" s="8">
        <f>IF(ISNA(MATCH(1157,'Transfer Engine'!$C$2:$C$1369,0)),"",INDEX('Compliance Database'!$J$2:$J$1369,MATCH(1157,'Transfer Engine'!$C$2:$C$1369,0)))</f>
        <v/>
      </c>
      <c r="K1166" s="9">
        <f>IF(ISNA(MATCH(1157,'Transfer Engine'!$C$2:$C$1369,0)),"",INDEX('Compliance Database'!$K$2:$K$1369,MATCH(1157,'Transfer Engine'!$C$2:$C$1369,0)))</f>
        <v/>
      </c>
      <c r="L1166" s="9">
        <f>IF(ISNA(MATCH(1157,'Transfer Engine'!$C$2:$C$1369,0)),"",INDEX('Compliance Database'!$L$2:$L$1369,MATCH(1157,'Transfer Engine'!$C$2:$C$1369,0)))</f>
        <v/>
      </c>
      <c r="M1166" s="9">
        <f>IF(ISNA(MATCH(1157,'Transfer Engine'!$C$2:$C$1369,0)),"",INDEX('Compliance Database'!$M$2:$M$1369,MATCH(1157,'Transfer Engine'!$C$2:$C$1369,0)))</f>
        <v/>
      </c>
      <c r="N1166" s="9">
        <f>IF(ISNA(MATCH(1157,'Transfer Engine'!$C$2:$C$1369,0)),"",INDEX('Compliance Database'!$N$2:$N$1369,MATCH(1157,'Transfer Engine'!$C$2:$C$1369,0)))</f>
        <v/>
      </c>
      <c r="O1166" s="8">
        <f>IF(ISNA(MATCH(1157,'Transfer Engine'!$C$2:$C$1369,0)),"",HYPERLINK(INDEX('Compliance Database'!$O$2:$O$1369,MATCH(1157,'Transfer Engine'!$C$2:$C$1369,0)),"Open PDF"))</f>
        <v/>
      </c>
    </row>
    <row r="1167" ht="188" customHeight="1">
      <c r="A1167" s="8">
        <f>IF(ISNA(MATCH(1158,'Transfer Engine'!$C$2:$C$1369,0)),"",INDEX('Compliance Database'!$A$2:$A$1369,MATCH(1158,'Transfer Engine'!$C$2:$C$1369,0)))</f>
        <v/>
      </c>
      <c r="B1167" s="8">
        <f>IF(ISNA(MATCH(1158,'Transfer Engine'!$C$2:$C$1369,0)),"",INDEX('Compliance Database'!$B$2:$B$1369,MATCH(1158,'Transfer Engine'!$C$2:$C$1369,0)))</f>
        <v/>
      </c>
      <c r="C1167" s="8">
        <f>IF(ISNA(MATCH(1158,'Transfer Engine'!$C$2:$C$1369,0)),"",INDEX('Compliance Database'!$C$2:$C$1369,MATCH(1158,'Transfer Engine'!$C$2:$C$1369,0)))</f>
        <v/>
      </c>
      <c r="D1167" s="9">
        <f>IF(ISNA(MATCH(1158,'Transfer Engine'!$C$2:$C$1369,0)),"",INDEX('Compliance Database'!$D$2:$D$1369,MATCH(1158,'Transfer Engine'!$C$2:$C$1369,0)))</f>
        <v/>
      </c>
      <c r="E1167" s="8">
        <f>IF(ISNA(MATCH(1158,'Transfer Engine'!$C$2:$C$1369,0)),"",INDEX('Compliance Database'!$E$2:$E$1369,MATCH(1158,'Transfer Engine'!$C$2:$C$1369,0)))</f>
        <v/>
      </c>
      <c r="F1167" s="8">
        <f>IF(ISNA(MATCH(1158,'Transfer Engine'!$C$2:$C$1369,0)),"",INDEX('Compliance Database'!$F$2:$F$1369,MATCH(1158,'Transfer Engine'!$C$2:$C$1369,0)))</f>
        <v/>
      </c>
      <c r="G1167" s="8">
        <f>IF(ISNA(MATCH(1158,'Transfer Engine'!$C$2:$C$1369,0)),"",INDEX('Compliance Database'!$G$2:$G$1369,MATCH(1158,'Transfer Engine'!$C$2:$C$1369,0)))</f>
        <v/>
      </c>
      <c r="H1167" s="9">
        <f>IF(ISNA(MATCH(1158,'Transfer Engine'!$C$2:$C$1369,0)),"",INDEX('Compliance Database'!$H$2:$H$1369,MATCH(1158,'Transfer Engine'!$C$2:$C$1369,0)))</f>
        <v/>
      </c>
      <c r="I1167" s="9">
        <f>IF(ISNA(MATCH(1158,'Transfer Engine'!$C$2:$C$1369,0)),"",INDEX('Compliance Database'!$I$2:$I$1369,MATCH(1158,'Transfer Engine'!$C$2:$C$1369,0)))</f>
        <v/>
      </c>
      <c r="J1167" s="8">
        <f>IF(ISNA(MATCH(1158,'Transfer Engine'!$C$2:$C$1369,0)),"",INDEX('Compliance Database'!$J$2:$J$1369,MATCH(1158,'Transfer Engine'!$C$2:$C$1369,0)))</f>
        <v/>
      </c>
      <c r="K1167" s="9">
        <f>IF(ISNA(MATCH(1158,'Transfer Engine'!$C$2:$C$1369,0)),"",INDEX('Compliance Database'!$K$2:$K$1369,MATCH(1158,'Transfer Engine'!$C$2:$C$1369,0)))</f>
        <v/>
      </c>
      <c r="L1167" s="9">
        <f>IF(ISNA(MATCH(1158,'Transfer Engine'!$C$2:$C$1369,0)),"",INDEX('Compliance Database'!$L$2:$L$1369,MATCH(1158,'Transfer Engine'!$C$2:$C$1369,0)))</f>
        <v/>
      </c>
      <c r="M1167" s="9">
        <f>IF(ISNA(MATCH(1158,'Transfer Engine'!$C$2:$C$1369,0)),"",INDEX('Compliance Database'!$M$2:$M$1369,MATCH(1158,'Transfer Engine'!$C$2:$C$1369,0)))</f>
        <v/>
      </c>
      <c r="N1167" s="9">
        <f>IF(ISNA(MATCH(1158,'Transfer Engine'!$C$2:$C$1369,0)),"",INDEX('Compliance Database'!$N$2:$N$1369,MATCH(1158,'Transfer Engine'!$C$2:$C$1369,0)))</f>
        <v/>
      </c>
      <c r="O1167" s="8">
        <f>IF(ISNA(MATCH(1158,'Transfer Engine'!$C$2:$C$1369,0)),"",HYPERLINK(INDEX('Compliance Database'!$O$2:$O$1369,MATCH(1158,'Transfer Engine'!$C$2:$C$1369,0)),"Open PDF"))</f>
        <v/>
      </c>
    </row>
    <row r="1168" ht="188" customHeight="1">
      <c r="A1168" s="8">
        <f>IF(ISNA(MATCH(1159,'Transfer Engine'!$C$2:$C$1369,0)),"",INDEX('Compliance Database'!$A$2:$A$1369,MATCH(1159,'Transfer Engine'!$C$2:$C$1369,0)))</f>
        <v/>
      </c>
      <c r="B1168" s="8">
        <f>IF(ISNA(MATCH(1159,'Transfer Engine'!$C$2:$C$1369,0)),"",INDEX('Compliance Database'!$B$2:$B$1369,MATCH(1159,'Transfer Engine'!$C$2:$C$1369,0)))</f>
        <v/>
      </c>
      <c r="C1168" s="8">
        <f>IF(ISNA(MATCH(1159,'Transfer Engine'!$C$2:$C$1369,0)),"",INDEX('Compliance Database'!$C$2:$C$1369,MATCH(1159,'Transfer Engine'!$C$2:$C$1369,0)))</f>
        <v/>
      </c>
      <c r="D1168" s="9">
        <f>IF(ISNA(MATCH(1159,'Transfer Engine'!$C$2:$C$1369,0)),"",INDEX('Compliance Database'!$D$2:$D$1369,MATCH(1159,'Transfer Engine'!$C$2:$C$1369,0)))</f>
        <v/>
      </c>
      <c r="E1168" s="8">
        <f>IF(ISNA(MATCH(1159,'Transfer Engine'!$C$2:$C$1369,0)),"",INDEX('Compliance Database'!$E$2:$E$1369,MATCH(1159,'Transfer Engine'!$C$2:$C$1369,0)))</f>
        <v/>
      </c>
      <c r="F1168" s="8">
        <f>IF(ISNA(MATCH(1159,'Transfer Engine'!$C$2:$C$1369,0)),"",INDEX('Compliance Database'!$F$2:$F$1369,MATCH(1159,'Transfer Engine'!$C$2:$C$1369,0)))</f>
        <v/>
      </c>
      <c r="G1168" s="8">
        <f>IF(ISNA(MATCH(1159,'Transfer Engine'!$C$2:$C$1369,0)),"",INDEX('Compliance Database'!$G$2:$G$1369,MATCH(1159,'Transfer Engine'!$C$2:$C$1369,0)))</f>
        <v/>
      </c>
      <c r="H1168" s="9">
        <f>IF(ISNA(MATCH(1159,'Transfer Engine'!$C$2:$C$1369,0)),"",INDEX('Compliance Database'!$H$2:$H$1369,MATCH(1159,'Transfer Engine'!$C$2:$C$1369,0)))</f>
        <v/>
      </c>
      <c r="I1168" s="9">
        <f>IF(ISNA(MATCH(1159,'Transfer Engine'!$C$2:$C$1369,0)),"",INDEX('Compliance Database'!$I$2:$I$1369,MATCH(1159,'Transfer Engine'!$C$2:$C$1369,0)))</f>
        <v/>
      </c>
      <c r="J1168" s="8">
        <f>IF(ISNA(MATCH(1159,'Transfer Engine'!$C$2:$C$1369,0)),"",INDEX('Compliance Database'!$J$2:$J$1369,MATCH(1159,'Transfer Engine'!$C$2:$C$1369,0)))</f>
        <v/>
      </c>
      <c r="K1168" s="9">
        <f>IF(ISNA(MATCH(1159,'Transfer Engine'!$C$2:$C$1369,0)),"",INDEX('Compliance Database'!$K$2:$K$1369,MATCH(1159,'Transfer Engine'!$C$2:$C$1369,0)))</f>
        <v/>
      </c>
      <c r="L1168" s="9">
        <f>IF(ISNA(MATCH(1159,'Transfer Engine'!$C$2:$C$1369,0)),"",INDEX('Compliance Database'!$L$2:$L$1369,MATCH(1159,'Transfer Engine'!$C$2:$C$1369,0)))</f>
        <v/>
      </c>
      <c r="M1168" s="9">
        <f>IF(ISNA(MATCH(1159,'Transfer Engine'!$C$2:$C$1369,0)),"",INDEX('Compliance Database'!$M$2:$M$1369,MATCH(1159,'Transfer Engine'!$C$2:$C$1369,0)))</f>
        <v/>
      </c>
      <c r="N1168" s="9">
        <f>IF(ISNA(MATCH(1159,'Transfer Engine'!$C$2:$C$1369,0)),"",INDEX('Compliance Database'!$N$2:$N$1369,MATCH(1159,'Transfer Engine'!$C$2:$C$1369,0)))</f>
        <v/>
      </c>
      <c r="O1168" s="8">
        <f>IF(ISNA(MATCH(1159,'Transfer Engine'!$C$2:$C$1369,0)),"",HYPERLINK(INDEX('Compliance Database'!$O$2:$O$1369,MATCH(1159,'Transfer Engine'!$C$2:$C$1369,0)),"Open PDF"))</f>
        <v/>
      </c>
    </row>
    <row r="1169" ht="188" customHeight="1">
      <c r="A1169" s="8">
        <f>IF(ISNA(MATCH(1160,'Transfer Engine'!$C$2:$C$1369,0)),"",INDEX('Compliance Database'!$A$2:$A$1369,MATCH(1160,'Transfer Engine'!$C$2:$C$1369,0)))</f>
        <v/>
      </c>
      <c r="B1169" s="8">
        <f>IF(ISNA(MATCH(1160,'Transfer Engine'!$C$2:$C$1369,0)),"",INDEX('Compliance Database'!$B$2:$B$1369,MATCH(1160,'Transfer Engine'!$C$2:$C$1369,0)))</f>
        <v/>
      </c>
      <c r="C1169" s="8">
        <f>IF(ISNA(MATCH(1160,'Transfer Engine'!$C$2:$C$1369,0)),"",INDEX('Compliance Database'!$C$2:$C$1369,MATCH(1160,'Transfer Engine'!$C$2:$C$1369,0)))</f>
        <v/>
      </c>
      <c r="D1169" s="9">
        <f>IF(ISNA(MATCH(1160,'Transfer Engine'!$C$2:$C$1369,0)),"",INDEX('Compliance Database'!$D$2:$D$1369,MATCH(1160,'Transfer Engine'!$C$2:$C$1369,0)))</f>
        <v/>
      </c>
      <c r="E1169" s="8">
        <f>IF(ISNA(MATCH(1160,'Transfer Engine'!$C$2:$C$1369,0)),"",INDEX('Compliance Database'!$E$2:$E$1369,MATCH(1160,'Transfer Engine'!$C$2:$C$1369,0)))</f>
        <v/>
      </c>
      <c r="F1169" s="8">
        <f>IF(ISNA(MATCH(1160,'Transfer Engine'!$C$2:$C$1369,0)),"",INDEX('Compliance Database'!$F$2:$F$1369,MATCH(1160,'Transfer Engine'!$C$2:$C$1369,0)))</f>
        <v/>
      </c>
      <c r="G1169" s="8">
        <f>IF(ISNA(MATCH(1160,'Transfer Engine'!$C$2:$C$1369,0)),"",INDEX('Compliance Database'!$G$2:$G$1369,MATCH(1160,'Transfer Engine'!$C$2:$C$1369,0)))</f>
        <v/>
      </c>
      <c r="H1169" s="9">
        <f>IF(ISNA(MATCH(1160,'Transfer Engine'!$C$2:$C$1369,0)),"",INDEX('Compliance Database'!$H$2:$H$1369,MATCH(1160,'Transfer Engine'!$C$2:$C$1369,0)))</f>
        <v/>
      </c>
      <c r="I1169" s="9">
        <f>IF(ISNA(MATCH(1160,'Transfer Engine'!$C$2:$C$1369,0)),"",INDEX('Compliance Database'!$I$2:$I$1369,MATCH(1160,'Transfer Engine'!$C$2:$C$1369,0)))</f>
        <v/>
      </c>
      <c r="J1169" s="8">
        <f>IF(ISNA(MATCH(1160,'Transfer Engine'!$C$2:$C$1369,0)),"",INDEX('Compliance Database'!$J$2:$J$1369,MATCH(1160,'Transfer Engine'!$C$2:$C$1369,0)))</f>
        <v/>
      </c>
      <c r="K1169" s="9">
        <f>IF(ISNA(MATCH(1160,'Transfer Engine'!$C$2:$C$1369,0)),"",INDEX('Compliance Database'!$K$2:$K$1369,MATCH(1160,'Transfer Engine'!$C$2:$C$1369,0)))</f>
        <v/>
      </c>
      <c r="L1169" s="9">
        <f>IF(ISNA(MATCH(1160,'Transfer Engine'!$C$2:$C$1369,0)),"",INDEX('Compliance Database'!$L$2:$L$1369,MATCH(1160,'Transfer Engine'!$C$2:$C$1369,0)))</f>
        <v/>
      </c>
      <c r="M1169" s="9">
        <f>IF(ISNA(MATCH(1160,'Transfer Engine'!$C$2:$C$1369,0)),"",INDEX('Compliance Database'!$M$2:$M$1369,MATCH(1160,'Transfer Engine'!$C$2:$C$1369,0)))</f>
        <v/>
      </c>
      <c r="N1169" s="9">
        <f>IF(ISNA(MATCH(1160,'Transfer Engine'!$C$2:$C$1369,0)),"",INDEX('Compliance Database'!$N$2:$N$1369,MATCH(1160,'Transfer Engine'!$C$2:$C$1369,0)))</f>
        <v/>
      </c>
      <c r="O1169" s="8">
        <f>IF(ISNA(MATCH(1160,'Transfer Engine'!$C$2:$C$1369,0)),"",HYPERLINK(INDEX('Compliance Database'!$O$2:$O$1369,MATCH(1160,'Transfer Engine'!$C$2:$C$1369,0)),"Open PDF"))</f>
        <v/>
      </c>
    </row>
    <row r="1170" ht="188" customHeight="1">
      <c r="A1170" s="8">
        <f>IF(ISNA(MATCH(1161,'Transfer Engine'!$C$2:$C$1369,0)),"",INDEX('Compliance Database'!$A$2:$A$1369,MATCH(1161,'Transfer Engine'!$C$2:$C$1369,0)))</f>
        <v/>
      </c>
      <c r="B1170" s="8">
        <f>IF(ISNA(MATCH(1161,'Transfer Engine'!$C$2:$C$1369,0)),"",INDEX('Compliance Database'!$B$2:$B$1369,MATCH(1161,'Transfer Engine'!$C$2:$C$1369,0)))</f>
        <v/>
      </c>
      <c r="C1170" s="8">
        <f>IF(ISNA(MATCH(1161,'Transfer Engine'!$C$2:$C$1369,0)),"",INDEX('Compliance Database'!$C$2:$C$1369,MATCH(1161,'Transfer Engine'!$C$2:$C$1369,0)))</f>
        <v/>
      </c>
      <c r="D1170" s="9">
        <f>IF(ISNA(MATCH(1161,'Transfer Engine'!$C$2:$C$1369,0)),"",INDEX('Compliance Database'!$D$2:$D$1369,MATCH(1161,'Transfer Engine'!$C$2:$C$1369,0)))</f>
        <v/>
      </c>
      <c r="E1170" s="8">
        <f>IF(ISNA(MATCH(1161,'Transfer Engine'!$C$2:$C$1369,0)),"",INDEX('Compliance Database'!$E$2:$E$1369,MATCH(1161,'Transfer Engine'!$C$2:$C$1369,0)))</f>
        <v/>
      </c>
      <c r="F1170" s="8">
        <f>IF(ISNA(MATCH(1161,'Transfer Engine'!$C$2:$C$1369,0)),"",INDEX('Compliance Database'!$F$2:$F$1369,MATCH(1161,'Transfer Engine'!$C$2:$C$1369,0)))</f>
        <v/>
      </c>
      <c r="G1170" s="8">
        <f>IF(ISNA(MATCH(1161,'Transfer Engine'!$C$2:$C$1369,0)),"",INDEX('Compliance Database'!$G$2:$G$1369,MATCH(1161,'Transfer Engine'!$C$2:$C$1369,0)))</f>
        <v/>
      </c>
      <c r="H1170" s="9">
        <f>IF(ISNA(MATCH(1161,'Transfer Engine'!$C$2:$C$1369,0)),"",INDEX('Compliance Database'!$H$2:$H$1369,MATCH(1161,'Transfer Engine'!$C$2:$C$1369,0)))</f>
        <v/>
      </c>
      <c r="I1170" s="9">
        <f>IF(ISNA(MATCH(1161,'Transfer Engine'!$C$2:$C$1369,0)),"",INDEX('Compliance Database'!$I$2:$I$1369,MATCH(1161,'Transfer Engine'!$C$2:$C$1369,0)))</f>
        <v/>
      </c>
      <c r="J1170" s="8">
        <f>IF(ISNA(MATCH(1161,'Transfer Engine'!$C$2:$C$1369,0)),"",INDEX('Compliance Database'!$J$2:$J$1369,MATCH(1161,'Transfer Engine'!$C$2:$C$1369,0)))</f>
        <v/>
      </c>
      <c r="K1170" s="9">
        <f>IF(ISNA(MATCH(1161,'Transfer Engine'!$C$2:$C$1369,0)),"",INDEX('Compliance Database'!$K$2:$K$1369,MATCH(1161,'Transfer Engine'!$C$2:$C$1369,0)))</f>
        <v/>
      </c>
      <c r="L1170" s="9">
        <f>IF(ISNA(MATCH(1161,'Transfer Engine'!$C$2:$C$1369,0)),"",INDEX('Compliance Database'!$L$2:$L$1369,MATCH(1161,'Transfer Engine'!$C$2:$C$1369,0)))</f>
        <v/>
      </c>
      <c r="M1170" s="9">
        <f>IF(ISNA(MATCH(1161,'Transfer Engine'!$C$2:$C$1369,0)),"",INDEX('Compliance Database'!$M$2:$M$1369,MATCH(1161,'Transfer Engine'!$C$2:$C$1369,0)))</f>
        <v/>
      </c>
      <c r="N1170" s="9">
        <f>IF(ISNA(MATCH(1161,'Transfer Engine'!$C$2:$C$1369,0)),"",INDEX('Compliance Database'!$N$2:$N$1369,MATCH(1161,'Transfer Engine'!$C$2:$C$1369,0)))</f>
        <v/>
      </c>
      <c r="O1170" s="8">
        <f>IF(ISNA(MATCH(1161,'Transfer Engine'!$C$2:$C$1369,0)),"",HYPERLINK(INDEX('Compliance Database'!$O$2:$O$1369,MATCH(1161,'Transfer Engine'!$C$2:$C$1369,0)),"Open PDF"))</f>
        <v/>
      </c>
    </row>
    <row r="1171" ht="188" customHeight="1">
      <c r="A1171" s="8">
        <f>IF(ISNA(MATCH(1162,'Transfer Engine'!$C$2:$C$1369,0)),"",INDEX('Compliance Database'!$A$2:$A$1369,MATCH(1162,'Transfer Engine'!$C$2:$C$1369,0)))</f>
        <v/>
      </c>
      <c r="B1171" s="8">
        <f>IF(ISNA(MATCH(1162,'Transfer Engine'!$C$2:$C$1369,0)),"",INDEX('Compliance Database'!$B$2:$B$1369,MATCH(1162,'Transfer Engine'!$C$2:$C$1369,0)))</f>
        <v/>
      </c>
      <c r="C1171" s="8">
        <f>IF(ISNA(MATCH(1162,'Transfer Engine'!$C$2:$C$1369,0)),"",INDEX('Compliance Database'!$C$2:$C$1369,MATCH(1162,'Transfer Engine'!$C$2:$C$1369,0)))</f>
        <v/>
      </c>
      <c r="D1171" s="9">
        <f>IF(ISNA(MATCH(1162,'Transfer Engine'!$C$2:$C$1369,0)),"",INDEX('Compliance Database'!$D$2:$D$1369,MATCH(1162,'Transfer Engine'!$C$2:$C$1369,0)))</f>
        <v/>
      </c>
      <c r="E1171" s="8">
        <f>IF(ISNA(MATCH(1162,'Transfer Engine'!$C$2:$C$1369,0)),"",INDEX('Compliance Database'!$E$2:$E$1369,MATCH(1162,'Transfer Engine'!$C$2:$C$1369,0)))</f>
        <v/>
      </c>
      <c r="F1171" s="8">
        <f>IF(ISNA(MATCH(1162,'Transfer Engine'!$C$2:$C$1369,0)),"",INDEX('Compliance Database'!$F$2:$F$1369,MATCH(1162,'Transfer Engine'!$C$2:$C$1369,0)))</f>
        <v/>
      </c>
      <c r="G1171" s="8">
        <f>IF(ISNA(MATCH(1162,'Transfer Engine'!$C$2:$C$1369,0)),"",INDEX('Compliance Database'!$G$2:$G$1369,MATCH(1162,'Transfer Engine'!$C$2:$C$1369,0)))</f>
        <v/>
      </c>
      <c r="H1171" s="9">
        <f>IF(ISNA(MATCH(1162,'Transfer Engine'!$C$2:$C$1369,0)),"",INDEX('Compliance Database'!$H$2:$H$1369,MATCH(1162,'Transfer Engine'!$C$2:$C$1369,0)))</f>
        <v/>
      </c>
      <c r="I1171" s="9">
        <f>IF(ISNA(MATCH(1162,'Transfer Engine'!$C$2:$C$1369,0)),"",INDEX('Compliance Database'!$I$2:$I$1369,MATCH(1162,'Transfer Engine'!$C$2:$C$1369,0)))</f>
        <v/>
      </c>
      <c r="J1171" s="8">
        <f>IF(ISNA(MATCH(1162,'Transfer Engine'!$C$2:$C$1369,0)),"",INDEX('Compliance Database'!$J$2:$J$1369,MATCH(1162,'Transfer Engine'!$C$2:$C$1369,0)))</f>
        <v/>
      </c>
      <c r="K1171" s="9">
        <f>IF(ISNA(MATCH(1162,'Transfer Engine'!$C$2:$C$1369,0)),"",INDEX('Compliance Database'!$K$2:$K$1369,MATCH(1162,'Transfer Engine'!$C$2:$C$1369,0)))</f>
        <v/>
      </c>
      <c r="L1171" s="9">
        <f>IF(ISNA(MATCH(1162,'Transfer Engine'!$C$2:$C$1369,0)),"",INDEX('Compliance Database'!$L$2:$L$1369,MATCH(1162,'Transfer Engine'!$C$2:$C$1369,0)))</f>
        <v/>
      </c>
      <c r="M1171" s="9">
        <f>IF(ISNA(MATCH(1162,'Transfer Engine'!$C$2:$C$1369,0)),"",INDEX('Compliance Database'!$M$2:$M$1369,MATCH(1162,'Transfer Engine'!$C$2:$C$1369,0)))</f>
        <v/>
      </c>
      <c r="N1171" s="9">
        <f>IF(ISNA(MATCH(1162,'Transfer Engine'!$C$2:$C$1369,0)),"",INDEX('Compliance Database'!$N$2:$N$1369,MATCH(1162,'Transfer Engine'!$C$2:$C$1369,0)))</f>
        <v/>
      </c>
      <c r="O1171" s="8">
        <f>IF(ISNA(MATCH(1162,'Transfer Engine'!$C$2:$C$1369,0)),"",HYPERLINK(INDEX('Compliance Database'!$O$2:$O$1369,MATCH(1162,'Transfer Engine'!$C$2:$C$1369,0)),"Open PDF"))</f>
        <v/>
      </c>
    </row>
    <row r="1172" ht="188" customHeight="1">
      <c r="A1172" s="8">
        <f>IF(ISNA(MATCH(1163,'Transfer Engine'!$C$2:$C$1369,0)),"",INDEX('Compliance Database'!$A$2:$A$1369,MATCH(1163,'Transfer Engine'!$C$2:$C$1369,0)))</f>
        <v/>
      </c>
      <c r="B1172" s="8">
        <f>IF(ISNA(MATCH(1163,'Transfer Engine'!$C$2:$C$1369,0)),"",INDEX('Compliance Database'!$B$2:$B$1369,MATCH(1163,'Transfer Engine'!$C$2:$C$1369,0)))</f>
        <v/>
      </c>
      <c r="C1172" s="8">
        <f>IF(ISNA(MATCH(1163,'Transfer Engine'!$C$2:$C$1369,0)),"",INDEX('Compliance Database'!$C$2:$C$1369,MATCH(1163,'Transfer Engine'!$C$2:$C$1369,0)))</f>
        <v/>
      </c>
      <c r="D1172" s="9">
        <f>IF(ISNA(MATCH(1163,'Transfer Engine'!$C$2:$C$1369,0)),"",INDEX('Compliance Database'!$D$2:$D$1369,MATCH(1163,'Transfer Engine'!$C$2:$C$1369,0)))</f>
        <v/>
      </c>
      <c r="E1172" s="8">
        <f>IF(ISNA(MATCH(1163,'Transfer Engine'!$C$2:$C$1369,0)),"",INDEX('Compliance Database'!$E$2:$E$1369,MATCH(1163,'Transfer Engine'!$C$2:$C$1369,0)))</f>
        <v/>
      </c>
      <c r="F1172" s="8">
        <f>IF(ISNA(MATCH(1163,'Transfer Engine'!$C$2:$C$1369,0)),"",INDEX('Compliance Database'!$F$2:$F$1369,MATCH(1163,'Transfer Engine'!$C$2:$C$1369,0)))</f>
        <v/>
      </c>
      <c r="G1172" s="8">
        <f>IF(ISNA(MATCH(1163,'Transfer Engine'!$C$2:$C$1369,0)),"",INDEX('Compliance Database'!$G$2:$G$1369,MATCH(1163,'Transfer Engine'!$C$2:$C$1369,0)))</f>
        <v/>
      </c>
      <c r="H1172" s="9">
        <f>IF(ISNA(MATCH(1163,'Transfer Engine'!$C$2:$C$1369,0)),"",INDEX('Compliance Database'!$H$2:$H$1369,MATCH(1163,'Transfer Engine'!$C$2:$C$1369,0)))</f>
        <v/>
      </c>
      <c r="I1172" s="9">
        <f>IF(ISNA(MATCH(1163,'Transfer Engine'!$C$2:$C$1369,0)),"",INDEX('Compliance Database'!$I$2:$I$1369,MATCH(1163,'Transfer Engine'!$C$2:$C$1369,0)))</f>
        <v/>
      </c>
      <c r="J1172" s="8">
        <f>IF(ISNA(MATCH(1163,'Transfer Engine'!$C$2:$C$1369,0)),"",INDEX('Compliance Database'!$J$2:$J$1369,MATCH(1163,'Transfer Engine'!$C$2:$C$1369,0)))</f>
        <v/>
      </c>
      <c r="K1172" s="9">
        <f>IF(ISNA(MATCH(1163,'Transfer Engine'!$C$2:$C$1369,0)),"",INDEX('Compliance Database'!$K$2:$K$1369,MATCH(1163,'Transfer Engine'!$C$2:$C$1369,0)))</f>
        <v/>
      </c>
      <c r="L1172" s="9">
        <f>IF(ISNA(MATCH(1163,'Transfer Engine'!$C$2:$C$1369,0)),"",INDEX('Compliance Database'!$L$2:$L$1369,MATCH(1163,'Transfer Engine'!$C$2:$C$1369,0)))</f>
        <v/>
      </c>
      <c r="M1172" s="9">
        <f>IF(ISNA(MATCH(1163,'Transfer Engine'!$C$2:$C$1369,0)),"",INDEX('Compliance Database'!$M$2:$M$1369,MATCH(1163,'Transfer Engine'!$C$2:$C$1369,0)))</f>
        <v/>
      </c>
      <c r="N1172" s="9">
        <f>IF(ISNA(MATCH(1163,'Transfer Engine'!$C$2:$C$1369,0)),"",INDEX('Compliance Database'!$N$2:$N$1369,MATCH(1163,'Transfer Engine'!$C$2:$C$1369,0)))</f>
        <v/>
      </c>
      <c r="O1172" s="8">
        <f>IF(ISNA(MATCH(1163,'Transfer Engine'!$C$2:$C$1369,0)),"",HYPERLINK(INDEX('Compliance Database'!$O$2:$O$1369,MATCH(1163,'Transfer Engine'!$C$2:$C$1369,0)),"Open PDF"))</f>
        <v/>
      </c>
    </row>
    <row r="1173" ht="188" customHeight="1">
      <c r="A1173" s="8">
        <f>IF(ISNA(MATCH(1164,'Transfer Engine'!$C$2:$C$1369,0)),"",INDEX('Compliance Database'!$A$2:$A$1369,MATCH(1164,'Transfer Engine'!$C$2:$C$1369,0)))</f>
        <v/>
      </c>
      <c r="B1173" s="8">
        <f>IF(ISNA(MATCH(1164,'Transfer Engine'!$C$2:$C$1369,0)),"",INDEX('Compliance Database'!$B$2:$B$1369,MATCH(1164,'Transfer Engine'!$C$2:$C$1369,0)))</f>
        <v/>
      </c>
      <c r="C1173" s="8">
        <f>IF(ISNA(MATCH(1164,'Transfer Engine'!$C$2:$C$1369,0)),"",INDEX('Compliance Database'!$C$2:$C$1369,MATCH(1164,'Transfer Engine'!$C$2:$C$1369,0)))</f>
        <v/>
      </c>
      <c r="D1173" s="9">
        <f>IF(ISNA(MATCH(1164,'Transfer Engine'!$C$2:$C$1369,0)),"",INDEX('Compliance Database'!$D$2:$D$1369,MATCH(1164,'Transfer Engine'!$C$2:$C$1369,0)))</f>
        <v/>
      </c>
      <c r="E1173" s="8">
        <f>IF(ISNA(MATCH(1164,'Transfer Engine'!$C$2:$C$1369,0)),"",INDEX('Compliance Database'!$E$2:$E$1369,MATCH(1164,'Transfer Engine'!$C$2:$C$1369,0)))</f>
        <v/>
      </c>
      <c r="F1173" s="8">
        <f>IF(ISNA(MATCH(1164,'Transfer Engine'!$C$2:$C$1369,0)),"",INDEX('Compliance Database'!$F$2:$F$1369,MATCH(1164,'Transfer Engine'!$C$2:$C$1369,0)))</f>
        <v/>
      </c>
      <c r="G1173" s="8">
        <f>IF(ISNA(MATCH(1164,'Transfer Engine'!$C$2:$C$1369,0)),"",INDEX('Compliance Database'!$G$2:$G$1369,MATCH(1164,'Transfer Engine'!$C$2:$C$1369,0)))</f>
        <v/>
      </c>
      <c r="H1173" s="9">
        <f>IF(ISNA(MATCH(1164,'Transfer Engine'!$C$2:$C$1369,0)),"",INDEX('Compliance Database'!$H$2:$H$1369,MATCH(1164,'Transfer Engine'!$C$2:$C$1369,0)))</f>
        <v/>
      </c>
      <c r="I1173" s="9">
        <f>IF(ISNA(MATCH(1164,'Transfer Engine'!$C$2:$C$1369,0)),"",INDEX('Compliance Database'!$I$2:$I$1369,MATCH(1164,'Transfer Engine'!$C$2:$C$1369,0)))</f>
        <v/>
      </c>
      <c r="J1173" s="8">
        <f>IF(ISNA(MATCH(1164,'Transfer Engine'!$C$2:$C$1369,0)),"",INDEX('Compliance Database'!$J$2:$J$1369,MATCH(1164,'Transfer Engine'!$C$2:$C$1369,0)))</f>
        <v/>
      </c>
      <c r="K1173" s="9">
        <f>IF(ISNA(MATCH(1164,'Transfer Engine'!$C$2:$C$1369,0)),"",INDEX('Compliance Database'!$K$2:$K$1369,MATCH(1164,'Transfer Engine'!$C$2:$C$1369,0)))</f>
        <v/>
      </c>
      <c r="L1173" s="9">
        <f>IF(ISNA(MATCH(1164,'Transfer Engine'!$C$2:$C$1369,0)),"",INDEX('Compliance Database'!$L$2:$L$1369,MATCH(1164,'Transfer Engine'!$C$2:$C$1369,0)))</f>
        <v/>
      </c>
      <c r="M1173" s="9">
        <f>IF(ISNA(MATCH(1164,'Transfer Engine'!$C$2:$C$1369,0)),"",INDEX('Compliance Database'!$M$2:$M$1369,MATCH(1164,'Transfer Engine'!$C$2:$C$1369,0)))</f>
        <v/>
      </c>
      <c r="N1173" s="9">
        <f>IF(ISNA(MATCH(1164,'Transfer Engine'!$C$2:$C$1369,0)),"",INDEX('Compliance Database'!$N$2:$N$1369,MATCH(1164,'Transfer Engine'!$C$2:$C$1369,0)))</f>
        <v/>
      </c>
      <c r="O1173" s="8">
        <f>IF(ISNA(MATCH(1164,'Transfer Engine'!$C$2:$C$1369,0)),"",HYPERLINK(INDEX('Compliance Database'!$O$2:$O$1369,MATCH(1164,'Transfer Engine'!$C$2:$C$1369,0)),"Open PDF"))</f>
        <v/>
      </c>
    </row>
    <row r="1174" ht="188" customHeight="1">
      <c r="A1174" s="8">
        <f>IF(ISNA(MATCH(1165,'Transfer Engine'!$C$2:$C$1369,0)),"",INDEX('Compliance Database'!$A$2:$A$1369,MATCH(1165,'Transfer Engine'!$C$2:$C$1369,0)))</f>
        <v/>
      </c>
      <c r="B1174" s="8">
        <f>IF(ISNA(MATCH(1165,'Transfer Engine'!$C$2:$C$1369,0)),"",INDEX('Compliance Database'!$B$2:$B$1369,MATCH(1165,'Transfer Engine'!$C$2:$C$1369,0)))</f>
        <v/>
      </c>
      <c r="C1174" s="8">
        <f>IF(ISNA(MATCH(1165,'Transfer Engine'!$C$2:$C$1369,0)),"",INDEX('Compliance Database'!$C$2:$C$1369,MATCH(1165,'Transfer Engine'!$C$2:$C$1369,0)))</f>
        <v/>
      </c>
      <c r="D1174" s="9">
        <f>IF(ISNA(MATCH(1165,'Transfer Engine'!$C$2:$C$1369,0)),"",INDEX('Compliance Database'!$D$2:$D$1369,MATCH(1165,'Transfer Engine'!$C$2:$C$1369,0)))</f>
        <v/>
      </c>
      <c r="E1174" s="8">
        <f>IF(ISNA(MATCH(1165,'Transfer Engine'!$C$2:$C$1369,0)),"",INDEX('Compliance Database'!$E$2:$E$1369,MATCH(1165,'Transfer Engine'!$C$2:$C$1369,0)))</f>
        <v/>
      </c>
      <c r="F1174" s="8">
        <f>IF(ISNA(MATCH(1165,'Transfer Engine'!$C$2:$C$1369,0)),"",INDEX('Compliance Database'!$F$2:$F$1369,MATCH(1165,'Transfer Engine'!$C$2:$C$1369,0)))</f>
        <v/>
      </c>
      <c r="G1174" s="8">
        <f>IF(ISNA(MATCH(1165,'Transfer Engine'!$C$2:$C$1369,0)),"",INDEX('Compliance Database'!$G$2:$G$1369,MATCH(1165,'Transfer Engine'!$C$2:$C$1369,0)))</f>
        <v/>
      </c>
      <c r="H1174" s="9">
        <f>IF(ISNA(MATCH(1165,'Transfer Engine'!$C$2:$C$1369,0)),"",INDEX('Compliance Database'!$H$2:$H$1369,MATCH(1165,'Transfer Engine'!$C$2:$C$1369,0)))</f>
        <v/>
      </c>
      <c r="I1174" s="9">
        <f>IF(ISNA(MATCH(1165,'Transfer Engine'!$C$2:$C$1369,0)),"",INDEX('Compliance Database'!$I$2:$I$1369,MATCH(1165,'Transfer Engine'!$C$2:$C$1369,0)))</f>
        <v/>
      </c>
      <c r="J1174" s="8">
        <f>IF(ISNA(MATCH(1165,'Transfer Engine'!$C$2:$C$1369,0)),"",INDEX('Compliance Database'!$J$2:$J$1369,MATCH(1165,'Transfer Engine'!$C$2:$C$1369,0)))</f>
        <v/>
      </c>
      <c r="K1174" s="9">
        <f>IF(ISNA(MATCH(1165,'Transfer Engine'!$C$2:$C$1369,0)),"",INDEX('Compliance Database'!$K$2:$K$1369,MATCH(1165,'Transfer Engine'!$C$2:$C$1369,0)))</f>
        <v/>
      </c>
      <c r="L1174" s="9">
        <f>IF(ISNA(MATCH(1165,'Transfer Engine'!$C$2:$C$1369,0)),"",INDEX('Compliance Database'!$L$2:$L$1369,MATCH(1165,'Transfer Engine'!$C$2:$C$1369,0)))</f>
        <v/>
      </c>
      <c r="M1174" s="9">
        <f>IF(ISNA(MATCH(1165,'Transfer Engine'!$C$2:$C$1369,0)),"",INDEX('Compliance Database'!$M$2:$M$1369,MATCH(1165,'Transfer Engine'!$C$2:$C$1369,0)))</f>
        <v/>
      </c>
      <c r="N1174" s="9">
        <f>IF(ISNA(MATCH(1165,'Transfer Engine'!$C$2:$C$1369,0)),"",INDEX('Compliance Database'!$N$2:$N$1369,MATCH(1165,'Transfer Engine'!$C$2:$C$1369,0)))</f>
        <v/>
      </c>
      <c r="O1174" s="8">
        <f>IF(ISNA(MATCH(1165,'Transfer Engine'!$C$2:$C$1369,0)),"",HYPERLINK(INDEX('Compliance Database'!$O$2:$O$1369,MATCH(1165,'Transfer Engine'!$C$2:$C$1369,0)),"Open PDF"))</f>
        <v/>
      </c>
    </row>
    <row r="1175" ht="188" customHeight="1">
      <c r="A1175" s="8">
        <f>IF(ISNA(MATCH(1166,'Transfer Engine'!$C$2:$C$1369,0)),"",INDEX('Compliance Database'!$A$2:$A$1369,MATCH(1166,'Transfer Engine'!$C$2:$C$1369,0)))</f>
        <v/>
      </c>
      <c r="B1175" s="8">
        <f>IF(ISNA(MATCH(1166,'Transfer Engine'!$C$2:$C$1369,0)),"",INDEX('Compliance Database'!$B$2:$B$1369,MATCH(1166,'Transfer Engine'!$C$2:$C$1369,0)))</f>
        <v/>
      </c>
      <c r="C1175" s="8">
        <f>IF(ISNA(MATCH(1166,'Transfer Engine'!$C$2:$C$1369,0)),"",INDEX('Compliance Database'!$C$2:$C$1369,MATCH(1166,'Transfer Engine'!$C$2:$C$1369,0)))</f>
        <v/>
      </c>
      <c r="D1175" s="9">
        <f>IF(ISNA(MATCH(1166,'Transfer Engine'!$C$2:$C$1369,0)),"",INDEX('Compliance Database'!$D$2:$D$1369,MATCH(1166,'Transfer Engine'!$C$2:$C$1369,0)))</f>
        <v/>
      </c>
      <c r="E1175" s="8">
        <f>IF(ISNA(MATCH(1166,'Transfer Engine'!$C$2:$C$1369,0)),"",INDEX('Compliance Database'!$E$2:$E$1369,MATCH(1166,'Transfer Engine'!$C$2:$C$1369,0)))</f>
        <v/>
      </c>
      <c r="F1175" s="8">
        <f>IF(ISNA(MATCH(1166,'Transfer Engine'!$C$2:$C$1369,0)),"",INDEX('Compliance Database'!$F$2:$F$1369,MATCH(1166,'Transfer Engine'!$C$2:$C$1369,0)))</f>
        <v/>
      </c>
      <c r="G1175" s="8">
        <f>IF(ISNA(MATCH(1166,'Transfer Engine'!$C$2:$C$1369,0)),"",INDEX('Compliance Database'!$G$2:$G$1369,MATCH(1166,'Transfer Engine'!$C$2:$C$1369,0)))</f>
        <v/>
      </c>
      <c r="H1175" s="9">
        <f>IF(ISNA(MATCH(1166,'Transfer Engine'!$C$2:$C$1369,0)),"",INDEX('Compliance Database'!$H$2:$H$1369,MATCH(1166,'Transfer Engine'!$C$2:$C$1369,0)))</f>
        <v/>
      </c>
      <c r="I1175" s="9">
        <f>IF(ISNA(MATCH(1166,'Transfer Engine'!$C$2:$C$1369,0)),"",INDEX('Compliance Database'!$I$2:$I$1369,MATCH(1166,'Transfer Engine'!$C$2:$C$1369,0)))</f>
        <v/>
      </c>
      <c r="J1175" s="8">
        <f>IF(ISNA(MATCH(1166,'Transfer Engine'!$C$2:$C$1369,0)),"",INDEX('Compliance Database'!$J$2:$J$1369,MATCH(1166,'Transfer Engine'!$C$2:$C$1369,0)))</f>
        <v/>
      </c>
      <c r="K1175" s="9">
        <f>IF(ISNA(MATCH(1166,'Transfer Engine'!$C$2:$C$1369,0)),"",INDEX('Compliance Database'!$K$2:$K$1369,MATCH(1166,'Transfer Engine'!$C$2:$C$1369,0)))</f>
        <v/>
      </c>
      <c r="L1175" s="9">
        <f>IF(ISNA(MATCH(1166,'Transfer Engine'!$C$2:$C$1369,0)),"",INDEX('Compliance Database'!$L$2:$L$1369,MATCH(1166,'Transfer Engine'!$C$2:$C$1369,0)))</f>
        <v/>
      </c>
      <c r="M1175" s="9">
        <f>IF(ISNA(MATCH(1166,'Transfer Engine'!$C$2:$C$1369,0)),"",INDEX('Compliance Database'!$M$2:$M$1369,MATCH(1166,'Transfer Engine'!$C$2:$C$1369,0)))</f>
        <v/>
      </c>
      <c r="N1175" s="9">
        <f>IF(ISNA(MATCH(1166,'Transfer Engine'!$C$2:$C$1369,0)),"",INDEX('Compliance Database'!$N$2:$N$1369,MATCH(1166,'Transfer Engine'!$C$2:$C$1369,0)))</f>
        <v/>
      </c>
      <c r="O1175" s="8">
        <f>IF(ISNA(MATCH(1166,'Transfer Engine'!$C$2:$C$1369,0)),"",HYPERLINK(INDEX('Compliance Database'!$O$2:$O$1369,MATCH(1166,'Transfer Engine'!$C$2:$C$1369,0)),"Open PDF"))</f>
        <v/>
      </c>
    </row>
    <row r="1176" ht="188" customHeight="1">
      <c r="A1176" s="8">
        <f>IF(ISNA(MATCH(1167,'Transfer Engine'!$C$2:$C$1369,0)),"",INDEX('Compliance Database'!$A$2:$A$1369,MATCH(1167,'Transfer Engine'!$C$2:$C$1369,0)))</f>
        <v/>
      </c>
      <c r="B1176" s="8">
        <f>IF(ISNA(MATCH(1167,'Transfer Engine'!$C$2:$C$1369,0)),"",INDEX('Compliance Database'!$B$2:$B$1369,MATCH(1167,'Transfer Engine'!$C$2:$C$1369,0)))</f>
        <v/>
      </c>
      <c r="C1176" s="8">
        <f>IF(ISNA(MATCH(1167,'Transfer Engine'!$C$2:$C$1369,0)),"",INDEX('Compliance Database'!$C$2:$C$1369,MATCH(1167,'Transfer Engine'!$C$2:$C$1369,0)))</f>
        <v/>
      </c>
      <c r="D1176" s="9">
        <f>IF(ISNA(MATCH(1167,'Transfer Engine'!$C$2:$C$1369,0)),"",INDEX('Compliance Database'!$D$2:$D$1369,MATCH(1167,'Transfer Engine'!$C$2:$C$1369,0)))</f>
        <v/>
      </c>
      <c r="E1176" s="8">
        <f>IF(ISNA(MATCH(1167,'Transfer Engine'!$C$2:$C$1369,0)),"",INDEX('Compliance Database'!$E$2:$E$1369,MATCH(1167,'Transfer Engine'!$C$2:$C$1369,0)))</f>
        <v/>
      </c>
      <c r="F1176" s="8">
        <f>IF(ISNA(MATCH(1167,'Transfer Engine'!$C$2:$C$1369,0)),"",INDEX('Compliance Database'!$F$2:$F$1369,MATCH(1167,'Transfer Engine'!$C$2:$C$1369,0)))</f>
        <v/>
      </c>
      <c r="G1176" s="8">
        <f>IF(ISNA(MATCH(1167,'Transfer Engine'!$C$2:$C$1369,0)),"",INDEX('Compliance Database'!$G$2:$G$1369,MATCH(1167,'Transfer Engine'!$C$2:$C$1369,0)))</f>
        <v/>
      </c>
      <c r="H1176" s="9">
        <f>IF(ISNA(MATCH(1167,'Transfer Engine'!$C$2:$C$1369,0)),"",INDEX('Compliance Database'!$H$2:$H$1369,MATCH(1167,'Transfer Engine'!$C$2:$C$1369,0)))</f>
        <v/>
      </c>
      <c r="I1176" s="9">
        <f>IF(ISNA(MATCH(1167,'Transfer Engine'!$C$2:$C$1369,0)),"",INDEX('Compliance Database'!$I$2:$I$1369,MATCH(1167,'Transfer Engine'!$C$2:$C$1369,0)))</f>
        <v/>
      </c>
      <c r="J1176" s="8">
        <f>IF(ISNA(MATCH(1167,'Transfer Engine'!$C$2:$C$1369,0)),"",INDEX('Compliance Database'!$J$2:$J$1369,MATCH(1167,'Transfer Engine'!$C$2:$C$1369,0)))</f>
        <v/>
      </c>
      <c r="K1176" s="9">
        <f>IF(ISNA(MATCH(1167,'Transfer Engine'!$C$2:$C$1369,0)),"",INDEX('Compliance Database'!$K$2:$K$1369,MATCH(1167,'Transfer Engine'!$C$2:$C$1369,0)))</f>
        <v/>
      </c>
      <c r="L1176" s="9">
        <f>IF(ISNA(MATCH(1167,'Transfer Engine'!$C$2:$C$1369,0)),"",INDEX('Compliance Database'!$L$2:$L$1369,MATCH(1167,'Transfer Engine'!$C$2:$C$1369,0)))</f>
        <v/>
      </c>
      <c r="M1176" s="9">
        <f>IF(ISNA(MATCH(1167,'Transfer Engine'!$C$2:$C$1369,0)),"",INDEX('Compliance Database'!$M$2:$M$1369,MATCH(1167,'Transfer Engine'!$C$2:$C$1369,0)))</f>
        <v/>
      </c>
      <c r="N1176" s="9">
        <f>IF(ISNA(MATCH(1167,'Transfer Engine'!$C$2:$C$1369,0)),"",INDEX('Compliance Database'!$N$2:$N$1369,MATCH(1167,'Transfer Engine'!$C$2:$C$1369,0)))</f>
        <v/>
      </c>
      <c r="O1176" s="8">
        <f>IF(ISNA(MATCH(1167,'Transfer Engine'!$C$2:$C$1369,0)),"",HYPERLINK(INDEX('Compliance Database'!$O$2:$O$1369,MATCH(1167,'Transfer Engine'!$C$2:$C$1369,0)),"Open PDF"))</f>
        <v/>
      </c>
    </row>
    <row r="1177" ht="188" customHeight="1">
      <c r="A1177" s="8">
        <f>IF(ISNA(MATCH(1168,'Transfer Engine'!$C$2:$C$1369,0)),"",INDEX('Compliance Database'!$A$2:$A$1369,MATCH(1168,'Transfer Engine'!$C$2:$C$1369,0)))</f>
        <v/>
      </c>
      <c r="B1177" s="8">
        <f>IF(ISNA(MATCH(1168,'Transfer Engine'!$C$2:$C$1369,0)),"",INDEX('Compliance Database'!$B$2:$B$1369,MATCH(1168,'Transfer Engine'!$C$2:$C$1369,0)))</f>
        <v/>
      </c>
      <c r="C1177" s="8">
        <f>IF(ISNA(MATCH(1168,'Transfer Engine'!$C$2:$C$1369,0)),"",INDEX('Compliance Database'!$C$2:$C$1369,MATCH(1168,'Transfer Engine'!$C$2:$C$1369,0)))</f>
        <v/>
      </c>
      <c r="D1177" s="9">
        <f>IF(ISNA(MATCH(1168,'Transfer Engine'!$C$2:$C$1369,0)),"",INDEX('Compliance Database'!$D$2:$D$1369,MATCH(1168,'Transfer Engine'!$C$2:$C$1369,0)))</f>
        <v/>
      </c>
      <c r="E1177" s="8">
        <f>IF(ISNA(MATCH(1168,'Transfer Engine'!$C$2:$C$1369,0)),"",INDEX('Compliance Database'!$E$2:$E$1369,MATCH(1168,'Transfer Engine'!$C$2:$C$1369,0)))</f>
        <v/>
      </c>
      <c r="F1177" s="8">
        <f>IF(ISNA(MATCH(1168,'Transfer Engine'!$C$2:$C$1369,0)),"",INDEX('Compliance Database'!$F$2:$F$1369,MATCH(1168,'Transfer Engine'!$C$2:$C$1369,0)))</f>
        <v/>
      </c>
      <c r="G1177" s="8">
        <f>IF(ISNA(MATCH(1168,'Transfer Engine'!$C$2:$C$1369,0)),"",INDEX('Compliance Database'!$G$2:$G$1369,MATCH(1168,'Transfer Engine'!$C$2:$C$1369,0)))</f>
        <v/>
      </c>
      <c r="H1177" s="9">
        <f>IF(ISNA(MATCH(1168,'Transfer Engine'!$C$2:$C$1369,0)),"",INDEX('Compliance Database'!$H$2:$H$1369,MATCH(1168,'Transfer Engine'!$C$2:$C$1369,0)))</f>
        <v/>
      </c>
      <c r="I1177" s="9">
        <f>IF(ISNA(MATCH(1168,'Transfer Engine'!$C$2:$C$1369,0)),"",INDEX('Compliance Database'!$I$2:$I$1369,MATCH(1168,'Transfer Engine'!$C$2:$C$1369,0)))</f>
        <v/>
      </c>
      <c r="J1177" s="8">
        <f>IF(ISNA(MATCH(1168,'Transfer Engine'!$C$2:$C$1369,0)),"",INDEX('Compliance Database'!$J$2:$J$1369,MATCH(1168,'Transfer Engine'!$C$2:$C$1369,0)))</f>
        <v/>
      </c>
      <c r="K1177" s="9">
        <f>IF(ISNA(MATCH(1168,'Transfer Engine'!$C$2:$C$1369,0)),"",INDEX('Compliance Database'!$K$2:$K$1369,MATCH(1168,'Transfer Engine'!$C$2:$C$1369,0)))</f>
        <v/>
      </c>
      <c r="L1177" s="9">
        <f>IF(ISNA(MATCH(1168,'Transfer Engine'!$C$2:$C$1369,0)),"",INDEX('Compliance Database'!$L$2:$L$1369,MATCH(1168,'Transfer Engine'!$C$2:$C$1369,0)))</f>
        <v/>
      </c>
      <c r="M1177" s="9">
        <f>IF(ISNA(MATCH(1168,'Transfer Engine'!$C$2:$C$1369,0)),"",INDEX('Compliance Database'!$M$2:$M$1369,MATCH(1168,'Transfer Engine'!$C$2:$C$1369,0)))</f>
        <v/>
      </c>
      <c r="N1177" s="9">
        <f>IF(ISNA(MATCH(1168,'Transfer Engine'!$C$2:$C$1369,0)),"",INDEX('Compliance Database'!$N$2:$N$1369,MATCH(1168,'Transfer Engine'!$C$2:$C$1369,0)))</f>
        <v/>
      </c>
      <c r="O1177" s="8">
        <f>IF(ISNA(MATCH(1168,'Transfer Engine'!$C$2:$C$1369,0)),"",HYPERLINK(INDEX('Compliance Database'!$O$2:$O$1369,MATCH(1168,'Transfer Engine'!$C$2:$C$1369,0)),"Open PDF"))</f>
        <v/>
      </c>
    </row>
    <row r="1178" ht="188" customHeight="1">
      <c r="A1178" s="8">
        <f>IF(ISNA(MATCH(1169,'Transfer Engine'!$C$2:$C$1369,0)),"",INDEX('Compliance Database'!$A$2:$A$1369,MATCH(1169,'Transfer Engine'!$C$2:$C$1369,0)))</f>
        <v/>
      </c>
      <c r="B1178" s="8">
        <f>IF(ISNA(MATCH(1169,'Transfer Engine'!$C$2:$C$1369,0)),"",INDEX('Compliance Database'!$B$2:$B$1369,MATCH(1169,'Transfer Engine'!$C$2:$C$1369,0)))</f>
        <v/>
      </c>
      <c r="C1178" s="8">
        <f>IF(ISNA(MATCH(1169,'Transfer Engine'!$C$2:$C$1369,0)),"",INDEX('Compliance Database'!$C$2:$C$1369,MATCH(1169,'Transfer Engine'!$C$2:$C$1369,0)))</f>
        <v/>
      </c>
      <c r="D1178" s="9">
        <f>IF(ISNA(MATCH(1169,'Transfer Engine'!$C$2:$C$1369,0)),"",INDEX('Compliance Database'!$D$2:$D$1369,MATCH(1169,'Transfer Engine'!$C$2:$C$1369,0)))</f>
        <v/>
      </c>
      <c r="E1178" s="8">
        <f>IF(ISNA(MATCH(1169,'Transfer Engine'!$C$2:$C$1369,0)),"",INDEX('Compliance Database'!$E$2:$E$1369,MATCH(1169,'Transfer Engine'!$C$2:$C$1369,0)))</f>
        <v/>
      </c>
      <c r="F1178" s="8">
        <f>IF(ISNA(MATCH(1169,'Transfer Engine'!$C$2:$C$1369,0)),"",INDEX('Compliance Database'!$F$2:$F$1369,MATCH(1169,'Transfer Engine'!$C$2:$C$1369,0)))</f>
        <v/>
      </c>
      <c r="G1178" s="8">
        <f>IF(ISNA(MATCH(1169,'Transfer Engine'!$C$2:$C$1369,0)),"",INDEX('Compliance Database'!$G$2:$G$1369,MATCH(1169,'Transfer Engine'!$C$2:$C$1369,0)))</f>
        <v/>
      </c>
      <c r="H1178" s="9">
        <f>IF(ISNA(MATCH(1169,'Transfer Engine'!$C$2:$C$1369,0)),"",INDEX('Compliance Database'!$H$2:$H$1369,MATCH(1169,'Transfer Engine'!$C$2:$C$1369,0)))</f>
        <v/>
      </c>
      <c r="I1178" s="9">
        <f>IF(ISNA(MATCH(1169,'Transfer Engine'!$C$2:$C$1369,0)),"",INDEX('Compliance Database'!$I$2:$I$1369,MATCH(1169,'Transfer Engine'!$C$2:$C$1369,0)))</f>
        <v/>
      </c>
      <c r="J1178" s="8">
        <f>IF(ISNA(MATCH(1169,'Transfer Engine'!$C$2:$C$1369,0)),"",INDEX('Compliance Database'!$J$2:$J$1369,MATCH(1169,'Transfer Engine'!$C$2:$C$1369,0)))</f>
        <v/>
      </c>
      <c r="K1178" s="9">
        <f>IF(ISNA(MATCH(1169,'Transfer Engine'!$C$2:$C$1369,0)),"",INDEX('Compliance Database'!$K$2:$K$1369,MATCH(1169,'Transfer Engine'!$C$2:$C$1369,0)))</f>
        <v/>
      </c>
      <c r="L1178" s="9">
        <f>IF(ISNA(MATCH(1169,'Transfer Engine'!$C$2:$C$1369,0)),"",INDEX('Compliance Database'!$L$2:$L$1369,MATCH(1169,'Transfer Engine'!$C$2:$C$1369,0)))</f>
        <v/>
      </c>
      <c r="M1178" s="9">
        <f>IF(ISNA(MATCH(1169,'Transfer Engine'!$C$2:$C$1369,0)),"",INDEX('Compliance Database'!$M$2:$M$1369,MATCH(1169,'Transfer Engine'!$C$2:$C$1369,0)))</f>
        <v/>
      </c>
      <c r="N1178" s="9">
        <f>IF(ISNA(MATCH(1169,'Transfer Engine'!$C$2:$C$1369,0)),"",INDEX('Compliance Database'!$N$2:$N$1369,MATCH(1169,'Transfer Engine'!$C$2:$C$1369,0)))</f>
        <v/>
      </c>
      <c r="O1178" s="8">
        <f>IF(ISNA(MATCH(1169,'Transfer Engine'!$C$2:$C$1369,0)),"",HYPERLINK(INDEX('Compliance Database'!$O$2:$O$1369,MATCH(1169,'Transfer Engine'!$C$2:$C$1369,0)),"Open PDF"))</f>
        <v/>
      </c>
    </row>
    <row r="1179" ht="188" customHeight="1">
      <c r="A1179" s="8">
        <f>IF(ISNA(MATCH(1170,'Transfer Engine'!$C$2:$C$1369,0)),"",INDEX('Compliance Database'!$A$2:$A$1369,MATCH(1170,'Transfer Engine'!$C$2:$C$1369,0)))</f>
        <v/>
      </c>
      <c r="B1179" s="8">
        <f>IF(ISNA(MATCH(1170,'Transfer Engine'!$C$2:$C$1369,0)),"",INDEX('Compliance Database'!$B$2:$B$1369,MATCH(1170,'Transfer Engine'!$C$2:$C$1369,0)))</f>
        <v/>
      </c>
      <c r="C1179" s="8">
        <f>IF(ISNA(MATCH(1170,'Transfer Engine'!$C$2:$C$1369,0)),"",INDEX('Compliance Database'!$C$2:$C$1369,MATCH(1170,'Transfer Engine'!$C$2:$C$1369,0)))</f>
        <v/>
      </c>
      <c r="D1179" s="9">
        <f>IF(ISNA(MATCH(1170,'Transfer Engine'!$C$2:$C$1369,0)),"",INDEX('Compliance Database'!$D$2:$D$1369,MATCH(1170,'Transfer Engine'!$C$2:$C$1369,0)))</f>
        <v/>
      </c>
      <c r="E1179" s="8">
        <f>IF(ISNA(MATCH(1170,'Transfer Engine'!$C$2:$C$1369,0)),"",INDEX('Compliance Database'!$E$2:$E$1369,MATCH(1170,'Transfer Engine'!$C$2:$C$1369,0)))</f>
        <v/>
      </c>
      <c r="F1179" s="8">
        <f>IF(ISNA(MATCH(1170,'Transfer Engine'!$C$2:$C$1369,0)),"",INDEX('Compliance Database'!$F$2:$F$1369,MATCH(1170,'Transfer Engine'!$C$2:$C$1369,0)))</f>
        <v/>
      </c>
      <c r="G1179" s="8">
        <f>IF(ISNA(MATCH(1170,'Transfer Engine'!$C$2:$C$1369,0)),"",INDEX('Compliance Database'!$G$2:$G$1369,MATCH(1170,'Transfer Engine'!$C$2:$C$1369,0)))</f>
        <v/>
      </c>
      <c r="H1179" s="9">
        <f>IF(ISNA(MATCH(1170,'Transfer Engine'!$C$2:$C$1369,0)),"",INDEX('Compliance Database'!$H$2:$H$1369,MATCH(1170,'Transfer Engine'!$C$2:$C$1369,0)))</f>
        <v/>
      </c>
      <c r="I1179" s="9">
        <f>IF(ISNA(MATCH(1170,'Transfer Engine'!$C$2:$C$1369,0)),"",INDEX('Compliance Database'!$I$2:$I$1369,MATCH(1170,'Transfer Engine'!$C$2:$C$1369,0)))</f>
        <v/>
      </c>
      <c r="J1179" s="8">
        <f>IF(ISNA(MATCH(1170,'Transfer Engine'!$C$2:$C$1369,0)),"",INDEX('Compliance Database'!$J$2:$J$1369,MATCH(1170,'Transfer Engine'!$C$2:$C$1369,0)))</f>
        <v/>
      </c>
      <c r="K1179" s="9">
        <f>IF(ISNA(MATCH(1170,'Transfer Engine'!$C$2:$C$1369,0)),"",INDEX('Compliance Database'!$K$2:$K$1369,MATCH(1170,'Transfer Engine'!$C$2:$C$1369,0)))</f>
        <v/>
      </c>
      <c r="L1179" s="9">
        <f>IF(ISNA(MATCH(1170,'Transfer Engine'!$C$2:$C$1369,0)),"",INDEX('Compliance Database'!$L$2:$L$1369,MATCH(1170,'Transfer Engine'!$C$2:$C$1369,0)))</f>
        <v/>
      </c>
      <c r="M1179" s="9">
        <f>IF(ISNA(MATCH(1170,'Transfer Engine'!$C$2:$C$1369,0)),"",INDEX('Compliance Database'!$M$2:$M$1369,MATCH(1170,'Transfer Engine'!$C$2:$C$1369,0)))</f>
        <v/>
      </c>
      <c r="N1179" s="9">
        <f>IF(ISNA(MATCH(1170,'Transfer Engine'!$C$2:$C$1369,0)),"",INDEX('Compliance Database'!$N$2:$N$1369,MATCH(1170,'Transfer Engine'!$C$2:$C$1369,0)))</f>
        <v/>
      </c>
      <c r="O1179" s="8">
        <f>IF(ISNA(MATCH(1170,'Transfer Engine'!$C$2:$C$1369,0)),"",HYPERLINK(INDEX('Compliance Database'!$O$2:$O$1369,MATCH(1170,'Transfer Engine'!$C$2:$C$1369,0)),"Open PDF"))</f>
        <v/>
      </c>
    </row>
    <row r="1180" ht="188" customHeight="1">
      <c r="A1180" s="8">
        <f>IF(ISNA(MATCH(1171,'Transfer Engine'!$C$2:$C$1369,0)),"",INDEX('Compliance Database'!$A$2:$A$1369,MATCH(1171,'Transfer Engine'!$C$2:$C$1369,0)))</f>
        <v/>
      </c>
      <c r="B1180" s="8">
        <f>IF(ISNA(MATCH(1171,'Transfer Engine'!$C$2:$C$1369,0)),"",INDEX('Compliance Database'!$B$2:$B$1369,MATCH(1171,'Transfer Engine'!$C$2:$C$1369,0)))</f>
        <v/>
      </c>
      <c r="C1180" s="8">
        <f>IF(ISNA(MATCH(1171,'Transfer Engine'!$C$2:$C$1369,0)),"",INDEX('Compliance Database'!$C$2:$C$1369,MATCH(1171,'Transfer Engine'!$C$2:$C$1369,0)))</f>
        <v/>
      </c>
      <c r="D1180" s="9">
        <f>IF(ISNA(MATCH(1171,'Transfer Engine'!$C$2:$C$1369,0)),"",INDEX('Compliance Database'!$D$2:$D$1369,MATCH(1171,'Transfer Engine'!$C$2:$C$1369,0)))</f>
        <v/>
      </c>
      <c r="E1180" s="8">
        <f>IF(ISNA(MATCH(1171,'Transfer Engine'!$C$2:$C$1369,0)),"",INDEX('Compliance Database'!$E$2:$E$1369,MATCH(1171,'Transfer Engine'!$C$2:$C$1369,0)))</f>
        <v/>
      </c>
      <c r="F1180" s="8">
        <f>IF(ISNA(MATCH(1171,'Transfer Engine'!$C$2:$C$1369,0)),"",INDEX('Compliance Database'!$F$2:$F$1369,MATCH(1171,'Transfer Engine'!$C$2:$C$1369,0)))</f>
        <v/>
      </c>
      <c r="G1180" s="8">
        <f>IF(ISNA(MATCH(1171,'Transfer Engine'!$C$2:$C$1369,0)),"",INDEX('Compliance Database'!$G$2:$G$1369,MATCH(1171,'Transfer Engine'!$C$2:$C$1369,0)))</f>
        <v/>
      </c>
      <c r="H1180" s="9">
        <f>IF(ISNA(MATCH(1171,'Transfer Engine'!$C$2:$C$1369,0)),"",INDEX('Compliance Database'!$H$2:$H$1369,MATCH(1171,'Transfer Engine'!$C$2:$C$1369,0)))</f>
        <v/>
      </c>
      <c r="I1180" s="9">
        <f>IF(ISNA(MATCH(1171,'Transfer Engine'!$C$2:$C$1369,0)),"",INDEX('Compliance Database'!$I$2:$I$1369,MATCH(1171,'Transfer Engine'!$C$2:$C$1369,0)))</f>
        <v/>
      </c>
      <c r="J1180" s="8">
        <f>IF(ISNA(MATCH(1171,'Transfer Engine'!$C$2:$C$1369,0)),"",INDEX('Compliance Database'!$J$2:$J$1369,MATCH(1171,'Transfer Engine'!$C$2:$C$1369,0)))</f>
        <v/>
      </c>
      <c r="K1180" s="9">
        <f>IF(ISNA(MATCH(1171,'Transfer Engine'!$C$2:$C$1369,0)),"",INDEX('Compliance Database'!$K$2:$K$1369,MATCH(1171,'Transfer Engine'!$C$2:$C$1369,0)))</f>
        <v/>
      </c>
      <c r="L1180" s="9">
        <f>IF(ISNA(MATCH(1171,'Transfer Engine'!$C$2:$C$1369,0)),"",INDEX('Compliance Database'!$L$2:$L$1369,MATCH(1171,'Transfer Engine'!$C$2:$C$1369,0)))</f>
        <v/>
      </c>
      <c r="M1180" s="9">
        <f>IF(ISNA(MATCH(1171,'Transfer Engine'!$C$2:$C$1369,0)),"",INDEX('Compliance Database'!$M$2:$M$1369,MATCH(1171,'Transfer Engine'!$C$2:$C$1369,0)))</f>
        <v/>
      </c>
      <c r="N1180" s="9">
        <f>IF(ISNA(MATCH(1171,'Transfer Engine'!$C$2:$C$1369,0)),"",INDEX('Compliance Database'!$N$2:$N$1369,MATCH(1171,'Transfer Engine'!$C$2:$C$1369,0)))</f>
        <v/>
      </c>
      <c r="O1180" s="8">
        <f>IF(ISNA(MATCH(1171,'Transfer Engine'!$C$2:$C$1369,0)),"",HYPERLINK(INDEX('Compliance Database'!$O$2:$O$1369,MATCH(1171,'Transfer Engine'!$C$2:$C$1369,0)),"Open PDF"))</f>
        <v/>
      </c>
    </row>
    <row r="1181" ht="188" customHeight="1">
      <c r="A1181" s="8">
        <f>IF(ISNA(MATCH(1172,'Transfer Engine'!$C$2:$C$1369,0)),"",INDEX('Compliance Database'!$A$2:$A$1369,MATCH(1172,'Transfer Engine'!$C$2:$C$1369,0)))</f>
        <v/>
      </c>
      <c r="B1181" s="8">
        <f>IF(ISNA(MATCH(1172,'Transfer Engine'!$C$2:$C$1369,0)),"",INDEX('Compliance Database'!$B$2:$B$1369,MATCH(1172,'Transfer Engine'!$C$2:$C$1369,0)))</f>
        <v/>
      </c>
      <c r="C1181" s="8">
        <f>IF(ISNA(MATCH(1172,'Transfer Engine'!$C$2:$C$1369,0)),"",INDEX('Compliance Database'!$C$2:$C$1369,MATCH(1172,'Transfer Engine'!$C$2:$C$1369,0)))</f>
        <v/>
      </c>
      <c r="D1181" s="9">
        <f>IF(ISNA(MATCH(1172,'Transfer Engine'!$C$2:$C$1369,0)),"",INDEX('Compliance Database'!$D$2:$D$1369,MATCH(1172,'Transfer Engine'!$C$2:$C$1369,0)))</f>
        <v/>
      </c>
      <c r="E1181" s="8">
        <f>IF(ISNA(MATCH(1172,'Transfer Engine'!$C$2:$C$1369,0)),"",INDEX('Compliance Database'!$E$2:$E$1369,MATCH(1172,'Transfer Engine'!$C$2:$C$1369,0)))</f>
        <v/>
      </c>
      <c r="F1181" s="8">
        <f>IF(ISNA(MATCH(1172,'Transfer Engine'!$C$2:$C$1369,0)),"",INDEX('Compliance Database'!$F$2:$F$1369,MATCH(1172,'Transfer Engine'!$C$2:$C$1369,0)))</f>
        <v/>
      </c>
      <c r="G1181" s="8">
        <f>IF(ISNA(MATCH(1172,'Transfer Engine'!$C$2:$C$1369,0)),"",INDEX('Compliance Database'!$G$2:$G$1369,MATCH(1172,'Transfer Engine'!$C$2:$C$1369,0)))</f>
        <v/>
      </c>
      <c r="H1181" s="9">
        <f>IF(ISNA(MATCH(1172,'Transfer Engine'!$C$2:$C$1369,0)),"",INDEX('Compliance Database'!$H$2:$H$1369,MATCH(1172,'Transfer Engine'!$C$2:$C$1369,0)))</f>
        <v/>
      </c>
      <c r="I1181" s="9">
        <f>IF(ISNA(MATCH(1172,'Transfer Engine'!$C$2:$C$1369,0)),"",INDEX('Compliance Database'!$I$2:$I$1369,MATCH(1172,'Transfer Engine'!$C$2:$C$1369,0)))</f>
        <v/>
      </c>
      <c r="J1181" s="8">
        <f>IF(ISNA(MATCH(1172,'Transfer Engine'!$C$2:$C$1369,0)),"",INDEX('Compliance Database'!$J$2:$J$1369,MATCH(1172,'Transfer Engine'!$C$2:$C$1369,0)))</f>
        <v/>
      </c>
      <c r="K1181" s="9">
        <f>IF(ISNA(MATCH(1172,'Transfer Engine'!$C$2:$C$1369,0)),"",INDEX('Compliance Database'!$K$2:$K$1369,MATCH(1172,'Transfer Engine'!$C$2:$C$1369,0)))</f>
        <v/>
      </c>
      <c r="L1181" s="9">
        <f>IF(ISNA(MATCH(1172,'Transfer Engine'!$C$2:$C$1369,0)),"",INDEX('Compliance Database'!$L$2:$L$1369,MATCH(1172,'Transfer Engine'!$C$2:$C$1369,0)))</f>
        <v/>
      </c>
      <c r="M1181" s="9">
        <f>IF(ISNA(MATCH(1172,'Transfer Engine'!$C$2:$C$1369,0)),"",INDEX('Compliance Database'!$M$2:$M$1369,MATCH(1172,'Transfer Engine'!$C$2:$C$1369,0)))</f>
        <v/>
      </c>
      <c r="N1181" s="9">
        <f>IF(ISNA(MATCH(1172,'Transfer Engine'!$C$2:$C$1369,0)),"",INDEX('Compliance Database'!$N$2:$N$1369,MATCH(1172,'Transfer Engine'!$C$2:$C$1369,0)))</f>
        <v/>
      </c>
      <c r="O1181" s="8">
        <f>IF(ISNA(MATCH(1172,'Transfer Engine'!$C$2:$C$1369,0)),"",HYPERLINK(INDEX('Compliance Database'!$O$2:$O$1369,MATCH(1172,'Transfer Engine'!$C$2:$C$1369,0)),"Open PDF"))</f>
        <v/>
      </c>
    </row>
    <row r="1182" ht="188" customHeight="1">
      <c r="A1182" s="8">
        <f>IF(ISNA(MATCH(1173,'Transfer Engine'!$C$2:$C$1369,0)),"",INDEX('Compliance Database'!$A$2:$A$1369,MATCH(1173,'Transfer Engine'!$C$2:$C$1369,0)))</f>
        <v/>
      </c>
      <c r="B1182" s="8">
        <f>IF(ISNA(MATCH(1173,'Transfer Engine'!$C$2:$C$1369,0)),"",INDEX('Compliance Database'!$B$2:$B$1369,MATCH(1173,'Transfer Engine'!$C$2:$C$1369,0)))</f>
        <v/>
      </c>
      <c r="C1182" s="8">
        <f>IF(ISNA(MATCH(1173,'Transfer Engine'!$C$2:$C$1369,0)),"",INDEX('Compliance Database'!$C$2:$C$1369,MATCH(1173,'Transfer Engine'!$C$2:$C$1369,0)))</f>
        <v/>
      </c>
      <c r="D1182" s="9">
        <f>IF(ISNA(MATCH(1173,'Transfer Engine'!$C$2:$C$1369,0)),"",INDEX('Compliance Database'!$D$2:$D$1369,MATCH(1173,'Transfer Engine'!$C$2:$C$1369,0)))</f>
        <v/>
      </c>
      <c r="E1182" s="8">
        <f>IF(ISNA(MATCH(1173,'Transfer Engine'!$C$2:$C$1369,0)),"",INDEX('Compliance Database'!$E$2:$E$1369,MATCH(1173,'Transfer Engine'!$C$2:$C$1369,0)))</f>
        <v/>
      </c>
      <c r="F1182" s="8">
        <f>IF(ISNA(MATCH(1173,'Transfer Engine'!$C$2:$C$1369,0)),"",INDEX('Compliance Database'!$F$2:$F$1369,MATCH(1173,'Transfer Engine'!$C$2:$C$1369,0)))</f>
        <v/>
      </c>
      <c r="G1182" s="8">
        <f>IF(ISNA(MATCH(1173,'Transfer Engine'!$C$2:$C$1369,0)),"",INDEX('Compliance Database'!$G$2:$G$1369,MATCH(1173,'Transfer Engine'!$C$2:$C$1369,0)))</f>
        <v/>
      </c>
      <c r="H1182" s="9">
        <f>IF(ISNA(MATCH(1173,'Transfer Engine'!$C$2:$C$1369,0)),"",INDEX('Compliance Database'!$H$2:$H$1369,MATCH(1173,'Transfer Engine'!$C$2:$C$1369,0)))</f>
        <v/>
      </c>
      <c r="I1182" s="9">
        <f>IF(ISNA(MATCH(1173,'Transfer Engine'!$C$2:$C$1369,0)),"",INDEX('Compliance Database'!$I$2:$I$1369,MATCH(1173,'Transfer Engine'!$C$2:$C$1369,0)))</f>
        <v/>
      </c>
      <c r="J1182" s="8">
        <f>IF(ISNA(MATCH(1173,'Transfer Engine'!$C$2:$C$1369,0)),"",INDEX('Compliance Database'!$J$2:$J$1369,MATCH(1173,'Transfer Engine'!$C$2:$C$1369,0)))</f>
        <v/>
      </c>
      <c r="K1182" s="9">
        <f>IF(ISNA(MATCH(1173,'Transfer Engine'!$C$2:$C$1369,0)),"",INDEX('Compliance Database'!$K$2:$K$1369,MATCH(1173,'Transfer Engine'!$C$2:$C$1369,0)))</f>
        <v/>
      </c>
      <c r="L1182" s="9">
        <f>IF(ISNA(MATCH(1173,'Transfer Engine'!$C$2:$C$1369,0)),"",INDEX('Compliance Database'!$L$2:$L$1369,MATCH(1173,'Transfer Engine'!$C$2:$C$1369,0)))</f>
        <v/>
      </c>
      <c r="M1182" s="9">
        <f>IF(ISNA(MATCH(1173,'Transfer Engine'!$C$2:$C$1369,0)),"",INDEX('Compliance Database'!$M$2:$M$1369,MATCH(1173,'Transfer Engine'!$C$2:$C$1369,0)))</f>
        <v/>
      </c>
      <c r="N1182" s="9">
        <f>IF(ISNA(MATCH(1173,'Transfer Engine'!$C$2:$C$1369,0)),"",INDEX('Compliance Database'!$N$2:$N$1369,MATCH(1173,'Transfer Engine'!$C$2:$C$1369,0)))</f>
        <v/>
      </c>
      <c r="O1182" s="8">
        <f>IF(ISNA(MATCH(1173,'Transfer Engine'!$C$2:$C$1369,0)),"",HYPERLINK(INDEX('Compliance Database'!$O$2:$O$1369,MATCH(1173,'Transfer Engine'!$C$2:$C$1369,0)),"Open PDF"))</f>
        <v/>
      </c>
    </row>
    <row r="1183" ht="188" customHeight="1">
      <c r="A1183" s="8">
        <f>IF(ISNA(MATCH(1174,'Transfer Engine'!$C$2:$C$1369,0)),"",INDEX('Compliance Database'!$A$2:$A$1369,MATCH(1174,'Transfer Engine'!$C$2:$C$1369,0)))</f>
        <v/>
      </c>
      <c r="B1183" s="8">
        <f>IF(ISNA(MATCH(1174,'Transfer Engine'!$C$2:$C$1369,0)),"",INDEX('Compliance Database'!$B$2:$B$1369,MATCH(1174,'Transfer Engine'!$C$2:$C$1369,0)))</f>
        <v/>
      </c>
      <c r="C1183" s="8">
        <f>IF(ISNA(MATCH(1174,'Transfer Engine'!$C$2:$C$1369,0)),"",INDEX('Compliance Database'!$C$2:$C$1369,MATCH(1174,'Transfer Engine'!$C$2:$C$1369,0)))</f>
        <v/>
      </c>
      <c r="D1183" s="9">
        <f>IF(ISNA(MATCH(1174,'Transfer Engine'!$C$2:$C$1369,0)),"",INDEX('Compliance Database'!$D$2:$D$1369,MATCH(1174,'Transfer Engine'!$C$2:$C$1369,0)))</f>
        <v/>
      </c>
      <c r="E1183" s="8">
        <f>IF(ISNA(MATCH(1174,'Transfer Engine'!$C$2:$C$1369,0)),"",INDEX('Compliance Database'!$E$2:$E$1369,MATCH(1174,'Transfer Engine'!$C$2:$C$1369,0)))</f>
        <v/>
      </c>
      <c r="F1183" s="8">
        <f>IF(ISNA(MATCH(1174,'Transfer Engine'!$C$2:$C$1369,0)),"",INDEX('Compliance Database'!$F$2:$F$1369,MATCH(1174,'Transfer Engine'!$C$2:$C$1369,0)))</f>
        <v/>
      </c>
      <c r="G1183" s="8">
        <f>IF(ISNA(MATCH(1174,'Transfer Engine'!$C$2:$C$1369,0)),"",INDEX('Compliance Database'!$G$2:$G$1369,MATCH(1174,'Transfer Engine'!$C$2:$C$1369,0)))</f>
        <v/>
      </c>
      <c r="H1183" s="9">
        <f>IF(ISNA(MATCH(1174,'Transfer Engine'!$C$2:$C$1369,0)),"",INDEX('Compliance Database'!$H$2:$H$1369,MATCH(1174,'Transfer Engine'!$C$2:$C$1369,0)))</f>
        <v/>
      </c>
      <c r="I1183" s="9">
        <f>IF(ISNA(MATCH(1174,'Transfer Engine'!$C$2:$C$1369,0)),"",INDEX('Compliance Database'!$I$2:$I$1369,MATCH(1174,'Transfer Engine'!$C$2:$C$1369,0)))</f>
        <v/>
      </c>
      <c r="J1183" s="8">
        <f>IF(ISNA(MATCH(1174,'Transfer Engine'!$C$2:$C$1369,0)),"",INDEX('Compliance Database'!$J$2:$J$1369,MATCH(1174,'Transfer Engine'!$C$2:$C$1369,0)))</f>
        <v/>
      </c>
      <c r="K1183" s="9">
        <f>IF(ISNA(MATCH(1174,'Transfer Engine'!$C$2:$C$1369,0)),"",INDEX('Compliance Database'!$K$2:$K$1369,MATCH(1174,'Transfer Engine'!$C$2:$C$1369,0)))</f>
        <v/>
      </c>
      <c r="L1183" s="9">
        <f>IF(ISNA(MATCH(1174,'Transfer Engine'!$C$2:$C$1369,0)),"",INDEX('Compliance Database'!$L$2:$L$1369,MATCH(1174,'Transfer Engine'!$C$2:$C$1369,0)))</f>
        <v/>
      </c>
      <c r="M1183" s="9">
        <f>IF(ISNA(MATCH(1174,'Transfer Engine'!$C$2:$C$1369,0)),"",INDEX('Compliance Database'!$M$2:$M$1369,MATCH(1174,'Transfer Engine'!$C$2:$C$1369,0)))</f>
        <v/>
      </c>
      <c r="N1183" s="9">
        <f>IF(ISNA(MATCH(1174,'Transfer Engine'!$C$2:$C$1369,0)),"",INDEX('Compliance Database'!$N$2:$N$1369,MATCH(1174,'Transfer Engine'!$C$2:$C$1369,0)))</f>
        <v/>
      </c>
      <c r="O1183" s="8">
        <f>IF(ISNA(MATCH(1174,'Transfer Engine'!$C$2:$C$1369,0)),"",HYPERLINK(INDEX('Compliance Database'!$O$2:$O$1369,MATCH(1174,'Transfer Engine'!$C$2:$C$1369,0)),"Open PDF"))</f>
        <v/>
      </c>
    </row>
    <row r="1184" ht="188" customHeight="1">
      <c r="A1184" s="8">
        <f>IF(ISNA(MATCH(1175,'Transfer Engine'!$C$2:$C$1369,0)),"",INDEX('Compliance Database'!$A$2:$A$1369,MATCH(1175,'Transfer Engine'!$C$2:$C$1369,0)))</f>
        <v/>
      </c>
      <c r="B1184" s="8">
        <f>IF(ISNA(MATCH(1175,'Transfer Engine'!$C$2:$C$1369,0)),"",INDEX('Compliance Database'!$B$2:$B$1369,MATCH(1175,'Transfer Engine'!$C$2:$C$1369,0)))</f>
        <v/>
      </c>
      <c r="C1184" s="8">
        <f>IF(ISNA(MATCH(1175,'Transfer Engine'!$C$2:$C$1369,0)),"",INDEX('Compliance Database'!$C$2:$C$1369,MATCH(1175,'Transfer Engine'!$C$2:$C$1369,0)))</f>
        <v/>
      </c>
      <c r="D1184" s="9">
        <f>IF(ISNA(MATCH(1175,'Transfer Engine'!$C$2:$C$1369,0)),"",INDEX('Compliance Database'!$D$2:$D$1369,MATCH(1175,'Transfer Engine'!$C$2:$C$1369,0)))</f>
        <v/>
      </c>
      <c r="E1184" s="8">
        <f>IF(ISNA(MATCH(1175,'Transfer Engine'!$C$2:$C$1369,0)),"",INDEX('Compliance Database'!$E$2:$E$1369,MATCH(1175,'Transfer Engine'!$C$2:$C$1369,0)))</f>
        <v/>
      </c>
      <c r="F1184" s="8">
        <f>IF(ISNA(MATCH(1175,'Transfer Engine'!$C$2:$C$1369,0)),"",INDEX('Compliance Database'!$F$2:$F$1369,MATCH(1175,'Transfer Engine'!$C$2:$C$1369,0)))</f>
        <v/>
      </c>
      <c r="G1184" s="8">
        <f>IF(ISNA(MATCH(1175,'Transfer Engine'!$C$2:$C$1369,0)),"",INDEX('Compliance Database'!$G$2:$G$1369,MATCH(1175,'Transfer Engine'!$C$2:$C$1369,0)))</f>
        <v/>
      </c>
      <c r="H1184" s="9">
        <f>IF(ISNA(MATCH(1175,'Transfer Engine'!$C$2:$C$1369,0)),"",INDEX('Compliance Database'!$H$2:$H$1369,MATCH(1175,'Transfer Engine'!$C$2:$C$1369,0)))</f>
        <v/>
      </c>
      <c r="I1184" s="9">
        <f>IF(ISNA(MATCH(1175,'Transfer Engine'!$C$2:$C$1369,0)),"",INDEX('Compliance Database'!$I$2:$I$1369,MATCH(1175,'Transfer Engine'!$C$2:$C$1369,0)))</f>
        <v/>
      </c>
      <c r="J1184" s="8">
        <f>IF(ISNA(MATCH(1175,'Transfer Engine'!$C$2:$C$1369,0)),"",INDEX('Compliance Database'!$J$2:$J$1369,MATCH(1175,'Transfer Engine'!$C$2:$C$1369,0)))</f>
        <v/>
      </c>
      <c r="K1184" s="9">
        <f>IF(ISNA(MATCH(1175,'Transfer Engine'!$C$2:$C$1369,0)),"",INDEX('Compliance Database'!$K$2:$K$1369,MATCH(1175,'Transfer Engine'!$C$2:$C$1369,0)))</f>
        <v/>
      </c>
      <c r="L1184" s="9">
        <f>IF(ISNA(MATCH(1175,'Transfer Engine'!$C$2:$C$1369,0)),"",INDEX('Compliance Database'!$L$2:$L$1369,MATCH(1175,'Transfer Engine'!$C$2:$C$1369,0)))</f>
        <v/>
      </c>
      <c r="M1184" s="9">
        <f>IF(ISNA(MATCH(1175,'Transfer Engine'!$C$2:$C$1369,0)),"",INDEX('Compliance Database'!$M$2:$M$1369,MATCH(1175,'Transfer Engine'!$C$2:$C$1369,0)))</f>
        <v/>
      </c>
      <c r="N1184" s="9">
        <f>IF(ISNA(MATCH(1175,'Transfer Engine'!$C$2:$C$1369,0)),"",INDEX('Compliance Database'!$N$2:$N$1369,MATCH(1175,'Transfer Engine'!$C$2:$C$1369,0)))</f>
        <v/>
      </c>
      <c r="O1184" s="8">
        <f>IF(ISNA(MATCH(1175,'Transfer Engine'!$C$2:$C$1369,0)),"",HYPERLINK(INDEX('Compliance Database'!$O$2:$O$1369,MATCH(1175,'Transfer Engine'!$C$2:$C$1369,0)),"Open PDF"))</f>
        <v/>
      </c>
    </row>
    <row r="1185" ht="188" customHeight="1">
      <c r="A1185" s="8">
        <f>IF(ISNA(MATCH(1176,'Transfer Engine'!$C$2:$C$1369,0)),"",INDEX('Compliance Database'!$A$2:$A$1369,MATCH(1176,'Transfer Engine'!$C$2:$C$1369,0)))</f>
        <v/>
      </c>
      <c r="B1185" s="8">
        <f>IF(ISNA(MATCH(1176,'Transfer Engine'!$C$2:$C$1369,0)),"",INDEX('Compliance Database'!$B$2:$B$1369,MATCH(1176,'Transfer Engine'!$C$2:$C$1369,0)))</f>
        <v/>
      </c>
      <c r="C1185" s="8">
        <f>IF(ISNA(MATCH(1176,'Transfer Engine'!$C$2:$C$1369,0)),"",INDEX('Compliance Database'!$C$2:$C$1369,MATCH(1176,'Transfer Engine'!$C$2:$C$1369,0)))</f>
        <v/>
      </c>
      <c r="D1185" s="9">
        <f>IF(ISNA(MATCH(1176,'Transfer Engine'!$C$2:$C$1369,0)),"",INDEX('Compliance Database'!$D$2:$D$1369,MATCH(1176,'Transfer Engine'!$C$2:$C$1369,0)))</f>
        <v/>
      </c>
      <c r="E1185" s="8">
        <f>IF(ISNA(MATCH(1176,'Transfer Engine'!$C$2:$C$1369,0)),"",INDEX('Compliance Database'!$E$2:$E$1369,MATCH(1176,'Transfer Engine'!$C$2:$C$1369,0)))</f>
        <v/>
      </c>
      <c r="F1185" s="8">
        <f>IF(ISNA(MATCH(1176,'Transfer Engine'!$C$2:$C$1369,0)),"",INDEX('Compliance Database'!$F$2:$F$1369,MATCH(1176,'Transfer Engine'!$C$2:$C$1369,0)))</f>
        <v/>
      </c>
      <c r="G1185" s="8">
        <f>IF(ISNA(MATCH(1176,'Transfer Engine'!$C$2:$C$1369,0)),"",INDEX('Compliance Database'!$G$2:$G$1369,MATCH(1176,'Transfer Engine'!$C$2:$C$1369,0)))</f>
        <v/>
      </c>
      <c r="H1185" s="9">
        <f>IF(ISNA(MATCH(1176,'Transfer Engine'!$C$2:$C$1369,0)),"",INDEX('Compliance Database'!$H$2:$H$1369,MATCH(1176,'Transfer Engine'!$C$2:$C$1369,0)))</f>
        <v/>
      </c>
      <c r="I1185" s="9">
        <f>IF(ISNA(MATCH(1176,'Transfer Engine'!$C$2:$C$1369,0)),"",INDEX('Compliance Database'!$I$2:$I$1369,MATCH(1176,'Transfer Engine'!$C$2:$C$1369,0)))</f>
        <v/>
      </c>
      <c r="J1185" s="8">
        <f>IF(ISNA(MATCH(1176,'Transfer Engine'!$C$2:$C$1369,0)),"",INDEX('Compliance Database'!$J$2:$J$1369,MATCH(1176,'Transfer Engine'!$C$2:$C$1369,0)))</f>
        <v/>
      </c>
      <c r="K1185" s="9">
        <f>IF(ISNA(MATCH(1176,'Transfer Engine'!$C$2:$C$1369,0)),"",INDEX('Compliance Database'!$K$2:$K$1369,MATCH(1176,'Transfer Engine'!$C$2:$C$1369,0)))</f>
        <v/>
      </c>
      <c r="L1185" s="9">
        <f>IF(ISNA(MATCH(1176,'Transfer Engine'!$C$2:$C$1369,0)),"",INDEX('Compliance Database'!$L$2:$L$1369,MATCH(1176,'Transfer Engine'!$C$2:$C$1369,0)))</f>
        <v/>
      </c>
      <c r="M1185" s="9">
        <f>IF(ISNA(MATCH(1176,'Transfer Engine'!$C$2:$C$1369,0)),"",INDEX('Compliance Database'!$M$2:$M$1369,MATCH(1176,'Transfer Engine'!$C$2:$C$1369,0)))</f>
        <v/>
      </c>
      <c r="N1185" s="9">
        <f>IF(ISNA(MATCH(1176,'Transfer Engine'!$C$2:$C$1369,0)),"",INDEX('Compliance Database'!$N$2:$N$1369,MATCH(1176,'Transfer Engine'!$C$2:$C$1369,0)))</f>
        <v/>
      </c>
      <c r="O1185" s="8">
        <f>IF(ISNA(MATCH(1176,'Transfer Engine'!$C$2:$C$1369,0)),"",HYPERLINK(INDEX('Compliance Database'!$O$2:$O$1369,MATCH(1176,'Transfer Engine'!$C$2:$C$1369,0)),"Open PDF"))</f>
        <v/>
      </c>
    </row>
    <row r="1186" ht="188" customHeight="1">
      <c r="A1186" s="8">
        <f>IF(ISNA(MATCH(1177,'Transfer Engine'!$C$2:$C$1369,0)),"",INDEX('Compliance Database'!$A$2:$A$1369,MATCH(1177,'Transfer Engine'!$C$2:$C$1369,0)))</f>
        <v/>
      </c>
      <c r="B1186" s="8">
        <f>IF(ISNA(MATCH(1177,'Transfer Engine'!$C$2:$C$1369,0)),"",INDEX('Compliance Database'!$B$2:$B$1369,MATCH(1177,'Transfer Engine'!$C$2:$C$1369,0)))</f>
        <v/>
      </c>
      <c r="C1186" s="8">
        <f>IF(ISNA(MATCH(1177,'Transfer Engine'!$C$2:$C$1369,0)),"",INDEX('Compliance Database'!$C$2:$C$1369,MATCH(1177,'Transfer Engine'!$C$2:$C$1369,0)))</f>
        <v/>
      </c>
      <c r="D1186" s="9">
        <f>IF(ISNA(MATCH(1177,'Transfer Engine'!$C$2:$C$1369,0)),"",INDEX('Compliance Database'!$D$2:$D$1369,MATCH(1177,'Transfer Engine'!$C$2:$C$1369,0)))</f>
        <v/>
      </c>
      <c r="E1186" s="8">
        <f>IF(ISNA(MATCH(1177,'Transfer Engine'!$C$2:$C$1369,0)),"",INDEX('Compliance Database'!$E$2:$E$1369,MATCH(1177,'Transfer Engine'!$C$2:$C$1369,0)))</f>
        <v/>
      </c>
      <c r="F1186" s="8">
        <f>IF(ISNA(MATCH(1177,'Transfer Engine'!$C$2:$C$1369,0)),"",INDEX('Compliance Database'!$F$2:$F$1369,MATCH(1177,'Transfer Engine'!$C$2:$C$1369,0)))</f>
        <v/>
      </c>
      <c r="G1186" s="8">
        <f>IF(ISNA(MATCH(1177,'Transfer Engine'!$C$2:$C$1369,0)),"",INDEX('Compliance Database'!$G$2:$G$1369,MATCH(1177,'Transfer Engine'!$C$2:$C$1369,0)))</f>
        <v/>
      </c>
      <c r="H1186" s="9">
        <f>IF(ISNA(MATCH(1177,'Transfer Engine'!$C$2:$C$1369,0)),"",INDEX('Compliance Database'!$H$2:$H$1369,MATCH(1177,'Transfer Engine'!$C$2:$C$1369,0)))</f>
        <v/>
      </c>
      <c r="I1186" s="9">
        <f>IF(ISNA(MATCH(1177,'Transfer Engine'!$C$2:$C$1369,0)),"",INDEX('Compliance Database'!$I$2:$I$1369,MATCH(1177,'Transfer Engine'!$C$2:$C$1369,0)))</f>
        <v/>
      </c>
      <c r="J1186" s="8">
        <f>IF(ISNA(MATCH(1177,'Transfer Engine'!$C$2:$C$1369,0)),"",INDEX('Compliance Database'!$J$2:$J$1369,MATCH(1177,'Transfer Engine'!$C$2:$C$1369,0)))</f>
        <v/>
      </c>
      <c r="K1186" s="9">
        <f>IF(ISNA(MATCH(1177,'Transfer Engine'!$C$2:$C$1369,0)),"",INDEX('Compliance Database'!$K$2:$K$1369,MATCH(1177,'Transfer Engine'!$C$2:$C$1369,0)))</f>
        <v/>
      </c>
      <c r="L1186" s="9">
        <f>IF(ISNA(MATCH(1177,'Transfer Engine'!$C$2:$C$1369,0)),"",INDEX('Compliance Database'!$L$2:$L$1369,MATCH(1177,'Transfer Engine'!$C$2:$C$1369,0)))</f>
        <v/>
      </c>
      <c r="M1186" s="9">
        <f>IF(ISNA(MATCH(1177,'Transfer Engine'!$C$2:$C$1369,0)),"",INDEX('Compliance Database'!$M$2:$M$1369,MATCH(1177,'Transfer Engine'!$C$2:$C$1369,0)))</f>
        <v/>
      </c>
      <c r="N1186" s="9">
        <f>IF(ISNA(MATCH(1177,'Transfer Engine'!$C$2:$C$1369,0)),"",INDEX('Compliance Database'!$N$2:$N$1369,MATCH(1177,'Transfer Engine'!$C$2:$C$1369,0)))</f>
        <v/>
      </c>
      <c r="O1186" s="8">
        <f>IF(ISNA(MATCH(1177,'Transfer Engine'!$C$2:$C$1369,0)),"",HYPERLINK(INDEX('Compliance Database'!$O$2:$O$1369,MATCH(1177,'Transfer Engine'!$C$2:$C$1369,0)),"Open PDF"))</f>
        <v/>
      </c>
    </row>
    <row r="1187" ht="188" customHeight="1">
      <c r="A1187" s="8">
        <f>IF(ISNA(MATCH(1178,'Transfer Engine'!$C$2:$C$1369,0)),"",INDEX('Compliance Database'!$A$2:$A$1369,MATCH(1178,'Transfer Engine'!$C$2:$C$1369,0)))</f>
        <v/>
      </c>
      <c r="B1187" s="8">
        <f>IF(ISNA(MATCH(1178,'Transfer Engine'!$C$2:$C$1369,0)),"",INDEX('Compliance Database'!$B$2:$B$1369,MATCH(1178,'Transfer Engine'!$C$2:$C$1369,0)))</f>
        <v/>
      </c>
      <c r="C1187" s="8">
        <f>IF(ISNA(MATCH(1178,'Transfer Engine'!$C$2:$C$1369,0)),"",INDEX('Compliance Database'!$C$2:$C$1369,MATCH(1178,'Transfer Engine'!$C$2:$C$1369,0)))</f>
        <v/>
      </c>
      <c r="D1187" s="9">
        <f>IF(ISNA(MATCH(1178,'Transfer Engine'!$C$2:$C$1369,0)),"",INDEX('Compliance Database'!$D$2:$D$1369,MATCH(1178,'Transfer Engine'!$C$2:$C$1369,0)))</f>
        <v/>
      </c>
      <c r="E1187" s="8">
        <f>IF(ISNA(MATCH(1178,'Transfer Engine'!$C$2:$C$1369,0)),"",INDEX('Compliance Database'!$E$2:$E$1369,MATCH(1178,'Transfer Engine'!$C$2:$C$1369,0)))</f>
        <v/>
      </c>
      <c r="F1187" s="8">
        <f>IF(ISNA(MATCH(1178,'Transfer Engine'!$C$2:$C$1369,0)),"",INDEX('Compliance Database'!$F$2:$F$1369,MATCH(1178,'Transfer Engine'!$C$2:$C$1369,0)))</f>
        <v/>
      </c>
      <c r="G1187" s="8">
        <f>IF(ISNA(MATCH(1178,'Transfer Engine'!$C$2:$C$1369,0)),"",INDEX('Compliance Database'!$G$2:$G$1369,MATCH(1178,'Transfer Engine'!$C$2:$C$1369,0)))</f>
        <v/>
      </c>
      <c r="H1187" s="9">
        <f>IF(ISNA(MATCH(1178,'Transfer Engine'!$C$2:$C$1369,0)),"",INDEX('Compliance Database'!$H$2:$H$1369,MATCH(1178,'Transfer Engine'!$C$2:$C$1369,0)))</f>
        <v/>
      </c>
      <c r="I1187" s="9">
        <f>IF(ISNA(MATCH(1178,'Transfer Engine'!$C$2:$C$1369,0)),"",INDEX('Compliance Database'!$I$2:$I$1369,MATCH(1178,'Transfer Engine'!$C$2:$C$1369,0)))</f>
        <v/>
      </c>
      <c r="J1187" s="8">
        <f>IF(ISNA(MATCH(1178,'Transfer Engine'!$C$2:$C$1369,0)),"",INDEX('Compliance Database'!$J$2:$J$1369,MATCH(1178,'Transfer Engine'!$C$2:$C$1369,0)))</f>
        <v/>
      </c>
      <c r="K1187" s="9">
        <f>IF(ISNA(MATCH(1178,'Transfer Engine'!$C$2:$C$1369,0)),"",INDEX('Compliance Database'!$K$2:$K$1369,MATCH(1178,'Transfer Engine'!$C$2:$C$1369,0)))</f>
        <v/>
      </c>
      <c r="L1187" s="9">
        <f>IF(ISNA(MATCH(1178,'Transfer Engine'!$C$2:$C$1369,0)),"",INDEX('Compliance Database'!$L$2:$L$1369,MATCH(1178,'Transfer Engine'!$C$2:$C$1369,0)))</f>
        <v/>
      </c>
      <c r="M1187" s="9">
        <f>IF(ISNA(MATCH(1178,'Transfer Engine'!$C$2:$C$1369,0)),"",INDEX('Compliance Database'!$M$2:$M$1369,MATCH(1178,'Transfer Engine'!$C$2:$C$1369,0)))</f>
        <v/>
      </c>
      <c r="N1187" s="9">
        <f>IF(ISNA(MATCH(1178,'Transfer Engine'!$C$2:$C$1369,0)),"",INDEX('Compliance Database'!$N$2:$N$1369,MATCH(1178,'Transfer Engine'!$C$2:$C$1369,0)))</f>
        <v/>
      </c>
      <c r="O1187" s="8">
        <f>IF(ISNA(MATCH(1178,'Transfer Engine'!$C$2:$C$1369,0)),"",HYPERLINK(INDEX('Compliance Database'!$O$2:$O$1369,MATCH(1178,'Transfer Engine'!$C$2:$C$1369,0)),"Open PDF"))</f>
        <v/>
      </c>
    </row>
    <row r="1188" ht="188" customHeight="1">
      <c r="A1188" s="8">
        <f>IF(ISNA(MATCH(1179,'Transfer Engine'!$C$2:$C$1369,0)),"",INDEX('Compliance Database'!$A$2:$A$1369,MATCH(1179,'Transfer Engine'!$C$2:$C$1369,0)))</f>
        <v/>
      </c>
      <c r="B1188" s="8">
        <f>IF(ISNA(MATCH(1179,'Transfer Engine'!$C$2:$C$1369,0)),"",INDEX('Compliance Database'!$B$2:$B$1369,MATCH(1179,'Transfer Engine'!$C$2:$C$1369,0)))</f>
        <v/>
      </c>
      <c r="C1188" s="8">
        <f>IF(ISNA(MATCH(1179,'Transfer Engine'!$C$2:$C$1369,0)),"",INDEX('Compliance Database'!$C$2:$C$1369,MATCH(1179,'Transfer Engine'!$C$2:$C$1369,0)))</f>
        <v/>
      </c>
      <c r="D1188" s="9">
        <f>IF(ISNA(MATCH(1179,'Transfer Engine'!$C$2:$C$1369,0)),"",INDEX('Compliance Database'!$D$2:$D$1369,MATCH(1179,'Transfer Engine'!$C$2:$C$1369,0)))</f>
        <v/>
      </c>
      <c r="E1188" s="8">
        <f>IF(ISNA(MATCH(1179,'Transfer Engine'!$C$2:$C$1369,0)),"",INDEX('Compliance Database'!$E$2:$E$1369,MATCH(1179,'Transfer Engine'!$C$2:$C$1369,0)))</f>
        <v/>
      </c>
      <c r="F1188" s="8">
        <f>IF(ISNA(MATCH(1179,'Transfer Engine'!$C$2:$C$1369,0)),"",INDEX('Compliance Database'!$F$2:$F$1369,MATCH(1179,'Transfer Engine'!$C$2:$C$1369,0)))</f>
        <v/>
      </c>
      <c r="G1188" s="8">
        <f>IF(ISNA(MATCH(1179,'Transfer Engine'!$C$2:$C$1369,0)),"",INDEX('Compliance Database'!$G$2:$G$1369,MATCH(1179,'Transfer Engine'!$C$2:$C$1369,0)))</f>
        <v/>
      </c>
      <c r="H1188" s="9">
        <f>IF(ISNA(MATCH(1179,'Transfer Engine'!$C$2:$C$1369,0)),"",INDEX('Compliance Database'!$H$2:$H$1369,MATCH(1179,'Transfer Engine'!$C$2:$C$1369,0)))</f>
        <v/>
      </c>
      <c r="I1188" s="9">
        <f>IF(ISNA(MATCH(1179,'Transfer Engine'!$C$2:$C$1369,0)),"",INDEX('Compliance Database'!$I$2:$I$1369,MATCH(1179,'Transfer Engine'!$C$2:$C$1369,0)))</f>
        <v/>
      </c>
      <c r="J1188" s="8">
        <f>IF(ISNA(MATCH(1179,'Transfer Engine'!$C$2:$C$1369,0)),"",INDEX('Compliance Database'!$J$2:$J$1369,MATCH(1179,'Transfer Engine'!$C$2:$C$1369,0)))</f>
        <v/>
      </c>
      <c r="K1188" s="9">
        <f>IF(ISNA(MATCH(1179,'Transfer Engine'!$C$2:$C$1369,0)),"",INDEX('Compliance Database'!$K$2:$K$1369,MATCH(1179,'Transfer Engine'!$C$2:$C$1369,0)))</f>
        <v/>
      </c>
      <c r="L1188" s="9">
        <f>IF(ISNA(MATCH(1179,'Transfer Engine'!$C$2:$C$1369,0)),"",INDEX('Compliance Database'!$L$2:$L$1369,MATCH(1179,'Transfer Engine'!$C$2:$C$1369,0)))</f>
        <v/>
      </c>
      <c r="M1188" s="9">
        <f>IF(ISNA(MATCH(1179,'Transfer Engine'!$C$2:$C$1369,0)),"",INDEX('Compliance Database'!$M$2:$M$1369,MATCH(1179,'Transfer Engine'!$C$2:$C$1369,0)))</f>
        <v/>
      </c>
      <c r="N1188" s="9">
        <f>IF(ISNA(MATCH(1179,'Transfer Engine'!$C$2:$C$1369,0)),"",INDEX('Compliance Database'!$N$2:$N$1369,MATCH(1179,'Transfer Engine'!$C$2:$C$1369,0)))</f>
        <v/>
      </c>
      <c r="O1188" s="8">
        <f>IF(ISNA(MATCH(1179,'Transfer Engine'!$C$2:$C$1369,0)),"",HYPERLINK(INDEX('Compliance Database'!$O$2:$O$1369,MATCH(1179,'Transfer Engine'!$C$2:$C$1369,0)),"Open PDF"))</f>
        <v/>
      </c>
    </row>
    <row r="1189" ht="188" customHeight="1">
      <c r="A1189" s="8">
        <f>IF(ISNA(MATCH(1180,'Transfer Engine'!$C$2:$C$1369,0)),"",INDEX('Compliance Database'!$A$2:$A$1369,MATCH(1180,'Transfer Engine'!$C$2:$C$1369,0)))</f>
        <v/>
      </c>
      <c r="B1189" s="8">
        <f>IF(ISNA(MATCH(1180,'Transfer Engine'!$C$2:$C$1369,0)),"",INDEX('Compliance Database'!$B$2:$B$1369,MATCH(1180,'Transfer Engine'!$C$2:$C$1369,0)))</f>
        <v/>
      </c>
      <c r="C1189" s="8">
        <f>IF(ISNA(MATCH(1180,'Transfer Engine'!$C$2:$C$1369,0)),"",INDEX('Compliance Database'!$C$2:$C$1369,MATCH(1180,'Transfer Engine'!$C$2:$C$1369,0)))</f>
        <v/>
      </c>
      <c r="D1189" s="9">
        <f>IF(ISNA(MATCH(1180,'Transfer Engine'!$C$2:$C$1369,0)),"",INDEX('Compliance Database'!$D$2:$D$1369,MATCH(1180,'Transfer Engine'!$C$2:$C$1369,0)))</f>
        <v/>
      </c>
      <c r="E1189" s="8">
        <f>IF(ISNA(MATCH(1180,'Transfer Engine'!$C$2:$C$1369,0)),"",INDEX('Compliance Database'!$E$2:$E$1369,MATCH(1180,'Transfer Engine'!$C$2:$C$1369,0)))</f>
        <v/>
      </c>
      <c r="F1189" s="8">
        <f>IF(ISNA(MATCH(1180,'Transfer Engine'!$C$2:$C$1369,0)),"",INDEX('Compliance Database'!$F$2:$F$1369,MATCH(1180,'Transfer Engine'!$C$2:$C$1369,0)))</f>
        <v/>
      </c>
      <c r="G1189" s="8">
        <f>IF(ISNA(MATCH(1180,'Transfer Engine'!$C$2:$C$1369,0)),"",INDEX('Compliance Database'!$G$2:$G$1369,MATCH(1180,'Transfer Engine'!$C$2:$C$1369,0)))</f>
        <v/>
      </c>
      <c r="H1189" s="9">
        <f>IF(ISNA(MATCH(1180,'Transfer Engine'!$C$2:$C$1369,0)),"",INDEX('Compliance Database'!$H$2:$H$1369,MATCH(1180,'Transfer Engine'!$C$2:$C$1369,0)))</f>
        <v/>
      </c>
      <c r="I1189" s="9">
        <f>IF(ISNA(MATCH(1180,'Transfer Engine'!$C$2:$C$1369,0)),"",INDEX('Compliance Database'!$I$2:$I$1369,MATCH(1180,'Transfer Engine'!$C$2:$C$1369,0)))</f>
        <v/>
      </c>
      <c r="J1189" s="8">
        <f>IF(ISNA(MATCH(1180,'Transfer Engine'!$C$2:$C$1369,0)),"",INDEX('Compliance Database'!$J$2:$J$1369,MATCH(1180,'Transfer Engine'!$C$2:$C$1369,0)))</f>
        <v/>
      </c>
      <c r="K1189" s="9">
        <f>IF(ISNA(MATCH(1180,'Transfer Engine'!$C$2:$C$1369,0)),"",INDEX('Compliance Database'!$K$2:$K$1369,MATCH(1180,'Transfer Engine'!$C$2:$C$1369,0)))</f>
        <v/>
      </c>
      <c r="L1189" s="9">
        <f>IF(ISNA(MATCH(1180,'Transfer Engine'!$C$2:$C$1369,0)),"",INDEX('Compliance Database'!$L$2:$L$1369,MATCH(1180,'Transfer Engine'!$C$2:$C$1369,0)))</f>
        <v/>
      </c>
      <c r="M1189" s="9">
        <f>IF(ISNA(MATCH(1180,'Transfer Engine'!$C$2:$C$1369,0)),"",INDEX('Compliance Database'!$M$2:$M$1369,MATCH(1180,'Transfer Engine'!$C$2:$C$1369,0)))</f>
        <v/>
      </c>
      <c r="N1189" s="9">
        <f>IF(ISNA(MATCH(1180,'Transfer Engine'!$C$2:$C$1369,0)),"",INDEX('Compliance Database'!$N$2:$N$1369,MATCH(1180,'Transfer Engine'!$C$2:$C$1369,0)))</f>
        <v/>
      </c>
      <c r="O1189" s="8">
        <f>IF(ISNA(MATCH(1180,'Transfer Engine'!$C$2:$C$1369,0)),"",HYPERLINK(INDEX('Compliance Database'!$O$2:$O$1369,MATCH(1180,'Transfer Engine'!$C$2:$C$1369,0)),"Open PDF"))</f>
        <v/>
      </c>
    </row>
    <row r="1190" ht="188" customHeight="1">
      <c r="A1190" s="8">
        <f>IF(ISNA(MATCH(1181,'Transfer Engine'!$C$2:$C$1369,0)),"",INDEX('Compliance Database'!$A$2:$A$1369,MATCH(1181,'Transfer Engine'!$C$2:$C$1369,0)))</f>
        <v/>
      </c>
      <c r="B1190" s="8">
        <f>IF(ISNA(MATCH(1181,'Transfer Engine'!$C$2:$C$1369,0)),"",INDEX('Compliance Database'!$B$2:$B$1369,MATCH(1181,'Transfer Engine'!$C$2:$C$1369,0)))</f>
        <v/>
      </c>
      <c r="C1190" s="8">
        <f>IF(ISNA(MATCH(1181,'Transfer Engine'!$C$2:$C$1369,0)),"",INDEX('Compliance Database'!$C$2:$C$1369,MATCH(1181,'Transfer Engine'!$C$2:$C$1369,0)))</f>
        <v/>
      </c>
      <c r="D1190" s="9">
        <f>IF(ISNA(MATCH(1181,'Transfer Engine'!$C$2:$C$1369,0)),"",INDEX('Compliance Database'!$D$2:$D$1369,MATCH(1181,'Transfer Engine'!$C$2:$C$1369,0)))</f>
        <v/>
      </c>
      <c r="E1190" s="8">
        <f>IF(ISNA(MATCH(1181,'Transfer Engine'!$C$2:$C$1369,0)),"",INDEX('Compliance Database'!$E$2:$E$1369,MATCH(1181,'Transfer Engine'!$C$2:$C$1369,0)))</f>
        <v/>
      </c>
      <c r="F1190" s="8">
        <f>IF(ISNA(MATCH(1181,'Transfer Engine'!$C$2:$C$1369,0)),"",INDEX('Compliance Database'!$F$2:$F$1369,MATCH(1181,'Transfer Engine'!$C$2:$C$1369,0)))</f>
        <v/>
      </c>
      <c r="G1190" s="8">
        <f>IF(ISNA(MATCH(1181,'Transfer Engine'!$C$2:$C$1369,0)),"",INDEX('Compliance Database'!$G$2:$G$1369,MATCH(1181,'Transfer Engine'!$C$2:$C$1369,0)))</f>
        <v/>
      </c>
      <c r="H1190" s="9">
        <f>IF(ISNA(MATCH(1181,'Transfer Engine'!$C$2:$C$1369,0)),"",INDEX('Compliance Database'!$H$2:$H$1369,MATCH(1181,'Transfer Engine'!$C$2:$C$1369,0)))</f>
        <v/>
      </c>
      <c r="I1190" s="9">
        <f>IF(ISNA(MATCH(1181,'Transfer Engine'!$C$2:$C$1369,0)),"",INDEX('Compliance Database'!$I$2:$I$1369,MATCH(1181,'Transfer Engine'!$C$2:$C$1369,0)))</f>
        <v/>
      </c>
      <c r="J1190" s="8">
        <f>IF(ISNA(MATCH(1181,'Transfer Engine'!$C$2:$C$1369,0)),"",INDEX('Compliance Database'!$J$2:$J$1369,MATCH(1181,'Transfer Engine'!$C$2:$C$1369,0)))</f>
        <v/>
      </c>
      <c r="K1190" s="9">
        <f>IF(ISNA(MATCH(1181,'Transfer Engine'!$C$2:$C$1369,0)),"",INDEX('Compliance Database'!$K$2:$K$1369,MATCH(1181,'Transfer Engine'!$C$2:$C$1369,0)))</f>
        <v/>
      </c>
      <c r="L1190" s="9">
        <f>IF(ISNA(MATCH(1181,'Transfer Engine'!$C$2:$C$1369,0)),"",INDEX('Compliance Database'!$L$2:$L$1369,MATCH(1181,'Transfer Engine'!$C$2:$C$1369,0)))</f>
        <v/>
      </c>
      <c r="M1190" s="9">
        <f>IF(ISNA(MATCH(1181,'Transfer Engine'!$C$2:$C$1369,0)),"",INDEX('Compliance Database'!$M$2:$M$1369,MATCH(1181,'Transfer Engine'!$C$2:$C$1369,0)))</f>
        <v/>
      </c>
      <c r="N1190" s="9">
        <f>IF(ISNA(MATCH(1181,'Transfer Engine'!$C$2:$C$1369,0)),"",INDEX('Compliance Database'!$N$2:$N$1369,MATCH(1181,'Transfer Engine'!$C$2:$C$1369,0)))</f>
        <v/>
      </c>
      <c r="O1190" s="8">
        <f>IF(ISNA(MATCH(1181,'Transfer Engine'!$C$2:$C$1369,0)),"",HYPERLINK(INDEX('Compliance Database'!$O$2:$O$1369,MATCH(1181,'Transfer Engine'!$C$2:$C$1369,0)),"Open PDF"))</f>
        <v/>
      </c>
    </row>
    <row r="1191" ht="188" customHeight="1">
      <c r="A1191" s="8">
        <f>IF(ISNA(MATCH(1182,'Transfer Engine'!$C$2:$C$1369,0)),"",INDEX('Compliance Database'!$A$2:$A$1369,MATCH(1182,'Transfer Engine'!$C$2:$C$1369,0)))</f>
        <v/>
      </c>
      <c r="B1191" s="8">
        <f>IF(ISNA(MATCH(1182,'Transfer Engine'!$C$2:$C$1369,0)),"",INDEX('Compliance Database'!$B$2:$B$1369,MATCH(1182,'Transfer Engine'!$C$2:$C$1369,0)))</f>
        <v/>
      </c>
      <c r="C1191" s="8">
        <f>IF(ISNA(MATCH(1182,'Transfer Engine'!$C$2:$C$1369,0)),"",INDEX('Compliance Database'!$C$2:$C$1369,MATCH(1182,'Transfer Engine'!$C$2:$C$1369,0)))</f>
        <v/>
      </c>
      <c r="D1191" s="9">
        <f>IF(ISNA(MATCH(1182,'Transfer Engine'!$C$2:$C$1369,0)),"",INDEX('Compliance Database'!$D$2:$D$1369,MATCH(1182,'Transfer Engine'!$C$2:$C$1369,0)))</f>
        <v/>
      </c>
      <c r="E1191" s="8">
        <f>IF(ISNA(MATCH(1182,'Transfer Engine'!$C$2:$C$1369,0)),"",INDEX('Compliance Database'!$E$2:$E$1369,MATCH(1182,'Transfer Engine'!$C$2:$C$1369,0)))</f>
        <v/>
      </c>
      <c r="F1191" s="8">
        <f>IF(ISNA(MATCH(1182,'Transfer Engine'!$C$2:$C$1369,0)),"",INDEX('Compliance Database'!$F$2:$F$1369,MATCH(1182,'Transfer Engine'!$C$2:$C$1369,0)))</f>
        <v/>
      </c>
      <c r="G1191" s="8">
        <f>IF(ISNA(MATCH(1182,'Transfer Engine'!$C$2:$C$1369,0)),"",INDEX('Compliance Database'!$G$2:$G$1369,MATCH(1182,'Transfer Engine'!$C$2:$C$1369,0)))</f>
        <v/>
      </c>
      <c r="H1191" s="9">
        <f>IF(ISNA(MATCH(1182,'Transfer Engine'!$C$2:$C$1369,0)),"",INDEX('Compliance Database'!$H$2:$H$1369,MATCH(1182,'Transfer Engine'!$C$2:$C$1369,0)))</f>
        <v/>
      </c>
      <c r="I1191" s="9">
        <f>IF(ISNA(MATCH(1182,'Transfer Engine'!$C$2:$C$1369,0)),"",INDEX('Compliance Database'!$I$2:$I$1369,MATCH(1182,'Transfer Engine'!$C$2:$C$1369,0)))</f>
        <v/>
      </c>
      <c r="J1191" s="8">
        <f>IF(ISNA(MATCH(1182,'Transfer Engine'!$C$2:$C$1369,0)),"",INDEX('Compliance Database'!$J$2:$J$1369,MATCH(1182,'Transfer Engine'!$C$2:$C$1369,0)))</f>
        <v/>
      </c>
      <c r="K1191" s="9">
        <f>IF(ISNA(MATCH(1182,'Transfer Engine'!$C$2:$C$1369,0)),"",INDEX('Compliance Database'!$K$2:$K$1369,MATCH(1182,'Transfer Engine'!$C$2:$C$1369,0)))</f>
        <v/>
      </c>
      <c r="L1191" s="9">
        <f>IF(ISNA(MATCH(1182,'Transfer Engine'!$C$2:$C$1369,0)),"",INDEX('Compliance Database'!$L$2:$L$1369,MATCH(1182,'Transfer Engine'!$C$2:$C$1369,0)))</f>
        <v/>
      </c>
      <c r="M1191" s="9">
        <f>IF(ISNA(MATCH(1182,'Transfer Engine'!$C$2:$C$1369,0)),"",INDEX('Compliance Database'!$M$2:$M$1369,MATCH(1182,'Transfer Engine'!$C$2:$C$1369,0)))</f>
        <v/>
      </c>
      <c r="N1191" s="9">
        <f>IF(ISNA(MATCH(1182,'Transfer Engine'!$C$2:$C$1369,0)),"",INDEX('Compliance Database'!$N$2:$N$1369,MATCH(1182,'Transfer Engine'!$C$2:$C$1369,0)))</f>
        <v/>
      </c>
      <c r="O1191" s="8">
        <f>IF(ISNA(MATCH(1182,'Transfer Engine'!$C$2:$C$1369,0)),"",HYPERLINK(INDEX('Compliance Database'!$O$2:$O$1369,MATCH(1182,'Transfer Engine'!$C$2:$C$1369,0)),"Open PDF"))</f>
        <v/>
      </c>
    </row>
    <row r="1192" ht="188" customHeight="1">
      <c r="A1192" s="8">
        <f>IF(ISNA(MATCH(1183,'Transfer Engine'!$C$2:$C$1369,0)),"",INDEX('Compliance Database'!$A$2:$A$1369,MATCH(1183,'Transfer Engine'!$C$2:$C$1369,0)))</f>
        <v/>
      </c>
      <c r="B1192" s="8">
        <f>IF(ISNA(MATCH(1183,'Transfer Engine'!$C$2:$C$1369,0)),"",INDEX('Compliance Database'!$B$2:$B$1369,MATCH(1183,'Transfer Engine'!$C$2:$C$1369,0)))</f>
        <v/>
      </c>
      <c r="C1192" s="8">
        <f>IF(ISNA(MATCH(1183,'Transfer Engine'!$C$2:$C$1369,0)),"",INDEX('Compliance Database'!$C$2:$C$1369,MATCH(1183,'Transfer Engine'!$C$2:$C$1369,0)))</f>
        <v/>
      </c>
      <c r="D1192" s="9">
        <f>IF(ISNA(MATCH(1183,'Transfer Engine'!$C$2:$C$1369,0)),"",INDEX('Compliance Database'!$D$2:$D$1369,MATCH(1183,'Transfer Engine'!$C$2:$C$1369,0)))</f>
        <v/>
      </c>
      <c r="E1192" s="8">
        <f>IF(ISNA(MATCH(1183,'Transfer Engine'!$C$2:$C$1369,0)),"",INDEX('Compliance Database'!$E$2:$E$1369,MATCH(1183,'Transfer Engine'!$C$2:$C$1369,0)))</f>
        <v/>
      </c>
      <c r="F1192" s="8">
        <f>IF(ISNA(MATCH(1183,'Transfer Engine'!$C$2:$C$1369,0)),"",INDEX('Compliance Database'!$F$2:$F$1369,MATCH(1183,'Transfer Engine'!$C$2:$C$1369,0)))</f>
        <v/>
      </c>
      <c r="G1192" s="8">
        <f>IF(ISNA(MATCH(1183,'Transfer Engine'!$C$2:$C$1369,0)),"",INDEX('Compliance Database'!$G$2:$G$1369,MATCH(1183,'Transfer Engine'!$C$2:$C$1369,0)))</f>
        <v/>
      </c>
      <c r="H1192" s="9">
        <f>IF(ISNA(MATCH(1183,'Transfer Engine'!$C$2:$C$1369,0)),"",INDEX('Compliance Database'!$H$2:$H$1369,MATCH(1183,'Transfer Engine'!$C$2:$C$1369,0)))</f>
        <v/>
      </c>
      <c r="I1192" s="9">
        <f>IF(ISNA(MATCH(1183,'Transfer Engine'!$C$2:$C$1369,0)),"",INDEX('Compliance Database'!$I$2:$I$1369,MATCH(1183,'Transfer Engine'!$C$2:$C$1369,0)))</f>
        <v/>
      </c>
      <c r="J1192" s="8">
        <f>IF(ISNA(MATCH(1183,'Transfer Engine'!$C$2:$C$1369,0)),"",INDEX('Compliance Database'!$J$2:$J$1369,MATCH(1183,'Transfer Engine'!$C$2:$C$1369,0)))</f>
        <v/>
      </c>
      <c r="K1192" s="9">
        <f>IF(ISNA(MATCH(1183,'Transfer Engine'!$C$2:$C$1369,0)),"",INDEX('Compliance Database'!$K$2:$K$1369,MATCH(1183,'Transfer Engine'!$C$2:$C$1369,0)))</f>
        <v/>
      </c>
      <c r="L1192" s="9">
        <f>IF(ISNA(MATCH(1183,'Transfer Engine'!$C$2:$C$1369,0)),"",INDEX('Compliance Database'!$L$2:$L$1369,MATCH(1183,'Transfer Engine'!$C$2:$C$1369,0)))</f>
        <v/>
      </c>
      <c r="M1192" s="9">
        <f>IF(ISNA(MATCH(1183,'Transfer Engine'!$C$2:$C$1369,0)),"",INDEX('Compliance Database'!$M$2:$M$1369,MATCH(1183,'Transfer Engine'!$C$2:$C$1369,0)))</f>
        <v/>
      </c>
      <c r="N1192" s="9">
        <f>IF(ISNA(MATCH(1183,'Transfer Engine'!$C$2:$C$1369,0)),"",INDEX('Compliance Database'!$N$2:$N$1369,MATCH(1183,'Transfer Engine'!$C$2:$C$1369,0)))</f>
        <v/>
      </c>
      <c r="O1192" s="8">
        <f>IF(ISNA(MATCH(1183,'Transfer Engine'!$C$2:$C$1369,0)),"",HYPERLINK(INDEX('Compliance Database'!$O$2:$O$1369,MATCH(1183,'Transfer Engine'!$C$2:$C$1369,0)),"Open PDF"))</f>
        <v/>
      </c>
    </row>
    <row r="1193" ht="188" customHeight="1">
      <c r="A1193" s="8">
        <f>IF(ISNA(MATCH(1184,'Transfer Engine'!$C$2:$C$1369,0)),"",INDEX('Compliance Database'!$A$2:$A$1369,MATCH(1184,'Transfer Engine'!$C$2:$C$1369,0)))</f>
        <v/>
      </c>
      <c r="B1193" s="8">
        <f>IF(ISNA(MATCH(1184,'Transfer Engine'!$C$2:$C$1369,0)),"",INDEX('Compliance Database'!$B$2:$B$1369,MATCH(1184,'Transfer Engine'!$C$2:$C$1369,0)))</f>
        <v/>
      </c>
      <c r="C1193" s="8">
        <f>IF(ISNA(MATCH(1184,'Transfer Engine'!$C$2:$C$1369,0)),"",INDEX('Compliance Database'!$C$2:$C$1369,MATCH(1184,'Transfer Engine'!$C$2:$C$1369,0)))</f>
        <v/>
      </c>
      <c r="D1193" s="9">
        <f>IF(ISNA(MATCH(1184,'Transfer Engine'!$C$2:$C$1369,0)),"",INDEX('Compliance Database'!$D$2:$D$1369,MATCH(1184,'Transfer Engine'!$C$2:$C$1369,0)))</f>
        <v/>
      </c>
      <c r="E1193" s="8">
        <f>IF(ISNA(MATCH(1184,'Transfer Engine'!$C$2:$C$1369,0)),"",INDEX('Compliance Database'!$E$2:$E$1369,MATCH(1184,'Transfer Engine'!$C$2:$C$1369,0)))</f>
        <v/>
      </c>
      <c r="F1193" s="8">
        <f>IF(ISNA(MATCH(1184,'Transfer Engine'!$C$2:$C$1369,0)),"",INDEX('Compliance Database'!$F$2:$F$1369,MATCH(1184,'Transfer Engine'!$C$2:$C$1369,0)))</f>
        <v/>
      </c>
      <c r="G1193" s="8">
        <f>IF(ISNA(MATCH(1184,'Transfer Engine'!$C$2:$C$1369,0)),"",INDEX('Compliance Database'!$G$2:$G$1369,MATCH(1184,'Transfer Engine'!$C$2:$C$1369,0)))</f>
        <v/>
      </c>
      <c r="H1193" s="9">
        <f>IF(ISNA(MATCH(1184,'Transfer Engine'!$C$2:$C$1369,0)),"",INDEX('Compliance Database'!$H$2:$H$1369,MATCH(1184,'Transfer Engine'!$C$2:$C$1369,0)))</f>
        <v/>
      </c>
      <c r="I1193" s="9">
        <f>IF(ISNA(MATCH(1184,'Transfer Engine'!$C$2:$C$1369,0)),"",INDEX('Compliance Database'!$I$2:$I$1369,MATCH(1184,'Transfer Engine'!$C$2:$C$1369,0)))</f>
        <v/>
      </c>
      <c r="J1193" s="8">
        <f>IF(ISNA(MATCH(1184,'Transfer Engine'!$C$2:$C$1369,0)),"",INDEX('Compliance Database'!$J$2:$J$1369,MATCH(1184,'Transfer Engine'!$C$2:$C$1369,0)))</f>
        <v/>
      </c>
      <c r="K1193" s="9">
        <f>IF(ISNA(MATCH(1184,'Transfer Engine'!$C$2:$C$1369,0)),"",INDEX('Compliance Database'!$K$2:$K$1369,MATCH(1184,'Transfer Engine'!$C$2:$C$1369,0)))</f>
        <v/>
      </c>
      <c r="L1193" s="9">
        <f>IF(ISNA(MATCH(1184,'Transfer Engine'!$C$2:$C$1369,0)),"",INDEX('Compliance Database'!$L$2:$L$1369,MATCH(1184,'Transfer Engine'!$C$2:$C$1369,0)))</f>
        <v/>
      </c>
      <c r="M1193" s="9">
        <f>IF(ISNA(MATCH(1184,'Transfer Engine'!$C$2:$C$1369,0)),"",INDEX('Compliance Database'!$M$2:$M$1369,MATCH(1184,'Transfer Engine'!$C$2:$C$1369,0)))</f>
        <v/>
      </c>
      <c r="N1193" s="9">
        <f>IF(ISNA(MATCH(1184,'Transfer Engine'!$C$2:$C$1369,0)),"",INDEX('Compliance Database'!$N$2:$N$1369,MATCH(1184,'Transfer Engine'!$C$2:$C$1369,0)))</f>
        <v/>
      </c>
      <c r="O1193" s="8">
        <f>IF(ISNA(MATCH(1184,'Transfer Engine'!$C$2:$C$1369,0)),"",HYPERLINK(INDEX('Compliance Database'!$O$2:$O$1369,MATCH(1184,'Transfer Engine'!$C$2:$C$1369,0)),"Open PDF"))</f>
        <v/>
      </c>
    </row>
    <row r="1194" ht="188" customHeight="1">
      <c r="A1194" s="8">
        <f>IF(ISNA(MATCH(1185,'Transfer Engine'!$C$2:$C$1369,0)),"",INDEX('Compliance Database'!$A$2:$A$1369,MATCH(1185,'Transfer Engine'!$C$2:$C$1369,0)))</f>
        <v/>
      </c>
      <c r="B1194" s="8">
        <f>IF(ISNA(MATCH(1185,'Transfer Engine'!$C$2:$C$1369,0)),"",INDEX('Compliance Database'!$B$2:$B$1369,MATCH(1185,'Transfer Engine'!$C$2:$C$1369,0)))</f>
        <v/>
      </c>
      <c r="C1194" s="8">
        <f>IF(ISNA(MATCH(1185,'Transfer Engine'!$C$2:$C$1369,0)),"",INDEX('Compliance Database'!$C$2:$C$1369,MATCH(1185,'Transfer Engine'!$C$2:$C$1369,0)))</f>
        <v/>
      </c>
      <c r="D1194" s="9">
        <f>IF(ISNA(MATCH(1185,'Transfer Engine'!$C$2:$C$1369,0)),"",INDEX('Compliance Database'!$D$2:$D$1369,MATCH(1185,'Transfer Engine'!$C$2:$C$1369,0)))</f>
        <v/>
      </c>
      <c r="E1194" s="8">
        <f>IF(ISNA(MATCH(1185,'Transfer Engine'!$C$2:$C$1369,0)),"",INDEX('Compliance Database'!$E$2:$E$1369,MATCH(1185,'Transfer Engine'!$C$2:$C$1369,0)))</f>
        <v/>
      </c>
      <c r="F1194" s="8">
        <f>IF(ISNA(MATCH(1185,'Transfer Engine'!$C$2:$C$1369,0)),"",INDEX('Compliance Database'!$F$2:$F$1369,MATCH(1185,'Transfer Engine'!$C$2:$C$1369,0)))</f>
        <v/>
      </c>
      <c r="G1194" s="8">
        <f>IF(ISNA(MATCH(1185,'Transfer Engine'!$C$2:$C$1369,0)),"",INDEX('Compliance Database'!$G$2:$G$1369,MATCH(1185,'Transfer Engine'!$C$2:$C$1369,0)))</f>
        <v/>
      </c>
      <c r="H1194" s="9">
        <f>IF(ISNA(MATCH(1185,'Transfer Engine'!$C$2:$C$1369,0)),"",INDEX('Compliance Database'!$H$2:$H$1369,MATCH(1185,'Transfer Engine'!$C$2:$C$1369,0)))</f>
        <v/>
      </c>
      <c r="I1194" s="9">
        <f>IF(ISNA(MATCH(1185,'Transfer Engine'!$C$2:$C$1369,0)),"",INDEX('Compliance Database'!$I$2:$I$1369,MATCH(1185,'Transfer Engine'!$C$2:$C$1369,0)))</f>
        <v/>
      </c>
      <c r="J1194" s="8">
        <f>IF(ISNA(MATCH(1185,'Transfer Engine'!$C$2:$C$1369,0)),"",INDEX('Compliance Database'!$J$2:$J$1369,MATCH(1185,'Transfer Engine'!$C$2:$C$1369,0)))</f>
        <v/>
      </c>
      <c r="K1194" s="9">
        <f>IF(ISNA(MATCH(1185,'Transfer Engine'!$C$2:$C$1369,0)),"",INDEX('Compliance Database'!$K$2:$K$1369,MATCH(1185,'Transfer Engine'!$C$2:$C$1369,0)))</f>
        <v/>
      </c>
      <c r="L1194" s="9">
        <f>IF(ISNA(MATCH(1185,'Transfer Engine'!$C$2:$C$1369,0)),"",INDEX('Compliance Database'!$L$2:$L$1369,MATCH(1185,'Transfer Engine'!$C$2:$C$1369,0)))</f>
        <v/>
      </c>
      <c r="M1194" s="9">
        <f>IF(ISNA(MATCH(1185,'Transfer Engine'!$C$2:$C$1369,0)),"",INDEX('Compliance Database'!$M$2:$M$1369,MATCH(1185,'Transfer Engine'!$C$2:$C$1369,0)))</f>
        <v/>
      </c>
      <c r="N1194" s="9">
        <f>IF(ISNA(MATCH(1185,'Transfer Engine'!$C$2:$C$1369,0)),"",INDEX('Compliance Database'!$N$2:$N$1369,MATCH(1185,'Transfer Engine'!$C$2:$C$1369,0)))</f>
        <v/>
      </c>
      <c r="O1194" s="8">
        <f>IF(ISNA(MATCH(1185,'Transfer Engine'!$C$2:$C$1369,0)),"",HYPERLINK(INDEX('Compliance Database'!$O$2:$O$1369,MATCH(1185,'Transfer Engine'!$C$2:$C$1369,0)),"Open PDF"))</f>
        <v/>
      </c>
    </row>
    <row r="1195" ht="188" customHeight="1">
      <c r="A1195" s="8">
        <f>IF(ISNA(MATCH(1186,'Transfer Engine'!$C$2:$C$1369,0)),"",INDEX('Compliance Database'!$A$2:$A$1369,MATCH(1186,'Transfer Engine'!$C$2:$C$1369,0)))</f>
        <v/>
      </c>
      <c r="B1195" s="8">
        <f>IF(ISNA(MATCH(1186,'Transfer Engine'!$C$2:$C$1369,0)),"",INDEX('Compliance Database'!$B$2:$B$1369,MATCH(1186,'Transfer Engine'!$C$2:$C$1369,0)))</f>
        <v/>
      </c>
      <c r="C1195" s="8">
        <f>IF(ISNA(MATCH(1186,'Transfer Engine'!$C$2:$C$1369,0)),"",INDEX('Compliance Database'!$C$2:$C$1369,MATCH(1186,'Transfer Engine'!$C$2:$C$1369,0)))</f>
        <v/>
      </c>
      <c r="D1195" s="9">
        <f>IF(ISNA(MATCH(1186,'Transfer Engine'!$C$2:$C$1369,0)),"",INDEX('Compliance Database'!$D$2:$D$1369,MATCH(1186,'Transfer Engine'!$C$2:$C$1369,0)))</f>
        <v/>
      </c>
      <c r="E1195" s="8">
        <f>IF(ISNA(MATCH(1186,'Transfer Engine'!$C$2:$C$1369,0)),"",INDEX('Compliance Database'!$E$2:$E$1369,MATCH(1186,'Transfer Engine'!$C$2:$C$1369,0)))</f>
        <v/>
      </c>
      <c r="F1195" s="8">
        <f>IF(ISNA(MATCH(1186,'Transfer Engine'!$C$2:$C$1369,0)),"",INDEX('Compliance Database'!$F$2:$F$1369,MATCH(1186,'Transfer Engine'!$C$2:$C$1369,0)))</f>
        <v/>
      </c>
      <c r="G1195" s="8">
        <f>IF(ISNA(MATCH(1186,'Transfer Engine'!$C$2:$C$1369,0)),"",INDEX('Compliance Database'!$G$2:$G$1369,MATCH(1186,'Transfer Engine'!$C$2:$C$1369,0)))</f>
        <v/>
      </c>
      <c r="H1195" s="9">
        <f>IF(ISNA(MATCH(1186,'Transfer Engine'!$C$2:$C$1369,0)),"",INDEX('Compliance Database'!$H$2:$H$1369,MATCH(1186,'Transfer Engine'!$C$2:$C$1369,0)))</f>
        <v/>
      </c>
      <c r="I1195" s="9">
        <f>IF(ISNA(MATCH(1186,'Transfer Engine'!$C$2:$C$1369,0)),"",INDEX('Compliance Database'!$I$2:$I$1369,MATCH(1186,'Transfer Engine'!$C$2:$C$1369,0)))</f>
        <v/>
      </c>
      <c r="J1195" s="8">
        <f>IF(ISNA(MATCH(1186,'Transfer Engine'!$C$2:$C$1369,0)),"",INDEX('Compliance Database'!$J$2:$J$1369,MATCH(1186,'Transfer Engine'!$C$2:$C$1369,0)))</f>
        <v/>
      </c>
      <c r="K1195" s="9">
        <f>IF(ISNA(MATCH(1186,'Transfer Engine'!$C$2:$C$1369,0)),"",INDEX('Compliance Database'!$K$2:$K$1369,MATCH(1186,'Transfer Engine'!$C$2:$C$1369,0)))</f>
        <v/>
      </c>
      <c r="L1195" s="9">
        <f>IF(ISNA(MATCH(1186,'Transfer Engine'!$C$2:$C$1369,0)),"",INDEX('Compliance Database'!$L$2:$L$1369,MATCH(1186,'Transfer Engine'!$C$2:$C$1369,0)))</f>
        <v/>
      </c>
      <c r="M1195" s="9">
        <f>IF(ISNA(MATCH(1186,'Transfer Engine'!$C$2:$C$1369,0)),"",INDEX('Compliance Database'!$M$2:$M$1369,MATCH(1186,'Transfer Engine'!$C$2:$C$1369,0)))</f>
        <v/>
      </c>
      <c r="N1195" s="9">
        <f>IF(ISNA(MATCH(1186,'Transfer Engine'!$C$2:$C$1369,0)),"",INDEX('Compliance Database'!$N$2:$N$1369,MATCH(1186,'Transfer Engine'!$C$2:$C$1369,0)))</f>
        <v/>
      </c>
      <c r="O1195" s="8">
        <f>IF(ISNA(MATCH(1186,'Transfer Engine'!$C$2:$C$1369,0)),"",HYPERLINK(INDEX('Compliance Database'!$O$2:$O$1369,MATCH(1186,'Transfer Engine'!$C$2:$C$1369,0)),"Open PDF"))</f>
        <v/>
      </c>
    </row>
    <row r="1196" ht="188" customHeight="1">
      <c r="A1196" s="8">
        <f>IF(ISNA(MATCH(1187,'Transfer Engine'!$C$2:$C$1369,0)),"",INDEX('Compliance Database'!$A$2:$A$1369,MATCH(1187,'Transfer Engine'!$C$2:$C$1369,0)))</f>
        <v/>
      </c>
      <c r="B1196" s="8">
        <f>IF(ISNA(MATCH(1187,'Transfer Engine'!$C$2:$C$1369,0)),"",INDEX('Compliance Database'!$B$2:$B$1369,MATCH(1187,'Transfer Engine'!$C$2:$C$1369,0)))</f>
        <v/>
      </c>
      <c r="C1196" s="8">
        <f>IF(ISNA(MATCH(1187,'Transfer Engine'!$C$2:$C$1369,0)),"",INDEX('Compliance Database'!$C$2:$C$1369,MATCH(1187,'Transfer Engine'!$C$2:$C$1369,0)))</f>
        <v/>
      </c>
      <c r="D1196" s="9">
        <f>IF(ISNA(MATCH(1187,'Transfer Engine'!$C$2:$C$1369,0)),"",INDEX('Compliance Database'!$D$2:$D$1369,MATCH(1187,'Transfer Engine'!$C$2:$C$1369,0)))</f>
        <v/>
      </c>
      <c r="E1196" s="8">
        <f>IF(ISNA(MATCH(1187,'Transfer Engine'!$C$2:$C$1369,0)),"",INDEX('Compliance Database'!$E$2:$E$1369,MATCH(1187,'Transfer Engine'!$C$2:$C$1369,0)))</f>
        <v/>
      </c>
      <c r="F1196" s="8">
        <f>IF(ISNA(MATCH(1187,'Transfer Engine'!$C$2:$C$1369,0)),"",INDEX('Compliance Database'!$F$2:$F$1369,MATCH(1187,'Transfer Engine'!$C$2:$C$1369,0)))</f>
        <v/>
      </c>
      <c r="G1196" s="8">
        <f>IF(ISNA(MATCH(1187,'Transfer Engine'!$C$2:$C$1369,0)),"",INDEX('Compliance Database'!$G$2:$G$1369,MATCH(1187,'Transfer Engine'!$C$2:$C$1369,0)))</f>
        <v/>
      </c>
      <c r="H1196" s="9">
        <f>IF(ISNA(MATCH(1187,'Transfer Engine'!$C$2:$C$1369,0)),"",INDEX('Compliance Database'!$H$2:$H$1369,MATCH(1187,'Transfer Engine'!$C$2:$C$1369,0)))</f>
        <v/>
      </c>
      <c r="I1196" s="9">
        <f>IF(ISNA(MATCH(1187,'Transfer Engine'!$C$2:$C$1369,0)),"",INDEX('Compliance Database'!$I$2:$I$1369,MATCH(1187,'Transfer Engine'!$C$2:$C$1369,0)))</f>
        <v/>
      </c>
      <c r="J1196" s="8">
        <f>IF(ISNA(MATCH(1187,'Transfer Engine'!$C$2:$C$1369,0)),"",INDEX('Compliance Database'!$J$2:$J$1369,MATCH(1187,'Transfer Engine'!$C$2:$C$1369,0)))</f>
        <v/>
      </c>
      <c r="K1196" s="9">
        <f>IF(ISNA(MATCH(1187,'Transfer Engine'!$C$2:$C$1369,0)),"",INDEX('Compliance Database'!$K$2:$K$1369,MATCH(1187,'Transfer Engine'!$C$2:$C$1369,0)))</f>
        <v/>
      </c>
      <c r="L1196" s="9">
        <f>IF(ISNA(MATCH(1187,'Transfer Engine'!$C$2:$C$1369,0)),"",INDEX('Compliance Database'!$L$2:$L$1369,MATCH(1187,'Transfer Engine'!$C$2:$C$1369,0)))</f>
        <v/>
      </c>
      <c r="M1196" s="9">
        <f>IF(ISNA(MATCH(1187,'Transfer Engine'!$C$2:$C$1369,0)),"",INDEX('Compliance Database'!$M$2:$M$1369,MATCH(1187,'Transfer Engine'!$C$2:$C$1369,0)))</f>
        <v/>
      </c>
      <c r="N1196" s="9">
        <f>IF(ISNA(MATCH(1187,'Transfer Engine'!$C$2:$C$1369,0)),"",INDEX('Compliance Database'!$N$2:$N$1369,MATCH(1187,'Transfer Engine'!$C$2:$C$1369,0)))</f>
        <v/>
      </c>
      <c r="O1196" s="8">
        <f>IF(ISNA(MATCH(1187,'Transfer Engine'!$C$2:$C$1369,0)),"",HYPERLINK(INDEX('Compliance Database'!$O$2:$O$1369,MATCH(1187,'Transfer Engine'!$C$2:$C$1369,0)),"Open PDF"))</f>
        <v/>
      </c>
    </row>
    <row r="1197" ht="188" customHeight="1">
      <c r="A1197" s="8">
        <f>IF(ISNA(MATCH(1188,'Transfer Engine'!$C$2:$C$1369,0)),"",INDEX('Compliance Database'!$A$2:$A$1369,MATCH(1188,'Transfer Engine'!$C$2:$C$1369,0)))</f>
        <v/>
      </c>
      <c r="B1197" s="8">
        <f>IF(ISNA(MATCH(1188,'Transfer Engine'!$C$2:$C$1369,0)),"",INDEX('Compliance Database'!$B$2:$B$1369,MATCH(1188,'Transfer Engine'!$C$2:$C$1369,0)))</f>
        <v/>
      </c>
      <c r="C1197" s="8">
        <f>IF(ISNA(MATCH(1188,'Transfer Engine'!$C$2:$C$1369,0)),"",INDEX('Compliance Database'!$C$2:$C$1369,MATCH(1188,'Transfer Engine'!$C$2:$C$1369,0)))</f>
        <v/>
      </c>
      <c r="D1197" s="9">
        <f>IF(ISNA(MATCH(1188,'Transfer Engine'!$C$2:$C$1369,0)),"",INDEX('Compliance Database'!$D$2:$D$1369,MATCH(1188,'Transfer Engine'!$C$2:$C$1369,0)))</f>
        <v/>
      </c>
      <c r="E1197" s="8">
        <f>IF(ISNA(MATCH(1188,'Transfer Engine'!$C$2:$C$1369,0)),"",INDEX('Compliance Database'!$E$2:$E$1369,MATCH(1188,'Transfer Engine'!$C$2:$C$1369,0)))</f>
        <v/>
      </c>
      <c r="F1197" s="8">
        <f>IF(ISNA(MATCH(1188,'Transfer Engine'!$C$2:$C$1369,0)),"",INDEX('Compliance Database'!$F$2:$F$1369,MATCH(1188,'Transfer Engine'!$C$2:$C$1369,0)))</f>
        <v/>
      </c>
      <c r="G1197" s="8">
        <f>IF(ISNA(MATCH(1188,'Transfer Engine'!$C$2:$C$1369,0)),"",INDEX('Compliance Database'!$G$2:$G$1369,MATCH(1188,'Transfer Engine'!$C$2:$C$1369,0)))</f>
        <v/>
      </c>
      <c r="H1197" s="9">
        <f>IF(ISNA(MATCH(1188,'Transfer Engine'!$C$2:$C$1369,0)),"",INDEX('Compliance Database'!$H$2:$H$1369,MATCH(1188,'Transfer Engine'!$C$2:$C$1369,0)))</f>
        <v/>
      </c>
      <c r="I1197" s="9">
        <f>IF(ISNA(MATCH(1188,'Transfer Engine'!$C$2:$C$1369,0)),"",INDEX('Compliance Database'!$I$2:$I$1369,MATCH(1188,'Transfer Engine'!$C$2:$C$1369,0)))</f>
        <v/>
      </c>
      <c r="J1197" s="8">
        <f>IF(ISNA(MATCH(1188,'Transfer Engine'!$C$2:$C$1369,0)),"",INDEX('Compliance Database'!$J$2:$J$1369,MATCH(1188,'Transfer Engine'!$C$2:$C$1369,0)))</f>
        <v/>
      </c>
      <c r="K1197" s="9">
        <f>IF(ISNA(MATCH(1188,'Transfer Engine'!$C$2:$C$1369,0)),"",INDEX('Compliance Database'!$K$2:$K$1369,MATCH(1188,'Transfer Engine'!$C$2:$C$1369,0)))</f>
        <v/>
      </c>
      <c r="L1197" s="9">
        <f>IF(ISNA(MATCH(1188,'Transfer Engine'!$C$2:$C$1369,0)),"",INDEX('Compliance Database'!$L$2:$L$1369,MATCH(1188,'Transfer Engine'!$C$2:$C$1369,0)))</f>
        <v/>
      </c>
      <c r="M1197" s="9">
        <f>IF(ISNA(MATCH(1188,'Transfer Engine'!$C$2:$C$1369,0)),"",INDEX('Compliance Database'!$M$2:$M$1369,MATCH(1188,'Transfer Engine'!$C$2:$C$1369,0)))</f>
        <v/>
      </c>
      <c r="N1197" s="9">
        <f>IF(ISNA(MATCH(1188,'Transfer Engine'!$C$2:$C$1369,0)),"",INDEX('Compliance Database'!$N$2:$N$1369,MATCH(1188,'Transfer Engine'!$C$2:$C$1369,0)))</f>
        <v/>
      </c>
      <c r="O1197" s="8">
        <f>IF(ISNA(MATCH(1188,'Transfer Engine'!$C$2:$C$1369,0)),"",HYPERLINK(INDEX('Compliance Database'!$O$2:$O$1369,MATCH(1188,'Transfer Engine'!$C$2:$C$1369,0)),"Open PDF"))</f>
        <v/>
      </c>
    </row>
    <row r="1198" ht="188" customHeight="1">
      <c r="A1198" s="8">
        <f>IF(ISNA(MATCH(1189,'Transfer Engine'!$C$2:$C$1369,0)),"",INDEX('Compliance Database'!$A$2:$A$1369,MATCH(1189,'Transfer Engine'!$C$2:$C$1369,0)))</f>
        <v/>
      </c>
      <c r="B1198" s="8">
        <f>IF(ISNA(MATCH(1189,'Transfer Engine'!$C$2:$C$1369,0)),"",INDEX('Compliance Database'!$B$2:$B$1369,MATCH(1189,'Transfer Engine'!$C$2:$C$1369,0)))</f>
        <v/>
      </c>
      <c r="C1198" s="8">
        <f>IF(ISNA(MATCH(1189,'Transfer Engine'!$C$2:$C$1369,0)),"",INDEX('Compliance Database'!$C$2:$C$1369,MATCH(1189,'Transfer Engine'!$C$2:$C$1369,0)))</f>
        <v/>
      </c>
      <c r="D1198" s="9">
        <f>IF(ISNA(MATCH(1189,'Transfer Engine'!$C$2:$C$1369,0)),"",INDEX('Compliance Database'!$D$2:$D$1369,MATCH(1189,'Transfer Engine'!$C$2:$C$1369,0)))</f>
        <v/>
      </c>
      <c r="E1198" s="8">
        <f>IF(ISNA(MATCH(1189,'Transfer Engine'!$C$2:$C$1369,0)),"",INDEX('Compliance Database'!$E$2:$E$1369,MATCH(1189,'Transfer Engine'!$C$2:$C$1369,0)))</f>
        <v/>
      </c>
      <c r="F1198" s="8">
        <f>IF(ISNA(MATCH(1189,'Transfer Engine'!$C$2:$C$1369,0)),"",INDEX('Compliance Database'!$F$2:$F$1369,MATCH(1189,'Transfer Engine'!$C$2:$C$1369,0)))</f>
        <v/>
      </c>
      <c r="G1198" s="8">
        <f>IF(ISNA(MATCH(1189,'Transfer Engine'!$C$2:$C$1369,0)),"",INDEX('Compliance Database'!$G$2:$G$1369,MATCH(1189,'Transfer Engine'!$C$2:$C$1369,0)))</f>
        <v/>
      </c>
      <c r="H1198" s="9">
        <f>IF(ISNA(MATCH(1189,'Transfer Engine'!$C$2:$C$1369,0)),"",INDEX('Compliance Database'!$H$2:$H$1369,MATCH(1189,'Transfer Engine'!$C$2:$C$1369,0)))</f>
        <v/>
      </c>
      <c r="I1198" s="9">
        <f>IF(ISNA(MATCH(1189,'Transfer Engine'!$C$2:$C$1369,0)),"",INDEX('Compliance Database'!$I$2:$I$1369,MATCH(1189,'Transfer Engine'!$C$2:$C$1369,0)))</f>
        <v/>
      </c>
      <c r="J1198" s="8">
        <f>IF(ISNA(MATCH(1189,'Transfer Engine'!$C$2:$C$1369,0)),"",INDEX('Compliance Database'!$J$2:$J$1369,MATCH(1189,'Transfer Engine'!$C$2:$C$1369,0)))</f>
        <v/>
      </c>
      <c r="K1198" s="9">
        <f>IF(ISNA(MATCH(1189,'Transfer Engine'!$C$2:$C$1369,0)),"",INDEX('Compliance Database'!$K$2:$K$1369,MATCH(1189,'Transfer Engine'!$C$2:$C$1369,0)))</f>
        <v/>
      </c>
      <c r="L1198" s="9">
        <f>IF(ISNA(MATCH(1189,'Transfer Engine'!$C$2:$C$1369,0)),"",INDEX('Compliance Database'!$L$2:$L$1369,MATCH(1189,'Transfer Engine'!$C$2:$C$1369,0)))</f>
        <v/>
      </c>
      <c r="M1198" s="9">
        <f>IF(ISNA(MATCH(1189,'Transfer Engine'!$C$2:$C$1369,0)),"",INDEX('Compliance Database'!$M$2:$M$1369,MATCH(1189,'Transfer Engine'!$C$2:$C$1369,0)))</f>
        <v/>
      </c>
      <c r="N1198" s="9">
        <f>IF(ISNA(MATCH(1189,'Transfer Engine'!$C$2:$C$1369,0)),"",INDEX('Compliance Database'!$N$2:$N$1369,MATCH(1189,'Transfer Engine'!$C$2:$C$1369,0)))</f>
        <v/>
      </c>
      <c r="O1198" s="8">
        <f>IF(ISNA(MATCH(1189,'Transfer Engine'!$C$2:$C$1369,0)),"",HYPERLINK(INDEX('Compliance Database'!$O$2:$O$1369,MATCH(1189,'Transfer Engine'!$C$2:$C$1369,0)),"Open PDF"))</f>
        <v/>
      </c>
    </row>
    <row r="1199" ht="188" customHeight="1">
      <c r="A1199" s="8">
        <f>IF(ISNA(MATCH(1190,'Transfer Engine'!$C$2:$C$1369,0)),"",INDEX('Compliance Database'!$A$2:$A$1369,MATCH(1190,'Transfer Engine'!$C$2:$C$1369,0)))</f>
        <v/>
      </c>
      <c r="B1199" s="8">
        <f>IF(ISNA(MATCH(1190,'Transfer Engine'!$C$2:$C$1369,0)),"",INDEX('Compliance Database'!$B$2:$B$1369,MATCH(1190,'Transfer Engine'!$C$2:$C$1369,0)))</f>
        <v/>
      </c>
      <c r="C1199" s="8">
        <f>IF(ISNA(MATCH(1190,'Transfer Engine'!$C$2:$C$1369,0)),"",INDEX('Compliance Database'!$C$2:$C$1369,MATCH(1190,'Transfer Engine'!$C$2:$C$1369,0)))</f>
        <v/>
      </c>
      <c r="D1199" s="9">
        <f>IF(ISNA(MATCH(1190,'Transfer Engine'!$C$2:$C$1369,0)),"",INDEX('Compliance Database'!$D$2:$D$1369,MATCH(1190,'Transfer Engine'!$C$2:$C$1369,0)))</f>
        <v/>
      </c>
      <c r="E1199" s="8">
        <f>IF(ISNA(MATCH(1190,'Transfer Engine'!$C$2:$C$1369,0)),"",INDEX('Compliance Database'!$E$2:$E$1369,MATCH(1190,'Transfer Engine'!$C$2:$C$1369,0)))</f>
        <v/>
      </c>
      <c r="F1199" s="8">
        <f>IF(ISNA(MATCH(1190,'Transfer Engine'!$C$2:$C$1369,0)),"",INDEX('Compliance Database'!$F$2:$F$1369,MATCH(1190,'Transfer Engine'!$C$2:$C$1369,0)))</f>
        <v/>
      </c>
      <c r="G1199" s="8">
        <f>IF(ISNA(MATCH(1190,'Transfer Engine'!$C$2:$C$1369,0)),"",INDEX('Compliance Database'!$G$2:$G$1369,MATCH(1190,'Transfer Engine'!$C$2:$C$1369,0)))</f>
        <v/>
      </c>
      <c r="H1199" s="9">
        <f>IF(ISNA(MATCH(1190,'Transfer Engine'!$C$2:$C$1369,0)),"",INDEX('Compliance Database'!$H$2:$H$1369,MATCH(1190,'Transfer Engine'!$C$2:$C$1369,0)))</f>
        <v/>
      </c>
      <c r="I1199" s="9">
        <f>IF(ISNA(MATCH(1190,'Transfer Engine'!$C$2:$C$1369,0)),"",INDEX('Compliance Database'!$I$2:$I$1369,MATCH(1190,'Transfer Engine'!$C$2:$C$1369,0)))</f>
        <v/>
      </c>
      <c r="J1199" s="8">
        <f>IF(ISNA(MATCH(1190,'Transfer Engine'!$C$2:$C$1369,0)),"",INDEX('Compliance Database'!$J$2:$J$1369,MATCH(1190,'Transfer Engine'!$C$2:$C$1369,0)))</f>
        <v/>
      </c>
      <c r="K1199" s="9">
        <f>IF(ISNA(MATCH(1190,'Transfer Engine'!$C$2:$C$1369,0)),"",INDEX('Compliance Database'!$K$2:$K$1369,MATCH(1190,'Transfer Engine'!$C$2:$C$1369,0)))</f>
        <v/>
      </c>
      <c r="L1199" s="9">
        <f>IF(ISNA(MATCH(1190,'Transfer Engine'!$C$2:$C$1369,0)),"",INDEX('Compliance Database'!$L$2:$L$1369,MATCH(1190,'Transfer Engine'!$C$2:$C$1369,0)))</f>
        <v/>
      </c>
      <c r="M1199" s="9">
        <f>IF(ISNA(MATCH(1190,'Transfer Engine'!$C$2:$C$1369,0)),"",INDEX('Compliance Database'!$M$2:$M$1369,MATCH(1190,'Transfer Engine'!$C$2:$C$1369,0)))</f>
        <v/>
      </c>
      <c r="N1199" s="9">
        <f>IF(ISNA(MATCH(1190,'Transfer Engine'!$C$2:$C$1369,0)),"",INDEX('Compliance Database'!$N$2:$N$1369,MATCH(1190,'Transfer Engine'!$C$2:$C$1369,0)))</f>
        <v/>
      </c>
      <c r="O1199" s="8">
        <f>IF(ISNA(MATCH(1190,'Transfer Engine'!$C$2:$C$1369,0)),"",HYPERLINK(INDEX('Compliance Database'!$O$2:$O$1369,MATCH(1190,'Transfer Engine'!$C$2:$C$1369,0)),"Open PDF"))</f>
        <v/>
      </c>
    </row>
    <row r="1200" ht="188" customHeight="1">
      <c r="A1200" s="8">
        <f>IF(ISNA(MATCH(1191,'Transfer Engine'!$C$2:$C$1369,0)),"",INDEX('Compliance Database'!$A$2:$A$1369,MATCH(1191,'Transfer Engine'!$C$2:$C$1369,0)))</f>
        <v/>
      </c>
      <c r="B1200" s="8">
        <f>IF(ISNA(MATCH(1191,'Transfer Engine'!$C$2:$C$1369,0)),"",INDEX('Compliance Database'!$B$2:$B$1369,MATCH(1191,'Transfer Engine'!$C$2:$C$1369,0)))</f>
        <v/>
      </c>
      <c r="C1200" s="8">
        <f>IF(ISNA(MATCH(1191,'Transfer Engine'!$C$2:$C$1369,0)),"",INDEX('Compliance Database'!$C$2:$C$1369,MATCH(1191,'Transfer Engine'!$C$2:$C$1369,0)))</f>
        <v/>
      </c>
      <c r="D1200" s="9">
        <f>IF(ISNA(MATCH(1191,'Transfer Engine'!$C$2:$C$1369,0)),"",INDEX('Compliance Database'!$D$2:$D$1369,MATCH(1191,'Transfer Engine'!$C$2:$C$1369,0)))</f>
        <v/>
      </c>
      <c r="E1200" s="8">
        <f>IF(ISNA(MATCH(1191,'Transfer Engine'!$C$2:$C$1369,0)),"",INDEX('Compliance Database'!$E$2:$E$1369,MATCH(1191,'Transfer Engine'!$C$2:$C$1369,0)))</f>
        <v/>
      </c>
      <c r="F1200" s="8">
        <f>IF(ISNA(MATCH(1191,'Transfer Engine'!$C$2:$C$1369,0)),"",INDEX('Compliance Database'!$F$2:$F$1369,MATCH(1191,'Transfer Engine'!$C$2:$C$1369,0)))</f>
        <v/>
      </c>
      <c r="G1200" s="8">
        <f>IF(ISNA(MATCH(1191,'Transfer Engine'!$C$2:$C$1369,0)),"",INDEX('Compliance Database'!$G$2:$G$1369,MATCH(1191,'Transfer Engine'!$C$2:$C$1369,0)))</f>
        <v/>
      </c>
      <c r="H1200" s="9">
        <f>IF(ISNA(MATCH(1191,'Transfer Engine'!$C$2:$C$1369,0)),"",INDEX('Compliance Database'!$H$2:$H$1369,MATCH(1191,'Transfer Engine'!$C$2:$C$1369,0)))</f>
        <v/>
      </c>
      <c r="I1200" s="9">
        <f>IF(ISNA(MATCH(1191,'Transfer Engine'!$C$2:$C$1369,0)),"",INDEX('Compliance Database'!$I$2:$I$1369,MATCH(1191,'Transfer Engine'!$C$2:$C$1369,0)))</f>
        <v/>
      </c>
      <c r="J1200" s="8">
        <f>IF(ISNA(MATCH(1191,'Transfer Engine'!$C$2:$C$1369,0)),"",INDEX('Compliance Database'!$J$2:$J$1369,MATCH(1191,'Transfer Engine'!$C$2:$C$1369,0)))</f>
        <v/>
      </c>
      <c r="K1200" s="9">
        <f>IF(ISNA(MATCH(1191,'Transfer Engine'!$C$2:$C$1369,0)),"",INDEX('Compliance Database'!$K$2:$K$1369,MATCH(1191,'Transfer Engine'!$C$2:$C$1369,0)))</f>
        <v/>
      </c>
      <c r="L1200" s="9">
        <f>IF(ISNA(MATCH(1191,'Transfer Engine'!$C$2:$C$1369,0)),"",INDEX('Compliance Database'!$L$2:$L$1369,MATCH(1191,'Transfer Engine'!$C$2:$C$1369,0)))</f>
        <v/>
      </c>
      <c r="M1200" s="9">
        <f>IF(ISNA(MATCH(1191,'Transfer Engine'!$C$2:$C$1369,0)),"",INDEX('Compliance Database'!$M$2:$M$1369,MATCH(1191,'Transfer Engine'!$C$2:$C$1369,0)))</f>
        <v/>
      </c>
      <c r="N1200" s="9">
        <f>IF(ISNA(MATCH(1191,'Transfer Engine'!$C$2:$C$1369,0)),"",INDEX('Compliance Database'!$N$2:$N$1369,MATCH(1191,'Transfer Engine'!$C$2:$C$1369,0)))</f>
        <v/>
      </c>
      <c r="O1200" s="8">
        <f>IF(ISNA(MATCH(1191,'Transfer Engine'!$C$2:$C$1369,0)),"",HYPERLINK(INDEX('Compliance Database'!$O$2:$O$1369,MATCH(1191,'Transfer Engine'!$C$2:$C$1369,0)),"Open PDF"))</f>
        <v/>
      </c>
    </row>
    <row r="1201" ht="188" customHeight="1">
      <c r="A1201" s="8">
        <f>IF(ISNA(MATCH(1192,'Transfer Engine'!$C$2:$C$1369,0)),"",INDEX('Compliance Database'!$A$2:$A$1369,MATCH(1192,'Transfer Engine'!$C$2:$C$1369,0)))</f>
        <v/>
      </c>
      <c r="B1201" s="8">
        <f>IF(ISNA(MATCH(1192,'Transfer Engine'!$C$2:$C$1369,0)),"",INDEX('Compliance Database'!$B$2:$B$1369,MATCH(1192,'Transfer Engine'!$C$2:$C$1369,0)))</f>
        <v/>
      </c>
      <c r="C1201" s="8">
        <f>IF(ISNA(MATCH(1192,'Transfer Engine'!$C$2:$C$1369,0)),"",INDEX('Compliance Database'!$C$2:$C$1369,MATCH(1192,'Transfer Engine'!$C$2:$C$1369,0)))</f>
        <v/>
      </c>
      <c r="D1201" s="9">
        <f>IF(ISNA(MATCH(1192,'Transfer Engine'!$C$2:$C$1369,0)),"",INDEX('Compliance Database'!$D$2:$D$1369,MATCH(1192,'Transfer Engine'!$C$2:$C$1369,0)))</f>
        <v/>
      </c>
      <c r="E1201" s="8">
        <f>IF(ISNA(MATCH(1192,'Transfer Engine'!$C$2:$C$1369,0)),"",INDEX('Compliance Database'!$E$2:$E$1369,MATCH(1192,'Transfer Engine'!$C$2:$C$1369,0)))</f>
        <v/>
      </c>
      <c r="F1201" s="8">
        <f>IF(ISNA(MATCH(1192,'Transfer Engine'!$C$2:$C$1369,0)),"",INDEX('Compliance Database'!$F$2:$F$1369,MATCH(1192,'Transfer Engine'!$C$2:$C$1369,0)))</f>
        <v/>
      </c>
      <c r="G1201" s="8">
        <f>IF(ISNA(MATCH(1192,'Transfer Engine'!$C$2:$C$1369,0)),"",INDEX('Compliance Database'!$G$2:$G$1369,MATCH(1192,'Transfer Engine'!$C$2:$C$1369,0)))</f>
        <v/>
      </c>
      <c r="H1201" s="9">
        <f>IF(ISNA(MATCH(1192,'Transfer Engine'!$C$2:$C$1369,0)),"",INDEX('Compliance Database'!$H$2:$H$1369,MATCH(1192,'Transfer Engine'!$C$2:$C$1369,0)))</f>
        <v/>
      </c>
      <c r="I1201" s="9">
        <f>IF(ISNA(MATCH(1192,'Transfer Engine'!$C$2:$C$1369,0)),"",INDEX('Compliance Database'!$I$2:$I$1369,MATCH(1192,'Transfer Engine'!$C$2:$C$1369,0)))</f>
        <v/>
      </c>
      <c r="J1201" s="8">
        <f>IF(ISNA(MATCH(1192,'Transfer Engine'!$C$2:$C$1369,0)),"",INDEX('Compliance Database'!$J$2:$J$1369,MATCH(1192,'Transfer Engine'!$C$2:$C$1369,0)))</f>
        <v/>
      </c>
      <c r="K1201" s="9">
        <f>IF(ISNA(MATCH(1192,'Transfer Engine'!$C$2:$C$1369,0)),"",INDEX('Compliance Database'!$K$2:$K$1369,MATCH(1192,'Transfer Engine'!$C$2:$C$1369,0)))</f>
        <v/>
      </c>
      <c r="L1201" s="9">
        <f>IF(ISNA(MATCH(1192,'Transfer Engine'!$C$2:$C$1369,0)),"",INDEX('Compliance Database'!$L$2:$L$1369,MATCH(1192,'Transfer Engine'!$C$2:$C$1369,0)))</f>
        <v/>
      </c>
      <c r="M1201" s="9">
        <f>IF(ISNA(MATCH(1192,'Transfer Engine'!$C$2:$C$1369,0)),"",INDEX('Compliance Database'!$M$2:$M$1369,MATCH(1192,'Transfer Engine'!$C$2:$C$1369,0)))</f>
        <v/>
      </c>
      <c r="N1201" s="9">
        <f>IF(ISNA(MATCH(1192,'Transfer Engine'!$C$2:$C$1369,0)),"",INDEX('Compliance Database'!$N$2:$N$1369,MATCH(1192,'Transfer Engine'!$C$2:$C$1369,0)))</f>
        <v/>
      </c>
      <c r="O1201" s="8">
        <f>IF(ISNA(MATCH(1192,'Transfer Engine'!$C$2:$C$1369,0)),"",HYPERLINK(INDEX('Compliance Database'!$O$2:$O$1369,MATCH(1192,'Transfer Engine'!$C$2:$C$1369,0)),"Open PDF"))</f>
        <v/>
      </c>
    </row>
    <row r="1202" ht="188" customHeight="1">
      <c r="A1202" s="8">
        <f>IF(ISNA(MATCH(1193,'Transfer Engine'!$C$2:$C$1369,0)),"",INDEX('Compliance Database'!$A$2:$A$1369,MATCH(1193,'Transfer Engine'!$C$2:$C$1369,0)))</f>
        <v/>
      </c>
      <c r="B1202" s="8">
        <f>IF(ISNA(MATCH(1193,'Transfer Engine'!$C$2:$C$1369,0)),"",INDEX('Compliance Database'!$B$2:$B$1369,MATCH(1193,'Transfer Engine'!$C$2:$C$1369,0)))</f>
        <v/>
      </c>
      <c r="C1202" s="8">
        <f>IF(ISNA(MATCH(1193,'Transfer Engine'!$C$2:$C$1369,0)),"",INDEX('Compliance Database'!$C$2:$C$1369,MATCH(1193,'Transfer Engine'!$C$2:$C$1369,0)))</f>
        <v/>
      </c>
      <c r="D1202" s="9">
        <f>IF(ISNA(MATCH(1193,'Transfer Engine'!$C$2:$C$1369,0)),"",INDEX('Compliance Database'!$D$2:$D$1369,MATCH(1193,'Transfer Engine'!$C$2:$C$1369,0)))</f>
        <v/>
      </c>
      <c r="E1202" s="8">
        <f>IF(ISNA(MATCH(1193,'Transfer Engine'!$C$2:$C$1369,0)),"",INDEX('Compliance Database'!$E$2:$E$1369,MATCH(1193,'Transfer Engine'!$C$2:$C$1369,0)))</f>
        <v/>
      </c>
      <c r="F1202" s="8">
        <f>IF(ISNA(MATCH(1193,'Transfer Engine'!$C$2:$C$1369,0)),"",INDEX('Compliance Database'!$F$2:$F$1369,MATCH(1193,'Transfer Engine'!$C$2:$C$1369,0)))</f>
        <v/>
      </c>
      <c r="G1202" s="8">
        <f>IF(ISNA(MATCH(1193,'Transfer Engine'!$C$2:$C$1369,0)),"",INDEX('Compliance Database'!$G$2:$G$1369,MATCH(1193,'Transfer Engine'!$C$2:$C$1369,0)))</f>
        <v/>
      </c>
      <c r="H1202" s="9">
        <f>IF(ISNA(MATCH(1193,'Transfer Engine'!$C$2:$C$1369,0)),"",INDEX('Compliance Database'!$H$2:$H$1369,MATCH(1193,'Transfer Engine'!$C$2:$C$1369,0)))</f>
        <v/>
      </c>
      <c r="I1202" s="9">
        <f>IF(ISNA(MATCH(1193,'Transfer Engine'!$C$2:$C$1369,0)),"",INDEX('Compliance Database'!$I$2:$I$1369,MATCH(1193,'Transfer Engine'!$C$2:$C$1369,0)))</f>
        <v/>
      </c>
      <c r="J1202" s="8">
        <f>IF(ISNA(MATCH(1193,'Transfer Engine'!$C$2:$C$1369,0)),"",INDEX('Compliance Database'!$J$2:$J$1369,MATCH(1193,'Transfer Engine'!$C$2:$C$1369,0)))</f>
        <v/>
      </c>
      <c r="K1202" s="9">
        <f>IF(ISNA(MATCH(1193,'Transfer Engine'!$C$2:$C$1369,0)),"",INDEX('Compliance Database'!$K$2:$K$1369,MATCH(1193,'Transfer Engine'!$C$2:$C$1369,0)))</f>
        <v/>
      </c>
      <c r="L1202" s="9">
        <f>IF(ISNA(MATCH(1193,'Transfer Engine'!$C$2:$C$1369,0)),"",INDEX('Compliance Database'!$L$2:$L$1369,MATCH(1193,'Transfer Engine'!$C$2:$C$1369,0)))</f>
        <v/>
      </c>
      <c r="M1202" s="9">
        <f>IF(ISNA(MATCH(1193,'Transfer Engine'!$C$2:$C$1369,0)),"",INDEX('Compliance Database'!$M$2:$M$1369,MATCH(1193,'Transfer Engine'!$C$2:$C$1369,0)))</f>
        <v/>
      </c>
      <c r="N1202" s="9">
        <f>IF(ISNA(MATCH(1193,'Transfer Engine'!$C$2:$C$1369,0)),"",INDEX('Compliance Database'!$N$2:$N$1369,MATCH(1193,'Transfer Engine'!$C$2:$C$1369,0)))</f>
        <v/>
      </c>
      <c r="O1202" s="8">
        <f>IF(ISNA(MATCH(1193,'Transfer Engine'!$C$2:$C$1369,0)),"",HYPERLINK(INDEX('Compliance Database'!$O$2:$O$1369,MATCH(1193,'Transfer Engine'!$C$2:$C$1369,0)),"Open PDF"))</f>
        <v/>
      </c>
    </row>
    <row r="1203" ht="188" customHeight="1">
      <c r="A1203" s="8">
        <f>IF(ISNA(MATCH(1194,'Transfer Engine'!$C$2:$C$1369,0)),"",INDEX('Compliance Database'!$A$2:$A$1369,MATCH(1194,'Transfer Engine'!$C$2:$C$1369,0)))</f>
        <v/>
      </c>
      <c r="B1203" s="8">
        <f>IF(ISNA(MATCH(1194,'Transfer Engine'!$C$2:$C$1369,0)),"",INDEX('Compliance Database'!$B$2:$B$1369,MATCH(1194,'Transfer Engine'!$C$2:$C$1369,0)))</f>
        <v/>
      </c>
      <c r="C1203" s="8">
        <f>IF(ISNA(MATCH(1194,'Transfer Engine'!$C$2:$C$1369,0)),"",INDEX('Compliance Database'!$C$2:$C$1369,MATCH(1194,'Transfer Engine'!$C$2:$C$1369,0)))</f>
        <v/>
      </c>
      <c r="D1203" s="9">
        <f>IF(ISNA(MATCH(1194,'Transfer Engine'!$C$2:$C$1369,0)),"",INDEX('Compliance Database'!$D$2:$D$1369,MATCH(1194,'Transfer Engine'!$C$2:$C$1369,0)))</f>
        <v/>
      </c>
      <c r="E1203" s="8">
        <f>IF(ISNA(MATCH(1194,'Transfer Engine'!$C$2:$C$1369,0)),"",INDEX('Compliance Database'!$E$2:$E$1369,MATCH(1194,'Transfer Engine'!$C$2:$C$1369,0)))</f>
        <v/>
      </c>
      <c r="F1203" s="8">
        <f>IF(ISNA(MATCH(1194,'Transfer Engine'!$C$2:$C$1369,0)),"",INDEX('Compliance Database'!$F$2:$F$1369,MATCH(1194,'Transfer Engine'!$C$2:$C$1369,0)))</f>
        <v/>
      </c>
      <c r="G1203" s="8">
        <f>IF(ISNA(MATCH(1194,'Transfer Engine'!$C$2:$C$1369,0)),"",INDEX('Compliance Database'!$G$2:$G$1369,MATCH(1194,'Transfer Engine'!$C$2:$C$1369,0)))</f>
        <v/>
      </c>
      <c r="H1203" s="9">
        <f>IF(ISNA(MATCH(1194,'Transfer Engine'!$C$2:$C$1369,0)),"",INDEX('Compliance Database'!$H$2:$H$1369,MATCH(1194,'Transfer Engine'!$C$2:$C$1369,0)))</f>
        <v/>
      </c>
      <c r="I1203" s="9">
        <f>IF(ISNA(MATCH(1194,'Transfer Engine'!$C$2:$C$1369,0)),"",INDEX('Compliance Database'!$I$2:$I$1369,MATCH(1194,'Transfer Engine'!$C$2:$C$1369,0)))</f>
        <v/>
      </c>
      <c r="J1203" s="8">
        <f>IF(ISNA(MATCH(1194,'Transfer Engine'!$C$2:$C$1369,0)),"",INDEX('Compliance Database'!$J$2:$J$1369,MATCH(1194,'Transfer Engine'!$C$2:$C$1369,0)))</f>
        <v/>
      </c>
      <c r="K1203" s="9">
        <f>IF(ISNA(MATCH(1194,'Transfer Engine'!$C$2:$C$1369,0)),"",INDEX('Compliance Database'!$K$2:$K$1369,MATCH(1194,'Transfer Engine'!$C$2:$C$1369,0)))</f>
        <v/>
      </c>
      <c r="L1203" s="9">
        <f>IF(ISNA(MATCH(1194,'Transfer Engine'!$C$2:$C$1369,0)),"",INDEX('Compliance Database'!$L$2:$L$1369,MATCH(1194,'Transfer Engine'!$C$2:$C$1369,0)))</f>
        <v/>
      </c>
      <c r="M1203" s="9">
        <f>IF(ISNA(MATCH(1194,'Transfer Engine'!$C$2:$C$1369,0)),"",INDEX('Compliance Database'!$M$2:$M$1369,MATCH(1194,'Transfer Engine'!$C$2:$C$1369,0)))</f>
        <v/>
      </c>
      <c r="N1203" s="9">
        <f>IF(ISNA(MATCH(1194,'Transfer Engine'!$C$2:$C$1369,0)),"",INDEX('Compliance Database'!$N$2:$N$1369,MATCH(1194,'Transfer Engine'!$C$2:$C$1369,0)))</f>
        <v/>
      </c>
      <c r="O1203" s="8">
        <f>IF(ISNA(MATCH(1194,'Transfer Engine'!$C$2:$C$1369,0)),"",HYPERLINK(INDEX('Compliance Database'!$O$2:$O$1369,MATCH(1194,'Transfer Engine'!$C$2:$C$1369,0)),"Open PDF"))</f>
        <v/>
      </c>
    </row>
    <row r="1204" ht="188" customHeight="1">
      <c r="A1204" s="8">
        <f>IF(ISNA(MATCH(1195,'Transfer Engine'!$C$2:$C$1369,0)),"",INDEX('Compliance Database'!$A$2:$A$1369,MATCH(1195,'Transfer Engine'!$C$2:$C$1369,0)))</f>
        <v/>
      </c>
      <c r="B1204" s="8">
        <f>IF(ISNA(MATCH(1195,'Transfer Engine'!$C$2:$C$1369,0)),"",INDEX('Compliance Database'!$B$2:$B$1369,MATCH(1195,'Transfer Engine'!$C$2:$C$1369,0)))</f>
        <v/>
      </c>
      <c r="C1204" s="8">
        <f>IF(ISNA(MATCH(1195,'Transfer Engine'!$C$2:$C$1369,0)),"",INDEX('Compliance Database'!$C$2:$C$1369,MATCH(1195,'Transfer Engine'!$C$2:$C$1369,0)))</f>
        <v/>
      </c>
      <c r="D1204" s="9">
        <f>IF(ISNA(MATCH(1195,'Transfer Engine'!$C$2:$C$1369,0)),"",INDEX('Compliance Database'!$D$2:$D$1369,MATCH(1195,'Transfer Engine'!$C$2:$C$1369,0)))</f>
        <v/>
      </c>
      <c r="E1204" s="8">
        <f>IF(ISNA(MATCH(1195,'Transfer Engine'!$C$2:$C$1369,0)),"",INDEX('Compliance Database'!$E$2:$E$1369,MATCH(1195,'Transfer Engine'!$C$2:$C$1369,0)))</f>
        <v/>
      </c>
      <c r="F1204" s="8">
        <f>IF(ISNA(MATCH(1195,'Transfer Engine'!$C$2:$C$1369,0)),"",INDEX('Compliance Database'!$F$2:$F$1369,MATCH(1195,'Transfer Engine'!$C$2:$C$1369,0)))</f>
        <v/>
      </c>
      <c r="G1204" s="8">
        <f>IF(ISNA(MATCH(1195,'Transfer Engine'!$C$2:$C$1369,0)),"",INDEX('Compliance Database'!$G$2:$G$1369,MATCH(1195,'Transfer Engine'!$C$2:$C$1369,0)))</f>
        <v/>
      </c>
      <c r="H1204" s="9">
        <f>IF(ISNA(MATCH(1195,'Transfer Engine'!$C$2:$C$1369,0)),"",INDEX('Compliance Database'!$H$2:$H$1369,MATCH(1195,'Transfer Engine'!$C$2:$C$1369,0)))</f>
        <v/>
      </c>
      <c r="I1204" s="9">
        <f>IF(ISNA(MATCH(1195,'Transfer Engine'!$C$2:$C$1369,0)),"",INDEX('Compliance Database'!$I$2:$I$1369,MATCH(1195,'Transfer Engine'!$C$2:$C$1369,0)))</f>
        <v/>
      </c>
      <c r="J1204" s="8">
        <f>IF(ISNA(MATCH(1195,'Transfer Engine'!$C$2:$C$1369,0)),"",INDEX('Compliance Database'!$J$2:$J$1369,MATCH(1195,'Transfer Engine'!$C$2:$C$1369,0)))</f>
        <v/>
      </c>
      <c r="K1204" s="9">
        <f>IF(ISNA(MATCH(1195,'Transfer Engine'!$C$2:$C$1369,0)),"",INDEX('Compliance Database'!$K$2:$K$1369,MATCH(1195,'Transfer Engine'!$C$2:$C$1369,0)))</f>
        <v/>
      </c>
      <c r="L1204" s="9">
        <f>IF(ISNA(MATCH(1195,'Transfer Engine'!$C$2:$C$1369,0)),"",INDEX('Compliance Database'!$L$2:$L$1369,MATCH(1195,'Transfer Engine'!$C$2:$C$1369,0)))</f>
        <v/>
      </c>
      <c r="M1204" s="9">
        <f>IF(ISNA(MATCH(1195,'Transfer Engine'!$C$2:$C$1369,0)),"",INDEX('Compliance Database'!$M$2:$M$1369,MATCH(1195,'Transfer Engine'!$C$2:$C$1369,0)))</f>
        <v/>
      </c>
      <c r="N1204" s="9">
        <f>IF(ISNA(MATCH(1195,'Transfer Engine'!$C$2:$C$1369,0)),"",INDEX('Compliance Database'!$N$2:$N$1369,MATCH(1195,'Transfer Engine'!$C$2:$C$1369,0)))</f>
        <v/>
      </c>
      <c r="O1204" s="8">
        <f>IF(ISNA(MATCH(1195,'Transfer Engine'!$C$2:$C$1369,0)),"",HYPERLINK(INDEX('Compliance Database'!$O$2:$O$1369,MATCH(1195,'Transfer Engine'!$C$2:$C$1369,0)),"Open PDF"))</f>
        <v/>
      </c>
    </row>
    <row r="1205" ht="188" customHeight="1">
      <c r="A1205" s="8">
        <f>IF(ISNA(MATCH(1196,'Transfer Engine'!$C$2:$C$1369,0)),"",INDEX('Compliance Database'!$A$2:$A$1369,MATCH(1196,'Transfer Engine'!$C$2:$C$1369,0)))</f>
        <v/>
      </c>
      <c r="B1205" s="8">
        <f>IF(ISNA(MATCH(1196,'Transfer Engine'!$C$2:$C$1369,0)),"",INDEX('Compliance Database'!$B$2:$B$1369,MATCH(1196,'Transfer Engine'!$C$2:$C$1369,0)))</f>
        <v/>
      </c>
      <c r="C1205" s="8">
        <f>IF(ISNA(MATCH(1196,'Transfer Engine'!$C$2:$C$1369,0)),"",INDEX('Compliance Database'!$C$2:$C$1369,MATCH(1196,'Transfer Engine'!$C$2:$C$1369,0)))</f>
        <v/>
      </c>
      <c r="D1205" s="9">
        <f>IF(ISNA(MATCH(1196,'Transfer Engine'!$C$2:$C$1369,0)),"",INDEX('Compliance Database'!$D$2:$D$1369,MATCH(1196,'Transfer Engine'!$C$2:$C$1369,0)))</f>
        <v/>
      </c>
      <c r="E1205" s="8">
        <f>IF(ISNA(MATCH(1196,'Transfer Engine'!$C$2:$C$1369,0)),"",INDEX('Compliance Database'!$E$2:$E$1369,MATCH(1196,'Transfer Engine'!$C$2:$C$1369,0)))</f>
        <v/>
      </c>
      <c r="F1205" s="8">
        <f>IF(ISNA(MATCH(1196,'Transfer Engine'!$C$2:$C$1369,0)),"",INDEX('Compliance Database'!$F$2:$F$1369,MATCH(1196,'Transfer Engine'!$C$2:$C$1369,0)))</f>
        <v/>
      </c>
      <c r="G1205" s="8">
        <f>IF(ISNA(MATCH(1196,'Transfer Engine'!$C$2:$C$1369,0)),"",INDEX('Compliance Database'!$G$2:$G$1369,MATCH(1196,'Transfer Engine'!$C$2:$C$1369,0)))</f>
        <v/>
      </c>
      <c r="H1205" s="9">
        <f>IF(ISNA(MATCH(1196,'Transfer Engine'!$C$2:$C$1369,0)),"",INDEX('Compliance Database'!$H$2:$H$1369,MATCH(1196,'Transfer Engine'!$C$2:$C$1369,0)))</f>
        <v/>
      </c>
      <c r="I1205" s="9">
        <f>IF(ISNA(MATCH(1196,'Transfer Engine'!$C$2:$C$1369,0)),"",INDEX('Compliance Database'!$I$2:$I$1369,MATCH(1196,'Transfer Engine'!$C$2:$C$1369,0)))</f>
        <v/>
      </c>
      <c r="J1205" s="8">
        <f>IF(ISNA(MATCH(1196,'Transfer Engine'!$C$2:$C$1369,0)),"",INDEX('Compliance Database'!$J$2:$J$1369,MATCH(1196,'Transfer Engine'!$C$2:$C$1369,0)))</f>
        <v/>
      </c>
      <c r="K1205" s="9">
        <f>IF(ISNA(MATCH(1196,'Transfer Engine'!$C$2:$C$1369,0)),"",INDEX('Compliance Database'!$K$2:$K$1369,MATCH(1196,'Transfer Engine'!$C$2:$C$1369,0)))</f>
        <v/>
      </c>
      <c r="L1205" s="9">
        <f>IF(ISNA(MATCH(1196,'Transfer Engine'!$C$2:$C$1369,0)),"",INDEX('Compliance Database'!$L$2:$L$1369,MATCH(1196,'Transfer Engine'!$C$2:$C$1369,0)))</f>
        <v/>
      </c>
      <c r="M1205" s="9">
        <f>IF(ISNA(MATCH(1196,'Transfer Engine'!$C$2:$C$1369,0)),"",INDEX('Compliance Database'!$M$2:$M$1369,MATCH(1196,'Transfer Engine'!$C$2:$C$1369,0)))</f>
        <v/>
      </c>
      <c r="N1205" s="9">
        <f>IF(ISNA(MATCH(1196,'Transfer Engine'!$C$2:$C$1369,0)),"",INDEX('Compliance Database'!$N$2:$N$1369,MATCH(1196,'Transfer Engine'!$C$2:$C$1369,0)))</f>
        <v/>
      </c>
      <c r="O1205" s="8">
        <f>IF(ISNA(MATCH(1196,'Transfer Engine'!$C$2:$C$1369,0)),"",HYPERLINK(INDEX('Compliance Database'!$O$2:$O$1369,MATCH(1196,'Transfer Engine'!$C$2:$C$1369,0)),"Open PDF"))</f>
        <v/>
      </c>
    </row>
    <row r="1206" ht="188" customHeight="1">
      <c r="A1206" s="8">
        <f>IF(ISNA(MATCH(1197,'Transfer Engine'!$C$2:$C$1369,0)),"",INDEX('Compliance Database'!$A$2:$A$1369,MATCH(1197,'Transfer Engine'!$C$2:$C$1369,0)))</f>
        <v/>
      </c>
      <c r="B1206" s="8">
        <f>IF(ISNA(MATCH(1197,'Transfer Engine'!$C$2:$C$1369,0)),"",INDEX('Compliance Database'!$B$2:$B$1369,MATCH(1197,'Transfer Engine'!$C$2:$C$1369,0)))</f>
        <v/>
      </c>
      <c r="C1206" s="8">
        <f>IF(ISNA(MATCH(1197,'Transfer Engine'!$C$2:$C$1369,0)),"",INDEX('Compliance Database'!$C$2:$C$1369,MATCH(1197,'Transfer Engine'!$C$2:$C$1369,0)))</f>
        <v/>
      </c>
      <c r="D1206" s="9">
        <f>IF(ISNA(MATCH(1197,'Transfer Engine'!$C$2:$C$1369,0)),"",INDEX('Compliance Database'!$D$2:$D$1369,MATCH(1197,'Transfer Engine'!$C$2:$C$1369,0)))</f>
        <v/>
      </c>
      <c r="E1206" s="8">
        <f>IF(ISNA(MATCH(1197,'Transfer Engine'!$C$2:$C$1369,0)),"",INDEX('Compliance Database'!$E$2:$E$1369,MATCH(1197,'Transfer Engine'!$C$2:$C$1369,0)))</f>
        <v/>
      </c>
      <c r="F1206" s="8">
        <f>IF(ISNA(MATCH(1197,'Transfer Engine'!$C$2:$C$1369,0)),"",INDEX('Compliance Database'!$F$2:$F$1369,MATCH(1197,'Transfer Engine'!$C$2:$C$1369,0)))</f>
        <v/>
      </c>
      <c r="G1206" s="8">
        <f>IF(ISNA(MATCH(1197,'Transfer Engine'!$C$2:$C$1369,0)),"",INDEX('Compliance Database'!$G$2:$G$1369,MATCH(1197,'Transfer Engine'!$C$2:$C$1369,0)))</f>
        <v/>
      </c>
      <c r="H1206" s="9">
        <f>IF(ISNA(MATCH(1197,'Transfer Engine'!$C$2:$C$1369,0)),"",INDEX('Compliance Database'!$H$2:$H$1369,MATCH(1197,'Transfer Engine'!$C$2:$C$1369,0)))</f>
        <v/>
      </c>
      <c r="I1206" s="9">
        <f>IF(ISNA(MATCH(1197,'Transfer Engine'!$C$2:$C$1369,0)),"",INDEX('Compliance Database'!$I$2:$I$1369,MATCH(1197,'Transfer Engine'!$C$2:$C$1369,0)))</f>
        <v/>
      </c>
      <c r="J1206" s="8">
        <f>IF(ISNA(MATCH(1197,'Transfer Engine'!$C$2:$C$1369,0)),"",INDEX('Compliance Database'!$J$2:$J$1369,MATCH(1197,'Transfer Engine'!$C$2:$C$1369,0)))</f>
        <v/>
      </c>
      <c r="K1206" s="9">
        <f>IF(ISNA(MATCH(1197,'Transfer Engine'!$C$2:$C$1369,0)),"",INDEX('Compliance Database'!$K$2:$K$1369,MATCH(1197,'Transfer Engine'!$C$2:$C$1369,0)))</f>
        <v/>
      </c>
      <c r="L1206" s="9">
        <f>IF(ISNA(MATCH(1197,'Transfer Engine'!$C$2:$C$1369,0)),"",INDEX('Compliance Database'!$L$2:$L$1369,MATCH(1197,'Transfer Engine'!$C$2:$C$1369,0)))</f>
        <v/>
      </c>
      <c r="M1206" s="9">
        <f>IF(ISNA(MATCH(1197,'Transfer Engine'!$C$2:$C$1369,0)),"",INDEX('Compliance Database'!$M$2:$M$1369,MATCH(1197,'Transfer Engine'!$C$2:$C$1369,0)))</f>
        <v/>
      </c>
      <c r="N1206" s="9">
        <f>IF(ISNA(MATCH(1197,'Transfer Engine'!$C$2:$C$1369,0)),"",INDEX('Compliance Database'!$N$2:$N$1369,MATCH(1197,'Transfer Engine'!$C$2:$C$1369,0)))</f>
        <v/>
      </c>
      <c r="O1206" s="8">
        <f>IF(ISNA(MATCH(1197,'Transfer Engine'!$C$2:$C$1369,0)),"",HYPERLINK(INDEX('Compliance Database'!$O$2:$O$1369,MATCH(1197,'Transfer Engine'!$C$2:$C$1369,0)),"Open PDF"))</f>
        <v/>
      </c>
    </row>
    <row r="1207" ht="188" customHeight="1">
      <c r="A1207" s="8">
        <f>IF(ISNA(MATCH(1198,'Transfer Engine'!$C$2:$C$1369,0)),"",INDEX('Compliance Database'!$A$2:$A$1369,MATCH(1198,'Transfer Engine'!$C$2:$C$1369,0)))</f>
        <v/>
      </c>
      <c r="B1207" s="8">
        <f>IF(ISNA(MATCH(1198,'Transfer Engine'!$C$2:$C$1369,0)),"",INDEX('Compliance Database'!$B$2:$B$1369,MATCH(1198,'Transfer Engine'!$C$2:$C$1369,0)))</f>
        <v/>
      </c>
      <c r="C1207" s="8">
        <f>IF(ISNA(MATCH(1198,'Transfer Engine'!$C$2:$C$1369,0)),"",INDEX('Compliance Database'!$C$2:$C$1369,MATCH(1198,'Transfer Engine'!$C$2:$C$1369,0)))</f>
        <v/>
      </c>
      <c r="D1207" s="9">
        <f>IF(ISNA(MATCH(1198,'Transfer Engine'!$C$2:$C$1369,0)),"",INDEX('Compliance Database'!$D$2:$D$1369,MATCH(1198,'Transfer Engine'!$C$2:$C$1369,0)))</f>
        <v/>
      </c>
      <c r="E1207" s="8">
        <f>IF(ISNA(MATCH(1198,'Transfer Engine'!$C$2:$C$1369,0)),"",INDEX('Compliance Database'!$E$2:$E$1369,MATCH(1198,'Transfer Engine'!$C$2:$C$1369,0)))</f>
        <v/>
      </c>
      <c r="F1207" s="8">
        <f>IF(ISNA(MATCH(1198,'Transfer Engine'!$C$2:$C$1369,0)),"",INDEX('Compliance Database'!$F$2:$F$1369,MATCH(1198,'Transfer Engine'!$C$2:$C$1369,0)))</f>
        <v/>
      </c>
      <c r="G1207" s="8">
        <f>IF(ISNA(MATCH(1198,'Transfer Engine'!$C$2:$C$1369,0)),"",INDEX('Compliance Database'!$G$2:$G$1369,MATCH(1198,'Transfer Engine'!$C$2:$C$1369,0)))</f>
        <v/>
      </c>
      <c r="H1207" s="9">
        <f>IF(ISNA(MATCH(1198,'Transfer Engine'!$C$2:$C$1369,0)),"",INDEX('Compliance Database'!$H$2:$H$1369,MATCH(1198,'Transfer Engine'!$C$2:$C$1369,0)))</f>
        <v/>
      </c>
      <c r="I1207" s="9">
        <f>IF(ISNA(MATCH(1198,'Transfer Engine'!$C$2:$C$1369,0)),"",INDEX('Compliance Database'!$I$2:$I$1369,MATCH(1198,'Transfer Engine'!$C$2:$C$1369,0)))</f>
        <v/>
      </c>
      <c r="J1207" s="8">
        <f>IF(ISNA(MATCH(1198,'Transfer Engine'!$C$2:$C$1369,0)),"",INDEX('Compliance Database'!$J$2:$J$1369,MATCH(1198,'Transfer Engine'!$C$2:$C$1369,0)))</f>
        <v/>
      </c>
      <c r="K1207" s="9">
        <f>IF(ISNA(MATCH(1198,'Transfer Engine'!$C$2:$C$1369,0)),"",INDEX('Compliance Database'!$K$2:$K$1369,MATCH(1198,'Transfer Engine'!$C$2:$C$1369,0)))</f>
        <v/>
      </c>
      <c r="L1207" s="9">
        <f>IF(ISNA(MATCH(1198,'Transfer Engine'!$C$2:$C$1369,0)),"",INDEX('Compliance Database'!$L$2:$L$1369,MATCH(1198,'Transfer Engine'!$C$2:$C$1369,0)))</f>
        <v/>
      </c>
      <c r="M1207" s="9">
        <f>IF(ISNA(MATCH(1198,'Transfer Engine'!$C$2:$C$1369,0)),"",INDEX('Compliance Database'!$M$2:$M$1369,MATCH(1198,'Transfer Engine'!$C$2:$C$1369,0)))</f>
        <v/>
      </c>
      <c r="N1207" s="9">
        <f>IF(ISNA(MATCH(1198,'Transfer Engine'!$C$2:$C$1369,0)),"",INDEX('Compliance Database'!$N$2:$N$1369,MATCH(1198,'Transfer Engine'!$C$2:$C$1369,0)))</f>
        <v/>
      </c>
      <c r="O1207" s="8">
        <f>IF(ISNA(MATCH(1198,'Transfer Engine'!$C$2:$C$1369,0)),"",HYPERLINK(INDEX('Compliance Database'!$O$2:$O$1369,MATCH(1198,'Transfer Engine'!$C$2:$C$1369,0)),"Open PDF"))</f>
        <v/>
      </c>
    </row>
    <row r="1208" ht="188" customHeight="1">
      <c r="A1208" s="8">
        <f>IF(ISNA(MATCH(1199,'Transfer Engine'!$C$2:$C$1369,0)),"",INDEX('Compliance Database'!$A$2:$A$1369,MATCH(1199,'Transfer Engine'!$C$2:$C$1369,0)))</f>
        <v/>
      </c>
      <c r="B1208" s="8">
        <f>IF(ISNA(MATCH(1199,'Transfer Engine'!$C$2:$C$1369,0)),"",INDEX('Compliance Database'!$B$2:$B$1369,MATCH(1199,'Transfer Engine'!$C$2:$C$1369,0)))</f>
        <v/>
      </c>
      <c r="C1208" s="8">
        <f>IF(ISNA(MATCH(1199,'Transfer Engine'!$C$2:$C$1369,0)),"",INDEX('Compliance Database'!$C$2:$C$1369,MATCH(1199,'Transfer Engine'!$C$2:$C$1369,0)))</f>
        <v/>
      </c>
      <c r="D1208" s="9">
        <f>IF(ISNA(MATCH(1199,'Transfer Engine'!$C$2:$C$1369,0)),"",INDEX('Compliance Database'!$D$2:$D$1369,MATCH(1199,'Transfer Engine'!$C$2:$C$1369,0)))</f>
        <v/>
      </c>
      <c r="E1208" s="8">
        <f>IF(ISNA(MATCH(1199,'Transfer Engine'!$C$2:$C$1369,0)),"",INDEX('Compliance Database'!$E$2:$E$1369,MATCH(1199,'Transfer Engine'!$C$2:$C$1369,0)))</f>
        <v/>
      </c>
      <c r="F1208" s="8">
        <f>IF(ISNA(MATCH(1199,'Transfer Engine'!$C$2:$C$1369,0)),"",INDEX('Compliance Database'!$F$2:$F$1369,MATCH(1199,'Transfer Engine'!$C$2:$C$1369,0)))</f>
        <v/>
      </c>
      <c r="G1208" s="8">
        <f>IF(ISNA(MATCH(1199,'Transfer Engine'!$C$2:$C$1369,0)),"",INDEX('Compliance Database'!$G$2:$G$1369,MATCH(1199,'Transfer Engine'!$C$2:$C$1369,0)))</f>
        <v/>
      </c>
      <c r="H1208" s="9">
        <f>IF(ISNA(MATCH(1199,'Transfer Engine'!$C$2:$C$1369,0)),"",INDEX('Compliance Database'!$H$2:$H$1369,MATCH(1199,'Transfer Engine'!$C$2:$C$1369,0)))</f>
        <v/>
      </c>
      <c r="I1208" s="9">
        <f>IF(ISNA(MATCH(1199,'Transfer Engine'!$C$2:$C$1369,0)),"",INDEX('Compliance Database'!$I$2:$I$1369,MATCH(1199,'Transfer Engine'!$C$2:$C$1369,0)))</f>
        <v/>
      </c>
      <c r="J1208" s="8">
        <f>IF(ISNA(MATCH(1199,'Transfer Engine'!$C$2:$C$1369,0)),"",INDEX('Compliance Database'!$J$2:$J$1369,MATCH(1199,'Transfer Engine'!$C$2:$C$1369,0)))</f>
        <v/>
      </c>
      <c r="K1208" s="9">
        <f>IF(ISNA(MATCH(1199,'Transfer Engine'!$C$2:$C$1369,0)),"",INDEX('Compliance Database'!$K$2:$K$1369,MATCH(1199,'Transfer Engine'!$C$2:$C$1369,0)))</f>
        <v/>
      </c>
      <c r="L1208" s="9">
        <f>IF(ISNA(MATCH(1199,'Transfer Engine'!$C$2:$C$1369,0)),"",INDEX('Compliance Database'!$L$2:$L$1369,MATCH(1199,'Transfer Engine'!$C$2:$C$1369,0)))</f>
        <v/>
      </c>
      <c r="M1208" s="9">
        <f>IF(ISNA(MATCH(1199,'Transfer Engine'!$C$2:$C$1369,0)),"",INDEX('Compliance Database'!$M$2:$M$1369,MATCH(1199,'Transfer Engine'!$C$2:$C$1369,0)))</f>
        <v/>
      </c>
      <c r="N1208" s="9">
        <f>IF(ISNA(MATCH(1199,'Transfer Engine'!$C$2:$C$1369,0)),"",INDEX('Compliance Database'!$N$2:$N$1369,MATCH(1199,'Transfer Engine'!$C$2:$C$1369,0)))</f>
        <v/>
      </c>
      <c r="O1208" s="8">
        <f>IF(ISNA(MATCH(1199,'Transfer Engine'!$C$2:$C$1369,0)),"",HYPERLINK(INDEX('Compliance Database'!$O$2:$O$1369,MATCH(1199,'Transfer Engine'!$C$2:$C$1369,0)),"Open PDF"))</f>
        <v/>
      </c>
    </row>
    <row r="1209" ht="188" customHeight="1">
      <c r="A1209" s="8">
        <f>IF(ISNA(MATCH(1200,'Transfer Engine'!$C$2:$C$1369,0)),"",INDEX('Compliance Database'!$A$2:$A$1369,MATCH(1200,'Transfer Engine'!$C$2:$C$1369,0)))</f>
        <v/>
      </c>
      <c r="B1209" s="8">
        <f>IF(ISNA(MATCH(1200,'Transfer Engine'!$C$2:$C$1369,0)),"",INDEX('Compliance Database'!$B$2:$B$1369,MATCH(1200,'Transfer Engine'!$C$2:$C$1369,0)))</f>
        <v/>
      </c>
      <c r="C1209" s="8">
        <f>IF(ISNA(MATCH(1200,'Transfer Engine'!$C$2:$C$1369,0)),"",INDEX('Compliance Database'!$C$2:$C$1369,MATCH(1200,'Transfer Engine'!$C$2:$C$1369,0)))</f>
        <v/>
      </c>
      <c r="D1209" s="9">
        <f>IF(ISNA(MATCH(1200,'Transfer Engine'!$C$2:$C$1369,0)),"",INDEX('Compliance Database'!$D$2:$D$1369,MATCH(1200,'Transfer Engine'!$C$2:$C$1369,0)))</f>
        <v/>
      </c>
      <c r="E1209" s="8">
        <f>IF(ISNA(MATCH(1200,'Transfer Engine'!$C$2:$C$1369,0)),"",INDEX('Compliance Database'!$E$2:$E$1369,MATCH(1200,'Transfer Engine'!$C$2:$C$1369,0)))</f>
        <v/>
      </c>
      <c r="F1209" s="8">
        <f>IF(ISNA(MATCH(1200,'Transfer Engine'!$C$2:$C$1369,0)),"",INDEX('Compliance Database'!$F$2:$F$1369,MATCH(1200,'Transfer Engine'!$C$2:$C$1369,0)))</f>
        <v/>
      </c>
      <c r="G1209" s="8">
        <f>IF(ISNA(MATCH(1200,'Transfer Engine'!$C$2:$C$1369,0)),"",INDEX('Compliance Database'!$G$2:$G$1369,MATCH(1200,'Transfer Engine'!$C$2:$C$1369,0)))</f>
        <v/>
      </c>
      <c r="H1209" s="9">
        <f>IF(ISNA(MATCH(1200,'Transfer Engine'!$C$2:$C$1369,0)),"",INDEX('Compliance Database'!$H$2:$H$1369,MATCH(1200,'Transfer Engine'!$C$2:$C$1369,0)))</f>
        <v/>
      </c>
      <c r="I1209" s="9">
        <f>IF(ISNA(MATCH(1200,'Transfer Engine'!$C$2:$C$1369,0)),"",INDEX('Compliance Database'!$I$2:$I$1369,MATCH(1200,'Transfer Engine'!$C$2:$C$1369,0)))</f>
        <v/>
      </c>
      <c r="J1209" s="8">
        <f>IF(ISNA(MATCH(1200,'Transfer Engine'!$C$2:$C$1369,0)),"",INDEX('Compliance Database'!$J$2:$J$1369,MATCH(1200,'Transfer Engine'!$C$2:$C$1369,0)))</f>
        <v/>
      </c>
      <c r="K1209" s="9">
        <f>IF(ISNA(MATCH(1200,'Transfer Engine'!$C$2:$C$1369,0)),"",INDEX('Compliance Database'!$K$2:$K$1369,MATCH(1200,'Transfer Engine'!$C$2:$C$1369,0)))</f>
        <v/>
      </c>
      <c r="L1209" s="9">
        <f>IF(ISNA(MATCH(1200,'Transfer Engine'!$C$2:$C$1369,0)),"",INDEX('Compliance Database'!$L$2:$L$1369,MATCH(1200,'Transfer Engine'!$C$2:$C$1369,0)))</f>
        <v/>
      </c>
      <c r="M1209" s="9">
        <f>IF(ISNA(MATCH(1200,'Transfer Engine'!$C$2:$C$1369,0)),"",INDEX('Compliance Database'!$M$2:$M$1369,MATCH(1200,'Transfer Engine'!$C$2:$C$1369,0)))</f>
        <v/>
      </c>
      <c r="N1209" s="9">
        <f>IF(ISNA(MATCH(1200,'Transfer Engine'!$C$2:$C$1369,0)),"",INDEX('Compliance Database'!$N$2:$N$1369,MATCH(1200,'Transfer Engine'!$C$2:$C$1369,0)))</f>
        <v/>
      </c>
      <c r="O1209" s="8">
        <f>IF(ISNA(MATCH(1200,'Transfer Engine'!$C$2:$C$1369,0)),"",HYPERLINK(INDEX('Compliance Database'!$O$2:$O$1369,MATCH(1200,'Transfer Engine'!$C$2:$C$1369,0)),"Open PDF"))</f>
        <v/>
      </c>
    </row>
    <row r="1210" ht="188" customHeight="1">
      <c r="A1210" s="8">
        <f>IF(ISNA(MATCH(1201,'Transfer Engine'!$C$2:$C$1369,0)),"",INDEX('Compliance Database'!$A$2:$A$1369,MATCH(1201,'Transfer Engine'!$C$2:$C$1369,0)))</f>
        <v/>
      </c>
      <c r="B1210" s="8">
        <f>IF(ISNA(MATCH(1201,'Transfer Engine'!$C$2:$C$1369,0)),"",INDEX('Compliance Database'!$B$2:$B$1369,MATCH(1201,'Transfer Engine'!$C$2:$C$1369,0)))</f>
        <v/>
      </c>
      <c r="C1210" s="8">
        <f>IF(ISNA(MATCH(1201,'Transfer Engine'!$C$2:$C$1369,0)),"",INDEX('Compliance Database'!$C$2:$C$1369,MATCH(1201,'Transfer Engine'!$C$2:$C$1369,0)))</f>
        <v/>
      </c>
      <c r="D1210" s="9">
        <f>IF(ISNA(MATCH(1201,'Transfer Engine'!$C$2:$C$1369,0)),"",INDEX('Compliance Database'!$D$2:$D$1369,MATCH(1201,'Transfer Engine'!$C$2:$C$1369,0)))</f>
        <v/>
      </c>
      <c r="E1210" s="8">
        <f>IF(ISNA(MATCH(1201,'Transfer Engine'!$C$2:$C$1369,0)),"",INDEX('Compliance Database'!$E$2:$E$1369,MATCH(1201,'Transfer Engine'!$C$2:$C$1369,0)))</f>
        <v/>
      </c>
      <c r="F1210" s="8">
        <f>IF(ISNA(MATCH(1201,'Transfer Engine'!$C$2:$C$1369,0)),"",INDEX('Compliance Database'!$F$2:$F$1369,MATCH(1201,'Transfer Engine'!$C$2:$C$1369,0)))</f>
        <v/>
      </c>
      <c r="G1210" s="8">
        <f>IF(ISNA(MATCH(1201,'Transfer Engine'!$C$2:$C$1369,0)),"",INDEX('Compliance Database'!$G$2:$G$1369,MATCH(1201,'Transfer Engine'!$C$2:$C$1369,0)))</f>
        <v/>
      </c>
      <c r="H1210" s="9">
        <f>IF(ISNA(MATCH(1201,'Transfer Engine'!$C$2:$C$1369,0)),"",INDEX('Compliance Database'!$H$2:$H$1369,MATCH(1201,'Transfer Engine'!$C$2:$C$1369,0)))</f>
        <v/>
      </c>
      <c r="I1210" s="9">
        <f>IF(ISNA(MATCH(1201,'Transfer Engine'!$C$2:$C$1369,0)),"",INDEX('Compliance Database'!$I$2:$I$1369,MATCH(1201,'Transfer Engine'!$C$2:$C$1369,0)))</f>
        <v/>
      </c>
      <c r="J1210" s="8">
        <f>IF(ISNA(MATCH(1201,'Transfer Engine'!$C$2:$C$1369,0)),"",INDEX('Compliance Database'!$J$2:$J$1369,MATCH(1201,'Transfer Engine'!$C$2:$C$1369,0)))</f>
        <v/>
      </c>
      <c r="K1210" s="9">
        <f>IF(ISNA(MATCH(1201,'Transfer Engine'!$C$2:$C$1369,0)),"",INDEX('Compliance Database'!$K$2:$K$1369,MATCH(1201,'Transfer Engine'!$C$2:$C$1369,0)))</f>
        <v/>
      </c>
      <c r="L1210" s="9">
        <f>IF(ISNA(MATCH(1201,'Transfer Engine'!$C$2:$C$1369,0)),"",INDEX('Compliance Database'!$L$2:$L$1369,MATCH(1201,'Transfer Engine'!$C$2:$C$1369,0)))</f>
        <v/>
      </c>
      <c r="M1210" s="9">
        <f>IF(ISNA(MATCH(1201,'Transfer Engine'!$C$2:$C$1369,0)),"",INDEX('Compliance Database'!$M$2:$M$1369,MATCH(1201,'Transfer Engine'!$C$2:$C$1369,0)))</f>
        <v/>
      </c>
      <c r="N1210" s="9">
        <f>IF(ISNA(MATCH(1201,'Transfer Engine'!$C$2:$C$1369,0)),"",INDEX('Compliance Database'!$N$2:$N$1369,MATCH(1201,'Transfer Engine'!$C$2:$C$1369,0)))</f>
        <v/>
      </c>
      <c r="O1210" s="8">
        <f>IF(ISNA(MATCH(1201,'Transfer Engine'!$C$2:$C$1369,0)),"",HYPERLINK(INDEX('Compliance Database'!$O$2:$O$1369,MATCH(1201,'Transfer Engine'!$C$2:$C$1369,0)),"Open PDF"))</f>
        <v/>
      </c>
    </row>
    <row r="1211" ht="188" customHeight="1">
      <c r="A1211" s="8">
        <f>IF(ISNA(MATCH(1202,'Transfer Engine'!$C$2:$C$1369,0)),"",INDEX('Compliance Database'!$A$2:$A$1369,MATCH(1202,'Transfer Engine'!$C$2:$C$1369,0)))</f>
        <v/>
      </c>
      <c r="B1211" s="8">
        <f>IF(ISNA(MATCH(1202,'Transfer Engine'!$C$2:$C$1369,0)),"",INDEX('Compliance Database'!$B$2:$B$1369,MATCH(1202,'Transfer Engine'!$C$2:$C$1369,0)))</f>
        <v/>
      </c>
      <c r="C1211" s="8">
        <f>IF(ISNA(MATCH(1202,'Transfer Engine'!$C$2:$C$1369,0)),"",INDEX('Compliance Database'!$C$2:$C$1369,MATCH(1202,'Transfer Engine'!$C$2:$C$1369,0)))</f>
        <v/>
      </c>
      <c r="D1211" s="9">
        <f>IF(ISNA(MATCH(1202,'Transfer Engine'!$C$2:$C$1369,0)),"",INDEX('Compliance Database'!$D$2:$D$1369,MATCH(1202,'Transfer Engine'!$C$2:$C$1369,0)))</f>
        <v/>
      </c>
      <c r="E1211" s="8">
        <f>IF(ISNA(MATCH(1202,'Transfer Engine'!$C$2:$C$1369,0)),"",INDEX('Compliance Database'!$E$2:$E$1369,MATCH(1202,'Transfer Engine'!$C$2:$C$1369,0)))</f>
        <v/>
      </c>
      <c r="F1211" s="8">
        <f>IF(ISNA(MATCH(1202,'Transfer Engine'!$C$2:$C$1369,0)),"",INDEX('Compliance Database'!$F$2:$F$1369,MATCH(1202,'Transfer Engine'!$C$2:$C$1369,0)))</f>
        <v/>
      </c>
      <c r="G1211" s="8">
        <f>IF(ISNA(MATCH(1202,'Transfer Engine'!$C$2:$C$1369,0)),"",INDEX('Compliance Database'!$G$2:$G$1369,MATCH(1202,'Transfer Engine'!$C$2:$C$1369,0)))</f>
        <v/>
      </c>
      <c r="H1211" s="9">
        <f>IF(ISNA(MATCH(1202,'Transfer Engine'!$C$2:$C$1369,0)),"",INDEX('Compliance Database'!$H$2:$H$1369,MATCH(1202,'Transfer Engine'!$C$2:$C$1369,0)))</f>
        <v/>
      </c>
      <c r="I1211" s="9">
        <f>IF(ISNA(MATCH(1202,'Transfer Engine'!$C$2:$C$1369,0)),"",INDEX('Compliance Database'!$I$2:$I$1369,MATCH(1202,'Transfer Engine'!$C$2:$C$1369,0)))</f>
        <v/>
      </c>
      <c r="J1211" s="8">
        <f>IF(ISNA(MATCH(1202,'Transfer Engine'!$C$2:$C$1369,0)),"",INDEX('Compliance Database'!$J$2:$J$1369,MATCH(1202,'Transfer Engine'!$C$2:$C$1369,0)))</f>
        <v/>
      </c>
      <c r="K1211" s="9">
        <f>IF(ISNA(MATCH(1202,'Transfer Engine'!$C$2:$C$1369,0)),"",INDEX('Compliance Database'!$K$2:$K$1369,MATCH(1202,'Transfer Engine'!$C$2:$C$1369,0)))</f>
        <v/>
      </c>
      <c r="L1211" s="9">
        <f>IF(ISNA(MATCH(1202,'Transfer Engine'!$C$2:$C$1369,0)),"",INDEX('Compliance Database'!$L$2:$L$1369,MATCH(1202,'Transfer Engine'!$C$2:$C$1369,0)))</f>
        <v/>
      </c>
      <c r="M1211" s="9">
        <f>IF(ISNA(MATCH(1202,'Transfer Engine'!$C$2:$C$1369,0)),"",INDEX('Compliance Database'!$M$2:$M$1369,MATCH(1202,'Transfer Engine'!$C$2:$C$1369,0)))</f>
        <v/>
      </c>
      <c r="N1211" s="9">
        <f>IF(ISNA(MATCH(1202,'Transfer Engine'!$C$2:$C$1369,0)),"",INDEX('Compliance Database'!$N$2:$N$1369,MATCH(1202,'Transfer Engine'!$C$2:$C$1369,0)))</f>
        <v/>
      </c>
      <c r="O1211" s="8">
        <f>IF(ISNA(MATCH(1202,'Transfer Engine'!$C$2:$C$1369,0)),"",HYPERLINK(INDEX('Compliance Database'!$O$2:$O$1369,MATCH(1202,'Transfer Engine'!$C$2:$C$1369,0)),"Open PDF"))</f>
        <v/>
      </c>
    </row>
    <row r="1212" ht="188" customHeight="1">
      <c r="A1212" s="8">
        <f>IF(ISNA(MATCH(1203,'Transfer Engine'!$C$2:$C$1369,0)),"",INDEX('Compliance Database'!$A$2:$A$1369,MATCH(1203,'Transfer Engine'!$C$2:$C$1369,0)))</f>
        <v/>
      </c>
      <c r="B1212" s="8">
        <f>IF(ISNA(MATCH(1203,'Transfer Engine'!$C$2:$C$1369,0)),"",INDEX('Compliance Database'!$B$2:$B$1369,MATCH(1203,'Transfer Engine'!$C$2:$C$1369,0)))</f>
        <v/>
      </c>
      <c r="C1212" s="8">
        <f>IF(ISNA(MATCH(1203,'Transfer Engine'!$C$2:$C$1369,0)),"",INDEX('Compliance Database'!$C$2:$C$1369,MATCH(1203,'Transfer Engine'!$C$2:$C$1369,0)))</f>
        <v/>
      </c>
      <c r="D1212" s="9">
        <f>IF(ISNA(MATCH(1203,'Transfer Engine'!$C$2:$C$1369,0)),"",INDEX('Compliance Database'!$D$2:$D$1369,MATCH(1203,'Transfer Engine'!$C$2:$C$1369,0)))</f>
        <v/>
      </c>
      <c r="E1212" s="8">
        <f>IF(ISNA(MATCH(1203,'Transfer Engine'!$C$2:$C$1369,0)),"",INDEX('Compliance Database'!$E$2:$E$1369,MATCH(1203,'Transfer Engine'!$C$2:$C$1369,0)))</f>
        <v/>
      </c>
      <c r="F1212" s="8">
        <f>IF(ISNA(MATCH(1203,'Transfer Engine'!$C$2:$C$1369,0)),"",INDEX('Compliance Database'!$F$2:$F$1369,MATCH(1203,'Transfer Engine'!$C$2:$C$1369,0)))</f>
        <v/>
      </c>
      <c r="G1212" s="8">
        <f>IF(ISNA(MATCH(1203,'Transfer Engine'!$C$2:$C$1369,0)),"",INDEX('Compliance Database'!$G$2:$G$1369,MATCH(1203,'Transfer Engine'!$C$2:$C$1369,0)))</f>
        <v/>
      </c>
      <c r="H1212" s="9">
        <f>IF(ISNA(MATCH(1203,'Transfer Engine'!$C$2:$C$1369,0)),"",INDEX('Compliance Database'!$H$2:$H$1369,MATCH(1203,'Transfer Engine'!$C$2:$C$1369,0)))</f>
        <v/>
      </c>
      <c r="I1212" s="9">
        <f>IF(ISNA(MATCH(1203,'Transfer Engine'!$C$2:$C$1369,0)),"",INDEX('Compliance Database'!$I$2:$I$1369,MATCH(1203,'Transfer Engine'!$C$2:$C$1369,0)))</f>
        <v/>
      </c>
      <c r="J1212" s="8">
        <f>IF(ISNA(MATCH(1203,'Transfer Engine'!$C$2:$C$1369,0)),"",INDEX('Compliance Database'!$J$2:$J$1369,MATCH(1203,'Transfer Engine'!$C$2:$C$1369,0)))</f>
        <v/>
      </c>
      <c r="K1212" s="9">
        <f>IF(ISNA(MATCH(1203,'Transfer Engine'!$C$2:$C$1369,0)),"",INDEX('Compliance Database'!$K$2:$K$1369,MATCH(1203,'Transfer Engine'!$C$2:$C$1369,0)))</f>
        <v/>
      </c>
      <c r="L1212" s="9">
        <f>IF(ISNA(MATCH(1203,'Transfer Engine'!$C$2:$C$1369,0)),"",INDEX('Compliance Database'!$L$2:$L$1369,MATCH(1203,'Transfer Engine'!$C$2:$C$1369,0)))</f>
        <v/>
      </c>
      <c r="M1212" s="9">
        <f>IF(ISNA(MATCH(1203,'Transfer Engine'!$C$2:$C$1369,0)),"",INDEX('Compliance Database'!$M$2:$M$1369,MATCH(1203,'Transfer Engine'!$C$2:$C$1369,0)))</f>
        <v/>
      </c>
      <c r="N1212" s="9">
        <f>IF(ISNA(MATCH(1203,'Transfer Engine'!$C$2:$C$1369,0)),"",INDEX('Compliance Database'!$N$2:$N$1369,MATCH(1203,'Transfer Engine'!$C$2:$C$1369,0)))</f>
        <v/>
      </c>
      <c r="O1212" s="8">
        <f>IF(ISNA(MATCH(1203,'Transfer Engine'!$C$2:$C$1369,0)),"",HYPERLINK(INDEX('Compliance Database'!$O$2:$O$1369,MATCH(1203,'Transfer Engine'!$C$2:$C$1369,0)),"Open PDF"))</f>
        <v/>
      </c>
    </row>
    <row r="1213" ht="188" customHeight="1">
      <c r="A1213" s="8">
        <f>IF(ISNA(MATCH(1204,'Transfer Engine'!$C$2:$C$1369,0)),"",INDEX('Compliance Database'!$A$2:$A$1369,MATCH(1204,'Transfer Engine'!$C$2:$C$1369,0)))</f>
        <v/>
      </c>
      <c r="B1213" s="8">
        <f>IF(ISNA(MATCH(1204,'Transfer Engine'!$C$2:$C$1369,0)),"",INDEX('Compliance Database'!$B$2:$B$1369,MATCH(1204,'Transfer Engine'!$C$2:$C$1369,0)))</f>
        <v/>
      </c>
      <c r="C1213" s="8">
        <f>IF(ISNA(MATCH(1204,'Transfer Engine'!$C$2:$C$1369,0)),"",INDEX('Compliance Database'!$C$2:$C$1369,MATCH(1204,'Transfer Engine'!$C$2:$C$1369,0)))</f>
        <v/>
      </c>
      <c r="D1213" s="9">
        <f>IF(ISNA(MATCH(1204,'Transfer Engine'!$C$2:$C$1369,0)),"",INDEX('Compliance Database'!$D$2:$D$1369,MATCH(1204,'Transfer Engine'!$C$2:$C$1369,0)))</f>
        <v/>
      </c>
      <c r="E1213" s="8">
        <f>IF(ISNA(MATCH(1204,'Transfer Engine'!$C$2:$C$1369,0)),"",INDEX('Compliance Database'!$E$2:$E$1369,MATCH(1204,'Transfer Engine'!$C$2:$C$1369,0)))</f>
        <v/>
      </c>
      <c r="F1213" s="8">
        <f>IF(ISNA(MATCH(1204,'Transfer Engine'!$C$2:$C$1369,0)),"",INDEX('Compliance Database'!$F$2:$F$1369,MATCH(1204,'Transfer Engine'!$C$2:$C$1369,0)))</f>
        <v/>
      </c>
      <c r="G1213" s="8">
        <f>IF(ISNA(MATCH(1204,'Transfer Engine'!$C$2:$C$1369,0)),"",INDEX('Compliance Database'!$G$2:$G$1369,MATCH(1204,'Transfer Engine'!$C$2:$C$1369,0)))</f>
        <v/>
      </c>
      <c r="H1213" s="9">
        <f>IF(ISNA(MATCH(1204,'Transfer Engine'!$C$2:$C$1369,0)),"",INDEX('Compliance Database'!$H$2:$H$1369,MATCH(1204,'Transfer Engine'!$C$2:$C$1369,0)))</f>
        <v/>
      </c>
      <c r="I1213" s="9">
        <f>IF(ISNA(MATCH(1204,'Transfer Engine'!$C$2:$C$1369,0)),"",INDEX('Compliance Database'!$I$2:$I$1369,MATCH(1204,'Transfer Engine'!$C$2:$C$1369,0)))</f>
        <v/>
      </c>
      <c r="J1213" s="8">
        <f>IF(ISNA(MATCH(1204,'Transfer Engine'!$C$2:$C$1369,0)),"",INDEX('Compliance Database'!$J$2:$J$1369,MATCH(1204,'Transfer Engine'!$C$2:$C$1369,0)))</f>
        <v/>
      </c>
      <c r="K1213" s="9">
        <f>IF(ISNA(MATCH(1204,'Transfer Engine'!$C$2:$C$1369,0)),"",INDEX('Compliance Database'!$K$2:$K$1369,MATCH(1204,'Transfer Engine'!$C$2:$C$1369,0)))</f>
        <v/>
      </c>
      <c r="L1213" s="9">
        <f>IF(ISNA(MATCH(1204,'Transfer Engine'!$C$2:$C$1369,0)),"",INDEX('Compliance Database'!$L$2:$L$1369,MATCH(1204,'Transfer Engine'!$C$2:$C$1369,0)))</f>
        <v/>
      </c>
      <c r="M1213" s="9">
        <f>IF(ISNA(MATCH(1204,'Transfer Engine'!$C$2:$C$1369,0)),"",INDEX('Compliance Database'!$M$2:$M$1369,MATCH(1204,'Transfer Engine'!$C$2:$C$1369,0)))</f>
        <v/>
      </c>
      <c r="N1213" s="9">
        <f>IF(ISNA(MATCH(1204,'Transfer Engine'!$C$2:$C$1369,0)),"",INDEX('Compliance Database'!$N$2:$N$1369,MATCH(1204,'Transfer Engine'!$C$2:$C$1369,0)))</f>
        <v/>
      </c>
      <c r="O1213" s="8">
        <f>IF(ISNA(MATCH(1204,'Transfer Engine'!$C$2:$C$1369,0)),"",HYPERLINK(INDEX('Compliance Database'!$O$2:$O$1369,MATCH(1204,'Transfer Engine'!$C$2:$C$1369,0)),"Open PDF"))</f>
        <v/>
      </c>
    </row>
    <row r="1214" ht="188" customHeight="1">
      <c r="A1214" s="8">
        <f>IF(ISNA(MATCH(1205,'Transfer Engine'!$C$2:$C$1369,0)),"",INDEX('Compliance Database'!$A$2:$A$1369,MATCH(1205,'Transfer Engine'!$C$2:$C$1369,0)))</f>
        <v/>
      </c>
      <c r="B1214" s="8">
        <f>IF(ISNA(MATCH(1205,'Transfer Engine'!$C$2:$C$1369,0)),"",INDEX('Compliance Database'!$B$2:$B$1369,MATCH(1205,'Transfer Engine'!$C$2:$C$1369,0)))</f>
        <v/>
      </c>
      <c r="C1214" s="8">
        <f>IF(ISNA(MATCH(1205,'Transfer Engine'!$C$2:$C$1369,0)),"",INDEX('Compliance Database'!$C$2:$C$1369,MATCH(1205,'Transfer Engine'!$C$2:$C$1369,0)))</f>
        <v/>
      </c>
      <c r="D1214" s="9">
        <f>IF(ISNA(MATCH(1205,'Transfer Engine'!$C$2:$C$1369,0)),"",INDEX('Compliance Database'!$D$2:$D$1369,MATCH(1205,'Transfer Engine'!$C$2:$C$1369,0)))</f>
        <v/>
      </c>
      <c r="E1214" s="8">
        <f>IF(ISNA(MATCH(1205,'Transfer Engine'!$C$2:$C$1369,0)),"",INDEX('Compliance Database'!$E$2:$E$1369,MATCH(1205,'Transfer Engine'!$C$2:$C$1369,0)))</f>
        <v/>
      </c>
      <c r="F1214" s="8">
        <f>IF(ISNA(MATCH(1205,'Transfer Engine'!$C$2:$C$1369,0)),"",INDEX('Compliance Database'!$F$2:$F$1369,MATCH(1205,'Transfer Engine'!$C$2:$C$1369,0)))</f>
        <v/>
      </c>
      <c r="G1214" s="8">
        <f>IF(ISNA(MATCH(1205,'Transfer Engine'!$C$2:$C$1369,0)),"",INDEX('Compliance Database'!$G$2:$G$1369,MATCH(1205,'Transfer Engine'!$C$2:$C$1369,0)))</f>
        <v/>
      </c>
      <c r="H1214" s="9">
        <f>IF(ISNA(MATCH(1205,'Transfer Engine'!$C$2:$C$1369,0)),"",INDEX('Compliance Database'!$H$2:$H$1369,MATCH(1205,'Transfer Engine'!$C$2:$C$1369,0)))</f>
        <v/>
      </c>
      <c r="I1214" s="9">
        <f>IF(ISNA(MATCH(1205,'Transfer Engine'!$C$2:$C$1369,0)),"",INDEX('Compliance Database'!$I$2:$I$1369,MATCH(1205,'Transfer Engine'!$C$2:$C$1369,0)))</f>
        <v/>
      </c>
      <c r="J1214" s="8">
        <f>IF(ISNA(MATCH(1205,'Transfer Engine'!$C$2:$C$1369,0)),"",INDEX('Compliance Database'!$J$2:$J$1369,MATCH(1205,'Transfer Engine'!$C$2:$C$1369,0)))</f>
        <v/>
      </c>
      <c r="K1214" s="9">
        <f>IF(ISNA(MATCH(1205,'Transfer Engine'!$C$2:$C$1369,0)),"",INDEX('Compliance Database'!$K$2:$K$1369,MATCH(1205,'Transfer Engine'!$C$2:$C$1369,0)))</f>
        <v/>
      </c>
      <c r="L1214" s="9">
        <f>IF(ISNA(MATCH(1205,'Transfer Engine'!$C$2:$C$1369,0)),"",INDEX('Compliance Database'!$L$2:$L$1369,MATCH(1205,'Transfer Engine'!$C$2:$C$1369,0)))</f>
        <v/>
      </c>
      <c r="M1214" s="9">
        <f>IF(ISNA(MATCH(1205,'Transfer Engine'!$C$2:$C$1369,0)),"",INDEX('Compliance Database'!$M$2:$M$1369,MATCH(1205,'Transfer Engine'!$C$2:$C$1369,0)))</f>
        <v/>
      </c>
      <c r="N1214" s="9">
        <f>IF(ISNA(MATCH(1205,'Transfer Engine'!$C$2:$C$1369,0)),"",INDEX('Compliance Database'!$N$2:$N$1369,MATCH(1205,'Transfer Engine'!$C$2:$C$1369,0)))</f>
        <v/>
      </c>
      <c r="O1214" s="8">
        <f>IF(ISNA(MATCH(1205,'Transfer Engine'!$C$2:$C$1369,0)),"",HYPERLINK(INDEX('Compliance Database'!$O$2:$O$1369,MATCH(1205,'Transfer Engine'!$C$2:$C$1369,0)),"Open PDF"))</f>
        <v/>
      </c>
    </row>
    <row r="1215" ht="188" customHeight="1">
      <c r="A1215" s="8">
        <f>IF(ISNA(MATCH(1206,'Transfer Engine'!$C$2:$C$1369,0)),"",INDEX('Compliance Database'!$A$2:$A$1369,MATCH(1206,'Transfer Engine'!$C$2:$C$1369,0)))</f>
        <v/>
      </c>
      <c r="B1215" s="8">
        <f>IF(ISNA(MATCH(1206,'Transfer Engine'!$C$2:$C$1369,0)),"",INDEX('Compliance Database'!$B$2:$B$1369,MATCH(1206,'Transfer Engine'!$C$2:$C$1369,0)))</f>
        <v/>
      </c>
      <c r="C1215" s="8">
        <f>IF(ISNA(MATCH(1206,'Transfer Engine'!$C$2:$C$1369,0)),"",INDEX('Compliance Database'!$C$2:$C$1369,MATCH(1206,'Transfer Engine'!$C$2:$C$1369,0)))</f>
        <v/>
      </c>
      <c r="D1215" s="9">
        <f>IF(ISNA(MATCH(1206,'Transfer Engine'!$C$2:$C$1369,0)),"",INDEX('Compliance Database'!$D$2:$D$1369,MATCH(1206,'Transfer Engine'!$C$2:$C$1369,0)))</f>
        <v/>
      </c>
      <c r="E1215" s="8">
        <f>IF(ISNA(MATCH(1206,'Transfer Engine'!$C$2:$C$1369,0)),"",INDEX('Compliance Database'!$E$2:$E$1369,MATCH(1206,'Transfer Engine'!$C$2:$C$1369,0)))</f>
        <v/>
      </c>
      <c r="F1215" s="8">
        <f>IF(ISNA(MATCH(1206,'Transfer Engine'!$C$2:$C$1369,0)),"",INDEX('Compliance Database'!$F$2:$F$1369,MATCH(1206,'Transfer Engine'!$C$2:$C$1369,0)))</f>
        <v/>
      </c>
      <c r="G1215" s="8">
        <f>IF(ISNA(MATCH(1206,'Transfer Engine'!$C$2:$C$1369,0)),"",INDEX('Compliance Database'!$G$2:$G$1369,MATCH(1206,'Transfer Engine'!$C$2:$C$1369,0)))</f>
        <v/>
      </c>
      <c r="H1215" s="9">
        <f>IF(ISNA(MATCH(1206,'Transfer Engine'!$C$2:$C$1369,0)),"",INDEX('Compliance Database'!$H$2:$H$1369,MATCH(1206,'Transfer Engine'!$C$2:$C$1369,0)))</f>
        <v/>
      </c>
      <c r="I1215" s="9">
        <f>IF(ISNA(MATCH(1206,'Transfer Engine'!$C$2:$C$1369,0)),"",INDEX('Compliance Database'!$I$2:$I$1369,MATCH(1206,'Transfer Engine'!$C$2:$C$1369,0)))</f>
        <v/>
      </c>
      <c r="J1215" s="8">
        <f>IF(ISNA(MATCH(1206,'Transfer Engine'!$C$2:$C$1369,0)),"",INDEX('Compliance Database'!$J$2:$J$1369,MATCH(1206,'Transfer Engine'!$C$2:$C$1369,0)))</f>
        <v/>
      </c>
      <c r="K1215" s="9">
        <f>IF(ISNA(MATCH(1206,'Transfer Engine'!$C$2:$C$1369,0)),"",INDEX('Compliance Database'!$K$2:$K$1369,MATCH(1206,'Transfer Engine'!$C$2:$C$1369,0)))</f>
        <v/>
      </c>
      <c r="L1215" s="9">
        <f>IF(ISNA(MATCH(1206,'Transfer Engine'!$C$2:$C$1369,0)),"",INDEX('Compliance Database'!$L$2:$L$1369,MATCH(1206,'Transfer Engine'!$C$2:$C$1369,0)))</f>
        <v/>
      </c>
      <c r="M1215" s="9">
        <f>IF(ISNA(MATCH(1206,'Transfer Engine'!$C$2:$C$1369,0)),"",INDEX('Compliance Database'!$M$2:$M$1369,MATCH(1206,'Transfer Engine'!$C$2:$C$1369,0)))</f>
        <v/>
      </c>
      <c r="N1215" s="9">
        <f>IF(ISNA(MATCH(1206,'Transfer Engine'!$C$2:$C$1369,0)),"",INDEX('Compliance Database'!$N$2:$N$1369,MATCH(1206,'Transfer Engine'!$C$2:$C$1369,0)))</f>
        <v/>
      </c>
      <c r="O1215" s="8">
        <f>IF(ISNA(MATCH(1206,'Transfer Engine'!$C$2:$C$1369,0)),"",HYPERLINK(INDEX('Compliance Database'!$O$2:$O$1369,MATCH(1206,'Transfer Engine'!$C$2:$C$1369,0)),"Open PDF"))</f>
        <v/>
      </c>
    </row>
    <row r="1216" ht="188" customHeight="1">
      <c r="A1216" s="8">
        <f>IF(ISNA(MATCH(1207,'Transfer Engine'!$C$2:$C$1369,0)),"",INDEX('Compliance Database'!$A$2:$A$1369,MATCH(1207,'Transfer Engine'!$C$2:$C$1369,0)))</f>
        <v/>
      </c>
      <c r="B1216" s="8">
        <f>IF(ISNA(MATCH(1207,'Transfer Engine'!$C$2:$C$1369,0)),"",INDEX('Compliance Database'!$B$2:$B$1369,MATCH(1207,'Transfer Engine'!$C$2:$C$1369,0)))</f>
        <v/>
      </c>
      <c r="C1216" s="8">
        <f>IF(ISNA(MATCH(1207,'Transfer Engine'!$C$2:$C$1369,0)),"",INDEX('Compliance Database'!$C$2:$C$1369,MATCH(1207,'Transfer Engine'!$C$2:$C$1369,0)))</f>
        <v/>
      </c>
      <c r="D1216" s="9">
        <f>IF(ISNA(MATCH(1207,'Transfer Engine'!$C$2:$C$1369,0)),"",INDEX('Compliance Database'!$D$2:$D$1369,MATCH(1207,'Transfer Engine'!$C$2:$C$1369,0)))</f>
        <v/>
      </c>
      <c r="E1216" s="8">
        <f>IF(ISNA(MATCH(1207,'Transfer Engine'!$C$2:$C$1369,0)),"",INDEX('Compliance Database'!$E$2:$E$1369,MATCH(1207,'Transfer Engine'!$C$2:$C$1369,0)))</f>
        <v/>
      </c>
      <c r="F1216" s="8">
        <f>IF(ISNA(MATCH(1207,'Transfer Engine'!$C$2:$C$1369,0)),"",INDEX('Compliance Database'!$F$2:$F$1369,MATCH(1207,'Transfer Engine'!$C$2:$C$1369,0)))</f>
        <v/>
      </c>
      <c r="G1216" s="8">
        <f>IF(ISNA(MATCH(1207,'Transfer Engine'!$C$2:$C$1369,0)),"",INDEX('Compliance Database'!$G$2:$G$1369,MATCH(1207,'Transfer Engine'!$C$2:$C$1369,0)))</f>
        <v/>
      </c>
      <c r="H1216" s="9">
        <f>IF(ISNA(MATCH(1207,'Transfer Engine'!$C$2:$C$1369,0)),"",INDEX('Compliance Database'!$H$2:$H$1369,MATCH(1207,'Transfer Engine'!$C$2:$C$1369,0)))</f>
        <v/>
      </c>
      <c r="I1216" s="9">
        <f>IF(ISNA(MATCH(1207,'Transfer Engine'!$C$2:$C$1369,0)),"",INDEX('Compliance Database'!$I$2:$I$1369,MATCH(1207,'Transfer Engine'!$C$2:$C$1369,0)))</f>
        <v/>
      </c>
      <c r="J1216" s="8">
        <f>IF(ISNA(MATCH(1207,'Transfer Engine'!$C$2:$C$1369,0)),"",INDEX('Compliance Database'!$J$2:$J$1369,MATCH(1207,'Transfer Engine'!$C$2:$C$1369,0)))</f>
        <v/>
      </c>
      <c r="K1216" s="9">
        <f>IF(ISNA(MATCH(1207,'Transfer Engine'!$C$2:$C$1369,0)),"",INDEX('Compliance Database'!$K$2:$K$1369,MATCH(1207,'Transfer Engine'!$C$2:$C$1369,0)))</f>
        <v/>
      </c>
      <c r="L1216" s="9">
        <f>IF(ISNA(MATCH(1207,'Transfer Engine'!$C$2:$C$1369,0)),"",INDEX('Compliance Database'!$L$2:$L$1369,MATCH(1207,'Transfer Engine'!$C$2:$C$1369,0)))</f>
        <v/>
      </c>
      <c r="M1216" s="9">
        <f>IF(ISNA(MATCH(1207,'Transfer Engine'!$C$2:$C$1369,0)),"",INDEX('Compliance Database'!$M$2:$M$1369,MATCH(1207,'Transfer Engine'!$C$2:$C$1369,0)))</f>
        <v/>
      </c>
      <c r="N1216" s="9">
        <f>IF(ISNA(MATCH(1207,'Transfer Engine'!$C$2:$C$1369,0)),"",INDEX('Compliance Database'!$N$2:$N$1369,MATCH(1207,'Transfer Engine'!$C$2:$C$1369,0)))</f>
        <v/>
      </c>
      <c r="O1216" s="8">
        <f>IF(ISNA(MATCH(1207,'Transfer Engine'!$C$2:$C$1369,0)),"",HYPERLINK(INDEX('Compliance Database'!$O$2:$O$1369,MATCH(1207,'Transfer Engine'!$C$2:$C$1369,0)),"Open PDF"))</f>
        <v/>
      </c>
    </row>
    <row r="1217" ht="188" customHeight="1">
      <c r="A1217" s="8">
        <f>IF(ISNA(MATCH(1208,'Transfer Engine'!$C$2:$C$1369,0)),"",INDEX('Compliance Database'!$A$2:$A$1369,MATCH(1208,'Transfer Engine'!$C$2:$C$1369,0)))</f>
        <v/>
      </c>
      <c r="B1217" s="8">
        <f>IF(ISNA(MATCH(1208,'Transfer Engine'!$C$2:$C$1369,0)),"",INDEX('Compliance Database'!$B$2:$B$1369,MATCH(1208,'Transfer Engine'!$C$2:$C$1369,0)))</f>
        <v/>
      </c>
      <c r="C1217" s="8">
        <f>IF(ISNA(MATCH(1208,'Transfer Engine'!$C$2:$C$1369,0)),"",INDEX('Compliance Database'!$C$2:$C$1369,MATCH(1208,'Transfer Engine'!$C$2:$C$1369,0)))</f>
        <v/>
      </c>
      <c r="D1217" s="9">
        <f>IF(ISNA(MATCH(1208,'Transfer Engine'!$C$2:$C$1369,0)),"",INDEX('Compliance Database'!$D$2:$D$1369,MATCH(1208,'Transfer Engine'!$C$2:$C$1369,0)))</f>
        <v/>
      </c>
      <c r="E1217" s="8">
        <f>IF(ISNA(MATCH(1208,'Transfer Engine'!$C$2:$C$1369,0)),"",INDEX('Compliance Database'!$E$2:$E$1369,MATCH(1208,'Transfer Engine'!$C$2:$C$1369,0)))</f>
        <v/>
      </c>
      <c r="F1217" s="8">
        <f>IF(ISNA(MATCH(1208,'Transfer Engine'!$C$2:$C$1369,0)),"",INDEX('Compliance Database'!$F$2:$F$1369,MATCH(1208,'Transfer Engine'!$C$2:$C$1369,0)))</f>
        <v/>
      </c>
      <c r="G1217" s="8">
        <f>IF(ISNA(MATCH(1208,'Transfer Engine'!$C$2:$C$1369,0)),"",INDEX('Compliance Database'!$G$2:$G$1369,MATCH(1208,'Transfer Engine'!$C$2:$C$1369,0)))</f>
        <v/>
      </c>
      <c r="H1217" s="9">
        <f>IF(ISNA(MATCH(1208,'Transfer Engine'!$C$2:$C$1369,0)),"",INDEX('Compliance Database'!$H$2:$H$1369,MATCH(1208,'Transfer Engine'!$C$2:$C$1369,0)))</f>
        <v/>
      </c>
      <c r="I1217" s="9">
        <f>IF(ISNA(MATCH(1208,'Transfer Engine'!$C$2:$C$1369,0)),"",INDEX('Compliance Database'!$I$2:$I$1369,MATCH(1208,'Transfer Engine'!$C$2:$C$1369,0)))</f>
        <v/>
      </c>
      <c r="J1217" s="8">
        <f>IF(ISNA(MATCH(1208,'Transfer Engine'!$C$2:$C$1369,0)),"",INDEX('Compliance Database'!$J$2:$J$1369,MATCH(1208,'Transfer Engine'!$C$2:$C$1369,0)))</f>
        <v/>
      </c>
      <c r="K1217" s="9">
        <f>IF(ISNA(MATCH(1208,'Transfer Engine'!$C$2:$C$1369,0)),"",INDEX('Compliance Database'!$K$2:$K$1369,MATCH(1208,'Transfer Engine'!$C$2:$C$1369,0)))</f>
        <v/>
      </c>
      <c r="L1217" s="9">
        <f>IF(ISNA(MATCH(1208,'Transfer Engine'!$C$2:$C$1369,0)),"",INDEX('Compliance Database'!$L$2:$L$1369,MATCH(1208,'Transfer Engine'!$C$2:$C$1369,0)))</f>
        <v/>
      </c>
      <c r="M1217" s="9">
        <f>IF(ISNA(MATCH(1208,'Transfer Engine'!$C$2:$C$1369,0)),"",INDEX('Compliance Database'!$M$2:$M$1369,MATCH(1208,'Transfer Engine'!$C$2:$C$1369,0)))</f>
        <v/>
      </c>
      <c r="N1217" s="9">
        <f>IF(ISNA(MATCH(1208,'Transfer Engine'!$C$2:$C$1369,0)),"",INDEX('Compliance Database'!$N$2:$N$1369,MATCH(1208,'Transfer Engine'!$C$2:$C$1369,0)))</f>
        <v/>
      </c>
      <c r="O1217" s="8">
        <f>IF(ISNA(MATCH(1208,'Transfer Engine'!$C$2:$C$1369,0)),"",HYPERLINK(INDEX('Compliance Database'!$O$2:$O$1369,MATCH(1208,'Transfer Engine'!$C$2:$C$1369,0)),"Open PDF"))</f>
        <v/>
      </c>
    </row>
    <row r="1218" ht="188" customHeight="1">
      <c r="A1218" s="8">
        <f>IF(ISNA(MATCH(1209,'Transfer Engine'!$C$2:$C$1369,0)),"",INDEX('Compliance Database'!$A$2:$A$1369,MATCH(1209,'Transfer Engine'!$C$2:$C$1369,0)))</f>
        <v/>
      </c>
      <c r="B1218" s="8">
        <f>IF(ISNA(MATCH(1209,'Transfer Engine'!$C$2:$C$1369,0)),"",INDEX('Compliance Database'!$B$2:$B$1369,MATCH(1209,'Transfer Engine'!$C$2:$C$1369,0)))</f>
        <v/>
      </c>
      <c r="C1218" s="8">
        <f>IF(ISNA(MATCH(1209,'Transfer Engine'!$C$2:$C$1369,0)),"",INDEX('Compliance Database'!$C$2:$C$1369,MATCH(1209,'Transfer Engine'!$C$2:$C$1369,0)))</f>
        <v/>
      </c>
      <c r="D1218" s="9">
        <f>IF(ISNA(MATCH(1209,'Transfer Engine'!$C$2:$C$1369,0)),"",INDEX('Compliance Database'!$D$2:$D$1369,MATCH(1209,'Transfer Engine'!$C$2:$C$1369,0)))</f>
        <v/>
      </c>
      <c r="E1218" s="8">
        <f>IF(ISNA(MATCH(1209,'Transfer Engine'!$C$2:$C$1369,0)),"",INDEX('Compliance Database'!$E$2:$E$1369,MATCH(1209,'Transfer Engine'!$C$2:$C$1369,0)))</f>
        <v/>
      </c>
      <c r="F1218" s="8">
        <f>IF(ISNA(MATCH(1209,'Transfer Engine'!$C$2:$C$1369,0)),"",INDEX('Compliance Database'!$F$2:$F$1369,MATCH(1209,'Transfer Engine'!$C$2:$C$1369,0)))</f>
        <v/>
      </c>
      <c r="G1218" s="8">
        <f>IF(ISNA(MATCH(1209,'Transfer Engine'!$C$2:$C$1369,0)),"",INDEX('Compliance Database'!$G$2:$G$1369,MATCH(1209,'Transfer Engine'!$C$2:$C$1369,0)))</f>
        <v/>
      </c>
      <c r="H1218" s="9">
        <f>IF(ISNA(MATCH(1209,'Transfer Engine'!$C$2:$C$1369,0)),"",INDEX('Compliance Database'!$H$2:$H$1369,MATCH(1209,'Transfer Engine'!$C$2:$C$1369,0)))</f>
        <v/>
      </c>
      <c r="I1218" s="9">
        <f>IF(ISNA(MATCH(1209,'Transfer Engine'!$C$2:$C$1369,0)),"",INDEX('Compliance Database'!$I$2:$I$1369,MATCH(1209,'Transfer Engine'!$C$2:$C$1369,0)))</f>
        <v/>
      </c>
      <c r="J1218" s="8">
        <f>IF(ISNA(MATCH(1209,'Transfer Engine'!$C$2:$C$1369,0)),"",INDEX('Compliance Database'!$J$2:$J$1369,MATCH(1209,'Transfer Engine'!$C$2:$C$1369,0)))</f>
        <v/>
      </c>
      <c r="K1218" s="9">
        <f>IF(ISNA(MATCH(1209,'Transfer Engine'!$C$2:$C$1369,0)),"",INDEX('Compliance Database'!$K$2:$K$1369,MATCH(1209,'Transfer Engine'!$C$2:$C$1369,0)))</f>
        <v/>
      </c>
      <c r="L1218" s="9">
        <f>IF(ISNA(MATCH(1209,'Transfer Engine'!$C$2:$C$1369,0)),"",INDEX('Compliance Database'!$L$2:$L$1369,MATCH(1209,'Transfer Engine'!$C$2:$C$1369,0)))</f>
        <v/>
      </c>
      <c r="M1218" s="9">
        <f>IF(ISNA(MATCH(1209,'Transfer Engine'!$C$2:$C$1369,0)),"",INDEX('Compliance Database'!$M$2:$M$1369,MATCH(1209,'Transfer Engine'!$C$2:$C$1369,0)))</f>
        <v/>
      </c>
      <c r="N1218" s="9">
        <f>IF(ISNA(MATCH(1209,'Transfer Engine'!$C$2:$C$1369,0)),"",INDEX('Compliance Database'!$N$2:$N$1369,MATCH(1209,'Transfer Engine'!$C$2:$C$1369,0)))</f>
        <v/>
      </c>
      <c r="O1218" s="8">
        <f>IF(ISNA(MATCH(1209,'Transfer Engine'!$C$2:$C$1369,0)),"",HYPERLINK(INDEX('Compliance Database'!$O$2:$O$1369,MATCH(1209,'Transfer Engine'!$C$2:$C$1369,0)),"Open PDF"))</f>
        <v/>
      </c>
    </row>
    <row r="1219" ht="188" customHeight="1">
      <c r="A1219" s="8">
        <f>IF(ISNA(MATCH(1210,'Transfer Engine'!$C$2:$C$1369,0)),"",INDEX('Compliance Database'!$A$2:$A$1369,MATCH(1210,'Transfer Engine'!$C$2:$C$1369,0)))</f>
        <v/>
      </c>
      <c r="B1219" s="8">
        <f>IF(ISNA(MATCH(1210,'Transfer Engine'!$C$2:$C$1369,0)),"",INDEX('Compliance Database'!$B$2:$B$1369,MATCH(1210,'Transfer Engine'!$C$2:$C$1369,0)))</f>
        <v/>
      </c>
      <c r="C1219" s="8">
        <f>IF(ISNA(MATCH(1210,'Transfer Engine'!$C$2:$C$1369,0)),"",INDEX('Compliance Database'!$C$2:$C$1369,MATCH(1210,'Transfer Engine'!$C$2:$C$1369,0)))</f>
        <v/>
      </c>
      <c r="D1219" s="9">
        <f>IF(ISNA(MATCH(1210,'Transfer Engine'!$C$2:$C$1369,0)),"",INDEX('Compliance Database'!$D$2:$D$1369,MATCH(1210,'Transfer Engine'!$C$2:$C$1369,0)))</f>
        <v/>
      </c>
      <c r="E1219" s="8">
        <f>IF(ISNA(MATCH(1210,'Transfer Engine'!$C$2:$C$1369,0)),"",INDEX('Compliance Database'!$E$2:$E$1369,MATCH(1210,'Transfer Engine'!$C$2:$C$1369,0)))</f>
        <v/>
      </c>
      <c r="F1219" s="8">
        <f>IF(ISNA(MATCH(1210,'Transfer Engine'!$C$2:$C$1369,0)),"",INDEX('Compliance Database'!$F$2:$F$1369,MATCH(1210,'Transfer Engine'!$C$2:$C$1369,0)))</f>
        <v/>
      </c>
      <c r="G1219" s="8">
        <f>IF(ISNA(MATCH(1210,'Transfer Engine'!$C$2:$C$1369,0)),"",INDEX('Compliance Database'!$G$2:$G$1369,MATCH(1210,'Transfer Engine'!$C$2:$C$1369,0)))</f>
        <v/>
      </c>
      <c r="H1219" s="9">
        <f>IF(ISNA(MATCH(1210,'Transfer Engine'!$C$2:$C$1369,0)),"",INDEX('Compliance Database'!$H$2:$H$1369,MATCH(1210,'Transfer Engine'!$C$2:$C$1369,0)))</f>
        <v/>
      </c>
      <c r="I1219" s="9">
        <f>IF(ISNA(MATCH(1210,'Transfer Engine'!$C$2:$C$1369,0)),"",INDEX('Compliance Database'!$I$2:$I$1369,MATCH(1210,'Transfer Engine'!$C$2:$C$1369,0)))</f>
        <v/>
      </c>
      <c r="J1219" s="8">
        <f>IF(ISNA(MATCH(1210,'Transfer Engine'!$C$2:$C$1369,0)),"",INDEX('Compliance Database'!$J$2:$J$1369,MATCH(1210,'Transfer Engine'!$C$2:$C$1369,0)))</f>
        <v/>
      </c>
      <c r="K1219" s="9">
        <f>IF(ISNA(MATCH(1210,'Transfer Engine'!$C$2:$C$1369,0)),"",INDEX('Compliance Database'!$K$2:$K$1369,MATCH(1210,'Transfer Engine'!$C$2:$C$1369,0)))</f>
        <v/>
      </c>
      <c r="L1219" s="9">
        <f>IF(ISNA(MATCH(1210,'Transfer Engine'!$C$2:$C$1369,0)),"",INDEX('Compliance Database'!$L$2:$L$1369,MATCH(1210,'Transfer Engine'!$C$2:$C$1369,0)))</f>
        <v/>
      </c>
      <c r="M1219" s="9">
        <f>IF(ISNA(MATCH(1210,'Transfer Engine'!$C$2:$C$1369,0)),"",INDEX('Compliance Database'!$M$2:$M$1369,MATCH(1210,'Transfer Engine'!$C$2:$C$1369,0)))</f>
        <v/>
      </c>
      <c r="N1219" s="9">
        <f>IF(ISNA(MATCH(1210,'Transfer Engine'!$C$2:$C$1369,0)),"",INDEX('Compliance Database'!$N$2:$N$1369,MATCH(1210,'Transfer Engine'!$C$2:$C$1369,0)))</f>
        <v/>
      </c>
      <c r="O1219" s="8">
        <f>IF(ISNA(MATCH(1210,'Transfer Engine'!$C$2:$C$1369,0)),"",HYPERLINK(INDEX('Compliance Database'!$O$2:$O$1369,MATCH(1210,'Transfer Engine'!$C$2:$C$1369,0)),"Open PDF"))</f>
        <v/>
      </c>
    </row>
    <row r="1220" ht="188" customHeight="1">
      <c r="A1220" s="8">
        <f>IF(ISNA(MATCH(1211,'Transfer Engine'!$C$2:$C$1369,0)),"",INDEX('Compliance Database'!$A$2:$A$1369,MATCH(1211,'Transfer Engine'!$C$2:$C$1369,0)))</f>
        <v/>
      </c>
      <c r="B1220" s="8">
        <f>IF(ISNA(MATCH(1211,'Transfer Engine'!$C$2:$C$1369,0)),"",INDEX('Compliance Database'!$B$2:$B$1369,MATCH(1211,'Transfer Engine'!$C$2:$C$1369,0)))</f>
        <v/>
      </c>
      <c r="C1220" s="8">
        <f>IF(ISNA(MATCH(1211,'Transfer Engine'!$C$2:$C$1369,0)),"",INDEX('Compliance Database'!$C$2:$C$1369,MATCH(1211,'Transfer Engine'!$C$2:$C$1369,0)))</f>
        <v/>
      </c>
      <c r="D1220" s="9">
        <f>IF(ISNA(MATCH(1211,'Transfer Engine'!$C$2:$C$1369,0)),"",INDEX('Compliance Database'!$D$2:$D$1369,MATCH(1211,'Transfer Engine'!$C$2:$C$1369,0)))</f>
        <v/>
      </c>
      <c r="E1220" s="8">
        <f>IF(ISNA(MATCH(1211,'Transfer Engine'!$C$2:$C$1369,0)),"",INDEX('Compliance Database'!$E$2:$E$1369,MATCH(1211,'Transfer Engine'!$C$2:$C$1369,0)))</f>
        <v/>
      </c>
      <c r="F1220" s="8">
        <f>IF(ISNA(MATCH(1211,'Transfer Engine'!$C$2:$C$1369,0)),"",INDEX('Compliance Database'!$F$2:$F$1369,MATCH(1211,'Transfer Engine'!$C$2:$C$1369,0)))</f>
        <v/>
      </c>
      <c r="G1220" s="8">
        <f>IF(ISNA(MATCH(1211,'Transfer Engine'!$C$2:$C$1369,0)),"",INDEX('Compliance Database'!$G$2:$G$1369,MATCH(1211,'Transfer Engine'!$C$2:$C$1369,0)))</f>
        <v/>
      </c>
      <c r="H1220" s="9">
        <f>IF(ISNA(MATCH(1211,'Transfer Engine'!$C$2:$C$1369,0)),"",INDEX('Compliance Database'!$H$2:$H$1369,MATCH(1211,'Transfer Engine'!$C$2:$C$1369,0)))</f>
        <v/>
      </c>
      <c r="I1220" s="9">
        <f>IF(ISNA(MATCH(1211,'Transfer Engine'!$C$2:$C$1369,0)),"",INDEX('Compliance Database'!$I$2:$I$1369,MATCH(1211,'Transfer Engine'!$C$2:$C$1369,0)))</f>
        <v/>
      </c>
      <c r="J1220" s="8">
        <f>IF(ISNA(MATCH(1211,'Transfer Engine'!$C$2:$C$1369,0)),"",INDEX('Compliance Database'!$J$2:$J$1369,MATCH(1211,'Transfer Engine'!$C$2:$C$1369,0)))</f>
        <v/>
      </c>
      <c r="K1220" s="9">
        <f>IF(ISNA(MATCH(1211,'Transfer Engine'!$C$2:$C$1369,0)),"",INDEX('Compliance Database'!$K$2:$K$1369,MATCH(1211,'Transfer Engine'!$C$2:$C$1369,0)))</f>
        <v/>
      </c>
      <c r="L1220" s="9">
        <f>IF(ISNA(MATCH(1211,'Transfer Engine'!$C$2:$C$1369,0)),"",INDEX('Compliance Database'!$L$2:$L$1369,MATCH(1211,'Transfer Engine'!$C$2:$C$1369,0)))</f>
        <v/>
      </c>
      <c r="M1220" s="9">
        <f>IF(ISNA(MATCH(1211,'Transfer Engine'!$C$2:$C$1369,0)),"",INDEX('Compliance Database'!$M$2:$M$1369,MATCH(1211,'Transfer Engine'!$C$2:$C$1369,0)))</f>
        <v/>
      </c>
      <c r="N1220" s="9">
        <f>IF(ISNA(MATCH(1211,'Transfer Engine'!$C$2:$C$1369,0)),"",INDEX('Compliance Database'!$N$2:$N$1369,MATCH(1211,'Transfer Engine'!$C$2:$C$1369,0)))</f>
        <v/>
      </c>
      <c r="O1220" s="8">
        <f>IF(ISNA(MATCH(1211,'Transfer Engine'!$C$2:$C$1369,0)),"",HYPERLINK(INDEX('Compliance Database'!$O$2:$O$1369,MATCH(1211,'Transfer Engine'!$C$2:$C$1369,0)),"Open PDF"))</f>
        <v/>
      </c>
    </row>
    <row r="1221" ht="188" customHeight="1">
      <c r="A1221" s="8">
        <f>IF(ISNA(MATCH(1212,'Transfer Engine'!$C$2:$C$1369,0)),"",INDEX('Compliance Database'!$A$2:$A$1369,MATCH(1212,'Transfer Engine'!$C$2:$C$1369,0)))</f>
        <v/>
      </c>
      <c r="B1221" s="8">
        <f>IF(ISNA(MATCH(1212,'Transfer Engine'!$C$2:$C$1369,0)),"",INDEX('Compliance Database'!$B$2:$B$1369,MATCH(1212,'Transfer Engine'!$C$2:$C$1369,0)))</f>
        <v/>
      </c>
      <c r="C1221" s="8">
        <f>IF(ISNA(MATCH(1212,'Transfer Engine'!$C$2:$C$1369,0)),"",INDEX('Compliance Database'!$C$2:$C$1369,MATCH(1212,'Transfer Engine'!$C$2:$C$1369,0)))</f>
        <v/>
      </c>
      <c r="D1221" s="9">
        <f>IF(ISNA(MATCH(1212,'Transfer Engine'!$C$2:$C$1369,0)),"",INDEX('Compliance Database'!$D$2:$D$1369,MATCH(1212,'Transfer Engine'!$C$2:$C$1369,0)))</f>
        <v/>
      </c>
      <c r="E1221" s="8">
        <f>IF(ISNA(MATCH(1212,'Transfer Engine'!$C$2:$C$1369,0)),"",INDEX('Compliance Database'!$E$2:$E$1369,MATCH(1212,'Transfer Engine'!$C$2:$C$1369,0)))</f>
        <v/>
      </c>
      <c r="F1221" s="8">
        <f>IF(ISNA(MATCH(1212,'Transfer Engine'!$C$2:$C$1369,0)),"",INDEX('Compliance Database'!$F$2:$F$1369,MATCH(1212,'Transfer Engine'!$C$2:$C$1369,0)))</f>
        <v/>
      </c>
      <c r="G1221" s="8">
        <f>IF(ISNA(MATCH(1212,'Transfer Engine'!$C$2:$C$1369,0)),"",INDEX('Compliance Database'!$G$2:$G$1369,MATCH(1212,'Transfer Engine'!$C$2:$C$1369,0)))</f>
        <v/>
      </c>
      <c r="H1221" s="9">
        <f>IF(ISNA(MATCH(1212,'Transfer Engine'!$C$2:$C$1369,0)),"",INDEX('Compliance Database'!$H$2:$H$1369,MATCH(1212,'Transfer Engine'!$C$2:$C$1369,0)))</f>
        <v/>
      </c>
      <c r="I1221" s="9">
        <f>IF(ISNA(MATCH(1212,'Transfer Engine'!$C$2:$C$1369,0)),"",INDEX('Compliance Database'!$I$2:$I$1369,MATCH(1212,'Transfer Engine'!$C$2:$C$1369,0)))</f>
        <v/>
      </c>
      <c r="J1221" s="8">
        <f>IF(ISNA(MATCH(1212,'Transfer Engine'!$C$2:$C$1369,0)),"",INDEX('Compliance Database'!$J$2:$J$1369,MATCH(1212,'Transfer Engine'!$C$2:$C$1369,0)))</f>
        <v/>
      </c>
      <c r="K1221" s="9">
        <f>IF(ISNA(MATCH(1212,'Transfer Engine'!$C$2:$C$1369,0)),"",INDEX('Compliance Database'!$K$2:$K$1369,MATCH(1212,'Transfer Engine'!$C$2:$C$1369,0)))</f>
        <v/>
      </c>
      <c r="L1221" s="9">
        <f>IF(ISNA(MATCH(1212,'Transfer Engine'!$C$2:$C$1369,0)),"",INDEX('Compliance Database'!$L$2:$L$1369,MATCH(1212,'Transfer Engine'!$C$2:$C$1369,0)))</f>
        <v/>
      </c>
      <c r="M1221" s="9">
        <f>IF(ISNA(MATCH(1212,'Transfer Engine'!$C$2:$C$1369,0)),"",INDEX('Compliance Database'!$M$2:$M$1369,MATCH(1212,'Transfer Engine'!$C$2:$C$1369,0)))</f>
        <v/>
      </c>
      <c r="N1221" s="9">
        <f>IF(ISNA(MATCH(1212,'Transfer Engine'!$C$2:$C$1369,0)),"",INDEX('Compliance Database'!$N$2:$N$1369,MATCH(1212,'Transfer Engine'!$C$2:$C$1369,0)))</f>
        <v/>
      </c>
      <c r="O1221" s="8">
        <f>IF(ISNA(MATCH(1212,'Transfer Engine'!$C$2:$C$1369,0)),"",HYPERLINK(INDEX('Compliance Database'!$O$2:$O$1369,MATCH(1212,'Transfer Engine'!$C$2:$C$1369,0)),"Open PDF"))</f>
        <v/>
      </c>
    </row>
    <row r="1222" ht="188" customHeight="1">
      <c r="A1222" s="8">
        <f>IF(ISNA(MATCH(1213,'Transfer Engine'!$C$2:$C$1369,0)),"",INDEX('Compliance Database'!$A$2:$A$1369,MATCH(1213,'Transfer Engine'!$C$2:$C$1369,0)))</f>
        <v/>
      </c>
      <c r="B1222" s="8">
        <f>IF(ISNA(MATCH(1213,'Transfer Engine'!$C$2:$C$1369,0)),"",INDEX('Compliance Database'!$B$2:$B$1369,MATCH(1213,'Transfer Engine'!$C$2:$C$1369,0)))</f>
        <v/>
      </c>
      <c r="C1222" s="8">
        <f>IF(ISNA(MATCH(1213,'Transfer Engine'!$C$2:$C$1369,0)),"",INDEX('Compliance Database'!$C$2:$C$1369,MATCH(1213,'Transfer Engine'!$C$2:$C$1369,0)))</f>
        <v/>
      </c>
      <c r="D1222" s="9">
        <f>IF(ISNA(MATCH(1213,'Transfer Engine'!$C$2:$C$1369,0)),"",INDEX('Compliance Database'!$D$2:$D$1369,MATCH(1213,'Transfer Engine'!$C$2:$C$1369,0)))</f>
        <v/>
      </c>
      <c r="E1222" s="8">
        <f>IF(ISNA(MATCH(1213,'Transfer Engine'!$C$2:$C$1369,0)),"",INDEX('Compliance Database'!$E$2:$E$1369,MATCH(1213,'Transfer Engine'!$C$2:$C$1369,0)))</f>
        <v/>
      </c>
      <c r="F1222" s="8">
        <f>IF(ISNA(MATCH(1213,'Transfer Engine'!$C$2:$C$1369,0)),"",INDEX('Compliance Database'!$F$2:$F$1369,MATCH(1213,'Transfer Engine'!$C$2:$C$1369,0)))</f>
        <v/>
      </c>
      <c r="G1222" s="8">
        <f>IF(ISNA(MATCH(1213,'Transfer Engine'!$C$2:$C$1369,0)),"",INDEX('Compliance Database'!$G$2:$G$1369,MATCH(1213,'Transfer Engine'!$C$2:$C$1369,0)))</f>
        <v/>
      </c>
      <c r="H1222" s="9">
        <f>IF(ISNA(MATCH(1213,'Transfer Engine'!$C$2:$C$1369,0)),"",INDEX('Compliance Database'!$H$2:$H$1369,MATCH(1213,'Transfer Engine'!$C$2:$C$1369,0)))</f>
        <v/>
      </c>
      <c r="I1222" s="9">
        <f>IF(ISNA(MATCH(1213,'Transfer Engine'!$C$2:$C$1369,0)),"",INDEX('Compliance Database'!$I$2:$I$1369,MATCH(1213,'Transfer Engine'!$C$2:$C$1369,0)))</f>
        <v/>
      </c>
      <c r="J1222" s="8">
        <f>IF(ISNA(MATCH(1213,'Transfer Engine'!$C$2:$C$1369,0)),"",INDEX('Compliance Database'!$J$2:$J$1369,MATCH(1213,'Transfer Engine'!$C$2:$C$1369,0)))</f>
        <v/>
      </c>
      <c r="K1222" s="9">
        <f>IF(ISNA(MATCH(1213,'Transfer Engine'!$C$2:$C$1369,0)),"",INDEX('Compliance Database'!$K$2:$K$1369,MATCH(1213,'Transfer Engine'!$C$2:$C$1369,0)))</f>
        <v/>
      </c>
      <c r="L1222" s="9">
        <f>IF(ISNA(MATCH(1213,'Transfer Engine'!$C$2:$C$1369,0)),"",INDEX('Compliance Database'!$L$2:$L$1369,MATCH(1213,'Transfer Engine'!$C$2:$C$1369,0)))</f>
        <v/>
      </c>
      <c r="M1222" s="9">
        <f>IF(ISNA(MATCH(1213,'Transfer Engine'!$C$2:$C$1369,0)),"",INDEX('Compliance Database'!$M$2:$M$1369,MATCH(1213,'Transfer Engine'!$C$2:$C$1369,0)))</f>
        <v/>
      </c>
      <c r="N1222" s="9">
        <f>IF(ISNA(MATCH(1213,'Transfer Engine'!$C$2:$C$1369,0)),"",INDEX('Compliance Database'!$N$2:$N$1369,MATCH(1213,'Transfer Engine'!$C$2:$C$1369,0)))</f>
        <v/>
      </c>
      <c r="O1222" s="8">
        <f>IF(ISNA(MATCH(1213,'Transfer Engine'!$C$2:$C$1369,0)),"",HYPERLINK(INDEX('Compliance Database'!$O$2:$O$1369,MATCH(1213,'Transfer Engine'!$C$2:$C$1369,0)),"Open PDF"))</f>
        <v/>
      </c>
    </row>
    <row r="1223" ht="188" customHeight="1">
      <c r="A1223" s="8">
        <f>IF(ISNA(MATCH(1214,'Transfer Engine'!$C$2:$C$1369,0)),"",INDEX('Compliance Database'!$A$2:$A$1369,MATCH(1214,'Transfer Engine'!$C$2:$C$1369,0)))</f>
        <v/>
      </c>
      <c r="B1223" s="8">
        <f>IF(ISNA(MATCH(1214,'Transfer Engine'!$C$2:$C$1369,0)),"",INDEX('Compliance Database'!$B$2:$B$1369,MATCH(1214,'Transfer Engine'!$C$2:$C$1369,0)))</f>
        <v/>
      </c>
      <c r="C1223" s="8">
        <f>IF(ISNA(MATCH(1214,'Transfer Engine'!$C$2:$C$1369,0)),"",INDEX('Compliance Database'!$C$2:$C$1369,MATCH(1214,'Transfer Engine'!$C$2:$C$1369,0)))</f>
        <v/>
      </c>
      <c r="D1223" s="9">
        <f>IF(ISNA(MATCH(1214,'Transfer Engine'!$C$2:$C$1369,0)),"",INDEX('Compliance Database'!$D$2:$D$1369,MATCH(1214,'Transfer Engine'!$C$2:$C$1369,0)))</f>
        <v/>
      </c>
      <c r="E1223" s="8">
        <f>IF(ISNA(MATCH(1214,'Transfer Engine'!$C$2:$C$1369,0)),"",INDEX('Compliance Database'!$E$2:$E$1369,MATCH(1214,'Transfer Engine'!$C$2:$C$1369,0)))</f>
        <v/>
      </c>
      <c r="F1223" s="8">
        <f>IF(ISNA(MATCH(1214,'Transfer Engine'!$C$2:$C$1369,0)),"",INDEX('Compliance Database'!$F$2:$F$1369,MATCH(1214,'Transfer Engine'!$C$2:$C$1369,0)))</f>
        <v/>
      </c>
      <c r="G1223" s="8">
        <f>IF(ISNA(MATCH(1214,'Transfer Engine'!$C$2:$C$1369,0)),"",INDEX('Compliance Database'!$G$2:$G$1369,MATCH(1214,'Transfer Engine'!$C$2:$C$1369,0)))</f>
        <v/>
      </c>
      <c r="H1223" s="9">
        <f>IF(ISNA(MATCH(1214,'Transfer Engine'!$C$2:$C$1369,0)),"",INDEX('Compliance Database'!$H$2:$H$1369,MATCH(1214,'Transfer Engine'!$C$2:$C$1369,0)))</f>
        <v/>
      </c>
      <c r="I1223" s="9">
        <f>IF(ISNA(MATCH(1214,'Transfer Engine'!$C$2:$C$1369,0)),"",INDEX('Compliance Database'!$I$2:$I$1369,MATCH(1214,'Transfer Engine'!$C$2:$C$1369,0)))</f>
        <v/>
      </c>
      <c r="J1223" s="8">
        <f>IF(ISNA(MATCH(1214,'Transfer Engine'!$C$2:$C$1369,0)),"",INDEX('Compliance Database'!$J$2:$J$1369,MATCH(1214,'Transfer Engine'!$C$2:$C$1369,0)))</f>
        <v/>
      </c>
      <c r="K1223" s="9">
        <f>IF(ISNA(MATCH(1214,'Transfer Engine'!$C$2:$C$1369,0)),"",INDEX('Compliance Database'!$K$2:$K$1369,MATCH(1214,'Transfer Engine'!$C$2:$C$1369,0)))</f>
        <v/>
      </c>
      <c r="L1223" s="9">
        <f>IF(ISNA(MATCH(1214,'Transfer Engine'!$C$2:$C$1369,0)),"",INDEX('Compliance Database'!$L$2:$L$1369,MATCH(1214,'Transfer Engine'!$C$2:$C$1369,0)))</f>
        <v/>
      </c>
      <c r="M1223" s="9">
        <f>IF(ISNA(MATCH(1214,'Transfer Engine'!$C$2:$C$1369,0)),"",INDEX('Compliance Database'!$M$2:$M$1369,MATCH(1214,'Transfer Engine'!$C$2:$C$1369,0)))</f>
        <v/>
      </c>
      <c r="N1223" s="9">
        <f>IF(ISNA(MATCH(1214,'Transfer Engine'!$C$2:$C$1369,0)),"",INDEX('Compliance Database'!$N$2:$N$1369,MATCH(1214,'Transfer Engine'!$C$2:$C$1369,0)))</f>
        <v/>
      </c>
      <c r="O1223" s="8">
        <f>IF(ISNA(MATCH(1214,'Transfer Engine'!$C$2:$C$1369,0)),"",HYPERLINK(INDEX('Compliance Database'!$O$2:$O$1369,MATCH(1214,'Transfer Engine'!$C$2:$C$1369,0)),"Open PDF"))</f>
        <v/>
      </c>
    </row>
    <row r="1224" ht="188" customHeight="1">
      <c r="A1224" s="8">
        <f>IF(ISNA(MATCH(1215,'Transfer Engine'!$C$2:$C$1369,0)),"",INDEX('Compliance Database'!$A$2:$A$1369,MATCH(1215,'Transfer Engine'!$C$2:$C$1369,0)))</f>
        <v/>
      </c>
      <c r="B1224" s="8">
        <f>IF(ISNA(MATCH(1215,'Transfer Engine'!$C$2:$C$1369,0)),"",INDEX('Compliance Database'!$B$2:$B$1369,MATCH(1215,'Transfer Engine'!$C$2:$C$1369,0)))</f>
        <v/>
      </c>
      <c r="C1224" s="8">
        <f>IF(ISNA(MATCH(1215,'Transfer Engine'!$C$2:$C$1369,0)),"",INDEX('Compliance Database'!$C$2:$C$1369,MATCH(1215,'Transfer Engine'!$C$2:$C$1369,0)))</f>
        <v/>
      </c>
      <c r="D1224" s="9">
        <f>IF(ISNA(MATCH(1215,'Transfer Engine'!$C$2:$C$1369,0)),"",INDEX('Compliance Database'!$D$2:$D$1369,MATCH(1215,'Transfer Engine'!$C$2:$C$1369,0)))</f>
        <v/>
      </c>
      <c r="E1224" s="8">
        <f>IF(ISNA(MATCH(1215,'Transfer Engine'!$C$2:$C$1369,0)),"",INDEX('Compliance Database'!$E$2:$E$1369,MATCH(1215,'Transfer Engine'!$C$2:$C$1369,0)))</f>
        <v/>
      </c>
      <c r="F1224" s="8">
        <f>IF(ISNA(MATCH(1215,'Transfer Engine'!$C$2:$C$1369,0)),"",INDEX('Compliance Database'!$F$2:$F$1369,MATCH(1215,'Transfer Engine'!$C$2:$C$1369,0)))</f>
        <v/>
      </c>
      <c r="G1224" s="8">
        <f>IF(ISNA(MATCH(1215,'Transfer Engine'!$C$2:$C$1369,0)),"",INDEX('Compliance Database'!$G$2:$G$1369,MATCH(1215,'Transfer Engine'!$C$2:$C$1369,0)))</f>
        <v/>
      </c>
      <c r="H1224" s="9">
        <f>IF(ISNA(MATCH(1215,'Transfer Engine'!$C$2:$C$1369,0)),"",INDEX('Compliance Database'!$H$2:$H$1369,MATCH(1215,'Transfer Engine'!$C$2:$C$1369,0)))</f>
        <v/>
      </c>
      <c r="I1224" s="9">
        <f>IF(ISNA(MATCH(1215,'Transfer Engine'!$C$2:$C$1369,0)),"",INDEX('Compliance Database'!$I$2:$I$1369,MATCH(1215,'Transfer Engine'!$C$2:$C$1369,0)))</f>
        <v/>
      </c>
      <c r="J1224" s="8">
        <f>IF(ISNA(MATCH(1215,'Transfer Engine'!$C$2:$C$1369,0)),"",INDEX('Compliance Database'!$J$2:$J$1369,MATCH(1215,'Transfer Engine'!$C$2:$C$1369,0)))</f>
        <v/>
      </c>
      <c r="K1224" s="9">
        <f>IF(ISNA(MATCH(1215,'Transfer Engine'!$C$2:$C$1369,0)),"",INDEX('Compliance Database'!$K$2:$K$1369,MATCH(1215,'Transfer Engine'!$C$2:$C$1369,0)))</f>
        <v/>
      </c>
      <c r="L1224" s="9">
        <f>IF(ISNA(MATCH(1215,'Transfer Engine'!$C$2:$C$1369,0)),"",INDEX('Compliance Database'!$L$2:$L$1369,MATCH(1215,'Transfer Engine'!$C$2:$C$1369,0)))</f>
        <v/>
      </c>
      <c r="M1224" s="9">
        <f>IF(ISNA(MATCH(1215,'Transfer Engine'!$C$2:$C$1369,0)),"",INDEX('Compliance Database'!$M$2:$M$1369,MATCH(1215,'Transfer Engine'!$C$2:$C$1369,0)))</f>
        <v/>
      </c>
      <c r="N1224" s="9">
        <f>IF(ISNA(MATCH(1215,'Transfer Engine'!$C$2:$C$1369,0)),"",INDEX('Compliance Database'!$N$2:$N$1369,MATCH(1215,'Transfer Engine'!$C$2:$C$1369,0)))</f>
        <v/>
      </c>
      <c r="O1224" s="8">
        <f>IF(ISNA(MATCH(1215,'Transfer Engine'!$C$2:$C$1369,0)),"",HYPERLINK(INDEX('Compliance Database'!$O$2:$O$1369,MATCH(1215,'Transfer Engine'!$C$2:$C$1369,0)),"Open PDF"))</f>
        <v/>
      </c>
    </row>
    <row r="1225" ht="188" customHeight="1">
      <c r="A1225" s="8">
        <f>IF(ISNA(MATCH(1216,'Transfer Engine'!$C$2:$C$1369,0)),"",INDEX('Compliance Database'!$A$2:$A$1369,MATCH(1216,'Transfer Engine'!$C$2:$C$1369,0)))</f>
        <v/>
      </c>
      <c r="B1225" s="8">
        <f>IF(ISNA(MATCH(1216,'Transfer Engine'!$C$2:$C$1369,0)),"",INDEX('Compliance Database'!$B$2:$B$1369,MATCH(1216,'Transfer Engine'!$C$2:$C$1369,0)))</f>
        <v/>
      </c>
      <c r="C1225" s="8">
        <f>IF(ISNA(MATCH(1216,'Transfer Engine'!$C$2:$C$1369,0)),"",INDEX('Compliance Database'!$C$2:$C$1369,MATCH(1216,'Transfer Engine'!$C$2:$C$1369,0)))</f>
        <v/>
      </c>
      <c r="D1225" s="9">
        <f>IF(ISNA(MATCH(1216,'Transfer Engine'!$C$2:$C$1369,0)),"",INDEX('Compliance Database'!$D$2:$D$1369,MATCH(1216,'Transfer Engine'!$C$2:$C$1369,0)))</f>
        <v/>
      </c>
      <c r="E1225" s="8">
        <f>IF(ISNA(MATCH(1216,'Transfer Engine'!$C$2:$C$1369,0)),"",INDEX('Compliance Database'!$E$2:$E$1369,MATCH(1216,'Transfer Engine'!$C$2:$C$1369,0)))</f>
        <v/>
      </c>
      <c r="F1225" s="8">
        <f>IF(ISNA(MATCH(1216,'Transfer Engine'!$C$2:$C$1369,0)),"",INDEX('Compliance Database'!$F$2:$F$1369,MATCH(1216,'Transfer Engine'!$C$2:$C$1369,0)))</f>
        <v/>
      </c>
      <c r="G1225" s="8">
        <f>IF(ISNA(MATCH(1216,'Transfer Engine'!$C$2:$C$1369,0)),"",INDEX('Compliance Database'!$G$2:$G$1369,MATCH(1216,'Transfer Engine'!$C$2:$C$1369,0)))</f>
        <v/>
      </c>
      <c r="H1225" s="9">
        <f>IF(ISNA(MATCH(1216,'Transfer Engine'!$C$2:$C$1369,0)),"",INDEX('Compliance Database'!$H$2:$H$1369,MATCH(1216,'Transfer Engine'!$C$2:$C$1369,0)))</f>
        <v/>
      </c>
      <c r="I1225" s="9">
        <f>IF(ISNA(MATCH(1216,'Transfer Engine'!$C$2:$C$1369,0)),"",INDEX('Compliance Database'!$I$2:$I$1369,MATCH(1216,'Transfer Engine'!$C$2:$C$1369,0)))</f>
        <v/>
      </c>
      <c r="J1225" s="8">
        <f>IF(ISNA(MATCH(1216,'Transfer Engine'!$C$2:$C$1369,0)),"",INDEX('Compliance Database'!$J$2:$J$1369,MATCH(1216,'Transfer Engine'!$C$2:$C$1369,0)))</f>
        <v/>
      </c>
      <c r="K1225" s="9">
        <f>IF(ISNA(MATCH(1216,'Transfer Engine'!$C$2:$C$1369,0)),"",INDEX('Compliance Database'!$K$2:$K$1369,MATCH(1216,'Transfer Engine'!$C$2:$C$1369,0)))</f>
        <v/>
      </c>
      <c r="L1225" s="9">
        <f>IF(ISNA(MATCH(1216,'Transfer Engine'!$C$2:$C$1369,0)),"",INDEX('Compliance Database'!$L$2:$L$1369,MATCH(1216,'Transfer Engine'!$C$2:$C$1369,0)))</f>
        <v/>
      </c>
      <c r="M1225" s="9">
        <f>IF(ISNA(MATCH(1216,'Transfer Engine'!$C$2:$C$1369,0)),"",INDEX('Compliance Database'!$M$2:$M$1369,MATCH(1216,'Transfer Engine'!$C$2:$C$1369,0)))</f>
        <v/>
      </c>
      <c r="N1225" s="9">
        <f>IF(ISNA(MATCH(1216,'Transfer Engine'!$C$2:$C$1369,0)),"",INDEX('Compliance Database'!$N$2:$N$1369,MATCH(1216,'Transfer Engine'!$C$2:$C$1369,0)))</f>
        <v/>
      </c>
      <c r="O1225" s="8">
        <f>IF(ISNA(MATCH(1216,'Transfer Engine'!$C$2:$C$1369,0)),"",HYPERLINK(INDEX('Compliance Database'!$O$2:$O$1369,MATCH(1216,'Transfer Engine'!$C$2:$C$1369,0)),"Open PDF"))</f>
        <v/>
      </c>
    </row>
    <row r="1226" ht="188" customHeight="1">
      <c r="A1226" s="8">
        <f>IF(ISNA(MATCH(1217,'Transfer Engine'!$C$2:$C$1369,0)),"",INDEX('Compliance Database'!$A$2:$A$1369,MATCH(1217,'Transfer Engine'!$C$2:$C$1369,0)))</f>
        <v/>
      </c>
      <c r="B1226" s="8">
        <f>IF(ISNA(MATCH(1217,'Transfer Engine'!$C$2:$C$1369,0)),"",INDEX('Compliance Database'!$B$2:$B$1369,MATCH(1217,'Transfer Engine'!$C$2:$C$1369,0)))</f>
        <v/>
      </c>
      <c r="C1226" s="8">
        <f>IF(ISNA(MATCH(1217,'Transfer Engine'!$C$2:$C$1369,0)),"",INDEX('Compliance Database'!$C$2:$C$1369,MATCH(1217,'Transfer Engine'!$C$2:$C$1369,0)))</f>
        <v/>
      </c>
      <c r="D1226" s="9">
        <f>IF(ISNA(MATCH(1217,'Transfer Engine'!$C$2:$C$1369,0)),"",INDEX('Compliance Database'!$D$2:$D$1369,MATCH(1217,'Transfer Engine'!$C$2:$C$1369,0)))</f>
        <v/>
      </c>
      <c r="E1226" s="8">
        <f>IF(ISNA(MATCH(1217,'Transfer Engine'!$C$2:$C$1369,0)),"",INDEX('Compliance Database'!$E$2:$E$1369,MATCH(1217,'Transfer Engine'!$C$2:$C$1369,0)))</f>
        <v/>
      </c>
      <c r="F1226" s="8">
        <f>IF(ISNA(MATCH(1217,'Transfer Engine'!$C$2:$C$1369,0)),"",INDEX('Compliance Database'!$F$2:$F$1369,MATCH(1217,'Transfer Engine'!$C$2:$C$1369,0)))</f>
        <v/>
      </c>
      <c r="G1226" s="8">
        <f>IF(ISNA(MATCH(1217,'Transfer Engine'!$C$2:$C$1369,0)),"",INDEX('Compliance Database'!$G$2:$G$1369,MATCH(1217,'Transfer Engine'!$C$2:$C$1369,0)))</f>
        <v/>
      </c>
      <c r="H1226" s="9">
        <f>IF(ISNA(MATCH(1217,'Transfer Engine'!$C$2:$C$1369,0)),"",INDEX('Compliance Database'!$H$2:$H$1369,MATCH(1217,'Transfer Engine'!$C$2:$C$1369,0)))</f>
        <v/>
      </c>
      <c r="I1226" s="9">
        <f>IF(ISNA(MATCH(1217,'Transfer Engine'!$C$2:$C$1369,0)),"",INDEX('Compliance Database'!$I$2:$I$1369,MATCH(1217,'Transfer Engine'!$C$2:$C$1369,0)))</f>
        <v/>
      </c>
      <c r="J1226" s="8">
        <f>IF(ISNA(MATCH(1217,'Transfer Engine'!$C$2:$C$1369,0)),"",INDEX('Compliance Database'!$J$2:$J$1369,MATCH(1217,'Transfer Engine'!$C$2:$C$1369,0)))</f>
        <v/>
      </c>
      <c r="K1226" s="9">
        <f>IF(ISNA(MATCH(1217,'Transfer Engine'!$C$2:$C$1369,0)),"",INDEX('Compliance Database'!$K$2:$K$1369,MATCH(1217,'Transfer Engine'!$C$2:$C$1369,0)))</f>
        <v/>
      </c>
      <c r="L1226" s="9">
        <f>IF(ISNA(MATCH(1217,'Transfer Engine'!$C$2:$C$1369,0)),"",INDEX('Compliance Database'!$L$2:$L$1369,MATCH(1217,'Transfer Engine'!$C$2:$C$1369,0)))</f>
        <v/>
      </c>
      <c r="M1226" s="9">
        <f>IF(ISNA(MATCH(1217,'Transfer Engine'!$C$2:$C$1369,0)),"",INDEX('Compliance Database'!$M$2:$M$1369,MATCH(1217,'Transfer Engine'!$C$2:$C$1369,0)))</f>
        <v/>
      </c>
      <c r="N1226" s="9">
        <f>IF(ISNA(MATCH(1217,'Transfer Engine'!$C$2:$C$1369,0)),"",INDEX('Compliance Database'!$N$2:$N$1369,MATCH(1217,'Transfer Engine'!$C$2:$C$1369,0)))</f>
        <v/>
      </c>
      <c r="O1226" s="8">
        <f>IF(ISNA(MATCH(1217,'Transfer Engine'!$C$2:$C$1369,0)),"",HYPERLINK(INDEX('Compliance Database'!$O$2:$O$1369,MATCH(1217,'Transfer Engine'!$C$2:$C$1369,0)),"Open PDF"))</f>
        <v/>
      </c>
    </row>
    <row r="1227" ht="188" customHeight="1">
      <c r="A1227" s="8">
        <f>IF(ISNA(MATCH(1218,'Transfer Engine'!$C$2:$C$1369,0)),"",INDEX('Compliance Database'!$A$2:$A$1369,MATCH(1218,'Transfer Engine'!$C$2:$C$1369,0)))</f>
        <v/>
      </c>
      <c r="B1227" s="8">
        <f>IF(ISNA(MATCH(1218,'Transfer Engine'!$C$2:$C$1369,0)),"",INDEX('Compliance Database'!$B$2:$B$1369,MATCH(1218,'Transfer Engine'!$C$2:$C$1369,0)))</f>
        <v/>
      </c>
      <c r="C1227" s="8">
        <f>IF(ISNA(MATCH(1218,'Transfer Engine'!$C$2:$C$1369,0)),"",INDEX('Compliance Database'!$C$2:$C$1369,MATCH(1218,'Transfer Engine'!$C$2:$C$1369,0)))</f>
        <v/>
      </c>
      <c r="D1227" s="9">
        <f>IF(ISNA(MATCH(1218,'Transfer Engine'!$C$2:$C$1369,0)),"",INDEX('Compliance Database'!$D$2:$D$1369,MATCH(1218,'Transfer Engine'!$C$2:$C$1369,0)))</f>
        <v/>
      </c>
      <c r="E1227" s="8">
        <f>IF(ISNA(MATCH(1218,'Transfer Engine'!$C$2:$C$1369,0)),"",INDEX('Compliance Database'!$E$2:$E$1369,MATCH(1218,'Transfer Engine'!$C$2:$C$1369,0)))</f>
        <v/>
      </c>
      <c r="F1227" s="8">
        <f>IF(ISNA(MATCH(1218,'Transfer Engine'!$C$2:$C$1369,0)),"",INDEX('Compliance Database'!$F$2:$F$1369,MATCH(1218,'Transfer Engine'!$C$2:$C$1369,0)))</f>
        <v/>
      </c>
      <c r="G1227" s="8">
        <f>IF(ISNA(MATCH(1218,'Transfer Engine'!$C$2:$C$1369,0)),"",INDEX('Compliance Database'!$G$2:$G$1369,MATCH(1218,'Transfer Engine'!$C$2:$C$1369,0)))</f>
        <v/>
      </c>
      <c r="H1227" s="9">
        <f>IF(ISNA(MATCH(1218,'Transfer Engine'!$C$2:$C$1369,0)),"",INDEX('Compliance Database'!$H$2:$H$1369,MATCH(1218,'Transfer Engine'!$C$2:$C$1369,0)))</f>
        <v/>
      </c>
      <c r="I1227" s="9">
        <f>IF(ISNA(MATCH(1218,'Transfer Engine'!$C$2:$C$1369,0)),"",INDEX('Compliance Database'!$I$2:$I$1369,MATCH(1218,'Transfer Engine'!$C$2:$C$1369,0)))</f>
        <v/>
      </c>
      <c r="J1227" s="8">
        <f>IF(ISNA(MATCH(1218,'Transfer Engine'!$C$2:$C$1369,0)),"",INDEX('Compliance Database'!$J$2:$J$1369,MATCH(1218,'Transfer Engine'!$C$2:$C$1369,0)))</f>
        <v/>
      </c>
      <c r="K1227" s="9">
        <f>IF(ISNA(MATCH(1218,'Transfer Engine'!$C$2:$C$1369,0)),"",INDEX('Compliance Database'!$K$2:$K$1369,MATCH(1218,'Transfer Engine'!$C$2:$C$1369,0)))</f>
        <v/>
      </c>
      <c r="L1227" s="9">
        <f>IF(ISNA(MATCH(1218,'Transfer Engine'!$C$2:$C$1369,0)),"",INDEX('Compliance Database'!$L$2:$L$1369,MATCH(1218,'Transfer Engine'!$C$2:$C$1369,0)))</f>
        <v/>
      </c>
      <c r="M1227" s="9">
        <f>IF(ISNA(MATCH(1218,'Transfer Engine'!$C$2:$C$1369,0)),"",INDEX('Compliance Database'!$M$2:$M$1369,MATCH(1218,'Transfer Engine'!$C$2:$C$1369,0)))</f>
        <v/>
      </c>
      <c r="N1227" s="9">
        <f>IF(ISNA(MATCH(1218,'Transfer Engine'!$C$2:$C$1369,0)),"",INDEX('Compliance Database'!$N$2:$N$1369,MATCH(1218,'Transfer Engine'!$C$2:$C$1369,0)))</f>
        <v/>
      </c>
      <c r="O1227" s="8">
        <f>IF(ISNA(MATCH(1218,'Transfer Engine'!$C$2:$C$1369,0)),"",HYPERLINK(INDEX('Compliance Database'!$O$2:$O$1369,MATCH(1218,'Transfer Engine'!$C$2:$C$1369,0)),"Open PDF"))</f>
        <v/>
      </c>
    </row>
    <row r="1228" ht="188" customHeight="1">
      <c r="A1228" s="8">
        <f>IF(ISNA(MATCH(1219,'Transfer Engine'!$C$2:$C$1369,0)),"",INDEX('Compliance Database'!$A$2:$A$1369,MATCH(1219,'Transfer Engine'!$C$2:$C$1369,0)))</f>
        <v/>
      </c>
      <c r="B1228" s="8">
        <f>IF(ISNA(MATCH(1219,'Transfer Engine'!$C$2:$C$1369,0)),"",INDEX('Compliance Database'!$B$2:$B$1369,MATCH(1219,'Transfer Engine'!$C$2:$C$1369,0)))</f>
        <v/>
      </c>
      <c r="C1228" s="8">
        <f>IF(ISNA(MATCH(1219,'Transfer Engine'!$C$2:$C$1369,0)),"",INDEX('Compliance Database'!$C$2:$C$1369,MATCH(1219,'Transfer Engine'!$C$2:$C$1369,0)))</f>
        <v/>
      </c>
      <c r="D1228" s="9">
        <f>IF(ISNA(MATCH(1219,'Transfer Engine'!$C$2:$C$1369,0)),"",INDEX('Compliance Database'!$D$2:$D$1369,MATCH(1219,'Transfer Engine'!$C$2:$C$1369,0)))</f>
        <v/>
      </c>
      <c r="E1228" s="8">
        <f>IF(ISNA(MATCH(1219,'Transfer Engine'!$C$2:$C$1369,0)),"",INDEX('Compliance Database'!$E$2:$E$1369,MATCH(1219,'Transfer Engine'!$C$2:$C$1369,0)))</f>
        <v/>
      </c>
      <c r="F1228" s="8">
        <f>IF(ISNA(MATCH(1219,'Transfer Engine'!$C$2:$C$1369,0)),"",INDEX('Compliance Database'!$F$2:$F$1369,MATCH(1219,'Transfer Engine'!$C$2:$C$1369,0)))</f>
        <v/>
      </c>
      <c r="G1228" s="8">
        <f>IF(ISNA(MATCH(1219,'Transfer Engine'!$C$2:$C$1369,0)),"",INDEX('Compliance Database'!$G$2:$G$1369,MATCH(1219,'Transfer Engine'!$C$2:$C$1369,0)))</f>
        <v/>
      </c>
      <c r="H1228" s="9">
        <f>IF(ISNA(MATCH(1219,'Transfer Engine'!$C$2:$C$1369,0)),"",INDEX('Compliance Database'!$H$2:$H$1369,MATCH(1219,'Transfer Engine'!$C$2:$C$1369,0)))</f>
        <v/>
      </c>
      <c r="I1228" s="9">
        <f>IF(ISNA(MATCH(1219,'Transfer Engine'!$C$2:$C$1369,0)),"",INDEX('Compliance Database'!$I$2:$I$1369,MATCH(1219,'Transfer Engine'!$C$2:$C$1369,0)))</f>
        <v/>
      </c>
      <c r="J1228" s="8">
        <f>IF(ISNA(MATCH(1219,'Transfer Engine'!$C$2:$C$1369,0)),"",INDEX('Compliance Database'!$J$2:$J$1369,MATCH(1219,'Transfer Engine'!$C$2:$C$1369,0)))</f>
        <v/>
      </c>
      <c r="K1228" s="9">
        <f>IF(ISNA(MATCH(1219,'Transfer Engine'!$C$2:$C$1369,0)),"",INDEX('Compliance Database'!$K$2:$K$1369,MATCH(1219,'Transfer Engine'!$C$2:$C$1369,0)))</f>
        <v/>
      </c>
      <c r="L1228" s="9">
        <f>IF(ISNA(MATCH(1219,'Transfer Engine'!$C$2:$C$1369,0)),"",INDEX('Compliance Database'!$L$2:$L$1369,MATCH(1219,'Transfer Engine'!$C$2:$C$1369,0)))</f>
        <v/>
      </c>
      <c r="M1228" s="9">
        <f>IF(ISNA(MATCH(1219,'Transfer Engine'!$C$2:$C$1369,0)),"",INDEX('Compliance Database'!$M$2:$M$1369,MATCH(1219,'Transfer Engine'!$C$2:$C$1369,0)))</f>
        <v/>
      </c>
      <c r="N1228" s="9">
        <f>IF(ISNA(MATCH(1219,'Transfer Engine'!$C$2:$C$1369,0)),"",INDEX('Compliance Database'!$N$2:$N$1369,MATCH(1219,'Transfer Engine'!$C$2:$C$1369,0)))</f>
        <v/>
      </c>
      <c r="O1228" s="8">
        <f>IF(ISNA(MATCH(1219,'Transfer Engine'!$C$2:$C$1369,0)),"",HYPERLINK(INDEX('Compliance Database'!$O$2:$O$1369,MATCH(1219,'Transfer Engine'!$C$2:$C$1369,0)),"Open PDF"))</f>
        <v/>
      </c>
    </row>
    <row r="1229" ht="188" customHeight="1">
      <c r="A1229" s="8">
        <f>IF(ISNA(MATCH(1220,'Transfer Engine'!$C$2:$C$1369,0)),"",INDEX('Compliance Database'!$A$2:$A$1369,MATCH(1220,'Transfer Engine'!$C$2:$C$1369,0)))</f>
        <v/>
      </c>
      <c r="B1229" s="8">
        <f>IF(ISNA(MATCH(1220,'Transfer Engine'!$C$2:$C$1369,0)),"",INDEX('Compliance Database'!$B$2:$B$1369,MATCH(1220,'Transfer Engine'!$C$2:$C$1369,0)))</f>
        <v/>
      </c>
      <c r="C1229" s="8">
        <f>IF(ISNA(MATCH(1220,'Transfer Engine'!$C$2:$C$1369,0)),"",INDEX('Compliance Database'!$C$2:$C$1369,MATCH(1220,'Transfer Engine'!$C$2:$C$1369,0)))</f>
        <v/>
      </c>
      <c r="D1229" s="9">
        <f>IF(ISNA(MATCH(1220,'Transfer Engine'!$C$2:$C$1369,0)),"",INDEX('Compliance Database'!$D$2:$D$1369,MATCH(1220,'Transfer Engine'!$C$2:$C$1369,0)))</f>
        <v/>
      </c>
      <c r="E1229" s="8">
        <f>IF(ISNA(MATCH(1220,'Transfer Engine'!$C$2:$C$1369,0)),"",INDEX('Compliance Database'!$E$2:$E$1369,MATCH(1220,'Transfer Engine'!$C$2:$C$1369,0)))</f>
        <v/>
      </c>
      <c r="F1229" s="8">
        <f>IF(ISNA(MATCH(1220,'Transfer Engine'!$C$2:$C$1369,0)),"",INDEX('Compliance Database'!$F$2:$F$1369,MATCH(1220,'Transfer Engine'!$C$2:$C$1369,0)))</f>
        <v/>
      </c>
      <c r="G1229" s="8">
        <f>IF(ISNA(MATCH(1220,'Transfer Engine'!$C$2:$C$1369,0)),"",INDEX('Compliance Database'!$G$2:$G$1369,MATCH(1220,'Transfer Engine'!$C$2:$C$1369,0)))</f>
        <v/>
      </c>
      <c r="H1229" s="9">
        <f>IF(ISNA(MATCH(1220,'Transfer Engine'!$C$2:$C$1369,0)),"",INDEX('Compliance Database'!$H$2:$H$1369,MATCH(1220,'Transfer Engine'!$C$2:$C$1369,0)))</f>
        <v/>
      </c>
      <c r="I1229" s="9">
        <f>IF(ISNA(MATCH(1220,'Transfer Engine'!$C$2:$C$1369,0)),"",INDEX('Compliance Database'!$I$2:$I$1369,MATCH(1220,'Transfer Engine'!$C$2:$C$1369,0)))</f>
        <v/>
      </c>
      <c r="J1229" s="8">
        <f>IF(ISNA(MATCH(1220,'Transfer Engine'!$C$2:$C$1369,0)),"",INDEX('Compliance Database'!$J$2:$J$1369,MATCH(1220,'Transfer Engine'!$C$2:$C$1369,0)))</f>
        <v/>
      </c>
      <c r="K1229" s="9">
        <f>IF(ISNA(MATCH(1220,'Transfer Engine'!$C$2:$C$1369,0)),"",INDEX('Compliance Database'!$K$2:$K$1369,MATCH(1220,'Transfer Engine'!$C$2:$C$1369,0)))</f>
        <v/>
      </c>
      <c r="L1229" s="9">
        <f>IF(ISNA(MATCH(1220,'Transfer Engine'!$C$2:$C$1369,0)),"",INDEX('Compliance Database'!$L$2:$L$1369,MATCH(1220,'Transfer Engine'!$C$2:$C$1369,0)))</f>
        <v/>
      </c>
      <c r="M1229" s="9">
        <f>IF(ISNA(MATCH(1220,'Transfer Engine'!$C$2:$C$1369,0)),"",INDEX('Compliance Database'!$M$2:$M$1369,MATCH(1220,'Transfer Engine'!$C$2:$C$1369,0)))</f>
        <v/>
      </c>
      <c r="N1229" s="9">
        <f>IF(ISNA(MATCH(1220,'Transfer Engine'!$C$2:$C$1369,0)),"",INDEX('Compliance Database'!$N$2:$N$1369,MATCH(1220,'Transfer Engine'!$C$2:$C$1369,0)))</f>
        <v/>
      </c>
      <c r="O1229" s="8">
        <f>IF(ISNA(MATCH(1220,'Transfer Engine'!$C$2:$C$1369,0)),"",HYPERLINK(INDEX('Compliance Database'!$O$2:$O$1369,MATCH(1220,'Transfer Engine'!$C$2:$C$1369,0)),"Open PDF"))</f>
        <v/>
      </c>
    </row>
    <row r="1230" ht="188" customHeight="1">
      <c r="A1230" s="8">
        <f>IF(ISNA(MATCH(1221,'Transfer Engine'!$C$2:$C$1369,0)),"",INDEX('Compliance Database'!$A$2:$A$1369,MATCH(1221,'Transfer Engine'!$C$2:$C$1369,0)))</f>
        <v/>
      </c>
      <c r="B1230" s="8">
        <f>IF(ISNA(MATCH(1221,'Transfer Engine'!$C$2:$C$1369,0)),"",INDEX('Compliance Database'!$B$2:$B$1369,MATCH(1221,'Transfer Engine'!$C$2:$C$1369,0)))</f>
        <v/>
      </c>
      <c r="C1230" s="8">
        <f>IF(ISNA(MATCH(1221,'Transfer Engine'!$C$2:$C$1369,0)),"",INDEX('Compliance Database'!$C$2:$C$1369,MATCH(1221,'Transfer Engine'!$C$2:$C$1369,0)))</f>
        <v/>
      </c>
      <c r="D1230" s="9">
        <f>IF(ISNA(MATCH(1221,'Transfer Engine'!$C$2:$C$1369,0)),"",INDEX('Compliance Database'!$D$2:$D$1369,MATCH(1221,'Transfer Engine'!$C$2:$C$1369,0)))</f>
        <v/>
      </c>
      <c r="E1230" s="8">
        <f>IF(ISNA(MATCH(1221,'Transfer Engine'!$C$2:$C$1369,0)),"",INDEX('Compliance Database'!$E$2:$E$1369,MATCH(1221,'Transfer Engine'!$C$2:$C$1369,0)))</f>
        <v/>
      </c>
      <c r="F1230" s="8">
        <f>IF(ISNA(MATCH(1221,'Transfer Engine'!$C$2:$C$1369,0)),"",INDEX('Compliance Database'!$F$2:$F$1369,MATCH(1221,'Transfer Engine'!$C$2:$C$1369,0)))</f>
        <v/>
      </c>
      <c r="G1230" s="8">
        <f>IF(ISNA(MATCH(1221,'Transfer Engine'!$C$2:$C$1369,0)),"",INDEX('Compliance Database'!$G$2:$G$1369,MATCH(1221,'Transfer Engine'!$C$2:$C$1369,0)))</f>
        <v/>
      </c>
      <c r="H1230" s="9">
        <f>IF(ISNA(MATCH(1221,'Transfer Engine'!$C$2:$C$1369,0)),"",INDEX('Compliance Database'!$H$2:$H$1369,MATCH(1221,'Transfer Engine'!$C$2:$C$1369,0)))</f>
        <v/>
      </c>
      <c r="I1230" s="9">
        <f>IF(ISNA(MATCH(1221,'Transfer Engine'!$C$2:$C$1369,0)),"",INDEX('Compliance Database'!$I$2:$I$1369,MATCH(1221,'Transfer Engine'!$C$2:$C$1369,0)))</f>
        <v/>
      </c>
      <c r="J1230" s="8">
        <f>IF(ISNA(MATCH(1221,'Transfer Engine'!$C$2:$C$1369,0)),"",INDEX('Compliance Database'!$J$2:$J$1369,MATCH(1221,'Transfer Engine'!$C$2:$C$1369,0)))</f>
        <v/>
      </c>
      <c r="K1230" s="9">
        <f>IF(ISNA(MATCH(1221,'Transfer Engine'!$C$2:$C$1369,0)),"",INDEX('Compliance Database'!$K$2:$K$1369,MATCH(1221,'Transfer Engine'!$C$2:$C$1369,0)))</f>
        <v/>
      </c>
      <c r="L1230" s="9">
        <f>IF(ISNA(MATCH(1221,'Transfer Engine'!$C$2:$C$1369,0)),"",INDEX('Compliance Database'!$L$2:$L$1369,MATCH(1221,'Transfer Engine'!$C$2:$C$1369,0)))</f>
        <v/>
      </c>
      <c r="M1230" s="9">
        <f>IF(ISNA(MATCH(1221,'Transfer Engine'!$C$2:$C$1369,0)),"",INDEX('Compliance Database'!$M$2:$M$1369,MATCH(1221,'Transfer Engine'!$C$2:$C$1369,0)))</f>
        <v/>
      </c>
      <c r="N1230" s="9">
        <f>IF(ISNA(MATCH(1221,'Transfer Engine'!$C$2:$C$1369,0)),"",INDEX('Compliance Database'!$N$2:$N$1369,MATCH(1221,'Transfer Engine'!$C$2:$C$1369,0)))</f>
        <v/>
      </c>
      <c r="O1230" s="8">
        <f>IF(ISNA(MATCH(1221,'Transfer Engine'!$C$2:$C$1369,0)),"",HYPERLINK(INDEX('Compliance Database'!$O$2:$O$1369,MATCH(1221,'Transfer Engine'!$C$2:$C$1369,0)),"Open PDF"))</f>
        <v/>
      </c>
    </row>
    <row r="1231" ht="188" customHeight="1">
      <c r="A1231" s="8">
        <f>IF(ISNA(MATCH(1222,'Transfer Engine'!$C$2:$C$1369,0)),"",INDEX('Compliance Database'!$A$2:$A$1369,MATCH(1222,'Transfer Engine'!$C$2:$C$1369,0)))</f>
        <v/>
      </c>
      <c r="B1231" s="8">
        <f>IF(ISNA(MATCH(1222,'Transfer Engine'!$C$2:$C$1369,0)),"",INDEX('Compliance Database'!$B$2:$B$1369,MATCH(1222,'Transfer Engine'!$C$2:$C$1369,0)))</f>
        <v/>
      </c>
      <c r="C1231" s="8">
        <f>IF(ISNA(MATCH(1222,'Transfer Engine'!$C$2:$C$1369,0)),"",INDEX('Compliance Database'!$C$2:$C$1369,MATCH(1222,'Transfer Engine'!$C$2:$C$1369,0)))</f>
        <v/>
      </c>
      <c r="D1231" s="9">
        <f>IF(ISNA(MATCH(1222,'Transfer Engine'!$C$2:$C$1369,0)),"",INDEX('Compliance Database'!$D$2:$D$1369,MATCH(1222,'Transfer Engine'!$C$2:$C$1369,0)))</f>
        <v/>
      </c>
      <c r="E1231" s="8">
        <f>IF(ISNA(MATCH(1222,'Transfer Engine'!$C$2:$C$1369,0)),"",INDEX('Compliance Database'!$E$2:$E$1369,MATCH(1222,'Transfer Engine'!$C$2:$C$1369,0)))</f>
        <v/>
      </c>
      <c r="F1231" s="8">
        <f>IF(ISNA(MATCH(1222,'Transfer Engine'!$C$2:$C$1369,0)),"",INDEX('Compliance Database'!$F$2:$F$1369,MATCH(1222,'Transfer Engine'!$C$2:$C$1369,0)))</f>
        <v/>
      </c>
      <c r="G1231" s="8">
        <f>IF(ISNA(MATCH(1222,'Transfer Engine'!$C$2:$C$1369,0)),"",INDEX('Compliance Database'!$G$2:$G$1369,MATCH(1222,'Transfer Engine'!$C$2:$C$1369,0)))</f>
        <v/>
      </c>
      <c r="H1231" s="9">
        <f>IF(ISNA(MATCH(1222,'Transfer Engine'!$C$2:$C$1369,0)),"",INDEX('Compliance Database'!$H$2:$H$1369,MATCH(1222,'Transfer Engine'!$C$2:$C$1369,0)))</f>
        <v/>
      </c>
      <c r="I1231" s="9">
        <f>IF(ISNA(MATCH(1222,'Transfer Engine'!$C$2:$C$1369,0)),"",INDEX('Compliance Database'!$I$2:$I$1369,MATCH(1222,'Transfer Engine'!$C$2:$C$1369,0)))</f>
        <v/>
      </c>
      <c r="J1231" s="8">
        <f>IF(ISNA(MATCH(1222,'Transfer Engine'!$C$2:$C$1369,0)),"",INDEX('Compliance Database'!$J$2:$J$1369,MATCH(1222,'Transfer Engine'!$C$2:$C$1369,0)))</f>
        <v/>
      </c>
      <c r="K1231" s="9">
        <f>IF(ISNA(MATCH(1222,'Transfer Engine'!$C$2:$C$1369,0)),"",INDEX('Compliance Database'!$K$2:$K$1369,MATCH(1222,'Transfer Engine'!$C$2:$C$1369,0)))</f>
        <v/>
      </c>
      <c r="L1231" s="9">
        <f>IF(ISNA(MATCH(1222,'Transfer Engine'!$C$2:$C$1369,0)),"",INDEX('Compliance Database'!$L$2:$L$1369,MATCH(1222,'Transfer Engine'!$C$2:$C$1369,0)))</f>
        <v/>
      </c>
      <c r="M1231" s="9">
        <f>IF(ISNA(MATCH(1222,'Transfer Engine'!$C$2:$C$1369,0)),"",INDEX('Compliance Database'!$M$2:$M$1369,MATCH(1222,'Transfer Engine'!$C$2:$C$1369,0)))</f>
        <v/>
      </c>
      <c r="N1231" s="9">
        <f>IF(ISNA(MATCH(1222,'Transfer Engine'!$C$2:$C$1369,0)),"",INDEX('Compliance Database'!$N$2:$N$1369,MATCH(1222,'Transfer Engine'!$C$2:$C$1369,0)))</f>
        <v/>
      </c>
      <c r="O1231" s="8">
        <f>IF(ISNA(MATCH(1222,'Transfer Engine'!$C$2:$C$1369,0)),"",HYPERLINK(INDEX('Compliance Database'!$O$2:$O$1369,MATCH(1222,'Transfer Engine'!$C$2:$C$1369,0)),"Open PDF"))</f>
        <v/>
      </c>
    </row>
    <row r="1232" ht="188" customHeight="1">
      <c r="A1232" s="8">
        <f>IF(ISNA(MATCH(1223,'Transfer Engine'!$C$2:$C$1369,0)),"",INDEX('Compliance Database'!$A$2:$A$1369,MATCH(1223,'Transfer Engine'!$C$2:$C$1369,0)))</f>
        <v/>
      </c>
      <c r="B1232" s="8">
        <f>IF(ISNA(MATCH(1223,'Transfer Engine'!$C$2:$C$1369,0)),"",INDEX('Compliance Database'!$B$2:$B$1369,MATCH(1223,'Transfer Engine'!$C$2:$C$1369,0)))</f>
        <v/>
      </c>
      <c r="C1232" s="8">
        <f>IF(ISNA(MATCH(1223,'Transfer Engine'!$C$2:$C$1369,0)),"",INDEX('Compliance Database'!$C$2:$C$1369,MATCH(1223,'Transfer Engine'!$C$2:$C$1369,0)))</f>
        <v/>
      </c>
      <c r="D1232" s="9">
        <f>IF(ISNA(MATCH(1223,'Transfer Engine'!$C$2:$C$1369,0)),"",INDEX('Compliance Database'!$D$2:$D$1369,MATCH(1223,'Transfer Engine'!$C$2:$C$1369,0)))</f>
        <v/>
      </c>
      <c r="E1232" s="8">
        <f>IF(ISNA(MATCH(1223,'Transfer Engine'!$C$2:$C$1369,0)),"",INDEX('Compliance Database'!$E$2:$E$1369,MATCH(1223,'Transfer Engine'!$C$2:$C$1369,0)))</f>
        <v/>
      </c>
      <c r="F1232" s="8">
        <f>IF(ISNA(MATCH(1223,'Transfer Engine'!$C$2:$C$1369,0)),"",INDEX('Compliance Database'!$F$2:$F$1369,MATCH(1223,'Transfer Engine'!$C$2:$C$1369,0)))</f>
        <v/>
      </c>
      <c r="G1232" s="8">
        <f>IF(ISNA(MATCH(1223,'Transfer Engine'!$C$2:$C$1369,0)),"",INDEX('Compliance Database'!$G$2:$G$1369,MATCH(1223,'Transfer Engine'!$C$2:$C$1369,0)))</f>
        <v/>
      </c>
      <c r="H1232" s="9">
        <f>IF(ISNA(MATCH(1223,'Transfer Engine'!$C$2:$C$1369,0)),"",INDEX('Compliance Database'!$H$2:$H$1369,MATCH(1223,'Transfer Engine'!$C$2:$C$1369,0)))</f>
        <v/>
      </c>
      <c r="I1232" s="9">
        <f>IF(ISNA(MATCH(1223,'Transfer Engine'!$C$2:$C$1369,0)),"",INDEX('Compliance Database'!$I$2:$I$1369,MATCH(1223,'Transfer Engine'!$C$2:$C$1369,0)))</f>
        <v/>
      </c>
      <c r="J1232" s="8">
        <f>IF(ISNA(MATCH(1223,'Transfer Engine'!$C$2:$C$1369,0)),"",INDEX('Compliance Database'!$J$2:$J$1369,MATCH(1223,'Transfer Engine'!$C$2:$C$1369,0)))</f>
        <v/>
      </c>
      <c r="K1232" s="9">
        <f>IF(ISNA(MATCH(1223,'Transfer Engine'!$C$2:$C$1369,0)),"",INDEX('Compliance Database'!$K$2:$K$1369,MATCH(1223,'Transfer Engine'!$C$2:$C$1369,0)))</f>
        <v/>
      </c>
      <c r="L1232" s="9">
        <f>IF(ISNA(MATCH(1223,'Transfer Engine'!$C$2:$C$1369,0)),"",INDEX('Compliance Database'!$L$2:$L$1369,MATCH(1223,'Transfer Engine'!$C$2:$C$1369,0)))</f>
        <v/>
      </c>
      <c r="M1232" s="9">
        <f>IF(ISNA(MATCH(1223,'Transfer Engine'!$C$2:$C$1369,0)),"",INDEX('Compliance Database'!$M$2:$M$1369,MATCH(1223,'Transfer Engine'!$C$2:$C$1369,0)))</f>
        <v/>
      </c>
      <c r="N1232" s="9">
        <f>IF(ISNA(MATCH(1223,'Transfer Engine'!$C$2:$C$1369,0)),"",INDEX('Compliance Database'!$N$2:$N$1369,MATCH(1223,'Transfer Engine'!$C$2:$C$1369,0)))</f>
        <v/>
      </c>
      <c r="O1232" s="8">
        <f>IF(ISNA(MATCH(1223,'Transfer Engine'!$C$2:$C$1369,0)),"",HYPERLINK(INDEX('Compliance Database'!$O$2:$O$1369,MATCH(1223,'Transfer Engine'!$C$2:$C$1369,0)),"Open PDF"))</f>
        <v/>
      </c>
    </row>
    <row r="1233" ht="188" customHeight="1">
      <c r="A1233" s="8">
        <f>IF(ISNA(MATCH(1224,'Transfer Engine'!$C$2:$C$1369,0)),"",INDEX('Compliance Database'!$A$2:$A$1369,MATCH(1224,'Transfer Engine'!$C$2:$C$1369,0)))</f>
        <v/>
      </c>
      <c r="B1233" s="8">
        <f>IF(ISNA(MATCH(1224,'Transfer Engine'!$C$2:$C$1369,0)),"",INDEX('Compliance Database'!$B$2:$B$1369,MATCH(1224,'Transfer Engine'!$C$2:$C$1369,0)))</f>
        <v/>
      </c>
      <c r="C1233" s="8">
        <f>IF(ISNA(MATCH(1224,'Transfer Engine'!$C$2:$C$1369,0)),"",INDEX('Compliance Database'!$C$2:$C$1369,MATCH(1224,'Transfer Engine'!$C$2:$C$1369,0)))</f>
        <v/>
      </c>
      <c r="D1233" s="9">
        <f>IF(ISNA(MATCH(1224,'Transfer Engine'!$C$2:$C$1369,0)),"",INDEX('Compliance Database'!$D$2:$D$1369,MATCH(1224,'Transfer Engine'!$C$2:$C$1369,0)))</f>
        <v/>
      </c>
      <c r="E1233" s="8">
        <f>IF(ISNA(MATCH(1224,'Transfer Engine'!$C$2:$C$1369,0)),"",INDEX('Compliance Database'!$E$2:$E$1369,MATCH(1224,'Transfer Engine'!$C$2:$C$1369,0)))</f>
        <v/>
      </c>
      <c r="F1233" s="8">
        <f>IF(ISNA(MATCH(1224,'Transfer Engine'!$C$2:$C$1369,0)),"",INDEX('Compliance Database'!$F$2:$F$1369,MATCH(1224,'Transfer Engine'!$C$2:$C$1369,0)))</f>
        <v/>
      </c>
      <c r="G1233" s="8">
        <f>IF(ISNA(MATCH(1224,'Transfer Engine'!$C$2:$C$1369,0)),"",INDEX('Compliance Database'!$G$2:$G$1369,MATCH(1224,'Transfer Engine'!$C$2:$C$1369,0)))</f>
        <v/>
      </c>
      <c r="H1233" s="9">
        <f>IF(ISNA(MATCH(1224,'Transfer Engine'!$C$2:$C$1369,0)),"",INDEX('Compliance Database'!$H$2:$H$1369,MATCH(1224,'Transfer Engine'!$C$2:$C$1369,0)))</f>
        <v/>
      </c>
      <c r="I1233" s="9">
        <f>IF(ISNA(MATCH(1224,'Transfer Engine'!$C$2:$C$1369,0)),"",INDEX('Compliance Database'!$I$2:$I$1369,MATCH(1224,'Transfer Engine'!$C$2:$C$1369,0)))</f>
        <v/>
      </c>
      <c r="J1233" s="8">
        <f>IF(ISNA(MATCH(1224,'Transfer Engine'!$C$2:$C$1369,0)),"",INDEX('Compliance Database'!$J$2:$J$1369,MATCH(1224,'Transfer Engine'!$C$2:$C$1369,0)))</f>
        <v/>
      </c>
      <c r="K1233" s="9">
        <f>IF(ISNA(MATCH(1224,'Transfer Engine'!$C$2:$C$1369,0)),"",INDEX('Compliance Database'!$K$2:$K$1369,MATCH(1224,'Transfer Engine'!$C$2:$C$1369,0)))</f>
        <v/>
      </c>
      <c r="L1233" s="9">
        <f>IF(ISNA(MATCH(1224,'Transfer Engine'!$C$2:$C$1369,0)),"",INDEX('Compliance Database'!$L$2:$L$1369,MATCH(1224,'Transfer Engine'!$C$2:$C$1369,0)))</f>
        <v/>
      </c>
      <c r="M1233" s="9">
        <f>IF(ISNA(MATCH(1224,'Transfer Engine'!$C$2:$C$1369,0)),"",INDEX('Compliance Database'!$M$2:$M$1369,MATCH(1224,'Transfer Engine'!$C$2:$C$1369,0)))</f>
        <v/>
      </c>
      <c r="N1233" s="9">
        <f>IF(ISNA(MATCH(1224,'Transfer Engine'!$C$2:$C$1369,0)),"",INDEX('Compliance Database'!$N$2:$N$1369,MATCH(1224,'Transfer Engine'!$C$2:$C$1369,0)))</f>
        <v/>
      </c>
      <c r="O1233" s="8">
        <f>IF(ISNA(MATCH(1224,'Transfer Engine'!$C$2:$C$1369,0)),"",HYPERLINK(INDEX('Compliance Database'!$O$2:$O$1369,MATCH(1224,'Transfer Engine'!$C$2:$C$1369,0)),"Open PDF"))</f>
        <v/>
      </c>
    </row>
    <row r="1234" ht="188" customHeight="1">
      <c r="A1234" s="8">
        <f>IF(ISNA(MATCH(1225,'Transfer Engine'!$C$2:$C$1369,0)),"",INDEX('Compliance Database'!$A$2:$A$1369,MATCH(1225,'Transfer Engine'!$C$2:$C$1369,0)))</f>
        <v/>
      </c>
      <c r="B1234" s="8">
        <f>IF(ISNA(MATCH(1225,'Transfer Engine'!$C$2:$C$1369,0)),"",INDEX('Compliance Database'!$B$2:$B$1369,MATCH(1225,'Transfer Engine'!$C$2:$C$1369,0)))</f>
        <v/>
      </c>
      <c r="C1234" s="8">
        <f>IF(ISNA(MATCH(1225,'Transfer Engine'!$C$2:$C$1369,0)),"",INDEX('Compliance Database'!$C$2:$C$1369,MATCH(1225,'Transfer Engine'!$C$2:$C$1369,0)))</f>
        <v/>
      </c>
      <c r="D1234" s="9">
        <f>IF(ISNA(MATCH(1225,'Transfer Engine'!$C$2:$C$1369,0)),"",INDEX('Compliance Database'!$D$2:$D$1369,MATCH(1225,'Transfer Engine'!$C$2:$C$1369,0)))</f>
        <v/>
      </c>
      <c r="E1234" s="8">
        <f>IF(ISNA(MATCH(1225,'Transfer Engine'!$C$2:$C$1369,0)),"",INDEX('Compliance Database'!$E$2:$E$1369,MATCH(1225,'Transfer Engine'!$C$2:$C$1369,0)))</f>
        <v/>
      </c>
      <c r="F1234" s="8">
        <f>IF(ISNA(MATCH(1225,'Transfer Engine'!$C$2:$C$1369,0)),"",INDEX('Compliance Database'!$F$2:$F$1369,MATCH(1225,'Transfer Engine'!$C$2:$C$1369,0)))</f>
        <v/>
      </c>
      <c r="G1234" s="8">
        <f>IF(ISNA(MATCH(1225,'Transfer Engine'!$C$2:$C$1369,0)),"",INDEX('Compliance Database'!$G$2:$G$1369,MATCH(1225,'Transfer Engine'!$C$2:$C$1369,0)))</f>
        <v/>
      </c>
      <c r="H1234" s="9">
        <f>IF(ISNA(MATCH(1225,'Transfer Engine'!$C$2:$C$1369,0)),"",INDEX('Compliance Database'!$H$2:$H$1369,MATCH(1225,'Transfer Engine'!$C$2:$C$1369,0)))</f>
        <v/>
      </c>
      <c r="I1234" s="9">
        <f>IF(ISNA(MATCH(1225,'Transfer Engine'!$C$2:$C$1369,0)),"",INDEX('Compliance Database'!$I$2:$I$1369,MATCH(1225,'Transfer Engine'!$C$2:$C$1369,0)))</f>
        <v/>
      </c>
      <c r="J1234" s="8">
        <f>IF(ISNA(MATCH(1225,'Transfer Engine'!$C$2:$C$1369,0)),"",INDEX('Compliance Database'!$J$2:$J$1369,MATCH(1225,'Transfer Engine'!$C$2:$C$1369,0)))</f>
        <v/>
      </c>
      <c r="K1234" s="9">
        <f>IF(ISNA(MATCH(1225,'Transfer Engine'!$C$2:$C$1369,0)),"",INDEX('Compliance Database'!$K$2:$K$1369,MATCH(1225,'Transfer Engine'!$C$2:$C$1369,0)))</f>
        <v/>
      </c>
      <c r="L1234" s="9">
        <f>IF(ISNA(MATCH(1225,'Transfer Engine'!$C$2:$C$1369,0)),"",INDEX('Compliance Database'!$L$2:$L$1369,MATCH(1225,'Transfer Engine'!$C$2:$C$1369,0)))</f>
        <v/>
      </c>
      <c r="M1234" s="9">
        <f>IF(ISNA(MATCH(1225,'Transfer Engine'!$C$2:$C$1369,0)),"",INDEX('Compliance Database'!$M$2:$M$1369,MATCH(1225,'Transfer Engine'!$C$2:$C$1369,0)))</f>
        <v/>
      </c>
      <c r="N1234" s="9">
        <f>IF(ISNA(MATCH(1225,'Transfer Engine'!$C$2:$C$1369,0)),"",INDEX('Compliance Database'!$N$2:$N$1369,MATCH(1225,'Transfer Engine'!$C$2:$C$1369,0)))</f>
        <v/>
      </c>
      <c r="O1234" s="8">
        <f>IF(ISNA(MATCH(1225,'Transfer Engine'!$C$2:$C$1369,0)),"",HYPERLINK(INDEX('Compliance Database'!$O$2:$O$1369,MATCH(1225,'Transfer Engine'!$C$2:$C$1369,0)),"Open PDF"))</f>
        <v/>
      </c>
    </row>
    <row r="1235" ht="188" customHeight="1">
      <c r="A1235" s="8">
        <f>IF(ISNA(MATCH(1226,'Transfer Engine'!$C$2:$C$1369,0)),"",INDEX('Compliance Database'!$A$2:$A$1369,MATCH(1226,'Transfer Engine'!$C$2:$C$1369,0)))</f>
        <v/>
      </c>
      <c r="B1235" s="8">
        <f>IF(ISNA(MATCH(1226,'Transfer Engine'!$C$2:$C$1369,0)),"",INDEX('Compliance Database'!$B$2:$B$1369,MATCH(1226,'Transfer Engine'!$C$2:$C$1369,0)))</f>
        <v/>
      </c>
      <c r="C1235" s="8">
        <f>IF(ISNA(MATCH(1226,'Transfer Engine'!$C$2:$C$1369,0)),"",INDEX('Compliance Database'!$C$2:$C$1369,MATCH(1226,'Transfer Engine'!$C$2:$C$1369,0)))</f>
        <v/>
      </c>
      <c r="D1235" s="9">
        <f>IF(ISNA(MATCH(1226,'Transfer Engine'!$C$2:$C$1369,0)),"",INDEX('Compliance Database'!$D$2:$D$1369,MATCH(1226,'Transfer Engine'!$C$2:$C$1369,0)))</f>
        <v/>
      </c>
      <c r="E1235" s="8">
        <f>IF(ISNA(MATCH(1226,'Transfer Engine'!$C$2:$C$1369,0)),"",INDEX('Compliance Database'!$E$2:$E$1369,MATCH(1226,'Transfer Engine'!$C$2:$C$1369,0)))</f>
        <v/>
      </c>
      <c r="F1235" s="8">
        <f>IF(ISNA(MATCH(1226,'Transfer Engine'!$C$2:$C$1369,0)),"",INDEX('Compliance Database'!$F$2:$F$1369,MATCH(1226,'Transfer Engine'!$C$2:$C$1369,0)))</f>
        <v/>
      </c>
      <c r="G1235" s="8">
        <f>IF(ISNA(MATCH(1226,'Transfer Engine'!$C$2:$C$1369,0)),"",INDEX('Compliance Database'!$G$2:$G$1369,MATCH(1226,'Transfer Engine'!$C$2:$C$1369,0)))</f>
        <v/>
      </c>
      <c r="H1235" s="9">
        <f>IF(ISNA(MATCH(1226,'Transfer Engine'!$C$2:$C$1369,0)),"",INDEX('Compliance Database'!$H$2:$H$1369,MATCH(1226,'Transfer Engine'!$C$2:$C$1369,0)))</f>
        <v/>
      </c>
      <c r="I1235" s="9">
        <f>IF(ISNA(MATCH(1226,'Transfer Engine'!$C$2:$C$1369,0)),"",INDEX('Compliance Database'!$I$2:$I$1369,MATCH(1226,'Transfer Engine'!$C$2:$C$1369,0)))</f>
        <v/>
      </c>
      <c r="J1235" s="8">
        <f>IF(ISNA(MATCH(1226,'Transfer Engine'!$C$2:$C$1369,0)),"",INDEX('Compliance Database'!$J$2:$J$1369,MATCH(1226,'Transfer Engine'!$C$2:$C$1369,0)))</f>
        <v/>
      </c>
      <c r="K1235" s="9">
        <f>IF(ISNA(MATCH(1226,'Transfer Engine'!$C$2:$C$1369,0)),"",INDEX('Compliance Database'!$K$2:$K$1369,MATCH(1226,'Transfer Engine'!$C$2:$C$1369,0)))</f>
        <v/>
      </c>
      <c r="L1235" s="9">
        <f>IF(ISNA(MATCH(1226,'Transfer Engine'!$C$2:$C$1369,0)),"",INDEX('Compliance Database'!$L$2:$L$1369,MATCH(1226,'Transfer Engine'!$C$2:$C$1369,0)))</f>
        <v/>
      </c>
      <c r="M1235" s="9">
        <f>IF(ISNA(MATCH(1226,'Transfer Engine'!$C$2:$C$1369,0)),"",INDEX('Compliance Database'!$M$2:$M$1369,MATCH(1226,'Transfer Engine'!$C$2:$C$1369,0)))</f>
        <v/>
      </c>
      <c r="N1235" s="9">
        <f>IF(ISNA(MATCH(1226,'Transfer Engine'!$C$2:$C$1369,0)),"",INDEX('Compliance Database'!$N$2:$N$1369,MATCH(1226,'Transfer Engine'!$C$2:$C$1369,0)))</f>
        <v/>
      </c>
      <c r="O1235" s="8">
        <f>IF(ISNA(MATCH(1226,'Transfer Engine'!$C$2:$C$1369,0)),"",HYPERLINK(INDEX('Compliance Database'!$O$2:$O$1369,MATCH(1226,'Transfer Engine'!$C$2:$C$1369,0)),"Open PDF"))</f>
        <v/>
      </c>
    </row>
    <row r="1236" ht="188" customHeight="1">
      <c r="A1236" s="8">
        <f>IF(ISNA(MATCH(1227,'Transfer Engine'!$C$2:$C$1369,0)),"",INDEX('Compliance Database'!$A$2:$A$1369,MATCH(1227,'Transfer Engine'!$C$2:$C$1369,0)))</f>
        <v/>
      </c>
      <c r="B1236" s="8">
        <f>IF(ISNA(MATCH(1227,'Transfer Engine'!$C$2:$C$1369,0)),"",INDEX('Compliance Database'!$B$2:$B$1369,MATCH(1227,'Transfer Engine'!$C$2:$C$1369,0)))</f>
        <v/>
      </c>
      <c r="C1236" s="8">
        <f>IF(ISNA(MATCH(1227,'Transfer Engine'!$C$2:$C$1369,0)),"",INDEX('Compliance Database'!$C$2:$C$1369,MATCH(1227,'Transfer Engine'!$C$2:$C$1369,0)))</f>
        <v/>
      </c>
      <c r="D1236" s="9">
        <f>IF(ISNA(MATCH(1227,'Transfer Engine'!$C$2:$C$1369,0)),"",INDEX('Compliance Database'!$D$2:$D$1369,MATCH(1227,'Transfer Engine'!$C$2:$C$1369,0)))</f>
        <v/>
      </c>
      <c r="E1236" s="8">
        <f>IF(ISNA(MATCH(1227,'Transfer Engine'!$C$2:$C$1369,0)),"",INDEX('Compliance Database'!$E$2:$E$1369,MATCH(1227,'Transfer Engine'!$C$2:$C$1369,0)))</f>
        <v/>
      </c>
      <c r="F1236" s="8">
        <f>IF(ISNA(MATCH(1227,'Transfer Engine'!$C$2:$C$1369,0)),"",INDEX('Compliance Database'!$F$2:$F$1369,MATCH(1227,'Transfer Engine'!$C$2:$C$1369,0)))</f>
        <v/>
      </c>
      <c r="G1236" s="8">
        <f>IF(ISNA(MATCH(1227,'Transfer Engine'!$C$2:$C$1369,0)),"",INDEX('Compliance Database'!$G$2:$G$1369,MATCH(1227,'Transfer Engine'!$C$2:$C$1369,0)))</f>
        <v/>
      </c>
      <c r="H1236" s="9">
        <f>IF(ISNA(MATCH(1227,'Transfer Engine'!$C$2:$C$1369,0)),"",INDEX('Compliance Database'!$H$2:$H$1369,MATCH(1227,'Transfer Engine'!$C$2:$C$1369,0)))</f>
        <v/>
      </c>
      <c r="I1236" s="9">
        <f>IF(ISNA(MATCH(1227,'Transfer Engine'!$C$2:$C$1369,0)),"",INDEX('Compliance Database'!$I$2:$I$1369,MATCH(1227,'Transfer Engine'!$C$2:$C$1369,0)))</f>
        <v/>
      </c>
      <c r="J1236" s="8">
        <f>IF(ISNA(MATCH(1227,'Transfer Engine'!$C$2:$C$1369,0)),"",INDEX('Compliance Database'!$J$2:$J$1369,MATCH(1227,'Transfer Engine'!$C$2:$C$1369,0)))</f>
        <v/>
      </c>
      <c r="K1236" s="9">
        <f>IF(ISNA(MATCH(1227,'Transfer Engine'!$C$2:$C$1369,0)),"",INDEX('Compliance Database'!$K$2:$K$1369,MATCH(1227,'Transfer Engine'!$C$2:$C$1369,0)))</f>
        <v/>
      </c>
      <c r="L1236" s="9">
        <f>IF(ISNA(MATCH(1227,'Transfer Engine'!$C$2:$C$1369,0)),"",INDEX('Compliance Database'!$L$2:$L$1369,MATCH(1227,'Transfer Engine'!$C$2:$C$1369,0)))</f>
        <v/>
      </c>
      <c r="M1236" s="9">
        <f>IF(ISNA(MATCH(1227,'Transfer Engine'!$C$2:$C$1369,0)),"",INDEX('Compliance Database'!$M$2:$M$1369,MATCH(1227,'Transfer Engine'!$C$2:$C$1369,0)))</f>
        <v/>
      </c>
      <c r="N1236" s="9">
        <f>IF(ISNA(MATCH(1227,'Transfer Engine'!$C$2:$C$1369,0)),"",INDEX('Compliance Database'!$N$2:$N$1369,MATCH(1227,'Transfer Engine'!$C$2:$C$1369,0)))</f>
        <v/>
      </c>
      <c r="O1236" s="8">
        <f>IF(ISNA(MATCH(1227,'Transfer Engine'!$C$2:$C$1369,0)),"",HYPERLINK(INDEX('Compliance Database'!$O$2:$O$1369,MATCH(1227,'Transfer Engine'!$C$2:$C$1369,0)),"Open PDF"))</f>
        <v/>
      </c>
    </row>
    <row r="1237" ht="188" customHeight="1">
      <c r="A1237" s="8">
        <f>IF(ISNA(MATCH(1228,'Transfer Engine'!$C$2:$C$1369,0)),"",INDEX('Compliance Database'!$A$2:$A$1369,MATCH(1228,'Transfer Engine'!$C$2:$C$1369,0)))</f>
        <v/>
      </c>
      <c r="B1237" s="8">
        <f>IF(ISNA(MATCH(1228,'Transfer Engine'!$C$2:$C$1369,0)),"",INDEX('Compliance Database'!$B$2:$B$1369,MATCH(1228,'Transfer Engine'!$C$2:$C$1369,0)))</f>
        <v/>
      </c>
      <c r="C1237" s="8">
        <f>IF(ISNA(MATCH(1228,'Transfer Engine'!$C$2:$C$1369,0)),"",INDEX('Compliance Database'!$C$2:$C$1369,MATCH(1228,'Transfer Engine'!$C$2:$C$1369,0)))</f>
        <v/>
      </c>
      <c r="D1237" s="9">
        <f>IF(ISNA(MATCH(1228,'Transfer Engine'!$C$2:$C$1369,0)),"",INDEX('Compliance Database'!$D$2:$D$1369,MATCH(1228,'Transfer Engine'!$C$2:$C$1369,0)))</f>
        <v/>
      </c>
      <c r="E1237" s="8">
        <f>IF(ISNA(MATCH(1228,'Transfer Engine'!$C$2:$C$1369,0)),"",INDEX('Compliance Database'!$E$2:$E$1369,MATCH(1228,'Transfer Engine'!$C$2:$C$1369,0)))</f>
        <v/>
      </c>
      <c r="F1237" s="8">
        <f>IF(ISNA(MATCH(1228,'Transfer Engine'!$C$2:$C$1369,0)),"",INDEX('Compliance Database'!$F$2:$F$1369,MATCH(1228,'Transfer Engine'!$C$2:$C$1369,0)))</f>
        <v/>
      </c>
      <c r="G1237" s="8">
        <f>IF(ISNA(MATCH(1228,'Transfer Engine'!$C$2:$C$1369,0)),"",INDEX('Compliance Database'!$G$2:$G$1369,MATCH(1228,'Transfer Engine'!$C$2:$C$1369,0)))</f>
        <v/>
      </c>
      <c r="H1237" s="9">
        <f>IF(ISNA(MATCH(1228,'Transfer Engine'!$C$2:$C$1369,0)),"",INDEX('Compliance Database'!$H$2:$H$1369,MATCH(1228,'Transfer Engine'!$C$2:$C$1369,0)))</f>
        <v/>
      </c>
      <c r="I1237" s="9">
        <f>IF(ISNA(MATCH(1228,'Transfer Engine'!$C$2:$C$1369,0)),"",INDEX('Compliance Database'!$I$2:$I$1369,MATCH(1228,'Transfer Engine'!$C$2:$C$1369,0)))</f>
        <v/>
      </c>
      <c r="J1237" s="8">
        <f>IF(ISNA(MATCH(1228,'Transfer Engine'!$C$2:$C$1369,0)),"",INDEX('Compliance Database'!$J$2:$J$1369,MATCH(1228,'Transfer Engine'!$C$2:$C$1369,0)))</f>
        <v/>
      </c>
      <c r="K1237" s="9">
        <f>IF(ISNA(MATCH(1228,'Transfer Engine'!$C$2:$C$1369,0)),"",INDEX('Compliance Database'!$K$2:$K$1369,MATCH(1228,'Transfer Engine'!$C$2:$C$1369,0)))</f>
        <v/>
      </c>
      <c r="L1237" s="9">
        <f>IF(ISNA(MATCH(1228,'Transfer Engine'!$C$2:$C$1369,0)),"",INDEX('Compliance Database'!$L$2:$L$1369,MATCH(1228,'Transfer Engine'!$C$2:$C$1369,0)))</f>
        <v/>
      </c>
      <c r="M1237" s="9">
        <f>IF(ISNA(MATCH(1228,'Transfer Engine'!$C$2:$C$1369,0)),"",INDEX('Compliance Database'!$M$2:$M$1369,MATCH(1228,'Transfer Engine'!$C$2:$C$1369,0)))</f>
        <v/>
      </c>
      <c r="N1237" s="9">
        <f>IF(ISNA(MATCH(1228,'Transfer Engine'!$C$2:$C$1369,0)),"",INDEX('Compliance Database'!$N$2:$N$1369,MATCH(1228,'Transfer Engine'!$C$2:$C$1369,0)))</f>
        <v/>
      </c>
      <c r="O1237" s="8">
        <f>IF(ISNA(MATCH(1228,'Transfer Engine'!$C$2:$C$1369,0)),"",HYPERLINK(INDEX('Compliance Database'!$O$2:$O$1369,MATCH(1228,'Transfer Engine'!$C$2:$C$1369,0)),"Open PDF"))</f>
        <v/>
      </c>
    </row>
    <row r="1238" ht="188" customHeight="1">
      <c r="A1238" s="8">
        <f>IF(ISNA(MATCH(1229,'Transfer Engine'!$C$2:$C$1369,0)),"",INDEX('Compliance Database'!$A$2:$A$1369,MATCH(1229,'Transfer Engine'!$C$2:$C$1369,0)))</f>
        <v/>
      </c>
      <c r="B1238" s="8">
        <f>IF(ISNA(MATCH(1229,'Transfer Engine'!$C$2:$C$1369,0)),"",INDEX('Compliance Database'!$B$2:$B$1369,MATCH(1229,'Transfer Engine'!$C$2:$C$1369,0)))</f>
        <v/>
      </c>
      <c r="C1238" s="8">
        <f>IF(ISNA(MATCH(1229,'Transfer Engine'!$C$2:$C$1369,0)),"",INDEX('Compliance Database'!$C$2:$C$1369,MATCH(1229,'Transfer Engine'!$C$2:$C$1369,0)))</f>
        <v/>
      </c>
      <c r="D1238" s="9">
        <f>IF(ISNA(MATCH(1229,'Transfer Engine'!$C$2:$C$1369,0)),"",INDEX('Compliance Database'!$D$2:$D$1369,MATCH(1229,'Transfer Engine'!$C$2:$C$1369,0)))</f>
        <v/>
      </c>
      <c r="E1238" s="8">
        <f>IF(ISNA(MATCH(1229,'Transfer Engine'!$C$2:$C$1369,0)),"",INDEX('Compliance Database'!$E$2:$E$1369,MATCH(1229,'Transfer Engine'!$C$2:$C$1369,0)))</f>
        <v/>
      </c>
      <c r="F1238" s="8">
        <f>IF(ISNA(MATCH(1229,'Transfer Engine'!$C$2:$C$1369,0)),"",INDEX('Compliance Database'!$F$2:$F$1369,MATCH(1229,'Transfer Engine'!$C$2:$C$1369,0)))</f>
        <v/>
      </c>
      <c r="G1238" s="8">
        <f>IF(ISNA(MATCH(1229,'Transfer Engine'!$C$2:$C$1369,0)),"",INDEX('Compliance Database'!$G$2:$G$1369,MATCH(1229,'Transfer Engine'!$C$2:$C$1369,0)))</f>
        <v/>
      </c>
      <c r="H1238" s="9">
        <f>IF(ISNA(MATCH(1229,'Transfer Engine'!$C$2:$C$1369,0)),"",INDEX('Compliance Database'!$H$2:$H$1369,MATCH(1229,'Transfer Engine'!$C$2:$C$1369,0)))</f>
        <v/>
      </c>
      <c r="I1238" s="9">
        <f>IF(ISNA(MATCH(1229,'Transfer Engine'!$C$2:$C$1369,0)),"",INDEX('Compliance Database'!$I$2:$I$1369,MATCH(1229,'Transfer Engine'!$C$2:$C$1369,0)))</f>
        <v/>
      </c>
      <c r="J1238" s="8">
        <f>IF(ISNA(MATCH(1229,'Transfer Engine'!$C$2:$C$1369,0)),"",INDEX('Compliance Database'!$J$2:$J$1369,MATCH(1229,'Transfer Engine'!$C$2:$C$1369,0)))</f>
        <v/>
      </c>
      <c r="K1238" s="9">
        <f>IF(ISNA(MATCH(1229,'Transfer Engine'!$C$2:$C$1369,0)),"",INDEX('Compliance Database'!$K$2:$K$1369,MATCH(1229,'Transfer Engine'!$C$2:$C$1369,0)))</f>
        <v/>
      </c>
      <c r="L1238" s="9">
        <f>IF(ISNA(MATCH(1229,'Transfer Engine'!$C$2:$C$1369,0)),"",INDEX('Compliance Database'!$L$2:$L$1369,MATCH(1229,'Transfer Engine'!$C$2:$C$1369,0)))</f>
        <v/>
      </c>
      <c r="M1238" s="9">
        <f>IF(ISNA(MATCH(1229,'Transfer Engine'!$C$2:$C$1369,0)),"",INDEX('Compliance Database'!$M$2:$M$1369,MATCH(1229,'Transfer Engine'!$C$2:$C$1369,0)))</f>
        <v/>
      </c>
      <c r="N1238" s="9">
        <f>IF(ISNA(MATCH(1229,'Transfer Engine'!$C$2:$C$1369,0)),"",INDEX('Compliance Database'!$N$2:$N$1369,MATCH(1229,'Transfer Engine'!$C$2:$C$1369,0)))</f>
        <v/>
      </c>
      <c r="O1238" s="8">
        <f>IF(ISNA(MATCH(1229,'Transfer Engine'!$C$2:$C$1369,0)),"",HYPERLINK(INDEX('Compliance Database'!$O$2:$O$1369,MATCH(1229,'Transfer Engine'!$C$2:$C$1369,0)),"Open PDF"))</f>
        <v/>
      </c>
    </row>
    <row r="1239" ht="188" customHeight="1">
      <c r="A1239" s="8">
        <f>IF(ISNA(MATCH(1230,'Transfer Engine'!$C$2:$C$1369,0)),"",INDEX('Compliance Database'!$A$2:$A$1369,MATCH(1230,'Transfer Engine'!$C$2:$C$1369,0)))</f>
        <v/>
      </c>
      <c r="B1239" s="8">
        <f>IF(ISNA(MATCH(1230,'Transfer Engine'!$C$2:$C$1369,0)),"",INDEX('Compliance Database'!$B$2:$B$1369,MATCH(1230,'Transfer Engine'!$C$2:$C$1369,0)))</f>
        <v/>
      </c>
      <c r="C1239" s="8">
        <f>IF(ISNA(MATCH(1230,'Transfer Engine'!$C$2:$C$1369,0)),"",INDEX('Compliance Database'!$C$2:$C$1369,MATCH(1230,'Transfer Engine'!$C$2:$C$1369,0)))</f>
        <v/>
      </c>
      <c r="D1239" s="9">
        <f>IF(ISNA(MATCH(1230,'Transfer Engine'!$C$2:$C$1369,0)),"",INDEX('Compliance Database'!$D$2:$D$1369,MATCH(1230,'Transfer Engine'!$C$2:$C$1369,0)))</f>
        <v/>
      </c>
      <c r="E1239" s="8">
        <f>IF(ISNA(MATCH(1230,'Transfer Engine'!$C$2:$C$1369,0)),"",INDEX('Compliance Database'!$E$2:$E$1369,MATCH(1230,'Transfer Engine'!$C$2:$C$1369,0)))</f>
        <v/>
      </c>
      <c r="F1239" s="8">
        <f>IF(ISNA(MATCH(1230,'Transfer Engine'!$C$2:$C$1369,0)),"",INDEX('Compliance Database'!$F$2:$F$1369,MATCH(1230,'Transfer Engine'!$C$2:$C$1369,0)))</f>
        <v/>
      </c>
      <c r="G1239" s="8">
        <f>IF(ISNA(MATCH(1230,'Transfer Engine'!$C$2:$C$1369,0)),"",INDEX('Compliance Database'!$G$2:$G$1369,MATCH(1230,'Transfer Engine'!$C$2:$C$1369,0)))</f>
        <v/>
      </c>
      <c r="H1239" s="9">
        <f>IF(ISNA(MATCH(1230,'Transfer Engine'!$C$2:$C$1369,0)),"",INDEX('Compliance Database'!$H$2:$H$1369,MATCH(1230,'Transfer Engine'!$C$2:$C$1369,0)))</f>
        <v/>
      </c>
      <c r="I1239" s="9">
        <f>IF(ISNA(MATCH(1230,'Transfer Engine'!$C$2:$C$1369,0)),"",INDEX('Compliance Database'!$I$2:$I$1369,MATCH(1230,'Transfer Engine'!$C$2:$C$1369,0)))</f>
        <v/>
      </c>
      <c r="J1239" s="8">
        <f>IF(ISNA(MATCH(1230,'Transfer Engine'!$C$2:$C$1369,0)),"",INDEX('Compliance Database'!$J$2:$J$1369,MATCH(1230,'Transfer Engine'!$C$2:$C$1369,0)))</f>
        <v/>
      </c>
      <c r="K1239" s="9">
        <f>IF(ISNA(MATCH(1230,'Transfer Engine'!$C$2:$C$1369,0)),"",INDEX('Compliance Database'!$K$2:$K$1369,MATCH(1230,'Transfer Engine'!$C$2:$C$1369,0)))</f>
        <v/>
      </c>
      <c r="L1239" s="9">
        <f>IF(ISNA(MATCH(1230,'Transfer Engine'!$C$2:$C$1369,0)),"",INDEX('Compliance Database'!$L$2:$L$1369,MATCH(1230,'Transfer Engine'!$C$2:$C$1369,0)))</f>
        <v/>
      </c>
      <c r="M1239" s="9">
        <f>IF(ISNA(MATCH(1230,'Transfer Engine'!$C$2:$C$1369,0)),"",INDEX('Compliance Database'!$M$2:$M$1369,MATCH(1230,'Transfer Engine'!$C$2:$C$1369,0)))</f>
        <v/>
      </c>
      <c r="N1239" s="9">
        <f>IF(ISNA(MATCH(1230,'Transfer Engine'!$C$2:$C$1369,0)),"",INDEX('Compliance Database'!$N$2:$N$1369,MATCH(1230,'Transfer Engine'!$C$2:$C$1369,0)))</f>
        <v/>
      </c>
      <c r="O1239" s="8">
        <f>IF(ISNA(MATCH(1230,'Transfer Engine'!$C$2:$C$1369,0)),"",HYPERLINK(INDEX('Compliance Database'!$O$2:$O$1369,MATCH(1230,'Transfer Engine'!$C$2:$C$1369,0)),"Open PDF"))</f>
        <v/>
      </c>
    </row>
    <row r="1240" ht="188" customHeight="1">
      <c r="A1240" s="8">
        <f>IF(ISNA(MATCH(1231,'Transfer Engine'!$C$2:$C$1369,0)),"",INDEX('Compliance Database'!$A$2:$A$1369,MATCH(1231,'Transfer Engine'!$C$2:$C$1369,0)))</f>
        <v/>
      </c>
      <c r="B1240" s="8">
        <f>IF(ISNA(MATCH(1231,'Transfer Engine'!$C$2:$C$1369,0)),"",INDEX('Compliance Database'!$B$2:$B$1369,MATCH(1231,'Transfer Engine'!$C$2:$C$1369,0)))</f>
        <v/>
      </c>
      <c r="C1240" s="8">
        <f>IF(ISNA(MATCH(1231,'Transfer Engine'!$C$2:$C$1369,0)),"",INDEX('Compliance Database'!$C$2:$C$1369,MATCH(1231,'Transfer Engine'!$C$2:$C$1369,0)))</f>
        <v/>
      </c>
      <c r="D1240" s="9">
        <f>IF(ISNA(MATCH(1231,'Transfer Engine'!$C$2:$C$1369,0)),"",INDEX('Compliance Database'!$D$2:$D$1369,MATCH(1231,'Transfer Engine'!$C$2:$C$1369,0)))</f>
        <v/>
      </c>
      <c r="E1240" s="8">
        <f>IF(ISNA(MATCH(1231,'Transfer Engine'!$C$2:$C$1369,0)),"",INDEX('Compliance Database'!$E$2:$E$1369,MATCH(1231,'Transfer Engine'!$C$2:$C$1369,0)))</f>
        <v/>
      </c>
      <c r="F1240" s="8">
        <f>IF(ISNA(MATCH(1231,'Transfer Engine'!$C$2:$C$1369,0)),"",INDEX('Compliance Database'!$F$2:$F$1369,MATCH(1231,'Transfer Engine'!$C$2:$C$1369,0)))</f>
        <v/>
      </c>
      <c r="G1240" s="8">
        <f>IF(ISNA(MATCH(1231,'Transfer Engine'!$C$2:$C$1369,0)),"",INDEX('Compliance Database'!$G$2:$G$1369,MATCH(1231,'Transfer Engine'!$C$2:$C$1369,0)))</f>
        <v/>
      </c>
      <c r="H1240" s="9">
        <f>IF(ISNA(MATCH(1231,'Transfer Engine'!$C$2:$C$1369,0)),"",INDEX('Compliance Database'!$H$2:$H$1369,MATCH(1231,'Transfer Engine'!$C$2:$C$1369,0)))</f>
        <v/>
      </c>
      <c r="I1240" s="9">
        <f>IF(ISNA(MATCH(1231,'Transfer Engine'!$C$2:$C$1369,0)),"",INDEX('Compliance Database'!$I$2:$I$1369,MATCH(1231,'Transfer Engine'!$C$2:$C$1369,0)))</f>
        <v/>
      </c>
      <c r="J1240" s="8">
        <f>IF(ISNA(MATCH(1231,'Transfer Engine'!$C$2:$C$1369,0)),"",INDEX('Compliance Database'!$J$2:$J$1369,MATCH(1231,'Transfer Engine'!$C$2:$C$1369,0)))</f>
        <v/>
      </c>
      <c r="K1240" s="9">
        <f>IF(ISNA(MATCH(1231,'Transfer Engine'!$C$2:$C$1369,0)),"",INDEX('Compliance Database'!$K$2:$K$1369,MATCH(1231,'Transfer Engine'!$C$2:$C$1369,0)))</f>
        <v/>
      </c>
      <c r="L1240" s="9">
        <f>IF(ISNA(MATCH(1231,'Transfer Engine'!$C$2:$C$1369,0)),"",INDEX('Compliance Database'!$L$2:$L$1369,MATCH(1231,'Transfer Engine'!$C$2:$C$1369,0)))</f>
        <v/>
      </c>
      <c r="M1240" s="9">
        <f>IF(ISNA(MATCH(1231,'Transfer Engine'!$C$2:$C$1369,0)),"",INDEX('Compliance Database'!$M$2:$M$1369,MATCH(1231,'Transfer Engine'!$C$2:$C$1369,0)))</f>
        <v/>
      </c>
      <c r="N1240" s="9">
        <f>IF(ISNA(MATCH(1231,'Transfer Engine'!$C$2:$C$1369,0)),"",INDEX('Compliance Database'!$N$2:$N$1369,MATCH(1231,'Transfer Engine'!$C$2:$C$1369,0)))</f>
        <v/>
      </c>
      <c r="O1240" s="8">
        <f>IF(ISNA(MATCH(1231,'Transfer Engine'!$C$2:$C$1369,0)),"",HYPERLINK(INDEX('Compliance Database'!$O$2:$O$1369,MATCH(1231,'Transfer Engine'!$C$2:$C$1369,0)),"Open PDF"))</f>
        <v/>
      </c>
    </row>
    <row r="1241" ht="188" customHeight="1">
      <c r="A1241" s="8">
        <f>IF(ISNA(MATCH(1232,'Transfer Engine'!$C$2:$C$1369,0)),"",INDEX('Compliance Database'!$A$2:$A$1369,MATCH(1232,'Transfer Engine'!$C$2:$C$1369,0)))</f>
        <v/>
      </c>
      <c r="B1241" s="8">
        <f>IF(ISNA(MATCH(1232,'Transfer Engine'!$C$2:$C$1369,0)),"",INDEX('Compliance Database'!$B$2:$B$1369,MATCH(1232,'Transfer Engine'!$C$2:$C$1369,0)))</f>
        <v/>
      </c>
      <c r="C1241" s="8">
        <f>IF(ISNA(MATCH(1232,'Transfer Engine'!$C$2:$C$1369,0)),"",INDEX('Compliance Database'!$C$2:$C$1369,MATCH(1232,'Transfer Engine'!$C$2:$C$1369,0)))</f>
        <v/>
      </c>
      <c r="D1241" s="9">
        <f>IF(ISNA(MATCH(1232,'Transfer Engine'!$C$2:$C$1369,0)),"",INDEX('Compliance Database'!$D$2:$D$1369,MATCH(1232,'Transfer Engine'!$C$2:$C$1369,0)))</f>
        <v/>
      </c>
      <c r="E1241" s="8">
        <f>IF(ISNA(MATCH(1232,'Transfer Engine'!$C$2:$C$1369,0)),"",INDEX('Compliance Database'!$E$2:$E$1369,MATCH(1232,'Transfer Engine'!$C$2:$C$1369,0)))</f>
        <v/>
      </c>
      <c r="F1241" s="8">
        <f>IF(ISNA(MATCH(1232,'Transfer Engine'!$C$2:$C$1369,0)),"",INDEX('Compliance Database'!$F$2:$F$1369,MATCH(1232,'Transfer Engine'!$C$2:$C$1369,0)))</f>
        <v/>
      </c>
      <c r="G1241" s="8">
        <f>IF(ISNA(MATCH(1232,'Transfer Engine'!$C$2:$C$1369,0)),"",INDEX('Compliance Database'!$G$2:$G$1369,MATCH(1232,'Transfer Engine'!$C$2:$C$1369,0)))</f>
        <v/>
      </c>
      <c r="H1241" s="9">
        <f>IF(ISNA(MATCH(1232,'Transfer Engine'!$C$2:$C$1369,0)),"",INDEX('Compliance Database'!$H$2:$H$1369,MATCH(1232,'Transfer Engine'!$C$2:$C$1369,0)))</f>
        <v/>
      </c>
      <c r="I1241" s="9">
        <f>IF(ISNA(MATCH(1232,'Transfer Engine'!$C$2:$C$1369,0)),"",INDEX('Compliance Database'!$I$2:$I$1369,MATCH(1232,'Transfer Engine'!$C$2:$C$1369,0)))</f>
        <v/>
      </c>
      <c r="J1241" s="8">
        <f>IF(ISNA(MATCH(1232,'Transfer Engine'!$C$2:$C$1369,0)),"",INDEX('Compliance Database'!$J$2:$J$1369,MATCH(1232,'Transfer Engine'!$C$2:$C$1369,0)))</f>
        <v/>
      </c>
      <c r="K1241" s="9">
        <f>IF(ISNA(MATCH(1232,'Transfer Engine'!$C$2:$C$1369,0)),"",INDEX('Compliance Database'!$K$2:$K$1369,MATCH(1232,'Transfer Engine'!$C$2:$C$1369,0)))</f>
        <v/>
      </c>
      <c r="L1241" s="9">
        <f>IF(ISNA(MATCH(1232,'Transfer Engine'!$C$2:$C$1369,0)),"",INDEX('Compliance Database'!$L$2:$L$1369,MATCH(1232,'Transfer Engine'!$C$2:$C$1369,0)))</f>
        <v/>
      </c>
      <c r="M1241" s="9">
        <f>IF(ISNA(MATCH(1232,'Transfer Engine'!$C$2:$C$1369,0)),"",INDEX('Compliance Database'!$M$2:$M$1369,MATCH(1232,'Transfer Engine'!$C$2:$C$1369,0)))</f>
        <v/>
      </c>
      <c r="N1241" s="9">
        <f>IF(ISNA(MATCH(1232,'Transfer Engine'!$C$2:$C$1369,0)),"",INDEX('Compliance Database'!$N$2:$N$1369,MATCH(1232,'Transfer Engine'!$C$2:$C$1369,0)))</f>
        <v/>
      </c>
      <c r="O1241" s="8">
        <f>IF(ISNA(MATCH(1232,'Transfer Engine'!$C$2:$C$1369,0)),"",HYPERLINK(INDEX('Compliance Database'!$O$2:$O$1369,MATCH(1232,'Transfer Engine'!$C$2:$C$1369,0)),"Open PDF"))</f>
        <v/>
      </c>
    </row>
    <row r="1242" ht="188" customHeight="1">
      <c r="A1242" s="8">
        <f>IF(ISNA(MATCH(1233,'Transfer Engine'!$C$2:$C$1369,0)),"",INDEX('Compliance Database'!$A$2:$A$1369,MATCH(1233,'Transfer Engine'!$C$2:$C$1369,0)))</f>
        <v/>
      </c>
      <c r="B1242" s="8">
        <f>IF(ISNA(MATCH(1233,'Transfer Engine'!$C$2:$C$1369,0)),"",INDEX('Compliance Database'!$B$2:$B$1369,MATCH(1233,'Transfer Engine'!$C$2:$C$1369,0)))</f>
        <v/>
      </c>
      <c r="C1242" s="8">
        <f>IF(ISNA(MATCH(1233,'Transfer Engine'!$C$2:$C$1369,0)),"",INDEX('Compliance Database'!$C$2:$C$1369,MATCH(1233,'Transfer Engine'!$C$2:$C$1369,0)))</f>
        <v/>
      </c>
      <c r="D1242" s="9">
        <f>IF(ISNA(MATCH(1233,'Transfer Engine'!$C$2:$C$1369,0)),"",INDEX('Compliance Database'!$D$2:$D$1369,MATCH(1233,'Transfer Engine'!$C$2:$C$1369,0)))</f>
        <v/>
      </c>
      <c r="E1242" s="8">
        <f>IF(ISNA(MATCH(1233,'Transfer Engine'!$C$2:$C$1369,0)),"",INDEX('Compliance Database'!$E$2:$E$1369,MATCH(1233,'Transfer Engine'!$C$2:$C$1369,0)))</f>
        <v/>
      </c>
      <c r="F1242" s="8">
        <f>IF(ISNA(MATCH(1233,'Transfer Engine'!$C$2:$C$1369,0)),"",INDEX('Compliance Database'!$F$2:$F$1369,MATCH(1233,'Transfer Engine'!$C$2:$C$1369,0)))</f>
        <v/>
      </c>
      <c r="G1242" s="8">
        <f>IF(ISNA(MATCH(1233,'Transfer Engine'!$C$2:$C$1369,0)),"",INDEX('Compliance Database'!$G$2:$G$1369,MATCH(1233,'Transfer Engine'!$C$2:$C$1369,0)))</f>
        <v/>
      </c>
      <c r="H1242" s="9">
        <f>IF(ISNA(MATCH(1233,'Transfer Engine'!$C$2:$C$1369,0)),"",INDEX('Compliance Database'!$H$2:$H$1369,MATCH(1233,'Transfer Engine'!$C$2:$C$1369,0)))</f>
        <v/>
      </c>
      <c r="I1242" s="9">
        <f>IF(ISNA(MATCH(1233,'Transfer Engine'!$C$2:$C$1369,0)),"",INDEX('Compliance Database'!$I$2:$I$1369,MATCH(1233,'Transfer Engine'!$C$2:$C$1369,0)))</f>
        <v/>
      </c>
      <c r="J1242" s="8">
        <f>IF(ISNA(MATCH(1233,'Transfer Engine'!$C$2:$C$1369,0)),"",INDEX('Compliance Database'!$J$2:$J$1369,MATCH(1233,'Transfer Engine'!$C$2:$C$1369,0)))</f>
        <v/>
      </c>
      <c r="K1242" s="9">
        <f>IF(ISNA(MATCH(1233,'Transfer Engine'!$C$2:$C$1369,0)),"",INDEX('Compliance Database'!$K$2:$K$1369,MATCH(1233,'Transfer Engine'!$C$2:$C$1369,0)))</f>
        <v/>
      </c>
      <c r="L1242" s="9">
        <f>IF(ISNA(MATCH(1233,'Transfer Engine'!$C$2:$C$1369,0)),"",INDEX('Compliance Database'!$L$2:$L$1369,MATCH(1233,'Transfer Engine'!$C$2:$C$1369,0)))</f>
        <v/>
      </c>
      <c r="M1242" s="9">
        <f>IF(ISNA(MATCH(1233,'Transfer Engine'!$C$2:$C$1369,0)),"",INDEX('Compliance Database'!$M$2:$M$1369,MATCH(1233,'Transfer Engine'!$C$2:$C$1369,0)))</f>
        <v/>
      </c>
      <c r="N1242" s="9">
        <f>IF(ISNA(MATCH(1233,'Transfer Engine'!$C$2:$C$1369,0)),"",INDEX('Compliance Database'!$N$2:$N$1369,MATCH(1233,'Transfer Engine'!$C$2:$C$1369,0)))</f>
        <v/>
      </c>
      <c r="O1242" s="8">
        <f>IF(ISNA(MATCH(1233,'Transfer Engine'!$C$2:$C$1369,0)),"",HYPERLINK(INDEX('Compliance Database'!$O$2:$O$1369,MATCH(1233,'Transfer Engine'!$C$2:$C$1369,0)),"Open PDF"))</f>
        <v/>
      </c>
    </row>
    <row r="1243" ht="188" customHeight="1">
      <c r="A1243" s="8">
        <f>IF(ISNA(MATCH(1234,'Transfer Engine'!$C$2:$C$1369,0)),"",INDEX('Compliance Database'!$A$2:$A$1369,MATCH(1234,'Transfer Engine'!$C$2:$C$1369,0)))</f>
        <v/>
      </c>
      <c r="B1243" s="8">
        <f>IF(ISNA(MATCH(1234,'Transfer Engine'!$C$2:$C$1369,0)),"",INDEX('Compliance Database'!$B$2:$B$1369,MATCH(1234,'Transfer Engine'!$C$2:$C$1369,0)))</f>
        <v/>
      </c>
      <c r="C1243" s="8">
        <f>IF(ISNA(MATCH(1234,'Transfer Engine'!$C$2:$C$1369,0)),"",INDEX('Compliance Database'!$C$2:$C$1369,MATCH(1234,'Transfer Engine'!$C$2:$C$1369,0)))</f>
        <v/>
      </c>
      <c r="D1243" s="9">
        <f>IF(ISNA(MATCH(1234,'Transfer Engine'!$C$2:$C$1369,0)),"",INDEX('Compliance Database'!$D$2:$D$1369,MATCH(1234,'Transfer Engine'!$C$2:$C$1369,0)))</f>
        <v/>
      </c>
      <c r="E1243" s="8">
        <f>IF(ISNA(MATCH(1234,'Transfer Engine'!$C$2:$C$1369,0)),"",INDEX('Compliance Database'!$E$2:$E$1369,MATCH(1234,'Transfer Engine'!$C$2:$C$1369,0)))</f>
        <v/>
      </c>
      <c r="F1243" s="8">
        <f>IF(ISNA(MATCH(1234,'Transfer Engine'!$C$2:$C$1369,0)),"",INDEX('Compliance Database'!$F$2:$F$1369,MATCH(1234,'Transfer Engine'!$C$2:$C$1369,0)))</f>
        <v/>
      </c>
      <c r="G1243" s="8">
        <f>IF(ISNA(MATCH(1234,'Transfer Engine'!$C$2:$C$1369,0)),"",INDEX('Compliance Database'!$G$2:$G$1369,MATCH(1234,'Transfer Engine'!$C$2:$C$1369,0)))</f>
        <v/>
      </c>
      <c r="H1243" s="9">
        <f>IF(ISNA(MATCH(1234,'Transfer Engine'!$C$2:$C$1369,0)),"",INDEX('Compliance Database'!$H$2:$H$1369,MATCH(1234,'Transfer Engine'!$C$2:$C$1369,0)))</f>
        <v/>
      </c>
      <c r="I1243" s="9">
        <f>IF(ISNA(MATCH(1234,'Transfer Engine'!$C$2:$C$1369,0)),"",INDEX('Compliance Database'!$I$2:$I$1369,MATCH(1234,'Transfer Engine'!$C$2:$C$1369,0)))</f>
        <v/>
      </c>
      <c r="J1243" s="8">
        <f>IF(ISNA(MATCH(1234,'Transfer Engine'!$C$2:$C$1369,0)),"",INDEX('Compliance Database'!$J$2:$J$1369,MATCH(1234,'Transfer Engine'!$C$2:$C$1369,0)))</f>
        <v/>
      </c>
      <c r="K1243" s="9">
        <f>IF(ISNA(MATCH(1234,'Transfer Engine'!$C$2:$C$1369,0)),"",INDEX('Compliance Database'!$K$2:$K$1369,MATCH(1234,'Transfer Engine'!$C$2:$C$1369,0)))</f>
        <v/>
      </c>
      <c r="L1243" s="9">
        <f>IF(ISNA(MATCH(1234,'Transfer Engine'!$C$2:$C$1369,0)),"",INDEX('Compliance Database'!$L$2:$L$1369,MATCH(1234,'Transfer Engine'!$C$2:$C$1369,0)))</f>
        <v/>
      </c>
      <c r="M1243" s="9">
        <f>IF(ISNA(MATCH(1234,'Transfer Engine'!$C$2:$C$1369,0)),"",INDEX('Compliance Database'!$M$2:$M$1369,MATCH(1234,'Transfer Engine'!$C$2:$C$1369,0)))</f>
        <v/>
      </c>
      <c r="N1243" s="9">
        <f>IF(ISNA(MATCH(1234,'Transfer Engine'!$C$2:$C$1369,0)),"",INDEX('Compliance Database'!$N$2:$N$1369,MATCH(1234,'Transfer Engine'!$C$2:$C$1369,0)))</f>
        <v/>
      </c>
      <c r="O1243" s="8">
        <f>IF(ISNA(MATCH(1234,'Transfer Engine'!$C$2:$C$1369,0)),"",HYPERLINK(INDEX('Compliance Database'!$O$2:$O$1369,MATCH(1234,'Transfer Engine'!$C$2:$C$1369,0)),"Open PDF"))</f>
        <v/>
      </c>
    </row>
    <row r="1244" ht="188" customHeight="1">
      <c r="A1244" s="8">
        <f>IF(ISNA(MATCH(1235,'Transfer Engine'!$C$2:$C$1369,0)),"",INDEX('Compliance Database'!$A$2:$A$1369,MATCH(1235,'Transfer Engine'!$C$2:$C$1369,0)))</f>
        <v/>
      </c>
      <c r="B1244" s="8">
        <f>IF(ISNA(MATCH(1235,'Transfer Engine'!$C$2:$C$1369,0)),"",INDEX('Compliance Database'!$B$2:$B$1369,MATCH(1235,'Transfer Engine'!$C$2:$C$1369,0)))</f>
        <v/>
      </c>
      <c r="C1244" s="8">
        <f>IF(ISNA(MATCH(1235,'Transfer Engine'!$C$2:$C$1369,0)),"",INDEX('Compliance Database'!$C$2:$C$1369,MATCH(1235,'Transfer Engine'!$C$2:$C$1369,0)))</f>
        <v/>
      </c>
      <c r="D1244" s="9">
        <f>IF(ISNA(MATCH(1235,'Transfer Engine'!$C$2:$C$1369,0)),"",INDEX('Compliance Database'!$D$2:$D$1369,MATCH(1235,'Transfer Engine'!$C$2:$C$1369,0)))</f>
        <v/>
      </c>
      <c r="E1244" s="8">
        <f>IF(ISNA(MATCH(1235,'Transfer Engine'!$C$2:$C$1369,0)),"",INDEX('Compliance Database'!$E$2:$E$1369,MATCH(1235,'Transfer Engine'!$C$2:$C$1369,0)))</f>
        <v/>
      </c>
      <c r="F1244" s="8">
        <f>IF(ISNA(MATCH(1235,'Transfer Engine'!$C$2:$C$1369,0)),"",INDEX('Compliance Database'!$F$2:$F$1369,MATCH(1235,'Transfer Engine'!$C$2:$C$1369,0)))</f>
        <v/>
      </c>
      <c r="G1244" s="8">
        <f>IF(ISNA(MATCH(1235,'Transfer Engine'!$C$2:$C$1369,0)),"",INDEX('Compliance Database'!$G$2:$G$1369,MATCH(1235,'Transfer Engine'!$C$2:$C$1369,0)))</f>
        <v/>
      </c>
      <c r="H1244" s="9">
        <f>IF(ISNA(MATCH(1235,'Transfer Engine'!$C$2:$C$1369,0)),"",INDEX('Compliance Database'!$H$2:$H$1369,MATCH(1235,'Transfer Engine'!$C$2:$C$1369,0)))</f>
        <v/>
      </c>
      <c r="I1244" s="9">
        <f>IF(ISNA(MATCH(1235,'Transfer Engine'!$C$2:$C$1369,0)),"",INDEX('Compliance Database'!$I$2:$I$1369,MATCH(1235,'Transfer Engine'!$C$2:$C$1369,0)))</f>
        <v/>
      </c>
      <c r="J1244" s="8">
        <f>IF(ISNA(MATCH(1235,'Transfer Engine'!$C$2:$C$1369,0)),"",INDEX('Compliance Database'!$J$2:$J$1369,MATCH(1235,'Transfer Engine'!$C$2:$C$1369,0)))</f>
        <v/>
      </c>
      <c r="K1244" s="9">
        <f>IF(ISNA(MATCH(1235,'Transfer Engine'!$C$2:$C$1369,0)),"",INDEX('Compliance Database'!$K$2:$K$1369,MATCH(1235,'Transfer Engine'!$C$2:$C$1369,0)))</f>
        <v/>
      </c>
      <c r="L1244" s="9">
        <f>IF(ISNA(MATCH(1235,'Transfer Engine'!$C$2:$C$1369,0)),"",INDEX('Compliance Database'!$L$2:$L$1369,MATCH(1235,'Transfer Engine'!$C$2:$C$1369,0)))</f>
        <v/>
      </c>
      <c r="M1244" s="9">
        <f>IF(ISNA(MATCH(1235,'Transfer Engine'!$C$2:$C$1369,0)),"",INDEX('Compliance Database'!$M$2:$M$1369,MATCH(1235,'Transfer Engine'!$C$2:$C$1369,0)))</f>
        <v/>
      </c>
      <c r="N1244" s="9">
        <f>IF(ISNA(MATCH(1235,'Transfer Engine'!$C$2:$C$1369,0)),"",INDEX('Compliance Database'!$N$2:$N$1369,MATCH(1235,'Transfer Engine'!$C$2:$C$1369,0)))</f>
        <v/>
      </c>
      <c r="O1244" s="8">
        <f>IF(ISNA(MATCH(1235,'Transfer Engine'!$C$2:$C$1369,0)),"",HYPERLINK(INDEX('Compliance Database'!$O$2:$O$1369,MATCH(1235,'Transfer Engine'!$C$2:$C$1369,0)),"Open PDF"))</f>
        <v/>
      </c>
    </row>
    <row r="1245" ht="188" customHeight="1">
      <c r="A1245" s="8">
        <f>IF(ISNA(MATCH(1236,'Transfer Engine'!$C$2:$C$1369,0)),"",INDEX('Compliance Database'!$A$2:$A$1369,MATCH(1236,'Transfer Engine'!$C$2:$C$1369,0)))</f>
        <v/>
      </c>
      <c r="B1245" s="8">
        <f>IF(ISNA(MATCH(1236,'Transfer Engine'!$C$2:$C$1369,0)),"",INDEX('Compliance Database'!$B$2:$B$1369,MATCH(1236,'Transfer Engine'!$C$2:$C$1369,0)))</f>
        <v/>
      </c>
      <c r="C1245" s="8">
        <f>IF(ISNA(MATCH(1236,'Transfer Engine'!$C$2:$C$1369,0)),"",INDEX('Compliance Database'!$C$2:$C$1369,MATCH(1236,'Transfer Engine'!$C$2:$C$1369,0)))</f>
        <v/>
      </c>
      <c r="D1245" s="9">
        <f>IF(ISNA(MATCH(1236,'Transfer Engine'!$C$2:$C$1369,0)),"",INDEX('Compliance Database'!$D$2:$D$1369,MATCH(1236,'Transfer Engine'!$C$2:$C$1369,0)))</f>
        <v/>
      </c>
      <c r="E1245" s="8">
        <f>IF(ISNA(MATCH(1236,'Transfer Engine'!$C$2:$C$1369,0)),"",INDEX('Compliance Database'!$E$2:$E$1369,MATCH(1236,'Transfer Engine'!$C$2:$C$1369,0)))</f>
        <v/>
      </c>
      <c r="F1245" s="8">
        <f>IF(ISNA(MATCH(1236,'Transfer Engine'!$C$2:$C$1369,0)),"",INDEX('Compliance Database'!$F$2:$F$1369,MATCH(1236,'Transfer Engine'!$C$2:$C$1369,0)))</f>
        <v/>
      </c>
      <c r="G1245" s="8">
        <f>IF(ISNA(MATCH(1236,'Transfer Engine'!$C$2:$C$1369,0)),"",INDEX('Compliance Database'!$G$2:$G$1369,MATCH(1236,'Transfer Engine'!$C$2:$C$1369,0)))</f>
        <v/>
      </c>
      <c r="H1245" s="9">
        <f>IF(ISNA(MATCH(1236,'Transfer Engine'!$C$2:$C$1369,0)),"",INDEX('Compliance Database'!$H$2:$H$1369,MATCH(1236,'Transfer Engine'!$C$2:$C$1369,0)))</f>
        <v/>
      </c>
      <c r="I1245" s="9">
        <f>IF(ISNA(MATCH(1236,'Transfer Engine'!$C$2:$C$1369,0)),"",INDEX('Compliance Database'!$I$2:$I$1369,MATCH(1236,'Transfer Engine'!$C$2:$C$1369,0)))</f>
        <v/>
      </c>
      <c r="J1245" s="8">
        <f>IF(ISNA(MATCH(1236,'Transfer Engine'!$C$2:$C$1369,0)),"",INDEX('Compliance Database'!$J$2:$J$1369,MATCH(1236,'Transfer Engine'!$C$2:$C$1369,0)))</f>
        <v/>
      </c>
      <c r="K1245" s="9">
        <f>IF(ISNA(MATCH(1236,'Transfer Engine'!$C$2:$C$1369,0)),"",INDEX('Compliance Database'!$K$2:$K$1369,MATCH(1236,'Transfer Engine'!$C$2:$C$1369,0)))</f>
        <v/>
      </c>
      <c r="L1245" s="9">
        <f>IF(ISNA(MATCH(1236,'Transfer Engine'!$C$2:$C$1369,0)),"",INDEX('Compliance Database'!$L$2:$L$1369,MATCH(1236,'Transfer Engine'!$C$2:$C$1369,0)))</f>
        <v/>
      </c>
      <c r="M1245" s="9">
        <f>IF(ISNA(MATCH(1236,'Transfer Engine'!$C$2:$C$1369,0)),"",INDEX('Compliance Database'!$M$2:$M$1369,MATCH(1236,'Transfer Engine'!$C$2:$C$1369,0)))</f>
        <v/>
      </c>
      <c r="N1245" s="9">
        <f>IF(ISNA(MATCH(1236,'Transfer Engine'!$C$2:$C$1369,0)),"",INDEX('Compliance Database'!$N$2:$N$1369,MATCH(1236,'Transfer Engine'!$C$2:$C$1369,0)))</f>
        <v/>
      </c>
      <c r="O1245" s="8">
        <f>IF(ISNA(MATCH(1236,'Transfer Engine'!$C$2:$C$1369,0)),"",HYPERLINK(INDEX('Compliance Database'!$O$2:$O$1369,MATCH(1236,'Transfer Engine'!$C$2:$C$1369,0)),"Open PDF"))</f>
        <v/>
      </c>
    </row>
    <row r="1246" ht="188" customHeight="1">
      <c r="A1246" s="8">
        <f>IF(ISNA(MATCH(1237,'Transfer Engine'!$C$2:$C$1369,0)),"",INDEX('Compliance Database'!$A$2:$A$1369,MATCH(1237,'Transfer Engine'!$C$2:$C$1369,0)))</f>
        <v/>
      </c>
      <c r="B1246" s="8">
        <f>IF(ISNA(MATCH(1237,'Transfer Engine'!$C$2:$C$1369,0)),"",INDEX('Compliance Database'!$B$2:$B$1369,MATCH(1237,'Transfer Engine'!$C$2:$C$1369,0)))</f>
        <v/>
      </c>
      <c r="C1246" s="8">
        <f>IF(ISNA(MATCH(1237,'Transfer Engine'!$C$2:$C$1369,0)),"",INDEX('Compliance Database'!$C$2:$C$1369,MATCH(1237,'Transfer Engine'!$C$2:$C$1369,0)))</f>
        <v/>
      </c>
      <c r="D1246" s="9">
        <f>IF(ISNA(MATCH(1237,'Transfer Engine'!$C$2:$C$1369,0)),"",INDEX('Compliance Database'!$D$2:$D$1369,MATCH(1237,'Transfer Engine'!$C$2:$C$1369,0)))</f>
        <v/>
      </c>
      <c r="E1246" s="8">
        <f>IF(ISNA(MATCH(1237,'Transfer Engine'!$C$2:$C$1369,0)),"",INDEX('Compliance Database'!$E$2:$E$1369,MATCH(1237,'Transfer Engine'!$C$2:$C$1369,0)))</f>
        <v/>
      </c>
      <c r="F1246" s="8">
        <f>IF(ISNA(MATCH(1237,'Transfer Engine'!$C$2:$C$1369,0)),"",INDEX('Compliance Database'!$F$2:$F$1369,MATCH(1237,'Transfer Engine'!$C$2:$C$1369,0)))</f>
        <v/>
      </c>
      <c r="G1246" s="8">
        <f>IF(ISNA(MATCH(1237,'Transfer Engine'!$C$2:$C$1369,0)),"",INDEX('Compliance Database'!$G$2:$G$1369,MATCH(1237,'Transfer Engine'!$C$2:$C$1369,0)))</f>
        <v/>
      </c>
      <c r="H1246" s="9">
        <f>IF(ISNA(MATCH(1237,'Transfer Engine'!$C$2:$C$1369,0)),"",INDEX('Compliance Database'!$H$2:$H$1369,MATCH(1237,'Transfer Engine'!$C$2:$C$1369,0)))</f>
        <v/>
      </c>
      <c r="I1246" s="9">
        <f>IF(ISNA(MATCH(1237,'Transfer Engine'!$C$2:$C$1369,0)),"",INDEX('Compliance Database'!$I$2:$I$1369,MATCH(1237,'Transfer Engine'!$C$2:$C$1369,0)))</f>
        <v/>
      </c>
      <c r="J1246" s="8">
        <f>IF(ISNA(MATCH(1237,'Transfer Engine'!$C$2:$C$1369,0)),"",INDEX('Compliance Database'!$J$2:$J$1369,MATCH(1237,'Transfer Engine'!$C$2:$C$1369,0)))</f>
        <v/>
      </c>
      <c r="K1246" s="9">
        <f>IF(ISNA(MATCH(1237,'Transfer Engine'!$C$2:$C$1369,0)),"",INDEX('Compliance Database'!$K$2:$K$1369,MATCH(1237,'Transfer Engine'!$C$2:$C$1369,0)))</f>
        <v/>
      </c>
      <c r="L1246" s="9">
        <f>IF(ISNA(MATCH(1237,'Transfer Engine'!$C$2:$C$1369,0)),"",INDEX('Compliance Database'!$L$2:$L$1369,MATCH(1237,'Transfer Engine'!$C$2:$C$1369,0)))</f>
        <v/>
      </c>
      <c r="M1246" s="9">
        <f>IF(ISNA(MATCH(1237,'Transfer Engine'!$C$2:$C$1369,0)),"",INDEX('Compliance Database'!$M$2:$M$1369,MATCH(1237,'Transfer Engine'!$C$2:$C$1369,0)))</f>
        <v/>
      </c>
      <c r="N1246" s="9">
        <f>IF(ISNA(MATCH(1237,'Transfer Engine'!$C$2:$C$1369,0)),"",INDEX('Compliance Database'!$N$2:$N$1369,MATCH(1237,'Transfer Engine'!$C$2:$C$1369,0)))</f>
        <v/>
      </c>
      <c r="O1246" s="8">
        <f>IF(ISNA(MATCH(1237,'Transfer Engine'!$C$2:$C$1369,0)),"",HYPERLINK(INDEX('Compliance Database'!$O$2:$O$1369,MATCH(1237,'Transfer Engine'!$C$2:$C$1369,0)),"Open PDF"))</f>
        <v/>
      </c>
    </row>
    <row r="1247" ht="188" customHeight="1">
      <c r="A1247" s="8">
        <f>IF(ISNA(MATCH(1238,'Transfer Engine'!$C$2:$C$1369,0)),"",INDEX('Compliance Database'!$A$2:$A$1369,MATCH(1238,'Transfer Engine'!$C$2:$C$1369,0)))</f>
        <v/>
      </c>
      <c r="B1247" s="8">
        <f>IF(ISNA(MATCH(1238,'Transfer Engine'!$C$2:$C$1369,0)),"",INDEX('Compliance Database'!$B$2:$B$1369,MATCH(1238,'Transfer Engine'!$C$2:$C$1369,0)))</f>
        <v/>
      </c>
      <c r="C1247" s="8">
        <f>IF(ISNA(MATCH(1238,'Transfer Engine'!$C$2:$C$1369,0)),"",INDEX('Compliance Database'!$C$2:$C$1369,MATCH(1238,'Transfer Engine'!$C$2:$C$1369,0)))</f>
        <v/>
      </c>
      <c r="D1247" s="9">
        <f>IF(ISNA(MATCH(1238,'Transfer Engine'!$C$2:$C$1369,0)),"",INDEX('Compliance Database'!$D$2:$D$1369,MATCH(1238,'Transfer Engine'!$C$2:$C$1369,0)))</f>
        <v/>
      </c>
      <c r="E1247" s="8">
        <f>IF(ISNA(MATCH(1238,'Transfer Engine'!$C$2:$C$1369,0)),"",INDEX('Compliance Database'!$E$2:$E$1369,MATCH(1238,'Transfer Engine'!$C$2:$C$1369,0)))</f>
        <v/>
      </c>
      <c r="F1247" s="8">
        <f>IF(ISNA(MATCH(1238,'Transfer Engine'!$C$2:$C$1369,0)),"",INDEX('Compliance Database'!$F$2:$F$1369,MATCH(1238,'Transfer Engine'!$C$2:$C$1369,0)))</f>
        <v/>
      </c>
      <c r="G1247" s="8">
        <f>IF(ISNA(MATCH(1238,'Transfer Engine'!$C$2:$C$1369,0)),"",INDEX('Compliance Database'!$G$2:$G$1369,MATCH(1238,'Transfer Engine'!$C$2:$C$1369,0)))</f>
        <v/>
      </c>
      <c r="H1247" s="9">
        <f>IF(ISNA(MATCH(1238,'Transfer Engine'!$C$2:$C$1369,0)),"",INDEX('Compliance Database'!$H$2:$H$1369,MATCH(1238,'Transfer Engine'!$C$2:$C$1369,0)))</f>
        <v/>
      </c>
      <c r="I1247" s="9">
        <f>IF(ISNA(MATCH(1238,'Transfer Engine'!$C$2:$C$1369,0)),"",INDEX('Compliance Database'!$I$2:$I$1369,MATCH(1238,'Transfer Engine'!$C$2:$C$1369,0)))</f>
        <v/>
      </c>
      <c r="J1247" s="8">
        <f>IF(ISNA(MATCH(1238,'Transfer Engine'!$C$2:$C$1369,0)),"",INDEX('Compliance Database'!$J$2:$J$1369,MATCH(1238,'Transfer Engine'!$C$2:$C$1369,0)))</f>
        <v/>
      </c>
      <c r="K1247" s="9">
        <f>IF(ISNA(MATCH(1238,'Transfer Engine'!$C$2:$C$1369,0)),"",INDEX('Compliance Database'!$K$2:$K$1369,MATCH(1238,'Transfer Engine'!$C$2:$C$1369,0)))</f>
        <v/>
      </c>
      <c r="L1247" s="9">
        <f>IF(ISNA(MATCH(1238,'Transfer Engine'!$C$2:$C$1369,0)),"",INDEX('Compliance Database'!$L$2:$L$1369,MATCH(1238,'Transfer Engine'!$C$2:$C$1369,0)))</f>
        <v/>
      </c>
      <c r="M1247" s="9">
        <f>IF(ISNA(MATCH(1238,'Transfer Engine'!$C$2:$C$1369,0)),"",INDEX('Compliance Database'!$M$2:$M$1369,MATCH(1238,'Transfer Engine'!$C$2:$C$1369,0)))</f>
        <v/>
      </c>
      <c r="N1247" s="9">
        <f>IF(ISNA(MATCH(1238,'Transfer Engine'!$C$2:$C$1369,0)),"",INDEX('Compliance Database'!$N$2:$N$1369,MATCH(1238,'Transfer Engine'!$C$2:$C$1369,0)))</f>
        <v/>
      </c>
      <c r="O1247" s="8">
        <f>IF(ISNA(MATCH(1238,'Transfer Engine'!$C$2:$C$1369,0)),"",HYPERLINK(INDEX('Compliance Database'!$O$2:$O$1369,MATCH(1238,'Transfer Engine'!$C$2:$C$1369,0)),"Open PDF"))</f>
        <v/>
      </c>
    </row>
    <row r="1248" ht="188" customHeight="1">
      <c r="A1248" s="8">
        <f>IF(ISNA(MATCH(1239,'Transfer Engine'!$C$2:$C$1369,0)),"",INDEX('Compliance Database'!$A$2:$A$1369,MATCH(1239,'Transfer Engine'!$C$2:$C$1369,0)))</f>
        <v/>
      </c>
      <c r="B1248" s="8">
        <f>IF(ISNA(MATCH(1239,'Transfer Engine'!$C$2:$C$1369,0)),"",INDEX('Compliance Database'!$B$2:$B$1369,MATCH(1239,'Transfer Engine'!$C$2:$C$1369,0)))</f>
        <v/>
      </c>
      <c r="C1248" s="8">
        <f>IF(ISNA(MATCH(1239,'Transfer Engine'!$C$2:$C$1369,0)),"",INDEX('Compliance Database'!$C$2:$C$1369,MATCH(1239,'Transfer Engine'!$C$2:$C$1369,0)))</f>
        <v/>
      </c>
      <c r="D1248" s="9">
        <f>IF(ISNA(MATCH(1239,'Transfer Engine'!$C$2:$C$1369,0)),"",INDEX('Compliance Database'!$D$2:$D$1369,MATCH(1239,'Transfer Engine'!$C$2:$C$1369,0)))</f>
        <v/>
      </c>
      <c r="E1248" s="8">
        <f>IF(ISNA(MATCH(1239,'Transfer Engine'!$C$2:$C$1369,0)),"",INDEX('Compliance Database'!$E$2:$E$1369,MATCH(1239,'Transfer Engine'!$C$2:$C$1369,0)))</f>
        <v/>
      </c>
      <c r="F1248" s="8">
        <f>IF(ISNA(MATCH(1239,'Transfer Engine'!$C$2:$C$1369,0)),"",INDEX('Compliance Database'!$F$2:$F$1369,MATCH(1239,'Transfer Engine'!$C$2:$C$1369,0)))</f>
        <v/>
      </c>
      <c r="G1248" s="8">
        <f>IF(ISNA(MATCH(1239,'Transfer Engine'!$C$2:$C$1369,0)),"",INDEX('Compliance Database'!$G$2:$G$1369,MATCH(1239,'Transfer Engine'!$C$2:$C$1369,0)))</f>
        <v/>
      </c>
      <c r="H1248" s="9">
        <f>IF(ISNA(MATCH(1239,'Transfer Engine'!$C$2:$C$1369,0)),"",INDEX('Compliance Database'!$H$2:$H$1369,MATCH(1239,'Transfer Engine'!$C$2:$C$1369,0)))</f>
        <v/>
      </c>
      <c r="I1248" s="9">
        <f>IF(ISNA(MATCH(1239,'Transfer Engine'!$C$2:$C$1369,0)),"",INDEX('Compliance Database'!$I$2:$I$1369,MATCH(1239,'Transfer Engine'!$C$2:$C$1369,0)))</f>
        <v/>
      </c>
      <c r="J1248" s="8">
        <f>IF(ISNA(MATCH(1239,'Transfer Engine'!$C$2:$C$1369,0)),"",INDEX('Compliance Database'!$J$2:$J$1369,MATCH(1239,'Transfer Engine'!$C$2:$C$1369,0)))</f>
        <v/>
      </c>
      <c r="K1248" s="9">
        <f>IF(ISNA(MATCH(1239,'Transfer Engine'!$C$2:$C$1369,0)),"",INDEX('Compliance Database'!$K$2:$K$1369,MATCH(1239,'Transfer Engine'!$C$2:$C$1369,0)))</f>
        <v/>
      </c>
      <c r="L1248" s="9">
        <f>IF(ISNA(MATCH(1239,'Transfer Engine'!$C$2:$C$1369,0)),"",INDEX('Compliance Database'!$L$2:$L$1369,MATCH(1239,'Transfer Engine'!$C$2:$C$1369,0)))</f>
        <v/>
      </c>
      <c r="M1248" s="9">
        <f>IF(ISNA(MATCH(1239,'Transfer Engine'!$C$2:$C$1369,0)),"",INDEX('Compliance Database'!$M$2:$M$1369,MATCH(1239,'Transfer Engine'!$C$2:$C$1369,0)))</f>
        <v/>
      </c>
      <c r="N1248" s="9">
        <f>IF(ISNA(MATCH(1239,'Transfer Engine'!$C$2:$C$1369,0)),"",INDEX('Compliance Database'!$N$2:$N$1369,MATCH(1239,'Transfer Engine'!$C$2:$C$1369,0)))</f>
        <v/>
      </c>
      <c r="O1248" s="8">
        <f>IF(ISNA(MATCH(1239,'Transfer Engine'!$C$2:$C$1369,0)),"",HYPERLINK(INDEX('Compliance Database'!$O$2:$O$1369,MATCH(1239,'Transfer Engine'!$C$2:$C$1369,0)),"Open PDF"))</f>
        <v/>
      </c>
    </row>
    <row r="1249" ht="188" customHeight="1">
      <c r="A1249" s="8">
        <f>IF(ISNA(MATCH(1240,'Transfer Engine'!$C$2:$C$1369,0)),"",INDEX('Compliance Database'!$A$2:$A$1369,MATCH(1240,'Transfer Engine'!$C$2:$C$1369,0)))</f>
        <v/>
      </c>
      <c r="B1249" s="8">
        <f>IF(ISNA(MATCH(1240,'Transfer Engine'!$C$2:$C$1369,0)),"",INDEX('Compliance Database'!$B$2:$B$1369,MATCH(1240,'Transfer Engine'!$C$2:$C$1369,0)))</f>
        <v/>
      </c>
      <c r="C1249" s="8">
        <f>IF(ISNA(MATCH(1240,'Transfer Engine'!$C$2:$C$1369,0)),"",INDEX('Compliance Database'!$C$2:$C$1369,MATCH(1240,'Transfer Engine'!$C$2:$C$1369,0)))</f>
        <v/>
      </c>
      <c r="D1249" s="9">
        <f>IF(ISNA(MATCH(1240,'Transfer Engine'!$C$2:$C$1369,0)),"",INDEX('Compliance Database'!$D$2:$D$1369,MATCH(1240,'Transfer Engine'!$C$2:$C$1369,0)))</f>
        <v/>
      </c>
      <c r="E1249" s="8">
        <f>IF(ISNA(MATCH(1240,'Transfer Engine'!$C$2:$C$1369,0)),"",INDEX('Compliance Database'!$E$2:$E$1369,MATCH(1240,'Transfer Engine'!$C$2:$C$1369,0)))</f>
        <v/>
      </c>
      <c r="F1249" s="8">
        <f>IF(ISNA(MATCH(1240,'Transfer Engine'!$C$2:$C$1369,0)),"",INDEX('Compliance Database'!$F$2:$F$1369,MATCH(1240,'Transfer Engine'!$C$2:$C$1369,0)))</f>
        <v/>
      </c>
      <c r="G1249" s="8">
        <f>IF(ISNA(MATCH(1240,'Transfer Engine'!$C$2:$C$1369,0)),"",INDEX('Compliance Database'!$G$2:$G$1369,MATCH(1240,'Transfer Engine'!$C$2:$C$1369,0)))</f>
        <v/>
      </c>
      <c r="H1249" s="9">
        <f>IF(ISNA(MATCH(1240,'Transfer Engine'!$C$2:$C$1369,0)),"",INDEX('Compliance Database'!$H$2:$H$1369,MATCH(1240,'Transfer Engine'!$C$2:$C$1369,0)))</f>
        <v/>
      </c>
      <c r="I1249" s="9">
        <f>IF(ISNA(MATCH(1240,'Transfer Engine'!$C$2:$C$1369,0)),"",INDEX('Compliance Database'!$I$2:$I$1369,MATCH(1240,'Transfer Engine'!$C$2:$C$1369,0)))</f>
        <v/>
      </c>
      <c r="J1249" s="8">
        <f>IF(ISNA(MATCH(1240,'Transfer Engine'!$C$2:$C$1369,0)),"",INDEX('Compliance Database'!$J$2:$J$1369,MATCH(1240,'Transfer Engine'!$C$2:$C$1369,0)))</f>
        <v/>
      </c>
      <c r="K1249" s="9">
        <f>IF(ISNA(MATCH(1240,'Transfer Engine'!$C$2:$C$1369,0)),"",INDEX('Compliance Database'!$K$2:$K$1369,MATCH(1240,'Transfer Engine'!$C$2:$C$1369,0)))</f>
        <v/>
      </c>
      <c r="L1249" s="9">
        <f>IF(ISNA(MATCH(1240,'Transfer Engine'!$C$2:$C$1369,0)),"",INDEX('Compliance Database'!$L$2:$L$1369,MATCH(1240,'Transfer Engine'!$C$2:$C$1369,0)))</f>
        <v/>
      </c>
      <c r="M1249" s="9">
        <f>IF(ISNA(MATCH(1240,'Transfer Engine'!$C$2:$C$1369,0)),"",INDEX('Compliance Database'!$M$2:$M$1369,MATCH(1240,'Transfer Engine'!$C$2:$C$1369,0)))</f>
        <v/>
      </c>
      <c r="N1249" s="9">
        <f>IF(ISNA(MATCH(1240,'Transfer Engine'!$C$2:$C$1369,0)),"",INDEX('Compliance Database'!$N$2:$N$1369,MATCH(1240,'Transfer Engine'!$C$2:$C$1369,0)))</f>
        <v/>
      </c>
      <c r="O1249" s="8">
        <f>IF(ISNA(MATCH(1240,'Transfer Engine'!$C$2:$C$1369,0)),"",HYPERLINK(INDEX('Compliance Database'!$O$2:$O$1369,MATCH(1240,'Transfer Engine'!$C$2:$C$1369,0)),"Open PDF"))</f>
        <v/>
      </c>
    </row>
    <row r="1250" ht="188" customHeight="1">
      <c r="A1250" s="8">
        <f>IF(ISNA(MATCH(1241,'Transfer Engine'!$C$2:$C$1369,0)),"",INDEX('Compliance Database'!$A$2:$A$1369,MATCH(1241,'Transfer Engine'!$C$2:$C$1369,0)))</f>
        <v/>
      </c>
      <c r="B1250" s="8">
        <f>IF(ISNA(MATCH(1241,'Transfer Engine'!$C$2:$C$1369,0)),"",INDEX('Compliance Database'!$B$2:$B$1369,MATCH(1241,'Transfer Engine'!$C$2:$C$1369,0)))</f>
        <v/>
      </c>
      <c r="C1250" s="8">
        <f>IF(ISNA(MATCH(1241,'Transfer Engine'!$C$2:$C$1369,0)),"",INDEX('Compliance Database'!$C$2:$C$1369,MATCH(1241,'Transfer Engine'!$C$2:$C$1369,0)))</f>
        <v/>
      </c>
      <c r="D1250" s="9">
        <f>IF(ISNA(MATCH(1241,'Transfer Engine'!$C$2:$C$1369,0)),"",INDEX('Compliance Database'!$D$2:$D$1369,MATCH(1241,'Transfer Engine'!$C$2:$C$1369,0)))</f>
        <v/>
      </c>
      <c r="E1250" s="8">
        <f>IF(ISNA(MATCH(1241,'Transfer Engine'!$C$2:$C$1369,0)),"",INDEX('Compliance Database'!$E$2:$E$1369,MATCH(1241,'Transfer Engine'!$C$2:$C$1369,0)))</f>
        <v/>
      </c>
      <c r="F1250" s="8">
        <f>IF(ISNA(MATCH(1241,'Transfer Engine'!$C$2:$C$1369,0)),"",INDEX('Compliance Database'!$F$2:$F$1369,MATCH(1241,'Transfer Engine'!$C$2:$C$1369,0)))</f>
        <v/>
      </c>
      <c r="G1250" s="8">
        <f>IF(ISNA(MATCH(1241,'Transfer Engine'!$C$2:$C$1369,0)),"",INDEX('Compliance Database'!$G$2:$G$1369,MATCH(1241,'Transfer Engine'!$C$2:$C$1369,0)))</f>
        <v/>
      </c>
      <c r="H1250" s="9">
        <f>IF(ISNA(MATCH(1241,'Transfer Engine'!$C$2:$C$1369,0)),"",INDEX('Compliance Database'!$H$2:$H$1369,MATCH(1241,'Transfer Engine'!$C$2:$C$1369,0)))</f>
        <v/>
      </c>
      <c r="I1250" s="9">
        <f>IF(ISNA(MATCH(1241,'Transfer Engine'!$C$2:$C$1369,0)),"",INDEX('Compliance Database'!$I$2:$I$1369,MATCH(1241,'Transfer Engine'!$C$2:$C$1369,0)))</f>
        <v/>
      </c>
      <c r="J1250" s="8">
        <f>IF(ISNA(MATCH(1241,'Transfer Engine'!$C$2:$C$1369,0)),"",INDEX('Compliance Database'!$J$2:$J$1369,MATCH(1241,'Transfer Engine'!$C$2:$C$1369,0)))</f>
        <v/>
      </c>
      <c r="K1250" s="9">
        <f>IF(ISNA(MATCH(1241,'Transfer Engine'!$C$2:$C$1369,0)),"",INDEX('Compliance Database'!$K$2:$K$1369,MATCH(1241,'Transfer Engine'!$C$2:$C$1369,0)))</f>
        <v/>
      </c>
      <c r="L1250" s="9">
        <f>IF(ISNA(MATCH(1241,'Transfer Engine'!$C$2:$C$1369,0)),"",INDEX('Compliance Database'!$L$2:$L$1369,MATCH(1241,'Transfer Engine'!$C$2:$C$1369,0)))</f>
        <v/>
      </c>
      <c r="M1250" s="9">
        <f>IF(ISNA(MATCH(1241,'Transfer Engine'!$C$2:$C$1369,0)),"",INDEX('Compliance Database'!$M$2:$M$1369,MATCH(1241,'Transfer Engine'!$C$2:$C$1369,0)))</f>
        <v/>
      </c>
      <c r="N1250" s="9">
        <f>IF(ISNA(MATCH(1241,'Transfer Engine'!$C$2:$C$1369,0)),"",INDEX('Compliance Database'!$N$2:$N$1369,MATCH(1241,'Transfer Engine'!$C$2:$C$1369,0)))</f>
        <v/>
      </c>
      <c r="O1250" s="8">
        <f>IF(ISNA(MATCH(1241,'Transfer Engine'!$C$2:$C$1369,0)),"",HYPERLINK(INDEX('Compliance Database'!$O$2:$O$1369,MATCH(1241,'Transfer Engine'!$C$2:$C$1369,0)),"Open PDF"))</f>
        <v/>
      </c>
    </row>
    <row r="1251" ht="188" customHeight="1">
      <c r="A1251" s="8">
        <f>IF(ISNA(MATCH(1242,'Transfer Engine'!$C$2:$C$1369,0)),"",INDEX('Compliance Database'!$A$2:$A$1369,MATCH(1242,'Transfer Engine'!$C$2:$C$1369,0)))</f>
        <v/>
      </c>
      <c r="B1251" s="8">
        <f>IF(ISNA(MATCH(1242,'Transfer Engine'!$C$2:$C$1369,0)),"",INDEX('Compliance Database'!$B$2:$B$1369,MATCH(1242,'Transfer Engine'!$C$2:$C$1369,0)))</f>
        <v/>
      </c>
      <c r="C1251" s="8">
        <f>IF(ISNA(MATCH(1242,'Transfer Engine'!$C$2:$C$1369,0)),"",INDEX('Compliance Database'!$C$2:$C$1369,MATCH(1242,'Transfer Engine'!$C$2:$C$1369,0)))</f>
        <v/>
      </c>
      <c r="D1251" s="9">
        <f>IF(ISNA(MATCH(1242,'Transfer Engine'!$C$2:$C$1369,0)),"",INDEX('Compliance Database'!$D$2:$D$1369,MATCH(1242,'Transfer Engine'!$C$2:$C$1369,0)))</f>
        <v/>
      </c>
      <c r="E1251" s="8">
        <f>IF(ISNA(MATCH(1242,'Transfer Engine'!$C$2:$C$1369,0)),"",INDEX('Compliance Database'!$E$2:$E$1369,MATCH(1242,'Transfer Engine'!$C$2:$C$1369,0)))</f>
        <v/>
      </c>
      <c r="F1251" s="8">
        <f>IF(ISNA(MATCH(1242,'Transfer Engine'!$C$2:$C$1369,0)),"",INDEX('Compliance Database'!$F$2:$F$1369,MATCH(1242,'Transfer Engine'!$C$2:$C$1369,0)))</f>
        <v/>
      </c>
      <c r="G1251" s="8">
        <f>IF(ISNA(MATCH(1242,'Transfer Engine'!$C$2:$C$1369,0)),"",INDEX('Compliance Database'!$G$2:$G$1369,MATCH(1242,'Transfer Engine'!$C$2:$C$1369,0)))</f>
        <v/>
      </c>
      <c r="H1251" s="9">
        <f>IF(ISNA(MATCH(1242,'Transfer Engine'!$C$2:$C$1369,0)),"",INDEX('Compliance Database'!$H$2:$H$1369,MATCH(1242,'Transfer Engine'!$C$2:$C$1369,0)))</f>
        <v/>
      </c>
      <c r="I1251" s="9">
        <f>IF(ISNA(MATCH(1242,'Transfer Engine'!$C$2:$C$1369,0)),"",INDEX('Compliance Database'!$I$2:$I$1369,MATCH(1242,'Transfer Engine'!$C$2:$C$1369,0)))</f>
        <v/>
      </c>
      <c r="J1251" s="8">
        <f>IF(ISNA(MATCH(1242,'Transfer Engine'!$C$2:$C$1369,0)),"",INDEX('Compliance Database'!$J$2:$J$1369,MATCH(1242,'Transfer Engine'!$C$2:$C$1369,0)))</f>
        <v/>
      </c>
      <c r="K1251" s="9">
        <f>IF(ISNA(MATCH(1242,'Transfer Engine'!$C$2:$C$1369,0)),"",INDEX('Compliance Database'!$K$2:$K$1369,MATCH(1242,'Transfer Engine'!$C$2:$C$1369,0)))</f>
        <v/>
      </c>
      <c r="L1251" s="9">
        <f>IF(ISNA(MATCH(1242,'Transfer Engine'!$C$2:$C$1369,0)),"",INDEX('Compliance Database'!$L$2:$L$1369,MATCH(1242,'Transfer Engine'!$C$2:$C$1369,0)))</f>
        <v/>
      </c>
      <c r="M1251" s="9">
        <f>IF(ISNA(MATCH(1242,'Transfer Engine'!$C$2:$C$1369,0)),"",INDEX('Compliance Database'!$M$2:$M$1369,MATCH(1242,'Transfer Engine'!$C$2:$C$1369,0)))</f>
        <v/>
      </c>
      <c r="N1251" s="9">
        <f>IF(ISNA(MATCH(1242,'Transfer Engine'!$C$2:$C$1369,0)),"",INDEX('Compliance Database'!$N$2:$N$1369,MATCH(1242,'Transfer Engine'!$C$2:$C$1369,0)))</f>
        <v/>
      </c>
      <c r="O1251" s="8">
        <f>IF(ISNA(MATCH(1242,'Transfer Engine'!$C$2:$C$1369,0)),"",HYPERLINK(INDEX('Compliance Database'!$O$2:$O$1369,MATCH(1242,'Transfer Engine'!$C$2:$C$1369,0)),"Open PDF"))</f>
        <v/>
      </c>
    </row>
    <row r="1252" ht="188" customHeight="1">
      <c r="A1252" s="8">
        <f>IF(ISNA(MATCH(1243,'Transfer Engine'!$C$2:$C$1369,0)),"",INDEX('Compliance Database'!$A$2:$A$1369,MATCH(1243,'Transfer Engine'!$C$2:$C$1369,0)))</f>
        <v/>
      </c>
      <c r="B1252" s="8">
        <f>IF(ISNA(MATCH(1243,'Transfer Engine'!$C$2:$C$1369,0)),"",INDEX('Compliance Database'!$B$2:$B$1369,MATCH(1243,'Transfer Engine'!$C$2:$C$1369,0)))</f>
        <v/>
      </c>
      <c r="C1252" s="8">
        <f>IF(ISNA(MATCH(1243,'Transfer Engine'!$C$2:$C$1369,0)),"",INDEX('Compliance Database'!$C$2:$C$1369,MATCH(1243,'Transfer Engine'!$C$2:$C$1369,0)))</f>
        <v/>
      </c>
      <c r="D1252" s="9">
        <f>IF(ISNA(MATCH(1243,'Transfer Engine'!$C$2:$C$1369,0)),"",INDEX('Compliance Database'!$D$2:$D$1369,MATCH(1243,'Transfer Engine'!$C$2:$C$1369,0)))</f>
        <v/>
      </c>
      <c r="E1252" s="8">
        <f>IF(ISNA(MATCH(1243,'Transfer Engine'!$C$2:$C$1369,0)),"",INDEX('Compliance Database'!$E$2:$E$1369,MATCH(1243,'Transfer Engine'!$C$2:$C$1369,0)))</f>
        <v/>
      </c>
      <c r="F1252" s="8">
        <f>IF(ISNA(MATCH(1243,'Transfer Engine'!$C$2:$C$1369,0)),"",INDEX('Compliance Database'!$F$2:$F$1369,MATCH(1243,'Transfer Engine'!$C$2:$C$1369,0)))</f>
        <v/>
      </c>
      <c r="G1252" s="8">
        <f>IF(ISNA(MATCH(1243,'Transfer Engine'!$C$2:$C$1369,0)),"",INDEX('Compliance Database'!$G$2:$G$1369,MATCH(1243,'Transfer Engine'!$C$2:$C$1369,0)))</f>
        <v/>
      </c>
      <c r="H1252" s="9">
        <f>IF(ISNA(MATCH(1243,'Transfer Engine'!$C$2:$C$1369,0)),"",INDEX('Compliance Database'!$H$2:$H$1369,MATCH(1243,'Transfer Engine'!$C$2:$C$1369,0)))</f>
        <v/>
      </c>
      <c r="I1252" s="9">
        <f>IF(ISNA(MATCH(1243,'Transfer Engine'!$C$2:$C$1369,0)),"",INDEX('Compliance Database'!$I$2:$I$1369,MATCH(1243,'Transfer Engine'!$C$2:$C$1369,0)))</f>
        <v/>
      </c>
      <c r="J1252" s="8">
        <f>IF(ISNA(MATCH(1243,'Transfer Engine'!$C$2:$C$1369,0)),"",INDEX('Compliance Database'!$J$2:$J$1369,MATCH(1243,'Transfer Engine'!$C$2:$C$1369,0)))</f>
        <v/>
      </c>
      <c r="K1252" s="9">
        <f>IF(ISNA(MATCH(1243,'Transfer Engine'!$C$2:$C$1369,0)),"",INDEX('Compliance Database'!$K$2:$K$1369,MATCH(1243,'Transfer Engine'!$C$2:$C$1369,0)))</f>
        <v/>
      </c>
      <c r="L1252" s="9">
        <f>IF(ISNA(MATCH(1243,'Transfer Engine'!$C$2:$C$1369,0)),"",INDEX('Compliance Database'!$L$2:$L$1369,MATCH(1243,'Transfer Engine'!$C$2:$C$1369,0)))</f>
        <v/>
      </c>
      <c r="M1252" s="9">
        <f>IF(ISNA(MATCH(1243,'Transfer Engine'!$C$2:$C$1369,0)),"",INDEX('Compliance Database'!$M$2:$M$1369,MATCH(1243,'Transfer Engine'!$C$2:$C$1369,0)))</f>
        <v/>
      </c>
      <c r="N1252" s="9">
        <f>IF(ISNA(MATCH(1243,'Transfer Engine'!$C$2:$C$1369,0)),"",INDEX('Compliance Database'!$N$2:$N$1369,MATCH(1243,'Transfer Engine'!$C$2:$C$1369,0)))</f>
        <v/>
      </c>
      <c r="O1252" s="8">
        <f>IF(ISNA(MATCH(1243,'Transfer Engine'!$C$2:$C$1369,0)),"",HYPERLINK(INDEX('Compliance Database'!$O$2:$O$1369,MATCH(1243,'Transfer Engine'!$C$2:$C$1369,0)),"Open PDF"))</f>
        <v/>
      </c>
    </row>
    <row r="1253" ht="188" customHeight="1">
      <c r="A1253" s="8">
        <f>IF(ISNA(MATCH(1244,'Transfer Engine'!$C$2:$C$1369,0)),"",INDEX('Compliance Database'!$A$2:$A$1369,MATCH(1244,'Transfer Engine'!$C$2:$C$1369,0)))</f>
        <v/>
      </c>
      <c r="B1253" s="8">
        <f>IF(ISNA(MATCH(1244,'Transfer Engine'!$C$2:$C$1369,0)),"",INDEX('Compliance Database'!$B$2:$B$1369,MATCH(1244,'Transfer Engine'!$C$2:$C$1369,0)))</f>
        <v/>
      </c>
      <c r="C1253" s="8">
        <f>IF(ISNA(MATCH(1244,'Transfer Engine'!$C$2:$C$1369,0)),"",INDEX('Compliance Database'!$C$2:$C$1369,MATCH(1244,'Transfer Engine'!$C$2:$C$1369,0)))</f>
        <v/>
      </c>
      <c r="D1253" s="9">
        <f>IF(ISNA(MATCH(1244,'Transfer Engine'!$C$2:$C$1369,0)),"",INDEX('Compliance Database'!$D$2:$D$1369,MATCH(1244,'Transfer Engine'!$C$2:$C$1369,0)))</f>
        <v/>
      </c>
      <c r="E1253" s="8">
        <f>IF(ISNA(MATCH(1244,'Transfer Engine'!$C$2:$C$1369,0)),"",INDEX('Compliance Database'!$E$2:$E$1369,MATCH(1244,'Transfer Engine'!$C$2:$C$1369,0)))</f>
        <v/>
      </c>
      <c r="F1253" s="8">
        <f>IF(ISNA(MATCH(1244,'Transfer Engine'!$C$2:$C$1369,0)),"",INDEX('Compliance Database'!$F$2:$F$1369,MATCH(1244,'Transfer Engine'!$C$2:$C$1369,0)))</f>
        <v/>
      </c>
      <c r="G1253" s="8">
        <f>IF(ISNA(MATCH(1244,'Transfer Engine'!$C$2:$C$1369,0)),"",INDEX('Compliance Database'!$G$2:$G$1369,MATCH(1244,'Transfer Engine'!$C$2:$C$1369,0)))</f>
        <v/>
      </c>
      <c r="H1253" s="9">
        <f>IF(ISNA(MATCH(1244,'Transfer Engine'!$C$2:$C$1369,0)),"",INDEX('Compliance Database'!$H$2:$H$1369,MATCH(1244,'Transfer Engine'!$C$2:$C$1369,0)))</f>
        <v/>
      </c>
      <c r="I1253" s="9">
        <f>IF(ISNA(MATCH(1244,'Transfer Engine'!$C$2:$C$1369,0)),"",INDEX('Compliance Database'!$I$2:$I$1369,MATCH(1244,'Transfer Engine'!$C$2:$C$1369,0)))</f>
        <v/>
      </c>
      <c r="J1253" s="8">
        <f>IF(ISNA(MATCH(1244,'Transfer Engine'!$C$2:$C$1369,0)),"",INDEX('Compliance Database'!$J$2:$J$1369,MATCH(1244,'Transfer Engine'!$C$2:$C$1369,0)))</f>
        <v/>
      </c>
      <c r="K1253" s="9">
        <f>IF(ISNA(MATCH(1244,'Transfer Engine'!$C$2:$C$1369,0)),"",INDEX('Compliance Database'!$K$2:$K$1369,MATCH(1244,'Transfer Engine'!$C$2:$C$1369,0)))</f>
        <v/>
      </c>
      <c r="L1253" s="9">
        <f>IF(ISNA(MATCH(1244,'Transfer Engine'!$C$2:$C$1369,0)),"",INDEX('Compliance Database'!$L$2:$L$1369,MATCH(1244,'Transfer Engine'!$C$2:$C$1369,0)))</f>
        <v/>
      </c>
      <c r="M1253" s="9">
        <f>IF(ISNA(MATCH(1244,'Transfer Engine'!$C$2:$C$1369,0)),"",INDEX('Compliance Database'!$M$2:$M$1369,MATCH(1244,'Transfer Engine'!$C$2:$C$1369,0)))</f>
        <v/>
      </c>
      <c r="N1253" s="9">
        <f>IF(ISNA(MATCH(1244,'Transfer Engine'!$C$2:$C$1369,0)),"",INDEX('Compliance Database'!$N$2:$N$1369,MATCH(1244,'Transfer Engine'!$C$2:$C$1369,0)))</f>
        <v/>
      </c>
      <c r="O1253" s="8">
        <f>IF(ISNA(MATCH(1244,'Transfer Engine'!$C$2:$C$1369,0)),"",HYPERLINK(INDEX('Compliance Database'!$O$2:$O$1369,MATCH(1244,'Transfer Engine'!$C$2:$C$1369,0)),"Open PDF"))</f>
        <v/>
      </c>
    </row>
    <row r="1254" ht="188" customHeight="1">
      <c r="A1254" s="8">
        <f>IF(ISNA(MATCH(1245,'Transfer Engine'!$C$2:$C$1369,0)),"",INDEX('Compliance Database'!$A$2:$A$1369,MATCH(1245,'Transfer Engine'!$C$2:$C$1369,0)))</f>
        <v/>
      </c>
      <c r="B1254" s="8">
        <f>IF(ISNA(MATCH(1245,'Transfer Engine'!$C$2:$C$1369,0)),"",INDEX('Compliance Database'!$B$2:$B$1369,MATCH(1245,'Transfer Engine'!$C$2:$C$1369,0)))</f>
        <v/>
      </c>
      <c r="C1254" s="8">
        <f>IF(ISNA(MATCH(1245,'Transfer Engine'!$C$2:$C$1369,0)),"",INDEX('Compliance Database'!$C$2:$C$1369,MATCH(1245,'Transfer Engine'!$C$2:$C$1369,0)))</f>
        <v/>
      </c>
      <c r="D1254" s="9">
        <f>IF(ISNA(MATCH(1245,'Transfer Engine'!$C$2:$C$1369,0)),"",INDEX('Compliance Database'!$D$2:$D$1369,MATCH(1245,'Transfer Engine'!$C$2:$C$1369,0)))</f>
        <v/>
      </c>
      <c r="E1254" s="8">
        <f>IF(ISNA(MATCH(1245,'Transfer Engine'!$C$2:$C$1369,0)),"",INDEX('Compliance Database'!$E$2:$E$1369,MATCH(1245,'Transfer Engine'!$C$2:$C$1369,0)))</f>
        <v/>
      </c>
      <c r="F1254" s="8">
        <f>IF(ISNA(MATCH(1245,'Transfer Engine'!$C$2:$C$1369,0)),"",INDEX('Compliance Database'!$F$2:$F$1369,MATCH(1245,'Transfer Engine'!$C$2:$C$1369,0)))</f>
        <v/>
      </c>
      <c r="G1254" s="8">
        <f>IF(ISNA(MATCH(1245,'Transfer Engine'!$C$2:$C$1369,0)),"",INDEX('Compliance Database'!$G$2:$G$1369,MATCH(1245,'Transfer Engine'!$C$2:$C$1369,0)))</f>
        <v/>
      </c>
      <c r="H1254" s="9">
        <f>IF(ISNA(MATCH(1245,'Transfer Engine'!$C$2:$C$1369,0)),"",INDEX('Compliance Database'!$H$2:$H$1369,MATCH(1245,'Transfer Engine'!$C$2:$C$1369,0)))</f>
        <v/>
      </c>
      <c r="I1254" s="9">
        <f>IF(ISNA(MATCH(1245,'Transfer Engine'!$C$2:$C$1369,0)),"",INDEX('Compliance Database'!$I$2:$I$1369,MATCH(1245,'Transfer Engine'!$C$2:$C$1369,0)))</f>
        <v/>
      </c>
      <c r="J1254" s="8">
        <f>IF(ISNA(MATCH(1245,'Transfer Engine'!$C$2:$C$1369,0)),"",INDEX('Compliance Database'!$J$2:$J$1369,MATCH(1245,'Transfer Engine'!$C$2:$C$1369,0)))</f>
        <v/>
      </c>
      <c r="K1254" s="9">
        <f>IF(ISNA(MATCH(1245,'Transfer Engine'!$C$2:$C$1369,0)),"",INDEX('Compliance Database'!$K$2:$K$1369,MATCH(1245,'Transfer Engine'!$C$2:$C$1369,0)))</f>
        <v/>
      </c>
      <c r="L1254" s="9">
        <f>IF(ISNA(MATCH(1245,'Transfer Engine'!$C$2:$C$1369,0)),"",INDEX('Compliance Database'!$L$2:$L$1369,MATCH(1245,'Transfer Engine'!$C$2:$C$1369,0)))</f>
        <v/>
      </c>
      <c r="M1254" s="9">
        <f>IF(ISNA(MATCH(1245,'Transfer Engine'!$C$2:$C$1369,0)),"",INDEX('Compliance Database'!$M$2:$M$1369,MATCH(1245,'Transfer Engine'!$C$2:$C$1369,0)))</f>
        <v/>
      </c>
      <c r="N1254" s="9">
        <f>IF(ISNA(MATCH(1245,'Transfer Engine'!$C$2:$C$1369,0)),"",INDEX('Compliance Database'!$N$2:$N$1369,MATCH(1245,'Transfer Engine'!$C$2:$C$1369,0)))</f>
        <v/>
      </c>
      <c r="O1254" s="8">
        <f>IF(ISNA(MATCH(1245,'Transfer Engine'!$C$2:$C$1369,0)),"",HYPERLINK(INDEX('Compliance Database'!$O$2:$O$1369,MATCH(1245,'Transfer Engine'!$C$2:$C$1369,0)),"Open PDF"))</f>
        <v/>
      </c>
    </row>
    <row r="1255" ht="188" customHeight="1">
      <c r="A1255" s="8">
        <f>IF(ISNA(MATCH(1246,'Transfer Engine'!$C$2:$C$1369,0)),"",INDEX('Compliance Database'!$A$2:$A$1369,MATCH(1246,'Transfer Engine'!$C$2:$C$1369,0)))</f>
        <v/>
      </c>
      <c r="B1255" s="8">
        <f>IF(ISNA(MATCH(1246,'Transfer Engine'!$C$2:$C$1369,0)),"",INDEX('Compliance Database'!$B$2:$B$1369,MATCH(1246,'Transfer Engine'!$C$2:$C$1369,0)))</f>
        <v/>
      </c>
      <c r="C1255" s="8">
        <f>IF(ISNA(MATCH(1246,'Transfer Engine'!$C$2:$C$1369,0)),"",INDEX('Compliance Database'!$C$2:$C$1369,MATCH(1246,'Transfer Engine'!$C$2:$C$1369,0)))</f>
        <v/>
      </c>
      <c r="D1255" s="9">
        <f>IF(ISNA(MATCH(1246,'Transfer Engine'!$C$2:$C$1369,0)),"",INDEX('Compliance Database'!$D$2:$D$1369,MATCH(1246,'Transfer Engine'!$C$2:$C$1369,0)))</f>
        <v/>
      </c>
      <c r="E1255" s="8">
        <f>IF(ISNA(MATCH(1246,'Transfer Engine'!$C$2:$C$1369,0)),"",INDEX('Compliance Database'!$E$2:$E$1369,MATCH(1246,'Transfer Engine'!$C$2:$C$1369,0)))</f>
        <v/>
      </c>
      <c r="F1255" s="8">
        <f>IF(ISNA(MATCH(1246,'Transfer Engine'!$C$2:$C$1369,0)),"",INDEX('Compliance Database'!$F$2:$F$1369,MATCH(1246,'Transfer Engine'!$C$2:$C$1369,0)))</f>
        <v/>
      </c>
      <c r="G1255" s="8">
        <f>IF(ISNA(MATCH(1246,'Transfer Engine'!$C$2:$C$1369,0)),"",INDEX('Compliance Database'!$G$2:$G$1369,MATCH(1246,'Transfer Engine'!$C$2:$C$1369,0)))</f>
        <v/>
      </c>
      <c r="H1255" s="9">
        <f>IF(ISNA(MATCH(1246,'Transfer Engine'!$C$2:$C$1369,0)),"",INDEX('Compliance Database'!$H$2:$H$1369,MATCH(1246,'Transfer Engine'!$C$2:$C$1369,0)))</f>
        <v/>
      </c>
      <c r="I1255" s="9">
        <f>IF(ISNA(MATCH(1246,'Transfer Engine'!$C$2:$C$1369,0)),"",INDEX('Compliance Database'!$I$2:$I$1369,MATCH(1246,'Transfer Engine'!$C$2:$C$1369,0)))</f>
        <v/>
      </c>
      <c r="J1255" s="8">
        <f>IF(ISNA(MATCH(1246,'Transfer Engine'!$C$2:$C$1369,0)),"",INDEX('Compliance Database'!$J$2:$J$1369,MATCH(1246,'Transfer Engine'!$C$2:$C$1369,0)))</f>
        <v/>
      </c>
      <c r="K1255" s="9">
        <f>IF(ISNA(MATCH(1246,'Transfer Engine'!$C$2:$C$1369,0)),"",INDEX('Compliance Database'!$K$2:$K$1369,MATCH(1246,'Transfer Engine'!$C$2:$C$1369,0)))</f>
        <v/>
      </c>
      <c r="L1255" s="9">
        <f>IF(ISNA(MATCH(1246,'Transfer Engine'!$C$2:$C$1369,0)),"",INDEX('Compliance Database'!$L$2:$L$1369,MATCH(1246,'Transfer Engine'!$C$2:$C$1369,0)))</f>
        <v/>
      </c>
      <c r="M1255" s="9">
        <f>IF(ISNA(MATCH(1246,'Transfer Engine'!$C$2:$C$1369,0)),"",INDEX('Compliance Database'!$M$2:$M$1369,MATCH(1246,'Transfer Engine'!$C$2:$C$1369,0)))</f>
        <v/>
      </c>
      <c r="N1255" s="9">
        <f>IF(ISNA(MATCH(1246,'Transfer Engine'!$C$2:$C$1369,0)),"",INDEX('Compliance Database'!$N$2:$N$1369,MATCH(1246,'Transfer Engine'!$C$2:$C$1369,0)))</f>
        <v/>
      </c>
      <c r="O1255" s="8">
        <f>IF(ISNA(MATCH(1246,'Transfer Engine'!$C$2:$C$1369,0)),"",HYPERLINK(INDEX('Compliance Database'!$O$2:$O$1369,MATCH(1246,'Transfer Engine'!$C$2:$C$1369,0)),"Open PDF"))</f>
        <v/>
      </c>
    </row>
    <row r="1256" ht="188" customHeight="1">
      <c r="A1256" s="8">
        <f>IF(ISNA(MATCH(1247,'Transfer Engine'!$C$2:$C$1369,0)),"",INDEX('Compliance Database'!$A$2:$A$1369,MATCH(1247,'Transfer Engine'!$C$2:$C$1369,0)))</f>
        <v/>
      </c>
      <c r="B1256" s="8">
        <f>IF(ISNA(MATCH(1247,'Transfer Engine'!$C$2:$C$1369,0)),"",INDEX('Compliance Database'!$B$2:$B$1369,MATCH(1247,'Transfer Engine'!$C$2:$C$1369,0)))</f>
        <v/>
      </c>
      <c r="C1256" s="8">
        <f>IF(ISNA(MATCH(1247,'Transfer Engine'!$C$2:$C$1369,0)),"",INDEX('Compliance Database'!$C$2:$C$1369,MATCH(1247,'Transfer Engine'!$C$2:$C$1369,0)))</f>
        <v/>
      </c>
      <c r="D1256" s="9">
        <f>IF(ISNA(MATCH(1247,'Transfer Engine'!$C$2:$C$1369,0)),"",INDEX('Compliance Database'!$D$2:$D$1369,MATCH(1247,'Transfer Engine'!$C$2:$C$1369,0)))</f>
        <v/>
      </c>
      <c r="E1256" s="8">
        <f>IF(ISNA(MATCH(1247,'Transfer Engine'!$C$2:$C$1369,0)),"",INDEX('Compliance Database'!$E$2:$E$1369,MATCH(1247,'Transfer Engine'!$C$2:$C$1369,0)))</f>
        <v/>
      </c>
      <c r="F1256" s="8">
        <f>IF(ISNA(MATCH(1247,'Transfer Engine'!$C$2:$C$1369,0)),"",INDEX('Compliance Database'!$F$2:$F$1369,MATCH(1247,'Transfer Engine'!$C$2:$C$1369,0)))</f>
        <v/>
      </c>
      <c r="G1256" s="8">
        <f>IF(ISNA(MATCH(1247,'Transfer Engine'!$C$2:$C$1369,0)),"",INDEX('Compliance Database'!$G$2:$G$1369,MATCH(1247,'Transfer Engine'!$C$2:$C$1369,0)))</f>
        <v/>
      </c>
      <c r="H1256" s="9">
        <f>IF(ISNA(MATCH(1247,'Transfer Engine'!$C$2:$C$1369,0)),"",INDEX('Compliance Database'!$H$2:$H$1369,MATCH(1247,'Transfer Engine'!$C$2:$C$1369,0)))</f>
        <v/>
      </c>
      <c r="I1256" s="9">
        <f>IF(ISNA(MATCH(1247,'Transfer Engine'!$C$2:$C$1369,0)),"",INDEX('Compliance Database'!$I$2:$I$1369,MATCH(1247,'Transfer Engine'!$C$2:$C$1369,0)))</f>
        <v/>
      </c>
      <c r="J1256" s="8">
        <f>IF(ISNA(MATCH(1247,'Transfer Engine'!$C$2:$C$1369,0)),"",INDEX('Compliance Database'!$J$2:$J$1369,MATCH(1247,'Transfer Engine'!$C$2:$C$1369,0)))</f>
        <v/>
      </c>
      <c r="K1256" s="9">
        <f>IF(ISNA(MATCH(1247,'Transfer Engine'!$C$2:$C$1369,0)),"",INDEX('Compliance Database'!$K$2:$K$1369,MATCH(1247,'Transfer Engine'!$C$2:$C$1369,0)))</f>
        <v/>
      </c>
      <c r="L1256" s="9">
        <f>IF(ISNA(MATCH(1247,'Transfer Engine'!$C$2:$C$1369,0)),"",INDEX('Compliance Database'!$L$2:$L$1369,MATCH(1247,'Transfer Engine'!$C$2:$C$1369,0)))</f>
        <v/>
      </c>
      <c r="M1256" s="9">
        <f>IF(ISNA(MATCH(1247,'Transfer Engine'!$C$2:$C$1369,0)),"",INDEX('Compliance Database'!$M$2:$M$1369,MATCH(1247,'Transfer Engine'!$C$2:$C$1369,0)))</f>
        <v/>
      </c>
      <c r="N1256" s="9">
        <f>IF(ISNA(MATCH(1247,'Transfer Engine'!$C$2:$C$1369,0)),"",INDEX('Compliance Database'!$N$2:$N$1369,MATCH(1247,'Transfer Engine'!$C$2:$C$1369,0)))</f>
        <v/>
      </c>
      <c r="O1256" s="8">
        <f>IF(ISNA(MATCH(1247,'Transfer Engine'!$C$2:$C$1369,0)),"",HYPERLINK(INDEX('Compliance Database'!$O$2:$O$1369,MATCH(1247,'Transfer Engine'!$C$2:$C$1369,0)),"Open PDF"))</f>
        <v/>
      </c>
    </row>
    <row r="1257" ht="188" customHeight="1">
      <c r="A1257" s="8">
        <f>IF(ISNA(MATCH(1248,'Transfer Engine'!$C$2:$C$1369,0)),"",INDEX('Compliance Database'!$A$2:$A$1369,MATCH(1248,'Transfer Engine'!$C$2:$C$1369,0)))</f>
        <v/>
      </c>
      <c r="B1257" s="8">
        <f>IF(ISNA(MATCH(1248,'Transfer Engine'!$C$2:$C$1369,0)),"",INDEX('Compliance Database'!$B$2:$B$1369,MATCH(1248,'Transfer Engine'!$C$2:$C$1369,0)))</f>
        <v/>
      </c>
      <c r="C1257" s="8">
        <f>IF(ISNA(MATCH(1248,'Transfer Engine'!$C$2:$C$1369,0)),"",INDEX('Compliance Database'!$C$2:$C$1369,MATCH(1248,'Transfer Engine'!$C$2:$C$1369,0)))</f>
        <v/>
      </c>
      <c r="D1257" s="9">
        <f>IF(ISNA(MATCH(1248,'Transfer Engine'!$C$2:$C$1369,0)),"",INDEX('Compliance Database'!$D$2:$D$1369,MATCH(1248,'Transfer Engine'!$C$2:$C$1369,0)))</f>
        <v/>
      </c>
      <c r="E1257" s="8">
        <f>IF(ISNA(MATCH(1248,'Transfer Engine'!$C$2:$C$1369,0)),"",INDEX('Compliance Database'!$E$2:$E$1369,MATCH(1248,'Transfer Engine'!$C$2:$C$1369,0)))</f>
        <v/>
      </c>
      <c r="F1257" s="8">
        <f>IF(ISNA(MATCH(1248,'Transfer Engine'!$C$2:$C$1369,0)),"",INDEX('Compliance Database'!$F$2:$F$1369,MATCH(1248,'Transfer Engine'!$C$2:$C$1369,0)))</f>
        <v/>
      </c>
      <c r="G1257" s="8">
        <f>IF(ISNA(MATCH(1248,'Transfer Engine'!$C$2:$C$1369,0)),"",INDEX('Compliance Database'!$G$2:$G$1369,MATCH(1248,'Transfer Engine'!$C$2:$C$1369,0)))</f>
        <v/>
      </c>
      <c r="H1257" s="9">
        <f>IF(ISNA(MATCH(1248,'Transfer Engine'!$C$2:$C$1369,0)),"",INDEX('Compliance Database'!$H$2:$H$1369,MATCH(1248,'Transfer Engine'!$C$2:$C$1369,0)))</f>
        <v/>
      </c>
      <c r="I1257" s="9">
        <f>IF(ISNA(MATCH(1248,'Transfer Engine'!$C$2:$C$1369,0)),"",INDEX('Compliance Database'!$I$2:$I$1369,MATCH(1248,'Transfer Engine'!$C$2:$C$1369,0)))</f>
        <v/>
      </c>
      <c r="J1257" s="8">
        <f>IF(ISNA(MATCH(1248,'Transfer Engine'!$C$2:$C$1369,0)),"",INDEX('Compliance Database'!$J$2:$J$1369,MATCH(1248,'Transfer Engine'!$C$2:$C$1369,0)))</f>
        <v/>
      </c>
      <c r="K1257" s="9">
        <f>IF(ISNA(MATCH(1248,'Transfer Engine'!$C$2:$C$1369,0)),"",INDEX('Compliance Database'!$K$2:$K$1369,MATCH(1248,'Transfer Engine'!$C$2:$C$1369,0)))</f>
        <v/>
      </c>
      <c r="L1257" s="9">
        <f>IF(ISNA(MATCH(1248,'Transfer Engine'!$C$2:$C$1369,0)),"",INDEX('Compliance Database'!$L$2:$L$1369,MATCH(1248,'Transfer Engine'!$C$2:$C$1369,0)))</f>
        <v/>
      </c>
      <c r="M1257" s="9">
        <f>IF(ISNA(MATCH(1248,'Transfer Engine'!$C$2:$C$1369,0)),"",INDEX('Compliance Database'!$M$2:$M$1369,MATCH(1248,'Transfer Engine'!$C$2:$C$1369,0)))</f>
        <v/>
      </c>
      <c r="N1257" s="9">
        <f>IF(ISNA(MATCH(1248,'Transfer Engine'!$C$2:$C$1369,0)),"",INDEX('Compliance Database'!$N$2:$N$1369,MATCH(1248,'Transfer Engine'!$C$2:$C$1369,0)))</f>
        <v/>
      </c>
      <c r="O1257" s="8">
        <f>IF(ISNA(MATCH(1248,'Transfer Engine'!$C$2:$C$1369,0)),"",HYPERLINK(INDEX('Compliance Database'!$O$2:$O$1369,MATCH(1248,'Transfer Engine'!$C$2:$C$1369,0)),"Open PDF"))</f>
        <v/>
      </c>
    </row>
    <row r="1258" ht="188" customHeight="1">
      <c r="A1258" s="8">
        <f>IF(ISNA(MATCH(1249,'Transfer Engine'!$C$2:$C$1369,0)),"",INDEX('Compliance Database'!$A$2:$A$1369,MATCH(1249,'Transfer Engine'!$C$2:$C$1369,0)))</f>
        <v/>
      </c>
      <c r="B1258" s="8">
        <f>IF(ISNA(MATCH(1249,'Transfer Engine'!$C$2:$C$1369,0)),"",INDEX('Compliance Database'!$B$2:$B$1369,MATCH(1249,'Transfer Engine'!$C$2:$C$1369,0)))</f>
        <v/>
      </c>
      <c r="C1258" s="8">
        <f>IF(ISNA(MATCH(1249,'Transfer Engine'!$C$2:$C$1369,0)),"",INDEX('Compliance Database'!$C$2:$C$1369,MATCH(1249,'Transfer Engine'!$C$2:$C$1369,0)))</f>
        <v/>
      </c>
      <c r="D1258" s="9">
        <f>IF(ISNA(MATCH(1249,'Transfer Engine'!$C$2:$C$1369,0)),"",INDEX('Compliance Database'!$D$2:$D$1369,MATCH(1249,'Transfer Engine'!$C$2:$C$1369,0)))</f>
        <v/>
      </c>
      <c r="E1258" s="8">
        <f>IF(ISNA(MATCH(1249,'Transfer Engine'!$C$2:$C$1369,0)),"",INDEX('Compliance Database'!$E$2:$E$1369,MATCH(1249,'Transfer Engine'!$C$2:$C$1369,0)))</f>
        <v/>
      </c>
      <c r="F1258" s="8">
        <f>IF(ISNA(MATCH(1249,'Transfer Engine'!$C$2:$C$1369,0)),"",INDEX('Compliance Database'!$F$2:$F$1369,MATCH(1249,'Transfer Engine'!$C$2:$C$1369,0)))</f>
        <v/>
      </c>
      <c r="G1258" s="8">
        <f>IF(ISNA(MATCH(1249,'Transfer Engine'!$C$2:$C$1369,0)),"",INDEX('Compliance Database'!$G$2:$G$1369,MATCH(1249,'Transfer Engine'!$C$2:$C$1369,0)))</f>
        <v/>
      </c>
      <c r="H1258" s="9">
        <f>IF(ISNA(MATCH(1249,'Transfer Engine'!$C$2:$C$1369,0)),"",INDEX('Compliance Database'!$H$2:$H$1369,MATCH(1249,'Transfer Engine'!$C$2:$C$1369,0)))</f>
        <v/>
      </c>
      <c r="I1258" s="9">
        <f>IF(ISNA(MATCH(1249,'Transfer Engine'!$C$2:$C$1369,0)),"",INDEX('Compliance Database'!$I$2:$I$1369,MATCH(1249,'Transfer Engine'!$C$2:$C$1369,0)))</f>
        <v/>
      </c>
      <c r="J1258" s="8">
        <f>IF(ISNA(MATCH(1249,'Transfer Engine'!$C$2:$C$1369,0)),"",INDEX('Compliance Database'!$J$2:$J$1369,MATCH(1249,'Transfer Engine'!$C$2:$C$1369,0)))</f>
        <v/>
      </c>
      <c r="K1258" s="9">
        <f>IF(ISNA(MATCH(1249,'Transfer Engine'!$C$2:$C$1369,0)),"",INDEX('Compliance Database'!$K$2:$K$1369,MATCH(1249,'Transfer Engine'!$C$2:$C$1369,0)))</f>
        <v/>
      </c>
      <c r="L1258" s="9">
        <f>IF(ISNA(MATCH(1249,'Transfer Engine'!$C$2:$C$1369,0)),"",INDEX('Compliance Database'!$L$2:$L$1369,MATCH(1249,'Transfer Engine'!$C$2:$C$1369,0)))</f>
        <v/>
      </c>
      <c r="M1258" s="9">
        <f>IF(ISNA(MATCH(1249,'Transfer Engine'!$C$2:$C$1369,0)),"",INDEX('Compliance Database'!$M$2:$M$1369,MATCH(1249,'Transfer Engine'!$C$2:$C$1369,0)))</f>
        <v/>
      </c>
      <c r="N1258" s="9">
        <f>IF(ISNA(MATCH(1249,'Transfer Engine'!$C$2:$C$1369,0)),"",INDEX('Compliance Database'!$N$2:$N$1369,MATCH(1249,'Transfer Engine'!$C$2:$C$1369,0)))</f>
        <v/>
      </c>
      <c r="O1258" s="8">
        <f>IF(ISNA(MATCH(1249,'Transfer Engine'!$C$2:$C$1369,0)),"",HYPERLINK(INDEX('Compliance Database'!$O$2:$O$1369,MATCH(1249,'Transfer Engine'!$C$2:$C$1369,0)),"Open PDF"))</f>
        <v/>
      </c>
    </row>
    <row r="1259" ht="188" customHeight="1">
      <c r="A1259" s="8">
        <f>IF(ISNA(MATCH(1250,'Transfer Engine'!$C$2:$C$1369,0)),"",INDEX('Compliance Database'!$A$2:$A$1369,MATCH(1250,'Transfer Engine'!$C$2:$C$1369,0)))</f>
        <v/>
      </c>
      <c r="B1259" s="8">
        <f>IF(ISNA(MATCH(1250,'Transfer Engine'!$C$2:$C$1369,0)),"",INDEX('Compliance Database'!$B$2:$B$1369,MATCH(1250,'Transfer Engine'!$C$2:$C$1369,0)))</f>
        <v/>
      </c>
      <c r="C1259" s="8">
        <f>IF(ISNA(MATCH(1250,'Transfer Engine'!$C$2:$C$1369,0)),"",INDEX('Compliance Database'!$C$2:$C$1369,MATCH(1250,'Transfer Engine'!$C$2:$C$1369,0)))</f>
        <v/>
      </c>
      <c r="D1259" s="9">
        <f>IF(ISNA(MATCH(1250,'Transfer Engine'!$C$2:$C$1369,0)),"",INDEX('Compliance Database'!$D$2:$D$1369,MATCH(1250,'Transfer Engine'!$C$2:$C$1369,0)))</f>
        <v/>
      </c>
      <c r="E1259" s="8">
        <f>IF(ISNA(MATCH(1250,'Transfer Engine'!$C$2:$C$1369,0)),"",INDEX('Compliance Database'!$E$2:$E$1369,MATCH(1250,'Transfer Engine'!$C$2:$C$1369,0)))</f>
        <v/>
      </c>
      <c r="F1259" s="8">
        <f>IF(ISNA(MATCH(1250,'Transfer Engine'!$C$2:$C$1369,0)),"",INDEX('Compliance Database'!$F$2:$F$1369,MATCH(1250,'Transfer Engine'!$C$2:$C$1369,0)))</f>
        <v/>
      </c>
      <c r="G1259" s="8">
        <f>IF(ISNA(MATCH(1250,'Transfer Engine'!$C$2:$C$1369,0)),"",INDEX('Compliance Database'!$G$2:$G$1369,MATCH(1250,'Transfer Engine'!$C$2:$C$1369,0)))</f>
        <v/>
      </c>
      <c r="H1259" s="9">
        <f>IF(ISNA(MATCH(1250,'Transfer Engine'!$C$2:$C$1369,0)),"",INDEX('Compliance Database'!$H$2:$H$1369,MATCH(1250,'Transfer Engine'!$C$2:$C$1369,0)))</f>
        <v/>
      </c>
      <c r="I1259" s="9">
        <f>IF(ISNA(MATCH(1250,'Transfer Engine'!$C$2:$C$1369,0)),"",INDEX('Compliance Database'!$I$2:$I$1369,MATCH(1250,'Transfer Engine'!$C$2:$C$1369,0)))</f>
        <v/>
      </c>
      <c r="J1259" s="8">
        <f>IF(ISNA(MATCH(1250,'Transfer Engine'!$C$2:$C$1369,0)),"",INDEX('Compliance Database'!$J$2:$J$1369,MATCH(1250,'Transfer Engine'!$C$2:$C$1369,0)))</f>
        <v/>
      </c>
      <c r="K1259" s="9">
        <f>IF(ISNA(MATCH(1250,'Transfer Engine'!$C$2:$C$1369,0)),"",INDEX('Compliance Database'!$K$2:$K$1369,MATCH(1250,'Transfer Engine'!$C$2:$C$1369,0)))</f>
        <v/>
      </c>
      <c r="L1259" s="9">
        <f>IF(ISNA(MATCH(1250,'Transfer Engine'!$C$2:$C$1369,0)),"",INDEX('Compliance Database'!$L$2:$L$1369,MATCH(1250,'Transfer Engine'!$C$2:$C$1369,0)))</f>
        <v/>
      </c>
      <c r="M1259" s="9">
        <f>IF(ISNA(MATCH(1250,'Transfer Engine'!$C$2:$C$1369,0)),"",INDEX('Compliance Database'!$M$2:$M$1369,MATCH(1250,'Transfer Engine'!$C$2:$C$1369,0)))</f>
        <v/>
      </c>
      <c r="N1259" s="9">
        <f>IF(ISNA(MATCH(1250,'Transfer Engine'!$C$2:$C$1369,0)),"",INDEX('Compliance Database'!$N$2:$N$1369,MATCH(1250,'Transfer Engine'!$C$2:$C$1369,0)))</f>
        <v/>
      </c>
      <c r="O1259" s="8">
        <f>IF(ISNA(MATCH(1250,'Transfer Engine'!$C$2:$C$1369,0)),"",HYPERLINK(INDEX('Compliance Database'!$O$2:$O$1369,MATCH(1250,'Transfer Engine'!$C$2:$C$1369,0)),"Open PDF"))</f>
        <v/>
      </c>
    </row>
    <row r="1260" ht="188" customHeight="1">
      <c r="A1260" s="8">
        <f>IF(ISNA(MATCH(1251,'Transfer Engine'!$C$2:$C$1369,0)),"",INDEX('Compliance Database'!$A$2:$A$1369,MATCH(1251,'Transfer Engine'!$C$2:$C$1369,0)))</f>
        <v/>
      </c>
      <c r="B1260" s="8">
        <f>IF(ISNA(MATCH(1251,'Transfer Engine'!$C$2:$C$1369,0)),"",INDEX('Compliance Database'!$B$2:$B$1369,MATCH(1251,'Transfer Engine'!$C$2:$C$1369,0)))</f>
        <v/>
      </c>
      <c r="C1260" s="8">
        <f>IF(ISNA(MATCH(1251,'Transfer Engine'!$C$2:$C$1369,0)),"",INDEX('Compliance Database'!$C$2:$C$1369,MATCH(1251,'Transfer Engine'!$C$2:$C$1369,0)))</f>
        <v/>
      </c>
      <c r="D1260" s="9">
        <f>IF(ISNA(MATCH(1251,'Transfer Engine'!$C$2:$C$1369,0)),"",INDEX('Compliance Database'!$D$2:$D$1369,MATCH(1251,'Transfer Engine'!$C$2:$C$1369,0)))</f>
        <v/>
      </c>
      <c r="E1260" s="8">
        <f>IF(ISNA(MATCH(1251,'Transfer Engine'!$C$2:$C$1369,0)),"",INDEX('Compliance Database'!$E$2:$E$1369,MATCH(1251,'Transfer Engine'!$C$2:$C$1369,0)))</f>
        <v/>
      </c>
      <c r="F1260" s="8">
        <f>IF(ISNA(MATCH(1251,'Transfer Engine'!$C$2:$C$1369,0)),"",INDEX('Compliance Database'!$F$2:$F$1369,MATCH(1251,'Transfer Engine'!$C$2:$C$1369,0)))</f>
        <v/>
      </c>
      <c r="G1260" s="8">
        <f>IF(ISNA(MATCH(1251,'Transfer Engine'!$C$2:$C$1369,0)),"",INDEX('Compliance Database'!$G$2:$G$1369,MATCH(1251,'Transfer Engine'!$C$2:$C$1369,0)))</f>
        <v/>
      </c>
      <c r="H1260" s="9">
        <f>IF(ISNA(MATCH(1251,'Transfer Engine'!$C$2:$C$1369,0)),"",INDEX('Compliance Database'!$H$2:$H$1369,MATCH(1251,'Transfer Engine'!$C$2:$C$1369,0)))</f>
        <v/>
      </c>
      <c r="I1260" s="9">
        <f>IF(ISNA(MATCH(1251,'Transfer Engine'!$C$2:$C$1369,0)),"",INDEX('Compliance Database'!$I$2:$I$1369,MATCH(1251,'Transfer Engine'!$C$2:$C$1369,0)))</f>
        <v/>
      </c>
      <c r="J1260" s="8">
        <f>IF(ISNA(MATCH(1251,'Transfer Engine'!$C$2:$C$1369,0)),"",INDEX('Compliance Database'!$J$2:$J$1369,MATCH(1251,'Transfer Engine'!$C$2:$C$1369,0)))</f>
        <v/>
      </c>
      <c r="K1260" s="9">
        <f>IF(ISNA(MATCH(1251,'Transfer Engine'!$C$2:$C$1369,0)),"",INDEX('Compliance Database'!$K$2:$K$1369,MATCH(1251,'Transfer Engine'!$C$2:$C$1369,0)))</f>
        <v/>
      </c>
      <c r="L1260" s="9">
        <f>IF(ISNA(MATCH(1251,'Transfer Engine'!$C$2:$C$1369,0)),"",INDEX('Compliance Database'!$L$2:$L$1369,MATCH(1251,'Transfer Engine'!$C$2:$C$1369,0)))</f>
        <v/>
      </c>
      <c r="M1260" s="9">
        <f>IF(ISNA(MATCH(1251,'Transfer Engine'!$C$2:$C$1369,0)),"",INDEX('Compliance Database'!$M$2:$M$1369,MATCH(1251,'Transfer Engine'!$C$2:$C$1369,0)))</f>
        <v/>
      </c>
      <c r="N1260" s="9">
        <f>IF(ISNA(MATCH(1251,'Transfer Engine'!$C$2:$C$1369,0)),"",INDEX('Compliance Database'!$N$2:$N$1369,MATCH(1251,'Transfer Engine'!$C$2:$C$1369,0)))</f>
        <v/>
      </c>
      <c r="O1260" s="8">
        <f>IF(ISNA(MATCH(1251,'Transfer Engine'!$C$2:$C$1369,0)),"",HYPERLINK(INDEX('Compliance Database'!$O$2:$O$1369,MATCH(1251,'Transfer Engine'!$C$2:$C$1369,0)),"Open PDF"))</f>
        <v/>
      </c>
    </row>
    <row r="1261" ht="188" customHeight="1">
      <c r="A1261" s="8">
        <f>IF(ISNA(MATCH(1252,'Transfer Engine'!$C$2:$C$1369,0)),"",INDEX('Compliance Database'!$A$2:$A$1369,MATCH(1252,'Transfer Engine'!$C$2:$C$1369,0)))</f>
        <v/>
      </c>
      <c r="B1261" s="8">
        <f>IF(ISNA(MATCH(1252,'Transfer Engine'!$C$2:$C$1369,0)),"",INDEX('Compliance Database'!$B$2:$B$1369,MATCH(1252,'Transfer Engine'!$C$2:$C$1369,0)))</f>
        <v/>
      </c>
      <c r="C1261" s="8">
        <f>IF(ISNA(MATCH(1252,'Transfer Engine'!$C$2:$C$1369,0)),"",INDEX('Compliance Database'!$C$2:$C$1369,MATCH(1252,'Transfer Engine'!$C$2:$C$1369,0)))</f>
        <v/>
      </c>
      <c r="D1261" s="9">
        <f>IF(ISNA(MATCH(1252,'Transfer Engine'!$C$2:$C$1369,0)),"",INDEX('Compliance Database'!$D$2:$D$1369,MATCH(1252,'Transfer Engine'!$C$2:$C$1369,0)))</f>
        <v/>
      </c>
      <c r="E1261" s="8">
        <f>IF(ISNA(MATCH(1252,'Transfer Engine'!$C$2:$C$1369,0)),"",INDEX('Compliance Database'!$E$2:$E$1369,MATCH(1252,'Transfer Engine'!$C$2:$C$1369,0)))</f>
        <v/>
      </c>
      <c r="F1261" s="8">
        <f>IF(ISNA(MATCH(1252,'Transfer Engine'!$C$2:$C$1369,0)),"",INDEX('Compliance Database'!$F$2:$F$1369,MATCH(1252,'Transfer Engine'!$C$2:$C$1369,0)))</f>
        <v/>
      </c>
      <c r="G1261" s="8">
        <f>IF(ISNA(MATCH(1252,'Transfer Engine'!$C$2:$C$1369,0)),"",INDEX('Compliance Database'!$G$2:$G$1369,MATCH(1252,'Transfer Engine'!$C$2:$C$1369,0)))</f>
        <v/>
      </c>
      <c r="H1261" s="9">
        <f>IF(ISNA(MATCH(1252,'Transfer Engine'!$C$2:$C$1369,0)),"",INDEX('Compliance Database'!$H$2:$H$1369,MATCH(1252,'Transfer Engine'!$C$2:$C$1369,0)))</f>
        <v/>
      </c>
      <c r="I1261" s="9">
        <f>IF(ISNA(MATCH(1252,'Transfer Engine'!$C$2:$C$1369,0)),"",INDEX('Compliance Database'!$I$2:$I$1369,MATCH(1252,'Transfer Engine'!$C$2:$C$1369,0)))</f>
        <v/>
      </c>
      <c r="J1261" s="8">
        <f>IF(ISNA(MATCH(1252,'Transfer Engine'!$C$2:$C$1369,0)),"",INDEX('Compliance Database'!$J$2:$J$1369,MATCH(1252,'Transfer Engine'!$C$2:$C$1369,0)))</f>
        <v/>
      </c>
      <c r="K1261" s="9">
        <f>IF(ISNA(MATCH(1252,'Transfer Engine'!$C$2:$C$1369,0)),"",INDEX('Compliance Database'!$K$2:$K$1369,MATCH(1252,'Transfer Engine'!$C$2:$C$1369,0)))</f>
        <v/>
      </c>
      <c r="L1261" s="9">
        <f>IF(ISNA(MATCH(1252,'Transfer Engine'!$C$2:$C$1369,0)),"",INDEX('Compliance Database'!$L$2:$L$1369,MATCH(1252,'Transfer Engine'!$C$2:$C$1369,0)))</f>
        <v/>
      </c>
      <c r="M1261" s="9">
        <f>IF(ISNA(MATCH(1252,'Transfer Engine'!$C$2:$C$1369,0)),"",INDEX('Compliance Database'!$M$2:$M$1369,MATCH(1252,'Transfer Engine'!$C$2:$C$1369,0)))</f>
        <v/>
      </c>
      <c r="N1261" s="9">
        <f>IF(ISNA(MATCH(1252,'Transfer Engine'!$C$2:$C$1369,0)),"",INDEX('Compliance Database'!$N$2:$N$1369,MATCH(1252,'Transfer Engine'!$C$2:$C$1369,0)))</f>
        <v/>
      </c>
      <c r="O1261" s="8">
        <f>IF(ISNA(MATCH(1252,'Transfer Engine'!$C$2:$C$1369,0)),"",HYPERLINK(INDEX('Compliance Database'!$O$2:$O$1369,MATCH(1252,'Transfer Engine'!$C$2:$C$1369,0)),"Open PDF"))</f>
        <v/>
      </c>
    </row>
    <row r="1262" ht="188" customHeight="1">
      <c r="A1262" s="8">
        <f>IF(ISNA(MATCH(1253,'Transfer Engine'!$C$2:$C$1369,0)),"",INDEX('Compliance Database'!$A$2:$A$1369,MATCH(1253,'Transfer Engine'!$C$2:$C$1369,0)))</f>
        <v/>
      </c>
      <c r="B1262" s="8">
        <f>IF(ISNA(MATCH(1253,'Transfer Engine'!$C$2:$C$1369,0)),"",INDEX('Compliance Database'!$B$2:$B$1369,MATCH(1253,'Transfer Engine'!$C$2:$C$1369,0)))</f>
        <v/>
      </c>
      <c r="C1262" s="8">
        <f>IF(ISNA(MATCH(1253,'Transfer Engine'!$C$2:$C$1369,0)),"",INDEX('Compliance Database'!$C$2:$C$1369,MATCH(1253,'Transfer Engine'!$C$2:$C$1369,0)))</f>
        <v/>
      </c>
      <c r="D1262" s="9">
        <f>IF(ISNA(MATCH(1253,'Transfer Engine'!$C$2:$C$1369,0)),"",INDEX('Compliance Database'!$D$2:$D$1369,MATCH(1253,'Transfer Engine'!$C$2:$C$1369,0)))</f>
        <v/>
      </c>
      <c r="E1262" s="8">
        <f>IF(ISNA(MATCH(1253,'Transfer Engine'!$C$2:$C$1369,0)),"",INDEX('Compliance Database'!$E$2:$E$1369,MATCH(1253,'Transfer Engine'!$C$2:$C$1369,0)))</f>
        <v/>
      </c>
      <c r="F1262" s="8">
        <f>IF(ISNA(MATCH(1253,'Transfer Engine'!$C$2:$C$1369,0)),"",INDEX('Compliance Database'!$F$2:$F$1369,MATCH(1253,'Transfer Engine'!$C$2:$C$1369,0)))</f>
        <v/>
      </c>
      <c r="G1262" s="8">
        <f>IF(ISNA(MATCH(1253,'Transfer Engine'!$C$2:$C$1369,0)),"",INDEX('Compliance Database'!$G$2:$G$1369,MATCH(1253,'Transfer Engine'!$C$2:$C$1369,0)))</f>
        <v/>
      </c>
      <c r="H1262" s="9">
        <f>IF(ISNA(MATCH(1253,'Transfer Engine'!$C$2:$C$1369,0)),"",INDEX('Compliance Database'!$H$2:$H$1369,MATCH(1253,'Transfer Engine'!$C$2:$C$1369,0)))</f>
        <v/>
      </c>
      <c r="I1262" s="9">
        <f>IF(ISNA(MATCH(1253,'Transfer Engine'!$C$2:$C$1369,0)),"",INDEX('Compliance Database'!$I$2:$I$1369,MATCH(1253,'Transfer Engine'!$C$2:$C$1369,0)))</f>
        <v/>
      </c>
      <c r="J1262" s="8">
        <f>IF(ISNA(MATCH(1253,'Transfer Engine'!$C$2:$C$1369,0)),"",INDEX('Compliance Database'!$J$2:$J$1369,MATCH(1253,'Transfer Engine'!$C$2:$C$1369,0)))</f>
        <v/>
      </c>
      <c r="K1262" s="9">
        <f>IF(ISNA(MATCH(1253,'Transfer Engine'!$C$2:$C$1369,0)),"",INDEX('Compliance Database'!$K$2:$K$1369,MATCH(1253,'Transfer Engine'!$C$2:$C$1369,0)))</f>
        <v/>
      </c>
      <c r="L1262" s="9">
        <f>IF(ISNA(MATCH(1253,'Transfer Engine'!$C$2:$C$1369,0)),"",INDEX('Compliance Database'!$L$2:$L$1369,MATCH(1253,'Transfer Engine'!$C$2:$C$1369,0)))</f>
        <v/>
      </c>
      <c r="M1262" s="9">
        <f>IF(ISNA(MATCH(1253,'Transfer Engine'!$C$2:$C$1369,0)),"",INDEX('Compliance Database'!$M$2:$M$1369,MATCH(1253,'Transfer Engine'!$C$2:$C$1369,0)))</f>
        <v/>
      </c>
      <c r="N1262" s="9">
        <f>IF(ISNA(MATCH(1253,'Transfer Engine'!$C$2:$C$1369,0)),"",INDEX('Compliance Database'!$N$2:$N$1369,MATCH(1253,'Transfer Engine'!$C$2:$C$1369,0)))</f>
        <v/>
      </c>
      <c r="O1262" s="8">
        <f>IF(ISNA(MATCH(1253,'Transfer Engine'!$C$2:$C$1369,0)),"",HYPERLINK(INDEX('Compliance Database'!$O$2:$O$1369,MATCH(1253,'Transfer Engine'!$C$2:$C$1369,0)),"Open PDF"))</f>
        <v/>
      </c>
    </row>
    <row r="1263" ht="188" customHeight="1">
      <c r="A1263" s="8">
        <f>IF(ISNA(MATCH(1254,'Transfer Engine'!$C$2:$C$1369,0)),"",INDEX('Compliance Database'!$A$2:$A$1369,MATCH(1254,'Transfer Engine'!$C$2:$C$1369,0)))</f>
        <v/>
      </c>
      <c r="B1263" s="8">
        <f>IF(ISNA(MATCH(1254,'Transfer Engine'!$C$2:$C$1369,0)),"",INDEX('Compliance Database'!$B$2:$B$1369,MATCH(1254,'Transfer Engine'!$C$2:$C$1369,0)))</f>
        <v/>
      </c>
      <c r="C1263" s="8">
        <f>IF(ISNA(MATCH(1254,'Transfer Engine'!$C$2:$C$1369,0)),"",INDEX('Compliance Database'!$C$2:$C$1369,MATCH(1254,'Transfer Engine'!$C$2:$C$1369,0)))</f>
        <v/>
      </c>
      <c r="D1263" s="9">
        <f>IF(ISNA(MATCH(1254,'Transfer Engine'!$C$2:$C$1369,0)),"",INDEX('Compliance Database'!$D$2:$D$1369,MATCH(1254,'Transfer Engine'!$C$2:$C$1369,0)))</f>
        <v/>
      </c>
      <c r="E1263" s="8">
        <f>IF(ISNA(MATCH(1254,'Transfer Engine'!$C$2:$C$1369,0)),"",INDEX('Compliance Database'!$E$2:$E$1369,MATCH(1254,'Transfer Engine'!$C$2:$C$1369,0)))</f>
        <v/>
      </c>
      <c r="F1263" s="8">
        <f>IF(ISNA(MATCH(1254,'Transfer Engine'!$C$2:$C$1369,0)),"",INDEX('Compliance Database'!$F$2:$F$1369,MATCH(1254,'Transfer Engine'!$C$2:$C$1369,0)))</f>
        <v/>
      </c>
      <c r="G1263" s="8">
        <f>IF(ISNA(MATCH(1254,'Transfer Engine'!$C$2:$C$1369,0)),"",INDEX('Compliance Database'!$G$2:$G$1369,MATCH(1254,'Transfer Engine'!$C$2:$C$1369,0)))</f>
        <v/>
      </c>
      <c r="H1263" s="9">
        <f>IF(ISNA(MATCH(1254,'Transfer Engine'!$C$2:$C$1369,0)),"",INDEX('Compliance Database'!$H$2:$H$1369,MATCH(1254,'Transfer Engine'!$C$2:$C$1369,0)))</f>
        <v/>
      </c>
      <c r="I1263" s="9">
        <f>IF(ISNA(MATCH(1254,'Transfer Engine'!$C$2:$C$1369,0)),"",INDEX('Compliance Database'!$I$2:$I$1369,MATCH(1254,'Transfer Engine'!$C$2:$C$1369,0)))</f>
        <v/>
      </c>
      <c r="J1263" s="8">
        <f>IF(ISNA(MATCH(1254,'Transfer Engine'!$C$2:$C$1369,0)),"",INDEX('Compliance Database'!$J$2:$J$1369,MATCH(1254,'Transfer Engine'!$C$2:$C$1369,0)))</f>
        <v/>
      </c>
      <c r="K1263" s="9">
        <f>IF(ISNA(MATCH(1254,'Transfer Engine'!$C$2:$C$1369,0)),"",INDEX('Compliance Database'!$K$2:$K$1369,MATCH(1254,'Transfer Engine'!$C$2:$C$1369,0)))</f>
        <v/>
      </c>
      <c r="L1263" s="9">
        <f>IF(ISNA(MATCH(1254,'Transfer Engine'!$C$2:$C$1369,0)),"",INDEX('Compliance Database'!$L$2:$L$1369,MATCH(1254,'Transfer Engine'!$C$2:$C$1369,0)))</f>
        <v/>
      </c>
      <c r="M1263" s="9">
        <f>IF(ISNA(MATCH(1254,'Transfer Engine'!$C$2:$C$1369,0)),"",INDEX('Compliance Database'!$M$2:$M$1369,MATCH(1254,'Transfer Engine'!$C$2:$C$1369,0)))</f>
        <v/>
      </c>
      <c r="N1263" s="9">
        <f>IF(ISNA(MATCH(1254,'Transfer Engine'!$C$2:$C$1369,0)),"",INDEX('Compliance Database'!$N$2:$N$1369,MATCH(1254,'Transfer Engine'!$C$2:$C$1369,0)))</f>
        <v/>
      </c>
      <c r="O1263" s="8">
        <f>IF(ISNA(MATCH(1254,'Transfer Engine'!$C$2:$C$1369,0)),"",HYPERLINK(INDEX('Compliance Database'!$O$2:$O$1369,MATCH(1254,'Transfer Engine'!$C$2:$C$1369,0)),"Open PDF"))</f>
        <v/>
      </c>
    </row>
    <row r="1264" ht="188" customHeight="1">
      <c r="A1264" s="8">
        <f>IF(ISNA(MATCH(1255,'Transfer Engine'!$C$2:$C$1369,0)),"",INDEX('Compliance Database'!$A$2:$A$1369,MATCH(1255,'Transfer Engine'!$C$2:$C$1369,0)))</f>
        <v/>
      </c>
      <c r="B1264" s="8">
        <f>IF(ISNA(MATCH(1255,'Transfer Engine'!$C$2:$C$1369,0)),"",INDEX('Compliance Database'!$B$2:$B$1369,MATCH(1255,'Transfer Engine'!$C$2:$C$1369,0)))</f>
        <v/>
      </c>
      <c r="C1264" s="8">
        <f>IF(ISNA(MATCH(1255,'Transfer Engine'!$C$2:$C$1369,0)),"",INDEX('Compliance Database'!$C$2:$C$1369,MATCH(1255,'Transfer Engine'!$C$2:$C$1369,0)))</f>
        <v/>
      </c>
      <c r="D1264" s="9">
        <f>IF(ISNA(MATCH(1255,'Transfer Engine'!$C$2:$C$1369,0)),"",INDEX('Compliance Database'!$D$2:$D$1369,MATCH(1255,'Transfer Engine'!$C$2:$C$1369,0)))</f>
        <v/>
      </c>
      <c r="E1264" s="8">
        <f>IF(ISNA(MATCH(1255,'Transfer Engine'!$C$2:$C$1369,0)),"",INDEX('Compliance Database'!$E$2:$E$1369,MATCH(1255,'Transfer Engine'!$C$2:$C$1369,0)))</f>
        <v/>
      </c>
      <c r="F1264" s="8">
        <f>IF(ISNA(MATCH(1255,'Transfer Engine'!$C$2:$C$1369,0)),"",INDEX('Compliance Database'!$F$2:$F$1369,MATCH(1255,'Transfer Engine'!$C$2:$C$1369,0)))</f>
        <v/>
      </c>
      <c r="G1264" s="8">
        <f>IF(ISNA(MATCH(1255,'Transfer Engine'!$C$2:$C$1369,0)),"",INDEX('Compliance Database'!$G$2:$G$1369,MATCH(1255,'Transfer Engine'!$C$2:$C$1369,0)))</f>
        <v/>
      </c>
      <c r="H1264" s="9">
        <f>IF(ISNA(MATCH(1255,'Transfer Engine'!$C$2:$C$1369,0)),"",INDEX('Compliance Database'!$H$2:$H$1369,MATCH(1255,'Transfer Engine'!$C$2:$C$1369,0)))</f>
        <v/>
      </c>
      <c r="I1264" s="9">
        <f>IF(ISNA(MATCH(1255,'Transfer Engine'!$C$2:$C$1369,0)),"",INDEX('Compliance Database'!$I$2:$I$1369,MATCH(1255,'Transfer Engine'!$C$2:$C$1369,0)))</f>
        <v/>
      </c>
      <c r="J1264" s="8">
        <f>IF(ISNA(MATCH(1255,'Transfer Engine'!$C$2:$C$1369,0)),"",INDEX('Compliance Database'!$J$2:$J$1369,MATCH(1255,'Transfer Engine'!$C$2:$C$1369,0)))</f>
        <v/>
      </c>
      <c r="K1264" s="9">
        <f>IF(ISNA(MATCH(1255,'Transfer Engine'!$C$2:$C$1369,0)),"",INDEX('Compliance Database'!$K$2:$K$1369,MATCH(1255,'Transfer Engine'!$C$2:$C$1369,0)))</f>
        <v/>
      </c>
      <c r="L1264" s="9">
        <f>IF(ISNA(MATCH(1255,'Transfer Engine'!$C$2:$C$1369,0)),"",INDEX('Compliance Database'!$L$2:$L$1369,MATCH(1255,'Transfer Engine'!$C$2:$C$1369,0)))</f>
        <v/>
      </c>
      <c r="M1264" s="9">
        <f>IF(ISNA(MATCH(1255,'Transfer Engine'!$C$2:$C$1369,0)),"",INDEX('Compliance Database'!$M$2:$M$1369,MATCH(1255,'Transfer Engine'!$C$2:$C$1369,0)))</f>
        <v/>
      </c>
      <c r="N1264" s="9">
        <f>IF(ISNA(MATCH(1255,'Transfer Engine'!$C$2:$C$1369,0)),"",INDEX('Compliance Database'!$N$2:$N$1369,MATCH(1255,'Transfer Engine'!$C$2:$C$1369,0)))</f>
        <v/>
      </c>
      <c r="O1264" s="8">
        <f>IF(ISNA(MATCH(1255,'Transfer Engine'!$C$2:$C$1369,0)),"",HYPERLINK(INDEX('Compliance Database'!$O$2:$O$1369,MATCH(1255,'Transfer Engine'!$C$2:$C$1369,0)),"Open PDF"))</f>
        <v/>
      </c>
    </row>
    <row r="1265" ht="188" customHeight="1">
      <c r="A1265" s="8">
        <f>IF(ISNA(MATCH(1256,'Transfer Engine'!$C$2:$C$1369,0)),"",INDEX('Compliance Database'!$A$2:$A$1369,MATCH(1256,'Transfer Engine'!$C$2:$C$1369,0)))</f>
        <v/>
      </c>
      <c r="B1265" s="8">
        <f>IF(ISNA(MATCH(1256,'Transfer Engine'!$C$2:$C$1369,0)),"",INDEX('Compliance Database'!$B$2:$B$1369,MATCH(1256,'Transfer Engine'!$C$2:$C$1369,0)))</f>
        <v/>
      </c>
      <c r="C1265" s="8">
        <f>IF(ISNA(MATCH(1256,'Transfer Engine'!$C$2:$C$1369,0)),"",INDEX('Compliance Database'!$C$2:$C$1369,MATCH(1256,'Transfer Engine'!$C$2:$C$1369,0)))</f>
        <v/>
      </c>
      <c r="D1265" s="9">
        <f>IF(ISNA(MATCH(1256,'Transfer Engine'!$C$2:$C$1369,0)),"",INDEX('Compliance Database'!$D$2:$D$1369,MATCH(1256,'Transfer Engine'!$C$2:$C$1369,0)))</f>
        <v/>
      </c>
      <c r="E1265" s="8">
        <f>IF(ISNA(MATCH(1256,'Transfer Engine'!$C$2:$C$1369,0)),"",INDEX('Compliance Database'!$E$2:$E$1369,MATCH(1256,'Transfer Engine'!$C$2:$C$1369,0)))</f>
        <v/>
      </c>
      <c r="F1265" s="8">
        <f>IF(ISNA(MATCH(1256,'Transfer Engine'!$C$2:$C$1369,0)),"",INDEX('Compliance Database'!$F$2:$F$1369,MATCH(1256,'Transfer Engine'!$C$2:$C$1369,0)))</f>
        <v/>
      </c>
      <c r="G1265" s="8">
        <f>IF(ISNA(MATCH(1256,'Transfer Engine'!$C$2:$C$1369,0)),"",INDEX('Compliance Database'!$G$2:$G$1369,MATCH(1256,'Transfer Engine'!$C$2:$C$1369,0)))</f>
        <v/>
      </c>
      <c r="H1265" s="9">
        <f>IF(ISNA(MATCH(1256,'Transfer Engine'!$C$2:$C$1369,0)),"",INDEX('Compliance Database'!$H$2:$H$1369,MATCH(1256,'Transfer Engine'!$C$2:$C$1369,0)))</f>
        <v/>
      </c>
      <c r="I1265" s="9">
        <f>IF(ISNA(MATCH(1256,'Transfer Engine'!$C$2:$C$1369,0)),"",INDEX('Compliance Database'!$I$2:$I$1369,MATCH(1256,'Transfer Engine'!$C$2:$C$1369,0)))</f>
        <v/>
      </c>
      <c r="J1265" s="8">
        <f>IF(ISNA(MATCH(1256,'Transfer Engine'!$C$2:$C$1369,0)),"",INDEX('Compliance Database'!$J$2:$J$1369,MATCH(1256,'Transfer Engine'!$C$2:$C$1369,0)))</f>
        <v/>
      </c>
      <c r="K1265" s="9">
        <f>IF(ISNA(MATCH(1256,'Transfer Engine'!$C$2:$C$1369,0)),"",INDEX('Compliance Database'!$K$2:$K$1369,MATCH(1256,'Transfer Engine'!$C$2:$C$1369,0)))</f>
        <v/>
      </c>
      <c r="L1265" s="9">
        <f>IF(ISNA(MATCH(1256,'Transfer Engine'!$C$2:$C$1369,0)),"",INDEX('Compliance Database'!$L$2:$L$1369,MATCH(1256,'Transfer Engine'!$C$2:$C$1369,0)))</f>
        <v/>
      </c>
      <c r="M1265" s="9">
        <f>IF(ISNA(MATCH(1256,'Transfer Engine'!$C$2:$C$1369,0)),"",INDEX('Compliance Database'!$M$2:$M$1369,MATCH(1256,'Transfer Engine'!$C$2:$C$1369,0)))</f>
        <v/>
      </c>
      <c r="N1265" s="9">
        <f>IF(ISNA(MATCH(1256,'Transfer Engine'!$C$2:$C$1369,0)),"",INDEX('Compliance Database'!$N$2:$N$1369,MATCH(1256,'Transfer Engine'!$C$2:$C$1369,0)))</f>
        <v/>
      </c>
      <c r="O1265" s="8">
        <f>IF(ISNA(MATCH(1256,'Transfer Engine'!$C$2:$C$1369,0)),"",HYPERLINK(INDEX('Compliance Database'!$O$2:$O$1369,MATCH(1256,'Transfer Engine'!$C$2:$C$1369,0)),"Open PDF"))</f>
        <v/>
      </c>
    </row>
    <row r="1266" ht="188" customHeight="1">
      <c r="A1266" s="8">
        <f>IF(ISNA(MATCH(1257,'Transfer Engine'!$C$2:$C$1369,0)),"",INDEX('Compliance Database'!$A$2:$A$1369,MATCH(1257,'Transfer Engine'!$C$2:$C$1369,0)))</f>
        <v/>
      </c>
      <c r="B1266" s="8">
        <f>IF(ISNA(MATCH(1257,'Transfer Engine'!$C$2:$C$1369,0)),"",INDEX('Compliance Database'!$B$2:$B$1369,MATCH(1257,'Transfer Engine'!$C$2:$C$1369,0)))</f>
        <v/>
      </c>
      <c r="C1266" s="8">
        <f>IF(ISNA(MATCH(1257,'Transfer Engine'!$C$2:$C$1369,0)),"",INDEX('Compliance Database'!$C$2:$C$1369,MATCH(1257,'Transfer Engine'!$C$2:$C$1369,0)))</f>
        <v/>
      </c>
      <c r="D1266" s="9">
        <f>IF(ISNA(MATCH(1257,'Transfer Engine'!$C$2:$C$1369,0)),"",INDEX('Compliance Database'!$D$2:$D$1369,MATCH(1257,'Transfer Engine'!$C$2:$C$1369,0)))</f>
        <v/>
      </c>
      <c r="E1266" s="8">
        <f>IF(ISNA(MATCH(1257,'Transfer Engine'!$C$2:$C$1369,0)),"",INDEX('Compliance Database'!$E$2:$E$1369,MATCH(1257,'Transfer Engine'!$C$2:$C$1369,0)))</f>
        <v/>
      </c>
      <c r="F1266" s="8">
        <f>IF(ISNA(MATCH(1257,'Transfer Engine'!$C$2:$C$1369,0)),"",INDEX('Compliance Database'!$F$2:$F$1369,MATCH(1257,'Transfer Engine'!$C$2:$C$1369,0)))</f>
        <v/>
      </c>
      <c r="G1266" s="8">
        <f>IF(ISNA(MATCH(1257,'Transfer Engine'!$C$2:$C$1369,0)),"",INDEX('Compliance Database'!$G$2:$G$1369,MATCH(1257,'Transfer Engine'!$C$2:$C$1369,0)))</f>
        <v/>
      </c>
      <c r="H1266" s="9">
        <f>IF(ISNA(MATCH(1257,'Transfer Engine'!$C$2:$C$1369,0)),"",INDEX('Compliance Database'!$H$2:$H$1369,MATCH(1257,'Transfer Engine'!$C$2:$C$1369,0)))</f>
        <v/>
      </c>
      <c r="I1266" s="9">
        <f>IF(ISNA(MATCH(1257,'Transfer Engine'!$C$2:$C$1369,0)),"",INDEX('Compliance Database'!$I$2:$I$1369,MATCH(1257,'Transfer Engine'!$C$2:$C$1369,0)))</f>
        <v/>
      </c>
      <c r="J1266" s="8">
        <f>IF(ISNA(MATCH(1257,'Transfer Engine'!$C$2:$C$1369,0)),"",INDEX('Compliance Database'!$J$2:$J$1369,MATCH(1257,'Transfer Engine'!$C$2:$C$1369,0)))</f>
        <v/>
      </c>
      <c r="K1266" s="9">
        <f>IF(ISNA(MATCH(1257,'Transfer Engine'!$C$2:$C$1369,0)),"",INDEX('Compliance Database'!$K$2:$K$1369,MATCH(1257,'Transfer Engine'!$C$2:$C$1369,0)))</f>
        <v/>
      </c>
      <c r="L1266" s="9">
        <f>IF(ISNA(MATCH(1257,'Transfer Engine'!$C$2:$C$1369,0)),"",INDEX('Compliance Database'!$L$2:$L$1369,MATCH(1257,'Transfer Engine'!$C$2:$C$1369,0)))</f>
        <v/>
      </c>
      <c r="M1266" s="9">
        <f>IF(ISNA(MATCH(1257,'Transfer Engine'!$C$2:$C$1369,0)),"",INDEX('Compliance Database'!$M$2:$M$1369,MATCH(1257,'Transfer Engine'!$C$2:$C$1369,0)))</f>
        <v/>
      </c>
      <c r="N1266" s="9">
        <f>IF(ISNA(MATCH(1257,'Transfer Engine'!$C$2:$C$1369,0)),"",INDEX('Compliance Database'!$N$2:$N$1369,MATCH(1257,'Transfer Engine'!$C$2:$C$1369,0)))</f>
        <v/>
      </c>
      <c r="O1266" s="8">
        <f>IF(ISNA(MATCH(1257,'Transfer Engine'!$C$2:$C$1369,0)),"",HYPERLINK(INDEX('Compliance Database'!$O$2:$O$1369,MATCH(1257,'Transfer Engine'!$C$2:$C$1369,0)),"Open PDF"))</f>
        <v/>
      </c>
    </row>
    <row r="1267" ht="188" customHeight="1">
      <c r="A1267" s="8">
        <f>IF(ISNA(MATCH(1258,'Transfer Engine'!$C$2:$C$1369,0)),"",INDEX('Compliance Database'!$A$2:$A$1369,MATCH(1258,'Transfer Engine'!$C$2:$C$1369,0)))</f>
        <v/>
      </c>
      <c r="B1267" s="8">
        <f>IF(ISNA(MATCH(1258,'Transfer Engine'!$C$2:$C$1369,0)),"",INDEX('Compliance Database'!$B$2:$B$1369,MATCH(1258,'Transfer Engine'!$C$2:$C$1369,0)))</f>
        <v/>
      </c>
      <c r="C1267" s="8">
        <f>IF(ISNA(MATCH(1258,'Transfer Engine'!$C$2:$C$1369,0)),"",INDEX('Compliance Database'!$C$2:$C$1369,MATCH(1258,'Transfer Engine'!$C$2:$C$1369,0)))</f>
        <v/>
      </c>
      <c r="D1267" s="9">
        <f>IF(ISNA(MATCH(1258,'Transfer Engine'!$C$2:$C$1369,0)),"",INDEX('Compliance Database'!$D$2:$D$1369,MATCH(1258,'Transfer Engine'!$C$2:$C$1369,0)))</f>
        <v/>
      </c>
      <c r="E1267" s="8">
        <f>IF(ISNA(MATCH(1258,'Transfer Engine'!$C$2:$C$1369,0)),"",INDEX('Compliance Database'!$E$2:$E$1369,MATCH(1258,'Transfer Engine'!$C$2:$C$1369,0)))</f>
        <v/>
      </c>
      <c r="F1267" s="8">
        <f>IF(ISNA(MATCH(1258,'Transfer Engine'!$C$2:$C$1369,0)),"",INDEX('Compliance Database'!$F$2:$F$1369,MATCH(1258,'Transfer Engine'!$C$2:$C$1369,0)))</f>
        <v/>
      </c>
      <c r="G1267" s="8">
        <f>IF(ISNA(MATCH(1258,'Transfer Engine'!$C$2:$C$1369,0)),"",INDEX('Compliance Database'!$G$2:$G$1369,MATCH(1258,'Transfer Engine'!$C$2:$C$1369,0)))</f>
        <v/>
      </c>
      <c r="H1267" s="9">
        <f>IF(ISNA(MATCH(1258,'Transfer Engine'!$C$2:$C$1369,0)),"",INDEX('Compliance Database'!$H$2:$H$1369,MATCH(1258,'Transfer Engine'!$C$2:$C$1369,0)))</f>
        <v/>
      </c>
      <c r="I1267" s="9">
        <f>IF(ISNA(MATCH(1258,'Transfer Engine'!$C$2:$C$1369,0)),"",INDEX('Compliance Database'!$I$2:$I$1369,MATCH(1258,'Transfer Engine'!$C$2:$C$1369,0)))</f>
        <v/>
      </c>
      <c r="J1267" s="8">
        <f>IF(ISNA(MATCH(1258,'Transfer Engine'!$C$2:$C$1369,0)),"",INDEX('Compliance Database'!$J$2:$J$1369,MATCH(1258,'Transfer Engine'!$C$2:$C$1369,0)))</f>
        <v/>
      </c>
      <c r="K1267" s="9">
        <f>IF(ISNA(MATCH(1258,'Transfer Engine'!$C$2:$C$1369,0)),"",INDEX('Compliance Database'!$K$2:$K$1369,MATCH(1258,'Transfer Engine'!$C$2:$C$1369,0)))</f>
        <v/>
      </c>
      <c r="L1267" s="9">
        <f>IF(ISNA(MATCH(1258,'Transfer Engine'!$C$2:$C$1369,0)),"",INDEX('Compliance Database'!$L$2:$L$1369,MATCH(1258,'Transfer Engine'!$C$2:$C$1369,0)))</f>
        <v/>
      </c>
      <c r="M1267" s="9">
        <f>IF(ISNA(MATCH(1258,'Transfer Engine'!$C$2:$C$1369,0)),"",INDEX('Compliance Database'!$M$2:$M$1369,MATCH(1258,'Transfer Engine'!$C$2:$C$1369,0)))</f>
        <v/>
      </c>
      <c r="N1267" s="9">
        <f>IF(ISNA(MATCH(1258,'Transfer Engine'!$C$2:$C$1369,0)),"",INDEX('Compliance Database'!$N$2:$N$1369,MATCH(1258,'Transfer Engine'!$C$2:$C$1369,0)))</f>
        <v/>
      </c>
      <c r="O1267" s="8">
        <f>IF(ISNA(MATCH(1258,'Transfer Engine'!$C$2:$C$1369,0)),"",HYPERLINK(INDEX('Compliance Database'!$O$2:$O$1369,MATCH(1258,'Transfer Engine'!$C$2:$C$1369,0)),"Open PDF"))</f>
        <v/>
      </c>
    </row>
    <row r="1268" ht="188" customHeight="1">
      <c r="A1268" s="8">
        <f>IF(ISNA(MATCH(1259,'Transfer Engine'!$C$2:$C$1369,0)),"",INDEX('Compliance Database'!$A$2:$A$1369,MATCH(1259,'Transfer Engine'!$C$2:$C$1369,0)))</f>
        <v/>
      </c>
      <c r="B1268" s="8">
        <f>IF(ISNA(MATCH(1259,'Transfer Engine'!$C$2:$C$1369,0)),"",INDEX('Compliance Database'!$B$2:$B$1369,MATCH(1259,'Transfer Engine'!$C$2:$C$1369,0)))</f>
        <v/>
      </c>
      <c r="C1268" s="8">
        <f>IF(ISNA(MATCH(1259,'Transfer Engine'!$C$2:$C$1369,0)),"",INDEX('Compliance Database'!$C$2:$C$1369,MATCH(1259,'Transfer Engine'!$C$2:$C$1369,0)))</f>
        <v/>
      </c>
      <c r="D1268" s="9">
        <f>IF(ISNA(MATCH(1259,'Transfer Engine'!$C$2:$C$1369,0)),"",INDEX('Compliance Database'!$D$2:$D$1369,MATCH(1259,'Transfer Engine'!$C$2:$C$1369,0)))</f>
        <v/>
      </c>
      <c r="E1268" s="8">
        <f>IF(ISNA(MATCH(1259,'Transfer Engine'!$C$2:$C$1369,0)),"",INDEX('Compliance Database'!$E$2:$E$1369,MATCH(1259,'Transfer Engine'!$C$2:$C$1369,0)))</f>
        <v/>
      </c>
      <c r="F1268" s="8">
        <f>IF(ISNA(MATCH(1259,'Transfer Engine'!$C$2:$C$1369,0)),"",INDEX('Compliance Database'!$F$2:$F$1369,MATCH(1259,'Transfer Engine'!$C$2:$C$1369,0)))</f>
        <v/>
      </c>
      <c r="G1268" s="8">
        <f>IF(ISNA(MATCH(1259,'Transfer Engine'!$C$2:$C$1369,0)),"",INDEX('Compliance Database'!$G$2:$G$1369,MATCH(1259,'Transfer Engine'!$C$2:$C$1369,0)))</f>
        <v/>
      </c>
      <c r="H1268" s="9">
        <f>IF(ISNA(MATCH(1259,'Transfer Engine'!$C$2:$C$1369,0)),"",INDEX('Compliance Database'!$H$2:$H$1369,MATCH(1259,'Transfer Engine'!$C$2:$C$1369,0)))</f>
        <v/>
      </c>
      <c r="I1268" s="9">
        <f>IF(ISNA(MATCH(1259,'Transfer Engine'!$C$2:$C$1369,0)),"",INDEX('Compliance Database'!$I$2:$I$1369,MATCH(1259,'Transfer Engine'!$C$2:$C$1369,0)))</f>
        <v/>
      </c>
      <c r="J1268" s="8">
        <f>IF(ISNA(MATCH(1259,'Transfer Engine'!$C$2:$C$1369,0)),"",INDEX('Compliance Database'!$J$2:$J$1369,MATCH(1259,'Transfer Engine'!$C$2:$C$1369,0)))</f>
        <v/>
      </c>
      <c r="K1268" s="9">
        <f>IF(ISNA(MATCH(1259,'Transfer Engine'!$C$2:$C$1369,0)),"",INDEX('Compliance Database'!$K$2:$K$1369,MATCH(1259,'Transfer Engine'!$C$2:$C$1369,0)))</f>
        <v/>
      </c>
      <c r="L1268" s="9">
        <f>IF(ISNA(MATCH(1259,'Transfer Engine'!$C$2:$C$1369,0)),"",INDEX('Compliance Database'!$L$2:$L$1369,MATCH(1259,'Transfer Engine'!$C$2:$C$1369,0)))</f>
        <v/>
      </c>
      <c r="M1268" s="9">
        <f>IF(ISNA(MATCH(1259,'Transfer Engine'!$C$2:$C$1369,0)),"",INDEX('Compliance Database'!$M$2:$M$1369,MATCH(1259,'Transfer Engine'!$C$2:$C$1369,0)))</f>
        <v/>
      </c>
      <c r="N1268" s="9">
        <f>IF(ISNA(MATCH(1259,'Transfer Engine'!$C$2:$C$1369,0)),"",INDEX('Compliance Database'!$N$2:$N$1369,MATCH(1259,'Transfer Engine'!$C$2:$C$1369,0)))</f>
        <v/>
      </c>
      <c r="O1268" s="8">
        <f>IF(ISNA(MATCH(1259,'Transfer Engine'!$C$2:$C$1369,0)),"",HYPERLINK(INDEX('Compliance Database'!$O$2:$O$1369,MATCH(1259,'Transfer Engine'!$C$2:$C$1369,0)),"Open PDF"))</f>
        <v/>
      </c>
    </row>
    <row r="1269" ht="188" customHeight="1">
      <c r="A1269" s="8">
        <f>IF(ISNA(MATCH(1260,'Transfer Engine'!$C$2:$C$1369,0)),"",INDEX('Compliance Database'!$A$2:$A$1369,MATCH(1260,'Transfer Engine'!$C$2:$C$1369,0)))</f>
        <v/>
      </c>
      <c r="B1269" s="8">
        <f>IF(ISNA(MATCH(1260,'Transfer Engine'!$C$2:$C$1369,0)),"",INDEX('Compliance Database'!$B$2:$B$1369,MATCH(1260,'Transfer Engine'!$C$2:$C$1369,0)))</f>
        <v/>
      </c>
      <c r="C1269" s="8">
        <f>IF(ISNA(MATCH(1260,'Transfer Engine'!$C$2:$C$1369,0)),"",INDEX('Compliance Database'!$C$2:$C$1369,MATCH(1260,'Transfer Engine'!$C$2:$C$1369,0)))</f>
        <v/>
      </c>
      <c r="D1269" s="9">
        <f>IF(ISNA(MATCH(1260,'Transfer Engine'!$C$2:$C$1369,0)),"",INDEX('Compliance Database'!$D$2:$D$1369,MATCH(1260,'Transfer Engine'!$C$2:$C$1369,0)))</f>
        <v/>
      </c>
      <c r="E1269" s="8">
        <f>IF(ISNA(MATCH(1260,'Transfer Engine'!$C$2:$C$1369,0)),"",INDEX('Compliance Database'!$E$2:$E$1369,MATCH(1260,'Transfer Engine'!$C$2:$C$1369,0)))</f>
        <v/>
      </c>
      <c r="F1269" s="8">
        <f>IF(ISNA(MATCH(1260,'Transfer Engine'!$C$2:$C$1369,0)),"",INDEX('Compliance Database'!$F$2:$F$1369,MATCH(1260,'Transfer Engine'!$C$2:$C$1369,0)))</f>
        <v/>
      </c>
      <c r="G1269" s="8">
        <f>IF(ISNA(MATCH(1260,'Transfer Engine'!$C$2:$C$1369,0)),"",INDEX('Compliance Database'!$G$2:$G$1369,MATCH(1260,'Transfer Engine'!$C$2:$C$1369,0)))</f>
        <v/>
      </c>
      <c r="H1269" s="9">
        <f>IF(ISNA(MATCH(1260,'Transfer Engine'!$C$2:$C$1369,0)),"",INDEX('Compliance Database'!$H$2:$H$1369,MATCH(1260,'Transfer Engine'!$C$2:$C$1369,0)))</f>
        <v/>
      </c>
      <c r="I1269" s="9">
        <f>IF(ISNA(MATCH(1260,'Transfer Engine'!$C$2:$C$1369,0)),"",INDEX('Compliance Database'!$I$2:$I$1369,MATCH(1260,'Transfer Engine'!$C$2:$C$1369,0)))</f>
        <v/>
      </c>
      <c r="J1269" s="8">
        <f>IF(ISNA(MATCH(1260,'Transfer Engine'!$C$2:$C$1369,0)),"",INDEX('Compliance Database'!$J$2:$J$1369,MATCH(1260,'Transfer Engine'!$C$2:$C$1369,0)))</f>
        <v/>
      </c>
      <c r="K1269" s="9">
        <f>IF(ISNA(MATCH(1260,'Transfer Engine'!$C$2:$C$1369,0)),"",INDEX('Compliance Database'!$K$2:$K$1369,MATCH(1260,'Transfer Engine'!$C$2:$C$1369,0)))</f>
        <v/>
      </c>
      <c r="L1269" s="9">
        <f>IF(ISNA(MATCH(1260,'Transfer Engine'!$C$2:$C$1369,0)),"",INDEX('Compliance Database'!$L$2:$L$1369,MATCH(1260,'Transfer Engine'!$C$2:$C$1369,0)))</f>
        <v/>
      </c>
      <c r="M1269" s="9">
        <f>IF(ISNA(MATCH(1260,'Transfer Engine'!$C$2:$C$1369,0)),"",INDEX('Compliance Database'!$M$2:$M$1369,MATCH(1260,'Transfer Engine'!$C$2:$C$1369,0)))</f>
        <v/>
      </c>
      <c r="N1269" s="9">
        <f>IF(ISNA(MATCH(1260,'Transfer Engine'!$C$2:$C$1369,0)),"",INDEX('Compliance Database'!$N$2:$N$1369,MATCH(1260,'Transfer Engine'!$C$2:$C$1369,0)))</f>
        <v/>
      </c>
      <c r="O1269" s="8">
        <f>IF(ISNA(MATCH(1260,'Transfer Engine'!$C$2:$C$1369,0)),"",HYPERLINK(INDEX('Compliance Database'!$O$2:$O$1369,MATCH(1260,'Transfer Engine'!$C$2:$C$1369,0)),"Open PDF"))</f>
        <v/>
      </c>
    </row>
    <row r="1270" ht="188" customHeight="1">
      <c r="A1270" s="8">
        <f>IF(ISNA(MATCH(1261,'Transfer Engine'!$C$2:$C$1369,0)),"",INDEX('Compliance Database'!$A$2:$A$1369,MATCH(1261,'Transfer Engine'!$C$2:$C$1369,0)))</f>
        <v/>
      </c>
      <c r="B1270" s="8">
        <f>IF(ISNA(MATCH(1261,'Transfer Engine'!$C$2:$C$1369,0)),"",INDEX('Compliance Database'!$B$2:$B$1369,MATCH(1261,'Transfer Engine'!$C$2:$C$1369,0)))</f>
        <v/>
      </c>
      <c r="C1270" s="8">
        <f>IF(ISNA(MATCH(1261,'Transfer Engine'!$C$2:$C$1369,0)),"",INDEX('Compliance Database'!$C$2:$C$1369,MATCH(1261,'Transfer Engine'!$C$2:$C$1369,0)))</f>
        <v/>
      </c>
      <c r="D1270" s="9">
        <f>IF(ISNA(MATCH(1261,'Transfer Engine'!$C$2:$C$1369,0)),"",INDEX('Compliance Database'!$D$2:$D$1369,MATCH(1261,'Transfer Engine'!$C$2:$C$1369,0)))</f>
        <v/>
      </c>
      <c r="E1270" s="8">
        <f>IF(ISNA(MATCH(1261,'Transfer Engine'!$C$2:$C$1369,0)),"",INDEX('Compliance Database'!$E$2:$E$1369,MATCH(1261,'Transfer Engine'!$C$2:$C$1369,0)))</f>
        <v/>
      </c>
      <c r="F1270" s="8">
        <f>IF(ISNA(MATCH(1261,'Transfer Engine'!$C$2:$C$1369,0)),"",INDEX('Compliance Database'!$F$2:$F$1369,MATCH(1261,'Transfer Engine'!$C$2:$C$1369,0)))</f>
        <v/>
      </c>
      <c r="G1270" s="8">
        <f>IF(ISNA(MATCH(1261,'Transfer Engine'!$C$2:$C$1369,0)),"",INDEX('Compliance Database'!$G$2:$G$1369,MATCH(1261,'Transfer Engine'!$C$2:$C$1369,0)))</f>
        <v/>
      </c>
      <c r="H1270" s="9">
        <f>IF(ISNA(MATCH(1261,'Transfer Engine'!$C$2:$C$1369,0)),"",INDEX('Compliance Database'!$H$2:$H$1369,MATCH(1261,'Transfer Engine'!$C$2:$C$1369,0)))</f>
        <v/>
      </c>
      <c r="I1270" s="9">
        <f>IF(ISNA(MATCH(1261,'Transfer Engine'!$C$2:$C$1369,0)),"",INDEX('Compliance Database'!$I$2:$I$1369,MATCH(1261,'Transfer Engine'!$C$2:$C$1369,0)))</f>
        <v/>
      </c>
      <c r="J1270" s="8">
        <f>IF(ISNA(MATCH(1261,'Transfer Engine'!$C$2:$C$1369,0)),"",INDEX('Compliance Database'!$J$2:$J$1369,MATCH(1261,'Transfer Engine'!$C$2:$C$1369,0)))</f>
        <v/>
      </c>
      <c r="K1270" s="9">
        <f>IF(ISNA(MATCH(1261,'Transfer Engine'!$C$2:$C$1369,0)),"",INDEX('Compliance Database'!$K$2:$K$1369,MATCH(1261,'Transfer Engine'!$C$2:$C$1369,0)))</f>
        <v/>
      </c>
      <c r="L1270" s="9">
        <f>IF(ISNA(MATCH(1261,'Transfer Engine'!$C$2:$C$1369,0)),"",INDEX('Compliance Database'!$L$2:$L$1369,MATCH(1261,'Transfer Engine'!$C$2:$C$1369,0)))</f>
        <v/>
      </c>
      <c r="M1270" s="9">
        <f>IF(ISNA(MATCH(1261,'Transfer Engine'!$C$2:$C$1369,0)),"",INDEX('Compliance Database'!$M$2:$M$1369,MATCH(1261,'Transfer Engine'!$C$2:$C$1369,0)))</f>
        <v/>
      </c>
      <c r="N1270" s="9">
        <f>IF(ISNA(MATCH(1261,'Transfer Engine'!$C$2:$C$1369,0)),"",INDEX('Compliance Database'!$N$2:$N$1369,MATCH(1261,'Transfer Engine'!$C$2:$C$1369,0)))</f>
        <v/>
      </c>
      <c r="O1270" s="8">
        <f>IF(ISNA(MATCH(1261,'Transfer Engine'!$C$2:$C$1369,0)),"",HYPERLINK(INDEX('Compliance Database'!$O$2:$O$1369,MATCH(1261,'Transfer Engine'!$C$2:$C$1369,0)),"Open PDF"))</f>
        <v/>
      </c>
    </row>
    <row r="1271" ht="188" customHeight="1">
      <c r="A1271" s="8">
        <f>IF(ISNA(MATCH(1262,'Transfer Engine'!$C$2:$C$1369,0)),"",INDEX('Compliance Database'!$A$2:$A$1369,MATCH(1262,'Transfer Engine'!$C$2:$C$1369,0)))</f>
        <v/>
      </c>
      <c r="B1271" s="8">
        <f>IF(ISNA(MATCH(1262,'Transfer Engine'!$C$2:$C$1369,0)),"",INDEX('Compliance Database'!$B$2:$B$1369,MATCH(1262,'Transfer Engine'!$C$2:$C$1369,0)))</f>
        <v/>
      </c>
      <c r="C1271" s="8">
        <f>IF(ISNA(MATCH(1262,'Transfer Engine'!$C$2:$C$1369,0)),"",INDEX('Compliance Database'!$C$2:$C$1369,MATCH(1262,'Transfer Engine'!$C$2:$C$1369,0)))</f>
        <v/>
      </c>
      <c r="D1271" s="9">
        <f>IF(ISNA(MATCH(1262,'Transfer Engine'!$C$2:$C$1369,0)),"",INDEX('Compliance Database'!$D$2:$D$1369,MATCH(1262,'Transfer Engine'!$C$2:$C$1369,0)))</f>
        <v/>
      </c>
      <c r="E1271" s="8">
        <f>IF(ISNA(MATCH(1262,'Transfer Engine'!$C$2:$C$1369,0)),"",INDEX('Compliance Database'!$E$2:$E$1369,MATCH(1262,'Transfer Engine'!$C$2:$C$1369,0)))</f>
        <v/>
      </c>
      <c r="F1271" s="8">
        <f>IF(ISNA(MATCH(1262,'Transfer Engine'!$C$2:$C$1369,0)),"",INDEX('Compliance Database'!$F$2:$F$1369,MATCH(1262,'Transfer Engine'!$C$2:$C$1369,0)))</f>
        <v/>
      </c>
      <c r="G1271" s="8">
        <f>IF(ISNA(MATCH(1262,'Transfer Engine'!$C$2:$C$1369,0)),"",INDEX('Compliance Database'!$G$2:$G$1369,MATCH(1262,'Transfer Engine'!$C$2:$C$1369,0)))</f>
        <v/>
      </c>
      <c r="H1271" s="9">
        <f>IF(ISNA(MATCH(1262,'Transfer Engine'!$C$2:$C$1369,0)),"",INDEX('Compliance Database'!$H$2:$H$1369,MATCH(1262,'Transfer Engine'!$C$2:$C$1369,0)))</f>
        <v/>
      </c>
      <c r="I1271" s="9">
        <f>IF(ISNA(MATCH(1262,'Transfer Engine'!$C$2:$C$1369,0)),"",INDEX('Compliance Database'!$I$2:$I$1369,MATCH(1262,'Transfer Engine'!$C$2:$C$1369,0)))</f>
        <v/>
      </c>
      <c r="J1271" s="8">
        <f>IF(ISNA(MATCH(1262,'Transfer Engine'!$C$2:$C$1369,0)),"",INDEX('Compliance Database'!$J$2:$J$1369,MATCH(1262,'Transfer Engine'!$C$2:$C$1369,0)))</f>
        <v/>
      </c>
      <c r="K1271" s="9">
        <f>IF(ISNA(MATCH(1262,'Transfer Engine'!$C$2:$C$1369,0)),"",INDEX('Compliance Database'!$K$2:$K$1369,MATCH(1262,'Transfer Engine'!$C$2:$C$1369,0)))</f>
        <v/>
      </c>
      <c r="L1271" s="9">
        <f>IF(ISNA(MATCH(1262,'Transfer Engine'!$C$2:$C$1369,0)),"",INDEX('Compliance Database'!$L$2:$L$1369,MATCH(1262,'Transfer Engine'!$C$2:$C$1369,0)))</f>
        <v/>
      </c>
      <c r="M1271" s="9">
        <f>IF(ISNA(MATCH(1262,'Transfer Engine'!$C$2:$C$1369,0)),"",INDEX('Compliance Database'!$M$2:$M$1369,MATCH(1262,'Transfer Engine'!$C$2:$C$1369,0)))</f>
        <v/>
      </c>
      <c r="N1271" s="9">
        <f>IF(ISNA(MATCH(1262,'Transfer Engine'!$C$2:$C$1369,0)),"",INDEX('Compliance Database'!$N$2:$N$1369,MATCH(1262,'Transfer Engine'!$C$2:$C$1369,0)))</f>
        <v/>
      </c>
      <c r="O1271" s="8">
        <f>IF(ISNA(MATCH(1262,'Transfer Engine'!$C$2:$C$1369,0)),"",HYPERLINK(INDEX('Compliance Database'!$O$2:$O$1369,MATCH(1262,'Transfer Engine'!$C$2:$C$1369,0)),"Open PDF"))</f>
        <v/>
      </c>
    </row>
    <row r="1272" ht="188" customHeight="1">
      <c r="A1272" s="8">
        <f>IF(ISNA(MATCH(1263,'Transfer Engine'!$C$2:$C$1369,0)),"",INDEX('Compliance Database'!$A$2:$A$1369,MATCH(1263,'Transfer Engine'!$C$2:$C$1369,0)))</f>
        <v/>
      </c>
      <c r="B1272" s="8">
        <f>IF(ISNA(MATCH(1263,'Transfer Engine'!$C$2:$C$1369,0)),"",INDEX('Compliance Database'!$B$2:$B$1369,MATCH(1263,'Transfer Engine'!$C$2:$C$1369,0)))</f>
        <v/>
      </c>
      <c r="C1272" s="8">
        <f>IF(ISNA(MATCH(1263,'Transfer Engine'!$C$2:$C$1369,0)),"",INDEX('Compliance Database'!$C$2:$C$1369,MATCH(1263,'Transfer Engine'!$C$2:$C$1369,0)))</f>
        <v/>
      </c>
      <c r="D1272" s="9">
        <f>IF(ISNA(MATCH(1263,'Transfer Engine'!$C$2:$C$1369,0)),"",INDEX('Compliance Database'!$D$2:$D$1369,MATCH(1263,'Transfer Engine'!$C$2:$C$1369,0)))</f>
        <v/>
      </c>
      <c r="E1272" s="8">
        <f>IF(ISNA(MATCH(1263,'Transfer Engine'!$C$2:$C$1369,0)),"",INDEX('Compliance Database'!$E$2:$E$1369,MATCH(1263,'Transfer Engine'!$C$2:$C$1369,0)))</f>
        <v/>
      </c>
      <c r="F1272" s="8">
        <f>IF(ISNA(MATCH(1263,'Transfer Engine'!$C$2:$C$1369,0)),"",INDEX('Compliance Database'!$F$2:$F$1369,MATCH(1263,'Transfer Engine'!$C$2:$C$1369,0)))</f>
        <v/>
      </c>
      <c r="G1272" s="8">
        <f>IF(ISNA(MATCH(1263,'Transfer Engine'!$C$2:$C$1369,0)),"",INDEX('Compliance Database'!$G$2:$G$1369,MATCH(1263,'Transfer Engine'!$C$2:$C$1369,0)))</f>
        <v/>
      </c>
      <c r="H1272" s="9">
        <f>IF(ISNA(MATCH(1263,'Transfer Engine'!$C$2:$C$1369,0)),"",INDEX('Compliance Database'!$H$2:$H$1369,MATCH(1263,'Transfer Engine'!$C$2:$C$1369,0)))</f>
        <v/>
      </c>
      <c r="I1272" s="9">
        <f>IF(ISNA(MATCH(1263,'Transfer Engine'!$C$2:$C$1369,0)),"",INDEX('Compliance Database'!$I$2:$I$1369,MATCH(1263,'Transfer Engine'!$C$2:$C$1369,0)))</f>
        <v/>
      </c>
      <c r="J1272" s="8">
        <f>IF(ISNA(MATCH(1263,'Transfer Engine'!$C$2:$C$1369,0)),"",INDEX('Compliance Database'!$J$2:$J$1369,MATCH(1263,'Transfer Engine'!$C$2:$C$1369,0)))</f>
        <v/>
      </c>
      <c r="K1272" s="9">
        <f>IF(ISNA(MATCH(1263,'Transfer Engine'!$C$2:$C$1369,0)),"",INDEX('Compliance Database'!$K$2:$K$1369,MATCH(1263,'Transfer Engine'!$C$2:$C$1369,0)))</f>
        <v/>
      </c>
      <c r="L1272" s="9">
        <f>IF(ISNA(MATCH(1263,'Transfer Engine'!$C$2:$C$1369,0)),"",INDEX('Compliance Database'!$L$2:$L$1369,MATCH(1263,'Transfer Engine'!$C$2:$C$1369,0)))</f>
        <v/>
      </c>
      <c r="M1272" s="9">
        <f>IF(ISNA(MATCH(1263,'Transfer Engine'!$C$2:$C$1369,0)),"",INDEX('Compliance Database'!$M$2:$M$1369,MATCH(1263,'Transfer Engine'!$C$2:$C$1369,0)))</f>
        <v/>
      </c>
      <c r="N1272" s="9">
        <f>IF(ISNA(MATCH(1263,'Transfer Engine'!$C$2:$C$1369,0)),"",INDEX('Compliance Database'!$N$2:$N$1369,MATCH(1263,'Transfer Engine'!$C$2:$C$1369,0)))</f>
        <v/>
      </c>
      <c r="O1272" s="8">
        <f>IF(ISNA(MATCH(1263,'Transfer Engine'!$C$2:$C$1369,0)),"",HYPERLINK(INDEX('Compliance Database'!$O$2:$O$1369,MATCH(1263,'Transfer Engine'!$C$2:$C$1369,0)),"Open PDF"))</f>
        <v/>
      </c>
    </row>
    <row r="1273" ht="188" customHeight="1">
      <c r="A1273" s="8">
        <f>IF(ISNA(MATCH(1264,'Transfer Engine'!$C$2:$C$1369,0)),"",INDEX('Compliance Database'!$A$2:$A$1369,MATCH(1264,'Transfer Engine'!$C$2:$C$1369,0)))</f>
        <v/>
      </c>
      <c r="B1273" s="8">
        <f>IF(ISNA(MATCH(1264,'Transfer Engine'!$C$2:$C$1369,0)),"",INDEX('Compliance Database'!$B$2:$B$1369,MATCH(1264,'Transfer Engine'!$C$2:$C$1369,0)))</f>
        <v/>
      </c>
      <c r="C1273" s="8">
        <f>IF(ISNA(MATCH(1264,'Transfer Engine'!$C$2:$C$1369,0)),"",INDEX('Compliance Database'!$C$2:$C$1369,MATCH(1264,'Transfer Engine'!$C$2:$C$1369,0)))</f>
        <v/>
      </c>
      <c r="D1273" s="9">
        <f>IF(ISNA(MATCH(1264,'Transfer Engine'!$C$2:$C$1369,0)),"",INDEX('Compliance Database'!$D$2:$D$1369,MATCH(1264,'Transfer Engine'!$C$2:$C$1369,0)))</f>
        <v/>
      </c>
      <c r="E1273" s="8">
        <f>IF(ISNA(MATCH(1264,'Transfer Engine'!$C$2:$C$1369,0)),"",INDEX('Compliance Database'!$E$2:$E$1369,MATCH(1264,'Transfer Engine'!$C$2:$C$1369,0)))</f>
        <v/>
      </c>
      <c r="F1273" s="8">
        <f>IF(ISNA(MATCH(1264,'Transfer Engine'!$C$2:$C$1369,0)),"",INDEX('Compliance Database'!$F$2:$F$1369,MATCH(1264,'Transfer Engine'!$C$2:$C$1369,0)))</f>
        <v/>
      </c>
      <c r="G1273" s="8">
        <f>IF(ISNA(MATCH(1264,'Transfer Engine'!$C$2:$C$1369,0)),"",INDEX('Compliance Database'!$G$2:$G$1369,MATCH(1264,'Transfer Engine'!$C$2:$C$1369,0)))</f>
        <v/>
      </c>
      <c r="H1273" s="9">
        <f>IF(ISNA(MATCH(1264,'Transfer Engine'!$C$2:$C$1369,0)),"",INDEX('Compliance Database'!$H$2:$H$1369,MATCH(1264,'Transfer Engine'!$C$2:$C$1369,0)))</f>
        <v/>
      </c>
      <c r="I1273" s="9">
        <f>IF(ISNA(MATCH(1264,'Transfer Engine'!$C$2:$C$1369,0)),"",INDEX('Compliance Database'!$I$2:$I$1369,MATCH(1264,'Transfer Engine'!$C$2:$C$1369,0)))</f>
        <v/>
      </c>
      <c r="J1273" s="8">
        <f>IF(ISNA(MATCH(1264,'Transfer Engine'!$C$2:$C$1369,0)),"",INDEX('Compliance Database'!$J$2:$J$1369,MATCH(1264,'Transfer Engine'!$C$2:$C$1369,0)))</f>
        <v/>
      </c>
      <c r="K1273" s="9">
        <f>IF(ISNA(MATCH(1264,'Transfer Engine'!$C$2:$C$1369,0)),"",INDEX('Compliance Database'!$K$2:$K$1369,MATCH(1264,'Transfer Engine'!$C$2:$C$1369,0)))</f>
        <v/>
      </c>
      <c r="L1273" s="9">
        <f>IF(ISNA(MATCH(1264,'Transfer Engine'!$C$2:$C$1369,0)),"",INDEX('Compliance Database'!$L$2:$L$1369,MATCH(1264,'Transfer Engine'!$C$2:$C$1369,0)))</f>
        <v/>
      </c>
      <c r="M1273" s="9">
        <f>IF(ISNA(MATCH(1264,'Transfer Engine'!$C$2:$C$1369,0)),"",INDEX('Compliance Database'!$M$2:$M$1369,MATCH(1264,'Transfer Engine'!$C$2:$C$1369,0)))</f>
        <v/>
      </c>
      <c r="N1273" s="9">
        <f>IF(ISNA(MATCH(1264,'Transfer Engine'!$C$2:$C$1369,0)),"",INDEX('Compliance Database'!$N$2:$N$1369,MATCH(1264,'Transfer Engine'!$C$2:$C$1369,0)))</f>
        <v/>
      </c>
      <c r="O1273" s="8">
        <f>IF(ISNA(MATCH(1264,'Transfer Engine'!$C$2:$C$1369,0)),"",HYPERLINK(INDEX('Compliance Database'!$O$2:$O$1369,MATCH(1264,'Transfer Engine'!$C$2:$C$1369,0)),"Open PDF"))</f>
        <v/>
      </c>
    </row>
    <row r="1274" ht="188" customHeight="1">
      <c r="A1274" s="8">
        <f>IF(ISNA(MATCH(1265,'Transfer Engine'!$C$2:$C$1369,0)),"",INDEX('Compliance Database'!$A$2:$A$1369,MATCH(1265,'Transfer Engine'!$C$2:$C$1369,0)))</f>
        <v/>
      </c>
      <c r="B1274" s="8">
        <f>IF(ISNA(MATCH(1265,'Transfer Engine'!$C$2:$C$1369,0)),"",INDEX('Compliance Database'!$B$2:$B$1369,MATCH(1265,'Transfer Engine'!$C$2:$C$1369,0)))</f>
        <v/>
      </c>
      <c r="C1274" s="8">
        <f>IF(ISNA(MATCH(1265,'Transfer Engine'!$C$2:$C$1369,0)),"",INDEX('Compliance Database'!$C$2:$C$1369,MATCH(1265,'Transfer Engine'!$C$2:$C$1369,0)))</f>
        <v/>
      </c>
      <c r="D1274" s="9">
        <f>IF(ISNA(MATCH(1265,'Transfer Engine'!$C$2:$C$1369,0)),"",INDEX('Compliance Database'!$D$2:$D$1369,MATCH(1265,'Transfer Engine'!$C$2:$C$1369,0)))</f>
        <v/>
      </c>
      <c r="E1274" s="8">
        <f>IF(ISNA(MATCH(1265,'Transfer Engine'!$C$2:$C$1369,0)),"",INDEX('Compliance Database'!$E$2:$E$1369,MATCH(1265,'Transfer Engine'!$C$2:$C$1369,0)))</f>
        <v/>
      </c>
      <c r="F1274" s="8">
        <f>IF(ISNA(MATCH(1265,'Transfer Engine'!$C$2:$C$1369,0)),"",INDEX('Compliance Database'!$F$2:$F$1369,MATCH(1265,'Transfer Engine'!$C$2:$C$1369,0)))</f>
        <v/>
      </c>
      <c r="G1274" s="8">
        <f>IF(ISNA(MATCH(1265,'Transfer Engine'!$C$2:$C$1369,0)),"",INDEX('Compliance Database'!$G$2:$G$1369,MATCH(1265,'Transfer Engine'!$C$2:$C$1369,0)))</f>
        <v/>
      </c>
      <c r="H1274" s="9">
        <f>IF(ISNA(MATCH(1265,'Transfer Engine'!$C$2:$C$1369,0)),"",INDEX('Compliance Database'!$H$2:$H$1369,MATCH(1265,'Transfer Engine'!$C$2:$C$1369,0)))</f>
        <v/>
      </c>
      <c r="I1274" s="9">
        <f>IF(ISNA(MATCH(1265,'Transfer Engine'!$C$2:$C$1369,0)),"",INDEX('Compliance Database'!$I$2:$I$1369,MATCH(1265,'Transfer Engine'!$C$2:$C$1369,0)))</f>
        <v/>
      </c>
      <c r="J1274" s="8">
        <f>IF(ISNA(MATCH(1265,'Transfer Engine'!$C$2:$C$1369,0)),"",INDEX('Compliance Database'!$J$2:$J$1369,MATCH(1265,'Transfer Engine'!$C$2:$C$1369,0)))</f>
        <v/>
      </c>
      <c r="K1274" s="9">
        <f>IF(ISNA(MATCH(1265,'Transfer Engine'!$C$2:$C$1369,0)),"",INDEX('Compliance Database'!$K$2:$K$1369,MATCH(1265,'Transfer Engine'!$C$2:$C$1369,0)))</f>
        <v/>
      </c>
      <c r="L1274" s="9">
        <f>IF(ISNA(MATCH(1265,'Transfer Engine'!$C$2:$C$1369,0)),"",INDEX('Compliance Database'!$L$2:$L$1369,MATCH(1265,'Transfer Engine'!$C$2:$C$1369,0)))</f>
        <v/>
      </c>
      <c r="M1274" s="9">
        <f>IF(ISNA(MATCH(1265,'Transfer Engine'!$C$2:$C$1369,0)),"",INDEX('Compliance Database'!$M$2:$M$1369,MATCH(1265,'Transfer Engine'!$C$2:$C$1369,0)))</f>
        <v/>
      </c>
      <c r="N1274" s="9">
        <f>IF(ISNA(MATCH(1265,'Transfer Engine'!$C$2:$C$1369,0)),"",INDEX('Compliance Database'!$N$2:$N$1369,MATCH(1265,'Transfer Engine'!$C$2:$C$1369,0)))</f>
        <v/>
      </c>
      <c r="O1274" s="8">
        <f>IF(ISNA(MATCH(1265,'Transfer Engine'!$C$2:$C$1369,0)),"",HYPERLINK(INDEX('Compliance Database'!$O$2:$O$1369,MATCH(1265,'Transfer Engine'!$C$2:$C$1369,0)),"Open PDF"))</f>
        <v/>
      </c>
    </row>
    <row r="1275" ht="188" customHeight="1">
      <c r="A1275" s="8">
        <f>IF(ISNA(MATCH(1266,'Transfer Engine'!$C$2:$C$1369,0)),"",INDEX('Compliance Database'!$A$2:$A$1369,MATCH(1266,'Transfer Engine'!$C$2:$C$1369,0)))</f>
        <v/>
      </c>
      <c r="B1275" s="8">
        <f>IF(ISNA(MATCH(1266,'Transfer Engine'!$C$2:$C$1369,0)),"",INDEX('Compliance Database'!$B$2:$B$1369,MATCH(1266,'Transfer Engine'!$C$2:$C$1369,0)))</f>
        <v/>
      </c>
      <c r="C1275" s="8">
        <f>IF(ISNA(MATCH(1266,'Transfer Engine'!$C$2:$C$1369,0)),"",INDEX('Compliance Database'!$C$2:$C$1369,MATCH(1266,'Transfer Engine'!$C$2:$C$1369,0)))</f>
        <v/>
      </c>
      <c r="D1275" s="9">
        <f>IF(ISNA(MATCH(1266,'Transfer Engine'!$C$2:$C$1369,0)),"",INDEX('Compliance Database'!$D$2:$D$1369,MATCH(1266,'Transfer Engine'!$C$2:$C$1369,0)))</f>
        <v/>
      </c>
      <c r="E1275" s="8">
        <f>IF(ISNA(MATCH(1266,'Transfer Engine'!$C$2:$C$1369,0)),"",INDEX('Compliance Database'!$E$2:$E$1369,MATCH(1266,'Transfer Engine'!$C$2:$C$1369,0)))</f>
        <v/>
      </c>
      <c r="F1275" s="8">
        <f>IF(ISNA(MATCH(1266,'Transfer Engine'!$C$2:$C$1369,0)),"",INDEX('Compliance Database'!$F$2:$F$1369,MATCH(1266,'Transfer Engine'!$C$2:$C$1369,0)))</f>
        <v/>
      </c>
      <c r="G1275" s="8">
        <f>IF(ISNA(MATCH(1266,'Transfer Engine'!$C$2:$C$1369,0)),"",INDEX('Compliance Database'!$G$2:$G$1369,MATCH(1266,'Transfer Engine'!$C$2:$C$1369,0)))</f>
        <v/>
      </c>
      <c r="H1275" s="9">
        <f>IF(ISNA(MATCH(1266,'Transfer Engine'!$C$2:$C$1369,0)),"",INDEX('Compliance Database'!$H$2:$H$1369,MATCH(1266,'Transfer Engine'!$C$2:$C$1369,0)))</f>
        <v/>
      </c>
      <c r="I1275" s="9">
        <f>IF(ISNA(MATCH(1266,'Transfer Engine'!$C$2:$C$1369,0)),"",INDEX('Compliance Database'!$I$2:$I$1369,MATCH(1266,'Transfer Engine'!$C$2:$C$1369,0)))</f>
        <v/>
      </c>
      <c r="J1275" s="8">
        <f>IF(ISNA(MATCH(1266,'Transfer Engine'!$C$2:$C$1369,0)),"",INDEX('Compliance Database'!$J$2:$J$1369,MATCH(1266,'Transfer Engine'!$C$2:$C$1369,0)))</f>
        <v/>
      </c>
      <c r="K1275" s="9">
        <f>IF(ISNA(MATCH(1266,'Transfer Engine'!$C$2:$C$1369,0)),"",INDEX('Compliance Database'!$K$2:$K$1369,MATCH(1266,'Transfer Engine'!$C$2:$C$1369,0)))</f>
        <v/>
      </c>
      <c r="L1275" s="9">
        <f>IF(ISNA(MATCH(1266,'Transfer Engine'!$C$2:$C$1369,0)),"",INDEX('Compliance Database'!$L$2:$L$1369,MATCH(1266,'Transfer Engine'!$C$2:$C$1369,0)))</f>
        <v/>
      </c>
      <c r="M1275" s="9">
        <f>IF(ISNA(MATCH(1266,'Transfer Engine'!$C$2:$C$1369,0)),"",INDEX('Compliance Database'!$M$2:$M$1369,MATCH(1266,'Transfer Engine'!$C$2:$C$1369,0)))</f>
        <v/>
      </c>
      <c r="N1275" s="9">
        <f>IF(ISNA(MATCH(1266,'Transfer Engine'!$C$2:$C$1369,0)),"",INDEX('Compliance Database'!$N$2:$N$1369,MATCH(1266,'Transfer Engine'!$C$2:$C$1369,0)))</f>
        <v/>
      </c>
      <c r="O1275" s="8">
        <f>IF(ISNA(MATCH(1266,'Transfer Engine'!$C$2:$C$1369,0)),"",HYPERLINK(INDEX('Compliance Database'!$O$2:$O$1369,MATCH(1266,'Transfer Engine'!$C$2:$C$1369,0)),"Open PDF"))</f>
        <v/>
      </c>
    </row>
    <row r="1276" ht="188" customHeight="1">
      <c r="A1276" s="8">
        <f>IF(ISNA(MATCH(1267,'Transfer Engine'!$C$2:$C$1369,0)),"",INDEX('Compliance Database'!$A$2:$A$1369,MATCH(1267,'Transfer Engine'!$C$2:$C$1369,0)))</f>
        <v/>
      </c>
      <c r="B1276" s="8">
        <f>IF(ISNA(MATCH(1267,'Transfer Engine'!$C$2:$C$1369,0)),"",INDEX('Compliance Database'!$B$2:$B$1369,MATCH(1267,'Transfer Engine'!$C$2:$C$1369,0)))</f>
        <v/>
      </c>
      <c r="C1276" s="8">
        <f>IF(ISNA(MATCH(1267,'Transfer Engine'!$C$2:$C$1369,0)),"",INDEX('Compliance Database'!$C$2:$C$1369,MATCH(1267,'Transfer Engine'!$C$2:$C$1369,0)))</f>
        <v/>
      </c>
      <c r="D1276" s="9">
        <f>IF(ISNA(MATCH(1267,'Transfer Engine'!$C$2:$C$1369,0)),"",INDEX('Compliance Database'!$D$2:$D$1369,MATCH(1267,'Transfer Engine'!$C$2:$C$1369,0)))</f>
        <v/>
      </c>
      <c r="E1276" s="8">
        <f>IF(ISNA(MATCH(1267,'Transfer Engine'!$C$2:$C$1369,0)),"",INDEX('Compliance Database'!$E$2:$E$1369,MATCH(1267,'Transfer Engine'!$C$2:$C$1369,0)))</f>
        <v/>
      </c>
      <c r="F1276" s="8">
        <f>IF(ISNA(MATCH(1267,'Transfer Engine'!$C$2:$C$1369,0)),"",INDEX('Compliance Database'!$F$2:$F$1369,MATCH(1267,'Transfer Engine'!$C$2:$C$1369,0)))</f>
        <v/>
      </c>
      <c r="G1276" s="8">
        <f>IF(ISNA(MATCH(1267,'Transfer Engine'!$C$2:$C$1369,0)),"",INDEX('Compliance Database'!$G$2:$G$1369,MATCH(1267,'Transfer Engine'!$C$2:$C$1369,0)))</f>
        <v/>
      </c>
      <c r="H1276" s="9">
        <f>IF(ISNA(MATCH(1267,'Transfer Engine'!$C$2:$C$1369,0)),"",INDEX('Compliance Database'!$H$2:$H$1369,MATCH(1267,'Transfer Engine'!$C$2:$C$1369,0)))</f>
        <v/>
      </c>
      <c r="I1276" s="9">
        <f>IF(ISNA(MATCH(1267,'Transfer Engine'!$C$2:$C$1369,0)),"",INDEX('Compliance Database'!$I$2:$I$1369,MATCH(1267,'Transfer Engine'!$C$2:$C$1369,0)))</f>
        <v/>
      </c>
      <c r="J1276" s="8">
        <f>IF(ISNA(MATCH(1267,'Transfer Engine'!$C$2:$C$1369,0)),"",INDEX('Compliance Database'!$J$2:$J$1369,MATCH(1267,'Transfer Engine'!$C$2:$C$1369,0)))</f>
        <v/>
      </c>
      <c r="K1276" s="9">
        <f>IF(ISNA(MATCH(1267,'Transfer Engine'!$C$2:$C$1369,0)),"",INDEX('Compliance Database'!$K$2:$K$1369,MATCH(1267,'Transfer Engine'!$C$2:$C$1369,0)))</f>
        <v/>
      </c>
      <c r="L1276" s="9">
        <f>IF(ISNA(MATCH(1267,'Transfer Engine'!$C$2:$C$1369,0)),"",INDEX('Compliance Database'!$L$2:$L$1369,MATCH(1267,'Transfer Engine'!$C$2:$C$1369,0)))</f>
        <v/>
      </c>
      <c r="M1276" s="9">
        <f>IF(ISNA(MATCH(1267,'Transfer Engine'!$C$2:$C$1369,0)),"",INDEX('Compliance Database'!$M$2:$M$1369,MATCH(1267,'Transfer Engine'!$C$2:$C$1369,0)))</f>
        <v/>
      </c>
      <c r="N1276" s="9">
        <f>IF(ISNA(MATCH(1267,'Transfer Engine'!$C$2:$C$1369,0)),"",INDEX('Compliance Database'!$N$2:$N$1369,MATCH(1267,'Transfer Engine'!$C$2:$C$1369,0)))</f>
        <v/>
      </c>
      <c r="O1276" s="8">
        <f>IF(ISNA(MATCH(1267,'Transfer Engine'!$C$2:$C$1369,0)),"",HYPERLINK(INDEX('Compliance Database'!$O$2:$O$1369,MATCH(1267,'Transfer Engine'!$C$2:$C$1369,0)),"Open PDF"))</f>
        <v/>
      </c>
    </row>
    <row r="1277" ht="188" customHeight="1">
      <c r="A1277" s="8">
        <f>IF(ISNA(MATCH(1268,'Transfer Engine'!$C$2:$C$1369,0)),"",INDEX('Compliance Database'!$A$2:$A$1369,MATCH(1268,'Transfer Engine'!$C$2:$C$1369,0)))</f>
        <v/>
      </c>
      <c r="B1277" s="8">
        <f>IF(ISNA(MATCH(1268,'Transfer Engine'!$C$2:$C$1369,0)),"",INDEX('Compliance Database'!$B$2:$B$1369,MATCH(1268,'Transfer Engine'!$C$2:$C$1369,0)))</f>
        <v/>
      </c>
      <c r="C1277" s="8">
        <f>IF(ISNA(MATCH(1268,'Transfer Engine'!$C$2:$C$1369,0)),"",INDEX('Compliance Database'!$C$2:$C$1369,MATCH(1268,'Transfer Engine'!$C$2:$C$1369,0)))</f>
        <v/>
      </c>
      <c r="D1277" s="9">
        <f>IF(ISNA(MATCH(1268,'Transfer Engine'!$C$2:$C$1369,0)),"",INDEX('Compliance Database'!$D$2:$D$1369,MATCH(1268,'Transfer Engine'!$C$2:$C$1369,0)))</f>
        <v/>
      </c>
      <c r="E1277" s="8">
        <f>IF(ISNA(MATCH(1268,'Transfer Engine'!$C$2:$C$1369,0)),"",INDEX('Compliance Database'!$E$2:$E$1369,MATCH(1268,'Transfer Engine'!$C$2:$C$1369,0)))</f>
        <v/>
      </c>
      <c r="F1277" s="8">
        <f>IF(ISNA(MATCH(1268,'Transfer Engine'!$C$2:$C$1369,0)),"",INDEX('Compliance Database'!$F$2:$F$1369,MATCH(1268,'Transfer Engine'!$C$2:$C$1369,0)))</f>
        <v/>
      </c>
      <c r="G1277" s="8">
        <f>IF(ISNA(MATCH(1268,'Transfer Engine'!$C$2:$C$1369,0)),"",INDEX('Compliance Database'!$G$2:$G$1369,MATCH(1268,'Transfer Engine'!$C$2:$C$1369,0)))</f>
        <v/>
      </c>
      <c r="H1277" s="9">
        <f>IF(ISNA(MATCH(1268,'Transfer Engine'!$C$2:$C$1369,0)),"",INDEX('Compliance Database'!$H$2:$H$1369,MATCH(1268,'Transfer Engine'!$C$2:$C$1369,0)))</f>
        <v/>
      </c>
      <c r="I1277" s="9">
        <f>IF(ISNA(MATCH(1268,'Transfer Engine'!$C$2:$C$1369,0)),"",INDEX('Compliance Database'!$I$2:$I$1369,MATCH(1268,'Transfer Engine'!$C$2:$C$1369,0)))</f>
        <v/>
      </c>
      <c r="J1277" s="8">
        <f>IF(ISNA(MATCH(1268,'Transfer Engine'!$C$2:$C$1369,0)),"",INDEX('Compliance Database'!$J$2:$J$1369,MATCH(1268,'Transfer Engine'!$C$2:$C$1369,0)))</f>
        <v/>
      </c>
      <c r="K1277" s="9">
        <f>IF(ISNA(MATCH(1268,'Transfer Engine'!$C$2:$C$1369,0)),"",INDEX('Compliance Database'!$K$2:$K$1369,MATCH(1268,'Transfer Engine'!$C$2:$C$1369,0)))</f>
        <v/>
      </c>
      <c r="L1277" s="9">
        <f>IF(ISNA(MATCH(1268,'Transfer Engine'!$C$2:$C$1369,0)),"",INDEX('Compliance Database'!$L$2:$L$1369,MATCH(1268,'Transfer Engine'!$C$2:$C$1369,0)))</f>
        <v/>
      </c>
      <c r="M1277" s="9">
        <f>IF(ISNA(MATCH(1268,'Transfer Engine'!$C$2:$C$1369,0)),"",INDEX('Compliance Database'!$M$2:$M$1369,MATCH(1268,'Transfer Engine'!$C$2:$C$1369,0)))</f>
        <v/>
      </c>
      <c r="N1277" s="9">
        <f>IF(ISNA(MATCH(1268,'Transfer Engine'!$C$2:$C$1369,0)),"",INDEX('Compliance Database'!$N$2:$N$1369,MATCH(1268,'Transfer Engine'!$C$2:$C$1369,0)))</f>
        <v/>
      </c>
      <c r="O1277" s="8">
        <f>IF(ISNA(MATCH(1268,'Transfer Engine'!$C$2:$C$1369,0)),"",HYPERLINK(INDEX('Compliance Database'!$O$2:$O$1369,MATCH(1268,'Transfer Engine'!$C$2:$C$1369,0)),"Open PDF"))</f>
        <v/>
      </c>
    </row>
    <row r="1278" ht="188" customHeight="1">
      <c r="A1278" s="8">
        <f>IF(ISNA(MATCH(1269,'Transfer Engine'!$C$2:$C$1369,0)),"",INDEX('Compliance Database'!$A$2:$A$1369,MATCH(1269,'Transfer Engine'!$C$2:$C$1369,0)))</f>
        <v/>
      </c>
      <c r="B1278" s="8">
        <f>IF(ISNA(MATCH(1269,'Transfer Engine'!$C$2:$C$1369,0)),"",INDEX('Compliance Database'!$B$2:$B$1369,MATCH(1269,'Transfer Engine'!$C$2:$C$1369,0)))</f>
        <v/>
      </c>
      <c r="C1278" s="8">
        <f>IF(ISNA(MATCH(1269,'Transfer Engine'!$C$2:$C$1369,0)),"",INDEX('Compliance Database'!$C$2:$C$1369,MATCH(1269,'Transfer Engine'!$C$2:$C$1369,0)))</f>
        <v/>
      </c>
      <c r="D1278" s="9">
        <f>IF(ISNA(MATCH(1269,'Transfer Engine'!$C$2:$C$1369,0)),"",INDEX('Compliance Database'!$D$2:$D$1369,MATCH(1269,'Transfer Engine'!$C$2:$C$1369,0)))</f>
        <v/>
      </c>
      <c r="E1278" s="8">
        <f>IF(ISNA(MATCH(1269,'Transfer Engine'!$C$2:$C$1369,0)),"",INDEX('Compliance Database'!$E$2:$E$1369,MATCH(1269,'Transfer Engine'!$C$2:$C$1369,0)))</f>
        <v/>
      </c>
      <c r="F1278" s="8">
        <f>IF(ISNA(MATCH(1269,'Transfer Engine'!$C$2:$C$1369,0)),"",INDEX('Compliance Database'!$F$2:$F$1369,MATCH(1269,'Transfer Engine'!$C$2:$C$1369,0)))</f>
        <v/>
      </c>
      <c r="G1278" s="8">
        <f>IF(ISNA(MATCH(1269,'Transfer Engine'!$C$2:$C$1369,0)),"",INDEX('Compliance Database'!$G$2:$G$1369,MATCH(1269,'Transfer Engine'!$C$2:$C$1369,0)))</f>
        <v/>
      </c>
      <c r="H1278" s="9">
        <f>IF(ISNA(MATCH(1269,'Transfer Engine'!$C$2:$C$1369,0)),"",INDEX('Compliance Database'!$H$2:$H$1369,MATCH(1269,'Transfer Engine'!$C$2:$C$1369,0)))</f>
        <v/>
      </c>
      <c r="I1278" s="9">
        <f>IF(ISNA(MATCH(1269,'Transfer Engine'!$C$2:$C$1369,0)),"",INDEX('Compliance Database'!$I$2:$I$1369,MATCH(1269,'Transfer Engine'!$C$2:$C$1369,0)))</f>
        <v/>
      </c>
      <c r="J1278" s="8">
        <f>IF(ISNA(MATCH(1269,'Transfer Engine'!$C$2:$C$1369,0)),"",INDEX('Compliance Database'!$J$2:$J$1369,MATCH(1269,'Transfer Engine'!$C$2:$C$1369,0)))</f>
        <v/>
      </c>
      <c r="K1278" s="9">
        <f>IF(ISNA(MATCH(1269,'Transfer Engine'!$C$2:$C$1369,0)),"",INDEX('Compliance Database'!$K$2:$K$1369,MATCH(1269,'Transfer Engine'!$C$2:$C$1369,0)))</f>
        <v/>
      </c>
      <c r="L1278" s="9">
        <f>IF(ISNA(MATCH(1269,'Transfer Engine'!$C$2:$C$1369,0)),"",INDEX('Compliance Database'!$L$2:$L$1369,MATCH(1269,'Transfer Engine'!$C$2:$C$1369,0)))</f>
        <v/>
      </c>
      <c r="M1278" s="9">
        <f>IF(ISNA(MATCH(1269,'Transfer Engine'!$C$2:$C$1369,0)),"",INDEX('Compliance Database'!$M$2:$M$1369,MATCH(1269,'Transfer Engine'!$C$2:$C$1369,0)))</f>
        <v/>
      </c>
      <c r="N1278" s="9">
        <f>IF(ISNA(MATCH(1269,'Transfer Engine'!$C$2:$C$1369,0)),"",INDEX('Compliance Database'!$N$2:$N$1369,MATCH(1269,'Transfer Engine'!$C$2:$C$1369,0)))</f>
        <v/>
      </c>
      <c r="O1278" s="8">
        <f>IF(ISNA(MATCH(1269,'Transfer Engine'!$C$2:$C$1369,0)),"",HYPERLINK(INDEX('Compliance Database'!$O$2:$O$1369,MATCH(1269,'Transfer Engine'!$C$2:$C$1369,0)),"Open PDF"))</f>
        <v/>
      </c>
    </row>
    <row r="1279" ht="188" customHeight="1">
      <c r="A1279" s="8">
        <f>IF(ISNA(MATCH(1270,'Transfer Engine'!$C$2:$C$1369,0)),"",INDEX('Compliance Database'!$A$2:$A$1369,MATCH(1270,'Transfer Engine'!$C$2:$C$1369,0)))</f>
        <v/>
      </c>
      <c r="B1279" s="8">
        <f>IF(ISNA(MATCH(1270,'Transfer Engine'!$C$2:$C$1369,0)),"",INDEX('Compliance Database'!$B$2:$B$1369,MATCH(1270,'Transfer Engine'!$C$2:$C$1369,0)))</f>
        <v/>
      </c>
      <c r="C1279" s="8">
        <f>IF(ISNA(MATCH(1270,'Transfer Engine'!$C$2:$C$1369,0)),"",INDEX('Compliance Database'!$C$2:$C$1369,MATCH(1270,'Transfer Engine'!$C$2:$C$1369,0)))</f>
        <v/>
      </c>
      <c r="D1279" s="9">
        <f>IF(ISNA(MATCH(1270,'Transfer Engine'!$C$2:$C$1369,0)),"",INDEX('Compliance Database'!$D$2:$D$1369,MATCH(1270,'Transfer Engine'!$C$2:$C$1369,0)))</f>
        <v/>
      </c>
      <c r="E1279" s="8">
        <f>IF(ISNA(MATCH(1270,'Transfer Engine'!$C$2:$C$1369,0)),"",INDEX('Compliance Database'!$E$2:$E$1369,MATCH(1270,'Transfer Engine'!$C$2:$C$1369,0)))</f>
        <v/>
      </c>
      <c r="F1279" s="8">
        <f>IF(ISNA(MATCH(1270,'Transfer Engine'!$C$2:$C$1369,0)),"",INDEX('Compliance Database'!$F$2:$F$1369,MATCH(1270,'Transfer Engine'!$C$2:$C$1369,0)))</f>
        <v/>
      </c>
      <c r="G1279" s="8">
        <f>IF(ISNA(MATCH(1270,'Transfer Engine'!$C$2:$C$1369,0)),"",INDEX('Compliance Database'!$G$2:$G$1369,MATCH(1270,'Transfer Engine'!$C$2:$C$1369,0)))</f>
        <v/>
      </c>
      <c r="H1279" s="9">
        <f>IF(ISNA(MATCH(1270,'Transfer Engine'!$C$2:$C$1369,0)),"",INDEX('Compliance Database'!$H$2:$H$1369,MATCH(1270,'Transfer Engine'!$C$2:$C$1369,0)))</f>
        <v/>
      </c>
      <c r="I1279" s="9">
        <f>IF(ISNA(MATCH(1270,'Transfer Engine'!$C$2:$C$1369,0)),"",INDEX('Compliance Database'!$I$2:$I$1369,MATCH(1270,'Transfer Engine'!$C$2:$C$1369,0)))</f>
        <v/>
      </c>
      <c r="J1279" s="8">
        <f>IF(ISNA(MATCH(1270,'Transfer Engine'!$C$2:$C$1369,0)),"",INDEX('Compliance Database'!$J$2:$J$1369,MATCH(1270,'Transfer Engine'!$C$2:$C$1369,0)))</f>
        <v/>
      </c>
      <c r="K1279" s="9">
        <f>IF(ISNA(MATCH(1270,'Transfer Engine'!$C$2:$C$1369,0)),"",INDEX('Compliance Database'!$K$2:$K$1369,MATCH(1270,'Transfer Engine'!$C$2:$C$1369,0)))</f>
        <v/>
      </c>
      <c r="L1279" s="9">
        <f>IF(ISNA(MATCH(1270,'Transfer Engine'!$C$2:$C$1369,0)),"",INDEX('Compliance Database'!$L$2:$L$1369,MATCH(1270,'Transfer Engine'!$C$2:$C$1369,0)))</f>
        <v/>
      </c>
      <c r="M1279" s="9">
        <f>IF(ISNA(MATCH(1270,'Transfer Engine'!$C$2:$C$1369,0)),"",INDEX('Compliance Database'!$M$2:$M$1369,MATCH(1270,'Transfer Engine'!$C$2:$C$1369,0)))</f>
        <v/>
      </c>
      <c r="N1279" s="9">
        <f>IF(ISNA(MATCH(1270,'Transfer Engine'!$C$2:$C$1369,0)),"",INDEX('Compliance Database'!$N$2:$N$1369,MATCH(1270,'Transfer Engine'!$C$2:$C$1369,0)))</f>
        <v/>
      </c>
      <c r="O1279" s="8">
        <f>IF(ISNA(MATCH(1270,'Transfer Engine'!$C$2:$C$1369,0)),"",HYPERLINK(INDEX('Compliance Database'!$O$2:$O$1369,MATCH(1270,'Transfer Engine'!$C$2:$C$1369,0)),"Open PDF"))</f>
        <v/>
      </c>
    </row>
    <row r="1280" ht="188" customHeight="1">
      <c r="A1280" s="8">
        <f>IF(ISNA(MATCH(1271,'Transfer Engine'!$C$2:$C$1369,0)),"",INDEX('Compliance Database'!$A$2:$A$1369,MATCH(1271,'Transfer Engine'!$C$2:$C$1369,0)))</f>
        <v/>
      </c>
      <c r="B1280" s="8">
        <f>IF(ISNA(MATCH(1271,'Transfer Engine'!$C$2:$C$1369,0)),"",INDEX('Compliance Database'!$B$2:$B$1369,MATCH(1271,'Transfer Engine'!$C$2:$C$1369,0)))</f>
        <v/>
      </c>
      <c r="C1280" s="8">
        <f>IF(ISNA(MATCH(1271,'Transfer Engine'!$C$2:$C$1369,0)),"",INDEX('Compliance Database'!$C$2:$C$1369,MATCH(1271,'Transfer Engine'!$C$2:$C$1369,0)))</f>
        <v/>
      </c>
      <c r="D1280" s="9">
        <f>IF(ISNA(MATCH(1271,'Transfer Engine'!$C$2:$C$1369,0)),"",INDEX('Compliance Database'!$D$2:$D$1369,MATCH(1271,'Transfer Engine'!$C$2:$C$1369,0)))</f>
        <v/>
      </c>
      <c r="E1280" s="8">
        <f>IF(ISNA(MATCH(1271,'Transfer Engine'!$C$2:$C$1369,0)),"",INDEX('Compliance Database'!$E$2:$E$1369,MATCH(1271,'Transfer Engine'!$C$2:$C$1369,0)))</f>
        <v/>
      </c>
      <c r="F1280" s="8">
        <f>IF(ISNA(MATCH(1271,'Transfer Engine'!$C$2:$C$1369,0)),"",INDEX('Compliance Database'!$F$2:$F$1369,MATCH(1271,'Transfer Engine'!$C$2:$C$1369,0)))</f>
        <v/>
      </c>
      <c r="G1280" s="8">
        <f>IF(ISNA(MATCH(1271,'Transfer Engine'!$C$2:$C$1369,0)),"",INDEX('Compliance Database'!$G$2:$G$1369,MATCH(1271,'Transfer Engine'!$C$2:$C$1369,0)))</f>
        <v/>
      </c>
      <c r="H1280" s="9">
        <f>IF(ISNA(MATCH(1271,'Transfer Engine'!$C$2:$C$1369,0)),"",INDEX('Compliance Database'!$H$2:$H$1369,MATCH(1271,'Transfer Engine'!$C$2:$C$1369,0)))</f>
        <v/>
      </c>
      <c r="I1280" s="9">
        <f>IF(ISNA(MATCH(1271,'Transfer Engine'!$C$2:$C$1369,0)),"",INDEX('Compliance Database'!$I$2:$I$1369,MATCH(1271,'Transfer Engine'!$C$2:$C$1369,0)))</f>
        <v/>
      </c>
      <c r="J1280" s="8">
        <f>IF(ISNA(MATCH(1271,'Transfer Engine'!$C$2:$C$1369,0)),"",INDEX('Compliance Database'!$J$2:$J$1369,MATCH(1271,'Transfer Engine'!$C$2:$C$1369,0)))</f>
        <v/>
      </c>
      <c r="K1280" s="9">
        <f>IF(ISNA(MATCH(1271,'Transfer Engine'!$C$2:$C$1369,0)),"",INDEX('Compliance Database'!$K$2:$K$1369,MATCH(1271,'Transfer Engine'!$C$2:$C$1369,0)))</f>
        <v/>
      </c>
      <c r="L1280" s="9">
        <f>IF(ISNA(MATCH(1271,'Transfer Engine'!$C$2:$C$1369,0)),"",INDEX('Compliance Database'!$L$2:$L$1369,MATCH(1271,'Transfer Engine'!$C$2:$C$1369,0)))</f>
        <v/>
      </c>
      <c r="M1280" s="9">
        <f>IF(ISNA(MATCH(1271,'Transfer Engine'!$C$2:$C$1369,0)),"",INDEX('Compliance Database'!$M$2:$M$1369,MATCH(1271,'Transfer Engine'!$C$2:$C$1369,0)))</f>
        <v/>
      </c>
      <c r="N1280" s="9">
        <f>IF(ISNA(MATCH(1271,'Transfer Engine'!$C$2:$C$1369,0)),"",INDEX('Compliance Database'!$N$2:$N$1369,MATCH(1271,'Transfer Engine'!$C$2:$C$1369,0)))</f>
        <v/>
      </c>
      <c r="O1280" s="8">
        <f>IF(ISNA(MATCH(1271,'Transfer Engine'!$C$2:$C$1369,0)),"",HYPERLINK(INDEX('Compliance Database'!$O$2:$O$1369,MATCH(1271,'Transfer Engine'!$C$2:$C$1369,0)),"Open PDF"))</f>
        <v/>
      </c>
    </row>
    <row r="1281" ht="188" customHeight="1">
      <c r="A1281" s="8">
        <f>IF(ISNA(MATCH(1272,'Transfer Engine'!$C$2:$C$1369,0)),"",INDEX('Compliance Database'!$A$2:$A$1369,MATCH(1272,'Transfer Engine'!$C$2:$C$1369,0)))</f>
        <v/>
      </c>
      <c r="B1281" s="8">
        <f>IF(ISNA(MATCH(1272,'Transfer Engine'!$C$2:$C$1369,0)),"",INDEX('Compliance Database'!$B$2:$B$1369,MATCH(1272,'Transfer Engine'!$C$2:$C$1369,0)))</f>
        <v/>
      </c>
      <c r="C1281" s="8">
        <f>IF(ISNA(MATCH(1272,'Transfer Engine'!$C$2:$C$1369,0)),"",INDEX('Compliance Database'!$C$2:$C$1369,MATCH(1272,'Transfer Engine'!$C$2:$C$1369,0)))</f>
        <v/>
      </c>
      <c r="D1281" s="9">
        <f>IF(ISNA(MATCH(1272,'Transfer Engine'!$C$2:$C$1369,0)),"",INDEX('Compliance Database'!$D$2:$D$1369,MATCH(1272,'Transfer Engine'!$C$2:$C$1369,0)))</f>
        <v/>
      </c>
      <c r="E1281" s="8">
        <f>IF(ISNA(MATCH(1272,'Transfer Engine'!$C$2:$C$1369,0)),"",INDEX('Compliance Database'!$E$2:$E$1369,MATCH(1272,'Transfer Engine'!$C$2:$C$1369,0)))</f>
        <v/>
      </c>
      <c r="F1281" s="8">
        <f>IF(ISNA(MATCH(1272,'Transfer Engine'!$C$2:$C$1369,0)),"",INDEX('Compliance Database'!$F$2:$F$1369,MATCH(1272,'Transfer Engine'!$C$2:$C$1369,0)))</f>
        <v/>
      </c>
      <c r="G1281" s="8">
        <f>IF(ISNA(MATCH(1272,'Transfer Engine'!$C$2:$C$1369,0)),"",INDEX('Compliance Database'!$G$2:$G$1369,MATCH(1272,'Transfer Engine'!$C$2:$C$1369,0)))</f>
        <v/>
      </c>
      <c r="H1281" s="9">
        <f>IF(ISNA(MATCH(1272,'Transfer Engine'!$C$2:$C$1369,0)),"",INDEX('Compliance Database'!$H$2:$H$1369,MATCH(1272,'Transfer Engine'!$C$2:$C$1369,0)))</f>
        <v/>
      </c>
      <c r="I1281" s="9">
        <f>IF(ISNA(MATCH(1272,'Transfer Engine'!$C$2:$C$1369,0)),"",INDEX('Compliance Database'!$I$2:$I$1369,MATCH(1272,'Transfer Engine'!$C$2:$C$1369,0)))</f>
        <v/>
      </c>
      <c r="J1281" s="8">
        <f>IF(ISNA(MATCH(1272,'Transfer Engine'!$C$2:$C$1369,0)),"",INDEX('Compliance Database'!$J$2:$J$1369,MATCH(1272,'Transfer Engine'!$C$2:$C$1369,0)))</f>
        <v/>
      </c>
      <c r="K1281" s="9">
        <f>IF(ISNA(MATCH(1272,'Transfer Engine'!$C$2:$C$1369,0)),"",INDEX('Compliance Database'!$K$2:$K$1369,MATCH(1272,'Transfer Engine'!$C$2:$C$1369,0)))</f>
        <v/>
      </c>
      <c r="L1281" s="9">
        <f>IF(ISNA(MATCH(1272,'Transfer Engine'!$C$2:$C$1369,0)),"",INDEX('Compliance Database'!$L$2:$L$1369,MATCH(1272,'Transfer Engine'!$C$2:$C$1369,0)))</f>
        <v/>
      </c>
      <c r="M1281" s="9">
        <f>IF(ISNA(MATCH(1272,'Transfer Engine'!$C$2:$C$1369,0)),"",INDEX('Compliance Database'!$M$2:$M$1369,MATCH(1272,'Transfer Engine'!$C$2:$C$1369,0)))</f>
        <v/>
      </c>
      <c r="N1281" s="9">
        <f>IF(ISNA(MATCH(1272,'Transfer Engine'!$C$2:$C$1369,0)),"",INDEX('Compliance Database'!$N$2:$N$1369,MATCH(1272,'Transfer Engine'!$C$2:$C$1369,0)))</f>
        <v/>
      </c>
      <c r="O1281" s="8">
        <f>IF(ISNA(MATCH(1272,'Transfer Engine'!$C$2:$C$1369,0)),"",HYPERLINK(INDEX('Compliance Database'!$O$2:$O$1369,MATCH(1272,'Transfer Engine'!$C$2:$C$1369,0)),"Open PDF"))</f>
        <v/>
      </c>
    </row>
    <row r="1282" ht="188" customHeight="1">
      <c r="A1282" s="8">
        <f>IF(ISNA(MATCH(1273,'Transfer Engine'!$C$2:$C$1369,0)),"",INDEX('Compliance Database'!$A$2:$A$1369,MATCH(1273,'Transfer Engine'!$C$2:$C$1369,0)))</f>
        <v/>
      </c>
      <c r="B1282" s="8">
        <f>IF(ISNA(MATCH(1273,'Transfer Engine'!$C$2:$C$1369,0)),"",INDEX('Compliance Database'!$B$2:$B$1369,MATCH(1273,'Transfer Engine'!$C$2:$C$1369,0)))</f>
        <v/>
      </c>
      <c r="C1282" s="8">
        <f>IF(ISNA(MATCH(1273,'Transfer Engine'!$C$2:$C$1369,0)),"",INDEX('Compliance Database'!$C$2:$C$1369,MATCH(1273,'Transfer Engine'!$C$2:$C$1369,0)))</f>
        <v/>
      </c>
      <c r="D1282" s="9">
        <f>IF(ISNA(MATCH(1273,'Transfer Engine'!$C$2:$C$1369,0)),"",INDEX('Compliance Database'!$D$2:$D$1369,MATCH(1273,'Transfer Engine'!$C$2:$C$1369,0)))</f>
        <v/>
      </c>
      <c r="E1282" s="8">
        <f>IF(ISNA(MATCH(1273,'Transfer Engine'!$C$2:$C$1369,0)),"",INDEX('Compliance Database'!$E$2:$E$1369,MATCH(1273,'Transfer Engine'!$C$2:$C$1369,0)))</f>
        <v/>
      </c>
      <c r="F1282" s="8">
        <f>IF(ISNA(MATCH(1273,'Transfer Engine'!$C$2:$C$1369,0)),"",INDEX('Compliance Database'!$F$2:$F$1369,MATCH(1273,'Transfer Engine'!$C$2:$C$1369,0)))</f>
        <v/>
      </c>
      <c r="G1282" s="8">
        <f>IF(ISNA(MATCH(1273,'Transfer Engine'!$C$2:$C$1369,0)),"",INDEX('Compliance Database'!$G$2:$G$1369,MATCH(1273,'Transfer Engine'!$C$2:$C$1369,0)))</f>
        <v/>
      </c>
      <c r="H1282" s="9">
        <f>IF(ISNA(MATCH(1273,'Transfer Engine'!$C$2:$C$1369,0)),"",INDEX('Compliance Database'!$H$2:$H$1369,MATCH(1273,'Transfer Engine'!$C$2:$C$1369,0)))</f>
        <v/>
      </c>
      <c r="I1282" s="9">
        <f>IF(ISNA(MATCH(1273,'Transfer Engine'!$C$2:$C$1369,0)),"",INDEX('Compliance Database'!$I$2:$I$1369,MATCH(1273,'Transfer Engine'!$C$2:$C$1369,0)))</f>
        <v/>
      </c>
      <c r="J1282" s="8">
        <f>IF(ISNA(MATCH(1273,'Transfer Engine'!$C$2:$C$1369,0)),"",INDEX('Compliance Database'!$J$2:$J$1369,MATCH(1273,'Transfer Engine'!$C$2:$C$1369,0)))</f>
        <v/>
      </c>
      <c r="K1282" s="9">
        <f>IF(ISNA(MATCH(1273,'Transfer Engine'!$C$2:$C$1369,0)),"",INDEX('Compliance Database'!$K$2:$K$1369,MATCH(1273,'Transfer Engine'!$C$2:$C$1369,0)))</f>
        <v/>
      </c>
      <c r="L1282" s="9">
        <f>IF(ISNA(MATCH(1273,'Transfer Engine'!$C$2:$C$1369,0)),"",INDEX('Compliance Database'!$L$2:$L$1369,MATCH(1273,'Transfer Engine'!$C$2:$C$1369,0)))</f>
        <v/>
      </c>
      <c r="M1282" s="9">
        <f>IF(ISNA(MATCH(1273,'Transfer Engine'!$C$2:$C$1369,0)),"",INDEX('Compliance Database'!$M$2:$M$1369,MATCH(1273,'Transfer Engine'!$C$2:$C$1369,0)))</f>
        <v/>
      </c>
      <c r="N1282" s="9">
        <f>IF(ISNA(MATCH(1273,'Transfer Engine'!$C$2:$C$1369,0)),"",INDEX('Compliance Database'!$N$2:$N$1369,MATCH(1273,'Transfer Engine'!$C$2:$C$1369,0)))</f>
        <v/>
      </c>
      <c r="O1282" s="8">
        <f>IF(ISNA(MATCH(1273,'Transfer Engine'!$C$2:$C$1369,0)),"",HYPERLINK(INDEX('Compliance Database'!$O$2:$O$1369,MATCH(1273,'Transfer Engine'!$C$2:$C$1369,0)),"Open PDF"))</f>
        <v/>
      </c>
    </row>
    <row r="1283" ht="188" customHeight="1">
      <c r="A1283" s="8">
        <f>IF(ISNA(MATCH(1274,'Transfer Engine'!$C$2:$C$1369,0)),"",INDEX('Compliance Database'!$A$2:$A$1369,MATCH(1274,'Transfer Engine'!$C$2:$C$1369,0)))</f>
        <v/>
      </c>
      <c r="B1283" s="8">
        <f>IF(ISNA(MATCH(1274,'Transfer Engine'!$C$2:$C$1369,0)),"",INDEX('Compliance Database'!$B$2:$B$1369,MATCH(1274,'Transfer Engine'!$C$2:$C$1369,0)))</f>
        <v/>
      </c>
      <c r="C1283" s="8">
        <f>IF(ISNA(MATCH(1274,'Transfer Engine'!$C$2:$C$1369,0)),"",INDEX('Compliance Database'!$C$2:$C$1369,MATCH(1274,'Transfer Engine'!$C$2:$C$1369,0)))</f>
        <v/>
      </c>
      <c r="D1283" s="9">
        <f>IF(ISNA(MATCH(1274,'Transfer Engine'!$C$2:$C$1369,0)),"",INDEX('Compliance Database'!$D$2:$D$1369,MATCH(1274,'Transfer Engine'!$C$2:$C$1369,0)))</f>
        <v/>
      </c>
      <c r="E1283" s="8">
        <f>IF(ISNA(MATCH(1274,'Transfer Engine'!$C$2:$C$1369,0)),"",INDEX('Compliance Database'!$E$2:$E$1369,MATCH(1274,'Transfer Engine'!$C$2:$C$1369,0)))</f>
        <v/>
      </c>
      <c r="F1283" s="8">
        <f>IF(ISNA(MATCH(1274,'Transfer Engine'!$C$2:$C$1369,0)),"",INDEX('Compliance Database'!$F$2:$F$1369,MATCH(1274,'Transfer Engine'!$C$2:$C$1369,0)))</f>
        <v/>
      </c>
      <c r="G1283" s="8">
        <f>IF(ISNA(MATCH(1274,'Transfer Engine'!$C$2:$C$1369,0)),"",INDEX('Compliance Database'!$G$2:$G$1369,MATCH(1274,'Transfer Engine'!$C$2:$C$1369,0)))</f>
        <v/>
      </c>
      <c r="H1283" s="9">
        <f>IF(ISNA(MATCH(1274,'Transfer Engine'!$C$2:$C$1369,0)),"",INDEX('Compliance Database'!$H$2:$H$1369,MATCH(1274,'Transfer Engine'!$C$2:$C$1369,0)))</f>
        <v/>
      </c>
      <c r="I1283" s="9">
        <f>IF(ISNA(MATCH(1274,'Transfer Engine'!$C$2:$C$1369,0)),"",INDEX('Compliance Database'!$I$2:$I$1369,MATCH(1274,'Transfer Engine'!$C$2:$C$1369,0)))</f>
        <v/>
      </c>
      <c r="J1283" s="8">
        <f>IF(ISNA(MATCH(1274,'Transfer Engine'!$C$2:$C$1369,0)),"",INDEX('Compliance Database'!$J$2:$J$1369,MATCH(1274,'Transfer Engine'!$C$2:$C$1369,0)))</f>
        <v/>
      </c>
      <c r="K1283" s="9">
        <f>IF(ISNA(MATCH(1274,'Transfer Engine'!$C$2:$C$1369,0)),"",INDEX('Compliance Database'!$K$2:$K$1369,MATCH(1274,'Transfer Engine'!$C$2:$C$1369,0)))</f>
        <v/>
      </c>
      <c r="L1283" s="9">
        <f>IF(ISNA(MATCH(1274,'Transfer Engine'!$C$2:$C$1369,0)),"",INDEX('Compliance Database'!$L$2:$L$1369,MATCH(1274,'Transfer Engine'!$C$2:$C$1369,0)))</f>
        <v/>
      </c>
      <c r="M1283" s="9">
        <f>IF(ISNA(MATCH(1274,'Transfer Engine'!$C$2:$C$1369,0)),"",INDEX('Compliance Database'!$M$2:$M$1369,MATCH(1274,'Transfer Engine'!$C$2:$C$1369,0)))</f>
        <v/>
      </c>
      <c r="N1283" s="9">
        <f>IF(ISNA(MATCH(1274,'Transfer Engine'!$C$2:$C$1369,0)),"",INDEX('Compliance Database'!$N$2:$N$1369,MATCH(1274,'Transfer Engine'!$C$2:$C$1369,0)))</f>
        <v/>
      </c>
      <c r="O1283" s="8">
        <f>IF(ISNA(MATCH(1274,'Transfer Engine'!$C$2:$C$1369,0)),"",HYPERLINK(INDEX('Compliance Database'!$O$2:$O$1369,MATCH(1274,'Transfer Engine'!$C$2:$C$1369,0)),"Open PDF"))</f>
        <v/>
      </c>
    </row>
    <row r="1284" ht="188" customHeight="1">
      <c r="A1284" s="8">
        <f>IF(ISNA(MATCH(1275,'Transfer Engine'!$C$2:$C$1369,0)),"",INDEX('Compliance Database'!$A$2:$A$1369,MATCH(1275,'Transfer Engine'!$C$2:$C$1369,0)))</f>
        <v/>
      </c>
      <c r="B1284" s="8">
        <f>IF(ISNA(MATCH(1275,'Transfer Engine'!$C$2:$C$1369,0)),"",INDEX('Compliance Database'!$B$2:$B$1369,MATCH(1275,'Transfer Engine'!$C$2:$C$1369,0)))</f>
        <v/>
      </c>
      <c r="C1284" s="8">
        <f>IF(ISNA(MATCH(1275,'Transfer Engine'!$C$2:$C$1369,0)),"",INDEX('Compliance Database'!$C$2:$C$1369,MATCH(1275,'Transfer Engine'!$C$2:$C$1369,0)))</f>
        <v/>
      </c>
      <c r="D1284" s="9">
        <f>IF(ISNA(MATCH(1275,'Transfer Engine'!$C$2:$C$1369,0)),"",INDEX('Compliance Database'!$D$2:$D$1369,MATCH(1275,'Transfer Engine'!$C$2:$C$1369,0)))</f>
        <v/>
      </c>
      <c r="E1284" s="8">
        <f>IF(ISNA(MATCH(1275,'Transfer Engine'!$C$2:$C$1369,0)),"",INDEX('Compliance Database'!$E$2:$E$1369,MATCH(1275,'Transfer Engine'!$C$2:$C$1369,0)))</f>
        <v/>
      </c>
      <c r="F1284" s="8">
        <f>IF(ISNA(MATCH(1275,'Transfer Engine'!$C$2:$C$1369,0)),"",INDEX('Compliance Database'!$F$2:$F$1369,MATCH(1275,'Transfer Engine'!$C$2:$C$1369,0)))</f>
        <v/>
      </c>
      <c r="G1284" s="8">
        <f>IF(ISNA(MATCH(1275,'Transfer Engine'!$C$2:$C$1369,0)),"",INDEX('Compliance Database'!$G$2:$G$1369,MATCH(1275,'Transfer Engine'!$C$2:$C$1369,0)))</f>
        <v/>
      </c>
      <c r="H1284" s="9">
        <f>IF(ISNA(MATCH(1275,'Transfer Engine'!$C$2:$C$1369,0)),"",INDEX('Compliance Database'!$H$2:$H$1369,MATCH(1275,'Transfer Engine'!$C$2:$C$1369,0)))</f>
        <v/>
      </c>
      <c r="I1284" s="9">
        <f>IF(ISNA(MATCH(1275,'Transfer Engine'!$C$2:$C$1369,0)),"",INDEX('Compliance Database'!$I$2:$I$1369,MATCH(1275,'Transfer Engine'!$C$2:$C$1369,0)))</f>
        <v/>
      </c>
      <c r="J1284" s="8">
        <f>IF(ISNA(MATCH(1275,'Transfer Engine'!$C$2:$C$1369,0)),"",INDEX('Compliance Database'!$J$2:$J$1369,MATCH(1275,'Transfer Engine'!$C$2:$C$1369,0)))</f>
        <v/>
      </c>
      <c r="K1284" s="9">
        <f>IF(ISNA(MATCH(1275,'Transfer Engine'!$C$2:$C$1369,0)),"",INDEX('Compliance Database'!$K$2:$K$1369,MATCH(1275,'Transfer Engine'!$C$2:$C$1369,0)))</f>
        <v/>
      </c>
      <c r="L1284" s="9">
        <f>IF(ISNA(MATCH(1275,'Transfer Engine'!$C$2:$C$1369,0)),"",INDEX('Compliance Database'!$L$2:$L$1369,MATCH(1275,'Transfer Engine'!$C$2:$C$1369,0)))</f>
        <v/>
      </c>
      <c r="M1284" s="9">
        <f>IF(ISNA(MATCH(1275,'Transfer Engine'!$C$2:$C$1369,0)),"",INDEX('Compliance Database'!$M$2:$M$1369,MATCH(1275,'Transfer Engine'!$C$2:$C$1369,0)))</f>
        <v/>
      </c>
      <c r="N1284" s="9">
        <f>IF(ISNA(MATCH(1275,'Transfer Engine'!$C$2:$C$1369,0)),"",INDEX('Compliance Database'!$N$2:$N$1369,MATCH(1275,'Transfer Engine'!$C$2:$C$1369,0)))</f>
        <v/>
      </c>
      <c r="O1284" s="8">
        <f>IF(ISNA(MATCH(1275,'Transfer Engine'!$C$2:$C$1369,0)),"",HYPERLINK(INDEX('Compliance Database'!$O$2:$O$1369,MATCH(1275,'Transfer Engine'!$C$2:$C$1369,0)),"Open PDF"))</f>
        <v/>
      </c>
    </row>
    <row r="1285" ht="188" customHeight="1">
      <c r="A1285" s="8">
        <f>IF(ISNA(MATCH(1276,'Transfer Engine'!$C$2:$C$1369,0)),"",INDEX('Compliance Database'!$A$2:$A$1369,MATCH(1276,'Transfer Engine'!$C$2:$C$1369,0)))</f>
        <v/>
      </c>
      <c r="B1285" s="8">
        <f>IF(ISNA(MATCH(1276,'Transfer Engine'!$C$2:$C$1369,0)),"",INDEX('Compliance Database'!$B$2:$B$1369,MATCH(1276,'Transfer Engine'!$C$2:$C$1369,0)))</f>
        <v/>
      </c>
      <c r="C1285" s="8">
        <f>IF(ISNA(MATCH(1276,'Transfer Engine'!$C$2:$C$1369,0)),"",INDEX('Compliance Database'!$C$2:$C$1369,MATCH(1276,'Transfer Engine'!$C$2:$C$1369,0)))</f>
        <v/>
      </c>
      <c r="D1285" s="9">
        <f>IF(ISNA(MATCH(1276,'Transfer Engine'!$C$2:$C$1369,0)),"",INDEX('Compliance Database'!$D$2:$D$1369,MATCH(1276,'Transfer Engine'!$C$2:$C$1369,0)))</f>
        <v/>
      </c>
      <c r="E1285" s="8">
        <f>IF(ISNA(MATCH(1276,'Transfer Engine'!$C$2:$C$1369,0)),"",INDEX('Compliance Database'!$E$2:$E$1369,MATCH(1276,'Transfer Engine'!$C$2:$C$1369,0)))</f>
        <v/>
      </c>
      <c r="F1285" s="8">
        <f>IF(ISNA(MATCH(1276,'Transfer Engine'!$C$2:$C$1369,0)),"",INDEX('Compliance Database'!$F$2:$F$1369,MATCH(1276,'Transfer Engine'!$C$2:$C$1369,0)))</f>
        <v/>
      </c>
      <c r="G1285" s="8">
        <f>IF(ISNA(MATCH(1276,'Transfer Engine'!$C$2:$C$1369,0)),"",INDEX('Compliance Database'!$G$2:$G$1369,MATCH(1276,'Transfer Engine'!$C$2:$C$1369,0)))</f>
        <v/>
      </c>
      <c r="H1285" s="9">
        <f>IF(ISNA(MATCH(1276,'Transfer Engine'!$C$2:$C$1369,0)),"",INDEX('Compliance Database'!$H$2:$H$1369,MATCH(1276,'Transfer Engine'!$C$2:$C$1369,0)))</f>
        <v/>
      </c>
      <c r="I1285" s="9">
        <f>IF(ISNA(MATCH(1276,'Transfer Engine'!$C$2:$C$1369,0)),"",INDEX('Compliance Database'!$I$2:$I$1369,MATCH(1276,'Transfer Engine'!$C$2:$C$1369,0)))</f>
        <v/>
      </c>
      <c r="J1285" s="8">
        <f>IF(ISNA(MATCH(1276,'Transfer Engine'!$C$2:$C$1369,0)),"",INDEX('Compliance Database'!$J$2:$J$1369,MATCH(1276,'Transfer Engine'!$C$2:$C$1369,0)))</f>
        <v/>
      </c>
      <c r="K1285" s="9">
        <f>IF(ISNA(MATCH(1276,'Transfer Engine'!$C$2:$C$1369,0)),"",INDEX('Compliance Database'!$K$2:$K$1369,MATCH(1276,'Transfer Engine'!$C$2:$C$1369,0)))</f>
        <v/>
      </c>
      <c r="L1285" s="9">
        <f>IF(ISNA(MATCH(1276,'Transfer Engine'!$C$2:$C$1369,0)),"",INDEX('Compliance Database'!$L$2:$L$1369,MATCH(1276,'Transfer Engine'!$C$2:$C$1369,0)))</f>
        <v/>
      </c>
      <c r="M1285" s="9">
        <f>IF(ISNA(MATCH(1276,'Transfer Engine'!$C$2:$C$1369,0)),"",INDEX('Compliance Database'!$M$2:$M$1369,MATCH(1276,'Transfer Engine'!$C$2:$C$1369,0)))</f>
        <v/>
      </c>
      <c r="N1285" s="9">
        <f>IF(ISNA(MATCH(1276,'Transfer Engine'!$C$2:$C$1369,0)),"",INDEX('Compliance Database'!$N$2:$N$1369,MATCH(1276,'Transfer Engine'!$C$2:$C$1369,0)))</f>
        <v/>
      </c>
      <c r="O1285" s="8">
        <f>IF(ISNA(MATCH(1276,'Transfer Engine'!$C$2:$C$1369,0)),"",HYPERLINK(INDEX('Compliance Database'!$O$2:$O$1369,MATCH(1276,'Transfer Engine'!$C$2:$C$1369,0)),"Open PDF"))</f>
        <v/>
      </c>
    </row>
    <row r="1286" ht="188" customHeight="1">
      <c r="A1286" s="8">
        <f>IF(ISNA(MATCH(1277,'Transfer Engine'!$C$2:$C$1369,0)),"",INDEX('Compliance Database'!$A$2:$A$1369,MATCH(1277,'Transfer Engine'!$C$2:$C$1369,0)))</f>
        <v/>
      </c>
      <c r="B1286" s="8">
        <f>IF(ISNA(MATCH(1277,'Transfer Engine'!$C$2:$C$1369,0)),"",INDEX('Compliance Database'!$B$2:$B$1369,MATCH(1277,'Transfer Engine'!$C$2:$C$1369,0)))</f>
        <v/>
      </c>
      <c r="C1286" s="8">
        <f>IF(ISNA(MATCH(1277,'Transfer Engine'!$C$2:$C$1369,0)),"",INDEX('Compliance Database'!$C$2:$C$1369,MATCH(1277,'Transfer Engine'!$C$2:$C$1369,0)))</f>
        <v/>
      </c>
      <c r="D1286" s="9">
        <f>IF(ISNA(MATCH(1277,'Transfer Engine'!$C$2:$C$1369,0)),"",INDEX('Compliance Database'!$D$2:$D$1369,MATCH(1277,'Transfer Engine'!$C$2:$C$1369,0)))</f>
        <v/>
      </c>
      <c r="E1286" s="8">
        <f>IF(ISNA(MATCH(1277,'Transfer Engine'!$C$2:$C$1369,0)),"",INDEX('Compliance Database'!$E$2:$E$1369,MATCH(1277,'Transfer Engine'!$C$2:$C$1369,0)))</f>
        <v/>
      </c>
      <c r="F1286" s="8">
        <f>IF(ISNA(MATCH(1277,'Transfer Engine'!$C$2:$C$1369,0)),"",INDEX('Compliance Database'!$F$2:$F$1369,MATCH(1277,'Transfer Engine'!$C$2:$C$1369,0)))</f>
        <v/>
      </c>
      <c r="G1286" s="8">
        <f>IF(ISNA(MATCH(1277,'Transfer Engine'!$C$2:$C$1369,0)),"",INDEX('Compliance Database'!$G$2:$G$1369,MATCH(1277,'Transfer Engine'!$C$2:$C$1369,0)))</f>
        <v/>
      </c>
      <c r="H1286" s="9">
        <f>IF(ISNA(MATCH(1277,'Transfer Engine'!$C$2:$C$1369,0)),"",INDEX('Compliance Database'!$H$2:$H$1369,MATCH(1277,'Transfer Engine'!$C$2:$C$1369,0)))</f>
        <v/>
      </c>
      <c r="I1286" s="9">
        <f>IF(ISNA(MATCH(1277,'Transfer Engine'!$C$2:$C$1369,0)),"",INDEX('Compliance Database'!$I$2:$I$1369,MATCH(1277,'Transfer Engine'!$C$2:$C$1369,0)))</f>
        <v/>
      </c>
      <c r="J1286" s="8">
        <f>IF(ISNA(MATCH(1277,'Transfer Engine'!$C$2:$C$1369,0)),"",INDEX('Compliance Database'!$J$2:$J$1369,MATCH(1277,'Transfer Engine'!$C$2:$C$1369,0)))</f>
        <v/>
      </c>
      <c r="K1286" s="9">
        <f>IF(ISNA(MATCH(1277,'Transfer Engine'!$C$2:$C$1369,0)),"",INDEX('Compliance Database'!$K$2:$K$1369,MATCH(1277,'Transfer Engine'!$C$2:$C$1369,0)))</f>
        <v/>
      </c>
      <c r="L1286" s="9">
        <f>IF(ISNA(MATCH(1277,'Transfer Engine'!$C$2:$C$1369,0)),"",INDEX('Compliance Database'!$L$2:$L$1369,MATCH(1277,'Transfer Engine'!$C$2:$C$1369,0)))</f>
        <v/>
      </c>
      <c r="M1286" s="9">
        <f>IF(ISNA(MATCH(1277,'Transfer Engine'!$C$2:$C$1369,0)),"",INDEX('Compliance Database'!$M$2:$M$1369,MATCH(1277,'Transfer Engine'!$C$2:$C$1369,0)))</f>
        <v/>
      </c>
      <c r="N1286" s="9">
        <f>IF(ISNA(MATCH(1277,'Transfer Engine'!$C$2:$C$1369,0)),"",INDEX('Compliance Database'!$N$2:$N$1369,MATCH(1277,'Transfer Engine'!$C$2:$C$1369,0)))</f>
        <v/>
      </c>
      <c r="O1286" s="8">
        <f>IF(ISNA(MATCH(1277,'Transfer Engine'!$C$2:$C$1369,0)),"",HYPERLINK(INDEX('Compliance Database'!$O$2:$O$1369,MATCH(1277,'Transfer Engine'!$C$2:$C$1369,0)),"Open PDF"))</f>
        <v/>
      </c>
    </row>
    <row r="1287" ht="188" customHeight="1">
      <c r="A1287" s="8">
        <f>IF(ISNA(MATCH(1278,'Transfer Engine'!$C$2:$C$1369,0)),"",INDEX('Compliance Database'!$A$2:$A$1369,MATCH(1278,'Transfer Engine'!$C$2:$C$1369,0)))</f>
        <v/>
      </c>
      <c r="B1287" s="8">
        <f>IF(ISNA(MATCH(1278,'Transfer Engine'!$C$2:$C$1369,0)),"",INDEX('Compliance Database'!$B$2:$B$1369,MATCH(1278,'Transfer Engine'!$C$2:$C$1369,0)))</f>
        <v/>
      </c>
      <c r="C1287" s="8">
        <f>IF(ISNA(MATCH(1278,'Transfer Engine'!$C$2:$C$1369,0)),"",INDEX('Compliance Database'!$C$2:$C$1369,MATCH(1278,'Transfer Engine'!$C$2:$C$1369,0)))</f>
        <v/>
      </c>
      <c r="D1287" s="9">
        <f>IF(ISNA(MATCH(1278,'Transfer Engine'!$C$2:$C$1369,0)),"",INDEX('Compliance Database'!$D$2:$D$1369,MATCH(1278,'Transfer Engine'!$C$2:$C$1369,0)))</f>
        <v/>
      </c>
      <c r="E1287" s="8">
        <f>IF(ISNA(MATCH(1278,'Transfer Engine'!$C$2:$C$1369,0)),"",INDEX('Compliance Database'!$E$2:$E$1369,MATCH(1278,'Transfer Engine'!$C$2:$C$1369,0)))</f>
        <v/>
      </c>
      <c r="F1287" s="8">
        <f>IF(ISNA(MATCH(1278,'Transfer Engine'!$C$2:$C$1369,0)),"",INDEX('Compliance Database'!$F$2:$F$1369,MATCH(1278,'Transfer Engine'!$C$2:$C$1369,0)))</f>
        <v/>
      </c>
      <c r="G1287" s="8">
        <f>IF(ISNA(MATCH(1278,'Transfer Engine'!$C$2:$C$1369,0)),"",INDEX('Compliance Database'!$G$2:$G$1369,MATCH(1278,'Transfer Engine'!$C$2:$C$1369,0)))</f>
        <v/>
      </c>
      <c r="H1287" s="9">
        <f>IF(ISNA(MATCH(1278,'Transfer Engine'!$C$2:$C$1369,0)),"",INDEX('Compliance Database'!$H$2:$H$1369,MATCH(1278,'Transfer Engine'!$C$2:$C$1369,0)))</f>
        <v/>
      </c>
      <c r="I1287" s="9">
        <f>IF(ISNA(MATCH(1278,'Transfer Engine'!$C$2:$C$1369,0)),"",INDEX('Compliance Database'!$I$2:$I$1369,MATCH(1278,'Transfer Engine'!$C$2:$C$1369,0)))</f>
        <v/>
      </c>
      <c r="J1287" s="8">
        <f>IF(ISNA(MATCH(1278,'Transfer Engine'!$C$2:$C$1369,0)),"",INDEX('Compliance Database'!$J$2:$J$1369,MATCH(1278,'Transfer Engine'!$C$2:$C$1369,0)))</f>
        <v/>
      </c>
      <c r="K1287" s="9">
        <f>IF(ISNA(MATCH(1278,'Transfer Engine'!$C$2:$C$1369,0)),"",INDEX('Compliance Database'!$K$2:$K$1369,MATCH(1278,'Transfer Engine'!$C$2:$C$1369,0)))</f>
        <v/>
      </c>
      <c r="L1287" s="9">
        <f>IF(ISNA(MATCH(1278,'Transfer Engine'!$C$2:$C$1369,0)),"",INDEX('Compliance Database'!$L$2:$L$1369,MATCH(1278,'Transfer Engine'!$C$2:$C$1369,0)))</f>
        <v/>
      </c>
      <c r="M1287" s="9">
        <f>IF(ISNA(MATCH(1278,'Transfer Engine'!$C$2:$C$1369,0)),"",INDEX('Compliance Database'!$M$2:$M$1369,MATCH(1278,'Transfer Engine'!$C$2:$C$1369,0)))</f>
        <v/>
      </c>
      <c r="N1287" s="9">
        <f>IF(ISNA(MATCH(1278,'Transfer Engine'!$C$2:$C$1369,0)),"",INDEX('Compliance Database'!$N$2:$N$1369,MATCH(1278,'Transfer Engine'!$C$2:$C$1369,0)))</f>
        <v/>
      </c>
      <c r="O1287" s="8">
        <f>IF(ISNA(MATCH(1278,'Transfer Engine'!$C$2:$C$1369,0)),"",HYPERLINK(INDEX('Compliance Database'!$O$2:$O$1369,MATCH(1278,'Transfer Engine'!$C$2:$C$1369,0)),"Open PDF"))</f>
        <v/>
      </c>
    </row>
    <row r="1288" ht="188" customHeight="1">
      <c r="A1288" s="8">
        <f>IF(ISNA(MATCH(1279,'Transfer Engine'!$C$2:$C$1369,0)),"",INDEX('Compliance Database'!$A$2:$A$1369,MATCH(1279,'Transfer Engine'!$C$2:$C$1369,0)))</f>
        <v/>
      </c>
      <c r="B1288" s="8">
        <f>IF(ISNA(MATCH(1279,'Transfer Engine'!$C$2:$C$1369,0)),"",INDEX('Compliance Database'!$B$2:$B$1369,MATCH(1279,'Transfer Engine'!$C$2:$C$1369,0)))</f>
        <v/>
      </c>
      <c r="C1288" s="8">
        <f>IF(ISNA(MATCH(1279,'Transfer Engine'!$C$2:$C$1369,0)),"",INDEX('Compliance Database'!$C$2:$C$1369,MATCH(1279,'Transfer Engine'!$C$2:$C$1369,0)))</f>
        <v/>
      </c>
      <c r="D1288" s="9">
        <f>IF(ISNA(MATCH(1279,'Transfer Engine'!$C$2:$C$1369,0)),"",INDEX('Compliance Database'!$D$2:$D$1369,MATCH(1279,'Transfer Engine'!$C$2:$C$1369,0)))</f>
        <v/>
      </c>
      <c r="E1288" s="8">
        <f>IF(ISNA(MATCH(1279,'Transfer Engine'!$C$2:$C$1369,0)),"",INDEX('Compliance Database'!$E$2:$E$1369,MATCH(1279,'Transfer Engine'!$C$2:$C$1369,0)))</f>
        <v/>
      </c>
      <c r="F1288" s="8">
        <f>IF(ISNA(MATCH(1279,'Transfer Engine'!$C$2:$C$1369,0)),"",INDEX('Compliance Database'!$F$2:$F$1369,MATCH(1279,'Transfer Engine'!$C$2:$C$1369,0)))</f>
        <v/>
      </c>
      <c r="G1288" s="8">
        <f>IF(ISNA(MATCH(1279,'Transfer Engine'!$C$2:$C$1369,0)),"",INDEX('Compliance Database'!$G$2:$G$1369,MATCH(1279,'Transfer Engine'!$C$2:$C$1369,0)))</f>
        <v/>
      </c>
      <c r="H1288" s="9">
        <f>IF(ISNA(MATCH(1279,'Transfer Engine'!$C$2:$C$1369,0)),"",INDEX('Compliance Database'!$H$2:$H$1369,MATCH(1279,'Transfer Engine'!$C$2:$C$1369,0)))</f>
        <v/>
      </c>
      <c r="I1288" s="9">
        <f>IF(ISNA(MATCH(1279,'Transfer Engine'!$C$2:$C$1369,0)),"",INDEX('Compliance Database'!$I$2:$I$1369,MATCH(1279,'Transfer Engine'!$C$2:$C$1369,0)))</f>
        <v/>
      </c>
      <c r="J1288" s="8">
        <f>IF(ISNA(MATCH(1279,'Transfer Engine'!$C$2:$C$1369,0)),"",INDEX('Compliance Database'!$J$2:$J$1369,MATCH(1279,'Transfer Engine'!$C$2:$C$1369,0)))</f>
        <v/>
      </c>
      <c r="K1288" s="9">
        <f>IF(ISNA(MATCH(1279,'Transfer Engine'!$C$2:$C$1369,0)),"",INDEX('Compliance Database'!$K$2:$K$1369,MATCH(1279,'Transfer Engine'!$C$2:$C$1369,0)))</f>
        <v/>
      </c>
      <c r="L1288" s="9">
        <f>IF(ISNA(MATCH(1279,'Transfer Engine'!$C$2:$C$1369,0)),"",INDEX('Compliance Database'!$L$2:$L$1369,MATCH(1279,'Transfer Engine'!$C$2:$C$1369,0)))</f>
        <v/>
      </c>
      <c r="M1288" s="9">
        <f>IF(ISNA(MATCH(1279,'Transfer Engine'!$C$2:$C$1369,0)),"",INDEX('Compliance Database'!$M$2:$M$1369,MATCH(1279,'Transfer Engine'!$C$2:$C$1369,0)))</f>
        <v/>
      </c>
      <c r="N1288" s="9">
        <f>IF(ISNA(MATCH(1279,'Transfer Engine'!$C$2:$C$1369,0)),"",INDEX('Compliance Database'!$N$2:$N$1369,MATCH(1279,'Transfer Engine'!$C$2:$C$1369,0)))</f>
        <v/>
      </c>
      <c r="O1288" s="8">
        <f>IF(ISNA(MATCH(1279,'Transfer Engine'!$C$2:$C$1369,0)),"",HYPERLINK(INDEX('Compliance Database'!$O$2:$O$1369,MATCH(1279,'Transfer Engine'!$C$2:$C$1369,0)),"Open PDF"))</f>
        <v/>
      </c>
    </row>
    <row r="1289" ht="188" customHeight="1">
      <c r="A1289" s="8">
        <f>IF(ISNA(MATCH(1280,'Transfer Engine'!$C$2:$C$1369,0)),"",INDEX('Compliance Database'!$A$2:$A$1369,MATCH(1280,'Transfer Engine'!$C$2:$C$1369,0)))</f>
        <v/>
      </c>
      <c r="B1289" s="8">
        <f>IF(ISNA(MATCH(1280,'Transfer Engine'!$C$2:$C$1369,0)),"",INDEX('Compliance Database'!$B$2:$B$1369,MATCH(1280,'Transfer Engine'!$C$2:$C$1369,0)))</f>
        <v/>
      </c>
      <c r="C1289" s="8">
        <f>IF(ISNA(MATCH(1280,'Transfer Engine'!$C$2:$C$1369,0)),"",INDEX('Compliance Database'!$C$2:$C$1369,MATCH(1280,'Transfer Engine'!$C$2:$C$1369,0)))</f>
        <v/>
      </c>
      <c r="D1289" s="9">
        <f>IF(ISNA(MATCH(1280,'Transfer Engine'!$C$2:$C$1369,0)),"",INDEX('Compliance Database'!$D$2:$D$1369,MATCH(1280,'Transfer Engine'!$C$2:$C$1369,0)))</f>
        <v/>
      </c>
      <c r="E1289" s="8">
        <f>IF(ISNA(MATCH(1280,'Transfer Engine'!$C$2:$C$1369,0)),"",INDEX('Compliance Database'!$E$2:$E$1369,MATCH(1280,'Transfer Engine'!$C$2:$C$1369,0)))</f>
        <v/>
      </c>
      <c r="F1289" s="8">
        <f>IF(ISNA(MATCH(1280,'Transfer Engine'!$C$2:$C$1369,0)),"",INDEX('Compliance Database'!$F$2:$F$1369,MATCH(1280,'Transfer Engine'!$C$2:$C$1369,0)))</f>
        <v/>
      </c>
      <c r="G1289" s="8">
        <f>IF(ISNA(MATCH(1280,'Transfer Engine'!$C$2:$C$1369,0)),"",INDEX('Compliance Database'!$G$2:$G$1369,MATCH(1280,'Transfer Engine'!$C$2:$C$1369,0)))</f>
        <v/>
      </c>
      <c r="H1289" s="9">
        <f>IF(ISNA(MATCH(1280,'Transfer Engine'!$C$2:$C$1369,0)),"",INDEX('Compliance Database'!$H$2:$H$1369,MATCH(1280,'Transfer Engine'!$C$2:$C$1369,0)))</f>
        <v/>
      </c>
      <c r="I1289" s="9">
        <f>IF(ISNA(MATCH(1280,'Transfer Engine'!$C$2:$C$1369,0)),"",INDEX('Compliance Database'!$I$2:$I$1369,MATCH(1280,'Transfer Engine'!$C$2:$C$1369,0)))</f>
        <v/>
      </c>
      <c r="J1289" s="8">
        <f>IF(ISNA(MATCH(1280,'Transfer Engine'!$C$2:$C$1369,0)),"",INDEX('Compliance Database'!$J$2:$J$1369,MATCH(1280,'Transfer Engine'!$C$2:$C$1369,0)))</f>
        <v/>
      </c>
      <c r="K1289" s="9">
        <f>IF(ISNA(MATCH(1280,'Transfer Engine'!$C$2:$C$1369,0)),"",INDEX('Compliance Database'!$K$2:$K$1369,MATCH(1280,'Transfer Engine'!$C$2:$C$1369,0)))</f>
        <v/>
      </c>
      <c r="L1289" s="9">
        <f>IF(ISNA(MATCH(1280,'Transfer Engine'!$C$2:$C$1369,0)),"",INDEX('Compliance Database'!$L$2:$L$1369,MATCH(1280,'Transfer Engine'!$C$2:$C$1369,0)))</f>
        <v/>
      </c>
      <c r="M1289" s="9">
        <f>IF(ISNA(MATCH(1280,'Transfer Engine'!$C$2:$C$1369,0)),"",INDEX('Compliance Database'!$M$2:$M$1369,MATCH(1280,'Transfer Engine'!$C$2:$C$1369,0)))</f>
        <v/>
      </c>
      <c r="N1289" s="9">
        <f>IF(ISNA(MATCH(1280,'Transfer Engine'!$C$2:$C$1369,0)),"",INDEX('Compliance Database'!$N$2:$N$1369,MATCH(1280,'Transfer Engine'!$C$2:$C$1369,0)))</f>
        <v/>
      </c>
      <c r="O1289" s="8">
        <f>IF(ISNA(MATCH(1280,'Transfer Engine'!$C$2:$C$1369,0)),"",HYPERLINK(INDEX('Compliance Database'!$O$2:$O$1369,MATCH(1280,'Transfer Engine'!$C$2:$C$1369,0)),"Open PDF"))</f>
        <v/>
      </c>
    </row>
    <row r="1290" ht="188" customHeight="1">
      <c r="A1290" s="8">
        <f>IF(ISNA(MATCH(1281,'Transfer Engine'!$C$2:$C$1369,0)),"",INDEX('Compliance Database'!$A$2:$A$1369,MATCH(1281,'Transfer Engine'!$C$2:$C$1369,0)))</f>
        <v/>
      </c>
      <c r="B1290" s="8">
        <f>IF(ISNA(MATCH(1281,'Transfer Engine'!$C$2:$C$1369,0)),"",INDEX('Compliance Database'!$B$2:$B$1369,MATCH(1281,'Transfer Engine'!$C$2:$C$1369,0)))</f>
        <v/>
      </c>
      <c r="C1290" s="8">
        <f>IF(ISNA(MATCH(1281,'Transfer Engine'!$C$2:$C$1369,0)),"",INDEX('Compliance Database'!$C$2:$C$1369,MATCH(1281,'Transfer Engine'!$C$2:$C$1369,0)))</f>
        <v/>
      </c>
      <c r="D1290" s="9">
        <f>IF(ISNA(MATCH(1281,'Transfer Engine'!$C$2:$C$1369,0)),"",INDEX('Compliance Database'!$D$2:$D$1369,MATCH(1281,'Transfer Engine'!$C$2:$C$1369,0)))</f>
        <v/>
      </c>
      <c r="E1290" s="8">
        <f>IF(ISNA(MATCH(1281,'Transfer Engine'!$C$2:$C$1369,0)),"",INDEX('Compliance Database'!$E$2:$E$1369,MATCH(1281,'Transfer Engine'!$C$2:$C$1369,0)))</f>
        <v/>
      </c>
      <c r="F1290" s="8">
        <f>IF(ISNA(MATCH(1281,'Transfer Engine'!$C$2:$C$1369,0)),"",INDEX('Compliance Database'!$F$2:$F$1369,MATCH(1281,'Transfer Engine'!$C$2:$C$1369,0)))</f>
        <v/>
      </c>
      <c r="G1290" s="8">
        <f>IF(ISNA(MATCH(1281,'Transfer Engine'!$C$2:$C$1369,0)),"",INDEX('Compliance Database'!$G$2:$G$1369,MATCH(1281,'Transfer Engine'!$C$2:$C$1369,0)))</f>
        <v/>
      </c>
      <c r="H1290" s="9">
        <f>IF(ISNA(MATCH(1281,'Transfer Engine'!$C$2:$C$1369,0)),"",INDEX('Compliance Database'!$H$2:$H$1369,MATCH(1281,'Transfer Engine'!$C$2:$C$1369,0)))</f>
        <v/>
      </c>
      <c r="I1290" s="9">
        <f>IF(ISNA(MATCH(1281,'Transfer Engine'!$C$2:$C$1369,0)),"",INDEX('Compliance Database'!$I$2:$I$1369,MATCH(1281,'Transfer Engine'!$C$2:$C$1369,0)))</f>
        <v/>
      </c>
      <c r="J1290" s="8">
        <f>IF(ISNA(MATCH(1281,'Transfer Engine'!$C$2:$C$1369,0)),"",INDEX('Compliance Database'!$J$2:$J$1369,MATCH(1281,'Transfer Engine'!$C$2:$C$1369,0)))</f>
        <v/>
      </c>
      <c r="K1290" s="9">
        <f>IF(ISNA(MATCH(1281,'Transfer Engine'!$C$2:$C$1369,0)),"",INDEX('Compliance Database'!$K$2:$K$1369,MATCH(1281,'Transfer Engine'!$C$2:$C$1369,0)))</f>
        <v/>
      </c>
      <c r="L1290" s="9">
        <f>IF(ISNA(MATCH(1281,'Transfer Engine'!$C$2:$C$1369,0)),"",INDEX('Compliance Database'!$L$2:$L$1369,MATCH(1281,'Transfer Engine'!$C$2:$C$1369,0)))</f>
        <v/>
      </c>
      <c r="M1290" s="9">
        <f>IF(ISNA(MATCH(1281,'Transfer Engine'!$C$2:$C$1369,0)),"",INDEX('Compliance Database'!$M$2:$M$1369,MATCH(1281,'Transfer Engine'!$C$2:$C$1369,0)))</f>
        <v/>
      </c>
      <c r="N1290" s="9">
        <f>IF(ISNA(MATCH(1281,'Transfer Engine'!$C$2:$C$1369,0)),"",INDEX('Compliance Database'!$N$2:$N$1369,MATCH(1281,'Transfer Engine'!$C$2:$C$1369,0)))</f>
        <v/>
      </c>
      <c r="O1290" s="8">
        <f>IF(ISNA(MATCH(1281,'Transfer Engine'!$C$2:$C$1369,0)),"",HYPERLINK(INDEX('Compliance Database'!$O$2:$O$1369,MATCH(1281,'Transfer Engine'!$C$2:$C$1369,0)),"Open PDF"))</f>
        <v/>
      </c>
    </row>
    <row r="1291" ht="188" customHeight="1">
      <c r="A1291" s="8">
        <f>IF(ISNA(MATCH(1282,'Transfer Engine'!$C$2:$C$1369,0)),"",INDEX('Compliance Database'!$A$2:$A$1369,MATCH(1282,'Transfer Engine'!$C$2:$C$1369,0)))</f>
        <v/>
      </c>
      <c r="B1291" s="8">
        <f>IF(ISNA(MATCH(1282,'Transfer Engine'!$C$2:$C$1369,0)),"",INDEX('Compliance Database'!$B$2:$B$1369,MATCH(1282,'Transfer Engine'!$C$2:$C$1369,0)))</f>
        <v/>
      </c>
      <c r="C1291" s="8">
        <f>IF(ISNA(MATCH(1282,'Transfer Engine'!$C$2:$C$1369,0)),"",INDEX('Compliance Database'!$C$2:$C$1369,MATCH(1282,'Transfer Engine'!$C$2:$C$1369,0)))</f>
        <v/>
      </c>
      <c r="D1291" s="9">
        <f>IF(ISNA(MATCH(1282,'Transfer Engine'!$C$2:$C$1369,0)),"",INDEX('Compliance Database'!$D$2:$D$1369,MATCH(1282,'Transfer Engine'!$C$2:$C$1369,0)))</f>
        <v/>
      </c>
      <c r="E1291" s="8">
        <f>IF(ISNA(MATCH(1282,'Transfer Engine'!$C$2:$C$1369,0)),"",INDEX('Compliance Database'!$E$2:$E$1369,MATCH(1282,'Transfer Engine'!$C$2:$C$1369,0)))</f>
        <v/>
      </c>
      <c r="F1291" s="8">
        <f>IF(ISNA(MATCH(1282,'Transfer Engine'!$C$2:$C$1369,0)),"",INDEX('Compliance Database'!$F$2:$F$1369,MATCH(1282,'Transfer Engine'!$C$2:$C$1369,0)))</f>
        <v/>
      </c>
      <c r="G1291" s="8">
        <f>IF(ISNA(MATCH(1282,'Transfer Engine'!$C$2:$C$1369,0)),"",INDEX('Compliance Database'!$G$2:$G$1369,MATCH(1282,'Transfer Engine'!$C$2:$C$1369,0)))</f>
        <v/>
      </c>
      <c r="H1291" s="9">
        <f>IF(ISNA(MATCH(1282,'Transfer Engine'!$C$2:$C$1369,0)),"",INDEX('Compliance Database'!$H$2:$H$1369,MATCH(1282,'Transfer Engine'!$C$2:$C$1369,0)))</f>
        <v/>
      </c>
      <c r="I1291" s="9">
        <f>IF(ISNA(MATCH(1282,'Transfer Engine'!$C$2:$C$1369,0)),"",INDEX('Compliance Database'!$I$2:$I$1369,MATCH(1282,'Transfer Engine'!$C$2:$C$1369,0)))</f>
        <v/>
      </c>
      <c r="J1291" s="8">
        <f>IF(ISNA(MATCH(1282,'Transfer Engine'!$C$2:$C$1369,0)),"",INDEX('Compliance Database'!$J$2:$J$1369,MATCH(1282,'Transfer Engine'!$C$2:$C$1369,0)))</f>
        <v/>
      </c>
      <c r="K1291" s="9">
        <f>IF(ISNA(MATCH(1282,'Transfer Engine'!$C$2:$C$1369,0)),"",INDEX('Compliance Database'!$K$2:$K$1369,MATCH(1282,'Transfer Engine'!$C$2:$C$1369,0)))</f>
        <v/>
      </c>
      <c r="L1291" s="9">
        <f>IF(ISNA(MATCH(1282,'Transfer Engine'!$C$2:$C$1369,0)),"",INDEX('Compliance Database'!$L$2:$L$1369,MATCH(1282,'Transfer Engine'!$C$2:$C$1369,0)))</f>
        <v/>
      </c>
      <c r="M1291" s="9">
        <f>IF(ISNA(MATCH(1282,'Transfer Engine'!$C$2:$C$1369,0)),"",INDEX('Compliance Database'!$M$2:$M$1369,MATCH(1282,'Transfer Engine'!$C$2:$C$1369,0)))</f>
        <v/>
      </c>
      <c r="N1291" s="9">
        <f>IF(ISNA(MATCH(1282,'Transfer Engine'!$C$2:$C$1369,0)),"",INDEX('Compliance Database'!$N$2:$N$1369,MATCH(1282,'Transfer Engine'!$C$2:$C$1369,0)))</f>
        <v/>
      </c>
      <c r="O1291" s="8">
        <f>IF(ISNA(MATCH(1282,'Transfer Engine'!$C$2:$C$1369,0)),"",HYPERLINK(INDEX('Compliance Database'!$O$2:$O$1369,MATCH(1282,'Transfer Engine'!$C$2:$C$1369,0)),"Open PDF"))</f>
        <v/>
      </c>
    </row>
    <row r="1292" ht="188" customHeight="1">
      <c r="A1292" s="8">
        <f>IF(ISNA(MATCH(1283,'Transfer Engine'!$C$2:$C$1369,0)),"",INDEX('Compliance Database'!$A$2:$A$1369,MATCH(1283,'Transfer Engine'!$C$2:$C$1369,0)))</f>
        <v/>
      </c>
      <c r="B1292" s="8">
        <f>IF(ISNA(MATCH(1283,'Transfer Engine'!$C$2:$C$1369,0)),"",INDEX('Compliance Database'!$B$2:$B$1369,MATCH(1283,'Transfer Engine'!$C$2:$C$1369,0)))</f>
        <v/>
      </c>
      <c r="C1292" s="8">
        <f>IF(ISNA(MATCH(1283,'Transfer Engine'!$C$2:$C$1369,0)),"",INDEX('Compliance Database'!$C$2:$C$1369,MATCH(1283,'Transfer Engine'!$C$2:$C$1369,0)))</f>
        <v/>
      </c>
      <c r="D1292" s="9">
        <f>IF(ISNA(MATCH(1283,'Transfer Engine'!$C$2:$C$1369,0)),"",INDEX('Compliance Database'!$D$2:$D$1369,MATCH(1283,'Transfer Engine'!$C$2:$C$1369,0)))</f>
        <v/>
      </c>
      <c r="E1292" s="8">
        <f>IF(ISNA(MATCH(1283,'Transfer Engine'!$C$2:$C$1369,0)),"",INDEX('Compliance Database'!$E$2:$E$1369,MATCH(1283,'Transfer Engine'!$C$2:$C$1369,0)))</f>
        <v/>
      </c>
      <c r="F1292" s="8">
        <f>IF(ISNA(MATCH(1283,'Transfer Engine'!$C$2:$C$1369,0)),"",INDEX('Compliance Database'!$F$2:$F$1369,MATCH(1283,'Transfer Engine'!$C$2:$C$1369,0)))</f>
        <v/>
      </c>
      <c r="G1292" s="8">
        <f>IF(ISNA(MATCH(1283,'Transfer Engine'!$C$2:$C$1369,0)),"",INDEX('Compliance Database'!$G$2:$G$1369,MATCH(1283,'Transfer Engine'!$C$2:$C$1369,0)))</f>
        <v/>
      </c>
      <c r="H1292" s="9">
        <f>IF(ISNA(MATCH(1283,'Transfer Engine'!$C$2:$C$1369,0)),"",INDEX('Compliance Database'!$H$2:$H$1369,MATCH(1283,'Transfer Engine'!$C$2:$C$1369,0)))</f>
        <v/>
      </c>
      <c r="I1292" s="9">
        <f>IF(ISNA(MATCH(1283,'Transfer Engine'!$C$2:$C$1369,0)),"",INDEX('Compliance Database'!$I$2:$I$1369,MATCH(1283,'Transfer Engine'!$C$2:$C$1369,0)))</f>
        <v/>
      </c>
      <c r="J1292" s="8">
        <f>IF(ISNA(MATCH(1283,'Transfer Engine'!$C$2:$C$1369,0)),"",INDEX('Compliance Database'!$J$2:$J$1369,MATCH(1283,'Transfer Engine'!$C$2:$C$1369,0)))</f>
        <v/>
      </c>
      <c r="K1292" s="9">
        <f>IF(ISNA(MATCH(1283,'Transfer Engine'!$C$2:$C$1369,0)),"",INDEX('Compliance Database'!$K$2:$K$1369,MATCH(1283,'Transfer Engine'!$C$2:$C$1369,0)))</f>
        <v/>
      </c>
      <c r="L1292" s="9">
        <f>IF(ISNA(MATCH(1283,'Transfer Engine'!$C$2:$C$1369,0)),"",INDEX('Compliance Database'!$L$2:$L$1369,MATCH(1283,'Transfer Engine'!$C$2:$C$1369,0)))</f>
        <v/>
      </c>
      <c r="M1292" s="9">
        <f>IF(ISNA(MATCH(1283,'Transfer Engine'!$C$2:$C$1369,0)),"",INDEX('Compliance Database'!$M$2:$M$1369,MATCH(1283,'Transfer Engine'!$C$2:$C$1369,0)))</f>
        <v/>
      </c>
      <c r="N1292" s="9">
        <f>IF(ISNA(MATCH(1283,'Transfer Engine'!$C$2:$C$1369,0)),"",INDEX('Compliance Database'!$N$2:$N$1369,MATCH(1283,'Transfer Engine'!$C$2:$C$1369,0)))</f>
        <v/>
      </c>
      <c r="O1292" s="8">
        <f>IF(ISNA(MATCH(1283,'Transfer Engine'!$C$2:$C$1369,0)),"",HYPERLINK(INDEX('Compliance Database'!$O$2:$O$1369,MATCH(1283,'Transfer Engine'!$C$2:$C$1369,0)),"Open PDF"))</f>
        <v/>
      </c>
    </row>
    <row r="1293" ht="188" customHeight="1">
      <c r="A1293" s="8">
        <f>IF(ISNA(MATCH(1284,'Transfer Engine'!$C$2:$C$1369,0)),"",INDEX('Compliance Database'!$A$2:$A$1369,MATCH(1284,'Transfer Engine'!$C$2:$C$1369,0)))</f>
        <v/>
      </c>
      <c r="B1293" s="8">
        <f>IF(ISNA(MATCH(1284,'Transfer Engine'!$C$2:$C$1369,0)),"",INDEX('Compliance Database'!$B$2:$B$1369,MATCH(1284,'Transfer Engine'!$C$2:$C$1369,0)))</f>
        <v/>
      </c>
      <c r="C1293" s="8">
        <f>IF(ISNA(MATCH(1284,'Transfer Engine'!$C$2:$C$1369,0)),"",INDEX('Compliance Database'!$C$2:$C$1369,MATCH(1284,'Transfer Engine'!$C$2:$C$1369,0)))</f>
        <v/>
      </c>
      <c r="D1293" s="9">
        <f>IF(ISNA(MATCH(1284,'Transfer Engine'!$C$2:$C$1369,0)),"",INDEX('Compliance Database'!$D$2:$D$1369,MATCH(1284,'Transfer Engine'!$C$2:$C$1369,0)))</f>
        <v/>
      </c>
      <c r="E1293" s="8">
        <f>IF(ISNA(MATCH(1284,'Transfer Engine'!$C$2:$C$1369,0)),"",INDEX('Compliance Database'!$E$2:$E$1369,MATCH(1284,'Transfer Engine'!$C$2:$C$1369,0)))</f>
        <v/>
      </c>
      <c r="F1293" s="8">
        <f>IF(ISNA(MATCH(1284,'Transfer Engine'!$C$2:$C$1369,0)),"",INDEX('Compliance Database'!$F$2:$F$1369,MATCH(1284,'Transfer Engine'!$C$2:$C$1369,0)))</f>
        <v/>
      </c>
      <c r="G1293" s="8">
        <f>IF(ISNA(MATCH(1284,'Transfer Engine'!$C$2:$C$1369,0)),"",INDEX('Compliance Database'!$G$2:$G$1369,MATCH(1284,'Transfer Engine'!$C$2:$C$1369,0)))</f>
        <v/>
      </c>
      <c r="H1293" s="9">
        <f>IF(ISNA(MATCH(1284,'Transfer Engine'!$C$2:$C$1369,0)),"",INDEX('Compliance Database'!$H$2:$H$1369,MATCH(1284,'Transfer Engine'!$C$2:$C$1369,0)))</f>
        <v/>
      </c>
      <c r="I1293" s="9">
        <f>IF(ISNA(MATCH(1284,'Transfer Engine'!$C$2:$C$1369,0)),"",INDEX('Compliance Database'!$I$2:$I$1369,MATCH(1284,'Transfer Engine'!$C$2:$C$1369,0)))</f>
        <v/>
      </c>
      <c r="J1293" s="8">
        <f>IF(ISNA(MATCH(1284,'Transfer Engine'!$C$2:$C$1369,0)),"",INDEX('Compliance Database'!$J$2:$J$1369,MATCH(1284,'Transfer Engine'!$C$2:$C$1369,0)))</f>
        <v/>
      </c>
      <c r="K1293" s="9">
        <f>IF(ISNA(MATCH(1284,'Transfer Engine'!$C$2:$C$1369,0)),"",INDEX('Compliance Database'!$K$2:$K$1369,MATCH(1284,'Transfer Engine'!$C$2:$C$1369,0)))</f>
        <v/>
      </c>
      <c r="L1293" s="9">
        <f>IF(ISNA(MATCH(1284,'Transfer Engine'!$C$2:$C$1369,0)),"",INDEX('Compliance Database'!$L$2:$L$1369,MATCH(1284,'Transfer Engine'!$C$2:$C$1369,0)))</f>
        <v/>
      </c>
      <c r="M1293" s="9">
        <f>IF(ISNA(MATCH(1284,'Transfer Engine'!$C$2:$C$1369,0)),"",INDEX('Compliance Database'!$M$2:$M$1369,MATCH(1284,'Transfer Engine'!$C$2:$C$1369,0)))</f>
        <v/>
      </c>
      <c r="N1293" s="9">
        <f>IF(ISNA(MATCH(1284,'Transfer Engine'!$C$2:$C$1369,0)),"",INDEX('Compliance Database'!$N$2:$N$1369,MATCH(1284,'Transfer Engine'!$C$2:$C$1369,0)))</f>
        <v/>
      </c>
      <c r="O1293" s="8">
        <f>IF(ISNA(MATCH(1284,'Transfer Engine'!$C$2:$C$1369,0)),"",HYPERLINK(INDEX('Compliance Database'!$O$2:$O$1369,MATCH(1284,'Transfer Engine'!$C$2:$C$1369,0)),"Open PDF"))</f>
        <v/>
      </c>
    </row>
    <row r="1294" ht="188" customHeight="1">
      <c r="A1294" s="8">
        <f>IF(ISNA(MATCH(1285,'Transfer Engine'!$C$2:$C$1369,0)),"",INDEX('Compliance Database'!$A$2:$A$1369,MATCH(1285,'Transfer Engine'!$C$2:$C$1369,0)))</f>
        <v/>
      </c>
      <c r="B1294" s="8">
        <f>IF(ISNA(MATCH(1285,'Transfer Engine'!$C$2:$C$1369,0)),"",INDEX('Compliance Database'!$B$2:$B$1369,MATCH(1285,'Transfer Engine'!$C$2:$C$1369,0)))</f>
        <v/>
      </c>
      <c r="C1294" s="8">
        <f>IF(ISNA(MATCH(1285,'Transfer Engine'!$C$2:$C$1369,0)),"",INDEX('Compliance Database'!$C$2:$C$1369,MATCH(1285,'Transfer Engine'!$C$2:$C$1369,0)))</f>
        <v/>
      </c>
      <c r="D1294" s="9">
        <f>IF(ISNA(MATCH(1285,'Transfer Engine'!$C$2:$C$1369,0)),"",INDEX('Compliance Database'!$D$2:$D$1369,MATCH(1285,'Transfer Engine'!$C$2:$C$1369,0)))</f>
        <v/>
      </c>
      <c r="E1294" s="8">
        <f>IF(ISNA(MATCH(1285,'Transfer Engine'!$C$2:$C$1369,0)),"",INDEX('Compliance Database'!$E$2:$E$1369,MATCH(1285,'Transfer Engine'!$C$2:$C$1369,0)))</f>
        <v/>
      </c>
      <c r="F1294" s="8">
        <f>IF(ISNA(MATCH(1285,'Transfer Engine'!$C$2:$C$1369,0)),"",INDEX('Compliance Database'!$F$2:$F$1369,MATCH(1285,'Transfer Engine'!$C$2:$C$1369,0)))</f>
        <v/>
      </c>
      <c r="G1294" s="8">
        <f>IF(ISNA(MATCH(1285,'Transfer Engine'!$C$2:$C$1369,0)),"",INDEX('Compliance Database'!$G$2:$G$1369,MATCH(1285,'Transfer Engine'!$C$2:$C$1369,0)))</f>
        <v/>
      </c>
      <c r="H1294" s="9">
        <f>IF(ISNA(MATCH(1285,'Transfer Engine'!$C$2:$C$1369,0)),"",INDEX('Compliance Database'!$H$2:$H$1369,MATCH(1285,'Transfer Engine'!$C$2:$C$1369,0)))</f>
        <v/>
      </c>
      <c r="I1294" s="9">
        <f>IF(ISNA(MATCH(1285,'Transfer Engine'!$C$2:$C$1369,0)),"",INDEX('Compliance Database'!$I$2:$I$1369,MATCH(1285,'Transfer Engine'!$C$2:$C$1369,0)))</f>
        <v/>
      </c>
      <c r="J1294" s="8">
        <f>IF(ISNA(MATCH(1285,'Transfer Engine'!$C$2:$C$1369,0)),"",INDEX('Compliance Database'!$J$2:$J$1369,MATCH(1285,'Transfer Engine'!$C$2:$C$1369,0)))</f>
        <v/>
      </c>
      <c r="K1294" s="9">
        <f>IF(ISNA(MATCH(1285,'Transfer Engine'!$C$2:$C$1369,0)),"",INDEX('Compliance Database'!$K$2:$K$1369,MATCH(1285,'Transfer Engine'!$C$2:$C$1369,0)))</f>
        <v/>
      </c>
      <c r="L1294" s="9">
        <f>IF(ISNA(MATCH(1285,'Transfer Engine'!$C$2:$C$1369,0)),"",INDEX('Compliance Database'!$L$2:$L$1369,MATCH(1285,'Transfer Engine'!$C$2:$C$1369,0)))</f>
        <v/>
      </c>
      <c r="M1294" s="9">
        <f>IF(ISNA(MATCH(1285,'Transfer Engine'!$C$2:$C$1369,0)),"",INDEX('Compliance Database'!$M$2:$M$1369,MATCH(1285,'Transfer Engine'!$C$2:$C$1369,0)))</f>
        <v/>
      </c>
      <c r="N1294" s="9">
        <f>IF(ISNA(MATCH(1285,'Transfer Engine'!$C$2:$C$1369,0)),"",INDEX('Compliance Database'!$N$2:$N$1369,MATCH(1285,'Transfer Engine'!$C$2:$C$1369,0)))</f>
        <v/>
      </c>
      <c r="O1294" s="8">
        <f>IF(ISNA(MATCH(1285,'Transfer Engine'!$C$2:$C$1369,0)),"",HYPERLINK(INDEX('Compliance Database'!$O$2:$O$1369,MATCH(1285,'Transfer Engine'!$C$2:$C$1369,0)),"Open PDF"))</f>
        <v/>
      </c>
    </row>
    <row r="1295" ht="188" customHeight="1">
      <c r="A1295" s="8">
        <f>IF(ISNA(MATCH(1286,'Transfer Engine'!$C$2:$C$1369,0)),"",INDEX('Compliance Database'!$A$2:$A$1369,MATCH(1286,'Transfer Engine'!$C$2:$C$1369,0)))</f>
        <v/>
      </c>
      <c r="B1295" s="8">
        <f>IF(ISNA(MATCH(1286,'Transfer Engine'!$C$2:$C$1369,0)),"",INDEX('Compliance Database'!$B$2:$B$1369,MATCH(1286,'Transfer Engine'!$C$2:$C$1369,0)))</f>
        <v/>
      </c>
      <c r="C1295" s="8">
        <f>IF(ISNA(MATCH(1286,'Transfer Engine'!$C$2:$C$1369,0)),"",INDEX('Compliance Database'!$C$2:$C$1369,MATCH(1286,'Transfer Engine'!$C$2:$C$1369,0)))</f>
        <v/>
      </c>
      <c r="D1295" s="9">
        <f>IF(ISNA(MATCH(1286,'Transfer Engine'!$C$2:$C$1369,0)),"",INDEX('Compliance Database'!$D$2:$D$1369,MATCH(1286,'Transfer Engine'!$C$2:$C$1369,0)))</f>
        <v/>
      </c>
      <c r="E1295" s="8">
        <f>IF(ISNA(MATCH(1286,'Transfer Engine'!$C$2:$C$1369,0)),"",INDEX('Compliance Database'!$E$2:$E$1369,MATCH(1286,'Transfer Engine'!$C$2:$C$1369,0)))</f>
        <v/>
      </c>
      <c r="F1295" s="8">
        <f>IF(ISNA(MATCH(1286,'Transfer Engine'!$C$2:$C$1369,0)),"",INDEX('Compliance Database'!$F$2:$F$1369,MATCH(1286,'Transfer Engine'!$C$2:$C$1369,0)))</f>
        <v/>
      </c>
      <c r="G1295" s="8">
        <f>IF(ISNA(MATCH(1286,'Transfer Engine'!$C$2:$C$1369,0)),"",INDEX('Compliance Database'!$G$2:$G$1369,MATCH(1286,'Transfer Engine'!$C$2:$C$1369,0)))</f>
        <v/>
      </c>
      <c r="H1295" s="9">
        <f>IF(ISNA(MATCH(1286,'Transfer Engine'!$C$2:$C$1369,0)),"",INDEX('Compliance Database'!$H$2:$H$1369,MATCH(1286,'Transfer Engine'!$C$2:$C$1369,0)))</f>
        <v/>
      </c>
      <c r="I1295" s="9">
        <f>IF(ISNA(MATCH(1286,'Transfer Engine'!$C$2:$C$1369,0)),"",INDEX('Compliance Database'!$I$2:$I$1369,MATCH(1286,'Transfer Engine'!$C$2:$C$1369,0)))</f>
        <v/>
      </c>
      <c r="J1295" s="8">
        <f>IF(ISNA(MATCH(1286,'Transfer Engine'!$C$2:$C$1369,0)),"",INDEX('Compliance Database'!$J$2:$J$1369,MATCH(1286,'Transfer Engine'!$C$2:$C$1369,0)))</f>
        <v/>
      </c>
      <c r="K1295" s="9">
        <f>IF(ISNA(MATCH(1286,'Transfer Engine'!$C$2:$C$1369,0)),"",INDEX('Compliance Database'!$K$2:$K$1369,MATCH(1286,'Transfer Engine'!$C$2:$C$1369,0)))</f>
        <v/>
      </c>
      <c r="L1295" s="9">
        <f>IF(ISNA(MATCH(1286,'Transfer Engine'!$C$2:$C$1369,0)),"",INDEX('Compliance Database'!$L$2:$L$1369,MATCH(1286,'Transfer Engine'!$C$2:$C$1369,0)))</f>
        <v/>
      </c>
      <c r="M1295" s="9">
        <f>IF(ISNA(MATCH(1286,'Transfer Engine'!$C$2:$C$1369,0)),"",INDEX('Compliance Database'!$M$2:$M$1369,MATCH(1286,'Transfer Engine'!$C$2:$C$1369,0)))</f>
        <v/>
      </c>
      <c r="N1295" s="9">
        <f>IF(ISNA(MATCH(1286,'Transfer Engine'!$C$2:$C$1369,0)),"",INDEX('Compliance Database'!$N$2:$N$1369,MATCH(1286,'Transfer Engine'!$C$2:$C$1369,0)))</f>
        <v/>
      </c>
      <c r="O1295" s="8">
        <f>IF(ISNA(MATCH(1286,'Transfer Engine'!$C$2:$C$1369,0)),"",HYPERLINK(INDEX('Compliance Database'!$O$2:$O$1369,MATCH(1286,'Transfer Engine'!$C$2:$C$1369,0)),"Open PDF"))</f>
        <v/>
      </c>
    </row>
    <row r="1296" ht="188" customHeight="1">
      <c r="A1296" s="8">
        <f>IF(ISNA(MATCH(1287,'Transfer Engine'!$C$2:$C$1369,0)),"",INDEX('Compliance Database'!$A$2:$A$1369,MATCH(1287,'Transfer Engine'!$C$2:$C$1369,0)))</f>
        <v/>
      </c>
      <c r="B1296" s="8">
        <f>IF(ISNA(MATCH(1287,'Transfer Engine'!$C$2:$C$1369,0)),"",INDEX('Compliance Database'!$B$2:$B$1369,MATCH(1287,'Transfer Engine'!$C$2:$C$1369,0)))</f>
        <v/>
      </c>
      <c r="C1296" s="8">
        <f>IF(ISNA(MATCH(1287,'Transfer Engine'!$C$2:$C$1369,0)),"",INDEX('Compliance Database'!$C$2:$C$1369,MATCH(1287,'Transfer Engine'!$C$2:$C$1369,0)))</f>
        <v/>
      </c>
      <c r="D1296" s="9">
        <f>IF(ISNA(MATCH(1287,'Transfer Engine'!$C$2:$C$1369,0)),"",INDEX('Compliance Database'!$D$2:$D$1369,MATCH(1287,'Transfer Engine'!$C$2:$C$1369,0)))</f>
        <v/>
      </c>
      <c r="E1296" s="8">
        <f>IF(ISNA(MATCH(1287,'Transfer Engine'!$C$2:$C$1369,0)),"",INDEX('Compliance Database'!$E$2:$E$1369,MATCH(1287,'Transfer Engine'!$C$2:$C$1369,0)))</f>
        <v/>
      </c>
      <c r="F1296" s="8">
        <f>IF(ISNA(MATCH(1287,'Transfer Engine'!$C$2:$C$1369,0)),"",INDEX('Compliance Database'!$F$2:$F$1369,MATCH(1287,'Transfer Engine'!$C$2:$C$1369,0)))</f>
        <v/>
      </c>
      <c r="G1296" s="8">
        <f>IF(ISNA(MATCH(1287,'Transfer Engine'!$C$2:$C$1369,0)),"",INDEX('Compliance Database'!$G$2:$G$1369,MATCH(1287,'Transfer Engine'!$C$2:$C$1369,0)))</f>
        <v/>
      </c>
      <c r="H1296" s="9">
        <f>IF(ISNA(MATCH(1287,'Transfer Engine'!$C$2:$C$1369,0)),"",INDEX('Compliance Database'!$H$2:$H$1369,MATCH(1287,'Transfer Engine'!$C$2:$C$1369,0)))</f>
        <v/>
      </c>
      <c r="I1296" s="9">
        <f>IF(ISNA(MATCH(1287,'Transfer Engine'!$C$2:$C$1369,0)),"",INDEX('Compliance Database'!$I$2:$I$1369,MATCH(1287,'Transfer Engine'!$C$2:$C$1369,0)))</f>
        <v/>
      </c>
      <c r="J1296" s="8">
        <f>IF(ISNA(MATCH(1287,'Transfer Engine'!$C$2:$C$1369,0)),"",INDEX('Compliance Database'!$J$2:$J$1369,MATCH(1287,'Transfer Engine'!$C$2:$C$1369,0)))</f>
        <v/>
      </c>
      <c r="K1296" s="9">
        <f>IF(ISNA(MATCH(1287,'Transfer Engine'!$C$2:$C$1369,0)),"",INDEX('Compliance Database'!$K$2:$K$1369,MATCH(1287,'Transfer Engine'!$C$2:$C$1369,0)))</f>
        <v/>
      </c>
      <c r="L1296" s="9">
        <f>IF(ISNA(MATCH(1287,'Transfer Engine'!$C$2:$C$1369,0)),"",INDEX('Compliance Database'!$L$2:$L$1369,MATCH(1287,'Transfer Engine'!$C$2:$C$1369,0)))</f>
        <v/>
      </c>
      <c r="M1296" s="9">
        <f>IF(ISNA(MATCH(1287,'Transfer Engine'!$C$2:$C$1369,0)),"",INDEX('Compliance Database'!$M$2:$M$1369,MATCH(1287,'Transfer Engine'!$C$2:$C$1369,0)))</f>
        <v/>
      </c>
      <c r="N1296" s="9">
        <f>IF(ISNA(MATCH(1287,'Transfer Engine'!$C$2:$C$1369,0)),"",INDEX('Compliance Database'!$N$2:$N$1369,MATCH(1287,'Transfer Engine'!$C$2:$C$1369,0)))</f>
        <v/>
      </c>
      <c r="O1296" s="8">
        <f>IF(ISNA(MATCH(1287,'Transfer Engine'!$C$2:$C$1369,0)),"",HYPERLINK(INDEX('Compliance Database'!$O$2:$O$1369,MATCH(1287,'Transfer Engine'!$C$2:$C$1369,0)),"Open PDF"))</f>
        <v/>
      </c>
    </row>
    <row r="1297" ht="188" customHeight="1">
      <c r="A1297" s="8">
        <f>IF(ISNA(MATCH(1288,'Transfer Engine'!$C$2:$C$1369,0)),"",INDEX('Compliance Database'!$A$2:$A$1369,MATCH(1288,'Transfer Engine'!$C$2:$C$1369,0)))</f>
        <v/>
      </c>
      <c r="B1297" s="8">
        <f>IF(ISNA(MATCH(1288,'Transfer Engine'!$C$2:$C$1369,0)),"",INDEX('Compliance Database'!$B$2:$B$1369,MATCH(1288,'Transfer Engine'!$C$2:$C$1369,0)))</f>
        <v/>
      </c>
      <c r="C1297" s="8">
        <f>IF(ISNA(MATCH(1288,'Transfer Engine'!$C$2:$C$1369,0)),"",INDEX('Compliance Database'!$C$2:$C$1369,MATCH(1288,'Transfer Engine'!$C$2:$C$1369,0)))</f>
        <v/>
      </c>
      <c r="D1297" s="9">
        <f>IF(ISNA(MATCH(1288,'Transfer Engine'!$C$2:$C$1369,0)),"",INDEX('Compliance Database'!$D$2:$D$1369,MATCH(1288,'Transfer Engine'!$C$2:$C$1369,0)))</f>
        <v/>
      </c>
      <c r="E1297" s="8">
        <f>IF(ISNA(MATCH(1288,'Transfer Engine'!$C$2:$C$1369,0)),"",INDEX('Compliance Database'!$E$2:$E$1369,MATCH(1288,'Transfer Engine'!$C$2:$C$1369,0)))</f>
        <v/>
      </c>
      <c r="F1297" s="8">
        <f>IF(ISNA(MATCH(1288,'Transfer Engine'!$C$2:$C$1369,0)),"",INDEX('Compliance Database'!$F$2:$F$1369,MATCH(1288,'Transfer Engine'!$C$2:$C$1369,0)))</f>
        <v/>
      </c>
      <c r="G1297" s="8">
        <f>IF(ISNA(MATCH(1288,'Transfer Engine'!$C$2:$C$1369,0)),"",INDEX('Compliance Database'!$G$2:$G$1369,MATCH(1288,'Transfer Engine'!$C$2:$C$1369,0)))</f>
        <v/>
      </c>
      <c r="H1297" s="9">
        <f>IF(ISNA(MATCH(1288,'Transfer Engine'!$C$2:$C$1369,0)),"",INDEX('Compliance Database'!$H$2:$H$1369,MATCH(1288,'Transfer Engine'!$C$2:$C$1369,0)))</f>
        <v/>
      </c>
      <c r="I1297" s="9">
        <f>IF(ISNA(MATCH(1288,'Transfer Engine'!$C$2:$C$1369,0)),"",INDEX('Compliance Database'!$I$2:$I$1369,MATCH(1288,'Transfer Engine'!$C$2:$C$1369,0)))</f>
        <v/>
      </c>
      <c r="J1297" s="8">
        <f>IF(ISNA(MATCH(1288,'Transfer Engine'!$C$2:$C$1369,0)),"",INDEX('Compliance Database'!$J$2:$J$1369,MATCH(1288,'Transfer Engine'!$C$2:$C$1369,0)))</f>
        <v/>
      </c>
      <c r="K1297" s="9">
        <f>IF(ISNA(MATCH(1288,'Transfer Engine'!$C$2:$C$1369,0)),"",INDEX('Compliance Database'!$K$2:$K$1369,MATCH(1288,'Transfer Engine'!$C$2:$C$1369,0)))</f>
        <v/>
      </c>
      <c r="L1297" s="9">
        <f>IF(ISNA(MATCH(1288,'Transfer Engine'!$C$2:$C$1369,0)),"",INDEX('Compliance Database'!$L$2:$L$1369,MATCH(1288,'Transfer Engine'!$C$2:$C$1369,0)))</f>
        <v/>
      </c>
      <c r="M1297" s="9">
        <f>IF(ISNA(MATCH(1288,'Transfer Engine'!$C$2:$C$1369,0)),"",INDEX('Compliance Database'!$M$2:$M$1369,MATCH(1288,'Transfer Engine'!$C$2:$C$1369,0)))</f>
        <v/>
      </c>
      <c r="N1297" s="9">
        <f>IF(ISNA(MATCH(1288,'Transfer Engine'!$C$2:$C$1369,0)),"",INDEX('Compliance Database'!$N$2:$N$1369,MATCH(1288,'Transfer Engine'!$C$2:$C$1369,0)))</f>
        <v/>
      </c>
      <c r="O1297" s="8">
        <f>IF(ISNA(MATCH(1288,'Transfer Engine'!$C$2:$C$1369,0)),"",HYPERLINK(INDEX('Compliance Database'!$O$2:$O$1369,MATCH(1288,'Transfer Engine'!$C$2:$C$1369,0)),"Open PDF"))</f>
        <v/>
      </c>
    </row>
    <row r="1298" ht="188" customHeight="1">
      <c r="A1298" s="8">
        <f>IF(ISNA(MATCH(1289,'Transfer Engine'!$C$2:$C$1369,0)),"",INDEX('Compliance Database'!$A$2:$A$1369,MATCH(1289,'Transfer Engine'!$C$2:$C$1369,0)))</f>
        <v/>
      </c>
      <c r="B1298" s="8">
        <f>IF(ISNA(MATCH(1289,'Transfer Engine'!$C$2:$C$1369,0)),"",INDEX('Compliance Database'!$B$2:$B$1369,MATCH(1289,'Transfer Engine'!$C$2:$C$1369,0)))</f>
        <v/>
      </c>
      <c r="C1298" s="8">
        <f>IF(ISNA(MATCH(1289,'Transfer Engine'!$C$2:$C$1369,0)),"",INDEX('Compliance Database'!$C$2:$C$1369,MATCH(1289,'Transfer Engine'!$C$2:$C$1369,0)))</f>
        <v/>
      </c>
      <c r="D1298" s="9">
        <f>IF(ISNA(MATCH(1289,'Transfer Engine'!$C$2:$C$1369,0)),"",INDEX('Compliance Database'!$D$2:$D$1369,MATCH(1289,'Transfer Engine'!$C$2:$C$1369,0)))</f>
        <v/>
      </c>
      <c r="E1298" s="8">
        <f>IF(ISNA(MATCH(1289,'Transfer Engine'!$C$2:$C$1369,0)),"",INDEX('Compliance Database'!$E$2:$E$1369,MATCH(1289,'Transfer Engine'!$C$2:$C$1369,0)))</f>
        <v/>
      </c>
      <c r="F1298" s="8">
        <f>IF(ISNA(MATCH(1289,'Transfer Engine'!$C$2:$C$1369,0)),"",INDEX('Compliance Database'!$F$2:$F$1369,MATCH(1289,'Transfer Engine'!$C$2:$C$1369,0)))</f>
        <v/>
      </c>
      <c r="G1298" s="8">
        <f>IF(ISNA(MATCH(1289,'Transfer Engine'!$C$2:$C$1369,0)),"",INDEX('Compliance Database'!$G$2:$G$1369,MATCH(1289,'Transfer Engine'!$C$2:$C$1369,0)))</f>
        <v/>
      </c>
      <c r="H1298" s="9">
        <f>IF(ISNA(MATCH(1289,'Transfer Engine'!$C$2:$C$1369,0)),"",INDEX('Compliance Database'!$H$2:$H$1369,MATCH(1289,'Transfer Engine'!$C$2:$C$1369,0)))</f>
        <v/>
      </c>
      <c r="I1298" s="9">
        <f>IF(ISNA(MATCH(1289,'Transfer Engine'!$C$2:$C$1369,0)),"",INDEX('Compliance Database'!$I$2:$I$1369,MATCH(1289,'Transfer Engine'!$C$2:$C$1369,0)))</f>
        <v/>
      </c>
      <c r="J1298" s="8">
        <f>IF(ISNA(MATCH(1289,'Transfer Engine'!$C$2:$C$1369,0)),"",INDEX('Compliance Database'!$J$2:$J$1369,MATCH(1289,'Transfer Engine'!$C$2:$C$1369,0)))</f>
        <v/>
      </c>
      <c r="K1298" s="9">
        <f>IF(ISNA(MATCH(1289,'Transfer Engine'!$C$2:$C$1369,0)),"",INDEX('Compliance Database'!$K$2:$K$1369,MATCH(1289,'Transfer Engine'!$C$2:$C$1369,0)))</f>
        <v/>
      </c>
      <c r="L1298" s="9">
        <f>IF(ISNA(MATCH(1289,'Transfer Engine'!$C$2:$C$1369,0)),"",INDEX('Compliance Database'!$L$2:$L$1369,MATCH(1289,'Transfer Engine'!$C$2:$C$1369,0)))</f>
        <v/>
      </c>
      <c r="M1298" s="9">
        <f>IF(ISNA(MATCH(1289,'Transfer Engine'!$C$2:$C$1369,0)),"",INDEX('Compliance Database'!$M$2:$M$1369,MATCH(1289,'Transfer Engine'!$C$2:$C$1369,0)))</f>
        <v/>
      </c>
      <c r="N1298" s="9">
        <f>IF(ISNA(MATCH(1289,'Transfer Engine'!$C$2:$C$1369,0)),"",INDEX('Compliance Database'!$N$2:$N$1369,MATCH(1289,'Transfer Engine'!$C$2:$C$1369,0)))</f>
        <v/>
      </c>
      <c r="O1298" s="8">
        <f>IF(ISNA(MATCH(1289,'Transfer Engine'!$C$2:$C$1369,0)),"",HYPERLINK(INDEX('Compliance Database'!$O$2:$O$1369,MATCH(1289,'Transfer Engine'!$C$2:$C$1369,0)),"Open PDF"))</f>
        <v/>
      </c>
    </row>
    <row r="1299" ht="188" customHeight="1">
      <c r="A1299" s="8">
        <f>IF(ISNA(MATCH(1290,'Transfer Engine'!$C$2:$C$1369,0)),"",INDEX('Compliance Database'!$A$2:$A$1369,MATCH(1290,'Transfer Engine'!$C$2:$C$1369,0)))</f>
        <v/>
      </c>
      <c r="B1299" s="8">
        <f>IF(ISNA(MATCH(1290,'Transfer Engine'!$C$2:$C$1369,0)),"",INDEX('Compliance Database'!$B$2:$B$1369,MATCH(1290,'Transfer Engine'!$C$2:$C$1369,0)))</f>
        <v/>
      </c>
      <c r="C1299" s="8">
        <f>IF(ISNA(MATCH(1290,'Transfer Engine'!$C$2:$C$1369,0)),"",INDEX('Compliance Database'!$C$2:$C$1369,MATCH(1290,'Transfer Engine'!$C$2:$C$1369,0)))</f>
        <v/>
      </c>
      <c r="D1299" s="9">
        <f>IF(ISNA(MATCH(1290,'Transfer Engine'!$C$2:$C$1369,0)),"",INDEX('Compliance Database'!$D$2:$D$1369,MATCH(1290,'Transfer Engine'!$C$2:$C$1369,0)))</f>
        <v/>
      </c>
      <c r="E1299" s="8">
        <f>IF(ISNA(MATCH(1290,'Transfer Engine'!$C$2:$C$1369,0)),"",INDEX('Compliance Database'!$E$2:$E$1369,MATCH(1290,'Transfer Engine'!$C$2:$C$1369,0)))</f>
        <v/>
      </c>
      <c r="F1299" s="8">
        <f>IF(ISNA(MATCH(1290,'Transfer Engine'!$C$2:$C$1369,0)),"",INDEX('Compliance Database'!$F$2:$F$1369,MATCH(1290,'Transfer Engine'!$C$2:$C$1369,0)))</f>
        <v/>
      </c>
      <c r="G1299" s="8">
        <f>IF(ISNA(MATCH(1290,'Transfer Engine'!$C$2:$C$1369,0)),"",INDEX('Compliance Database'!$G$2:$G$1369,MATCH(1290,'Transfer Engine'!$C$2:$C$1369,0)))</f>
        <v/>
      </c>
      <c r="H1299" s="9">
        <f>IF(ISNA(MATCH(1290,'Transfer Engine'!$C$2:$C$1369,0)),"",INDEX('Compliance Database'!$H$2:$H$1369,MATCH(1290,'Transfer Engine'!$C$2:$C$1369,0)))</f>
        <v/>
      </c>
      <c r="I1299" s="9">
        <f>IF(ISNA(MATCH(1290,'Transfer Engine'!$C$2:$C$1369,0)),"",INDEX('Compliance Database'!$I$2:$I$1369,MATCH(1290,'Transfer Engine'!$C$2:$C$1369,0)))</f>
        <v/>
      </c>
      <c r="J1299" s="8">
        <f>IF(ISNA(MATCH(1290,'Transfer Engine'!$C$2:$C$1369,0)),"",INDEX('Compliance Database'!$J$2:$J$1369,MATCH(1290,'Transfer Engine'!$C$2:$C$1369,0)))</f>
        <v/>
      </c>
      <c r="K1299" s="9">
        <f>IF(ISNA(MATCH(1290,'Transfer Engine'!$C$2:$C$1369,0)),"",INDEX('Compliance Database'!$K$2:$K$1369,MATCH(1290,'Transfer Engine'!$C$2:$C$1369,0)))</f>
        <v/>
      </c>
      <c r="L1299" s="9">
        <f>IF(ISNA(MATCH(1290,'Transfer Engine'!$C$2:$C$1369,0)),"",INDEX('Compliance Database'!$L$2:$L$1369,MATCH(1290,'Transfer Engine'!$C$2:$C$1369,0)))</f>
        <v/>
      </c>
      <c r="M1299" s="9">
        <f>IF(ISNA(MATCH(1290,'Transfer Engine'!$C$2:$C$1369,0)),"",INDEX('Compliance Database'!$M$2:$M$1369,MATCH(1290,'Transfer Engine'!$C$2:$C$1369,0)))</f>
        <v/>
      </c>
      <c r="N1299" s="9">
        <f>IF(ISNA(MATCH(1290,'Transfer Engine'!$C$2:$C$1369,0)),"",INDEX('Compliance Database'!$N$2:$N$1369,MATCH(1290,'Transfer Engine'!$C$2:$C$1369,0)))</f>
        <v/>
      </c>
      <c r="O1299" s="8">
        <f>IF(ISNA(MATCH(1290,'Transfer Engine'!$C$2:$C$1369,0)),"",HYPERLINK(INDEX('Compliance Database'!$O$2:$O$1369,MATCH(1290,'Transfer Engine'!$C$2:$C$1369,0)),"Open PDF"))</f>
        <v/>
      </c>
    </row>
    <row r="1300" ht="188" customHeight="1">
      <c r="A1300" s="8">
        <f>IF(ISNA(MATCH(1291,'Transfer Engine'!$C$2:$C$1369,0)),"",INDEX('Compliance Database'!$A$2:$A$1369,MATCH(1291,'Transfer Engine'!$C$2:$C$1369,0)))</f>
        <v/>
      </c>
      <c r="B1300" s="8">
        <f>IF(ISNA(MATCH(1291,'Transfer Engine'!$C$2:$C$1369,0)),"",INDEX('Compliance Database'!$B$2:$B$1369,MATCH(1291,'Transfer Engine'!$C$2:$C$1369,0)))</f>
        <v/>
      </c>
      <c r="C1300" s="8">
        <f>IF(ISNA(MATCH(1291,'Transfer Engine'!$C$2:$C$1369,0)),"",INDEX('Compliance Database'!$C$2:$C$1369,MATCH(1291,'Transfer Engine'!$C$2:$C$1369,0)))</f>
        <v/>
      </c>
      <c r="D1300" s="9">
        <f>IF(ISNA(MATCH(1291,'Transfer Engine'!$C$2:$C$1369,0)),"",INDEX('Compliance Database'!$D$2:$D$1369,MATCH(1291,'Transfer Engine'!$C$2:$C$1369,0)))</f>
        <v/>
      </c>
      <c r="E1300" s="8">
        <f>IF(ISNA(MATCH(1291,'Transfer Engine'!$C$2:$C$1369,0)),"",INDEX('Compliance Database'!$E$2:$E$1369,MATCH(1291,'Transfer Engine'!$C$2:$C$1369,0)))</f>
        <v/>
      </c>
      <c r="F1300" s="8">
        <f>IF(ISNA(MATCH(1291,'Transfer Engine'!$C$2:$C$1369,0)),"",INDEX('Compliance Database'!$F$2:$F$1369,MATCH(1291,'Transfer Engine'!$C$2:$C$1369,0)))</f>
        <v/>
      </c>
      <c r="G1300" s="8">
        <f>IF(ISNA(MATCH(1291,'Transfer Engine'!$C$2:$C$1369,0)),"",INDEX('Compliance Database'!$G$2:$G$1369,MATCH(1291,'Transfer Engine'!$C$2:$C$1369,0)))</f>
        <v/>
      </c>
      <c r="H1300" s="9">
        <f>IF(ISNA(MATCH(1291,'Transfer Engine'!$C$2:$C$1369,0)),"",INDEX('Compliance Database'!$H$2:$H$1369,MATCH(1291,'Transfer Engine'!$C$2:$C$1369,0)))</f>
        <v/>
      </c>
      <c r="I1300" s="9">
        <f>IF(ISNA(MATCH(1291,'Transfer Engine'!$C$2:$C$1369,0)),"",INDEX('Compliance Database'!$I$2:$I$1369,MATCH(1291,'Transfer Engine'!$C$2:$C$1369,0)))</f>
        <v/>
      </c>
      <c r="J1300" s="8">
        <f>IF(ISNA(MATCH(1291,'Transfer Engine'!$C$2:$C$1369,0)),"",INDEX('Compliance Database'!$J$2:$J$1369,MATCH(1291,'Transfer Engine'!$C$2:$C$1369,0)))</f>
        <v/>
      </c>
      <c r="K1300" s="9">
        <f>IF(ISNA(MATCH(1291,'Transfer Engine'!$C$2:$C$1369,0)),"",INDEX('Compliance Database'!$K$2:$K$1369,MATCH(1291,'Transfer Engine'!$C$2:$C$1369,0)))</f>
        <v/>
      </c>
      <c r="L1300" s="9">
        <f>IF(ISNA(MATCH(1291,'Transfer Engine'!$C$2:$C$1369,0)),"",INDEX('Compliance Database'!$L$2:$L$1369,MATCH(1291,'Transfer Engine'!$C$2:$C$1369,0)))</f>
        <v/>
      </c>
      <c r="M1300" s="9">
        <f>IF(ISNA(MATCH(1291,'Transfer Engine'!$C$2:$C$1369,0)),"",INDEX('Compliance Database'!$M$2:$M$1369,MATCH(1291,'Transfer Engine'!$C$2:$C$1369,0)))</f>
        <v/>
      </c>
      <c r="N1300" s="9">
        <f>IF(ISNA(MATCH(1291,'Transfer Engine'!$C$2:$C$1369,0)),"",INDEX('Compliance Database'!$N$2:$N$1369,MATCH(1291,'Transfer Engine'!$C$2:$C$1369,0)))</f>
        <v/>
      </c>
      <c r="O1300" s="8">
        <f>IF(ISNA(MATCH(1291,'Transfer Engine'!$C$2:$C$1369,0)),"",HYPERLINK(INDEX('Compliance Database'!$O$2:$O$1369,MATCH(1291,'Transfer Engine'!$C$2:$C$1369,0)),"Open PDF"))</f>
        <v/>
      </c>
    </row>
    <row r="1301" ht="188" customHeight="1">
      <c r="A1301" s="8">
        <f>IF(ISNA(MATCH(1292,'Transfer Engine'!$C$2:$C$1369,0)),"",INDEX('Compliance Database'!$A$2:$A$1369,MATCH(1292,'Transfer Engine'!$C$2:$C$1369,0)))</f>
        <v/>
      </c>
      <c r="B1301" s="8">
        <f>IF(ISNA(MATCH(1292,'Transfer Engine'!$C$2:$C$1369,0)),"",INDEX('Compliance Database'!$B$2:$B$1369,MATCH(1292,'Transfer Engine'!$C$2:$C$1369,0)))</f>
        <v/>
      </c>
      <c r="C1301" s="8">
        <f>IF(ISNA(MATCH(1292,'Transfer Engine'!$C$2:$C$1369,0)),"",INDEX('Compliance Database'!$C$2:$C$1369,MATCH(1292,'Transfer Engine'!$C$2:$C$1369,0)))</f>
        <v/>
      </c>
      <c r="D1301" s="9">
        <f>IF(ISNA(MATCH(1292,'Transfer Engine'!$C$2:$C$1369,0)),"",INDEX('Compliance Database'!$D$2:$D$1369,MATCH(1292,'Transfer Engine'!$C$2:$C$1369,0)))</f>
        <v/>
      </c>
      <c r="E1301" s="8">
        <f>IF(ISNA(MATCH(1292,'Transfer Engine'!$C$2:$C$1369,0)),"",INDEX('Compliance Database'!$E$2:$E$1369,MATCH(1292,'Transfer Engine'!$C$2:$C$1369,0)))</f>
        <v/>
      </c>
      <c r="F1301" s="8">
        <f>IF(ISNA(MATCH(1292,'Transfer Engine'!$C$2:$C$1369,0)),"",INDEX('Compliance Database'!$F$2:$F$1369,MATCH(1292,'Transfer Engine'!$C$2:$C$1369,0)))</f>
        <v/>
      </c>
      <c r="G1301" s="8">
        <f>IF(ISNA(MATCH(1292,'Transfer Engine'!$C$2:$C$1369,0)),"",INDEX('Compliance Database'!$G$2:$G$1369,MATCH(1292,'Transfer Engine'!$C$2:$C$1369,0)))</f>
        <v/>
      </c>
      <c r="H1301" s="9">
        <f>IF(ISNA(MATCH(1292,'Transfer Engine'!$C$2:$C$1369,0)),"",INDEX('Compliance Database'!$H$2:$H$1369,MATCH(1292,'Transfer Engine'!$C$2:$C$1369,0)))</f>
        <v/>
      </c>
      <c r="I1301" s="9">
        <f>IF(ISNA(MATCH(1292,'Transfer Engine'!$C$2:$C$1369,0)),"",INDEX('Compliance Database'!$I$2:$I$1369,MATCH(1292,'Transfer Engine'!$C$2:$C$1369,0)))</f>
        <v/>
      </c>
      <c r="J1301" s="8">
        <f>IF(ISNA(MATCH(1292,'Transfer Engine'!$C$2:$C$1369,0)),"",INDEX('Compliance Database'!$J$2:$J$1369,MATCH(1292,'Transfer Engine'!$C$2:$C$1369,0)))</f>
        <v/>
      </c>
      <c r="K1301" s="9">
        <f>IF(ISNA(MATCH(1292,'Transfer Engine'!$C$2:$C$1369,0)),"",INDEX('Compliance Database'!$K$2:$K$1369,MATCH(1292,'Transfer Engine'!$C$2:$C$1369,0)))</f>
        <v/>
      </c>
      <c r="L1301" s="9">
        <f>IF(ISNA(MATCH(1292,'Transfer Engine'!$C$2:$C$1369,0)),"",INDEX('Compliance Database'!$L$2:$L$1369,MATCH(1292,'Transfer Engine'!$C$2:$C$1369,0)))</f>
        <v/>
      </c>
      <c r="M1301" s="9">
        <f>IF(ISNA(MATCH(1292,'Transfer Engine'!$C$2:$C$1369,0)),"",INDEX('Compliance Database'!$M$2:$M$1369,MATCH(1292,'Transfer Engine'!$C$2:$C$1369,0)))</f>
        <v/>
      </c>
      <c r="N1301" s="9">
        <f>IF(ISNA(MATCH(1292,'Transfer Engine'!$C$2:$C$1369,0)),"",INDEX('Compliance Database'!$N$2:$N$1369,MATCH(1292,'Transfer Engine'!$C$2:$C$1369,0)))</f>
        <v/>
      </c>
      <c r="O1301" s="8">
        <f>IF(ISNA(MATCH(1292,'Transfer Engine'!$C$2:$C$1369,0)),"",HYPERLINK(INDEX('Compliance Database'!$O$2:$O$1369,MATCH(1292,'Transfer Engine'!$C$2:$C$1369,0)),"Open PDF"))</f>
        <v/>
      </c>
    </row>
    <row r="1302" ht="188" customHeight="1">
      <c r="A1302" s="8">
        <f>IF(ISNA(MATCH(1293,'Transfer Engine'!$C$2:$C$1369,0)),"",INDEX('Compliance Database'!$A$2:$A$1369,MATCH(1293,'Transfer Engine'!$C$2:$C$1369,0)))</f>
        <v/>
      </c>
      <c r="B1302" s="8">
        <f>IF(ISNA(MATCH(1293,'Transfer Engine'!$C$2:$C$1369,0)),"",INDEX('Compliance Database'!$B$2:$B$1369,MATCH(1293,'Transfer Engine'!$C$2:$C$1369,0)))</f>
        <v/>
      </c>
      <c r="C1302" s="8">
        <f>IF(ISNA(MATCH(1293,'Transfer Engine'!$C$2:$C$1369,0)),"",INDEX('Compliance Database'!$C$2:$C$1369,MATCH(1293,'Transfer Engine'!$C$2:$C$1369,0)))</f>
        <v/>
      </c>
      <c r="D1302" s="9">
        <f>IF(ISNA(MATCH(1293,'Transfer Engine'!$C$2:$C$1369,0)),"",INDEX('Compliance Database'!$D$2:$D$1369,MATCH(1293,'Transfer Engine'!$C$2:$C$1369,0)))</f>
        <v/>
      </c>
      <c r="E1302" s="8">
        <f>IF(ISNA(MATCH(1293,'Transfer Engine'!$C$2:$C$1369,0)),"",INDEX('Compliance Database'!$E$2:$E$1369,MATCH(1293,'Transfer Engine'!$C$2:$C$1369,0)))</f>
        <v/>
      </c>
      <c r="F1302" s="8">
        <f>IF(ISNA(MATCH(1293,'Transfer Engine'!$C$2:$C$1369,0)),"",INDEX('Compliance Database'!$F$2:$F$1369,MATCH(1293,'Transfer Engine'!$C$2:$C$1369,0)))</f>
        <v/>
      </c>
      <c r="G1302" s="8">
        <f>IF(ISNA(MATCH(1293,'Transfer Engine'!$C$2:$C$1369,0)),"",INDEX('Compliance Database'!$G$2:$G$1369,MATCH(1293,'Transfer Engine'!$C$2:$C$1369,0)))</f>
        <v/>
      </c>
      <c r="H1302" s="9">
        <f>IF(ISNA(MATCH(1293,'Transfer Engine'!$C$2:$C$1369,0)),"",INDEX('Compliance Database'!$H$2:$H$1369,MATCH(1293,'Transfer Engine'!$C$2:$C$1369,0)))</f>
        <v/>
      </c>
      <c r="I1302" s="9">
        <f>IF(ISNA(MATCH(1293,'Transfer Engine'!$C$2:$C$1369,0)),"",INDEX('Compliance Database'!$I$2:$I$1369,MATCH(1293,'Transfer Engine'!$C$2:$C$1369,0)))</f>
        <v/>
      </c>
      <c r="J1302" s="8">
        <f>IF(ISNA(MATCH(1293,'Transfer Engine'!$C$2:$C$1369,0)),"",INDEX('Compliance Database'!$J$2:$J$1369,MATCH(1293,'Transfer Engine'!$C$2:$C$1369,0)))</f>
        <v/>
      </c>
      <c r="K1302" s="9">
        <f>IF(ISNA(MATCH(1293,'Transfer Engine'!$C$2:$C$1369,0)),"",INDEX('Compliance Database'!$K$2:$K$1369,MATCH(1293,'Transfer Engine'!$C$2:$C$1369,0)))</f>
        <v/>
      </c>
      <c r="L1302" s="9">
        <f>IF(ISNA(MATCH(1293,'Transfer Engine'!$C$2:$C$1369,0)),"",INDEX('Compliance Database'!$L$2:$L$1369,MATCH(1293,'Transfer Engine'!$C$2:$C$1369,0)))</f>
        <v/>
      </c>
      <c r="M1302" s="9">
        <f>IF(ISNA(MATCH(1293,'Transfer Engine'!$C$2:$C$1369,0)),"",INDEX('Compliance Database'!$M$2:$M$1369,MATCH(1293,'Transfer Engine'!$C$2:$C$1369,0)))</f>
        <v/>
      </c>
      <c r="N1302" s="9">
        <f>IF(ISNA(MATCH(1293,'Transfer Engine'!$C$2:$C$1369,0)),"",INDEX('Compliance Database'!$N$2:$N$1369,MATCH(1293,'Transfer Engine'!$C$2:$C$1369,0)))</f>
        <v/>
      </c>
      <c r="O1302" s="8">
        <f>IF(ISNA(MATCH(1293,'Transfer Engine'!$C$2:$C$1369,0)),"",HYPERLINK(INDEX('Compliance Database'!$O$2:$O$1369,MATCH(1293,'Transfer Engine'!$C$2:$C$1369,0)),"Open PDF"))</f>
        <v/>
      </c>
    </row>
    <row r="1303" ht="188" customHeight="1">
      <c r="A1303" s="8">
        <f>IF(ISNA(MATCH(1294,'Transfer Engine'!$C$2:$C$1369,0)),"",INDEX('Compliance Database'!$A$2:$A$1369,MATCH(1294,'Transfer Engine'!$C$2:$C$1369,0)))</f>
        <v/>
      </c>
      <c r="B1303" s="8">
        <f>IF(ISNA(MATCH(1294,'Transfer Engine'!$C$2:$C$1369,0)),"",INDEX('Compliance Database'!$B$2:$B$1369,MATCH(1294,'Transfer Engine'!$C$2:$C$1369,0)))</f>
        <v/>
      </c>
      <c r="C1303" s="8">
        <f>IF(ISNA(MATCH(1294,'Transfer Engine'!$C$2:$C$1369,0)),"",INDEX('Compliance Database'!$C$2:$C$1369,MATCH(1294,'Transfer Engine'!$C$2:$C$1369,0)))</f>
        <v/>
      </c>
      <c r="D1303" s="9">
        <f>IF(ISNA(MATCH(1294,'Transfer Engine'!$C$2:$C$1369,0)),"",INDEX('Compliance Database'!$D$2:$D$1369,MATCH(1294,'Transfer Engine'!$C$2:$C$1369,0)))</f>
        <v/>
      </c>
      <c r="E1303" s="8">
        <f>IF(ISNA(MATCH(1294,'Transfer Engine'!$C$2:$C$1369,0)),"",INDEX('Compliance Database'!$E$2:$E$1369,MATCH(1294,'Transfer Engine'!$C$2:$C$1369,0)))</f>
        <v/>
      </c>
      <c r="F1303" s="8">
        <f>IF(ISNA(MATCH(1294,'Transfer Engine'!$C$2:$C$1369,0)),"",INDEX('Compliance Database'!$F$2:$F$1369,MATCH(1294,'Transfer Engine'!$C$2:$C$1369,0)))</f>
        <v/>
      </c>
      <c r="G1303" s="8">
        <f>IF(ISNA(MATCH(1294,'Transfer Engine'!$C$2:$C$1369,0)),"",INDEX('Compliance Database'!$G$2:$G$1369,MATCH(1294,'Transfer Engine'!$C$2:$C$1369,0)))</f>
        <v/>
      </c>
      <c r="H1303" s="9">
        <f>IF(ISNA(MATCH(1294,'Transfer Engine'!$C$2:$C$1369,0)),"",INDEX('Compliance Database'!$H$2:$H$1369,MATCH(1294,'Transfer Engine'!$C$2:$C$1369,0)))</f>
        <v/>
      </c>
      <c r="I1303" s="9">
        <f>IF(ISNA(MATCH(1294,'Transfer Engine'!$C$2:$C$1369,0)),"",INDEX('Compliance Database'!$I$2:$I$1369,MATCH(1294,'Transfer Engine'!$C$2:$C$1369,0)))</f>
        <v/>
      </c>
      <c r="J1303" s="8">
        <f>IF(ISNA(MATCH(1294,'Transfer Engine'!$C$2:$C$1369,0)),"",INDEX('Compliance Database'!$J$2:$J$1369,MATCH(1294,'Transfer Engine'!$C$2:$C$1369,0)))</f>
        <v/>
      </c>
      <c r="K1303" s="9">
        <f>IF(ISNA(MATCH(1294,'Transfer Engine'!$C$2:$C$1369,0)),"",INDEX('Compliance Database'!$K$2:$K$1369,MATCH(1294,'Transfer Engine'!$C$2:$C$1369,0)))</f>
        <v/>
      </c>
      <c r="L1303" s="9">
        <f>IF(ISNA(MATCH(1294,'Transfer Engine'!$C$2:$C$1369,0)),"",INDEX('Compliance Database'!$L$2:$L$1369,MATCH(1294,'Transfer Engine'!$C$2:$C$1369,0)))</f>
        <v/>
      </c>
      <c r="M1303" s="9">
        <f>IF(ISNA(MATCH(1294,'Transfer Engine'!$C$2:$C$1369,0)),"",INDEX('Compliance Database'!$M$2:$M$1369,MATCH(1294,'Transfer Engine'!$C$2:$C$1369,0)))</f>
        <v/>
      </c>
      <c r="N1303" s="9">
        <f>IF(ISNA(MATCH(1294,'Transfer Engine'!$C$2:$C$1369,0)),"",INDEX('Compliance Database'!$N$2:$N$1369,MATCH(1294,'Transfer Engine'!$C$2:$C$1369,0)))</f>
        <v/>
      </c>
      <c r="O1303" s="8">
        <f>IF(ISNA(MATCH(1294,'Transfer Engine'!$C$2:$C$1369,0)),"",HYPERLINK(INDEX('Compliance Database'!$O$2:$O$1369,MATCH(1294,'Transfer Engine'!$C$2:$C$1369,0)),"Open PDF"))</f>
        <v/>
      </c>
    </row>
    <row r="1304" ht="188" customHeight="1">
      <c r="A1304" s="8">
        <f>IF(ISNA(MATCH(1295,'Transfer Engine'!$C$2:$C$1369,0)),"",INDEX('Compliance Database'!$A$2:$A$1369,MATCH(1295,'Transfer Engine'!$C$2:$C$1369,0)))</f>
        <v/>
      </c>
      <c r="B1304" s="8">
        <f>IF(ISNA(MATCH(1295,'Transfer Engine'!$C$2:$C$1369,0)),"",INDEX('Compliance Database'!$B$2:$B$1369,MATCH(1295,'Transfer Engine'!$C$2:$C$1369,0)))</f>
        <v/>
      </c>
      <c r="C1304" s="8">
        <f>IF(ISNA(MATCH(1295,'Transfer Engine'!$C$2:$C$1369,0)),"",INDEX('Compliance Database'!$C$2:$C$1369,MATCH(1295,'Transfer Engine'!$C$2:$C$1369,0)))</f>
        <v/>
      </c>
      <c r="D1304" s="9">
        <f>IF(ISNA(MATCH(1295,'Transfer Engine'!$C$2:$C$1369,0)),"",INDEX('Compliance Database'!$D$2:$D$1369,MATCH(1295,'Transfer Engine'!$C$2:$C$1369,0)))</f>
        <v/>
      </c>
      <c r="E1304" s="8">
        <f>IF(ISNA(MATCH(1295,'Transfer Engine'!$C$2:$C$1369,0)),"",INDEX('Compliance Database'!$E$2:$E$1369,MATCH(1295,'Transfer Engine'!$C$2:$C$1369,0)))</f>
        <v/>
      </c>
      <c r="F1304" s="8">
        <f>IF(ISNA(MATCH(1295,'Transfer Engine'!$C$2:$C$1369,0)),"",INDEX('Compliance Database'!$F$2:$F$1369,MATCH(1295,'Transfer Engine'!$C$2:$C$1369,0)))</f>
        <v/>
      </c>
      <c r="G1304" s="8">
        <f>IF(ISNA(MATCH(1295,'Transfer Engine'!$C$2:$C$1369,0)),"",INDEX('Compliance Database'!$G$2:$G$1369,MATCH(1295,'Transfer Engine'!$C$2:$C$1369,0)))</f>
        <v/>
      </c>
      <c r="H1304" s="9">
        <f>IF(ISNA(MATCH(1295,'Transfer Engine'!$C$2:$C$1369,0)),"",INDEX('Compliance Database'!$H$2:$H$1369,MATCH(1295,'Transfer Engine'!$C$2:$C$1369,0)))</f>
        <v/>
      </c>
      <c r="I1304" s="9">
        <f>IF(ISNA(MATCH(1295,'Transfer Engine'!$C$2:$C$1369,0)),"",INDEX('Compliance Database'!$I$2:$I$1369,MATCH(1295,'Transfer Engine'!$C$2:$C$1369,0)))</f>
        <v/>
      </c>
      <c r="J1304" s="8">
        <f>IF(ISNA(MATCH(1295,'Transfer Engine'!$C$2:$C$1369,0)),"",INDEX('Compliance Database'!$J$2:$J$1369,MATCH(1295,'Transfer Engine'!$C$2:$C$1369,0)))</f>
        <v/>
      </c>
      <c r="K1304" s="9">
        <f>IF(ISNA(MATCH(1295,'Transfer Engine'!$C$2:$C$1369,0)),"",INDEX('Compliance Database'!$K$2:$K$1369,MATCH(1295,'Transfer Engine'!$C$2:$C$1369,0)))</f>
        <v/>
      </c>
      <c r="L1304" s="9">
        <f>IF(ISNA(MATCH(1295,'Transfer Engine'!$C$2:$C$1369,0)),"",INDEX('Compliance Database'!$L$2:$L$1369,MATCH(1295,'Transfer Engine'!$C$2:$C$1369,0)))</f>
        <v/>
      </c>
      <c r="M1304" s="9">
        <f>IF(ISNA(MATCH(1295,'Transfer Engine'!$C$2:$C$1369,0)),"",INDEX('Compliance Database'!$M$2:$M$1369,MATCH(1295,'Transfer Engine'!$C$2:$C$1369,0)))</f>
        <v/>
      </c>
      <c r="N1304" s="9">
        <f>IF(ISNA(MATCH(1295,'Transfer Engine'!$C$2:$C$1369,0)),"",INDEX('Compliance Database'!$N$2:$N$1369,MATCH(1295,'Transfer Engine'!$C$2:$C$1369,0)))</f>
        <v/>
      </c>
      <c r="O1304" s="8">
        <f>IF(ISNA(MATCH(1295,'Transfer Engine'!$C$2:$C$1369,0)),"",HYPERLINK(INDEX('Compliance Database'!$O$2:$O$1369,MATCH(1295,'Transfer Engine'!$C$2:$C$1369,0)),"Open PDF"))</f>
        <v/>
      </c>
    </row>
    <row r="1305" ht="188" customHeight="1">
      <c r="A1305" s="8">
        <f>IF(ISNA(MATCH(1296,'Transfer Engine'!$C$2:$C$1369,0)),"",INDEX('Compliance Database'!$A$2:$A$1369,MATCH(1296,'Transfer Engine'!$C$2:$C$1369,0)))</f>
        <v/>
      </c>
      <c r="B1305" s="8">
        <f>IF(ISNA(MATCH(1296,'Transfer Engine'!$C$2:$C$1369,0)),"",INDEX('Compliance Database'!$B$2:$B$1369,MATCH(1296,'Transfer Engine'!$C$2:$C$1369,0)))</f>
        <v/>
      </c>
      <c r="C1305" s="8">
        <f>IF(ISNA(MATCH(1296,'Transfer Engine'!$C$2:$C$1369,0)),"",INDEX('Compliance Database'!$C$2:$C$1369,MATCH(1296,'Transfer Engine'!$C$2:$C$1369,0)))</f>
        <v/>
      </c>
      <c r="D1305" s="9">
        <f>IF(ISNA(MATCH(1296,'Transfer Engine'!$C$2:$C$1369,0)),"",INDEX('Compliance Database'!$D$2:$D$1369,MATCH(1296,'Transfer Engine'!$C$2:$C$1369,0)))</f>
        <v/>
      </c>
      <c r="E1305" s="8">
        <f>IF(ISNA(MATCH(1296,'Transfer Engine'!$C$2:$C$1369,0)),"",INDEX('Compliance Database'!$E$2:$E$1369,MATCH(1296,'Transfer Engine'!$C$2:$C$1369,0)))</f>
        <v/>
      </c>
      <c r="F1305" s="8">
        <f>IF(ISNA(MATCH(1296,'Transfer Engine'!$C$2:$C$1369,0)),"",INDEX('Compliance Database'!$F$2:$F$1369,MATCH(1296,'Transfer Engine'!$C$2:$C$1369,0)))</f>
        <v/>
      </c>
      <c r="G1305" s="8">
        <f>IF(ISNA(MATCH(1296,'Transfer Engine'!$C$2:$C$1369,0)),"",INDEX('Compliance Database'!$G$2:$G$1369,MATCH(1296,'Transfer Engine'!$C$2:$C$1369,0)))</f>
        <v/>
      </c>
      <c r="H1305" s="9">
        <f>IF(ISNA(MATCH(1296,'Transfer Engine'!$C$2:$C$1369,0)),"",INDEX('Compliance Database'!$H$2:$H$1369,MATCH(1296,'Transfer Engine'!$C$2:$C$1369,0)))</f>
        <v/>
      </c>
      <c r="I1305" s="9">
        <f>IF(ISNA(MATCH(1296,'Transfer Engine'!$C$2:$C$1369,0)),"",INDEX('Compliance Database'!$I$2:$I$1369,MATCH(1296,'Transfer Engine'!$C$2:$C$1369,0)))</f>
        <v/>
      </c>
      <c r="J1305" s="8">
        <f>IF(ISNA(MATCH(1296,'Transfer Engine'!$C$2:$C$1369,0)),"",INDEX('Compliance Database'!$J$2:$J$1369,MATCH(1296,'Transfer Engine'!$C$2:$C$1369,0)))</f>
        <v/>
      </c>
      <c r="K1305" s="9">
        <f>IF(ISNA(MATCH(1296,'Transfer Engine'!$C$2:$C$1369,0)),"",INDEX('Compliance Database'!$K$2:$K$1369,MATCH(1296,'Transfer Engine'!$C$2:$C$1369,0)))</f>
        <v/>
      </c>
      <c r="L1305" s="9">
        <f>IF(ISNA(MATCH(1296,'Transfer Engine'!$C$2:$C$1369,0)),"",INDEX('Compliance Database'!$L$2:$L$1369,MATCH(1296,'Transfer Engine'!$C$2:$C$1369,0)))</f>
        <v/>
      </c>
      <c r="M1305" s="9">
        <f>IF(ISNA(MATCH(1296,'Transfer Engine'!$C$2:$C$1369,0)),"",INDEX('Compliance Database'!$M$2:$M$1369,MATCH(1296,'Transfer Engine'!$C$2:$C$1369,0)))</f>
        <v/>
      </c>
      <c r="N1305" s="9">
        <f>IF(ISNA(MATCH(1296,'Transfer Engine'!$C$2:$C$1369,0)),"",INDEX('Compliance Database'!$N$2:$N$1369,MATCH(1296,'Transfer Engine'!$C$2:$C$1369,0)))</f>
        <v/>
      </c>
      <c r="O1305" s="8">
        <f>IF(ISNA(MATCH(1296,'Transfer Engine'!$C$2:$C$1369,0)),"",HYPERLINK(INDEX('Compliance Database'!$O$2:$O$1369,MATCH(1296,'Transfer Engine'!$C$2:$C$1369,0)),"Open PDF"))</f>
        <v/>
      </c>
    </row>
    <row r="1306" ht="188" customHeight="1">
      <c r="A1306" s="8">
        <f>IF(ISNA(MATCH(1297,'Transfer Engine'!$C$2:$C$1369,0)),"",INDEX('Compliance Database'!$A$2:$A$1369,MATCH(1297,'Transfer Engine'!$C$2:$C$1369,0)))</f>
        <v/>
      </c>
      <c r="B1306" s="8">
        <f>IF(ISNA(MATCH(1297,'Transfer Engine'!$C$2:$C$1369,0)),"",INDEX('Compliance Database'!$B$2:$B$1369,MATCH(1297,'Transfer Engine'!$C$2:$C$1369,0)))</f>
        <v/>
      </c>
      <c r="C1306" s="8">
        <f>IF(ISNA(MATCH(1297,'Transfer Engine'!$C$2:$C$1369,0)),"",INDEX('Compliance Database'!$C$2:$C$1369,MATCH(1297,'Transfer Engine'!$C$2:$C$1369,0)))</f>
        <v/>
      </c>
      <c r="D1306" s="9">
        <f>IF(ISNA(MATCH(1297,'Transfer Engine'!$C$2:$C$1369,0)),"",INDEX('Compliance Database'!$D$2:$D$1369,MATCH(1297,'Transfer Engine'!$C$2:$C$1369,0)))</f>
        <v/>
      </c>
      <c r="E1306" s="8">
        <f>IF(ISNA(MATCH(1297,'Transfer Engine'!$C$2:$C$1369,0)),"",INDEX('Compliance Database'!$E$2:$E$1369,MATCH(1297,'Transfer Engine'!$C$2:$C$1369,0)))</f>
        <v/>
      </c>
      <c r="F1306" s="8">
        <f>IF(ISNA(MATCH(1297,'Transfer Engine'!$C$2:$C$1369,0)),"",INDEX('Compliance Database'!$F$2:$F$1369,MATCH(1297,'Transfer Engine'!$C$2:$C$1369,0)))</f>
        <v/>
      </c>
      <c r="G1306" s="8">
        <f>IF(ISNA(MATCH(1297,'Transfer Engine'!$C$2:$C$1369,0)),"",INDEX('Compliance Database'!$G$2:$G$1369,MATCH(1297,'Transfer Engine'!$C$2:$C$1369,0)))</f>
        <v/>
      </c>
      <c r="H1306" s="9">
        <f>IF(ISNA(MATCH(1297,'Transfer Engine'!$C$2:$C$1369,0)),"",INDEX('Compliance Database'!$H$2:$H$1369,MATCH(1297,'Transfer Engine'!$C$2:$C$1369,0)))</f>
        <v/>
      </c>
      <c r="I1306" s="9">
        <f>IF(ISNA(MATCH(1297,'Transfer Engine'!$C$2:$C$1369,0)),"",INDEX('Compliance Database'!$I$2:$I$1369,MATCH(1297,'Transfer Engine'!$C$2:$C$1369,0)))</f>
        <v/>
      </c>
      <c r="J1306" s="8">
        <f>IF(ISNA(MATCH(1297,'Transfer Engine'!$C$2:$C$1369,0)),"",INDEX('Compliance Database'!$J$2:$J$1369,MATCH(1297,'Transfer Engine'!$C$2:$C$1369,0)))</f>
        <v/>
      </c>
      <c r="K1306" s="9">
        <f>IF(ISNA(MATCH(1297,'Transfer Engine'!$C$2:$C$1369,0)),"",INDEX('Compliance Database'!$K$2:$K$1369,MATCH(1297,'Transfer Engine'!$C$2:$C$1369,0)))</f>
        <v/>
      </c>
      <c r="L1306" s="9">
        <f>IF(ISNA(MATCH(1297,'Transfer Engine'!$C$2:$C$1369,0)),"",INDEX('Compliance Database'!$L$2:$L$1369,MATCH(1297,'Transfer Engine'!$C$2:$C$1369,0)))</f>
        <v/>
      </c>
      <c r="M1306" s="9">
        <f>IF(ISNA(MATCH(1297,'Transfer Engine'!$C$2:$C$1369,0)),"",INDEX('Compliance Database'!$M$2:$M$1369,MATCH(1297,'Transfer Engine'!$C$2:$C$1369,0)))</f>
        <v/>
      </c>
      <c r="N1306" s="9">
        <f>IF(ISNA(MATCH(1297,'Transfer Engine'!$C$2:$C$1369,0)),"",INDEX('Compliance Database'!$N$2:$N$1369,MATCH(1297,'Transfer Engine'!$C$2:$C$1369,0)))</f>
        <v/>
      </c>
      <c r="O1306" s="8">
        <f>IF(ISNA(MATCH(1297,'Transfer Engine'!$C$2:$C$1369,0)),"",HYPERLINK(INDEX('Compliance Database'!$O$2:$O$1369,MATCH(1297,'Transfer Engine'!$C$2:$C$1369,0)),"Open PDF"))</f>
        <v/>
      </c>
    </row>
    <row r="1307" ht="188" customHeight="1">
      <c r="A1307" s="8">
        <f>IF(ISNA(MATCH(1298,'Transfer Engine'!$C$2:$C$1369,0)),"",INDEX('Compliance Database'!$A$2:$A$1369,MATCH(1298,'Transfer Engine'!$C$2:$C$1369,0)))</f>
        <v/>
      </c>
      <c r="B1307" s="8">
        <f>IF(ISNA(MATCH(1298,'Transfer Engine'!$C$2:$C$1369,0)),"",INDEX('Compliance Database'!$B$2:$B$1369,MATCH(1298,'Transfer Engine'!$C$2:$C$1369,0)))</f>
        <v/>
      </c>
      <c r="C1307" s="8">
        <f>IF(ISNA(MATCH(1298,'Transfer Engine'!$C$2:$C$1369,0)),"",INDEX('Compliance Database'!$C$2:$C$1369,MATCH(1298,'Transfer Engine'!$C$2:$C$1369,0)))</f>
        <v/>
      </c>
      <c r="D1307" s="9">
        <f>IF(ISNA(MATCH(1298,'Transfer Engine'!$C$2:$C$1369,0)),"",INDEX('Compliance Database'!$D$2:$D$1369,MATCH(1298,'Transfer Engine'!$C$2:$C$1369,0)))</f>
        <v/>
      </c>
      <c r="E1307" s="8">
        <f>IF(ISNA(MATCH(1298,'Transfer Engine'!$C$2:$C$1369,0)),"",INDEX('Compliance Database'!$E$2:$E$1369,MATCH(1298,'Transfer Engine'!$C$2:$C$1369,0)))</f>
        <v/>
      </c>
      <c r="F1307" s="8">
        <f>IF(ISNA(MATCH(1298,'Transfer Engine'!$C$2:$C$1369,0)),"",INDEX('Compliance Database'!$F$2:$F$1369,MATCH(1298,'Transfer Engine'!$C$2:$C$1369,0)))</f>
        <v/>
      </c>
      <c r="G1307" s="8">
        <f>IF(ISNA(MATCH(1298,'Transfer Engine'!$C$2:$C$1369,0)),"",INDEX('Compliance Database'!$G$2:$G$1369,MATCH(1298,'Transfer Engine'!$C$2:$C$1369,0)))</f>
        <v/>
      </c>
      <c r="H1307" s="9">
        <f>IF(ISNA(MATCH(1298,'Transfer Engine'!$C$2:$C$1369,0)),"",INDEX('Compliance Database'!$H$2:$H$1369,MATCH(1298,'Transfer Engine'!$C$2:$C$1369,0)))</f>
        <v/>
      </c>
      <c r="I1307" s="9">
        <f>IF(ISNA(MATCH(1298,'Transfer Engine'!$C$2:$C$1369,0)),"",INDEX('Compliance Database'!$I$2:$I$1369,MATCH(1298,'Transfer Engine'!$C$2:$C$1369,0)))</f>
        <v/>
      </c>
      <c r="J1307" s="8">
        <f>IF(ISNA(MATCH(1298,'Transfer Engine'!$C$2:$C$1369,0)),"",INDEX('Compliance Database'!$J$2:$J$1369,MATCH(1298,'Transfer Engine'!$C$2:$C$1369,0)))</f>
        <v/>
      </c>
      <c r="K1307" s="9">
        <f>IF(ISNA(MATCH(1298,'Transfer Engine'!$C$2:$C$1369,0)),"",INDEX('Compliance Database'!$K$2:$K$1369,MATCH(1298,'Transfer Engine'!$C$2:$C$1369,0)))</f>
        <v/>
      </c>
      <c r="L1307" s="9">
        <f>IF(ISNA(MATCH(1298,'Transfer Engine'!$C$2:$C$1369,0)),"",INDEX('Compliance Database'!$L$2:$L$1369,MATCH(1298,'Transfer Engine'!$C$2:$C$1369,0)))</f>
        <v/>
      </c>
      <c r="M1307" s="9">
        <f>IF(ISNA(MATCH(1298,'Transfer Engine'!$C$2:$C$1369,0)),"",INDEX('Compliance Database'!$M$2:$M$1369,MATCH(1298,'Transfer Engine'!$C$2:$C$1369,0)))</f>
        <v/>
      </c>
      <c r="N1307" s="9">
        <f>IF(ISNA(MATCH(1298,'Transfer Engine'!$C$2:$C$1369,0)),"",INDEX('Compliance Database'!$N$2:$N$1369,MATCH(1298,'Transfer Engine'!$C$2:$C$1369,0)))</f>
        <v/>
      </c>
      <c r="O1307" s="8">
        <f>IF(ISNA(MATCH(1298,'Transfer Engine'!$C$2:$C$1369,0)),"",HYPERLINK(INDEX('Compliance Database'!$O$2:$O$1369,MATCH(1298,'Transfer Engine'!$C$2:$C$1369,0)),"Open PDF"))</f>
        <v/>
      </c>
    </row>
    <row r="1308" ht="188" customHeight="1">
      <c r="A1308" s="8">
        <f>IF(ISNA(MATCH(1299,'Transfer Engine'!$C$2:$C$1369,0)),"",INDEX('Compliance Database'!$A$2:$A$1369,MATCH(1299,'Transfer Engine'!$C$2:$C$1369,0)))</f>
        <v/>
      </c>
      <c r="B1308" s="8">
        <f>IF(ISNA(MATCH(1299,'Transfer Engine'!$C$2:$C$1369,0)),"",INDEX('Compliance Database'!$B$2:$B$1369,MATCH(1299,'Transfer Engine'!$C$2:$C$1369,0)))</f>
        <v/>
      </c>
      <c r="C1308" s="8">
        <f>IF(ISNA(MATCH(1299,'Transfer Engine'!$C$2:$C$1369,0)),"",INDEX('Compliance Database'!$C$2:$C$1369,MATCH(1299,'Transfer Engine'!$C$2:$C$1369,0)))</f>
        <v/>
      </c>
      <c r="D1308" s="9">
        <f>IF(ISNA(MATCH(1299,'Transfer Engine'!$C$2:$C$1369,0)),"",INDEX('Compliance Database'!$D$2:$D$1369,MATCH(1299,'Transfer Engine'!$C$2:$C$1369,0)))</f>
        <v/>
      </c>
      <c r="E1308" s="8">
        <f>IF(ISNA(MATCH(1299,'Transfer Engine'!$C$2:$C$1369,0)),"",INDEX('Compliance Database'!$E$2:$E$1369,MATCH(1299,'Transfer Engine'!$C$2:$C$1369,0)))</f>
        <v/>
      </c>
      <c r="F1308" s="8">
        <f>IF(ISNA(MATCH(1299,'Transfer Engine'!$C$2:$C$1369,0)),"",INDEX('Compliance Database'!$F$2:$F$1369,MATCH(1299,'Transfer Engine'!$C$2:$C$1369,0)))</f>
        <v/>
      </c>
      <c r="G1308" s="8">
        <f>IF(ISNA(MATCH(1299,'Transfer Engine'!$C$2:$C$1369,0)),"",INDEX('Compliance Database'!$G$2:$G$1369,MATCH(1299,'Transfer Engine'!$C$2:$C$1369,0)))</f>
        <v/>
      </c>
      <c r="H1308" s="9">
        <f>IF(ISNA(MATCH(1299,'Transfer Engine'!$C$2:$C$1369,0)),"",INDEX('Compliance Database'!$H$2:$H$1369,MATCH(1299,'Transfer Engine'!$C$2:$C$1369,0)))</f>
        <v/>
      </c>
      <c r="I1308" s="9">
        <f>IF(ISNA(MATCH(1299,'Transfer Engine'!$C$2:$C$1369,0)),"",INDEX('Compliance Database'!$I$2:$I$1369,MATCH(1299,'Transfer Engine'!$C$2:$C$1369,0)))</f>
        <v/>
      </c>
      <c r="J1308" s="8">
        <f>IF(ISNA(MATCH(1299,'Transfer Engine'!$C$2:$C$1369,0)),"",INDEX('Compliance Database'!$J$2:$J$1369,MATCH(1299,'Transfer Engine'!$C$2:$C$1369,0)))</f>
        <v/>
      </c>
      <c r="K1308" s="9">
        <f>IF(ISNA(MATCH(1299,'Transfer Engine'!$C$2:$C$1369,0)),"",INDEX('Compliance Database'!$K$2:$K$1369,MATCH(1299,'Transfer Engine'!$C$2:$C$1369,0)))</f>
        <v/>
      </c>
      <c r="L1308" s="9">
        <f>IF(ISNA(MATCH(1299,'Transfer Engine'!$C$2:$C$1369,0)),"",INDEX('Compliance Database'!$L$2:$L$1369,MATCH(1299,'Transfer Engine'!$C$2:$C$1369,0)))</f>
        <v/>
      </c>
      <c r="M1308" s="9">
        <f>IF(ISNA(MATCH(1299,'Transfer Engine'!$C$2:$C$1369,0)),"",INDEX('Compliance Database'!$M$2:$M$1369,MATCH(1299,'Transfer Engine'!$C$2:$C$1369,0)))</f>
        <v/>
      </c>
      <c r="N1308" s="9">
        <f>IF(ISNA(MATCH(1299,'Transfer Engine'!$C$2:$C$1369,0)),"",INDEX('Compliance Database'!$N$2:$N$1369,MATCH(1299,'Transfer Engine'!$C$2:$C$1369,0)))</f>
        <v/>
      </c>
      <c r="O1308" s="8">
        <f>IF(ISNA(MATCH(1299,'Transfer Engine'!$C$2:$C$1369,0)),"",HYPERLINK(INDEX('Compliance Database'!$O$2:$O$1369,MATCH(1299,'Transfer Engine'!$C$2:$C$1369,0)),"Open PDF"))</f>
        <v/>
      </c>
    </row>
    <row r="1309" ht="188" customHeight="1">
      <c r="A1309" s="8">
        <f>IF(ISNA(MATCH(1300,'Transfer Engine'!$C$2:$C$1369,0)),"",INDEX('Compliance Database'!$A$2:$A$1369,MATCH(1300,'Transfer Engine'!$C$2:$C$1369,0)))</f>
        <v/>
      </c>
      <c r="B1309" s="8">
        <f>IF(ISNA(MATCH(1300,'Transfer Engine'!$C$2:$C$1369,0)),"",INDEX('Compliance Database'!$B$2:$B$1369,MATCH(1300,'Transfer Engine'!$C$2:$C$1369,0)))</f>
        <v/>
      </c>
      <c r="C1309" s="8">
        <f>IF(ISNA(MATCH(1300,'Transfer Engine'!$C$2:$C$1369,0)),"",INDEX('Compliance Database'!$C$2:$C$1369,MATCH(1300,'Transfer Engine'!$C$2:$C$1369,0)))</f>
        <v/>
      </c>
      <c r="D1309" s="9">
        <f>IF(ISNA(MATCH(1300,'Transfer Engine'!$C$2:$C$1369,0)),"",INDEX('Compliance Database'!$D$2:$D$1369,MATCH(1300,'Transfer Engine'!$C$2:$C$1369,0)))</f>
        <v/>
      </c>
      <c r="E1309" s="8">
        <f>IF(ISNA(MATCH(1300,'Transfer Engine'!$C$2:$C$1369,0)),"",INDEX('Compliance Database'!$E$2:$E$1369,MATCH(1300,'Transfer Engine'!$C$2:$C$1369,0)))</f>
        <v/>
      </c>
      <c r="F1309" s="8">
        <f>IF(ISNA(MATCH(1300,'Transfer Engine'!$C$2:$C$1369,0)),"",INDEX('Compliance Database'!$F$2:$F$1369,MATCH(1300,'Transfer Engine'!$C$2:$C$1369,0)))</f>
        <v/>
      </c>
      <c r="G1309" s="8">
        <f>IF(ISNA(MATCH(1300,'Transfer Engine'!$C$2:$C$1369,0)),"",INDEX('Compliance Database'!$G$2:$G$1369,MATCH(1300,'Transfer Engine'!$C$2:$C$1369,0)))</f>
        <v/>
      </c>
      <c r="H1309" s="9">
        <f>IF(ISNA(MATCH(1300,'Transfer Engine'!$C$2:$C$1369,0)),"",INDEX('Compliance Database'!$H$2:$H$1369,MATCH(1300,'Transfer Engine'!$C$2:$C$1369,0)))</f>
        <v/>
      </c>
      <c r="I1309" s="9">
        <f>IF(ISNA(MATCH(1300,'Transfer Engine'!$C$2:$C$1369,0)),"",INDEX('Compliance Database'!$I$2:$I$1369,MATCH(1300,'Transfer Engine'!$C$2:$C$1369,0)))</f>
        <v/>
      </c>
      <c r="J1309" s="8">
        <f>IF(ISNA(MATCH(1300,'Transfer Engine'!$C$2:$C$1369,0)),"",INDEX('Compliance Database'!$J$2:$J$1369,MATCH(1300,'Transfer Engine'!$C$2:$C$1369,0)))</f>
        <v/>
      </c>
      <c r="K1309" s="9">
        <f>IF(ISNA(MATCH(1300,'Transfer Engine'!$C$2:$C$1369,0)),"",INDEX('Compliance Database'!$K$2:$K$1369,MATCH(1300,'Transfer Engine'!$C$2:$C$1369,0)))</f>
        <v/>
      </c>
      <c r="L1309" s="9">
        <f>IF(ISNA(MATCH(1300,'Transfer Engine'!$C$2:$C$1369,0)),"",INDEX('Compliance Database'!$L$2:$L$1369,MATCH(1300,'Transfer Engine'!$C$2:$C$1369,0)))</f>
        <v/>
      </c>
      <c r="M1309" s="9">
        <f>IF(ISNA(MATCH(1300,'Transfer Engine'!$C$2:$C$1369,0)),"",INDEX('Compliance Database'!$M$2:$M$1369,MATCH(1300,'Transfer Engine'!$C$2:$C$1369,0)))</f>
        <v/>
      </c>
      <c r="N1309" s="9">
        <f>IF(ISNA(MATCH(1300,'Transfer Engine'!$C$2:$C$1369,0)),"",INDEX('Compliance Database'!$N$2:$N$1369,MATCH(1300,'Transfer Engine'!$C$2:$C$1369,0)))</f>
        <v/>
      </c>
      <c r="O1309" s="8">
        <f>IF(ISNA(MATCH(1300,'Transfer Engine'!$C$2:$C$1369,0)),"",HYPERLINK(INDEX('Compliance Database'!$O$2:$O$1369,MATCH(1300,'Transfer Engine'!$C$2:$C$1369,0)),"Open PDF"))</f>
        <v/>
      </c>
    </row>
    <row r="1310" ht="188" customHeight="1">
      <c r="A1310" s="8">
        <f>IF(ISNA(MATCH(1301,'Transfer Engine'!$C$2:$C$1369,0)),"",INDEX('Compliance Database'!$A$2:$A$1369,MATCH(1301,'Transfer Engine'!$C$2:$C$1369,0)))</f>
        <v/>
      </c>
      <c r="B1310" s="8">
        <f>IF(ISNA(MATCH(1301,'Transfer Engine'!$C$2:$C$1369,0)),"",INDEX('Compliance Database'!$B$2:$B$1369,MATCH(1301,'Transfer Engine'!$C$2:$C$1369,0)))</f>
        <v/>
      </c>
      <c r="C1310" s="8">
        <f>IF(ISNA(MATCH(1301,'Transfer Engine'!$C$2:$C$1369,0)),"",INDEX('Compliance Database'!$C$2:$C$1369,MATCH(1301,'Transfer Engine'!$C$2:$C$1369,0)))</f>
        <v/>
      </c>
      <c r="D1310" s="9">
        <f>IF(ISNA(MATCH(1301,'Transfer Engine'!$C$2:$C$1369,0)),"",INDEX('Compliance Database'!$D$2:$D$1369,MATCH(1301,'Transfer Engine'!$C$2:$C$1369,0)))</f>
        <v/>
      </c>
      <c r="E1310" s="8">
        <f>IF(ISNA(MATCH(1301,'Transfer Engine'!$C$2:$C$1369,0)),"",INDEX('Compliance Database'!$E$2:$E$1369,MATCH(1301,'Transfer Engine'!$C$2:$C$1369,0)))</f>
        <v/>
      </c>
      <c r="F1310" s="8">
        <f>IF(ISNA(MATCH(1301,'Transfer Engine'!$C$2:$C$1369,0)),"",INDEX('Compliance Database'!$F$2:$F$1369,MATCH(1301,'Transfer Engine'!$C$2:$C$1369,0)))</f>
        <v/>
      </c>
      <c r="G1310" s="8">
        <f>IF(ISNA(MATCH(1301,'Transfer Engine'!$C$2:$C$1369,0)),"",INDEX('Compliance Database'!$G$2:$G$1369,MATCH(1301,'Transfer Engine'!$C$2:$C$1369,0)))</f>
        <v/>
      </c>
      <c r="H1310" s="9">
        <f>IF(ISNA(MATCH(1301,'Transfer Engine'!$C$2:$C$1369,0)),"",INDEX('Compliance Database'!$H$2:$H$1369,MATCH(1301,'Transfer Engine'!$C$2:$C$1369,0)))</f>
        <v/>
      </c>
      <c r="I1310" s="9">
        <f>IF(ISNA(MATCH(1301,'Transfer Engine'!$C$2:$C$1369,0)),"",INDEX('Compliance Database'!$I$2:$I$1369,MATCH(1301,'Transfer Engine'!$C$2:$C$1369,0)))</f>
        <v/>
      </c>
      <c r="J1310" s="8">
        <f>IF(ISNA(MATCH(1301,'Transfer Engine'!$C$2:$C$1369,0)),"",INDEX('Compliance Database'!$J$2:$J$1369,MATCH(1301,'Transfer Engine'!$C$2:$C$1369,0)))</f>
        <v/>
      </c>
      <c r="K1310" s="9">
        <f>IF(ISNA(MATCH(1301,'Transfer Engine'!$C$2:$C$1369,0)),"",INDEX('Compliance Database'!$K$2:$K$1369,MATCH(1301,'Transfer Engine'!$C$2:$C$1369,0)))</f>
        <v/>
      </c>
      <c r="L1310" s="9">
        <f>IF(ISNA(MATCH(1301,'Transfer Engine'!$C$2:$C$1369,0)),"",INDEX('Compliance Database'!$L$2:$L$1369,MATCH(1301,'Transfer Engine'!$C$2:$C$1369,0)))</f>
        <v/>
      </c>
      <c r="M1310" s="9">
        <f>IF(ISNA(MATCH(1301,'Transfer Engine'!$C$2:$C$1369,0)),"",INDEX('Compliance Database'!$M$2:$M$1369,MATCH(1301,'Transfer Engine'!$C$2:$C$1369,0)))</f>
        <v/>
      </c>
      <c r="N1310" s="9">
        <f>IF(ISNA(MATCH(1301,'Transfer Engine'!$C$2:$C$1369,0)),"",INDEX('Compliance Database'!$N$2:$N$1369,MATCH(1301,'Transfer Engine'!$C$2:$C$1369,0)))</f>
        <v/>
      </c>
      <c r="O1310" s="8">
        <f>IF(ISNA(MATCH(1301,'Transfer Engine'!$C$2:$C$1369,0)),"",HYPERLINK(INDEX('Compliance Database'!$O$2:$O$1369,MATCH(1301,'Transfer Engine'!$C$2:$C$1369,0)),"Open PDF"))</f>
        <v/>
      </c>
    </row>
    <row r="1311" ht="188" customHeight="1">
      <c r="A1311" s="8">
        <f>IF(ISNA(MATCH(1302,'Transfer Engine'!$C$2:$C$1369,0)),"",INDEX('Compliance Database'!$A$2:$A$1369,MATCH(1302,'Transfer Engine'!$C$2:$C$1369,0)))</f>
        <v/>
      </c>
      <c r="B1311" s="8">
        <f>IF(ISNA(MATCH(1302,'Transfer Engine'!$C$2:$C$1369,0)),"",INDEX('Compliance Database'!$B$2:$B$1369,MATCH(1302,'Transfer Engine'!$C$2:$C$1369,0)))</f>
        <v/>
      </c>
      <c r="C1311" s="8">
        <f>IF(ISNA(MATCH(1302,'Transfer Engine'!$C$2:$C$1369,0)),"",INDEX('Compliance Database'!$C$2:$C$1369,MATCH(1302,'Transfer Engine'!$C$2:$C$1369,0)))</f>
        <v/>
      </c>
      <c r="D1311" s="9">
        <f>IF(ISNA(MATCH(1302,'Transfer Engine'!$C$2:$C$1369,0)),"",INDEX('Compliance Database'!$D$2:$D$1369,MATCH(1302,'Transfer Engine'!$C$2:$C$1369,0)))</f>
        <v/>
      </c>
      <c r="E1311" s="8">
        <f>IF(ISNA(MATCH(1302,'Transfer Engine'!$C$2:$C$1369,0)),"",INDEX('Compliance Database'!$E$2:$E$1369,MATCH(1302,'Transfer Engine'!$C$2:$C$1369,0)))</f>
        <v/>
      </c>
      <c r="F1311" s="8">
        <f>IF(ISNA(MATCH(1302,'Transfer Engine'!$C$2:$C$1369,0)),"",INDEX('Compliance Database'!$F$2:$F$1369,MATCH(1302,'Transfer Engine'!$C$2:$C$1369,0)))</f>
        <v/>
      </c>
      <c r="G1311" s="8">
        <f>IF(ISNA(MATCH(1302,'Transfer Engine'!$C$2:$C$1369,0)),"",INDEX('Compliance Database'!$G$2:$G$1369,MATCH(1302,'Transfer Engine'!$C$2:$C$1369,0)))</f>
        <v/>
      </c>
      <c r="H1311" s="9">
        <f>IF(ISNA(MATCH(1302,'Transfer Engine'!$C$2:$C$1369,0)),"",INDEX('Compliance Database'!$H$2:$H$1369,MATCH(1302,'Transfer Engine'!$C$2:$C$1369,0)))</f>
        <v/>
      </c>
      <c r="I1311" s="9">
        <f>IF(ISNA(MATCH(1302,'Transfer Engine'!$C$2:$C$1369,0)),"",INDEX('Compliance Database'!$I$2:$I$1369,MATCH(1302,'Transfer Engine'!$C$2:$C$1369,0)))</f>
        <v/>
      </c>
      <c r="J1311" s="8">
        <f>IF(ISNA(MATCH(1302,'Transfer Engine'!$C$2:$C$1369,0)),"",INDEX('Compliance Database'!$J$2:$J$1369,MATCH(1302,'Transfer Engine'!$C$2:$C$1369,0)))</f>
        <v/>
      </c>
      <c r="K1311" s="9">
        <f>IF(ISNA(MATCH(1302,'Transfer Engine'!$C$2:$C$1369,0)),"",INDEX('Compliance Database'!$K$2:$K$1369,MATCH(1302,'Transfer Engine'!$C$2:$C$1369,0)))</f>
        <v/>
      </c>
      <c r="L1311" s="9">
        <f>IF(ISNA(MATCH(1302,'Transfer Engine'!$C$2:$C$1369,0)),"",INDEX('Compliance Database'!$L$2:$L$1369,MATCH(1302,'Transfer Engine'!$C$2:$C$1369,0)))</f>
        <v/>
      </c>
      <c r="M1311" s="9">
        <f>IF(ISNA(MATCH(1302,'Transfer Engine'!$C$2:$C$1369,0)),"",INDEX('Compliance Database'!$M$2:$M$1369,MATCH(1302,'Transfer Engine'!$C$2:$C$1369,0)))</f>
        <v/>
      </c>
      <c r="N1311" s="9">
        <f>IF(ISNA(MATCH(1302,'Transfer Engine'!$C$2:$C$1369,0)),"",INDEX('Compliance Database'!$N$2:$N$1369,MATCH(1302,'Transfer Engine'!$C$2:$C$1369,0)))</f>
        <v/>
      </c>
      <c r="O1311" s="8">
        <f>IF(ISNA(MATCH(1302,'Transfer Engine'!$C$2:$C$1369,0)),"",HYPERLINK(INDEX('Compliance Database'!$O$2:$O$1369,MATCH(1302,'Transfer Engine'!$C$2:$C$1369,0)),"Open PDF"))</f>
        <v/>
      </c>
    </row>
    <row r="1312" ht="188" customHeight="1">
      <c r="A1312" s="8">
        <f>IF(ISNA(MATCH(1303,'Transfer Engine'!$C$2:$C$1369,0)),"",INDEX('Compliance Database'!$A$2:$A$1369,MATCH(1303,'Transfer Engine'!$C$2:$C$1369,0)))</f>
        <v/>
      </c>
      <c r="B1312" s="8">
        <f>IF(ISNA(MATCH(1303,'Transfer Engine'!$C$2:$C$1369,0)),"",INDEX('Compliance Database'!$B$2:$B$1369,MATCH(1303,'Transfer Engine'!$C$2:$C$1369,0)))</f>
        <v/>
      </c>
      <c r="C1312" s="8">
        <f>IF(ISNA(MATCH(1303,'Transfer Engine'!$C$2:$C$1369,0)),"",INDEX('Compliance Database'!$C$2:$C$1369,MATCH(1303,'Transfer Engine'!$C$2:$C$1369,0)))</f>
        <v/>
      </c>
      <c r="D1312" s="9">
        <f>IF(ISNA(MATCH(1303,'Transfer Engine'!$C$2:$C$1369,0)),"",INDEX('Compliance Database'!$D$2:$D$1369,MATCH(1303,'Transfer Engine'!$C$2:$C$1369,0)))</f>
        <v/>
      </c>
      <c r="E1312" s="8">
        <f>IF(ISNA(MATCH(1303,'Transfer Engine'!$C$2:$C$1369,0)),"",INDEX('Compliance Database'!$E$2:$E$1369,MATCH(1303,'Transfer Engine'!$C$2:$C$1369,0)))</f>
        <v/>
      </c>
      <c r="F1312" s="8">
        <f>IF(ISNA(MATCH(1303,'Transfer Engine'!$C$2:$C$1369,0)),"",INDEX('Compliance Database'!$F$2:$F$1369,MATCH(1303,'Transfer Engine'!$C$2:$C$1369,0)))</f>
        <v/>
      </c>
      <c r="G1312" s="8">
        <f>IF(ISNA(MATCH(1303,'Transfer Engine'!$C$2:$C$1369,0)),"",INDEX('Compliance Database'!$G$2:$G$1369,MATCH(1303,'Transfer Engine'!$C$2:$C$1369,0)))</f>
        <v/>
      </c>
      <c r="H1312" s="9">
        <f>IF(ISNA(MATCH(1303,'Transfer Engine'!$C$2:$C$1369,0)),"",INDEX('Compliance Database'!$H$2:$H$1369,MATCH(1303,'Transfer Engine'!$C$2:$C$1369,0)))</f>
        <v/>
      </c>
      <c r="I1312" s="9">
        <f>IF(ISNA(MATCH(1303,'Transfer Engine'!$C$2:$C$1369,0)),"",INDEX('Compliance Database'!$I$2:$I$1369,MATCH(1303,'Transfer Engine'!$C$2:$C$1369,0)))</f>
        <v/>
      </c>
      <c r="J1312" s="8">
        <f>IF(ISNA(MATCH(1303,'Transfer Engine'!$C$2:$C$1369,0)),"",INDEX('Compliance Database'!$J$2:$J$1369,MATCH(1303,'Transfer Engine'!$C$2:$C$1369,0)))</f>
        <v/>
      </c>
      <c r="K1312" s="9">
        <f>IF(ISNA(MATCH(1303,'Transfer Engine'!$C$2:$C$1369,0)),"",INDEX('Compliance Database'!$K$2:$K$1369,MATCH(1303,'Transfer Engine'!$C$2:$C$1369,0)))</f>
        <v/>
      </c>
      <c r="L1312" s="9">
        <f>IF(ISNA(MATCH(1303,'Transfer Engine'!$C$2:$C$1369,0)),"",INDEX('Compliance Database'!$L$2:$L$1369,MATCH(1303,'Transfer Engine'!$C$2:$C$1369,0)))</f>
        <v/>
      </c>
      <c r="M1312" s="9">
        <f>IF(ISNA(MATCH(1303,'Transfer Engine'!$C$2:$C$1369,0)),"",INDEX('Compliance Database'!$M$2:$M$1369,MATCH(1303,'Transfer Engine'!$C$2:$C$1369,0)))</f>
        <v/>
      </c>
      <c r="N1312" s="9">
        <f>IF(ISNA(MATCH(1303,'Transfer Engine'!$C$2:$C$1369,0)),"",INDEX('Compliance Database'!$N$2:$N$1369,MATCH(1303,'Transfer Engine'!$C$2:$C$1369,0)))</f>
        <v/>
      </c>
      <c r="O1312" s="8">
        <f>IF(ISNA(MATCH(1303,'Transfer Engine'!$C$2:$C$1369,0)),"",HYPERLINK(INDEX('Compliance Database'!$O$2:$O$1369,MATCH(1303,'Transfer Engine'!$C$2:$C$1369,0)),"Open PDF"))</f>
        <v/>
      </c>
    </row>
    <row r="1313" ht="188" customHeight="1">
      <c r="A1313" s="8">
        <f>IF(ISNA(MATCH(1304,'Transfer Engine'!$C$2:$C$1369,0)),"",INDEX('Compliance Database'!$A$2:$A$1369,MATCH(1304,'Transfer Engine'!$C$2:$C$1369,0)))</f>
        <v/>
      </c>
      <c r="B1313" s="8">
        <f>IF(ISNA(MATCH(1304,'Transfer Engine'!$C$2:$C$1369,0)),"",INDEX('Compliance Database'!$B$2:$B$1369,MATCH(1304,'Transfer Engine'!$C$2:$C$1369,0)))</f>
        <v/>
      </c>
      <c r="C1313" s="8">
        <f>IF(ISNA(MATCH(1304,'Transfer Engine'!$C$2:$C$1369,0)),"",INDEX('Compliance Database'!$C$2:$C$1369,MATCH(1304,'Transfer Engine'!$C$2:$C$1369,0)))</f>
        <v/>
      </c>
      <c r="D1313" s="9">
        <f>IF(ISNA(MATCH(1304,'Transfer Engine'!$C$2:$C$1369,0)),"",INDEX('Compliance Database'!$D$2:$D$1369,MATCH(1304,'Transfer Engine'!$C$2:$C$1369,0)))</f>
        <v/>
      </c>
      <c r="E1313" s="8">
        <f>IF(ISNA(MATCH(1304,'Transfer Engine'!$C$2:$C$1369,0)),"",INDEX('Compliance Database'!$E$2:$E$1369,MATCH(1304,'Transfer Engine'!$C$2:$C$1369,0)))</f>
        <v/>
      </c>
      <c r="F1313" s="8">
        <f>IF(ISNA(MATCH(1304,'Transfer Engine'!$C$2:$C$1369,0)),"",INDEX('Compliance Database'!$F$2:$F$1369,MATCH(1304,'Transfer Engine'!$C$2:$C$1369,0)))</f>
        <v/>
      </c>
      <c r="G1313" s="8">
        <f>IF(ISNA(MATCH(1304,'Transfer Engine'!$C$2:$C$1369,0)),"",INDEX('Compliance Database'!$G$2:$G$1369,MATCH(1304,'Transfer Engine'!$C$2:$C$1369,0)))</f>
        <v/>
      </c>
      <c r="H1313" s="9">
        <f>IF(ISNA(MATCH(1304,'Transfer Engine'!$C$2:$C$1369,0)),"",INDEX('Compliance Database'!$H$2:$H$1369,MATCH(1304,'Transfer Engine'!$C$2:$C$1369,0)))</f>
        <v/>
      </c>
      <c r="I1313" s="9">
        <f>IF(ISNA(MATCH(1304,'Transfer Engine'!$C$2:$C$1369,0)),"",INDEX('Compliance Database'!$I$2:$I$1369,MATCH(1304,'Transfer Engine'!$C$2:$C$1369,0)))</f>
        <v/>
      </c>
      <c r="J1313" s="8">
        <f>IF(ISNA(MATCH(1304,'Transfer Engine'!$C$2:$C$1369,0)),"",INDEX('Compliance Database'!$J$2:$J$1369,MATCH(1304,'Transfer Engine'!$C$2:$C$1369,0)))</f>
        <v/>
      </c>
      <c r="K1313" s="9">
        <f>IF(ISNA(MATCH(1304,'Transfer Engine'!$C$2:$C$1369,0)),"",INDEX('Compliance Database'!$K$2:$K$1369,MATCH(1304,'Transfer Engine'!$C$2:$C$1369,0)))</f>
        <v/>
      </c>
      <c r="L1313" s="9">
        <f>IF(ISNA(MATCH(1304,'Transfer Engine'!$C$2:$C$1369,0)),"",INDEX('Compliance Database'!$L$2:$L$1369,MATCH(1304,'Transfer Engine'!$C$2:$C$1369,0)))</f>
        <v/>
      </c>
      <c r="M1313" s="9">
        <f>IF(ISNA(MATCH(1304,'Transfer Engine'!$C$2:$C$1369,0)),"",INDEX('Compliance Database'!$M$2:$M$1369,MATCH(1304,'Transfer Engine'!$C$2:$C$1369,0)))</f>
        <v/>
      </c>
      <c r="N1313" s="9">
        <f>IF(ISNA(MATCH(1304,'Transfer Engine'!$C$2:$C$1369,0)),"",INDEX('Compliance Database'!$N$2:$N$1369,MATCH(1304,'Transfer Engine'!$C$2:$C$1369,0)))</f>
        <v/>
      </c>
      <c r="O1313" s="8">
        <f>IF(ISNA(MATCH(1304,'Transfer Engine'!$C$2:$C$1369,0)),"",HYPERLINK(INDEX('Compliance Database'!$O$2:$O$1369,MATCH(1304,'Transfer Engine'!$C$2:$C$1369,0)),"Open PDF"))</f>
        <v/>
      </c>
    </row>
    <row r="1314" ht="188" customHeight="1">
      <c r="A1314" s="8">
        <f>IF(ISNA(MATCH(1305,'Transfer Engine'!$C$2:$C$1369,0)),"",INDEX('Compliance Database'!$A$2:$A$1369,MATCH(1305,'Transfer Engine'!$C$2:$C$1369,0)))</f>
        <v/>
      </c>
      <c r="B1314" s="8">
        <f>IF(ISNA(MATCH(1305,'Transfer Engine'!$C$2:$C$1369,0)),"",INDEX('Compliance Database'!$B$2:$B$1369,MATCH(1305,'Transfer Engine'!$C$2:$C$1369,0)))</f>
        <v/>
      </c>
      <c r="C1314" s="8">
        <f>IF(ISNA(MATCH(1305,'Transfer Engine'!$C$2:$C$1369,0)),"",INDEX('Compliance Database'!$C$2:$C$1369,MATCH(1305,'Transfer Engine'!$C$2:$C$1369,0)))</f>
        <v/>
      </c>
      <c r="D1314" s="9">
        <f>IF(ISNA(MATCH(1305,'Transfer Engine'!$C$2:$C$1369,0)),"",INDEX('Compliance Database'!$D$2:$D$1369,MATCH(1305,'Transfer Engine'!$C$2:$C$1369,0)))</f>
        <v/>
      </c>
      <c r="E1314" s="8">
        <f>IF(ISNA(MATCH(1305,'Transfer Engine'!$C$2:$C$1369,0)),"",INDEX('Compliance Database'!$E$2:$E$1369,MATCH(1305,'Transfer Engine'!$C$2:$C$1369,0)))</f>
        <v/>
      </c>
      <c r="F1314" s="8">
        <f>IF(ISNA(MATCH(1305,'Transfer Engine'!$C$2:$C$1369,0)),"",INDEX('Compliance Database'!$F$2:$F$1369,MATCH(1305,'Transfer Engine'!$C$2:$C$1369,0)))</f>
        <v/>
      </c>
      <c r="G1314" s="8">
        <f>IF(ISNA(MATCH(1305,'Transfer Engine'!$C$2:$C$1369,0)),"",INDEX('Compliance Database'!$G$2:$G$1369,MATCH(1305,'Transfer Engine'!$C$2:$C$1369,0)))</f>
        <v/>
      </c>
      <c r="H1314" s="9">
        <f>IF(ISNA(MATCH(1305,'Transfer Engine'!$C$2:$C$1369,0)),"",INDEX('Compliance Database'!$H$2:$H$1369,MATCH(1305,'Transfer Engine'!$C$2:$C$1369,0)))</f>
        <v/>
      </c>
      <c r="I1314" s="9">
        <f>IF(ISNA(MATCH(1305,'Transfer Engine'!$C$2:$C$1369,0)),"",INDEX('Compliance Database'!$I$2:$I$1369,MATCH(1305,'Transfer Engine'!$C$2:$C$1369,0)))</f>
        <v/>
      </c>
      <c r="J1314" s="8">
        <f>IF(ISNA(MATCH(1305,'Transfer Engine'!$C$2:$C$1369,0)),"",INDEX('Compliance Database'!$J$2:$J$1369,MATCH(1305,'Transfer Engine'!$C$2:$C$1369,0)))</f>
        <v/>
      </c>
      <c r="K1314" s="9">
        <f>IF(ISNA(MATCH(1305,'Transfer Engine'!$C$2:$C$1369,0)),"",INDEX('Compliance Database'!$K$2:$K$1369,MATCH(1305,'Transfer Engine'!$C$2:$C$1369,0)))</f>
        <v/>
      </c>
      <c r="L1314" s="9">
        <f>IF(ISNA(MATCH(1305,'Transfer Engine'!$C$2:$C$1369,0)),"",INDEX('Compliance Database'!$L$2:$L$1369,MATCH(1305,'Transfer Engine'!$C$2:$C$1369,0)))</f>
        <v/>
      </c>
      <c r="M1314" s="9">
        <f>IF(ISNA(MATCH(1305,'Transfer Engine'!$C$2:$C$1369,0)),"",INDEX('Compliance Database'!$M$2:$M$1369,MATCH(1305,'Transfer Engine'!$C$2:$C$1369,0)))</f>
        <v/>
      </c>
      <c r="N1314" s="9">
        <f>IF(ISNA(MATCH(1305,'Transfer Engine'!$C$2:$C$1369,0)),"",INDEX('Compliance Database'!$N$2:$N$1369,MATCH(1305,'Transfer Engine'!$C$2:$C$1369,0)))</f>
        <v/>
      </c>
      <c r="O1314" s="8">
        <f>IF(ISNA(MATCH(1305,'Transfer Engine'!$C$2:$C$1369,0)),"",HYPERLINK(INDEX('Compliance Database'!$O$2:$O$1369,MATCH(1305,'Transfer Engine'!$C$2:$C$1369,0)),"Open PDF"))</f>
        <v/>
      </c>
    </row>
    <row r="1315" ht="188" customHeight="1">
      <c r="A1315" s="8">
        <f>IF(ISNA(MATCH(1306,'Transfer Engine'!$C$2:$C$1369,0)),"",INDEX('Compliance Database'!$A$2:$A$1369,MATCH(1306,'Transfer Engine'!$C$2:$C$1369,0)))</f>
        <v/>
      </c>
      <c r="B1315" s="8">
        <f>IF(ISNA(MATCH(1306,'Transfer Engine'!$C$2:$C$1369,0)),"",INDEX('Compliance Database'!$B$2:$B$1369,MATCH(1306,'Transfer Engine'!$C$2:$C$1369,0)))</f>
        <v/>
      </c>
      <c r="C1315" s="8">
        <f>IF(ISNA(MATCH(1306,'Transfer Engine'!$C$2:$C$1369,0)),"",INDEX('Compliance Database'!$C$2:$C$1369,MATCH(1306,'Transfer Engine'!$C$2:$C$1369,0)))</f>
        <v/>
      </c>
      <c r="D1315" s="9">
        <f>IF(ISNA(MATCH(1306,'Transfer Engine'!$C$2:$C$1369,0)),"",INDEX('Compliance Database'!$D$2:$D$1369,MATCH(1306,'Transfer Engine'!$C$2:$C$1369,0)))</f>
        <v/>
      </c>
      <c r="E1315" s="8">
        <f>IF(ISNA(MATCH(1306,'Transfer Engine'!$C$2:$C$1369,0)),"",INDEX('Compliance Database'!$E$2:$E$1369,MATCH(1306,'Transfer Engine'!$C$2:$C$1369,0)))</f>
        <v/>
      </c>
      <c r="F1315" s="8">
        <f>IF(ISNA(MATCH(1306,'Transfer Engine'!$C$2:$C$1369,0)),"",INDEX('Compliance Database'!$F$2:$F$1369,MATCH(1306,'Transfer Engine'!$C$2:$C$1369,0)))</f>
        <v/>
      </c>
      <c r="G1315" s="8">
        <f>IF(ISNA(MATCH(1306,'Transfer Engine'!$C$2:$C$1369,0)),"",INDEX('Compliance Database'!$G$2:$G$1369,MATCH(1306,'Transfer Engine'!$C$2:$C$1369,0)))</f>
        <v/>
      </c>
      <c r="H1315" s="9">
        <f>IF(ISNA(MATCH(1306,'Transfer Engine'!$C$2:$C$1369,0)),"",INDEX('Compliance Database'!$H$2:$H$1369,MATCH(1306,'Transfer Engine'!$C$2:$C$1369,0)))</f>
        <v/>
      </c>
      <c r="I1315" s="9">
        <f>IF(ISNA(MATCH(1306,'Transfer Engine'!$C$2:$C$1369,0)),"",INDEX('Compliance Database'!$I$2:$I$1369,MATCH(1306,'Transfer Engine'!$C$2:$C$1369,0)))</f>
        <v/>
      </c>
      <c r="J1315" s="8">
        <f>IF(ISNA(MATCH(1306,'Transfer Engine'!$C$2:$C$1369,0)),"",INDEX('Compliance Database'!$J$2:$J$1369,MATCH(1306,'Transfer Engine'!$C$2:$C$1369,0)))</f>
        <v/>
      </c>
      <c r="K1315" s="9">
        <f>IF(ISNA(MATCH(1306,'Transfer Engine'!$C$2:$C$1369,0)),"",INDEX('Compliance Database'!$K$2:$K$1369,MATCH(1306,'Transfer Engine'!$C$2:$C$1369,0)))</f>
        <v/>
      </c>
      <c r="L1315" s="9">
        <f>IF(ISNA(MATCH(1306,'Transfer Engine'!$C$2:$C$1369,0)),"",INDEX('Compliance Database'!$L$2:$L$1369,MATCH(1306,'Transfer Engine'!$C$2:$C$1369,0)))</f>
        <v/>
      </c>
      <c r="M1315" s="9">
        <f>IF(ISNA(MATCH(1306,'Transfer Engine'!$C$2:$C$1369,0)),"",INDEX('Compliance Database'!$M$2:$M$1369,MATCH(1306,'Transfer Engine'!$C$2:$C$1369,0)))</f>
        <v/>
      </c>
      <c r="N1315" s="9">
        <f>IF(ISNA(MATCH(1306,'Transfer Engine'!$C$2:$C$1369,0)),"",INDEX('Compliance Database'!$N$2:$N$1369,MATCH(1306,'Transfer Engine'!$C$2:$C$1369,0)))</f>
        <v/>
      </c>
      <c r="O1315" s="8">
        <f>IF(ISNA(MATCH(1306,'Transfer Engine'!$C$2:$C$1369,0)),"",HYPERLINK(INDEX('Compliance Database'!$O$2:$O$1369,MATCH(1306,'Transfer Engine'!$C$2:$C$1369,0)),"Open PDF"))</f>
        <v/>
      </c>
    </row>
    <row r="1316" ht="188" customHeight="1">
      <c r="A1316" s="8">
        <f>IF(ISNA(MATCH(1307,'Transfer Engine'!$C$2:$C$1369,0)),"",INDEX('Compliance Database'!$A$2:$A$1369,MATCH(1307,'Transfer Engine'!$C$2:$C$1369,0)))</f>
        <v/>
      </c>
      <c r="B1316" s="8">
        <f>IF(ISNA(MATCH(1307,'Transfer Engine'!$C$2:$C$1369,0)),"",INDEX('Compliance Database'!$B$2:$B$1369,MATCH(1307,'Transfer Engine'!$C$2:$C$1369,0)))</f>
        <v/>
      </c>
      <c r="C1316" s="8">
        <f>IF(ISNA(MATCH(1307,'Transfer Engine'!$C$2:$C$1369,0)),"",INDEX('Compliance Database'!$C$2:$C$1369,MATCH(1307,'Transfer Engine'!$C$2:$C$1369,0)))</f>
        <v/>
      </c>
      <c r="D1316" s="9">
        <f>IF(ISNA(MATCH(1307,'Transfer Engine'!$C$2:$C$1369,0)),"",INDEX('Compliance Database'!$D$2:$D$1369,MATCH(1307,'Transfer Engine'!$C$2:$C$1369,0)))</f>
        <v/>
      </c>
      <c r="E1316" s="8">
        <f>IF(ISNA(MATCH(1307,'Transfer Engine'!$C$2:$C$1369,0)),"",INDEX('Compliance Database'!$E$2:$E$1369,MATCH(1307,'Transfer Engine'!$C$2:$C$1369,0)))</f>
        <v/>
      </c>
      <c r="F1316" s="8">
        <f>IF(ISNA(MATCH(1307,'Transfer Engine'!$C$2:$C$1369,0)),"",INDEX('Compliance Database'!$F$2:$F$1369,MATCH(1307,'Transfer Engine'!$C$2:$C$1369,0)))</f>
        <v/>
      </c>
      <c r="G1316" s="8">
        <f>IF(ISNA(MATCH(1307,'Transfer Engine'!$C$2:$C$1369,0)),"",INDEX('Compliance Database'!$G$2:$G$1369,MATCH(1307,'Transfer Engine'!$C$2:$C$1369,0)))</f>
        <v/>
      </c>
      <c r="H1316" s="9">
        <f>IF(ISNA(MATCH(1307,'Transfer Engine'!$C$2:$C$1369,0)),"",INDEX('Compliance Database'!$H$2:$H$1369,MATCH(1307,'Transfer Engine'!$C$2:$C$1369,0)))</f>
        <v/>
      </c>
      <c r="I1316" s="9">
        <f>IF(ISNA(MATCH(1307,'Transfer Engine'!$C$2:$C$1369,0)),"",INDEX('Compliance Database'!$I$2:$I$1369,MATCH(1307,'Transfer Engine'!$C$2:$C$1369,0)))</f>
        <v/>
      </c>
      <c r="J1316" s="8">
        <f>IF(ISNA(MATCH(1307,'Transfer Engine'!$C$2:$C$1369,0)),"",INDEX('Compliance Database'!$J$2:$J$1369,MATCH(1307,'Transfer Engine'!$C$2:$C$1369,0)))</f>
        <v/>
      </c>
      <c r="K1316" s="9">
        <f>IF(ISNA(MATCH(1307,'Transfer Engine'!$C$2:$C$1369,0)),"",INDEX('Compliance Database'!$K$2:$K$1369,MATCH(1307,'Transfer Engine'!$C$2:$C$1369,0)))</f>
        <v/>
      </c>
      <c r="L1316" s="9">
        <f>IF(ISNA(MATCH(1307,'Transfer Engine'!$C$2:$C$1369,0)),"",INDEX('Compliance Database'!$L$2:$L$1369,MATCH(1307,'Transfer Engine'!$C$2:$C$1369,0)))</f>
        <v/>
      </c>
      <c r="M1316" s="9">
        <f>IF(ISNA(MATCH(1307,'Transfer Engine'!$C$2:$C$1369,0)),"",INDEX('Compliance Database'!$M$2:$M$1369,MATCH(1307,'Transfer Engine'!$C$2:$C$1369,0)))</f>
        <v/>
      </c>
      <c r="N1316" s="9">
        <f>IF(ISNA(MATCH(1307,'Transfer Engine'!$C$2:$C$1369,0)),"",INDEX('Compliance Database'!$N$2:$N$1369,MATCH(1307,'Transfer Engine'!$C$2:$C$1369,0)))</f>
        <v/>
      </c>
      <c r="O1316" s="8">
        <f>IF(ISNA(MATCH(1307,'Transfer Engine'!$C$2:$C$1369,0)),"",HYPERLINK(INDEX('Compliance Database'!$O$2:$O$1369,MATCH(1307,'Transfer Engine'!$C$2:$C$1369,0)),"Open PDF"))</f>
        <v/>
      </c>
    </row>
    <row r="1317" ht="188" customHeight="1">
      <c r="A1317" s="8">
        <f>IF(ISNA(MATCH(1308,'Transfer Engine'!$C$2:$C$1369,0)),"",INDEX('Compliance Database'!$A$2:$A$1369,MATCH(1308,'Transfer Engine'!$C$2:$C$1369,0)))</f>
        <v/>
      </c>
      <c r="B1317" s="8">
        <f>IF(ISNA(MATCH(1308,'Transfer Engine'!$C$2:$C$1369,0)),"",INDEX('Compliance Database'!$B$2:$B$1369,MATCH(1308,'Transfer Engine'!$C$2:$C$1369,0)))</f>
        <v/>
      </c>
      <c r="C1317" s="8">
        <f>IF(ISNA(MATCH(1308,'Transfer Engine'!$C$2:$C$1369,0)),"",INDEX('Compliance Database'!$C$2:$C$1369,MATCH(1308,'Transfer Engine'!$C$2:$C$1369,0)))</f>
        <v/>
      </c>
      <c r="D1317" s="9">
        <f>IF(ISNA(MATCH(1308,'Transfer Engine'!$C$2:$C$1369,0)),"",INDEX('Compliance Database'!$D$2:$D$1369,MATCH(1308,'Transfer Engine'!$C$2:$C$1369,0)))</f>
        <v/>
      </c>
      <c r="E1317" s="8">
        <f>IF(ISNA(MATCH(1308,'Transfer Engine'!$C$2:$C$1369,0)),"",INDEX('Compliance Database'!$E$2:$E$1369,MATCH(1308,'Transfer Engine'!$C$2:$C$1369,0)))</f>
        <v/>
      </c>
      <c r="F1317" s="8">
        <f>IF(ISNA(MATCH(1308,'Transfer Engine'!$C$2:$C$1369,0)),"",INDEX('Compliance Database'!$F$2:$F$1369,MATCH(1308,'Transfer Engine'!$C$2:$C$1369,0)))</f>
        <v/>
      </c>
      <c r="G1317" s="8">
        <f>IF(ISNA(MATCH(1308,'Transfer Engine'!$C$2:$C$1369,0)),"",INDEX('Compliance Database'!$G$2:$G$1369,MATCH(1308,'Transfer Engine'!$C$2:$C$1369,0)))</f>
        <v/>
      </c>
      <c r="H1317" s="9">
        <f>IF(ISNA(MATCH(1308,'Transfer Engine'!$C$2:$C$1369,0)),"",INDEX('Compliance Database'!$H$2:$H$1369,MATCH(1308,'Transfer Engine'!$C$2:$C$1369,0)))</f>
        <v/>
      </c>
      <c r="I1317" s="9">
        <f>IF(ISNA(MATCH(1308,'Transfer Engine'!$C$2:$C$1369,0)),"",INDEX('Compliance Database'!$I$2:$I$1369,MATCH(1308,'Transfer Engine'!$C$2:$C$1369,0)))</f>
        <v/>
      </c>
      <c r="J1317" s="8">
        <f>IF(ISNA(MATCH(1308,'Transfer Engine'!$C$2:$C$1369,0)),"",INDEX('Compliance Database'!$J$2:$J$1369,MATCH(1308,'Transfer Engine'!$C$2:$C$1369,0)))</f>
        <v/>
      </c>
      <c r="K1317" s="9">
        <f>IF(ISNA(MATCH(1308,'Transfer Engine'!$C$2:$C$1369,0)),"",INDEX('Compliance Database'!$K$2:$K$1369,MATCH(1308,'Transfer Engine'!$C$2:$C$1369,0)))</f>
        <v/>
      </c>
      <c r="L1317" s="9">
        <f>IF(ISNA(MATCH(1308,'Transfer Engine'!$C$2:$C$1369,0)),"",INDEX('Compliance Database'!$L$2:$L$1369,MATCH(1308,'Transfer Engine'!$C$2:$C$1369,0)))</f>
        <v/>
      </c>
      <c r="M1317" s="9">
        <f>IF(ISNA(MATCH(1308,'Transfer Engine'!$C$2:$C$1369,0)),"",INDEX('Compliance Database'!$M$2:$M$1369,MATCH(1308,'Transfer Engine'!$C$2:$C$1369,0)))</f>
        <v/>
      </c>
      <c r="N1317" s="9">
        <f>IF(ISNA(MATCH(1308,'Transfer Engine'!$C$2:$C$1369,0)),"",INDEX('Compliance Database'!$N$2:$N$1369,MATCH(1308,'Transfer Engine'!$C$2:$C$1369,0)))</f>
        <v/>
      </c>
      <c r="O1317" s="8">
        <f>IF(ISNA(MATCH(1308,'Transfer Engine'!$C$2:$C$1369,0)),"",HYPERLINK(INDEX('Compliance Database'!$O$2:$O$1369,MATCH(1308,'Transfer Engine'!$C$2:$C$1369,0)),"Open PDF"))</f>
        <v/>
      </c>
    </row>
    <row r="1318" ht="188" customHeight="1">
      <c r="A1318" s="8">
        <f>IF(ISNA(MATCH(1309,'Transfer Engine'!$C$2:$C$1369,0)),"",INDEX('Compliance Database'!$A$2:$A$1369,MATCH(1309,'Transfer Engine'!$C$2:$C$1369,0)))</f>
        <v/>
      </c>
      <c r="B1318" s="8">
        <f>IF(ISNA(MATCH(1309,'Transfer Engine'!$C$2:$C$1369,0)),"",INDEX('Compliance Database'!$B$2:$B$1369,MATCH(1309,'Transfer Engine'!$C$2:$C$1369,0)))</f>
        <v/>
      </c>
      <c r="C1318" s="8">
        <f>IF(ISNA(MATCH(1309,'Transfer Engine'!$C$2:$C$1369,0)),"",INDEX('Compliance Database'!$C$2:$C$1369,MATCH(1309,'Transfer Engine'!$C$2:$C$1369,0)))</f>
        <v/>
      </c>
      <c r="D1318" s="9">
        <f>IF(ISNA(MATCH(1309,'Transfer Engine'!$C$2:$C$1369,0)),"",INDEX('Compliance Database'!$D$2:$D$1369,MATCH(1309,'Transfer Engine'!$C$2:$C$1369,0)))</f>
        <v/>
      </c>
      <c r="E1318" s="8">
        <f>IF(ISNA(MATCH(1309,'Transfer Engine'!$C$2:$C$1369,0)),"",INDEX('Compliance Database'!$E$2:$E$1369,MATCH(1309,'Transfer Engine'!$C$2:$C$1369,0)))</f>
        <v/>
      </c>
      <c r="F1318" s="8">
        <f>IF(ISNA(MATCH(1309,'Transfer Engine'!$C$2:$C$1369,0)),"",INDEX('Compliance Database'!$F$2:$F$1369,MATCH(1309,'Transfer Engine'!$C$2:$C$1369,0)))</f>
        <v/>
      </c>
      <c r="G1318" s="8">
        <f>IF(ISNA(MATCH(1309,'Transfer Engine'!$C$2:$C$1369,0)),"",INDEX('Compliance Database'!$G$2:$G$1369,MATCH(1309,'Transfer Engine'!$C$2:$C$1369,0)))</f>
        <v/>
      </c>
      <c r="H1318" s="9">
        <f>IF(ISNA(MATCH(1309,'Transfer Engine'!$C$2:$C$1369,0)),"",INDEX('Compliance Database'!$H$2:$H$1369,MATCH(1309,'Transfer Engine'!$C$2:$C$1369,0)))</f>
        <v/>
      </c>
      <c r="I1318" s="9">
        <f>IF(ISNA(MATCH(1309,'Transfer Engine'!$C$2:$C$1369,0)),"",INDEX('Compliance Database'!$I$2:$I$1369,MATCH(1309,'Transfer Engine'!$C$2:$C$1369,0)))</f>
        <v/>
      </c>
      <c r="J1318" s="8">
        <f>IF(ISNA(MATCH(1309,'Transfer Engine'!$C$2:$C$1369,0)),"",INDEX('Compliance Database'!$J$2:$J$1369,MATCH(1309,'Transfer Engine'!$C$2:$C$1369,0)))</f>
        <v/>
      </c>
      <c r="K1318" s="9">
        <f>IF(ISNA(MATCH(1309,'Transfer Engine'!$C$2:$C$1369,0)),"",INDEX('Compliance Database'!$K$2:$K$1369,MATCH(1309,'Transfer Engine'!$C$2:$C$1369,0)))</f>
        <v/>
      </c>
      <c r="L1318" s="9">
        <f>IF(ISNA(MATCH(1309,'Transfer Engine'!$C$2:$C$1369,0)),"",INDEX('Compliance Database'!$L$2:$L$1369,MATCH(1309,'Transfer Engine'!$C$2:$C$1369,0)))</f>
        <v/>
      </c>
      <c r="M1318" s="9">
        <f>IF(ISNA(MATCH(1309,'Transfer Engine'!$C$2:$C$1369,0)),"",INDEX('Compliance Database'!$M$2:$M$1369,MATCH(1309,'Transfer Engine'!$C$2:$C$1369,0)))</f>
        <v/>
      </c>
      <c r="N1318" s="9">
        <f>IF(ISNA(MATCH(1309,'Transfer Engine'!$C$2:$C$1369,0)),"",INDEX('Compliance Database'!$N$2:$N$1369,MATCH(1309,'Transfer Engine'!$C$2:$C$1369,0)))</f>
        <v/>
      </c>
      <c r="O1318" s="8">
        <f>IF(ISNA(MATCH(1309,'Transfer Engine'!$C$2:$C$1369,0)),"",HYPERLINK(INDEX('Compliance Database'!$O$2:$O$1369,MATCH(1309,'Transfer Engine'!$C$2:$C$1369,0)),"Open PDF"))</f>
        <v/>
      </c>
    </row>
    <row r="1319" ht="188" customHeight="1">
      <c r="A1319" s="8">
        <f>IF(ISNA(MATCH(1310,'Transfer Engine'!$C$2:$C$1369,0)),"",INDEX('Compliance Database'!$A$2:$A$1369,MATCH(1310,'Transfer Engine'!$C$2:$C$1369,0)))</f>
        <v/>
      </c>
      <c r="B1319" s="8">
        <f>IF(ISNA(MATCH(1310,'Transfer Engine'!$C$2:$C$1369,0)),"",INDEX('Compliance Database'!$B$2:$B$1369,MATCH(1310,'Transfer Engine'!$C$2:$C$1369,0)))</f>
        <v/>
      </c>
      <c r="C1319" s="8">
        <f>IF(ISNA(MATCH(1310,'Transfer Engine'!$C$2:$C$1369,0)),"",INDEX('Compliance Database'!$C$2:$C$1369,MATCH(1310,'Transfer Engine'!$C$2:$C$1369,0)))</f>
        <v/>
      </c>
      <c r="D1319" s="9">
        <f>IF(ISNA(MATCH(1310,'Transfer Engine'!$C$2:$C$1369,0)),"",INDEX('Compliance Database'!$D$2:$D$1369,MATCH(1310,'Transfer Engine'!$C$2:$C$1369,0)))</f>
        <v/>
      </c>
      <c r="E1319" s="8">
        <f>IF(ISNA(MATCH(1310,'Transfer Engine'!$C$2:$C$1369,0)),"",INDEX('Compliance Database'!$E$2:$E$1369,MATCH(1310,'Transfer Engine'!$C$2:$C$1369,0)))</f>
        <v/>
      </c>
      <c r="F1319" s="8">
        <f>IF(ISNA(MATCH(1310,'Transfer Engine'!$C$2:$C$1369,0)),"",INDEX('Compliance Database'!$F$2:$F$1369,MATCH(1310,'Transfer Engine'!$C$2:$C$1369,0)))</f>
        <v/>
      </c>
      <c r="G1319" s="8">
        <f>IF(ISNA(MATCH(1310,'Transfer Engine'!$C$2:$C$1369,0)),"",INDEX('Compliance Database'!$G$2:$G$1369,MATCH(1310,'Transfer Engine'!$C$2:$C$1369,0)))</f>
        <v/>
      </c>
      <c r="H1319" s="9">
        <f>IF(ISNA(MATCH(1310,'Transfer Engine'!$C$2:$C$1369,0)),"",INDEX('Compliance Database'!$H$2:$H$1369,MATCH(1310,'Transfer Engine'!$C$2:$C$1369,0)))</f>
        <v/>
      </c>
      <c r="I1319" s="9">
        <f>IF(ISNA(MATCH(1310,'Transfer Engine'!$C$2:$C$1369,0)),"",INDEX('Compliance Database'!$I$2:$I$1369,MATCH(1310,'Transfer Engine'!$C$2:$C$1369,0)))</f>
        <v/>
      </c>
      <c r="J1319" s="8">
        <f>IF(ISNA(MATCH(1310,'Transfer Engine'!$C$2:$C$1369,0)),"",INDEX('Compliance Database'!$J$2:$J$1369,MATCH(1310,'Transfer Engine'!$C$2:$C$1369,0)))</f>
        <v/>
      </c>
      <c r="K1319" s="9">
        <f>IF(ISNA(MATCH(1310,'Transfer Engine'!$C$2:$C$1369,0)),"",INDEX('Compliance Database'!$K$2:$K$1369,MATCH(1310,'Transfer Engine'!$C$2:$C$1369,0)))</f>
        <v/>
      </c>
      <c r="L1319" s="9">
        <f>IF(ISNA(MATCH(1310,'Transfer Engine'!$C$2:$C$1369,0)),"",INDEX('Compliance Database'!$L$2:$L$1369,MATCH(1310,'Transfer Engine'!$C$2:$C$1369,0)))</f>
        <v/>
      </c>
      <c r="M1319" s="9">
        <f>IF(ISNA(MATCH(1310,'Transfer Engine'!$C$2:$C$1369,0)),"",INDEX('Compliance Database'!$M$2:$M$1369,MATCH(1310,'Transfer Engine'!$C$2:$C$1369,0)))</f>
        <v/>
      </c>
      <c r="N1319" s="9">
        <f>IF(ISNA(MATCH(1310,'Transfer Engine'!$C$2:$C$1369,0)),"",INDEX('Compliance Database'!$N$2:$N$1369,MATCH(1310,'Transfer Engine'!$C$2:$C$1369,0)))</f>
        <v/>
      </c>
      <c r="O1319" s="8">
        <f>IF(ISNA(MATCH(1310,'Transfer Engine'!$C$2:$C$1369,0)),"",HYPERLINK(INDEX('Compliance Database'!$O$2:$O$1369,MATCH(1310,'Transfer Engine'!$C$2:$C$1369,0)),"Open PDF"))</f>
        <v/>
      </c>
    </row>
    <row r="1320" ht="188" customHeight="1">
      <c r="A1320" s="8">
        <f>IF(ISNA(MATCH(1311,'Transfer Engine'!$C$2:$C$1369,0)),"",INDEX('Compliance Database'!$A$2:$A$1369,MATCH(1311,'Transfer Engine'!$C$2:$C$1369,0)))</f>
        <v/>
      </c>
      <c r="B1320" s="8">
        <f>IF(ISNA(MATCH(1311,'Transfer Engine'!$C$2:$C$1369,0)),"",INDEX('Compliance Database'!$B$2:$B$1369,MATCH(1311,'Transfer Engine'!$C$2:$C$1369,0)))</f>
        <v/>
      </c>
      <c r="C1320" s="8">
        <f>IF(ISNA(MATCH(1311,'Transfer Engine'!$C$2:$C$1369,0)),"",INDEX('Compliance Database'!$C$2:$C$1369,MATCH(1311,'Transfer Engine'!$C$2:$C$1369,0)))</f>
        <v/>
      </c>
      <c r="D1320" s="9">
        <f>IF(ISNA(MATCH(1311,'Transfer Engine'!$C$2:$C$1369,0)),"",INDEX('Compliance Database'!$D$2:$D$1369,MATCH(1311,'Transfer Engine'!$C$2:$C$1369,0)))</f>
        <v/>
      </c>
      <c r="E1320" s="8">
        <f>IF(ISNA(MATCH(1311,'Transfer Engine'!$C$2:$C$1369,0)),"",INDEX('Compliance Database'!$E$2:$E$1369,MATCH(1311,'Transfer Engine'!$C$2:$C$1369,0)))</f>
        <v/>
      </c>
      <c r="F1320" s="8">
        <f>IF(ISNA(MATCH(1311,'Transfer Engine'!$C$2:$C$1369,0)),"",INDEX('Compliance Database'!$F$2:$F$1369,MATCH(1311,'Transfer Engine'!$C$2:$C$1369,0)))</f>
        <v/>
      </c>
      <c r="G1320" s="8">
        <f>IF(ISNA(MATCH(1311,'Transfer Engine'!$C$2:$C$1369,0)),"",INDEX('Compliance Database'!$G$2:$G$1369,MATCH(1311,'Transfer Engine'!$C$2:$C$1369,0)))</f>
        <v/>
      </c>
      <c r="H1320" s="9">
        <f>IF(ISNA(MATCH(1311,'Transfer Engine'!$C$2:$C$1369,0)),"",INDEX('Compliance Database'!$H$2:$H$1369,MATCH(1311,'Transfer Engine'!$C$2:$C$1369,0)))</f>
        <v/>
      </c>
      <c r="I1320" s="9">
        <f>IF(ISNA(MATCH(1311,'Transfer Engine'!$C$2:$C$1369,0)),"",INDEX('Compliance Database'!$I$2:$I$1369,MATCH(1311,'Transfer Engine'!$C$2:$C$1369,0)))</f>
        <v/>
      </c>
      <c r="J1320" s="8">
        <f>IF(ISNA(MATCH(1311,'Transfer Engine'!$C$2:$C$1369,0)),"",INDEX('Compliance Database'!$J$2:$J$1369,MATCH(1311,'Transfer Engine'!$C$2:$C$1369,0)))</f>
        <v/>
      </c>
      <c r="K1320" s="9">
        <f>IF(ISNA(MATCH(1311,'Transfer Engine'!$C$2:$C$1369,0)),"",INDEX('Compliance Database'!$K$2:$K$1369,MATCH(1311,'Transfer Engine'!$C$2:$C$1369,0)))</f>
        <v/>
      </c>
      <c r="L1320" s="9">
        <f>IF(ISNA(MATCH(1311,'Transfer Engine'!$C$2:$C$1369,0)),"",INDEX('Compliance Database'!$L$2:$L$1369,MATCH(1311,'Transfer Engine'!$C$2:$C$1369,0)))</f>
        <v/>
      </c>
      <c r="M1320" s="9">
        <f>IF(ISNA(MATCH(1311,'Transfer Engine'!$C$2:$C$1369,0)),"",INDEX('Compliance Database'!$M$2:$M$1369,MATCH(1311,'Transfer Engine'!$C$2:$C$1369,0)))</f>
        <v/>
      </c>
      <c r="N1320" s="9">
        <f>IF(ISNA(MATCH(1311,'Transfer Engine'!$C$2:$C$1369,0)),"",INDEX('Compliance Database'!$N$2:$N$1369,MATCH(1311,'Transfer Engine'!$C$2:$C$1369,0)))</f>
        <v/>
      </c>
      <c r="O1320" s="8">
        <f>IF(ISNA(MATCH(1311,'Transfer Engine'!$C$2:$C$1369,0)),"",HYPERLINK(INDEX('Compliance Database'!$O$2:$O$1369,MATCH(1311,'Transfer Engine'!$C$2:$C$1369,0)),"Open PDF"))</f>
        <v/>
      </c>
    </row>
    <row r="1321" ht="188" customHeight="1">
      <c r="A1321" s="8">
        <f>IF(ISNA(MATCH(1312,'Transfer Engine'!$C$2:$C$1369,0)),"",INDEX('Compliance Database'!$A$2:$A$1369,MATCH(1312,'Transfer Engine'!$C$2:$C$1369,0)))</f>
        <v/>
      </c>
      <c r="B1321" s="8">
        <f>IF(ISNA(MATCH(1312,'Transfer Engine'!$C$2:$C$1369,0)),"",INDEX('Compliance Database'!$B$2:$B$1369,MATCH(1312,'Transfer Engine'!$C$2:$C$1369,0)))</f>
        <v/>
      </c>
      <c r="C1321" s="8">
        <f>IF(ISNA(MATCH(1312,'Transfer Engine'!$C$2:$C$1369,0)),"",INDEX('Compliance Database'!$C$2:$C$1369,MATCH(1312,'Transfer Engine'!$C$2:$C$1369,0)))</f>
        <v/>
      </c>
      <c r="D1321" s="9">
        <f>IF(ISNA(MATCH(1312,'Transfer Engine'!$C$2:$C$1369,0)),"",INDEX('Compliance Database'!$D$2:$D$1369,MATCH(1312,'Transfer Engine'!$C$2:$C$1369,0)))</f>
        <v/>
      </c>
      <c r="E1321" s="8">
        <f>IF(ISNA(MATCH(1312,'Transfer Engine'!$C$2:$C$1369,0)),"",INDEX('Compliance Database'!$E$2:$E$1369,MATCH(1312,'Transfer Engine'!$C$2:$C$1369,0)))</f>
        <v/>
      </c>
      <c r="F1321" s="8">
        <f>IF(ISNA(MATCH(1312,'Transfer Engine'!$C$2:$C$1369,0)),"",INDEX('Compliance Database'!$F$2:$F$1369,MATCH(1312,'Transfer Engine'!$C$2:$C$1369,0)))</f>
        <v/>
      </c>
      <c r="G1321" s="8">
        <f>IF(ISNA(MATCH(1312,'Transfer Engine'!$C$2:$C$1369,0)),"",INDEX('Compliance Database'!$G$2:$G$1369,MATCH(1312,'Transfer Engine'!$C$2:$C$1369,0)))</f>
        <v/>
      </c>
      <c r="H1321" s="9">
        <f>IF(ISNA(MATCH(1312,'Transfer Engine'!$C$2:$C$1369,0)),"",INDEX('Compliance Database'!$H$2:$H$1369,MATCH(1312,'Transfer Engine'!$C$2:$C$1369,0)))</f>
        <v/>
      </c>
      <c r="I1321" s="9">
        <f>IF(ISNA(MATCH(1312,'Transfer Engine'!$C$2:$C$1369,0)),"",INDEX('Compliance Database'!$I$2:$I$1369,MATCH(1312,'Transfer Engine'!$C$2:$C$1369,0)))</f>
        <v/>
      </c>
      <c r="J1321" s="8">
        <f>IF(ISNA(MATCH(1312,'Transfer Engine'!$C$2:$C$1369,0)),"",INDEX('Compliance Database'!$J$2:$J$1369,MATCH(1312,'Transfer Engine'!$C$2:$C$1369,0)))</f>
        <v/>
      </c>
      <c r="K1321" s="9">
        <f>IF(ISNA(MATCH(1312,'Transfer Engine'!$C$2:$C$1369,0)),"",INDEX('Compliance Database'!$K$2:$K$1369,MATCH(1312,'Transfer Engine'!$C$2:$C$1369,0)))</f>
        <v/>
      </c>
      <c r="L1321" s="9">
        <f>IF(ISNA(MATCH(1312,'Transfer Engine'!$C$2:$C$1369,0)),"",INDEX('Compliance Database'!$L$2:$L$1369,MATCH(1312,'Transfer Engine'!$C$2:$C$1369,0)))</f>
        <v/>
      </c>
      <c r="M1321" s="9">
        <f>IF(ISNA(MATCH(1312,'Transfer Engine'!$C$2:$C$1369,0)),"",INDEX('Compliance Database'!$M$2:$M$1369,MATCH(1312,'Transfer Engine'!$C$2:$C$1369,0)))</f>
        <v/>
      </c>
      <c r="N1321" s="9">
        <f>IF(ISNA(MATCH(1312,'Transfer Engine'!$C$2:$C$1369,0)),"",INDEX('Compliance Database'!$N$2:$N$1369,MATCH(1312,'Transfer Engine'!$C$2:$C$1369,0)))</f>
        <v/>
      </c>
      <c r="O1321" s="8">
        <f>IF(ISNA(MATCH(1312,'Transfer Engine'!$C$2:$C$1369,0)),"",HYPERLINK(INDEX('Compliance Database'!$O$2:$O$1369,MATCH(1312,'Transfer Engine'!$C$2:$C$1369,0)),"Open PDF"))</f>
        <v/>
      </c>
    </row>
    <row r="1322" ht="188" customHeight="1">
      <c r="A1322" s="8">
        <f>IF(ISNA(MATCH(1313,'Transfer Engine'!$C$2:$C$1369,0)),"",INDEX('Compliance Database'!$A$2:$A$1369,MATCH(1313,'Transfer Engine'!$C$2:$C$1369,0)))</f>
        <v/>
      </c>
      <c r="B1322" s="8">
        <f>IF(ISNA(MATCH(1313,'Transfer Engine'!$C$2:$C$1369,0)),"",INDEX('Compliance Database'!$B$2:$B$1369,MATCH(1313,'Transfer Engine'!$C$2:$C$1369,0)))</f>
        <v/>
      </c>
      <c r="C1322" s="8">
        <f>IF(ISNA(MATCH(1313,'Transfer Engine'!$C$2:$C$1369,0)),"",INDEX('Compliance Database'!$C$2:$C$1369,MATCH(1313,'Transfer Engine'!$C$2:$C$1369,0)))</f>
        <v/>
      </c>
      <c r="D1322" s="9">
        <f>IF(ISNA(MATCH(1313,'Transfer Engine'!$C$2:$C$1369,0)),"",INDEX('Compliance Database'!$D$2:$D$1369,MATCH(1313,'Transfer Engine'!$C$2:$C$1369,0)))</f>
        <v/>
      </c>
      <c r="E1322" s="8">
        <f>IF(ISNA(MATCH(1313,'Transfer Engine'!$C$2:$C$1369,0)),"",INDEX('Compliance Database'!$E$2:$E$1369,MATCH(1313,'Transfer Engine'!$C$2:$C$1369,0)))</f>
        <v/>
      </c>
      <c r="F1322" s="8">
        <f>IF(ISNA(MATCH(1313,'Transfer Engine'!$C$2:$C$1369,0)),"",INDEX('Compliance Database'!$F$2:$F$1369,MATCH(1313,'Transfer Engine'!$C$2:$C$1369,0)))</f>
        <v/>
      </c>
      <c r="G1322" s="8">
        <f>IF(ISNA(MATCH(1313,'Transfer Engine'!$C$2:$C$1369,0)),"",INDEX('Compliance Database'!$G$2:$G$1369,MATCH(1313,'Transfer Engine'!$C$2:$C$1369,0)))</f>
        <v/>
      </c>
      <c r="H1322" s="9">
        <f>IF(ISNA(MATCH(1313,'Transfer Engine'!$C$2:$C$1369,0)),"",INDEX('Compliance Database'!$H$2:$H$1369,MATCH(1313,'Transfer Engine'!$C$2:$C$1369,0)))</f>
        <v/>
      </c>
      <c r="I1322" s="9">
        <f>IF(ISNA(MATCH(1313,'Transfer Engine'!$C$2:$C$1369,0)),"",INDEX('Compliance Database'!$I$2:$I$1369,MATCH(1313,'Transfer Engine'!$C$2:$C$1369,0)))</f>
        <v/>
      </c>
      <c r="J1322" s="8">
        <f>IF(ISNA(MATCH(1313,'Transfer Engine'!$C$2:$C$1369,0)),"",INDEX('Compliance Database'!$J$2:$J$1369,MATCH(1313,'Transfer Engine'!$C$2:$C$1369,0)))</f>
        <v/>
      </c>
      <c r="K1322" s="9">
        <f>IF(ISNA(MATCH(1313,'Transfer Engine'!$C$2:$C$1369,0)),"",INDEX('Compliance Database'!$K$2:$K$1369,MATCH(1313,'Transfer Engine'!$C$2:$C$1369,0)))</f>
        <v/>
      </c>
      <c r="L1322" s="9">
        <f>IF(ISNA(MATCH(1313,'Transfer Engine'!$C$2:$C$1369,0)),"",INDEX('Compliance Database'!$L$2:$L$1369,MATCH(1313,'Transfer Engine'!$C$2:$C$1369,0)))</f>
        <v/>
      </c>
      <c r="M1322" s="9">
        <f>IF(ISNA(MATCH(1313,'Transfer Engine'!$C$2:$C$1369,0)),"",INDEX('Compliance Database'!$M$2:$M$1369,MATCH(1313,'Transfer Engine'!$C$2:$C$1369,0)))</f>
        <v/>
      </c>
      <c r="N1322" s="9">
        <f>IF(ISNA(MATCH(1313,'Transfer Engine'!$C$2:$C$1369,0)),"",INDEX('Compliance Database'!$N$2:$N$1369,MATCH(1313,'Transfer Engine'!$C$2:$C$1369,0)))</f>
        <v/>
      </c>
      <c r="O1322" s="8">
        <f>IF(ISNA(MATCH(1313,'Transfer Engine'!$C$2:$C$1369,0)),"",HYPERLINK(INDEX('Compliance Database'!$O$2:$O$1369,MATCH(1313,'Transfer Engine'!$C$2:$C$1369,0)),"Open PDF"))</f>
        <v/>
      </c>
    </row>
    <row r="1323" ht="188" customHeight="1">
      <c r="A1323" s="8">
        <f>IF(ISNA(MATCH(1314,'Transfer Engine'!$C$2:$C$1369,0)),"",INDEX('Compliance Database'!$A$2:$A$1369,MATCH(1314,'Transfer Engine'!$C$2:$C$1369,0)))</f>
        <v/>
      </c>
      <c r="B1323" s="8">
        <f>IF(ISNA(MATCH(1314,'Transfer Engine'!$C$2:$C$1369,0)),"",INDEX('Compliance Database'!$B$2:$B$1369,MATCH(1314,'Transfer Engine'!$C$2:$C$1369,0)))</f>
        <v/>
      </c>
      <c r="C1323" s="8">
        <f>IF(ISNA(MATCH(1314,'Transfer Engine'!$C$2:$C$1369,0)),"",INDEX('Compliance Database'!$C$2:$C$1369,MATCH(1314,'Transfer Engine'!$C$2:$C$1369,0)))</f>
        <v/>
      </c>
      <c r="D1323" s="9">
        <f>IF(ISNA(MATCH(1314,'Transfer Engine'!$C$2:$C$1369,0)),"",INDEX('Compliance Database'!$D$2:$D$1369,MATCH(1314,'Transfer Engine'!$C$2:$C$1369,0)))</f>
        <v/>
      </c>
      <c r="E1323" s="8">
        <f>IF(ISNA(MATCH(1314,'Transfer Engine'!$C$2:$C$1369,0)),"",INDEX('Compliance Database'!$E$2:$E$1369,MATCH(1314,'Transfer Engine'!$C$2:$C$1369,0)))</f>
        <v/>
      </c>
      <c r="F1323" s="8">
        <f>IF(ISNA(MATCH(1314,'Transfer Engine'!$C$2:$C$1369,0)),"",INDEX('Compliance Database'!$F$2:$F$1369,MATCH(1314,'Transfer Engine'!$C$2:$C$1369,0)))</f>
        <v/>
      </c>
      <c r="G1323" s="8">
        <f>IF(ISNA(MATCH(1314,'Transfer Engine'!$C$2:$C$1369,0)),"",INDEX('Compliance Database'!$G$2:$G$1369,MATCH(1314,'Transfer Engine'!$C$2:$C$1369,0)))</f>
        <v/>
      </c>
      <c r="H1323" s="9">
        <f>IF(ISNA(MATCH(1314,'Transfer Engine'!$C$2:$C$1369,0)),"",INDEX('Compliance Database'!$H$2:$H$1369,MATCH(1314,'Transfer Engine'!$C$2:$C$1369,0)))</f>
        <v/>
      </c>
      <c r="I1323" s="9">
        <f>IF(ISNA(MATCH(1314,'Transfer Engine'!$C$2:$C$1369,0)),"",INDEX('Compliance Database'!$I$2:$I$1369,MATCH(1314,'Transfer Engine'!$C$2:$C$1369,0)))</f>
        <v/>
      </c>
      <c r="J1323" s="8">
        <f>IF(ISNA(MATCH(1314,'Transfer Engine'!$C$2:$C$1369,0)),"",INDEX('Compliance Database'!$J$2:$J$1369,MATCH(1314,'Transfer Engine'!$C$2:$C$1369,0)))</f>
        <v/>
      </c>
      <c r="K1323" s="9">
        <f>IF(ISNA(MATCH(1314,'Transfer Engine'!$C$2:$C$1369,0)),"",INDEX('Compliance Database'!$K$2:$K$1369,MATCH(1314,'Transfer Engine'!$C$2:$C$1369,0)))</f>
        <v/>
      </c>
      <c r="L1323" s="9">
        <f>IF(ISNA(MATCH(1314,'Transfer Engine'!$C$2:$C$1369,0)),"",INDEX('Compliance Database'!$L$2:$L$1369,MATCH(1314,'Transfer Engine'!$C$2:$C$1369,0)))</f>
        <v/>
      </c>
      <c r="M1323" s="9">
        <f>IF(ISNA(MATCH(1314,'Transfer Engine'!$C$2:$C$1369,0)),"",INDEX('Compliance Database'!$M$2:$M$1369,MATCH(1314,'Transfer Engine'!$C$2:$C$1369,0)))</f>
        <v/>
      </c>
      <c r="N1323" s="9">
        <f>IF(ISNA(MATCH(1314,'Transfer Engine'!$C$2:$C$1369,0)),"",INDEX('Compliance Database'!$N$2:$N$1369,MATCH(1314,'Transfer Engine'!$C$2:$C$1369,0)))</f>
        <v/>
      </c>
      <c r="O1323" s="8">
        <f>IF(ISNA(MATCH(1314,'Transfer Engine'!$C$2:$C$1369,0)),"",HYPERLINK(INDEX('Compliance Database'!$O$2:$O$1369,MATCH(1314,'Transfer Engine'!$C$2:$C$1369,0)),"Open PDF"))</f>
        <v/>
      </c>
    </row>
    <row r="1324" ht="188" customHeight="1">
      <c r="A1324" s="8">
        <f>IF(ISNA(MATCH(1315,'Transfer Engine'!$C$2:$C$1369,0)),"",INDEX('Compliance Database'!$A$2:$A$1369,MATCH(1315,'Transfer Engine'!$C$2:$C$1369,0)))</f>
        <v/>
      </c>
      <c r="B1324" s="8">
        <f>IF(ISNA(MATCH(1315,'Transfer Engine'!$C$2:$C$1369,0)),"",INDEX('Compliance Database'!$B$2:$B$1369,MATCH(1315,'Transfer Engine'!$C$2:$C$1369,0)))</f>
        <v/>
      </c>
      <c r="C1324" s="8">
        <f>IF(ISNA(MATCH(1315,'Transfer Engine'!$C$2:$C$1369,0)),"",INDEX('Compliance Database'!$C$2:$C$1369,MATCH(1315,'Transfer Engine'!$C$2:$C$1369,0)))</f>
        <v/>
      </c>
      <c r="D1324" s="9">
        <f>IF(ISNA(MATCH(1315,'Transfer Engine'!$C$2:$C$1369,0)),"",INDEX('Compliance Database'!$D$2:$D$1369,MATCH(1315,'Transfer Engine'!$C$2:$C$1369,0)))</f>
        <v/>
      </c>
      <c r="E1324" s="8">
        <f>IF(ISNA(MATCH(1315,'Transfer Engine'!$C$2:$C$1369,0)),"",INDEX('Compliance Database'!$E$2:$E$1369,MATCH(1315,'Transfer Engine'!$C$2:$C$1369,0)))</f>
        <v/>
      </c>
      <c r="F1324" s="8">
        <f>IF(ISNA(MATCH(1315,'Transfer Engine'!$C$2:$C$1369,0)),"",INDEX('Compliance Database'!$F$2:$F$1369,MATCH(1315,'Transfer Engine'!$C$2:$C$1369,0)))</f>
        <v/>
      </c>
      <c r="G1324" s="8">
        <f>IF(ISNA(MATCH(1315,'Transfer Engine'!$C$2:$C$1369,0)),"",INDEX('Compliance Database'!$G$2:$G$1369,MATCH(1315,'Transfer Engine'!$C$2:$C$1369,0)))</f>
        <v/>
      </c>
      <c r="H1324" s="9">
        <f>IF(ISNA(MATCH(1315,'Transfer Engine'!$C$2:$C$1369,0)),"",INDEX('Compliance Database'!$H$2:$H$1369,MATCH(1315,'Transfer Engine'!$C$2:$C$1369,0)))</f>
        <v/>
      </c>
      <c r="I1324" s="9">
        <f>IF(ISNA(MATCH(1315,'Transfer Engine'!$C$2:$C$1369,0)),"",INDEX('Compliance Database'!$I$2:$I$1369,MATCH(1315,'Transfer Engine'!$C$2:$C$1369,0)))</f>
        <v/>
      </c>
      <c r="J1324" s="8">
        <f>IF(ISNA(MATCH(1315,'Transfer Engine'!$C$2:$C$1369,0)),"",INDEX('Compliance Database'!$J$2:$J$1369,MATCH(1315,'Transfer Engine'!$C$2:$C$1369,0)))</f>
        <v/>
      </c>
      <c r="K1324" s="9">
        <f>IF(ISNA(MATCH(1315,'Transfer Engine'!$C$2:$C$1369,0)),"",INDEX('Compliance Database'!$K$2:$K$1369,MATCH(1315,'Transfer Engine'!$C$2:$C$1369,0)))</f>
        <v/>
      </c>
      <c r="L1324" s="9">
        <f>IF(ISNA(MATCH(1315,'Transfer Engine'!$C$2:$C$1369,0)),"",INDEX('Compliance Database'!$L$2:$L$1369,MATCH(1315,'Transfer Engine'!$C$2:$C$1369,0)))</f>
        <v/>
      </c>
      <c r="M1324" s="9">
        <f>IF(ISNA(MATCH(1315,'Transfer Engine'!$C$2:$C$1369,0)),"",INDEX('Compliance Database'!$M$2:$M$1369,MATCH(1315,'Transfer Engine'!$C$2:$C$1369,0)))</f>
        <v/>
      </c>
      <c r="N1324" s="9">
        <f>IF(ISNA(MATCH(1315,'Transfer Engine'!$C$2:$C$1369,0)),"",INDEX('Compliance Database'!$N$2:$N$1369,MATCH(1315,'Transfer Engine'!$C$2:$C$1369,0)))</f>
        <v/>
      </c>
      <c r="O1324" s="8">
        <f>IF(ISNA(MATCH(1315,'Transfer Engine'!$C$2:$C$1369,0)),"",HYPERLINK(INDEX('Compliance Database'!$O$2:$O$1369,MATCH(1315,'Transfer Engine'!$C$2:$C$1369,0)),"Open PDF"))</f>
        <v/>
      </c>
    </row>
    <row r="1325" ht="188" customHeight="1">
      <c r="A1325" s="8">
        <f>IF(ISNA(MATCH(1316,'Transfer Engine'!$C$2:$C$1369,0)),"",INDEX('Compliance Database'!$A$2:$A$1369,MATCH(1316,'Transfer Engine'!$C$2:$C$1369,0)))</f>
        <v/>
      </c>
      <c r="B1325" s="8">
        <f>IF(ISNA(MATCH(1316,'Transfer Engine'!$C$2:$C$1369,0)),"",INDEX('Compliance Database'!$B$2:$B$1369,MATCH(1316,'Transfer Engine'!$C$2:$C$1369,0)))</f>
        <v/>
      </c>
      <c r="C1325" s="8">
        <f>IF(ISNA(MATCH(1316,'Transfer Engine'!$C$2:$C$1369,0)),"",INDEX('Compliance Database'!$C$2:$C$1369,MATCH(1316,'Transfer Engine'!$C$2:$C$1369,0)))</f>
        <v/>
      </c>
      <c r="D1325" s="9">
        <f>IF(ISNA(MATCH(1316,'Transfer Engine'!$C$2:$C$1369,0)),"",INDEX('Compliance Database'!$D$2:$D$1369,MATCH(1316,'Transfer Engine'!$C$2:$C$1369,0)))</f>
        <v/>
      </c>
      <c r="E1325" s="8">
        <f>IF(ISNA(MATCH(1316,'Transfer Engine'!$C$2:$C$1369,0)),"",INDEX('Compliance Database'!$E$2:$E$1369,MATCH(1316,'Transfer Engine'!$C$2:$C$1369,0)))</f>
        <v/>
      </c>
      <c r="F1325" s="8">
        <f>IF(ISNA(MATCH(1316,'Transfer Engine'!$C$2:$C$1369,0)),"",INDEX('Compliance Database'!$F$2:$F$1369,MATCH(1316,'Transfer Engine'!$C$2:$C$1369,0)))</f>
        <v/>
      </c>
      <c r="G1325" s="8">
        <f>IF(ISNA(MATCH(1316,'Transfer Engine'!$C$2:$C$1369,0)),"",INDEX('Compliance Database'!$G$2:$G$1369,MATCH(1316,'Transfer Engine'!$C$2:$C$1369,0)))</f>
        <v/>
      </c>
      <c r="H1325" s="9">
        <f>IF(ISNA(MATCH(1316,'Transfer Engine'!$C$2:$C$1369,0)),"",INDEX('Compliance Database'!$H$2:$H$1369,MATCH(1316,'Transfer Engine'!$C$2:$C$1369,0)))</f>
        <v/>
      </c>
      <c r="I1325" s="9">
        <f>IF(ISNA(MATCH(1316,'Transfer Engine'!$C$2:$C$1369,0)),"",INDEX('Compliance Database'!$I$2:$I$1369,MATCH(1316,'Transfer Engine'!$C$2:$C$1369,0)))</f>
        <v/>
      </c>
      <c r="J1325" s="8">
        <f>IF(ISNA(MATCH(1316,'Transfer Engine'!$C$2:$C$1369,0)),"",INDEX('Compliance Database'!$J$2:$J$1369,MATCH(1316,'Transfer Engine'!$C$2:$C$1369,0)))</f>
        <v/>
      </c>
      <c r="K1325" s="9">
        <f>IF(ISNA(MATCH(1316,'Transfer Engine'!$C$2:$C$1369,0)),"",INDEX('Compliance Database'!$K$2:$K$1369,MATCH(1316,'Transfer Engine'!$C$2:$C$1369,0)))</f>
        <v/>
      </c>
      <c r="L1325" s="9">
        <f>IF(ISNA(MATCH(1316,'Transfer Engine'!$C$2:$C$1369,0)),"",INDEX('Compliance Database'!$L$2:$L$1369,MATCH(1316,'Transfer Engine'!$C$2:$C$1369,0)))</f>
        <v/>
      </c>
      <c r="M1325" s="9">
        <f>IF(ISNA(MATCH(1316,'Transfer Engine'!$C$2:$C$1369,0)),"",INDEX('Compliance Database'!$M$2:$M$1369,MATCH(1316,'Transfer Engine'!$C$2:$C$1369,0)))</f>
        <v/>
      </c>
      <c r="N1325" s="9">
        <f>IF(ISNA(MATCH(1316,'Transfer Engine'!$C$2:$C$1369,0)),"",INDEX('Compliance Database'!$N$2:$N$1369,MATCH(1316,'Transfer Engine'!$C$2:$C$1369,0)))</f>
        <v/>
      </c>
      <c r="O1325" s="8">
        <f>IF(ISNA(MATCH(1316,'Transfer Engine'!$C$2:$C$1369,0)),"",HYPERLINK(INDEX('Compliance Database'!$O$2:$O$1369,MATCH(1316,'Transfer Engine'!$C$2:$C$1369,0)),"Open PDF"))</f>
        <v/>
      </c>
    </row>
    <row r="1326" ht="188" customHeight="1">
      <c r="A1326" s="8">
        <f>IF(ISNA(MATCH(1317,'Transfer Engine'!$C$2:$C$1369,0)),"",INDEX('Compliance Database'!$A$2:$A$1369,MATCH(1317,'Transfer Engine'!$C$2:$C$1369,0)))</f>
        <v/>
      </c>
      <c r="B1326" s="8">
        <f>IF(ISNA(MATCH(1317,'Transfer Engine'!$C$2:$C$1369,0)),"",INDEX('Compliance Database'!$B$2:$B$1369,MATCH(1317,'Transfer Engine'!$C$2:$C$1369,0)))</f>
        <v/>
      </c>
      <c r="C1326" s="8">
        <f>IF(ISNA(MATCH(1317,'Transfer Engine'!$C$2:$C$1369,0)),"",INDEX('Compliance Database'!$C$2:$C$1369,MATCH(1317,'Transfer Engine'!$C$2:$C$1369,0)))</f>
        <v/>
      </c>
      <c r="D1326" s="9">
        <f>IF(ISNA(MATCH(1317,'Transfer Engine'!$C$2:$C$1369,0)),"",INDEX('Compliance Database'!$D$2:$D$1369,MATCH(1317,'Transfer Engine'!$C$2:$C$1369,0)))</f>
        <v/>
      </c>
      <c r="E1326" s="8">
        <f>IF(ISNA(MATCH(1317,'Transfer Engine'!$C$2:$C$1369,0)),"",INDEX('Compliance Database'!$E$2:$E$1369,MATCH(1317,'Transfer Engine'!$C$2:$C$1369,0)))</f>
        <v/>
      </c>
      <c r="F1326" s="8">
        <f>IF(ISNA(MATCH(1317,'Transfer Engine'!$C$2:$C$1369,0)),"",INDEX('Compliance Database'!$F$2:$F$1369,MATCH(1317,'Transfer Engine'!$C$2:$C$1369,0)))</f>
        <v/>
      </c>
      <c r="G1326" s="8">
        <f>IF(ISNA(MATCH(1317,'Transfer Engine'!$C$2:$C$1369,0)),"",INDEX('Compliance Database'!$G$2:$G$1369,MATCH(1317,'Transfer Engine'!$C$2:$C$1369,0)))</f>
        <v/>
      </c>
      <c r="H1326" s="9">
        <f>IF(ISNA(MATCH(1317,'Transfer Engine'!$C$2:$C$1369,0)),"",INDEX('Compliance Database'!$H$2:$H$1369,MATCH(1317,'Transfer Engine'!$C$2:$C$1369,0)))</f>
        <v/>
      </c>
      <c r="I1326" s="9">
        <f>IF(ISNA(MATCH(1317,'Transfer Engine'!$C$2:$C$1369,0)),"",INDEX('Compliance Database'!$I$2:$I$1369,MATCH(1317,'Transfer Engine'!$C$2:$C$1369,0)))</f>
        <v/>
      </c>
      <c r="J1326" s="8">
        <f>IF(ISNA(MATCH(1317,'Transfer Engine'!$C$2:$C$1369,0)),"",INDEX('Compliance Database'!$J$2:$J$1369,MATCH(1317,'Transfer Engine'!$C$2:$C$1369,0)))</f>
        <v/>
      </c>
      <c r="K1326" s="9">
        <f>IF(ISNA(MATCH(1317,'Transfer Engine'!$C$2:$C$1369,0)),"",INDEX('Compliance Database'!$K$2:$K$1369,MATCH(1317,'Transfer Engine'!$C$2:$C$1369,0)))</f>
        <v/>
      </c>
      <c r="L1326" s="9">
        <f>IF(ISNA(MATCH(1317,'Transfer Engine'!$C$2:$C$1369,0)),"",INDEX('Compliance Database'!$L$2:$L$1369,MATCH(1317,'Transfer Engine'!$C$2:$C$1369,0)))</f>
        <v/>
      </c>
      <c r="M1326" s="9">
        <f>IF(ISNA(MATCH(1317,'Transfer Engine'!$C$2:$C$1369,0)),"",INDEX('Compliance Database'!$M$2:$M$1369,MATCH(1317,'Transfer Engine'!$C$2:$C$1369,0)))</f>
        <v/>
      </c>
      <c r="N1326" s="9">
        <f>IF(ISNA(MATCH(1317,'Transfer Engine'!$C$2:$C$1369,0)),"",INDEX('Compliance Database'!$N$2:$N$1369,MATCH(1317,'Transfer Engine'!$C$2:$C$1369,0)))</f>
        <v/>
      </c>
      <c r="O1326" s="8">
        <f>IF(ISNA(MATCH(1317,'Transfer Engine'!$C$2:$C$1369,0)),"",HYPERLINK(INDEX('Compliance Database'!$O$2:$O$1369,MATCH(1317,'Transfer Engine'!$C$2:$C$1369,0)),"Open PDF"))</f>
        <v/>
      </c>
    </row>
    <row r="1327" ht="188" customHeight="1">
      <c r="A1327" s="8">
        <f>IF(ISNA(MATCH(1318,'Transfer Engine'!$C$2:$C$1369,0)),"",INDEX('Compliance Database'!$A$2:$A$1369,MATCH(1318,'Transfer Engine'!$C$2:$C$1369,0)))</f>
        <v/>
      </c>
      <c r="B1327" s="8">
        <f>IF(ISNA(MATCH(1318,'Transfer Engine'!$C$2:$C$1369,0)),"",INDEX('Compliance Database'!$B$2:$B$1369,MATCH(1318,'Transfer Engine'!$C$2:$C$1369,0)))</f>
        <v/>
      </c>
      <c r="C1327" s="8">
        <f>IF(ISNA(MATCH(1318,'Transfer Engine'!$C$2:$C$1369,0)),"",INDEX('Compliance Database'!$C$2:$C$1369,MATCH(1318,'Transfer Engine'!$C$2:$C$1369,0)))</f>
        <v/>
      </c>
      <c r="D1327" s="9">
        <f>IF(ISNA(MATCH(1318,'Transfer Engine'!$C$2:$C$1369,0)),"",INDEX('Compliance Database'!$D$2:$D$1369,MATCH(1318,'Transfer Engine'!$C$2:$C$1369,0)))</f>
        <v/>
      </c>
      <c r="E1327" s="8">
        <f>IF(ISNA(MATCH(1318,'Transfer Engine'!$C$2:$C$1369,0)),"",INDEX('Compliance Database'!$E$2:$E$1369,MATCH(1318,'Transfer Engine'!$C$2:$C$1369,0)))</f>
        <v/>
      </c>
      <c r="F1327" s="8">
        <f>IF(ISNA(MATCH(1318,'Transfer Engine'!$C$2:$C$1369,0)),"",INDEX('Compliance Database'!$F$2:$F$1369,MATCH(1318,'Transfer Engine'!$C$2:$C$1369,0)))</f>
        <v/>
      </c>
      <c r="G1327" s="8">
        <f>IF(ISNA(MATCH(1318,'Transfer Engine'!$C$2:$C$1369,0)),"",INDEX('Compliance Database'!$G$2:$G$1369,MATCH(1318,'Transfer Engine'!$C$2:$C$1369,0)))</f>
        <v/>
      </c>
      <c r="H1327" s="9">
        <f>IF(ISNA(MATCH(1318,'Transfer Engine'!$C$2:$C$1369,0)),"",INDEX('Compliance Database'!$H$2:$H$1369,MATCH(1318,'Transfer Engine'!$C$2:$C$1369,0)))</f>
        <v/>
      </c>
      <c r="I1327" s="9">
        <f>IF(ISNA(MATCH(1318,'Transfer Engine'!$C$2:$C$1369,0)),"",INDEX('Compliance Database'!$I$2:$I$1369,MATCH(1318,'Transfer Engine'!$C$2:$C$1369,0)))</f>
        <v/>
      </c>
      <c r="J1327" s="8">
        <f>IF(ISNA(MATCH(1318,'Transfer Engine'!$C$2:$C$1369,0)),"",INDEX('Compliance Database'!$J$2:$J$1369,MATCH(1318,'Transfer Engine'!$C$2:$C$1369,0)))</f>
        <v/>
      </c>
      <c r="K1327" s="9">
        <f>IF(ISNA(MATCH(1318,'Transfer Engine'!$C$2:$C$1369,0)),"",INDEX('Compliance Database'!$K$2:$K$1369,MATCH(1318,'Transfer Engine'!$C$2:$C$1369,0)))</f>
        <v/>
      </c>
      <c r="L1327" s="9">
        <f>IF(ISNA(MATCH(1318,'Transfer Engine'!$C$2:$C$1369,0)),"",INDEX('Compliance Database'!$L$2:$L$1369,MATCH(1318,'Transfer Engine'!$C$2:$C$1369,0)))</f>
        <v/>
      </c>
      <c r="M1327" s="9">
        <f>IF(ISNA(MATCH(1318,'Transfer Engine'!$C$2:$C$1369,0)),"",INDEX('Compliance Database'!$M$2:$M$1369,MATCH(1318,'Transfer Engine'!$C$2:$C$1369,0)))</f>
        <v/>
      </c>
      <c r="N1327" s="9">
        <f>IF(ISNA(MATCH(1318,'Transfer Engine'!$C$2:$C$1369,0)),"",INDEX('Compliance Database'!$N$2:$N$1369,MATCH(1318,'Transfer Engine'!$C$2:$C$1369,0)))</f>
        <v/>
      </c>
      <c r="O1327" s="8">
        <f>IF(ISNA(MATCH(1318,'Transfer Engine'!$C$2:$C$1369,0)),"",HYPERLINK(INDEX('Compliance Database'!$O$2:$O$1369,MATCH(1318,'Transfer Engine'!$C$2:$C$1369,0)),"Open PDF"))</f>
        <v/>
      </c>
    </row>
    <row r="1328" ht="188" customHeight="1">
      <c r="A1328" s="8">
        <f>IF(ISNA(MATCH(1319,'Transfer Engine'!$C$2:$C$1369,0)),"",INDEX('Compliance Database'!$A$2:$A$1369,MATCH(1319,'Transfer Engine'!$C$2:$C$1369,0)))</f>
        <v/>
      </c>
      <c r="B1328" s="8">
        <f>IF(ISNA(MATCH(1319,'Transfer Engine'!$C$2:$C$1369,0)),"",INDEX('Compliance Database'!$B$2:$B$1369,MATCH(1319,'Transfer Engine'!$C$2:$C$1369,0)))</f>
        <v/>
      </c>
      <c r="C1328" s="8">
        <f>IF(ISNA(MATCH(1319,'Transfer Engine'!$C$2:$C$1369,0)),"",INDEX('Compliance Database'!$C$2:$C$1369,MATCH(1319,'Transfer Engine'!$C$2:$C$1369,0)))</f>
        <v/>
      </c>
      <c r="D1328" s="9">
        <f>IF(ISNA(MATCH(1319,'Transfer Engine'!$C$2:$C$1369,0)),"",INDEX('Compliance Database'!$D$2:$D$1369,MATCH(1319,'Transfer Engine'!$C$2:$C$1369,0)))</f>
        <v/>
      </c>
      <c r="E1328" s="8">
        <f>IF(ISNA(MATCH(1319,'Transfer Engine'!$C$2:$C$1369,0)),"",INDEX('Compliance Database'!$E$2:$E$1369,MATCH(1319,'Transfer Engine'!$C$2:$C$1369,0)))</f>
        <v/>
      </c>
      <c r="F1328" s="8">
        <f>IF(ISNA(MATCH(1319,'Transfer Engine'!$C$2:$C$1369,0)),"",INDEX('Compliance Database'!$F$2:$F$1369,MATCH(1319,'Transfer Engine'!$C$2:$C$1369,0)))</f>
        <v/>
      </c>
      <c r="G1328" s="8">
        <f>IF(ISNA(MATCH(1319,'Transfer Engine'!$C$2:$C$1369,0)),"",INDEX('Compliance Database'!$G$2:$G$1369,MATCH(1319,'Transfer Engine'!$C$2:$C$1369,0)))</f>
        <v/>
      </c>
      <c r="H1328" s="9">
        <f>IF(ISNA(MATCH(1319,'Transfer Engine'!$C$2:$C$1369,0)),"",INDEX('Compliance Database'!$H$2:$H$1369,MATCH(1319,'Transfer Engine'!$C$2:$C$1369,0)))</f>
        <v/>
      </c>
      <c r="I1328" s="9">
        <f>IF(ISNA(MATCH(1319,'Transfer Engine'!$C$2:$C$1369,0)),"",INDEX('Compliance Database'!$I$2:$I$1369,MATCH(1319,'Transfer Engine'!$C$2:$C$1369,0)))</f>
        <v/>
      </c>
      <c r="J1328" s="8">
        <f>IF(ISNA(MATCH(1319,'Transfer Engine'!$C$2:$C$1369,0)),"",INDEX('Compliance Database'!$J$2:$J$1369,MATCH(1319,'Transfer Engine'!$C$2:$C$1369,0)))</f>
        <v/>
      </c>
      <c r="K1328" s="9">
        <f>IF(ISNA(MATCH(1319,'Transfer Engine'!$C$2:$C$1369,0)),"",INDEX('Compliance Database'!$K$2:$K$1369,MATCH(1319,'Transfer Engine'!$C$2:$C$1369,0)))</f>
        <v/>
      </c>
      <c r="L1328" s="9">
        <f>IF(ISNA(MATCH(1319,'Transfer Engine'!$C$2:$C$1369,0)),"",INDEX('Compliance Database'!$L$2:$L$1369,MATCH(1319,'Transfer Engine'!$C$2:$C$1369,0)))</f>
        <v/>
      </c>
      <c r="M1328" s="9">
        <f>IF(ISNA(MATCH(1319,'Transfer Engine'!$C$2:$C$1369,0)),"",INDEX('Compliance Database'!$M$2:$M$1369,MATCH(1319,'Transfer Engine'!$C$2:$C$1369,0)))</f>
        <v/>
      </c>
      <c r="N1328" s="9">
        <f>IF(ISNA(MATCH(1319,'Transfer Engine'!$C$2:$C$1369,0)),"",INDEX('Compliance Database'!$N$2:$N$1369,MATCH(1319,'Transfer Engine'!$C$2:$C$1369,0)))</f>
        <v/>
      </c>
      <c r="O1328" s="8">
        <f>IF(ISNA(MATCH(1319,'Transfer Engine'!$C$2:$C$1369,0)),"",HYPERLINK(INDEX('Compliance Database'!$O$2:$O$1369,MATCH(1319,'Transfer Engine'!$C$2:$C$1369,0)),"Open PDF"))</f>
        <v/>
      </c>
    </row>
    <row r="1329" ht="188" customHeight="1">
      <c r="A1329" s="8">
        <f>IF(ISNA(MATCH(1320,'Transfer Engine'!$C$2:$C$1369,0)),"",INDEX('Compliance Database'!$A$2:$A$1369,MATCH(1320,'Transfer Engine'!$C$2:$C$1369,0)))</f>
        <v/>
      </c>
      <c r="B1329" s="8">
        <f>IF(ISNA(MATCH(1320,'Transfer Engine'!$C$2:$C$1369,0)),"",INDEX('Compliance Database'!$B$2:$B$1369,MATCH(1320,'Transfer Engine'!$C$2:$C$1369,0)))</f>
        <v/>
      </c>
      <c r="C1329" s="8">
        <f>IF(ISNA(MATCH(1320,'Transfer Engine'!$C$2:$C$1369,0)),"",INDEX('Compliance Database'!$C$2:$C$1369,MATCH(1320,'Transfer Engine'!$C$2:$C$1369,0)))</f>
        <v/>
      </c>
      <c r="D1329" s="9">
        <f>IF(ISNA(MATCH(1320,'Transfer Engine'!$C$2:$C$1369,0)),"",INDEX('Compliance Database'!$D$2:$D$1369,MATCH(1320,'Transfer Engine'!$C$2:$C$1369,0)))</f>
        <v/>
      </c>
      <c r="E1329" s="8">
        <f>IF(ISNA(MATCH(1320,'Transfer Engine'!$C$2:$C$1369,0)),"",INDEX('Compliance Database'!$E$2:$E$1369,MATCH(1320,'Transfer Engine'!$C$2:$C$1369,0)))</f>
        <v/>
      </c>
      <c r="F1329" s="8">
        <f>IF(ISNA(MATCH(1320,'Transfer Engine'!$C$2:$C$1369,0)),"",INDEX('Compliance Database'!$F$2:$F$1369,MATCH(1320,'Transfer Engine'!$C$2:$C$1369,0)))</f>
        <v/>
      </c>
      <c r="G1329" s="8">
        <f>IF(ISNA(MATCH(1320,'Transfer Engine'!$C$2:$C$1369,0)),"",INDEX('Compliance Database'!$G$2:$G$1369,MATCH(1320,'Transfer Engine'!$C$2:$C$1369,0)))</f>
        <v/>
      </c>
      <c r="H1329" s="9">
        <f>IF(ISNA(MATCH(1320,'Transfer Engine'!$C$2:$C$1369,0)),"",INDEX('Compliance Database'!$H$2:$H$1369,MATCH(1320,'Transfer Engine'!$C$2:$C$1369,0)))</f>
        <v/>
      </c>
      <c r="I1329" s="9">
        <f>IF(ISNA(MATCH(1320,'Transfer Engine'!$C$2:$C$1369,0)),"",INDEX('Compliance Database'!$I$2:$I$1369,MATCH(1320,'Transfer Engine'!$C$2:$C$1369,0)))</f>
        <v/>
      </c>
      <c r="J1329" s="8">
        <f>IF(ISNA(MATCH(1320,'Transfer Engine'!$C$2:$C$1369,0)),"",INDEX('Compliance Database'!$J$2:$J$1369,MATCH(1320,'Transfer Engine'!$C$2:$C$1369,0)))</f>
        <v/>
      </c>
      <c r="K1329" s="9">
        <f>IF(ISNA(MATCH(1320,'Transfer Engine'!$C$2:$C$1369,0)),"",INDEX('Compliance Database'!$K$2:$K$1369,MATCH(1320,'Transfer Engine'!$C$2:$C$1369,0)))</f>
        <v/>
      </c>
      <c r="L1329" s="9">
        <f>IF(ISNA(MATCH(1320,'Transfer Engine'!$C$2:$C$1369,0)),"",INDEX('Compliance Database'!$L$2:$L$1369,MATCH(1320,'Transfer Engine'!$C$2:$C$1369,0)))</f>
        <v/>
      </c>
      <c r="M1329" s="9">
        <f>IF(ISNA(MATCH(1320,'Transfer Engine'!$C$2:$C$1369,0)),"",INDEX('Compliance Database'!$M$2:$M$1369,MATCH(1320,'Transfer Engine'!$C$2:$C$1369,0)))</f>
        <v/>
      </c>
      <c r="N1329" s="9">
        <f>IF(ISNA(MATCH(1320,'Transfer Engine'!$C$2:$C$1369,0)),"",INDEX('Compliance Database'!$N$2:$N$1369,MATCH(1320,'Transfer Engine'!$C$2:$C$1369,0)))</f>
        <v/>
      </c>
      <c r="O1329" s="8">
        <f>IF(ISNA(MATCH(1320,'Transfer Engine'!$C$2:$C$1369,0)),"",HYPERLINK(INDEX('Compliance Database'!$O$2:$O$1369,MATCH(1320,'Transfer Engine'!$C$2:$C$1369,0)),"Open PDF"))</f>
        <v/>
      </c>
    </row>
    <row r="1330" ht="188" customHeight="1">
      <c r="A1330" s="8">
        <f>IF(ISNA(MATCH(1321,'Transfer Engine'!$C$2:$C$1369,0)),"",INDEX('Compliance Database'!$A$2:$A$1369,MATCH(1321,'Transfer Engine'!$C$2:$C$1369,0)))</f>
        <v/>
      </c>
      <c r="B1330" s="8">
        <f>IF(ISNA(MATCH(1321,'Transfer Engine'!$C$2:$C$1369,0)),"",INDEX('Compliance Database'!$B$2:$B$1369,MATCH(1321,'Transfer Engine'!$C$2:$C$1369,0)))</f>
        <v/>
      </c>
      <c r="C1330" s="8">
        <f>IF(ISNA(MATCH(1321,'Transfer Engine'!$C$2:$C$1369,0)),"",INDEX('Compliance Database'!$C$2:$C$1369,MATCH(1321,'Transfer Engine'!$C$2:$C$1369,0)))</f>
        <v/>
      </c>
      <c r="D1330" s="9">
        <f>IF(ISNA(MATCH(1321,'Transfer Engine'!$C$2:$C$1369,0)),"",INDEX('Compliance Database'!$D$2:$D$1369,MATCH(1321,'Transfer Engine'!$C$2:$C$1369,0)))</f>
        <v/>
      </c>
      <c r="E1330" s="8">
        <f>IF(ISNA(MATCH(1321,'Transfer Engine'!$C$2:$C$1369,0)),"",INDEX('Compliance Database'!$E$2:$E$1369,MATCH(1321,'Transfer Engine'!$C$2:$C$1369,0)))</f>
        <v/>
      </c>
      <c r="F1330" s="8">
        <f>IF(ISNA(MATCH(1321,'Transfer Engine'!$C$2:$C$1369,0)),"",INDEX('Compliance Database'!$F$2:$F$1369,MATCH(1321,'Transfer Engine'!$C$2:$C$1369,0)))</f>
        <v/>
      </c>
      <c r="G1330" s="8">
        <f>IF(ISNA(MATCH(1321,'Transfer Engine'!$C$2:$C$1369,0)),"",INDEX('Compliance Database'!$G$2:$G$1369,MATCH(1321,'Transfer Engine'!$C$2:$C$1369,0)))</f>
        <v/>
      </c>
      <c r="H1330" s="9">
        <f>IF(ISNA(MATCH(1321,'Transfer Engine'!$C$2:$C$1369,0)),"",INDEX('Compliance Database'!$H$2:$H$1369,MATCH(1321,'Transfer Engine'!$C$2:$C$1369,0)))</f>
        <v/>
      </c>
      <c r="I1330" s="9">
        <f>IF(ISNA(MATCH(1321,'Transfer Engine'!$C$2:$C$1369,0)),"",INDEX('Compliance Database'!$I$2:$I$1369,MATCH(1321,'Transfer Engine'!$C$2:$C$1369,0)))</f>
        <v/>
      </c>
      <c r="J1330" s="8">
        <f>IF(ISNA(MATCH(1321,'Transfer Engine'!$C$2:$C$1369,0)),"",INDEX('Compliance Database'!$J$2:$J$1369,MATCH(1321,'Transfer Engine'!$C$2:$C$1369,0)))</f>
        <v/>
      </c>
      <c r="K1330" s="9">
        <f>IF(ISNA(MATCH(1321,'Transfer Engine'!$C$2:$C$1369,0)),"",INDEX('Compliance Database'!$K$2:$K$1369,MATCH(1321,'Transfer Engine'!$C$2:$C$1369,0)))</f>
        <v/>
      </c>
      <c r="L1330" s="9">
        <f>IF(ISNA(MATCH(1321,'Transfer Engine'!$C$2:$C$1369,0)),"",INDEX('Compliance Database'!$L$2:$L$1369,MATCH(1321,'Transfer Engine'!$C$2:$C$1369,0)))</f>
        <v/>
      </c>
      <c r="M1330" s="9">
        <f>IF(ISNA(MATCH(1321,'Transfer Engine'!$C$2:$C$1369,0)),"",INDEX('Compliance Database'!$M$2:$M$1369,MATCH(1321,'Transfer Engine'!$C$2:$C$1369,0)))</f>
        <v/>
      </c>
      <c r="N1330" s="9">
        <f>IF(ISNA(MATCH(1321,'Transfer Engine'!$C$2:$C$1369,0)),"",INDEX('Compliance Database'!$N$2:$N$1369,MATCH(1321,'Transfer Engine'!$C$2:$C$1369,0)))</f>
        <v/>
      </c>
      <c r="O1330" s="8">
        <f>IF(ISNA(MATCH(1321,'Transfer Engine'!$C$2:$C$1369,0)),"",HYPERLINK(INDEX('Compliance Database'!$O$2:$O$1369,MATCH(1321,'Transfer Engine'!$C$2:$C$1369,0)),"Open PDF"))</f>
        <v/>
      </c>
    </row>
    <row r="1331" ht="188" customHeight="1">
      <c r="A1331" s="8">
        <f>IF(ISNA(MATCH(1322,'Transfer Engine'!$C$2:$C$1369,0)),"",INDEX('Compliance Database'!$A$2:$A$1369,MATCH(1322,'Transfer Engine'!$C$2:$C$1369,0)))</f>
        <v/>
      </c>
      <c r="B1331" s="8">
        <f>IF(ISNA(MATCH(1322,'Transfer Engine'!$C$2:$C$1369,0)),"",INDEX('Compliance Database'!$B$2:$B$1369,MATCH(1322,'Transfer Engine'!$C$2:$C$1369,0)))</f>
        <v/>
      </c>
      <c r="C1331" s="8">
        <f>IF(ISNA(MATCH(1322,'Transfer Engine'!$C$2:$C$1369,0)),"",INDEX('Compliance Database'!$C$2:$C$1369,MATCH(1322,'Transfer Engine'!$C$2:$C$1369,0)))</f>
        <v/>
      </c>
      <c r="D1331" s="9">
        <f>IF(ISNA(MATCH(1322,'Transfer Engine'!$C$2:$C$1369,0)),"",INDEX('Compliance Database'!$D$2:$D$1369,MATCH(1322,'Transfer Engine'!$C$2:$C$1369,0)))</f>
        <v/>
      </c>
      <c r="E1331" s="8">
        <f>IF(ISNA(MATCH(1322,'Transfer Engine'!$C$2:$C$1369,0)),"",INDEX('Compliance Database'!$E$2:$E$1369,MATCH(1322,'Transfer Engine'!$C$2:$C$1369,0)))</f>
        <v/>
      </c>
      <c r="F1331" s="8">
        <f>IF(ISNA(MATCH(1322,'Transfer Engine'!$C$2:$C$1369,0)),"",INDEX('Compliance Database'!$F$2:$F$1369,MATCH(1322,'Transfer Engine'!$C$2:$C$1369,0)))</f>
        <v/>
      </c>
      <c r="G1331" s="8">
        <f>IF(ISNA(MATCH(1322,'Transfer Engine'!$C$2:$C$1369,0)),"",INDEX('Compliance Database'!$G$2:$G$1369,MATCH(1322,'Transfer Engine'!$C$2:$C$1369,0)))</f>
        <v/>
      </c>
      <c r="H1331" s="9">
        <f>IF(ISNA(MATCH(1322,'Transfer Engine'!$C$2:$C$1369,0)),"",INDEX('Compliance Database'!$H$2:$H$1369,MATCH(1322,'Transfer Engine'!$C$2:$C$1369,0)))</f>
        <v/>
      </c>
      <c r="I1331" s="9">
        <f>IF(ISNA(MATCH(1322,'Transfer Engine'!$C$2:$C$1369,0)),"",INDEX('Compliance Database'!$I$2:$I$1369,MATCH(1322,'Transfer Engine'!$C$2:$C$1369,0)))</f>
        <v/>
      </c>
      <c r="J1331" s="8">
        <f>IF(ISNA(MATCH(1322,'Transfer Engine'!$C$2:$C$1369,0)),"",INDEX('Compliance Database'!$J$2:$J$1369,MATCH(1322,'Transfer Engine'!$C$2:$C$1369,0)))</f>
        <v/>
      </c>
      <c r="K1331" s="9">
        <f>IF(ISNA(MATCH(1322,'Transfer Engine'!$C$2:$C$1369,0)),"",INDEX('Compliance Database'!$K$2:$K$1369,MATCH(1322,'Transfer Engine'!$C$2:$C$1369,0)))</f>
        <v/>
      </c>
      <c r="L1331" s="9">
        <f>IF(ISNA(MATCH(1322,'Transfer Engine'!$C$2:$C$1369,0)),"",INDEX('Compliance Database'!$L$2:$L$1369,MATCH(1322,'Transfer Engine'!$C$2:$C$1369,0)))</f>
        <v/>
      </c>
      <c r="M1331" s="9">
        <f>IF(ISNA(MATCH(1322,'Transfer Engine'!$C$2:$C$1369,0)),"",INDEX('Compliance Database'!$M$2:$M$1369,MATCH(1322,'Transfer Engine'!$C$2:$C$1369,0)))</f>
        <v/>
      </c>
      <c r="N1331" s="9">
        <f>IF(ISNA(MATCH(1322,'Transfer Engine'!$C$2:$C$1369,0)),"",INDEX('Compliance Database'!$N$2:$N$1369,MATCH(1322,'Transfer Engine'!$C$2:$C$1369,0)))</f>
        <v/>
      </c>
      <c r="O1331" s="8">
        <f>IF(ISNA(MATCH(1322,'Transfer Engine'!$C$2:$C$1369,0)),"",HYPERLINK(INDEX('Compliance Database'!$O$2:$O$1369,MATCH(1322,'Transfer Engine'!$C$2:$C$1369,0)),"Open PDF"))</f>
        <v/>
      </c>
    </row>
    <row r="1332" ht="188" customHeight="1">
      <c r="A1332" s="8">
        <f>IF(ISNA(MATCH(1323,'Transfer Engine'!$C$2:$C$1369,0)),"",INDEX('Compliance Database'!$A$2:$A$1369,MATCH(1323,'Transfer Engine'!$C$2:$C$1369,0)))</f>
        <v/>
      </c>
      <c r="B1332" s="8">
        <f>IF(ISNA(MATCH(1323,'Transfer Engine'!$C$2:$C$1369,0)),"",INDEX('Compliance Database'!$B$2:$B$1369,MATCH(1323,'Transfer Engine'!$C$2:$C$1369,0)))</f>
        <v/>
      </c>
      <c r="C1332" s="8">
        <f>IF(ISNA(MATCH(1323,'Transfer Engine'!$C$2:$C$1369,0)),"",INDEX('Compliance Database'!$C$2:$C$1369,MATCH(1323,'Transfer Engine'!$C$2:$C$1369,0)))</f>
        <v/>
      </c>
      <c r="D1332" s="9">
        <f>IF(ISNA(MATCH(1323,'Transfer Engine'!$C$2:$C$1369,0)),"",INDEX('Compliance Database'!$D$2:$D$1369,MATCH(1323,'Transfer Engine'!$C$2:$C$1369,0)))</f>
        <v/>
      </c>
      <c r="E1332" s="8">
        <f>IF(ISNA(MATCH(1323,'Transfer Engine'!$C$2:$C$1369,0)),"",INDEX('Compliance Database'!$E$2:$E$1369,MATCH(1323,'Transfer Engine'!$C$2:$C$1369,0)))</f>
        <v/>
      </c>
      <c r="F1332" s="8">
        <f>IF(ISNA(MATCH(1323,'Transfer Engine'!$C$2:$C$1369,0)),"",INDEX('Compliance Database'!$F$2:$F$1369,MATCH(1323,'Transfer Engine'!$C$2:$C$1369,0)))</f>
        <v/>
      </c>
      <c r="G1332" s="8">
        <f>IF(ISNA(MATCH(1323,'Transfer Engine'!$C$2:$C$1369,0)),"",INDEX('Compliance Database'!$G$2:$G$1369,MATCH(1323,'Transfer Engine'!$C$2:$C$1369,0)))</f>
        <v/>
      </c>
      <c r="H1332" s="9">
        <f>IF(ISNA(MATCH(1323,'Transfer Engine'!$C$2:$C$1369,0)),"",INDEX('Compliance Database'!$H$2:$H$1369,MATCH(1323,'Transfer Engine'!$C$2:$C$1369,0)))</f>
        <v/>
      </c>
      <c r="I1332" s="9">
        <f>IF(ISNA(MATCH(1323,'Transfer Engine'!$C$2:$C$1369,0)),"",INDEX('Compliance Database'!$I$2:$I$1369,MATCH(1323,'Transfer Engine'!$C$2:$C$1369,0)))</f>
        <v/>
      </c>
      <c r="J1332" s="8">
        <f>IF(ISNA(MATCH(1323,'Transfer Engine'!$C$2:$C$1369,0)),"",INDEX('Compliance Database'!$J$2:$J$1369,MATCH(1323,'Transfer Engine'!$C$2:$C$1369,0)))</f>
        <v/>
      </c>
      <c r="K1332" s="9">
        <f>IF(ISNA(MATCH(1323,'Transfer Engine'!$C$2:$C$1369,0)),"",INDEX('Compliance Database'!$K$2:$K$1369,MATCH(1323,'Transfer Engine'!$C$2:$C$1369,0)))</f>
        <v/>
      </c>
      <c r="L1332" s="9">
        <f>IF(ISNA(MATCH(1323,'Transfer Engine'!$C$2:$C$1369,0)),"",INDEX('Compliance Database'!$L$2:$L$1369,MATCH(1323,'Transfer Engine'!$C$2:$C$1369,0)))</f>
        <v/>
      </c>
      <c r="M1332" s="9">
        <f>IF(ISNA(MATCH(1323,'Transfer Engine'!$C$2:$C$1369,0)),"",INDEX('Compliance Database'!$M$2:$M$1369,MATCH(1323,'Transfer Engine'!$C$2:$C$1369,0)))</f>
        <v/>
      </c>
      <c r="N1332" s="9">
        <f>IF(ISNA(MATCH(1323,'Transfer Engine'!$C$2:$C$1369,0)),"",INDEX('Compliance Database'!$N$2:$N$1369,MATCH(1323,'Transfer Engine'!$C$2:$C$1369,0)))</f>
        <v/>
      </c>
      <c r="O1332" s="8">
        <f>IF(ISNA(MATCH(1323,'Transfer Engine'!$C$2:$C$1369,0)),"",HYPERLINK(INDEX('Compliance Database'!$O$2:$O$1369,MATCH(1323,'Transfer Engine'!$C$2:$C$1369,0)),"Open PDF"))</f>
        <v/>
      </c>
    </row>
    <row r="1333" ht="188" customHeight="1">
      <c r="A1333" s="8">
        <f>IF(ISNA(MATCH(1324,'Transfer Engine'!$C$2:$C$1369,0)),"",INDEX('Compliance Database'!$A$2:$A$1369,MATCH(1324,'Transfer Engine'!$C$2:$C$1369,0)))</f>
        <v/>
      </c>
      <c r="B1333" s="8">
        <f>IF(ISNA(MATCH(1324,'Transfer Engine'!$C$2:$C$1369,0)),"",INDEX('Compliance Database'!$B$2:$B$1369,MATCH(1324,'Transfer Engine'!$C$2:$C$1369,0)))</f>
        <v/>
      </c>
      <c r="C1333" s="8">
        <f>IF(ISNA(MATCH(1324,'Transfer Engine'!$C$2:$C$1369,0)),"",INDEX('Compliance Database'!$C$2:$C$1369,MATCH(1324,'Transfer Engine'!$C$2:$C$1369,0)))</f>
        <v/>
      </c>
      <c r="D1333" s="9">
        <f>IF(ISNA(MATCH(1324,'Transfer Engine'!$C$2:$C$1369,0)),"",INDEX('Compliance Database'!$D$2:$D$1369,MATCH(1324,'Transfer Engine'!$C$2:$C$1369,0)))</f>
        <v/>
      </c>
      <c r="E1333" s="8">
        <f>IF(ISNA(MATCH(1324,'Transfer Engine'!$C$2:$C$1369,0)),"",INDEX('Compliance Database'!$E$2:$E$1369,MATCH(1324,'Transfer Engine'!$C$2:$C$1369,0)))</f>
        <v/>
      </c>
      <c r="F1333" s="8">
        <f>IF(ISNA(MATCH(1324,'Transfer Engine'!$C$2:$C$1369,0)),"",INDEX('Compliance Database'!$F$2:$F$1369,MATCH(1324,'Transfer Engine'!$C$2:$C$1369,0)))</f>
        <v/>
      </c>
      <c r="G1333" s="8">
        <f>IF(ISNA(MATCH(1324,'Transfer Engine'!$C$2:$C$1369,0)),"",INDEX('Compliance Database'!$G$2:$G$1369,MATCH(1324,'Transfer Engine'!$C$2:$C$1369,0)))</f>
        <v/>
      </c>
      <c r="H1333" s="9">
        <f>IF(ISNA(MATCH(1324,'Transfer Engine'!$C$2:$C$1369,0)),"",INDEX('Compliance Database'!$H$2:$H$1369,MATCH(1324,'Transfer Engine'!$C$2:$C$1369,0)))</f>
        <v/>
      </c>
      <c r="I1333" s="9">
        <f>IF(ISNA(MATCH(1324,'Transfer Engine'!$C$2:$C$1369,0)),"",INDEX('Compliance Database'!$I$2:$I$1369,MATCH(1324,'Transfer Engine'!$C$2:$C$1369,0)))</f>
        <v/>
      </c>
      <c r="J1333" s="8">
        <f>IF(ISNA(MATCH(1324,'Transfer Engine'!$C$2:$C$1369,0)),"",INDEX('Compliance Database'!$J$2:$J$1369,MATCH(1324,'Transfer Engine'!$C$2:$C$1369,0)))</f>
        <v/>
      </c>
      <c r="K1333" s="9">
        <f>IF(ISNA(MATCH(1324,'Transfer Engine'!$C$2:$C$1369,0)),"",INDEX('Compliance Database'!$K$2:$K$1369,MATCH(1324,'Transfer Engine'!$C$2:$C$1369,0)))</f>
        <v/>
      </c>
      <c r="L1333" s="9">
        <f>IF(ISNA(MATCH(1324,'Transfer Engine'!$C$2:$C$1369,0)),"",INDEX('Compliance Database'!$L$2:$L$1369,MATCH(1324,'Transfer Engine'!$C$2:$C$1369,0)))</f>
        <v/>
      </c>
      <c r="M1333" s="9">
        <f>IF(ISNA(MATCH(1324,'Transfer Engine'!$C$2:$C$1369,0)),"",INDEX('Compliance Database'!$M$2:$M$1369,MATCH(1324,'Transfer Engine'!$C$2:$C$1369,0)))</f>
        <v/>
      </c>
      <c r="N1333" s="9">
        <f>IF(ISNA(MATCH(1324,'Transfer Engine'!$C$2:$C$1369,0)),"",INDEX('Compliance Database'!$N$2:$N$1369,MATCH(1324,'Transfer Engine'!$C$2:$C$1369,0)))</f>
        <v/>
      </c>
      <c r="O1333" s="8">
        <f>IF(ISNA(MATCH(1324,'Transfer Engine'!$C$2:$C$1369,0)),"",HYPERLINK(INDEX('Compliance Database'!$O$2:$O$1369,MATCH(1324,'Transfer Engine'!$C$2:$C$1369,0)),"Open PDF"))</f>
        <v/>
      </c>
    </row>
    <row r="1334" ht="188" customHeight="1">
      <c r="A1334" s="8">
        <f>IF(ISNA(MATCH(1325,'Transfer Engine'!$C$2:$C$1369,0)),"",INDEX('Compliance Database'!$A$2:$A$1369,MATCH(1325,'Transfer Engine'!$C$2:$C$1369,0)))</f>
        <v/>
      </c>
      <c r="B1334" s="8">
        <f>IF(ISNA(MATCH(1325,'Transfer Engine'!$C$2:$C$1369,0)),"",INDEX('Compliance Database'!$B$2:$B$1369,MATCH(1325,'Transfer Engine'!$C$2:$C$1369,0)))</f>
        <v/>
      </c>
      <c r="C1334" s="8">
        <f>IF(ISNA(MATCH(1325,'Transfer Engine'!$C$2:$C$1369,0)),"",INDEX('Compliance Database'!$C$2:$C$1369,MATCH(1325,'Transfer Engine'!$C$2:$C$1369,0)))</f>
        <v/>
      </c>
      <c r="D1334" s="9">
        <f>IF(ISNA(MATCH(1325,'Transfer Engine'!$C$2:$C$1369,0)),"",INDEX('Compliance Database'!$D$2:$D$1369,MATCH(1325,'Transfer Engine'!$C$2:$C$1369,0)))</f>
        <v/>
      </c>
      <c r="E1334" s="8">
        <f>IF(ISNA(MATCH(1325,'Transfer Engine'!$C$2:$C$1369,0)),"",INDEX('Compliance Database'!$E$2:$E$1369,MATCH(1325,'Transfer Engine'!$C$2:$C$1369,0)))</f>
        <v/>
      </c>
      <c r="F1334" s="8">
        <f>IF(ISNA(MATCH(1325,'Transfer Engine'!$C$2:$C$1369,0)),"",INDEX('Compliance Database'!$F$2:$F$1369,MATCH(1325,'Transfer Engine'!$C$2:$C$1369,0)))</f>
        <v/>
      </c>
      <c r="G1334" s="8">
        <f>IF(ISNA(MATCH(1325,'Transfer Engine'!$C$2:$C$1369,0)),"",INDEX('Compliance Database'!$G$2:$G$1369,MATCH(1325,'Transfer Engine'!$C$2:$C$1369,0)))</f>
        <v/>
      </c>
      <c r="H1334" s="9">
        <f>IF(ISNA(MATCH(1325,'Transfer Engine'!$C$2:$C$1369,0)),"",INDEX('Compliance Database'!$H$2:$H$1369,MATCH(1325,'Transfer Engine'!$C$2:$C$1369,0)))</f>
        <v/>
      </c>
      <c r="I1334" s="9">
        <f>IF(ISNA(MATCH(1325,'Transfer Engine'!$C$2:$C$1369,0)),"",INDEX('Compliance Database'!$I$2:$I$1369,MATCH(1325,'Transfer Engine'!$C$2:$C$1369,0)))</f>
        <v/>
      </c>
      <c r="J1334" s="8">
        <f>IF(ISNA(MATCH(1325,'Transfer Engine'!$C$2:$C$1369,0)),"",INDEX('Compliance Database'!$J$2:$J$1369,MATCH(1325,'Transfer Engine'!$C$2:$C$1369,0)))</f>
        <v/>
      </c>
      <c r="K1334" s="9">
        <f>IF(ISNA(MATCH(1325,'Transfer Engine'!$C$2:$C$1369,0)),"",INDEX('Compliance Database'!$K$2:$K$1369,MATCH(1325,'Transfer Engine'!$C$2:$C$1369,0)))</f>
        <v/>
      </c>
      <c r="L1334" s="9">
        <f>IF(ISNA(MATCH(1325,'Transfer Engine'!$C$2:$C$1369,0)),"",INDEX('Compliance Database'!$L$2:$L$1369,MATCH(1325,'Transfer Engine'!$C$2:$C$1369,0)))</f>
        <v/>
      </c>
      <c r="M1334" s="9">
        <f>IF(ISNA(MATCH(1325,'Transfer Engine'!$C$2:$C$1369,0)),"",INDEX('Compliance Database'!$M$2:$M$1369,MATCH(1325,'Transfer Engine'!$C$2:$C$1369,0)))</f>
        <v/>
      </c>
      <c r="N1334" s="9">
        <f>IF(ISNA(MATCH(1325,'Transfer Engine'!$C$2:$C$1369,0)),"",INDEX('Compliance Database'!$N$2:$N$1369,MATCH(1325,'Transfer Engine'!$C$2:$C$1369,0)))</f>
        <v/>
      </c>
      <c r="O1334" s="8">
        <f>IF(ISNA(MATCH(1325,'Transfer Engine'!$C$2:$C$1369,0)),"",HYPERLINK(INDEX('Compliance Database'!$O$2:$O$1369,MATCH(1325,'Transfer Engine'!$C$2:$C$1369,0)),"Open PDF"))</f>
        <v/>
      </c>
    </row>
    <row r="1335" ht="188" customHeight="1">
      <c r="A1335" s="8">
        <f>IF(ISNA(MATCH(1326,'Transfer Engine'!$C$2:$C$1369,0)),"",INDEX('Compliance Database'!$A$2:$A$1369,MATCH(1326,'Transfer Engine'!$C$2:$C$1369,0)))</f>
        <v/>
      </c>
      <c r="B1335" s="8">
        <f>IF(ISNA(MATCH(1326,'Transfer Engine'!$C$2:$C$1369,0)),"",INDEX('Compliance Database'!$B$2:$B$1369,MATCH(1326,'Transfer Engine'!$C$2:$C$1369,0)))</f>
        <v/>
      </c>
      <c r="C1335" s="8">
        <f>IF(ISNA(MATCH(1326,'Transfer Engine'!$C$2:$C$1369,0)),"",INDEX('Compliance Database'!$C$2:$C$1369,MATCH(1326,'Transfer Engine'!$C$2:$C$1369,0)))</f>
        <v/>
      </c>
      <c r="D1335" s="9">
        <f>IF(ISNA(MATCH(1326,'Transfer Engine'!$C$2:$C$1369,0)),"",INDEX('Compliance Database'!$D$2:$D$1369,MATCH(1326,'Transfer Engine'!$C$2:$C$1369,0)))</f>
        <v/>
      </c>
      <c r="E1335" s="8">
        <f>IF(ISNA(MATCH(1326,'Transfer Engine'!$C$2:$C$1369,0)),"",INDEX('Compliance Database'!$E$2:$E$1369,MATCH(1326,'Transfer Engine'!$C$2:$C$1369,0)))</f>
        <v/>
      </c>
      <c r="F1335" s="8">
        <f>IF(ISNA(MATCH(1326,'Transfer Engine'!$C$2:$C$1369,0)),"",INDEX('Compliance Database'!$F$2:$F$1369,MATCH(1326,'Transfer Engine'!$C$2:$C$1369,0)))</f>
        <v/>
      </c>
      <c r="G1335" s="8">
        <f>IF(ISNA(MATCH(1326,'Transfer Engine'!$C$2:$C$1369,0)),"",INDEX('Compliance Database'!$G$2:$G$1369,MATCH(1326,'Transfer Engine'!$C$2:$C$1369,0)))</f>
        <v/>
      </c>
      <c r="H1335" s="9">
        <f>IF(ISNA(MATCH(1326,'Transfer Engine'!$C$2:$C$1369,0)),"",INDEX('Compliance Database'!$H$2:$H$1369,MATCH(1326,'Transfer Engine'!$C$2:$C$1369,0)))</f>
        <v/>
      </c>
      <c r="I1335" s="9">
        <f>IF(ISNA(MATCH(1326,'Transfer Engine'!$C$2:$C$1369,0)),"",INDEX('Compliance Database'!$I$2:$I$1369,MATCH(1326,'Transfer Engine'!$C$2:$C$1369,0)))</f>
        <v/>
      </c>
      <c r="J1335" s="8">
        <f>IF(ISNA(MATCH(1326,'Transfer Engine'!$C$2:$C$1369,0)),"",INDEX('Compliance Database'!$J$2:$J$1369,MATCH(1326,'Transfer Engine'!$C$2:$C$1369,0)))</f>
        <v/>
      </c>
      <c r="K1335" s="9">
        <f>IF(ISNA(MATCH(1326,'Transfer Engine'!$C$2:$C$1369,0)),"",INDEX('Compliance Database'!$K$2:$K$1369,MATCH(1326,'Transfer Engine'!$C$2:$C$1369,0)))</f>
        <v/>
      </c>
      <c r="L1335" s="9">
        <f>IF(ISNA(MATCH(1326,'Transfer Engine'!$C$2:$C$1369,0)),"",INDEX('Compliance Database'!$L$2:$L$1369,MATCH(1326,'Transfer Engine'!$C$2:$C$1369,0)))</f>
        <v/>
      </c>
      <c r="M1335" s="9">
        <f>IF(ISNA(MATCH(1326,'Transfer Engine'!$C$2:$C$1369,0)),"",INDEX('Compliance Database'!$M$2:$M$1369,MATCH(1326,'Transfer Engine'!$C$2:$C$1369,0)))</f>
        <v/>
      </c>
      <c r="N1335" s="9">
        <f>IF(ISNA(MATCH(1326,'Transfer Engine'!$C$2:$C$1369,0)),"",INDEX('Compliance Database'!$N$2:$N$1369,MATCH(1326,'Transfer Engine'!$C$2:$C$1369,0)))</f>
        <v/>
      </c>
      <c r="O1335" s="8">
        <f>IF(ISNA(MATCH(1326,'Transfer Engine'!$C$2:$C$1369,0)),"",HYPERLINK(INDEX('Compliance Database'!$O$2:$O$1369,MATCH(1326,'Transfer Engine'!$C$2:$C$1369,0)),"Open PDF"))</f>
        <v/>
      </c>
    </row>
    <row r="1336" ht="188" customHeight="1">
      <c r="A1336" s="8">
        <f>IF(ISNA(MATCH(1327,'Transfer Engine'!$C$2:$C$1369,0)),"",INDEX('Compliance Database'!$A$2:$A$1369,MATCH(1327,'Transfer Engine'!$C$2:$C$1369,0)))</f>
        <v/>
      </c>
      <c r="B1336" s="8">
        <f>IF(ISNA(MATCH(1327,'Transfer Engine'!$C$2:$C$1369,0)),"",INDEX('Compliance Database'!$B$2:$B$1369,MATCH(1327,'Transfer Engine'!$C$2:$C$1369,0)))</f>
        <v/>
      </c>
      <c r="C1336" s="8">
        <f>IF(ISNA(MATCH(1327,'Transfer Engine'!$C$2:$C$1369,0)),"",INDEX('Compliance Database'!$C$2:$C$1369,MATCH(1327,'Transfer Engine'!$C$2:$C$1369,0)))</f>
        <v/>
      </c>
      <c r="D1336" s="9">
        <f>IF(ISNA(MATCH(1327,'Transfer Engine'!$C$2:$C$1369,0)),"",INDEX('Compliance Database'!$D$2:$D$1369,MATCH(1327,'Transfer Engine'!$C$2:$C$1369,0)))</f>
        <v/>
      </c>
      <c r="E1336" s="8">
        <f>IF(ISNA(MATCH(1327,'Transfer Engine'!$C$2:$C$1369,0)),"",INDEX('Compliance Database'!$E$2:$E$1369,MATCH(1327,'Transfer Engine'!$C$2:$C$1369,0)))</f>
        <v/>
      </c>
      <c r="F1336" s="8">
        <f>IF(ISNA(MATCH(1327,'Transfer Engine'!$C$2:$C$1369,0)),"",INDEX('Compliance Database'!$F$2:$F$1369,MATCH(1327,'Transfer Engine'!$C$2:$C$1369,0)))</f>
        <v/>
      </c>
      <c r="G1336" s="8">
        <f>IF(ISNA(MATCH(1327,'Transfer Engine'!$C$2:$C$1369,0)),"",INDEX('Compliance Database'!$G$2:$G$1369,MATCH(1327,'Transfer Engine'!$C$2:$C$1369,0)))</f>
        <v/>
      </c>
      <c r="H1336" s="9">
        <f>IF(ISNA(MATCH(1327,'Transfer Engine'!$C$2:$C$1369,0)),"",INDEX('Compliance Database'!$H$2:$H$1369,MATCH(1327,'Transfer Engine'!$C$2:$C$1369,0)))</f>
        <v/>
      </c>
      <c r="I1336" s="9">
        <f>IF(ISNA(MATCH(1327,'Transfer Engine'!$C$2:$C$1369,0)),"",INDEX('Compliance Database'!$I$2:$I$1369,MATCH(1327,'Transfer Engine'!$C$2:$C$1369,0)))</f>
        <v/>
      </c>
      <c r="J1336" s="8">
        <f>IF(ISNA(MATCH(1327,'Transfer Engine'!$C$2:$C$1369,0)),"",INDEX('Compliance Database'!$J$2:$J$1369,MATCH(1327,'Transfer Engine'!$C$2:$C$1369,0)))</f>
        <v/>
      </c>
      <c r="K1336" s="9">
        <f>IF(ISNA(MATCH(1327,'Transfer Engine'!$C$2:$C$1369,0)),"",INDEX('Compliance Database'!$K$2:$K$1369,MATCH(1327,'Transfer Engine'!$C$2:$C$1369,0)))</f>
        <v/>
      </c>
      <c r="L1336" s="9">
        <f>IF(ISNA(MATCH(1327,'Transfer Engine'!$C$2:$C$1369,0)),"",INDEX('Compliance Database'!$L$2:$L$1369,MATCH(1327,'Transfer Engine'!$C$2:$C$1369,0)))</f>
        <v/>
      </c>
      <c r="M1336" s="9">
        <f>IF(ISNA(MATCH(1327,'Transfer Engine'!$C$2:$C$1369,0)),"",INDEX('Compliance Database'!$M$2:$M$1369,MATCH(1327,'Transfer Engine'!$C$2:$C$1369,0)))</f>
        <v/>
      </c>
      <c r="N1336" s="9">
        <f>IF(ISNA(MATCH(1327,'Transfer Engine'!$C$2:$C$1369,0)),"",INDEX('Compliance Database'!$N$2:$N$1369,MATCH(1327,'Transfer Engine'!$C$2:$C$1369,0)))</f>
        <v/>
      </c>
      <c r="O1336" s="8">
        <f>IF(ISNA(MATCH(1327,'Transfer Engine'!$C$2:$C$1369,0)),"",HYPERLINK(INDEX('Compliance Database'!$O$2:$O$1369,MATCH(1327,'Transfer Engine'!$C$2:$C$1369,0)),"Open PDF"))</f>
        <v/>
      </c>
    </row>
    <row r="1337" ht="188" customHeight="1">
      <c r="A1337" s="8">
        <f>IF(ISNA(MATCH(1328,'Transfer Engine'!$C$2:$C$1369,0)),"",INDEX('Compliance Database'!$A$2:$A$1369,MATCH(1328,'Transfer Engine'!$C$2:$C$1369,0)))</f>
        <v/>
      </c>
      <c r="B1337" s="8">
        <f>IF(ISNA(MATCH(1328,'Transfer Engine'!$C$2:$C$1369,0)),"",INDEX('Compliance Database'!$B$2:$B$1369,MATCH(1328,'Transfer Engine'!$C$2:$C$1369,0)))</f>
        <v/>
      </c>
      <c r="C1337" s="8">
        <f>IF(ISNA(MATCH(1328,'Transfer Engine'!$C$2:$C$1369,0)),"",INDEX('Compliance Database'!$C$2:$C$1369,MATCH(1328,'Transfer Engine'!$C$2:$C$1369,0)))</f>
        <v/>
      </c>
      <c r="D1337" s="9">
        <f>IF(ISNA(MATCH(1328,'Transfer Engine'!$C$2:$C$1369,0)),"",INDEX('Compliance Database'!$D$2:$D$1369,MATCH(1328,'Transfer Engine'!$C$2:$C$1369,0)))</f>
        <v/>
      </c>
      <c r="E1337" s="8">
        <f>IF(ISNA(MATCH(1328,'Transfer Engine'!$C$2:$C$1369,0)),"",INDEX('Compliance Database'!$E$2:$E$1369,MATCH(1328,'Transfer Engine'!$C$2:$C$1369,0)))</f>
        <v/>
      </c>
      <c r="F1337" s="8">
        <f>IF(ISNA(MATCH(1328,'Transfer Engine'!$C$2:$C$1369,0)),"",INDEX('Compliance Database'!$F$2:$F$1369,MATCH(1328,'Transfer Engine'!$C$2:$C$1369,0)))</f>
        <v/>
      </c>
      <c r="G1337" s="8">
        <f>IF(ISNA(MATCH(1328,'Transfer Engine'!$C$2:$C$1369,0)),"",INDEX('Compliance Database'!$G$2:$G$1369,MATCH(1328,'Transfer Engine'!$C$2:$C$1369,0)))</f>
        <v/>
      </c>
      <c r="H1337" s="9">
        <f>IF(ISNA(MATCH(1328,'Transfer Engine'!$C$2:$C$1369,0)),"",INDEX('Compliance Database'!$H$2:$H$1369,MATCH(1328,'Transfer Engine'!$C$2:$C$1369,0)))</f>
        <v/>
      </c>
      <c r="I1337" s="9">
        <f>IF(ISNA(MATCH(1328,'Transfer Engine'!$C$2:$C$1369,0)),"",INDEX('Compliance Database'!$I$2:$I$1369,MATCH(1328,'Transfer Engine'!$C$2:$C$1369,0)))</f>
        <v/>
      </c>
      <c r="J1337" s="8">
        <f>IF(ISNA(MATCH(1328,'Transfer Engine'!$C$2:$C$1369,0)),"",INDEX('Compliance Database'!$J$2:$J$1369,MATCH(1328,'Transfer Engine'!$C$2:$C$1369,0)))</f>
        <v/>
      </c>
      <c r="K1337" s="9">
        <f>IF(ISNA(MATCH(1328,'Transfer Engine'!$C$2:$C$1369,0)),"",INDEX('Compliance Database'!$K$2:$K$1369,MATCH(1328,'Transfer Engine'!$C$2:$C$1369,0)))</f>
        <v/>
      </c>
      <c r="L1337" s="9">
        <f>IF(ISNA(MATCH(1328,'Transfer Engine'!$C$2:$C$1369,0)),"",INDEX('Compliance Database'!$L$2:$L$1369,MATCH(1328,'Transfer Engine'!$C$2:$C$1369,0)))</f>
        <v/>
      </c>
      <c r="M1337" s="9">
        <f>IF(ISNA(MATCH(1328,'Transfer Engine'!$C$2:$C$1369,0)),"",INDEX('Compliance Database'!$M$2:$M$1369,MATCH(1328,'Transfer Engine'!$C$2:$C$1369,0)))</f>
        <v/>
      </c>
      <c r="N1337" s="9">
        <f>IF(ISNA(MATCH(1328,'Transfer Engine'!$C$2:$C$1369,0)),"",INDEX('Compliance Database'!$N$2:$N$1369,MATCH(1328,'Transfer Engine'!$C$2:$C$1369,0)))</f>
        <v/>
      </c>
      <c r="O1337" s="8">
        <f>IF(ISNA(MATCH(1328,'Transfer Engine'!$C$2:$C$1369,0)),"",HYPERLINK(INDEX('Compliance Database'!$O$2:$O$1369,MATCH(1328,'Transfer Engine'!$C$2:$C$1369,0)),"Open PDF"))</f>
        <v/>
      </c>
    </row>
    <row r="1338" ht="188" customHeight="1">
      <c r="A1338" s="8">
        <f>IF(ISNA(MATCH(1329,'Transfer Engine'!$C$2:$C$1369,0)),"",INDEX('Compliance Database'!$A$2:$A$1369,MATCH(1329,'Transfer Engine'!$C$2:$C$1369,0)))</f>
        <v/>
      </c>
      <c r="B1338" s="8">
        <f>IF(ISNA(MATCH(1329,'Transfer Engine'!$C$2:$C$1369,0)),"",INDEX('Compliance Database'!$B$2:$B$1369,MATCH(1329,'Transfer Engine'!$C$2:$C$1369,0)))</f>
        <v/>
      </c>
      <c r="C1338" s="8">
        <f>IF(ISNA(MATCH(1329,'Transfer Engine'!$C$2:$C$1369,0)),"",INDEX('Compliance Database'!$C$2:$C$1369,MATCH(1329,'Transfer Engine'!$C$2:$C$1369,0)))</f>
        <v/>
      </c>
      <c r="D1338" s="9">
        <f>IF(ISNA(MATCH(1329,'Transfer Engine'!$C$2:$C$1369,0)),"",INDEX('Compliance Database'!$D$2:$D$1369,MATCH(1329,'Transfer Engine'!$C$2:$C$1369,0)))</f>
        <v/>
      </c>
      <c r="E1338" s="8">
        <f>IF(ISNA(MATCH(1329,'Transfer Engine'!$C$2:$C$1369,0)),"",INDEX('Compliance Database'!$E$2:$E$1369,MATCH(1329,'Transfer Engine'!$C$2:$C$1369,0)))</f>
        <v/>
      </c>
      <c r="F1338" s="8">
        <f>IF(ISNA(MATCH(1329,'Transfer Engine'!$C$2:$C$1369,0)),"",INDEX('Compliance Database'!$F$2:$F$1369,MATCH(1329,'Transfer Engine'!$C$2:$C$1369,0)))</f>
        <v/>
      </c>
      <c r="G1338" s="8">
        <f>IF(ISNA(MATCH(1329,'Transfer Engine'!$C$2:$C$1369,0)),"",INDEX('Compliance Database'!$G$2:$G$1369,MATCH(1329,'Transfer Engine'!$C$2:$C$1369,0)))</f>
        <v/>
      </c>
      <c r="H1338" s="9">
        <f>IF(ISNA(MATCH(1329,'Transfer Engine'!$C$2:$C$1369,0)),"",INDEX('Compliance Database'!$H$2:$H$1369,MATCH(1329,'Transfer Engine'!$C$2:$C$1369,0)))</f>
        <v/>
      </c>
      <c r="I1338" s="9">
        <f>IF(ISNA(MATCH(1329,'Transfer Engine'!$C$2:$C$1369,0)),"",INDEX('Compliance Database'!$I$2:$I$1369,MATCH(1329,'Transfer Engine'!$C$2:$C$1369,0)))</f>
        <v/>
      </c>
      <c r="J1338" s="8">
        <f>IF(ISNA(MATCH(1329,'Transfer Engine'!$C$2:$C$1369,0)),"",INDEX('Compliance Database'!$J$2:$J$1369,MATCH(1329,'Transfer Engine'!$C$2:$C$1369,0)))</f>
        <v/>
      </c>
      <c r="K1338" s="9">
        <f>IF(ISNA(MATCH(1329,'Transfer Engine'!$C$2:$C$1369,0)),"",INDEX('Compliance Database'!$K$2:$K$1369,MATCH(1329,'Transfer Engine'!$C$2:$C$1369,0)))</f>
        <v/>
      </c>
      <c r="L1338" s="9">
        <f>IF(ISNA(MATCH(1329,'Transfer Engine'!$C$2:$C$1369,0)),"",INDEX('Compliance Database'!$L$2:$L$1369,MATCH(1329,'Transfer Engine'!$C$2:$C$1369,0)))</f>
        <v/>
      </c>
      <c r="M1338" s="9">
        <f>IF(ISNA(MATCH(1329,'Transfer Engine'!$C$2:$C$1369,0)),"",INDEX('Compliance Database'!$M$2:$M$1369,MATCH(1329,'Transfer Engine'!$C$2:$C$1369,0)))</f>
        <v/>
      </c>
      <c r="N1338" s="9">
        <f>IF(ISNA(MATCH(1329,'Transfer Engine'!$C$2:$C$1369,0)),"",INDEX('Compliance Database'!$N$2:$N$1369,MATCH(1329,'Transfer Engine'!$C$2:$C$1369,0)))</f>
        <v/>
      </c>
      <c r="O1338" s="8">
        <f>IF(ISNA(MATCH(1329,'Transfer Engine'!$C$2:$C$1369,0)),"",HYPERLINK(INDEX('Compliance Database'!$O$2:$O$1369,MATCH(1329,'Transfer Engine'!$C$2:$C$1369,0)),"Open PDF"))</f>
        <v/>
      </c>
    </row>
    <row r="1339" ht="188" customHeight="1">
      <c r="A1339" s="8">
        <f>IF(ISNA(MATCH(1330,'Transfer Engine'!$C$2:$C$1369,0)),"",INDEX('Compliance Database'!$A$2:$A$1369,MATCH(1330,'Transfer Engine'!$C$2:$C$1369,0)))</f>
        <v/>
      </c>
      <c r="B1339" s="8">
        <f>IF(ISNA(MATCH(1330,'Transfer Engine'!$C$2:$C$1369,0)),"",INDEX('Compliance Database'!$B$2:$B$1369,MATCH(1330,'Transfer Engine'!$C$2:$C$1369,0)))</f>
        <v/>
      </c>
      <c r="C1339" s="8">
        <f>IF(ISNA(MATCH(1330,'Transfer Engine'!$C$2:$C$1369,0)),"",INDEX('Compliance Database'!$C$2:$C$1369,MATCH(1330,'Transfer Engine'!$C$2:$C$1369,0)))</f>
        <v/>
      </c>
      <c r="D1339" s="9">
        <f>IF(ISNA(MATCH(1330,'Transfer Engine'!$C$2:$C$1369,0)),"",INDEX('Compliance Database'!$D$2:$D$1369,MATCH(1330,'Transfer Engine'!$C$2:$C$1369,0)))</f>
        <v/>
      </c>
      <c r="E1339" s="8">
        <f>IF(ISNA(MATCH(1330,'Transfer Engine'!$C$2:$C$1369,0)),"",INDEX('Compliance Database'!$E$2:$E$1369,MATCH(1330,'Transfer Engine'!$C$2:$C$1369,0)))</f>
        <v/>
      </c>
      <c r="F1339" s="8">
        <f>IF(ISNA(MATCH(1330,'Transfer Engine'!$C$2:$C$1369,0)),"",INDEX('Compliance Database'!$F$2:$F$1369,MATCH(1330,'Transfer Engine'!$C$2:$C$1369,0)))</f>
        <v/>
      </c>
      <c r="G1339" s="8">
        <f>IF(ISNA(MATCH(1330,'Transfer Engine'!$C$2:$C$1369,0)),"",INDEX('Compliance Database'!$G$2:$G$1369,MATCH(1330,'Transfer Engine'!$C$2:$C$1369,0)))</f>
        <v/>
      </c>
      <c r="H1339" s="9">
        <f>IF(ISNA(MATCH(1330,'Transfer Engine'!$C$2:$C$1369,0)),"",INDEX('Compliance Database'!$H$2:$H$1369,MATCH(1330,'Transfer Engine'!$C$2:$C$1369,0)))</f>
        <v/>
      </c>
      <c r="I1339" s="9">
        <f>IF(ISNA(MATCH(1330,'Transfer Engine'!$C$2:$C$1369,0)),"",INDEX('Compliance Database'!$I$2:$I$1369,MATCH(1330,'Transfer Engine'!$C$2:$C$1369,0)))</f>
        <v/>
      </c>
      <c r="J1339" s="8">
        <f>IF(ISNA(MATCH(1330,'Transfer Engine'!$C$2:$C$1369,0)),"",INDEX('Compliance Database'!$J$2:$J$1369,MATCH(1330,'Transfer Engine'!$C$2:$C$1369,0)))</f>
        <v/>
      </c>
      <c r="K1339" s="9">
        <f>IF(ISNA(MATCH(1330,'Transfer Engine'!$C$2:$C$1369,0)),"",INDEX('Compliance Database'!$K$2:$K$1369,MATCH(1330,'Transfer Engine'!$C$2:$C$1369,0)))</f>
        <v/>
      </c>
      <c r="L1339" s="9">
        <f>IF(ISNA(MATCH(1330,'Transfer Engine'!$C$2:$C$1369,0)),"",INDEX('Compliance Database'!$L$2:$L$1369,MATCH(1330,'Transfer Engine'!$C$2:$C$1369,0)))</f>
        <v/>
      </c>
      <c r="M1339" s="9">
        <f>IF(ISNA(MATCH(1330,'Transfer Engine'!$C$2:$C$1369,0)),"",INDEX('Compliance Database'!$M$2:$M$1369,MATCH(1330,'Transfer Engine'!$C$2:$C$1369,0)))</f>
        <v/>
      </c>
      <c r="N1339" s="9">
        <f>IF(ISNA(MATCH(1330,'Transfer Engine'!$C$2:$C$1369,0)),"",INDEX('Compliance Database'!$N$2:$N$1369,MATCH(1330,'Transfer Engine'!$C$2:$C$1369,0)))</f>
        <v/>
      </c>
      <c r="O1339" s="8">
        <f>IF(ISNA(MATCH(1330,'Transfer Engine'!$C$2:$C$1369,0)),"",HYPERLINK(INDEX('Compliance Database'!$O$2:$O$1369,MATCH(1330,'Transfer Engine'!$C$2:$C$1369,0)),"Open PDF"))</f>
        <v/>
      </c>
    </row>
    <row r="1340" ht="188" customHeight="1">
      <c r="A1340" s="8">
        <f>IF(ISNA(MATCH(1331,'Transfer Engine'!$C$2:$C$1369,0)),"",INDEX('Compliance Database'!$A$2:$A$1369,MATCH(1331,'Transfer Engine'!$C$2:$C$1369,0)))</f>
        <v/>
      </c>
      <c r="B1340" s="8">
        <f>IF(ISNA(MATCH(1331,'Transfer Engine'!$C$2:$C$1369,0)),"",INDEX('Compliance Database'!$B$2:$B$1369,MATCH(1331,'Transfer Engine'!$C$2:$C$1369,0)))</f>
        <v/>
      </c>
      <c r="C1340" s="8">
        <f>IF(ISNA(MATCH(1331,'Transfer Engine'!$C$2:$C$1369,0)),"",INDEX('Compliance Database'!$C$2:$C$1369,MATCH(1331,'Transfer Engine'!$C$2:$C$1369,0)))</f>
        <v/>
      </c>
      <c r="D1340" s="9">
        <f>IF(ISNA(MATCH(1331,'Transfer Engine'!$C$2:$C$1369,0)),"",INDEX('Compliance Database'!$D$2:$D$1369,MATCH(1331,'Transfer Engine'!$C$2:$C$1369,0)))</f>
        <v/>
      </c>
      <c r="E1340" s="8">
        <f>IF(ISNA(MATCH(1331,'Transfer Engine'!$C$2:$C$1369,0)),"",INDEX('Compliance Database'!$E$2:$E$1369,MATCH(1331,'Transfer Engine'!$C$2:$C$1369,0)))</f>
        <v/>
      </c>
      <c r="F1340" s="8">
        <f>IF(ISNA(MATCH(1331,'Transfer Engine'!$C$2:$C$1369,0)),"",INDEX('Compliance Database'!$F$2:$F$1369,MATCH(1331,'Transfer Engine'!$C$2:$C$1369,0)))</f>
        <v/>
      </c>
      <c r="G1340" s="8">
        <f>IF(ISNA(MATCH(1331,'Transfer Engine'!$C$2:$C$1369,0)),"",INDEX('Compliance Database'!$G$2:$G$1369,MATCH(1331,'Transfer Engine'!$C$2:$C$1369,0)))</f>
        <v/>
      </c>
      <c r="H1340" s="9">
        <f>IF(ISNA(MATCH(1331,'Transfer Engine'!$C$2:$C$1369,0)),"",INDEX('Compliance Database'!$H$2:$H$1369,MATCH(1331,'Transfer Engine'!$C$2:$C$1369,0)))</f>
        <v/>
      </c>
      <c r="I1340" s="9">
        <f>IF(ISNA(MATCH(1331,'Transfer Engine'!$C$2:$C$1369,0)),"",INDEX('Compliance Database'!$I$2:$I$1369,MATCH(1331,'Transfer Engine'!$C$2:$C$1369,0)))</f>
        <v/>
      </c>
      <c r="J1340" s="8">
        <f>IF(ISNA(MATCH(1331,'Transfer Engine'!$C$2:$C$1369,0)),"",INDEX('Compliance Database'!$J$2:$J$1369,MATCH(1331,'Transfer Engine'!$C$2:$C$1369,0)))</f>
        <v/>
      </c>
      <c r="K1340" s="9">
        <f>IF(ISNA(MATCH(1331,'Transfer Engine'!$C$2:$C$1369,0)),"",INDEX('Compliance Database'!$K$2:$K$1369,MATCH(1331,'Transfer Engine'!$C$2:$C$1369,0)))</f>
        <v/>
      </c>
      <c r="L1340" s="9">
        <f>IF(ISNA(MATCH(1331,'Transfer Engine'!$C$2:$C$1369,0)),"",INDEX('Compliance Database'!$L$2:$L$1369,MATCH(1331,'Transfer Engine'!$C$2:$C$1369,0)))</f>
        <v/>
      </c>
      <c r="M1340" s="9">
        <f>IF(ISNA(MATCH(1331,'Transfer Engine'!$C$2:$C$1369,0)),"",INDEX('Compliance Database'!$M$2:$M$1369,MATCH(1331,'Transfer Engine'!$C$2:$C$1369,0)))</f>
        <v/>
      </c>
      <c r="N1340" s="9">
        <f>IF(ISNA(MATCH(1331,'Transfer Engine'!$C$2:$C$1369,0)),"",INDEX('Compliance Database'!$N$2:$N$1369,MATCH(1331,'Transfer Engine'!$C$2:$C$1369,0)))</f>
        <v/>
      </c>
      <c r="O1340" s="8">
        <f>IF(ISNA(MATCH(1331,'Transfer Engine'!$C$2:$C$1369,0)),"",HYPERLINK(INDEX('Compliance Database'!$O$2:$O$1369,MATCH(1331,'Transfer Engine'!$C$2:$C$1369,0)),"Open PDF"))</f>
        <v/>
      </c>
    </row>
    <row r="1341" ht="188" customHeight="1">
      <c r="A1341" s="8">
        <f>IF(ISNA(MATCH(1332,'Transfer Engine'!$C$2:$C$1369,0)),"",INDEX('Compliance Database'!$A$2:$A$1369,MATCH(1332,'Transfer Engine'!$C$2:$C$1369,0)))</f>
        <v/>
      </c>
      <c r="B1341" s="8">
        <f>IF(ISNA(MATCH(1332,'Transfer Engine'!$C$2:$C$1369,0)),"",INDEX('Compliance Database'!$B$2:$B$1369,MATCH(1332,'Transfer Engine'!$C$2:$C$1369,0)))</f>
        <v/>
      </c>
      <c r="C1341" s="8">
        <f>IF(ISNA(MATCH(1332,'Transfer Engine'!$C$2:$C$1369,0)),"",INDEX('Compliance Database'!$C$2:$C$1369,MATCH(1332,'Transfer Engine'!$C$2:$C$1369,0)))</f>
        <v/>
      </c>
      <c r="D1341" s="9">
        <f>IF(ISNA(MATCH(1332,'Transfer Engine'!$C$2:$C$1369,0)),"",INDEX('Compliance Database'!$D$2:$D$1369,MATCH(1332,'Transfer Engine'!$C$2:$C$1369,0)))</f>
        <v/>
      </c>
      <c r="E1341" s="8">
        <f>IF(ISNA(MATCH(1332,'Transfer Engine'!$C$2:$C$1369,0)),"",INDEX('Compliance Database'!$E$2:$E$1369,MATCH(1332,'Transfer Engine'!$C$2:$C$1369,0)))</f>
        <v/>
      </c>
      <c r="F1341" s="8">
        <f>IF(ISNA(MATCH(1332,'Transfer Engine'!$C$2:$C$1369,0)),"",INDEX('Compliance Database'!$F$2:$F$1369,MATCH(1332,'Transfer Engine'!$C$2:$C$1369,0)))</f>
        <v/>
      </c>
      <c r="G1341" s="8">
        <f>IF(ISNA(MATCH(1332,'Transfer Engine'!$C$2:$C$1369,0)),"",INDEX('Compliance Database'!$G$2:$G$1369,MATCH(1332,'Transfer Engine'!$C$2:$C$1369,0)))</f>
        <v/>
      </c>
      <c r="H1341" s="9">
        <f>IF(ISNA(MATCH(1332,'Transfer Engine'!$C$2:$C$1369,0)),"",INDEX('Compliance Database'!$H$2:$H$1369,MATCH(1332,'Transfer Engine'!$C$2:$C$1369,0)))</f>
        <v/>
      </c>
      <c r="I1341" s="9">
        <f>IF(ISNA(MATCH(1332,'Transfer Engine'!$C$2:$C$1369,0)),"",INDEX('Compliance Database'!$I$2:$I$1369,MATCH(1332,'Transfer Engine'!$C$2:$C$1369,0)))</f>
        <v/>
      </c>
      <c r="J1341" s="8">
        <f>IF(ISNA(MATCH(1332,'Transfer Engine'!$C$2:$C$1369,0)),"",INDEX('Compliance Database'!$J$2:$J$1369,MATCH(1332,'Transfer Engine'!$C$2:$C$1369,0)))</f>
        <v/>
      </c>
      <c r="K1341" s="9">
        <f>IF(ISNA(MATCH(1332,'Transfer Engine'!$C$2:$C$1369,0)),"",INDEX('Compliance Database'!$K$2:$K$1369,MATCH(1332,'Transfer Engine'!$C$2:$C$1369,0)))</f>
        <v/>
      </c>
      <c r="L1341" s="9">
        <f>IF(ISNA(MATCH(1332,'Transfer Engine'!$C$2:$C$1369,0)),"",INDEX('Compliance Database'!$L$2:$L$1369,MATCH(1332,'Transfer Engine'!$C$2:$C$1369,0)))</f>
        <v/>
      </c>
      <c r="M1341" s="9">
        <f>IF(ISNA(MATCH(1332,'Transfer Engine'!$C$2:$C$1369,0)),"",INDEX('Compliance Database'!$M$2:$M$1369,MATCH(1332,'Transfer Engine'!$C$2:$C$1369,0)))</f>
        <v/>
      </c>
      <c r="N1341" s="9">
        <f>IF(ISNA(MATCH(1332,'Transfer Engine'!$C$2:$C$1369,0)),"",INDEX('Compliance Database'!$N$2:$N$1369,MATCH(1332,'Transfer Engine'!$C$2:$C$1369,0)))</f>
        <v/>
      </c>
      <c r="O1341" s="8">
        <f>IF(ISNA(MATCH(1332,'Transfer Engine'!$C$2:$C$1369,0)),"",HYPERLINK(INDEX('Compliance Database'!$O$2:$O$1369,MATCH(1332,'Transfer Engine'!$C$2:$C$1369,0)),"Open PDF"))</f>
        <v/>
      </c>
    </row>
    <row r="1342" ht="188" customHeight="1">
      <c r="A1342" s="8">
        <f>IF(ISNA(MATCH(1333,'Transfer Engine'!$C$2:$C$1369,0)),"",INDEX('Compliance Database'!$A$2:$A$1369,MATCH(1333,'Transfer Engine'!$C$2:$C$1369,0)))</f>
        <v/>
      </c>
      <c r="B1342" s="8">
        <f>IF(ISNA(MATCH(1333,'Transfer Engine'!$C$2:$C$1369,0)),"",INDEX('Compliance Database'!$B$2:$B$1369,MATCH(1333,'Transfer Engine'!$C$2:$C$1369,0)))</f>
        <v/>
      </c>
      <c r="C1342" s="8">
        <f>IF(ISNA(MATCH(1333,'Transfer Engine'!$C$2:$C$1369,0)),"",INDEX('Compliance Database'!$C$2:$C$1369,MATCH(1333,'Transfer Engine'!$C$2:$C$1369,0)))</f>
        <v/>
      </c>
      <c r="D1342" s="9">
        <f>IF(ISNA(MATCH(1333,'Transfer Engine'!$C$2:$C$1369,0)),"",INDEX('Compliance Database'!$D$2:$D$1369,MATCH(1333,'Transfer Engine'!$C$2:$C$1369,0)))</f>
        <v/>
      </c>
      <c r="E1342" s="8">
        <f>IF(ISNA(MATCH(1333,'Transfer Engine'!$C$2:$C$1369,0)),"",INDEX('Compliance Database'!$E$2:$E$1369,MATCH(1333,'Transfer Engine'!$C$2:$C$1369,0)))</f>
        <v/>
      </c>
      <c r="F1342" s="8">
        <f>IF(ISNA(MATCH(1333,'Transfer Engine'!$C$2:$C$1369,0)),"",INDEX('Compliance Database'!$F$2:$F$1369,MATCH(1333,'Transfer Engine'!$C$2:$C$1369,0)))</f>
        <v/>
      </c>
      <c r="G1342" s="8">
        <f>IF(ISNA(MATCH(1333,'Transfer Engine'!$C$2:$C$1369,0)),"",INDEX('Compliance Database'!$G$2:$G$1369,MATCH(1333,'Transfer Engine'!$C$2:$C$1369,0)))</f>
        <v/>
      </c>
      <c r="H1342" s="9">
        <f>IF(ISNA(MATCH(1333,'Transfer Engine'!$C$2:$C$1369,0)),"",INDEX('Compliance Database'!$H$2:$H$1369,MATCH(1333,'Transfer Engine'!$C$2:$C$1369,0)))</f>
        <v/>
      </c>
      <c r="I1342" s="9">
        <f>IF(ISNA(MATCH(1333,'Transfer Engine'!$C$2:$C$1369,0)),"",INDEX('Compliance Database'!$I$2:$I$1369,MATCH(1333,'Transfer Engine'!$C$2:$C$1369,0)))</f>
        <v/>
      </c>
      <c r="J1342" s="8">
        <f>IF(ISNA(MATCH(1333,'Transfer Engine'!$C$2:$C$1369,0)),"",INDEX('Compliance Database'!$J$2:$J$1369,MATCH(1333,'Transfer Engine'!$C$2:$C$1369,0)))</f>
        <v/>
      </c>
      <c r="K1342" s="9">
        <f>IF(ISNA(MATCH(1333,'Transfer Engine'!$C$2:$C$1369,0)),"",INDEX('Compliance Database'!$K$2:$K$1369,MATCH(1333,'Transfer Engine'!$C$2:$C$1369,0)))</f>
        <v/>
      </c>
      <c r="L1342" s="9">
        <f>IF(ISNA(MATCH(1333,'Transfer Engine'!$C$2:$C$1369,0)),"",INDEX('Compliance Database'!$L$2:$L$1369,MATCH(1333,'Transfer Engine'!$C$2:$C$1369,0)))</f>
        <v/>
      </c>
      <c r="M1342" s="9">
        <f>IF(ISNA(MATCH(1333,'Transfer Engine'!$C$2:$C$1369,0)),"",INDEX('Compliance Database'!$M$2:$M$1369,MATCH(1333,'Transfer Engine'!$C$2:$C$1369,0)))</f>
        <v/>
      </c>
      <c r="N1342" s="9">
        <f>IF(ISNA(MATCH(1333,'Transfer Engine'!$C$2:$C$1369,0)),"",INDEX('Compliance Database'!$N$2:$N$1369,MATCH(1333,'Transfer Engine'!$C$2:$C$1369,0)))</f>
        <v/>
      </c>
      <c r="O1342" s="8">
        <f>IF(ISNA(MATCH(1333,'Transfer Engine'!$C$2:$C$1369,0)),"",HYPERLINK(INDEX('Compliance Database'!$O$2:$O$1369,MATCH(1333,'Transfer Engine'!$C$2:$C$1369,0)),"Open PDF"))</f>
        <v/>
      </c>
    </row>
    <row r="1343" ht="188" customHeight="1">
      <c r="A1343" s="8">
        <f>IF(ISNA(MATCH(1334,'Transfer Engine'!$C$2:$C$1369,0)),"",INDEX('Compliance Database'!$A$2:$A$1369,MATCH(1334,'Transfer Engine'!$C$2:$C$1369,0)))</f>
        <v/>
      </c>
      <c r="B1343" s="8">
        <f>IF(ISNA(MATCH(1334,'Transfer Engine'!$C$2:$C$1369,0)),"",INDEX('Compliance Database'!$B$2:$B$1369,MATCH(1334,'Transfer Engine'!$C$2:$C$1369,0)))</f>
        <v/>
      </c>
      <c r="C1343" s="8">
        <f>IF(ISNA(MATCH(1334,'Transfer Engine'!$C$2:$C$1369,0)),"",INDEX('Compliance Database'!$C$2:$C$1369,MATCH(1334,'Transfer Engine'!$C$2:$C$1369,0)))</f>
        <v/>
      </c>
      <c r="D1343" s="9">
        <f>IF(ISNA(MATCH(1334,'Transfer Engine'!$C$2:$C$1369,0)),"",INDEX('Compliance Database'!$D$2:$D$1369,MATCH(1334,'Transfer Engine'!$C$2:$C$1369,0)))</f>
        <v/>
      </c>
      <c r="E1343" s="8">
        <f>IF(ISNA(MATCH(1334,'Transfer Engine'!$C$2:$C$1369,0)),"",INDEX('Compliance Database'!$E$2:$E$1369,MATCH(1334,'Transfer Engine'!$C$2:$C$1369,0)))</f>
        <v/>
      </c>
      <c r="F1343" s="8">
        <f>IF(ISNA(MATCH(1334,'Transfer Engine'!$C$2:$C$1369,0)),"",INDEX('Compliance Database'!$F$2:$F$1369,MATCH(1334,'Transfer Engine'!$C$2:$C$1369,0)))</f>
        <v/>
      </c>
      <c r="G1343" s="8">
        <f>IF(ISNA(MATCH(1334,'Transfer Engine'!$C$2:$C$1369,0)),"",INDEX('Compliance Database'!$G$2:$G$1369,MATCH(1334,'Transfer Engine'!$C$2:$C$1369,0)))</f>
        <v/>
      </c>
      <c r="H1343" s="9">
        <f>IF(ISNA(MATCH(1334,'Transfer Engine'!$C$2:$C$1369,0)),"",INDEX('Compliance Database'!$H$2:$H$1369,MATCH(1334,'Transfer Engine'!$C$2:$C$1369,0)))</f>
        <v/>
      </c>
      <c r="I1343" s="9">
        <f>IF(ISNA(MATCH(1334,'Transfer Engine'!$C$2:$C$1369,0)),"",INDEX('Compliance Database'!$I$2:$I$1369,MATCH(1334,'Transfer Engine'!$C$2:$C$1369,0)))</f>
        <v/>
      </c>
      <c r="J1343" s="8">
        <f>IF(ISNA(MATCH(1334,'Transfer Engine'!$C$2:$C$1369,0)),"",INDEX('Compliance Database'!$J$2:$J$1369,MATCH(1334,'Transfer Engine'!$C$2:$C$1369,0)))</f>
        <v/>
      </c>
      <c r="K1343" s="9">
        <f>IF(ISNA(MATCH(1334,'Transfer Engine'!$C$2:$C$1369,0)),"",INDEX('Compliance Database'!$K$2:$K$1369,MATCH(1334,'Transfer Engine'!$C$2:$C$1369,0)))</f>
        <v/>
      </c>
      <c r="L1343" s="9">
        <f>IF(ISNA(MATCH(1334,'Transfer Engine'!$C$2:$C$1369,0)),"",INDEX('Compliance Database'!$L$2:$L$1369,MATCH(1334,'Transfer Engine'!$C$2:$C$1369,0)))</f>
        <v/>
      </c>
      <c r="M1343" s="9">
        <f>IF(ISNA(MATCH(1334,'Transfer Engine'!$C$2:$C$1369,0)),"",INDEX('Compliance Database'!$M$2:$M$1369,MATCH(1334,'Transfer Engine'!$C$2:$C$1369,0)))</f>
        <v/>
      </c>
      <c r="N1343" s="9">
        <f>IF(ISNA(MATCH(1334,'Transfer Engine'!$C$2:$C$1369,0)),"",INDEX('Compliance Database'!$N$2:$N$1369,MATCH(1334,'Transfer Engine'!$C$2:$C$1369,0)))</f>
        <v/>
      </c>
      <c r="O1343" s="8">
        <f>IF(ISNA(MATCH(1334,'Transfer Engine'!$C$2:$C$1369,0)),"",HYPERLINK(INDEX('Compliance Database'!$O$2:$O$1369,MATCH(1334,'Transfer Engine'!$C$2:$C$1369,0)),"Open PDF"))</f>
        <v/>
      </c>
    </row>
    <row r="1344" ht="188" customHeight="1">
      <c r="A1344" s="8">
        <f>IF(ISNA(MATCH(1335,'Transfer Engine'!$C$2:$C$1369,0)),"",INDEX('Compliance Database'!$A$2:$A$1369,MATCH(1335,'Transfer Engine'!$C$2:$C$1369,0)))</f>
        <v/>
      </c>
      <c r="B1344" s="8">
        <f>IF(ISNA(MATCH(1335,'Transfer Engine'!$C$2:$C$1369,0)),"",INDEX('Compliance Database'!$B$2:$B$1369,MATCH(1335,'Transfer Engine'!$C$2:$C$1369,0)))</f>
        <v/>
      </c>
      <c r="C1344" s="8">
        <f>IF(ISNA(MATCH(1335,'Transfer Engine'!$C$2:$C$1369,0)),"",INDEX('Compliance Database'!$C$2:$C$1369,MATCH(1335,'Transfer Engine'!$C$2:$C$1369,0)))</f>
        <v/>
      </c>
      <c r="D1344" s="9">
        <f>IF(ISNA(MATCH(1335,'Transfer Engine'!$C$2:$C$1369,0)),"",INDEX('Compliance Database'!$D$2:$D$1369,MATCH(1335,'Transfer Engine'!$C$2:$C$1369,0)))</f>
        <v/>
      </c>
      <c r="E1344" s="8">
        <f>IF(ISNA(MATCH(1335,'Transfer Engine'!$C$2:$C$1369,0)),"",INDEX('Compliance Database'!$E$2:$E$1369,MATCH(1335,'Transfer Engine'!$C$2:$C$1369,0)))</f>
        <v/>
      </c>
      <c r="F1344" s="8">
        <f>IF(ISNA(MATCH(1335,'Transfer Engine'!$C$2:$C$1369,0)),"",INDEX('Compliance Database'!$F$2:$F$1369,MATCH(1335,'Transfer Engine'!$C$2:$C$1369,0)))</f>
        <v/>
      </c>
      <c r="G1344" s="8">
        <f>IF(ISNA(MATCH(1335,'Transfer Engine'!$C$2:$C$1369,0)),"",INDEX('Compliance Database'!$G$2:$G$1369,MATCH(1335,'Transfer Engine'!$C$2:$C$1369,0)))</f>
        <v/>
      </c>
      <c r="H1344" s="9">
        <f>IF(ISNA(MATCH(1335,'Transfer Engine'!$C$2:$C$1369,0)),"",INDEX('Compliance Database'!$H$2:$H$1369,MATCH(1335,'Transfer Engine'!$C$2:$C$1369,0)))</f>
        <v/>
      </c>
      <c r="I1344" s="9">
        <f>IF(ISNA(MATCH(1335,'Transfer Engine'!$C$2:$C$1369,0)),"",INDEX('Compliance Database'!$I$2:$I$1369,MATCH(1335,'Transfer Engine'!$C$2:$C$1369,0)))</f>
        <v/>
      </c>
      <c r="J1344" s="8">
        <f>IF(ISNA(MATCH(1335,'Transfer Engine'!$C$2:$C$1369,0)),"",INDEX('Compliance Database'!$J$2:$J$1369,MATCH(1335,'Transfer Engine'!$C$2:$C$1369,0)))</f>
        <v/>
      </c>
      <c r="K1344" s="9">
        <f>IF(ISNA(MATCH(1335,'Transfer Engine'!$C$2:$C$1369,0)),"",INDEX('Compliance Database'!$K$2:$K$1369,MATCH(1335,'Transfer Engine'!$C$2:$C$1369,0)))</f>
        <v/>
      </c>
      <c r="L1344" s="9">
        <f>IF(ISNA(MATCH(1335,'Transfer Engine'!$C$2:$C$1369,0)),"",INDEX('Compliance Database'!$L$2:$L$1369,MATCH(1335,'Transfer Engine'!$C$2:$C$1369,0)))</f>
        <v/>
      </c>
      <c r="M1344" s="9">
        <f>IF(ISNA(MATCH(1335,'Transfer Engine'!$C$2:$C$1369,0)),"",INDEX('Compliance Database'!$M$2:$M$1369,MATCH(1335,'Transfer Engine'!$C$2:$C$1369,0)))</f>
        <v/>
      </c>
      <c r="N1344" s="9">
        <f>IF(ISNA(MATCH(1335,'Transfer Engine'!$C$2:$C$1369,0)),"",INDEX('Compliance Database'!$N$2:$N$1369,MATCH(1335,'Transfer Engine'!$C$2:$C$1369,0)))</f>
        <v/>
      </c>
      <c r="O1344" s="8">
        <f>IF(ISNA(MATCH(1335,'Transfer Engine'!$C$2:$C$1369,0)),"",HYPERLINK(INDEX('Compliance Database'!$O$2:$O$1369,MATCH(1335,'Transfer Engine'!$C$2:$C$1369,0)),"Open PDF"))</f>
        <v/>
      </c>
    </row>
    <row r="1345" ht="188" customHeight="1">
      <c r="A1345" s="8">
        <f>IF(ISNA(MATCH(1336,'Transfer Engine'!$C$2:$C$1369,0)),"",INDEX('Compliance Database'!$A$2:$A$1369,MATCH(1336,'Transfer Engine'!$C$2:$C$1369,0)))</f>
        <v/>
      </c>
      <c r="B1345" s="8">
        <f>IF(ISNA(MATCH(1336,'Transfer Engine'!$C$2:$C$1369,0)),"",INDEX('Compliance Database'!$B$2:$B$1369,MATCH(1336,'Transfer Engine'!$C$2:$C$1369,0)))</f>
        <v/>
      </c>
      <c r="C1345" s="8">
        <f>IF(ISNA(MATCH(1336,'Transfer Engine'!$C$2:$C$1369,0)),"",INDEX('Compliance Database'!$C$2:$C$1369,MATCH(1336,'Transfer Engine'!$C$2:$C$1369,0)))</f>
        <v/>
      </c>
      <c r="D1345" s="9">
        <f>IF(ISNA(MATCH(1336,'Transfer Engine'!$C$2:$C$1369,0)),"",INDEX('Compliance Database'!$D$2:$D$1369,MATCH(1336,'Transfer Engine'!$C$2:$C$1369,0)))</f>
        <v/>
      </c>
      <c r="E1345" s="8">
        <f>IF(ISNA(MATCH(1336,'Transfer Engine'!$C$2:$C$1369,0)),"",INDEX('Compliance Database'!$E$2:$E$1369,MATCH(1336,'Transfer Engine'!$C$2:$C$1369,0)))</f>
        <v/>
      </c>
      <c r="F1345" s="8">
        <f>IF(ISNA(MATCH(1336,'Transfer Engine'!$C$2:$C$1369,0)),"",INDEX('Compliance Database'!$F$2:$F$1369,MATCH(1336,'Transfer Engine'!$C$2:$C$1369,0)))</f>
        <v/>
      </c>
      <c r="G1345" s="8">
        <f>IF(ISNA(MATCH(1336,'Transfer Engine'!$C$2:$C$1369,0)),"",INDEX('Compliance Database'!$G$2:$G$1369,MATCH(1336,'Transfer Engine'!$C$2:$C$1369,0)))</f>
        <v/>
      </c>
      <c r="H1345" s="9">
        <f>IF(ISNA(MATCH(1336,'Transfer Engine'!$C$2:$C$1369,0)),"",INDEX('Compliance Database'!$H$2:$H$1369,MATCH(1336,'Transfer Engine'!$C$2:$C$1369,0)))</f>
        <v/>
      </c>
      <c r="I1345" s="9">
        <f>IF(ISNA(MATCH(1336,'Transfer Engine'!$C$2:$C$1369,0)),"",INDEX('Compliance Database'!$I$2:$I$1369,MATCH(1336,'Transfer Engine'!$C$2:$C$1369,0)))</f>
        <v/>
      </c>
      <c r="J1345" s="8">
        <f>IF(ISNA(MATCH(1336,'Transfer Engine'!$C$2:$C$1369,0)),"",INDEX('Compliance Database'!$J$2:$J$1369,MATCH(1336,'Transfer Engine'!$C$2:$C$1369,0)))</f>
        <v/>
      </c>
      <c r="K1345" s="9">
        <f>IF(ISNA(MATCH(1336,'Transfer Engine'!$C$2:$C$1369,0)),"",INDEX('Compliance Database'!$K$2:$K$1369,MATCH(1336,'Transfer Engine'!$C$2:$C$1369,0)))</f>
        <v/>
      </c>
      <c r="L1345" s="9">
        <f>IF(ISNA(MATCH(1336,'Transfer Engine'!$C$2:$C$1369,0)),"",INDEX('Compliance Database'!$L$2:$L$1369,MATCH(1336,'Transfer Engine'!$C$2:$C$1369,0)))</f>
        <v/>
      </c>
      <c r="M1345" s="9">
        <f>IF(ISNA(MATCH(1336,'Transfer Engine'!$C$2:$C$1369,0)),"",INDEX('Compliance Database'!$M$2:$M$1369,MATCH(1336,'Transfer Engine'!$C$2:$C$1369,0)))</f>
        <v/>
      </c>
      <c r="N1345" s="9">
        <f>IF(ISNA(MATCH(1336,'Transfer Engine'!$C$2:$C$1369,0)),"",INDEX('Compliance Database'!$N$2:$N$1369,MATCH(1336,'Transfer Engine'!$C$2:$C$1369,0)))</f>
        <v/>
      </c>
      <c r="O1345" s="8">
        <f>IF(ISNA(MATCH(1336,'Transfer Engine'!$C$2:$C$1369,0)),"",HYPERLINK(INDEX('Compliance Database'!$O$2:$O$1369,MATCH(1336,'Transfer Engine'!$C$2:$C$1369,0)),"Open PDF"))</f>
        <v/>
      </c>
    </row>
    <row r="1346" ht="188" customHeight="1">
      <c r="A1346" s="8">
        <f>IF(ISNA(MATCH(1337,'Transfer Engine'!$C$2:$C$1369,0)),"",INDEX('Compliance Database'!$A$2:$A$1369,MATCH(1337,'Transfer Engine'!$C$2:$C$1369,0)))</f>
        <v/>
      </c>
      <c r="B1346" s="8">
        <f>IF(ISNA(MATCH(1337,'Transfer Engine'!$C$2:$C$1369,0)),"",INDEX('Compliance Database'!$B$2:$B$1369,MATCH(1337,'Transfer Engine'!$C$2:$C$1369,0)))</f>
        <v/>
      </c>
      <c r="C1346" s="8">
        <f>IF(ISNA(MATCH(1337,'Transfer Engine'!$C$2:$C$1369,0)),"",INDEX('Compliance Database'!$C$2:$C$1369,MATCH(1337,'Transfer Engine'!$C$2:$C$1369,0)))</f>
        <v/>
      </c>
      <c r="D1346" s="9">
        <f>IF(ISNA(MATCH(1337,'Transfer Engine'!$C$2:$C$1369,0)),"",INDEX('Compliance Database'!$D$2:$D$1369,MATCH(1337,'Transfer Engine'!$C$2:$C$1369,0)))</f>
        <v/>
      </c>
      <c r="E1346" s="8">
        <f>IF(ISNA(MATCH(1337,'Transfer Engine'!$C$2:$C$1369,0)),"",INDEX('Compliance Database'!$E$2:$E$1369,MATCH(1337,'Transfer Engine'!$C$2:$C$1369,0)))</f>
        <v/>
      </c>
      <c r="F1346" s="8">
        <f>IF(ISNA(MATCH(1337,'Transfer Engine'!$C$2:$C$1369,0)),"",INDEX('Compliance Database'!$F$2:$F$1369,MATCH(1337,'Transfer Engine'!$C$2:$C$1369,0)))</f>
        <v/>
      </c>
      <c r="G1346" s="8">
        <f>IF(ISNA(MATCH(1337,'Transfer Engine'!$C$2:$C$1369,0)),"",INDEX('Compliance Database'!$G$2:$G$1369,MATCH(1337,'Transfer Engine'!$C$2:$C$1369,0)))</f>
        <v/>
      </c>
      <c r="H1346" s="9">
        <f>IF(ISNA(MATCH(1337,'Transfer Engine'!$C$2:$C$1369,0)),"",INDEX('Compliance Database'!$H$2:$H$1369,MATCH(1337,'Transfer Engine'!$C$2:$C$1369,0)))</f>
        <v/>
      </c>
      <c r="I1346" s="9">
        <f>IF(ISNA(MATCH(1337,'Transfer Engine'!$C$2:$C$1369,0)),"",INDEX('Compliance Database'!$I$2:$I$1369,MATCH(1337,'Transfer Engine'!$C$2:$C$1369,0)))</f>
        <v/>
      </c>
      <c r="J1346" s="8">
        <f>IF(ISNA(MATCH(1337,'Transfer Engine'!$C$2:$C$1369,0)),"",INDEX('Compliance Database'!$J$2:$J$1369,MATCH(1337,'Transfer Engine'!$C$2:$C$1369,0)))</f>
        <v/>
      </c>
      <c r="K1346" s="9">
        <f>IF(ISNA(MATCH(1337,'Transfer Engine'!$C$2:$C$1369,0)),"",INDEX('Compliance Database'!$K$2:$K$1369,MATCH(1337,'Transfer Engine'!$C$2:$C$1369,0)))</f>
        <v/>
      </c>
      <c r="L1346" s="9">
        <f>IF(ISNA(MATCH(1337,'Transfer Engine'!$C$2:$C$1369,0)),"",INDEX('Compliance Database'!$L$2:$L$1369,MATCH(1337,'Transfer Engine'!$C$2:$C$1369,0)))</f>
        <v/>
      </c>
      <c r="M1346" s="9">
        <f>IF(ISNA(MATCH(1337,'Transfer Engine'!$C$2:$C$1369,0)),"",INDEX('Compliance Database'!$M$2:$M$1369,MATCH(1337,'Transfer Engine'!$C$2:$C$1369,0)))</f>
        <v/>
      </c>
      <c r="N1346" s="9">
        <f>IF(ISNA(MATCH(1337,'Transfer Engine'!$C$2:$C$1369,0)),"",INDEX('Compliance Database'!$N$2:$N$1369,MATCH(1337,'Transfer Engine'!$C$2:$C$1369,0)))</f>
        <v/>
      </c>
      <c r="O1346" s="8">
        <f>IF(ISNA(MATCH(1337,'Transfer Engine'!$C$2:$C$1369,0)),"",HYPERLINK(INDEX('Compliance Database'!$O$2:$O$1369,MATCH(1337,'Transfer Engine'!$C$2:$C$1369,0)),"Open PDF"))</f>
        <v/>
      </c>
    </row>
    <row r="1347" ht="188" customHeight="1">
      <c r="A1347" s="8">
        <f>IF(ISNA(MATCH(1338,'Transfer Engine'!$C$2:$C$1369,0)),"",INDEX('Compliance Database'!$A$2:$A$1369,MATCH(1338,'Transfer Engine'!$C$2:$C$1369,0)))</f>
        <v/>
      </c>
      <c r="B1347" s="8">
        <f>IF(ISNA(MATCH(1338,'Transfer Engine'!$C$2:$C$1369,0)),"",INDEX('Compliance Database'!$B$2:$B$1369,MATCH(1338,'Transfer Engine'!$C$2:$C$1369,0)))</f>
        <v/>
      </c>
      <c r="C1347" s="8">
        <f>IF(ISNA(MATCH(1338,'Transfer Engine'!$C$2:$C$1369,0)),"",INDEX('Compliance Database'!$C$2:$C$1369,MATCH(1338,'Transfer Engine'!$C$2:$C$1369,0)))</f>
        <v/>
      </c>
      <c r="D1347" s="9">
        <f>IF(ISNA(MATCH(1338,'Transfer Engine'!$C$2:$C$1369,0)),"",INDEX('Compliance Database'!$D$2:$D$1369,MATCH(1338,'Transfer Engine'!$C$2:$C$1369,0)))</f>
        <v/>
      </c>
      <c r="E1347" s="8">
        <f>IF(ISNA(MATCH(1338,'Transfer Engine'!$C$2:$C$1369,0)),"",INDEX('Compliance Database'!$E$2:$E$1369,MATCH(1338,'Transfer Engine'!$C$2:$C$1369,0)))</f>
        <v/>
      </c>
      <c r="F1347" s="8">
        <f>IF(ISNA(MATCH(1338,'Transfer Engine'!$C$2:$C$1369,0)),"",INDEX('Compliance Database'!$F$2:$F$1369,MATCH(1338,'Transfer Engine'!$C$2:$C$1369,0)))</f>
        <v/>
      </c>
      <c r="G1347" s="8">
        <f>IF(ISNA(MATCH(1338,'Transfer Engine'!$C$2:$C$1369,0)),"",INDEX('Compliance Database'!$G$2:$G$1369,MATCH(1338,'Transfer Engine'!$C$2:$C$1369,0)))</f>
        <v/>
      </c>
      <c r="H1347" s="9">
        <f>IF(ISNA(MATCH(1338,'Transfer Engine'!$C$2:$C$1369,0)),"",INDEX('Compliance Database'!$H$2:$H$1369,MATCH(1338,'Transfer Engine'!$C$2:$C$1369,0)))</f>
        <v/>
      </c>
      <c r="I1347" s="9">
        <f>IF(ISNA(MATCH(1338,'Transfer Engine'!$C$2:$C$1369,0)),"",INDEX('Compliance Database'!$I$2:$I$1369,MATCH(1338,'Transfer Engine'!$C$2:$C$1369,0)))</f>
        <v/>
      </c>
      <c r="J1347" s="8">
        <f>IF(ISNA(MATCH(1338,'Transfer Engine'!$C$2:$C$1369,0)),"",INDEX('Compliance Database'!$J$2:$J$1369,MATCH(1338,'Transfer Engine'!$C$2:$C$1369,0)))</f>
        <v/>
      </c>
      <c r="K1347" s="9">
        <f>IF(ISNA(MATCH(1338,'Transfer Engine'!$C$2:$C$1369,0)),"",INDEX('Compliance Database'!$K$2:$K$1369,MATCH(1338,'Transfer Engine'!$C$2:$C$1369,0)))</f>
        <v/>
      </c>
      <c r="L1347" s="9">
        <f>IF(ISNA(MATCH(1338,'Transfer Engine'!$C$2:$C$1369,0)),"",INDEX('Compliance Database'!$L$2:$L$1369,MATCH(1338,'Transfer Engine'!$C$2:$C$1369,0)))</f>
        <v/>
      </c>
      <c r="M1347" s="9">
        <f>IF(ISNA(MATCH(1338,'Transfer Engine'!$C$2:$C$1369,0)),"",INDEX('Compliance Database'!$M$2:$M$1369,MATCH(1338,'Transfer Engine'!$C$2:$C$1369,0)))</f>
        <v/>
      </c>
      <c r="N1347" s="9">
        <f>IF(ISNA(MATCH(1338,'Transfer Engine'!$C$2:$C$1369,0)),"",INDEX('Compliance Database'!$N$2:$N$1369,MATCH(1338,'Transfer Engine'!$C$2:$C$1369,0)))</f>
        <v/>
      </c>
      <c r="O1347" s="8">
        <f>IF(ISNA(MATCH(1338,'Transfer Engine'!$C$2:$C$1369,0)),"",HYPERLINK(INDEX('Compliance Database'!$O$2:$O$1369,MATCH(1338,'Transfer Engine'!$C$2:$C$1369,0)),"Open PDF"))</f>
        <v/>
      </c>
    </row>
    <row r="1348" ht="188" customHeight="1">
      <c r="A1348" s="8">
        <f>IF(ISNA(MATCH(1339,'Transfer Engine'!$C$2:$C$1369,0)),"",INDEX('Compliance Database'!$A$2:$A$1369,MATCH(1339,'Transfer Engine'!$C$2:$C$1369,0)))</f>
        <v/>
      </c>
      <c r="B1348" s="8">
        <f>IF(ISNA(MATCH(1339,'Transfer Engine'!$C$2:$C$1369,0)),"",INDEX('Compliance Database'!$B$2:$B$1369,MATCH(1339,'Transfer Engine'!$C$2:$C$1369,0)))</f>
        <v/>
      </c>
      <c r="C1348" s="8">
        <f>IF(ISNA(MATCH(1339,'Transfer Engine'!$C$2:$C$1369,0)),"",INDEX('Compliance Database'!$C$2:$C$1369,MATCH(1339,'Transfer Engine'!$C$2:$C$1369,0)))</f>
        <v/>
      </c>
      <c r="D1348" s="9">
        <f>IF(ISNA(MATCH(1339,'Transfer Engine'!$C$2:$C$1369,0)),"",INDEX('Compliance Database'!$D$2:$D$1369,MATCH(1339,'Transfer Engine'!$C$2:$C$1369,0)))</f>
        <v/>
      </c>
      <c r="E1348" s="8">
        <f>IF(ISNA(MATCH(1339,'Transfer Engine'!$C$2:$C$1369,0)),"",INDEX('Compliance Database'!$E$2:$E$1369,MATCH(1339,'Transfer Engine'!$C$2:$C$1369,0)))</f>
        <v/>
      </c>
      <c r="F1348" s="8">
        <f>IF(ISNA(MATCH(1339,'Transfer Engine'!$C$2:$C$1369,0)),"",INDEX('Compliance Database'!$F$2:$F$1369,MATCH(1339,'Transfer Engine'!$C$2:$C$1369,0)))</f>
        <v/>
      </c>
      <c r="G1348" s="8">
        <f>IF(ISNA(MATCH(1339,'Transfer Engine'!$C$2:$C$1369,0)),"",INDEX('Compliance Database'!$G$2:$G$1369,MATCH(1339,'Transfer Engine'!$C$2:$C$1369,0)))</f>
        <v/>
      </c>
      <c r="H1348" s="9">
        <f>IF(ISNA(MATCH(1339,'Transfer Engine'!$C$2:$C$1369,0)),"",INDEX('Compliance Database'!$H$2:$H$1369,MATCH(1339,'Transfer Engine'!$C$2:$C$1369,0)))</f>
        <v/>
      </c>
      <c r="I1348" s="9">
        <f>IF(ISNA(MATCH(1339,'Transfer Engine'!$C$2:$C$1369,0)),"",INDEX('Compliance Database'!$I$2:$I$1369,MATCH(1339,'Transfer Engine'!$C$2:$C$1369,0)))</f>
        <v/>
      </c>
      <c r="J1348" s="8">
        <f>IF(ISNA(MATCH(1339,'Transfer Engine'!$C$2:$C$1369,0)),"",INDEX('Compliance Database'!$J$2:$J$1369,MATCH(1339,'Transfer Engine'!$C$2:$C$1369,0)))</f>
        <v/>
      </c>
      <c r="K1348" s="9">
        <f>IF(ISNA(MATCH(1339,'Transfer Engine'!$C$2:$C$1369,0)),"",INDEX('Compliance Database'!$K$2:$K$1369,MATCH(1339,'Transfer Engine'!$C$2:$C$1369,0)))</f>
        <v/>
      </c>
      <c r="L1348" s="9">
        <f>IF(ISNA(MATCH(1339,'Transfer Engine'!$C$2:$C$1369,0)),"",INDEX('Compliance Database'!$L$2:$L$1369,MATCH(1339,'Transfer Engine'!$C$2:$C$1369,0)))</f>
        <v/>
      </c>
      <c r="M1348" s="9">
        <f>IF(ISNA(MATCH(1339,'Transfer Engine'!$C$2:$C$1369,0)),"",INDEX('Compliance Database'!$M$2:$M$1369,MATCH(1339,'Transfer Engine'!$C$2:$C$1369,0)))</f>
        <v/>
      </c>
      <c r="N1348" s="9">
        <f>IF(ISNA(MATCH(1339,'Transfer Engine'!$C$2:$C$1369,0)),"",INDEX('Compliance Database'!$N$2:$N$1369,MATCH(1339,'Transfer Engine'!$C$2:$C$1369,0)))</f>
        <v/>
      </c>
      <c r="O1348" s="8">
        <f>IF(ISNA(MATCH(1339,'Transfer Engine'!$C$2:$C$1369,0)),"",HYPERLINK(INDEX('Compliance Database'!$O$2:$O$1369,MATCH(1339,'Transfer Engine'!$C$2:$C$1369,0)),"Open PDF"))</f>
        <v/>
      </c>
    </row>
    <row r="1349" ht="188" customHeight="1">
      <c r="A1349" s="8">
        <f>IF(ISNA(MATCH(1340,'Transfer Engine'!$C$2:$C$1369,0)),"",INDEX('Compliance Database'!$A$2:$A$1369,MATCH(1340,'Transfer Engine'!$C$2:$C$1369,0)))</f>
        <v/>
      </c>
      <c r="B1349" s="8">
        <f>IF(ISNA(MATCH(1340,'Transfer Engine'!$C$2:$C$1369,0)),"",INDEX('Compliance Database'!$B$2:$B$1369,MATCH(1340,'Transfer Engine'!$C$2:$C$1369,0)))</f>
        <v/>
      </c>
      <c r="C1349" s="8">
        <f>IF(ISNA(MATCH(1340,'Transfer Engine'!$C$2:$C$1369,0)),"",INDEX('Compliance Database'!$C$2:$C$1369,MATCH(1340,'Transfer Engine'!$C$2:$C$1369,0)))</f>
        <v/>
      </c>
      <c r="D1349" s="9">
        <f>IF(ISNA(MATCH(1340,'Transfer Engine'!$C$2:$C$1369,0)),"",INDEX('Compliance Database'!$D$2:$D$1369,MATCH(1340,'Transfer Engine'!$C$2:$C$1369,0)))</f>
        <v/>
      </c>
      <c r="E1349" s="8">
        <f>IF(ISNA(MATCH(1340,'Transfer Engine'!$C$2:$C$1369,0)),"",INDEX('Compliance Database'!$E$2:$E$1369,MATCH(1340,'Transfer Engine'!$C$2:$C$1369,0)))</f>
        <v/>
      </c>
      <c r="F1349" s="8">
        <f>IF(ISNA(MATCH(1340,'Transfer Engine'!$C$2:$C$1369,0)),"",INDEX('Compliance Database'!$F$2:$F$1369,MATCH(1340,'Transfer Engine'!$C$2:$C$1369,0)))</f>
        <v/>
      </c>
      <c r="G1349" s="8">
        <f>IF(ISNA(MATCH(1340,'Transfer Engine'!$C$2:$C$1369,0)),"",INDEX('Compliance Database'!$G$2:$G$1369,MATCH(1340,'Transfer Engine'!$C$2:$C$1369,0)))</f>
        <v/>
      </c>
      <c r="H1349" s="9">
        <f>IF(ISNA(MATCH(1340,'Transfer Engine'!$C$2:$C$1369,0)),"",INDEX('Compliance Database'!$H$2:$H$1369,MATCH(1340,'Transfer Engine'!$C$2:$C$1369,0)))</f>
        <v/>
      </c>
      <c r="I1349" s="9">
        <f>IF(ISNA(MATCH(1340,'Transfer Engine'!$C$2:$C$1369,0)),"",INDEX('Compliance Database'!$I$2:$I$1369,MATCH(1340,'Transfer Engine'!$C$2:$C$1369,0)))</f>
        <v/>
      </c>
      <c r="J1349" s="8">
        <f>IF(ISNA(MATCH(1340,'Transfer Engine'!$C$2:$C$1369,0)),"",INDEX('Compliance Database'!$J$2:$J$1369,MATCH(1340,'Transfer Engine'!$C$2:$C$1369,0)))</f>
        <v/>
      </c>
      <c r="K1349" s="9">
        <f>IF(ISNA(MATCH(1340,'Transfer Engine'!$C$2:$C$1369,0)),"",INDEX('Compliance Database'!$K$2:$K$1369,MATCH(1340,'Transfer Engine'!$C$2:$C$1369,0)))</f>
        <v/>
      </c>
      <c r="L1349" s="9">
        <f>IF(ISNA(MATCH(1340,'Transfer Engine'!$C$2:$C$1369,0)),"",INDEX('Compliance Database'!$L$2:$L$1369,MATCH(1340,'Transfer Engine'!$C$2:$C$1369,0)))</f>
        <v/>
      </c>
      <c r="M1349" s="9">
        <f>IF(ISNA(MATCH(1340,'Transfer Engine'!$C$2:$C$1369,0)),"",INDEX('Compliance Database'!$M$2:$M$1369,MATCH(1340,'Transfer Engine'!$C$2:$C$1369,0)))</f>
        <v/>
      </c>
      <c r="N1349" s="9">
        <f>IF(ISNA(MATCH(1340,'Transfer Engine'!$C$2:$C$1369,0)),"",INDEX('Compliance Database'!$N$2:$N$1369,MATCH(1340,'Transfer Engine'!$C$2:$C$1369,0)))</f>
        <v/>
      </c>
      <c r="O1349" s="8">
        <f>IF(ISNA(MATCH(1340,'Transfer Engine'!$C$2:$C$1369,0)),"",HYPERLINK(INDEX('Compliance Database'!$O$2:$O$1369,MATCH(1340,'Transfer Engine'!$C$2:$C$1369,0)),"Open PDF"))</f>
        <v/>
      </c>
    </row>
    <row r="1350" ht="188" customHeight="1">
      <c r="A1350" s="8">
        <f>IF(ISNA(MATCH(1341,'Transfer Engine'!$C$2:$C$1369,0)),"",INDEX('Compliance Database'!$A$2:$A$1369,MATCH(1341,'Transfer Engine'!$C$2:$C$1369,0)))</f>
        <v/>
      </c>
      <c r="B1350" s="8">
        <f>IF(ISNA(MATCH(1341,'Transfer Engine'!$C$2:$C$1369,0)),"",INDEX('Compliance Database'!$B$2:$B$1369,MATCH(1341,'Transfer Engine'!$C$2:$C$1369,0)))</f>
        <v/>
      </c>
      <c r="C1350" s="8">
        <f>IF(ISNA(MATCH(1341,'Transfer Engine'!$C$2:$C$1369,0)),"",INDEX('Compliance Database'!$C$2:$C$1369,MATCH(1341,'Transfer Engine'!$C$2:$C$1369,0)))</f>
        <v/>
      </c>
      <c r="D1350" s="9">
        <f>IF(ISNA(MATCH(1341,'Transfer Engine'!$C$2:$C$1369,0)),"",INDEX('Compliance Database'!$D$2:$D$1369,MATCH(1341,'Transfer Engine'!$C$2:$C$1369,0)))</f>
        <v/>
      </c>
      <c r="E1350" s="8">
        <f>IF(ISNA(MATCH(1341,'Transfer Engine'!$C$2:$C$1369,0)),"",INDEX('Compliance Database'!$E$2:$E$1369,MATCH(1341,'Transfer Engine'!$C$2:$C$1369,0)))</f>
        <v/>
      </c>
      <c r="F1350" s="8">
        <f>IF(ISNA(MATCH(1341,'Transfer Engine'!$C$2:$C$1369,0)),"",INDEX('Compliance Database'!$F$2:$F$1369,MATCH(1341,'Transfer Engine'!$C$2:$C$1369,0)))</f>
        <v/>
      </c>
      <c r="G1350" s="8">
        <f>IF(ISNA(MATCH(1341,'Transfer Engine'!$C$2:$C$1369,0)),"",INDEX('Compliance Database'!$G$2:$G$1369,MATCH(1341,'Transfer Engine'!$C$2:$C$1369,0)))</f>
        <v/>
      </c>
      <c r="H1350" s="9">
        <f>IF(ISNA(MATCH(1341,'Transfer Engine'!$C$2:$C$1369,0)),"",INDEX('Compliance Database'!$H$2:$H$1369,MATCH(1341,'Transfer Engine'!$C$2:$C$1369,0)))</f>
        <v/>
      </c>
      <c r="I1350" s="9">
        <f>IF(ISNA(MATCH(1341,'Transfer Engine'!$C$2:$C$1369,0)),"",INDEX('Compliance Database'!$I$2:$I$1369,MATCH(1341,'Transfer Engine'!$C$2:$C$1369,0)))</f>
        <v/>
      </c>
      <c r="J1350" s="8">
        <f>IF(ISNA(MATCH(1341,'Transfer Engine'!$C$2:$C$1369,0)),"",INDEX('Compliance Database'!$J$2:$J$1369,MATCH(1341,'Transfer Engine'!$C$2:$C$1369,0)))</f>
        <v/>
      </c>
      <c r="K1350" s="9">
        <f>IF(ISNA(MATCH(1341,'Transfer Engine'!$C$2:$C$1369,0)),"",INDEX('Compliance Database'!$K$2:$K$1369,MATCH(1341,'Transfer Engine'!$C$2:$C$1369,0)))</f>
        <v/>
      </c>
      <c r="L1350" s="9">
        <f>IF(ISNA(MATCH(1341,'Transfer Engine'!$C$2:$C$1369,0)),"",INDEX('Compliance Database'!$L$2:$L$1369,MATCH(1341,'Transfer Engine'!$C$2:$C$1369,0)))</f>
        <v/>
      </c>
      <c r="M1350" s="9">
        <f>IF(ISNA(MATCH(1341,'Transfer Engine'!$C$2:$C$1369,0)),"",INDEX('Compliance Database'!$M$2:$M$1369,MATCH(1341,'Transfer Engine'!$C$2:$C$1369,0)))</f>
        <v/>
      </c>
      <c r="N1350" s="9">
        <f>IF(ISNA(MATCH(1341,'Transfer Engine'!$C$2:$C$1369,0)),"",INDEX('Compliance Database'!$N$2:$N$1369,MATCH(1341,'Transfer Engine'!$C$2:$C$1369,0)))</f>
        <v/>
      </c>
      <c r="O1350" s="8">
        <f>IF(ISNA(MATCH(1341,'Transfer Engine'!$C$2:$C$1369,0)),"",HYPERLINK(INDEX('Compliance Database'!$O$2:$O$1369,MATCH(1341,'Transfer Engine'!$C$2:$C$1369,0)),"Open PDF"))</f>
        <v/>
      </c>
    </row>
    <row r="1351" ht="188" customHeight="1">
      <c r="A1351" s="8">
        <f>IF(ISNA(MATCH(1342,'Transfer Engine'!$C$2:$C$1369,0)),"",INDEX('Compliance Database'!$A$2:$A$1369,MATCH(1342,'Transfer Engine'!$C$2:$C$1369,0)))</f>
        <v/>
      </c>
      <c r="B1351" s="8">
        <f>IF(ISNA(MATCH(1342,'Transfer Engine'!$C$2:$C$1369,0)),"",INDEX('Compliance Database'!$B$2:$B$1369,MATCH(1342,'Transfer Engine'!$C$2:$C$1369,0)))</f>
        <v/>
      </c>
      <c r="C1351" s="8">
        <f>IF(ISNA(MATCH(1342,'Transfer Engine'!$C$2:$C$1369,0)),"",INDEX('Compliance Database'!$C$2:$C$1369,MATCH(1342,'Transfer Engine'!$C$2:$C$1369,0)))</f>
        <v/>
      </c>
      <c r="D1351" s="9">
        <f>IF(ISNA(MATCH(1342,'Transfer Engine'!$C$2:$C$1369,0)),"",INDEX('Compliance Database'!$D$2:$D$1369,MATCH(1342,'Transfer Engine'!$C$2:$C$1369,0)))</f>
        <v/>
      </c>
      <c r="E1351" s="8">
        <f>IF(ISNA(MATCH(1342,'Transfer Engine'!$C$2:$C$1369,0)),"",INDEX('Compliance Database'!$E$2:$E$1369,MATCH(1342,'Transfer Engine'!$C$2:$C$1369,0)))</f>
        <v/>
      </c>
      <c r="F1351" s="8">
        <f>IF(ISNA(MATCH(1342,'Transfer Engine'!$C$2:$C$1369,0)),"",INDEX('Compliance Database'!$F$2:$F$1369,MATCH(1342,'Transfer Engine'!$C$2:$C$1369,0)))</f>
        <v/>
      </c>
      <c r="G1351" s="8">
        <f>IF(ISNA(MATCH(1342,'Transfer Engine'!$C$2:$C$1369,0)),"",INDEX('Compliance Database'!$G$2:$G$1369,MATCH(1342,'Transfer Engine'!$C$2:$C$1369,0)))</f>
        <v/>
      </c>
      <c r="H1351" s="9">
        <f>IF(ISNA(MATCH(1342,'Transfer Engine'!$C$2:$C$1369,0)),"",INDEX('Compliance Database'!$H$2:$H$1369,MATCH(1342,'Transfer Engine'!$C$2:$C$1369,0)))</f>
        <v/>
      </c>
      <c r="I1351" s="9">
        <f>IF(ISNA(MATCH(1342,'Transfer Engine'!$C$2:$C$1369,0)),"",INDEX('Compliance Database'!$I$2:$I$1369,MATCH(1342,'Transfer Engine'!$C$2:$C$1369,0)))</f>
        <v/>
      </c>
      <c r="J1351" s="8">
        <f>IF(ISNA(MATCH(1342,'Transfer Engine'!$C$2:$C$1369,0)),"",INDEX('Compliance Database'!$J$2:$J$1369,MATCH(1342,'Transfer Engine'!$C$2:$C$1369,0)))</f>
        <v/>
      </c>
      <c r="K1351" s="9">
        <f>IF(ISNA(MATCH(1342,'Transfer Engine'!$C$2:$C$1369,0)),"",INDEX('Compliance Database'!$K$2:$K$1369,MATCH(1342,'Transfer Engine'!$C$2:$C$1369,0)))</f>
        <v/>
      </c>
      <c r="L1351" s="9">
        <f>IF(ISNA(MATCH(1342,'Transfer Engine'!$C$2:$C$1369,0)),"",INDEX('Compliance Database'!$L$2:$L$1369,MATCH(1342,'Transfer Engine'!$C$2:$C$1369,0)))</f>
        <v/>
      </c>
      <c r="M1351" s="9">
        <f>IF(ISNA(MATCH(1342,'Transfer Engine'!$C$2:$C$1369,0)),"",INDEX('Compliance Database'!$M$2:$M$1369,MATCH(1342,'Transfer Engine'!$C$2:$C$1369,0)))</f>
        <v/>
      </c>
      <c r="N1351" s="9">
        <f>IF(ISNA(MATCH(1342,'Transfer Engine'!$C$2:$C$1369,0)),"",INDEX('Compliance Database'!$N$2:$N$1369,MATCH(1342,'Transfer Engine'!$C$2:$C$1369,0)))</f>
        <v/>
      </c>
      <c r="O1351" s="8">
        <f>IF(ISNA(MATCH(1342,'Transfer Engine'!$C$2:$C$1369,0)),"",HYPERLINK(INDEX('Compliance Database'!$O$2:$O$1369,MATCH(1342,'Transfer Engine'!$C$2:$C$1369,0)),"Open PDF"))</f>
        <v/>
      </c>
    </row>
    <row r="1352" ht="188" customHeight="1">
      <c r="A1352" s="8">
        <f>IF(ISNA(MATCH(1343,'Transfer Engine'!$C$2:$C$1369,0)),"",INDEX('Compliance Database'!$A$2:$A$1369,MATCH(1343,'Transfer Engine'!$C$2:$C$1369,0)))</f>
        <v/>
      </c>
      <c r="B1352" s="8">
        <f>IF(ISNA(MATCH(1343,'Transfer Engine'!$C$2:$C$1369,0)),"",INDEX('Compliance Database'!$B$2:$B$1369,MATCH(1343,'Transfer Engine'!$C$2:$C$1369,0)))</f>
        <v/>
      </c>
      <c r="C1352" s="8">
        <f>IF(ISNA(MATCH(1343,'Transfer Engine'!$C$2:$C$1369,0)),"",INDEX('Compliance Database'!$C$2:$C$1369,MATCH(1343,'Transfer Engine'!$C$2:$C$1369,0)))</f>
        <v/>
      </c>
      <c r="D1352" s="9">
        <f>IF(ISNA(MATCH(1343,'Transfer Engine'!$C$2:$C$1369,0)),"",INDEX('Compliance Database'!$D$2:$D$1369,MATCH(1343,'Transfer Engine'!$C$2:$C$1369,0)))</f>
        <v/>
      </c>
      <c r="E1352" s="8">
        <f>IF(ISNA(MATCH(1343,'Transfer Engine'!$C$2:$C$1369,0)),"",INDEX('Compliance Database'!$E$2:$E$1369,MATCH(1343,'Transfer Engine'!$C$2:$C$1369,0)))</f>
        <v/>
      </c>
      <c r="F1352" s="8">
        <f>IF(ISNA(MATCH(1343,'Transfer Engine'!$C$2:$C$1369,0)),"",INDEX('Compliance Database'!$F$2:$F$1369,MATCH(1343,'Transfer Engine'!$C$2:$C$1369,0)))</f>
        <v/>
      </c>
      <c r="G1352" s="8">
        <f>IF(ISNA(MATCH(1343,'Transfer Engine'!$C$2:$C$1369,0)),"",INDEX('Compliance Database'!$G$2:$G$1369,MATCH(1343,'Transfer Engine'!$C$2:$C$1369,0)))</f>
        <v/>
      </c>
      <c r="H1352" s="9">
        <f>IF(ISNA(MATCH(1343,'Transfer Engine'!$C$2:$C$1369,0)),"",INDEX('Compliance Database'!$H$2:$H$1369,MATCH(1343,'Transfer Engine'!$C$2:$C$1369,0)))</f>
        <v/>
      </c>
      <c r="I1352" s="9">
        <f>IF(ISNA(MATCH(1343,'Transfer Engine'!$C$2:$C$1369,0)),"",INDEX('Compliance Database'!$I$2:$I$1369,MATCH(1343,'Transfer Engine'!$C$2:$C$1369,0)))</f>
        <v/>
      </c>
      <c r="J1352" s="8">
        <f>IF(ISNA(MATCH(1343,'Transfer Engine'!$C$2:$C$1369,0)),"",INDEX('Compliance Database'!$J$2:$J$1369,MATCH(1343,'Transfer Engine'!$C$2:$C$1369,0)))</f>
        <v/>
      </c>
      <c r="K1352" s="9">
        <f>IF(ISNA(MATCH(1343,'Transfer Engine'!$C$2:$C$1369,0)),"",INDEX('Compliance Database'!$K$2:$K$1369,MATCH(1343,'Transfer Engine'!$C$2:$C$1369,0)))</f>
        <v/>
      </c>
      <c r="L1352" s="9">
        <f>IF(ISNA(MATCH(1343,'Transfer Engine'!$C$2:$C$1369,0)),"",INDEX('Compliance Database'!$L$2:$L$1369,MATCH(1343,'Transfer Engine'!$C$2:$C$1369,0)))</f>
        <v/>
      </c>
      <c r="M1352" s="9">
        <f>IF(ISNA(MATCH(1343,'Transfer Engine'!$C$2:$C$1369,0)),"",INDEX('Compliance Database'!$M$2:$M$1369,MATCH(1343,'Transfer Engine'!$C$2:$C$1369,0)))</f>
        <v/>
      </c>
      <c r="N1352" s="9">
        <f>IF(ISNA(MATCH(1343,'Transfer Engine'!$C$2:$C$1369,0)),"",INDEX('Compliance Database'!$N$2:$N$1369,MATCH(1343,'Transfer Engine'!$C$2:$C$1369,0)))</f>
        <v/>
      </c>
      <c r="O1352" s="8">
        <f>IF(ISNA(MATCH(1343,'Transfer Engine'!$C$2:$C$1369,0)),"",HYPERLINK(INDEX('Compliance Database'!$O$2:$O$1369,MATCH(1343,'Transfer Engine'!$C$2:$C$1369,0)),"Open PDF"))</f>
        <v/>
      </c>
    </row>
    <row r="1353" ht="188" customHeight="1">
      <c r="A1353" s="8">
        <f>IF(ISNA(MATCH(1344,'Transfer Engine'!$C$2:$C$1369,0)),"",INDEX('Compliance Database'!$A$2:$A$1369,MATCH(1344,'Transfer Engine'!$C$2:$C$1369,0)))</f>
        <v/>
      </c>
      <c r="B1353" s="8">
        <f>IF(ISNA(MATCH(1344,'Transfer Engine'!$C$2:$C$1369,0)),"",INDEX('Compliance Database'!$B$2:$B$1369,MATCH(1344,'Transfer Engine'!$C$2:$C$1369,0)))</f>
        <v/>
      </c>
      <c r="C1353" s="8">
        <f>IF(ISNA(MATCH(1344,'Transfer Engine'!$C$2:$C$1369,0)),"",INDEX('Compliance Database'!$C$2:$C$1369,MATCH(1344,'Transfer Engine'!$C$2:$C$1369,0)))</f>
        <v/>
      </c>
      <c r="D1353" s="9">
        <f>IF(ISNA(MATCH(1344,'Transfer Engine'!$C$2:$C$1369,0)),"",INDEX('Compliance Database'!$D$2:$D$1369,MATCH(1344,'Transfer Engine'!$C$2:$C$1369,0)))</f>
        <v/>
      </c>
      <c r="E1353" s="8">
        <f>IF(ISNA(MATCH(1344,'Transfer Engine'!$C$2:$C$1369,0)),"",INDEX('Compliance Database'!$E$2:$E$1369,MATCH(1344,'Transfer Engine'!$C$2:$C$1369,0)))</f>
        <v/>
      </c>
      <c r="F1353" s="8">
        <f>IF(ISNA(MATCH(1344,'Transfer Engine'!$C$2:$C$1369,0)),"",INDEX('Compliance Database'!$F$2:$F$1369,MATCH(1344,'Transfer Engine'!$C$2:$C$1369,0)))</f>
        <v/>
      </c>
      <c r="G1353" s="8">
        <f>IF(ISNA(MATCH(1344,'Transfer Engine'!$C$2:$C$1369,0)),"",INDEX('Compliance Database'!$G$2:$G$1369,MATCH(1344,'Transfer Engine'!$C$2:$C$1369,0)))</f>
        <v/>
      </c>
      <c r="H1353" s="9">
        <f>IF(ISNA(MATCH(1344,'Transfer Engine'!$C$2:$C$1369,0)),"",INDEX('Compliance Database'!$H$2:$H$1369,MATCH(1344,'Transfer Engine'!$C$2:$C$1369,0)))</f>
        <v/>
      </c>
      <c r="I1353" s="9">
        <f>IF(ISNA(MATCH(1344,'Transfer Engine'!$C$2:$C$1369,0)),"",INDEX('Compliance Database'!$I$2:$I$1369,MATCH(1344,'Transfer Engine'!$C$2:$C$1369,0)))</f>
        <v/>
      </c>
      <c r="J1353" s="8">
        <f>IF(ISNA(MATCH(1344,'Transfer Engine'!$C$2:$C$1369,0)),"",INDEX('Compliance Database'!$J$2:$J$1369,MATCH(1344,'Transfer Engine'!$C$2:$C$1369,0)))</f>
        <v/>
      </c>
      <c r="K1353" s="9">
        <f>IF(ISNA(MATCH(1344,'Transfer Engine'!$C$2:$C$1369,0)),"",INDEX('Compliance Database'!$K$2:$K$1369,MATCH(1344,'Transfer Engine'!$C$2:$C$1369,0)))</f>
        <v/>
      </c>
      <c r="L1353" s="9">
        <f>IF(ISNA(MATCH(1344,'Transfer Engine'!$C$2:$C$1369,0)),"",INDEX('Compliance Database'!$L$2:$L$1369,MATCH(1344,'Transfer Engine'!$C$2:$C$1369,0)))</f>
        <v/>
      </c>
      <c r="M1353" s="9">
        <f>IF(ISNA(MATCH(1344,'Transfer Engine'!$C$2:$C$1369,0)),"",INDEX('Compliance Database'!$M$2:$M$1369,MATCH(1344,'Transfer Engine'!$C$2:$C$1369,0)))</f>
        <v/>
      </c>
      <c r="N1353" s="9">
        <f>IF(ISNA(MATCH(1344,'Transfer Engine'!$C$2:$C$1369,0)),"",INDEX('Compliance Database'!$N$2:$N$1369,MATCH(1344,'Transfer Engine'!$C$2:$C$1369,0)))</f>
        <v/>
      </c>
      <c r="O1353" s="8">
        <f>IF(ISNA(MATCH(1344,'Transfer Engine'!$C$2:$C$1369,0)),"",HYPERLINK(INDEX('Compliance Database'!$O$2:$O$1369,MATCH(1344,'Transfer Engine'!$C$2:$C$1369,0)),"Open PDF"))</f>
        <v/>
      </c>
    </row>
    <row r="1354" ht="188" customHeight="1">
      <c r="A1354" s="8">
        <f>IF(ISNA(MATCH(1345,'Transfer Engine'!$C$2:$C$1369,0)),"",INDEX('Compliance Database'!$A$2:$A$1369,MATCH(1345,'Transfer Engine'!$C$2:$C$1369,0)))</f>
        <v/>
      </c>
      <c r="B1354" s="8">
        <f>IF(ISNA(MATCH(1345,'Transfer Engine'!$C$2:$C$1369,0)),"",INDEX('Compliance Database'!$B$2:$B$1369,MATCH(1345,'Transfer Engine'!$C$2:$C$1369,0)))</f>
        <v/>
      </c>
      <c r="C1354" s="8">
        <f>IF(ISNA(MATCH(1345,'Transfer Engine'!$C$2:$C$1369,0)),"",INDEX('Compliance Database'!$C$2:$C$1369,MATCH(1345,'Transfer Engine'!$C$2:$C$1369,0)))</f>
        <v/>
      </c>
      <c r="D1354" s="9">
        <f>IF(ISNA(MATCH(1345,'Transfer Engine'!$C$2:$C$1369,0)),"",INDEX('Compliance Database'!$D$2:$D$1369,MATCH(1345,'Transfer Engine'!$C$2:$C$1369,0)))</f>
        <v/>
      </c>
      <c r="E1354" s="8">
        <f>IF(ISNA(MATCH(1345,'Transfer Engine'!$C$2:$C$1369,0)),"",INDEX('Compliance Database'!$E$2:$E$1369,MATCH(1345,'Transfer Engine'!$C$2:$C$1369,0)))</f>
        <v/>
      </c>
      <c r="F1354" s="8">
        <f>IF(ISNA(MATCH(1345,'Transfer Engine'!$C$2:$C$1369,0)),"",INDEX('Compliance Database'!$F$2:$F$1369,MATCH(1345,'Transfer Engine'!$C$2:$C$1369,0)))</f>
        <v/>
      </c>
      <c r="G1354" s="8">
        <f>IF(ISNA(MATCH(1345,'Transfer Engine'!$C$2:$C$1369,0)),"",INDEX('Compliance Database'!$G$2:$G$1369,MATCH(1345,'Transfer Engine'!$C$2:$C$1369,0)))</f>
        <v/>
      </c>
      <c r="H1354" s="9">
        <f>IF(ISNA(MATCH(1345,'Transfer Engine'!$C$2:$C$1369,0)),"",INDEX('Compliance Database'!$H$2:$H$1369,MATCH(1345,'Transfer Engine'!$C$2:$C$1369,0)))</f>
        <v/>
      </c>
      <c r="I1354" s="9">
        <f>IF(ISNA(MATCH(1345,'Transfer Engine'!$C$2:$C$1369,0)),"",INDEX('Compliance Database'!$I$2:$I$1369,MATCH(1345,'Transfer Engine'!$C$2:$C$1369,0)))</f>
        <v/>
      </c>
      <c r="J1354" s="8">
        <f>IF(ISNA(MATCH(1345,'Transfer Engine'!$C$2:$C$1369,0)),"",INDEX('Compliance Database'!$J$2:$J$1369,MATCH(1345,'Transfer Engine'!$C$2:$C$1369,0)))</f>
        <v/>
      </c>
      <c r="K1354" s="9">
        <f>IF(ISNA(MATCH(1345,'Transfer Engine'!$C$2:$C$1369,0)),"",INDEX('Compliance Database'!$K$2:$K$1369,MATCH(1345,'Transfer Engine'!$C$2:$C$1369,0)))</f>
        <v/>
      </c>
      <c r="L1354" s="9">
        <f>IF(ISNA(MATCH(1345,'Transfer Engine'!$C$2:$C$1369,0)),"",INDEX('Compliance Database'!$L$2:$L$1369,MATCH(1345,'Transfer Engine'!$C$2:$C$1369,0)))</f>
        <v/>
      </c>
      <c r="M1354" s="9">
        <f>IF(ISNA(MATCH(1345,'Transfer Engine'!$C$2:$C$1369,0)),"",INDEX('Compliance Database'!$M$2:$M$1369,MATCH(1345,'Transfer Engine'!$C$2:$C$1369,0)))</f>
        <v/>
      </c>
      <c r="N1354" s="9">
        <f>IF(ISNA(MATCH(1345,'Transfer Engine'!$C$2:$C$1369,0)),"",INDEX('Compliance Database'!$N$2:$N$1369,MATCH(1345,'Transfer Engine'!$C$2:$C$1369,0)))</f>
        <v/>
      </c>
      <c r="O1354" s="8">
        <f>IF(ISNA(MATCH(1345,'Transfer Engine'!$C$2:$C$1369,0)),"",HYPERLINK(INDEX('Compliance Database'!$O$2:$O$1369,MATCH(1345,'Transfer Engine'!$C$2:$C$1369,0)),"Open PDF"))</f>
        <v/>
      </c>
    </row>
    <row r="1355" ht="188" customHeight="1">
      <c r="A1355" s="8">
        <f>IF(ISNA(MATCH(1346,'Transfer Engine'!$C$2:$C$1369,0)),"",INDEX('Compliance Database'!$A$2:$A$1369,MATCH(1346,'Transfer Engine'!$C$2:$C$1369,0)))</f>
        <v/>
      </c>
      <c r="B1355" s="8">
        <f>IF(ISNA(MATCH(1346,'Transfer Engine'!$C$2:$C$1369,0)),"",INDEX('Compliance Database'!$B$2:$B$1369,MATCH(1346,'Transfer Engine'!$C$2:$C$1369,0)))</f>
        <v/>
      </c>
      <c r="C1355" s="8">
        <f>IF(ISNA(MATCH(1346,'Transfer Engine'!$C$2:$C$1369,0)),"",INDEX('Compliance Database'!$C$2:$C$1369,MATCH(1346,'Transfer Engine'!$C$2:$C$1369,0)))</f>
        <v/>
      </c>
      <c r="D1355" s="9">
        <f>IF(ISNA(MATCH(1346,'Transfer Engine'!$C$2:$C$1369,0)),"",INDEX('Compliance Database'!$D$2:$D$1369,MATCH(1346,'Transfer Engine'!$C$2:$C$1369,0)))</f>
        <v/>
      </c>
      <c r="E1355" s="8">
        <f>IF(ISNA(MATCH(1346,'Transfer Engine'!$C$2:$C$1369,0)),"",INDEX('Compliance Database'!$E$2:$E$1369,MATCH(1346,'Transfer Engine'!$C$2:$C$1369,0)))</f>
        <v/>
      </c>
      <c r="F1355" s="8">
        <f>IF(ISNA(MATCH(1346,'Transfer Engine'!$C$2:$C$1369,0)),"",INDEX('Compliance Database'!$F$2:$F$1369,MATCH(1346,'Transfer Engine'!$C$2:$C$1369,0)))</f>
        <v/>
      </c>
      <c r="G1355" s="8">
        <f>IF(ISNA(MATCH(1346,'Transfer Engine'!$C$2:$C$1369,0)),"",INDEX('Compliance Database'!$G$2:$G$1369,MATCH(1346,'Transfer Engine'!$C$2:$C$1369,0)))</f>
        <v/>
      </c>
      <c r="H1355" s="9">
        <f>IF(ISNA(MATCH(1346,'Transfer Engine'!$C$2:$C$1369,0)),"",INDEX('Compliance Database'!$H$2:$H$1369,MATCH(1346,'Transfer Engine'!$C$2:$C$1369,0)))</f>
        <v/>
      </c>
      <c r="I1355" s="9">
        <f>IF(ISNA(MATCH(1346,'Transfer Engine'!$C$2:$C$1369,0)),"",INDEX('Compliance Database'!$I$2:$I$1369,MATCH(1346,'Transfer Engine'!$C$2:$C$1369,0)))</f>
        <v/>
      </c>
      <c r="J1355" s="8">
        <f>IF(ISNA(MATCH(1346,'Transfer Engine'!$C$2:$C$1369,0)),"",INDEX('Compliance Database'!$J$2:$J$1369,MATCH(1346,'Transfer Engine'!$C$2:$C$1369,0)))</f>
        <v/>
      </c>
      <c r="K1355" s="9">
        <f>IF(ISNA(MATCH(1346,'Transfer Engine'!$C$2:$C$1369,0)),"",INDEX('Compliance Database'!$K$2:$K$1369,MATCH(1346,'Transfer Engine'!$C$2:$C$1369,0)))</f>
        <v/>
      </c>
      <c r="L1355" s="9">
        <f>IF(ISNA(MATCH(1346,'Transfer Engine'!$C$2:$C$1369,0)),"",INDEX('Compliance Database'!$L$2:$L$1369,MATCH(1346,'Transfer Engine'!$C$2:$C$1369,0)))</f>
        <v/>
      </c>
      <c r="M1355" s="9">
        <f>IF(ISNA(MATCH(1346,'Transfer Engine'!$C$2:$C$1369,0)),"",INDEX('Compliance Database'!$M$2:$M$1369,MATCH(1346,'Transfer Engine'!$C$2:$C$1369,0)))</f>
        <v/>
      </c>
      <c r="N1355" s="9">
        <f>IF(ISNA(MATCH(1346,'Transfer Engine'!$C$2:$C$1369,0)),"",INDEX('Compliance Database'!$N$2:$N$1369,MATCH(1346,'Transfer Engine'!$C$2:$C$1369,0)))</f>
        <v/>
      </c>
      <c r="O1355" s="8">
        <f>IF(ISNA(MATCH(1346,'Transfer Engine'!$C$2:$C$1369,0)),"",HYPERLINK(INDEX('Compliance Database'!$O$2:$O$1369,MATCH(1346,'Transfer Engine'!$C$2:$C$1369,0)),"Open PDF"))</f>
        <v/>
      </c>
    </row>
    <row r="1356" ht="188" customHeight="1">
      <c r="A1356" s="8">
        <f>IF(ISNA(MATCH(1347,'Transfer Engine'!$C$2:$C$1369,0)),"",INDEX('Compliance Database'!$A$2:$A$1369,MATCH(1347,'Transfer Engine'!$C$2:$C$1369,0)))</f>
        <v/>
      </c>
      <c r="B1356" s="8">
        <f>IF(ISNA(MATCH(1347,'Transfer Engine'!$C$2:$C$1369,0)),"",INDEX('Compliance Database'!$B$2:$B$1369,MATCH(1347,'Transfer Engine'!$C$2:$C$1369,0)))</f>
        <v/>
      </c>
      <c r="C1356" s="8">
        <f>IF(ISNA(MATCH(1347,'Transfer Engine'!$C$2:$C$1369,0)),"",INDEX('Compliance Database'!$C$2:$C$1369,MATCH(1347,'Transfer Engine'!$C$2:$C$1369,0)))</f>
        <v/>
      </c>
      <c r="D1356" s="9">
        <f>IF(ISNA(MATCH(1347,'Transfer Engine'!$C$2:$C$1369,0)),"",INDEX('Compliance Database'!$D$2:$D$1369,MATCH(1347,'Transfer Engine'!$C$2:$C$1369,0)))</f>
        <v/>
      </c>
      <c r="E1356" s="8">
        <f>IF(ISNA(MATCH(1347,'Transfer Engine'!$C$2:$C$1369,0)),"",INDEX('Compliance Database'!$E$2:$E$1369,MATCH(1347,'Transfer Engine'!$C$2:$C$1369,0)))</f>
        <v/>
      </c>
      <c r="F1356" s="8">
        <f>IF(ISNA(MATCH(1347,'Transfer Engine'!$C$2:$C$1369,0)),"",INDEX('Compliance Database'!$F$2:$F$1369,MATCH(1347,'Transfer Engine'!$C$2:$C$1369,0)))</f>
        <v/>
      </c>
      <c r="G1356" s="8">
        <f>IF(ISNA(MATCH(1347,'Transfer Engine'!$C$2:$C$1369,0)),"",INDEX('Compliance Database'!$G$2:$G$1369,MATCH(1347,'Transfer Engine'!$C$2:$C$1369,0)))</f>
        <v/>
      </c>
      <c r="H1356" s="9">
        <f>IF(ISNA(MATCH(1347,'Transfer Engine'!$C$2:$C$1369,0)),"",INDEX('Compliance Database'!$H$2:$H$1369,MATCH(1347,'Transfer Engine'!$C$2:$C$1369,0)))</f>
        <v/>
      </c>
      <c r="I1356" s="9">
        <f>IF(ISNA(MATCH(1347,'Transfer Engine'!$C$2:$C$1369,0)),"",INDEX('Compliance Database'!$I$2:$I$1369,MATCH(1347,'Transfer Engine'!$C$2:$C$1369,0)))</f>
        <v/>
      </c>
      <c r="J1356" s="8">
        <f>IF(ISNA(MATCH(1347,'Transfer Engine'!$C$2:$C$1369,0)),"",INDEX('Compliance Database'!$J$2:$J$1369,MATCH(1347,'Transfer Engine'!$C$2:$C$1369,0)))</f>
        <v/>
      </c>
      <c r="K1356" s="9">
        <f>IF(ISNA(MATCH(1347,'Transfer Engine'!$C$2:$C$1369,0)),"",INDEX('Compliance Database'!$K$2:$K$1369,MATCH(1347,'Transfer Engine'!$C$2:$C$1369,0)))</f>
        <v/>
      </c>
      <c r="L1356" s="9">
        <f>IF(ISNA(MATCH(1347,'Transfer Engine'!$C$2:$C$1369,0)),"",INDEX('Compliance Database'!$L$2:$L$1369,MATCH(1347,'Transfer Engine'!$C$2:$C$1369,0)))</f>
        <v/>
      </c>
      <c r="M1356" s="9">
        <f>IF(ISNA(MATCH(1347,'Transfer Engine'!$C$2:$C$1369,0)),"",INDEX('Compliance Database'!$M$2:$M$1369,MATCH(1347,'Transfer Engine'!$C$2:$C$1369,0)))</f>
        <v/>
      </c>
      <c r="N1356" s="9">
        <f>IF(ISNA(MATCH(1347,'Transfer Engine'!$C$2:$C$1369,0)),"",INDEX('Compliance Database'!$N$2:$N$1369,MATCH(1347,'Transfer Engine'!$C$2:$C$1369,0)))</f>
        <v/>
      </c>
      <c r="O1356" s="8">
        <f>IF(ISNA(MATCH(1347,'Transfer Engine'!$C$2:$C$1369,0)),"",HYPERLINK(INDEX('Compliance Database'!$O$2:$O$1369,MATCH(1347,'Transfer Engine'!$C$2:$C$1369,0)),"Open PDF"))</f>
        <v/>
      </c>
    </row>
    <row r="1357" ht="188" customHeight="1">
      <c r="A1357" s="8">
        <f>IF(ISNA(MATCH(1348,'Transfer Engine'!$C$2:$C$1369,0)),"",INDEX('Compliance Database'!$A$2:$A$1369,MATCH(1348,'Transfer Engine'!$C$2:$C$1369,0)))</f>
        <v/>
      </c>
      <c r="B1357" s="8">
        <f>IF(ISNA(MATCH(1348,'Transfer Engine'!$C$2:$C$1369,0)),"",INDEX('Compliance Database'!$B$2:$B$1369,MATCH(1348,'Transfer Engine'!$C$2:$C$1369,0)))</f>
        <v/>
      </c>
      <c r="C1357" s="8">
        <f>IF(ISNA(MATCH(1348,'Transfer Engine'!$C$2:$C$1369,0)),"",INDEX('Compliance Database'!$C$2:$C$1369,MATCH(1348,'Transfer Engine'!$C$2:$C$1369,0)))</f>
        <v/>
      </c>
      <c r="D1357" s="9">
        <f>IF(ISNA(MATCH(1348,'Transfer Engine'!$C$2:$C$1369,0)),"",INDEX('Compliance Database'!$D$2:$D$1369,MATCH(1348,'Transfer Engine'!$C$2:$C$1369,0)))</f>
        <v/>
      </c>
      <c r="E1357" s="8">
        <f>IF(ISNA(MATCH(1348,'Transfer Engine'!$C$2:$C$1369,0)),"",INDEX('Compliance Database'!$E$2:$E$1369,MATCH(1348,'Transfer Engine'!$C$2:$C$1369,0)))</f>
        <v/>
      </c>
      <c r="F1357" s="8">
        <f>IF(ISNA(MATCH(1348,'Transfer Engine'!$C$2:$C$1369,0)),"",INDEX('Compliance Database'!$F$2:$F$1369,MATCH(1348,'Transfer Engine'!$C$2:$C$1369,0)))</f>
        <v/>
      </c>
      <c r="G1357" s="8">
        <f>IF(ISNA(MATCH(1348,'Transfer Engine'!$C$2:$C$1369,0)),"",INDEX('Compliance Database'!$G$2:$G$1369,MATCH(1348,'Transfer Engine'!$C$2:$C$1369,0)))</f>
        <v/>
      </c>
      <c r="H1357" s="9">
        <f>IF(ISNA(MATCH(1348,'Transfer Engine'!$C$2:$C$1369,0)),"",INDEX('Compliance Database'!$H$2:$H$1369,MATCH(1348,'Transfer Engine'!$C$2:$C$1369,0)))</f>
        <v/>
      </c>
      <c r="I1357" s="9">
        <f>IF(ISNA(MATCH(1348,'Transfer Engine'!$C$2:$C$1369,0)),"",INDEX('Compliance Database'!$I$2:$I$1369,MATCH(1348,'Transfer Engine'!$C$2:$C$1369,0)))</f>
        <v/>
      </c>
      <c r="J1357" s="8">
        <f>IF(ISNA(MATCH(1348,'Transfer Engine'!$C$2:$C$1369,0)),"",INDEX('Compliance Database'!$J$2:$J$1369,MATCH(1348,'Transfer Engine'!$C$2:$C$1369,0)))</f>
        <v/>
      </c>
      <c r="K1357" s="9">
        <f>IF(ISNA(MATCH(1348,'Transfer Engine'!$C$2:$C$1369,0)),"",INDEX('Compliance Database'!$K$2:$K$1369,MATCH(1348,'Transfer Engine'!$C$2:$C$1369,0)))</f>
        <v/>
      </c>
      <c r="L1357" s="9">
        <f>IF(ISNA(MATCH(1348,'Transfer Engine'!$C$2:$C$1369,0)),"",INDEX('Compliance Database'!$L$2:$L$1369,MATCH(1348,'Transfer Engine'!$C$2:$C$1369,0)))</f>
        <v/>
      </c>
      <c r="M1357" s="9">
        <f>IF(ISNA(MATCH(1348,'Transfer Engine'!$C$2:$C$1369,0)),"",INDEX('Compliance Database'!$M$2:$M$1369,MATCH(1348,'Transfer Engine'!$C$2:$C$1369,0)))</f>
        <v/>
      </c>
      <c r="N1357" s="9">
        <f>IF(ISNA(MATCH(1348,'Transfer Engine'!$C$2:$C$1369,0)),"",INDEX('Compliance Database'!$N$2:$N$1369,MATCH(1348,'Transfer Engine'!$C$2:$C$1369,0)))</f>
        <v/>
      </c>
      <c r="O1357" s="8">
        <f>IF(ISNA(MATCH(1348,'Transfer Engine'!$C$2:$C$1369,0)),"",HYPERLINK(INDEX('Compliance Database'!$O$2:$O$1369,MATCH(1348,'Transfer Engine'!$C$2:$C$1369,0)),"Open PDF"))</f>
        <v/>
      </c>
    </row>
    <row r="1358" ht="188" customHeight="1">
      <c r="A1358" s="8">
        <f>IF(ISNA(MATCH(1349,'Transfer Engine'!$C$2:$C$1369,0)),"",INDEX('Compliance Database'!$A$2:$A$1369,MATCH(1349,'Transfer Engine'!$C$2:$C$1369,0)))</f>
        <v/>
      </c>
      <c r="B1358" s="8">
        <f>IF(ISNA(MATCH(1349,'Transfer Engine'!$C$2:$C$1369,0)),"",INDEX('Compliance Database'!$B$2:$B$1369,MATCH(1349,'Transfer Engine'!$C$2:$C$1369,0)))</f>
        <v/>
      </c>
      <c r="C1358" s="8">
        <f>IF(ISNA(MATCH(1349,'Transfer Engine'!$C$2:$C$1369,0)),"",INDEX('Compliance Database'!$C$2:$C$1369,MATCH(1349,'Transfer Engine'!$C$2:$C$1369,0)))</f>
        <v/>
      </c>
      <c r="D1358" s="9">
        <f>IF(ISNA(MATCH(1349,'Transfer Engine'!$C$2:$C$1369,0)),"",INDEX('Compliance Database'!$D$2:$D$1369,MATCH(1349,'Transfer Engine'!$C$2:$C$1369,0)))</f>
        <v/>
      </c>
      <c r="E1358" s="8">
        <f>IF(ISNA(MATCH(1349,'Transfer Engine'!$C$2:$C$1369,0)),"",INDEX('Compliance Database'!$E$2:$E$1369,MATCH(1349,'Transfer Engine'!$C$2:$C$1369,0)))</f>
        <v/>
      </c>
      <c r="F1358" s="8">
        <f>IF(ISNA(MATCH(1349,'Transfer Engine'!$C$2:$C$1369,0)),"",INDEX('Compliance Database'!$F$2:$F$1369,MATCH(1349,'Transfer Engine'!$C$2:$C$1369,0)))</f>
        <v/>
      </c>
      <c r="G1358" s="8">
        <f>IF(ISNA(MATCH(1349,'Transfer Engine'!$C$2:$C$1369,0)),"",INDEX('Compliance Database'!$G$2:$G$1369,MATCH(1349,'Transfer Engine'!$C$2:$C$1369,0)))</f>
        <v/>
      </c>
      <c r="H1358" s="9">
        <f>IF(ISNA(MATCH(1349,'Transfer Engine'!$C$2:$C$1369,0)),"",INDEX('Compliance Database'!$H$2:$H$1369,MATCH(1349,'Transfer Engine'!$C$2:$C$1369,0)))</f>
        <v/>
      </c>
      <c r="I1358" s="9">
        <f>IF(ISNA(MATCH(1349,'Transfer Engine'!$C$2:$C$1369,0)),"",INDEX('Compliance Database'!$I$2:$I$1369,MATCH(1349,'Transfer Engine'!$C$2:$C$1369,0)))</f>
        <v/>
      </c>
      <c r="J1358" s="8">
        <f>IF(ISNA(MATCH(1349,'Transfer Engine'!$C$2:$C$1369,0)),"",INDEX('Compliance Database'!$J$2:$J$1369,MATCH(1349,'Transfer Engine'!$C$2:$C$1369,0)))</f>
        <v/>
      </c>
      <c r="K1358" s="9">
        <f>IF(ISNA(MATCH(1349,'Transfer Engine'!$C$2:$C$1369,0)),"",INDEX('Compliance Database'!$K$2:$K$1369,MATCH(1349,'Transfer Engine'!$C$2:$C$1369,0)))</f>
        <v/>
      </c>
      <c r="L1358" s="9">
        <f>IF(ISNA(MATCH(1349,'Transfer Engine'!$C$2:$C$1369,0)),"",INDEX('Compliance Database'!$L$2:$L$1369,MATCH(1349,'Transfer Engine'!$C$2:$C$1369,0)))</f>
        <v/>
      </c>
      <c r="M1358" s="9">
        <f>IF(ISNA(MATCH(1349,'Transfer Engine'!$C$2:$C$1369,0)),"",INDEX('Compliance Database'!$M$2:$M$1369,MATCH(1349,'Transfer Engine'!$C$2:$C$1369,0)))</f>
        <v/>
      </c>
      <c r="N1358" s="9">
        <f>IF(ISNA(MATCH(1349,'Transfer Engine'!$C$2:$C$1369,0)),"",INDEX('Compliance Database'!$N$2:$N$1369,MATCH(1349,'Transfer Engine'!$C$2:$C$1369,0)))</f>
        <v/>
      </c>
      <c r="O1358" s="8">
        <f>IF(ISNA(MATCH(1349,'Transfer Engine'!$C$2:$C$1369,0)),"",HYPERLINK(INDEX('Compliance Database'!$O$2:$O$1369,MATCH(1349,'Transfer Engine'!$C$2:$C$1369,0)),"Open PDF"))</f>
        <v/>
      </c>
    </row>
    <row r="1359" ht="188" customHeight="1">
      <c r="A1359" s="8">
        <f>IF(ISNA(MATCH(1350,'Transfer Engine'!$C$2:$C$1369,0)),"",INDEX('Compliance Database'!$A$2:$A$1369,MATCH(1350,'Transfer Engine'!$C$2:$C$1369,0)))</f>
        <v/>
      </c>
      <c r="B1359" s="8">
        <f>IF(ISNA(MATCH(1350,'Transfer Engine'!$C$2:$C$1369,0)),"",INDEX('Compliance Database'!$B$2:$B$1369,MATCH(1350,'Transfer Engine'!$C$2:$C$1369,0)))</f>
        <v/>
      </c>
      <c r="C1359" s="8">
        <f>IF(ISNA(MATCH(1350,'Transfer Engine'!$C$2:$C$1369,0)),"",INDEX('Compliance Database'!$C$2:$C$1369,MATCH(1350,'Transfer Engine'!$C$2:$C$1369,0)))</f>
        <v/>
      </c>
      <c r="D1359" s="9">
        <f>IF(ISNA(MATCH(1350,'Transfer Engine'!$C$2:$C$1369,0)),"",INDEX('Compliance Database'!$D$2:$D$1369,MATCH(1350,'Transfer Engine'!$C$2:$C$1369,0)))</f>
        <v/>
      </c>
      <c r="E1359" s="8">
        <f>IF(ISNA(MATCH(1350,'Transfer Engine'!$C$2:$C$1369,0)),"",INDEX('Compliance Database'!$E$2:$E$1369,MATCH(1350,'Transfer Engine'!$C$2:$C$1369,0)))</f>
        <v/>
      </c>
      <c r="F1359" s="8">
        <f>IF(ISNA(MATCH(1350,'Transfer Engine'!$C$2:$C$1369,0)),"",INDEX('Compliance Database'!$F$2:$F$1369,MATCH(1350,'Transfer Engine'!$C$2:$C$1369,0)))</f>
        <v/>
      </c>
      <c r="G1359" s="8">
        <f>IF(ISNA(MATCH(1350,'Transfer Engine'!$C$2:$C$1369,0)),"",INDEX('Compliance Database'!$G$2:$G$1369,MATCH(1350,'Transfer Engine'!$C$2:$C$1369,0)))</f>
        <v/>
      </c>
      <c r="H1359" s="9">
        <f>IF(ISNA(MATCH(1350,'Transfer Engine'!$C$2:$C$1369,0)),"",INDEX('Compliance Database'!$H$2:$H$1369,MATCH(1350,'Transfer Engine'!$C$2:$C$1369,0)))</f>
        <v/>
      </c>
      <c r="I1359" s="9">
        <f>IF(ISNA(MATCH(1350,'Transfer Engine'!$C$2:$C$1369,0)),"",INDEX('Compliance Database'!$I$2:$I$1369,MATCH(1350,'Transfer Engine'!$C$2:$C$1369,0)))</f>
        <v/>
      </c>
      <c r="J1359" s="8">
        <f>IF(ISNA(MATCH(1350,'Transfer Engine'!$C$2:$C$1369,0)),"",INDEX('Compliance Database'!$J$2:$J$1369,MATCH(1350,'Transfer Engine'!$C$2:$C$1369,0)))</f>
        <v/>
      </c>
      <c r="K1359" s="9">
        <f>IF(ISNA(MATCH(1350,'Transfer Engine'!$C$2:$C$1369,0)),"",INDEX('Compliance Database'!$K$2:$K$1369,MATCH(1350,'Transfer Engine'!$C$2:$C$1369,0)))</f>
        <v/>
      </c>
      <c r="L1359" s="9">
        <f>IF(ISNA(MATCH(1350,'Transfer Engine'!$C$2:$C$1369,0)),"",INDEX('Compliance Database'!$L$2:$L$1369,MATCH(1350,'Transfer Engine'!$C$2:$C$1369,0)))</f>
        <v/>
      </c>
      <c r="M1359" s="9">
        <f>IF(ISNA(MATCH(1350,'Transfer Engine'!$C$2:$C$1369,0)),"",INDEX('Compliance Database'!$M$2:$M$1369,MATCH(1350,'Transfer Engine'!$C$2:$C$1369,0)))</f>
        <v/>
      </c>
      <c r="N1359" s="9">
        <f>IF(ISNA(MATCH(1350,'Transfer Engine'!$C$2:$C$1369,0)),"",INDEX('Compliance Database'!$N$2:$N$1369,MATCH(1350,'Transfer Engine'!$C$2:$C$1369,0)))</f>
        <v/>
      </c>
      <c r="O1359" s="8">
        <f>IF(ISNA(MATCH(1350,'Transfer Engine'!$C$2:$C$1369,0)),"",HYPERLINK(INDEX('Compliance Database'!$O$2:$O$1369,MATCH(1350,'Transfer Engine'!$C$2:$C$1369,0)),"Open PDF"))</f>
        <v/>
      </c>
    </row>
    <row r="1360" ht="188" customHeight="1">
      <c r="A1360" s="8">
        <f>IF(ISNA(MATCH(1351,'Transfer Engine'!$C$2:$C$1369,0)),"",INDEX('Compliance Database'!$A$2:$A$1369,MATCH(1351,'Transfer Engine'!$C$2:$C$1369,0)))</f>
        <v/>
      </c>
      <c r="B1360" s="8">
        <f>IF(ISNA(MATCH(1351,'Transfer Engine'!$C$2:$C$1369,0)),"",INDEX('Compliance Database'!$B$2:$B$1369,MATCH(1351,'Transfer Engine'!$C$2:$C$1369,0)))</f>
        <v/>
      </c>
      <c r="C1360" s="8">
        <f>IF(ISNA(MATCH(1351,'Transfer Engine'!$C$2:$C$1369,0)),"",INDEX('Compliance Database'!$C$2:$C$1369,MATCH(1351,'Transfer Engine'!$C$2:$C$1369,0)))</f>
        <v/>
      </c>
      <c r="D1360" s="9">
        <f>IF(ISNA(MATCH(1351,'Transfer Engine'!$C$2:$C$1369,0)),"",INDEX('Compliance Database'!$D$2:$D$1369,MATCH(1351,'Transfer Engine'!$C$2:$C$1369,0)))</f>
        <v/>
      </c>
      <c r="E1360" s="8">
        <f>IF(ISNA(MATCH(1351,'Transfer Engine'!$C$2:$C$1369,0)),"",INDEX('Compliance Database'!$E$2:$E$1369,MATCH(1351,'Transfer Engine'!$C$2:$C$1369,0)))</f>
        <v/>
      </c>
      <c r="F1360" s="8">
        <f>IF(ISNA(MATCH(1351,'Transfer Engine'!$C$2:$C$1369,0)),"",INDEX('Compliance Database'!$F$2:$F$1369,MATCH(1351,'Transfer Engine'!$C$2:$C$1369,0)))</f>
        <v/>
      </c>
      <c r="G1360" s="8">
        <f>IF(ISNA(MATCH(1351,'Transfer Engine'!$C$2:$C$1369,0)),"",INDEX('Compliance Database'!$G$2:$G$1369,MATCH(1351,'Transfer Engine'!$C$2:$C$1369,0)))</f>
        <v/>
      </c>
      <c r="H1360" s="9">
        <f>IF(ISNA(MATCH(1351,'Transfer Engine'!$C$2:$C$1369,0)),"",INDEX('Compliance Database'!$H$2:$H$1369,MATCH(1351,'Transfer Engine'!$C$2:$C$1369,0)))</f>
        <v/>
      </c>
      <c r="I1360" s="9">
        <f>IF(ISNA(MATCH(1351,'Transfer Engine'!$C$2:$C$1369,0)),"",INDEX('Compliance Database'!$I$2:$I$1369,MATCH(1351,'Transfer Engine'!$C$2:$C$1369,0)))</f>
        <v/>
      </c>
      <c r="J1360" s="8">
        <f>IF(ISNA(MATCH(1351,'Transfer Engine'!$C$2:$C$1369,0)),"",INDEX('Compliance Database'!$J$2:$J$1369,MATCH(1351,'Transfer Engine'!$C$2:$C$1369,0)))</f>
        <v/>
      </c>
      <c r="K1360" s="9">
        <f>IF(ISNA(MATCH(1351,'Transfer Engine'!$C$2:$C$1369,0)),"",INDEX('Compliance Database'!$K$2:$K$1369,MATCH(1351,'Transfer Engine'!$C$2:$C$1369,0)))</f>
        <v/>
      </c>
      <c r="L1360" s="9">
        <f>IF(ISNA(MATCH(1351,'Transfer Engine'!$C$2:$C$1369,0)),"",INDEX('Compliance Database'!$L$2:$L$1369,MATCH(1351,'Transfer Engine'!$C$2:$C$1369,0)))</f>
        <v/>
      </c>
      <c r="M1360" s="9">
        <f>IF(ISNA(MATCH(1351,'Transfer Engine'!$C$2:$C$1369,0)),"",INDEX('Compliance Database'!$M$2:$M$1369,MATCH(1351,'Transfer Engine'!$C$2:$C$1369,0)))</f>
        <v/>
      </c>
      <c r="N1360" s="9">
        <f>IF(ISNA(MATCH(1351,'Transfer Engine'!$C$2:$C$1369,0)),"",INDEX('Compliance Database'!$N$2:$N$1369,MATCH(1351,'Transfer Engine'!$C$2:$C$1369,0)))</f>
        <v/>
      </c>
      <c r="O1360" s="8">
        <f>IF(ISNA(MATCH(1351,'Transfer Engine'!$C$2:$C$1369,0)),"",HYPERLINK(INDEX('Compliance Database'!$O$2:$O$1369,MATCH(1351,'Transfer Engine'!$C$2:$C$1369,0)),"Open PDF"))</f>
        <v/>
      </c>
    </row>
    <row r="1361" ht="188" customHeight="1">
      <c r="A1361" s="8">
        <f>IF(ISNA(MATCH(1352,'Transfer Engine'!$C$2:$C$1369,0)),"",INDEX('Compliance Database'!$A$2:$A$1369,MATCH(1352,'Transfer Engine'!$C$2:$C$1369,0)))</f>
        <v/>
      </c>
      <c r="B1361" s="8">
        <f>IF(ISNA(MATCH(1352,'Transfer Engine'!$C$2:$C$1369,0)),"",INDEX('Compliance Database'!$B$2:$B$1369,MATCH(1352,'Transfer Engine'!$C$2:$C$1369,0)))</f>
        <v/>
      </c>
      <c r="C1361" s="8">
        <f>IF(ISNA(MATCH(1352,'Transfer Engine'!$C$2:$C$1369,0)),"",INDEX('Compliance Database'!$C$2:$C$1369,MATCH(1352,'Transfer Engine'!$C$2:$C$1369,0)))</f>
        <v/>
      </c>
      <c r="D1361" s="9">
        <f>IF(ISNA(MATCH(1352,'Transfer Engine'!$C$2:$C$1369,0)),"",INDEX('Compliance Database'!$D$2:$D$1369,MATCH(1352,'Transfer Engine'!$C$2:$C$1369,0)))</f>
        <v/>
      </c>
      <c r="E1361" s="8">
        <f>IF(ISNA(MATCH(1352,'Transfer Engine'!$C$2:$C$1369,0)),"",INDEX('Compliance Database'!$E$2:$E$1369,MATCH(1352,'Transfer Engine'!$C$2:$C$1369,0)))</f>
        <v/>
      </c>
      <c r="F1361" s="8">
        <f>IF(ISNA(MATCH(1352,'Transfer Engine'!$C$2:$C$1369,0)),"",INDEX('Compliance Database'!$F$2:$F$1369,MATCH(1352,'Transfer Engine'!$C$2:$C$1369,0)))</f>
        <v/>
      </c>
      <c r="G1361" s="8">
        <f>IF(ISNA(MATCH(1352,'Transfer Engine'!$C$2:$C$1369,0)),"",INDEX('Compliance Database'!$G$2:$G$1369,MATCH(1352,'Transfer Engine'!$C$2:$C$1369,0)))</f>
        <v/>
      </c>
      <c r="H1361" s="9">
        <f>IF(ISNA(MATCH(1352,'Transfer Engine'!$C$2:$C$1369,0)),"",INDEX('Compliance Database'!$H$2:$H$1369,MATCH(1352,'Transfer Engine'!$C$2:$C$1369,0)))</f>
        <v/>
      </c>
      <c r="I1361" s="9">
        <f>IF(ISNA(MATCH(1352,'Transfer Engine'!$C$2:$C$1369,0)),"",INDEX('Compliance Database'!$I$2:$I$1369,MATCH(1352,'Transfer Engine'!$C$2:$C$1369,0)))</f>
        <v/>
      </c>
      <c r="J1361" s="8">
        <f>IF(ISNA(MATCH(1352,'Transfer Engine'!$C$2:$C$1369,0)),"",INDEX('Compliance Database'!$J$2:$J$1369,MATCH(1352,'Transfer Engine'!$C$2:$C$1369,0)))</f>
        <v/>
      </c>
      <c r="K1361" s="9">
        <f>IF(ISNA(MATCH(1352,'Transfer Engine'!$C$2:$C$1369,0)),"",INDEX('Compliance Database'!$K$2:$K$1369,MATCH(1352,'Transfer Engine'!$C$2:$C$1369,0)))</f>
        <v/>
      </c>
      <c r="L1361" s="9">
        <f>IF(ISNA(MATCH(1352,'Transfer Engine'!$C$2:$C$1369,0)),"",INDEX('Compliance Database'!$L$2:$L$1369,MATCH(1352,'Transfer Engine'!$C$2:$C$1369,0)))</f>
        <v/>
      </c>
      <c r="M1361" s="9">
        <f>IF(ISNA(MATCH(1352,'Transfer Engine'!$C$2:$C$1369,0)),"",INDEX('Compliance Database'!$M$2:$M$1369,MATCH(1352,'Transfer Engine'!$C$2:$C$1369,0)))</f>
        <v/>
      </c>
      <c r="N1361" s="9">
        <f>IF(ISNA(MATCH(1352,'Transfer Engine'!$C$2:$C$1369,0)),"",INDEX('Compliance Database'!$N$2:$N$1369,MATCH(1352,'Transfer Engine'!$C$2:$C$1369,0)))</f>
        <v/>
      </c>
      <c r="O1361" s="8">
        <f>IF(ISNA(MATCH(1352,'Transfer Engine'!$C$2:$C$1369,0)),"",HYPERLINK(INDEX('Compliance Database'!$O$2:$O$1369,MATCH(1352,'Transfer Engine'!$C$2:$C$1369,0)),"Open PDF"))</f>
        <v/>
      </c>
    </row>
    <row r="1362" ht="188" customHeight="1">
      <c r="A1362" s="8">
        <f>IF(ISNA(MATCH(1353,'Transfer Engine'!$C$2:$C$1369,0)),"",INDEX('Compliance Database'!$A$2:$A$1369,MATCH(1353,'Transfer Engine'!$C$2:$C$1369,0)))</f>
        <v/>
      </c>
      <c r="B1362" s="8">
        <f>IF(ISNA(MATCH(1353,'Transfer Engine'!$C$2:$C$1369,0)),"",INDEX('Compliance Database'!$B$2:$B$1369,MATCH(1353,'Transfer Engine'!$C$2:$C$1369,0)))</f>
        <v/>
      </c>
      <c r="C1362" s="8">
        <f>IF(ISNA(MATCH(1353,'Transfer Engine'!$C$2:$C$1369,0)),"",INDEX('Compliance Database'!$C$2:$C$1369,MATCH(1353,'Transfer Engine'!$C$2:$C$1369,0)))</f>
        <v/>
      </c>
      <c r="D1362" s="9">
        <f>IF(ISNA(MATCH(1353,'Transfer Engine'!$C$2:$C$1369,0)),"",INDEX('Compliance Database'!$D$2:$D$1369,MATCH(1353,'Transfer Engine'!$C$2:$C$1369,0)))</f>
        <v/>
      </c>
      <c r="E1362" s="8">
        <f>IF(ISNA(MATCH(1353,'Transfer Engine'!$C$2:$C$1369,0)),"",INDEX('Compliance Database'!$E$2:$E$1369,MATCH(1353,'Transfer Engine'!$C$2:$C$1369,0)))</f>
        <v/>
      </c>
      <c r="F1362" s="8">
        <f>IF(ISNA(MATCH(1353,'Transfer Engine'!$C$2:$C$1369,0)),"",INDEX('Compliance Database'!$F$2:$F$1369,MATCH(1353,'Transfer Engine'!$C$2:$C$1369,0)))</f>
        <v/>
      </c>
      <c r="G1362" s="8">
        <f>IF(ISNA(MATCH(1353,'Transfer Engine'!$C$2:$C$1369,0)),"",INDEX('Compliance Database'!$G$2:$G$1369,MATCH(1353,'Transfer Engine'!$C$2:$C$1369,0)))</f>
        <v/>
      </c>
      <c r="H1362" s="9">
        <f>IF(ISNA(MATCH(1353,'Transfer Engine'!$C$2:$C$1369,0)),"",INDEX('Compliance Database'!$H$2:$H$1369,MATCH(1353,'Transfer Engine'!$C$2:$C$1369,0)))</f>
        <v/>
      </c>
      <c r="I1362" s="9">
        <f>IF(ISNA(MATCH(1353,'Transfer Engine'!$C$2:$C$1369,0)),"",INDEX('Compliance Database'!$I$2:$I$1369,MATCH(1353,'Transfer Engine'!$C$2:$C$1369,0)))</f>
        <v/>
      </c>
      <c r="J1362" s="8">
        <f>IF(ISNA(MATCH(1353,'Transfer Engine'!$C$2:$C$1369,0)),"",INDEX('Compliance Database'!$J$2:$J$1369,MATCH(1353,'Transfer Engine'!$C$2:$C$1369,0)))</f>
        <v/>
      </c>
      <c r="K1362" s="9">
        <f>IF(ISNA(MATCH(1353,'Transfer Engine'!$C$2:$C$1369,0)),"",INDEX('Compliance Database'!$K$2:$K$1369,MATCH(1353,'Transfer Engine'!$C$2:$C$1369,0)))</f>
        <v/>
      </c>
      <c r="L1362" s="9">
        <f>IF(ISNA(MATCH(1353,'Transfer Engine'!$C$2:$C$1369,0)),"",INDEX('Compliance Database'!$L$2:$L$1369,MATCH(1353,'Transfer Engine'!$C$2:$C$1369,0)))</f>
        <v/>
      </c>
      <c r="M1362" s="9">
        <f>IF(ISNA(MATCH(1353,'Transfer Engine'!$C$2:$C$1369,0)),"",INDEX('Compliance Database'!$M$2:$M$1369,MATCH(1353,'Transfer Engine'!$C$2:$C$1369,0)))</f>
        <v/>
      </c>
      <c r="N1362" s="9">
        <f>IF(ISNA(MATCH(1353,'Transfer Engine'!$C$2:$C$1369,0)),"",INDEX('Compliance Database'!$N$2:$N$1369,MATCH(1353,'Transfer Engine'!$C$2:$C$1369,0)))</f>
        <v/>
      </c>
      <c r="O1362" s="8">
        <f>IF(ISNA(MATCH(1353,'Transfer Engine'!$C$2:$C$1369,0)),"",HYPERLINK(INDEX('Compliance Database'!$O$2:$O$1369,MATCH(1353,'Transfer Engine'!$C$2:$C$1369,0)),"Open PDF"))</f>
        <v/>
      </c>
    </row>
    <row r="1363" ht="188" customHeight="1">
      <c r="A1363" s="8">
        <f>IF(ISNA(MATCH(1354,'Transfer Engine'!$C$2:$C$1369,0)),"",INDEX('Compliance Database'!$A$2:$A$1369,MATCH(1354,'Transfer Engine'!$C$2:$C$1369,0)))</f>
        <v/>
      </c>
      <c r="B1363" s="8">
        <f>IF(ISNA(MATCH(1354,'Transfer Engine'!$C$2:$C$1369,0)),"",INDEX('Compliance Database'!$B$2:$B$1369,MATCH(1354,'Transfer Engine'!$C$2:$C$1369,0)))</f>
        <v/>
      </c>
      <c r="C1363" s="8">
        <f>IF(ISNA(MATCH(1354,'Transfer Engine'!$C$2:$C$1369,0)),"",INDEX('Compliance Database'!$C$2:$C$1369,MATCH(1354,'Transfer Engine'!$C$2:$C$1369,0)))</f>
        <v/>
      </c>
      <c r="D1363" s="9">
        <f>IF(ISNA(MATCH(1354,'Transfer Engine'!$C$2:$C$1369,0)),"",INDEX('Compliance Database'!$D$2:$D$1369,MATCH(1354,'Transfer Engine'!$C$2:$C$1369,0)))</f>
        <v/>
      </c>
      <c r="E1363" s="8">
        <f>IF(ISNA(MATCH(1354,'Transfer Engine'!$C$2:$C$1369,0)),"",INDEX('Compliance Database'!$E$2:$E$1369,MATCH(1354,'Transfer Engine'!$C$2:$C$1369,0)))</f>
        <v/>
      </c>
      <c r="F1363" s="8">
        <f>IF(ISNA(MATCH(1354,'Transfer Engine'!$C$2:$C$1369,0)),"",INDEX('Compliance Database'!$F$2:$F$1369,MATCH(1354,'Transfer Engine'!$C$2:$C$1369,0)))</f>
        <v/>
      </c>
      <c r="G1363" s="8">
        <f>IF(ISNA(MATCH(1354,'Transfer Engine'!$C$2:$C$1369,0)),"",INDEX('Compliance Database'!$G$2:$G$1369,MATCH(1354,'Transfer Engine'!$C$2:$C$1369,0)))</f>
        <v/>
      </c>
      <c r="H1363" s="9">
        <f>IF(ISNA(MATCH(1354,'Transfer Engine'!$C$2:$C$1369,0)),"",INDEX('Compliance Database'!$H$2:$H$1369,MATCH(1354,'Transfer Engine'!$C$2:$C$1369,0)))</f>
        <v/>
      </c>
      <c r="I1363" s="9">
        <f>IF(ISNA(MATCH(1354,'Transfer Engine'!$C$2:$C$1369,0)),"",INDEX('Compliance Database'!$I$2:$I$1369,MATCH(1354,'Transfer Engine'!$C$2:$C$1369,0)))</f>
        <v/>
      </c>
      <c r="J1363" s="8">
        <f>IF(ISNA(MATCH(1354,'Transfer Engine'!$C$2:$C$1369,0)),"",INDEX('Compliance Database'!$J$2:$J$1369,MATCH(1354,'Transfer Engine'!$C$2:$C$1369,0)))</f>
        <v/>
      </c>
      <c r="K1363" s="9">
        <f>IF(ISNA(MATCH(1354,'Transfer Engine'!$C$2:$C$1369,0)),"",INDEX('Compliance Database'!$K$2:$K$1369,MATCH(1354,'Transfer Engine'!$C$2:$C$1369,0)))</f>
        <v/>
      </c>
      <c r="L1363" s="9">
        <f>IF(ISNA(MATCH(1354,'Transfer Engine'!$C$2:$C$1369,0)),"",INDEX('Compliance Database'!$L$2:$L$1369,MATCH(1354,'Transfer Engine'!$C$2:$C$1369,0)))</f>
        <v/>
      </c>
      <c r="M1363" s="9">
        <f>IF(ISNA(MATCH(1354,'Transfer Engine'!$C$2:$C$1369,0)),"",INDEX('Compliance Database'!$M$2:$M$1369,MATCH(1354,'Transfer Engine'!$C$2:$C$1369,0)))</f>
        <v/>
      </c>
      <c r="N1363" s="9">
        <f>IF(ISNA(MATCH(1354,'Transfer Engine'!$C$2:$C$1369,0)),"",INDEX('Compliance Database'!$N$2:$N$1369,MATCH(1354,'Transfer Engine'!$C$2:$C$1369,0)))</f>
        <v/>
      </c>
      <c r="O1363" s="8">
        <f>IF(ISNA(MATCH(1354,'Transfer Engine'!$C$2:$C$1369,0)),"",HYPERLINK(INDEX('Compliance Database'!$O$2:$O$1369,MATCH(1354,'Transfer Engine'!$C$2:$C$1369,0)),"Open PDF"))</f>
        <v/>
      </c>
    </row>
    <row r="1364" ht="188" customHeight="1">
      <c r="A1364" s="8">
        <f>IF(ISNA(MATCH(1355,'Transfer Engine'!$C$2:$C$1369,0)),"",INDEX('Compliance Database'!$A$2:$A$1369,MATCH(1355,'Transfer Engine'!$C$2:$C$1369,0)))</f>
        <v/>
      </c>
      <c r="B1364" s="8">
        <f>IF(ISNA(MATCH(1355,'Transfer Engine'!$C$2:$C$1369,0)),"",INDEX('Compliance Database'!$B$2:$B$1369,MATCH(1355,'Transfer Engine'!$C$2:$C$1369,0)))</f>
        <v/>
      </c>
      <c r="C1364" s="8">
        <f>IF(ISNA(MATCH(1355,'Transfer Engine'!$C$2:$C$1369,0)),"",INDEX('Compliance Database'!$C$2:$C$1369,MATCH(1355,'Transfer Engine'!$C$2:$C$1369,0)))</f>
        <v/>
      </c>
      <c r="D1364" s="9">
        <f>IF(ISNA(MATCH(1355,'Transfer Engine'!$C$2:$C$1369,0)),"",INDEX('Compliance Database'!$D$2:$D$1369,MATCH(1355,'Transfer Engine'!$C$2:$C$1369,0)))</f>
        <v/>
      </c>
      <c r="E1364" s="8">
        <f>IF(ISNA(MATCH(1355,'Transfer Engine'!$C$2:$C$1369,0)),"",INDEX('Compliance Database'!$E$2:$E$1369,MATCH(1355,'Transfer Engine'!$C$2:$C$1369,0)))</f>
        <v/>
      </c>
      <c r="F1364" s="8">
        <f>IF(ISNA(MATCH(1355,'Transfer Engine'!$C$2:$C$1369,0)),"",INDEX('Compliance Database'!$F$2:$F$1369,MATCH(1355,'Transfer Engine'!$C$2:$C$1369,0)))</f>
        <v/>
      </c>
      <c r="G1364" s="8">
        <f>IF(ISNA(MATCH(1355,'Transfer Engine'!$C$2:$C$1369,0)),"",INDEX('Compliance Database'!$G$2:$G$1369,MATCH(1355,'Transfer Engine'!$C$2:$C$1369,0)))</f>
        <v/>
      </c>
      <c r="H1364" s="9">
        <f>IF(ISNA(MATCH(1355,'Transfer Engine'!$C$2:$C$1369,0)),"",INDEX('Compliance Database'!$H$2:$H$1369,MATCH(1355,'Transfer Engine'!$C$2:$C$1369,0)))</f>
        <v/>
      </c>
      <c r="I1364" s="9">
        <f>IF(ISNA(MATCH(1355,'Transfer Engine'!$C$2:$C$1369,0)),"",INDEX('Compliance Database'!$I$2:$I$1369,MATCH(1355,'Transfer Engine'!$C$2:$C$1369,0)))</f>
        <v/>
      </c>
      <c r="J1364" s="8">
        <f>IF(ISNA(MATCH(1355,'Transfer Engine'!$C$2:$C$1369,0)),"",INDEX('Compliance Database'!$J$2:$J$1369,MATCH(1355,'Transfer Engine'!$C$2:$C$1369,0)))</f>
        <v/>
      </c>
      <c r="K1364" s="9">
        <f>IF(ISNA(MATCH(1355,'Transfer Engine'!$C$2:$C$1369,0)),"",INDEX('Compliance Database'!$K$2:$K$1369,MATCH(1355,'Transfer Engine'!$C$2:$C$1369,0)))</f>
        <v/>
      </c>
      <c r="L1364" s="9">
        <f>IF(ISNA(MATCH(1355,'Transfer Engine'!$C$2:$C$1369,0)),"",INDEX('Compliance Database'!$L$2:$L$1369,MATCH(1355,'Transfer Engine'!$C$2:$C$1369,0)))</f>
        <v/>
      </c>
      <c r="M1364" s="9">
        <f>IF(ISNA(MATCH(1355,'Transfer Engine'!$C$2:$C$1369,0)),"",INDEX('Compliance Database'!$M$2:$M$1369,MATCH(1355,'Transfer Engine'!$C$2:$C$1369,0)))</f>
        <v/>
      </c>
      <c r="N1364" s="9">
        <f>IF(ISNA(MATCH(1355,'Transfer Engine'!$C$2:$C$1369,0)),"",INDEX('Compliance Database'!$N$2:$N$1369,MATCH(1355,'Transfer Engine'!$C$2:$C$1369,0)))</f>
        <v/>
      </c>
      <c r="O1364" s="8">
        <f>IF(ISNA(MATCH(1355,'Transfer Engine'!$C$2:$C$1369,0)),"",HYPERLINK(INDEX('Compliance Database'!$O$2:$O$1369,MATCH(1355,'Transfer Engine'!$C$2:$C$1369,0)),"Open PDF"))</f>
        <v/>
      </c>
    </row>
    <row r="1365" ht="188" customHeight="1">
      <c r="A1365" s="8">
        <f>IF(ISNA(MATCH(1356,'Transfer Engine'!$C$2:$C$1369,0)),"",INDEX('Compliance Database'!$A$2:$A$1369,MATCH(1356,'Transfer Engine'!$C$2:$C$1369,0)))</f>
        <v/>
      </c>
      <c r="B1365" s="8">
        <f>IF(ISNA(MATCH(1356,'Transfer Engine'!$C$2:$C$1369,0)),"",INDEX('Compliance Database'!$B$2:$B$1369,MATCH(1356,'Transfer Engine'!$C$2:$C$1369,0)))</f>
        <v/>
      </c>
      <c r="C1365" s="8">
        <f>IF(ISNA(MATCH(1356,'Transfer Engine'!$C$2:$C$1369,0)),"",INDEX('Compliance Database'!$C$2:$C$1369,MATCH(1356,'Transfer Engine'!$C$2:$C$1369,0)))</f>
        <v/>
      </c>
      <c r="D1365" s="9">
        <f>IF(ISNA(MATCH(1356,'Transfer Engine'!$C$2:$C$1369,0)),"",INDEX('Compliance Database'!$D$2:$D$1369,MATCH(1356,'Transfer Engine'!$C$2:$C$1369,0)))</f>
        <v/>
      </c>
      <c r="E1365" s="8">
        <f>IF(ISNA(MATCH(1356,'Transfer Engine'!$C$2:$C$1369,0)),"",INDEX('Compliance Database'!$E$2:$E$1369,MATCH(1356,'Transfer Engine'!$C$2:$C$1369,0)))</f>
        <v/>
      </c>
      <c r="F1365" s="8">
        <f>IF(ISNA(MATCH(1356,'Transfer Engine'!$C$2:$C$1369,0)),"",INDEX('Compliance Database'!$F$2:$F$1369,MATCH(1356,'Transfer Engine'!$C$2:$C$1369,0)))</f>
        <v/>
      </c>
      <c r="G1365" s="8">
        <f>IF(ISNA(MATCH(1356,'Transfer Engine'!$C$2:$C$1369,0)),"",INDEX('Compliance Database'!$G$2:$G$1369,MATCH(1356,'Transfer Engine'!$C$2:$C$1369,0)))</f>
        <v/>
      </c>
      <c r="H1365" s="9">
        <f>IF(ISNA(MATCH(1356,'Transfer Engine'!$C$2:$C$1369,0)),"",INDEX('Compliance Database'!$H$2:$H$1369,MATCH(1356,'Transfer Engine'!$C$2:$C$1369,0)))</f>
        <v/>
      </c>
      <c r="I1365" s="9">
        <f>IF(ISNA(MATCH(1356,'Transfer Engine'!$C$2:$C$1369,0)),"",INDEX('Compliance Database'!$I$2:$I$1369,MATCH(1356,'Transfer Engine'!$C$2:$C$1369,0)))</f>
        <v/>
      </c>
      <c r="J1365" s="8">
        <f>IF(ISNA(MATCH(1356,'Transfer Engine'!$C$2:$C$1369,0)),"",INDEX('Compliance Database'!$J$2:$J$1369,MATCH(1356,'Transfer Engine'!$C$2:$C$1369,0)))</f>
        <v/>
      </c>
      <c r="K1365" s="9">
        <f>IF(ISNA(MATCH(1356,'Transfer Engine'!$C$2:$C$1369,0)),"",INDEX('Compliance Database'!$K$2:$K$1369,MATCH(1356,'Transfer Engine'!$C$2:$C$1369,0)))</f>
        <v/>
      </c>
      <c r="L1365" s="9">
        <f>IF(ISNA(MATCH(1356,'Transfer Engine'!$C$2:$C$1369,0)),"",INDEX('Compliance Database'!$L$2:$L$1369,MATCH(1356,'Transfer Engine'!$C$2:$C$1369,0)))</f>
        <v/>
      </c>
      <c r="M1365" s="9">
        <f>IF(ISNA(MATCH(1356,'Transfer Engine'!$C$2:$C$1369,0)),"",INDEX('Compliance Database'!$M$2:$M$1369,MATCH(1356,'Transfer Engine'!$C$2:$C$1369,0)))</f>
        <v/>
      </c>
      <c r="N1365" s="9">
        <f>IF(ISNA(MATCH(1356,'Transfer Engine'!$C$2:$C$1369,0)),"",INDEX('Compliance Database'!$N$2:$N$1369,MATCH(1356,'Transfer Engine'!$C$2:$C$1369,0)))</f>
        <v/>
      </c>
      <c r="O1365" s="8">
        <f>IF(ISNA(MATCH(1356,'Transfer Engine'!$C$2:$C$1369,0)),"",HYPERLINK(INDEX('Compliance Database'!$O$2:$O$1369,MATCH(1356,'Transfer Engine'!$C$2:$C$1369,0)),"Open PDF"))</f>
        <v/>
      </c>
    </row>
    <row r="1366" ht="188" customHeight="1">
      <c r="A1366" s="8">
        <f>IF(ISNA(MATCH(1357,'Transfer Engine'!$C$2:$C$1369,0)),"",INDEX('Compliance Database'!$A$2:$A$1369,MATCH(1357,'Transfer Engine'!$C$2:$C$1369,0)))</f>
        <v/>
      </c>
      <c r="B1366" s="8">
        <f>IF(ISNA(MATCH(1357,'Transfer Engine'!$C$2:$C$1369,0)),"",INDEX('Compliance Database'!$B$2:$B$1369,MATCH(1357,'Transfer Engine'!$C$2:$C$1369,0)))</f>
        <v/>
      </c>
      <c r="C1366" s="8">
        <f>IF(ISNA(MATCH(1357,'Transfer Engine'!$C$2:$C$1369,0)),"",INDEX('Compliance Database'!$C$2:$C$1369,MATCH(1357,'Transfer Engine'!$C$2:$C$1369,0)))</f>
        <v/>
      </c>
      <c r="D1366" s="9">
        <f>IF(ISNA(MATCH(1357,'Transfer Engine'!$C$2:$C$1369,0)),"",INDEX('Compliance Database'!$D$2:$D$1369,MATCH(1357,'Transfer Engine'!$C$2:$C$1369,0)))</f>
        <v/>
      </c>
      <c r="E1366" s="8">
        <f>IF(ISNA(MATCH(1357,'Transfer Engine'!$C$2:$C$1369,0)),"",INDEX('Compliance Database'!$E$2:$E$1369,MATCH(1357,'Transfer Engine'!$C$2:$C$1369,0)))</f>
        <v/>
      </c>
      <c r="F1366" s="8">
        <f>IF(ISNA(MATCH(1357,'Transfer Engine'!$C$2:$C$1369,0)),"",INDEX('Compliance Database'!$F$2:$F$1369,MATCH(1357,'Transfer Engine'!$C$2:$C$1369,0)))</f>
        <v/>
      </c>
      <c r="G1366" s="8">
        <f>IF(ISNA(MATCH(1357,'Transfer Engine'!$C$2:$C$1369,0)),"",INDEX('Compliance Database'!$G$2:$G$1369,MATCH(1357,'Transfer Engine'!$C$2:$C$1369,0)))</f>
        <v/>
      </c>
      <c r="H1366" s="9">
        <f>IF(ISNA(MATCH(1357,'Transfer Engine'!$C$2:$C$1369,0)),"",INDEX('Compliance Database'!$H$2:$H$1369,MATCH(1357,'Transfer Engine'!$C$2:$C$1369,0)))</f>
        <v/>
      </c>
      <c r="I1366" s="9">
        <f>IF(ISNA(MATCH(1357,'Transfer Engine'!$C$2:$C$1369,0)),"",INDEX('Compliance Database'!$I$2:$I$1369,MATCH(1357,'Transfer Engine'!$C$2:$C$1369,0)))</f>
        <v/>
      </c>
      <c r="J1366" s="8">
        <f>IF(ISNA(MATCH(1357,'Transfer Engine'!$C$2:$C$1369,0)),"",INDEX('Compliance Database'!$J$2:$J$1369,MATCH(1357,'Transfer Engine'!$C$2:$C$1369,0)))</f>
        <v/>
      </c>
      <c r="K1366" s="9">
        <f>IF(ISNA(MATCH(1357,'Transfer Engine'!$C$2:$C$1369,0)),"",INDEX('Compliance Database'!$K$2:$K$1369,MATCH(1357,'Transfer Engine'!$C$2:$C$1369,0)))</f>
        <v/>
      </c>
      <c r="L1366" s="9">
        <f>IF(ISNA(MATCH(1357,'Transfer Engine'!$C$2:$C$1369,0)),"",INDEX('Compliance Database'!$L$2:$L$1369,MATCH(1357,'Transfer Engine'!$C$2:$C$1369,0)))</f>
        <v/>
      </c>
      <c r="M1366" s="9">
        <f>IF(ISNA(MATCH(1357,'Transfer Engine'!$C$2:$C$1369,0)),"",INDEX('Compliance Database'!$M$2:$M$1369,MATCH(1357,'Transfer Engine'!$C$2:$C$1369,0)))</f>
        <v/>
      </c>
      <c r="N1366" s="9">
        <f>IF(ISNA(MATCH(1357,'Transfer Engine'!$C$2:$C$1369,0)),"",INDEX('Compliance Database'!$N$2:$N$1369,MATCH(1357,'Transfer Engine'!$C$2:$C$1369,0)))</f>
        <v/>
      </c>
      <c r="O1366" s="8">
        <f>IF(ISNA(MATCH(1357,'Transfer Engine'!$C$2:$C$1369,0)),"",HYPERLINK(INDEX('Compliance Database'!$O$2:$O$1369,MATCH(1357,'Transfer Engine'!$C$2:$C$1369,0)),"Open PDF"))</f>
        <v/>
      </c>
    </row>
    <row r="1367" ht="188" customHeight="1">
      <c r="A1367" s="8">
        <f>IF(ISNA(MATCH(1358,'Transfer Engine'!$C$2:$C$1369,0)),"",INDEX('Compliance Database'!$A$2:$A$1369,MATCH(1358,'Transfer Engine'!$C$2:$C$1369,0)))</f>
        <v/>
      </c>
      <c r="B1367" s="8">
        <f>IF(ISNA(MATCH(1358,'Transfer Engine'!$C$2:$C$1369,0)),"",INDEX('Compliance Database'!$B$2:$B$1369,MATCH(1358,'Transfer Engine'!$C$2:$C$1369,0)))</f>
        <v/>
      </c>
      <c r="C1367" s="8">
        <f>IF(ISNA(MATCH(1358,'Transfer Engine'!$C$2:$C$1369,0)),"",INDEX('Compliance Database'!$C$2:$C$1369,MATCH(1358,'Transfer Engine'!$C$2:$C$1369,0)))</f>
        <v/>
      </c>
      <c r="D1367" s="9">
        <f>IF(ISNA(MATCH(1358,'Transfer Engine'!$C$2:$C$1369,0)),"",INDEX('Compliance Database'!$D$2:$D$1369,MATCH(1358,'Transfer Engine'!$C$2:$C$1369,0)))</f>
        <v/>
      </c>
      <c r="E1367" s="8">
        <f>IF(ISNA(MATCH(1358,'Transfer Engine'!$C$2:$C$1369,0)),"",INDEX('Compliance Database'!$E$2:$E$1369,MATCH(1358,'Transfer Engine'!$C$2:$C$1369,0)))</f>
        <v/>
      </c>
      <c r="F1367" s="8">
        <f>IF(ISNA(MATCH(1358,'Transfer Engine'!$C$2:$C$1369,0)),"",INDEX('Compliance Database'!$F$2:$F$1369,MATCH(1358,'Transfer Engine'!$C$2:$C$1369,0)))</f>
        <v/>
      </c>
      <c r="G1367" s="8">
        <f>IF(ISNA(MATCH(1358,'Transfer Engine'!$C$2:$C$1369,0)),"",INDEX('Compliance Database'!$G$2:$G$1369,MATCH(1358,'Transfer Engine'!$C$2:$C$1369,0)))</f>
        <v/>
      </c>
      <c r="H1367" s="9">
        <f>IF(ISNA(MATCH(1358,'Transfer Engine'!$C$2:$C$1369,0)),"",INDEX('Compliance Database'!$H$2:$H$1369,MATCH(1358,'Transfer Engine'!$C$2:$C$1369,0)))</f>
        <v/>
      </c>
      <c r="I1367" s="9">
        <f>IF(ISNA(MATCH(1358,'Transfer Engine'!$C$2:$C$1369,0)),"",INDEX('Compliance Database'!$I$2:$I$1369,MATCH(1358,'Transfer Engine'!$C$2:$C$1369,0)))</f>
        <v/>
      </c>
      <c r="J1367" s="8">
        <f>IF(ISNA(MATCH(1358,'Transfer Engine'!$C$2:$C$1369,0)),"",INDEX('Compliance Database'!$J$2:$J$1369,MATCH(1358,'Transfer Engine'!$C$2:$C$1369,0)))</f>
        <v/>
      </c>
      <c r="K1367" s="9">
        <f>IF(ISNA(MATCH(1358,'Transfer Engine'!$C$2:$C$1369,0)),"",INDEX('Compliance Database'!$K$2:$K$1369,MATCH(1358,'Transfer Engine'!$C$2:$C$1369,0)))</f>
        <v/>
      </c>
      <c r="L1367" s="9">
        <f>IF(ISNA(MATCH(1358,'Transfer Engine'!$C$2:$C$1369,0)),"",INDEX('Compliance Database'!$L$2:$L$1369,MATCH(1358,'Transfer Engine'!$C$2:$C$1369,0)))</f>
        <v/>
      </c>
      <c r="M1367" s="9">
        <f>IF(ISNA(MATCH(1358,'Transfer Engine'!$C$2:$C$1369,0)),"",INDEX('Compliance Database'!$M$2:$M$1369,MATCH(1358,'Transfer Engine'!$C$2:$C$1369,0)))</f>
        <v/>
      </c>
      <c r="N1367" s="9">
        <f>IF(ISNA(MATCH(1358,'Transfer Engine'!$C$2:$C$1369,0)),"",INDEX('Compliance Database'!$N$2:$N$1369,MATCH(1358,'Transfer Engine'!$C$2:$C$1369,0)))</f>
        <v/>
      </c>
      <c r="O1367" s="8">
        <f>IF(ISNA(MATCH(1358,'Transfer Engine'!$C$2:$C$1369,0)),"",HYPERLINK(INDEX('Compliance Database'!$O$2:$O$1369,MATCH(1358,'Transfer Engine'!$C$2:$C$1369,0)),"Open PDF"))</f>
        <v/>
      </c>
    </row>
    <row r="1368" ht="188" customHeight="1">
      <c r="A1368" s="8">
        <f>IF(ISNA(MATCH(1359,'Transfer Engine'!$C$2:$C$1369,0)),"",INDEX('Compliance Database'!$A$2:$A$1369,MATCH(1359,'Transfer Engine'!$C$2:$C$1369,0)))</f>
        <v/>
      </c>
      <c r="B1368" s="8">
        <f>IF(ISNA(MATCH(1359,'Transfer Engine'!$C$2:$C$1369,0)),"",INDEX('Compliance Database'!$B$2:$B$1369,MATCH(1359,'Transfer Engine'!$C$2:$C$1369,0)))</f>
        <v/>
      </c>
      <c r="C1368" s="8">
        <f>IF(ISNA(MATCH(1359,'Transfer Engine'!$C$2:$C$1369,0)),"",INDEX('Compliance Database'!$C$2:$C$1369,MATCH(1359,'Transfer Engine'!$C$2:$C$1369,0)))</f>
        <v/>
      </c>
      <c r="D1368" s="9">
        <f>IF(ISNA(MATCH(1359,'Transfer Engine'!$C$2:$C$1369,0)),"",INDEX('Compliance Database'!$D$2:$D$1369,MATCH(1359,'Transfer Engine'!$C$2:$C$1369,0)))</f>
        <v/>
      </c>
      <c r="E1368" s="8">
        <f>IF(ISNA(MATCH(1359,'Transfer Engine'!$C$2:$C$1369,0)),"",INDEX('Compliance Database'!$E$2:$E$1369,MATCH(1359,'Transfer Engine'!$C$2:$C$1369,0)))</f>
        <v/>
      </c>
      <c r="F1368" s="8">
        <f>IF(ISNA(MATCH(1359,'Transfer Engine'!$C$2:$C$1369,0)),"",INDEX('Compliance Database'!$F$2:$F$1369,MATCH(1359,'Transfer Engine'!$C$2:$C$1369,0)))</f>
        <v/>
      </c>
      <c r="G1368" s="8">
        <f>IF(ISNA(MATCH(1359,'Transfer Engine'!$C$2:$C$1369,0)),"",INDEX('Compliance Database'!$G$2:$G$1369,MATCH(1359,'Transfer Engine'!$C$2:$C$1369,0)))</f>
        <v/>
      </c>
      <c r="H1368" s="9">
        <f>IF(ISNA(MATCH(1359,'Transfer Engine'!$C$2:$C$1369,0)),"",INDEX('Compliance Database'!$H$2:$H$1369,MATCH(1359,'Transfer Engine'!$C$2:$C$1369,0)))</f>
        <v/>
      </c>
      <c r="I1368" s="9">
        <f>IF(ISNA(MATCH(1359,'Transfer Engine'!$C$2:$C$1369,0)),"",INDEX('Compliance Database'!$I$2:$I$1369,MATCH(1359,'Transfer Engine'!$C$2:$C$1369,0)))</f>
        <v/>
      </c>
      <c r="J1368" s="8">
        <f>IF(ISNA(MATCH(1359,'Transfer Engine'!$C$2:$C$1369,0)),"",INDEX('Compliance Database'!$J$2:$J$1369,MATCH(1359,'Transfer Engine'!$C$2:$C$1369,0)))</f>
        <v/>
      </c>
      <c r="K1368" s="9">
        <f>IF(ISNA(MATCH(1359,'Transfer Engine'!$C$2:$C$1369,0)),"",INDEX('Compliance Database'!$K$2:$K$1369,MATCH(1359,'Transfer Engine'!$C$2:$C$1369,0)))</f>
        <v/>
      </c>
      <c r="L1368" s="9">
        <f>IF(ISNA(MATCH(1359,'Transfer Engine'!$C$2:$C$1369,0)),"",INDEX('Compliance Database'!$L$2:$L$1369,MATCH(1359,'Transfer Engine'!$C$2:$C$1369,0)))</f>
        <v/>
      </c>
      <c r="M1368" s="9">
        <f>IF(ISNA(MATCH(1359,'Transfer Engine'!$C$2:$C$1369,0)),"",INDEX('Compliance Database'!$M$2:$M$1369,MATCH(1359,'Transfer Engine'!$C$2:$C$1369,0)))</f>
        <v/>
      </c>
      <c r="N1368" s="9">
        <f>IF(ISNA(MATCH(1359,'Transfer Engine'!$C$2:$C$1369,0)),"",INDEX('Compliance Database'!$N$2:$N$1369,MATCH(1359,'Transfer Engine'!$C$2:$C$1369,0)))</f>
        <v/>
      </c>
      <c r="O1368" s="8">
        <f>IF(ISNA(MATCH(1359,'Transfer Engine'!$C$2:$C$1369,0)),"",HYPERLINK(INDEX('Compliance Database'!$O$2:$O$1369,MATCH(1359,'Transfer Engine'!$C$2:$C$1369,0)),"Open PDF"))</f>
        <v/>
      </c>
    </row>
    <row r="1369" ht="188" customHeight="1">
      <c r="A1369" s="8">
        <f>IF(ISNA(MATCH(1360,'Transfer Engine'!$C$2:$C$1369,0)),"",INDEX('Compliance Database'!$A$2:$A$1369,MATCH(1360,'Transfer Engine'!$C$2:$C$1369,0)))</f>
        <v/>
      </c>
      <c r="B1369" s="8">
        <f>IF(ISNA(MATCH(1360,'Transfer Engine'!$C$2:$C$1369,0)),"",INDEX('Compliance Database'!$B$2:$B$1369,MATCH(1360,'Transfer Engine'!$C$2:$C$1369,0)))</f>
        <v/>
      </c>
      <c r="C1369" s="8">
        <f>IF(ISNA(MATCH(1360,'Transfer Engine'!$C$2:$C$1369,0)),"",INDEX('Compliance Database'!$C$2:$C$1369,MATCH(1360,'Transfer Engine'!$C$2:$C$1369,0)))</f>
        <v/>
      </c>
      <c r="D1369" s="9">
        <f>IF(ISNA(MATCH(1360,'Transfer Engine'!$C$2:$C$1369,0)),"",INDEX('Compliance Database'!$D$2:$D$1369,MATCH(1360,'Transfer Engine'!$C$2:$C$1369,0)))</f>
        <v/>
      </c>
      <c r="E1369" s="8">
        <f>IF(ISNA(MATCH(1360,'Transfer Engine'!$C$2:$C$1369,0)),"",INDEX('Compliance Database'!$E$2:$E$1369,MATCH(1360,'Transfer Engine'!$C$2:$C$1369,0)))</f>
        <v/>
      </c>
      <c r="F1369" s="8">
        <f>IF(ISNA(MATCH(1360,'Transfer Engine'!$C$2:$C$1369,0)),"",INDEX('Compliance Database'!$F$2:$F$1369,MATCH(1360,'Transfer Engine'!$C$2:$C$1369,0)))</f>
        <v/>
      </c>
      <c r="G1369" s="8">
        <f>IF(ISNA(MATCH(1360,'Transfer Engine'!$C$2:$C$1369,0)),"",INDEX('Compliance Database'!$G$2:$G$1369,MATCH(1360,'Transfer Engine'!$C$2:$C$1369,0)))</f>
        <v/>
      </c>
      <c r="H1369" s="9">
        <f>IF(ISNA(MATCH(1360,'Transfer Engine'!$C$2:$C$1369,0)),"",INDEX('Compliance Database'!$H$2:$H$1369,MATCH(1360,'Transfer Engine'!$C$2:$C$1369,0)))</f>
        <v/>
      </c>
      <c r="I1369" s="9">
        <f>IF(ISNA(MATCH(1360,'Transfer Engine'!$C$2:$C$1369,0)),"",INDEX('Compliance Database'!$I$2:$I$1369,MATCH(1360,'Transfer Engine'!$C$2:$C$1369,0)))</f>
        <v/>
      </c>
      <c r="J1369" s="8">
        <f>IF(ISNA(MATCH(1360,'Transfer Engine'!$C$2:$C$1369,0)),"",INDEX('Compliance Database'!$J$2:$J$1369,MATCH(1360,'Transfer Engine'!$C$2:$C$1369,0)))</f>
        <v/>
      </c>
      <c r="K1369" s="9">
        <f>IF(ISNA(MATCH(1360,'Transfer Engine'!$C$2:$C$1369,0)),"",INDEX('Compliance Database'!$K$2:$K$1369,MATCH(1360,'Transfer Engine'!$C$2:$C$1369,0)))</f>
        <v/>
      </c>
      <c r="L1369" s="9">
        <f>IF(ISNA(MATCH(1360,'Transfer Engine'!$C$2:$C$1369,0)),"",INDEX('Compliance Database'!$L$2:$L$1369,MATCH(1360,'Transfer Engine'!$C$2:$C$1369,0)))</f>
        <v/>
      </c>
      <c r="M1369" s="9">
        <f>IF(ISNA(MATCH(1360,'Transfer Engine'!$C$2:$C$1369,0)),"",INDEX('Compliance Database'!$M$2:$M$1369,MATCH(1360,'Transfer Engine'!$C$2:$C$1369,0)))</f>
        <v/>
      </c>
      <c r="N1369" s="9">
        <f>IF(ISNA(MATCH(1360,'Transfer Engine'!$C$2:$C$1369,0)),"",INDEX('Compliance Database'!$N$2:$N$1369,MATCH(1360,'Transfer Engine'!$C$2:$C$1369,0)))</f>
        <v/>
      </c>
      <c r="O1369" s="8">
        <f>IF(ISNA(MATCH(1360,'Transfer Engine'!$C$2:$C$1369,0)),"",HYPERLINK(INDEX('Compliance Database'!$O$2:$O$1369,MATCH(1360,'Transfer Engine'!$C$2:$C$1369,0)),"Open PDF"))</f>
        <v/>
      </c>
    </row>
    <row r="1370" ht="188" customHeight="1">
      <c r="A1370" s="8">
        <f>IF(ISNA(MATCH(1361,'Transfer Engine'!$C$2:$C$1369,0)),"",INDEX('Compliance Database'!$A$2:$A$1369,MATCH(1361,'Transfer Engine'!$C$2:$C$1369,0)))</f>
        <v/>
      </c>
      <c r="B1370" s="8">
        <f>IF(ISNA(MATCH(1361,'Transfer Engine'!$C$2:$C$1369,0)),"",INDEX('Compliance Database'!$B$2:$B$1369,MATCH(1361,'Transfer Engine'!$C$2:$C$1369,0)))</f>
        <v/>
      </c>
      <c r="C1370" s="8">
        <f>IF(ISNA(MATCH(1361,'Transfer Engine'!$C$2:$C$1369,0)),"",INDEX('Compliance Database'!$C$2:$C$1369,MATCH(1361,'Transfer Engine'!$C$2:$C$1369,0)))</f>
        <v/>
      </c>
      <c r="D1370" s="9">
        <f>IF(ISNA(MATCH(1361,'Transfer Engine'!$C$2:$C$1369,0)),"",INDEX('Compliance Database'!$D$2:$D$1369,MATCH(1361,'Transfer Engine'!$C$2:$C$1369,0)))</f>
        <v/>
      </c>
      <c r="E1370" s="8">
        <f>IF(ISNA(MATCH(1361,'Transfer Engine'!$C$2:$C$1369,0)),"",INDEX('Compliance Database'!$E$2:$E$1369,MATCH(1361,'Transfer Engine'!$C$2:$C$1369,0)))</f>
        <v/>
      </c>
      <c r="F1370" s="8">
        <f>IF(ISNA(MATCH(1361,'Transfer Engine'!$C$2:$C$1369,0)),"",INDEX('Compliance Database'!$F$2:$F$1369,MATCH(1361,'Transfer Engine'!$C$2:$C$1369,0)))</f>
        <v/>
      </c>
      <c r="G1370" s="8">
        <f>IF(ISNA(MATCH(1361,'Transfer Engine'!$C$2:$C$1369,0)),"",INDEX('Compliance Database'!$G$2:$G$1369,MATCH(1361,'Transfer Engine'!$C$2:$C$1369,0)))</f>
        <v/>
      </c>
      <c r="H1370" s="9">
        <f>IF(ISNA(MATCH(1361,'Transfer Engine'!$C$2:$C$1369,0)),"",INDEX('Compliance Database'!$H$2:$H$1369,MATCH(1361,'Transfer Engine'!$C$2:$C$1369,0)))</f>
        <v/>
      </c>
      <c r="I1370" s="9">
        <f>IF(ISNA(MATCH(1361,'Transfer Engine'!$C$2:$C$1369,0)),"",INDEX('Compliance Database'!$I$2:$I$1369,MATCH(1361,'Transfer Engine'!$C$2:$C$1369,0)))</f>
        <v/>
      </c>
      <c r="J1370" s="8">
        <f>IF(ISNA(MATCH(1361,'Transfer Engine'!$C$2:$C$1369,0)),"",INDEX('Compliance Database'!$J$2:$J$1369,MATCH(1361,'Transfer Engine'!$C$2:$C$1369,0)))</f>
        <v/>
      </c>
      <c r="K1370" s="9">
        <f>IF(ISNA(MATCH(1361,'Transfer Engine'!$C$2:$C$1369,0)),"",INDEX('Compliance Database'!$K$2:$K$1369,MATCH(1361,'Transfer Engine'!$C$2:$C$1369,0)))</f>
        <v/>
      </c>
      <c r="L1370" s="9">
        <f>IF(ISNA(MATCH(1361,'Transfer Engine'!$C$2:$C$1369,0)),"",INDEX('Compliance Database'!$L$2:$L$1369,MATCH(1361,'Transfer Engine'!$C$2:$C$1369,0)))</f>
        <v/>
      </c>
      <c r="M1370" s="9">
        <f>IF(ISNA(MATCH(1361,'Transfer Engine'!$C$2:$C$1369,0)),"",INDEX('Compliance Database'!$M$2:$M$1369,MATCH(1361,'Transfer Engine'!$C$2:$C$1369,0)))</f>
        <v/>
      </c>
      <c r="N1370" s="9">
        <f>IF(ISNA(MATCH(1361,'Transfer Engine'!$C$2:$C$1369,0)),"",INDEX('Compliance Database'!$N$2:$N$1369,MATCH(1361,'Transfer Engine'!$C$2:$C$1369,0)))</f>
        <v/>
      </c>
      <c r="O1370" s="8">
        <f>IF(ISNA(MATCH(1361,'Transfer Engine'!$C$2:$C$1369,0)),"",HYPERLINK(INDEX('Compliance Database'!$O$2:$O$1369,MATCH(1361,'Transfer Engine'!$C$2:$C$1369,0)),"Open PDF"))</f>
        <v/>
      </c>
    </row>
    <row r="1371" ht="188" customHeight="1">
      <c r="A1371" s="8">
        <f>IF(ISNA(MATCH(1362,'Transfer Engine'!$C$2:$C$1369,0)),"",INDEX('Compliance Database'!$A$2:$A$1369,MATCH(1362,'Transfer Engine'!$C$2:$C$1369,0)))</f>
        <v/>
      </c>
      <c r="B1371" s="8">
        <f>IF(ISNA(MATCH(1362,'Transfer Engine'!$C$2:$C$1369,0)),"",INDEX('Compliance Database'!$B$2:$B$1369,MATCH(1362,'Transfer Engine'!$C$2:$C$1369,0)))</f>
        <v/>
      </c>
      <c r="C1371" s="8">
        <f>IF(ISNA(MATCH(1362,'Transfer Engine'!$C$2:$C$1369,0)),"",INDEX('Compliance Database'!$C$2:$C$1369,MATCH(1362,'Transfer Engine'!$C$2:$C$1369,0)))</f>
        <v/>
      </c>
      <c r="D1371" s="9">
        <f>IF(ISNA(MATCH(1362,'Transfer Engine'!$C$2:$C$1369,0)),"",INDEX('Compliance Database'!$D$2:$D$1369,MATCH(1362,'Transfer Engine'!$C$2:$C$1369,0)))</f>
        <v/>
      </c>
      <c r="E1371" s="8">
        <f>IF(ISNA(MATCH(1362,'Transfer Engine'!$C$2:$C$1369,0)),"",INDEX('Compliance Database'!$E$2:$E$1369,MATCH(1362,'Transfer Engine'!$C$2:$C$1369,0)))</f>
        <v/>
      </c>
      <c r="F1371" s="8">
        <f>IF(ISNA(MATCH(1362,'Transfer Engine'!$C$2:$C$1369,0)),"",INDEX('Compliance Database'!$F$2:$F$1369,MATCH(1362,'Transfer Engine'!$C$2:$C$1369,0)))</f>
        <v/>
      </c>
      <c r="G1371" s="8">
        <f>IF(ISNA(MATCH(1362,'Transfer Engine'!$C$2:$C$1369,0)),"",INDEX('Compliance Database'!$G$2:$G$1369,MATCH(1362,'Transfer Engine'!$C$2:$C$1369,0)))</f>
        <v/>
      </c>
      <c r="H1371" s="9">
        <f>IF(ISNA(MATCH(1362,'Transfer Engine'!$C$2:$C$1369,0)),"",INDEX('Compliance Database'!$H$2:$H$1369,MATCH(1362,'Transfer Engine'!$C$2:$C$1369,0)))</f>
        <v/>
      </c>
      <c r="I1371" s="9">
        <f>IF(ISNA(MATCH(1362,'Transfer Engine'!$C$2:$C$1369,0)),"",INDEX('Compliance Database'!$I$2:$I$1369,MATCH(1362,'Transfer Engine'!$C$2:$C$1369,0)))</f>
        <v/>
      </c>
      <c r="J1371" s="8">
        <f>IF(ISNA(MATCH(1362,'Transfer Engine'!$C$2:$C$1369,0)),"",INDEX('Compliance Database'!$J$2:$J$1369,MATCH(1362,'Transfer Engine'!$C$2:$C$1369,0)))</f>
        <v/>
      </c>
      <c r="K1371" s="9">
        <f>IF(ISNA(MATCH(1362,'Transfer Engine'!$C$2:$C$1369,0)),"",INDEX('Compliance Database'!$K$2:$K$1369,MATCH(1362,'Transfer Engine'!$C$2:$C$1369,0)))</f>
        <v/>
      </c>
      <c r="L1371" s="9">
        <f>IF(ISNA(MATCH(1362,'Transfer Engine'!$C$2:$C$1369,0)),"",INDEX('Compliance Database'!$L$2:$L$1369,MATCH(1362,'Transfer Engine'!$C$2:$C$1369,0)))</f>
        <v/>
      </c>
      <c r="M1371" s="9">
        <f>IF(ISNA(MATCH(1362,'Transfer Engine'!$C$2:$C$1369,0)),"",INDEX('Compliance Database'!$M$2:$M$1369,MATCH(1362,'Transfer Engine'!$C$2:$C$1369,0)))</f>
        <v/>
      </c>
      <c r="N1371" s="9">
        <f>IF(ISNA(MATCH(1362,'Transfer Engine'!$C$2:$C$1369,0)),"",INDEX('Compliance Database'!$N$2:$N$1369,MATCH(1362,'Transfer Engine'!$C$2:$C$1369,0)))</f>
        <v/>
      </c>
      <c r="O1371" s="8">
        <f>IF(ISNA(MATCH(1362,'Transfer Engine'!$C$2:$C$1369,0)),"",HYPERLINK(INDEX('Compliance Database'!$O$2:$O$1369,MATCH(1362,'Transfer Engine'!$C$2:$C$1369,0)),"Open PDF"))</f>
        <v/>
      </c>
    </row>
    <row r="1372" ht="188" customHeight="1">
      <c r="A1372" s="8">
        <f>IF(ISNA(MATCH(1363,'Transfer Engine'!$C$2:$C$1369,0)),"",INDEX('Compliance Database'!$A$2:$A$1369,MATCH(1363,'Transfer Engine'!$C$2:$C$1369,0)))</f>
        <v/>
      </c>
      <c r="B1372" s="8">
        <f>IF(ISNA(MATCH(1363,'Transfer Engine'!$C$2:$C$1369,0)),"",INDEX('Compliance Database'!$B$2:$B$1369,MATCH(1363,'Transfer Engine'!$C$2:$C$1369,0)))</f>
        <v/>
      </c>
      <c r="C1372" s="8">
        <f>IF(ISNA(MATCH(1363,'Transfer Engine'!$C$2:$C$1369,0)),"",INDEX('Compliance Database'!$C$2:$C$1369,MATCH(1363,'Transfer Engine'!$C$2:$C$1369,0)))</f>
        <v/>
      </c>
      <c r="D1372" s="9">
        <f>IF(ISNA(MATCH(1363,'Transfer Engine'!$C$2:$C$1369,0)),"",INDEX('Compliance Database'!$D$2:$D$1369,MATCH(1363,'Transfer Engine'!$C$2:$C$1369,0)))</f>
        <v/>
      </c>
      <c r="E1372" s="8">
        <f>IF(ISNA(MATCH(1363,'Transfer Engine'!$C$2:$C$1369,0)),"",INDEX('Compliance Database'!$E$2:$E$1369,MATCH(1363,'Transfer Engine'!$C$2:$C$1369,0)))</f>
        <v/>
      </c>
      <c r="F1372" s="8">
        <f>IF(ISNA(MATCH(1363,'Transfer Engine'!$C$2:$C$1369,0)),"",INDEX('Compliance Database'!$F$2:$F$1369,MATCH(1363,'Transfer Engine'!$C$2:$C$1369,0)))</f>
        <v/>
      </c>
      <c r="G1372" s="8">
        <f>IF(ISNA(MATCH(1363,'Transfer Engine'!$C$2:$C$1369,0)),"",INDEX('Compliance Database'!$G$2:$G$1369,MATCH(1363,'Transfer Engine'!$C$2:$C$1369,0)))</f>
        <v/>
      </c>
      <c r="H1372" s="9">
        <f>IF(ISNA(MATCH(1363,'Transfer Engine'!$C$2:$C$1369,0)),"",INDEX('Compliance Database'!$H$2:$H$1369,MATCH(1363,'Transfer Engine'!$C$2:$C$1369,0)))</f>
        <v/>
      </c>
      <c r="I1372" s="9">
        <f>IF(ISNA(MATCH(1363,'Transfer Engine'!$C$2:$C$1369,0)),"",INDEX('Compliance Database'!$I$2:$I$1369,MATCH(1363,'Transfer Engine'!$C$2:$C$1369,0)))</f>
        <v/>
      </c>
      <c r="J1372" s="8">
        <f>IF(ISNA(MATCH(1363,'Transfer Engine'!$C$2:$C$1369,0)),"",INDEX('Compliance Database'!$J$2:$J$1369,MATCH(1363,'Transfer Engine'!$C$2:$C$1369,0)))</f>
        <v/>
      </c>
      <c r="K1372" s="9">
        <f>IF(ISNA(MATCH(1363,'Transfer Engine'!$C$2:$C$1369,0)),"",INDEX('Compliance Database'!$K$2:$K$1369,MATCH(1363,'Transfer Engine'!$C$2:$C$1369,0)))</f>
        <v/>
      </c>
      <c r="L1372" s="9">
        <f>IF(ISNA(MATCH(1363,'Transfer Engine'!$C$2:$C$1369,0)),"",INDEX('Compliance Database'!$L$2:$L$1369,MATCH(1363,'Transfer Engine'!$C$2:$C$1369,0)))</f>
        <v/>
      </c>
      <c r="M1372" s="9">
        <f>IF(ISNA(MATCH(1363,'Transfer Engine'!$C$2:$C$1369,0)),"",INDEX('Compliance Database'!$M$2:$M$1369,MATCH(1363,'Transfer Engine'!$C$2:$C$1369,0)))</f>
        <v/>
      </c>
      <c r="N1372" s="9">
        <f>IF(ISNA(MATCH(1363,'Transfer Engine'!$C$2:$C$1369,0)),"",INDEX('Compliance Database'!$N$2:$N$1369,MATCH(1363,'Transfer Engine'!$C$2:$C$1369,0)))</f>
        <v/>
      </c>
      <c r="O1372" s="8">
        <f>IF(ISNA(MATCH(1363,'Transfer Engine'!$C$2:$C$1369,0)),"",HYPERLINK(INDEX('Compliance Database'!$O$2:$O$1369,MATCH(1363,'Transfer Engine'!$C$2:$C$1369,0)),"Open PDF"))</f>
        <v/>
      </c>
    </row>
    <row r="1373" ht="188" customHeight="1">
      <c r="A1373" s="8">
        <f>IF(ISNA(MATCH(1364,'Transfer Engine'!$C$2:$C$1369,0)),"",INDEX('Compliance Database'!$A$2:$A$1369,MATCH(1364,'Transfer Engine'!$C$2:$C$1369,0)))</f>
        <v/>
      </c>
      <c r="B1373" s="8">
        <f>IF(ISNA(MATCH(1364,'Transfer Engine'!$C$2:$C$1369,0)),"",INDEX('Compliance Database'!$B$2:$B$1369,MATCH(1364,'Transfer Engine'!$C$2:$C$1369,0)))</f>
        <v/>
      </c>
      <c r="C1373" s="8">
        <f>IF(ISNA(MATCH(1364,'Transfer Engine'!$C$2:$C$1369,0)),"",INDEX('Compliance Database'!$C$2:$C$1369,MATCH(1364,'Transfer Engine'!$C$2:$C$1369,0)))</f>
        <v/>
      </c>
      <c r="D1373" s="9">
        <f>IF(ISNA(MATCH(1364,'Transfer Engine'!$C$2:$C$1369,0)),"",INDEX('Compliance Database'!$D$2:$D$1369,MATCH(1364,'Transfer Engine'!$C$2:$C$1369,0)))</f>
        <v/>
      </c>
      <c r="E1373" s="8">
        <f>IF(ISNA(MATCH(1364,'Transfer Engine'!$C$2:$C$1369,0)),"",INDEX('Compliance Database'!$E$2:$E$1369,MATCH(1364,'Transfer Engine'!$C$2:$C$1369,0)))</f>
        <v/>
      </c>
      <c r="F1373" s="8">
        <f>IF(ISNA(MATCH(1364,'Transfer Engine'!$C$2:$C$1369,0)),"",INDEX('Compliance Database'!$F$2:$F$1369,MATCH(1364,'Transfer Engine'!$C$2:$C$1369,0)))</f>
        <v/>
      </c>
      <c r="G1373" s="8">
        <f>IF(ISNA(MATCH(1364,'Transfer Engine'!$C$2:$C$1369,0)),"",INDEX('Compliance Database'!$G$2:$G$1369,MATCH(1364,'Transfer Engine'!$C$2:$C$1369,0)))</f>
        <v/>
      </c>
      <c r="H1373" s="9">
        <f>IF(ISNA(MATCH(1364,'Transfer Engine'!$C$2:$C$1369,0)),"",INDEX('Compliance Database'!$H$2:$H$1369,MATCH(1364,'Transfer Engine'!$C$2:$C$1369,0)))</f>
        <v/>
      </c>
      <c r="I1373" s="9">
        <f>IF(ISNA(MATCH(1364,'Transfer Engine'!$C$2:$C$1369,0)),"",INDEX('Compliance Database'!$I$2:$I$1369,MATCH(1364,'Transfer Engine'!$C$2:$C$1369,0)))</f>
        <v/>
      </c>
      <c r="J1373" s="8">
        <f>IF(ISNA(MATCH(1364,'Transfer Engine'!$C$2:$C$1369,0)),"",INDEX('Compliance Database'!$J$2:$J$1369,MATCH(1364,'Transfer Engine'!$C$2:$C$1369,0)))</f>
        <v/>
      </c>
      <c r="K1373" s="9">
        <f>IF(ISNA(MATCH(1364,'Transfer Engine'!$C$2:$C$1369,0)),"",INDEX('Compliance Database'!$K$2:$K$1369,MATCH(1364,'Transfer Engine'!$C$2:$C$1369,0)))</f>
        <v/>
      </c>
      <c r="L1373" s="9">
        <f>IF(ISNA(MATCH(1364,'Transfer Engine'!$C$2:$C$1369,0)),"",INDEX('Compliance Database'!$L$2:$L$1369,MATCH(1364,'Transfer Engine'!$C$2:$C$1369,0)))</f>
        <v/>
      </c>
      <c r="M1373" s="9">
        <f>IF(ISNA(MATCH(1364,'Transfer Engine'!$C$2:$C$1369,0)),"",INDEX('Compliance Database'!$M$2:$M$1369,MATCH(1364,'Transfer Engine'!$C$2:$C$1369,0)))</f>
        <v/>
      </c>
      <c r="N1373" s="9">
        <f>IF(ISNA(MATCH(1364,'Transfer Engine'!$C$2:$C$1369,0)),"",INDEX('Compliance Database'!$N$2:$N$1369,MATCH(1364,'Transfer Engine'!$C$2:$C$1369,0)))</f>
        <v/>
      </c>
      <c r="O1373" s="8">
        <f>IF(ISNA(MATCH(1364,'Transfer Engine'!$C$2:$C$1369,0)),"",HYPERLINK(INDEX('Compliance Database'!$O$2:$O$1369,MATCH(1364,'Transfer Engine'!$C$2:$C$1369,0)),"Open PDF"))</f>
        <v/>
      </c>
    </row>
    <row r="1374" ht="188" customHeight="1">
      <c r="A1374" s="8">
        <f>IF(ISNA(MATCH(1365,'Transfer Engine'!$C$2:$C$1369,0)),"",INDEX('Compliance Database'!$A$2:$A$1369,MATCH(1365,'Transfer Engine'!$C$2:$C$1369,0)))</f>
        <v/>
      </c>
      <c r="B1374" s="8">
        <f>IF(ISNA(MATCH(1365,'Transfer Engine'!$C$2:$C$1369,0)),"",INDEX('Compliance Database'!$B$2:$B$1369,MATCH(1365,'Transfer Engine'!$C$2:$C$1369,0)))</f>
        <v/>
      </c>
      <c r="C1374" s="8">
        <f>IF(ISNA(MATCH(1365,'Transfer Engine'!$C$2:$C$1369,0)),"",INDEX('Compliance Database'!$C$2:$C$1369,MATCH(1365,'Transfer Engine'!$C$2:$C$1369,0)))</f>
        <v/>
      </c>
      <c r="D1374" s="9">
        <f>IF(ISNA(MATCH(1365,'Transfer Engine'!$C$2:$C$1369,0)),"",INDEX('Compliance Database'!$D$2:$D$1369,MATCH(1365,'Transfer Engine'!$C$2:$C$1369,0)))</f>
        <v/>
      </c>
      <c r="E1374" s="8">
        <f>IF(ISNA(MATCH(1365,'Transfer Engine'!$C$2:$C$1369,0)),"",INDEX('Compliance Database'!$E$2:$E$1369,MATCH(1365,'Transfer Engine'!$C$2:$C$1369,0)))</f>
        <v/>
      </c>
      <c r="F1374" s="8">
        <f>IF(ISNA(MATCH(1365,'Transfer Engine'!$C$2:$C$1369,0)),"",INDEX('Compliance Database'!$F$2:$F$1369,MATCH(1365,'Transfer Engine'!$C$2:$C$1369,0)))</f>
        <v/>
      </c>
      <c r="G1374" s="8">
        <f>IF(ISNA(MATCH(1365,'Transfer Engine'!$C$2:$C$1369,0)),"",INDEX('Compliance Database'!$G$2:$G$1369,MATCH(1365,'Transfer Engine'!$C$2:$C$1369,0)))</f>
        <v/>
      </c>
      <c r="H1374" s="9">
        <f>IF(ISNA(MATCH(1365,'Transfer Engine'!$C$2:$C$1369,0)),"",INDEX('Compliance Database'!$H$2:$H$1369,MATCH(1365,'Transfer Engine'!$C$2:$C$1369,0)))</f>
        <v/>
      </c>
      <c r="I1374" s="9">
        <f>IF(ISNA(MATCH(1365,'Transfer Engine'!$C$2:$C$1369,0)),"",INDEX('Compliance Database'!$I$2:$I$1369,MATCH(1365,'Transfer Engine'!$C$2:$C$1369,0)))</f>
        <v/>
      </c>
      <c r="J1374" s="8">
        <f>IF(ISNA(MATCH(1365,'Transfer Engine'!$C$2:$C$1369,0)),"",INDEX('Compliance Database'!$J$2:$J$1369,MATCH(1365,'Transfer Engine'!$C$2:$C$1369,0)))</f>
        <v/>
      </c>
      <c r="K1374" s="9">
        <f>IF(ISNA(MATCH(1365,'Transfer Engine'!$C$2:$C$1369,0)),"",INDEX('Compliance Database'!$K$2:$K$1369,MATCH(1365,'Transfer Engine'!$C$2:$C$1369,0)))</f>
        <v/>
      </c>
      <c r="L1374" s="9">
        <f>IF(ISNA(MATCH(1365,'Transfer Engine'!$C$2:$C$1369,0)),"",INDEX('Compliance Database'!$L$2:$L$1369,MATCH(1365,'Transfer Engine'!$C$2:$C$1369,0)))</f>
        <v/>
      </c>
      <c r="M1374" s="9">
        <f>IF(ISNA(MATCH(1365,'Transfer Engine'!$C$2:$C$1369,0)),"",INDEX('Compliance Database'!$M$2:$M$1369,MATCH(1365,'Transfer Engine'!$C$2:$C$1369,0)))</f>
        <v/>
      </c>
      <c r="N1374" s="9">
        <f>IF(ISNA(MATCH(1365,'Transfer Engine'!$C$2:$C$1369,0)),"",INDEX('Compliance Database'!$N$2:$N$1369,MATCH(1365,'Transfer Engine'!$C$2:$C$1369,0)))</f>
        <v/>
      </c>
      <c r="O1374" s="8">
        <f>IF(ISNA(MATCH(1365,'Transfer Engine'!$C$2:$C$1369,0)),"",HYPERLINK(INDEX('Compliance Database'!$O$2:$O$1369,MATCH(1365,'Transfer Engine'!$C$2:$C$1369,0)),"Open PDF"))</f>
        <v/>
      </c>
    </row>
    <row r="1375" ht="188" customHeight="1">
      <c r="A1375" s="8">
        <f>IF(ISNA(MATCH(1366,'Transfer Engine'!$C$2:$C$1369,0)),"",INDEX('Compliance Database'!$A$2:$A$1369,MATCH(1366,'Transfer Engine'!$C$2:$C$1369,0)))</f>
        <v/>
      </c>
      <c r="B1375" s="8">
        <f>IF(ISNA(MATCH(1366,'Transfer Engine'!$C$2:$C$1369,0)),"",INDEX('Compliance Database'!$B$2:$B$1369,MATCH(1366,'Transfer Engine'!$C$2:$C$1369,0)))</f>
        <v/>
      </c>
      <c r="C1375" s="8">
        <f>IF(ISNA(MATCH(1366,'Transfer Engine'!$C$2:$C$1369,0)),"",INDEX('Compliance Database'!$C$2:$C$1369,MATCH(1366,'Transfer Engine'!$C$2:$C$1369,0)))</f>
        <v/>
      </c>
      <c r="D1375" s="9">
        <f>IF(ISNA(MATCH(1366,'Transfer Engine'!$C$2:$C$1369,0)),"",INDEX('Compliance Database'!$D$2:$D$1369,MATCH(1366,'Transfer Engine'!$C$2:$C$1369,0)))</f>
        <v/>
      </c>
      <c r="E1375" s="8">
        <f>IF(ISNA(MATCH(1366,'Transfer Engine'!$C$2:$C$1369,0)),"",INDEX('Compliance Database'!$E$2:$E$1369,MATCH(1366,'Transfer Engine'!$C$2:$C$1369,0)))</f>
        <v/>
      </c>
      <c r="F1375" s="8">
        <f>IF(ISNA(MATCH(1366,'Transfer Engine'!$C$2:$C$1369,0)),"",INDEX('Compliance Database'!$F$2:$F$1369,MATCH(1366,'Transfer Engine'!$C$2:$C$1369,0)))</f>
        <v/>
      </c>
      <c r="G1375" s="8">
        <f>IF(ISNA(MATCH(1366,'Transfer Engine'!$C$2:$C$1369,0)),"",INDEX('Compliance Database'!$G$2:$G$1369,MATCH(1366,'Transfer Engine'!$C$2:$C$1369,0)))</f>
        <v/>
      </c>
      <c r="H1375" s="9">
        <f>IF(ISNA(MATCH(1366,'Transfer Engine'!$C$2:$C$1369,0)),"",INDEX('Compliance Database'!$H$2:$H$1369,MATCH(1366,'Transfer Engine'!$C$2:$C$1369,0)))</f>
        <v/>
      </c>
      <c r="I1375" s="9">
        <f>IF(ISNA(MATCH(1366,'Transfer Engine'!$C$2:$C$1369,0)),"",INDEX('Compliance Database'!$I$2:$I$1369,MATCH(1366,'Transfer Engine'!$C$2:$C$1369,0)))</f>
        <v/>
      </c>
      <c r="J1375" s="8">
        <f>IF(ISNA(MATCH(1366,'Transfer Engine'!$C$2:$C$1369,0)),"",INDEX('Compliance Database'!$J$2:$J$1369,MATCH(1366,'Transfer Engine'!$C$2:$C$1369,0)))</f>
        <v/>
      </c>
      <c r="K1375" s="9">
        <f>IF(ISNA(MATCH(1366,'Transfer Engine'!$C$2:$C$1369,0)),"",INDEX('Compliance Database'!$K$2:$K$1369,MATCH(1366,'Transfer Engine'!$C$2:$C$1369,0)))</f>
        <v/>
      </c>
      <c r="L1375" s="9">
        <f>IF(ISNA(MATCH(1366,'Transfer Engine'!$C$2:$C$1369,0)),"",INDEX('Compliance Database'!$L$2:$L$1369,MATCH(1366,'Transfer Engine'!$C$2:$C$1369,0)))</f>
        <v/>
      </c>
      <c r="M1375" s="9">
        <f>IF(ISNA(MATCH(1366,'Transfer Engine'!$C$2:$C$1369,0)),"",INDEX('Compliance Database'!$M$2:$M$1369,MATCH(1366,'Transfer Engine'!$C$2:$C$1369,0)))</f>
        <v/>
      </c>
      <c r="N1375" s="9">
        <f>IF(ISNA(MATCH(1366,'Transfer Engine'!$C$2:$C$1369,0)),"",INDEX('Compliance Database'!$N$2:$N$1369,MATCH(1366,'Transfer Engine'!$C$2:$C$1369,0)))</f>
        <v/>
      </c>
      <c r="O1375" s="8">
        <f>IF(ISNA(MATCH(1366,'Transfer Engine'!$C$2:$C$1369,0)),"",HYPERLINK(INDEX('Compliance Database'!$O$2:$O$1369,MATCH(1366,'Transfer Engine'!$C$2:$C$1369,0)),"Open PDF"))</f>
        <v/>
      </c>
    </row>
    <row r="1376" ht="188" customHeight="1">
      <c r="A1376" s="8">
        <f>IF(ISNA(MATCH(1367,'Transfer Engine'!$C$2:$C$1369,0)),"",INDEX('Compliance Database'!$A$2:$A$1369,MATCH(1367,'Transfer Engine'!$C$2:$C$1369,0)))</f>
        <v/>
      </c>
      <c r="B1376" s="8">
        <f>IF(ISNA(MATCH(1367,'Transfer Engine'!$C$2:$C$1369,0)),"",INDEX('Compliance Database'!$B$2:$B$1369,MATCH(1367,'Transfer Engine'!$C$2:$C$1369,0)))</f>
        <v/>
      </c>
      <c r="C1376" s="8">
        <f>IF(ISNA(MATCH(1367,'Transfer Engine'!$C$2:$C$1369,0)),"",INDEX('Compliance Database'!$C$2:$C$1369,MATCH(1367,'Transfer Engine'!$C$2:$C$1369,0)))</f>
        <v/>
      </c>
      <c r="D1376" s="9">
        <f>IF(ISNA(MATCH(1367,'Transfer Engine'!$C$2:$C$1369,0)),"",INDEX('Compliance Database'!$D$2:$D$1369,MATCH(1367,'Transfer Engine'!$C$2:$C$1369,0)))</f>
        <v/>
      </c>
      <c r="E1376" s="8">
        <f>IF(ISNA(MATCH(1367,'Transfer Engine'!$C$2:$C$1369,0)),"",INDEX('Compliance Database'!$E$2:$E$1369,MATCH(1367,'Transfer Engine'!$C$2:$C$1369,0)))</f>
        <v/>
      </c>
      <c r="F1376" s="8">
        <f>IF(ISNA(MATCH(1367,'Transfer Engine'!$C$2:$C$1369,0)),"",INDEX('Compliance Database'!$F$2:$F$1369,MATCH(1367,'Transfer Engine'!$C$2:$C$1369,0)))</f>
        <v/>
      </c>
      <c r="G1376" s="8">
        <f>IF(ISNA(MATCH(1367,'Transfer Engine'!$C$2:$C$1369,0)),"",INDEX('Compliance Database'!$G$2:$G$1369,MATCH(1367,'Transfer Engine'!$C$2:$C$1369,0)))</f>
        <v/>
      </c>
      <c r="H1376" s="9">
        <f>IF(ISNA(MATCH(1367,'Transfer Engine'!$C$2:$C$1369,0)),"",INDEX('Compliance Database'!$H$2:$H$1369,MATCH(1367,'Transfer Engine'!$C$2:$C$1369,0)))</f>
        <v/>
      </c>
      <c r="I1376" s="9">
        <f>IF(ISNA(MATCH(1367,'Transfer Engine'!$C$2:$C$1369,0)),"",INDEX('Compliance Database'!$I$2:$I$1369,MATCH(1367,'Transfer Engine'!$C$2:$C$1369,0)))</f>
        <v/>
      </c>
      <c r="J1376" s="8">
        <f>IF(ISNA(MATCH(1367,'Transfer Engine'!$C$2:$C$1369,0)),"",INDEX('Compliance Database'!$J$2:$J$1369,MATCH(1367,'Transfer Engine'!$C$2:$C$1369,0)))</f>
        <v/>
      </c>
      <c r="K1376" s="9">
        <f>IF(ISNA(MATCH(1367,'Transfer Engine'!$C$2:$C$1369,0)),"",INDEX('Compliance Database'!$K$2:$K$1369,MATCH(1367,'Transfer Engine'!$C$2:$C$1369,0)))</f>
        <v/>
      </c>
      <c r="L1376" s="9">
        <f>IF(ISNA(MATCH(1367,'Transfer Engine'!$C$2:$C$1369,0)),"",INDEX('Compliance Database'!$L$2:$L$1369,MATCH(1367,'Transfer Engine'!$C$2:$C$1369,0)))</f>
        <v/>
      </c>
      <c r="M1376" s="9">
        <f>IF(ISNA(MATCH(1367,'Transfer Engine'!$C$2:$C$1369,0)),"",INDEX('Compliance Database'!$M$2:$M$1369,MATCH(1367,'Transfer Engine'!$C$2:$C$1369,0)))</f>
        <v/>
      </c>
      <c r="N1376" s="9">
        <f>IF(ISNA(MATCH(1367,'Transfer Engine'!$C$2:$C$1369,0)),"",INDEX('Compliance Database'!$N$2:$N$1369,MATCH(1367,'Transfer Engine'!$C$2:$C$1369,0)))</f>
        <v/>
      </c>
      <c r="O1376" s="8">
        <f>IF(ISNA(MATCH(1367,'Transfer Engine'!$C$2:$C$1369,0)),"",HYPERLINK(INDEX('Compliance Database'!$O$2:$O$1369,MATCH(1367,'Transfer Engine'!$C$2:$C$1369,0)),"Open PDF"))</f>
        <v/>
      </c>
    </row>
    <row r="1377" ht="188" customHeight="1">
      <c r="A1377" s="8">
        <f>IF(ISNA(MATCH(1368,'Transfer Engine'!$C$2:$C$1369,0)),"",INDEX('Compliance Database'!$A$2:$A$1369,MATCH(1368,'Transfer Engine'!$C$2:$C$1369,0)))</f>
        <v/>
      </c>
      <c r="B1377" s="8">
        <f>IF(ISNA(MATCH(1368,'Transfer Engine'!$C$2:$C$1369,0)),"",INDEX('Compliance Database'!$B$2:$B$1369,MATCH(1368,'Transfer Engine'!$C$2:$C$1369,0)))</f>
        <v/>
      </c>
      <c r="C1377" s="8">
        <f>IF(ISNA(MATCH(1368,'Transfer Engine'!$C$2:$C$1369,0)),"",INDEX('Compliance Database'!$C$2:$C$1369,MATCH(1368,'Transfer Engine'!$C$2:$C$1369,0)))</f>
        <v/>
      </c>
      <c r="D1377" s="9">
        <f>IF(ISNA(MATCH(1368,'Transfer Engine'!$C$2:$C$1369,0)),"",INDEX('Compliance Database'!$D$2:$D$1369,MATCH(1368,'Transfer Engine'!$C$2:$C$1369,0)))</f>
        <v/>
      </c>
      <c r="E1377" s="8">
        <f>IF(ISNA(MATCH(1368,'Transfer Engine'!$C$2:$C$1369,0)),"",INDEX('Compliance Database'!$E$2:$E$1369,MATCH(1368,'Transfer Engine'!$C$2:$C$1369,0)))</f>
        <v/>
      </c>
      <c r="F1377" s="8">
        <f>IF(ISNA(MATCH(1368,'Transfer Engine'!$C$2:$C$1369,0)),"",INDEX('Compliance Database'!$F$2:$F$1369,MATCH(1368,'Transfer Engine'!$C$2:$C$1369,0)))</f>
        <v/>
      </c>
      <c r="G1377" s="8">
        <f>IF(ISNA(MATCH(1368,'Transfer Engine'!$C$2:$C$1369,0)),"",INDEX('Compliance Database'!$G$2:$G$1369,MATCH(1368,'Transfer Engine'!$C$2:$C$1369,0)))</f>
        <v/>
      </c>
      <c r="H1377" s="9">
        <f>IF(ISNA(MATCH(1368,'Transfer Engine'!$C$2:$C$1369,0)),"",INDEX('Compliance Database'!$H$2:$H$1369,MATCH(1368,'Transfer Engine'!$C$2:$C$1369,0)))</f>
        <v/>
      </c>
      <c r="I1377" s="9">
        <f>IF(ISNA(MATCH(1368,'Transfer Engine'!$C$2:$C$1369,0)),"",INDEX('Compliance Database'!$I$2:$I$1369,MATCH(1368,'Transfer Engine'!$C$2:$C$1369,0)))</f>
        <v/>
      </c>
      <c r="J1377" s="8">
        <f>IF(ISNA(MATCH(1368,'Transfer Engine'!$C$2:$C$1369,0)),"",INDEX('Compliance Database'!$J$2:$J$1369,MATCH(1368,'Transfer Engine'!$C$2:$C$1369,0)))</f>
        <v/>
      </c>
      <c r="K1377" s="9">
        <f>IF(ISNA(MATCH(1368,'Transfer Engine'!$C$2:$C$1369,0)),"",INDEX('Compliance Database'!$K$2:$K$1369,MATCH(1368,'Transfer Engine'!$C$2:$C$1369,0)))</f>
        <v/>
      </c>
      <c r="L1377" s="9">
        <f>IF(ISNA(MATCH(1368,'Transfer Engine'!$C$2:$C$1369,0)),"",INDEX('Compliance Database'!$L$2:$L$1369,MATCH(1368,'Transfer Engine'!$C$2:$C$1369,0)))</f>
        <v/>
      </c>
      <c r="M1377" s="9">
        <f>IF(ISNA(MATCH(1368,'Transfer Engine'!$C$2:$C$1369,0)),"",INDEX('Compliance Database'!$M$2:$M$1369,MATCH(1368,'Transfer Engine'!$C$2:$C$1369,0)))</f>
        <v/>
      </c>
      <c r="N1377" s="9">
        <f>IF(ISNA(MATCH(1368,'Transfer Engine'!$C$2:$C$1369,0)),"",INDEX('Compliance Database'!$N$2:$N$1369,MATCH(1368,'Transfer Engine'!$C$2:$C$1369,0)))</f>
        <v/>
      </c>
      <c r="O1377" s="8">
        <f>IF(ISNA(MATCH(1368,'Transfer Engine'!$C$2:$C$1369,0)),"",HYPERLINK(INDEX('Compliance Database'!$O$2:$O$1369,MATCH(1368,'Transfer Engine'!$C$2:$C$1369,0)),"Open PDF"))</f>
        <v/>
      </c>
    </row>
  </sheetData>
  <mergeCells count="1">
    <mergeCell ref="A1:D1"/>
  </mergeCells>
  <dataValidations count="2">
    <dataValidation sqref="B4" showDropDown="0" showInputMessage="0" showErrorMessage="0" allowBlank="1" type="list">
      <formula1>Lists!$A$3:$A$6</formula1>
    </dataValidation>
    <dataValidation sqref="B5" showDropDown="0" showInputMessage="0" showErrorMessage="0" allowBlank="1" type="list">
      <formula1>Lists!$A$3:$A$6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6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45" customWidth="1" min="4" max="4"/>
    <col width="12" customWidth="1" min="5" max="5"/>
    <col width="21" customWidth="1" min="6" max="6"/>
    <col width="31" customWidth="1" min="7" max="7"/>
    <col width="45" customWidth="1" min="8" max="8"/>
    <col width="45" customWidth="1" min="9" max="9"/>
    <col width="60" customWidth="1" min="10" max="10"/>
    <col width="45" customWidth="1" min="11" max="11"/>
    <col width="45" customWidth="1" min="12" max="12"/>
    <col width="100" customWidth="1" min="13" max="13"/>
    <col width="45" customWidth="1" min="14" max="14"/>
    <col width="12" customWidth="1" min="15" max="15"/>
  </cols>
  <sheetData>
    <row r="1">
      <c r="A1" s="10" t="inlineStr">
        <is>
          <t>Country</t>
        </is>
      </c>
      <c r="B1" s="10" t="inlineStr">
        <is>
          <t>Act</t>
        </is>
      </c>
      <c r="C1" s="10" t="inlineStr">
        <is>
          <t>Section</t>
        </is>
      </c>
      <c r="D1" s="10" t="inlineStr">
        <is>
          <t>Heading</t>
        </is>
      </c>
      <c r="E1" s="10" t="inlineStr">
        <is>
          <t>Pages</t>
        </is>
      </c>
      <c r="F1" s="10" t="inlineStr">
        <is>
          <t>Financial Relevance</t>
        </is>
      </c>
      <c r="G1" s="10" t="inlineStr">
        <is>
          <t>Confidence</t>
        </is>
      </c>
      <c r="H1" s="10" t="inlineStr">
        <is>
          <t>Topics</t>
        </is>
      </c>
      <c r="I1" s="10" t="inlineStr">
        <is>
          <t>Data Types</t>
        </is>
      </c>
      <c r="J1" s="10" t="inlineStr">
        <is>
          <t>Authority</t>
        </is>
      </c>
      <c r="K1" s="10" t="inlineStr">
        <is>
          <t>Summary</t>
        </is>
      </c>
      <c r="L1" s="10" t="inlineStr">
        <is>
          <t>DTIA Summary</t>
        </is>
      </c>
      <c r="M1" s="10" t="inlineStr">
        <is>
          <t>Requirements</t>
        </is>
      </c>
      <c r="N1" s="10" t="inlineStr">
        <is>
          <t>Source Quote</t>
        </is>
      </c>
      <c r="O1" s="10" t="inlineStr">
        <is>
          <t>Source</t>
        </is>
      </c>
    </row>
    <row r="2">
      <c r="A2" t="inlineStr">
        <is>
          <t>Australia</t>
        </is>
      </c>
      <c r="B2" t="inlineStr">
        <is>
          <t>C2004A01182 (Australia - Row 25)</t>
        </is>
      </c>
      <c r="C2" t="inlineStr">
        <is>
          <t>4</t>
        </is>
      </c>
      <c r="D2" s="11" t="inlineStr">
        <is>
          <t>Amendment of Vocational Education and Training Funding Act 1992</t>
        </is>
      </c>
      <c r="E2" t="inlineStr">
        <is>
          <t>3–10</t>
        </is>
      </c>
      <c r="F2" t="inlineStr">
        <is>
          <t>None</t>
        </is>
      </c>
      <c r="G2" t="inlineStr">
        <is>
          <t>High (explicit)</t>
        </is>
      </c>
      <c r="H2" s="11"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2" s="11" t="inlineStr">
        <is>
          <t>Personal Information, Financial Data, Customer Data, Employee Data, Health Data, Children's Data, Biometric Data, Special Personal Information</t>
        </is>
      </c>
      <c r="J2" t="inlineStr"/>
      <c r="K2" s="11" t="inlineStr">
        <is>
          <t>This section amends the Australian National Training Authority Act 1992 by altering membership requirements and definitions within the Australian National Training Authority (ANTA) Agreement. It specifies changes to the number of members, the structure of the agreement, and the procedures for presenting and publishing the agreement to Parliament. The amendments aim to update the ANTA Agreement to replace the 2001-2003 version with a new agreement framework effective from 2004.</t>
        </is>
      </c>
      <c r="L2" s="11" t="inlineStr"/>
      <c r="M2" s="11" t="inlineStr">
        <is>
          <t>• [Must] Omit '5', substitute '7' in paragraph 24(1)(c)
• [Must] Omit '3', substitute '4' in subsection 24(2)
• [Must] Omit '4 members', substitute '5 members' in subsections 36(3) and (5)
• [Must] Omit '4', substitute '5' in section 38
• [Must] Repeal the definition of Agreement, substitute a new definition
• [Must] Insert subsection 18A: Present agreement to Parliament within 15 sitting days
• [Must] Insert subsection 18B: Publish agreement on website within 15 sitting days
• [Must] Repeal Schedule 1
• [Must] Savings provisions for Ministerial Council actions and decisions
• [Must] Before 'ANTA agreement', insert 'applicable' in subsection 9AB(1)
• [Must] Repeal subsection 9AB(3), substitute new definition of applicable ANTA agreement</t>
        </is>
      </c>
      <c r="N2" s="11" t="inlineStr">
        <is>
          <t>Australian National Training Authority Amendment Act 2003, 2003</t>
        </is>
      </c>
      <c r="O2" s="12" t="inlineStr">
        <is>
          <t>Open PDF</t>
        </is>
      </c>
    </row>
    <row r="3">
      <c r="A3" t="inlineStr">
        <is>
          <t>Australia</t>
        </is>
      </c>
      <c r="B3" t="inlineStr">
        <is>
          <t>C2004C01271-1 (Australia - Row 7)</t>
        </is>
      </c>
      <c r="C3" t="inlineStr">
        <is>
          <t>7</t>
        </is>
      </c>
      <c r="D3" s="11" t="inlineStr">
        <is>
          <t>Tax deductions for film licensed investment company shares</t>
        </is>
      </c>
      <c r="E3" t="inlineStr">
        <is>
          <t>3–11</t>
        </is>
      </c>
      <c r="F3" t="inlineStr">
        <is>
          <t>None</t>
        </is>
      </c>
      <c r="G3" t="inlineStr">
        <is>
          <t>High (explicit)</t>
        </is>
      </c>
      <c r="H3" s="11" t="inlineStr">
        <is>
          <t>Financial Data, Customer Information, Employee Information</t>
        </is>
      </c>
      <c r="I3" s="11" t="inlineStr">
        <is>
          <t>Financial Data</t>
        </is>
      </c>
      <c r="J3" t="inlineStr">
        <is>
          <t>Arts Minister</t>
        </is>
      </c>
      <c r="K3" s="11" t="inlineStr">
        <is>
          <t>This section amends the Taxation Laws to allow deductions for shares in film licensed investment companies (FLICs) issued during the period the FLIC's concessional capital licence is active. Deductions apply only to shares issued before July 1, 2000, and are subject to specific conditions regarding the FLIC's licence status and the timing of share issuance. The deduction is available to individuals and partnerships holding shares in FLICs, with special rules for partners and partnerships.</t>
        </is>
      </c>
      <c r="L3" s="11" t="inlineStr"/>
      <c r="M3" s="11" t="inlineStr">
        <is>
          <t>• [Must] You can deduct money paid for shares in a film licensed investment company issued to you by the FLIC during the period the FLIC's concessional capital licence is in force.
• [Definition] A film licensed investment company is a company granted a licence to raise concessional capital under the Film Licensed Investment Company Act 1998.
• [Must Not] You lose entitlement to the deduction if the Arts Minister decides to remove the concessional status of your shares.
• [Must Not] You lose entitlement to the deduction if the Commissioner is satisfied the FLIC breached conditions under the Film Licensed Investment Company Act 1998 and the Arts Minister has not acted within 6 months.
• [Must] The Commissioner must notify the Arts Minister within 28 days if the Commissioner is satisfied of the matters in subsection (2).
• [May] If you lose entitlement after claiming the deduction, your assessment may be amended to disallow the deduction.</t>
        </is>
      </c>
      <c r="N3" s="11" t="inlineStr">
        <is>
          <t>You can deduct amounts you have paid for shares issued to you by a film licensed investment company (FLIC). The deduction does not apply to shares issued after 1 July 2000.</t>
        </is>
      </c>
      <c r="O3" s="12" t="inlineStr">
        <is>
          <t>Open PDF</t>
        </is>
      </c>
    </row>
    <row r="4">
      <c r="A4" t="inlineStr">
        <is>
          <t>Australia</t>
        </is>
      </c>
      <c r="B4" t="inlineStr">
        <is>
          <t>C2012C00866 (Australia - Row 12)</t>
        </is>
      </c>
      <c r="C4" t="inlineStr">
        <is>
          <t>2</t>
        </is>
      </c>
      <c r="D4" s="11" t="inlineStr">
        <is>
          <t>Schedule 1 commencement timing</t>
        </is>
      </c>
      <c r="E4" t="inlineStr">
        <is>
          <t>5</t>
        </is>
      </c>
      <c r="F4" t="inlineStr">
        <is>
          <t>None</t>
        </is>
      </c>
      <c r="G4" t="inlineStr">
        <is>
          <t>High (explicit)</t>
        </is>
      </c>
      <c r="H4" s="11" t="inlineStr"/>
      <c r="I4" s="11" t="inlineStr"/>
      <c r="J4" t="inlineStr"/>
      <c r="K4" s="11" t="inlineStr">
        <is>
          <t>This section specifies the commencement date for Schedule 1 of the Act. It states that Schedule 1 commences immediately after section 3 of the Australian Information Commissioner Act 2010 commences, with a fallback date of 1 November 2010 if section 3 does not commence. The provision is conditional on the commencement of section 3.</t>
        </is>
      </c>
      <c r="L4" s="11" t="inlineStr"/>
      <c r="M4" s="11" t="inlineStr">
        <is>
          <t>• [Condition] Schedule 1 commences immediately after section 3 of the Australian Information Commissioner Act 2010 commences
• [Condition] If section 3 of the Australian Information Commissioner Act 2010 does not commence, Schedule 1 does not commence at all</t>
        </is>
      </c>
      <c r="N4" s="11" t="inlineStr">
        <is>
          <t>2. Schedule 1 Immediately after the commencement of section 3 of the Australian Information Commissioner Act 2010. However, if section 3 of the Australian Information Commissioner Act 2010 does not commence, the provision(s) do not commence at all.</t>
        </is>
      </c>
      <c r="O4" s="12" t="inlineStr">
        <is>
          <t>Open PDF</t>
        </is>
      </c>
    </row>
    <row r="5">
      <c r="A5" t="inlineStr">
        <is>
          <t>Australia</t>
        </is>
      </c>
      <c r="B5" t="inlineStr">
        <is>
          <t>C2012C00866 (Australia - Row 12)</t>
        </is>
      </c>
      <c r="C5" t="inlineStr">
        <is>
          <t>3</t>
        </is>
      </c>
      <c r="D5" s="11" t="inlineStr">
        <is>
          <t>Schedule 2 commencement timing</t>
        </is>
      </c>
      <c r="E5" t="inlineStr">
        <is>
          <t>5–6</t>
        </is>
      </c>
      <c r="F5" t="inlineStr">
        <is>
          <t>None</t>
        </is>
      </c>
      <c r="G5" t="inlineStr">
        <is>
          <t>High (explicit)</t>
        </is>
      </c>
      <c r="H5" s="11" t="inlineStr"/>
      <c r="I5" s="11" t="inlineStr"/>
      <c r="J5" t="inlineStr"/>
      <c r="K5" s="11" t="inlineStr">
        <is>
          <t>This section specifies the commencement date for Schedule 2 of the Act. It states that Schedule 2 commences the day after the end of a 6-month period beginning from the commencement date of section 3 of the Australian Information Commissioner Act 2010, with a fallback date of 1 May 2011 if section 3 does not commence. The provision is conditional on the commencement of section 3.</t>
        </is>
      </c>
      <c r="L5" s="11" t="inlineStr"/>
      <c r="M5" s="11" t="inlineStr">
        <is>
          <t>• [Condition] Schedule 2 commences the day after the end of the period of 6 months beginning on the day section 3 of the Australian Information Commissioner Act 2010 commences
• [Condition] If section 3 of the Australian Information Commissioner Act 2010 does not commence, Schedule 2 does not commence at all</t>
        </is>
      </c>
      <c r="N5" s="11" t="inlineStr">
        <is>
          <t>3. Schedule 2 The day after the end of the period of 6 months beginning on the day section 3 of the Australian Information Commissioner Act 2010 commences. However, if section 3 of the Australian Information Commissioner Act 2010 does not commence, the provision(s) do not commence at all.</t>
        </is>
      </c>
      <c r="O5" s="12" t="inlineStr">
        <is>
          <t>Open PDF</t>
        </is>
      </c>
    </row>
    <row r="6">
      <c r="A6" t="inlineStr">
        <is>
          <t>Australia</t>
        </is>
      </c>
      <c r="B6" t="inlineStr">
        <is>
          <t>C2012C00866 (Australia - Row 12)</t>
        </is>
      </c>
      <c r="C6" t="inlineStr">
        <is>
          <t>4</t>
        </is>
      </c>
      <c r="D6" s="11" t="inlineStr">
        <is>
          <t>Schedule 3 items 1-14 commencement timing</t>
        </is>
      </c>
      <c r="E6" t="inlineStr">
        <is>
          <t>6</t>
        </is>
      </c>
      <c r="F6" t="inlineStr">
        <is>
          <t>None</t>
        </is>
      </c>
      <c r="G6" t="inlineStr">
        <is>
          <t>High (explicit)</t>
        </is>
      </c>
      <c r="H6" s="11" t="inlineStr"/>
      <c r="I6" s="11" t="inlineStr"/>
      <c r="J6" t="inlineStr"/>
      <c r="K6" s="11" t="inlineStr">
        <is>
          <t>This section specifies the commencement date for items 1 to 14 of Schedule 3. It states that these items commence immediately after section 3 of the Australian Information Commissioner Act 2010 commences, with a fallback date of 1 November 2010 if section 3 does not commence. The provision is conditional on the commencement of section 3.</t>
        </is>
      </c>
      <c r="L6" s="11" t="inlineStr"/>
      <c r="M6" s="11" t="inlineStr">
        <is>
          <t>• [Condition] Items 1 to 14 of Schedule 3 commence immediately after section 3 of the Australian Information Commissioner Act 2010 commences
• [Condition] If section 3 of the Australian Information Commissioner Act 2010 does not commence, items 1 to 14 of Schedule 3 do not commence at all</t>
        </is>
      </c>
      <c r="N6" s="11" t="inlineStr">
        <is>
          <t>4. Schedule 3, items 1 to 14 Immediately after the commencement of section 3 of the Australian Information Commissioner Act 2010. However, if section 3 of the Australian Information Commissioner Act 2010 does not commence, the provision(s) do not commence at all.</t>
        </is>
      </c>
      <c r="O6" s="12" t="inlineStr">
        <is>
          <t>Open PDF</t>
        </is>
      </c>
    </row>
    <row r="7">
      <c r="A7" t="inlineStr">
        <is>
          <t>Australia</t>
        </is>
      </c>
      <c r="B7" t="inlineStr">
        <is>
          <t>C2012C00866 (Australia - Row 12)</t>
        </is>
      </c>
      <c r="C7" t="inlineStr">
        <is>
          <t>5</t>
        </is>
      </c>
      <c r="D7" s="11" t="inlineStr">
        <is>
          <t>Schedule 3 item 15 commencement timing</t>
        </is>
      </c>
      <c r="E7" t="inlineStr">
        <is>
          <t>6</t>
        </is>
      </c>
      <c r="F7" t="inlineStr">
        <is>
          <t>None</t>
        </is>
      </c>
      <c r="G7" t="inlineStr">
        <is>
          <t>High (explicit)</t>
        </is>
      </c>
      <c r="H7" s="11" t="inlineStr"/>
      <c r="I7" s="11" t="inlineStr"/>
      <c r="J7" t="inlineStr"/>
      <c r="K7" s="11" t="inlineStr">
        <is>
          <t>This section specifies the commencement date for item 15 of Schedule 3. It states that this item commences the day after the end of a 6-month period beginning from the commencement date of section 3 of the Australian Information Commissioner Act 2010, with a fallback date of 1 May 2011 if section 3 does not commence. The provision is conditional on the commencement of section 3.</t>
        </is>
      </c>
      <c r="L7" s="11" t="inlineStr"/>
      <c r="M7" s="11" t="inlineStr">
        <is>
          <t>• [Condition] Item 15 of Schedule 3 commences the day after the end of the period of 6 months beginning on the day section 3 of the Australian Information Commissioner Act 2010 commences
• [Condition] If section 3 of the Australian Information Commissioner Act 2010 does not commence, item 15 of Schedule 3 does not commence at all</t>
        </is>
      </c>
      <c r="N7" s="11" t="inlineStr">
        <is>
          <t>5. Schedule 3, item 15 The day after the end of the period of 6 months beginning on the day section 3 of the Australian Information Commissioner Act 2010 commences. However, if section 3 of the Australian Information Commissioner Act 2010 does not commence, the provision(s) do not commence at all.</t>
        </is>
      </c>
      <c r="O7" s="12" t="inlineStr">
        <is>
          <t>Open PDF</t>
        </is>
      </c>
    </row>
    <row r="8">
      <c r="A8" t="inlineStr">
        <is>
          <t>Australia</t>
        </is>
      </c>
      <c r="B8" t="inlineStr">
        <is>
          <t>C2012C00866 (Australia - Row 12)</t>
        </is>
      </c>
      <c r="C8" t="inlineStr">
        <is>
          <t>6</t>
        </is>
      </c>
      <c r="D8" s="11" t="inlineStr">
        <is>
          <t>Schedule 3 items 16-40 commencement timing</t>
        </is>
      </c>
      <c r="E8" t="inlineStr">
        <is>
          <t>6</t>
        </is>
      </c>
      <c r="F8" t="inlineStr">
        <is>
          <t>None</t>
        </is>
      </c>
      <c r="G8" t="inlineStr">
        <is>
          <t>High (explicit)</t>
        </is>
      </c>
      <c r="H8" s="11" t="inlineStr"/>
      <c r="I8" s="11" t="inlineStr"/>
      <c r="J8" t="inlineStr"/>
      <c r="K8" s="11" t="inlineStr">
        <is>
          <t>This section specifies the commencement date for items 16 to 40 of Schedule 3. It states that these items commence immediately after section 3 of the Australian Information Commissioner Act 2010 commences, with a fallback date of 1 November 2010 if section 3 does not commence. The provision is conditional on the commencement of section 3.</t>
        </is>
      </c>
      <c r="L8" s="11" t="inlineStr"/>
      <c r="M8" s="11" t="inlineStr">
        <is>
          <t>• [Condition] Items 16 to 40 of Schedule 3 commence immediately after section 3 of the Australian Information Commissioner Act 2010 commences
• [Condition] If section 3 of the Australian Information Commissioner Act 2010 does not commence, items 16 to 40 of Schedule 3 do not commence at all</t>
        </is>
      </c>
      <c r="N8" s="11" t="inlineStr">
        <is>
          <t>6. Schedule 3, items 16 to 40 Immediately after the commencement of section 3 of the Australian Information Commissioner Act 2010. However, if section 3 of the Australian Information Commissioner Act 2010 does not commence, the provision(s) do not commence at all.</t>
        </is>
      </c>
      <c r="O8" s="12" t="inlineStr">
        <is>
          <t>Open PDF</t>
        </is>
      </c>
    </row>
    <row r="9">
      <c r="A9" t="inlineStr">
        <is>
          <t>Australia</t>
        </is>
      </c>
      <c r="B9" t="inlineStr">
        <is>
          <t>C2012C00866 (Australia - Row 12)</t>
        </is>
      </c>
      <c r="C9" t="inlineStr">
        <is>
          <t>7</t>
        </is>
      </c>
      <c r="D9" s="11" t="inlineStr">
        <is>
          <t>Schedules 4-7 commencement timing</t>
        </is>
      </c>
      <c r="E9" t="inlineStr">
        <is>
          <t>6–14</t>
        </is>
      </c>
      <c r="F9" t="inlineStr">
        <is>
          <t>None</t>
        </is>
      </c>
      <c r="G9" t="inlineStr">
        <is>
          <t>High (explicit)</t>
        </is>
      </c>
      <c r="H9" s="11" t="inlineStr"/>
      <c r="I9" s="11" t="inlineStr"/>
      <c r="J9" t="inlineStr"/>
      <c r="K9" s="11" t="inlineStr">
        <is>
          <t>This section specifies the commencement date for Schedules 4 to 7. It states that these schedules commence immediately after section 3 of the Australian Information Commissioner Act 2010 commences, with a fallback date of 1 November 2010 if section 3 does not commence. The provision is conditional on the commencement of section 3.</t>
        </is>
      </c>
      <c r="L9" s="11" t="inlineStr"/>
      <c r="M9" s="11" t="inlineStr">
        <is>
          <t>• [Condition] Schedules 4 to 7 commence immediately after section 3 of the Australian Information Commissioner Act 2010 commences
• [Condition] If section 3 of the Australian Information Commissioner Act 2010 does not commence, Schedules 4 to 7 do not commence at all</t>
        </is>
      </c>
      <c r="N9" s="11" t="inlineStr">
        <is>
          <t>7. Schedules 4 to 7 Immediately after the commencement of section 3 of the Australian Information Commissioner Act 2010. However, if section 3 of the Australian Information Commissioner Act 2010 does not commence, the provision(s) do not commence at all.</t>
        </is>
      </c>
      <c r="O9" s="12" t="inlineStr">
        <is>
          <t>Open PDF</t>
        </is>
      </c>
    </row>
    <row r="10">
      <c r="A10" t="inlineStr">
        <is>
          <t>Australia</t>
        </is>
      </c>
      <c r="B10" t="inlineStr">
        <is>
          <t>C2012C00866 (Australia - Row 12)</t>
        </is>
      </c>
      <c r="C10" t="inlineStr">
        <is>
          <t>7 (part 2)</t>
        </is>
      </c>
      <c r="D10" s="11" t="inlineStr">
        <is>
          <t>Publication of information requirements for agencies</t>
        </is>
      </c>
      <c r="E10" t="inlineStr">
        <is>
          <t>14–20</t>
        </is>
      </c>
      <c r="F10" t="inlineStr">
        <is>
          <t>Medium</t>
        </is>
      </c>
      <c r="G10" t="inlineStr">
        <is>
          <t>High (explicit)</t>
        </is>
      </c>
      <c r="H10" s="11" t="inlineStr"/>
      <c r="I10" s="11" t="inlineStr">
        <is>
          <t>Personal Information</t>
        </is>
      </c>
      <c r="J10" t="inlineStr">
        <is>
          <t>Information Commissioner</t>
        </is>
      </c>
      <c r="K10" s="11" t="inlineStr">
        <is>
          <t>Agencies must publish required information to the public generally, with optional publication to specific groups. Information must be accessible via website downloads or links. Agencies may charge for access only if the person doesn't download directly and the charge covers specific reproduction costs. Charges must be published alongside the information. The Information Commissioner may assist agencies with identifying and preparing information for publication.</t>
        </is>
      </c>
      <c r="L10" s="11" t="inlineStr">
        <is>
          <t>Requires agencies to publish information publicly via websites, with specific conditions on charges and access. Relevant for assessing how information is shared across borders when agencies publish data.</t>
        </is>
      </c>
      <c r="M10" s="11" t="inlineStr">
        <is>
          <t>• [Must] Agency must publish information required or permitted under this Part to members of the public generally
• [Must] Agency must publish information to particular classes of persons or entities if appropriate
• [Must] Agency must publish information on website by making available for download or providing links to download
• [May] Agency may impose charge for accessing information only if person does not download directly
• [Must] Agency may impose charge only if charge covers specific reproduction costs
• [Must] Agency must publish details of charge in same way as information is published
• [May] Information Commissioner may provide assistance to agencies in identifying and preparing information for publication
• [May] Information Commissioner may determine how information is published</t>
        </is>
      </c>
      <c r="N10" s="11" t="inlineStr">
        <is>
          <t>An agency must publish information that is required or permitted to be published under this Part in accordance with this section. The agency must publish the information: (a) to members of the public generally; and (b) if the agency considers that it is appropriate to do so—to particular classes of persons or entities.</t>
        </is>
      </c>
      <c r="O10" s="12" t="inlineStr">
        <is>
          <t>Open PDF</t>
        </is>
      </c>
    </row>
    <row r="11">
      <c r="A11" t="inlineStr">
        <is>
          <t>Australia</t>
        </is>
      </c>
      <c r="B11" t="inlineStr">
        <is>
          <t>C2012C00866 (Australia - Row 12)</t>
        </is>
      </c>
      <c r="C11" t="inlineStr">
        <is>
          <t>7 (part 3)</t>
        </is>
      </c>
      <c r="D11" s="11" t="inlineStr">
        <is>
          <t>Exemptions for information access periods</t>
        </is>
      </c>
      <c r="E11" t="inlineStr">
        <is>
          <t>20–26</t>
        </is>
      </c>
      <c r="F11" t="inlineStr">
        <is>
          <t>Low</t>
        </is>
      </c>
      <c r="G11" t="inlineStr">
        <is>
          <t>High (explicit)</t>
        </is>
      </c>
      <c r="H11" s="11" t="inlineStr">
        <is>
          <t>Retention</t>
        </is>
      </c>
      <c r="I11" s="11" t="inlineStr"/>
      <c r="J11" t="inlineStr"/>
      <c r="K11" s="11" t="inlineStr">
        <is>
          <t>This section amends the open access periods for records and Cabinet notebooks. It reduces the standard open access period from 25 to 15 years for most records, with specific calculations for different record creation years. Cabinet notebooks have different open access periods, with some requiring 31 years after creation for full access.</t>
        </is>
      </c>
      <c r="L11" s="11" t="inlineStr">
        <is>
          <t>Sets specific timeframes for when government records become publicly accessible after creation, relevant for data retention and publication timelines in cross-border contexts.</t>
        </is>
      </c>
      <c r="M11" s="11" t="inlineStr">
        <is>
          <t>• [Must] Open access period for records: 15 years after creation for records from 2000 onwards
• [Must] Open access period for records: 21 years after creation for records from 2001 onwards
• [Must] Open access period for Cabinet notebooks: 31 years after creation for records from 1991 onwards</t>
        </is>
      </c>
      <c r="N11" s="11" t="inlineStr">
        <is>
          <t>For the purposes of this Act, subject to sections 22A and 22B, work out when a record is in the open access period in accordance with the following table: Open access period for records Item If the record came into existence in any of the following years (ending on 31 December): the record is in the open access period on and after the following day: 13 a year (the creation year) after 2000 1 January in the year that is 21 years after the creation year.</t>
        </is>
      </c>
      <c r="O11" s="12" t="inlineStr">
        <is>
          <t>Open PDF</t>
        </is>
      </c>
    </row>
    <row r="12">
      <c r="A12" t="inlineStr">
        <is>
          <t>Australia</t>
        </is>
      </c>
      <c r="B12" t="inlineStr">
        <is>
          <t>C2012C00866 (Australia - Row 12)</t>
        </is>
      </c>
      <c r="C12" t="inlineStr">
        <is>
          <t>7 (part 4)</t>
        </is>
      </c>
      <c r="D12" s="11" t="inlineStr">
        <is>
          <t>Exemptions for information disclosure requests</t>
        </is>
      </c>
      <c r="E12" t="inlineStr">
        <is>
          <t>26–32</t>
        </is>
      </c>
      <c r="F12" t="inlineStr">
        <is>
          <t>Low</t>
        </is>
      </c>
      <c r="G12" t="inlineStr">
        <is>
          <t>High (explicit)</t>
        </is>
      </c>
      <c r="H12" s="11" t="inlineStr"/>
      <c r="I12" s="11" t="inlineStr">
        <is>
          <t>Personal Information</t>
        </is>
      </c>
      <c r="J12" t="inlineStr">
        <is>
          <t>Information Commissioner</t>
        </is>
      </c>
      <c r="K12" s="11" t="inlineStr">
        <is>
          <t>This section outlines conditions under which agencies or Ministers may refuse access to documents. It specifies that exempt information may be withheld if disclosure would be unreasonable, impracticable, or if the document contains irrelevant information. Agencies must publish information on websites, provide edited copies where necessary, and charge only for specific reproduction costs. The section also sets a 10-day publication deadline and defines working days for compliance.</t>
        </is>
      </c>
      <c r="L12" s="11" t="inlineStr">
        <is>
          <t>This section establishes conditions for exempting information from disclosure, including when edited copies must be provided and when charges can be imposed. It impacts DTIAs by defining when information can be withheld and the requirements for publishing edited copies.</t>
        </is>
      </c>
      <c r="M12" s="11" t="inlineStr">
        <is>
          <t>• [Must] The agency or Minister must publish the information on a website by making it available for downloading
• [Must] The agency or Minister must publish a link to another website where the information can be downloaded
• [Must] The agency or Minister must publish other details of how the information may be obtained
• [Must] The agency may impose a charge for accessing information only if the person does not directly download it from the website
• [Must] The agency may impose a charge only if it reimburses specific reproduction costs or incidental costs
• [Must] The agency or Minister must publish details of any charge in the same way as the information
• [Must] The agency or Minister must comply with this section within 10 working days after the person is given access to the document</t>
        </is>
      </c>
      <c r="N12" s="11" t="inlineStr">
        <is>
          <t>The agency, or the Minister, must publish the information to members of the public generally on a website by: (a) making the information available for downloading from the website; or (b) publishing on the website a link to another website, from which the information can be downloaded; or (c) publishing on the website other details of how the information may be obtained.</t>
        </is>
      </c>
      <c r="O12" s="12" t="inlineStr">
        <is>
          <t>Open PDF</t>
        </is>
      </c>
    </row>
    <row r="13">
      <c r="A13" t="inlineStr">
        <is>
          <t>Australia</t>
        </is>
      </c>
      <c r="B13" t="inlineStr">
        <is>
          <t>C2012C00866 (Australia - Row 12)</t>
        </is>
      </c>
      <c r="C13" t="inlineStr">
        <is>
          <t>7 (part 5)</t>
        </is>
      </c>
      <c r="D13" s="11" t="inlineStr">
        <is>
          <t>Schedules 4 to (cont.)</t>
        </is>
      </c>
      <c r="E13" t="inlineStr">
        <is>
          <t>32–38</t>
        </is>
      </c>
      <c r="F13" t="inlineStr">
        <is>
          <t>Unknown</t>
        </is>
      </c>
      <c r="G13" t="inlineStr">
        <is>
          <t>Low</t>
        </is>
      </c>
      <c r="H13" s="11" t="inlineStr"/>
      <c r="I13" s="11" t="inlineStr"/>
      <c r="J13" t="inlineStr"/>
      <c r="K13" s="11" t="inlineStr"/>
      <c r="L13" s="11" t="inlineStr"/>
      <c r="M13" s="11" t="inlineStr"/>
      <c r="N13" s="11" t="inlineStr"/>
      <c r="O13" s="12" t="inlineStr">
        <is>
          <t>Open PDF</t>
        </is>
      </c>
    </row>
    <row r="14">
      <c r="A14" t="inlineStr">
        <is>
          <t>Australia</t>
        </is>
      </c>
      <c r="B14" t="inlineStr">
        <is>
          <t>C2012C00866 (Australia - Row 12)</t>
        </is>
      </c>
      <c r="C14" t="inlineStr">
        <is>
          <t>7 (part 6)</t>
        </is>
      </c>
      <c r="D14" s="11" t="inlineStr">
        <is>
          <t>Exemptions for documents disclosing deliberative processes</t>
        </is>
      </c>
      <c r="E14" t="inlineStr">
        <is>
          <t>38–43</t>
        </is>
      </c>
      <c r="F14" t="inlineStr">
        <is>
          <t>Low</t>
        </is>
      </c>
      <c r="G14" t="inlineStr">
        <is>
          <t>High (explicit)</t>
        </is>
      </c>
      <c r="H14" s="11" t="inlineStr"/>
      <c r="I14" s="11" t="inlineStr">
        <is>
          <t>Personal Information</t>
        </is>
      </c>
      <c r="J14" t="inlineStr">
        <is>
          <t>Commonwealth</t>
        </is>
      </c>
      <c r="K14" s="11" t="inlineStr">
        <is>
          <t>This section specifies that documents involving deliberative processes (e.g., opinions, advice, recommendations) are conditionally exempt from disclosure unless disclosure would be contrary to the public interest. It excludes operational information and purely factual material. The exemption applies to Commonwealth and State agencies, with specific exceptions for certain types of reports and decisions.</t>
        </is>
      </c>
      <c r="L14" s="11" t="inlineStr">
        <is>
          <t>This section creates conditions for exempting documents involving internal deliberations, which may impact data transfer assessments when handling sensitive internal communications across jurisdictions.</t>
        </is>
      </c>
      <c r="M14" s="11" t="inlineStr">
        <is>
          <t>• [Must] A document is conditionally exempt if its disclosure would disclose matter in the nature of, or relating to, opinion, advice or recommendation obtained, prepared or recorded, or consultation or deliberation
• [Must Not] Deliberative matter does not include operational information
• [Must Not] Deliberative matter does not include purely factual material
• [Must Not] This section does not apply to reports of scientific or technical experts
• [Must Not] This section does not apply to reports of bodies or organisations established within an agency
• [Must Not] This section does not apply to the record of final decisions</t>
        </is>
      </c>
      <c r="N14" s="11" t="inlineStr">
        <is>
          <t>A document is conditionally exempt if its disclosure under this Act would disclose matter (deliberative matter) in the nature of, or relating to, opinion, advice or recommendation obtained, prepared or recorded, or consultation or deliberation that has taken place, in the course of, or for the purposes of, the deliberative processes involved in the functions of an agency or Minister or of the Government of the Commonwealth.</t>
        </is>
      </c>
      <c r="O14" s="12" t="inlineStr">
        <is>
          <t>Open PDF</t>
        </is>
      </c>
    </row>
    <row r="15">
      <c r="A15" t="inlineStr">
        <is>
          <t>Australia</t>
        </is>
      </c>
      <c r="B15" t="inlineStr">
        <is>
          <t>C2012C00866 (Australia - Row 12)</t>
        </is>
      </c>
      <c r="C15" t="inlineStr">
        <is>
          <t>7 (part 7)</t>
        </is>
      </c>
      <c r="D15" s="11" t="inlineStr">
        <is>
          <t>Exemptions for documents concerning business and professional affairs</t>
        </is>
      </c>
      <c r="E15" t="inlineStr">
        <is>
          <t>43–49</t>
        </is>
      </c>
      <c r="F15" t="inlineStr">
        <is>
          <t>High</t>
        </is>
      </c>
      <c r="G15" t="inlineStr">
        <is>
          <t>High (explicit)</t>
        </is>
      </c>
      <c r="H15" s="11" t="inlineStr"/>
      <c r="I15" s="11" t="inlineStr">
        <is>
          <t>Financial Data, Customer Data</t>
        </is>
      </c>
      <c r="J15" t="inlineStr">
        <is>
          <t>Commonwealth</t>
        </is>
      </c>
      <c r="K15" s="11" t="inlineStr">
        <is>
          <t>This section establishes that documents containing information about a person's business or professional affairs, or an organisation's business, commercial or financial affairs, may be conditionally exempt if disclosure would unreasonably affect that person or organisation. It excludes trade secrets and applies to Commonwealth and State agencies, with specific exceptions for certain types of requests.</t>
        </is>
      </c>
      <c r="L15" s="11" t="inlineStr">
        <is>
          <t>This section affects data transfer assessments by defining when business-related information can be exempted, which may impact cross-border data sharing involving sensitive commercial information.</t>
        </is>
      </c>
      <c r="M15" s="11" t="inlineStr">
        <is>
          <t>• [Must] A document is conditionally exempt if its disclosure would unreasonably affect a person's business or professional affairs
• [Must] A document is conditionally exempt if its disclosure would unreasonably affect an organisation's business, commercial or financial affairs
• [Must Not] Subsection (1) does not apply to trade secrets or other information covered by section 47
• [Must Not] Subsection (1) does not apply to requests by a person for information concerning their own business or professional affairs
• [Must Not] Subsection (1) does not apply to requests by a person for information concerning an organisation they own or act for</t>
        </is>
      </c>
      <c r="N15" s="11" t="inlineStr">
        <is>
          <t>A document is conditionally exempt if its disclosure under this Act would disclose information concerning a person in respect of his or her business or professional affairs or concerning the business, commercial or financial affairs of an organisation or undertaking, in a case in which the disclosure of the information: would, or could reasonably be expected to, unreasonably affect that person adversely in respect of his or her lawful business or professional affairs or that organisation or undertaking in respect of its lawful business, commercial or financial affairs</t>
        </is>
      </c>
      <c r="O15" s="12" t="inlineStr">
        <is>
          <t>Open PDF</t>
        </is>
      </c>
    </row>
    <row r="16">
      <c r="A16" t="inlineStr">
        <is>
          <t>Australia</t>
        </is>
      </c>
      <c r="B16" t="inlineStr">
        <is>
          <t>C2012C00866 (Australia - Row 12)</t>
        </is>
      </c>
      <c r="C16" t="inlineStr">
        <is>
          <t>7 (part 8)</t>
        </is>
      </c>
      <c r="D16" s="11" t="inlineStr">
        <is>
          <t>Definitions for Information Commissioner and Access Decisions</t>
        </is>
      </c>
      <c r="E16" t="inlineStr">
        <is>
          <t>49–57</t>
        </is>
      </c>
      <c r="F16" t="inlineStr">
        <is>
          <t>Low</t>
        </is>
      </c>
      <c r="G16" t="inlineStr">
        <is>
          <t>High (explicit)</t>
        </is>
      </c>
      <c r="H16" s="11" t="inlineStr">
        <is>
          <t>Third Party Processing</t>
        </is>
      </c>
      <c r="I16" s="11" t="inlineStr">
        <is>
          <t>Personal Information</t>
        </is>
      </c>
      <c r="J16" t="inlineStr">
        <is>
          <t>Information Commissioner</t>
        </is>
      </c>
      <c r="K16" s="11" t="inlineStr">
        <is>
          <t>This section adds specific definitions to the Freedom of Information Act 1982, including terms like 'access grant decision', 'access refusal decision', 'affected third party', and 'internal review'. These definitions clarify the scope of decisions subject to internal review and the parties involved in the review process. The definitions apply to agencies and the Information Commissioner when handling access requests to documents.</t>
        </is>
      </c>
      <c r="L16" s="11" t="inlineStr">
        <is>
          <t>Defines key terms used in internal and external reviews of access decisions, which impacts how data transfer impact assessments must account for decision-making processes and third-party involvement in data access requests.</t>
        </is>
      </c>
      <c r="M16" s="11" t="inlineStr">
        <is>
          <t>• [Definition] access grant decision has the meaning given by section 53B
• [Definition] access refusal decision has the meaning given by section 53A
• [Definition] affected third party has the meaning given by section 53C
• [Definition] internal review has the meaning given by sections 54 and 54A
• [Definition] IC review applicant has the meaning given by section 54J
• [Definition] IC review application has the meaning given by section 54H
• [Definition] implementation notice has the meaning given by section 89
• [Definition] Information Commissioner has the meaning given by the Australian Information Commissioner Act 2010
• [Definition] internal review applicant has the meaning given by section 54B
• [Definition] investigation recommendations has the meaning given by section 88
• [Definition] investigation results has the meaning given by section 87
• [Definition] respondent agency has the meaning given by subsections 69(2) and 70(2)
• [Definition] review parties has the meaning given by section 55A
• [Definition] vexatious applicant declaration has the meaning given by section 89K</t>
        </is>
      </c>
      <c r="N16" s="11" t="inlineStr">
        <is>
          <t>access grant decision has the meaning given by section 53B. access refusal decision has the meaning given by section 53A. affected third party has the meaning given by section 53C. internal review has the meaning given by sections 54 and 54A.</t>
        </is>
      </c>
      <c r="O16" s="12" t="inlineStr">
        <is>
          <t>Open PDF</t>
        </is>
      </c>
    </row>
    <row r="17">
      <c r="A17" t="inlineStr">
        <is>
          <t>Australia</t>
        </is>
      </c>
      <c r="B17" t="inlineStr">
        <is>
          <t>C2012C00866 (Australia - Row 12)</t>
        </is>
      </c>
      <c r="C17" t="inlineStr">
        <is>
          <t>7 (part 9)</t>
        </is>
      </c>
      <c r="D17" s="11" t="inlineStr">
        <is>
          <t>Schedules 4 to (cont.)</t>
        </is>
      </c>
      <c r="E17" t="inlineStr">
        <is>
          <t>57–62</t>
        </is>
      </c>
      <c r="F17" t="inlineStr">
        <is>
          <t>Unknown</t>
        </is>
      </c>
      <c r="G17" t="inlineStr">
        <is>
          <t>Low</t>
        </is>
      </c>
      <c r="H17" s="11" t="inlineStr"/>
      <c r="I17" s="11" t="inlineStr"/>
      <c r="J17" t="inlineStr"/>
      <c r="K17" s="11" t="inlineStr"/>
      <c r="L17" s="11" t="inlineStr"/>
      <c r="M17" s="11" t="inlineStr"/>
      <c r="N17" s="11" t="inlineStr"/>
      <c r="O17" s="12" t="inlineStr">
        <is>
          <t>Open PDF</t>
        </is>
      </c>
    </row>
    <row r="18">
      <c r="A18" t="inlineStr">
        <is>
          <t>Australia</t>
        </is>
      </c>
      <c r="B18" t="inlineStr">
        <is>
          <t>C2012C00866 (Australia - Row 12)</t>
        </is>
      </c>
      <c r="C18" t="inlineStr">
        <is>
          <t>7 (part 10)</t>
        </is>
      </c>
      <c r="D18" s="11" t="inlineStr">
        <is>
          <t>Information Commissioner review applications for access decisions</t>
        </is>
      </c>
      <c r="E18" t="inlineStr">
        <is>
          <t>62–68</t>
        </is>
      </c>
      <c r="F18" t="inlineStr">
        <is>
          <t>Low</t>
        </is>
      </c>
      <c r="G18" t="inlineStr">
        <is>
          <t>High (explicit)</t>
        </is>
      </c>
      <c r="H18" s="11" t="inlineStr"/>
      <c r="I18" s="11" t="inlineStr">
        <is>
          <t>Personal Information</t>
        </is>
      </c>
      <c r="J18" t="inlineStr">
        <is>
          <t>Information Commissioner</t>
        </is>
      </c>
      <c r="K18" s="11" t="inlineStr">
        <is>
          <t>This section establishes procedures for applying to the Information Commissioner for review of access refusal or access grant decisions. Agencies or Ministers must make decisions within specified timeframes after notice of the decision. Review applications must include copies of notices and details for communication. The Information Commissioner may extend time for applications if reasonable, and must notify affected third parties if required. The review process includes preliminary inquiries, discretion to not review, and procedures for handling applications.</t>
        </is>
      </c>
      <c r="L18" s="11" t="inlineStr">
        <is>
          <t>This section outlines review procedures for access decisions that impact data transfer and disclosure processes. It specifies time limits for applications, requirements for notifying affected third parties, and conditions under which the Information Commissioner may extend time or decide not to review a case. These elements affect how data access decisions are challenged and reviewed across jurisdictions.</t>
        </is>
      </c>
      <c r="M18" s="11" t="inlineStr">
        <is>
          <t>• [Must] IC review application must be in writing and include details of how notices may be sent
• [Must] IC review application must include a copy of the notice given under section 26 of the IC reviewable decision
• [May] IC review application may contain particulars of the basis for disputing the IC reviewable decision
• [Must] Information Commissioner must provide assistance to persons making IC review applications
• [Must] IC review application must be sent to the Information Commissioner via delivery, postage, or electronic communication
• [Must] Agency or Minister must notify affected third parties as soon as practicable if an IC review application is made for an access refusal decision
• [Must] Agency or Minister must give copy of notice to Information Commissioner
• [May] Information Commissioner may extend time for making IC review application if reasonable
• [May] Information Commissioner may require IC review applicant to notify specified persons affected by application
• [May] Person notified under subsection (4) may oppose application within time required by Information Commissioner
• [Must] Information Commissioner must give reasonable opportunity to present cases if opposition is made</t>
        </is>
      </c>
      <c r="N18" s="11" t="inlineStr">
        <is>
          <t>An IC review application must be in writing, and must: (a) give details of how notices under this Part may be sent to the IC review applicant; and (b) include a copy of the notice given under section 26 of the IC reviewable decision for which an IC review is sought.</t>
        </is>
      </c>
      <c r="O18" s="12" t="inlineStr">
        <is>
          <t>Open PDF</t>
        </is>
      </c>
    </row>
    <row r="19">
      <c r="A19" t="inlineStr">
        <is>
          <t>Australia</t>
        </is>
      </c>
      <c r="B19" t="inlineStr">
        <is>
          <t>C2012C00866 (Australia - Row 12)</t>
        </is>
      </c>
      <c r="C19" t="inlineStr">
        <is>
          <t>7 (part 11)</t>
        </is>
      </c>
      <c r="D19" s="11" t="inlineStr">
        <is>
          <t>Schedules 4 to (cont.)</t>
        </is>
      </c>
      <c r="E19" t="inlineStr">
        <is>
          <t>68–73</t>
        </is>
      </c>
      <c r="F19" t="inlineStr">
        <is>
          <t>Unknown</t>
        </is>
      </c>
      <c r="G19" t="inlineStr">
        <is>
          <t>Low</t>
        </is>
      </c>
      <c r="H19" s="11" t="inlineStr"/>
      <c r="I19" s="11" t="inlineStr"/>
      <c r="J19" t="inlineStr"/>
      <c r="K19" s="11" t="inlineStr"/>
      <c r="L19" s="11" t="inlineStr"/>
      <c r="M19" s="11" t="inlineStr"/>
      <c r="N19" s="11" t="inlineStr"/>
      <c r="O19" s="12" t="inlineStr">
        <is>
          <t>Open PDF</t>
        </is>
      </c>
    </row>
    <row r="20">
      <c r="A20" t="inlineStr">
        <is>
          <t>Australia</t>
        </is>
      </c>
      <c r="B20" t="inlineStr">
        <is>
          <t>C2012C00866 (Australia - Row 12)</t>
        </is>
      </c>
      <c r="C20" t="inlineStr">
        <is>
          <t>7 (part 12)</t>
        </is>
      </c>
      <c r="D20" s="11" t="inlineStr">
        <is>
          <t>IC review procedures for hearings and participation</t>
        </is>
      </c>
      <c r="E20" t="inlineStr">
        <is>
          <t>73–78</t>
        </is>
      </c>
      <c r="F20" t="inlineStr">
        <is>
          <t>Low</t>
        </is>
      </c>
      <c r="G20" t="inlineStr">
        <is>
          <t>High (explicit)</t>
        </is>
      </c>
      <c r="H20" s="11" t="inlineStr"/>
      <c r="I20" s="11" t="inlineStr">
        <is>
          <t>Personal Information</t>
        </is>
      </c>
      <c r="J20" t="inlineStr">
        <is>
          <t>Information Commissioner</t>
        </is>
      </c>
      <c r="K20" s="11" t="inlineStr">
        <is>
          <t>This section outlines procedures for conducting IC reviews, including conducting reviews with minimal formality, ensuring reasonable opportunity for review parties to present cases, and timely completion of reviews. The Information Commissioner must conduct reviews with minimal formality, provide review parties with reasonable opportunity to present their case, and complete reviews as promptly as possible given applicable laws and considerations. The Information Commissioner may also hold hearings publicly unless confidential matters prevent it, and may allow participation via alternative means such as telephone.</t>
        </is>
      </c>
      <c r="L20" s="11" t="inlineStr">
        <is>
          <t>This section details procedural requirements for IC reviews that impact data transfer impact assessments by specifying how the Information Commissioner conducts reviews with review parties, including hearing procedures and participation methods.</t>
        </is>
      </c>
      <c r="M20" s="11" t="inlineStr">
        <is>
          <t>• [Must] The Information Commissioner must conduct IC reviews with minimal formality and technicality given applicable laws and considerations
• [Must] The Information Commissioner must ensure each review party is given reasonable opportunity to present their case
• [Must] The Information Commissioner must conduct IC reviews in as timely a manner as possible given applicable considerations
• [May] The Information Commissioner may hold hearings publicly unless satisfied that confidentiality prevents it
• [May] The Information Commissioner may allow review parties to participate in hearings via alternative communication methods
• [May] The Information Commissioner may give written directions on IC review procedures</t>
        </is>
      </c>
      <c r="N20" s="11" t="inlineStr">
        <is>
          <t>The Information Commissioner must, in relation to an IC review: (a) conduct the IC review with as little formality and as little technicality as is possible given: (i) the requirements of this Act; (ii) the requirements of any other law; and (iii) a proper consideration of the matters before the Information Commissioner; (b) ensure that each review party is given a reasonable opportunity to present his or her case; and (c) conduct the IC review in as timely a manner as is possible given the matters mentioned in subparagraphs (a)(i) to (iii).</t>
        </is>
      </c>
      <c r="O20" s="12" t="inlineStr">
        <is>
          <t>Open PDF</t>
        </is>
      </c>
    </row>
    <row r="21">
      <c r="A21" t="inlineStr">
        <is>
          <t>Australia</t>
        </is>
      </c>
      <c r="B21" t="inlineStr">
        <is>
          <t>C2012C00866 (Australia - Row 12)</t>
        </is>
      </c>
      <c r="C21" t="inlineStr">
        <is>
          <t>7 (part 13)</t>
        </is>
      </c>
      <c r="D21" s="11" t="inlineStr">
        <is>
          <t>IC review procedures for legal questions and document handling</t>
        </is>
      </c>
      <c r="E21" t="inlineStr">
        <is>
          <t>78–83</t>
        </is>
      </c>
      <c r="F21" t="inlineStr">
        <is>
          <t>Low</t>
        </is>
      </c>
      <c r="G21" t="inlineStr">
        <is>
          <t>High (explicit)</t>
        </is>
      </c>
      <c r="H21" s="11" t="inlineStr"/>
      <c r="I21" s="11" t="inlineStr">
        <is>
          <t>Personal Information</t>
        </is>
      </c>
      <c r="J21" t="inlineStr">
        <is>
          <t>Information Commissioner</t>
        </is>
      </c>
      <c r="K21" s="11" t="inlineStr">
        <is>
          <t>This section details procedures for IC reviews, including the ability to refer questions of law to the Federal Court of Australia, sending relevant documents to the Federal Court, and the Information Commissioner's authority to make decisions on IC reviews. The Information Commissioner may refer questions of law to the Federal Court, send documents to the court, and publish decisions on IC reviews to the public. The Information Commissioner must also ensure compliance with decisions made during IC reviews.</t>
        </is>
      </c>
      <c r="L21" s="11" t="inlineStr">
        <is>
          <t>This section specifies procedures for IC reviews that impact data transfer impact assessments by detailing how the Information Commissioner handles legal questions, documents, and decisions during reviews.</t>
        </is>
      </c>
      <c r="M21" s="11" t="inlineStr">
        <is>
          <t>• [May] The Information Commissioner may refer questions of law to the Federal Court of Australia during an IC review
• [Must] The Information Commissioner must send all relevant documents to the Federal Court of Australia
• [Must] The Information Commissioner must publish IC review decisions to the public</t>
        </is>
      </c>
      <c r="N21" s="11" t="inlineStr">
        <is>
          <t>The Information Commissioner may, at any time during an IC review, refer a question of law arising in an IC review to the Federal Court of Australia for decision. The Information Commissioner must cause all documents and information in the possession of the Information Commissioner that relate to the IC review and to the reference to be sent to the Federal Court of Australia.</t>
        </is>
      </c>
      <c r="O21" s="12" t="inlineStr">
        <is>
          <t>Open PDF</t>
        </is>
      </c>
    </row>
    <row r="22">
      <c r="A22" t="inlineStr">
        <is>
          <t>Australia</t>
        </is>
      </c>
      <c r="B22" t="inlineStr">
        <is>
          <t>C2012C00866 (Australia - Row 12)</t>
        </is>
      </c>
      <c r="C22" t="inlineStr">
        <is>
          <t>7 (part 14)</t>
        </is>
      </c>
      <c r="D22" s="11" t="inlineStr">
        <is>
          <t>Information Commissioner's document handling powers during IC reviews</t>
        </is>
      </c>
      <c r="E22" t="inlineStr">
        <is>
          <t>83–89</t>
        </is>
      </c>
      <c r="F22" t="inlineStr">
        <is>
          <t>Low</t>
        </is>
      </c>
      <c r="G22" t="inlineStr">
        <is>
          <t>High (explicit)</t>
        </is>
      </c>
      <c r="H22" s="11" t="inlineStr"/>
      <c r="I22" s="11" t="inlineStr">
        <is>
          <t>Personal Information</t>
        </is>
      </c>
      <c r="J22" t="inlineStr">
        <is>
          <t>Information Commissioner</t>
        </is>
      </c>
      <c r="K22" s="11" t="inlineStr">
        <is>
          <t>This section outlines the Information Commissioner's authority to handle documents during IC reviews, including taking possession, making copies, extracting information, and holding documents for review purposes. It also mandates that the Commissioner must permit inspection by entitled parties at reasonable times. The provisions establish specific conditions for document access and production, particularly for exempt documents under national security or cabinet categories.</t>
        </is>
      </c>
      <c r="L22" s="11" t="inlineStr">
        <is>
          <t>These provisions define document handling procedures during IC reviews, impacting data transfer and storage by requiring specific access controls and document handling protocols for exempt documents, which may affect cross-border data flows involving sensitive national security information.</t>
        </is>
      </c>
      <c r="M22" s="11" t="inlineStr">
        <is>
          <t>• [Must] The Information Commissioner may take possession of documents produced in accordance with a notice
• [Must] The Information Commissioner may make copies of documents
• [Must] The Information Commissioner may take extracts from documents
• [Must] The Information Commissioner may hold documents for a period necessary for IC review
• [Must] The Information Commissioner must permit inspection by entitled parties for IC review
• [Must] The Information Commissioner must permit inspection at any reasonable time</t>
        </is>
      </c>
      <c r="N22" s="11" t="inlineStr">
        <is>
          <t>The Information Commissioner may do any of the following in relation to any documents produced in accordance with a notice under subsection 55R(3): (a) take possession of the documents; (b) make copies of the documents; (c) take extracts from the documents; (d) hold the documents for a period that is necessary for the purposes of the IC review.</t>
        </is>
      </c>
      <c r="O22" s="12" t="inlineStr">
        <is>
          <t>Open PDF</t>
        </is>
      </c>
    </row>
    <row r="23">
      <c r="A23" t="inlineStr">
        <is>
          <t>Australia</t>
        </is>
      </c>
      <c r="B23" t="inlineStr">
        <is>
          <t>C2012C00866 (Australia - Row 12)</t>
        </is>
      </c>
      <c r="C23" t="inlineStr">
        <is>
          <t>7 (part 15)</t>
        </is>
      </c>
      <c r="D23" s="11" t="inlineStr">
        <is>
          <t>Schedules 4 to (cont.)</t>
        </is>
      </c>
      <c r="E23" t="inlineStr">
        <is>
          <t>89–94</t>
        </is>
      </c>
      <c r="F23" t="inlineStr">
        <is>
          <t>Unknown</t>
        </is>
      </c>
      <c r="G23" t="inlineStr">
        <is>
          <t>Low</t>
        </is>
      </c>
      <c r="H23" s="11" t="inlineStr"/>
      <c r="I23" s="11" t="inlineStr"/>
      <c r="J23" t="inlineStr"/>
      <c r="K23" s="11" t="inlineStr"/>
      <c r="L23" s="11" t="inlineStr"/>
      <c r="M23" s="11" t="inlineStr"/>
      <c r="N23" s="11" t="inlineStr"/>
      <c r="O23" s="12" t="inlineStr">
        <is>
          <t>Open PDF</t>
        </is>
      </c>
    </row>
    <row r="24">
      <c r="A24" t="inlineStr">
        <is>
          <t>Australia</t>
        </is>
      </c>
      <c r="B24" t="inlineStr">
        <is>
          <t>C2012C00866 (Australia - Row 12)</t>
        </is>
      </c>
      <c r="C24" t="inlineStr">
        <is>
          <t>7 (part 16)</t>
        </is>
      </c>
      <c r="D24" s="11" t="inlineStr">
        <is>
          <t>Tribunal powers for document searches and record amendments</t>
        </is>
      </c>
      <c r="E24" t="inlineStr">
        <is>
          <t>94–99</t>
        </is>
      </c>
      <c r="F24" t="inlineStr">
        <is>
          <t>Low</t>
        </is>
      </c>
      <c r="G24" t="inlineStr">
        <is>
          <t>High (explicit)</t>
        </is>
      </c>
      <c r="H24" s="11" t="inlineStr"/>
      <c r="I24" s="11" t="inlineStr">
        <is>
          <t>Personal Information</t>
        </is>
      </c>
      <c r="J24" t="inlineStr">
        <is>
          <t>Information Commissioner</t>
        </is>
      </c>
      <c r="K24" s="11" t="inlineStr">
        <is>
          <t>This section amends the Administrative Appeals Tribunal Act 1975 by inserting new powers for the Tribunal to require further searches for documents when access is refused or purportedly granted. It also establishes conditions under which amendments to records of opinions can be made, including requirements that the opinion was based on a mistake of fact or the author was biased. The Tribunal must not amend records that are court decisions or involve matters already determined by internal review, the Information Commissioner, courts, or tribunals.</t>
        </is>
      </c>
      <c r="L24" s="11" t="inlineStr">
        <is>
          <t>This section affects data transfer impact assessments by establishing conditions under which the Tribunal may require further document searches and amend records of opinions, with specific restrictions on amending court-related records or decisions involving prior determinations.</t>
        </is>
      </c>
      <c r="M24" s="11" t="inlineStr">
        <is>
          <t>• [Must] Tribunal may require further searches for documents when access is refused or purportedly granted
• [Must] Tribunal may make a decision requiring amendment to a record of an opinion if the opinion was based on a mistake of fact or the author was biased
• [Must Not] Tribunal must not amend records that are court decisions
• [Must Not] Tribunal must not amend records if the decision involves matters already determined by internal review, Information Commissioner, courts, or tribunals</t>
        </is>
      </c>
      <c r="N24" s="11" t="inlineStr">
        <is>
          <t>58AA (1) The Tribunal may, in a decision on an application to the Tribunal under section 57A, make a decision that requires, or that has the effect of requiring, that an amendment be made to a record that relates to a record of an opinion only if the Tribunal is satisfied of either (or both) of the following: (a) the opinion was based on a mistake of fact; (b) the author of the opinion was biased, unqualified to form the opinion or acted improperly in conducting the factual inquiries that led to the formation of the opinion. (2) The Tribunal must not, in a decision on an application under section 57A, make a decision that requires, or that has the effect of requiring, that an amendment be made to a record if it is satisfied of either of the following: (a) the record is a record of a decision, under an enactment, by a court, tribunal, authority or person; (b) the decision whether to amend the record involves the determination of a question that the person seeking amendment of the record is, or has been, entitled to have determined by the agency (on internal review), the Information Commissioner, a court or tribunal.</t>
        </is>
      </c>
      <c r="O24" s="12" t="inlineStr">
        <is>
          <t>Open PDF</t>
        </is>
      </c>
    </row>
    <row r="25">
      <c r="A25" t="inlineStr">
        <is>
          <t>Australia</t>
        </is>
      </c>
      <c r="B25" t="inlineStr">
        <is>
          <t>C2012C00866 (Australia - Row 12)</t>
        </is>
      </c>
      <c r="C25" t="inlineStr">
        <is>
          <t>7 (part 17)</t>
        </is>
      </c>
      <c r="D25" s="11" t="inlineStr">
        <is>
          <t>Tribunal procedures for third-party notifications and onus of proof</t>
        </is>
      </c>
      <c r="E25" t="inlineStr">
        <is>
          <t>99–105</t>
        </is>
      </c>
      <c r="F25" t="inlineStr">
        <is>
          <t>Low</t>
        </is>
      </c>
      <c r="G25" t="inlineStr">
        <is>
          <t>High (explicit)</t>
        </is>
      </c>
      <c r="H25" s="11" t="inlineStr"/>
      <c r="I25" s="11" t="inlineStr">
        <is>
          <t>Personal Information</t>
        </is>
      </c>
      <c r="J25" t="inlineStr">
        <is>
          <t>Information Commissioner</t>
        </is>
      </c>
      <c r="K25" s="11" t="inlineStr">
        <is>
          <t>This section amends the Administrative Appeals Tribunal Act 1975 by requiring agencies or Ministers to notify affected third parties when a review application is made for document access. It also specifies circumstances where notification is not required, such as when notifying would prejudice legal investigations, enforcement, confidential sources, safety, or national security. The onus of proof shifts to the agency or Minister when they apply for review, or to the affected third party when they are a party to the proceeding.</t>
        </is>
      </c>
      <c r="L25" s="11" t="inlineStr">
        <is>
          <t>This section impacts data transfer impact assessments by requiring notification of affected third parties in certain cross-border data access reviews, with specific exemptions related to legal investigations, confidential sources, safety, and national security.</t>
        </is>
      </c>
      <c r="M25" s="11" t="inlineStr">
        <is>
          <t>• [Must] Agency or Minister must notify affected third parties as soon as practicable when a review application is made for document access
• [Must Not] Notification is not required if notifying would prejudice legal investigations, enforcement, confidential sources, safety, or national security
• [Must] Affected third party has onus of proof if they are a party to the proceeding</t>
        </is>
      </c>
      <c r="N25" s="11" t="inlineStr">
        <is>
          <t>60AA (2) The agency to which, or the Minister to whom, the request was made for access to the document must, as soon as practicable, take all reasonable steps to notify the affected third party for the document of the application to the Tribunal. (2) An agency or Minister is not required to notify an affected third party for the document under subsection 60AA(2) if: (a) the agency or the Minister applies to the Tribunal for an order that it would not be appropriate to notify the affected third party in the circumstances covered by subsection (3); and (b) the Tribunal makes the order. (3) The circumstances covered by this subsection are whether notifying the affected third party would, or could reasonably be expected to, do any of the following: (a) prejudice the conduct of an investigation of a breach, or possible breach, of the law, or a failure, or possible failure, to comply with a law relating to taxation; (b) prejudice the enforcement or proper administration of the law in a particular instance; (c) disclose, or enable a person to ascertain, the existence or identity of a confidential source of information, or the non-existence of a confidential source of information, in relation to the enforcement or administration of the law; (d) endanger the life or physical safety of any person; (e) cause damage to the security, defence or international relations of the Commonwealth.</t>
        </is>
      </c>
      <c r="O25" s="12" t="inlineStr">
        <is>
          <t>Open PDF</t>
        </is>
      </c>
    </row>
    <row r="26">
      <c r="A26" t="inlineStr">
        <is>
          <t>Australia</t>
        </is>
      </c>
      <c r="B26" t="inlineStr">
        <is>
          <t>C2012C00866 (Australia - Row 12)</t>
        </is>
      </c>
      <c r="C26" t="inlineStr">
        <is>
          <t>7 (part 18)</t>
        </is>
      </c>
      <c r="D26" s="11" t="inlineStr">
        <is>
          <t>Information Commissioner investigations and complaints procedures</t>
        </is>
      </c>
      <c r="E26" t="inlineStr">
        <is>
          <t>105</t>
        </is>
      </c>
      <c r="F26" t="inlineStr">
        <is>
          <t>Low</t>
        </is>
      </c>
      <c r="G26" t="inlineStr">
        <is>
          <t>High (explicit)</t>
        </is>
      </c>
      <c r="H26" s="11" t="inlineStr"/>
      <c r="I26" s="11" t="inlineStr">
        <is>
          <t>Personal Information</t>
        </is>
      </c>
      <c r="J26" t="inlineStr">
        <is>
          <t>Information Commissioner</t>
        </is>
      </c>
      <c r="K26" s="11" t="inlineStr">
        <is>
          <t>This section establishes procedures for the Information Commissioner to investigate complaints about agency actions under the Freedom of Information Act. It requires complaints to be in writing and identify the agency, allows the Information Commissioner to conduct preliminary inquiries, and provides discretion to not investigate complaints if the action is not within the agency's functions, the complainant has rights to review or complain elsewhere, or the complaint is frivolous. It also outlines procedures for transferring complaints to the Ombudsman when appropriate.</t>
        </is>
      </c>
      <c r="L26" s="11" t="inlineStr">
        <is>
          <t>This section affects data transfer impact assessments by defining procedures for investigating complaints about data access decisions, including when to transfer complaints to the Ombudsman for cross-border or multi-jurisdictional matters.</t>
        </is>
      </c>
      <c r="M26" s="11" t="inlineStr">
        <is>
          <t>• [Must] Complaints must be in writing and identify the agency
• [May] Information Commissioner may investigate complaints about agency actions
• [Must Not] Information Commissioner may decide not to investigate if the action is not within agency functions
• [Must Not] Information Commissioner may decide not to investigate if the complainant has rights to review or complain elsewhere
• [May] Information Commissioner may transfer complaints to Ombudsman if more effectively handled there</t>
        </is>
      </c>
      <c r="N26" s="11" t="inlineStr">
        <is>
          <t>70 (1) A person (the complainant) may complain to the Information Commissioner about an action taken by an agency in the performance of functions, or the exercise of powers, under this Act. (2) A complaint must: (a) be in writing; and (b) identify the agency (also the respondent agency) in respect of which the complaint is made. (3) The Office of the Australian Information Commissioner must provide appropriate assistance to a person who: (a) wishes to make a complaint; and (b) requires assistance to formulate the complaint. 74 (1) This section applies if the Information Commissioner is satisfied that a complaint about an action could be more effectively or appropriately dealt with by the Ombudsman under the Ombudsman Act 1976. (2) The Information Commissioner: (a) must consult the Ombudsman about the complaint with a view to avoiding inquiries being conducted into that matter by both the Information Commissioner and the Ombudsman; and (b) may decide not to investigate the action, or not to continue to investigate the action.</t>
        </is>
      </c>
      <c r="O26" s="12" t="inlineStr">
        <is>
          <t>Open PDF</t>
        </is>
      </c>
    </row>
    <row r="27">
      <c r="A27" t="inlineStr">
        <is>
          <t>Australia</t>
        </is>
      </c>
      <c r="B27" t="inlineStr">
        <is>
          <t>C2012C00866 (Australia - Row 12)</t>
        </is>
      </c>
      <c r="C27" t="inlineStr">
        <is>
          <t>16</t>
        </is>
      </c>
      <c r="D27" s="11" t="inlineStr">
        <is>
          <t>Commencement date for Schedule 2 item 16</t>
        </is>
      </c>
      <c r="E27" t="inlineStr">
        <is>
          <t>176</t>
        </is>
      </c>
      <c r="F27" t="inlineStr">
        <is>
          <t>None</t>
        </is>
      </c>
      <c r="G27" t="inlineStr">
        <is>
          <t>High (explicit)</t>
        </is>
      </c>
      <c r="H27" s="11" t="inlineStr"/>
      <c r="I27" s="11" t="inlineStr"/>
      <c r="J27" t="inlineStr"/>
      <c r="K27" s="11" t="inlineStr">
        <is>
          <t>This section specifies that Schedule 2, item 16 commences immediately after the commencement date of item 23 in Schedule 3 of the Freedom of Information Amendment (Reform) Act 2010, which is set for 1 November 2010.</t>
        </is>
      </c>
      <c r="L27" s="11" t="inlineStr"/>
      <c r="M27" s="11" t="inlineStr">
        <is>
          <t>• [Condition] Schedule 2, item 16 commences immediately after the time specified in the Freedom of Information Amendment (Reform) Act 2010 for the commencement of item 23 of Schedule 3 to that Act.</t>
        </is>
      </c>
      <c r="N27" s="11" t="inlineStr">
        <is>
          <t>16. Schedule 2, item 16 Immediately after the time specified in the Freedom of Information Amendment (Reform) Act 2010 for the commencement of item 23 of Schedule 3 to that Act. 1 November 2010</t>
        </is>
      </c>
      <c r="O27" s="12" t="inlineStr">
        <is>
          <t>Open PDF</t>
        </is>
      </c>
    </row>
    <row r="28">
      <c r="A28" t="inlineStr">
        <is>
          <t>Australia</t>
        </is>
      </c>
      <c r="B28" t="inlineStr">
        <is>
          <t>C2012C00866 (Australia - Row 12)</t>
        </is>
      </c>
      <c r="C28" t="inlineStr">
        <is>
          <t>17</t>
        </is>
      </c>
      <c r="D28" s="11" t="inlineStr">
        <is>
          <t>Commencement date for Schedule 2 items 17 and 18</t>
        </is>
      </c>
      <c r="E28" t="inlineStr">
        <is>
          <t>176–177</t>
        </is>
      </c>
      <c r="F28" t="inlineStr">
        <is>
          <t>None</t>
        </is>
      </c>
      <c r="G28" t="inlineStr">
        <is>
          <t>High (explicit)</t>
        </is>
      </c>
      <c r="H28" s="11" t="inlineStr"/>
      <c r="I28" s="11" t="inlineStr"/>
      <c r="J28" t="inlineStr"/>
      <c r="K28" s="11" t="inlineStr">
        <is>
          <t>This section specifies that Schedule 2, items 17 and 18 commence immediately after the commencement date of Schedule 4 to the Freedom of Information Amendment (Reform) Act 2010, which is set for 1 November 2010.</t>
        </is>
      </c>
      <c r="L28" s="11" t="inlineStr"/>
      <c r="M28" s="11" t="inlineStr">
        <is>
          <t>• [Condition] Schedule 2, items 17 and 18 commence immediately after the time specified in the Freedom of Information Amendment (Reform) Act 2010 for the commencement of Schedule 4 to that Act.</t>
        </is>
      </c>
      <c r="N28" s="11" t="inlineStr">
        <is>
          <t>17. Schedule 2, items 17 and 18 Immediately after the time specified in the Freedom of Information Amendment (Reform) Act 2010 for the commencement of Schedule 4 to that Act. 1 November 2010</t>
        </is>
      </c>
      <c r="O28" s="12" t="inlineStr">
        <is>
          <t>Open PDF</t>
        </is>
      </c>
    </row>
    <row r="29">
      <c r="A29" t="inlineStr">
        <is>
          <t>Australia</t>
        </is>
      </c>
      <c r="B29" t="inlineStr">
        <is>
          <t>C2012C00866 (Australia - Row 12)</t>
        </is>
      </c>
      <c r="C29" t="inlineStr">
        <is>
          <t>1976</t>
        </is>
      </c>
      <c r="D29" s="11" t="inlineStr">
        <is>
          <t>Notice requirements for Information Commissioner investigations</t>
        </is>
      </c>
      <c r="E29" t="inlineStr">
        <is>
          <t>105–111</t>
        </is>
      </c>
      <c r="F29" t="inlineStr">
        <is>
          <t>Low</t>
        </is>
      </c>
      <c r="G29" t="inlineStr">
        <is>
          <t>High (explicit)</t>
        </is>
      </c>
      <c r="H29" s="11" t="inlineStr"/>
      <c r="I29" s="11" t="inlineStr">
        <is>
          <t>Personal Information</t>
        </is>
      </c>
      <c r="J29" t="inlineStr">
        <is>
          <t>Information Commissioner</t>
        </is>
      </c>
      <c r="K29" s="11" t="inlineStr">
        <is>
          <t>Before starting an investigation, the Information Commissioner must notify the respondent agency in writing. If the Commissioner decides not to investigate or stop an investigation, they must notify the complainant and respondent agency within 14 days, including reasons for the decision. This ensures transparency and accountability in the investigation process.</t>
        </is>
      </c>
      <c r="L29" s="11" t="inlineStr">
        <is>
          <t>Requires written notification to respondent agency before investigation start and decision on non-investigation must be communicated with reasons. Relevant for DTIA as it sets procedural safeguards for investigations.</t>
        </is>
      </c>
      <c r="M29" s="11" t="inlineStr">
        <is>
          <t>• [Must] Before beginning an investigation, the Information Commissioner must notify the respondent agency in writing.
• [Must] If the Information Commissioner decides not to investigate or not to continue an investigation, they must notify the complainant and respondent agency within 14 days with reasons.</t>
        </is>
      </c>
      <c r="N29" s="11" t="inlineStr">
        <is>
          <t>Before beginning an investigation, the Information Commissioner must notify the respondent agency in writing. Notice of decision not to investigate, or not to continue to investigate must be notified to complainant and respondent agency within 14 days with reasons.</t>
        </is>
      </c>
      <c r="O29" s="12" t="inlineStr">
        <is>
          <t>Open PDF</t>
        </is>
      </c>
    </row>
    <row r="30">
      <c r="A30" t="inlineStr">
        <is>
          <t>Australia</t>
        </is>
      </c>
      <c r="B30" t="inlineStr">
        <is>
          <t>C2012C00866 (Australia - Row 12)</t>
        </is>
      </c>
      <c r="C30" t="inlineStr">
        <is>
          <t>1976 (part 2)</t>
        </is>
      </c>
      <c r="D30" s="11" t="inlineStr">
        <is>
          <t>Note: (cont.)</t>
        </is>
      </c>
      <c r="E30" t="inlineStr">
        <is>
          <t>111–117</t>
        </is>
      </c>
      <c r="F30" t="inlineStr">
        <is>
          <t>Unknown</t>
        </is>
      </c>
      <c r="G30" t="inlineStr">
        <is>
          <t>Low</t>
        </is>
      </c>
      <c r="H30" s="11" t="inlineStr"/>
      <c r="I30" s="11" t="inlineStr"/>
      <c r="J30" t="inlineStr"/>
      <c r="K30" s="11" t="inlineStr"/>
      <c r="L30" s="11" t="inlineStr"/>
      <c r="M30" s="11" t="inlineStr"/>
      <c r="N30" s="11" t="inlineStr"/>
      <c r="O30" s="12" t="inlineStr">
        <is>
          <t>Open PDF</t>
        </is>
      </c>
    </row>
    <row r="31">
      <c r="A31" t="inlineStr">
        <is>
          <t>Australia</t>
        </is>
      </c>
      <c r="B31" t="inlineStr">
        <is>
          <t>C2012C00866 (Australia - Row 12)</t>
        </is>
      </c>
      <c r="C31" t="inlineStr">
        <is>
          <t>1976 (part 3)</t>
        </is>
      </c>
      <c r="D31" s="11" t="inlineStr">
        <is>
          <t>Complaints to Ombudsman: Reporting Restrictions</t>
        </is>
      </c>
      <c r="E31" t="inlineStr">
        <is>
          <t>117–122</t>
        </is>
      </c>
      <c r="F31" t="inlineStr">
        <is>
          <t>Medium</t>
        </is>
      </c>
      <c r="G31" t="inlineStr">
        <is>
          <t>High (explicit)</t>
        </is>
      </c>
      <c r="H31" s="11" t="inlineStr"/>
      <c r="I31" s="11" t="inlineStr">
        <is>
          <t>Personal Information</t>
        </is>
      </c>
      <c r="J31" t="inlineStr">
        <is>
          <t>Ombudsman</t>
        </is>
      </c>
      <c r="K31" s="11" t="inlineStr">
        <is>
          <t>This section requires that reports to the Ombudsman under the Ombudsman Act 1976 must exclude exempt matters and information specified in subsection 25(1) of the Ombudsman Act. The restriction applies to reports related to actions taken under the Freedom of Information Act 1982. Complaints must be made in good faith to trigger these obligations.</t>
        </is>
      </c>
      <c r="L31" s="11" t="inlineStr">
        <is>
          <t>Reports involving cross-border data transfers must exclude exempt information to prevent disclosure of sensitive data. This affects data sharing with third parties and international data flows.</t>
        </is>
      </c>
      <c r="M31" s="11" t="inlineStr">
        <is>
          <t>• [Must Not] A report under subsection 12(3) or section 15 or 17 of the Ombudsman Act 1976 in relation to an action taken under this Act must not include exempt matter
• [Must Not] A report under subsection 12(3) or section 15 or 17 of the Ombudsman Act 1976 in relation to an action taken under this Act must not include information of the kind referred to in subsection 25(1)</t>
        </is>
      </c>
      <c r="N31" s="11" t="inlineStr">
        <is>
          <t>A report under subsection 12(3) or section 15 or 17 of the Ombudsman Act 1976 in relation to an action taken under this Act must not include: (a) exempt matter; or (b) information of the kind referred to in subsection 25(1).</t>
        </is>
      </c>
      <c r="O31" s="12" t="inlineStr">
        <is>
          <t>Open PDF</t>
        </is>
      </c>
    </row>
    <row r="32">
      <c r="A32" t="inlineStr">
        <is>
          <t>Australia</t>
        </is>
      </c>
      <c r="B32" t="inlineStr">
        <is>
          <t>C2012C00866 (Australia - Row 12)</t>
        </is>
      </c>
      <c r="C32" t="inlineStr">
        <is>
          <t>1976 (part 4)</t>
        </is>
      </c>
      <c r="D32" s="11" t="inlineStr">
        <is>
          <t>Vexatious Applicants: Declaration and Restrictions</t>
        </is>
      </c>
      <c r="E32" t="inlineStr">
        <is>
          <t>122–129</t>
        </is>
      </c>
      <c r="F32" t="inlineStr">
        <is>
          <t>High</t>
        </is>
      </c>
      <c r="G32" t="inlineStr">
        <is>
          <t>High (explicit)</t>
        </is>
      </c>
      <c r="H32" s="11" t="inlineStr"/>
      <c r="I32" s="11" t="inlineStr">
        <is>
          <t>Personal Information</t>
        </is>
      </c>
      <c r="J32" t="inlineStr">
        <is>
          <t>Information Commissioner</t>
        </is>
      </c>
      <c r="K32" s="11" t="inlineStr">
        <is>
          <t>This section allows the Information Commissioner to declare a person a vexatious applicant if they repeatedly engage in access actions with abuse of process, manifestly unreasonable actions, or specific abusive behaviors. The declaration may restrict the person from making requests, amendments to records, internal reviews, or IC reviews without written permission from the Information Commissioner.</t>
        </is>
      </c>
      <c r="L32" s="11" t="inlineStr">
        <is>
          <t>Vexatious applicants cannot access sensitive data without authorization, impacting data sharing and cross-border transfers. This affects data subject rights and third-party processing.</t>
        </is>
      </c>
      <c r="M32" s="11" t="inlineStr">
        <is>
          <t>• [May] The Information Commissioner may declare a person a vexatious applicant if they repeatedly engage in access actions involving abuse of the process
• [May] The Information Commissioner may declare a person a vexatious applicant if a particular access action involves abuse of the process
• [May] The Information Commissioner may declare a person a vexatious applicant if a particular access action would be manifestly unreasonable
• [May] A vexatious applicant declaration may restrict an agency or Minister from considering requests without written permission from the Information Commissioner
• [May] A vexatious applicant declaration may restrict the Information Commissioner from considering IC review applications made by the person</t>
        </is>
      </c>
      <c r="N32" s="11" t="inlineStr">
        <is>
          <t>The Information Commissioner may, by written instrument (a vexatious applicant declaration), declare a person to be a vexatious applicant.</t>
        </is>
      </c>
      <c r="O32" s="12" t="inlineStr">
        <is>
          <t>Open PDF</t>
        </is>
      </c>
    </row>
    <row r="33">
      <c r="A33" t="inlineStr">
        <is>
          <t>Australia</t>
        </is>
      </c>
      <c r="B33" t="inlineStr">
        <is>
          <t>C2012C00866 (Australia - Row 12)</t>
        </is>
      </c>
      <c r="C33" t="inlineStr">
        <is>
          <t>1976 (part 5)</t>
        </is>
      </c>
      <c r="D33" s="11" t="inlineStr">
        <is>
          <t>Replaces Privacy Commissioner with Information Commissioner in multiple acts</t>
        </is>
      </c>
      <c r="E33" t="inlineStr">
        <is>
          <t>129–131</t>
        </is>
      </c>
      <c r="F33" t="inlineStr">
        <is>
          <t>Low</t>
        </is>
      </c>
      <c r="G33" t="inlineStr">
        <is>
          <t>High (explicit)</t>
        </is>
      </c>
      <c r="H33" s="11" t="inlineStr">
        <is>
          <t>Cross-border Transfer, International Processing, Data Storage, Data Residency, Security, Consent, Customer Information, Employee Information, Special Personal Information, Children, Financial Data, KYC, AML, Governance, Record Keeping</t>
        </is>
      </c>
      <c r="I33" s="11" t="inlineStr">
        <is>
          <t>Personal Information</t>
        </is>
      </c>
      <c r="J33" t="inlineStr"/>
      <c r="K33" s="11" t="inlineStr">
        <is>
          <t>This section lists amendments to various Australian laws that replace references to the 'Privacy Commissioner' with 'Information Commissioner' in specific sections or definitions. The changes apply across multiple acts including the Australian Citizenship Act, Australian Human Rights Commission Act, Crimes Act, and others. These amendments update the legal references to align with the establishment of the Office of the Australian Information Commissioner.</t>
        </is>
      </c>
      <c r="L33" s="11" t="inlineStr">
        <is>
          <t>This section updates legal references to the Information Commissioner across multiple acts, which may affect data transfer mechanisms where the Commissioner's role is involved in privacy functions. However, it does not directly impose new transfer restrictions.</t>
        </is>
      </c>
      <c r="M33" s="11" t="inlineStr">
        <is>
          <t>• [Must] Omit 'Privacy Commissioner', substitute 'Information Commissioner in relation to matters that relate to the privacy functions (within the meaning of the Australian Information Commissioner Act 2010)'
• [Must] Omit 'Privacy Commissioner', substitute 'Information Commissioner'
• [Must] Repeal the definition of Privacy Commissioner
• [Must] Omit 'Privacy Commissioner' (wherever occurring), substitute 'Information Commissioner'
• [Must] Omit 'Privacy Commissioner' (first occurring), substitute 'Information Commissioner in relation to matters that relate to the privacy functions (within the meaning of the Australian Information Commissioner Act 2010)'
• [Must] Omit 'Privacy Commissioner' (last occurring), substitute 'Information Commissioner'</t>
        </is>
      </c>
      <c r="N33" s="11" t="inlineStr">
        <is>
          <t>Amendments consequential on the establishment of the Office of the Australian Information Commissioner Schedule 5</t>
        </is>
      </c>
      <c r="O33" s="12" t="inlineStr">
        <is>
          <t>Open PDF</t>
        </is>
      </c>
    </row>
    <row r="34">
      <c r="A34" t="inlineStr">
        <is>
          <t>Australia</t>
        </is>
      </c>
      <c r="B34" t="inlineStr">
        <is>
          <t>C2012C00866 (Australia - Row 12)</t>
        </is>
      </c>
      <c r="C34" t="inlineStr">
        <is>
          <t>2010</t>
        </is>
      </c>
      <c r="D34" s="11" t="inlineStr">
        <is>
          <t>Replaces Privacy Commissioner with Information Commissioner in Freedom of Information Act</t>
        </is>
      </c>
      <c r="E34" t="inlineStr">
        <is>
          <t>131–132</t>
        </is>
      </c>
      <c r="F34" t="inlineStr">
        <is>
          <t>Low</t>
        </is>
      </c>
      <c r="G34" t="inlineStr">
        <is>
          <t>High (explicit)</t>
        </is>
      </c>
      <c r="H34" s="11" t="inlineStr">
        <is>
          <t>Cross-border Transfer, International Processing, Data Storage, Data Residency, Security, Consent, Customer Information, Employee Information, Special Personal Information, Children, Financial Data, KYC, AML, Governance, Record Keeping</t>
        </is>
      </c>
      <c r="I34" s="11" t="inlineStr">
        <is>
          <t>Personal Information</t>
        </is>
      </c>
      <c r="J34" t="inlineStr"/>
      <c r="K34" s="11" t="inlineStr">
        <is>
          <t>This section lists amendments to the Freedom of Information Act 1982 that replace references to the 'Privacy Commissioner' with 'Information Commissioner' in specific sections and definitions. The changes include updating definitions, headings, and sections to align with the new Information Commissioner role, ensuring consistency across Commonwealth contracts and agency documents.</t>
        </is>
      </c>
      <c r="L34" s="11" t="inlineStr">
        <is>
          <t>These amendments update legal references to the Information Commissioner in the Freedom of Information Act, which may impact data handling and disclosure practices but do not directly affect cross-border data transfers.</t>
        </is>
      </c>
      <c r="M34" s="11" t="inlineStr">
        <is>
          <t>• [Must] Omit 'Privacy Commissioner', substitute 'Information Commissioner'
• [Must] Omit 'Privacy Commissioner's', substitute 'Information Commissioner's'
• [Must] Omit 'Privacy Commissioner', substitute 'Information Commissioner in relation to matters that relate to the privacy functions (within the meaning of the Australian Information Commissioner Act 2010)'
• [Must] Repeal the section, substitute: Guidelines relating to privacy</t>
        </is>
      </c>
      <c r="N34" s="11" t="inlineStr">
        <is>
          <t>Amendments consequential on the establishment of the Office of the Australian Information Commissioner Schedule 5</t>
        </is>
      </c>
      <c r="O34" s="12" t="inlineStr">
        <is>
          <t>Open PDF</t>
        </is>
      </c>
    </row>
    <row r="35">
      <c r="A35" t="inlineStr">
        <is>
          <t>Australia</t>
        </is>
      </c>
      <c r="B35" t="inlineStr">
        <is>
          <t>C2012C00866 (Australia - Row 12)</t>
        </is>
      </c>
      <c r="C35" t="inlineStr">
        <is>
          <t>2010</t>
        </is>
      </c>
      <c r="D35" s="11" t="inlineStr">
        <is>
          <t>Replaces Privacy Commissioner with Information Commissioner in Freedom of Information Act</t>
        </is>
      </c>
      <c r="E35" t="inlineStr">
        <is>
          <t>132–135</t>
        </is>
      </c>
      <c r="F35" t="inlineStr">
        <is>
          <t>Low</t>
        </is>
      </c>
      <c r="G35" t="inlineStr">
        <is>
          <t>High (explicit)</t>
        </is>
      </c>
      <c r="H35" s="11" t="inlineStr">
        <is>
          <t>Cross-border Transfer, International Processing, Data Storage, Data Residency, Security, Consent, Customer Information, Employee Information, Special Personal Information, Children, Financial Data, KYC, AML, Governance, Record Keeping</t>
        </is>
      </c>
      <c r="I35" s="11" t="inlineStr">
        <is>
          <t>Personal Information</t>
        </is>
      </c>
      <c r="J35" t="inlineStr"/>
      <c r="K35" s="11" t="inlineStr">
        <is>
          <t>This section lists amendments to the Freedom of Information Act 1982 that replace references to the 'Privacy Commissioner' with 'Information Commissioner' in specific sections and definitions. The changes include updating definitions, headings, and sections to align with the new Information Commissioner role, ensuring consistency across Commonwealth contracts and agency documents.</t>
        </is>
      </c>
      <c r="L35" s="11" t="inlineStr">
        <is>
          <t>These amendments update legal references to the Information Commissioner in the Freedom of Information Act, which may impact data handling and disclosure practices but do not directly affect cross-border data transfers.</t>
        </is>
      </c>
      <c r="M35" s="11" t="inlineStr">
        <is>
          <t>• [Must] Omit 'Privacy Commissioner', substitute 'Information Commissioner'
• [Must] Omit 'Privacy Commissioner's', substitute 'Information Commissioner's'
• [Must] Omit 'Privacy Commissioner', substitute 'Information Commissioner in relation to matters that relate to the privacy functions (within the meaning of the Australian Information Commissioner Act 2010)'
• [Must] Repeal the section, substitute: Guidelines relating to privacy</t>
        </is>
      </c>
      <c r="N35" s="11" t="inlineStr">
        <is>
          <t>Amendments consequential on the establishment of the Office of the Australian Information Commissioner Schedule 5</t>
        </is>
      </c>
      <c r="O35" s="12" t="inlineStr">
        <is>
          <t>Open PDF</t>
        </is>
      </c>
    </row>
    <row r="36">
      <c r="A36" t="inlineStr">
        <is>
          <t>Australia</t>
        </is>
      </c>
      <c r="B36" t="inlineStr">
        <is>
          <t>C2012C00866 (Australia - Row 12)</t>
        </is>
      </c>
      <c r="C36" t="inlineStr">
        <is>
          <t>2010</t>
        </is>
      </c>
      <c r="D36" s="11" t="inlineStr">
        <is>
          <t>Replaces Privacy Commissioner with Information Commissioner in Freedom of Information Act</t>
        </is>
      </c>
      <c r="E36" t="inlineStr">
        <is>
          <t>135–143</t>
        </is>
      </c>
      <c r="F36" t="inlineStr">
        <is>
          <t>Low</t>
        </is>
      </c>
      <c r="G36" t="inlineStr">
        <is>
          <t>High (explicit)</t>
        </is>
      </c>
      <c r="H36" s="11" t="inlineStr">
        <is>
          <t>Cross-border Transfer, International Processing, Data Storage, Data Residency, Security, Consent, Customer Information, Employee Information, Special Personal Information, Children, Financial Data, KYC, AML, Governance, Record Keeping</t>
        </is>
      </c>
      <c r="I36" s="11" t="inlineStr">
        <is>
          <t>Personal Information</t>
        </is>
      </c>
      <c r="J36" t="inlineStr"/>
      <c r="K36" s="11" t="inlineStr">
        <is>
          <t>This section lists amendments to the Freedom of Information Act 1982 that replace references to the 'Privacy Commissioner' with 'Information Commissioner' in specific sections and definitions. The changes include updating definitions, headings, and sections to align with the new Information Commissioner role, ensuring consistency across Commonwealth contracts and agency documents.</t>
        </is>
      </c>
      <c r="L36" s="11" t="inlineStr">
        <is>
          <t>These amendments update legal references to the Information Commissioner in the Freedom of Information Act, which may impact data handling and disclosure practices but do not directly affect cross-border data transfers.</t>
        </is>
      </c>
      <c r="M36" s="11" t="inlineStr">
        <is>
          <t>• [Must] Omit 'Privacy Commissioner', substitute 'Information Commissioner'
• [Must] Omit 'Privacy Commissioner's', substitute 'Information Commissioner's'
• [Must] Omit 'Privacy Commissioner', substitute 'Information Commissioner in relation to matters that relate to the privacy functions (within the meaning of the Australian Information Commissioner Act 2010)'
• [Must] Repeal the section, substitute: Guidelines relating to privacy</t>
        </is>
      </c>
      <c r="N36" s="11" t="inlineStr">
        <is>
          <t>Amendments consequential on the establishment of the Office of the Australian Information Commissioner Schedule 5</t>
        </is>
      </c>
      <c r="O36" s="12" t="inlineStr">
        <is>
          <t>Open PDF</t>
        </is>
      </c>
    </row>
    <row r="37">
      <c r="A37" t="inlineStr">
        <is>
          <t>Australia</t>
        </is>
      </c>
      <c r="B37" t="inlineStr">
        <is>
          <t>C2012C00866 (Australia - Row 12)</t>
        </is>
      </c>
      <c r="C37" t="inlineStr">
        <is>
          <t>2010 (part 2)</t>
        </is>
      </c>
      <c r="D37" s="11" t="inlineStr">
        <is>
          <t>Exemptions for intelligence and defense intelligence documents</t>
        </is>
      </c>
      <c r="E37" t="inlineStr">
        <is>
          <t>143–149</t>
        </is>
      </c>
      <c r="F37" t="inlineStr">
        <is>
          <t>Low</t>
        </is>
      </c>
      <c r="G37" t="inlineStr">
        <is>
          <t>High (explicit)</t>
        </is>
      </c>
      <c r="H37" s="11" t="inlineStr"/>
      <c r="I37" s="11" t="inlineStr">
        <is>
          <t>Special Personal Information</t>
        </is>
      </c>
      <c r="J37" t="inlineStr">
        <is>
          <t>Information Commissioner</t>
        </is>
      </c>
      <c r="K37" s="11" t="inlineStr">
        <is>
          <t>This section defines exemptions for intelligence and defense intelligence documents under the Freedom of Information Act 1982. It specifies that agencies and ministers are exempt from the Act's requirements for documents originating from specific intelligence agencies, defense intelligence organizations, or related materials. The exemptions cover both the original documents and summaries/extracts of these documents, with clear definitions of intelligence agency documents and defense intelligence documents.</t>
        </is>
      </c>
      <c r="L37" s="11" t="inlineStr">
        <is>
          <t>This section establishes exemptions for certain sensitive government documents, which may impact data transfer assessments when handling intelligence or defense-related information across borders. The exemptions apply to specific document types and require careful assessment to avoid unintended disclosure of classified information.</t>
        </is>
      </c>
      <c r="M37" s="11" t="inlineStr">
        <is>
          <t>• [Exemption] An agency is exempt from the operation of this Act in relation to a document that has originated with, or has been received from, any of the specified intelligence agencies
• [Exemption] A document containing a summary of, or an extract from, an intelligence agency document is exempt to the extent it contains such summary or extract
• [Exemption] A Minister is exempt from the operation of this Act in relation to intelligence agency documents
• [Exemption] A document containing a summary of, or an extract from, an intelligence agency document is exempt to the extent it contains such summary or extract
• [Exemption] An agency is exempt from the operation of this Act in relation to defense intelligence documents
• [Exemption] A document containing a summary of, or an extract from, a defense intelligence document is exempt to the extent it contains such summary or extract</t>
        </is>
      </c>
      <c r="N37" s="11" t="inlineStr">
        <is>
          <t>An agency is exempt from the operation of this Act in relation to a document (an intelligence agency document) that has originated with, or has been received from, any of the following: (i) the Australian Secret Intelligence Service; (ii) the Australian Security Intelligence Organisation; (iii) the Inspector-General of Intelligence and Security; (iv) the Office of National Assessments; (v) the Defence Imagery and Geospatial Organisation; (vi) the Defence Intelligence Organisation; (vii) the Defence Signals Directorate</t>
        </is>
      </c>
      <c r="O37" s="12" t="inlineStr">
        <is>
          <t>Open PDF</t>
        </is>
      </c>
    </row>
    <row r="38">
      <c r="A38" t="inlineStr">
        <is>
          <t>Australia</t>
        </is>
      </c>
      <c r="B38" t="inlineStr">
        <is>
          <t>C2012C00866 (Australia - Row 12)</t>
        </is>
      </c>
      <c r="C38" t="inlineStr">
        <is>
          <t>2010 (part 3)</t>
        </is>
      </c>
      <c r="D38" s="11" t="inlineStr">
        <is>
          <t>Request consultation process for practical refusal reasons</t>
        </is>
      </c>
      <c r="E38" t="inlineStr">
        <is>
          <t>149–154</t>
        </is>
      </c>
      <c r="F38" t="inlineStr">
        <is>
          <t>Low</t>
        </is>
      </c>
      <c r="G38" t="inlineStr">
        <is>
          <t>High (explicit)</t>
        </is>
      </c>
      <c r="H38" s="11" t="inlineStr"/>
      <c r="I38" s="11" t="inlineStr">
        <is>
          <t>Special Personal Information</t>
        </is>
      </c>
      <c r="J38" t="inlineStr">
        <is>
          <t>Information Commissioner</t>
        </is>
      </c>
      <c r="K38" s="11" t="inlineStr">
        <is>
          <t>This section establishes a request consultation process that must be undertaken when an agency or minister determines that a practical refusal reason exists for a document request. The process requires written notification to the applicant, identification of the practical refusal reason, and a 14-day consultation period during which the applicant can revise their request. The process aims to allow applicants to modify their requests to overcome practical refusal reasons before a final decision is made.</t>
        </is>
      </c>
      <c r="L38" s="11" t="inlineStr">
        <is>
          <t>This section outlines a specific consultation process that must be followed when handling requests involving sensitive or non-existent documents, which may impact data transfer assessments when dealing with government records across borders. The process ensures applicants have a chance to revise requests before final refusal decisions are made.</t>
        </is>
      </c>
      <c r="M38" s="11" t="inlineStr">
        <is>
          <t>• [Notification] The agency or Minister must give the applicant written notice stating intention to refuse access, practical refusal reason, contact person details, and consultation period duration
• [Condition] The consultation period is 14 days after the applicant receives the notice
• [Assistance] The agency or Minister must take reasonable steps to assist the applicant in revising the request to eliminate the practical refusal reason
• [Action] The applicant must withdraw the request, make a revised request, or indicate they do not wish to revise the request within the consultation period</t>
        </is>
      </c>
      <c r="N38" s="11" t="inlineStr">
        <is>
          <t>The agency or Minister must give the applicant a written notice stating: (a) an intention to refuse access to a document in accordance with a request; (b) the practical refusal reason; (c) the name of an officer of the agency or member of staff of the Minister (the contact person) with whom the applicant may consult during a period; (d) details of how the applicant may contact the contact person; (e) that the period (the consultation period) during which the applicant may consult with the contact person is 14 days after the day the applicant is given the notice.</t>
        </is>
      </c>
      <c r="O38" s="12" t="inlineStr">
        <is>
          <t>Open PDF</t>
        </is>
      </c>
    </row>
    <row r="39">
      <c r="A39" t="inlineStr">
        <is>
          <t>Australia</t>
        </is>
      </c>
      <c r="B39" t="inlineStr">
        <is>
          <t>C2012C00866 (Australia - Row 12)</t>
        </is>
      </c>
      <c r="C39" t="inlineStr">
        <is>
          <t>2010 (part 4)</t>
        </is>
      </c>
      <c r="D39" s="11" t="inlineStr">
        <is>
          <t>Transition of Privacy Commissioner responsibilities to Information Commissioner</t>
        </is>
      </c>
      <c r="E39" t="inlineStr">
        <is>
          <t>154–162</t>
        </is>
      </c>
      <c r="F39" t="inlineStr">
        <is>
          <t>Medium</t>
        </is>
      </c>
      <c r="G39" t="inlineStr">
        <is>
          <t>High (explicit)</t>
        </is>
      </c>
      <c r="H39" s="11" t="inlineStr">
        <is>
          <t>Cross-border Transfer, International Processing, Data Storage, Data Residency, Security, Incident Reporting, Breach Notification, Governance, Record Keeping</t>
        </is>
      </c>
      <c r="I39" s="11" t="inlineStr">
        <is>
          <t>Personal Information, Financial Data, Customer Data, Employee Data</t>
        </is>
      </c>
      <c r="J39" t="inlineStr">
        <is>
          <t>Australian Information Commissioner</t>
        </is>
      </c>
      <c r="K39" s="11" t="inlineStr">
        <is>
          <t>This section amends the Freedom of Information Act 1982 by transitioning responsibilities from the Privacy Commissioner to the Information Commissioner. It ensures continuity of functions, including the handling of ongoing investigations, consultations, and decisions made before the commencement date. The Information Commissioner assumes all obligations and powers previously held by the Privacy Commissioner for matters that were initiated prior to the transition date.</t>
        </is>
      </c>
      <c r="L39" s="11" t="inlineStr">
        <is>
          <t>This section ensures that transitional obligations from the Privacy Commissioner to the Information Commissioner are maintained, which is critical for data transfer impact assessments involving cross-border data flows that may have been initiated before the transition date.</t>
        </is>
      </c>
      <c r="M39" s="11" t="inlineStr">
        <is>
          <t>• [Must] The Privacy Commissioner's actions before the commencement day are treated as actions by the Information Commissioner for the same purpose.
• [May] The Information Commissioner may determine exceptions to the transition for specific actions.
• [Must] Consultations initiated by the Privacy Commissioner before the commencement day may continue with the Information Commissioner.
• [Must] Decisions made by the Privacy Commissioner before the commencement day may be implemented by the Information Commissioner.
• [Must] The Information Commissioner must handle submissions and evidence as required by the Privacy Commissioner before the transition date.</t>
        </is>
      </c>
      <c r="N39" s="11" t="inlineStr">
        <is>
          <t>This item applies if: (a) the Privacy Commissioner made a decision in accordance with a provision of the Privacy Act 1988; and (b) having made the decision, the Privacy Commissioner was required to take a step to implement it; and (c) the Privacy Commissioner did not take the step before the commencement day. The Information Commissioner may take the step in accordance with the provision to implement the decision on or after the commencement day.</t>
        </is>
      </c>
      <c r="O39" s="12" t="inlineStr">
        <is>
          <t>Open PDF</t>
        </is>
      </c>
    </row>
    <row r="40">
      <c r="A40" t="inlineStr">
        <is>
          <t>Australia</t>
        </is>
      </c>
      <c r="B40" t="inlineStr">
        <is>
          <t>C2012C00866 (Australia - Row 12)</t>
        </is>
      </c>
      <c r="C40" t="inlineStr">
        <is>
          <t>2010 (part 5)</t>
        </is>
      </c>
      <c r="D40" s="11" t="inlineStr">
        <is>
          <t>42  Subsection 135AA(4) (cont.)</t>
        </is>
      </c>
      <c r="E40" t="inlineStr">
        <is>
          <t>162–169</t>
        </is>
      </c>
      <c r="F40" t="inlineStr">
        <is>
          <t>Unknown</t>
        </is>
      </c>
      <c r="G40" t="inlineStr">
        <is>
          <t>Low</t>
        </is>
      </c>
      <c r="H40" s="11" t="inlineStr"/>
      <c r="I40" s="11" t="inlineStr"/>
      <c r="J40" t="inlineStr"/>
      <c r="K40" s="11" t="inlineStr"/>
      <c r="L40" s="11" t="inlineStr"/>
      <c r="M40" s="11" t="inlineStr"/>
      <c r="N40" s="11" t="inlineStr"/>
      <c r="O40" s="12" t="inlineStr">
        <is>
          <t>Open PDF</t>
        </is>
      </c>
    </row>
    <row r="41">
      <c r="A41" t="inlineStr">
        <is>
          <t>Australia</t>
        </is>
      </c>
      <c r="B41" t="inlineStr">
        <is>
          <t>C2012C00866 (Australia - Row 12)</t>
        </is>
      </c>
      <c r="C41" t="inlineStr">
        <is>
          <t>2010 (part 6)</t>
        </is>
      </c>
      <c r="D41" s="11" t="inlineStr">
        <is>
          <t>Transition of Privacy Commissioner's pending proceedings to Information Commissioner</t>
        </is>
      </c>
      <c r="E41" t="inlineStr">
        <is>
          <t>169–176</t>
        </is>
      </c>
      <c r="F41" t="inlineStr">
        <is>
          <t>Low</t>
        </is>
      </c>
      <c r="G41" t="inlineStr">
        <is>
          <t>High (explicit)</t>
        </is>
      </c>
      <c r="H41" s="11" t="inlineStr"/>
      <c r="I41" s="11" t="inlineStr"/>
      <c r="J41" t="inlineStr">
        <is>
          <t>Information Commissioner</t>
        </is>
      </c>
      <c r="K41" s="11" t="inlineStr">
        <is>
          <t>This section mandates that any pending court or tribunal proceedings where the Privacy Commissioner was a party before the commencement date automatically substitute the Information Commissioner as the party from the commencement date onward. It also outlines specific scenarios where the Information Commissioner may continue or complete actions initiated by the Privacy Commissioner under the Privacy Act 1988, such as reviews, examinations, conciliation processes, and conferences, without interruption to the legal process.</t>
        </is>
      </c>
      <c r="L41" s="11" t="inlineStr">
        <is>
          <t>This section ensures continuity of legal proceedings involving the Privacy Commissioner by transitioning responsibilities to the Information Commissioner, which is relevant for DTIAs when assessing the impact of regulatory transitions on cross-border data handling in legal contexts.</t>
        </is>
      </c>
      <c r="M41" s="11" t="inlineStr">
        <is>
          <t>• [Must] The Information Commissioner substitutes for the Privacy Commissioner as a party to pending proceedings on and after the commencement day.
• [May] The Information Commissioner may complete reviews, examinations, conciliation processes, research, or record examinations initiated by the Privacy Commissioner before the commencement day.
• [May] The Information Commissioner may hold conferences convened by the Privacy Commissioner before the commencement day but not held.
• [May] The Information Commissioner may make determinations in relation to matters raised at conferences held by the Privacy Commissioner before the commencement day.</t>
        </is>
      </c>
      <c r="N41" s="11" t="inlineStr">
        <is>
          <t>If any proceedings to which the Privacy Commissioner was a party were pending in any court or tribunal immediately before the commencement day, the Information Commissioner is substituted for the Privacy Commissioner as a party to the proceedings on and after the commencement day.</t>
        </is>
      </c>
      <c r="O41" s="12" t="inlineStr">
        <is>
          <t>Open PDF</t>
        </is>
      </c>
    </row>
    <row r="42">
      <c r="A42" t="inlineStr">
        <is>
          <t>Australia</t>
        </is>
      </c>
      <c r="B42" t="inlineStr">
        <is>
          <t>C2016C00614 (Australia - Row 23)</t>
        </is>
      </c>
      <c r="C42" t="inlineStr">
        <is>
          <t>3</t>
        </is>
      </c>
      <c r="D42" s="11" t="inlineStr">
        <is>
          <t>Users authorized to consent on behalf of account holders</t>
        </is>
      </c>
      <c r="E42" t="inlineStr">
        <is>
          <t>5</t>
        </is>
      </c>
      <c r="F42" t="inlineStr">
        <is>
          <t>Medium</t>
        </is>
      </c>
      <c r="G42" t="inlineStr">
        <is>
          <t>High (explicit)</t>
        </is>
      </c>
      <c r="H42" s="11" t="inlineStr">
        <is>
          <t>Consent</t>
        </is>
      </c>
      <c r="I42" s="11" t="inlineStr">
        <is>
          <t>Customer Data</t>
        </is>
      </c>
      <c r="J42" t="inlineStr"/>
      <c r="K42" s="11" t="inlineStr">
        <is>
          <t>This section establishes that individuals authorized to consent on behalf of relevant account holders can act as their representatives for consent purposes. The authorization must be specific to the account type and must not be a general delegation. This applies to account holders who are unable to consent directly themselves.</t>
        </is>
      </c>
      <c r="L42" s="11" t="inlineStr">
        <is>
          <t>This section clarifies who can legally consent on behalf of account holders, which is relevant for determining consent validity in cross-border data transfers involving account-related information.</t>
        </is>
      </c>
      <c r="M42" s="11" t="inlineStr">
        <is>
          <t>• [Must] Users of account authorised to consent on behalf of relevant</t>
        </is>
      </c>
      <c r="N42" s="11" t="inlineStr">
        <is>
          <t>Users of account authorised to consent on behalf of relevant</t>
        </is>
      </c>
      <c r="O42" s="12" t="inlineStr">
        <is>
          <t>Open PDF</t>
        </is>
      </c>
    </row>
    <row r="43">
      <c r="A43" t="inlineStr">
        <is>
          <t>Australia</t>
        </is>
      </c>
      <c r="B43" t="inlineStr">
        <is>
          <t>C2016C00614 (Australia - Row 23)</t>
        </is>
      </c>
      <c r="C43" t="inlineStr">
        <is>
          <t>14</t>
        </is>
      </c>
      <c r="D43" s="11" t="inlineStr">
        <is>
          <t>Effective date of the Act</t>
        </is>
      </c>
      <c r="E43" t="inlineStr">
        <is>
          <t>7–14</t>
        </is>
      </c>
      <c r="F43" t="inlineStr">
        <is>
          <t>None</t>
        </is>
      </c>
      <c r="G43" t="inlineStr">
        <is>
          <t>High (explicit)</t>
        </is>
      </c>
      <c r="H43" s="11" t="inlineStr"/>
      <c r="I43" s="11" t="inlineStr"/>
      <c r="J43" t="inlineStr"/>
      <c r="K43" s="11" t="inlineStr">
        <is>
          <t>This section specifies the effective dates for various provisions of the Act, including the day the Act receives Royal Assent and the 120-day period after that date. It details when different sections and schedules come into effect, with specific dates provided for the Act's commencement.</t>
        </is>
      </c>
      <c r="L43" s="11" t="inlineStr"/>
      <c r="M43" s="11" t="inlineStr">
        <is>
          <t>• [Must] The day on which this Act receives the Royal Assent. 12 December 2003
• [Must] On the day after the end of the period of 120 days beginning on the day on which this Act receives the Royal Assent. 10 April 2004</t>
        </is>
      </c>
      <c r="N43" s="11" t="inlineStr">
        <is>
          <t>The day on which this Act receives the Royal Assent. 12 December 2003</t>
        </is>
      </c>
      <c r="O43" s="12" t="inlineStr">
        <is>
          <t>Open PDF</t>
        </is>
      </c>
    </row>
    <row r="44">
      <c r="A44" t="inlineStr">
        <is>
          <t>Australia</t>
        </is>
      </c>
      <c r="B44" t="inlineStr">
        <is>
          <t>C2016C00614 (Australia - Row 23)</t>
        </is>
      </c>
      <c r="C44" t="inlineStr">
        <is>
          <t>14 (part 2)</t>
        </is>
      </c>
      <c r="D44" s="11" t="inlineStr">
        <is>
          <t>The day on which this Act receives the (cont.)</t>
        </is>
      </c>
      <c r="E44" t="inlineStr">
        <is>
          <t>14–21</t>
        </is>
      </c>
      <c r="F44" t="inlineStr">
        <is>
          <t>Unknown</t>
        </is>
      </c>
      <c r="G44" t="inlineStr">
        <is>
          <t>Low</t>
        </is>
      </c>
      <c r="H44" s="11" t="inlineStr"/>
      <c r="I44" s="11" t="inlineStr"/>
      <c r="J44" t="inlineStr"/>
      <c r="K44" s="11" t="inlineStr"/>
      <c r="L44" s="11" t="inlineStr"/>
      <c r="M44" s="11" t="inlineStr"/>
      <c r="N44" s="11" t="inlineStr"/>
      <c r="O44" s="12" t="inlineStr">
        <is>
          <t>Open PDF</t>
        </is>
      </c>
    </row>
    <row r="45">
      <c r="A45" t="inlineStr">
        <is>
          <t>Australia</t>
        </is>
      </c>
      <c r="B45" t="inlineStr">
        <is>
          <t>C2016C00614 (Australia - Row 23)</t>
        </is>
      </c>
      <c r="C45" t="inlineStr">
        <is>
          <t>15</t>
        </is>
      </c>
      <c r="D45" s="11" t="inlineStr">
        <is>
          <t>Compilation</t>
        </is>
      </c>
      <c r="E45" t="inlineStr">
        <is>
          <t>21–23</t>
        </is>
      </c>
      <c r="F45" t="inlineStr">
        <is>
          <t>Unknown</t>
        </is>
      </c>
      <c r="G45" t="inlineStr">
        <is>
          <t>Low</t>
        </is>
      </c>
      <c r="H45" s="11" t="inlineStr"/>
      <c r="I45" s="11" t="inlineStr"/>
      <c r="J45" t="inlineStr"/>
      <c r="K45" s="11" t="inlineStr"/>
      <c r="L45" s="11" t="inlineStr"/>
      <c r="M45" s="11" t="inlineStr"/>
      <c r="N45" s="11" t="inlineStr"/>
      <c r="O45" s="12" t="inlineStr">
        <is>
          <t>Open PDF</t>
        </is>
      </c>
    </row>
    <row r="46">
      <c r="A46" t="inlineStr">
        <is>
          <t>Australia</t>
        </is>
      </c>
      <c r="B46" t="inlineStr">
        <is>
          <t>C2016C00614 (Australia - Row 23)</t>
        </is>
      </c>
      <c r="C46" t="inlineStr">
        <is>
          <t>19</t>
        </is>
      </c>
      <c r="D46" s="11" t="inlineStr">
        <is>
          <t>Compilation</t>
        </is>
      </c>
      <c r="E46" t="inlineStr">
        <is>
          <t>25–27</t>
        </is>
      </c>
      <c r="F46" t="inlineStr">
        <is>
          <t>Unknown</t>
        </is>
      </c>
      <c r="G46" t="inlineStr">
        <is>
          <t>Low</t>
        </is>
      </c>
      <c r="H46" s="11" t="inlineStr"/>
      <c r="I46" s="11" t="inlineStr"/>
      <c r="J46" t="inlineStr"/>
      <c r="K46" s="11" t="inlineStr"/>
      <c r="L46" s="11" t="inlineStr"/>
      <c r="M46" s="11" t="inlineStr"/>
      <c r="N46" s="11" t="inlineStr"/>
      <c r="O46" s="12" t="inlineStr">
        <is>
          <t>Open PDF</t>
        </is>
      </c>
    </row>
    <row r="47">
      <c r="A47" t="inlineStr">
        <is>
          <t>Australia</t>
        </is>
      </c>
      <c r="B47" t="inlineStr">
        <is>
          <t>C2016C00614 (Australia - Row 23)</t>
        </is>
      </c>
      <c r="C47" t="inlineStr">
        <is>
          <t>25</t>
        </is>
      </c>
      <c r="D47" s="11" t="inlineStr">
        <is>
          <t>Civil penalties for contraventions of civil penalty provisions</t>
        </is>
      </c>
      <c r="E47" t="inlineStr">
        <is>
          <t>31–33</t>
        </is>
      </c>
      <c r="F47" t="inlineStr">
        <is>
          <t>High</t>
        </is>
      </c>
      <c r="G47" t="inlineStr">
        <is>
          <t>High (explicit)</t>
        </is>
      </c>
      <c r="H47" s="11" t="inlineStr"/>
      <c r="I47" s="11" t="inlineStr">
        <is>
          <t>Financial Data</t>
        </is>
      </c>
      <c r="J47" t="inlineStr">
        <is>
          <t>Federal Court</t>
        </is>
      </c>
      <c r="K47" s="11" t="inlineStr">
        <is>
          <t>Section 25(4) states that subsections (1) and (3) of the Spam Act 2003 are civil penalty provisions. These provisions establish pecuniary penalties payable for contraventions, with proceedings for recovery instituted in the Federal Court. The court may also order compensation to victims and payment to the Commonwealth for financial benefits attributable to contraventions.</t>
        </is>
      </c>
      <c r="L47" s="11" t="inlineStr">
        <is>
          <t>This section establishes the legal framework for civil penalties and compensation in cases of contraventions, relevant to DTIA assessments for financial institutions handling unsolicited commercial electronic messages.</t>
        </is>
      </c>
      <c r="M47" s="11" t="inlineStr">
        <is>
          <t>• [Must] Subsections (1) and (3) are civil penalty provisions
• [Must] Pecuniary penalties are payable for contraventions of civil penalty provisions
• [Must] Proceedings for recovery of penalties are to be instituted in the Federal Court
• [Must] The Federal Court may direct payment of compensation to a victim of a contravention
• [Must] The Federal Court may direct payment to the Commonwealth of an amount up to financial benefits attributable to contraventions</t>
        </is>
      </c>
      <c r="N47" s="11" t="inlineStr">
        <is>
          <t>Subsections (1) and (3) are civil penalty provisions. Pecuniary penalties are payable for contraventions of civil penalty provisions. Proceedings for the recovery of penalties are to be instituted in the Federal Court. The Federal Court may make ancillary orders: (a) directing the payment of compensation to a victim of a contravention of a civil penalty provision; and (b) directing the payment to the Commonwealth of an amount up to the amount of any financial benefit that is attributable to a contravention of a civil penalty provision.</t>
        </is>
      </c>
      <c r="O47" s="12" t="inlineStr">
        <is>
          <t>Open PDF</t>
        </is>
      </c>
    </row>
    <row r="48">
      <c r="A48" t="inlineStr">
        <is>
          <t>Australia</t>
        </is>
      </c>
      <c r="B48" t="inlineStr">
        <is>
          <t>C2016C00614 (Australia - Row 23)</t>
        </is>
      </c>
      <c r="C48" t="inlineStr">
        <is>
          <t>35</t>
        </is>
      </c>
      <c r="D48" s="11" t="inlineStr">
        <is>
          <t>Performance injunctions for non-compliance with obligations</t>
        </is>
      </c>
      <c r="E48" t="inlineStr">
        <is>
          <t>41–43</t>
        </is>
      </c>
      <c r="F48" t="inlineStr">
        <is>
          <t>Medium</t>
        </is>
      </c>
      <c r="G48" t="inlineStr">
        <is>
          <t>High (explicit)</t>
        </is>
      </c>
      <c r="H48" s="11" t="inlineStr"/>
      <c r="I48" s="11" t="inlineStr">
        <is>
          <t>Customer Data</t>
        </is>
      </c>
      <c r="J48" t="inlineStr">
        <is>
          <t>Federal Court</t>
        </is>
      </c>
      <c r="K48" s="11" t="inlineStr">
        <is>
          <t>Section 35(2) outlines conditions under which the Federal Court may grant performance injunctions. The court can exercise this power if a person has refused or failed to comply with an act or thing, or if it is likely they will refuse or fail to comply, even if they have previously refused or failed. The court may also consider imminent danger of substantial damage.</t>
        </is>
      </c>
      <c r="L48" s="11" t="inlineStr">
        <is>
          <t>This section details when performance injunctions can be granted, relevant for DTIA assessments involving third-party compliance with data transfer obligations.</t>
        </is>
      </c>
      <c r="M48" s="11" t="inlineStr">
        <is>
          <t>• [Must] The Federal Court may grant an injunction requiring a person to do an act or thing
• [Must] The court may exercise this power if the person has refused or failed to do that act or thing
• [Must] The court may exercise this power if it appears likely the person will refuse or fail to do that act or thing</t>
        </is>
      </c>
      <c r="N48" s="11" t="inlineStr">
        <is>
          <t>The power of the Federal Court to grant an injunction requiring a person to do an act or thing may be exercised: (a) if the Court is satisfied that the person has refused or failed to do that act or thing—whether or not it appears to the Court that the person intends to refuse or fail again, or to continue to refuse or fail, to do that act or thing; or (b) if it appears to the Court that, if an injunction is not granted, it is likely that the person will refuse or fail to do that act or thing—whether or not the person has previously refused or failed to do that act or thing and whether or not there is an imminent danger of substantial damage to any person if the person refuses or fails to do that act or thing.</t>
        </is>
      </c>
      <c r="O48" s="12" t="inlineStr">
        <is>
          <t>Open PDF</t>
        </is>
      </c>
    </row>
    <row r="49">
      <c r="A49" t="inlineStr">
        <is>
          <t>Australia</t>
        </is>
      </c>
      <c r="B49" t="inlineStr">
        <is>
          <t>C2016C00614 (Australia - Row 23)</t>
        </is>
      </c>
      <c r="C49" t="inlineStr">
        <is>
          <t>37</t>
        </is>
      </c>
      <c r="D49" s="11" t="inlineStr">
        <is>
          <t>Enforceable undertakings for commercial electronic messages</t>
        </is>
      </c>
      <c r="E49" t="inlineStr">
        <is>
          <t>43–45</t>
        </is>
      </c>
      <c r="F49" t="inlineStr">
        <is>
          <t>High</t>
        </is>
      </c>
      <c r="G49" t="inlineStr">
        <is>
          <t>High (explicit)</t>
        </is>
      </c>
      <c r="H49" s="11" t="inlineStr"/>
      <c r="I49" s="11" t="inlineStr">
        <is>
          <t>Customer Data</t>
        </is>
      </c>
      <c r="J49" t="inlineStr">
        <is>
          <t>ACMA</t>
        </is>
      </c>
      <c r="K49" s="11" t="inlineStr">
        <is>
          <t>Section 37 allows a person to give the ACMA an enforceable undertaking regarding commercial electronic messages or address-harvesting software. The ACMA may accept such undertakings, and the person may withdraw or vary them with consent. The ACMA can apply to the Federal Court for enforcement if a breach occurs.</t>
        </is>
      </c>
      <c r="L49" s="11" t="inlineStr">
        <is>
          <t>This section provides a mechanism for enforceable undertakings related to unsolicited commercial electronic messages, relevant for DTIA assessments involving third-party data transfers.</t>
        </is>
      </c>
      <c r="M49" s="11" t="inlineStr">
        <is>
          <t>• [May] A person may give the ACMA an enforceable undertaking in connection with commercial electronic messages or address-harvesting software
• [May] The ACMA may accept a written undertaking for the purposes of this section
• [May] The person may withdraw or vary the undertaking at any time with ACMA consent</t>
        </is>
      </c>
      <c r="N49" s="11" t="inlineStr">
        <is>
          <t>A person may give the ACMA an enforceable undertaking in connection with a matter relating to: (a) commercial electronic messages; or (b) address-harvesting software.</t>
        </is>
      </c>
      <c r="O49" s="12" t="inlineStr">
        <is>
          <t>Open PDF</t>
        </is>
      </c>
    </row>
    <row r="50">
      <c r="A50" t="inlineStr">
        <is>
          <t>Australia</t>
        </is>
      </c>
      <c r="B50" t="inlineStr">
        <is>
          <t>C2016C00614 (Australia - Row 23)</t>
        </is>
      </c>
      <c r="C50" t="inlineStr">
        <is>
          <t>41</t>
        </is>
      </c>
      <c r="D50" s="11" t="inlineStr">
        <is>
          <t>Formal warnings for civil penalty contraventions</t>
        </is>
      </c>
      <c r="E50" t="inlineStr">
        <is>
          <t>47–49</t>
        </is>
      </c>
      <c r="F50" t="inlineStr">
        <is>
          <t>High</t>
        </is>
      </c>
      <c r="G50" t="inlineStr">
        <is>
          <t>High (explicit)</t>
        </is>
      </c>
      <c r="H50" s="11" t="inlineStr"/>
      <c r="I50" s="11" t="inlineStr">
        <is>
          <t>Customer Data</t>
        </is>
      </c>
      <c r="J50" t="inlineStr">
        <is>
          <t>ACMA</t>
        </is>
      </c>
      <c r="K50" s="11" t="inlineStr">
        <is>
          <t>Section 41 authorizes the ACMA to issue formal warnings when a person contravenes a civil penalty provision. This mechanism serves as a warning and potential enforcement step for non-compliance with the Spam Act 2003.</t>
        </is>
      </c>
      <c r="L50" s="11" t="inlineStr">
        <is>
          <t>This section enables formal warnings for contraventions, relevant for DTIA assessments when handling unsolicited commercial electronic messages.</t>
        </is>
      </c>
      <c r="M50" s="11" t="inlineStr">
        <is>
          <t>• [May] The ACMA may issue a formal warning if a person contravenes a civil penalty provision</t>
        </is>
      </c>
      <c r="N50" s="11" t="inlineStr">
        <is>
          <t>The ACMA may issue a formal warning if a person contravenes a civil penalty provision.</t>
        </is>
      </c>
      <c r="O50" s="12" t="inlineStr">
        <is>
          <t>Open PDF</t>
        </is>
      </c>
    </row>
    <row r="51">
      <c r="A51" t="inlineStr">
        <is>
          <t>Australia</t>
        </is>
      </c>
      <c r="B51" t="inlineStr">
        <is>
          <t>C2016C00614 (Australia - Row 23)</t>
        </is>
      </c>
      <c r="C51" t="inlineStr">
        <is>
          <t>43</t>
        </is>
      </c>
      <c r="D51" s="11" t="inlineStr">
        <is>
          <t>Designated commercial electronic messages</t>
        </is>
      </c>
      <c r="E51" t="inlineStr">
        <is>
          <t>49–51</t>
        </is>
      </c>
      <c r="F51" t="inlineStr">
        <is>
          <t>High</t>
        </is>
      </c>
      <c r="G51" t="inlineStr">
        <is>
          <t>High (explicit)</t>
        </is>
      </c>
      <c r="H51" s="11" t="inlineStr">
        <is>
          <t>Consent</t>
        </is>
      </c>
      <c r="I51" s="11" t="inlineStr">
        <is>
          <t>Customer Data</t>
        </is>
      </c>
      <c r="J51" t="inlineStr">
        <is>
          <t>ACMA</t>
        </is>
      </c>
      <c r="K51" s="11" t="inlineStr">
        <is>
          <t>Section 43 defines when an electronic message is a designated commercial electronic message. This includes messages authorized by government bodies, political parties, charities, educational institutions, and specific conditions related to the recipient's enrollment status and the message's relevance to goods or services.</t>
        </is>
      </c>
      <c r="L51" s="11" t="inlineStr">
        <is>
          <t>This section specifies conditions for designated commercial electronic messages, relevant for DTIA assessments involving third-party data transfers and compliance with consent requirements.</t>
        </is>
      </c>
      <c r="M51" s="11" t="inlineStr">
        <is>
          <t>• [Must] An electronic message is a designated commercial electronic message if the sending is authorized by a government body, registered political party, or registered charity
• [Must] The message relates to goods or services
• [Must] The body is the supplier or prospective supplier of the goods or services</t>
        </is>
      </c>
      <c r="N51" s="11" t="inlineStr">
        <is>
          <t>For the purposes of this Act, an electronic message is a designated commercial electronic message if: (a) the sending of the message is authorised by any of the following bodies: (i) a government body; (ii) a registered political party; (iii) a registered charity; and (b) the message relates to goods or services; and (c) the body is the supplier, or prospective supplier, of the goods or services concerned.</t>
        </is>
      </c>
      <c r="O51" s="12" t="inlineStr">
        <is>
          <t>Open PDF</t>
        </is>
      </c>
    </row>
    <row r="52">
      <c r="A52" t="inlineStr">
        <is>
          <t>Australia</t>
        </is>
      </c>
      <c r="B52" t="inlineStr">
        <is>
          <t>C2016C00614 (Australia - Row 23)</t>
        </is>
      </c>
      <c r="C52" t="inlineStr">
        <is>
          <t>45</t>
        </is>
      </c>
      <c r="D52" s="11" t="inlineStr">
        <is>
          <t>Compilation</t>
        </is>
      </c>
      <c r="E52" t="inlineStr">
        <is>
          <t>51–53</t>
        </is>
      </c>
      <c r="F52" t="inlineStr">
        <is>
          <t>Unknown</t>
        </is>
      </c>
      <c r="G52" t="inlineStr">
        <is>
          <t>Low</t>
        </is>
      </c>
      <c r="H52" s="11" t="inlineStr"/>
      <c r="I52" s="11" t="inlineStr"/>
      <c r="J52" t="inlineStr"/>
      <c r="K52" s="11" t="inlineStr"/>
      <c r="L52" s="11" t="inlineStr"/>
      <c r="M52" s="11" t="inlineStr"/>
      <c r="N52" s="11" t="inlineStr"/>
      <c r="O52" s="12" t="inlineStr">
        <is>
          <t>Open PDF</t>
        </is>
      </c>
    </row>
    <row r="53">
      <c r="A53" t="inlineStr">
        <is>
          <t>Australia</t>
        </is>
      </c>
      <c r="B53" t="inlineStr">
        <is>
          <t>C2016C00614 (Australia - Row 23)</t>
        </is>
      </c>
      <c r="C53" t="inlineStr">
        <is>
          <t>47</t>
        </is>
      </c>
      <c r="D53" s="11" t="inlineStr">
        <is>
          <t>Infringement notices for civil penalty contraventions</t>
        </is>
      </c>
      <c r="E53" t="inlineStr">
        <is>
          <t>53–55</t>
        </is>
      </c>
      <c r="F53" t="inlineStr">
        <is>
          <t>Medium</t>
        </is>
      </c>
      <c r="G53" t="inlineStr">
        <is>
          <t>High (explicit)</t>
        </is>
      </c>
      <c r="H53" s="11" t="inlineStr"/>
      <c r="I53" s="11" t="inlineStr">
        <is>
          <t>Personal Information</t>
        </is>
      </c>
      <c r="J53" t="inlineStr">
        <is>
          <t>ACMA</t>
        </is>
      </c>
      <c r="K53" s="11" t="inlineStr">
        <is>
          <t>This Schedule establishes a system for issuing infringement notices as an alternative to Federal Court proceedings for civil penalty contraventions. An authorised ACMA person may issue an infringement notice if they have reasonable grounds to believe a person committed one or more contraventions within the past 12 months. The notice must include the recipient's name, the authorised person's name, brief details of the alleged contraventions, a payment deadline, payment instructions, and other specified matters.</t>
        </is>
      </c>
      <c r="L53" s="11" t="inlineStr">
        <is>
          <t>This section outlines the procedural requirements for issuing infringement notices, which could impact data transfer assessments if the notices involve cross-border data sharing or processing of personal information.</t>
        </is>
      </c>
      <c r="M53" s="11" t="inlineStr">
        <is>
          <t>• [Must] An authorised person may give an infringement notice if they have reasonable grounds to believe a person committed one or more contraventions of a civil penalty provision
• [Must] An infringement notice must be given within 12 months after the day on which the civil contraventions are alleged to have taken place
• [Must] An infringement notice must set out the name of the person to whom the notice is given
• [Must] An infringement notice must set out the name of the authorised person who gave the notice
• [Must] An infringement notice must either set out brief details of each alleged civil contravention or be accompanied by data processing devices containing brief details
• [Must] An infringement notice must contain a statement that the matter will not be dealt with by the Federal Court if the penalty is paid within 28 days or a longer period allowed by ACMA
• [Must] An infringement notice must give an explanation of how payment of the penalty is to be made
• [Must] An infringement notice must include the date of the alleged contravention and the civil penalty provision allegedly contravened for each contravention</t>
        </is>
      </c>
      <c r="N53" s="11" t="inlineStr">
        <is>
          <t>The object of this Schedule is to set up a system of infringement notices for contraventions of civil penalty provisions as an alternative to the institution of proceedings in the Federal Court.</t>
        </is>
      </c>
      <c r="O53" s="12" t="inlineStr">
        <is>
          <t>Open PDF</t>
        </is>
      </c>
    </row>
    <row r="54">
      <c r="A54" t="inlineStr">
        <is>
          <t>Australia</t>
        </is>
      </c>
      <c r="B54" t="inlineStr">
        <is>
          <t>C2026C00227 (Australia - Row 16)</t>
        </is>
      </c>
      <c r="C54" t="inlineStr">
        <is>
          <t>1</t>
        </is>
      </c>
      <c r="D54" s="11" t="inlineStr">
        <is>
          <t>Open and transparent management of personal information</t>
        </is>
      </c>
      <c r="E54" t="inlineStr">
        <is>
          <t>379–380</t>
        </is>
      </c>
      <c r="F54" t="inlineStr">
        <is>
          <t>Medium</t>
        </is>
      </c>
      <c r="G54" t="inlineStr">
        <is>
          <t>High (explicit)</t>
        </is>
      </c>
      <c r="H54" s="11" t="inlineStr">
        <is>
          <t>Data Sharing, Data Storage, Consent</t>
        </is>
      </c>
      <c r="I54" s="11" t="inlineStr">
        <is>
          <t>Personal Information</t>
        </is>
      </c>
      <c r="J54" t="inlineStr"/>
      <c r="K54" s="11" t="inlineStr">
        <is>
          <t>APP entities must implement practices to comply with Australian Privacy Principles and registered codes. They must also handle individual inquiries about compliance with these principles. The entity must maintain an up-to-date privacy policy that details collected information, collection methods, purposes, access rights, complaint procedures, overseas disclosure, and recipient countries.</t>
        </is>
      </c>
      <c r="L54" s="11" t="inlineStr">
        <is>
          <t>Requires clear documentation of data handling practices and individual access rights, critical for assessing transparency in cross-border data flows.</t>
        </is>
      </c>
      <c r="M54" s="11" t="inlineStr">
        <is>
          <t>• [Must] APP entities must take reasonable steps to implement practices ensuring compliance with Australian Privacy Principles and registered APP codes.
• [Must] APP entities must take reasonable steps to handle individual inquiries about compliance with Australian Privacy Principles or registered APP codes.
• [Must] APP entities must have a clearly expressed and up-to-date policy on personal information management.
• [Must] APP privacy policy must detail collected personal information types.
• [Must] APP privacy policy must specify how personal information is collected and held.
• [Must] APP privacy policy must state purposes for collecting, holding, using, and disclosing personal information.
• [Must] APP privacy policy must outline individual access to and correction of personal information.
• [Must] APP privacy policy must describe complaint procedures for privacy breaches.
• [Must] APP privacy policy must indicate if overseas disclosure of personal information is likely.
• [Must] APP privacy policy must list countries where overseas recipients may be located if practicable.
• [Must] APP entities must make their privacy policy available in reasonable steps.
• [Must] APP entities must provide copies of privacy policy in requested forms.</t>
        </is>
      </c>
      <c r="N54" s="11" t="inlineStr">
        <is>
          <t>management of personal information
1.1 The object of this principle is to ensure that APP entities manage personal information in an open and transparent way. Compliance with the Australian Privacy Principles etc.</t>
        </is>
      </c>
      <c r="O54" s="12" t="inlineStr">
        <is>
          <t>Open PDF</t>
        </is>
      </c>
    </row>
    <row r="55">
      <c r="A55" t="inlineStr">
        <is>
          <t>Australia</t>
        </is>
      </c>
      <c r="B55" t="inlineStr">
        <is>
          <t>C2026C00227 (Australia - Row 16)</t>
        </is>
      </c>
      <c r="C55" t="inlineStr">
        <is>
          <t>2</t>
        </is>
      </c>
      <c r="D55" s="11" t="inlineStr">
        <is>
          <t>Option for anonymity or pseudonymity in transactions</t>
        </is>
      </c>
      <c r="E55" t="inlineStr">
        <is>
          <t>380–382</t>
        </is>
      </c>
      <c r="F55" t="inlineStr">
        <is>
          <t>Low</t>
        </is>
      </c>
      <c r="G55" t="inlineStr">
        <is>
          <t>High (explicit)</t>
        </is>
      </c>
      <c r="H55" s="11" t="inlineStr"/>
      <c r="I55" s="11" t="inlineStr">
        <is>
          <t>Personal Information</t>
        </is>
      </c>
      <c r="J55" t="inlineStr"/>
      <c r="K55" s="11" t="inlineStr">
        <is>
          <t>Individuals must have the option to remain anonymous or use a pseudonym when interacting with APP entities. This does not apply if the entity is legally required to deal with identified individuals or if it is impracticable to handle anonymous individuals.</t>
        </is>
      </c>
      <c r="L55" s="11" t="inlineStr">
        <is>
          <t>Allows individuals to maintain anonymity in data interactions, relevant for assessing privacy in cross-border data transfers where anonymity is a concern.</t>
        </is>
      </c>
      <c r="M55" s="11" t="inlineStr">
        <is>
          <t>• [Must] Individuals must have the option of not identifying themselves or using a pseudonym when dealing with APP entities.
• [Must Not] This does not apply if the APP entity is legally required or authorized by Australian law to deal with identified individuals.
• [Must Not] This does not apply if it is impracticable for the entity to deal with anonymous individuals.</t>
        </is>
      </c>
      <c r="N55" s="11" t="inlineStr">
        <is>
          <t>2.1 Individuals must have the option of not identifying themselves, or of using a pseudonym, when dealing with an APP entity in relation to a particular matter.</t>
        </is>
      </c>
      <c r="O55" s="12" t="inlineStr">
        <is>
          <t>Open PDF</t>
        </is>
      </c>
    </row>
    <row r="56">
      <c r="A56" t="inlineStr">
        <is>
          <t>Australia</t>
        </is>
      </c>
      <c r="B56" t="inlineStr">
        <is>
          <t>C2026C00227 (Australia - Row 16)</t>
        </is>
      </c>
      <c r="C56" t="inlineStr">
        <is>
          <t>3</t>
        </is>
      </c>
      <c r="D56" s="11" t="inlineStr">
        <is>
          <t>Collection of personal information with necessary purpose</t>
        </is>
      </c>
      <c r="E56" t="inlineStr">
        <is>
          <t>382–384</t>
        </is>
      </c>
      <c r="F56" t="inlineStr">
        <is>
          <t>High</t>
        </is>
      </c>
      <c r="G56" t="inlineStr">
        <is>
          <t>High (explicit)</t>
        </is>
      </c>
      <c r="H56" s="11" t="inlineStr">
        <is>
          <t>Data Storage, Consent</t>
        </is>
      </c>
      <c r="I56" s="11" t="inlineStr">
        <is>
          <t>Personal Information</t>
        </is>
      </c>
      <c r="J56" t="inlineStr"/>
      <c r="K56" s="11" t="inlineStr">
        <is>
          <t>APP entities must not collect personal information (other than sensitive information) unless it is reasonably necessary for their functions. Sensitive information requires consent or specific legal authorizations, including for health, enforcement, or non-profit organizations with defined criteria.</t>
        </is>
      </c>
      <c r="L56" s="11" t="inlineStr">
        <is>
          <t>Sets strict conditions for data collection, critical for assessing whether data transfers meet necessary purpose requirements.</t>
        </is>
      </c>
      <c r="M56" s="11" t="inlineStr">
        <is>
          <t>• [Must Not] APP entities must not collect personal information (other than sensitive information) unless reasonably necessary for functions.
• [Must Not] APP entities must not collect sensitive information without individual consent or specific legal authorizations.
• [Must] Consent for sensitive information must be reasonably necessary for functions.
• [May] Collection of sensitive information may be authorized by Australian law or court order.
• [May] Permitted general situations may allow collection of sensitive information.
• [May] Permitted health situations may allow collection of sensitive information for health organizations.
• [May] Enforcement bodies may collect sensitive information if reasonably necessary for enforcement activities.
• [May] Non-profit organizations may collect sensitive information if it relates to their activities and members.</t>
        </is>
      </c>
      <c r="N56" s="11" t="inlineStr">
        <is>
          <t>3.1 If an APP entity is an agency, the entity must not collect personal information (other than sensitive information) unless the information is reasonably necessary for, or directly related to, one or more of the entity's functions or activities.</t>
        </is>
      </c>
      <c r="O56" s="12" t="inlineStr">
        <is>
          <t>Open PDF</t>
        </is>
      </c>
    </row>
    <row r="57">
      <c r="A57" t="inlineStr">
        <is>
          <t>Australia</t>
        </is>
      </c>
      <c r="B57" t="inlineStr">
        <is>
          <t>C2026C00227 (Australia - Row 16)</t>
        </is>
      </c>
      <c r="C57" t="inlineStr">
        <is>
          <t>4</t>
        </is>
      </c>
      <c r="D57" s="11" t="inlineStr">
        <is>
          <t>Handling unsolicited personal information</t>
        </is>
      </c>
      <c r="E57" t="inlineStr">
        <is>
          <t>384–385</t>
        </is>
      </c>
      <c r="F57" t="inlineStr">
        <is>
          <t>High</t>
        </is>
      </c>
      <c r="G57" t="inlineStr">
        <is>
          <t>High (explicit)</t>
        </is>
      </c>
      <c r="H57" s="11" t="inlineStr">
        <is>
          <t>Data Storage</t>
        </is>
      </c>
      <c r="I57" s="11" t="inlineStr">
        <is>
          <t>Personal Information</t>
        </is>
      </c>
      <c r="J57" t="inlineStr"/>
      <c r="K57" s="11" t="inlineStr">
        <is>
          <t>APP entities must determine if unsolicited personal information could have been collected under Australian Privacy Principle 3. If not, they must destroy the information or ensure it is de-identified. Otherwise, Australian Privacy Principles 5-13 apply.</t>
        </is>
      </c>
      <c r="L57" s="11" t="inlineStr">
        <is>
          <t>Requires assessment of unsolicited data to prevent unnecessary data retention, critical for DTIA in cross-border contexts.</t>
        </is>
      </c>
      <c r="M57" s="11" t="inlineStr">
        <is>
          <t>• [Must] APP entities must determine if unsolicited personal information could have been collected under Australian Privacy Principle 3.
• [May] APP entities may use unsolicited information for determining compliance with Australian Privacy Principle 3.
• [Must] If unsolicited information could not have been collected, entities must destroy or de-identify it.</t>
        </is>
      </c>
      <c r="N57" s="11" t="inlineStr">
        <is>
          <t>4.1 If an APP entity receives personal information and did not solicit it, the entity must determine within a reasonable period if it could have collected the information under Australian Privacy Principle 3.</t>
        </is>
      </c>
      <c r="O57" s="12" t="inlineStr">
        <is>
          <t>Open PDF</t>
        </is>
      </c>
    </row>
    <row r="58">
      <c r="A58" t="inlineStr">
        <is>
          <t>Australia</t>
        </is>
      </c>
      <c r="B58" t="inlineStr">
        <is>
          <t>C2026C00227 (Australia - Row 16)</t>
        </is>
      </c>
      <c r="C58" t="inlineStr">
        <is>
          <t>5</t>
        </is>
      </c>
      <c r="D58" s="11" t="inlineStr">
        <is>
          <t>Notification of personal information collection</t>
        </is>
      </c>
      <c r="E58" t="inlineStr">
        <is>
          <t>385–387</t>
        </is>
      </c>
      <c r="F58" t="inlineStr">
        <is>
          <t>High</t>
        </is>
      </c>
      <c r="G58" t="inlineStr">
        <is>
          <t>High (explicit)</t>
        </is>
      </c>
      <c r="H58" s="11" t="inlineStr">
        <is>
          <t>Consent</t>
        </is>
      </c>
      <c r="I58" s="11" t="inlineStr">
        <is>
          <t>Personal Information</t>
        </is>
      </c>
      <c r="J58" t="inlineStr"/>
      <c r="K58" s="11" t="inlineStr">
        <is>
          <t>APP entities must notify individuals of specific matters related to personal information collection, including entity details, collection circumstances, legal basis, purposes, consequences of non-collection, disclosure recipients, and privacy policy access procedures.</t>
        </is>
      </c>
      <c r="L58" s="11" t="inlineStr">
        <is>
          <t>Mandates detailed notification for data transfers, essential for assessing transparency and compliance in cross-border data flows.</t>
        </is>
      </c>
      <c r="M58" s="11" t="inlineStr">
        <is>
          <t>• [Must] APP entities must notify individuals of entity identity, contact details, and collection circumstances.
• [Must] APP entities must notify individuals if information is collected from others or they are unaware of collection.
• [Must] APP entities must notify individuals if collection is legally required or authorized.
• [Must] APP entities must state purposes for collecting personal information.
• [Must] APP entities must inform individuals of consequences if information is not collected.
• [Must] APP entities must disclose other entities that receive personal information.
• [Must] APP entities must indicate if privacy policy includes access and correction procedures.
• [Must] APP entities must indicate if privacy policy includes complaint procedures.
• [Must] APP entities must state if overseas disclosure is likely.
• [Must] APP entities must list countries where overseas recipients may be located.</t>
        </is>
      </c>
      <c r="N58" s="11" t="inlineStr">
        <is>
          <t>5.1 At or before collection, APP entities must take reasonable steps to notify individuals of matters such as entity identity, collection circumstances, legal basis, purposes, consequences, disclosure recipients, and privacy policy access procedures.</t>
        </is>
      </c>
      <c r="O58" s="12" t="inlineStr">
        <is>
          <t>Open PDF</t>
        </is>
      </c>
    </row>
    <row r="59">
      <c r="A59" t="inlineStr">
        <is>
          <t>Australia</t>
        </is>
      </c>
      <c r="B59" t="inlineStr">
        <is>
          <t>C2026C00227 (Australia - Row 16)</t>
        </is>
      </c>
      <c r="C59" t="inlineStr">
        <is>
          <t>6</t>
        </is>
      </c>
      <c r="D59" s="11" t="inlineStr">
        <is>
          <t>Use or disclosure of personal information with purpose limitation</t>
        </is>
      </c>
      <c r="E59" t="inlineStr">
        <is>
          <t>387–389</t>
        </is>
      </c>
      <c r="F59" t="inlineStr">
        <is>
          <t>High</t>
        </is>
      </c>
      <c r="G59" t="inlineStr">
        <is>
          <t>High (explicit)</t>
        </is>
      </c>
      <c r="H59" s="11" t="inlineStr">
        <is>
          <t>Data Sharing, Data Storage, Consent</t>
        </is>
      </c>
      <c r="I59" s="11" t="inlineStr">
        <is>
          <t>Personal Information</t>
        </is>
      </c>
      <c r="J59" t="inlineStr"/>
      <c r="K59" s="11" t="inlineStr">
        <is>
          <t>APP entities must not use or disclose personal information for secondary purposes without individual consent, specific legal authorizations, or permitted situations. Permitted situations include health, enforcement, and non-profit organizations with defined criteria.</t>
        </is>
      </c>
      <c r="L59" s="11" t="inlineStr">
        <is>
          <t>Enforces purpose limitation for data transfers, critical for assessing whether data is used appropriately across borders.</t>
        </is>
      </c>
      <c r="M59" s="11" t="inlineStr">
        <is>
          <t>• [Must Not] APP entities must not use or disclose personal information for secondary purposes without individual consent.
• [Must Not] APP entities must not use or disclose personal information for secondary purposes without specific legal authorizations.
• [May] Permitted general situations may allow use or disclosure of information.
• [May] Permitted health situations may allow use or disclosure of information for health organizations.
• [May] Enforcement bodies may use information if reasonably necessary for enforcement activities.
• [May] Biometric information may be disclosed to enforcement bodies with specific guidelines.</t>
        </is>
      </c>
      <c r="N59" s="11" t="inlineStr">
        <is>
          <t>6.1 If an APP entity holds personal information for a primary purpose, it must not use or disclose it for another purpose without individual consent or specific legal authorizations.</t>
        </is>
      </c>
      <c r="O59" s="12" t="inlineStr">
        <is>
          <t>Open PDF</t>
        </is>
      </c>
    </row>
    <row r="60">
      <c r="A60" t="inlineStr">
        <is>
          <t>Australia</t>
        </is>
      </c>
      <c r="B60" t="inlineStr">
        <is>
          <t>C2026C00227 (Australia - Row 16)</t>
        </is>
      </c>
      <c r="C60" t="inlineStr">
        <is>
          <t>7</t>
        </is>
      </c>
      <c r="D60" s="11" t="inlineStr">
        <is>
          <t>Direct marketing consent and opt-out requirements</t>
        </is>
      </c>
      <c r="E60" t="inlineStr">
        <is>
          <t>389–392</t>
        </is>
      </c>
      <c r="F60" t="inlineStr">
        <is>
          <t>High</t>
        </is>
      </c>
      <c r="G60" t="inlineStr">
        <is>
          <t>High (explicit)</t>
        </is>
      </c>
      <c r="H60" s="11" t="inlineStr">
        <is>
          <t>Data Sharing, Consent</t>
        </is>
      </c>
      <c r="I60" s="11" t="inlineStr">
        <is>
          <t>Personal Information</t>
        </is>
      </c>
      <c r="J60" t="inlineStr">
        <is>
          <t>Privacy Commissioner</t>
        </is>
      </c>
      <c r="K60" s="11" t="inlineStr">
        <is>
          <t>Organisations must not use or disclose personal information for direct marketing unless specific conditions are met. Exceptions include obtaining consent, the individual reasonably expects marketing, providing an easy opt-out mechanism, and the individual not having opted out. Sensitive information requires explicit consent for direct marketing. Organisations must provide a simple opt-out method and respond to opt-out requests within a reasonable period without charging fees.</t>
        </is>
      </c>
      <c r="L60" s="11" t="inlineStr">
        <is>
          <t>Requires explicit consent or opt-out mechanisms for direct marketing across borders; mandates clear opt-out processes to ensure data subjects can control their marketing communications.</t>
        </is>
      </c>
      <c r="M60" s="11" t="inlineStr">
        <is>
          <t>• [Must Not] Organisation must not use or disclose personal information for direct marketing
• [Condition] Organisation may use personal information for direct marketing if individual reasonably expects use
• [Must] Organisation must provide simple opt-out mechanism for direct marketing
• [Condition] Individual must not have opted out for direct marketing
• [Must] Organisation must respond to opt-out requests within reasonable period
• [Must Not] Organisation must not charge individual for opt-out requests</t>
        </is>
      </c>
      <c r="N60" s="11" t="inlineStr">
        <is>
          <t>Direct marketing: If an organisation holds personal information about an individual, the organisation must not use or disclose the information for the purpose of direct marketing.</t>
        </is>
      </c>
      <c r="O60" s="12" t="inlineStr">
        <is>
          <t>Open PDF</t>
        </is>
      </c>
    </row>
    <row r="61">
      <c r="A61" t="inlineStr">
        <is>
          <t>Australia</t>
        </is>
      </c>
      <c r="B61" t="inlineStr">
        <is>
          <t>C2026C00227 (Australia - Row 16)</t>
        </is>
      </c>
      <c r="C61" t="inlineStr">
        <is>
          <t>8</t>
        </is>
      </c>
      <c r="D61" s="11" t="inlineStr">
        <is>
          <t>Cross-border data disclosure safeguards</t>
        </is>
      </c>
      <c r="E61" t="inlineStr">
        <is>
          <t>392–394</t>
        </is>
      </c>
      <c r="F61" t="inlineStr">
        <is>
          <t>High</t>
        </is>
      </c>
      <c r="G61" t="inlineStr">
        <is>
          <t>High (explicit)</t>
        </is>
      </c>
      <c r="H61" s="11" t="inlineStr">
        <is>
          <t>Cross-border Transfer, Security, Consent</t>
        </is>
      </c>
      <c r="I61" s="11" t="inlineStr">
        <is>
          <t>Personal Information</t>
        </is>
      </c>
      <c r="J61" t="inlineStr">
        <is>
          <t>Privacy Commissioner</t>
        </is>
      </c>
      <c r="K61" s="11" t="inlineStr">
        <is>
          <t>Before disclosing personal information to overseas recipients, entities must ensure the recipient does not breach Australian Privacy Principles. Exceptions include where the recipient is subject to equivalent laws, the individual has consented, the disclosure is legally required, or it falls under permitted general situations. Entities must verify that the recipient's protections are substantially similar to Australian standards.</t>
        </is>
      </c>
      <c r="L61" s="11" t="inlineStr">
        <is>
          <t>Sets conditions for cross-border data transfers, requiring recipient compliance with Australian privacy standards or equivalent protections to ensure data transfers are secure and lawful.</t>
        </is>
      </c>
      <c r="M61" s="11" t="inlineStr">
        <is>
          <t>• [Must] Entity must ensure overseas recipient does not breach Australian Privacy Principles
• [Condition] Recipient must have equivalent legal protections to Australian Privacy Principles
• [Condition] Entity must provide individual consent for cross-border disclosure
• [Condition] Disclosure may be legally required or authorized by Australian law
• [Condition] Entity must verify recipient is subject to prescribed country or binding scheme</t>
        </is>
      </c>
      <c r="N61" s="11" t="inlineStr">
        <is>
          <t>Before an APP entity discloses personal information about an individual to a person (the overseas recipient) who is not in Australia or an external Territory and who is not the entity or the individual, the entity must ensure the overseas recipient does not breach the Australian Privacy Principles.</t>
        </is>
      </c>
      <c r="O61" s="12" t="inlineStr">
        <is>
          <t>Open PDF</t>
        </is>
      </c>
    </row>
    <row r="62">
      <c r="A62" t="inlineStr">
        <is>
          <t>Australia</t>
        </is>
      </c>
      <c r="B62" t="inlineStr">
        <is>
          <t>C2026C00227 (Australia - Row 16)</t>
        </is>
      </c>
      <c r="C62" t="inlineStr">
        <is>
          <t>9</t>
        </is>
      </c>
      <c r="D62" s="11" t="inlineStr">
        <is>
          <t>Government identifiers usage restrictions</t>
        </is>
      </c>
      <c r="E62" t="inlineStr">
        <is>
          <t>394–396</t>
        </is>
      </c>
      <c r="F62" t="inlineStr">
        <is>
          <t>High</t>
        </is>
      </c>
      <c r="G62" t="inlineStr">
        <is>
          <t>High (explicit)</t>
        </is>
      </c>
      <c r="H62" s="11" t="inlineStr">
        <is>
          <t>Data Sharing, Consent</t>
        </is>
      </c>
      <c r="I62" s="11" t="inlineStr">
        <is>
          <t>Personal Information</t>
        </is>
      </c>
      <c r="J62" t="inlineStr">
        <is>
          <t>Privacy Commissioner</t>
        </is>
      </c>
      <c r="K62" s="11" t="inlineStr">
        <is>
          <t>Organisations must not adopt government-related identifiers without legal authorization or regulatory approval. Usage of government identifiers requires necessity for identity verification, fulfilling obligations to authorities, legal compliance, or being part of permitted general situations. Entities must ensure identifiers are prescribed by regulations and organizations are included in approved classes.</t>
        </is>
      </c>
      <c r="L62" s="11" t="inlineStr">
        <is>
          <t>Restricts cross-border data transfers involving government identifiers by requiring regulatory approval and necessity for identity verification or legal compliance.</t>
        </is>
      </c>
      <c r="M62" s="11" t="inlineStr">
        <is>
          <t>• [Must Not] Organisation must not adopt government-related identifiers without legal authorization
• [Condition] Use of government identifiers must be necessary for identity verification
• [Condition] Use of government identifiers must be necessary for fulfilling obligations to authorities
• [Condition] Use of government identifiers must be legally authorized</t>
        </is>
      </c>
      <c r="N62" s="11" t="inlineStr">
        <is>
          <t>An organisation must not adopt a government related identifier of an individual as its own identifier of the individual unless the adoption is required or authorised by or under an Australian law.</t>
        </is>
      </c>
      <c r="O62" s="12" t="inlineStr">
        <is>
          <t>Open PDF</t>
        </is>
      </c>
    </row>
    <row r="63">
      <c r="A63" t="inlineStr">
        <is>
          <t>Australia</t>
        </is>
      </c>
      <c r="B63" t="inlineStr">
        <is>
          <t>C2026C00227 (Australia - Row 16)</t>
        </is>
      </c>
      <c r="C63" t="inlineStr">
        <is>
          <t>10</t>
        </is>
      </c>
      <c r="D63" s="11" t="inlineStr">
        <is>
          <t>Personal information accuracy and completeness</t>
        </is>
      </c>
      <c r="E63" t="inlineStr">
        <is>
          <t>396</t>
        </is>
      </c>
      <c r="F63" t="inlineStr">
        <is>
          <t>High</t>
        </is>
      </c>
      <c r="G63" t="inlineStr">
        <is>
          <t>High (explicit)</t>
        </is>
      </c>
      <c r="H63" s="11" t="inlineStr"/>
      <c r="I63" s="11" t="inlineStr">
        <is>
          <t>Personal Information</t>
        </is>
      </c>
      <c r="J63" t="inlineStr">
        <is>
          <t>Privacy Commissioner</t>
        </is>
      </c>
      <c r="K63" s="11" t="inlineStr">
        <is>
          <t>Entities must ensure personal information is accurate, up-to-date, and complete when collected and when used or disclosed. This includes verifying data relevance to the intended purpose and maintaining data quality throughout the data lifecycle.</t>
        </is>
      </c>
      <c r="L63" s="11" t="inlineStr">
        <is>
          <t>Ensures data quality for cross-border transfers by requiring accurate, up-to-date, and complete personal information to prevent data misuse and ensure compliance with privacy standards.</t>
        </is>
      </c>
      <c r="M63" s="11" t="inlineStr">
        <is>
          <t>• [Must] Entity must ensure personal information is accurate, up-to-date, and complete
• [Must] Entity must ensure personal information is relevant to the purpose of use or disclosure</t>
        </is>
      </c>
      <c r="N63" s="11" t="inlineStr">
        <is>
          <t>An APP entity must take such steps (if any) as are reasonable in the circumstances to ensure that the personal information that the entity collects is accurate, up-to-date and complete.</t>
        </is>
      </c>
      <c r="O63" s="12" t="inlineStr">
        <is>
          <t>Open PDF</t>
        </is>
      </c>
    </row>
    <row r="64">
      <c r="A64" t="inlineStr">
        <is>
          <t>Australia</t>
        </is>
      </c>
      <c r="B64" t="inlineStr">
        <is>
          <t>C2026C00227 (Australia - Row 16)</t>
        </is>
      </c>
      <c r="C64" t="inlineStr">
        <is>
          <t>11</t>
        </is>
      </c>
      <c r="D64" s="11" t="inlineStr">
        <is>
          <t>Personal information security measures</t>
        </is>
      </c>
      <c r="E64" t="inlineStr">
        <is>
          <t>396–398</t>
        </is>
      </c>
      <c r="F64" t="inlineStr">
        <is>
          <t>High</t>
        </is>
      </c>
      <c r="G64" t="inlineStr">
        <is>
          <t>High (explicit)</t>
        </is>
      </c>
      <c r="H64" s="11" t="inlineStr">
        <is>
          <t>Security</t>
        </is>
      </c>
      <c r="I64" s="11" t="inlineStr">
        <is>
          <t>Personal Information</t>
        </is>
      </c>
      <c r="J64" t="inlineStr">
        <is>
          <t>Privacy Commissioner</t>
        </is>
      </c>
      <c r="K64" s="11" t="inlineStr">
        <is>
          <t>Entities must implement technical and organizational measures to protect personal information from unauthorized access, use, or disclosure. This includes ensuring data security when information is no longer needed for business purposes and is not required by law to be retained.</t>
        </is>
      </c>
      <c r="L64" s="11" t="inlineStr">
        <is>
          <t>Requires security measures for cross-border data transfers to protect personal information from breaches and unauthorized access, ensuring data remains secure during transfer and storage.</t>
        </is>
      </c>
      <c r="M64" s="11" t="inlineStr">
        <is>
          <t>• [Must] Entity must take reasonable steps to protect personal information
• [Must] Entity must ensure information is destroyed or securely handled when no longer needed</t>
        </is>
      </c>
      <c r="N64" s="11" t="inlineStr">
        <is>
          <t>If an APP entity holds personal information, the entity must take such steps as are reasonable in the circumstances to protect the information.</t>
        </is>
      </c>
      <c r="O64" s="12" t="inlineStr">
        <is>
          <t>Open PDF</t>
        </is>
      </c>
    </row>
    <row r="65">
      <c r="A65" t="inlineStr">
        <is>
          <t>Australia</t>
        </is>
      </c>
      <c r="B65" t="inlineStr">
        <is>
          <t>C2026C00227 (Australia - Row 16)</t>
        </is>
      </c>
      <c r="C65" t="inlineStr">
        <is>
          <t>12</t>
        </is>
      </c>
      <c r="D65" s="11" t="inlineStr">
        <is>
          <t>Individual access to personal information</t>
        </is>
      </c>
      <c r="E65" t="inlineStr">
        <is>
          <t>398–401</t>
        </is>
      </c>
      <c r="F65" t="inlineStr">
        <is>
          <t>High</t>
        </is>
      </c>
      <c r="G65" t="inlineStr">
        <is>
          <t>High (explicit)</t>
        </is>
      </c>
      <c r="H65" s="11" t="inlineStr"/>
      <c r="I65" s="11" t="inlineStr">
        <is>
          <t>Personal Information</t>
        </is>
      </c>
      <c r="J65" t="inlineStr">
        <is>
          <t>Privacy Commissioner</t>
        </is>
      </c>
      <c r="K65" s="11" t="inlineStr">
        <is>
          <t>Entities must provide individuals with access to their personal information upon request, with exceptions for legal obligations, privacy risks, or commercial sensitivity. Entities must respond within 30 days for agencies and a reasonable period for organizations, and must not charge fees for access requests.</t>
        </is>
      </c>
      <c r="L65" s="11" t="inlineStr">
        <is>
          <t>Ensures individuals have access to their personal information for cross-border transfers, with clear timelines and fee restrictions to prevent barriers to data access.</t>
        </is>
      </c>
      <c r="M65" s="11" t="inlineStr">
        <is>
          <t>• [Must] Entity must provide access to personal information upon request
• [Must] Entity must respond within 30 days for agencies
• [Must Not] Entity must not charge individuals for access requests</t>
        </is>
      </c>
      <c r="N65" s="11" t="inlineStr">
        <is>
          <t>If an APP entity holds personal information about an individual, the entity must, on request by the individual, give the individual access to the information.</t>
        </is>
      </c>
      <c r="O65" s="12" t="inlineStr">
        <is>
          <t>Open PDF</t>
        </is>
      </c>
    </row>
    <row r="66">
      <c r="A66" t="inlineStr">
        <is>
          <t>Australia</t>
        </is>
      </c>
      <c r="B66" t="inlineStr">
        <is>
          <t>C2026C00227 (Australia - Row 16)</t>
        </is>
      </c>
      <c r="C66" t="inlineStr">
        <is>
          <t>13</t>
        </is>
      </c>
      <c r="D66" s="11" t="inlineStr">
        <is>
          <t>Correction of personal information requests</t>
        </is>
      </c>
      <c r="E66" t="inlineStr">
        <is>
          <t>401–408</t>
        </is>
      </c>
      <c r="F66" t="inlineStr">
        <is>
          <t>Medium</t>
        </is>
      </c>
      <c r="G66" t="inlineStr">
        <is>
          <t>High (explicit)</t>
        </is>
      </c>
      <c r="H66" s="11" t="inlineStr">
        <is>
          <t>Data Sharing, Data Storage</t>
        </is>
      </c>
      <c r="I66" s="11" t="inlineStr">
        <is>
          <t>Personal Information</t>
        </is>
      </c>
      <c r="J66" t="inlineStr">
        <is>
          <t>Australian Privacy Principles (APP)</t>
        </is>
      </c>
      <c r="K66" s="11" t="inlineStr">
        <is>
          <t>An APP entity must correct inaccurate, outdated, incomplete, irrelevant, or misleading personal information when the entity determines it is inaccurate or when an individual requests correction. The entity must also notify other APP entities if the correction affects previously disclosed information, unless impracticable or unlawful. The entity must respond to correction requests within 30 days for agencies or a reasonable period for organizations, and cannot charge individuals for these services.</t>
        </is>
      </c>
      <c r="L66" s="11" t="inlineStr">
        <is>
          <t>Requires entities to correct personal information upon request and notify third parties when corrections affect previously disclosed data, impacting cross-border data transfer where corrections are made to international entities.</t>
        </is>
      </c>
      <c r="M66" s="11" t="inlineStr">
        <is>
          <t>• [Must] If an APP entity holds personal information about an individual and the entity determines the information is inaccurate, outdated, incomplete, irrelevant or misleading, the entity must correct it.
• [Must] If an APP entity corrects personal information previously disclosed to another APP entity and the individual requests notification of the correction, the entity must notify the other entity unless impracticable or unlawful.
• [Must] If an APP entity refuses to correct personal information as requested, the entity must provide written notice of reasons for refusal, available complaint mechanisms, and any other prescribed matters.
• [Must] If an APP entity refuses to correct personal information and the individual requests a statement of inaccuracy, the entity must associate the statement in a way that makes it apparent to users.
• [Must] For correction requests, an agency must respond within 30 days after the request is made, while an organization must respond within a reasonable period.
• [Must Not] An APP entity must not charge individuals for making correction requests, correcting information, or associating statements of inaccuracy.</t>
        </is>
      </c>
      <c r="N66" s="11" t="inlineStr">
        <is>
          <t>13.1 If: (a) an APP entity holds personal information about an individual; (b) either: (i) the entity is satisfied that, having regard to a purpose for which the information is held, the information is inaccurate, out-of-date, incomplete, irrelevant or misleading; or (ii) the individual requests the entity to correct the information; the entity must take such steps (if any) as are reasonable in the circumstances to correct that information to ensure that, having regard to a purpose for which the information is held, the information is accurate, up-to-date, complete, relevant and not misleading.</t>
        </is>
      </c>
      <c r="O66" s="12" t="inlineStr">
        <is>
          <t>Open PDF</t>
        </is>
      </c>
    </row>
    <row r="67">
      <c r="A67" t="inlineStr">
        <is>
          <t>Australia</t>
        </is>
      </c>
      <c r="B67" t="inlineStr">
        <is>
          <t>C2026C00227 (Australia - Row 16)</t>
        </is>
      </c>
      <c r="C67" t="inlineStr">
        <is>
          <t>13 (part 2)</t>
        </is>
      </c>
      <c r="D67" s="11" t="inlineStr">
        <is>
          <t>Correction (cont.)</t>
        </is>
      </c>
      <c r="E67" t="inlineStr">
        <is>
          <t>408–414</t>
        </is>
      </c>
      <c r="F67" t="inlineStr">
        <is>
          <t>Unknown</t>
        </is>
      </c>
      <c r="G67" t="inlineStr">
        <is>
          <t>Low</t>
        </is>
      </c>
      <c r="H67" s="11" t="inlineStr"/>
      <c r="I67" s="11" t="inlineStr"/>
      <c r="J67" t="inlineStr"/>
      <c r="K67" s="11" t="inlineStr"/>
      <c r="L67" s="11" t="inlineStr"/>
      <c r="M67" s="11" t="inlineStr"/>
      <c r="N67" s="11" t="inlineStr"/>
      <c r="O67" s="12" t="inlineStr">
        <is>
          <t>Open PDF</t>
        </is>
      </c>
    </row>
    <row r="68">
      <c r="A68" t="inlineStr">
        <is>
          <t>Australia</t>
        </is>
      </c>
      <c r="B68" t="inlineStr">
        <is>
          <t>C2026C00227 (Australia - Row 16)</t>
        </is>
      </c>
      <c r="C68" t="inlineStr">
        <is>
          <t>13 (part 3)</t>
        </is>
      </c>
      <c r="D68" s="11" t="inlineStr">
        <is>
          <t>Effect of apology on privacy liability</t>
        </is>
      </c>
      <c r="E68" t="inlineStr">
        <is>
          <t>414–421</t>
        </is>
      </c>
      <c r="F68" t="inlineStr">
        <is>
          <t>Low</t>
        </is>
      </c>
      <c r="G68" t="inlineStr">
        <is>
          <t>High (explicit)</t>
        </is>
      </c>
      <c r="H68" s="11" t="inlineStr"/>
      <c r="I68" s="11" t="inlineStr">
        <is>
          <t>Personal Information</t>
        </is>
      </c>
      <c r="J68" t="inlineStr">
        <is>
          <t>Court</t>
        </is>
      </c>
      <c r="K68" s="11" t="inlineStr">
        <is>
          <t>This section clarifies that an apology made by a defendant in connection with an invasion of privacy does not constitute an admission of fault or liability. It also states that an apology is not relevant to determining fault or liability in privacy cases. The provision applies to all parties involved in privacy invasions under this Schedule.</t>
        </is>
      </c>
      <c r="L68" s="11" t="inlineStr">
        <is>
          <t>Apologies do not automatically resolve privacy liability; courts must still assess fault and liability separately. This affects how data transfers involving privacy invasions are evaluated.</t>
        </is>
      </c>
      <c r="M68" s="11" t="inlineStr">
        <is>
          <t>• [Must Not] An apology made by or on behalf of the defendant in connection with the invasion of privacy does not constitute an express or implied admission of fault or liability
• [Must Not] An apology made by or on behalf of the defendant in connection with the invasion of privacy is not relevant to the determination of fault or liability</t>
        </is>
      </c>
      <c r="N68" s="11" t="inlineStr">
        <is>
          <t>For the purposes of this Schedule, an apology made by or on behalf of the defendant in connection with the invasion of privacy: (a) does not constitute an express or implied admission of fault or liability by the defendant in connection with the invasion of privacy; and (b) is not relevant to the determination of fault or liability in connection with the invasion of privacy.</t>
        </is>
      </c>
      <c r="O68" s="12" t="inlineStr">
        <is>
          <t>Open PDF</t>
        </is>
      </c>
    </row>
    <row r="69">
      <c r="A69" t="inlineStr">
        <is>
          <t>Australia</t>
        </is>
      </c>
      <c r="B69" t="inlineStr">
        <is>
          <t>C2026C00227 (Australia - Row 16)</t>
        </is>
      </c>
      <c r="C69" t="inlineStr">
        <is>
          <t>13 (part 4)</t>
        </is>
      </c>
      <c r="D69" s="11" t="inlineStr">
        <is>
          <t>Correction (cont.)</t>
        </is>
      </c>
      <c r="E69" t="inlineStr">
        <is>
          <t>421–430</t>
        </is>
      </c>
      <c r="F69" t="inlineStr">
        <is>
          <t>Unknown</t>
        </is>
      </c>
      <c r="G69" t="inlineStr">
        <is>
          <t>Low</t>
        </is>
      </c>
      <c r="H69" s="11" t="inlineStr"/>
      <c r="I69" s="11" t="inlineStr"/>
      <c r="J69" t="inlineStr"/>
      <c r="K69" s="11" t="inlineStr"/>
      <c r="L69" s="11" t="inlineStr"/>
      <c r="M69" s="11" t="inlineStr"/>
      <c r="N69" s="11" t="inlineStr"/>
      <c r="O69" s="12" t="inlineStr">
        <is>
          <t>Open PDF</t>
        </is>
      </c>
    </row>
    <row r="70">
      <c r="A70" t="inlineStr">
        <is>
          <t>Australia</t>
        </is>
      </c>
      <c r="B70" t="inlineStr">
        <is>
          <t>C2026C00227 (Australia - Row 16)</t>
        </is>
      </c>
      <c r="C70" t="inlineStr">
        <is>
          <t>13 (part 5)</t>
        </is>
      </c>
      <c r="D70" s="11" t="inlineStr">
        <is>
          <t>Correction (cont.)</t>
        </is>
      </c>
      <c r="E70" t="inlineStr">
        <is>
          <t>430–438</t>
        </is>
      </c>
      <c r="F70" t="inlineStr">
        <is>
          <t>Unknown</t>
        </is>
      </c>
      <c r="G70" t="inlineStr">
        <is>
          <t>Low</t>
        </is>
      </c>
      <c r="H70" s="11" t="inlineStr"/>
      <c r="I70" s="11" t="inlineStr"/>
      <c r="J70" t="inlineStr"/>
      <c r="K70" s="11" t="inlineStr"/>
      <c r="L70" s="11" t="inlineStr"/>
      <c r="M70" s="11" t="inlineStr"/>
      <c r="N70" s="11" t="inlineStr"/>
      <c r="O70" s="12" t="inlineStr">
        <is>
          <t>Open PDF</t>
        </is>
      </c>
    </row>
    <row r="71">
      <c r="A71" t="inlineStr">
        <is>
          <t>Australia</t>
        </is>
      </c>
      <c r="B71" t="inlineStr">
        <is>
          <t>C2026C00227 (Australia - Row 16)</t>
        </is>
      </c>
      <c r="C71" t="inlineStr">
        <is>
          <t>13 (part 6)</t>
        </is>
      </c>
      <c r="D71" s="11" t="inlineStr">
        <is>
          <t>Correction (cont.)</t>
        </is>
      </c>
      <c r="E71" t="inlineStr">
        <is>
          <t>438–452</t>
        </is>
      </c>
      <c r="F71" t="inlineStr">
        <is>
          <t>Unknown</t>
        </is>
      </c>
      <c r="G71" t="inlineStr">
        <is>
          <t>Low</t>
        </is>
      </c>
      <c r="H71" s="11" t="inlineStr"/>
      <c r="I71" s="11" t="inlineStr"/>
      <c r="J71" t="inlineStr"/>
      <c r="K71" s="11" t="inlineStr"/>
      <c r="L71" s="11" t="inlineStr"/>
      <c r="M71" s="11" t="inlineStr"/>
      <c r="N71" s="11" t="inlineStr"/>
      <c r="O71" s="12" t="inlineStr">
        <is>
          <t>Open PDF</t>
        </is>
      </c>
    </row>
    <row r="72">
      <c r="A72" t="inlineStr">
        <is>
          <t>Australia</t>
        </is>
      </c>
      <c r="B72" t="inlineStr">
        <is>
          <t>C2026C00227 (Australia - Row 16)</t>
        </is>
      </c>
      <c r="C72" t="inlineStr">
        <is>
          <t>13 (part 7)</t>
        </is>
      </c>
      <c r="D72" s="11" t="inlineStr">
        <is>
          <t>Correction procedures for data transfers</t>
        </is>
      </c>
      <c r="E72" t="inlineStr">
        <is>
          <t>452–472</t>
        </is>
      </c>
      <c r="F72" t="inlineStr">
        <is>
          <t>Medium</t>
        </is>
      </c>
      <c r="G72" t="inlineStr">
        <is>
          <t>High (explicit)</t>
        </is>
      </c>
      <c r="H72" s="11" t="inlineStr">
        <is>
          <t>Cross-border Transfer</t>
        </is>
      </c>
      <c r="I72" s="11" t="inlineStr">
        <is>
          <t>Personal Information</t>
        </is>
      </c>
      <c r="J72" t="inlineStr"/>
      <c r="K72" s="11" t="inlineStr">
        <is>
          <t>This section outlines procedures for correcting errors in data transfers across borders. It specifies that corrections must be made by the data controller when errors are identified, ensuring accuracy in international data transfers. The section applies to entities handling personal data that require cross-border transfers.</t>
        </is>
      </c>
      <c r="L72" s="11" t="inlineStr">
        <is>
          <t>This section requires data controllers to correct errors in international data transfers, which impacts DTIA by mandating error correction mechanisms for cross-border data flows.</t>
        </is>
      </c>
      <c r="M72" s="11" t="inlineStr">
        <is>
          <t>• [Must] Corrections must be made by the data controller when errors are identified</t>
        </is>
      </c>
      <c r="N72" s="11" t="inlineStr">
        <is>
          <t>Endnotes: Correction (cont.)</t>
        </is>
      </c>
      <c r="O72" s="12" t="inlineStr">
        <is>
          <t>Open PDF</t>
        </is>
      </c>
    </row>
    <row r="73">
      <c r="A73" t="inlineStr">
        <is>
          <t>Australia</t>
        </is>
      </c>
      <c r="B73" t="inlineStr">
        <is>
          <t>C2026C00227-1 (Australia - Row 21)</t>
        </is>
      </c>
      <c r="C73" t="inlineStr">
        <is>
          <t>1</t>
        </is>
      </c>
      <c r="D73" s="11" t="inlineStr">
        <is>
          <t>Management of personal information transparency and policy</t>
        </is>
      </c>
      <c r="E73" t="inlineStr">
        <is>
          <t>379–380</t>
        </is>
      </c>
      <c r="F73" t="inlineStr">
        <is>
          <t>Medium</t>
        </is>
      </c>
      <c r="G73" t="inlineStr">
        <is>
          <t>High (explicit)</t>
        </is>
      </c>
      <c r="H73" s="11" t="inlineStr">
        <is>
          <t>Data Sharing, Data Storage, Consent</t>
        </is>
      </c>
      <c r="I73" s="11" t="inlineStr">
        <is>
          <t>Personal Information</t>
        </is>
      </c>
      <c r="J73" t="inlineStr"/>
      <c r="K73" s="11" t="inlineStr">
        <is>
          <t>APP entities must implement practices to comply with Australian Privacy Principles and registered codes. They must also handle individual inquiries about compliance with these principles. Entities must maintain an up-to-date privacy policy detailing collected information, collection methods, purposes, access rights, complaint procedures, overseas disclosure, and recipient countries.</t>
        </is>
      </c>
      <c r="L73" s="11" t="inlineStr">
        <is>
          <t>Requires clear documentation of data handling practices to ensure transparency and compliance with privacy standards during data transfers.</t>
        </is>
      </c>
      <c r="M73" s="11" t="inlineStr">
        <is>
          <t>• [Must] APP entities must take reasonable steps to implement practices ensuring compliance with Australian Privacy Principles and registered APP codes.
• [Must] APP entities must handle individual inquiries about compliance with Australian Privacy Principles or registered codes.
• [Must] APP entities must have a clearly expressed and up-to-date policy on personal information management.
• [Must] APP privacy policy must detail collected personal information types.
• [Must] APP privacy policy must specify how personal information is collected and held.
• [Must] APP privacy policy must state purposes for collecting, holding, using, and disclosing personal information.
• [Must] APP privacy policy must outline individual access and correction procedures.
• [Must] APP privacy policy must describe complaint procedures for privacy breaches.
• [Must] APP privacy policy must indicate if overseas disclosure of personal information is likely.
• [Must] APP privacy policy must list countries where overseas recipients may be located if practicable.
• [Must] APP entities must make privacy policy available reasonably.
• [Must] APP entities must provide copies of privacy policy in requested forms.</t>
        </is>
      </c>
      <c r="N73" s="11" t="inlineStr">
        <is>
          <t>management of personal information
1.1 The object of this principle is to ensure that APP entities manage personal information in an open and transparent way. Compliance with the Australian Privacy Principles etc.</t>
        </is>
      </c>
      <c r="O73" s="12" t="inlineStr">
        <is>
          <t>Open PDF</t>
        </is>
      </c>
    </row>
    <row r="74">
      <c r="A74" t="inlineStr">
        <is>
          <t>Australia</t>
        </is>
      </c>
      <c r="B74" t="inlineStr">
        <is>
          <t>C2026C00227-1 (Australia - Row 21)</t>
        </is>
      </c>
      <c r="C74" t="inlineStr">
        <is>
          <t>2</t>
        </is>
      </c>
      <c r="D74" s="11" t="inlineStr">
        <is>
          <t>Individual anonymity and pseudonymity options</t>
        </is>
      </c>
      <c r="E74" t="inlineStr">
        <is>
          <t>380–382</t>
        </is>
      </c>
      <c r="F74" t="inlineStr">
        <is>
          <t>Low</t>
        </is>
      </c>
      <c r="G74" t="inlineStr">
        <is>
          <t>High (explicit)</t>
        </is>
      </c>
      <c r="H74" s="11" t="inlineStr"/>
      <c r="I74" s="11" t="inlineStr">
        <is>
          <t>Personal Information</t>
        </is>
      </c>
      <c r="J74" t="inlineStr"/>
      <c r="K74" s="11" t="inlineStr">
        <is>
          <t>Individuals must have the option to remain anonymous or use pseudonyms when interacting with APP entities. This does not apply if the entity is legally required to deal with identified individuals or if it is impracticable to handle anonymous individuals.</t>
        </is>
      </c>
      <c r="L74" s="11" t="inlineStr">
        <is>
          <t>Allows individuals to maintain anonymity in data interactions, relevant for data transfers where anonymity is a privacy concern.</t>
        </is>
      </c>
      <c r="M74" s="11" t="inlineStr">
        <is>
          <t>• [Must] Individuals must have the option to not identify themselves or use a pseudonym when dealing with APP entities.
• [Must Not] This does not apply if the entity is legally required to deal with identified individuals.
• [Must Not] This does not apply if it is impracticable to deal with anonymous individuals.</t>
        </is>
      </c>
      <c r="N74" s="11" t="inlineStr">
        <is>
          <t>2.1 Individuals must have the option of not identifying themselves, or of using a pseudonym, when dealing with an APP entity in relation to a particular matter.</t>
        </is>
      </c>
      <c r="O74" s="12" t="inlineStr">
        <is>
          <t>Open PDF</t>
        </is>
      </c>
    </row>
    <row r="75">
      <c r="A75" t="inlineStr">
        <is>
          <t>Australia</t>
        </is>
      </c>
      <c r="B75" t="inlineStr">
        <is>
          <t>C2026C00227-1 (Australia - Row 21)</t>
        </is>
      </c>
      <c r="C75" t="inlineStr">
        <is>
          <t>3</t>
        </is>
      </c>
      <c r="D75" s="11" t="inlineStr">
        <is>
          <t>Personal information collection requirements</t>
        </is>
      </c>
      <c r="E75" t="inlineStr">
        <is>
          <t>382–384</t>
        </is>
      </c>
      <c r="F75" t="inlineStr">
        <is>
          <t>High</t>
        </is>
      </c>
      <c r="G75" t="inlineStr">
        <is>
          <t>High (explicit)</t>
        </is>
      </c>
      <c r="H75" s="11" t="inlineStr">
        <is>
          <t>Consent</t>
        </is>
      </c>
      <c r="I75" s="11" t="inlineStr">
        <is>
          <t>Personal Information</t>
        </is>
      </c>
      <c r="J75" t="inlineStr"/>
      <c r="K75" s="11" t="inlineStr">
        <is>
          <t>APP entities must not collect personal information (other than sensitive information) unless it is reasonably necessary for their functions. Sensitive information requires consent or specific legal authorizations, including for enforcement bodies and non-profit organizations with certain conditions.</t>
        </is>
      </c>
      <c r="L75" s="11" t="inlineStr">
        <is>
          <t>Sets strict conditions for data collection, impacting cross-border transfers by requiring necessity and consent for sensitive data.</t>
        </is>
      </c>
      <c r="M75" s="11" t="inlineStr">
        <is>
          <t>• [Must Not] APP entities must not collect personal information (other than sensitive information) unless reasonably necessary for functions.
• [Must Not] APP entities must not collect sensitive information without consent or specific legal authorizations.
• [Must] Consent for sensitive information must be reasonably necessary for functions.
• [May] Collection of sensitive information may be authorized by Australian law or court order.
• [May] Permitted general situations allow collection of sensitive information.
• [May] Permitted health situations allow collection of sensitive information for organizations.
• [May] Enforcement bodies may collect sensitive information if reasonably necessary for enforcement activities.
• [May] Non-profit organizations may collect sensitive information if it relates to their activities and members.
• [Must] APP entities must collect personal information only by lawful and fair means.
• [Must] APP entities must collect personal information only from individuals unless consent or legal authorization is given.</t>
        </is>
      </c>
      <c r="N75" s="11" t="inlineStr">
        <is>
          <t>3.1 If an APP entity is an agency, the entity must not collect personal information (other than sensitive information) unless the information is reasonably necessary for, or directly related to, one or more of the entity's functions or activities.</t>
        </is>
      </c>
      <c r="O75" s="12" t="inlineStr">
        <is>
          <t>Open PDF</t>
        </is>
      </c>
    </row>
    <row r="76">
      <c r="A76" t="inlineStr">
        <is>
          <t>Australia</t>
        </is>
      </c>
      <c r="B76" t="inlineStr">
        <is>
          <t>C2026C00227-1 (Australia - Row 21)</t>
        </is>
      </c>
      <c r="C76" t="inlineStr">
        <is>
          <t>4</t>
        </is>
      </c>
      <c r="D76" s="11" t="inlineStr">
        <is>
          <t>Unsolicited personal information handling</t>
        </is>
      </c>
      <c r="E76" t="inlineStr">
        <is>
          <t>384–385</t>
        </is>
      </c>
      <c r="F76" t="inlineStr">
        <is>
          <t>High</t>
        </is>
      </c>
      <c r="G76" t="inlineStr">
        <is>
          <t>High (explicit)</t>
        </is>
      </c>
      <c r="H76" s="11" t="inlineStr"/>
      <c r="I76" s="11" t="inlineStr">
        <is>
          <t>Personal Information</t>
        </is>
      </c>
      <c r="J76" t="inlineStr"/>
      <c r="K76" s="11" t="inlineStr">
        <is>
          <t>APP entities must determine if unsolicited personal information could have been collected under Australian Privacy Principle 3. If not, they must destroy the information or ensure it is de-identified. Otherwise, Principles 5-13 apply.</t>
        </is>
      </c>
      <c r="L76" s="11" t="inlineStr">
        <is>
          <t>Requires assessment of unsolicited data to prevent unnecessary data retention and ensure compliance with data transfer rules.</t>
        </is>
      </c>
      <c r="M76" s="11" t="inlineStr">
        <is>
          <t>• [Must] APP entities must determine if unsolicited personal information could have been collected under Principle 3.
• [May] APP entities may use unsolicited information for this determination.
• [Must] If unsolicited information could not have been collected, entities must destroy or de-identify it.</t>
        </is>
      </c>
      <c r="N76" s="11" t="inlineStr">
        <is>
          <t>4.1 If an APP entity receives personal information; and the entity did not solicit the information; the entity must, within a reasonable period after receiving the information, determine whether or not the entity could have collected the information under Australian Privacy Principle 3 if the entity had solicited the information.</t>
        </is>
      </c>
      <c r="O76" s="12" t="inlineStr">
        <is>
          <t>Open PDF</t>
        </is>
      </c>
    </row>
    <row r="77">
      <c r="A77" t="inlineStr">
        <is>
          <t>Australia</t>
        </is>
      </c>
      <c r="B77" t="inlineStr">
        <is>
          <t>C2026C00227-1 (Australia - Row 21)</t>
        </is>
      </c>
      <c r="C77" t="inlineStr">
        <is>
          <t>5</t>
        </is>
      </c>
      <c r="D77" s="11" t="inlineStr">
        <is>
          <t>Notification of personal information collection</t>
        </is>
      </c>
      <c r="E77" t="inlineStr">
        <is>
          <t>385–387</t>
        </is>
      </c>
      <c r="F77" t="inlineStr">
        <is>
          <t>High</t>
        </is>
      </c>
      <c r="G77" t="inlineStr">
        <is>
          <t>High (explicit)</t>
        </is>
      </c>
      <c r="H77" s="11" t="inlineStr">
        <is>
          <t>Consent</t>
        </is>
      </c>
      <c r="I77" s="11" t="inlineStr">
        <is>
          <t>Personal Information</t>
        </is>
      </c>
      <c r="J77" t="inlineStr"/>
      <c r="K77" s="11" t="inlineStr">
        <is>
          <t>APP entities must notify individuals of specific matters related to personal information collection, including entity details, collection circumstances, legal basis, purposes, consequences of non-collection, disclosure recipients, and privacy policy access procedures.</t>
        </is>
      </c>
      <c r="L77" s="11" t="inlineStr">
        <is>
          <t>Mandates detailed notifications for data transfers, ensuring individuals understand data handling practices across borders.</t>
        </is>
      </c>
      <c r="M77" s="11" t="inlineStr">
        <is>
          <t>• [Must] APP entities must notify individuals of entity identity, contact details, and collection circumstances.
• [Must] APP entities must notify individuals if information is collected from others or they are unaware of collection.
• [Must] APP entities must notify individuals if collection is legally required or authorized.
• [Must] APP entities must specify purposes for collecting personal information.
• [Must] APP entities must state consequences of not collecting information.
• [Must] APP entities must list disclosure recipients or types of recipients.
• [Must] APP entities must indicate privacy policy access and correction procedures.
• [Must] APP entities must indicate if overseas disclosure is likely.
• [Must] APP entities must specify countries where overseas recipients may be located if practicable.</t>
        </is>
      </c>
      <c r="N77" s="11" t="inlineStr">
        <is>
          <t>5.1 At or before the time or, if that is not practicable, as soon as practicable after, an APP entity collects personal information about an individual, the entity must take such steps (if any) as are reasonable in the circumstances: to notify the individual of such matters referred to in subclause 5.2 as are reasonable in the circumstances.</t>
        </is>
      </c>
      <c r="O77" s="12" t="inlineStr">
        <is>
          <t>Open PDF</t>
        </is>
      </c>
    </row>
    <row r="78">
      <c r="A78" t="inlineStr">
        <is>
          <t>Australia</t>
        </is>
      </c>
      <c r="B78" t="inlineStr">
        <is>
          <t>C2026C00227-1 (Australia - Row 21)</t>
        </is>
      </c>
      <c r="C78" t="inlineStr">
        <is>
          <t>6</t>
        </is>
      </c>
      <c r="D78" s="11" t="inlineStr">
        <is>
          <t>Use and disclosure of personal information</t>
        </is>
      </c>
      <c r="E78" t="inlineStr">
        <is>
          <t>387–389</t>
        </is>
      </c>
      <c r="F78" t="inlineStr">
        <is>
          <t>High</t>
        </is>
      </c>
      <c r="G78" t="inlineStr">
        <is>
          <t>High (explicit)</t>
        </is>
      </c>
      <c r="H78" s="11" t="inlineStr">
        <is>
          <t>Data Sharing, Data Storage</t>
        </is>
      </c>
      <c r="I78" s="11" t="inlineStr">
        <is>
          <t>Personal Information</t>
        </is>
      </c>
      <c r="J78" t="inlineStr"/>
      <c r="K78" s="11" t="inlineStr">
        <is>
          <t>APP entities must not use or disclose personal information for secondary purposes without consent, specific legal authorizations, permitted situations, or reasonable necessity for enforcement activities. Exceptions include direct marketing and government identifiers.</t>
        </is>
      </c>
      <c r="L78" s="11" t="inlineStr">
        <is>
          <t>Restricts data use and disclosure across borders by requiring consent or legal basis for secondary purposes, critical for international data transfers.</t>
        </is>
      </c>
      <c r="M78" s="11" t="inlineStr">
        <is>
          <t>• [Must Not] APP entities must not use or disclose personal information for secondary purposes without consent or specific conditions.
• [Must] Secondary purpose must be directly related to primary purpose for sensitive information.
• [Must] Secondary purpose must be related to primary purpose for non-sensitive information.
• [May] Use or disclosure may be legally required or authorized.
• [May] Permitted general situations allow use or disclosure.
• [May] Permitted health situations allow use or disclosure for organizations.
• [May] Enforcement bodies may use information reasonably necessary for enforcement activities.
• [May] Biometric information may be disclosed to enforcement bodies with Commissioner guidelines.
• [Must] APP entities must make written notes of use or disclosure under specific conditions.
• [Must Not] Use or disclosure by organizations for direct marketing is exempt.
• [Must Not] Use or disclosure of government related identifiers is exempt.</t>
        </is>
      </c>
      <c r="N78" s="11" t="inlineStr">
        <is>
          <t>6.1 If an APP entity holds personal information about an individual that was collected for a particular purpose (the primary purpose), the entity must not use or disclose the information for another purpose (the secondary purpose) unless: the individual has consented to the use or disclosure of the information or subclause 6.2 or 6.3 applies in relation to the use or disclosure of the information.</t>
        </is>
      </c>
      <c r="O78" s="12" t="inlineStr">
        <is>
          <t>Open PDF</t>
        </is>
      </c>
    </row>
    <row r="79">
      <c r="A79" t="inlineStr">
        <is>
          <t>Australia</t>
        </is>
      </c>
      <c r="B79" t="inlineStr">
        <is>
          <t>C2026C00227-1 (Australia - Row 21)</t>
        </is>
      </c>
      <c r="C79" t="inlineStr">
        <is>
          <t>7</t>
        </is>
      </c>
      <c r="D79" s="11" t="inlineStr">
        <is>
          <t>Direct marketing consent and opt-out requirements</t>
        </is>
      </c>
      <c r="E79" t="inlineStr">
        <is>
          <t>389–392</t>
        </is>
      </c>
      <c r="F79" t="inlineStr">
        <is>
          <t>High</t>
        </is>
      </c>
      <c r="G79" t="inlineStr">
        <is>
          <t>High (explicit)</t>
        </is>
      </c>
      <c r="H79" s="11" t="inlineStr">
        <is>
          <t>Data Sharing, Consent</t>
        </is>
      </c>
      <c r="I79" s="11" t="inlineStr">
        <is>
          <t>Personal Information</t>
        </is>
      </c>
      <c r="J79" t="inlineStr">
        <is>
          <t>Privacy Act 1988 (Cth)</t>
        </is>
      </c>
      <c r="K79" s="11" t="inlineStr">
        <is>
          <t>Organisations must not use or disclose personal information for direct marketing unless specific conditions are met. Exceptions include obtaining consent, the individual reasonably expects marketing, providing an easy opt-out mechanism, and the individual not having opted out. Sensitive information requires explicit consent for direct marketing. Organisations must provide a simple opt-out method and respond to opt-out requests within a reasonable period without charging fees.</t>
        </is>
      </c>
      <c r="L79" s="11" t="inlineStr">
        <is>
          <t>Requires explicit consent or opt-out mechanisms for direct marketing across borders; mandates clear opt-out processes to ensure data subjects can control their marketing communications.</t>
        </is>
      </c>
      <c r="M79" s="11" t="inlineStr">
        <is>
          <t>• [Must Not] Organisation must not use or disclose personal information for direct marketing
• [Condition] Organisation may use personal information for direct marketing if individual reasonably expects use
• [Must] Organisation must provide simple opt-out mechanism for direct marketing
• [Condition] Individual must not have opted out for direct marketing
• [Must] Organisation must respond to opt-out requests within reasonable period
• [Must Not] Organisation must not charge individual for opt-out requests</t>
        </is>
      </c>
      <c r="N79" s="11" t="inlineStr">
        <is>
          <t>Direct marketing: If an organisation holds personal information about an individual, the organisation must not use or disclose the information for the purpose of direct marketing.</t>
        </is>
      </c>
      <c r="O79" s="12" t="inlineStr">
        <is>
          <t>Open PDF</t>
        </is>
      </c>
    </row>
    <row r="80">
      <c r="A80" t="inlineStr">
        <is>
          <t>Australia</t>
        </is>
      </c>
      <c r="B80" t="inlineStr">
        <is>
          <t>C2026C00227-1 (Australia - Row 21)</t>
        </is>
      </c>
      <c r="C80" t="inlineStr">
        <is>
          <t>8</t>
        </is>
      </c>
      <c r="D80" s="11" t="inlineStr">
        <is>
          <t>Cross-border data disclosure safeguards</t>
        </is>
      </c>
      <c r="E80" t="inlineStr">
        <is>
          <t>392–394</t>
        </is>
      </c>
      <c r="F80" t="inlineStr">
        <is>
          <t>High</t>
        </is>
      </c>
      <c r="G80" t="inlineStr">
        <is>
          <t>High (explicit)</t>
        </is>
      </c>
      <c r="H80" s="11" t="inlineStr">
        <is>
          <t>Cross-border Transfer, Security, Consent</t>
        </is>
      </c>
      <c r="I80" s="11" t="inlineStr">
        <is>
          <t>Personal Information</t>
        </is>
      </c>
      <c r="J80" t="inlineStr">
        <is>
          <t>Privacy Act 1988 (Cth)</t>
        </is>
      </c>
      <c r="K80" s="11" t="inlineStr">
        <is>
          <t>Before disclosing personal information to overseas recipients, entities must ensure the recipient does not breach Australian Privacy Principles. Exceptions include where the recipient is subject to equivalent laws, individuals have consented, disclosures are legally required, or specific permitted situations exist. Entities must verify that the recipient's protections are substantially similar to Australian standards.</t>
        </is>
      </c>
      <c r="L80" s="11" t="inlineStr">
        <is>
          <t>Requires robust safeguards for cross-border data transfers, including equivalent legal protections or explicit consent, to prevent breaches of Australian privacy standards when transferring data internationally.</t>
        </is>
      </c>
      <c r="M80" s="11" t="inlineStr">
        <is>
          <t>• [Must] Entity must ensure overseas recipient does not breach Australian Privacy Principles
• [Condition] Recipient must have equivalent legal protections to Australian Privacy Principles
• [Condition] Individual must consent to disclosure after being informed
• [Condition] Disclosure must be legally required or authorized by Australian law
• [Condition] Entity must verify recipient is subject to prescribed country or binding scheme</t>
        </is>
      </c>
      <c r="N80" s="11" t="inlineStr">
        <is>
          <t>Before an APP entity discloses personal information about an individual to a person (the overseas recipient) who is not in Australia or an external Territory and who is not the entity or the individual, the entity must ensure the overseas recipient does not breach the Australian Privacy Principles.</t>
        </is>
      </c>
      <c r="O80" s="12" t="inlineStr">
        <is>
          <t>Open PDF</t>
        </is>
      </c>
    </row>
    <row r="81">
      <c r="A81" t="inlineStr">
        <is>
          <t>Australia</t>
        </is>
      </c>
      <c r="B81" t="inlineStr">
        <is>
          <t>C2026C00227-1 (Australia - Row 21)</t>
        </is>
      </c>
      <c r="C81" t="inlineStr">
        <is>
          <t>9</t>
        </is>
      </c>
      <c r="D81" s="11" t="inlineStr">
        <is>
          <t>Government identifiers usage restrictions</t>
        </is>
      </c>
      <c r="E81" t="inlineStr">
        <is>
          <t>394–396</t>
        </is>
      </c>
      <c r="F81" t="inlineStr">
        <is>
          <t>High</t>
        </is>
      </c>
      <c r="G81" t="inlineStr">
        <is>
          <t>High (explicit)</t>
        </is>
      </c>
      <c r="H81" s="11" t="inlineStr">
        <is>
          <t>Data Sharing, Consent</t>
        </is>
      </c>
      <c r="I81" s="11" t="inlineStr">
        <is>
          <t>Personal Information</t>
        </is>
      </c>
      <c r="J81" t="inlineStr">
        <is>
          <t>Privacy Act 1988 (Cth)</t>
        </is>
      </c>
      <c r="K81" s="11" t="inlineStr">
        <is>
          <t>Organisations must not adopt or use government-related identifiers without legal authorization or regulatory approval. Usage must be necessary for identity verification, fulfilling obligations to authorities, or complying with specific legal requirements. Entities must follow prescribed regulations for identifier adoption and use.</t>
        </is>
      </c>
      <c r="L81" s="11" t="inlineStr">
        <is>
          <t>Restricts cross-border data transfers involving government identifiers by requiring legal authorization or regulatory compliance to ensure data integrity and privacy.</t>
        </is>
      </c>
      <c r="M81" s="11" t="inlineStr">
        <is>
          <t>• [Must Not] Organisation must not adopt government-related identifiers without legal authorization
• [Condition] Use of government identifiers must be necessary for identity verification
• [Condition] Use of government identifiers must be necessary for fulfilling obligations to authorities
• [Condition] Use of government identifiers must comply with legal requirements</t>
        </is>
      </c>
      <c r="N81" s="11" t="inlineStr">
        <is>
          <t>An organisation must not adopt a government related identifier of an individual as its own identifier of the individual unless the adoption is required or authorised by or under an Australian law.</t>
        </is>
      </c>
      <c r="O81" s="12" t="inlineStr">
        <is>
          <t>Open PDF</t>
        </is>
      </c>
    </row>
    <row r="82">
      <c r="A82" t="inlineStr">
        <is>
          <t>Australia</t>
        </is>
      </c>
      <c r="B82" t="inlineStr">
        <is>
          <t>C2026C00227-1 (Australia - Row 21)</t>
        </is>
      </c>
      <c r="C82" t="inlineStr">
        <is>
          <t>10</t>
        </is>
      </c>
      <c r="D82" s="11" t="inlineStr">
        <is>
          <t>Personal information accuracy and completeness</t>
        </is>
      </c>
      <c r="E82" t="inlineStr">
        <is>
          <t>396</t>
        </is>
      </c>
      <c r="F82" t="inlineStr">
        <is>
          <t>High</t>
        </is>
      </c>
      <c r="G82" t="inlineStr">
        <is>
          <t>High (explicit)</t>
        </is>
      </c>
      <c r="H82" s="11" t="inlineStr"/>
      <c r="I82" s="11" t="inlineStr">
        <is>
          <t>Personal Information</t>
        </is>
      </c>
      <c r="J82" t="inlineStr">
        <is>
          <t>Privacy Act 1988 (Cth)</t>
        </is>
      </c>
      <c r="K82" s="11" t="inlineStr">
        <is>
          <t>Entities must ensure personal information is accurate, up-to-date, and complete when collected and when used or disclosed. This includes verifying data relevance to the intended purpose to maintain data quality and privacy compliance.</t>
        </is>
      </c>
      <c r="L82" s="11" t="inlineStr">
        <is>
          <t>Ensures data accuracy and completeness for cross-border transfers by requiring entities to maintain high-quality data, reducing risks of breaches and non-compliance.</t>
        </is>
      </c>
      <c r="M82" s="11" t="inlineStr">
        <is>
          <t>• [Must] Entity must ensure personal information is accurate, up-to-date, and complete
• [Must] Entity must ensure personal information is relevant to the purpose of use or disclosure</t>
        </is>
      </c>
      <c r="N82" s="11" t="inlineStr">
        <is>
          <t>An APP entity must take such steps as are reasonable in the circumstances to ensure that the personal information that the entity collects is accurate, up-to-date and complete.</t>
        </is>
      </c>
      <c r="O82" s="12" t="inlineStr">
        <is>
          <t>Open PDF</t>
        </is>
      </c>
    </row>
    <row r="83">
      <c r="A83" t="inlineStr">
        <is>
          <t>Australia</t>
        </is>
      </c>
      <c r="B83" t="inlineStr">
        <is>
          <t>C2026C00227-1 (Australia - Row 21)</t>
        </is>
      </c>
      <c r="C83" t="inlineStr">
        <is>
          <t>11</t>
        </is>
      </c>
      <c r="D83" s="11" t="inlineStr">
        <is>
          <t>Personal information security measures</t>
        </is>
      </c>
      <c r="E83" t="inlineStr">
        <is>
          <t>396–398</t>
        </is>
      </c>
      <c r="F83" t="inlineStr">
        <is>
          <t>High</t>
        </is>
      </c>
      <c r="G83" t="inlineStr">
        <is>
          <t>High (explicit)</t>
        </is>
      </c>
      <c r="H83" s="11" t="inlineStr">
        <is>
          <t>Security</t>
        </is>
      </c>
      <c r="I83" s="11" t="inlineStr">
        <is>
          <t>Personal Information</t>
        </is>
      </c>
      <c r="J83" t="inlineStr">
        <is>
          <t>Privacy Act 1988 (Cth)</t>
        </is>
      </c>
      <c r="K83" s="11" t="inlineStr">
        <is>
          <t>Entities must implement technical and organizational measures to protect personal information from unauthorized access, use, or disclosure. This includes ensuring data security during storage and transmission to prevent breaches and maintain confidentiality.</t>
        </is>
      </c>
      <c r="L83" s="11" t="inlineStr">
        <is>
          <t>Requires robust security measures for cross-border data transfers to protect personal information from breaches, ensuring compliance with international data transfer standards.</t>
        </is>
      </c>
      <c r="M83" s="11" t="inlineStr">
        <is>
          <t>• [Must] Entity must take reasonable steps to protect personal information
• [Must] Entity must implement technical and organizational measures for security</t>
        </is>
      </c>
      <c r="N83" s="11" t="inlineStr">
        <is>
          <t>If an APP entity holds personal information, the entity must take such steps as are reasonable in the circumstances to protect the information.</t>
        </is>
      </c>
      <c r="O83" s="12" t="inlineStr">
        <is>
          <t>Open PDF</t>
        </is>
      </c>
    </row>
    <row r="84">
      <c r="A84" t="inlineStr">
        <is>
          <t>Australia</t>
        </is>
      </c>
      <c r="B84" t="inlineStr">
        <is>
          <t>C2026C00227-1 (Australia - Row 21)</t>
        </is>
      </c>
      <c r="C84" t="inlineStr">
        <is>
          <t>12</t>
        </is>
      </c>
      <c r="D84" s="11" t="inlineStr">
        <is>
          <t>Individual access to personal information</t>
        </is>
      </c>
      <c r="E84" t="inlineStr">
        <is>
          <t>398–401</t>
        </is>
      </c>
      <c r="F84" t="inlineStr">
        <is>
          <t>High</t>
        </is>
      </c>
      <c r="G84" t="inlineStr">
        <is>
          <t>High (explicit)</t>
        </is>
      </c>
      <c r="H84" s="11" t="inlineStr"/>
      <c r="I84" s="11" t="inlineStr">
        <is>
          <t>Personal Information</t>
        </is>
      </c>
      <c r="J84" t="inlineStr">
        <is>
          <t>Privacy Act 1988 (Cth)</t>
        </is>
      </c>
      <c r="K84" s="11" t="inlineStr">
        <is>
          <t>Entities must provide individuals with access to their personal information upon request, with exceptions for legal obligations, privacy risks, or commercial sensitivity. Entities must respond within 30 days for agencies and a reasonable period for organizations, and may use intermediaries to facilitate access without charging fees.</t>
        </is>
      </c>
      <c r="L84" s="11" t="inlineStr">
        <is>
          <t>Ensures individuals can access their personal information across borders, with clear timelines and mechanisms for resolving access disputes, critical for data subject rights in international contexts.</t>
        </is>
      </c>
      <c r="M84" s="11" t="inlineStr">
        <is>
          <t>• [Must] Entity must provide access to personal information upon request
• [Must] Entity must respond to access requests within 30 days for agencies
• [Must] Entity must respond to access requests within reasonable period for organizations
• [Must Not] Entity must not charge individuals for access requests</t>
        </is>
      </c>
      <c r="N84" s="11" t="inlineStr">
        <is>
          <t>If an APP entity holds personal information about an individual, the entity must, on request by the individual, give the individual access to the information.</t>
        </is>
      </c>
      <c r="O84" s="12" t="inlineStr">
        <is>
          <t>Open PDF</t>
        </is>
      </c>
    </row>
    <row r="85">
      <c r="A85" t="inlineStr">
        <is>
          <t>Australia</t>
        </is>
      </c>
      <c r="B85" t="inlineStr">
        <is>
          <t>C2026C00227-1 (Australia - Row 21)</t>
        </is>
      </c>
      <c r="C85" t="inlineStr">
        <is>
          <t>13</t>
        </is>
      </c>
      <c r="D85" s="11" t="inlineStr">
        <is>
          <t>Correction of personal information requests</t>
        </is>
      </c>
      <c r="E85" t="inlineStr">
        <is>
          <t>401–408</t>
        </is>
      </c>
      <c r="F85" t="inlineStr">
        <is>
          <t>Medium</t>
        </is>
      </c>
      <c r="G85" t="inlineStr">
        <is>
          <t>High (explicit)</t>
        </is>
      </c>
      <c r="H85" s="11" t="inlineStr">
        <is>
          <t>Data Sharing, Data Storage</t>
        </is>
      </c>
      <c r="I85" s="11" t="inlineStr">
        <is>
          <t>Personal Information</t>
        </is>
      </c>
      <c r="J85" t="inlineStr">
        <is>
          <t>Australian Privacy Principles (APP)</t>
        </is>
      </c>
      <c r="K85" s="11" t="inlineStr">
        <is>
          <t>An APP entity must correct inaccurate, outdated, incomplete, irrelevant, or misleading personal information when the entity determines it is inaccurate or the individual requests correction. The entity must also notify other APP entities if the correction affects previously disclosed information and the individual requests such notification. The entity must respond to correction requests within 30 days if it is an agency or within a reasonable period if it is an organisation. The entity must not charge the individual for these services.</t>
        </is>
      </c>
      <c r="L85" s="11" t="inlineStr">
        <is>
          <t>This section requires entities to correct personal information upon request and notify third parties when corrections are made, impacting data transfer and storage practices across borders where personal information is shared.</t>
        </is>
      </c>
      <c r="M85" s="11" t="inlineStr">
        <is>
          <t>• [Must] If an APP entity holds personal information about an individual and the entity is satisfied the information is inaccurate, out-of-date, incomplete, irrelevant or misleading, the entity must correct the information.
• [Must] If an APP entity corrects personal information previously disclosed to another APP entity and the individual requests notification, the entity must notify the other entity unless impracticable or unlawful.
• [Must] If an APP entity refuses to correct personal information, it must provide written notice with reasons for refusal, complaint mechanisms, and any other prescribed matters.
• [Must] If an APP entity refuses to correct personal information and the individual requests a statement of inaccuracy, the entity must associate the statement in a way that makes it apparent to users.
• [Must] APP entities must respond to correction requests within 30 days if they are agencies or within a reasonable period if they are organisations.
• [Must Not] APP entities must not charge individuals for making correction requests, correcting information, or associating statements.</t>
        </is>
      </c>
      <c r="N85" s="11" t="inlineStr">
        <is>
          <t>13.1 If: (a) an APP entity holds personal information about an individual; (b) either: (i) the entity is satisfied that, having regard to a purpose for which the information is held, the information is inaccurate, out-of-date, incomplete, irrelevant or misleading; or (ii) the individual requests the entity to correct the information; the entity must take such steps (if any) as are reasonable in the circumstances to correct that information...</t>
        </is>
      </c>
      <c r="O85" s="12" t="inlineStr">
        <is>
          <t>Open PDF</t>
        </is>
      </c>
    </row>
    <row r="86">
      <c r="A86" t="inlineStr">
        <is>
          <t>Australia</t>
        </is>
      </c>
      <c r="B86" t="inlineStr">
        <is>
          <t>C2026C00227-1 (Australia - Row 21)</t>
        </is>
      </c>
      <c r="C86" t="inlineStr">
        <is>
          <t>13 (part 2)</t>
        </is>
      </c>
      <c r="D86" s="11" t="inlineStr">
        <is>
          <t>Correction (cont.)</t>
        </is>
      </c>
      <c r="E86" t="inlineStr">
        <is>
          <t>408–414</t>
        </is>
      </c>
      <c r="F86" t="inlineStr">
        <is>
          <t>Unknown</t>
        </is>
      </c>
      <c r="G86" t="inlineStr">
        <is>
          <t>Low</t>
        </is>
      </c>
      <c r="H86" s="11" t="inlineStr"/>
      <c r="I86" s="11" t="inlineStr"/>
      <c r="J86" t="inlineStr"/>
      <c r="K86" s="11" t="inlineStr"/>
      <c r="L86" s="11" t="inlineStr"/>
      <c r="M86" s="11" t="inlineStr"/>
      <c r="N86" s="11" t="inlineStr"/>
      <c r="O86" s="12" t="inlineStr">
        <is>
          <t>Open PDF</t>
        </is>
      </c>
    </row>
    <row r="87">
      <c r="A87" t="inlineStr">
        <is>
          <t>Australia</t>
        </is>
      </c>
      <c r="B87" t="inlineStr">
        <is>
          <t>C2026C00227-1 (Australia - Row 21)</t>
        </is>
      </c>
      <c r="C87" t="inlineStr">
        <is>
          <t>13 (part 3)</t>
        </is>
      </c>
      <c r="D87" s="11" t="inlineStr">
        <is>
          <t>Effect of apology on privacy liability</t>
        </is>
      </c>
      <c r="E87" t="inlineStr">
        <is>
          <t>414–421</t>
        </is>
      </c>
      <c r="F87" t="inlineStr">
        <is>
          <t>None</t>
        </is>
      </c>
      <c r="G87" t="inlineStr">
        <is>
          <t>High (explicit)</t>
        </is>
      </c>
      <c r="H87" s="11" t="inlineStr">
        <is>
          <t>Consent, Incident Reporting, Breach Notification</t>
        </is>
      </c>
      <c r="I87" s="11" t="inlineStr">
        <is>
          <t>Personal Information</t>
        </is>
      </c>
      <c r="J87" t="inlineStr"/>
      <c r="K87" s="11" t="inlineStr">
        <is>
          <t>This section clarifies that an apology made by a defendant in connection with an invasion of privacy does not constitute an admission of fault or liability. It also states that an apology is not relevant to determining fault or liability in privacy cases. The provision applies to all parties involved in privacy invasions under this Schedule.</t>
        </is>
      </c>
      <c r="L87" s="11" t="inlineStr"/>
      <c r="M87" s="11" t="inlineStr">
        <is>
          <t>• [Must Not] An apology made by or on behalf of the defendant in connection with the invasion of privacy does not constitute an express or implied admission of fault or liability by the defendant
• [Must Not] An apology made by or on behalf of the defendant in connection with the invasion of privacy is not relevant to the determination of fault or liability in connection with the invasion of privacy</t>
        </is>
      </c>
      <c r="N87" s="11" t="inlineStr">
        <is>
          <t>For the purposes of this Schedule, an apology made by or on behalf of the defendant in connection with the invasion of privacy: (a) does not constitute an express or implied admission of fault or liability by the defendant in connection with the invasion of privacy; and (b) is not relevant to the determination of fault or liability in connection with the invasion of privacy.</t>
        </is>
      </c>
      <c r="O87" s="12" t="inlineStr">
        <is>
          <t>Open PDF</t>
        </is>
      </c>
    </row>
    <row r="88">
      <c r="A88" t="inlineStr">
        <is>
          <t>Australia</t>
        </is>
      </c>
      <c r="B88" t="inlineStr">
        <is>
          <t>C2026C00227-1 (Australia - Row 21)</t>
        </is>
      </c>
      <c r="C88" t="inlineStr">
        <is>
          <t>13 (part 4)</t>
        </is>
      </c>
      <c r="D88" s="11" t="inlineStr">
        <is>
          <t>Correction (cont.)</t>
        </is>
      </c>
      <c r="E88" t="inlineStr">
        <is>
          <t>421–430</t>
        </is>
      </c>
      <c r="F88" t="inlineStr">
        <is>
          <t>Unknown</t>
        </is>
      </c>
      <c r="G88" t="inlineStr">
        <is>
          <t>Low</t>
        </is>
      </c>
      <c r="H88" s="11" t="inlineStr"/>
      <c r="I88" s="11" t="inlineStr"/>
      <c r="J88" t="inlineStr"/>
      <c r="K88" s="11" t="inlineStr"/>
      <c r="L88" s="11" t="inlineStr"/>
      <c r="M88" s="11" t="inlineStr"/>
      <c r="N88" s="11" t="inlineStr"/>
      <c r="O88" s="12" t="inlineStr">
        <is>
          <t>Open PDF</t>
        </is>
      </c>
    </row>
    <row r="89">
      <c r="A89" t="inlineStr">
        <is>
          <t>Australia</t>
        </is>
      </c>
      <c r="B89" t="inlineStr">
        <is>
          <t>C2026C00227-1 (Australia - Row 21)</t>
        </is>
      </c>
      <c r="C89" t="inlineStr">
        <is>
          <t>13 (part 5)</t>
        </is>
      </c>
      <c r="D89" s="11" t="inlineStr">
        <is>
          <t>Correction (cont.)</t>
        </is>
      </c>
      <c r="E89" t="inlineStr">
        <is>
          <t>430–438</t>
        </is>
      </c>
      <c r="F89" t="inlineStr">
        <is>
          <t>Unknown</t>
        </is>
      </c>
      <c r="G89" t="inlineStr">
        <is>
          <t>Low</t>
        </is>
      </c>
      <c r="H89" s="11" t="inlineStr"/>
      <c r="I89" s="11" t="inlineStr"/>
      <c r="J89" t="inlineStr"/>
      <c r="K89" s="11" t="inlineStr"/>
      <c r="L89" s="11" t="inlineStr"/>
      <c r="M89" s="11" t="inlineStr"/>
      <c r="N89" s="11" t="inlineStr"/>
      <c r="O89" s="12" t="inlineStr">
        <is>
          <t>Open PDF</t>
        </is>
      </c>
    </row>
    <row r="90">
      <c r="A90" t="inlineStr">
        <is>
          <t>Australia</t>
        </is>
      </c>
      <c r="B90" t="inlineStr">
        <is>
          <t>C2026C00227-1 (Australia - Row 21)</t>
        </is>
      </c>
      <c r="C90" t="inlineStr">
        <is>
          <t>13 (part 6)</t>
        </is>
      </c>
      <c r="D90" s="11" t="inlineStr">
        <is>
          <t>Correction (cont.)</t>
        </is>
      </c>
      <c r="E90" t="inlineStr">
        <is>
          <t>438–452</t>
        </is>
      </c>
      <c r="F90" t="inlineStr">
        <is>
          <t>Unknown</t>
        </is>
      </c>
      <c r="G90" t="inlineStr">
        <is>
          <t>Low</t>
        </is>
      </c>
      <c r="H90" s="11" t="inlineStr"/>
      <c r="I90" s="11" t="inlineStr"/>
      <c r="J90" t="inlineStr"/>
      <c r="K90" s="11" t="inlineStr"/>
      <c r="L90" s="11" t="inlineStr"/>
      <c r="M90" s="11" t="inlineStr"/>
      <c r="N90" s="11" t="inlineStr"/>
      <c r="O90" s="12" t="inlineStr">
        <is>
          <t>Open PDF</t>
        </is>
      </c>
    </row>
    <row r="91">
      <c r="A91" t="inlineStr">
        <is>
          <t>Australia</t>
        </is>
      </c>
      <c r="B91" t="inlineStr">
        <is>
          <t>C2026C00227-1 (Australia - Row 21)</t>
        </is>
      </c>
      <c r="C91" t="inlineStr">
        <is>
          <t>13 (part 7)</t>
        </is>
      </c>
      <c r="D91" s="11" t="inlineStr">
        <is>
          <t>Correction of legislative references</t>
        </is>
      </c>
      <c r="E91" t="inlineStr">
        <is>
          <t>452–472</t>
        </is>
      </c>
      <c r="F91" t="inlineStr">
        <is>
          <t>None</t>
        </is>
      </c>
      <c r="G91" t="inlineStr">
        <is>
          <t>High (explicit)</t>
        </is>
      </c>
      <c r="H91" s="11"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91" s="11" t="inlineStr">
        <is>
          <t>Personal Information, Financial Data, Customer Data, Employee Data, Health Data, Children's Data, Biometric Data, Special Personal Information</t>
        </is>
      </c>
      <c r="J91" t="inlineStr"/>
      <c r="K91" s="11" t="inlineStr">
        <is>
          <t>This section lists amendments and repeals affecting previous provisions. It specifies which amendments (am), repeals (rep), and other legislative changes (rs, ad) have been applied to various sections of the Act. The section does not create new obligations but updates references to ensure accurate legislative tracking.</t>
        </is>
      </c>
      <c r="L91" s="11" t="inlineStr"/>
      <c r="M91" s="11" t="inlineStr">
        <is>
          <t>• [Condition] Amendments and repeals are listed for specific sections of the Act</t>
        </is>
      </c>
      <c r="N91" s="11" t="inlineStr">
        <is>
          <t>Endnotes: Compilation of amendments and repeals affecting previous provisions.</t>
        </is>
      </c>
      <c r="O91" s="12" t="inlineStr">
        <is>
          <t>Open PDF</t>
        </is>
      </c>
    </row>
    <row r="92">
      <c r="A92" t="inlineStr">
        <is>
          <t>Australia</t>
        </is>
      </c>
      <c r="B92" t="inlineStr">
        <is>
          <t>Essential Eight explained (November 2023) (Australia - Row 11)</t>
        </is>
      </c>
      <c r="C92" t="inlineStr">
        <is>
          <t>p1</t>
        </is>
      </c>
      <c r="D92" s="11" t="inlineStr">
        <is>
          <t>Essential Eight cybersecurity mitigation strategies for organizations</t>
        </is>
      </c>
      <c r="E92" t="inlineStr">
        <is>
          <t>1–2</t>
        </is>
      </c>
      <c r="F92" t="inlineStr">
        <is>
          <t>Medium</t>
        </is>
      </c>
      <c r="G92" t="inlineStr">
        <is>
          <t>High (explicit)</t>
        </is>
      </c>
      <c r="H92" s="11" t="inlineStr">
        <is>
          <t>Security</t>
        </is>
      </c>
      <c r="I92" s="11" t="inlineStr">
        <is>
          <t>Personal Information</t>
        </is>
      </c>
      <c r="J92" t="inlineStr">
        <is>
          <t>Australian Signals Directorate (ASD)</t>
        </is>
      </c>
      <c r="K92" s="11" t="inlineStr">
        <is>
          <t>The Essential Eight are prioritized cyber security mitigation strategies developed by the Australian Signals Directorate (ASD) to protect organizations' internet-connected information technology networks. These strategies include patching applications and operating systems, implementing multi-factor authentication, restricting administrative privileges, applying application controls, limiting Microsoft Office macros, hardening user applications, and maintaining regular backups. The strategies are designed specifically for standard IT networks and not for enterprise mobility or operational technology environments where alternative approaches may be more appropriate.</t>
        </is>
      </c>
      <c r="L92" s="11" t="inlineStr">
        <is>
          <t>These eight specific technical controls are critical for DTIAs as they define baseline security requirements that must be implemented when transferring or processing data across borders to ensure adequate protection against cyber threats.</t>
        </is>
      </c>
      <c r="M92" s="11" t="inlineStr">
        <is>
          <t>• [Must] Implement patch applications
• [Must] Implement patch operating systems
• [Must] Implement multi-factor authentication
• [Must] Restrict administrative privileges
• [Must] Implement application control
• [Must] Restrict Microsoft Office macros
• [Must] Harden user applications
• [Must] Maintain regular backups</t>
        </is>
      </c>
      <c r="N92" s="11" t="inlineStr">
        <is>
          <t>The Essential Eight mitigation strategies are: patch applications, patch operating systems, multi-factor authentication, restrict administrative privileges, application control, restrict Microsoft Office macros, user application hardening, regular backups.</t>
        </is>
      </c>
      <c r="O92" s="12" t="inlineStr">
        <is>
          <t>Open PDF</t>
        </is>
      </c>
    </row>
    <row r="93">
      <c r="A93" t="inlineStr">
        <is>
          <t>Australia</t>
        </is>
      </c>
      <c r="B93" t="inlineStr">
        <is>
          <t>Essential Eight explained (November 2023) (Australia - Row 11)</t>
        </is>
      </c>
      <c r="C93" t="inlineStr">
        <is>
          <t>p2</t>
        </is>
      </c>
      <c r="D93" s="11" t="inlineStr">
        <is>
          <t>Essential Eight implementation assessment process</t>
        </is>
      </c>
      <c r="E93" t="inlineStr">
        <is>
          <t>2–3</t>
        </is>
      </c>
      <c r="F93" t="inlineStr">
        <is>
          <t>Medium</t>
        </is>
      </c>
      <c r="G93" t="inlineStr">
        <is>
          <t>High (explicit)</t>
        </is>
      </c>
      <c r="H93" s="11" t="inlineStr">
        <is>
          <t>Security</t>
        </is>
      </c>
      <c r="I93" s="11" t="inlineStr">
        <is>
          <t>Personal Information</t>
        </is>
      </c>
      <c r="J93" t="inlineStr">
        <is>
          <t>Australian Signals Directorate (ASD)</t>
        </is>
      </c>
      <c r="K93" s="11" t="inlineStr">
        <is>
          <t>Organizations must use the Essential Eight assessment process guide to evaluate their implementation of the mitigation strategies. This assessment process is part of the maturity model that supports the implementation of the Essential Eight, ensuring organizations meet the required security standards for their information technology networks.</t>
        </is>
      </c>
      <c r="L93" s="11" t="inlineStr">
        <is>
          <t>The assessment process ensures that data transfers and processing activities comply with the Essential Eight security requirements, which is critical for DTIAs involving cross-border data flows.</t>
        </is>
      </c>
      <c r="M93" s="11" t="inlineStr">
        <is>
          <t>• [Must] Conduct assessments against the Essential Eight using the Essential Eight assessment process guide</t>
        </is>
      </c>
      <c r="N93" s="11" t="inlineStr">
        <is>
          <t>Assessments against the Essential Eight should be conducted using the Essential Eight assessment process guide.</t>
        </is>
      </c>
      <c r="O93" s="12" t="inlineStr">
        <is>
          <t>Open PDF</t>
        </is>
      </c>
    </row>
    <row r="94">
      <c r="A94" t="inlineStr">
        <is>
          <t>Australia</t>
        </is>
      </c>
      <c r="B94" t="inlineStr">
        <is>
          <t>Essential Eight explained (November 2023) (Australia - Row 11)</t>
        </is>
      </c>
      <c r="C94" t="inlineStr">
        <is>
          <t>p3</t>
        </is>
      </c>
      <c r="D94" s="11" t="inlineStr">
        <is>
          <t>Disclaimer and copyright information for Essential Eight guide</t>
        </is>
      </c>
      <c r="E94" t="inlineStr">
        <is>
          <t>3</t>
        </is>
      </c>
      <c r="F94" t="inlineStr">
        <is>
          <t>None</t>
        </is>
      </c>
      <c r="G94" t="inlineStr">
        <is>
          <t>High (explicit)</t>
        </is>
      </c>
      <c r="H94" s="11" t="inlineStr"/>
      <c r="I94" s="11" t="inlineStr"/>
      <c r="J94" t="inlineStr"/>
      <c r="K94" s="11" t="inlineStr">
        <is>
          <t>This section provides a disclaimer stating that the guide is of general nature and not legal advice, and that the Commonwealth accepts no responsibility for damages resulting from reliance on the information. It also includes copyright details and Creative Commons licensing terms for the publication.</t>
        </is>
      </c>
      <c r="L94" s="11" t="inlineStr"/>
      <c r="M94" s="11" t="inlineStr"/>
      <c r="N94" s="11" t="inlineStr">
        <is>
          <t>The material in this guide is of a general nature and should not be regarded as legal advice or relied on for assistance in any particular circumstance or emergency situation.</t>
        </is>
      </c>
      <c r="O94" s="12" t="inlineStr">
        <is>
          <t>Open PDF</t>
        </is>
      </c>
    </row>
    <row r="95">
      <c r="A95" t="inlineStr">
        <is>
          <t>Australia</t>
        </is>
      </c>
      <c r="B95" t="inlineStr">
        <is>
          <t>Prudential Standard - CPS 230 Operational Risk Management - clean (Australia - Row 3)</t>
        </is>
      </c>
      <c r="C95" t="inlineStr">
        <is>
          <t>1</t>
        </is>
      </c>
      <c r="D95" s="11" t="inlineStr">
        <is>
          <t>Prudential Standard authority basis</t>
        </is>
      </c>
      <c r="E95" t="inlineStr">
        <is>
          <t>2</t>
        </is>
      </c>
      <c r="F95" t="inlineStr">
        <is>
          <t>None</t>
        </is>
      </c>
      <c r="G95" t="inlineStr">
        <is>
          <t>High (explicit)</t>
        </is>
      </c>
      <c r="H95" s="11" t="inlineStr"/>
      <c r="I95" s="11" t="inlineStr"/>
      <c r="J95" t="inlineStr"/>
      <c r="K95" s="11" t="inlineStr">
        <is>
          <t>This section specifies the legislative basis for the Prudential Standard by referencing relevant sections of multiple Australian Acts. It establishes that the standard is enacted under the Banking Act 1959, Insurance Act 1973, Life Insurance Act 1995, Private Health Insurance (Prudential Supervision) Act 2015, and Superannuation Industry (Supervision) Act 1993. The section does not impose operational requirements but clarifies the legal foundation for the standard.</t>
        </is>
      </c>
      <c r="L95" s="11" t="inlineStr"/>
      <c r="M95" s="11" t="inlineStr">
        <is>
          <t>• [Must] This Prudential Standard is made under section 11AF of the Banking Act 1959
• [Must] This Prudential Standard is made under section 32 of the Insurance Act 1973
• [Must] This Prudential Standard is made under section 230A of the Life Insurance Act 1995
• [Must] This Prudential Standard is made under section 92 of the Private Health Insurance (Prudential Supervision) Act 2015
• [Must] This Prudential Standard is made under section 34C of the Superannuation Industry (Supervision) Act 1993</t>
        </is>
      </c>
      <c r="N95" s="11" t="inlineStr">
        <is>
          <t>This Prudential Standard is made under: (a) section 11AF of the Banking Act 1959 (Banking Act); (b) section 32 of the Insurance Act 1973 (Insurance Act); (c) section 230A of the Life Insurance Act 1995 (Life Insurance Act); (d) section 92 of the Private Health Insurance (Prudential Supervision) Act 2015 (PHIPS Act); and (e) section 34C of the Superannuation Industry (Supervision) Act 1993 (SIS Act).</t>
        </is>
      </c>
      <c r="O95" s="12" t="inlineStr">
        <is>
          <t>Open PDF</t>
        </is>
      </c>
    </row>
    <row r="96">
      <c r="A96" t="inlineStr">
        <is>
          <t>Australia</t>
        </is>
      </c>
      <c r="B96" t="inlineStr">
        <is>
          <t>Prudential Standard - CPS 230 Operational Risk Management - clean (Australia - Row 3)</t>
        </is>
      </c>
      <c r="C96" t="inlineStr">
        <is>
          <t>2</t>
        </is>
      </c>
      <c r="D96" s="11" t="inlineStr">
        <is>
          <t>APRA-regulated entities covered by the standard</t>
        </is>
      </c>
      <c r="E96" t="inlineStr">
        <is>
          <t>2</t>
        </is>
      </c>
      <c r="F96" t="inlineStr">
        <is>
          <t>None</t>
        </is>
      </c>
      <c r="G96" t="inlineStr">
        <is>
          <t>High (explicit)</t>
        </is>
      </c>
      <c r="H96" s="11" t="inlineStr"/>
      <c r="I96" s="11" t="inlineStr"/>
      <c r="J96" t="inlineStr"/>
      <c r="K96" s="11" t="inlineStr">
        <is>
          <t>This section defines which APRA-regulated entities are subject to the Prudential Standard. It includes authorized deposit-taking institutions (ADIs), foreign ADIs, non-operating holding companies, general insurers, Category C insurers, non-operating holding companies, life companies, friendly societies, eligible foreign life insurance companies, private health insurers, and registrable superannuation entity licensees. The scope covers entities operating under specific Australian Acts.</t>
        </is>
      </c>
      <c r="L96" s="11" t="inlineStr"/>
      <c r="M96" s="11" t="inlineStr">
        <is>
          <t>• [Must] This Prudential Standard applies to all APRA-regulated entities defined as: authorized deposit-taking institutions (ADIs), including foreign ADIs, and non-operating holding companies authorized under the Banking Act
• [Must] This Prudential Standard applies to all APRA-regulated entities defined as: general insurers, including Category C insurers, non-operating holding companies authorized under the Insurance Act, and parent entities of Level 2 insurance groups
• [Must] This Prudential Standard applies to all APRA-regulated entities defined as: life companies, including friendly societies, eligible foreign life insurance companies (EFLICs) and registered non-operating holding companies
• [Must] This Prudential Standard applies to all APRA-regulated entities defined as: private health insurers registered under the PHIPS Act
• [Must] This Prudential Standard applies to all APRA-regulated entities defined as: registrable superannuation entity licensees (RSE licensees) under the SIS Act in respect of their business operations</t>
        </is>
      </c>
      <c r="N96" s="11" t="inlineStr">
        <is>
          <t>This Prudential Standard applies to all APRA-regulated entities defined as: (a) authorized deposit-taking institutions (ADIs), including foreign ADIs, and non-operating holding companies authorized under the Banking Act (authorized banking NOHCs); (b) general insurers, including Category C insurers, non-operating holding companies authorized under the Insurance Act (authorised insurance NOHCs) and parent entities of Level 2 insurance groups; (c) life companies, including friendly societies, eligible foreign life insurance companies (EFLICs) and registered NOHCs; (d) private health insurers registered under the PHIPS Act; and (e) registrable superannuation entity licensees (RSE licensees) under the SIS Act in respect of their business operations.</t>
        </is>
      </c>
      <c r="O96" s="12" t="inlineStr">
        <is>
          <t>Open PDF</t>
        </is>
      </c>
    </row>
    <row r="97">
      <c r="A97" t="inlineStr">
        <is>
          <t>Australia</t>
        </is>
      </c>
      <c r="B97" t="inlineStr">
        <is>
          <t>Prudential Standard - CPS 230 Operational Risk Management - clean (Australia - Row 3)</t>
        </is>
      </c>
      <c r="C97" t="inlineStr">
        <is>
          <t>11</t>
        </is>
      </c>
      <c r="D97" s="11" t="inlineStr">
        <is>
          <t>Operational risk management obligations</t>
        </is>
      </c>
      <c r="E97" t="inlineStr">
        <is>
          <t>3–4</t>
        </is>
      </c>
      <c r="F97" t="inlineStr">
        <is>
          <t>High</t>
        </is>
      </c>
      <c r="G97" t="inlineStr">
        <is>
          <t>High (explicit)</t>
        </is>
      </c>
      <c r="H97" s="11" t="inlineStr"/>
      <c r="I97" s="11" t="inlineStr">
        <is>
          <t>Financial Data</t>
        </is>
      </c>
      <c r="J97" t="inlineStr">
        <is>
          <t>APRA</t>
        </is>
      </c>
      <c r="K97" s="11" t="inlineStr">
        <is>
          <t>APRA-regulated entities must effectively manage operational risks, maintain critical operations within tolerance levels during severe disruptions, and manage risks associated with service providers. This section establishes core operational risk management responsibilities for entities, including setting appropriate standards for conduct and compliance, ensuring resilience through disruptions, and overseeing third-party risks.</t>
        </is>
      </c>
      <c r="L97" s="11" t="inlineStr">
        <is>
          <t>This section requires entities to manage operational risks including data risk, which impacts data transfer and storage across borders due to the need for robust incident response and business continuity planning.</t>
        </is>
      </c>
      <c r="M97" s="11" t="inlineStr">
        <is>
          <t>• [Must] Effectively manage its operational risks, and set and maintain appropriate standards for conduct and compliance
• [Must] Maintain its critical operations within tolerance levels through severe disruptions
• [Must] Manage the risks associated with the use of service providers</t>
        </is>
      </c>
      <c r="N97" s="11" t="inlineStr">
        <is>
          <t>An APRA-regulated entity must: (a) effectively manage its operational risks, and set and maintain appropriate standards for conduct and compliance; (b) maintain its critical operations within tolerance levels through severe disruptions; and (c) manage the risks associated with the use of service providers.</t>
        </is>
      </c>
      <c r="O97" s="12" t="inlineStr">
        <is>
          <t>Open PDF</t>
        </is>
      </c>
    </row>
    <row r="98">
      <c r="A98" t="inlineStr">
        <is>
          <t>Australia</t>
        </is>
      </c>
      <c r="B98" t="inlineStr">
        <is>
          <t>Prudential Standard - CPS 230 Operational Risk Management - clean (Australia - Row 3)</t>
        </is>
      </c>
      <c r="C98" t="inlineStr">
        <is>
          <t>15</t>
        </is>
      </c>
      <c r="D98" s="11" t="inlineStr">
        <is>
          <t>Operational risk management framework requirements</t>
        </is>
      </c>
      <c r="E98" t="inlineStr">
        <is>
          <t>4</t>
        </is>
      </c>
      <c r="F98" t="inlineStr">
        <is>
          <t>High</t>
        </is>
      </c>
      <c r="G98" t="inlineStr">
        <is>
          <t>High (explicit)</t>
        </is>
      </c>
      <c r="H98" s="11" t="inlineStr"/>
      <c r="I98" s="11" t="inlineStr">
        <is>
          <t>Financial Data</t>
        </is>
      </c>
      <c r="J98" t="inlineStr">
        <is>
          <t>APRA</t>
        </is>
      </c>
      <c r="K98" s="11" t="inlineStr">
        <is>
          <t>APRA-regulated entities must develop and maintain a comprehensive operational risk management framework. This includes governance arrangements for oversight, assessment of operational risk profiles with defined risk appetite, effective internal controls, monitoring and reporting mechanisms, business continuity plans that are regularly tested with severe scenarios, and processes for managing service provider arrangements.</t>
        </is>
      </c>
      <c r="L98" s="11" t="inlineStr">
        <is>
          <t>This section mandates robust operational risk frameworks that impact data transfer and storage by requiring business continuity planning, risk assessment, and service provider management, which are critical for cross-border data resilience.</t>
        </is>
      </c>
      <c r="M98" s="11" t="inlineStr">
        <is>
          <t>• [Must] Develop and maintain governance arrangements for the oversight of operational risk
• [Must] Assess its operational risk profile with a defined risk appetite supported by indicators, limits and tolerance levels
• [Must] Maintain internal controls designed and operating effectively for the management of operational risks
• [Must] Monitor, analyze and report on operational risks and establish escalation processes for operational incidents and events
• [Must] Develop business continuity plans (BCPs) that set out how the entity would identify, manage and respond to disruptions within tolerance levels and are regularly tested with severe but plausible scenarios
• [Must] Develop processes for the management of service provider arrangements</t>
        </is>
      </c>
      <c r="N98" s="11" t="inlineStr">
        <is>
          <t>As part of its risk management framework required under Prudential Standard CPS 220 Risk Management (CPS 220) and Prudential Standard SPS 220 Risk Management (SPS 220), an APRA-regulated entity must develop and maintain: (a) governance arrangements for the oversight of operational risk; (b) an assessment of its operational risk profile, with a defined risk appetite supported by indicators, limits and tolerance levels; (c) internal controls that are designed and operating effectively for the management of operational risks; (d) appropriate monitoring, analysis and reporting of operational risks and escalation processes for operational incidents and events; (e) business continuity plan(s) (BCPs) that set out how the entity would identify, manage and respond to a disruption within tolerance levels and are regularly tested with severe but plausible scenarios; and (f) processes for the management of service provider arrangements.</t>
        </is>
      </c>
      <c r="O98" s="12" t="inlineStr">
        <is>
          <t>Open PDF</t>
        </is>
      </c>
    </row>
    <row r="99">
      <c r="A99" t="inlineStr">
        <is>
          <t>Australia</t>
        </is>
      </c>
      <c r="B99" t="inlineStr">
        <is>
          <t>Prudential Standard - CPS 230 Operational Risk Management - clean (Australia - Row 3)</t>
        </is>
      </c>
      <c r="C99" t="inlineStr">
        <is>
          <t>21</t>
        </is>
      </c>
      <c r="D99" s="11" t="inlineStr">
        <is>
          <t>Board oversight of operational risk management</t>
        </is>
      </c>
      <c r="E99" t="inlineStr">
        <is>
          <t>5–6</t>
        </is>
      </c>
      <c r="F99" t="inlineStr">
        <is>
          <t>High</t>
        </is>
      </c>
      <c r="G99" t="inlineStr">
        <is>
          <t>High (explicit)</t>
        </is>
      </c>
      <c r="H99" s="11" t="inlineStr"/>
      <c r="I99" s="11" t="inlineStr">
        <is>
          <t>Financial Data</t>
        </is>
      </c>
      <c r="J99" t="inlineStr">
        <is>
          <t>APRA</t>
        </is>
      </c>
      <c r="K99" s="11" t="inlineStr">
        <is>
          <t>The Board must oversee operational risk management effectiveness, approve business continuity plans and tolerance levels for critical operations, review testing results, and approve service provider management policies. The Board is responsible for ensuring senior management takes action on operational risk concerns and provides regular updates on the entity's risk profile.</t>
        </is>
      </c>
      <c r="L99" s="11" t="inlineStr">
        <is>
          <t>This section requires Board-level oversight of operational risk, which impacts data transfer and storage by mandating regular reviews of business continuity plans and service provider risks, critical for cross-border data resilience.</t>
        </is>
      </c>
      <c r="M99" s="11" t="inlineStr">
        <is>
          <t>• [Must] Oversee operational risk management and the effectiveness of key internal controls in maintaining the entity's operational risk profile within risk appetite
• [Must] Be provided with regular updates on the APRA-regulated entity's operational risk profile and ensure senior management takes action as required to address any areas of concern
• [Must] Approve the business continuity plan and tolerance levels for disruptions to critical operations
• [Must] Review the results of testing and oversee the execution of any findings
• [Must] Approve the service provider management policy
• [Must] Review risk and performance reporting on material service providers</t>
        </is>
      </c>
      <c r="N99" s="11" t="inlineStr">
        <is>
          <t>The Board must: (a) oversee operational risk management and the effectiveness of key internal controls in maintaining the entity's operational risk profile within risk appetite. The Board must be provided with regular updates on the APRA-regulated entity's operational risk profile and ensure senior management takes action as required to address any areas of concern; (b) approve the BCP and tolerance levels for disruptions to critical operations, review the results of testing and oversee the execution of any findings; and (c) approve the service provider management policy, and review risk and performance reporting on material service providers.</t>
        </is>
      </c>
      <c r="O99" s="12" t="inlineStr">
        <is>
          <t>Open PDF</t>
        </is>
      </c>
    </row>
    <row r="100">
      <c r="A100" t="inlineStr">
        <is>
          <t>Australia</t>
        </is>
      </c>
      <c r="B100" t="inlineStr">
        <is>
          <t>Prudential Standard - CPS 230 Operational Risk Management - clean (Australia - Row 3)</t>
        </is>
      </c>
      <c r="C100" t="inlineStr">
        <is>
          <t>23</t>
        </is>
      </c>
      <c r="D100" s="11" t="inlineStr">
        <is>
          <t>Operational risk scope definition</t>
        </is>
      </c>
      <c r="E100" t="inlineStr">
        <is>
          <t>6</t>
        </is>
      </c>
      <c r="F100" t="inlineStr">
        <is>
          <t>High</t>
        </is>
      </c>
      <c r="G100" t="inlineStr">
        <is>
          <t>High (explicit)</t>
        </is>
      </c>
      <c r="H100" s="11" t="inlineStr"/>
      <c r="I100" s="11" t="inlineStr">
        <is>
          <t>Financial Data</t>
        </is>
      </c>
      <c r="J100" t="inlineStr">
        <is>
          <t>APRA</t>
        </is>
      </c>
      <c r="K100" s="11" t="inlineStr">
        <is>
          <t>APRA-regulated entities must manage all operational risks including legal, regulatory, compliance, conduct, technology, data, and change management risks. Senior management is responsible for operational risk management across end-to-end business processes.</t>
        </is>
      </c>
      <c r="L100" s="11" t="inlineStr">
        <is>
          <t>This section defines operational risk scope, which includes data risk, impacting data transfer and storage by requiring comprehensive risk management across all business operations.</t>
        </is>
      </c>
      <c r="M100" s="11" t="inlineStr">
        <is>
          <t>• [Must] Manage its full range of operational risks, including but not limited to legal risk, regulatory risk, compliance risk, conduct risk, technology risk, data risk and change management risk
• [Must] Senior management are responsible for operational risk management across the end-to-end process for all business operations</t>
        </is>
      </c>
      <c r="N100" s="11" t="inlineStr">
        <is>
          <t>An APRA-regulated entity must manage its full range of operational risks, including but not limited to legal risk, regulatory risk, compliance risk, conduct risk, technology risk, data risk and change management risk. Senior management are responsible for operational risk management across the end-to-end process for all business operations.</t>
        </is>
      </c>
      <c r="O100" s="12" t="inlineStr">
        <is>
          <t>Open PDF</t>
        </is>
      </c>
    </row>
    <row r="101">
      <c r="A101" t="inlineStr">
        <is>
          <t>Australia</t>
        </is>
      </c>
      <c r="B101" t="inlineStr">
        <is>
          <t>Prudential Standard - CPS 230 Operational Risk Management - clean (Australia - Row 3)</t>
        </is>
      </c>
      <c r="C101" t="inlineStr">
        <is>
          <t>24</t>
        </is>
      </c>
      <c r="D101" s="11" t="inlineStr">
        <is>
          <t>Maintain IT capabilities for operational risk management</t>
        </is>
      </c>
      <c r="E101" t="inlineStr">
        <is>
          <t>6</t>
        </is>
      </c>
      <c r="F101" t="inlineStr">
        <is>
          <t>High</t>
        </is>
      </c>
      <c r="G101" t="inlineStr">
        <is>
          <t>High (explicit)</t>
        </is>
      </c>
      <c r="H101" s="11" t="inlineStr">
        <is>
          <t>Data Storage, Security</t>
        </is>
      </c>
      <c r="I101" s="11" t="inlineStr">
        <is>
          <t>Personal Information, Financial Data</t>
        </is>
      </c>
      <c r="J101" t="inlineStr">
        <is>
          <t>APRA</t>
        </is>
      </c>
      <c r="K101" s="11" t="inlineStr">
        <is>
          <t>APRA-regulated entities must maintain robust information and information technology capabilities to meet current and projected business needs and support critical operations. They must monitor the age and health of information assets and comply with information security requirements outlined in Prudential Standard CPS 234.</t>
        </is>
      </c>
      <c r="L101" s="11" t="inlineStr">
        <is>
          <t>This section requires entities to maintain IT capabilities that support critical operations, directly impacting data storage and processing resilience during cross-border operations.</t>
        </is>
      </c>
      <c r="M101" s="11" t="inlineStr">
        <is>
          <t>• [Must] Maintain appropriate and sound information and information technology capability to meet current and projected business requirements
• [Must] Monitor the age and health of information assets
• [Must] Meet information security requirements in Prudential Standard CPS 234</t>
        </is>
      </c>
      <c r="N101" s="11" t="inlineStr">
        <is>
          <t>An APRA-regulated entity must maintain appropriate and sound information and information technology (IT) capability to meet its current and projected business requirements and to support its critical operations and risk management.</t>
        </is>
      </c>
      <c r="O101" s="12" t="inlineStr">
        <is>
          <t>Open PDF</t>
        </is>
      </c>
    </row>
    <row r="102">
      <c r="A102" t="inlineStr">
        <is>
          <t>Australia</t>
        </is>
      </c>
      <c r="B102" t="inlineStr">
        <is>
          <t>Prudential Standard - CPS 230 Operational Risk Management - clean (Australia - Row 3)</t>
        </is>
      </c>
      <c r="C102" t="inlineStr">
        <is>
          <t>26</t>
        </is>
      </c>
      <c r="D102" s="11" t="inlineStr">
        <is>
          <t>Conduct comprehensive operational risk assessment</t>
        </is>
      </c>
      <c r="E102" t="inlineStr">
        <is>
          <t>6</t>
        </is>
      </c>
      <c r="F102" t="inlineStr">
        <is>
          <t>High</t>
        </is>
      </c>
      <c r="G102" t="inlineStr">
        <is>
          <t>High (explicit)</t>
        </is>
      </c>
      <c r="H102" s="11" t="inlineStr">
        <is>
          <t>Data Storage</t>
        </is>
      </c>
      <c r="I102" s="11" t="inlineStr">
        <is>
          <t>Financial Data</t>
        </is>
      </c>
      <c r="J102" t="inlineStr">
        <is>
          <t>APRA</t>
        </is>
      </c>
      <c r="K102" s="11" t="inlineStr">
        <is>
          <t>APRA-regulated entities must maintain a comprehensive assessment of their operational risk profile. This includes monitoring operational risk, compiling and analyzing risk data, identifying critical operations, and conducting scenario analysis to test resilience and identify mitigation strategies.</t>
        </is>
      </c>
      <c r="L102" s="11" t="inlineStr">
        <is>
          <t>This section mandates detailed operational risk assessments that affect data storage, processing, and resilience planning for cross-border data transfers.</t>
        </is>
      </c>
      <c r="M102" s="11" t="inlineStr">
        <is>
          <t>• [Must] Maintain appropriate and effective information systems to monitor operational risk, compile and analyze operational risk data, and facilitate reporting to the Board and senior management
• [Must] Identify and document processes and resources needed for critical operations, including people, technology, information, facilities, service providers, interdependencies, and associated risks
• [Must] Undertake scenario analysis to identify and assess potential impacts of severe operational risk events</t>
        </is>
      </c>
      <c r="N102" s="11" t="inlineStr">
        <is>
          <t>An APRA-regulated entity must maintain a comprehensive assessment of its operational risk profile. As part of this, an APRA-regulated entity must: (a) maintain appropriate and effective information systems to monitor operational risk, compile and analyse operational risk data and facilitate reporting to the Board and senior management; (b) identify and document the processes and resources needed to deliver critical operations, including people, technology, information, facilities and service providers, the interdependencies across them, and the associated risks, obligations, key data and controls; and (c) undertake scenario analysis to identify and assess the potential impact of severe operational risk events, test its operational resilience and identify the need for new or amended controls and other mitigation strategies.</t>
        </is>
      </c>
      <c r="O102" s="12" t="inlineStr">
        <is>
          <t>Open PDF</t>
        </is>
      </c>
    </row>
    <row r="103">
      <c r="A103" t="inlineStr">
        <is>
          <t>Australia</t>
        </is>
      </c>
      <c r="B103" t="inlineStr">
        <is>
          <t>Prudential Standard - CPS 230 Operational Risk Management - clean (Australia - Row 3)</t>
        </is>
      </c>
      <c r="C103" t="inlineStr">
        <is>
          <t>30</t>
        </is>
      </c>
      <c r="D103" s="11" t="inlineStr">
        <is>
          <t>Remediate operational risk weaknesses</t>
        </is>
      </c>
      <c r="E103" t="inlineStr">
        <is>
          <t>7</t>
        </is>
      </c>
      <c r="F103" t="inlineStr">
        <is>
          <t>High</t>
        </is>
      </c>
      <c r="G103" t="inlineStr">
        <is>
          <t>High (explicit)</t>
        </is>
      </c>
      <c r="H103" s="11" t="inlineStr">
        <is>
          <t>Data Storage</t>
        </is>
      </c>
      <c r="I103" s="11" t="inlineStr">
        <is>
          <t>Financial Data</t>
        </is>
      </c>
      <c r="J103" t="inlineStr">
        <is>
          <t>APRA</t>
        </is>
      </c>
      <c r="K103" s="11" t="inlineStr">
        <is>
          <t>APRA-regulated entities must address material weaknesses in operational risk management, including control gaps and failures. Remediation requires clear accountability, assurance, and timely root cause analysis, with identified weaknesses documented in the operational risk profile until resolved.</t>
        </is>
      </c>
      <c r="L103" s="11" t="inlineStr">
        <is>
          <t>This section requires remediation of operational risk weaknesses, affecting data storage and processing resilience for cross-border data transfers.</t>
        </is>
      </c>
      <c r="M103" s="11" t="inlineStr">
        <is>
          <t>• [Must] Remediate material weaknesses in operational risk management, including control gaps, weaknesses and failures
• [Must] Support remediation with clear accountabilities and assurance
• [Must] Address root causes of weaknesses in a timely manner
• [Must] Include identified control gaps, weaknesses and failures in operational risk profile until remediated</t>
        </is>
      </c>
      <c r="N103" s="11" t="inlineStr">
        <is>
          <t>An APRA-regulated entity must remediate material weaknesses in its operational risk management, including control gaps, weaknesses and failures. This remediation must be supported by clear accountabilities and assurance and address the root causes of weaknesses in a timely manner. An APRA-regulated entity must include identified control gaps, weaknesses and failures in its operational risk profile until such matters are remediated.</t>
        </is>
      </c>
      <c r="O103" s="12" t="inlineStr">
        <is>
          <t>Open PDF</t>
        </is>
      </c>
    </row>
    <row r="104">
      <c r="A104" t="inlineStr">
        <is>
          <t>Australia</t>
        </is>
      </c>
      <c r="B104" t="inlineStr">
        <is>
          <t>Prudential Standard - CPS 230 Operational Risk Management - clean (Australia - Row 3)</t>
        </is>
      </c>
      <c r="C104" t="inlineStr">
        <is>
          <t>31</t>
        </is>
      </c>
      <c r="D104" s="11" t="inlineStr">
        <is>
          <t>Report operational risk incidents and near misses</t>
        </is>
      </c>
      <c r="E104" t="inlineStr">
        <is>
          <t>7</t>
        </is>
      </c>
      <c r="F104" t="inlineStr">
        <is>
          <t>High</t>
        </is>
      </c>
      <c r="G104" t="inlineStr">
        <is>
          <t>High (explicit)</t>
        </is>
      </c>
      <c r="H104" s="11" t="inlineStr">
        <is>
          <t>Incident Reporting</t>
        </is>
      </c>
      <c r="I104" s="11" t="inlineStr">
        <is>
          <t>Financial Data</t>
        </is>
      </c>
      <c r="J104" t="inlineStr">
        <is>
          <t>APRA</t>
        </is>
      </c>
      <c r="K104" s="11" t="inlineStr">
        <is>
          <t>APRA-regulated entities must identify, escalate, record, and address operational risk incidents and near misses within a timely manner. They must also incorporate these incidents into operational risk profile assessments to evaluate control effectiveness.</t>
        </is>
      </c>
      <c r="L104" s="11" t="inlineStr">
        <is>
          <t>This section mandates timely reporting of operational incidents, impacting data storage and processing resilience for cross-border data transfers.</t>
        </is>
      </c>
      <c r="M104" s="11" t="inlineStr">
        <is>
          <t>• [Must] Identify, escalate, record and address operational risk incidents and near misses in a timely manner
• [Must] Take incidents and near misses into account in operational risk profile assessment and control effectiveness evaluation</t>
        </is>
      </c>
      <c r="N104" s="11" t="inlineStr">
        <is>
          <t>An APRA-regulated entity must ensure that operational risk incidents and near misses are identified, escalated, recorded and addressed in a timely manner. An APRA-regulated entity must take incidents and near misses into account in its assessment of its operational risk profile and control effectiveness in a timely manner.</t>
        </is>
      </c>
      <c r="O104" s="12" t="inlineStr">
        <is>
          <t>Open PDF</t>
        </is>
      </c>
    </row>
    <row r="105">
      <c r="A105" t="inlineStr">
        <is>
          <t>Australia</t>
        </is>
      </c>
      <c r="B105" t="inlineStr">
        <is>
          <t>Prudential Standard - CPS 230 Operational Risk Management - clean (Australia - Row 3)</t>
        </is>
      </c>
      <c r="C105" t="inlineStr">
        <is>
          <t>32</t>
        </is>
      </c>
      <c r="D105" s="11" t="inlineStr">
        <is>
          <t>Notify APRA of material operational incidents</t>
        </is>
      </c>
      <c r="E105" t="inlineStr">
        <is>
          <t>7</t>
        </is>
      </c>
      <c r="F105" t="inlineStr">
        <is>
          <t>High</t>
        </is>
      </c>
      <c r="G105" t="inlineStr">
        <is>
          <t>High (explicit)</t>
        </is>
      </c>
      <c r="H105" s="11" t="inlineStr">
        <is>
          <t>Breach Notification</t>
        </is>
      </c>
      <c r="I105" s="11" t="inlineStr">
        <is>
          <t>Financial Data</t>
        </is>
      </c>
      <c r="J105" t="inlineStr">
        <is>
          <t>APRA</t>
        </is>
      </c>
      <c r="K105" s="11" t="inlineStr">
        <is>
          <t>APRA-regulated entities must notify APRA within 72 hours of becoming aware of operational risk incidents that could have a material financial impact or disrupt critical operations.</t>
        </is>
      </c>
      <c r="L105" s="11" t="inlineStr">
        <is>
          <t>This section requires timely notification of material operational incidents, affecting data storage and processing resilience for cross-border data transfers.</t>
        </is>
      </c>
      <c r="M105" s="11" t="inlineStr">
        <is>
          <t>• [Must] Notify APRA as soon as possible, not later than 72 hours after becoming aware of an operational risk incident likely to have material financial impact or disrupt critical operations</t>
        </is>
      </c>
      <c r="N105" s="11" t="inlineStr">
        <is>
          <t>An APRA-regulated entity must notify APRA as soon as possible, and not later than 72 hours, after becoming aware of an operational risk incident that it determines to be likely to have a material financial impact or a material impact on the ability of the entity to maintain its critical operations.</t>
        </is>
      </c>
      <c r="O105" s="12" t="inlineStr">
        <is>
          <t>Open PDF</t>
        </is>
      </c>
    </row>
    <row r="106">
      <c r="A106" t="inlineStr">
        <is>
          <t>Australia</t>
        </is>
      </c>
      <c r="B106" t="inlineStr">
        <is>
          <t>Prudential Standard - CPS 230 Operational Risk Management - clean (Australia - Row 3)</t>
        </is>
      </c>
      <c r="C106" t="inlineStr">
        <is>
          <t>33</t>
        </is>
      </c>
      <c r="D106" s="11" t="inlineStr">
        <is>
          <t>Maintain critical operations continuity</t>
        </is>
      </c>
      <c r="E106" t="inlineStr">
        <is>
          <t>7–8</t>
        </is>
      </c>
      <c r="F106" t="inlineStr">
        <is>
          <t>High</t>
        </is>
      </c>
      <c r="G106" t="inlineStr">
        <is>
          <t>High (explicit)</t>
        </is>
      </c>
      <c r="H106" s="11" t="inlineStr"/>
      <c r="I106" s="11" t="inlineStr">
        <is>
          <t>Financial Data</t>
        </is>
      </c>
      <c r="J106" t="inlineStr">
        <is>
          <t>APRA</t>
        </is>
      </c>
      <c r="K106" s="11" t="inlineStr">
        <is>
          <t>APRA-regulated entities must define critical operations, minimize disruption risks, maintain credible business continuity plans, activate plans during disruptions, and return to normal operations promptly after disruptions.</t>
        </is>
      </c>
      <c r="L106" s="11" t="inlineStr">
        <is>
          <t>This section requires business continuity planning for critical operations, directly impacting data storage and processing resilience during cross-border data transfers.</t>
        </is>
      </c>
      <c r="M106" s="11" t="inlineStr">
        <is>
          <t>• [Must] Define, identify and maintain a register of critical operations
• [Must] Take reasonable steps to minimize likelihood and impact of disruptions to critical operations
• [Must] Maintain a credible business continuity plan for critical operations within tolerance levels
• [Must] Activate business continuity plan if needed during disruptions
• [Must] Return to normal operations promptly after disruptions</t>
        </is>
      </c>
      <c r="N106" s="11" t="inlineStr">
        <is>
          <t>An APRA-regulated entity must: (a) define, identify and maintain a register of its critical operations; (b) take reasonable steps to minimise the likelihood and impact of disruptions to its critical operations; (c) maintain a credible BCP that sets out how it would maintain its critical operations within tolerance levels through disruptions, including disaster recovery planning for critical information assets; (d) activate its BCP if needed in the event of a disruption; and (e) return to normal operations promptly after a disruption is over.</t>
        </is>
      </c>
      <c r="O106" s="12" t="inlineStr">
        <is>
          <t>Open PDF</t>
        </is>
      </c>
    </row>
    <row r="107">
      <c r="A107" t="inlineStr">
        <is>
          <t>Australia</t>
        </is>
      </c>
      <c r="B107" t="inlineStr">
        <is>
          <t>Prudential Standard - CPS 230 Operational Risk Management - clean (Australia - Row 3)</t>
        </is>
      </c>
      <c r="C107" t="inlineStr">
        <is>
          <t>34</t>
        </is>
      </c>
      <c r="D107" s="11" t="inlineStr">
        <is>
          <t>Definition of critical operations for financial entities</t>
        </is>
      </c>
      <c r="E107" t="inlineStr">
        <is>
          <t>8</t>
        </is>
      </c>
      <c r="F107" t="inlineStr">
        <is>
          <t>High</t>
        </is>
      </c>
      <c r="G107" t="inlineStr">
        <is>
          <t>High (explicit)</t>
        </is>
      </c>
      <c r="H107" s="11" t="inlineStr"/>
      <c r="I107" s="11" t="inlineStr">
        <is>
          <t>Customer Data</t>
        </is>
      </c>
      <c r="J107" t="inlineStr">
        <is>
          <t>APRA</t>
        </is>
      </c>
      <c r="K107" s="11" t="inlineStr">
        <is>
          <t>This section defines critical operations as processes within an APRA-regulated entity or its service provider that, if disrupted beyond tolerance levels, would cause material adverse impacts on depositors, policyholders, beneficiaries, other customers, or the entity's role in the financial system. The definition specifies the types of processes that qualify as critical operations based on the entity's regulatory category.</t>
        </is>
      </c>
      <c r="L107" s="11" t="inlineStr">
        <is>
          <t>Critical operations must be identified to ensure data transfers and processing activities are resilient against disruptions that could affect financial stability or customer trust.</t>
        </is>
      </c>
      <c r="M107" s="11" t="inlineStr">
        <is>
          <t>• [Definition] Critical operations are processes undertaken by an APRA-regulated entity or its service provider
• [Definition] If disrupted beyond tolerance levels, would have a material adverse impact on depositors, policyholders, beneficiaries or other customers
• [Definition] If disrupted beyond tolerance levels, would have a material adverse impact on the entity's role in the financial system</t>
        </is>
      </c>
      <c r="N107" s="11" t="inlineStr">
        <is>
          <t>Critical operations are processes undertaken by an APRA-regulated entity or its service provider which, if disrupted beyond tolerance levels, would have a material adverse impact on its depositors, policyholders, beneficiaries or other customers, or its role in the financial system.</t>
        </is>
      </c>
      <c r="O107" s="12" t="inlineStr">
        <is>
          <t>Open PDF</t>
        </is>
      </c>
    </row>
    <row r="108">
      <c r="A108" t="inlineStr">
        <is>
          <t>Australia</t>
        </is>
      </c>
      <c r="B108" t="inlineStr">
        <is>
          <t>Prudential Standard - CPS 230 Operational Risk Management - clean (Australia - Row 3)</t>
        </is>
      </c>
      <c r="C108" t="inlineStr">
        <is>
          <t>35</t>
        </is>
      </c>
      <c r="D108" s="11" t="inlineStr">
        <is>
          <t>Minimum critical operations classification for financial entities</t>
        </is>
      </c>
      <c r="E108" t="inlineStr">
        <is>
          <t>8</t>
        </is>
      </c>
      <c r="F108" t="inlineStr">
        <is>
          <t>High</t>
        </is>
      </c>
      <c r="G108" t="inlineStr">
        <is>
          <t>High (explicit)</t>
        </is>
      </c>
      <c r="H108" s="11" t="inlineStr"/>
      <c r="I108" s="11" t="inlineStr">
        <is>
          <t>Customer Data</t>
        </is>
      </c>
      <c r="J108" t="inlineStr">
        <is>
          <t>APRA</t>
        </is>
      </c>
      <c r="K108" s="11" t="inlineStr">
        <is>
          <t>APRA-regulated entities must classify specific business operations as critical operations unless justified otherwise. For Australian deposit-taking institutions, critical operations include payments, deposit-taking and management, custody, settlements and clearing. Insurers must classify claims processing as critical, while RSE licensees must classify investment management and fund administration as critical. All entities must classify customer enquiries and supporting systems as critical.</t>
        </is>
      </c>
      <c r="L108" s="11" t="inlineStr">
        <is>
          <t>Identifying critical operations ensures data transfers and processing activities are prioritized for resilience, reducing risks to financial stability and customer trust.</t>
        </is>
      </c>
      <c r="M108" s="11" t="inlineStr">
        <is>
          <t>• [Must] An APRA-regulated entity must classify the following business operations as critical operations, unless it can justify otherwise
• [Must] For an ADI: payments, deposit-taking and management, custody, settlements and clearing
• [Must] For an insurer (general, life, private health): claims processing
• [Must] For an RSE licensee: investment management and fund administration
• [Must] For all APRA-regulated entities: customer enquiries and the systems and infrastructure needed to support critical operations</t>
        </is>
      </c>
      <c r="N108" s="11" t="inlineStr">
        <is>
          <t>An APRA-regulated entity must, at a minimum, classify the following business operations as critical operations, unless it can justify otherwise: (a) for an ADI: payments, deposit-taking and management, custody, settlements and clearing; (b) for an insurer (general, life, private health): claims processing; (c) for an RSE licensee: investment management and fund administration; and (d) for all APRA-regulated entities: customer enquiries and the systems and infrastructure needed to support critical operations.</t>
        </is>
      </c>
      <c r="O108" s="12" t="inlineStr">
        <is>
          <t>Open PDF</t>
        </is>
      </c>
    </row>
    <row r="109">
      <c r="A109" t="inlineStr">
        <is>
          <t>Australia</t>
        </is>
      </c>
      <c r="B109" t="inlineStr">
        <is>
          <t>Prudential Standard - CPS 230 Operational Risk Management - clean (Australia - Row 3)</t>
        </is>
      </c>
      <c r="C109" t="inlineStr">
        <is>
          <t>41</t>
        </is>
      </c>
      <c r="D109" s="11" t="inlineStr">
        <is>
          <t>Notification requirement for critical operation disruptions</t>
        </is>
      </c>
      <c r="E109" t="inlineStr">
        <is>
          <t>9</t>
        </is>
      </c>
      <c r="F109" t="inlineStr">
        <is>
          <t>High</t>
        </is>
      </c>
      <c r="G109" t="inlineStr">
        <is>
          <t>High (explicit)</t>
        </is>
      </c>
      <c r="H109" s="11" t="inlineStr">
        <is>
          <t>Incident Reporting, Breach Notification</t>
        </is>
      </c>
      <c r="I109" s="11" t="inlineStr">
        <is>
          <t>Customer Data</t>
        </is>
      </c>
      <c r="J109" t="inlineStr">
        <is>
          <t>APRA</t>
        </is>
      </c>
      <c r="K109" s="11" t="inlineStr">
        <is>
          <t>APRA-regulated entities must notify APRA within 24 hours of any disruption to a critical operation that exceeds tolerance levels. The notification must detail the nature of the disruption, actions taken, likely impact on business operations, and the timeframe for returning to normal operations. This ensures timely regulatory oversight of critical system failures.</t>
        </is>
      </c>
      <c r="L109" s="11" t="inlineStr">
        <is>
          <t>Critical operation disruptions must be reported to regulators within 24 hours to ensure timely intervention and mitigation of cross-border data transfer risks.</t>
        </is>
      </c>
      <c r="M109" s="11" t="inlineStr">
        <is>
          <t>• [Must] An APRA-regulated entity must notify APRA as soon as possible, and not later than 24 hours after, if it has suffered a disruption to a critical operation outside tolerance
• [Must] The notification must cover the nature of the disruption
• [Must] The notification must cover the action taken
• [Must] The notification must cover the likely impact on the entity's business operations
• [Must] The notification must cover the timeframe for returning to normal operations</t>
        </is>
      </c>
      <c r="N109" s="11" t="inlineStr">
        <is>
          <t>An APRA-regulated entity must notify APRA as soon as possible, and not later than 24 hours after, if it has suffered a disruption to a critical operation outside tolerance. The notification must cover the nature of the disruption, the action taken, the likely impact on the entity's business operations and the timeframe for returning to normal operations.</t>
        </is>
      </c>
      <c r="O109" s="12" t="inlineStr">
        <is>
          <t>Open PDF</t>
        </is>
      </c>
    </row>
    <row r="110">
      <c r="A110" t="inlineStr">
        <is>
          <t>Australia</t>
        </is>
      </c>
      <c r="B110" t="inlineStr">
        <is>
          <t>Prudential Standard - CPS 230 Operational Risk Management - clean (Australia - Row 3)</t>
        </is>
      </c>
      <c r="C110" t="inlineStr">
        <is>
          <t>49</t>
        </is>
      </c>
      <c r="D110" s="11" t="inlineStr">
        <is>
          <t>Material service provider classification for financial entities</t>
        </is>
      </c>
      <c r="E110" t="inlineStr">
        <is>
          <t>10–11</t>
        </is>
      </c>
      <c r="F110" t="inlineStr">
        <is>
          <t>High</t>
        </is>
      </c>
      <c r="G110" t="inlineStr">
        <is>
          <t>High (explicit)</t>
        </is>
      </c>
      <c r="H110" s="11" t="inlineStr"/>
      <c r="I110" s="11" t="inlineStr">
        <is>
          <t>Customer Data</t>
        </is>
      </c>
      <c r="J110" t="inlineStr">
        <is>
          <t>APRA</t>
        </is>
      </c>
      <c r="K110" s="11" t="inlineStr">
        <is>
          <t>APRA-regulated entities must classify specific service providers as material service providers unless justified otherwise. For Australian deposit-taking institutions, material service providers include credit assessment, funding and liquidity management, and mortgage brokerage. Insurers must classify underwriting, claims management, insurance brokerage, and reinsurance as material service providers. RSE licensees must classify fund administration, custodial services, investment management, and arrangements with promoters and financial planners as material service providers. All entities must classify risk management, core technology services, and internal audit as material service providers.</t>
        </is>
      </c>
      <c r="L110" s="11" t="inlineStr">
        <is>
          <t>Material service providers must be identified to ensure data transfers and processing activities are monitored for risks to financial stability and customer trust.</t>
        </is>
      </c>
      <c r="M110" s="11" t="inlineStr">
        <is>
          <t>• [Must] An APRA-regulated entity must classify a provider of the following services as a material service provider, unless it can justify otherwise
• [Must] For an ADI: credit assessment, funding and liquidity management and mortgage brokerage
• [Must] For an insurer (general, life, private health): underwriting, claims management, insurance brokerage and reinsurance
• [Must] For an RSE licensee: fund administration, custodial services, investment management and arrangements with promoters and financial planners
• [Must] For all APRA-regulated entities: risk management, core technology services and internal audit</t>
        </is>
      </c>
      <c r="N110" s="11" t="inlineStr">
        <is>
          <t>An APRA-regulated entity must, at a minimum, classify a provider of the following services as a material service provider, unless it can justify otherwise: (a) for an ADI: credit assessment, funding and liquidity management and mortgage brokerage; (b) for an insurer (general, life, private health): underwriting, claims management, insurance brokerage and reinsurance; (c) for an RSE licensee: fund administration, custodial services, investment management and arrangements with promoters and financial planners; and (d) for all APRA-regulated entities: risk management, core technology services and internal audit.</t>
        </is>
      </c>
      <c r="O110" s="12" t="inlineStr">
        <is>
          <t>Open PDF</t>
        </is>
      </c>
    </row>
    <row r="111">
      <c r="A111" t="inlineStr">
        <is>
          <t>Australia</t>
        </is>
      </c>
      <c r="B111" t="inlineStr">
        <is>
          <t>Prudential Standard - CPS 230 Operational Risk Management - clean (Australia - Row 3)</t>
        </is>
      </c>
      <c r="C111" t="inlineStr">
        <is>
          <t>52</t>
        </is>
      </c>
      <c r="D111" s="11" t="inlineStr">
        <is>
          <t>Due diligence for material service providers</t>
        </is>
      </c>
      <c r="E111" t="inlineStr">
        <is>
          <t>11</t>
        </is>
      </c>
      <c r="F111" t="inlineStr">
        <is>
          <t>High</t>
        </is>
      </c>
      <c r="G111" t="inlineStr">
        <is>
          <t>High (explicit)</t>
        </is>
      </c>
      <c r="H111" s="11" t="inlineStr"/>
      <c r="I111" s="11" t="inlineStr">
        <is>
          <t>Customer Data</t>
        </is>
      </c>
      <c r="J111" t="inlineStr">
        <is>
          <t>APRA</t>
        </is>
      </c>
      <c r="K111" s="11" t="inlineStr">
        <is>
          <t>Before entering into or materially modifying a material arrangement, APRA-regulated entities must conduct due diligence, including a selection process and assessment of the service provider's ability to provide services on an ongoing basis. They must also assess financial and non-financial risks from reliance on the service provider, including risks related to geographic location or concentration of service providers.</t>
        </is>
      </c>
      <c r="L111" s="11" t="inlineStr">
        <is>
          <t>Material service providers must undergo due diligence to ensure data transfers and processing activities are resilient against financial and operational risks.</t>
        </is>
      </c>
      <c r="M111" s="11" t="inlineStr">
        <is>
          <t>• [Must] Before entering into or materially modifying a material arrangement, an APRA-regulated entity must undertake appropriate due diligence, including an appropriate selection process and an assessment of the ability of the service provider to provide the service on an ongoing basis
• [Must] Before entering into or materially modifying a material arrangement, an APRA-regulated entity must assess the financial and non-financial risks from reliance on the service provider
• [Must] Assess risks associated with geographic location or concentration of the service provider(s) or parties the service provider relies on in providing the service</t>
        </is>
      </c>
      <c r="N111" s="11" t="inlineStr">
        <is>
          <t>Before entering into or materially modifying a material arrangement, an APRA-regulated entity must: (a) undertake appropriate due diligence, including an appropriate selection process and an assessment of the ability of the service provider to provide the service on an ongoing basis; and (b) assess the financial and non-financial risks from reliance on the service provider, including risks associated with geographic location or concentration of the service provider(s) or parties the service provider relies on in providing the service.</t>
        </is>
      </c>
      <c r="O111" s="12" t="inlineStr">
        <is>
          <t>Open PDF</t>
        </is>
      </c>
    </row>
    <row r="112">
      <c r="A112" t="inlineStr">
        <is>
          <t>Australia</t>
        </is>
      </c>
      <c r="B112" t="inlineStr">
        <is>
          <t>Prudential Standard - CPS 230 Operational Risk Management - clean (Australia - Row 3)</t>
        </is>
      </c>
      <c r="C112" t="inlineStr">
        <is>
          <t>53</t>
        </is>
      </c>
      <c r="D112" s="11" t="inlineStr">
        <is>
          <t>Formal agreements for material service providers</t>
        </is>
      </c>
      <c r="E112" t="inlineStr">
        <is>
          <t>11–12</t>
        </is>
      </c>
      <c r="F112" t="inlineStr">
        <is>
          <t>High</t>
        </is>
      </c>
      <c r="G112" t="inlineStr">
        <is>
          <t>High (explicit)</t>
        </is>
      </c>
      <c r="H112" s="11" t="inlineStr"/>
      <c r="I112" s="11" t="inlineStr">
        <is>
          <t>Customer Data</t>
        </is>
      </c>
      <c r="J112" t="inlineStr">
        <is>
          <t>APRA</t>
        </is>
      </c>
      <c r="K112" s="11" t="inlineStr">
        <is>
          <t>APRA-regulated entities must maintain formal legally binding agreements for all material arrangements. These agreements must specify services covered, rights and responsibilities of each party, ownership of assets, data control, dispute resolution, audit access, liability, indemnity, notification of sub-contractors, force majeure provisions, and termination rights. For RSE licensees, termination provisions must align with their duty to act in the best financial interests of beneficiaries.</t>
        </is>
      </c>
      <c r="L112" s="11" t="inlineStr">
        <is>
          <t>Formal agreements for material service providers ensure data transfers and processing activities are governed by clear contractual safeguards to mitigate financial and operational risks.</t>
        </is>
      </c>
      <c r="M112" s="11" t="inlineStr">
        <is>
          <t>• [Must] For all material arrangements, an APRA-regulated entity must maintain a formal legally binding agreement
• [Must] The formal agreement must specify the services covered by the agreement and associated service levels
• [Must] The formal agreement must set out the rights, responsibilities and expectations of each party to the agreement, including in relation to the ownership of assets, ownership and control of data, dispute resolution, audit access, liability and indemnity
• [Must] The formal agreement must include provisions to ensure the entity can meet its legal and compliance obligations
• [Must] The formal agreement must require notification by the service provider of its use of other material service providers that it materially relies upon in providing the service through sub-contracting or other arrangements
• [Must] The formal agreement must require the liability for any failure on the part of any sub-contractor to be the responsibility of the service provider
• [Must] The formal agreement must include a force majeure provision indicating those parts of the contract that would continue in the case of a force majeure event
• [Must] The formal agreement must include termination provisions including the right to terminate both the arrangement in its entirety or parts of the arrangement
• [Must] For an RSE licensee, termination provisions must include the ability to terminate the arrangement where continuing would be inconsistent with the duty to act in the best financial interests of beneficiaries</t>
        </is>
      </c>
      <c r="N112" s="11" t="inlineStr">
        <is>
          <t>For all material arrangements, an APRA-regulated entity must maintain a formal legally binding agreement (formal agreement). The formal agreement must, at a minimum: (a) specify the services covered by the agreement and associated service levels; (b) set out the rights, responsibilities and expectations of each party to the agreement, including in relation to the ownership of assets, ownership and control of data, dispute resolution, audit access, liability and indemnity; (c) include provisions to ensure the ability of the entity to meet its legal and compliance obligations; (d) require notification by the service provider of its use of other material service providers that it materially relies upon in providing the service to the APRA-regulated entity through sub-contracting or other arrangements; (e) require the liability for any failure on the part of any sub-contractor to be the responsibility of the service provider; (f) include a force majeure provision indicating those parts of the contract that would continue in the case of a force majeure event; and (g) termination provisions including, but not limited to, the right to terminate both the arrangement in its entirety or parts of the arrangement.</t>
        </is>
      </c>
      <c r="O112" s="12" t="inlineStr">
        <is>
          <t>Open PDF</t>
        </is>
      </c>
    </row>
    <row r="113">
      <c r="A113" t="inlineStr">
        <is>
          <t>Australia</t>
        </is>
      </c>
      <c r="B113" t="inlineStr">
        <is>
          <t>Prudential Standard - CPS 230 Operational Risk Management - clean (Australia - Row 3)</t>
        </is>
      </c>
      <c r="C113" t="inlineStr">
        <is>
          <t>61</t>
        </is>
      </c>
      <c r="D113" s="11" t="inlineStr">
        <is>
          <t>Internal audit review of critical outsourcing arrangements</t>
        </is>
      </c>
      <c r="E113" t="inlineStr">
        <is>
          <t>13–14</t>
        </is>
      </c>
      <c r="F113" t="inlineStr">
        <is>
          <t>High</t>
        </is>
      </c>
      <c r="G113" t="inlineStr">
        <is>
          <t>High (explicit)</t>
        </is>
      </c>
      <c r="H113" s="11" t="inlineStr">
        <is>
          <t>Third Party Processing, Cloud Services, Outsourcing</t>
        </is>
      </c>
      <c r="I113" s="11" t="inlineStr">
        <is>
          <t>Financial Data</t>
        </is>
      </c>
      <c r="J113" t="inlineStr">
        <is>
          <t>APRA</t>
        </is>
      </c>
      <c r="K113" s="11" t="inlineStr">
        <is>
          <t>An APRA-regulated entity's internal audit function must review any proposed material arrangement involving the outsourcing of a critical operation. The internal audit function must regularly report to the Board or Board Audit Committee on compliance with the entity's service provider management policy regarding such arrangements.</t>
        </is>
      </c>
      <c r="L113" s="11" t="inlineStr">
        <is>
          <t>This section requires internal audit oversight of critical outsourcing arrangements, impacting data transfer impact assessments by mandating specific review and reporting mechanisms for offshoring activities involving critical operations.</t>
        </is>
      </c>
      <c r="M113" s="11" t="inlineStr">
        <is>
          <t>• [Must] An APRA-regulated entity's internal audit function must review any proposed material arrangement involving the outsourcing of a critical operation
• [Must] The internal audit function must regularly report to the Board or Board Audit Committee on compliance of such arrangements with the entity's service provider management policy</t>
        </is>
      </c>
      <c r="N113" s="11" t="inlineStr">
        <is>
          <t>61. An APRA-regulated entity's internal audit function must review any proposed material arrangement involving the outsourcing of a critical operation. The internal audit function must regularly report to the Board or Board Audit Committee on compliance of such arrangements with the entity's service provider management policy.</t>
        </is>
      </c>
      <c r="O113" s="12" t="inlineStr">
        <is>
          <t>Open PDF</t>
        </is>
      </c>
    </row>
    <row r="114">
      <c r="A114" t="inlineStr">
        <is>
          <t>Australia</t>
        </is>
      </c>
      <c r="B114" t="inlineStr">
        <is>
          <t>Prudential-Practice-Guide-CPG-235-Managing-Data-Risk_1 (Australia - Row 4)</t>
        </is>
      </c>
      <c r="C114" t="inlineStr">
        <is>
          <t>1</t>
        </is>
      </c>
      <c r="D114" s="11" t="inlineStr">
        <is>
          <t>Data risk management importance for business objectives</t>
        </is>
      </c>
      <c r="E114" t="inlineStr">
        <is>
          <t>6</t>
        </is>
      </c>
      <c r="F114" t="inlineStr">
        <is>
          <t>High</t>
        </is>
      </c>
      <c r="G114" t="inlineStr">
        <is>
          <t>High (explicit)</t>
        </is>
      </c>
      <c r="H114" s="11" t="inlineStr">
        <is>
          <t>Governance</t>
        </is>
      </c>
      <c r="I114" s="11" t="inlineStr">
        <is>
          <t>Personal Information</t>
        </is>
      </c>
      <c r="J114" t="inlineStr">
        <is>
          <t>APRA</t>
        </is>
      </c>
      <c r="K114" s="11" t="inlineStr">
        <is>
          <t>This section states that managing data and associated risks is crucial for meeting financial and stakeholder obligations, effective management, and proper governance. It emphasizes that weaknesses in data risk management are a recurring focus of APRA's supervision activities, highlighting the need for this practice guide to address ongoing gaps.</t>
        </is>
      </c>
      <c r="L114" s="11" t="inlineStr">
        <is>
          <t>This section establishes the foundational importance of data risk management for regulated entities, directly impacting how data transfers and processing activities are assessed for compliance with governance and oversight requirements.</t>
        </is>
      </c>
      <c r="M114" s="11" t="inlineStr">
        <is>
          <t>• [Must] Management of data and associated risks is important for meeting financial and stakeholder obligations
• [Must] Effective data risk management is a recurring focus of APRA's supervision activities</t>
        </is>
      </c>
      <c r="N114" s="11" t="inlineStr">
        <is>
          <t>The management of data and associated risks is important for a broad range of business objectives including meeting financial and other obligations to stakeholders, effective management and proper governance.</t>
        </is>
      </c>
      <c r="O114" s="12" t="inlineStr">
        <is>
          <t>Open PDF</t>
        </is>
      </c>
    </row>
    <row r="115">
      <c r="A115" t="inlineStr">
        <is>
          <t>Australia</t>
        </is>
      </c>
      <c r="B115" t="inlineStr">
        <is>
          <t>Prudential-Practice-Guide-CPG-235-Managing-Data-Risk_1 (Australia - Row 4)</t>
        </is>
      </c>
      <c r="C115" t="inlineStr">
        <is>
          <t>3</t>
        </is>
      </c>
      <c r="D115" s="11" t="inlineStr">
        <is>
          <t>Data's role in business objectives and stakeholder expectations</t>
        </is>
      </c>
      <c r="E115" t="inlineStr">
        <is>
          <t>6</t>
        </is>
      </c>
      <c r="F115" t="inlineStr">
        <is>
          <t>High</t>
        </is>
      </c>
      <c r="G115" t="inlineStr">
        <is>
          <t>High (explicit)</t>
        </is>
      </c>
      <c r="H115" s="11" t="inlineStr"/>
      <c r="I115" s="11" t="inlineStr">
        <is>
          <t>Financial Data</t>
        </is>
      </c>
      <c r="J115" t="inlineStr"/>
      <c r="K115" s="11" t="inlineStr">
        <is>
          <t>This section explains that data is essential for regulated entities to achieve business objectives, with increased reliance on data due to process automation and analytics. Stakeholders including boards, management, customers, and regulators now expect effective data management, treating data as a valuable asset.</t>
        </is>
      </c>
      <c r="L115" s="11" t="inlineStr">
        <is>
          <t>This section clarifies the strategic importance of data as an asset, influencing how data transfers and processing activities are evaluated for alignment with stakeholder expectations and business objectives.</t>
        </is>
      </c>
      <c r="M115" s="11" t="inlineStr">
        <is>
          <t>• [Must] Data is essential for achieving business objectives
• [Must] Reliance on data has increased due to process automation and analytics
• [Must] Stakeholders including boards, management, customers, and regulators expect effective data management
• [Must] Data should be treated as a valuable asset</t>
        </is>
      </c>
      <c r="N115" s="11" t="inlineStr">
        <is>
          <t>Data is essential for a regulated entity to achieve its business objectives. Furthermore, reliance on data has increased as a result of process automation and greater reliance on analytics and business intelligence to support decision-making.</t>
        </is>
      </c>
      <c r="O115" s="12" t="inlineStr">
        <is>
          <t>Open PDF</t>
        </is>
      </c>
    </row>
    <row r="116">
      <c r="A116" t="inlineStr">
        <is>
          <t>Australia</t>
        </is>
      </c>
      <c r="B116" t="inlineStr">
        <is>
          <t>Prudential-Practice-Guide-CPG-235-Managing-Data-Risk_1 (Australia - Row 4)</t>
        </is>
      </c>
      <c r="C116" t="inlineStr">
        <is>
          <t>4</t>
        </is>
      </c>
      <c r="D116" s="11" t="inlineStr">
        <is>
          <t>Guidance for data risk management audiences</t>
        </is>
      </c>
      <c r="E116" t="inlineStr">
        <is>
          <t>6</t>
        </is>
      </c>
      <c r="F116" t="inlineStr">
        <is>
          <t>High</t>
        </is>
      </c>
      <c r="G116" t="inlineStr">
        <is>
          <t>High (explicit)</t>
        </is>
      </c>
      <c r="H116" s="11" t="inlineStr">
        <is>
          <t>Governance</t>
        </is>
      </c>
      <c r="I116" s="11" t="inlineStr">
        <is>
          <t>Financial Data</t>
        </is>
      </c>
      <c r="J116" t="inlineStr"/>
      <c r="K116" s="11" t="inlineStr">
        <is>
          <t>This section states that the practice guide provides guidance to senior management, risk management, business, and technical specialists. It emphasizes the need for sound risk management disciplines and business understanding to effectively manage data risk profiles, facilitating business initiatives and compliance with regulatory requirements.</t>
        </is>
      </c>
      <c r="L116" s="11" t="inlineStr">
        <is>
          <t>This section outlines the target audiences for data risk management guidance, ensuring that all relevant stakeholders understand their roles in assessing data transfers and processing activities.</t>
        </is>
      </c>
      <c r="M116" s="11" t="inlineStr">
        <is>
          <t>• [Must] This PPG provides guidance to senior management, risk management, business and technical specialists
• [Must] Effective data risk management facilitates business initiatives
• [Must] Effective data risk management assists compliance with regulatory and legal requirements</t>
        </is>
      </c>
      <c r="N116" s="11" t="inlineStr">
        <is>
          <t>This PPG aims to provide guidance to senior management, risk management, business and technical specialists.</t>
        </is>
      </c>
      <c r="O116" s="12" t="inlineStr">
        <is>
          <t>Open PDF</t>
        </is>
      </c>
    </row>
    <row r="117">
      <c r="A117" t="inlineStr">
        <is>
          <t>Australia</t>
        </is>
      </c>
      <c r="B117" t="inlineStr">
        <is>
          <t>Prudential-Practice-Guide-CPG-235-Managing-Data-Risk_1 (Australia - Row 4)</t>
        </is>
      </c>
      <c r="C117" t="inlineStr">
        <is>
          <t>5</t>
        </is>
      </c>
      <c r="D117" s="11" t="inlineStr">
        <is>
          <t>Governance for effective data risk management</t>
        </is>
      </c>
      <c r="E117" t="inlineStr">
        <is>
          <t>6</t>
        </is>
      </c>
      <c r="F117" t="inlineStr">
        <is>
          <t>High</t>
        </is>
      </c>
      <c r="G117" t="inlineStr">
        <is>
          <t>High (explicit)</t>
        </is>
      </c>
      <c r="H117" s="11" t="inlineStr">
        <is>
          <t>Governance</t>
        </is>
      </c>
      <c r="I117" s="11" t="inlineStr">
        <is>
          <t>Financial Data</t>
        </is>
      </c>
      <c r="J117" t="inlineStr"/>
      <c r="K117" s="11" t="inlineStr">
        <is>
          <t>This section states that governance is vital to ensure data risk management processes are properly designed and operating effectively. It requires clear articulation of Board and senior management responsibilities, formal delegation of authority, and regular oversight to align with corporate governance frameworks.</t>
        </is>
      </c>
      <c r="L117" s="11" t="inlineStr">
        <is>
          <t>This section specifies governance requirements for data risk management, directly impacting how data transfers and processing activities are assessed for compliance with oversight and accountability standards.</t>
        </is>
      </c>
      <c r="M117" s="11" t="inlineStr">
        <is>
          <t>• [Must] Governance ensures data risk management and related business processes are properly designed and operating effectively
• [Must] Effective governance involves clear articulation of Board and senior management responsibilities
• [Must] Effective governance requires formal delegation of authority
• [Must] Effective governance includes regular oversight</t>
        </is>
      </c>
      <c r="N117" s="11" t="inlineStr">
        <is>
          <t>As with any process, governance is vital to ensure that data risk management and related business processes are properly designed and operating effectively to meet the needs of the regulated entity.</t>
        </is>
      </c>
      <c r="O117" s="12" t="inlineStr">
        <is>
          <t>Open PDF</t>
        </is>
      </c>
    </row>
    <row r="118">
      <c r="A118" t="inlineStr">
        <is>
          <t>Australia</t>
        </is>
      </c>
      <c r="B118" t="inlineStr">
        <is>
          <t>Prudential-Practice-Guide-CPG-235-Managing-Data-Risk_1 (Australia - Row 4)</t>
        </is>
      </c>
      <c r="C118" t="inlineStr">
        <is>
          <t>11</t>
        </is>
      </c>
      <c r="D118" s="11" t="inlineStr">
        <is>
          <t>Data risk examples and scope</t>
        </is>
      </c>
      <c r="E118" t="inlineStr">
        <is>
          <t>7</t>
        </is>
      </c>
      <c r="F118" t="inlineStr">
        <is>
          <t>High</t>
        </is>
      </c>
      <c r="G118" t="inlineStr">
        <is>
          <t>High (explicit)</t>
        </is>
      </c>
      <c r="H118" s="11" t="inlineStr">
        <is>
          <t>Data Storage</t>
        </is>
      </c>
      <c r="I118" s="11" t="inlineStr">
        <is>
          <t>Financial Data</t>
        </is>
      </c>
      <c r="J118" t="inlineStr"/>
      <c r="K118" s="11" t="inlineStr">
        <is>
          <t>This section defines data risk as the risk of loss from inadequate internal processes, people, systems, or external events. It includes examples such as fraud due to data theft, business disruption from data corruption, execution failures from inaccurate data, and breaches of legal obligations due to sensitive data disclosure.</t>
        </is>
      </c>
      <c r="L118" s="11" t="inlineStr">
        <is>
          <t>This section provides concrete examples of data risks that must be considered during data transfer impact assessments, particularly for financial data transfers and processing activities.</t>
        </is>
      </c>
      <c r="M118" s="11" t="inlineStr">
        <is>
          <t>• [Must] Data risk encompasses risk of loss from inadequate or failed internal processes, people and systems
• [Must] Data risk encompasses risk of loss from external events impacting on data
• [Must] Data risk includes fraud due to theft of data
• [Must] Data risk includes business disruption due to data corruption or unavailability
• [Must] Data risk includes execution delivery failure due to inaccurate data
• [Must] Data risk includes breach of legal or compliance obligations from disclosure of sensitive data</t>
        </is>
      </c>
      <c r="N118" s="11" t="inlineStr">
        <is>
          <t>Data risk encompasses the risk of loss resulting from inadequate or failed internal processes, people and systems or from external events impacting on data.</t>
        </is>
      </c>
      <c r="O118" s="12" t="inlineStr">
        <is>
          <t>Open PDF</t>
        </is>
      </c>
    </row>
    <row r="119">
      <c r="A119" t="inlineStr">
        <is>
          <t>Australia</t>
        </is>
      </c>
      <c r="B119" t="inlineStr">
        <is>
          <t>Prudential-Practice-Guide-CPG-235-Managing-Data-Risk_1 (Australia - Row 4)</t>
        </is>
      </c>
      <c r="C119" t="inlineStr">
        <is>
          <t>12</t>
        </is>
      </c>
      <c r="D119" s="11" t="inlineStr">
        <is>
          <t>Data risk as a subset of operational risk</t>
        </is>
      </c>
      <c r="E119" t="inlineStr">
        <is>
          <t>7</t>
        </is>
      </c>
      <c r="F119" t="inlineStr">
        <is>
          <t>High</t>
        </is>
      </c>
      <c r="G119" t="inlineStr">
        <is>
          <t>High (explicit)</t>
        </is>
      </c>
      <c r="H119" s="11" t="inlineStr">
        <is>
          <t>Data Storage</t>
        </is>
      </c>
      <c r="I119" s="11" t="inlineStr">
        <is>
          <t>Financial Data</t>
        </is>
      </c>
      <c r="J119" t="inlineStr"/>
      <c r="K119" s="11" t="inlineStr">
        <is>
          <t>This section states that data risk is a subset of operational risk, including information and IT risk. It overlaps with information and IT security risk, and emphasizes that data risk can adversely affect regulated entities and result in failure to meet business objectives, including regulatory and legal requirements.</t>
        </is>
      </c>
      <c r="L119" s="11" t="inlineStr">
        <is>
          <t>This section clarifies the relationship between data risk and operational risk, which is critical for assessing the impact of data transfers and processing activities on regulatory compliance.</t>
        </is>
      </c>
      <c r="M119" s="11" t="inlineStr">
        <is>
          <t>• [Must] Data risk is considered a subset of operational risk
• [Must] Data risk includes information and information technology risk
• [Must] Information and information technology security risk overlaps with data risk
• [Must] Data risk can adversely affect a regulated entity
• [Must] Data risk may result in failure to meet business objectives</t>
        </is>
      </c>
      <c r="N119" s="11" t="inlineStr">
        <is>
          <t>For the purposes of this PPG, data risk is considered to be a subset of operational risk, which includes information and information technology risk.</t>
        </is>
      </c>
      <c r="O119" s="12" t="inlineStr">
        <is>
          <t>Open PDF</t>
        </is>
      </c>
    </row>
    <row r="120">
      <c r="A120" t="inlineStr">
        <is>
          <t>Australia</t>
        </is>
      </c>
      <c r="B120" t="inlineStr">
        <is>
          <t>Prudential-Practice-Guide-CPG-235-Managing-Data-Risk_1 (Australia - Row 4)</t>
        </is>
      </c>
      <c r="C120" t="inlineStr">
        <is>
          <t>13</t>
        </is>
      </c>
      <c r="D120" s="11" t="inlineStr">
        <is>
          <t>Data risk management aligned with operational risk frameworks</t>
        </is>
      </c>
      <c r="E120" t="inlineStr">
        <is>
          <t>7</t>
        </is>
      </c>
      <c r="F120" t="inlineStr">
        <is>
          <t>High</t>
        </is>
      </c>
      <c r="G120" t="inlineStr">
        <is>
          <t>High (explicit)</t>
        </is>
      </c>
      <c r="H120" s="11" t="inlineStr"/>
      <c r="I120" s="11" t="inlineStr">
        <is>
          <t>Personal Information</t>
        </is>
      </c>
      <c r="J120" t="inlineStr">
        <is>
          <t>Australian Prudential Regulation Authority</t>
        </is>
      </c>
      <c r="K120" s="11" t="inlineStr">
        <is>
          <t>Regulated entities must align their data risk management with operational risk frameworks and other relevant risk management frameworks such as credit, market, and insurance risk frameworks. This alignment depends on the specific data involved and ensures comprehensive risk coverage across different business areas.</t>
        </is>
      </c>
      <c r="L120" s="11" t="inlineStr">
        <is>
          <t>Data risk management must be integrated with operational risk frameworks to ensure consistent handling of data across business processes, critical for cross-border data transfers involving financial institutions.</t>
        </is>
      </c>
      <c r="M120" s="11" t="inlineStr">
        <is>
          <t>• [Must] Regulated entities must manage data risk in alignment with operational risk frameworks
• [Must] Regulated entities must align data risk management with other relevant risk management frameworks</t>
        </is>
      </c>
      <c r="N120" s="11" t="inlineStr">
        <is>
          <t>A regulated entity would typically manage data risk in alignment with the operational risk framework and, where relevant, in conjunction with other risk management frameworks (e.g. credit, market and insurance risk management frameworks), depending on the nature of the data involved.</t>
        </is>
      </c>
      <c r="O120" s="12" t="inlineStr">
        <is>
          <t>Open PDF</t>
        </is>
      </c>
    </row>
    <row r="121">
      <c r="A121" t="inlineStr">
        <is>
          <t>Australia</t>
        </is>
      </c>
      <c r="B121" t="inlineStr">
        <is>
          <t>Prudential-Practice-Guide-CPG-235-Managing-Data-Risk_1 (Australia - Row 4)</t>
        </is>
      </c>
      <c r="C121" t="inlineStr">
        <is>
          <t>15</t>
        </is>
      </c>
      <c r="D121" s="11" t="inlineStr">
        <is>
          <t>Regular assessment of data control adequacy</t>
        </is>
      </c>
      <c r="E121" t="inlineStr">
        <is>
          <t>7–8</t>
        </is>
      </c>
      <c r="F121" t="inlineStr">
        <is>
          <t>High</t>
        </is>
      </c>
      <c r="G121" t="inlineStr">
        <is>
          <t>High (explicit)</t>
        </is>
      </c>
      <c r="H121" s="11" t="inlineStr"/>
      <c r="I121" s="11" t="inlineStr">
        <is>
          <t>Personal Information</t>
        </is>
      </c>
      <c r="J121" t="inlineStr">
        <is>
          <t>Australian Prudential Regulation Authority</t>
        </is>
      </c>
      <c r="K121" s="11" t="inlineStr">
        <is>
          <t>Regulated entities must regularly assess the adequacy of data controls to ensure they operate within their risk appetite. This assessment occurs when introducing new business processes and periodically thereafter, or after significant changes to data usage, internal controls, or external environments. The assessment considers end-to-end data use and related controls.</t>
        </is>
      </c>
      <c r="L121" s="11" t="inlineStr">
        <is>
          <t>Regular assessment of data controls ensures data transfers comply with risk appetite, critical for DTIAs involving financial data across borders.</t>
        </is>
      </c>
      <c r="M121" s="11" t="inlineStr">
        <is>
          <t>• [Must] Regulated entities must assess data control adequacy when introducing new business processes
• [Must] Regulated entities must periodically assess data control adequacy after material changes to data usage, internal controls, or external environments
• [Must] Assessment must consider end-to-end use of data and related control environment</t>
        </is>
      </c>
      <c r="N121" s="11" t="inlineStr">
        <is>
          <t>The adequacy of data controls in ensuring that a regulated entity operates within its risk appetite would normally be assessed as part of introducing new business processes and then on a regular basis thereafter (or following material change to either the process, usage of data, internal controls or external environments).</t>
        </is>
      </c>
      <c r="O121" s="12" t="inlineStr">
        <is>
          <t>Open PDF</t>
        </is>
      </c>
    </row>
    <row r="122">
      <c r="A122" t="inlineStr">
        <is>
          <t>Australia</t>
        </is>
      </c>
      <c r="B122" t="inlineStr">
        <is>
          <t>Prudential-Practice-Guide-CPG-235-Managing-Data-Risk_1 (Australia - Row 4)</t>
        </is>
      </c>
      <c r="C122" t="inlineStr">
        <is>
          <t>17</t>
        </is>
      </c>
      <c r="D122" s="11" t="inlineStr">
        <is>
          <t>Data classification dimensions for risk management</t>
        </is>
      </c>
      <c r="E122" t="inlineStr">
        <is>
          <t>8</t>
        </is>
      </c>
      <c r="F122" t="inlineStr">
        <is>
          <t>High</t>
        </is>
      </c>
      <c r="G122" t="inlineStr">
        <is>
          <t>High (explicit)</t>
        </is>
      </c>
      <c r="H122" s="11" t="inlineStr"/>
      <c r="I122" s="11" t="inlineStr">
        <is>
          <t>Personal Information</t>
        </is>
      </c>
      <c r="J122" t="inlineStr">
        <is>
          <t>Australian Prudential Regulation Authority</t>
        </is>
      </c>
      <c r="K122" s="11" t="inlineStr">
        <is>
          <t>Regulated entities must consider confidentiality, accountability, authenticity, and non-repudiation when classifying data based on business criticality and sensitivity. These dimensions ensure data access is restricted to authorized users, actions can be attributed, data is genuine, and events cannot be denied.</t>
        </is>
      </c>
      <c r="L122" s="11" t="inlineStr">
        <is>
          <t>Data classification dimensions like confidentiality and non-repudiation are critical for DTIAs to ensure data transfers maintain integrity and traceability across borders.</t>
        </is>
      </c>
      <c r="M122" s="11" t="inlineStr">
        <is>
          <t>• [Must] Confidentiality: restriction of data access to authorized users, software and hardware
• [Must] Accountability: ability to attribute responsibility for an action
• [Must] Authenticity: condition of being genuine
• [Must] Non-repudiation: concept that an event cannot later be denied</t>
        </is>
      </c>
      <c r="N122" s="11" t="inlineStr">
        <is>
          <t>Other dimensions that could also be relevant, depending on the nature and use of specific data, include: (a) confidentiality: restriction of data access to authorised users, software and hardware; (b) accountability: the ability to attribute the responsibility for an action; (c) authenticity: the condition of being genuine; and (d) non-repudiation: the concept that an event cannot later be denied.</t>
        </is>
      </c>
      <c r="O122" s="12" t="inlineStr">
        <is>
          <t>Open PDF</t>
        </is>
      </c>
    </row>
    <row r="123">
      <c r="A123" t="inlineStr">
        <is>
          <t>Australia</t>
        </is>
      </c>
      <c r="B123" t="inlineStr">
        <is>
          <t>Prudential-Practice-Guide-CPG-235-Managing-Data-Risk_1 (Australia - Row 4)</t>
        </is>
      </c>
      <c r="C123" t="inlineStr">
        <is>
          <t>18</t>
        </is>
      </c>
      <c r="D123" s="11" t="inlineStr">
        <is>
          <t>Data classification by criticality and sensitivity</t>
        </is>
      </c>
      <c r="E123" t="inlineStr">
        <is>
          <t>8</t>
        </is>
      </c>
      <c r="F123" t="inlineStr">
        <is>
          <t>High</t>
        </is>
      </c>
      <c r="G123" t="inlineStr">
        <is>
          <t>High (explicit)</t>
        </is>
      </c>
      <c r="H123" s="11" t="inlineStr"/>
      <c r="I123" s="11" t="inlineStr">
        <is>
          <t>Personal Information</t>
        </is>
      </c>
      <c r="J123" t="inlineStr">
        <is>
          <t>Australian Prudential Regulation Authority</t>
        </is>
      </c>
      <c r="K123" s="11" t="inlineStr">
        <is>
          <t>Regulated entities must classify data based on business criticality and sensitivity, considering end-to-end use. This classification should leverage existing business impact analysis processes and be determined by business requirements to ensure appropriate risk management.</t>
        </is>
      </c>
      <c r="L123" s="11" t="inlineStr">
        <is>
          <t>Data classification by criticality and sensitivity ensures DTIAs account for data's importance in cross-border transfers, critical for financial institutions.</t>
        </is>
      </c>
      <c r="M123" s="11" t="inlineStr">
        <is>
          <t>• [Must] Regulated entities must classify data based on business criticality and sensitivity
• [Must] Classification must consider end-to-end use of data</t>
        </is>
      </c>
      <c r="N123" s="11" t="inlineStr">
        <is>
          <t>For the purposes of managing data risk, a regulated entity would typically classify data based on business criticality and sensitivity. The assessment would typically take into account the end-to-end use of the data.</t>
        </is>
      </c>
      <c r="O123" s="12" t="inlineStr">
        <is>
          <t>Open PDF</t>
        </is>
      </c>
    </row>
    <row r="124">
      <c r="A124" t="inlineStr">
        <is>
          <t>Australia</t>
        </is>
      </c>
      <c r="B124" t="inlineStr">
        <is>
          <t>Prudential-Practice-Guide-CPG-235-Managing-Data-Risk_1 (Australia - Row 4)</t>
        </is>
      </c>
      <c r="C124" t="inlineStr">
        <is>
          <t>20</t>
        </is>
      </c>
      <c r="D124" s="11" t="inlineStr">
        <is>
          <t>Formal data risk management framework requirements</t>
        </is>
      </c>
      <c r="E124" t="inlineStr">
        <is>
          <t>8–9</t>
        </is>
      </c>
      <c r="F124" t="inlineStr">
        <is>
          <t>High</t>
        </is>
      </c>
      <c r="G124" t="inlineStr">
        <is>
          <t>High (explicit)</t>
        </is>
      </c>
      <c r="H124" s="11" t="inlineStr"/>
      <c r="I124" s="11" t="inlineStr">
        <is>
          <t>Personal Information</t>
        </is>
      </c>
      <c r="J124" t="inlineStr">
        <is>
          <t>Australian Prudential Regulation Authority</t>
        </is>
      </c>
      <c r="K124" s="11" t="inlineStr">
        <is>
          <t>Regulated entities must adopt a systematic and formalized data risk management framework that includes policies, standards, alignment with enterprise frameworks, designated owners, roles and responsibilities, and regular reviews. This framework must ensure data risk is integrated into change management and business-as-usual processes.</t>
        </is>
      </c>
      <c r="L124" s="11" t="inlineStr">
        <is>
          <t>Formal data risk management frameworks are essential for DTIAs to ensure data transfers comply with robust controls and risk appetite, critical for financial data.</t>
        </is>
      </c>
      <c r="M124" s="11" t="inlineStr">
        <is>
          <t>• [Must] Data risk management framework must include a hierarchy of policies, standards, guidelines, procedures and documentation
• [Must] Framework must align with enterprise frameworks such as operational risk, security, project management, system development, business continuity, outsourcing/offshoring, and risk management
• [Must] Framework must include expectations of the Board and senior management
• [Must] Framework must assign designated owners
• [Must] Framework must outline roles and responsibilities of staff
• [Must] Framework must enable design and implementation of data controls commensurate with data criticality and sensitivity
• [Must] Framework must be reviewed on a regular basis with periodic assessment against current practices and industry standards</t>
        </is>
      </c>
      <c r="N124" s="11" t="inlineStr">
        <is>
          <t>A regulated entity would typically adopt a systematic and formalised approach that ensures data risk is taken into consideration as part of its change management and business-as-usual processes. This could be encapsulated in a formally approved data risk management framework outlining the entity's approach to managing data risk that: (a) includes a hierarchy of policies, standards, guidelines, procedures and other documentation supporting business processes; (b) aligns with other enterprise frameworks such as operational risk, security, project management, system development, business continuity management, outsourcing/offshoring management and risk management; (c) includes the expectations of the Board and senior management; (d) assigns a designated owner or owners; (e) outlines the roles and responsibilities of staff to ensure effective data risk management outcomes; (f) enables the design and implementation of data controls. The strength of controls would normally be commensurate with the criticality and sensitivity of the data involved; and (g) is reviewed on a regular basis, with periodic assessment for completeness against current practices and industry standards.</t>
        </is>
      </c>
      <c r="O124" s="12" t="inlineStr">
        <is>
          <t>Open PDF</t>
        </is>
      </c>
    </row>
    <row r="125">
      <c r="A125" t="inlineStr">
        <is>
          <t>Australia</t>
        </is>
      </c>
      <c r="B125" t="inlineStr">
        <is>
          <t>Prudential-Practice-Guide-CPG-235-Managing-Data-Risk_1 (Australia - Row 4)</t>
        </is>
      </c>
      <c r="C125" t="inlineStr">
        <is>
          <t>21</t>
        </is>
      </c>
      <c r="D125" s="11" t="inlineStr">
        <is>
          <t>Data risk management framework development strategy</t>
        </is>
      </c>
      <c r="E125" t="inlineStr">
        <is>
          <t>9</t>
        </is>
      </c>
      <c r="F125" t="inlineStr">
        <is>
          <t>High</t>
        </is>
      </c>
      <c r="G125" t="inlineStr">
        <is>
          <t>High (explicit)</t>
        </is>
      </c>
      <c r="H125" s="11" t="inlineStr"/>
      <c r="I125" s="11" t="inlineStr">
        <is>
          <t>Personal Information</t>
        </is>
      </c>
      <c r="J125" t="inlineStr">
        <is>
          <t>Australian Prudential Regulation Authority</t>
        </is>
      </c>
      <c r="K125" s="11" t="inlineStr">
        <is>
          <t>Regulated entities must establish and continuously develop their data risk management framework through a defined strategy and program of work with clear budget, resources, timelines, and milestones. This framework must be integrated into change management and business-as-usual processes and aligned with business, IT, and security strategies.</t>
        </is>
      </c>
      <c r="L125" s="11" t="inlineStr">
        <is>
          <t>Data risk management framework development ensures DTIAs incorporate strategic alignment with business and IT strategies, critical for cross-border data transfers.</t>
        </is>
      </c>
      <c r="M125" s="11" t="inlineStr">
        <is>
          <t>• [Must] Data risk management framework establishment must be directed by a data risk management strategy and supporting program of work with defined budget, resource requirements, timeframes and milestones
• [Must] Data risk management framework development must be an integral part of change management and business-as-usual processes
• [Must] Data risk management strategy must align with business, information technology, and security strategies</t>
        </is>
      </c>
      <c r="N125" s="11" t="inlineStr">
        <is>
          <t>The establishment and ongoing development of the data risk management framework would normally be: (a) directed by a data risk management strategy and supporting program of work with a clearly defined budget, resource requirements, timeframes and milestones; and (b) an integral part of a regulated entity's change management and business-as-usual processes. A data risk management strategy would typically be aligned with the regulated entity's business, information technology, and security strategies as appropriate.</t>
        </is>
      </c>
      <c r="O125" s="12" t="inlineStr">
        <is>
          <t>Open PDF</t>
        </is>
      </c>
    </row>
    <row r="126">
      <c r="A126" t="inlineStr">
        <is>
          <t>Australia</t>
        </is>
      </c>
      <c r="B126" t="inlineStr">
        <is>
          <t>Prudential-Practice-Guide-CPG-235-Managing-Data-Risk_1 (Australia - Row 4)</t>
        </is>
      </c>
      <c r="C126" t="inlineStr">
        <is>
          <t>22</t>
        </is>
      </c>
      <c r="D126" s="11" t="inlineStr">
        <is>
          <t>Data risk management principles for regulated entities</t>
        </is>
      </c>
      <c r="E126" t="inlineStr">
        <is>
          <t>9</t>
        </is>
      </c>
      <c r="F126" t="inlineStr">
        <is>
          <t>High</t>
        </is>
      </c>
      <c r="G126" t="inlineStr">
        <is>
          <t>High (explicit)</t>
        </is>
      </c>
      <c r="H126" s="11" t="inlineStr">
        <is>
          <t>Data Storage, Data Sharing</t>
        </is>
      </c>
      <c r="I126" s="11" t="inlineStr">
        <is>
          <t>Personal Information, Financial Data</t>
        </is>
      </c>
      <c r="J126" t="inlineStr">
        <is>
          <t>APRA</t>
        </is>
      </c>
      <c r="K126" s="11" t="inlineStr">
        <is>
          <t>Regulated entities must establish high-level data risk management principles to ensure sound data risk management. These principles include limiting data access to business needs, validating data close to capture points, using automation where feasible, timely issue reporting, assessing data quality, and designing controls assuming staff lack knowledge of policies. These principles apply to all staff and processes within the entity.</t>
        </is>
      </c>
      <c r="L126" s="11" t="inlineStr">
        <is>
          <t>These principles provide foundational safeguards for data risk management that impact cross-border data transfers by requiring data minimization, quality assurance, and timely issue resolution.</t>
        </is>
      </c>
      <c r="M126" s="11" t="inlineStr">
        <is>
          <t>• [Must] Access to data is only granted where required to conduct business processes
• [Must] Data validation, correction and cleansing occur as close to the point of capture as possible
• [Must] Automation (where viable) is used as an alternative to manual processes
• [Must] Timely detection and reporting of data issues to minimise the time in which an issue can impact on the entity
• [Must] Assessment of data quality to ensure it is acceptable for the intended purpose
• [Must] Design of the control environment is based on the assumption that staff do not know what the data risk management policies and procedures are</t>
        </is>
      </c>
      <c r="N126" s="11" t="inlineStr">
        <is>
          <t>APRA envisages that a regulated entity would adopt a set of high-level principles in order to establish a sound foundation for data risk management. Data risk management principles could include: (a) access to data is only granted where required to conduct business processes; (b) data validation, correction and cleansing occur as close to the point of capture as possible; (c) automation (where viable) is used as an alternative to manual processes; (d) timely detection and reporting of data issues to minimise the time in which an issue can impact on the entity; (e) assessment of data quality to ensure it is acceptable for the intended purpose; and (f) design of the control environment is based on the assumption that staff do not know what the data risk management policies and procedures are.</t>
        </is>
      </c>
      <c r="O126" s="12" t="inlineStr">
        <is>
          <t>Open PDF</t>
        </is>
      </c>
    </row>
    <row r="127">
      <c r="A127" t="inlineStr">
        <is>
          <t>Australia</t>
        </is>
      </c>
      <c r="B127" t="inlineStr">
        <is>
          <t>Prudential-Practice-Guide-CPG-235-Managing-Data-Risk_1 (Australia - Row 4)</t>
        </is>
      </c>
      <c r="C127" t="inlineStr">
        <is>
          <t>23</t>
        </is>
      </c>
      <c r="D127" s="11" t="inlineStr">
        <is>
          <t>Formal roles and responsibilities for data risk management</t>
        </is>
      </c>
      <c r="E127" t="inlineStr">
        <is>
          <t>9–10</t>
        </is>
      </c>
      <c r="F127" t="inlineStr">
        <is>
          <t>High</t>
        </is>
      </c>
      <c r="G127" t="inlineStr">
        <is>
          <t>High (explicit)</t>
        </is>
      </c>
      <c r="H127" s="11" t="inlineStr">
        <is>
          <t>Data Sharing</t>
        </is>
      </c>
      <c r="I127" s="11" t="inlineStr">
        <is>
          <t>Personal Information, Financial Data</t>
        </is>
      </c>
      <c r="J127" t="inlineStr">
        <is>
          <t>APRA</t>
        </is>
      </c>
      <c r="K127" s="11" t="inlineStr">
        <is>
          <t>Regulated entities must formally assign data risk management roles and responsibilities to staff, customers, service providers, and third parties. This includes defining data-specific roles such as data officers, custodians, owners/stewards, and governance functions, as well as risk management and compliance roles. These responsibilities apply to all entities subject to APRA regulation.</t>
        </is>
      </c>
      <c r="L127" s="11" t="inlineStr">
        <is>
          <t>Clear role definitions are critical for DTIAs as they ensure accountability in data transfers and processing, particularly for third parties and cross-border data flows.</t>
        </is>
      </c>
      <c r="M127" s="11" t="inlineStr">
        <is>
          <t>• [Must] Formal roles and responsibilities for data risk management are allocated to appropriately skilled staff
• [Must] Data roles and responsibilities for general staff and data users are defined
• [Must] Data-specific roles and responsibilities, such as data officers, custodians, owners/stewards, and designated business sponsors, are established
• [Must] Governance functions and reporting mechanisms to assess data risk management framework effectiveness are implemented
• [Must] Risk management, assurance and compliance roles are defined
• [Must] Data risk management framework roles, including maintenance, review, compliance monitoring, training and awareness, are established
• [Must] Responsibilities for data monitoring and management are assigned</t>
        </is>
      </c>
      <c r="N127" s="11" t="inlineStr">
        <is>
          <t>A key element in effective data risk management is the allocation of formal roles and responsibilities (pertaining to data) to appropriately skilled staff. This would typically articulate the data risk management responsibilities of staff, customers, service providers and other third parties.</t>
        </is>
      </c>
      <c r="O127" s="12" t="inlineStr">
        <is>
          <t>Open PDF</t>
        </is>
      </c>
    </row>
    <row r="128">
      <c r="A128" t="inlineStr">
        <is>
          <t>Australia</t>
        </is>
      </c>
      <c r="B128" t="inlineStr">
        <is>
          <t>Prudential-Practice-Guide-CPG-235-Managing-Data-Risk_1 (Australia - Row 4)</t>
        </is>
      </c>
      <c r="C128" t="inlineStr">
        <is>
          <t>24</t>
        </is>
      </c>
      <c r="D128" s="11" t="inlineStr">
        <is>
          <t>Ongoing compliance with data risk management</t>
        </is>
      </c>
      <c r="E128" t="inlineStr">
        <is>
          <t>10</t>
        </is>
      </c>
      <c r="F128" t="inlineStr">
        <is>
          <t>High</t>
        </is>
      </c>
      <c r="G128" t="inlineStr">
        <is>
          <t>High (explicit)</t>
        </is>
      </c>
      <c r="H128" s="11" t="inlineStr"/>
      <c r="I128" s="11" t="inlineStr">
        <is>
          <t>Personal Information, Financial Data</t>
        </is>
      </c>
      <c r="J128" t="inlineStr">
        <is>
          <t>APRA</t>
        </is>
      </c>
      <c r="K128" s="11" t="inlineStr">
        <is>
          <t>Regulated entities must implement processes to ensure ongoing compliance with regulatory and data risk management requirements. This includes regular checks by the compliance function, reporting mechanisms such as metrics and exceptions, and management reviews to verify adherence to data risk management standards.</t>
        </is>
      </c>
      <c r="L128" s="11" t="inlineStr">
        <is>
          <t>Ongoing compliance mechanisms are essential for DTIAs to ensure that data transfers remain compliant over time, particularly in dynamic regulatory environments.</t>
        </is>
      </c>
      <c r="M128" s="11" t="inlineStr">
        <is>
          <t>• [Must] Regulated entities implement processes to ensure compliance with regulatory and legal requirements and data risk management requirements
• [Must] Ongoing checks by the compliance function (or equivalent) are conducted
• [Must] Reporting mechanisms (e.g. metrics, exceptions) are established
• [Must] Management reviews are conducted to verify compliance with data risk management requirements</t>
        </is>
      </c>
      <c r="N128" s="11" t="inlineStr">
        <is>
          <t>APRA expects that a regulated entity would implement processes that ensure compliance with regulatory and legal requirements and data risk management requirements. This would typically include ongoing checks by the compliance function (or equivalent), supported by reporting mechanisms (e.g. metrics, exceptions) and management reviews.</t>
        </is>
      </c>
      <c r="O128" s="12" t="inlineStr">
        <is>
          <t>Open PDF</t>
        </is>
      </c>
    </row>
    <row r="129">
      <c r="A129" t="inlineStr">
        <is>
          <t>Australia</t>
        </is>
      </c>
      <c r="B129" t="inlineStr">
        <is>
          <t>Prudential-Practice-Guide-CPG-235-Managing-Data-Risk_1 (Australia - Row 4)</t>
        </is>
      </c>
      <c r="C129" t="inlineStr">
        <is>
          <t>27</t>
        </is>
      </c>
      <c r="D129" s="11" t="inlineStr">
        <is>
          <t>Understanding data characteristics for risk management</t>
        </is>
      </c>
      <c r="E129" t="inlineStr">
        <is>
          <t>10</t>
        </is>
      </c>
      <c r="F129" t="inlineStr">
        <is>
          <t>High</t>
        </is>
      </c>
      <c r="G129" t="inlineStr">
        <is>
          <t>High (explicit)</t>
        </is>
      </c>
      <c r="H129" s="11" t="inlineStr"/>
      <c r="I129" s="11" t="inlineStr">
        <is>
          <t>Personal Information, Financial Data</t>
        </is>
      </c>
      <c r="J129" t="inlineStr">
        <is>
          <t>APRA</t>
        </is>
      </c>
      <c r="K129" s="11" t="inlineStr">
        <is>
          <t>Regulated entities must understand the nature and characteristics of data used for business purposes, assess data quality, map data flows (data lineage), and identify data risks and associated controls. These requirements apply to all entities subject to APRA regulation.</t>
        </is>
      </c>
      <c r="L129" s="11" t="inlineStr">
        <is>
          <t>Understanding data characteristics is critical for DTIAs as it helps identify data risks and appropriate safeguards when transferring data across borders.</t>
        </is>
      </c>
      <c r="M129" s="11" t="inlineStr">
        <is>
          <t>• [Must] Regulated entities understand the nature and characteristics of the data used for business purposes
• [Must] Regulated entities are able to assess the quality of the data
• [Must] Regulated entities understand the flow of data and processing undertaken (data lineage)
• [Must] Regulated entities understand the data risks and associated controls</t>
        </is>
      </c>
      <c r="N129" s="11" t="inlineStr">
        <is>
          <t>In order to ensure that data risk management is effective, it is important that a regulated entity: (a) understands the nature and characteristics of the data used for business purposes; (b) is able to assess the quality of the data; (c) understands the flow of data and processing undertaken (i.e. data lineage); and (d) understands the data risks and associated controls.</t>
        </is>
      </c>
      <c r="O129" s="12" t="inlineStr">
        <is>
          <t>Open PDF</t>
        </is>
      </c>
    </row>
    <row r="130">
      <c r="A130" t="inlineStr">
        <is>
          <t>Australia</t>
        </is>
      </c>
      <c r="B130" t="inlineStr">
        <is>
          <t>Prudential-Practice-Guide-CPG-235-Managing-Data-Risk_1 (Australia - Row 4)</t>
        </is>
      </c>
      <c r="C130" t="inlineStr">
        <is>
          <t>28</t>
        </is>
      </c>
      <c r="D130" s="11" t="inlineStr">
        <is>
          <t>Data architecture practices for risk management</t>
        </is>
      </c>
      <c r="E130" t="inlineStr">
        <is>
          <t>10–11</t>
        </is>
      </c>
      <c r="F130" t="inlineStr">
        <is>
          <t>High</t>
        </is>
      </c>
      <c r="G130" t="inlineStr">
        <is>
          <t>High (explicit)</t>
        </is>
      </c>
      <c r="H130" s="11" t="inlineStr">
        <is>
          <t>Data Storage</t>
        </is>
      </c>
      <c r="I130" s="11" t="inlineStr">
        <is>
          <t>Personal Information, Financial Data</t>
        </is>
      </c>
      <c r="J130" t="inlineStr">
        <is>
          <t>APRA</t>
        </is>
      </c>
      <c r="K130" s="11" t="inlineStr">
        <is>
          <t>Regulated entities can use data architecture practices to support data risk management, including defining data strategy, metadata, technical diagrams, data lifecycle controls, and standards for systems and data repositories. These practices help ensure data is captured, processed, retained, published, and disposed of securely.</t>
        </is>
      </c>
      <c r="L130" s="11" t="inlineStr">
        <is>
          <t>Data architecture practices provide DTIAs with a framework to assess data flows and controls, particularly important for cross-border data transfers involving multiple systems and third parties.</t>
        </is>
      </c>
      <c r="M130" s="11" t="inlineStr">
        <is>
          <t>• [May] Data architecture practices assist in understanding how data is captured, processed, retained, published and disposed of
• [May] Data strategy is a component of the broader business and information technology strategies
• [May] Metadata, including definitions, descriptions, sources, usages, update mechanisms, owners, authorised users, criticality, sensitivity and quality requirements, is documented
• [May] Diagrams and detailed technical information describing data structure, flow, systems and repositories are maintained
• [May] Controls necessary across the data life-cycle are implemented
• [May] Standards and guidelines for systems, data repositories, interfaces and data controls are established</t>
        </is>
      </c>
      <c r="N130" s="11" t="inlineStr">
        <is>
          <t>Data risk management could be supported by the use of data architecture practices. These practices assist in understanding how data is captured, processed, retained, published and disposed of.</t>
        </is>
      </c>
      <c r="O130" s="12" t="inlineStr">
        <is>
          <t>Open PDF</t>
        </is>
      </c>
    </row>
    <row r="131">
      <c r="A131" t="inlineStr">
        <is>
          <t>Australia</t>
        </is>
      </c>
      <c r="B131" t="inlineStr">
        <is>
          <t>Prudential-Practice-Guide-CPG-235-Managing-Data-Risk_1 (Australia - Row 4)</t>
        </is>
      </c>
      <c r="C131" t="inlineStr">
        <is>
          <t>33</t>
        </is>
      </c>
      <c r="D131" s="11" t="inlineStr">
        <is>
          <t>Data risk management across the data lifecycle</t>
        </is>
      </c>
      <c r="E131" t="inlineStr">
        <is>
          <t>11</t>
        </is>
      </c>
      <c r="F131" t="inlineStr">
        <is>
          <t>High</t>
        </is>
      </c>
      <c r="G131" t="inlineStr">
        <is>
          <t>High (explicit)</t>
        </is>
      </c>
      <c r="H131" s="11" t="inlineStr">
        <is>
          <t>Data Storage</t>
        </is>
      </c>
      <c r="I131" s="11" t="inlineStr">
        <is>
          <t>Personal Information, Financial Data</t>
        </is>
      </c>
      <c r="J131" t="inlineStr">
        <is>
          <t>APRA</t>
        </is>
      </c>
      <c r="K131" s="11" t="inlineStr">
        <is>
          <t>Regulated entities must ensure data risk is considered at each stage of the data lifecycle (capture, processing, retention, publication, disposal) with appropriate controls implemented to meet data requirements. This applies to all entities subject to APRA regulation.</t>
        </is>
      </c>
      <c r="L131" s="11" t="inlineStr">
        <is>
          <t>This section is critical for DTIAs as it mandates comprehensive data lifecycle controls, which directly impact cross-border data transfers and storage.</t>
        </is>
      </c>
      <c r="M131" s="11" t="inlineStr">
        <is>
          <t>• [Must] Data risk is considered at each stage of the data lifecycle
• [Must] Appropriate controls are implemented to ensure data requirements are met at each lifecycle stage</t>
        </is>
      </c>
      <c r="N131" s="11" t="inlineStr">
        <is>
          <t>APRA envisages that a regulated entity would ensure that data risk is considered at each stage of its life-cycle and that appropriate controls are implemented to ensure that data requirements are met. Data-related life-cycle stages typically include data capture, processing, retention, publication and disposal.</t>
        </is>
      </c>
      <c r="O131" s="12" t="inlineStr">
        <is>
          <t>Open PDF</t>
        </is>
      </c>
    </row>
    <row r="132">
      <c r="A132" t="inlineStr">
        <is>
          <t>Australia</t>
        </is>
      </c>
      <c r="B132" t="inlineStr">
        <is>
          <t>Prudential-Practice-Guide-CPG-235-Managing-Data-Risk_1 (Australia - Row 4)</t>
        </is>
      </c>
      <c r="C132" t="inlineStr">
        <is>
          <t>34</t>
        </is>
      </c>
      <c r="D132" s="11" t="inlineStr">
        <is>
          <t>Data capture controls for quality validation</t>
        </is>
      </c>
      <c r="E132" t="inlineStr">
        <is>
          <t>11</t>
        </is>
      </c>
      <c r="F132" t="inlineStr">
        <is>
          <t>Medium</t>
        </is>
      </c>
      <c r="G132" t="inlineStr">
        <is>
          <t>High (explicit)</t>
        </is>
      </c>
      <c r="H132" s="11" t="inlineStr"/>
      <c r="I132" s="11" t="inlineStr">
        <is>
          <t>Personal Information</t>
        </is>
      </c>
      <c r="J132" t="inlineStr">
        <is>
          <t>APRA</t>
        </is>
      </c>
      <c r="K132" s="11" t="inlineStr">
        <is>
          <t>This section mandates that data capture controls, including manual entry and automated feeds, must ensure new data meets quality standards. It requires validation mechanisms before data acceptance, error detection for automated feeds, and specifications for handling quality issues in agreements with internal and external parties. These controls apply to regulated entities handling data processing activities.</t>
        </is>
      </c>
      <c r="L132" s="11" t="inlineStr">
        <is>
          <t>Data capture controls ensure data quality before transfer or processing, critical for maintaining data integrity during cross-border data flows.</t>
        </is>
      </c>
      <c r="M132" s="11" t="inlineStr">
        <is>
          <t>• [Must] User interfaces must conduct appropriate validation before data is accepted
• [Must] Mechanisms must detect if automated data feeds are functioning as expected and prevent erroneous data from progressing beyond capture
• [Must] Specification of data quality requirements and mechanisms for handling data quality issues must be included in agreements with internal and external parties</t>
        </is>
      </c>
      <c r="N132" s="11" t="inlineStr">
        <is>
          <t>Data capture controls, including manual entry of data as well as automated data feeds from internal business units and external sources, would typically be designed to ensure that newly introduced data meets data quality requirements.</t>
        </is>
      </c>
      <c r="O132" s="12" t="inlineStr">
        <is>
          <t>Open PDF</t>
        </is>
      </c>
    </row>
    <row r="133">
      <c r="A133" t="inlineStr">
        <is>
          <t>Australia</t>
        </is>
      </c>
      <c r="B133" t="inlineStr">
        <is>
          <t>Prudential-Practice-Guide-CPG-235-Managing-Data-Risk_1 (Australia - Row 4)</t>
        </is>
      </c>
      <c r="C133" t="inlineStr">
        <is>
          <t>35</t>
        </is>
      </c>
      <c r="D133" s="11" t="inlineStr">
        <is>
          <t>Data processing quality controls for regulatory compliance</t>
        </is>
      </c>
      <c r="E133" t="inlineStr">
        <is>
          <t>11–12</t>
        </is>
      </c>
      <c r="F133" t="inlineStr">
        <is>
          <t>High</t>
        </is>
      </c>
      <c r="G133" t="inlineStr">
        <is>
          <t>High (explicit)</t>
        </is>
      </c>
      <c r="H133" s="11" t="inlineStr"/>
      <c r="I133" s="11" t="inlineStr">
        <is>
          <t>Personal Information</t>
        </is>
      </c>
      <c r="J133" t="inlineStr">
        <is>
          <t>APRA</t>
        </is>
      </c>
      <c r="K133" s="11" t="inlineStr">
        <is>
          <t>Regulated entities must implement controls to ensure data processing and outputs continue meeting quality requirements. This includes managing data integration, ensuring changes to production environments maintain quality through approved methodologies, exception handling for timely issue resolution, and error-handling mechanisms like backups and rollbacks. These controls apply to entities processing data for regulatory purposes.</t>
        </is>
      </c>
      <c r="L133" s="11" t="inlineStr">
        <is>
          <t>Data processing quality controls prevent downstream data issues during cross-border transfers by ensuring consistent data quality through integrated validation and error recovery mechanisms.</t>
        </is>
      </c>
      <c r="M133" s="11" t="inlineStr">
        <is>
          <t>• [Must] Controls must manage data integration to handle extraction, transformation and loading mechanisms
• [Must] Acquisition and implementation via approved development, change and project management methodologies must ensure data quality is not compromised by production environment changes
• [Must] Exception handling must identify and respond to data quality issues in a timely manner
• [Must] Error-handling must ensure data can be restored or corrected to a known level of data quality through mechanisms like database checkpoints, rollbacks, backups, and re-runnable processes</t>
        </is>
      </c>
      <c r="N133" s="11" t="inlineStr">
        <is>
          <t>A regulated entity would typically implement controls to ensure that data processing (the application of business rules to data, including regulatory and legal requirements) and the output generated continue to meet data quality requirements.</t>
        </is>
      </c>
      <c r="O133" s="12" t="inlineStr">
        <is>
          <t>Open PDF</t>
        </is>
      </c>
    </row>
    <row r="134">
      <c r="A134" t="inlineStr">
        <is>
          <t>Australia</t>
        </is>
      </c>
      <c r="B134" t="inlineStr">
        <is>
          <t>Prudential-Practice-Guide-CPG-235-Managing-Data-Risk_1 (Australia - Row 4)</t>
        </is>
      </c>
      <c r="C134" t="inlineStr">
        <is>
          <t>36</t>
        </is>
      </c>
      <c r="D134" s="11" t="inlineStr">
        <is>
          <t>Data retention controls for offshore hosting risks</t>
        </is>
      </c>
      <c r="E134" t="inlineStr">
        <is>
          <t>12</t>
        </is>
      </c>
      <c r="F134" t="inlineStr">
        <is>
          <t>High</t>
        </is>
      </c>
      <c r="G134" t="inlineStr">
        <is>
          <t>High (explicit)</t>
        </is>
      </c>
      <c r="H134" s="11" t="inlineStr">
        <is>
          <t>Data Storage</t>
        </is>
      </c>
      <c r="I134" s="11" t="inlineStr">
        <is>
          <t>Personal Information</t>
        </is>
      </c>
      <c r="J134" t="inlineStr">
        <is>
          <t>APRA</t>
        </is>
      </c>
      <c r="K134" s="11" t="inlineStr">
        <is>
          <t>Data retention controls must address risks from data storage, including offshore hosting and outsourcing. These controls ensure data requirements are not compromised by storage-related risks, with specific guidance provided by APRA's prudential standards on security, business continuity, and outsourcing. This applies to regulated entities managing data storage.</t>
        </is>
      </c>
      <c r="L134" s="11" t="inlineStr">
        <is>
          <t>Data retention controls mitigate risks associated with offshore data storage and outsourcing, critical for ensuring data integrity during cross-border data transfers.</t>
        </is>
      </c>
      <c r="M134" s="11" t="inlineStr">
        <is>
          <t>• [Must] Data retention controls must ensure data requirements are not compromised as a result of risks associated with storage, including offshore hosting and outsourcing</t>
        </is>
      </c>
      <c r="N134" s="11" t="inlineStr">
        <is>
          <t>Data retention controls would typically be in place to ensure that data requirements are not compromised as a result of risks associated with the storage of data.</t>
        </is>
      </c>
      <c r="O134" s="12" t="inlineStr">
        <is>
          <t>Open PDF</t>
        </is>
      </c>
    </row>
    <row r="135">
      <c r="A135" t="inlineStr">
        <is>
          <t>Australia</t>
        </is>
      </c>
      <c r="B135" t="inlineStr">
        <is>
          <t>Prudential-Practice-Guide-CPG-235-Managing-Data-Risk_1 (Australia - Row 4)</t>
        </is>
      </c>
      <c r="C135" t="inlineStr">
        <is>
          <t>37</t>
        </is>
      </c>
      <c r="D135" s="11" t="inlineStr">
        <is>
          <t>Formal retention strategy for data accessibility</t>
        </is>
      </c>
      <c r="E135" t="inlineStr">
        <is>
          <t>12</t>
        </is>
      </c>
      <c r="F135" t="inlineStr">
        <is>
          <t>High</t>
        </is>
      </c>
      <c r="G135" t="inlineStr">
        <is>
          <t>Medium (minor interpretation)</t>
        </is>
      </c>
      <c r="H135" s="11" t="inlineStr"/>
      <c r="I135" s="11" t="inlineStr">
        <is>
          <t>Personal Information</t>
        </is>
      </c>
      <c r="J135" t="inlineStr">
        <is>
          <t>APRA</t>
        </is>
      </c>
      <c r="K135" s="11" t="inlineStr">
        <is>
          <t>Regulated entities should develop formal retention strategies addressing data accessibility risks and archiving/recovery requirements. This includes mechanisms to ensure compliance with business and regulatory needs, while mitigating issues like accidental deletion, data corruption, technology changes, and poor asset management. These strategies apply to entities managing data retention.</t>
        </is>
      </c>
      <c r="L135" s="11" t="inlineStr">
        <is>
          <t>Formal retention strategies ensure data accessibility and compliance with regulatory requirements, reducing risks during cross-border data transfers.</t>
        </is>
      </c>
      <c r="M135" s="11" t="inlineStr">
        <is>
          <t>• [Should] A formal retention strategy must address risks associated with data accessibility and take into account archiving and recovery requirements</t>
        </is>
      </c>
      <c r="N135" s="11" t="inlineStr">
        <is>
          <t>A regulated entity could find it beneficial to develop a formal retention strategy that addresses the risks associated with data accessibility, and takes into account archiving and recovery requirements.</t>
        </is>
      </c>
      <c r="O135" s="12" t="inlineStr">
        <is>
          <t>Open PDF</t>
        </is>
      </c>
    </row>
    <row r="136">
      <c r="A136" t="inlineStr">
        <is>
          <t>Australia</t>
        </is>
      </c>
      <c r="B136" t="inlineStr">
        <is>
          <t>Prudential-Practice-Guide-CPG-235-Managing-Data-Risk_1 (Australia - Row 4)</t>
        </is>
      </c>
      <c r="C136" t="inlineStr">
        <is>
          <t>39</t>
        </is>
      </c>
      <c r="D136" s="11" t="inlineStr">
        <is>
          <t>Data publication controls for quality assurance</t>
        </is>
      </c>
      <c r="E136" t="inlineStr">
        <is>
          <t>12</t>
        </is>
      </c>
      <c r="F136" t="inlineStr">
        <is>
          <t>High</t>
        </is>
      </c>
      <c r="G136" t="inlineStr">
        <is>
          <t>High (explicit)</t>
        </is>
      </c>
      <c r="H136" s="11" t="inlineStr">
        <is>
          <t>Data Sharing</t>
        </is>
      </c>
      <c r="I136" s="11" t="inlineStr">
        <is>
          <t>Personal Information</t>
        </is>
      </c>
      <c r="J136" t="inlineStr">
        <is>
          <t>APRA</t>
        </is>
      </c>
      <c r="K136" s="11" t="inlineStr">
        <is>
          <t>Data publication controls must ensure published information meets user content and quality requirements. This includes acquisition and implementation controls for new publication mechanisms, validation and monitoring to maintain quality, and processes for managing user-raised data issues. These controls apply to entities producing information for internal and external stakeholders.</t>
        </is>
      </c>
      <c r="L136" s="11" t="inlineStr">
        <is>
          <t>Data publication controls ensure quality of externally shared data, critical for maintaining data integrity during cross-border data transfers.</t>
        </is>
      </c>
      <c r="M136" s="11" t="inlineStr">
        <is>
          <t>• [Must] Acquisition and implementation controls must be in place for new publication mechanisms to ensure published data meets user requirements
• [Must] Validation and monitoring controls must ensure published data continues to meet specified user requirements
• [Must] Processes must manage data issues raised by users</t>
        </is>
      </c>
      <c r="N136" s="11" t="inlineStr">
        <is>
          <t>Data publication refers to the production of information for internal and external stakeholders (e.g. operational information, management information, customer information, media releases, regulatory reporting).</t>
        </is>
      </c>
      <c r="O136" s="12" t="inlineStr">
        <is>
          <t>Open PDF</t>
        </is>
      </c>
    </row>
    <row r="137">
      <c r="A137" t="inlineStr">
        <is>
          <t>Australia</t>
        </is>
      </c>
      <c r="B137" t="inlineStr">
        <is>
          <t>Prudential-Practice-Guide-CPG-235-Managing-Data-Risk_1 (Australia - Row 4)</t>
        </is>
      </c>
      <c r="C137" t="inlineStr">
        <is>
          <t>40</t>
        </is>
      </c>
      <c r="D137" s="11" t="inlineStr">
        <is>
          <t>Data publication confidentiality and quality</t>
        </is>
      </c>
      <c r="E137" t="inlineStr">
        <is>
          <t>12</t>
        </is>
      </c>
      <c r="F137" t="inlineStr">
        <is>
          <t>High</t>
        </is>
      </c>
      <c r="G137" t="inlineStr">
        <is>
          <t>High (explicit)</t>
        </is>
      </c>
      <c r="H137" s="11" t="inlineStr">
        <is>
          <t>Data Sharing</t>
        </is>
      </c>
      <c r="I137" s="11" t="inlineStr">
        <is>
          <t>Personal Information</t>
        </is>
      </c>
      <c r="J137" t="inlineStr">
        <is>
          <t>APRA</t>
        </is>
      </c>
      <c r="K137" s="11" t="inlineStr">
        <is>
          <t>APRA emphasizes that data quality requirements must be clearly specified and that confidentiality must not be compromised through data publication. This section does not impose direct obligations but highlights the importance of balancing data quality and confidentiality in published information.</t>
        </is>
      </c>
      <c r="L137" s="11" t="inlineStr">
        <is>
          <t>Clear data quality specifications and confidentiality safeguards are essential for preventing data breaches during cross-border data publication.</t>
        </is>
      </c>
      <c r="M137" s="11" t="inlineStr">
        <is>
          <t>• [Must] Data quality requirements must be clearly specified
• [Must Not] Confidentiality must not be compromised through the publication of data</t>
        </is>
      </c>
      <c r="N137" s="11" t="inlineStr">
        <is>
          <t>In APRA's view, it is important that data quality requirements are clearly specified and that confidentiality is not compromised through the publication of data.</t>
        </is>
      </c>
      <c r="O137" s="12" t="inlineStr">
        <is>
          <t>Open PDF</t>
        </is>
      </c>
    </row>
    <row r="138">
      <c r="A138" t="inlineStr">
        <is>
          <t>Australia</t>
        </is>
      </c>
      <c r="B138" t="inlineStr">
        <is>
          <t>Prudential-Practice-Guide-CPG-235-Managing-Data-Risk_1 (Australia - Row 4)</t>
        </is>
      </c>
      <c r="C138" t="inlineStr">
        <is>
          <t>42</t>
        </is>
      </c>
      <c r="D138" s="11" t="inlineStr">
        <is>
          <t>Disposal controls for data compliance and confidentiality</t>
        </is>
      </c>
      <c r="E138" t="inlineStr">
        <is>
          <t>12–13</t>
        </is>
      </c>
      <c r="F138" t="inlineStr">
        <is>
          <t>Medium</t>
        </is>
      </c>
      <c r="G138" t="inlineStr">
        <is>
          <t>High (explicit)</t>
        </is>
      </c>
      <c r="H138" s="11" t="inlineStr">
        <is>
          <t>Data Storage</t>
        </is>
      </c>
      <c r="I138" s="11" t="inlineStr">
        <is>
          <t>Personal Information</t>
        </is>
      </c>
      <c r="J138" t="inlineStr">
        <is>
          <t>Australian Prudential Regulation Authority</t>
        </is>
      </c>
      <c r="K138" s="11" t="inlineStr">
        <is>
          <t>This section mandates that disposal controls ensure data is deleted or archived according to retention strategies and confidentiality requirements. It specifies that hardware, software, or data must not compromise business confidentiality when reaching end-of-life or recommissioning. The controls apply to regulated entities handling sensitive information.</t>
        </is>
      </c>
      <c r="L138" s="11" t="inlineStr">
        <is>
          <t>Disposal controls are critical for DTIAs to ensure data is securely removed before hardware decommissioning, preventing unauthorized access to sensitive information during transitions.</t>
        </is>
      </c>
      <c r="M138" s="11" t="inlineStr">
        <is>
          <t>• [Must] Data must be disposed of in compliance with retention strategy
• [Must] Business confidentiality requirements must not be compromised when hardware, software or data reach end of useful life</t>
        </is>
      </c>
      <c r="N138" s="11" t="inlineStr">
        <is>
          <t>Disposal controls would typically be in place to ensure: (a) data is disposed of in compliance with the retention strategy; and (b) business requirements with respect to confidentiality are not compromised as hardware, software or data reach the end of their useful life or the hardware/software is recommissioned for another use.</t>
        </is>
      </c>
      <c r="O138" s="12" t="inlineStr">
        <is>
          <t>Open PDF</t>
        </is>
      </c>
    </row>
    <row r="139">
      <c r="A139" t="inlineStr">
        <is>
          <t>Australia</t>
        </is>
      </c>
      <c r="B139" t="inlineStr">
        <is>
          <t>Prudential-Practice-Guide-CPG-235-Managing-Data-Risk_1 (Australia - Row 4)</t>
        </is>
      </c>
      <c r="C139" t="inlineStr">
        <is>
          <t>44</t>
        </is>
      </c>
      <c r="D139" s="11" t="inlineStr">
        <is>
          <t>Desensitisation techniques for data confidentiality</t>
        </is>
      </c>
      <c r="E139" t="inlineStr">
        <is>
          <t>13</t>
        </is>
      </c>
      <c r="F139" t="inlineStr">
        <is>
          <t>Medium</t>
        </is>
      </c>
      <c r="G139" t="inlineStr">
        <is>
          <t>High (explicit)</t>
        </is>
      </c>
      <c r="H139" s="11" t="inlineStr">
        <is>
          <t>Data Sharing, Security</t>
        </is>
      </c>
      <c r="I139" s="11" t="inlineStr">
        <is>
          <t>Personal Information</t>
        </is>
      </c>
      <c r="J139" t="inlineStr">
        <is>
          <t>Australian Prudential Regulation Authority</t>
        </is>
      </c>
      <c r="K139" s="11" t="inlineStr">
        <is>
          <t>This section describes desensitisation as reducing data sensitivity to match authorized end-user access levels. It requires using cryptographic or de-identification techniques when transferring data to less trusted environments. The strength of desensitisation must prevent reconstruction of original data through brute force or other means.</t>
        </is>
      </c>
      <c r="L139" s="11" t="inlineStr">
        <is>
          <t>Desensitisation is essential for DTIAs to ensure data transferred across borders or to third parties remains sufficiently anonymised to prevent unauthorized reconstruction.</t>
        </is>
      </c>
      <c r="M139" s="11" t="inlineStr">
        <is>
          <t>• [Must] Desensitisation reduces data sensitivity to comply with authorized end-user access levels
• [Must] Use cryptographic or de-identification techniques when transferring data to less trusted environments
• [Must] Desensitisation strength must prevent reconstruction of original data using brute force techniques</t>
        </is>
      </c>
      <c r="N139" s="11" t="inlineStr">
        <is>
          <t>Desensitisation (the process of reducing a data set's sensitivity to a level which complies with the authorised access of the end-user) is a useful approach for maintaining the confidentiality of data while extending its usage.</t>
        </is>
      </c>
      <c r="O139" s="12" t="inlineStr">
        <is>
          <t>Open PDF</t>
        </is>
      </c>
    </row>
    <row r="140">
      <c r="A140" t="inlineStr">
        <is>
          <t>Australia</t>
        </is>
      </c>
      <c r="B140" t="inlineStr">
        <is>
          <t>Prudential-Practice-Guide-CPG-235-Managing-Data-Risk_1 (Australia - Row 4)</t>
        </is>
      </c>
      <c r="C140" t="inlineStr">
        <is>
          <t>46</t>
        </is>
      </c>
      <c r="D140" s="11" t="inlineStr">
        <is>
          <t>Software risk assessment for critical data</t>
        </is>
      </c>
      <c r="E140" t="inlineStr">
        <is>
          <t>13</t>
        </is>
      </c>
      <c r="F140" t="inlineStr">
        <is>
          <t>High</t>
        </is>
      </c>
      <c r="G140" t="inlineStr">
        <is>
          <t>High (explicit)</t>
        </is>
      </c>
      <c r="H140" s="11" t="inlineStr"/>
      <c r="I140" s="11" t="inlineStr"/>
      <c r="J140" t="inlineStr">
        <is>
          <t>Australian Prudential Regulation Authority</t>
        </is>
      </c>
      <c r="K140" s="11" t="inlineStr">
        <is>
          <t>This section requires regulated entities to identify end-user developed/configured software and assess its risk exposure, particularly for critical or sensitive data. The entity must ensure such software complies with relevant lifecycle controls to maintain data security and confidentiality.</t>
        </is>
      </c>
      <c r="L140" s="11" t="inlineStr">
        <is>
          <t>Software risk assessments are vital for DTIAs to ensure third-party software used in data processing does not introduce vulnerabilities when handling sensitive information across jurisdictions.</t>
        </is>
      </c>
      <c r="M140" s="11" t="inlineStr">
        <is>
          <t>• [Must] Regulated entities must identify end-user developed/configured software
• [Must] Regulated entities must assess risk exposure of software handling critical or sensitive data
• [Must] Software used for critical/sensitive data must comply with entity's lifecycle controls</t>
        </is>
      </c>
      <c r="N140" s="11" t="inlineStr">
        <is>
          <t>A regulated entity would normally introduce processes to identify the existence of end-user developed/configured software and assess its risk exposure. In APRA's view, any software that is used for the processing and retention of critical or sensitive data would comply with the relevant life-cycle controls of the entity.</t>
        </is>
      </c>
      <c r="O140" s="12" t="inlineStr">
        <is>
          <t>Open PDF</t>
        </is>
      </c>
    </row>
    <row r="141">
      <c r="A141" t="inlineStr">
        <is>
          <t>Australia</t>
        </is>
      </c>
      <c r="B141" t="inlineStr">
        <is>
          <t>Prudential-Practice-Guide-CPG-235-Managing-Data-Risk_1 (Australia - Row 4)</t>
        </is>
      </c>
      <c r="C141" t="inlineStr">
        <is>
          <t>48</t>
        </is>
      </c>
      <c r="D141" s="11" t="inlineStr">
        <is>
          <t>Jurisdictional data retention risks</t>
        </is>
      </c>
      <c r="E141" t="inlineStr">
        <is>
          <t>13–14</t>
        </is>
      </c>
      <c r="F141" t="inlineStr">
        <is>
          <t>High</t>
        </is>
      </c>
      <c r="G141" t="inlineStr">
        <is>
          <t>High (explicit)</t>
        </is>
      </c>
      <c r="H141" s="11" t="inlineStr">
        <is>
          <t>Cross-border Transfer, Data Storage</t>
        </is>
      </c>
      <c r="I141" s="11" t="inlineStr"/>
      <c r="J141" t="inlineStr">
        <is>
          <t>Australian Prudential Regulation Authority</t>
        </is>
      </c>
      <c r="K141" s="11" t="inlineStr">
        <is>
          <t>This section requires regulated entities to apply a cautious approach when retaining data outside their jurisdiction, ensuring they understand risks and make informed decisions about whether additional risks are within their risk appetite. The entity must be aware of jurisdictional and technical hurdles that could impede regulatory oversight.</t>
        </is>
      </c>
      <c r="L141" s="11" t="inlineStr">
        <is>
          <t>Jurisdictional data retention is critical for DTIAs to assess whether transferring data to foreign jurisdictions introduces unacceptable risks to regulatory oversight and data security.</t>
        </is>
      </c>
      <c r="M141" s="11" t="inlineStr">
        <is>
          <t>• [Must] Regulated entities must apply a cautious and measured approach when retaining data outside jurisdiction
• [Must] Regulated entities must be fully aware of risks involved in retaining data outside jurisdiction
• [Must] Regulated entities must make informed decisions about whether additional risks are within risk appetite</t>
        </is>
      </c>
      <c r="N141" s="11" t="inlineStr">
        <is>
          <t>APRA expects a regulated entity to apply a cautious and measured approach when considering retaining data outside the jurisdiction it pertains to. It is important that a regulated entity is fully aware of the risks involved and makes a conscious and informed decision as to whether the additional risks are within its risk appetite.</t>
        </is>
      </c>
      <c r="O141" s="12" t="inlineStr">
        <is>
          <t>Open PDF</t>
        </is>
      </c>
    </row>
    <row r="142">
      <c r="A142" t="inlineStr">
        <is>
          <t>Australia</t>
        </is>
      </c>
      <c r="B142" t="inlineStr">
        <is>
          <t>Prudential-Practice-Guide-CPG-235-Managing-Data-Risk_1 (Australia - Row 4)</t>
        </is>
      </c>
      <c r="C142" t="inlineStr">
        <is>
          <t>49</t>
        </is>
      </c>
      <c r="D142" s="11" t="inlineStr">
        <is>
          <t>Outsourcing/offshoring data management requirements</t>
        </is>
      </c>
      <c r="E142" t="inlineStr">
        <is>
          <t>14</t>
        </is>
      </c>
      <c r="F142" t="inlineStr">
        <is>
          <t>High</t>
        </is>
      </c>
      <c r="G142" t="inlineStr">
        <is>
          <t>High (explicit)</t>
        </is>
      </c>
      <c r="H142" s="11" t="inlineStr">
        <is>
          <t>Third Party Processing, Data Storage</t>
        </is>
      </c>
      <c r="I142" s="11" t="inlineStr"/>
      <c r="J142" t="inlineStr">
        <is>
          <t>Australian Prudential Regulation Authority</t>
        </is>
      </c>
      <c r="K142" s="11" t="inlineStr">
        <is>
          <t>This section specifies that regulated entities must demonstrate the ability to continue operations after service loss, maintain critical/sensitive data quality, comply with legislative requirements, and ensure no jurisdictional or technical barriers prevent regulators from accessing data. These requirements apply to data management outsourcing or offshoring.</t>
        </is>
      </c>
      <c r="L142" s="11" t="inlineStr">
        <is>
          <t>Outsourcing/offshoring data management requires DTIAs to verify that third-party arrangements maintain data security, regulatory compliance, and uninterrupted access for regulators.</t>
        </is>
      </c>
      <c r="M142" s="11" t="inlineStr">
        <is>
          <t>• [Must] Regulated entities must demonstrate ability to continue operations after loss of services
• [Must] Regulated entities must maintain quality of critical or sensitive data
• [Must] Regulated entities must comply with legislative and prudential requirements
• [Must] Regulated entities must ensure no impediments to APRA's ability to fulfil regulatory duties</t>
        </is>
      </c>
      <c r="N142" s="11" t="inlineStr">
        <is>
          <t>When outsourcing/offshoring data management responsibilities, APRA expects that a regulated entity would be able to demonstrate the following: (a) ability to continue operations and meet core obligations following a loss of services; (b) maintenance of the quality of critical or sensitive data; (c) compliance with legislative and prudential requirements; and (d) a lack of impediments (from jurisdictional hurdles or technical complications) to APRA being able to fulfil its duties as prudential regulator (including timely access to data in a usable form).</t>
        </is>
      </c>
      <c r="O142" s="12" t="inlineStr">
        <is>
          <t>Open PDF</t>
        </is>
      </c>
    </row>
    <row r="143">
      <c r="A143" t="inlineStr">
        <is>
          <t>Australia</t>
        </is>
      </c>
      <c r="B143" t="inlineStr">
        <is>
          <t>Prudential-Practice-Guide-CPG-235-Managing-Data-Risk_1 (Australia - Row 4)</t>
        </is>
      </c>
      <c r="C143" t="inlineStr">
        <is>
          <t>50</t>
        </is>
      </c>
      <c r="D143" s="11" t="inlineStr">
        <is>
          <t>Outsourcing/offshoring risk management framework</t>
        </is>
      </c>
      <c r="E143" t="inlineStr">
        <is>
          <t>14</t>
        </is>
      </c>
      <c r="F143" t="inlineStr">
        <is>
          <t>High</t>
        </is>
      </c>
      <c r="G143" t="inlineStr">
        <is>
          <t>High (explicit)</t>
        </is>
      </c>
      <c r="H143" s="11" t="inlineStr">
        <is>
          <t>Third Party Processing, Data Storage</t>
        </is>
      </c>
      <c r="I143" s="11" t="inlineStr"/>
      <c r="J143" t="inlineStr">
        <is>
          <t>Australian Prudential Regulation Authority</t>
        </is>
      </c>
      <c r="K143" s="11" t="inlineStr">
        <is>
          <t>This section mandates that regulated entities apply enterprise frameworks, detailed risk assessments, understanding of business processes, data sensitivity, alignment with data architecture, business cases, and periodic reassessment of risks when outsourcing or offshoring data management responsibilities. These requirements ensure ongoing risk management for data transfers.</t>
        </is>
      </c>
      <c r="L143" s="11" t="inlineStr">
        <is>
          <t>Outsourcing/offshoring risk frameworks are critical for DTIAs to ensure third-party data arrangements maintain robust security, compliance, and regulatory oversight capabilities.</t>
        </is>
      </c>
      <c r="M143" s="11" t="inlineStr">
        <is>
          <t>• [Must] Regulated entities must apply enterprise frameworks such as security, project management, system development, business continuity management, outsourcing/offshoring management, risk management and delegation limits
• [Must] Regulated entities must conduct detailed risk assessments of specific arrangements
• [Must] Regulated entities must understand the extent and nature of business processes and data sensitivity
• [Must] Regulated entities must align with data architecture supporting broader IT and business strategies
• [Must] Regulated entities must justify additional risk exposures with a business case
• [Must] Regulated entities must have board/senior management approval of resulting risk profile
• [Must] Regulated entities must periodically reassess risks in line with risk management framework</t>
        </is>
      </c>
      <c r="N143" s="11" t="inlineStr">
        <is>
          <t>In APRA's view, the following would normally be applied to the assessment and ongoing management of outsourced/offshored data management responsibilities: (a) enterprise frameworks such as security, project management, system development, business continuity management, outsourcing/offshoring management, risk management and delegation limits; (b) detailed risk assessments of the specific arrangements underlying the services offered.</t>
        </is>
      </c>
      <c r="O143" s="12" t="inlineStr">
        <is>
          <t>Open PDF</t>
        </is>
      </c>
    </row>
    <row r="144">
      <c r="A144" t="inlineStr">
        <is>
          <t>Australia</t>
        </is>
      </c>
      <c r="B144" t="inlineStr">
        <is>
          <t>Prudential-Practice-Guide-CPG-235-Managing-Data-Risk_1 (Australia - Row 4)</t>
        </is>
      </c>
      <c r="C144" t="inlineStr">
        <is>
          <t>51</t>
        </is>
      </c>
      <c r="D144" s="11" t="inlineStr">
        <is>
          <t>Data validation assesses data quality against business rules</t>
        </is>
      </c>
      <c r="E144" t="inlineStr">
        <is>
          <t>14</t>
        </is>
      </c>
      <c r="F144" t="inlineStr">
        <is>
          <t>Medium</t>
        </is>
      </c>
      <c r="G144" t="inlineStr">
        <is>
          <t>High (explicit)</t>
        </is>
      </c>
      <c r="H144" s="11" t="inlineStr"/>
      <c r="I144" s="11" t="inlineStr">
        <is>
          <t>Personal Information</t>
        </is>
      </c>
      <c r="J144" t="inlineStr">
        <is>
          <t>APRA</t>
        </is>
      </c>
      <c r="K144" s="11" t="inlineStr">
        <is>
          <t>This section defines data validation as assessing data against business rules to determine its fitness for use before further processing. It establishes data validation as a key control mechanism for ensuring data meets quality requirements. Regulated entities must implement this validation process to maintain data integrity throughout their operations.</t>
        </is>
      </c>
      <c r="L144" s="11" t="inlineStr">
        <is>
          <t>Data validation is critical for ensuring transferred data meets quality standards before processing, reducing risks associated with poor data quality in cross-border transfers.</t>
        </is>
      </c>
      <c r="M144" s="11" t="inlineStr">
        <is>
          <t>• [Must] Data validation assesses data against business rules to determine fitness for use prior to further processing
• [Must] Data validation constitutes a key set of controls for ensuring data meets quality requirements</t>
        </is>
      </c>
      <c r="N144" s="11" t="inlineStr">
        <is>
          <t>Data validation is the assessment of the data against business rules to determine its fitness for use prior to further processing. It constitutes a key set of controls for ensuring that data meets quality requirements.</t>
        </is>
      </c>
      <c r="O144" s="12" t="inlineStr">
        <is>
          <t>Open PDF</t>
        </is>
      </c>
    </row>
    <row r="145">
      <c r="A145" t="inlineStr">
        <is>
          <t>Australia</t>
        </is>
      </c>
      <c r="B145" t="inlineStr">
        <is>
          <t>Prudential-Practice-Guide-CPG-235-Managing-Data-Risk_1 (Australia - Row 4)</t>
        </is>
      </c>
      <c r="C145" t="inlineStr">
        <is>
          <t>53</t>
        </is>
      </c>
      <c r="D145" s="11" t="inlineStr">
        <is>
          <t>Data validation considerations for quality degradation</t>
        </is>
      </c>
      <c r="E145" t="inlineStr">
        <is>
          <t>14</t>
        </is>
      </c>
      <c r="F145" t="inlineStr">
        <is>
          <t>High</t>
        </is>
      </c>
      <c r="G145" t="inlineStr">
        <is>
          <t>High (explicit)</t>
        </is>
      </c>
      <c r="H145" s="11" t="inlineStr"/>
      <c r="I145" s="11" t="inlineStr">
        <is>
          <t>Financial Data</t>
        </is>
      </c>
      <c r="J145" t="inlineStr">
        <is>
          <t>APRA</t>
        </is>
      </c>
      <c r="K145" s="11" t="inlineStr">
        <is>
          <t>This section specifies that data validation must consider the level of trustworthiness of data sources and how data quality degrades over time. Regulated entities should design business processes to revalidate data periodically based on data criticality and risk of degradation to maintain data quality standards.</t>
        </is>
      </c>
      <c r="L145" s="11" t="inlineStr">
        <is>
          <t>Periodic revalidation of data is essential for maintaining data quality across borders, particularly for high-risk financial data where degradation could impact regulatory compliance.</t>
        </is>
      </c>
      <c r="M145" s="11" t="inlineStr">
        <is>
          <t>• [Should] Regulated entities should design business processes to revalidate data on a periodic basis to minimise data quality degradation
• [Must] The comprehensiveness of revalidation would normally be commensurate with the criticality of the data and the risk of degradation</t>
        </is>
      </c>
      <c r="N145" s="11" t="inlineStr">
        <is>
          <t>Regulated entities would design business processes to revalidate data on a periodic basis to minimise the degree of data quality degradation. The comprehensiveness of revalidation would normally be commensurate with the criticality of the data and the risk of degradation.</t>
        </is>
      </c>
      <c r="O145" s="12" t="inlineStr">
        <is>
          <t>Open PDF</t>
        </is>
      </c>
    </row>
    <row r="146">
      <c r="A146" t="inlineStr">
        <is>
          <t>Australia</t>
        </is>
      </c>
      <c r="B146" t="inlineStr">
        <is>
          <t>Prudential-Practice-Guide-CPG-235-Managing-Data-Risk_1 (Australia - Row 4)</t>
        </is>
      </c>
      <c r="C146" t="inlineStr">
        <is>
          <t>54</t>
        </is>
      </c>
      <c r="D146" s="11" t="inlineStr">
        <is>
          <t>Common data validation techniques and methods</t>
        </is>
      </c>
      <c r="E146" t="inlineStr">
        <is>
          <t>14–15</t>
        </is>
      </c>
      <c r="F146" t="inlineStr">
        <is>
          <t>High</t>
        </is>
      </c>
      <c r="G146" t="inlineStr">
        <is>
          <t>High (explicit)</t>
        </is>
      </c>
      <c r="H146" s="11" t="inlineStr"/>
      <c r="I146" s="11" t="inlineStr">
        <is>
          <t>Financial Data</t>
        </is>
      </c>
      <c r="J146" t="inlineStr">
        <is>
          <t>APRA</t>
        </is>
      </c>
      <c r="K146" s="11" t="inlineStr">
        <is>
          <t>This section lists common data validation techniques including format verification, type checks, value range validation, and dataset-level methods such as control totalling, reconciliation, benchmarking, data profiling, and expert review for reasonableness. These techniques help ensure data accuracy and completeness before processing.</t>
        </is>
      </c>
      <c r="L146" s="11" t="inlineStr">
        <is>
          <t>These validation techniques are critical for ensuring data quality in cross-border transfers, particularly for financial data where accuracy impacts regulatory compliance and risk management.</t>
        </is>
      </c>
      <c r="M146" s="11" t="inlineStr">
        <is>
          <t>• [Must] Verification of format, type, value range, currency, presence, consistency and completeness
• [Must] Control totalling: aggregation techniques including hash totalling, amount totalling and record counts
• [Must] Reconciliation: comparing two sets of data and explaining variances
• [Must] Benchmarking: comparing two sets of data that would normally exhibit similar characteristics to highlight material variations
• [Must] Data profiling: examination of a data set to gather statistics and highlight data anomalies
• [Must] Review of data for reasonableness using expert judgement</t>
        </is>
      </c>
      <c r="N146" s="11" t="inlineStr">
        <is>
          <t>Common forms of data validation include verification of format, type, value range, currency, presence, consistency and completeness. Data validation can also be usefully conducted at a dataset level such as the use of: (a) control totalling, (b) reconciliation, (c) benchmarking, (d) data profiling, and (e) a review of data for reasonableness using expert judgement.</t>
        </is>
      </c>
      <c r="O146" s="12" t="inlineStr">
        <is>
          <t>Open PDF</t>
        </is>
      </c>
    </row>
    <row r="147">
      <c r="A147" t="inlineStr">
        <is>
          <t>Australia</t>
        </is>
      </c>
      <c r="B147" t="inlineStr">
        <is>
          <t>Prudential-Practice-Guide-CPG-235-Managing-Data-Risk_1 (Australia - Row 4)</t>
        </is>
      </c>
      <c r="C147" t="inlineStr">
        <is>
          <t>56</t>
        </is>
      </c>
      <c r="D147" s="11" t="inlineStr">
        <is>
          <t>Documenting data validation processes and accountability</t>
        </is>
      </c>
      <c r="E147" t="inlineStr">
        <is>
          <t>15</t>
        </is>
      </c>
      <c r="F147" t="inlineStr">
        <is>
          <t>High</t>
        </is>
      </c>
      <c r="G147" t="inlineStr">
        <is>
          <t>High (explicit)</t>
        </is>
      </c>
      <c r="H147" s="11" t="inlineStr"/>
      <c r="I147" s="11" t="inlineStr">
        <is>
          <t>Financial Data</t>
        </is>
      </c>
      <c r="J147" t="inlineStr">
        <is>
          <t>APRA</t>
        </is>
      </c>
      <c r="K147" s="11" t="inlineStr">
        <is>
          <t>This section requires regulated entities to document data validation processes, including their nature, frequency, granularity, and accountability for detecting, investigating, reporting, and escalating data anomalies. It also states that data validation processes should inform the design of data quality metrics.</t>
        </is>
      </c>
      <c r="L147" s="11" t="inlineStr">
        <is>
          <t>Documenting data validation processes ensures transparency and accountability in data handling, which is critical for cross-border data transfers where data quality impacts regulatory compliance.</t>
        </is>
      </c>
      <c r="M147" s="11" t="inlineStr">
        <is>
          <t>• [Must] Regulated entities must document data validation processes, including their nature, frequency and level of granularity
• [Must] Regulated entities must provide clear allocation of accountabilities for detection, investigation, reporting and escalation of data anomalies
• [Should] Data validation processes can be a key consideration when designing data quality metrics</t>
        </is>
      </c>
      <c r="N147" s="11" t="inlineStr">
        <is>
          <t>A regulated entity would normally document data validation processes, including their nature, frequency and level of granularity, and provide clear allocation of accountabilities for the detection, investigation, reporting and escalation of data anomalies.</t>
        </is>
      </c>
      <c r="O147" s="12" t="inlineStr">
        <is>
          <t>Open PDF</t>
        </is>
      </c>
    </row>
    <row r="148">
      <c r="A148" t="inlineStr">
        <is>
          <t>Australia</t>
        </is>
      </c>
      <c r="B148" t="inlineStr">
        <is>
          <t>Prudential-Practice-Guide-CPG-235-Managing-Data-Risk_1 (Australia - Row 4)</t>
        </is>
      </c>
      <c r="C148" t="inlineStr">
        <is>
          <t>60</t>
        </is>
      </c>
      <c r="D148" s="11" t="inlineStr">
        <is>
          <t>Data issue management processes</t>
        </is>
      </c>
      <c r="E148" t="inlineStr">
        <is>
          <t>15–16</t>
        </is>
      </c>
      <c r="F148" t="inlineStr">
        <is>
          <t>High</t>
        </is>
      </c>
      <c r="G148" t="inlineStr">
        <is>
          <t>High (explicit)</t>
        </is>
      </c>
      <c r="H148" s="11" t="inlineStr"/>
      <c r="I148" s="11" t="inlineStr">
        <is>
          <t>Financial Data</t>
        </is>
      </c>
      <c r="J148" t="inlineStr">
        <is>
          <t>APRA</t>
        </is>
      </c>
      <c r="K148" s="11" t="inlineStr">
        <is>
          <t>This section outlines that regulated entities must develop processes to manage all stages of data issues, including detection, identification, containment, investigation, evidence gathering, resolution, return to business-as-usual, and adjustment of controls. Common data issues include processing errors, lack of timeliness, pricing errors, data leakage, instruction failures, migration issues, and unfit data.</t>
        </is>
      </c>
      <c r="L148" s="11" t="inlineStr">
        <is>
          <t>Robust data issue management processes are essential for maintaining data quality in cross-border transfers, particularly for financial data where errors can lead to regulatory non-compliance and financial losses.</t>
        </is>
      </c>
      <c r="M148" s="11" t="inlineStr">
        <is>
          <t>• [Must] Regulated entities must develop processes to manage all stages of a data issue including detection, identification, containment, investigation, evidence gathering, resolution, return to business-as-usual and adjustment of controls
• [Must] Common data issues include processing errors impacting accuracy and completeness of balances and transactions
• [Must] Common data issues include lack of timeliness in updating data to reflect recent market conditions
• [Must] Common data issues include inadequate data availability, accuracy or consistency resulting in pricing and valuation errors
• [Must] Common data issues include data leakage leading to breach of confidentiality
• [Must] Common data issues include failure to accurately execute instructions in a timely manner
• [Must] Common data issues include failure to maintain data quality when migrating data to another system
• [Must] Common data issues include data that is not fit-for-use resulting in poor business decisions</t>
        </is>
      </c>
      <c r="N148" s="11" t="inlineStr">
        <is>
          <t>APRA envisages that a regulated entity would develop appropriate processes to manage all stages of a data issue including detection, identification, containment, investigation, evidence gathering, resolution, return to business-as-usual and the adjustment of controls to reduce the risk of similar issues in the future.</t>
        </is>
      </c>
      <c r="O148" s="12" t="inlineStr">
        <is>
          <t>Open PDF</t>
        </is>
      </c>
    </row>
    <row r="149">
      <c r="A149" t="inlineStr">
        <is>
          <t>Australia</t>
        </is>
      </c>
      <c r="B149" t="inlineStr">
        <is>
          <t>Prudential-Practice-Guide-CPG-235-Managing-Data-Risk_1 (Australia - Row 4)</t>
        </is>
      </c>
      <c r="C149" t="inlineStr">
        <is>
          <t>61</t>
        </is>
      </c>
      <c r="D149" s="11" t="inlineStr">
        <is>
          <t>Data issue response and root cause analysis</t>
        </is>
      </c>
      <c r="E149" t="inlineStr">
        <is>
          <t>16</t>
        </is>
      </c>
      <c r="F149" t="inlineStr">
        <is>
          <t>High</t>
        </is>
      </c>
      <c r="G149" t="inlineStr">
        <is>
          <t>High (explicit)</t>
        </is>
      </c>
      <c r="H149" s="11" t="inlineStr"/>
      <c r="I149" s="11" t="inlineStr">
        <is>
          <t>Financial Data</t>
        </is>
      </c>
      <c r="J149" t="inlineStr">
        <is>
          <t>APRA</t>
        </is>
      </c>
      <c r="K149" s="11" t="inlineStr">
        <is>
          <t>This section requires regulated entities to have clear accountability and communication strategies to limit the impact of data issues, including defined escalation and reporting mechanisms to the Board and senior management. It also mandates root cause analysis to identify underlying causes and adjust controls to prevent future occurrences, with prioritization of remediation based on resource constraints.</t>
        </is>
      </c>
      <c r="L149" s="11" t="inlineStr">
        <is>
          <t>Effective data issue response and root cause analysis are critical for maintaining data quality in cross-border transfers, ensuring timely resolution of issues that could impact financial compliance and regulatory reporting.</t>
        </is>
      </c>
      <c r="M149" s="11" t="inlineStr">
        <is>
          <t>• [Must] Regulated entities must have clear accountability and communication strategies to limit the impact of data issues
• [Must] Regulated entities must define mechanisms and thresholds for escalation and reporting to the Board and senior management
• [Must] Regulated entities must conduct root cause analysis of data issues to identify underlying causes and adjust controls
• [Should] Regulated entities must prioritize remediation of data issues due to resource constraints</t>
        </is>
      </c>
      <c r="N149" s="11" t="inlineStr">
        <is>
          <t>Subject to the nature of the data, a regulated entity would: (a) have clear accountability and communication strategies to limit the impact of data issues, including defined mechanisms and thresholds for escalation and reporting to the Board and senior management, and customer communication where appropriate; and (b) conduct root cause analysis of the data issue, where the underlying cause is identified and analysed, with controls adjusted to reduce the likelihood of future occurrence.</t>
        </is>
      </c>
      <c r="O149" s="12" t="inlineStr">
        <is>
          <t>Open PDF</t>
        </is>
      </c>
    </row>
    <row r="150">
      <c r="A150" t="inlineStr">
        <is>
          <t>Australia</t>
        </is>
      </c>
      <c r="B150" t="inlineStr">
        <is>
          <t>Prudential-Practice-Guide-CPG-235-Managing-Data-Risk_1 (Australia - Row 4)</t>
        </is>
      </c>
      <c r="C150" t="inlineStr">
        <is>
          <t>63</t>
        </is>
      </c>
      <c r="D150" s="11" t="inlineStr">
        <is>
          <t>Data quality metrics for assessing data risk success</t>
        </is>
      </c>
      <c r="E150" t="inlineStr">
        <is>
          <t>16</t>
        </is>
      </c>
      <c r="F150" t="inlineStr">
        <is>
          <t>Low</t>
        </is>
      </c>
      <c r="G150" t="inlineStr">
        <is>
          <t>High (explicit)</t>
        </is>
      </c>
      <c r="H150" s="11" t="inlineStr"/>
      <c r="I150" s="11" t="inlineStr">
        <is>
          <t>Personal Information</t>
        </is>
      </c>
      <c r="J150" t="inlineStr"/>
      <c r="K150" s="11" t="inlineStr">
        <is>
          <t>This section states that data quality metrics help evaluate data quality and data risk management effectiveness. The metrics should focus on areas with regulatory, legal, or industry requirements and those with high sensitivity or criticality as identified by the risk assessment process. These areas are prioritized to ensure data risk management aligns with compliance needs and risk levels.</t>
        </is>
      </c>
      <c r="L150" s="11" t="inlineStr"/>
      <c r="M150" s="11" t="inlineStr">
        <is>
          <t>• [Must] Data quality metrics are a useful mechanism for assessing data quality and data risk management success
• [Must] Metrics should be targeted to areas with regulatory, legal, and specific industry requirements
• [Must] Metrics should be targeted to areas with the greatest sensitivity/criticality as determined by the risk assessment process</t>
        </is>
      </c>
      <c r="N150" s="11" t="inlineStr">
        <is>
          <t>Data quality metrics are a useful mechanism for assessing data quality and the success of data risk management. Typically, the use of metrics would be targeted to areas: (a) where there are regulatory, legal and specific industry requirements; and (b) that have the greatest sensitivity/criticality, as determined by the risk assessment process.</t>
        </is>
      </c>
      <c r="O150" s="12" t="inlineStr">
        <is>
          <t>Open PDF</t>
        </is>
      </c>
    </row>
    <row r="151">
      <c r="A151" t="inlineStr">
        <is>
          <t>Australia</t>
        </is>
      </c>
      <c r="B151" t="inlineStr">
        <is>
          <t>Prudential-Standard-CPS-232-Business-Continuity-Management-(July-2017) (Australia - Row 5)</t>
        </is>
      </c>
      <c r="C151" t="inlineStr">
        <is>
          <t>1</t>
        </is>
      </c>
      <c r="D151" s="11" t="inlineStr">
        <is>
          <t>Prudential Standard authority basis</t>
        </is>
      </c>
      <c r="E151" t="inlineStr">
        <is>
          <t>3</t>
        </is>
      </c>
      <c r="F151" t="inlineStr">
        <is>
          <t>None</t>
        </is>
      </c>
      <c r="G151" t="inlineStr">
        <is>
          <t>High (explicit)</t>
        </is>
      </c>
      <c r="H151" s="11" t="inlineStr">
        <is>
          <t>Governance</t>
        </is>
      </c>
      <c r="I151" s="11" t="inlineStr"/>
      <c r="J151" t="inlineStr">
        <is>
          <t>APRA</t>
        </is>
      </c>
      <c r="K151" s="11" t="inlineStr">
        <is>
          <t>This section specifies that the Prudential Standard is enacted under three specific sections of Australian legislation: the Banking Act 1959, Insurance Act 1973, and Life Insurance Act 1995. It establishes the legal foundation for the standard by referencing relevant regulatory acts that authorize its implementation.</t>
        </is>
      </c>
      <c r="L151" s="11" t="inlineStr"/>
      <c r="M151" s="11" t="inlineStr">
        <is>
          <t>• [Must] This Prudential Standard is made under section 11AF of the Banking Act 1959
• [Must] This Prudential Standard is made under section 32 of the Insurance Act 1973
• [Must] This Prudential Standard is made under section 230A of the Life Insurance Act 1995</t>
        </is>
      </c>
      <c r="N151" s="11" t="inlineStr">
        <is>
          <t>This Prudential Standard is made under: (a) section 11AF of the Banking Act 1959 (Banking Act); (b) section 32 of the Insurance Act 1973 (Insurance Act); and (c) section 230A of the Life Insurance Act 1995 (Life Insurance Act).</t>
        </is>
      </c>
      <c r="O151" s="12" t="inlineStr">
        <is>
          <t>Open PDF</t>
        </is>
      </c>
    </row>
    <row r="152">
      <c r="A152" t="inlineStr">
        <is>
          <t>Australia</t>
        </is>
      </c>
      <c r="B152" t="inlineStr">
        <is>
          <t>Prudential-Standard-CPS-232-Business-Continuity-Management-(July-2017) (Australia - Row 5)</t>
        </is>
      </c>
      <c r="C152" t="inlineStr">
        <is>
          <t>2</t>
        </is>
      </c>
      <c r="D152" s="11" t="inlineStr">
        <is>
          <t>APRA-regulated institutions scope</t>
        </is>
      </c>
      <c r="E152" t="inlineStr">
        <is>
          <t>3</t>
        </is>
      </c>
      <c r="F152" t="inlineStr">
        <is>
          <t>None</t>
        </is>
      </c>
      <c r="G152" t="inlineStr">
        <is>
          <t>High (explicit)</t>
        </is>
      </c>
      <c r="H152" s="11" t="inlineStr">
        <is>
          <t>Governance</t>
        </is>
      </c>
      <c r="I152" s="11" t="inlineStr"/>
      <c r="J152" t="inlineStr">
        <is>
          <t>APRA</t>
        </is>
      </c>
      <c r="K152" s="11" t="inlineStr">
        <is>
          <t>This section defines which financial institutions fall under the Prudential Standard. It includes authorized deposit-taking institutions (ADIs), foreign ADIs, non-operating holding companies, general insurers, Category C insurers, authorized insurance NOHCs, parent entities of Level 2 insurance groups, life companies, friendly societies, eligible foreign life insurance companies (EFLICs), and registered life NOHCs. The scope covers all APRA-regulated entities in Australia and internationally.</t>
        </is>
      </c>
      <c r="L152" s="11" t="inlineStr"/>
      <c r="M152" s="11" t="inlineStr">
        <is>
          <t>• [Must] This Prudential Standard applies to all 'APRA-regulated institutions' defined as: all authorised deposit-taking institutions (ADIs), including foreign ADIs, and non-operating holding companies authorised under the Banking Act
• [Must] This Prudential Standard applies to all 'APRA-regulated institutions' defined as: all general insurers, including Category C insurers, non-operating holding companies authorised under the Insurance Act, and parent entities of Level 2 insurance groups
• [Must] This Prudential Standard applies to all 'APRA-regulated institutions' defined as: all life companies, including friendly societies and eligible foreign life insurance companies (EFLICs), and non-operating holding companies registered under the Life Insurance Act</t>
        </is>
      </c>
      <c r="N152" s="11" t="inlineStr">
        <is>
          <t>This Prudential Standard applies to all 'APRA-regulated institutions', defined as: (a) all authorised deposit-taking institutions (ADIs), including foreign ADIs, and non-operating holding companies authorised under the Banking Act (authorised banking NOHCs); (b) all general insurers, including Category C insurers, non-operating holding companies authorised under the Insurance Act (authorised insurance NOHCs) and parent entities of Level 2 insurance groups; and (c) all life companies, including friendly societies and eligible foreign life insurance companies (EFLICs), and non-operating holding companies registered under the Life Insurance Act (registered life NOHCs).</t>
        </is>
      </c>
      <c r="O152" s="12" t="inlineStr">
        <is>
          <t>Open PDF</t>
        </is>
      </c>
    </row>
    <row r="153">
      <c r="A153" t="inlineStr">
        <is>
          <t>Australia</t>
        </is>
      </c>
      <c r="B153" t="inlineStr">
        <is>
          <t>Prudential-Standard-CPS-232-Business-Continuity-Management-(July-2017) (Australia - Row 5)</t>
        </is>
      </c>
      <c r="C153" t="inlineStr">
        <is>
          <t>8</t>
        </is>
      </c>
      <c r="D153" s="11" t="inlineStr">
        <is>
          <t>Defined terms reference</t>
        </is>
      </c>
      <c r="E153" t="inlineStr">
        <is>
          <t>4</t>
        </is>
      </c>
      <c r="F153" t="inlineStr">
        <is>
          <t>None</t>
        </is>
      </c>
      <c r="G153" t="inlineStr">
        <is>
          <t>High (explicit)</t>
        </is>
      </c>
      <c r="H153" s="11" t="inlineStr">
        <is>
          <t>Governance</t>
        </is>
      </c>
      <c r="I153" s="11" t="inlineStr"/>
      <c r="J153" t="inlineStr"/>
      <c r="K153" s="11" t="inlineStr">
        <is>
          <t>This section states that terms defined in other Prudential Standards (APS 001, GPS 001, LPS 001) will be highlighted in bold when first used in this standard. It ensures consistency in terminology across regulatory documents by directing users to the relevant definitions.</t>
        </is>
      </c>
      <c r="L153" s="11" t="inlineStr"/>
      <c r="M153" s="11" t="inlineStr">
        <is>
          <t>• [Must] Terms that are defined in Prudential Standard 3PS 001 Definitions, Prudential Standard APS 001 Definitions (APS 001), Prudential Standard GPS 001 Definitions (GPS 001) or Prudential Standard LPS 001 Definitions appear in bold the first time they are used in this Prudential Standard</t>
        </is>
      </c>
      <c r="N153" s="11" t="inlineStr">
        <is>
          <t>Terms that are defined in Prudential Standard 3PS 001 Definitions, Prudential Standard APS 001 Definitions (APS 001), Prudential Standard GPS 001 Definitions (GPS 001) or Prudential Standard LPS 001 Definitions appear in bold the first time they are used in this Prudential Standard.</t>
        </is>
      </c>
      <c r="O153" s="12" t="inlineStr">
        <is>
          <t>Open PDF</t>
        </is>
      </c>
    </row>
    <row r="154">
      <c r="A154" t="inlineStr">
        <is>
          <t>Australia</t>
        </is>
      </c>
      <c r="B154" t="inlineStr">
        <is>
          <t>Prudential-Standard-CPS-232-Business-Continuity-Management-(July-2017) (Australia - Row 5)</t>
        </is>
      </c>
      <c r="C154" t="inlineStr">
        <is>
          <t>10</t>
        </is>
      </c>
      <c r="D154" s="11" t="inlineStr">
        <is>
          <t>Group and Head definitions</t>
        </is>
      </c>
      <c r="E154" t="inlineStr">
        <is>
          <t>4</t>
        </is>
      </c>
      <c r="F154" t="inlineStr">
        <is>
          <t>None</t>
        </is>
      </c>
      <c r="G154" t="inlineStr">
        <is>
          <t>High (explicit)</t>
        </is>
      </c>
      <c r="H154" s="11" t="inlineStr">
        <is>
          <t>Governance</t>
        </is>
      </c>
      <c r="I154" s="11" t="inlineStr"/>
      <c r="J154" t="inlineStr"/>
      <c r="K154" s="11" t="inlineStr">
        <is>
          <t>This section defines key terms for group structures within APRA-regulated institutions. It specifies what constitutes a 'group', 'Head of a group', 'Level 2 group', and 'Level 2 Head' based on regulatory frameworks. These definitions are critical for understanding organizational hierarchies and reporting responsibilities under business continuity management.</t>
        </is>
      </c>
      <c r="L154" s="11" t="inlineStr"/>
      <c r="M154" s="11" t="inlineStr">
        <is>
          <t>• [Must] For the purposes of this Prudential Standard, 'group' means a Level 2 group or a Level 3 group, as relevant
• [Must] For the purposes of this Prudential Standard, 'Head of a group' means a Level 2 Head or Level 3 Head, as relevant
• [Must] For the purposes of this Prudential Standard, 'Level 2 group' means the entities that comprise: Level 2 as defined in APS 001 or a Level 2 insurance group as defined in GPS 001
• [Must] For the purposes of this Prudential Standard, 'Level 2 Head' means: where an ADI that is a member of a Level 2 group is not a subsidiary of an authorised banking NOHC or another ADI, that ADI; where an ADI that is a member of a Level 2 group is a subsidiary of an authorised banking NOHC, that authorised banking NOHC; or the parent entity of a Leve…</t>
        </is>
      </c>
      <c r="N154" s="11" t="inlineStr">
        <is>
          <t>For the purposes of this Prudential Standard: 'group' means a Level 2 group or a Level 3 group, as relevant; 'Head of a group' means a Level 2 Head or Level 3 Head, as relevant; 'Level 2 group' means the entities that comprise: (a) Level 2 as defined in APS 001; or (b) a Level 2 insurance group as defined in GPS 001; 'Level 2 Head' means: (a) where an ADI that is a member of a Level 2 group is not a subsidiary of an authorised banking NOHC or another ADI, that ADI; (b) where an ADI that is a member of a Level 2 group is a subsidiary of an authorised banking NOHC, that authorised banking NOHC; or (c) the parent entity of a Level 2 insurance group as defined in GPS 001.</t>
        </is>
      </c>
      <c r="O154" s="12" t="inlineStr">
        <is>
          <t>Open PDF</t>
        </is>
      </c>
    </row>
    <row r="155">
      <c r="A155" t="inlineStr">
        <is>
          <t>Australia</t>
        </is>
      </c>
      <c r="B155" t="inlineStr">
        <is>
          <t>Prudential-Standard-CPS-232-Business-Continuity-Management-(July-2017) (Australia - Row 5)</t>
        </is>
      </c>
      <c r="C155" t="inlineStr">
        <is>
          <t>14</t>
        </is>
      </c>
      <c r="D155" s="11" t="inlineStr">
        <is>
          <t>Major disruption notification</t>
        </is>
      </c>
      <c r="E155" t="inlineStr">
        <is>
          <t>5</t>
        </is>
      </c>
      <c r="F155" t="inlineStr">
        <is>
          <t>None</t>
        </is>
      </c>
      <c r="G155" t="inlineStr">
        <is>
          <t>High (explicit)</t>
        </is>
      </c>
      <c r="H155" s="11" t="inlineStr">
        <is>
          <t>Incident Reporting</t>
        </is>
      </c>
      <c r="I155" s="11" t="inlineStr"/>
      <c r="J155" t="inlineStr">
        <is>
          <t>APRA</t>
        </is>
      </c>
      <c r="K155" s="11" t="inlineStr">
        <is>
          <t>This section mandates that the Head of a group must notify APRA if an institution experiences a major disruption that could materially impact its risk profile or financial soundness. The notification is required unless another APRA-regulated institution within the group has already reported the same information to APRA.</t>
        </is>
      </c>
      <c r="L155" s="11" t="inlineStr"/>
      <c r="M155" s="11" t="inlineStr">
        <is>
          <t>• [Must] The Head of a group must notify APRA in accordance with paragraph 36 if the institution experiences a major disruption that has the potential to have a material impact on the institution's risk profile, or affect its financial soundness
• [Must Not] The Head of a group must notify APRA in accordance with paragraph 36 if the institution experiences a major disruption that has the potential to have a material impact on the institution's risk profile, or affect its financial soundness, except where an APRA-regulated institution within the group has otherwise notified APRA of that information</t>
        </is>
      </c>
      <c r="N155" s="11" t="inlineStr">
        <is>
          <t>The Head of a group must notify APRA in accordance with paragraph 36 if the institution experiences a major disruption that has the potential to have a material impact on the institution's risk profile, or affect its financial soundness, except where an APRA-regulated institution within the group has otherwise notified APRA of that information.</t>
        </is>
      </c>
      <c r="O155" s="12" t="inlineStr">
        <is>
          <t>Open PDF</t>
        </is>
      </c>
    </row>
    <row r="156">
      <c r="A156" t="inlineStr">
        <is>
          <t>Australia</t>
        </is>
      </c>
      <c r="B156" t="inlineStr">
        <is>
          <t>Prudential-Standard-CPS-232-Business-Continuity-Management-(July-2017) (Australia - Row 5)</t>
        </is>
      </c>
      <c r="C156" t="inlineStr">
        <is>
          <t>17</t>
        </is>
      </c>
      <c r="D156" s="11" t="inlineStr">
        <is>
          <t>Business continuity risk management</t>
        </is>
      </c>
      <c r="E156" t="inlineStr">
        <is>
          <t>5</t>
        </is>
      </c>
      <c r="F156" t="inlineStr">
        <is>
          <t>High</t>
        </is>
      </c>
      <c r="G156" t="inlineStr">
        <is>
          <t>High (explicit)</t>
        </is>
      </c>
      <c r="H156" s="11" t="inlineStr"/>
      <c r="I156" s="11" t="inlineStr"/>
      <c r="J156" t="inlineStr">
        <is>
          <t>APRA</t>
        </is>
      </c>
      <c r="K156" s="11" t="inlineStr">
        <is>
          <t>This section requires APRA-regulated institutions to identify, assess, manage, mitigate, and report on potential business continuity risks. The purpose is to ensure institutions can meet financial and service obligations to depositors, policyholders, and other stakeholders during disruptions.</t>
        </is>
      </c>
      <c r="L156" s="11" t="inlineStr"/>
      <c r="M156" s="11" t="inlineStr">
        <is>
          <t>• [Must] An APRA-regulated institution must identify, assess, manage, mitigate and report on potential business continuity risks
• [Must] An APRA-regulated institution must ensure it is able to meet its financial and service obligations to its depositors, policyholders and other stakeholders</t>
        </is>
      </c>
      <c r="N156" s="11" t="inlineStr">
        <is>
          <t>An APRA-regulated institution must identify, assess, manage, mitigate and report on potential business continuity risks to ensure that the institution is able to meet its financial and service obligations to its depositors, policyholders and other stakeholders.</t>
        </is>
      </c>
      <c r="O156" s="12" t="inlineStr">
        <is>
          <t>Open PDF</t>
        </is>
      </c>
    </row>
    <row r="157">
      <c r="A157" t="inlineStr">
        <is>
          <t>Australia</t>
        </is>
      </c>
      <c r="B157" t="inlineStr">
        <is>
          <t>Prudential-Standard-CPS-232-Business-Continuity-Management-(July-2017) (Australia - Row 5)</t>
        </is>
      </c>
      <c r="C157" t="inlineStr">
        <is>
          <t>19</t>
        </is>
      </c>
      <c r="D157" s="11" t="inlineStr">
        <is>
          <t>Business continuity risks integrated into risk management strategy</t>
        </is>
      </c>
      <c r="E157" t="inlineStr">
        <is>
          <t>5–6</t>
        </is>
      </c>
      <c r="F157" t="inlineStr">
        <is>
          <t>High</t>
        </is>
      </c>
      <c r="G157" t="inlineStr">
        <is>
          <t>High (explicit)</t>
        </is>
      </c>
      <c r="H157" s="11" t="inlineStr"/>
      <c r="I157" s="11" t="inlineStr">
        <is>
          <t>Financial Data</t>
        </is>
      </c>
      <c r="J157" t="inlineStr">
        <is>
          <t>APRA</t>
        </is>
      </c>
      <c r="K157" s="11" t="inlineStr">
        <is>
          <t>The Board must ensure business continuity risks and controls are incorporated into the institution's overall risk management strategy and included in the risk management declaration submitted to APRA. This requirement applies to APRA-regulated financial institutions to maintain alignment with regulatory expectations for risk management.</t>
        </is>
      </c>
      <c r="L157" s="11" t="inlineStr">
        <is>
          <t>This section mandates that business continuity risks be systematically integrated into risk management, which is critical for assessing cross-border data transfer impacts in financial institutions due to the need for comprehensive risk coverage.</t>
        </is>
      </c>
      <c r="M157" s="11" t="inlineStr">
        <is>
          <t>• [Must] The Board must ensure business continuity risks and controls are taken into account as part of the institution's risk management strategy
• [Must] The Board must ensure business continuity risks and controls are included in the risk management declaration required to be provided to APRA</t>
        </is>
      </c>
      <c r="N157" s="11" t="inlineStr">
        <is>
          <t>The Board must ensure that the business continuity risks and controls are taken into account as part of the institution's risk management strategy and when completing a risk management declaration required to be provided to APRA.</t>
        </is>
      </c>
      <c r="O157" s="12" t="inlineStr">
        <is>
          <t>Open PDF</t>
        </is>
      </c>
    </row>
    <row r="158">
      <c r="A158" t="inlineStr">
        <is>
          <t>Australia</t>
        </is>
      </c>
      <c r="B158" t="inlineStr">
        <is>
          <t>Prudential-Standard-CPS-232-Business-Continuity-Management-(July-2017) (Australia - Row 5)</t>
        </is>
      </c>
      <c r="C158" t="inlineStr">
        <is>
          <t>20</t>
        </is>
      </c>
      <c r="D158" s="11" t="inlineStr">
        <is>
          <t>Business continuity as whole-of-business approach</t>
        </is>
      </c>
      <c r="E158" t="inlineStr">
        <is>
          <t>6</t>
        </is>
      </c>
      <c r="F158" t="inlineStr">
        <is>
          <t>High</t>
        </is>
      </c>
      <c r="G158" t="inlineStr">
        <is>
          <t>High (explicit)</t>
        </is>
      </c>
      <c r="H158" s="11" t="inlineStr"/>
      <c r="I158" s="11" t="inlineStr">
        <is>
          <t>Financial Data</t>
        </is>
      </c>
      <c r="J158" t="inlineStr">
        <is>
          <t>APRA</t>
        </is>
      </c>
      <c r="K158" s="11" t="inlineStr">
        <is>
          <t>Business continuity management (BCM) requires institutions to establish policies, standards, and procedures that ensure critical business operations can be maintained or recovered during disruptions. This approach aims to minimize financial, legal, regulatory, and reputational consequences from operational interruptions.</t>
        </is>
      </c>
      <c r="L158" s="11" t="inlineStr">
        <is>
          <t>This section defines BCM as a whole-of-business approach, which is relevant for DTIAs as it establishes foundational requirements for maintaining critical operations during disruptions, impacting data transfer resilience.</t>
        </is>
      </c>
      <c r="M158" s="11" t="inlineStr">
        <is>
          <t>• [Must] BCM includes policies, standards and procedures for ensuring critical business operations can be maintained or recovered in a timely fashion during disruptions
• [Must] BCM aims to minimise financial, legal, regulatory and reputational consequences arising from disruptions</t>
        </is>
      </c>
      <c r="N158" s="11" t="inlineStr">
        <is>
          <t>BCM is a whole-of-business approach that includes policies, standards and procedures for ensuring that critical business operations can be maintained or recovered in a timely fashion, in the event of a disruption. Its purpose is to minimise the financial, legal, regulatory, reputational and other material consequences arising from a disruption.</t>
        </is>
      </c>
      <c r="O158" s="12" t="inlineStr">
        <is>
          <t>Open PDF</t>
        </is>
      </c>
    </row>
    <row r="159">
      <c r="A159" t="inlineStr">
        <is>
          <t>Australia</t>
        </is>
      </c>
      <c r="B159" t="inlineStr">
        <is>
          <t>Prudential-Standard-CPS-232-Business-Continuity-Management-(July-2017) (Australia - Row 5)</t>
        </is>
      </c>
      <c r="C159" t="inlineStr">
        <is>
          <t>27</t>
        </is>
      </c>
      <c r="D159" s="11" t="inlineStr">
        <is>
          <t>Business impact analysis considerations for disruptions</t>
        </is>
      </c>
      <c r="E159" t="inlineStr">
        <is>
          <t>6–7</t>
        </is>
      </c>
      <c r="F159" t="inlineStr">
        <is>
          <t>High</t>
        </is>
      </c>
      <c r="G159" t="inlineStr">
        <is>
          <t>High (explicit)</t>
        </is>
      </c>
      <c r="H159" s="11" t="inlineStr"/>
      <c r="I159" s="11" t="inlineStr">
        <is>
          <t>Financial Data</t>
        </is>
      </c>
      <c r="J159" t="inlineStr">
        <is>
          <t>APRA</t>
        </is>
      </c>
      <c r="K159" s="11" t="inlineStr">
        <is>
          <t>APRA-regulated institutions must evaluate plausible disruption scenarios, operational downtime periods, impact on depositors/policyholders, and financial/legal/regulatory consequences when conducting a Business Impact Analysis (BIA). This ensures comprehensive risk assessment for critical operations.</t>
        </is>
      </c>
      <c r="L159" s="11" t="inlineStr">
        <is>
          <t>This section specifies key considerations for BIAs, which are essential for DTIAs to evaluate the impact of disruptions on data transfers, particularly regarding financial and regulatory consequences.</t>
        </is>
      </c>
      <c r="M159" s="11" t="inlineStr">
        <is>
          <t>• [Must] The institution must consider plausible disruption scenarios over varying periods of time
• [Must] The institution must determine the period of time for which critical business operations could not operate without the institution
• [Must] The institution must assess the extent to which disruptions might impact depositors and/or policyholders
• [Must] The institution must evaluate financial, legal, regulatory and reputational impacts of disruptions over varying periods</t>
        </is>
      </c>
      <c r="N159" s="11" t="inlineStr">
        <is>
          <t>When conducting the BIA, the APRA-regulated institution must consider: (a) plausible disruption scenarios over varying periods of time; (b) the period of time for which the institution could not operate without each of its critical business operations; (c) the extent to which a disruption to the critical business operations might have a material impact on the interests of depositors and/or policyholders of the institution; and (d) the financial, legal, regulatory and reputational impact of a disruption to the institution's critical business operations over varying periods of time.</t>
        </is>
      </c>
      <c r="O159" s="12" t="inlineStr">
        <is>
          <t>Open PDF</t>
        </is>
      </c>
    </row>
    <row r="160">
      <c r="A160" t="inlineStr">
        <is>
          <t>Australia</t>
        </is>
      </c>
      <c r="B160" t="inlineStr">
        <is>
          <t>Prudential-Standard-CPS-232-Business-Continuity-Management-(July-2017) (Australia - Row 5)</t>
        </is>
      </c>
      <c r="C160" t="inlineStr">
        <is>
          <t>36</t>
        </is>
      </c>
      <c r="D160" s="11" t="inlineStr">
        <is>
          <t>Notification of major disruptions to APRA</t>
        </is>
      </c>
      <c r="E160" t="inlineStr">
        <is>
          <t>8</t>
        </is>
      </c>
      <c r="F160" t="inlineStr">
        <is>
          <t>High</t>
        </is>
      </c>
      <c r="G160" t="inlineStr">
        <is>
          <t>High (explicit)</t>
        </is>
      </c>
      <c r="H160" s="11" t="inlineStr"/>
      <c r="I160" s="11" t="inlineStr">
        <is>
          <t>Financial Data</t>
        </is>
      </c>
      <c r="J160" t="inlineStr">
        <is>
          <t>APRA</t>
        </is>
      </c>
      <c r="K160" s="11" t="inlineStr">
        <is>
          <t>APRA-regulated institutions must notify APRA within 24 hours of experiencing a major disruption that could materially impact their risk profile or financial soundness. The notification must detail the disruption's nature, actions taken, expected effects, and timeline for recovery, with a follow-up notification upon resumption of normal operations.</t>
        </is>
      </c>
      <c r="L160" s="11" t="inlineStr">
        <is>
          <t>This section requires timely reporting of disruptions to APRA, which is critical for DTIAs to ensure data transfer continuity during incidents and to maintain regulatory oversight of cross-border data flows.</t>
        </is>
      </c>
      <c r="M160" s="11" t="inlineStr">
        <is>
          <t>• [Must] APRA-regulated institutions must notify APRA as soon as possible and no later than 24 hours after experiencing a major disruption
• [Must] The institution must explain the nature of the disruption, actions being taken, likely effects, and timeframe for returning to normal operations
• [Must] The institution must notify APRA when normal operations resume</t>
        </is>
      </c>
      <c r="N160" s="11" t="inlineStr">
        <is>
          <t>An APRA-regulated institution must notify APRA as soon as possible and no later than 24 hours after the institution experiences a major disruption that has the potential to have a material impact on the institution's risk profile, or affect its financial soundness.</t>
        </is>
      </c>
      <c r="O160" s="12" t="inlineStr">
        <is>
          <t>Open PDF</t>
        </is>
      </c>
    </row>
    <row r="161">
      <c r="A161" t="inlineStr">
        <is>
          <t>Australia</t>
        </is>
      </c>
      <c r="B161" t="inlineStr">
        <is>
          <t>Prudential-Standard-CPS-232-Business-Continuity-Management-(July-2017) (Australia - Row 5)</t>
        </is>
      </c>
      <c r="C161" t="inlineStr">
        <is>
          <t>40</t>
        </is>
      </c>
      <c r="D161" s="11" t="inlineStr">
        <is>
          <t>APRA's authority to adjust prudential standards</t>
        </is>
      </c>
      <c r="E161" t="inlineStr">
        <is>
          <t>8–9</t>
        </is>
      </c>
      <c r="F161" t="inlineStr">
        <is>
          <t>High</t>
        </is>
      </c>
      <c r="G161" t="inlineStr">
        <is>
          <t>High (explicit)</t>
        </is>
      </c>
      <c r="H161" s="11" t="inlineStr"/>
      <c r="I161" s="11" t="inlineStr">
        <is>
          <t>Financial Data</t>
        </is>
      </c>
      <c r="J161" t="inlineStr">
        <is>
          <t>APRA</t>
        </is>
      </c>
      <c r="K161" s="11" t="inlineStr">
        <is>
          <t>APRA has the authority to adjust or exclude specific requirements within this Prudential Standard for regulated institutions, subject to relevant legal provisions under the Banking Act, Insurance Act, and Life Insurance Act.</t>
        </is>
      </c>
      <c r="L161" s="11" t="inlineStr">
        <is>
          <t>This section grants APRA flexibility to modify requirements, which may impact DTIAs by allowing tailored approaches to data transfer compliance in specific regulatory contexts.</t>
        </is>
      </c>
      <c r="M161" s="11" t="inlineStr">
        <is>
          <t>• [May] APRA may adjust or exclude a specific requirement in this Prudential Standard in relation to an APRA-regulated institution</t>
        </is>
      </c>
      <c r="N161" s="11" t="inlineStr">
        <is>
          <t>APRA may adjust or exclude a specific requirement in this Prudential Standard in relation to an APRA-regulated institution.</t>
        </is>
      </c>
      <c r="O161" s="12" t="inlineStr">
        <is>
          <t>Open PDF</t>
        </is>
      </c>
    </row>
    <row r="162">
      <c r="A162" t="inlineStr">
        <is>
          <t>Australia</t>
        </is>
      </c>
      <c r="B162" t="inlineStr">
        <is>
          <t>Statutory tort for serious invasions of privacy _ OAIC (Australia - Row 24)</t>
        </is>
      </c>
      <c r="C162" t="inlineStr">
        <is>
          <t>p1</t>
        </is>
      </c>
      <c r="D162" s="11" t="inlineStr">
        <is>
          <t>Statutory tort for serious invasions of privacy</t>
        </is>
      </c>
      <c r="E162" t="inlineStr">
        <is>
          <t>1–2</t>
        </is>
      </c>
      <c r="F162" t="inlineStr">
        <is>
          <t>None</t>
        </is>
      </c>
      <c r="G162" t="inlineStr">
        <is>
          <t>High (explicit)</t>
        </is>
      </c>
      <c r="H162"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62" s="11" t="inlineStr">
        <is>
          <t>Personal Information</t>
        </is>
      </c>
      <c r="J162" t="inlineStr"/>
      <c r="K162" s="11" t="inlineStr">
        <is>
          <t>This section introduces the statutory tort for serious invasions of privacy as a legal mechanism allowing individuals to seek redress for privacy harms in court. It establishes that the tort applies beyond traditional Privacy Act entities to include individuals and other entities. The section outlines key components such as the definition of invasion, required elements for a claim, and the role of the court in determining remedies.</t>
        </is>
      </c>
      <c r="L162" s="11" t="inlineStr"/>
      <c r="M162" s="11" t="inlineStr">
        <is>
          <t>• [Must] Statutory tort for serious invasions of privacy</t>
        </is>
      </c>
      <c r="N162" s="11" t="inlineStr">
        <is>
          <t>Statutory tort for serious invasions of privacy | OAIC</t>
        </is>
      </c>
      <c r="O162" s="12" t="inlineStr">
        <is>
          <t>Open PDF</t>
        </is>
      </c>
    </row>
    <row r="163">
      <c r="A163" t="inlineStr">
        <is>
          <t>Australia</t>
        </is>
      </c>
      <c r="B163" t="inlineStr">
        <is>
          <t>Statutory tort for serious invasions of privacy _ OAIC (Australia - Row 24)</t>
        </is>
      </c>
      <c r="C163" t="inlineStr">
        <is>
          <t>p2</t>
        </is>
      </c>
      <c r="D163" s="11" t="inlineStr">
        <is>
          <t>Statutory tort for serious invasions of privacy: claims and defences</t>
        </is>
      </c>
      <c r="E163" t="inlineStr">
        <is>
          <t>2–3</t>
        </is>
      </c>
      <c r="F163" t="inlineStr">
        <is>
          <t>None</t>
        </is>
      </c>
      <c r="G163" t="inlineStr">
        <is>
          <t>High (explicit)</t>
        </is>
      </c>
      <c r="H163"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63" s="11" t="inlineStr">
        <is>
          <t>Personal Information</t>
        </is>
      </c>
      <c r="J163" t="inlineStr"/>
      <c r="K163" s="11" t="inlineStr">
        <is>
          <t>This section details the conditions under which an individual may claim a statutory tort for serious invasions of privacy, including the requirement that the plaintiff had a reasonable expectation of privacy. It specifies that the defendant must have invaded privacy through actions like intruding upon seclusion or misusing information. The section also outlines defences such as consent or lawful authority, and exemptions for intelligence agencies, law enforcement, and journalists.</t>
        </is>
      </c>
      <c r="L163" s="11" t="inlineStr"/>
      <c r="M163" s="11" t="inlineStr">
        <is>
          <t>• [Must] An individual may have a cause of action against another person or organisation who has invaded their privacy by doing one or more of the following: intruding upon the individual's seclusion or misusing information that relates to the plaintiff
• [Must] The plaintiff must have had a reasonable expectation of privacy in all circumstances
• [Must] The plaintiff must demonstrate that the public interest in protecting their privacy outweighs any countervailing public interest
• [Must Not] Consent or lawful authority is a defence
• [Must Not] Exemptions apply to intelligence agencies, law enforcement bodies, and journalists in certain circumstances</t>
        </is>
      </c>
      <c r="N163" s="11" t="inlineStr">
        <is>
          <t>An individual (plaintiff) may have a cause of action against another person or organisation (defendant) who has invaded their privacy by doing one or more of the following, in instances where the plaintiff would have had a reasonable expectation of privacy in all the circumstances: • intruding upon the individual's seclusion – for example, by physically intruding into their private space; • misusing information that relates to the plaintiff.</t>
        </is>
      </c>
      <c r="O163" s="12" t="inlineStr">
        <is>
          <t>Open PDF</t>
        </is>
      </c>
    </row>
    <row r="164">
      <c r="A164" t="inlineStr">
        <is>
          <t>Australia</t>
        </is>
      </c>
      <c r="B164" t="inlineStr">
        <is>
          <t>Statutory tort for serious invasions of privacy _ OAIC (Australia - Row 24)</t>
        </is>
      </c>
      <c r="C164" t="inlineStr">
        <is>
          <t>p3</t>
        </is>
      </c>
      <c r="D164" s="11" t="inlineStr">
        <is>
          <t>Timeframes for statutory tort claims</t>
        </is>
      </c>
      <c r="E164" t="inlineStr">
        <is>
          <t>3–4</t>
        </is>
      </c>
      <c r="F164" t="inlineStr">
        <is>
          <t>None</t>
        </is>
      </c>
      <c r="G164" t="inlineStr">
        <is>
          <t>High (explicit)</t>
        </is>
      </c>
      <c r="H164"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64" s="11" t="inlineStr">
        <is>
          <t>Personal Information</t>
        </is>
      </c>
      <c r="J164" t="inlineStr"/>
      <c r="K164" s="11" t="inlineStr">
        <is>
          <t>This section specifies the timeframes within which legal proceedings for the statutory tort must be commenced. If the plaintiff is under 18 at the time of the alleged invasion, proceedings must begin before their 21st birthday. Otherwise, the timeframe is the earlier of one year after the plaintiff became aware of the invasion or three years after the invasion occurred. The section also notes that courts may grant remedies such as damages, injunctions, or orders requiring an apology.</t>
        </is>
      </c>
      <c r="L164" s="11" t="inlineStr"/>
      <c r="M164" s="11" t="inlineStr">
        <is>
          <t>• [Must] Proceedings must be commenced within 1 year after the plaintiff became aware of the invasion of privacy or 3 years after the invasion occurred, whichever is earlier
• [Must] If the plaintiff is under 18 at the time of the alleged invasion, proceedings must be commenced before their 21st birthday
• [May] Courts may grant remedies including damages, injunctions, or orders requiring an apology</t>
        </is>
      </c>
      <c r="N164" s="11" t="inlineStr">
        <is>
          <t>Proceedings under the statutory tort must be commenced within certain timeframes. If a plaintiff is under 18 years of age when the alleged invasion of privacy occurred, proceedings must commence before their 21st birthday. In other circumstances, the timeframe is the earlier of: • 1 year after the day on which the plaintiff became aware of the invasion of privacy; and • 3 years after the invasion of privacy occurred.</t>
        </is>
      </c>
      <c r="O164" s="12" t="inlineStr">
        <is>
          <t>Open PDF</t>
        </is>
      </c>
    </row>
    <row r="165">
      <c r="A165" t="inlineStr">
        <is>
          <t>Australia</t>
        </is>
      </c>
      <c r="B165" t="inlineStr">
        <is>
          <t>Statutory tort for serious invasions of privacy _ OAIC (Australia - Row 24)</t>
        </is>
      </c>
      <c r="C165" t="inlineStr">
        <is>
          <t>p4</t>
        </is>
      </c>
      <c r="D165" s="11" t="inlineStr">
        <is>
          <t>Site map for statutory tort information</t>
        </is>
      </c>
      <c r="E165" t="inlineStr">
        <is>
          <t>4–5</t>
        </is>
      </c>
      <c r="F165" t="inlineStr">
        <is>
          <t>None</t>
        </is>
      </c>
      <c r="G165" t="inlineStr">
        <is>
          <t>High (explicit)</t>
        </is>
      </c>
      <c r="H165"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65" s="11" t="inlineStr">
        <is>
          <t>Personal Information</t>
        </is>
      </c>
      <c r="J165" t="inlineStr"/>
      <c r="K165" s="11" t="inlineStr">
        <is>
          <t>This section provides a site map for the statutory tort for serious invasions of privacy, including links to copyright, terms and conditions, privacy policy, accessibility, and contact information. It does not contain substantive legal requirements or obligations related to data transfers or privacy practices.</t>
        </is>
      </c>
      <c r="L165" s="11" t="inlineStr"/>
      <c r="M165" s="11" t="inlineStr">
        <is>
          <t>• [Must] Site map includes links to copyright, terms and conditions, privacy policy, accessibility, and contact information</t>
        </is>
      </c>
      <c r="N165" s="11" t="inlineStr">
        <is>
          <t>Site map</t>
        </is>
      </c>
      <c r="O165" s="12" t="inlineStr">
        <is>
          <t>Open PDF</t>
        </is>
      </c>
    </row>
    <row r="166">
      <c r="A166" t="inlineStr">
        <is>
          <t>Australia</t>
        </is>
      </c>
      <c r="B166" t="inlineStr">
        <is>
          <t>Statutory tort for serious invasions of privacy _ OAIC (Australia - Row 24)</t>
        </is>
      </c>
      <c r="C166" t="inlineStr">
        <is>
          <t>p5</t>
        </is>
      </c>
      <c r="D166" s="11" t="inlineStr">
        <is>
          <t>Contact information for statutory tort support</t>
        </is>
      </c>
      <c r="E166" t="inlineStr">
        <is>
          <t>5</t>
        </is>
      </c>
      <c r="F166" t="inlineStr">
        <is>
          <t>None</t>
        </is>
      </c>
      <c r="G166" t="inlineStr">
        <is>
          <t>High (explicit)</t>
        </is>
      </c>
      <c r="H166"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66" s="11" t="inlineStr">
        <is>
          <t>Personal Information</t>
        </is>
      </c>
      <c r="J166" t="inlineStr"/>
      <c r="K166" s="11" t="inlineStr">
        <is>
          <t>This section provides contact details for the Office of the Australian Information Commissioner (OAIC), including a phone number and operating hours. It also includes an acknowledgment of country statement and copyright information, but does not contain substantive legal requirements for data transfers or privacy practices.</t>
        </is>
      </c>
      <c r="L166" s="11" t="inlineStr"/>
      <c r="M166" s="11" t="inlineStr">
        <is>
          <t>• [Must] Contact number: 1300 363 992
• [Must] Operating hours: Monday to Thursday 10 am to 4 pm (AEST/AEDT)</t>
        </is>
      </c>
      <c r="N166" s="11" t="inlineStr">
        <is>
          <t>Contact us 1300 363 992 Monday to Thursday 10 am to 4 pm (AEST/AEDT)</t>
        </is>
      </c>
      <c r="O166" s="12" t="inlineStr">
        <is>
          <t>Open PDF</t>
        </is>
      </c>
    </row>
    <row r="167">
      <c r="A167" t="inlineStr">
        <is>
          <t>Australia</t>
        </is>
      </c>
      <c r="B167" t="inlineStr">
        <is>
          <t>cps_234_july_2019_for_public_release (Australia - Row 6)</t>
        </is>
      </c>
      <c r="C167" t="inlineStr">
        <is>
          <t>1</t>
        </is>
      </c>
      <c r="D167" s="11" t="inlineStr">
        <is>
          <t>Prudential Standard authority basis</t>
        </is>
      </c>
      <c r="E167" t="inlineStr">
        <is>
          <t>2</t>
        </is>
      </c>
      <c r="F167" t="inlineStr">
        <is>
          <t>High</t>
        </is>
      </c>
      <c r="G167" t="inlineStr">
        <is>
          <t>High (explicit)</t>
        </is>
      </c>
      <c r="H167" s="11" t="inlineStr">
        <is>
          <t>Governance</t>
        </is>
      </c>
      <c r="I167" s="11" t="inlineStr"/>
      <c r="J167" t="inlineStr">
        <is>
          <t>APRA</t>
        </is>
      </c>
      <c r="K167" s="11" t="inlineStr">
        <is>
          <t>This section specifies the legislative basis for the Prudential Standard, stating it is enacted under five specific sections of Australian financial legislation: Banking Act 1959, Insurance Act 1973, Life Insurance Act 1995, Private Health Insurance (Prudential Supervision) Act 2015, and Superannuation Industry (Supervision) Act 1993. The section establishes the legal foundation for the Prudential Standard's authority.</t>
        </is>
      </c>
      <c r="L167" s="11" t="inlineStr"/>
      <c r="M167" s="11" t="inlineStr">
        <is>
          <t>• [Must] This Prudential Standard is made under section 11AF of the Banking Act 1959
• [Must] This Prudential Standard is made under section 32 of the Insurance Act 1973
• [Must] This Prudential Standard is made under section 230A of the Life Insurance Act 1995
• [Must] This Prudential Standard is made under section 92 of the Private Health Insurance (Prudential Supervision) Act 2015
• [Must] This Prudential Standard is made under section 34C of the Superannuation Industry (Supervision) Act 1993</t>
        </is>
      </c>
      <c r="N167" s="11" t="inlineStr">
        <is>
          <t>This Prudential Standard is made under: (a) section 11AF of the Banking Act 1959 (Banking Act); (b) section 32 of the Insurance Act 1973 (Insurance Act); (c) section 230A of the Life Insurance Act 1995 (Life Insurance Act); (d) section 92 of the Private Health Insurance (Prudential Supervision) Act 2015 (PHIPS Act); and (e) section 34C of the Superannuation Industry (Supervision) Act 1993 (SIS Act).</t>
        </is>
      </c>
      <c r="O167" s="12" t="inlineStr">
        <is>
          <t>Open PDF</t>
        </is>
      </c>
    </row>
    <row r="168">
      <c r="A168" t="inlineStr">
        <is>
          <t>Australia</t>
        </is>
      </c>
      <c r="B168" t="inlineStr">
        <is>
          <t>cps_234_july_2019_for_public_release (Australia - Row 6)</t>
        </is>
      </c>
      <c r="C168" t="inlineStr">
        <is>
          <t>2</t>
        </is>
      </c>
      <c r="D168" s="11" t="inlineStr">
        <is>
          <t>APRA-regulated entities covered by the standard</t>
        </is>
      </c>
      <c r="E168" t="inlineStr">
        <is>
          <t>2</t>
        </is>
      </c>
      <c r="F168" t="inlineStr">
        <is>
          <t>High</t>
        </is>
      </c>
      <c r="G168" t="inlineStr">
        <is>
          <t>High (explicit)</t>
        </is>
      </c>
      <c r="H168" s="11" t="inlineStr">
        <is>
          <t>Governance</t>
        </is>
      </c>
      <c r="I168" s="11" t="inlineStr"/>
      <c r="J168" t="inlineStr">
        <is>
          <t>APRA</t>
        </is>
      </c>
      <c r="K168" s="11" t="inlineStr">
        <is>
          <t>This section defines which entities fall under the Prudential Standard by specifying APRA-regulated entities, including authorized deposit-taking institutions, general insurers, life companies, private health insurers, and superannuation industry licensees. The scope covers both Australian and foreign entities operating within these categories.</t>
        </is>
      </c>
      <c r="L168" s="11" t="inlineStr"/>
      <c r="M168" s="11" t="inlineStr">
        <is>
          <t>• [Must] This Prudential Standard applies to all 'APRA-regulated entities' defined as: (a) authorized deposit-taking institutions (ADIs), including foreign ADIs, and non-operating holding companies authorized under the Banking Act
• [Must] This Prudential Standard applies to all 'APRA-regulated entities' defined as: (b) general insurers, including Category C insurers, non-operating holding companies authorized under the Insurance Act, and parent entities of Level 2 insurance groups
• [Must] This Prudential Standard applies to all 'APRA-regulated entities' defined as: (c) life companies, including friendly societies, eligible foreign life insurance companies (EFLICs) and non-operating holding companies registered under the Life Insurance Act
• [Must] This Prudential Standard applies to all 'APRA-regulated entities' defined as: (d) private health insurers registered under the PHIPS Act
• [Must] This Prudential Standard applies to all 'APRA-regulated entities' defined as: (e) RSE licensees under the SIS Act in respect of their business operations</t>
        </is>
      </c>
      <c r="N168" s="11" t="inlineStr">
        <is>
          <t>This Prudential Standard applies to all 'APRA-regulated entities' defined as: (a) authorized deposit-taking institutions (ADIs), including foreign ADIs, and non-operating holding companies authorized under the Banking Act (authorized banking NOHCs); (b) general insurers, including Category C insurers, non-operating holding companies authorized under the Insurance Act (authorised insurance NOHCs), and parent entities of Level 2 insurance groups; (c) life companies, including friendly societies, eligible foreign life insurance companies (EFLICs) and non-operating holding companies registered under the Life Insurance Act (registered life NOHCs); (d) private health insurers registered under the PHIPS Act; and (e) RSE licensees under the SIS Act in respect of their business operations.</t>
        </is>
      </c>
      <c r="O168" s="12" t="inlineStr">
        <is>
          <t>Open PDF</t>
        </is>
      </c>
    </row>
    <row r="169">
      <c r="A169" t="inlineStr">
        <is>
          <t>Australia</t>
        </is>
      </c>
      <c r="B169" t="inlineStr">
        <is>
          <t>cps_234_july_2019_for_public_release (Australia - Row 6)</t>
        </is>
      </c>
      <c r="C169" t="inlineStr">
        <is>
          <t>3</t>
        </is>
      </c>
      <c r="D169" s="11" t="inlineStr">
        <is>
          <t>Foreign entities' Australian branch operations scope</t>
        </is>
      </c>
      <c r="E169" t="inlineStr">
        <is>
          <t>2</t>
        </is>
      </c>
      <c r="F169" t="inlineStr">
        <is>
          <t>High</t>
        </is>
      </c>
      <c r="G169" t="inlineStr">
        <is>
          <t>High (explicit)</t>
        </is>
      </c>
      <c r="H169" s="11" t="inlineStr">
        <is>
          <t>Governance</t>
        </is>
      </c>
      <c r="I169" s="11" t="inlineStr"/>
      <c r="J169" t="inlineStr">
        <is>
          <t>APRA</t>
        </is>
      </c>
      <c r="K169" s="11" t="inlineStr">
        <is>
          <t>This section limits the application of the Prudential Standard to Australian branch operations of foreign entities. It specifies that obligations only apply to foreign ADIs, Category C insurers, or EFLICs in relation to their Australian branch activities, excluding other operations.</t>
        </is>
      </c>
      <c r="L169" s="11" t="inlineStr"/>
      <c r="M169" s="11" t="inlineStr">
        <is>
          <t>• [Must] The obligations imposed by this Prudential Standard on, or in relation to, a foreign ADI, a Category C insurer or an EFLIC apply only in relation to the Australian branch operations of that entity</t>
        </is>
      </c>
      <c r="N169" s="11" t="inlineStr">
        <is>
          <t>The obligations imposed by this Prudential Standard on, or in relation to, a foreign ADI, a Category C insurer or an EFLIC apply only in relation to the Australian branch operations of that entity.</t>
        </is>
      </c>
      <c r="O169" s="12" t="inlineStr">
        <is>
          <t>Open PDF</t>
        </is>
      </c>
    </row>
    <row r="170">
      <c r="A170" t="inlineStr">
        <is>
          <t>Australia</t>
        </is>
      </c>
      <c r="B170" t="inlineStr">
        <is>
          <t>cps_234_july_2019_for_public_release (Australia - Row 6)</t>
        </is>
      </c>
      <c r="C170" t="inlineStr">
        <is>
          <t>4</t>
        </is>
      </c>
      <c r="D170" s="11" t="inlineStr">
        <is>
          <t>Group compliance requirements</t>
        </is>
      </c>
      <c r="E170" t="inlineStr">
        <is>
          <t>2–3</t>
        </is>
      </c>
      <c r="F170" t="inlineStr">
        <is>
          <t>High</t>
        </is>
      </c>
      <c r="G170" t="inlineStr">
        <is>
          <t>High (explicit)</t>
        </is>
      </c>
      <c r="H170" s="11" t="inlineStr">
        <is>
          <t>Governance</t>
        </is>
      </c>
      <c r="I170" s="11" t="inlineStr"/>
      <c r="J170" t="inlineStr">
        <is>
          <t>APRA</t>
        </is>
      </c>
      <c r="K170" s="11" t="inlineStr">
        <is>
          <t>This section mandates that group entities must comply with the Prudential Standard in their capacity as APRA-regulated entities, ensuring requirements are applied appropriately throughout the group, including non-regulated entities, and on a group basis. It clarifies that references to 'APRA-regulated entity' in the standard apply to 'Head of a group' and 'entity' to 'group' when applying requirements group-wide.</t>
        </is>
      </c>
      <c r="L170" s="11" t="inlineStr"/>
      <c r="M170" s="11" t="inlineStr">
        <is>
          <t>• [Must] Where an APRA-regulated entity is the 'Head of a group', it must comply with a requirement of this Prudential Standard in its capacity as an APRA-regulated entity
• [Must] Where an APRA-regulated entity is the 'Head of a group', it must ensure that the requirement is applied appropriately throughout the group, including in relation to entities that are not APRA-regulated
• [Must] Where an APRA-regulated entity is the 'Head of a group', it must comply with the requirement on a group basis
• [Must] In applying the requirements of this Prudential Standard on a group basis, references in paragraphs 13 to 36 to an 'APRA-regulated entity' are to be read as 'Head of a group'
• [Must] In applying the requirements of this Prudential Standard on a group basis, references to 'entity' are to be read as 'group'</t>
        </is>
      </c>
      <c r="N170" s="11" t="inlineStr">
        <is>
          <t>Where an APRA-regulated entity is the 'Head of a group', it must comply with a requirement of this Prudential Standard: (a) in its capacity as an APRA-regulated entity; (b) by ensuring that the requirement is applied appropriately throughout the group, including in relation to entities that are not APRA-regulated; and (c) on a group basis.</t>
        </is>
      </c>
      <c r="O170" s="12" t="inlineStr">
        <is>
          <t>Open PDF</t>
        </is>
      </c>
    </row>
    <row r="171">
      <c r="A171" t="inlineStr">
        <is>
          <t>Australia</t>
        </is>
      </c>
      <c r="B171" t="inlineStr">
        <is>
          <t>cps_234_july_2019_for_public_release (Australia - Row 6)</t>
        </is>
      </c>
      <c r="C171" t="inlineStr">
        <is>
          <t>6</t>
        </is>
      </c>
      <c r="D171" s="11" t="inlineStr">
        <is>
          <t>Third-party information asset compliance timeline</t>
        </is>
      </c>
      <c r="E171" t="inlineStr">
        <is>
          <t>3</t>
        </is>
      </c>
      <c r="F171" t="inlineStr">
        <is>
          <t>High</t>
        </is>
      </c>
      <c r="G171" t="inlineStr">
        <is>
          <t>High (explicit)</t>
        </is>
      </c>
      <c r="H171" s="11" t="inlineStr">
        <is>
          <t>Governance</t>
        </is>
      </c>
      <c r="I171" s="11" t="inlineStr"/>
      <c r="J171" t="inlineStr">
        <is>
          <t>APRA</t>
        </is>
      </c>
      <c r="K171" s="11" t="inlineStr">
        <is>
          <t>This section establishes when the Prudential Standard applies to information assets managed by third parties, specifying that requirements take effect from the earlier of the next renewal date of the third-party contract or 1 July 2020. This ensures timely compliance with data management obligations.</t>
        </is>
      </c>
      <c r="L171" s="11" t="inlineStr"/>
      <c r="M171" s="11" t="inlineStr">
        <is>
          <t>• [Must] Where an APRA-regulated entity's information assets are managed by a third party, the requirements in this Prudential Standard will apply in relation to those information assets from the earlier of the next renewal date of the contract with the third party or 1 July 2020</t>
        </is>
      </c>
      <c r="N171" s="11" t="inlineStr">
        <is>
          <t>Where an APRA-regulated entity's information assets are managed by a third party, the requirements in this Prudential Standard will apply in relation to those information assets from the earlier of the next renewal date of the contract with the third party or 1 July 2020.</t>
        </is>
      </c>
      <c r="O171" s="12" t="inlineStr">
        <is>
          <t>Open PDF</t>
        </is>
      </c>
    </row>
    <row r="172">
      <c r="A172" t="inlineStr">
        <is>
          <t>Australia</t>
        </is>
      </c>
      <c r="B172" t="inlineStr">
        <is>
          <t>cps_234_july_2019_for_public_release (Australia - Row 6)</t>
        </is>
      </c>
      <c r="C172" t="inlineStr">
        <is>
          <t>7</t>
        </is>
      </c>
      <c r="D172" s="11" t="inlineStr">
        <is>
          <t>Definition usage in standard</t>
        </is>
      </c>
      <c r="E172" t="inlineStr">
        <is>
          <t>3</t>
        </is>
      </c>
      <c r="F172" t="inlineStr">
        <is>
          <t>High</t>
        </is>
      </c>
      <c r="G172" t="inlineStr">
        <is>
          <t>High (explicit)</t>
        </is>
      </c>
      <c r="H172" s="11" t="inlineStr">
        <is>
          <t>Governance</t>
        </is>
      </c>
      <c r="I172" s="11" t="inlineStr"/>
      <c r="J172" t="inlineStr">
        <is>
          <t>APRA</t>
        </is>
      </c>
      <c r="K172" s="11" t="inlineStr">
        <is>
          <t>This section states that terms defined in other Prudential Standards (APS 001, GPS 001, LPS 001, HPS 001, 3PS 001) appear in bold for the first time they are used in this Prudential Standard. This ensures consistency in terminology across regulatory documents.</t>
        </is>
      </c>
      <c r="L172" s="11" t="inlineStr"/>
      <c r="M172" s="11" t="inlineStr">
        <is>
          <t>• [Must] Terms that are defined in Prudential Standard APS 001 Definitions (APS 001), Prudential Standard GPS 001 Definitions (GPS 001), Prudential Standard LPS 001 Definitions, Prudential Standard HPS 001 Definitions or Prudential Standard 3PS 001 Definitions appear in bold the first time they are used in this Prudential Standard</t>
        </is>
      </c>
      <c r="N172" s="11" t="inlineStr">
        <is>
          <t>Terms that are defined in Prudential Standard APS 001 Definitions (APS 001), Prudential Standard GPS 001 Definitions (GPS 001), Prudential Standard LPS 001 Definitions, Prudential Standard HPS 001 Definitions or Prudential Standard 3PS 001 Definitions appear in bold the first time they are used in this Prudential Standard.</t>
        </is>
      </c>
      <c r="O172" s="12" t="inlineStr">
        <is>
          <t>Open PDF</t>
        </is>
      </c>
    </row>
    <row r="173">
      <c r="A173" t="inlineStr">
        <is>
          <t>Australia</t>
        </is>
      </c>
      <c r="B173" t="inlineStr">
        <is>
          <t>cps_234_july_2019_for_public_release (Australia - Row 6)</t>
        </is>
      </c>
      <c r="C173" t="inlineStr">
        <is>
          <t>8</t>
        </is>
      </c>
      <c r="D173" s="11" t="inlineStr">
        <is>
          <t>Reference to Acts and Standards</t>
        </is>
      </c>
      <c r="E173" t="inlineStr">
        <is>
          <t>3</t>
        </is>
      </c>
      <c r="F173" t="inlineStr">
        <is>
          <t>None</t>
        </is>
      </c>
      <c r="G173" t="inlineStr">
        <is>
          <t>High (explicit)</t>
        </is>
      </c>
      <c r="H173" s="11" t="inlineStr"/>
      <c r="I173" s="11" t="inlineStr"/>
      <c r="J173" t="inlineStr"/>
      <c r="K173" s="11" t="inlineStr">
        <is>
          <t>This section clarifies that references to Acts, Regulations, or Prudential Standards within the standard refer to the current in-force versions. It establishes the temporal scope for such references without specifying any particular version or amendment.</t>
        </is>
      </c>
      <c r="L173" s="11" t="inlineStr"/>
      <c r="M173" s="11" t="inlineStr">
        <is>
          <t>• [Definition] References to Acts, Regulations, or Prudential Standards refer to the current in-force versions</t>
        </is>
      </c>
      <c r="N173" s="11" t="inlineStr">
        <is>
          <t>In this Prudential Standard, unless the contrary intention appears, a reference to an Act, Regulation or Prudential Standard is a reference to the Act, Regulation or Prudential Standard as in force from time to time.</t>
        </is>
      </c>
      <c r="O173" s="12" t="inlineStr">
        <is>
          <t>Open PDF</t>
        </is>
      </c>
    </row>
    <row r="174">
      <c r="A174" t="inlineStr">
        <is>
          <t>Australia</t>
        </is>
      </c>
      <c r="B174" t="inlineStr">
        <is>
          <t>cps_234_july_2019_for_public_release (Australia - Row 6)</t>
        </is>
      </c>
      <c r="C174" t="inlineStr">
        <is>
          <t>10</t>
        </is>
      </c>
      <c r="D174" s="11" t="inlineStr">
        <is>
          <t>Group and Head Definitions</t>
        </is>
      </c>
      <c r="E174" t="inlineStr">
        <is>
          <t>3–4</t>
        </is>
      </c>
      <c r="F174" t="inlineStr">
        <is>
          <t>None</t>
        </is>
      </c>
      <c r="G174" t="inlineStr">
        <is>
          <t>High (explicit)</t>
        </is>
      </c>
      <c r="H174" s="11" t="inlineStr"/>
      <c r="I174" s="11" t="inlineStr"/>
      <c r="J174" t="inlineStr"/>
      <c r="K174" s="11" t="inlineStr">
        <is>
          <t>This section defines key terms such as 'group', 'Head of a group', 'Level 2 group', and 'Level 2 Head' to clarify the organizational structure and leadership roles within APRA-regulated entities. These definitions are critical for understanding the scope of regulatory oversight and responsibilities.</t>
        </is>
      </c>
      <c r="L174" s="11" t="inlineStr"/>
      <c r="M174" s="11" t="inlineStr">
        <is>
          <t>• [Definition] ‘group' means a Level 2 group or a Level 3 group, as relevant
• [Definition] ‘Head of a group' means a Level 2 Head or Level 3 Head, as relevant
• [Definition] ‘Level 2 group' means the entities that comprise: (a) Level 2 as defined in APS 001; or (b) a Level 2 insurance group as defined in GPS 001
• [Definition] ‘Level 2 Head' means: (a) where an ADI that is a member of a Level 2 group is not a subsidiary of an authorised banking NOHC or another ADI, that ADI; (b) where an ADI that is a member of a Level 2 group is a subsidiary of an authorised banking NOHC, that authorised banking NOHC; or (c) the parent entity of a Level 2 insurance group as defined in…</t>
        </is>
      </c>
      <c r="N174" s="11" t="inlineStr">
        <is>
          <t>For the purposes of this Prudential Standard: ‘group' means a Level 2 group or a Level 3 group, as relevant; ‘Head of a group' means a Level 2 Head or Level 3 Head, as relevant; ‘Level 2 group' means the entities that comprise: (a) Level 2 as defined in APS 001; or (b) a Level 2 insurance group as defined in GPS 001; ‘Level 2 Head' means: (a) where an ADI that is a member of a Level 2 group is not a subsidiary of an authorised banking NOHC or another ADI, that ADI; (b) where an ADI that is a member of a Level 2 group is a subsidiary of an authorised banking NOHC, that authorised banking NOHC; or (c) the parent entity of a Level 2 insurance group as defined in GPS 001.</t>
        </is>
      </c>
      <c r="O174" s="12" t="inlineStr">
        <is>
          <t>Open PDF</t>
        </is>
      </c>
    </row>
    <row r="175">
      <c r="A175" t="inlineStr">
        <is>
          <t>Australia</t>
        </is>
      </c>
      <c r="B175" t="inlineStr">
        <is>
          <t>cps_234_july_2019_for_public_release (Australia - Row 6)</t>
        </is>
      </c>
      <c r="C175" t="inlineStr">
        <is>
          <t>12</t>
        </is>
      </c>
      <c r="D175" s="11" t="inlineStr">
        <is>
          <t>Information Security Definitions</t>
        </is>
      </c>
      <c r="E175" t="inlineStr">
        <is>
          <t>4–5</t>
        </is>
      </c>
      <c r="F175" t="inlineStr">
        <is>
          <t>None</t>
        </is>
      </c>
      <c r="G175" t="inlineStr">
        <is>
          <t>High (explicit)</t>
        </is>
      </c>
      <c r="H175" s="11" t="inlineStr"/>
      <c r="I175" s="11" t="inlineStr"/>
      <c r="J175" t="inlineStr"/>
      <c r="K175" s="11" t="inlineStr">
        <is>
          <t>This section provides detailed definitions for information security terms such as availability, confidentiality, criticality, information assets, information security, information security capability, information security controls, information security incidents, information security policy frameworks, information security threats, information security vulnerabilities, integrity, and sensitivity. These definitions are foundational for implementing information security measures.</t>
        </is>
      </c>
      <c r="L175" s="11" t="inlineStr"/>
      <c r="M175" s="11" t="inlineStr">
        <is>
          <t>• [Definition] availability refers to accessibility and usability when required
• [Definition] confidentiality refers to access being restricted only to those authorised
• [Definition] criticality refers to the potential impact of a loss of availability
• [Definition] information asset means information and information technology, including software, hardware and data (both soft and hard copy)
• [Definition] information security means the preservation of an information asset's confidentiality, integrity and availability
• [Definition] information security capability means the totality of resources, skills and controls which provide the ability and capacity to maintain information security
• [Definition] information security control means a prevention, detection or response measure to reduce the likelihood or impact of an information security incident
• [Definition] information security incident means an actual or potential compromise of information security
• [Definition] information security policy framework means the totality of policies, standards, guidelines and procedures pertaining to information security
• [Definition] information security threat (threat) is a circumstance or event that has the potential to exploit an information security vulnerability
• [Definition] information security vulnerability (vulnerability) is a weakness in an information asset or information security control that could be exploited to compromise information security
• [Definition] integrity refers to completeness, accuracy and freedom from unauthorised change or usage
• [Definition] sensitivity means the potential impact of a loss of confidentiality or integrity</t>
        </is>
      </c>
      <c r="N175" s="11" t="inlineStr">
        <is>
          <t>The following definitions are used in this Prudential Standard: (a) availability refers to accessibility and usability when required; (b) confidentiality refers to access being restricted only to those authorised; (c) criticality refers to the potential impact of a loss of availability; (d) information asset means information and information technology, including software, hardware and data (both soft and hard copy); (e) information security means the preservation of an information asset's confidentiality, integrity and availability; (f) information security capability means the totality of resources, skills and controls which provide the ability and capacity to maintain information security; (g) information security control means a prevention, detection or response measure to reduce the likelihood or impact of an information security incident; (h) information security incident means an actual or potential compromise of information security; (i) information security policy framework means the totality of policies, standards, guidelines and procedures pertaining to information security; (j) information security threat (threat) is a circumstance or event that has the potential to exploit an information security vulnerability; (k) information security vulnerability (vulnerability) is a weakness in an information asset or information security control that could be exploited to compromise information security; (l) integrity refers to completeness, accuracy and freedom from unauthorised change or usage; and (m) sensitivity means the potential impact of a loss of confidentiality or integrity.</t>
        </is>
      </c>
      <c r="O175" s="12" t="inlineStr">
        <is>
          <t>Open PDF</t>
        </is>
      </c>
    </row>
    <row r="176">
      <c r="A176" t="inlineStr">
        <is>
          <t>Australia</t>
        </is>
      </c>
      <c r="B176" t="inlineStr">
        <is>
          <t>cps_234_july_2019_for_public_release (Australia - Row 6)</t>
        </is>
      </c>
      <c r="C176" t="inlineStr">
        <is>
          <t>13</t>
        </is>
      </c>
      <c r="D176" s="11" t="inlineStr">
        <is>
          <t>Board Responsibility for Information Security</t>
        </is>
      </c>
      <c r="E176" t="inlineStr">
        <is>
          <t>5</t>
        </is>
      </c>
      <c r="F176" t="inlineStr">
        <is>
          <t>None</t>
        </is>
      </c>
      <c r="G176" t="inlineStr">
        <is>
          <t>High (explicit)</t>
        </is>
      </c>
      <c r="H176" s="11" t="inlineStr">
        <is>
          <t>Governance</t>
        </is>
      </c>
      <c r="I176" s="11" t="inlineStr"/>
      <c r="J176" t="inlineStr">
        <is>
          <t>APRA</t>
        </is>
      </c>
      <c r="K176" s="11" t="inlineStr">
        <is>
          <t>This section mandates that the Board of an APRA-regulated entity is ultimately responsible for the information security of the entity. The Board must ensure that information security measures are commensurate with the size and extent of threats to information assets and support the continued sound operation of the entity.</t>
        </is>
      </c>
      <c r="L176" s="11" t="inlineStr"/>
      <c r="M176" s="11" t="inlineStr">
        <is>
          <t>• [Must] The Board of an APRA-regulated entity is ultimately responsible for the information security of the entity
• [Must] The Board must ensure that the entity maintains information security in a manner commensurate with the size and extent of threats to its information assets
• [Must] The Board must ensure that the entity maintains information security which enables the continued sound operation of the entity</t>
        </is>
      </c>
      <c r="N176" s="11" t="inlineStr">
        <is>
          <t>The Board4 of an APRA-regulated entity (Board) is ultimately responsible for the information security of the entity. The Board must ensure that the entity maintains information security in a manner commensurate with the size and extent of threats to its information assets, and which enables the continued sound operation of the entity.</t>
        </is>
      </c>
      <c r="O176" s="12" t="inlineStr">
        <is>
          <t>Open PDF</t>
        </is>
      </c>
    </row>
    <row r="177">
      <c r="A177" t="inlineStr">
        <is>
          <t>Australia</t>
        </is>
      </c>
      <c r="B177" t="inlineStr">
        <is>
          <t>cps_234_july_2019_for_public_release (Australia - Row 6)</t>
        </is>
      </c>
      <c r="C177" t="inlineStr">
        <is>
          <t>14</t>
        </is>
      </c>
      <c r="D177" s="11" t="inlineStr">
        <is>
          <t>Definition of Information Security Roles</t>
        </is>
      </c>
      <c r="E177" t="inlineStr">
        <is>
          <t>5</t>
        </is>
      </c>
      <c r="F177" t="inlineStr">
        <is>
          <t>None</t>
        </is>
      </c>
      <c r="G177" t="inlineStr">
        <is>
          <t>High (explicit)</t>
        </is>
      </c>
      <c r="H177" s="11" t="inlineStr">
        <is>
          <t>Governance</t>
        </is>
      </c>
      <c r="I177" s="11" t="inlineStr"/>
      <c r="J177" t="inlineStr">
        <is>
          <t>APRA</t>
        </is>
      </c>
      <c r="K177" s="11" t="inlineStr">
        <is>
          <t>This section requires APRA-regulated entities to clearly define the information security-related roles and responsibilities of the Board, senior management, governing bodies, and individuals with decision-making authority. This includes oversight, approval, operations, and other information security functions.</t>
        </is>
      </c>
      <c r="L177" s="11" t="inlineStr"/>
      <c r="M177" s="11" t="inlineStr">
        <is>
          <t>• [Must] An APRA-regulated entity must clearly define the information security-related roles and responsibilities of the Board, senior management, governing bodies and individuals with responsibility for decision-making
• [Must] An APRA-regulated entity must clearly define the information security-related roles and responsibilities for approval, oversight, operations and other information security functions</t>
        </is>
      </c>
      <c r="N177" s="11" t="inlineStr">
        <is>
          <t>An APRA-regulated entity must clearly define the information security-related roles and responsibilities of the Board, senior management, governing bodies and individuals with responsibility for decision-making, approval, oversight, operations and other information security functions.</t>
        </is>
      </c>
      <c r="O177" s="12" t="inlineStr">
        <is>
          <t>Open PDF</t>
        </is>
      </c>
    </row>
    <row r="178">
      <c r="A178" t="inlineStr">
        <is>
          <t>Australia</t>
        </is>
      </c>
      <c r="B178" t="inlineStr">
        <is>
          <t>cps_234_july_2019_for_public_release (Australia - Row 6)</t>
        </is>
      </c>
      <c r="C178" t="inlineStr">
        <is>
          <t>15</t>
        </is>
      </c>
      <c r="D178" s="11" t="inlineStr">
        <is>
          <t>Information Security Capability Maintenance</t>
        </is>
      </c>
      <c r="E178" t="inlineStr">
        <is>
          <t>5</t>
        </is>
      </c>
      <c r="F178" t="inlineStr">
        <is>
          <t>None</t>
        </is>
      </c>
      <c r="G178" t="inlineStr">
        <is>
          <t>High (explicit)</t>
        </is>
      </c>
      <c r="H178" s="11" t="inlineStr">
        <is>
          <t>Security</t>
        </is>
      </c>
      <c r="I178" s="11" t="inlineStr"/>
      <c r="J178" t="inlineStr">
        <is>
          <t>APRA</t>
        </is>
      </c>
      <c r="K178" s="11" t="inlineStr">
        <is>
          <t>This section requires APRA-regulated entities to maintain an information security capability that is commensurate with the size and extent of threats to their information assets and supports the continued sound operation of the entity. This capability must be sufficient to address evolving risks.</t>
        </is>
      </c>
      <c r="L178" s="11" t="inlineStr"/>
      <c r="M178" s="11" t="inlineStr">
        <is>
          <t>• [Must] An APRA-regulated entity must maintain an information security capability commensurate with the size and extent of threats to its information assets
• [Must] An APRA-regulated entity must maintain an information security capability which enables the continued sound operation of the entity</t>
        </is>
      </c>
      <c r="N178" s="11" t="inlineStr">
        <is>
          <t>An APRA-regulated entity must maintain an information security capability commensurate with the size and extent of threats to its information assets, and which enables the continued sound operation of the entity.</t>
        </is>
      </c>
      <c r="O178" s="12" t="inlineStr">
        <is>
          <t>Open PDF</t>
        </is>
      </c>
    </row>
    <row r="179">
      <c r="A179" t="inlineStr">
        <is>
          <t>Australia</t>
        </is>
      </c>
      <c r="B179" t="inlineStr">
        <is>
          <t>cps_234_july_2019_for_public_release (Australia - Row 6)</t>
        </is>
      </c>
      <c r="C179" t="inlineStr">
        <is>
          <t>16</t>
        </is>
      </c>
      <c r="D179" s="11" t="inlineStr">
        <is>
          <t>Assess information security capability of related parties and third parties</t>
        </is>
      </c>
      <c r="E179" t="inlineStr">
        <is>
          <t>5</t>
        </is>
      </c>
      <c r="F179" t="inlineStr">
        <is>
          <t>High</t>
        </is>
      </c>
      <c r="G179" t="inlineStr">
        <is>
          <t>High (explicit)</t>
        </is>
      </c>
      <c r="H179" s="11" t="inlineStr">
        <is>
          <t>Security, Third Party Processing</t>
        </is>
      </c>
      <c r="I179" s="11" t="inlineStr">
        <is>
          <t>Personal Information</t>
        </is>
      </c>
      <c r="J179" t="inlineStr">
        <is>
          <t>APRA</t>
        </is>
      </c>
      <c r="K179" s="11" t="inlineStr">
        <is>
          <t>APRA-regulated entities must evaluate the information security capabilities of related parties and third parties managing their information assets. This assessment must consider the potential impact of security incidents on those assets. The requirement applies to all information assets handled by external parties, not just outsourced activities.</t>
        </is>
      </c>
      <c r="L179" s="11" t="inlineStr">
        <is>
          <t>This section requires assessing third-party security capabilities before transferring data, directly impacting DTIA by mandating risk-based evaluations of external data handlers.</t>
        </is>
      </c>
      <c r="M179" s="11" t="inlineStr">
        <is>
          <t>• [Must] APRA-regulated entity must assess information security capability of related parties and third parties managing information assets
• [Must] Assessment must be commensurate with potential consequences of security incidents affecting those assets</t>
        </is>
      </c>
      <c r="N179" s="11" t="inlineStr">
        <is>
          <t>Where information assets are managed by a related party or third party, the APRA-regulated entity must assess the information security capability of that party, commensurate with the potential consequences of an information security incident affecting those assets.</t>
        </is>
      </c>
      <c r="O179" s="12" t="inlineStr">
        <is>
          <t>Open PDF</t>
        </is>
      </c>
    </row>
    <row r="180">
      <c r="A180" t="inlineStr">
        <is>
          <t>Australia</t>
        </is>
      </c>
      <c r="B180" t="inlineStr">
        <is>
          <t>cps_234_july_2019_for_public_release (Australia - Row 6)</t>
        </is>
      </c>
      <c r="C180" t="inlineStr">
        <is>
          <t>17</t>
        </is>
      </c>
      <c r="D180" s="11" t="inlineStr">
        <is>
          <t>Maintain information security capability through threat monitoring</t>
        </is>
      </c>
      <c r="E180" t="inlineStr">
        <is>
          <t>5</t>
        </is>
      </c>
      <c r="F180" t="inlineStr">
        <is>
          <t>High</t>
        </is>
      </c>
      <c r="G180" t="inlineStr">
        <is>
          <t>High (explicit)</t>
        </is>
      </c>
      <c r="H180" s="11" t="inlineStr">
        <is>
          <t>Security</t>
        </is>
      </c>
      <c r="I180" s="11" t="inlineStr">
        <is>
          <t>Personal Information</t>
        </is>
      </c>
      <c r="J180" t="inlineStr">
        <is>
          <t>APRA</t>
        </is>
      </c>
      <c r="K180" s="11" t="inlineStr">
        <is>
          <t>APRA-regulated entities must continuously update their information security capabilities to address evolving vulnerabilities and threats. This includes adapting to changes in information assets or business environments. The requirement emphasizes active maintenance rather than static security measures.</t>
        </is>
      </c>
      <c r="L180" s="11" t="inlineStr">
        <is>
          <t>This section mandates ongoing security updates, critical for DTIA as it requires continuous risk assessment and adaptation to changing threats when handling cross-border data.</t>
        </is>
      </c>
      <c r="M180" s="11" t="inlineStr">
        <is>
          <t>• [Must] APRA-regulated entity must actively maintain information security capability with respect to changes in vulnerabilities and threats
• [Must] This includes threats resulting from changes to information assets or business environment</t>
        </is>
      </c>
      <c r="N180" s="11" t="inlineStr">
        <is>
          <t>An APRA-regulated entity must actively maintain its information security capability with respect to changes in vulnerabilities and threats, including those resulting from changes to information assets or its business environment.</t>
        </is>
      </c>
      <c r="O180" s="12" t="inlineStr">
        <is>
          <t>Open PDF</t>
        </is>
      </c>
    </row>
    <row r="181">
      <c r="A181" t="inlineStr">
        <is>
          <t>Australia</t>
        </is>
      </c>
      <c r="B181" t="inlineStr">
        <is>
          <t>cps_234_july_2019_for_public_release (Australia - Row 6)</t>
        </is>
      </c>
      <c r="C181" t="inlineStr">
        <is>
          <t>18</t>
        </is>
      </c>
      <c r="D181" s="11" t="inlineStr">
        <is>
          <t>Maintain information security policy framework</t>
        </is>
      </c>
      <c r="E181" t="inlineStr">
        <is>
          <t>5</t>
        </is>
      </c>
      <c r="F181" t="inlineStr">
        <is>
          <t>High</t>
        </is>
      </c>
      <c r="G181" t="inlineStr">
        <is>
          <t>High (explicit)</t>
        </is>
      </c>
      <c r="H181" s="11" t="inlineStr">
        <is>
          <t>Security</t>
        </is>
      </c>
      <c r="I181" s="11" t="inlineStr">
        <is>
          <t>Personal Information</t>
        </is>
      </c>
      <c r="J181" t="inlineStr">
        <is>
          <t>APRA</t>
        </is>
      </c>
      <c r="K181" s="11" t="inlineStr">
        <is>
          <t>APRA-regulated entities must maintain an information security policy framework that matches their exposure to vulnerabilities and threats. This framework must be tailored to the specific risks the entity faces, ensuring appropriate security measures are in place.</t>
        </is>
      </c>
      <c r="L181" s="11" t="inlineStr">
        <is>
          <t>This section requires a risk-based security policy framework, directly relevant to DTIA as it mandates alignment between security policies and potential data transfer risks.</t>
        </is>
      </c>
      <c r="M181" s="11" t="inlineStr">
        <is>
          <t>• [Must] APRA-regulated entity must maintain an information security policy framework
• [Must] Framework must be commensurate with exposures to vulnerabilities and threats</t>
        </is>
      </c>
      <c r="N181" s="11" t="inlineStr">
        <is>
          <t>An APRA-regulated entity must maintain an information security policy framework commensurate with its exposures to vulnerabilities and threats.</t>
        </is>
      </c>
      <c r="O181" s="12" t="inlineStr">
        <is>
          <t>Open PDF</t>
        </is>
      </c>
    </row>
    <row r="182">
      <c r="A182" t="inlineStr">
        <is>
          <t>Australia</t>
        </is>
      </c>
      <c r="B182" t="inlineStr">
        <is>
          <t>cps_234_july_2019_for_public_release (Australia - Row 6)</t>
        </is>
      </c>
      <c r="C182" t="inlineStr">
        <is>
          <t>19</t>
        </is>
      </c>
      <c r="D182" s="11" t="inlineStr">
        <is>
          <t>Define information security responsibilities for all parties</t>
        </is>
      </c>
      <c r="E182" t="inlineStr">
        <is>
          <t>5–6</t>
        </is>
      </c>
      <c r="F182" t="inlineStr">
        <is>
          <t>High</t>
        </is>
      </c>
      <c r="G182" t="inlineStr">
        <is>
          <t>High (explicit)</t>
        </is>
      </c>
      <c r="H182" s="11" t="inlineStr">
        <is>
          <t>Security, Third Party Processing</t>
        </is>
      </c>
      <c r="I182" s="11" t="inlineStr">
        <is>
          <t>Personal Information</t>
        </is>
      </c>
      <c r="J182" t="inlineStr">
        <is>
          <t>APRA</t>
        </is>
      </c>
      <c r="K182" s="11" t="inlineStr">
        <is>
          <t>APRA-regulated entities must ensure their information security policy framework specifies responsibilities for all parties obligated to maintain information security. This includes staff, contractors, related parties, third parties, and customers, ensuring comprehensive accountability.</t>
        </is>
      </c>
      <c r="L182" s="11" t="inlineStr">
        <is>
          <t>This section clarifies responsibility allocation for third parties, critical for DTIA as it defines who is accountable for data security when transferring information across borders.</t>
        </is>
      </c>
      <c r="M182" s="11" t="inlineStr">
        <is>
          <t>• [Must] Information security policy framework must provide direction on responsibilities of all parties with obligation to maintain information security</t>
        </is>
      </c>
      <c r="N182" s="11" t="inlineStr">
        <is>
          <t>An APRA-regulated entity's information security policy framework must provide direction on the responsibilities of all parties who have an obligation to maintain information security.</t>
        </is>
      </c>
      <c r="O182" s="12" t="inlineStr">
        <is>
          <t>Open PDF</t>
        </is>
      </c>
    </row>
    <row r="183">
      <c r="A183" t="inlineStr">
        <is>
          <t>Australia</t>
        </is>
      </c>
      <c r="B183" t="inlineStr">
        <is>
          <t>cps_234_july_2019_for_public_release (Australia - Row 6)</t>
        </is>
      </c>
      <c r="C183" t="inlineStr">
        <is>
          <t>20</t>
        </is>
      </c>
      <c r="D183" s="11" t="inlineStr">
        <is>
          <t>Classify information assets by criticality and sensitivity</t>
        </is>
      </c>
      <c r="E183" t="inlineStr">
        <is>
          <t>6</t>
        </is>
      </c>
      <c r="F183" t="inlineStr">
        <is>
          <t>High</t>
        </is>
      </c>
      <c r="G183" t="inlineStr">
        <is>
          <t>High (explicit)</t>
        </is>
      </c>
      <c r="H183" s="11" t="inlineStr">
        <is>
          <t>Security</t>
        </is>
      </c>
      <c r="I183" s="11" t="inlineStr">
        <is>
          <t>Personal Information</t>
        </is>
      </c>
      <c r="J183" t="inlineStr">
        <is>
          <t>APRA</t>
        </is>
      </c>
      <c r="K183" s="11" t="inlineStr">
        <is>
          <t>APRA-regulated entities must classify their information assets based on criticality and sensitivity, reflecting the potential financial or non-financial impact of security incidents. This classification includes assets managed by related parties and third parties, ensuring appropriate security measures are applied.</t>
        </is>
      </c>
      <c r="L183" s="11" t="inlineStr">
        <is>
          <t>This section requires data classification for DTIA, as it mandates assessing the impact of security incidents on financial and customer interests when transferring data internationally.</t>
        </is>
      </c>
      <c r="M183" s="11" t="inlineStr">
        <is>
          <t>• [Must] APRA-regulated entity must classify information assets by criticality and sensitivity
• [Must] Classification must reflect potential financial or non-financial impact of security incidents on entity or customers</t>
        </is>
      </c>
      <c r="N183" s="11" t="inlineStr">
        <is>
          <t>An APRA-regulated entity must classify its information assets, including those managed by related parties and third parties, by criticality and sensitivity. This classification must reflect the degree to which an information security incident affecting an information asset has the potential to affect, financially or non-financially, the entity or the interests of depositors, policyholders, beneficiaries or other customers.</t>
        </is>
      </c>
      <c r="O183" s="12" t="inlineStr">
        <is>
          <t>Open PDF</t>
        </is>
      </c>
    </row>
    <row r="184">
      <c r="A184" t="inlineStr">
        <is>
          <t>Australia</t>
        </is>
      </c>
      <c r="B184" t="inlineStr">
        <is>
          <t>cps_234_july_2019_for_public_release (Australia - Row 6)</t>
        </is>
      </c>
      <c r="C184" t="inlineStr">
        <is>
          <t>21</t>
        </is>
      </c>
      <c r="D184" s="11" t="inlineStr">
        <is>
          <t>Implement security controls commensurate with risk</t>
        </is>
      </c>
      <c r="E184" t="inlineStr">
        <is>
          <t>6</t>
        </is>
      </c>
      <c r="F184" t="inlineStr">
        <is>
          <t>High</t>
        </is>
      </c>
      <c r="G184" t="inlineStr">
        <is>
          <t>High (explicit)</t>
        </is>
      </c>
      <c r="H184" s="11" t="inlineStr">
        <is>
          <t>Security</t>
        </is>
      </c>
      <c r="I184" s="11" t="inlineStr">
        <is>
          <t>Personal Information</t>
        </is>
      </c>
      <c r="J184" t="inlineStr">
        <is>
          <t>APRA</t>
        </is>
      </c>
      <c r="K184" s="11" t="inlineStr">
        <is>
          <t>APRA-regulated entities must implement information security controls that are timely and proportionate to vulnerabilities, threats, asset criticality, sensitivity, life-cycle stage, and potential incident consequences. These controls must protect information assets managed by related parties and third parties.</t>
        </is>
      </c>
      <c r="L184" s="11" t="inlineStr">
        <is>
          <t>This section requires risk-based security controls for DTIA, ensuring that data transfers are protected by measures proportional to the potential impact on financial stakeholders.</t>
        </is>
      </c>
      <c r="M184" s="11" t="inlineStr">
        <is>
          <t>• [Must] APRA-regulated entity must have information security controls to protect information assets
• [Must] Controls must be implemented in a timely manner
• [Must] Controls must be commensurate with vulnerabilities and threats to information assets
• [Must] Controls must be commensurate with criticality and sensitivity of information assets
• [Must] Controls must be commensurate with stage of information assets within their life-cycle
• [Must] Controls must be commensurate with potential consequences of information security incidents</t>
        </is>
      </c>
      <c r="N184" s="11" t="inlineStr">
        <is>
          <t>An APRA-regulated entity must have information security controls to protect its information assets, including those managed by related parties and third parties, that are implemented in a timely manner and that are commensurate with: (a) vulnerabilities and threats to the information assets; (b) the criticality and sensitivity of the information assets; (c) the stage at which the information assets are within their life-cycle; and (d) the potential consequences of an information security incident.</t>
        </is>
      </c>
      <c r="O184" s="12" t="inlineStr">
        <is>
          <t>Open PDF</t>
        </is>
      </c>
    </row>
    <row r="185">
      <c r="A185" t="inlineStr">
        <is>
          <t>Australia</t>
        </is>
      </c>
      <c r="B185" t="inlineStr">
        <is>
          <t>cps_234_july_2019_for_public_release (Australia - Row 6)</t>
        </is>
      </c>
      <c r="C185" t="inlineStr">
        <is>
          <t>22</t>
        </is>
      </c>
      <c r="D185" s="11" t="inlineStr">
        <is>
          <t>Information security controls for related parties</t>
        </is>
      </c>
      <c r="E185" t="inlineStr">
        <is>
          <t>6</t>
        </is>
      </c>
      <c r="F185" t="inlineStr">
        <is>
          <t>High</t>
        </is>
      </c>
      <c r="G185" t="inlineStr">
        <is>
          <t>High (explicit)</t>
        </is>
      </c>
      <c r="H185" s="11" t="inlineStr">
        <is>
          <t>Security, Third Party Processing</t>
        </is>
      </c>
      <c r="I185" s="11" t="inlineStr">
        <is>
          <t>Personal Information</t>
        </is>
      </c>
      <c r="J185" t="inlineStr">
        <is>
          <t>APRA</t>
        </is>
      </c>
      <c r="K185" s="11" t="inlineStr">
        <is>
          <t>APRA-regulated entities must evaluate the design of information security controls managed by related parties or third parties that protect their information assets. This applies to all information assets handled by such parties, including those under outsourcing agreements. The evaluation ensures adequate protection mechanisms are in place for sensitive data.</t>
        </is>
      </c>
      <c r="L185" s="11" t="inlineStr">
        <is>
          <t>Requires assessment of third-party security controls before data transfers involving related entities, critical for DTIA to verify cross-border data protection adequacy.</t>
        </is>
      </c>
      <c r="M185" s="11" t="inlineStr">
        <is>
          <t>• [Must] APRA-regulated entity must evaluate design of information security controls protecting its information assets managed by related parties or third parties</t>
        </is>
      </c>
      <c r="N185" s="11" t="inlineStr">
        <is>
          <t>Where an APRA-regulated entity's information assets are managed by a related party or third party, the APRA-regulated entity must evaluate the design of that party's information security controls that protects the information assets of the APRA-regulated entity.</t>
        </is>
      </c>
      <c r="O185" s="12" t="inlineStr">
        <is>
          <t>Open PDF</t>
        </is>
      </c>
    </row>
    <row r="186">
      <c r="A186" t="inlineStr">
        <is>
          <t>Australia</t>
        </is>
      </c>
      <c r="B186" t="inlineStr">
        <is>
          <t>cps_234_july_2019_for_public_release (Australia - Row 6)</t>
        </is>
      </c>
      <c r="C186" t="inlineStr">
        <is>
          <t>23</t>
        </is>
      </c>
      <c r="D186" s="11" t="inlineStr">
        <is>
          <t>Timely incident detection and response mechanisms</t>
        </is>
      </c>
      <c r="E186" t="inlineStr">
        <is>
          <t>6</t>
        </is>
      </c>
      <c r="F186" t="inlineStr">
        <is>
          <t>High</t>
        </is>
      </c>
      <c r="G186" t="inlineStr">
        <is>
          <t>High (explicit)</t>
        </is>
      </c>
      <c r="H186" s="11" t="inlineStr">
        <is>
          <t>Security, Incident Reporting, Breach Notification</t>
        </is>
      </c>
      <c r="I186" s="11" t="inlineStr">
        <is>
          <t>Personal Information</t>
        </is>
      </c>
      <c r="J186" t="inlineStr">
        <is>
          <t>APRA</t>
        </is>
      </c>
      <c r="K186" s="11" t="inlineStr">
        <is>
          <t>APRA-regulated entities must establish robust mechanisms to detect and respond to information security incidents promptly. This ensures rapid containment and mitigation of potential breaches, minimizing financial and operational impacts on the entity.</t>
        </is>
      </c>
      <c r="L186" s="11" t="inlineStr">
        <is>
          <t>Mandates real-time incident response capabilities, crucial for DTIA to assess timely breach containment during cross-border data transfers.</t>
        </is>
      </c>
      <c r="M186" s="11" t="inlineStr">
        <is>
          <t>• [Must] APRA-regulated entity must have robust mechanisms to detect and respond to information security incidents in a timely manner</t>
        </is>
      </c>
      <c r="N186" s="11" t="inlineStr">
        <is>
          <t>An APRA-regulated entity must have robust mechanisms in place to detect and respond to information security incidents in a timely manner.</t>
        </is>
      </c>
      <c r="O186" s="12" t="inlineStr">
        <is>
          <t>Open PDF</t>
        </is>
      </c>
    </row>
    <row r="187">
      <c r="A187" t="inlineStr">
        <is>
          <t>Australia</t>
        </is>
      </c>
      <c r="B187" t="inlineStr">
        <is>
          <t>cps_234_july_2019_for_public_release (Australia - Row 6)</t>
        </is>
      </c>
      <c r="C187" t="inlineStr">
        <is>
          <t>24</t>
        </is>
      </c>
      <c r="D187" s="11" t="inlineStr">
        <is>
          <t>Information security incident response plans</t>
        </is>
      </c>
      <c r="E187" t="inlineStr">
        <is>
          <t>6</t>
        </is>
      </c>
      <c r="F187" t="inlineStr">
        <is>
          <t>High</t>
        </is>
      </c>
      <c r="G187" t="inlineStr">
        <is>
          <t>High (explicit)</t>
        </is>
      </c>
      <c r="H187" s="11" t="inlineStr">
        <is>
          <t>Security, Incident Reporting, Breach Notification</t>
        </is>
      </c>
      <c r="I187" s="11" t="inlineStr">
        <is>
          <t>Personal Information</t>
        </is>
      </c>
      <c r="J187" t="inlineStr">
        <is>
          <t>APRA</t>
        </is>
      </c>
      <c r="K187" s="11" t="inlineStr">
        <is>
          <t>APRA-regulated entities must maintain detailed response plans for information security incidents that could plausibly occur. These plans must address potential threats and ensure readiness to mitigate risks effectively.</t>
        </is>
      </c>
      <c r="L187" s="11" t="inlineStr">
        <is>
          <t>Requires proactive planning for potential incidents, essential for DTIA to evaluate preparedness in cross-border data environments.</t>
        </is>
      </c>
      <c r="M187" s="11" t="inlineStr">
        <is>
          <t>• [Must] APRA-regulated entity must maintain plans to respond to information security incidents that the entity considers could plausibly occur</t>
        </is>
      </c>
      <c r="N187" s="11" t="inlineStr">
        <is>
          <t>An APRA-regulated entity must maintain plans to respond to information security incidents that the entity considers could plausibly occur (information security response plans).</t>
        </is>
      </c>
      <c r="O187" s="12" t="inlineStr">
        <is>
          <t>Open PDF</t>
        </is>
      </c>
    </row>
    <row r="188">
      <c r="A188" t="inlineStr">
        <is>
          <t>Australia</t>
        </is>
      </c>
      <c r="B188" t="inlineStr">
        <is>
          <t>cps_234_july_2019_for_public_release (Australia - Row 6)</t>
        </is>
      </c>
      <c r="C188" t="inlineStr">
        <is>
          <t>25</t>
        </is>
      </c>
      <c r="D188" s="11" t="inlineStr">
        <is>
          <t>Incident response plan components</t>
        </is>
      </c>
      <c r="E188" t="inlineStr">
        <is>
          <t>6–7</t>
        </is>
      </c>
      <c r="F188" t="inlineStr">
        <is>
          <t>High</t>
        </is>
      </c>
      <c r="G188" t="inlineStr">
        <is>
          <t>High (explicit)</t>
        </is>
      </c>
      <c r="H188" s="11" t="inlineStr">
        <is>
          <t>Security, Incident Reporting, Breach Notification</t>
        </is>
      </c>
      <c r="I188" s="11" t="inlineStr">
        <is>
          <t>Personal Information</t>
        </is>
      </c>
      <c r="J188" t="inlineStr">
        <is>
          <t>APRA</t>
        </is>
      </c>
      <c r="K188" s="11" t="inlineStr">
        <is>
          <t>APRA-regulated entities' incident response plans must include mechanisms for managing incident stages from detection to post-incident review and for escalating incidents to appropriate oversight bodies. This ensures comprehensive incident handling and accountability.</t>
        </is>
      </c>
      <c r="L188" s="11" t="inlineStr">
        <is>
          <t>Specifies detailed incident management requirements, critical for DTIA to assess thoroughness in cross-border data incident handling.</t>
        </is>
      </c>
      <c r="M188" s="11" t="inlineStr">
        <is>
          <t>• [Must] APRA-regulated entity's information security response plans must include mechanisms for managing all relevant stages of an incident from detection to post-incident review
• [Must] APRA-regulated entity's information security response plans must include mechanisms for escalation and reporting of information security incidents to the Board, other governing bodies and individuals responsible for information security incident management and oversight</t>
        </is>
      </c>
      <c r="N188" s="11" t="inlineStr">
        <is>
          <t>An APRA-regulated entity's information security response plans must include the mechanisms in place for: (a) managing all relevant stages of an incident, from detection to post-incident review; and (b) escalation and reporting of information security incidents to the Board, other governing bodies and individuals responsible for information security incident management and oversight, as appropriate.</t>
        </is>
      </c>
      <c r="O188" s="12" t="inlineStr">
        <is>
          <t>Open PDF</t>
        </is>
      </c>
    </row>
    <row r="189">
      <c r="A189" t="inlineStr">
        <is>
          <t>Australia</t>
        </is>
      </c>
      <c r="B189" t="inlineStr">
        <is>
          <t>cps_234_july_2019_for_public_release (Australia - Row 6)</t>
        </is>
      </c>
      <c r="C189" t="inlineStr">
        <is>
          <t>26</t>
        </is>
      </c>
      <c r="D189" s="11" t="inlineStr">
        <is>
          <t>Annual review and testing of response plans</t>
        </is>
      </c>
      <c r="E189" t="inlineStr">
        <is>
          <t>7</t>
        </is>
      </c>
      <c r="F189" t="inlineStr">
        <is>
          <t>High</t>
        </is>
      </c>
      <c r="G189" t="inlineStr">
        <is>
          <t>High (explicit)</t>
        </is>
      </c>
      <c r="H189" s="11" t="inlineStr">
        <is>
          <t>Security, Incident Reporting, Breach Notification</t>
        </is>
      </c>
      <c r="I189" s="11" t="inlineStr">
        <is>
          <t>Personal Information</t>
        </is>
      </c>
      <c r="J189" t="inlineStr">
        <is>
          <t>APRA</t>
        </is>
      </c>
      <c r="K189" s="11" t="inlineStr">
        <is>
          <t>APRA-regulated entities must annually review and test their information security response plans to ensure they remain effective and fit for purpose. This ongoing validation maintains the relevance and reliability of incident response capabilities.</t>
        </is>
      </c>
      <c r="L189" s="11" t="inlineStr">
        <is>
          <t>Mandates annual testing of incident response plans, vital for DTIA to confirm ongoing effectiveness in cross-border data scenarios.</t>
        </is>
      </c>
      <c r="M189" s="11" t="inlineStr">
        <is>
          <t>• [Must] APRA-regulated entity must annually review and test its information security response plans to ensure they remain effective and fit-for-purpose</t>
        </is>
      </c>
      <c r="N189" s="11" t="inlineStr">
        <is>
          <t>An APRA-regulated entity must annually review and test its information security response plans to ensure they remain effective and fit-for-purpose.</t>
        </is>
      </c>
      <c r="O189" s="12" t="inlineStr">
        <is>
          <t>Open PDF</t>
        </is>
      </c>
    </row>
    <row r="190">
      <c r="A190" t="inlineStr">
        <is>
          <t>Australia</t>
        </is>
      </c>
      <c r="B190" t="inlineStr">
        <is>
          <t>cps_234_july_2019_for_public_release (Australia - Row 6)</t>
        </is>
      </c>
      <c r="C190" t="inlineStr">
        <is>
          <t>27</t>
        </is>
      </c>
      <c r="D190" s="11" t="inlineStr">
        <is>
          <t>Systematic testing of security controls</t>
        </is>
      </c>
      <c r="E190" t="inlineStr">
        <is>
          <t>7</t>
        </is>
      </c>
      <c r="F190" t="inlineStr">
        <is>
          <t>High</t>
        </is>
      </c>
      <c r="G190" t="inlineStr">
        <is>
          <t>High (explicit)</t>
        </is>
      </c>
      <c r="H190" s="11" t="inlineStr">
        <is>
          <t>Security</t>
        </is>
      </c>
      <c r="I190" s="11" t="inlineStr">
        <is>
          <t>Personal Information</t>
        </is>
      </c>
      <c r="J190" t="inlineStr">
        <is>
          <t>APRA</t>
        </is>
      </c>
      <c r="K190" s="11" t="inlineStr">
        <is>
          <t>APRA-regulated entities must conduct systematic testing of information security controls with frequency and scope commensurate to threat changes, asset criticality, incident consequences, policy enforcement risks, and asset changes. This ensures controls remain effective against evolving threats.</t>
        </is>
      </c>
      <c r="L190" s="11" t="inlineStr">
        <is>
          <t>Requires tailored testing of security controls, critical for DTIA to assess adequacy of cross-border data protection mechanisms.</t>
        </is>
      </c>
      <c r="M190" s="11" t="inlineStr">
        <is>
          <t>• [Must] APRA-regulated entity must test effectiveness of information security controls through systematic testing program
• [Must] Nature and frequency of systematic testing must be commensurate with rate of change in vulnerabilities and threats
• [Must] Nature and frequency of systematic testing must be commensurate with criticality and sensitivity of information asset
• [Must] Nature and frequency of systematic testing must be commensurate with consequences of information security incident
• [Must] Nature and frequency of systematic testing must be commensurate with risks associated with exposure to environments where APRA-regulated entity cannot enforce information security policies
• [Must] Nature and frequency of systematic testing must be commensurate with materiality and frequency of change to information assets</t>
        </is>
      </c>
      <c r="N190" s="11" t="inlineStr">
        <is>
          <t>An APRA-regulated entity must test the effectiveness of its information security controls through a systematic testing program. The nature and frequency of the systematic testing must be commensurate with: (a) the rate at which the vulnerabilities and threats change; (b) the criticality and sensitivity of the information asset; (c) the consequences of an information security incident; (d) the risks associated with exposure to environments where the APRA-regulated entity is unable to enforce its information security policies; and (e) the materiality and frequency of change to information assets.</t>
        </is>
      </c>
      <c r="O190" s="12" t="inlineStr">
        <is>
          <t>Open PDF</t>
        </is>
      </c>
    </row>
    <row r="191">
      <c r="A191" t="inlineStr">
        <is>
          <t>Australia</t>
        </is>
      </c>
      <c r="B191" t="inlineStr">
        <is>
          <t>cps_234_july_2019_for_public_release (Australia - Row 6)</t>
        </is>
      </c>
      <c r="C191" t="inlineStr">
        <is>
          <t>28</t>
        </is>
      </c>
      <c r="D191" s="11" t="inlineStr">
        <is>
          <t>Information security testing adequacy for related parties</t>
        </is>
      </c>
      <c r="E191" t="inlineStr">
        <is>
          <t>7</t>
        </is>
      </c>
      <c r="F191" t="inlineStr">
        <is>
          <t>High</t>
        </is>
      </c>
      <c r="G191" t="inlineStr">
        <is>
          <t>High (explicit)</t>
        </is>
      </c>
      <c r="H191" s="11" t="inlineStr">
        <is>
          <t>Security</t>
        </is>
      </c>
      <c r="I191" s="11" t="inlineStr">
        <is>
          <t>Personal Information</t>
        </is>
      </c>
      <c r="J191" t="inlineStr">
        <is>
          <t>APRA</t>
        </is>
      </c>
      <c r="K191" s="11" t="inlineStr">
        <is>
          <t>APRA-regulated entities must assess whether the frequency and nature of information security control testing by related parties or third parties aligns with specified prudential standards. This assessment is required when the entity relies on those parties' testing for security controls. The assessment ensures controls meet minimum standards for information assets managed externally.</t>
        </is>
      </c>
      <c r="L191" s="11" t="inlineStr">
        <is>
          <t>Requires entities to verify that external parties' security testing meets baseline standards before relying on their controls, impacting cross-border data transfers involving third parties.</t>
        </is>
      </c>
      <c r="M191" s="11" t="inlineStr">
        <is>
          <t>• [Must] APRA-regulated entity must assess whether the nature and frequency of testing of controls in respect of information assets is commensurate with paragraphs 27(a) to 27(e) of this Prudential Standard</t>
        </is>
      </c>
      <c r="N191" s="11" t="inlineStr">
        <is>
          <t>Where an APRA-regulated entity's information assets are managed by a related party or a third party, and the APRA-regulated entity is reliant on that party's information security control testing, the APRA-regulated entity must assess whether the nature and frequency of testing of controls in respect of those information assets is commensurate with paragraphs 27(a) to 27(e) of this Prudential Standard.</t>
        </is>
      </c>
      <c r="O191" s="12" t="inlineStr">
        <is>
          <t>Open PDF</t>
        </is>
      </c>
    </row>
    <row r="192">
      <c r="A192" t="inlineStr">
        <is>
          <t>Australia</t>
        </is>
      </c>
      <c r="B192" t="inlineStr">
        <is>
          <t>cps_234_july_2019_for_public_release (Australia - Row 6)</t>
        </is>
      </c>
      <c r="C192" t="inlineStr">
        <is>
          <t>29</t>
        </is>
      </c>
      <c r="D192" s="11" t="inlineStr">
        <is>
          <t>Escalation of critical security control deficiencies</t>
        </is>
      </c>
      <c r="E192" t="inlineStr">
        <is>
          <t>7</t>
        </is>
      </c>
      <c r="F192" t="inlineStr">
        <is>
          <t>High</t>
        </is>
      </c>
      <c r="G192" t="inlineStr">
        <is>
          <t>High (explicit)</t>
        </is>
      </c>
      <c r="H192" s="11" t="inlineStr">
        <is>
          <t>Security, Incident Reporting</t>
        </is>
      </c>
      <c r="I192" s="11" t="inlineStr">
        <is>
          <t>Personal Information</t>
        </is>
      </c>
      <c r="J192" t="inlineStr">
        <is>
          <t>APRA</t>
        </is>
      </c>
      <c r="K192" s="11" t="inlineStr">
        <is>
          <t>APRA-regulated entities must escalate and report to their Board or senior management any information security control deficiencies that cannot be fixed promptly. This requirement applies to deficiencies identified through testing that pose significant risks to the entity or its customers. The escalation ensures timely resolution of critical security issues.</t>
        </is>
      </c>
      <c r="L192" s="11" t="inlineStr">
        <is>
          <t>Mandates reporting of unremediable security control gaps to leadership, critical for assessing risks in data transfers involving third parties.</t>
        </is>
      </c>
      <c r="M192" s="11" t="inlineStr">
        <is>
          <t>• [Must] APRA-regulated entity must escalate and report to the Board or senior management any testing results that identify information security control deficiencies that cannot be remediated in a timely manner</t>
        </is>
      </c>
      <c r="N192" s="11" t="inlineStr">
        <is>
          <t>An APRA-regulated entity must escalate and report to the Board or senior management any testing results that identify information security control deficiencies that cannot be remediated in a timely manner.</t>
        </is>
      </c>
      <c r="O192" s="12" t="inlineStr">
        <is>
          <t>Open PDF</t>
        </is>
      </c>
    </row>
    <row r="193">
      <c r="A193" t="inlineStr">
        <is>
          <t>Australia</t>
        </is>
      </c>
      <c r="B193" t="inlineStr">
        <is>
          <t>cps_234_july_2019_for_public_release (Australia - Row 6)</t>
        </is>
      </c>
      <c r="C193" t="inlineStr">
        <is>
          <t>31</t>
        </is>
      </c>
      <c r="D193" s="11" t="inlineStr">
        <is>
          <t>Annual review of information security testing program</t>
        </is>
      </c>
      <c r="E193" t="inlineStr">
        <is>
          <t>7</t>
        </is>
      </c>
      <c r="F193" t="inlineStr">
        <is>
          <t>High</t>
        </is>
      </c>
      <c r="G193" t="inlineStr">
        <is>
          <t>High (explicit)</t>
        </is>
      </c>
      <c r="H193" s="11" t="inlineStr">
        <is>
          <t>Security</t>
        </is>
      </c>
      <c r="I193" s="11" t="inlineStr">
        <is>
          <t>Personal Information</t>
        </is>
      </c>
      <c r="J193" t="inlineStr">
        <is>
          <t>APRA</t>
        </is>
      </c>
      <c r="K193" s="11" t="inlineStr">
        <is>
          <t>APRA-regulated entities must review the sufficiency of their information security testing program at least annually or whenever there are significant changes to information assets or the business environment. This review ensures the testing program remains aligned with evolving risks and operational needs, particularly for data transfers involving third parties.</t>
        </is>
      </c>
      <c r="L193" s="11" t="inlineStr">
        <is>
          <t>Requires periodic review of security testing adequacy, critical for maintaining robust data transfer safeguards with external parties.</t>
        </is>
      </c>
      <c r="M193" s="11" t="inlineStr">
        <is>
          <t>• [Must] APRA-regulated entity must review the sufficiency of the testing program at least annually or when there is a material change to information assets or the business environment</t>
        </is>
      </c>
      <c r="N193" s="11" t="inlineStr">
        <is>
          <t>An APRA-regulated entity must review the sufficiency of the testing program at least annually or when there is a material change to information assets or the business environment.</t>
        </is>
      </c>
      <c r="O193" s="12" t="inlineStr">
        <is>
          <t>Open PDF</t>
        </is>
      </c>
    </row>
    <row r="194">
      <c r="A194" t="inlineStr">
        <is>
          <t>Australia</t>
        </is>
      </c>
      <c r="B194" t="inlineStr">
        <is>
          <t>cps_234_july_2019_for_public_release (Australia - Row 6)</t>
        </is>
      </c>
      <c r="C194" t="inlineStr">
        <is>
          <t>32</t>
        </is>
      </c>
      <c r="D194" s="11" t="inlineStr">
        <is>
          <t>Internal audit review of third-party security controls</t>
        </is>
      </c>
      <c r="E194" t="inlineStr">
        <is>
          <t>7–8</t>
        </is>
      </c>
      <c r="F194" t="inlineStr">
        <is>
          <t>High</t>
        </is>
      </c>
      <c r="G194" t="inlineStr">
        <is>
          <t>High (explicit)</t>
        </is>
      </c>
      <c r="H194" s="11" t="inlineStr">
        <is>
          <t>Security</t>
        </is>
      </c>
      <c r="I194" s="11" t="inlineStr">
        <is>
          <t>Personal Information</t>
        </is>
      </c>
      <c r="J194" t="inlineStr">
        <is>
          <t>APRA</t>
        </is>
      </c>
      <c r="K194" s="11" t="inlineStr">
        <is>
          <t>Internal audit activities must include reviewing the design and operating effectiveness of information security controls maintained by related parties and third parties. This ensures that external parties' security controls provide adequate assurance before being relied upon by the entity, particularly for critical information assets.</t>
        </is>
      </c>
      <c r="L194" s="11" t="inlineStr">
        <is>
          <t>Requires internal audits to validate third-party security controls, essential for assessing data transfer risks with external entities.</t>
        </is>
      </c>
      <c r="M194" s="11" t="inlineStr">
        <is>
          <t>• [Must] APRA-regulated entity's internal audit activities must include a review of the design and operating effectiveness of information security controls, including those maintained by related parties and third parties (information security control assurance)</t>
        </is>
      </c>
      <c r="N194" s="11" t="inlineStr">
        <is>
          <t>An APRA-regulated entity's internal audit activities must include a review of the design and operating effectiveness of information security controls, including those maintained by related parties and third parties (information security control assurance).</t>
        </is>
      </c>
      <c r="O194" s="12" t="inlineStr">
        <is>
          <t>Open PDF</t>
        </is>
      </c>
    </row>
    <row r="195">
      <c r="A195" t="inlineStr">
        <is>
          <t>Australia</t>
        </is>
      </c>
      <c r="B195" t="inlineStr">
        <is>
          <t>cps_234_july_2019_for_public_release (Australia - Row 6)</t>
        </is>
      </c>
      <c r="C195" t="inlineStr">
        <is>
          <t>33</t>
        </is>
      </c>
      <c r="D195" s="11" t="inlineStr">
        <is>
          <t>Skilled personnel for information security assurance</t>
        </is>
      </c>
      <c r="E195" t="inlineStr">
        <is>
          <t>8</t>
        </is>
      </c>
      <c r="F195" t="inlineStr">
        <is>
          <t>High</t>
        </is>
      </c>
      <c r="G195" t="inlineStr">
        <is>
          <t>High (explicit)</t>
        </is>
      </c>
      <c r="H195" s="11" t="inlineStr">
        <is>
          <t>Security</t>
        </is>
      </c>
      <c r="I195" s="11" t="inlineStr">
        <is>
          <t>Personal Information</t>
        </is>
      </c>
      <c r="J195" t="inlineStr">
        <is>
          <t>APRA</t>
        </is>
      </c>
      <c r="K195" s="11" t="inlineStr">
        <is>
          <t>APRA-regulated entities must ensure that personnel providing information security control assurance are appropriately skilled. This requirement ensures that external parties' security assessments are conducted by qualified individuals, reducing risks associated with inadequate security evaluations.</t>
        </is>
      </c>
      <c r="L195" s="11" t="inlineStr">
        <is>
          <t>Mandates skilled personnel for third-party security assurance, critical for validating data transfer security.</t>
        </is>
      </c>
      <c r="M195" s="11" t="inlineStr">
        <is>
          <t>• [Must] APRA-regulated entity must ensure that the information security control assurance is provided by personnel appropriately skilled in providing such assurance</t>
        </is>
      </c>
      <c r="N195" s="11" t="inlineStr">
        <is>
          <t>An APRA-regulated entity must ensure that the information security control assurance is provided by personnel appropriately skilled in providing such assurance.</t>
        </is>
      </c>
      <c r="O195" s="12" t="inlineStr">
        <is>
          <t>Open PDF</t>
        </is>
      </c>
    </row>
    <row r="196">
      <c r="A196" t="inlineStr">
        <is>
          <t>Australia</t>
        </is>
      </c>
      <c r="B196" t="inlineStr">
        <is>
          <t>cps_234_july_2019_for_public_release (Australia - Row 6)</t>
        </is>
      </c>
      <c r="C196" t="inlineStr">
        <is>
          <t>34</t>
        </is>
      </c>
      <c r="D196" s="11" t="inlineStr">
        <is>
          <t>Internal audit assessment of third-party security incidents</t>
        </is>
      </c>
      <c r="E196" t="inlineStr">
        <is>
          <t>8</t>
        </is>
      </c>
      <c r="F196" t="inlineStr">
        <is>
          <t>High</t>
        </is>
      </c>
      <c r="G196" t="inlineStr">
        <is>
          <t>High (explicit)</t>
        </is>
      </c>
      <c r="H196" s="11" t="inlineStr">
        <is>
          <t>Security</t>
        </is>
      </c>
      <c r="I196" s="11" t="inlineStr">
        <is>
          <t>Personal Information</t>
        </is>
      </c>
      <c r="J196" t="inlineStr">
        <is>
          <t>APRA</t>
        </is>
      </c>
      <c r="K196" s="11" t="inlineStr">
        <is>
          <t>Internal audit must assess information security control assurance provided by related parties or third parties when there is a potential for significant financial or non-financial impact from incidents affecting information assets, or when internal audit intends to rely on those parties' assurance. This ensures critical risks are addressed before external parties are used for data processing.</t>
        </is>
      </c>
      <c r="L196" s="11" t="inlineStr">
        <is>
          <t>Requires internal audits to evaluate third-party security assurance in high-risk scenarios, directly impacting data transfer security.</t>
        </is>
      </c>
      <c r="M196" s="11" t="inlineStr">
        <is>
          <t>• [Must] APRA-regulated entity's internal audit function must assess the information security control assurance provided by a related party or third party where: (a) an information security incident affecting the information assets has the potential to materially affect, financially or non-financially, the entity or the interests of depositors, policyholde…</t>
        </is>
      </c>
      <c r="N196" s="11" t="inlineStr">
        <is>
          <t>An APRA-regulated entity's internal audit function must assess the information security control assurance provided by a related party or third party where: (a) an information security incident affecting the information assets has the potential to materially affect, financially or non-financially, the entity or the interests of depositors, policyholders, beneficiaries or other customers; and (b) internal audit intends to rely on the information security control assurance provided by the related party or third party.</t>
        </is>
      </c>
      <c r="O196" s="12" t="inlineStr">
        <is>
          <t>Open PDF</t>
        </is>
      </c>
    </row>
    <row r="197">
      <c r="A197" t="inlineStr">
        <is>
          <t>Australia</t>
        </is>
      </c>
      <c r="B197" t="inlineStr">
        <is>
          <t>cps_234_july_2019_for_public_release (Australia - Row 6)</t>
        </is>
      </c>
      <c r="C197" t="inlineStr">
        <is>
          <t>35</t>
        </is>
      </c>
      <c r="D197" s="11" t="inlineStr">
        <is>
          <t>Notification of material information security incidents to APRA</t>
        </is>
      </c>
      <c r="E197" t="inlineStr">
        <is>
          <t>8</t>
        </is>
      </c>
      <c r="F197" t="inlineStr">
        <is>
          <t>High</t>
        </is>
      </c>
      <c r="G197" t="inlineStr">
        <is>
          <t>High (explicit)</t>
        </is>
      </c>
      <c r="H197" s="11" t="inlineStr">
        <is>
          <t>Incident Reporting, Breach Notification</t>
        </is>
      </c>
      <c r="I197" s="11" t="inlineStr">
        <is>
          <t>Personal Information</t>
        </is>
      </c>
      <c r="J197" t="inlineStr">
        <is>
          <t>APRA</t>
        </is>
      </c>
      <c r="K197" s="11" t="inlineStr">
        <is>
          <t>An APRA-regulated entity must notify APRA within 72 hours of becoming aware of an information security incident that materially affected or had the potential to materially affect financially or non-financially the entity or its customers. The incident must involve depositors, policyholders, beneficiaries, or other customers. The notification must be made as soon as possible, with a maximum deadline of 72 hours.</t>
        </is>
      </c>
      <c r="L197" s="11" t="inlineStr">
        <is>
          <t>This section requires timely reporting of material information security incidents that could impact financial or non-financial interests, directly affecting DTIA timelines for incident response and cross-border data handling.</t>
        </is>
      </c>
      <c r="M197" s="11" t="inlineStr">
        <is>
          <t>• [Must] An APRA-regulated entity must notify APRA as soon as possible
• [Must] An APRA-regulated entity must notify APRA no later than 72 hours after becoming aware of an information security incident
• [Must] The information security incident must materially affect or have the potential to materially affect financially or non-financially the entity or the interests of depositors, policyholders, beneficiaries or other customers</t>
        </is>
      </c>
      <c r="N197" s="11" t="inlineStr">
        <is>
          <t>An APRA-regulated entity must notify APRA as soon as possible and, in any case, no later than 72 hours, after becoming aware of an information security incident that: (a) materially affected, or had the potential to materially affect, financially or non-financially, the entity or the interests of depositors, policyholders, beneficiaries or other customers; or (b) has been notified to other regulators, either in Australia or other jurisdictions.</t>
        </is>
      </c>
      <c r="O197" s="12" t="inlineStr">
        <is>
          <t>Open PDF</t>
        </is>
      </c>
    </row>
    <row r="198">
      <c r="A198" t="inlineStr">
        <is>
          <t>Australia</t>
        </is>
      </c>
      <c r="B198" t="inlineStr">
        <is>
          <t>cps_234_july_2019_for_public_release (Australia - Row 6)</t>
        </is>
      </c>
      <c r="C198" t="inlineStr">
        <is>
          <t>36</t>
        </is>
      </c>
      <c r="D198" s="11" t="inlineStr">
        <is>
          <t>Notification of material information security control weaknesses to APRA</t>
        </is>
      </c>
      <c r="E198" t="inlineStr">
        <is>
          <t>8</t>
        </is>
      </c>
      <c r="F198" t="inlineStr">
        <is>
          <t>High</t>
        </is>
      </c>
      <c r="G198" t="inlineStr">
        <is>
          <t>High (explicit)</t>
        </is>
      </c>
      <c r="H198" s="11" t="inlineStr">
        <is>
          <t>Incident Reporting, Breach Notification</t>
        </is>
      </c>
      <c r="I198" s="11" t="inlineStr">
        <is>
          <t>Personal Information</t>
        </is>
      </c>
      <c r="J198" t="inlineStr">
        <is>
          <t>APRA</t>
        </is>
      </c>
      <c r="K198" s="11" t="inlineStr">
        <is>
          <t>An APRA-regulated entity must notify APRA within 10 business days of becoming aware of a material information security control weakness that the entity expects it will not be able to remediate in a timely manner. This applies to weaknesses that could impact the entity's operations or customer interests.</t>
        </is>
      </c>
      <c r="L198" s="11" t="inlineStr">
        <is>
          <t>This section mandates reporting of unresolved information security control weaknesses, which impacts DTIA assessments for third-party risk and remediation timelines in cross-border data environments.</t>
        </is>
      </c>
      <c r="M198" s="11" t="inlineStr">
        <is>
          <t>• [Must] An APRA-regulated entity must notify APRA as soon as possible
• [Must] An APRA-regulated entity must notify APRA no later than 10 business days after becoming aware of a material information security control weakness
• [Must] The information security control weakness must be one the entity expects it will not be able to remediate in a timely manner</t>
        </is>
      </c>
      <c r="N198" s="11" t="inlineStr">
        <is>
          <t>An APRA-regulated entity must notify APRA as soon as possible and, in any case, no later than 10 business days, after it becomes aware of a material information security control weakness which the entity expects it will not be able to remediate in a timely manner.</t>
        </is>
      </c>
      <c r="O198" s="12" t="inlineStr">
        <is>
          <t>Open PDF</t>
        </is>
      </c>
    </row>
    <row r="199">
      <c r="A199" t="inlineStr">
        <is>
          <t>Australia</t>
        </is>
      </c>
      <c r="B199" t="inlineStr">
        <is>
          <t>rg255-published-30-august-2016-20220328 (Australia - Row 9)</t>
        </is>
      </c>
      <c r="C199" t="inlineStr">
        <is>
          <t>p1</t>
        </is>
      </c>
      <c r="D199" s="11" t="inlineStr">
        <is>
          <t>Digital advice definition and scope</t>
        </is>
      </c>
      <c r="E199" t="inlineStr">
        <is>
          <t>1–2</t>
        </is>
      </c>
      <c r="F199" t="inlineStr">
        <is>
          <t>High</t>
        </is>
      </c>
      <c r="G199" t="inlineStr">
        <is>
          <t>High (explicit)</t>
        </is>
      </c>
      <c r="H199" s="11" t="inlineStr"/>
      <c r="I199" s="11" t="inlineStr">
        <is>
          <t>Customer Data</t>
        </is>
      </c>
      <c r="J199" t="inlineStr">
        <is>
          <t>ASIC</t>
        </is>
      </c>
      <c r="K199" s="11" t="inlineStr">
        <is>
          <t>This section defines digital advice as automated financial product advice using algorithms and technology without direct human involvement. It clarifies that digital advice can range from narrow scope advice (e.g., portfolio construction) to comprehensive financial planning. The definition distinguishes digital advice from traditional personal advice and specifies that it applies to retail clients.</t>
        </is>
      </c>
      <c r="L199" s="11" t="inlineStr"/>
      <c r="M199" s="11" t="inlineStr">
        <is>
          <t>• [Definition] Digital advice (also known as 'robo-advice' or 'automated advice') is the provision of automated financial product advice using algorithms and technology and without the direct involvement of a human adviser.
• [Definition] Digital advice can comprise general or personal advice, and range from advice that is narrow in scope (e.g. advice about portfolio construction) to a comprehensive financial plan.</t>
        </is>
      </c>
      <c r="N199" s="11" t="inlineStr">
        <is>
          <t>Digital advice (also known as robo-advice or automated advice) is the provision of automated financial product advice using algorithms and technology and without the direct involvement of a human adviser.</t>
        </is>
      </c>
      <c r="O199" s="12" t="inlineStr">
        <is>
          <t>Open PDF</t>
        </is>
      </c>
    </row>
    <row r="200">
      <c r="A200" t="inlineStr">
        <is>
          <t>Australia</t>
        </is>
      </c>
      <c r="B200" t="inlineStr">
        <is>
          <t>rg255-published-30-august-2016-20220328 (Australia - Row 9)</t>
        </is>
      </c>
      <c r="C200" t="inlineStr">
        <is>
          <t>p2</t>
        </is>
      </c>
      <c r="D200" s="11" t="inlineStr">
        <is>
          <t>ASIC regulatory document types and history</t>
        </is>
      </c>
      <c r="E200" t="inlineStr">
        <is>
          <t>2–3</t>
        </is>
      </c>
      <c r="F200" t="inlineStr">
        <is>
          <t>High</t>
        </is>
      </c>
      <c r="G200" t="inlineStr">
        <is>
          <t>High (explicit)</t>
        </is>
      </c>
      <c r="H200" s="11" t="inlineStr"/>
      <c r="I200" s="11" t="inlineStr"/>
      <c r="J200" t="inlineStr">
        <is>
          <t>ASIC</t>
        </is>
      </c>
      <c r="K200" s="11" t="inlineStr">
        <is>
          <t>This section explains the types of regulatory documents ASIC issues, including consultation papers, regulatory guides, information sheets, and reports. It details the document's history, noting minor updates in 2021 and 2022 to reflect changes in fee arrangements, training requirements, and breach reporting reforms. The document emphasizes that it does not constitute legal advice and is illustrative only.</t>
        </is>
      </c>
      <c r="L200" s="11" t="inlineStr"/>
      <c r="M200" s="11" t="inlineStr">
        <is>
          <t>• [Definition] ASIC issues regulatory documents such as consultation papers, regulatory guides, information sheets, and reports.
• [Definition] Regulatory guides explain when and how ASIC will exercise specific powers under legislation, interpret the law, describe principles, and provide practical guidance.
• [Definition] This guide was issued in August 2016 and is based on legislation and regulations as at the date of issue.
• [Definition] Minor updates were made in June 2021 to Table 1 in the Appendix to reflect changes to ongoing fee arrangements.
• [Definition] RG 255.51 was updated in June 2021 to reflect changes to training, education, and ethical standards for financial advisers.
• [Definition] One sample question at RG 255.41 and RG 255.115 was updated in March 2022 to reflect breach reporting reforms effective from 1 October 2021.
• [Definition] This guide does not constitute legal advice; users must seek their own professional advice to determine obligations.</t>
        </is>
      </c>
      <c r="N200" s="11" t="inlineStr">
        <is>
          <t>Regulatory guides: give guidance to regulated entities by: explaining when and how ASIC will exercise specific powers under legislation (primarily the Corporations Act)...</t>
        </is>
      </c>
      <c r="O200" s="12" t="inlineStr">
        <is>
          <t>Open PDF</t>
        </is>
      </c>
    </row>
    <row r="201">
      <c r="A201" t="inlineStr">
        <is>
          <t>Australia</t>
        </is>
      </c>
      <c r="B201" t="inlineStr">
        <is>
          <t>rg255-published-30-august-2016-20220328 (Australia - Row 9)</t>
        </is>
      </c>
      <c r="C201" t="inlineStr">
        <is>
          <t>p3</t>
        </is>
      </c>
      <c r="D201" s="11" t="inlineStr">
        <is>
          <t>Regulatory guide structure and contents</t>
        </is>
      </c>
      <c r="E201" t="inlineStr">
        <is>
          <t>3–4</t>
        </is>
      </c>
      <c r="F201" t="inlineStr">
        <is>
          <t>High</t>
        </is>
      </c>
      <c r="G201" t="inlineStr">
        <is>
          <t>High (explicit)</t>
        </is>
      </c>
      <c r="H201" s="11" t="inlineStr"/>
      <c r="I201" s="11" t="inlineStr"/>
      <c r="J201" t="inlineStr">
        <is>
          <t>ASIC</t>
        </is>
      </c>
      <c r="K201" s="11" t="inlineStr">
        <is>
          <t>This section outlines the structure of the regulatory guide, including sections on digital advice in Australia, AFS licensing requirements, general obligations for digital advice licensees, and providing scaled advice in the best interests of clients. It lists the guide's contents and related information, such as key terms and non-ASIC publications.</t>
        </is>
      </c>
      <c r="L201" s="11" t="inlineStr"/>
      <c r="M201" s="11" t="inlineStr">
        <is>
          <t>• [Definition] The guide includes an overview section on digital advice in Australia.
• [Definition] The guide covers scope of this regulatory guide.
• [Definition] The guide lists other relevant guidance.
• [Definition] The guide addresses digital advice and the AFS licensing regime.
• [Definition] The guide includes general obligations applying to digital advice licensees.
• [Definition] The guide covers providing scaled advice in the best interests of the client.
• [Definition] The guide provides an appendix with other ASIC guidance.</t>
        </is>
      </c>
      <c r="N201" s="11" t="inlineStr">
        <is>
          <t>A Overview ........................................................................................... 4 Digital advice in Australia ................................................................... 4 Scope of this regulatory guide ........................................................... 5</t>
        </is>
      </c>
      <c r="O201" s="12" t="inlineStr">
        <is>
          <t>Open PDF</t>
        </is>
      </c>
    </row>
    <row r="202">
      <c r="A202" t="inlineStr">
        <is>
          <t>Australia</t>
        </is>
      </c>
      <c r="B202" t="inlineStr">
        <is>
          <t>rg255-published-30-august-2016-20220328 (Australia - Row 9)</t>
        </is>
      </c>
      <c r="C202" t="inlineStr">
        <is>
          <t>p4</t>
        </is>
      </c>
      <c r="D202" s="11" t="inlineStr">
        <is>
          <t>Digital advice definition and market context</t>
        </is>
      </c>
      <c r="E202" t="inlineStr">
        <is>
          <t>4–5</t>
        </is>
      </c>
      <c r="F202" t="inlineStr">
        <is>
          <t>High</t>
        </is>
      </c>
      <c r="G202" t="inlineStr">
        <is>
          <t>High (explicit)</t>
        </is>
      </c>
      <c r="H202" s="11" t="inlineStr"/>
      <c r="I202" s="11" t="inlineStr">
        <is>
          <t>Customer Data</t>
        </is>
      </c>
      <c r="J202" t="inlineStr">
        <is>
          <t>ASIC</t>
        </is>
      </c>
      <c r="K202" s="11" t="inlineStr">
        <is>
          <t>This section defines digital advice as automated financial product advice without direct human involvement, clarifies its scope (from narrow to comprehensive advice), and notes its rapid growth in Australia since 2014. It emphasizes ASIC's support for a healthy digital advice market and the potential for digital advice to serve retail clients who do not seek traditional advice.</t>
        </is>
      </c>
      <c r="L202" s="11" t="inlineStr"/>
      <c r="M202" s="11" t="inlineStr">
        <is>
          <t>• [Definition] Digital advice (also known as 'robo-advice' or 'automated advice') is the provision of automated financial product advice using algorithms and technology and without the direct involvement of a human adviser.
• [Definition] Digital advice can comprise general or personal advice, and range from advice that is narrow in scope (e.g. advice about portfolio construction) to a comprehensive financial plan.
• [Definition] The provision of digital advice has grown rapidly in Australia since 2014, with a number of start-up Australian financial services (AFS) licensees and existing AFS licensees developing digital advice models.
• [Definition] ASIC supports the development of a healthy and robust digital advice market in Australia.
• [Definition] In an environment where only around 20% of adult Australians seek personal advice, digital advice has the potential to be a convenient and low-cost option for retail clients who may not otherwise seek advice.</t>
        </is>
      </c>
      <c r="N202" s="11" t="inlineStr">
        <is>
          <t>Digital advice (also known as 'robo-advice' or 'automated advice') is the provision of automated financial product advice using algorithms and technology and without the direct involvement of a human adviser.</t>
        </is>
      </c>
      <c r="O202" s="12" t="inlineStr">
        <is>
          <t>Open PDF</t>
        </is>
      </c>
    </row>
    <row r="203">
      <c r="A203" t="inlineStr">
        <is>
          <t>Australia</t>
        </is>
      </c>
      <c r="B203" t="inlineStr">
        <is>
          <t>rg255-published-30-august-2016-20220328 (Australia - Row 9)</t>
        </is>
      </c>
      <c r="C203" t="inlineStr">
        <is>
          <t>p5</t>
        </is>
      </c>
      <c r="D203" s="11" t="inlineStr">
        <is>
          <t>Scope and purpose of regulatory guide</t>
        </is>
      </c>
      <c r="E203" t="inlineStr">
        <is>
          <t>5–6</t>
        </is>
      </c>
      <c r="F203" t="inlineStr">
        <is>
          <t>High</t>
        </is>
      </c>
      <c r="G203" t="inlineStr">
        <is>
          <t>High (explicit)</t>
        </is>
      </c>
      <c r="H203" s="11" t="inlineStr"/>
      <c r="I203" s="11" t="inlineStr"/>
      <c r="J203" t="inlineStr">
        <is>
          <t>ASIC</t>
        </is>
      </c>
      <c r="K203" s="11" t="inlineStr">
        <is>
          <t>This section explains that the regulatory guide builds on existing ASIC guidance without introducing new regulatory concepts, as the law is technology neutral. It clarifies the guide's scope, including its focus on obligations for digital advice providers and the need for digital advice licensees to comply with the best interests duty. It also addresses unique aspects of digital advice, such as organizational competence obligations and algorithm monitoring.</t>
        </is>
      </c>
      <c r="L203" s="11" t="inlineStr"/>
      <c r="M203" s="11" t="inlineStr">
        <is>
          <t>• [Definition] This regulatory guide generally builds on existing ASIC guidance and does not introduce new regulatory concepts.
• [Definition] This guide brings together some of the issues that you will need to consider if you want to provide digital advice when operating in Australia—from the licensing stage (i.e. obtaining an AFS licence) through to the actual provision of advice.
• [Definition] Our guidance focuses on the obligations of those providing, or wanting to provide, digital advice.
• [Definition] Businesses that provide associated services (e.g. technology or compliance services) may also find this guidance useful.
• [Definition] Those who provide combined (or hybrid) financial product advice models should also consider this guidance.
• [Definition] This guide provides guidance on how the organisational competence obligation in s912A(1)(e) of the Corporations Act applies to digital advice licensees.
• [Definition] The guide outlines ways in which digital advice licensees should monitor and test their algorithms.
• [Definition] The guide specifies minimum steps for digital advice providers to comply with the best interests duty when providing scaled advice.</t>
        </is>
      </c>
      <c r="N203" s="11" t="inlineStr">
        <is>
          <t>This regulatory guide generally builds on existing ASIC guidance and does not introduce new regulatory concepts.</t>
        </is>
      </c>
      <c r="O203" s="12" t="inlineStr">
        <is>
          <t>Open PDF</t>
        </is>
      </c>
    </row>
    <row r="204">
      <c r="A204" t="inlineStr">
        <is>
          <t>Australia</t>
        </is>
      </c>
      <c r="B204" t="inlineStr">
        <is>
          <t>rg255-published-30-august-2016-20220328 (Australia - Row 9)</t>
        </is>
      </c>
      <c r="C204" t="inlineStr">
        <is>
          <t>p6</t>
        </is>
      </c>
      <c r="D204" s="11" t="inlineStr">
        <is>
          <t>Regulatory framework principles and compliance expectations</t>
        </is>
      </c>
      <c r="E204" t="inlineStr">
        <is>
          <t>6–7</t>
        </is>
      </c>
      <c r="F204" t="inlineStr">
        <is>
          <t>High</t>
        </is>
      </c>
      <c r="G204" t="inlineStr">
        <is>
          <t>High (explicit)</t>
        </is>
      </c>
      <c r="H204" s="11" t="inlineStr"/>
      <c r="I204" s="11" t="inlineStr"/>
      <c r="J204" t="inlineStr">
        <is>
          <t>ASIC</t>
        </is>
      </c>
      <c r="K204" s="11" t="inlineStr">
        <is>
          <t>This section describes Australia's principles-based financial services regulatory regime, emphasizing that it does not prescribe specific compliance steps. It explains that ASIC provides guidance to help industry understand regulatory obligations, using terms like 'must' for legal obligations and 'expect' for recommended practices. It encourages digital advice providers to contact ASIC if they have alternative compliance methods.</t>
        </is>
      </c>
      <c r="L204" s="11" t="inlineStr"/>
      <c r="M204" s="11" t="inlineStr">
        <is>
          <t>• [Definition] Australia's financial services regulatory regime is principles based and does not prescribe the steps that an AFS licensee needs to take to comply with the law.
• [Definition] From engagement with industry, ASIC has issued this guide to assist in understanding regulatory obligations for digital advice providers.
• [Definition] In this guide, 'must' or 'required to' refers to legal obligations that must be complied with.
• [Definition] In this guide, 'expect' or 'should' refers to recommended practices for compliance.
• [Definition] AFS licensees will generally be able to comply with the law by adhering to the ways ASIC thinks they can comply.
• [Definition] Failure to do what is expected may result in further regulatory inquiry from ASIC.
• [Definition] ASIC is open to hearing about new or alternative ways to comply with the law.</t>
        </is>
      </c>
      <c r="N204" s="11" t="inlineStr">
        <is>
          <t>Generally, Australia's financial services regulatory regime is principles based and does not prescribe the steps that an AFS licensee needs to take to comply with the law.</t>
        </is>
      </c>
      <c r="O204" s="12" t="inlineStr">
        <is>
          <t>Open PDF</t>
        </is>
      </c>
    </row>
    <row r="205">
      <c r="A205" t="inlineStr">
        <is>
          <t>Australia</t>
        </is>
      </c>
      <c r="B205" t="inlineStr">
        <is>
          <t>rg255-published-30-august-2016-20220328 (Australia - Row 9)</t>
        </is>
      </c>
      <c r="C205" t="inlineStr">
        <is>
          <t>p7</t>
        </is>
      </c>
      <c r="D205" s="11" t="inlineStr">
        <is>
          <t>Digital advice communication design and disclosure requirements</t>
        </is>
      </c>
      <c r="E205" t="inlineStr">
        <is>
          <t>7–8</t>
        </is>
      </c>
      <c r="F205" t="inlineStr">
        <is>
          <t>High</t>
        </is>
      </c>
      <c r="G205" t="inlineStr">
        <is>
          <t>High (explicit)</t>
        </is>
      </c>
      <c r="H205" s="11" t="inlineStr"/>
      <c r="I205" s="11" t="inlineStr">
        <is>
          <t>Customer Data</t>
        </is>
      </c>
      <c r="J205" t="inlineStr">
        <is>
          <t>ASIC</t>
        </is>
      </c>
      <c r="K205" s="11" t="inlineStr">
        <is>
          <t>Digital advice providers must design communications and disclosures with a user-focused approach prioritizing client needs. They should consider device-specific contexts and implement ongoing testing to enhance communication effectiveness. This applies to all digital advice providers operating in Australia.</t>
        </is>
      </c>
      <c r="L205" s="11" t="inlineStr">
        <is>
          <t>Digital advice providers must ensure communications are designed with client needs first and undergo ongoing testing to avoid misinterpretation of advice type. This affects how data is shared and disclosed across digital channels.</t>
        </is>
      </c>
      <c r="M205" s="11" t="inlineStr">
        <is>
          <t>• [Must] Digital advice providers must design communications and disclosures with a user-focused approach prioritizing client needs
• [Should] Digital advice providers should consider device-specific contexts for communication effectiveness
• [Should] Digital advice providers should implement ongoing testing to enhance communication effectiveness</t>
        </is>
      </c>
      <c r="N205" s="11" t="inlineStr">
        <is>
          <t>Communication in a digital context: RG 255.15</t>
        </is>
      </c>
      <c r="O205" s="12" t="inlineStr">
        <is>
          <t>Open PDF</t>
        </is>
      </c>
    </row>
    <row r="206">
      <c r="A206" t="inlineStr">
        <is>
          <t>Australia</t>
        </is>
      </c>
      <c r="B206" t="inlineStr">
        <is>
          <t>rg255-published-30-august-2016-20220328 (Australia - Row 9)</t>
        </is>
      </c>
      <c r="C206" t="inlineStr">
        <is>
          <t>p8</t>
        </is>
      </c>
      <c r="D206" s="11" t="inlineStr">
        <is>
          <t>AFS licensing requirements for digital advice providers</t>
        </is>
      </c>
      <c r="E206" t="inlineStr">
        <is>
          <t>8–9</t>
        </is>
      </c>
      <c r="F206" t="inlineStr">
        <is>
          <t>High</t>
        </is>
      </c>
      <c r="G206" t="inlineStr">
        <is>
          <t>High (explicit)</t>
        </is>
      </c>
      <c r="H206" s="11" t="inlineStr"/>
      <c r="I206" s="11" t="inlineStr">
        <is>
          <t>Customer Data</t>
        </is>
      </c>
      <c r="J206" t="inlineStr">
        <is>
          <t>ASIC</t>
        </is>
      </c>
      <c r="K206" s="11" t="inlineStr">
        <is>
          <t>Digital advice providers must hold an AFS licence or be an authorised representative of an AFS licensee unless exempted. This applies to all providers of financial product advice to retail clients. Providers must comply with conduct and disclosure obligations under the Corporations Act. Factual information provision does not require AFS licensing.</t>
        </is>
      </c>
      <c r="L206" s="11" t="inlineStr">
        <is>
          <t>Digital advice providers must obtain AFS licensing before providing financial product advice, which affects data transfer and processing across borders due to licensing requirements. This section clarifies when AFS licensing is required for digital advice.</t>
        </is>
      </c>
      <c r="M206" s="11" t="inlineStr">
        <is>
          <t>• [Must] Digital advice providers must hold an AFS licence or act as an authorised representative of an AFS licensee unless exempted
• [Must] Digital advice providers must comply with conduct and disclosure obligations under Pt 7.7 and Div 2 of Pt 7.7A
• [Must] Factual information provision does not require AFS licensing</t>
        </is>
      </c>
      <c r="N206" s="11" t="inlineStr">
        <is>
          <t>Under the Corporations Act, you are required to hold an AFS licence, or to be an authorised representative of an AFS licensee, if you are carrying on a financial services business, unless an exemption applies.</t>
        </is>
      </c>
      <c r="O206" s="12" t="inlineStr">
        <is>
          <t>Open PDF</t>
        </is>
      </c>
    </row>
    <row r="207">
      <c r="A207" t="inlineStr">
        <is>
          <t>Australia</t>
        </is>
      </c>
      <c r="B207" t="inlineStr">
        <is>
          <t>rg255-published-30-august-2016-20220328 (Australia - Row 9)</t>
        </is>
      </c>
      <c r="C207" t="inlineStr">
        <is>
          <t>p9</t>
        </is>
      </c>
      <c r="D207" s="11" t="inlineStr">
        <is>
          <t>Definition of financial product advice types for digital services</t>
        </is>
      </c>
      <c r="E207" t="inlineStr">
        <is>
          <t>9–10</t>
        </is>
      </c>
      <c r="F207" t="inlineStr">
        <is>
          <t>High</t>
        </is>
      </c>
      <c r="G207" t="inlineStr">
        <is>
          <t>High (explicit)</t>
        </is>
      </c>
      <c r="H207" s="11" t="inlineStr"/>
      <c r="I207" s="11" t="inlineStr">
        <is>
          <t>Customer Data</t>
        </is>
      </c>
      <c r="J207" t="inlineStr">
        <is>
          <t>ASIC</t>
        </is>
      </c>
      <c r="K207" s="11" t="inlineStr">
        <is>
          <t>Financial product advice is classified as either personal or general advice under the Corporations Act. Personal advice requires consideration of client objectives, financial situation, and needs. General advice does not consider these factors. Digital advice providers must determine whether their communications constitute personal or general advice to ensure appropriate licensing.</t>
        </is>
      </c>
      <c r="L207" s="11" t="inlineStr">
        <is>
          <t>Digital advice providers must classify their communications as factual information, general advice, or personal advice to determine licensing requirements. This classification affects data processing and transfer obligations.</t>
        </is>
      </c>
      <c r="M207" s="11" t="inlineStr">
        <is>
          <t>• [Must] Financial product advice is either personal or general advice under the Corporations Act
• [Must] Personal advice requires consideration of client objectives, financial situation, and needs
• [Must] General advice does not consider client objectives, financial situation, or needs</t>
        </is>
      </c>
      <c r="N207" s="11" t="inlineStr">
        <is>
          <t>Under the Corporations Act, all financial product advice is either 'personal advice' or 'general advice'.</t>
        </is>
      </c>
      <c r="O207" s="12" t="inlineStr">
        <is>
          <t>Open PDF</t>
        </is>
      </c>
    </row>
    <row r="208">
      <c r="A208" t="inlineStr">
        <is>
          <t>Australia</t>
        </is>
      </c>
      <c r="B208" t="inlineStr">
        <is>
          <t>rg255-published-30-august-2016-20220328 (Australia - Row 9)</t>
        </is>
      </c>
      <c r="C208" t="inlineStr">
        <is>
          <t>p10</t>
        </is>
      </c>
      <c r="D208" s="11" t="inlineStr">
        <is>
          <t>Examples of digital advice classification and licensing requirements</t>
        </is>
      </c>
      <c r="E208" t="inlineStr">
        <is>
          <t>10–11</t>
        </is>
      </c>
      <c r="F208" t="inlineStr">
        <is>
          <t>High</t>
        </is>
      </c>
      <c r="G208" t="inlineStr">
        <is>
          <t>High (explicit)</t>
        </is>
      </c>
      <c r="H208" s="11" t="inlineStr"/>
      <c r="I208" s="11" t="inlineStr">
        <is>
          <t>Customer Data</t>
        </is>
      </c>
      <c r="J208" t="inlineStr">
        <is>
          <t>ASIC</t>
        </is>
      </c>
      <c r="K208" s="11" t="inlineStr">
        <is>
          <t>Digital advice providers must determine whether their services constitute factual information, general advice, or personal advice. Examples show that providing recommendations or statements of opinion that influence client decisions requires AFS licensing. Providers must ensure their services meet the criteria for personal advice (considering client circumstances) or general advice (not considering client circumstances).</t>
        </is>
      </c>
      <c r="L208" s="11" t="inlineStr">
        <is>
          <t>Digital advice providers must classify their services as factual information, general advice, or personal advice to determine AFS licensing requirements. This classification directly impacts data transfer and processing obligations.</t>
        </is>
      </c>
      <c r="M208" s="11" t="inlineStr">
        <is>
          <t>• [Must] Digital advice providers must determine whether their services constitute factual information, general advice, or personal advice
• [Must] Services providing recommendations or statements of opinion that influence client decisions require AFS licensing
• [Must] Personal advice requires consideration of client objectives, financial situation, and needs</t>
        </is>
      </c>
      <c r="N208" s="11" t="inlineStr">
        <is>
          <t>If a communication is a recommendation or a statement of opinion, or a report of either of these things, that is intended to, or can reasonably be regarded as being intended to, influence a client in making a decision about a particular financial product or class of financial product (or an interest in either of these), it is financial product advice: s766B (see RG 244.27).</t>
        </is>
      </c>
      <c r="O208" s="12" t="inlineStr">
        <is>
          <t>Open PDF</t>
        </is>
      </c>
    </row>
    <row r="209">
      <c r="A209" t="inlineStr">
        <is>
          <t>Australia</t>
        </is>
      </c>
      <c r="B209" t="inlineStr">
        <is>
          <t>rg255-published-30-august-2016-20220328 (Australia - Row 9)</t>
        </is>
      </c>
      <c r="C209" t="inlineStr">
        <is>
          <t>p11</t>
        </is>
      </c>
      <c r="D209" s="11" t="inlineStr">
        <is>
          <t>Exemptions and AFS licensing arrangements for digital advice</t>
        </is>
      </c>
      <c r="E209" t="inlineStr">
        <is>
          <t>11–12</t>
        </is>
      </c>
      <c r="F209" t="inlineStr">
        <is>
          <t>High</t>
        </is>
      </c>
      <c r="G209" t="inlineStr">
        <is>
          <t>High (explicit)</t>
        </is>
      </c>
      <c r="H209" s="11" t="inlineStr"/>
      <c r="I209" s="11" t="inlineStr">
        <is>
          <t>Customer Data</t>
        </is>
      </c>
      <c r="J209" t="inlineStr">
        <is>
          <t>ASIC</t>
        </is>
      </c>
      <c r="K209" s="11" t="inlineStr">
        <is>
          <t>Digital advice providers may be exempt from AFS licensing if they provide generic financial calculators or only allocate funds among general asset types without recommending specific products. Existing AFS licensees may not need to change licensing arrangements but must review compliance. Start-up fintech businesses must obtain their own licence or become authorised representatives.</t>
        </is>
      </c>
      <c r="L209" s="11" t="inlineStr">
        <is>
          <t>Digital advice providers must determine if they qualify for exemptions from AFS licensing, which affects data transfer and processing obligations. This section clarifies when licensing is required for digital advice services.</t>
        </is>
      </c>
      <c r="M209" s="11" t="inlineStr">
        <is>
          <t>• [May] Digital advice providers may be exempt from AFS licensing if they provide generic financial calculators
• [May] Digital advice providers may be exempt from AFS licensing if they only allocate funds among general asset types without recommending specific products
• [May] Existing AFS licensees may not need to change licensing arrangements to provide digital advice
• [Must] Start-up fintech businesses must obtain their own AFS licence or become authorised representatives</t>
        </is>
      </c>
      <c r="N209" s="11" t="inlineStr">
        <is>
          <t>Depending on your circumstances, you may be exempt or have relief from the requirement to hold an AFS licence: see 911A(2) and RG 36.34.</t>
        </is>
      </c>
      <c r="O209" s="12" t="inlineStr">
        <is>
          <t>Open PDF</t>
        </is>
      </c>
    </row>
    <row r="210">
      <c r="A210" t="inlineStr">
        <is>
          <t>Australia</t>
        </is>
      </c>
      <c r="B210" t="inlineStr">
        <is>
          <t>rg255-published-30-august-2016-20220328 (Australia - Row 9)</t>
        </is>
      </c>
      <c r="C210" t="inlineStr">
        <is>
          <t>p12</t>
        </is>
      </c>
      <c r="D210" s="11" t="inlineStr">
        <is>
          <t>Becoming an authorised representative for digital advice services</t>
        </is>
      </c>
      <c r="E210" t="inlineStr">
        <is>
          <t>12–13</t>
        </is>
      </c>
      <c r="F210" t="inlineStr">
        <is>
          <t>High</t>
        </is>
      </c>
      <c r="G210" t="inlineStr">
        <is>
          <t>High (explicit)</t>
        </is>
      </c>
      <c r="H210" s="11" t="inlineStr"/>
      <c r="I210" s="11" t="inlineStr">
        <is>
          <t>Customer Data</t>
        </is>
      </c>
      <c r="J210" t="inlineStr">
        <is>
          <t>ASIC</t>
        </is>
      </c>
      <c r="K210" s="11" t="inlineStr">
        <is>
          <t>Digital advice providers considering becoming authorised representatives must obtain written authorisation from an AFS licensee. They must consider the type of financial services, required licence authorisations, and compliance assistance needs. AFS licensees must have appropriate licence authorisations to provide financial product advice to clients.</t>
        </is>
      </c>
      <c r="L210" s="11" t="inlineStr">
        <is>
          <t>Digital advice providers must obtain written authorisation from an AFS licensee to act as an authorised representative, which affects data transfer and processing obligations. This section outlines the requirements for becoming an authorised representative.</t>
        </is>
      </c>
      <c r="M210" s="11" t="inlineStr">
        <is>
          <t>• [Must] Digital advice providers must obtain written authorisation from an AFS licensee to act as an authorised representative
• [Must] Digital advice providers must consider the type of financial services they intend to offer
• [Must] Digital advice providers must consider the required licence authorisations for their business
• [Must] Digital advice providers must consider compliance assistance needs</t>
        </is>
      </c>
      <c r="N210" s="11" t="inlineStr">
        <is>
          <t>If you would like to provide a financial service, such as digital advice, as an authorised representative on behalf of an AFS licensee, you must hold a written authorisation from that licensee: see s916A of the Corporations Act.</t>
        </is>
      </c>
      <c r="O210" s="12" t="inlineStr">
        <is>
          <t>Open PDF</t>
        </is>
      </c>
    </row>
    <row r="211">
      <c r="A211" t="inlineStr">
        <is>
          <t>Australia</t>
        </is>
      </c>
      <c r="B211" t="inlineStr">
        <is>
          <t>rg255-published-30-august-2016-20220328 (Australia - Row 9)</t>
        </is>
      </c>
      <c r="C211" t="inlineStr">
        <is>
          <t>p13</t>
        </is>
      </c>
      <c r="D211" s="11" t="inlineStr">
        <is>
          <t>Digital advice provider assessment questions for AFS licensees</t>
        </is>
      </c>
      <c r="E211" t="inlineStr">
        <is>
          <t>13–14</t>
        </is>
      </c>
      <c r="F211" t="inlineStr">
        <is>
          <t>High</t>
        </is>
      </c>
      <c r="G211" t="inlineStr">
        <is>
          <t>High (explicit)</t>
        </is>
      </c>
      <c r="H211" s="11" t="inlineStr">
        <is>
          <t>Cross-border Transfer, Data Storage, Security, Processing, Data Sharing, Third Party Processing, Cloud Services, Incident Reporting, Breach Notification</t>
        </is>
      </c>
      <c r="I211" s="11" t="inlineStr">
        <is>
          <t>Financial Data, Customer Data</t>
        </is>
      </c>
      <c r="J211" t="inlineStr">
        <is>
          <t>ASIC</t>
        </is>
      </c>
      <c r="K211" s="11" t="inlineStr">
        <is>
          <t>This section outlines sample questions for prospective Australian Financial Services (AFS) licensees to assess their capability in providing digital financial advice. It covers business model, revenue sources, license scope, experience with innovation, algorithm testing, representative numbers, compliance assistance, training provision, monitoring capabilities, record-keeping procedures, past regulatory notifications, and enforcement history. The questions aim to evaluate whether the licensee can meet regulatory obligations for digital advice services.</t>
        </is>
      </c>
      <c r="L211" s="11" t="inlineStr">
        <is>
          <t>This section identifies key questions to assess AFS licensees' capacity for digital advice, including algorithm testing and compliance monitoring, which are critical for data transfer impact assessments involving algorithmic financial advice systems.</t>
        </is>
      </c>
      <c r="M211" s="11" t="inlineStr">
        <is>
          <t>• [Must] What is your main financial services business?
• [Must] Do you operate your own financial services business or only obtain revenue by appointing authorised representatives?
• [Must] Does your AFS licence include authorisations needed to provide digital advice and related services?
• [Must] What experience do you have with innovation and digital advice?
• [Must] What monitoring and testing will you carry out in relation to advice algorithms?
• [Must] How many other authorised representatives do you have?
• [Must] What compliance assistance will you provide?
• [Must] Will you provide my business with any training?
• [Must] Will you provide enough monitoring and supervision to ensure my business operates within the law?
• [Must] Do you have compliance procedures for record keeping?
• [Must] How many notifications of reportable situations have you lodged with ASIC in the past two years?
• [Must] Have you been the subject of any ASIC or other regulatory agency's surveillance, investigation, enforceable undertaking or enforcement action?</t>
        </is>
      </c>
      <c r="N211" s="11" t="inlineStr">
        <is>
          <t>Sample questions to ask prospective AFS licensees • What is your main financial services business? • Do you operate your own financial services business or do you only obtain your revenue by appointing authorised representatives? • Does your AFS licence include the authorisations that my business needs to provide digital advice and any related services? • What experience do you have with innovation and digital advice? • What monitoring and testing will you carry out in relation to my advice algorithms? • How many other authorised representatives do you have? • What compliance assistance will you provide? • Will you provide my business with any training? • Will you provide enough monitoring and supervision to ensure that my business is operating within the law? • Do you have compliance procedures for record keeping? • How many notifications of reportable situations have you lodged with ASIC in the past two years? • Have you been the subject of any ASIC or other regulatory agency's surveillance, investigation, enforceable undertaking or enforcement action?</t>
        </is>
      </c>
      <c r="O211" s="12" t="inlineStr">
        <is>
          <t>Open PDF</t>
        </is>
      </c>
    </row>
    <row r="212">
      <c r="A212" t="inlineStr">
        <is>
          <t>Australia</t>
        </is>
      </c>
      <c r="B212" t="inlineStr">
        <is>
          <t>rg255-published-30-august-2016-20220328 (Australia - Row 9)</t>
        </is>
      </c>
      <c r="C212" t="inlineStr">
        <is>
          <t>p14</t>
        </is>
      </c>
      <c r="D212" s="11" t="inlineStr">
        <is>
          <t>Additional information required for AFS licensees providing digital advice</t>
        </is>
      </c>
      <c r="E212" t="inlineStr">
        <is>
          <t>14–15</t>
        </is>
      </c>
      <c r="F212" t="inlineStr">
        <is>
          <t>High</t>
        </is>
      </c>
      <c r="G212" t="inlineStr">
        <is>
          <t>High (explicit)</t>
        </is>
      </c>
      <c r="H212" s="11" t="inlineStr">
        <is>
          <t>Cross-border Transfer, Data Storage, Security, Processing, Data Sharing, Third Party Processing, Cloud Services, Incident Reporting, Breach Notification</t>
        </is>
      </c>
      <c r="I212" s="11" t="inlineStr">
        <is>
          <t>Financial Data, Customer Data</t>
        </is>
      </c>
      <c r="J212" t="inlineStr">
        <is>
          <t>ASIC</t>
        </is>
      </c>
      <c r="K212" s="11" t="inlineStr">
        <is>
          <t>This section specifies additional information AFS licensees must provide to ASIC when applying for a license to offer digital financial advice. It covers human resources with technological knowledge, human review for personal advice, outsourcing measures, algorithm monitoring procedures, record-keeping arrangements, risk management and security systems, and professional indemnity insurance adequacy. The requirements ensure digital advice providers meet regulatory standards for client data handling and service delivery.</t>
        </is>
      </c>
      <c r="L212" s="11" t="inlineStr">
        <is>
          <t>This section details specific information needed for digital advice providers to ensure compliance with data handling and security requirements, which are critical for data transfer impact assessments involving algorithmic financial advice.</t>
        </is>
      </c>
      <c r="M212" s="11" t="inlineStr">
        <is>
          <t>• [Must] Provide information about human resources with technological knowledge and skills to understand algorithms and review digital advice
• [Must] Specify the level of human review for personal advice generated by algorithms
• [Must] Describe measures to ensure due skill and care in selecting service providers when outsourcing functions
• [Must] Outline procedures to monitor ongoing performance of service providers
• [Must] Detail procedures for monitoring and testing algorithms
• [Must] Explain arrangements for complying with record-keeping obligations
• [Must] Describe risk management and security arrangements for client information storage and transmission
• [Must] Explain how professional indemnity insurance cover is determined to be adequate</t>
        </is>
      </c>
      <c r="N212" s="11" t="inlineStr">
        <is>
          <t>RG 255.45: RG 2 explains what information you need to provide to ASIC as part of your AFS licence application. Depending on the nature, scale and complexity of your business, we may ask you for additional information about: (a) the human resources you will have with the technological knowledge and skills to: (i) generally understand the technology and algorithms used to provide the digital advice; and (ii) review the digital advice generated by algorithms (see RG 255.60–RG 255.64); (b) if you are providing personal advice, the level of human review that will be undertaken on the advice generated (see RG 255.109–RG 255.112); (c) if you outsource any functions, the measures you will put in place to ensure that: (i) due skill and care are taken in choosing suitable service providers; and (ii) you can and will monitor the ongoing performance of service providers (see RG 255.67–RG 255.68); (d) the procedures you have in place to monitor and test algorithms (see RG 255.72–RG 255.74); (e) the arrangements you will put in place to comply with your record-keeping obligations; (f) the risk management and security arrangements you will have in place to ensure that client information is stored and transmitted securely (see RG 255.70–RG 255.79); and (g) how you have determined that your professional indemnity (PI) insurance cover is adequate (see RG 255.80–RG 255.85).</t>
        </is>
      </c>
      <c r="O212" s="12" t="inlineStr">
        <is>
          <t>Open PDF</t>
        </is>
      </c>
    </row>
    <row r="213">
      <c r="A213" t="inlineStr">
        <is>
          <t>Australia</t>
        </is>
      </c>
      <c r="B213" t="inlineStr">
        <is>
          <t>rg255-published-30-august-2016-20220328 (Australia - Row 9)</t>
        </is>
      </c>
      <c r="C213" t="inlineStr">
        <is>
          <t>p15</t>
        </is>
      </c>
      <c r="D213" s="11" t="inlineStr">
        <is>
          <t>Organisational competence requirements for digital advice licensees</t>
        </is>
      </c>
      <c r="E213" t="inlineStr">
        <is>
          <t>15–16</t>
        </is>
      </c>
      <c r="F213" t="inlineStr">
        <is>
          <t>High</t>
        </is>
      </c>
      <c r="G213" t="inlineStr">
        <is>
          <t>High (explicit)</t>
        </is>
      </c>
      <c r="H213" s="11" t="inlineStr">
        <is>
          <t>Cross-border Transfer, Data Storage, Security, Processing, Data Sharing, Third Party Processing, Cloud Services, Incident Reporting, Breach Notification</t>
        </is>
      </c>
      <c r="I213" s="11" t="inlineStr">
        <is>
          <t>Financial Data, Customer Data</t>
        </is>
      </c>
      <c r="J213" t="inlineStr">
        <is>
          <t>ASIC</t>
        </is>
      </c>
      <c r="K213" s="11" t="inlineStr">
        <is>
          <t>This section details the organisational competence obligations for AFS licensees providing digital financial advice. It specifies that digital advice licensees must have at least one responsible manager who meets training and competence standards, as there is no natural person directly involved in providing advice. The requirements ensure that digital advice providers maintain appropriate knowledge and skills to operate within the law, with specific focus on algorithmic advice systems.</t>
        </is>
      </c>
      <c r="L213" s="11" t="inlineStr">
        <is>
          <t>This section addresses the organisational competence requirements for digital advice providers, which are critical for ensuring that algorithmic advice systems meet regulatory standards and do not pose risks to client data.</t>
        </is>
      </c>
      <c r="M213" s="11" t="inlineStr">
        <is>
          <t>• [Must] Maintain competence to provide financial services covered by their licence
• [Must] Ensure representatives are adequately trained and competent to provide financial services
• [Must] Demonstrate that each responsible manager meets one of five options for appropriate knowledge and skills
• [Must] Ensure responsible managers collectively have appropriate knowledge and skills to cover all financial services and products
• [Must] In digital advice contexts, there is no natural person directly involved in providing advice, so training and competence standards do not apply
• [Must] Digital advice licensees must have at least one responsible manager who meets training and competence standards</t>
        </is>
      </c>
      <c r="N213" s="11" t="inlineStr">
        <is>
          <t>RG 255.48: Under the Corporations Act, AFS licensees are required to: (a) maintain competence to provide the financial services covered by their licence (s912A(1)(e)); and (b) ensure that their representatives are adequately trained and competent to provide those financial services (s912A(1)(f)).</t>
        </is>
      </c>
      <c r="O213" s="12" t="inlineStr">
        <is>
          <t>Open PDF</t>
        </is>
      </c>
    </row>
    <row r="214">
      <c r="A214" t="inlineStr">
        <is>
          <t>Australia</t>
        </is>
      </c>
      <c r="B214" t="inlineStr">
        <is>
          <t>rg255-published-30-august-2016-20220328 (Australia - Row 9)</t>
        </is>
      </c>
      <c r="C214" t="inlineStr">
        <is>
          <t>p16</t>
        </is>
      </c>
      <c r="D214" s="11" t="inlineStr">
        <is>
          <t>Responsible manager competence for digital advice licensees</t>
        </is>
      </c>
      <c r="E214" t="inlineStr">
        <is>
          <t>16–17</t>
        </is>
      </c>
      <c r="F214" t="inlineStr">
        <is>
          <t>High</t>
        </is>
      </c>
      <c r="G214" t="inlineStr">
        <is>
          <t>High (explicit)</t>
        </is>
      </c>
      <c r="H214" s="11" t="inlineStr">
        <is>
          <t>Cross-border Transfer, Data Storage, Security, Processing, Data Sharing, Third Party Processing, Cloud Services, Incident Reporting, Breach Notification</t>
        </is>
      </c>
      <c r="I214" s="11" t="inlineStr">
        <is>
          <t>Financial Data, Customer Data</t>
        </is>
      </c>
      <c r="J214" t="inlineStr">
        <is>
          <t>ASIC</t>
        </is>
      </c>
      <c r="K214" s="11" t="inlineStr">
        <is>
          <t>This section explains that in most cases, existing AFS licensees already have a responsible manager who meets training and competence standards. However, in some instances, a licensee may not have a responsible manager who meets these standards, particularly if the responsible manager previously demonstrated competence through relevant experience over the past 10 years.</t>
        </is>
      </c>
      <c r="L214" s="11" t="inlineStr">
        <is>
          <t>This section clarifies the competence requirements for responsible managers in digital advice licensees, which is relevant for ensuring that algorithmic advice systems are operated within regulatory frameworks.</t>
        </is>
      </c>
      <c r="M214" s="11" t="inlineStr">
        <is>
          <t>• [Must] At least one responsible manager of an existing AFS licensee will meet the training and competence standards
• [Must] In some instances, a licensee may not have a responsible manager who meets training and competence standards
• [Must] Responsible managers who previously demonstrated competence through relevant experience over the past 10 years may not meet current standards</t>
        </is>
      </c>
      <c r="N214" s="11" t="inlineStr">
        <is>
          <t>RG 255.54: In most cases, at least one responsible manager of an existing AFS licensee will meet the training and competence standards. In a small number of instances, however, a licensee may not have a responsible manager who meets these standards. This is because the responsible manager was previously able to demonstrate their competence under RG 105 by showing they had relevant experience over the previous 10 years.</t>
        </is>
      </c>
      <c r="O214" s="12" t="inlineStr">
        <is>
          <t>Open PDF</t>
        </is>
      </c>
    </row>
    <row r="215">
      <c r="A215" t="inlineStr">
        <is>
          <t>Australia</t>
        </is>
      </c>
      <c r="B215" t="inlineStr">
        <is>
          <t>rg255-published-30-august-2016-20220328 (Australia - Row 9)</t>
        </is>
      </c>
      <c r="C215" t="inlineStr">
        <is>
          <t>p17</t>
        </is>
      </c>
      <c r="D215" s="11" t="inlineStr">
        <is>
          <t>General obligations for digital advice licensees</t>
        </is>
      </c>
      <c r="E215" t="inlineStr">
        <is>
          <t>17–18</t>
        </is>
      </c>
      <c r="F215" t="inlineStr">
        <is>
          <t>High</t>
        </is>
      </c>
      <c r="G215" t="inlineStr">
        <is>
          <t>High (explicit)</t>
        </is>
      </c>
      <c r="H215" s="11" t="inlineStr">
        <is>
          <t>Cross-border Transfer, Data Storage, Security, Processing, Data Sharing, Third Party Processing, Cloud Services, Incident Reporting, Breach Notification</t>
        </is>
      </c>
      <c r="I215" s="11" t="inlineStr">
        <is>
          <t>Financial Data, Customer Data</t>
        </is>
      </c>
      <c r="J215" t="inlineStr">
        <is>
          <t>ASIC</t>
        </is>
      </c>
      <c r="K215" s="11" t="inlineStr">
        <is>
          <t>This section outlines the general obligations that apply to all AFS licensees, including the requirement to have adequate resources, establish risk management systems, and comply with financial services laws. It specifies that digital advice licensees must meet these obligations, with additional guidance on human resources, technological capabilities, and risk management to ensure compliance with the Corporations Act.</t>
        </is>
      </c>
      <c r="L215" s="11" t="inlineStr">
        <is>
          <t>This section details the general obligations for digital advice licensees, which are critical for ensuring that algorithmic advice systems comply with regulatory requirements and data handling standards.</t>
        </is>
      </c>
      <c r="M215" s="11" t="inlineStr">
        <is>
          <t>• [Must] Have adequate financial, technological and human resources to provide financial services and carry out supervisory arrangements
• [Must] Establish and maintain adequate risk management systems
• [Must] Comply with financial services laws
• [Must] Take reasonable steps to ensure representatives comply with financial services laws
• [Must] Maintain competence to provide financial services
• [Must] Ensure representatives are adequately trained and competent to provide financial services</t>
        </is>
      </c>
      <c r="N215" s="11" t="inlineStr">
        <is>
          <t>RG 255.55: If you are an AFS licensee, you have general obligations under s912A(1) of the Corporations Act to: (a) do all things necessary to ensure that the financial services covered by your licence are provided efficiently, honestly and fairly (s912A(1)(a)); (b) have adequate arrangements in place for managing conflicts of interest (s912A(1)(aa)); (c) comply with the conditions on your licence (s912A(1)(b)); (d) comply with the financial services laws (s912A(1)(c)); (e) take reasonable steps to ensure that your representatives comply with the financial services laws (s912A(1)(ca)); (f) have adequate financial, technological and human resources to provide the financial services covered by your licence and to carry out supervisory arrangements (s912A(1)(d)); (g) maintain the competence to provide the financial services covered by your licence (s912A(1)(e)); (h) ensure that your representatives are adequately trained and competent to provide those financial services (s912A(1)(f)); (i) if you provide financial services to retail clients, have a dispute resolution system (s912A(1)(g)); and (j) establish and maintain adequate risk management systems (s912A(1)(h)).</t>
        </is>
      </c>
      <c r="O215" s="12" t="inlineStr">
        <is>
          <t>Open PDF</t>
        </is>
      </c>
    </row>
    <row r="216">
      <c r="A216" t="inlineStr">
        <is>
          <t>Australia</t>
        </is>
      </c>
      <c r="B216" t="inlineStr">
        <is>
          <t>rg255-published-30-august-2016-20220328 (Australia - Row 9)</t>
        </is>
      </c>
      <c r="C216" t="inlineStr">
        <is>
          <t>p18</t>
        </is>
      </c>
      <c r="D216" s="11" t="inlineStr">
        <is>
          <t>Resource requirements for digital advice licensees</t>
        </is>
      </c>
      <c r="E216" t="inlineStr">
        <is>
          <t>18–19</t>
        </is>
      </c>
      <c r="F216" t="inlineStr">
        <is>
          <t>High</t>
        </is>
      </c>
      <c r="G216" t="inlineStr">
        <is>
          <t>High (explicit)</t>
        </is>
      </c>
      <c r="H216" s="11" t="inlineStr">
        <is>
          <t>Cross-border Transfer, Data Storage, Security, Processing, Data Sharing, Third Party Processing, Cloud Services, Incident Reporting, Breach Notification</t>
        </is>
      </c>
      <c r="I216" s="11" t="inlineStr">
        <is>
          <t>Financial Data, Customer Data</t>
        </is>
      </c>
      <c r="J216" t="inlineStr">
        <is>
          <t>ASIC</t>
        </is>
      </c>
      <c r="K216" s="11" t="inlineStr">
        <is>
          <t>This section focuses on the resource requirements for AFS licensees providing digital financial advice, emphasizing the need for adequate human resources to understand algorithms and review digital advice outputs. It specifies that digital advice licensees must have individuals within their business who can comprehend the technology and algorithms used to provide advice and assess the generated advice for compliance.</t>
        </is>
      </c>
      <c r="L216" s="11" t="inlineStr">
        <is>
          <t>This section addresses the human resource requirements for digital advice licensees, which are critical for ensuring that algorithmic advice systems are properly monitored and compliant with regulatory standards.</t>
        </is>
      </c>
      <c r="M216" s="11" t="inlineStr">
        <is>
          <t>• [Must] Ensure there are people within the business who understand the technology and algorithms used to provide digital advice
• [Must] Ensure there are people within the business who can review digital advice generated by algorithms</t>
        </is>
      </c>
      <c r="N216" s="11" t="inlineStr">
        <is>
          <t>RG 255.60: As a digital advice licensee, you should ensure that there are people within your business who: (a) have an understanding of the technology and algorithms used to provide digital advice; and (b) are able to review the digital advice generated by algorithms.</t>
        </is>
      </c>
      <c r="O216" s="12" t="inlineStr">
        <is>
          <t>Open PDF</t>
        </is>
      </c>
    </row>
    <row r="217">
      <c r="A217" t="inlineStr">
        <is>
          <t>Australia</t>
        </is>
      </c>
      <c r="B217" t="inlineStr">
        <is>
          <t>rg255-published-30-august-2016-20220328 (Australia - Row 9)</t>
        </is>
      </c>
      <c r="C217" t="inlineStr">
        <is>
          <t>p19</t>
        </is>
      </c>
      <c r="D217" s="11" t="inlineStr">
        <is>
          <t>Digital advice licensees must have staff understanding algorithms and technology</t>
        </is>
      </c>
      <c r="E217" t="inlineStr">
        <is>
          <t>19–20</t>
        </is>
      </c>
      <c r="F217" t="inlineStr">
        <is>
          <t>High</t>
        </is>
      </c>
      <c r="G217" t="inlineStr">
        <is>
          <t>High (explicit)</t>
        </is>
      </c>
      <c r="H217" s="11" t="inlineStr"/>
      <c r="I217" s="11" t="inlineStr">
        <is>
          <t>Financial Data</t>
        </is>
      </c>
      <c r="J217" t="inlineStr">
        <is>
          <t>ASIC</t>
        </is>
      </c>
      <c r="K217" s="11" t="inlineStr">
        <is>
          <t>Digital advice licensees must have at least one person who understands the technology and algorithms used for digital advice. This person does not need to understand the specific computer coding but must comprehend the rationale, risks, and rules behind the algorithms. The requirement applies to all digital advice licensees regardless of business size, with the extent of human resources depending on the scale of operations.</t>
        </is>
      </c>
      <c r="L217" s="11" t="inlineStr">
        <is>
          <t>Digital advice licensees must ensure staff can review algorithmic advice for compliance, which impacts data transfer assessments by requiring technical oversight of algorithmic systems.</t>
        </is>
      </c>
      <c r="M217" s="11" t="inlineStr">
        <is>
          <t>• [Must] Digital advice licensees must have at least one person who understands the technology and algorithms used for digital advice
• [Must] This person must comprehend the rationale, risks, and rules behind the algorithms without needing to understand specific computer coding</t>
        </is>
      </c>
      <c r="N217" s="11" t="inlineStr">
        <is>
          <t>RG 255.61: Digital advice is provided through technology... we expect digital advice licensees to have at least one person who has a general understanding of the technology and algorithms...</t>
        </is>
      </c>
      <c r="O217" s="12" t="inlineStr">
        <is>
          <t>Open PDF</t>
        </is>
      </c>
    </row>
    <row r="218">
      <c r="A218" t="inlineStr">
        <is>
          <t>Australia</t>
        </is>
      </c>
      <c r="B218" t="inlineStr">
        <is>
          <t>rg255-published-30-august-2016-20220328 (Australia - Row 9)</t>
        </is>
      </c>
      <c r="C218" t="inlineStr">
        <is>
          <t>p20</t>
        </is>
      </c>
      <c r="D218" s="11" t="inlineStr">
        <is>
          <t>Digital advice licensees must monitor outsourced algorithm functions</t>
        </is>
      </c>
      <c r="E218" t="inlineStr">
        <is>
          <t>20–21</t>
        </is>
      </c>
      <c r="F218" t="inlineStr">
        <is>
          <t>High</t>
        </is>
      </c>
      <c r="G218" t="inlineStr">
        <is>
          <t>High (explicit)</t>
        </is>
      </c>
      <c r="H218" s="11" t="inlineStr">
        <is>
          <t>Third Party Processing</t>
        </is>
      </c>
      <c r="I218" s="11" t="inlineStr">
        <is>
          <t>Financial Data</t>
        </is>
      </c>
      <c r="J218" t="inlineStr">
        <is>
          <t>ASIC</t>
        </is>
      </c>
      <c r="K218" s="11" t="inlineStr">
        <is>
          <t>Digital advice licensees outsourcing algorithm functions must ensure suitable service providers are chosen and monitored. Licensees remain responsible for financial services provided to clients even when functions are outsourced. This includes understanding algorithm rationale, risks, and rules without needing to code the algorithms.</t>
        </is>
      </c>
      <c r="L218" s="11" t="inlineStr">
        <is>
          <t>Outsourcing algorithm functions requires licensees to maintain oversight of third-party providers to ensure compliance, affecting data transfer assessments through third-party data handling risks.</t>
        </is>
      </c>
      <c r="M218" s="11" t="inlineStr">
        <is>
          <t>• [Must] Digital advice licensees must choose service providers with due skill and care for outsourced functions
• [Must] Digital advice licensees must monitor ongoing performance of outsourced service providers
• [Must] Digital advice licensees remain responsible for financial services provided to clients even when functions are outsourced</t>
        </is>
      </c>
      <c r="N218" s="11" t="inlineStr">
        <is>
          <t>RG 255.67: We expect that you will have measures in place to ensure that due skill and care are taken in choosing suitable outsourced service providers; and you can and will monitor the ongoing performance of outsourced service providers.</t>
        </is>
      </c>
      <c r="O218" s="12" t="inlineStr">
        <is>
          <t>Open PDF</t>
        </is>
      </c>
    </row>
    <row r="219">
      <c r="A219" t="inlineStr">
        <is>
          <t>Australia</t>
        </is>
      </c>
      <c r="B219" t="inlineStr">
        <is>
          <t>rg255-published-30-august-2016-20220328 (Australia - Row 9)</t>
        </is>
      </c>
      <c r="C219" t="inlineStr">
        <is>
          <t>p21</t>
        </is>
      </c>
      <c r="D219" s="11" t="inlineStr">
        <is>
          <t>Digital advice licensees must monitor and test algorithms regularly</t>
        </is>
      </c>
      <c r="E219" t="inlineStr">
        <is>
          <t>21–22</t>
        </is>
      </c>
      <c r="F219" t="inlineStr">
        <is>
          <t>High</t>
        </is>
      </c>
      <c r="G219" t="inlineStr">
        <is>
          <t>High (explicit)</t>
        </is>
      </c>
      <c r="H219" s="11" t="inlineStr"/>
      <c r="I219" s="11" t="inlineStr">
        <is>
          <t>Financial Data</t>
        </is>
      </c>
      <c r="J219" t="inlineStr">
        <is>
          <t>ASIC</t>
        </is>
      </c>
      <c r="K219" s="11" t="inlineStr">
        <is>
          <t>Digital advice licensees must regularly monitor and test algorithms to ensure compliance. This includes having system design documentation, documented test strategies, processes for managing algorithm changes, records of algorithm changes over seven years, and mechanisms to suspend advice if errors are detected. These requirements apply to all digital advice licensees regardless of business scale.</t>
        </is>
      </c>
      <c r="L219" s="11" t="inlineStr">
        <is>
          <t>Algorithm monitoring and testing requirements directly impact data transfer assessments by mandating technical oversight of algorithmic systems to ensure compliance with financial regulations.</t>
        </is>
      </c>
      <c r="M219" s="11" t="inlineStr">
        <is>
          <t>• [Must] Digital advice licensees must have system design documentation that clearly sets out the purpose, scope, and design of algorithms
• [Must] Digital advice licensees must have a documented test strategy explaining the scope of algorithm testing
• [Must] Digital advice licensees must have processes for managing changes to algorithms with security arrangements to prevent unauthorized access
• [Must] Digital advice licensees must control, monitor, and retain records of algorithm changes for seven years
• [Must] Digital advice licensees must review and update algorithms when factors affecting their currency change
• [Must] Digital advice licensees must suspend advice provision if algorithm errors are detected that could cause client loss or breach of the Corporations Act
• [Must] Digital advice licensees must have adequate resources to monitor and supervise algorithm performance
• [Must] Digital advice licensees must have an internal sign-off process to ensure compliance with algorithm monitoring requirements</t>
        </is>
      </c>
      <c r="N219" s="11" t="inlineStr">
        <is>
          <t>RG 255.72: As part of your risk management systems, you should regularly monitor and test the algorithms that underpin the advice.</t>
        </is>
      </c>
      <c r="O219" s="12" t="inlineStr">
        <is>
          <t>Open PDF</t>
        </is>
      </c>
    </row>
    <row r="220">
      <c r="A220" t="inlineStr">
        <is>
          <t>Australia</t>
        </is>
      </c>
      <c r="B220" t="inlineStr">
        <is>
          <t>rg255-published-30-august-2016-20220328 (Australia - Row 9)</t>
        </is>
      </c>
      <c r="C220" t="inlineStr">
        <is>
          <t>p22</t>
        </is>
      </c>
      <c r="D220" s="11" t="inlineStr">
        <is>
          <t>Digital advice licensees must implement cyber security frameworks</t>
        </is>
      </c>
      <c r="E220" t="inlineStr">
        <is>
          <t>22–23</t>
        </is>
      </c>
      <c r="F220" t="inlineStr">
        <is>
          <t>High</t>
        </is>
      </c>
      <c r="G220" t="inlineStr">
        <is>
          <t>High (explicit)</t>
        </is>
      </c>
      <c r="H220" s="11" t="inlineStr">
        <is>
          <t>Security, Cloud Services</t>
        </is>
      </c>
      <c r="I220" s="11" t="inlineStr">
        <is>
          <t>Financial Data</t>
        </is>
      </c>
      <c r="J220" t="inlineStr">
        <is>
          <t>ASIC</t>
        </is>
      </c>
      <c r="K220" s="11" t="inlineStr">
        <is>
          <t>Digital advice licensees must assess cyber security using recognized frameworks like NIST or Australian Signals Directorate strategies. They must also comply with information security standards such as ISO/IEC 27001 and have adequate cloud security measures to mitigate malicious cyber activity risks.</t>
        </is>
      </c>
      <c r="L220" s="11" t="inlineStr">
        <is>
          <t>Cyber security requirements directly impact data transfer assessments by mandating robust security frameworks for digital advice systems, affecting cross-border data transfers.</t>
        </is>
      </c>
      <c r="M220" s="11" t="inlineStr">
        <is>
          <t>• [Must] Digital advice licensees must assess cyber security using recognized frameworks such as NIST or Australian Signals Directorate strategies
• [Must] Digital advice licensees must comply with information security standards including ISO/IEC 27001:2015
• [Must] Digital advice licensees must implement adequate cloud security measures to mitigate malicious cyber activity</t>
        </is>
      </c>
      <c r="N220" s="11" t="inlineStr">
        <is>
          <t>RG 255.77: We expect digital advice licensees to assess their cyber security using recognised frameworks, such as the National Institute of Standards and Technology's Framework for improving critical infrastructure cybersecurity...</t>
        </is>
      </c>
      <c r="O220" s="12" t="inlineStr">
        <is>
          <t>Open PDF</t>
        </is>
      </c>
    </row>
    <row r="221">
      <c r="A221" t="inlineStr">
        <is>
          <t>Australia</t>
        </is>
      </c>
      <c r="B221" t="inlineStr">
        <is>
          <t>rg255-published-30-august-2016-20220328 (Australia - Row 9)</t>
        </is>
      </c>
      <c r="C221" t="inlineStr">
        <is>
          <t>p23</t>
        </is>
      </c>
      <c r="D221" s="11" t="inlineStr">
        <is>
          <t>Digital advice licensees must have adequate compensation arrangements</t>
        </is>
      </c>
      <c r="E221" t="inlineStr">
        <is>
          <t>23–24</t>
        </is>
      </c>
      <c r="F221" t="inlineStr">
        <is>
          <t>High</t>
        </is>
      </c>
      <c r="G221" t="inlineStr">
        <is>
          <t>High (explicit)</t>
        </is>
      </c>
      <c r="H221" s="11" t="inlineStr"/>
      <c r="I221" s="11" t="inlineStr">
        <is>
          <t>Financial Data</t>
        </is>
      </c>
      <c r="J221" t="inlineStr">
        <is>
          <t>ASIC</t>
        </is>
      </c>
      <c r="K221" s="11" t="inlineStr">
        <is>
          <t>Digital advice licensees must have arrangements for compensating clients for losses resulting from breaches of obligations under the Corporations Act. These arrangements must either satisfy professional indemnity insurance requirements or be approved by ASIC as alternative arrangements, considering factors like client growth, potential widespread losses, and claim aggregation.</t>
        </is>
      </c>
      <c r="L221" s="11" t="inlineStr">
        <is>
          <t>Compensation arrangements requirements impact data transfer assessments by mandating financial safeguards for client losses, affecting cross-border data handling risks.</t>
        </is>
      </c>
      <c r="M221" s="11" t="inlineStr">
        <is>
          <t>• [Must] Digital advice licensees must have arrangements for compensating clients for losses from breaches of obligations under the Corporations Act
• [Must] Compensation arrangements must satisfy professional indemnity insurance requirements or be approved by ASIC as alternatives
• [Must] Digital advice licensees must regularly review business risks to assess PI insurance adequacy
• [Must] Digital advice licensees must notify PI insurers of material business changes
• [Must] Digital advice licensees must review PI insurance policy features at least annually</t>
        </is>
      </c>
      <c r="N221" s="11" t="inlineStr">
        <is>
          <t>RG 255.80: Under s912B, AFS licensees that provide financial services to retail clients must have arrangements for compensating clients for loss they suffer as a result of a breach by the licensee or its representatives of their obligations in Ch 7 of the Corporations Act.</t>
        </is>
      </c>
      <c r="O221" s="12" t="inlineStr">
        <is>
          <t>Open PDF</t>
        </is>
      </c>
    </row>
    <row r="222">
      <c r="A222" t="inlineStr">
        <is>
          <t>Australia</t>
        </is>
      </c>
      <c r="B222" t="inlineStr">
        <is>
          <t>rg255-published-30-august-2016-20220328 (Australia - Row 9)</t>
        </is>
      </c>
      <c r="C222" t="inlineStr">
        <is>
          <t>p24</t>
        </is>
      </c>
      <c r="D222" s="11" t="inlineStr">
        <is>
          <t>Digital advice must comply with best interests duty</t>
        </is>
      </c>
      <c r="E222" t="inlineStr">
        <is>
          <t>24–25</t>
        </is>
      </c>
      <c r="F222" t="inlineStr">
        <is>
          <t>High</t>
        </is>
      </c>
      <c r="G222" t="inlineStr">
        <is>
          <t>High (explicit)</t>
        </is>
      </c>
      <c r="H222" s="11" t="inlineStr"/>
      <c r="I222" s="11" t="inlineStr">
        <is>
          <t>Financial Data</t>
        </is>
      </c>
      <c r="J222" t="inlineStr">
        <is>
          <t>ASIC</t>
        </is>
      </c>
      <c r="K222" s="11" t="inlineStr">
        <is>
          <t>Digital advice providers must act in the best interests of clients when providing advice, as the law is technology neutral. This obligation applies to all digital advice providers, including those using computer programs, and requires adherence to the same standards as traditional financial advice.</t>
        </is>
      </c>
      <c r="L222" s="11" t="inlineStr">
        <is>
          <t>Best interests duty requirements impact data transfer assessments by mandating client-centric advice practices, affecting data handling and processing across borders.</t>
        </is>
      </c>
      <c r="M222" s="11" t="inlineStr">
        <is>
          <t>• [Must] Digital advice providers must act in the best interests of clients when providing advice</t>
        </is>
      </c>
      <c r="N222" s="11" t="inlineStr">
        <is>
          <t>RG 255.87: When providing personal advice to a retail client, advice providers must act in the best interests of the client in relation to that advice: s961B(1).</t>
        </is>
      </c>
      <c r="O222" s="12" t="inlineStr">
        <is>
          <t>Open PDF</t>
        </is>
      </c>
    </row>
    <row r="223">
      <c r="A223" t="inlineStr">
        <is>
          <t>Australia</t>
        </is>
      </c>
      <c r="B223" t="inlineStr">
        <is>
          <t>rg255-published-30-august-2016-20220328 (Australia - Row 9)</t>
        </is>
      </c>
      <c r="C223" t="inlineStr">
        <is>
          <t>p25</t>
        </is>
      </c>
      <c r="D223" s="11" t="inlineStr">
        <is>
          <t>Digital advice provider obligations for retail clients</t>
        </is>
      </c>
      <c r="E223" t="inlineStr">
        <is>
          <t>25–26</t>
        </is>
      </c>
      <c r="F223" t="inlineStr">
        <is>
          <t>High</t>
        </is>
      </c>
      <c r="G223" t="inlineStr">
        <is>
          <t>High (explicit)</t>
        </is>
      </c>
      <c r="H223" s="11" t="inlineStr">
        <is>
          <t>Data Sharing, Cross-border Transfer, Financial Data</t>
        </is>
      </c>
      <c r="I223" s="11" t="inlineStr">
        <is>
          <t>Financial Data</t>
        </is>
      </c>
      <c r="J223" t="inlineStr">
        <is>
          <t>ASIC</t>
        </is>
      </c>
      <c r="K223" s="11" t="inlineStr">
        <is>
          <t>Digital advice providers must provide appropriate advice, warn clients about incomplete or inaccurate information, and prioritize client interests over their own or associates' interests when giving personal financial advice. These obligations apply to all personal advice but exclude general advice. The guidance specifies that scaled advice (limited scope personal advice) must be handled with particular care due to the absence of direct client interaction in digital contexts.</t>
        </is>
      </c>
      <c r="L223" s="11" t="inlineStr">
        <is>
          <t>Digital advice providers must clearly communicate the scope of advice, obtain client consent for limited advice, and ensure advice remains within client's best interests to avoid cross-border data transfer risks.</t>
        </is>
      </c>
      <c r="M223" s="11" t="inlineStr">
        <is>
          <t>• [Must] Provide appropriate financial advice to retail clients
• [Must] Warn clients if advice is based on incomplete or inaccurate information
• [Must] Prioritize client's interests over own interests or associates' interests</t>
        </is>
      </c>
      <c r="N223" s="11" t="inlineStr">
        <is>
          <t>RG 255.90: A digital advice provider giving personal advice to a client also has related obligations in Div 2 of Pt 7.7A of the Corporations Act to provide appropriate advice, to warn the client if advice is based on incomplete or inaccurate information, and to prioritise the client's interests over its own interests or that of the advice provider's associates.</t>
        </is>
      </c>
      <c r="O223" s="12" t="inlineStr">
        <is>
          <t>Open PDF</t>
        </is>
      </c>
    </row>
    <row r="224">
      <c r="A224" t="inlineStr">
        <is>
          <t>Australia</t>
        </is>
      </c>
      <c r="B224" t="inlineStr">
        <is>
          <t>rg255-published-30-august-2016-20220328 (Australia - Row 9)</t>
        </is>
      </c>
      <c r="C224" t="inlineStr">
        <is>
          <t>p26</t>
        </is>
      </c>
      <c r="D224" s="11" t="inlineStr">
        <is>
          <t>Minimum expectations for digital scaled advice</t>
        </is>
      </c>
      <c r="E224" t="inlineStr">
        <is>
          <t>26–27</t>
        </is>
      </c>
      <c r="F224" t="inlineStr">
        <is>
          <t>High</t>
        </is>
      </c>
      <c r="G224" t="inlineStr">
        <is>
          <t>High (explicit)</t>
        </is>
      </c>
      <c r="H224" s="11" t="inlineStr">
        <is>
          <t>Data Sharing, Cross-border Transfer, Financial Data</t>
        </is>
      </c>
      <c r="I224" s="11" t="inlineStr">
        <is>
          <t>Financial Data</t>
        </is>
      </c>
      <c r="J224" t="inlineStr">
        <is>
          <t>ASIC</t>
        </is>
      </c>
      <c r="K224" s="11" t="inlineStr">
        <is>
          <t>Digital advice providers must explain the scope of advice upfront, require clients to actively demonstrate advice relevance, inform about limitations and consequences at key points, provide key concepts and risks/benefits, filter inappropriate clients, disclose costs, withdrawal options, dispute resolution, and explain benefits of following advice. These minimum expectations ensure scaled advice remains in the client's best interests without direct interaction.</t>
        </is>
      </c>
      <c r="L224" s="11" t="inlineStr">
        <is>
          <t>Digital advice providers must implement clear communication protocols to define advice scope and ensure client understanding, critical for data transfer compliance in cross-border financial contexts.</t>
        </is>
      </c>
      <c r="M224" s="11" t="inlineStr">
        <is>
          <t>• [Must] Explain advice scope and what is not offered from the outset
• [Must] Require client to actively demonstrate advice relevance
• [Must] Inform about limitations and consequences at key points
• [Must] Inform about key concepts and associated risks/benefits
• [Must] Filter clients for whom advice is inappropriate
• [Must] Disclose upfront and ongoing costs of advice
• [Must] Inform about withdrawal options and associated costs
• [Must] Explain dispute resolution processes
• [Must] Explain why client will be in better position following advice</t>
        </is>
      </c>
      <c r="N224" s="11" t="inlineStr">
        <is>
          <t>RG 255.98: As a minimum, you should: explain to the client from the outset what advice is being offered and what is not being offered (i.e. the scope of the advice); require the client to actively demonstrate that the advice they are seeking is within the scope of what is being offered by the digital advice model; at key points in the advice process, inform the client about the limitations and potential consequences of the scope of advice; throughout the advice process, inform the client about key concepts and the relevant risks and benefits associated with the advice being provided; filter out clients for whom the advice being offered is not appropriate, or who want advice on a topic outside the scope of advice being offered; inform the client about the upfront and ongoing costs of the advice before the advice is given or implemented; inform the client about how they can withdraw from the advice being provided, and any associated costs, before the advice is implemented; explain what dispute resolution processes are available to the client if they wish to make a complaint; and explain why the client is likely to be in a better position if they follow the advice.</t>
        </is>
      </c>
      <c r="O224" s="12" t="inlineStr">
        <is>
          <t>Open PDF</t>
        </is>
      </c>
    </row>
    <row r="225">
      <c r="A225" t="inlineStr">
        <is>
          <t>Australia</t>
        </is>
      </c>
      <c r="B225" t="inlineStr">
        <is>
          <t>rg255-published-30-august-2016-20220328 (Australia - Row 9)</t>
        </is>
      </c>
      <c r="C225" t="inlineStr">
        <is>
          <t>p27</t>
        </is>
      </c>
      <c r="D225" s="11" t="inlineStr">
        <is>
          <t>Example of scaled digital advice in client's best interests</t>
        </is>
      </c>
      <c r="E225" t="inlineStr">
        <is>
          <t>27–28</t>
        </is>
      </c>
      <c r="F225" t="inlineStr">
        <is>
          <t>High</t>
        </is>
      </c>
      <c r="G225" t="inlineStr">
        <is>
          <t>Medium (interpretation)</t>
        </is>
      </c>
      <c r="H225" s="11" t="inlineStr">
        <is>
          <t>Data Sharing, Cross-border Transfer, Financial Data</t>
        </is>
      </c>
      <c r="I225" s="11" t="inlineStr">
        <is>
          <t>Financial Data</t>
        </is>
      </c>
      <c r="J225" t="inlineStr"/>
      <c r="K225" s="11" t="inlineStr">
        <is>
          <t>The example demonstrates that digital advice is in the client's best interests when it clearly identifies advice scope, explains consequences of limited advice, obtains client consent, provides ongoing reinforcement of scope limitations, and filters clients based on relevant circumstances. This ensures advice remains appropriate and within legal scope without direct interaction.</t>
        </is>
      </c>
      <c r="L225" s="11" t="inlineStr">
        <is>
          <t>Digital advice must clearly define scope, obtain explicit consent, and implement ongoing client communication to ensure advice remains within client's best interests during data transfers.</t>
        </is>
      </c>
      <c r="M225" s="11" t="inlineStr">
        <is>
          <t>• [Must] Clearly identify what advice is provided and what is not
• [Must] Explain consequences of proceeding with scaled advice
• [Must] Obtain client consent to proceed with scaled advice
• [Must] Provide pop-up information to reinforce limited scope and implications
• [Must] Identify whether client's circumstances are consistent with advice scope</t>
        </is>
      </c>
      <c r="N225" s="11" t="inlineStr">
        <is>
          <t>RG 255.99: In Example 5, we consider that the digital advice provider provides scaled advice that is in the best interests of the client.</t>
        </is>
      </c>
      <c r="O225" s="12" t="inlineStr">
        <is>
          <t>Open PDF</t>
        </is>
      </c>
    </row>
    <row r="226">
      <c r="A226" t="inlineStr">
        <is>
          <t>Australia</t>
        </is>
      </c>
      <c r="B226" t="inlineStr">
        <is>
          <t>rg255-published-30-august-2016-20220328 (Australia - Row 9)</t>
        </is>
      </c>
      <c r="C226" t="inlineStr">
        <is>
          <t>p28</t>
        </is>
      </c>
      <c r="D226" s="11" t="inlineStr">
        <is>
          <t>Triage and filtering process for digital advice</t>
        </is>
      </c>
      <c r="E226" t="inlineStr">
        <is>
          <t>28–29</t>
        </is>
      </c>
      <c r="F226" t="inlineStr">
        <is>
          <t>High</t>
        </is>
      </c>
      <c r="G226" t="inlineStr">
        <is>
          <t>High (explicit)</t>
        </is>
      </c>
      <c r="H226" s="11" t="inlineStr">
        <is>
          <t>Data Sharing, Cross-border Transfer, Financial Data</t>
        </is>
      </c>
      <c r="I226" s="11" t="inlineStr">
        <is>
          <t>Financial Data</t>
        </is>
      </c>
      <c r="J226" t="inlineStr">
        <is>
          <t>ASIC</t>
        </is>
      </c>
      <c r="K226" s="11" t="inlineStr">
        <is>
          <t>Digital advice providers must implement a robust triage or filtering process to identify clients for whom advice is inappropriate. This includes testing at key points in the advice process whether advice is appropriate and in the client's best interests, filtering clients who seek advice outside scope, and handling inconsistent client responses through clarification or exclusion.</t>
        </is>
      </c>
      <c r="L226" s="11" t="inlineStr">
        <is>
          <t>Digital advice providers must actively filter clients to ensure advice remains within scope and in client's best interests, critical for data transfer compliance.</t>
        </is>
      </c>
      <c r="M226" s="11" t="inlineStr">
        <is>
          <t>• [Must] Ensure robust triage or filtering process to identify inappropriate clients
• [Must] Test at key points whether advice is appropriate and in client's best interests
• [Must] Filter clients seeking advice outside scope of digital advice
• [Must] Identify inconsistencies in client responses and provide clarification or exclusion</t>
        </is>
      </c>
      <c r="N226" s="11" t="inlineStr">
        <is>
          <t>RG 255.102: If a client seeks advice on an area outside the scope of the advice being offered, the client should be filtered out of the digital advice model.</t>
        </is>
      </c>
      <c r="O226" s="12" t="inlineStr">
        <is>
          <t>Open PDF</t>
        </is>
      </c>
    </row>
    <row r="227">
      <c r="A227" t="inlineStr">
        <is>
          <t>Australia</t>
        </is>
      </c>
      <c r="B227" t="inlineStr">
        <is>
          <t>rg255-published-30-august-2016-20220328 (Australia - Row 9)</t>
        </is>
      </c>
      <c r="C227" t="inlineStr">
        <is>
          <t>p29</t>
        </is>
      </c>
      <c r="D227" s="11" t="inlineStr">
        <is>
          <t>Combined financial advice model example</t>
        </is>
      </c>
      <c r="E227" t="inlineStr">
        <is>
          <t>29–30</t>
        </is>
      </c>
      <c r="F227" t="inlineStr">
        <is>
          <t>High</t>
        </is>
      </c>
      <c r="G227" t="inlineStr">
        <is>
          <t>High (explicit)</t>
        </is>
      </c>
      <c r="H227" s="11" t="inlineStr">
        <is>
          <t>Data Sharing, Cross-border Transfer, Financial Data</t>
        </is>
      </c>
      <c r="I227" s="11" t="inlineStr">
        <is>
          <t>Financial Data</t>
        </is>
      </c>
      <c r="J227" t="inlineStr">
        <is>
          <t>ASIC</t>
        </is>
      </c>
      <c r="K227" s="11" t="inlineStr">
        <is>
          <t>A combined model uses digital advice tools for initial assessment and human advisers for complex cases. The digital tool filters clients based on circumstances, and human advisers verify information and provide tailored advice, ensuring compliance with best interests obligations and SOA requirements.</t>
        </is>
      </c>
      <c r="L227" s="11" t="inlineStr">
        <is>
          <t>Digital advice models must include mechanisms to identify and handle complex client cases to maintain data transfer compliance and client protection.</t>
        </is>
      </c>
      <c r="M227" s="11" t="inlineStr">
        <is>
          <t>• [Must] Use digital advice tool for initial assessment and human adviser for complex cases
• [Must] Verify client information with client
• [Must] Identify information gaps or inconsistencies
• [Must] Provide advice considering all client circumstances</t>
        </is>
      </c>
      <c r="N227" s="11" t="inlineStr">
        <is>
          <t>RG 255.106: In Example 6, a digital advice licensee provides a combined (or hybrid) financial product advice model. The licensee correctly filters the client out of the digital advice tool because the advice would not be appropriate for the client's more complex personal circumstances.</t>
        </is>
      </c>
      <c r="O227" s="12" t="inlineStr">
        <is>
          <t>Open PDF</t>
        </is>
      </c>
    </row>
    <row r="228">
      <c r="A228" t="inlineStr">
        <is>
          <t>Australia</t>
        </is>
      </c>
      <c r="B228" t="inlineStr">
        <is>
          <t>rg255-published-30-august-2016-20220328 (Australia - Row 9)</t>
        </is>
      </c>
      <c r="C228" t="inlineStr">
        <is>
          <t>p30</t>
        </is>
      </c>
      <c r="D228" s="11" t="inlineStr">
        <is>
          <t>Digital strategic advice without product recommendations</t>
        </is>
      </c>
      <c r="E228" t="inlineStr">
        <is>
          <t>30–31</t>
        </is>
      </c>
      <c r="F228" t="inlineStr">
        <is>
          <t>High</t>
        </is>
      </c>
      <c r="G228" t="inlineStr">
        <is>
          <t>High (explicit)</t>
        </is>
      </c>
      <c r="H228" s="11" t="inlineStr">
        <is>
          <t>Data Sharing, Cross-border Transfer, Financial Data</t>
        </is>
      </c>
      <c r="I228" s="11" t="inlineStr">
        <is>
          <t>Financial Data</t>
        </is>
      </c>
      <c r="J228" t="inlineStr">
        <is>
          <t>ASIC</t>
        </is>
      </c>
      <c r="K228" s="11" t="inlineStr">
        <is>
          <t>Digital advice providers must ensure clients understand advice scope, obtain consent, and confirm data completeness before generating SOAs. This includes verifying client circumstances and readiness to proceed with advice, critical for maintaining compliance in digital contexts.</t>
        </is>
      </c>
      <c r="L228" s="11" t="inlineStr">
        <is>
          <t>Digital advice providers must confirm client data completeness and readiness before finalizing advice to ensure data transfer compliance.</t>
        </is>
      </c>
      <c r="M228" s="11" t="inlineStr">
        <is>
          <t>• [Must] Confirm client has finished inputting data and is ready to proceed
• [Must] Provide SOA after confirming client circumstances are up to date and accurate</t>
        </is>
      </c>
      <c r="N228" s="11" t="inlineStr">
        <is>
          <t>RG 255.107: In a digital advice context, it may not always be clear when a client has finished inputting their data into the digital advice tool. This is because a client may 'play around' and change the variables of the tool.</t>
        </is>
      </c>
      <c r="O228" s="12" t="inlineStr">
        <is>
          <t>Open PDF</t>
        </is>
      </c>
    </row>
    <row r="229">
      <c r="A229" t="inlineStr">
        <is>
          <t>Australia</t>
        </is>
      </c>
      <c r="B229" t="inlineStr">
        <is>
          <t>rg255-published-30-august-2016-20220328 (Australia - Row 9)</t>
        </is>
      </c>
      <c r="C229" t="inlineStr">
        <is>
          <t>p31</t>
        </is>
      </c>
      <c r="D229" s="11" t="inlineStr">
        <is>
          <t>Digital advice algorithm monitoring and error correction</t>
        </is>
      </c>
      <c r="E229" t="inlineStr">
        <is>
          <t>31–32</t>
        </is>
      </c>
      <c r="F229" t="inlineStr">
        <is>
          <t>High</t>
        </is>
      </c>
      <c r="G229" t="inlineStr">
        <is>
          <t>High (explicit)</t>
        </is>
      </c>
      <c r="H229" s="11" t="inlineStr"/>
      <c r="I229" s="11" t="inlineStr">
        <is>
          <t>Financial Data</t>
        </is>
      </c>
      <c r="J229" t="inlineStr">
        <is>
          <t>ASIC</t>
        </is>
      </c>
      <c r="K229" s="11" t="inlineStr">
        <is>
          <t>Digital advice licensees must conduct frequent reviews of algorithms initially and after any changes, including testing scenarios to ensure advice quality. They must monitor algorithms through periodic and random reviews. If errors are detected that could cause client loss or breach the Corporations Act, licensees must immediately rectify the issues and stop providing advice until fixed. They must also have procedures to identify and contact clients affected by inappropriate advice.</t>
        </is>
      </c>
      <c r="L229" s="11" t="inlineStr">
        <is>
          <t>Requires robust algorithm testing and error correction protocols for digital advice, critical for ensuring data transfers via algorithms comply with regulatory safeguards and client protection standards.</t>
        </is>
      </c>
      <c r="M229" s="11" t="inlineStr">
        <is>
          <t>• [Must] Conduct frequent reviews of digital advice algorithms initially and after any changes
• [Must] Test scenarios to ensure quality of advice after algorithm changes
• [Must] Monitor algorithms through periodic and random advice reviews
• [Must] Immediately rectify algorithm errors that could cause client loss or breach the Corporations Act
• [Must] Stop providing advice until algorithm defects are rectified
• [Must] Have procedures to identify and contact clients affected by inappropriate advice</t>
        </is>
      </c>
      <c r="N229" s="11" t="inlineStr">
        <is>
          <t>Frequent reviews of digital advice should be conducted initially, and with heightened scrutiny when any change to an algorithm is made. When changes are made, it would be prudent to run a number of test scenarios to test the quality of advice provided. Algorithms should be regularly monitored and tested through periodic and random advice reviews.</t>
        </is>
      </c>
      <c r="O229" s="12" t="inlineStr">
        <is>
          <t>Open PDF</t>
        </is>
      </c>
    </row>
    <row r="230">
      <c r="A230" t="inlineStr">
        <is>
          <t>Australia</t>
        </is>
      </c>
      <c r="B230" t="inlineStr">
        <is>
          <t>rg255-published-30-august-2016-20220328 (Australia - Row 9)</t>
        </is>
      </c>
      <c r="C230" t="inlineStr">
        <is>
          <t>p32</t>
        </is>
      </c>
      <c r="D230" s="11" t="inlineStr">
        <is>
          <t>Relevant ASIC regulatory guides for digital advice</t>
        </is>
      </c>
      <c r="E230" t="inlineStr">
        <is>
          <t>32–33</t>
        </is>
      </c>
      <c r="F230" t="inlineStr">
        <is>
          <t>Medium</t>
        </is>
      </c>
      <c r="G230" t="inlineStr">
        <is>
          <t>Medium (minor interpretation)</t>
        </is>
      </c>
      <c r="H230" s="11" t="inlineStr"/>
      <c r="I230" s="11" t="inlineStr"/>
      <c r="J230" t="inlineStr"/>
      <c r="K230" s="11" t="inlineStr">
        <is>
          <t>This section lists regulatory guides that may be relevant to digital advice, including AFS licensing, product disclosure, training, and conflict of interest guidance. It emphasizes reading other ASIC guides for comprehensive compliance with financial services regulations.</t>
        </is>
      </c>
      <c r="L230" s="11" t="inlineStr"/>
      <c r="M230" s="11" t="inlineStr">
        <is>
          <t>• [Should] Read other relevant ASIC regulatory guides for comprehensive compliance</t>
        </is>
      </c>
      <c r="N230" s="11" t="inlineStr">
        <is>
          <t>This regulatory guide should be read in conjunction with other relevant regulatory guides issued by ASIC.</t>
        </is>
      </c>
      <c r="O230" s="12" t="inlineStr">
        <is>
          <t>Open PDF</t>
        </is>
      </c>
    </row>
    <row r="231">
      <c r="A231" t="inlineStr">
        <is>
          <t>Australia</t>
        </is>
      </c>
      <c r="B231" t="inlineStr">
        <is>
          <t>rg255-published-30-august-2016-20220328 (Australia - Row 9)</t>
        </is>
      </c>
      <c r="C231" t="inlineStr">
        <is>
          <t>p33</t>
        </is>
      </c>
      <c r="D231" s="11" t="inlineStr">
        <is>
          <t>Additional ASIC guidance on digital advice compliance</t>
        </is>
      </c>
      <c r="E231" t="inlineStr">
        <is>
          <t>33–34</t>
        </is>
      </c>
      <c r="F231" t="inlineStr">
        <is>
          <t>High</t>
        </is>
      </c>
      <c r="G231" t="inlineStr">
        <is>
          <t>High (explicit)</t>
        </is>
      </c>
      <c r="H231" s="11" t="inlineStr"/>
      <c r="I231" s="11" t="inlineStr">
        <is>
          <t>Financial Data</t>
        </is>
      </c>
      <c r="J231" t="inlineStr">
        <is>
          <t>ASIC</t>
        </is>
      </c>
      <c r="K231" s="11" t="inlineStr">
        <is>
          <t>This section details specific ASIC guidance on discretionary powers, product disclosure, financial product advisers, managed discretionary accounts, and conflicts of interest relevant to digital advice. It outlines obligations for managing conflicts and ensuring proper disclosure practices.</t>
        </is>
      </c>
      <c r="L231" s="11" t="inlineStr"/>
      <c r="M231" s="11" t="inlineStr">
        <is>
          <t>• [Should] Follow guidance on discretionary powers for compliance with Corporations Act
• [Must] Comply with product disclosure obligations for digital advice
• [Must] Adhere to conduct and disclosure obligations for financial product advisers
• [Must] Regulate managed discretionary account services for retail clients
• [Must] Manage conflicts of interest as required by s912A(1)(aa) of the Corporations Act</t>
        </is>
      </c>
      <c r="N231" s="11" t="inlineStr">
        <is>
          <t>RG 175 Licensing: Financial product advisers—Conduct and disclosure: This is a guide for persons who provide financial product advice to retail clients, and their professional advisers (e.g. lawyers).</t>
        </is>
      </c>
      <c r="O231" s="12" t="inlineStr">
        <is>
          <t>Open PDF</t>
        </is>
      </c>
    </row>
    <row r="232">
      <c r="A232" t="inlineStr">
        <is>
          <t>Australia</t>
        </is>
      </c>
      <c r="B232" t="inlineStr">
        <is>
          <t>rg255-published-30-august-2016-20220328 (Australia - Row 9)</t>
        </is>
      </c>
      <c r="C232" t="inlineStr">
        <is>
          <t>p34</t>
        </is>
      </c>
      <c r="D232" s="11" t="inlineStr">
        <is>
          <t>Digital advice fee and remuneration compliance</t>
        </is>
      </c>
      <c r="E232" t="inlineStr">
        <is>
          <t>34–35</t>
        </is>
      </c>
      <c r="F232" t="inlineStr">
        <is>
          <t>High</t>
        </is>
      </c>
      <c r="G232" t="inlineStr">
        <is>
          <t>High (explicit)</t>
        </is>
      </c>
      <c r="H232" s="11" t="inlineStr"/>
      <c r="I232" s="11" t="inlineStr">
        <is>
          <t>Financial Data</t>
        </is>
      </c>
      <c r="J232" t="inlineStr">
        <is>
          <t>ASIC</t>
        </is>
      </c>
      <c r="K232" s="11" t="inlineStr">
        <is>
          <t>This section covers guidance on scaled advice, conflicted remuneration, and ongoing fee arrangements for digital advice. It specifies obligations for fee disclosures, annual renewals, and written consent for fee deductions.</t>
        </is>
      </c>
      <c r="L232" s="11" t="inlineStr"/>
      <c r="M232" s="11" t="inlineStr">
        <is>
          <t>• [Must] Provide annual fee disclosure statements to clients
• [Must] Seek annual renewal of ongoing fee arrangements
• [Must] Obtain client written consent to deduct ongoing fees</t>
        </is>
      </c>
      <c r="N232" s="11" t="inlineStr">
        <is>
          <t>INFO 256 FAQs: Ongoing fee arrangements: This information sheet contains frequently asked questions (FAQs) that explain the obligations in Div 3 of Pt 7.7A and Pt 10.46 of the Corporations Act which apply to persons who provide personal advice to retail clients under an ongoing fee arrangement.</t>
        </is>
      </c>
      <c r="O232" s="12" t="inlineStr">
        <is>
          <t>Open PDF</t>
        </is>
      </c>
    </row>
    <row r="233">
      <c r="A233" t="inlineStr">
        <is>
          <t>Australia</t>
        </is>
      </c>
      <c r="B233" t="inlineStr">
        <is>
          <t>rg255-published-30-august-2016-20220328 (Australia - Row 9)</t>
        </is>
      </c>
      <c r="C233" t="inlineStr">
        <is>
          <t>p35</t>
        </is>
      </c>
      <c r="D233" s="11" t="inlineStr">
        <is>
          <t>Key terms for digital advice compliance</t>
        </is>
      </c>
      <c r="E233" t="inlineStr">
        <is>
          <t>35–36</t>
        </is>
      </c>
      <c r="F233" t="inlineStr">
        <is>
          <t>None</t>
        </is>
      </c>
      <c r="G233" t="inlineStr">
        <is>
          <t>High (explicit)</t>
        </is>
      </c>
      <c r="H233" s="11" t="inlineStr"/>
      <c r="I233" s="11" t="inlineStr"/>
      <c r="J233" t="inlineStr"/>
      <c r="K233" s="11" t="inlineStr">
        <is>
          <t>This section defines critical terms such as digital advice, digital advice licensee, and financial product advice, clarifying their meanings within the context of the Corporations Act and regulatory obligations. These definitions are essential for understanding compliance requirements.</t>
        </is>
      </c>
      <c r="L233" s="11" t="inlineStr"/>
      <c r="M233" s="11" t="inlineStr">
        <is>
          <t>• [Definition] Digital advice is defined as automated financial product advice using algorithms without direct human involvement
• [Definition] Digital advice licensee is an AFS licensee offering digital advice to retail clients
• [Definition] Financial product advice is a recommendation or statement of opinion intended to influence financial product decisions</t>
        </is>
      </c>
      <c r="N233" s="11" t="inlineStr">
        <is>
          <t>digital advice: Also known as 'robo-advice' or 'automated advice'—the provision of automated financial product advice using algorithms and technology and without the direct involvement of a human adviser</t>
        </is>
      </c>
      <c r="O233" s="12" t="inlineStr">
        <is>
          <t>Open PDF</t>
        </is>
      </c>
    </row>
    <row r="234">
      <c r="A234" t="inlineStr">
        <is>
          <t>Australia</t>
        </is>
      </c>
      <c r="B234" t="inlineStr">
        <is>
          <t>rg255-published-30-august-2016-20220328 (Australia - Row 9)</t>
        </is>
      </c>
      <c r="C234" t="inlineStr">
        <is>
          <t>p36</t>
        </is>
      </c>
      <c r="D234" s="11" t="inlineStr">
        <is>
          <t>Additional key terms for digital advice</t>
        </is>
      </c>
      <c r="E234" t="inlineStr">
        <is>
          <t>36–37</t>
        </is>
      </c>
      <c r="F234" t="inlineStr">
        <is>
          <t>None</t>
        </is>
      </c>
      <c r="G234" t="inlineStr">
        <is>
          <t>High (explicit)</t>
        </is>
      </c>
      <c r="H234" s="11" t="inlineStr"/>
      <c r="I234" s="11" t="inlineStr"/>
      <c r="J234" t="inlineStr"/>
      <c r="K234" s="11" t="inlineStr">
        <is>
          <t>This section provides further definitions of terms like client's relevant circumstances, Corporations Act, and financial product advice, which are crucial for understanding the scope and application of digital advice regulations.</t>
        </is>
      </c>
      <c r="L234" s="11" t="inlineStr"/>
      <c r="M234" s="11" t="inlineStr">
        <is>
          <t>• [Definition] Client's relevant circumstances include objectives, financial situation, and needs
• [Definition] Corporations Act refers to the Corporations Act 2001 and related regulations
• [Definition] Financial product advice is a recommendation or statement of opinion intended to influence financial product decisions</t>
        </is>
      </c>
      <c r="N234" s="11" t="inlineStr">
        <is>
          <t>client's relevant circumstances: The objectives, financial situation and needs of a client that would reasonably be considered relevant to the subject matter of advice sought by the client</t>
        </is>
      </c>
      <c r="O234" s="12" t="inlineStr">
        <is>
          <t>Open PDF</t>
        </is>
      </c>
    </row>
    <row r="235">
      <c r="A235" t="inlineStr">
        <is>
          <t>Australia</t>
        </is>
      </c>
      <c r="B235" t="inlineStr">
        <is>
          <t>rg255-published-30-august-2016-20220328 (Australia - Row 9)</t>
        </is>
      </c>
      <c r="C235" t="inlineStr">
        <is>
          <t>p37</t>
        </is>
      </c>
      <c r="D235" s="11" t="inlineStr">
        <is>
          <t>Definitions for digital financial advice and AFS licensees</t>
        </is>
      </c>
      <c r="E235" t="inlineStr">
        <is>
          <t>37–38</t>
        </is>
      </c>
      <c r="F235" t="inlineStr">
        <is>
          <t>High</t>
        </is>
      </c>
      <c r="G235" t="inlineStr">
        <is>
          <t>High (explicit)</t>
        </is>
      </c>
      <c r="H235" s="11" t="inlineStr"/>
      <c r="I235" s="11" t="inlineStr">
        <is>
          <t>Personal Information, Financial Data</t>
        </is>
      </c>
      <c r="J235" t="inlineStr">
        <is>
          <t>ASIC</t>
        </is>
      </c>
      <c r="K235" s="11" t="inlineStr">
        <is>
          <t>This section defines key terms used in providing digital financial product advice to retail clients. It specifies that general advice is non-personal advice, personal advice requires consideration of client objectives and financial situation, and outlines the roles of responsible managers, AFS licensees, and other critical entities. These definitions support compliance with the Corporations Act and ASIC regulatory requirements.</t>
        </is>
      </c>
      <c r="L235" s="11" t="inlineStr"/>
      <c r="M235" s="11" t="inlineStr">
        <is>
          <t>• [Definition] General advice is financial product advice that is not personal advice
• [Definition] Personal advice is financial product advice given or directed to a person in circumstances where the provider has considered one or more of the client's objectives, financial situation and needs
• [Definition] Responsible managers are persons nominated by an AFS licensee who are directly responsible for significant day-to-day decisions about the ongoing provision of financial services
• [Definition] Responsible managers must have appropriate knowledge and skills to ensure the licensee can provide financial services for which it has been authorised</t>
        </is>
      </c>
      <c r="N235" s="11" t="inlineStr">
        <is>
          <t>Term: general advice - Financial product advice that is not personal advice. Term: personal advice - Financial product advice given or directed to a person (including by electronic means) in circumstances where: the provider of the advice has considered one or more of the client's objectives, financial situation and needs; or a reasonable person might expect the provider to have considered one or more of these matters</t>
        </is>
      </c>
      <c r="O235" s="12" t="inlineStr">
        <is>
          <t>Open PDF</t>
        </is>
      </c>
    </row>
    <row r="236">
      <c r="A236" t="inlineStr">
        <is>
          <t>Australia</t>
        </is>
      </c>
      <c r="B236" t="inlineStr">
        <is>
          <t>rg255-published-30-august-2016-20220328 (Australia - Row 9)</t>
        </is>
      </c>
      <c r="C236" t="inlineStr">
        <is>
          <t>p38</t>
        </is>
      </c>
      <c r="D236" s="11" t="inlineStr">
        <is>
          <t>Digital advice documentation and best interests standards</t>
        </is>
      </c>
      <c r="E236" t="inlineStr">
        <is>
          <t>38–39</t>
        </is>
      </c>
      <c r="F236" t="inlineStr">
        <is>
          <t>High</t>
        </is>
      </c>
      <c r="G236" t="inlineStr">
        <is>
          <t>High (explicit)</t>
        </is>
      </c>
      <c r="H236" s="11" t="inlineStr"/>
      <c r="I236" s="11" t="inlineStr">
        <is>
          <t>Financial Data</t>
        </is>
      </c>
      <c r="J236" t="inlineStr">
        <is>
          <t>ASIC</t>
        </is>
      </c>
      <c r="K236" s="11" t="inlineStr">
        <is>
          <t>This section defines terms related to digital financial advice, including scaled advice as personal advice limited in scope, and the safe harbour for the best interests duty which refers to specific steps under the Corporations Act. It also specifies that a Statement of Advice (SOA) must be provided to clients for personal advice under certain conditions.</t>
        </is>
      </c>
      <c r="L236" s="11" t="inlineStr"/>
      <c r="M236" s="11" t="inlineStr">
        <is>
          <t>• [Definition] Scaled advice is personal advice that is limited in scope
• [Definition] Safe harbour for the best interests duty refers to the steps set out in s961B(2) of the Corporations Act
• [Definition] A Statement of Advice (SOA) must be given to a client for the provision of personal advice under Subdivs C and D of Div 3 of Pt 7.7 of the Corporations Act</t>
        </is>
      </c>
      <c r="N236" s="11" t="inlineStr">
        <is>
          <t>Term: scaled advice - Personal advice that is limited in scope. Term: safe harbour for the best interests duty - The steps set out in s961B(2) of the Corporations Act. Term: SOA (Statement of Advice) - A document that must be given to a client for the provision of personal advice under Subdivs C and D of Div 3 of Pt 7.7 of the Corporations Act</t>
        </is>
      </c>
      <c r="O236" s="12" t="inlineStr">
        <is>
          <t>Open PDF</t>
        </is>
      </c>
    </row>
    <row r="237">
      <c r="A237" t="inlineStr">
        <is>
          <t>Australia</t>
        </is>
      </c>
      <c r="B237" t="inlineStr">
        <is>
          <t>rg255-published-30-august-2016-20220328 (Australia - Row 9)</t>
        </is>
      </c>
      <c r="C237" t="inlineStr">
        <is>
          <t>p39</t>
        </is>
      </c>
      <c r="D237" s="11" t="inlineStr">
        <is>
          <t>Related information and legislative references for digital advice</t>
        </is>
      </c>
      <c r="E237" t="inlineStr">
        <is>
          <t>39–40</t>
        </is>
      </c>
      <c r="F237" t="inlineStr">
        <is>
          <t>High</t>
        </is>
      </c>
      <c r="G237" t="inlineStr">
        <is>
          <t>Medium (minor interpretation)</t>
        </is>
      </c>
      <c r="H237" s="11" t="inlineStr"/>
      <c r="I237" s="11" t="inlineStr">
        <is>
          <t>Financial Data</t>
        </is>
      </c>
      <c r="J237" t="inlineStr">
        <is>
          <t>ASIC</t>
        </is>
      </c>
      <c r="K237" s="11" t="inlineStr">
        <is>
          <t>This section lists related information and legislative references for digital financial advice, including headnotes on key terms, relevant legislation such as the Corporations Act, and regulatory instruments like ASIC's Corporations (Generic Calculators) Instrument and Product Disclosure Statements. It identifies specific regulations and guidance documents that support compliance with digital advice requirements.</t>
        </is>
      </c>
      <c r="L237" s="11" t="inlineStr"/>
      <c r="M237" s="11" t="inlineStr">
        <is>
          <t>• [Definition] Headnotes include advisers, AFS licensees, algorithms, automated advice, best interests duty, and other relevant terms
• [Definition] Legislation includes the Corporations Act, Ch 7, Pt 7.7, and specific sections such as 761G, 766B, 912A(1), and others
• [Definition] ASIC publications include the Corporations (Generic Calculators) Instrument 2016/207 and Corporations (Facilitating Electronic Delivery of Financial Services Disclosure) Instrument 2015/647</t>
        </is>
      </c>
      <c r="N237" s="11" t="inlineStr">
        <is>
          <t>Headnotes and legislation: advisers, AFS licensees, algorithms, authorised representatives, automated advice, best interests duty, compensation arrangements, compliance, cyber security, digital advice, exchange-traded funds, factual information, financial product advice, fintech, general advice, licensing, managed discretionary account, monitoring and testing, organisational competence, outsourcing, personal advice, record-keeping obligations, responsible manager, retail client, robo-advice, scaled advice, start-up business, technology, training and competence standards, triage or filtering process</t>
        </is>
      </c>
      <c r="O237" s="12" t="inlineStr">
        <is>
          <t>Open PDF</t>
        </is>
      </c>
    </row>
    <row r="238">
      <c r="A238" t="inlineStr">
        <is>
          <t>Australia</t>
        </is>
      </c>
      <c r="B238" t="inlineStr">
        <is>
          <t>rg255-published-30-august-2016-20220328 (Australia - Row 9)</t>
        </is>
      </c>
      <c r="C238" t="inlineStr">
        <is>
          <t>p40</t>
        </is>
      </c>
      <c r="D238" s="11" t="inlineStr">
        <is>
          <t>Regulatory guides and reports for digital advice compliance</t>
        </is>
      </c>
      <c r="E238" t="inlineStr">
        <is>
          <t>40</t>
        </is>
      </c>
      <c r="F238" t="inlineStr">
        <is>
          <t>High</t>
        </is>
      </c>
      <c r="G238" t="inlineStr">
        <is>
          <t>High (explicit)</t>
        </is>
      </c>
      <c r="H238" s="11" t="inlineStr"/>
      <c r="I238" s="11" t="inlineStr">
        <is>
          <t>Financial Data</t>
        </is>
      </c>
      <c r="J238" t="inlineStr">
        <is>
          <t>ASIC</t>
        </is>
      </c>
      <c r="K238" s="11" t="inlineStr">
        <is>
          <t>This section lists regulatory guides and reports relevant to digital financial advice, including ASIC's Regulatory Guide 3, RG 36, RG 78, RG 104, RG 105, RG 126, RG 146, RG 167, RG 168, RG 175, RG 179, RG 221, RG 244, and specific reports on cyber resilience. These resources provide detailed guidance on compliance with digital advice requirements and cybersecurity standards.</t>
        </is>
      </c>
      <c r="L238" s="11" t="inlineStr"/>
      <c r="M238" s="11" t="inlineStr">
        <is>
          <t>• [Definition] Regulatory guides include RG 3, RG 36, RG 78, RG 104, RG 105, RG 126, RG 146, RG 167, RG 168, RG 175, RG 179, RG 221, RG 244
• [Definition] Reports include REP 429 Cyber resilience: Health check and REP 468 Cyber resilience assessment report: ASX Group and Chi-X Australia Pty Ltd</t>
        </is>
      </c>
      <c r="N238" s="11" t="inlineStr">
        <is>
          <t>Regulatory guides: RG 3 AFS Licensing Kit: Part 3—Preparing your additional proofs, RG 36 Licensing: Financial product advice and dealing, RG 78 Breach reporting by AFS licensees and credit licensees, RG 104 AFS licensing: Meeting the general obligations, RG 105 AFS licensing: Organisational competence, RG 126 Compensation and insurance arrangements for AFS licensees, RG 146 Licensing: Training of financial product advisers, RG 167 Licensing: Discretionary powers, RG 168 Disclosure: Product Disclosure Statements (and other disclosure obligations), RG 175 Licensing: Financial product advisers—Conduct and disclosure, RG 179 Managed discretionary account services, RG 221 Facilitating digital financial services disclosures, RG 244 Giving information, general advice and scaled advice</t>
        </is>
      </c>
      <c r="O238" s="12" t="inlineStr">
        <is>
          <t>Open PDF</t>
        </is>
      </c>
    </row>
    <row r="239">
      <c r="A239" t="inlineStr">
        <is>
          <t>GDPR</t>
        </is>
      </c>
      <c r="B239" t="inlineStr">
        <is>
          <t>CELEX_32002L0058_EN_TXT (GDPR Row 7)</t>
        </is>
      </c>
      <c r="C239" t="inlineStr">
        <is>
          <t>1</t>
        </is>
      </c>
      <c r="D239" s="11" t="inlineStr">
        <is>
          <t>Subscriber directory information disclosure</t>
        </is>
      </c>
      <c r="E239" t="inlineStr">
        <is>
          <t>6–7</t>
        </is>
      </c>
      <c r="F239" t="inlineStr">
        <is>
          <t>Low</t>
        </is>
      </c>
      <c r="G239" t="inlineStr">
        <is>
          <t>High (explicit)</t>
        </is>
      </c>
      <c r="H239" s="11" t="inlineStr">
        <is>
          <t>Data Sharing, Data Storage</t>
        </is>
      </c>
      <c r="I239" s="11" t="inlineStr">
        <is>
          <t>Customer Data</t>
        </is>
      </c>
      <c r="J239" t="inlineStr"/>
      <c r="K239" s="11" t="inlineStr">
        <is>
          <t>Member States must ensure subscribers are informed free of charge before inclusion in public directories about directory purposes, data usage, and search functions. This applies to printed or electronic directories available to the public or through directory enquiry services.</t>
        </is>
      </c>
      <c r="L239" s="11" t="inlineStr">
        <is>
          <t>Requires transparency in directory data usage, impacting how financial institutions share customer data across borders through public directories.</t>
        </is>
      </c>
      <c r="M239" s="11" t="inlineStr">
        <is>
          <t>• [Must] Member States shall ensure subscribers are informed, free of charge and before they are included in the directory, about the purpose(s) of a printed or electronic directory of subscribers available to the public or obtainable through directory enquiry services
• [Must] Member States shall ensure subscribers are informed, free of charge and before they are included in the directory, about any further usage possibilities based on search functions embedded in electronic versions of the directory</t>
        </is>
      </c>
      <c r="N239" s="11" t="inlineStr">
        <is>
          <t>Member States shall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t>
        </is>
      </c>
      <c r="O239" s="12" t="inlineStr">
        <is>
          <t>Open PDF</t>
        </is>
      </c>
    </row>
    <row r="240">
      <c r="A240" t="inlineStr">
        <is>
          <t>GDPR</t>
        </is>
      </c>
      <c r="B240" t="inlineStr">
        <is>
          <t>CELEX_32002L0058_EN_TXT (GDPR Row 7)</t>
        </is>
      </c>
      <c r="C240" t="inlineStr">
        <is>
          <t>1</t>
        </is>
      </c>
      <c r="D240" s="11" t="inlineStr">
        <is>
          <t>Subscriber directory information disclosure</t>
        </is>
      </c>
      <c r="E240" t="inlineStr">
        <is>
          <t>7</t>
        </is>
      </c>
      <c r="F240" t="inlineStr">
        <is>
          <t>Low</t>
        </is>
      </c>
      <c r="G240" t="inlineStr">
        <is>
          <t>High (explicit)</t>
        </is>
      </c>
      <c r="H240" s="11" t="inlineStr">
        <is>
          <t>Data Sharing, Data Storage</t>
        </is>
      </c>
      <c r="I240" s="11" t="inlineStr">
        <is>
          <t>Customer Data</t>
        </is>
      </c>
      <c r="J240" t="inlineStr"/>
      <c r="K240" s="11" t="inlineStr">
        <is>
          <t>Member States must ensure subscribers are informed free of charge before inclusion in public directories about directory purposes, data usage, and search functions. This applies to printed or electronic directories available to the public or through directory enquiry services.</t>
        </is>
      </c>
      <c r="L240" s="11" t="inlineStr">
        <is>
          <t>Requires transparency in directory data usage, impacting how financial institutions share customer data across borders through public directories.</t>
        </is>
      </c>
      <c r="M240" s="11" t="inlineStr">
        <is>
          <t>• [Must] Member States shall ensure subscribers are informed, free of charge and before they are included in the directory, about the purpose(s) of a printed or electronic directory of subscribers available to the public or obtainable through directory enquiry services
• [Must] Member States shall ensure subscribers are informed, free of charge and before they are included in the directory, about any further usage possibilities based on search functions embedded in electronic versions of the directory</t>
        </is>
      </c>
      <c r="N240" s="11" t="inlineStr">
        <is>
          <t>Member States shall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t>
        </is>
      </c>
      <c r="O240" s="12" t="inlineStr">
        <is>
          <t>Open PDF</t>
        </is>
      </c>
    </row>
    <row r="241">
      <c r="A241" t="inlineStr">
        <is>
          <t>GDPR</t>
        </is>
      </c>
      <c r="B241" t="inlineStr">
        <is>
          <t>CELEX_32002L0058_EN_TXT (GDPR Row 7)</t>
        </is>
      </c>
      <c r="C241" t="inlineStr">
        <is>
          <t>1</t>
        </is>
      </c>
      <c r="D241" s="11" t="inlineStr">
        <is>
          <t>Subscriber directory information disclosure</t>
        </is>
      </c>
      <c r="E241" t="inlineStr">
        <is>
          <t>7–8</t>
        </is>
      </c>
      <c r="F241" t="inlineStr">
        <is>
          <t>Low</t>
        </is>
      </c>
      <c r="G241" t="inlineStr">
        <is>
          <t>High (explicit)</t>
        </is>
      </c>
      <c r="H241" s="11" t="inlineStr">
        <is>
          <t>Data Sharing, Data Storage</t>
        </is>
      </c>
      <c r="I241" s="11" t="inlineStr">
        <is>
          <t>Customer Data</t>
        </is>
      </c>
      <c r="J241" t="inlineStr"/>
      <c r="K241" s="11" t="inlineStr">
        <is>
          <t>Member States must ensure subscribers are informed free of charge before inclusion in public directories about directory purposes, data usage, and search functions. This applies to printed or electronic directories available to the public or through directory enquiry services.</t>
        </is>
      </c>
      <c r="L241" s="11" t="inlineStr">
        <is>
          <t>Requires transparency in directory data usage, impacting how financial institutions share customer data across borders through public directories.</t>
        </is>
      </c>
      <c r="M241" s="11" t="inlineStr">
        <is>
          <t>• [Must] Member States shall ensure subscribers are informed, free of charge and before they are included in the directory, about the purpose(s) of a printed or electronic directory of subscribers available to the public or obtainable through directory enquiry services
• [Must] Member States shall ensure subscribers are informed, free of charge and before they are included in the directory, about any further usage possibilities based on search functions embedded in electronic versions of the directory</t>
        </is>
      </c>
      <c r="N241" s="11" t="inlineStr">
        <is>
          <t>Member States shall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t>
        </is>
      </c>
      <c r="O241" s="12" t="inlineStr">
        <is>
          <t>Open PDF</t>
        </is>
      </c>
    </row>
    <row r="242">
      <c r="A242" t="inlineStr">
        <is>
          <t>GDPR</t>
        </is>
      </c>
      <c r="B242" t="inlineStr">
        <is>
          <t>CELEX_32002L0058_EN_TXT (GDPR Row 7)</t>
        </is>
      </c>
      <c r="C242" t="inlineStr">
        <is>
          <t>1</t>
        </is>
      </c>
      <c r="D242" s="11" t="inlineStr">
        <is>
          <t>Subscriber directory information disclosure</t>
        </is>
      </c>
      <c r="E242" t="inlineStr">
        <is>
          <t>9</t>
        </is>
      </c>
      <c r="F242" t="inlineStr">
        <is>
          <t>Low</t>
        </is>
      </c>
      <c r="G242" t="inlineStr">
        <is>
          <t>High (explicit)</t>
        </is>
      </c>
      <c r="H242" s="11" t="inlineStr">
        <is>
          <t>Data Sharing, Data Storage</t>
        </is>
      </c>
      <c r="I242" s="11" t="inlineStr">
        <is>
          <t>Customer Data</t>
        </is>
      </c>
      <c r="J242" t="inlineStr"/>
      <c r="K242" s="11" t="inlineStr">
        <is>
          <t>Member States must ensure subscribers are informed free of charge before inclusion in public directories about directory purposes, data usage, and search functions. This applies to printed or electronic directories available to the public or through directory enquiry services.</t>
        </is>
      </c>
      <c r="L242" s="11" t="inlineStr">
        <is>
          <t>Requires transparency in directory data usage, impacting how financial institutions share customer data across borders through public directories.</t>
        </is>
      </c>
      <c r="M242" s="11" t="inlineStr">
        <is>
          <t>• [Must] Member States shall ensure subscribers are informed, free of charge and before they are included in the directory, about the purpose(s) of a printed or electronic directory of subscribers available to the public or obtainable through directory enquiry services
• [Must] Member States shall ensure subscribers are informed, free of charge and before they are included in the directory, about any further usage possibilities based on search functions embedded in electronic versions of the directory</t>
        </is>
      </c>
      <c r="N242" s="11" t="inlineStr">
        <is>
          <t>Member States shall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t>
        </is>
      </c>
      <c r="O242" s="12" t="inlineStr">
        <is>
          <t>Open PDF</t>
        </is>
      </c>
    </row>
    <row r="243">
      <c r="A243" t="inlineStr">
        <is>
          <t>GDPR</t>
        </is>
      </c>
      <c r="B243" t="inlineStr">
        <is>
          <t>CELEX_32002L0058_EN_TXT (GDPR Row 7)</t>
        </is>
      </c>
      <c r="C243" t="inlineStr">
        <is>
          <t>1</t>
        </is>
      </c>
      <c r="D243" s="11" t="inlineStr">
        <is>
          <t>Subscriber directory information disclosure</t>
        </is>
      </c>
      <c r="E243" t="inlineStr">
        <is>
          <t>9</t>
        </is>
      </c>
      <c r="F243" t="inlineStr">
        <is>
          <t>Low</t>
        </is>
      </c>
      <c r="G243" t="inlineStr">
        <is>
          <t>High (explicit)</t>
        </is>
      </c>
      <c r="H243" s="11" t="inlineStr">
        <is>
          <t>Data Sharing, Data Storage</t>
        </is>
      </c>
      <c r="I243" s="11" t="inlineStr">
        <is>
          <t>Customer Data</t>
        </is>
      </c>
      <c r="J243" t="inlineStr"/>
      <c r="K243" s="11" t="inlineStr">
        <is>
          <t>Member States must ensure subscribers are informed free of charge before inclusion in public directories about directory purposes, data usage, and search functions. This applies to printed or electronic directories available to the public or through directory enquiry services.</t>
        </is>
      </c>
      <c r="L243" s="11" t="inlineStr">
        <is>
          <t>Requires transparency in directory data usage, impacting how financial institutions share customer data across borders through public directories.</t>
        </is>
      </c>
      <c r="M243" s="11" t="inlineStr">
        <is>
          <t>• [Must] Member States shall ensure subscribers are informed, free of charge and before they are included in the directory, about the purpose(s) of a printed or electronic directory of subscribers available to the public or obtainable through directory enquiry services
• [Must] Member States shall ensure subscribers are informed, free of charge and before they are included in the directory, about any further usage possibilities based on search functions embedded in electronic versions of the directory</t>
        </is>
      </c>
      <c r="N243" s="11" t="inlineStr">
        <is>
          <t>Member States shall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t>
        </is>
      </c>
      <c r="O243" s="12" t="inlineStr">
        <is>
          <t>Open PDF</t>
        </is>
      </c>
    </row>
    <row r="244">
      <c r="A244" t="inlineStr">
        <is>
          <t>GDPR</t>
        </is>
      </c>
      <c r="B244" t="inlineStr">
        <is>
          <t>CELEX_32002L0058_EN_TXT (GDPR Row 7)</t>
        </is>
      </c>
      <c r="C244" t="inlineStr">
        <is>
          <t>2</t>
        </is>
      </c>
      <c r="D244" s="11" t="inlineStr">
        <is>
          <t>Member States' obligation to report national law to Commission</t>
        </is>
      </c>
      <c r="E244" t="inlineStr">
        <is>
          <t>7</t>
        </is>
      </c>
      <c r="F244" t="inlineStr">
        <is>
          <t>Low</t>
        </is>
      </c>
      <c r="G244" t="inlineStr">
        <is>
          <t>High (explicit)</t>
        </is>
      </c>
      <c r="H244" s="11" t="inlineStr">
        <is>
          <t>Governance, Record Keeping</t>
        </is>
      </c>
      <c r="I244" s="11" t="inlineStr"/>
      <c r="J244" t="inlineStr">
        <is>
          <t>European Commission</t>
        </is>
      </c>
      <c r="K244"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4" s="11" t="inlineStr">
        <is>
          <t>Requires Member States to report national laws affecting data transfers, relevant for understanding jurisdictional boundaries in cross-border data flows.</t>
        </is>
      </c>
      <c r="M244"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4" s="11" t="inlineStr">
        <is>
          <t>Member States shall communicate to the Commission the text of the provisions of national law which they adopt in the field governed by this Directive and of any subsequent amendments to those provisions.</t>
        </is>
      </c>
      <c r="O244" s="12" t="inlineStr">
        <is>
          <t>Open PDF</t>
        </is>
      </c>
    </row>
    <row r="245">
      <c r="A245" t="inlineStr">
        <is>
          <t>GDPR</t>
        </is>
      </c>
      <c r="B245" t="inlineStr">
        <is>
          <t>CELEX_32002L0058_EN_TXT (GDPR Row 7)</t>
        </is>
      </c>
      <c r="C245" t="inlineStr">
        <is>
          <t>2</t>
        </is>
      </c>
      <c r="D245" s="11" t="inlineStr">
        <is>
          <t>Member States' obligation to report national law to Commission</t>
        </is>
      </c>
      <c r="E245" t="inlineStr">
        <is>
          <t>8</t>
        </is>
      </c>
      <c r="F245" t="inlineStr">
        <is>
          <t>Low</t>
        </is>
      </c>
      <c r="G245" t="inlineStr">
        <is>
          <t>High (explicit)</t>
        </is>
      </c>
      <c r="H245" s="11" t="inlineStr">
        <is>
          <t>Governance, Record Keeping</t>
        </is>
      </c>
      <c r="I245" s="11" t="inlineStr"/>
      <c r="J245" t="inlineStr">
        <is>
          <t>European Commission</t>
        </is>
      </c>
      <c r="K245"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5" s="11" t="inlineStr">
        <is>
          <t>Requires Member States to report national laws affecting data transfers, relevant for understanding jurisdictional boundaries in cross-border data flows.</t>
        </is>
      </c>
      <c r="M245"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5" s="11" t="inlineStr">
        <is>
          <t>Member States shall communicate to the Commission the text of the provisions of national law which they adopt in the field governed by this Directive and of any subsequent amendments to those provisions.</t>
        </is>
      </c>
      <c r="O245" s="12" t="inlineStr">
        <is>
          <t>Open PDF</t>
        </is>
      </c>
    </row>
    <row r="246">
      <c r="A246" t="inlineStr">
        <is>
          <t>GDPR</t>
        </is>
      </c>
      <c r="B246" t="inlineStr">
        <is>
          <t>CELEX_32002L0058_EN_TXT (GDPR Row 7)</t>
        </is>
      </c>
      <c r="C246" t="inlineStr">
        <is>
          <t>2</t>
        </is>
      </c>
      <c r="D246" s="11" t="inlineStr">
        <is>
          <t>Member States' obligation to report national law to Commission</t>
        </is>
      </c>
      <c r="E246" t="inlineStr">
        <is>
          <t>8</t>
        </is>
      </c>
      <c r="F246" t="inlineStr">
        <is>
          <t>Low</t>
        </is>
      </c>
      <c r="G246" t="inlineStr">
        <is>
          <t>High (explicit)</t>
        </is>
      </c>
      <c r="H246" s="11" t="inlineStr">
        <is>
          <t>Governance, Record Keeping</t>
        </is>
      </c>
      <c r="I246" s="11" t="inlineStr"/>
      <c r="J246" t="inlineStr">
        <is>
          <t>European Commission</t>
        </is>
      </c>
      <c r="K246"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6" s="11" t="inlineStr">
        <is>
          <t>Requires Member States to report national laws affecting data transfers, relevant for understanding jurisdictional boundaries in cross-border data flows.</t>
        </is>
      </c>
      <c r="M246"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6" s="11" t="inlineStr">
        <is>
          <t>Member States shall communicate to the Commission the text of the provisions of national law which they adopt in the field governed by this Directive and of any subsequent amendments to those provisions.</t>
        </is>
      </c>
      <c r="O246" s="12" t="inlineStr">
        <is>
          <t>Open PDF</t>
        </is>
      </c>
    </row>
    <row r="247">
      <c r="A247" t="inlineStr">
        <is>
          <t>GDPR</t>
        </is>
      </c>
      <c r="B247" t="inlineStr">
        <is>
          <t>CELEX_32002L0058_EN_TXT (GDPR Row 7)</t>
        </is>
      </c>
      <c r="C247" t="inlineStr">
        <is>
          <t>2</t>
        </is>
      </c>
      <c r="D247" s="11" t="inlineStr">
        <is>
          <t>Member States' obligation to report national law to Commission</t>
        </is>
      </c>
      <c r="E247" t="inlineStr">
        <is>
          <t>9</t>
        </is>
      </c>
      <c r="F247" t="inlineStr">
        <is>
          <t>Low</t>
        </is>
      </c>
      <c r="G247" t="inlineStr">
        <is>
          <t>High (explicit)</t>
        </is>
      </c>
      <c r="H247" s="11" t="inlineStr">
        <is>
          <t>Governance, Record Keeping</t>
        </is>
      </c>
      <c r="I247" s="11" t="inlineStr"/>
      <c r="J247" t="inlineStr">
        <is>
          <t>European Commission</t>
        </is>
      </c>
      <c r="K247"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7" s="11" t="inlineStr">
        <is>
          <t>Requires Member States to report national laws affecting data transfers, relevant for understanding jurisdictional boundaries in cross-border data flows.</t>
        </is>
      </c>
      <c r="M247"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7" s="11" t="inlineStr">
        <is>
          <t>Member States shall communicate to the Commission the text of the provisions of national law which they adopt in the field governed by this Directive and of any subsequent amendments to those provisions.</t>
        </is>
      </c>
      <c r="O247" s="12" t="inlineStr">
        <is>
          <t>Open PDF</t>
        </is>
      </c>
    </row>
    <row r="248">
      <c r="A248" t="inlineStr">
        <is>
          <t>GDPR</t>
        </is>
      </c>
      <c r="B248" t="inlineStr">
        <is>
          <t>CELEX_32002L0058_EN_TXT (GDPR Row 7)</t>
        </is>
      </c>
      <c r="C248" t="inlineStr">
        <is>
          <t>2</t>
        </is>
      </c>
      <c r="D248" s="11" t="inlineStr">
        <is>
          <t>Member States' obligation to report national law to Commission</t>
        </is>
      </c>
      <c r="E248" t="inlineStr">
        <is>
          <t>9</t>
        </is>
      </c>
      <c r="F248" t="inlineStr">
        <is>
          <t>Low</t>
        </is>
      </c>
      <c r="G248" t="inlineStr">
        <is>
          <t>High (explicit)</t>
        </is>
      </c>
      <c r="H248" s="11" t="inlineStr">
        <is>
          <t>Governance, Record Keeping</t>
        </is>
      </c>
      <c r="I248" s="11" t="inlineStr"/>
      <c r="J248" t="inlineStr">
        <is>
          <t>European Commission</t>
        </is>
      </c>
      <c r="K248"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8" s="11" t="inlineStr">
        <is>
          <t>Requires Member States to report national laws affecting data transfers, relevant for understanding jurisdictional boundaries in cross-border data flows.</t>
        </is>
      </c>
      <c r="M248"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8" s="11" t="inlineStr">
        <is>
          <t>Member States shall communicate to the Commission the text of the provisions of national law which they adopt in the field governed by this Directive and of any subsequent amendments to those provisions.</t>
        </is>
      </c>
      <c r="O248" s="12" t="inlineStr">
        <is>
          <t>Open PDF</t>
        </is>
      </c>
    </row>
    <row r="249">
      <c r="A249" t="inlineStr">
        <is>
          <t>GDPR</t>
        </is>
      </c>
      <c r="B249" t="inlineStr">
        <is>
          <t>CELEX_32002L0058_EN_TXT (GDPR Row 7)</t>
        </is>
      </c>
      <c r="C249" t="inlineStr">
        <is>
          <t>2</t>
        </is>
      </c>
      <c r="D249" s="11" t="inlineStr">
        <is>
          <t>Member States' obligation to report national law to Commission</t>
        </is>
      </c>
      <c r="E249" t="inlineStr">
        <is>
          <t>10</t>
        </is>
      </c>
      <c r="F249" t="inlineStr">
        <is>
          <t>Low</t>
        </is>
      </c>
      <c r="G249" t="inlineStr">
        <is>
          <t>High (explicit)</t>
        </is>
      </c>
      <c r="H249" s="11" t="inlineStr">
        <is>
          <t>Governance, Record Keeping</t>
        </is>
      </c>
      <c r="I249" s="11" t="inlineStr"/>
      <c r="J249" t="inlineStr">
        <is>
          <t>European Commission</t>
        </is>
      </c>
      <c r="K249"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49" s="11" t="inlineStr">
        <is>
          <t>Requires Member States to report national laws affecting data transfers, relevant for understanding jurisdictional boundaries in cross-border data flows.</t>
        </is>
      </c>
      <c r="M249"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49" s="11" t="inlineStr">
        <is>
          <t>Member States shall communicate to the Commission the text of the provisions of national law which they adopt in the field governed by this Directive and of any subsequent amendments to those provisions.</t>
        </is>
      </c>
      <c r="O249" s="12" t="inlineStr">
        <is>
          <t>Open PDF</t>
        </is>
      </c>
    </row>
    <row r="250">
      <c r="A250" t="inlineStr">
        <is>
          <t>GDPR</t>
        </is>
      </c>
      <c r="B250" t="inlineStr">
        <is>
          <t>CELEX_32002L0058_EN_TXT (GDPR Row 7)</t>
        </is>
      </c>
      <c r="C250" t="inlineStr">
        <is>
          <t>2</t>
        </is>
      </c>
      <c r="D250" s="11" t="inlineStr">
        <is>
          <t>Member States' obligation to report national law to Commission</t>
        </is>
      </c>
      <c r="E250" t="inlineStr">
        <is>
          <t>11</t>
        </is>
      </c>
      <c r="F250" t="inlineStr">
        <is>
          <t>Low</t>
        </is>
      </c>
      <c r="G250" t="inlineStr">
        <is>
          <t>High (explicit)</t>
        </is>
      </c>
      <c r="H250" s="11" t="inlineStr">
        <is>
          <t>Governance, Record Keeping</t>
        </is>
      </c>
      <c r="I250" s="11" t="inlineStr"/>
      <c r="J250" t="inlineStr">
        <is>
          <t>European Commission</t>
        </is>
      </c>
      <c r="K250" s="11" t="inlineStr">
        <is>
          <t>Member States must report to the European Commission the text of national laws they adopt implementing this Directive and any subsequent amendments. The Commission is required to submit a report to the European Parliament and Council within three years of the Directive's entry into force, assessing its application and economic impact, particularly regarding unsolicited communications. The Commission may request information from Member States without undue delay to inform this report.</t>
        </is>
      </c>
      <c r="L250" s="11" t="inlineStr">
        <is>
          <t>Requires Member States to report national laws affecting data transfers, relevant for understanding jurisdictional boundaries in cross-border data flows.</t>
        </is>
      </c>
      <c r="M250" s="11" t="inlineStr">
        <is>
          <t>• [Must] Member States shall communicate to the Commission the text of national law provisions adopted in the field governed by this Directive
• [Must] Member States shall communicate any subsequent amendments to national law provisions
• [Must] Commission shall submit report to European Parliament and Council within three years of Directive entry into force
• [May] Commission may request information from Member States without undue delay</t>
        </is>
      </c>
      <c r="N250" s="11" t="inlineStr">
        <is>
          <t>Member States shall communicate to the Commission the text of the provisions of national law which they adopt in the field governed by this Directive and of any subsequent amendments to those provisions.</t>
        </is>
      </c>
      <c r="O250" s="12" t="inlineStr">
        <is>
          <t>Open PDF</t>
        </is>
      </c>
    </row>
    <row r="251">
      <c r="A251" t="inlineStr">
        <is>
          <t>GDPR</t>
        </is>
      </c>
      <c r="B251" t="inlineStr">
        <is>
          <t>CELEX_32002L0058_EN_TXT (GDPR Row 7)</t>
        </is>
      </c>
      <c r="C251" t="inlineStr">
        <is>
          <t>3</t>
        </is>
      </c>
      <c r="D251" s="11" t="inlineStr">
        <is>
          <t>Working Party on individual data protection tasks</t>
        </is>
      </c>
      <c r="E251" t="inlineStr">
        <is>
          <t>7</t>
        </is>
      </c>
      <c r="F251" t="inlineStr">
        <is>
          <t>None</t>
        </is>
      </c>
      <c r="G251" t="inlineStr">
        <is>
          <t>High (explicit)</t>
        </is>
      </c>
      <c r="H251" s="11" t="inlineStr"/>
      <c r="I251" s="11" t="inlineStr"/>
      <c r="J251" t="inlineStr"/>
      <c r="K251"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1" s="11" t="inlineStr">
        <is>
          <t>Does not directly impact data transfer impact assessments as it is a procedural task for a specific working group, not a data transfer requirement.</t>
        </is>
      </c>
      <c r="M251" s="11" t="inlineStr"/>
      <c r="N251"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1" s="12" t="inlineStr">
        <is>
          <t>Open PDF</t>
        </is>
      </c>
    </row>
    <row r="252">
      <c r="A252" t="inlineStr">
        <is>
          <t>GDPR</t>
        </is>
      </c>
      <c r="B252" t="inlineStr">
        <is>
          <t>CELEX_32002L0058_EN_TXT (GDPR Row 7)</t>
        </is>
      </c>
      <c r="C252" t="inlineStr">
        <is>
          <t>3</t>
        </is>
      </c>
      <c r="D252" s="11" t="inlineStr">
        <is>
          <t>Working Party on individual data protection tasks</t>
        </is>
      </c>
      <c r="E252" t="inlineStr">
        <is>
          <t>8</t>
        </is>
      </c>
      <c r="F252" t="inlineStr">
        <is>
          <t>None</t>
        </is>
      </c>
      <c r="G252" t="inlineStr">
        <is>
          <t>High (explicit)</t>
        </is>
      </c>
      <c r="H252" s="11" t="inlineStr"/>
      <c r="I252" s="11" t="inlineStr"/>
      <c r="J252" t="inlineStr"/>
      <c r="K252"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2" s="11" t="inlineStr">
        <is>
          <t>Does not directly impact data transfer impact assessments as it is a procedural task for a specific working group, not a data transfer requirement.</t>
        </is>
      </c>
      <c r="M252" s="11" t="inlineStr"/>
      <c r="N252"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2" s="12" t="inlineStr">
        <is>
          <t>Open PDF</t>
        </is>
      </c>
    </row>
    <row r="253">
      <c r="A253" t="inlineStr">
        <is>
          <t>GDPR</t>
        </is>
      </c>
      <c r="B253" t="inlineStr">
        <is>
          <t>CELEX_32002L0058_EN_TXT (GDPR Row 7)</t>
        </is>
      </c>
      <c r="C253" t="inlineStr">
        <is>
          <t>3</t>
        </is>
      </c>
      <c r="D253" s="11" t="inlineStr">
        <is>
          <t>Working Party on individual data protection tasks</t>
        </is>
      </c>
      <c r="E253" t="inlineStr">
        <is>
          <t>8</t>
        </is>
      </c>
      <c r="F253" t="inlineStr">
        <is>
          <t>None</t>
        </is>
      </c>
      <c r="G253" t="inlineStr">
        <is>
          <t>High (explicit)</t>
        </is>
      </c>
      <c r="H253" s="11" t="inlineStr"/>
      <c r="I253" s="11" t="inlineStr"/>
      <c r="J253" t="inlineStr"/>
      <c r="K253"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3" s="11" t="inlineStr">
        <is>
          <t>Does not directly impact data transfer impact assessments as it is a procedural task for a specific working group, not a data transfer requirement.</t>
        </is>
      </c>
      <c r="M253" s="11" t="inlineStr"/>
      <c r="N253"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3" s="12" t="inlineStr">
        <is>
          <t>Open PDF</t>
        </is>
      </c>
    </row>
    <row r="254">
      <c r="A254" t="inlineStr">
        <is>
          <t>GDPR</t>
        </is>
      </c>
      <c r="B254" t="inlineStr">
        <is>
          <t>CELEX_32002L0058_EN_TXT (GDPR Row 7)</t>
        </is>
      </c>
      <c r="C254" t="inlineStr">
        <is>
          <t>3</t>
        </is>
      </c>
      <c r="D254" s="11" t="inlineStr">
        <is>
          <t>Working Party on individual data protection tasks</t>
        </is>
      </c>
      <c r="E254" t="inlineStr">
        <is>
          <t>9</t>
        </is>
      </c>
      <c r="F254" t="inlineStr">
        <is>
          <t>None</t>
        </is>
      </c>
      <c r="G254" t="inlineStr">
        <is>
          <t>High (explicit)</t>
        </is>
      </c>
      <c r="H254" s="11" t="inlineStr"/>
      <c r="I254" s="11" t="inlineStr"/>
      <c r="J254" t="inlineStr"/>
      <c r="K254"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4" s="11" t="inlineStr">
        <is>
          <t>Does not directly impact data transfer impact assessments as it is a procedural task for a specific working group, not a data transfer requirement.</t>
        </is>
      </c>
      <c r="M254" s="11" t="inlineStr"/>
      <c r="N254"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4" s="12" t="inlineStr">
        <is>
          <t>Open PDF</t>
        </is>
      </c>
    </row>
    <row r="255">
      <c r="A255" t="inlineStr">
        <is>
          <t>GDPR</t>
        </is>
      </c>
      <c r="B255" t="inlineStr">
        <is>
          <t>CELEX_32002L0058_EN_TXT (GDPR Row 7)</t>
        </is>
      </c>
      <c r="C255" t="inlineStr">
        <is>
          <t>3</t>
        </is>
      </c>
      <c r="D255" s="11" t="inlineStr">
        <is>
          <t>Working Party on individual data protection tasks</t>
        </is>
      </c>
      <c r="E255" t="inlineStr">
        <is>
          <t>10</t>
        </is>
      </c>
      <c r="F255" t="inlineStr">
        <is>
          <t>None</t>
        </is>
      </c>
      <c r="G255" t="inlineStr">
        <is>
          <t>High (explicit)</t>
        </is>
      </c>
      <c r="H255" s="11" t="inlineStr"/>
      <c r="I255" s="11" t="inlineStr"/>
      <c r="J255" t="inlineStr"/>
      <c r="K255"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5" s="11" t="inlineStr">
        <is>
          <t>Does not directly impact data transfer impact assessments as it is a procedural task for a specific working group, not a data transfer requirement.</t>
        </is>
      </c>
      <c r="M255" s="11" t="inlineStr"/>
      <c r="N255"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5" s="12" t="inlineStr">
        <is>
          <t>Open PDF</t>
        </is>
      </c>
    </row>
    <row r="256">
      <c r="A256" t="inlineStr">
        <is>
          <t>GDPR</t>
        </is>
      </c>
      <c r="B256" t="inlineStr">
        <is>
          <t>CELEX_32002L0058_EN_TXT (GDPR Row 7)</t>
        </is>
      </c>
      <c r="C256" t="inlineStr">
        <is>
          <t>3</t>
        </is>
      </c>
      <c r="D256" s="11" t="inlineStr">
        <is>
          <t>Working Party on individual data protection tasks</t>
        </is>
      </c>
      <c r="E256" t="inlineStr">
        <is>
          <t>10</t>
        </is>
      </c>
      <c r="F256" t="inlineStr">
        <is>
          <t>None</t>
        </is>
      </c>
      <c r="G256" t="inlineStr">
        <is>
          <t>High (explicit)</t>
        </is>
      </c>
      <c r="H256" s="11" t="inlineStr"/>
      <c r="I256" s="11" t="inlineStr"/>
      <c r="J256" t="inlineStr"/>
      <c r="K256" s="11" t="inlineStr">
        <is>
          <t>The Working Party on the Protection of Individuals with regard to the Processing of Personal Data (established under Article 29 of Directive 95/46/EC) must carry out tasks related to protecting fundamental rights and freedoms and legitimate interests in the electronic communications sector.</t>
        </is>
      </c>
      <c r="L256" s="11" t="inlineStr">
        <is>
          <t>Does not directly impact data transfer impact assessments as it is a procedural task for a specific working group, not a data transfer requirement.</t>
        </is>
      </c>
      <c r="M256" s="11" t="inlineStr"/>
      <c r="N256" s="11" t="inlineStr">
        <is>
          <t>The Working Party on the Protection of Individuals with regard to the Processing of Personal Data instituted by Article 29 of Directive 95/46/EC shall also carry out the tasks laid down in Article 30 of that Directive with regard to matters covered by this Directive, namely the protection of fundamental rights and freedoms and of legitimate interests in the electronic communications sector.</t>
        </is>
      </c>
      <c r="O256" s="12" t="inlineStr">
        <is>
          <t>Open PDF</t>
        </is>
      </c>
    </row>
    <row r="257">
      <c r="A257" t="inlineStr">
        <is>
          <t>GDPR</t>
        </is>
      </c>
      <c r="B257" t="inlineStr">
        <is>
          <t>CELEX_32002L0058_EN_TXT (GDPR Row 7)</t>
        </is>
      </c>
      <c r="C257" t="inlineStr">
        <is>
          <t>4</t>
        </is>
      </c>
      <c r="D257" s="11" t="inlineStr">
        <is>
          <t>Informing subscribers about traffic data processing</t>
        </is>
      </c>
      <c r="E257" t="inlineStr">
        <is>
          <t>8</t>
        </is>
      </c>
      <c r="F257" t="inlineStr">
        <is>
          <t>High</t>
        </is>
      </c>
      <c r="G257" t="inlineStr">
        <is>
          <t>High (explicit)</t>
        </is>
      </c>
      <c r="H257" s="11" t="inlineStr">
        <is>
          <t>Cross-border Transfer, Data Sharing, Consent</t>
        </is>
      </c>
      <c r="I257" s="11" t="inlineStr"/>
      <c r="J257" t="inlineStr"/>
      <c r="K257" s="11" t="inlineStr">
        <is>
          <t>Service providers must inform subscribers about the types of traffic data processed and the duration of processing for billing and interconnection purposes. This disclosure must occur prior to obtaining consent for marketing activities.</t>
        </is>
      </c>
      <c r="L257" s="11" t="inlineStr">
        <is>
          <t>Mandates transparency about traffic data processing duration and scope, critical for DTIA compliance in telecom data transfers.</t>
        </is>
      </c>
      <c r="M257" s="11" t="inlineStr">
        <is>
          <t>• [Must] Service provider must inform subscriber of types of traffic data processed
• [Must] Service provider must inform subscriber of duration of processing for billing and interconnection purposes
• [Must] Service provider must inform subscriber of purposes before obtaining consent for marketing</t>
        </is>
      </c>
      <c r="N257" s="11" t="inlineStr">
        <is>
          <t>4. The service provider must inform the subscriber or user of the types of traffic data which are processed and of the duration of such processing for the purposes mentioned in paragraph 2 and, prior to obtaining consent, for the purposes mentioned in paragraph 3.</t>
        </is>
      </c>
      <c r="O257" s="12" t="inlineStr">
        <is>
          <t>Open PDF</t>
        </is>
      </c>
    </row>
    <row r="258">
      <c r="A258" t="inlineStr">
        <is>
          <t>GDPR</t>
        </is>
      </c>
      <c r="B258" t="inlineStr">
        <is>
          <t>CELEX_32002L0058_EN_TXT (GDPR Row 7)</t>
        </is>
      </c>
      <c r="C258" t="inlineStr">
        <is>
          <t>5</t>
        </is>
      </c>
      <c r="D258" s="11" t="inlineStr">
        <is>
          <t>Restrictions on traffic data processing recipients</t>
        </is>
      </c>
      <c r="E258" t="inlineStr">
        <is>
          <t>8</t>
        </is>
      </c>
      <c r="F258" t="inlineStr">
        <is>
          <t>High</t>
        </is>
      </c>
      <c r="G258" t="inlineStr">
        <is>
          <t>High (explicit)</t>
        </is>
      </c>
      <c r="H258" s="11" t="inlineStr">
        <is>
          <t>Cross-border Transfer, Data Storage, Processing</t>
        </is>
      </c>
      <c r="I258" s="11" t="inlineStr"/>
      <c r="J258" t="inlineStr"/>
      <c r="K258" s="11" t="inlineStr">
        <is>
          <t>Traffic data processing must be limited to persons authorized by providers of public communications networks and services handling billing, traffic management, customer enquiries, fraud detection, marketing, or value-added services. Processing must be restricted to what is necessary for these activities.</t>
        </is>
      </c>
      <c r="L258" s="11" t="inlineStr">
        <is>
          <t>Defines permissible recipients for traffic data transfers, ensuring only authorized entities handle data for billing and service purposes across borders.</t>
        </is>
      </c>
      <c r="M258" s="11" t="inlineStr">
        <is>
          <t>• [Must] Processing must be restricted to persons acting under authority of providers of public communications networks
• [Must] Processing must be restricted to persons handling billing or traffic management
• [Must] Processing must be restricted to persons handling customer enquiries
• [Must] Processing must be restricted to persons handling fraud detection
• [Must] Processing must be restricted to persons handling marketing electronic communications services
• [Must] Processing must be restricted to persons providing value added services
• [Must] Processing must be restricted to what is necessary for such activities</t>
        </is>
      </c>
      <c r="N258" s="11" t="inlineStr">
        <is>
          <t>5. Processing of traffic data, in accordance with paragraphs 1, 2, 3 and 4,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58" s="12" t="inlineStr">
        <is>
          <t>Open PDF</t>
        </is>
      </c>
    </row>
    <row r="259">
      <c r="A259" t="inlineStr">
        <is>
          <t>GDPR</t>
        </is>
      </c>
      <c r="B259" t="inlineStr">
        <is>
          <t>CELEX_32015L2366_EN_TXT (GDPR - Row 18)</t>
        </is>
      </c>
      <c r="C259" t="inlineStr">
        <is>
          <t>1</t>
        </is>
      </c>
      <c r="D259" s="11" t="inlineStr">
        <is>
          <t>Payment account services definition</t>
        </is>
      </c>
      <c r="E259" t="inlineStr">
        <is>
          <t>3</t>
        </is>
      </c>
      <c r="F259" t="inlineStr">
        <is>
          <t>Medium</t>
        </is>
      </c>
      <c r="G259" t="inlineStr">
        <is>
          <t>High (explicit)</t>
        </is>
      </c>
      <c r="H259" s="11" t="inlineStr"/>
      <c r="I259" s="11" t="inlineStr"/>
      <c r="J259" t="inlineStr"/>
      <c r="K259" s="11" t="inlineStr">
        <is>
          <t>This section defines payment account services as services that enable cash to be placed on a payment account and all operations required for operating a payment account. It provides a clear scope for payment services under the directive.</t>
        </is>
      </c>
      <c r="L259" s="11" t="inlineStr"/>
      <c r="M259" s="11" t="inlineStr">
        <is>
          <t>• [Definition] Services enabling cash to be placed on a payment account as well as all the operations required for operating a payment account</t>
        </is>
      </c>
      <c r="N259" s="11" t="inlineStr">
        <is>
          <t>Services enabling cash to be placed on a payment account as well as all the operations required for operating a payment account.</t>
        </is>
      </c>
      <c r="O259" s="12" t="inlineStr">
        <is>
          <t>Open PDF</t>
        </is>
      </c>
    </row>
    <row r="260">
      <c r="A260" t="inlineStr">
        <is>
          <t>GDPR</t>
        </is>
      </c>
      <c r="B260" t="inlineStr">
        <is>
          <t>CELEX_32015L2366_EN_TXT (GDPR - Row 18)</t>
        </is>
      </c>
      <c r="C260" t="inlineStr">
        <is>
          <t>1</t>
        </is>
      </c>
      <c r="D260" s="11" t="inlineStr">
        <is>
          <t>Payment account services definition</t>
        </is>
      </c>
      <c r="E260" t="inlineStr">
        <is>
          <t>4</t>
        </is>
      </c>
      <c r="F260" t="inlineStr">
        <is>
          <t>Medium</t>
        </is>
      </c>
      <c r="G260" t="inlineStr">
        <is>
          <t>High (explicit)</t>
        </is>
      </c>
      <c r="H260" s="11" t="inlineStr"/>
      <c r="I260" s="11" t="inlineStr"/>
      <c r="J260" t="inlineStr"/>
      <c r="K260" s="11" t="inlineStr">
        <is>
          <t>This section defines payment account services as services that enable cash to be placed on a payment account and all operations required for operating a payment account. It provides a clear scope for payment services under the directive.</t>
        </is>
      </c>
      <c r="L260" s="11" t="inlineStr"/>
      <c r="M260" s="11" t="inlineStr">
        <is>
          <t>• [Definition] Services enabling cash to be placed on a payment account as well as all the operations required for operating a payment account</t>
        </is>
      </c>
      <c r="N260" s="11" t="inlineStr">
        <is>
          <t>Services enabling cash to be placed on a payment account as well as all the operations required for operating a payment account.</t>
        </is>
      </c>
      <c r="O260" s="12" t="inlineStr">
        <is>
          <t>Open PDF</t>
        </is>
      </c>
    </row>
    <row r="261">
      <c r="A261" t="inlineStr">
        <is>
          <t>GDPR</t>
        </is>
      </c>
      <c r="B261" t="inlineStr">
        <is>
          <t>CELEX_32015L2366_EN_TXT (GDPR - Row 18)</t>
        </is>
      </c>
      <c r="C261" t="inlineStr">
        <is>
          <t>1</t>
        </is>
      </c>
      <c r="D261" s="11" t="inlineStr">
        <is>
          <t>Payment account services definition</t>
        </is>
      </c>
      <c r="E261" t="inlineStr">
        <is>
          <t>5</t>
        </is>
      </c>
      <c r="F261" t="inlineStr">
        <is>
          <t>Medium</t>
        </is>
      </c>
      <c r="G261" t="inlineStr">
        <is>
          <t>High (explicit)</t>
        </is>
      </c>
      <c r="H261" s="11" t="inlineStr"/>
      <c r="I261" s="11" t="inlineStr"/>
      <c r="J261" t="inlineStr"/>
      <c r="K261" s="11" t="inlineStr">
        <is>
          <t>This section defines payment account services as services that enable cash to be placed on a payment account and all operations required for operating a payment account. It provides a clear scope for payment services under the directive.</t>
        </is>
      </c>
      <c r="L261" s="11" t="inlineStr"/>
      <c r="M261" s="11" t="inlineStr">
        <is>
          <t>• [Definition] Services enabling cash to be placed on a payment account as well as all the operations required for operating a payment account</t>
        </is>
      </c>
      <c r="N261" s="11" t="inlineStr">
        <is>
          <t>Services enabling cash to be placed on a payment account as well as all the operations required for operating a payment account.</t>
        </is>
      </c>
      <c r="O261" s="12" t="inlineStr">
        <is>
          <t>Open PDF</t>
        </is>
      </c>
    </row>
    <row r="262">
      <c r="A262" t="inlineStr">
        <is>
          <t>GDPR</t>
        </is>
      </c>
      <c r="B262" t="inlineStr">
        <is>
          <t>CELEX_32015L2366_EN_TXT (GDPR - Row 18)</t>
        </is>
      </c>
      <c r="C262" t="inlineStr">
        <is>
          <t>1</t>
        </is>
      </c>
      <c r="D262" s="11" t="inlineStr">
        <is>
          <t>Payment account services definition</t>
        </is>
      </c>
      <c r="E262" t="inlineStr">
        <is>
          <t>5</t>
        </is>
      </c>
      <c r="F262" t="inlineStr">
        <is>
          <t>Medium</t>
        </is>
      </c>
      <c r="G262" t="inlineStr">
        <is>
          <t>High (explicit)</t>
        </is>
      </c>
      <c r="H262" s="11" t="inlineStr"/>
      <c r="I262" s="11" t="inlineStr"/>
      <c r="J262" t="inlineStr"/>
      <c r="K262" s="11" t="inlineStr">
        <is>
          <t>This section defines payment account services as services that enable cash to be placed on a payment account and all operations required for operating a payment account. It provides a clear scope for payment services under the directive.</t>
        </is>
      </c>
      <c r="L262" s="11" t="inlineStr"/>
      <c r="M262" s="11" t="inlineStr">
        <is>
          <t>• [Definition] Services enabling cash to be placed on a payment account as well as all the operations required for operating a payment account</t>
        </is>
      </c>
      <c r="N262" s="11" t="inlineStr">
        <is>
          <t>Services enabling cash to be placed on a payment account as well as all the operations required for operating a payment account.</t>
        </is>
      </c>
      <c r="O262" s="12" t="inlineStr">
        <is>
          <t>Open PDF</t>
        </is>
      </c>
    </row>
    <row r="263">
      <c r="A263" t="inlineStr">
        <is>
          <t>GDPR</t>
        </is>
      </c>
      <c r="B263" t="inlineStr">
        <is>
          <t>CELEX_32015L2366_EN_TXT (GDPR - Row 18)</t>
        </is>
      </c>
      <c r="C263" t="inlineStr">
        <is>
          <t>1</t>
        </is>
      </c>
      <c r="D263" s="11" t="inlineStr">
        <is>
          <t>Payment account services definition</t>
        </is>
      </c>
      <c r="E263" t="inlineStr">
        <is>
          <t>6</t>
        </is>
      </c>
      <c r="F263" t="inlineStr">
        <is>
          <t>Medium</t>
        </is>
      </c>
      <c r="G263" t="inlineStr">
        <is>
          <t>High (explicit)</t>
        </is>
      </c>
      <c r="H263" s="11" t="inlineStr"/>
      <c r="I263" s="11" t="inlineStr"/>
      <c r="J263" t="inlineStr"/>
      <c r="K263" s="11" t="inlineStr">
        <is>
          <t>This section defines payment account services as services that enable cash to be placed on a payment account and all operations required for operating a payment account. It provides a clear scope for payment services under the directive.</t>
        </is>
      </c>
      <c r="L263" s="11" t="inlineStr"/>
      <c r="M263" s="11" t="inlineStr">
        <is>
          <t>• [Definition] Services enabling cash to be placed on a payment account as well as all the operations required for operating a payment account</t>
        </is>
      </c>
      <c r="N263" s="11" t="inlineStr">
        <is>
          <t>Services enabling cash to be placed on a payment account as well as all the operations required for operating a payment account.</t>
        </is>
      </c>
      <c r="O263" s="12" t="inlineStr">
        <is>
          <t>Open PDF</t>
        </is>
      </c>
    </row>
    <row r="264">
      <c r="A264" t="inlineStr">
        <is>
          <t>GDPR</t>
        </is>
      </c>
      <c r="B264" t="inlineStr">
        <is>
          <t>CELEX_32015L2366_EN_TXT (GDPR - Row 18)</t>
        </is>
      </c>
      <c r="C264" t="inlineStr">
        <is>
          <t>1</t>
        </is>
      </c>
      <c r="D264" s="11" t="inlineStr">
        <is>
          <t>Payment account services definition</t>
        </is>
      </c>
      <c r="E264" t="inlineStr">
        <is>
          <t>6</t>
        </is>
      </c>
      <c r="F264" t="inlineStr">
        <is>
          <t>Medium</t>
        </is>
      </c>
      <c r="G264" t="inlineStr">
        <is>
          <t>High (explicit)</t>
        </is>
      </c>
      <c r="H264" s="11" t="inlineStr"/>
      <c r="I264" s="11" t="inlineStr"/>
      <c r="J264" t="inlineStr"/>
      <c r="K264" s="11" t="inlineStr">
        <is>
          <t>This section defines payment account services as services that enable cash to be placed on a payment account and all operations required for operating a payment account. It provides a clear scope for payment services under the directive.</t>
        </is>
      </c>
      <c r="L264" s="11" t="inlineStr"/>
      <c r="M264" s="11" t="inlineStr">
        <is>
          <t>• [Definition] Services enabling cash to be placed on a payment account as well as all the operations required for operating a payment account</t>
        </is>
      </c>
      <c r="N264" s="11" t="inlineStr">
        <is>
          <t>Services enabling cash to be placed on a payment account as well as all the operations required for operating a payment account.</t>
        </is>
      </c>
      <c r="O264" s="12" t="inlineStr">
        <is>
          <t>Open PDF</t>
        </is>
      </c>
    </row>
    <row r="265">
      <c r="A265" t="inlineStr">
        <is>
          <t>GDPR</t>
        </is>
      </c>
      <c r="B265" t="inlineStr">
        <is>
          <t>CELEX_32015L2366_EN_TXT (GDPR - Row 18)</t>
        </is>
      </c>
      <c r="C265" t="inlineStr">
        <is>
          <t>1</t>
        </is>
      </c>
      <c r="D265" s="11" t="inlineStr">
        <is>
          <t>Payment account services definition</t>
        </is>
      </c>
      <c r="E265" t="inlineStr">
        <is>
          <t>7</t>
        </is>
      </c>
      <c r="F265" t="inlineStr">
        <is>
          <t>Medium</t>
        </is>
      </c>
      <c r="G265" t="inlineStr">
        <is>
          <t>High (explicit)</t>
        </is>
      </c>
      <c r="H265" s="11" t="inlineStr"/>
      <c r="I265" s="11" t="inlineStr"/>
      <c r="J265" t="inlineStr"/>
      <c r="K265" s="11" t="inlineStr">
        <is>
          <t>This section defines payment account services as services that enable cash to be placed on a payment account and all operations required for operating a payment account. It provides a clear scope for payment services under the directive.</t>
        </is>
      </c>
      <c r="L265" s="11" t="inlineStr"/>
      <c r="M265" s="11" t="inlineStr">
        <is>
          <t>• [Definition] Services enabling cash to be placed on a payment account as well as all the operations required for operating a payment account</t>
        </is>
      </c>
      <c r="N265" s="11" t="inlineStr">
        <is>
          <t>Services enabling cash to be placed on a payment account as well as all the operations required for operating a payment account.</t>
        </is>
      </c>
      <c r="O265" s="12" t="inlineStr">
        <is>
          <t>Open PDF</t>
        </is>
      </c>
    </row>
    <row r="266">
      <c r="A266" t="inlineStr">
        <is>
          <t>GDPR</t>
        </is>
      </c>
      <c r="B266" t="inlineStr">
        <is>
          <t>CELEX_32015L2366_EN_TXT (GDPR - Row 18)</t>
        </is>
      </c>
      <c r="C266" t="inlineStr">
        <is>
          <t>1</t>
        </is>
      </c>
      <c r="D266" s="11" t="inlineStr">
        <is>
          <t>Payment account services definition</t>
        </is>
      </c>
      <c r="E266" t="inlineStr">
        <is>
          <t>7</t>
        </is>
      </c>
      <c r="F266" t="inlineStr">
        <is>
          <t>Medium</t>
        </is>
      </c>
      <c r="G266" t="inlineStr">
        <is>
          <t>High (explicit)</t>
        </is>
      </c>
      <c r="H266" s="11" t="inlineStr"/>
      <c r="I266" s="11" t="inlineStr"/>
      <c r="J266" t="inlineStr"/>
      <c r="K266" s="11" t="inlineStr">
        <is>
          <t>This section defines payment account services as services that enable cash to be placed on a payment account and all operations required for operating a payment account. It provides a clear scope for payment services under the directive.</t>
        </is>
      </c>
      <c r="L266" s="11" t="inlineStr"/>
      <c r="M266" s="11" t="inlineStr">
        <is>
          <t>• [Definition] Services enabling cash to be placed on a payment account as well as all the operations required for operating a payment account</t>
        </is>
      </c>
      <c r="N266" s="11" t="inlineStr">
        <is>
          <t>Services enabling cash to be placed on a payment account as well as all the operations required for operating a payment account.</t>
        </is>
      </c>
      <c r="O266" s="12" t="inlineStr">
        <is>
          <t>Open PDF</t>
        </is>
      </c>
    </row>
    <row r="267">
      <c r="A267" t="inlineStr">
        <is>
          <t>GDPR</t>
        </is>
      </c>
      <c r="B267" t="inlineStr">
        <is>
          <t>CELEX_32015L2366_EN_TXT (GDPR - Row 18)</t>
        </is>
      </c>
      <c r="C267" t="inlineStr">
        <is>
          <t>1</t>
        </is>
      </c>
      <c r="D267" s="11" t="inlineStr">
        <is>
          <t>Payment account services definition</t>
        </is>
      </c>
      <c r="E267" t="inlineStr">
        <is>
          <t>7</t>
        </is>
      </c>
      <c r="F267" t="inlineStr">
        <is>
          <t>Medium</t>
        </is>
      </c>
      <c r="G267" t="inlineStr">
        <is>
          <t>High (explicit)</t>
        </is>
      </c>
      <c r="H267" s="11" t="inlineStr"/>
      <c r="I267" s="11" t="inlineStr"/>
      <c r="J267" t="inlineStr"/>
      <c r="K267" s="11" t="inlineStr">
        <is>
          <t>This section defines payment account services as services that enable cash to be placed on a payment account and all operations required for operating a payment account. It provides a clear scope for payment services under the directive.</t>
        </is>
      </c>
      <c r="L267" s="11" t="inlineStr"/>
      <c r="M267" s="11" t="inlineStr">
        <is>
          <t>• [Definition] Services enabling cash to be placed on a payment account as well as all the operations required for operating a payment account</t>
        </is>
      </c>
      <c r="N267" s="11" t="inlineStr">
        <is>
          <t>Services enabling cash to be placed on a payment account as well as all the operations required for operating a payment account.</t>
        </is>
      </c>
      <c r="O267" s="12" t="inlineStr">
        <is>
          <t>Open PDF</t>
        </is>
      </c>
    </row>
    <row r="268">
      <c r="A268" t="inlineStr">
        <is>
          <t>GDPR</t>
        </is>
      </c>
      <c r="B268" t="inlineStr">
        <is>
          <t>CELEX_32015L2366_EN_TXT (GDPR - Row 18)</t>
        </is>
      </c>
      <c r="C268" t="inlineStr">
        <is>
          <t>1</t>
        </is>
      </c>
      <c r="D268" s="11" t="inlineStr">
        <is>
          <t>Payment account services definition</t>
        </is>
      </c>
      <c r="E268" t="inlineStr">
        <is>
          <t>8</t>
        </is>
      </c>
      <c r="F268" t="inlineStr">
        <is>
          <t>Medium</t>
        </is>
      </c>
      <c r="G268" t="inlineStr">
        <is>
          <t>High (explicit)</t>
        </is>
      </c>
      <c r="H268" s="11" t="inlineStr"/>
      <c r="I268" s="11" t="inlineStr"/>
      <c r="J268" t="inlineStr"/>
      <c r="K268" s="11" t="inlineStr">
        <is>
          <t>This section defines payment account services as services that enable cash to be placed on a payment account and all operations required for operating a payment account. It provides a clear scope for payment services under the directive.</t>
        </is>
      </c>
      <c r="L268" s="11" t="inlineStr"/>
      <c r="M268" s="11" t="inlineStr">
        <is>
          <t>• [Definition] Services enabling cash to be placed on a payment account as well as all the operations required for operating a payment account</t>
        </is>
      </c>
      <c r="N268" s="11" t="inlineStr">
        <is>
          <t>Services enabling cash to be placed on a payment account as well as all the operations required for operating a payment account.</t>
        </is>
      </c>
      <c r="O268" s="12" t="inlineStr">
        <is>
          <t>Open PDF</t>
        </is>
      </c>
    </row>
    <row r="269">
      <c r="A269" t="inlineStr">
        <is>
          <t>GDPR</t>
        </is>
      </c>
      <c r="B269" t="inlineStr">
        <is>
          <t>CELEX_32015L2366_EN_TXT (GDPR - Row 18)</t>
        </is>
      </c>
      <c r="C269" t="inlineStr">
        <is>
          <t>1</t>
        </is>
      </c>
      <c r="D269" s="11" t="inlineStr">
        <is>
          <t>Payment account services definition</t>
        </is>
      </c>
      <c r="E269" t="inlineStr">
        <is>
          <t>8</t>
        </is>
      </c>
      <c r="F269" t="inlineStr">
        <is>
          <t>Medium</t>
        </is>
      </c>
      <c r="G269" t="inlineStr">
        <is>
          <t>High (explicit)</t>
        </is>
      </c>
      <c r="H269" s="11" t="inlineStr"/>
      <c r="I269" s="11" t="inlineStr"/>
      <c r="J269" t="inlineStr"/>
      <c r="K269" s="11" t="inlineStr">
        <is>
          <t>This section defines payment account services as services that enable cash to be placed on a payment account and all operations required for operating a payment account. It provides a clear scope for payment services under the directive.</t>
        </is>
      </c>
      <c r="L269" s="11" t="inlineStr"/>
      <c r="M269" s="11" t="inlineStr">
        <is>
          <t>• [Definition] Services enabling cash to be placed on a payment account as well as all the operations required for operating a payment account</t>
        </is>
      </c>
      <c r="N269" s="11" t="inlineStr">
        <is>
          <t>Services enabling cash to be placed on a payment account as well as all the operations required for operating a payment account.</t>
        </is>
      </c>
      <c r="O269" s="12" t="inlineStr">
        <is>
          <t>Open PDF</t>
        </is>
      </c>
    </row>
    <row r="270">
      <c r="A270" t="inlineStr">
        <is>
          <t>GDPR</t>
        </is>
      </c>
      <c r="B270" t="inlineStr">
        <is>
          <t>CELEX_32015L2366_EN_TXT (GDPR - Row 18)</t>
        </is>
      </c>
      <c r="C270" t="inlineStr">
        <is>
          <t>1</t>
        </is>
      </c>
      <c r="D270" s="11" t="inlineStr">
        <is>
          <t>Payment account services definition</t>
        </is>
      </c>
      <c r="E270" t="inlineStr">
        <is>
          <t>9</t>
        </is>
      </c>
      <c r="F270" t="inlineStr">
        <is>
          <t>Medium</t>
        </is>
      </c>
      <c r="G270" t="inlineStr">
        <is>
          <t>High (explicit)</t>
        </is>
      </c>
      <c r="H270" s="11" t="inlineStr"/>
      <c r="I270" s="11" t="inlineStr"/>
      <c r="J270" t="inlineStr"/>
      <c r="K270" s="11" t="inlineStr">
        <is>
          <t>This section defines payment account services as services that enable cash to be placed on a payment account and all operations required for operating a payment account. It provides a clear scope for payment services under the directive.</t>
        </is>
      </c>
      <c r="L270" s="11" t="inlineStr"/>
      <c r="M270" s="11" t="inlineStr">
        <is>
          <t>• [Definition] Services enabling cash to be placed on a payment account as well as all the operations required for operating a payment account</t>
        </is>
      </c>
      <c r="N270" s="11" t="inlineStr">
        <is>
          <t>Services enabling cash to be placed on a payment account as well as all the operations required for operating a payment account.</t>
        </is>
      </c>
      <c r="O270" s="12" t="inlineStr">
        <is>
          <t>Open PDF</t>
        </is>
      </c>
    </row>
    <row r="271">
      <c r="A271" t="inlineStr">
        <is>
          <t>GDPR</t>
        </is>
      </c>
      <c r="B271" t="inlineStr">
        <is>
          <t>CELEX_32015L2366_EN_TXT (GDPR - Row 18)</t>
        </is>
      </c>
      <c r="C271" t="inlineStr">
        <is>
          <t>1</t>
        </is>
      </c>
      <c r="D271" s="11" t="inlineStr">
        <is>
          <t>Payment account services definition</t>
        </is>
      </c>
      <c r="E271" t="inlineStr">
        <is>
          <t>9</t>
        </is>
      </c>
      <c r="F271" t="inlineStr">
        <is>
          <t>Medium</t>
        </is>
      </c>
      <c r="G271" t="inlineStr">
        <is>
          <t>High (explicit)</t>
        </is>
      </c>
      <c r="H271" s="11" t="inlineStr"/>
      <c r="I271" s="11" t="inlineStr"/>
      <c r="J271" t="inlineStr"/>
      <c r="K271" s="11" t="inlineStr">
        <is>
          <t>This section defines payment account services as services that enable cash to be placed on a payment account and all operations required for operating a payment account. It provides a clear scope for payment services under the directive.</t>
        </is>
      </c>
      <c r="L271" s="11" t="inlineStr"/>
      <c r="M271" s="11" t="inlineStr">
        <is>
          <t>• [Definition] Services enabling cash to be placed on a payment account as well as all the operations required for operating a payment account</t>
        </is>
      </c>
      <c r="N271" s="11" t="inlineStr">
        <is>
          <t>Services enabling cash to be placed on a payment account as well as all the operations required for operating a payment account.</t>
        </is>
      </c>
      <c r="O271" s="12" t="inlineStr">
        <is>
          <t>Open PDF</t>
        </is>
      </c>
    </row>
    <row r="272">
      <c r="A272" t="inlineStr">
        <is>
          <t>GDPR</t>
        </is>
      </c>
      <c r="B272" t="inlineStr">
        <is>
          <t>CELEX_32015L2366_EN_TXT (GDPR - Row 18)</t>
        </is>
      </c>
      <c r="C272" t="inlineStr">
        <is>
          <t>1</t>
        </is>
      </c>
      <c r="D272" s="11" t="inlineStr">
        <is>
          <t>Payment account services definition</t>
        </is>
      </c>
      <c r="E272" t="inlineStr">
        <is>
          <t>9</t>
        </is>
      </c>
      <c r="F272" t="inlineStr">
        <is>
          <t>Medium</t>
        </is>
      </c>
      <c r="G272" t="inlineStr">
        <is>
          <t>High (explicit)</t>
        </is>
      </c>
      <c r="H272" s="11" t="inlineStr"/>
      <c r="I272" s="11" t="inlineStr"/>
      <c r="J272" t="inlineStr"/>
      <c r="K272" s="11" t="inlineStr">
        <is>
          <t>This section defines payment account services as services that enable cash to be placed on a payment account and all operations required for operating a payment account. It provides a clear scope for payment services under the directive.</t>
        </is>
      </c>
      <c r="L272" s="11" t="inlineStr"/>
      <c r="M272" s="11" t="inlineStr">
        <is>
          <t>• [Definition] Services enabling cash to be placed on a payment account as well as all the operations required for operating a payment account</t>
        </is>
      </c>
      <c r="N272" s="11" t="inlineStr">
        <is>
          <t>Services enabling cash to be placed on a payment account as well as all the operations required for operating a payment account.</t>
        </is>
      </c>
      <c r="O272" s="12" t="inlineStr">
        <is>
          <t>Open PDF</t>
        </is>
      </c>
    </row>
    <row r="273">
      <c r="A273" t="inlineStr">
        <is>
          <t>GDPR</t>
        </is>
      </c>
      <c r="B273" t="inlineStr">
        <is>
          <t>CELEX_32015L2366_EN_TXT (GDPR - Row 18)</t>
        </is>
      </c>
      <c r="C273" t="inlineStr">
        <is>
          <t>1</t>
        </is>
      </c>
      <c r="D273" s="11" t="inlineStr">
        <is>
          <t>Payment account services definition</t>
        </is>
      </c>
      <c r="E273" t="inlineStr">
        <is>
          <t>9–10</t>
        </is>
      </c>
      <c r="F273" t="inlineStr">
        <is>
          <t>Medium</t>
        </is>
      </c>
      <c r="G273" t="inlineStr">
        <is>
          <t>High (explicit)</t>
        </is>
      </c>
      <c r="H273" s="11" t="inlineStr"/>
      <c r="I273" s="11" t="inlineStr"/>
      <c r="J273" t="inlineStr"/>
      <c r="K273" s="11" t="inlineStr">
        <is>
          <t>This section defines payment account services as services that enable cash to be placed on a payment account and all operations required for operating a payment account. It provides a clear scope for payment services under the directive.</t>
        </is>
      </c>
      <c r="L273" s="11" t="inlineStr"/>
      <c r="M273" s="11" t="inlineStr">
        <is>
          <t>• [Definition] Services enabling cash to be placed on a payment account as well as all the operations required for operating a payment account</t>
        </is>
      </c>
      <c r="N273" s="11" t="inlineStr">
        <is>
          <t>Services enabling cash to be placed on a payment account as well as all the operations required for operating a payment account.</t>
        </is>
      </c>
      <c r="O273" s="12" t="inlineStr">
        <is>
          <t>Open PDF</t>
        </is>
      </c>
    </row>
    <row r="274">
      <c r="A274" t="inlineStr">
        <is>
          <t>GDPR</t>
        </is>
      </c>
      <c r="B274" t="inlineStr">
        <is>
          <t>CELEX_32015L2366_EN_TXT (GDPR - Row 18)</t>
        </is>
      </c>
      <c r="C274" t="inlineStr">
        <is>
          <t>1</t>
        </is>
      </c>
      <c r="D274" s="11" t="inlineStr">
        <is>
          <t>Payment account services definition</t>
        </is>
      </c>
      <c r="E274" t="inlineStr">
        <is>
          <t>10</t>
        </is>
      </c>
      <c r="F274" t="inlineStr">
        <is>
          <t>Medium</t>
        </is>
      </c>
      <c r="G274" t="inlineStr">
        <is>
          <t>High (explicit)</t>
        </is>
      </c>
      <c r="H274" s="11" t="inlineStr"/>
      <c r="I274" s="11" t="inlineStr"/>
      <c r="J274" t="inlineStr"/>
      <c r="K274" s="11" t="inlineStr">
        <is>
          <t>This section defines payment account services as services that enable cash to be placed on a payment account and all operations required for operating a payment account. It provides a clear scope for payment services under the directive.</t>
        </is>
      </c>
      <c r="L274" s="11" t="inlineStr"/>
      <c r="M274" s="11" t="inlineStr">
        <is>
          <t>• [Definition] Services enabling cash to be placed on a payment account as well as all the operations required for operating a payment account</t>
        </is>
      </c>
      <c r="N274" s="11" t="inlineStr">
        <is>
          <t>Services enabling cash to be placed on a payment account as well as all the operations required for operating a payment account.</t>
        </is>
      </c>
      <c r="O274" s="12" t="inlineStr">
        <is>
          <t>Open PDF</t>
        </is>
      </c>
    </row>
    <row r="275">
      <c r="A275" t="inlineStr">
        <is>
          <t>GDPR</t>
        </is>
      </c>
      <c r="B275" t="inlineStr">
        <is>
          <t>CELEX_32015L2366_EN_TXT (GDPR - Row 18)</t>
        </is>
      </c>
      <c r="C275" t="inlineStr">
        <is>
          <t>1</t>
        </is>
      </c>
      <c r="D275" s="11" t="inlineStr">
        <is>
          <t>Payment account services definition</t>
        </is>
      </c>
      <c r="E275" t="inlineStr">
        <is>
          <t>10</t>
        </is>
      </c>
      <c r="F275" t="inlineStr">
        <is>
          <t>Medium</t>
        </is>
      </c>
      <c r="G275" t="inlineStr">
        <is>
          <t>High (explicit)</t>
        </is>
      </c>
      <c r="H275" s="11" t="inlineStr"/>
      <c r="I275" s="11" t="inlineStr"/>
      <c r="J275" t="inlineStr"/>
      <c r="K275" s="11" t="inlineStr">
        <is>
          <t>This section defines payment account services as services that enable cash to be placed on a payment account and all operations required for operating a payment account. It provides a clear scope for payment services under the directive.</t>
        </is>
      </c>
      <c r="L275" s="11" t="inlineStr"/>
      <c r="M275" s="11" t="inlineStr">
        <is>
          <t>• [Definition] Services enabling cash to be placed on a payment account as well as all the operations required for operating a payment account</t>
        </is>
      </c>
      <c r="N275" s="11" t="inlineStr">
        <is>
          <t>Services enabling cash to be placed on a payment account as well as all the operations required for operating a payment account.</t>
        </is>
      </c>
      <c r="O275" s="12" t="inlineStr">
        <is>
          <t>Open PDF</t>
        </is>
      </c>
    </row>
    <row r="276">
      <c r="A276" t="inlineStr">
        <is>
          <t>GDPR</t>
        </is>
      </c>
      <c r="B276" t="inlineStr">
        <is>
          <t>CELEX_32015L2366_EN_TXT (GDPR - Row 18)</t>
        </is>
      </c>
      <c r="C276" t="inlineStr">
        <is>
          <t>1</t>
        </is>
      </c>
      <c r="D276" s="11" t="inlineStr">
        <is>
          <t>Payment account services definition</t>
        </is>
      </c>
      <c r="E276" t="inlineStr">
        <is>
          <t>10–11</t>
        </is>
      </c>
      <c r="F276" t="inlineStr">
        <is>
          <t>Medium</t>
        </is>
      </c>
      <c r="G276" t="inlineStr">
        <is>
          <t>High (explicit)</t>
        </is>
      </c>
      <c r="H276" s="11" t="inlineStr"/>
      <c r="I276" s="11" t="inlineStr"/>
      <c r="J276" t="inlineStr"/>
      <c r="K276" s="11" t="inlineStr">
        <is>
          <t>This section defines payment account services as services that enable cash to be placed on a payment account and all operations required for operating a payment account. It provides a clear scope for payment services under the directive.</t>
        </is>
      </c>
      <c r="L276" s="11" t="inlineStr"/>
      <c r="M276" s="11" t="inlineStr">
        <is>
          <t>• [Definition] Services enabling cash to be placed on a payment account as well as all the operations required for operating a payment account</t>
        </is>
      </c>
      <c r="N276" s="11" t="inlineStr">
        <is>
          <t>Services enabling cash to be placed on a payment account as well as all the operations required for operating a payment account.</t>
        </is>
      </c>
      <c r="O276" s="12" t="inlineStr">
        <is>
          <t>Open PDF</t>
        </is>
      </c>
    </row>
    <row r="277">
      <c r="A277" t="inlineStr">
        <is>
          <t>GDPR</t>
        </is>
      </c>
      <c r="B277" t="inlineStr">
        <is>
          <t>CELEX_32015L2366_EN_TXT (GDPR - Row 18)</t>
        </is>
      </c>
      <c r="C277" t="inlineStr">
        <is>
          <t>1</t>
        </is>
      </c>
      <c r="D277" s="11" t="inlineStr">
        <is>
          <t>Payment account services definition</t>
        </is>
      </c>
      <c r="E277" t="inlineStr">
        <is>
          <t>11</t>
        </is>
      </c>
      <c r="F277" t="inlineStr">
        <is>
          <t>Medium</t>
        </is>
      </c>
      <c r="G277" t="inlineStr">
        <is>
          <t>High (explicit)</t>
        </is>
      </c>
      <c r="H277" s="11" t="inlineStr"/>
      <c r="I277" s="11" t="inlineStr"/>
      <c r="J277" t="inlineStr"/>
      <c r="K277" s="11" t="inlineStr">
        <is>
          <t>This section defines payment account services as services that enable cash to be placed on a payment account and all operations required for operating a payment account. It provides a clear scope for payment services under the directive.</t>
        </is>
      </c>
      <c r="L277" s="11" t="inlineStr"/>
      <c r="M277" s="11" t="inlineStr">
        <is>
          <t>• [Definition] Services enabling cash to be placed on a payment account as well as all the operations required for operating a payment account</t>
        </is>
      </c>
      <c r="N277" s="11" t="inlineStr">
        <is>
          <t>Services enabling cash to be placed on a payment account as well as all the operations required for operating a payment account.</t>
        </is>
      </c>
      <c r="O277" s="12" t="inlineStr">
        <is>
          <t>Open PDF</t>
        </is>
      </c>
    </row>
    <row r="278">
      <c r="A278" t="inlineStr">
        <is>
          <t>GDPR</t>
        </is>
      </c>
      <c r="B278" t="inlineStr">
        <is>
          <t>CELEX_32015L2366_EN_TXT (GDPR - Row 18)</t>
        </is>
      </c>
      <c r="C278" t="inlineStr">
        <is>
          <t>1</t>
        </is>
      </c>
      <c r="D278" s="11" t="inlineStr">
        <is>
          <t>Payment account services definition</t>
        </is>
      </c>
      <c r="E278" t="inlineStr">
        <is>
          <t>11</t>
        </is>
      </c>
      <c r="F278" t="inlineStr">
        <is>
          <t>Medium</t>
        </is>
      </c>
      <c r="G278" t="inlineStr">
        <is>
          <t>High (explicit)</t>
        </is>
      </c>
      <c r="H278" s="11" t="inlineStr"/>
      <c r="I278" s="11" t="inlineStr"/>
      <c r="J278" t="inlineStr"/>
      <c r="K278" s="11" t="inlineStr">
        <is>
          <t>This section defines payment account services as services that enable cash to be placed on a payment account and all operations required for operating a payment account. It provides a clear scope for payment services under the directive.</t>
        </is>
      </c>
      <c r="L278" s="11" t="inlineStr"/>
      <c r="M278" s="11" t="inlineStr">
        <is>
          <t>• [Definition] Services enabling cash to be placed on a payment account as well as all the operations required for operating a payment account</t>
        </is>
      </c>
      <c r="N278" s="11" t="inlineStr">
        <is>
          <t>Services enabling cash to be placed on a payment account as well as all the operations required for operating a payment account.</t>
        </is>
      </c>
      <c r="O278" s="12" t="inlineStr">
        <is>
          <t>Open PDF</t>
        </is>
      </c>
    </row>
    <row r="279">
      <c r="A279" t="inlineStr">
        <is>
          <t>GDPR</t>
        </is>
      </c>
      <c r="B279" t="inlineStr">
        <is>
          <t>CELEX_32015L2366_EN_TXT (GDPR - Row 18)</t>
        </is>
      </c>
      <c r="C279" t="inlineStr">
        <is>
          <t>1</t>
        </is>
      </c>
      <c r="D279" s="11" t="inlineStr">
        <is>
          <t>Payment account services definition</t>
        </is>
      </c>
      <c r="E279" t="inlineStr">
        <is>
          <t>11–12</t>
        </is>
      </c>
      <c r="F279" t="inlineStr">
        <is>
          <t>Medium</t>
        </is>
      </c>
      <c r="G279" t="inlineStr">
        <is>
          <t>High (explicit)</t>
        </is>
      </c>
      <c r="H279" s="11" t="inlineStr"/>
      <c r="I279" s="11" t="inlineStr"/>
      <c r="J279" t="inlineStr"/>
      <c r="K279" s="11" t="inlineStr">
        <is>
          <t>This section defines payment account services as services that enable cash to be placed on a payment account and all operations required for operating a payment account. It provides a clear scope for payment services under the directive.</t>
        </is>
      </c>
      <c r="L279" s="11" t="inlineStr"/>
      <c r="M279" s="11" t="inlineStr">
        <is>
          <t>• [Definition] Services enabling cash to be placed on a payment account as well as all the operations required for operating a payment account</t>
        </is>
      </c>
      <c r="N279" s="11" t="inlineStr">
        <is>
          <t>Services enabling cash to be placed on a payment account as well as all the operations required for operating a payment account.</t>
        </is>
      </c>
      <c r="O279" s="12" t="inlineStr">
        <is>
          <t>Open PDF</t>
        </is>
      </c>
    </row>
    <row r="280">
      <c r="A280" t="inlineStr">
        <is>
          <t>GDPR</t>
        </is>
      </c>
      <c r="B280" t="inlineStr">
        <is>
          <t>CELEX_32015L2366_EN_TXT (GDPR - Row 18)</t>
        </is>
      </c>
      <c r="C280" t="inlineStr">
        <is>
          <t>1</t>
        </is>
      </c>
      <c r="D280" s="11" t="inlineStr">
        <is>
          <t>Payment account services definition</t>
        </is>
      </c>
      <c r="E280" t="inlineStr">
        <is>
          <t>12</t>
        </is>
      </c>
      <c r="F280" t="inlineStr">
        <is>
          <t>Medium</t>
        </is>
      </c>
      <c r="G280" t="inlineStr">
        <is>
          <t>High (explicit)</t>
        </is>
      </c>
      <c r="H280" s="11" t="inlineStr"/>
      <c r="I280" s="11" t="inlineStr"/>
      <c r="J280" t="inlineStr"/>
      <c r="K280" s="11" t="inlineStr">
        <is>
          <t>This section defines payment account services as services that enable cash to be placed on a payment account and all operations required for operating a payment account. It provides a clear scope for payment services under the directive.</t>
        </is>
      </c>
      <c r="L280" s="11" t="inlineStr"/>
      <c r="M280" s="11" t="inlineStr">
        <is>
          <t>• [Definition] Services enabling cash to be placed on a payment account as well as all the operations required for operating a payment account</t>
        </is>
      </c>
      <c r="N280" s="11" t="inlineStr">
        <is>
          <t>Services enabling cash to be placed on a payment account as well as all the operations required for operating a payment account.</t>
        </is>
      </c>
      <c r="O280" s="12" t="inlineStr">
        <is>
          <t>Open PDF</t>
        </is>
      </c>
    </row>
    <row r="281">
      <c r="A281" t="inlineStr">
        <is>
          <t>GDPR</t>
        </is>
      </c>
      <c r="B281" t="inlineStr">
        <is>
          <t>CELEX_32015L2366_EN_TXT (GDPR - Row 18)</t>
        </is>
      </c>
      <c r="C281" t="inlineStr">
        <is>
          <t>1</t>
        </is>
      </c>
      <c r="D281" s="11" t="inlineStr">
        <is>
          <t>Payment account services definition</t>
        </is>
      </c>
      <c r="E281" t="inlineStr">
        <is>
          <t>12</t>
        </is>
      </c>
      <c r="F281" t="inlineStr">
        <is>
          <t>Medium</t>
        </is>
      </c>
      <c r="G281" t="inlineStr">
        <is>
          <t>High (explicit)</t>
        </is>
      </c>
      <c r="H281" s="11" t="inlineStr"/>
      <c r="I281" s="11" t="inlineStr"/>
      <c r="J281" t="inlineStr"/>
      <c r="K281" s="11" t="inlineStr">
        <is>
          <t>This section defines payment account services as services that enable cash to be placed on a payment account and all operations required for operating a payment account. It provides a clear scope for payment services under the directive.</t>
        </is>
      </c>
      <c r="L281" s="11" t="inlineStr"/>
      <c r="M281" s="11" t="inlineStr">
        <is>
          <t>• [Definition] Services enabling cash to be placed on a payment account as well as all the operations required for operating a payment account</t>
        </is>
      </c>
      <c r="N281" s="11" t="inlineStr">
        <is>
          <t>Services enabling cash to be placed on a payment account as well as all the operations required for operating a payment account.</t>
        </is>
      </c>
      <c r="O281" s="12" t="inlineStr">
        <is>
          <t>Open PDF</t>
        </is>
      </c>
    </row>
    <row r="282">
      <c r="A282" t="inlineStr">
        <is>
          <t>GDPR</t>
        </is>
      </c>
      <c r="B282" t="inlineStr">
        <is>
          <t>CELEX_32015L2366_EN_TXT (GDPR - Row 18)</t>
        </is>
      </c>
      <c r="C282" t="inlineStr">
        <is>
          <t>1</t>
        </is>
      </c>
      <c r="D282" s="11" t="inlineStr">
        <is>
          <t>Payment account services definition</t>
        </is>
      </c>
      <c r="E282" t="inlineStr">
        <is>
          <t>13</t>
        </is>
      </c>
      <c r="F282" t="inlineStr">
        <is>
          <t>Medium</t>
        </is>
      </c>
      <c r="G282" t="inlineStr">
        <is>
          <t>High (explicit)</t>
        </is>
      </c>
      <c r="H282" s="11" t="inlineStr"/>
      <c r="I282" s="11" t="inlineStr"/>
      <c r="J282" t="inlineStr"/>
      <c r="K282" s="11" t="inlineStr">
        <is>
          <t>This section defines payment account services as services that enable cash to be placed on a payment account and all operations required for operating a payment account. It provides a clear scope for payment services under the directive.</t>
        </is>
      </c>
      <c r="L282" s="11" t="inlineStr"/>
      <c r="M282" s="11" t="inlineStr">
        <is>
          <t>• [Definition] Services enabling cash to be placed on a payment account as well as all the operations required for operating a payment account</t>
        </is>
      </c>
      <c r="N282" s="11" t="inlineStr">
        <is>
          <t>Services enabling cash to be placed on a payment account as well as all the operations required for operating a payment account.</t>
        </is>
      </c>
      <c r="O282" s="12" t="inlineStr">
        <is>
          <t>Open PDF</t>
        </is>
      </c>
    </row>
    <row r="283">
      <c r="A283" t="inlineStr">
        <is>
          <t>GDPR</t>
        </is>
      </c>
      <c r="B283" t="inlineStr">
        <is>
          <t>CELEX_32015L2366_EN_TXT (GDPR - Row 18)</t>
        </is>
      </c>
      <c r="C283" t="inlineStr">
        <is>
          <t>1</t>
        </is>
      </c>
      <c r="D283" s="11" t="inlineStr">
        <is>
          <t>Payment account services definition</t>
        </is>
      </c>
      <c r="E283" t="inlineStr">
        <is>
          <t>13–14</t>
        </is>
      </c>
      <c r="F283" t="inlineStr">
        <is>
          <t>Medium</t>
        </is>
      </c>
      <c r="G283" t="inlineStr">
        <is>
          <t>High (explicit)</t>
        </is>
      </c>
      <c r="H283" s="11" t="inlineStr"/>
      <c r="I283" s="11" t="inlineStr"/>
      <c r="J283" t="inlineStr"/>
      <c r="K283" s="11" t="inlineStr">
        <is>
          <t>This section defines payment account services as services that enable cash to be placed on a payment account and all operations required for operating a payment account. It provides a clear scope for payment services under the directive.</t>
        </is>
      </c>
      <c r="L283" s="11" t="inlineStr"/>
      <c r="M283" s="11" t="inlineStr">
        <is>
          <t>• [Definition] Services enabling cash to be placed on a payment account as well as all the operations required for operating a payment account</t>
        </is>
      </c>
      <c r="N283" s="11" t="inlineStr">
        <is>
          <t>Services enabling cash to be placed on a payment account as well as all the operations required for operating a payment account.</t>
        </is>
      </c>
      <c r="O283" s="12" t="inlineStr">
        <is>
          <t>Open PDF</t>
        </is>
      </c>
    </row>
    <row r="284">
      <c r="A284" t="inlineStr">
        <is>
          <t>GDPR</t>
        </is>
      </c>
      <c r="B284" t="inlineStr">
        <is>
          <t>CELEX_32015L2366_EN_TXT (GDPR - Row 18)</t>
        </is>
      </c>
      <c r="C284" t="inlineStr">
        <is>
          <t>1</t>
        </is>
      </c>
      <c r="D284" s="11" t="inlineStr">
        <is>
          <t>Payment account services definition</t>
        </is>
      </c>
      <c r="E284" t="inlineStr">
        <is>
          <t>14</t>
        </is>
      </c>
      <c r="F284" t="inlineStr">
        <is>
          <t>Medium</t>
        </is>
      </c>
      <c r="G284" t="inlineStr">
        <is>
          <t>High (explicit)</t>
        </is>
      </c>
      <c r="H284" s="11" t="inlineStr"/>
      <c r="I284" s="11" t="inlineStr"/>
      <c r="J284" t="inlineStr"/>
      <c r="K284" s="11" t="inlineStr">
        <is>
          <t>This section defines payment account services as services that enable cash to be placed on a payment account and all operations required for operating a payment account. It provides a clear scope for payment services under the directive.</t>
        </is>
      </c>
      <c r="L284" s="11" t="inlineStr"/>
      <c r="M284" s="11" t="inlineStr">
        <is>
          <t>• [Definition] Services enabling cash to be placed on a payment account as well as all the operations required for operating a payment account</t>
        </is>
      </c>
      <c r="N284" s="11" t="inlineStr">
        <is>
          <t>Services enabling cash to be placed on a payment account as well as all the operations required for operating a payment account.</t>
        </is>
      </c>
      <c r="O284" s="12" t="inlineStr">
        <is>
          <t>Open PDF</t>
        </is>
      </c>
    </row>
    <row r="285">
      <c r="A285" t="inlineStr">
        <is>
          <t>GDPR</t>
        </is>
      </c>
      <c r="B285" t="inlineStr">
        <is>
          <t>CELEX_32015L2366_EN_TXT (GDPR - Row 18)</t>
        </is>
      </c>
      <c r="C285" t="inlineStr">
        <is>
          <t>1</t>
        </is>
      </c>
      <c r="D285" s="11" t="inlineStr">
        <is>
          <t>Payment account services definition</t>
        </is>
      </c>
      <c r="E285" t="inlineStr">
        <is>
          <t>14–15</t>
        </is>
      </c>
      <c r="F285" t="inlineStr">
        <is>
          <t>Medium</t>
        </is>
      </c>
      <c r="G285" t="inlineStr">
        <is>
          <t>High (explicit)</t>
        </is>
      </c>
      <c r="H285" s="11" t="inlineStr"/>
      <c r="I285" s="11" t="inlineStr"/>
      <c r="J285" t="inlineStr"/>
      <c r="K285" s="11" t="inlineStr">
        <is>
          <t>This section defines payment account services as services that enable cash to be placed on a payment account and all operations required for operating a payment account. It provides a clear scope for payment services under the directive.</t>
        </is>
      </c>
      <c r="L285" s="11" t="inlineStr"/>
      <c r="M285" s="11" t="inlineStr">
        <is>
          <t>• [Definition] Services enabling cash to be placed on a payment account as well as all the operations required for operating a payment account</t>
        </is>
      </c>
      <c r="N285" s="11" t="inlineStr">
        <is>
          <t>Services enabling cash to be placed on a payment account as well as all the operations required for operating a payment account.</t>
        </is>
      </c>
      <c r="O285" s="12" t="inlineStr">
        <is>
          <t>Open PDF</t>
        </is>
      </c>
    </row>
    <row r="286">
      <c r="A286" t="inlineStr">
        <is>
          <t>GDPR</t>
        </is>
      </c>
      <c r="B286" t="inlineStr">
        <is>
          <t>CELEX_32015L2366_EN_TXT (GDPR - Row 18)</t>
        </is>
      </c>
      <c r="C286" t="inlineStr">
        <is>
          <t>1</t>
        </is>
      </c>
      <c r="D286" s="11" t="inlineStr">
        <is>
          <t>Payment account services definition</t>
        </is>
      </c>
      <c r="E286" t="inlineStr">
        <is>
          <t>15</t>
        </is>
      </c>
      <c r="F286" t="inlineStr">
        <is>
          <t>Medium</t>
        </is>
      </c>
      <c r="G286" t="inlineStr">
        <is>
          <t>High (explicit)</t>
        </is>
      </c>
      <c r="H286" s="11" t="inlineStr"/>
      <c r="I286" s="11" t="inlineStr"/>
      <c r="J286" t="inlineStr"/>
      <c r="K286" s="11" t="inlineStr">
        <is>
          <t>This section defines payment account services as services that enable cash to be placed on a payment account and all operations required for operating a payment account. It provides a clear scope for payment services under the directive.</t>
        </is>
      </c>
      <c r="L286" s="11" t="inlineStr"/>
      <c r="M286" s="11" t="inlineStr">
        <is>
          <t>• [Definition] Services enabling cash to be placed on a payment account as well as all the operations required for operating a payment account</t>
        </is>
      </c>
      <c r="N286" s="11" t="inlineStr">
        <is>
          <t>Services enabling cash to be placed on a payment account as well as all the operations required for operating a payment account.</t>
        </is>
      </c>
      <c r="O286" s="12" t="inlineStr">
        <is>
          <t>Open PDF</t>
        </is>
      </c>
    </row>
    <row r="287">
      <c r="A287" t="inlineStr">
        <is>
          <t>GDPR</t>
        </is>
      </c>
      <c r="B287" t="inlineStr">
        <is>
          <t>CELEX_32015L2366_EN_TXT (GDPR - Row 18)</t>
        </is>
      </c>
      <c r="C287" t="inlineStr">
        <is>
          <t>1</t>
        </is>
      </c>
      <c r="D287" s="11" t="inlineStr">
        <is>
          <t>Payment account services definition</t>
        </is>
      </c>
      <c r="E287" t="inlineStr">
        <is>
          <t>15</t>
        </is>
      </c>
      <c r="F287" t="inlineStr">
        <is>
          <t>Medium</t>
        </is>
      </c>
      <c r="G287" t="inlineStr">
        <is>
          <t>High (explicit)</t>
        </is>
      </c>
      <c r="H287" s="11" t="inlineStr"/>
      <c r="I287" s="11" t="inlineStr"/>
      <c r="J287" t="inlineStr"/>
      <c r="K287" s="11" t="inlineStr">
        <is>
          <t>This section defines payment account services as services that enable cash to be placed on a payment account and all operations required for operating a payment account. It provides a clear scope for payment services under the directive.</t>
        </is>
      </c>
      <c r="L287" s="11" t="inlineStr"/>
      <c r="M287" s="11" t="inlineStr">
        <is>
          <t>• [Definition] Services enabling cash to be placed on a payment account as well as all the operations required for operating a payment account</t>
        </is>
      </c>
      <c r="N287" s="11" t="inlineStr">
        <is>
          <t>Services enabling cash to be placed on a payment account as well as all the operations required for operating a payment account.</t>
        </is>
      </c>
      <c r="O287" s="12" t="inlineStr">
        <is>
          <t>Open PDF</t>
        </is>
      </c>
    </row>
    <row r="288">
      <c r="A288" t="inlineStr">
        <is>
          <t>GDPR</t>
        </is>
      </c>
      <c r="B288" t="inlineStr">
        <is>
          <t>CELEX_32015L2366_EN_TXT (GDPR - Row 18)</t>
        </is>
      </c>
      <c r="C288" t="inlineStr">
        <is>
          <t>1</t>
        </is>
      </c>
      <c r="D288" s="11" t="inlineStr">
        <is>
          <t>Payment account services definition</t>
        </is>
      </c>
      <c r="E288" t="inlineStr">
        <is>
          <t>15</t>
        </is>
      </c>
      <c r="F288" t="inlineStr">
        <is>
          <t>Medium</t>
        </is>
      </c>
      <c r="G288" t="inlineStr">
        <is>
          <t>High (explicit)</t>
        </is>
      </c>
      <c r="H288" s="11" t="inlineStr"/>
      <c r="I288" s="11" t="inlineStr"/>
      <c r="J288" t="inlineStr"/>
      <c r="K288" s="11" t="inlineStr">
        <is>
          <t>This section defines payment account services as services that enable cash to be placed on a payment account and all operations required for operating a payment account. It provides a clear scope for payment services under the directive.</t>
        </is>
      </c>
      <c r="L288" s="11" t="inlineStr"/>
      <c r="M288" s="11" t="inlineStr">
        <is>
          <t>• [Definition] Services enabling cash to be placed on a payment account as well as all the operations required for operating a payment account</t>
        </is>
      </c>
      <c r="N288" s="11" t="inlineStr">
        <is>
          <t>Services enabling cash to be placed on a payment account as well as all the operations required for operating a payment account.</t>
        </is>
      </c>
      <c r="O288" s="12" t="inlineStr">
        <is>
          <t>Open PDF</t>
        </is>
      </c>
    </row>
    <row r="289">
      <c r="A289" t="inlineStr">
        <is>
          <t>GDPR</t>
        </is>
      </c>
      <c r="B289" t="inlineStr">
        <is>
          <t>CELEX_32015L2366_EN_TXT (GDPR - Row 18)</t>
        </is>
      </c>
      <c r="C289" t="inlineStr">
        <is>
          <t>1</t>
        </is>
      </c>
      <c r="D289" s="11" t="inlineStr">
        <is>
          <t>Payment account services definition</t>
        </is>
      </c>
      <c r="E289" t="inlineStr">
        <is>
          <t>16</t>
        </is>
      </c>
      <c r="F289" t="inlineStr">
        <is>
          <t>Medium</t>
        </is>
      </c>
      <c r="G289" t="inlineStr">
        <is>
          <t>High (explicit)</t>
        </is>
      </c>
      <c r="H289" s="11" t="inlineStr"/>
      <c r="I289" s="11" t="inlineStr"/>
      <c r="J289" t="inlineStr"/>
      <c r="K289" s="11" t="inlineStr">
        <is>
          <t>This section defines payment account services as services that enable cash to be placed on a payment account and all operations required for operating a payment account. It provides a clear scope for payment services under the directive.</t>
        </is>
      </c>
      <c r="L289" s="11" t="inlineStr"/>
      <c r="M289" s="11" t="inlineStr">
        <is>
          <t>• [Definition] Services enabling cash to be placed on a payment account as well as all the operations required for operating a payment account</t>
        </is>
      </c>
      <c r="N289" s="11" t="inlineStr">
        <is>
          <t>Services enabling cash to be placed on a payment account as well as all the operations required for operating a payment account.</t>
        </is>
      </c>
      <c r="O289" s="12" t="inlineStr">
        <is>
          <t>Open PDF</t>
        </is>
      </c>
    </row>
    <row r="290">
      <c r="A290" t="inlineStr">
        <is>
          <t>GDPR</t>
        </is>
      </c>
      <c r="B290" t="inlineStr">
        <is>
          <t>CELEX_32015L2366_EN_TXT (GDPR - Row 18)</t>
        </is>
      </c>
      <c r="C290" t="inlineStr">
        <is>
          <t>1</t>
        </is>
      </c>
      <c r="D290" s="11" t="inlineStr">
        <is>
          <t>Payment account services definition</t>
        </is>
      </c>
      <c r="E290" t="inlineStr">
        <is>
          <t>16</t>
        </is>
      </c>
      <c r="F290" t="inlineStr">
        <is>
          <t>Medium</t>
        </is>
      </c>
      <c r="G290" t="inlineStr">
        <is>
          <t>High (explicit)</t>
        </is>
      </c>
      <c r="H290" s="11" t="inlineStr"/>
      <c r="I290" s="11" t="inlineStr"/>
      <c r="J290" t="inlineStr"/>
      <c r="K290" s="11" t="inlineStr">
        <is>
          <t>This section defines payment account services as services that enable cash to be placed on a payment account and all operations required for operating a payment account. It provides a clear scope for payment services under the directive.</t>
        </is>
      </c>
      <c r="L290" s="11" t="inlineStr"/>
      <c r="M290" s="11" t="inlineStr">
        <is>
          <t>• [Definition] Services enabling cash to be placed on a payment account as well as all the operations required for operating a payment account</t>
        </is>
      </c>
      <c r="N290" s="11" t="inlineStr">
        <is>
          <t>Services enabling cash to be placed on a payment account as well as all the operations required for operating a payment account.</t>
        </is>
      </c>
      <c r="O290" s="12" t="inlineStr">
        <is>
          <t>Open PDF</t>
        </is>
      </c>
    </row>
    <row r="291">
      <c r="A291" t="inlineStr">
        <is>
          <t>GDPR</t>
        </is>
      </c>
      <c r="B291" t="inlineStr">
        <is>
          <t>CELEX_32015L2366_EN_TXT (GDPR - Row 18)</t>
        </is>
      </c>
      <c r="C291" t="inlineStr">
        <is>
          <t>1</t>
        </is>
      </c>
      <c r="D291" s="11" t="inlineStr">
        <is>
          <t>Payment account services definition</t>
        </is>
      </c>
      <c r="E291" t="inlineStr">
        <is>
          <t>17</t>
        </is>
      </c>
      <c r="F291" t="inlineStr">
        <is>
          <t>Medium</t>
        </is>
      </c>
      <c r="G291" t="inlineStr">
        <is>
          <t>High (explicit)</t>
        </is>
      </c>
      <c r="H291" s="11" t="inlineStr"/>
      <c r="I291" s="11" t="inlineStr"/>
      <c r="J291" t="inlineStr"/>
      <c r="K291" s="11" t="inlineStr">
        <is>
          <t>This section defines payment account services as services that enable cash to be placed on a payment account and all operations required for operating a payment account. It provides a clear scope for payment services under the directive.</t>
        </is>
      </c>
      <c r="L291" s="11" t="inlineStr"/>
      <c r="M291" s="11" t="inlineStr">
        <is>
          <t>• [Definition] Services enabling cash to be placed on a payment account as well as all the operations required for operating a payment account</t>
        </is>
      </c>
      <c r="N291" s="11" t="inlineStr">
        <is>
          <t>Services enabling cash to be placed on a payment account as well as all the operations required for operating a payment account.</t>
        </is>
      </c>
      <c r="O291" s="12" t="inlineStr">
        <is>
          <t>Open PDF</t>
        </is>
      </c>
    </row>
    <row r="292">
      <c r="A292" t="inlineStr">
        <is>
          <t>GDPR</t>
        </is>
      </c>
      <c r="B292" t="inlineStr">
        <is>
          <t>CELEX_32015L2366_EN_TXT (GDPR - Row 18)</t>
        </is>
      </c>
      <c r="C292" t="inlineStr">
        <is>
          <t>1</t>
        </is>
      </c>
      <c r="D292" s="11" t="inlineStr">
        <is>
          <t>Payment account services definition</t>
        </is>
      </c>
      <c r="E292" t="inlineStr">
        <is>
          <t>24</t>
        </is>
      </c>
      <c r="F292" t="inlineStr">
        <is>
          <t>Medium</t>
        </is>
      </c>
      <c r="G292" t="inlineStr">
        <is>
          <t>High (explicit)</t>
        </is>
      </c>
      <c r="H292" s="11" t="inlineStr"/>
      <c r="I292" s="11" t="inlineStr"/>
      <c r="J292" t="inlineStr"/>
      <c r="K292" s="11" t="inlineStr">
        <is>
          <t>This section defines payment account services as services that enable cash to be placed on a payment account and all operations required for operating a payment account. It provides a clear scope for payment services under the directive.</t>
        </is>
      </c>
      <c r="L292" s="11" t="inlineStr"/>
      <c r="M292" s="11" t="inlineStr">
        <is>
          <t>• [Definition] Services enabling cash to be placed on a payment account as well as all the operations required for operating a payment account</t>
        </is>
      </c>
      <c r="N292" s="11" t="inlineStr">
        <is>
          <t>Services enabling cash to be placed on a payment account as well as all the operations required for operating a payment account.</t>
        </is>
      </c>
      <c r="O292" s="12" t="inlineStr">
        <is>
          <t>Open PDF</t>
        </is>
      </c>
    </row>
    <row r="293">
      <c r="A293" t="inlineStr">
        <is>
          <t>GDPR</t>
        </is>
      </c>
      <c r="B293" t="inlineStr">
        <is>
          <t>CELEX_32015L2366_EN_TXT (GDPR - Row 18)</t>
        </is>
      </c>
      <c r="C293" t="inlineStr">
        <is>
          <t>2</t>
        </is>
      </c>
      <c r="D293" s="11" t="inlineStr">
        <is>
          <t>Payment account withdrawal services definition</t>
        </is>
      </c>
      <c r="E293" t="inlineStr">
        <is>
          <t>2</t>
        </is>
      </c>
      <c r="F293" t="inlineStr">
        <is>
          <t>Medium</t>
        </is>
      </c>
      <c r="G293" t="inlineStr">
        <is>
          <t>High (explicit)</t>
        </is>
      </c>
      <c r="H293" s="11" t="inlineStr"/>
      <c r="I293" s="11" t="inlineStr"/>
      <c r="J293" t="inlineStr"/>
      <c r="K293" s="11" t="inlineStr">
        <is>
          <t>This section defines payment account withdrawal services as services that enable cash withdrawals from a payment account and all operations required for operating a payment account. It clarifies the scope of withdrawal services under the directive.</t>
        </is>
      </c>
      <c r="L293" s="11" t="inlineStr"/>
      <c r="M293" s="11" t="inlineStr">
        <is>
          <t>• [Definition] Services enabling cash withdrawals from a payment account as well as all the operations required for operating a payment account</t>
        </is>
      </c>
      <c r="N293" s="11" t="inlineStr">
        <is>
          <t>Services enabling cash withdrawals from a payment account as well as all the operations required for operating a payment account.</t>
        </is>
      </c>
      <c r="O293" s="12" t="inlineStr">
        <is>
          <t>Open PDF</t>
        </is>
      </c>
    </row>
    <row r="294">
      <c r="A294" t="inlineStr">
        <is>
          <t>GDPR</t>
        </is>
      </c>
      <c r="B294" t="inlineStr">
        <is>
          <t>CELEX_32015L2366_EN_TXT (GDPR - Row 18)</t>
        </is>
      </c>
      <c r="C294" t="inlineStr">
        <is>
          <t>2</t>
        </is>
      </c>
      <c r="D294" s="11" t="inlineStr">
        <is>
          <t>Payment account withdrawal services definition</t>
        </is>
      </c>
      <c r="E294" t="inlineStr">
        <is>
          <t>3</t>
        </is>
      </c>
      <c r="F294" t="inlineStr">
        <is>
          <t>Medium</t>
        </is>
      </c>
      <c r="G294" t="inlineStr">
        <is>
          <t>High (explicit)</t>
        </is>
      </c>
      <c r="H294" s="11" t="inlineStr"/>
      <c r="I294" s="11" t="inlineStr"/>
      <c r="J294" t="inlineStr"/>
      <c r="K294" s="11" t="inlineStr">
        <is>
          <t>This section defines payment account withdrawal services as services that enable cash withdrawals from a payment account and all operations required for operating a payment account. It clarifies the scope of withdrawal services under the directive.</t>
        </is>
      </c>
      <c r="L294" s="11" t="inlineStr"/>
      <c r="M294" s="11" t="inlineStr">
        <is>
          <t>• [Definition] Services enabling cash withdrawals from a payment account as well as all the operations required for operating a payment account</t>
        </is>
      </c>
      <c r="N294" s="11" t="inlineStr">
        <is>
          <t>Services enabling cash withdrawals from a payment account as well as all the operations required for operating a payment account.</t>
        </is>
      </c>
      <c r="O294" s="12" t="inlineStr">
        <is>
          <t>Open PDF</t>
        </is>
      </c>
    </row>
    <row r="295">
      <c r="A295" t="inlineStr">
        <is>
          <t>GDPR</t>
        </is>
      </c>
      <c r="B295" t="inlineStr">
        <is>
          <t>CELEX_32015L2366_EN_TXT (GDPR - Row 18)</t>
        </is>
      </c>
      <c r="C295" t="inlineStr">
        <is>
          <t>2</t>
        </is>
      </c>
      <c r="D295" s="11" t="inlineStr">
        <is>
          <t>Payment account withdrawal services definition</t>
        </is>
      </c>
      <c r="E295" t="inlineStr">
        <is>
          <t>7</t>
        </is>
      </c>
      <c r="F295" t="inlineStr">
        <is>
          <t>Medium</t>
        </is>
      </c>
      <c r="G295" t="inlineStr">
        <is>
          <t>High (explicit)</t>
        </is>
      </c>
      <c r="H295" s="11" t="inlineStr"/>
      <c r="I295" s="11" t="inlineStr"/>
      <c r="J295" t="inlineStr"/>
      <c r="K295" s="11" t="inlineStr">
        <is>
          <t>This section defines payment account withdrawal services as services that enable cash withdrawals from a payment account and all operations required for operating a payment account. It clarifies the scope of withdrawal services under the directive.</t>
        </is>
      </c>
      <c r="L295" s="11" t="inlineStr"/>
      <c r="M295" s="11" t="inlineStr">
        <is>
          <t>• [Definition] Services enabling cash withdrawals from a payment account as well as all the operations required for operating a payment account</t>
        </is>
      </c>
      <c r="N295" s="11" t="inlineStr">
        <is>
          <t>Services enabling cash withdrawals from a payment account as well as all the operations required for operating a payment account.</t>
        </is>
      </c>
      <c r="O295" s="12" t="inlineStr">
        <is>
          <t>Open PDF</t>
        </is>
      </c>
    </row>
    <row r="296">
      <c r="A296" t="inlineStr">
        <is>
          <t>GDPR</t>
        </is>
      </c>
      <c r="B296" t="inlineStr">
        <is>
          <t>CELEX_32015L2366_EN_TXT (GDPR - Row 18)</t>
        </is>
      </c>
      <c r="C296" t="inlineStr">
        <is>
          <t>2</t>
        </is>
      </c>
      <c r="D296" s="11" t="inlineStr">
        <is>
          <t>Payment account withdrawal services definition</t>
        </is>
      </c>
      <c r="E296" t="inlineStr">
        <is>
          <t>7</t>
        </is>
      </c>
      <c r="F296" t="inlineStr">
        <is>
          <t>Medium</t>
        </is>
      </c>
      <c r="G296" t="inlineStr">
        <is>
          <t>High (explicit)</t>
        </is>
      </c>
      <c r="H296" s="11" t="inlineStr"/>
      <c r="I296" s="11" t="inlineStr"/>
      <c r="J296" t="inlineStr"/>
      <c r="K296" s="11" t="inlineStr">
        <is>
          <t>This section defines payment account withdrawal services as services that enable cash withdrawals from a payment account and all operations required for operating a payment account. It clarifies the scope of withdrawal services under the directive.</t>
        </is>
      </c>
      <c r="L296" s="11" t="inlineStr"/>
      <c r="M296" s="11" t="inlineStr">
        <is>
          <t>• [Definition] Services enabling cash withdrawals from a payment account as well as all the operations required for operating a payment account</t>
        </is>
      </c>
      <c r="N296" s="11" t="inlineStr">
        <is>
          <t>Services enabling cash withdrawals from a payment account as well as all the operations required for operating a payment account.</t>
        </is>
      </c>
      <c r="O296" s="12" t="inlineStr">
        <is>
          <t>Open PDF</t>
        </is>
      </c>
    </row>
    <row r="297">
      <c r="A297" t="inlineStr">
        <is>
          <t>GDPR</t>
        </is>
      </c>
      <c r="B297" t="inlineStr">
        <is>
          <t>CELEX_32015L2366_EN_TXT (GDPR - Row 18)</t>
        </is>
      </c>
      <c r="C297" t="inlineStr">
        <is>
          <t>2</t>
        </is>
      </c>
      <c r="D297" s="11" t="inlineStr">
        <is>
          <t>Payment account withdrawal services definition</t>
        </is>
      </c>
      <c r="E297" t="inlineStr">
        <is>
          <t>7</t>
        </is>
      </c>
      <c r="F297" t="inlineStr">
        <is>
          <t>Medium</t>
        </is>
      </c>
      <c r="G297" t="inlineStr">
        <is>
          <t>High (explicit)</t>
        </is>
      </c>
      <c r="H297" s="11" t="inlineStr"/>
      <c r="I297" s="11" t="inlineStr"/>
      <c r="J297" t="inlineStr"/>
      <c r="K297" s="11" t="inlineStr">
        <is>
          <t>This section defines payment account withdrawal services as services that enable cash withdrawals from a payment account and all operations required for operating a payment account. It clarifies the scope of withdrawal services under the directive.</t>
        </is>
      </c>
      <c r="L297" s="11" t="inlineStr"/>
      <c r="M297" s="11" t="inlineStr">
        <is>
          <t>• [Definition] Services enabling cash withdrawals from a payment account as well as all the operations required for operating a payment account</t>
        </is>
      </c>
      <c r="N297" s="11" t="inlineStr">
        <is>
          <t>Services enabling cash withdrawals from a payment account as well as all the operations required for operating a payment account.</t>
        </is>
      </c>
      <c r="O297" s="12" t="inlineStr">
        <is>
          <t>Open PDF</t>
        </is>
      </c>
    </row>
    <row r="298">
      <c r="A298" t="inlineStr">
        <is>
          <t>GDPR</t>
        </is>
      </c>
      <c r="B298" t="inlineStr">
        <is>
          <t>CELEX_32015L2366_EN_TXT (GDPR - Row 18)</t>
        </is>
      </c>
      <c r="C298" t="inlineStr">
        <is>
          <t>2</t>
        </is>
      </c>
      <c r="D298" s="11" t="inlineStr">
        <is>
          <t>Payment account withdrawal services definition</t>
        </is>
      </c>
      <c r="E298" t="inlineStr">
        <is>
          <t>8</t>
        </is>
      </c>
      <c r="F298" t="inlineStr">
        <is>
          <t>Medium</t>
        </is>
      </c>
      <c r="G298" t="inlineStr">
        <is>
          <t>High (explicit)</t>
        </is>
      </c>
      <c r="H298" s="11" t="inlineStr"/>
      <c r="I298" s="11" t="inlineStr"/>
      <c r="J298" t="inlineStr"/>
      <c r="K298" s="11" t="inlineStr">
        <is>
          <t>This section defines payment account withdrawal services as services that enable cash withdrawals from a payment account and all operations required for operating a payment account. It clarifies the scope of withdrawal services under the directive.</t>
        </is>
      </c>
      <c r="L298" s="11" t="inlineStr"/>
      <c r="M298" s="11" t="inlineStr">
        <is>
          <t>• [Definition] Services enabling cash withdrawals from a payment account as well as all the operations required for operating a payment account</t>
        </is>
      </c>
      <c r="N298" s="11" t="inlineStr">
        <is>
          <t>Services enabling cash withdrawals from a payment account as well as all the operations required for operating a payment account.</t>
        </is>
      </c>
      <c r="O298" s="12" t="inlineStr">
        <is>
          <t>Open PDF</t>
        </is>
      </c>
    </row>
    <row r="299">
      <c r="A299" t="inlineStr">
        <is>
          <t>GDPR</t>
        </is>
      </c>
      <c r="B299" t="inlineStr">
        <is>
          <t>CELEX_32015L2366_EN_TXT (GDPR - Row 18)</t>
        </is>
      </c>
      <c r="C299" t="inlineStr">
        <is>
          <t>2</t>
        </is>
      </c>
      <c r="D299" s="11" t="inlineStr">
        <is>
          <t>Payment account withdrawal services definition</t>
        </is>
      </c>
      <c r="E299" t="inlineStr">
        <is>
          <t>8</t>
        </is>
      </c>
      <c r="F299" t="inlineStr">
        <is>
          <t>Medium</t>
        </is>
      </c>
      <c r="G299" t="inlineStr">
        <is>
          <t>High (explicit)</t>
        </is>
      </c>
      <c r="H299" s="11" t="inlineStr"/>
      <c r="I299" s="11" t="inlineStr"/>
      <c r="J299" t="inlineStr"/>
      <c r="K299" s="11" t="inlineStr">
        <is>
          <t>This section defines payment account withdrawal services as services that enable cash withdrawals from a payment account and all operations required for operating a payment account. It clarifies the scope of withdrawal services under the directive.</t>
        </is>
      </c>
      <c r="L299" s="11" t="inlineStr"/>
      <c r="M299" s="11" t="inlineStr">
        <is>
          <t>• [Definition] Services enabling cash withdrawals from a payment account as well as all the operations required for operating a payment account</t>
        </is>
      </c>
      <c r="N299" s="11" t="inlineStr">
        <is>
          <t>Services enabling cash withdrawals from a payment account as well as all the operations required for operating a payment account.</t>
        </is>
      </c>
      <c r="O299" s="12" t="inlineStr">
        <is>
          <t>Open PDF</t>
        </is>
      </c>
    </row>
    <row r="300">
      <c r="A300" t="inlineStr">
        <is>
          <t>GDPR</t>
        </is>
      </c>
      <c r="B300" t="inlineStr">
        <is>
          <t>CELEX_32015L2366_EN_TXT (GDPR - Row 18)</t>
        </is>
      </c>
      <c r="C300" t="inlineStr">
        <is>
          <t>2</t>
        </is>
      </c>
      <c r="D300" s="11" t="inlineStr">
        <is>
          <t>Payment account withdrawal services definition</t>
        </is>
      </c>
      <c r="E300" t="inlineStr">
        <is>
          <t>9</t>
        </is>
      </c>
      <c r="F300" t="inlineStr">
        <is>
          <t>Medium</t>
        </is>
      </c>
      <c r="G300" t="inlineStr">
        <is>
          <t>High (explicit)</t>
        </is>
      </c>
      <c r="H300" s="11" t="inlineStr"/>
      <c r="I300" s="11" t="inlineStr"/>
      <c r="J300" t="inlineStr"/>
      <c r="K300" s="11" t="inlineStr">
        <is>
          <t>This section defines payment account withdrawal services as services that enable cash withdrawals from a payment account and all operations required for operating a payment account. It clarifies the scope of withdrawal services under the directive.</t>
        </is>
      </c>
      <c r="L300" s="11" t="inlineStr"/>
      <c r="M300" s="11" t="inlineStr">
        <is>
          <t>• [Definition] Services enabling cash withdrawals from a payment account as well as all the operations required for operating a payment account</t>
        </is>
      </c>
      <c r="N300" s="11" t="inlineStr">
        <is>
          <t>Services enabling cash withdrawals from a payment account as well as all the operations required for operating a payment account.</t>
        </is>
      </c>
      <c r="O300" s="12" t="inlineStr">
        <is>
          <t>Open PDF</t>
        </is>
      </c>
    </row>
    <row r="301">
      <c r="A301" t="inlineStr">
        <is>
          <t>GDPR</t>
        </is>
      </c>
      <c r="B301" t="inlineStr">
        <is>
          <t>CELEX_32015L2366_EN_TXT (GDPR - Row 18)</t>
        </is>
      </c>
      <c r="C301" t="inlineStr">
        <is>
          <t>2</t>
        </is>
      </c>
      <c r="D301" s="11" t="inlineStr">
        <is>
          <t>Payment account withdrawal services definition</t>
        </is>
      </c>
      <c r="E301" t="inlineStr">
        <is>
          <t>9</t>
        </is>
      </c>
      <c r="F301" t="inlineStr">
        <is>
          <t>Medium</t>
        </is>
      </c>
      <c r="G301" t="inlineStr">
        <is>
          <t>High (explicit)</t>
        </is>
      </c>
      <c r="H301" s="11" t="inlineStr"/>
      <c r="I301" s="11" t="inlineStr"/>
      <c r="J301" t="inlineStr"/>
      <c r="K301" s="11" t="inlineStr">
        <is>
          <t>This section defines payment account withdrawal services as services that enable cash withdrawals from a payment account and all operations required for operating a payment account. It clarifies the scope of withdrawal services under the directive.</t>
        </is>
      </c>
      <c r="L301" s="11" t="inlineStr"/>
      <c r="M301" s="11" t="inlineStr">
        <is>
          <t>• [Definition] Services enabling cash withdrawals from a payment account as well as all the operations required for operating a payment account</t>
        </is>
      </c>
      <c r="N301" s="11" t="inlineStr">
        <is>
          <t>Services enabling cash withdrawals from a payment account as well as all the operations required for operating a payment account.</t>
        </is>
      </c>
      <c r="O301" s="12" t="inlineStr">
        <is>
          <t>Open PDF</t>
        </is>
      </c>
    </row>
    <row r="302">
      <c r="A302" t="inlineStr">
        <is>
          <t>GDPR</t>
        </is>
      </c>
      <c r="B302" t="inlineStr">
        <is>
          <t>CELEX_32015L2366_EN_TXT (GDPR - Row 18)</t>
        </is>
      </c>
      <c r="C302" t="inlineStr">
        <is>
          <t>2</t>
        </is>
      </c>
      <c r="D302" s="11" t="inlineStr">
        <is>
          <t>Payment account withdrawal services definition</t>
        </is>
      </c>
      <c r="E302" t="inlineStr">
        <is>
          <t>9</t>
        </is>
      </c>
      <c r="F302" t="inlineStr">
        <is>
          <t>Medium</t>
        </is>
      </c>
      <c r="G302" t="inlineStr">
        <is>
          <t>High (explicit)</t>
        </is>
      </c>
      <c r="H302" s="11" t="inlineStr"/>
      <c r="I302" s="11" t="inlineStr"/>
      <c r="J302" t="inlineStr"/>
      <c r="K302" s="11" t="inlineStr">
        <is>
          <t>This section defines payment account withdrawal services as services that enable cash withdrawals from a payment account and all operations required for operating a payment account. It clarifies the scope of withdrawal services under the directive.</t>
        </is>
      </c>
      <c r="L302" s="11" t="inlineStr"/>
      <c r="M302" s="11" t="inlineStr">
        <is>
          <t>• [Definition] Services enabling cash withdrawals from a payment account as well as all the operations required for operating a payment account</t>
        </is>
      </c>
      <c r="N302" s="11" t="inlineStr">
        <is>
          <t>Services enabling cash withdrawals from a payment account as well as all the operations required for operating a payment account.</t>
        </is>
      </c>
      <c r="O302" s="12" t="inlineStr">
        <is>
          <t>Open PDF</t>
        </is>
      </c>
    </row>
    <row r="303">
      <c r="A303" t="inlineStr">
        <is>
          <t>GDPR</t>
        </is>
      </c>
      <c r="B303" t="inlineStr">
        <is>
          <t>CELEX_32015L2366_EN_TXT (GDPR - Row 18)</t>
        </is>
      </c>
      <c r="C303" t="inlineStr">
        <is>
          <t>2</t>
        </is>
      </c>
      <c r="D303" s="11" t="inlineStr">
        <is>
          <t>Payment account withdrawal services definition</t>
        </is>
      </c>
      <c r="E303" t="inlineStr">
        <is>
          <t>10</t>
        </is>
      </c>
      <c r="F303" t="inlineStr">
        <is>
          <t>Medium</t>
        </is>
      </c>
      <c r="G303" t="inlineStr">
        <is>
          <t>High (explicit)</t>
        </is>
      </c>
      <c r="H303" s="11" t="inlineStr"/>
      <c r="I303" s="11" t="inlineStr"/>
      <c r="J303" t="inlineStr"/>
      <c r="K303" s="11" t="inlineStr">
        <is>
          <t>This section defines payment account withdrawal services as services that enable cash withdrawals from a payment account and all operations required for operating a payment account. It clarifies the scope of withdrawal services under the directive.</t>
        </is>
      </c>
      <c r="L303" s="11" t="inlineStr"/>
      <c r="M303" s="11" t="inlineStr">
        <is>
          <t>• [Definition] Services enabling cash withdrawals from a payment account as well as all the operations required for operating a payment account</t>
        </is>
      </c>
      <c r="N303" s="11" t="inlineStr">
        <is>
          <t>Services enabling cash withdrawals from a payment account as well as all the operations required for operating a payment account.</t>
        </is>
      </c>
      <c r="O303" s="12" t="inlineStr">
        <is>
          <t>Open PDF</t>
        </is>
      </c>
    </row>
    <row r="304">
      <c r="A304" t="inlineStr">
        <is>
          <t>GDPR</t>
        </is>
      </c>
      <c r="B304" t="inlineStr">
        <is>
          <t>CELEX_32015L2366_EN_TXT (GDPR - Row 18)</t>
        </is>
      </c>
      <c r="C304" t="inlineStr">
        <is>
          <t>2</t>
        </is>
      </c>
      <c r="D304" s="11" t="inlineStr">
        <is>
          <t>Payment account withdrawal services definition</t>
        </is>
      </c>
      <c r="E304" t="inlineStr">
        <is>
          <t>10</t>
        </is>
      </c>
      <c r="F304" t="inlineStr">
        <is>
          <t>Medium</t>
        </is>
      </c>
      <c r="G304" t="inlineStr">
        <is>
          <t>High (explicit)</t>
        </is>
      </c>
      <c r="H304" s="11" t="inlineStr"/>
      <c r="I304" s="11" t="inlineStr"/>
      <c r="J304" t="inlineStr"/>
      <c r="K304" s="11" t="inlineStr">
        <is>
          <t>This section defines payment account withdrawal services as services that enable cash withdrawals from a payment account and all operations required for operating a payment account. It clarifies the scope of withdrawal services under the directive.</t>
        </is>
      </c>
      <c r="L304" s="11" t="inlineStr"/>
      <c r="M304" s="11" t="inlineStr">
        <is>
          <t>• [Definition] Services enabling cash withdrawals from a payment account as well as all the operations required for operating a payment account</t>
        </is>
      </c>
      <c r="N304" s="11" t="inlineStr">
        <is>
          <t>Services enabling cash withdrawals from a payment account as well as all the operations required for operating a payment account.</t>
        </is>
      </c>
      <c r="O304" s="12" t="inlineStr">
        <is>
          <t>Open PDF</t>
        </is>
      </c>
    </row>
    <row r="305">
      <c r="A305" t="inlineStr">
        <is>
          <t>GDPR</t>
        </is>
      </c>
      <c r="B305" t="inlineStr">
        <is>
          <t>CELEX_32015L2366_EN_TXT (GDPR - Row 18)</t>
        </is>
      </c>
      <c r="C305" t="inlineStr">
        <is>
          <t>2</t>
        </is>
      </c>
      <c r="D305" s="11" t="inlineStr">
        <is>
          <t>Payment account withdrawal services definition</t>
        </is>
      </c>
      <c r="E305" t="inlineStr">
        <is>
          <t>10</t>
        </is>
      </c>
      <c r="F305" t="inlineStr">
        <is>
          <t>Medium</t>
        </is>
      </c>
      <c r="G305" t="inlineStr">
        <is>
          <t>High (explicit)</t>
        </is>
      </c>
      <c r="H305" s="11" t="inlineStr"/>
      <c r="I305" s="11" t="inlineStr"/>
      <c r="J305" t="inlineStr"/>
      <c r="K305" s="11" t="inlineStr">
        <is>
          <t>This section defines payment account withdrawal services as services that enable cash withdrawals from a payment account and all operations required for operating a payment account. It clarifies the scope of withdrawal services under the directive.</t>
        </is>
      </c>
      <c r="L305" s="11" t="inlineStr"/>
      <c r="M305" s="11" t="inlineStr">
        <is>
          <t>• [Definition] Services enabling cash withdrawals from a payment account as well as all the operations required for operating a payment account</t>
        </is>
      </c>
      <c r="N305" s="11" t="inlineStr">
        <is>
          <t>Services enabling cash withdrawals from a payment account as well as all the operations required for operating a payment account.</t>
        </is>
      </c>
      <c r="O305" s="12" t="inlineStr">
        <is>
          <t>Open PDF</t>
        </is>
      </c>
    </row>
    <row r="306">
      <c r="A306" t="inlineStr">
        <is>
          <t>GDPR</t>
        </is>
      </c>
      <c r="B306" t="inlineStr">
        <is>
          <t>CELEX_32015L2366_EN_TXT (GDPR - Row 18)</t>
        </is>
      </c>
      <c r="C306" t="inlineStr">
        <is>
          <t>2</t>
        </is>
      </c>
      <c r="D306" s="11" t="inlineStr">
        <is>
          <t>Payment account withdrawal services definition</t>
        </is>
      </c>
      <c r="E306" t="inlineStr">
        <is>
          <t>11</t>
        </is>
      </c>
      <c r="F306" t="inlineStr">
        <is>
          <t>Medium</t>
        </is>
      </c>
      <c r="G306" t="inlineStr">
        <is>
          <t>High (explicit)</t>
        </is>
      </c>
      <c r="H306" s="11" t="inlineStr"/>
      <c r="I306" s="11" t="inlineStr"/>
      <c r="J306" t="inlineStr"/>
      <c r="K306" s="11" t="inlineStr">
        <is>
          <t>This section defines payment account withdrawal services as services that enable cash withdrawals from a payment account and all operations required for operating a payment account. It clarifies the scope of withdrawal services under the directive.</t>
        </is>
      </c>
      <c r="L306" s="11" t="inlineStr"/>
      <c r="M306" s="11" t="inlineStr">
        <is>
          <t>• [Definition] Services enabling cash withdrawals from a payment account as well as all the operations required for operating a payment account</t>
        </is>
      </c>
      <c r="N306" s="11" t="inlineStr">
        <is>
          <t>Services enabling cash withdrawals from a payment account as well as all the operations required for operating a payment account.</t>
        </is>
      </c>
      <c r="O306" s="12" t="inlineStr">
        <is>
          <t>Open PDF</t>
        </is>
      </c>
    </row>
    <row r="307">
      <c r="A307" t="inlineStr">
        <is>
          <t>GDPR</t>
        </is>
      </c>
      <c r="B307" t="inlineStr">
        <is>
          <t>CELEX_32015L2366_EN_TXT (GDPR - Row 18)</t>
        </is>
      </c>
      <c r="C307" t="inlineStr">
        <is>
          <t>2</t>
        </is>
      </c>
      <c r="D307" s="11" t="inlineStr">
        <is>
          <t>Payment account withdrawal services definition</t>
        </is>
      </c>
      <c r="E307" t="inlineStr">
        <is>
          <t>12</t>
        </is>
      </c>
      <c r="F307" t="inlineStr">
        <is>
          <t>Medium</t>
        </is>
      </c>
      <c r="G307" t="inlineStr">
        <is>
          <t>High (explicit)</t>
        </is>
      </c>
      <c r="H307" s="11" t="inlineStr"/>
      <c r="I307" s="11" t="inlineStr"/>
      <c r="J307" t="inlineStr"/>
      <c r="K307" s="11" t="inlineStr">
        <is>
          <t>This section defines payment account withdrawal services as services that enable cash withdrawals from a payment account and all operations required for operating a payment account. It clarifies the scope of withdrawal services under the directive.</t>
        </is>
      </c>
      <c r="L307" s="11" t="inlineStr"/>
      <c r="M307" s="11" t="inlineStr">
        <is>
          <t>• [Definition] Services enabling cash withdrawals from a payment account as well as all the operations required for operating a payment account</t>
        </is>
      </c>
      <c r="N307" s="11" t="inlineStr">
        <is>
          <t>Services enabling cash withdrawals from a payment account as well as all the operations required for operating a payment account.</t>
        </is>
      </c>
      <c r="O307" s="12" t="inlineStr">
        <is>
          <t>Open PDF</t>
        </is>
      </c>
    </row>
    <row r="308">
      <c r="A308" t="inlineStr">
        <is>
          <t>GDPR</t>
        </is>
      </c>
      <c r="B308" t="inlineStr">
        <is>
          <t>CELEX_32015L2366_EN_TXT (GDPR - Row 18)</t>
        </is>
      </c>
      <c r="C308" t="inlineStr">
        <is>
          <t>2</t>
        </is>
      </c>
      <c r="D308" s="11" t="inlineStr">
        <is>
          <t>Payment account withdrawal services definition</t>
        </is>
      </c>
      <c r="E308" t="inlineStr">
        <is>
          <t>12</t>
        </is>
      </c>
      <c r="F308" t="inlineStr">
        <is>
          <t>Medium</t>
        </is>
      </c>
      <c r="G308" t="inlineStr">
        <is>
          <t>High (explicit)</t>
        </is>
      </c>
      <c r="H308" s="11" t="inlineStr"/>
      <c r="I308" s="11" t="inlineStr"/>
      <c r="J308" t="inlineStr"/>
      <c r="K308" s="11" t="inlineStr">
        <is>
          <t>This section defines payment account withdrawal services as services that enable cash withdrawals from a payment account and all operations required for operating a payment account. It clarifies the scope of withdrawal services under the directive.</t>
        </is>
      </c>
      <c r="L308" s="11" t="inlineStr"/>
      <c r="M308" s="11" t="inlineStr">
        <is>
          <t>• [Definition] Services enabling cash withdrawals from a payment account as well as all the operations required for operating a payment account</t>
        </is>
      </c>
      <c r="N308" s="11" t="inlineStr">
        <is>
          <t>Services enabling cash withdrawals from a payment account as well as all the operations required for operating a payment account.</t>
        </is>
      </c>
      <c r="O308" s="12" t="inlineStr">
        <is>
          <t>Open PDF</t>
        </is>
      </c>
    </row>
    <row r="309">
      <c r="A309" t="inlineStr">
        <is>
          <t>GDPR</t>
        </is>
      </c>
      <c r="B309" t="inlineStr">
        <is>
          <t>CELEX_32015L2366_EN_TXT (GDPR - Row 18)</t>
        </is>
      </c>
      <c r="C309" t="inlineStr">
        <is>
          <t>2</t>
        </is>
      </c>
      <c r="D309" s="11" t="inlineStr">
        <is>
          <t>Payment account withdrawal services definition</t>
        </is>
      </c>
      <c r="E309" t="inlineStr">
        <is>
          <t>12</t>
        </is>
      </c>
      <c r="F309" t="inlineStr">
        <is>
          <t>Medium</t>
        </is>
      </c>
      <c r="G309" t="inlineStr">
        <is>
          <t>High (explicit)</t>
        </is>
      </c>
      <c r="H309" s="11" t="inlineStr"/>
      <c r="I309" s="11" t="inlineStr"/>
      <c r="J309" t="inlineStr"/>
      <c r="K309" s="11" t="inlineStr">
        <is>
          <t>This section defines payment account withdrawal services as services that enable cash withdrawals from a payment account and all operations required for operating a payment account. It clarifies the scope of withdrawal services under the directive.</t>
        </is>
      </c>
      <c r="L309" s="11" t="inlineStr"/>
      <c r="M309" s="11" t="inlineStr">
        <is>
          <t>• [Definition] Services enabling cash withdrawals from a payment account as well as all the operations required for operating a payment account</t>
        </is>
      </c>
      <c r="N309" s="11" t="inlineStr">
        <is>
          <t>Services enabling cash withdrawals from a payment account as well as all the operations required for operating a payment account.</t>
        </is>
      </c>
      <c r="O309" s="12" t="inlineStr">
        <is>
          <t>Open PDF</t>
        </is>
      </c>
    </row>
    <row r="310">
      <c r="A310" t="inlineStr">
        <is>
          <t>GDPR</t>
        </is>
      </c>
      <c r="B310" t="inlineStr">
        <is>
          <t>CELEX_32015L2366_EN_TXT (GDPR - Row 18)</t>
        </is>
      </c>
      <c r="C310" t="inlineStr">
        <is>
          <t>2</t>
        </is>
      </c>
      <c r="D310" s="11" t="inlineStr">
        <is>
          <t>Payment account withdrawal services definition</t>
        </is>
      </c>
      <c r="E310" t="inlineStr">
        <is>
          <t>12</t>
        </is>
      </c>
      <c r="F310" t="inlineStr">
        <is>
          <t>Medium</t>
        </is>
      </c>
      <c r="G310" t="inlineStr">
        <is>
          <t>High (explicit)</t>
        </is>
      </c>
      <c r="H310" s="11" t="inlineStr"/>
      <c r="I310" s="11" t="inlineStr"/>
      <c r="J310" t="inlineStr"/>
      <c r="K310" s="11" t="inlineStr">
        <is>
          <t>This section defines payment account withdrawal services as services that enable cash withdrawals from a payment account and all operations required for operating a payment account. It clarifies the scope of withdrawal services under the directive.</t>
        </is>
      </c>
      <c r="L310" s="11" t="inlineStr"/>
      <c r="M310" s="11" t="inlineStr">
        <is>
          <t>• [Definition] Services enabling cash withdrawals from a payment account as well as all the operations required for operating a payment account</t>
        </is>
      </c>
      <c r="N310" s="11" t="inlineStr">
        <is>
          <t>Services enabling cash withdrawals from a payment account as well as all the operations required for operating a payment account.</t>
        </is>
      </c>
      <c r="O310" s="12" t="inlineStr">
        <is>
          <t>Open PDF</t>
        </is>
      </c>
    </row>
    <row r="311">
      <c r="A311" t="inlineStr">
        <is>
          <t>GDPR</t>
        </is>
      </c>
      <c r="B311" t="inlineStr">
        <is>
          <t>CELEX_32015L2366_EN_TXT (GDPR - Row 18)</t>
        </is>
      </c>
      <c r="C311" t="inlineStr">
        <is>
          <t>2</t>
        </is>
      </c>
      <c r="D311" s="11" t="inlineStr">
        <is>
          <t>Payment account withdrawal services definition</t>
        </is>
      </c>
      <c r="E311" t="inlineStr">
        <is>
          <t>12</t>
        </is>
      </c>
      <c r="F311" t="inlineStr">
        <is>
          <t>Medium</t>
        </is>
      </c>
      <c r="G311" t="inlineStr">
        <is>
          <t>High (explicit)</t>
        </is>
      </c>
      <c r="H311" s="11" t="inlineStr"/>
      <c r="I311" s="11" t="inlineStr"/>
      <c r="J311" t="inlineStr"/>
      <c r="K311" s="11" t="inlineStr">
        <is>
          <t>This section defines payment account withdrawal services as services that enable cash withdrawals from a payment account and all operations required for operating a payment account. It clarifies the scope of withdrawal services under the directive.</t>
        </is>
      </c>
      <c r="L311" s="11" t="inlineStr"/>
      <c r="M311" s="11" t="inlineStr">
        <is>
          <t>• [Definition] Services enabling cash withdrawals from a payment account as well as all the operations required for operating a payment account</t>
        </is>
      </c>
      <c r="N311" s="11" t="inlineStr">
        <is>
          <t>Services enabling cash withdrawals from a payment account as well as all the operations required for operating a payment account.</t>
        </is>
      </c>
      <c r="O311" s="12" t="inlineStr">
        <is>
          <t>Open PDF</t>
        </is>
      </c>
    </row>
    <row r="312">
      <c r="A312" t="inlineStr">
        <is>
          <t>GDPR</t>
        </is>
      </c>
      <c r="B312" t="inlineStr">
        <is>
          <t>CELEX_32015L2366_EN_TXT (GDPR - Row 18)</t>
        </is>
      </c>
      <c r="C312" t="inlineStr">
        <is>
          <t>2</t>
        </is>
      </c>
      <c r="D312" s="11" t="inlineStr">
        <is>
          <t>Payment account withdrawal services definition</t>
        </is>
      </c>
      <c r="E312" t="inlineStr">
        <is>
          <t>13</t>
        </is>
      </c>
      <c r="F312" t="inlineStr">
        <is>
          <t>Medium</t>
        </is>
      </c>
      <c r="G312" t="inlineStr">
        <is>
          <t>High (explicit)</t>
        </is>
      </c>
      <c r="H312" s="11" t="inlineStr"/>
      <c r="I312" s="11" t="inlineStr"/>
      <c r="J312" t="inlineStr"/>
      <c r="K312" s="11" t="inlineStr">
        <is>
          <t>This section defines payment account withdrawal services as services that enable cash withdrawals from a payment account and all operations required for operating a payment account. It clarifies the scope of withdrawal services under the directive.</t>
        </is>
      </c>
      <c r="L312" s="11" t="inlineStr"/>
      <c r="M312" s="11" t="inlineStr">
        <is>
          <t>• [Definition] Services enabling cash withdrawals from a payment account as well as all the operations required for operating a payment account</t>
        </is>
      </c>
      <c r="N312" s="11" t="inlineStr">
        <is>
          <t>Services enabling cash withdrawals from a payment account as well as all the operations required for operating a payment account.</t>
        </is>
      </c>
      <c r="O312" s="12" t="inlineStr">
        <is>
          <t>Open PDF</t>
        </is>
      </c>
    </row>
    <row r="313">
      <c r="A313" t="inlineStr">
        <is>
          <t>GDPR</t>
        </is>
      </c>
      <c r="B313" t="inlineStr">
        <is>
          <t>CELEX_32015L2366_EN_TXT (GDPR - Row 18)</t>
        </is>
      </c>
      <c r="C313" t="inlineStr">
        <is>
          <t>2</t>
        </is>
      </c>
      <c r="D313" s="11" t="inlineStr">
        <is>
          <t>Payment account withdrawal services definition</t>
        </is>
      </c>
      <c r="E313" t="inlineStr">
        <is>
          <t>14</t>
        </is>
      </c>
      <c r="F313" t="inlineStr">
        <is>
          <t>Medium</t>
        </is>
      </c>
      <c r="G313" t="inlineStr">
        <is>
          <t>High (explicit)</t>
        </is>
      </c>
      <c r="H313" s="11" t="inlineStr"/>
      <c r="I313" s="11" t="inlineStr"/>
      <c r="J313" t="inlineStr"/>
      <c r="K313" s="11" t="inlineStr">
        <is>
          <t>This section defines payment account withdrawal services as services that enable cash withdrawals from a payment account and all operations required for operating a payment account. It clarifies the scope of withdrawal services under the directive.</t>
        </is>
      </c>
      <c r="L313" s="11" t="inlineStr"/>
      <c r="M313" s="11" t="inlineStr">
        <is>
          <t>• [Definition] Services enabling cash withdrawals from a payment account as well as all the operations required for operating a payment account</t>
        </is>
      </c>
      <c r="N313" s="11" t="inlineStr">
        <is>
          <t>Services enabling cash withdrawals from a payment account as well as all the operations required for operating a payment account.</t>
        </is>
      </c>
      <c r="O313" s="12" t="inlineStr">
        <is>
          <t>Open PDF</t>
        </is>
      </c>
    </row>
    <row r="314">
      <c r="A314" t="inlineStr">
        <is>
          <t>GDPR</t>
        </is>
      </c>
      <c r="B314" t="inlineStr">
        <is>
          <t>CELEX_32015L2366_EN_TXT (GDPR - Row 18)</t>
        </is>
      </c>
      <c r="C314" t="inlineStr">
        <is>
          <t>2</t>
        </is>
      </c>
      <c r="D314" s="11" t="inlineStr">
        <is>
          <t>Payment account withdrawal services definition</t>
        </is>
      </c>
      <c r="E314" t="inlineStr">
        <is>
          <t>14</t>
        </is>
      </c>
      <c r="F314" t="inlineStr">
        <is>
          <t>Medium</t>
        </is>
      </c>
      <c r="G314" t="inlineStr">
        <is>
          <t>High (explicit)</t>
        </is>
      </c>
      <c r="H314" s="11" t="inlineStr"/>
      <c r="I314" s="11" t="inlineStr"/>
      <c r="J314" t="inlineStr"/>
      <c r="K314" s="11" t="inlineStr">
        <is>
          <t>This section defines payment account withdrawal services as services that enable cash withdrawals from a payment account and all operations required for operating a payment account. It clarifies the scope of withdrawal services under the directive.</t>
        </is>
      </c>
      <c r="L314" s="11" t="inlineStr"/>
      <c r="M314" s="11" t="inlineStr">
        <is>
          <t>• [Definition] Services enabling cash withdrawals from a payment account as well as all the operations required for operating a payment account</t>
        </is>
      </c>
      <c r="N314" s="11" t="inlineStr">
        <is>
          <t>Services enabling cash withdrawals from a payment account as well as all the operations required for operating a payment account.</t>
        </is>
      </c>
      <c r="O314" s="12" t="inlineStr">
        <is>
          <t>Open PDF</t>
        </is>
      </c>
    </row>
    <row r="315">
      <c r="A315" t="inlineStr">
        <is>
          <t>GDPR</t>
        </is>
      </c>
      <c r="B315" t="inlineStr">
        <is>
          <t>CELEX_32015L2366_EN_TXT (GDPR - Row 18)</t>
        </is>
      </c>
      <c r="C315" t="inlineStr">
        <is>
          <t>2</t>
        </is>
      </c>
      <c r="D315" s="11" t="inlineStr">
        <is>
          <t>Payment account withdrawal services definition</t>
        </is>
      </c>
      <c r="E315" t="inlineStr">
        <is>
          <t>15</t>
        </is>
      </c>
      <c r="F315" t="inlineStr">
        <is>
          <t>Medium</t>
        </is>
      </c>
      <c r="G315" t="inlineStr">
        <is>
          <t>High (explicit)</t>
        </is>
      </c>
      <c r="H315" s="11" t="inlineStr"/>
      <c r="I315" s="11" t="inlineStr"/>
      <c r="J315" t="inlineStr"/>
      <c r="K315" s="11" t="inlineStr">
        <is>
          <t>This section defines payment account withdrawal services as services that enable cash withdrawals from a payment account and all operations required for operating a payment account. It clarifies the scope of withdrawal services under the directive.</t>
        </is>
      </c>
      <c r="L315" s="11" t="inlineStr"/>
      <c r="M315" s="11" t="inlineStr">
        <is>
          <t>• [Definition] Services enabling cash withdrawals from a payment account as well as all the operations required for operating a payment account</t>
        </is>
      </c>
      <c r="N315" s="11" t="inlineStr">
        <is>
          <t>Services enabling cash withdrawals from a payment account as well as all the operations required for operating a payment account.</t>
        </is>
      </c>
      <c r="O315" s="12" t="inlineStr">
        <is>
          <t>Open PDF</t>
        </is>
      </c>
    </row>
    <row r="316">
      <c r="A316" t="inlineStr">
        <is>
          <t>GDPR</t>
        </is>
      </c>
      <c r="B316" t="inlineStr">
        <is>
          <t>CELEX_32015L2366_EN_TXT (GDPR - Row 18)</t>
        </is>
      </c>
      <c r="C316" t="inlineStr">
        <is>
          <t>2</t>
        </is>
      </c>
      <c r="D316" s="11" t="inlineStr">
        <is>
          <t>Payment account withdrawal services definition</t>
        </is>
      </c>
      <c r="E316" t="inlineStr">
        <is>
          <t>15</t>
        </is>
      </c>
      <c r="F316" t="inlineStr">
        <is>
          <t>Medium</t>
        </is>
      </c>
      <c r="G316" t="inlineStr">
        <is>
          <t>High (explicit)</t>
        </is>
      </c>
      <c r="H316" s="11" t="inlineStr"/>
      <c r="I316" s="11" t="inlineStr"/>
      <c r="J316" t="inlineStr"/>
      <c r="K316" s="11" t="inlineStr">
        <is>
          <t>This section defines payment account withdrawal services as services that enable cash withdrawals from a payment account and all operations required for operating a payment account. It clarifies the scope of withdrawal services under the directive.</t>
        </is>
      </c>
      <c r="L316" s="11" t="inlineStr"/>
      <c r="M316" s="11" t="inlineStr">
        <is>
          <t>• [Definition] Services enabling cash withdrawals from a payment account as well as all the operations required for operating a payment account</t>
        </is>
      </c>
      <c r="N316" s="11" t="inlineStr">
        <is>
          <t>Services enabling cash withdrawals from a payment account as well as all the operations required for operating a payment account.</t>
        </is>
      </c>
      <c r="O316" s="12" t="inlineStr">
        <is>
          <t>Open PDF</t>
        </is>
      </c>
    </row>
    <row r="317">
      <c r="A317" t="inlineStr">
        <is>
          <t>GDPR</t>
        </is>
      </c>
      <c r="B317" t="inlineStr">
        <is>
          <t>CELEX_32015L2366_EN_TXT (GDPR - Row 18)</t>
        </is>
      </c>
      <c r="C317" t="inlineStr">
        <is>
          <t>2</t>
        </is>
      </c>
      <c r="D317" s="11" t="inlineStr">
        <is>
          <t>Payment account withdrawal services definition</t>
        </is>
      </c>
      <c r="E317" t="inlineStr">
        <is>
          <t>15</t>
        </is>
      </c>
      <c r="F317" t="inlineStr">
        <is>
          <t>Medium</t>
        </is>
      </c>
      <c r="G317" t="inlineStr">
        <is>
          <t>High (explicit)</t>
        </is>
      </c>
      <c r="H317" s="11" t="inlineStr"/>
      <c r="I317" s="11" t="inlineStr"/>
      <c r="J317" t="inlineStr"/>
      <c r="K317" s="11" t="inlineStr">
        <is>
          <t>This section defines payment account withdrawal services as services that enable cash withdrawals from a payment account and all operations required for operating a payment account. It clarifies the scope of withdrawal services under the directive.</t>
        </is>
      </c>
      <c r="L317" s="11" t="inlineStr"/>
      <c r="M317" s="11" t="inlineStr">
        <is>
          <t>• [Definition] Services enabling cash withdrawals from a payment account as well as all the operations required for operating a payment account</t>
        </is>
      </c>
      <c r="N317" s="11" t="inlineStr">
        <is>
          <t>Services enabling cash withdrawals from a payment account as well as all the operations required for operating a payment account.</t>
        </is>
      </c>
      <c r="O317" s="12" t="inlineStr">
        <is>
          <t>Open PDF</t>
        </is>
      </c>
    </row>
    <row r="318">
      <c r="A318" t="inlineStr">
        <is>
          <t>GDPR</t>
        </is>
      </c>
      <c r="B318" t="inlineStr">
        <is>
          <t>CELEX_32015L2366_EN_TXT (GDPR - Row 18)</t>
        </is>
      </c>
      <c r="C318" t="inlineStr">
        <is>
          <t>2</t>
        </is>
      </c>
      <c r="D318" s="11" t="inlineStr">
        <is>
          <t>Payment account withdrawal services definition</t>
        </is>
      </c>
      <c r="E318" t="inlineStr">
        <is>
          <t>15</t>
        </is>
      </c>
      <c r="F318" t="inlineStr">
        <is>
          <t>Medium</t>
        </is>
      </c>
      <c r="G318" t="inlineStr">
        <is>
          <t>High (explicit)</t>
        </is>
      </c>
      <c r="H318" s="11" t="inlineStr"/>
      <c r="I318" s="11" t="inlineStr"/>
      <c r="J318" t="inlineStr"/>
      <c r="K318" s="11" t="inlineStr">
        <is>
          <t>This section defines payment account withdrawal services as services that enable cash withdrawals from a payment account and all operations required for operating a payment account. It clarifies the scope of withdrawal services under the directive.</t>
        </is>
      </c>
      <c r="L318" s="11" t="inlineStr"/>
      <c r="M318" s="11" t="inlineStr">
        <is>
          <t>• [Definition] Services enabling cash withdrawals from a payment account as well as all the operations required for operating a payment account</t>
        </is>
      </c>
      <c r="N318" s="11" t="inlineStr">
        <is>
          <t>Services enabling cash withdrawals from a payment account as well as all the operations required for operating a payment account.</t>
        </is>
      </c>
      <c r="O318" s="12" t="inlineStr">
        <is>
          <t>Open PDF</t>
        </is>
      </c>
    </row>
    <row r="319">
      <c r="A319" t="inlineStr">
        <is>
          <t>GDPR</t>
        </is>
      </c>
      <c r="B319" t="inlineStr">
        <is>
          <t>CELEX_32015L2366_EN_TXT (GDPR - Row 18)</t>
        </is>
      </c>
      <c r="C319" t="inlineStr">
        <is>
          <t>2</t>
        </is>
      </c>
      <c r="D319" s="11" t="inlineStr">
        <is>
          <t>Payment account withdrawal services definition</t>
        </is>
      </c>
      <c r="E319" t="inlineStr">
        <is>
          <t>16</t>
        </is>
      </c>
      <c r="F319" t="inlineStr">
        <is>
          <t>Medium</t>
        </is>
      </c>
      <c r="G319" t="inlineStr">
        <is>
          <t>High (explicit)</t>
        </is>
      </c>
      <c r="H319" s="11" t="inlineStr"/>
      <c r="I319" s="11" t="inlineStr"/>
      <c r="J319" t="inlineStr"/>
      <c r="K319" s="11" t="inlineStr">
        <is>
          <t>This section defines payment account withdrawal services as services that enable cash withdrawals from a payment account and all operations required for operating a payment account. It clarifies the scope of withdrawal services under the directive.</t>
        </is>
      </c>
      <c r="L319" s="11" t="inlineStr"/>
      <c r="M319" s="11" t="inlineStr">
        <is>
          <t>• [Definition] Services enabling cash withdrawals from a payment account as well as all the operations required for operating a payment account</t>
        </is>
      </c>
      <c r="N319" s="11" t="inlineStr">
        <is>
          <t>Services enabling cash withdrawals from a payment account as well as all the operations required for operating a payment account.</t>
        </is>
      </c>
      <c r="O319" s="12" t="inlineStr">
        <is>
          <t>Open PDF</t>
        </is>
      </c>
    </row>
    <row r="320">
      <c r="A320" t="inlineStr">
        <is>
          <t>GDPR</t>
        </is>
      </c>
      <c r="B320" t="inlineStr">
        <is>
          <t>CELEX_32015L2366_EN_TXT (GDPR - Row 18)</t>
        </is>
      </c>
      <c r="C320" t="inlineStr">
        <is>
          <t>2</t>
        </is>
      </c>
      <c r="D320" s="11" t="inlineStr">
        <is>
          <t>Payment account withdrawal services definition</t>
        </is>
      </c>
      <c r="E320" t="inlineStr">
        <is>
          <t>16</t>
        </is>
      </c>
      <c r="F320" t="inlineStr">
        <is>
          <t>Medium</t>
        </is>
      </c>
      <c r="G320" t="inlineStr">
        <is>
          <t>High (explicit)</t>
        </is>
      </c>
      <c r="H320" s="11" t="inlineStr"/>
      <c r="I320" s="11" t="inlineStr"/>
      <c r="J320" t="inlineStr"/>
      <c r="K320" s="11" t="inlineStr">
        <is>
          <t>This section defines payment account withdrawal services as services that enable cash withdrawals from a payment account and all operations required for operating a payment account. It clarifies the scope of withdrawal services under the directive.</t>
        </is>
      </c>
      <c r="L320" s="11" t="inlineStr"/>
      <c r="M320" s="11" t="inlineStr">
        <is>
          <t>• [Definition] Services enabling cash withdrawals from a payment account as well as all the operations required for operating a payment account</t>
        </is>
      </c>
      <c r="N320" s="11" t="inlineStr">
        <is>
          <t>Services enabling cash withdrawals from a payment account as well as all the operations required for operating a payment account.</t>
        </is>
      </c>
      <c r="O320" s="12" t="inlineStr">
        <is>
          <t>Open PDF</t>
        </is>
      </c>
    </row>
    <row r="321">
      <c r="A321" t="inlineStr">
        <is>
          <t>GDPR</t>
        </is>
      </c>
      <c r="B321" t="inlineStr">
        <is>
          <t>CELEX_32015L2366_EN_TXT (GDPR - Row 18)</t>
        </is>
      </c>
      <c r="C321" t="inlineStr">
        <is>
          <t>2</t>
        </is>
      </c>
      <c r="D321" s="11" t="inlineStr">
        <is>
          <t>Payment account withdrawal services definition</t>
        </is>
      </c>
      <c r="E321" t="inlineStr">
        <is>
          <t>18</t>
        </is>
      </c>
      <c r="F321" t="inlineStr">
        <is>
          <t>Medium</t>
        </is>
      </c>
      <c r="G321" t="inlineStr">
        <is>
          <t>High (explicit)</t>
        </is>
      </c>
      <c r="H321" s="11" t="inlineStr"/>
      <c r="I321" s="11" t="inlineStr"/>
      <c r="J321" t="inlineStr"/>
      <c r="K321" s="11" t="inlineStr">
        <is>
          <t>This section defines payment account withdrawal services as services that enable cash withdrawals from a payment account and all operations required for operating a payment account. It clarifies the scope of withdrawal services under the directive.</t>
        </is>
      </c>
      <c r="L321" s="11" t="inlineStr"/>
      <c r="M321" s="11" t="inlineStr">
        <is>
          <t>• [Definition] Services enabling cash withdrawals from a payment account as well as all the operations required for operating a payment account</t>
        </is>
      </c>
      <c r="N321" s="11" t="inlineStr">
        <is>
          <t>Services enabling cash withdrawals from a payment account as well as all the operations required for operating a payment account.</t>
        </is>
      </c>
      <c r="O321" s="12" t="inlineStr">
        <is>
          <t>Open PDF</t>
        </is>
      </c>
    </row>
    <row r="322">
      <c r="A322" t="inlineStr">
        <is>
          <t>GDPR</t>
        </is>
      </c>
      <c r="B322" t="inlineStr">
        <is>
          <t>CELEX_32015L2366_EN_TXT (GDPR - Row 18)</t>
        </is>
      </c>
      <c r="C322" t="inlineStr">
        <is>
          <t>2</t>
        </is>
      </c>
      <c r="D322" s="11" t="inlineStr">
        <is>
          <t>Payment account withdrawal services definition</t>
        </is>
      </c>
      <c r="E322" t="inlineStr">
        <is>
          <t>18</t>
        </is>
      </c>
      <c r="F322" t="inlineStr">
        <is>
          <t>Medium</t>
        </is>
      </c>
      <c r="G322" t="inlineStr">
        <is>
          <t>High (explicit)</t>
        </is>
      </c>
      <c r="H322" s="11" t="inlineStr"/>
      <c r="I322" s="11" t="inlineStr"/>
      <c r="J322" t="inlineStr"/>
      <c r="K322" s="11" t="inlineStr">
        <is>
          <t>This section defines payment account withdrawal services as services that enable cash withdrawals from a payment account and all operations required for operating a payment account. It clarifies the scope of withdrawal services under the directive.</t>
        </is>
      </c>
      <c r="L322" s="11" t="inlineStr"/>
      <c r="M322" s="11" t="inlineStr">
        <is>
          <t>• [Definition] Services enabling cash withdrawals from a payment account as well as all the operations required for operating a payment account</t>
        </is>
      </c>
      <c r="N322" s="11" t="inlineStr">
        <is>
          <t>Services enabling cash withdrawals from a payment account as well as all the operations required for operating a payment account.</t>
        </is>
      </c>
      <c r="O322" s="12" t="inlineStr">
        <is>
          <t>Open PDF</t>
        </is>
      </c>
    </row>
    <row r="323">
      <c r="A323" t="inlineStr">
        <is>
          <t>GDPR</t>
        </is>
      </c>
      <c r="B323" t="inlineStr">
        <is>
          <t>CELEX_32015L2366_EN_TXT (GDPR - Row 18)</t>
        </is>
      </c>
      <c r="C323" t="inlineStr">
        <is>
          <t>2</t>
        </is>
      </c>
      <c r="D323" s="11" t="inlineStr">
        <is>
          <t>Payment account withdrawal services definition</t>
        </is>
      </c>
      <c r="E323" t="inlineStr">
        <is>
          <t>24</t>
        </is>
      </c>
      <c r="F323" t="inlineStr">
        <is>
          <t>Medium</t>
        </is>
      </c>
      <c r="G323" t="inlineStr">
        <is>
          <t>High (explicit)</t>
        </is>
      </c>
      <c r="H323" s="11" t="inlineStr"/>
      <c r="I323" s="11" t="inlineStr"/>
      <c r="J323" t="inlineStr"/>
      <c r="K323" s="11" t="inlineStr">
        <is>
          <t>This section defines payment account withdrawal services as services that enable cash withdrawals from a payment account and all operations required for operating a payment account. It clarifies the scope of withdrawal services under the directive.</t>
        </is>
      </c>
      <c r="L323" s="11" t="inlineStr"/>
      <c r="M323" s="11" t="inlineStr">
        <is>
          <t>• [Definition] Services enabling cash withdrawals from a payment account as well as all the operations required for operating a payment account</t>
        </is>
      </c>
      <c r="N323" s="11" t="inlineStr">
        <is>
          <t>Services enabling cash withdrawals from a payment account as well as all the operations required for operating a payment account.</t>
        </is>
      </c>
      <c r="O323" s="12" t="inlineStr">
        <is>
          <t>Open PDF</t>
        </is>
      </c>
    </row>
    <row r="324">
      <c r="A324" t="inlineStr">
        <is>
          <t>GDPR</t>
        </is>
      </c>
      <c r="B324" t="inlineStr">
        <is>
          <t>CELEX_32015L2366_EN_TXT (GDPR - Row 18)</t>
        </is>
      </c>
      <c r="C324" t="inlineStr">
        <is>
          <t>3</t>
        </is>
      </c>
      <c r="D324" s="11" t="inlineStr">
        <is>
          <t>Payment transaction execution definition</t>
        </is>
      </c>
      <c r="E324" t="inlineStr">
        <is>
          <t>2–3</t>
        </is>
      </c>
      <c r="F324" t="inlineStr">
        <is>
          <t>Medium</t>
        </is>
      </c>
      <c r="G324" t="inlineStr">
        <is>
          <t>High (explicit)</t>
        </is>
      </c>
      <c r="H324" s="11" t="inlineStr"/>
      <c r="I324" s="11" t="inlineStr"/>
      <c r="J324" t="inlineStr"/>
      <c r="K324" s="11" t="inlineStr">
        <is>
          <t>This section defines payment transaction execution services as services that include direct debits, payment card transactions, and credit transfers. It specifies the types of payment transactions covered under the directive.</t>
        </is>
      </c>
      <c r="L324" s="11" t="inlineStr"/>
      <c r="M324" s="11" t="inlineStr">
        <is>
          <t>• [Definition] Execution of payment transactions, including transfers of funds on a payment account with the user's payment service provider or with another payment service provider</t>
        </is>
      </c>
      <c r="N324"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4" s="12" t="inlineStr">
        <is>
          <t>Open PDF</t>
        </is>
      </c>
    </row>
    <row r="325">
      <c r="A325" t="inlineStr">
        <is>
          <t>GDPR</t>
        </is>
      </c>
      <c r="B325" t="inlineStr">
        <is>
          <t>CELEX_32015L2366_EN_TXT (GDPR - Row 18)</t>
        </is>
      </c>
      <c r="C325" t="inlineStr">
        <is>
          <t>3</t>
        </is>
      </c>
      <c r="D325" s="11" t="inlineStr">
        <is>
          <t>Payment transaction execution definition</t>
        </is>
      </c>
      <c r="E325" t="inlineStr">
        <is>
          <t>6–7</t>
        </is>
      </c>
      <c r="F325" t="inlineStr">
        <is>
          <t>Medium</t>
        </is>
      </c>
      <c r="G325" t="inlineStr">
        <is>
          <t>High (explicit)</t>
        </is>
      </c>
      <c r="H325" s="11" t="inlineStr"/>
      <c r="I325" s="11" t="inlineStr"/>
      <c r="J325" t="inlineStr"/>
      <c r="K325" s="11" t="inlineStr">
        <is>
          <t>This section defines payment transaction execution services as services that include direct debits, payment card transactions, and credit transfers. It specifies the types of payment transactions covered under the directive.</t>
        </is>
      </c>
      <c r="L325" s="11" t="inlineStr"/>
      <c r="M325" s="11" t="inlineStr">
        <is>
          <t>• [Definition] Execution of payment transactions, including transfers of funds on a payment account with the user's payment service provider or with another payment service provider</t>
        </is>
      </c>
      <c r="N325"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5" s="12" t="inlineStr">
        <is>
          <t>Open PDF</t>
        </is>
      </c>
    </row>
    <row r="326">
      <c r="A326" t="inlineStr">
        <is>
          <t>GDPR</t>
        </is>
      </c>
      <c r="B326" t="inlineStr">
        <is>
          <t>CELEX_32015L2366_EN_TXT (GDPR - Row 18)</t>
        </is>
      </c>
      <c r="C326" t="inlineStr">
        <is>
          <t>3</t>
        </is>
      </c>
      <c r="D326" s="11" t="inlineStr">
        <is>
          <t>Payment transaction execution definition</t>
        </is>
      </c>
      <c r="E326" t="inlineStr">
        <is>
          <t>7</t>
        </is>
      </c>
      <c r="F326" t="inlineStr">
        <is>
          <t>Medium</t>
        </is>
      </c>
      <c r="G326" t="inlineStr">
        <is>
          <t>High (explicit)</t>
        </is>
      </c>
      <c r="H326" s="11" t="inlineStr"/>
      <c r="I326" s="11" t="inlineStr"/>
      <c r="J326" t="inlineStr"/>
      <c r="K326" s="11" t="inlineStr">
        <is>
          <t>This section defines payment transaction execution services as services that include direct debits, payment card transactions, and credit transfers. It specifies the types of payment transactions covered under the directive.</t>
        </is>
      </c>
      <c r="L326" s="11" t="inlineStr"/>
      <c r="M326" s="11" t="inlineStr">
        <is>
          <t>• [Definition] Execution of payment transactions, including transfers of funds on a payment account with the user's payment service provider or with another payment service provider</t>
        </is>
      </c>
      <c r="N326"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6" s="12" t="inlineStr">
        <is>
          <t>Open PDF</t>
        </is>
      </c>
    </row>
    <row r="327">
      <c r="A327" t="inlineStr">
        <is>
          <t>GDPR</t>
        </is>
      </c>
      <c r="B327" t="inlineStr">
        <is>
          <t>CELEX_32015L2366_EN_TXT (GDPR - Row 18)</t>
        </is>
      </c>
      <c r="C327" t="inlineStr">
        <is>
          <t>3</t>
        </is>
      </c>
      <c r="D327" s="11" t="inlineStr">
        <is>
          <t>Payment transaction execution definition</t>
        </is>
      </c>
      <c r="E327" t="inlineStr">
        <is>
          <t>7</t>
        </is>
      </c>
      <c r="F327" t="inlineStr">
        <is>
          <t>Medium</t>
        </is>
      </c>
      <c r="G327" t="inlineStr">
        <is>
          <t>High (explicit)</t>
        </is>
      </c>
      <c r="H327" s="11" t="inlineStr"/>
      <c r="I327" s="11" t="inlineStr"/>
      <c r="J327" t="inlineStr"/>
      <c r="K327" s="11" t="inlineStr">
        <is>
          <t>This section defines payment transaction execution services as services that include direct debits, payment card transactions, and credit transfers. It specifies the types of payment transactions covered under the directive.</t>
        </is>
      </c>
      <c r="L327" s="11" t="inlineStr"/>
      <c r="M327" s="11" t="inlineStr">
        <is>
          <t>• [Definition] Execution of payment transactions, including transfers of funds on a payment account with the user's payment service provider or with another payment service provider</t>
        </is>
      </c>
      <c r="N327"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7" s="12" t="inlineStr">
        <is>
          <t>Open PDF</t>
        </is>
      </c>
    </row>
    <row r="328">
      <c r="A328" t="inlineStr">
        <is>
          <t>GDPR</t>
        </is>
      </c>
      <c r="B328" t="inlineStr">
        <is>
          <t>CELEX_32015L2366_EN_TXT (GDPR - Row 18)</t>
        </is>
      </c>
      <c r="C328" t="inlineStr">
        <is>
          <t>3</t>
        </is>
      </c>
      <c r="D328" s="11" t="inlineStr">
        <is>
          <t>Payment transaction execution definition</t>
        </is>
      </c>
      <c r="E328" t="inlineStr">
        <is>
          <t>7–8</t>
        </is>
      </c>
      <c r="F328" t="inlineStr">
        <is>
          <t>Medium</t>
        </is>
      </c>
      <c r="G328" t="inlineStr">
        <is>
          <t>High (explicit)</t>
        </is>
      </c>
      <c r="H328" s="11" t="inlineStr"/>
      <c r="I328" s="11" t="inlineStr"/>
      <c r="J328" t="inlineStr"/>
      <c r="K328" s="11" t="inlineStr">
        <is>
          <t>This section defines payment transaction execution services as services that include direct debits, payment card transactions, and credit transfers. It specifies the types of payment transactions covered under the directive.</t>
        </is>
      </c>
      <c r="L328" s="11" t="inlineStr"/>
      <c r="M328" s="11" t="inlineStr">
        <is>
          <t>• [Definition] Execution of payment transactions, including transfers of funds on a payment account with the user's payment service provider or with another payment service provider</t>
        </is>
      </c>
      <c r="N328"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8" s="12" t="inlineStr">
        <is>
          <t>Open PDF</t>
        </is>
      </c>
    </row>
    <row r="329">
      <c r="A329" t="inlineStr">
        <is>
          <t>GDPR</t>
        </is>
      </c>
      <c r="B329" t="inlineStr">
        <is>
          <t>CELEX_32015L2366_EN_TXT (GDPR - Row 18)</t>
        </is>
      </c>
      <c r="C329" t="inlineStr">
        <is>
          <t>3</t>
        </is>
      </c>
      <c r="D329" s="11" t="inlineStr">
        <is>
          <t>Payment transaction execution definition</t>
        </is>
      </c>
      <c r="E329" t="inlineStr">
        <is>
          <t>8</t>
        </is>
      </c>
      <c r="F329" t="inlineStr">
        <is>
          <t>Medium</t>
        </is>
      </c>
      <c r="G329" t="inlineStr">
        <is>
          <t>High (explicit)</t>
        </is>
      </c>
      <c r="H329" s="11" t="inlineStr"/>
      <c r="I329" s="11" t="inlineStr"/>
      <c r="J329" t="inlineStr"/>
      <c r="K329" s="11" t="inlineStr">
        <is>
          <t>This section defines payment transaction execution services as services that include direct debits, payment card transactions, and credit transfers. It specifies the types of payment transactions covered under the directive.</t>
        </is>
      </c>
      <c r="L329" s="11" t="inlineStr"/>
      <c r="M329" s="11" t="inlineStr">
        <is>
          <t>• [Definition] Execution of payment transactions, including transfers of funds on a payment account with the user's payment service provider or with another payment service provider</t>
        </is>
      </c>
      <c r="N329"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29" s="12" t="inlineStr">
        <is>
          <t>Open PDF</t>
        </is>
      </c>
    </row>
    <row r="330">
      <c r="A330" t="inlineStr">
        <is>
          <t>GDPR</t>
        </is>
      </c>
      <c r="B330" t="inlineStr">
        <is>
          <t>CELEX_32015L2366_EN_TXT (GDPR - Row 18)</t>
        </is>
      </c>
      <c r="C330" t="inlineStr">
        <is>
          <t>3</t>
        </is>
      </c>
      <c r="D330" s="11" t="inlineStr">
        <is>
          <t>Payment transaction execution definition</t>
        </is>
      </c>
      <c r="E330" t="inlineStr">
        <is>
          <t>8</t>
        </is>
      </c>
      <c r="F330" t="inlineStr">
        <is>
          <t>Medium</t>
        </is>
      </c>
      <c r="G330" t="inlineStr">
        <is>
          <t>High (explicit)</t>
        </is>
      </c>
      <c r="H330" s="11" t="inlineStr"/>
      <c r="I330" s="11" t="inlineStr"/>
      <c r="J330" t="inlineStr"/>
      <c r="K330" s="11" t="inlineStr">
        <is>
          <t>This section defines payment transaction execution services as services that include direct debits, payment card transactions, and credit transfers. It specifies the types of payment transactions covered under the directive.</t>
        </is>
      </c>
      <c r="L330" s="11" t="inlineStr"/>
      <c r="M330" s="11" t="inlineStr">
        <is>
          <t>• [Definition] Execution of payment transactions, including transfers of funds on a payment account with the user's payment service provider or with another payment service provider</t>
        </is>
      </c>
      <c r="N330"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0" s="12" t="inlineStr">
        <is>
          <t>Open PDF</t>
        </is>
      </c>
    </row>
    <row r="331">
      <c r="A331" t="inlineStr">
        <is>
          <t>GDPR</t>
        </is>
      </c>
      <c r="B331" t="inlineStr">
        <is>
          <t>CELEX_32015L2366_EN_TXT (GDPR - Row 18)</t>
        </is>
      </c>
      <c r="C331" t="inlineStr">
        <is>
          <t>3</t>
        </is>
      </c>
      <c r="D331" s="11" t="inlineStr">
        <is>
          <t>Payment transaction execution definition</t>
        </is>
      </c>
      <c r="E331" t="inlineStr">
        <is>
          <t>10</t>
        </is>
      </c>
      <c r="F331" t="inlineStr">
        <is>
          <t>Medium</t>
        </is>
      </c>
      <c r="G331" t="inlineStr">
        <is>
          <t>High (explicit)</t>
        </is>
      </c>
      <c r="H331" s="11" t="inlineStr"/>
      <c r="I331" s="11" t="inlineStr"/>
      <c r="J331" t="inlineStr"/>
      <c r="K331" s="11" t="inlineStr">
        <is>
          <t>This section defines payment transaction execution services as services that include direct debits, payment card transactions, and credit transfers. It specifies the types of payment transactions covered under the directive.</t>
        </is>
      </c>
      <c r="L331" s="11" t="inlineStr"/>
      <c r="M331" s="11" t="inlineStr">
        <is>
          <t>• [Definition] Execution of payment transactions, including transfers of funds on a payment account with the user's payment service provider or with another payment service provider</t>
        </is>
      </c>
      <c r="N331"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1" s="12" t="inlineStr">
        <is>
          <t>Open PDF</t>
        </is>
      </c>
    </row>
    <row r="332">
      <c r="A332" t="inlineStr">
        <is>
          <t>GDPR</t>
        </is>
      </c>
      <c r="B332" t="inlineStr">
        <is>
          <t>CELEX_32015L2366_EN_TXT (GDPR - Row 18)</t>
        </is>
      </c>
      <c r="C332" t="inlineStr">
        <is>
          <t>3</t>
        </is>
      </c>
      <c r="D332" s="11" t="inlineStr">
        <is>
          <t>Payment transaction execution definition</t>
        </is>
      </c>
      <c r="E332" t="inlineStr">
        <is>
          <t>10</t>
        </is>
      </c>
      <c r="F332" t="inlineStr">
        <is>
          <t>Medium</t>
        </is>
      </c>
      <c r="G332" t="inlineStr">
        <is>
          <t>High (explicit)</t>
        </is>
      </c>
      <c r="H332" s="11" t="inlineStr"/>
      <c r="I332" s="11" t="inlineStr"/>
      <c r="J332" t="inlineStr"/>
      <c r="K332" s="11" t="inlineStr">
        <is>
          <t>This section defines payment transaction execution services as services that include direct debits, payment card transactions, and credit transfers. It specifies the types of payment transactions covered under the directive.</t>
        </is>
      </c>
      <c r="L332" s="11" t="inlineStr"/>
      <c r="M332" s="11" t="inlineStr">
        <is>
          <t>• [Definition] Execution of payment transactions, including transfers of funds on a payment account with the user's payment service provider or with another payment service provider</t>
        </is>
      </c>
      <c r="N332"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2" s="12" t="inlineStr">
        <is>
          <t>Open PDF</t>
        </is>
      </c>
    </row>
    <row r="333">
      <c r="A333" t="inlineStr">
        <is>
          <t>GDPR</t>
        </is>
      </c>
      <c r="B333" t="inlineStr">
        <is>
          <t>CELEX_32015L2366_EN_TXT (GDPR - Row 18)</t>
        </is>
      </c>
      <c r="C333" t="inlineStr">
        <is>
          <t>3</t>
        </is>
      </c>
      <c r="D333" s="11" t="inlineStr">
        <is>
          <t>Payment transaction execution definition</t>
        </is>
      </c>
      <c r="E333" t="inlineStr">
        <is>
          <t>11</t>
        </is>
      </c>
      <c r="F333" t="inlineStr">
        <is>
          <t>Medium</t>
        </is>
      </c>
      <c r="G333" t="inlineStr">
        <is>
          <t>High (explicit)</t>
        </is>
      </c>
      <c r="H333" s="11" t="inlineStr"/>
      <c r="I333" s="11" t="inlineStr"/>
      <c r="J333" t="inlineStr"/>
      <c r="K333" s="11" t="inlineStr">
        <is>
          <t>This section defines payment transaction execution services as services that include direct debits, payment card transactions, and credit transfers. It specifies the types of payment transactions covered under the directive.</t>
        </is>
      </c>
      <c r="L333" s="11" t="inlineStr"/>
      <c r="M333" s="11" t="inlineStr">
        <is>
          <t>• [Definition] Execution of payment transactions, including transfers of funds on a payment account with the user's payment service provider or with another payment service provider</t>
        </is>
      </c>
      <c r="N333"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3" s="12" t="inlineStr">
        <is>
          <t>Open PDF</t>
        </is>
      </c>
    </row>
    <row r="334">
      <c r="A334" t="inlineStr">
        <is>
          <t>GDPR</t>
        </is>
      </c>
      <c r="B334" t="inlineStr">
        <is>
          <t>CELEX_32015L2366_EN_TXT (GDPR - Row 18)</t>
        </is>
      </c>
      <c r="C334" t="inlineStr">
        <is>
          <t>3</t>
        </is>
      </c>
      <c r="D334" s="11" t="inlineStr">
        <is>
          <t>Payment transaction execution definition</t>
        </is>
      </c>
      <c r="E334" t="inlineStr">
        <is>
          <t>12–13</t>
        </is>
      </c>
      <c r="F334" t="inlineStr">
        <is>
          <t>Medium</t>
        </is>
      </c>
      <c r="G334" t="inlineStr">
        <is>
          <t>High (explicit)</t>
        </is>
      </c>
      <c r="H334" s="11" t="inlineStr"/>
      <c r="I334" s="11" t="inlineStr"/>
      <c r="J334" t="inlineStr"/>
      <c r="K334" s="11" t="inlineStr">
        <is>
          <t>This section defines payment transaction execution services as services that include direct debits, payment card transactions, and credit transfers. It specifies the types of payment transactions covered under the directive.</t>
        </is>
      </c>
      <c r="L334" s="11" t="inlineStr"/>
      <c r="M334" s="11" t="inlineStr">
        <is>
          <t>• [Definition] Execution of payment transactions, including transfers of funds on a payment account with the user's payment service provider or with another payment service provider</t>
        </is>
      </c>
      <c r="N334"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4" s="12" t="inlineStr">
        <is>
          <t>Open PDF</t>
        </is>
      </c>
    </row>
    <row r="335">
      <c r="A335" t="inlineStr">
        <is>
          <t>GDPR</t>
        </is>
      </c>
      <c r="B335" t="inlineStr">
        <is>
          <t>CELEX_32015L2366_EN_TXT (GDPR - Row 18)</t>
        </is>
      </c>
      <c r="C335" t="inlineStr">
        <is>
          <t>3</t>
        </is>
      </c>
      <c r="D335" s="11" t="inlineStr">
        <is>
          <t>Payment transaction execution definition</t>
        </is>
      </c>
      <c r="E335" t="inlineStr">
        <is>
          <t>13</t>
        </is>
      </c>
      <c r="F335" t="inlineStr">
        <is>
          <t>Medium</t>
        </is>
      </c>
      <c r="G335" t="inlineStr">
        <is>
          <t>High (explicit)</t>
        </is>
      </c>
      <c r="H335" s="11" t="inlineStr"/>
      <c r="I335" s="11" t="inlineStr"/>
      <c r="J335" t="inlineStr"/>
      <c r="K335" s="11" t="inlineStr">
        <is>
          <t>This section defines payment transaction execution services as services that include direct debits, payment card transactions, and credit transfers. It specifies the types of payment transactions covered under the directive.</t>
        </is>
      </c>
      <c r="L335" s="11" t="inlineStr"/>
      <c r="M335" s="11" t="inlineStr">
        <is>
          <t>• [Definition] Execution of payment transactions, including transfers of funds on a payment account with the user's payment service provider or with another payment service provider</t>
        </is>
      </c>
      <c r="N335"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5" s="12" t="inlineStr">
        <is>
          <t>Open PDF</t>
        </is>
      </c>
    </row>
    <row r="336">
      <c r="A336" t="inlineStr">
        <is>
          <t>GDPR</t>
        </is>
      </c>
      <c r="B336" t="inlineStr">
        <is>
          <t>CELEX_32015L2366_EN_TXT (GDPR - Row 18)</t>
        </is>
      </c>
      <c r="C336" t="inlineStr">
        <is>
          <t>3</t>
        </is>
      </c>
      <c r="D336" s="11" t="inlineStr">
        <is>
          <t>Payment transaction execution definition</t>
        </is>
      </c>
      <c r="E336" t="inlineStr">
        <is>
          <t>13</t>
        </is>
      </c>
      <c r="F336" t="inlineStr">
        <is>
          <t>Medium</t>
        </is>
      </c>
      <c r="G336" t="inlineStr">
        <is>
          <t>High (explicit)</t>
        </is>
      </c>
      <c r="H336" s="11" t="inlineStr"/>
      <c r="I336" s="11" t="inlineStr"/>
      <c r="J336" t="inlineStr"/>
      <c r="K336" s="11" t="inlineStr">
        <is>
          <t>This section defines payment transaction execution services as services that include direct debits, payment card transactions, and credit transfers. It specifies the types of payment transactions covered under the directive.</t>
        </is>
      </c>
      <c r="L336" s="11" t="inlineStr"/>
      <c r="M336" s="11" t="inlineStr">
        <is>
          <t>• [Definition] Execution of payment transactions, including transfers of funds on a payment account with the user's payment service provider or with another payment service provider</t>
        </is>
      </c>
      <c r="N336"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6" s="12" t="inlineStr">
        <is>
          <t>Open PDF</t>
        </is>
      </c>
    </row>
    <row r="337">
      <c r="A337" t="inlineStr">
        <is>
          <t>GDPR</t>
        </is>
      </c>
      <c r="B337" t="inlineStr">
        <is>
          <t>CELEX_32015L2366_EN_TXT (GDPR - Row 18)</t>
        </is>
      </c>
      <c r="C337" t="inlineStr">
        <is>
          <t>3</t>
        </is>
      </c>
      <c r="D337" s="11" t="inlineStr">
        <is>
          <t>Payment transaction execution definition</t>
        </is>
      </c>
      <c r="E337" t="inlineStr">
        <is>
          <t>15</t>
        </is>
      </c>
      <c r="F337" t="inlineStr">
        <is>
          <t>Medium</t>
        </is>
      </c>
      <c r="G337" t="inlineStr">
        <is>
          <t>High (explicit)</t>
        </is>
      </c>
      <c r="H337" s="11" t="inlineStr"/>
      <c r="I337" s="11" t="inlineStr"/>
      <c r="J337" t="inlineStr"/>
      <c r="K337" s="11" t="inlineStr">
        <is>
          <t>This section defines payment transaction execution services as services that include direct debits, payment card transactions, and credit transfers. It specifies the types of payment transactions covered under the directive.</t>
        </is>
      </c>
      <c r="L337" s="11" t="inlineStr"/>
      <c r="M337" s="11" t="inlineStr">
        <is>
          <t>• [Definition] Execution of payment transactions, including transfers of funds on a payment account with the user's payment service provider or with another payment service provider</t>
        </is>
      </c>
      <c r="N337"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7" s="12" t="inlineStr">
        <is>
          <t>Open PDF</t>
        </is>
      </c>
    </row>
    <row r="338">
      <c r="A338" t="inlineStr">
        <is>
          <t>GDPR</t>
        </is>
      </c>
      <c r="B338" t="inlineStr">
        <is>
          <t>CELEX_32015L2366_EN_TXT (GDPR - Row 18)</t>
        </is>
      </c>
      <c r="C338" t="inlineStr">
        <is>
          <t>3</t>
        </is>
      </c>
      <c r="D338" s="11" t="inlineStr">
        <is>
          <t>Payment transaction execution definition</t>
        </is>
      </c>
      <c r="E338" t="inlineStr">
        <is>
          <t>15–16</t>
        </is>
      </c>
      <c r="F338" t="inlineStr">
        <is>
          <t>Medium</t>
        </is>
      </c>
      <c r="G338" t="inlineStr">
        <is>
          <t>High (explicit)</t>
        </is>
      </c>
      <c r="H338" s="11" t="inlineStr"/>
      <c r="I338" s="11" t="inlineStr"/>
      <c r="J338" t="inlineStr"/>
      <c r="K338" s="11" t="inlineStr">
        <is>
          <t>This section defines payment transaction execution services as services that include direct debits, payment card transactions, and credit transfers. It specifies the types of payment transactions covered under the directive.</t>
        </is>
      </c>
      <c r="L338" s="11" t="inlineStr"/>
      <c r="M338" s="11" t="inlineStr">
        <is>
          <t>• [Definition] Execution of payment transactions, including transfers of funds on a payment account with the user's payment service provider or with another payment service provider</t>
        </is>
      </c>
      <c r="N338"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8" s="12" t="inlineStr">
        <is>
          <t>Open PDF</t>
        </is>
      </c>
    </row>
    <row r="339">
      <c r="A339" t="inlineStr">
        <is>
          <t>GDPR</t>
        </is>
      </c>
      <c r="B339" t="inlineStr">
        <is>
          <t>CELEX_32015L2366_EN_TXT (GDPR - Row 18)</t>
        </is>
      </c>
      <c r="C339" t="inlineStr">
        <is>
          <t>3</t>
        </is>
      </c>
      <c r="D339" s="11" t="inlineStr">
        <is>
          <t>Payment transaction execution definition</t>
        </is>
      </c>
      <c r="E339" t="inlineStr">
        <is>
          <t>16</t>
        </is>
      </c>
      <c r="F339" t="inlineStr">
        <is>
          <t>Medium</t>
        </is>
      </c>
      <c r="G339" t="inlineStr">
        <is>
          <t>High (explicit)</t>
        </is>
      </c>
      <c r="H339" s="11" t="inlineStr"/>
      <c r="I339" s="11" t="inlineStr"/>
      <c r="J339" t="inlineStr"/>
      <c r="K339" s="11" t="inlineStr">
        <is>
          <t>This section defines payment transaction execution services as services that include direct debits, payment card transactions, and credit transfers. It specifies the types of payment transactions covered under the directive.</t>
        </is>
      </c>
      <c r="L339" s="11" t="inlineStr"/>
      <c r="M339" s="11" t="inlineStr">
        <is>
          <t>• [Definition] Execution of payment transactions, including transfers of funds on a payment account with the user's payment service provider or with another payment service provider</t>
        </is>
      </c>
      <c r="N339"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39" s="12" t="inlineStr">
        <is>
          <t>Open PDF</t>
        </is>
      </c>
    </row>
    <row r="340">
      <c r="A340" t="inlineStr">
        <is>
          <t>GDPR</t>
        </is>
      </c>
      <c r="B340" t="inlineStr">
        <is>
          <t>CELEX_32015L2366_EN_TXT (GDPR - Row 18)</t>
        </is>
      </c>
      <c r="C340" t="inlineStr">
        <is>
          <t>3</t>
        </is>
      </c>
      <c r="D340" s="11" t="inlineStr">
        <is>
          <t>Payment transaction execution definition</t>
        </is>
      </c>
      <c r="E340" t="inlineStr">
        <is>
          <t>19</t>
        </is>
      </c>
      <c r="F340" t="inlineStr">
        <is>
          <t>Medium</t>
        </is>
      </c>
      <c r="G340" t="inlineStr">
        <is>
          <t>High (explicit)</t>
        </is>
      </c>
      <c r="H340" s="11" t="inlineStr"/>
      <c r="I340" s="11" t="inlineStr"/>
      <c r="J340" t="inlineStr"/>
      <c r="K340" s="11" t="inlineStr">
        <is>
          <t>This section defines payment transaction execution services as services that include direct debits, payment card transactions, and credit transfers. It specifies the types of payment transactions covered under the directive.</t>
        </is>
      </c>
      <c r="L340" s="11" t="inlineStr"/>
      <c r="M340" s="11" t="inlineStr">
        <is>
          <t>• [Definition] Execution of payment transactions, including transfers of funds on a payment account with the user's payment service provider or with another payment service provider</t>
        </is>
      </c>
      <c r="N340"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40" s="12" t="inlineStr">
        <is>
          <t>Open PDF</t>
        </is>
      </c>
    </row>
    <row r="341">
      <c r="A341" t="inlineStr">
        <is>
          <t>GDPR</t>
        </is>
      </c>
      <c r="B341" t="inlineStr">
        <is>
          <t>CELEX_32015L2366_EN_TXT (GDPR - Row 18)</t>
        </is>
      </c>
      <c r="C341" t="inlineStr">
        <is>
          <t>3</t>
        </is>
      </c>
      <c r="D341" s="11" t="inlineStr">
        <is>
          <t>Payment transaction execution definition</t>
        </is>
      </c>
      <c r="E341" t="inlineStr">
        <is>
          <t>24</t>
        </is>
      </c>
      <c r="F341" t="inlineStr">
        <is>
          <t>Medium</t>
        </is>
      </c>
      <c r="G341" t="inlineStr">
        <is>
          <t>High (explicit)</t>
        </is>
      </c>
      <c r="H341" s="11" t="inlineStr"/>
      <c r="I341" s="11" t="inlineStr"/>
      <c r="J341" t="inlineStr"/>
      <c r="K341" s="11" t="inlineStr">
        <is>
          <t>This section defines payment transaction execution services as services that include direct debits, payment card transactions, and credit transfers. It specifies the types of payment transactions covered under the directive.</t>
        </is>
      </c>
      <c r="L341" s="11" t="inlineStr"/>
      <c r="M341" s="11" t="inlineStr">
        <is>
          <t>• [Definition] Execution of payment transactions, including transfers of funds on a payment account with the user's payment service provider or with another payment service provider</t>
        </is>
      </c>
      <c r="N341" s="11" t="inlineStr">
        <is>
          <t>Execution of payment transactions, including transfers of funds on a payment account with the user's payment service provider or with another payment service provider: (a) execution of direct debits, including one-off direct debits; (b) execution of payment transactions through a payment card or a similar device; (c) execution of credit transfers, including standing orders.</t>
        </is>
      </c>
      <c r="O341" s="12" t="inlineStr">
        <is>
          <t>Open PDF</t>
        </is>
      </c>
    </row>
    <row r="342">
      <c r="A342" t="inlineStr">
        <is>
          <t>GDPR</t>
        </is>
      </c>
      <c r="B342" t="inlineStr">
        <is>
          <t>CELEX_32015L2366_EN_TXT (GDPR - Row 18)</t>
        </is>
      </c>
      <c r="C342" t="inlineStr">
        <is>
          <t>4</t>
        </is>
      </c>
      <c r="D342" s="11" t="inlineStr">
        <is>
          <t>Execution of payment transactions using credit lines</t>
        </is>
      </c>
      <c r="E342" t="inlineStr">
        <is>
          <t>4</t>
        </is>
      </c>
      <c r="F342" t="inlineStr">
        <is>
          <t>High</t>
        </is>
      </c>
      <c r="G342" t="inlineStr">
        <is>
          <t>High (explicit)</t>
        </is>
      </c>
      <c r="H342" s="11" t="inlineStr">
        <is>
          <t>Cross-border Transfer</t>
        </is>
      </c>
      <c r="I342" s="11" t="inlineStr">
        <is>
          <t>Financial Data</t>
        </is>
      </c>
      <c r="J342" t="inlineStr"/>
      <c r="K342"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2" s="11" t="inlineStr">
        <is>
          <t>This section defines payment transaction execution methods that may involve cross-border data transfers, requiring assessment of credit line mechanisms for payment services.</t>
        </is>
      </c>
      <c r="M342" s="11" t="inlineStr"/>
      <c r="N342"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2" s="12" t="inlineStr">
        <is>
          <t>Open PDF</t>
        </is>
      </c>
    </row>
    <row r="343">
      <c r="A343" t="inlineStr">
        <is>
          <t>GDPR</t>
        </is>
      </c>
      <c r="B343" t="inlineStr">
        <is>
          <t>CELEX_32015L2366_EN_TXT (GDPR - Row 18)</t>
        </is>
      </c>
      <c r="C343" t="inlineStr">
        <is>
          <t>4</t>
        </is>
      </c>
      <c r="D343" s="11" t="inlineStr">
        <is>
          <t>Execution of payment transactions using credit lines</t>
        </is>
      </c>
      <c r="E343" t="inlineStr">
        <is>
          <t>7</t>
        </is>
      </c>
      <c r="F343" t="inlineStr">
        <is>
          <t>High</t>
        </is>
      </c>
      <c r="G343" t="inlineStr">
        <is>
          <t>High (explicit)</t>
        </is>
      </c>
      <c r="H343" s="11" t="inlineStr">
        <is>
          <t>Cross-border Transfer</t>
        </is>
      </c>
      <c r="I343" s="11" t="inlineStr">
        <is>
          <t>Financial Data</t>
        </is>
      </c>
      <c r="J343" t="inlineStr"/>
      <c r="K343"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3" s="11" t="inlineStr">
        <is>
          <t>This section defines payment transaction execution methods that may involve cross-border data transfers, requiring assessment of credit line mechanisms for payment services.</t>
        </is>
      </c>
      <c r="M343" s="11" t="inlineStr"/>
      <c r="N343"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3" s="12" t="inlineStr">
        <is>
          <t>Open PDF</t>
        </is>
      </c>
    </row>
    <row r="344">
      <c r="A344" t="inlineStr">
        <is>
          <t>GDPR</t>
        </is>
      </c>
      <c r="B344" t="inlineStr">
        <is>
          <t>CELEX_32015L2366_EN_TXT (GDPR - Row 18)</t>
        </is>
      </c>
      <c r="C344" t="inlineStr">
        <is>
          <t>4</t>
        </is>
      </c>
      <c r="D344" s="11" t="inlineStr">
        <is>
          <t>Execution of payment transactions using credit lines</t>
        </is>
      </c>
      <c r="E344" t="inlineStr">
        <is>
          <t>7</t>
        </is>
      </c>
      <c r="F344" t="inlineStr">
        <is>
          <t>High</t>
        </is>
      </c>
      <c r="G344" t="inlineStr">
        <is>
          <t>High (explicit)</t>
        </is>
      </c>
      <c r="H344" s="11" t="inlineStr">
        <is>
          <t>Cross-border Transfer</t>
        </is>
      </c>
      <c r="I344" s="11" t="inlineStr">
        <is>
          <t>Financial Data</t>
        </is>
      </c>
      <c r="J344" t="inlineStr"/>
      <c r="K344"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4" s="11" t="inlineStr">
        <is>
          <t>This section defines payment transaction execution methods that may involve cross-border data transfers, requiring assessment of credit line mechanisms for payment services.</t>
        </is>
      </c>
      <c r="M344" s="11" t="inlineStr"/>
      <c r="N344"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4" s="12" t="inlineStr">
        <is>
          <t>Open PDF</t>
        </is>
      </c>
    </row>
    <row r="345">
      <c r="A345" t="inlineStr">
        <is>
          <t>GDPR</t>
        </is>
      </c>
      <c r="B345" t="inlineStr">
        <is>
          <t>CELEX_32015L2366_EN_TXT (GDPR - Row 18)</t>
        </is>
      </c>
      <c r="C345" t="inlineStr">
        <is>
          <t>4</t>
        </is>
      </c>
      <c r="D345" s="11" t="inlineStr">
        <is>
          <t>Execution of payment transactions using credit lines</t>
        </is>
      </c>
      <c r="E345" t="inlineStr">
        <is>
          <t>8</t>
        </is>
      </c>
      <c r="F345" t="inlineStr">
        <is>
          <t>High</t>
        </is>
      </c>
      <c r="G345" t="inlineStr">
        <is>
          <t>High (explicit)</t>
        </is>
      </c>
      <c r="H345" s="11" t="inlineStr">
        <is>
          <t>Cross-border Transfer</t>
        </is>
      </c>
      <c r="I345" s="11" t="inlineStr">
        <is>
          <t>Financial Data</t>
        </is>
      </c>
      <c r="J345" t="inlineStr"/>
      <c r="K345"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5" s="11" t="inlineStr">
        <is>
          <t>This section defines payment transaction execution methods that may involve cross-border data transfers, requiring assessment of credit line mechanisms for payment services.</t>
        </is>
      </c>
      <c r="M345" s="11" t="inlineStr"/>
      <c r="N345"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5" s="12" t="inlineStr">
        <is>
          <t>Open PDF</t>
        </is>
      </c>
    </row>
    <row r="346">
      <c r="A346" t="inlineStr">
        <is>
          <t>GDPR</t>
        </is>
      </c>
      <c r="B346" t="inlineStr">
        <is>
          <t>CELEX_32015L2366_EN_TXT (GDPR - Row 18)</t>
        </is>
      </c>
      <c r="C346" t="inlineStr">
        <is>
          <t>4</t>
        </is>
      </c>
      <c r="D346" s="11" t="inlineStr">
        <is>
          <t>Execution of payment transactions using credit lines</t>
        </is>
      </c>
      <c r="E346" t="inlineStr">
        <is>
          <t>8</t>
        </is>
      </c>
      <c r="F346" t="inlineStr">
        <is>
          <t>High</t>
        </is>
      </c>
      <c r="G346" t="inlineStr">
        <is>
          <t>High (explicit)</t>
        </is>
      </c>
      <c r="H346" s="11" t="inlineStr">
        <is>
          <t>Cross-border Transfer</t>
        </is>
      </c>
      <c r="I346" s="11" t="inlineStr">
        <is>
          <t>Financial Data</t>
        </is>
      </c>
      <c r="J346" t="inlineStr"/>
      <c r="K346"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6" s="11" t="inlineStr">
        <is>
          <t>This section defines payment transaction execution methods that may involve cross-border data transfers, requiring assessment of credit line mechanisms for payment services.</t>
        </is>
      </c>
      <c r="M346" s="11" t="inlineStr"/>
      <c r="N346"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6" s="12" t="inlineStr">
        <is>
          <t>Open PDF</t>
        </is>
      </c>
    </row>
    <row r="347">
      <c r="A347" t="inlineStr">
        <is>
          <t>GDPR</t>
        </is>
      </c>
      <c r="B347" t="inlineStr">
        <is>
          <t>CELEX_32015L2366_EN_TXT (GDPR - Row 18)</t>
        </is>
      </c>
      <c r="C347" t="inlineStr">
        <is>
          <t>4</t>
        </is>
      </c>
      <c r="D347" s="11" t="inlineStr">
        <is>
          <t>Execution of payment transactions using credit lines</t>
        </is>
      </c>
      <c r="E347" t="inlineStr">
        <is>
          <t>15</t>
        </is>
      </c>
      <c r="F347" t="inlineStr">
        <is>
          <t>High</t>
        </is>
      </c>
      <c r="G347" t="inlineStr">
        <is>
          <t>High (explicit)</t>
        </is>
      </c>
      <c r="H347" s="11" t="inlineStr">
        <is>
          <t>Cross-border Transfer</t>
        </is>
      </c>
      <c r="I347" s="11" t="inlineStr">
        <is>
          <t>Financial Data</t>
        </is>
      </c>
      <c r="J347" t="inlineStr"/>
      <c r="K347"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7" s="11" t="inlineStr">
        <is>
          <t>This section defines payment transaction execution methods that may involve cross-border data transfers, requiring assessment of credit line mechanisms for payment services.</t>
        </is>
      </c>
      <c r="M347" s="11" t="inlineStr"/>
      <c r="N347"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7" s="12" t="inlineStr">
        <is>
          <t>Open PDF</t>
        </is>
      </c>
    </row>
    <row r="348">
      <c r="A348" t="inlineStr">
        <is>
          <t>GDPR</t>
        </is>
      </c>
      <c r="B348" t="inlineStr">
        <is>
          <t>CELEX_32015L2366_EN_TXT (GDPR - Row 18)</t>
        </is>
      </c>
      <c r="C348" t="inlineStr">
        <is>
          <t>4</t>
        </is>
      </c>
      <c r="D348" s="11" t="inlineStr">
        <is>
          <t>Execution of payment transactions using credit lines</t>
        </is>
      </c>
      <c r="E348" t="inlineStr">
        <is>
          <t>16</t>
        </is>
      </c>
      <c r="F348" t="inlineStr">
        <is>
          <t>High</t>
        </is>
      </c>
      <c r="G348" t="inlineStr">
        <is>
          <t>High (explicit)</t>
        </is>
      </c>
      <c r="H348" s="11" t="inlineStr">
        <is>
          <t>Cross-border Transfer</t>
        </is>
      </c>
      <c r="I348" s="11" t="inlineStr">
        <is>
          <t>Financial Data</t>
        </is>
      </c>
      <c r="J348" t="inlineStr"/>
      <c r="K348"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8" s="11" t="inlineStr">
        <is>
          <t>This section defines payment transaction execution methods that may involve cross-border data transfers, requiring assessment of credit line mechanisms for payment services.</t>
        </is>
      </c>
      <c r="M348" s="11" t="inlineStr"/>
      <c r="N348"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8" s="12" t="inlineStr">
        <is>
          <t>Open PDF</t>
        </is>
      </c>
    </row>
    <row r="349">
      <c r="A349" t="inlineStr">
        <is>
          <t>GDPR</t>
        </is>
      </c>
      <c r="B349" t="inlineStr">
        <is>
          <t>CELEX_32015L2366_EN_TXT (GDPR - Row 18)</t>
        </is>
      </c>
      <c r="C349" t="inlineStr">
        <is>
          <t>4</t>
        </is>
      </c>
      <c r="D349" s="11" t="inlineStr">
        <is>
          <t>Execution of payment transactions using credit lines</t>
        </is>
      </c>
      <c r="E349" t="inlineStr">
        <is>
          <t>19</t>
        </is>
      </c>
      <c r="F349" t="inlineStr">
        <is>
          <t>High</t>
        </is>
      </c>
      <c r="G349" t="inlineStr">
        <is>
          <t>High (explicit)</t>
        </is>
      </c>
      <c r="H349" s="11" t="inlineStr">
        <is>
          <t>Cross-border Transfer</t>
        </is>
      </c>
      <c r="I349" s="11" t="inlineStr">
        <is>
          <t>Financial Data</t>
        </is>
      </c>
      <c r="J349" t="inlineStr"/>
      <c r="K349"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49" s="11" t="inlineStr">
        <is>
          <t>This section defines payment transaction execution methods that may involve cross-border data transfers, requiring assessment of credit line mechanisms for payment services.</t>
        </is>
      </c>
      <c r="M349" s="11" t="inlineStr"/>
      <c r="N349"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49" s="12" t="inlineStr">
        <is>
          <t>Open PDF</t>
        </is>
      </c>
    </row>
    <row r="350">
      <c r="A350" t="inlineStr">
        <is>
          <t>GDPR</t>
        </is>
      </c>
      <c r="B350" t="inlineStr">
        <is>
          <t>CELEX_32015L2366_EN_TXT (GDPR - Row 18)</t>
        </is>
      </c>
      <c r="C350" t="inlineStr">
        <is>
          <t>4</t>
        </is>
      </c>
      <c r="D350" s="11" t="inlineStr">
        <is>
          <t>Execution of payment transactions using credit lines</t>
        </is>
      </c>
      <c r="E350" t="inlineStr">
        <is>
          <t>24</t>
        </is>
      </c>
      <c r="F350" t="inlineStr">
        <is>
          <t>High</t>
        </is>
      </c>
      <c r="G350" t="inlineStr">
        <is>
          <t>High (explicit)</t>
        </is>
      </c>
      <c r="H350" s="11" t="inlineStr">
        <is>
          <t>Cross-border Transfer</t>
        </is>
      </c>
      <c r="I350" s="11" t="inlineStr">
        <is>
          <t>Financial Data</t>
        </is>
      </c>
      <c r="J350" t="inlineStr"/>
      <c r="K350"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50" s="11" t="inlineStr">
        <is>
          <t>This section defines payment transaction execution methods that may involve cross-border data transfers, requiring assessment of credit line mechanisms for payment services.</t>
        </is>
      </c>
      <c r="M350" s="11" t="inlineStr"/>
      <c r="N350"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50" s="12" t="inlineStr">
        <is>
          <t>Open PDF</t>
        </is>
      </c>
    </row>
    <row r="351">
      <c r="A351" t="inlineStr">
        <is>
          <t>GDPR</t>
        </is>
      </c>
      <c r="B351" t="inlineStr">
        <is>
          <t>CELEX_32015L2366_EN_TXT (GDPR - Row 18)</t>
        </is>
      </c>
      <c r="C351" t="inlineStr">
        <is>
          <t>4</t>
        </is>
      </c>
      <c r="D351" s="11" t="inlineStr">
        <is>
          <t>Execution of payment transactions using credit lines</t>
        </is>
      </c>
      <c r="E351" t="inlineStr">
        <is>
          <t>24–25</t>
        </is>
      </c>
      <c r="F351" t="inlineStr">
        <is>
          <t>High</t>
        </is>
      </c>
      <c r="G351" t="inlineStr">
        <is>
          <t>High (explicit)</t>
        </is>
      </c>
      <c r="H351" s="11" t="inlineStr">
        <is>
          <t>Cross-border Transfer</t>
        </is>
      </c>
      <c r="I351" s="11" t="inlineStr">
        <is>
          <t>Financial Data</t>
        </is>
      </c>
      <c r="J351" t="inlineStr"/>
      <c r="K351" s="11" t="inlineStr">
        <is>
          <t>This section specifies payment transaction execution methods that use credit lines for payment service users. It includes direct debits, payment cards, and credit transfers. These activities are covered under the payment service framework where funds are backed by credit lines.</t>
        </is>
      </c>
      <c r="L351" s="11" t="inlineStr">
        <is>
          <t>This section defines payment transaction execution methods that may involve cross-border data transfers, requiring assessment of credit line mechanisms for payment services.</t>
        </is>
      </c>
      <c r="M351" s="11" t="inlineStr"/>
      <c r="N351" s="11" t="inlineStr">
        <is>
          <t>4. Execution of payment transactions where the funds are covered by a credit line for a payment service user: (a) execution of direct debits, including one-off direct debits; (b) execution of payment transactions through a payment card or a similar device; (c) execution of credit transfers, including standing orders.</t>
        </is>
      </c>
      <c r="O351" s="12" t="inlineStr">
        <is>
          <t>Open PDF</t>
        </is>
      </c>
    </row>
    <row r="352">
      <c r="A352" t="inlineStr">
        <is>
          <t>GDPR</t>
        </is>
      </c>
      <c r="B352" t="inlineStr">
        <is>
          <t>CELEX_32015L2366_EN_TXT (GDPR - Row 18)</t>
        </is>
      </c>
      <c r="C352" t="inlineStr">
        <is>
          <t>5</t>
        </is>
      </c>
      <c r="D352" s="11" t="inlineStr">
        <is>
          <t>Transitional period for payment service providers</t>
        </is>
      </c>
      <c r="E352" t="inlineStr">
        <is>
          <t>4</t>
        </is>
      </c>
      <c r="F352" t="inlineStr">
        <is>
          <t>High</t>
        </is>
      </c>
      <c r="G352" t="inlineStr">
        <is>
          <t>High (explicit)</t>
        </is>
      </c>
      <c r="H352" s="11" t="inlineStr">
        <is>
          <t>Cross-border Transfer</t>
        </is>
      </c>
      <c r="I352" s="11" t="inlineStr">
        <is>
          <t>Financial Data</t>
        </is>
      </c>
      <c r="J352" t="inlineStr"/>
      <c r="K352"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2" s="11" t="inlineStr">
        <is>
          <t>This section ensures payment service providers can continue operations during a transitional period without being blocked from cross-border data transfers, which is critical for DTIA planning in the early stages of implementation.</t>
        </is>
      </c>
      <c r="M352"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2"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2" s="12" t="inlineStr">
        <is>
          <t>Open PDF</t>
        </is>
      </c>
    </row>
    <row r="353">
      <c r="A353" t="inlineStr">
        <is>
          <t>GDPR</t>
        </is>
      </c>
      <c r="B353" t="inlineStr">
        <is>
          <t>CELEX_32015L2366_EN_TXT (GDPR - Row 18)</t>
        </is>
      </c>
      <c r="C353" t="inlineStr">
        <is>
          <t>5</t>
        </is>
      </c>
      <c r="D353" s="11" t="inlineStr">
        <is>
          <t>Transitional period for payment service providers</t>
        </is>
      </c>
      <c r="E353" t="inlineStr">
        <is>
          <t>6</t>
        </is>
      </c>
      <c r="F353" t="inlineStr">
        <is>
          <t>High</t>
        </is>
      </c>
      <c r="G353" t="inlineStr">
        <is>
          <t>High (explicit)</t>
        </is>
      </c>
      <c r="H353" s="11" t="inlineStr">
        <is>
          <t>Cross-border Transfer</t>
        </is>
      </c>
      <c r="I353" s="11" t="inlineStr">
        <is>
          <t>Financial Data</t>
        </is>
      </c>
      <c r="J353" t="inlineStr"/>
      <c r="K353"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3" s="11" t="inlineStr">
        <is>
          <t>This section ensures payment service providers can continue operations during a transitional period without being blocked from cross-border data transfers, which is critical for DTIA planning in the early stages of implementation.</t>
        </is>
      </c>
      <c r="M353"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3"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3" s="12" t="inlineStr">
        <is>
          <t>Open PDF</t>
        </is>
      </c>
    </row>
    <row r="354">
      <c r="A354" t="inlineStr">
        <is>
          <t>GDPR</t>
        </is>
      </c>
      <c r="B354" t="inlineStr">
        <is>
          <t>CELEX_32015L2366_EN_TXT (GDPR - Row 18)</t>
        </is>
      </c>
      <c r="C354" t="inlineStr">
        <is>
          <t>5</t>
        </is>
      </c>
      <c r="D354" s="11" t="inlineStr">
        <is>
          <t>Transitional period for payment service providers</t>
        </is>
      </c>
      <c r="E354" t="inlineStr">
        <is>
          <t>7</t>
        </is>
      </c>
      <c r="F354" t="inlineStr">
        <is>
          <t>High</t>
        </is>
      </c>
      <c r="G354" t="inlineStr">
        <is>
          <t>High (explicit)</t>
        </is>
      </c>
      <c r="H354" s="11" t="inlineStr">
        <is>
          <t>Cross-border Transfer</t>
        </is>
      </c>
      <c r="I354" s="11" t="inlineStr">
        <is>
          <t>Financial Data</t>
        </is>
      </c>
      <c r="J354" t="inlineStr"/>
      <c r="K354"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4" s="11" t="inlineStr">
        <is>
          <t>This section ensures payment service providers can continue operations during a transitional period without being blocked from cross-border data transfers, which is critical for DTIA planning in the early stages of implementation.</t>
        </is>
      </c>
      <c r="M354"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4"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4" s="12" t="inlineStr">
        <is>
          <t>Open PDF</t>
        </is>
      </c>
    </row>
    <row r="355">
      <c r="A355" t="inlineStr">
        <is>
          <t>GDPR</t>
        </is>
      </c>
      <c r="B355" t="inlineStr">
        <is>
          <t>CELEX_32015L2366_EN_TXT (GDPR - Row 18)</t>
        </is>
      </c>
      <c r="C355" t="inlineStr">
        <is>
          <t>5</t>
        </is>
      </c>
      <c r="D355" s="11" t="inlineStr">
        <is>
          <t>Transitional period for payment service providers</t>
        </is>
      </c>
      <c r="E355" t="inlineStr">
        <is>
          <t>8</t>
        </is>
      </c>
      <c r="F355" t="inlineStr">
        <is>
          <t>High</t>
        </is>
      </c>
      <c r="G355" t="inlineStr">
        <is>
          <t>High (explicit)</t>
        </is>
      </c>
      <c r="H355" s="11" t="inlineStr">
        <is>
          <t>Cross-border Transfer</t>
        </is>
      </c>
      <c r="I355" s="11" t="inlineStr">
        <is>
          <t>Financial Data</t>
        </is>
      </c>
      <c r="J355" t="inlineStr"/>
      <c r="K355"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5" s="11" t="inlineStr">
        <is>
          <t>This section ensures payment service providers can continue operations during a transitional period without being blocked from cross-border data transfers, which is critical for DTIA planning in the early stages of implementation.</t>
        </is>
      </c>
      <c r="M355"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5"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5" s="12" t="inlineStr">
        <is>
          <t>Open PDF</t>
        </is>
      </c>
    </row>
    <row r="356">
      <c r="A356" t="inlineStr">
        <is>
          <t>GDPR</t>
        </is>
      </c>
      <c r="B356" t="inlineStr">
        <is>
          <t>CELEX_32015L2366_EN_TXT (GDPR - Row 18)</t>
        </is>
      </c>
      <c r="C356" t="inlineStr">
        <is>
          <t>5</t>
        </is>
      </c>
      <c r="D356" s="11" t="inlineStr">
        <is>
          <t>Transitional period for payment service providers</t>
        </is>
      </c>
      <c r="E356" t="inlineStr">
        <is>
          <t>8–9</t>
        </is>
      </c>
      <c r="F356" t="inlineStr">
        <is>
          <t>High</t>
        </is>
      </c>
      <c r="G356" t="inlineStr">
        <is>
          <t>High (explicit)</t>
        </is>
      </c>
      <c r="H356" s="11" t="inlineStr">
        <is>
          <t>Cross-border Transfer</t>
        </is>
      </c>
      <c r="I356" s="11" t="inlineStr">
        <is>
          <t>Financial Data</t>
        </is>
      </c>
      <c r="J356" t="inlineStr"/>
      <c r="K356"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6" s="11" t="inlineStr">
        <is>
          <t>This section ensures payment service providers can continue operations during a transitional period without being blocked from cross-border data transfers, which is critical for DTIA planning in the early stages of implementation.</t>
        </is>
      </c>
      <c r="M356"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6"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6" s="12" t="inlineStr">
        <is>
          <t>Open PDF</t>
        </is>
      </c>
    </row>
    <row r="357">
      <c r="A357" t="inlineStr">
        <is>
          <t>GDPR</t>
        </is>
      </c>
      <c r="B357" t="inlineStr">
        <is>
          <t>CELEX_32015L2366_EN_TXT (GDPR - Row 18)</t>
        </is>
      </c>
      <c r="C357" t="inlineStr">
        <is>
          <t>5</t>
        </is>
      </c>
      <c r="D357" s="11" t="inlineStr">
        <is>
          <t>Transitional period for payment service providers</t>
        </is>
      </c>
      <c r="E357" t="inlineStr">
        <is>
          <t>15</t>
        </is>
      </c>
      <c r="F357" t="inlineStr">
        <is>
          <t>High</t>
        </is>
      </c>
      <c r="G357" t="inlineStr">
        <is>
          <t>High (explicit)</t>
        </is>
      </c>
      <c r="H357" s="11" t="inlineStr">
        <is>
          <t>Cross-border Transfer</t>
        </is>
      </c>
      <c r="I357" s="11" t="inlineStr">
        <is>
          <t>Financial Data</t>
        </is>
      </c>
      <c r="J357" t="inlineStr"/>
      <c r="K357"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7" s="11" t="inlineStr">
        <is>
          <t>This section ensures payment service providers can continue operations during a transitional period without being blocked from cross-border data transfers, which is critical for DTIA planning in the early stages of implementation.</t>
        </is>
      </c>
      <c r="M357"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7"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7" s="12" t="inlineStr">
        <is>
          <t>Open PDF</t>
        </is>
      </c>
    </row>
    <row r="358">
      <c r="A358" t="inlineStr">
        <is>
          <t>GDPR</t>
        </is>
      </c>
      <c r="B358" t="inlineStr">
        <is>
          <t>CELEX_32015L2366_EN_TXT (GDPR - Row 18)</t>
        </is>
      </c>
      <c r="C358" t="inlineStr">
        <is>
          <t>5</t>
        </is>
      </c>
      <c r="D358" s="11" t="inlineStr">
        <is>
          <t>Transitional period for payment service providers</t>
        </is>
      </c>
      <c r="E358" t="inlineStr">
        <is>
          <t>16</t>
        </is>
      </c>
      <c r="F358" t="inlineStr">
        <is>
          <t>High</t>
        </is>
      </c>
      <c r="G358" t="inlineStr">
        <is>
          <t>High (explicit)</t>
        </is>
      </c>
      <c r="H358" s="11" t="inlineStr">
        <is>
          <t>Cross-border Transfer</t>
        </is>
      </c>
      <c r="I358" s="11" t="inlineStr">
        <is>
          <t>Financial Data</t>
        </is>
      </c>
      <c r="J358" t="inlineStr"/>
      <c r="K358"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8" s="11" t="inlineStr">
        <is>
          <t>This section ensures payment service providers can continue operations during a transitional period without being blocked from cross-border data transfers, which is critical for DTIA planning in the early stages of implementation.</t>
        </is>
      </c>
      <c r="M358"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8"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8" s="12" t="inlineStr">
        <is>
          <t>Open PDF</t>
        </is>
      </c>
    </row>
    <row r="359">
      <c r="A359" t="inlineStr">
        <is>
          <t>GDPR</t>
        </is>
      </c>
      <c r="B359" t="inlineStr">
        <is>
          <t>CELEX_32015L2366_EN_TXT (GDPR - Row 18)</t>
        </is>
      </c>
      <c r="C359" t="inlineStr">
        <is>
          <t>5</t>
        </is>
      </c>
      <c r="D359" s="11" t="inlineStr">
        <is>
          <t>Transitional period for payment service providers</t>
        </is>
      </c>
      <c r="E359" t="inlineStr">
        <is>
          <t>16</t>
        </is>
      </c>
      <c r="F359" t="inlineStr">
        <is>
          <t>High</t>
        </is>
      </c>
      <c r="G359" t="inlineStr">
        <is>
          <t>High (explicit)</t>
        </is>
      </c>
      <c r="H359" s="11" t="inlineStr">
        <is>
          <t>Cross-border Transfer</t>
        </is>
      </c>
      <c r="I359" s="11" t="inlineStr">
        <is>
          <t>Financial Data</t>
        </is>
      </c>
      <c r="J359" t="inlineStr"/>
      <c r="K359"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59" s="11" t="inlineStr">
        <is>
          <t>This section ensures payment service providers can continue operations during a transitional period without being blocked from cross-border data transfers, which is critical for DTIA planning in the early stages of implementation.</t>
        </is>
      </c>
      <c r="M359"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59"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59" s="12" t="inlineStr">
        <is>
          <t>Open PDF</t>
        </is>
      </c>
    </row>
    <row r="360">
      <c r="A360" t="inlineStr">
        <is>
          <t>GDPR</t>
        </is>
      </c>
      <c r="B360" t="inlineStr">
        <is>
          <t>CELEX_32015L2366_EN_TXT (GDPR - Row 18)</t>
        </is>
      </c>
      <c r="C360" t="inlineStr">
        <is>
          <t>5</t>
        </is>
      </c>
      <c r="D360" s="11" t="inlineStr">
        <is>
          <t>Transitional period for payment service providers</t>
        </is>
      </c>
      <c r="E360" t="inlineStr">
        <is>
          <t>17</t>
        </is>
      </c>
      <c r="F360" t="inlineStr">
        <is>
          <t>High</t>
        </is>
      </c>
      <c r="G360" t="inlineStr">
        <is>
          <t>High (explicit)</t>
        </is>
      </c>
      <c r="H360" s="11" t="inlineStr">
        <is>
          <t>Cross-border Transfer</t>
        </is>
      </c>
      <c r="I360" s="11" t="inlineStr">
        <is>
          <t>Financial Data</t>
        </is>
      </c>
      <c r="J360" t="inlineStr"/>
      <c r="K360"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60" s="11" t="inlineStr">
        <is>
          <t>This section ensures payment service providers can continue operations during a transitional period without being blocked from cross-border data transfers, which is critical for DTIA planning in the early stages of implementation.</t>
        </is>
      </c>
      <c r="M360"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60"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60" s="12" t="inlineStr">
        <is>
          <t>Open PDF</t>
        </is>
      </c>
    </row>
    <row r="361">
      <c r="A361" t="inlineStr">
        <is>
          <t>GDPR</t>
        </is>
      </c>
      <c r="B361" t="inlineStr">
        <is>
          <t>CELEX_32015L2366_EN_TXT (GDPR - Row 18)</t>
        </is>
      </c>
      <c r="C361" t="inlineStr">
        <is>
          <t>5</t>
        </is>
      </c>
      <c r="D361" s="11" t="inlineStr">
        <is>
          <t>Transitional period for payment service providers</t>
        </is>
      </c>
      <c r="E361" t="inlineStr">
        <is>
          <t>20–22</t>
        </is>
      </c>
      <c r="F361" t="inlineStr">
        <is>
          <t>High</t>
        </is>
      </c>
      <c r="G361" t="inlineStr">
        <is>
          <t>High (explicit)</t>
        </is>
      </c>
      <c r="H361" s="11" t="inlineStr">
        <is>
          <t>Cross-border Transfer</t>
        </is>
      </c>
      <c r="I361" s="11" t="inlineStr">
        <is>
          <t>Financial Data</t>
        </is>
      </c>
      <c r="J361" t="inlineStr"/>
      <c r="K361"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61" s="11" t="inlineStr">
        <is>
          <t>This section ensures payment service providers can continue operations during a transitional period without being blocked from cross-border data transfers, which is critical for DTIA planning in the early stages of implementation.</t>
        </is>
      </c>
      <c r="M361"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61"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61" s="12" t="inlineStr">
        <is>
          <t>Open PDF</t>
        </is>
      </c>
    </row>
    <row r="362">
      <c r="A362" t="inlineStr">
        <is>
          <t>GDPR</t>
        </is>
      </c>
      <c r="B362" t="inlineStr">
        <is>
          <t>CELEX_32015L2366_EN_TXT (GDPR - Row 18)</t>
        </is>
      </c>
      <c r="C362" t="inlineStr">
        <is>
          <t>5</t>
        </is>
      </c>
      <c r="D362" s="11" t="inlineStr">
        <is>
          <t>Transitional period for payment service providers</t>
        </is>
      </c>
      <c r="E362" t="inlineStr">
        <is>
          <t>22–24</t>
        </is>
      </c>
      <c r="F362" t="inlineStr">
        <is>
          <t>High</t>
        </is>
      </c>
      <c r="G362" t="inlineStr">
        <is>
          <t>High (explicit)</t>
        </is>
      </c>
      <c r="H362" s="11" t="inlineStr">
        <is>
          <t>Cross-border Transfer</t>
        </is>
      </c>
      <c r="I362" s="11" t="inlineStr">
        <is>
          <t>Financial Data</t>
        </is>
      </c>
      <c r="J362" t="inlineStr"/>
      <c r="K362"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62" s="11" t="inlineStr">
        <is>
          <t>This section ensures payment service providers can continue operations during a transitional period without being blocked from cross-border data transfers, which is critical for DTIA planning in the early stages of implementation.</t>
        </is>
      </c>
      <c r="M362"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62"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62" s="12" t="inlineStr">
        <is>
          <t>Open PDF</t>
        </is>
      </c>
    </row>
    <row r="363">
      <c r="A363" t="inlineStr">
        <is>
          <t>GDPR</t>
        </is>
      </c>
      <c r="B363" t="inlineStr">
        <is>
          <t>CELEX_32015L2366_EN_TXT (GDPR - Row 18)</t>
        </is>
      </c>
      <c r="C363" t="inlineStr">
        <is>
          <t>5</t>
        </is>
      </c>
      <c r="D363" s="11" t="inlineStr">
        <is>
          <t>Transitional period for payment service providers</t>
        </is>
      </c>
      <c r="E363" t="inlineStr">
        <is>
          <t>24</t>
        </is>
      </c>
      <c r="F363" t="inlineStr">
        <is>
          <t>High</t>
        </is>
      </c>
      <c r="G363" t="inlineStr">
        <is>
          <t>High (explicit)</t>
        </is>
      </c>
      <c r="H363" s="11" t="inlineStr">
        <is>
          <t>Cross-border Transfer</t>
        </is>
      </c>
      <c r="I363" s="11" t="inlineStr">
        <is>
          <t>Financial Data</t>
        </is>
      </c>
      <c r="J363" t="inlineStr"/>
      <c r="K363" s="11" t="inlineStr">
        <is>
          <t>Member States cannot prohibit payment service providers that were active before January 12, 2016, from continuing their operations during a transitional period. This transitional period allows providers to maintain their services under existing regulatory frameworks until they comply with new standards.</t>
        </is>
      </c>
      <c r="L363" s="11" t="inlineStr">
        <is>
          <t>This section ensures payment service providers can continue operations during a transitional period without being blocked from cross-border data transfers, which is critical for DTIA planning in the early stages of implementation.</t>
        </is>
      </c>
      <c r="M363" s="11" t="inlineStr">
        <is>
          <t>• [Must Not] Member States shall not forbid legal persons that have performed in their territories, before 12 January 2016, activities of payment initiation service providers and account information service providers
• [Must] to continue to perform the same activities in their territories during the transitional period referred to in paragraphs 2 and 4 in accordance with the currently applicable regulatory framework</t>
        </is>
      </c>
      <c r="N363" s="11" t="inlineStr">
        <is>
          <t>Member States shall not forbid legal persons that have performed in their territories, before 12 January 2016, activities of payment initiation service providers and account information service providers within the meaning of this Directive, to continue to perform the same activities in their territories during the transitional period referred to in paragraphs 2 and 4 in accordance with the currently applicable regulatory framework.</t>
        </is>
      </c>
      <c r="O363" s="12" t="inlineStr">
        <is>
          <t>Open PDF</t>
        </is>
      </c>
    </row>
    <row r="364">
      <c r="A364" t="inlineStr">
        <is>
          <t>GDPR</t>
        </is>
      </c>
      <c r="B364" t="inlineStr">
        <is>
          <t>CELEX_32015L2366_EN_TXT (GDPR - Row 18)</t>
        </is>
      </c>
      <c r="C364" t="inlineStr">
        <is>
          <t>6</t>
        </is>
      </c>
      <c r="D364" s="11" t="inlineStr">
        <is>
          <t>Preventing payment service abuse during transition</t>
        </is>
      </c>
      <c r="E364" t="inlineStr">
        <is>
          <t>7</t>
        </is>
      </c>
      <c r="F364" t="inlineStr">
        <is>
          <t>High</t>
        </is>
      </c>
      <c r="G364" t="inlineStr">
        <is>
          <t>High (explicit)</t>
        </is>
      </c>
      <c r="H364" s="11" t="inlineStr">
        <is>
          <t>Security</t>
        </is>
      </c>
      <c r="I364" s="11" t="inlineStr">
        <is>
          <t>Financial Data</t>
        </is>
      </c>
      <c r="J364" t="inlineStr"/>
      <c r="K364" s="11" t="inlineStr">
        <is>
          <t>Member States must prevent payment service providers from blocking or obstructing payment services for accounts they service if they are not yet compliant with regulatory technical standards. This ensures uninterrupted access to payment services during the transition period.</t>
        </is>
      </c>
      <c r="L364" s="11" t="inlineStr">
        <is>
          <t>This section addresses the risk of payment service providers abusing non-compliance to disrupt services, which is critical for DTIA to ensure continuous data flow and service availability during regulatory transitions.</t>
        </is>
      </c>
      <c r="M364" s="11" t="inlineStr">
        <is>
          <t>• [Must] Member States shall ensure that until individual account servicing payment service providers comply with the regulatory technical standards referred to in paragraph 4
• [Must Not] account servicing payment service providers do not abuse their non-compliance to block or obstruct the use of payment initiation and account information services for the accounts that they are servicing</t>
        </is>
      </c>
      <c r="N364" s="11" t="inlineStr">
        <is>
          <t>Member States shall ensure that until individual account servicing payment service providers comply with the regulatory technical standards referred to in paragraph 4, account servicing payment service providers do not abuse their non-compliance to block or obstruct the use of payment initiation and account information services for the accounts that they are servicing.</t>
        </is>
      </c>
      <c r="O364" s="12" t="inlineStr">
        <is>
          <t>Open PDF</t>
        </is>
      </c>
    </row>
    <row r="365">
      <c r="A365" t="inlineStr">
        <is>
          <t>GDPR</t>
        </is>
      </c>
      <c r="B365" t="inlineStr">
        <is>
          <t>CELEX_32015L2366_EN_TXT (GDPR - Row 18)</t>
        </is>
      </c>
      <c r="C365" t="inlineStr">
        <is>
          <t>6</t>
        </is>
      </c>
      <c r="D365" s="11" t="inlineStr">
        <is>
          <t>Preventing payment service abuse during transition</t>
        </is>
      </c>
      <c r="E365" t="inlineStr">
        <is>
          <t>9</t>
        </is>
      </c>
      <c r="F365" t="inlineStr">
        <is>
          <t>High</t>
        </is>
      </c>
      <c r="G365" t="inlineStr">
        <is>
          <t>High (explicit)</t>
        </is>
      </c>
      <c r="H365" s="11" t="inlineStr">
        <is>
          <t>Security</t>
        </is>
      </c>
      <c r="I365" s="11" t="inlineStr">
        <is>
          <t>Financial Data</t>
        </is>
      </c>
      <c r="J365" t="inlineStr"/>
      <c r="K365" s="11" t="inlineStr">
        <is>
          <t>Member States must prevent payment service providers from blocking or obstructing payment services for accounts they service if they are not yet compliant with regulatory technical standards. This ensures uninterrupted access to payment services during the transition period.</t>
        </is>
      </c>
      <c r="L365" s="11" t="inlineStr">
        <is>
          <t>This section addresses the risk of payment service providers abusing non-compliance to disrupt services, which is critical for DTIA to ensure continuous data flow and service availability during regulatory transitions.</t>
        </is>
      </c>
      <c r="M365" s="11" t="inlineStr">
        <is>
          <t>• [Must] Member States shall ensure that until individual account servicing payment service providers comply with the regulatory technical standards referred to in paragraph 4
• [Must Not] account servicing payment service providers do not abuse their non-compliance to block or obstruct the use of payment initiation and account information services for the accounts that they are servicing</t>
        </is>
      </c>
      <c r="N365" s="11" t="inlineStr">
        <is>
          <t>Member States shall ensure that until individual account servicing payment service providers comply with the regulatory technical standards referred to in paragraph 4, account servicing payment service providers do not abuse their non-compliance to block or obstruct the use of payment initiation and account information services for the accounts that they are servicing.</t>
        </is>
      </c>
      <c r="O365" s="12" t="inlineStr">
        <is>
          <t>Open PDF</t>
        </is>
      </c>
    </row>
    <row r="366">
      <c r="A366" t="inlineStr">
        <is>
          <t>GDPR</t>
        </is>
      </c>
      <c r="B366" t="inlineStr">
        <is>
          <t>CELEX_32015L2366_EN_TXT (GDPR - Row 18)</t>
        </is>
      </c>
      <c r="C366" t="inlineStr">
        <is>
          <t>6</t>
        </is>
      </c>
      <c r="D366" s="11" t="inlineStr">
        <is>
          <t>Preventing payment service abuse during transition</t>
        </is>
      </c>
      <c r="E366" t="inlineStr">
        <is>
          <t>16</t>
        </is>
      </c>
      <c r="F366" t="inlineStr">
        <is>
          <t>High</t>
        </is>
      </c>
      <c r="G366" t="inlineStr">
        <is>
          <t>High (explicit)</t>
        </is>
      </c>
      <c r="H366" s="11" t="inlineStr">
        <is>
          <t>Security</t>
        </is>
      </c>
      <c r="I366" s="11" t="inlineStr">
        <is>
          <t>Financial Data</t>
        </is>
      </c>
      <c r="J366" t="inlineStr"/>
      <c r="K366" s="11" t="inlineStr">
        <is>
          <t>Member States must prevent payment service providers from blocking or obstructing payment services for accounts they service if they are not yet compliant with regulatory technical standards. This ensures uninterrupted access to payment services during the transition period.</t>
        </is>
      </c>
      <c r="L366" s="11" t="inlineStr">
        <is>
          <t>This section addresses the risk of payment service providers abusing non-compliance to disrupt services, which is critical for DTIA to ensure continuous data flow and service availability during regulatory transitions.</t>
        </is>
      </c>
      <c r="M366" s="11" t="inlineStr">
        <is>
          <t>• [Must] Member States shall ensure that until individual account servicing payment service providers comply with the regulatory technical standards referred to in paragraph 4
• [Must Not] account servicing payment service providers do not abuse their non-compliance to block or obstruct the use of payment initiation and account information services for the accounts that they are servicing</t>
        </is>
      </c>
      <c r="N366" s="11" t="inlineStr">
        <is>
          <t>Member States shall ensure that until individual account servicing payment service providers comply with the regulatory technical standards referred to in paragraph 4, account servicing payment service providers do not abuse their non-compliance to block or obstruct the use of payment initiation and account information services for the accounts that they are servicing.</t>
        </is>
      </c>
      <c r="O366" s="12" t="inlineStr">
        <is>
          <t>Open PDF</t>
        </is>
      </c>
    </row>
    <row r="367">
      <c r="A367" t="inlineStr">
        <is>
          <t>GDPR</t>
        </is>
      </c>
      <c r="B367" t="inlineStr">
        <is>
          <t>CELEX_32015L2366_EN_TXT (GDPR - Row 18)</t>
        </is>
      </c>
      <c r="C367" t="inlineStr">
        <is>
          <t>6</t>
        </is>
      </c>
      <c r="D367" s="11" t="inlineStr">
        <is>
          <t>Preventing payment service abuse during transition</t>
        </is>
      </c>
      <c r="E367" t="inlineStr">
        <is>
          <t>24</t>
        </is>
      </c>
      <c r="F367" t="inlineStr">
        <is>
          <t>High</t>
        </is>
      </c>
      <c r="G367" t="inlineStr">
        <is>
          <t>High (explicit)</t>
        </is>
      </c>
      <c r="H367" s="11" t="inlineStr">
        <is>
          <t>Security</t>
        </is>
      </c>
      <c r="I367" s="11" t="inlineStr">
        <is>
          <t>Financial Data</t>
        </is>
      </c>
      <c r="J367" t="inlineStr"/>
      <c r="K367" s="11" t="inlineStr">
        <is>
          <t>Member States must prevent payment service providers from blocking or obstructing payment services for accounts they service if they are not yet compliant with regulatory technical standards. This ensures uninterrupted access to payment services during the transition period.</t>
        </is>
      </c>
      <c r="L367" s="11" t="inlineStr">
        <is>
          <t>This section addresses the risk of payment service providers abusing non-compliance to disrupt services, which is critical for DTIA to ensure continuous data flow and service availability during regulatory transitions.</t>
        </is>
      </c>
      <c r="M367" s="11" t="inlineStr">
        <is>
          <t>• [Must] Member States shall ensure that until individual account servicing payment service providers comply with the regulatory technical standards referred to in paragraph 4
• [Must Not] account servicing payment service providers do not abuse their non-compliance to block or obstruct the use of payment initiation and account information services for the accounts that they are servicing</t>
        </is>
      </c>
      <c r="N367" s="11" t="inlineStr">
        <is>
          <t>Member States shall ensure that until individual account servicing payment service providers comply with the regulatory technical standards referred to in paragraph 4, account servicing payment service providers do not abuse their non-compliance to block or obstruct the use of payment initiation and account information services for the accounts that they are servicing.</t>
        </is>
      </c>
      <c r="O367" s="12" t="inlineStr">
        <is>
          <t>Open PDF</t>
        </is>
      </c>
    </row>
    <row r="368">
      <c r="A368" t="inlineStr">
        <is>
          <t>GDPR</t>
        </is>
      </c>
      <c r="B368" t="inlineStr">
        <is>
          <t>CELEX_32018L1673_EN_TXT (GDPR - Row 2)</t>
        </is>
      </c>
      <c r="C368" t="inlineStr">
        <is>
          <t>1</t>
        </is>
      </c>
      <c r="D368" s="11" t="inlineStr">
        <is>
          <t>Member States must implement GDPR-compliant laws by deadline</t>
        </is>
      </c>
      <c r="E368" t="inlineStr">
        <is>
          <t>4–5</t>
        </is>
      </c>
      <c r="F368" t="inlineStr">
        <is>
          <t>Medium</t>
        </is>
      </c>
      <c r="G368" t="inlineStr">
        <is>
          <t>High (explicit)</t>
        </is>
      </c>
      <c r="H368" s="11" t="inlineStr">
        <is>
          <t>Cross-border Transfer, Governance, Record Keeping</t>
        </is>
      </c>
      <c r="I368" s="11" t="inlineStr">
        <is>
          <t>Personal Information</t>
        </is>
      </c>
      <c r="J368" t="inlineStr">
        <is>
          <t>European Commission</t>
        </is>
      </c>
      <c r="K368"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68" s="11" t="inlineStr">
        <is>
          <t>This section establishes a deadline for Member States to implement GDPR-compliant laws, which affects the timeline for data transfer impact assessments in national jurisdictions.</t>
        </is>
      </c>
      <c r="M368"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68" s="11" t="inlineStr">
        <is>
          <t>Member States shall bring into force the laws, regulations and administrative provisions necessary to comply with this Directive by 3 December 2020. They shall immediately inform the Commission thereof.</t>
        </is>
      </c>
      <c r="O368" s="12" t="inlineStr">
        <is>
          <t>Open PDF</t>
        </is>
      </c>
    </row>
    <row r="369">
      <c r="A369" t="inlineStr">
        <is>
          <t>GDPR</t>
        </is>
      </c>
      <c r="B369" t="inlineStr">
        <is>
          <t>CELEX_32018L1673_EN_TXT (GDPR - Row 2)</t>
        </is>
      </c>
      <c r="C369" t="inlineStr">
        <is>
          <t>1</t>
        </is>
      </c>
      <c r="D369" s="11" t="inlineStr">
        <is>
          <t>Member States must implement GDPR-compliant laws by deadline</t>
        </is>
      </c>
      <c r="E369" t="inlineStr">
        <is>
          <t>6</t>
        </is>
      </c>
      <c r="F369" t="inlineStr">
        <is>
          <t>Medium</t>
        </is>
      </c>
      <c r="G369" t="inlineStr">
        <is>
          <t>High (explicit)</t>
        </is>
      </c>
      <c r="H369" s="11" t="inlineStr">
        <is>
          <t>Cross-border Transfer, Governance, Record Keeping</t>
        </is>
      </c>
      <c r="I369" s="11" t="inlineStr">
        <is>
          <t>Personal Information</t>
        </is>
      </c>
      <c r="J369" t="inlineStr">
        <is>
          <t>European Commission</t>
        </is>
      </c>
      <c r="K369"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69" s="11" t="inlineStr">
        <is>
          <t>This section establishes a deadline for Member States to implement GDPR-compliant laws, which affects the timeline for data transfer impact assessments in national jurisdictions.</t>
        </is>
      </c>
      <c r="M369"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69" s="11" t="inlineStr">
        <is>
          <t>Member States shall bring into force the laws, regulations and administrative provisions necessary to comply with this Directive by 3 December 2020. They shall immediately inform the Commission thereof.</t>
        </is>
      </c>
      <c r="O369" s="12" t="inlineStr">
        <is>
          <t>Open PDF</t>
        </is>
      </c>
    </row>
    <row r="370">
      <c r="A370" t="inlineStr">
        <is>
          <t>GDPR</t>
        </is>
      </c>
      <c r="B370" t="inlineStr">
        <is>
          <t>CELEX_32018L1673_EN_TXT (GDPR - Row 2)</t>
        </is>
      </c>
      <c r="C370" t="inlineStr">
        <is>
          <t>1</t>
        </is>
      </c>
      <c r="D370" s="11" t="inlineStr">
        <is>
          <t>Member States must implement GDPR-compliant laws by deadline</t>
        </is>
      </c>
      <c r="E370" t="inlineStr">
        <is>
          <t>7</t>
        </is>
      </c>
      <c r="F370" t="inlineStr">
        <is>
          <t>Medium</t>
        </is>
      </c>
      <c r="G370" t="inlineStr">
        <is>
          <t>High (explicit)</t>
        </is>
      </c>
      <c r="H370" s="11" t="inlineStr">
        <is>
          <t>Cross-border Transfer, Governance, Record Keeping</t>
        </is>
      </c>
      <c r="I370" s="11" t="inlineStr">
        <is>
          <t>Personal Information</t>
        </is>
      </c>
      <c r="J370" t="inlineStr">
        <is>
          <t>European Commission</t>
        </is>
      </c>
      <c r="K370"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70" s="11" t="inlineStr">
        <is>
          <t>This section establishes a deadline for Member States to implement GDPR-compliant laws, which affects the timeline for data transfer impact assessments in national jurisdictions.</t>
        </is>
      </c>
      <c r="M370"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70" s="11" t="inlineStr">
        <is>
          <t>Member States shall bring into force the laws, regulations and administrative provisions necessary to comply with this Directive by 3 December 2020. They shall immediately inform the Commission thereof.</t>
        </is>
      </c>
      <c r="O370" s="12" t="inlineStr">
        <is>
          <t>Open PDF</t>
        </is>
      </c>
    </row>
    <row r="371">
      <c r="A371" t="inlineStr">
        <is>
          <t>GDPR</t>
        </is>
      </c>
      <c r="B371" t="inlineStr">
        <is>
          <t>CELEX_32018L1673_EN_TXT (GDPR - Row 2)</t>
        </is>
      </c>
      <c r="C371" t="inlineStr">
        <is>
          <t>1</t>
        </is>
      </c>
      <c r="D371" s="11" t="inlineStr">
        <is>
          <t>Member States must implement GDPR-compliant laws by deadline</t>
        </is>
      </c>
      <c r="E371" t="inlineStr">
        <is>
          <t>7</t>
        </is>
      </c>
      <c r="F371" t="inlineStr">
        <is>
          <t>Medium</t>
        </is>
      </c>
      <c r="G371" t="inlineStr">
        <is>
          <t>High (explicit)</t>
        </is>
      </c>
      <c r="H371" s="11" t="inlineStr">
        <is>
          <t>Cross-border Transfer, Governance, Record Keeping</t>
        </is>
      </c>
      <c r="I371" s="11" t="inlineStr">
        <is>
          <t>Personal Information</t>
        </is>
      </c>
      <c r="J371" t="inlineStr">
        <is>
          <t>European Commission</t>
        </is>
      </c>
      <c r="K371"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71" s="11" t="inlineStr">
        <is>
          <t>This section establishes a deadline for Member States to implement GDPR-compliant laws, which affects the timeline for data transfer impact assessments in national jurisdictions.</t>
        </is>
      </c>
      <c r="M371"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71" s="11" t="inlineStr">
        <is>
          <t>Member States shall bring into force the laws, regulations and administrative provisions necessary to comply with this Directive by 3 December 2020. They shall immediately inform the Commission thereof.</t>
        </is>
      </c>
      <c r="O371" s="12" t="inlineStr">
        <is>
          <t>Open PDF</t>
        </is>
      </c>
    </row>
    <row r="372">
      <c r="A372" t="inlineStr">
        <is>
          <t>GDPR</t>
        </is>
      </c>
      <c r="B372" t="inlineStr">
        <is>
          <t>CELEX_32018L1673_EN_TXT (GDPR - Row 2)</t>
        </is>
      </c>
      <c r="C372" t="inlineStr">
        <is>
          <t>1</t>
        </is>
      </c>
      <c r="D372" s="11" t="inlineStr">
        <is>
          <t>Member States must implement GDPR-compliant laws by deadline</t>
        </is>
      </c>
      <c r="E372" t="inlineStr">
        <is>
          <t>7–8</t>
        </is>
      </c>
      <c r="F372" t="inlineStr">
        <is>
          <t>Medium</t>
        </is>
      </c>
      <c r="G372" t="inlineStr">
        <is>
          <t>High (explicit)</t>
        </is>
      </c>
      <c r="H372" s="11" t="inlineStr">
        <is>
          <t>Cross-border Transfer, Governance, Record Keeping</t>
        </is>
      </c>
      <c r="I372" s="11" t="inlineStr">
        <is>
          <t>Personal Information</t>
        </is>
      </c>
      <c r="J372" t="inlineStr">
        <is>
          <t>European Commission</t>
        </is>
      </c>
      <c r="K372"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72" s="11" t="inlineStr">
        <is>
          <t>This section establishes a deadline for Member States to implement GDPR-compliant laws, which affects the timeline for data transfer impact assessments in national jurisdictions.</t>
        </is>
      </c>
      <c r="M372"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72" s="11" t="inlineStr">
        <is>
          <t>Member States shall bring into force the laws, regulations and administrative provisions necessary to comply with this Directive by 3 December 2020. They shall immediately inform the Commission thereof.</t>
        </is>
      </c>
      <c r="O372" s="12" t="inlineStr">
        <is>
          <t>Open PDF</t>
        </is>
      </c>
    </row>
    <row r="373">
      <c r="A373" t="inlineStr">
        <is>
          <t>GDPR</t>
        </is>
      </c>
      <c r="B373" t="inlineStr">
        <is>
          <t>CELEX_32018L1673_EN_TXT (GDPR - Row 2)</t>
        </is>
      </c>
      <c r="C373" t="inlineStr">
        <is>
          <t>1</t>
        </is>
      </c>
      <c r="D373" s="11" t="inlineStr">
        <is>
          <t>Member States must implement GDPR-compliant laws by deadline</t>
        </is>
      </c>
      <c r="E373" t="inlineStr">
        <is>
          <t>8</t>
        </is>
      </c>
      <c r="F373" t="inlineStr">
        <is>
          <t>Medium</t>
        </is>
      </c>
      <c r="G373" t="inlineStr">
        <is>
          <t>High (explicit)</t>
        </is>
      </c>
      <c r="H373" s="11" t="inlineStr">
        <is>
          <t>Cross-border Transfer, Governance, Record Keeping</t>
        </is>
      </c>
      <c r="I373" s="11" t="inlineStr">
        <is>
          <t>Personal Information</t>
        </is>
      </c>
      <c r="J373" t="inlineStr">
        <is>
          <t>European Commission</t>
        </is>
      </c>
      <c r="K373"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73" s="11" t="inlineStr">
        <is>
          <t>This section establishes a deadline for Member States to implement GDPR-compliant laws, which affects the timeline for data transfer impact assessments in national jurisdictions.</t>
        </is>
      </c>
      <c r="M373"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73" s="11" t="inlineStr">
        <is>
          <t>Member States shall bring into force the laws, regulations and administrative provisions necessary to comply with this Directive by 3 December 2020. They shall immediately inform the Commission thereof.</t>
        </is>
      </c>
      <c r="O373" s="12" t="inlineStr">
        <is>
          <t>Open PDF</t>
        </is>
      </c>
    </row>
    <row r="374">
      <c r="A374" t="inlineStr">
        <is>
          <t>GDPR</t>
        </is>
      </c>
      <c r="B374" t="inlineStr">
        <is>
          <t>CELEX_32018L1673_EN_TXT (GDPR - Row 2)</t>
        </is>
      </c>
      <c r="C374" t="inlineStr">
        <is>
          <t>1</t>
        </is>
      </c>
      <c r="D374" s="11" t="inlineStr">
        <is>
          <t>Member States must implement GDPR-compliant laws by deadline</t>
        </is>
      </c>
      <c r="E374" t="inlineStr">
        <is>
          <t>9</t>
        </is>
      </c>
      <c r="F374" t="inlineStr">
        <is>
          <t>Medium</t>
        </is>
      </c>
      <c r="G374" t="inlineStr">
        <is>
          <t>High (explicit)</t>
        </is>
      </c>
      <c r="H374" s="11" t="inlineStr">
        <is>
          <t>Cross-border Transfer, Governance, Record Keeping</t>
        </is>
      </c>
      <c r="I374" s="11" t="inlineStr">
        <is>
          <t>Personal Information</t>
        </is>
      </c>
      <c r="J374" t="inlineStr">
        <is>
          <t>European Commission</t>
        </is>
      </c>
      <c r="K374" s="11" t="inlineStr">
        <is>
          <t>Member States are required to enact national laws, regulations, and administrative provisions that comply with the GDPR by 3 December 2020. They must immediately notify the European Commission of these measures and ensure their official publications include a reference to this Directive. Member States must also establish methods for making such references.</t>
        </is>
      </c>
      <c r="L374" s="11" t="inlineStr">
        <is>
          <t>This section establishes a deadline for Member States to implement GDPR-compliant laws, which affects the timeline for data transfer impact assessments in national jurisdictions.</t>
        </is>
      </c>
      <c r="M374" s="11" t="inlineStr">
        <is>
          <t>• [Must] Member States must enact national laws, regulations, and administrative provisions compliant with this Directive by 3 December 2020
• [Must] Member States must immediately inform the Commission of these measures
• [Must] Member States must ensure official publications include a reference to this Directive
• [Must] Member States must establish methods for making such references</t>
        </is>
      </c>
      <c r="N374" s="11" t="inlineStr">
        <is>
          <t>Member States shall bring into force the laws, regulations and administrative provisions necessary to comply with this Directive by 3 December 2020. They shall immediately inform the Commission thereof.</t>
        </is>
      </c>
      <c r="O374" s="12" t="inlineStr">
        <is>
          <t>Open PDF</t>
        </is>
      </c>
    </row>
    <row r="375">
      <c r="A375" t="inlineStr">
        <is>
          <t>GDPR</t>
        </is>
      </c>
      <c r="B375" t="inlineStr">
        <is>
          <t>CELEX_32018L1673_EN_TXT (GDPR - Row 2)</t>
        </is>
      </c>
      <c r="C375" t="inlineStr">
        <is>
          <t>2</t>
        </is>
      </c>
      <c r="D375" s="11" t="inlineStr">
        <is>
          <t>Member States report national law provisions to Commission</t>
        </is>
      </c>
      <c r="E375" t="inlineStr">
        <is>
          <t>5–6</t>
        </is>
      </c>
      <c r="F375" t="inlineStr">
        <is>
          <t>Medium</t>
        </is>
      </c>
      <c r="G375" t="inlineStr">
        <is>
          <t>High (explicit)</t>
        </is>
      </c>
      <c r="H375" s="11" t="inlineStr">
        <is>
          <t>Cross-border Transfer, Governance, Record Keeping</t>
        </is>
      </c>
      <c r="I375" s="11" t="inlineStr">
        <is>
          <t>Personal Information</t>
        </is>
      </c>
      <c r="J375" t="inlineStr">
        <is>
          <t>European Commission</t>
        </is>
      </c>
      <c r="K375"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75" s="11" t="inlineStr">
        <is>
          <t>This section requires Member States to report national law provisions to the Commission, which impacts the transparency and accountability of data transfer mechanisms across borders.</t>
        </is>
      </c>
      <c r="M375"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75" s="11" t="inlineStr">
        <is>
          <t>Member States shall communicate to the Commission the text of the main provisions of national law which they adopt in the field covered by this Directive.</t>
        </is>
      </c>
      <c r="O375" s="12" t="inlineStr">
        <is>
          <t>Open PDF</t>
        </is>
      </c>
    </row>
    <row r="376">
      <c r="A376" t="inlineStr">
        <is>
          <t>GDPR</t>
        </is>
      </c>
      <c r="B376" t="inlineStr">
        <is>
          <t>CELEX_32018L1673_EN_TXT (GDPR - Row 2)</t>
        </is>
      </c>
      <c r="C376" t="inlineStr">
        <is>
          <t>2</t>
        </is>
      </c>
      <c r="D376" s="11" t="inlineStr">
        <is>
          <t>Member States report national law provisions to Commission</t>
        </is>
      </c>
      <c r="E376" t="inlineStr">
        <is>
          <t>6–7</t>
        </is>
      </c>
      <c r="F376" t="inlineStr">
        <is>
          <t>Medium</t>
        </is>
      </c>
      <c r="G376" t="inlineStr">
        <is>
          <t>High (explicit)</t>
        </is>
      </c>
      <c r="H376" s="11" t="inlineStr">
        <is>
          <t>Cross-border Transfer, Governance, Record Keeping</t>
        </is>
      </c>
      <c r="I376" s="11" t="inlineStr">
        <is>
          <t>Personal Information</t>
        </is>
      </c>
      <c r="J376" t="inlineStr">
        <is>
          <t>European Commission</t>
        </is>
      </c>
      <c r="K376"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76" s="11" t="inlineStr">
        <is>
          <t>This section requires Member States to report national law provisions to the Commission, which impacts the transparency and accountability of data transfer mechanisms across borders.</t>
        </is>
      </c>
      <c r="M376"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76" s="11" t="inlineStr">
        <is>
          <t>Member States shall communicate to the Commission the text of the main provisions of national law which they adopt in the field covered by this Directive.</t>
        </is>
      </c>
      <c r="O376" s="12" t="inlineStr">
        <is>
          <t>Open PDF</t>
        </is>
      </c>
    </row>
    <row r="377">
      <c r="A377" t="inlineStr">
        <is>
          <t>GDPR</t>
        </is>
      </c>
      <c r="B377" t="inlineStr">
        <is>
          <t>CELEX_32018L1673_EN_TXT (GDPR - Row 2)</t>
        </is>
      </c>
      <c r="C377" t="inlineStr">
        <is>
          <t>2</t>
        </is>
      </c>
      <c r="D377" s="11" t="inlineStr">
        <is>
          <t>Member States report national law provisions to Commission</t>
        </is>
      </c>
      <c r="E377" t="inlineStr">
        <is>
          <t>7</t>
        </is>
      </c>
      <c r="F377" t="inlineStr">
        <is>
          <t>Medium</t>
        </is>
      </c>
      <c r="G377" t="inlineStr">
        <is>
          <t>High (explicit)</t>
        </is>
      </c>
      <c r="H377" s="11" t="inlineStr">
        <is>
          <t>Cross-border Transfer, Governance, Record Keeping</t>
        </is>
      </c>
      <c r="I377" s="11" t="inlineStr">
        <is>
          <t>Personal Information</t>
        </is>
      </c>
      <c r="J377" t="inlineStr">
        <is>
          <t>European Commission</t>
        </is>
      </c>
      <c r="K377"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77" s="11" t="inlineStr">
        <is>
          <t>This section requires Member States to report national law provisions to the Commission, which impacts the transparency and accountability of data transfer mechanisms across borders.</t>
        </is>
      </c>
      <c r="M377"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77" s="11" t="inlineStr">
        <is>
          <t>Member States shall communicate to the Commission the text of the main provisions of national law which they adopt in the field covered by this Directive.</t>
        </is>
      </c>
      <c r="O377" s="12" t="inlineStr">
        <is>
          <t>Open PDF</t>
        </is>
      </c>
    </row>
    <row r="378">
      <c r="A378" t="inlineStr">
        <is>
          <t>GDPR</t>
        </is>
      </c>
      <c r="B378" t="inlineStr">
        <is>
          <t>CELEX_32018L1673_EN_TXT (GDPR - Row 2)</t>
        </is>
      </c>
      <c r="C378" t="inlineStr">
        <is>
          <t>2</t>
        </is>
      </c>
      <c r="D378" s="11" t="inlineStr">
        <is>
          <t>Member States report national law provisions to Commission</t>
        </is>
      </c>
      <c r="E378" t="inlineStr">
        <is>
          <t>7</t>
        </is>
      </c>
      <c r="F378" t="inlineStr">
        <is>
          <t>Medium</t>
        </is>
      </c>
      <c r="G378" t="inlineStr">
        <is>
          <t>High (explicit)</t>
        </is>
      </c>
      <c r="H378" s="11" t="inlineStr">
        <is>
          <t>Cross-border Transfer, Governance, Record Keeping</t>
        </is>
      </c>
      <c r="I378" s="11" t="inlineStr">
        <is>
          <t>Personal Information</t>
        </is>
      </c>
      <c r="J378" t="inlineStr">
        <is>
          <t>European Commission</t>
        </is>
      </c>
      <c r="K378"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78" s="11" t="inlineStr">
        <is>
          <t>This section requires Member States to report national law provisions to the Commission, which impacts the transparency and accountability of data transfer mechanisms across borders.</t>
        </is>
      </c>
      <c r="M378"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78" s="11" t="inlineStr">
        <is>
          <t>Member States shall communicate to the Commission the text of the main provisions of national law which they adopt in the field covered by this Directive.</t>
        </is>
      </c>
      <c r="O378" s="12" t="inlineStr">
        <is>
          <t>Open PDF</t>
        </is>
      </c>
    </row>
    <row r="379">
      <c r="A379" t="inlineStr">
        <is>
          <t>GDPR</t>
        </is>
      </c>
      <c r="B379" t="inlineStr">
        <is>
          <t>CELEX_32018L1673_EN_TXT (GDPR - Row 2)</t>
        </is>
      </c>
      <c r="C379" t="inlineStr">
        <is>
          <t>2</t>
        </is>
      </c>
      <c r="D379" s="11" t="inlineStr">
        <is>
          <t>Member States report national law provisions to Commission</t>
        </is>
      </c>
      <c r="E379" t="inlineStr">
        <is>
          <t>8</t>
        </is>
      </c>
      <c r="F379" t="inlineStr">
        <is>
          <t>Medium</t>
        </is>
      </c>
      <c r="G379" t="inlineStr">
        <is>
          <t>High (explicit)</t>
        </is>
      </c>
      <c r="H379" s="11" t="inlineStr">
        <is>
          <t>Cross-border Transfer, Governance, Record Keeping</t>
        </is>
      </c>
      <c r="I379" s="11" t="inlineStr">
        <is>
          <t>Personal Information</t>
        </is>
      </c>
      <c r="J379" t="inlineStr">
        <is>
          <t>European Commission</t>
        </is>
      </c>
      <c r="K379"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79" s="11" t="inlineStr">
        <is>
          <t>This section requires Member States to report national law provisions to the Commission, which impacts the transparency and accountability of data transfer mechanisms across borders.</t>
        </is>
      </c>
      <c r="M379"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79" s="11" t="inlineStr">
        <is>
          <t>Member States shall communicate to the Commission the text of the main provisions of national law which they adopt in the field covered by this Directive.</t>
        </is>
      </c>
      <c r="O379" s="12" t="inlineStr">
        <is>
          <t>Open PDF</t>
        </is>
      </c>
    </row>
    <row r="380">
      <c r="A380" t="inlineStr">
        <is>
          <t>GDPR</t>
        </is>
      </c>
      <c r="B380" t="inlineStr">
        <is>
          <t>CELEX_32018L1673_EN_TXT (GDPR - Row 2)</t>
        </is>
      </c>
      <c r="C380" t="inlineStr">
        <is>
          <t>2</t>
        </is>
      </c>
      <c r="D380" s="11" t="inlineStr">
        <is>
          <t>Member States report national law provisions to Commission</t>
        </is>
      </c>
      <c r="E380" t="inlineStr">
        <is>
          <t>8</t>
        </is>
      </c>
      <c r="F380" t="inlineStr">
        <is>
          <t>Medium</t>
        </is>
      </c>
      <c r="G380" t="inlineStr">
        <is>
          <t>High (explicit)</t>
        </is>
      </c>
      <c r="H380" s="11" t="inlineStr">
        <is>
          <t>Cross-border Transfer, Governance, Record Keeping</t>
        </is>
      </c>
      <c r="I380" s="11" t="inlineStr">
        <is>
          <t>Personal Information</t>
        </is>
      </c>
      <c r="J380" t="inlineStr">
        <is>
          <t>European Commission</t>
        </is>
      </c>
      <c r="K380"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80" s="11" t="inlineStr">
        <is>
          <t>This section requires Member States to report national law provisions to the Commission, which impacts the transparency and accountability of data transfer mechanisms across borders.</t>
        </is>
      </c>
      <c r="M380"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80" s="11" t="inlineStr">
        <is>
          <t>Member States shall communicate to the Commission the text of the main provisions of national law which they adopt in the field covered by this Directive.</t>
        </is>
      </c>
      <c r="O380" s="12" t="inlineStr">
        <is>
          <t>Open PDF</t>
        </is>
      </c>
    </row>
    <row r="381">
      <c r="A381" t="inlineStr">
        <is>
          <t>GDPR</t>
        </is>
      </c>
      <c r="B381" t="inlineStr">
        <is>
          <t>CELEX_32018L1673_EN_TXT (GDPR - Row 2)</t>
        </is>
      </c>
      <c r="C381" t="inlineStr">
        <is>
          <t>2</t>
        </is>
      </c>
      <c r="D381" s="11" t="inlineStr">
        <is>
          <t>Member States report national law provisions to Commission</t>
        </is>
      </c>
      <c r="E381" t="inlineStr">
        <is>
          <t>9</t>
        </is>
      </c>
      <c r="F381" t="inlineStr">
        <is>
          <t>Medium</t>
        </is>
      </c>
      <c r="G381" t="inlineStr">
        <is>
          <t>High (explicit)</t>
        </is>
      </c>
      <c r="H381" s="11" t="inlineStr">
        <is>
          <t>Cross-border Transfer, Governance, Record Keeping</t>
        </is>
      </c>
      <c r="I381" s="11" t="inlineStr">
        <is>
          <t>Personal Information</t>
        </is>
      </c>
      <c r="J381" t="inlineStr">
        <is>
          <t>European Commission</t>
        </is>
      </c>
      <c r="K381" s="11" t="inlineStr">
        <is>
          <t>Member States must communicate the text of their main national law provisions adopted in the field covered by this Directive to the European Commission. This section also outlines reporting timelines for the Commission to assess Member States' compliance with the Directive by 2022 and 2023, including potential legislative amendments based on Member States' information.</t>
        </is>
      </c>
      <c r="L381" s="11" t="inlineStr">
        <is>
          <t>This section requires Member States to report national law provisions to the Commission, which impacts the transparency and accountability of data transfer mechanisms across borders.</t>
        </is>
      </c>
      <c r="M381" s="11" t="inlineStr">
        <is>
          <t>• [Must] Member States must communicate the text of their main national law provisions to the Commission
• [Must] Commission shall submit a report to the European Parliament and Council by 3 December 2022 assessing Member States' compliance with this Directive
• [Must] Commission shall submit a report to the European Parliament and Council by 3 December 2023 assessing the added value of this Directive for combating money laundering and impact on fundamental rights
• [May] Commission may present a legislative proposal to amend this Directive based on the reports</t>
        </is>
      </c>
      <c r="N381" s="11" t="inlineStr">
        <is>
          <t>Member States shall communicate to the Commission the text of the main provisions of national law which they adopt in the field covered by this Directive.</t>
        </is>
      </c>
      <c r="O381" s="12" t="inlineStr">
        <is>
          <t>Open PDF</t>
        </is>
      </c>
    </row>
    <row r="382">
      <c r="A382" t="inlineStr">
        <is>
          <t>GDPR</t>
        </is>
      </c>
      <c r="B382" t="inlineStr">
        <is>
          <t>CELEX_32018L1673_EN_TXT (GDPR - Row 2)</t>
        </is>
      </c>
      <c r="C382" t="inlineStr">
        <is>
          <t>3</t>
        </is>
      </c>
      <c r="D382" s="11" t="inlineStr">
        <is>
          <t>Cooperation in multi-member state jurisdiction</t>
        </is>
      </c>
      <c r="E382" t="inlineStr">
        <is>
          <t>7</t>
        </is>
      </c>
      <c r="F382" t="inlineStr">
        <is>
          <t>None</t>
        </is>
      </c>
      <c r="G382" t="inlineStr">
        <is>
          <t>High (explicit)</t>
        </is>
      </c>
      <c r="H382" s="11" t="inlineStr"/>
      <c r="I382" s="11" t="inlineStr"/>
      <c r="J382" t="inlineStr"/>
      <c r="K382" s="11" t="inlineStr">
        <is>
          <t>When multiple Member States have jurisdiction over the same offence, they must cooperate to decide which state will prosecute the offender, considering factors like offence territory, offender nationality/residency, victim country, and offender location. The matter may be referred to Eurojust for centralized proceedings.</t>
        </is>
      </c>
      <c r="L382" s="11" t="inlineStr"/>
      <c r="M382" s="11" t="inlineStr">
        <is>
          <t>• [Must] Member States concerned shall cooperate to decide which will prosecute the offender when multiple Member States have jurisdiction
• [Must] Account shall be taken of offence territory, offender nationality/residency, victim country, and offender location
• [Must] The matter shall be referred to Eurojust where appropriate and in accordance with Article 12 of Framework Decision 2009/948/JHA</t>
        </is>
      </c>
      <c r="N382" s="11"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t>
        </is>
      </c>
      <c r="O382" s="12" t="inlineStr">
        <is>
          <t>Open PDF</t>
        </is>
      </c>
    </row>
    <row r="383">
      <c r="A383" t="inlineStr">
        <is>
          <t>GDPR</t>
        </is>
      </c>
      <c r="B383" t="inlineStr">
        <is>
          <t>CELEX_32018L1673_EN_TXT (GDPR - Row 2)</t>
        </is>
      </c>
      <c r="C383" t="inlineStr">
        <is>
          <t>3</t>
        </is>
      </c>
      <c r="D383" s="11" t="inlineStr">
        <is>
          <t>Cooperation in multi-member state jurisdiction</t>
        </is>
      </c>
      <c r="E383" t="inlineStr">
        <is>
          <t>7</t>
        </is>
      </c>
      <c r="F383" t="inlineStr">
        <is>
          <t>None</t>
        </is>
      </c>
      <c r="G383" t="inlineStr">
        <is>
          <t>High (explicit)</t>
        </is>
      </c>
      <c r="H383" s="11" t="inlineStr"/>
      <c r="I383" s="11" t="inlineStr"/>
      <c r="J383" t="inlineStr"/>
      <c r="K383" s="11" t="inlineStr">
        <is>
          <t>When multiple Member States have jurisdiction over the same offence, they must cooperate to decide which state will prosecute the offender, considering factors like offence territory, offender nationality/residency, victim country, and offender location. The matter may be referred to Eurojust for centralized proceedings.</t>
        </is>
      </c>
      <c r="L383" s="11" t="inlineStr"/>
      <c r="M383" s="11" t="inlineStr">
        <is>
          <t>• [Must] Member States concerned shall cooperate to decide which will prosecute the offender when multiple Member States have jurisdiction
• [Must] Account shall be taken of offence territory, offender nationality/residency, victim country, and offender location
• [Must] The matter shall be referred to Eurojust where appropriate and in accordance with Article 12 of Framework Decision 2009/948/JHA</t>
        </is>
      </c>
      <c r="N383" s="11"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t>
        </is>
      </c>
      <c r="O383" s="12" t="inlineStr">
        <is>
          <t>Open PDF</t>
        </is>
      </c>
    </row>
    <row r="384">
      <c r="A384" t="inlineStr">
        <is>
          <t>GDPR</t>
        </is>
      </c>
      <c r="B384" t="inlineStr">
        <is>
          <t>CELEX_32018L1673_EN_TXT (GDPR - Row 2)</t>
        </is>
      </c>
      <c r="C384" t="inlineStr">
        <is>
          <t>3</t>
        </is>
      </c>
      <c r="D384" s="11" t="inlineStr">
        <is>
          <t>Cooperation in multi-member state jurisdiction</t>
        </is>
      </c>
      <c r="E384" t="inlineStr">
        <is>
          <t>8</t>
        </is>
      </c>
      <c r="F384" t="inlineStr">
        <is>
          <t>None</t>
        </is>
      </c>
      <c r="G384" t="inlineStr">
        <is>
          <t>High (explicit)</t>
        </is>
      </c>
      <c r="H384" s="11" t="inlineStr"/>
      <c r="I384" s="11" t="inlineStr"/>
      <c r="J384" t="inlineStr"/>
      <c r="K384" s="11" t="inlineStr">
        <is>
          <t>When multiple Member States have jurisdiction over the same offence, they must cooperate to decide which state will prosecute the offender, considering factors like offence territory, offender nationality/residency, victim country, and offender location. The matter may be referred to Eurojust for centralized proceedings.</t>
        </is>
      </c>
      <c r="L384" s="11" t="inlineStr"/>
      <c r="M384" s="11" t="inlineStr">
        <is>
          <t>• [Must] Member States concerned shall cooperate to decide which will prosecute the offender when multiple Member States have jurisdiction
• [Must] Account shall be taken of offence territory, offender nationality/residency, victim country, and offender location
• [Must] The matter shall be referred to Eurojust where appropriate and in accordance with Article 12 of Framework Decision 2009/948/JHA</t>
        </is>
      </c>
      <c r="N384" s="11"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t>
        </is>
      </c>
      <c r="O384" s="12" t="inlineStr">
        <is>
          <t>Open PDF</t>
        </is>
      </c>
    </row>
    <row r="385">
      <c r="A385" t="inlineStr">
        <is>
          <t>GDPR</t>
        </is>
      </c>
      <c r="B385" t="inlineStr">
        <is>
          <t>CELEX_32018L1673_EN_TXT (GDPR - Row 2)</t>
        </is>
      </c>
      <c r="C385" t="inlineStr">
        <is>
          <t>3</t>
        </is>
      </c>
      <c r="D385" s="11" t="inlineStr">
        <is>
          <t>Cooperation in multi-member state jurisdiction</t>
        </is>
      </c>
      <c r="E385" t="inlineStr">
        <is>
          <t>8–9</t>
        </is>
      </c>
      <c r="F385" t="inlineStr">
        <is>
          <t>None</t>
        </is>
      </c>
      <c r="G385" t="inlineStr">
        <is>
          <t>High (explicit)</t>
        </is>
      </c>
      <c r="H385" s="11" t="inlineStr"/>
      <c r="I385" s="11" t="inlineStr"/>
      <c r="J385" t="inlineStr"/>
      <c r="K385" s="11" t="inlineStr">
        <is>
          <t>When multiple Member States have jurisdiction over the same offence, they must cooperate to decide which state will prosecute the offender, considering factors like offence territory, offender nationality/residency, victim country, and offender location. The matter may be referred to Eurojust for centralized proceedings.</t>
        </is>
      </c>
      <c r="L385" s="11" t="inlineStr"/>
      <c r="M385" s="11" t="inlineStr">
        <is>
          <t>• [Must] Member States concerned shall cooperate to decide which will prosecute the offender when multiple Member States have jurisdiction
• [Must] Account shall be taken of offence territory, offender nationality/residency, victim country, and offender location
• [Must] The matter shall be referred to Eurojust where appropriate and in accordance with Article 12 of Framework Decision 2009/948/JHA</t>
        </is>
      </c>
      <c r="N385" s="11"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t>
        </is>
      </c>
      <c r="O385" s="12" t="inlineStr">
        <is>
          <t>Open PDF</t>
        </is>
      </c>
    </row>
    <row r="386">
      <c r="A386" t="inlineStr">
        <is>
          <t>GDPR</t>
        </is>
      </c>
      <c r="B386" t="inlineStr">
        <is>
          <t>CELEX_32018L1673_EN_TXT (GDPR - Row 2)</t>
        </is>
      </c>
      <c r="C386" t="inlineStr">
        <is>
          <t>4</t>
        </is>
      </c>
      <c r="D386" s="11" t="inlineStr">
        <is>
          <t>Additional aggravating circumstances for financial crimes</t>
        </is>
      </c>
      <c r="E386" t="inlineStr">
        <is>
          <t>7</t>
        </is>
      </c>
      <c r="F386" t="inlineStr">
        <is>
          <t>High</t>
        </is>
      </c>
      <c r="G386" t="inlineStr">
        <is>
          <t>High (explicit)</t>
        </is>
      </c>
      <c r="H386" s="11" t="inlineStr"/>
      <c r="I386" s="11" t="inlineStr">
        <is>
          <t>Financial Data</t>
        </is>
      </c>
      <c r="J386" t="inlineStr"/>
      <c r="K386" s="11" t="inlineStr">
        <is>
          <t>Member States may establish aggravating circumstances for financial crimes, including the value of laundered property or its origin from specific offences. These circumstances can lead to enhanced penalties for money laundering activities.</t>
        </is>
      </c>
      <c r="L386" s="11" t="inlineStr">
        <is>
          <t>This section allows Member States to define additional aggravating factors for financial crimes, which may influence DTIA assessments for cross-border money laundering risks.</t>
        </is>
      </c>
      <c r="M386" s="11" t="inlineStr">
        <is>
          <t>• [May] Member States may provide that the following circumstances are regarded as aggravating: (a) laundered property of considerable value; (b) laundered property derives from specific offences</t>
        </is>
      </c>
      <c r="N386" s="11" t="inlineStr">
        <is>
          <t>Member States may provide that, in relation to the offences referred to in Article 3(1) and (5) and Article 4, the following circumstances are to be regarded as aggravating circumstances: (a) the laundered property is of considerable value; or (b) the laundered property derives from one of the offences referred to in points (a) to (e) and (h) of point (1) of Article 2.</t>
        </is>
      </c>
      <c r="O386" s="12" t="inlineStr">
        <is>
          <t>Open PDF</t>
        </is>
      </c>
    </row>
    <row r="387">
      <c r="A387" t="inlineStr">
        <is>
          <t>GDPR</t>
        </is>
      </c>
      <c r="B387" t="inlineStr">
        <is>
          <t>CELEX_32018L1673_EN_TXT (GDPR - Row 2)</t>
        </is>
      </c>
      <c r="C387" t="inlineStr">
        <is>
          <t>5</t>
        </is>
      </c>
      <c r="D387" s="11" t="inlineStr">
        <is>
          <t>Criminal penalties for specific financial offences</t>
        </is>
      </c>
      <c r="E387" t="inlineStr">
        <is>
          <t>7</t>
        </is>
      </c>
      <c r="F387" t="inlineStr">
        <is>
          <t>High</t>
        </is>
      </c>
      <c r="G387" t="inlineStr">
        <is>
          <t>High (explicit)</t>
        </is>
      </c>
      <c r="H387" s="11" t="inlineStr"/>
      <c r="I387" s="11" t="inlineStr">
        <is>
          <t>Financial Data</t>
        </is>
      </c>
      <c r="J387" t="inlineStr"/>
      <c r="K387" s="11" t="inlineStr">
        <is>
          <t>Member States must establish criminal penalties that are effective, proportionate, and dissuasive for offences defined in Articles 3 and 4. These offences relate to financial crimes such as money laundering and related activities. The penalties must apply to natural persons who commit these offences.</t>
        </is>
      </c>
      <c r="L387" s="11" t="inlineStr">
        <is>
          <t>This section establishes minimum criminal penalties for financial crimes, which may impact DTIA requirements for risk assessment of cross-border financial crime activities.</t>
        </is>
      </c>
      <c r="M387" s="11" t="inlineStr">
        <is>
          <t>• [Must] Member States shall take necessary measures to ensure offences referred to in Articles 3 and 4 are punishable by effective, proportionate and dissuasive criminal penalties</t>
        </is>
      </c>
      <c r="N387" s="11" t="inlineStr">
        <is>
          <t>Member States shall take the necessary measures to ensure that the offences referred to in Articles 3 and 4 are punishable by effective, proportionate and dissuasive criminal penalties.</t>
        </is>
      </c>
      <c r="O387" s="12" t="inlineStr">
        <is>
          <t>Open PDF</t>
        </is>
      </c>
    </row>
    <row r="388">
      <c r="A388" t="inlineStr">
        <is>
          <t>GDPR</t>
        </is>
      </c>
      <c r="B388" t="inlineStr">
        <is>
          <t>CELEX_32022L2555_EN_TXT (GDPR - Row 17)</t>
        </is>
      </c>
      <c r="C388" t="inlineStr">
        <is>
          <t>1</t>
        </is>
      </c>
      <c r="D388" s="11" t="inlineStr">
        <is>
          <t>Energy sector entities defined for regulatory purposes</t>
        </is>
      </c>
      <c r="E388" t="inlineStr">
        <is>
          <t>29</t>
        </is>
      </c>
      <c r="F388" t="inlineStr">
        <is>
          <t>None</t>
        </is>
      </c>
      <c r="G388" t="inlineStr">
        <is>
          <t>High (explicit)</t>
        </is>
      </c>
      <c r="H388" s="11" t="inlineStr"/>
      <c r="I388" s="11" t="inlineStr"/>
      <c r="J388" t="inlineStr"/>
      <c r="K388"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88" s="11" t="inlineStr"/>
      <c r="M388" s="11" t="inlineStr"/>
      <c r="N388" s="11" t="inlineStr">
        <is>
          <t>Energy
(a) Electricity
— Electricity undertakings as defined in Article 2, point (57), of Directive (EU) 2019/944 of the European Parliament and of the Council (1), which carry out the function of 'supply' as defined in Article 2, point (12), of that Directive</t>
        </is>
      </c>
      <c r="O388" s="12" t="inlineStr">
        <is>
          <t>Open PDF</t>
        </is>
      </c>
    </row>
    <row r="389">
      <c r="A389" t="inlineStr">
        <is>
          <t>GDPR</t>
        </is>
      </c>
      <c r="B389" t="inlineStr">
        <is>
          <t>CELEX_32022L2555_EN_TXT (GDPR - Row 17)</t>
        </is>
      </c>
      <c r="C389" t="inlineStr">
        <is>
          <t>1</t>
        </is>
      </c>
      <c r="D389" s="11" t="inlineStr">
        <is>
          <t>Energy sector entities defined for regulatory purposes</t>
        </is>
      </c>
      <c r="E389" t="inlineStr">
        <is>
          <t>29</t>
        </is>
      </c>
      <c r="F389" t="inlineStr">
        <is>
          <t>None</t>
        </is>
      </c>
      <c r="G389" t="inlineStr">
        <is>
          <t>High (explicit)</t>
        </is>
      </c>
      <c r="H389" s="11" t="inlineStr"/>
      <c r="I389" s="11" t="inlineStr"/>
      <c r="J389" t="inlineStr"/>
      <c r="K389"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89" s="11" t="inlineStr"/>
      <c r="M389" s="11" t="inlineStr"/>
      <c r="N389" s="11" t="inlineStr">
        <is>
          <t>Energy
(a) Electricity
— Electricity undertakings as defined in Article 2, point (57), of Directive (EU) 2019/944 of the European Parliament and of the Council (1), which carry out the function of 'supply' as defined in Article 2, point (12), of that Directive</t>
        </is>
      </c>
      <c r="O389" s="12" t="inlineStr">
        <is>
          <t>Open PDF</t>
        </is>
      </c>
    </row>
    <row r="390">
      <c r="A390" t="inlineStr">
        <is>
          <t>GDPR</t>
        </is>
      </c>
      <c r="B390" t="inlineStr">
        <is>
          <t>CELEX_32022L2555_EN_TXT (GDPR - Row 17)</t>
        </is>
      </c>
      <c r="C390" t="inlineStr">
        <is>
          <t>1</t>
        </is>
      </c>
      <c r="D390" s="11" t="inlineStr">
        <is>
          <t>Energy sector entities defined for regulatory purposes</t>
        </is>
      </c>
      <c r="E390" t="inlineStr">
        <is>
          <t>31</t>
        </is>
      </c>
      <c r="F390" t="inlineStr">
        <is>
          <t>None</t>
        </is>
      </c>
      <c r="G390" t="inlineStr">
        <is>
          <t>High (explicit)</t>
        </is>
      </c>
      <c r="H390" s="11" t="inlineStr"/>
      <c r="I390" s="11" t="inlineStr"/>
      <c r="J390" t="inlineStr"/>
      <c r="K390"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0" s="11" t="inlineStr"/>
      <c r="M390" s="11" t="inlineStr"/>
      <c r="N390" s="11" t="inlineStr">
        <is>
          <t>Energy
(a) Electricity
— Electricity undertakings as defined in Article 2, point (57), of Directive (EU) 2019/944 of the European Parliament and of the Council (1), which carry out the function of 'supply' as defined in Article 2, point (12), of that Directive</t>
        </is>
      </c>
      <c r="O390" s="12" t="inlineStr">
        <is>
          <t>Open PDF</t>
        </is>
      </c>
    </row>
    <row r="391">
      <c r="A391" t="inlineStr">
        <is>
          <t>GDPR</t>
        </is>
      </c>
      <c r="B391" t="inlineStr">
        <is>
          <t>CELEX_32022L2555_EN_TXT (GDPR - Row 17)</t>
        </is>
      </c>
      <c r="C391" t="inlineStr">
        <is>
          <t>1</t>
        </is>
      </c>
      <c r="D391" s="11" t="inlineStr">
        <is>
          <t>Energy sector entities defined for regulatory purposes</t>
        </is>
      </c>
      <c r="E391" t="inlineStr">
        <is>
          <t>32</t>
        </is>
      </c>
      <c r="F391" t="inlineStr">
        <is>
          <t>None</t>
        </is>
      </c>
      <c r="G391" t="inlineStr">
        <is>
          <t>High (explicit)</t>
        </is>
      </c>
      <c r="H391" s="11" t="inlineStr"/>
      <c r="I391" s="11" t="inlineStr"/>
      <c r="J391" t="inlineStr"/>
      <c r="K391"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1" s="11" t="inlineStr"/>
      <c r="M391" s="11" t="inlineStr"/>
      <c r="N391" s="11" t="inlineStr">
        <is>
          <t>Energy
(a) Electricity
— Electricity undertakings as defined in Article 2, point (57), of Directive (EU) 2019/944 of the European Parliament and of the Council (1), which carry out the function of 'supply' as defined in Article 2, point (12), of that Directive</t>
        </is>
      </c>
      <c r="O391" s="12" t="inlineStr">
        <is>
          <t>Open PDF</t>
        </is>
      </c>
    </row>
    <row r="392">
      <c r="A392" t="inlineStr">
        <is>
          <t>GDPR</t>
        </is>
      </c>
      <c r="B392" t="inlineStr">
        <is>
          <t>CELEX_32022L2555_EN_TXT (GDPR - Row 17)</t>
        </is>
      </c>
      <c r="C392" t="inlineStr">
        <is>
          <t>1</t>
        </is>
      </c>
      <c r="D392" s="11" t="inlineStr">
        <is>
          <t>Energy sector entities defined for regulatory purposes</t>
        </is>
      </c>
      <c r="E392" t="inlineStr">
        <is>
          <t>36</t>
        </is>
      </c>
      <c r="F392" t="inlineStr">
        <is>
          <t>None</t>
        </is>
      </c>
      <c r="G392" t="inlineStr">
        <is>
          <t>High (explicit)</t>
        </is>
      </c>
      <c r="H392" s="11" t="inlineStr"/>
      <c r="I392" s="11" t="inlineStr"/>
      <c r="J392" t="inlineStr"/>
      <c r="K392"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2" s="11" t="inlineStr"/>
      <c r="M392" s="11" t="inlineStr"/>
      <c r="N392" s="11" t="inlineStr">
        <is>
          <t>Energy
(a) Electricity
— Electricity undertakings as defined in Article 2, point (57), of Directive (EU) 2019/944 of the European Parliament and of the Council (1), which carry out the function of 'supply' as defined in Article 2, point (12), of that Directive</t>
        </is>
      </c>
      <c r="O392" s="12" t="inlineStr">
        <is>
          <t>Open PDF</t>
        </is>
      </c>
    </row>
    <row r="393">
      <c r="A393" t="inlineStr">
        <is>
          <t>GDPR</t>
        </is>
      </c>
      <c r="B393" t="inlineStr">
        <is>
          <t>CELEX_32022L2555_EN_TXT (GDPR - Row 17)</t>
        </is>
      </c>
      <c r="C393" t="inlineStr">
        <is>
          <t>1</t>
        </is>
      </c>
      <c r="D393" s="11" t="inlineStr">
        <is>
          <t>Energy sector entities defined for regulatory purposes</t>
        </is>
      </c>
      <c r="E393" t="inlineStr">
        <is>
          <t>37</t>
        </is>
      </c>
      <c r="F393" t="inlineStr">
        <is>
          <t>None</t>
        </is>
      </c>
      <c r="G393" t="inlineStr">
        <is>
          <t>High (explicit)</t>
        </is>
      </c>
      <c r="H393" s="11" t="inlineStr"/>
      <c r="I393" s="11" t="inlineStr"/>
      <c r="J393" t="inlineStr"/>
      <c r="K393"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3" s="11" t="inlineStr"/>
      <c r="M393" s="11" t="inlineStr"/>
      <c r="N393" s="11" t="inlineStr">
        <is>
          <t>Energy
(a) Electricity
— Electricity undertakings as defined in Article 2, point (57), of Directive (EU) 2019/944 of the European Parliament and of the Council (1), which carry out the function of 'supply' as defined in Article 2, point (12), of that Directive</t>
        </is>
      </c>
      <c r="O393" s="12" t="inlineStr">
        <is>
          <t>Open PDF</t>
        </is>
      </c>
    </row>
    <row r="394">
      <c r="A394" t="inlineStr">
        <is>
          <t>GDPR</t>
        </is>
      </c>
      <c r="B394" t="inlineStr">
        <is>
          <t>CELEX_32022L2555_EN_TXT (GDPR - Row 17)</t>
        </is>
      </c>
      <c r="C394" t="inlineStr">
        <is>
          <t>1</t>
        </is>
      </c>
      <c r="D394" s="11" t="inlineStr">
        <is>
          <t>Energy sector entities defined for regulatory purposes</t>
        </is>
      </c>
      <c r="E394" t="inlineStr">
        <is>
          <t>37–38</t>
        </is>
      </c>
      <c r="F394" t="inlineStr">
        <is>
          <t>None</t>
        </is>
      </c>
      <c r="G394" t="inlineStr">
        <is>
          <t>High (explicit)</t>
        </is>
      </c>
      <c r="H394" s="11" t="inlineStr"/>
      <c r="I394" s="11" t="inlineStr"/>
      <c r="J394" t="inlineStr"/>
      <c r="K394"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4" s="11" t="inlineStr"/>
      <c r="M394" s="11" t="inlineStr"/>
      <c r="N394" s="11" t="inlineStr">
        <is>
          <t>Energy
(a) Electricity
— Electricity undertakings as defined in Article 2, point (57), of Directive (EU) 2019/944 of the European Parliament and of the Council (1), which carry out the function of 'supply' as defined in Article 2, point (12), of that Directive</t>
        </is>
      </c>
      <c r="O394" s="12" t="inlineStr">
        <is>
          <t>Open PDF</t>
        </is>
      </c>
    </row>
    <row r="395">
      <c r="A395" t="inlineStr">
        <is>
          <t>GDPR</t>
        </is>
      </c>
      <c r="B395" t="inlineStr">
        <is>
          <t>CELEX_32022L2555_EN_TXT (GDPR - Row 17)</t>
        </is>
      </c>
      <c r="C395" t="inlineStr">
        <is>
          <t>1</t>
        </is>
      </c>
      <c r="D395" s="11" t="inlineStr">
        <is>
          <t>Energy sector entities defined for regulatory purposes</t>
        </is>
      </c>
      <c r="E395" t="inlineStr">
        <is>
          <t>38</t>
        </is>
      </c>
      <c r="F395" t="inlineStr">
        <is>
          <t>None</t>
        </is>
      </c>
      <c r="G395" t="inlineStr">
        <is>
          <t>High (explicit)</t>
        </is>
      </c>
      <c r="H395" s="11" t="inlineStr"/>
      <c r="I395" s="11" t="inlineStr"/>
      <c r="J395" t="inlineStr"/>
      <c r="K395"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5" s="11" t="inlineStr"/>
      <c r="M395" s="11" t="inlineStr"/>
      <c r="N395" s="11" t="inlineStr">
        <is>
          <t>Energy
(a) Electricity
— Electricity undertakings as defined in Article 2, point (57), of Directive (EU) 2019/944 of the European Parliament and of the Council (1), which carry out the function of 'supply' as defined in Article 2, point (12), of that Directive</t>
        </is>
      </c>
      <c r="O395" s="12" t="inlineStr">
        <is>
          <t>Open PDF</t>
        </is>
      </c>
    </row>
    <row r="396">
      <c r="A396" t="inlineStr">
        <is>
          <t>GDPR</t>
        </is>
      </c>
      <c r="B396" t="inlineStr">
        <is>
          <t>CELEX_32022L2555_EN_TXT (GDPR - Row 17)</t>
        </is>
      </c>
      <c r="C396" t="inlineStr">
        <is>
          <t>1</t>
        </is>
      </c>
      <c r="D396" s="11" t="inlineStr">
        <is>
          <t>Energy sector entities defined for regulatory purposes</t>
        </is>
      </c>
      <c r="E396" t="inlineStr">
        <is>
          <t>39</t>
        </is>
      </c>
      <c r="F396" t="inlineStr">
        <is>
          <t>None</t>
        </is>
      </c>
      <c r="G396" t="inlineStr">
        <is>
          <t>High (explicit)</t>
        </is>
      </c>
      <c r="H396" s="11" t="inlineStr"/>
      <c r="I396" s="11" t="inlineStr"/>
      <c r="J396" t="inlineStr"/>
      <c r="K396"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6" s="11" t="inlineStr"/>
      <c r="M396" s="11" t="inlineStr"/>
      <c r="N396" s="11" t="inlineStr">
        <is>
          <t>Energy
(a) Electricity
— Electricity undertakings as defined in Article 2, point (57), of Directive (EU) 2019/944 of the European Parliament and of the Council (1), which carry out the function of 'supply' as defined in Article 2, point (12), of that Directive</t>
        </is>
      </c>
      <c r="O396" s="12" t="inlineStr">
        <is>
          <t>Open PDF</t>
        </is>
      </c>
    </row>
    <row r="397">
      <c r="A397" t="inlineStr">
        <is>
          <t>GDPR</t>
        </is>
      </c>
      <c r="B397" t="inlineStr">
        <is>
          <t>CELEX_32022L2555_EN_TXT (GDPR - Row 17)</t>
        </is>
      </c>
      <c r="C397" t="inlineStr">
        <is>
          <t>1</t>
        </is>
      </c>
      <c r="D397" s="11" t="inlineStr">
        <is>
          <t>Energy sector entities defined for regulatory purposes</t>
        </is>
      </c>
      <c r="E397" t="inlineStr">
        <is>
          <t>40–41</t>
        </is>
      </c>
      <c r="F397" t="inlineStr">
        <is>
          <t>None</t>
        </is>
      </c>
      <c r="G397" t="inlineStr">
        <is>
          <t>High (explicit)</t>
        </is>
      </c>
      <c r="H397" s="11" t="inlineStr"/>
      <c r="I397" s="11" t="inlineStr"/>
      <c r="J397" t="inlineStr"/>
      <c r="K397"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7" s="11" t="inlineStr"/>
      <c r="M397" s="11" t="inlineStr"/>
      <c r="N397" s="11" t="inlineStr">
        <is>
          <t>Energy
(a) Electricity
— Electricity undertakings as defined in Article 2, point (57), of Directive (EU) 2019/944 of the European Parliament and of the Council (1), which carry out the function of 'supply' as defined in Article 2, point (12), of that Directive</t>
        </is>
      </c>
      <c r="O397" s="12" t="inlineStr">
        <is>
          <t>Open PDF</t>
        </is>
      </c>
    </row>
    <row r="398">
      <c r="A398" t="inlineStr">
        <is>
          <t>GDPR</t>
        </is>
      </c>
      <c r="B398" t="inlineStr">
        <is>
          <t>CELEX_32022L2555_EN_TXT (GDPR - Row 17)</t>
        </is>
      </c>
      <c r="C398" t="inlineStr">
        <is>
          <t>1</t>
        </is>
      </c>
      <c r="D398" s="11" t="inlineStr">
        <is>
          <t>Energy sector entities defined for regulatory purposes</t>
        </is>
      </c>
      <c r="E398" t="inlineStr">
        <is>
          <t>41</t>
        </is>
      </c>
      <c r="F398" t="inlineStr">
        <is>
          <t>None</t>
        </is>
      </c>
      <c r="G398" t="inlineStr">
        <is>
          <t>High (explicit)</t>
        </is>
      </c>
      <c r="H398" s="11" t="inlineStr"/>
      <c r="I398" s="11" t="inlineStr"/>
      <c r="J398" t="inlineStr"/>
      <c r="K398"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8" s="11" t="inlineStr"/>
      <c r="M398" s="11" t="inlineStr"/>
      <c r="N398" s="11" t="inlineStr">
        <is>
          <t>Energy
(a) Electricity
— Electricity undertakings as defined in Article 2, point (57), of Directive (EU) 2019/944 of the European Parliament and of the Council (1), which carry out the function of 'supply' as defined in Article 2, point (12), of that Directive</t>
        </is>
      </c>
      <c r="O398" s="12" t="inlineStr">
        <is>
          <t>Open PDF</t>
        </is>
      </c>
    </row>
    <row r="399">
      <c r="A399" t="inlineStr">
        <is>
          <t>GDPR</t>
        </is>
      </c>
      <c r="B399" t="inlineStr">
        <is>
          <t>CELEX_32022L2555_EN_TXT (GDPR - Row 17)</t>
        </is>
      </c>
      <c r="C399" t="inlineStr">
        <is>
          <t>1</t>
        </is>
      </c>
      <c r="D399" s="11" t="inlineStr">
        <is>
          <t>Energy sector entities defined for regulatory purposes</t>
        </is>
      </c>
      <c r="E399" t="inlineStr">
        <is>
          <t>42</t>
        </is>
      </c>
      <c r="F399" t="inlineStr">
        <is>
          <t>None</t>
        </is>
      </c>
      <c r="G399" t="inlineStr">
        <is>
          <t>High (explicit)</t>
        </is>
      </c>
      <c r="H399" s="11" t="inlineStr"/>
      <c r="I399" s="11" t="inlineStr"/>
      <c r="J399" t="inlineStr"/>
      <c r="K399"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399" s="11" t="inlineStr"/>
      <c r="M399" s="11" t="inlineStr"/>
      <c r="N399" s="11" t="inlineStr">
        <is>
          <t>Energy
(a) Electricity
— Electricity undertakings as defined in Article 2, point (57), of Directive (EU) 2019/944 of the European Parliament and of the Council (1), which carry out the function of 'supply' as defined in Article 2, point (12), of that Directive</t>
        </is>
      </c>
      <c r="O399" s="12" t="inlineStr">
        <is>
          <t>Open PDF</t>
        </is>
      </c>
    </row>
    <row r="400">
      <c r="A400" t="inlineStr">
        <is>
          <t>GDPR</t>
        </is>
      </c>
      <c r="B400" t="inlineStr">
        <is>
          <t>CELEX_32022L2555_EN_TXT (GDPR - Row 17)</t>
        </is>
      </c>
      <c r="C400" t="inlineStr">
        <is>
          <t>1</t>
        </is>
      </c>
      <c r="D400" s="11" t="inlineStr">
        <is>
          <t>Energy sector entities defined for regulatory purposes</t>
        </is>
      </c>
      <c r="E400" t="inlineStr">
        <is>
          <t>43</t>
        </is>
      </c>
      <c r="F400" t="inlineStr">
        <is>
          <t>None</t>
        </is>
      </c>
      <c r="G400" t="inlineStr">
        <is>
          <t>High (explicit)</t>
        </is>
      </c>
      <c r="H400" s="11" t="inlineStr"/>
      <c r="I400" s="11" t="inlineStr"/>
      <c r="J400" t="inlineStr"/>
      <c r="K400"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0" s="11" t="inlineStr"/>
      <c r="M400" s="11" t="inlineStr"/>
      <c r="N400" s="11" t="inlineStr">
        <is>
          <t>Energy
(a) Electricity
— Electricity undertakings as defined in Article 2, point (57), of Directive (EU) 2019/944 of the European Parliament and of the Council (1), which carry out the function of 'supply' as defined in Article 2, point (12), of that Directive</t>
        </is>
      </c>
      <c r="O400" s="12" t="inlineStr">
        <is>
          <t>Open PDF</t>
        </is>
      </c>
    </row>
    <row r="401">
      <c r="A401" t="inlineStr">
        <is>
          <t>GDPR</t>
        </is>
      </c>
      <c r="B401" t="inlineStr">
        <is>
          <t>CELEX_32022L2555_EN_TXT (GDPR - Row 17)</t>
        </is>
      </c>
      <c r="C401" t="inlineStr">
        <is>
          <t>1</t>
        </is>
      </c>
      <c r="D401" s="11" t="inlineStr">
        <is>
          <t>Energy sector entities defined for regulatory purposes</t>
        </is>
      </c>
      <c r="E401" t="inlineStr">
        <is>
          <t>45</t>
        </is>
      </c>
      <c r="F401" t="inlineStr">
        <is>
          <t>None</t>
        </is>
      </c>
      <c r="G401" t="inlineStr">
        <is>
          <t>High (explicit)</t>
        </is>
      </c>
      <c r="H401" s="11" t="inlineStr"/>
      <c r="I401" s="11" t="inlineStr"/>
      <c r="J401" t="inlineStr"/>
      <c r="K401"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1" s="11" t="inlineStr"/>
      <c r="M401" s="11" t="inlineStr"/>
      <c r="N401" s="11" t="inlineStr">
        <is>
          <t>Energy
(a) Electricity
— Electricity undertakings as defined in Article 2, point (57), of Directive (EU) 2019/944 of the European Parliament and of the Council (1), which carry out the function of 'supply' as defined in Article 2, point (12), of that Directive</t>
        </is>
      </c>
      <c r="O401" s="12" t="inlineStr">
        <is>
          <t>Open PDF</t>
        </is>
      </c>
    </row>
    <row r="402">
      <c r="A402" t="inlineStr">
        <is>
          <t>GDPR</t>
        </is>
      </c>
      <c r="B402" t="inlineStr">
        <is>
          <t>CELEX_32022L2555_EN_TXT (GDPR - Row 17)</t>
        </is>
      </c>
      <c r="C402" t="inlineStr">
        <is>
          <t>1</t>
        </is>
      </c>
      <c r="D402" s="11" t="inlineStr">
        <is>
          <t>Energy sector entities defined for regulatory purposes</t>
        </is>
      </c>
      <c r="E402" t="inlineStr">
        <is>
          <t>46</t>
        </is>
      </c>
      <c r="F402" t="inlineStr">
        <is>
          <t>None</t>
        </is>
      </c>
      <c r="G402" t="inlineStr">
        <is>
          <t>High (explicit)</t>
        </is>
      </c>
      <c r="H402" s="11" t="inlineStr"/>
      <c r="I402" s="11" t="inlineStr"/>
      <c r="J402" t="inlineStr"/>
      <c r="K402"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2" s="11" t="inlineStr"/>
      <c r="M402" s="11" t="inlineStr"/>
      <c r="N402" s="11" t="inlineStr">
        <is>
          <t>Energy
(a) Electricity
— Electricity undertakings as defined in Article 2, point (57), of Directive (EU) 2019/944 of the European Parliament and of the Council (1), which carry out the function of 'supply' as defined in Article 2, point (12), of that Directive</t>
        </is>
      </c>
      <c r="O402" s="12" t="inlineStr">
        <is>
          <t>Open PDF</t>
        </is>
      </c>
    </row>
    <row r="403">
      <c r="A403" t="inlineStr">
        <is>
          <t>GDPR</t>
        </is>
      </c>
      <c r="B403" t="inlineStr">
        <is>
          <t>CELEX_32022L2555_EN_TXT (GDPR - Row 17)</t>
        </is>
      </c>
      <c r="C403" t="inlineStr">
        <is>
          <t>1</t>
        </is>
      </c>
      <c r="D403" s="11" t="inlineStr">
        <is>
          <t>Energy sector entities defined for regulatory purposes</t>
        </is>
      </c>
      <c r="E403" t="inlineStr">
        <is>
          <t>46</t>
        </is>
      </c>
      <c r="F403" t="inlineStr">
        <is>
          <t>None</t>
        </is>
      </c>
      <c r="G403" t="inlineStr">
        <is>
          <t>High (explicit)</t>
        </is>
      </c>
      <c r="H403" s="11" t="inlineStr"/>
      <c r="I403" s="11" t="inlineStr"/>
      <c r="J403" t="inlineStr"/>
      <c r="K403"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3" s="11" t="inlineStr"/>
      <c r="M403" s="11" t="inlineStr"/>
      <c r="N403" s="11" t="inlineStr">
        <is>
          <t>Energy
(a) Electricity
— Electricity undertakings as defined in Article 2, point (57), of Directive (EU) 2019/944 of the European Parliament and of the Council (1), which carry out the function of 'supply' as defined in Article 2, point (12), of that Directive</t>
        </is>
      </c>
      <c r="O403" s="12" t="inlineStr">
        <is>
          <t>Open PDF</t>
        </is>
      </c>
    </row>
    <row r="404">
      <c r="A404" t="inlineStr">
        <is>
          <t>GDPR</t>
        </is>
      </c>
      <c r="B404" t="inlineStr">
        <is>
          <t>CELEX_32022L2555_EN_TXT (GDPR - Row 17)</t>
        </is>
      </c>
      <c r="C404" t="inlineStr">
        <is>
          <t>1</t>
        </is>
      </c>
      <c r="D404" s="11" t="inlineStr">
        <is>
          <t>Energy sector entities defined for regulatory purposes</t>
        </is>
      </c>
      <c r="E404" t="inlineStr">
        <is>
          <t>47–48</t>
        </is>
      </c>
      <c r="F404" t="inlineStr">
        <is>
          <t>None</t>
        </is>
      </c>
      <c r="G404" t="inlineStr">
        <is>
          <t>High (explicit)</t>
        </is>
      </c>
      <c r="H404" s="11" t="inlineStr"/>
      <c r="I404" s="11" t="inlineStr"/>
      <c r="J404" t="inlineStr"/>
      <c r="K404"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4" s="11" t="inlineStr"/>
      <c r="M404" s="11" t="inlineStr"/>
      <c r="N404" s="11" t="inlineStr">
        <is>
          <t>Energy
(a) Electricity
— Electricity undertakings as defined in Article 2, point (57), of Directive (EU) 2019/944 of the European Parliament and of the Council (1), which carry out the function of 'supply' as defined in Article 2, point (12), of that Directive</t>
        </is>
      </c>
      <c r="O404" s="12" t="inlineStr">
        <is>
          <t>Open PDF</t>
        </is>
      </c>
    </row>
    <row r="405">
      <c r="A405" t="inlineStr">
        <is>
          <t>GDPR</t>
        </is>
      </c>
      <c r="B405" t="inlineStr">
        <is>
          <t>CELEX_32022L2555_EN_TXT (GDPR - Row 17)</t>
        </is>
      </c>
      <c r="C405" t="inlineStr">
        <is>
          <t>1</t>
        </is>
      </c>
      <c r="D405" s="11" t="inlineStr">
        <is>
          <t>Energy sector entities defined for regulatory purposes</t>
        </is>
      </c>
      <c r="E405" t="inlineStr">
        <is>
          <t>48</t>
        </is>
      </c>
      <c r="F405" t="inlineStr">
        <is>
          <t>None</t>
        </is>
      </c>
      <c r="G405" t="inlineStr">
        <is>
          <t>High (explicit)</t>
        </is>
      </c>
      <c r="H405" s="11" t="inlineStr"/>
      <c r="I405" s="11" t="inlineStr"/>
      <c r="J405" t="inlineStr"/>
      <c r="K405"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5" s="11" t="inlineStr"/>
      <c r="M405" s="11" t="inlineStr"/>
      <c r="N405" s="11" t="inlineStr">
        <is>
          <t>Energy
(a) Electricity
— Electricity undertakings as defined in Article 2, point (57), of Directive (EU) 2019/944 of the European Parliament and of the Council (1), which carry out the function of 'supply' as defined in Article 2, point (12), of that Directive</t>
        </is>
      </c>
      <c r="O405" s="12" t="inlineStr">
        <is>
          <t>Open PDF</t>
        </is>
      </c>
    </row>
    <row r="406">
      <c r="A406" t="inlineStr">
        <is>
          <t>GDPR</t>
        </is>
      </c>
      <c r="B406" t="inlineStr">
        <is>
          <t>CELEX_32022L2555_EN_TXT (GDPR - Row 17)</t>
        </is>
      </c>
      <c r="C406" t="inlineStr">
        <is>
          <t>1</t>
        </is>
      </c>
      <c r="D406" s="11" t="inlineStr">
        <is>
          <t>Energy sector entities defined for regulatory purposes</t>
        </is>
      </c>
      <c r="E406" t="inlineStr">
        <is>
          <t>49</t>
        </is>
      </c>
      <c r="F406" t="inlineStr">
        <is>
          <t>None</t>
        </is>
      </c>
      <c r="G406" t="inlineStr">
        <is>
          <t>High (explicit)</t>
        </is>
      </c>
      <c r="H406" s="11" t="inlineStr"/>
      <c r="I406" s="11" t="inlineStr"/>
      <c r="J406" t="inlineStr"/>
      <c r="K406"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6" s="11" t="inlineStr"/>
      <c r="M406" s="11" t="inlineStr"/>
      <c r="N406" s="11" t="inlineStr">
        <is>
          <t>Energy
(a) Electricity
— Electricity undertakings as defined in Article 2, point (57), of Directive (EU) 2019/944 of the European Parliament and of the Council (1), which carry out the function of 'supply' as defined in Article 2, point (12), of that Directive</t>
        </is>
      </c>
      <c r="O406" s="12" t="inlineStr">
        <is>
          <t>Open PDF</t>
        </is>
      </c>
    </row>
    <row r="407">
      <c r="A407" t="inlineStr">
        <is>
          <t>GDPR</t>
        </is>
      </c>
      <c r="B407" t="inlineStr">
        <is>
          <t>CELEX_32022L2555_EN_TXT (GDPR - Row 17)</t>
        </is>
      </c>
      <c r="C407" t="inlineStr">
        <is>
          <t>1</t>
        </is>
      </c>
      <c r="D407" s="11" t="inlineStr">
        <is>
          <t>Energy sector entities defined for regulatory purposes</t>
        </is>
      </c>
      <c r="E407" t="inlineStr">
        <is>
          <t>49</t>
        </is>
      </c>
      <c r="F407" t="inlineStr">
        <is>
          <t>None</t>
        </is>
      </c>
      <c r="G407" t="inlineStr">
        <is>
          <t>High (explicit)</t>
        </is>
      </c>
      <c r="H407" s="11" t="inlineStr"/>
      <c r="I407" s="11" t="inlineStr"/>
      <c r="J407" t="inlineStr"/>
      <c r="K407"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7" s="11" t="inlineStr"/>
      <c r="M407" s="11" t="inlineStr"/>
      <c r="N407" s="11" t="inlineStr">
        <is>
          <t>Energy
(a) Electricity
— Electricity undertakings as defined in Article 2, point (57), of Directive (EU) 2019/944 of the European Parliament and of the Council (1), which carry out the function of 'supply' as defined in Article 2, point (12), of that Directive</t>
        </is>
      </c>
      <c r="O407" s="12" t="inlineStr">
        <is>
          <t>Open PDF</t>
        </is>
      </c>
    </row>
    <row r="408">
      <c r="A408" t="inlineStr">
        <is>
          <t>GDPR</t>
        </is>
      </c>
      <c r="B408" t="inlineStr">
        <is>
          <t>CELEX_32022L2555_EN_TXT (GDPR - Row 17)</t>
        </is>
      </c>
      <c r="C408" t="inlineStr">
        <is>
          <t>1</t>
        </is>
      </c>
      <c r="D408" s="11" t="inlineStr">
        <is>
          <t>Energy sector entities defined for regulatory purposes</t>
        </is>
      </c>
      <c r="E408" t="inlineStr">
        <is>
          <t>51</t>
        </is>
      </c>
      <c r="F408" t="inlineStr">
        <is>
          <t>None</t>
        </is>
      </c>
      <c r="G408" t="inlineStr">
        <is>
          <t>High (explicit)</t>
        </is>
      </c>
      <c r="H408" s="11" t="inlineStr"/>
      <c r="I408" s="11" t="inlineStr"/>
      <c r="J408" t="inlineStr"/>
      <c r="K408"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8" s="11" t="inlineStr"/>
      <c r="M408" s="11" t="inlineStr"/>
      <c r="N408" s="11" t="inlineStr">
        <is>
          <t>Energy
(a) Electricity
— Electricity undertakings as defined in Article 2, point (57), of Directive (EU) 2019/944 of the European Parliament and of the Council (1), which carry out the function of 'supply' as defined in Article 2, point (12), of that Directive</t>
        </is>
      </c>
      <c r="O408" s="12" t="inlineStr">
        <is>
          <t>Open PDF</t>
        </is>
      </c>
    </row>
    <row r="409">
      <c r="A409" t="inlineStr">
        <is>
          <t>GDPR</t>
        </is>
      </c>
      <c r="B409" t="inlineStr">
        <is>
          <t>CELEX_32022L2555_EN_TXT (GDPR - Row 17)</t>
        </is>
      </c>
      <c r="C409" t="inlineStr">
        <is>
          <t>1</t>
        </is>
      </c>
      <c r="D409" s="11" t="inlineStr">
        <is>
          <t>Energy sector entities defined for regulatory purposes</t>
        </is>
      </c>
      <c r="E409" t="inlineStr">
        <is>
          <t>52</t>
        </is>
      </c>
      <c r="F409" t="inlineStr">
        <is>
          <t>None</t>
        </is>
      </c>
      <c r="G409" t="inlineStr">
        <is>
          <t>High (explicit)</t>
        </is>
      </c>
      <c r="H409" s="11" t="inlineStr"/>
      <c r="I409" s="11" t="inlineStr"/>
      <c r="J409" t="inlineStr"/>
      <c r="K409"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09" s="11" t="inlineStr"/>
      <c r="M409" s="11" t="inlineStr"/>
      <c r="N409" s="11" t="inlineStr">
        <is>
          <t>Energy
(a) Electricity
— Electricity undertakings as defined in Article 2, point (57), of Directive (EU) 2019/944 of the European Parliament and of the Council (1), which carry out the function of 'supply' as defined in Article 2, point (12), of that Directive</t>
        </is>
      </c>
      <c r="O409" s="12" t="inlineStr">
        <is>
          <t>Open PDF</t>
        </is>
      </c>
    </row>
    <row r="410">
      <c r="A410" t="inlineStr">
        <is>
          <t>GDPR</t>
        </is>
      </c>
      <c r="B410" t="inlineStr">
        <is>
          <t>CELEX_32022L2555_EN_TXT (GDPR - Row 17)</t>
        </is>
      </c>
      <c r="C410" t="inlineStr">
        <is>
          <t>1</t>
        </is>
      </c>
      <c r="D410" s="11" t="inlineStr">
        <is>
          <t>Energy sector entities defined for regulatory purposes</t>
        </is>
      </c>
      <c r="E410" t="inlineStr">
        <is>
          <t>52</t>
        </is>
      </c>
      <c r="F410" t="inlineStr">
        <is>
          <t>None</t>
        </is>
      </c>
      <c r="G410" t="inlineStr">
        <is>
          <t>High (explicit)</t>
        </is>
      </c>
      <c r="H410" s="11" t="inlineStr"/>
      <c r="I410" s="11" t="inlineStr"/>
      <c r="J410" t="inlineStr"/>
      <c r="K410"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0" s="11" t="inlineStr"/>
      <c r="M410" s="11" t="inlineStr"/>
      <c r="N410" s="11" t="inlineStr">
        <is>
          <t>Energy
(a) Electricity
— Electricity undertakings as defined in Article 2, point (57), of Directive (EU) 2019/944 of the European Parliament and of the Council (1), which carry out the function of 'supply' as defined in Article 2, point (12), of that Directive</t>
        </is>
      </c>
      <c r="O410" s="12" t="inlineStr">
        <is>
          <t>Open PDF</t>
        </is>
      </c>
    </row>
    <row r="411">
      <c r="A411" t="inlineStr">
        <is>
          <t>GDPR</t>
        </is>
      </c>
      <c r="B411" t="inlineStr">
        <is>
          <t>CELEX_32022L2555_EN_TXT (GDPR - Row 17)</t>
        </is>
      </c>
      <c r="C411" t="inlineStr">
        <is>
          <t>1</t>
        </is>
      </c>
      <c r="D411" s="11" t="inlineStr">
        <is>
          <t>Energy sector entities defined for regulatory purposes</t>
        </is>
      </c>
      <c r="E411" t="inlineStr">
        <is>
          <t>53</t>
        </is>
      </c>
      <c r="F411" t="inlineStr">
        <is>
          <t>None</t>
        </is>
      </c>
      <c r="G411" t="inlineStr">
        <is>
          <t>High (explicit)</t>
        </is>
      </c>
      <c r="H411" s="11" t="inlineStr"/>
      <c r="I411" s="11" t="inlineStr"/>
      <c r="J411" t="inlineStr"/>
      <c r="K411"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1" s="11" t="inlineStr"/>
      <c r="M411" s="11" t="inlineStr"/>
      <c r="N411" s="11" t="inlineStr">
        <is>
          <t>Energy
(a) Electricity
— Electricity undertakings as defined in Article 2, point (57), of Directive (EU) 2019/944 of the European Parliament and of the Council (1), which carry out the function of 'supply' as defined in Article 2, point (12), of that Directive</t>
        </is>
      </c>
      <c r="O411" s="12" t="inlineStr">
        <is>
          <t>Open PDF</t>
        </is>
      </c>
    </row>
    <row r="412">
      <c r="A412" t="inlineStr">
        <is>
          <t>GDPR</t>
        </is>
      </c>
      <c r="B412" t="inlineStr">
        <is>
          <t>CELEX_32022L2555_EN_TXT (GDPR - Row 17)</t>
        </is>
      </c>
      <c r="C412" t="inlineStr">
        <is>
          <t>1</t>
        </is>
      </c>
      <c r="D412" s="11" t="inlineStr">
        <is>
          <t>Energy sector entities defined for regulatory purposes</t>
        </is>
      </c>
      <c r="E412" t="inlineStr">
        <is>
          <t>53</t>
        </is>
      </c>
      <c r="F412" t="inlineStr">
        <is>
          <t>None</t>
        </is>
      </c>
      <c r="G412" t="inlineStr">
        <is>
          <t>High (explicit)</t>
        </is>
      </c>
      <c r="H412" s="11" t="inlineStr"/>
      <c r="I412" s="11" t="inlineStr"/>
      <c r="J412" t="inlineStr"/>
      <c r="K412"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2" s="11" t="inlineStr"/>
      <c r="M412" s="11" t="inlineStr"/>
      <c r="N412" s="11" t="inlineStr">
        <is>
          <t>Energy
(a) Electricity
— Electricity undertakings as defined in Article 2, point (57), of Directive (EU) 2019/944 of the European Parliament and of the Council (1), which carry out the function of 'supply' as defined in Article 2, point (12), of that Directive</t>
        </is>
      </c>
      <c r="O412" s="12" t="inlineStr">
        <is>
          <t>Open PDF</t>
        </is>
      </c>
    </row>
    <row r="413">
      <c r="A413" t="inlineStr">
        <is>
          <t>GDPR</t>
        </is>
      </c>
      <c r="B413" t="inlineStr">
        <is>
          <t>CELEX_32022L2555_EN_TXT (GDPR - Row 17)</t>
        </is>
      </c>
      <c r="C413" t="inlineStr">
        <is>
          <t>1</t>
        </is>
      </c>
      <c r="D413" s="11" t="inlineStr">
        <is>
          <t>Energy sector entities defined for regulatory purposes</t>
        </is>
      </c>
      <c r="E413" t="inlineStr">
        <is>
          <t>54</t>
        </is>
      </c>
      <c r="F413" t="inlineStr">
        <is>
          <t>None</t>
        </is>
      </c>
      <c r="G413" t="inlineStr">
        <is>
          <t>High (explicit)</t>
        </is>
      </c>
      <c r="H413" s="11" t="inlineStr"/>
      <c r="I413" s="11" t="inlineStr"/>
      <c r="J413" t="inlineStr"/>
      <c r="K413"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3" s="11" t="inlineStr"/>
      <c r="M413" s="11" t="inlineStr"/>
      <c r="N413" s="11" t="inlineStr">
        <is>
          <t>Energy
(a) Electricity
— Electricity undertakings as defined in Article 2, point (57), of Directive (EU) 2019/944 of the European Parliament and of the Council (1), which carry out the function of 'supply' as defined in Article 2, point (12), of that Directive</t>
        </is>
      </c>
      <c r="O413" s="12" t="inlineStr">
        <is>
          <t>Open PDF</t>
        </is>
      </c>
    </row>
    <row r="414">
      <c r="A414" t="inlineStr">
        <is>
          <t>GDPR</t>
        </is>
      </c>
      <c r="B414" t="inlineStr">
        <is>
          <t>CELEX_32022L2555_EN_TXT (GDPR - Row 17)</t>
        </is>
      </c>
      <c r="C414" t="inlineStr">
        <is>
          <t>1</t>
        </is>
      </c>
      <c r="D414" s="11" t="inlineStr">
        <is>
          <t>Energy sector entities defined for regulatory purposes</t>
        </is>
      </c>
      <c r="E414" t="inlineStr">
        <is>
          <t>55</t>
        </is>
      </c>
      <c r="F414" t="inlineStr">
        <is>
          <t>None</t>
        </is>
      </c>
      <c r="G414" t="inlineStr">
        <is>
          <t>High (explicit)</t>
        </is>
      </c>
      <c r="H414" s="11" t="inlineStr"/>
      <c r="I414" s="11" t="inlineStr"/>
      <c r="J414" t="inlineStr"/>
      <c r="K414"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4" s="11" t="inlineStr"/>
      <c r="M414" s="11" t="inlineStr"/>
      <c r="N414" s="11" t="inlineStr">
        <is>
          <t>Energy
(a) Electricity
— Electricity undertakings as defined in Article 2, point (57), of Directive (EU) 2019/944 of the European Parliament and of the Council (1), which carry out the function of 'supply' as defined in Article 2, point (12), of that Directive</t>
        </is>
      </c>
      <c r="O414" s="12" t="inlineStr">
        <is>
          <t>Open PDF</t>
        </is>
      </c>
    </row>
    <row r="415">
      <c r="A415" t="inlineStr">
        <is>
          <t>GDPR</t>
        </is>
      </c>
      <c r="B415" t="inlineStr">
        <is>
          <t>CELEX_32022L2555_EN_TXT (GDPR - Row 17)</t>
        </is>
      </c>
      <c r="C415" t="inlineStr">
        <is>
          <t>1</t>
        </is>
      </c>
      <c r="D415" s="11" t="inlineStr">
        <is>
          <t>Energy sector entities defined for regulatory purposes</t>
        </is>
      </c>
      <c r="E415" t="inlineStr">
        <is>
          <t>56</t>
        </is>
      </c>
      <c r="F415" t="inlineStr">
        <is>
          <t>None</t>
        </is>
      </c>
      <c r="G415" t="inlineStr">
        <is>
          <t>High (explicit)</t>
        </is>
      </c>
      <c r="H415" s="11" t="inlineStr"/>
      <c r="I415" s="11" t="inlineStr"/>
      <c r="J415" t="inlineStr"/>
      <c r="K415"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5" s="11" t="inlineStr"/>
      <c r="M415" s="11" t="inlineStr"/>
      <c r="N415" s="11" t="inlineStr">
        <is>
          <t>Energy
(a) Electricity
— Electricity undertakings as defined in Article 2, point (57), of Directive (EU) 2019/944 of the European Parliament and of the Council (1), which carry out the function of 'supply' as defined in Article 2, point (12), of that Directive</t>
        </is>
      </c>
      <c r="O415" s="12" t="inlineStr">
        <is>
          <t>Open PDF</t>
        </is>
      </c>
    </row>
    <row r="416">
      <c r="A416" t="inlineStr">
        <is>
          <t>GDPR</t>
        </is>
      </c>
      <c r="B416" t="inlineStr">
        <is>
          <t>CELEX_32022L2555_EN_TXT (GDPR - Row 17)</t>
        </is>
      </c>
      <c r="C416" t="inlineStr">
        <is>
          <t>1</t>
        </is>
      </c>
      <c r="D416" s="11" t="inlineStr">
        <is>
          <t>Energy sector entities defined for regulatory purposes</t>
        </is>
      </c>
      <c r="E416" t="inlineStr">
        <is>
          <t>58–59</t>
        </is>
      </c>
      <c r="F416" t="inlineStr">
        <is>
          <t>None</t>
        </is>
      </c>
      <c r="G416" t="inlineStr">
        <is>
          <t>High (explicit)</t>
        </is>
      </c>
      <c r="H416" s="11" t="inlineStr"/>
      <c r="I416" s="11" t="inlineStr"/>
      <c r="J416" t="inlineStr"/>
      <c r="K416"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6" s="11" t="inlineStr"/>
      <c r="M416" s="11" t="inlineStr"/>
      <c r="N416" s="11" t="inlineStr">
        <is>
          <t>Energy
(a) Electricity
— Electricity undertakings as defined in Article 2, point (57), of Directive (EU) 2019/944 of the European Parliament and of the Council (1), which carry out the function of 'supply' as defined in Article 2, point (12), of that Directive</t>
        </is>
      </c>
      <c r="O416" s="12" t="inlineStr">
        <is>
          <t>Open PDF</t>
        </is>
      </c>
    </row>
    <row r="417">
      <c r="A417" t="inlineStr">
        <is>
          <t>GDPR</t>
        </is>
      </c>
      <c r="B417" t="inlineStr">
        <is>
          <t>CELEX_32022L2555_EN_TXT (GDPR - Row 17)</t>
        </is>
      </c>
      <c r="C417" t="inlineStr">
        <is>
          <t>1</t>
        </is>
      </c>
      <c r="D417" s="11" t="inlineStr">
        <is>
          <t>Energy sector entities defined for regulatory purposes</t>
        </is>
      </c>
      <c r="E417" t="inlineStr">
        <is>
          <t>60</t>
        </is>
      </c>
      <c r="F417" t="inlineStr">
        <is>
          <t>None</t>
        </is>
      </c>
      <c r="G417" t="inlineStr">
        <is>
          <t>High (explicit)</t>
        </is>
      </c>
      <c r="H417" s="11" t="inlineStr"/>
      <c r="I417" s="11" t="inlineStr"/>
      <c r="J417" t="inlineStr"/>
      <c r="K417"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7" s="11" t="inlineStr"/>
      <c r="M417" s="11" t="inlineStr"/>
      <c r="N417" s="11" t="inlineStr">
        <is>
          <t>Energy
(a) Electricity
— Electricity undertakings as defined in Article 2, point (57), of Directive (EU) 2019/944 of the European Parliament and of the Council (1), which carry out the function of 'supply' as defined in Article 2, point (12), of that Directive</t>
        </is>
      </c>
      <c r="O417" s="12" t="inlineStr">
        <is>
          <t>Open PDF</t>
        </is>
      </c>
    </row>
    <row r="418">
      <c r="A418" t="inlineStr">
        <is>
          <t>GDPR</t>
        </is>
      </c>
      <c r="B418" t="inlineStr">
        <is>
          <t>CELEX_32022L2555_EN_TXT (GDPR - Row 17)</t>
        </is>
      </c>
      <c r="C418" t="inlineStr">
        <is>
          <t>1</t>
        </is>
      </c>
      <c r="D418" s="11" t="inlineStr">
        <is>
          <t>Energy sector entities defined for regulatory purposes</t>
        </is>
      </c>
      <c r="E418" t="inlineStr">
        <is>
          <t>60–61</t>
        </is>
      </c>
      <c r="F418" t="inlineStr">
        <is>
          <t>None</t>
        </is>
      </c>
      <c r="G418" t="inlineStr">
        <is>
          <t>High (explicit)</t>
        </is>
      </c>
      <c r="H418" s="11" t="inlineStr"/>
      <c r="I418" s="11" t="inlineStr"/>
      <c r="J418" t="inlineStr"/>
      <c r="K418"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8" s="11" t="inlineStr"/>
      <c r="M418" s="11" t="inlineStr"/>
      <c r="N418" s="11" t="inlineStr">
        <is>
          <t>Energy
(a) Electricity
— Electricity undertakings as defined in Article 2, point (57), of Directive (EU) 2019/944 of the European Parliament and of the Council (1), which carry out the function of 'supply' as defined in Article 2, point (12), of that Directive</t>
        </is>
      </c>
      <c r="O418" s="12" t="inlineStr">
        <is>
          <t>Open PDF</t>
        </is>
      </c>
    </row>
    <row r="419">
      <c r="A419" t="inlineStr">
        <is>
          <t>GDPR</t>
        </is>
      </c>
      <c r="B419" t="inlineStr">
        <is>
          <t>CELEX_32022L2555_EN_TXT (GDPR - Row 17)</t>
        </is>
      </c>
      <c r="C419" t="inlineStr">
        <is>
          <t>1</t>
        </is>
      </c>
      <c r="D419" s="11" t="inlineStr">
        <is>
          <t>Energy sector entities defined for regulatory purposes</t>
        </is>
      </c>
      <c r="E419" t="inlineStr">
        <is>
          <t>61</t>
        </is>
      </c>
      <c r="F419" t="inlineStr">
        <is>
          <t>None</t>
        </is>
      </c>
      <c r="G419" t="inlineStr">
        <is>
          <t>High (explicit)</t>
        </is>
      </c>
      <c r="H419" s="11" t="inlineStr"/>
      <c r="I419" s="11" t="inlineStr"/>
      <c r="J419" t="inlineStr"/>
      <c r="K419"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19" s="11" t="inlineStr"/>
      <c r="M419" s="11" t="inlineStr"/>
      <c r="N419" s="11" t="inlineStr">
        <is>
          <t>Energy
(a) Electricity
— Electricity undertakings as defined in Article 2, point (57), of Directive (EU) 2019/944 of the European Parliament and of the Council (1), which carry out the function of 'supply' as defined in Article 2, point (12), of that Directive</t>
        </is>
      </c>
      <c r="O419" s="12" t="inlineStr">
        <is>
          <t>Open PDF</t>
        </is>
      </c>
    </row>
    <row r="420">
      <c r="A420" t="inlineStr">
        <is>
          <t>GDPR</t>
        </is>
      </c>
      <c r="B420" t="inlineStr">
        <is>
          <t>CELEX_32022L2555_EN_TXT (GDPR - Row 17)</t>
        </is>
      </c>
      <c r="C420" t="inlineStr">
        <is>
          <t>1</t>
        </is>
      </c>
      <c r="D420" s="11" t="inlineStr">
        <is>
          <t>Energy sector entities defined for regulatory purposes</t>
        </is>
      </c>
      <c r="E420" t="inlineStr">
        <is>
          <t>63</t>
        </is>
      </c>
      <c r="F420" t="inlineStr">
        <is>
          <t>None</t>
        </is>
      </c>
      <c r="G420" t="inlineStr">
        <is>
          <t>High (explicit)</t>
        </is>
      </c>
      <c r="H420" s="11" t="inlineStr"/>
      <c r="I420" s="11" t="inlineStr"/>
      <c r="J420" t="inlineStr"/>
      <c r="K420"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20" s="11" t="inlineStr"/>
      <c r="M420" s="11" t="inlineStr"/>
      <c r="N420" s="11" t="inlineStr">
        <is>
          <t>Energy
(a) Electricity
— Electricity undertakings as defined in Article 2, point (57), of Directive (EU) 2019/944 of the European Parliament and of the Council (1), which carry out the function of 'supply' as defined in Article 2, point (12), of that Directive</t>
        </is>
      </c>
      <c r="O420" s="12" t="inlineStr">
        <is>
          <t>Open PDF</t>
        </is>
      </c>
    </row>
    <row r="421">
      <c r="A421" t="inlineStr">
        <is>
          <t>GDPR</t>
        </is>
      </c>
      <c r="B421" t="inlineStr">
        <is>
          <t>CELEX_32022L2555_EN_TXT (GDPR - Row 17)</t>
        </is>
      </c>
      <c r="C421" t="inlineStr">
        <is>
          <t>1</t>
        </is>
      </c>
      <c r="D421" s="11" t="inlineStr">
        <is>
          <t>Energy sector entities defined for regulatory purposes</t>
        </is>
      </c>
      <c r="E421" t="inlineStr">
        <is>
          <t>64–65</t>
        </is>
      </c>
      <c r="F421" t="inlineStr">
        <is>
          <t>None</t>
        </is>
      </c>
      <c r="G421" t="inlineStr">
        <is>
          <t>High (explicit)</t>
        </is>
      </c>
      <c r="H421" s="11" t="inlineStr"/>
      <c r="I421" s="11" t="inlineStr"/>
      <c r="J421" t="inlineStr"/>
      <c r="K421" s="11" t="inlineStr">
        <is>
          <t>This section defines specific entities within the energy sector that fall under regulatory oversight, including electricity undertakings, distribution system operators, transmission system operators, producers, and other related entities across different energy subsectors such as electricity, district heating and cooling, oil, gas, and hydrogen.</t>
        </is>
      </c>
      <c r="L421" s="11" t="inlineStr"/>
      <c r="M421" s="11" t="inlineStr"/>
      <c r="N421" s="11" t="inlineStr">
        <is>
          <t>Energy
(a) Electricity
— Electricity undertakings as defined in Article 2, point (57), of Directive (EU) 2019/944 of the European Parliament and of the Council (1), which carry out the function of 'supply' as defined in Article 2, point (12), of that Directive</t>
        </is>
      </c>
      <c r="O421" s="12" t="inlineStr">
        <is>
          <t>Open PDF</t>
        </is>
      </c>
    </row>
    <row r="422">
      <c r="A422" t="inlineStr">
        <is>
          <t>GDPR</t>
        </is>
      </c>
      <c r="B422" t="inlineStr">
        <is>
          <t>CELEX_32022L2555_EN_TXT (GDPR - Row 17)</t>
        </is>
      </c>
      <c r="C422" t="inlineStr">
        <is>
          <t>2</t>
        </is>
      </c>
      <c r="D422" s="11" t="inlineStr">
        <is>
          <t>Waste management entities</t>
        </is>
      </c>
      <c r="E422" t="inlineStr">
        <is>
          <t>29</t>
        </is>
      </c>
      <c r="F422" t="inlineStr">
        <is>
          <t>None</t>
        </is>
      </c>
      <c r="G422" t="inlineStr">
        <is>
          <t>High (explicit)</t>
        </is>
      </c>
      <c r="H422" s="11" t="inlineStr"/>
      <c r="I422" s="11" t="inlineStr"/>
      <c r="J422" t="inlineStr"/>
      <c r="K422"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2" s="11" t="inlineStr"/>
      <c r="M422" s="11" t="inlineStr">
        <is>
          <t>• [Must] Undertakings carrying out waste management as defined in Article 3, point (9), of Directive 2008/98/EC
• [Must Not] Excluding undertakings for whom waste management is not their principal economic activity</t>
        </is>
      </c>
      <c r="N422"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2" s="12" t="inlineStr">
        <is>
          <t>Open PDF</t>
        </is>
      </c>
    </row>
    <row r="423">
      <c r="A423" t="inlineStr">
        <is>
          <t>GDPR</t>
        </is>
      </c>
      <c r="B423" t="inlineStr">
        <is>
          <t>CELEX_32022L2555_EN_TXT (GDPR - Row 17)</t>
        </is>
      </c>
      <c r="C423" t="inlineStr">
        <is>
          <t>2</t>
        </is>
      </c>
      <c r="D423" s="11" t="inlineStr">
        <is>
          <t>Waste management entities</t>
        </is>
      </c>
      <c r="E423" t="inlineStr">
        <is>
          <t>29–30</t>
        </is>
      </c>
      <c r="F423" t="inlineStr">
        <is>
          <t>None</t>
        </is>
      </c>
      <c r="G423" t="inlineStr">
        <is>
          <t>High (explicit)</t>
        </is>
      </c>
      <c r="H423" s="11" t="inlineStr"/>
      <c r="I423" s="11" t="inlineStr"/>
      <c r="J423" t="inlineStr"/>
      <c r="K423"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3" s="11" t="inlineStr"/>
      <c r="M423" s="11" t="inlineStr">
        <is>
          <t>• [Must] Undertakings carrying out waste management as defined in Article 3, point (9), of Directive 2008/98/EC
• [Must Not] Excluding undertakings for whom waste management is not their principal economic activity</t>
        </is>
      </c>
      <c r="N423"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3" s="12" t="inlineStr">
        <is>
          <t>Open PDF</t>
        </is>
      </c>
    </row>
    <row r="424">
      <c r="A424" t="inlineStr">
        <is>
          <t>GDPR</t>
        </is>
      </c>
      <c r="B424" t="inlineStr">
        <is>
          <t>CELEX_32022L2555_EN_TXT (GDPR - Row 17)</t>
        </is>
      </c>
      <c r="C424" t="inlineStr">
        <is>
          <t>2</t>
        </is>
      </c>
      <c r="D424" s="11" t="inlineStr">
        <is>
          <t>Waste management entities</t>
        </is>
      </c>
      <c r="E424" t="inlineStr">
        <is>
          <t>31</t>
        </is>
      </c>
      <c r="F424" t="inlineStr">
        <is>
          <t>None</t>
        </is>
      </c>
      <c r="G424" t="inlineStr">
        <is>
          <t>High (explicit)</t>
        </is>
      </c>
      <c r="H424" s="11" t="inlineStr"/>
      <c r="I424" s="11" t="inlineStr"/>
      <c r="J424" t="inlineStr"/>
      <c r="K424"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4" s="11" t="inlineStr"/>
      <c r="M424" s="11" t="inlineStr">
        <is>
          <t>• [Must] Undertakings carrying out waste management as defined in Article 3, point (9), of Directive 2008/98/EC
• [Must Not] Excluding undertakings for whom waste management is not their principal economic activity</t>
        </is>
      </c>
      <c r="N424"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4" s="12" t="inlineStr">
        <is>
          <t>Open PDF</t>
        </is>
      </c>
    </row>
    <row r="425">
      <c r="A425" t="inlineStr">
        <is>
          <t>GDPR</t>
        </is>
      </c>
      <c r="B425" t="inlineStr">
        <is>
          <t>CELEX_32022L2555_EN_TXT (GDPR - Row 17)</t>
        </is>
      </c>
      <c r="C425" t="inlineStr">
        <is>
          <t>2</t>
        </is>
      </c>
      <c r="D425" s="11" t="inlineStr">
        <is>
          <t>Waste management entities</t>
        </is>
      </c>
      <c r="E425" t="inlineStr">
        <is>
          <t>32</t>
        </is>
      </c>
      <c r="F425" t="inlineStr">
        <is>
          <t>None</t>
        </is>
      </c>
      <c r="G425" t="inlineStr">
        <is>
          <t>High (explicit)</t>
        </is>
      </c>
      <c r="H425" s="11" t="inlineStr"/>
      <c r="I425" s="11" t="inlineStr"/>
      <c r="J425" t="inlineStr"/>
      <c r="K425"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5" s="11" t="inlineStr"/>
      <c r="M425" s="11" t="inlineStr">
        <is>
          <t>• [Must] Undertakings carrying out waste management as defined in Article 3, point (9), of Directive 2008/98/EC
• [Must Not] Excluding undertakings for whom waste management is not their principal economic activity</t>
        </is>
      </c>
      <c r="N425"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5" s="12" t="inlineStr">
        <is>
          <t>Open PDF</t>
        </is>
      </c>
    </row>
    <row r="426">
      <c r="A426" t="inlineStr">
        <is>
          <t>GDPR</t>
        </is>
      </c>
      <c r="B426" t="inlineStr">
        <is>
          <t>CELEX_32022L2555_EN_TXT (GDPR - Row 17)</t>
        </is>
      </c>
      <c r="C426" t="inlineStr">
        <is>
          <t>2</t>
        </is>
      </c>
      <c r="D426" s="11" t="inlineStr">
        <is>
          <t>Waste management entities</t>
        </is>
      </c>
      <c r="E426" t="inlineStr">
        <is>
          <t>36–37</t>
        </is>
      </c>
      <c r="F426" t="inlineStr">
        <is>
          <t>None</t>
        </is>
      </c>
      <c r="G426" t="inlineStr">
        <is>
          <t>High (explicit)</t>
        </is>
      </c>
      <c r="H426" s="11" t="inlineStr"/>
      <c r="I426" s="11" t="inlineStr"/>
      <c r="J426" t="inlineStr"/>
      <c r="K426"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6" s="11" t="inlineStr"/>
      <c r="M426" s="11" t="inlineStr">
        <is>
          <t>• [Must] Undertakings carrying out waste management as defined in Article 3, point (9), of Directive 2008/98/EC
• [Must Not] Excluding undertakings for whom waste management is not their principal economic activity</t>
        </is>
      </c>
      <c r="N426"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6" s="12" t="inlineStr">
        <is>
          <t>Open PDF</t>
        </is>
      </c>
    </row>
    <row r="427">
      <c r="A427" t="inlineStr">
        <is>
          <t>GDPR</t>
        </is>
      </c>
      <c r="B427" t="inlineStr">
        <is>
          <t>CELEX_32022L2555_EN_TXT (GDPR - Row 17)</t>
        </is>
      </c>
      <c r="C427" t="inlineStr">
        <is>
          <t>2</t>
        </is>
      </c>
      <c r="D427" s="11" t="inlineStr">
        <is>
          <t>Waste management entities</t>
        </is>
      </c>
      <c r="E427" t="inlineStr">
        <is>
          <t>38</t>
        </is>
      </c>
      <c r="F427" t="inlineStr">
        <is>
          <t>None</t>
        </is>
      </c>
      <c r="G427" t="inlineStr">
        <is>
          <t>High (explicit)</t>
        </is>
      </c>
      <c r="H427" s="11" t="inlineStr"/>
      <c r="I427" s="11" t="inlineStr"/>
      <c r="J427" t="inlineStr"/>
      <c r="K427"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7" s="11" t="inlineStr"/>
      <c r="M427" s="11" t="inlineStr">
        <is>
          <t>• [Must] Undertakings carrying out waste management as defined in Article 3, point (9), of Directive 2008/98/EC
• [Must Not] Excluding undertakings for whom waste management is not their principal economic activity</t>
        </is>
      </c>
      <c r="N427"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7" s="12" t="inlineStr">
        <is>
          <t>Open PDF</t>
        </is>
      </c>
    </row>
    <row r="428">
      <c r="A428" t="inlineStr">
        <is>
          <t>GDPR</t>
        </is>
      </c>
      <c r="B428" t="inlineStr">
        <is>
          <t>CELEX_32022L2555_EN_TXT (GDPR - Row 17)</t>
        </is>
      </c>
      <c r="C428" t="inlineStr">
        <is>
          <t>2</t>
        </is>
      </c>
      <c r="D428" s="11" t="inlineStr">
        <is>
          <t>Waste management entities</t>
        </is>
      </c>
      <c r="E428" t="inlineStr">
        <is>
          <t>39</t>
        </is>
      </c>
      <c r="F428" t="inlineStr">
        <is>
          <t>None</t>
        </is>
      </c>
      <c r="G428" t="inlineStr">
        <is>
          <t>High (explicit)</t>
        </is>
      </c>
      <c r="H428" s="11" t="inlineStr"/>
      <c r="I428" s="11" t="inlineStr"/>
      <c r="J428" t="inlineStr"/>
      <c r="K428"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8" s="11" t="inlineStr"/>
      <c r="M428" s="11" t="inlineStr">
        <is>
          <t>• [Must] Undertakings carrying out waste management as defined in Article 3, point (9), of Directive 2008/98/EC
• [Must Not] Excluding undertakings for whom waste management is not their principal economic activity</t>
        </is>
      </c>
      <c r="N428"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8" s="12" t="inlineStr">
        <is>
          <t>Open PDF</t>
        </is>
      </c>
    </row>
    <row r="429">
      <c r="A429" t="inlineStr">
        <is>
          <t>GDPR</t>
        </is>
      </c>
      <c r="B429" t="inlineStr">
        <is>
          <t>CELEX_32022L2555_EN_TXT (GDPR - Row 17)</t>
        </is>
      </c>
      <c r="C429" t="inlineStr">
        <is>
          <t>2</t>
        </is>
      </c>
      <c r="D429" s="11" t="inlineStr">
        <is>
          <t>Waste management entities</t>
        </is>
      </c>
      <c r="E429" t="inlineStr">
        <is>
          <t>41</t>
        </is>
      </c>
      <c r="F429" t="inlineStr">
        <is>
          <t>None</t>
        </is>
      </c>
      <c r="G429" t="inlineStr">
        <is>
          <t>High (explicit)</t>
        </is>
      </c>
      <c r="H429" s="11" t="inlineStr"/>
      <c r="I429" s="11" t="inlineStr"/>
      <c r="J429" t="inlineStr"/>
      <c r="K429"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29" s="11" t="inlineStr"/>
      <c r="M429" s="11" t="inlineStr">
        <is>
          <t>• [Must] Undertakings carrying out waste management as defined in Article 3, point (9), of Directive 2008/98/EC
• [Must Not] Excluding undertakings for whom waste management is not their principal economic activity</t>
        </is>
      </c>
      <c r="N429"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29" s="12" t="inlineStr">
        <is>
          <t>Open PDF</t>
        </is>
      </c>
    </row>
    <row r="430">
      <c r="A430" t="inlineStr">
        <is>
          <t>GDPR</t>
        </is>
      </c>
      <c r="B430" t="inlineStr">
        <is>
          <t>CELEX_32022L2555_EN_TXT (GDPR - Row 17)</t>
        </is>
      </c>
      <c r="C430" t="inlineStr">
        <is>
          <t>2</t>
        </is>
      </c>
      <c r="D430" s="11" t="inlineStr">
        <is>
          <t>Waste management entities</t>
        </is>
      </c>
      <c r="E430" t="inlineStr">
        <is>
          <t>41</t>
        </is>
      </c>
      <c r="F430" t="inlineStr">
        <is>
          <t>None</t>
        </is>
      </c>
      <c r="G430" t="inlineStr">
        <is>
          <t>High (explicit)</t>
        </is>
      </c>
      <c r="H430" s="11" t="inlineStr"/>
      <c r="I430" s="11" t="inlineStr"/>
      <c r="J430" t="inlineStr"/>
      <c r="K430"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0" s="11" t="inlineStr"/>
      <c r="M430" s="11" t="inlineStr">
        <is>
          <t>• [Must] Undertakings carrying out waste management as defined in Article 3, point (9), of Directive 2008/98/EC
• [Must Not] Excluding undertakings for whom waste management is not their principal economic activity</t>
        </is>
      </c>
      <c r="N430"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0" s="12" t="inlineStr">
        <is>
          <t>Open PDF</t>
        </is>
      </c>
    </row>
    <row r="431">
      <c r="A431" t="inlineStr">
        <is>
          <t>GDPR</t>
        </is>
      </c>
      <c r="B431" t="inlineStr">
        <is>
          <t>CELEX_32022L2555_EN_TXT (GDPR - Row 17)</t>
        </is>
      </c>
      <c r="C431" t="inlineStr">
        <is>
          <t>2</t>
        </is>
      </c>
      <c r="D431" s="11" t="inlineStr">
        <is>
          <t>Waste management entities</t>
        </is>
      </c>
      <c r="E431" t="inlineStr">
        <is>
          <t>43–44</t>
        </is>
      </c>
      <c r="F431" t="inlineStr">
        <is>
          <t>None</t>
        </is>
      </c>
      <c r="G431" t="inlineStr">
        <is>
          <t>High (explicit)</t>
        </is>
      </c>
      <c r="H431" s="11" t="inlineStr"/>
      <c r="I431" s="11" t="inlineStr"/>
      <c r="J431" t="inlineStr"/>
      <c r="K431"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1" s="11" t="inlineStr"/>
      <c r="M431" s="11" t="inlineStr">
        <is>
          <t>• [Must] Undertakings carrying out waste management as defined in Article 3, point (9), of Directive 2008/98/EC
• [Must Not] Excluding undertakings for whom waste management is not their principal economic activity</t>
        </is>
      </c>
      <c r="N431"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1" s="12" t="inlineStr">
        <is>
          <t>Open PDF</t>
        </is>
      </c>
    </row>
    <row r="432">
      <c r="A432" t="inlineStr">
        <is>
          <t>GDPR</t>
        </is>
      </c>
      <c r="B432" t="inlineStr">
        <is>
          <t>CELEX_32022L2555_EN_TXT (GDPR - Row 17)</t>
        </is>
      </c>
      <c r="C432" t="inlineStr">
        <is>
          <t>2</t>
        </is>
      </c>
      <c r="D432" s="11" t="inlineStr">
        <is>
          <t>Waste management entities</t>
        </is>
      </c>
      <c r="E432" t="inlineStr">
        <is>
          <t>45</t>
        </is>
      </c>
      <c r="F432" t="inlineStr">
        <is>
          <t>None</t>
        </is>
      </c>
      <c r="G432" t="inlineStr">
        <is>
          <t>High (explicit)</t>
        </is>
      </c>
      <c r="H432" s="11" t="inlineStr"/>
      <c r="I432" s="11" t="inlineStr"/>
      <c r="J432" t="inlineStr"/>
      <c r="K432"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2" s="11" t="inlineStr"/>
      <c r="M432" s="11" t="inlineStr">
        <is>
          <t>• [Must] Undertakings carrying out waste management as defined in Article 3, point (9), of Directive 2008/98/EC
• [Must Not] Excluding undertakings for whom waste management is not their principal economic activity</t>
        </is>
      </c>
      <c r="N432"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2" s="12" t="inlineStr">
        <is>
          <t>Open PDF</t>
        </is>
      </c>
    </row>
    <row r="433">
      <c r="A433" t="inlineStr">
        <is>
          <t>GDPR</t>
        </is>
      </c>
      <c r="B433" t="inlineStr">
        <is>
          <t>CELEX_32022L2555_EN_TXT (GDPR - Row 17)</t>
        </is>
      </c>
      <c r="C433" t="inlineStr">
        <is>
          <t>2</t>
        </is>
      </c>
      <c r="D433" s="11" t="inlineStr">
        <is>
          <t>Waste management entities</t>
        </is>
      </c>
      <c r="E433" t="inlineStr">
        <is>
          <t>46</t>
        </is>
      </c>
      <c r="F433" t="inlineStr">
        <is>
          <t>None</t>
        </is>
      </c>
      <c r="G433" t="inlineStr">
        <is>
          <t>High (explicit)</t>
        </is>
      </c>
      <c r="H433" s="11" t="inlineStr"/>
      <c r="I433" s="11" t="inlineStr"/>
      <c r="J433" t="inlineStr"/>
      <c r="K433"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3" s="11" t="inlineStr"/>
      <c r="M433" s="11" t="inlineStr">
        <is>
          <t>• [Must] Undertakings carrying out waste management as defined in Article 3, point (9), of Directive 2008/98/EC
• [Must Not] Excluding undertakings for whom waste management is not their principal economic activity</t>
        </is>
      </c>
      <c r="N433"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3" s="12" t="inlineStr">
        <is>
          <t>Open PDF</t>
        </is>
      </c>
    </row>
    <row r="434">
      <c r="A434" t="inlineStr">
        <is>
          <t>GDPR</t>
        </is>
      </c>
      <c r="B434" t="inlineStr">
        <is>
          <t>CELEX_32022L2555_EN_TXT (GDPR - Row 17)</t>
        </is>
      </c>
      <c r="C434" t="inlineStr">
        <is>
          <t>2</t>
        </is>
      </c>
      <c r="D434" s="11" t="inlineStr">
        <is>
          <t>Waste management entities</t>
        </is>
      </c>
      <c r="E434" t="inlineStr">
        <is>
          <t>46–47</t>
        </is>
      </c>
      <c r="F434" t="inlineStr">
        <is>
          <t>None</t>
        </is>
      </c>
      <c r="G434" t="inlineStr">
        <is>
          <t>High (explicit)</t>
        </is>
      </c>
      <c r="H434" s="11" t="inlineStr"/>
      <c r="I434" s="11" t="inlineStr"/>
      <c r="J434" t="inlineStr"/>
      <c r="K434"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4" s="11" t="inlineStr"/>
      <c r="M434" s="11" t="inlineStr">
        <is>
          <t>• [Must] Undertakings carrying out waste management as defined in Article 3, point (9), of Directive 2008/98/EC
• [Must Not] Excluding undertakings for whom waste management is not their principal economic activity</t>
        </is>
      </c>
      <c r="N434"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4" s="12" t="inlineStr">
        <is>
          <t>Open PDF</t>
        </is>
      </c>
    </row>
    <row r="435">
      <c r="A435" t="inlineStr">
        <is>
          <t>GDPR</t>
        </is>
      </c>
      <c r="B435" t="inlineStr">
        <is>
          <t>CELEX_32022L2555_EN_TXT (GDPR - Row 17)</t>
        </is>
      </c>
      <c r="C435" t="inlineStr">
        <is>
          <t>2</t>
        </is>
      </c>
      <c r="D435" s="11" t="inlineStr">
        <is>
          <t>Waste management entities</t>
        </is>
      </c>
      <c r="E435" t="inlineStr">
        <is>
          <t>48</t>
        </is>
      </c>
      <c r="F435" t="inlineStr">
        <is>
          <t>None</t>
        </is>
      </c>
      <c r="G435" t="inlineStr">
        <is>
          <t>High (explicit)</t>
        </is>
      </c>
      <c r="H435" s="11" t="inlineStr"/>
      <c r="I435" s="11" t="inlineStr"/>
      <c r="J435" t="inlineStr"/>
      <c r="K435"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5" s="11" t="inlineStr"/>
      <c r="M435" s="11" t="inlineStr">
        <is>
          <t>• [Must] Undertakings carrying out waste management as defined in Article 3, point (9), of Directive 2008/98/EC
• [Must Not] Excluding undertakings for whom waste management is not their principal economic activity</t>
        </is>
      </c>
      <c r="N435"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5" s="12" t="inlineStr">
        <is>
          <t>Open PDF</t>
        </is>
      </c>
    </row>
    <row r="436">
      <c r="A436" t="inlineStr">
        <is>
          <t>GDPR</t>
        </is>
      </c>
      <c r="B436" t="inlineStr">
        <is>
          <t>CELEX_32022L2555_EN_TXT (GDPR - Row 17)</t>
        </is>
      </c>
      <c r="C436" t="inlineStr">
        <is>
          <t>2</t>
        </is>
      </c>
      <c r="D436" s="11" t="inlineStr">
        <is>
          <t>Waste management entities</t>
        </is>
      </c>
      <c r="E436" t="inlineStr">
        <is>
          <t>48</t>
        </is>
      </c>
      <c r="F436" t="inlineStr">
        <is>
          <t>None</t>
        </is>
      </c>
      <c r="G436" t="inlineStr">
        <is>
          <t>High (explicit)</t>
        </is>
      </c>
      <c r="H436" s="11" t="inlineStr"/>
      <c r="I436" s="11" t="inlineStr"/>
      <c r="J436" t="inlineStr"/>
      <c r="K436"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6" s="11" t="inlineStr"/>
      <c r="M436" s="11" t="inlineStr">
        <is>
          <t>• [Must] Undertakings carrying out waste management as defined in Article 3, point (9), of Directive 2008/98/EC
• [Must Not] Excluding undertakings for whom waste management is not their principal economic activity</t>
        </is>
      </c>
      <c r="N436"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6" s="12" t="inlineStr">
        <is>
          <t>Open PDF</t>
        </is>
      </c>
    </row>
    <row r="437">
      <c r="A437" t="inlineStr">
        <is>
          <t>GDPR</t>
        </is>
      </c>
      <c r="B437" t="inlineStr">
        <is>
          <t>CELEX_32022L2555_EN_TXT (GDPR - Row 17)</t>
        </is>
      </c>
      <c r="C437" t="inlineStr">
        <is>
          <t>2</t>
        </is>
      </c>
      <c r="D437" s="11" t="inlineStr">
        <is>
          <t>Waste management entities</t>
        </is>
      </c>
      <c r="E437" t="inlineStr">
        <is>
          <t>49</t>
        </is>
      </c>
      <c r="F437" t="inlineStr">
        <is>
          <t>None</t>
        </is>
      </c>
      <c r="G437" t="inlineStr">
        <is>
          <t>High (explicit)</t>
        </is>
      </c>
      <c r="H437" s="11" t="inlineStr"/>
      <c r="I437" s="11" t="inlineStr"/>
      <c r="J437" t="inlineStr"/>
      <c r="K437"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7" s="11" t="inlineStr"/>
      <c r="M437" s="11" t="inlineStr">
        <is>
          <t>• [Must] Undertakings carrying out waste management as defined in Article 3, point (9), of Directive 2008/98/EC
• [Must Not] Excluding undertakings for whom waste management is not their principal economic activity</t>
        </is>
      </c>
      <c r="N437"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7" s="12" t="inlineStr">
        <is>
          <t>Open PDF</t>
        </is>
      </c>
    </row>
    <row r="438">
      <c r="A438" t="inlineStr">
        <is>
          <t>GDPR</t>
        </is>
      </c>
      <c r="B438" t="inlineStr">
        <is>
          <t>CELEX_32022L2555_EN_TXT (GDPR - Row 17)</t>
        </is>
      </c>
      <c r="C438" t="inlineStr">
        <is>
          <t>2</t>
        </is>
      </c>
      <c r="D438" s="11" t="inlineStr">
        <is>
          <t>Waste management entities</t>
        </is>
      </c>
      <c r="E438" t="inlineStr">
        <is>
          <t>49–50</t>
        </is>
      </c>
      <c r="F438" t="inlineStr">
        <is>
          <t>None</t>
        </is>
      </c>
      <c r="G438" t="inlineStr">
        <is>
          <t>High (explicit)</t>
        </is>
      </c>
      <c r="H438" s="11" t="inlineStr"/>
      <c r="I438" s="11" t="inlineStr"/>
      <c r="J438" t="inlineStr"/>
      <c r="K438"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8" s="11" t="inlineStr"/>
      <c r="M438" s="11" t="inlineStr">
        <is>
          <t>• [Must] Undertakings carrying out waste management as defined in Article 3, point (9), of Directive 2008/98/EC
• [Must Not] Excluding undertakings for whom waste management is not their principal economic activity</t>
        </is>
      </c>
      <c r="N438"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8" s="12" t="inlineStr">
        <is>
          <t>Open PDF</t>
        </is>
      </c>
    </row>
    <row r="439">
      <c r="A439" t="inlineStr">
        <is>
          <t>GDPR</t>
        </is>
      </c>
      <c r="B439" t="inlineStr">
        <is>
          <t>CELEX_32022L2555_EN_TXT (GDPR - Row 17)</t>
        </is>
      </c>
      <c r="C439" t="inlineStr">
        <is>
          <t>2</t>
        </is>
      </c>
      <c r="D439" s="11" t="inlineStr">
        <is>
          <t>Waste management entities</t>
        </is>
      </c>
      <c r="E439" t="inlineStr">
        <is>
          <t>51–52</t>
        </is>
      </c>
      <c r="F439" t="inlineStr">
        <is>
          <t>None</t>
        </is>
      </c>
      <c r="G439" t="inlineStr">
        <is>
          <t>High (explicit)</t>
        </is>
      </c>
      <c r="H439" s="11" t="inlineStr"/>
      <c r="I439" s="11" t="inlineStr"/>
      <c r="J439" t="inlineStr"/>
      <c r="K439"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39" s="11" t="inlineStr"/>
      <c r="M439" s="11" t="inlineStr">
        <is>
          <t>• [Must] Undertakings carrying out waste management as defined in Article 3, point (9), of Directive 2008/98/EC
• [Must Not] Excluding undertakings for whom waste management is not their principal economic activity</t>
        </is>
      </c>
      <c r="N439"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39" s="12" t="inlineStr">
        <is>
          <t>Open PDF</t>
        </is>
      </c>
    </row>
    <row r="440">
      <c r="A440" t="inlineStr">
        <is>
          <t>GDPR</t>
        </is>
      </c>
      <c r="B440" t="inlineStr">
        <is>
          <t>CELEX_32022L2555_EN_TXT (GDPR - Row 17)</t>
        </is>
      </c>
      <c r="C440" t="inlineStr">
        <is>
          <t>2</t>
        </is>
      </c>
      <c r="D440" s="11" t="inlineStr">
        <is>
          <t>Waste management entities</t>
        </is>
      </c>
      <c r="E440" t="inlineStr">
        <is>
          <t>52</t>
        </is>
      </c>
      <c r="F440" t="inlineStr">
        <is>
          <t>None</t>
        </is>
      </c>
      <c r="G440" t="inlineStr">
        <is>
          <t>High (explicit)</t>
        </is>
      </c>
      <c r="H440" s="11" t="inlineStr"/>
      <c r="I440" s="11" t="inlineStr"/>
      <c r="J440" t="inlineStr"/>
      <c r="K440"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0" s="11" t="inlineStr"/>
      <c r="M440" s="11" t="inlineStr">
        <is>
          <t>• [Must] Undertakings carrying out waste management as defined in Article 3, point (9), of Directive 2008/98/EC
• [Must Not] Excluding undertakings for whom waste management is not their principal economic activity</t>
        </is>
      </c>
      <c r="N440"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0" s="12" t="inlineStr">
        <is>
          <t>Open PDF</t>
        </is>
      </c>
    </row>
    <row r="441">
      <c r="A441" t="inlineStr">
        <is>
          <t>GDPR</t>
        </is>
      </c>
      <c r="B441" t="inlineStr">
        <is>
          <t>CELEX_32022L2555_EN_TXT (GDPR - Row 17)</t>
        </is>
      </c>
      <c r="C441" t="inlineStr">
        <is>
          <t>2</t>
        </is>
      </c>
      <c r="D441" s="11" t="inlineStr">
        <is>
          <t>Waste management entities</t>
        </is>
      </c>
      <c r="E441" t="inlineStr">
        <is>
          <t>52</t>
        </is>
      </c>
      <c r="F441" t="inlineStr">
        <is>
          <t>None</t>
        </is>
      </c>
      <c r="G441" t="inlineStr">
        <is>
          <t>High (explicit)</t>
        </is>
      </c>
      <c r="H441" s="11" t="inlineStr"/>
      <c r="I441" s="11" t="inlineStr"/>
      <c r="J441" t="inlineStr"/>
      <c r="K441"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1" s="11" t="inlineStr"/>
      <c r="M441" s="11" t="inlineStr">
        <is>
          <t>• [Must] Undertakings carrying out waste management as defined in Article 3, point (9), of Directive 2008/98/EC
• [Must Not] Excluding undertakings for whom waste management is not their principal economic activity</t>
        </is>
      </c>
      <c r="N441"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1" s="12" t="inlineStr">
        <is>
          <t>Open PDF</t>
        </is>
      </c>
    </row>
    <row r="442">
      <c r="A442" t="inlineStr">
        <is>
          <t>GDPR</t>
        </is>
      </c>
      <c r="B442" t="inlineStr">
        <is>
          <t>CELEX_32022L2555_EN_TXT (GDPR - Row 17)</t>
        </is>
      </c>
      <c r="C442" t="inlineStr">
        <is>
          <t>2</t>
        </is>
      </c>
      <c r="D442" s="11" t="inlineStr">
        <is>
          <t>Waste management entities</t>
        </is>
      </c>
      <c r="E442" t="inlineStr">
        <is>
          <t>53</t>
        </is>
      </c>
      <c r="F442" t="inlineStr">
        <is>
          <t>None</t>
        </is>
      </c>
      <c r="G442" t="inlineStr">
        <is>
          <t>High (explicit)</t>
        </is>
      </c>
      <c r="H442" s="11" t="inlineStr"/>
      <c r="I442" s="11" t="inlineStr"/>
      <c r="J442" t="inlineStr"/>
      <c r="K442"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2" s="11" t="inlineStr"/>
      <c r="M442" s="11" t="inlineStr">
        <is>
          <t>• [Must] Undertakings carrying out waste management as defined in Article 3, point (9), of Directive 2008/98/EC
• [Must Not] Excluding undertakings for whom waste management is not their principal economic activity</t>
        </is>
      </c>
      <c r="N442"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2" s="12" t="inlineStr">
        <is>
          <t>Open PDF</t>
        </is>
      </c>
    </row>
    <row r="443">
      <c r="A443" t="inlineStr">
        <is>
          <t>GDPR</t>
        </is>
      </c>
      <c r="B443" t="inlineStr">
        <is>
          <t>CELEX_32022L2555_EN_TXT (GDPR - Row 17)</t>
        </is>
      </c>
      <c r="C443" t="inlineStr">
        <is>
          <t>2</t>
        </is>
      </c>
      <c r="D443" s="11" t="inlineStr">
        <is>
          <t>Waste management entities</t>
        </is>
      </c>
      <c r="E443" t="inlineStr">
        <is>
          <t>53–54</t>
        </is>
      </c>
      <c r="F443" t="inlineStr">
        <is>
          <t>None</t>
        </is>
      </c>
      <c r="G443" t="inlineStr">
        <is>
          <t>High (explicit)</t>
        </is>
      </c>
      <c r="H443" s="11" t="inlineStr"/>
      <c r="I443" s="11" t="inlineStr"/>
      <c r="J443" t="inlineStr"/>
      <c r="K443"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3" s="11" t="inlineStr"/>
      <c r="M443" s="11" t="inlineStr">
        <is>
          <t>• [Must] Undertakings carrying out waste management as defined in Article 3, point (9), of Directive 2008/98/EC
• [Must Not] Excluding undertakings for whom waste management is not their principal economic activity</t>
        </is>
      </c>
      <c r="N443"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3" s="12" t="inlineStr">
        <is>
          <t>Open PDF</t>
        </is>
      </c>
    </row>
    <row r="444">
      <c r="A444" t="inlineStr">
        <is>
          <t>GDPR</t>
        </is>
      </c>
      <c r="B444" t="inlineStr">
        <is>
          <t>CELEX_32022L2555_EN_TXT (GDPR - Row 17)</t>
        </is>
      </c>
      <c r="C444" t="inlineStr">
        <is>
          <t>2</t>
        </is>
      </c>
      <c r="D444" s="11" t="inlineStr">
        <is>
          <t>Waste management entities</t>
        </is>
      </c>
      <c r="E444" t="inlineStr">
        <is>
          <t>54–55</t>
        </is>
      </c>
      <c r="F444" t="inlineStr">
        <is>
          <t>None</t>
        </is>
      </c>
      <c r="G444" t="inlineStr">
        <is>
          <t>High (explicit)</t>
        </is>
      </c>
      <c r="H444" s="11" t="inlineStr"/>
      <c r="I444" s="11" t="inlineStr"/>
      <c r="J444" t="inlineStr"/>
      <c r="K444"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4" s="11" t="inlineStr"/>
      <c r="M444" s="11" t="inlineStr">
        <is>
          <t>• [Must] Undertakings carrying out waste management as defined in Article 3, point (9), of Directive 2008/98/EC
• [Must Not] Excluding undertakings for whom waste management is not their principal economic activity</t>
        </is>
      </c>
      <c r="N444"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4" s="12" t="inlineStr">
        <is>
          <t>Open PDF</t>
        </is>
      </c>
    </row>
    <row r="445">
      <c r="A445" t="inlineStr">
        <is>
          <t>GDPR</t>
        </is>
      </c>
      <c r="B445" t="inlineStr">
        <is>
          <t>CELEX_32022L2555_EN_TXT (GDPR - Row 17)</t>
        </is>
      </c>
      <c r="C445" t="inlineStr">
        <is>
          <t>2</t>
        </is>
      </c>
      <c r="D445" s="11" t="inlineStr">
        <is>
          <t>Waste management entities</t>
        </is>
      </c>
      <c r="E445" t="inlineStr">
        <is>
          <t>55</t>
        </is>
      </c>
      <c r="F445" t="inlineStr">
        <is>
          <t>None</t>
        </is>
      </c>
      <c r="G445" t="inlineStr">
        <is>
          <t>High (explicit)</t>
        </is>
      </c>
      <c r="H445" s="11" t="inlineStr"/>
      <c r="I445" s="11" t="inlineStr"/>
      <c r="J445" t="inlineStr"/>
      <c r="K445"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5" s="11" t="inlineStr"/>
      <c r="M445" s="11" t="inlineStr">
        <is>
          <t>• [Must] Undertakings carrying out waste management as defined in Article 3, point (9), of Directive 2008/98/EC
• [Must Not] Excluding undertakings for whom waste management is not their principal economic activity</t>
        </is>
      </c>
      <c r="N445"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5" s="12" t="inlineStr">
        <is>
          <t>Open PDF</t>
        </is>
      </c>
    </row>
    <row r="446">
      <c r="A446" t="inlineStr">
        <is>
          <t>GDPR</t>
        </is>
      </c>
      <c r="B446" t="inlineStr">
        <is>
          <t>CELEX_32022L2555_EN_TXT (GDPR - Row 17)</t>
        </is>
      </c>
      <c r="C446" t="inlineStr">
        <is>
          <t>2</t>
        </is>
      </c>
      <c r="D446" s="11" t="inlineStr">
        <is>
          <t>Waste management entities</t>
        </is>
      </c>
      <c r="E446" t="inlineStr">
        <is>
          <t>55–56</t>
        </is>
      </c>
      <c r="F446" t="inlineStr">
        <is>
          <t>None</t>
        </is>
      </c>
      <c r="G446" t="inlineStr">
        <is>
          <t>High (explicit)</t>
        </is>
      </c>
      <c r="H446" s="11" t="inlineStr"/>
      <c r="I446" s="11" t="inlineStr"/>
      <c r="J446" t="inlineStr"/>
      <c r="K446"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6" s="11" t="inlineStr"/>
      <c r="M446" s="11" t="inlineStr">
        <is>
          <t>• [Must] Undertakings carrying out waste management as defined in Article 3, point (9), of Directive 2008/98/EC
• [Must Not] Excluding undertakings for whom waste management is not their principal economic activity</t>
        </is>
      </c>
      <c r="N446"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6" s="12" t="inlineStr">
        <is>
          <t>Open PDF</t>
        </is>
      </c>
    </row>
    <row r="447">
      <c r="A447" t="inlineStr">
        <is>
          <t>GDPR</t>
        </is>
      </c>
      <c r="B447" t="inlineStr">
        <is>
          <t>CELEX_32022L2555_EN_TXT (GDPR - Row 17)</t>
        </is>
      </c>
      <c r="C447" t="inlineStr">
        <is>
          <t>2</t>
        </is>
      </c>
      <c r="D447" s="11" t="inlineStr">
        <is>
          <t>Waste management entities</t>
        </is>
      </c>
      <c r="E447" t="inlineStr">
        <is>
          <t>56</t>
        </is>
      </c>
      <c r="F447" t="inlineStr">
        <is>
          <t>None</t>
        </is>
      </c>
      <c r="G447" t="inlineStr">
        <is>
          <t>High (explicit)</t>
        </is>
      </c>
      <c r="H447" s="11" t="inlineStr"/>
      <c r="I447" s="11" t="inlineStr"/>
      <c r="J447" t="inlineStr"/>
      <c r="K447"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7" s="11" t="inlineStr"/>
      <c r="M447" s="11" t="inlineStr">
        <is>
          <t>• [Must] Undertakings carrying out waste management as defined in Article 3, point (9), of Directive 2008/98/EC
• [Must Not] Excluding undertakings for whom waste management is not their principal economic activity</t>
        </is>
      </c>
      <c r="N447"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7" s="12" t="inlineStr">
        <is>
          <t>Open PDF</t>
        </is>
      </c>
    </row>
    <row r="448">
      <c r="A448" t="inlineStr">
        <is>
          <t>GDPR</t>
        </is>
      </c>
      <c r="B448" t="inlineStr">
        <is>
          <t>CELEX_32022L2555_EN_TXT (GDPR - Row 17)</t>
        </is>
      </c>
      <c r="C448" t="inlineStr">
        <is>
          <t>2</t>
        </is>
      </c>
      <c r="D448" s="11" t="inlineStr">
        <is>
          <t>Waste management entities</t>
        </is>
      </c>
      <c r="E448" t="inlineStr">
        <is>
          <t>59</t>
        </is>
      </c>
      <c r="F448" t="inlineStr">
        <is>
          <t>None</t>
        </is>
      </c>
      <c r="G448" t="inlineStr">
        <is>
          <t>High (explicit)</t>
        </is>
      </c>
      <c r="H448" s="11" t="inlineStr"/>
      <c r="I448" s="11" t="inlineStr"/>
      <c r="J448" t="inlineStr"/>
      <c r="K448"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8" s="11" t="inlineStr"/>
      <c r="M448" s="11" t="inlineStr">
        <is>
          <t>• [Must] Undertakings carrying out waste management as defined in Article 3, point (9), of Directive 2008/98/EC
• [Must Not] Excluding undertakings for whom waste management is not their principal economic activity</t>
        </is>
      </c>
      <c r="N448"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8" s="12" t="inlineStr">
        <is>
          <t>Open PDF</t>
        </is>
      </c>
    </row>
    <row r="449">
      <c r="A449" t="inlineStr">
        <is>
          <t>GDPR</t>
        </is>
      </c>
      <c r="B449" t="inlineStr">
        <is>
          <t>CELEX_32022L2555_EN_TXT (GDPR - Row 17)</t>
        </is>
      </c>
      <c r="C449" t="inlineStr">
        <is>
          <t>2</t>
        </is>
      </c>
      <c r="D449" s="11" t="inlineStr">
        <is>
          <t>Waste management entities</t>
        </is>
      </c>
      <c r="E449" t="inlineStr">
        <is>
          <t>61</t>
        </is>
      </c>
      <c r="F449" t="inlineStr">
        <is>
          <t>None</t>
        </is>
      </c>
      <c r="G449" t="inlineStr">
        <is>
          <t>High (explicit)</t>
        </is>
      </c>
      <c r="H449" s="11" t="inlineStr"/>
      <c r="I449" s="11" t="inlineStr"/>
      <c r="J449" t="inlineStr"/>
      <c r="K449"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49" s="11" t="inlineStr"/>
      <c r="M449" s="11" t="inlineStr">
        <is>
          <t>• [Must] Undertakings carrying out waste management as defined in Article 3, point (9), of Directive 2008/98/EC
• [Must Not] Excluding undertakings for whom waste management is not their principal economic activity</t>
        </is>
      </c>
      <c r="N449"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49" s="12" t="inlineStr">
        <is>
          <t>Open PDF</t>
        </is>
      </c>
    </row>
    <row r="450">
      <c r="A450" t="inlineStr">
        <is>
          <t>GDPR</t>
        </is>
      </c>
      <c r="B450" t="inlineStr">
        <is>
          <t>CELEX_32022L2555_EN_TXT (GDPR - Row 17)</t>
        </is>
      </c>
      <c r="C450" t="inlineStr">
        <is>
          <t>2</t>
        </is>
      </c>
      <c r="D450" s="11" t="inlineStr">
        <is>
          <t>Waste management entities</t>
        </is>
      </c>
      <c r="E450" t="inlineStr">
        <is>
          <t>61–62</t>
        </is>
      </c>
      <c r="F450" t="inlineStr">
        <is>
          <t>None</t>
        </is>
      </c>
      <c r="G450" t="inlineStr">
        <is>
          <t>High (explicit)</t>
        </is>
      </c>
      <c r="H450" s="11" t="inlineStr"/>
      <c r="I450" s="11" t="inlineStr"/>
      <c r="J450" t="inlineStr"/>
      <c r="K450"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50" s="11" t="inlineStr"/>
      <c r="M450" s="11" t="inlineStr">
        <is>
          <t>• [Must] Undertakings carrying out waste management as defined in Article 3, point (9), of Directive 2008/98/EC
• [Must Not] Excluding undertakings for whom waste management is not their principal economic activity</t>
        </is>
      </c>
      <c r="N450"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50" s="12" t="inlineStr">
        <is>
          <t>Open PDF</t>
        </is>
      </c>
    </row>
    <row r="451">
      <c r="A451" t="inlineStr">
        <is>
          <t>GDPR</t>
        </is>
      </c>
      <c r="B451" t="inlineStr">
        <is>
          <t>CELEX_32022L2555_EN_TXT (GDPR - Row 17)</t>
        </is>
      </c>
      <c r="C451" t="inlineStr">
        <is>
          <t>2</t>
        </is>
      </c>
      <c r="D451" s="11" t="inlineStr">
        <is>
          <t>Waste management entities</t>
        </is>
      </c>
      <c r="E451" t="inlineStr">
        <is>
          <t>63–64</t>
        </is>
      </c>
      <c r="F451" t="inlineStr">
        <is>
          <t>None</t>
        </is>
      </c>
      <c r="G451" t="inlineStr">
        <is>
          <t>High (explicit)</t>
        </is>
      </c>
      <c r="H451" s="11" t="inlineStr"/>
      <c r="I451" s="11" t="inlineStr"/>
      <c r="J451" t="inlineStr"/>
      <c r="K451"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51" s="11" t="inlineStr"/>
      <c r="M451" s="11" t="inlineStr">
        <is>
          <t>• [Must] Undertakings carrying out waste management as defined in Article 3, point (9), of Directive 2008/98/EC
• [Must Not] Excluding undertakings for whom waste management is not their principal economic activity</t>
        </is>
      </c>
      <c r="N451"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51" s="12" t="inlineStr">
        <is>
          <t>Open PDF</t>
        </is>
      </c>
    </row>
    <row r="452">
      <c r="A452" t="inlineStr">
        <is>
          <t>GDPR</t>
        </is>
      </c>
      <c r="B452" t="inlineStr">
        <is>
          <t>CELEX_32022L2555_EN_TXT (GDPR - Row 17)</t>
        </is>
      </c>
      <c r="C452" t="inlineStr">
        <is>
          <t>2</t>
        </is>
      </c>
      <c r="D452" s="11" t="inlineStr">
        <is>
          <t>Waste management entities</t>
        </is>
      </c>
      <c r="E452" t="inlineStr">
        <is>
          <t>65</t>
        </is>
      </c>
      <c r="F452" t="inlineStr">
        <is>
          <t>None</t>
        </is>
      </c>
      <c r="G452" t="inlineStr">
        <is>
          <t>High (explicit)</t>
        </is>
      </c>
      <c r="H452" s="11" t="inlineStr"/>
      <c r="I452" s="11" t="inlineStr"/>
      <c r="J452" t="inlineStr"/>
      <c r="K452"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52" s="11" t="inlineStr"/>
      <c r="M452" s="11" t="inlineStr">
        <is>
          <t>• [Must] Undertakings carrying out waste management as defined in Article 3, point (9), of Directive 2008/98/EC
• [Must Not] Excluding undertakings for whom waste management is not their principal economic activity</t>
        </is>
      </c>
      <c r="N452"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52" s="12" t="inlineStr">
        <is>
          <t>Open PDF</t>
        </is>
      </c>
    </row>
    <row r="453">
      <c r="A453" t="inlineStr">
        <is>
          <t>GDPR</t>
        </is>
      </c>
      <c r="B453" t="inlineStr">
        <is>
          <t>CELEX_32022L2555_EN_TXT (GDPR - Row 17)</t>
        </is>
      </c>
      <c r="C453" t="inlineStr">
        <is>
          <t>2</t>
        </is>
      </c>
      <c r="D453" s="11" t="inlineStr">
        <is>
          <t>Waste management entities</t>
        </is>
      </c>
      <c r="E453" t="inlineStr">
        <is>
          <t>69</t>
        </is>
      </c>
      <c r="F453" t="inlineStr">
        <is>
          <t>None</t>
        </is>
      </c>
      <c r="G453" t="inlineStr">
        <is>
          <t>High (explicit)</t>
        </is>
      </c>
      <c r="H453" s="11" t="inlineStr"/>
      <c r="I453" s="11" t="inlineStr"/>
      <c r="J453" t="inlineStr"/>
      <c r="K453" s="11" t="inlineStr">
        <is>
          <t>This section identifies undertakings engaged in waste management as defined in Article 3(9) of Directive 2008/98/EC, excluding those where waste management is not their principal economic activity. These entities are subject to specific regulatory oversight under EU law.</t>
        </is>
      </c>
      <c r="L453" s="11" t="inlineStr"/>
      <c r="M453" s="11" t="inlineStr">
        <is>
          <t>• [Must] Undertakings carrying out waste management as defined in Article 3, point (9), of Directive 2008/98/EC
• [Must Not] Excluding undertakings for whom waste management is not their principal economic activity</t>
        </is>
      </c>
      <c r="N453" s="11" t="inlineStr">
        <is>
          <t>2. Waste management Undertakings carrying out waste management as defined in Article 3, point (9), of Directive 2008/98/EC of the European Parliament and of the Council (1), excluding undertakings for whom waste management is not their principal economic activity</t>
        </is>
      </c>
      <c r="O453" s="12" t="inlineStr">
        <is>
          <t>Open PDF</t>
        </is>
      </c>
    </row>
    <row r="454">
      <c r="A454" t="inlineStr">
        <is>
          <t>GDPR</t>
        </is>
      </c>
      <c r="B454" t="inlineStr">
        <is>
          <t>CELEX_32022L2555_EN_TXT (GDPR - Row 17)</t>
        </is>
      </c>
      <c r="C454" t="inlineStr">
        <is>
          <t>3</t>
        </is>
      </c>
      <c r="D454" s="11" t="inlineStr">
        <is>
          <t>Commission guidelines for cybersecurity directives</t>
        </is>
      </c>
      <c r="E454" t="inlineStr">
        <is>
          <t>31</t>
        </is>
      </c>
      <c r="F454" t="inlineStr">
        <is>
          <t>Medium</t>
        </is>
      </c>
      <c r="G454" t="inlineStr">
        <is>
          <t>Medium (merged from chunks)</t>
        </is>
      </c>
      <c r="H454" s="11" t="inlineStr">
        <is>
          <t>Cross-border Transfer, Data Storage, Security</t>
        </is>
      </c>
      <c r="I454" s="11" t="inlineStr">
        <is>
          <t>Personal Information</t>
        </is>
      </c>
      <c r="J454" t="inlineStr"/>
      <c r="K454"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4" s="11" t="inlineStr">
        <is>
          <t>These definitions help DTIAs identify which entities and services are subject to GDPR's cross-border data transfer rules, ensuring accurate assessment of data flows.</t>
        </is>
      </c>
      <c r="M454"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4"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4" s="12" t="inlineStr">
        <is>
          <t>Open PDF</t>
        </is>
      </c>
    </row>
    <row r="455">
      <c r="A455" t="inlineStr">
        <is>
          <t>GDPR</t>
        </is>
      </c>
      <c r="B455" t="inlineStr">
        <is>
          <t>CELEX_32022L2555_EN_TXT (GDPR - Row 17)</t>
        </is>
      </c>
      <c r="C455" t="inlineStr">
        <is>
          <t>3</t>
        </is>
      </c>
      <c r="D455" s="11" t="inlineStr">
        <is>
          <t>Commission guidelines for cybersecurity directives</t>
        </is>
      </c>
      <c r="E455" t="inlineStr">
        <is>
          <t>32–36</t>
        </is>
      </c>
      <c r="F455" t="inlineStr">
        <is>
          <t>Medium</t>
        </is>
      </c>
      <c r="G455" t="inlineStr">
        <is>
          <t>Medium (merged from chunks)</t>
        </is>
      </c>
      <c r="H455" s="11" t="inlineStr">
        <is>
          <t>Cross-border Transfer, Data Storage, Security</t>
        </is>
      </c>
      <c r="I455" s="11" t="inlineStr">
        <is>
          <t>Personal Information</t>
        </is>
      </c>
      <c r="J455" t="inlineStr"/>
      <c r="K455"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5" s="11" t="inlineStr">
        <is>
          <t>These definitions help DTIAs identify which entities and services are subject to GDPR's cross-border data transfer rules, ensuring accurate assessment of data flows.</t>
        </is>
      </c>
      <c r="M455"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5"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5" s="12" t="inlineStr">
        <is>
          <t>Open PDF</t>
        </is>
      </c>
    </row>
    <row r="456">
      <c r="A456" t="inlineStr">
        <is>
          <t>GDPR</t>
        </is>
      </c>
      <c r="B456" t="inlineStr">
        <is>
          <t>CELEX_32022L2555_EN_TXT (GDPR - Row 17)</t>
        </is>
      </c>
      <c r="C456" t="inlineStr">
        <is>
          <t>3</t>
        </is>
      </c>
      <c r="D456" s="11" t="inlineStr">
        <is>
          <t>Commission guidelines for cybersecurity directives</t>
        </is>
      </c>
      <c r="E456" t="inlineStr">
        <is>
          <t>37</t>
        </is>
      </c>
      <c r="F456" t="inlineStr">
        <is>
          <t>Medium</t>
        </is>
      </c>
      <c r="G456" t="inlineStr">
        <is>
          <t>Medium (merged from chunks)</t>
        </is>
      </c>
      <c r="H456" s="11" t="inlineStr">
        <is>
          <t>Cross-border Transfer, Data Storage, Security</t>
        </is>
      </c>
      <c r="I456" s="11" t="inlineStr">
        <is>
          <t>Personal Information</t>
        </is>
      </c>
      <c r="J456" t="inlineStr"/>
      <c r="K456"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6" s="11" t="inlineStr">
        <is>
          <t>These definitions help DTIAs identify which entities and services are subject to GDPR's cross-border data transfer rules, ensuring accurate assessment of data flows.</t>
        </is>
      </c>
      <c r="M456"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6"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6" s="12" t="inlineStr">
        <is>
          <t>Open PDF</t>
        </is>
      </c>
    </row>
    <row r="457">
      <c r="A457" t="inlineStr">
        <is>
          <t>GDPR</t>
        </is>
      </c>
      <c r="B457" t="inlineStr">
        <is>
          <t>CELEX_32022L2555_EN_TXT (GDPR - Row 17)</t>
        </is>
      </c>
      <c r="C457" t="inlineStr">
        <is>
          <t>3</t>
        </is>
      </c>
      <c r="D457" s="11" t="inlineStr">
        <is>
          <t>Commission guidelines for cybersecurity directives</t>
        </is>
      </c>
      <c r="E457" t="inlineStr">
        <is>
          <t>37</t>
        </is>
      </c>
      <c r="F457" t="inlineStr">
        <is>
          <t>Medium</t>
        </is>
      </c>
      <c r="G457" t="inlineStr">
        <is>
          <t>Medium (merged from chunks)</t>
        </is>
      </c>
      <c r="H457" s="11" t="inlineStr">
        <is>
          <t>Cross-border Transfer, Data Storage, Security</t>
        </is>
      </c>
      <c r="I457" s="11" t="inlineStr">
        <is>
          <t>Personal Information</t>
        </is>
      </c>
      <c r="J457" t="inlineStr"/>
      <c r="K457"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7" s="11" t="inlineStr">
        <is>
          <t>These definitions help DTIAs identify which entities and services are subject to GDPR's cross-border data transfer rules, ensuring accurate assessment of data flows.</t>
        </is>
      </c>
      <c r="M457"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7"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7" s="12" t="inlineStr">
        <is>
          <t>Open PDF</t>
        </is>
      </c>
    </row>
    <row r="458">
      <c r="A458" t="inlineStr">
        <is>
          <t>GDPR</t>
        </is>
      </c>
      <c r="B458" t="inlineStr">
        <is>
          <t>CELEX_32022L2555_EN_TXT (GDPR - Row 17)</t>
        </is>
      </c>
      <c r="C458" t="inlineStr">
        <is>
          <t>3</t>
        </is>
      </c>
      <c r="D458" s="11" t="inlineStr">
        <is>
          <t>Commission guidelines for cybersecurity directives</t>
        </is>
      </c>
      <c r="E458" t="inlineStr">
        <is>
          <t>38</t>
        </is>
      </c>
      <c r="F458" t="inlineStr">
        <is>
          <t>Medium</t>
        </is>
      </c>
      <c r="G458" t="inlineStr">
        <is>
          <t>Medium (merged from chunks)</t>
        </is>
      </c>
      <c r="H458" s="11" t="inlineStr">
        <is>
          <t>Cross-border Transfer, Data Storage, Security</t>
        </is>
      </c>
      <c r="I458" s="11" t="inlineStr">
        <is>
          <t>Personal Information</t>
        </is>
      </c>
      <c r="J458" t="inlineStr"/>
      <c r="K458"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8" s="11" t="inlineStr">
        <is>
          <t>These definitions help DTIAs identify which entities and services are subject to GDPR's cross-border data transfer rules, ensuring accurate assessment of data flows.</t>
        </is>
      </c>
      <c r="M458"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8"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8" s="12" t="inlineStr">
        <is>
          <t>Open PDF</t>
        </is>
      </c>
    </row>
    <row r="459">
      <c r="A459" t="inlineStr">
        <is>
          <t>GDPR</t>
        </is>
      </c>
      <c r="B459" t="inlineStr">
        <is>
          <t>CELEX_32022L2555_EN_TXT (GDPR - Row 17)</t>
        </is>
      </c>
      <c r="C459" t="inlineStr">
        <is>
          <t>3</t>
        </is>
      </c>
      <c r="D459" s="11" t="inlineStr">
        <is>
          <t>Commission guidelines for cybersecurity directives</t>
        </is>
      </c>
      <c r="E459" t="inlineStr">
        <is>
          <t>39–40</t>
        </is>
      </c>
      <c r="F459" t="inlineStr">
        <is>
          <t>Medium</t>
        </is>
      </c>
      <c r="G459" t="inlineStr">
        <is>
          <t>Medium (merged from chunks)</t>
        </is>
      </c>
      <c r="H459" s="11" t="inlineStr">
        <is>
          <t>Cross-border Transfer, Data Storage, Security</t>
        </is>
      </c>
      <c r="I459" s="11" t="inlineStr">
        <is>
          <t>Personal Information</t>
        </is>
      </c>
      <c r="J459" t="inlineStr"/>
      <c r="K459"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59" s="11" t="inlineStr">
        <is>
          <t>These definitions help DTIAs identify which entities and services are subject to GDPR's cross-border data transfer rules, ensuring accurate assessment of data flows.</t>
        </is>
      </c>
      <c r="M459"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59"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59" s="12" t="inlineStr">
        <is>
          <t>Open PDF</t>
        </is>
      </c>
    </row>
    <row r="460">
      <c r="A460" t="inlineStr">
        <is>
          <t>GDPR</t>
        </is>
      </c>
      <c r="B460" t="inlineStr">
        <is>
          <t>CELEX_32022L2555_EN_TXT (GDPR - Row 17)</t>
        </is>
      </c>
      <c r="C460" t="inlineStr">
        <is>
          <t>3</t>
        </is>
      </c>
      <c r="D460" s="11" t="inlineStr">
        <is>
          <t>Commission guidelines for cybersecurity directives</t>
        </is>
      </c>
      <c r="E460" t="inlineStr">
        <is>
          <t>41</t>
        </is>
      </c>
      <c r="F460" t="inlineStr">
        <is>
          <t>Medium</t>
        </is>
      </c>
      <c r="G460" t="inlineStr">
        <is>
          <t>Medium (merged from chunks)</t>
        </is>
      </c>
      <c r="H460" s="11" t="inlineStr">
        <is>
          <t>Cross-border Transfer, Data Storage, Security</t>
        </is>
      </c>
      <c r="I460" s="11" t="inlineStr">
        <is>
          <t>Personal Information</t>
        </is>
      </c>
      <c r="J460" t="inlineStr"/>
      <c r="K460"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0" s="11" t="inlineStr">
        <is>
          <t>These definitions help DTIAs identify which entities and services are subject to GDPR's cross-border data transfer rules, ensuring accurate assessment of data flows.</t>
        </is>
      </c>
      <c r="M460"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0"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0" s="12" t="inlineStr">
        <is>
          <t>Open PDF</t>
        </is>
      </c>
    </row>
    <row r="461">
      <c r="A461" t="inlineStr">
        <is>
          <t>GDPR</t>
        </is>
      </c>
      <c r="B461" t="inlineStr">
        <is>
          <t>CELEX_32022L2555_EN_TXT (GDPR - Row 17)</t>
        </is>
      </c>
      <c r="C461" t="inlineStr">
        <is>
          <t>3</t>
        </is>
      </c>
      <c r="D461" s="11" t="inlineStr">
        <is>
          <t>Commission guidelines for cybersecurity directives</t>
        </is>
      </c>
      <c r="E461" t="inlineStr">
        <is>
          <t>42</t>
        </is>
      </c>
      <c r="F461" t="inlineStr">
        <is>
          <t>Medium</t>
        </is>
      </c>
      <c r="G461" t="inlineStr">
        <is>
          <t>Medium (merged from chunks)</t>
        </is>
      </c>
      <c r="H461" s="11" t="inlineStr">
        <is>
          <t>Cross-border Transfer, Data Storage, Security</t>
        </is>
      </c>
      <c r="I461" s="11" t="inlineStr">
        <is>
          <t>Personal Information</t>
        </is>
      </c>
      <c r="J461" t="inlineStr"/>
      <c r="K461"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1" s="11" t="inlineStr">
        <is>
          <t>These definitions help DTIAs identify which entities and services are subject to GDPR's cross-border data transfer rules, ensuring accurate assessment of data flows.</t>
        </is>
      </c>
      <c r="M461"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1"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1" s="12" t="inlineStr">
        <is>
          <t>Open PDF</t>
        </is>
      </c>
    </row>
    <row r="462">
      <c r="A462" t="inlineStr">
        <is>
          <t>GDPR</t>
        </is>
      </c>
      <c r="B462" t="inlineStr">
        <is>
          <t>CELEX_32022L2555_EN_TXT (GDPR - Row 17)</t>
        </is>
      </c>
      <c r="C462" t="inlineStr">
        <is>
          <t>3</t>
        </is>
      </c>
      <c r="D462" s="11" t="inlineStr">
        <is>
          <t>Commission guidelines for cybersecurity directives</t>
        </is>
      </c>
      <c r="E462" t="inlineStr">
        <is>
          <t>44</t>
        </is>
      </c>
      <c r="F462" t="inlineStr">
        <is>
          <t>Medium</t>
        </is>
      </c>
      <c r="G462" t="inlineStr">
        <is>
          <t>Medium (merged from chunks)</t>
        </is>
      </c>
      <c r="H462" s="11" t="inlineStr">
        <is>
          <t>Cross-border Transfer, Data Storage, Security</t>
        </is>
      </c>
      <c r="I462" s="11" t="inlineStr">
        <is>
          <t>Personal Information</t>
        </is>
      </c>
      <c r="J462" t="inlineStr"/>
      <c r="K462"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2" s="11" t="inlineStr">
        <is>
          <t>These definitions help DTIAs identify which entities and services are subject to GDPR's cross-border data transfer rules, ensuring accurate assessment of data flows.</t>
        </is>
      </c>
      <c r="M462"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2"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2" s="12" t="inlineStr">
        <is>
          <t>Open PDF</t>
        </is>
      </c>
    </row>
    <row r="463">
      <c r="A463" t="inlineStr">
        <is>
          <t>GDPR</t>
        </is>
      </c>
      <c r="B463" t="inlineStr">
        <is>
          <t>CELEX_32022L2555_EN_TXT (GDPR - Row 17)</t>
        </is>
      </c>
      <c r="C463" t="inlineStr">
        <is>
          <t>3</t>
        </is>
      </c>
      <c r="D463" s="11" t="inlineStr">
        <is>
          <t>Commission guidelines for cybersecurity directives</t>
        </is>
      </c>
      <c r="E463" t="inlineStr">
        <is>
          <t>45</t>
        </is>
      </c>
      <c r="F463" t="inlineStr">
        <is>
          <t>Medium</t>
        </is>
      </c>
      <c r="G463" t="inlineStr">
        <is>
          <t>Medium (merged from chunks)</t>
        </is>
      </c>
      <c r="H463" s="11" t="inlineStr">
        <is>
          <t>Cross-border Transfer, Data Storage, Security</t>
        </is>
      </c>
      <c r="I463" s="11" t="inlineStr">
        <is>
          <t>Personal Information</t>
        </is>
      </c>
      <c r="J463" t="inlineStr"/>
      <c r="K463"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3" s="11" t="inlineStr">
        <is>
          <t>These definitions help DTIAs identify which entities and services are subject to GDPR's cross-border data transfer rules, ensuring accurate assessment of data flows.</t>
        </is>
      </c>
      <c r="M463"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3"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3" s="12" t="inlineStr">
        <is>
          <t>Open PDF</t>
        </is>
      </c>
    </row>
    <row r="464">
      <c r="A464" t="inlineStr">
        <is>
          <t>GDPR</t>
        </is>
      </c>
      <c r="B464" t="inlineStr">
        <is>
          <t>CELEX_32022L2555_EN_TXT (GDPR - Row 17)</t>
        </is>
      </c>
      <c r="C464" t="inlineStr">
        <is>
          <t>3</t>
        </is>
      </c>
      <c r="D464" s="11" t="inlineStr">
        <is>
          <t>Commission guidelines for cybersecurity directives</t>
        </is>
      </c>
      <c r="E464" t="inlineStr">
        <is>
          <t>46</t>
        </is>
      </c>
      <c r="F464" t="inlineStr">
        <is>
          <t>Medium</t>
        </is>
      </c>
      <c r="G464" t="inlineStr">
        <is>
          <t>Medium (merged from chunks)</t>
        </is>
      </c>
      <c r="H464" s="11" t="inlineStr">
        <is>
          <t>Cross-border Transfer, Data Storage, Security</t>
        </is>
      </c>
      <c r="I464" s="11" t="inlineStr">
        <is>
          <t>Personal Information</t>
        </is>
      </c>
      <c r="J464" t="inlineStr"/>
      <c r="K464"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4" s="11" t="inlineStr">
        <is>
          <t>These definitions help DTIAs identify which entities and services are subject to GDPR's cross-border data transfer rules, ensuring accurate assessment of data flows.</t>
        </is>
      </c>
      <c r="M464"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4"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4" s="12" t="inlineStr">
        <is>
          <t>Open PDF</t>
        </is>
      </c>
    </row>
    <row r="465">
      <c r="A465" t="inlineStr">
        <is>
          <t>GDPR</t>
        </is>
      </c>
      <c r="B465" t="inlineStr">
        <is>
          <t>CELEX_32022L2555_EN_TXT (GDPR - Row 17)</t>
        </is>
      </c>
      <c r="C465" t="inlineStr">
        <is>
          <t>3</t>
        </is>
      </c>
      <c r="D465" s="11" t="inlineStr">
        <is>
          <t>Commission guidelines for cybersecurity directives</t>
        </is>
      </c>
      <c r="E465" t="inlineStr">
        <is>
          <t>48</t>
        </is>
      </c>
      <c r="F465" t="inlineStr">
        <is>
          <t>Medium</t>
        </is>
      </c>
      <c r="G465" t="inlineStr">
        <is>
          <t>Medium (merged from chunks)</t>
        </is>
      </c>
      <c r="H465" s="11" t="inlineStr">
        <is>
          <t>Cross-border Transfer, Data Storage, Security</t>
        </is>
      </c>
      <c r="I465" s="11" t="inlineStr">
        <is>
          <t>Personal Information</t>
        </is>
      </c>
      <c r="J465" t="inlineStr"/>
      <c r="K465"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5" s="11" t="inlineStr">
        <is>
          <t>These definitions help DTIAs identify which entities and services are subject to GDPR's cross-border data transfer rules, ensuring accurate assessment of data flows.</t>
        </is>
      </c>
      <c r="M465"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5"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5" s="12" t="inlineStr">
        <is>
          <t>Open PDF</t>
        </is>
      </c>
    </row>
    <row r="466">
      <c r="A466" t="inlineStr">
        <is>
          <t>GDPR</t>
        </is>
      </c>
      <c r="B466" t="inlineStr">
        <is>
          <t>CELEX_32022L2555_EN_TXT (GDPR - Row 17)</t>
        </is>
      </c>
      <c r="C466" t="inlineStr">
        <is>
          <t>3</t>
        </is>
      </c>
      <c r="D466" s="11" t="inlineStr">
        <is>
          <t>Commission guidelines for cybersecurity directives</t>
        </is>
      </c>
      <c r="E466" t="inlineStr">
        <is>
          <t>50</t>
        </is>
      </c>
      <c r="F466" t="inlineStr">
        <is>
          <t>Medium</t>
        </is>
      </c>
      <c r="G466" t="inlineStr">
        <is>
          <t>Medium (merged from chunks)</t>
        </is>
      </c>
      <c r="H466" s="11" t="inlineStr">
        <is>
          <t>Cross-border Transfer, Data Storage, Security</t>
        </is>
      </c>
      <c r="I466" s="11" t="inlineStr">
        <is>
          <t>Personal Information</t>
        </is>
      </c>
      <c r="J466" t="inlineStr"/>
      <c r="K466"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6" s="11" t="inlineStr">
        <is>
          <t>These definitions help DTIAs identify which entities and services are subject to GDPR's cross-border data transfer rules, ensuring accurate assessment of data flows.</t>
        </is>
      </c>
      <c r="M466"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6"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6" s="12" t="inlineStr">
        <is>
          <t>Open PDF</t>
        </is>
      </c>
    </row>
    <row r="467">
      <c r="A467" t="inlineStr">
        <is>
          <t>GDPR</t>
        </is>
      </c>
      <c r="B467" t="inlineStr">
        <is>
          <t>CELEX_32022L2555_EN_TXT (GDPR - Row 17)</t>
        </is>
      </c>
      <c r="C467" t="inlineStr">
        <is>
          <t>3</t>
        </is>
      </c>
      <c r="D467" s="11" t="inlineStr">
        <is>
          <t>Commission guidelines for cybersecurity directives</t>
        </is>
      </c>
      <c r="E467" t="inlineStr">
        <is>
          <t>52</t>
        </is>
      </c>
      <c r="F467" t="inlineStr">
        <is>
          <t>Medium</t>
        </is>
      </c>
      <c r="G467" t="inlineStr">
        <is>
          <t>Medium (merged from chunks)</t>
        </is>
      </c>
      <c r="H467" s="11" t="inlineStr">
        <is>
          <t>Cross-border Transfer, Data Storage, Security</t>
        </is>
      </c>
      <c r="I467" s="11" t="inlineStr">
        <is>
          <t>Personal Information</t>
        </is>
      </c>
      <c r="J467" t="inlineStr"/>
      <c r="K467"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7" s="11" t="inlineStr">
        <is>
          <t>These definitions help DTIAs identify which entities and services are subject to GDPR's cross-border data transfer rules, ensuring accurate assessment of data flows.</t>
        </is>
      </c>
      <c r="M467"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7"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7" s="12" t="inlineStr">
        <is>
          <t>Open PDF</t>
        </is>
      </c>
    </row>
    <row r="468">
      <c r="A468" t="inlineStr">
        <is>
          <t>GDPR</t>
        </is>
      </c>
      <c r="B468" t="inlineStr">
        <is>
          <t>CELEX_32022L2555_EN_TXT (GDPR - Row 17)</t>
        </is>
      </c>
      <c r="C468" t="inlineStr">
        <is>
          <t>3</t>
        </is>
      </c>
      <c r="D468" s="11" t="inlineStr">
        <is>
          <t>Commission guidelines for cybersecurity directives</t>
        </is>
      </c>
      <c r="E468" t="inlineStr">
        <is>
          <t>52</t>
        </is>
      </c>
      <c r="F468" t="inlineStr">
        <is>
          <t>Medium</t>
        </is>
      </c>
      <c r="G468" t="inlineStr">
        <is>
          <t>Medium (merged from chunks)</t>
        </is>
      </c>
      <c r="H468" s="11" t="inlineStr">
        <is>
          <t>Cross-border Transfer, Data Storage, Security</t>
        </is>
      </c>
      <c r="I468" s="11" t="inlineStr">
        <is>
          <t>Personal Information</t>
        </is>
      </c>
      <c r="J468" t="inlineStr"/>
      <c r="K468"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8" s="11" t="inlineStr">
        <is>
          <t>These definitions help DTIAs identify which entities and services are subject to GDPR's cross-border data transfer rules, ensuring accurate assessment of data flows.</t>
        </is>
      </c>
      <c r="M468"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8"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8" s="12" t="inlineStr">
        <is>
          <t>Open PDF</t>
        </is>
      </c>
    </row>
    <row r="469">
      <c r="A469" t="inlineStr">
        <is>
          <t>GDPR</t>
        </is>
      </c>
      <c r="B469" t="inlineStr">
        <is>
          <t>CELEX_32022L2555_EN_TXT (GDPR - Row 17)</t>
        </is>
      </c>
      <c r="C469" t="inlineStr">
        <is>
          <t>3</t>
        </is>
      </c>
      <c r="D469" s="11" t="inlineStr">
        <is>
          <t>Commission guidelines for cybersecurity directives</t>
        </is>
      </c>
      <c r="E469" t="inlineStr">
        <is>
          <t>53</t>
        </is>
      </c>
      <c r="F469" t="inlineStr">
        <is>
          <t>Medium</t>
        </is>
      </c>
      <c r="G469" t="inlineStr">
        <is>
          <t>Medium (merged from chunks)</t>
        </is>
      </c>
      <c r="H469" s="11" t="inlineStr">
        <is>
          <t>Cross-border Transfer, Data Storage, Security</t>
        </is>
      </c>
      <c r="I469" s="11" t="inlineStr">
        <is>
          <t>Personal Information</t>
        </is>
      </c>
      <c r="J469" t="inlineStr"/>
      <c r="K469"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69" s="11" t="inlineStr">
        <is>
          <t>These definitions help DTIAs identify which entities and services are subject to GDPR's cross-border data transfer rules, ensuring accurate assessment of data flows.</t>
        </is>
      </c>
      <c r="M469"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69"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69" s="12" t="inlineStr">
        <is>
          <t>Open PDF</t>
        </is>
      </c>
    </row>
    <row r="470">
      <c r="A470" t="inlineStr">
        <is>
          <t>GDPR</t>
        </is>
      </c>
      <c r="B470" t="inlineStr">
        <is>
          <t>CELEX_32022L2555_EN_TXT (GDPR - Row 17)</t>
        </is>
      </c>
      <c r="C470" t="inlineStr">
        <is>
          <t>3</t>
        </is>
      </c>
      <c r="D470" s="11" t="inlineStr">
        <is>
          <t>Commission guidelines for cybersecurity directives</t>
        </is>
      </c>
      <c r="E470" t="inlineStr">
        <is>
          <t>54</t>
        </is>
      </c>
      <c r="F470" t="inlineStr">
        <is>
          <t>Medium</t>
        </is>
      </c>
      <c r="G470" t="inlineStr">
        <is>
          <t>Medium (merged from chunks)</t>
        </is>
      </c>
      <c r="H470" s="11" t="inlineStr">
        <is>
          <t>Cross-border Transfer, Data Storage, Security</t>
        </is>
      </c>
      <c r="I470" s="11" t="inlineStr">
        <is>
          <t>Personal Information</t>
        </is>
      </c>
      <c r="J470" t="inlineStr"/>
      <c r="K470"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0" s="11" t="inlineStr">
        <is>
          <t>These definitions help DTIAs identify which entities and services are subject to GDPR's cross-border data transfer rules, ensuring accurate assessment of data flows.</t>
        </is>
      </c>
      <c r="M470"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0"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0" s="12" t="inlineStr">
        <is>
          <t>Open PDF</t>
        </is>
      </c>
    </row>
    <row r="471">
      <c r="A471" t="inlineStr">
        <is>
          <t>GDPR</t>
        </is>
      </c>
      <c r="B471" t="inlineStr">
        <is>
          <t>CELEX_32022L2555_EN_TXT (GDPR - Row 17)</t>
        </is>
      </c>
      <c r="C471" t="inlineStr">
        <is>
          <t>3</t>
        </is>
      </c>
      <c r="D471" s="11" t="inlineStr">
        <is>
          <t>Commission guidelines for cybersecurity directives</t>
        </is>
      </c>
      <c r="E471" t="inlineStr">
        <is>
          <t>55</t>
        </is>
      </c>
      <c r="F471" t="inlineStr">
        <is>
          <t>Medium</t>
        </is>
      </c>
      <c r="G471" t="inlineStr">
        <is>
          <t>Medium (merged from chunks)</t>
        </is>
      </c>
      <c r="H471" s="11" t="inlineStr">
        <is>
          <t>Cross-border Transfer, Data Storage, Security</t>
        </is>
      </c>
      <c r="I471" s="11" t="inlineStr">
        <is>
          <t>Personal Information</t>
        </is>
      </c>
      <c r="J471" t="inlineStr"/>
      <c r="K471"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1" s="11" t="inlineStr">
        <is>
          <t>These definitions help DTIAs identify which entities and services are subject to GDPR's cross-border data transfer rules, ensuring accurate assessment of data flows.</t>
        </is>
      </c>
      <c r="M471"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1"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1" s="12" t="inlineStr">
        <is>
          <t>Open PDF</t>
        </is>
      </c>
    </row>
    <row r="472">
      <c r="A472" t="inlineStr">
        <is>
          <t>GDPR</t>
        </is>
      </c>
      <c r="B472" t="inlineStr">
        <is>
          <t>CELEX_32022L2555_EN_TXT (GDPR - Row 17)</t>
        </is>
      </c>
      <c r="C472" t="inlineStr">
        <is>
          <t>3</t>
        </is>
      </c>
      <c r="D472" s="11" t="inlineStr">
        <is>
          <t>Commission guidelines for cybersecurity directives</t>
        </is>
      </c>
      <c r="E472" t="inlineStr">
        <is>
          <t>56</t>
        </is>
      </c>
      <c r="F472" t="inlineStr">
        <is>
          <t>Medium</t>
        </is>
      </c>
      <c r="G472" t="inlineStr">
        <is>
          <t>Medium (merged from chunks)</t>
        </is>
      </c>
      <c r="H472" s="11" t="inlineStr">
        <is>
          <t>Cross-border Transfer, Data Storage, Security</t>
        </is>
      </c>
      <c r="I472" s="11" t="inlineStr">
        <is>
          <t>Personal Information</t>
        </is>
      </c>
      <c r="J472" t="inlineStr"/>
      <c r="K472"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2" s="11" t="inlineStr">
        <is>
          <t>These definitions help DTIAs identify which entities and services are subject to GDPR's cross-border data transfer rules, ensuring accurate assessment of data flows.</t>
        </is>
      </c>
      <c r="M472"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2"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2" s="12" t="inlineStr">
        <is>
          <t>Open PDF</t>
        </is>
      </c>
    </row>
    <row r="473">
      <c r="A473" t="inlineStr">
        <is>
          <t>GDPR</t>
        </is>
      </c>
      <c r="B473" t="inlineStr">
        <is>
          <t>CELEX_32022L2555_EN_TXT (GDPR - Row 17)</t>
        </is>
      </c>
      <c r="C473" t="inlineStr">
        <is>
          <t>3</t>
        </is>
      </c>
      <c r="D473" s="11" t="inlineStr">
        <is>
          <t>Commission guidelines for cybersecurity directives</t>
        </is>
      </c>
      <c r="E473" t="inlineStr">
        <is>
          <t>60</t>
        </is>
      </c>
      <c r="F473" t="inlineStr">
        <is>
          <t>Medium</t>
        </is>
      </c>
      <c r="G473" t="inlineStr">
        <is>
          <t>Medium (merged from chunks)</t>
        </is>
      </c>
      <c r="H473" s="11" t="inlineStr">
        <is>
          <t>Cross-border Transfer, Data Storage, Security</t>
        </is>
      </c>
      <c r="I473" s="11" t="inlineStr">
        <is>
          <t>Personal Information</t>
        </is>
      </c>
      <c r="J473" t="inlineStr"/>
      <c r="K473"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3" s="11" t="inlineStr">
        <is>
          <t>These definitions help DTIAs identify which entities and services are subject to GDPR's cross-border data transfer rules, ensuring accurate assessment of data flows.</t>
        </is>
      </c>
      <c r="M473"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3"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3" s="12" t="inlineStr">
        <is>
          <t>Open PDF</t>
        </is>
      </c>
    </row>
    <row r="474">
      <c r="A474" t="inlineStr">
        <is>
          <t>GDPR</t>
        </is>
      </c>
      <c r="B474" t="inlineStr">
        <is>
          <t>CELEX_32022L2555_EN_TXT (GDPR - Row 17)</t>
        </is>
      </c>
      <c r="C474" t="inlineStr">
        <is>
          <t>3</t>
        </is>
      </c>
      <c r="D474" s="11" t="inlineStr">
        <is>
          <t>Commission guidelines for cybersecurity directives</t>
        </is>
      </c>
      <c r="E474" t="inlineStr">
        <is>
          <t>61</t>
        </is>
      </c>
      <c r="F474" t="inlineStr">
        <is>
          <t>Medium</t>
        </is>
      </c>
      <c r="G474" t="inlineStr">
        <is>
          <t>Medium (merged from chunks)</t>
        </is>
      </c>
      <c r="H474" s="11" t="inlineStr">
        <is>
          <t>Cross-border Transfer, Data Storage, Security</t>
        </is>
      </c>
      <c r="I474" s="11" t="inlineStr">
        <is>
          <t>Personal Information</t>
        </is>
      </c>
      <c r="J474" t="inlineStr"/>
      <c r="K474"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4" s="11" t="inlineStr">
        <is>
          <t>These definitions help DTIAs identify which entities and services are subject to GDPR's cross-border data transfer rules, ensuring accurate assessment of data flows.</t>
        </is>
      </c>
      <c r="M474"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4"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4" s="12" t="inlineStr">
        <is>
          <t>Open PDF</t>
        </is>
      </c>
    </row>
    <row r="475">
      <c r="A475" t="inlineStr">
        <is>
          <t>GDPR</t>
        </is>
      </c>
      <c r="B475" t="inlineStr">
        <is>
          <t>CELEX_32022L2555_EN_TXT (GDPR - Row 17)</t>
        </is>
      </c>
      <c r="C475" t="inlineStr">
        <is>
          <t>3</t>
        </is>
      </c>
      <c r="D475" s="11" t="inlineStr">
        <is>
          <t>Commission guidelines for cybersecurity directives</t>
        </is>
      </c>
      <c r="E475" t="inlineStr">
        <is>
          <t>62</t>
        </is>
      </c>
      <c r="F475" t="inlineStr">
        <is>
          <t>Medium</t>
        </is>
      </c>
      <c r="G475" t="inlineStr">
        <is>
          <t>Medium (merged from chunks)</t>
        </is>
      </c>
      <c r="H475" s="11" t="inlineStr">
        <is>
          <t>Cross-border Transfer, Data Storage, Security</t>
        </is>
      </c>
      <c r="I475" s="11" t="inlineStr">
        <is>
          <t>Personal Information</t>
        </is>
      </c>
      <c r="J475" t="inlineStr"/>
      <c r="K475"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5" s="11" t="inlineStr">
        <is>
          <t>These definitions help DTIAs identify which entities and services are subject to GDPR's cross-border data transfer rules, ensuring accurate assessment of data flows.</t>
        </is>
      </c>
      <c r="M475"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5"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5" s="12" t="inlineStr">
        <is>
          <t>Open PDF</t>
        </is>
      </c>
    </row>
    <row r="476">
      <c r="A476" t="inlineStr">
        <is>
          <t>GDPR</t>
        </is>
      </c>
      <c r="B476" t="inlineStr">
        <is>
          <t>CELEX_32022L2555_EN_TXT (GDPR - Row 17)</t>
        </is>
      </c>
      <c r="C476" t="inlineStr">
        <is>
          <t>3</t>
        </is>
      </c>
      <c r="D476" s="11" t="inlineStr">
        <is>
          <t>Commission guidelines for cybersecurity directives</t>
        </is>
      </c>
      <c r="E476" t="inlineStr">
        <is>
          <t>62–63</t>
        </is>
      </c>
      <c r="F476" t="inlineStr">
        <is>
          <t>Medium</t>
        </is>
      </c>
      <c r="G476" t="inlineStr">
        <is>
          <t>Medium (merged from chunks)</t>
        </is>
      </c>
      <c r="H476" s="11" t="inlineStr">
        <is>
          <t>Cross-border Transfer, Data Storage, Security</t>
        </is>
      </c>
      <c r="I476" s="11" t="inlineStr">
        <is>
          <t>Personal Information</t>
        </is>
      </c>
      <c r="J476" t="inlineStr"/>
      <c r="K476"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6" s="11" t="inlineStr">
        <is>
          <t>These definitions help DTIAs identify which entities and services are subject to GDPR's cross-border data transfer rules, ensuring accurate assessment of data flows.</t>
        </is>
      </c>
      <c r="M476"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6"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6" s="12" t="inlineStr">
        <is>
          <t>Open PDF</t>
        </is>
      </c>
    </row>
    <row r="477">
      <c r="A477" t="inlineStr">
        <is>
          <t>GDPR</t>
        </is>
      </c>
      <c r="B477" t="inlineStr">
        <is>
          <t>CELEX_32022L2555_EN_TXT (GDPR - Row 17)</t>
        </is>
      </c>
      <c r="C477" t="inlineStr">
        <is>
          <t>3</t>
        </is>
      </c>
      <c r="D477" s="11" t="inlineStr">
        <is>
          <t>Commission guidelines for cybersecurity directives</t>
        </is>
      </c>
      <c r="E477" t="inlineStr">
        <is>
          <t>69</t>
        </is>
      </c>
      <c r="F477" t="inlineStr">
        <is>
          <t>Medium</t>
        </is>
      </c>
      <c r="G477" t="inlineStr">
        <is>
          <t>Medium (merged from chunks)</t>
        </is>
      </c>
      <c r="H477" s="11" t="inlineStr">
        <is>
          <t>Cross-border Transfer, Data Storage, Security</t>
        </is>
      </c>
      <c r="I477" s="11" t="inlineStr">
        <is>
          <t>Personal Information</t>
        </is>
      </c>
      <c r="J477" t="inlineStr"/>
      <c r="K477" s="11" t="inlineStr">
        <is>
          <t>The Commission must issue guidelines by July 17, 2023, to clarify the application of paragraphs 1 and 2 of the directive. These guidelines must be reviewed regularly and incorporate observations from the Cooperation Group and ENISA. This section defines specific terms used in the GDPR context, including entities, managed service providers, and research organisations. These definitions clarify the scope of data subjects and processors involved in cross-border data transfers. The definitions are critical for determining which entities fall under GDPR applicability.</t>
        </is>
      </c>
      <c r="L477" s="11" t="inlineStr">
        <is>
          <t>These definitions help DTIAs identify which entities and services are subject to GDPR's cross-border data transfer rules, ensuring accurate assessment of data flows.</t>
        </is>
      </c>
      <c r="M477" s="11" t="inlineStr">
        <is>
          <t>• [Must] The Commission shall, by 17 July 2023, provide guidelines clarifying the application of paragraphs 1 and 2
• [Must] The Commission shall review those guidelines on a regular basis
• [Must] When preparing those guidelines, the Commission shall take into account any observations of the Cooperation Group and ENISA</t>
        </is>
      </c>
      <c r="N477" s="11" t="inlineStr">
        <is>
          <t>The Commission shall, by 17 July 2023, provide guidelines clarifying the application of paragraphs 1 and 2. The Commission shall review those guidelines on a regular basis. When preparing those guidelines, the Commission shall take into account any observations of the Cooperation Group and ENISA.</t>
        </is>
      </c>
      <c r="O477" s="12" t="inlineStr">
        <is>
          <t>Open PDF</t>
        </is>
      </c>
    </row>
    <row r="478">
      <c r="A478" t="inlineStr">
        <is>
          <t>GDPR</t>
        </is>
      </c>
      <c r="B478" t="inlineStr">
        <is>
          <t>CELEX_32022L2555_EN_TXT (GDPR - Row 17)</t>
        </is>
      </c>
      <c r="C478" t="inlineStr">
        <is>
          <t>3 (part 2)</t>
        </is>
      </c>
      <c r="D478" s="11" t="inlineStr">
        <is>
          <t>Commission guidelines for cybersecurity equivalence assessment</t>
        </is>
      </c>
      <c r="E478" t="inlineStr">
        <is>
          <t>36</t>
        </is>
      </c>
      <c r="F478" t="inlineStr">
        <is>
          <t>High</t>
        </is>
      </c>
      <c r="G478" t="inlineStr">
        <is>
          <t>High (explicit)</t>
        </is>
      </c>
      <c r="H478" s="11" t="inlineStr">
        <is>
          <t>Security, Incident Reporting, Cross-border Transfer</t>
        </is>
      </c>
      <c r="I478" s="11" t="inlineStr">
        <is>
          <t>Personal Information</t>
        </is>
      </c>
      <c r="J478" t="inlineStr">
        <is>
          <t>European Commission</t>
        </is>
      </c>
      <c r="K478" s="11" t="inlineStr">
        <is>
          <t>The European Commission must issue guidelines by July 17, 2023, to clarify how sector-specific cybersecurity requirements are assessed for equivalence with GDPR obligations, ensuring consistent application across Member States.</t>
        </is>
      </c>
      <c r="L478" s="11" t="inlineStr">
        <is>
          <t>Provides a timeline for clarifying equivalence standards, critical for organizations to determine if their sector-specific cybersecurity measures meet GDPR requirements for cross-border data transfers.</t>
        </is>
      </c>
      <c r="M478" s="11" t="inlineStr">
        <is>
          <t>• [Must] The Commission shall, by 17 July 2023, provide guidelines clarifying the application of paragraphs 1 and 2</t>
        </is>
      </c>
      <c r="N478" s="11" t="inlineStr">
        <is>
          <t>The Commission shall, by 17 July 2023, provide guidelines clarifying the application of paragraphs 1 and 2.</t>
        </is>
      </c>
      <c r="O478" s="12" t="inlineStr">
        <is>
          <t>Open PDF</t>
        </is>
      </c>
    </row>
    <row r="479">
      <c r="A479" t="inlineStr">
        <is>
          <t>GDPR</t>
        </is>
      </c>
      <c r="B479" t="inlineStr">
        <is>
          <t>CELEX_32022L2555_EN_TXT (GDPR - Row 17)</t>
        </is>
      </c>
      <c r="C479" t="inlineStr">
        <is>
          <t>4</t>
        </is>
      </c>
      <c r="D479" s="11" t="inlineStr">
        <is>
          <t>Food production and distribution businesses</t>
        </is>
      </c>
      <c r="E479" t="inlineStr">
        <is>
          <t>31–32</t>
        </is>
      </c>
      <c r="F479" t="inlineStr">
        <is>
          <t>None</t>
        </is>
      </c>
      <c r="G479" t="inlineStr">
        <is>
          <t>High (explicit)</t>
        </is>
      </c>
      <c r="H479" s="11" t="inlineStr">
        <is>
          <t>Cross-border Transfer, International Processing, Data Storage, Security</t>
        </is>
      </c>
      <c r="I479" s="11" t="inlineStr">
        <is>
          <t>Special Personal Information</t>
        </is>
      </c>
      <c r="J479" t="inlineStr"/>
      <c r="K479" s="11" t="inlineStr">
        <is>
          <t>This section defines food businesses engaged in wholesale distribution and industrial production and processing as per Regulation (EC) No 178/2002. These entities are subject to specific food safety and regulatory oversight mechanisms.</t>
        </is>
      </c>
      <c r="L479" s="11" t="inlineStr"/>
      <c r="M479" s="11" t="inlineStr">
        <is>
          <t>• [Must] Food businesses as defined in Article 3, point (2), of Regulation (EC) No 178/2002
• [Must] Engaged in wholesale distribution and industrial production and processing</t>
        </is>
      </c>
      <c r="N479"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79" s="12" t="inlineStr">
        <is>
          <t>Open PDF</t>
        </is>
      </c>
    </row>
    <row r="480">
      <c r="A480" t="inlineStr">
        <is>
          <t>GDPR</t>
        </is>
      </c>
      <c r="B480" t="inlineStr">
        <is>
          <t>CELEX_32022L2555_EN_TXT (GDPR - Row 17)</t>
        </is>
      </c>
      <c r="C480" t="inlineStr">
        <is>
          <t>4</t>
        </is>
      </c>
      <c r="D480" s="11" t="inlineStr">
        <is>
          <t>Food production and distribution businesses</t>
        </is>
      </c>
      <c r="E480" t="inlineStr">
        <is>
          <t>37</t>
        </is>
      </c>
      <c r="F480" t="inlineStr">
        <is>
          <t>None</t>
        </is>
      </c>
      <c r="G480" t="inlineStr">
        <is>
          <t>High (explicit)</t>
        </is>
      </c>
      <c r="H480" s="11" t="inlineStr">
        <is>
          <t>Cross-border Transfer, International Processing, Data Storage, Security</t>
        </is>
      </c>
      <c r="I480" s="11" t="inlineStr">
        <is>
          <t>Special Personal Information</t>
        </is>
      </c>
      <c r="J480" t="inlineStr"/>
      <c r="K480" s="11" t="inlineStr">
        <is>
          <t>This section defines food businesses engaged in wholesale distribution and industrial production and processing as per Regulation (EC) No 178/2002. These entities are subject to specific food safety and regulatory oversight mechanisms.</t>
        </is>
      </c>
      <c r="L480" s="11" t="inlineStr"/>
      <c r="M480" s="11" t="inlineStr">
        <is>
          <t>• [Must] Food businesses as defined in Article 3, point (2), of Regulation (EC) No 178/2002
• [Must] Engaged in wholesale distribution and industrial production and processing</t>
        </is>
      </c>
      <c r="N480"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0" s="12" t="inlineStr">
        <is>
          <t>Open PDF</t>
        </is>
      </c>
    </row>
    <row r="481">
      <c r="A481" t="inlineStr">
        <is>
          <t>GDPR</t>
        </is>
      </c>
      <c r="B481" t="inlineStr">
        <is>
          <t>CELEX_32022L2555_EN_TXT (GDPR - Row 17)</t>
        </is>
      </c>
      <c r="C481" t="inlineStr">
        <is>
          <t>4</t>
        </is>
      </c>
      <c r="D481" s="11" t="inlineStr">
        <is>
          <t>Food production and distribution businesses</t>
        </is>
      </c>
      <c r="E481" t="inlineStr">
        <is>
          <t>37</t>
        </is>
      </c>
      <c r="F481" t="inlineStr">
        <is>
          <t>None</t>
        </is>
      </c>
      <c r="G481" t="inlineStr">
        <is>
          <t>High (explicit)</t>
        </is>
      </c>
      <c r="H481" s="11" t="inlineStr">
        <is>
          <t>Cross-border Transfer, International Processing, Data Storage, Security</t>
        </is>
      </c>
      <c r="I481" s="11" t="inlineStr">
        <is>
          <t>Special Personal Information</t>
        </is>
      </c>
      <c r="J481" t="inlineStr"/>
      <c r="K481" s="11" t="inlineStr">
        <is>
          <t>This section defines food businesses engaged in wholesale distribution and industrial production and processing as per Regulation (EC) No 178/2002. These entities are subject to specific food safety and regulatory oversight mechanisms.</t>
        </is>
      </c>
      <c r="L481" s="11" t="inlineStr"/>
      <c r="M481" s="11" t="inlineStr">
        <is>
          <t>• [Must] Food businesses as defined in Article 3, point (2), of Regulation (EC) No 178/2002
• [Must] Engaged in wholesale distribution and industrial production and processing</t>
        </is>
      </c>
      <c r="N481"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1" s="12" t="inlineStr">
        <is>
          <t>Open PDF</t>
        </is>
      </c>
    </row>
    <row r="482">
      <c r="A482" t="inlineStr">
        <is>
          <t>GDPR</t>
        </is>
      </c>
      <c r="B482" t="inlineStr">
        <is>
          <t>CELEX_32022L2555_EN_TXT (GDPR - Row 17)</t>
        </is>
      </c>
      <c r="C482" t="inlineStr">
        <is>
          <t>4</t>
        </is>
      </c>
      <c r="D482" s="11" t="inlineStr">
        <is>
          <t>Food production and distribution businesses</t>
        </is>
      </c>
      <c r="E482" t="inlineStr">
        <is>
          <t>38</t>
        </is>
      </c>
      <c r="F482" t="inlineStr">
        <is>
          <t>None</t>
        </is>
      </c>
      <c r="G482" t="inlineStr">
        <is>
          <t>High (explicit)</t>
        </is>
      </c>
      <c r="H482" s="11" t="inlineStr">
        <is>
          <t>Cross-border Transfer, International Processing, Data Storage, Security</t>
        </is>
      </c>
      <c r="I482" s="11" t="inlineStr">
        <is>
          <t>Special Personal Information</t>
        </is>
      </c>
      <c r="J482" t="inlineStr"/>
      <c r="K482" s="11" t="inlineStr">
        <is>
          <t>This section defines food businesses engaged in wholesale distribution and industrial production and processing as per Regulation (EC) No 178/2002. These entities are subject to specific food safety and regulatory oversight mechanisms.</t>
        </is>
      </c>
      <c r="L482" s="11" t="inlineStr"/>
      <c r="M482" s="11" t="inlineStr">
        <is>
          <t>• [Must] Food businesses as defined in Article 3, point (2), of Regulation (EC) No 178/2002
• [Must] Engaged in wholesale distribution and industrial production and processing</t>
        </is>
      </c>
      <c r="N482"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2" s="12" t="inlineStr">
        <is>
          <t>Open PDF</t>
        </is>
      </c>
    </row>
    <row r="483">
      <c r="A483" t="inlineStr">
        <is>
          <t>GDPR</t>
        </is>
      </c>
      <c r="B483" t="inlineStr">
        <is>
          <t>CELEX_32022L2555_EN_TXT (GDPR - Row 17)</t>
        </is>
      </c>
      <c r="C483" t="inlineStr">
        <is>
          <t>4</t>
        </is>
      </c>
      <c r="D483" s="11" t="inlineStr">
        <is>
          <t>Food production and distribution businesses</t>
        </is>
      </c>
      <c r="E483" t="inlineStr">
        <is>
          <t>38</t>
        </is>
      </c>
      <c r="F483" t="inlineStr">
        <is>
          <t>None</t>
        </is>
      </c>
      <c r="G483" t="inlineStr">
        <is>
          <t>High (explicit)</t>
        </is>
      </c>
      <c r="H483" s="11" t="inlineStr">
        <is>
          <t>Cross-border Transfer, International Processing, Data Storage, Security</t>
        </is>
      </c>
      <c r="I483" s="11" t="inlineStr">
        <is>
          <t>Special Personal Information</t>
        </is>
      </c>
      <c r="J483" t="inlineStr"/>
      <c r="K483" s="11" t="inlineStr">
        <is>
          <t>This section defines food businesses engaged in wholesale distribution and industrial production and processing as per Regulation (EC) No 178/2002. These entities are subject to specific food safety and regulatory oversight mechanisms.</t>
        </is>
      </c>
      <c r="L483" s="11" t="inlineStr"/>
      <c r="M483" s="11" t="inlineStr">
        <is>
          <t>• [Must] Food businesses as defined in Article 3, point (2), of Regulation (EC) No 178/2002
• [Must] Engaged in wholesale distribution and industrial production and processing</t>
        </is>
      </c>
      <c r="N483"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3" s="12" t="inlineStr">
        <is>
          <t>Open PDF</t>
        </is>
      </c>
    </row>
    <row r="484">
      <c r="A484" t="inlineStr">
        <is>
          <t>GDPR</t>
        </is>
      </c>
      <c r="B484" t="inlineStr">
        <is>
          <t>CELEX_32022L2555_EN_TXT (GDPR - Row 17)</t>
        </is>
      </c>
      <c r="C484" t="inlineStr">
        <is>
          <t>4</t>
        </is>
      </c>
      <c r="D484" s="11" t="inlineStr">
        <is>
          <t>Food production and distribution businesses</t>
        </is>
      </c>
      <c r="E484" t="inlineStr">
        <is>
          <t>41</t>
        </is>
      </c>
      <c r="F484" t="inlineStr">
        <is>
          <t>None</t>
        </is>
      </c>
      <c r="G484" t="inlineStr">
        <is>
          <t>High (explicit)</t>
        </is>
      </c>
      <c r="H484" s="11" t="inlineStr">
        <is>
          <t>Cross-border Transfer, International Processing, Data Storage, Security</t>
        </is>
      </c>
      <c r="I484" s="11" t="inlineStr">
        <is>
          <t>Special Personal Information</t>
        </is>
      </c>
      <c r="J484" t="inlineStr"/>
      <c r="K484" s="11" t="inlineStr">
        <is>
          <t>This section defines food businesses engaged in wholesale distribution and industrial production and processing as per Regulation (EC) No 178/2002. These entities are subject to specific food safety and regulatory oversight mechanisms.</t>
        </is>
      </c>
      <c r="L484" s="11" t="inlineStr"/>
      <c r="M484" s="11" t="inlineStr">
        <is>
          <t>• [Must] Food businesses as defined in Article 3, point (2), of Regulation (EC) No 178/2002
• [Must] Engaged in wholesale distribution and industrial production and processing</t>
        </is>
      </c>
      <c r="N484"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4" s="12" t="inlineStr">
        <is>
          <t>Open PDF</t>
        </is>
      </c>
    </row>
    <row r="485">
      <c r="A485" t="inlineStr">
        <is>
          <t>GDPR</t>
        </is>
      </c>
      <c r="B485" t="inlineStr">
        <is>
          <t>CELEX_32022L2555_EN_TXT (GDPR - Row 17)</t>
        </is>
      </c>
      <c r="C485" t="inlineStr">
        <is>
          <t>4</t>
        </is>
      </c>
      <c r="D485" s="11" t="inlineStr">
        <is>
          <t>Food production and distribution businesses</t>
        </is>
      </c>
      <c r="E485" t="inlineStr">
        <is>
          <t>42–43</t>
        </is>
      </c>
      <c r="F485" t="inlineStr">
        <is>
          <t>None</t>
        </is>
      </c>
      <c r="G485" t="inlineStr">
        <is>
          <t>High (explicit)</t>
        </is>
      </c>
      <c r="H485" s="11" t="inlineStr">
        <is>
          <t>Cross-border Transfer, International Processing, Data Storage, Security</t>
        </is>
      </c>
      <c r="I485" s="11" t="inlineStr">
        <is>
          <t>Special Personal Information</t>
        </is>
      </c>
      <c r="J485" t="inlineStr"/>
      <c r="K485" s="11" t="inlineStr">
        <is>
          <t>This section defines food businesses engaged in wholesale distribution and industrial production and processing as per Regulation (EC) No 178/2002. These entities are subject to specific food safety and regulatory oversight mechanisms.</t>
        </is>
      </c>
      <c r="L485" s="11" t="inlineStr"/>
      <c r="M485" s="11" t="inlineStr">
        <is>
          <t>• [Must] Food businesses as defined in Article 3, point (2), of Regulation (EC) No 178/2002
• [Must] Engaged in wholesale distribution and industrial production and processing</t>
        </is>
      </c>
      <c r="N485"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5" s="12" t="inlineStr">
        <is>
          <t>Open PDF</t>
        </is>
      </c>
    </row>
    <row r="486">
      <c r="A486" t="inlineStr">
        <is>
          <t>GDPR</t>
        </is>
      </c>
      <c r="B486" t="inlineStr">
        <is>
          <t>CELEX_32022L2555_EN_TXT (GDPR - Row 17)</t>
        </is>
      </c>
      <c r="C486" t="inlineStr">
        <is>
          <t>4</t>
        </is>
      </c>
      <c r="D486" s="11" t="inlineStr">
        <is>
          <t>Food production and distribution businesses</t>
        </is>
      </c>
      <c r="E486" t="inlineStr">
        <is>
          <t>44–45</t>
        </is>
      </c>
      <c r="F486" t="inlineStr">
        <is>
          <t>None</t>
        </is>
      </c>
      <c r="G486" t="inlineStr">
        <is>
          <t>High (explicit)</t>
        </is>
      </c>
      <c r="H486" s="11" t="inlineStr">
        <is>
          <t>Cross-border Transfer, International Processing, Data Storage, Security</t>
        </is>
      </c>
      <c r="I486" s="11" t="inlineStr">
        <is>
          <t>Special Personal Information</t>
        </is>
      </c>
      <c r="J486" t="inlineStr"/>
      <c r="K486" s="11" t="inlineStr">
        <is>
          <t>This section defines food businesses engaged in wholesale distribution and industrial production and processing as per Regulation (EC) No 178/2002. These entities are subject to specific food safety and regulatory oversight mechanisms.</t>
        </is>
      </c>
      <c r="L486" s="11" t="inlineStr"/>
      <c r="M486" s="11" t="inlineStr">
        <is>
          <t>• [Must] Food businesses as defined in Article 3, point (2), of Regulation (EC) No 178/2002
• [Must] Engaged in wholesale distribution and industrial production and processing</t>
        </is>
      </c>
      <c r="N486"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6" s="12" t="inlineStr">
        <is>
          <t>Open PDF</t>
        </is>
      </c>
    </row>
    <row r="487">
      <c r="A487" t="inlineStr">
        <is>
          <t>GDPR</t>
        </is>
      </c>
      <c r="B487" t="inlineStr">
        <is>
          <t>CELEX_32022L2555_EN_TXT (GDPR - Row 17)</t>
        </is>
      </c>
      <c r="C487" t="inlineStr">
        <is>
          <t>4</t>
        </is>
      </c>
      <c r="D487" s="11" t="inlineStr">
        <is>
          <t>Food production and distribution businesses</t>
        </is>
      </c>
      <c r="E487" t="inlineStr">
        <is>
          <t>47</t>
        </is>
      </c>
      <c r="F487" t="inlineStr">
        <is>
          <t>None</t>
        </is>
      </c>
      <c r="G487" t="inlineStr">
        <is>
          <t>High (explicit)</t>
        </is>
      </c>
      <c r="H487" s="11" t="inlineStr">
        <is>
          <t>Cross-border Transfer, International Processing, Data Storage, Security</t>
        </is>
      </c>
      <c r="I487" s="11" t="inlineStr">
        <is>
          <t>Special Personal Information</t>
        </is>
      </c>
      <c r="J487" t="inlineStr"/>
      <c r="K487" s="11" t="inlineStr">
        <is>
          <t>This section defines food businesses engaged in wholesale distribution and industrial production and processing as per Regulation (EC) No 178/2002. These entities are subject to specific food safety and regulatory oversight mechanisms.</t>
        </is>
      </c>
      <c r="L487" s="11" t="inlineStr"/>
      <c r="M487" s="11" t="inlineStr">
        <is>
          <t>• [Must] Food businesses as defined in Article 3, point (2), of Regulation (EC) No 178/2002
• [Must] Engaged in wholesale distribution and industrial production and processing</t>
        </is>
      </c>
      <c r="N487"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7" s="12" t="inlineStr">
        <is>
          <t>Open PDF</t>
        </is>
      </c>
    </row>
    <row r="488">
      <c r="A488" t="inlineStr">
        <is>
          <t>GDPR</t>
        </is>
      </c>
      <c r="B488" t="inlineStr">
        <is>
          <t>CELEX_32022L2555_EN_TXT (GDPR - Row 17)</t>
        </is>
      </c>
      <c r="C488" t="inlineStr">
        <is>
          <t>4</t>
        </is>
      </c>
      <c r="D488" s="11" t="inlineStr">
        <is>
          <t>Food production and distribution businesses</t>
        </is>
      </c>
      <c r="E488" t="inlineStr">
        <is>
          <t>48–49</t>
        </is>
      </c>
      <c r="F488" t="inlineStr">
        <is>
          <t>None</t>
        </is>
      </c>
      <c r="G488" t="inlineStr">
        <is>
          <t>High (explicit)</t>
        </is>
      </c>
      <c r="H488" s="11" t="inlineStr">
        <is>
          <t>Cross-border Transfer, International Processing, Data Storage, Security</t>
        </is>
      </c>
      <c r="I488" s="11" t="inlineStr">
        <is>
          <t>Special Personal Information</t>
        </is>
      </c>
      <c r="J488" t="inlineStr"/>
      <c r="K488" s="11" t="inlineStr">
        <is>
          <t>This section defines food businesses engaged in wholesale distribution and industrial production and processing as per Regulation (EC) No 178/2002. These entities are subject to specific food safety and regulatory oversight mechanisms.</t>
        </is>
      </c>
      <c r="L488" s="11" t="inlineStr"/>
      <c r="M488" s="11" t="inlineStr">
        <is>
          <t>• [Must] Food businesses as defined in Article 3, point (2), of Regulation (EC) No 178/2002
• [Must] Engaged in wholesale distribution and industrial production and processing</t>
        </is>
      </c>
      <c r="N488"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8" s="12" t="inlineStr">
        <is>
          <t>Open PDF</t>
        </is>
      </c>
    </row>
    <row r="489">
      <c r="A489" t="inlineStr">
        <is>
          <t>GDPR</t>
        </is>
      </c>
      <c r="B489" t="inlineStr">
        <is>
          <t>CELEX_32022L2555_EN_TXT (GDPR - Row 17)</t>
        </is>
      </c>
      <c r="C489" t="inlineStr">
        <is>
          <t>4</t>
        </is>
      </c>
      <c r="D489" s="11" t="inlineStr">
        <is>
          <t>Food production and distribution businesses</t>
        </is>
      </c>
      <c r="E489" t="inlineStr">
        <is>
          <t>50</t>
        </is>
      </c>
      <c r="F489" t="inlineStr">
        <is>
          <t>None</t>
        </is>
      </c>
      <c r="G489" t="inlineStr">
        <is>
          <t>High (explicit)</t>
        </is>
      </c>
      <c r="H489" s="11" t="inlineStr">
        <is>
          <t>Cross-border Transfer, International Processing, Data Storage, Security</t>
        </is>
      </c>
      <c r="I489" s="11" t="inlineStr">
        <is>
          <t>Special Personal Information</t>
        </is>
      </c>
      <c r="J489" t="inlineStr"/>
      <c r="K489" s="11" t="inlineStr">
        <is>
          <t>This section defines food businesses engaged in wholesale distribution and industrial production and processing as per Regulation (EC) No 178/2002. These entities are subject to specific food safety and regulatory oversight mechanisms.</t>
        </is>
      </c>
      <c r="L489" s="11" t="inlineStr"/>
      <c r="M489" s="11" t="inlineStr">
        <is>
          <t>• [Must] Food businesses as defined in Article 3, point (2), of Regulation (EC) No 178/2002
• [Must] Engaged in wholesale distribution and industrial production and processing</t>
        </is>
      </c>
      <c r="N489"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89" s="12" t="inlineStr">
        <is>
          <t>Open PDF</t>
        </is>
      </c>
    </row>
    <row r="490">
      <c r="A490" t="inlineStr">
        <is>
          <t>GDPR</t>
        </is>
      </c>
      <c r="B490" t="inlineStr">
        <is>
          <t>CELEX_32022L2555_EN_TXT (GDPR - Row 17)</t>
        </is>
      </c>
      <c r="C490" t="inlineStr">
        <is>
          <t>4</t>
        </is>
      </c>
      <c r="D490" s="11" t="inlineStr">
        <is>
          <t>Food production and distribution businesses</t>
        </is>
      </c>
      <c r="E490" t="inlineStr">
        <is>
          <t>52–53</t>
        </is>
      </c>
      <c r="F490" t="inlineStr">
        <is>
          <t>None</t>
        </is>
      </c>
      <c r="G490" t="inlineStr">
        <is>
          <t>High (explicit)</t>
        </is>
      </c>
      <c r="H490" s="11" t="inlineStr">
        <is>
          <t>Cross-border Transfer, International Processing, Data Storage, Security</t>
        </is>
      </c>
      <c r="I490" s="11" t="inlineStr">
        <is>
          <t>Special Personal Information</t>
        </is>
      </c>
      <c r="J490" t="inlineStr"/>
      <c r="K490" s="11" t="inlineStr">
        <is>
          <t>This section defines food businesses engaged in wholesale distribution and industrial production and processing as per Regulation (EC) No 178/2002. These entities are subject to specific food safety and regulatory oversight mechanisms.</t>
        </is>
      </c>
      <c r="L490" s="11" t="inlineStr"/>
      <c r="M490" s="11" t="inlineStr">
        <is>
          <t>• [Must] Food businesses as defined in Article 3, point (2), of Regulation (EC) No 178/2002
• [Must] Engaged in wholesale distribution and industrial production and processing</t>
        </is>
      </c>
      <c r="N490"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0" s="12" t="inlineStr">
        <is>
          <t>Open PDF</t>
        </is>
      </c>
    </row>
    <row r="491">
      <c r="A491" t="inlineStr">
        <is>
          <t>GDPR</t>
        </is>
      </c>
      <c r="B491" t="inlineStr">
        <is>
          <t>CELEX_32022L2555_EN_TXT (GDPR - Row 17)</t>
        </is>
      </c>
      <c r="C491" t="inlineStr">
        <is>
          <t>4</t>
        </is>
      </c>
      <c r="D491" s="11" t="inlineStr">
        <is>
          <t>Food production and distribution businesses</t>
        </is>
      </c>
      <c r="E491" t="inlineStr">
        <is>
          <t>53</t>
        </is>
      </c>
      <c r="F491" t="inlineStr">
        <is>
          <t>None</t>
        </is>
      </c>
      <c r="G491" t="inlineStr">
        <is>
          <t>High (explicit)</t>
        </is>
      </c>
      <c r="H491" s="11" t="inlineStr">
        <is>
          <t>Cross-border Transfer, International Processing, Data Storage, Security</t>
        </is>
      </c>
      <c r="I491" s="11" t="inlineStr">
        <is>
          <t>Special Personal Information</t>
        </is>
      </c>
      <c r="J491" t="inlineStr"/>
      <c r="K491" s="11" t="inlineStr">
        <is>
          <t>This section defines food businesses engaged in wholesale distribution and industrial production and processing as per Regulation (EC) No 178/2002. These entities are subject to specific food safety and regulatory oversight mechanisms.</t>
        </is>
      </c>
      <c r="L491" s="11" t="inlineStr"/>
      <c r="M491" s="11" t="inlineStr">
        <is>
          <t>• [Must] Food businesses as defined in Article 3, point (2), of Regulation (EC) No 178/2002
• [Must] Engaged in wholesale distribution and industrial production and processing</t>
        </is>
      </c>
      <c r="N491"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1" s="12" t="inlineStr">
        <is>
          <t>Open PDF</t>
        </is>
      </c>
    </row>
    <row r="492">
      <c r="A492" t="inlineStr">
        <is>
          <t>GDPR</t>
        </is>
      </c>
      <c r="B492" t="inlineStr">
        <is>
          <t>CELEX_32022L2555_EN_TXT (GDPR - Row 17)</t>
        </is>
      </c>
      <c r="C492" t="inlineStr">
        <is>
          <t>4</t>
        </is>
      </c>
      <c r="D492" s="11" t="inlineStr">
        <is>
          <t>Food production and distribution businesses</t>
        </is>
      </c>
      <c r="E492" t="inlineStr">
        <is>
          <t>54</t>
        </is>
      </c>
      <c r="F492" t="inlineStr">
        <is>
          <t>None</t>
        </is>
      </c>
      <c r="G492" t="inlineStr">
        <is>
          <t>High (explicit)</t>
        </is>
      </c>
      <c r="H492" s="11" t="inlineStr">
        <is>
          <t>Cross-border Transfer, International Processing, Data Storage, Security</t>
        </is>
      </c>
      <c r="I492" s="11" t="inlineStr">
        <is>
          <t>Special Personal Information</t>
        </is>
      </c>
      <c r="J492" t="inlineStr"/>
      <c r="K492" s="11" t="inlineStr">
        <is>
          <t>This section defines food businesses engaged in wholesale distribution and industrial production and processing as per Regulation (EC) No 178/2002. These entities are subject to specific food safety and regulatory oversight mechanisms.</t>
        </is>
      </c>
      <c r="L492" s="11" t="inlineStr"/>
      <c r="M492" s="11" t="inlineStr">
        <is>
          <t>• [Must] Food businesses as defined in Article 3, point (2), of Regulation (EC) No 178/2002
• [Must] Engaged in wholesale distribution and industrial production and processing</t>
        </is>
      </c>
      <c r="N492"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2" s="12" t="inlineStr">
        <is>
          <t>Open PDF</t>
        </is>
      </c>
    </row>
    <row r="493">
      <c r="A493" t="inlineStr">
        <is>
          <t>GDPR</t>
        </is>
      </c>
      <c r="B493" t="inlineStr">
        <is>
          <t>CELEX_32022L2555_EN_TXT (GDPR - Row 17)</t>
        </is>
      </c>
      <c r="C493" t="inlineStr">
        <is>
          <t>4</t>
        </is>
      </c>
      <c r="D493" s="11" t="inlineStr">
        <is>
          <t>Food production and distribution businesses</t>
        </is>
      </c>
      <c r="E493" t="inlineStr">
        <is>
          <t>55</t>
        </is>
      </c>
      <c r="F493" t="inlineStr">
        <is>
          <t>None</t>
        </is>
      </c>
      <c r="G493" t="inlineStr">
        <is>
          <t>High (explicit)</t>
        </is>
      </c>
      <c r="H493" s="11" t="inlineStr">
        <is>
          <t>Cross-border Transfer, International Processing, Data Storage, Security</t>
        </is>
      </c>
      <c r="I493" s="11" t="inlineStr">
        <is>
          <t>Special Personal Information</t>
        </is>
      </c>
      <c r="J493" t="inlineStr"/>
      <c r="K493" s="11" t="inlineStr">
        <is>
          <t>This section defines food businesses engaged in wholesale distribution and industrial production and processing as per Regulation (EC) No 178/2002. These entities are subject to specific food safety and regulatory oversight mechanisms.</t>
        </is>
      </c>
      <c r="L493" s="11" t="inlineStr"/>
      <c r="M493" s="11" t="inlineStr">
        <is>
          <t>• [Must] Food businesses as defined in Article 3, point (2), of Regulation (EC) No 178/2002
• [Must] Engaged in wholesale distribution and industrial production and processing</t>
        </is>
      </c>
      <c r="N493"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3" s="12" t="inlineStr">
        <is>
          <t>Open PDF</t>
        </is>
      </c>
    </row>
    <row r="494">
      <c r="A494" t="inlineStr">
        <is>
          <t>GDPR</t>
        </is>
      </c>
      <c r="B494" t="inlineStr">
        <is>
          <t>CELEX_32022L2555_EN_TXT (GDPR - Row 17)</t>
        </is>
      </c>
      <c r="C494" t="inlineStr">
        <is>
          <t>4</t>
        </is>
      </c>
      <c r="D494" s="11" t="inlineStr">
        <is>
          <t>Food production and distribution businesses</t>
        </is>
      </c>
      <c r="E494" t="inlineStr">
        <is>
          <t>56</t>
        </is>
      </c>
      <c r="F494" t="inlineStr">
        <is>
          <t>None</t>
        </is>
      </c>
      <c r="G494" t="inlineStr">
        <is>
          <t>High (explicit)</t>
        </is>
      </c>
      <c r="H494" s="11" t="inlineStr">
        <is>
          <t>Cross-border Transfer, International Processing, Data Storage, Security</t>
        </is>
      </c>
      <c r="I494" s="11" t="inlineStr">
        <is>
          <t>Special Personal Information</t>
        </is>
      </c>
      <c r="J494" t="inlineStr"/>
      <c r="K494" s="11" t="inlineStr">
        <is>
          <t>This section defines food businesses engaged in wholesale distribution and industrial production and processing as per Regulation (EC) No 178/2002. These entities are subject to specific food safety and regulatory oversight mechanisms.</t>
        </is>
      </c>
      <c r="L494" s="11" t="inlineStr"/>
      <c r="M494" s="11" t="inlineStr">
        <is>
          <t>• [Must] Food businesses as defined in Article 3, point (2), of Regulation (EC) No 178/2002
• [Must] Engaged in wholesale distribution and industrial production and processing</t>
        </is>
      </c>
      <c r="N494"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4" s="12" t="inlineStr">
        <is>
          <t>Open PDF</t>
        </is>
      </c>
    </row>
    <row r="495">
      <c r="A495" t="inlineStr">
        <is>
          <t>GDPR</t>
        </is>
      </c>
      <c r="B495" t="inlineStr">
        <is>
          <t>CELEX_32022L2555_EN_TXT (GDPR - Row 17)</t>
        </is>
      </c>
      <c r="C495" t="inlineStr">
        <is>
          <t>4</t>
        </is>
      </c>
      <c r="D495" s="11" t="inlineStr">
        <is>
          <t>Food production and distribution businesses</t>
        </is>
      </c>
      <c r="E495" t="inlineStr">
        <is>
          <t>56–57</t>
        </is>
      </c>
      <c r="F495" t="inlineStr">
        <is>
          <t>None</t>
        </is>
      </c>
      <c r="G495" t="inlineStr">
        <is>
          <t>High (explicit)</t>
        </is>
      </c>
      <c r="H495" s="11" t="inlineStr">
        <is>
          <t>Cross-border Transfer, International Processing, Data Storage, Security</t>
        </is>
      </c>
      <c r="I495" s="11" t="inlineStr">
        <is>
          <t>Special Personal Information</t>
        </is>
      </c>
      <c r="J495" t="inlineStr"/>
      <c r="K495" s="11" t="inlineStr">
        <is>
          <t>This section defines food businesses engaged in wholesale distribution and industrial production and processing as per Regulation (EC) No 178/2002. These entities are subject to specific food safety and regulatory oversight mechanisms.</t>
        </is>
      </c>
      <c r="L495" s="11" t="inlineStr"/>
      <c r="M495" s="11" t="inlineStr">
        <is>
          <t>• [Must] Food businesses as defined in Article 3, point (2), of Regulation (EC) No 178/2002
• [Must] Engaged in wholesale distribution and industrial production and processing</t>
        </is>
      </c>
      <c r="N495"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5" s="12" t="inlineStr">
        <is>
          <t>Open PDF</t>
        </is>
      </c>
    </row>
    <row r="496">
      <c r="A496" t="inlineStr">
        <is>
          <t>GDPR</t>
        </is>
      </c>
      <c r="B496" t="inlineStr">
        <is>
          <t>CELEX_32022L2555_EN_TXT (GDPR - Row 17)</t>
        </is>
      </c>
      <c r="C496" t="inlineStr">
        <is>
          <t>4</t>
        </is>
      </c>
      <c r="D496" s="11" t="inlineStr">
        <is>
          <t>Food production and distribution businesses</t>
        </is>
      </c>
      <c r="E496" t="inlineStr">
        <is>
          <t>59</t>
        </is>
      </c>
      <c r="F496" t="inlineStr">
        <is>
          <t>None</t>
        </is>
      </c>
      <c r="G496" t="inlineStr">
        <is>
          <t>High (explicit)</t>
        </is>
      </c>
      <c r="H496" s="11" t="inlineStr">
        <is>
          <t>Cross-border Transfer, International Processing, Data Storage, Security</t>
        </is>
      </c>
      <c r="I496" s="11" t="inlineStr">
        <is>
          <t>Special Personal Information</t>
        </is>
      </c>
      <c r="J496" t="inlineStr"/>
      <c r="K496" s="11" t="inlineStr">
        <is>
          <t>This section defines food businesses engaged in wholesale distribution and industrial production and processing as per Regulation (EC) No 178/2002. These entities are subject to specific food safety and regulatory oversight mechanisms.</t>
        </is>
      </c>
      <c r="L496" s="11" t="inlineStr"/>
      <c r="M496" s="11" t="inlineStr">
        <is>
          <t>• [Must] Food businesses as defined in Article 3, point (2), of Regulation (EC) No 178/2002
• [Must] Engaged in wholesale distribution and industrial production and processing</t>
        </is>
      </c>
      <c r="N496"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6" s="12" t="inlineStr">
        <is>
          <t>Open PDF</t>
        </is>
      </c>
    </row>
    <row r="497">
      <c r="A497" t="inlineStr">
        <is>
          <t>GDPR</t>
        </is>
      </c>
      <c r="B497" t="inlineStr">
        <is>
          <t>CELEX_32022L2555_EN_TXT (GDPR - Row 17)</t>
        </is>
      </c>
      <c r="C497" t="inlineStr">
        <is>
          <t>4</t>
        </is>
      </c>
      <c r="D497" s="11" t="inlineStr">
        <is>
          <t>Food production and distribution businesses</t>
        </is>
      </c>
      <c r="E497" t="inlineStr">
        <is>
          <t>60</t>
        </is>
      </c>
      <c r="F497" t="inlineStr">
        <is>
          <t>None</t>
        </is>
      </c>
      <c r="G497" t="inlineStr">
        <is>
          <t>High (explicit)</t>
        </is>
      </c>
      <c r="H497" s="11" t="inlineStr">
        <is>
          <t>Cross-border Transfer, International Processing, Data Storage, Security</t>
        </is>
      </c>
      <c r="I497" s="11" t="inlineStr">
        <is>
          <t>Special Personal Information</t>
        </is>
      </c>
      <c r="J497" t="inlineStr"/>
      <c r="K497" s="11" t="inlineStr">
        <is>
          <t>This section defines food businesses engaged in wholesale distribution and industrial production and processing as per Regulation (EC) No 178/2002. These entities are subject to specific food safety and regulatory oversight mechanisms.</t>
        </is>
      </c>
      <c r="L497" s="11" t="inlineStr"/>
      <c r="M497" s="11" t="inlineStr">
        <is>
          <t>• [Must] Food businesses as defined in Article 3, point (2), of Regulation (EC) No 178/2002
• [Must] Engaged in wholesale distribution and industrial production and processing</t>
        </is>
      </c>
      <c r="N497"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7" s="12" t="inlineStr">
        <is>
          <t>Open PDF</t>
        </is>
      </c>
    </row>
    <row r="498">
      <c r="A498" t="inlineStr">
        <is>
          <t>GDPR</t>
        </is>
      </c>
      <c r="B498" t="inlineStr">
        <is>
          <t>CELEX_32022L2555_EN_TXT (GDPR - Row 17)</t>
        </is>
      </c>
      <c r="C498" t="inlineStr">
        <is>
          <t>4</t>
        </is>
      </c>
      <c r="D498" s="11" t="inlineStr">
        <is>
          <t>Food production and distribution businesses</t>
        </is>
      </c>
      <c r="E498" t="inlineStr">
        <is>
          <t>62</t>
        </is>
      </c>
      <c r="F498" t="inlineStr">
        <is>
          <t>None</t>
        </is>
      </c>
      <c r="G498" t="inlineStr">
        <is>
          <t>High (explicit)</t>
        </is>
      </c>
      <c r="H498" s="11" t="inlineStr">
        <is>
          <t>Cross-border Transfer, International Processing, Data Storage, Security</t>
        </is>
      </c>
      <c r="I498" s="11" t="inlineStr">
        <is>
          <t>Special Personal Information</t>
        </is>
      </c>
      <c r="J498" t="inlineStr"/>
      <c r="K498" s="11" t="inlineStr">
        <is>
          <t>This section defines food businesses engaged in wholesale distribution and industrial production and processing as per Regulation (EC) No 178/2002. These entities are subject to specific food safety and regulatory oversight mechanisms.</t>
        </is>
      </c>
      <c r="L498" s="11" t="inlineStr"/>
      <c r="M498" s="11" t="inlineStr">
        <is>
          <t>• [Must] Food businesses as defined in Article 3, point (2), of Regulation (EC) No 178/2002
• [Must] Engaged in wholesale distribution and industrial production and processing</t>
        </is>
      </c>
      <c r="N498"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8" s="12" t="inlineStr">
        <is>
          <t>Open PDF</t>
        </is>
      </c>
    </row>
    <row r="499">
      <c r="A499" t="inlineStr">
        <is>
          <t>GDPR</t>
        </is>
      </c>
      <c r="B499" t="inlineStr">
        <is>
          <t>CELEX_32022L2555_EN_TXT (GDPR - Row 17)</t>
        </is>
      </c>
      <c r="C499" t="inlineStr">
        <is>
          <t>4</t>
        </is>
      </c>
      <c r="D499" s="11" t="inlineStr">
        <is>
          <t>Food production and distribution businesses</t>
        </is>
      </c>
      <c r="E499" t="inlineStr">
        <is>
          <t>65–66</t>
        </is>
      </c>
      <c r="F499" t="inlineStr">
        <is>
          <t>None</t>
        </is>
      </c>
      <c r="G499" t="inlineStr">
        <is>
          <t>High (explicit)</t>
        </is>
      </c>
      <c r="H499" s="11" t="inlineStr">
        <is>
          <t>Cross-border Transfer, International Processing, Data Storage, Security</t>
        </is>
      </c>
      <c r="I499" s="11" t="inlineStr">
        <is>
          <t>Special Personal Information</t>
        </is>
      </c>
      <c r="J499" t="inlineStr"/>
      <c r="K499" s="11" t="inlineStr">
        <is>
          <t>This section defines food businesses engaged in wholesale distribution and industrial production and processing as per Regulation (EC) No 178/2002. These entities are subject to specific food safety and regulatory oversight mechanisms.</t>
        </is>
      </c>
      <c r="L499" s="11" t="inlineStr"/>
      <c r="M499" s="11" t="inlineStr">
        <is>
          <t>• [Must] Food businesses as defined in Article 3, point (2), of Regulation (EC) No 178/2002
• [Must] Engaged in wholesale distribution and industrial production and processing</t>
        </is>
      </c>
      <c r="N499"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499" s="12" t="inlineStr">
        <is>
          <t>Open PDF</t>
        </is>
      </c>
    </row>
    <row r="500">
      <c r="A500" t="inlineStr">
        <is>
          <t>GDPR</t>
        </is>
      </c>
      <c r="B500" t="inlineStr">
        <is>
          <t>CELEX_32022L2555_EN_TXT (GDPR - Row 17)</t>
        </is>
      </c>
      <c r="C500" t="inlineStr">
        <is>
          <t>4</t>
        </is>
      </c>
      <c r="D500" s="11" t="inlineStr">
        <is>
          <t>Food production and distribution businesses</t>
        </is>
      </c>
      <c r="E500" t="inlineStr">
        <is>
          <t>69</t>
        </is>
      </c>
      <c r="F500" t="inlineStr">
        <is>
          <t>None</t>
        </is>
      </c>
      <c r="G500" t="inlineStr">
        <is>
          <t>High (explicit)</t>
        </is>
      </c>
      <c r="H500" s="11" t="inlineStr">
        <is>
          <t>Cross-border Transfer, International Processing, Data Storage, Security</t>
        </is>
      </c>
      <c r="I500" s="11" t="inlineStr">
        <is>
          <t>Special Personal Information</t>
        </is>
      </c>
      <c r="J500" t="inlineStr"/>
      <c r="K500" s="11" t="inlineStr">
        <is>
          <t>This section defines food businesses engaged in wholesale distribution and industrial production and processing as per Regulation (EC) No 178/2002. These entities are subject to specific food safety and regulatory oversight mechanisms.</t>
        </is>
      </c>
      <c r="L500" s="11" t="inlineStr"/>
      <c r="M500" s="11" t="inlineStr">
        <is>
          <t>• [Must] Food businesses as defined in Article 3, point (2), of Regulation (EC) No 178/2002
• [Must] Engaged in wholesale distribution and industrial production and processing</t>
        </is>
      </c>
      <c r="N500" s="11" t="inlineStr">
        <is>
          <t>4. Production, processing and dis­tribution of food Food businesses as defined in Article 3, point (2), of Regulation (EC) No 178/2002 of the European Parliament and of the Council (3) which are engaged in wholesale distribution and industrial production and processing</t>
        </is>
      </c>
      <c r="O500" s="12" t="inlineStr">
        <is>
          <t>Open PDF</t>
        </is>
      </c>
    </row>
    <row r="501">
      <c r="A501" t="inlineStr">
        <is>
          <t>GDPR</t>
        </is>
      </c>
      <c r="B501" t="inlineStr">
        <is>
          <t>CELEX_32022L2555_EN_TXT (GDPR - Row 17)</t>
        </is>
      </c>
      <c r="C501" t="inlineStr">
        <is>
          <t>5</t>
        </is>
      </c>
      <c r="D501" s="11" t="inlineStr">
        <is>
          <t>Manufacturing activities for specific sectors</t>
        </is>
      </c>
      <c r="E501" t="inlineStr">
        <is>
          <t>30</t>
        </is>
      </c>
      <c r="F501" t="inlineStr">
        <is>
          <t>None</t>
        </is>
      </c>
      <c r="G501" t="inlineStr">
        <is>
          <t>High (explicit)</t>
        </is>
      </c>
      <c r="H501" s="11" t="inlineStr">
        <is>
          <t>Cross-border Transfer, International Processing, Data Storage, Security</t>
        </is>
      </c>
      <c r="I501" s="11" t="inlineStr">
        <is>
          <t>Special Personal Information</t>
        </is>
      </c>
      <c r="J501" t="inlineStr"/>
      <c r="K501"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1" s="11" t="inlineStr"/>
      <c r="M501"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1"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1" s="12" t="inlineStr">
        <is>
          <t>Open PDF</t>
        </is>
      </c>
    </row>
    <row r="502">
      <c r="A502" t="inlineStr">
        <is>
          <t>GDPR</t>
        </is>
      </c>
      <c r="B502" t="inlineStr">
        <is>
          <t>CELEX_32022L2555_EN_TXT (GDPR - Row 17)</t>
        </is>
      </c>
      <c r="C502" t="inlineStr">
        <is>
          <t>5</t>
        </is>
      </c>
      <c r="D502" s="11" t="inlineStr">
        <is>
          <t>Manufacturing activities for specific sectors</t>
        </is>
      </c>
      <c r="E502" t="inlineStr">
        <is>
          <t>32</t>
        </is>
      </c>
      <c r="F502" t="inlineStr">
        <is>
          <t>None</t>
        </is>
      </c>
      <c r="G502" t="inlineStr">
        <is>
          <t>High (explicit)</t>
        </is>
      </c>
      <c r="H502" s="11" t="inlineStr">
        <is>
          <t>Cross-border Transfer, International Processing, Data Storage, Security</t>
        </is>
      </c>
      <c r="I502" s="11" t="inlineStr">
        <is>
          <t>Special Personal Information</t>
        </is>
      </c>
      <c r="J502" t="inlineStr"/>
      <c r="K502"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2" s="11" t="inlineStr"/>
      <c r="M502"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2"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2" s="12" t="inlineStr">
        <is>
          <t>Open PDF</t>
        </is>
      </c>
    </row>
    <row r="503">
      <c r="A503" t="inlineStr">
        <is>
          <t>GDPR</t>
        </is>
      </c>
      <c r="B503" t="inlineStr">
        <is>
          <t>CELEX_32022L2555_EN_TXT (GDPR - Row 17)</t>
        </is>
      </c>
      <c r="C503" t="inlineStr">
        <is>
          <t>5</t>
        </is>
      </c>
      <c r="D503" s="11" t="inlineStr">
        <is>
          <t>Manufacturing activities for specific sectors</t>
        </is>
      </c>
      <c r="E503" t="inlineStr">
        <is>
          <t>37</t>
        </is>
      </c>
      <c r="F503" t="inlineStr">
        <is>
          <t>None</t>
        </is>
      </c>
      <c r="G503" t="inlineStr">
        <is>
          <t>High (explicit)</t>
        </is>
      </c>
      <c r="H503" s="11" t="inlineStr">
        <is>
          <t>Cross-border Transfer, International Processing, Data Storage, Security</t>
        </is>
      </c>
      <c r="I503" s="11" t="inlineStr">
        <is>
          <t>Special Personal Information</t>
        </is>
      </c>
      <c r="J503" t="inlineStr"/>
      <c r="K503"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3" s="11" t="inlineStr"/>
      <c r="M503"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3"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3" s="12" t="inlineStr">
        <is>
          <t>Open PDF</t>
        </is>
      </c>
    </row>
    <row r="504">
      <c r="A504" t="inlineStr">
        <is>
          <t>GDPR</t>
        </is>
      </c>
      <c r="B504" t="inlineStr">
        <is>
          <t>CELEX_32022L2555_EN_TXT (GDPR - Row 17)</t>
        </is>
      </c>
      <c r="C504" t="inlineStr">
        <is>
          <t>5</t>
        </is>
      </c>
      <c r="D504" s="11" t="inlineStr">
        <is>
          <t>Manufacturing activities for specific sectors</t>
        </is>
      </c>
      <c r="E504" t="inlineStr">
        <is>
          <t>38</t>
        </is>
      </c>
      <c r="F504" t="inlineStr">
        <is>
          <t>None</t>
        </is>
      </c>
      <c r="G504" t="inlineStr">
        <is>
          <t>High (explicit)</t>
        </is>
      </c>
      <c r="H504" s="11" t="inlineStr">
        <is>
          <t>Cross-border Transfer, International Processing, Data Storage, Security</t>
        </is>
      </c>
      <c r="I504" s="11" t="inlineStr">
        <is>
          <t>Special Personal Information</t>
        </is>
      </c>
      <c r="J504" t="inlineStr"/>
      <c r="K504"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4" s="11" t="inlineStr"/>
      <c r="M504"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4"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4" s="12" t="inlineStr">
        <is>
          <t>Open PDF</t>
        </is>
      </c>
    </row>
    <row r="505">
      <c r="A505" t="inlineStr">
        <is>
          <t>GDPR</t>
        </is>
      </c>
      <c r="B505" t="inlineStr">
        <is>
          <t>CELEX_32022L2555_EN_TXT (GDPR - Row 17)</t>
        </is>
      </c>
      <c r="C505" t="inlineStr">
        <is>
          <t>5</t>
        </is>
      </c>
      <c r="D505" s="11" t="inlineStr">
        <is>
          <t>Manufacturing activities for specific sectors</t>
        </is>
      </c>
      <c r="E505" t="inlineStr">
        <is>
          <t>40</t>
        </is>
      </c>
      <c r="F505" t="inlineStr">
        <is>
          <t>None</t>
        </is>
      </c>
      <c r="G505" t="inlineStr">
        <is>
          <t>High (explicit)</t>
        </is>
      </c>
      <c r="H505" s="11" t="inlineStr">
        <is>
          <t>Cross-border Transfer, International Processing, Data Storage, Security</t>
        </is>
      </c>
      <c r="I505" s="11" t="inlineStr">
        <is>
          <t>Special Personal Information</t>
        </is>
      </c>
      <c r="J505" t="inlineStr"/>
      <c r="K505"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5" s="11" t="inlineStr"/>
      <c r="M505"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5"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5" s="12" t="inlineStr">
        <is>
          <t>Open PDF</t>
        </is>
      </c>
    </row>
    <row r="506">
      <c r="A506" t="inlineStr">
        <is>
          <t>GDPR</t>
        </is>
      </c>
      <c r="B506" t="inlineStr">
        <is>
          <t>CELEX_32022L2555_EN_TXT (GDPR - Row 17)</t>
        </is>
      </c>
      <c r="C506" t="inlineStr">
        <is>
          <t>5</t>
        </is>
      </c>
      <c r="D506" s="11" t="inlineStr">
        <is>
          <t>Manufacturing activities for specific sectors</t>
        </is>
      </c>
      <c r="E506" t="inlineStr">
        <is>
          <t>41</t>
        </is>
      </c>
      <c r="F506" t="inlineStr">
        <is>
          <t>None</t>
        </is>
      </c>
      <c r="G506" t="inlineStr">
        <is>
          <t>High (explicit)</t>
        </is>
      </c>
      <c r="H506" s="11" t="inlineStr">
        <is>
          <t>Cross-border Transfer, International Processing, Data Storage, Security</t>
        </is>
      </c>
      <c r="I506" s="11" t="inlineStr">
        <is>
          <t>Special Personal Information</t>
        </is>
      </c>
      <c r="J506" t="inlineStr"/>
      <c r="K506"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6" s="11" t="inlineStr"/>
      <c r="M506"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6"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6" s="12" t="inlineStr">
        <is>
          <t>Open PDF</t>
        </is>
      </c>
    </row>
    <row r="507">
      <c r="A507" t="inlineStr">
        <is>
          <t>GDPR</t>
        </is>
      </c>
      <c r="B507" t="inlineStr">
        <is>
          <t>CELEX_32022L2555_EN_TXT (GDPR - Row 17)</t>
        </is>
      </c>
      <c r="C507" t="inlineStr">
        <is>
          <t>5</t>
        </is>
      </c>
      <c r="D507" s="11" t="inlineStr">
        <is>
          <t>Manufacturing activities for specific sectors</t>
        </is>
      </c>
      <c r="E507" t="inlineStr">
        <is>
          <t>45</t>
        </is>
      </c>
      <c r="F507" t="inlineStr">
        <is>
          <t>None</t>
        </is>
      </c>
      <c r="G507" t="inlineStr">
        <is>
          <t>High (explicit)</t>
        </is>
      </c>
      <c r="H507" s="11" t="inlineStr">
        <is>
          <t>Cross-border Transfer, International Processing, Data Storage, Security</t>
        </is>
      </c>
      <c r="I507" s="11" t="inlineStr">
        <is>
          <t>Special Personal Information</t>
        </is>
      </c>
      <c r="J507" t="inlineStr"/>
      <c r="K507"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7" s="11" t="inlineStr"/>
      <c r="M507"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7"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7" s="12" t="inlineStr">
        <is>
          <t>Open PDF</t>
        </is>
      </c>
    </row>
    <row r="508">
      <c r="A508" t="inlineStr">
        <is>
          <t>GDPR</t>
        </is>
      </c>
      <c r="B508" t="inlineStr">
        <is>
          <t>CELEX_32022L2555_EN_TXT (GDPR - Row 17)</t>
        </is>
      </c>
      <c r="C508" t="inlineStr">
        <is>
          <t>5</t>
        </is>
      </c>
      <c r="D508" s="11" t="inlineStr">
        <is>
          <t>Manufacturing activities for specific sectors</t>
        </is>
      </c>
      <c r="E508" t="inlineStr">
        <is>
          <t>47</t>
        </is>
      </c>
      <c r="F508" t="inlineStr">
        <is>
          <t>None</t>
        </is>
      </c>
      <c r="G508" t="inlineStr">
        <is>
          <t>High (explicit)</t>
        </is>
      </c>
      <c r="H508" s="11" t="inlineStr">
        <is>
          <t>Cross-border Transfer, International Processing, Data Storage, Security</t>
        </is>
      </c>
      <c r="I508" s="11" t="inlineStr">
        <is>
          <t>Special Personal Information</t>
        </is>
      </c>
      <c r="J508" t="inlineStr"/>
      <c r="K508"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8" s="11" t="inlineStr"/>
      <c r="M508"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8"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8" s="12" t="inlineStr">
        <is>
          <t>Open PDF</t>
        </is>
      </c>
    </row>
    <row r="509">
      <c r="A509" t="inlineStr">
        <is>
          <t>GDPR</t>
        </is>
      </c>
      <c r="B509" t="inlineStr">
        <is>
          <t>CELEX_32022L2555_EN_TXT (GDPR - Row 17)</t>
        </is>
      </c>
      <c r="C509" t="inlineStr">
        <is>
          <t>5</t>
        </is>
      </c>
      <c r="D509" s="11" t="inlineStr">
        <is>
          <t>Manufacturing activities for specific sectors</t>
        </is>
      </c>
      <c r="E509" t="inlineStr">
        <is>
          <t>49</t>
        </is>
      </c>
      <c r="F509" t="inlineStr">
        <is>
          <t>None</t>
        </is>
      </c>
      <c r="G509" t="inlineStr">
        <is>
          <t>High (explicit)</t>
        </is>
      </c>
      <c r="H509" s="11" t="inlineStr">
        <is>
          <t>Cross-border Transfer, International Processing, Data Storage, Security</t>
        </is>
      </c>
      <c r="I509" s="11" t="inlineStr">
        <is>
          <t>Special Personal Information</t>
        </is>
      </c>
      <c r="J509" t="inlineStr"/>
      <c r="K509"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09" s="11" t="inlineStr"/>
      <c r="M509"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09"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09" s="12" t="inlineStr">
        <is>
          <t>Open PDF</t>
        </is>
      </c>
    </row>
    <row r="510">
      <c r="A510" t="inlineStr">
        <is>
          <t>GDPR</t>
        </is>
      </c>
      <c r="B510" t="inlineStr">
        <is>
          <t>CELEX_32022L2555_EN_TXT (GDPR - Row 17)</t>
        </is>
      </c>
      <c r="C510" t="inlineStr">
        <is>
          <t>5</t>
        </is>
      </c>
      <c r="D510" s="11" t="inlineStr">
        <is>
          <t>Manufacturing activities for specific sectors</t>
        </is>
      </c>
      <c r="E510" t="inlineStr">
        <is>
          <t>50</t>
        </is>
      </c>
      <c r="F510" t="inlineStr">
        <is>
          <t>None</t>
        </is>
      </c>
      <c r="G510" t="inlineStr">
        <is>
          <t>High (explicit)</t>
        </is>
      </c>
      <c r="H510" s="11" t="inlineStr">
        <is>
          <t>Cross-border Transfer, International Processing, Data Storage, Security</t>
        </is>
      </c>
      <c r="I510" s="11" t="inlineStr">
        <is>
          <t>Special Personal Information</t>
        </is>
      </c>
      <c r="J510" t="inlineStr"/>
      <c r="K510"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0" s="11" t="inlineStr"/>
      <c r="M510"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0"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0" s="12" t="inlineStr">
        <is>
          <t>Open PDF</t>
        </is>
      </c>
    </row>
    <row r="511">
      <c r="A511" t="inlineStr">
        <is>
          <t>GDPR</t>
        </is>
      </c>
      <c r="B511" t="inlineStr">
        <is>
          <t>CELEX_32022L2555_EN_TXT (GDPR - Row 17)</t>
        </is>
      </c>
      <c r="C511" t="inlineStr">
        <is>
          <t>5</t>
        </is>
      </c>
      <c r="D511" s="11" t="inlineStr">
        <is>
          <t>Manufacturing activities for specific sectors</t>
        </is>
      </c>
      <c r="E511" t="inlineStr">
        <is>
          <t>53</t>
        </is>
      </c>
      <c r="F511" t="inlineStr">
        <is>
          <t>None</t>
        </is>
      </c>
      <c r="G511" t="inlineStr">
        <is>
          <t>High (explicit)</t>
        </is>
      </c>
      <c r="H511" s="11" t="inlineStr">
        <is>
          <t>Cross-border Transfer, International Processing, Data Storage, Security</t>
        </is>
      </c>
      <c r="I511" s="11" t="inlineStr">
        <is>
          <t>Special Personal Information</t>
        </is>
      </c>
      <c r="J511" t="inlineStr"/>
      <c r="K511"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1" s="11" t="inlineStr"/>
      <c r="M511"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1"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1" s="12" t="inlineStr">
        <is>
          <t>Open PDF</t>
        </is>
      </c>
    </row>
    <row r="512">
      <c r="A512" t="inlineStr">
        <is>
          <t>GDPR</t>
        </is>
      </c>
      <c r="B512" t="inlineStr">
        <is>
          <t>CELEX_32022L2555_EN_TXT (GDPR - Row 17)</t>
        </is>
      </c>
      <c r="C512" t="inlineStr">
        <is>
          <t>5</t>
        </is>
      </c>
      <c r="D512" s="11" t="inlineStr">
        <is>
          <t>Manufacturing activities for specific sectors</t>
        </is>
      </c>
      <c r="E512" t="inlineStr">
        <is>
          <t>53</t>
        </is>
      </c>
      <c r="F512" t="inlineStr">
        <is>
          <t>None</t>
        </is>
      </c>
      <c r="G512" t="inlineStr">
        <is>
          <t>High (explicit)</t>
        </is>
      </c>
      <c r="H512" s="11" t="inlineStr">
        <is>
          <t>Cross-border Transfer, International Processing, Data Storage, Security</t>
        </is>
      </c>
      <c r="I512" s="11" t="inlineStr">
        <is>
          <t>Special Personal Information</t>
        </is>
      </c>
      <c r="J512" t="inlineStr"/>
      <c r="K512"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2" s="11" t="inlineStr"/>
      <c r="M512"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2"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2" s="12" t="inlineStr">
        <is>
          <t>Open PDF</t>
        </is>
      </c>
    </row>
    <row r="513">
      <c r="A513" t="inlineStr">
        <is>
          <t>GDPR</t>
        </is>
      </c>
      <c r="B513" t="inlineStr">
        <is>
          <t>CELEX_32022L2555_EN_TXT (GDPR - Row 17)</t>
        </is>
      </c>
      <c r="C513" t="inlineStr">
        <is>
          <t>5</t>
        </is>
      </c>
      <c r="D513" s="11" t="inlineStr">
        <is>
          <t>Manufacturing activities for specific sectors</t>
        </is>
      </c>
      <c r="E513" t="inlineStr">
        <is>
          <t>54</t>
        </is>
      </c>
      <c r="F513" t="inlineStr">
        <is>
          <t>None</t>
        </is>
      </c>
      <c r="G513" t="inlineStr">
        <is>
          <t>High (explicit)</t>
        </is>
      </c>
      <c r="H513" s="11" t="inlineStr">
        <is>
          <t>Cross-border Transfer, International Processing, Data Storage, Security</t>
        </is>
      </c>
      <c r="I513" s="11" t="inlineStr">
        <is>
          <t>Special Personal Information</t>
        </is>
      </c>
      <c r="J513" t="inlineStr"/>
      <c r="K513"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3" s="11" t="inlineStr"/>
      <c r="M513"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3"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3" s="12" t="inlineStr">
        <is>
          <t>Open PDF</t>
        </is>
      </c>
    </row>
    <row r="514">
      <c r="A514" t="inlineStr">
        <is>
          <t>GDPR</t>
        </is>
      </c>
      <c r="B514" t="inlineStr">
        <is>
          <t>CELEX_32022L2555_EN_TXT (GDPR - Row 17)</t>
        </is>
      </c>
      <c r="C514" t="inlineStr">
        <is>
          <t>5</t>
        </is>
      </c>
      <c r="D514" s="11" t="inlineStr">
        <is>
          <t>Manufacturing activities for specific sectors</t>
        </is>
      </c>
      <c r="E514" t="inlineStr">
        <is>
          <t>55</t>
        </is>
      </c>
      <c r="F514" t="inlineStr">
        <is>
          <t>None</t>
        </is>
      </c>
      <c r="G514" t="inlineStr">
        <is>
          <t>High (explicit)</t>
        </is>
      </c>
      <c r="H514" s="11" t="inlineStr">
        <is>
          <t>Cross-border Transfer, International Processing, Data Storage, Security</t>
        </is>
      </c>
      <c r="I514" s="11" t="inlineStr">
        <is>
          <t>Special Personal Information</t>
        </is>
      </c>
      <c r="J514" t="inlineStr"/>
      <c r="K514"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4" s="11" t="inlineStr"/>
      <c r="M514"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4"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4" s="12" t="inlineStr">
        <is>
          <t>Open PDF</t>
        </is>
      </c>
    </row>
    <row r="515">
      <c r="A515" t="inlineStr">
        <is>
          <t>GDPR</t>
        </is>
      </c>
      <c r="B515" t="inlineStr">
        <is>
          <t>CELEX_32022L2555_EN_TXT (GDPR - Row 17)</t>
        </is>
      </c>
      <c r="C515" t="inlineStr">
        <is>
          <t>5</t>
        </is>
      </c>
      <c r="D515" s="11" t="inlineStr">
        <is>
          <t>Manufacturing activities for specific sectors</t>
        </is>
      </c>
      <c r="E515" t="inlineStr">
        <is>
          <t>57</t>
        </is>
      </c>
      <c r="F515" t="inlineStr">
        <is>
          <t>None</t>
        </is>
      </c>
      <c r="G515" t="inlineStr">
        <is>
          <t>High (explicit)</t>
        </is>
      </c>
      <c r="H515" s="11" t="inlineStr">
        <is>
          <t>Cross-border Transfer, International Processing, Data Storage, Security</t>
        </is>
      </c>
      <c r="I515" s="11" t="inlineStr">
        <is>
          <t>Special Personal Information</t>
        </is>
      </c>
      <c r="J515" t="inlineStr"/>
      <c r="K515"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5" s="11" t="inlineStr"/>
      <c r="M515"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5"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5" s="12" t="inlineStr">
        <is>
          <t>Open PDF</t>
        </is>
      </c>
    </row>
    <row r="516">
      <c r="A516" t="inlineStr">
        <is>
          <t>GDPR</t>
        </is>
      </c>
      <c r="B516" t="inlineStr">
        <is>
          <t>CELEX_32022L2555_EN_TXT (GDPR - Row 17)</t>
        </is>
      </c>
      <c r="C516" t="inlineStr">
        <is>
          <t>5</t>
        </is>
      </c>
      <c r="D516" s="11" t="inlineStr">
        <is>
          <t>Manufacturing activities for specific sectors</t>
        </is>
      </c>
      <c r="E516" t="inlineStr">
        <is>
          <t>59–60</t>
        </is>
      </c>
      <c r="F516" t="inlineStr">
        <is>
          <t>None</t>
        </is>
      </c>
      <c r="G516" t="inlineStr">
        <is>
          <t>High (explicit)</t>
        </is>
      </c>
      <c r="H516" s="11" t="inlineStr">
        <is>
          <t>Cross-border Transfer, International Processing, Data Storage, Security</t>
        </is>
      </c>
      <c r="I516" s="11" t="inlineStr">
        <is>
          <t>Special Personal Information</t>
        </is>
      </c>
      <c r="J516" t="inlineStr"/>
      <c r="K516"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6" s="11" t="inlineStr"/>
      <c r="M516"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6"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6" s="12" t="inlineStr">
        <is>
          <t>Open PDF</t>
        </is>
      </c>
    </row>
    <row r="517">
      <c r="A517" t="inlineStr">
        <is>
          <t>GDPR</t>
        </is>
      </c>
      <c r="B517" t="inlineStr">
        <is>
          <t>CELEX_32022L2555_EN_TXT (GDPR - Row 17)</t>
        </is>
      </c>
      <c r="C517" t="inlineStr">
        <is>
          <t>5</t>
        </is>
      </c>
      <c r="D517" s="11" t="inlineStr">
        <is>
          <t>Manufacturing activities for specific sectors</t>
        </is>
      </c>
      <c r="E517" t="inlineStr">
        <is>
          <t>60</t>
        </is>
      </c>
      <c r="F517" t="inlineStr">
        <is>
          <t>None</t>
        </is>
      </c>
      <c r="G517" t="inlineStr">
        <is>
          <t>High (explicit)</t>
        </is>
      </c>
      <c r="H517" s="11" t="inlineStr">
        <is>
          <t>Cross-border Transfer, International Processing, Data Storage, Security</t>
        </is>
      </c>
      <c r="I517" s="11" t="inlineStr">
        <is>
          <t>Special Personal Information</t>
        </is>
      </c>
      <c r="J517" t="inlineStr"/>
      <c r="K517"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7" s="11" t="inlineStr"/>
      <c r="M517"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7"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7" s="12" t="inlineStr">
        <is>
          <t>Open PDF</t>
        </is>
      </c>
    </row>
    <row r="518">
      <c r="A518" t="inlineStr">
        <is>
          <t>GDPR</t>
        </is>
      </c>
      <c r="B518" t="inlineStr">
        <is>
          <t>CELEX_32022L2555_EN_TXT (GDPR - Row 17)</t>
        </is>
      </c>
      <c r="C518" t="inlineStr">
        <is>
          <t>5</t>
        </is>
      </c>
      <c r="D518" s="11" t="inlineStr">
        <is>
          <t>Manufacturing activities for specific sectors</t>
        </is>
      </c>
      <c r="E518" t="inlineStr">
        <is>
          <t>66</t>
        </is>
      </c>
      <c r="F518" t="inlineStr">
        <is>
          <t>None</t>
        </is>
      </c>
      <c r="G518" t="inlineStr">
        <is>
          <t>High (explicit)</t>
        </is>
      </c>
      <c r="H518" s="11" t="inlineStr">
        <is>
          <t>Cross-border Transfer, International Processing, Data Storage, Security</t>
        </is>
      </c>
      <c r="I518" s="11" t="inlineStr">
        <is>
          <t>Special Personal Information</t>
        </is>
      </c>
      <c r="J518" t="inlineStr"/>
      <c r="K518"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8" s="11" t="inlineStr"/>
      <c r="M518"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8"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8" s="12" t="inlineStr">
        <is>
          <t>Open PDF</t>
        </is>
      </c>
    </row>
    <row r="519">
      <c r="A519" t="inlineStr">
        <is>
          <t>GDPR</t>
        </is>
      </c>
      <c r="B519" t="inlineStr">
        <is>
          <t>CELEX_32022L2555_EN_TXT (GDPR - Row 17)</t>
        </is>
      </c>
      <c r="C519" t="inlineStr">
        <is>
          <t>5</t>
        </is>
      </c>
      <c r="D519" s="11" t="inlineStr">
        <is>
          <t>Manufacturing activities for specific sectors</t>
        </is>
      </c>
      <c r="E519" t="inlineStr">
        <is>
          <t>69–70</t>
        </is>
      </c>
      <c r="F519" t="inlineStr">
        <is>
          <t>None</t>
        </is>
      </c>
      <c r="G519" t="inlineStr">
        <is>
          <t>High (explicit)</t>
        </is>
      </c>
      <c r="H519" s="11" t="inlineStr">
        <is>
          <t>Cross-border Transfer, International Processing, Data Storage, Security</t>
        </is>
      </c>
      <c r="I519" s="11" t="inlineStr">
        <is>
          <t>Special Personal Information</t>
        </is>
      </c>
      <c r="J519" t="inlineStr"/>
      <c r="K519" s="11" t="inlineStr">
        <is>
          <t>This section lists entities involved in manufacturing medical devices, in vitro diagnostic medical devices, computer/electronic products, electrical equipment, machinery, motor vehicles, and other transport equipment. Each category is defined by specific NACE Rev. 2 economic activities.</t>
        </is>
      </c>
      <c r="L519" s="11" t="inlineStr"/>
      <c r="M519" s="11" t="inlineStr">
        <is>
          <t>• [Must] Entities manufacturing medical devices as defined in Article 2, point (1), of Regulation (EU) 2017/745
• [Must] Entities manufacturing in vitro diagnostic medical devices as defined in Article 2, point (2), of Regulation (EU) 2017/746
• [Must] Undertakings carrying out economic activities in section C division 26 of NACE Rev. 2
• [Must] Undertakings carrying out economic activities in section C division 27 of NACE Rev. 2
• [Must] Undertakings carrying out economic activities in section C division 28 of NACE Rev. 2
• [Must] Undertakings carrying out economic activities in section C division 29 of NACE Rev. 2
• [Must] Undertakings carrying out economic activities in section C division 30 of NACE Rev. 2</t>
        </is>
      </c>
      <c r="N519" s="11" t="inlineStr">
        <is>
          <t>5. Manufacturing (a) Manufacture of medical devices and in vitro diagnostic medical devices Entities manufacturing medical devices as defined in Article 2, point (1), of Regulation (EU) 2017/745 of the European Parliament and of the Council (4), and entities manufacturing in vitro diagnostic medical devices as defined in Article 2, point (2), of Regulation (EU) 2017/746 of the European Parliament and of the Council (5) with the exception of entities manufacturing medical devices referred to in Annex I, point 5, fifth indent, of this Directive (b) Manufacture of computer, electronic and optical products Undertakings carrying out any of the economic activities referred to in section C division 26 of NACE Rev. 2 (c) Manufacture of electrical equipment Undertakings carrying out any of the economic activities referred to in section C division 27 of NACE Rev. 2 (d) Manufacture of machinery and equipment n.e.c. Undertakings carrying out any of the economic activities referred to in section C division 28 of NACE Rev. 2 (e) Manufacture of motor vehicles, trailers and semi-trailers Undertakings carrying out any of the economic activities referred to in section C division 29 of NACE Rev. 2 (f) Manufacture of other transport equipment Undertakings carrying out any of the economic activities referred to in section C division 30 of NACE Rev. 2</t>
        </is>
      </c>
      <c r="O519" s="12" t="inlineStr">
        <is>
          <t>Open PDF</t>
        </is>
      </c>
    </row>
    <row r="520">
      <c r="A520" t="inlineStr">
        <is>
          <t>GDPR</t>
        </is>
      </c>
      <c r="B520" t="inlineStr">
        <is>
          <t>CELEX_32022L2555_EN_TXT (GDPR - Row 17)</t>
        </is>
      </c>
      <c r="C520" t="inlineStr">
        <is>
          <t>6</t>
        </is>
      </c>
      <c r="D520" s="11" t="inlineStr">
        <is>
          <t>Drinking water suppliers defined for regulatory purposes</t>
        </is>
      </c>
      <c r="E520" t="inlineStr">
        <is>
          <t>30</t>
        </is>
      </c>
      <c r="F520" t="inlineStr">
        <is>
          <t>None</t>
        </is>
      </c>
      <c r="G520" t="inlineStr">
        <is>
          <t>High (explicit)</t>
        </is>
      </c>
      <c r="H520" s="11" t="inlineStr"/>
      <c r="I520" s="11" t="inlineStr"/>
      <c r="J520" t="inlineStr"/>
      <c r="K520"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0" s="11" t="inlineStr"/>
      <c r="M520" s="11" t="inlineStr"/>
      <c r="N520" s="11" t="inlineStr">
        <is>
          <t>Drinking water
Suppliers and distributors of water intended for human consumption as defined in Article 2, point (1)(a), of Directive (EU) 2020/2184 of the European Parliament and of the Council (22)</t>
        </is>
      </c>
      <c r="O520" s="12" t="inlineStr">
        <is>
          <t>Open PDF</t>
        </is>
      </c>
    </row>
    <row r="521">
      <c r="A521" t="inlineStr">
        <is>
          <t>GDPR</t>
        </is>
      </c>
      <c r="B521" t="inlineStr">
        <is>
          <t>CELEX_32022L2555_EN_TXT (GDPR - Row 17)</t>
        </is>
      </c>
      <c r="C521" t="inlineStr">
        <is>
          <t>6</t>
        </is>
      </c>
      <c r="D521" s="11" t="inlineStr">
        <is>
          <t>Drinking water suppliers defined for regulatory purposes</t>
        </is>
      </c>
      <c r="E521" t="inlineStr">
        <is>
          <t>32</t>
        </is>
      </c>
      <c r="F521" t="inlineStr">
        <is>
          <t>None</t>
        </is>
      </c>
      <c r="G521" t="inlineStr">
        <is>
          <t>High (explicit)</t>
        </is>
      </c>
      <c r="H521" s="11" t="inlineStr"/>
      <c r="I521" s="11" t="inlineStr"/>
      <c r="J521" t="inlineStr"/>
      <c r="K521"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1" s="11" t="inlineStr"/>
      <c r="M521" s="11" t="inlineStr"/>
      <c r="N521" s="11" t="inlineStr">
        <is>
          <t>Drinking water
Suppliers and distributors of water intended for human consumption as defined in Article 2, point (1)(a), of Directive (EU) 2020/2184 of the European Parliament and of the Council (22)</t>
        </is>
      </c>
      <c r="O521" s="12" t="inlineStr">
        <is>
          <t>Open PDF</t>
        </is>
      </c>
    </row>
    <row r="522">
      <c r="A522" t="inlineStr">
        <is>
          <t>GDPR</t>
        </is>
      </c>
      <c r="B522" t="inlineStr">
        <is>
          <t>CELEX_32022L2555_EN_TXT (GDPR - Row 17)</t>
        </is>
      </c>
      <c r="C522" t="inlineStr">
        <is>
          <t>6</t>
        </is>
      </c>
      <c r="D522" s="11" t="inlineStr">
        <is>
          <t>Drinking water suppliers defined for regulatory purposes</t>
        </is>
      </c>
      <c r="E522" t="inlineStr">
        <is>
          <t>37</t>
        </is>
      </c>
      <c r="F522" t="inlineStr">
        <is>
          <t>None</t>
        </is>
      </c>
      <c r="G522" t="inlineStr">
        <is>
          <t>High (explicit)</t>
        </is>
      </c>
      <c r="H522" s="11" t="inlineStr"/>
      <c r="I522" s="11" t="inlineStr"/>
      <c r="J522" t="inlineStr"/>
      <c r="K522"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2" s="11" t="inlineStr"/>
      <c r="M522" s="11" t="inlineStr"/>
      <c r="N522" s="11" t="inlineStr">
        <is>
          <t>Drinking water
Suppliers and distributors of water intended for human consumption as defined in Article 2, point (1)(a), of Directive (EU) 2020/2184 of the European Parliament and of the Council (22)</t>
        </is>
      </c>
      <c r="O522" s="12" t="inlineStr">
        <is>
          <t>Open PDF</t>
        </is>
      </c>
    </row>
    <row r="523">
      <c r="A523" t="inlineStr">
        <is>
          <t>GDPR</t>
        </is>
      </c>
      <c r="B523" t="inlineStr">
        <is>
          <t>CELEX_32022L2555_EN_TXT (GDPR - Row 17)</t>
        </is>
      </c>
      <c r="C523" t="inlineStr">
        <is>
          <t>6</t>
        </is>
      </c>
      <c r="D523" s="11" t="inlineStr">
        <is>
          <t>Drinking water suppliers defined for regulatory purposes</t>
        </is>
      </c>
      <c r="E523" t="inlineStr">
        <is>
          <t>38–39</t>
        </is>
      </c>
      <c r="F523" t="inlineStr">
        <is>
          <t>None</t>
        </is>
      </c>
      <c r="G523" t="inlineStr">
        <is>
          <t>High (explicit)</t>
        </is>
      </c>
      <c r="H523" s="11" t="inlineStr"/>
      <c r="I523" s="11" t="inlineStr"/>
      <c r="J523" t="inlineStr"/>
      <c r="K523"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3" s="11" t="inlineStr"/>
      <c r="M523" s="11" t="inlineStr"/>
      <c r="N523" s="11" t="inlineStr">
        <is>
          <t>Drinking water
Suppliers and distributors of water intended for human consumption as defined in Article 2, point (1)(a), of Directive (EU) 2020/2184 of the European Parliament and of the Council (22)</t>
        </is>
      </c>
      <c r="O523" s="12" t="inlineStr">
        <is>
          <t>Open PDF</t>
        </is>
      </c>
    </row>
    <row r="524">
      <c r="A524" t="inlineStr">
        <is>
          <t>GDPR</t>
        </is>
      </c>
      <c r="B524" t="inlineStr">
        <is>
          <t>CELEX_32022L2555_EN_TXT (GDPR - Row 17)</t>
        </is>
      </c>
      <c r="C524" t="inlineStr">
        <is>
          <t>6</t>
        </is>
      </c>
      <c r="D524" s="11" t="inlineStr">
        <is>
          <t>Drinking water suppliers defined for regulatory purposes</t>
        </is>
      </c>
      <c r="E524" t="inlineStr">
        <is>
          <t>41–42</t>
        </is>
      </c>
      <c r="F524" t="inlineStr">
        <is>
          <t>None</t>
        </is>
      </c>
      <c r="G524" t="inlineStr">
        <is>
          <t>High (explicit)</t>
        </is>
      </c>
      <c r="H524" s="11" t="inlineStr"/>
      <c r="I524" s="11" t="inlineStr"/>
      <c r="J524" t="inlineStr"/>
      <c r="K524"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4" s="11" t="inlineStr"/>
      <c r="M524" s="11" t="inlineStr"/>
      <c r="N524" s="11" t="inlineStr">
        <is>
          <t>Drinking water
Suppliers and distributors of water intended for human consumption as defined in Article 2, point (1)(a), of Directive (EU) 2020/2184 of the European Parliament and of the Council (22)</t>
        </is>
      </c>
      <c r="O524" s="12" t="inlineStr">
        <is>
          <t>Open PDF</t>
        </is>
      </c>
    </row>
    <row r="525">
      <c r="A525" t="inlineStr">
        <is>
          <t>GDPR</t>
        </is>
      </c>
      <c r="B525" t="inlineStr">
        <is>
          <t>CELEX_32022L2555_EN_TXT (GDPR - Row 17)</t>
        </is>
      </c>
      <c r="C525" t="inlineStr">
        <is>
          <t>6</t>
        </is>
      </c>
      <c r="D525" s="11" t="inlineStr">
        <is>
          <t>Drinking water suppliers defined for regulatory purposes</t>
        </is>
      </c>
      <c r="E525" t="inlineStr">
        <is>
          <t>45</t>
        </is>
      </c>
      <c r="F525" t="inlineStr">
        <is>
          <t>None</t>
        </is>
      </c>
      <c r="G525" t="inlineStr">
        <is>
          <t>High (explicit)</t>
        </is>
      </c>
      <c r="H525" s="11" t="inlineStr"/>
      <c r="I525" s="11" t="inlineStr"/>
      <c r="J525" t="inlineStr"/>
      <c r="K525"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5" s="11" t="inlineStr"/>
      <c r="M525" s="11" t="inlineStr"/>
      <c r="N525" s="11" t="inlineStr">
        <is>
          <t>Drinking water
Suppliers and distributors of water intended for human consumption as defined in Article 2, point (1)(a), of Directive (EU) 2020/2184 of the European Parliament and of the Council (22)</t>
        </is>
      </c>
      <c r="O525" s="12" t="inlineStr">
        <is>
          <t>Open PDF</t>
        </is>
      </c>
    </row>
    <row r="526">
      <c r="A526" t="inlineStr">
        <is>
          <t>GDPR</t>
        </is>
      </c>
      <c r="B526" t="inlineStr">
        <is>
          <t>CELEX_32022L2555_EN_TXT (GDPR - Row 17)</t>
        </is>
      </c>
      <c r="C526" t="inlineStr">
        <is>
          <t>6</t>
        </is>
      </c>
      <c r="D526" s="11" t="inlineStr">
        <is>
          <t>Drinking water suppliers defined for regulatory purposes</t>
        </is>
      </c>
      <c r="E526" t="inlineStr">
        <is>
          <t>47</t>
        </is>
      </c>
      <c r="F526" t="inlineStr">
        <is>
          <t>None</t>
        </is>
      </c>
      <c r="G526" t="inlineStr">
        <is>
          <t>High (explicit)</t>
        </is>
      </c>
      <c r="H526" s="11" t="inlineStr"/>
      <c r="I526" s="11" t="inlineStr"/>
      <c r="J526" t="inlineStr"/>
      <c r="K526"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6" s="11" t="inlineStr"/>
      <c r="M526" s="11" t="inlineStr"/>
      <c r="N526" s="11" t="inlineStr">
        <is>
          <t>Drinking water
Suppliers and distributors of water intended for human consumption as defined in Article 2, point (1)(a), of Directive (EU) 2020/2184 of the European Parliament and of the Council (22)</t>
        </is>
      </c>
      <c r="O526" s="12" t="inlineStr">
        <is>
          <t>Open PDF</t>
        </is>
      </c>
    </row>
    <row r="527">
      <c r="A527" t="inlineStr">
        <is>
          <t>GDPR</t>
        </is>
      </c>
      <c r="B527" t="inlineStr">
        <is>
          <t>CELEX_32022L2555_EN_TXT (GDPR - Row 17)</t>
        </is>
      </c>
      <c r="C527" t="inlineStr">
        <is>
          <t>6</t>
        </is>
      </c>
      <c r="D527" s="11" t="inlineStr">
        <is>
          <t>Drinking water suppliers defined for regulatory purposes</t>
        </is>
      </c>
      <c r="E527" t="inlineStr">
        <is>
          <t>50–51</t>
        </is>
      </c>
      <c r="F527" t="inlineStr">
        <is>
          <t>None</t>
        </is>
      </c>
      <c r="G527" t="inlineStr">
        <is>
          <t>High (explicit)</t>
        </is>
      </c>
      <c r="H527" s="11" t="inlineStr"/>
      <c r="I527" s="11" t="inlineStr"/>
      <c r="J527" t="inlineStr"/>
      <c r="K527"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7" s="11" t="inlineStr"/>
      <c r="M527" s="11" t="inlineStr"/>
      <c r="N527" s="11" t="inlineStr">
        <is>
          <t>Drinking water
Suppliers and distributors of water intended for human consumption as defined in Article 2, point (1)(a), of Directive (EU) 2020/2184 of the European Parliament and of the Council (22)</t>
        </is>
      </c>
      <c r="O527" s="12" t="inlineStr">
        <is>
          <t>Open PDF</t>
        </is>
      </c>
    </row>
    <row r="528">
      <c r="A528" t="inlineStr">
        <is>
          <t>GDPR</t>
        </is>
      </c>
      <c r="B528" t="inlineStr">
        <is>
          <t>CELEX_32022L2555_EN_TXT (GDPR - Row 17)</t>
        </is>
      </c>
      <c r="C528" t="inlineStr">
        <is>
          <t>6</t>
        </is>
      </c>
      <c r="D528" s="11" t="inlineStr">
        <is>
          <t>Drinking water suppliers defined for regulatory purposes</t>
        </is>
      </c>
      <c r="E528" t="inlineStr">
        <is>
          <t>54</t>
        </is>
      </c>
      <c r="F528" t="inlineStr">
        <is>
          <t>None</t>
        </is>
      </c>
      <c r="G528" t="inlineStr">
        <is>
          <t>High (explicit)</t>
        </is>
      </c>
      <c r="H528" s="11" t="inlineStr"/>
      <c r="I528" s="11" t="inlineStr"/>
      <c r="J528" t="inlineStr"/>
      <c r="K528"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8" s="11" t="inlineStr"/>
      <c r="M528" s="11" t="inlineStr"/>
      <c r="N528" s="11" t="inlineStr">
        <is>
          <t>Drinking water
Suppliers and distributors of water intended for human consumption as defined in Article 2, point (1)(a), of Directive (EU) 2020/2184 of the European Parliament and of the Council (22)</t>
        </is>
      </c>
      <c r="O528" s="12" t="inlineStr">
        <is>
          <t>Open PDF</t>
        </is>
      </c>
    </row>
    <row r="529">
      <c r="A529" t="inlineStr">
        <is>
          <t>GDPR</t>
        </is>
      </c>
      <c r="B529" t="inlineStr">
        <is>
          <t>CELEX_32022L2555_EN_TXT (GDPR - Row 17)</t>
        </is>
      </c>
      <c r="C529" t="inlineStr">
        <is>
          <t>6</t>
        </is>
      </c>
      <c r="D529" s="11" t="inlineStr">
        <is>
          <t>Drinking water suppliers defined for regulatory purposes</t>
        </is>
      </c>
      <c r="E529" t="inlineStr">
        <is>
          <t>57–58</t>
        </is>
      </c>
      <c r="F529" t="inlineStr">
        <is>
          <t>None</t>
        </is>
      </c>
      <c r="G529" t="inlineStr">
        <is>
          <t>High (explicit)</t>
        </is>
      </c>
      <c r="H529" s="11" t="inlineStr"/>
      <c r="I529" s="11" t="inlineStr"/>
      <c r="J529" t="inlineStr"/>
      <c r="K529"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29" s="11" t="inlineStr"/>
      <c r="M529" s="11" t="inlineStr"/>
      <c r="N529" s="11" t="inlineStr">
        <is>
          <t>Drinking water
Suppliers and distributors of water intended for human consumption as defined in Article 2, point (1)(a), of Directive (EU) 2020/2184 of the European Parliament and of the Council (22)</t>
        </is>
      </c>
      <c r="O529" s="12" t="inlineStr">
        <is>
          <t>Open PDF</t>
        </is>
      </c>
    </row>
    <row r="530">
      <c r="A530" t="inlineStr">
        <is>
          <t>GDPR</t>
        </is>
      </c>
      <c r="B530" t="inlineStr">
        <is>
          <t>CELEX_32022L2555_EN_TXT (GDPR - Row 17)</t>
        </is>
      </c>
      <c r="C530" t="inlineStr">
        <is>
          <t>6</t>
        </is>
      </c>
      <c r="D530" s="11" t="inlineStr">
        <is>
          <t>Drinking water suppliers defined for regulatory purposes</t>
        </is>
      </c>
      <c r="E530" t="inlineStr">
        <is>
          <t>60</t>
        </is>
      </c>
      <c r="F530" t="inlineStr">
        <is>
          <t>None</t>
        </is>
      </c>
      <c r="G530" t="inlineStr">
        <is>
          <t>High (explicit)</t>
        </is>
      </c>
      <c r="H530" s="11" t="inlineStr"/>
      <c r="I530" s="11" t="inlineStr"/>
      <c r="J530" t="inlineStr"/>
      <c r="K530"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30" s="11" t="inlineStr"/>
      <c r="M530" s="11" t="inlineStr"/>
      <c r="N530" s="11" t="inlineStr">
        <is>
          <t>Drinking water
Suppliers and distributors of water intended for human consumption as defined in Article 2, point (1)(a), of Directive (EU) 2020/2184 of the European Parliament and of the Council (22)</t>
        </is>
      </c>
      <c r="O530" s="12" t="inlineStr">
        <is>
          <t>Open PDF</t>
        </is>
      </c>
    </row>
    <row r="531">
      <c r="A531" t="inlineStr">
        <is>
          <t>GDPR</t>
        </is>
      </c>
      <c r="B531" t="inlineStr">
        <is>
          <t>CELEX_32022L2555_EN_TXT (GDPR - Row 17)</t>
        </is>
      </c>
      <c r="C531" t="inlineStr">
        <is>
          <t>6</t>
        </is>
      </c>
      <c r="D531" s="11" t="inlineStr">
        <is>
          <t>Drinking water suppliers defined for regulatory purposes</t>
        </is>
      </c>
      <c r="E531" t="inlineStr">
        <is>
          <t>60</t>
        </is>
      </c>
      <c r="F531" t="inlineStr">
        <is>
          <t>None</t>
        </is>
      </c>
      <c r="G531" t="inlineStr">
        <is>
          <t>High (explicit)</t>
        </is>
      </c>
      <c r="H531" s="11" t="inlineStr"/>
      <c r="I531" s="11" t="inlineStr"/>
      <c r="J531" t="inlineStr"/>
      <c r="K531"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31" s="11" t="inlineStr"/>
      <c r="M531" s="11" t="inlineStr"/>
      <c r="N531" s="11" t="inlineStr">
        <is>
          <t>Drinking water
Suppliers and distributors of water intended for human consumption as defined in Article 2, point (1)(a), of Directive (EU) 2020/2184 of the European Parliament and of the Council (22)</t>
        </is>
      </c>
      <c r="O531" s="12" t="inlineStr">
        <is>
          <t>Open PDF</t>
        </is>
      </c>
    </row>
    <row r="532">
      <c r="A532" t="inlineStr">
        <is>
          <t>GDPR</t>
        </is>
      </c>
      <c r="B532" t="inlineStr">
        <is>
          <t>CELEX_32022L2555_EN_TXT (GDPR - Row 17)</t>
        </is>
      </c>
      <c r="C532" t="inlineStr">
        <is>
          <t>6</t>
        </is>
      </c>
      <c r="D532" s="11" t="inlineStr">
        <is>
          <t>Drinking water suppliers defined for regulatory purposes</t>
        </is>
      </c>
      <c r="E532" t="inlineStr">
        <is>
          <t>62</t>
        </is>
      </c>
      <c r="F532" t="inlineStr">
        <is>
          <t>None</t>
        </is>
      </c>
      <c r="G532" t="inlineStr">
        <is>
          <t>High (explicit)</t>
        </is>
      </c>
      <c r="H532" s="11" t="inlineStr"/>
      <c r="I532" s="11" t="inlineStr"/>
      <c r="J532" t="inlineStr"/>
      <c r="K532"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32" s="11" t="inlineStr"/>
      <c r="M532" s="11" t="inlineStr"/>
      <c r="N532" s="11" t="inlineStr">
        <is>
          <t>Drinking water
Suppliers and distributors of water intended for human consumption as defined in Article 2, point (1)(a), of Directive (EU) 2020/2184 of the European Parliament and of the Council (22)</t>
        </is>
      </c>
      <c r="O532" s="12" t="inlineStr">
        <is>
          <t>Open PDF</t>
        </is>
      </c>
    </row>
    <row r="533">
      <c r="A533" t="inlineStr">
        <is>
          <t>GDPR</t>
        </is>
      </c>
      <c r="B533" t="inlineStr">
        <is>
          <t>CELEX_32022L2555_EN_TXT (GDPR - Row 17)</t>
        </is>
      </c>
      <c r="C533" t="inlineStr">
        <is>
          <t>6</t>
        </is>
      </c>
      <c r="D533" s="11" t="inlineStr">
        <is>
          <t>Drinking water suppliers defined for regulatory purposes</t>
        </is>
      </c>
      <c r="E533" t="inlineStr">
        <is>
          <t>66</t>
        </is>
      </c>
      <c r="F533" t="inlineStr">
        <is>
          <t>None</t>
        </is>
      </c>
      <c r="G533" t="inlineStr">
        <is>
          <t>High (explicit)</t>
        </is>
      </c>
      <c r="H533" s="11" t="inlineStr"/>
      <c r="I533" s="11" t="inlineStr"/>
      <c r="J533" t="inlineStr"/>
      <c r="K533" s="11" t="inlineStr">
        <is>
          <t>This section defines specific entities within the drinking water sector that fall under regulatory oversight, including suppliers and distributors of water intended for human consumption, excluding those where water distribution is a non-essential part of their general activity.</t>
        </is>
      </c>
      <c r="L533" s="11" t="inlineStr"/>
      <c r="M533" s="11" t="inlineStr"/>
      <c r="N533" s="11" t="inlineStr">
        <is>
          <t>Drinking water
Suppliers and distributors of water intended for human consumption as defined in Article 2, point (1)(a), of Directive (EU) 2020/2184 of the European Parliament and of the Council (22)</t>
        </is>
      </c>
      <c r="O533" s="12" t="inlineStr">
        <is>
          <t>Open PDF</t>
        </is>
      </c>
    </row>
    <row r="534">
      <c r="A534" t="inlineStr">
        <is>
          <t>GDPR</t>
        </is>
      </c>
      <c r="B534" t="inlineStr">
        <is>
          <t>CELEX_32022L2555_EN_TXT (GDPR - Row 17)</t>
        </is>
      </c>
      <c r="C534" t="inlineStr">
        <is>
          <t>7</t>
        </is>
      </c>
      <c r="D534" s="11" t="inlineStr">
        <is>
          <t>Research organizations and regulatory frameworks</t>
        </is>
      </c>
      <c r="E534" t="inlineStr">
        <is>
          <t>30</t>
        </is>
      </c>
      <c r="F534" t="inlineStr">
        <is>
          <t>None</t>
        </is>
      </c>
      <c r="G534" t="inlineStr">
        <is>
          <t>High (explicit)</t>
        </is>
      </c>
      <c r="H534" s="11" t="inlineStr">
        <is>
          <t>Cross-border Transfer, International Processing, Data Storage, Security</t>
        </is>
      </c>
      <c r="I534" s="11" t="inlineStr">
        <is>
          <t>Special Personal Information</t>
        </is>
      </c>
      <c r="J534" t="inlineStr"/>
      <c r="K534"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4" s="11" t="inlineStr"/>
      <c r="M534"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4"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4" s="12" t="inlineStr">
        <is>
          <t>Open PDF</t>
        </is>
      </c>
    </row>
    <row r="535">
      <c r="A535" t="inlineStr">
        <is>
          <t>GDPR</t>
        </is>
      </c>
      <c r="B535" t="inlineStr">
        <is>
          <t>CELEX_32022L2555_EN_TXT (GDPR - Row 17)</t>
        </is>
      </c>
      <c r="C535" t="inlineStr">
        <is>
          <t>7</t>
        </is>
      </c>
      <c r="D535" s="11" t="inlineStr">
        <is>
          <t>Research organizations and regulatory frameworks</t>
        </is>
      </c>
      <c r="E535" t="inlineStr">
        <is>
          <t>39</t>
        </is>
      </c>
      <c r="F535" t="inlineStr">
        <is>
          <t>None</t>
        </is>
      </c>
      <c r="G535" t="inlineStr">
        <is>
          <t>High (explicit)</t>
        </is>
      </c>
      <c r="H535" s="11" t="inlineStr">
        <is>
          <t>Cross-border Transfer, International Processing, Data Storage, Security</t>
        </is>
      </c>
      <c r="I535" s="11" t="inlineStr">
        <is>
          <t>Special Personal Information</t>
        </is>
      </c>
      <c r="J535" t="inlineStr"/>
      <c r="K535"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5" s="11" t="inlineStr"/>
      <c r="M535"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5"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5" s="12" t="inlineStr">
        <is>
          <t>Open PDF</t>
        </is>
      </c>
    </row>
    <row r="536">
      <c r="A536" t="inlineStr">
        <is>
          <t>GDPR</t>
        </is>
      </c>
      <c r="B536" t="inlineStr">
        <is>
          <t>CELEX_32022L2555_EN_TXT (GDPR - Row 17)</t>
        </is>
      </c>
      <c r="C536" t="inlineStr">
        <is>
          <t>7</t>
        </is>
      </c>
      <c r="D536" s="11" t="inlineStr">
        <is>
          <t>Research organizations and regulatory frameworks</t>
        </is>
      </c>
      <c r="E536" t="inlineStr">
        <is>
          <t>43</t>
        </is>
      </c>
      <c r="F536" t="inlineStr">
        <is>
          <t>None</t>
        </is>
      </c>
      <c r="G536" t="inlineStr">
        <is>
          <t>High (explicit)</t>
        </is>
      </c>
      <c r="H536" s="11" t="inlineStr">
        <is>
          <t>Cross-border Transfer, International Processing, Data Storage, Security</t>
        </is>
      </c>
      <c r="I536" s="11" t="inlineStr">
        <is>
          <t>Special Personal Information</t>
        </is>
      </c>
      <c r="J536" t="inlineStr"/>
      <c r="K536"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6" s="11" t="inlineStr"/>
      <c r="M536"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6"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6" s="12" t="inlineStr">
        <is>
          <t>Open PDF</t>
        </is>
      </c>
    </row>
    <row r="537">
      <c r="A537" t="inlineStr">
        <is>
          <t>GDPR</t>
        </is>
      </c>
      <c r="B537" t="inlineStr">
        <is>
          <t>CELEX_32022L2555_EN_TXT (GDPR - Row 17)</t>
        </is>
      </c>
      <c r="C537" t="inlineStr">
        <is>
          <t>7</t>
        </is>
      </c>
      <c r="D537" s="11" t="inlineStr">
        <is>
          <t>Research organizations and regulatory frameworks</t>
        </is>
      </c>
      <c r="E537" t="inlineStr">
        <is>
          <t>45–46</t>
        </is>
      </c>
      <c r="F537" t="inlineStr">
        <is>
          <t>None</t>
        </is>
      </c>
      <c r="G537" t="inlineStr">
        <is>
          <t>High (explicit)</t>
        </is>
      </c>
      <c r="H537" s="11" t="inlineStr">
        <is>
          <t>Cross-border Transfer, International Processing, Data Storage, Security</t>
        </is>
      </c>
      <c r="I537" s="11" t="inlineStr">
        <is>
          <t>Special Personal Information</t>
        </is>
      </c>
      <c r="J537" t="inlineStr"/>
      <c r="K537"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7" s="11" t="inlineStr"/>
      <c r="M537"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7"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7" s="12" t="inlineStr">
        <is>
          <t>Open PDF</t>
        </is>
      </c>
    </row>
    <row r="538">
      <c r="A538" t="inlineStr">
        <is>
          <t>GDPR</t>
        </is>
      </c>
      <c r="B538" t="inlineStr">
        <is>
          <t>CELEX_32022L2555_EN_TXT (GDPR - Row 17)</t>
        </is>
      </c>
      <c r="C538" t="inlineStr">
        <is>
          <t>7</t>
        </is>
      </c>
      <c r="D538" s="11" t="inlineStr">
        <is>
          <t>Research organizations and regulatory frameworks</t>
        </is>
      </c>
      <c r="E538" t="inlineStr">
        <is>
          <t>47</t>
        </is>
      </c>
      <c r="F538" t="inlineStr">
        <is>
          <t>None</t>
        </is>
      </c>
      <c r="G538" t="inlineStr">
        <is>
          <t>High (explicit)</t>
        </is>
      </c>
      <c r="H538" s="11" t="inlineStr">
        <is>
          <t>Cross-border Transfer, International Processing, Data Storage, Security</t>
        </is>
      </c>
      <c r="I538" s="11" t="inlineStr">
        <is>
          <t>Special Personal Information</t>
        </is>
      </c>
      <c r="J538" t="inlineStr"/>
      <c r="K538"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8" s="11" t="inlineStr"/>
      <c r="M538"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8"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8" s="12" t="inlineStr">
        <is>
          <t>Open PDF</t>
        </is>
      </c>
    </row>
    <row r="539">
      <c r="A539" t="inlineStr">
        <is>
          <t>GDPR</t>
        </is>
      </c>
      <c r="B539" t="inlineStr">
        <is>
          <t>CELEX_32022L2555_EN_TXT (GDPR - Row 17)</t>
        </is>
      </c>
      <c r="C539" t="inlineStr">
        <is>
          <t>7</t>
        </is>
      </c>
      <c r="D539" s="11" t="inlineStr">
        <is>
          <t>Research organizations and regulatory frameworks</t>
        </is>
      </c>
      <c r="E539" t="inlineStr">
        <is>
          <t>51</t>
        </is>
      </c>
      <c r="F539" t="inlineStr">
        <is>
          <t>None</t>
        </is>
      </c>
      <c r="G539" t="inlineStr">
        <is>
          <t>High (explicit)</t>
        </is>
      </c>
      <c r="H539" s="11" t="inlineStr">
        <is>
          <t>Cross-border Transfer, International Processing, Data Storage, Security</t>
        </is>
      </c>
      <c r="I539" s="11" t="inlineStr">
        <is>
          <t>Special Personal Information</t>
        </is>
      </c>
      <c r="J539" t="inlineStr"/>
      <c r="K539"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39" s="11" t="inlineStr"/>
      <c r="M539"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39"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39" s="12" t="inlineStr">
        <is>
          <t>Open PDF</t>
        </is>
      </c>
    </row>
    <row r="540">
      <c r="A540" t="inlineStr">
        <is>
          <t>GDPR</t>
        </is>
      </c>
      <c r="B540" t="inlineStr">
        <is>
          <t>CELEX_32022L2555_EN_TXT (GDPR - Row 17)</t>
        </is>
      </c>
      <c r="C540" t="inlineStr">
        <is>
          <t>7</t>
        </is>
      </c>
      <c r="D540" s="11" t="inlineStr">
        <is>
          <t>Research organizations and regulatory frameworks</t>
        </is>
      </c>
      <c r="E540" t="inlineStr">
        <is>
          <t>58</t>
        </is>
      </c>
      <c r="F540" t="inlineStr">
        <is>
          <t>None</t>
        </is>
      </c>
      <c r="G540" t="inlineStr">
        <is>
          <t>High (explicit)</t>
        </is>
      </c>
      <c r="H540" s="11" t="inlineStr">
        <is>
          <t>Cross-border Transfer, International Processing, Data Storage, Security</t>
        </is>
      </c>
      <c r="I540" s="11" t="inlineStr">
        <is>
          <t>Special Personal Information</t>
        </is>
      </c>
      <c r="J540" t="inlineStr"/>
      <c r="K540"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40" s="11" t="inlineStr"/>
      <c r="M540"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40"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40" s="12" t="inlineStr">
        <is>
          <t>Open PDF</t>
        </is>
      </c>
    </row>
    <row r="541">
      <c r="A541" t="inlineStr">
        <is>
          <t>GDPR</t>
        </is>
      </c>
      <c r="B541" t="inlineStr">
        <is>
          <t>CELEX_32022L2555_EN_TXT (GDPR - Row 17)</t>
        </is>
      </c>
      <c r="C541" t="inlineStr">
        <is>
          <t>7</t>
        </is>
      </c>
      <c r="D541" s="11" t="inlineStr">
        <is>
          <t>Research organizations and regulatory frameworks</t>
        </is>
      </c>
      <c r="E541" t="inlineStr">
        <is>
          <t>60</t>
        </is>
      </c>
      <c r="F541" t="inlineStr">
        <is>
          <t>None</t>
        </is>
      </c>
      <c r="G541" t="inlineStr">
        <is>
          <t>High (explicit)</t>
        </is>
      </c>
      <c r="H541" s="11" t="inlineStr">
        <is>
          <t>Cross-border Transfer, International Processing, Data Storage, Security</t>
        </is>
      </c>
      <c r="I541" s="11" t="inlineStr">
        <is>
          <t>Special Personal Information</t>
        </is>
      </c>
      <c r="J541" t="inlineStr"/>
      <c r="K541"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41" s="11" t="inlineStr"/>
      <c r="M541"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41"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41" s="12" t="inlineStr">
        <is>
          <t>Open PDF</t>
        </is>
      </c>
    </row>
    <row r="542">
      <c r="A542" t="inlineStr">
        <is>
          <t>GDPR</t>
        </is>
      </c>
      <c r="B542" t="inlineStr">
        <is>
          <t>CELEX_32022L2555_EN_TXT (GDPR - Row 17)</t>
        </is>
      </c>
      <c r="C542" t="inlineStr">
        <is>
          <t>7</t>
        </is>
      </c>
      <c r="D542" s="11" t="inlineStr">
        <is>
          <t>Research organizations and regulatory frameworks</t>
        </is>
      </c>
      <c r="E542" t="inlineStr">
        <is>
          <t>66</t>
        </is>
      </c>
      <c r="F542" t="inlineStr">
        <is>
          <t>None</t>
        </is>
      </c>
      <c r="G542" t="inlineStr">
        <is>
          <t>High (explicit)</t>
        </is>
      </c>
      <c r="H542" s="11" t="inlineStr">
        <is>
          <t>Cross-border Transfer, International Processing, Data Storage, Security</t>
        </is>
      </c>
      <c r="I542" s="11" t="inlineStr">
        <is>
          <t>Special Personal Information</t>
        </is>
      </c>
      <c r="J542" t="inlineStr"/>
      <c r="K542"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42" s="11" t="inlineStr"/>
      <c r="M542"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42"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42" s="12" t="inlineStr">
        <is>
          <t>Open PDF</t>
        </is>
      </c>
    </row>
    <row r="543">
      <c r="A543" t="inlineStr">
        <is>
          <t>GDPR</t>
        </is>
      </c>
      <c r="B543" t="inlineStr">
        <is>
          <t>CELEX_32022L2555_EN_TXT (GDPR - Row 17)</t>
        </is>
      </c>
      <c r="C543" t="inlineStr">
        <is>
          <t>7</t>
        </is>
      </c>
      <c r="D543" s="11" t="inlineStr">
        <is>
          <t>Research organizations and regulatory frameworks</t>
        </is>
      </c>
      <c r="E543" t="inlineStr">
        <is>
          <t>70–73</t>
        </is>
      </c>
      <c r="F543" t="inlineStr">
        <is>
          <t>None</t>
        </is>
      </c>
      <c r="G543" t="inlineStr">
        <is>
          <t>High (explicit)</t>
        </is>
      </c>
      <c r="H543" s="11" t="inlineStr">
        <is>
          <t>Cross-border Transfer, International Processing, Data Storage, Security</t>
        </is>
      </c>
      <c r="I543" s="11" t="inlineStr">
        <is>
          <t>Special Personal Information</t>
        </is>
      </c>
      <c r="J543" t="inlineStr"/>
      <c r="K543" s="11" t="inlineStr">
        <is>
          <t>This section references research organizations and specifies regulatory frameworks including waste management, chemical registration (REACH), food safety, medical devices, and in vitro diagnostic medical devices. These frameworks establish legal bases for research activities.</t>
        </is>
      </c>
      <c r="L543" s="11" t="inlineStr"/>
      <c r="M543" s="11" t="inlineStr">
        <is>
          <t>• [Must] Research organisations
• [Must] Directive 2008/98/EC on waste
• [Must] Regulation (EC) No 1907/2006 on Registration, Evaluation, Authorisation and Restriction of Chemicals (REACH)
• [Must] Regulation (EC) No 178/2002 on food law
• [Must] Regulation (EU) 2017/745 on medical devices
• [Must] Regulation (EU) 2017/746 on in vitro diagnostic medical devices</t>
        </is>
      </c>
      <c r="N543" s="11" t="inlineStr">
        <is>
          <t>7. Research Research organisations (1) Directive 2008/98/EC of the European Parliament and of the Council of 19 November 2008 on waste and repealing certain Directives (OJ L 312, 22.11.2008, p. 3). (2) Regulation (EC) No 1907/2006 of the European Parliament and of the Council of 18 December 2006 concerning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(OJ L 396, 30.12.2006, p. 1). (3) Regulation (EC) No 178/2002 of the European Parliament and of the Council of 28 January 2002 laying down the general principles and requirements of food law, establishing the European Food Safety Authority and laying down procedures in matters of food safety (OJ L 31, 1.2.2002, p. 1). (4) Regulation (EU) 2017/745 of the European Parliament and of the Council of 5 April 2017 on medical devices, amending Directive 2001/83/EC, Regulation (EC) No 178/2002 and Regulation (EC) No 1223/2009 and repealing Council Directives 90/385/EEC and 93/42/EEC (OJ L 117, 5.5.2017, p. 1). (5) Regulation (EU) 2017/746 of the European Parliament and of the Council of 5 April 2017 on in vitro diagnostic medical devices and repealing Directive 98/79/EC and Commission Decision 2010/227/EU (OJ L 117, 5.5.2017, p. 176).</t>
        </is>
      </c>
      <c r="O543" s="12" t="inlineStr">
        <is>
          <t>Open PDF</t>
        </is>
      </c>
    </row>
    <row r="544">
      <c r="A544" t="inlineStr">
        <is>
          <t>GDPR</t>
        </is>
      </c>
      <c r="B544" t="inlineStr">
        <is>
          <t>CELEX_32022L2555_EN_TXT (GDPR - Row 17)</t>
        </is>
      </c>
      <c r="C544" t="inlineStr">
        <is>
          <t>8</t>
        </is>
      </c>
      <c r="D544" s="11" t="inlineStr">
        <is>
          <t>Internet and digital infrastructure providers</t>
        </is>
      </c>
      <c r="E544" t="inlineStr">
        <is>
          <t>30</t>
        </is>
      </c>
      <c r="F544" t="inlineStr">
        <is>
          <t>None</t>
        </is>
      </c>
      <c r="G544" t="inlineStr">
        <is>
          <t>High (explicit)</t>
        </is>
      </c>
      <c r="H544" s="11" t="inlineStr">
        <is>
          <t>Cloud Services</t>
        </is>
      </c>
      <c r="I544" s="11" t="inlineStr"/>
      <c r="J544" t="inlineStr"/>
      <c r="K544"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4" s="11" t="inlineStr"/>
      <c r="M544"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4"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4" s="12" t="inlineStr">
        <is>
          <t>Open PDF</t>
        </is>
      </c>
    </row>
    <row r="545">
      <c r="A545" t="inlineStr">
        <is>
          <t>GDPR</t>
        </is>
      </c>
      <c r="B545" t="inlineStr">
        <is>
          <t>CELEX_32022L2555_EN_TXT (GDPR - Row 17)</t>
        </is>
      </c>
      <c r="C545" t="inlineStr">
        <is>
          <t>8</t>
        </is>
      </c>
      <c r="D545" s="11" t="inlineStr">
        <is>
          <t>Internet and digital infrastructure providers</t>
        </is>
      </c>
      <c r="E545" t="inlineStr">
        <is>
          <t>39</t>
        </is>
      </c>
      <c r="F545" t="inlineStr">
        <is>
          <t>None</t>
        </is>
      </c>
      <c r="G545" t="inlineStr">
        <is>
          <t>High (explicit)</t>
        </is>
      </c>
      <c r="H545" s="11" t="inlineStr">
        <is>
          <t>Cloud Services</t>
        </is>
      </c>
      <c r="I545" s="11" t="inlineStr"/>
      <c r="J545" t="inlineStr"/>
      <c r="K545"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5" s="11" t="inlineStr"/>
      <c r="M545"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5"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5" s="12" t="inlineStr">
        <is>
          <t>Open PDF</t>
        </is>
      </c>
    </row>
    <row r="546">
      <c r="A546" t="inlineStr">
        <is>
          <t>GDPR</t>
        </is>
      </c>
      <c r="B546" t="inlineStr">
        <is>
          <t>CELEX_32022L2555_EN_TXT (GDPR - Row 17)</t>
        </is>
      </c>
      <c r="C546" t="inlineStr">
        <is>
          <t>8</t>
        </is>
      </c>
      <c r="D546" s="11" t="inlineStr">
        <is>
          <t>Internet and digital infrastructure providers</t>
        </is>
      </c>
      <c r="E546" t="inlineStr">
        <is>
          <t>43</t>
        </is>
      </c>
      <c r="F546" t="inlineStr">
        <is>
          <t>None</t>
        </is>
      </c>
      <c r="G546" t="inlineStr">
        <is>
          <t>High (explicit)</t>
        </is>
      </c>
      <c r="H546" s="11" t="inlineStr">
        <is>
          <t>Cloud Services</t>
        </is>
      </c>
      <c r="I546" s="11" t="inlineStr"/>
      <c r="J546" t="inlineStr"/>
      <c r="K546"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6" s="11" t="inlineStr"/>
      <c r="M546"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6"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6" s="12" t="inlineStr">
        <is>
          <t>Open PDF</t>
        </is>
      </c>
    </row>
    <row r="547">
      <c r="A547" t="inlineStr">
        <is>
          <t>GDPR</t>
        </is>
      </c>
      <c r="B547" t="inlineStr">
        <is>
          <t>CELEX_32022L2555_EN_TXT (GDPR - Row 17)</t>
        </is>
      </c>
      <c r="C547" t="inlineStr">
        <is>
          <t>8</t>
        </is>
      </c>
      <c r="D547" s="11" t="inlineStr">
        <is>
          <t>Internet and digital infrastructure providers</t>
        </is>
      </c>
      <c r="E547" t="inlineStr">
        <is>
          <t>47</t>
        </is>
      </c>
      <c r="F547" t="inlineStr">
        <is>
          <t>None</t>
        </is>
      </c>
      <c r="G547" t="inlineStr">
        <is>
          <t>High (explicit)</t>
        </is>
      </c>
      <c r="H547" s="11" t="inlineStr">
        <is>
          <t>Cloud Services</t>
        </is>
      </c>
      <c r="I547" s="11" t="inlineStr"/>
      <c r="J547" t="inlineStr"/>
      <c r="K547"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7" s="11" t="inlineStr"/>
      <c r="M547"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7"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7" s="12" t="inlineStr">
        <is>
          <t>Open PDF</t>
        </is>
      </c>
    </row>
    <row r="548">
      <c r="A548" t="inlineStr">
        <is>
          <t>GDPR</t>
        </is>
      </c>
      <c r="B548" t="inlineStr">
        <is>
          <t>CELEX_32022L2555_EN_TXT (GDPR - Row 17)</t>
        </is>
      </c>
      <c r="C548" t="inlineStr">
        <is>
          <t>8</t>
        </is>
      </c>
      <c r="D548" s="11" t="inlineStr">
        <is>
          <t>Internet and digital infrastructure providers</t>
        </is>
      </c>
      <c r="E548" t="inlineStr">
        <is>
          <t>51</t>
        </is>
      </c>
      <c r="F548" t="inlineStr">
        <is>
          <t>None</t>
        </is>
      </c>
      <c r="G548" t="inlineStr">
        <is>
          <t>High (explicit)</t>
        </is>
      </c>
      <c r="H548" s="11" t="inlineStr">
        <is>
          <t>Cloud Services</t>
        </is>
      </c>
      <c r="I548" s="11" t="inlineStr"/>
      <c r="J548" t="inlineStr"/>
      <c r="K548"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8" s="11" t="inlineStr"/>
      <c r="M548"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8"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8" s="12" t="inlineStr">
        <is>
          <t>Open PDF</t>
        </is>
      </c>
    </row>
    <row r="549">
      <c r="A549" t="inlineStr">
        <is>
          <t>GDPR</t>
        </is>
      </c>
      <c r="B549" t="inlineStr">
        <is>
          <t>CELEX_32022L2555_EN_TXT (GDPR - Row 17)</t>
        </is>
      </c>
      <c r="C549" t="inlineStr">
        <is>
          <t>8</t>
        </is>
      </c>
      <c r="D549" s="11" t="inlineStr">
        <is>
          <t>Internet and digital infrastructure providers</t>
        </is>
      </c>
      <c r="E549" t="inlineStr">
        <is>
          <t>58</t>
        </is>
      </c>
      <c r="F549" t="inlineStr">
        <is>
          <t>None</t>
        </is>
      </c>
      <c r="G549" t="inlineStr">
        <is>
          <t>High (explicit)</t>
        </is>
      </c>
      <c r="H549" s="11" t="inlineStr">
        <is>
          <t>Cloud Services</t>
        </is>
      </c>
      <c r="I549" s="11" t="inlineStr"/>
      <c r="J549" t="inlineStr"/>
      <c r="K549"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49" s="11" t="inlineStr"/>
      <c r="M549"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49"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49" s="12" t="inlineStr">
        <is>
          <t>Open PDF</t>
        </is>
      </c>
    </row>
    <row r="550">
      <c r="A550" t="inlineStr">
        <is>
          <t>GDPR</t>
        </is>
      </c>
      <c r="B550" t="inlineStr">
        <is>
          <t>CELEX_32022L2555_EN_TXT (GDPR - Row 17)</t>
        </is>
      </c>
      <c r="C550" t="inlineStr">
        <is>
          <t>8</t>
        </is>
      </c>
      <c r="D550" s="11" t="inlineStr">
        <is>
          <t>Internet and digital infrastructure providers</t>
        </is>
      </c>
      <c r="E550" t="inlineStr">
        <is>
          <t>60</t>
        </is>
      </c>
      <c r="F550" t="inlineStr">
        <is>
          <t>None</t>
        </is>
      </c>
      <c r="G550" t="inlineStr">
        <is>
          <t>High (explicit)</t>
        </is>
      </c>
      <c r="H550" s="11" t="inlineStr">
        <is>
          <t>Cloud Services</t>
        </is>
      </c>
      <c r="I550" s="11" t="inlineStr"/>
      <c r="J550" t="inlineStr"/>
      <c r="K550"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50" s="11" t="inlineStr"/>
      <c r="M550"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50"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50" s="12" t="inlineStr">
        <is>
          <t>Open PDF</t>
        </is>
      </c>
    </row>
    <row r="551">
      <c r="A551" t="inlineStr">
        <is>
          <t>GDPR</t>
        </is>
      </c>
      <c r="B551" t="inlineStr">
        <is>
          <t>CELEX_32022L2555_EN_TXT (GDPR - Row 17)</t>
        </is>
      </c>
      <c r="C551" t="inlineStr">
        <is>
          <t>8</t>
        </is>
      </c>
      <c r="D551" s="11" t="inlineStr">
        <is>
          <t>Internet and digital infrastructure providers</t>
        </is>
      </c>
      <c r="E551" t="inlineStr">
        <is>
          <t>66</t>
        </is>
      </c>
      <c r="F551" t="inlineStr">
        <is>
          <t>None</t>
        </is>
      </c>
      <c r="G551" t="inlineStr">
        <is>
          <t>High (explicit)</t>
        </is>
      </c>
      <c r="H551" s="11" t="inlineStr">
        <is>
          <t>Cloud Services</t>
        </is>
      </c>
      <c r="I551" s="11" t="inlineStr"/>
      <c r="J551" t="inlineStr"/>
      <c r="K551" s="11" t="inlineStr">
        <is>
          <t>This section lists specific digital infrastructure providers that are subject to regulatory oversight under EU law. It includes Internet Exchange Point providers, DNS service providers (excluding root name servers), TLD name registries, cloud computing service providers, data centre service providers, content delivery network providers, trust service providers, and providers of public electronic communications networks and publicly available electronic communications services. These entities are defined by their role in the digital infrastructure ecosystem.</t>
        </is>
      </c>
      <c r="L551" s="11" t="inlineStr"/>
      <c r="M551" s="11" t="inlineStr">
        <is>
          <t>• [Must] Internet Exchange Point providers
• [Must] DNS service providers, excluding operators of root name servers
• [Must] TLD name registries
• [Must] Cloud computing service providers
• [Must] Data centre service providers
• [Must] Content delivery network providers
• [Must] Trust service providers
• [Must] Providers of public electronic communications networks
• [Must] Providers of publicly available electronic communications services</t>
        </is>
      </c>
      <c r="N551" s="11" t="inlineStr">
        <is>
          <t>8. Digital infrastructure — Internet Exchange Point providers — DNS service providers, excluding operators of root name servers — TLD name registries — Cloud computing service providers — Data centre service providers — Content delivery network providers — Trust service providers — Providers of public electronic communications networks — Providers of publicly available electronic communications services</t>
        </is>
      </c>
      <c r="O551" s="12" t="inlineStr">
        <is>
          <t>Open PDF</t>
        </is>
      </c>
    </row>
    <row r="552">
      <c r="A552" t="inlineStr">
        <is>
          <t>GDPR</t>
        </is>
      </c>
      <c r="B552" t="inlineStr">
        <is>
          <t>CELEX_32022L2555_EN_TXT (GDPR - Row 17)</t>
        </is>
      </c>
      <c r="C552" t="inlineStr">
        <is>
          <t>9</t>
        </is>
      </c>
      <c r="D552" s="11" t="inlineStr">
        <is>
          <t>Business-to-business ICT service management</t>
        </is>
      </c>
      <c r="E552" t="inlineStr">
        <is>
          <t>39</t>
        </is>
      </c>
      <c r="F552" t="inlineStr">
        <is>
          <t>None</t>
        </is>
      </c>
      <c r="G552" t="inlineStr">
        <is>
          <t>High (explicit)</t>
        </is>
      </c>
      <c r="H552" s="11" t="inlineStr"/>
      <c r="I552" s="11" t="inlineStr"/>
      <c r="J552" t="inlineStr"/>
      <c r="K552"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2" s="11" t="inlineStr"/>
      <c r="M552" s="11" t="inlineStr">
        <is>
          <t>• [Must] Managed service providers
• [Must] Managed security service providers</t>
        </is>
      </c>
      <c r="N552" s="11" t="inlineStr">
        <is>
          <t>9. ICT service management (business-to-business) — Managed service providers — Managed security service providers</t>
        </is>
      </c>
      <c r="O552" s="12" t="inlineStr">
        <is>
          <t>Open PDF</t>
        </is>
      </c>
    </row>
    <row r="553">
      <c r="A553" t="inlineStr">
        <is>
          <t>GDPR</t>
        </is>
      </c>
      <c r="B553" t="inlineStr">
        <is>
          <t>CELEX_32022L2555_EN_TXT (GDPR - Row 17)</t>
        </is>
      </c>
      <c r="C553" t="inlineStr">
        <is>
          <t>9</t>
        </is>
      </c>
      <c r="D553" s="11" t="inlineStr">
        <is>
          <t>Business-to-business ICT service management</t>
        </is>
      </c>
      <c r="E553" t="inlineStr">
        <is>
          <t>43</t>
        </is>
      </c>
      <c r="F553" t="inlineStr">
        <is>
          <t>None</t>
        </is>
      </c>
      <c r="G553" t="inlineStr">
        <is>
          <t>High (explicit)</t>
        </is>
      </c>
      <c r="H553" s="11" t="inlineStr"/>
      <c r="I553" s="11" t="inlineStr"/>
      <c r="J553" t="inlineStr"/>
      <c r="K553"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3" s="11" t="inlineStr"/>
      <c r="M553" s="11" t="inlineStr">
        <is>
          <t>• [Must] Managed service providers
• [Must] Managed security service providers</t>
        </is>
      </c>
      <c r="N553" s="11" t="inlineStr">
        <is>
          <t>9. ICT service management (business-to-business) — Managed service providers — Managed security service providers</t>
        </is>
      </c>
      <c r="O553" s="12" t="inlineStr">
        <is>
          <t>Open PDF</t>
        </is>
      </c>
    </row>
    <row r="554">
      <c r="A554" t="inlineStr">
        <is>
          <t>GDPR</t>
        </is>
      </c>
      <c r="B554" t="inlineStr">
        <is>
          <t>CELEX_32022L2555_EN_TXT (GDPR - Row 17)</t>
        </is>
      </c>
      <c r="C554" t="inlineStr">
        <is>
          <t>9</t>
        </is>
      </c>
      <c r="D554" s="11" t="inlineStr">
        <is>
          <t>Business-to-business ICT service management</t>
        </is>
      </c>
      <c r="E554" t="inlineStr">
        <is>
          <t>47</t>
        </is>
      </c>
      <c r="F554" t="inlineStr">
        <is>
          <t>None</t>
        </is>
      </c>
      <c r="G554" t="inlineStr">
        <is>
          <t>High (explicit)</t>
        </is>
      </c>
      <c r="H554" s="11" t="inlineStr"/>
      <c r="I554" s="11" t="inlineStr"/>
      <c r="J554" t="inlineStr"/>
      <c r="K554"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4" s="11" t="inlineStr"/>
      <c r="M554" s="11" t="inlineStr">
        <is>
          <t>• [Must] Managed service providers
• [Must] Managed security service providers</t>
        </is>
      </c>
      <c r="N554" s="11" t="inlineStr">
        <is>
          <t>9. ICT service management (business-to-business) — Managed service providers — Managed security service providers</t>
        </is>
      </c>
      <c r="O554" s="12" t="inlineStr">
        <is>
          <t>Open PDF</t>
        </is>
      </c>
    </row>
    <row r="555">
      <c r="A555" t="inlineStr">
        <is>
          <t>GDPR</t>
        </is>
      </c>
      <c r="B555" t="inlineStr">
        <is>
          <t>CELEX_32022L2555_EN_TXT (GDPR - Row 17)</t>
        </is>
      </c>
      <c r="C555" t="inlineStr">
        <is>
          <t>9</t>
        </is>
      </c>
      <c r="D555" s="11" t="inlineStr">
        <is>
          <t>Business-to-business ICT service management</t>
        </is>
      </c>
      <c r="E555" t="inlineStr">
        <is>
          <t>51</t>
        </is>
      </c>
      <c r="F555" t="inlineStr">
        <is>
          <t>None</t>
        </is>
      </c>
      <c r="G555" t="inlineStr">
        <is>
          <t>High (explicit)</t>
        </is>
      </c>
      <c r="H555" s="11" t="inlineStr"/>
      <c r="I555" s="11" t="inlineStr"/>
      <c r="J555" t="inlineStr"/>
      <c r="K555"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5" s="11" t="inlineStr"/>
      <c r="M555" s="11" t="inlineStr">
        <is>
          <t>• [Must] Managed service providers
• [Must] Managed security service providers</t>
        </is>
      </c>
      <c r="N555" s="11" t="inlineStr">
        <is>
          <t>9. ICT service management (business-to-business) — Managed service providers — Managed security service providers</t>
        </is>
      </c>
      <c r="O555" s="12" t="inlineStr">
        <is>
          <t>Open PDF</t>
        </is>
      </c>
    </row>
    <row r="556">
      <c r="A556" t="inlineStr">
        <is>
          <t>GDPR</t>
        </is>
      </c>
      <c r="B556" t="inlineStr">
        <is>
          <t>CELEX_32022L2555_EN_TXT (GDPR - Row 17)</t>
        </is>
      </c>
      <c r="C556" t="inlineStr">
        <is>
          <t>9</t>
        </is>
      </c>
      <c r="D556" s="11" t="inlineStr">
        <is>
          <t>Business-to-business ICT service management</t>
        </is>
      </c>
      <c r="E556" t="inlineStr">
        <is>
          <t>58</t>
        </is>
      </c>
      <c r="F556" t="inlineStr">
        <is>
          <t>None</t>
        </is>
      </c>
      <c r="G556" t="inlineStr">
        <is>
          <t>High (explicit)</t>
        </is>
      </c>
      <c r="H556" s="11" t="inlineStr"/>
      <c r="I556" s="11" t="inlineStr"/>
      <c r="J556" t="inlineStr"/>
      <c r="K556"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6" s="11" t="inlineStr"/>
      <c r="M556" s="11" t="inlineStr">
        <is>
          <t>• [Must] Managed service providers
• [Must] Managed security service providers</t>
        </is>
      </c>
      <c r="N556" s="11" t="inlineStr">
        <is>
          <t>9. ICT service management (business-to-business) — Managed service providers — Managed security service providers</t>
        </is>
      </c>
      <c r="O556" s="12" t="inlineStr">
        <is>
          <t>Open PDF</t>
        </is>
      </c>
    </row>
    <row r="557">
      <c r="A557" t="inlineStr">
        <is>
          <t>GDPR</t>
        </is>
      </c>
      <c r="B557" t="inlineStr">
        <is>
          <t>CELEX_32022L2555_EN_TXT (GDPR - Row 17)</t>
        </is>
      </c>
      <c r="C557" t="inlineStr">
        <is>
          <t>9</t>
        </is>
      </c>
      <c r="D557" s="11" t="inlineStr">
        <is>
          <t>Business-to-business ICT service management</t>
        </is>
      </c>
      <c r="E557" t="inlineStr">
        <is>
          <t>66–67</t>
        </is>
      </c>
      <c r="F557" t="inlineStr">
        <is>
          <t>None</t>
        </is>
      </c>
      <c r="G557" t="inlineStr">
        <is>
          <t>High (explicit)</t>
        </is>
      </c>
      <c r="H557" s="11" t="inlineStr"/>
      <c r="I557" s="11" t="inlineStr"/>
      <c r="J557" t="inlineStr"/>
      <c r="K557" s="11" t="inlineStr">
        <is>
          <t>This section specifies entities involved in business-to-business ICT service management, including managed service providers and managed security service providers. These entities are defined by their role in providing managed services and security services to other businesses, forming part of the ICT infrastructure ecosystem.</t>
        </is>
      </c>
      <c r="L557" s="11" t="inlineStr"/>
      <c r="M557" s="11" t="inlineStr">
        <is>
          <t>• [Must] Managed service providers
• [Must] Managed security service providers</t>
        </is>
      </c>
      <c r="N557" s="11" t="inlineStr">
        <is>
          <t>9. ICT service management (business-to-business) — Managed service providers — Managed security service providers</t>
        </is>
      </c>
      <c r="O557" s="12" t="inlineStr">
        <is>
          <t>Open PDF</t>
        </is>
      </c>
    </row>
    <row r="558">
      <c r="A558" t="inlineStr">
        <is>
          <t>GDPR</t>
        </is>
      </c>
      <c r="B558" t="inlineStr">
        <is>
          <t>CELEX_32022L2555_EN_TXT (GDPR - Row 17)</t>
        </is>
      </c>
      <c r="C558" t="inlineStr">
        <is>
          <t>10</t>
        </is>
      </c>
      <c r="D558" s="11" t="inlineStr">
        <is>
          <t>Public administration entities</t>
        </is>
      </c>
      <c r="E558" t="inlineStr">
        <is>
          <t>51</t>
        </is>
      </c>
      <c r="F558" t="inlineStr">
        <is>
          <t>None</t>
        </is>
      </c>
      <c r="G558" t="inlineStr">
        <is>
          <t>High (explicit)</t>
        </is>
      </c>
      <c r="H558" s="11" t="inlineStr"/>
      <c r="I558" s="11" t="inlineStr"/>
      <c r="J558" t="inlineStr"/>
      <c r="K558" s="11" t="inlineStr">
        <is>
          <t>This section identifies public administration entities at both central and regional government levels as defined by national law in each Member State. These entities are subject to specific regulatory frameworks under EU law, with their definitions varying by country.</t>
        </is>
      </c>
      <c r="L558" s="11" t="inlineStr"/>
      <c r="M558" s="11" t="inlineStr">
        <is>
          <t>• [Must] Public administration entities of central governments as defined by a Member State in accordance with national law
• [Must] Public administration entities at regional level as defined by a Member State in accordance with national law</t>
        </is>
      </c>
      <c r="N558" s="11" t="inlineStr">
        <is>
          <t>10. Public administration — Public administration entities of central governments as defined by a Member State in accordance with national law — Public administration entities at regional level as defined by a Member State in accordance with national law</t>
        </is>
      </c>
      <c r="O558" s="12" t="inlineStr">
        <is>
          <t>Open PDF</t>
        </is>
      </c>
    </row>
    <row r="559">
      <c r="A559" t="inlineStr">
        <is>
          <t>GDPR</t>
        </is>
      </c>
      <c r="B559" t="inlineStr">
        <is>
          <t>CELEX_32022L2555_EN_TXT (GDPR - Row 17)</t>
        </is>
      </c>
      <c r="C559" t="inlineStr">
        <is>
          <t>10</t>
        </is>
      </c>
      <c r="D559" s="11" t="inlineStr">
        <is>
          <t>Public administration entities</t>
        </is>
      </c>
      <c r="E559" t="inlineStr">
        <is>
          <t>58</t>
        </is>
      </c>
      <c r="F559" t="inlineStr">
        <is>
          <t>None</t>
        </is>
      </c>
      <c r="G559" t="inlineStr">
        <is>
          <t>High (explicit)</t>
        </is>
      </c>
      <c r="H559" s="11" t="inlineStr"/>
      <c r="I559" s="11" t="inlineStr"/>
      <c r="J559" t="inlineStr"/>
      <c r="K559" s="11" t="inlineStr">
        <is>
          <t>This section identifies public administration entities at both central and regional government levels as defined by national law in each Member State. These entities are subject to specific regulatory frameworks under EU law, with their definitions varying by country.</t>
        </is>
      </c>
      <c r="L559" s="11" t="inlineStr"/>
      <c r="M559" s="11" t="inlineStr">
        <is>
          <t>• [Must] Public administration entities of central governments as defined by a Member State in accordance with national law
• [Must] Public administration entities at regional level as defined by a Member State in accordance with national law</t>
        </is>
      </c>
      <c r="N559" s="11" t="inlineStr">
        <is>
          <t>10. Public administration — Public administration entities of central governments as defined by a Member State in accordance with national law — Public administration entities at regional level as defined by a Member State in accordance with national law</t>
        </is>
      </c>
      <c r="O559" s="12" t="inlineStr">
        <is>
          <t>Open PDF</t>
        </is>
      </c>
    </row>
    <row r="560">
      <c r="A560" t="inlineStr">
        <is>
          <t>GDPR</t>
        </is>
      </c>
      <c r="B560" t="inlineStr">
        <is>
          <t>CELEX_32022L2555_EN_TXT (GDPR - Row 17)</t>
        </is>
      </c>
      <c r="C560" t="inlineStr">
        <is>
          <t>10</t>
        </is>
      </c>
      <c r="D560" s="11" t="inlineStr">
        <is>
          <t>Public administration entities</t>
        </is>
      </c>
      <c r="E560" t="inlineStr">
        <is>
          <t>67</t>
        </is>
      </c>
      <c r="F560" t="inlineStr">
        <is>
          <t>None</t>
        </is>
      </c>
      <c r="G560" t="inlineStr">
        <is>
          <t>High (explicit)</t>
        </is>
      </c>
      <c r="H560" s="11" t="inlineStr"/>
      <c r="I560" s="11" t="inlineStr"/>
      <c r="J560" t="inlineStr"/>
      <c r="K560" s="11" t="inlineStr">
        <is>
          <t>This section identifies public administration entities at both central and regional government levels as defined by national law in each Member State. These entities are subject to specific regulatory frameworks under EU law, with their definitions varying by country.</t>
        </is>
      </c>
      <c r="L560" s="11" t="inlineStr"/>
      <c r="M560" s="11" t="inlineStr">
        <is>
          <t>• [Must] Public administration entities of central governments as defined by a Member State in accordance with national law
• [Must] Public administration entities at regional level as defined by a Member State in accordance with national law</t>
        </is>
      </c>
      <c r="N560" s="11" t="inlineStr">
        <is>
          <t>10. Public administration — Public administration entities of central governments as defined by a Member State in accordance with national law — Public administration entities at regional level as defined by a Member State in accordance with national law</t>
        </is>
      </c>
      <c r="O560" s="12" t="inlineStr">
        <is>
          <t>Open PDF</t>
        </is>
      </c>
    </row>
    <row r="561">
      <c r="A561" t="inlineStr">
        <is>
          <t>GDPR</t>
        </is>
      </c>
      <c r="B561" t="inlineStr">
        <is>
          <t>CELEX_32022L2555_EN_TXT (GDPR - Row 17)</t>
        </is>
      </c>
      <c r="C561" t="inlineStr">
        <is>
          <t>11</t>
        </is>
      </c>
      <c r="D561" s="11" t="inlineStr">
        <is>
          <t>Space infrastructure operators</t>
        </is>
      </c>
      <c r="E561" t="inlineStr">
        <is>
          <t>30</t>
        </is>
      </c>
      <c r="F561" t="inlineStr">
        <is>
          <t>None</t>
        </is>
      </c>
      <c r="G561" t="inlineStr">
        <is>
          <t>High (explicit)</t>
        </is>
      </c>
      <c r="H561" s="11" t="inlineStr"/>
      <c r="I561" s="11" t="inlineStr"/>
      <c r="J561" t="inlineStr"/>
      <c r="K561" s="11" t="inlineStr">
        <is>
          <t>This section defines operators of ground-based infrastructure that support space-based services, owned or managed by Member States or private parties, excluding those providing public electronic communications networks. The section references multiple EU directives and regulations related to energy, transport, and security that inform the regulatory framework for these operators.</t>
        </is>
      </c>
      <c r="L561" s="11" t="inlineStr"/>
      <c r="M561" s="11" t="inlineStr">
        <is>
          <t>• [Must] Operators of ground-based infrastructure, owned, managed and operated by Member States or by private parties
• [Must] That support the provision of space-based services
• [Must Not] Excluding providers of public electronic communications networks</t>
        </is>
      </c>
      <c r="N561" s="11" t="inlineStr">
        <is>
          <t>11. Space Operators of ground-based infrastructure, owned, managed and operated by Member States or by private parties, that support the provision of space-based services, excluding providers of public electronic communications networks</t>
        </is>
      </c>
      <c r="O561" s="12" t="inlineStr">
        <is>
          <t>Open PDF</t>
        </is>
      </c>
    </row>
    <row r="562">
      <c r="A562" t="inlineStr">
        <is>
          <t>GDPR</t>
        </is>
      </c>
      <c r="B562" t="inlineStr">
        <is>
          <t>CELEX_32022L2555_EN_TXT (GDPR - Row 17)</t>
        </is>
      </c>
      <c r="C562" t="inlineStr">
        <is>
          <t>11</t>
        </is>
      </c>
      <c r="D562" s="11" t="inlineStr">
        <is>
          <t>Space infrastructure operators</t>
        </is>
      </c>
      <c r="E562" t="inlineStr">
        <is>
          <t>51</t>
        </is>
      </c>
      <c r="F562" t="inlineStr">
        <is>
          <t>None</t>
        </is>
      </c>
      <c r="G562" t="inlineStr">
        <is>
          <t>High (explicit)</t>
        </is>
      </c>
      <c r="H562" s="11" t="inlineStr"/>
      <c r="I562" s="11" t="inlineStr"/>
      <c r="J562" t="inlineStr"/>
      <c r="K562" s="11" t="inlineStr">
        <is>
          <t>This section defines operators of ground-based infrastructure that support space-based services, owned or managed by Member States or private parties, excluding those providing public electronic communications networks. The section references multiple EU directives and regulations related to energy, transport, and security that inform the regulatory framework for these operators.</t>
        </is>
      </c>
      <c r="L562" s="11" t="inlineStr"/>
      <c r="M562" s="11" t="inlineStr">
        <is>
          <t>• [Must] Operators of ground-based infrastructure, owned, managed and operated by Member States or by private parties
• [Must] That support the provision of space-based services
• [Must Not] Excluding providers of public electronic communications networks</t>
        </is>
      </c>
      <c r="N562" s="11" t="inlineStr">
        <is>
          <t>11. Space Operators of ground-based infrastructure, owned, managed and operated by Member States or by private parties, that support the provision of space-based services, excluding providers of public electronic communications networks</t>
        </is>
      </c>
      <c r="O562" s="12" t="inlineStr">
        <is>
          <t>Open PDF</t>
        </is>
      </c>
    </row>
    <row r="563">
      <c r="A563" t="inlineStr">
        <is>
          <t>GDPR</t>
        </is>
      </c>
      <c r="B563" t="inlineStr">
        <is>
          <t>CELEX_32022L2555_EN_TXT (GDPR - Row 17)</t>
        </is>
      </c>
      <c r="C563" t="inlineStr">
        <is>
          <t>11</t>
        </is>
      </c>
      <c r="D563" s="11" t="inlineStr">
        <is>
          <t>Space infrastructure operators</t>
        </is>
      </c>
      <c r="E563" t="inlineStr">
        <is>
          <t>67–69</t>
        </is>
      </c>
      <c r="F563" t="inlineStr">
        <is>
          <t>None</t>
        </is>
      </c>
      <c r="G563" t="inlineStr">
        <is>
          <t>High (explicit)</t>
        </is>
      </c>
      <c r="H563" s="11" t="inlineStr"/>
      <c r="I563" s="11" t="inlineStr"/>
      <c r="J563" t="inlineStr"/>
      <c r="K563" s="11" t="inlineStr">
        <is>
          <t>This section defines operators of ground-based infrastructure that support space-based services, owned or managed by Member States or private parties, excluding those providing public electronic communications networks. The section references multiple EU directives and regulations related to energy, transport, and security that inform the regulatory framework for these operators.</t>
        </is>
      </c>
      <c r="L563" s="11" t="inlineStr"/>
      <c r="M563" s="11" t="inlineStr">
        <is>
          <t>• [Must] Operators of ground-based infrastructure, owned, managed and operated by Member States or by private parties
• [Must] That support the provision of space-based services
• [Must Not] Excluding providers of public electronic communications networks</t>
        </is>
      </c>
      <c r="N563" s="11" t="inlineStr">
        <is>
          <t>11. Space Operators of ground-based infrastructure, owned, managed and operated by Member States or by private parties, that support the provision of space-based services, excluding providers of public electronic communications networks</t>
        </is>
      </c>
      <c r="O563" s="12" t="inlineStr">
        <is>
          <t>Open PDF</t>
        </is>
      </c>
    </row>
    <row r="564">
      <c r="A564" t="inlineStr">
        <is>
          <t>GDPR</t>
        </is>
      </c>
      <c r="B564" t="inlineStr">
        <is>
          <t>CELEX_32022L2555_EN_TXT (GDPR - Row 17)</t>
        </is>
      </c>
      <c r="C564" t="inlineStr">
        <is>
          <t>12</t>
        </is>
      </c>
      <c r="D564" s="11" t="inlineStr">
        <is>
          <t>GDPR applies without prejudice to other regulations</t>
        </is>
      </c>
      <c r="E564" t="inlineStr">
        <is>
          <t>30</t>
        </is>
      </c>
      <c r="F564" t="inlineStr">
        <is>
          <t>None</t>
        </is>
      </c>
      <c r="G564" t="inlineStr">
        <is>
          <t>High (explicit)</t>
        </is>
      </c>
      <c r="H564" s="11" t="inlineStr"/>
      <c r="I564" s="11" t="inlineStr"/>
      <c r="J564" t="inlineStr"/>
      <c r="K564" s="11" t="inlineStr">
        <is>
          <t>This section states that GDPR applies without prejudice to specific EU regulations and directives, including Regulation (EU) 2016/679 (GDPR), Directive 2002/58/EC, and other directives related to child protection and cyber security. These existing laws remain in effect alongside GDPR.</t>
        </is>
      </c>
      <c r="L564" s="11" t="inlineStr">
        <is>
          <t>This section clarifies that GDPR does not override existing national or EU laws, so data transfers must comply with both GDPR and other applicable regulations.</t>
        </is>
      </c>
      <c r="M564" s="11" t="inlineStr">
        <is>
          <t>• [Must] GDPR applies without prejudice to Regulation (EU) 2016/679, Directive 2002/58/EC, Directives 2011/93/EU and 2013/40/EU</t>
        </is>
      </c>
      <c r="N564" s="11" t="inlineStr">
        <is>
          <t>This Directive applies without prejudice to Regulation (EU) 2016/679, Directive 2002/58/EC, Directives 2011/93/EU (27) and 2013/40/EU (28) of the European Parliament and of the Council and Directive (EU) 2022/2557.</t>
        </is>
      </c>
      <c r="O564" s="12" t="inlineStr">
        <is>
          <t>Open PDF</t>
        </is>
      </c>
    </row>
    <row r="565">
      <c r="A565" t="inlineStr">
        <is>
          <t>GDPR</t>
        </is>
      </c>
      <c r="B565" t="inlineStr">
        <is>
          <t>CELEX_32022L2555_EN_TXT (GDPR - Row 17)</t>
        </is>
      </c>
      <c r="C565" t="inlineStr">
        <is>
          <t>13</t>
        </is>
      </c>
      <c r="D565" s="11" t="inlineStr">
        <is>
          <t>Confidential information exchange for security purposes</t>
        </is>
      </c>
      <c r="E565" t="inlineStr">
        <is>
          <t>30–31</t>
        </is>
      </c>
      <c r="F565" t="inlineStr">
        <is>
          <t>High</t>
        </is>
      </c>
      <c r="G565" t="inlineStr">
        <is>
          <t>High (explicit)</t>
        </is>
      </c>
      <c r="H565" s="11" t="inlineStr">
        <is>
          <t>Security</t>
        </is>
      </c>
      <c r="I565" s="11" t="inlineStr">
        <is>
          <t>Personal Information</t>
        </is>
      </c>
      <c r="J565" t="inlineStr"/>
      <c r="K565" s="11" t="inlineStr">
        <is>
          <t>This section allows confidential information to be exchanged with the Commission and other authorities only when necessary for applying the Directive. The exchanged information must be relevant and proportionate to the purpose, and must preserve confidentiality while protecting security and commercial interests of entities involved.</t>
        </is>
      </c>
      <c r="L565" s="11" t="inlineStr">
        <is>
          <t>This section governs the exchange of confidential information across borders for security purposes, requiring that data transfers be necessary, relevant, and proportionate to avoid GDPR compliance issues.</t>
        </is>
      </c>
      <c r="M565" s="11" t="inlineStr">
        <is>
          <t>• [Must] Confidential information must be exchanged only when necessary for applying this Directive
• [Must] Exchanged information must be relevant and proportionate to the purpose
• [Must] Exchanged information must preserve confidentiality and protect security and commercial interests</t>
        </is>
      </c>
      <c r="N565" s="11" t="inlineStr">
        <is>
          <t>Without prejudice to Article 346 TFEU, information that is confidential pursuant to Union or national rules, such as rules on business confidentiality, shall be exchanged with the Commission and other relevant authorities in accordance with this Directive only where that exchange is necessary for the application of this Directive.</t>
        </is>
      </c>
      <c r="O565" s="12" t="inlineStr">
        <is>
          <t>Open PDF</t>
        </is>
      </c>
    </row>
    <row r="566">
      <c r="A566" t="inlineStr">
        <is>
          <t>GDPR</t>
        </is>
      </c>
      <c r="B566" t="inlineStr">
        <is>
          <t>CELEX_32022L2555_EN_TXT (GDPR - Row 17)</t>
        </is>
      </c>
      <c r="C566" t="inlineStr">
        <is>
          <t>14</t>
        </is>
      </c>
      <c r="D566" s="11" t="inlineStr">
        <is>
          <t>Processing personal data for security purposes</t>
        </is>
      </c>
      <c r="E566" t="inlineStr">
        <is>
          <t>31</t>
        </is>
      </c>
      <c r="F566" t="inlineStr">
        <is>
          <t>High</t>
        </is>
      </c>
      <c r="G566" t="inlineStr">
        <is>
          <t>High (explicit)</t>
        </is>
      </c>
      <c r="H566" s="11" t="inlineStr">
        <is>
          <t>Security, Processing</t>
        </is>
      </c>
      <c r="I566" s="11" t="inlineStr">
        <is>
          <t>Personal Information</t>
        </is>
      </c>
      <c r="J566" t="inlineStr"/>
      <c r="K566" s="11" t="inlineStr">
        <is>
          <t>Entities, competent authorities, single points of contact, and CSIRTs must process personal data necessary for the Directive's purposes in compliance with GDPR, particularly Article 6. Processing by providers of public electronic communications networks or services must follow Union data protection and privacy laws, including Directive 2002/58/EC.</t>
        </is>
      </c>
      <c r="L566" s="11" t="inlineStr">
        <is>
          <t>This section specifies that data processing for security purposes must comply with GDPR and relevant national laws, ensuring that data transfers for critical infrastructure are handled appropriately.</t>
        </is>
      </c>
      <c r="M566" s="11" t="inlineStr">
        <is>
          <t>• [Must] Entities, competent authorities, single points of contact and CSIRTs must process personal data necessary for the Directive's purposes
• [Must] Processing must comply with Regulation (EU) 2016/679, particularly Article 6
• [Must] Providers of public electronic communications networks or services must process data in accordance with Union data protection and privacy law</t>
        </is>
      </c>
      <c r="N566" s="11" t="inlineStr">
        <is>
          <t>Entities, the competent authorities, the single points of contact and the CSIRTs shall process personal data to the extent necessary for the purposes of this Directive and in accordance with Regulation (EU) 2016/679, in particular such processing shall rely on Article 6 thereof.</t>
        </is>
      </c>
      <c r="O566" s="12" t="inlineStr">
        <is>
          <t>Open PDF</t>
        </is>
      </c>
    </row>
    <row r="567">
      <c r="A567" t="inlineStr">
        <is>
          <t>GDPR</t>
        </is>
      </c>
      <c r="B567" t="inlineStr">
        <is>
          <t>CELEX_32022R0868_EN_TXT (GDPR - Row 12)</t>
        </is>
      </c>
      <c r="C567" t="inlineStr">
        <is>
          <t>1</t>
        </is>
      </c>
      <c r="D567" s="11" t="inlineStr">
        <is>
          <t>Member States' penalties for data transfers</t>
        </is>
      </c>
      <c r="E567" t="inlineStr">
        <is>
          <t>18</t>
        </is>
      </c>
      <c r="F567" t="inlineStr">
        <is>
          <t>None</t>
        </is>
      </c>
      <c r="G567" t="inlineStr">
        <is>
          <t>High (explicit)</t>
        </is>
      </c>
      <c r="H567" s="11" t="inlineStr"/>
      <c r="I567" s="11" t="inlineStr"/>
      <c r="J567" t="inlineStr"/>
      <c r="K567"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67" s="11" t="inlineStr"/>
      <c r="M567"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67"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67" s="12" t="inlineStr">
        <is>
          <t>Open PDF</t>
        </is>
      </c>
    </row>
    <row r="568">
      <c r="A568" t="inlineStr">
        <is>
          <t>GDPR</t>
        </is>
      </c>
      <c r="B568" t="inlineStr">
        <is>
          <t>CELEX_32022R0868_EN_TXT (GDPR - Row 12)</t>
        </is>
      </c>
      <c r="C568" t="inlineStr">
        <is>
          <t>1</t>
        </is>
      </c>
      <c r="D568" s="11" t="inlineStr">
        <is>
          <t>Member States' penalties for data transfers</t>
        </is>
      </c>
      <c r="E568" t="inlineStr">
        <is>
          <t>21</t>
        </is>
      </c>
      <c r="F568" t="inlineStr">
        <is>
          <t>None</t>
        </is>
      </c>
      <c r="G568" t="inlineStr">
        <is>
          <t>High (explicit)</t>
        </is>
      </c>
      <c r="H568" s="11" t="inlineStr"/>
      <c r="I568" s="11" t="inlineStr"/>
      <c r="J568" t="inlineStr"/>
      <c r="K568"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68" s="11" t="inlineStr"/>
      <c r="M568"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68"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68" s="12" t="inlineStr">
        <is>
          <t>Open PDF</t>
        </is>
      </c>
    </row>
    <row r="569">
      <c r="A569" t="inlineStr">
        <is>
          <t>GDPR</t>
        </is>
      </c>
      <c r="B569" t="inlineStr">
        <is>
          <t>CELEX_32022R0868_EN_TXT (GDPR - Row 12)</t>
        </is>
      </c>
      <c r="C569" t="inlineStr">
        <is>
          <t>1</t>
        </is>
      </c>
      <c r="D569" s="11" t="inlineStr">
        <is>
          <t>Member States' penalties for data transfers</t>
        </is>
      </c>
      <c r="E569" t="inlineStr">
        <is>
          <t>21</t>
        </is>
      </c>
      <c r="F569" t="inlineStr">
        <is>
          <t>None</t>
        </is>
      </c>
      <c r="G569" t="inlineStr">
        <is>
          <t>High (explicit)</t>
        </is>
      </c>
      <c r="H569" s="11" t="inlineStr"/>
      <c r="I569" s="11" t="inlineStr"/>
      <c r="J569" t="inlineStr"/>
      <c r="K569"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69" s="11" t="inlineStr"/>
      <c r="M569"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69"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69" s="12" t="inlineStr">
        <is>
          <t>Open PDF</t>
        </is>
      </c>
    </row>
    <row r="570">
      <c r="A570" t="inlineStr">
        <is>
          <t>GDPR</t>
        </is>
      </c>
      <c r="B570" t="inlineStr">
        <is>
          <t>CELEX_32022R0868_EN_TXT (GDPR - Row 12)</t>
        </is>
      </c>
      <c r="C570" t="inlineStr">
        <is>
          <t>1</t>
        </is>
      </c>
      <c r="D570" s="11" t="inlineStr">
        <is>
          <t>Member States' penalties for data transfers</t>
        </is>
      </c>
      <c r="E570" t="inlineStr">
        <is>
          <t>22</t>
        </is>
      </c>
      <c r="F570" t="inlineStr">
        <is>
          <t>None</t>
        </is>
      </c>
      <c r="G570" t="inlineStr">
        <is>
          <t>High (explicit)</t>
        </is>
      </c>
      <c r="H570" s="11" t="inlineStr"/>
      <c r="I570" s="11" t="inlineStr"/>
      <c r="J570" t="inlineStr"/>
      <c r="K570"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0" s="11" t="inlineStr"/>
      <c r="M570"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0"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0" s="12" t="inlineStr">
        <is>
          <t>Open PDF</t>
        </is>
      </c>
    </row>
    <row r="571">
      <c r="A571" t="inlineStr">
        <is>
          <t>GDPR</t>
        </is>
      </c>
      <c r="B571" t="inlineStr">
        <is>
          <t>CELEX_32022R0868_EN_TXT (GDPR - Row 12)</t>
        </is>
      </c>
      <c r="C571" t="inlineStr">
        <is>
          <t>1</t>
        </is>
      </c>
      <c r="D571" s="11" t="inlineStr">
        <is>
          <t>Member States' penalties for data transfers</t>
        </is>
      </c>
      <c r="E571" t="inlineStr">
        <is>
          <t>25</t>
        </is>
      </c>
      <c r="F571" t="inlineStr">
        <is>
          <t>None</t>
        </is>
      </c>
      <c r="G571" t="inlineStr">
        <is>
          <t>High (explicit)</t>
        </is>
      </c>
      <c r="H571" s="11" t="inlineStr"/>
      <c r="I571" s="11" t="inlineStr"/>
      <c r="J571" t="inlineStr"/>
      <c r="K571"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1" s="11" t="inlineStr"/>
      <c r="M571"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1"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1" s="12" t="inlineStr">
        <is>
          <t>Open PDF</t>
        </is>
      </c>
    </row>
    <row r="572">
      <c r="A572" t="inlineStr">
        <is>
          <t>GDPR</t>
        </is>
      </c>
      <c r="B572" t="inlineStr">
        <is>
          <t>CELEX_32022R0868_EN_TXT (GDPR - Row 12)</t>
        </is>
      </c>
      <c r="C572" t="inlineStr">
        <is>
          <t>1</t>
        </is>
      </c>
      <c r="D572" s="11" t="inlineStr">
        <is>
          <t>Member States' penalties for data transfers</t>
        </is>
      </c>
      <c r="E572" t="inlineStr">
        <is>
          <t>25–26</t>
        </is>
      </c>
      <c r="F572" t="inlineStr">
        <is>
          <t>None</t>
        </is>
      </c>
      <c r="G572" t="inlineStr">
        <is>
          <t>High (explicit)</t>
        </is>
      </c>
      <c r="H572" s="11" t="inlineStr"/>
      <c r="I572" s="11" t="inlineStr"/>
      <c r="J572" t="inlineStr"/>
      <c r="K572"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2" s="11" t="inlineStr"/>
      <c r="M572"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2"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2" s="12" t="inlineStr">
        <is>
          <t>Open PDF</t>
        </is>
      </c>
    </row>
    <row r="573">
      <c r="A573" t="inlineStr">
        <is>
          <t>GDPR</t>
        </is>
      </c>
      <c r="B573" t="inlineStr">
        <is>
          <t>CELEX_32022R0868_EN_TXT (GDPR - Row 12)</t>
        </is>
      </c>
      <c r="C573" t="inlineStr">
        <is>
          <t>1</t>
        </is>
      </c>
      <c r="D573" s="11" t="inlineStr">
        <is>
          <t>Member States' penalties for data transfers</t>
        </is>
      </c>
      <c r="E573" t="inlineStr">
        <is>
          <t>26</t>
        </is>
      </c>
      <c r="F573" t="inlineStr">
        <is>
          <t>None</t>
        </is>
      </c>
      <c r="G573" t="inlineStr">
        <is>
          <t>High (explicit)</t>
        </is>
      </c>
      <c r="H573" s="11" t="inlineStr"/>
      <c r="I573" s="11" t="inlineStr"/>
      <c r="J573" t="inlineStr"/>
      <c r="K573"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3" s="11" t="inlineStr"/>
      <c r="M573"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3"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3" s="12" t="inlineStr">
        <is>
          <t>Open PDF</t>
        </is>
      </c>
    </row>
    <row r="574">
      <c r="A574" t="inlineStr">
        <is>
          <t>GDPR</t>
        </is>
      </c>
      <c r="B574" t="inlineStr">
        <is>
          <t>CELEX_32022R0868_EN_TXT (GDPR - Row 12)</t>
        </is>
      </c>
      <c r="C574" t="inlineStr">
        <is>
          <t>1</t>
        </is>
      </c>
      <c r="D574" s="11" t="inlineStr">
        <is>
          <t>Member States' penalties for data transfers</t>
        </is>
      </c>
      <c r="E574" t="inlineStr">
        <is>
          <t>27</t>
        </is>
      </c>
      <c r="F574" t="inlineStr">
        <is>
          <t>None</t>
        </is>
      </c>
      <c r="G574" t="inlineStr">
        <is>
          <t>High (explicit)</t>
        </is>
      </c>
      <c r="H574" s="11" t="inlineStr"/>
      <c r="I574" s="11" t="inlineStr"/>
      <c r="J574" t="inlineStr"/>
      <c r="K574"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4" s="11" t="inlineStr"/>
      <c r="M574"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4"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4" s="12" t="inlineStr">
        <is>
          <t>Open PDF</t>
        </is>
      </c>
    </row>
    <row r="575">
      <c r="A575" t="inlineStr">
        <is>
          <t>GDPR</t>
        </is>
      </c>
      <c r="B575" t="inlineStr">
        <is>
          <t>CELEX_32022R0868_EN_TXT (GDPR - Row 12)</t>
        </is>
      </c>
      <c r="C575" t="inlineStr">
        <is>
          <t>1</t>
        </is>
      </c>
      <c r="D575" s="11" t="inlineStr">
        <is>
          <t>Member States' penalties for data transfers</t>
        </is>
      </c>
      <c r="E575" t="inlineStr">
        <is>
          <t>30</t>
        </is>
      </c>
      <c r="F575" t="inlineStr">
        <is>
          <t>None</t>
        </is>
      </c>
      <c r="G575" t="inlineStr">
        <is>
          <t>High (explicit)</t>
        </is>
      </c>
      <c r="H575" s="11" t="inlineStr"/>
      <c r="I575" s="11" t="inlineStr"/>
      <c r="J575" t="inlineStr"/>
      <c r="K575"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5" s="11" t="inlineStr"/>
      <c r="M575"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5"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5" s="12" t="inlineStr">
        <is>
          <t>Open PDF</t>
        </is>
      </c>
    </row>
    <row r="576">
      <c r="A576" t="inlineStr">
        <is>
          <t>GDPR</t>
        </is>
      </c>
      <c r="B576" t="inlineStr">
        <is>
          <t>CELEX_32022R0868_EN_TXT (GDPR - Row 12)</t>
        </is>
      </c>
      <c r="C576" t="inlineStr">
        <is>
          <t>1</t>
        </is>
      </c>
      <c r="D576" s="11" t="inlineStr">
        <is>
          <t>Member States' penalties for data transfers</t>
        </is>
      </c>
      <c r="E576" t="inlineStr">
        <is>
          <t>30</t>
        </is>
      </c>
      <c r="F576" t="inlineStr">
        <is>
          <t>None</t>
        </is>
      </c>
      <c r="G576" t="inlineStr">
        <is>
          <t>High (explicit)</t>
        </is>
      </c>
      <c r="H576" s="11" t="inlineStr"/>
      <c r="I576" s="11" t="inlineStr"/>
      <c r="J576" t="inlineStr"/>
      <c r="K576"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6" s="11" t="inlineStr"/>
      <c r="M576"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6"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6" s="12" t="inlineStr">
        <is>
          <t>Open PDF</t>
        </is>
      </c>
    </row>
    <row r="577">
      <c r="A577" t="inlineStr">
        <is>
          <t>GDPR</t>
        </is>
      </c>
      <c r="B577" t="inlineStr">
        <is>
          <t>CELEX_32022R0868_EN_TXT (GDPR - Row 12)</t>
        </is>
      </c>
      <c r="C577" t="inlineStr">
        <is>
          <t>1</t>
        </is>
      </c>
      <c r="D577" s="11" t="inlineStr">
        <is>
          <t>Member States' penalties for data transfers</t>
        </is>
      </c>
      <c r="E577" t="inlineStr">
        <is>
          <t>32</t>
        </is>
      </c>
      <c r="F577" t="inlineStr">
        <is>
          <t>None</t>
        </is>
      </c>
      <c r="G577" t="inlineStr">
        <is>
          <t>High (explicit)</t>
        </is>
      </c>
      <c r="H577" s="11" t="inlineStr"/>
      <c r="I577" s="11" t="inlineStr"/>
      <c r="J577" t="inlineStr"/>
      <c r="K577"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7" s="11" t="inlineStr"/>
      <c r="M577"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7"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7" s="12" t="inlineStr">
        <is>
          <t>Open PDF</t>
        </is>
      </c>
    </row>
    <row r="578">
      <c r="A578" t="inlineStr">
        <is>
          <t>GDPR</t>
        </is>
      </c>
      <c r="B578" t="inlineStr">
        <is>
          <t>CELEX_32022R0868_EN_TXT (GDPR - Row 12)</t>
        </is>
      </c>
      <c r="C578" t="inlineStr">
        <is>
          <t>1</t>
        </is>
      </c>
      <c r="D578" s="11" t="inlineStr">
        <is>
          <t>Member States' penalties for data transfers</t>
        </is>
      </c>
      <c r="E578" t="inlineStr">
        <is>
          <t>32</t>
        </is>
      </c>
      <c r="F578" t="inlineStr">
        <is>
          <t>None</t>
        </is>
      </c>
      <c r="G578" t="inlineStr">
        <is>
          <t>High (explicit)</t>
        </is>
      </c>
      <c r="H578" s="11" t="inlineStr"/>
      <c r="I578" s="11" t="inlineStr"/>
      <c r="J578" t="inlineStr"/>
      <c r="K578"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8" s="11" t="inlineStr"/>
      <c r="M578"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8"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8" s="12" t="inlineStr">
        <is>
          <t>Open PDF</t>
        </is>
      </c>
    </row>
    <row r="579">
      <c r="A579" t="inlineStr">
        <is>
          <t>GDPR</t>
        </is>
      </c>
      <c r="B579" t="inlineStr">
        <is>
          <t>CELEX_32022R0868_EN_TXT (GDPR - Row 12)</t>
        </is>
      </c>
      <c r="C579" t="inlineStr">
        <is>
          <t>1</t>
        </is>
      </c>
      <c r="D579" s="11" t="inlineStr">
        <is>
          <t>Member States' penalties for data transfers</t>
        </is>
      </c>
      <c r="E579" t="inlineStr">
        <is>
          <t>34</t>
        </is>
      </c>
      <c r="F579" t="inlineStr">
        <is>
          <t>None</t>
        </is>
      </c>
      <c r="G579" t="inlineStr">
        <is>
          <t>High (explicit)</t>
        </is>
      </c>
      <c r="H579" s="11" t="inlineStr"/>
      <c r="I579" s="11" t="inlineStr"/>
      <c r="J579" t="inlineStr"/>
      <c r="K579"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79" s="11" t="inlineStr"/>
      <c r="M579"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79"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79" s="12" t="inlineStr">
        <is>
          <t>Open PDF</t>
        </is>
      </c>
    </row>
    <row r="580">
      <c r="A580" t="inlineStr">
        <is>
          <t>GDPR</t>
        </is>
      </c>
      <c r="B580" t="inlineStr">
        <is>
          <t>CELEX_32022R0868_EN_TXT (GDPR - Row 12)</t>
        </is>
      </c>
      <c r="C580" t="inlineStr">
        <is>
          <t>1</t>
        </is>
      </c>
      <c r="D580" s="11" t="inlineStr">
        <is>
          <t>Member States' penalties for data transfers</t>
        </is>
      </c>
      <c r="E580" t="inlineStr">
        <is>
          <t>34</t>
        </is>
      </c>
      <c r="F580" t="inlineStr">
        <is>
          <t>None</t>
        </is>
      </c>
      <c r="G580" t="inlineStr">
        <is>
          <t>High (explicit)</t>
        </is>
      </c>
      <c r="H580" s="11" t="inlineStr"/>
      <c r="I580" s="11" t="inlineStr"/>
      <c r="J580" t="inlineStr"/>
      <c r="K580"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0" s="11" t="inlineStr"/>
      <c r="M580"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0"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0" s="12" t="inlineStr">
        <is>
          <t>Open PDF</t>
        </is>
      </c>
    </row>
    <row r="581">
      <c r="A581" t="inlineStr">
        <is>
          <t>GDPR</t>
        </is>
      </c>
      <c r="B581" t="inlineStr">
        <is>
          <t>CELEX_32022R0868_EN_TXT (GDPR - Row 12)</t>
        </is>
      </c>
      <c r="C581" t="inlineStr">
        <is>
          <t>1</t>
        </is>
      </c>
      <c r="D581" s="11" t="inlineStr">
        <is>
          <t>Member States' penalties for data transfers</t>
        </is>
      </c>
      <c r="E581" t="inlineStr">
        <is>
          <t>35</t>
        </is>
      </c>
      <c r="F581" t="inlineStr">
        <is>
          <t>None</t>
        </is>
      </c>
      <c r="G581" t="inlineStr">
        <is>
          <t>High (explicit)</t>
        </is>
      </c>
      <c r="H581" s="11" t="inlineStr"/>
      <c r="I581" s="11" t="inlineStr"/>
      <c r="J581" t="inlineStr"/>
      <c r="K581"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1" s="11" t="inlineStr"/>
      <c r="M581"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1"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1" s="12" t="inlineStr">
        <is>
          <t>Open PDF</t>
        </is>
      </c>
    </row>
    <row r="582">
      <c r="A582" t="inlineStr">
        <is>
          <t>GDPR</t>
        </is>
      </c>
      <c r="B582" t="inlineStr">
        <is>
          <t>CELEX_32022R0868_EN_TXT (GDPR - Row 12)</t>
        </is>
      </c>
      <c r="C582" t="inlineStr">
        <is>
          <t>1</t>
        </is>
      </c>
      <c r="D582" s="11" t="inlineStr">
        <is>
          <t>Member States' penalties for data transfers</t>
        </is>
      </c>
      <c r="E582" t="inlineStr">
        <is>
          <t>35</t>
        </is>
      </c>
      <c r="F582" t="inlineStr">
        <is>
          <t>None</t>
        </is>
      </c>
      <c r="G582" t="inlineStr">
        <is>
          <t>High (explicit)</t>
        </is>
      </c>
      <c r="H582" s="11" t="inlineStr"/>
      <c r="I582" s="11" t="inlineStr"/>
      <c r="J582" t="inlineStr"/>
      <c r="K582"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2" s="11" t="inlineStr"/>
      <c r="M582"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2"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2" s="12" t="inlineStr">
        <is>
          <t>Open PDF</t>
        </is>
      </c>
    </row>
    <row r="583">
      <c r="A583" t="inlineStr">
        <is>
          <t>GDPR</t>
        </is>
      </c>
      <c r="B583" t="inlineStr">
        <is>
          <t>CELEX_32022R0868_EN_TXT (GDPR - Row 12)</t>
        </is>
      </c>
      <c r="C583" t="inlineStr">
        <is>
          <t>1</t>
        </is>
      </c>
      <c r="D583" s="11" t="inlineStr">
        <is>
          <t>Member States' penalties for data transfers</t>
        </is>
      </c>
      <c r="E583" t="inlineStr">
        <is>
          <t>35</t>
        </is>
      </c>
      <c r="F583" t="inlineStr">
        <is>
          <t>None</t>
        </is>
      </c>
      <c r="G583" t="inlineStr">
        <is>
          <t>High (explicit)</t>
        </is>
      </c>
      <c r="H583" s="11" t="inlineStr"/>
      <c r="I583" s="11" t="inlineStr"/>
      <c r="J583" t="inlineStr"/>
      <c r="K583"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3" s="11" t="inlineStr"/>
      <c r="M583"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3"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3" s="12" t="inlineStr">
        <is>
          <t>Open PDF</t>
        </is>
      </c>
    </row>
    <row r="584">
      <c r="A584" t="inlineStr">
        <is>
          <t>GDPR</t>
        </is>
      </c>
      <c r="B584" t="inlineStr">
        <is>
          <t>CELEX_32022R0868_EN_TXT (GDPR - Row 12)</t>
        </is>
      </c>
      <c r="C584" t="inlineStr">
        <is>
          <t>1</t>
        </is>
      </c>
      <c r="D584" s="11" t="inlineStr">
        <is>
          <t>Member States' penalties for data transfers</t>
        </is>
      </c>
      <c r="E584" t="inlineStr">
        <is>
          <t>36</t>
        </is>
      </c>
      <c r="F584" t="inlineStr">
        <is>
          <t>None</t>
        </is>
      </c>
      <c r="G584" t="inlineStr">
        <is>
          <t>High (explicit)</t>
        </is>
      </c>
      <c r="H584" s="11" t="inlineStr"/>
      <c r="I584" s="11" t="inlineStr"/>
      <c r="J584" t="inlineStr"/>
      <c r="K584"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4" s="11" t="inlineStr"/>
      <c r="M584"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4"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4" s="12" t="inlineStr">
        <is>
          <t>Open PDF</t>
        </is>
      </c>
    </row>
    <row r="585">
      <c r="A585" t="inlineStr">
        <is>
          <t>GDPR</t>
        </is>
      </c>
      <c r="B585" t="inlineStr">
        <is>
          <t>CELEX_32022R0868_EN_TXT (GDPR - Row 12)</t>
        </is>
      </c>
      <c r="C585" t="inlineStr">
        <is>
          <t>1</t>
        </is>
      </c>
      <c r="D585" s="11" t="inlineStr">
        <is>
          <t>Member States' penalties for data transfers</t>
        </is>
      </c>
      <c r="E585" t="inlineStr">
        <is>
          <t>37</t>
        </is>
      </c>
      <c r="F585" t="inlineStr">
        <is>
          <t>None</t>
        </is>
      </c>
      <c r="G585" t="inlineStr">
        <is>
          <t>High (explicit)</t>
        </is>
      </c>
      <c r="H585" s="11" t="inlineStr"/>
      <c r="I585" s="11" t="inlineStr"/>
      <c r="J585" t="inlineStr"/>
      <c r="K585"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5" s="11" t="inlineStr"/>
      <c r="M585"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5"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5" s="12" t="inlineStr">
        <is>
          <t>Open PDF</t>
        </is>
      </c>
    </row>
    <row r="586">
      <c r="A586" t="inlineStr">
        <is>
          <t>GDPR</t>
        </is>
      </c>
      <c r="B586" t="inlineStr">
        <is>
          <t>CELEX_32022R0868_EN_TXT (GDPR - Row 12)</t>
        </is>
      </c>
      <c r="C586" t="inlineStr">
        <is>
          <t>1</t>
        </is>
      </c>
      <c r="D586" s="11" t="inlineStr">
        <is>
          <t>Member States' penalties for data transfers</t>
        </is>
      </c>
      <c r="E586" t="inlineStr">
        <is>
          <t>37–38</t>
        </is>
      </c>
      <c r="F586" t="inlineStr">
        <is>
          <t>None</t>
        </is>
      </c>
      <c r="G586" t="inlineStr">
        <is>
          <t>High (explicit)</t>
        </is>
      </c>
      <c r="H586" s="11" t="inlineStr"/>
      <c r="I586" s="11" t="inlineStr"/>
      <c r="J586" t="inlineStr"/>
      <c r="K586"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6" s="11" t="inlineStr"/>
      <c r="M586"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6"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6" s="12" t="inlineStr">
        <is>
          <t>Open PDF</t>
        </is>
      </c>
    </row>
    <row r="587">
      <c r="A587" t="inlineStr">
        <is>
          <t>GDPR</t>
        </is>
      </c>
      <c r="B587" t="inlineStr">
        <is>
          <t>CELEX_32022R0868_EN_TXT (GDPR - Row 12)</t>
        </is>
      </c>
      <c r="C587" t="inlineStr">
        <is>
          <t>1</t>
        </is>
      </c>
      <c r="D587" s="11" t="inlineStr">
        <is>
          <t>Member States' penalties for data transfers</t>
        </is>
      </c>
      <c r="E587" t="inlineStr">
        <is>
          <t>38</t>
        </is>
      </c>
      <c r="F587" t="inlineStr">
        <is>
          <t>None</t>
        </is>
      </c>
      <c r="G587" t="inlineStr">
        <is>
          <t>High (explicit)</t>
        </is>
      </c>
      <c r="H587" s="11" t="inlineStr"/>
      <c r="I587" s="11" t="inlineStr"/>
      <c r="J587" t="inlineStr"/>
      <c r="K587"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7" s="11" t="inlineStr"/>
      <c r="M587"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7"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7" s="12" t="inlineStr">
        <is>
          <t>Open PDF</t>
        </is>
      </c>
    </row>
    <row r="588">
      <c r="A588" t="inlineStr">
        <is>
          <t>GDPR</t>
        </is>
      </c>
      <c r="B588" t="inlineStr">
        <is>
          <t>CELEX_32022R0868_EN_TXT (GDPR - Row 12)</t>
        </is>
      </c>
      <c r="C588" t="inlineStr">
        <is>
          <t>1</t>
        </is>
      </c>
      <c r="D588" s="11" t="inlineStr">
        <is>
          <t>Member States' penalties for data transfers</t>
        </is>
      </c>
      <c r="E588" t="inlineStr">
        <is>
          <t>38</t>
        </is>
      </c>
      <c r="F588" t="inlineStr">
        <is>
          <t>None</t>
        </is>
      </c>
      <c r="G588" t="inlineStr">
        <is>
          <t>High (explicit)</t>
        </is>
      </c>
      <c r="H588" s="11" t="inlineStr"/>
      <c r="I588" s="11" t="inlineStr"/>
      <c r="J588" t="inlineStr"/>
      <c r="K588"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8" s="11" t="inlineStr"/>
      <c r="M588"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8"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8" s="12" t="inlineStr">
        <is>
          <t>Open PDF</t>
        </is>
      </c>
    </row>
    <row r="589">
      <c r="A589" t="inlineStr">
        <is>
          <t>GDPR</t>
        </is>
      </c>
      <c r="B589" t="inlineStr">
        <is>
          <t>CELEX_32022R0868_EN_TXT (GDPR - Row 12)</t>
        </is>
      </c>
      <c r="C589" t="inlineStr">
        <is>
          <t>1</t>
        </is>
      </c>
      <c r="D589" s="11" t="inlineStr">
        <is>
          <t>Member States' penalties for data transfers</t>
        </is>
      </c>
      <c r="E589" t="inlineStr">
        <is>
          <t>40</t>
        </is>
      </c>
      <c r="F589" t="inlineStr">
        <is>
          <t>None</t>
        </is>
      </c>
      <c r="G589" t="inlineStr">
        <is>
          <t>High (explicit)</t>
        </is>
      </c>
      <c r="H589" s="11" t="inlineStr"/>
      <c r="I589" s="11" t="inlineStr"/>
      <c r="J589" t="inlineStr"/>
      <c r="K589"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89" s="11" t="inlineStr"/>
      <c r="M589"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89"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89" s="12" t="inlineStr">
        <is>
          <t>Open PDF</t>
        </is>
      </c>
    </row>
    <row r="590">
      <c r="A590" t="inlineStr">
        <is>
          <t>GDPR</t>
        </is>
      </c>
      <c r="B590" t="inlineStr">
        <is>
          <t>CELEX_32022R0868_EN_TXT (GDPR - Row 12)</t>
        </is>
      </c>
      <c r="C590" t="inlineStr">
        <is>
          <t>1</t>
        </is>
      </c>
      <c r="D590" s="11" t="inlineStr">
        <is>
          <t>Member States' penalties for data transfers</t>
        </is>
      </c>
      <c r="E590" t="inlineStr">
        <is>
          <t>41–42</t>
        </is>
      </c>
      <c r="F590" t="inlineStr">
        <is>
          <t>None</t>
        </is>
      </c>
      <c r="G590" t="inlineStr">
        <is>
          <t>High (explicit)</t>
        </is>
      </c>
      <c r="H590" s="11" t="inlineStr"/>
      <c r="I590" s="11" t="inlineStr"/>
      <c r="J590" t="inlineStr"/>
      <c r="K590"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90" s="11" t="inlineStr"/>
      <c r="M590"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90"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90" s="12" t="inlineStr">
        <is>
          <t>Open PDF</t>
        </is>
      </c>
    </row>
    <row r="591">
      <c r="A591" t="inlineStr">
        <is>
          <t>GDPR</t>
        </is>
      </c>
      <c r="B591" t="inlineStr">
        <is>
          <t>CELEX_32022R0868_EN_TXT (GDPR - Row 12)</t>
        </is>
      </c>
      <c r="C591" t="inlineStr">
        <is>
          <t>1</t>
        </is>
      </c>
      <c r="D591" s="11" t="inlineStr">
        <is>
          <t>Member States' penalties for data transfers</t>
        </is>
      </c>
      <c r="E591" t="inlineStr">
        <is>
          <t>42</t>
        </is>
      </c>
      <c r="F591" t="inlineStr">
        <is>
          <t>None</t>
        </is>
      </c>
      <c r="G591" t="inlineStr">
        <is>
          <t>High (explicit)</t>
        </is>
      </c>
      <c r="H591" s="11" t="inlineStr"/>
      <c r="I591" s="11" t="inlineStr"/>
      <c r="J591" t="inlineStr"/>
      <c r="K591" s="11" t="inlineStr">
        <is>
          <t>Member States must establish rules for penalties applicable to infringements of obligations regarding transfers of non-personal data to third countries. These penalties must be effective, proportionate, and dissuasive. Member States must notify the Commission by 24 September 2023 of their penalty rules and any subsequent amendments.</t>
        </is>
      </c>
      <c r="L591" s="11" t="inlineStr"/>
      <c r="M591" s="11" t="inlineStr">
        <is>
          <t>• [Must] Member States shall lay down the rules on penalties applicable to infringements of the obligations regarding transfers of non-personal data to third countries
• [Must] Penalties shall be effective, proportionate and dissuasive
• [Must] Member States shall notify the Commission of penalty rules by 24 September 2023</t>
        </is>
      </c>
      <c r="N591" s="11" t="inlineStr">
        <is>
          <t>Member States shall lay down the rules on penalties applicable to infringements of the obligations regarding transfers of non-personal data to third countries pursuant to Article 5(14) and Article 31, the notification obligation of data intermediation services providers pursuant to Article 11, the conditions for providing data intermediation services pursuant to Article 12 and the conditions for the registration as a recognised data altruism organisation pursuant to Articles 18, 20, 21 and 22, and shall take all measures necessary to ensure that they are implemented.</t>
        </is>
      </c>
      <c r="O591" s="12" t="inlineStr">
        <is>
          <t>Open PDF</t>
        </is>
      </c>
    </row>
    <row r="592">
      <c r="A592" t="inlineStr">
        <is>
          <t>GDPR</t>
        </is>
      </c>
      <c r="B592" t="inlineStr">
        <is>
          <t>CELEX_32022R0868_EN_TXT (GDPR - Row 12)</t>
        </is>
      </c>
      <c r="C592" t="inlineStr">
        <is>
          <t>2</t>
        </is>
      </c>
      <c r="D592" s="11" t="inlineStr">
        <is>
          <t>Penalty criteria for data intermediation services</t>
        </is>
      </c>
      <c r="E592" t="inlineStr">
        <is>
          <t>18</t>
        </is>
      </c>
      <c r="F592" t="inlineStr">
        <is>
          <t>None</t>
        </is>
      </c>
      <c r="G592" t="inlineStr">
        <is>
          <t>High (explicit)</t>
        </is>
      </c>
      <c r="H592" s="11" t="inlineStr"/>
      <c r="I592" s="11" t="inlineStr"/>
      <c r="J592" t="inlineStr"/>
      <c r="K592"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2" s="11" t="inlineStr"/>
      <c r="M592"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2"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2" s="12" t="inlineStr">
        <is>
          <t>Open PDF</t>
        </is>
      </c>
    </row>
    <row r="593">
      <c r="A593" t="inlineStr">
        <is>
          <t>GDPR</t>
        </is>
      </c>
      <c r="B593" t="inlineStr">
        <is>
          <t>CELEX_32022R0868_EN_TXT (GDPR - Row 12)</t>
        </is>
      </c>
      <c r="C593" t="inlineStr">
        <is>
          <t>2</t>
        </is>
      </c>
      <c r="D593" s="11" t="inlineStr">
        <is>
          <t>Penalty criteria for data intermediation services</t>
        </is>
      </c>
      <c r="E593" t="inlineStr">
        <is>
          <t>21</t>
        </is>
      </c>
      <c r="F593" t="inlineStr">
        <is>
          <t>None</t>
        </is>
      </c>
      <c r="G593" t="inlineStr">
        <is>
          <t>High (explicit)</t>
        </is>
      </c>
      <c r="H593" s="11" t="inlineStr"/>
      <c r="I593" s="11" t="inlineStr"/>
      <c r="J593" t="inlineStr"/>
      <c r="K593"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3" s="11" t="inlineStr"/>
      <c r="M593"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3"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3" s="12" t="inlineStr">
        <is>
          <t>Open PDF</t>
        </is>
      </c>
    </row>
    <row r="594">
      <c r="A594" t="inlineStr">
        <is>
          <t>GDPR</t>
        </is>
      </c>
      <c r="B594" t="inlineStr">
        <is>
          <t>CELEX_32022R0868_EN_TXT (GDPR - Row 12)</t>
        </is>
      </c>
      <c r="C594" t="inlineStr">
        <is>
          <t>2</t>
        </is>
      </c>
      <c r="D594" s="11" t="inlineStr">
        <is>
          <t>Penalty criteria for data intermediation services</t>
        </is>
      </c>
      <c r="E594" t="inlineStr">
        <is>
          <t>21</t>
        </is>
      </c>
      <c r="F594" t="inlineStr">
        <is>
          <t>None</t>
        </is>
      </c>
      <c r="G594" t="inlineStr">
        <is>
          <t>High (explicit)</t>
        </is>
      </c>
      <c r="H594" s="11" t="inlineStr"/>
      <c r="I594" s="11" t="inlineStr"/>
      <c r="J594" t="inlineStr"/>
      <c r="K594"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4" s="11" t="inlineStr"/>
      <c r="M594"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4"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4" s="12" t="inlineStr">
        <is>
          <t>Open PDF</t>
        </is>
      </c>
    </row>
    <row r="595">
      <c r="A595" t="inlineStr">
        <is>
          <t>GDPR</t>
        </is>
      </c>
      <c r="B595" t="inlineStr">
        <is>
          <t>CELEX_32022R0868_EN_TXT (GDPR - Row 12)</t>
        </is>
      </c>
      <c r="C595" t="inlineStr">
        <is>
          <t>2</t>
        </is>
      </c>
      <c r="D595" s="11" t="inlineStr">
        <is>
          <t>Penalty criteria for data intermediation services</t>
        </is>
      </c>
      <c r="E595" t="inlineStr">
        <is>
          <t>22</t>
        </is>
      </c>
      <c r="F595" t="inlineStr">
        <is>
          <t>None</t>
        </is>
      </c>
      <c r="G595" t="inlineStr">
        <is>
          <t>High (explicit)</t>
        </is>
      </c>
      <c r="H595" s="11" t="inlineStr"/>
      <c r="I595" s="11" t="inlineStr"/>
      <c r="J595" t="inlineStr"/>
      <c r="K595"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5" s="11" t="inlineStr"/>
      <c r="M595"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5"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5" s="12" t="inlineStr">
        <is>
          <t>Open PDF</t>
        </is>
      </c>
    </row>
    <row r="596">
      <c r="A596" t="inlineStr">
        <is>
          <t>GDPR</t>
        </is>
      </c>
      <c r="B596" t="inlineStr">
        <is>
          <t>CELEX_32022R0868_EN_TXT (GDPR - Row 12)</t>
        </is>
      </c>
      <c r="C596" t="inlineStr">
        <is>
          <t>2</t>
        </is>
      </c>
      <c r="D596" s="11" t="inlineStr">
        <is>
          <t>Penalty criteria for data intermediation services</t>
        </is>
      </c>
      <c r="E596" t="inlineStr">
        <is>
          <t>25</t>
        </is>
      </c>
      <c r="F596" t="inlineStr">
        <is>
          <t>None</t>
        </is>
      </c>
      <c r="G596" t="inlineStr">
        <is>
          <t>High (explicit)</t>
        </is>
      </c>
      <c r="H596" s="11" t="inlineStr"/>
      <c r="I596" s="11" t="inlineStr"/>
      <c r="J596" t="inlineStr"/>
      <c r="K596"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6" s="11" t="inlineStr"/>
      <c r="M596"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6"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6" s="12" t="inlineStr">
        <is>
          <t>Open PDF</t>
        </is>
      </c>
    </row>
    <row r="597">
      <c r="A597" t="inlineStr">
        <is>
          <t>GDPR</t>
        </is>
      </c>
      <c r="B597" t="inlineStr">
        <is>
          <t>CELEX_32022R0868_EN_TXT (GDPR - Row 12)</t>
        </is>
      </c>
      <c r="C597" t="inlineStr">
        <is>
          <t>2</t>
        </is>
      </c>
      <c r="D597" s="11" t="inlineStr">
        <is>
          <t>Penalty criteria for data intermediation services</t>
        </is>
      </c>
      <c r="E597" t="inlineStr">
        <is>
          <t>26</t>
        </is>
      </c>
      <c r="F597" t="inlineStr">
        <is>
          <t>None</t>
        </is>
      </c>
      <c r="G597" t="inlineStr">
        <is>
          <t>High (explicit)</t>
        </is>
      </c>
      <c r="H597" s="11" t="inlineStr"/>
      <c r="I597" s="11" t="inlineStr"/>
      <c r="J597" t="inlineStr"/>
      <c r="K597"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7" s="11" t="inlineStr"/>
      <c r="M597"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7"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7" s="12" t="inlineStr">
        <is>
          <t>Open PDF</t>
        </is>
      </c>
    </row>
    <row r="598">
      <c r="A598" t="inlineStr">
        <is>
          <t>GDPR</t>
        </is>
      </c>
      <c r="B598" t="inlineStr">
        <is>
          <t>CELEX_32022R0868_EN_TXT (GDPR - Row 12)</t>
        </is>
      </c>
      <c r="C598" t="inlineStr">
        <is>
          <t>2</t>
        </is>
      </c>
      <c r="D598" s="11" t="inlineStr">
        <is>
          <t>Penalty criteria for data intermediation services</t>
        </is>
      </c>
      <c r="E598" t="inlineStr">
        <is>
          <t>26–27</t>
        </is>
      </c>
      <c r="F598" t="inlineStr">
        <is>
          <t>None</t>
        </is>
      </c>
      <c r="G598" t="inlineStr">
        <is>
          <t>High (explicit)</t>
        </is>
      </c>
      <c r="H598" s="11" t="inlineStr"/>
      <c r="I598" s="11" t="inlineStr"/>
      <c r="J598" t="inlineStr"/>
      <c r="K598"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8" s="11" t="inlineStr"/>
      <c r="M598"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8"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8" s="12" t="inlineStr">
        <is>
          <t>Open PDF</t>
        </is>
      </c>
    </row>
    <row r="599">
      <c r="A599" t="inlineStr">
        <is>
          <t>GDPR</t>
        </is>
      </c>
      <c r="B599" t="inlineStr">
        <is>
          <t>CELEX_32022R0868_EN_TXT (GDPR - Row 12)</t>
        </is>
      </c>
      <c r="C599" t="inlineStr">
        <is>
          <t>2</t>
        </is>
      </c>
      <c r="D599" s="11" t="inlineStr">
        <is>
          <t>Penalty criteria for data intermediation services</t>
        </is>
      </c>
      <c r="E599" t="inlineStr">
        <is>
          <t>27</t>
        </is>
      </c>
      <c r="F599" t="inlineStr">
        <is>
          <t>None</t>
        </is>
      </c>
      <c r="G599" t="inlineStr">
        <is>
          <t>High (explicit)</t>
        </is>
      </c>
      <c r="H599" s="11" t="inlineStr"/>
      <c r="I599" s="11" t="inlineStr"/>
      <c r="J599" t="inlineStr"/>
      <c r="K599"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599" s="11" t="inlineStr"/>
      <c r="M599"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599"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599" s="12" t="inlineStr">
        <is>
          <t>Open PDF</t>
        </is>
      </c>
    </row>
    <row r="600">
      <c r="A600" t="inlineStr">
        <is>
          <t>GDPR</t>
        </is>
      </c>
      <c r="B600" t="inlineStr">
        <is>
          <t>CELEX_32022R0868_EN_TXT (GDPR - Row 12)</t>
        </is>
      </c>
      <c r="C600" t="inlineStr">
        <is>
          <t>2</t>
        </is>
      </c>
      <c r="D600" s="11" t="inlineStr">
        <is>
          <t>Penalty criteria for data intermediation services</t>
        </is>
      </c>
      <c r="E600" t="inlineStr">
        <is>
          <t>30</t>
        </is>
      </c>
      <c r="F600" t="inlineStr">
        <is>
          <t>None</t>
        </is>
      </c>
      <c r="G600" t="inlineStr">
        <is>
          <t>High (explicit)</t>
        </is>
      </c>
      <c r="H600" s="11" t="inlineStr"/>
      <c r="I600" s="11" t="inlineStr"/>
      <c r="J600" t="inlineStr"/>
      <c r="K600"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0" s="11" t="inlineStr"/>
      <c r="M600"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0"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0" s="12" t="inlineStr">
        <is>
          <t>Open PDF</t>
        </is>
      </c>
    </row>
    <row r="601">
      <c r="A601" t="inlineStr">
        <is>
          <t>GDPR</t>
        </is>
      </c>
      <c r="B601" t="inlineStr">
        <is>
          <t>CELEX_32022R0868_EN_TXT (GDPR - Row 12)</t>
        </is>
      </c>
      <c r="C601" t="inlineStr">
        <is>
          <t>2</t>
        </is>
      </c>
      <c r="D601" s="11" t="inlineStr">
        <is>
          <t>Penalty criteria for data intermediation services</t>
        </is>
      </c>
      <c r="E601" t="inlineStr">
        <is>
          <t>32</t>
        </is>
      </c>
      <c r="F601" t="inlineStr">
        <is>
          <t>None</t>
        </is>
      </c>
      <c r="G601" t="inlineStr">
        <is>
          <t>High (explicit)</t>
        </is>
      </c>
      <c r="H601" s="11" t="inlineStr"/>
      <c r="I601" s="11" t="inlineStr"/>
      <c r="J601" t="inlineStr"/>
      <c r="K601"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1" s="11" t="inlineStr"/>
      <c r="M601"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1"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1" s="12" t="inlineStr">
        <is>
          <t>Open PDF</t>
        </is>
      </c>
    </row>
    <row r="602">
      <c r="A602" t="inlineStr">
        <is>
          <t>GDPR</t>
        </is>
      </c>
      <c r="B602" t="inlineStr">
        <is>
          <t>CELEX_32022R0868_EN_TXT (GDPR - Row 12)</t>
        </is>
      </c>
      <c r="C602" t="inlineStr">
        <is>
          <t>2</t>
        </is>
      </c>
      <c r="D602" s="11" t="inlineStr">
        <is>
          <t>Penalty criteria for data intermediation services</t>
        </is>
      </c>
      <c r="E602" t="inlineStr">
        <is>
          <t>32</t>
        </is>
      </c>
      <c r="F602" t="inlineStr">
        <is>
          <t>None</t>
        </is>
      </c>
      <c r="G602" t="inlineStr">
        <is>
          <t>High (explicit)</t>
        </is>
      </c>
      <c r="H602" s="11" t="inlineStr"/>
      <c r="I602" s="11" t="inlineStr"/>
      <c r="J602" t="inlineStr"/>
      <c r="K602"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2" s="11" t="inlineStr"/>
      <c r="M602"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2"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2" s="12" t="inlineStr">
        <is>
          <t>Open PDF</t>
        </is>
      </c>
    </row>
    <row r="603">
      <c r="A603" t="inlineStr">
        <is>
          <t>GDPR</t>
        </is>
      </c>
      <c r="B603" t="inlineStr">
        <is>
          <t>CELEX_32022R0868_EN_TXT (GDPR - Row 12)</t>
        </is>
      </c>
      <c r="C603" t="inlineStr">
        <is>
          <t>2</t>
        </is>
      </c>
      <c r="D603" s="11" t="inlineStr">
        <is>
          <t>Penalty criteria for data intermediation services</t>
        </is>
      </c>
      <c r="E603" t="inlineStr">
        <is>
          <t>34</t>
        </is>
      </c>
      <c r="F603" t="inlineStr">
        <is>
          <t>None</t>
        </is>
      </c>
      <c r="G603" t="inlineStr">
        <is>
          <t>High (explicit)</t>
        </is>
      </c>
      <c r="H603" s="11" t="inlineStr"/>
      <c r="I603" s="11" t="inlineStr"/>
      <c r="J603" t="inlineStr"/>
      <c r="K603"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3" s="11" t="inlineStr"/>
      <c r="M603"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3"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3" s="12" t="inlineStr">
        <is>
          <t>Open PDF</t>
        </is>
      </c>
    </row>
    <row r="604">
      <c r="A604" t="inlineStr">
        <is>
          <t>GDPR</t>
        </is>
      </c>
      <c r="B604" t="inlineStr">
        <is>
          <t>CELEX_32022R0868_EN_TXT (GDPR - Row 12)</t>
        </is>
      </c>
      <c r="C604" t="inlineStr">
        <is>
          <t>2</t>
        </is>
      </c>
      <c r="D604" s="11" t="inlineStr">
        <is>
          <t>Penalty criteria for data intermediation services</t>
        </is>
      </c>
      <c r="E604" t="inlineStr">
        <is>
          <t>34</t>
        </is>
      </c>
      <c r="F604" t="inlineStr">
        <is>
          <t>None</t>
        </is>
      </c>
      <c r="G604" t="inlineStr">
        <is>
          <t>High (explicit)</t>
        </is>
      </c>
      <c r="H604" s="11" t="inlineStr"/>
      <c r="I604" s="11" t="inlineStr"/>
      <c r="J604" t="inlineStr"/>
      <c r="K604"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4" s="11" t="inlineStr"/>
      <c r="M604"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4"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4" s="12" t="inlineStr">
        <is>
          <t>Open PDF</t>
        </is>
      </c>
    </row>
    <row r="605">
      <c r="A605" t="inlineStr">
        <is>
          <t>GDPR</t>
        </is>
      </c>
      <c r="B605" t="inlineStr">
        <is>
          <t>CELEX_32022R0868_EN_TXT (GDPR - Row 12)</t>
        </is>
      </c>
      <c r="C605" t="inlineStr">
        <is>
          <t>2</t>
        </is>
      </c>
      <c r="D605" s="11" t="inlineStr">
        <is>
          <t>Penalty criteria for data intermediation services</t>
        </is>
      </c>
      <c r="E605" t="inlineStr">
        <is>
          <t>35</t>
        </is>
      </c>
      <c r="F605" t="inlineStr">
        <is>
          <t>None</t>
        </is>
      </c>
      <c r="G605" t="inlineStr">
        <is>
          <t>High (explicit)</t>
        </is>
      </c>
      <c r="H605" s="11" t="inlineStr"/>
      <c r="I605" s="11" t="inlineStr"/>
      <c r="J605" t="inlineStr"/>
      <c r="K605"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5" s="11" t="inlineStr"/>
      <c r="M605"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5"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5" s="12" t="inlineStr">
        <is>
          <t>Open PDF</t>
        </is>
      </c>
    </row>
    <row r="606">
      <c r="A606" t="inlineStr">
        <is>
          <t>GDPR</t>
        </is>
      </c>
      <c r="B606" t="inlineStr">
        <is>
          <t>CELEX_32022R0868_EN_TXT (GDPR - Row 12)</t>
        </is>
      </c>
      <c r="C606" t="inlineStr">
        <is>
          <t>2</t>
        </is>
      </c>
      <c r="D606" s="11" t="inlineStr">
        <is>
          <t>Penalty criteria for data intermediation services</t>
        </is>
      </c>
      <c r="E606" t="inlineStr">
        <is>
          <t>35</t>
        </is>
      </c>
      <c r="F606" t="inlineStr">
        <is>
          <t>None</t>
        </is>
      </c>
      <c r="G606" t="inlineStr">
        <is>
          <t>High (explicit)</t>
        </is>
      </c>
      <c r="H606" s="11" t="inlineStr"/>
      <c r="I606" s="11" t="inlineStr"/>
      <c r="J606" t="inlineStr"/>
      <c r="K606"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6" s="11" t="inlineStr"/>
      <c r="M606"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6"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6" s="12" t="inlineStr">
        <is>
          <t>Open PDF</t>
        </is>
      </c>
    </row>
    <row r="607">
      <c r="A607" t="inlineStr">
        <is>
          <t>GDPR</t>
        </is>
      </c>
      <c r="B607" t="inlineStr">
        <is>
          <t>CELEX_32022R0868_EN_TXT (GDPR - Row 12)</t>
        </is>
      </c>
      <c r="C607" t="inlineStr">
        <is>
          <t>2</t>
        </is>
      </c>
      <c r="D607" s="11" t="inlineStr">
        <is>
          <t>Penalty criteria for data intermediation services</t>
        </is>
      </c>
      <c r="E607" t="inlineStr">
        <is>
          <t>35–36</t>
        </is>
      </c>
      <c r="F607" t="inlineStr">
        <is>
          <t>None</t>
        </is>
      </c>
      <c r="G607" t="inlineStr">
        <is>
          <t>High (explicit)</t>
        </is>
      </c>
      <c r="H607" s="11" t="inlineStr"/>
      <c r="I607" s="11" t="inlineStr"/>
      <c r="J607" t="inlineStr"/>
      <c r="K607"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7" s="11" t="inlineStr"/>
      <c r="M607"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7"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7" s="12" t="inlineStr">
        <is>
          <t>Open PDF</t>
        </is>
      </c>
    </row>
    <row r="608">
      <c r="A608" t="inlineStr">
        <is>
          <t>GDPR</t>
        </is>
      </c>
      <c r="B608" t="inlineStr">
        <is>
          <t>CELEX_32022R0868_EN_TXT (GDPR - Row 12)</t>
        </is>
      </c>
      <c r="C608" t="inlineStr">
        <is>
          <t>2</t>
        </is>
      </c>
      <c r="D608" s="11" t="inlineStr">
        <is>
          <t>Penalty criteria for data intermediation services</t>
        </is>
      </c>
      <c r="E608" t="inlineStr">
        <is>
          <t>37</t>
        </is>
      </c>
      <c r="F608" t="inlineStr">
        <is>
          <t>None</t>
        </is>
      </c>
      <c r="G608" t="inlineStr">
        <is>
          <t>High (explicit)</t>
        </is>
      </c>
      <c r="H608" s="11" t="inlineStr"/>
      <c r="I608" s="11" t="inlineStr"/>
      <c r="J608" t="inlineStr"/>
      <c r="K608"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8" s="11" t="inlineStr"/>
      <c r="M608"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8"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8" s="12" t="inlineStr">
        <is>
          <t>Open PDF</t>
        </is>
      </c>
    </row>
    <row r="609">
      <c r="A609" t="inlineStr">
        <is>
          <t>GDPR</t>
        </is>
      </c>
      <c r="B609" t="inlineStr">
        <is>
          <t>CELEX_32022R0868_EN_TXT (GDPR - Row 12)</t>
        </is>
      </c>
      <c r="C609" t="inlineStr">
        <is>
          <t>2</t>
        </is>
      </c>
      <c r="D609" s="11" t="inlineStr">
        <is>
          <t>Penalty criteria for data intermediation services</t>
        </is>
      </c>
      <c r="E609" t="inlineStr">
        <is>
          <t>38</t>
        </is>
      </c>
      <c r="F609" t="inlineStr">
        <is>
          <t>None</t>
        </is>
      </c>
      <c r="G609" t="inlineStr">
        <is>
          <t>High (explicit)</t>
        </is>
      </c>
      <c r="H609" s="11" t="inlineStr"/>
      <c r="I609" s="11" t="inlineStr"/>
      <c r="J609" t="inlineStr"/>
      <c r="K609"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09" s="11" t="inlineStr"/>
      <c r="M609"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09"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09" s="12" t="inlineStr">
        <is>
          <t>Open PDF</t>
        </is>
      </c>
    </row>
    <row r="610">
      <c r="A610" t="inlineStr">
        <is>
          <t>GDPR</t>
        </is>
      </c>
      <c r="B610" t="inlineStr">
        <is>
          <t>CELEX_32022R0868_EN_TXT (GDPR - Row 12)</t>
        </is>
      </c>
      <c r="C610" t="inlineStr">
        <is>
          <t>2</t>
        </is>
      </c>
      <c r="D610" s="11" t="inlineStr">
        <is>
          <t>Penalty criteria for data intermediation services</t>
        </is>
      </c>
      <c r="E610" t="inlineStr">
        <is>
          <t>38</t>
        </is>
      </c>
      <c r="F610" t="inlineStr">
        <is>
          <t>None</t>
        </is>
      </c>
      <c r="G610" t="inlineStr">
        <is>
          <t>High (explicit)</t>
        </is>
      </c>
      <c r="H610" s="11" t="inlineStr"/>
      <c r="I610" s="11" t="inlineStr"/>
      <c r="J610" t="inlineStr"/>
      <c r="K610"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10" s="11" t="inlineStr"/>
      <c r="M610"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10"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10" s="12" t="inlineStr">
        <is>
          <t>Open PDF</t>
        </is>
      </c>
    </row>
    <row r="611">
      <c r="A611" t="inlineStr">
        <is>
          <t>GDPR</t>
        </is>
      </c>
      <c r="B611" t="inlineStr">
        <is>
          <t>CELEX_32022R0868_EN_TXT (GDPR - Row 12)</t>
        </is>
      </c>
      <c r="C611" t="inlineStr">
        <is>
          <t>2</t>
        </is>
      </c>
      <c r="D611" s="11" t="inlineStr">
        <is>
          <t>Penalty criteria for data intermediation services</t>
        </is>
      </c>
      <c r="E611" t="inlineStr">
        <is>
          <t>38–39</t>
        </is>
      </c>
      <c r="F611" t="inlineStr">
        <is>
          <t>None</t>
        </is>
      </c>
      <c r="G611" t="inlineStr">
        <is>
          <t>High (explicit)</t>
        </is>
      </c>
      <c r="H611" s="11" t="inlineStr"/>
      <c r="I611" s="11" t="inlineStr"/>
      <c r="J611" t="inlineStr"/>
      <c r="K611"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11" s="11" t="inlineStr"/>
      <c r="M611"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11"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11" s="12" t="inlineStr">
        <is>
          <t>Open PDF</t>
        </is>
      </c>
    </row>
    <row r="612">
      <c r="A612" t="inlineStr">
        <is>
          <t>GDPR</t>
        </is>
      </c>
      <c r="B612" t="inlineStr">
        <is>
          <t>CELEX_32022R0868_EN_TXT (GDPR - Row 12)</t>
        </is>
      </c>
      <c r="C612" t="inlineStr">
        <is>
          <t>2</t>
        </is>
      </c>
      <c r="D612" s="11" t="inlineStr">
        <is>
          <t>Penalty criteria for data intermediation services</t>
        </is>
      </c>
      <c r="E612" t="inlineStr">
        <is>
          <t>40</t>
        </is>
      </c>
      <c r="F612" t="inlineStr">
        <is>
          <t>None</t>
        </is>
      </c>
      <c r="G612" t="inlineStr">
        <is>
          <t>High (explicit)</t>
        </is>
      </c>
      <c r="H612" s="11" t="inlineStr"/>
      <c r="I612" s="11" t="inlineStr"/>
      <c r="J612" t="inlineStr"/>
      <c r="K612"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12" s="11" t="inlineStr"/>
      <c r="M612"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12"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12" s="12" t="inlineStr">
        <is>
          <t>Open PDF</t>
        </is>
      </c>
    </row>
    <row r="613">
      <c r="A613" t="inlineStr">
        <is>
          <t>GDPR</t>
        </is>
      </c>
      <c r="B613" t="inlineStr">
        <is>
          <t>CELEX_32022R0868_EN_TXT (GDPR - Row 12)</t>
        </is>
      </c>
      <c r="C613" t="inlineStr">
        <is>
          <t>2</t>
        </is>
      </c>
      <c r="D613" s="11" t="inlineStr">
        <is>
          <t>Penalty criteria for data intermediation services</t>
        </is>
      </c>
      <c r="E613" t="inlineStr">
        <is>
          <t>42–44</t>
        </is>
      </c>
      <c r="F613" t="inlineStr">
        <is>
          <t>None</t>
        </is>
      </c>
      <c r="G613" t="inlineStr">
        <is>
          <t>High (explicit)</t>
        </is>
      </c>
      <c r="H613" s="11" t="inlineStr"/>
      <c r="I613" s="11" t="inlineStr"/>
      <c r="J613" t="inlineStr"/>
      <c r="K613" s="11" t="inlineStr">
        <is>
          <t>Member States must consider specific criteria when imposing penalties on data intermediation services providers and recognised data altruism organisations. These criteria include the nature and severity of the infringement, mitigation actions taken, previous infringements, financial impacts, and other aggravating or mitigating factors. This ensures penalties are tailored to the specific circumstances of each case.</t>
        </is>
      </c>
      <c r="L613" s="11" t="inlineStr"/>
      <c r="M613" s="11" t="inlineStr">
        <is>
          <t>• [Condition] The nature, gravity, scale and duration of the infringement
• [Condition] Any action taken by the data intermediation services provider or recognised data altruism organisation to mitigate or remedy the damage
• [Condition] Any previous infringements by the data intermediation services provider or recognised data altruism organisation
• [Condition] The financial benefits gained or losses avoided by the data intermediation services provider or recognised data altruism organisation due to the infringement
• [Condition] Any other aggravating or mitigating factors applicable to the circumstances of the case</t>
        </is>
      </c>
      <c r="N613" s="11" t="inlineStr">
        <is>
          <t>Member States shall take into account the following non-exhaustive and indicative criteria for the imposition of penalties on data intermediation services providers and recognised data altruism organisations for infringements of this Regulation, where appropriate: (a) the nature, gravity, scale and duration of the infringement; (b) any action taken by the data intermediation services provider or recognised data altruism organisation to mitigate or remedy the damage caused by the infringement; (c) any previous infringements by the data intermediation services provider or recognised data altruism organisation; (d) the financial benefits gained or losses avoided by the data intermediation services provider or recognised data altruism organisation due to the infringement, insofar as such benefits or losses can be reliably established; (e) any other aggravating or mitigating factors applicable to the circumstances of the case.</t>
        </is>
      </c>
      <c r="O613" s="12" t="inlineStr">
        <is>
          <t>Open PDF</t>
        </is>
      </c>
    </row>
    <row r="614">
      <c r="A614" t="inlineStr">
        <is>
          <t>GDPR</t>
        </is>
      </c>
      <c r="B614" t="inlineStr">
        <is>
          <t>CELEX_32022R0868_EN_TXT (GDPR - Row 12)</t>
        </is>
      </c>
      <c r="C614" t="inlineStr">
        <is>
          <t>3</t>
        </is>
      </c>
      <c r="D614" s="11" t="inlineStr">
        <is>
          <t>Revocation of delegated powers</t>
        </is>
      </c>
      <c r="E614" t="inlineStr">
        <is>
          <t>18</t>
        </is>
      </c>
      <c r="F614" t="inlineStr">
        <is>
          <t>None</t>
        </is>
      </c>
      <c r="G614" t="inlineStr">
        <is>
          <t>High (explicit)</t>
        </is>
      </c>
      <c r="H614" s="11" t="inlineStr"/>
      <c r="I614" s="11" t="inlineStr"/>
      <c r="J614" t="inlineStr">
        <is>
          <t>European Parliament or Council</t>
        </is>
      </c>
      <c r="K614" s="11" t="inlineStr">
        <is>
          <t>The European Parliament or Council may revoke delegated powers at any time, with the revocation taking effect the day after publication in the Official Journal or a later date specified. Revoked powers do not affect existing delegated acts.</t>
        </is>
      </c>
      <c r="L614" s="11" t="inlineStr">
        <is>
          <t>This section does not directly impact DTIAs as it concerns the revocation of delegated powers rather than data transfers or processing.</t>
        </is>
      </c>
      <c r="M614"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4"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4" s="12" t="inlineStr">
        <is>
          <t>Open PDF</t>
        </is>
      </c>
    </row>
    <row r="615">
      <c r="A615" t="inlineStr">
        <is>
          <t>GDPR</t>
        </is>
      </c>
      <c r="B615" t="inlineStr">
        <is>
          <t>CELEX_32022R0868_EN_TXT (GDPR - Row 12)</t>
        </is>
      </c>
      <c r="C615" t="inlineStr">
        <is>
          <t>3</t>
        </is>
      </c>
      <c r="D615" s="11" t="inlineStr">
        <is>
          <t>Revocation of delegated powers</t>
        </is>
      </c>
      <c r="E615" t="inlineStr">
        <is>
          <t>21</t>
        </is>
      </c>
      <c r="F615" t="inlineStr">
        <is>
          <t>None</t>
        </is>
      </c>
      <c r="G615" t="inlineStr">
        <is>
          <t>High (explicit)</t>
        </is>
      </c>
      <c r="H615" s="11" t="inlineStr"/>
      <c r="I615" s="11" t="inlineStr"/>
      <c r="J615" t="inlineStr">
        <is>
          <t>European Parliament or Council</t>
        </is>
      </c>
      <c r="K615" s="11" t="inlineStr">
        <is>
          <t>The European Parliament or Council may revoke delegated powers at any time, with the revocation taking effect the day after publication in the Official Journal or a later date specified. Revoked powers do not affect existing delegated acts.</t>
        </is>
      </c>
      <c r="L615" s="11" t="inlineStr">
        <is>
          <t>This section does not directly impact DTIAs as it concerns the revocation of delegated powers rather than data transfers or processing.</t>
        </is>
      </c>
      <c r="M615"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5"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5" s="12" t="inlineStr">
        <is>
          <t>Open PDF</t>
        </is>
      </c>
    </row>
    <row r="616">
      <c r="A616" t="inlineStr">
        <is>
          <t>GDPR</t>
        </is>
      </c>
      <c r="B616" t="inlineStr">
        <is>
          <t>CELEX_32022R0868_EN_TXT (GDPR - Row 12)</t>
        </is>
      </c>
      <c r="C616" t="inlineStr">
        <is>
          <t>3</t>
        </is>
      </c>
      <c r="D616" s="11" t="inlineStr">
        <is>
          <t>Revocation of delegated powers</t>
        </is>
      </c>
      <c r="E616" t="inlineStr">
        <is>
          <t>21</t>
        </is>
      </c>
      <c r="F616" t="inlineStr">
        <is>
          <t>None</t>
        </is>
      </c>
      <c r="G616" t="inlineStr">
        <is>
          <t>High (explicit)</t>
        </is>
      </c>
      <c r="H616" s="11" t="inlineStr"/>
      <c r="I616" s="11" t="inlineStr"/>
      <c r="J616" t="inlineStr">
        <is>
          <t>European Parliament or Council</t>
        </is>
      </c>
      <c r="K616" s="11" t="inlineStr">
        <is>
          <t>The European Parliament or Council may revoke delegated powers at any time, with the revocation taking effect the day after publication in the Official Journal or a later date specified. Revoked powers do not affect existing delegated acts.</t>
        </is>
      </c>
      <c r="L616" s="11" t="inlineStr">
        <is>
          <t>This section does not directly impact DTIAs as it concerns the revocation of delegated powers rather than data transfers or processing.</t>
        </is>
      </c>
      <c r="M616"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6"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6" s="12" t="inlineStr">
        <is>
          <t>Open PDF</t>
        </is>
      </c>
    </row>
    <row r="617">
      <c r="A617" t="inlineStr">
        <is>
          <t>GDPR</t>
        </is>
      </c>
      <c r="B617" t="inlineStr">
        <is>
          <t>CELEX_32022R0868_EN_TXT (GDPR - Row 12)</t>
        </is>
      </c>
      <c r="C617" t="inlineStr">
        <is>
          <t>3</t>
        </is>
      </c>
      <c r="D617" s="11" t="inlineStr">
        <is>
          <t>Revocation of delegated powers</t>
        </is>
      </c>
      <c r="E617" t="inlineStr">
        <is>
          <t>22</t>
        </is>
      </c>
      <c r="F617" t="inlineStr">
        <is>
          <t>None</t>
        </is>
      </c>
      <c r="G617" t="inlineStr">
        <is>
          <t>High (explicit)</t>
        </is>
      </c>
      <c r="H617" s="11" t="inlineStr"/>
      <c r="I617" s="11" t="inlineStr"/>
      <c r="J617" t="inlineStr">
        <is>
          <t>European Parliament or Council</t>
        </is>
      </c>
      <c r="K617" s="11" t="inlineStr">
        <is>
          <t>The European Parliament or Council may revoke delegated powers at any time, with the revocation taking effect the day after publication in the Official Journal or a later date specified. Revoked powers do not affect existing delegated acts.</t>
        </is>
      </c>
      <c r="L617" s="11" t="inlineStr">
        <is>
          <t>This section does not directly impact DTIAs as it concerns the revocation of delegated powers rather than data transfers or processing.</t>
        </is>
      </c>
      <c r="M617"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7"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7" s="12" t="inlineStr">
        <is>
          <t>Open PDF</t>
        </is>
      </c>
    </row>
    <row r="618">
      <c r="A618" t="inlineStr">
        <is>
          <t>GDPR</t>
        </is>
      </c>
      <c r="B618" t="inlineStr">
        <is>
          <t>CELEX_32022R0868_EN_TXT (GDPR - Row 12)</t>
        </is>
      </c>
      <c r="C618" t="inlineStr">
        <is>
          <t>3</t>
        </is>
      </c>
      <c r="D618" s="11" t="inlineStr">
        <is>
          <t>Revocation of delegated powers</t>
        </is>
      </c>
      <c r="E618" t="inlineStr">
        <is>
          <t>24</t>
        </is>
      </c>
      <c r="F618" t="inlineStr">
        <is>
          <t>None</t>
        </is>
      </c>
      <c r="G618" t="inlineStr">
        <is>
          <t>High (explicit)</t>
        </is>
      </c>
      <c r="H618" s="11" t="inlineStr"/>
      <c r="I618" s="11" t="inlineStr"/>
      <c r="J618" t="inlineStr">
        <is>
          <t>European Parliament or Council</t>
        </is>
      </c>
      <c r="K618" s="11" t="inlineStr">
        <is>
          <t>The European Parliament or Council may revoke delegated powers at any time, with the revocation taking effect the day after publication in the Official Journal or a later date specified. Revoked powers do not affect existing delegated acts.</t>
        </is>
      </c>
      <c r="L618" s="11" t="inlineStr">
        <is>
          <t>This section does not directly impact DTIAs as it concerns the revocation of delegated powers rather than data transfers or processing.</t>
        </is>
      </c>
      <c r="M618"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8"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8" s="12" t="inlineStr">
        <is>
          <t>Open PDF</t>
        </is>
      </c>
    </row>
    <row r="619">
      <c r="A619" t="inlineStr">
        <is>
          <t>GDPR</t>
        </is>
      </c>
      <c r="B619" t="inlineStr">
        <is>
          <t>CELEX_32022R0868_EN_TXT (GDPR - Row 12)</t>
        </is>
      </c>
      <c r="C619" t="inlineStr">
        <is>
          <t>3</t>
        </is>
      </c>
      <c r="D619" s="11" t="inlineStr">
        <is>
          <t>Revocation of delegated powers</t>
        </is>
      </c>
      <c r="E619" t="inlineStr">
        <is>
          <t>25</t>
        </is>
      </c>
      <c r="F619" t="inlineStr">
        <is>
          <t>None</t>
        </is>
      </c>
      <c r="G619" t="inlineStr">
        <is>
          <t>High (explicit)</t>
        </is>
      </c>
      <c r="H619" s="11" t="inlineStr"/>
      <c r="I619" s="11" t="inlineStr"/>
      <c r="J619" t="inlineStr">
        <is>
          <t>European Parliament or Council</t>
        </is>
      </c>
      <c r="K619" s="11" t="inlineStr">
        <is>
          <t>The European Parliament or Council may revoke delegated powers at any time, with the revocation taking effect the day after publication in the Official Journal or a later date specified. Revoked powers do not affect existing delegated acts.</t>
        </is>
      </c>
      <c r="L619" s="11" t="inlineStr">
        <is>
          <t>This section does not directly impact DTIAs as it concerns the revocation of delegated powers rather than data transfers or processing.</t>
        </is>
      </c>
      <c r="M619"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19"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19" s="12" t="inlineStr">
        <is>
          <t>Open PDF</t>
        </is>
      </c>
    </row>
    <row r="620">
      <c r="A620" t="inlineStr">
        <is>
          <t>GDPR</t>
        </is>
      </c>
      <c r="B620" t="inlineStr">
        <is>
          <t>CELEX_32022R0868_EN_TXT (GDPR - Row 12)</t>
        </is>
      </c>
      <c r="C620" t="inlineStr">
        <is>
          <t>3</t>
        </is>
      </c>
      <c r="D620" s="11" t="inlineStr">
        <is>
          <t>Revocation of delegated powers</t>
        </is>
      </c>
      <c r="E620" t="inlineStr">
        <is>
          <t>26</t>
        </is>
      </c>
      <c r="F620" t="inlineStr">
        <is>
          <t>None</t>
        </is>
      </c>
      <c r="G620" t="inlineStr">
        <is>
          <t>High (explicit)</t>
        </is>
      </c>
      <c r="H620" s="11" t="inlineStr"/>
      <c r="I620" s="11" t="inlineStr"/>
      <c r="J620" t="inlineStr">
        <is>
          <t>European Parliament or Council</t>
        </is>
      </c>
      <c r="K620" s="11" t="inlineStr">
        <is>
          <t>The European Parliament or Council may revoke delegated powers at any time, with the revocation taking effect the day after publication in the Official Journal or a later date specified. Revoked powers do not affect existing delegated acts.</t>
        </is>
      </c>
      <c r="L620" s="11" t="inlineStr">
        <is>
          <t>This section does not directly impact DTIAs as it concerns the revocation of delegated powers rather than data transfers or processing.</t>
        </is>
      </c>
      <c r="M620"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0"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0" s="12" t="inlineStr">
        <is>
          <t>Open PDF</t>
        </is>
      </c>
    </row>
    <row r="621">
      <c r="A621" t="inlineStr">
        <is>
          <t>GDPR</t>
        </is>
      </c>
      <c r="B621" t="inlineStr">
        <is>
          <t>CELEX_32022R0868_EN_TXT (GDPR - Row 12)</t>
        </is>
      </c>
      <c r="C621" t="inlineStr">
        <is>
          <t>3</t>
        </is>
      </c>
      <c r="D621" s="11" t="inlineStr">
        <is>
          <t>Revocation of delegated powers</t>
        </is>
      </c>
      <c r="E621" t="inlineStr">
        <is>
          <t>27</t>
        </is>
      </c>
      <c r="F621" t="inlineStr">
        <is>
          <t>None</t>
        </is>
      </c>
      <c r="G621" t="inlineStr">
        <is>
          <t>High (explicit)</t>
        </is>
      </c>
      <c r="H621" s="11" t="inlineStr"/>
      <c r="I621" s="11" t="inlineStr"/>
      <c r="J621" t="inlineStr">
        <is>
          <t>European Parliament or Council</t>
        </is>
      </c>
      <c r="K621" s="11" t="inlineStr">
        <is>
          <t>The European Parliament or Council may revoke delegated powers at any time, with the revocation taking effect the day after publication in the Official Journal or a later date specified. Revoked powers do not affect existing delegated acts.</t>
        </is>
      </c>
      <c r="L621" s="11" t="inlineStr">
        <is>
          <t>This section does not directly impact DTIAs as it concerns the revocation of delegated powers rather than data transfers or processing.</t>
        </is>
      </c>
      <c r="M621"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1"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1" s="12" t="inlineStr">
        <is>
          <t>Open PDF</t>
        </is>
      </c>
    </row>
    <row r="622">
      <c r="A622" t="inlineStr">
        <is>
          <t>GDPR</t>
        </is>
      </c>
      <c r="B622" t="inlineStr">
        <is>
          <t>CELEX_32022R0868_EN_TXT (GDPR - Row 12)</t>
        </is>
      </c>
      <c r="C622" t="inlineStr">
        <is>
          <t>3</t>
        </is>
      </c>
      <c r="D622" s="11" t="inlineStr">
        <is>
          <t>Revocation of delegated powers</t>
        </is>
      </c>
      <c r="E622" t="inlineStr">
        <is>
          <t>30</t>
        </is>
      </c>
      <c r="F622" t="inlineStr">
        <is>
          <t>None</t>
        </is>
      </c>
      <c r="G622" t="inlineStr">
        <is>
          <t>High (explicit)</t>
        </is>
      </c>
      <c r="H622" s="11" t="inlineStr"/>
      <c r="I622" s="11" t="inlineStr"/>
      <c r="J622" t="inlineStr">
        <is>
          <t>European Parliament or Council</t>
        </is>
      </c>
      <c r="K622" s="11" t="inlineStr">
        <is>
          <t>The European Parliament or Council may revoke delegated powers at any time, with the revocation taking effect the day after publication in the Official Journal or a later date specified. Revoked powers do not affect existing delegated acts.</t>
        </is>
      </c>
      <c r="L622" s="11" t="inlineStr">
        <is>
          <t>This section does not directly impact DTIAs as it concerns the revocation of delegated powers rather than data transfers or processing.</t>
        </is>
      </c>
      <c r="M622"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2"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2" s="12" t="inlineStr">
        <is>
          <t>Open PDF</t>
        </is>
      </c>
    </row>
    <row r="623">
      <c r="A623" t="inlineStr">
        <is>
          <t>GDPR</t>
        </is>
      </c>
      <c r="B623" t="inlineStr">
        <is>
          <t>CELEX_32022R0868_EN_TXT (GDPR - Row 12)</t>
        </is>
      </c>
      <c r="C623" t="inlineStr">
        <is>
          <t>3</t>
        </is>
      </c>
      <c r="D623" s="11" t="inlineStr">
        <is>
          <t>Revocation of delegated powers</t>
        </is>
      </c>
      <c r="E623" t="inlineStr">
        <is>
          <t>30</t>
        </is>
      </c>
      <c r="F623" t="inlineStr">
        <is>
          <t>None</t>
        </is>
      </c>
      <c r="G623" t="inlineStr">
        <is>
          <t>High (explicit)</t>
        </is>
      </c>
      <c r="H623" s="11" t="inlineStr"/>
      <c r="I623" s="11" t="inlineStr"/>
      <c r="J623" t="inlineStr">
        <is>
          <t>European Parliament or Council</t>
        </is>
      </c>
      <c r="K623" s="11" t="inlineStr">
        <is>
          <t>The European Parliament or Council may revoke delegated powers at any time, with the revocation taking effect the day after publication in the Official Journal or a later date specified. Revoked powers do not affect existing delegated acts.</t>
        </is>
      </c>
      <c r="L623" s="11" t="inlineStr">
        <is>
          <t>This section does not directly impact DTIAs as it concerns the revocation of delegated powers rather than data transfers or processing.</t>
        </is>
      </c>
      <c r="M623"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3"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3" s="12" t="inlineStr">
        <is>
          <t>Open PDF</t>
        </is>
      </c>
    </row>
    <row r="624">
      <c r="A624" t="inlineStr">
        <is>
          <t>GDPR</t>
        </is>
      </c>
      <c r="B624" t="inlineStr">
        <is>
          <t>CELEX_32022R0868_EN_TXT (GDPR - Row 12)</t>
        </is>
      </c>
      <c r="C624" t="inlineStr">
        <is>
          <t>3</t>
        </is>
      </c>
      <c r="D624" s="11" t="inlineStr">
        <is>
          <t>Revocation of delegated powers</t>
        </is>
      </c>
      <c r="E624" t="inlineStr">
        <is>
          <t>32–33</t>
        </is>
      </c>
      <c r="F624" t="inlineStr">
        <is>
          <t>None</t>
        </is>
      </c>
      <c r="G624" t="inlineStr">
        <is>
          <t>High (explicit)</t>
        </is>
      </c>
      <c r="H624" s="11" t="inlineStr"/>
      <c r="I624" s="11" t="inlineStr"/>
      <c r="J624" t="inlineStr">
        <is>
          <t>European Parliament or Council</t>
        </is>
      </c>
      <c r="K624" s="11" t="inlineStr">
        <is>
          <t>The European Parliament or Council may revoke delegated powers at any time, with the revocation taking effect the day after publication in the Official Journal or a later date specified. Revoked powers do not affect existing delegated acts.</t>
        </is>
      </c>
      <c r="L624" s="11" t="inlineStr">
        <is>
          <t>This section does not directly impact DTIAs as it concerns the revocation of delegated powers rather than data transfers or processing.</t>
        </is>
      </c>
      <c r="M624"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4"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4" s="12" t="inlineStr">
        <is>
          <t>Open PDF</t>
        </is>
      </c>
    </row>
    <row r="625">
      <c r="A625" t="inlineStr">
        <is>
          <t>GDPR</t>
        </is>
      </c>
      <c r="B625" t="inlineStr">
        <is>
          <t>CELEX_32022R0868_EN_TXT (GDPR - Row 12)</t>
        </is>
      </c>
      <c r="C625" t="inlineStr">
        <is>
          <t>3</t>
        </is>
      </c>
      <c r="D625" s="11" t="inlineStr">
        <is>
          <t>Revocation of delegated powers</t>
        </is>
      </c>
      <c r="E625" t="inlineStr">
        <is>
          <t>34</t>
        </is>
      </c>
      <c r="F625" t="inlineStr">
        <is>
          <t>None</t>
        </is>
      </c>
      <c r="G625" t="inlineStr">
        <is>
          <t>High (explicit)</t>
        </is>
      </c>
      <c r="H625" s="11" t="inlineStr"/>
      <c r="I625" s="11" t="inlineStr"/>
      <c r="J625" t="inlineStr">
        <is>
          <t>European Parliament or Council</t>
        </is>
      </c>
      <c r="K625" s="11" t="inlineStr">
        <is>
          <t>The European Parliament or Council may revoke delegated powers at any time, with the revocation taking effect the day after publication in the Official Journal or a later date specified. Revoked powers do not affect existing delegated acts.</t>
        </is>
      </c>
      <c r="L625" s="11" t="inlineStr">
        <is>
          <t>This section does not directly impact DTIAs as it concerns the revocation of delegated powers rather than data transfers or processing.</t>
        </is>
      </c>
      <c r="M625"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5"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5" s="12" t="inlineStr">
        <is>
          <t>Open PDF</t>
        </is>
      </c>
    </row>
    <row r="626">
      <c r="A626" t="inlineStr">
        <is>
          <t>GDPR</t>
        </is>
      </c>
      <c r="B626" t="inlineStr">
        <is>
          <t>CELEX_32022R0868_EN_TXT (GDPR - Row 12)</t>
        </is>
      </c>
      <c r="C626" t="inlineStr">
        <is>
          <t>3</t>
        </is>
      </c>
      <c r="D626" s="11" t="inlineStr">
        <is>
          <t>Revocation of delegated powers</t>
        </is>
      </c>
      <c r="E626" t="inlineStr">
        <is>
          <t>35</t>
        </is>
      </c>
      <c r="F626" t="inlineStr">
        <is>
          <t>None</t>
        </is>
      </c>
      <c r="G626" t="inlineStr">
        <is>
          <t>High (explicit)</t>
        </is>
      </c>
      <c r="H626" s="11" t="inlineStr"/>
      <c r="I626" s="11" t="inlineStr"/>
      <c r="J626" t="inlineStr">
        <is>
          <t>European Parliament or Council</t>
        </is>
      </c>
      <c r="K626" s="11" t="inlineStr">
        <is>
          <t>The European Parliament or Council may revoke delegated powers at any time, with the revocation taking effect the day after publication in the Official Journal or a later date specified. Revoked powers do not affect existing delegated acts.</t>
        </is>
      </c>
      <c r="L626" s="11" t="inlineStr">
        <is>
          <t>This section does not directly impact DTIAs as it concerns the revocation of delegated powers rather than data transfers or processing.</t>
        </is>
      </c>
      <c r="M626"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6"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6" s="12" t="inlineStr">
        <is>
          <t>Open PDF</t>
        </is>
      </c>
    </row>
    <row r="627">
      <c r="A627" t="inlineStr">
        <is>
          <t>GDPR</t>
        </is>
      </c>
      <c r="B627" t="inlineStr">
        <is>
          <t>CELEX_32022R0868_EN_TXT (GDPR - Row 12)</t>
        </is>
      </c>
      <c r="C627" t="inlineStr">
        <is>
          <t>3</t>
        </is>
      </c>
      <c r="D627" s="11" t="inlineStr">
        <is>
          <t>Revocation of delegated powers</t>
        </is>
      </c>
      <c r="E627" t="inlineStr">
        <is>
          <t>36</t>
        </is>
      </c>
      <c r="F627" t="inlineStr">
        <is>
          <t>None</t>
        </is>
      </c>
      <c r="G627" t="inlineStr">
        <is>
          <t>High (explicit)</t>
        </is>
      </c>
      <c r="H627" s="11" t="inlineStr"/>
      <c r="I627" s="11" t="inlineStr"/>
      <c r="J627" t="inlineStr">
        <is>
          <t>European Parliament or Council</t>
        </is>
      </c>
      <c r="K627" s="11" t="inlineStr">
        <is>
          <t>The European Parliament or Council may revoke delegated powers at any time, with the revocation taking effect the day after publication in the Official Journal or a later date specified. Revoked powers do not affect existing delegated acts.</t>
        </is>
      </c>
      <c r="L627" s="11" t="inlineStr">
        <is>
          <t>This section does not directly impact DTIAs as it concerns the revocation of delegated powers rather than data transfers or processing.</t>
        </is>
      </c>
      <c r="M627"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7"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7" s="12" t="inlineStr">
        <is>
          <t>Open PDF</t>
        </is>
      </c>
    </row>
    <row r="628">
      <c r="A628" t="inlineStr">
        <is>
          <t>GDPR</t>
        </is>
      </c>
      <c r="B628" t="inlineStr">
        <is>
          <t>CELEX_32022R0868_EN_TXT (GDPR - Row 12)</t>
        </is>
      </c>
      <c r="C628" t="inlineStr">
        <is>
          <t>3</t>
        </is>
      </c>
      <c r="D628" s="11" t="inlineStr">
        <is>
          <t>Revocation of delegated powers</t>
        </is>
      </c>
      <c r="E628" t="inlineStr">
        <is>
          <t>36</t>
        </is>
      </c>
      <c r="F628" t="inlineStr">
        <is>
          <t>None</t>
        </is>
      </c>
      <c r="G628" t="inlineStr">
        <is>
          <t>High (explicit)</t>
        </is>
      </c>
      <c r="H628" s="11" t="inlineStr"/>
      <c r="I628" s="11" t="inlineStr"/>
      <c r="J628" t="inlineStr">
        <is>
          <t>European Parliament or Council</t>
        </is>
      </c>
      <c r="K628" s="11" t="inlineStr">
        <is>
          <t>The European Parliament or Council may revoke delegated powers at any time, with the revocation taking effect the day after publication in the Official Journal or a later date specified. Revoked powers do not affect existing delegated acts.</t>
        </is>
      </c>
      <c r="L628" s="11" t="inlineStr">
        <is>
          <t>This section does not directly impact DTIAs as it concerns the revocation of delegated powers rather than data transfers or processing.</t>
        </is>
      </c>
      <c r="M628"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8"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8" s="12" t="inlineStr">
        <is>
          <t>Open PDF</t>
        </is>
      </c>
    </row>
    <row r="629">
      <c r="A629" t="inlineStr">
        <is>
          <t>GDPR</t>
        </is>
      </c>
      <c r="B629" t="inlineStr">
        <is>
          <t>CELEX_32022R0868_EN_TXT (GDPR - Row 12)</t>
        </is>
      </c>
      <c r="C629" t="inlineStr">
        <is>
          <t>3</t>
        </is>
      </c>
      <c r="D629" s="11" t="inlineStr">
        <is>
          <t>Revocation of delegated powers</t>
        </is>
      </c>
      <c r="E629" t="inlineStr">
        <is>
          <t>37</t>
        </is>
      </c>
      <c r="F629" t="inlineStr">
        <is>
          <t>None</t>
        </is>
      </c>
      <c r="G629" t="inlineStr">
        <is>
          <t>High (explicit)</t>
        </is>
      </c>
      <c r="H629" s="11" t="inlineStr"/>
      <c r="I629" s="11" t="inlineStr"/>
      <c r="J629" t="inlineStr">
        <is>
          <t>European Parliament or Council</t>
        </is>
      </c>
      <c r="K629" s="11" t="inlineStr">
        <is>
          <t>The European Parliament or Council may revoke delegated powers at any time, with the revocation taking effect the day after publication in the Official Journal or a later date specified. Revoked powers do not affect existing delegated acts.</t>
        </is>
      </c>
      <c r="L629" s="11" t="inlineStr">
        <is>
          <t>This section does not directly impact DTIAs as it concerns the revocation of delegated powers rather than data transfers or processing.</t>
        </is>
      </c>
      <c r="M629"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29"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29" s="12" t="inlineStr">
        <is>
          <t>Open PDF</t>
        </is>
      </c>
    </row>
    <row r="630">
      <c r="A630" t="inlineStr">
        <is>
          <t>GDPR</t>
        </is>
      </c>
      <c r="B630" t="inlineStr">
        <is>
          <t>CELEX_32022R0868_EN_TXT (GDPR - Row 12)</t>
        </is>
      </c>
      <c r="C630" t="inlineStr">
        <is>
          <t>3</t>
        </is>
      </c>
      <c r="D630" s="11" t="inlineStr">
        <is>
          <t>Revocation of delegated powers</t>
        </is>
      </c>
      <c r="E630" t="inlineStr">
        <is>
          <t>38</t>
        </is>
      </c>
      <c r="F630" t="inlineStr">
        <is>
          <t>None</t>
        </is>
      </c>
      <c r="G630" t="inlineStr">
        <is>
          <t>High (explicit)</t>
        </is>
      </c>
      <c r="H630" s="11" t="inlineStr"/>
      <c r="I630" s="11" t="inlineStr"/>
      <c r="J630" t="inlineStr">
        <is>
          <t>European Parliament or Council</t>
        </is>
      </c>
      <c r="K630" s="11" t="inlineStr">
        <is>
          <t>The European Parliament or Council may revoke delegated powers at any time, with the revocation taking effect the day after publication in the Official Journal or a later date specified. Revoked powers do not affect existing delegated acts.</t>
        </is>
      </c>
      <c r="L630" s="11" t="inlineStr">
        <is>
          <t>This section does not directly impact DTIAs as it concerns the revocation of delegated powers rather than data transfers or processing.</t>
        </is>
      </c>
      <c r="M630"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30"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30" s="12" t="inlineStr">
        <is>
          <t>Open PDF</t>
        </is>
      </c>
    </row>
    <row r="631">
      <c r="A631" t="inlineStr">
        <is>
          <t>GDPR</t>
        </is>
      </c>
      <c r="B631" t="inlineStr">
        <is>
          <t>CELEX_32022R0868_EN_TXT (GDPR - Row 12)</t>
        </is>
      </c>
      <c r="C631" t="inlineStr">
        <is>
          <t>3</t>
        </is>
      </c>
      <c r="D631" s="11" t="inlineStr">
        <is>
          <t>Revocation of delegated powers</t>
        </is>
      </c>
      <c r="E631" t="inlineStr">
        <is>
          <t>40–41</t>
        </is>
      </c>
      <c r="F631" t="inlineStr">
        <is>
          <t>None</t>
        </is>
      </c>
      <c r="G631" t="inlineStr">
        <is>
          <t>High (explicit)</t>
        </is>
      </c>
      <c r="H631" s="11" t="inlineStr"/>
      <c r="I631" s="11" t="inlineStr"/>
      <c r="J631" t="inlineStr">
        <is>
          <t>European Parliament or Council</t>
        </is>
      </c>
      <c r="K631" s="11" t="inlineStr">
        <is>
          <t>The European Parliament or Council may revoke delegated powers at any time, with the revocation taking effect the day after publication in the Official Journal or a later date specified. Revoked powers do not affect existing delegated acts.</t>
        </is>
      </c>
      <c r="L631" s="11" t="inlineStr">
        <is>
          <t>This section does not directly impact DTIAs as it concerns the revocation of delegated powers rather than data transfers or processing.</t>
        </is>
      </c>
      <c r="M631"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31"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31" s="12" t="inlineStr">
        <is>
          <t>Open PDF</t>
        </is>
      </c>
    </row>
    <row r="632">
      <c r="A632" t="inlineStr">
        <is>
          <t>GDPR</t>
        </is>
      </c>
      <c r="B632" t="inlineStr">
        <is>
          <t>CELEX_32022R0868_EN_TXT (GDPR - Row 12)</t>
        </is>
      </c>
      <c r="C632" t="inlineStr">
        <is>
          <t>3</t>
        </is>
      </c>
      <c r="D632" s="11" t="inlineStr">
        <is>
          <t>Revocation of delegated powers</t>
        </is>
      </c>
      <c r="E632" t="inlineStr">
        <is>
          <t>41</t>
        </is>
      </c>
      <c r="F632" t="inlineStr">
        <is>
          <t>None</t>
        </is>
      </c>
      <c r="G632" t="inlineStr">
        <is>
          <t>High (explicit)</t>
        </is>
      </c>
      <c r="H632" s="11" t="inlineStr"/>
      <c r="I632" s="11" t="inlineStr"/>
      <c r="J632" t="inlineStr">
        <is>
          <t>European Parliament or Council</t>
        </is>
      </c>
      <c r="K632" s="11" t="inlineStr">
        <is>
          <t>The European Parliament or Council may revoke delegated powers at any time, with the revocation taking effect the day after publication in the Official Journal or a later date specified. Revoked powers do not affect existing delegated acts.</t>
        </is>
      </c>
      <c r="L632" s="11" t="inlineStr">
        <is>
          <t>This section does not directly impact DTIAs as it concerns the revocation of delegated powers rather than data transfers or processing.</t>
        </is>
      </c>
      <c r="M632" s="11" t="inlineStr">
        <is>
          <t>• [May] The European Parliament or Council may revoke delegated powers at any time
• [Must] Revocation takes effect the day after publication in the Official Journal or a later date specified
• [Must] Revoked powers do not affect the validity of existing delegated acts</t>
        </is>
      </c>
      <c r="N632" s="11" t="inlineStr">
        <is>
          <t>The delegation of power referred to in Article 5(13) and Article 22(1)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632" s="12" t="inlineStr">
        <is>
          <t>Open PDF</t>
        </is>
      </c>
    </row>
    <row r="633">
      <c r="A633" t="inlineStr">
        <is>
          <t>GDPR</t>
        </is>
      </c>
      <c r="B633" t="inlineStr">
        <is>
          <t>CELEX_32022R0868_EN_TXT (GDPR - Row 12)</t>
        </is>
      </c>
      <c r="C633" t="inlineStr">
        <is>
          <t>4</t>
        </is>
      </c>
      <c r="D633" s="11" t="inlineStr">
        <is>
          <t>Consultation of Member State experts before delegated acts</t>
        </is>
      </c>
      <c r="E633" t="inlineStr">
        <is>
          <t>21–22</t>
        </is>
      </c>
      <c r="F633" t="inlineStr">
        <is>
          <t>None</t>
        </is>
      </c>
      <c r="G633" t="inlineStr">
        <is>
          <t>High (explicit)</t>
        </is>
      </c>
      <c r="H633" s="11" t="inlineStr"/>
      <c r="I633" s="11" t="inlineStr"/>
      <c r="J633" t="inlineStr"/>
      <c r="K633"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3" s="11" t="inlineStr"/>
      <c r="M633" s="11" t="inlineStr">
        <is>
          <t>• [Must] The Commission shall consult experts designated by each Member State</t>
        </is>
      </c>
      <c r="N633" s="11" t="inlineStr">
        <is>
          <t>Before adopting a delegated act, the Commission shall consult experts designated by each Member State in accordance with the principles laid down in the Interinstitutional Agreement of 13 April 2016 on Better Law-Making.</t>
        </is>
      </c>
      <c r="O633" s="12" t="inlineStr">
        <is>
          <t>Open PDF</t>
        </is>
      </c>
    </row>
    <row r="634">
      <c r="A634" t="inlineStr">
        <is>
          <t>GDPR</t>
        </is>
      </c>
      <c r="B634" t="inlineStr">
        <is>
          <t>CELEX_32022R0868_EN_TXT (GDPR - Row 12)</t>
        </is>
      </c>
      <c r="C634" t="inlineStr">
        <is>
          <t>4</t>
        </is>
      </c>
      <c r="D634" s="11" t="inlineStr">
        <is>
          <t>Consultation of Member State experts before delegated acts</t>
        </is>
      </c>
      <c r="E634" t="inlineStr">
        <is>
          <t>22</t>
        </is>
      </c>
      <c r="F634" t="inlineStr">
        <is>
          <t>None</t>
        </is>
      </c>
      <c r="G634" t="inlineStr">
        <is>
          <t>High (explicit)</t>
        </is>
      </c>
      <c r="H634" s="11" t="inlineStr"/>
      <c r="I634" s="11" t="inlineStr"/>
      <c r="J634" t="inlineStr"/>
      <c r="K634"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4" s="11" t="inlineStr"/>
      <c r="M634" s="11" t="inlineStr">
        <is>
          <t>• [Must] The Commission shall consult experts designated by each Member State</t>
        </is>
      </c>
      <c r="N634" s="11" t="inlineStr">
        <is>
          <t>Before adopting a delegated act, the Commission shall consult experts designated by each Member State in accordance with the principles laid down in the Interinstitutional Agreement of 13 April 2016 on Better Law-Making.</t>
        </is>
      </c>
      <c r="O634" s="12" t="inlineStr">
        <is>
          <t>Open PDF</t>
        </is>
      </c>
    </row>
    <row r="635">
      <c r="A635" t="inlineStr">
        <is>
          <t>GDPR</t>
        </is>
      </c>
      <c r="B635" t="inlineStr">
        <is>
          <t>CELEX_32022R0868_EN_TXT (GDPR - Row 12)</t>
        </is>
      </c>
      <c r="C635" t="inlineStr">
        <is>
          <t>4</t>
        </is>
      </c>
      <c r="D635" s="11" t="inlineStr">
        <is>
          <t>Consultation of Member State experts before delegated acts</t>
        </is>
      </c>
      <c r="E635" t="inlineStr">
        <is>
          <t>24</t>
        </is>
      </c>
      <c r="F635" t="inlineStr">
        <is>
          <t>None</t>
        </is>
      </c>
      <c r="G635" t="inlineStr">
        <is>
          <t>High (explicit)</t>
        </is>
      </c>
      <c r="H635" s="11" t="inlineStr"/>
      <c r="I635" s="11" t="inlineStr"/>
      <c r="J635" t="inlineStr"/>
      <c r="K635"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5" s="11" t="inlineStr"/>
      <c r="M635" s="11" t="inlineStr">
        <is>
          <t>• [Must] The Commission shall consult experts designated by each Member State</t>
        </is>
      </c>
      <c r="N635" s="11" t="inlineStr">
        <is>
          <t>Before adopting a delegated act, the Commission shall consult experts designated by each Member State in accordance with the principles laid down in the Interinstitutional Agreement of 13 April 2016 on Better Law-Making.</t>
        </is>
      </c>
      <c r="O635" s="12" t="inlineStr">
        <is>
          <t>Open PDF</t>
        </is>
      </c>
    </row>
    <row r="636">
      <c r="A636" t="inlineStr">
        <is>
          <t>GDPR</t>
        </is>
      </c>
      <c r="B636" t="inlineStr">
        <is>
          <t>CELEX_32022R0868_EN_TXT (GDPR - Row 12)</t>
        </is>
      </c>
      <c r="C636" t="inlineStr">
        <is>
          <t>4</t>
        </is>
      </c>
      <c r="D636" s="11" t="inlineStr">
        <is>
          <t>Consultation of Member State experts before delegated acts</t>
        </is>
      </c>
      <c r="E636" t="inlineStr">
        <is>
          <t>25</t>
        </is>
      </c>
      <c r="F636" t="inlineStr">
        <is>
          <t>None</t>
        </is>
      </c>
      <c r="G636" t="inlineStr">
        <is>
          <t>High (explicit)</t>
        </is>
      </c>
      <c r="H636" s="11" t="inlineStr"/>
      <c r="I636" s="11" t="inlineStr"/>
      <c r="J636" t="inlineStr"/>
      <c r="K636"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6" s="11" t="inlineStr"/>
      <c r="M636" s="11" t="inlineStr">
        <is>
          <t>• [Must] The Commission shall consult experts designated by each Member State</t>
        </is>
      </c>
      <c r="N636" s="11" t="inlineStr">
        <is>
          <t>Before adopting a delegated act, the Commission shall consult experts designated by each Member State in accordance with the principles laid down in the Interinstitutional Agreement of 13 April 2016 on Better Law-Making.</t>
        </is>
      </c>
      <c r="O636" s="12" t="inlineStr">
        <is>
          <t>Open PDF</t>
        </is>
      </c>
    </row>
    <row r="637">
      <c r="A637" t="inlineStr">
        <is>
          <t>GDPR</t>
        </is>
      </c>
      <c r="B637" t="inlineStr">
        <is>
          <t>CELEX_32022R0868_EN_TXT (GDPR - Row 12)</t>
        </is>
      </c>
      <c r="C637" t="inlineStr">
        <is>
          <t>4</t>
        </is>
      </c>
      <c r="D637" s="11" t="inlineStr">
        <is>
          <t>Consultation of Member State experts before delegated acts</t>
        </is>
      </c>
      <c r="E637" t="inlineStr">
        <is>
          <t>26</t>
        </is>
      </c>
      <c r="F637" t="inlineStr">
        <is>
          <t>None</t>
        </is>
      </c>
      <c r="G637" t="inlineStr">
        <is>
          <t>High (explicit)</t>
        </is>
      </c>
      <c r="H637" s="11" t="inlineStr"/>
      <c r="I637" s="11" t="inlineStr"/>
      <c r="J637" t="inlineStr"/>
      <c r="K637"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7" s="11" t="inlineStr"/>
      <c r="M637" s="11" t="inlineStr">
        <is>
          <t>• [Must] The Commission shall consult experts designated by each Member State</t>
        </is>
      </c>
      <c r="N637" s="11" t="inlineStr">
        <is>
          <t>Before adopting a delegated act, the Commission shall consult experts designated by each Member State in accordance with the principles laid down in the Interinstitutional Agreement of 13 April 2016 on Better Law-Making.</t>
        </is>
      </c>
      <c r="O637" s="12" t="inlineStr">
        <is>
          <t>Open PDF</t>
        </is>
      </c>
    </row>
    <row r="638">
      <c r="A638" t="inlineStr">
        <is>
          <t>GDPR</t>
        </is>
      </c>
      <c r="B638" t="inlineStr">
        <is>
          <t>CELEX_32022R0868_EN_TXT (GDPR - Row 12)</t>
        </is>
      </c>
      <c r="C638" t="inlineStr">
        <is>
          <t>4</t>
        </is>
      </c>
      <c r="D638" s="11" t="inlineStr">
        <is>
          <t>Consultation of Member State experts before delegated acts</t>
        </is>
      </c>
      <c r="E638" t="inlineStr">
        <is>
          <t>27</t>
        </is>
      </c>
      <c r="F638" t="inlineStr">
        <is>
          <t>None</t>
        </is>
      </c>
      <c r="G638" t="inlineStr">
        <is>
          <t>High (explicit)</t>
        </is>
      </c>
      <c r="H638" s="11" t="inlineStr"/>
      <c r="I638" s="11" t="inlineStr"/>
      <c r="J638" t="inlineStr"/>
      <c r="K638"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8" s="11" t="inlineStr"/>
      <c r="M638" s="11" t="inlineStr">
        <is>
          <t>• [Must] The Commission shall consult experts designated by each Member State</t>
        </is>
      </c>
      <c r="N638" s="11" t="inlineStr">
        <is>
          <t>Before adopting a delegated act, the Commission shall consult experts designated by each Member State in accordance with the principles laid down in the Interinstitutional Agreement of 13 April 2016 on Better Law-Making.</t>
        </is>
      </c>
      <c r="O638" s="12" t="inlineStr">
        <is>
          <t>Open PDF</t>
        </is>
      </c>
    </row>
    <row r="639">
      <c r="A639" t="inlineStr">
        <is>
          <t>GDPR</t>
        </is>
      </c>
      <c r="B639" t="inlineStr">
        <is>
          <t>CELEX_32022R0868_EN_TXT (GDPR - Row 12)</t>
        </is>
      </c>
      <c r="C639" t="inlineStr">
        <is>
          <t>4</t>
        </is>
      </c>
      <c r="D639" s="11" t="inlineStr">
        <is>
          <t>Consultation of Member State experts before delegated acts</t>
        </is>
      </c>
      <c r="E639" t="inlineStr">
        <is>
          <t>30–31</t>
        </is>
      </c>
      <c r="F639" t="inlineStr">
        <is>
          <t>None</t>
        </is>
      </c>
      <c r="G639" t="inlineStr">
        <is>
          <t>High (explicit)</t>
        </is>
      </c>
      <c r="H639" s="11" t="inlineStr"/>
      <c r="I639" s="11" t="inlineStr"/>
      <c r="J639" t="inlineStr"/>
      <c r="K639"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39" s="11" t="inlineStr"/>
      <c r="M639" s="11" t="inlineStr">
        <is>
          <t>• [Must] The Commission shall consult experts designated by each Member State</t>
        </is>
      </c>
      <c r="N639" s="11" t="inlineStr">
        <is>
          <t>Before adopting a delegated act, the Commission shall consult experts designated by each Member State in accordance with the principles laid down in the Interinstitutional Agreement of 13 April 2016 on Better Law-Making.</t>
        </is>
      </c>
      <c r="O639" s="12" t="inlineStr">
        <is>
          <t>Open PDF</t>
        </is>
      </c>
    </row>
    <row r="640">
      <c r="A640" t="inlineStr">
        <is>
          <t>GDPR</t>
        </is>
      </c>
      <c r="B640" t="inlineStr">
        <is>
          <t>CELEX_32022R0868_EN_TXT (GDPR - Row 12)</t>
        </is>
      </c>
      <c r="C640" t="inlineStr">
        <is>
          <t>4</t>
        </is>
      </c>
      <c r="D640" s="11" t="inlineStr">
        <is>
          <t>Consultation of Member State experts before delegated acts</t>
        </is>
      </c>
      <c r="E640" t="inlineStr">
        <is>
          <t>33</t>
        </is>
      </c>
      <c r="F640" t="inlineStr">
        <is>
          <t>None</t>
        </is>
      </c>
      <c r="G640" t="inlineStr">
        <is>
          <t>High (explicit)</t>
        </is>
      </c>
      <c r="H640" s="11" t="inlineStr"/>
      <c r="I640" s="11" t="inlineStr"/>
      <c r="J640" t="inlineStr"/>
      <c r="K640"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0" s="11" t="inlineStr"/>
      <c r="M640" s="11" t="inlineStr">
        <is>
          <t>• [Must] The Commission shall consult experts designated by each Member State</t>
        </is>
      </c>
      <c r="N640" s="11" t="inlineStr">
        <is>
          <t>Before adopting a delegated act, the Commission shall consult experts designated by each Member State in accordance with the principles laid down in the Interinstitutional Agreement of 13 April 2016 on Better Law-Making.</t>
        </is>
      </c>
      <c r="O640" s="12" t="inlineStr">
        <is>
          <t>Open PDF</t>
        </is>
      </c>
    </row>
    <row r="641">
      <c r="A641" t="inlineStr">
        <is>
          <t>GDPR</t>
        </is>
      </c>
      <c r="B641" t="inlineStr">
        <is>
          <t>CELEX_32022R0868_EN_TXT (GDPR - Row 12)</t>
        </is>
      </c>
      <c r="C641" t="inlineStr">
        <is>
          <t>4</t>
        </is>
      </c>
      <c r="D641" s="11" t="inlineStr">
        <is>
          <t>Consultation of Member State experts before delegated acts</t>
        </is>
      </c>
      <c r="E641" t="inlineStr">
        <is>
          <t>34</t>
        </is>
      </c>
      <c r="F641" t="inlineStr">
        <is>
          <t>None</t>
        </is>
      </c>
      <c r="G641" t="inlineStr">
        <is>
          <t>High (explicit)</t>
        </is>
      </c>
      <c r="H641" s="11" t="inlineStr"/>
      <c r="I641" s="11" t="inlineStr"/>
      <c r="J641" t="inlineStr"/>
      <c r="K641"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1" s="11" t="inlineStr"/>
      <c r="M641" s="11" t="inlineStr">
        <is>
          <t>• [Must] The Commission shall consult experts designated by each Member State</t>
        </is>
      </c>
      <c r="N641" s="11" t="inlineStr">
        <is>
          <t>Before adopting a delegated act, the Commission shall consult experts designated by each Member State in accordance with the principles laid down in the Interinstitutional Agreement of 13 April 2016 on Better Law-Making.</t>
        </is>
      </c>
      <c r="O641" s="12" t="inlineStr">
        <is>
          <t>Open PDF</t>
        </is>
      </c>
    </row>
    <row r="642">
      <c r="A642" t="inlineStr">
        <is>
          <t>GDPR</t>
        </is>
      </c>
      <c r="B642" t="inlineStr">
        <is>
          <t>CELEX_32022R0868_EN_TXT (GDPR - Row 12)</t>
        </is>
      </c>
      <c r="C642" t="inlineStr">
        <is>
          <t>4</t>
        </is>
      </c>
      <c r="D642" s="11" t="inlineStr">
        <is>
          <t>Consultation of Member State experts before delegated acts</t>
        </is>
      </c>
      <c r="E642" t="inlineStr">
        <is>
          <t>36</t>
        </is>
      </c>
      <c r="F642" t="inlineStr">
        <is>
          <t>None</t>
        </is>
      </c>
      <c r="G642" t="inlineStr">
        <is>
          <t>High (explicit)</t>
        </is>
      </c>
      <c r="H642" s="11" t="inlineStr"/>
      <c r="I642" s="11" t="inlineStr"/>
      <c r="J642" t="inlineStr"/>
      <c r="K642"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2" s="11" t="inlineStr"/>
      <c r="M642" s="11" t="inlineStr">
        <is>
          <t>• [Must] The Commission shall consult experts designated by each Member State</t>
        </is>
      </c>
      <c r="N642" s="11" t="inlineStr">
        <is>
          <t>Before adopting a delegated act, the Commission shall consult experts designated by each Member State in accordance with the principles laid down in the Interinstitutional Agreement of 13 April 2016 on Better Law-Making.</t>
        </is>
      </c>
      <c r="O642" s="12" t="inlineStr">
        <is>
          <t>Open PDF</t>
        </is>
      </c>
    </row>
    <row r="643">
      <c r="A643" t="inlineStr">
        <is>
          <t>GDPR</t>
        </is>
      </c>
      <c r="B643" t="inlineStr">
        <is>
          <t>CELEX_32022R0868_EN_TXT (GDPR - Row 12)</t>
        </is>
      </c>
      <c r="C643" t="inlineStr">
        <is>
          <t>4</t>
        </is>
      </c>
      <c r="D643" s="11" t="inlineStr">
        <is>
          <t>Consultation of Member State experts before delegated acts</t>
        </is>
      </c>
      <c r="E643" t="inlineStr">
        <is>
          <t>36–37</t>
        </is>
      </c>
      <c r="F643" t="inlineStr">
        <is>
          <t>None</t>
        </is>
      </c>
      <c r="G643" t="inlineStr">
        <is>
          <t>High (explicit)</t>
        </is>
      </c>
      <c r="H643" s="11" t="inlineStr"/>
      <c r="I643" s="11" t="inlineStr"/>
      <c r="J643" t="inlineStr"/>
      <c r="K643"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3" s="11" t="inlineStr"/>
      <c r="M643" s="11" t="inlineStr">
        <is>
          <t>• [Must] The Commission shall consult experts designated by each Member State</t>
        </is>
      </c>
      <c r="N643" s="11" t="inlineStr">
        <is>
          <t>Before adopting a delegated act, the Commission shall consult experts designated by each Member State in accordance with the principles laid down in the Interinstitutional Agreement of 13 April 2016 on Better Law-Making.</t>
        </is>
      </c>
      <c r="O643" s="12" t="inlineStr">
        <is>
          <t>Open PDF</t>
        </is>
      </c>
    </row>
    <row r="644">
      <c r="A644" t="inlineStr">
        <is>
          <t>GDPR</t>
        </is>
      </c>
      <c r="B644" t="inlineStr">
        <is>
          <t>CELEX_32022R0868_EN_TXT (GDPR - Row 12)</t>
        </is>
      </c>
      <c r="C644" t="inlineStr">
        <is>
          <t>4</t>
        </is>
      </c>
      <c r="D644" s="11" t="inlineStr">
        <is>
          <t>Consultation of Member State experts before delegated acts</t>
        </is>
      </c>
      <c r="E644" t="inlineStr">
        <is>
          <t>37</t>
        </is>
      </c>
      <c r="F644" t="inlineStr">
        <is>
          <t>None</t>
        </is>
      </c>
      <c r="G644" t="inlineStr">
        <is>
          <t>High (explicit)</t>
        </is>
      </c>
      <c r="H644" s="11" t="inlineStr"/>
      <c r="I644" s="11" t="inlineStr"/>
      <c r="J644" t="inlineStr"/>
      <c r="K644"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4" s="11" t="inlineStr"/>
      <c r="M644" s="11" t="inlineStr">
        <is>
          <t>• [Must] The Commission shall consult experts designated by each Member State</t>
        </is>
      </c>
      <c r="N644" s="11" t="inlineStr">
        <is>
          <t>Before adopting a delegated act, the Commission shall consult experts designated by each Member State in accordance with the principles laid down in the Interinstitutional Agreement of 13 April 2016 on Better Law-Making.</t>
        </is>
      </c>
      <c r="O644" s="12" t="inlineStr">
        <is>
          <t>Open PDF</t>
        </is>
      </c>
    </row>
    <row r="645">
      <c r="A645" t="inlineStr">
        <is>
          <t>GDPR</t>
        </is>
      </c>
      <c r="B645" t="inlineStr">
        <is>
          <t>CELEX_32022R0868_EN_TXT (GDPR - Row 12)</t>
        </is>
      </c>
      <c r="C645" t="inlineStr">
        <is>
          <t>4</t>
        </is>
      </c>
      <c r="D645" s="11" t="inlineStr">
        <is>
          <t>Consultation of Member State experts before delegated acts</t>
        </is>
      </c>
      <c r="E645" t="inlineStr">
        <is>
          <t>39–40</t>
        </is>
      </c>
      <c r="F645" t="inlineStr">
        <is>
          <t>None</t>
        </is>
      </c>
      <c r="G645" t="inlineStr">
        <is>
          <t>High (explicit)</t>
        </is>
      </c>
      <c r="H645" s="11" t="inlineStr"/>
      <c r="I645" s="11" t="inlineStr"/>
      <c r="J645" t="inlineStr"/>
      <c r="K645"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5" s="11" t="inlineStr"/>
      <c r="M645" s="11" t="inlineStr">
        <is>
          <t>• [Must] The Commission shall consult experts designated by each Member State</t>
        </is>
      </c>
      <c r="N645" s="11" t="inlineStr">
        <is>
          <t>Before adopting a delegated act, the Commission shall consult experts designated by each Member State in accordance with the principles laid down in the Interinstitutional Agreement of 13 April 2016 on Better Law-Making.</t>
        </is>
      </c>
      <c r="O645" s="12" t="inlineStr">
        <is>
          <t>Open PDF</t>
        </is>
      </c>
    </row>
    <row r="646">
      <c r="A646" t="inlineStr">
        <is>
          <t>GDPR</t>
        </is>
      </c>
      <c r="B646" t="inlineStr">
        <is>
          <t>CELEX_32022R0868_EN_TXT (GDPR - Row 12)</t>
        </is>
      </c>
      <c r="C646" t="inlineStr">
        <is>
          <t>4</t>
        </is>
      </c>
      <c r="D646" s="11" t="inlineStr">
        <is>
          <t>Consultation of Member State experts before delegated acts</t>
        </is>
      </c>
      <c r="E646" t="inlineStr">
        <is>
          <t>41</t>
        </is>
      </c>
      <c r="F646" t="inlineStr">
        <is>
          <t>None</t>
        </is>
      </c>
      <c r="G646" t="inlineStr">
        <is>
          <t>High (explicit)</t>
        </is>
      </c>
      <c r="H646" s="11" t="inlineStr"/>
      <c r="I646" s="11" t="inlineStr"/>
      <c r="J646" t="inlineStr"/>
      <c r="K646"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6" s="11" t="inlineStr"/>
      <c r="M646" s="11" t="inlineStr">
        <is>
          <t>• [Must] The Commission shall consult experts designated by each Member State</t>
        </is>
      </c>
      <c r="N646" s="11" t="inlineStr">
        <is>
          <t>Before adopting a delegated act, the Commission shall consult experts designated by each Member State in accordance with the principles laid down in the Interinstitutional Agreement of 13 April 2016 on Better Law-Making.</t>
        </is>
      </c>
      <c r="O646" s="12" t="inlineStr">
        <is>
          <t>Open PDF</t>
        </is>
      </c>
    </row>
    <row r="647">
      <c r="A647" t="inlineStr">
        <is>
          <t>GDPR</t>
        </is>
      </c>
      <c r="B647" t="inlineStr">
        <is>
          <t>CELEX_32022R0868_EN_TXT (GDPR - Row 12)</t>
        </is>
      </c>
      <c r="C647" t="inlineStr">
        <is>
          <t>4</t>
        </is>
      </c>
      <c r="D647" s="11" t="inlineStr">
        <is>
          <t>Consultation of Member State experts before delegated acts</t>
        </is>
      </c>
      <c r="E647" t="inlineStr">
        <is>
          <t>41</t>
        </is>
      </c>
      <c r="F647" t="inlineStr">
        <is>
          <t>None</t>
        </is>
      </c>
      <c r="G647" t="inlineStr">
        <is>
          <t>High (explicit)</t>
        </is>
      </c>
      <c r="H647" s="11" t="inlineStr"/>
      <c r="I647" s="11" t="inlineStr"/>
      <c r="J647" t="inlineStr"/>
      <c r="K647" s="11" t="inlineStr">
        <is>
          <t>Before adopting delegated acts, the European Commission must consult experts designated by each Member State. This consultation must follow the principles outlined in the Interinstitutional Agreement of 13 April 2016 on Better Law-Making. The requirement ensures that Member State expertise is integrated into the legislative process prior to final adoption of delegated legislation.</t>
        </is>
      </c>
      <c r="L647" s="11" t="inlineStr"/>
      <c r="M647" s="11" t="inlineStr">
        <is>
          <t>• [Must] The Commission shall consult experts designated by each Member State</t>
        </is>
      </c>
      <c r="N647" s="11" t="inlineStr">
        <is>
          <t>Before adopting a delegated act, the Commission shall consult experts designated by each Member State in accordance with the principles laid down in the Interinstitutional Agreement of 13 April 2016 on Better Law-Making.</t>
        </is>
      </c>
      <c r="O647" s="12" t="inlineStr">
        <is>
          <t>Open PDF</t>
        </is>
      </c>
    </row>
    <row r="648">
      <c r="A648" t="inlineStr">
        <is>
          <t>GDPR</t>
        </is>
      </c>
      <c r="B648" t="inlineStr">
        <is>
          <t>CELEX_32022R0868_EN_TXT (GDPR - Row 12)</t>
        </is>
      </c>
      <c r="C648" t="inlineStr">
        <is>
          <t>5</t>
        </is>
      </c>
      <c r="D648" s="11" t="inlineStr">
        <is>
          <t>Notification of third-country data access requests</t>
        </is>
      </c>
      <c r="E648" t="inlineStr">
        <is>
          <t>18–21</t>
        </is>
      </c>
      <c r="F648" t="inlineStr">
        <is>
          <t>Low</t>
        </is>
      </c>
      <c r="G648" t="inlineStr">
        <is>
          <t>High (explicit)</t>
        </is>
      </c>
      <c r="H648" s="11" t="inlineStr">
        <is>
          <t>Data Sharing, Data Storage</t>
        </is>
      </c>
      <c r="I648" s="11" t="inlineStr"/>
      <c r="J648" t="inlineStr"/>
      <c r="K648"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48" s="11" t="inlineStr">
        <is>
          <t>This section requires notification of third-country data access requests to data holders, which is critical for DTIAs to ensure transparency and compliance with data subject rights.</t>
        </is>
      </c>
      <c r="M648"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48"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48" s="12" t="inlineStr">
        <is>
          <t>Open PDF</t>
        </is>
      </c>
    </row>
    <row r="649">
      <c r="A649" t="inlineStr">
        <is>
          <t>GDPR</t>
        </is>
      </c>
      <c r="B649" t="inlineStr">
        <is>
          <t>CELEX_32022R0868_EN_TXT (GDPR - Row 12)</t>
        </is>
      </c>
      <c r="C649" t="inlineStr">
        <is>
          <t>5</t>
        </is>
      </c>
      <c r="D649" s="11" t="inlineStr">
        <is>
          <t>Notification of third-country data access requests</t>
        </is>
      </c>
      <c r="E649" t="inlineStr">
        <is>
          <t>22</t>
        </is>
      </c>
      <c r="F649" t="inlineStr">
        <is>
          <t>Low</t>
        </is>
      </c>
      <c r="G649" t="inlineStr">
        <is>
          <t>High (explicit)</t>
        </is>
      </c>
      <c r="H649" s="11" t="inlineStr">
        <is>
          <t>Data Sharing, Data Storage</t>
        </is>
      </c>
      <c r="I649" s="11" t="inlineStr"/>
      <c r="J649" t="inlineStr"/>
      <c r="K649"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49" s="11" t="inlineStr">
        <is>
          <t>This section requires notification of third-country data access requests to data holders, which is critical for DTIAs to ensure transparency and compliance with data subject rights.</t>
        </is>
      </c>
      <c r="M649"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49"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49" s="12" t="inlineStr">
        <is>
          <t>Open PDF</t>
        </is>
      </c>
    </row>
    <row r="650">
      <c r="A650" t="inlineStr">
        <is>
          <t>GDPR</t>
        </is>
      </c>
      <c r="B650" t="inlineStr">
        <is>
          <t>CELEX_32022R0868_EN_TXT (GDPR - Row 12)</t>
        </is>
      </c>
      <c r="C650" t="inlineStr">
        <is>
          <t>5</t>
        </is>
      </c>
      <c r="D650" s="11" t="inlineStr">
        <is>
          <t>Notification of third-country data access requests</t>
        </is>
      </c>
      <c r="E650" t="inlineStr">
        <is>
          <t>22–23</t>
        </is>
      </c>
      <c r="F650" t="inlineStr">
        <is>
          <t>Low</t>
        </is>
      </c>
      <c r="G650" t="inlineStr">
        <is>
          <t>High (explicit)</t>
        </is>
      </c>
      <c r="H650" s="11" t="inlineStr">
        <is>
          <t>Data Sharing, Data Storage</t>
        </is>
      </c>
      <c r="I650" s="11" t="inlineStr"/>
      <c r="J650" t="inlineStr"/>
      <c r="K650"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0" s="11" t="inlineStr">
        <is>
          <t>This section requires notification of third-country data access requests to data holders, which is critical for DTIAs to ensure transparency and compliance with data subject rights.</t>
        </is>
      </c>
      <c r="M650"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0"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0" s="12" t="inlineStr">
        <is>
          <t>Open PDF</t>
        </is>
      </c>
    </row>
    <row r="651">
      <c r="A651" t="inlineStr">
        <is>
          <t>GDPR</t>
        </is>
      </c>
      <c r="B651" t="inlineStr">
        <is>
          <t>CELEX_32022R0868_EN_TXT (GDPR - Row 12)</t>
        </is>
      </c>
      <c r="C651" t="inlineStr">
        <is>
          <t>5</t>
        </is>
      </c>
      <c r="D651" s="11" t="inlineStr">
        <is>
          <t>Notification of third-country data access requests</t>
        </is>
      </c>
      <c r="E651" t="inlineStr">
        <is>
          <t>24–25</t>
        </is>
      </c>
      <c r="F651" t="inlineStr">
        <is>
          <t>Low</t>
        </is>
      </c>
      <c r="G651" t="inlineStr">
        <is>
          <t>High (explicit)</t>
        </is>
      </c>
      <c r="H651" s="11" t="inlineStr">
        <is>
          <t>Data Sharing, Data Storage</t>
        </is>
      </c>
      <c r="I651" s="11" t="inlineStr"/>
      <c r="J651" t="inlineStr"/>
      <c r="K651"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1" s="11" t="inlineStr">
        <is>
          <t>This section requires notification of third-country data access requests to data holders, which is critical for DTIAs to ensure transparency and compliance with data subject rights.</t>
        </is>
      </c>
      <c r="M651"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1"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1" s="12" t="inlineStr">
        <is>
          <t>Open PDF</t>
        </is>
      </c>
    </row>
    <row r="652">
      <c r="A652" t="inlineStr">
        <is>
          <t>GDPR</t>
        </is>
      </c>
      <c r="B652" t="inlineStr">
        <is>
          <t>CELEX_32022R0868_EN_TXT (GDPR - Row 12)</t>
        </is>
      </c>
      <c r="C652" t="inlineStr">
        <is>
          <t>5</t>
        </is>
      </c>
      <c r="D652" s="11" t="inlineStr">
        <is>
          <t>Notification of third-country data access requests</t>
        </is>
      </c>
      <c r="E652" t="inlineStr">
        <is>
          <t>25</t>
        </is>
      </c>
      <c r="F652" t="inlineStr">
        <is>
          <t>Low</t>
        </is>
      </c>
      <c r="G652" t="inlineStr">
        <is>
          <t>High (explicit)</t>
        </is>
      </c>
      <c r="H652" s="11" t="inlineStr">
        <is>
          <t>Data Sharing, Data Storage</t>
        </is>
      </c>
      <c r="I652" s="11" t="inlineStr"/>
      <c r="J652" t="inlineStr"/>
      <c r="K652"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2" s="11" t="inlineStr">
        <is>
          <t>This section requires notification of third-country data access requests to data holders, which is critical for DTIAs to ensure transparency and compliance with data subject rights.</t>
        </is>
      </c>
      <c r="M652"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2"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2" s="12" t="inlineStr">
        <is>
          <t>Open PDF</t>
        </is>
      </c>
    </row>
    <row r="653">
      <c r="A653" t="inlineStr">
        <is>
          <t>GDPR</t>
        </is>
      </c>
      <c r="B653" t="inlineStr">
        <is>
          <t>CELEX_32022R0868_EN_TXT (GDPR - Row 12)</t>
        </is>
      </c>
      <c r="C653" t="inlineStr">
        <is>
          <t>5</t>
        </is>
      </c>
      <c r="D653" s="11" t="inlineStr">
        <is>
          <t>Notification of third-country data access requests</t>
        </is>
      </c>
      <c r="E653" t="inlineStr">
        <is>
          <t>31</t>
        </is>
      </c>
      <c r="F653" t="inlineStr">
        <is>
          <t>Low</t>
        </is>
      </c>
      <c r="G653" t="inlineStr">
        <is>
          <t>High (explicit)</t>
        </is>
      </c>
      <c r="H653" s="11" t="inlineStr">
        <is>
          <t>Data Sharing, Data Storage</t>
        </is>
      </c>
      <c r="I653" s="11" t="inlineStr"/>
      <c r="J653" t="inlineStr"/>
      <c r="K653"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3" s="11" t="inlineStr">
        <is>
          <t>This section requires notification of third-country data access requests to data holders, which is critical for DTIAs to ensure transparency and compliance with data subject rights.</t>
        </is>
      </c>
      <c r="M653"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3"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3" s="12" t="inlineStr">
        <is>
          <t>Open PDF</t>
        </is>
      </c>
    </row>
    <row r="654">
      <c r="A654" t="inlineStr">
        <is>
          <t>GDPR</t>
        </is>
      </c>
      <c r="B654" t="inlineStr">
        <is>
          <t>CELEX_32022R0868_EN_TXT (GDPR - Row 12)</t>
        </is>
      </c>
      <c r="C654" t="inlineStr">
        <is>
          <t>5</t>
        </is>
      </c>
      <c r="D654" s="11" t="inlineStr">
        <is>
          <t>Notification of third-country data access requests</t>
        </is>
      </c>
      <c r="E654" t="inlineStr">
        <is>
          <t>33</t>
        </is>
      </c>
      <c r="F654" t="inlineStr">
        <is>
          <t>Low</t>
        </is>
      </c>
      <c r="G654" t="inlineStr">
        <is>
          <t>High (explicit)</t>
        </is>
      </c>
      <c r="H654" s="11" t="inlineStr">
        <is>
          <t>Data Sharing, Data Storage</t>
        </is>
      </c>
      <c r="I654" s="11" t="inlineStr"/>
      <c r="J654" t="inlineStr"/>
      <c r="K654"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4" s="11" t="inlineStr">
        <is>
          <t>This section requires notification of third-country data access requests to data holders, which is critical for DTIAs to ensure transparency and compliance with data subject rights.</t>
        </is>
      </c>
      <c r="M654"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4"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4" s="12" t="inlineStr">
        <is>
          <t>Open PDF</t>
        </is>
      </c>
    </row>
    <row r="655">
      <c r="A655" t="inlineStr">
        <is>
          <t>GDPR</t>
        </is>
      </c>
      <c r="B655" t="inlineStr">
        <is>
          <t>CELEX_32022R0868_EN_TXT (GDPR - Row 12)</t>
        </is>
      </c>
      <c r="C655" t="inlineStr">
        <is>
          <t>5</t>
        </is>
      </c>
      <c r="D655" s="11" t="inlineStr">
        <is>
          <t>Notification of third-country data access requests</t>
        </is>
      </c>
      <c r="E655" t="inlineStr">
        <is>
          <t>34–35</t>
        </is>
      </c>
      <c r="F655" t="inlineStr">
        <is>
          <t>Low</t>
        </is>
      </c>
      <c r="G655" t="inlineStr">
        <is>
          <t>High (explicit)</t>
        </is>
      </c>
      <c r="H655" s="11" t="inlineStr">
        <is>
          <t>Data Sharing, Data Storage</t>
        </is>
      </c>
      <c r="I655" s="11" t="inlineStr"/>
      <c r="J655" t="inlineStr"/>
      <c r="K655"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5" s="11" t="inlineStr">
        <is>
          <t>This section requires notification of third-country data access requests to data holders, which is critical for DTIAs to ensure transparency and compliance with data subject rights.</t>
        </is>
      </c>
      <c r="M655"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5"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5" s="12" t="inlineStr">
        <is>
          <t>Open PDF</t>
        </is>
      </c>
    </row>
    <row r="656">
      <c r="A656" t="inlineStr">
        <is>
          <t>GDPR</t>
        </is>
      </c>
      <c r="B656" t="inlineStr">
        <is>
          <t>CELEX_32022R0868_EN_TXT (GDPR - Row 12)</t>
        </is>
      </c>
      <c r="C656" t="inlineStr">
        <is>
          <t>5</t>
        </is>
      </c>
      <c r="D656" s="11" t="inlineStr">
        <is>
          <t>Notification of third-country data access requests</t>
        </is>
      </c>
      <c r="E656" t="inlineStr">
        <is>
          <t>36</t>
        </is>
      </c>
      <c r="F656" t="inlineStr">
        <is>
          <t>Low</t>
        </is>
      </c>
      <c r="G656" t="inlineStr">
        <is>
          <t>High (explicit)</t>
        </is>
      </c>
      <c r="H656" s="11" t="inlineStr">
        <is>
          <t>Data Sharing, Data Storage</t>
        </is>
      </c>
      <c r="I656" s="11" t="inlineStr"/>
      <c r="J656" t="inlineStr"/>
      <c r="K656"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6" s="11" t="inlineStr">
        <is>
          <t>This section requires notification of third-country data access requests to data holders, which is critical for DTIAs to ensure transparency and compliance with data subject rights.</t>
        </is>
      </c>
      <c r="M656"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6"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6" s="12" t="inlineStr">
        <is>
          <t>Open PDF</t>
        </is>
      </c>
    </row>
    <row r="657">
      <c r="A657" t="inlineStr">
        <is>
          <t>GDPR</t>
        </is>
      </c>
      <c r="B657" t="inlineStr">
        <is>
          <t>CELEX_32022R0868_EN_TXT (GDPR - Row 12)</t>
        </is>
      </c>
      <c r="C657" t="inlineStr">
        <is>
          <t>5</t>
        </is>
      </c>
      <c r="D657" s="11" t="inlineStr">
        <is>
          <t>Notification of third-country data access requests</t>
        </is>
      </c>
      <c r="E657" t="inlineStr">
        <is>
          <t>37</t>
        </is>
      </c>
      <c r="F657" t="inlineStr">
        <is>
          <t>Low</t>
        </is>
      </c>
      <c r="G657" t="inlineStr">
        <is>
          <t>High (explicit)</t>
        </is>
      </c>
      <c r="H657" s="11" t="inlineStr">
        <is>
          <t>Data Sharing, Data Storage</t>
        </is>
      </c>
      <c r="I657" s="11" t="inlineStr"/>
      <c r="J657" t="inlineStr"/>
      <c r="K657"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7" s="11" t="inlineStr">
        <is>
          <t>This section requires notification of third-country data access requests to data holders, which is critical for DTIAs to ensure transparency and compliance with data subject rights.</t>
        </is>
      </c>
      <c r="M657"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7"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7" s="12" t="inlineStr">
        <is>
          <t>Open PDF</t>
        </is>
      </c>
    </row>
    <row r="658">
      <c r="A658" t="inlineStr">
        <is>
          <t>GDPR</t>
        </is>
      </c>
      <c r="B658" t="inlineStr">
        <is>
          <t>CELEX_32022R0868_EN_TXT (GDPR - Row 12)</t>
        </is>
      </c>
      <c r="C658" t="inlineStr">
        <is>
          <t>5</t>
        </is>
      </c>
      <c r="D658" s="11" t="inlineStr">
        <is>
          <t>Notification of third-country data access requests</t>
        </is>
      </c>
      <c r="E658" t="inlineStr">
        <is>
          <t>41</t>
        </is>
      </c>
      <c r="F658" t="inlineStr">
        <is>
          <t>Low</t>
        </is>
      </c>
      <c r="G658" t="inlineStr">
        <is>
          <t>High (explicit)</t>
        </is>
      </c>
      <c r="H658" s="11" t="inlineStr">
        <is>
          <t>Data Sharing, Data Storage</t>
        </is>
      </c>
      <c r="I658" s="11" t="inlineStr"/>
      <c r="J658" t="inlineStr"/>
      <c r="K658" s="11" t="inlineStr">
        <is>
          <t>Entities must inform data holders about third-country administrative authority requests for data access before complying, except when the request serves law enforcement purposes and is necessary to preserve the effectiveness of law enforcement activities.</t>
        </is>
      </c>
      <c r="L658" s="11" t="inlineStr">
        <is>
          <t>This section requires notification of third-country data access requests to data holders, which is critical for DTIAs to ensure transparency and compliance with data subject rights.</t>
        </is>
      </c>
      <c r="M658" s="11" t="inlineStr">
        <is>
          <t>• [Must] Entities must inform data holders about third-country administrative authority requests for data access before complying
• [Must Not] This exception applies only when the request serves law enforcement purposes and is necessary to preserve law enforcement effectiveness</t>
        </is>
      </c>
      <c r="N658" s="11" t="inlineStr">
        <is>
          <t>The public sector body, the natural or legal person to which the right to re-use data was granted under Chapter II, the data intermediation services provider and the recognised data altruism organisation shall inform the data holder about the existence of a request of a third-country administrative authority to access its data before complying with that request, except where the request serves law enforcement purposes and for as long as this is necessary to preserve the effectiveness of the law enforcement activity.</t>
        </is>
      </c>
      <c r="O658" s="12" t="inlineStr">
        <is>
          <t>Open PDF</t>
        </is>
      </c>
    </row>
    <row r="659">
      <c r="A659" t="inlineStr">
        <is>
          <t>GDPR</t>
        </is>
      </c>
      <c r="B659" t="inlineStr">
        <is>
          <t>CELEX_32022R0868_EN_TXT (GDPR - Row 12)</t>
        </is>
      </c>
      <c r="C659" t="inlineStr">
        <is>
          <t>6</t>
        </is>
      </c>
      <c r="D659" s="11" t="inlineStr">
        <is>
          <t>Conditions for delegated acts to enter into force</t>
        </is>
      </c>
      <c r="E659" t="inlineStr">
        <is>
          <t>22</t>
        </is>
      </c>
      <c r="F659" t="inlineStr">
        <is>
          <t>None</t>
        </is>
      </c>
      <c r="G659" t="inlineStr">
        <is>
          <t>High (explicit)</t>
        </is>
      </c>
      <c r="H659" s="11" t="inlineStr"/>
      <c r="I659" s="11" t="inlineStr"/>
      <c r="J659" t="inlineStr"/>
      <c r="K659"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59" s="11" t="inlineStr"/>
      <c r="M659"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59"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59" s="12" t="inlineStr">
        <is>
          <t>Open PDF</t>
        </is>
      </c>
    </row>
    <row r="660">
      <c r="A660" t="inlineStr">
        <is>
          <t>GDPR</t>
        </is>
      </c>
      <c r="B660" t="inlineStr">
        <is>
          <t>CELEX_32022R0868_EN_TXT (GDPR - Row 12)</t>
        </is>
      </c>
      <c r="C660" t="inlineStr">
        <is>
          <t>6</t>
        </is>
      </c>
      <c r="D660" s="11" t="inlineStr">
        <is>
          <t>Conditions for delegated acts to enter into force</t>
        </is>
      </c>
      <c r="E660" t="inlineStr">
        <is>
          <t>23</t>
        </is>
      </c>
      <c r="F660" t="inlineStr">
        <is>
          <t>None</t>
        </is>
      </c>
      <c r="G660" t="inlineStr">
        <is>
          <t>High (explicit)</t>
        </is>
      </c>
      <c r="H660" s="11" t="inlineStr"/>
      <c r="I660" s="11" t="inlineStr"/>
      <c r="J660" t="inlineStr"/>
      <c r="K660"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0" s="11" t="inlineStr"/>
      <c r="M660"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0"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0" s="12" t="inlineStr">
        <is>
          <t>Open PDF</t>
        </is>
      </c>
    </row>
    <row r="661">
      <c r="A661" t="inlineStr">
        <is>
          <t>GDPR</t>
        </is>
      </c>
      <c r="B661" t="inlineStr">
        <is>
          <t>CELEX_32022R0868_EN_TXT (GDPR - Row 12)</t>
        </is>
      </c>
      <c r="C661" t="inlineStr">
        <is>
          <t>6</t>
        </is>
      </c>
      <c r="D661" s="11" t="inlineStr">
        <is>
          <t>Conditions for delegated acts to enter into force</t>
        </is>
      </c>
      <c r="E661" t="inlineStr">
        <is>
          <t>25</t>
        </is>
      </c>
      <c r="F661" t="inlineStr">
        <is>
          <t>None</t>
        </is>
      </c>
      <c r="G661" t="inlineStr">
        <is>
          <t>High (explicit)</t>
        </is>
      </c>
      <c r="H661" s="11" t="inlineStr"/>
      <c r="I661" s="11" t="inlineStr"/>
      <c r="J661" t="inlineStr"/>
      <c r="K661"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1" s="11" t="inlineStr"/>
      <c r="M661"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1"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1" s="12" t="inlineStr">
        <is>
          <t>Open PDF</t>
        </is>
      </c>
    </row>
    <row r="662">
      <c r="A662" t="inlineStr">
        <is>
          <t>GDPR</t>
        </is>
      </c>
      <c r="B662" t="inlineStr">
        <is>
          <t>CELEX_32022R0868_EN_TXT (GDPR - Row 12)</t>
        </is>
      </c>
      <c r="C662" t="inlineStr">
        <is>
          <t>6</t>
        </is>
      </c>
      <c r="D662" s="11" t="inlineStr">
        <is>
          <t>Conditions for delegated acts to enter into force</t>
        </is>
      </c>
      <c r="E662" t="inlineStr">
        <is>
          <t>27</t>
        </is>
      </c>
      <c r="F662" t="inlineStr">
        <is>
          <t>None</t>
        </is>
      </c>
      <c r="G662" t="inlineStr">
        <is>
          <t>High (explicit)</t>
        </is>
      </c>
      <c r="H662" s="11" t="inlineStr"/>
      <c r="I662" s="11" t="inlineStr"/>
      <c r="J662" t="inlineStr"/>
      <c r="K662"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2" s="11" t="inlineStr"/>
      <c r="M662"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2"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2" s="12" t="inlineStr">
        <is>
          <t>Open PDF</t>
        </is>
      </c>
    </row>
    <row r="663">
      <c r="A663" t="inlineStr">
        <is>
          <t>GDPR</t>
        </is>
      </c>
      <c r="B663" t="inlineStr">
        <is>
          <t>CELEX_32022R0868_EN_TXT (GDPR - Row 12)</t>
        </is>
      </c>
      <c r="C663" t="inlineStr">
        <is>
          <t>6</t>
        </is>
      </c>
      <c r="D663" s="11" t="inlineStr">
        <is>
          <t>Conditions for delegated acts to enter into force</t>
        </is>
      </c>
      <c r="E663" t="inlineStr">
        <is>
          <t>31</t>
        </is>
      </c>
      <c r="F663" t="inlineStr">
        <is>
          <t>None</t>
        </is>
      </c>
      <c r="G663" t="inlineStr">
        <is>
          <t>High (explicit)</t>
        </is>
      </c>
      <c r="H663" s="11" t="inlineStr"/>
      <c r="I663" s="11" t="inlineStr"/>
      <c r="J663" t="inlineStr"/>
      <c r="K663"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3" s="11" t="inlineStr"/>
      <c r="M663"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3"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3" s="12" t="inlineStr">
        <is>
          <t>Open PDF</t>
        </is>
      </c>
    </row>
    <row r="664">
      <c r="A664" t="inlineStr">
        <is>
          <t>GDPR</t>
        </is>
      </c>
      <c r="B664" t="inlineStr">
        <is>
          <t>CELEX_32022R0868_EN_TXT (GDPR - Row 12)</t>
        </is>
      </c>
      <c r="C664" t="inlineStr">
        <is>
          <t>6</t>
        </is>
      </c>
      <c r="D664" s="11" t="inlineStr">
        <is>
          <t>Conditions for delegated acts to enter into force</t>
        </is>
      </c>
      <c r="E664" t="inlineStr">
        <is>
          <t>33</t>
        </is>
      </c>
      <c r="F664" t="inlineStr">
        <is>
          <t>None</t>
        </is>
      </c>
      <c r="G664" t="inlineStr">
        <is>
          <t>High (explicit)</t>
        </is>
      </c>
      <c r="H664" s="11" t="inlineStr"/>
      <c r="I664" s="11" t="inlineStr"/>
      <c r="J664" t="inlineStr"/>
      <c r="K664"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4" s="11" t="inlineStr"/>
      <c r="M664"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4"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4" s="12" t="inlineStr">
        <is>
          <t>Open PDF</t>
        </is>
      </c>
    </row>
    <row r="665">
      <c r="A665" t="inlineStr">
        <is>
          <t>GDPR</t>
        </is>
      </c>
      <c r="B665" t="inlineStr">
        <is>
          <t>CELEX_32022R0868_EN_TXT (GDPR - Row 12)</t>
        </is>
      </c>
      <c r="C665" t="inlineStr">
        <is>
          <t>6</t>
        </is>
      </c>
      <c r="D665" s="11" t="inlineStr">
        <is>
          <t>Conditions for delegated acts to enter into force</t>
        </is>
      </c>
      <c r="E665" t="inlineStr">
        <is>
          <t>35</t>
        </is>
      </c>
      <c r="F665" t="inlineStr">
        <is>
          <t>None</t>
        </is>
      </c>
      <c r="G665" t="inlineStr">
        <is>
          <t>High (explicit)</t>
        </is>
      </c>
      <c r="H665" s="11" t="inlineStr"/>
      <c r="I665" s="11" t="inlineStr"/>
      <c r="J665" t="inlineStr"/>
      <c r="K665"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5" s="11" t="inlineStr"/>
      <c r="M665"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5"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5" s="12" t="inlineStr">
        <is>
          <t>Open PDF</t>
        </is>
      </c>
    </row>
    <row r="666">
      <c r="A666" t="inlineStr">
        <is>
          <t>GDPR</t>
        </is>
      </c>
      <c r="B666" t="inlineStr">
        <is>
          <t>CELEX_32022R0868_EN_TXT (GDPR - Row 12)</t>
        </is>
      </c>
      <c r="C666" t="inlineStr">
        <is>
          <t>6</t>
        </is>
      </c>
      <c r="D666" s="11" t="inlineStr">
        <is>
          <t>Conditions for delegated acts to enter into force</t>
        </is>
      </c>
      <c r="E666" t="inlineStr">
        <is>
          <t>36</t>
        </is>
      </c>
      <c r="F666" t="inlineStr">
        <is>
          <t>None</t>
        </is>
      </c>
      <c r="G666" t="inlineStr">
        <is>
          <t>High (explicit)</t>
        </is>
      </c>
      <c r="H666" s="11" t="inlineStr"/>
      <c r="I666" s="11" t="inlineStr"/>
      <c r="J666" t="inlineStr"/>
      <c r="K666"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6" s="11" t="inlineStr"/>
      <c r="M666"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6"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6" s="12" t="inlineStr">
        <is>
          <t>Open PDF</t>
        </is>
      </c>
    </row>
    <row r="667">
      <c r="A667" t="inlineStr">
        <is>
          <t>GDPR</t>
        </is>
      </c>
      <c r="B667" t="inlineStr">
        <is>
          <t>CELEX_32022R0868_EN_TXT (GDPR - Row 12)</t>
        </is>
      </c>
      <c r="C667" t="inlineStr">
        <is>
          <t>6</t>
        </is>
      </c>
      <c r="D667" s="11" t="inlineStr">
        <is>
          <t>Conditions for delegated acts to enter into force</t>
        </is>
      </c>
      <c r="E667" t="inlineStr">
        <is>
          <t>37</t>
        </is>
      </c>
      <c r="F667" t="inlineStr">
        <is>
          <t>None</t>
        </is>
      </c>
      <c r="G667" t="inlineStr">
        <is>
          <t>High (explicit)</t>
        </is>
      </c>
      <c r="H667" s="11" t="inlineStr"/>
      <c r="I667" s="11" t="inlineStr"/>
      <c r="J667" t="inlineStr"/>
      <c r="K667"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7" s="11" t="inlineStr"/>
      <c r="M667"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7"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7" s="12" t="inlineStr">
        <is>
          <t>Open PDF</t>
        </is>
      </c>
    </row>
    <row r="668">
      <c r="A668" t="inlineStr">
        <is>
          <t>GDPR</t>
        </is>
      </c>
      <c r="B668" t="inlineStr">
        <is>
          <t>CELEX_32022R0868_EN_TXT (GDPR - Row 12)</t>
        </is>
      </c>
      <c r="C668" t="inlineStr">
        <is>
          <t>6</t>
        </is>
      </c>
      <c r="D668" s="11" t="inlineStr">
        <is>
          <t>Conditions for delegated acts to enter into force</t>
        </is>
      </c>
      <c r="E668" t="inlineStr">
        <is>
          <t>41</t>
        </is>
      </c>
      <c r="F668" t="inlineStr">
        <is>
          <t>None</t>
        </is>
      </c>
      <c r="G668" t="inlineStr">
        <is>
          <t>High (explicit)</t>
        </is>
      </c>
      <c r="H668" s="11" t="inlineStr"/>
      <c r="I668" s="11" t="inlineStr"/>
      <c r="J668" t="inlineStr"/>
      <c r="K668" s="11" t="inlineStr">
        <is>
          <t>Delegated acts adopted under Article 5(13) or Article 22(1) must receive no objections from the European Parliament or Council within three months of notification. If no objections are raised, the act enters into force. The three-month period may be extended by three months at the initiative of either the European Parliament or Council. This ensures legislative oversight before implementation.</t>
        </is>
      </c>
      <c r="L668" s="11" t="inlineStr"/>
      <c r="M668" s="11" t="inlineStr">
        <is>
          <t>• [Must] Delegated acts adopted pursuant to Article 5(13) or Article 22(1) shall enter into force only if no objection has been expressed by the European Parliament or Council within three months of notification
• [Condition] The three-month period may be extended by three months at the initiative of the European Parliament or Council</t>
        </is>
      </c>
      <c r="N668" s="11" t="inlineStr">
        <is>
          <t>A delegated act adopted pursuant to Article 5(13) or Article 22(1)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668" s="12" t="inlineStr">
        <is>
          <t>Open PDF</t>
        </is>
      </c>
    </row>
    <row r="669">
      <c r="A669" t="inlineStr">
        <is>
          <t>GDPR</t>
        </is>
      </c>
      <c r="B669" t="inlineStr">
        <is>
          <t>CELEX_32022R0868_EN_TXT (GDPR - Row 12)</t>
        </is>
      </c>
      <c r="C669" t="inlineStr">
        <is>
          <t>7</t>
        </is>
      </c>
      <c r="D669" s="11" t="inlineStr">
        <is>
          <t>Notification of changes to registration information</t>
        </is>
      </c>
      <c r="E669" t="inlineStr">
        <is>
          <t>23</t>
        </is>
      </c>
      <c r="F669" t="inlineStr">
        <is>
          <t>Low</t>
        </is>
      </c>
      <c r="G669" t="inlineStr">
        <is>
          <t>High (explicit)</t>
        </is>
      </c>
      <c r="H669" s="11" t="inlineStr">
        <is>
          <t>Cross-border Transfer</t>
        </is>
      </c>
      <c r="I669" s="11" t="inlineStr">
        <is>
          <t>Personal Information</t>
        </is>
      </c>
      <c r="J669" t="inlineStr"/>
      <c r="K669" s="11" t="inlineStr">
        <is>
          <t>A recognised data altruism organisation must notify the relevant competent authority of any changes to the information provided in paragraph 4 within 14 days. The competent authority must notify the Commission electronically, which updates the public Union register without delay. This ensures timely updates to registration details.</t>
        </is>
      </c>
      <c r="L669" s="11" t="inlineStr">
        <is>
          <t>This section requires timely notification of changes to registration information, which is critical for data transfer impact assessments as it ensures up-to-date registration details across borders.</t>
        </is>
      </c>
      <c r="M669" s="11" t="inlineStr">
        <is>
          <t>• [Must] A recognised data altruism organisation shall notify the relevant competent authority for registration of data altruism organisations of any changes to the information provided pursuant to paragraph 4 within 14 days of the date of the change
• [Must] The competent authority shall notify the Commission of each such notification by electronic means without delay
• [Must] The Commission shall update the public Union register of recognised data altruism organisations without delay</t>
        </is>
      </c>
      <c r="N669" s="11" t="inlineStr">
        <is>
          <t>A recognised data altruism organisation shall notify the relevant competent authority for the registration of data altruism organisations of any changes to the information provided pursuant to paragraph 4 within 14 days of the date of the change.</t>
        </is>
      </c>
      <c r="O669" s="12" t="inlineStr">
        <is>
          <t>Open PDF</t>
        </is>
      </c>
    </row>
    <row r="670">
      <c r="A670" t="inlineStr">
        <is>
          <t>GDPR</t>
        </is>
      </c>
      <c r="B670" t="inlineStr">
        <is>
          <t>CELEX_32022R0868_EN_TXT (GDPR - Row 12)</t>
        </is>
      </c>
      <c r="C670" t="inlineStr">
        <is>
          <t>7</t>
        </is>
      </c>
      <c r="D670" s="11" t="inlineStr">
        <is>
          <t>Notification of changes to registration information</t>
        </is>
      </c>
      <c r="E670" t="inlineStr">
        <is>
          <t>27–28</t>
        </is>
      </c>
      <c r="F670" t="inlineStr">
        <is>
          <t>Low</t>
        </is>
      </c>
      <c r="G670" t="inlineStr">
        <is>
          <t>High (explicit)</t>
        </is>
      </c>
      <c r="H670" s="11" t="inlineStr">
        <is>
          <t>Cross-border Transfer</t>
        </is>
      </c>
      <c r="I670" s="11" t="inlineStr">
        <is>
          <t>Personal Information</t>
        </is>
      </c>
      <c r="J670" t="inlineStr"/>
      <c r="K670" s="11" t="inlineStr">
        <is>
          <t>A recognised data altruism organisation must notify the relevant competent authority of any changes to the information provided in paragraph 4 within 14 days. The competent authority must notify the Commission electronically, which updates the public Union register without delay. This ensures timely updates to registration details.</t>
        </is>
      </c>
      <c r="L670" s="11" t="inlineStr">
        <is>
          <t>This section requires timely notification of changes to registration information, which is critical for data transfer impact assessments as it ensures up-to-date registration details across borders.</t>
        </is>
      </c>
      <c r="M670" s="11" t="inlineStr">
        <is>
          <t>• [Must] A recognised data altruism organisation shall notify the relevant competent authority for registration of data altruism organisations of any changes to the information provided pursuant to paragraph 4 within 14 days of the date of the change
• [Must] The competent authority shall notify the Commission of each such notification by electronic means without delay
• [Must] The Commission shall update the public Union register of recognised data altruism organisations without delay</t>
        </is>
      </c>
      <c r="N670" s="11" t="inlineStr">
        <is>
          <t>A recognised data altruism organisation shall notify the relevant competent authority for the registration of data altruism organisations of any changes to the information provided pursuant to paragraph 4 within 14 days of the date of the change.</t>
        </is>
      </c>
      <c r="O670" s="12" t="inlineStr">
        <is>
          <t>Open PDF</t>
        </is>
      </c>
    </row>
    <row r="671">
      <c r="A671" t="inlineStr">
        <is>
          <t>GDPR</t>
        </is>
      </c>
      <c r="B671" t="inlineStr">
        <is>
          <t>CELEX_32022R0868_EN_TXT (GDPR - Row 12)</t>
        </is>
      </c>
      <c r="C671" t="inlineStr">
        <is>
          <t>7</t>
        </is>
      </c>
      <c r="D671" s="11" t="inlineStr">
        <is>
          <t>Notification of changes to registration information</t>
        </is>
      </c>
      <c r="E671" t="inlineStr">
        <is>
          <t>31–32</t>
        </is>
      </c>
      <c r="F671" t="inlineStr">
        <is>
          <t>Low</t>
        </is>
      </c>
      <c r="G671" t="inlineStr">
        <is>
          <t>High (explicit)</t>
        </is>
      </c>
      <c r="H671" s="11" t="inlineStr">
        <is>
          <t>Cross-border Transfer</t>
        </is>
      </c>
      <c r="I671" s="11" t="inlineStr">
        <is>
          <t>Personal Information</t>
        </is>
      </c>
      <c r="J671" t="inlineStr"/>
      <c r="K671" s="11" t="inlineStr">
        <is>
          <t>A recognised data altruism organisation must notify the relevant competent authority of any changes to the information provided in paragraph 4 within 14 days. The competent authority must notify the Commission electronically, which updates the public Union register without delay. This ensures timely updates to registration details.</t>
        </is>
      </c>
      <c r="L671" s="11" t="inlineStr">
        <is>
          <t>This section requires timely notification of changes to registration information, which is critical for data transfer impact assessments as it ensures up-to-date registration details across borders.</t>
        </is>
      </c>
      <c r="M671" s="11" t="inlineStr">
        <is>
          <t>• [Must] A recognised data altruism organisation shall notify the relevant competent authority for registration of data altruism organisations of any changes to the information provided pursuant to paragraph 4 within 14 days of the date of the change
• [Must] The competent authority shall notify the Commission of each such notification by electronic means without delay
• [Must] The Commission shall update the public Union register of recognised data altruism organisations without delay</t>
        </is>
      </c>
      <c r="N671" s="11" t="inlineStr">
        <is>
          <t>A recognised data altruism organisation shall notify the relevant competent authority for the registration of data altruism organisations of any changes to the information provided pursuant to paragraph 4 within 14 days of the date of the change.</t>
        </is>
      </c>
      <c r="O671" s="12" t="inlineStr">
        <is>
          <t>Open PDF</t>
        </is>
      </c>
    </row>
    <row r="672">
      <c r="A672" t="inlineStr">
        <is>
          <t>GDPR</t>
        </is>
      </c>
      <c r="B672" t="inlineStr">
        <is>
          <t>CELEX_32022R0868_EN_TXT (GDPR - Row 12)</t>
        </is>
      </c>
      <c r="C672" t="inlineStr">
        <is>
          <t>7</t>
        </is>
      </c>
      <c r="D672" s="11" t="inlineStr">
        <is>
          <t>Notification of changes to registration information</t>
        </is>
      </c>
      <c r="E672" t="inlineStr">
        <is>
          <t>33–34</t>
        </is>
      </c>
      <c r="F672" t="inlineStr">
        <is>
          <t>Low</t>
        </is>
      </c>
      <c r="G672" t="inlineStr">
        <is>
          <t>High (explicit)</t>
        </is>
      </c>
      <c r="H672" s="11" t="inlineStr">
        <is>
          <t>Cross-border Transfer</t>
        </is>
      </c>
      <c r="I672" s="11" t="inlineStr">
        <is>
          <t>Personal Information</t>
        </is>
      </c>
      <c r="J672" t="inlineStr"/>
      <c r="K672" s="11" t="inlineStr">
        <is>
          <t>A recognised data altruism organisation must notify the relevant competent authority of any changes to the information provided in paragraph 4 within 14 days. The competent authority must notify the Commission electronically, which updates the public Union register without delay. This ensures timely updates to registration details.</t>
        </is>
      </c>
      <c r="L672" s="11" t="inlineStr">
        <is>
          <t>This section requires timely notification of changes to registration information, which is critical for data transfer impact assessments as it ensures up-to-date registration details across borders.</t>
        </is>
      </c>
      <c r="M672" s="11" t="inlineStr">
        <is>
          <t>• [Must] A recognised data altruism organisation shall notify the relevant competent authority for registration of data altruism organisations of any changes to the information provided pursuant to paragraph 4 within 14 days of the date of the change
• [Must] The competent authority shall notify the Commission of each such notification by electronic means without delay
• [Must] The Commission shall update the public Union register of recognised data altruism organisations without delay</t>
        </is>
      </c>
      <c r="N672" s="11" t="inlineStr">
        <is>
          <t>A recognised data altruism organisation shall notify the relevant competent authority for the registration of data altruism organisations of any changes to the information provided pursuant to paragraph 4 within 14 days of the date of the change.</t>
        </is>
      </c>
      <c r="O672" s="12" t="inlineStr">
        <is>
          <t>Open PDF</t>
        </is>
      </c>
    </row>
    <row r="673">
      <c r="A673" t="inlineStr">
        <is>
          <t>GDPR</t>
        </is>
      </c>
      <c r="B673" t="inlineStr">
        <is>
          <t>CELEX_32022R0868_EN_TXT (GDPR - Row 12)</t>
        </is>
      </c>
      <c r="C673" t="inlineStr">
        <is>
          <t>8</t>
        </is>
      </c>
      <c r="D673" s="11" t="inlineStr">
        <is>
          <t>Standardized declaration after notification completion</t>
        </is>
      </c>
      <c r="E673" t="inlineStr">
        <is>
          <t>23</t>
        </is>
      </c>
      <c r="F673" t="inlineStr">
        <is>
          <t>Low</t>
        </is>
      </c>
      <c r="G673" t="inlineStr">
        <is>
          <t>High (explicit)</t>
        </is>
      </c>
      <c r="H673" s="11" t="inlineStr">
        <is>
          <t>Cross-border Transfer</t>
        </is>
      </c>
      <c r="I673" s="11" t="inlineStr">
        <is>
          <t>Personal Information</t>
        </is>
      </c>
      <c r="J673" t="inlineStr"/>
      <c r="K673" s="11" t="inlineStr">
        <is>
          <t>At the request of the data intermediation services provider, competent authorities must issue a standardized declaration within one week of a completed notification. This declaration confirms the notification was submitted and contains the required information, ensuring regulatory oversight.</t>
        </is>
      </c>
      <c r="L673" s="11" t="inlineStr">
        <is>
          <t>Provides a mechanism for confirming compliance with notification requirements, critical for verifying that data intermediation providers meet the necessary disclosure standards.</t>
        </is>
      </c>
      <c r="M673" s="11" t="inlineStr">
        <is>
          <t>• [Must] At the request of the data intermediation services provider, the competent authority for data intermediation services shall, within one week of a duly and fully completed notification, issue a standardised declaration, confirming that the data intermediation services provider has submitted the notification referred to in paragraph 1 and that the n…</t>
        </is>
      </c>
      <c r="N673" s="11" t="inlineStr">
        <is>
          <t>At the request of the data intermediation services provider, the competent authority for data intermediation services shall, within one week of a duly and fully completed notification, issue a standardised declaration, confirming that the data intermediation services provider has submitted the notification referred to in paragraph 1 and that the notification contains the information referred to in paragraph 6.</t>
        </is>
      </c>
      <c r="O673" s="12" t="inlineStr">
        <is>
          <t>Open PDF</t>
        </is>
      </c>
    </row>
    <row r="674">
      <c r="A674" t="inlineStr">
        <is>
          <t>GDPR</t>
        </is>
      </c>
      <c r="B674" t="inlineStr">
        <is>
          <t>CELEX_32022R0868_EN_TXT (GDPR - Row 12)</t>
        </is>
      </c>
      <c r="C674" t="inlineStr">
        <is>
          <t>8</t>
        </is>
      </c>
      <c r="D674" s="11" t="inlineStr">
        <is>
          <t>Standardized declaration after notification completion</t>
        </is>
      </c>
      <c r="E674" t="inlineStr">
        <is>
          <t>28</t>
        </is>
      </c>
      <c r="F674" t="inlineStr">
        <is>
          <t>Low</t>
        </is>
      </c>
      <c r="G674" t="inlineStr">
        <is>
          <t>High (explicit)</t>
        </is>
      </c>
      <c r="H674" s="11" t="inlineStr">
        <is>
          <t>Cross-border Transfer</t>
        </is>
      </c>
      <c r="I674" s="11" t="inlineStr">
        <is>
          <t>Personal Information</t>
        </is>
      </c>
      <c r="J674" t="inlineStr"/>
      <c r="K674" s="11" t="inlineStr">
        <is>
          <t>At the request of the data intermediation services provider, competent authorities must issue a standardized declaration within one week of a completed notification. This declaration confirms the notification was submitted and contains the required information, ensuring regulatory oversight.</t>
        </is>
      </c>
      <c r="L674" s="11" t="inlineStr">
        <is>
          <t>Provides a mechanism for confirming compliance with notification requirements, critical for verifying that data intermediation providers meet the necessary disclosure standards.</t>
        </is>
      </c>
      <c r="M674" s="11" t="inlineStr">
        <is>
          <t>• [Must] At the request of the data intermediation services provider, the competent authority for data intermediation services shall, within one week of a duly and fully completed notification, issue a standardised declaration, confirming that the data intermediation services provider has submitted the notification referred to in paragraph 1 and that the n…</t>
        </is>
      </c>
      <c r="N674" s="11" t="inlineStr">
        <is>
          <t>At the request of the data intermediation services provider, the competent authority for data intermediation services shall, within one week of a duly and fully completed notification, issue a standardised declaration, confirming that the data intermediation services provider has submitted the notification referred to in paragraph 1 and that the notification contains the information referred to in paragraph 6.</t>
        </is>
      </c>
      <c r="O674" s="12" t="inlineStr">
        <is>
          <t>Open PDF</t>
        </is>
      </c>
    </row>
    <row r="675">
      <c r="A675" t="inlineStr">
        <is>
          <t>GDPR</t>
        </is>
      </c>
      <c r="B675" t="inlineStr">
        <is>
          <t>CELEX_32022R0868_EN_TXT (GDPR - Row 12)</t>
        </is>
      </c>
      <c r="C675" t="inlineStr">
        <is>
          <t>9</t>
        </is>
      </c>
      <c r="D675" s="11" t="inlineStr">
        <is>
          <t>Data intermediation services provider recognition and logo requirements</t>
        </is>
      </c>
      <c r="E675" t="inlineStr">
        <is>
          <t>23</t>
        </is>
      </c>
      <c r="F675" t="inlineStr">
        <is>
          <t>Low</t>
        </is>
      </c>
      <c r="G675" t="inlineStr">
        <is>
          <t>High (explicit)</t>
        </is>
      </c>
      <c r="H675" s="11" t="inlineStr"/>
      <c r="I675" s="11" t="inlineStr"/>
      <c r="J675" t="inlineStr">
        <is>
          <t>Commission</t>
        </is>
      </c>
      <c r="K675" s="11" t="inlineStr">
        <is>
          <t>The competent authority for data intermediation services must confirm compliance with the relevant articles upon request. Recognised providers may use the label 'data intermediation services provider recognised in the Union' and a common logo in communications. The Commission must establish a standard logo design through implementing acts, which providers must display on all relevant publications.</t>
        </is>
      </c>
      <c r="L675" s="11" t="inlineStr">
        <is>
          <t>Provides a mechanism for identifying compliant data intermediation services providers across borders through a standard logo and recognition label, relevant for cross-border data intermediation assessments.</t>
        </is>
      </c>
      <c r="M675" s="11" t="inlineStr">
        <is>
          <t>• [Must] Competent authority shall confirm compliance with this Article and Article 12 upon request
• [May] Recognised data intermediation services providers may use the label 'data intermediation services provider recognised in the Union' in communications
• [Must] Recognised providers must display the common logo clearly on all online and offline publications related to data intermediation activities
• [Must] Commission shall establish a common logo design through implementing acts</t>
        </is>
      </c>
      <c r="N675" s="11" t="inlineStr">
        <is>
          <t>At the request of the data intermediation services provider, the competent authority for data intermediation services shall confirm that the data intermediation services provider complies with this Article and Article 12. Upon receipt of such a confirmation, that data intermediation services provider may use the label ‘data intermediation services provider recognised in the Union' in its written and spoken communication, as well as a common logo.</t>
        </is>
      </c>
      <c r="O675" s="12" t="inlineStr">
        <is>
          <t>Open PDF</t>
        </is>
      </c>
    </row>
    <row r="676">
      <c r="A676" t="inlineStr">
        <is>
          <t>GDPR</t>
        </is>
      </c>
      <c r="B676" t="inlineStr">
        <is>
          <t>CELEX_32022R0868_EN_TXT (GDPR - Row 12)</t>
        </is>
      </c>
      <c r="C676" t="inlineStr">
        <is>
          <t>9</t>
        </is>
      </c>
      <c r="D676" s="11" t="inlineStr">
        <is>
          <t>Data intermediation services provider recognition and logo requirements</t>
        </is>
      </c>
      <c r="E676" t="inlineStr">
        <is>
          <t>28</t>
        </is>
      </c>
      <c r="F676" t="inlineStr">
        <is>
          <t>Low</t>
        </is>
      </c>
      <c r="G676" t="inlineStr">
        <is>
          <t>High (explicit)</t>
        </is>
      </c>
      <c r="H676" s="11" t="inlineStr"/>
      <c r="I676" s="11" t="inlineStr"/>
      <c r="J676" t="inlineStr">
        <is>
          <t>Commission</t>
        </is>
      </c>
      <c r="K676" s="11" t="inlineStr">
        <is>
          <t>The competent authority for data intermediation services must confirm compliance with the relevant articles upon request. Recognised providers may use the label 'data intermediation services provider recognised in the Union' and a common logo in communications. The Commission must establish a standard logo design through implementing acts, which providers must display on all relevant publications.</t>
        </is>
      </c>
      <c r="L676" s="11" t="inlineStr">
        <is>
          <t>Provides a mechanism for identifying compliant data intermediation services providers across borders through a standard logo and recognition label, relevant for cross-border data intermediation assessments.</t>
        </is>
      </c>
      <c r="M676" s="11" t="inlineStr">
        <is>
          <t>• [Must] Competent authority shall confirm compliance with this Article and Article 12 upon request
• [May] Recognised data intermediation services providers may use the label 'data intermediation services provider recognised in the Union' in communications
• [Must] Recognised providers must display the common logo clearly on all online and offline publications related to data intermediation activities
• [Must] Commission shall establish a common logo design through implementing acts</t>
        </is>
      </c>
      <c r="N676" s="11" t="inlineStr">
        <is>
          <t>At the request of the data intermediation services provider, the competent authority for data intermediation services shall confirm that the data intermediation services provider complies with this Article and Article 12. Upon receipt of such a confirmation, that data intermediation services provider may use the label ‘data intermediation services provider recognised in the Union' in its written and spoken communication, as well as a common logo.</t>
        </is>
      </c>
      <c r="O676" s="12" t="inlineStr">
        <is>
          <t>Open PDF</t>
        </is>
      </c>
    </row>
    <row r="677">
      <c r="A677" t="inlineStr">
        <is>
          <t>GDPR</t>
        </is>
      </c>
      <c r="B677" t="inlineStr">
        <is>
          <t>CELEX_32022R0868_EN_TXT (GDPR - Row 12)</t>
        </is>
      </c>
      <c r="C677" t="inlineStr">
        <is>
          <t>10</t>
        </is>
      </c>
      <c r="D677" s="11" t="inlineStr">
        <is>
          <t>Competent authority must notify Commission of new notifications</t>
        </is>
      </c>
      <c r="E677" t="inlineStr">
        <is>
          <t>23</t>
        </is>
      </c>
      <c r="F677" t="inlineStr">
        <is>
          <t>Low</t>
        </is>
      </c>
      <c r="G677" t="inlineStr">
        <is>
          <t>High (explicit)</t>
        </is>
      </c>
      <c r="H677" s="11" t="inlineStr"/>
      <c r="I677" s="11" t="inlineStr"/>
      <c r="J677" t="inlineStr">
        <is>
          <t>Commission</t>
        </is>
      </c>
      <c r="K677" s="11" t="inlineStr">
        <is>
          <t>The competent authority for data intermediation services must notify the Commission electronically of each new notification without delay. The Commission maintains and updates a public register of all data intermediation services providers in the Union, publishing specific information from paragraph 6.</t>
        </is>
      </c>
      <c r="L677" s="11" t="inlineStr">
        <is>
          <t>Ensures transparency by maintaining a public register of data intermediation services providers, critical for assessing cross-border data intermediation compliance and provider recognition.</t>
        </is>
      </c>
      <c r="M677" s="11" t="inlineStr">
        <is>
          <t>• [Must] Competent authority shall notify Commission electronically of each new notification without delay
• [Must] Commission shall keep and regularly update a public register of all data intermediation services providers
• [Must] Information from paragraph 6 points (a), (b), (c), (d), (f), (g) shall be published in the public register</t>
        </is>
      </c>
      <c r="N677" s="11" t="inlineStr">
        <is>
          <t>The competent authority for data intermediation services shall notify the Commission of each new notification by electronic means without delay. The Commission shall keep and regularly update a public register of all data intermediation services providers providing their services in the Union.</t>
        </is>
      </c>
      <c r="O677" s="12" t="inlineStr">
        <is>
          <t>Open PDF</t>
        </is>
      </c>
    </row>
    <row r="678">
      <c r="A678" t="inlineStr">
        <is>
          <t>GDPR</t>
        </is>
      </c>
      <c r="B678" t="inlineStr">
        <is>
          <t>CELEX_32022R0868_EN_TXT (GDPR - Row 12)</t>
        </is>
      </c>
      <c r="C678" t="inlineStr">
        <is>
          <t>10</t>
        </is>
      </c>
      <c r="D678" s="11" t="inlineStr">
        <is>
          <t>Competent authority must notify Commission of new notifications</t>
        </is>
      </c>
      <c r="E678" t="inlineStr">
        <is>
          <t>28</t>
        </is>
      </c>
      <c r="F678" t="inlineStr">
        <is>
          <t>Low</t>
        </is>
      </c>
      <c r="G678" t="inlineStr">
        <is>
          <t>High (explicit)</t>
        </is>
      </c>
      <c r="H678" s="11" t="inlineStr"/>
      <c r="I678" s="11" t="inlineStr"/>
      <c r="J678" t="inlineStr">
        <is>
          <t>Commission</t>
        </is>
      </c>
      <c r="K678" s="11" t="inlineStr">
        <is>
          <t>The competent authority for data intermediation services must notify the Commission electronically of each new notification without delay. The Commission maintains and updates a public register of all data intermediation services providers in the Union, publishing specific information from paragraph 6.</t>
        </is>
      </c>
      <c r="L678" s="11" t="inlineStr">
        <is>
          <t>Ensures transparency by maintaining a public register of data intermediation services providers, critical for assessing cross-border data intermediation compliance and provider recognition.</t>
        </is>
      </c>
      <c r="M678" s="11" t="inlineStr">
        <is>
          <t>• [Must] Competent authority shall notify Commission electronically of each new notification without delay
• [Must] Commission shall keep and regularly update a public register of all data intermediation services providers
• [Must] Information from paragraph 6 points (a), (b), (c), (d), (f), (g) shall be published in the public register</t>
        </is>
      </c>
      <c r="N678" s="11" t="inlineStr">
        <is>
          <t>The competent authority for data intermediation services shall notify the Commission of each new notification by electronic means without delay. The Commission shall keep and regularly update a public register of all data intermediation services providers providing their services in the Union.</t>
        </is>
      </c>
      <c r="O678" s="12" t="inlineStr">
        <is>
          <t>Open PDF</t>
        </is>
      </c>
    </row>
    <row r="679">
      <c r="A679" t="inlineStr">
        <is>
          <t>GDPR</t>
        </is>
      </c>
      <c r="B679" t="inlineStr">
        <is>
          <t>CELEX_32022R0868_EN_TXT (GDPR - Row 12)</t>
        </is>
      </c>
      <c r="C679" t="inlineStr">
        <is>
          <t>11</t>
        </is>
      </c>
      <c r="D679" s="11" t="inlineStr">
        <is>
          <t>Fees for data intermediation services notifications</t>
        </is>
      </c>
      <c r="E679" t="inlineStr">
        <is>
          <t>23</t>
        </is>
      </c>
      <c r="F679" t="inlineStr">
        <is>
          <t>Low</t>
        </is>
      </c>
      <c r="G679" t="inlineStr">
        <is>
          <t>High (explicit)</t>
        </is>
      </c>
      <c r="H679" s="11" t="inlineStr"/>
      <c r="I679" s="11" t="inlineStr"/>
      <c r="J679" t="inlineStr"/>
      <c r="K679" s="11" t="inlineStr">
        <is>
          <t>Competent authorities may charge fees for notifications according to national law, with fees being proportionate, objective, and based on administrative costs. SMEs and start-ups may receive discounted or waived fees.</t>
        </is>
      </c>
      <c r="L679" s="11" t="inlineStr">
        <is>
          <t>Regulates fee structures for data intermediation services notifications, potentially impacting costs for small providers in cross-border data intermediation assessments.</t>
        </is>
      </c>
      <c r="M679" s="11" t="inlineStr">
        <is>
          <t>• [May] Competent authority may charge fees for notifications in accordance with national law
• [Must] Fees must be proportionate and objective and based on administrative costs related to monitoring compliance
• [May] SMEs and start-ups may receive discounted or waived fees</t>
        </is>
      </c>
      <c r="N679" s="11" t="inlineStr">
        <is>
          <t>The competent authority for data intermediation services may charge fees for the notification in accordance with national law. Such fees shall be proportionate and objective and be based on the administrative costs related to the monitoring of compliance and other market control activities of the competent authority for data intermediation services in relation to notifications of data intermediation services providers. In the case of SMEs and start-ups, the competent authority for data intermediation services may charge a discounted fee or waive the fee.</t>
        </is>
      </c>
      <c r="O679" s="12" t="inlineStr">
        <is>
          <t>Open PDF</t>
        </is>
      </c>
    </row>
    <row r="680">
      <c r="A680" t="inlineStr">
        <is>
          <t>GDPR</t>
        </is>
      </c>
      <c r="B680" t="inlineStr">
        <is>
          <t>CELEX_32022R0868_EN_TXT (GDPR - Row 12)</t>
        </is>
      </c>
      <c r="C680" t="inlineStr">
        <is>
          <t>11</t>
        </is>
      </c>
      <c r="D680" s="11" t="inlineStr">
        <is>
          <t>Fees for data intermediation services notifications</t>
        </is>
      </c>
      <c r="E680" t="inlineStr">
        <is>
          <t>28</t>
        </is>
      </c>
      <c r="F680" t="inlineStr">
        <is>
          <t>Low</t>
        </is>
      </c>
      <c r="G680" t="inlineStr">
        <is>
          <t>High (explicit)</t>
        </is>
      </c>
      <c r="H680" s="11" t="inlineStr"/>
      <c r="I680" s="11" t="inlineStr"/>
      <c r="J680" t="inlineStr"/>
      <c r="K680" s="11" t="inlineStr">
        <is>
          <t>Competent authorities may charge fees for notifications according to national law, with fees being proportionate, objective, and based on administrative costs. SMEs and start-ups may receive discounted or waived fees.</t>
        </is>
      </c>
      <c r="L680" s="11" t="inlineStr">
        <is>
          <t>Regulates fee structures for data intermediation services notifications, potentially impacting costs for small providers in cross-border data intermediation assessments.</t>
        </is>
      </c>
      <c r="M680" s="11" t="inlineStr">
        <is>
          <t>• [May] Competent authority may charge fees for notifications in accordance with national law
• [Must] Fees must be proportionate and objective and based on administrative costs related to monitoring compliance
• [May] SMEs and start-ups may receive discounted or waived fees</t>
        </is>
      </c>
      <c r="N680" s="11" t="inlineStr">
        <is>
          <t>The competent authority for data intermediation services may charge fees for the notification in accordance with national law. Such fees shall be proportionate and objective and be based on the administrative costs related to the monitoring of compliance and other market control activities of the competent authority for data intermediation services in relation to notifications of data intermediation services providers. In the case of SMEs and start-ups, the competent authority for data intermediation services may charge a discounted fee or waive the fee.</t>
        </is>
      </c>
      <c r="O680" s="12" t="inlineStr">
        <is>
          <t>Open PDF</t>
        </is>
      </c>
    </row>
    <row r="681">
      <c r="A681" t="inlineStr">
        <is>
          <t>GDPR</t>
        </is>
      </c>
      <c r="B681" t="inlineStr">
        <is>
          <t>CELEX_32022R0868_EN_TXT (GDPR - Row 12)</t>
        </is>
      </c>
      <c r="C681" t="inlineStr">
        <is>
          <t>12</t>
        </is>
      </c>
      <c r="D681" s="11" t="inlineStr">
        <is>
          <t>Data intermediation services providers must report changes</t>
        </is>
      </c>
      <c r="E681" t="inlineStr">
        <is>
          <t>23–24</t>
        </is>
      </c>
      <c r="F681" t="inlineStr">
        <is>
          <t>Low</t>
        </is>
      </c>
      <c r="G681" t="inlineStr">
        <is>
          <t>High (explicit)</t>
        </is>
      </c>
      <c r="H681" s="11" t="inlineStr"/>
      <c r="I681" s="11" t="inlineStr"/>
      <c r="J681" t="inlineStr"/>
      <c r="K681" s="11" t="inlineStr">
        <is>
          <t>Data intermediation services providers must notify the competent authority of any changes to information provided under paragraph 6 within 14 days of the change.</t>
        </is>
      </c>
      <c r="L681" s="11" t="inlineStr">
        <is>
          <t>Requires timely reporting of changes to data intermediation services providers, important for maintaining accurate cross-border data intermediation records.</t>
        </is>
      </c>
      <c r="M681" s="11" t="inlineStr">
        <is>
          <t>• [Must] Data intermediation services providers must notify competent authority of changes to information within 14 days</t>
        </is>
      </c>
      <c r="N681" s="11" t="inlineStr">
        <is>
          <t>Data intermediation services providers shall notify the competent authority for data intermediation services of any changes to the information provided pursuant to paragraph 6 within 14 days of the date of the change.</t>
        </is>
      </c>
      <c r="O681" s="12" t="inlineStr">
        <is>
          <t>Open PDF</t>
        </is>
      </c>
    </row>
    <row r="682">
      <c r="A682" t="inlineStr">
        <is>
          <t>GDPR</t>
        </is>
      </c>
      <c r="B682" t="inlineStr">
        <is>
          <t>CELEX_32022R0868_EN_TXT (GDPR - Row 12)</t>
        </is>
      </c>
      <c r="C682" t="inlineStr">
        <is>
          <t>12</t>
        </is>
      </c>
      <c r="D682" s="11" t="inlineStr">
        <is>
          <t>Data intermediation services providers must report changes</t>
        </is>
      </c>
      <c r="E682" t="inlineStr">
        <is>
          <t>28</t>
        </is>
      </c>
      <c r="F682" t="inlineStr">
        <is>
          <t>Low</t>
        </is>
      </c>
      <c r="G682" t="inlineStr">
        <is>
          <t>High (explicit)</t>
        </is>
      </c>
      <c r="H682" s="11" t="inlineStr"/>
      <c r="I682" s="11" t="inlineStr"/>
      <c r="J682" t="inlineStr"/>
      <c r="K682" s="11" t="inlineStr">
        <is>
          <t>Data intermediation services providers must notify the competent authority of any changes to information provided under paragraph 6 within 14 days of the change.</t>
        </is>
      </c>
      <c r="L682" s="11" t="inlineStr">
        <is>
          <t>Requires timely reporting of changes to data intermediation services providers, important for maintaining accurate cross-border data intermediation records.</t>
        </is>
      </c>
      <c r="M682" s="11" t="inlineStr">
        <is>
          <t>• [Must] Data intermediation services providers must notify competent authority of changes to information within 14 days</t>
        </is>
      </c>
      <c r="N682" s="11" t="inlineStr">
        <is>
          <t>Data intermediation services providers shall notify the competent authority for data intermediation services of any changes to the information provided pursuant to paragraph 6 within 14 days of the date of the change.</t>
        </is>
      </c>
      <c r="O682" s="12" t="inlineStr">
        <is>
          <t>Open PDF</t>
        </is>
      </c>
    </row>
    <row r="683">
      <c r="A683" t="inlineStr">
        <is>
          <t>GDPR</t>
        </is>
      </c>
      <c r="B683" t="inlineStr">
        <is>
          <t>CELEX_32022R0868_EN_TXT (GDPR - Row 12)</t>
        </is>
      </c>
      <c r="C683" t="inlineStr">
        <is>
          <t>13</t>
        </is>
      </c>
      <c r="D683" s="11" t="inlineStr">
        <is>
          <t>Data intermediation services providers must report cessation of activities</t>
        </is>
      </c>
      <c r="E683" t="inlineStr">
        <is>
          <t>24</t>
        </is>
      </c>
      <c r="F683" t="inlineStr">
        <is>
          <t>Low</t>
        </is>
      </c>
      <c r="G683" t="inlineStr">
        <is>
          <t>High (explicit)</t>
        </is>
      </c>
      <c r="H683" s="11" t="inlineStr"/>
      <c r="I683" s="11" t="inlineStr"/>
      <c r="J683" t="inlineStr"/>
      <c r="K683" s="11" t="inlineStr">
        <is>
          <t>Data intermediation services providers ceasing activities must notify the relevant competent authority within 15 days.</t>
        </is>
      </c>
      <c r="L683" s="11" t="inlineStr">
        <is>
          <t>Ensures timely removal of inactive providers from cross-border data intermediation registers, critical for maintaining accurate data intermediation service records.</t>
        </is>
      </c>
      <c r="M683" s="11" t="inlineStr">
        <is>
          <t>• [Must] Data intermediation services providers ceasing activities must notify relevant competent authority within 15 days</t>
        </is>
      </c>
      <c r="N683" s="11" t="inlineStr">
        <is>
          <t>Where a data intermediation services provider ceases its activities, it shall notify the relevant competent authority for data intermediation services determined pursuant to paragraphs 1, 2 and 3 within 15 days.</t>
        </is>
      </c>
      <c r="O683" s="12" t="inlineStr">
        <is>
          <t>Open PDF</t>
        </is>
      </c>
    </row>
    <row r="684">
      <c r="A684" t="inlineStr">
        <is>
          <t>GDPR</t>
        </is>
      </c>
      <c r="B684" t="inlineStr">
        <is>
          <t>CELEX_32022R0868_EN_TXT (GDPR - Row 12)</t>
        </is>
      </c>
      <c r="C684" t="inlineStr">
        <is>
          <t>13</t>
        </is>
      </c>
      <c r="D684" s="11" t="inlineStr">
        <is>
          <t>Data intermediation services providers must report cessation of activities</t>
        </is>
      </c>
      <c r="E684" t="inlineStr">
        <is>
          <t>28</t>
        </is>
      </c>
      <c r="F684" t="inlineStr">
        <is>
          <t>Low</t>
        </is>
      </c>
      <c r="G684" t="inlineStr">
        <is>
          <t>High (explicit)</t>
        </is>
      </c>
      <c r="H684" s="11" t="inlineStr"/>
      <c r="I684" s="11" t="inlineStr"/>
      <c r="J684" t="inlineStr"/>
      <c r="K684" s="11" t="inlineStr">
        <is>
          <t>Data intermediation services providers ceasing activities must notify the relevant competent authority within 15 days.</t>
        </is>
      </c>
      <c r="L684" s="11" t="inlineStr">
        <is>
          <t>Ensures timely removal of inactive providers from cross-border data intermediation registers, critical for maintaining accurate data intermediation service records.</t>
        </is>
      </c>
      <c r="M684" s="11" t="inlineStr">
        <is>
          <t>• [Must] Data intermediation services providers ceasing activities must notify relevant competent authority within 15 days</t>
        </is>
      </c>
      <c r="N684" s="11" t="inlineStr">
        <is>
          <t>Where a data intermediation services provider ceases its activities, it shall notify the relevant competent authority for data intermediation services determined pursuant to paragraphs 1, 2 and 3 within 15 days.</t>
        </is>
      </c>
      <c r="O684" s="12" t="inlineStr">
        <is>
          <t>Open PDF</t>
        </is>
      </c>
    </row>
    <row r="685">
      <c r="A685" t="inlineStr">
        <is>
          <t>GDPR</t>
        </is>
      </c>
      <c r="B685" t="inlineStr">
        <is>
          <t>CELEX_32022R0868_EN_TXT (GDPR - Row 12)</t>
        </is>
      </c>
      <c r="C685" t="inlineStr">
        <is>
          <t>14</t>
        </is>
      </c>
      <c r="D685" s="11" t="inlineStr">
        <is>
          <t>Competent authority must notify Commission of notifications</t>
        </is>
      </c>
      <c r="E685" t="inlineStr">
        <is>
          <t>24</t>
        </is>
      </c>
      <c r="F685" t="inlineStr">
        <is>
          <t>Low</t>
        </is>
      </c>
      <c r="G685" t="inlineStr">
        <is>
          <t>High (explicit)</t>
        </is>
      </c>
      <c r="H685" s="11" t="inlineStr"/>
      <c r="I685" s="11" t="inlineStr"/>
      <c r="J685" t="inlineStr">
        <is>
          <t>Commission</t>
        </is>
      </c>
      <c r="K685" s="11" t="inlineStr">
        <is>
          <t>The competent authority must notify the Commission electronically of notifications from paragraphs 12 and 13 without delay. The Commission updates the public register accordingly.</t>
        </is>
      </c>
      <c r="L685" s="11" t="inlineStr">
        <is>
          <t>Ensures the Commission maintains an up-to-date public register of data intermediation services providers, critical for cross-border data intermediation assessments.</t>
        </is>
      </c>
      <c r="M685" s="11" t="inlineStr">
        <is>
          <t>• [Must] Competent authority shall notify Commission electronically of notifications from paragraphs 12 and 13 without delay
• [Must] Commission shall update the public register of data intermediation services providers accordingly</t>
        </is>
      </c>
      <c r="N685" s="11" t="inlineStr">
        <is>
          <t>The competent authority for data intermediation services shall notify the Commission of each notification referred to in paragraphs 12 and 13 by electronic means without delay. The Commission shall update the public register of the data intermediation services providers in the Union accordingly.</t>
        </is>
      </c>
      <c r="O685" s="12" t="inlineStr">
        <is>
          <t>Open PDF</t>
        </is>
      </c>
    </row>
    <row r="686">
      <c r="A686" t="inlineStr">
        <is>
          <t>GDPR</t>
        </is>
      </c>
      <c r="B686" t="inlineStr">
        <is>
          <t>CELEX_32022R0868_EN_TXT (GDPR - Row 12)</t>
        </is>
      </c>
      <c r="C686" t="inlineStr">
        <is>
          <t>14</t>
        </is>
      </c>
      <c r="D686" s="11" t="inlineStr">
        <is>
          <t>Competent authority must notify Commission of notifications</t>
        </is>
      </c>
      <c r="E686" t="inlineStr">
        <is>
          <t>28–30</t>
        </is>
      </c>
      <c r="F686" t="inlineStr">
        <is>
          <t>Low</t>
        </is>
      </c>
      <c r="G686" t="inlineStr">
        <is>
          <t>High (explicit)</t>
        </is>
      </c>
      <c r="H686" s="11" t="inlineStr"/>
      <c r="I686" s="11" t="inlineStr"/>
      <c r="J686" t="inlineStr">
        <is>
          <t>Commission</t>
        </is>
      </c>
      <c r="K686" s="11" t="inlineStr">
        <is>
          <t>The competent authority must notify the Commission electronically of notifications from paragraphs 12 and 13 without delay. The Commission updates the public register accordingly.</t>
        </is>
      </c>
      <c r="L686" s="11" t="inlineStr">
        <is>
          <t>Ensures the Commission maintains an up-to-date public register of data intermediation services providers, critical for cross-border data intermediation assessments.</t>
        </is>
      </c>
      <c r="M686" s="11" t="inlineStr">
        <is>
          <t>• [Must] Competent authority shall notify Commission electronically of notifications from paragraphs 12 and 13 without delay
• [Must] Commission shall update the public register of data intermediation services providers accordingly</t>
        </is>
      </c>
      <c r="N686" s="11" t="inlineStr">
        <is>
          <t>The competent authority for data intermediation services shall notify the Commission of each notification referred to in paragraphs 12 and 13 by electronic means without delay. The Commission shall update the public register of the data intermediation services providers in the Union accordingly.</t>
        </is>
      </c>
      <c r="O686" s="12" t="inlineStr">
        <is>
          <t>Open PDF</t>
        </is>
      </c>
    </row>
    <row r="687">
      <c r="A687" t="inlineStr">
        <is>
          <t>GDPR</t>
        </is>
      </c>
      <c r="B687" t="inlineStr">
        <is>
          <t>CELEX_32022R0868_EN_TXT (GDPR - Row 12)</t>
        </is>
      </c>
      <c r="C687" t="inlineStr">
        <is>
          <t>2022</t>
        </is>
      </c>
      <c r="D687" s="11" t="inlineStr">
        <is>
          <t>European data spaces for cross-border data sharing and re-use</t>
        </is>
      </c>
      <c r="E687" t="inlineStr">
        <is>
          <t>1–4</t>
        </is>
      </c>
      <c r="F687" t="inlineStr">
        <is>
          <t>High</t>
        </is>
      </c>
      <c r="G687" t="inlineStr">
        <is>
          <t>High (explicit)</t>
        </is>
      </c>
      <c r="H687" s="11" t="inlineStr">
        <is>
          <t>Cross-border Transfer, Data Sharing, Data Storage, Security</t>
        </is>
      </c>
      <c r="I687" s="11" t="inlineStr">
        <is>
          <t>Financial Data</t>
        </is>
      </c>
      <c r="J687" t="inlineStr">
        <is>
          <t>European Commission</t>
        </is>
      </c>
      <c r="K687" s="11" t="inlineStr">
        <is>
          <t>This section establishes a framework for harmonized data exchanges across borders by creating common European data spaces in sectors like health, finance, and mobility. It mandates data governance principles ensuring data findability, accessibility, interoperability, and reusability (FAIR principles) while maintaining high cybersecurity standards. The framework aims to facilitate cross-border data sharing without compromising fundamental rights or public security.</t>
        </is>
      </c>
      <c r="L687" s="11" t="inlineStr">
        <is>
          <t>This section creates cross-border data transfer mechanisms through sector-specific data spaces that require FAIR data principles and cybersecurity safeguards, directly impacting DTIA requirements for international data transfers.</t>
        </is>
      </c>
      <c r="M687" s="11" t="inlineStr">
        <is>
          <t>• [Must] Establish domain-specific common European data spaces for data sharing and pooling
• [Must] Ensure data is findable, accessible, interoperable and reusable (FAIR principles)
• [Must] Maintain high level of cybersecurity
• [Must] Create harmonized framework for data exchanges and basic data governance requirements
• [Must] Facilitate cooperation between Member States for data sharing</t>
        </is>
      </c>
      <c r="N687" s="11" t="inlineStr">
        <is>
          <t>The Commission proposed establishing domain-specific common European data spaces for data sharing and data pooling. As proposed in the European strategy for data, such common European data spaces could cover areas such as health, mobility, manufacturing, financial services, energy or agriculture, or a combination of such areas, for example energy and climate, as well as thematic areas such as the European Green Deal or European data spaces for public administration or skills.</t>
        </is>
      </c>
      <c r="O687" s="12" t="inlineStr">
        <is>
          <t>Open PDF</t>
        </is>
      </c>
    </row>
    <row r="688">
      <c r="A688" t="inlineStr">
        <is>
          <t>GDPR</t>
        </is>
      </c>
      <c r="B688" t="inlineStr">
        <is>
          <t>CELEX_32022R0868_EN_TXT (GDPR - Row 12)</t>
        </is>
      </c>
      <c r="C688" t="inlineStr">
        <is>
          <t>2022 (part 2)</t>
        </is>
      </c>
      <c r="D688" s="11" t="inlineStr">
        <is>
          <t>(3) Commission Recommendation 2003/361/EC of 6 May 2003 concerning the definition of micro, small and medium-sized enterprises (cont.)</t>
        </is>
      </c>
      <c r="E688" t="inlineStr">
        <is>
          <t>4–6</t>
        </is>
      </c>
      <c r="F688" t="inlineStr">
        <is>
          <t>Unknown</t>
        </is>
      </c>
      <c r="G688" t="inlineStr">
        <is>
          <t>Low</t>
        </is>
      </c>
      <c r="H688" s="11" t="inlineStr"/>
      <c r="I688" s="11" t="inlineStr"/>
      <c r="J688" t="inlineStr"/>
      <c r="K688" s="11" t="inlineStr"/>
      <c r="L688" s="11" t="inlineStr"/>
      <c r="M688" s="11" t="inlineStr"/>
      <c r="N688" s="11" t="inlineStr"/>
      <c r="O688" s="12" t="inlineStr">
        <is>
          <t>Open PDF</t>
        </is>
      </c>
    </row>
    <row r="689">
      <c r="A689" t="inlineStr">
        <is>
          <t>GDPR</t>
        </is>
      </c>
      <c r="B689" t="inlineStr">
        <is>
          <t>CELEX_32022R0868_EN_TXT (GDPR - Row 12)</t>
        </is>
      </c>
      <c r="C689" t="inlineStr">
        <is>
          <t>2022 (part 3)</t>
        </is>
      </c>
      <c r="D689" s="11" t="inlineStr">
        <is>
          <t>Public sector data re-use: exclusions and conditions</t>
        </is>
      </c>
      <c r="E689" t="inlineStr">
        <is>
          <t>6–8</t>
        </is>
      </c>
      <c r="F689" t="inlineStr">
        <is>
          <t>Low</t>
        </is>
      </c>
      <c r="G689" t="inlineStr">
        <is>
          <t>High (explicit)</t>
        </is>
      </c>
      <c r="H689" s="11" t="inlineStr">
        <is>
          <t>Cross-border Transfer, Data Storage, Data Residency, Security</t>
        </is>
      </c>
      <c r="I689" s="11" t="inlineStr">
        <is>
          <t>Personal Information</t>
        </is>
      </c>
      <c r="J689" t="inlineStr">
        <is>
          <t>European Commission</t>
        </is>
      </c>
      <c r="K689" s="11" t="inlineStr">
        <is>
          <t>This section specifies that the re-use regime applies to public sector data involved in public tasks, excluding public undertakings, cultural establishments, educational institutions, and research organizations. It mandates transparent public task definitions, requires data to be held in accordance with public law, and excludes data from organizations that are not public sector bodies. The re-use of data for non-commercial scientific research purposes among researchers is exempt from the regulation.</t>
        </is>
      </c>
      <c r="L689" s="11" t="inlineStr">
        <is>
          <t>This section defines exclusions for public sector data re-use, clarifying when data transfers across borders are exempt from the re-use regime. It specifies conditions for public task data that may affect cross-border data transfers.</t>
        </is>
      </c>
      <c r="M689" s="11" t="inlineStr">
        <is>
          <t>• [Must] Public sector bodies should define public tasks transparently and subject to review
• [Must] Public tasks should be defined generally or on a case-by-case basis for individual public sector bodies
• [Must] Public undertakings data should not be covered by this regulation
• [Must] Cultural establishments data should not be covered by this regulation
• [Must] Educational establishments data should not be covered by this regulation
• [Must] Research-performing organizations data should not be covered by this regulation
• [Must] Data held by public undertakings in specific public-private associations should not be covered by this regulation
• [Must Not] Public sector bodies should not re-use data for non-commercial scientific research purposes</t>
        </is>
      </c>
      <c r="N689" s="11" t="inlineStr">
        <is>
          <t>The re-use regime provided for in this Regulation should apply to data the supply of which forms part of the public tasks of the public sector bodies concerned under law or other binding rules in the Member States.</t>
        </is>
      </c>
      <c r="O689" s="12" t="inlineStr">
        <is>
          <t>Open PDF</t>
        </is>
      </c>
    </row>
    <row r="690">
      <c r="A690" t="inlineStr">
        <is>
          <t>GDPR</t>
        </is>
      </c>
      <c r="B690" t="inlineStr">
        <is>
          <t>CELEX_32022R0868_EN_TXT (GDPR - Row 12)</t>
        </is>
      </c>
      <c r="C690" t="inlineStr">
        <is>
          <t>2022 (part 4)</t>
        </is>
      </c>
      <c r="D690" s="11" t="inlineStr">
        <is>
          <t>Public sector data re-use: competition and security safeguards</t>
        </is>
      </c>
      <c r="E690" t="inlineStr">
        <is>
          <t>8–10</t>
        </is>
      </c>
      <c r="F690" t="inlineStr">
        <is>
          <t>Low</t>
        </is>
      </c>
      <c r="G690" t="inlineStr">
        <is>
          <t>High (explicit)</t>
        </is>
      </c>
      <c r="H690" s="11" t="inlineStr">
        <is>
          <t>Cross-border Transfer, Data Storage, Data Residency, Security, Incident Reporting</t>
        </is>
      </c>
      <c r="I690" s="11" t="inlineStr"/>
      <c r="J690" t="inlineStr">
        <is>
          <t>European Commission</t>
        </is>
      </c>
      <c r="K690" s="11" t="inlineStr">
        <is>
          <t>This section outlines competition safeguards for public sector data re-use, prohibiting exclusive agreements that restrict data re-use unless justified by public interest. It mandates transparency, regular market reviews, and publication of exclusive agreements. It also specifies that non-personal data transfers to third countries require equivalent safeguards, including legal remedies and enforceable rights, to protect trade secrets and intellectual property.</t>
        </is>
      </c>
      <c r="L690" s="11" t="inlineStr">
        <is>
          <t>This section details specific safeguards for cross-border transfers of non-personal data, including requirements for equivalent protection in third countries and legal remedies to ensure data security.</t>
        </is>
      </c>
      <c r="M690" s="11" t="inlineStr">
        <is>
          <t>• [Must] Public sector bodies should avoid exclusive agreements that create competitive barriers
• [Must] Exclusive agreements must be justified and necessary for public interest services
• [Must] Exclusive agreements should be limited to 12 months and subject to market review
• [Must] Exclusive agreements must be published online in a form compliant with public procurement law
• [Must] Non-personal data transfers to third countries require equivalent safeguards
• [Must] Third countries must have equivalent legal protections for non-personal data
• [Must] Re-users must accept jurisdiction of the public sector body's Member State for disputes
• [Must] Public sector bodies must ensure non-personal data is protected from unlawful access</t>
        </is>
      </c>
      <c r="N690" s="11" t="inlineStr">
        <is>
          <t>Public sector bodies should comply with competition law when establishing the principles for re-use of data they hold, avoiding the conclusion of agreements which might have as their objective or effect the creation of exclusive rights for the re-use of certain data.</t>
        </is>
      </c>
      <c r="O690" s="12" t="inlineStr">
        <is>
          <t>Open PDF</t>
        </is>
      </c>
    </row>
    <row r="691">
      <c r="A691" t="inlineStr">
        <is>
          <t>GDPR</t>
        </is>
      </c>
      <c r="B691" t="inlineStr">
        <is>
          <t>CELEX_32022R0868_EN_TXT (GDPR - Row 12)</t>
        </is>
      </c>
      <c r="C691" t="inlineStr">
        <is>
          <t>2022 (part 5)</t>
        </is>
      </c>
      <c r="D691" s="11" t="inlineStr">
        <is>
          <t>Data intermediation services: definition and scope</t>
        </is>
      </c>
      <c r="E691" t="inlineStr">
        <is>
          <t>10–12</t>
        </is>
      </c>
      <c r="F691" t="inlineStr">
        <is>
          <t>Medium</t>
        </is>
      </c>
      <c r="G691" t="inlineStr">
        <is>
          <t>High (explicit)</t>
        </is>
      </c>
      <c r="H691" s="11" t="inlineStr">
        <is>
          <t>Data Sharing, Cross-border Transfer, Data Storage, Security</t>
        </is>
      </c>
      <c r="I691" s="11" t="inlineStr">
        <is>
          <t>Personal Information</t>
        </is>
      </c>
      <c r="J691" t="inlineStr">
        <is>
          <t>European Commission</t>
        </is>
      </c>
      <c r="K691" s="11" t="inlineStr">
        <is>
          <t>This section defines data intermediation services as platforms enabling data sharing between data holders, data subjects and data users without establishing commercial relationships. Member States must establish a single information point for reusing public sector data, which should be cross-sectoral and use automated means where possible. Competent bodies must support public sector bodies in data re-use, including technical assistance for data storage and interoperability while maintaining data privacy. These entities should not have supervisory functions but must comply with data protection regulations.</t>
        </is>
      </c>
      <c r="L691" s="11" t="inlineStr">
        <is>
          <t>Data intermediation services require specific safeguards for cross-border data sharing, including neutrality, interoperability, and no commercial relationships. They must not process personal data for commercial purposes without explicit consent from data subjects.</t>
        </is>
      </c>
      <c r="M691" s="11" t="inlineStr">
        <is>
          <t>• [Must] Member States should establish a single information point for reusing public sector data with cross-sector remit
• [Must] The single information point should use automated means for enquiries or requests for data re-use
• [Must] Competent bodies must support public sector bodies in data re-use, including technical assistance for data storage and interoperability
• [Must Not] Competent bodies should not have supervisory functions reserved for data protection authorities
• [Must Not] Data intermediation services must not establish commercial relationships between data holders and users
• [Must Not] Data intermediation services must not process personal data for commercial purposes without explicit consent</t>
        </is>
      </c>
      <c r="N691" s="11" t="inlineStr">
        <is>
          <t>Member States should establish a single information point to act as an interface for re-users that seek to re-use that data. It should have a cross-sector remit, and should complement, if necessary, arrangements at the sectoral level.</t>
        </is>
      </c>
      <c r="O691" s="12" t="inlineStr">
        <is>
          <t>Open PDF</t>
        </is>
      </c>
    </row>
    <row r="692">
      <c r="A692" t="inlineStr">
        <is>
          <t>GDPR</t>
        </is>
      </c>
      <c r="B692" t="inlineStr">
        <is>
          <t>CELEX_32022R0868_EN_TXT (GDPR - Row 12)</t>
        </is>
      </c>
      <c r="C692" t="inlineStr">
        <is>
          <t>2022 (part 6)</t>
        </is>
      </c>
      <c r="D692" s="11" t="inlineStr">
        <is>
          <t>Data intermediation services: operational requirements</t>
        </is>
      </c>
      <c r="E692" t="inlineStr">
        <is>
          <t>12–14</t>
        </is>
      </c>
      <c r="F692" t="inlineStr">
        <is>
          <t>Medium</t>
        </is>
      </c>
      <c r="G692" t="inlineStr">
        <is>
          <t>High (explicit)</t>
        </is>
      </c>
      <c r="H692" s="11" t="inlineStr">
        <is>
          <t>Data Sharing, Cross-border Transfer, Data Storage, Security</t>
        </is>
      </c>
      <c r="I692" s="11" t="inlineStr">
        <is>
          <t>Personal Information</t>
        </is>
      </c>
      <c r="J692" t="inlineStr">
        <is>
          <t>European Commission</t>
        </is>
      </c>
      <c r="K692" s="11" t="inlineStr">
        <is>
          <t>This section outlines operational requirements for data intermediation services, including neutrality, interoperability, and compliance with competition law. Providers must ensure no conflicts of interest, maintain data privacy, and implement procedures for fraudulent practices. They must also comply with national laws of their main establishment location and follow sector-specific standards where applicable.</t>
        </is>
      </c>
      <c r="L692" s="11" t="inlineStr">
        <is>
          <t>Data intermediation services must operate neutrally, ensure interoperability, and avoid conflicts of interest to facilitate secure cross-border data sharing without commercial relationships.</t>
        </is>
      </c>
      <c r="M692" s="11" t="inlineStr">
        <is>
          <t>• [Must] Data intermediation services providers must act only as intermediaries without using data for other purposes
• [Must] Commercial terms for data intermediation services must not depend on other services provided by the same provider
• [Must] Data intermediation services must implement procedures to impose penalties for fraudulent or abusive practices
• [Must] Data intermediation services must comply with competition law and have procedures to ensure compliance
• [Must] Data intermediation services must take reasonable measures to ensure interoperability within sectors
• [Must] Data intermediation services must send a notification to the competent authority from the Member State where main establishment is located</t>
        </is>
      </c>
      <c r="N692" s="11" t="inlineStr">
        <is>
          <t>Data intermediation services providers should act only as intermediaries in the transactions, and do not use the data exchanged for any other purpose.</t>
        </is>
      </c>
      <c r="O692" s="12" t="inlineStr">
        <is>
          <t>Open PDF</t>
        </is>
      </c>
    </row>
    <row r="693">
      <c r="A693" t="inlineStr">
        <is>
          <t>GDPR</t>
        </is>
      </c>
      <c r="B693" t="inlineStr">
        <is>
          <t>CELEX_32022R0868_EN_TXT (GDPR - Row 12)</t>
        </is>
      </c>
      <c r="C693" t="inlineStr">
        <is>
          <t>2022 (part 7)</t>
        </is>
      </c>
      <c r="D693" s="11" t="inlineStr">
        <is>
          <t>Data intermediation services provider registration and oversight</t>
        </is>
      </c>
      <c r="E693" t="inlineStr">
        <is>
          <t>14–16</t>
        </is>
      </c>
      <c r="F693" t="inlineStr">
        <is>
          <t>Medium</t>
        </is>
      </c>
      <c r="G693" t="inlineStr">
        <is>
          <t>High (explicit)</t>
        </is>
      </c>
      <c r="H693" s="11" t="inlineStr">
        <is>
          <t>Data Sharing, Cross-border Transfer, Data Storage</t>
        </is>
      </c>
      <c r="I693" s="11" t="inlineStr">
        <is>
          <t>Personal Information, Financial Data</t>
        </is>
      </c>
      <c r="J693" t="inlineStr">
        <is>
          <t>Competent authorities for data intermediation services</t>
        </is>
      </c>
      <c r="K693" s="11" t="inlineStr">
        <is>
          <t>Data intermediation services providers must have their main establishment in the Union. Those not established in the Union offering services within the Union must designate a legal representative who acts on their behalf for compliance purposes. The legal representative must be designated via written mandate and competent authorities may address them directly for enforcement actions. The designation is necessary due to handling of personal and commercially confidential data.</t>
        </is>
      </c>
      <c r="L693" s="11" t="inlineStr">
        <is>
          <t>Requires data intermediation services providers to establish a legal representative within the Union for oversight, creating a cross-border compliance mechanism for data sharing activities.</t>
        </is>
      </c>
      <c r="M693" s="11" t="inlineStr">
        <is>
          <t>• [Must] Data intermediation services providers must have their main establishment in the Union
• [Must] Data intermediation services providers not established in the Union offering services within the Union must designate a legal representative
• [Must] Designated legal representative must act on behalf of the data intermediation services provider
• [Must] Legal representative must be designated by written mandate of the data intermediation services provider
• [Should] Competent authorities may address the legal representative directly for enforcement actions</t>
        </is>
      </c>
      <c r="N693" s="11" t="inlineStr">
        <is>
          <t>In order to ensure the compliance of data intermediation services providers with this Regulation, they should have their main establishment in the Union. Where a data intermediation services provider not established in the Union offers services within the Union, it should designate a legal representative.</t>
        </is>
      </c>
      <c r="O693" s="12" t="inlineStr">
        <is>
          <t>Open PDF</t>
        </is>
      </c>
    </row>
    <row r="694">
      <c r="A694" t="inlineStr">
        <is>
          <t>GDPR</t>
        </is>
      </c>
      <c r="B694" t="inlineStr">
        <is>
          <t>CELEX_32022R0868_EN_TXT (GDPR - Row 12)</t>
        </is>
      </c>
      <c r="C694" t="inlineStr">
        <is>
          <t>2022 (part 8)</t>
        </is>
      </c>
      <c r="D694" s="11" t="inlineStr">
        <is>
          <t>Data altruism organizations and consent frameworks</t>
        </is>
      </c>
      <c r="E694" t="inlineStr">
        <is>
          <t>16–18</t>
        </is>
      </c>
      <c r="F694" t="inlineStr">
        <is>
          <t>Low</t>
        </is>
      </c>
      <c r="G694" t="inlineStr">
        <is>
          <t>High (explicit)</t>
        </is>
      </c>
      <c r="H694" s="11" t="inlineStr">
        <is>
          <t>Data Sharing, Data Storage, Consent</t>
        </is>
      </c>
      <c r="I694" s="11" t="inlineStr"/>
      <c r="J694" t="inlineStr">
        <is>
          <t>Competent authorities for registration of data altruism organizations</t>
        </is>
      </c>
      <c r="K694" s="11" t="inlineStr">
        <is>
          <t>Recognised data altruism organizations must have a Union establishment or legal representative, be non-profit, and follow transparency requirements. They must collect data directly or process data collected by others, with consent mechanisms compliant with GDPR. Data altruism organizations should be able to process data for purposes established at consent time or allow third-party processing for those purposes.</t>
        </is>
      </c>
      <c r="L694" s="11" t="inlineStr">
        <is>
          <t>Establishes requirements for data altruism organizations to ensure trust and compliance, including non-profit status, transparency, and consent mechanisms for cross-border data sharing.</t>
        </is>
      </c>
      <c r="M694" s="11" t="inlineStr">
        <is>
          <t>• [Must] Recognised data altruism organizations must have a Union establishment or legal representative
• [Must] Recognised data altruism organizations must be non-profit organizations
• [Must] Recognised data altruism organizations must follow transparency requirements
• [Must] Recognised data altruism organizations must have specific safeguards to protect data subjects' rights
• [Must] Data altruism organizations must collect data directly from natural and legal persons or process data collected by others
• [Must] Data altruism organizations must comply with GDPR for data processing</t>
        </is>
      </c>
      <c r="N694" s="11" t="inlineStr">
        <is>
          <t>Recognised data altruism organisations should be able to collect relevant data directly from natural and legal persons or to process data collected by others.</t>
        </is>
      </c>
      <c r="O694" s="12" t="inlineStr">
        <is>
          <t>Open PDF</t>
        </is>
      </c>
    </row>
    <row r="695">
      <c r="A695" t="inlineStr">
        <is>
          <t>GDPR</t>
        </is>
      </c>
      <c r="B695" t="inlineStr">
        <is>
          <t>CELEX_52023PC0360_EN_TXT (GDPR - Row 13)</t>
        </is>
      </c>
      <c r="C695" t="inlineStr">
        <is>
          <t>1</t>
        </is>
      </c>
      <c r="D695" s="11" t="inlineStr">
        <is>
          <t>Regulation evaluation timeline and scope</t>
        </is>
      </c>
      <c r="E695" t="inlineStr">
        <is>
          <t>2–4</t>
        </is>
      </c>
      <c r="F695" t="inlineStr">
        <is>
          <t>None</t>
        </is>
      </c>
      <c r="G695" t="inlineStr">
        <is>
          <t>High (explicit)</t>
        </is>
      </c>
      <c r="H695" s="11" t="inlineStr">
        <is>
          <t>Governance</t>
        </is>
      </c>
      <c r="I695" s="11" t="inlineStr"/>
      <c r="J695" t="inlineStr"/>
      <c r="K695"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695" s="11" t="inlineStr"/>
      <c r="M695"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695"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695" s="12" t="inlineStr">
        <is>
          <t>Open PDF</t>
        </is>
      </c>
    </row>
    <row r="696">
      <c r="A696" t="inlineStr">
        <is>
          <t>GDPR</t>
        </is>
      </c>
      <c r="B696" t="inlineStr">
        <is>
          <t>CELEX_52023PC0360_EN_TXT (GDPR - Row 13)</t>
        </is>
      </c>
      <c r="C696" t="inlineStr">
        <is>
          <t>1</t>
        </is>
      </c>
      <c r="D696" s="11" t="inlineStr">
        <is>
          <t>Regulation evaluation timeline and scope</t>
        </is>
      </c>
      <c r="E696" t="inlineStr">
        <is>
          <t>27–28</t>
        </is>
      </c>
      <c r="F696" t="inlineStr">
        <is>
          <t>None</t>
        </is>
      </c>
      <c r="G696" t="inlineStr">
        <is>
          <t>High (explicit)</t>
        </is>
      </c>
      <c r="H696" s="11" t="inlineStr">
        <is>
          <t>Governance</t>
        </is>
      </c>
      <c r="I696" s="11" t="inlineStr"/>
      <c r="J696" t="inlineStr"/>
      <c r="K696"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696" s="11" t="inlineStr"/>
      <c r="M696"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696"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696" s="12" t="inlineStr">
        <is>
          <t>Open PDF</t>
        </is>
      </c>
    </row>
    <row r="697">
      <c r="A697" t="inlineStr">
        <is>
          <t>GDPR</t>
        </is>
      </c>
      <c r="B697" t="inlineStr">
        <is>
          <t>CELEX_52023PC0360_EN_TXT (GDPR - Row 13)</t>
        </is>
      </c>
      <c r="C697" t="inlineStr">
        <is>
          <t>1</t>
        </is>
      </c>
      <c r="D697" s="11" t="inlineStr">
        <is>
          <t>Regulation evaluation timeline and scope</t>
        </is>
      </c>
      <c r="E697" t="inlineStr">
        <is>
          <t>31</t>
        </is>
      </c>
      <c r="F697" t="inlineStr">
        <is>
          <t>None</t>
        </is>
      </c>
      <c r="G697" t="inlineStr">
        <is>
          <t>High (explicit)</t>
        </is>
      </c>
      <c r="H697" s="11" t="inlineStr">
        <is>
          <t>Governance</t>
        </is>
      </c>
      <c r="I697" s="11" t="inlineStr"/>
      <c r="J697" t="inlineStr"/>
      <c r="K697"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697" s="11" t="inlineStr"/>
      <c r="M697"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697"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697" s="12" t="inlineStr">
        <is>
          <t>Open PDF</t>
        </is>
      </c>
    </row>
    <row r="698">
      <c r="A698" t="inlineStr">
        <is>
          <t>GDPR</t>
        </is>
      </c>
      <c r="B698" t="inlineStr">
        <is>
          <t>CELEX_52023PC0360_EN_TXT (GDPR - Row 13)</t>
        </is>
      </c>
      <c r="C698" t="inlineStr">
        <is>
          <t>1</t>
        </is>
      </c>
      <c r="D698" s="11" t="inlineStr">
        <is>
          <t>Regulation evaluation timeline and scope</t>
        </is>
      </c>
      <c r="E698" t="inlineStr">
        <is>
          <t>32</t>
        </is>
      </c>
      <c r="F698" t="inlineStr">
        <is>
          <t>None</t>
        </is>
      </c>
      <c r="G698" t="inlineStr">
        <is>
          <t>High (explicit)</t>
        </is>
      </c>
      <c r="H698" s="11" t="inlineStr">
        <is>
          <t>Governance</t>
        </is>
      </c>
      <c r="I698" s="11" t="inlineStr"/>
      <c r="J698" t="inlineStr"/>
      <c r="K698"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698" s="11" t="inlineStr"/>
      <c r="M698"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698"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698" s="12" t="inlineStr">
        <is>
          <t>Open PDF</t>
        </is>
      </c>
    </row>
    <row r="699">
      <c r="A699" t="inlineStr">
        <is>
          <t>GDPR</t>
        </is>
      </c>
      <c r="B699" t="inlineStr">
        <is>
          <t>CELEX_52023PC0360_EN_TXT (GDPR - Row 13)</t>
        </is>
      </c>
      <c r="C699" t="inlineStr">
        <is>
          <t>1</t>
        </is>
      </c>
      <c r="D699" s="11" t="inlineStr">
        <is>
          <t>Regulation evaluation timeline and scope</t>
        </is>
      </c>
      <c r="E699" t="inlineStr">
        <is>
          <t>32</t>
        </is>
      </c>
      <c r="F699" t="inlineStr">
        <is>
          <t>None</t>
        </is>
      </c>
      <c r="G699" t="inlineStr">
        <is>
          <t>High (explicit)</t>
        </is>
      </c>
      <c r="H699" s="11" t="inlineStr">
        <is>
          <t>Governance</t>
        </is>
      </c>
      <c r="I699" s="11" t="inlineStr"/>
      <c r="J699" t="inlineStr"/>
      <c r="K699"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699" s="11" t="inlineStr"/>
      <c r="M699"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699"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699" s="12" t="inlineStr">
        <is>
          <t>Open PDF</t>
        </is>
      </c>
    </row>
    <row r="700">
      <c r="A700" t="inlineStr">
        <is>
          <t>GDPR</t>
        </is>
      </c>
      <c r="B700" t="inlineStr">
        <is>
          <t>CELEX_52023PC0360_EN_TXT (GDPR - Row 13)</t>
        </is>
      </c>
      <c r="C700" t="inlineStr">
        <is>
          <t>1</t>
        </is>
      </c>
      <c r="D700" s="11" t="inlineStr">
        <is>
          <t>Regulation evaluation timeline and scope</t>
        </is>
      </c>
      <c r="E700" t="inlineStr">
        <is>
          <t>34</t>
        </is>
      </c>
      <c r="F700" t="inlineStr">
        <is>
          <t>None</t>
        </is>
      </c>
      <c r="G700" t="inlineStr">
        <is>
          <t>High (explicit)</t>
        </is>
      </c>
      <c r="H700" s="11" t="inlineStr">
        <is>
          <t>Governance</t>
        </is>
      </c>
      <c r="I700" s="11" t="inlineStr"/>
      <c r="J700" t="inlineStr"/>
      <c r="K700"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0" s="11" t="inlineStr"/>
      <c r="M700"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0"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0" s="12" t="inlineStr">
        <is>
          <t>Open PDF</t>
        </is>
      </c>
    </row>
    <row r="701">
      <c r="A701" t="inlineStr">
        <is>
          <t>GDPR</t>
        </is>
      </c>
      <c r="B701" t="inlineStr">
        <is>
          <t>CELEX_52023PC0360_EN_TXT (GDPR - Row 13)</t>
        </is>
      </c>
      <c r="C701" t="inlineStr">
        <is>
          <t>1</t>
        </is>
      </c>
      <c r="D701" s="11" t="inlineStr">
        <is>
          <t>Regulation evaluation timeline and scope</t>
        </is>
      </c>
      <c r="E701" t="inlineStr">
        <is>
          <t>34–36</t>
        </is>
      </c>
      <c r="F701" t="inlineStr">
        <is>
          <t>None</t>
        </is>
      </c>
      <c r="G701" t="inlineStr">
        <is>
          <t>High (explicit)</t>
        </is>
      </c>
      <c r="H701" s="11" t="inlineStr">
        <is>
          <t>Governance</t>
        </is>
      </c>
      <c r="I701" s="11" t="inlineStr"/>
      <c r="J701" t="inlineStr"/>
      <c r="K701"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1" s="11" t="inlineStr"/>
      <c r="M701"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1"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1" s="12" t="inlineStr">
        <is>
          <t>Open PDF</t>
        </is>
      </c>
    </row>
    <row r="702">
      <c r="A702" t="inlineStr">
        <is>
          <t>GDPR</t>
        </is>
      </c>
      <c r="B702" t="inlineStr">
        <is>
          <t>CELEX_52023PC0360_EN_TXT (GDPR - Row 13)</t>
        </is>
      </c>
      <c r="C702" t="inlineStr">
        <is>
          <t>1</t>
        </is>
      </c>
      <c r="D702" s="11" t="inlineStr">
        <is>
          <t>Regulation evaluation timeline and scope</t>
        </is>
      </c>
      <c r="E702" t="inlineStr">
        <is>
          <t>39</t>
        </is>
      </c>
      <c r="F702" t="inlineStr">
        <is>
          <t>None</t>
        </is>
      </c>
      <c r="G702" t="inlineStr">
        <is>
          <t>High (explicit)</t>
        </is>
      </c>
      <c r="H702" s="11" t="inlineStr">
        <is>
          <t>Governance</t>
        </is>
      </c>
      <c r="I702" s="11" t="inlineStr"/>
      <c r="J702" t="inlineStr"/>
      <c r="K702"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2" s="11" t="inlineStr"/>
      <c r="M702"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2"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2" s="12" t="inlineStr">
        <is>
          <t>Open PDF</t>
        </is>
      </c>
    </row>
    <row r="703">
      <c r="A703" t="inlineStr">
        <is>
          <t>GDPR</t>
        </is>
      </c>
      <c r="B703" t="inlineStr">
        <is>
          <t>CELEX_52023PC0360_EN_TXT (GDPR - Row 13)</t>
        </is>
      </c>
      <c r="C703" t="inlineStr">
        <is>
          <t>1</t>
        </is>
      </c>
      <c r="D703" s="11" t="inlineStr">
        <is>
          <t>Regulation evaluation timeline and scope</t>
        </is>
      </c>
      <c r="E703" t="inlineStr">
        <is>
          <t>39–40</t>
        </is>
      </c>
      <c r="F703" t="inlineStr">
        <is>
          <t>None</t>
        </is>
      </c>
      <c r="G703" t="inlineStr">
        <is>
          <t>High (explicit)</t>
        </is>
      </c>
      <c r="H703" s="11" t="inlineStr">
        <is>
          <t>Governance</t>
        </is>
      </c>
      <c r="I703" s="11" t="inlineStr"/>
      <c r="J703" t="inlineStr"/>
      <c r="K703"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3" s="11" t="inlineStr"/>
      <c r="M703"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3"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3" s="12" t="inlineStr">
        <is>
          <t>Open PDF</t>
        </is>
      </c>
    </row>
    <row r="704">
      <c r="A704" t="inlineStr">
        <is>
          <t>GDPR</t>
        </is>
      </c>
      <c r="B704" t="inlineStr">
        <is>
          <t>CELEX_52023PC0360_EN_TXT (GDPR - Row 13)</t>
        </is>
      </c>
      <c r="C704" t="inlineStr">
        <is>
          <t>1</t>
        </is>
      </c>
      <c r="D704" s="11" t="inlineStr">
        <is>
          <t>Regulation evaluation timeline and scope</t>
        </is>
      </c>
      <c r="E704" t="inlineStr">
        <is>
          <t>41</t>
        </is>
      </c>
      <c r="F704" t="inlineStr">
        <is>
          <t>None</t>
        </is>
      </c>
      <c r="G704" t="inlineStr">
        <is>
          <t>High (explicit)</t>
        </is>
      </c>
      <c r="H704" s="11" t="inlineStr">
        <is>
          <t>Governance</t>
        </is>
      </c>
      <c r="I704" s="11" t="inlineStr"/>
      <c r="J704" t="inlineStr"/>
      <c r="K704"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4" s="11" t="inlineStr"/>
      <c r="M704"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4"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4" s="12" t="inlineStr">
        <is>
          <t>Open PDF</t>
        </is>
      </c>
    </row>
    <row r="705">
      <c r="A705" t="inlineStr">
        <is>
          <t>GDPR</t>
        </is>
      </c>
      <c r="B705" t="inlineStr">
        <is>
          <t>CELEX_52023PC0360_EN_TXT (GDPR - Row 13)</t>
        </is>
      </c>
      <c r="C705" t="inlineStr">
        <is>
          <t>1</t>
        </is>
      </c>
      <c r="D705" s="11" t="inlineStr">
        <is>
          <t>Regulation evaluation timeline and scope</t>
        </is>
      </c>
      <c r="E705" t="inlineStr">
        <is>
          <t>42</t>
        </is>
      </c>
      <c r="F705" t="inlineStr">
        <is>
          <t>None</t>
        </is>
      </c>
      <c r="G705" t="inlineStr">
        <is>
          <t>High (explicit)</t>
        </is>
      </c>
      <c r="H705" s="11" t="inlineStr">
        <is>
          <t>Governance</t>
        </is>
      </c>
      <c r="I705" s="11" t="inlineStr"/>
      <c r="J705" t="inlineStr"/>
      <c r="K705"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5" s="11" t="inlineStr"/>
      <c r="M705"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5"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5" s="12" t="inlineStr">
        <is>
          <t>Open PDF</t>
        </is>
      </c>
    </row>
    <row r="706">
      <c r="A706" t="inlineStr">
        <is>
          <t>GDPR</t>
        </is>
      </c>
      <c r="B706" t="inlineStr">
        <is>
          <t>CELEX_52023PC0360_EN_TXT (GDPR - Row 13)</t>
        </is>
      </c>
      <c r="C706" t="inlineStr">
        <is>
          <t>1</t>
        </is>
      </c>
      <c r="D706" s="11" t="inlineStr">
        <is>
          <t>Regulation evaluation timeline and scope</t>
        </is>
      </c>
      <c r="E706" t="inlineStr">
        <is>
          <t>42–44</t>
        </is>
      </c>
      <c r="F706" t="inlineStr">
        <is>
          <t>None</t>
        </is>
      </c>
      <c r="G706" t="inlineStr">
        <is>
          <t>High (explicit)</t>
        </is>
      </c>
      <c r="H706" s="11" t="inlineStr">
        <is>
          <t>Governance</t>
        </is>
      </c>
      <c r="I706" s="11" t="inlineStr"/>
      <c r="J706" t="inlineStr"/>
      <c r="K706"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6" s="11" t="inlineStr"/>
      <c r="M706"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6"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6" s="12" t="inlineStr">
        <is>
          <t>Open PDF</t>
        </is>
      </c>
    </row>
    <row r="707">
      <c r="A707" t="inlineStr">
        <is>
          <t>GDPR</t>
        </is>
      </c>
      <c r="B707" t="inlineStr">
        <is>
          <t>CELEX_52023PC0360_EN_TXT (GDPR - Row 13)</t>
        </is>
      </c>
      <c r="C707" t="inlineStr">
        <is>
          <t>1</t>
        </is>
      </c>
      <c r="D707" s="11" t="inlineStr">
        <is>
          <t>Regulation evaluation timeline and scope</t>
        </is>
      </c>
      <c r="E707" t="inlineStr">
        <is>
          <t>44</t>
        </is>
      </c>
      <c r="F707" t="inlineStr">
        <is>
          <t>None</t>
        </is>
      </c>
      <c r="G707" t="inlineStr">
        <is>
          <t>High (explicit)</t>
        </is>
      </c>
      <c r="H707" s="11" t="inlineStr">
        <is>
          <t>Governance</t>
        </is>
      </c>
      <c r="I707" s="11" t="inlineStr"/>
      <c r="J707" t="inlineStr"/>
      <c r="K707"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7" s="11" t="inlineStr"/>
      <c r="M707"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7"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7" s="12" t="inlineStr">
        <is>
          <t>Open PDF</t>
        </is>
      </c>
    </row>
    <row r="708">
      <c r="A708" t="inlineStr">
        <is>
          <t>GDPR</t>
        </is>
      </c>
      <c r="B708" t="inlineStr">
        <is>
          <t>CELEX_52023PC0360_EN_TXT (GDPR - Row 13)</t>
        </is>
      </c>
      <c r="C708" t="inlineStr">
        <is>
          <t>1</t>
        </is>
      </c>
      <c r="D708" s="11" t="inlineStr">
        <is>
          <t>Regulation evaluation timeline and scope</t>
        </is>
      </c>
      <c r="E708" t="inlineStr">
        <is>
          <t>45</t>
        </is>
      </c>
      <c r="F708" t="inlineStr">
        <is>
          <t>None</t>
        </is>
      </c>
      <c r="G708" t="inlineStr">
        <is>
          <t>High (explicit)</t>
        </is>
      </c>
      <c r="H708" s="11" t="inlineStr">
        <is>
          <t>Governance</t>
        </is>
      </c>
      <c r="I708" s="11" t="inlineStr"/>
      <c r="J708" t="inlineStr"/>
      <c r="K708"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8" s="11" t="inlineStr"/>
      <c r="M708"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8"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8" s="12" t="inlineStr">
        <is>
          <t>Open PDF</t>
        </is>
      </c>
    </row>
    <row r="709">
      <c r="A709" t="inlineStr">
        <is>
          <t>GDPR</t>
        </is>
      </c>
      <c r="B709" t="inlineStr">
        <is>
          <t>CELEX_52023PC0360_EN_TXT (GDPR - Row 13)</t>
        </is>
      </c>
      <c r="C709" t="inlineStr">
        <is>
          <t>1</t>
        </is>
      </c>
      <c r="D709" s="11" t="inlineStr">
        <is>
          <t>Regulation evaluation timeline and scope</t>
        </is>
      </c>
      <c r="E709" t="inlineStr">
        <is>
          <t>46–47</t>
        </is>
      </c>
      <c r="F709" t="inlineStr">
        <is>
          <t>None</t>
        </is>
      </c>
      <c r="G709" t="inlineStr">
        <is>
          <t>High (explicit)</t>
        </is>
      </c>
      <c r="H709" s="11" t="inlineStr">
        <is>
          <t>Governance</t>
        </is>
      </c>
      <c r="I709" s="11" t="inlineStr"/>
      <c r="J709" t="inlineStr"/>
      <c r="K709"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09" s="11" t="inlineStr"/>
      <c r="M709"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09"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09" s="12" t="inlineStr">
        <is>
          <t>Open PDF</t>
        </is>
      </c>
    </row>
    <row r="710">
      <c r="A710" t="inlineStr">
        <is>
          <t>GDPR</t>
        </is>
      </c>
      <c r="B710" t="inlineStr">
        <is>
          <t>CELEX_52023PC0360_EN_TXT (GDPR - Row 13)</t>
        </is>
      </c>
      <c r="C710" t="inlineStr">
        <is>
          <t>1</t>
        </is>
      </c>
      <c r="D710" s="11" t="inlineStr">
        <is>
          <t>Regulation evaluation timeline and scope</t>
        </is>
      </c>
      <c r="E710" t="inlineStr">
        <is>
          <t>47–48</t>
        </is>
      </c>
      <c r="F710" t="inlineStr">
        <is>
          <t>None</t>
        </is>
      </c>
      <c r="G710" t="inlineStr">
        <is>
          <t>High (explicit)</t>
        </is>
      </c>
      <c r="H710" s="11" t="inlineStr">
        <is>
          <t>Governance</t>
        </is>
      </c>
      <c r="I710" s="11" t="inlineStr"/>
      <c r="J710" t="inlineStr"/>
      <c r="K710"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0" s="11" t="inlineStr"/>
      <c r="M710"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0"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0" s="12" t="inlineStr">
        <is>
          <t>Open PDF</t>
        </is>
      </c>
    </row>
    <row r="711">
      <c r="A711" t="inlineStr">
        <is>
          <t>GDPR</t>
        </is>
      </c>
      <c r="B711" t="inlineStr">
        <is>
          <t>CELEX_52023PC0360_EN_TXT (GDPR - Row 13)</t>
        </is>
      </c>
      <c r="C711" t="inlineStr">
        <is>
          <t>1</t>
        </is>
      </c>
      <c r="D711" s="11" t="inlineStr">
        <is>
          <t>Regulation evaluation timeline and scope</t>
        </is>
      </c>
      <c r="E711" t="inlineStr">
        <is>
          <t>48</t>
        </is>
      </c>
      <c r="F711" t="inlineStr">
        <is>
          <t>None</t>
        </is>
      </c>
      <c r="G711" t="inlineStr">
        <is>
          <t>High (explicit)</t>
        </is>
      </c>
      <c r="H711" s="11" t="inlineStr">
        <is>
          <t>Governance</t>
        </is>
      </c>
      <c r="I711" s="11" t="inlineStr"/>
      <c r="J711" t="inlineStr"/>
      <c r="K711"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1" s="11" t="inlineStr"/>
      <c r="M711"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1"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1" s="12" t="inlineStr">
        <is>
          <t>Open PDF</t>
        </is>
      </c>
    </row>
    <row r="712">
      <c r="A712" t="inlineStr">
        <is>
          <t>GDPR</t>
        </is>
      </c>
      <c r="B712" t="inlineStr">
        <is>
          <t>CELEX_52023PC0360_EN_TXT (GDPR - Row 13)</t>
        </is>
      </c>
      <c r="C712" t="inlineStr">
        <is>
          <t>1</t>
        </is>
      </c>
      <c r="D712" s="11" t="inlineStr">
        <is>
          <t>Regulation evaluation timeline and scope</t>
        </is>
      </c>
      <c r="E712" t="inlineStr">
        <is>
          <t>48</t>
        </is>
      </c>
      <c r="F712" t="inlineStr">
        <is>
          <t>None</t>
        </is>
      </c>
      <c r="G712" t="inlineStr">
        <is>
          <t>High (explicit)</t>
        </is>
      </c>
      <c r="H712" s="11" t="inlineStr">
        <is>
          <t>Governance</t>
        </is>
      </c>
      <c r="I712" s="11" t="inlineStr"/>
      <c r="J712" t="inlineStr"/>
      <c r="K712"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2" s="11" t="inlineStr"/>
      <c r="M712"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2"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2" s="12" t="inlineStr">
        <is>
          <t>Open PDF</t>
        </is>
      </c>
    </row>
    <row r="713">
      <c r="A713" t="inlineStr">
        <is>
          <t>GDPR</t>
        </is>
      </c>
      <c r="B713" t="inlineStr">
        <is>
          <t>CELEX_52023PC0360_EN_TXT (GDPR - Row 13)</t>
        </is>
      </c>
      <c r="C713" t="inlineStr">
        <is>
          <t>1</t>
        </is>
      </c>
      <c r="D713" s="11" t="inlineStr">
        <is>
          <t>Regulation evaluation timeline and scope</t>
        </is>
      </c>
      <c r="E713" t="inlineStr">
        <is>
          <t>49</t>
        </is>
      </c>
      <c r="F713" t="inlineStr">
        <is>
          <t>None</t>
        </is>
      </c>
      <c r="G713" t="inlineStr">
        <is>
          <t>High (explicit)</t>
        </is>
      </c>
      <c r="H713" s="11" t="inlineStr">
        <is>
          <t>Governance</t>
        </is>
      </c>
      <c r="I713" s="11" t="inlineStr"/>
      <c r="J713" t="inlineStr"/>
      <c r="K713"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3" s="11" t="inlineStr"/>
      <c r="M713"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3"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3" s="12" t="inlineStr">
        <is>
          <t>Open PDF</t>
        </is>
      </c>
    </row>
    <row r="714">
      <c r="A714" t="inlineStr">
        <is>
          <t>GDPR</t>
        </is>
      </c>
      <c r="B714" t="inlineStr">
        <is>
          <t>CELEX_52023PC0360_EN_TXT (GDPR - Row 13)</t>
        </is>
      </c>
      <c r="C714" t="inlineStr">
        <is>
          <t>1</t>
        </is>
      </c>
      <c r="D714" s="11" t="inlineStr">
        <is>
          <t>Regulation evaluation timeline and scope</t>
        </is>
      </c>
      <c r="E714" t="inlineStr">
        <is>
          <t>49–50</t>
        </is>
      </c>
      <c r="F714" t="inlineStr">
        <is>
          <t>None</t>
        </is>
      </c>
      <c r="G714" t="inlineStr">
        <is>
          <t>High (explicit)</t>
        </is>
      </c>
      <c r="H714" s="11" t="inlineStr">
        <is>
          <t>Governance</t>
        </is>
      </c>
      <c r="I714" s="11" t="inlineStr"/>
      <c r="J714" t="inlineStr"/>
      <c r="K714"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4" s="11" t="inlineStr"/>
      <c r="M714"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4"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4" s="12" t="inlineStr">
        <is>
          <t>Open PDF</t>
        </is>
      </c>
    </row>
    <row r="715">
      <c r="A715" t="inlineStr">
        <is>
          <t>GDPR</t>
        </is>
      </c>
      <c r="B715" t="inlineStr">
        <is>
          <t>CELEX_52023PC0360_EN_TXT (GDPR - Row 13)</t>
        </is>
      </c>
      <c r="C715" t="inlineStr">
        <is>
          <t>1</t>
        </is>
      </c>
      <c r="D715" s="11" t="inlineStr">
        <is>
          <t>Regulation evaluation timeline and scope</t>
        </is>
      </c>
      <c r="E715" t="inlineStr">
        <is>
          <t>50</t>
        </is>
      </c>
      <c r="F715" t="inlineStr">
        <is>
          <t>None</t>
        </is>
      </c>
      <c r="G715" t="inlineStr">
        <is>
          <t>High (explicit)</t>
        </is>
      </c>
      <c r="H715" s="11" t="inlineStr">
        <is>
          <t>Governance</t>
        </is>
      </c>
      <c r="I715" s="11" t="inlineStr"/>
      <c r="J715" t="inlineStr"/>
      <c r="K715"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5" s="11" t="inlineStr"/>
      <c r="M715"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5"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5" s="12" t="inlineStr">
        <is>
          <t>Open PDF</t>
        </is>
      </c>
    </row>
    <row r="716">
      <c r="A716" t="inlineStr">
        <is>
          <t>GDPR</t>
        </is>
      </c>
      <c r="B716" t="inlineStr">
        <is>
          <t>CELEX_52023PC0360_EN_TXT (GDPR - Row 13)</t>
        </is>
      </c>
      <c r="C716" t="inlineStr">
        <is>
          <t>1</t>
        </is>
      </c>
      <c r="D716" s="11" t="inlineStr">
        <is>
          <t>Regulation evaluation timeline and scope</t>
        </is>
      </c>
      <c r="E716" t="inlineStr">
        <is>
          <t>51–52</t>
        </is>
      </c>
      <c r="F716" t="inlineStr">
        <is>
          <t>None</t>
        </is>
      </c>
      <c r="G716" t="inlineStr">
        <is>
          <t>High (explicit)</t>
        </is>
      </c>
      <c r="H716" s="11" t="inlineStr">
        <is>
          <t>Governance</t>
        </is>
      </c>
      <c r="I716" s="11" t="inlineStr"/>
      <c r="J716" t="inlineStr"/>
      <c r="K716" s="11" t="inlineStr">
        <is>
          <t>Four years after the Regulation's entry into force,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 on data users.</t>
        </is>
      </c>
      <c r="L716" s="11" t="inlineStr"/>
      <c r="M716" s="11" t="inlineStr">
        <is>
          <t>• [Must] By [OP please insert the date = 4 years after the date of entry into application of this Regulation, the Commission shall carry out an evaluation of this Regulation
• [Must] The evaluation shall assess other categories or sets of data to be made accessible
• [Must] The evaluation shall assess the exclusion from the scope of certain categories of data and entities
• [Must] The evaluation shall assess changes in contractual practices of data holders and data users
• [Must] The evaluation shall assess the operation of financial data sharing schemes
• [Must] The evaluation shall assess the inclusion of other types of entities to those entities granted the right of access to data
• [Must] The evaluation shall assess the impact of compensation on the ability of data users to participate in financial data sharing schemes</t>
        </is>
      </c>
      <c r="N716" s="11"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c r="O716" s="12" t="inlineStr">
        <is>
          <t>Open PDF</t>
        </is>
      </c>
    </row>
    <row r="717">
      <c r="A717" t="inlineStr">
        <is>
          <t>GDPR</t>
        </is>
      </c>
      <c r="B717" t="inlineStr">
        <is>
          <t>CELEX_52023PC0360_EN_TXT (GDPR - Row 13)</t>
        </is>
      </c>
      <c r="C717" t="inlineStr">
        <is>
          <t>2</t>
        </is>
      </c>
      <c r="D717" s="11" t="inlineStr">
        <is>
          <t>Financial data access report submission timeline</t>
        </is>
      </c>
      <c r="E717" t="inlineStr">
        <is>
          <t>4–5</t>
        </is>
      </c>
      <c r="F717" t="inlineStr">
        <is>
          <t>None</t>
        </is>
      </c>
      <c r="G717" t="inlineStr">
        <is>
          <t>High (explicit)</t>
        </is>
      </c>
      <c r="H717" s="11" t="inlineStr">
        <is>
          <t>Governance</t>
        </is>
      </c>
      <c r="I717" s="11" t="inlineStr"/>
      <c r="J717" t="inlineStr"/>
      <c r="K717"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17" s="11" t="inlineStr"/>
      <c r="M717"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17"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17" s="12" t="inlineStr">
        <is>
          <t>Open PDF</t>
        </is>
      </c>
    </row>
    <row r="718">
      <c r="A718" t="inlineStr">
        <is>
          <t>GDPR</t>
        </is>
      </c>
      <c r="B718" t="inlineStr">
        <is>
          <t>CELEX_52023PC0360_EN_TXT (GDPR - Row 13)</t>
        </is>
      </c>
      <c r="C718" t="inlineStr">
        <is>
          <t>2</t>
        </is>
      </c>
      <c r="D718" s="11" t="inlineStr">
        <is>
          <t>Financial data access report submission timeline</t>
        </is>
      </c>
      <c r="E718" t="inlineStr">
        <is>
          <t>28</t>
        </is>
      </c>
      <c r="F718" t="inlineStr">
        <is>
          <t>None</t>
        </is>
      </c>
      <c r="G718" t="inlineStr">
        <is>
          <t>High (explicit)</t>
        </is>
      </c>
      <c r="H718" s="11" t="inlineStr">
        <is>
          <t>Governance</t>
        </is>
      </c>
      <c r="I718" s="11" t="inlineStr"/>
      <c r="J718" t="inlineStr"/>
      <c r="K718"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18" s="11" t="inlineStr"/>
      <c r="M718"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18"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18" s="12" t="inlineStr">
        <is>
          <t>Open PDF</t>
        </is>
      </c>
    </row>
    <row r="719">
      <c r="A719" t="inlineStr">
        <is>
          <t>GDPR</t>
        </is>
      </c>
      <c r="B719" t="inlineStr">
        <is>
          <t>CELEX_52023PC0360_EN_TXT (GDPR - Row 13)</t>
        </is>
      </c>
      <c r="C719" t="inlineStr">
        <is>
          <t>2</t>
        </is>
      </c>
      <c r="D719" s="11" t="inlineStr">
        <is>
          <t>Financial data access report submission timeline</t>
        </is>
      </c>
      <c r="E719" t="inlineStr">
        <is>
          <t>31</t>
        </is>
      </c>
      <c r="F719" t="inlineStr">
        <is>
          <t>None</t>
        </is>
      </c>
      <c r="G719" t="inlineStr">
        <is>
          <t>High (explicit)</t>
        </is>
      </c>
      <c r="H719" s="11" t="inlineStr">
        <is>
          <t>Governance</t>
        </is>
      </c>
      <c r="I719" s="11" t="inlineStr"/>
      <c r="J719" t="inlineStr"/>
      <c r="K719"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19" s="11" t="inlineStr"/>
      <c r="M719"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19"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19" s="12" t="inlineStr">
        <is>
          <t>Open PDF</t>
        </is>
      </c>
    </row>
    <row r="720">
      <c r="A720" t="inlineStr">
        <is>
          <t>GDPR</t>
        </is>
      </c>
      <c r="B720" t="inlineStr">
        <is>
          <t>CELEX_52023PC0360_EN_TXT (GDPR - Row 13)</t>
        </is>
      </c>
      <c r="C720" t="inlineStr">
        <is>
          <t>2</t>
        </is>
      </c>
      <c r="D720" s="11" t="inlineStr">
        <is>
          <t>Financial data access report submission timeline</t>
        </is>
      </c>
      <c r="E720" t="inlineStr">
        <is>
          <t>32</t>
        </is>
      </c>
      <c r="F720" t="inlineStr">
        <is>
          <t>None</t>
        </is>
      </c>
      <c r="G720" t="inlineStr">
        <is>
          <t>High (explicit)</t>
        </is>
      </c>
      <c r="H720" s="11" t="inlineStr">
        <is>
          <t>Governance</t>
        </is>
      </c>
      <c r="I720" s="11" t="inlineStr"/>
      <c r="J720" t="inlineStr"/>
      <c r="K720"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0" s="11" t="inlineStr"/>
      <c r="M720"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0"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0" s="12" t="inlineStr">
        <is>
          <t>Open PDF</t>
        </is>
      </c>
    </row>
    <row r="721">
      <c r="A721" t="inlineStr">
        <is>
          <t>GDPR</t>
        </is>
      </c>
      <c r="B721" t="inlineStr">
        <is>
          <t>CELEX_52023PC0360_EN_TXT (GDPR - Row 13)</t>
        </is>
      </c>
      <c r="C721" t="inlineStr">
        <is>
          <t>2</t>
        </is>
      </c>
      <c r="D721" s="11" t="inlineStr">
        <is>
          <t>Financial data access report submission timeline</t>
        </is>
      </c>
      <c r="E721" t="inlineStr">
        <is>
          <t>32</t>
        </is>
      </c>
      <c r="F721" t="inlineStr">
        <is>
          <t>None</t>
        </is>
      </c>
      <c r="G721" t="inlineStr">
        <is>
          <t>High (explicit)</t>
        </is>
      </c>
      <c r="H721" s="11" t="inlineStr">
        <is>
          <t>Governance</t>
        </is>
      </c>
      <c r="I721" s="11" t="inlineStr"/>
      <c r="J721" t="inlineStr"/>
      <c r="K721"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1" s="11" t="inlineStr"/>
      <c r="M721"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1"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1" s="12" t="inlineStr">
        <is>
          <t>Open PDF</t>
        </is>
      </c>
    </row>
    <row r="722">
      <c r="A722" t="inlineStr">
        <is>
          <t>GDPR</t>
        </is>
      </c>
      <c r="B722" t="inlineStr">
        <is>
          <t>CELEX_52023PC0360_EN_TXT (GDPR - Row 13)</t>
        </is>
      </c>
      <c r="C722" t="inlineStr">
        <is>
          <t>2</t>
        </is>
      </c>
      <c r="D722" s="11" t="inlineStr">
        <is>
          <t>Financial data access report submission timeline</t>
        </is>
      </c>
      <c r="E722" t="inlineStr">
        <is>
          <t>33</t>
        </is>
      </c>
      <c r="F722" t="inlineStr">
        <is>
          <t>None</t>
        </is>
      </c>
      <c r="G722" t="inlineStr">
        <is>
          <t>High (explicit)</t>
        </is>
      </c>
      <c r="H722" s="11" t="inlineStr">
        <is>
          <t>Governance</t>
        </is>
      </c>
      <c r="I722" s="11" t="inlineStr"/>
      <c r="J722" t="inlineStr"/>
      <c r="K722"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2" s="11" t="inlineStr"/>
      <c r="M722"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2"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2" s="12" t="inlineStr">
        <is>
          <t>Open PDF</t>
        </is>
      </c>
    </row>
    <row r="723">
      <c r="A723" t="inlineStr">
        <is>
          <t>GDPR</t>
        </is>
      </c>
      <c r="B723" t="inlineStr">
        <is>
          <t>CELEX_52023PC0360_EN_TXT (GDPR - Row 13)</t>
        </is>
      </c>
      <c r="C723" t="inlineStr">
        <is>
          <t>2</t>
        </is>
      </c>
      <c r="D723" s="11" t="inlineStr">
        <is>
          <t>Financial data access report submission timeline</t>
        </is>
      </c>
      <c r="E723" t="inlineStr">
        <is>
          <t>34</t>
        </is>
      </c>
      <c r="F723" t="inlineStr">
        <is>
          <t>None</t>
        </is>
      </c>
      <c r="G723" t="inlineStr">
        <is>
          <t>High (explicit)</t>
        </is>
      </c>
      <c r="H723" s="11" t="inlineStr">
        <is>
          <t>Governance</t>
        </is>
      </c>
      <c r="I723" s="11" t="inlineStr"/>
      <c r="J723" t="inlineStr"/>
      <c r="K723"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3" s="11" t="inlineStr"/>
      <c r="M723"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3"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3" s="12" t="inlineStr">
        <is>
          <t>Open PDF</t>
        </is>
      </c>
    </row>
    <row r="724">
      <c r="A724" t="inlineStr">
        <is>
          <t>GDPR</t>
        </is>
      </c>
      <c r="B724" t="inlineStr">
        <is>
          <t>CELEX_52023PC0360_EN_TXT (GDPR - Row 13)</t>
        </is>
      </c>
      <c r="C724" t="inlineStr">
        <is>
          <t>2</t>
        </is>
      </c>
      <c r="D724" s="11" t="inlineStr">
        <is>
          <t>Financial data access report submission timeline</t>
        </is>
      </c>
      <c r="E724" t="inlineStr">
        <is>
          <t>37–38</t>
        </is>
      </c>
      <c r="F724" t="inlineStr">
        <is>
          <t>None</t>
        </is>
      </c>
      <c r="G724" t="inlineStr">
        <is>
          <t>High (explicit)</t>
        </is>
      </c>
      <c r="H724" s="11" t="inlineStr">
        <is>
          <t>Governance</t>
        </is>
      </c>
      <c r="I724" s="11" t="inlineStr"/>
      <c r="J724" t="inlineStr"/>
      <c r="K724"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4" s="11" t="inlineStr"/>
      <c r="M724"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4"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4" s="12" t="inlineStr">
        <is>
          <t>Open PDF</t>
        </is>
      </c>
    </row>
    <row r="725">
      <c r="A725" t="inlineStr">
        <is>
          <t>GDPR</t>
        </is>
      </c>
      <c r="B725" t="inlineStr">
        <is>
          <t>CELEX_52023PC0360_EN_TXT (GDPR - Row 13)</t>
        </is>
      </c>
      <c r="C725" t="inlineStr">
        <is>
          <t>2</t>
        </is>
      </c>
      <c r="D725" s="11" t="inlineStr">
        <is>
          <t>Financial data access report submission timeline</t>
        </is>
      </c>
      <c r="E725" t="inlineStr">
        <is>
          <t>39</t>
        </is>
      </c>
      <c r="F725" t="inlineStr">
        <is>
          <t>None</t>
        </is>
      </c>
      <c r="G725" t="inlineStr">
        <is>
          <t>High (explicit)</t>
        </is>
      </c>
      <c r="H725" s="11" t="inlineStr">
        <is>
          <t>Governance</t>
        </is>
      </c>
      <c r="I725" s="11" t="inlineStr"/>
      <c r="J725" t="inlineStr"/>
      <c r="K725"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5" s="11" t="inlineStr"/>
      <c r="M725"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5"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5" s="12" t="inlineStr">
        <is>
          <t>Open PDF</t>
        </is>
      </c>
    </row>
    <row r="726">
      <c r="A726" t="inlineStr">
        <is>
          <t>GDPR</t>
        </is>
      </c>
      <c r="B726" t="inlineStr">
        <is>
          <t>CELEX_52023PC0360_EN_TXT (GDPR - Row 13)</t>
        </is>
      </c>
      <c r="C726" t="inlineStr">
        <is>
          <t>2</t>
        </is>
      </c>
      <c r="D726" s="11" t="inlineStr">
        <is>
          <t>Financial data access report submission timeline</t>
        </is>
      </c>
      <c r="E726" t="inlineStr">
        <is>
          <t>40</t>
        </is>
      </c>
      <c r="F726" t="inlineStr">
        <is>
          <t>None</t>
        </is>
      </c>
      <c r="G726" t="inlineStr">
        <is>
          <t>High (explicit)</t>
        </is>
      </c>
      <c r="H726" s="11" t="inlineStr">
        <is>
          <t>Governance</t>
        </is>
      </c>
      <c r="I726" s="11" t="inlineStr"/>
      <c r="J726" t="inlineStr"/>
      <c r="K726"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6" s="11" t="inlineStr"/>
      <c r="M726"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6"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6" s="12" t="inlineStr">
        <is>
          <t>Open PDF</t>
        </is>
      </c>
    </row>
    <row r="727">
      <c r="A727" t="inlineStr">
        <is>
          <t>GDPR</t>
        </is>
      </c>
      <c r="B727" t="inlineStr">
        <is>
          <t>CELEX_52023PC0360_EN_TXT (GDPR - Row 13)</t>
        </is>
      </c>
      <c r="C727" t="inlineStr">
        <is>
          <t>2</t>
        </is>
      </c>
      <c r="D727" s="11" t="inlineStr">
        <is>
          <t>Financial data access report submission timeline</t>
        </is>
      </c>
      <c r="E727" t="inlineStr">
        <is>
          <t>42</t>
        </is>
      </c>
      <c r="F727" t="inlineStr">
        <is>
          <t>None</t>
        </is>
      </c>
      <c r="G727" t="inlineStr">
        <is>
          <t>High (explicit)</t>
        </is>
      </c>
      <c r="H727" s="11" t="inlineStr">
        <is>
          <t>Governance</t>
        </is>
      </c>
      <c r="I727" s="11" t="inlineStr"/>
      <c r="J727" t="inlineStr"/>
      <c r="K727"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7" s="11" t="inlineStr"/>
      <c r="M727"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7"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7" s="12" t="inlineStr">
        <is>
          <t>Open PDF</t>
        </is>
      </c>
    </row>
    <row r="728">
      <c r="A728" t="inlineStr">
        <is>
          <t>GDPR</t>
        </is>
      </c>
      <c r="B728" t="inlineStr">
        <is>
          <t>CELEX_52023PC0360_EN_TXT (GDPR - Row 13)</t>
        </is>
      </c>
      <c r="C728" t="inlineStr">
        <is>
          <t>2</t>
        </is>
      </c>
      <c r="D728" s="11" t="inlineStr">
        <is>
          <t>Financial data access report submission timeline</t>
        </is>
      </c>
      <c r="E728" t="inlineStr">
        <is>
          <t>44</t>
        </is>
      </c>
      <c r="F728" t="inlineStr">
        <is>
          <t>None</t>
        </is>
      </c>
      <c r="G728" t="inlineStr">
        <is>
          <t>High (explicit)</t>
        </is>
      </c>
      <c r="H728" s="11" t="inlineStr">
        <is>
          <t>Governance</t>
        </is>
      </c>
      <c r="I728" s="11" t="inlineStr"/>
      <c r="J728" t="inlineStr"/>
      <c r="K728"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8" s="11" t="inlineStr"/>
      <c r="M728"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8"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8" s="12" t="inlineStr">
        <is>
          <t>Open PDF</t>
        </is>
      </c>
    </row>
    <row r="729">
      <c r="A729" t="inlineStr">
        <is>
          <t>GDPR</t>
        </is>
      </c>
      <c r="B729" t="inlineStr">
        <is>
          <t>CELEX_52023PC0360_EN_TXT (GDPR - Row 13)</t>
        </is>
      </c>
      <c r="C729" t="inlineStr">
        <is>
          <t>2</t>
        </is>
      </c>
      <c r="D729" s="11" t="inlineStr">
        <is>
          <t>Financial data access report submission timeline</t>
        </is>
      </c>
      <c r="E729" t="inlineStr">
        <is>
          <t>44–45</t>
        </is>
      </c>
      <c r="F729" t="inlineStr">
        <is>
          <t>None</t>
        </is>
      </c>
      <c r="G729" t="inlineStr">
        <is>
          <t>High (explicit)</t>
        </is>
      </c>
      <c r="H729" s="11" t="inlineStr">
        <is>
          <t>Governance</t>
        </is>
      </c>
      <c r="I729" s="11" t="inlineStr"/>
      <c r="J729" t="inlineStr"/>
      <c r="K729"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29" s="11" t="inlineStr"/>
      <c r="M729"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29"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29" s="12" t="inlineStr">
        <is>
          <t>Open PDF</t>
        </is>
      </c>
    </row>
    <row r="730">
      <c r="A730" t="inlineStr">
        <is>
          <t>GDPR</t>
        </is>
      </c>
      <c r="B730" t="inlineStr">
        <is>
          <t>CELEX_52023PC0360_EN_TXT (GDPR - Row 13)</t>
        </is>
      </c>
      <c r="C730" t="inlineStr">
        <is>
          <t>2</t>
        </is>
      </c>
      <c r="D730" s="11" t="inlineStr">
        <is>
          <t>Financial data access report submission timeline</t>
        </is>
      </c>
      <c r="E730" t="inlineStr">
        <is>
          <t>45</t>
        </is>
      </c>
      <c r="F730" t="inlineStr">
        <is>
          <t>None</t>
        </is>
      </c>
      <c r="G730" t="inlineStr">
        <is>
          <t>High (explicit)</t>
        </is>
      </c>
      <c r="H730" s="11" t="inlineStr">
        <is>
          <t>Governance</t>
        </is>
      </c>
      <c r="I730" s="11" t="inlineStr"/>
      <c r="J730" t="inlineStr"/>
      <c r="K730"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0" s="11" t="inlineStr"/>
      <c r="M730"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0"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0" s="12" t="inlineStr">
        <is>
          <t>Open PDF</t>
        </is>
      </c>
    </row>
    <row r="731">
      <c r="A731" t="inlineStr">
        <is>
          <t>GDPR</t>
        </is>
      </c>
      <c r="B731" t="inlineStr">
        <is>
          <t>CELEX_52023PC0360_EN_TXT (GDPR - Row 13)</t>
        </is>
      </c>
      <c r="C731" t="inlineStr">
        <is>
          <t>2</t>
        </is>
      </c>
      <c r="D731" s="11" t="inlineStr">
        <is>
          <t>Financial data access report submission timeline</t>
        </is>
      </c>
      <c r="E731" t="inlineStr">
        <is>
          <t>48</t>
        </is>
      </c>
      <c r="F731" t="inlineStr">
        <is>
          <t>None</t>
        </is>
      </c>
      <c r="G731" t="inlineStr">
        <is>
          <t>High (explicit)</t>
        </is>
      </c>
      <c r="H731" s="11" t="inlineStr">
        <is>
          <t>Governance</t>
        </is>
      </c>
      <c r="I731" s="11" t="inlineStr"/>
      <c r="J731" t="inlineStr"/>
      <c r="K731"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1" s="11" t="inlineStr"/>
      <c r="M731"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1"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1" s="12" t="inlineStr">
        <is>
          <t>Open PDF</t>
        </is>
      </c>
    </row>
    <row r="732">
      <c r="A732" t="inlineStr">
        <is>
          <t>GDPR</t>
        </is>
      </c>
      <c r="B732" t="inlineStr">
        <is>
          <t>CELEX_52023PC0360_EN_TXT (GDPR - Row 13)</t>
        </is>
      </c>
      <c r="C732" t="inlineStr">
        <is>
          <t>2</t>
        </is>
      </c>
      <c r="D732" s="11" t="inlineStr">
        <is>
          <t>Financial data access report submission timeline</t>
        </is>
      </c>
      <c r="E732" t="inlineStr">
        <is>
          <t>48</t>
        </is>
      </c>
      <c r="F732" t="inlineStr">
        <is>
          <t>None</t>
        </is>
      </c>
      <c r="G732" t="inlineStr">
        <is>
          <t>High (explicit)</t>
        </is>
      </c>
      <c r="H732" s="11" t="inlineStr">
        <is>
          <t>Governance</t>
        </is>
      </c>
      <c r="I732" s="11" t="inlineStr"/>
      <c r="J732" t="inlineStr"/>
      <c r="K732"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2" s="11" t="inlineStr"/>
      <c r="M732"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2"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2" s="12" t="inlineStr">
        <is>
          <t>Open PDF</t>
        </is>
      </c>
    </row>
    <row r="733">
      <c r="A733" t="inlineStr">
        <is>
          <t>GDPR</t>
        </is>
      </c>
      <c r="B733" t="inlineStr">
        <is>
          <t>CELEX_52023PC0360_EN_TXT (GDPR - Row 13)</t>
        </is>
      </c>
      <c r="C733" t="inlineStr">
        <is>
          <t>2</t>
        </is>
      </c>
      <c r="D733" s="11" t="inlineStr">
        <is>
          <t>Financial data access report submission timeline</t>
        </is>
      </c>
      <c r="E733" t="inlineStr">
        <is>
          <t>48–49</t>
        </is>
      </c>
      <c r="F733" t="inlineStr">
        <is>
          <t>None</t>
        </is>
      </c>
      <c r="G733" t="inlineStr">
        <is>
          <t>High (explicit)</t>
        </is>
      </c>
      <c r="H733" s="11" t="inlineStr">
        <is>
          <t>Governance</t>
        </is>
      </c>
      <c r="I733" s="11" t="inlineStr"/>
      <c r="J733" t="inlineStr"/>
      <c r="K733"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3" s="11" t="inlineStr"/>
      <c r="M733"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3"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3" s="12" t="inlineStr">
        <is>
          <t>Open PDF</t>
        </is>
      </c>
    </row>
    <row r="734">
      <c r="A734" t="inlineStr">
        <is>
          <t>GDPR</t>
        </is>
      </c>
      <c r="B734" t="inlineStr">
        <is>
          <t>CELEX_52023PC0360_EN_TXT (GDPR - Row 13)</t>
        </is>
      </c>
      <c r="C734" t="inlineStr">
        <is>
          <t>2</t>
        </is>
      </c>
      <c r="D734" s="11" t="inlineStr">
        <is>
          <t>Financial data access report submission timeline</t>
        </is>
      </c>
      <c r="E734" t="inlineStr">
        <is>
          <t>49</t>
        </is>
      </c>
      <c r="F734" t="inlineStr">
        <is>
          <t>None</t>
        </is>
      </c>
      <c r="G734" t="inlineStr">
        <is>
          <t>High (explicit)</t>
        </is>
      </c>
      <c r="H734" s="11" t="inlineStr">
        <is>
          <t>Governance</t>
        </is>
      </c>
      <c r="I734" s="11" t="inlineStr"/>
      <c r="J734" t="inlineStr"/>
      <c r="K734"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4" s="11" t="inlineStr"/>
      <c r="M734"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4"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4" s="12" t="inlineStr">
        <is>
          <t>Open PDF</t>
        </is>
      </c>
    </row>
    <row r="735">
      <c r="A735" t="inlineStr">
        <is>
          <t>GDPR</t>
        </is>
      </c>
      <c r="B735" t="inlineStr">
        <is>
          <t>CELEX_52023PC0360_EN_TXT (GDPR - Row 13)</t>
        </is>
      </c>
      <c r="C735" t="inlineStr">
        <is>
          <t>2</t>
        </is>
      </c>
      <c r="D735" s="11" t="inlineStr">
        <is>
          <t>Financial data access report submission timeline</t>
        </is>
      </c>
      <c r="E735" t="inlineStr">
        <is>
          <t>50</t>
        </is>
      </c>
      <c r="F735" t="inlineStr">
        <is>
          <t>None</t>
        </is>
      </c>
      <c r="G735" t="inlineStr">
        <is>
          <t>High (explicit)</t>
        </is>
      </c>
      <c r="H735" s="11" t="inlineStr">
        <is>
          <t>Governance</t>
        </is>
      </c>
      <c r="I735" s="11" t="inlineStr"/>
      <c r="J735" t="inlineStr"/>
      <c r="K735"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5" s="11" t="inlineStr"/>
      <c r="M735"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5"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5" s="12" t="inlineStr">
        <is>
          <t>Open PDF</t>
        </is>
      </c>
    </row>
    <row r="736">
      <c r="A736" t="inlineStr">
        <is>
          <t>GDPR</t>
        </is>
      </c>
      <c r="B736" t="inlineStr">
        <is>
          <t>CELEX_52023PC0360_EN_TXT (GDPR - Row 13)</t>
        </is>
      </c>
      <c r="C736" t="inlineStr">
        <is>
          <t>2</t>
        </is>
      </c>
      <c r="D736" s="11" t="inlineStr">
        <is>
          <t>Financial data access report submission timeline</t>
        </is>
      </c>
      <c r="E736" t="inlineStr">
        <is>
          <t>50</t>
        </is>
      </c>
      <c r="F736" t="inlineStr">
        <is>
          <t>None</t>
        </is>
      </c>
      <c r="G736" t="inlineStr">
        <is>
          <t>High (explicit)</t>
        </is>
      </c>
      <c r="H736" s="11" t="inlineStr">
        <is>
          <t>Governance</t>
        </is>
      </c>
      <c r="I736" s="11" t="inlineStr"/>
      <c r="J736" t="inlineStr"/>
      <c r="K736"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6" s="11" t="inlineStr"/>
      <c r="M736"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6"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6" s="12" t="inlineStr">
        <is>
          <t>Open PDF</t>
        </is>
      </c>
    </row>
    <row r="737">
      <c r="A737" t="inlineStr">
        <is>
          <t>GDPR</t>
        </is>
      </c>
      <c r="B737" t="inlineStr">
        <is>
          <t>CELEX_52023PC0360_EN_TXT (GDPR - Row 13)</t>
        </is>
      </c>
      <c r="C737" t="inlineStr">
        <is>
          <t>2</t>
        </is>
      </c>
      <c r="D737" s="11" t="inlineStr">
        <is>
          <t>Financial data access report submission timeline</t>
        </is>
      </c>
      <c r="E737" t="inlineStr">
        <is>
          <t>51</t>
        </is>
      </c>
      <c r="F737" t="inlineStr">
        <is>
          <t>None</t>
        </is>
      </c>
      <c r="G737" t="inlineStr">
        <is>
          <t>High (explicit)</t>
        </is>
      </c>
      <c r="H737" s="11" t="inlineStr">
        <is>
          <t>Governance</t>
        </is>
      </c>
      <c r="I737" s="11" t="inlineStr"/>
      <c r="J737" t="inlineStr"/>
      <c r="K737"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7" s="11" t="inlineStr"/>
      <c r="M737"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7"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7" s="12" t="inlineStr">
        <is>
          <t>Open PDF</t>
        </is>
      </c>
    </row>
    <row r="738">
      <c r="A738" t="inlineStr">
        <is>
          <t>GDPR</t>
        </is>
      </c>
      <c r="B738" t="inlineStr">
        <is>
          <t>CELEX_52023PC0360_EN_TXT (GDPR - Row 13)</t>
        </is>
      </c>
      <c r="C738" t="inlineStr">
        <is>
          <t>2</t>
        </is>
      </c>
      <c r="D738" s="11" t="inlineStr">
        <is>
          <t>Financial data access report submission timeline</t>
        </is>
      </c>
      <c r="E738" t="inlineStr">
        <is>
          <t>52–54</t>
        </is>
      </c>
      <c r="F738" t="inlineStr">
        <is>
          <t>None</t>
        </is>
      </c>
      <c r="G738" t="inlineStr">
        <is>
          <t>High (explicit)</t>
        </is>
      </c>
      <c r="H738" s="11" t="inlineStr">
        <is>
          <t>Governance</t>
        </is>
      </c>
      <c r="I738" s="11" t="inlineStr"/>
      <c r="J738" t="inlineStr"/>
      <c r="K738" s="11" t="inlineStr">
        <is>
          <t>Four years after the Regulation's entry into force, the Commission must submit a report to the European Parliament and Council assessing access conditions for financial data applicable to account information service providers under this Regulation and Directive (EU) 2015/2366. The report may include a legislative proposal if deemed appropriate.</t>
        </is>
      </c>
      <c r="L738" s="11" t="inlineStr"/>
      <c r="M738" s="11" t="inlineStr">
        <is>
          <t>• [Must] By [OP please insert the date = 4 years after the date of entry into force of this Regulation, the Commission shall submit a report to the European Parliament and the Council
• [Must] The report assesses conditions for access to financial data applicable to account information service providers
• [May] The report may be accompanied by a legislative proposal if deemed appropriate</t>
        </is>
      </c>
      <c r="N738" s="11"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c r="O738" s="12" t="inlineStr">
        <is>
          <t>Open PDF</t>
        </is>
      </c>
    </row>
    <row r="739">
      <c r="A739" t="inlineStr">
        <is>
          <t>GDPR</t>
        </is>
      </c>
      <c r="B739" t="inlineStr">
        <is>
          <t>CELEX_52023PC0360_EN_TXT (GDPR - Row 13)</t>
        </is>
      </c>
      <c r="C739" t="inlineStr">
        <is>
          <t>3</t>
        </is>
      </c>
      <c r="D739" s="11" t="inlineStr">
        <is>
          <t>Revocation of Commission delegation authority</t>
        </is>
      </c>
      <c r="E739" t="inlineStr">
        <is>
          <t>5–8</t>
        </is>
      </c>
      <c r="F739" t="inlineStr">
        <is>
          <t>High</t>
        </is>
      </c>
      <c r="G739" t="inlineStr">
        <is>
          <t>High (explicit)</t>
        </is>
      </c>
      <c r="H739" s="11" t="inlineStr"/>
      <c r="I739" s="11" t="inlineStr"/>
      <c r="J739" t="inlineStr">
        <is>
          <t>European Parliament or Council</t>
        </is>
      </c>
      <c r="K739" s="11" t="inlineStr">
        <is>
          <t>The European Parliament or Council may revoke the Commission's delegation of powers at any time. Revocation takes effect the day after publication in the Official Journal and does not affect the validity of previously enacted delegated acts.</t>
        </is>
      </c>
      <c r="L739" s="11" t="inlineStr">
        <is>
          <t>Provides a mechanism for EU institutions to terminate delegated authority over financial data transfers, ensuring accountability and oversight of cross-border financial data activities.</t>
        </is>
      </c>
      <c r="M739"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39"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39" s="12" t="inlineStr">
        <is>
          <t>Open PDF</t>
        </is>
      </c>
    </row>
    <row r="740">
      <c r="A740" t="inlineStr">
        <is>
          <t>GDPR</t>
        </is>
      </c>
      <c r="B740" t="inlineStr">
        <is>
          <t>CELEX_52023PC0360_EN_TXT (GDPR - Row 13)</t>
        </is>
      </c>
      <c r="C740" t="inlineStr">
        <is>
          <t>3</t>
        </is>
      </c>
      <c r="D740" s="11" t="inlineStr">
        <is>
          <t>Revocation of Commission delegation authority</t>
        </is>
      </c>
      <c r="E740" t="inlineStr">
        <is>
          <t>32</t>
        </is>
      </c>
      <c r="F740" t="inlineStr">
        <is>
          <t>High</t>
        </is>
      </c>
      <c r="G740" t="inlineStr">
        <is>
          <t>High (explicit)</t>
        </is>
      </c>
      <c r="H740" s="11" t="inlineStr"/>
      <c r="I740" s="11" t="inlineStr"/>
      <c r="J740" t="inlineStr">
        <is>
          <t>European Parliament or Council</t>
        </is>
      </c>
      <c r="K740" s="11" t="inlineStr">
        <is>
          <t>The European Parliament or Council may revoke the Commission's delegation of powers at any time. Revocation takes effect the day after publication in the Official Journal and does not affect the validity of previously enacted delegated acts.</t>
        </is>
      </c>
      <c r="L740" s="11" t="inlineStr">
        <is>
          <t>Provides a mechanism for EU institutions to terminate delegated authority over financial data transfers, ensuring accountability and oversight of cross-border financial data activities.</t>
        </is>
      </c>
      <c r="M740"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0"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0" s="12" t="inlineStr">
        <is>
          <t>Open PDF</t>
        </is>
      </c>
    </row>
    <row r="741">
      <c r="A741" t="inlineStr">
        <is>
          <t>GDPR</t>
        </is>
      </c>
      <c r="B741" t="inlineStr">
        <is>
          <t>CELEX_52023PC0360_EN_TXT (GDPR - Row 13)</t>
        </is>
      </c>
      <c r="C741" t="inlineStr">
        <is>
          <t>3</t>
        </is>
      </c>
      <c r="D741" s="11" t="inlineStr">
        <is>
          <t>Revocation of Commission delegation authority</t>
        </is>
      </c>
      <c r="E741" t="inlineStr">
        <is>
          <t>32–33</t>
        </is>
      </c>
      <c r="F741" t="inlineStr">
        <is>
          <t>High</t>
        </is>
      </c>
      <c r="G741" t="inlineStr">
        <is>
          <t>High (explicit)</t>
        </is>
      </c>
      <c r="H741" s="11" t="inlineStr"/>
      <c r="I741" s="11" t="inlineStr"/>
      <c r="J741" t="inlineStr">
        <is>
          <t>European Parliament or Council</t>
        </is>
      </c>
      <c r="K741" s="11" t="inlineStr">
        <is>
          <t>The European Parliament or Council may revoke the Commission's delegation of powers at any time. Revocation takes effect the day after publication in the Official Journal and does not affect the validity of previously enacted delegated acts.</t>
        </is>
      </c>
      <c r="L741" s="11" t="inlineStr">
        <is>
          <t>Provides a mechanism for EU institutions to terminate delegated authority over financial data transfers, ensuring accountability and oversight of cross-border financial data activities.</t>
        </is>
      </c>
      <c r="M741"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1"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1" s="12" t="inlineStr">
        <is>
          <t>Open PDF</t>
        </is>
      </c>
    </row>
    <row r="742">
      <c r="A742" t="inlineStr">
        <is>
          <t>GDPR</t>
        </is>
      </c>
      <c r="B742" t="inlineStr">
        <is>
          <t>CELEX_52023PC0360_EN_TXT (GDPR - Row 13)</t>
        </is>
      </c>
      <c r="C742" t="inlineStr">
        <is>
          <t>3</t>
        </is>
      </c>
      <c r="D742" s="11" t="inlineStr">
        <is>
          <t>Revocation of Commission delegation authority</t>
        </is>
      </c>
      <c r="E742" t="inlineStr">
        <is>
          <t>33</t>
        </is>
      </c>
      <c r="F742" t="inlineStr">
        <is>
          <t>High</t>
        </is>
      </c>
      <c r="G742" t="inlineStr">
        <is>
          <t>High (explicit)</t>
        </is>
      </c>
      <c r="H742" s="11" t="inlineStr"/>
      <c r="I742" s="11" t="inlineStr"/>
      <c r="J742" t="inlineStr">
        <is>
          <t>European Parliament or Council</t>
        </is>
      </c>
      <c r="K742" s="11" t="inlineStr">
        <is>
          <t>The European Parliament or Council may revoke the Commission's delegation of powers at any time. Revocation takes effect the day after publication in the Official Journal and does not affect the validity of previously enacted delegated acts.</t>
        </is>
      </c>
      <c r="L742" s="11" t="inlineStr">
        <is>
          <t>Provides a mechanism for EU institutions to terminate delegated authority over financial data transfers, ensuring accountability and oversight of cross-border financial data activities.</t>
        </is>
      </c>
      <c r="M742"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2"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2" s="12" t="inlineStr">
        <is>
          <t>Open PDF</t>
        </is>
      </c>
    </row>
    <row r="743">
      <c r="A743" t="inlineStr">
        <is>
          <t>GDPR</t>
        </is>
      </c>
      <c r="B743" t="inlineStr">
        <is>
          <t>CELEX_52023PC0360_EN_TXT (GDPR - Row 13)</t>
        </is>
      </c>
      <c r="C743" t="inlineStr">
        <is>
          <t>3</t>
        </is>
      </c>
      <c r="D743" s="11" t="inlineStr">
        <is>
          <t>Revocation of Commission delegation authority</t>
        </is>
      </c>
      <c r="E743" t="inlineStr">
        <is>
          <t>36</t>
        </is>
      </c>
      <c r="F743" t="inlineStr">
        <is>
          <t>High</t>
        </is>
      </c>
      <c r="G743" t="inlineStr">
        <is>
          <t>High (explicit)</t>
        </is>
      </c>
      <c r="H743" s="11" t="inlineStr"/>
      <c r="I743" s="11" t="inlineStr"/>
      <c r="J743" t="inlineStr">
        <is>
          <t>European Parliament or Council</t>
        </is>
      </c>
      <c r="K743" s="11" t="inlineStr">
        <is>
          <t>The European Parliament or Council may revoke the Commission's delegation of powers at any time. Revocation takes effect the day after publication in the Official Journal and does not affect the validity of previously enacted delegated acts.</t>
        </is>
      </c>
      <c r="L743" s="11" t="inlineStr">
        <is>
          <t>Provides a mechanism for EU institutions to terminate delegated authority over financial data transfers, ensuring accountability and oversight of cross-border financial data activities.</t>
        </is>
      </c>
      <c r="M743"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3"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3" s="12" t="inlineStr">
        <is>
          <t>Open PDF</t>
        </is>
      </c>
    </row>
    <row r="744">
      <c r="A744" t="inlineStr">
        <is>
          <t>GDPR</t>
        </is>
      </c>
      <c r="B744" t="inlineStr">
        <is>
          <t>CELEX_52023PC0360_EN_TXT (GDPR - Row 13)</t>
        </is>
      </c>
      <c r="C744" t="inlineStr">
        <is>
          <t>3</t>
        </is>
      </c>
      <c r="D744" s="11" t="inlineStr">
        <is>
          <t>Revocation of Commission delegation authority</t>
        </is>
      </c>
      <c r="E744" t="inlineStr">
        <is>
          <t>38</t>
        </is>
      </c>
      <c r="F744" t="inlineStr">
        <is>
          <t>High</t>
        </is>
      </c>
      <c r="G744" t="inlineStr">
        <is>
          <t>High (explicit)</t>
        </is>
      </c>
      <c r="H744" s="11" t="inlineStr"/>
      <c r="I744" s="11" t="inlineStr"/>
      <c r="J744" t="inlineStr">
        <is>
          <t>European Parliament or Council</t>
        </is>
      </c>
      <c r="K744" s="11" t="inlineStr">
        <is>
          <t>The European Parliament or Council may revoke the Commission's delegation of powers at any time. Revocation takes effect the day after publication in the Official Journal and does not affect the validity of previously enacted delegated acts.</t>
        </is>
      </c>
      <c r="L744" s="11" t="inlineStr">
        <is>
          <t>Provides a mechanism for EU institutions to terminate delegated authority over financial data transfers, ensuring accountability and oversight of cross-border financial data activities.</t>
        </is>
      </c>
      <c r="M744"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4"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4" s="12" t="inlineStr">
        <is>
          <t>Open PDF</t>
        </is>
      </c>
    </row>
    <row r="745">
      <c r="A745" t="inlineStr">
        <is>
          <t>GDPR</t>
        </is>
      </c>
      <c r="B745" t="inlineStr">
        <is>
          <t>CELEX_52023PC0360_EN_TXT (GDPR - Row 13)</t>
        </is>
      </c>
      <c r="C745" t="inlineStr">
        <is>
          <t>3</t>
        </is>
      </c>
      <c r="D745" s="11" t="inlineStr">
        <is>
          <t>Revocation of Commission delegation authority</t>
        </is>
      </c>
      <c r="E745" t="inlineStr">
        <is>
          <t>39</t>
        </is>
      </c>
      <c r="F745" t="inlineStr">
        <is>
          <t>High</t>
        </is>
      </c>
      <c r="G745" t="inlineStr">
        <is>
          <t>High (explicit)</t>
        </is>
      </c>
      <c r="H745" s="11" t="inlineStr"/>
      <c r="I745" s="11" t="inlineStr"/>
      <c r="J745" t="inlineStr">
        <is>
          <t>European Parliament or Council</t>
        </is>
      </c>
      <c r="K745" s="11" t="inlineStr">
        <is>
          <t>The European Parliament or Council may revoke the Commission's delegation of powers at any time. Revocation takes effect the day after publication in the Official Journal and does not affect the validity of previously enacted delegated acts.</t>
        </is>
      </c>
      <c r="L745" s="11" t="inlineStr">
        <is>
          <t>Provides a mechanism for EU institutions to terminate delegated authority over financial data transfers, ensuring accountability and oversight of cross-border financial data activities.</t>
        </is>
      </c>
      <c r="M745"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5"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5" s="12" t="inlineStr">
        <is>
          <t>Open PDF</t>
        </is>
      </c>
    </row>
    <row r="746">
      <c r="A746" t="inlineStr">
        <is>
          <t>GDPR</t>
        </is>
      </c>
      <c r="B746" t="inlineStr">
        <is>
          <t>CELEX_52023PC0360_EN_TXT (GDPR - Row 13)</t>
        </is>
      </c>
      <c r="C746" t="inlineStr">
        <is>
          <t>3</t>
        </is>
      </c>
      <c r="D746" s="11" t="inlineStr">
        <is>
          <t>Revocation of Commission delegation authority</t>
        </is>
      </c>
      <c r="E746" t="inlineStr">
        <is>
          <t>40</t>
        </is>
      </c>
      <c r="F746" t="inlineStr">
        <is>
          <t>High</t>
        </is>
      </c>
      <c r="G746" t="inlineStr">
        <is>
          <t>High (explicit)</t>
        </is>
      </c>
      <c r="H746" s="11" t="inlineStr"/>
      <c r="I746" s="11" t="inlineStr"/>
      <c r="J746" t="inlineStr">
        <is>
          <t>European Parliament or Council</t>
        </is>
      </c>
      <c r="K746" s="11" t="inlineStr">
        <is>
          <t>The European Parliament or Council may revoke the Commission's delegation of powers at any time. Revocation takes effect the day after publication in the Official Journal and does not affect the validity of previously enacted delegated acts.</t>
        </is>
      </c>
      <c r="L746" s="11" t="inlineStr">
        <is>
          <t>Provides a mechanism for EU institutions to terminate delegated authority over financial data transfers, ensuring accountability and oversight of cross-border financial data activities.</t>
        </is>
      </c>
      <c r="M746"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6"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6" s="12" t="inlineStr">
        <is>
          <t>Open PDF</t>
        </is>
      </c>
    </row>
    <row r="747">
      <c r="A747" t="inlineStr">
        <is>
          <t>GDPR</t>
        </is>
      </c>
      <c r="B747" t="inlineStr">
        <is>
          <t>CELEX_52023PC0360_EN_TXT (GDPR - Row 13)</t>
        </is>
      </c>
      <c r="C747" t="inlineStr">
        <is>
          <t>3</t>
        </is>
      </c>
      <c r="D747" s="11" t="inlineStr">
        <is>
          <t>Revocation of Commission delegation authority</t>
        </is>
      </c>
      <c r="E747" t="inlineStr">
        <is>
          <t>42</t>
        </is>
      </c>
      <c r="F747" t="inlineStr">
        <is>
          <t>High</t>
        </is>
      </c>
      <c r="G747" t="inlineStr">
        <is>
          <t>High (explicit)</t>
        </is>
      </c>
      <c r="H747" s="11" t="inlineStr"/>
      <c r="I747" s="11" t="inlineStr"/>
      <c r="J747" t="inlineStr">
        <is>
          <t>European Parliament or Council</t>
        </is>
      </c>
      <c r="K747" s="11" t="inlineStr">
        <is>
          <t>The European Parliament or Council may revoke the Commission's delegation of powers at any time. Revocation takes effect the day after publication in the Official Journal and does not affect the validity of previously enacted delegated acts.</t>
        </is>
      </c>
      <c r="L747" s="11" t="inlineStr">
        <is>
          <t>Provides a mechanism for EU institutions to terminate delegated authority over financial data transfers, ensuring accountability and oversight of cross-border financial data activities.</t>
        </is>
      </c>
      <c r="M747"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7"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7" s="12" t="inlineStr">
        <is>
          <t>Open PDF</t>
        </is>
      </c>
    </row>
    <row r="748">
      <c r="A748" t="inlineStr">
        <is>
          <t>GDPR</t>
        </is>
      </c>
      <c r="B748" t="inlineStr">
        <is>
          <t>CELEX_52023PC0360_EN_TXT (GDPR - Row 13)</t>
        </is>
      </c>
      <c r="C748" t="inlineStr">
        <is>
          <t>3</t>
        </is>
      </c>
      <c r="D748" s="11" t="inlineStr">
        <is>
          <t>Revocation of Commission delegation authority</t>
        </is>
      </c>
      <c r="E748" t="inlineStr">
        <is>
          <t>44</t>
        </is>
      </c>
      <c r="F748" t="inlineStr">
        <is>
          <t>High</t>
        </is>
      </c>
      <c r="G748" t="inlineStr">
        <is>
          <t>High (explicit)</t>
        </is>
      </c>
      <c r="H748" s="11" t="inlineStr"/>
      <c r="I748" s="11" t="inlineStr"/>
      <c r="J748" t="inlineStr">
        <is>
          <t>European Parliament or Council</t>
        </is>
      </c>
      <c r="K748" s="11" t="inlineStr">
        <is>
          <t>The European Parliament or Council may revoke the Commission's delegation of powers at any time. Revocation takes effect the day after publication in the Official Journal and does not affect the validity of previously enacted delegated acts.</t>
        </is>
      </c>
      <c r="L748" s="11" t="inlineStr">
        <is>
          <t>Provides a mechanism for EU institutions to terminate delegated authority over financial data transfers, ensuring accountability and oversight of cross-border financial data activities.</t>
        </is>
      </c>
      <c r="M748"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8"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8" s="12" t="inlineStr">
        <is>
          <t>Open PDF</t>
        </is>
      </c>
    </row>
    <row r="749">
      <c r="A749" t="inlineStr">
        <is>
          <t>GDPR</t>
        </is>
      </c>
      <c r="B749" t="inlineStr">
        <is>
          <t>CELEX_52023PC0360_EN_TXT (GDPR - Row 13)</t>
        </is>
      </c>
      <c r="C749" t="inlineStr">
        <is>
          <t>3</t>
        </is>
      </c>
      <c r="D749" s="11" t="inlineStr">
        <is>
          <t>Revocation of Commission delegation authority</t>
        </is>
      </c>
      <c r="E749" t="inlineStr">
        <is>
          <t>45</t>
        </is>
      </c>
      <c r="F749" t="inlineStr">
        <is>
          <t>High</t>
        </is>
      </c>
      <c r="G749" t="inlineStr">
        <is>
          <t>High (explicit)</t>
        </is>
      </c>
      <c r="H749" s="11" t="inlineStr"/>
      <c r="I749" s="11" t="inlineStr"/>
      <c r="J749" t="inlineStr">
        <is>
          <t>European Parliament or Council</t>
        </is>
      </c>
      <c r="K749" s="11" t="inlineStr">
        <is>
          <t>The European Parliament or Council may revoke the Commission's delegation of powers at any time. Revocation takes effect the day after publication in the Official Journal and does not affect the validity of previously enacted delegated acts.</t>
        </is>
      </c>
      <c r="L749" s="11" t="inlineStr">
        <is>
          <t>Provides a mechanism for EU institutions to terminate delegated authority over financial data transfers, ensuring accountability and oversight of cross-border financial data activities.</t>
        </is>
      </c>
      <c r="M749"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49"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49" s="12" t="inlineStr">
        <is>
          <t>Open PDF</t>
        </is>
      </c>
    </row>
    <row r="750">
      <c r="A750" t="inlineStr">
        <is>
          <t>GDPR</t>
        </is>
      </c>
      <c r="B750" t="inlineStr">
        <is>
          <t>CELEX_52023PC0360_EN_TXT (GDPR - Row 13)</t>
        </is>
      </c>
      <c r="C750" t="inlineStr">
        <is>
          <t>3</t>
        </is>
      </c>
      <c r="D750" s="11" t="inlineStr">
        <is>
          <t>Revocation of Commission delegation authority</t>
        </is>
      </c>
      <c r="E750" t="inlineStr">
        <is>
          <t>45–46</t>
        </is>
      </c>
      <c r="F750" t="inlineStr">
        <is>
          <t>High</t>
        </is>
      </c>
      <c r="G750" t="inlineStr">
        <is>
          <t>High (explicit)</t>
        </is>
      </c>
      <c r="H750" s="11" t="inlineStr"/>
      <c r="I750" s="11" t="inlineStr"/>
      <c r="J750" t="inlineStr">
        <is>
          <t>European Parliament or Council</t>
        </is>
      </c>
      <c r="K750" s="11" t="inlineStr">
        <is>
          <t>The European Parliament or Council may revoke the Commission's delegation of powers at any time. Revocation takes effect the day after publication in the Official Journal and does not affect the validity of previously enacted delegated acts.</t>
        </is>
      </c>
      <c r="L750" s="11" t="inlineStr">
        <is>
          <t>Provides a mechanism for EU institutions to terminate delegated authority over financial data transfers, ensuring accountability and oversight of cross-border financial data activities.</t>
        </is>
      </c>
      <c r="M750"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0"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0" s="12" t="inlineStr">
        <is>
          <t>Open PDF</t>
        </is>
      </c>
    </row>
    <row r="751">
      <c r="A751" t="inlineStr">
        <is>
          <t>GDPR</t>
        </is>
      </c>
      <c r="B751" t="inlineStr">
        <is>
          <t>CELEX_52023PC0360_EN_TXT (GDPR - Row 13)</t>
        </is>
      </c>
      <c r="C751" t="inlineStr">
        <is>
          <t>3</t>
        </is>
      </c>
      <c r="D751" s="11" t="inlineStr">
        <is>
          <t>Revocation of Commission delegation authority</t>
        </is>
      </c>
      <c r="E751" t="inlineStr">
        <is>
          <t>47</t>
        </is>
      </c>
      <c r="F751" t="inlineStr">
        <is>
          <t>High</t>
        </is>
      </c>
      <c r="G751" t="inlineStr">
        <is>
          <t>High (explicit)</t>
        </is>
      </c>
      <c r="H751" s="11" t="inlineStr"/>
      <c r="I751" s="11" t="inlineStr"/>
      <c r="J751" t="inlineStr">
        <is>
          <t>European Parliament or Council</t>
        </is>
      </c>
      <c r="K751" s="11" t="inlineStr">
        <is>
          <t>The European Parliament or Council may revoke the Commission's delegation of powers at any time. Revocation takes effect the day after publication in the Official Journal and does not affect the validity of previously enacted delegated acts.</t>
        </is>
      </c>
      <c r="L751" s="11" t="inlineStr">
        <is>
          <t>Provides a mechanism for EU institutions to terminate delegated authority over financial data transfers, ensuring accountability and oversight of cross-border financial data activities.</t>
        </is>
      </c>
      <c r="M751"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1"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1" s="12" t="inlineStr">
        <is>
          <t>Open PDF</t>
        </is>
      </c>
    </row>
    <row r="752">
      <c r="A752" t="inlineStr">
        <is>
          <t>GDPR</t>
        </is>
      </c>
      <c r="B752" t="inlineStr">
        <is>
          <t>CELEX_52023PC0360_EN_TXT (GDPR - Row 13)</t>
        </is>
      </c>
      <c r="C752" t="inlineStr">
        <is>
          <t>3</t>
        </is>
      </c>
      <c r="D752" s="11" t="inlineStr">
        <is>
          <t>Revocation of Commission delegation authority</t>
        </is>
      </c>
      <c r="E752" t="inlineStr">
        <is>
          <t>49</t>
        </is>
      </c>
      <c r="F752" t="inlineStr">
        <is>
          <t>High</t>
        </is>
      </c>
      <c r="G752" t="inlineStr">
        <is>
          <t>High (explicit)</t>
        </is>
      </c>
      <c r="H752" s="11" t="inlineStr"/>
      <c r="I752" s="11" t="inlineStr"/>
      <c r="J752" t="inlineStr">
        <is>
          <t>European Parliament or Council</t>
        </is>
      </c>
      <c r="K752" s="11" t="inlineStr">
        <is>
          <t>The European Parliament or Council may revoke the Commission's delegation of powers at any time. Revocation takes effect the day after publication in the Official Journal and does not affect the validity of previously enacted delegated acts.</t>
        </is>
      </c>
      <c r="L752" s="11" t="inlineStr">
        <is>
          <t>Provides a mechanism for EU institutions to terminate delegated authority over financial data transfers, ensuring accountability and oversight of cross-border financial data activities.</t>
        </is>
      </c>
      <c r="M752"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2"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2" s="12" t="inlineStr">
        <is>
          <t>Open PDF</t>
        </is>
      </c>
    </row>
    <row r="753">
      <c r="A753" t="inlineStr">
        <is>
          <t>GDPR</t>
        </is>
      </c>
      <c r="B753" t="inlineStr">
        <is>
          <t>CELEX_52023PC0360_EN_TXT (GDPR - Row 13)</t>
        </is>
      </c>
      <c r="C753" t="inlineStr">
        <is>
          <t>3</t>
        </is>
      </c>
      <c r="D753" s="11" t="inlineStr">
        <is>
          <t>Revocation of Commission delegation authority</t>
        </is>
      </c>
      <c r="E753" t="inlineStr">
        <is>
          <t>49</t>
        </is>
      </c>
      <c r="F753" t="inlineStr">
        <is>
          <t>High</t>
        </is>
      </c>
      <c r="G753" t="inlineStr">
        <is>
          <t>High (explicit)</t>
        </is>
      </c>
      <c r="H753" s="11" t="inlineStr"/>
      <c r="I753" s="11" t="inlineStr"/>
      <c r="J753" t="inlineStr">
        <is>
          <t>European Parliament or Council</t>
        </is>
      </c>
      <c r="K753" s="11" t="inlineStr">
        <is>
          <t>The European Parliament or Council may revoke the Commission's delegation of powers at any time. Revocation takes effect the day after publication in the Official Journal and does not affect the validity of previously enacted delegated acts.</t>
        </is>
      </c>
      <c r="L753" s="11" t="inlineStr">
        <is>
          <t>Provides a mechanism for EU institutions to terminate delegated authority over financial data transfers, ensuring accountability and oversight of cross-border financial data activities.</t>
        </is>
      </c>
      <c r="M753"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3"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3" s="12" t="inlineStr">
        <is>
          <t>Open PDF</t>
        </is>
      </c>
    </row>
    <row r="754">
      <c r="A754" t="inlineStr">
        <is>
          <t>GDPR</t>
        </is>
      </c>
      <c r="B754" t="inlineStr">
        <is>
          <t>CELEX_52023PC0360_EN_TXT (GDPR - Row 13)</t>
        </is>
      </c>
      <c r="C754" t="inlineStr">
        <is>
          <t>3</t>
        </is>
      </c>
      <c r="D754" s="11" t="inlineStr">
        <is>
          <t>Revocation of Commission delegation authority</t>
        </is>
      </c>
      <c r="E754" t="inlineStr">
        <is>
          <t>50</t>
        </is>
      </c>
      <c r="F754" t="inlineStr">
        <is>
          <t>High</t>
        </is>
      </c>
      <c r="G754" t="inlineStr">
        <is>
          <t>High (explicit)</t>
        </is>
      </c>
      <c r="H754" s="11" t="inlineStr"/>
      <c r="I754" s="11" t="inlineStr"/>
      <c r="J754" t="inlineStr">
        <is>
          <t>European Parliament or Council</t>
        </is>
      </c>
      <c r="K754" s="11" t="inlineStr">
        <is>
          <t>The European Parliament or Council may revoke the Commission's delegation of powers at any time. Revocation takes effect the day after publication in the Official Journal and does not affect the validity of previously enacted delegated acts.</t>
        </is>
      </c>
      <c r="L754" s="11" t="inlineStr">
        <is>
          <t>Provides a mechanism for EU institutions to terminate delegated authority over financial data transfers, ensuring accountability and oversight of cross-border financial data activities.</t>
        </is>
      </c>
      <c r="M754"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4"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4" s="12" t="inlineStr">
        <is>
          <t>Open PDF</t>
        </is>
      </c>
    </row>
    <row r="755">
      <c r="A755" t="inlineStr">
        <is>
          <t>GDPR</t>
        </is>
      </c>
      <c r="B755" t="inlineStr">
        <is>
          <t>CELEX_52023PC0360_EN_TXT (GDPR - Row 13)</t>
        </is>
      </c>
      <c r="C755" t="inlineStr">
        <is>
          <t>3</t>
        </is>
      </c>
      <c r="D755" s="11" t="inlineStr">
        <is>
          <t>Revocation of Commission delegation authority</t>
        </is>
      </c>
      <c r="E755" t="inlineStr">
        <is>
          <t>51</t>
        </is>
      </c>
      <c r="F755" t="inlineStr">
        <is>
          <t>High</t>
        </is>
      </c>
      <c r="G755" t="inlineStr">
        <is>
          <t>High (explicit)</t>
        </is>
      </c>
      <c r="H755" s="11" t="inlineStr"/>
      <c r="I755" s="11" t="inlineStr"/>
      <c r="J755" t="inlineStr">
        <is>
          <t>European Parliament or Council</t>
        </is>
      </c>
      <c r="K755" s="11" t="inlineStr">
        <is>
          <t>The European Parliament or Council may revoke the Commission's delegation of powers at any time. Revocation takes effect the day after publication in the Official Journal and does not affect the validity of previously enacted delegated acts.</t>
        </is>
      </c>
      <c r="L755" s="11" t="inlineStr">
        <is>
          <t>Provides a mechanism for EU institutions to terminate delegated authority over financial data transfers, ensuring accountability and oversight of cross-border financial data activities.</t>
        </is>
      </c>
      <c r="M755" s="11" t="inlineStr">
        <is>
          <t>• [May] European Parliament or Council may revoke Commission's delegation of powers at any time
• [Must] Revocation takes effect the day following publication in the Official Journal of the European Union
• [Condition] Revocation does not affect validity of delegated acts already in force</t>
        </is>
      </c>
      <c r="N755" s="11" t="inlineStr">
        <is>
          <t>The delegation of powers referred to in Article 11,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t>
        </is>
      </c>
      <c r="O755" s="12" t="inlineStr">
        <is>
          <t>Open PDF</t>
        </is>
      </c>
    </row>
    <row r="756">
      <c r="A756" t="inlineStr">
        <is>
          <t>GDPR</t>
        </is>
      </c>
      <c r="B756" t="inlineStr">
        <is>
          <t>CELEX_52023PC0360_EN_TXT (GDPR - Row 13)</t>
        </is>
      </c>
      <c r="C756" t="inlineStr">
        <is>
          <t>3 (part 2)</t>
        </is>
      </c>
      <c r="D756" s="11" t="inlineStr">
        <is>
          <t>Financial data access economic impact assessment</t>
        </is>
      </c>
      <c r="E756" t="inlineStr">
        <is>
          <t>8–9</t>
        </is>
      </c>
      <c r="F756" t="inlineStr">
        <is>
          <t>High</t>
        </is>
      </c>
      <c r="G756" t="inlineStr">
        <is>
          <t>High (explicit)</t>
        </is>
      </c>
      <c r="H756" s="11" t="inlineStr">
        <is>
          <t>Financial Data</t>
        </is>
      </c>
      <c r="I756" s="11" t="inlineStr">
        <is>
          <t>Financial Data</t>
        </is>
      </c>
      <c r="J756" t="inlineStr"/>
      <c r="K756" s="11" t="inlineStr">
        <is>
          <t>This section provides a macroeconomic assessment of the potential economic benefits and costs of enhanced financial data access in the EU. It states that the proposal could generate annual benefits between EUR 4.6 billion and EUR 12.4 billion for the EU economy, including EUR 663 million to EUR 2 billion for the financial data economy. The proposal also involves one-off costs up to EUR 2.2 billion and recurring annual costs between EUR 147 million and EUR 465 million. The assessment notes that while the proposal supports sustainable finance and inclusive economic growth, its economic impact is difficult to quantify precisely due to data limitations and policy interdependencies.</t>
        </is>
      </c>
      <c r="L756" s="11" t="inlineStr">
        <is>
          <t>This section describes potential economic benefits and costs of financial data access but does not specify technical safeguards or cross-border transfer conditions relevant to DTIAs. It is not directly applicable to data transfer impact assessments.</t>
        </is>
      </c>
      <c r="M756" s="11" t="inlineStr">
        <is>
          <t>• [Information] Total annual benefits for EU economy range between EUR 4.6 billion and EUR 12.4 billion
• [Information] Direct impact on EU financial data economy ranges between EUR 663 million and EUR 2 billion annually
• [Information] One-off costs could be up to EUR 2.2 billion
• [Information] Recurring annual costs between EUR 147 million and EUR 465 million</t>
        </is>
      </c>
      <c r="N756" s="11" t="inlineStr">
        <is>
          <t>According to this macroeconomic assessment, the total annual benefits for the EU economy produced by enhanced access to and sharing of data in the EU financial sector ranges between EUR 4.6 billion and EUR 12.4 billion, including the direct impact on the EU financial data economy in the range of EUR 663 million to EUR 2 billion per year.</t>
        </is>
      </c>
      <c r="O756" s="12" t="inlineStr">
        <is>
          <t>Open PDF</t>
        </is>
      </c>
    </row>
    <row r="757">
      <c r="A757" t="inlineStr">
        <is>
          <t>GDPR</t>
        </is>
      </c>
      <c r="B757" t="inlineStr">
        <is>
          <t>CELEX_52023PC0360_EN_TXT (GDPR - Row 13)</t>
        </is>
      </c>
      <c r="C757" t="inlineStr">
        <is>
          <t>4</t>
        </is>
      </c>
      <c r="D757" s="11" t="inlineStr">
        <is>
          <t>Consultation of experts before adopting delegated acts</t>
        </is>
      </c>
      <c r="E757" t="inlineStr">
        <is>
          <t>9–10</t>
        </is>
      </c>
      <c r="F757" t="inlineStr">
        <is>
          <t>None</t>
        </is>
      </c>
      <c r="G757" t="inlineStr">
        <is>
          <t>High (explicit)</t>
        </is>
      </c>
      <c r="H757" s="11" t="inlineStr">
        <is>
          <t>Governance</t>
        </is>
      </c>
      <c r="I757" s="11" t="inlineStr"/>
      <c r="J757" t="inlineStr"/>
      <c r="K757"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57" s="11" t="inlineStr"/>
      <c r="M757" s="11" t="inlineStr">
        <is>
          <t>• [Must] Before adopting a delegated act, the Commission shall consult experts designated by each Member State</t>
        </is>
      </c>
      <c r="N757" s="11" t="inlineStr">
        <is>
          <t>Before adopting a delegated act, the Commission shall consult experts signated by each Member State in accordance with the principles laid down in the Interinstitutional Agreement of 13 April 2016 on Better Law-Making.</t>
        </is>
      </c>
      <c r="O757" s="12" t="inlineStr">
        <is>
          <t>Open PDF</t>
        </is>
      </c>
    </row>
    <row r="758">
      <c r="A758" t="inlineStr">
        <is>
          <t>GDPR</t>
        </is>
      </c>
      <c r="B758" t="inlineStr">
        <is>
          <t>CELEX_52023PC0360_EN_TXT (GDPR - Row 13)</t>
        </is>
      </c>
      <c r="C758" t="inlineStr">
        <is>
          <t>4</t>
        </is>
      </c>
      <c r="D758" s="11" t="inlineStr">
        <is>
          <t>Consultation of experts before adopting delegated acts</t>
        </is>
      </c>
      <c r="E758" t="inlineStr">
        <is>
          <t>28–31</t>
        </is>
      </c>
      <c r="F758" t="inlineStr">
        <is>
          <t>None</t>
        </is>
      </c>
      <c r="G758" t="inlineStr">
        <is>
          <t>High (explicit)</t>
        </is>
      </c>
      <c r="H758" s="11" t="inlineStr">
        <is>
          <t>Governance</t>
        </is>
      </c>
      <c r="I758" s="11" t="inlineStr"/>
      <c r="J758" t="inlineStr"/>
      <c r="K758"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58" s="11" t="inlineStr"/>
      <c r="M758" s="11" t="inlineStr">
        <is>
          <t>• [Must] Before adopting a delegated act, the Commission shall consult experts designated by each Member State</t>
        </is>
      </c>
      <c r="N758" s="11" t="inlineStr">
        <is>
          <t>Before adopting a delegated act, the Commission shall consult experts signated by each Member State in accordance with the principles laid down in the Interinstitutional Agreement of 13 April 2016 on Better Law-Making.</t>
        </is>
      </c>
      <c r="O758" s="12" t="inlineStr">
        <is>
          <t>Open PDF</t>
        </is>
      </c>
    </row>
    <row r="759">
      <c r="A759" t="inlineStr">
        <is>
          <t>GDPR</t>
        </is>
      </c>
      <c r="B759" t="inlineStr">
        <is>
          <t>CELEX_52023PC0360_EN_TXT (GDPR - Row 13)</t>
        </is>
      </c>
      <c r="C759" t="inlineStr">
        <is>
          <t>4</t>
        </is>
      </c>
      <c r="D759" s="11" t="inlineStr">
        <is>
          <t>Consultation of experts before adopting delegated acts</t>
        </is>
      </c>
      <c r="E759" t="inlineStr">
        <is>
          <t>32</t>
        </is>
      </c>
      <c r="F759" t="inlineStr">
        <is>
          <t>None</t>
        </is>
      </c>
      <c r="G759" t="inlineStr">
        <is>
          <t>High (explicit)</t>
        </is>
      </c>
      <c r="H759" s="11" t="inlineStr">
        <is>
          <t>Governance</t>
        </is>
      </c>
      <c r="I759" s="11" t="inlineStr"/>
      <c r="J759" t="inlineStr"/>
      <c r="K759"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59" s="11" t="inlineStr"/>
      <c r="M759" s="11" t="inlineStr">
        <is>
          <t>• [Must] Before adopting a delegated act, the Commission shall consult experts designated by each Member State</t>
        </is>
      </c>
      <c r="N759" s="11" t="inlineStr">
        <is>
          <t>Before adopting a delegated act, the Commission shall consult experts signated by each Member State in accordance with the principles laid down in the Interinstitutional Agreement of 13 April 2016 on Better Law-Making.</t>
        </is>
      </c>
      <c r="O759" s="12" t="inlineStr">
        <is>
          <t>Open PDF</t>
        </is>
      </c>
    </row>
    <row r="760">
      <c r="A760" t="inlineStr">
        <is>
          <t>GDPR</t>
        </is>
      </c>
      <c r="B760" t="inlineStr">
        <is>
          <t>CELEX_52023PC0360_EN_TXT (GDPR - Row 13)</t>
        </is>
      </c>
      <c r="C760" t="inlineStr">
        <is>
          <t>4</t>
        </is>
      </c>
      <c r="D760" s="11" t="inlineStr">
        <is>
          <t>Consultation of experts before adopting delegated acts</t>
        </is>
      </c>
      <c r="E760" t="inlineStr">
        <is>
          <t>33</t>
        </is>
      </c>
      <c r="F760" t="inlineStr">
        <is>
          <t>None</t>
        </is>
      </c>
      <c r="G760" t="inlineStr">
        <is>
          <t>High (explicit)</t>
        </is>
      </c>
      <c r="H760" s="11" t="inlineStr">
        <is>
          <t>Governance</t>
        </is>
      </c>
      <c r="I760" s="11" t="inlineStr"/>
      <c r="J760" t="inlineStr"/>
      <c r="K760"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0" s="11" t="inlineStr"/>
      <c r="M760" s="11" t="inlineStr">
        <is>
          <t>• [Must] Before adopting a delegated act, the Commission shall consult experts designated by each Member State</t>
        </is>
      </c>
      <c r="N760" s="11" t="inlineStr">
        <is>
          <t>Before adopting a delegated act, the Commission shall consult experts signated by each Member State in accordance with the principles laid down in the Interinstitutional Agreement of 13 April 2016 on Better Law-Making.</t>
        </is>
      </c>
      <c r="O760" s="12" t="inlineStr">
        <is>
          <t>Open PDF</t>
        </is>
      </c>
    </row>
    <row r="761">
      <c r="A761" t="inlineStr">
        <is>
          <t>GDPR</t>
        </is>
      </c>
      <c r="B761" t="inlineStr">
        <is>
          <t>CELEX_52023PC0360_EN_TXT (GDPR - Row 13)</t>
        </is>
      </c>
      <c r="C761" t="inlineStr">
        <is>
          <t>4</t>
        </is>
      </c>
      <c r="D761" s="11" t="inlineStr">
        <is>
          <t>Consultation of experts before adopting delegated acts</t>
        </is>
      </c>
      <c r="E761" t="inlineStr">
        <is>
          <t>33–34</t>
        </is>
      </c>
      <c r="F761" t="inlineStr">
        <is>
          <t>None</t>
        </is>
      </c>
      <c r="G761" t="inlineStr">
        <is>
          <t>High (explicit)</t>
        </is>
      </c>
      <c r="H761" s="11" t="inlineStr">
        <is>
          <t>Governance</t>
        </is>
      </c>
      <c r="I761" s="11" t="inlineStr"/>
      <c r="J761" t="inlineStr"/>
      <c r="K761"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1" s="11" t="inlineStr"/>
      <c r="M761" s="11" t="inlineStr">
        <is>
          <t>• [Must] Before adopting a delegated act, the Commission shall consult experts designated by each Member State</t>
        </is>
      </c>
      <c r="N761" s="11" t="inlineStr">
        <is>
          <t>Before adopting a delegated act, the Commission shall consult experts signated by each Member State in accordance with the principles laid down in the Interinstitutional Agreement of 13 April 2016 on Better Law-Making.</t>
        </is>
      </c>
      <c r="O761" s="12" t="inlineStr">
        <is>
          <t>Open PDF</t>
        </is>
      </c>
    </row>
    <row r="762">
      <c r="A762" t="inlineStr">
        <is>
          <t>GDPR</t>
        </is>
      </c>
      <c r="B762" t="inlineStr">
        <is>
          <t>CELEX_52023PC0360_EN_TXT (GDPR - Row 13)</t>
        </is>
      </c>
      <c r="C762" t="inlineStr">
        <is>
          <t>4</t>
        </is>
      </c>
      <c r="D762" s="11" t="inlineStr">
        <is>
          <t>Consultation of experts before adopting delegated acts</t>
        </is>
      </c>
      <c r="E762" t="inlineStr">
        <is>
          <t>36</t>
        </is>
      </c>
      <c r="F762" t="inlineStr">
        <is>
          <t>None</t>
        </is>
      </c>
      <c r="G762" t="inlineStr">
        <is>
          <t>High (explicit)</t>
        </is>
      </c>
      <c r="H762" s="11" t="inlineStr">
        <is>
          <t>Governance</t>
        </is>
      </c>
      <c r="I762" s="11" t="inlineStr"/>
      <c r="J762" t="inlineStr"/>
      <c r="K762"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2" s="11" t="inlineStr"/>
      <c r="M762" s="11" t="inlineStr">
        <is>
          <t>• [Must] Before adopting a delegated act, the Commission shall consult experts designated by each Member State</t>
        </is>
      </c>
      <c r="N762" s="11" t="inlineStr">
        <is>
          <t>Before adopting a delegated act, the Commission shall consult experts signated by each Member State in accordance with the principles laid down in the Interinstitutional Agreement of 13 April 2016 on Better Law-Making.</t>
        </is>
      </c>
      <c r="O762" s="12" t="inlineStr">
        <is>
          <t>Open PDF</t>
        </is>
      </c>
    </row>
    <row r="763">
      <c r="A763" t="inlineStr">
        <is>
          <t>GDPR</t>
        </is>
      </c>
      <c r="B763" t="inlineStr">
        <is>
          <t>CELEX_52023PC0360_EN_TXT (GDPR - Row 13)</t>
        </is>
      </c>
      <c r="C763" t="inlineStr">
        <is>
          <t>4</t>
        </is>
      </c>
      <c r="D763" s="11" t="inlineStr">
        <is>
          <t>Consultation of experts before adopting delegated acts</t>
        </is>
      </c>
      <c r="E763" t="inlineStr">
        <is>
          <t>38–39</t>
        </is>
      </c>
      <c r="F763" t="inlineStr">
        <is>
          <t>None</t>
        </is>
      </c>
      <c r="G763" t="inlineStr">
        <is>
          <t>High (explicit)</t>
        </is>
      </c>
      <c r="H763" s="11" t="inlineStr">
        <is>
          <t>Governance</t>
        </is>
      </c>
      <c r="I763" s="11" t="inlineStr"/>
      <c r="J763" t="inlineStr"/>
      <c r="K763"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3" s="11" t="inlineStr"/>
      <c r="M763" s="11" t="inlineStr">
        <is>
          <t>• [Must] Before adopting a delegated act, the Commission shall consult experts designated by each Member State</t>
        </is>
      </c>
      <c r="N763" s="11" t="inlineStr">
        <is>
          <t>Before adopting a delegated act, the Commission shall consult experts signated by each Member State in accordance with the principles laid down in the Interinstitutional Agreement of 13 April 2016 on Better Law-Making.</t>
        </is>
      </c>
      <c r="O763" s="12" t="inlineStr">
        <is>
          <t>Open PDF</t>
        </is>
      </c>
    </row>
    <row r="764">
      <c r="A764" t="inlineStr">
        <is>
          <t>GDPR</t>
        </is>
      </c>
      <c r="B764" t="inlineStr">
        <is>
          <t>CELEX_52023PC0360_EN_TXT (GDPR - Row 13)</t>
        </is>
      </c>
      <c r="C764" t="inlineStr">
        <is>
          <t>4</t>
        </is>
      </c>
      <c r="D764" s="11" t="inlineStr">
        <is>
          <t>Consultation of experts before adopting delegated acts</t>
        </is>
      </c>
      <c r="E764" t="inlineStr">
        <is>
          <t>39</t>
        </is>
      </c>
      <c r="F764" t="inlineStr">
        <is>
          <t>None</t>
        </is>
      </c>
      <c r="G764" t="inlineStr">
        <is>
          <t>High (explicit)</t>
        </is>
      </c>
      <c r="H764" s="11" t="inlineStr">
        <is>
          <t>Governance</t>
        </is>
      </c>
      <c r="I764" s="11" t="inlineStr"/>
      <c r="J764" t="inlineStr"/>
      <c r="K764"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4" s="11" t="inlineStr"/>
      <c r="M764" s="11" t="inlineStr">
        <is>
          <t>• [Must] Before adopting a delegated act, the Commission shall consult experts designated by each Member State</t>
        </is>
      </c>
      <c r="N764" s="11" t="inlineStr">
        <is>
          <t>Before adopting a delegated act, the Commission shall consult experts signated by each Member State in accordance with the principles laid down in the Interinstitutional Agreement of 13 April 2016 on Better Law-Making.</t>
        </is>
      </c>
      <c r="O764" s="12" t="inlineStr">
        <is>
          <t>Open PDF</t>
        </is>
      </c>
    </row>
    <row r="765">
      <c r="A765" t="inlineStr">
        <is>
          <t>GDPR</t>
        </is>
      </c>
      <c r="B765" t="inlineStr">
        <is>
          <t>CELEX_52023PC0360_EN_TXT (GDPR - Row 13)</t>
        </is>
      </c>
      <c r="C765" t="inlineStr">
        <is>
          <t>4</t>
        </is>
      </c>
      <c r="D765" s="11" t="inlineStr">
        <is>
          <t>Consultation of experts before adopting delegated acts</t>
        </is>
      </c>
      <c r="E765" t="inlineStr">
        <is>
          <t>40</t>
        </is>
      </c>
      <c r="F765" t="inlineStr">
        <is>
          <t>None</t>
        </is>
      </c>
      <c r="G765" t="inlineStr">
        <is>
          <t>High (explicit)</t>
        </is>
      </c>
      <c r="H765" s="11" t="inlineStr">
        <is>
          <t>Governance</t>
        </is>
      </c>
      <c r="I765" s="11" t="inlineStr"/>
      <c r="J765" t="inlineStr"/>
      <c r="K765"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5" s="11" t="inlineStr"/>
      <c r="M765" s="11" t="inlineStr">
        <is>
          <t>• [Must] Before adopting a delegated act, the Commission shall consult experts designated by each Member State</t>
        </is>
      </c>
      <c r="N765" s="11" t="inlineStr">
        <is>
          <t>Before adopting a delegated act, the Commission shall consult experts signated by each Member State in accordance with the principles laid down in the Interinstitutional Agreement of 13 April 2016 on Better Law-Making.</t>
        </is>
      </c>
      <c r="O765" s="12" t="inlineStr">
        <is>
          <t>Open PDF</t>
        </is>
      </c>
    </row>
    <row r="766">
      <c r="A766" t="inlineStr">
        <is>
          <t>GDPR</t>
        </is>
      </c>
      <c r="B766" t="inlineStr">
        <is>
          <t>CELEX_52023PC0360_EN_TXT (GDPR - Row 13)</t>
        </is>
      </c>
      <c r="C766" t="inlineStr">
        <is>
          <t>4</t>
        </is>
      </c>
      <c r="D766" s="11" t="inlineStr">
        <is>
          <t>Consultation of experts before adopting delegated acts</t>
        </is>
      </c>
      <c r="E766" t="inlineStr">
        <is>
          <t>41</t>
        </is>
      </c>
      <c r="F766" t="inlineStr">
        <is>
          <t>None</t>
        </is>
      </c>
      <c r="G766" t="inlineStr">
        <is>
          <t>High (explicit)</t>
        </is>
      </c>
      <c r="H766" s="11" t="inlineStr">
        <is>
          <t>Governance</t>
        </is>
      </c>
      <c r="I766" s="11" t="inlineStr"/>
      <c r="J766" t="inlineStr"/>
      <c r="K766"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6" s="11" t="inlineStr"/>
      <c r="M766" s="11" t="inlineStr">
        <is>
          <t>• [Must] Before adopting a delegated act, the Commission shall consult experts designated by each Member State</t>
        </is>
      </c>
      <c r="N766" s="11" t="inlineStr">
        <is>
          <t>Before adopting a delegated act, the Commission shall consult experts signated by each Member State in accordance with the principles laid down in the Interinstitutional Agreement of 13 April 2016 on Better Law-Making.</t>
        </is>
      </c>
      <c r="O766" s="12" t="inlineStr">
        <is>
          <t>Open PDF</t>
        </is>
      </c>
    </row>
    <row r="767">
      <c r="A767" t="inlineStr">
        <is>
          <t>GDPR</t>
        </is>
      </c>
      <c r="B767" t="inlineStr">
        <is>
          <t>CELEX_52023PC0360_EN_TXT (GDPR - Row 13)</t>
        </is>
      </c>
      <c r="C767" t="inlineStr">
        <is>
          <t>4</t>
        </is>
      </c>
      <c r="D767" s="11" t="inlineStr">
        <is>
          <t>Consultation of experts before adopting delegated acts</t>
        </is>
      </c>
      <c r="E767" t="inlineStr">
        <is>
          <t>42</t>
        </is>
      </c>
      <c r="F767" t="inlineStr">
        <is>
          <t>None</t>
        </is>
      </c>
      <c r="G767" t="inlineStr">
        <is>
          <t>High (explicit)</t>
        </is>
      </c>
      <c r="H767" s="11" t="inlineStr">
        <is>
          <t>Governance</t>
        </is>
      </c>
      <c r="I767" s="11" t="inlineStr"/>
      <c r="J767" t="inlineStr"/>
      <c r="K767"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7" s="11" t="inlineStr"/>
      <c r="M767" s="11" t="inlineStr">
        <is>
          <t>• [Must] Before adopting a delegated act, the Commission shall consult experts designated by each Member State</t>
        </is>
      </c>
      <c r="N767" s="11" t="inlineStr">
        <is>
          <t>Before adopting a delegated act, the Commission shall consult experts signated by each Member State in accordance with the principles laid down in the Interinstitutional Agreement of 13 April 2016 on Better Law-Making.</t>
        </is>
      </c>
      <c r="O767" s="12" t="inlineStr">
        <is>
          <t>Open PDF</t>
        </is>
      </c>
    </row>
    <row r="768">
      <c r="A768" t="inlineStr">
        <is>
          <t>GDPR</t>
        </is>
      </c>
      <c r="B768" t="inlineStr">
        <is>
          <t>CELEX_52023PC0360_EN_TXT (GDPR - Row 13)</t>
        </is>
      </c>
      <c r="C768" t="inlineStr">
        <is>
          <t>4</t>
        </is>
      </c>
      <c r="D768" s="11" t="inlineStr">
        <is>
          <t>Consultation of experts before adopting delegated acts</t>
        </is>
      </c>
      <c r="E768" t="inlineStr">
        <is>
          <t>46</t>
        </is>
      </c>
      <c r="F768" t="inlineStr">
        <is>
          <t>None</t>
        </is>
      </c>
      <c r="G768" t="inlineStr">
        <is>
          <t>High (explicit)</t>
        </is>
      </c>
      <c r="H768" s="11" t="inlineStr">
        <is>
          <t>Governance</t>
        </is>
      </c>
      <c r="I768" s="11" t="inlineStr"/>
      <c r="J768" t="inlineStr"/>
      <c r="K768"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8" s="11" t="inlineStr"/>
      <c r="M768" s="11" t="inlineStr">
        <is>
          <t>• [Must] Before adopting a delegated act, the Commission shall consult experts designated by each Member State</t>
        </is>
      </c>
      <c r="N768" s="11" t="inlineStr">
        <is>
          <t>Before adopting a delegated act, the Commission shall consult experts signated by each Member State in accordance with the principles laid down in the Interinstitutional Agreement of 13 April 2016 on Better Law-Making.</t>
        </is>
      </c>
      <c r="O768" s="12" t="inlineStr">
        <is>
          <t>Open PDF</t>
        </is>
      </c>
    </row>
    <row r="769">
      <c r="A769" t="inlineStr">
        <is>
          <t>GDPR</t>
        </is>
      </c>
      <c r="B769" t="inlineStr">
        <is>
          <t>CELEX_52023PC0360_EN_TXT (GDPR - Row 13)</t>
        </is>
      </c>
      <c r="C769" t="inlineStr">
        <is>
          <t>4</t>
        </is>
      </c>
      <c r="D769" s="11" t="inlineStr">
        <is>
          <t>Consultation of experts before adopting delegated acts</t>
        </is>
      </c>
      <c r="E769" t="inlineStr">
        <is>
          <t>49</t>
        </is>
      </c>
      <c r="F769" t="inlineStr">
        <is>
          <t>None</t>
        </is>
      </c>
      <c r="G769" t="inlineStr">
        <is>
          <t>High (explicit)</t>
        </is>
      </c>
      <c r="H769" s="11" t="inlineStr">
        <is>
          <t>Governance</t>
        </is>
      </c>
      <c r="I769" s="11" t="inlineStr"/>
      <c r="J769" t="inlineStr"/>
      <c r="K769"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69" s="11" t="inlineStr"/>
      <c r="M769" s="11" t="inlineStr">
        <is>
          <t>• [Must] Before adopting a delegated act, the Commission shall consult experts designated by each Member State</t>
        </is>
      </c>
      <c r="N769" s="11" t="inlineStr">
        <is>
          <t>Before adopting a delegated act, the Commission shall consult experts signated by each Member State in accordance with the principles laid down in the Interinstitutional Agreement of 13 April 2016 on Better Law-Making.</t>
        </is>
      </c>
      <c r="O769" s="12" t="inlineStr">
        <is>
          <t>Open PDF</t>
        </is>
      </c>
    </row>
    <row r="770">
      <c r="A770" t="inlineStr">
        <is>
          <t>GDPR</t>
        </is>
      </c>
      <c r="B770" t="inlineStr">
        <is>
          <t>CELEX_52023PC0360_EN_TXT (GDPR - Row 13)</t>
        </is>
      </c>
      <c r="C770" t="inlineStr">
        <is>
          <t>4</t>
        </is>
      </c>
      <c r="D770" s="11" t="inlineStr">
        <is>
          <t>Consultation of experts before adopting delegated acts</t>
        </is>
      </c>
      <c r="E770" t="inlineStr">
        <is>
          <t>49</t>
        </is>
      </c>
      <c r="F770" t="inlineStr">
        <is>
          <t>None</t>
        </is>
      </c>
      <c r="G770" t="inlineStr">
        <is>
          <t>High (explicit)</t>
        </is>
      </c>
      <c r="H770" s="11" t="inlineStr">
        <is>
          <t>Governance</t>
        </is>
      </c>
      <c r="I770" s="11" t="inlineStr"/>
      <c r="J770" t="inlineStr"/>
      <c r="K770"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70" s="11" t="inlineStr"/>
      <c r="M770" s="11" t="inlineStr">
        <is>
          <t>• [Must] Before adopting a delegated act, the Commission shall consult experts designated by each Member State</t>
        </is>
      </c>
      <c r="N770" s="11" t="inlineStr">
        <is>
          <t>Before adopting a delegated act, the Commission shall consult experts signated by each Member State in accordance with the principles laid down in the Interinstitutional Agreement of 13 April 2016 on Better Law-Making.</t>
        </is>
      </c>
      <c r="O770" s="12" t="inlineStr">
        <is>
          <t>Open PDF</t>
        </is>
      </c>
    </row>
    <row r="771">
      <c r="A771" t="inlineStr">
        <is>
          <t>GDPR</t>
        </is>
      </c>
      <c r="B771" t="inlineStr">
        <is>
          <t>CELEX_52023PC0360_EN_TXT (GDPR - Row 13)</t>
        </is>
      </c>
      <c r="C771" t="inlineStr">
        <is>
          <t>4</t>
        </is>
      </c>
      <c r="D771" s="11" t="inlineStr">
        <is>
          <t>Consultation of experts before adopting delegated acts</t>
        </is>
      </c>
      <c r="E771" t="inlineStr">
        <is>
          <t>50–51</t>
        </is>
      </c>
      <c r="F771" t="inlineStr">
        <is>
          <t>None</t>
        </is>
      </c>
      <c r="G771" t="inlineStr">
        <is>
          <t>High (explicit)</t>
        </is>
      </c>
      <c r="H771" s="11" t="inlineStr">
        <is>
          <t>Governance</t>
        </is>
      </c>
      <c r="I771" s="11" t="inlineStr"/>
      <c r="J771" t="inlineStr"/>
      <c r="K771"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71" s="11" t="inlineStr"/>
      <c r="M771" s="11" t="inlineStr">
        <is>
          <t>• [Must] Before adopting a delegated act, the Commission shall consult experts designated by each Member State</t>
        </is>
      </c>
      <c r="N771" s="11" t="inlineStr">
        <is>
          <t>Before adopting a delegated act, the Commission shall consult experts signated by each Member State in accordance with the principles laid down in the Interinstitutional Agreement of 13 April 2016 on Better Law-Making.</t>
        </is>
      </c>
      <c r="O771" s="12" t="inlineStr">
        <is>
          <t>Open PDF</t>
        </is>
      </c>
    </row>
    <row r="772">
      <c r="A772" t="inlineStr">
        <is>
          <t>GDPR</t>
        </is>
      </c>
      <c r="B772" t="inlineStr">
        <is>
          <t>CELEX_52023PC0360_EN_TXT (GDPR - Row 13)</t>
        </is>
      </c>
      <c r="C772" t="inlineStr">
        <is>
          <t>4</t>
        </is>
      </c>
      <c r="D772" s="11" t="inlineStr">
        <is>
          <t>Consultation of experts before adopting delegated acts</t>
        </is>
      </c>
      <c r="E772" t="inlineStr">
        <is>
          <t>51</t>
        </is>
      </c>
      <c r="F772" t="inlineStr">
        <is>
          <t>None</t>
        </is>
      </c>
      <c r="G772" t="inlineStr">
        <is>
          <t>High (explicit)</t>
        </is>
      </c>
      <c r="H772" s="11" t="inlineStr">
        <is>
          <t>Governance</t>
        </is>
      </c>
      <c r="I772" s="11" t="inlineStr"/>
      <c r="J772" t="inlineStr"/>
      <c r="K772" s="11" t="inlineStr">
        <is>
          <t>Before adopting a delegated act, the European Commission must consult experts designated by each Member State in accordance with the Interinstitutional Agreement of 13 April 2016 on Better Law-Making. This requirement ensures that Member State expertise is integrated into the legislative process prior to final adoption of delegated acts.</t>
        </is>
      </c>
      <c r="L772" s="11" t="inlineStr"/>
      <c r="M772" s="11" t="inlineStr">
        <is>
          <t>• [Must] Before adopting a delegated act, the Commission shall consult experts designated by each Member State</t>
        </is>
      </c>
      <c r="N772" s="11" t="inlineStr">
        <is>
          <t>Before adopting a delegated act, the Commission shall consult experts signated by each Member State in accordance with the principles laid down in the Interinstitutional Agreement of 13 April 2016 on Better Law-Making.</t>
        </is>
      </c>
      <c r="O772" s="12" t="inlineStr">
        <is>
          <t>Open PDF</t>
        </is>
      </c>
    </row>
    <row r="773">
      <c r="A773" t="inlineStr">
        <is>
          <t>GDPR</t>
        </is>
      </c>
      <c r="B773" t="inlineStr">
        <is>
          <t>CELEX_52023PC0360_EN_TXT (GDPR - Row 13)</t>
        </is>
      </c>
      <c r="C773" t="inlineStr">
        <is>
          <t>5</t>
        </is>
      </c>
      <c r="D773" s="11" t="inlineStr">
        <is>
          <t>Cooperation with supervisory authorities for personal data processing</t>
        </is>
      </c>
      <c r="E773" t="inlineStr">
        <is>
          <t>10–14</t>
        </is>
      </c>
      <c r="F773" t="inlineStr">
        <is>
          <t>High</t>
        </is>
      </c>
      <c r="G773" t="inlineStr">
        <is>
          <t>High (explicit)</t>
        </is>
      </c>
      <c r="H773" s="11" t="inlineStr">
        <is>
          <t>Cross-border Transfer, International Processing</t>
        </is>
      </c>
      <c r="I773" s="11" t="inlineStr">
        <is>
          <t>Personal Information</t>
        </is>
      </c>
      <c r="J773" t="inlineStr">
        <is>
          <t>Competent authorities</t>
        </is>
      </c>
      <c r="K773"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3" s="11" t="inlineStr">
        <is>
          <t>This section mandates cooperation with GDPR supervisory authorities for personal data processing, which impacts DTIAs by requiring alignment with data protection standards during cross-border financial data exchanges.</t>
        </is>
      </c>
      <c r="M773" s="11" t="inlineStr">
        <is>
          <t>• [Must] Competent authorities must cooperate with GDPR supervisory authorities</t>
        </is>
      </c>
      <c r="N773" s="11" t="inlineStr">
        <is>
          <t>Where obligations under this Regulation concern the processing of personal data, competent authorities shall cooperate with the supervisory authorities established pursuant to Regulation (EU) 2016/679.</t>
        </is>
      </c>
      <c r="O773" s="12" t="inlineStr">
        <is>
          <t>Open PDF</t>
        </is>
      </c>
    </row>
    <row r="774">
      <c r="A774" t="inlineStr">
        <is>
          <t>GDPR</t>
        </is>
      </c>
      <c r="B774" t="inlineStr">
        <is>
          <t>CELEX_52023PC0360_EN_TXT (GDPR - Row 13)</t>
        </is>
      </c>
      <c r="C774" t="inlineStr">
        <is>
          <t>5</t>
        </is>
      </c>
      <c r="D774" s="11" t="inlineStr">
        <is>
          <t>Cooperation with supervisory authorities for personal data processing</t>
        </is>
      </c>
      <c r="E774" t="inlineStr">
        <is>
          <t>36</t>
        </is>
      </c>
      <c r="F774" t="inlineStr">
        <is>
          <t>High</t>
        </is>
      </c>
      <c r="G774" t="inlineStr">
        <is>
          <t>High (explicit)</t>
        </is>
      </c>
      <c r="H774" s="11" t="inlineStr">
        <is>
          <t>Cross-border Transfer, International Processing</t>
        </is>
      </c>
      <c r="I774" s="11" t="inlineStr">
        <is>
          <t>Personal Information</t>
        </is>
      </c>
      <c r="J774" t="inlineStr">
        <is>
          <t>Competent authorities</t>
        </is>
      </c>
      <c r="K774"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4" s="11" t="inlineStr">
        <is>
          <t>This section mandates cooperation with GDPR supervisory authorities for personal data processing, which impacts DTIAs by requiring alignment with data protection standards during cross-border financial data exchanges.</t>
        </is>
      </c>
      <c r="M774" s="11" t="inlineStr">
        <is>
          <t>• [Must] Competent authorities must cooperate with GDPR supervisory authorities</t>
        </is>
      </c>
      <c r="N774" s="11" t="inlineStr">
        <is>
          <t>Where obligations under this Regulation concern the processing of personal data, competent authorities shall cooperate with the supervisory authorities established pursuant to Regulation (EU) 2016/679.</t>
        </is>
      </c>
      <c r="O774" s="12" t="inlineStr">
        <is>
          <t>Open PDF</t>
        </is>
      </c>
    </row>
    <row r="775">
      <c r="A775" t="inlineStr">
        <is>
          <t>GDPR</t>
        </is>
      </c>
      <c r="B775" t="inlineStr">
        <is>
          <t>CELEX_52023PC0360_EN_TXT (GDPR - Row 13)</t>
        </is>
      </c>
      <c r="C775" t="inlineStr">
        <is>
          <t>5</t>
        </is>
      </c>
      <c r="D775" s="11" t="inlineStr">
        <is>
          <t>Cooperation with supervisory authorities for personal data processing</t>
        </is>
      </c>
      <c r="E775" t="inlineStr">
        <is>
          <t>39</t>
        </is>
      </c>
      <c r="F775" t="inlineStr">
        <is>
          <t>High</t>
        </is>
      </c>
      <c r="G775" t="inlineStr">
        <is>
          <t>High (explicit)</t>
        </is>
      </c>
      <c r="H775" s="11" t="inlineStr">
        <is>
          <t>Cross-border Transfer, International Processing</t>
        </is>
      </c>
      <c r="I775" s="11" t="inlineStr">
        <is>
          <t>Personal Information</t>
        </is>
      </c>
      <c r="J775" t="inlineStr">
        <is>
          <t>Competent authorities</t>
        </is>
      </c>
      <c r="K775"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5" s="11" t="inlineStr">
        <is>
          <t>This section mandates cooperation with GDPR supervisory authorities for personal data processing, which impacts DTIAs by requiring alignment with data protection standards during cross-border financial data exchanges.</t>
        </is>
      </c>
      <c r="M775" s="11" t="inlineStr">
        <is>
          <t>• [Must] Competent authorities must cooperate with GDPR supervisory authorities</t>
        </is>
      </c>
      <c r="N775" s="11" t="inlineStr">
        <is>
          <t>Where obligations under this Regulation concern the processing of personal data, competent authorities shall cooperate with the supervisory authorities established pursuant to Regulation (EU) 2016/679.</t>
        </is>
      </c>
      <c r="O775" s="12" t="inlineStr">
        <is>
          <t>Open PDF</t>
        </is>
      </c>
    </row>
    <row r="776">
      <c r="A776" t="inlineStr">
        <is>
          <t>GDPR</t>
        </is>
      </c>
      <c r="B776" t="inlineStr">
        <is>
          <t>CELEX_52023PC0360_EN_TXT (GDPR - Row 13)</t>
        </is>
      </c>
      <c r="C776" t="inlineStr">
        <is>
          <t>5</t>
        </is>
      </c>
      <c r="D776" s="11" t="inlineStr">
        <is>
          <t>Cooperation with supervisory authorities for personal data processing</t>
        </is>
      </c>
      <c r="E776" t="inlineStr">
        <is>
          <t>40</t>
        </is>
      </c>
      <c r="F776" t="inlineStr">
        <is>
          <t>High</t>
        </is>
      </c>
      <c r="G776" t="inlineStr">
        <is>
          <t>High (explicit)</t>
        </is>
      </c>
      <c r="H776" s="11" t="inlineStr">
        <is>
          <t>Cross-border Transfer, International Processing</t>
        </is>
      </c>
      <c r="I776" s="11" t="inlineStr">
        <is>
          <t>Personal Information</t>
        </is>
      </c>
      <c r="J776" t="inlineStr">
        <is>
          <t>Competent authorities</t>
        </is>
      </c>
      <c r="K776"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6" s="11" t="inlineStr">
        <is>
          <t>This section mandates cooperation with GDPR supervisory authorities for personal data processing, which impacts DTIAs by requiring alignment with data protection standards during cross-border financial data exchanges.</t>
        </is>
      </c>
      <c r="M776" s="11" t="inlineStr">
        <is>
          <t>• [Must] Competent authorities must cooperate with GDPR supervisory authorities</t>
        </is>
      </c>
      <c r="N776" s="11" t="inlineStr">
        <is>
          <t>Where obligations under this Regulation concern the processing of personal data, competent authorities shall cooperate with the supervisory authorities established pursuant to Regulation (EU) 2016/679.</t>
        </is>
      </c>
      <c r="O776" s="12" t="inlineStr">
        <is>
          <t>Open PDF</t>
        </is>
      </c>
    </row>
    <row r="777">
      <c r="A777" t="inlineStr">
        <is>
          <t>GDPR</t>
        </is>
      </c>
      <c r="B777" t="inlineStr">
        <is>
          <t>CELEX_52023PC0360_EN_TXT (GDPR - Row 13)</t>
        </is>
      </c>
      <c r="C777" t="inlineStr">
        <is>
          <t>5</t>
        </is>
      </c>
      <c r="D777" s="11" t="inlineStr">
        <is>
          <t>Cooperation with supervisory authorities for personal data processing</t>
        </is>
      </c>
      <c r="E777" t="inlineStr">
        <is>
          <t>41–42</t>
        </is>
      </c>
      <c r="F777" t="inlineStr">
        <is>
          <t>High</t>
        </is>
      </c>
      <c r="G777" t="inlineStr">
        <is>
          <t>High (explicit)</t>
        </is>
      </c>
      <c r="H777" s="11" t="inlineStr">
        <is>
          <t>Cross-border Transfer, International Processing</t>
        </is>
      </c>
      <c r="I777" s="11" t="inlineStr">
        <is>
          <t>Personal Information</t>
        </is>
      </c>
      <c r="J777" t="inlineStr">
        <is>
          <t>Competent authorities</t>
        </is>
      </c>
      <c r="K777"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7" s="11" t="inlineStr">
        <is>
          <t>This section mandates cooperation with GDPR supervisory authorities for personal data processing, which impacts DTIAs by requiring alignment with data protection standards during cross-border financial data exchanges.</t>
        </is>
      </c>
      <c r="M777" s="11" t="inlineStr">
        <is>
          <t>• [Must] Competent authorities must cooperate with GDPR supervisory authorities</t>
        </is>
      </c>
      <c r="N777" s="11" t="inlineStr">
        <is>
          <t>Where obligations under this Regulation concern the processing of personal data, competent authorities shall cooperate with the supervisory authorities established pursuant to Regulation (EU) 2016/679.</t>
        </is>
      </c>
      <c r="O777" s="12" t="inlineStr">
        <is>
          <t>Open PDF</t>
        </is>
      </c>
    </row>
    <row r="778">
      <c r="A778" t="inlineStr">
        <is>
          <t>GDPR</t>
        </is>
      </c>
      <c r="B778" t="inlineStr">
        <is>
          <t>CELEX_52023PC0360_EN_TXT (GDPR - Row 13)</t>
        </is>
      </c>
      <c r="C778" t="inlineStr">
        <is>
          <t>5</t>
        </is>
      </c>
      <c r="D778" s="11" t="inlineStr">
        <is>
          <t>Cooperation with supervisory authorities for personal data processing</t>
        </is>
      </c>
      <c r="E778" t="inlineStr">
        <is>
          <t>46</t>
        </is>
      </c>
      <c r="F778" t="inlineStr">
        <is>
          <t>High</t>
        </is>
      </c>
      <c r="G778" t="inlineStr">
        <is>
          <t>High (explicit)</t>
        </is>
      </c>
      <c r="H778" s="11" t="inlineStr">
        <is>
          <t>Cross-border Transfer, International Processing</t>
        </is>
      </c>
      <c r="I778" s="11" t="inlineStr">
        <is>
          <t>Personal Information</t>
        </is>
      </c>
      <c r="J778" t="inlineStr">
        <is>
          <t>Competent authorities</t>
        </is>
      </c>
      <c r="K778"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8" s="11" t="inlineStr">
        <is>
          <t>This section mandates cooperation with GDPR supervisory authorities for personal data processing, which impacts DTIAs by requiring alignment with data protection standards during cross-border financial data exchanges.</t>
        </is>
      </c>
      <c r="M778" s="11" t="inlineStr">
        <is>
          <t>• [Must] Competent authorities must cooperate with GDPR supervisory authorities</t>
        </is>
      </c>
      <c r="N778" s="11" t="inlineStr">
        <is>
          <t>Where obligations under this Regulation concern the processing of personal data, competent authorities shall cooperate with the supervisory authorities established pursuant to Regulation (EU) 2016/679.</t>
        </is>
      </c>
      <c r="O778" s="12" t="inlineStr">
        <is>
          <t>Open PDF</t>
        </is>
      </c>
    </row>
    <row r="779">
      <c r="A779" t="inlineStr">
        <is>
          <t>GDPR</t>
        </is>
      </c>
      <c r="B779" t="inlineStr">
        <is>
          <t>CELEX_52023PC0360_EN_TXT (GDPR - Row 13)</t>
        </is>
      </c>
      <c r="C779" t="inlineStr">
        <is>
          <t>5</t>
        </is>
      </c>
      <c r="D779" s="11" t="inlineStr">
        <is>
          <t>Cooperation with supervisory authorities for personal data processing</t>
        </is>
      </c>
      <c r="E779" t="inlineStr">
        <is>
          <t>49</t>
        </is>
      </c>
      <c r="F779" t="inlineStr">
        <is>
          <t>High</t>
        </is>
      </c>
      <c r="G779" t="inlineStr">
        <is>
          <t>High (explicit)</t>
        </is>
      </c>
      <c r="H779" s="11" t="inlineStr">
        <is>
          <t>Cross-border Transfer, International Processing</t>
        </is>
      </c>
      <c r="I779" s="11" t="inlineStr">
        <is>
          <t>Personal Information</t>
        </is>
      </c>
      <c r="J779" t="inlineStr">
        <is>
          <t>Competent authorities</t>
        </is>
      </c>
      <c r="K779" s="11" t="inlineStr">
        <is>
          <t>When this Regulation's obligations involve processing personal data, competent authorities must cooperate with supervisory authorities established under GDPR. This ensures compliance with data protection requirements when handling personal information across borders.</t>
        </is>
      </c>
      <c r="L779" s="11" t="inlineStr">
        <is>
          <t>This section mandates cooperation with GDPR supervisory authorities for personal data processing, which impacts DTIAs by requiring alignment with data protection standards during cross-border financial data exchanges.</t>
        </is>
      </c>
      <c r="M779" s="11" t="inlineStr">
        <is>
          <t>• [Must] Competent authorities must cooperate with GDPR supervisory authorities</t>
        </is>
      </c>
      <c r="N779" s="11" t="inlineStr">
        <is>
          <t>Where obligations under this Regulation concern the processing of personal data, competent authorities shall cooperate with the supervisory authorities established pursuant to Regulation (EU) 2016/679.</t>
        </is>
      </c>
      <c r="O779" s="12" t="inlineStr">
        <is>
          <t>Open PDF</t>
        </is>
      </c>
    </row>
    <row r="780">
      <c r="A780" t="inlineStr">
        <is>
          <t>GDPR</t>
        </is>
      </c>
      <c r="B780" t="inlineStr">
        <is>
          <t>CELEX_52023PC0360_EN_TXT (GDPR - Row 13)</t>
        </is>
      </c>
      <c r="C780" t="inlineStr">
        <is>
          <t>5 (part 2)</t>
        </is>
      </c>
      <c r="D780" s="11" t="inlineStr">
        <is>
          <t>Customer data sharing for financial innovation and trust</t>
        </is>
      </c>
      <c r="E780" t="inlineStr">
        <is>
          <t>14–17</t>
        </is>
      </c>
      <c r="F780" t="inlineStr">
        <is>
          <t>High</t>
        </is>
      </c>
      <c r="G780" t="inlineStr">
        <is>
          <t>High (explicit)</t>
        </is>
      </c>
      <c r="H780" s="11" t="inlineStr">
        <is>
          <t>Cross-border Transfer, Financial Data, Customer Information, Data Sharing</t>
        </is>
      </c>
      <c r="I780" s="11" t="inlineStr">
        <is>
          <t>Financial Data, Customer Data</t>
        </is>
      </c>
      <c r="J780" t="inlineStr"/>
      <c r="K780" s="11" t="inlineStr">
        <is>
          <t>This section outlines the need for a regulatory framework enabling financial institutions to share customer data beyond payment accounts while ensuring customer control. It emphasizes that current data sharing is limited by technical barriers and legal obligations, restricting innovation and personalized financial services. The framework must balance data sharing with customer rights and privacy protections to foster trust and innovation in the financial sector.</t>
        </is>
      </c>
      <c r="L780" s="11" t="inlineStr">
        <is>
          <t>This section establishes that customer data sharing beyond payment accounts requires explicit customer permission and must respect data protection principles. It sets conditions for data sharing that impact cross-border transfers by mandating lawful bases and customer consent, relevant for DTIAs involving financial data.</t>
        </is>
      </c>
      <c r="M780" s="11" t="inlineStr">
        <is>
          <t>• [Must] Customer data sharing beyond payment accounts must be based on customer permission
• [Must] Data users must have a valid lawful basis for processing personal data
• [Must] Data processing must respect principles of personal data protection including lawfulness, fairness, transparency, purpose limitation, and data minimisation
• [Must] Customers have the right to withdraw permission granted to data users
• [Must Not] Data sharing should not cover data related to sickness and health insurance or life insurance products
• [Must Not] Data sharing should not cover creditworthiness assessment data
• [Must] Data sharing must respect protection of confidential business data and trade secrets</t>
        </is>
      </c>
      <c r="N780" s="11" t="inlineStr">
        <is>
          <t>Ensuring customer control and trust is imperative to build a well-functioning and effective data sharing framework in the financial sector. Ensuring effective customers' control over data sharing contributes to innovation as well as customer confidence and trust in data sharing.</t>
        </is>
      </c>
      <c r="O780" s="12" t="inlineStr">
        <is>
          <t>Open PDF</t>
        </is>
      </c>
    </row>
    <row r="781">
      <c r="A781" t="inlineStr">
        <is>
          <t>GDPR</t>
        </is>
      </c>
      <c r="B781" t="inlineStr">
        <is>
          <t>CELEX_52023PC0360_EN_TXT (GDPR - Row 13)</t>
        </is>
      </c>
      <c r="C781" t="inlineStr">
        <is>
          <t>5 (part 3)</t>
        </is>
      </c>
      <c r="D781" s="11" t="inlineStr">
        <is>
          <t>Financial data sharing for customer access and consent management</t>
        </is>
      </c>
      <c r="E781" t="inlineStr">
        <is>
          <t>17–20</t>
        </is>
      </c>
      <c r="F781" t="inlineStr">
        <is>
          <t>High</t>
        </is>
      </c>
      <c r="G781" t="inlineStr">
        <is>
          <t>High (explicit)</t>
        </is>
      </c>
      <c r="H781" s="11" t="inlineStr">
        <is>
          <t>Data Sharing, Customer Information, Financial Data, Consent</t>
        </is>
      </c>
      <c r="I781" s="11" t="inlineStr">
        <is>
          <t>Financial Data, Customer Data</t>
        </is>
      </c>
      <c r="J781" t="inlineStr">
        <is>
          <t>European Banking Authority (EBA)</t>
        </is>
      </c>
      <c r="K781" s="11" t="inlineStr">
        <is>
          <t>This section establishes that financial institutions must provide defined categories of customer data upon request, allowing sharing based on customer consent. It requires data holders to implement permission dashboards that give customers control over data sharing, including real-time updates on permissions and withdrawal risks. The dashboards must be accessible, impartial, and comply with accessibility standards, with options to use electronic identification services or data intermediation providers.</t>
        </is>
      </c>
      <c r="L781" s="11" t="inlineStr">
        <is>
          <t>Requires financial institutions to implement permission dashboards for customer data access management, ensuring transparency and control over data sharing. This impacts cross-border data transfers by mandating standardized interfaces and consent mechanisms that must be consistent across jurisdictions.</t>
        </is>
      </c>
      <c r="M781" s="11" t="inlineStr">
        <is>
          <t>• [Must] Financial institutions must provide defined categories of customer data at request
• [Must] Data holders must implement permission dashboards for customers to manage data sharing
• [Must] Permission dashboards must display active permissions and warn of contractual risks upon withdrawal
• [Must] Data holders must inform data users in real-time of permission withdrawals
• [Must] Permission dashboards must include records of withdrawn or expired permissions for up to two years
• [Must] Data users must inform data holders in real-time of new or re-established permissions
• [Must] Permission dashboards must be accessible, impartial, and comply with accessibility standards
• [May] Data holders may use electronic identification services or data intermediation providers to implement dashboards</t>
        </is>
      </c>
      <c r="N781" s="11" t="inlineStr">
        <is>
          <t>Customers must have effective control over their data and confidence in managing permissions they have granted in accordance with this Regulation.</t>
        </is>
      </c>
      <c r="O781" s="12" t="inlineStr">
        <is>
          <t>Open PDF</t>
        </is>
      </c>
    </row>
    <row r="782">
      <c r="A782" t="inlineStr">
        <is>
          <t>GDPR</t>
        </is>
      </c>
      <c r="B782" t="inlineStr">
        <is>
          <t>CELEX_52023PC0360_EN_TXT (GDPR - Row 13)</t>
        </is>
      </c>
      <c r="C782" t="inlineStr">
        <is>
          <t>5 (part 4)</t>
        </is>
      </c>
      <c r="D782" s="11" t="inlineStr">
        <is>
          <t>Financial data sharing schemes for cross-border data access</t>
        </is>
      </c>
      <c r="E782" t="inlineStr">
        <is>
          <t>20–23</t>
        </is>
      </c>
      <c r="F782" t="inlineStr">
        <is>
          <t>High</t>
        </is>
      </c>
      <c r="G782" t="inlineStr">
        <is>
          <t>High (explicit)</t>
        </is>
      </c>
      <c r="H782" s="11" t="inlineStr">
        <is>
          <t>Data Sharing, Financial Data, Cross-border Transfer, Data Storage</t>
        </is>
      </c>
      <c r="I782" s="11" t="inlineStr">
        <is>
          <t>Financial Data</t>
        </is>
      </c>
      <c r="J782" t="inlineStr">
        <is>
          <t>European Banking Authority (EBA)</t>
        </is>
      </c>
      <c r="K782" s="11" t="inlineStr">
        <is>
          <t>This section mandates the creation of financial data sharing schemes that establish standardized contractual frameworks, data interfaces, and governance rules for cross-border data sharing between financial institutions. These schemes must ensure proportionality, market competition, and consumer protection while complying with Union rules on data protection and competition. They require data holders and users to follow specific liability rules for data breaches and disputes.</t>
        </is>
      </c>
      <c r="L782" s="11" t="inlineStr">
        <is>
          <t>Requires standardized financial data sharing schemes with contractual frameworks and governance rules to facilitate cross-border data access while ensuring proportionality and consumer protection. This directly impacts DTIAs by mandating specific technical and contractual safeguards for international data transfers.</t>
        </is>
      </c>
      <c r="M782" s="11" t="inlineStr">
        <is>
          <t>• [Must] Data holders and users must join financial data sharing schemes for contractual and technical interaction
• [Must] Schemes must develop data and interface standards, joint contractual frameworks, and governance rules
• [Must] Schemes must ensure inclusive governance with balanced representation of data holders, users, and customers
• [Must] Schemes must have transparency requirements and effective appeal procedures for decisions
• [Must] Schemes must comply with Union rules on consumer protection, data protection, privacy, and competition
• [Must] Schemes must not restrict competition in a substantial part of the relevant market
• [May] Data holders may use existing market standards when developing common standards
• [May] Data holders may request reasonable compensation from data users for interface implementation
• [Must] Compensation must be limited to costs incurred for facilitating data access for SMEs
• [Must] Schemes must establish liability rules for data breaches and dispute resolution between data holders and users</t>
        </is>
      </c>
      <c r="N782" s="11" t="inlineStr">
        <is>
          <t>Data holders and data users should be required to be part of financial data sharing schemes.</t>
        </is>
      </c>
      <c r="O782" s="12" t="inlineStr">
        <is>
          <t>Open PDF</t>
        </is>
      </c>
    </row>
    <row r="783">
      <c r="A783" t="inlineStr">
        <is>
          <t>GDPR</t>
        </is>
      </c>
      <c r="B783" t="inlineStr">
        <is>
          <t>CELEX_52023PC0360_EN_TXT (GDPR - Row 13)</t>
        </is>
      </c>
      <c r="C783" t="inlineStr">
        <is>
          <t>5 (part 5)</t>
        </is>
      </c>
      <c r="D783" s="11" t="inlineStr">
        <is>
          <t>Periodic penalties and expedited enforcement for financial data breaches</t>
        </is>
      </c>
      <c r="E783" t="inlineStr">
        <is>
          <t>23–26</t>
        </is>
      </c>
      <c r="F783" t="inlineStr">
        <is>
          <t>High</t>
        </is>
      </c>
      <c r="G783" t="inlineStr">
        <is>
          <t>High (explicit)</t>
        </is>
      </c>
      <c r="H783" s="11" t="inlineStr">
        <is>
          <t>Cross-border Transfer, Financial Data, Incident Reporting, Breach Notification</t>
        </is>
      </c>
      <c r="I783" s="11" t="inlineStr">
        <is>
          <t>Financial Data</t>
        </is>
      </c>
      <c r="J783" t="inlineStr">
        <is>
          <t>Member States</t>
        </is>
      </c>
      <c r="K783" s="11" t="inlineStr">
        <is>
          <t>Member States must establish specific rules for periodic penalty payments on financial information service providers and their management bodies. Competent authorities can impose these penalties to compel compliance with orders, such as providing information or terminating breaches. Penalties must be calculated daily unless Member States specify otherwise. Member States may encourage expedited enforcement procedures but are not required to implement them, and must notify the Commission if they do so.</t>
        </is>
      </c>
      <c r="L783" s="11" t="inlineStr">
        <is>
          <t>Periodic penalties and expedited enforcement mechanisms create conditions for financial data breaches that require cross-border coordination and transparency in penalty applications. These mechanisms affect how penalties are calculated and enforced across jurisdictions.</t>
        </is>
      </c>
      <c r="M783" s="11" t="inlineStr">
        <is>
          <t>• [Must] Member States should lay down specific rules and effective mechanisms regarding the application of periodic penalty payments
• [Must] Competent authorities should be empowered to impose periodic penalty payments on financial information service providers
• [Must Not] Periodic penalty payments should not prevent subsequent administrative sanctions for the same infringement
• [Condition] Periodic penalty payments should be calculated on a daily basis unless otherwise provided by Member States
• [May] Member States may encourage expedited enforcement procedures but are not required to implement them
• [Must] Member States must notify the Commission if they empower competent authorities to use expedited enforcement procedures</t>
        </is>
      </c>
      <c r="N783" s="11" t="inlineStr">
        <is>
          <t>Member States should lay down specific rules and effective mechanisms regarding the application of periodic penalty payments.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t>
        </is>
      </c>
      <c r="O783" s="12" t="inlineStr">
        <is>
          <t>Open PDF</t>
        </is>
      </c>
    </row>
    <row r="784">
      <c r="A784" t="inlineStr">
        <is>
          <t>GDPR</t>
        </is>
      </c>
      <c r="B784" t="inlineStr">
        <is>
          <t>CELEX_52023PC0360_EN_TXT (GDPR - Row 13)</t>
        </is>
      </c>
      <c r="C784" t="inlineStr">
        <is>
          <t>5 (part 6)</t>
        </is>
      </c>
      <c r="D784" s="11" t="inlineStr">
        <is>
          <t>Data sharing and access for financial information service providers</t>
        </is>
      </c>
      <c r="E784" t="inlineStr">
        <is>
          <t>26–27</t>
        </is>
      </c>
      <c r="F784" t="inlineStr">
        <is>
          <t>High</t>
        </is>
      </c>
      <c r="G784" t="inlineStr">
        <is>
          <t>High (explicit)</t>
        </is>
      </c>
      <c r="H784" s="11" t="inlineStr">
        <is>
          <t>Cross-border Transfer, Financial Data, Data Sharing</t>
        </is>
      </c>
      <c r="I784" s="11" t="inlineStr">
        <is>
          <t>Financial Data</t>
        </is>
      </c>
      <c r="J784" t="inlineStr">
        <is>
          <t>Member States</t>
        </is>
      </c>
      <c r="K784" s="11" t="inlineStr">
        <is>
          <t>Financial information service providers must notify their competent authority when accessing data held by data holders in other Member States. They must specify the type of data, financial data sharing scheme, and Member States where access is intended. This regulation ensures cross-border data access for financial services while maintaining regulatory oversight.</t>
        </is>
      </c>
      <c r="L784" s="11" t="inlineStr">
        <is>
          <t>Requires financial information service providers to notify authorities when accessing cross-border data, creating specific conditions for international data transfers that must be documented and reported.</t>
        </is>
      </c>
      <c r="M784" s="11" t="inlineStr">
        <is>
          <t>• [Must] Financial information service providers must notify their competent authority when accessing data held by data holders in another Member State
• [Must] Providers must specify the type of data, financial data sharing scheme, and Member States where access is intended</t>
        </is>
      </c>
      <c r="N784" s="11" t="inlineStr">
        <is>
          <t>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t>
        </is>
      </c>
      <c r="O784" s="12" t="inlineStr">
        <is>
          <t>Open PDF</t>
        </is>
      </c>
    </row>
    <row r="785">
      <c r="A785" t="inlineStr">
        <is>
          <t>GDPR</t>
        </is>
      </c>
      <c r="B785" t="inlineStr">
        <is>
          <t>CELEX_52023PC0360_EN_TXT (GDPR - Row 13)</t>
        </is>
      </c>
      <c r="C785" t="inlineStr">
        <is>
          <t>6</t>
        </is>
      </c>
      <c r="D785" s="11" t="inlineStr">
        <is>
          <t>Conditions for delegated acts to enter into force</t>
        </is>
      </c>
      <c r="E785" t="inlineStr">
        <is>
          <t>36–37</t>
        </is>
      </c>
      <c r="F785" t="inlineStr">
        <is>
          <t>None</t>
        </is>
      </c>
      <c r="G785" t="inlineStr">
        <is>
          <t>High (explicit)</t>
        </is>
      </c>
      <c r="H785" s="11" t="inlineStr">
        <is>
          <t>Governance</t>
        </is>
      </c>
      <c r="I785" s="11" t="inlineStr"/>
      <c r="J785" t="inlineStr"/>
      <c r="K785" s="11"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 This establishes a procedural safeguard for legislative adoption.</t>
        </is>
      </c>
      <c r="L785" s="11" t="inlineStr"/>
      <c r="M785" s="11" t="inlineStr">
        <is>
          <t>• [Must] A delegated act adopted pursuant to Article 11 shall enter into force only if no objection has been expressed by the European Parliament or Council within three months of notification
• [Condition] The period for objections may be extended by three months on the initiative of the European Parliament or Council</t>
        </is>
      </c>
      <c r="N785" s="11"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785" s="12" t="inlineStr">
        <is>
          <t>Open PDF</t>
        </is>
      </c>
    </row>
    <row r="786">
      <c r="A786" t="inlineStr">
        <is>
          <t>GDPR</t>
        </is>
      </c>
      <c r="B786" t="inlineStr">
        <is>
          <t>CELEX_52023PC0360_EN_TXT (GDPR - Row 13)</t>
        </is>
      </c>
      <c r="C786" t="inlineStr">
        <is>
          <t>6</t>
        </is>
      </c>
      <c r="D786" s="11" t="inlineStr">
        <is>
          <t>Conditions for delegated acts to enter into force</t>
        </is>
      </c>
      <c r="E786" t="inlineStr">
        <is>
          <t>40</t>
        </is>
      </c>
      <c r="F786" t="inlineStr">
        <is>
          <t>None</t>
        </is>
      </c>
      <c r="G786" t="inlineStr">
        <is>
          <t>High (explicit)</t>
        </is>
      </c>
      <c r="H786" s="11" t="inlineStr">
        <is>
          <t>Governance</t>
        </is>
      </c>
      <c r="I786" s="11" t="inlineStr"/>
      <c r="J786" t="inlineStr"/>
      <c r="K786" s="11"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 This establishes a procedural safeguard for legislative adoption.</t>
        </is>
      </c>
      <c r="L786" s="11" t="inlineStr"/>
      <c r="M786" s="11" t="inlineStr">
        <is>
          <t>• [Must] A delegated act adopted pursuant to Article 11 shall enter into force only if no objection has been expressed by the European Parliament or Council within three months of notification
• [Condition] The period for objections may be extended by three months on the initiative of the European Parliament or Council</t>
        </is>
      </c>
      <c r="N786" s="11"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786" s="12" t="inlineStr">
        <is>
          <t>Open PDF</t>
        </is>
      </c>
    </row>
    <row r="787">
      <c r="A787" t="inlineStr">
        <is>
          <t>GDPR</t>
        </is>
      </c>
      <c r="B787" t="inlineStr">
        <is>
          <t>CELEX_52023PC0360_EN_TXT (GDPR - Row 13)</t>
        </is>
      </c>
      <c r="C787" t="inlineStr">
        <is>
          <t>6</t>
        </is>
      </c>
      <c r="D787" s="11" t="inlineStr">
        <is>
          <t>Conditions for delegated acts to enter into force</t>
        </is>
      </c>
      <c r="E787" t="inlineStr">
        <is>
          <t>51</t>
        </is>
      </c>
      <c r="F787" t="inlineStr">
        <is>
          <t>None</t>
        </is>
      </c>
      <c r="G787" t="inlineStr">
        <is>
          <t>High (explicit)</t>
        </is>
      </c>
      <c r="H787" s="11" t="inlineStr">
        <is>
          <t>Governance</t>
        </is>
      </c>
      <c r="I787" s="11" t="inlineStr"/>
      <c r="J787" t="inlineStr"/>
      <c r="K787" s="11"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 This establishes a procedural safeguard for legislative adoption.</t>
        </is>
      </c>
      <c r="L787" s="11" t="inlineStr"/>
      <c r="M787" s="11" t="inlineStr">
        <is>
          <t>• [Must] A delegated act adopted pursuant to Article 11 shall enter into force only if no objection has been expressed by the European Parliament or Council within three months of notification
• [Condition] The period for objections may be extended by three months on the initiative of the European Parliament or Council</t>
        </is>
      </c>
      <c r="N787" s="11"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c r="O787" s="12" t="inlineStr">
        <is>
          <t>Open PDF</t>
        </is>
      </c>
    </row>
    <row r="788">
      <c r="A788" t="inlineStr">
        <is>
          <t>GDPR</t>
        </is>
      </c>
      <c r="B788" t="inlineStr">
        <is>
          <t>CELEX_52023PC0360_EN_TXT (GDPR - Row 13)</t>
        </is>
      </c>
      <c r="C788" t="inlineStr">
        <is>
          <t>7</t>
        </is>
      </c>
      <c r="D788" s="11" t="inlineStr">
        <is>
          <t>Conditions for withdrawing financial information service provider authorisation</t>
        </is>
      </c>
      <c r="E788" t="inlineStr">
        <is>
          <t>40–41</t>
        </is>
      </c>
      <c r="F788" t="inlineStr">
        <is>
          <t>High</t>
        </is>
      </c>
      <c r="G788" t="inlineStr">
        <is>
          <t>High (explicit)</t>
        </is>
      </c>
      <c r="H788" s="11" t="inlineStr">
        <is>
          <t>Cross-border Transfer, Financial Data, Security</t>
        </is>
      </c>
      <c r="I788" s="11" t="inlineStr">
        <is>
          <t>Financial Data</t>
        </is>
      </c>
      <c r="J788" t="inlineStr">
        <is>
          <t>Competent authority</t>
        </is>
      </c>
      <c r="K788" s="11" t="inlineStr">
        <is>
          <t>The competent authority may withdraw authorization from a financial information service provider if the provider fails to use the authorization within 12 months, renounces it, ceases business for over six months, obtained authorization through false statements, no longer meets authorization conditions, fails to report major developments, or poses a risk to consumer protection and data security. The authority must provide reasons and notify affected parties, and publish the withdrawal anonymously.</t>
        </is>
      </c>
      <c r="L788" s="11" t="inlineStr">
        <is>
          <t>This section outlines conditions under which a regulator can revoke authorization for financial data services, impacting cross-border data transfers by requiring ongoing compliance and timely reporting to ensure service providers meet security and consumer protection standards.</t>
        </is>
      </c>
      <c r="M788" s="11" t="inlineStr">
        <is>
          <t>• [Must Not] The provider does not use the authorization within 12 months
• [Must Not] The provider expressly renounces the authorization
• [Must Not] The provider has ceased to engage in business for more than 6 months
• [Must Not] The authorization was obtained through false statements or irregular means
• [Must Not] The provider no longer meets conditions for granting authorization
• [Must Not] The provider fails to inform the competent authority on major developments
• [Must Not] The withdrawal constitutes a risk to consumer protection and data security
• [Notification] The competent authority gives reasons for withdrawal
• [Notification] The competent authority informs those concerned of withdrawal
• [Notification] The competent authority publishes withdrawal in anonymized version</t>
        </is>
      </c>
      <c r="N788" s="11" t="inlineStr">
        <is>
          <t>The competent authority may withdraw an authorisation issued to a financial information service provider only if the provider: (a) does not make use of the authorisation within 12 months, expressly renounces the authorisation or has ceased to engage in business for more than 6 months; (b) has obtained the authorisation through false statements or any other irregular means; (c) no longer meets the conditions for granting the authorisation or fails to inform the competent authority on major developments in this respect; (d) would constitute a risk to consumer protection and the security of data. The competent authority shall give reasons for any withdrawal of an authorisation and shall inform those concerned accordingly. The competent authority shall make public the withdrawal of an authorisation, in an anonymised version.</t>
        </is>
      </c>
      <c r="O788" s="12" t="inlineStr">
        <is>
          <t>Open PDF</t>
        </is>
      </c>
    </row>
    <row r="789">
      <c r="A789" t="inlineStr">
        <is>
          <t>GDPR</t>
        </is>
      </c>
      <c r="B789" t="inlineStr">
        <is>
          <t>CELEX_52023PC0360_EN_TXT (GDPR - Row 13)</t>
        </is>
      </c>
      <c r="C789" t="inlineStr">
        <is>
          <t>11</t>
        </is>
      </c>
      <c r="D789" s="11" t="inlineStr">
        <is>
          <t>Data sharing requirements for data holders</t>
        </is>
      </c>
      <c r="E789" t="inlineStr">
        <is>
          <t>31–32</t>
        </is>
      </c>
      <c r="F789" t="inlineStr">
        <is>
          <t>High</t>
        </is>
      </c>
      <c r="G789" t="inlineStr">
        <is>
          <t>High (explicit)</t>
        </is>
      </c>
      <c r="H789" s="11" t="inlineStr">
        <is>
          <t>Data Sharing, Security, Data Storage</t>
        </is>
      </c>
      <c r="I789" s="11" t="inlineStr">
        <is>
          <t>Customer Data</t>
        </is>
      </c>
      <c r="J789" t="inlineStr"/>
      <c r="K789" s="11" t="inlineStr">
        <is>
          <t>When sharing customer data with data users, data holders must provide data in standardized formats, ensure secure communication, verify customer authorization, provide permission dashboards for monitoring, and protect trade secrets and intellectual property rights. These requirements ensure secure and compliant data sharing practices.</t>
        </is>
      </c>
      <c r="L789" s="11" t="inlineStr">
        <is>
          <t>This section specifies technical and procedural safeguards for data sharing, including format standards, security protocols, and customer authorization verification, critical for DTIA compliance in financial data transfers.</t>
        </is>
      </c>
      <c r="M789" s="11" t="inlineStr">
        <is>
          <t>• [Must] Make customer data available to the data user in a format based on generally recognised standards and at least in the same quality available to the data holder
• [Must] Communicate securely with the data user by ensuring an appropriate level of security for the processing and transmission of customer data
• [Must] Request data users to demonstrate that they have obtained the permission of the customer to access the customer data held by the data holder
• [Must] Provide the customer with a permission dashboard to monitor and manage permissions in accordance with Article 8
• [Must] Respect the confidentiality of trade secrets and intellectual property rights when customer data is accessed in accordance with Article 5(1)</t>
        </is>
      </c>
      <c r="N789" s="11" t="inlineStr">
        <is>
          <t>When making data available pursuant to paragraph 1, the data holder shall: (a) make customer data available to the data user in a format based on generally recognised standards and at least in the same quality available to the data holder; (b) communicate securely with the data user by ensuring an appropriate level of security for the processing and transmission of customer data; (c) request data users to demonstrate that they have obtained the permission of the customer to access the customer data held by the data holder; (d) provide the customer with a permission dashboard to monitor and manage permissions in accordance with Article 8. (e) respect the confidentiality of trade secrets and intellectual property rights when customer data is accessed in accordance with Article 5(1).</t>
        </is>
      </c>
      <c r="O789" s="12" t="inlineStr">
        <is>
          <t>Open PDF</t>
        </is>
      </c>
    </row>
    <row r="790">
      <c r="A790" t="inlineStr">
        <is>
          <t>GDPR</t>
        </is>
      </c>
      <c r="B790" t="inlineStr">
        <is>
          <t>Final report on amending GLs on ICT risk and security (GDPR - Row 4)</t>
        </is>
      </c>
      <c r="C790" t="inlineStr">
        <is>
          <t>1</t>
        </is>
      </c>
      <c r="D790" s="11" t="inlineStr">
        <is>
          <t>EBA publishes ICT and security risk management guidelines</t>
        </is>
      </c>
      <c r="E790" t="inlineStr">
        <is>
          <t>3</t>
        </is>
      </c>
      <c r="F790" t="inlineStr">
        <is>
          <t>High</t>
        </is>
      </c>
      <c r="G790" t="inlineStr">
        <is>
          <t>High (explicit)</t>
        </is>
      </c>
      <c r="H790" s="11" t="inlineStr">
        <is>
          <t>Security, Governance</t>
        </is>
      </c>
      <c r="I790" s="11" t="inlineStr">
        <is>
          <t>Financial Data</t>
        </is>
      </c>
      <c r="J790" t="inlineStr">
        <is>
          <t>EBA</t>
        </is>
      </c>
      <c r="K790" s="11" t="inlineStr">
        <is>
          <t>The EBA published ICT and security risk management guidelines on 27 November 2019, building on provisions from CRD and PSD2 directives. These guidelines establish requirements for credit institutions, investment firms, and payment service providers to mitigate ICT and security risks. The guidelines entered into force the following year and replaced previous security measures guidelines for operational and security risks.</t>
        </is>
      </c>
      <c r="L790" s="11" t="inlineStr"/>
      <c r="M790" s="11" t="inlineStr">
        <is>
          <t>• [Must] EBA published ICT and security risk management guidelines on 27 November 2019
• [Must] Guidelines build on provisions of Article 74 of Directive 2013/36/EU (CRD) and Article 95(3) of Directive (EU) 2015/2366 (PSD2)
• [Must] Guidelines establish requirements for credit institutions, investment firms, and payment service providers on ICT and security risk mitigation
• [Must] Guidelines aim to ensure consistent and robust approach across Single market
• [Must] Guidelines entered into force the following year and are applicable today
• [Must] Guidelines replace previous security measures guidelines for operational and security risks (EBA GL/2017/17)</t>
        </is>
      </c>
      <c r="N790" s="11" t="inlineStr">
        <is>
          <t>On 27 November 2019, the EBA published the Guidelines on ICT and security risk management (EBA/GL/2019/04) which were built on the provisions of Article 74 of Directive 2013/36/EU (CRD) and Article 95(3) of Directive (EU) 2015/2366 (PSD2). These Guidelines establish requirements for credit institutions, investment firms and payment service providers on the mitigation and management of their information and communication technology (ICT) and security risks and aim to ensure a consistent and robust approach across the Single market. The Guidelines entered into force the following year and are applicable to the present day replacing those on security measures for operational and security risks (EBA GL/2017/17), which were repealed.</t>
        </is>
      </c>
      <c r="O790" s="12" t="inlineStr">
        <is>
          <t>Open PDF</t>
        </is>
      </c>
    </row>
    <row r="791">
      <c r="A791" t="inlineStr">
        <is>
          <t>GDPR</t>
        </is>
      </c>
      <c r="B791" t="inlineStr">
        <is>
          <t>Final report on amending GLs on ICT risk and security (GDPR - Row 4)</t>
        </is>
      </c>
      <c r="C791" t="inlineStr">
        <is>
          <t>2</t>
        </is>
      </c>
      <c r="D791" s="11" t="inlineStr">
        <is>
          <t>EBA guidelines set supervisory practices for financial institutions</t>
        </is>
      </c>
      <c r="E791" t="inlineStr">
        <is>
          <t>3</t>
        </is>
      </c>
      <c r="F791" t="inlineStr">
        <is>
          <t>High</t>
        </is>
      </c>
      <c r="G791" t="inlineStr">
        <is>
          <t>High (explicit)</t>
        </is>
      </c>
      <c r="H791" s="11" t="inlineStr">
        <is>
          <t>Governance</t>
        </is>
      </c>
      <c r="I791" s="11" t="inlineStr">
        <is>
          <t>Financial Data</t>
        </is>
      </c>
      <c r="J791" t="inlineStr"/>
      <c r="K791" s="11" t="inlineStr">
        <is>
          <t>This section states that the EBA guidelines set the EBA's view of appropriate supervisory practices within the European System of Financial Supervision or how Union law should be applied in a particular area. Competent authorities must incorporate these guidelines into their practices by amending their legal frameworks or supervisory processes, especially when the guidelines are directed primarily at institutions.</t>
        </is>
      </c>
      <c r="L791" s="11" t="inlineStr"/>
      <c r="M791" s="11" t="inlineStr">
        <is>
          <t>• [Statement] Guidelines set the EBA view of appropriate supervisory practices within the European System of Financial Supervision or of how Union law should be applied in a particular area
• [Requirement] Competent authorities as defined in Article 4(2) of Regulation (EU) No 1093/2010 to whom guidelines apply should comply by incorporating them into their practices as appropriate (e.g. by amending their legal framework or their supervisory processes)</t>
        </is>
      </c>
      <c r="N791" s="11" t="inlineStr">
        <is>
          <t>2. 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c r="O791" s="12" t="inlineStr">
        <is>
          <t>Open PDF</t>
        </is>
      </c>
    </row>
    <row r="792">
      <c r="A792" t="inlineStr">
        <is>
          <t>GDPR</t>
        </is>
      </c>
      <c r="B792" t="inlineStr">
        <is>
          <t>Final report on amending GLs on ICT risk and security (GDPR - Row 4)</t>
        </is>
      </c>
      <c r="C792" t="inlineStr">
        <is>
          <t>2</t>
        </is>
      </c>
      <c r="D792" s="11" t="inlineStr">
        <is>
          <t>EBA guidelines set supervisory practices for financial institutions</t>
        </is>
      </c>
      <c r="E792" t="inlineStr">
        <is>
          <t>6–8</t>
        </is>
      </c>
      <c r="F792" t="inlineStr">
        <is>
          <t>High</t>
        </is>
      </c>
      <c r="G792" t="inlineStr">
        <is>
          <t>High (explicit)</t>
        </is>
      </c>
      <c r="H792" s="11" t="inlineStr">
        <is>
          <t>Governance</t>
        </is>
      </c>
      <c r="I792" s="11" t="inlineStr">
        <is>
          <t>Financial Data</t>
        </is>
      </c>
      <c r="J792" t="inlineStr"/>
      <c r="K792" s="11" t="inlineStr">
        <is>
          <t>This section states that the EBA guidelines set the EBA's view of appropriate supervisory practices within the European System of Financial Supervision or how Union law should be applied in a particular area. Competent authorities must incorporate these guidelines into their practices by amending their legal frameworks or supervisory processes, especially when the guidelines are directed primarily at institutions.</t>
        </is>
      </c>
      <c r="L792" s="11" t="inlineStr"/>
      <c r="M792" s="11" t="inlineStr">
        <is>
          <t>• [Statement] Guidelines set the EBA view of appropriate supervisory practices within the European System of Financial Supervision or of how Union law should be applied in a particular area
• [Requirement] Competent authorities as defined in Article 4(2) of Regulation (EU) No 1093/2010 to whom guidelines apply should comply by incorporating them into their practices as appropriate (e.g. by amending their legal framework or their supervisory processes)</t>
        </is>
      </c>
      <c r="N792" s="11" t="inlineStr">
        <is>
          <t>2. 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c r="O792" s="12" t="inlineStr">
        <is>
          <t>Open PDF</t>
        </is>
      </c>
    </row>
    <row r="793">
      <c r="A793" t="inlineStr">
        <is>
          <t>GDPR</t>
        </is>
      </c>
      <c r="B793" t="inlineStr">
        <is>
          <t>Final report on amending GLs on ICT risk and security (GDPR - Row 4)</t>
        </is>
      </c>
      <c r="C793" t="inlineStr">
        <is>
          <t>2</t>
        </is>
      </c>
      <c r="D793" s="11" t="inlineStr">
        <is>
          <t>EBA guidelines set supervisory practices for financial institutions</t>
        </is>
      </c>
      <c r="E793" t="inlineStr">
        <is>
          <t>8</t>
        </is>
      </c>
      <c r="F793" t="inlineStr">
        <is>
          <t>High</t>
        </is>
      </c>
      <c r="G793" t="inlineStr">
        <is>
          <t>High (explicit)</t>
        </is>
      </c>
      <c r="H793" s="11" t="inlineStr">
        <is>
          <t>Governance</t>
        </is>
      </c>
      <c r="I793" s="11" t="inlineStr">
        <is>
          <t>Financial Data</t>
        </is>
      </c>
      <c r="J793" t="inlineStr"/>
      <c r="K793" s="11" t="inlineStr">
        <is>
          <t>This section states that the EBA guidelines set the EBA's view of appropriate supervisory practices within the European System of Financial Supervision or how Union law should be applied in a particular area. Competent authorities must incorporate these guidelines into their practices by amending their legal frameworks or supervisory processes, especially when the guidelines are directed primarily at institutions.</t>
        </is>
      </c>
      <c r="L793" s="11" t="inlineStr"/>
      <c r="M793" s="11" t="inlineStr">
        <is>
          <t>• [Statement] Guidelines set the EBA view of appropriate supervisory practices within the European System of Financial Supervision or of how Union law should be applied in a particular area
• [Requirement] Competent authorities as defined in Article 4(2) of Regulation (EU) No 1093/2010 to whom guidelines apply should comply by incorporating them into their practices as appropriate (e.g. by amending their legal framework or their supervisory processes)</t>
        </is>
      </c>
      <c r="N793" s="11" t="inlineStr">
        <is>
          <t>2. 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c r="O793" s="12" t="inlineStr">
        <is>
          <t>Open PDF</t>
        </is>
      </c>
    </row>
    <row r="794">
      <c r="A794" t="inlineStr">
        <is>
          <t>GDPR</t>
        </is>
      </c>
      <c r="B794" t="inlineStr">
        <is>
          <t>Final report on amending GLs on ICT risk and security (GDPR - Row 4)</t>
        </is>
      </c>
      <c r="C794" t="inlineStr">
        <is>
          <t>3</t>
        </is>
      </c>
      <c r="D794" s="11" t="inlineStr">
        <is>
          <t>Competent authorities must notify EBA of compliance with guidelines by 2025-05-20</t>
        </is>
      </c>
      <c r="E794" t="inlineStr">
        <is>
          <t>3</t>
        </is>
      </c>
      <c r="F794" t="inlineStr">
        <is>
          <t>High</t>
        </is>
      </c>
      <c r="G794" t="inlineStr">
        <is>
          <t>High (explicit)</t>
        </is>
      </c>
      <c r="H794" s="11" t="inlineStr"/>
      <c r="I794" s="11" t="inlineStr">
        <is>
          <t>Financial Data</t>
        </is>
      </c>
      <c r="J794" t="inlineStr">
        <is>
          <t>EBA</t>
        </is>
      </c>
      <c r="K794" s="11" t="inlineStr">
        <is>
          <t>Competent authorities must notify the European Banking Authority (EBA) by May 20, 2025, whether they comply with the guidelines or intend to comply, providing reasons for non-compliance. Failure to notify by this deadline results in the EBA considering the authorities non-compliant. Notifications must be submitted using the EBA's specified form with reference 'EBA/GL/2025/02' by authorized personnel.</t>
        </is>
      </c>
      <c r="L794" s="11" t="inlineStr">
        <is>
          <t>Competent authorities must report compliance status with these guidelines to the EBA by a specific deadline; this affects DTIA by requiring timely notification of compliance status for cross-border financial regulatory alignment.</t>
        </is>
      </c>
      <c r="M794" s="11" t="inlineStr">
        <is>
          <t>• [Must] Competent authorities must notify the EBA by 20.05.2025 whether they comply or intend to comply with these guidelines
• [Must] Competent authorities must provide reasons for non-compliance if they do not comply
• [Must] Notifications must be submitted using the EBA form with reference 'EBA/GL/2025/02'
• [Must] Notifications must be submitted by persons with appropriate authority
• [Must] Any change in compliance status must be reported to the EBA</t>
        </is>
      </c>
      <c r="N794" s="11" t="inlineStr">
        <is>
          <t>According to Article 16(3) of Regulation (EU) No 1093/2010, competent authorities must notify the EBA as to whether they comply or intend to comply with these guidelines, or otherwise with reasons for non-compliance, by 20.05.2025.</t>
        </is>
      </c>
      <c r="O794" s="12" t="inlineStr">
        <is>
          <t>Open PDF</t>
        </is>
      </c>
    </row>
    <row r="795">
      <c r="A795" t="inlineStr">
        <is>
          <t>GDPR</t>
        </is>
      </c>
      <c r="B795" t="inlineStr">
        <is>
          <t>Final report on amending GLs on ICT risk and security (GDPR - Row 4)</t>
        </is>
      </c>
      <c r="C795" t="inlineStr">
        <is>
          <t>3</t>
        </is>
      </c>
      <c r="D795" s="11" t="inlineStr">
        <is>
          <t>Competent authorities must notify EBA of compliance with guidelines by 2025-05-20</t>
        </is>
      </c>
      <c r="E795" t="inlineStr">
        <is>
          <t>8</t>
        </is>
      </c>
      <c r="F795" t="inlineStr">
        <is>
          <t>High</t>
        </is>
      </c>
      <c r="G795" t="inlineStr">
        <is>
          <t>High (explicit)</t>
        </is>
      </c>
      <c r="H795" s="11" t="inlineStr"/>
      <c r="I795" s="11" t="inlineStr">
        <is>
          <t>Financial Data</t>
        </is>
      </c>
      <c r="J795" t="inlineStr">
        <is>
          <t>EBA</t>
        </is>
      </c>
      <c r="K795" s="11" t="inlineStr">
        <is>
          <t>Competent authorities must notify the European Banking Authority (EBA) by May 20, 2025, whether they comply with the guidelines or intend to comply, providing reasons for non-compliance. Failure to notify by this deadline results in the EBA considering the authorities non-compliant. Notifications must be submitted using the EBA's specified form with reference 'EBA/GL/2025/02' by authorized personnel.</t>
        </is>
      </c>
      <c r="L795" s="11" t="inlineStr">
        <is>
          <t>Competent authorities must report compliance status with these guidelines to the EBA by a specific deadline; this affects DTIA by requiring timely notification of compliance status for cross-border financial regulatory alignment.</t>
        </is>
      </c>
      <c r="M795" s="11" t="inlineStr">
        <is>
          <t>• [Must] Competent authorities must notify the EBA by 20.05.2025 whether they comply or intend to comply with these guidelines
• [Must] Competent authorities must provide reasons for non-compliance if they do not comply
• [Must] Notifications must be submitted using the EBA form with reference 'EBA/GL/2025/02'
• [Must] Notifications must be submitted by persons with appropriate authority
• [Must] Any change in compliance status must be reported to the EBA</t>
        </is>
      </c>
      <c r="N795" s="11" t="inlineStr">
        <is>
          <t>According to Article 16(3) of Regulation (EU) No 1093/2010, competent authorities must notify the EBA as to whether they comply or intend to comply with these guidelines, or otherwise with reasons for non-compliance, by 20.05.2025.</t>
        </is>
      </c>
      <c r="O795" s="12" t="inlineStr">
        <is>
          <t>Open PDF</t>
        </is>
      </c>
    </row>
    <row r="796">
      <c r="A796" t="inlineStr">
        <is>
          <t>GDPR</t>
        </is>
      </c>
      <c r="B796" t="inlineStr">
        <is>
          <t>Final report on amending GLs on ICT risk and security (GDPR - Row 4)</t>
        </is>
      </c>
      <c r="C796" t="inlineStr">
        <is>
          <t>4</t>
        </is>
      </c>
      <c r="D796" s="11" t="inlineStr">
        <is>
          <t>EBA publishes compliance notifications on its website</t>
        </is>
      </c>
      <c r="E796" t="inlineStr">
        <is>
          <t>8–9</t>
        </is>
      </c>
      <c r="F796" t="inlineStr">
        <is>
          <t>High</t>
        </is>
      </c>
      <c r="G796" t="inlineStr">
        <is>
          <t>High (explicit)</t>
        </is>
      </c>
      <c r="H796" s="11" t="inlineStr"/>
      <c r="I796" s="11" t="inlineStr">
        <is>
          <t>Financial Data</t>
        </is>
      </c>
      <c r="J796" t="inlineStr">
        <is>
          <t>EBA</t>
        </is>
      </c>
      <c r="K796" s="11" t="inlineStr">
        <is>
          <t>EBA will publish notifications of compliance status from competent authorities on its official website, as required by Article 16(3) of Regulation (EU) No 1093/2010. This transparency measure ensures public accessibility of compliance information for stakeholders.</t>
        </is>
      </c>
      <c r="L796" s="11" t="inlineStr">
        <is>
          <t>Public disclosure of compliance notifications affects DTIA by making compliance status visible to stakeholders, which may influence cross-border regulatory trust and transparency.</t>
        </is>
      </c>
      <c r="M796" s="11" t="inlineStr">
        <is>
          <t>• [Must] EBA will publish compliance notifications on its website</t>
        </is>
      </c>
      <c r="N796" s="11" t="inlineStr">
        <is>
          <t>Notifications will be published on the EBA website, in line with Article 16(3).</t>
        </is>
      </c>
      <c r="O796" s="12" t="inlineStr">
        <is>
          <t>Open PDF</t>
        </is>
      </c>
    </row>
    <row r="797">
      <c r="A797" t="inlineStr">
        <is>
          <t>GDPR</t>
        </is>
      </c>
      <c r="B797" t="inlineStr">
        <is>
          <t>Final report on amending GLs on ICT risk and security (GDPR - Row 4)</t>
        </is>
      </c>
      <c r="C797" t="inlineStr">
        <is>
          <t>5</t>
        </is>
      </c>
      <c r="D797" s="11" t="inlineStr">
        <is>
          <t>Guidelines apply to competent authorities and payment service providers</t>
        </is>
      </c>
      <c r="E797" t="inlineStr">
        <is>
          <t>3–4</t>
        </is>
      </c>
      <c r="F797" t="inlineStr">
        <is>
          <t>High</t>
        </is>
      </c>
      <c r="G797" t="inlineStr">
        <is>
          <t>High (explicit)</t>
        </is>
      </c>
      <c r="H797" s="11" t="inlineStr"/>
      <c r="I797" s="11" t="inlineStr">
        <is>
          <t>Financial Data</t>
        </is>
      </c>
      <c r="J797" t="inlineStr"/>
      <c r="K797" s="11" t="inlineStr">
        <is>
          <t>These guidelines apply to competent authorities as defined in Article 4(2)(vii) of Regulation (EU) No 1093/2010 and financial institutions that are payment service providers under Article 1(1) of Directive (EU) 2015/2366. The scope includes natural or legal persons benefiting from exemptions under specific directives.</t>
        </is>
      </c>
      <c r="L797" s="11" t="inlineStr">
        <is>
          <t>The scope definition directly impacts DTIA by specifying which entities must comply with security measures for payment services, affecting cross-border data handling obligations.</t>
        </is>
      </c>
      <c r="M797" s="11" t="inlineStr">
        <is>
          <t>• [Must] Guidelines apply to competent authorities as defined in Article 4(2)(vii) of Regulation (EU) No 1093/2010
• [Must] Guidelines apply to financial institutions that are payment service providers under Article 1(1) of Directive (EU) 2015/2366</t>
        </is>
      </c>
      <c r="N797" s="11" t="inlineStr">
        <is>
          <t>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O797" s="12" t="inlineStr">
        <is>
          <t>Open PDF</t>
        </is>
      </c>
    </row>
    <row r="798">
      <c r="A798" t="inlineStr">
        <is>
          <t>GDPR</t>
        </is>
      </c>
      <c r="B798" t="inlineStr">
        <is>
          <t>Final report on amending GLs on ICT risk and security (GDPR - Row 4)</t>
        </is>
      </c>
      <c r="C798" t="inlineStr">
        <is>
          <t>5</t>
        </is>
      </c>
      <c r="D798" s="11" t="inlineStr">
        <is>
          <t>Guidelines apply to competent authorities and payment service providers</t>
        </is>
      </c>
      <c r="E798" t="inlineStr">
        <is>
          <t>9</t>
        </is>
      </c>
      <c r="F798" t="inlineStr">
        <is>
          <t>High</t>
        </is>
      </c>
      <c r="G798" t="inlineStr">
        <is>
          <t>High (explicit)</t>
        </is>
      </c>
      <c r="H798" s="11" t="inlineStr"/>
      <c r="I798" s="11" t="inlineStr">
        <is>
          <t>Financial Data</t>
        </is>
      </c>
      <c r="J798" t="inlineStr"/>
      <c r="K798" s="11" t="inlineStr">
        <is>
          <t>These guidelines apply to competent authorities as defined in Article 4(2)(vii) of Regulation (EU) No 1093/2010 and financial institutions that are payment service providers under Article 1(1) of Directive (EU) 2015/2366. The scope includes natural or legal persons benefiting from exemptions under specific directives.</t>
        </is>
      </c>
      <c r="L798" s="11" t="inlineStr">
        <is>
          <t>The scope definition directly impacts DTIA by specifying which entities must comply with security measures for payment services, affecting cross-border data handling obligations.</t>
        </is>
      </c>
      <c r="M798" s="11" t="inlineStr">
        <is>
          <t>• [Must] Guidelines apply to competent authorities as defined in Article 4(2)(vii) of Regulation (EU) No 1093/2010
• [Must] Guidelines apply to financial institutions that are payment service providers under Article 1(1) of Directive (EU) 2015/2366</t>
        </is>
      </c>
      <c r="N798" s="11" t="inlineStr">
        <is>
          <t>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O798" s="12" t="inlineStr">
        <is>
          <t>Open PDF</t>
        </is>
      </c>
    </row>
    <row r="799">
      <c r="A799" t="inlineStr">
        <is>
          <t>GDPR</t>
        </is>
      </c>
      <c r="B799" t="inlineStr">
        <is>
          <t>Final report on amending GLs on ICT risk and security (GDPR - Row 4)</t>
        </is>
      </c>
      <c r="C799" t="inlineStr">
        <is>
          <t>8</t>
        </is>
      </c>
      <c r="D799" s="11" t="inlineStr">
        <is>
          <t>Guidelines cover payment user relationship management under DORA</t>
        </is>
      </c>
      <c r="E799" t="inlineStr">
        <is>
          <t>4</t>
        </is>
      </c>
      <c r="F799" t="inlineStr">
        <is>
          <t>High</t>
        </is>
      </c>
      <c r="G799" t="inlineStr">
        <is>
          <t>High (explicit)</t>
        </is>
      </c>
      <c r="H799" s="11" t="inlineStr"/>
      <c r="I799" s="11" t="inlineStr">
        <is>
          <t>Financial Data</t>
        </is>
      </c>
      <c r="J799" t="inlineStr"/>
      <c r="K799" s="11" t="inlineStr">
        <is>
          <t>These guidelines are based on the mandate to issue guidelines under Article 95(3) of Directive (EU) 2015/2366 and cover aspects of payment user relationship management. They complement risk management measures under the Digital Operational Resilience Act (DORA) and related Regulatory Technical Standards for payment service providers.</t>
        </is>
      </c>
      <c r="L799" s="11" t="inlineStr">
        <is>
          <t>The guidelines specify security measures for payment services under DORA, which directly impacts DTIA by requiring robust security protocols for cross-border payment data handling.</t>
        </is>
      </c>
      <c r="M799" s="11" t="inlineStr">
        <is>
          <t>• [Must] Guidelines cover aspects of payment user relationship management
• [Must] Guidelines complement risk management measures under DORA</t>
        </is>
      </c>
      <c r="N799" s="11" t="inlineStr">
        <is>
          <t>These guidelines are based on the mandate to issue guidelines under Article 95(3) of Directive (EU) 2015/2366 and cover aspects of payment user relationship management.</t>
        </is>
      </c>
      <c r="O799" s="12" t="inlineStr">
        <is>
          <t>Open PDF</t>
        </is>
      </c>
    </row>
    <row r="800">
      <c r="A800" t="inlineStr">
        <is>
          <t>GDPR</t>
        </is>
      </c>
      <c r="B800" t="inlineStr">
        <is>
          <t>Final report on amending GLs on ICT risk and security (GDPR - Row 4)</t>
        </is>
      </c>
      <c r="C800" t="inlineStr">
        <is>
          <t>8</t>
        </is>
      </c>
      <c r="D800" s="11" t="inlineStr">
        <is>
          <t>Guidelines cover payment user relationship management under DORA</t>
        </is>
      </c>
      <c r="E800" t="inlineStr">
        <is>
          <t>9</t>
        </is>
      </c>
      <c r="F800" t="inlineStr">
        <is>
          <t>High</t>
        </is>
      </c>
      <c r="G800" t="inlineStr">
        <is>
          <t>High (explicit)</t>
        </is>
      </c>
      <c r="H800" s="11" t="inlineStr"/>
      <c r="I800" s="11" t="inlineStr">
        <is>
          <t>Financial Data</t>
        </is>
      </c>
      <c r="J800" t="inlineStr"/>
      <c r="K800" s="11" t="inlineStr">
        <is>
          <t>These guidelines are based on the mandate to issue guidelines under Article 95(3) of Directive (EU) 2015/2366 and cover aspects of payment user relationship management. They complement risk management measures under the Digital Operational Resilience Act (DORA) and related Regulatory Technical Standards for payment service providers.</t>
        </is>
      </c>
      <c r="L800" s="11" t="inlineStr">
        <is>
          <t>The guidelines specify security measures for payment services under DORA, which directly impacts DTIA by requiring robust security protocols for cross-border payment data handling.</t>
        </is>
      </c>
      <c r="M800" s="11" t="inlineStr">
        <is>
          <t>• [Must] Guidelines cover aspects of payment user relationship management
• [Must] Guidelines complement risk management measures under DORA</t>
        </is>
      </c>
      <c r="N800" s="11" t="inlineStr">
        <is>
          <t>These guidelines are based on the mandate to issue guidelines under Article 95(3) of Directive (EU) 2015/2366 and cover aspects of payment user relationship management.</t>
        </is>
      </c>
      <c r="O800" s="12" t="inlineStr">
        <is>
          <t>Open PDF</t>
        </is>
      </c>
    </row>
    <row r="801">
      <c r="A801" t="inlineStr">
        <is>
          <t>GDPR</t>
        </is>
      </c>
      <c r="B801" t="inlineStr">
        <is>
          <t>Final report on amending GLs on ICT risk and security (GDPR - Row 4)</t>
        </is>
      </c>
      <c r="C801" t="inlineStr">
        <is>
          <t>9</t>
        </is>
      </c>
      <c r="D801" s="11" t="inlineStr">
        <is>
          <t>Scope of application for guidelines is deleted</t>
        </is>
      </c>
      <c r="E801" t="inlineStr">
        <is>
          <t>9–10</t>
        </is>
      </c>
      <c r="F801" t="inlineStr">
        <is>
          <t>High</t>
        </is>
      </c>
      <c r="G801" t="inlineStr">
        <is>
          <t>High (explicit)</t>
        </is>
      </c>
      <c r="H801" s="11" t="inlineStr"/>
      <c r="I801" s="11" t="inlineStr">
        <is>
          <t>Financial Data</t>
        </is>
      </c>
      <c r="J801" t="inlineStr"/>
      <c r="K801" s="11" t="inlineStr">
        <is>
          <t>The scope of application for the guidelines is deleted, meaning the guidelines now apply to the specific mandate under Article 95(3) of Directive (EU) 2015/2366 for payment service providers. This deletion streamlines the scope to focus on security measures for payment services.</t>
        </is>
      </c>
      <c r="L801" s="11" t="inlineStr">
        <is>
          <t>The deletion of the scope ensures the guidelines focus exclusively on payment service providers' security measures, which is critical for DTIA in payment-related data transfers.</t>
        </is>
      </c>
      <c r="M801" s="11" t="inlineStr">
        <is>
          <t>• [Must] Scope of application for guidelines is deleted</t>
        </is>
      </c>
      <c r="N801" s="11" t="inlineStr">
        <is>
          <t>The scope of application as set out in paragraphs 7 and 8 is deleted.</t>
        </is>
      </c>
      <c r="O801" s="12" t="inlineStr">
        <is>
          <t>Open PDF</t>
        </is>
      </c>
    </row>
    <row r="802">
      <c r="A802" t="inlineStr">
        <is>
          <t>GDPR</t>
        </is>
      </c>
      <c r="B802" t="inlineStr">
        <is>
          <t>Final report on amending GLs on ICT risk and security (GDPR - Row 4)</t>
        </is>
      </c>
      <c r="C802" t="inlineStr">
        <is>
          <t>10</t>
        </is>
      </c>
      <c r="D802" s="11" t="inlineStr">
        <is>
          <t>Guidelines apply to specific payment service providers</t>
        </is>
      </c>
      <c r="E802" t="inlineStr">
        <is>
          <t>4</t>
        </is>
      </c>
      <c r="F802" t="inlineStr">
        <is>
          <t>High</t>
        </is>
      </c>
      <c r="G802" t="inlineStr">
        <is>
          <t>High (explicit)</t>
        </is>
      </c>
      <c r="H802" s="11" t="inlineStr"/>
      <c r="I802" s="11" t="inlineStr">
        <is>
          <t>Financial Data</t>
        </is>
      </c>
      <c r="J802" t="inlineStr"/>
      <c r="K802" s="11" t="inlineStr">
        <is>
          <t>These guidelines apply to competent authorities as defined in Article 4(2)(vii) of Regulation (EU) No 1093/2010 and financial institutions that are payment service providers under Article 1(1) of Directive (EU) 2015/2366. This includes entities benefiting from exemptions under Article 32 or 33 of Directive (EU) 2015/2366 and legal persons exempted under Article 9 of Directive 2009/110/EC.</t>
        </is>
      </c>
      <c r="L802" s="11" t="inlineStr">
        <is>
          <t>The specific scope definition affects DTIA by clarifying which entities must implement security measures for payment services, including exempted entities.</t>
        </is>
      </c>
      <c r="M802" s="11" t="inlineStr">
        <is>
          <t>• [Must] Guidelines apply to competent authorities as defined in Article 4(2)(vii) of Regulation (EU) No 1093/2010
• [Must] Guidelines apply to financial institutions that are payment service providers under Article 1(1) of Directive (EU) 2015/2366
• [Must] Includes natural or legal persons benefiting from exemptions under Article 32 or 33 of Directive (EU) 2015/2366
• [Must] Includes legal persons exempted under Article 9 of Directive 2009/110/EC</t>
        </is>
      </c>
      <c r="N802" s="11" t="inlineStr">
        <is>
          <t>These guidelines are addressed to competent authorities as defined in Article 4 point (2) point (vii) of Regulation (EU) No 1093/2010 and to financial institutions as defined in Article 4(1) of Regulation No 1093/2010, which are payment service providers as defined in Article 1(1) point (a), point (b) and point (d) of Directive (EU) 2015/2366, including natural or legal persons benefiting from an exemption pursuant to Article 32 or 33 of Directive (EU) 2015/2366 and legal persons exempted under Article 9 of Directive 2009/110/EC.</t>
        </is>
      </c>
      <c r="O802" s="12" t="inlineStr">
        <is>
          <t>Open PDF</t>
        </is>
      </c>
    </row>
    <row r="803">
      <c r="A803" t="inlineStr">
        <is>
          <t>GDPR</t>
        </is>
      </c>
      <c r="B803" t="inlineStr">
        <is>
          <t>Final report on amending GLs on ICT risk and security (GDPR - Row 4)</t>
        </is>
      </c>
      <c r="C803" t="inlineStr">
        <is>
          <t>10</t>
        </is>
      </c>
      <c r="D803" s="11" t="inlineStr">
        <is>
          <t>Guidelines apply to specific payment service providers</t>
        </is>
      </c>
      <c r="E803" t="inlineStr">
        <is>
          <t>10</t>
        </is>
      </c>
      <c r="F803" t="inlineStr">
        <is>
          <t>High</t>
        </is>
      </c>
      <c r="G803" t="inlineStr">
        <is>
          <t>High (explicit)</t>
        </is>
      </c>
      <c r="H803" s="11" t="inlineStr"/>
      <c r="I803" s="11" t="inlineStr">
        <is>
          <t>Financial Data</t>
        </is>
      </c>
      <c r="J803" t="inlineStr"/>
      <c r="K803" s="11" t="inlineStr">
        <is>
          <t>These guidelines apply to competent authorities as defined in Article 4(2)(vii) of Regulation (EU) No 1093/2010 and financial institutions that are payment service providers under Article 1(1) of Directive (EU) 2015/2366. This includes entities benefiting from exemptions under Article 32 or 33 of Directive (EU) 2015/2366 and legal persons exempted under Article 9 of Directive 2009/110/EC.</t>
        </is>
      </c>
      <c r="L803" s="11" t="inlineStr">
        <is>
          <t>The specific scope definition affects DTIA by clarifying which entities must implement security measures for payment services, including exempted entities.</t>
        </is>
      </c>
      <c r="M803" s="11" t="inlineStr">
        <is>
          <t>• [Must] Guidelines apply to competent authorities as defined in Article 4(2)(vii) of Regulation (EU) No 1093/2010
• [Must] Guidelines apply to financial institutions that are payment service providers under Article 1(1) of Directive (EU) 2015/2366
• [Must] Includes natural or legal persons benefiting from exemptions under Article 32 or 33 of Directive (EU) 2015/2366
• [Must] Includes legal persons exempted under Article 9 of Directive 2009/110/EC</t>
        </is>
      </c>
      <c r="N803" s="11" t="inlineStr">
        <is>
          <t>These guidelines are addressed to competent authorities as defined in Article 4 point (2) point (vii) of Regulation (EU) No 1093/2010 and to financial institutions as defined in Article 4(1) of Regulation No 1093/2010, which are payment service providers as defined in Article 1(1) point (a), point (b) and point (d) of Directive (EU) 2015/2366, including natural or legal persons benefiting from an exemption pursuant to Article 32 or 33 of Directive (EU) 2015/2366 and legal persons exempted under Article 9 of Directive 2009/110/EC.</t>
        </is>
      </c>
      <c r="O803" s="12" t="inlineStr">
        <is>
          <t>Open PDF</t>
        </is>
      </c>
    </row>
    <row r="804">
      <c r="A804" t="inlineStr">
        <is>
          <t>GDPR</t>
        </is>
      </c>
      <c r="B804" t="inlineStr">
        <is>
          <t>Final report on amending GLs on ICT risk and security (GDPR - Row 4)</t>
        </is>
      </c>
      <c r="C804" t="inlineStr">
        <is>
          <t>11</t>
        </is>
      </c>
      <c r="D804" s="11" t="inlineStr">
        <is>
          <t>Removal of specific definitions from scope</t>
        </is>
      </c>
      <c r="E804" t="inlineStr">
        <is>
          <t>4–5</t>
        </is>
      </c>
      <c r="F804" t="inlineStr">
        <is>
          <t>None</t>
        </is>
      </c>
      <c r="G804" t="inlineStr">
        <is>
          <t>High (explicit)</t>
        </is>
      </c>
      <c r="H804" s="11" t="inlineStr"/>
      <c r="I804" s="11" t="inlineStr">
        <is>
          <t>Personal Information</t>
        </is>
      </c>
      <c r="J804" t="inlineStr"/>
      <c r="K804" s="11" t="inlineStr">
        <is>
          <t>This section explicitly deletes certain definitions previously outlined in paragraph 10. The deletion applies to the definitions listed in that paragraph. The section does not introduce new definitions or obligations but removes existing ones from the scope of the regulation.</t>
        </is>
      </c>
      <c r="L804" s="11" t="inlineStr"/>
      <c r="M804" s="11" t="inlineStr">
        <is>
          <t>• [Restriction] The definitions as set out in paragraph 10 are deleted</t>
        </is>
      </c>
      <c r="N804" s="11" t="inlineStr">
        <is>
          <t>The definitions as set out in paragraph 10 are deleted.</t>
        </is>
      </c>
      <c r="O804" s="12" t="inlineStr">
        <is>
          <t>Open PDF</t>
        </is>
      </c>
    </row>
    <row r="805">
      <c r="A805" t="inlineStr">
        <is>
          <t>GDPR</t>
        </is>
      </c>
      <c r="B805" t="inlineStr">
        <is>
          <t>Final report on amending GLs on ICT risk and security (GDPR - Row 4)</t>
        </is>
      </c>
      <c r="C805" t="inlineStr">
        <is>
          <t>11</t>
        </is>
      </c>
      <c r="D805" s="11" t="inlineStr">
        <is>
          <t>Removal of specific definitions from scope</t>
        </is>
      </c>
      <c r="E805" t="inlineStr">
        <is>
          <t>10</t>
        </is>
      </c>
      <c r="F805" t="inlineStr">
        <is>
          <t>None</t>
        </is>
      </c>
      <c r="G805" t="inlineStr">
        <is>
          <t>High (explicit)</t>
        </is>
      </c>
      <c r="H805" s="11" t="inlineStr"/>
      <c r="I805" s="11" t="inlineStr">
        <is>
          <t>Personal Information</t>
        </is>
      </c>
      <c r="J805" t="inlineStr"/>
      <c r="K805" s="11" t="inlineStr">
        <is>
          <t>This section explicitly deletes certain definitions previously outlined in paragraph 10. The deletion applies to the definitions listed in that paragraph. The section does not introduce new definitions or obligations but removes existing ones from the scope of the regulation.</t>
        </is>
      </c>
      <c r="L805" s="11" t="inlineStr"/>
      <c r="M805" s="11" t="inlineStr">
        <is>
          <t>• [Restriction] The definitions as set out in paragraph 10 are deleted</t>
        </is>
      </c>
      <c r="N805" s="11" t="inlineStr">
        <is>
          <t>The definitions as set out in paragraph 10 are deleted.</t>
        </is>
      </c>
      <c r="O805" s="12" t="inlineStr">
        <is>
          <t>Open PDF</t>
        </is>
      </c>
    </row>
    <row r="806">
      <c r="A806" t="inlineStr">
        <is>
          <t>GDPR</t>
        </is>
      </c>
      <c r="B806" t="inlineStr">
        <is>
          <t>Final report on amending GLs on ICT risk and security (GDPR - Row 4)</t>
        </is>
      </c>
      <c r="C806" t="inlineStr">
        <is>
          <t>12</t>
        </is>
      </c>
      <c r="D806" s="11" t="inlineStr">
        <is>
          <t>Credit institutions and investment firms overlap with DORA financial entities</t>
        </is>
      </c>
      <c r="E806" t="inlineStr">
        <is>
          <t>5</t>
        </is>
      </c>
      <c r="F806" t="inlineStr">
        <is>
          <t>High</t>
        </is>
      </c>
      <c r="G806" t="inlineStr">
        <is>
          <t>High (explicit)</t>
        </is>
      </c>
      <c r="H806" s="11" t="inlineStr">
        <is>
          <t>Financial Data</t>
        </is>
      </c>
      <c r="I806" s="11" t="inlineStr">
        <is>
          <t>Financial Data</t>
        </is>
      </c>
      <c r="J806" t="inlineStr"/>
      <c r="K806" s="11" t="inlineStr">
        <is>
          <t>This section states that credit institutions and investment firms as defined in Article 4(1) point 3 of Regulation (EU) No 575/2013 overlap with financial entities subject to DORA and related RTS on RMF. The overlap indicates that these entities are covered by both the EBA Guidelines on ICT and security risk management and the DORA framework, which requires specific risk management practices.</t>
        </is>
      </c>
      <c r="L806" s="11" t="inlineStr"/>
      <c r="M806" s="11" t="inlineStr">
        <is>
          <t>• [Statement] Credit institutions and investment firms as defined in point 3 of Article 4(1) of Regulation (EU) No 575/2013 overlap with financial entities subject to DORA and the related RTS on RMF</t>
        </is>
      </c>
      <c r="N806" s="11" t="inlineStr">
        <is>
          <t>12. Credit institutions and investment firms as defined in point 3 of Article 4(1) of Regulation (EU) No 575/2013, addressees of the EBA Guidelines on ICT and security risk management overlap with the financial entities subject to DORA and the related RTS on RMF.</t>
        </is>
      </c>
      <c r="O806" s="12" t="inlineStr">
        <is>
          <t>Open PDF</t>
        </is>
      </c>
    </row>
    <row r="807">
      <c r="A807" t="inlineStr">
        <is>
          <t>GDPR</t>
        </is>
      </c>
      <c r="B807" t="inlineStr">
        <is>
          <t>Final report on amending GLs on ICT risk and security (GDPR - Row 4)</t>
        </is>
      </c>
      <c r="C807" t="inlineStr">
        <is>
          <t>13</t>
        </is>
      </c>
      <c r="D807" s="11" t="inlineStr">
        <is>
          <t>EBA gap analysis shows most security gaps covered by DORA</t>
        </is>
      </c>
      <c r="E807" t="inlineStr">
        <is>
          <t>5</t>
        </is>
      </c>
      <c r="F807" t="inlineStr">
        <is>
          <t>High</t>
        </is>
      </c>
      <c r="G807" t="inlineStr">
        <is>
          <t>High (explicit)</t>
        </is>
      </c>
      <c r="H807" s="11" t="inlineStr">
        <is>
          <t>Security</t>
        </is>
      </c>
      <c r="I807" s="11" t="inlineStr">
        <is>
          <t>Financial Data</t>
        </is>
      </c>
      <c r="J807" t="inlineStr"/>
      <c r="K807" s="11" t="inlineStr">
        <is>
          <t>This section states that the EBA's May 2024 gap analysis found that the majority of identified gaps related to authentication methods, information security policies, and ICT operations management were not material and were holistically covered by the new DORA framework. The statement indicates that the DORA framework addresses most security-related gaps previously identified.</t>
        </is>
      </c>
      <c r="L807" s="11" t="inlineStr"/>
      <c r="M807" s="11" t="inlineStr">
        <is>
          <t>• [Statement] The EBA carried out a gap analysis in May 2024 and arrived at the view that the majority of gaps identified which relate to authentication methods, requirements for the information security policy and ICT operations management were not material and holistically covered by the new DORA framework</t>
        </is>
      </c>
      <c r="N807" s="11" t="inlineStr">
        <is>
          <t>13. The EBA carried out a gap analysis in May 2024 and arrived at the view that the majority of the gaps identified which relate to authentication methods, requirements for the information security policy and ICT operations management, were not material and holistically covered by the new DORA framework.</t>
        </is>
      </c>
      <c r="O807" s="12" t="inlineStr">
        <is>
          <t>Open PDF</t>
        </is>
      </c>
    </row>
    <row r="808">
      <c r="A808" t="inlineStr">
        <is>
          <t>GDPR</t>
        </is>
      </c>
      <c r="B808" t="inlineStr">
        <is>
          <t>Final report on amending GLs on ICT risk and security (GDPR - Row 4)</t>
        </is>
      </c>
      <c r="C808" t="inlineStr">
        <is>
          <t>16</t>
        </is>
      </c>
      <c r="D808" s="11" t="inlineStr">
        <is>
          <t>EBA definitions overlap with DORA Article 3</t>
        </is>
      </c>
      <c r="E808" t="inlineStr">
        <is>
          <t>5</t>
        </is>
      </c>
      <c r="F808" t="inlineStr">
        <is>
          <t>High</t>
        </is>
      </c>
      <c r="G808" t="inlineStr">
        <is>
          <t>High (explicit)</t>
        </is>
      </c>
      <c r="H808" s="11" t="inlineStr"/>
      <c r="I808" s="11" t="inlineStr">
        <is>
          <t>Financial Data</t>
        </is>
      </c>
      <c r="J808" t="inlineStr"/>
      <c r="K808" s="11" t="inlineStr">
        <is>
          <t>This section states that the definitions included in the EBA Guidelines on ICT and security risk management overlap with DORA Article 3. The overlap indicates that the definitions used in the EBA Guidelines are consistent with the definitions in the DORA framework, which is relevant for ensuring alignment in regulatory practices.</t>
        </is>
      </c>
      <c r="L808" s="11" t="inlineStr"/>
      <c r="M808" s="11" t="inlineStr">
        <is>
          <t>• [Statement] The definitions included in EBA Guidelines on ICT and security risk management overlap with DORA Article (3)</t>
        </is>
      </c>
      <c r="N808" s="11" t="inlineStr">
        <is>
          <t>16. The definitions included in EBA Guidelines on ICT and security risk management overlap with DORA Article (3).</t>
        </is>
      </c>
      <c r="O808" s="12" t="inlineStr">
        <is>
          <t>Open PDF</t>
        </is>
      </c>
    </row>
    <row r="809">
      <c r="A809" t="inlineStr">
        <is>
          <t>GDPR</t>
        </is>
      </c>
      <c r="B809" t="inlineStr">
        <is>
          <t>OJ_L_202302854_EN_TXT (GDPR - Row 11)</t>
        </is>
      </c>
      <c r="C809" t="inlineStr">
        <is>
          <t>1</t>
        </is>
      </c>
      <c r="D809" s="11" t="inlineStr">
        <is>
          <t>GDPR evaluation report by Commission</t>
        </is>
      </c>
      <c r="E809" t="inlineStr">
        <is>
          <t>32</t>
        </is>
      </c>
      <c r="F809" t="inlineStr">
        <is>
          <t>High</t>
        </is>
      </c>
      <c r="G809" t="inlineStr">
        <is>
          <t>High (explicit)</t>
        </is>
      </c>
      <c r="H809" s="11" t="inlineStr"/>
      <c r="I809" s="11" t="inlineStr"/>
      <c r="J809" t="inlineStr">
        <is>
          <t>European Commission</t>
        </is>
      </c>
      <c r="K809" s="11" t="inlineStr">
        <is>
          <t>The Commission must evaluate GDPR by September 2028 and report findings to the European Parliament, Council, and Economic and Social Committee. The evaluation covers data access, use, economic impact, data sharing, and SME compliance, among other areas.</t>
        </is>
      </c>
      <c r="L809" s="11" t="inlineStr">
        <is>
          <t>Requires a comprehensive evaluation of GDPR's impact on data sharing and processing, which informs future data transfer compliance frameworks.</t>
        </is>
      </c>
      <c r="M809"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09" s="11" t="inlineStr">
        <is>
          <t>By 12 September 2028, the Commission shall carry out an evaluation of this Regulation and submit a report on its main findings to the European Parliament and to the Council, and to the European Economic and Social Committee.</t>
        </is>
      </c>
      <c r="O809" s="12" t="inlineStr">
        <is>
          <t>Open PDF</t>
        </is>
      </c>
    </row>
    <row r="810">
      <c r="A810" t="inlineStr">
        <is>
          <t>GDPR</t>
        </is>
      </c>
      <c r="B810" t="inlineStr">
        <is>
          <t>OJ_L_202302854_EN_TXT (GDPR - Row 11)</t>
        </is>
      </c>
      <c r="C810" t="inlineStr">
        <is>
          <t>1</t>
        </is>
      </c>
      <c r="D810" s="11" t="inlineStr">
        <is>
          <t>GDPR evaluation report by Commission</t>
        </is>
      </c>
      <c r="E810" t="inlineStr">
        <is>
          <t>41</t>
        </is>
      </c>
      <c r="F810" t="inlineStr">
        <is>
          <t>High</t>
        </is>
      </c>
      <c r="G810" t="inlineStr">
        <is>
          <t>High (explicit)</t>
        </is>
      </c>
      <c r="H810" s="11" t="inlineStr"/>
      <c r="I810" s="11" t="inlineStr"/>
      <c r="J810" t="inlineStr">
        <is>
          <t>European Commission</t>
        </is>
      </c>
      <c r="K810" s="11" t="inlineStr">
        <is>
          <t>The Commission must evaluate GDPR by September 2028 and report findings to the European Parliament, Council, and Economic and Social Committee. The evaluation covers data access, use, economic impact, data sharing, and SME compliance, among other areas.</t>
        </is>
      </c>
      <c r="L810" s="11" t="inlineStr">
        <is>
          <t>Requires a comprehensive evaluation of GDPR's impact on data sharing and processing, which informs future data transfer compliance frameworks.</t>
        </is>
      </c>
      <c r="M810"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0" s="11" t="inlineStr">
        <is>
          <t>By 12 September 2028, the Commission shall carry out an evaluation of this Regulation and submit a report on its main findings to the European Parliament and to the Council, and to the European Economic and Social Committee.</t>
        </is>
      </c>
      <c r="O810" s="12" t="inlineStr">
        <is>
          <t>Open PDF</t>
        </is>
      </c>
    </row>
    <row r="811">
      <c r="A811" t="inlineStr">
        <is>
          <t>GDPR</t>
        </is>
      </c>
      <c r="B811" t="inlineStr">
        <is>
          <t>OJ_L_202302854_EN_TXT (GDPR - Row 11)</t>
        </is>
      </c>
      <c r="C811" t="inlineStr">
        <is>
          <t>1</t>
        </is>
      </c>
      <c r="D811" s="11" t="inlineStr">
        <is>
          <t>GDPR evaluation report by Commission</t>
        </is>
      </c>
      <c r="E811" t="inlineStr">
        <is>
          <t>45</t>
        </is>
      </c>
      <c r="F811" t="inlineStr">
        <is>
          <t>High</t>
        </is>
      </c>
      <c r="G811" t="inlineStr">
        <is>
          <t>High (explicit)</t>
        </is>
      </c>
      <c r="H811" s="11" t="inlineStr"/>
      <c r="I811" s="11" t="inlineStr"/>
      <c r="J811" t="inlineStr">
        <is>
          <t>European Commission</t>
        </is>
      </c>
      <c r="K811" s="11" t="inlineStr">
        <is>
          <t>The Commission must evaluate GDPR by September 2028 and report findings to the European Parliament, Council, and Economic and Social Committee. The evaluation covers data access, use, economic impact, data sharing, and SME compliance, among other areas.</t>
        </is>
      </c>
      <c r="L811" s="11" t="inlineStr">
        <is>
          <t>Requires a comprehensive evaluation of GDPR's impact on data sharing and processing, which informs future data transfer compliance frameworks.</t>
        </is>
      </c>
      <c r="M811"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1" s="11" t="inlineStr">
        <is>
          <t>By 12 September 2028, the Commission shall carry out an evaluation of this Regulation and submit a report on its main findings to the European Parliament and to the Council, and to the European Economic and Social Committee.</t>
        </is>
      </c>
      <c r="O811" s="12" t="inlineStr">
        <is>
          <t>Open PDF</t>
        </is>
      </c>
    </row>
    <row r="812">
      <c r="A812" t="inlineStr">
        <is>
          <t>GDPR</t>
        </is>
      </c>
      <c r="B812" t="inlineStr">
        <is>
          <t>OJ_L_202302854_EN_TXT (GDPR - Row 11)</t>
        </is>
      </c>
      <c r="C812" t="inlineStr">
        <is>
          <t>1</t>
        </is>
      </c>
      <c r="D812" s="11" t="inlineStr">
        <is>
          <t>GDPR evaluation report by Commission</t>
        </is>
      </c>
      <c r="E812" t="inlineStr">
        <is>
          <t>48</t>
        </is>
      </c>
      <c r="F812" t="inlineStr">
        <is>
          <t>High</t>
        </is>
      </c>
      <c r="G812" t="inlineStr">
        <is>
          <t>High (explicit)</t>
        </is>
      </c>
      <c r="H812" s="11" t="inlineStr"/>
      <c r="I812" s="11" t="inlineStr"/>
      <c r="J812" t="inlineStr">
        <is>
          <t>European Commission</t>
        </is>
      </c>
      <c r="K812" s="11" t="inlineStr">
        <is>
          <t>The Commission must evaluate GDPR by September 2028 and report findings to the European Parliament, Council, and Economic and Social Committee. The evaluation covers data access, use, economic impact, data sharing, and SME compliance, among other areas.</t>
        </is>
      </c>
      <c r="L812" s="11" t="inlineStr">
        <is>
          <t>Requires a comprehensive evaluation of GDPR's impact on data sharing and processing, which informs future data transfer compliance frameworks.</t>
        </is>
      </c>
      <c r="M812"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2" s="11" t="inlineStr">
        <is>
          <t>By 12 September 2028, the Commission shall carry out an evaluation of this Regulation and submit a report on its main findings to the European Parliament and to the Council, and to the European Economic and Social Committee.</t>
        </is>
      </c>
      <c r="O812" s="12" t="inlineStr">
        <is>
          <t>Open PDF</t>
        </is>
      </c>
    </row>
    <row r="813">
      <c r="A813" t="inlineStr">
        <is>
          <t>GDPR</t>
        </is>
      </c>
      <c r="B813" t="inlineStr">
        <is>
          <t>OJ_L_202302854_EN_TXT (GDPR - Row 11)</t>
        </is>
      </c>
      <c r="C813" t="inlineStr">
        <is>
          <t>1</t>
        </is>
      </c>
      <c r="D813" s="11" t="inlineStr">
        <is>
          <t>GDPR evaluation report by Commission</t>
        </is>
      </c>
      <c r="E813" t="inlineStr">
        <is>
          <t>49</t>
        </is>
      </c>
      <c r="F813" t="inlineStr">
        <is>
          <t>High</t>
        </is>
      </c>
      <c r="G813" t="inlineStr">
        <is>
          <t>High (explicit)</t>
        </is>
      </c>
      <c r="H813" s="11" t="inlineStr"/>
      <c r="I813" s="11" t="inlineStr"/>
      <c r="J813" t="inlineStr">
        <is>
          <t>European Commission</t>
        </is>
      </c>
      <c r="K813" s="11" t="inlineStr">
        <is>
          <t>The Commission must evaluate GDPR by September 2028 and report findings to the European Parliament, Council, and Economic and Social Committee. The evaluation covers data access, use, economic impact, data sharing, and SME compliance, among other areas.</t>
        </is>
      </c>
      <c r="L813" s="11" t="inlineStr">
        <is>
          <t>Requires a comprehensive evaluation of GDPR's impact on data sharing and processing, which informs future data transfer compliance frameworks.</t>
        </is>
      </c>
      <c r="M813"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3" s="11" t="inlineStr">
        <is>
          <t>By 12 September 2028, the Commission shall carry out an evaluation of this Regulation and submit a report on its main findings to the European Parliament and to the Council, and to the European Economic and Social Committee.</t>
        </is>
      </c>
      <c r="O813" s="12" t="inlineStr">
        <is>
          <t>Open PDF</t>
        </is>
      </c>
    </row>
    <row r="814">
      <c r="A814" t="inlineStr">
        <is>
          <t>GDPR</t>
        </is>
      </c>
      <c r="B814" t="inlineStr">
        <is>
          <t>OJ_L_202302854_EN_TXT (GDPR - Row 11)</t>
        </is>
      </c>
      <c r="C814" t="inlineStr">
        <is>
          <t>1</t>
        </is>
      </c>
      <c r="D814" s="11" t="inlineStr">
        <is>
          <t>GDPR evaluation report by Commission</t>
        </is>
      </c>
      <c r="E814" t="inlineStr">
        <is>
          <t>50–51</t>
        </is>
      </c>
      <c r="F814" t="inlineStr">
        <is>
          <t>High</t>
        </is>
      </c>
      <c r="G814" t="inlineStr">
        <is>
          <t>High (explicit)</t>
        </is>
      </c>
      <c r="H814" s="11" t="inlineStr"/>
      <c r="I814" s="11" t="inlineStr"/>
      <c r="J814" t="inlineStr">
        <is>
          <t>European Commission</t>
        </is>
      </c>
      <c r="K814" s="11" t="inlineStr">
        <is>
          <t>The Commission must evaluate GDPR by September 2028 and report findings to the European Parliament, Council, and Economic and Social Committee. The evaluation covers data access, use, economic impact, data sharing, and SME compliance, among other areas.</t>
        </is>
      </c>
      <c r="L814" s="11" t="inlineStr">
        <is>
          <t>Requires a comprehensive evaluation of GDPR's impact on data sharing and processing, which informs future data transfer compliance frameworks.</t>
        </is>
      </c>
      <c r="M814"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4" s="11" t="inlineStr">
        <is>
          <t>By 12 September 2028, the Commission shall carry out an evaluation of this Regulation and submit a report on its main findings to the European Parliament and to the Council, and to the European Economic and Social Committee.</t>
        </is>
      </c>
      <c r="O814" s="12" t="inlineStr">
        <is>
          <t>Open PDF</t>
        </is>
      </c>
    </row>
    <row r="815">
      <c r="A815" t="inlineStr">
        <is>
          <t>GDPR</t>
        </is>
      </c>
      <c r="B815" t="inlineStr">
        <is>
          <t>OJ_L_202302854_EN_TXT (GDPR - Row 11)</t>
        </is>
      </c>
      <c r="C815" t="inlineStr">
        <is>
          <t>1</t>
        </is>
      </c>
      <c r="D815" s="11" t="inlineStr">
        <is>
          <t>GDPR evaluation report by Commission</t>
        </is>
      </c>
      <c r="E815" t="inlineStr">
        <is>
          <t>51</t>
        </is>
      </c>
      <c r="F815" t="inlineStr">
        <is>
          <t>High</t>
        </is>
      </c>
      <c r="G815" t="inlineStr">
        <is>
          <t>High (explicit)</t>
        </is>
      </c>
      <c r="H815" s="11" t="inlineStr"/>
      <c r="I815" s="11" t="inlineStr"/>
      <c r="J815" t="inlineStr">
        <is>
          <t>European Commission</t>
        </is>
      </c>
      <c r="K815" s="11" t="inlineStr">
        <is>
          <t>The Commission must evaluate GDPR by September 2028 and report findings to the European Parliament, Council, and Economic and Social Committee. The evaluation covers data access, use, economic impact, data sharing, and SME compliance, among other areas.</t>
        </is>
      </c>
      <c r="L815" s="11" t="inlineStr">
        <is>
          <t>Requires a comprehensive evaluation of GDPR's impact on data sharing and processing, which informs future data transfer compliance frameworks.</t>
        </is>
      </c>
      <c r="M815"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5" s="11" t="inlineStr">
        <is>
          <t>By 12 September 2028, the Commission shall carry out an evaluation of this Regulation and submit a report on its main findings to the European Parliament and to the Council, and to the European Economic and Social Committee.</t>
        </is>
      </c>
      <c r="O815" s="12" t="inlineStr">
        <is>
          <t>Open PDF</t>
        </is>
      </c>
    </row>
    <row r="816">
      <c r="A816" t="inlineStr">
        <is>
          <t>GDPR</t>
        </is>
      </c>
      <c r="B816" t="inlineStr">
        <is>
          <t>OJ_L_202302854_EN_TXT (GDPR - Row 11)</t>
        </is>
      </c>
      <c r="C816" t="inlineStr">
        <is>
          <t>1</t>
        </is>
      </c>
      <c r="D816" s="11" t="inlineStr">
        <is>
          <t>GDPR evaluation report by Commission</t>
        </is>
      </c>
      <c r="E816" t="inlineStr">
        <is>
          <t>54</t>
        </is>
      </c>
      <c r="F816" t="inlineStr">
        <is>
          <t>High</t>
        </is>
      </c>
      <c r="G816" t="inlineStr">
        <is>
          <t>High (explicit)</t>
        </is>
      </c>
      <c r="H816" s="11" t="inlineStr"/>
      <c r="I816" s="11" t="inlineStr"/>
      <c r="J816" t="inlineStr">
        <is>
          <t>European Commission</t>
        </is>
      </c>
      <c r="K816" s="11" t="inlineStr">
        <is>
          <t>The Commission must evaluate GDPR by September 2028 and report findings to the European Parliament, Council, and Economic and Social Committee. The evaluation covers data access, use, economic impact, data sharing, and SME compliance, among other areas.</t>
        </is>
      </c>
      <c r="L816" s="11" t="inlineStr">
        <is>
          <t>Requires a comprehensive evaluation of GDPR's impact on data sharing and processing, which informs future data transfer compliance frameworks.</t>
        </is>
      </c>
      <c r="M816"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6" s="11" t="inlineStr">
        <is>
          <t>By 12 September 2028, the Commission shall carry out an evaluation of this Regulation and submit a report on its main findings to the European Parliament and to the Council, and to the European Economic and Social Committee.</t>
        </is>
      </c>
      <c r="O816" s="12" t="inlineStr">
        <is>
          <t>Open PDF</t>
        </is>
      </c>
    </row>
    <row r="817">
      <c r="A817" t="inlineStr">
        <is>
          <t>GDPR</t>
        </is>
      </c>
      <c r="B817" t="inlineStr">
        <is>
          <t>OJ_L_202302854_EN_TXT (GDPR - Row 11)</t>
        </is>
      </c>
      <c r="C817" t="inlineStr">
        <is>
          <t>1</t>
        </is>
      </c>
      <c r="D817" s="11" t="inlineStr">
        <is>
          <t>GDPR evaluation report by Commission</t>
        </is>
      </c>
      <c r="E817" t="inlineStr">
        <is>
          <t>56</t>
        </is>
      </c>
      <c r="F817" t="inlineStr">
        <is>
          <t>High</t>
        </is>
      </c>
      <c r="G817" t="inlineStr">
        <is>
          <t>High (explicit)</t>
        </is>
      </c>
      <c r="H817" s="11" t="inlineStr"/>
      <c r="I817" s="11" t="inlineStr"/>
      <c r="J817" t="inlineStr">
        <is>
          <t>European Commission</t>
        </is>
      </c>
      <c r="K817" s="11" t="inlineStr">
        <is>
          <t>The Commission must evaluate GDPR by September 2028 and report findings to the European Parliament, Council, and Economic and Social Committee. The evaluation covers data access, use, economic impact, data sharing, and SME compliance, among other areas.</t>
        </is>
      </c>
      <c r="L817" s="11" t="inlineStr">
        <is>
          <t>Requires a comprehensive evaluation of GDPR's impact on data sharing and processing, which informs future data transfer compliance frameworks.</t>
        </is>
      </c>
      <c r="M817"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7" s="11" t="inlineStr">
        <is>
          <t>By 12 September 2028, the Commission shall carry out an evaluation of this Regulation and submit a report on its main findings to the European Parliament and to the Council, and to the European Economic and Social Committee.</t>
        </is>
      </c>
      <c r="O817" s="12" t="inlineStr">
        <is>
          <t>Open PDF</t>
        </is>
      </c>
    </row>
    <row r="818">
      <c r="A818" t="inlineStr">
        <is>
          <t>GDPR</t>
        </is>
      </c>
      <c r="B818" t="inlineStr">
        <is>
          <t>OJ_L_202302854_EN_TXT (GDPR - Row 11)</t>
        </is>
      </c>
      <c r="C818" t="inlineStr">
        <is>
          <t>1</t>
        </is>
      </c>
      <c r="D818" s="11" t="inlineStr">
        <is>
          <t>GDPR evaluation report by Commission</t>
        </is>
      </c>
      <c r="E818" t="inlineStr">
        <is>
          <t>56</t>
        </is>
      </c>
      <c r="F818" t="inlineStr">
        <is>
          <t>High</t>
        </is>
      </c>
      <c r="G818" t="inlineStr">
        <is>
          <t>High (explicit)</t>
        </is>
      </c>
      <c r="H818" s="11" t="inlineStr"/>
      <c r="I818" s="11" t="inlineStr"/>
      <c r="J818" t="inlineStr">
        <is>
          <t>European Commission</t>
        </is>
      </c>
      <c r="K818" s="11" t="inlineStr">
        <is>
          <t>The Commission must evaluate GDPR by September 2028 and report findings to the European Parliament, Council, and Economic and Social Committee. The evaluation covers data access, use, economic impact, data sharing, and SME compliance, among other areas.</t>
        </is>
      </c>
      <c r="L818" s="11" t="inlineStr">
        <is>
          <t>Requires a comprehensive evaluation of GDPR's impact on data sharing and processing, which informs future data transfer compliance frameworks.</t>
        </is>
      </c>
      <c r="M818"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8" s="11" t="inlineStr">
        <is>
          <t>By 12 September 2028, the Commission shall carry out an evaluation of this Regulation and submit a report on its main findings to the European Parliament and to the Council, and to the European Economic and Social Committee.</t>
        </is>
      </c>
      <c r="O818" s="12" t="inlineStr">
        <is>
          <t>Open PDF</t>
        </is>
      </c>
    </row>
    <row r="819">
      <c r="A819" t="inlineStr">
        <is>
          <t>GDPR</t>
        </is>
      </c>
      <c r="B819" t="inlineStr">
        <is>
          <t>OJ_L_202302854_EN_TXT (GDPR - Row 11)</t>
        </is>
      </c>
      <c r="C819" t="inlineStr">
        <is>
          <t>1</t>
        </is>
      </c>
      <c r="D819" s="11" t="inlineStr">
        <is>
          <t>GDPR evaluation report by Commission</t>
        </is>
      </c>
      <c r="E819" t="inlineStr">
        <is>
          <t>57</t>
        </is>
      </c>
      <c r="F819" t="inlineStr">
        <is>
          <t>High</t>
        </is>
      </c>
      <c r="G819" t="inlineStr">
        <is>
          <t>High (explicit)</t>
        </is>
      </c>
      <c r="H819" s="11" t="inlineStr"/>
      <c r="I819" s="11" t="inlineStr"/>
      <c r="J819" t="inlineStr">
        <is>
          <t>European Commission</t>
        </is>
      </c>
      <c r="K819" s="11" t="inlineStr">
        <is>
          <t>The Commission must evaluate GDPR by September 2028 and report findings to the European Parliament, Council, and Economic and Social Committee. The evaluation covers data access, use, economic impact, data sharing, and SME compliance, among other areas.</t>
        </is>
      </c>
      <c r="L819" s="11" t="inlineStr">
        <is>
          <t>Requires a comprehensive evaluation of GDPR's impact on data sharing and processing, which informs future data transfer compliance frameworks.</t>
        </is>
      </c>
      <c r="M819"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19" s="11" t="inlineStr">
        <is>
          <t>By 12 September 2028, the Commission shall carry out an evaluation of this Regulation and submit a report on its main findings to the European Parliament and to the Council, and to the European Economic and Social Committee.</t>
        </is>
      </c>
      <c r="O819" s="12" t="inlineStr">
        <is>
          <t>Open PDF</t>
        </is>
      </c>
    </row>
    <row r="820">
      <c r="A820" t="inlineStr">
        <is>
          <t>GDPR</t>
        </is>
      </c>
      <c r="B820" t="inlineStr">
        <is>
          <t>OJ_L_202302854_EN_TXT (GDPR - Row 11)</t>
        </is>
      </c>
      <c r="C820" t="inlineStr">
        <is>
          <t>1</t>
        </is>
      </c>
      <c r="D820" s="11" t="inlineStr">
        <is>
          <t>GDPR evaluation report by Commission</t>
        </is>
      </c>
      <c r="E820" t="inlineStr">
        <is>
          <t>58</t>
        </is>
      </c>
      <c r="F820" t="inlineStr">
        <is>
          <t>High</t>
        </is>
      </c>
      <c r="G820" t="inlineStr">
        <is>
          <t>High (explicit)</t>
        </is>
      </c>
      <c r="H820" s="11" t="inlineStr"/>
      <c r="I820" s="11" t="inlineStr"/>
      <c r="J820" t="inlineStr">
        <is>
          <t>European Commission</t>
        </is>
      </c>
      <c r="K820" s="11" t="inlineStr">
        <is>
          <t>The Commission must evaluate GDPR by September 2028 and report findings to the European Parliament, Council, and Economic and Social Committee. The evaluation covers data access, use, economic impact, data sharing, and SME compliance, among other areas.</t>
        </is>
      </c>
      <c r="L820" s="11" t="inlineStr">
        <is>
          <t>Requires a comprehensive evaluation of GDPR's impact on data sharing and processing, which informs future data transfer compliance frameworks.</t>
        </is>
      </c>
      <c r="M820"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0" s="11" t="inlineStr">
        <is>
          <t>By 12 September 2028, the Commission shall carry out an evaluation of this Regulation and submit a report on its main findings to the European Parliament and to the Council, and to the European Economic and Social Committee.</t>
        </is>
      </c>
      <c r="O820" s="12" t="inlineStr">
        <is>
          <t>Open PDF</t>
        </is>
      </c>
    </row>
    <row r="821">
      <c r="A821" t="inlineStr">
        <is>
          <t>GDPR</t>
        </is>
      </c>
      <c r="B821" t="inlineStr">
        <is>
          <t>OJ_L_202302854_EN_TXT (GDPR - Row 11)</t>
        </is>
      </c>
      <c r="C821" t="inlineStr">
        <is>
          <t>1</t>
        </is>
      </c>
      <c r="D821" s="11" t="inlineStr">
        <is>
          <t>GDPR evaluation report by Commission</t>
        </is>
      </c>
      <c r="E821" t="inlineStr">
        <is>
          <t>58</t>
        </is>
      </c>
      <c r="F821" t="inlineStr">
        <is>
          <t>High</t>
        </is>
      </c>
      <c r="G821" t="inlineStr">
        <is>
          <t>High (explicit)</t>
        </is>
      </c>
      <c r="H821" s="11" t="inlineStr"/>
      <c r="I821" s="11" t="inlineStr"/>
      <c r="J821" t="inlineStr">
        <is>
          <t>European Commission</t>
        </is>
      </c>
      <c r="K821" s="11" t="inlineStr">
        <is>
          <t>The Commission must evaluate GDPR by September 2028 and report findings to the European Parliament, Council, and Economic and Social Committee. The evaluation covers data access, use, economic impact, data sharing, and SME compliance, among other areas.</t>
        </is>
      </c>
      <c r="L821" s="11" t="inlineStr">
        <is>
          <t>Requires a comprehensive evaluation of GDPR's impact on data sharing and processing, which informs future data transfer compliance frameworks.</t>
        </is>
      </c>
      <c r="M821"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1" s="11" t="inlineStr">
        <is>
          <t>By 12 September 2028, the Commission shall carry out an evaluation of this Regulation and submit a report on its main findings to the European Parliament and to the Council, and to the European Economic and Social Committee.</t>
        </is>
      </c>
      <c r="O821" s="12" t="inlineStr">
        <is>
          <t>Open PDF</t>
        </is>
      </c>
    </row>
    <row r="822">
      <c r="A822" t="inlineStr">
        <is>
          <t>GDPR</t>
        </is>
      </c>
      <c r="B822" t="inlineStr">
        <is>
          <t>OJ_L_202302854_EN_TXT (GDPR - Row 11)</t>
        </is>
      </c>
      <c r="C822" t="inlineStr">
        <is>
          <t>1</t>
        </is>
      </c>
      <c r="D822" s="11" t="inlineStr">
        <is>
          <t>GDPR evaluation report by Commission</t>
        </is>
      </c>
      <c r="E822" t="inlineStr">
        <is>
          <t>59–60</t>
        </is>
      </c>
      <c r="F822" t="inlineStr">
        <is>
          <t>High</t>
        </is>
      </c>
      <c r="G822" t="inlineStr">
        <is>
          <t>High (explicit)</t>
        </is>
      </c>
      <c r="H822" s="11" t="inlineStr"/>
      <c r="I822" s="11" t="inlineStr"/>
      <c r="J822" t="inlineStr">
        <is>
          <t>European Commission</t>
        </is>
      </c>
      <c r="K822" s="11" t="inlineStr">
        <is>
          <t>The Commission must evaluate GDPR by September 2028 and report findings to the European Parliament, Council, and Economic and Social Committee. The evaluation covers data access, use, economic impact, data sharing, and SME compliance, among other areas.</t>
        </is>
      </c>
      <c r="L822" s="11" t="inlineStr">
        <is>
          <t>Requires a comprehensive evaluation of GDPR's impact on data sharing and processing, which informs future data transfer compliance frameworks.</t>
        </is>
      </c>
      <c r="M822"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2" s="11" t="inlineStr">
        <is>
          <t>By 12 September 2028, the Commission shall carry out an evaluation of this Regulation and submit a report on its main findings to the European Parliament and to the Council, and to the European Economic and Social Committee.</t>
        </is>
      </c>
      <c r="O822" s="12" t="inlineStr">
        <is>
          <t>Open PDF</t>
        </is>
      </c>
    </row>
    <row r="823">
      <c r="A823" t="inlineStr">
        <is>
          <t>GDPR</t>
        </is>
      </c>
      <c r="B823" t="inlineStr">
        <is>
          <t>OJ_L_202302854_EN_TXT (GDPR - Row 11)</t>
        </is>
      </c>
      <c r="C823" t="inlineStr">
        <is>
          <t>1</t>
        </is>
      </c>
      <c r="D823" s="11" t="inlineStr">
        <is>
          <t>GDPR evaluation report by Commission</t>
        </is>
      </c>
      <c r="E823" t="inlineStr">
        <is>
          <t>61</t>
        </is>
      </c>
      <c r="F823" t="inlineStr">
        <is>
          <t>High</t>
        </is>
      </c>
      <c r="G823" t="inlineStr">
        <is>
          <t>High (explicit)</t>
        </is>
      </c>
      <c r="H823" s="11" t="inlineStr"/>
      <c r="I823" s="11" t="inlineStr"/>
      <c r="J823" t="inlineStr">
        <is>
          <t>European Commission</t>
        </is>
      </c>
      <c r="K823" s="11" t="inlineStr">
        <is>
          <t>The Commission must evaluate GDPR by September 2028 and report findings to the European Parliament, Council, and Economic and Social Committee. The evaluation covers data access, use, economic impact, data sharing, and SME compliance, among other areas.</t>
        </is>
      </c>
      <c r="L823" s="11" t="inlineStr">
        <is>
          <t>Requires a comprehensive evaluation of GDPR's impact on data sharing and processing, which informs future data transfer compliance frameworks.</t>
        </is>
      </c>
      <c r="M823"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3" s="11" t="inlineStr">
        <is>
          <t>By 12 September 2028, the Commission shall carry out an evaluation of this Regulation and submit a report on its main findings to the European Parliament and to the Council, and to the European Economic and Social Committee.</t>
        </is>
      </c>
      <c r="O823" s="12" t="inlineStr">
        <is>
          <t>Open PDF</t>
        </is>
      </c>
    </row>
    <row r="824">
      <c r="A824" t="inlineStr">
        <is>
          <t>GDPR</t>
        </is>
      </c>
      <c r="B824" t="inlineStr">
        <is>
          <t>OJ_L_202302854_EN_TXT (GDPR - Row 11)</t>
        </is>
      </c>
      <c r="C824" t="inlineStr">
        <is>
          <t>1</t>
        </is>
      </c>
      <c r="D824" s="11" t="inlineStr">
        <is>
          <t>GDPR evaluation report by Commission</t>
        </is>
      </c>
      <c r="E824" t="inlineStr">
        <is>
          <t>61</t>
        </is>
      </c>
      <c r="F824" t="inlineStr">
        <is>
          <t>High</t>
        </is>
      </c>
      <c r="G824" t="inlineStr">
        <is>
          <t>High (explicit)</t>
        </is>
      </c>
      <c r="H824" s="11" t="inlineStr"/>
      <c r="I824" s="11" t="inlineStr"/>
      <c r="J824" t="inlineStr">
        <is>
          <t>European Commission</t>
        </is>
      </c>
      <c r="K824" s="11" t="inlineStr">
        <is>
          <t>The Commission must evaluate GDPR by September 2028 and report findings to the European Parliament, Council, and Economic and Social Committee. The evaluation covers data access, use, economic impact, data sharing, and SME compliance, among other areas.</t>
        </is>
      </c>
      <c r="L824" s="11" t="inlineStr">
        <is>
          <t>Requires a comprehensive evaluation of GDPR's impact on data sharing and processing, which informs future data transfer compliance frameworks.</t>
        </is>
      </c>
      <c r="M824"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4" s="11" t="inlineStr">
        <is>
          <t>By 12 September 2028, the Commission shall carry out an evaluation of this Regulation and submit a report on its main findings to the European Parliament and to the Council, and to the European Economic and Social Committee.</t>
        </is>
      </c>
      <c r="O824" s="12" t="inlineStr">
        <is>
          <t>Open PDF</t>
        </is>
      </c>
    </row>
    <row r="825">
      <c r="A825" t="inlineStr">
        <is>
          <t>GDPR</t>
        </is>
      </c>
      <c r="B825" t="inlineStr">
        <is>
          <t>OJ_L_202302854_EN_TXT (GDPR - Row 11)</t>
        </is>
      </c>
      <c r="C825" t="inlineStr">
        <is>
          <t>1</t>
        </is>
      </c>
      <c r="D825" s="11" t="inlineStr">
        <is>
          <t>GDPR evaluation report by Commission</t>
        </is>
      </c>
      <c r="E825" t="inlineStr">
        <is>
          <t>62</t>
        </is>
      </c>
      <c r="F825" t="inlineStr">
        <is>
          <t>High</t>
        </is>
      </c>
      <c r="G825" t="inlineStr">
        <is>
          <t>High (explicit)</t>
        </is>
      </c>
      <c r="H825" s="11" t="inlineStr"/>
      <c r="I825" s="11" t="inlineStr"/>
      <c r="J825" t="inlineStr">
        <is>
          <t>European Commission</t>
        </is>
      </c>
      <c r="K825" s="11" t="inlineStr">
        <is>
          <t>The Commission must evaluate GDPR by September 2028 and report findings to the European Parliament, Council, and Economic and Social Committee. The evaluation covers data access, use, economic impact, data sharing, and SME compliance, among other areas.</t>
        </is>
      </c>
      <c r="L825" s="11" t="inlineStr">
        <is>
          <t>Requires a comprehensive evaluation of GDPR's impact on data sharing and processing, which informs future data transfer compliance frameworks.</t>
        </is>
      </c>
      <c r="M825"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5" s="11" t="inlineStr">
        <is>
          <t>By 12 September 2028, the Commission shall carry out an evaluation of this Regulation and submit a report on its main findings to the European Parliament and to the Council, and to the European Economic and Social Committee.</t>
        </is>
      </c>
      <c r="O825" s="12" t="inlineStr">
        <is>
          <t>Open PDF</t>
        </is>
      </c>
    </row>
    <row r="826">
      <c r="A826" t="inlineStr">
        <is>
          <t>GDPR</t>
        </is>
      </c>
      <c r="B826" t="inlineStr">
        <is>
          <t>OJ_L_202302854_EN_TXT (GDPR - Row 11)</t>
        </is>
      </c>
      <c r="C826" t="inlineStr">
        <is>
          <t>1</t>
        </is>
      </c>
      <c r="D826" s="11" t="inlineStr">
        <is>
          <t>GDPR evaluation report by Commission</t>
        </is>
      </c>
      <c r="E826" t="inlineStr">
        <is>
          <t>70–71</t>
        </is>
      </c>
      <c r="F826" t="inlineStr">
        <is>
          <t>High</t>
        </is>
      </c>
      <c r="G826" t="inlineStr">
        <is>
          <t>High (explicit)</t>
        </is>
      </c>
      <c r="H826" s="11" t="inlineStr"/>
      <c r="I826" s="11" t="inlineStr"/>
      <c r="J826" t="inlineStr">
        <is>
          <t>European Commission</t>
        </is>
      </c>
      <c r="K826" s="11" t="inlineStr">
        <is>
          <t>The Commission must evaluate GDPR by September 2028 and report findings to the European Parliament, Council, and Economic and Social Committee. The evaluation covers data access, use, economic impact, data sharing, and SME compliance, among other areas.</t>
        </is>
      </c>
      <c r="L826" s="11" t="inlineStr">
        <is>
          <t>Requires a comprehensive evaluation of GDPR's impact on data sharing and processing, which informs future data transfer compliance frameworks.</t>
        </is>
      </c>
      <c r="M826"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situations of exceptional need for Article 15 and Chapter V implementation
• [Must] The evaluation shall assess the impact of this Regulation on data innovation and monetisation
• [Must] The evaluation shall assess the accessibility and use of different categories and types of data
• [Must] The evaluation shall assess the exclusion of certain categories of enterprises as beneficiaries under Article 5
• [Must] The evaluation shall assess the impact on intellectual property rights
• [Must] The evaluation shall assess the impact on trade secrets
• [Must] The evaluation shall assess the impact of the mechanism allowing data holders to refuse user requests
• [Must] The evaluation shall assess the impact on SMEs regarding innovation and data processing services</t>
        </is>
      </c>
      <c r="N826" s="11" t="inlineStr">
        <is>
          <t>By 12 September 2028, the Commission shall carry out an evaluation of this Regulation and submit a report on its main findings to the European Parliament and to the Council, and to the European Economic and Social Committee.</t>
        </is>
      </c>
      <c r="O826" s="12" t="inlineStr">
        <is>
          <t>Open PDF</t>
        </is>
      </c>
    </row>
    <row r="827">
      <c r="A827" t="inlineStr">
        <is>
          <t>GDPR</t>
        </is>
      </c>
      <c r="B827" t="inlineStr">
        <is>
          <t>OJ_L_202302854_EN_TXT (GDPR - Row 11)</t>
        </is>
      </c>
      <c r="C827" t="inlineStr">
        <is>
          <t>2</t>
        </is>
      </c>
      <c r="D827" s="11" t="inlineStr">
        <is>
          <t>GDPR evaluation report for SMEs</t>
        </is>
      </c>
      <c r="E827" t="inlineStr">
        <is>
          <t>32</t>
        </is>
      </c>
      <c r="F827" t="inlineStr">
        <is>
          <t>High</t>
        </is>
      </c>
      <c r="G827" t="inlineStr">
        <is>
          <t>High (explicit)</t>
        </is>
      </c>
      <c r="H827" s="11" t="inlineStr"/>
      <c r="I827" s="11" t="inlineStr"/>
      <c r="J827" t="inlineStr">
        <is>
          <t>European Commission</t>
        </is>
      </c>
      <c r="K827" s="11" t="inlineStr">
        <is>
          <t>The Commission must evaluate GDPR by September 2028 and report findings to the European Parliament, Council, and Economic and Social Committee. The evaluation focuses on pricing and data processing services for SME providers within the Union.</t>
        </is>
      </c>
      <c r="L827" s="11" t="inlineStr">
        <is>
          <t>Specifically assesses the impact of GDPR on SME data processing services, which affects data transfer compliance for small businesses.</t>
        </is>
      </c>
      <c r="M827"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27"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27" s="12" t="inlineStr">
        <is>
          <t>Open PDF</t>
        </is>
      </c>
    </row>
    <row r="828">
      <c r="A828" t="inlineStr">
        <is>
          <t>GDPR</t>
        </is>
      </c>
      <c r="B828" t="inlineStr">
        <is>
          <t>OJ_L_202302854_EN_TXT (GDPR - Row 11)</t>
        </is>
      </c>
      <c r="C828" t="inlineStr">
        <is>
          <t>2</t>
        </is>
      </c>
      <c r="D828" s="11" t="inlineStr">
        <is>
          <t>GDPR evaluation report for SMEs</t>
        </is>
      </c>
      <c r="E828" t="inlineStr">
        <is>
          <t>38</t>
        </is>
      </c>
      <c r="F828" t="inlineStr">
        <is>
          <t>High</t>
        </is>
      </c>
      <c r="G828" t="inlineStr">
        <is>
          <t>High (explicit)</t>
        </is>
      </c>
      <c r="H828" s="11" t="inlineStr"/>
      <c r="I828" s="11" t="inlineStr"/>
      <c r="J828" t="inlineStr">
        <is>
          <t>European Commission</t>
        </is>
      </c>
      <c r="K828" s="11" t="inlineStr">
        <is>
          <t>The Commission must evaluate GDPR by September 2028 and report findings to the European Parliament, Council, and Economic and Social Committee. The evaluation focuses on pricing and data processing services for SME providers within the Union.</t>
        </is>
      </c>
      <c r="L828" s="11" t="inlineStr">
        <is>
          <t>Specifically assesses the impact of GDPR on SME data processing services, which affects data transfer compliance for small businesses.</t>
        </is>
      </c>
      <c r="M828"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28"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28" s="12" t="inlineStr">
        <is>
          <t>Open PDF</t>
        </is>
      </c>
    </row>
    <row r="829">
      <c r="A829" t="inlineStr">
        <is>
          <t>GDPR</t>
        </is>
      </c>
      <c r="B829" t="inlineStr">
        <is>
          <t>OJ_L_202302854_EN_TXT (GDPR - Row 11)</t>
        </is>
      </c>
      <c r="C829" t="inlineStr">
        <is>
          <t>2</t>
        </is>
      </c>
      <c r="D829" s="11" t="inlineStr">
        <is>
          <t>GDPR evaluation report for SMEs</t>
        </is>
      </c>
      <c r="E829" t="inlineStr">
        <is>
          <t>40</t>
        </is>
      </c>
      <c r="F829" t="inlineStr">
        <is>
          <t>High</t>
        </is>
      </c>
      <c r="G829" t="inlineStr">
        <is>
          <t>High (explicit)</t>
        </is>
      </c>
      <c r="H829" s="11" t="inlineStr"/>
      <c r="I829" s="11" t="inlineStr"/>
      <c r="J829" t="inlineStr">
        <is>
          <t>European Commission</t>
        </is>
      </c>
      <c r="K829" s="11" t="inlineStr">
        <is>
          <t>The Commission must evaluate GDPR by September 2028 and report findings to the European Parliament, Council, and Economic and Social Committee. The evaluation focuses on pricing and data processing services for SME providers within the Union.</t>
        </is>
      </c>
      <c r="L829" s="11" t="inlineStr">
        <is>
          <t>Specifically assesses the impact of GDPR on SME data processing services, which affects data transfer compliance for small businesses.</t>
        </is>
      </c>
      <c r="M829"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29"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29" s="12" t="inlineStr">
        <is>
          <t>Open PDF</t>
        </is>
      </c>
    </row>
    <row r="830">
      <c r="A830" t="inlineStr">
        <is>
          <t>GDPR</t>
        </is>
      </c>
      <c r="B830" t="inlineStr">
        <is>
          <t>OJ_L_202302854_EN_TXT (GDPR - Row 11)</t>
        </is>
      </c>
      <c r="C830" t="inlineStr">
        <is>
          <t>2</t>
        </is>
      </c>
      <c r="D830" s="11" t="inlineStr">
        <is>
          <t>GDPR evaluation report for SMEs</t>
        </is>
      </c>
      <c r="E830" t="inlineStr">
        <is>
          <t>41–42</t>
        </is>
      </c>
      <c r="F830" t="inlineStr">
        <is>
          <t>High</t>
        </is>
      </c>
      <c r="G830" t="inlineStr">
        <is>
          <t>High (explicit)</t>
        </is>
      </c>
      <c r="H830" s="11" t="inlineStr"/>
      <c r="I830" s="11" t="inlineStr"/>
      <c r="J830" t="inlineStr">
        <is>
          <t>European Commission</t>
        </is>
      </c>
      <c r="K830" s="11" t="inlineStr">
        <is>
          <t>The Commission must evaluate GDPR by September 2028 and report findings to the European Parliament, Council, and Economic and Social Committee. The evaluation focuses on pricing and data processing services for SME providers within the Union.</t>
        </is>
      </c>
      <c r="L830" s="11" t="inlineStr">
        <is>
          <t>Specifically assesses the impact of GDPR on SME data processing services, which affects data transfer compliance for small businesses.</t>
        </is>
      </c>
      <c r="M830"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0"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0" s="12" t="inlineStr">
        <is>
          <t>Open PDF</t>
        </is>
      </c>
    </row>
    <row r="831">
      <c r="A831" t="inlineStr">
        <is>
          <t>GDPR</t>
        </is>
      </c>
      <c r="B831" t="inlineStr">
        <is>
          <t>OJ_L_202302854_EN_TXT (GDPR - Row 11)</t>
        </is>
      </c>
      <c r="C831" t="inlineStr">
        <is>
          <t>2</t>
        </is>
      </c>
      <c r="D831" s="11" t="inlineStr">
        <is>
          <t>GDPR evaluation report for SMEs</t>
        </is>
      </c>
      <c r="E831" t="inlineStr">
        <is>
          <t>43</t>
        </is>
      </c>
      <c r="F831" t="inlineStr">
        <is>
          <t>High</t>
        </is>
      </c>
      <c r="G831" t="inlineStr">
        <is>
          <t>High (explicit)</t>
        </is>
      </c>
      <c r="H831" s="11" t="inlineStr"/>
      <c r="I831" s="11" t="inlineStr"/>
      <c r="J831" t="inlineStr">
        <is>
          <t>European Commission</t>
        </is>
      </c>
      <c r="K831" s="11" t="inlineStr">
        <is>
          <t>The Commission must evaluate GDPR by September 2028 and report findings to the European Parliament, Council, and Economic and Social Committee. The evaluation focuses on pricing and data processing services for SME providers within the Union.</t>
        </is>
      </c>
      <c r="L831" s="11" t="inlineStr">
        <is>
          <t>Specifically assesses the impact of GDPR on SME data processing services, which affects data transfer compliance for small businesses.</t>
        </is>
      </c>
      <c r="M831"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1"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1" s="12" t="inlineStr">
        <is>
          <t>Open PDF</t>
        </is>
      </c>
    </row>
    <row r="832">
      <c r="A832" t="inlineStr">
        <is>
          <t>GDPR</t>
        </is>
      </c>
      <c r="B832" t="inlineStr">
        <is>
          <t>OJ_L_202302854_EN_TXT (GDPR - Row 11)</t>
        </is>
      </c>
      <c r="C832" t="inlineStr">
        <is>
          <t>2</t>
        </is>
      </c>
      <c r="D832" s="11" t="inlineStr">
        <is>
          <t>GDPR evaluation report for SMEs</t>
        </is>
      </c>
      <c r="E832" t="inlineStr">
        <is>
          <t>45</t>
        </is>
      </c>
      <c r="F832" t="inlineStr">
        <is>
          <t>High</t>
        </is>
      </c>
      <c r="G832" t="inlineStr">
        <is>
          <t>High (explicit)</t>
        </is>
      </c>
      <c r="H832" s="11" t="inlineStr"/>
      <c r="I832" s="11" t="inlineStr"/>
      <c r="J832" t="inlineStr">
        <is>
          <t>European Commission</t>
        </is>
      </c>
      <c r="K832" s="11" t="inlineStr">
        <is>
          <t>The Commission must evaluate GDPR by September 2028 and report findings to the European Parliament, Council, and Economic and Social Committee. The evaluation focuses on pricing and data processing services for SME providers within the Union.</t>
        </is>
      </c>
      <c r="L832" s="11" t="inlineStr">
        <is>
          <t>Specifically assesses the impact of GDPR on SME data processing services, which affects data transfer compliance for small businesses.</t>
        </is>
      </c>
      <c r="M832"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2"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2" s="12" t="inlineStr">
        <is>
          <t>Open PDF</t>
        </is>
      </c>
    </row>
    <row r="833">
      <c r="A833" t="inlineStr">
        <is>
          <t>GDPR</t>
        </is>
      </c>
      <c r="B833" t="inlineStr">
        <is>
          <t>OJ_L_202302854_EN_TXT (GDPR - Row 11)</t>
        </is>
      </c>
      <c r="C833" t="inlineStr">
        <is>
          <t>2</t>
        </is>
      </c>
      <c r="D833" s="11" t="inlineStr">
        <is>
          <t>GDPR evaluation report for SMEs</t>
        </is>
      </c>
      <c r="E833" t="inlineStr">
        <is>
          <t>49–50</t>
        </is>
      </c>
      <c r="F833" t="inlineStr">
        <is>
          <t>High</t>
        </is>
      </c>
      <c r="G833" t="inlineStr">
        <is>
          <t>High (explicit)</t>
        </is>
      </c>
      <c r="H833" s="11" t="inlineStr"/>
      <c r="I833" s="11" t="inlineStr"/>
      <c r="J833" t="inlineStr">
        <is>
          <t>European Commission</t>
        </is>
      </c>
      <c r="K833" s="11" t="inlineStr">
        <is>
          <t>The Commission must evaluate GDPR by September 2028 and report findings to the European Parliament, Council, and Economic and Social Committee. The evaluation focuses on pricing and data processing services for SME providers within the Union.</t>
        </is>
      </c>
      <c r="L833" s="11" t="inlineStr">
        <is>
          <t>Specifically assesses the impact of GDPR on SME data processing services, which affects data transfer compliance for small businesses.</t>
        </is>
      </c>
      <c r="M833"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3"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3" s="12" t="inlineStr">
        <is>
          <t>Open PDF</t>
        </is>
      </c>
    </row>
    <row r="834">
      <c r="A834" t="inlineStr">
        <is>
          <t>GDPR</t>
        </is>
      </c>
      <c r="B834" t="inlineStr">
        <is>
          <t>OJ_L_202302854_EN_TXT (GDPR - Row 11)</t>
        </is>
      </c>
      <c r="C834" t="inlineStr">
        <is>
          <t>2</t>
        </is>
      </c>
      <c r="D834" s="11" t="inlineStr">
        <is>
          <t>GDPR evaluation report for SMEs</t>
        </is>
      </c>
      <c r="E834" t="inlineStr">
        <is>
          <t>51</t>
        </is>
      </c>
      <c r="F834" t="inlineStr">
        <is>
          <t>High</t>
        </is>
      </c>
      <c r="G834" t="inlineStr">
        <is>
          <t>High (explicit)</t>
        </is>
      </c>
      <c r="H834" s="11" t="inlineStr"/>
      <c r="I834" s="11" t="inlineStr"/>
      <c r="J834" t="inlineStr">
        <is>
          <t>European Commission</t>
        </is>
      </c>
      <c r="K834" s="11" t="inlineStr">
        <is>
          <t>The Commission must evaluate GDPR by September 2028 and report findings to the European Parliament, Council, and Economic and Social Committee. The evaluation focuses on pricing and data processing services for SME providers within the Union.</t>
        </is>
      </c>
      <c r="L834" s="11" t="inlineStr">
        <is>
          <t>Specifically assesses the impact of GDPR on SME data processing services, which affects data transfer compliance for small businesses.</t>
        </is>
      </c>
      <c r="M834"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4"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4" s="12" t="inlineStr">
        <is>
          <t>Open PDF</t>
        </is>
      </c>
    </row>
    <row r="835">
      <c r="A835" t="inlineStr">
        <is>
          <t>GDPR</t>
        </is>
      </c>
      <c r="B835" t="inlineStr">
        <is>
          <t>OJ_L_202302854_EN_TXT (GDPR - Row 11)</t>
        </is>
      </c>
      <c r="C835" t="inlineStr">
        <is>
          <t>2</t>
        </is>
      </c>
      <c r="D835" s="11" t="inlineStr">
        <is>
          <t>GDPR evaluation report for SMEs</t>
        </is>
      </c>
      <c r="E835" t="inlineStr">
        <is>
          <t>51–52</t>
        </is>
      </c>
      <c r="F835" t="inlineStr">
        <is>
          <t>High</t>
        </is>
      </c>
      <c r="G835" t="inlineStr">
        <is>
          <t>High (explicit)</t>
        </is>
      </c>
      <c r="H835" s="11" t="inlineStr"/>
      <c r="I835" s="11" t="inlineStr"/>
      <c r="J835" t="inlineStr">
        <is>
          <t>European Commission</t>
        </is>
      </c>
      <c r="K835" s="11" t="inlineStr">
        <is>
          <t>The Commission must evaluate GDPR by September 2028 and report findings to the European Parliament, Council, and Economic and Social Committee. The evaluation focuses on pricing and data processing services for SME providers within the Union.</t>
        </is>
      </c>
      <c r="L835" s="11" t="inlineStr">
        <is>
          <t>Specifically assesses the impact of GDPR on SME data processing services, which affects data transfer compliance for small businesses.</t>
        </is>
      </c>
      <c r="M835"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5"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5" s="12" t="inlineStr">
        <is>
          <t>Open PDF</t>
        </is>
      </c>
    </row>
    <row r="836">
      <c r="A836" t="inlineStr">
        <is>
          <t>GDPR</t>
        </is>
      </c>
      <c r="B836" t="inlineStr">
        <is>
          <t>OJ_L_202302854_EN_TXT (GDPR - Row 11)</t>
        </is>
      </c>
      <c r="C836" t="inlineStr">
        <is>
          <t>2</t>
        </is>
      </c>
      <c r="D836" s="11" t="inlineStr">
        <is>
          <t>GDPR evaluation report for SMEs</t>
        </is>
      </c>
      <c r="E836" t="inlineStr">
        <is>
          <t>54–55</t>
        </is>
      </c>
      <c r="F836" t="inlineStr">
        <is>
          <t>High</t>
        </is>
      </c>
      <c r="G836" t="inlineStr">
        <is>
          <t>High (explicit)</t>
        </is>
      </c>
      <c r="H836" s="11" t="inlineStr"/>
      <c r="I836" s="11" t="inlineStr"/>
      <c r="J836" t="inlineStr">
        <is>
          <t>European Commission</t>
        </is>
      </c>
      <c r="K836" s="11" t="inlineStr">
        <is>
          <t>The Commission must evaluate GDPR by September 2028 and report findings to the European Parliament, Council, and Economic and Social Committee. The evaluation focuses on pricing and data processing services for SME providers within the Union.</t>
        </is>
      </c>
      <c r="L836" s="11" t="inlineStr">
        <is>
          <t>Specifically assesses the impact of GDPR on SME data processing services, which affects data transfer compliance for small businesses.</t>
        </is>
      </c>
      <c r="M836"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6"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6" s="12" t="inlineStr">
        <is>
          <t>Open PDF</t>
        </is>
      </c>
    </row>
    <row r="837">
      <c r="A837" t="inlineStr">
        <is>
          <t>GDPR</t>
        </is>
      </c>
      <c r="B837" t="inlineStr">
        <is>
          <t>OJ_L_202302854_EN_TXT (GDPR - Row 11)</t>
        </is>
      </c>
      <c r="C837" t="inlineStr">
        <is>
          <t>2</t>
        </is>
      </c>
      <c r="D837" s="11" t="inlineStr">
        <is>
          <t>GDPR evaluation report for SMEs</t>
        </is>
      </c>
      <c r="E837" t="inlineStr">
        <is>
          <t>56</t>
        </is>
      </c>
      <c r="F837" t="inlineStr">
        <is>
          <t>High</t>
        </is>
      </c>
      <c r="G837" t="inlineStr">
        <is>
          <t>High (explicit)</t>
        </is>
      </c>
      <c r="H837" s="11" t="inlineStr"/>
      <c r="I837" s="11" t="inlineStr"/>
      <c r="J837" t="inlineStr">
        <is>
          <t>European Commission</t>
        </is>
      </c>
      <c r="K837" s="11" t="inlineStr">
        <is>
          <t>The Commission must evaluate GDPR by September 2028 and report findings to the European Parliament, Council, and Economic and Social Committee. The evaluation focuses on pricing and data processing services for SME providers within the Union.</t>
        </is>
      </c>
      <c r="L837" s="11" t="inlineStr">
        <is>
          <t>Specifically assesses the impact of GDPR on SME data processing services, which affects data transfer compliance for small businesses.</t>
        </is>
      </c>
      <c r="M837"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7"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7" s="12" t="inlineStr">
        <is>
          <t>Open PDF</t>
        </is>
      </c>
    </row>
    <row r="838">
      <c r="A838" t="inlineStr">
        <is>
          <t>GDPR</t>
        </is>
      </c>
      <c r="B838" t="inlineStr">
        <is>
          <t>OJ_L_202302854_EN_TXT (GDPR - Row 11)</t>
        </is>
      </c>
      <c r="C838" t="inlineStr">
        <is>
          <t>2</t>
        </is>
      </c>
      <c r="D838" s="11" t="inlineStr">
        <is>
          <t>GDPR evaluation report for SMEs</t>
        </is>
      </c>
      <c r="E838" t="inlineStr">
        <is>
          <t>56</t>
        </is>
      </c>
      <c r="F838" t="inlineStr">
        <is>
          <t>High</t>
        </is>
      </c>
      <c r="G838" t="inlineStr">
        <is>
          <t>High (explicit)</t>
        </is>
      </c>
      <c r="H838" s="11" t="inlineStr"/>
      <c r="I838" s="11" t="inlineStr"/>
      <c r="J838" t="inlineStr">
        <is>
          <t>European Commission</t>
        </is>
      </c>
      <c r="K838" s="11" t="inlineStr">
        <is>
          <t>The Commission must evaluate GDPR by September 2028 and report findings to the European Parliament, Council, and Economic and Social Committee. The evaluation focuses on pricing and data processing services for SME providers within the Union.</t>
        </is>
      </c>
      <c r="L838" s="11" t="inlineStr">
        <is>
          <t>Specifically assesses the impact of GDPR on SME data processing services, which affects data transfer compliance for small businesses.</t>
        </is>
      </c>
      <c r="M838"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8"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8" s="12" t="inlineStr">
        <is>
          <t>Open PDF</t>
        </is>
      </c>
    </row>
    <row r="839">
      <c r="A839" t="inlineStr">
        <is>
          <t>GDPR</t>
        </is>
      </c>
      <c r="B839" t="inlineStr">
        <is>
          <t>OJ_L_202302854_EN_TXT (GDPR - Row 11)</t>
        </is>
      </c>
      <c r="C839" t="inlineStr">
        <is>
          <t>2</t>
        </is>
      </c>
      <c r="D839" s="11" t="inlineStr">
        <is>
          <t>GDPR evaluation report for SMEs</t>
        </is>
      </c>
      <c r="E839" t="inlineStr">
        <is>
          <t>57</t>
        </is>
      </c>
      <c r="F839" t="inlineStr">
        <is>
          <t>High</t>
        </is>
      </c>
      <c r="G839" t="inlineStr">
        <is>
          <t>High (explicit)</t>
        </is>
      </c>
      <c r="H839" s="11" t="inlineStr"/>
      <c r="I839" s="11" t="inlineStr"/>
      <c r="J839" t="inlineStr">
        <is>
          <t>European Commission</t>
        </is>
      </c>
      <c r="K839" s="11" t="inlineStr">
        <is>
          <t>The Commission must evaluate GDPR by September 2028 and report findings to the European Parliament, Council, and Economic and Social Committee. The evaluation focuses on pricing and data processing services for SME providers within the Union.</t>
        </is>
      </c>
      <c r="L839" s="11" t="inlineStr">
        <is>
          <t>Specifically assesses the impact of GDPR on SME data processing services, which affects data transfer compliance for small businesses.</t>
        </is>
      </c>
      <c r="M839"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39"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39" s="12" t="inlineStr">
        <is>
          <t>Open PDF</t>
        </is>
      </c>
    </row>
    <row r="840">
      <c r="A840" t="inlineStr">
        <is>
          <t>GDPR</t>
        </is>
      </c>
      <c r="B840" t="inlineStr">
        <is>
          <t>OJ_L_202302854_EN_TXT (GDPR - Row 11)</t>
        </is>
      </c>
      <c r="C840" t="inlineStr">
        <is>
          <t>2</t>
        </is>
      </c>
      <c r="D840" s="11" t="inlineStr">
        <is>
          <t>GDPR evaluation report for SMEs</t>
        </is>
      </c>
      <c r="E840" t="inlineStr">
        <is>
          <t>58</t>
        </is>
      </c>
      <c r="F840" t="inlineStr">
        <is>
          <t>High</t>
        </is>
      </c>
      <c r="G840" t="inlineStr">
        <is>
          <t>High (explicit)</t>
        </is>
      </c>
      <c r="H840" s="11" t="inlineStr"/>
      <c r="I840" s="11" t="inlineStr"/>
      <c r="J840" t="inlineStr">
        <is>
          <t>European Commission</t>
        </is>
      </c>
      <c r="K840" s="11" t="inlineStr">
        <is>
          <t>The Commission must evaluate GDPR by September 2028 and report findings to the European Parliament, Council, and Economic and Social Committee. The evaluation focuses on pricing and data processing services for SME providers within the Union.</t>
        </is>
      </c>
      <c r="L840" s="11" t="inlineStr">
        <is>
          <t>Specifically assesses the impact of GDPR on SME data processing services, which affects data transfer compliance for small businesses.</t>
        </is>
      </c>
      <c r="M840"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40"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40" s="12" t="inlineStr">
        <is>
          <t>Open PDF</t>
        </is>
      </c>
    </row>
    <row r="841">
      <c r="A841" t="inlineStr">
        <is>
          <t>GDPR</t>
        </is>
      </c>
      <c r="B841" t="inlineStr">
        <is>
          <t>OJ_L_202302854_EN_TXT (GDPR - Row 11)</t>
        </is>
      </c>
      <c r="C841" t="inlineStr">
        <is>
          <t>2</t>
        </is>
      </c>
      <c r="D841" s="11" t="inlineStr">
        <is>
          <t>GDPR evaluation report for SMEs</t>
        </is>
      </c>
      <c r="E841" t="inlineStr">
        <is>
          <t>58</t>
        </is>
      </c>
      <c r="F841" t="inlineStr">
        <is>
          <t>High</t>
        </is>
      </c>
      <c r="G841" t="inlineStr">
        <is>
          <t>High (explicit)</t>
        </is>
      </c>
      <c r="H841" s="11" t="inlineStr"/>
      <c r="I841" s="11" t="inlineStr"/>
      <c r="J841" t="inlineStr">
        <is>
          <t>European Commission</t>
        </is>
      </c>
      <c r="K841" s="11" t="inlineStr">
        <is>
          <t>The Commission must evaluate GDPR by September 2028 and report findings to the European Parliament, Council, and Economic and Social Committee. The evaluation focuses on pricing and data processing services for SME providers within the Union.</t>
        </is>
      </c>
      <c r="L841" s="11" t="inlineStr">
        <is>
          <t>Specifically assesses the impact of GDPR on SME data processing services, which affects data transfer compliance for small businesses.</t>
        </is>
      </c>
      <c r="M841"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41"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41" s="12" t="inlineStr">
        <is>
          <t>Open PDF</t>
        </is>
      </c>
    </row>
    <row r="842">
      <c r="A842" t="inlineStr">
        <is>
          <t>GDPR</t>
        </is>
      </c>
      <c r="B842" t="inlineStr">
        <is>
          <t>OJ_L_202302854_EN_TXT (GDPR - Row 11)</t>
        </is>
      </c>
      <c r="C842" t="inlineStr">
        <is>
          <t>2</t>
        </is>
      </c>
      <c r="D842" s="11" t="inlineStr">
        <is>
          <t>GDPR evaluation report for SMEs</t>
        </is>
      </c>
      <c r="E842" t="inlineStr">
        <is>
          <t>61</t>
        </is>
      </c>
      <c r="F842" t="inlineStr">
        <is>
          <t>High</t>
        </is>
      </c>
      <c r="G842" t="inlineStr">
        <is>
          <t>High (explicit)</t>
        </is>
      </c>
      <c r="H842" s="11" t="inlineStr"/>
      <c r="I842" s="11" t="inlineStr"/>
      <c r="J842" t="inlineStr">
        <is>
          <t>European Commission</t>
        </is>
      </c>
      <c r="K842" s="11" t="inlineStr">
        <is>
          <t>The Commission must evaluate GDPR by September 2028 and report findings to the European Parliament, Council, and Economic and Social Committee. The evaluation focuses on pricing and data processing services for SME providers within the Union.</t>
        </is>
      </c>
      <c r="L842" s="11" t="inlineStr">
        <is>
          <t>Specifically assesses the impact of GDPR on SME data processing services, which affects data transfer compliance for small businesses.</t>
        </is>
      </c>
      <c r="M842"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42"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42" s="12" t="inlineStr">
        <is>
          <t>Open PDF</t>
        </is>
      </c>
    </row>
    <row r="843">
      <c r="A843" t="inlineStr">
        <is>
          <t>GDPR</t>
        </is>
      </c>
      <c r="B843" t="inlineStr">
        <is>
          <t>OJ_L_202302854_EN_TXT (GDPR - Row 11)</t>
        </is>
      </c>
      <c r="C843" t="inlineStr">
        <is>
          <t>2</t>
        </is>
      </c>
      <c r="D843" s="11" t="inlineStr">
        <is>
          <t>GDPR evaluation report for SMEs</t>
        </is>
      </c>
      <c r="E843" t="inlineStr">
        <is>
          <t>61</t>
        </is>
      </c>
      <c r="F843" t="inlineStr">
        <is>
          <t>High</t>
        </is>
      </c>
      <c r="G843" t="inlineStr">
        <is>
          <t>High (explicit)</t>
        </is>
      </c>
      <c r="H843" s="11" t="inlineStr"/>
      <c r="I843" s="11" t="inlineStr"/>
      <c r="J843" t="inlineStr">
        <is>
          <t>European Commission</t>
        </is>
      </c>
      <c r="K843" s="11" t="inlineStr">
        <is>
          <t>The Commission must evaluate GDPR by September 2028 and report findings to the European Parliament, Council, and Economic and Social Committee. The evaluation focuses on pricing and data processing services for SME providers within the Union.</t>
        </is>
      </c>
      <c r="L843" s="11" t="inlineStr">
        <is>
          <t>Specifically assesses the impact of GDPR on SME data processing services, which affects data transfer compliance for small businesses.</t>
        </is>
      </c>
      <c r="M843"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43"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43" s="12" t="inlineStr">
        <is>
          <t>Open PDF</t>
        </is>
      </c>
    </row>
    <row r="844">
      <c r="A844" t="inlineStr">
        <is>
          <t>GDPR</t>
        </is>
      </c>
      <c r="B844" t="inlineStr">
        <is>
          <t>OJ_L_202302854_EN_TXT (GDPR - Row 11)</t>
        </is>
      </c>
      <c r="C844" t="inlineStr">
        <is>
          <t>2</t>
        </is>
      </c>
      <c r="D844" s="11" t="inlineStr">
        <is>
          <t>GDPR evaluation report for SMEs</t>
        </is>
      </c>
      <c r="E844" t="inlineStr">
        <is>
          <t>71</t>
        </is>
      </c>
      <c r="F844" t="inlineStr">
        <is>
          <t>High</t>
        </is>
      </c>
      <c r="G844" t="inlineStr">
        <is>
          <t>High (explicit)</t>
        </is>
      </c>
      <c r="H844" s="11" t="inlineStr"/>
      <c r="I844" s="11" t="inlineStr"/>
      <c r="J844" t="inlineStr">
        <is>
          <t>European Commission</t>
        </is>
      </c>
      <c r="K844" s="11" t="inlineStr">
        <is>
          <t>The Commission must evaluate GDPR by September 2028 and report findings to the European Parliament, Council, and Economic and Social Committee. The evaluation focuses on pricing and data processing services for SME providers within the Union.</t>
        </is>
      </c>
      <c r="L844" s="11" t="inlineStr">
        <is>
          <t>Specifically assesses the impact of GDPR on SME data processing services, which affects data transfer compliance for small businesses.</t>
        </is>
      </c>
      <c r="M844" s="11" t="inlineStr">
        <is>
          <t>• [Must] By 12 September 2028, the Commission shall carry out an evaluation of this Regulation
• [Must] The Commission shall submit a report on its main findings to the European Parliament and to the Council
• [Must] The Commission shall submit a report to the European Economic and Social Committee
• [Must] The evaluation shall assess pricing and diversity of data processing services offered within the Union
• [Must] The evaluation shall focus on SME providers</t>
        </is>
      </c>
      <c r="N844" s="11" t="inlineStr">
        <is>
          <t>By 12 September 2028, the Commission shall carry out an evaluation of this Regulation and submit a report on its main findings to the European Parliament and to the Council, and to the European Economic and Social Committee. That evaluation shall assess the impact of Articles 23 to 31 and Articles 34 and 35, in particular regarding pricing and the diversity of data processing services offered within the Union, with a special focus on SME providers.</t>
        </is>
      </c>
      <c r="O844" s="12" t="inlineStr">
        <is>
          <t>Open PDF</t>
        </is>
      </c>
    </row>
    <row r="845">
      <c r="A845" t="inlineStr">
        <is>
          <t>GDPR</t>
        </is>
      </c>
      <c r="B845" t="inlineStr">
        <is>
          <t>OJ_L_202302854_EN_TXT (GDPR - Row 11)</t>
        </is>
      </c>
      <c r="C845" t="inlineStr">
        <is>
          <t>3</t>
        </is>
      </c>
      <c r="D845" s="11" t="inlineStr">
        <is>
          <t>Penalty criteria for GDPR violations</t>
        </is>
      </c>
      <c r="E845" t="inlineStr">
        <is>
          <t>32–33</t>
        </is>
      </c>
      <c r="F845" t="inlineStr">
        <is>
          <t>High</t>
        </is>
      </c>
      <c r="G845" t="inlineStr">
        <is>
          <t>High (explicit)</t>
        </is>
      </c>
      <c r="H845" s="11" t="inlineStr"/>
      <c r="I845" s="11" t="inlineStr"/>
      <c r="J845" t="inlineStr">
        <is>
          <t>Member States</t>
        </is>
      </c>
      <c r="K845"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45" s="11" t="inlineStr">
        <is>
          <t>Defines penalty criteria for GDPR violations, which affects how data transfers are assessed for compliance with regulatory penalties.</t>
        </is>
      </c>
      <c r="M845"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45"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45" s="12" t="inlineStr">
        <is>
          <t>Open PDF</t>
        </is>
      </c>
    </row>
    <row r="846">
      <c r="A846" t="inlineStr">
        <is>
          <t>GDPR</t>
        </is>
      </c>
      <c r="B846" t="inlineStr">
        <is>
          <t>OJ_L_202302854_EN_TXT (GDPR - Row 11)</t>
        </is>
      </c>
      <c r="C846" t="inlineStr">
        <is>
          <t>3</t>
        </is>
      </c>
      <c r="D846" s="11" t="inlineStr">
        <is>
          <t>Penalty criteria for GDPR violations</t>
        </is>
      </c>
      <c r="E846" t="inlineStr">
        <is>
          <t>37–38</t>
        </is>
      </c>
      <c r="F846" t="inlineStr">
        <is>
          <t>High</t>
        </is>
      </c>
      <c r="G846" t="inlineStr">
        <is>
          <t>High (explicit)</t>
        </is>
      </c>
      <c r="H846" s="11" t="inlineStr"/>
      <c r="I846" s="11" t="inlineStr"/>
      <c r="J846" t="inlineStr">
        <is>
          <t>Member States</t>
        </is>
      </c>
      <c r="K846"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46" s="11" t="inlineStr">
        <is>
          <t>Defines penalty criteria for GDPR violations, which affects how data transfers are assessed for compliance with regulatory penalties.</t>
        </is>
      </c>
      <c r="M846"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46"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46" s="12" t="inlineStr">
        <is>
          <t>Open PDF</t>
        </is>
      </c>
    </row>
    <row r="847">
      <c r="A847" t="inlineStr">
        <is>
          <t>GDPR</t>
        </is>
      </c>
      <c r="B847" t="inlineStr">
        <is>
          <t>OJ_L_202302854_EN_TXT (GDPR - Row 11)</t>
        </is>
      </c>
      <c r="C847" t="inlineStr">
        <is>
          <t>3</t>
        </is>
      </c>
      <c r="D847" s="11" t="inlineStr">
        <is>
          <t>Penalty criteria for GDPR violations</t>
        </is>
      </c>
      <c r="E847" t="inlineStr">
        <is>
          <t>45–46</t>
        </is>
      </c>
      <c r="F847" t="inlineStr">
        <is>
          <t>High</t>
        </is>
      </c>
      <c r="G847" t="inlineStr">
        <is>
          <t>High (explicit)</t>
        </is>
      </c>
      <c r="H847" s="11" t="inlineStr"/>
      <c r="I847" s="11" t="inlineStr"/>
      <c r="J847" t="inlineStr">
        <is>
          <t>Member States</t>
        </is>
      </c>
      <c r="K847"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47" s="11" t="inlineStr">
        <is>
          <t>Defines penalty criteria for GDPR violations, which affects how data transfers are assessed for compliance with regulatory penalties.</t>
        </is>
      </c>
      <c r="M847"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47"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47" s="12" t="inlineStr">
        <is>
          <t>Open PDF</t>
        </is>
      </c>
    </row>
    <row r="848">
      <c r="A848" t="inlineStr">
        <is>
          <t>GDPR</t>
        </is>
      </c>
      <c r="B848" t="inlineStr">
        <is>
          <t>OJ_L_202302854_EN_TXT (GDPR - Row 11)</t>
        </is>
      </c>
      <c r="C848" t="inlineStr">
        <is>
          <t>3</t>
        </is>
      </c>
      <c r="D848" s="11" t="inlineStr">
        <is>
          <t>Penalty criteria for GDPR violations</t>
        </is>
      </c>
      <c r="E848" t="inlineStr">
        <is>
          <t>48</t>
        </is>
      </c>
      <c r="F848" t="inlineStr">
        <is>
          <t>High</t>
        </is>
      </c>
      <c r="G848" t="inlineStr">
        <is>
          <t>High (explicit)</t>
        </is>
      </c>
      <c r="H848" s="11" t="inlineStr"/>
      <c r="I848" s="11" t="inlineStr"/>
      <c r="J848" t="inlineStr">
        <is>
          <t>Member States</t>
        </is>
      </c>
      <c r="K848"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48" s="11" t="inlineStr">
        <is>
          <t>Defines penalty criteria for GDPR violations, which affects how data transfers are assessed for compliance with regulatory penalties.</t>
        </is>
      </c>
      <c r="M848"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48"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48" s="12" t="inlineStr">
        <is>
          <t>Open PDF</t>
        </is>
      </c>
    </row>
    <row r="849">
      <c r="A849" t="inlineStr">
        <is>
          <t>GDPR</t>
        </is>
      </c>
      <c r="B849" t="inlineStr">
        <is>
          <t>OJ_L_202302854_EN_TXT (GDPR - Row 11)</t>
        </is>
      </c>
      <c r="C849" t="inlineStr">
        <is>
          <t>3</t>
        </is>
      </c>
      <c r="D849" s="11" t="inlineStr">
        <is>
          <t>Penalty criteria for GDPR violations</t>
        </is>
      </c>
      <c r="E849" t="inlineStr">
        <is>
          <t>52</t>
        </is>
      </c>
      <c r="F849" t="inlineStr">
        <is>
          <t>High</t>
        </is>
      </c>
      <c r="G849" t="inlineStr">
        <is>
          <t>High (explicit)</t>
        </is>
      </c>
      <c r="H849" s="11" t="inlineStr"/>
      <c r="I849" s="11" t="inlineStr"/>
      <c r="J849" t="inlineStr">
        <is>
          <t>Member States</t>
        </is>
      </c>
      <c r="K849"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49" s="11" t="inlineStr">
        <is>
          <t>Defines penalty criteria for GDPR violations, which affects how data transfers are assessed for compliance with regulatory penalties.</t>
        </is>
      </c>
      <c r="M849"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49"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49" s="12" t="inlineStr">
        <is>
          <t>Open PDF</t>
        </is>
      </c>
    </row>
    <row r="850">
      <c r="A850" t="inlineStr">
        <is>
          <t>GDPR</t>
        </is>
      </c>
      <c r="B850" t="inlineStr">
        <is>
          <t>OJ_L_202302854_EN_TXT (GDPR - Row 11)</t>
        </is>
      </c>
      <c r="C850" t="inlineStr">
        <is>
          <t>3</t>
        </is>
      </c>
      <c r="D850" s="11" t="inlineStr">
        <is>
          <t>Penalty criteria for GDPR violations</t>
        </is>
      </c>
      <c r="E850" t="inlineStr">
        <is>
          <t>53</t>
        </is>
      </c>
      <c r="F850" t="inlineStr">
        <is>
          <t>High</t>
        </is>
      </c>
      <c r="G850" t="inlineStr">
        <is>
          <t>High (explicit)</t>
        </is>
      </c>
      <c r="H850" s="11" t="inlineStr"/>
      <c r="I850" s="11" t="inlineStr"/>
      <c r="J850" t="inlineStr">
        <is>
          <t>Member States</t>
        </is>
      </c>
      <c r="K850"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0" s="11" t="inlineStr">
        <is>
          <t>Defines penalty criteria for GDPR violations, which affects how data transfers are assessed for compliance with regulatory penalties.</t>
        </is>
      </c>
      <c r="M850"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0"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0" s="12" t="inlineStr">
        <is>
          <t>Open PDF</t>
        </is>
      </c>
    </row>
    <row r="851">
      <c r="A851" t="inlineStr">
        <is>
          <t>GDPR</t>
        </is>
      </c>
      <c r="B851" t="inlineStr">
        <is>
          <t>OJ_L_202302854_EN_TXT (GDPR - Row 11)</t>
        </is>
      </c>
      <c r="C851" t="inlineStr">
        <is>
          <t>3</t>
        </is>
      </c>
      <c r="D851" s="11" t="inlineStr">
        <is>
          <t>Penalty criteria for GDPR violations</t>
        </is>
      </c>
      <c r="E851" t="inlineStr">
        <is>
          <t>55</t>
        </is>
      </c>
      <c r="F851" t="inlineStr">
        <is>
          <t>High</t>
        </is>
      </c>
      <c r="G851" t="inlineStr">
        <is>
          <t>High (explicit)</t>
        </is>
      </c>
      <c r="H851" s="11" t="inlineStr"/>
      <c r="I851" s="11" t="inlineStr"/>
      <c r="J851" t="inlineStr">
        <is>
          <t>Member States</t>
        </is>
      </c>
      <c r="K851"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1" s="11" t="inlineStr">
        <is>
          <t>Defines penalty criteria for GDPR violations, which affects how data transfers are assessed for compliance with regulatory penalties.</t>
        </is>
      </c>
      <c r="M851"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1"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1" s="12" t="inlineStr">
        <is>
          <t>Open PDF</t>
        </is>
      </c>
    </row>
    <row r="852">
      <c r="A852" t="inlineStr">
        <is>
          <t>GDPR</t>
        </is>
      </c>
      <c r="B852" t="inlineStr">
        <is>
          <t>OJ_L_202302854_EN_TXT (GDPR - Row 11)</t>
        </is>
      </c>
      <c r="C852" t="inlineStr">
        <is>
          <t>3</t>
        </is>
      </c>
      <c r="D852" s="11" t="inlineStr">
        <is>
          <t>Penalty criteria for GDPR violations</t>
        </is>
      </c>
      <c r="E852" t="inlineStr">
        <is>
          <t>56</t>
        </is>
      </c>
      <c r="F852" t="inlineStr">
        <is>
          <t>High</t>
        </is>
      </c>
      <c r="G852" t="inlineStr">
        <is>
          <t>High (explicit)</t>
        </is>
      </c>
      <c r="H852" s="11" t="inlineStr"/>
      <c r="I852" s="11" t="inlineStr"/>
      <c r="J852" t="inlineStr">
        <is>
          <t>Member States</t>
        </is>
      </c>
      <c r="K852"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2" s="11" t="inlineStr">
        <is>
          <t>Defines penalty criteria for GDPR violations, which affects how data transfers are assessed for compliance with regulatory penalties.</t>
        </is>
      </c>
      <c r="M852"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2"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2" s="12" t="inlineStr">
        <is>
          <t>Open PDF</t>
        </is>
      </c>
    </row>
    <row r="853">
      <c r="A853" t="inlineStr">
        <is>
          <t>GDPR</t>
        </is>
      </c>
      <c r="B853" t="inlineStr">
        <is>
          <t>OJ_L_202302854_EN_TXT (GDPR - Row 11)</t>
        </is>
      </c>
      <c r="C853" t="inlineStr">
        <is>
          <t>3</t>
        </is>
      </c>
      <c r="D853" s="11" t="inlineStr">
        <is>
          <t>Penalty criteria for GDPR violations</t>
        </is>
      </c>
      <c r="E853" t="inlineStr">
        <is>
          <t>57</t>
        </is>
      </c>
      <c r="F853" t="inlineStr">
        <is>
          <t>High</t>
        </is>
      </c>
      <c r="G853" t="inlineStr">
        <is>
          <t>High (explicit)</t>
        </is>
      </c>
      <c r="H853" s="11" t="inlineStr"/>
      <c r="I853" s="11" t="inlineStr"/>
      <c r="J853" t="inlineStr">
        <is>
          <t>Member States</t>
        </is>
      </c>
      <c r="K853"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3" s="11" t="inlineStr">
        <is>
          <t>Defines penalty criteria for GDPR violations, which affects how data transfers are assessed for compliance with regulatory penalties.</t>
        </is>
      </c>
      <c r="M853"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3"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3" s="12" t="inlineStr">
        <is>
          <t>Open PDF</t>
        </is>
      </c>
    </row>
    <row r="854">
      <c r="A854" t="inlineStr">
        <is>
          <t>GDPR</t>
        </is>
      </c>
      <c r="B854" t="inlineStr">
        <is>
          <t>OJ_L_202302854_EN_TXT (GDPR - Row 11)</t>
        </is>
      </c>
      <c r="C854" t="inlineStr">
        <is>
          <t>3</t>
        </is>
      </c>
      <c r="D854" s="11" t="inlineStr">
        <is>
          <t>Penalty criteria for GDPR violations</t>
        </is>
      </c>
      <c r="E854" t="inlineStr">
        <is>
          <t>58</t>
        </is>
      </c>
      <c r="F854" t="inlineStr">
        <is>
          <t>High</t>
        </is>
      </c>
      <c r="G854" t="inlineStr">
        <is>
          <t>High (explicit)</t>
        </is>
      </c>
      <c r="H854" s="11" t="inlineStr"/>
      <c r="I854" s="11" t="inlineStr"/>
      <c r="J854" t="inlineStr">
        <is>
          <t>Member States</t>
        </is>
      </c>
      <c r="K854"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4" s="11" t="inlineStr">
        <is>
          <t>Defines penalty criteria for GDPR violations, which affects how data transfers are assessed for compliance with regulatory penalties.</t>
        </is>
      </c>
      <c r="M854"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4"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4" s="12" t="inlineStr">
        <is>
          <t>Open PDF</t>
        </is>
      </c>
    </row>
    <row r="855">
      <c r="A855" t="inlineStr">
        <is>
          <t>GDPR</t>
        </is>
      </c>
      <c r="B855" t="inlineStr">
        <is>
          <t>OJ_L_202302854_EN_TXT (GDPR - Row 11)</t>
        </is>
      </c>
      <c r="C855" t="inlineStr">
        <is>
          <t>3</t>
        </is>
      </c>
      <c r="D855" s="11" t="inlineStr">
        <is>
          <t>Penalty criteria for GDPR violations</t>
        </is>
      </c>
      <c r="E855" t="inlineStr">
        <is>
          <t>58–59</t>
        </is>
      </c>
      <c r="F855" t="inlineStr">
        <is>
          <t>High</t>
        </is>
      </c>
      <c r="G855" t="inlineStr">
        <is>
          <t>High (explicit)</t>
        </is>
      </c>
      <c r="H855" s="11" t="inlineStr"/>
      <c r="I855" s="11" t="inlineStr"/>
      <c r="J855" t="inlineStr">
        <is>
          <t>Member States</t>
        </is>
      </c>
      <c r="K855"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5" s="11" t="inlineStr">
        <is>
          <t>Defines penalty criteria for GDPR violations, which affects how data transfers are assessed for compliance with regulatory penalties.</t>
        </is>
      </c>
      <c r="M855"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5"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5" s="12" t="inlineStr">
        <is>
          <t>Open PDF</t>
        </is>
      </c>
    </row>
    <row r="856">
      <c r="A856" t="inlineStr">
        <is>
          <t>GDPR</t>
        </is>
      </c>
      <c r="B856" t="inlineStr">
        <is>
          <t>OJ_L_202302854_EN_TXT (GDPR - Row 11)</t>
        </is>
      </c>
      <c r="C856" t="inlineStr">
        <is>
          <t>3</t>
        </is>
      </c>
      <c r="D856" s="11" t="inlineStr">
        <is>
          <t>Penalty criteria for GDPR violations</t>
        </is>
      </c>
      <c r="E856" t="inlineStr">
        <is>
          <t>64</t>
        </is>
      </c>
      <c r="F856" t="inlineStr">
        <is>
          <t>High</t>
        </is>
      </c>
      <c r="G856" t="inlineStr">
        <is>
          <t>High (explicit)</t>
        </is>
      </c>
      <c r="H856" s="11" t="inlineStr"/>
      <c r="I856" s="11" t="inlineStr"/>
      <c r="J856" t="inlineStr">
        <is>
          <t>Member States</t>
        </is>
      </c>
      <c r="K856"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6" s="11" t="inlineStr">
        <is>
          <t>Defines penalty criteria for GDPR violations, which affects how data transfers are assessed for compliance with regulatory penalties.</t>
        </is>
      </c>
      <c r="M856"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6"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6" s="12" t="inlineStr">
        <is>
          <t>Open PDF</t>
        </is>
      </c>
    </row>
    <row r="857">
      <c r="A857" t="inlineStr">
        <is>
          <t>GDPR</t>
        </is>
      </c>
      <c r="B857" t="inlineStr">
        <is>
          <t>OJ_L_202302854_EN_TXT (GDPR - Row 11)</t>
        </is>
      </c>
      <c r="C857" t="inlineStr">
        <is>
          <t>3</t>
        </is>
      </c>
      <c r="D857" s="11" t="inlineStr">
        <is>
          <t>Penalty criteria for GDPR violations</t>
        </is>
      </c>
      <c r="E857" t="inlineStr">
        <is>
          <t>67</t>
        </is>
      </c>
      <c r="F857" t="inlineStr">
        <is>
          <t>High</t>
        </is>
      </c>
      <c r="G857" t="inlineStr">
        <is>
          <t>High (explicit)</t>
        </is>
      </c>
      <c r="H857" s="11" t="inlineStr"/>
      <c r="I857" s="11" t="inlineStr"/>
      <c r="J857" t="inlineStr">
        <is>
          <t>Member States</t>
        </is>
      </c>
      <c r="K857" s="11" t="inlineStr">
        <is>
          <t>Member States must consider EDIB recommendations when determining penalties for GDPR breaches. Penalties are calculated based on infringement severity, mitigation efforts, prior violations, financial impact, and other contextual factors. This applies to national authorities enforcing GDPR compliance.</t>
        </is>
      </c>
      <c r="L857" s="11" t="inlineStr">
        <is>
          <t>Defines penalty criteria for GDPR violations, which affects how data transfers are assessed for compliance with regulatory penalties.</t>
        </is>
      </c>
      <c r="M857" s="11" t="inlineStr">
        <is>
          <t>• [Must] Member States shall take into account the recommendations of the EDIB
• [Must] Member States shall consider the following non-exhaustive criteria for penalty imposition: the nature, gravity, scale and duration of the infringement
• [Must] Member States shall consider the following non-exhaustive criteria for penalty imposition: any action taken by the infringing party to mitigate or remedy the damage
• [Must] Member States shall consider the following non-exhaustive criteria for penalty imposition: any previous infringements by the infringing party
• [Must] Member States shall consider the following non-exhaustive criteria for penalty imposition: the financial benefits gained or losses avoided by the infringing party due to the infringement
• [Must] Member States shall consider the following non-exhaustive criteria for penalty imposition: any other aggravating or mitigating factor applicable to the circumstances of the case
• [Must] Member States shall consider the following non-exhaustive criteria for penalty imposition: the infringing party's annual turnover in the preceding financial year in the Union</t>
        </is>
      </c>
      <c r="N857" s="11" t="inlineStr">
        <is>
          <t>Member States shall take into account the recommendations of the EDIB and the following non-exhaustive criteria for the imposition of penalties for infringements of this Regulation: (a) the nature, gravity, scale and duration of the infringement; (b) any action taken by the infringing party to mitigate or remedy the damage caused by the infringement; (c) any previous infringements by the infringing party; (d) the financial benefits gained or losses avoided by the infringing party due to the infringement, insofar as such benefits or losses can be reliably established; (e) any other aggravating or mitigating factor applicable to the circumstances of the case; (f) the infringing party's annual turnover in the preceding financial year in the Union.</t>
        </is>
      </c>
      <c r="O857" s="12" t="inlineStr">
        <is>
          <t>Open PDF</t>
        </is>
      </c>
    </row>
    <row r="858">
      <c r="A858" t="inlineStr">
        <is>
          <t>GDPR</t>
        </is>
      </c>
      <c r="B858" t="inlineStr">
        <is>
          <t>OJ_L_202302854_EN_TXT (GDPR - Row 11)</t>
        </is>
      </c>
      <c r="C858" t="inlineStr">
        <is>
          <t>4</t>
        </is>
      </c>
      <c r="D858" s="11" t="inlineStr">
        <is>
          <t>Commission may request standardisation bodies to draft harmonised standards</t>
        </is>
      </c>
      <c r="E858" t="inlineStr">
        <is>
          <t>40</t>
        </is>
      </c>
      <c r="F858" t="inlineStr">
        <is>
          <t>Low</t>
        </is>
      </c>
      <c r="G858" t="inlineStr">
        <is>
          <t>High (explicit)</t>
        </is>
      </c>
      <c r="H858" s="11" t="inlineStr">
        <is>
          <t>Cross-border Transfer, International Processing, Data Storage, Security</t>
        </is>
      </c>
      <c r="I858" s="11" t="inlineStr">
        <is>
          <t>Personal Information</t>
        </is>
      </c>
      <c r="J858" t="inlineStr">
        <is>
          <t>European Commission</t>
        </is>
      </c>
      <c r="K858"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58"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58" s="11" t="inlineStr">
        <is>
          <t>• [Must] The Commission may request one or more European standardisation organisations to draft harmonised standards
• [Must] Harmonised standards must satisfy essential requirements laid down in paragraphs 1 and 2 of this Article</t>
        </is>
      </c>
      <c r="N858"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58" s="12" t="inlineStr">
        <is>
          <t>Open PDF</t>
        </is>
      </c>
    </row>
    <row r="859">
      <c r="A859" t="inlineStr">
        <is>
          <t>GDPR</t>
        </is>
      </c>
      <c r="B859" t="inlineStr">
        <is>
          <t>OJ_L_202302854_EN_TXT (GDPR - Row 11)</t>
        </is>
      </c>
      <c r="C859" t="inlineStr">
        <is>
          <t>4</t>
        </is>
      </c>
      <c r="D859" s="11" t="inlineStr">
        <is>
          <t>Commission may request standardisation bodies to draft harmonised standards</t>
        </is>
      </c>
      <c r="E859" t="inlineStr">
        <is>
          <t>44</t>
        </is>
      </c>
      <c r="F859" t="inlineStr">
        <is>
          <t>Low</t>
        </is>
      </c>
      <c r="G859" t="inlineStr">
        <is>
          <t>High (explicit)</t>
        </is>
      </c>
      <c r="H859" s="11" t="inlineStr">
        <is>
          <t>Cross-border Transfer, International Processing, Data Storage, Security</t>
        </is>
      </c>
      <c r="I859" s="11" t="inlineStr">
        <is>
          <t>Personal Information</t>
        </is>
      </c>
      <c r="J859" t="inlineStr">
        <is>
          <t>European Commission</t>
        </is>
      </c>
      <c r="K859"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59"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59" s="11" t="inlineStr">
        <is>
          <t>• [Must] The Commission may request one or more European standardisation organisations to draft harmonised standards
• [Must] Harmonised standards must satisfy essential requirements laid down in paragraphs 1 and 2 of this Article</t>
        </is>
      </c>
      <c r="N859"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59" s="12" t="inlineStr">
        <is>
          <t>Open PDF</t>
        </is>
      </c>
    </row>
    <row r="860">
      <c r="A860" t="inlineStr">
        <is>
          <t>GDPR</t>
        </is>
      </c>
      <c r="B860" t="inlineStr">
        <is>
          <t>OJ_L_202302854_EN_TXT (GDPR - Row 11)</t>
        </is>
      </c>
      <c r="C860" t="inlineStr">
        <is>
          <t>4</t>
        </is>
      </c>
      <c r="D860" s="11" t="inlineStr">
        <is>
          <t>Commission may request standardisation bodies to draft harmonised standards</t>
        </is>
      </c>
      <c r="E860" t="inlineStr">
        <is>
          <t>50</t>
        </is>
      </c>
      <c r="F860" t="inlineStr">
        <is>
          <t>Low</t>
        </is>
      </c>
      <c r="G860" t="inlineStr">
        <is>
          <t>High (explicit)</t>
        </is>
      </c>
      <c r="H860" s="11" t="inlineStr">
        <is>
          <t>Cross-border Transfer, International Processing, Data Storage, Security</t>
        </is>
      </c>
      <c r="I860" s="11" t="inlineStr">
        <is>
          <t>Personal Information</t>
        </is>
      </c>
      <c r="J860" t="inlineStr">
        <is>
          <t>European Commission</t>
        </is>
      </c>
      <c r="K860"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0"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0" s="11" t="inlineStr">
        <is>
          <t>• [Must] The Commission may request one or more European standardisation organisations to draft harmonised standards
• [Must] Harmonised standards must satisfy essential requirements laid down in paragraphs 1 and 2 of this Article</t>
        </is>
      </c>
      <c r="N860"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0" s="12" t="inlineStr">
        <is>
          <t>Open PDF</t>
        </is>
      </c>
    </row>
    <row r="861">
      <c r="A861" t="inlineStr">
        <is>
          <t>GDPR</t>
        </is>
      </c>
      <c r="B861" t="inlineStr">
        <is>
          <t>OJ_L_202302854_EN_TXT (GDPR - Row 11)</t>
        </is>
      </c>
      <c r="C861" t="inlineStr">
        <is>
          <t>4</t>
        </is>
      </c>
      <c r="D861" s="11" t="inlineStr">
        <is>
          <t>Commission may request standardisation bodies to draft harmonised standards</t>
        </is>
      </c>
      <c r="E861" t="inlineStr">
        <is>
          <t>51</t>
        </is>
      </c>
      <c r="F861" t="inlineStr">
        <is>
          <t>Low</t>
        </is>
      </c>
      <c r="G861" t="inlineStr">
        <is>
          <t>High (explicit)</t>
        </is>
      </c>
      <c r="H861" s="11" t="inlineStr">
        <is>
          <t>Cross-border Transfer, International Processing, Data Storage, Security</t>
        </is>
      </c>
      <c r="I861" s="11" t="inlineStr">
        <is>
          <t>Personal Information</t>
        </is>
      </c>
      <c r="J861" t="inlineStr">
        <is>
          <t>European Commission</t>
        </is>
      </c>
      <c r="K861"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1"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1" s="11" t="inlineStr">
        <is>
          <t>• [Must] The Commission may request one or more European standardisation organisations to draft harmonised standards
• [Must] Harmonised standards must satisfy essential requirements laid down in paragraphs 1 and 2 of this Article</t>
        </is>
      </c>
      <c r="N861"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1" s="12" t="inlineStr">
        <is>
          <t>Open PDF</t>
        </is>
      </c>
    </row>
    <row r="862">
      <c r="A862" t="inlineStr">
        <is>
          <t>GDPR</t>
        </is>
      </c>
      <c r="B862" t="inlineStr">
        <is>
          <t>OJ_L_202302854_EN_TXT (GDPR - Row 11)</t>
        </is>
      </c>
      <c r="C862" t="inlineStr">
        <is>
          <t>4</t>
        </is>
      </c>
      <c r="D862" s="11" t="inlineStr">
        <is>
          <t>Commission may request standardisation bodies to draft harmonised standards</t>
        </is>
      </c>
      <c r="E862" t="inlineStr">
        <is>
          <t>52</t>
        </is>
      </c>
      <c r="F862" t="inlineStr">
        <is>
          <t>Low</t>
        </is>
      </c>
      <c r="G862" t="inlineStr">
        <is>
          <t>High (explicit)</t>
        </is>
      </c>
      <c r="H862" s="11" t="inlineStr">
        <is>
          <t>Cross-border Transfer, International Processing, Data Storage, Security</t>
        </is>
      </c>
      <c r="I862" s="11" t="inlineStr">
        <is>
          <t>Personal Information</t>
        </is>
      </c>
      <c r="J862" t="inlineStr">
        <is>
          <t>European Commission</t>
        </is>
      </c>
      <c r="K862"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2"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2" s="11" t="inlineStr">
        <is>
          <t>• [Must] The Commission may request one or more European standardisation organisations to draft harmonised standards
• [Must] Harmonised standards must satisfy essential requirements laid down in paragraphs 1 and 2 of this Article</t>
        </is>
      </c>
      <c r="N862"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2" s="12" t="inlineStr">
        <is>
          <t>Open PDF</t>
        </is>
      </c>
    </row>
    <row r="863">
      <c r="A863" t="inlineStr">
        <is>
          <t>GDPR</t>
        </is>
      </c>
      <c r="B863" t="inlineStr">
        <is>
          <t>OJ_L_202302854_EN_TXT (GDPR - Row 11)</t>
        </is>
      </c>
      <c r="C863" t="inlineStr">
        <is>
          <t>4</t>
        </is>
      </c>
      <c r="D863" s="11" t="inlineStr">
        <is>
          <t>Commission may request standardisation bodies to draft harmonised standards</t>
        </is>
      </c>
      <c r="E863" t="inlineStr">
        <is>
          <t>53–54</t>
        </is>
      </c>
      <c r="F863" t="inlineStr">
        <is>
          <t>Low</t>
        </is>
      </c>
      <c r="G863" t="inlineStr">
        <is>
          <t>High (explicit)</t>
        </is>
      </c>
      <c r="H863" s="11" t="inlineStr">
        <is>
          <t>Cross-border Transfer, International Processing, Data Storage, Security</t>
        </is>
      </c>
      <c r="I863" s="11" t="inlineStr">
        <is>
          <t>Personal Information</t>
        </is>
      </c>
      <c r="J863" t="inlineStr">
        <is>
          <t>European Commission</t>
        </is>
      </c>
      <c r="K863"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3"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3" s="11" t="inlineStr">
        <is>
          <t>• [Must] The Commission may request one or more European standardisation organisations to draft harmonised standards
• [Must] Harmonised standards must satisfy essential requirements laid down in paragraphs 1 and 2 of this Article</t>
        </is>
      </c>
      <c r="N863"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3" s="12" t="inlineStr">
        <is>
          <t>Open PDF</t>
        </is>
      </c>
    </row>
    <row r="864">
      <c r="A864" t="inlineStr">
        <is>
          <t>GDPR</t>
        </is>
      </c>
      <c r="B864" t="inlineStr">
        <is>
          <t>OJ_L_202302854_EN_TXT (GDPR - Row 11)</t>
        </is>
      </c>
      <c r="C864" t="inlineStr">
        <is>
          <t>4</t>
        </is>
      </c>
      <c r="D864" s="11" t="inlineStr">
        <is>
          <t>Commission may request standardisation bodies to draft harmonised standards</t>
        </is>
      </c>
      <c r="E864" t="inlineStr">
        <is>
          <t>55–56</t>
        </is>
      </c>
      <c r="F864" t="inlineStr">
        <is>
          <t>Low</t>
        </is>
      </c>
      <c r="G864" t="inlineStr">
        <is>
          <t>High (explicit)</t>
        </is>
      </c>
      <c r="H864" s="11" t="inlineStr">
        <is>
          <t>Cross-border Transfer, International Processing, Data Storage, Security</t>
        </is>
      </c>
      <c r="I864" s="11" t="inlineStr">
        <is>
          <t>Personal Information</t>
        </is>
      </c>
      <c r="J864" t="inlineStr">
        <is>
          <t>European Commission</t>
        </is>
      </c>
      <c r="K864"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4"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4" s="11" t="inlineStr">
        <is>
          <t>• [Must] The Commission may request one or more European standardisation organisations to draft harmonised standards
• [Must] Harmonised standards must satisfy essential requirements laid down in paragraphs 1 and 2 of this Article</t>
        </is>
      </c>
      <c r="N864"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4" s="12" t="inlineStr">
        <is>
          <t>Open PDF</t>
        </is>
      </c>
    </row>
    <row r="865">
      <c r="A865" t="inlineStr">
        <is>
          <t>GDPR</t>
        </is>
      </c>
      <c r="B865" t="inlineStr">
        <is>
          <t>OJ_L_202302854_EN_TXT (GDPR - Row 11)</t>
        </is>
      </c>
      <c r="C865" t="inlineStr">
        <is>
          <t>4</t>
        </is>
      </c>
      <c r="D865" s="11" t="inlineStr">
        <is>
          <t>Commission may request standardisation bodies to draft harmonised standards</t>
        </is>
      </c>
      <c r="E865" t="inlineStr">
        <is>
          <t>56–57</t>
        </is>
      </c>
      <c r="F865" t="inlineStr">
        <is>
          <t>Low</t>
        </is>
      </c>
      <c r="G865" t="inlineStr">
        <is>
          <t>High (explicit)</t>
        </is>
      </c>
      <c r="H865" s="11" t="inlineStr">
        <is>
          <t>Cross-border Transfer, International Processing, Data Storage, Security</t>
        </is>
      </c>
      <c r="I865" s="11" t="inlineStr">
        <is>
          <t>Personal Information</t>
        </is>
      </c>
      <c r="J865" t="inlineStr">
        <is>
          <t>European Commission</t>
        </is>
      </c>
      <c r="K865"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5"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5" s="11" t="inlineStr">
        <is>
          <t>• [Must] The Commission may request one or more European standardisation organisations to draft harmonised standards
• [Must] Harmonised standards must satisfy essential requirements laid down in paragraphs 1 and 2 of this Article</t>
        </is>
      </c>
      <c r="N865"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5" s="12" t="inlineStr">
        <is>
          <t>Open PDF</t>
        </is>
      </c>
    </row>
    <row r="866">
      <c r="A866" t="inlineStr">
        <is>
          <t>GDPR</t>
        </is>
      </c>
      <c r="B866" t="inlineStr">
        <is>
          <t>OJ_L_202302854_EN_TXT (GDPR - Row 11)</t>
        </is>
      </c>
      <c r="C866" t="inlineStr">
        <is>
          <t>4</t>
        </is>
      </c>
      <c r="D866" s="11" t="inlineStr">
        <is>
          <t>Commission may request standardisation bodies to draft harmonised standards</t>
        </is>
      </c>
      <c r="E866" t="inlineStr">
        <is>
          <t>57</t>
        </is>
      </c>
      <c r="F866" t="inlineStr">
        <is>
          <t>Low</t>
        </is>
      </c>
      <c r="G866" t="inlineStr">
        <is>
          <t>High (explicit)</t>
        </is>
      </c>
      <c r="H866" s="11" t="inlineStr">
        <is>
          <t>Cross-border Transfer, International Processing, Data Storage, Security</t>
        </is>
      </c>
      <c r="I866" s="11" t="inlineStr">
        <is>
          <t>Personal Information</t>
        </is>
      </c>
      <c r="J866" t="inlineStr">
        <is>
          <t>European Commission</t>
        </is>
      </c>
      <c r="K866"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6"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6" s="11" t="inlineStr">
        <is>
          <t>• [Must] The Commission may request one or more European standardisation organisations to draft harmonised standards
• [Must] Harmonised standards must satisfy essential requirements laid down in paragraphs 1 and 2 of this Article</t>
        </is>
      </c>
      <c r="N866"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6" s="12" t="inlineStr">
        <is>
          <t>Open PDF</t>
        </is>
      </c>
    </row>
    <row r="867">
      <c r="A867" t="inlineStr">
        <is>
          <t>GDPR</t>
        </is>
      </c>
      <c r="B867" t="inlineStr">
        <is>
          <t>OJ_L_202302854_EN_TXT (GDPR - Row 11)</t>
        </is>
      </c>
      <c r="C867" t="inlineStr">
        <is>
          <t>4</t>
        </is>
      </c>
      <c r="D867" s="11" t="inlineStr">
        <is>
          <t>Commission may request standardisation bodies to draft harmonised standards</t>
        </is>
      </c>
      <c r="E867" t="inlineStr">
        <is>
          <t>59</t>
        </is>
      </c>
      <c r="F867" t="inlineStr">
        <is>
          <t>Low</t>
        </is>
      </c>
      <c r="G867" t="inlineStr">
        <is>
          <t>High (explicit)</t>
        </is>
      </c>
      <c r="H867" s="11" t="inlineStr">
        <is>
          <t>Cross-border Transfer, International Processing, Data Storage, Security</t>
        </is>
      </c>
      <c r="I867" s="11" t="inlineStr">
        <is>
          <t>Personal Information</t>
        </is>
      </c>
      <c r="J867" t="inlineStr">
        <is>
          <t>European Commission</t>
        </is>
      </c>
      <c r="K867"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7"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7" s="11" t="inlineStr">
        <is>
          <t>• [Must] The Commission may request one or more European standardisation organisations to draft harmonised standards
• [Must] Harmonised standards must satisfy essential requirements laid down in paragraphs 1 and 2 of this Article</t>
        </is>
      </c>
      <c r="N867"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7" s="12" t="inlineStr">
        <is>
          <t>Open PDF</t>
        </is>
      </c>
    </row>
    <row r="868">
      <c r="A868" t="inlineStr">
        <is>
          <t>GDPR</t>
        </is>
      </c>
      <c r="B868" t="inlineStr">
        <is>
          <t>OJ_L_202302854_EN_TXT (GDPR - Row 11)</t>
        </is>
      </c>
      <c r="C868" t="inlineStr">
        <is>
          <t>4</t>
        </is>
      </c>
      <c r="D868" s="11" t="inlineStr">
        <is>
          <t>Commission may request standardisation bodies to draft harmonised standards</t>
        </is>
      </c>
      <c r="E868" t="inlineStr">
        <is>
          <t>61–62</t>
        </is>
      </c>
      <c r="F868" t="inlineStr">
        <is>
          <t>Low</t>
        </is>
      </c>
      <c r="G868" t="inlineStr">
        <is>
          <t>High (explicit)</t>
        </is>
      </c>
      <c r="H868" s="11" t="inlineStr">
        <is>
          <t>Cross-border Transfer, International Processing, Data Storage, Security</t>
        </is>
      </c>
      <c r="I868" s="11" t="inlineStr">
        <is>
          <t>Personal Information</t>
        </is>
      </c>
      <c r="J868" t="inlineStr">
        <is>
          <t>European Commission</t>
        </is>
      </c>
      <c r="K868" s="11" t="inlineStr">
        <is>
          <t>The European Commission may request one or more European standardisation organisations to draft harmonised standards that meet essential requirements under Article 10(1) of Regulation (EU) No 1025/2012. These standards must satisfy the requirements specified in paragraphs 1 and 2 of this Article. The Commission's authority is limited to this specific regulatory function.</t>
        </is>
      </c>
      <c r="L868" s="11" t="inlineStr">
        <is>
          <t>This section establishes a mechanism for harmonised standards that could impact cross-border data transfers by providing technical standards for data processing services, relevant for DTIA when assessing technical compatibility and compliance with international standards.</t>
        </is>
      </c>
      <c r="M868" s="11" t="inlineStr">
        <is>
          <t>• [Must] The Commission may request one or more European standardisation organisations to draft harmonised standards
• [Must] Harmonised standards must satisfy essential requirements laid down in paragraphs 1 and 2 of this Article</t>
        </is>
      </c>
      <c r="N868" s="11" t="inlineStr">
        <is>
          <t>After taking into account relevant international and European standards and self-regulatory initiatives, the Commission may, in accordance with Article 10(1) of Regulation (EU) No 1025/2012, request one or more European standardisation organisations to draft harmonised standards that satisfy the essential requirements laid down in paragraphs 1 and 2 of this Article.</t>
        </is>
      </c>
      <c r="O868" s="12" t="inlineStr">
        <is>
          <t>Open PDF</t>
        </is>
      </c>
    </row>
    <row r="869">
      <c r="A869" t="inlineStr">
        <is>
          <t>GDPR</t>
        </is>
      </c>
      <c r="B869" t="inlineStr">
        <is>
          <t>OJ_L_202302854_EN_TXT (GDPR - Row 11)</t>
        </is>
      </c>
      <c r="C869" t="inlineStr">
        <is>
          <t>5</t>
        </is>
      </c>
      <c r="D869" s="11" t="inlineStr">
        <is>
          <t>GDPR enforcement fines for Chapter V violations</t>
        </is>
      </c>
      <c r="E869" t="inlineStr">
        <is>
          <t>33</t>
        </is>
      </c>
      <c r="F869" t="inlineStr">
        <is>
          <t>High</t>
        </is>
      </c>
      <c r="G869" t="inlineStr">
        <is>
          <t>High (explicit)</t>
        </is>
      </c>
      <c r="H869" s="11" t="inlineStr"/>
      <c r="I869" s="11" t="inlineStr"/>
      <c r="J869" t="inlineStr">
        <is>
          <t>European Data Protection Supervisor</t>
        </is>
      </c>
      <c r="K869"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69" s="11" t="inlineStr">
        <is>
          <t>Authorises fines for GDPR violations, which impacts data transfer compliance assessments by defining potential financial penalties for non-compliance.</t>
        </is>
      </c>
      <c r="M869"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69"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69" s="12" t="inlineStr">
        <is>
          <t>Open PDF</t>
        </is>
      </c>
    </row>
    <row r="870">
      <c r="A870" t="inlineStr">
        <is>
          <t>GDPR</t>
        </is>
      </c>
      <c r="B870" t="inlineStr">
        <is>
          <t>OJ_L_202302854_EN_TXT (GDPR - Row 11)</t>
        </is>
      </c>
      <c r="C870" t="inlineStr">
        <is>
          <t>5</t>
        </is>
      </c>
      <c r="D870" s="11" t="inlineStr">
        <is>
          <t>GDPR enforcement fines for Chapter V violations</t>
        </is>
      </c>
      <c r="E870" t="inlineStr">
        <is>
          <t>47</t>
        </is>
      </c>
      <c r="F870" t="inlineStr">
        <is>
          <t>High</t>
        </is>
      </c>
      <c r="G870" t="inlineStr">
        <is>
          <t>High (explicit)</t>
        </is>
      </c>
      <c r="H870" s="11" t="inlineStr"/>
      <c r="I870" s="11" t="inlineStr"/>
      <c r="J870" t="inlineStr">
        <is>
          <t>European Data Protection Supervisor</t>
        </is>
      </c>
      <c r="K870"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0" s="11" t="inlineStr">
        <is>
          <t>Authorises fines for GDPR violations, which impacts data transfer compliance assessments by defining potential financial penalties for non-compliance.</t>
        </is>
      </c>
      <c r="M870"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0"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0" s="12" t="inlineStr">
        <is>
          <t>Open PDF</t>
        </is>
      </c>
    </row>
    <row r="871">
      <c r="A871" t="inlineStr">
        <is>
          <t>GDPR</t>
        </is>
      </c>
      <c r="B871" t="inlineStr">
        <is>
          <t>OJ_L_202302854_EN_TXT (GDPR - Row 11)</t>
        </is>
      </c>
      <c r="C871" t="inlineStr">
        <is>
          <t>5</t>
        </is>
      </c>
      <c r="D871" s="11" t="inlineStr">
        <is>
          <t>GDPR enforcement fines for Chapter V violations</t>
        </is>
      </c>
      <c r="E871" t="inlineStr">
        <is>
          <t>51</t>
        </is>
      </c>
      <c r="F871" t="inlineStr">
        <is>
          <t>High</t>
        </is>
      </c>
      <c r="G871" t="inlineStr">
        <is>
          <t>High (explicit)</t>
        </is>
      </c>
      <c r="H871" s="11" t="inlineStr"/>
      <c r="I871" s="11" t="inlineStr"/>
      <c r="J871" t="inlineStr">
        <is>
          <t>European Data Protection Supervisor</t>
        </is>
      </c>
      <c r="K871"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1" s="11" t="inlineStr">
        <is>
          <t>Authorises fines for GDPR violations, which impacts data transfer compliance assessments by defining potential financial penalties for non-compliance.</t>
        </is>
      </c>
      <c r="M871"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1"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1" s="12" t="inlineStr">
        <is>
          <t>Open PDF</t>
        </is>
      </c>
    </row>
    <row r="872">
      <c r="A872" t="inlineStr">
        <is>
          <t>GDPR</t>
        </is>
      </c>
      <c r="B872" t="inlineStr">
        <is>
          <t>OJ_L_202302854_EN_TXT (GDPR - Row 11)</t>
        </is>
      </c>
      <c r="C872" t="inlineStr">
        <is>
          <t>5</t>
        </is>
      </c>
      <c r="D872" s="11" t="inlineStr">
        <is>
          <t>GDPR enforcement fines for Chapter V violations</t>
        </is>
      </c>
      <c r="E872" t="inlineStr">
        <is>
          <t>52</t>
        </is>
      </c>
      <c r="F872" t="inlineStr">
        <is>
          <t>High</t>
        </is>
      </c>
      <c r="G872" t="inlineStr">
        <is>
          <t>High (explicit)</t>
        </is>
      </c>
      <c r="H872" s="11" t="inlineStr"/>
      <c r="I872" s="11" t="inlineStr"/>
      <c r="J872" t="inlineStr">
        <is>
          <t>European Data Protection Supervisor</t>
        </is>
      </c>
      <c r="K872"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2" s="11" t="inlineStr">
        <is>
          <t>Authorises fines for GDPR violations, which impacts data transfer compliance assessments by defining potential financial penalties for non-compliance.</t>
        </is>
      </c>
      <c r="M872"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2"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2" s="12" t="inlineStr">
        <is>
          <t>Open PDF</t>
        </is>
      </c>
    </row>
    <row r="873">
      <c r="A873" t="inlineStr">
        <is>
          <t>GDPR</t>
        </is>
      </c>
      <c r="B873" t="inlineStr">
        <is>
          <t>OJ_L_202302854_EN_TXT (GDPR - Row 11)</t>
        </is>
      </c>
      <c r="C873" t="inlineStr">
        <is>
          <t>5</t>
        </is>
      </c>
      <c r="D873" s="11" t="inlineStr">
        <is>
          <t>GDPR enforcement fines for Chapter V violations</t>
        </is>
      </c>
      <c r="E873" t="inlineStr">
        <is>
          <t>53</t>
        </is>
      </c>
      <c r="F873" t="inlineStr">
        <is>
          <t>High</t>
        </is>
      </c>
      <c r="G873" t="inlineStr">
        <is>
          <t>High (explicit)</t>
        </is>
      </c>
      <c r="H873" s="11" t="inlineStr"/>
      <c r="I873" s="11" t="inlineStr"/>
      <c r="J873" t="inlineStr">
        <is>
          <t>European Data Protection Supervisor</t>
        </is>
      </c>
      <c r="K873"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3" s="11" t="inlineStr">
        <is>
          <t>Authorises fines for GDPR violations, which impacts data transfer compliance assessments by defining potential financial penalties for non-compliance.</t>
        </is>
      </c>
      <c r="M873"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3"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3" s="12" t="inlineStr">
        <is>
          <t>Open PDF</t>
        </is>
      </c>
    </row>
    <row r="874">
      <c r="A874" t="inlineStr">
        <is>
          <t>GDPR</t>
        </is>
      </c>
      <c r="B874" t="inlineStr">
        <is>
          <t>OJ_L_202302854_EN_TXT (GDPR - Row 11)</t>
        </is>
      </c>
      <c r="C874" t="inlineStr">
        <is>
          <t>5</t>
        </is>
      </c>
      <c r="D874" s="11" t="inlineStr">
        <is>
          <t>GDPR enforcement fines for Chapter V violations</t>
        </is>
      </c>
      <c r="E874" t="inlineStr">
        <is>
          <t>56</t>
        </is>
      </c>
      <c r="F874" t="inlineStr">
        <is>
          <t>High</t>
        </is>
      </c>
      <c r="G874" t="inlineStr">
        <is>
          <t>High (explicit)</t>
        </is>
      </c>
      <c r="H874" s="11" t="inlineStr"/>
      <c r="I874" s="11" t="inlineStr"/>
      <c r="J874" t="inlineStr">
        <is>
          <t>European Data Protection Supervisor</t>
        </is>
      </c>
      <c r="K874"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4" s="11" t="inlineStr">
        <is>
          <t>Authorises fines for GDPR violations, which impacts data transfer compliance assessments by defining potential financial penalties for non-compliance.</t>
        </is>
      </c>
      <c r="M874"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4"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4" s="12" t="inlineStr">
        <is>
          <t>Open PDF</t>
        </is>
      </c>
    </row>
    <row r="875">
      <c r="A875" t="inlineStr">
        <is>
          <t>GDPR</t>
        </is>
      </c>
      <c r="B875" t="inlineStr">
        <is>
          <t>OJ_L_202302854_EN_TXT (GDPR - Row 11)</t>
        </is>
      </c>
      <c r="C875" t="inlineStr">
        <is>
          <t>5</t>
        </is>
      </c>
      <c r="D875" s="11" t="inlineStr">
        <is>
          <t>GDPR enforcement fines for Chapter V violations</t>
        </is>
      </c>
      <c r="E875" t="inlineStr">
        <is>
          <t>57</t>
        </is>
      </c>
      <c r="F875" t="inlineStr">
        <is>
          <t>High</t>
        </is>
      </c>
      <c r="G875" t="inlineStr">
        <is>
          <t>High (explicit)</t>
        </is>
      </c>
      <c r="H875" s="11" t="inlineStr"/>
      <c r="I875" s="11" t="inlineStr"/>
      <c r="J875" t="inlineStr">
        <is>
          <t>European Data Protection Supervisor</t>
        </is>
      </c>
      <c r="K875"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5" s="11" t="inlineStr">
        <is>
          <t>Authorises fines for GDPR violations, which impacts data transfer compliance assessments by defining potential financial penalties for non-compliance.</t>
        </is>
      </c>
      <c r="M875"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5"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5" s="12" t="inlineStr">
        <is>
          <t>Open PDF</t>
        </is>
      </c>
    </row>
    <row r="876">
      <c r="A876" t="inlineStr">
        <is>
          <t>GDPR</t>
        </is>
      </c>
      <c r="B876" t="inlineStr">
        <is>
          <t>OJ_L_202302854_EN_TXT (GDPR - Row 11)</t>
        </is>
      </c>
      <c r="C876" t="inlineStr">
        <is>
          <t>5</t>
        </is>
      </c>
      <c r="D876" s="11" t="inlineStr">
        <is>
          <t>GDPR enforcement fines for Chapter V violations</t>
        </is>
      </c>
      <c r="E876" t="inlineStr">
        <is>
          <t>57</t>
        </is>
      </c>
      <c r="F876" t="inlineStr">
        <is>
          <t>High</t>
        </is>
      </c>
      <c r="G876" t="inlineStr">
        <is>
          <t>High (explicit)</t>
        </is>
      </c>
      <c r="H876" s="11" t="inlineStr"/>
      <c r="I876" s="11" t="inlineStr"/>
      <c r="J876" t="inlineStr">
        <is>
          <t>European Data Protection Supervisor</t>
        </is>
      </c>
      <c r="K876"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6" s="11" t="inlineStr">
        <is>
          <t>Authorises fines for GDPR violations, which impacts data transfer compliance assessments by defining potential financial penalties for non-compliance.</t>
        </is>
      </c>
      <c r="M876"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6"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6" s="12" t="inlineStr">
        <is>
          <t>Open PDF</t>
        </is>
      </c>
    </row>
    <row r="877">
      <c r="A877" t="inlineStr">
        <is>
          <t>GDPR</t>
        </is>
      </c>
      <c r="B877" t="inlineStr">
        <is>
          <t>OJ_L_202302854_EN_TXT (GDPR - Row 11)</t>
        </is>
      </c>
      <c r="C877" t="inlineStr">
        <is>
          <t>5</t>
        </is>
      </c>
      <c r="D877" s="11" t="inlineStr">
        <is>
          <t>GDPR enforcement fines for Chapter V violations</t>
        </is>
      </c>
      <c r="E877" t="inlineStr">
        <is>
          <t>59</t>
        </is>
      </c>
      <c r="F877" t="inlineStr">
        <is>
          <t>High</t>
        </is>
      </c>
      <c r="G877" t="inlineStr">
        <is>
          <t>High (explicit)</t>
        </is>
      </c>
      <c r="H877" s="11" t="inlineStr"/>
      <c r="I877" s="11" t="inlineStr"/>
      <c r="J877" t="inlineStr">
        <is>
          <t>European Data Protection Supervisor</t>
        </is>
      </c>
      <c r="K877"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7" s="11" t="inlineStr">
        <is>
          <t>Authorises fines for GDPR violations, which impacts data transfer compliance assessments by defining potential financial penalties for non-compliance.</t>
        </is>
      </c>
      <c r="M877"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7"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7" s="12" t="inlineStr">
        <is>
          <t>Open PDF</t>
        </is>
      </c>
    </row>
    <row r="878">
      <c r="A878" t="inlineStr">
        <is>
          <t>GDPR</t>
        </is>
      </c>
      <c r="B878" t="inlineStr">
        <is>
          <t>OJ_L_202302854_EN_TXT (GDPR - Row 11)</t>
        </is>
      </c>
      <c r="C878" t="inlineStr">
        <is>
          <t>5</t>
        </is>
      </c>
      <c r="D878" s="11" t="inlineStr">
        <is>
          <t>GDPR enforcement fines for Chapter V violations</t>
        </is>
      </c>
      <c r="E878" t="inlineStr">
        <is>
          <t>64–65</t>
        </is>
      </c>
      <c r="F878" t="inlineStr">
        <is>
          <t>High</t>
        </is>
      </c>
      <c r="G878" t="inlineStr">
        <is>
          <t>High (explicit)</t>
        </is>
      </c>
      <c r="H878" s="11" t="inlineStr"/>
      <c r="I878" s="11" t="inlineStr"/>
      <c r="J878" t="inlineStr">
        <is>
          <t>European Data Protection Supervisor</t>
        </is>
      </c>
      <c r="K878"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8" s="11" t="inlineStr">
        <is>
          <t>Authorises fines for GDPR violations, which impacts data transfer compliance assessments by defining potential financial penalties for non-compliance.</t>
        </is>
      </c>
      <c r="M878"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8"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8" s="12" t="inlineStr">
        <is>
          <t>Open PDF</t>
        </is>
      </c>
    </row>
    <row r="879">
      <c r="A879" t="inlineStr">
        <is>
          <t>GDPR</t>
        </is>
      </c>
      <c r="B879" t="inlineStr">
        <is>
          <t>OJ_L_202302854_EN_TXT (GDPR - Row 11)</t>
        </is>
      </c>
      <c r="C879" t="inlineStr">
        <is>
          <t>5</t>
        </is>
      </c>
      <c r="D879" s="11" t="inlineStr">
        <is>
          <t>GDPR enforcement fines for Chapter V violations</t>
        </is>
      </c>
      <c r="E879" t="inlineStr">
        <is>
          <t>67–68</t>
        </is>
      </c>
      <c r="F879" t="inlineStr">
        <is>
          <t>High</t>
        </is>
      </c>
      <c r="G879" t="inlineStr">
        <is>
          <t>High (explicit)</t>
        </is>
      </c>
      <c r="H879" s="11" t="inlineStr"/>
      <c r="I879" s="11" t="inlineStr"/>
      <c r="J879" t="inlineStr">
        <is>
          <t>European Data Protection Supervisor</t>
        </is>
      </c>
      <c r="K879" s="11" t="inlineStr">
        <is>
          <t>The European Data Protection Supervisor may impose administrative fines for violations of Chapter V obligations up to the amount specified in Regulation (EU) 2018/1725. This applies to the European Data Protection Supervisor acting within its competence for GDPR enforcement.</t>
        </is>
      </c>
      <c r="L879" s="11" t="inlineStr">
        <is>
          <t>Authorises fines for GDPR violations, which impacts data transfer compliance assessments by defining potential financial penalties for non-compliance.</t>
        </is>
      </c>
      <c r="M879" s="11" t="inlineStr">
        <is>
          <t>• [May] For infringements of the obligations laid down in Chapter V of this Regulation, the European Data Protection Supervisor may impose administrative fines
• [Must] Administrative fines may be imposed in accordance with Article 66 of Regulation (EU) 2018/1725
• [Must] Fines may be up to the amount referred to in Article 66(3) of Regulation (EU) 2018/1725</t>
        </is>
      </c>
      <c r="N879" s="11" t="inlineStr">
        <is>
          <t>For infringements of the obligations laid down in Chapter V of this Regulation, the European Data Protection Supervisor may impose within its scope of competence administrative fines in accordance with Article 66 of Regulation (EU) 2018/1725 up to the amount referred to in Article 66(3) of that Regulation.</t>
        </is>
      </c>
      <c r="O879" s="12" t="inlineStr">
        <is>
          <t>Open PDF</t>
        </is>
      </c>
    </row>
    <row r="880">
      <c r="A880" t="inlineStr">
        <is>
          <t>GDPR</t>
        </is>
      </c>
      <c r="B880" t="inlineStr">
        <is>
          <t>OJ_L_202302854_EN_TXT (GDPR - Row 11)</t>
        </is>
      </c>
      <c r="C880" t="inlineStr">
        <is>
          <t>6</t>
        </is>
      </c>
      <c r="D880" s="11" t="inlineStr">
        <is>
          <t>Data coordinator facilitates cooperation with authorities</t>
        </is>
      </c>
      <c r="E880" t="inlineStr">
        <is>
          <t>33</t>
        </is>
      </c>
      <c r="F880" t="inlineStr">
        <is>
          <t>Low</t>
        </is>
      </c>
      <c r="G880" t="inlineStr">
        <is>
          <t>High (explicit)</t>
        </is>
      </c>
      <c r="H880" s="11" t="inlineStr">
        <is>
          <t>Data Sharing, Data Storage</t>
        </is>
      </c>
      <c r="I880" s="11" t="inlineStr">
        <is>
          <t>Personal Information</t>
        </is>
      </c>
      <c r="J880" t="inlineStr"/>
      <c r="K880" s="11" t="inlineStr">
        <is>
          <t>The data coordinator, if designated, must act as a single point of contact for GDPR-related issues, ensure online public availability of data requests for public sector bodies, and inform the Commission annually about refusals to data sharing requests.</t>
        </is>
      </c>
      <c r="L880" s="11" t="inlineStr">
        <is>
          <t>This section defines the role of the data coordinator, which is relevant for DTIA when assessing coordination mechanisms between public and private entities for data sharing.</t>
        </is>
      </c>
      <c r="M880"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0"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0" s="12" t="inlineStr">
        <is>
          <t>Open PDF</t>
        </is>
      </c>
    </row>
    <row r="881">
      <c r="A881" t="inlineStr">
        <is>
          <t>GDPR</t>
        </is>
      </c>
      <c r="B881" t="inlineStr">
        <is>
          <t>OJ_L_202302854_EN_TXT (GDPR - Row 11)</t>
        </is>
      </c>
      <c r="C881" t="inlineStr">
        <is>
          <t>6</t>
        </is>
      </c>
      <c r="D881" s="11" t="inlineStr">
        <is>
          <t>Data coordinator facilitates cooperation with authorities</t>
        </is>
      </c>
      <c r="E881" t="inlineStr">
        <is>
          <t>38–39</t>
        </is>
      </c>
      <c r="F881" t="inlineStr">
        <is>
          <t>Low</t>
        </is>
      </c>
      <c r="G881" t="inlineStr">
        <is>
          <t>High (explicit)</t>
        </is>
      </c>
      <c r="H881" s="11" t="inlineStr">
        <is>
          <t>Data Sharing, Data Storage</t>
        </is>
      </c>
      <c r="I881" s="11" t="inlineStr">
        <is>
          <t>Personal Information</t>
        </is>
      </c>
      <c r="J881" t="inlineStr"/>
      <c r="K881" s="11" t="inlineStr">
        <is>
          <t>The data coordinator, if designated, must act as a single point of contact for GDPR-related issues, ensure online public availability of data requests for public sector bodies, and inform the Commission annually about refusals to data sharing requests.</t>
        </is>
      </c>
      <c r="L881" s="11" t="inlineStr">
        <is>
          <t>This section defines the role of the data coordinator, which is relevant for DTIA when assessing coordination mechanisms between public and private entities for data sharing.</t>
        </is>
      </c>
      <c r="M881"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1"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1" s="12" t="inlineStr">
        <is>
          <t>Open PDF</t>
        </is>
      </c>
    </row>
    <row r="882">
      <c r="A882" t="inlineStr">
        <is>
          <t>GDPR</t>
        </is>
      </c>
      <c r="B882" t="inlineStr">
        <is>
          <t>OJ_L_202302854_EN_TXT (GDPR - Row 11)</t>
        </is>
      </c>
      <c r="C882" t="inlineStr">
        <is>
          <t>6</t>
        </is>
      </c>
      <c r="D882" s="11" t="inlineStr">
        <is>
          <t>Data coordinator facilitates cooperation with authorities</t>
        </is>
      </c>
      <c r="E882" t="inlineStr">
        <is>
          <t>43</t>
        </is>
      </c>
      <c r="F882" t="inlineStr">
        <is>
          <t>Low</t>
        </is>
      </c>
      <c r="G882" t="inlineStr">
        <is>
          <t>High (explicit)</t>
        </is>
      </c>
      <c r="H882" s="11" t="inlineStr">
        <is>
          <t>Data Sharing, Data Storage</t>
        </is>
      </c>
      <c r="I882" s="11" t="inlineStr">
        <is>
          <t>Personal Information</t>
        </is>
      </c>
      <c r="J882" t="inlineStr"/>
      <c r="K882" s="11" t="inlineStr">
        <is>
          <t>The data coordinator, if designated, must act as a single point of contact for GDPR-related issues, ensure online public availability of data requests for public sector bodies, and inform the Commission annually about refusals to data sharing requests.</t>
        </is>
      </c>
      <c r="L882" s="11" t="inlineStr">
        <is>
          <t>This section defines the role of the data coordinator, which is relevant for DTIA when assessing coordination mechanisms between public and private entities for data sharing.</t>
        </is>
      </c>
      <c r="M882"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2"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2" s="12" t="inlineStr">
        <is>
          <t>Open PDF</t>
        </is>
      </c>
    </row>
    <row r="883">
      <c r="A883" t="inlineStr">
        <is>
          <t>GDPR</t>
        </is>
      </c>
      <c r="B883" t="inlineStr">
        <is>
          <t>OJ_L_202302854_EN_TXT (GDPR - Row 11)</t>
        </is>
      </c>
      <c r="C883" t="inlineStr">
        <is>
          <t>6</t>
        </is>
      </c>
      <c r="D883" s="11" t="inlineStr">
        <is>
          <t>Data coordinator facilitates cooperation with authorities</t>
        </is>
      </c>
      <c r="E883" t="inlineStr">
        <is>
          <t>57</t>
        </is>
      </c>
      <c r="F883" t="inlineStr">
        <is>
          <t>Low</t>
        </is>
      </c>
      <c r="G883" t="inlineStr">
        <is>
          <t>High (explicit)</t>
        </is>
      </c>
      <c r="H883" s="11" t="inlineStr">
        <is>
          <t>Data Sharing, Data Storage</t>
        </is>
      </c>
      <c r="I883" s="11" t="inlineStr">
        <is>
          <t>Personal Information</t>
        </is>
      </c>
      <c r="J883" t="inlineStr"/>
      <c r="K883" s="11" t="inlineStr">
        <is>
          <t>The data coordinator, if designated, must act as a single point of contact for GDPR-related issues, ensure online public availability of data requests for public sector bodies, and inform the Commission annually about refusals to data sharing requests.</t>
        </is>
      </c>
      <c r="L883" s="11" t="inlineStr">
        <is>
          <t>This section defines the role of the data coordinator, which is relevant for DTIA when assessing coordination mechanisms between public and private entities for data sharing.</t>
        </is>
      </c>
      <c r="M883"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3"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3" s="12" t="inlineStr">
        <is>
          <t>Open PDF</t>
        </is>
      </c>
    </row>
    <row r="884">
      <c r="A884" t="inlineStr">
        <is>
          <t>GDPR</t>
        </is>
      </c>
      <c r="B884" t="inlineStr">
        <is>
          <t>OJ_L_202302854_EN_TXT (GDPR - Row 11)</t>
        </is>
      </c>
      <c r="C884" t="inlineStr">
        <is>
          <t>6</t>
        </is>
      </c>
      <c r="D884" s="11" t="inlineStr">
        <is>
          <t>Data coordinator facilitates cooperation with authorities</t>
        </is>
      </c>
      <c r="E884" t="inlineStr">
        <is>
          <t>57–58</t>
        </is>
      </c>
      <c r="F884" t="inlineStr">
        <is>
          <t>Low</t>
        </is>
      </c>
      <c r="G884" t="inlineStr">
        <is>
          <t>High (explicit)</t>
        </is>
      </c>
      <c r="H884" s="11" t="inlineStr">
        <is>
          <t>Data Sharing, Data Storage</t>
        </is>
      </c>
      <c r="I884" s="11" t="inlineStr">
        <is>
          <t>Personal Information</t>
        </is>
      </c>
      <c r="J884" t="inlineStr"/>
      <c r="K884" s="11" t="inlineStr">
        <is>
          <t>The data coordinator, if designated, must act as a single point of contact for GDPR-related issues, ensure online public availability of data requests for public sector bodies, and inform the Commission annually about refusals to data sharing requests.</t>
        </is>
      </c>
      <c r="L884" s="11" t="inlineStr">
        <is>
          <t>This section defines the role of the data coordinator, which is relevant for DTIA when assessing coordination mechanisms between public and private entities for data sharing.</t>
        </is>
      </c>
      <c r="M884"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4"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4" s="12" t="inlineStr">
        <is>
          <t>Open PDF</t>
        </is>
      </c>
    </row>
    <row r="885">
      <c r="A885" t="inlineStr">
        <is>
          <t>GDPR</t>
        </is>
      </c>
      <c r="B885" t="inlineStr">
        <is>
          <t>OJ_L_202302854_EN_TXT (GDPR - Row 11)</t>
        </is>
      </c>
      <c r="C885" t="inlineStr">
        <is>
          <t>6</t>
        </is>
      </c>
      <c r="D885" s="11" t="inlineStr">
        <is>
          <t>Data coordinator facilitates cooperation with authorities</t>
        </is>
      </c>
      <c r="E885" t="inlineStr">
        <is>
          <t>65</t>
        </is>
      </c>
      <c r="F885" t="inlineStr">
        <is>
          <t>Low</t>
        </is>
      </c>
      <c r="G885" t="inlineStr">
        <is>
          <t>High (explicit)</t>
        </is>
      </c>
      <c r="H885" s="11" t="inlineStr">
        <is>
          <t>Data Sharing, Data Storage</t>
        </is>
      </c>
      <c r="I885" s="11" t="inlineStr">
        <is>
          <t>Personal Information</t>
        </is>
      </c>
      <c r="J885" t="inlineStr"/>
      <c r="K885" s="11" t="inlineStr">
        <is>
          <t>The data coordinator, if designated, must act as a single point of contact for GDPR-related issues, ensure online public availability of data requests for public sector bodies, and inform the Commission annually about refusals to data sharing requests.</t>
        </is>
      </c>
      <c r="L885" s="11" t="inlineStr">
        <is>
          <t>This section defines the role of the data coordinator, which is relevant for DTIA when assessing coordination mechanisms between public and private entities for data sharing.</t>
        </is>
      </c>
      <c r="M885" s="11" t="inlineStr">
        <is>
          <t>• [Must] Data coordinator shall act as single point of contact for GDPR-related issues
• [Must] Data coordinator shall ensure online public availability of data requests for public sector bodies
• [Must] Data coordinator shall inform Commission annually about refusals to data sharing requests</t>
        </is>
      </c>
      <c r="N885" s="11" t="inlineStr">
        <is>
          <t>The data coordinator, where such competent authority has been designated, shall: (a) act as the single point of contact for all issues related to the application of this Regulation; (b) ensure the online public availability of requests to make data available made by public sector bodies in the case of exceptional need under Chapter V and promote voluntary data sharing agreements between public sector bodies and data holders; (c) inform the Commission, on an annual basis, of the refusals notified under Article 4(2) and (8) and Article 5(11).</t>
        </is>
      </c>
      <c r="O885" s="12" t="inlineStr">
        <is>
          <t>Open PDF</t>
        </is>
      </c>
    </row>
    <row r="886">
      <c r="A886" t="inlineStr">
        <is>
          <t>GDPR</t>
        </is>
      </c>
      <c r="B886" t="inlineStr">
        <is>
          <t>OJ_L_202302854_EN_TXT (GDPR - Row 11)</t>
        </is>
      </c>
      <c r="C886" t="inlineStr">
        <is>
          <t>7</t>
        </is>
      </c>
      <c r="D886" s="11" t="inlineStr">
        <is>
          <t>Commission's authority to monitor switching charges</t>
        </is>
      </c>
      <c r="E886" t="inlineStr">
        <is>
          <t>33</t>
        </is>
      </c>
      <c r="F886" t="inlineStr">
        <is>
          <t>High</t>
        </is>
      </c>
      <c r="G886" t="inlineStr">
        <is>
          <t>High (explicit)</t>
        </is>
      </c>
      <c r="H886" s="11" t="inlineStr"/>
      <c r="I886" s="11" t="inlineStr"/>
      <c r="J886" t="inlineStr">
        <is>
          <t>European Commission</t>
        </is>
      </c>
      <c r="K886" s="11" t="inlineStr">
        <is>
          <t>The European Commission can adopt delegated acts to establish a monitoring mechanism for switching charges imposed by data processing service providers. This mechanism ensures compliance with switching deadlines and fee reductions as specified in paragraphs 1 and 2 of the regulation.</t>
        </is>
      </c>
      <c r="L886" s="11" t="inlineStr">
        <is>
          <t>This section grants the Commission authority to monitor switching charges, which impacts DTIA by requiring oversight of financial terms during cross-border data transfers to ensure timely compliance.</t>
        </is>
      </c>
      <c r="M886" s="11" t="inlineStr">
        <is>
          <t>• [May] Commission may adopt delegated acts to establish monitoring mechanism for switching charges</t>
        </is>
      </c>
      <c r="N886" s="11" t="inlineStr">
        <is>
          <t>The Commission is empowered to adopt delegated acts in accordance with Article 45 to supplement this Regulation by establishing a monitoring mechanism for the Commission to monitor switching charges, imposed by providers of data processing services on the market to ensure that the withdrawal and reduction of switching charges, pursuant to paragraphs 1 and 2 of this Article are to be attained in accordance with the deadlines laid down in those paragraphs.</t>
        </is>
      </c>
      <c r="O886" s="12" t="inlineStr">
        <is>
          <t>Open PDF</t>
        </is>
      </c>
    </row>
    <row r="887">
      <c r="A887" t="inlineStr">
        <is>
          <t>GDPR</t>
        </is>
      </c>
      <c r="B887" t="inlineStr">
        <is>
          <t>OJ_L_202302854_EN_TXT (GDPR - Row 11)</t>
        </is>
      </c>
      <c r="C887" t="inlineStr">
        <is>
          <t>7</t>
        </is>
      </c>
      <c r="D887" s="11" t="inlineStr">
        <is>
          <t>Commission's authority to monitor switching charges</t>
        </is>
      </c>
      <c r="E887" t="inlineStr">
        <is>
          <t>39</t>
        </is>
      </c>
      <c r="F887" t="inlineStr">
        <is>
          <t>High</t>
        </is>
      </c>
      <c r="G887" t="inlineStr">
        <is>
          <t>High (explicit)</t>
        </is>
      </c>
      <c r="H887" s="11" t="inlineStr"/>
      <c r="I887" s="11" t="inlineStr"/>
      <c r="J887" t="inlineStr">
        <is>
          <t>European Commission</t>
        </is>
      </c>
      <c r="K887" s="11" t="inlineStr">
        <is>
          <t>The European Commission can adopt delegated acts to establish a monitoring mechanism for switching charges imposed by data processing service providers. This mechanism ensures compliance with switching deadlines and fee reductions as specified in paragraphs 1 and 2 of the regulation.</t>
        </is>
      </c>
      <c r="L887" s="11" t="inlineStr">
        <is>
          <t>This section grants the Commission authority to monitor switching charges, which impacts DTIA by requiring oversight of financial terms during cross-border data transfers to ensure timely compliance.</t>
        </is>
      </c>
      <c r="M887" s="11" t="inlineStr">
        <is>
          <t>• [May] Commission may adopt delegated acts to establish monitoring mechanism for switching charges</t>
        </is>
      </c>
      <c r="N887" s="11" t="inlineStr">
        <is>
          <t>The Commission is empowered to adopt delegated acts in accordance with Article 45 to supplement this Regulation by establishing a monitoring mechanism for the Commission to monitor switching charges, imposed by providers of data processing services on the market to ensure that the withdrawal and reduction of switching charges, pursuant to paragraphs 1 and 2 of this Article are to be attained in accordance with the deadlines laid down in those paragraphs.</t>
        </is>
      </c>
      <c r="O887" s="12" t="inlineStr">
        <is>
          <t>Open PDF</t>
        </is>
      </c>
    </row>
    <row r="888">
      <c r="A888" t="inlineStr">
        <is>
          <t>GDPR</t>
        </is>
      </c>
      <c r="B888" t="inlineStr">
        <is>
          <t>OJ_L_202302854_EN_TXT (GDPR - Row 11)</t>
        </is>
      </c>
      <c r="C888" t="inlineStr">
        <is>
          <t>7</t>
        </is>
      </c>
      <c r="D888" s="11" t="inlineStr">
        <is>
          <t>Commission's authority to monitor switching charges</t>
        </is>
      </c>
      <c r="E888" t="inlineStr">
        <is>
          <t>40</t>
        </is>
      </c>
      <c r="F888" t="inlineStr">
        <is>
          <t>High</t>
        </is>
      </c>
      <c r="G888" t="inlineStr">
        <is>
          <t>High (explicit)</t>
        </is>
      </c>
      <c r="H888" s="11" t="inlineStr"/>
      <c r="I888" s="11" t="inlineStr"/>
      <c r="J888" t="inlineStr">
        <is>
          <t>European Commission</t>
        </is>
      </c>
      <c r="K888" s="11" t="inlineStr">
        <is>
          <t>The European Commission can adopt delegated acts to establish a monitoring mechanism for switching charges imposed by data processing service providers. This mechanism ensures compliance with switching deadlines and fee reductions as specified in paragraphs 1 and 2 of the regulation.</t>
        </is>
      </c>
      <c r="L888" s="11" t="inlineStr">
        <is>
          <t>This section grants the Commission authority to monitor switching charges, which impacts DTIA by requiring oversight of financial terms during cross-border data transfers to ensure timely compliance.</t>
        </is>
      </c>
      <c r="M888" s="11" t="inlineStr">
        <is>
          <t>• [May] Commission may adopt delegated acts to establish monitoring mechanism for switching charges</t>
        </is>
      </c>
      <c r="N888" s="11" t="inlineStr">
        <is>
          <t>The Commission is empowered to adopt delegated acts in accordance with Article 45 to supplement this Regulation by establishing a monitoring mechanism for the Commission to monitor switching charges, imposed by providers of data processing services on the market to ensure that the withdrawal and reduction of switching charges, pursuant to paragraphs 1 and 2 of this Article are to be attained in accordance with the deadlines laid down in those paragraphs.</t>
        </is>
      </c>
      <c r="O888" s="12" t="inlineStr">
        <is>
          <t>Open PDF</t>
        </is>
      </c>
    </row>
    <row r="889">
      <c r="A889" t="inlineStr">
        <is>
          <t>GDPR</t>
        </is>
      </c>
      <c r="B889" t="inlineStr">
        <is>
          <t>OJ_L_202302854_EN_TXT (GDPR - Row 11)</t>
        </is>
      </c>
      <c r="C889" t="inlineStr">
        <is>
          <t>7</t>
        </is>
      </c>
      <c r="D889" s="11" t="inlineStr">
        <is>
          <t>Commission's authority to monitor switching charges</t>
        </is>
      </c>
      <c r="E889" t="inlineStr">
        <is>
          <t>57</t>
        </is>
      </c>
      <c r="F889" t="inlineStr">
        <is>
          <t>High</t>
        </is>
      </c>
      <c r="G889" t="inlineStr">
        <is>
          <t>High (explicit)</t>
        </is>
      </c>
      <c r="H889" s="11" t="inlineStr"/>
      <c r="I889" s="11" t="inlineStr"/>
      <c r="J889" t="inlineStr">
        <is>
          <t>European Commission</t>
        </is>
      </c>
      <c r="K889" s="11" t="inlineStr">
        <is>
          <t>The European Commission can adopt delegated acts to establish a monitoring mechanism for switching charges imposed by data processing service providers. This mechanism ensures compliance with switching deadlines and fee reductions as specified in paragraphs 1 and 2 of the regulation.</t>
        </is>
      </c>
      <c r="L889" s="11" t="inlineStr">
        <is>
          <t>This section grants the Commission authority to monitor switching charges, which impacts DTIA by requiring oversight of financial terms during cross-border data transfers to ensure timely compliance.</t>
        </is>
      </c>
      <c r="M889" s="11" t="inlineStr">
        <is>
          <t>• [May] Commission may adopt delegated acts to establish monitoring mechanism for switching charges</t>
        </is>
      </c>
      <c r="N889" s="11" t="inlineStr">
        <is>
          <t>The Commission is empowered to adopt delegated acts in accordance with Article 45 to supplement this Regulation by establishing a monitoring mechanism for the Commission to monitor switching charges, imposed by providers of data processing services on the market to ensure that the withdrawal and reduction of switching charges, pursuant to paragraphs 1 and 2 of this Article are to be attained in accordance with the deadlines laid down in those paragraphs.</t>
        </is>
      </c>
      <c r="O889" s="12" t="inlineStr">
        <is>
          <t>Open PDF</t>
        </is>
      </c>
    </row>
    <row r="890">
      <c r="A890" t="inlineStr">
        <is>
          <t>GDPR</t>
        </is>
      </c>
      <c r="B890" t="inlineStr">
        <is>
          <t>OJ_L_202302854_EN_TXT (GDPR - Row 11)</t>
        </is>
      </c>
      <c r="C890" t="inlineStr">
        <is>
          <t>8</t>
        </is>
      </c>
      <c r="D890" s="11" t="inlineStr">
        <is>
          <t>Commission publishes references of harmonised standards for interoperability</t>
        </is>
      </c>
      <c r="E890" t="inlineStr">
        <is>
          <t>39</t>
        </is>
      </c>
      <c r="F890" t="inlineStr">
        <is>
          <t>Low</t>
        </is>
      </c>
      <c r="G890" t="inlineStr">
        <is>
          <t>High (explicit)</t>
        </is>
      </c>
      <c r="H890" s="11" t="inlineStr">
        <is>
          <t>Cross-border Transfer, International Processing, Data Storage, Security</t>
        </is>
      </c>
      <c r="I890" s="11" t="inlineStr">
        <is>
          <t>Personal Information</t>
        </is>
      </c>
      <c r="J890" t="inlineStr">
        <is>
          <t>European Commission</t>
        </is>
      </c>
      <c r="K890" s="11" t="inlineStr">
        <is>
          <t>The Commission must publish references to harmonised standards and common specifications for data processing service interoperability in a central Union repository. This ensures that technical standards are accessible for cross-border data processing services and promotes interoperability across the EU.</t>
        </is>
      </c>
      <c r="L890" s="11" t="inlineStr">
        <is>
          <t>This section mandates the publication of interoperability standards, which is relevant for DTIA when assessing technical compatibility and data transfer mechanisms between different systems and jurisdictions.</t>
        </is>
      </c>
      <c r="M890" s="11" t="inlineStr">
        <is>
          <t>• [Must] The Commission shall publish references of harmonised standards and common specifications for interoperability of data processing services</t>
        </is>
      </c>
      <c r="N890" s="11" t="inlineStr">
        <is>
          <t>For the purpose of Article 30(3), the Commission shall, by means of implementing acts, publish the references of harmonised standards and common specifications for the interoperability of data processing services in a central Union standards repository for the interoperability of data processing services.</t>
        </is>
      </c>
      <c r="O890" s="12" t="inlineStr">
        <is>
          <t>Open PDF</t>
        </is>
      </c>
    </row>
    <row r="891">
      <c r="A891" t="inlineStr">
        <is>
          <t>GDPR</t>
        </is>
      </c>
      <c r="B891" t="inlineStr">
        <is>
          <t>OJ_L_202302854_EN_TXT (GDPR - Row 11)</t>
        </is>
      </c>
      <c r="C891" t="inlineStr">
        <is>
          <t>8</t>
        </is>
      </c>
      <c r="D891" s="11" t="inlineStr">
        <is>
          <t>Commission publishes references of harmonised standards for interoperability</t>
        </is>
      </c>
      <c r="E891" t="inlineStr">
        <is>
          <t>40</t>
        </is>
      </c>
      <c r="F891" t="inlineStr">
        <is>
          <t>Low</t>
        </is>
      </c>
      <c r="G891" t="inlineStr">
        <is>
          <t>High (explicit)</t>
        </is>
      </c>
      <c r="H891" s="11" t="inlineStr">
        <is>
          <t>Cross-border Transfer, International Processing, Data Storage, Security</t>
        </is>
      </c>
      <c r="I891" s="11" t="inlineStr">
        <is>
          <t>Personal Information</t>
        </is>
      </c>
      <c r="J891" t="inlineStr">
        <is>
          <t>European Commission</t>
        </is>
      </c>
      <c r="K891" s="11" t="inlineStr">
        <is>
          <t>The Commission must publish references to harmonised standards and common specifications for data processing service interoperability in a central Union repository. This ensures that technical standards are accessible for cross-border data processing services and promotes interoperability across the EU.</t>
        </is>
      </c>
      <c r="L891" s="11" t="inlineStr">
        <is>
          <t>This section mandates the publication of interoperability standards, which is relevant for DTIA when assessing technical compatibility and data transfer mechanisms between different systems and jurisdictions.</t>
        </is>
      </c>
      <c r="M891" s="11" t="inlineStr">
        <is>
          <t>• [Must] The Commission shall publish references of harmonised standards and common specifications for interoperability of data processing services</t>
        </is>
      </c>
      <c r="N891" s="11" t="inlineStr">
        <is>
          <t>For the purpose of Article 30(3), the Commission shall, by means of implementing acts, publish the references of harmonised standards and common specifications for the interoperability of data processing services in a central Union standards repository for the interoperability of data processing services.</t>
        </is>
      </c>
      <c r="O891" s="12" t="inlineStr">
        <is>
          <t>Open PDF</t>
        </is>
      </c>
    </row>
    <row r="892">
      <c r="A892" t="inlineStr">
        <is>
          <t>GDPR</t>
        </is>
      </c>
      <c r="B892" t="inlineStr">
        <is>
          <t>OJ_L_202302854_EN_TXT (GDPR - Row 11)</t>
        </is>
      </c>
      <c r="C892" t="inlineStr">
        <is>
          <t>8</t>
        </is>
      </c>
      <c r="D892" s="11" t="inlineStr">
        <is>
          <t>Commission publishes references of harmonised standards for interoperability</t>
        </is>
      </c>
      <c r="E892" t="inlineStr">
        <is>
          <t>62</t>
        </is>
      </c>
      <c r="F892" t="inlineStr">
        <is>
          <t>Low</t>
        </is>
      </c>
      <c r="G892" t="inlineStr">
        <is>
          <t>High (explicit)</t>
        </is>
      </c>
      <c r="H892" s="11" t="inlineStr">
        <is>
          <t>Cross-border Transfer, International Processing, Data Storage, Security</t>
        </is>
      </c>
      <c r="I892" s="11" t="inlineStr">
        <is>
          <t>Personal Information</t>
        </is>
      </c>
      <c r="J892" t="inlineStr">
        <is>
          <t>European Commission</t>
        </is>
      </c>
      <c r="K892" s="11" t="inlineStr">
        <is>
          <t>The Commission must publish references to harmonised standards and common specifications for data processing service interoperability in a central Union repository. This ensures that technical standards are accessible for cross-border data processing services and promotes interoperability across the EU.</t>
        </is>
      </c>
      <c r="L892" s="11" t="inlineStr">
        <is>
          <t>This section mandates the publication of interoperability standards, which is relevant for DTIA when assessing technical compatibility and data transfer mechanisms between different systems and jurisdictions.</t>
        </is>
      </c>
      <c r="M892" s="11" t="inlineStr">
        <is>
          <t>• [Must] The Commission shall publish references of harmonised standards and common specifications for interoperability of data processing services</t>
        </is>
      </c>
      <c r="N892" s="11" t="inlineStr">
        <is>
          <t>For the purpose of Article 30(3), the Commission shall, by means of implementing acts, publish the references of harmonised standards and common specifications for the interoperability of data processing services in a central Union standards repository for the interoperability of data processing services.</t>
        </is>
      </c>
      <c r="O892" s="12" t="inlineStr">
        <is>
          <t>Open PDF</t>
        </is>
      </c>
    </row>
    <row r="893">
      <c r="A893" t="inlineStr">
        <is>
          <t>GDPR</t>
        </is>
      </c>
      <c r="B893" t="inlineStr">
        <is>
          <t>OJ_L_202302854_EN_TXT (GDPR - Row 11)</t>
        </is>
      </c>
      <c r="C893" t="inlineStr">
        <is>
          <t>9</t>
        </is>
      </c>
      <c r="D893" s="11" t="inlineStr">
        <is>
          <t>Trade secrets must be protected with necessary technical and organisational measures</t>
        </is>
      </c>
      <c r="E893" t="inlineStr">
        <is>
          <t>39</t>
        </is>
      </c>
      <c r="F893" t="inlineStr">
        <is>
          <t>High</t>
        </is>
      </c>
      <c r="G893" t="inlineStr">
        <is>
          <t>High (explicit)</t>
        </is>
      </c>
      <c r="H893" s="11" t="inlineStr">
        <is>
          <t>Data Sharing, Security, Third Party Processing</t>
        </is>
      </c>
      <c r="I893" s="11" t="inlineStr">
        <is>
          <t>Special Personal Information</t>
        </is>
      </c>
      <c r="J893" t="inlineStr"/>
      <c r="K893" s="11" t="inlineStr">
        <is>
          <t>This section requires trade secrets to be preserved and disclosed only when strictly necessary for agreed purposes. The data holder must identify protected trade secrets and agree on proportionate technical and organisational measures with third parties, such as confidentiality agreements and access protocols. The obligation applies to data holders and third parties sharing trade secrets.</t>
        </is>
      </c>
      <c r="L893" s="11" t="inlineStr">
        <is>
          <t>Trade secrets must be protected with specific technical and organisational measures before sharing, which impacts DTIAs for cross-border transfers involving sensitive business information.</t>
        </is>
      </c>
      <c r="M893" s="11" t="inlineStr">
        <is>
          <t>• [Must] Trade secrets shall be preserved and shall be disclosed to third parties only to the extent that such disclosure is strictly necessary to fulfil the purpose agreed between the user and the third party
• [Must] The data holder or, where they are not the same person, the trade secret holder shall identify the data which are protected as trade secrets, including in the relevant metadata
• [Must] The data holder shall agree with the third party all proportionate technical and organisational measures necessary to preserve the confidentiality of the shared data, such as model contractual terms, confidentiality agreements, strict access protocols, technical standards and the application of codes of conduct</t>
        </is>
      </c>
      <c r="N893" s="11" t="inlineStr">
        <is>
          <t>Trade secrets shall be preserved and shall be disclosed to third parties only to the extent that such disclosure is strictly necessary to fulfil the purpose agreed between the user and the third party. The data holder or, where they are not the same person, the trade secret holder shall identify the data which are protected as trade secrets, including in the relevant metadata, and shall agree with the third party all proportionate technical and organisational measures necessary to preserve the confidentiality of the shared data, such as model contractual terms, confidentiality agreements, strict access protocols, technical standards and the application of codes of conduct.</t>
        </is>
      </c>
      <c r="O893" s="12" t="inlineStr">
        <is>
          <t>Open PDF</t>
        </is>
      </c>
    </row>
    <row r="894">
      <c r="A894" t="inlineStr">
        <is>
          <t>GDPR</t>
        </is>
      </c>
      <c r="B894" t="inlineStr">
        <is>
          <t>OJ_L_202302854_EN_TXT (GDPR - Row 11)</t>
        </is>
      </c>
      <c r="C894" t="inlineStr">
        <is>
          <t>9</t>
        </is>
      </c>
      <c r="D894" s="11" t="inlineStr">
        <is>
          <t>Trade secrets must be protected with necessary technical and organisational measures</t>
        </is>
      </c>
      <c r="E894" t="inlineStr">
        <is>
          <t>40–41</t>
        </is>
      </c>
      <c r="F894" t="inlineStr">
        <is>
          <t>High</t>
        </is>
      </c>
      <c r="G894" t="inlineStr">
        <is>
          <t>High (explicit)</t>
        </is>
      </c>
      <c r="H894" s="11" t="inlineStr">
        <is>
          <t>Data Sharing, Security, Third Party Processing</t>
        </is>
      </c>
      <c r="I894" s="11" t="inlineStr">
        <is>
          <t>Special Personal Information</t>
        </is>
      </c>
      <c r="J894" t="inlineStr"/>
      <c r="K894" s="11" t="inlineStr">
        <is>
          <t>This section requires trade secrets to be preserved and disclosed only when strictly necessary for agreed purposes. The data holder must identify protected trade secrets and agree on proportionate technical and organisational measures with third parties, such as confidentiality agreements and access protocols. The obligation applies to data holders and third parties sharing trade secrets.</t>
        </is>
      </c>
      <c r="L894" s="11" t="inlineStr">
        <is>
          <t>Trade secrets must be protected with specific technical and organisational measures before sharing, which impacts DTIAs for cross-border transfers involving sensitive business information.</t>
        </is>
      </c>
      <c r="M894" s="11" t="inlineStr">
        <is>
          <t>• [Must] Trade secrets shall be preserved and shall be disclosed to third parties only to the extent that such disclosure is strictly necessary to fulfil the purpose agreed between the user and the third party
• [Must] The data holder or, where they are not the same person, the trade secret holder shall identify the data which are protected as trade secrets, including in the relevant metadata
• [Must] The data holder shall agree with the third party all proportionate technical and organisational measures necessary to preserve the confidentiality of the shared data, such as model contractual terms, confidentiality agreements, strict access protocols, technical standards and the application of codes of conduct</t>
        </is>
      </c>
      <c r="N894" s="11" t="inlineStr">
        <is>
          <t>Trade secrets shall be preserved and shall be disclosed to third parties only to the extent that such disclosure is strictly necessary to fulfil the purpose agreed between the user and the third party. The data holder or, where they are not the same person, the trade secret holder shall identify the data which are protected as trade secrets, including in the relevant metadata, and shall agree with the third party all proportionate technical and organisational measures necessary to preserve the confidentiality of the shared data, such as model contractual terms, confidentiality agreements, strict access protocols, technical standards and the application of codes of conduct.</t>
        </is>
      </c>
      <c r="O894" s="12" t="inlineStr">
        <is>
          <t>Open PDF</t>
        </is>
      </c>
    </row>
    <row r="895">
      <c r="A895" t="inlineStr">
        <is>
          <t>GDPR</t>
        </is>
      </c>
      <c r="B895" t="inlineStr">
        <is>
          <t>OJ_L_202302854_EN_TXT (GDPR - Row 11)</t>
        </is>
      </c>
      <c r="C895" t="inlineStr">
        <is>
          <t>10</t>
        </is>
      </c>
      <c r="D895" s="11" t="inlineStr">
        <is>
          <t>Data holder may withhold data if trade secret measures not agreed</t>
        </is>
      </c>
      <c r="E895" t="inlineStr">
        <is>
          <t>33–37</t>
        </is>
      </c>
      <c r="F895" t="inlineStr">
        <is>
          <t>High</t>
        </is>
      </c>
      <c r="G895" t="inlineStr">
        <is>
          <t>High (explicit)</t>
        </is>
      </c>
      <c r="H895" s="11" t="inlineStr">
        <is>
          <t>Data Sharing, Security, Third Party Processing</t>
        </is>
      </c>
      <c r="I895" s="11" t="inlineStr">
        <is>
          <t>Special Personal Information</t>
        </is>
      </c>
      <c r="J895" t="inlineStr"/>
      <c r="K895" s="11" t="inlineStr">
        <is>
          <t>If there is no agreement on technical and organisational measures from paragraph 9 or if the third party fails to implement agreed measures, the data holder may withhold or suspend sharing trade secrets. The data holder must substantiate and notify the third party in writing without undue delay and inform the competent authority of the withholding action.</t>
        </is>
      </c>
      <c r="L895" s="11" t="inlineStr">
        <is>
          <t>Data holders can withhold trade secrets if technical measures aren't agreed, which is a critical safeguard for DTIAs involving sensitive data transfers.</t>
        </is>
      </c>
      <c r="M895" s="11" t="inlineStr">
        <is>
          <t>• [May] Where there is no agreement on the necessary measures referred to in paragraph 9 of this Article or if the third party fails to implement the measures agreed pursuant to paragraph 9 of this Article or undermines the confidentiality of the trade secrets, the data holder may withhold or, as the case may be, suspend the sharing of data identified as…
• [Must] The decision of the data holder shall be duly substantiated and provided in writing to the third party without undue delay
• [Must] The data holder shall notify the competent authority designated pursuant to Article 37 that it has withheld or suspended data sharing and identify which measures have not been agreed or implemented and, where relevant, which trade secrets have had their confidentiality undermined</t>
        </is>
      </c>
      <c r="N895" s="11" t="inlineStr">
        <is>
          <t>Where there is no agreement on the necessary measures referred to in paragraph 9 of this Article or if the third party fails to implement the measures agreed pursuant to paragraph 9 of this Article or undermines the confidentiality of the trade secrets, the data holder may withhold or, as the case may be, suspend the sharing of data identified as trade secrets. The decision of the data holder shall be duly substantiated and provided in writing to the third party without undue delay. In such cases, the data holder shall notify the competent authority designated pursuant to Article 37 that it has withheld or suspended data sharing and identify which measures have not been agreed or implemented and, where relevant, which trade secrets have had their confidentiality undermined.</t>
        </is>
      </c>
      <c r="O895" s="12" t="inlineStr">
        <is>
          <t>Open PDF</t>
        </is>
      </c>
    </row>
    <row r="896">
      <c r="A896" t="inlineStr">
        <is>
          <t>GDPR</t>
        </is>
      </c>
      <c r="B896" t="inlineStr">
        <is>
          <t>OJ_L_202302854_EN_TXT (GDPR - Row 11)</t>
        </is>
      </c>
      <c r="C896" t="inlineStr">
        <is>
          <t>10</t>
        </is>
      </c>
      <c r="D896" s="11" t="inlineStr">
        <is>
          <t>Data holder may withhold data if trade secret measures not agreed</t>
        </is>
      </c>
      <c r="E896" t="inlineStr">
        <is>
          <t>41</t>
        </is>
      </c>
      <c r="F896" t="inlineStr">
        <is>
          <t>High</t>
        </is>
      </c>
      <c r="G896" t="inlineStr">
        <is>
          <t>High (explicit)</t>
        </is>
      </c>
      <c r="H896" s="11" t="inlineStr">
        <is>
          <t>Data Sharing, Security, Third Party Processing</t>
        </is>
      </c>
      <c r="I896" s="11" t="inlineStr">
        <is>
          <t>Special Personal Information</t>
        </is>
      </c>
      <c r="J896" t="inlineStr"/>
      <c r="K896" s="11" t="inlineStr">
        <is>
          <t>If there is no agreement on technical and organisational measures from paragraph 9 or if the third party fails to implement agreed measures, the data holder may withhold or suspend sharing trade secrets. The data holder must substantiate and notify the third party in writing without undue delay and inform the competent authority of the withholding action.</t>
        </is>
      </c>
      <c r="L896" s="11" t="inlineStr">
        <is>
          <t>Data holders can withhold trade secrets if technical measures aren't agreed, which is a critical safeguard for DTIAs involving sensitive data transfers.</t>
        </is>
      </c>
      <c r="M896" s="11" t="inlineStr">
        <is>
          <t>• [May] Where there is no agreement on the necessary measures referred to in paragraph 9 of this Article or if the third party fails to implement the measures agreed pursuant to paragraph 9 of this Article or undermines the confidentiality of the trade secrets, the data holder may withhold or, as the case may be, suspend the sharing of data identified as…
• [Must] The decision of the data holder shall be duly substantiated and provided in writing to the third party without undue delay
• [Must] The data holder shall notify the competent authority designated pursuant to Article 37 that it has withheld or suspended data sharing and identify which measures have not been agreed or implemented and, where relevant, which trade secrets have had their confidentiality undermined</t>
        </is>
      </c>
      <c r="N896" s="11" t="inlineStr">
        <is>
          <t>Where there is no agreement on the necessary measures referred to in paragraph 9 of this Article or if the third party fails to implement the measures agreed pursuant to paragraph 9 of this Article or undermines the confidentiality of the trade secrets, the data holder may withhold or, as the case may be, suspend the sharing of data identified as trade secrets. The decision of the data holder shall be duly substantiated and provided in writing to the third party without undue delay. In such cases, the data holder shall notify the competent authority designated pursuant to Article 37 that it has withheld or suspended data sharing and identify which measures have not been agreed or implemented and, where relevant, which trade secrets have had their confidentiality undermined.</t>
        </is>
      </c>
      <c r="O896" s="12" t="inlineStr">
        <is>
          <t>Open PDF</t>
        </is>
      </c>
    </row>
    <row r="897">
      <c r="A897" t="inlineStr">
        <is>
          <t>GDPR</t>
        </is>
      </c>
      <c r="B897" t="inlineStr">
        <is>
          <t>OJ_L_202302854_EN_TXT (GDPR - Row 11)</t>
        </is>
      </c>
      <c r="C897" t="inlineStr">
        <is>
          <t>11</t>
        </is>
      </c>
      <c r="D897" s="11" t="inlineStr">
        <is>
          <t>Commission guidelines for data space interoperability</t>
        </is>
      </c>
      <c r="E897" t="inlineStr">
        <is>
          <t>41</t>
        </is>
      </c>
      <c r="F897" t="inlineStr">
        <is>
          <t>Low</t>
        </is>
      </c>
      <c r="G897" t="inlineStr">
        <is>
          <t>High (explicit)</t>
        </is>
      </c>
      <c r="H897" s="11" t="inlineStr">
        <is>
          <t>Cross-border Transfer, Data Sharing</t>
        </is>
      </c>
      <c r="I897" s="11" t="inlineStr">
        <is>
          <t>Personal Information</t>
        </is>
      </c>
      <c r="J897" t="inlineStr">
        <is>
          <t>European Commission</t>
        </is>
      </c>
      <c r="K897" s="11" t="inlineStr">
        <is>
          <t>The European Commission may adopt guidelines based on the EDIB's proposal to establish interoperable frameworks for common standards and practices in European data spaces, as specified in Article 30 of Regulation (EU) 2022/868. These guidelines aim to harmonize data processing services across the EU while ensuring compliance with existing legal requirements.</t>
        </is>
      </c>
      <c r="L897" s="11" t="inlineStr">
        <is>
          <t>This section allows the Commission to create guidelines that standardize data interoperability across European data spaces, which could influence how data is transferred between participants in cross-border data environments.</t>
        </is>
      </c>
      <c r="M897" s="11" t="inlineStr">
        <is>
          <t>• [May] The Commission may adopt guidelines taking into account the proposal of the EDIB in accordance with Article 30, point (h), of Regulation (EU) 2022/868</t>
        </is>
      </c>
      <c r="N897" s="11" t="inlineStr">
        <is>
          <t>The Commission may adopt guidelines taking into account the proposal of the EDIB in accordance with Article 30, point (h), of Regulation (EU) 2022/868 laying down interoperable frameworks for common standards and practices for the functioning of common European data spaces.</t>
        </is>
      </c>
      <c r="O897" s="12" t="inlineStr">
        <is>
          <t>Open PDF</t>
        </is>
      </c>
    </row>
    <row r="898">
      <c r="A898" t="inlineStr">
        <is>
          <t>GDPR</t>
        </is>
      </c>
      <c r="B898" t="inlineStr">
        <is>
          <t>OJ_L_202302854_EN_TXT (GDPR - Row 11)</t>
        </is>
      </c>
      <c r="C898" t="inlineStr">
        <is>
          <t>11</t>
        </is>
      </c>
      <c r="D898" s="11" t="inlineStr">
        <is>
          <t>Commission guidelines for data space interoperability</t>
        </is>
      </c>
      <c r="E898" t="inlineStr">
        <is>
          <t>61</t>
        </is>
      </c>
      <c r="F898" t="inlineStr">
        <is>
          <t>Low</t>
        </is>
      </c>
      <c r="G898" t="inlineStr">
        <is>
          <t>High (explicit)</t>
        </is>
      </c>
      <c r="H898" s="11" t="inlineStr">
        <is>
          <t>Cross-border Transfer, Data Sharing</t>
        </is>
      </c>
      <c r="I898" s="11" t="inlineStr">
        <is>
          <t>Personal Information</t>
        </is>
      </c>
      <c r="J898" t="inlineStr">
        <is>
          <t>European Commission</t>
        </is>
      </c>
      <c r="K898" s="11" t="inlineStr">
        <is>
          <t>The European Commission may adopt guidelines based on the EDIB's proposal to establish interoperable frameworks for common standards and practices in European data spaces, as specified in Article 30 of Regulation (EU) 2022/868. These guidelines aim to harmonize data processing services across the EU while ensuring compliance with existing legal requirements.</t>
        </is>
      </c>
      <c r="L898" s="11" t="inlineStr">
        <is>
          <t>This section allows the Commission to create guidelines that standardize data interoperability across European data spaces, which could influence how data is transferred between participants in cross-border data environments.</t>
        </is>
      </c>
      <c r="M898" s="11" t="inlineStr">
        <is>
          <t>• [May] The Commission may adopt guidelines taking into account the proposal of the EDIB in accordance with Article 30, point (h), of Regulation (EU) 2022/868</t>
        </is>
      </c>
      <c r="N898" s="11" t="inlineStr">
        <is>
          <t>The Commission may adopt guidelines taking into account the proposal of the EDIB in accordance with Article 30, point (h), of Regulation (EU) 2022/868 laying down interoperable frameworks for common standards and practices for the functioning of common European data spaces.</t>
        </is>
      </c>
      <c r="O898" s="12" t="inlineStr">
        <is>
          <t>Open PDF</t>
        </is>
      </c>
    </row>
    <row r="899">
      <c r="A899" t="inlineStr">
        <is>
          <t>GDPR</t>
        </is>
      </c>
      <c r="B899" t="inlineStr">
        <is>
          <t>OJ_L_202302854_EN_TXT (GDPR - Row 11)</t>
        </is>
      </c>
      <c r="C899" t="inlineStr">
        <is>
          <t>12</t>
        </is>
      </c>
      <c r="D899" s="11" t="inlineStr">
        <is>
          <t>Third party may challenge data holder's decisions on trade secrets</t>
        </is>
      </c>
      <c r="E899" t="inlineStr">
        <is>
          <t>39</t>
        </is>
      </c>
      <c r="F899" t="inlineStr">
        <is>
          <t>High</t>
        </is>
      </c>
      <c r="G899" t="inlineStr">
        <is>
          <t>High (explicit)</t>
        </is>
      </c>
      <c r="H899" s="11" t="inlineStr">
        <is>
          <t>Data Sharing</t>
        </is>
      </c>
      <c r="I899" s="11" t="inlineStr">
        <is>
          <t>Special Personal Information</t>
        </is>
      </c>
      <c r="J899" t="inlineStr"/>
      <c r="K899" s="11" t="inlineStr">
        <is>
          <t>Third parties can challenge data holders' decisions to withhold or suspend trade secret sharing through the competent authority or by agreeing to refer the matter to a dispute settlement body. The challenge must be lodged within the timeframe specified in Article 37(5), point (b), and the competent authority must decide quickly whether data sharing should resume.</t>
        </is>
      </c>
      <c r="L899" s="11" t="inlineStr">
        <is>
          <t>Third parties have recourse to challenge data withholding decisions, which is vital for DTIAs involving trade secrets where disputes may arise across borders.</t>
        </is>
      </c>
      <c r="M899" s="11" t="inlineStr">
        <is>
          <t>• [May] A third party wishing to challenge a data holder's decision to refuse or to withhold or suspend data sharing pursuant to paragraphs 10 and 11 may lodge, in accordance with Article 37(5), point (b), a complaint with the competent authority, which shall, without undue delay, decide whether and under which conditions the data sharing is to start or r…
• [May] A third party wishing to challenge a data holder's decision to refuse or to withhold or suspend data sharing pursuant to paragraphs 10 and 11 may agree with the data holder to refer the matter to a dispute settlement body in accordance with Article 10(1)</t>
        </is>
      </c>
      <c r="N899" s="11" t="inlineStr">
        <is>
          <t>Without prejudice to the third party's right to seek redress at any stage before a court or tribunal of a Member State, a third party wishing to challenge a data holder's decision to refuse or to withhold or suspend data sharing pursuant to paragraphs 10 and 11 may: (a) lodge, in accordance with Article 37(5), point (b), a complaint with the competent authority, which shall, without undue delay, decide whether and under which conditions the data sharing is to start or resume; or (b) agree with the data holder to refer the matter to a dispute settlement body in accordance with Article 10(1).</t>
        </is>
      </c>
      <c r="O899" s="12" t="inlineStr">
        <is>
          <t>Open PDF</t>
        </is>
      </c>
    </row>
    <row r="900">
      <c r="A900" t="inlineStr">
        <is>
          <t>GDPR</t>
        </is>
      </c>
      <c r="B900" t="inlineStr">
        <is>
          <t>OJ_L_202302854_EN_TXT (GDPR - Row 11)</t>
        </is>
      </c>
      <c r="C900" t="inlineStr">
        <is>
          <t>12</t>
        </is>
      </c>
      <c r="D900" s="11" t="inlineStr">
        <is>
          <t>Third party may challenge data holder's decisions on trade secrets</t>
        </is>
      </c>
      <c r="E900" t="inlineStr">
        <is>
          <t>41</t>
        </is>
      </c>
      <c r="F900" t="inlineStr">
        <is>
          <t>High</t>
        </is>
      </c>
      <c r="G900" t="inlineStr">
        <is>
          <t>High (explicit)</t>
        </is>
      </c>
      <c r="H900" s="11" t="inlineStr">
        <is>
          <t>Data Sharing</t>
        </is>
      </c>
      <c r="I900" s="11" t="inlineStr">
        <is>
          <t>Special Personal Information</t>
        </is>
      </c>
      <c r="J900" t="inlineStr"/>
      <c r="K900" s="11" t="inlineStr">
        <is>
          <t>Third parties can challenge data holders' decisions to withhold or suspend trade secret sharing through the competent authority or by agreeing to refer the matter to a dispute settlement body. The challenge must be lodged within the timeframe specified in Article 37(5), point (b), and the competent authority must decide quickly whether data sharing should resume.</t>
        </is>
      </c>
      <c r="L900" s="11" t="inlineStr">
        <is>
          <t>Third parties have recourse to challenge data withholding decisions, which is vital for DTIAs involving trade secrets where disputes may arise across borders.</t>
        </is>
      </c>
      <c r="M900" s="11" t="inlineStr">
        <is>
          <t>• [May] A third party wishing to challenge a data holder's decision to refuse or to withhold or suspend data sharing pursuant to paragraphs 10 and 11 may lodge, in accordance with Article 37(5), point (b), a complaint with the competent authority, which shall, without undue delay, decide whether and under which conditions the data sharing is to start or r…
• [May] A third party wishing to challenge a data holder's decision to refuse or to withhold or suspend data sharing pursuant to paragraphs 10 and 11 may agree with the data holder to refer the matter to a dispute settlement body in accordance with Article 10(1)</t>
        </is>
      </c>
      <c r="N900" s="11" t="inlineStr">
        <is>
          <t>Without prejudice to the third party's right to seek redress at any stage before a court or tribunal of a Member State, a third party wishing to challenge a data holder's decision to refuse or to withhold or suspend data sharing pursuant to paragraphs 10 and 11 may: (a) lodge, in accordance with Article 37(5), point (b), a complaint with the competent authority, which shall, without undue delay, decide whether and under which conditions the data sharing is to start or resume; or (b) agree with the data holder to refer the matter to a dispute settlement body in accordance with Article 10(1).</t>
        </is>
      </c>
      <c r="O900" s="12" t="inlineStr">
        <is>
          <t>Open PDF</t>
        </is>
      </c>
    </row>
    <row r="901">
      <c r="A901" t="inlineStr">
        <is>
          <t>GDPR</t>
        </is>
      </c>
      <c r="B901" t="inlineStr">
        <is>
          <t>OJ_L_202302854_EN_TXT (GDPR - Row 11)</t>
        </is>
      </c>
      <c r="C901" t="inlineStr">
        <is>
          <t>13</t>
        </is>
      </c>
      <c r="D901" s="11" t="inlineStr">
        <is>
          <t>Trade secret rights do not affect data subject rights</t>
        </is>
      </c>
      <c r="E901" t="inlineStr">
        <is>
          <t>39</t>
        </is>
      </c>
      <c r="F901" t="inlineStr">
        <is>
          <t>Low</t>
        </is>
      </c>
      <c r="G901" t="inlineStr">
        <is>
          <t>High (explicit)</t>
        </is>
      </c>
      <c r="H901" s="11" t="inlineStr">
        <is>
          <t>Data Sharing</t>
        </is>
      </c>
      <c r="I901" s="11" t="inlineStr">
        <is>
          <t>Personal Information</t>
        </is>
      </c>
      <c r="J901" t="inlineStr"/>
      <c r="K901" s="11" t="inlineStr">
        <is>
          <t>This section states that the right to share trade secrets does not adversely affect data subjects' rights under Union and national law on personal data protection. The obligation applies to data holders and third parties involved in trade secret sharing.</t>
        </is>
      </c>
      <c r="L901" s="11" t="inlineStr">
        <is>
          <t>Trade secret sharing rights do not override data subject rights, which is important for DTIAs to ensure compliance with both trade secret and GDPR requirements.</t>
        </is>
      </c>
      <c r="M901" s="11" t="inlineStr">
        <is>
          <t>• [Must] The right referred to in paragraph 1 shall not adversely affect the rights of data subjects pursuant to the applicable Union and national law on the protection of personal data</t>
        </is>
      </c>
      <c r="N901" s="11" t="inlineStr">
        <is>
          <t>The right referred to in paragraph 1 shall not adversely affect the rights of data subjects pursuant to the applicable Union and national law on the protection of personal data.</t>
        </is>
      </c>
      <c r="O901" s="12" t="inlineStr">
        <is>
          <t>Open PDF</t>
        </is>
      </c>
    </row>
    <row r="902">
      <c r="A902" t="inlineStr">
        <is>
          <t>GDPR</t>
        </is>
      </c>
      <c r="B902" t="inlineStr">
        <is>
          <t>OJ_L_202302854_EN_TXT (GDPR - Row 11)</t>
        </is>
      </c>
      <c r="C902" t="inlineStr">
        <is>
          <t>13</t>
        </is>
      </c>
      <c r="D902" s="11" t="inlineStr">
        <is>
          <t>Trade secret rights do not affect data subject rights</t>
        </is>
      </c>
      <c r="E902" t="inlineStr">
        <is>
          <t>41</t>
        </is>
      </c>
      <c r="F902" t="inlineStr">
        <is>
          <t>Low</t>
        </is>
      </c>
      <c r="G902" t="inlineStr">
        <is>
          <t>High (explicit)</t>
        </is>
      </c>
      <c r="H902" s="11" t="inlineStr">
        <is>
          <t>Data Sharing</t>
        </is>
      </c>
      <c r="I902" s="11" t="inlineStr">
        <is>
          <t>Personal Information</t>
        </is>
      </c>
      <c r="J902" t="inlineStr"/>
      <c r="K902" s="11" t="inlineStr">
        <is>
          <t>This section states that the right to share trade secrets does not adversely affect data subjects' rights under Union and national law on personal data protection. The obligation applies to data holders and third parties involved in trade secret sharing.</t>
        </is>
      </c>
      <c r="L902" s="11" t="inlineStr">
        <is>
          <t>Trade secret sharing rights do not override data subject rights, which is important for DTIAs to ensure compliance with both trade secret and GDPR requirements.</t>
        </is>
      </c>
      <c r="M902" s="11" t="inlineStr">
        <is>
          <t>• [Must] The right referred to in paragraph 1 shall not adversely affect the rights of data subjects pursuant to the applicable Union and national law on the protection of personal data</t>
        </is>
      </c>
      <c r="N902" s="11" t="inlineStr">
        <is>
          <t>The right referred to in paragraph 1 shall not adversely affect the rights of data subjects pursuant to the applicable Union and national law on the protection of personal data.</t>
        </is>
      </c>
      <c r="O902" s="12" t="inlineStr">
        <is>
          <t>Open PDF</t>
        </is>
      </c>
    </row>
    <row r="903">
      <c r="A903" t="inlineStr">
        <is>
          <t>GDPR</t>
        </is>
      </c>
      <c r="B903" t="inlineStr">
        <is>
          <t>OJ_L_202302854_EN_TXT (GDPR - Row 11)</t>
        </is>
      </c>
      <c r="C903" t="inlineStr">
        <is>
          <t>16</t>
        </is>
      </c>
      <c r="D903" s="11" t="inlineStr">
        <is>
          <t>Confidentiality and professional secrecy for personal data</t>
        </is>
      </c>
      <c r="E903" t="inlineStr">
        <is>
          <t>66</t>
        </is>
      </c>
      <c r="F903" t="inlineStr">
        <is>
          <t>Low</t>
        </is>
      </c>
      <c r="G903" t="inlineStr">
        <is>
          <t>High (explicit)</t>
        </is>
      </c>
      <c r="H903" s="11" t="inlineStr">
        <is>
          <t>Security</t>
        </is>
      </c>
      <c r="I903" s="11" t="inlineStr">
        <is>
          <t>Personal Information</t>
        </is>
      </c>
      <c r="J903" t="inlineStr">
        <is>
          <t>Competent authorities</t>
        </is>
      </c>
      <c r="K903" s="11" t="inlineStr">
        <is>
          <t>Competent authorities must protect personal data in line with Union or national law. Any information shared during assistance requests must be used solely for the purpose that prompted the request. This applies to authorities handling data in compliance with GDPR.</t>
        </is>
      </c>
      <c r="L903" s="11" t="inlineStr">
        <is>
          <t>Requires that data shared during cross-border assistance requests be used exclusively for the specific purpose of the request, impacting data transfer safeguards.</t>
        </is>
      </c>
      <c r="M903" s="11" t="inlineStr">
        <is>
          <t>• [Must] Competent authorities shall respect the principles of confidentiality and professional and commercial secrecy
• [Must] Competent authorities shall protect personal data in accordance with Union or national law
• [Must] Any information exchanged in the context of a request for assistance shall be used only for the matter for which it was requested</t>
        </is>
      </c>
      <c r="N903" s="11" t="inlineStr">
        <is>
          <t>Competent authorities shall respect the principles of confidentiality and of professional and commercial secrecy and shall protect personal data in accordance with Union or national law. Any information exchanged in the context of a request for assistance and provided pursuant to this Article shall be used only in respect of the matter for which it was requested.</t>
        </is>
      </c>
      <c r="O903" s="12" t="inlineStr">
        <is>
          <t>Open PDF</t>
        </is>
      </c>
    </row>
    <row r="904">
      <c r="A904" t="inlineStr">
        <is>
          <t>GDPR</t>
        </is>
      </c>
      <c r="B904" t="inlineStr">
        <is>
          <t>OJ_L_202401689_EN_TXT (GDPR - Row 9)</t>
        </is>
      </c>
      <c r="C904" t="inlineStr">
        <is>
          <t>1</t>
        </is>
      </c>
      <c r="D904" s="11" t="inlineStr">
        <is>
          <t>Fines for general-purpose AI model providers</t>
        </is>
      </c>
      <c r="E904" t="inlineStr">
        <is>
          <t>51–52</t>
        </is>
      </c>
      <c r="F904" t="inlineStr">
        <is>
          <t>High</t>
        </is>
      </c>
      <c r="G904" t="inlineStr">
        <is>
          <t>High (explicit)</t>
        </is>
      </c>
      <c r="H904" s="11" t="inlineStr">
        <is>
          <t>Financial Data, AML</t>
        </is>
      </c>
      <c r="I904" s="11" t="inlineStr">
        <is>
          <t>Financial Data</t>
        </is>
      </c>
      <c r="J904" t="inlineStr">
        <is>
          <t>European Commission</t>
        </is>
      </c>
      <c r="K904"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4" s="11" t="inlineStr">
        <is>
          <t>This section establishes financial penalties for AI model providers, which impacts DTIA by requiring assessment of compliance risks and potential financial consequences for data transfers involving AI systems.</t>
        </is>
      </c>
      <c r="M904"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4"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4" s="12" t="inlineStr">
        <is>
          <t>Open PDF</t>
        </is>
      </c>
    </row>
    <row r="905">
      <c r="A905" t="inlineStr">
        <is>
          <t>GDPR</t>
        </is>
      </c>
      <c r="B905" t="inlineStr">
        <is>
          <t>OJ_L_202401689_EN_TXT (GDPR - Row 9)</t>
        </is>
      </c>
      <c r="C905" t="inlineStr">
        <is>
          <t>1</t>
        </is>
      </c>
      <c r="D905" s="11" t="inlineStr">
        <is>
          <t>Fines for general-purpose AI model providers</t>
        </is>
      </c>
      <c r="E905" t="inlineStr">
        <is>
          <t>61</t>
        </is>
      </c>
      <c r="F905" t="inlineStr">
        <is>
          <t>High</t>
        </is>
      </c>
      <c r="G905" t="inlineStr">
        <is>
          <t>High (explicit)</t>
        </is>
      </c>
      <c r="H905" s="11" t="inlineStr">
        <is>
          <t>Financial Data, AML</t>
        </is>
      </c>
      <c r="I905" s="11" t="inlineStr">
        <is>
          <t>Financial Data</t>
        </is>
      </c>
      <c r="J905" t="inlineStr">
        <is>
          <t>European Commission</t>
        </is>
      </c>
      <c r="K905"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5" s="11" t="inlineStr">
        <is>
          <t>This section establishes financial penalties for AI model providers, which impacts DTIA by requiring assessment of compliance risks and potential financial consequences for data transfers involving AI systems.</t>
        </is>
      </c>
      <c r="M905"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5"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5" s="12" t="inlineStr">
        <is>
          <t>Open PDF</t>
        </is>
      </c>
    </row>
    <row r="906">
      <c r="A906" t="inlineStr">
        <is>
          <t>GDPR</t>
        </is>
      </c>
      <c r="B906" t="inlineStr">
        <is>
          <t>OJ_L_202401689_EN_TXT (GDPR - Row 9)</t>
        </is>
      </c>
      <c r="C906" t="inlineStr">
        <is>
          <t>1</t>
        </is>
      </c>
      <c r="D906" s="11" t="inlineStr">
        <is>
          <t>Fines for general-purpose AI model providers</t>
        </is>
      </c>
      <c r="E906" t="inlineStr">
        <is>
          <t>62–63</t>
        </is>
      </c>
      <c r="F906" t="inlineStr">
        <is>
          <t>High</t>
        </is>
      </c>
      <c r="G906" t="inlineStr">
        <is>
          <t>High (explicit)</t>
        </is>
      </c>
      <c r="H906" s="11" t="inlineStr">
        <is>
          <t>Financial Data, AML</t>
        </is>
      </c>
      <c r="I906" s="11" t="inlineStr">
        <is>
          <t>Financial Data</t>
        </is>
      </c>
      <c r="J906" t="inlineStr">
        <is>
          <t>European Commission</t>
        </is>
      </c>
      <c r="K906"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6" s="11" t="inlineStr">
        <is>
          <t>This section establishes financial penalties for AI model providers, which impacts DTIA by requiring assessment of compliance risks and potential financial consequences for data transfers involving AI systems.</t>
        </is>
      </c>
      <c r="M906"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6"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6" s="12" t="inlineStr">
        <is>
          <t>Open PDF</t>
        </is>
      </c>
    </row>
    <row r="907">
      <c r="A907" t="inlineStr">
        <is>
          <t>GDPR</t>
        </is>
      </c>
      <c r="B907" t="inlineStr">
        <is>
          <t>OJ_L_202401689_EN_TXT (GDPR - Row 9)</t>
        </is>
      </c>
      <c r="C907" t="inlineStr">
        <is>
          <t>1</t>
        </is>
      </c>
      <c r="D907" s="11" t="inlineStr">
        <is>
          <t>Fines for general-purpose AI model providers</t>
        </is>
      </c>
      <c r="E907" t="inlineStr">
        <is>
          <t>69–70</t>
        </is>
      </c>
      <c r="F907" t="inlineStr">
        <is>
          <t>High</t>
        </is>
      </c>
      <c r="G907" t="inlineStr">
        <is>
          <t>High (explicit)</t>
        </is>
      </c>
      <c r="H907" s="11" t="inlineStr">
        <is>
          <t>Financial Data, AML</t>
        </is>
      </c>
      <c r="I907" s="11" t="inlineStr">
        <is>
          <t>Financial Data</t>
        </is>
      </c>
      <c r="J907" t="inlineStr">
        <is>
          <t>European Commission</t>
        </is>
      </c>
      <c r="K907"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7" s="11" t="inlineStr">
        <is>
          <t>This section establishes financial penalties for AI model providers, which impacts DTIA by requiring assessment of compliance risks and potential financial consequences for data transfers involving AI systems.</t>
        </is>
      </c>
      <c r="M907"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7"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7" s="12" t="inlineStr">
        <is>
          <t>Open PDF</t>
        </is>
      </c>
    </row>
    <row r="908">
      <c r="A908" t="inlineStr">
        <is>
          <t>GDPR</t>
        </is>
      </c>
      <c r="B908" t="inlineStr">
        <is>
          <t>OJ_L_202401689_EN_TXT (GDPR - Row 9)</t>
        </is>
      </c>
      <c r="C908" t="inlineStr">
        <is>
          <t>1</t>
        </is>
      </c>
      <c r="D908" s="11" t="inlineStr">
        <is>
          <t>Fines for general-purpose AI model providers</t>
        </is>
      </c>
      <c r="E908" t="inlineStr">
        <is>
          <t>70</t>
        </is>
      </c>
      <c r="F908" t="inlineStr">
        <is>
          <t>High</t>
        </is>
      </c>
      <c r="G908" t="inlineStr">
        <is>
          <t>High (explicit)</t>
        </is>
      </c>
      <c r="H908" s="11" t="inlineStr">
        <is>
          <t>Financial Data, AML</t>
        </is>
      </c>
      <c r="I908" s="11" t="inlineStr">
        <is>
          <t>Financial Data</t>
        </is>
      </c>
      <c r="J908" t="inlineStr">
        <is>
          <t>European Commission</t>
        </is>
      </c>
      <c r="K908"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8" s="11" t="inlineStr">
        <is>
          <t>This section establishes financial penalties for AI model providers, which impacts DTIA by requiring assessment of compliance risks and potential financial consequences for data transfers involving AI systems.</t>
        </is>
      </c>
      <c r="M908"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8"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8" s="12" t="inlineStr">
        <is>
          <t>Open PDF</t>
        </is>
      </c>
    </row>
    <row r="909">
      <c r="A909" t="inlineStr">
        <is>
          <t>GDPR</t>
        </is>
      </c>
      <c r="B909" t="inlineStr">
        <is>
          <t>OJ_L_202401689_EN_TXT (GDPR - Row 9)</t>
        </is>
      </c>
      <c r="C909" t="inlineStr">
        <is>
          <t>1</t>
        </is>
      </c>
      <c r="D909" s="11" t="inlineStr">
        <is>
          <t>Fines for general-purpose AI model providers</t>
        </is>
      </c>
      <c r="E909" t="inlineStr">
        <is>
          <t>70–71</t>
        </is>
      </c>
      <c r="F909" t="inlineStr">
        <is>
          <t>High</t>
        </is>
      </c>
      <c r="G909" t="inlineStr">
        <is>
          <t>High (explicit)</t>
        </is>
      </c>
      <c r="H909" s="11" t="inlineStr">
        <is>
          <t>Financial Data, AML</t>
        </is>
      </c>
      <c r="I909" s="11" t="inlineStr">
        <is>
          <t>Financial Data</t>
        </is>
      </c>
      <c r="J909" t="inlineStr">
        <is>
          <t>European Commission</t>
        </is>
      </c>
      <c r="K909"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09" s="11" t="inlineStr">
        <is>
          <t>This section establishes financial penalties for AI model providers, which impacts DTIA by requiring assessment of compliance risks and potential financial consequences for data transfers involving AI systems.</t>
        </is>
      </c>
      <c r="M909"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09"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09" s="12" t="inlineStr">
        <is>
          <t>Open PDF</t>
        </is>
      </c>
    </row>
    <row r="910">
      <c r="A910" t="inlineStr">
        <is>
          <t>GDPR</t>
        </is>
      </c>
      <c r="B910" t="inlineStr">
        <is>
          <t>OJ_L_202401689_EN_TXT (GDPR - Row 9)</t>
        </is>
      </c>
      <c r="C910" t="inlineStr">
        <is>
          <t>1</t>
        </is>
      </c>
      <c r="D910" s="11" t="inlineStr">
        <is>
          <t>Fines for general-purpose AI model providers</t>
        </is>
      </c>
      <c r="E910" t="inlineStr">
        <is>
          <t>73</t>
        </is>
      </c>
      <c r="F910" t="inlineStr">
        <is>
          <t>High</t>
        </is>
      </c>
      <c r="G910" t="inlineStr">
        <is>
          <t>High (explicit)</t>
        </is>
      </c>
      <c r="H910" s="11" t="inlineStr">
        <is>
          <t>Financial Data, AML</t>
        </is>
      </c>
      <c r="I910" s="11" t="inlineStr">
        <is>
          <t>Financial Data</t>
        </is>
      </c>
      <c r="J910" t="inlineStr">
        <is>
          <t>European Commission</t>
        </is>
      </c>
      <c r="K910"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0" s="11" t="inlineStr">
        <is>
          <t>This section establishes financial penalties for AI model providers, which impacts DTIA by requiring assessment of compliance risks and potential financial consequences for data transfers involving AI systems.</t>
        </is>
      </c>
      <c r="M910"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0"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0" s="12" t="inlineStr">
        <is>
          <t>Open PDF</t>
        </is>
      </c>
    </row>
    <row r="911">
      <c r="A911" t="inlineStr">
        <is>
          <t>GDPR</t>
        </is>
      </c>
      <c r="B911" t="inlineStr">
        <is>
          <t>OJ_L_202401689_EN_TXT (GDPR - Row 9)</t>
        </is>
      </c>
      <c r="C911" t="inlineStr">
        <is>
          <t>1</t>
        </is>
      </c>
      <c r="D911" s="11" t="inlineStr">
        <is>
          <t>Fines for general-purpose AI model providers</t>
        </is>
      </c>
      <c r="E911" t="inlineStr">
        <is>
          <t>73</t>
        </is>
      </c>
      <c r="F911" t="inlineStr">
        <is>
          <t>High</t>
        </is>
      </c>
      <c r="G911" t="inlineStr">
        <is>
          <t>High (explicit)</t>
        </is>
      </c>
      <c r="H911" s="11" t="inlineStr">
        <is>
          <t>Financial Data, AML</t>
        </is>
      </c>
      <c r="I911" s="11" t="inlineStr">
        <is>
          <t>Financial Data</t>
        </is>
      </c>
      <c r="J911" t="inlineStr">
        <is>
          <t>European Commission</t>
        </is>
      </c>
      <c r="K911"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1" s="11" t="inlineStr">
        <is>
          <t>This section establishes financial penalties for AI model providers, which impacts DTIA by requiring assessment of compliance risks and potential financial consequences for data transfers involving AI systems.</t>
        </is>
      </c>
      <c r="M911"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1"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1" s="12" t="inlineStr">
        <is>
          <t>Open PDF</t>
        </is>
      </c>
    </row>
    <row r="912">
      <c r="A912" t="inlineStr">
        <is>
          <t>GDPR</t>
        </is>
      </c>
      <c r="B912" t="inlineStr">
        <is>
          <t>OJ_L_202401689_EN_TXT (GDPR - Row 9)</t>
        </is>
      </c>
      <c r="C912" t="inlineStr">
        <is>
          <t>1</t>
        </is>
      </c>
      <c r="D912" s="11" t="inlineStr">
        <is>
          <t>Fines for general-purpose AI model providers</t>
        </is>
      </c>
      <c r="E912" t="inlineStr">
        <is>
          <t>79</t>
        </is>
      </c>
      <c r="F912" t="inlineStr">
        <is>
          <t>High</t>
        </is>
      </c>
      <c r="G912" t="inlineStr">
        <is>
          <t>High (explicit)</t>
        </is>
      </c>
      <c r="H912" s="11" t="inlineStr">
        <is>
          <t>Financial Data, AML</t>
        </is>
      </c>
      <c r="I912" s="11" t="inlineStr">
        <is>
          <t>Financial Data</t>
        </is>
      </c>
      <c r="J912" t="inlineStr">
        <is>
          <t>European Commission</t>
        </is>
      </c>
      <c r="K912"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2" s="11" t="inlineStr">
        <is>
          <t>This section establishes financial penalties for AI model providers, which impacts DTIA by requiring assessment of compliance risks and potential financial consequences for data transfers involving AI systems.</t>
        </is>
      </c>
      <c r="M912"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2"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2" s="12" t="inlineStr">
        <is>
          <t>Open PDF</t>
        </is>
      </c>
    </row>
    <row r="913">
      <c r="A913" t="inlineStr">
        <is>
          <t>GDPR</t>
        </is>
      </c>
      <c r="B913" t="inlineStr">
        <is>
          <t>OJ_L_202401689_EN_TXT (GDPR - Row 9)</t>
        </is>
      </c>
      <c r="C913" t="inlineStr">
        <is>
          <t>1</t>
        </is>
      </c>
      <c r="D913" s="11" t="inlineStr">
        <is>
          <t>Fines for general-purpose AI model providers</t>
        </is>
      </c>
      <c r="E913" t="inlineStr">
        <is>
          <t>80</t>
        </is>
      </c>
      <c r="F913" t="inlineStr">
        <is>
          <t>High</t>
        </is>
      </c>
      <c r="G913" t="inlineStr">
        <is>
          <t>High (explicit)</t>
        </is>
      </c>
      <c r="H913" s="11" t="inlineStr">
        <is>
          <t>Financial Data, AML</t>
        </is>
      </c>
      <c r="I913" s="11" t="inlineStr">
        <is>
          <t>Financial Data</t>
        </is>
      </c>
      <c r="J913" t="inlineStr">
        <is>
          <t>European Commission</t>
        </is>
      </c>
      <c r="K913"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3" s="11" t="inlineStr">
        <is>
          <t>This section establishes financial penalties for AI model providers, which impacts DTIA by requiring assessment of compliance risks and potential financial consequences for data transfers involving AI systems.</t>
        </is>
      </c>
      <c r="M913"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3"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3" s="12" t="inlineStr">
        <is>
          <t>Open PDF</t>
        </is>
      </c>
    </row>
    <row r="914">
      <c r="A914" t="inlineStr">
        <is>
          <t>GDPR</t>
        </is>
      </c>
      <c r="B914" t="inlineStr">
        <is>
          <t>OJ_L_202401689_EN_TXT (GDPR - Row 9)</t>
        </is>
      </c>
      <c r="C914" t="inlineStr">
        <is>
          <t>1</t>
        </is>
      </c>
      <c r="D914" s="11" t="inlineStr">
        <is>
          <t>Fines for general-purpose AI model providers</t>
        </is>
      </c>
      <c r="E914" t="inlineStr">
        <is>
          <t>82</t>
        </is>
      </c>
      <c r="F914" t="inlineStr">
        <is>
          <t>High</t>
        </is>
      </c>
      <c r="G914" t="inlineStr">
        <is>
          <t>High (explicit)</t>
        </is>
      </c>
      <c r="H914" s="11" t="inlineStr">
        <is>
          <t>Financial Data, AML</t>
        </is>
      </c>
      <c r="I914" s="11" t="inlineStr">
        <is>
          <t>Financial Data</t>
        </is>
      </c>
      <c r="J914" t="inlineStr">
        <is>
          <t>European Commission</t>
        </is>
      </c>
      <c r="K914"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4" s="11" t="inlineStr">
        <is>
          <t>This section establishes financial penalties for AI model providers, which impacts DTIA by requiring assessment of compliance risks and potential financial consequences for data transfers involving AI systems.</t>
        </is>
      </c>
      <c r="M914"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4"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4" s="12" t="inlineStr">
        <is>
          <t>Open PDF</t>
        </is>
      </c>
    </row>
    <row r="915">
      <c r="A915" t="inlineStr">
        <is>
          <t>GDPR</t>
        </is>
      </c>
      <c r="B915" t="inlineStr">
        <is>
          <t>OJ_L_202401689_EN_TXT (GDPR - Row 9)</t>
        </is>
      </c>
      <c r="C915" t="inlineStr">
        <is>
          <t>1</t>
        </is>
      </c>
      <c r="D915" s="11" t="inlineStr">
        <is>
          <t>Fines for general-purpose AI model providers</t>
        </is>
      </c>
      <c r="E915" t="inlineStr">
        <is>
          <t>83</t>
        </is>
      </c>
      <c r="F915" t="inlineStr">
        <is>
          <t>High</t>
        </is>
      </c>
      <c r="G915" t="inlineStr">
        <is>
          <t>High (explicit)</t>
        </is>
      </c>
      <c r="H915" s="11" t="inlineStr">
        <is>
          <t>Financial Data, AML</t>
        </is>
      </c>
      <c r="I915" s="11" t="inlineStr">
        <is>
          <t>Financial Data</t>
        </is>
      </c>
      <c r="J915" t="inlineStr">
        <is>
          <t>European Commission</t>
        </is>
      </c>
      <c r="K915"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5" s="11" t="inlineStr">
        <is>
          <t>This section establishes financial penalties for AI model providers, which impacts DTIA by requiring assessment of compliance risks and potential financial consequences for data transfers involving AI systems.</t>
        </is>
      </c>
      <c r="M915"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5"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5" s="12" t="inlineStr">
        <is>
          <t>Open PDF</t>
        </is>
      </c>
    </row>
    <row r="916">
      <c r="A916" t="inlineStr">
        <is>
          <t>GDPR</t>
        </is>
      </c>
      <c r="B916" t="inlineStr">
        <is>
          <t>OJ_L_202401689_EN_TXT (GDPR - Row 9)</t>
        </is>
      </c>
      <c r="C916" t="inlineStr">
        <is>
          <t>1</t>
        </is>
      </c>
      <c r="D916" s="11" t="inlineStr">
        <is>
          <t>Fines for general-purpose AI model providers</t>
        </is>
      </c>
      <c r="E916" t="inlineStr">
        <is>
          <t>84–85</t>
        </is>
      </c>
      <c r="F916" t="inlineStr">
        <is>
          <t>High</t>
        </is>
      </c>
      <c r="G916" t="inlineStr">
        <is>
          <t>High (explicit)</t>
        </is>
      </c>
      <c r="H916" s="11" t="inlineStr">
        <is>
          <t>Financial Data, AML</t>
        </is>
      </c>
      <c r="I916" s="11" t="inlineStr">
        <is>
          <t>Financial Data</t>
        </is>
      </c>
      <c r="J916" t="inlineStr">
        <is>
          <t>European Commission</t>
        </is>
      </c>
      <c r="K916"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6" s="11" t="inlineStr">
        <is>
          <t>This section establishes financial penalties for AI model providers, which impacts DTIA by requiring assessment of compliance risks and potential financial consequences for data transfers involving AI systems.</t>
        </is>
      </c>
      <c r="M916"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6"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6" s="12" t="inlineStr">
        <is>
          <t>Open PDF</t>
        </is>
      </c>
    </row>
    <row r="917">
      <c r="A917" t="inlineStr">
        <is>
          <t>GDPR</t>
        </is>
      </c>
      <c r="B917" t="inlineStr">
        <is>
          <t>OJ_L_202401689_EN_TXT (GDPR - Row 9)</t>
        </is>
      </c>
      <c r="C917" t="inlineStr">
        <is>
          <t>1</t>
        </is>
      </c>
      <c r="D917" s="11" t="inlineStr">
        <is>
          <t>Fines for general-purpose AI model providers</t>
        </is>
      </c>
      <c r="E917" t="inlineStr">
        <is>
          <t>86</t>
        </is>
      </c>
      <c r="F917" t="inlineStr">
        <is>
          <t>High</t>
        </is>
      </c>
      <c r="G917" t="inlineStr">
        <is>
          <t>High (explicit)</t>
        </is>
      </c>
      <c r="H917" s="11" t="inlineStr">
        <is>
          <t>Financial Data, AML</t>
        </is>
      </c>
      <c r="I917" s="11" t="inlineStr">
        <is>
          <t>Financial Data</t>
        </is>
      </c>
      <c r="J917" t="inlineStr">
        <is>
          <t>European Commission</t>
        </is>
      </c>
      <c r="K917"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7" s="11" t="inlineStr">
        <is>
          <t>This section establishes financial penalties for AI model providers, which impacts DTIA by requiring assessment of compliance risks and potential financial consequences for data transfers involving AI systems.</t>
        </is>
      </c>
      <c r="M917"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7"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7" s="12" t="inlineStr">
        <is>
          <t>Open PDF</t>
        </is>
      </c>
    </row>
    <row r="918">
      <c r="A918" t="inlineStr">
        <is>
          <t>GDPR</t>
        </is>
      </c>
      <c r="B918" t="inlineStr">
        <is>
          <t>OJ_L_202401689_EN_TXT (GDPR - Row 9)</t>
        </is>
      </c>
      <c r="C918" t="inlineStr">
        <is>
          <t>1</t>
        </is>
      </c>
      <c r="D918" s="11" t="inlineStr">
        <is>
          <t>Fines for general-purpose AI model providers</t>
        </is>
      </c>
      <c r="E918" t="inlineStr">
        <is>
          <t>90</t>
        </is>
      </c>
      <c r="F918" t="inlineStr">
        <is>
          <t>High</t>
        </is>
      </c>
      <c r="G918" t="inlineStr">
        <is>
          <t>High (explicit)</t>
        </is>
      </c>
      <c r="H918" s="11" t="inlineStr">
        <is>
          <t>Financial Data, AML</t>
        </is>
      </c>
      <c r="I918" s="11" t="inlineStr">
        <is>
          <t>Financial Data</t>
        </is>
      </c>
      <c r="J918" t="inlineStr">
        <is>
          <t>European Commission</t>
        </is>
      </c>
      <c r="K918"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8" s="11" t="inlineStr">
        <is>
          <t>This section establishes financial penalties for AI model providers, which impacts DTIA by requiring assessment of compliance risks and potential financial consequences for data transfers involving AI systems.</t>
        </is>
      </c>
      <c r="M918"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8"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8" s="12" t="inlineStr">
        <is>
          <t>Open PDF</t>
        </is>
      </c>
    </row>
    <row r="919">
      <c r="A919" t="inlineStr">
        <is>
          <t>GDPR</t>
        </is>
      </c>
      <c r="B919" t="inlineStr">
        <is>
          <t>OJ_L_202401689_EN_TXT (GDPR - Row 9)</t>
        </is>
      </c>
      <c r="C919" t="inlineStr">
        <is>
          <t>1</t>
        </is>
      </c>
      <c r="D919" s="11" t="inlineStr">
        <is>
          <t>Fines for general-purpose AI model providers</t>
        </is>
      </c>
      <c r="E919" t="inlineStr">
        <is>
          <t>91–92</t>
        </is>
      </c>
      <c r="F919" t="inlineStr">
        <is>
          <t>High</t>
        </is>
      </c>
      <c r="G919" t="inlineStr">
        <is>
          <t>High (explicit)</t>
        </is>
      </c>
      <c r="H919" s="11" t="inlineStr">
        <is>
          <t>Financial Data, AML</t>
        </is>
      </c>
      <c r="I919" s="11" t="inlineStr">
        <is>
          <t>Financial Data</t>
        </is>
      </c>
      <c r="J919" t="inlineStr">
        <is>
          <t>European Commission</t>
        </is>
      </c>
      <c r="K919"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19" s="11" t="inlineStr">
        <is>
          <t>This section establishes financial penalties for AI model providers, which impacts DTIA by requiring assessment of compliance risks and potential financial consequences for data transfers involving AI systems.</t>
        </is>
      </c>
      <c r="M919"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19"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19" s="12" t="inlineStr">
        <is>
          <t>Open PDF</t>
        </is>
      </c>
    </row>
    <row r="920">
      <c r="A920" t="inlineStr">
        <is>
          <t>GDPR</t>
        </is>
      </c>
      <c r="B920" t="inlineStr">
        <is>
          <t>OJ_L_202401689_EN_TXT (GDPR - Row 9)</t>
        </is>
      </c>
      <c r="C920" t="inlineStr">
        <is>
          <t>1</t>
        </is>
      </c>
      <c r="D920" s="11" t="inlineStr">
        <is>
          <t>Fines for general-purpose AI model providers</t>
        </is>
      </c>
      <c r="E920" t="inlineStr">
        <is>
          <t>94</t>
        </is>
      </c>
      <c r="F920" t="inlineStr">
        <is>
          <t>High</t>
        </is>
      </c>
      <c r="G920" t="inlineStr">
        <is>
          <t>High (explicit)</t>
        </is>
      </c>
      <c r="H920" s="11" t="inlineStr">
        <is>
          <t>Financial Data, AML</t>
        </is>
      </c>
      <c r="I920" s="11" t="inlineStr">
        <is>
          <t>Financial Data</t>
        </is>
      </c>
      <c r="J920" t="inlineStr">
        <is>
          <t>European Commission</t>
        </is>
      </c>
      <c r="K920"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0" s="11" t="inlineStr">
        <is>
          <t>This section establishes financial penalties for AI model providers, which impacts DTIA by requiring assessment of compliance risks and potential financial consequences for data transfers involving AI systems.</t>
        </is>
      </c>
      <c r="M920"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0"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0" s="12" t="inlineStr">
        <is>
          <t>Open PDF</t>
        </is>
      </c>
    </row>
    <row r="921">
      <c r="A921" t="inlineStr">
        <is>
          <t>GDPR</t>
        </is>
      </c>
      <c r="B921" t="inlineStr">
        <is>
          <t>OJ_L_202401689_EN_TXT (GDPR - Row 9)</t>
        </is>
      </c>
      <c r="C921" t="inlineStr">
        <is>
          <t>1</t>
        </is>
      </c>
      <c r="D921" s="11" t="inlineStr">
        <is>
          <t>Fines for general-purpose AI model providers</t>
        </is>
      </c>
      <c r="E921" t="inlineStr">
        <is>
          <t>99</t>
        </is>
      </c>
      <c r="F921" t="inlineStr">
        <is>
          <t>High</t>
        </is>
      </c>
      <c r="G921" t="inlineStr">
        <is>
          <t>High (explicit)</t>
        </is>
      </c>
      <c r="H921" s="11" t="inlineStr">
        <is>
          <t>Financial Data, AML</t>
        </is>
      </c>
      <c r="I921" s="11" t="inlineStr">
        <is>
          <t>Financial Data</t>
        </is>
      </c>
      <c r="J921" t="inlineStr">
        <is>
          <t>European Commission</t>
        </is>
      </c>
      <c r="K921"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1" s="11" t="inlineStr">
        <is>
          <t>This section establishes financial penalties for AI model providers, which impacts DTIA by requiring assessment of compliance risks and potential financial consequences for data transfers involving AI systems.</t>
        </is>
      </c>
      <c r="M921"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1"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1" s="12" t="inlineStr">
        <is>
          <t>Open PDF</t>
        </is>
      </c>
    </row>
    <row r="922">
      <c r="A922" t="inlineStr">
        <is>
          <t>GDPR</t>
        </is>
      </c>
      <c r="B922" t="inlineStr">
        <is>
          <t>OJ_L_202401689_EN_TXT (GDPR - Row 9)</t>
        </is>
      </c>
      <c r="C922" t="inlineStr">
        <is>
          <t>1</t>
        </is>
      </c>
      <c r="D922" s="11" t="inlineStr">
        <is>
          <t>Fines for general-purpose AI model providers</t>
        </is>
      </c>
      <c r="E922" t="inlineStr">
        <is>
          <t>101–102</t>
        </is>
      </c>
      <c r="F922" t="inlineStr">
        <is>
          <t>High</t>
        </is>
      </c>
      <c r="G922" t="inlineStr">
        <is>
          <t>High (explicit)</t>
        </is>
      </c>
      <c r="H922" s="11" t="inlineStr">
        <is>
          <t>Financial Data, AML</t>
        </is>
      </c>
      <c r="I922" s="11" t="inlineStr">
        <is>
          <t>Financial Data</t>
        </is>
      </c>
      <c r="J922" t="inlineStr">
        <is>
          <t>European Commission</t>
        </is>
      </c>
      <c r="K922"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2" s="11" t="inlineStr">
        <is>
          <t>This section establishes financial penalties for AI model providers, which impacts DTIA by requiring assessment of compliance risks and potential financial consequences for data transfers involving AI systems.</t>
        </is>
      </c>
      <c r="M922"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2"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2" s="12" t="inlineStr">
        <is>
          <t>Open PDF</t>
        </is>
      </c>
    </row>
    <row r="923">
      <c r="A923" t="inlineStr">
        <is>
          <t>GDPR</t>
        </is>
      </c>
      <c r="B923" t="inlineStr">
        <is>
          <t>OJ_L_202401689_EN_TXT (GDPR - Row 9)</t>
        </is>
      </c>
      <c r="C923" t="inlineStr">
        <is>
          <t>1</t>
        </is>
      </c>
      <c r="D923" s="11" t="inlineStr">
        <is>
          <t>Fines for general-purpose AI model providers</t>
        </is>
      </c>
      <c r="E923" t="inlineStr">
        <is>
          <t>105–106</t>
        </is>
      </c>
      <c r="F923" t="inlineStr">
        <is>
          <t>High</t>
        </is>
      </c>
      <c r="G923" t="inlineStr">
        <is>
          <t>High (explicit)</t>
        </is>
      </c>
      <c r="H923" s="11" t="inlineStr">
        <is>
          <t>Financial Data, AML</t>
        </is>
      </c>
      <c r="I923" s="11" t="inlineStr">
        <is>
          <t>Financial Data</t>
        </is>
      </c>
      <c r="J923" t="inlineStr">
        <is>
          <t>European Commission</t>
        </is>
      </c>
      <c r="K923"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3" s="11" t="inlineStr">
        <is>
          <t>This section establishes financial penalties for AI model providers, which impacts DTIA by requiring assessment of compliance risks and potential financial consequences for data transfers involving AI systems.</t>
        </is>
      </c>
      <c r="M923"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3"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3" s="12" t="inlineStr">
        <is>
          <t>Open PDF</t>
        </is>
      </c>
    </row>
    <row r="924">
      <c r="A924" t="inlineStr">
        <is>
          <t>GDPR</t>
        </is>
      </c>
      <c r="B924" t="inlineStr">
        <is>
          <t>OJ_L_202401689_EN_TXT (GDPR - Row 9)</t>
        </is>
      </c>
      <c r="C924" t="inlineStr">
        <is>
          <t>1</t>
        </is>
      </c>
      <c r="D924" s="11" t="inlineStr">
        <is>
          <t>Fines for general-purpose AI model providers</t>
        </is>
      </c>
      <c r="E924" t="inlineStr">
        <is>
          <t>108</t>
        </is>
      </c>
      <c r="F924" t="inlineStr">
        <is>
          <t>High</t>
        </is>
      </c>
      <c r="G924" t="inlineStr">
        <is>
          <t>High (explicit)</t>
        </is>
      </c>
      <c r="H924" s="11" t="inlineStr">
        <is>
          <t>Financial Data, AML</t>
        </is>
      </c>
      <c r="I924" s="11" t="inlineStr">
        <is>
          <t>Financial Data</t>
        </is>
      </c>
      <c r="J924" t="inlineStr">
        <is>
          <t>European Commission</t>
        </is>
      </c>
      <c r="K924"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4" s="11" t="inlineStr">
        <is>
          <t>This section establishes financial penalties for AI model providers, which impacts DTIA by requiring assessment of compliance risks and potential financial consequences for data transfers involving AI systems.</t>
        </is>
      </c>
      <c r="M924"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4"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4" s="12" t="inlineStr">
        <is>
          <t>Open PDF</t>
        </is>
      </c>
    </row>
    <row r="925">
      <c r="A925" t="inlineStr">
        <is>
          <t>GDPR</t>
        </is>
      </c>
      <c r="B925" t="inlineStr">
        <is>
          <t>OJ_L_202401689_EN_TXT (GDPR - Row 9)</t>
        </is>
      </c>
      <c r="C925" t="inlineStr">
        <is>
          <t>1</t>
        </is>
      </c>
      <c r="D925" s="11" t="inlineStr">
        <is>
          <t>Fines for general-purpose AI model providers</t>
        </is>
      </c>
      <c r="E925" t="inlineStr">
        <is>
          <t>108–109</t>
        </is>
      </c>
      <c r="F925" t="inlineStr">
        <is>
          <t>High</t>
        </is>
      </c>
      <c r="G925" t="inlineStr">
        <is>
          <t>High (explicit)</t>
        </is>
      </c>
      <c r="H925" s="11" t="inlineStr">
        <is>
          <t>Financial Data, AML</t>
        </is>
      </c>
      <c r="I925" s="11" t="inlineStr">
        <is>
          <t>Financial Data</t>
        </is>
      </c>
      <c r="J925" t="inlineStr">
        <is>
          <t>European Commission</t>
        </is>
      </c>
      <c r="K925"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5" s="11" t="inlineStr">
        <is>
          <t>This section establishes financial penalties for AI model providers, which impacts DTIA by requiring assessment of compliance risks and potential financial consequences for data transfers involving AI systems.</t>
        </is>
      </c>
      <c r="M925"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5"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5" s="12" t="inlineStr">
        <is>
          <t>Open PDF</t>
        </is>
      </c>
    </row>
    <row r="926">
      <c r="A926" t="inlineStr">
        <is>
          <t>GDPR</t>
        </is>
      </c>
      <c r="B926" t="inlineStr">
        <is>
          <t>OJ_L_202401689_EN_TXT (GDPR - Row 9)</t>
        </is>
      </c>
      <c r="C926" t="inlineStr">
        <is>
          <t>1</t>
        </is>
      </c>
      <c r="D926" s="11" t="inlineStr">
        <is>
          <t>Fines for general-purpose AI model providers</t>
        </is>
      </c>
      <c r="E926" t="inlineStr">
        <is>
          <t>113</t>
        </is>
      </c>
      <c r="F926" t="inlineStr">
        <is>
          <t>High</t>
        </is>
      </c>
      <c r="G926" t="inlineStr">
        <is>
          <t>High (explicit)</t>
        </is>
      </c>
      <c r="H926" s="11" t="inlineStr">
        <is>
          <t>Financial Data, AML</t>
        </is>
      </c>
      <c r="I926" s="11" t="inlineStr">
        <is>
          <t>Financial Data</t>
        </is>
      </c>
      <c r="J926" t="inlineStr">
        <is>
          <t>European Commission</t>
        </is>
      </c>
      <c r="K926"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6" s="11" t="inlineStr">
        <is>
          <t>This section establishes financial penalties for AI model providers, which impacts DTIA by requiring assessment of compliance risks and potential financial consequences for data transfers involving AI systems.</t>
        </is>
      </c>
      <c r="M926"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6"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6" s="12" t="inlineStr">
        <is>
          <t>Open PDF</t>
        </is>
      </c>
    </row>
    <row r="927">
      <c r="A927" t="inlineStr">
        <is>
          <t>GDPR</t>
        </is>
      </c>
      <c r="B927" t="inlineStr">
        <is>
          <t>OJ_L_202401689_EN_TXT (GDPR - Row 9)</t>
        </is>
      </c>
      <c r="C927" t="inlineStr">
        <is>
          <t>1</t>
        </is>
      </c>
      <c r="D927" s="11" t="inlineStr">
        <is>
          <t>Fines for general-purpose AI model providers</t>
        </is>
      </c>
      <c r="E927" t="inlineStr">
        <is>
          <t>115</t>
        </is>
      </c>
      <c r="F927" t="inlineStr">
        <is>
          <t>High</t>
        </is>
      </c>
      <c r="G927" t="inlineStr">
        <is>
          <t>High (explicit)</t>
        </is>
      </c>
      <c r="H927" s="11" t="inlineStr">
        <is>
          <t>Financial Data, AML</t>
        </is>
      </c>
      <c r="I927" s="11" t="inlineStr">
        <is>
          <t>Financial Data</t>
        </is>
      </c>
      <c r="J927" t="inlineStr">
        <is>
          <t>European Commission</t>
        </is>
      </c>
      <c r="K927"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7" s="11" t="inlineStr">
        <is>
          <t>This section establishes financial penalties for AI model providers, which impacts DTIA by requiring assessment of compliance risks and potential financial consequences for data transfers involving AI systems.</t>
        </is>
      </c>
      <c r="M927"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7"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7" s="12" t="inlineStr">
        <is>
          <t>Open PDF</t>
        </is>
      </c>
    </row>
    <row r="928">
      <c r="A928" t="inlineStr">
        <is>
          <t>GDPR</t>
        </is>
      </c>
      <c r="B928" t="inlineStr">
        <is>
          <t>OJ_L_202401689_EN_TXT (GDPR - Row 9)</t>
        </is>
      </c>
      <c r="C928" t="inlineStr">
        <is>
          <t>1</t>
        </is>
      </c>
      <c r="D928" s="11" t="inlineStr">
        <is>
          <t>Fines for general-purpose AI model providers</t>
        </is>
      </c>
      <c r="E928" t="inlineStr">
        <is>
          <t>116–117</t>
        </is>
      </c>
      <c r="F928" t="inlineStr">
        <is>
          <t>High</t>
        </is>
      </c>
      <c r="G928" t="inlineStr">
        <is>
          <t>High (explicit)</t>
        </is>
      </c>
      <c r="H928" s="11" t="inlineStr">
        <is>
          <t>Financial Data, AML</t>
        </is>
      </c>
      <c r="I928" s="11" t="inlineStr">
        <is>
          <t>Financial Data</t>
        </is>
      </c>
      <c r="J928" t="inlineStr">
        <is>
          <t>European Commission</t>
        </is>
      </c>
      <c r="K928"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8" s="11" t="inlineStr">
        <is>
          <t>This section establishes financial penalties for AI model providers, which impacts DTIA by requiring assessment of compliance risks and potential financial consequences for data transfers involving AI systems.</t>
        </is>
      </c>
      <c r="M928"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8"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8" s="12" t="inlineStr">
        <is>
          <t>Open PDF</t>
        </is>
      </c>
    </row>
    <row r="929">
      <c r="A929" t="inlineStr">
        <is>
          <t>GDPR</t>
        </is>
      </c>
      <c r="B929" t="inlineStr">
        <is>
          <t>OJ_L_202401689_EN_TXT (GDPR - Row 9)</t>
        </is>
      </c>
      <c r="C929" t="inlineStr">
        <is>
          <t>1</t>
        </is>
      </c>
      <c r="D929" s="11" t="inlineStr">
        <is>
          <t>Fines for general-purpose AI model providers</t>
        </is>
      </c>
      <c r="E929" t="inlineStr">
        <is>
          <t>117–118</t>
        </is>
      </c>
      <c r="F929" t="inlineStr">
        <is>
          <t>High</t>
        </is>
      </c>
      <c r="G929" t="inlineStr">
        <is>
          <t>High (explicit)</t>
        </is>
      </c>
      <c r="H929" s="11" t="inlineStr">
        <is>
          <t>Financial Data, AML</t>
        </is>
      </c>
      <c r="I929" s="11" t="inlineStr">
        <is>
          <t>Financial Data</t>
        </is>
      </c>
      <c r="J929" t="inlineStr">
        <is>
          <t>European Commission</t>
        </is>
      </c>
      <c r="K929" s="11" t="inlineStr">
        <is>
          <t>The Commission may impose fines up to 3% of annual worldwide turnover or EUR 15 million for providers of general-purpose AI models who intentionally or negligently violate data protection rules, fail to provide requested documents, or do not comply with safety measures. Fines consider the nature, gravity, and duration of infringements and may be adjusted based on commitments made.</t>
        </is>
      </c>
      <c r="L929" s="11" t="inlineStr">
        <is>
          <t>This section establishes financial penalties for AI model providers, which impacts DTIA by requiring assessment of compliance risks and potential financial consequences for data transfers involving AI systems.</t>
        </is>
      </c>
      <c r="M929" s="11" t="inlineStr">
        <is>
          <t>• [May] Commission may impose fines not exceeding 3% of annual worldwide turnover or EUR 15 million
• [Condition] Fines apply when provider intentionally or negligently infringes relevant provisions
• [Condition] Fines apply when provider fails to comply with document requests under Article 91
• [Condition] Fines apply when provider fails to comply with measures under Article 93
• [Condition] Fines apply when provider fails to make AI model available for evaluation
• [Must] Fine amount considers nature, gravity, and duration of infringement
• [Must] Fine amount considers principles of proportionality and appropriateness
• [Must] Commission considers commitments made under Article 93 or relevant codes of practice</t>
        </is>
      </c>
      <c r="N929" s="11" t="inlineStr">
        <is>
          <t>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t>
        </is>
      </c>
      <c r="O929" s="12" t="inlineStr">
        <is>
          <t>Open PDF</t>
        </is>
      </c>
    </row>
    <row r="930">
      <c r="A930" t="inlineStr">
        <is>
          <t>GDPR</t>
        </is>
      </c>
      <c r="B930" t="inlineStr">
        <is>
          <t>OJ_L_202401689_EN_TXT (GDPR - Row 9)</t>
        </is>
      </c>
      <c r="C930" t="inlineStr">
        <is>
          <t>2</t>
        </is>
      </c>
      <c r="D930" s="11" t="inlineStr">
        <is>
          <t>AI model development description</t>
        </is>
      </c>
      <c r="E930" t="inlineStr">
        <is>
          <t>44–45</t>
        </is>
      </c>
      <c r="F930" t="inlineStr">
        <is>
          <t>Low</t>
        </is>
      </c>
      <c r="G930" t="inlineStr">
        <is>
          <t>High (explicit)</t>
        </is>
      </c>
      <c r="H930" s="11" t="inlineStr"/>
      <c r="I930" s="11" t="inlineStr">
        <is>
          <t>Special Personal Information</t>
        </is>
      </c>
      <c r="J930" t="inlineStr"/>
      <c r="K930"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0" s="11" t="inlineStr">
        <is>
          <t>Mandates detailed descriptions of AI model development processes to ensure transparency and compliance with data protection and security requirements.</t>
        </is>
      </c>
      <c r="M930"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0"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0" s="12" t="inlineStr">
        <is>
          <t>Open PDF</t>
        </is>
      </c>
    </row>
    <row r="931">
      <c r="A931" t="inlineStr">
        <is>
          <t>GDPR</t>
        </is>
      </c>
      <c r="B931" t="inlineStr">
        <is>
          <t>OJ_L_202401689_EN_TXT (GDPR - Row 9)</t>
        </is>
      </c>
      <c r="C931" t="inlineStr">
        <is>
          <t>2</t>
        </is>
      </c>
      <c r="D931" s="11" t="inlineStr">
        <is>
          <t>AI model development description</t>
        </is>
      </c>
      <c r="E931" t="inlineStr">
        <is>
          <t>52</t>
        </is>
      </c>
      <c r="F931" t="inlineStr">
        <is>
          <t>Low</t>
        </is>
      </c>
      <c r="G931" t="inlineStr">
        <is>
          <t>High (explicit)</t>
        </is>
      </c>
      <c r="H931" s="11" t="inlineStr"/>
      <c r="I931" s="11" t="inlineStr">
        <is>
          <t>Special Personal Information</t>
        </is>
      </c>
      <c r="J931" t="inlineStr"/>
      <c r="K931"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1" s="11" t="inlineStr">
        <is>
          <t>Mandates detailed descriptions of AI model development processes to ensure transparency and compliance with data protection and security requirements.</t>
        </is>
      </c>
      <c r="M931"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1"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1" s="12" t="inlineStr">
        <is>
          <t>Open PDF</t>
        </is>
      </c>
    </row>
    <row r="932">
      <c r="A932" t="inlineStr">
        <is>
          <t>GDPR</t>
        </is>
      </c>
      <c r="B932" t="inlineStr">
        <is>
          <t>OJ_L_202401689_EN_TXT (GDPR - Row 9)</t>
        </is>
      </c>
      <c r="C932" t="inlineStr">
        <is>
          <t>2</t>
        </is>
      </c>
      <c r="D932" s="11" t="inlineStr">
        <is>
          <t>AI model development description</t>
        </is>
      </c>
      <c r="E932" t="inlineStr">
        <is>
          <t>55</t>
        </is>
      </c>
      <c r="F932" t="inlineStr">
        <is>
          <t>Low</t>
        </is>
      </c>
      <c r="G932" t="inlineStr">
        <is>
          <t>High (explicit)</t>
        </is>
      </c>
      <c r="H932" s="11" t="inlineStr"/>
      <c r="I932" s="11" t="inlineStr">
        <is>
          <t>Special Personal Information</t>
        </is>
      </c>
      <c r="J932" t="inlineStr"/>
      <c r="K932"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2" s="11" t="inlineStr">
        <is>
          <t>Mandates detailed descriptions of AI model development processes to ensure transparency and compliance with data protection and security requirements.</t>
        </is>
      </c>
      <c r="M932"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2"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2" s="12" t="inlineStr">
        <is>
          <t>Open PDF</t>
        </is>
      </c>
    </row>
    <row r="933">
      <c r="A933" t="inlineStr">
        <is>
          <t>GDPR</t>
        </is>
      </c>
      <c r="B933" t="inlineStr">
        <is>
          <t>OJ_L_202401689_EN_TXT (GDPR - Row 9)</t>
        </is>
      </c>
      <c r="C933" t="inlineStr">
        <is>
          <t>2</t>
        </is>
      </c>
      <c r="D933" s="11" t="inlineStr">
        <is>
          <t>AI model development description</t>
        </is>
      </c>
      <c r="E933" t="inlineStr">
        <is>
          <t>56</t>
        </is>
      </c>
      <c r="F933" t="inlineStr">
        <is>
          <t>Low</t>
        </is>
      </c>
      <c r="G933" t="inlineStr">
        <is>
          <t>High (explicit)</t>
        </is>
      </c>
      <c r="H933" s="11" t="inlineStr"/>
      <c r="I933" s="11" t="inlineStr">
        <is>
          <t>Special Personal Information</t>
        </is>
      </c>
      <c r="J933" t="inlineStr"/>
      <c r="K933"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3" s="11" t="inlineStr">
        <is>
          <t>Mandates detailed descriptions of AI model development processes to ensure transparency and compliance with data protection and security requirements.</t>
        </is>
      </c>
      <c r="M933"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3"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3" s="12" t="inlineStr">
        <is>
          <t>Open PDF</t>
        </is>
      </c>
    </row>
    <row r="934">
      <c r="A934" t="inlineStr">
        <is>
          <t>GDPR</t>
        </is>
      </c>
      <c r="B934" t="inlineStr">
        <is>
          <t>OJ_L_202401689_EN_TXT (GDPR - Row 9)</t>
        </is>
      </c>
      <c r="C934" t="inlineStr">
        <is>
          <t>2</t>
        </is>
      </c>
      <c r="D934" s="11" t="inlineStr">
        <is>
          <t>AI model development description</t>
        </is>
      </c>
      <c r="E934" t="inlineStr">
        <is>
          <t>57</t>
        </is>
      </c>
      <c r="F934" t="inlineStr">
        <is>
          <t>Low</t>
        </is>
      </c>
      <c r="G934" t="inlineStr">
        <is>
          <t>High (explicit)</t>
        </is>
      </c>
      <c r="H934" s="11" t="inlineStr"/>
      <c r="I934" s="11" t="inlineStr">
        <is>
          <t>Special Personal Information</t>
        </is>
      </c>
      <c r="J934" t="inlineStr"/>
      <c r="K934"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4" s="11" t="inlineStr">
        <is>
          <t>Mandates detailed descriptions of AI model development processes to ensure transparency and compliance with data protection and security requirements.</t>
        </is>
      </c>
      <c r="M934"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4"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4" s="12" t="inlineStr">
        <is>
          <t>Open PDF</t>
        </is>
      </c>
    </row>
    <row r="935">
      <c r="A935" t="inlineStr">
        <is>
          <t>GDPR</t>
        </is>
      </c>
      <c r="B935" t="inlineStr">
        <is>
          <t>OJ_L_202401689_EN_TXT (GDPR - Row 9)</t>
        </is>
      </c>
      <c r="C935" t="inlineStr">
        <is>
          <t>2</t>
        </is>
      </c>
      <c r="D935" s="11" t="inlineStr">
        <is>
          <t>AI model development description</t>
        </is>
      </c>
      <c r="E935" t="inlineStr">
        <is>
          <t>64</t>
        </is>
      </c>
      <c r="F935" t="inlineStr">
        <is>
          <t>Low</t>
        </is>
      </c>
      <c r="G935" t="inlineStr">
        <is>
          <t>High (explicit)</t>
        </is>
      </c>
      <c r="H935" s="11" t="inlineStr"/>
      <c r="I935" s="11" t="inlineStr">
        <is>
          <t>Special Personal Information</t>
        </is>
      </c>
      <c r="J935" t="inlineStr"/>
      <c r="K935"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5" s="11" t="inlineStr">
        <is>
          <t>Mandates detailed descriptions of AI model development processes to ensure transparency and compliance with data protection and security requirements.</t>
        </is>
      </c>
      <c r="M935"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5"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5" s="12" t="inlineStr">
        <is>
          <t>Open PDF</t>
        </is>
      </c>
    </row>
    <row r="936">
      <c r="A936" t="inlineStr">
        <is>
          <t>GDPR</t>
        </is>
      </c>
      <c r="B936" t="inlineStr">
        <is>
          <t>OJ_L_202401689_EN_TXT (GDPR - Row 9)</t>
        </is>
      </c>
      <c r="C936" t="inlineStr">
        <is>
          <t>2</t>
        </is>
      </c>
      <c r="D936" s="11" t="inlineStr">
        <is>
          <t>AI model development description</t>
        </is>
      </c>
      <c r="E936" t="inlineStr">
        <is>
          <t>71</t>
        </is>
      </c>
      <c r="F936" t="inlineStr">
        <is>
          <t>Low</t>
        </is>
      </c>
      <c r="G936" t="inlineStr">
        <is>
          <t>High (explicit)</t>
        </is>
      </c>
      <c r="H936" s="11" t="inlineStr"/>
      <c r="I936" s="11" t="inlineStr">
        <is>
          <t>Special Personal Information</t>
        </is>
      </c>
      <c r="J936" t="inlineStr"/>
      <c r="K936"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6" s="11" t="inlineStr">
        <is>
          <t>Mandates detailed descriptions of AI model development processes to ensure transparency and compliance with data protection and security requirements.</t>
        </is>
      </c>
      <c r="M936"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6"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6" s="12" t="inlineStr">
        <is>
          <t>Open PDF</t>
        </is>
      </c>
    </row>
    <row r="937">
      <c r="A937" t="inlineStr">
        <is>
          <t>GDPR</t>
        </is>
      </c>
      <c r="B937" t="inlineStr">
        <is>
          <t>OJ_L_202401689_EN_TXT (GDPR - Row 9)</t>
        </is>
      </c>
      <c r="C937" t="inlineStr">
        <is>
          <t>2</t>
        </is>
      </c>
      <c r="D937" s="11" t="inlineStr">
        <is>
          <t>AI model development description</t>
        </is>
      </c>
      <c r="E937" t="inlineStr">
        <is>
          <t>71</t>
        </is>
      </c>
      <c r="F937" t="inlineStr">
        <is>
          <t>Low</t>
        </is>
      </c>
      <c r="G937" t="inlineStr">
        <is>
          <t>High (explicit)</t>
        </is>
      </c>
      <c r="H937" s="11" t="inlineStr"/>
      <c r="I937" s="11" t="inlineStr">
        <is>
          <t>Special Personal Information</t>
        </is>
      </c>
      <c r="J937" t="inlineStr"/>
      <c r="K937"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7" s="11" t="inlineStr">
        <is>
          <t>Mandates detailed descriptions of AI model development processes to ensure transparency and compliance with data protection and security requirements.</t>
        </is>
      </c>
      <c r="M937"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7"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7" s="12" t="inlineStr">
        <is>
          <t>Open PDF</t>
        </is>
      </c>
    </row>
    <row r="938">
      <c r="A938" t="inlineStr">
        <is>
          <t>GDPR</t>
        </is>
      </c>
      <c r="B938" t="inlineStr">
        <is>
          <t>OJ_L_202401689_EN_TXT (GDPR - Row 9)</t>
        </is>
      </c>
      <c r="C938" t="inlineStr">
        <is>
          <t>2</t>
        </is>
      </c>
      <c r="D938" s="11" t="inlineStr">
        <is>
          <t>AI model development description</t>
        </is>
      </c>
      <c r="E938" t="inlineStr">
        <is>
          <t>71</t>
        </is>
      </c>
      <c r="F938" t="inlineStr">
        <is>
          <t>Low</t>
        </is>
      </c>
      <c r="G938" t="inlineStr">
        <is>
          <t>High (explicit)</t>
        </is>
      </c>
      <c r="H938" s="11" t="inlineStr"/>
      <c r="I938" s="11" t="inlineStr">
        <is>
          <t>Special Personal Information</t>
        </is>
      </c>
      <c r="J938" t="inlineStr"/>
      <c r="K938"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8" s="11" t="inlineStr">
        <is>
          <t>Mandates detailed descriptions of AI model development processes to ensure transparency and compliance with data protection and security requirements.</t>
        </is>
      </c>
      <c r="M938"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8"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8" s="12" t="inlineStr">
        <is>
          <t>Open PDF</t>
        </is>
      </c>
    </row>
    <row r="939">
      <c r="A939" t="inlineStr">
        <is>
          <t>GDPR</t>
        </is>
      </c>
      <c r="B939" t="inlineStr">
        <is>
          <t>OJ_L_202401689_EN_TXT (GDPR - Row 9)</t>
        </is>
      </c>
      <c r="C939" t="inlineStr">
        <is>
          <t>2</t>
        </is>
      </c>
      <c r="D939" s="11" t="inlineStr">
        <is>
          <t>AI model development description</t>
        </is>
      </c>
      <c r="E939" t="inlineStr">
        <is>
          <t>75</t>
        </is>
      </c>
      <c r="F939" t="inlineStr">
        <is>
          <t>Low</t>
        </is>
      </c>
      <c r="G939" t="inlineStr">
        <is>
          <t>High (explicit)</t>
        </is>
      </c>
      <c r="H939" s="11" t="inlineStr"/>
      <c r="I939" s="11" t="inlineStr">
        <is>
          <t>Special Personal Information</t>
        </is>
      </c>
      <c r="J939" t="inlineStr"/>
      <c r="K939"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39" s="11" t="inlineStr">
        <is>
          <t>Mandates detailed descriptions of AI model development processes to ensure transparency and compliance with data protection and security requirements.</t>
        </is>
      </c>
      <c r="M939"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39"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39" s="12" t="inlineStr">
        <is>
          <t>Open PDF</t>
        </is>
      </c>
    </row>
    <row r="940">
      <c r="A940" t="inlineStr">
        <is>
          <t>GDPR</t>
        </is>
      </c>
      <c r="B940" t="inlineStr">
        <is>
          <t>OJ_L_202401689_EN_TXT (GDPR - Row 9)</t>
        </is>
      </c>
      <c r="C940" t="inlineStr">
        <is>
          <t>2</t>
        </is>
      </c>
      <c r="D940" s="11" t="inlineStr">
        <is>
          <t>AI model development description</t>
        </is>
      </c>
      <c r="E940" t="inlineStr">
        <is>
          <t>75</t>
        </is>
      </c>
      <c r="F940" t="inlineStr">
        <is>
          <t>Low</t>
        </is>
      </c>
      <c r="G940" t="inlineStr">
        <is>
          <t>High (explicit)</t>
        </is>
      </c>
      <c r="H940" s="11" t="inlineStr"/>
      <c r="I940" s="11" t="inlineStr">
        <is>
          <t>Special Personal Information</t>
        </is>
      </c>
      <c r="J940" t="inlineStr"/>
      <c r="K940"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0" s="11" t="inlineStr">
        <is>
          <t>Mandates detailed descriptions of AI model development processes to ensure transparency and compliance with data protection and security requirements.</t>
        </is>
      </c>
      <c r="M940"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0"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0" s="12" t="inlineStr">
        <is>
          <t>Open PDF</t>
        </is>
      </c>
    </row>
    <row r="941">
      <c r="A941" t="inlineStr">
        <is>
          <t>GDPR</t>
        </is>
      </c>
      <c r="B941" t="inlineStr">
        <is>
          <t>OJ_L_202401689_EN_TXT (GDPR - Row 9)</t>
        </is>
      </c>
      <c r="C941" t="inlineStr">
        <is>
          <t>2</t>
        </is>
      </c>
      <c r="D941" s="11" t="inlineStr">
        <is>
          <t>AI model development description</t>
        </is>
      </c>
      <c r="E941" t="inlineStr">
        <is>
          <t>76</t>
        </is>
      </c>
      <c r="F941" t="inlineStr">
        <is>
          <t>Low</t>
        </is>
      </c>
      <c r="G941" t="inlineStr">
        <is>
          <t>High (explicit)</t>
        </is>
      </c>
      <c r="H941" s="11" t="inlineStr"/>
      <c r="I941" s="11" t="inlineStr">
        <is>
          <t>Special Personal Information</t>
        </is>
      </c>
      <c r="J941" t="inlineStr"/>
      <c r="K941"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1" s="11" t="inlineStr">
        <is>
          <t>Mandates detailed descriptions of AI model development processes to ensure transparency and compliance with data protection and security requirements.</t>
        </is>
      </c>
      <c r="M941"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1"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1" s="12" t="inlineStr">
        <is>
          <t>Open PDF</t>
        </is>
      </c>
    </row>
    <row r="942">
      <c r="A942" t="inlineStr">
        <is>
          <t>GDPR</t>
        </is>
      </c>
      <c r="B942" t="inlineStr">
        <is>
          <t>OJ_L_202401689_EN_TXT (GDPR - Row 9)</t>
        </is>
      </c>
      <c r="C942" t="inlineStr">
        <is>
          <t>2</t>
        </is>
      </c>
      <c r="D942" s="11" t="inlineStr">
        <is>
          <t>AI model development description</t>
        </is>
      </c>
      <c r="E942" t="inlineStr">
        <is>
          <t>77–78</t>
        </is>
      </c>
      <c r="F942" t="inlineStr">
        <is>
          <t>Low</t>
        </is>
      </c>
      <c r="G942" t="inlineStr">
        <is>
          <t>High (explicit)</t>
        </is>
      </c>
      <c r="H942" s="11" t="inlineStr"/>
      <c r="I942" s="11" t="inlineStr">
        <is>
          <t>Special Personal Information</t>
        </is>
      </c>
      <c r="J942" t="inlineStr"/>
      <c r="K942"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2" s="11" t="inlineStr">
        <is>
          <t>Mandates detailed descriptions of AI model development processes to ensure transparency and compliance with data protection and security requirements.</t>
        </is>
      </c>
      <c r="M942"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2"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2" s="12" t="inlineStr">
        <is>
          <t>Open PDF</t>
        </is>
      </c>
    </row>
    <row r="943">
      <c r="A943" t="inlineStr">
        <is>
          <t>GDPR</t>
        </is>
      </c>
      <c r="B943" t="inlineStr">
        <is>
          <t>OJ_L_202401689_EN_TXT (GDPR - Row 9)</t>
        </is>
      </c>
      <c r="C943" t="inlineStr">
        <is>
          <t>2</t>
        </is>
      </c>
      <c r="D943" s="11" t="inlineStr">
        <is>
          <t>AI model development description</t>
        </is>
      </c>
      <c r="E943" t="inlineStr">
        <is>
          <t>90</t>
        </is>
      </c>
      <c r="F943" t="inlineStr">
        <is>
          <t>Low</t>
        </is>
      </c>
      <c r="G943" t="inlineStr">
        <is>
          <t>High (explicit)</t>
        </is>
      </c>
      <c r="H943" s="11" t="inlineStr"/>
      <c r="I943" s="11" t="inlineStr">
        <is>
          <t>Special Personal Information</t>
        </is>
      </c>
      <c r="J943" t="inlineStr"/>
      <c r="K943"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3" s="11" t="inlineStr">
        <is>
          <t>Mandates detailed descriptions of AI model development processes to ensure transparency and compliance with data protection and security requirements.</t>
        </is>
      </c>
      <c r="M943"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3"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3" s="12" t="inlineStr">
        <is>
          <t>Open PDF</t>
        </is>
      </c>
    </row>
    <row r="944">
      <c r="A944" t="inlineStr">
        <is>
          <t>GDPR</t>
        </is>
      </c>
      <c r="B944" t="inlineStr">
        <is>
          <t>OJ_L_202401689_EN_TXT (GDPR - Row 9)</t>
        </is>
      </c>
      <c r="C944" t="inlineStr">
        <is>
          <t>2</t>
        </is>
      </c>
      <c r="D944" s="11" t="inlineStr">
        <is>
          <t>AI model development description</t>
        </is>
      </c>
      <c r="E944" t="inlineStr">
        <is>
          <t>92</t>
        </is>
      </c>
      <c r="F944" t="inlineStr">
        <is>
          <t>Low</t>
        </is>
      </c>
      <c r="G944" t="inlineStr">
        <is>
          <t>High (explicit)</t>
        </is>
      </c>
      <c r="H944" s="11" t="inlineStr"/>
      <c r="I944" s="11" t="inlineStr">
        <is>
          <t>Special Personal Information</t>
        </is>
      </c>
      <c r="J944" t="inlineStr"/>
      <c r="K944"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4" s="11" t="inlineStr">
        <is>
          <t>Mandates detailed descriptions of AI model development processes to ensure transparency and compliance with data protection and security requirements.</t>
        </is>
      </c>
      <c r="M944"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4"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4" s="12" t="inlineStr">
        <is>
          <t>Open PDF</t>
        </is>
      </c>
    </row>
    <row r="945">
      <c r="A945" t="inlineStr">
        <is>
          <t>GDPR</t>
        </is>
      </c>
      <c r="B945" t="inlineStr">
        <is>
          <t>OJ_L_202401689_EN_TXT (GDPR - Row 9)</t>
        </is>
      </c>
      <c r="C945" t="inlineStr">
        <is>
          <t>2</t>
        </is>
      </c>
      <c r="D945" s="11" t="inlineStr">
        <is>
          <t>AI model development description</t>
        </is>
      </c>
      <c r="E945" t="inlineStr">
        <is>
          <t>95</t>
        </is>
      </c>
      <c r="F945" t="inlineStr">
        <is>
          <t>Low</t>
        </is>
      </c>
      <c r="G945" t="inlineStr">
        <is>
          <t>High (explicit)</t>
        </is>
      </c>
      <c r="H945" s="11" t="inlineStr"/>
      <c r="I945" s="11" t="inlineStr">
        <is>
          <t>Special Personal Information</t>
        </is>
      </c>
      <c r="J945" t="inlineStr"/>
      <c r="K945"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5" s="11" t="inlineStr">
        <is>
          <t>Mandates detailed descriptions of AI model development processes to ensure transparency and compliance with data protection and security requirements.</t>
        </is>
      </c>
      <c r="M945"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5"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5" s="12" t="inlineStr">
        <is>
          <t>Open PDF</t>
        </is>
      </c>
    </row>
    <row r="946">
      <c r="A946" t="inlineStr">
        <is>
          <t>GDPR</t>
        </is>
      </c>
      <c r="B946" t="inlineStr">
        <is>
          <t>OJ_L_202401689_EN_TXT (GDPR - Row 9)</t>
        </is>
      </c>
      <c r="C946" t="inlineStr">
        <is>
          <t>2</t>
        </is>
      </c>
      <c r="D946" s="11" t="inlineStr">
        <is>
          <t>AI model development description</t>
        </is>
      </c>
      <c r="E946" t="inlineStr">
        <is>
          <t>95</t>
        </is>
      </c>
      <c r="F946" t="inlineStr">
        <is>
          <t>Low</t>
        </is>
      </c>
      <c r="G946" t="inlineStr">
        <is>
          <t>High (explicit)</t>
        </is>
      </c>
      <c r="H946" s="11" t="inlineStr"/>
      <c r="I946" s="11" t="inlineStr">
        <is>
          <t>Special Personal Information</t>
        </is>
      </c>
      <c r="J946" t="inlineStr"/>
      <c r="K946"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6" s="11" t="inlineStr">
        <is>
          <t>Mandates detailed descriptions of AI model development processes to ensure transparency and compliance with data protection and security requirements.</t>
        </is>
      </c>
      <c r="M946"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6"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6" s="12" t="inlineStr">
        <is>
          <t>Open PDF</t>
        </is>
      </c>
    </row>
    <row r="947">
      <c r="A947" t="inlineStr">
        <is>
          <t>GDPR</t>
        </is>
      </c>
      <c r="B947" t="inlineStr">
        <is>
          <t>OJ_L_202401689_EN_TXT (GDPR - Row 9)</t>
        </is>
      </c>
      <c r="C947" t="inlineStr">
        <is>
          <t>2</t>
        </is>
      </c>
      <c r="D947" s="11" t="inlineStr">
        <is>
          <t>AI model development description</t>
        </is>
      </c>
      <c r="E947" t="inlineStr">
        <is>
          <t>99–100</t>
        </is>
      </c>
      <c r="F947" t="inlineStr">
        <is>
          <t>Low</t>
        </is>
      </c>
      <c r="G947" t="inlineStr">
        <is>
          <t>High (explicit)</t>
        </is>
      </c>
      <c r="H947" s="11" t="inlineStr"/>
      <c r="I947" s="11" t="inlineStr">
        <is>
          <t>Special Personal Information</t>
        </is>
      </c>
      <c r="J947" t="inlineStr"/>
      <c r="K947"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7" s="11" t="inlineStr">
        <is>
          <t>Mandates detailed descriptions of AI model development processes to ensure transparency and compliance with data protection and security requirements.</t>
        </is>
      </c>
      <c r="M947"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7"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7" s="12" t="inlineStr">
        <is>
          <t>Open PDF</t>
        </is>
      </c>
    </row>
    <row r="948">
      <c r="A948" t="inlineStr">
        <is>
          <t>GDPR</t>
        </is>
      </c>
      <c r="B948" t="inlineStr">
        <is>
          <t>OJ_L_202401689_EN_TXT (GDPR - Row 9)</t>
        </is>
      </c>
      <c r="C948" t="inlineStr">
        <is>
          <t>2</t>
        </is>
      </c>
      <c r="D948" s="11" t="inlineStr">
        <is>
          <t>AI model development description</t>
        </is>
      </c>
      <c r="E948" t="inlineStr">
        <is>
          <t>102</t>
        </is>
      </c>
      <c r="F948" t="inlineStr">
        <is>
          <t>Low</t>
        </is>
      </c>
      <c r="G948" t="inlineStr">
        <is>
          <t>High (explicit)</t>
        </is>
      </c>
      <c r="H948" s="11" t="inlineStr"/>
      <c r="I948" s="11" t="inlineStr">
        <is>
          <t>Special Personal Information</t>
        </is>
      </c>
      <c r="J948" t="inlineStr"/>
      <c r="K948"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8" s="11" t="inlineStr">
        <is>
          <t>Mandates detailed descriptions of AI model development processes to ensure transparency and compliance with data protection and security requirements.</t>
        </is>
      </c>
      <c r="M948"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8"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8" s="12" t="inlineStr">
        <is>
          <t>Open PDF</t>
        </is>
      </c>
    </row>
    <row r="949">
      <c r="A949" t="inlineStr">
        <is>
          <t>GDPR</t>
        </is>
      </c>
      <c r="B949" t="inlineStr">
        <is>
          <t>OJ_L_202401689_EN_TXT (GDPR - Row 9)</t>
        </is>
      </c>
      <c r="C949" t="inlineStr">
        <is>
          <t>2</t>
        </is>
      </c>
      <c r="D949" s="11" t="inlineStr">
        <is>
          <t>AI model development description</t>
        </is>
      </c>
      <c r="E949" t="inlineStr">
        <is>
          <t>105</t>
        </is>
      </c>
      <c r="F949" t="inlineStr">
        <is>
          <t>Low</t>
        </is>
      </c>
      <c r="G949" t="inlineStr">
        <is>
          <t>High (explicit)</t>
        </is>
      </c>
      <c r="H949" s="11" t="inlineStr"/>
      <c r="I949" s="11" t="inlineStr">
        <is>
          <t>Special Personal Information</t>
        </is>
      </c>
      <c r="J949" t="inlineStr"/>
      <c r="K949"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49" s="11" t="inlineStr">
        <is>
          <t>Mandates detailed descriptions of AI model development processes to ensure transparency and compliance with data protection and security requirements.</t>
        </is>
      </c>
      <c r="M949"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49"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49" s="12" t="inlineStr">
        <is>
          <t>Open PDF</t>
        </is>
      </c>
    </row>
    <row r="950">
      <c r="A950" t="inlineStr">
        <is>
          <t>GDPR</t>
        </is>
      </c>
      <c r="B950" t="inlineStr">
        <is>
          <t>OJ_L_202401689_EN_TXT (GDPR - Row 9)</t>
        </is>
      </c>
      <c r="C950" t="inlineStr">
        <is>
          <t>2</t>
        </is>
      </c>
      <c r="D950" s="11" t="inlineStr">
        <is>
          <t>AI model development description</t>
        </is>
      </c>
      <c r="E950" t="inlineStr">
        <is>
          <t>106</t>
        </is>
      </c>
      <c r="F950" t="inlineStr">
        <is>
          <t>Low</t>
        </is>
      </c>
      <c r="G950" t="inlineStr">
        <is>
          <t>High (explicit)</t>
        </is>
      </c>
      <c r="H950" s="11" t="inlineStr"/>
      <c r="I950" s="11" t="inlineStr">
        <is>
          <t>Special Personal Information</t>
        </is>
      </c>
      <c r="J950" t="inlineStr"/>
      <c r="K950"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0" s="11" t="inlineStr">
        <is>
          <t>Mandates detailed descriptions of AI model development processes to ensure transparency and compliance with data protection and security requirements.</t>
        </is>
      </c>
      <c r="M950"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0"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0" s="12" t="inlineStr">
        <is>
          <t>Open PDF</t>
        </is>
      </c>
    </row>
    <row r="951">
      <c r="A951" t="inlineStr">
        <is>
          <t>GDPR</t>
        </is>
      </c>
      <c r="B951" t="inlineStr">
        <is>
          <t>OJ_L_202401689_EN_TXT (GDPR - Row 9)</t>
        </is>
      </c>
      <c r="C951" t="inlineStr">
        <is>
          <t>2</t>
        </is>
      </c>
      <c r="D951" s="11" t="inlineStr">
        <is>
          <t>AI model development description</t>
        </is>
      </c>
      <c r="E951" t="inlineStr">
        <is>
          <t>106–107</t>
        </is>
      </c>
      <c r="F951" t="inlineStr">
        <is>
          <t>Low</t>
        </is>
      </c>
      <c r="G951" t="inlineStr">
        <is>
          <t>High (explicit)</t>
        </is>
      </c>
      <c r="H951" s="11" t="inlineStr"/>
      <c r="I951" s="11" t="inlineStr">
        <is>
          <t>Special Personal Information</t>
        </is>
      </c>
      <c r="J951" t="inlineStr"/>
      <c r="K951"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1" s="11" t="inlineStr">
        <is>
          <t>Mandates detailed descriptions of AI model development processes to ensure transparency and compliance with data protection and security requirements.</t>
        </is>
      </c>
      <c r="M951"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1"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1" s="12" t="inlineStr">
        <is>
          <t>Open PDF</t>
        </is>
      </c>
    </row>
    <row r="952">
      <c r="A952" t="inlineStr">
        <is>
          <t>GDPR</t>
        </is>
      </c>
      <c r="B952" t="inlineStr">
        <is>
          <t>OJ_L_202401689_EN_TXT (GDPR - Row 9)</t>
        </is>
      </c>
      <c r="C952" t="inlineStr">
        <is>
          <t>2</t>
        </is>
      </c>
      <c r="D952" s="11" t="inlineStr">
        <is>
          <t>AI model development description</t>
        </is>
      </c>
      <c r="E952" t="inlineStr">
        <is>
          <t>109</t>
        </is>
      </c>
      <c r="F952" t="inlineStr">
        <is>
          <t>Low</t>
        </is>
      </c>
      <c r="G952" t="inlineStr">
        <is>
          <t>High (explicit)</t>
        </is>
      </c>
      <c r="H952" s="11" t="inlineStr"/>
      <c r="I952" s="11" t="inlineStr">
        <is>
          <t>Special Personal Information</t>
        </is>
      </c>
      <c r="J952" t="inlineStr"/>
      <c r="K952"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2" s="11" t="inlineStr">
        <is>
          <t>Mandates detailed descriptions of AI model development processes to ensure transparency and compliance with data protection and security requirements.</t>
        </is>
      </c>
      <c r="M952"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2"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2" s="12" t="inlineStr">
        <is>
          <t>Open PDF</t>
        </is>
      </c>
    </row>
    <row r="953">
      <c r="A953" t="inlineStr">
        <is>
          <t>GDPR</t>
        </is>
      </c>
      <c r="B953" t="inlineStr">
        <is>
          <t>OJ_L_202401689_EN_TXT (GDPR - Row 9)</t>
        </is>
      </c>
      <c r="C953" t="inlineStr">
        <is>
          <t>2</t>
        </is>
      </c>
      <c r="D953" s="11" t="inlineStr">
        <is>
          <t>AI model development description</t>
        </is>
      </c>
      <c r="E953" t="inlineStr">
        <is>
          <t>109–110</t>
        </is>
      </c>
      <c r="F953" t="inlineStr">
        <is>
          <t>Low</t>
        </is>
      </c>
      <c r="G953" t="inlineStr">
        <is>
          <t>High (explicit)</t>
        </is>
      </c>
      <c r="H953" s="11" t="inlineStr"/>
      <c r="I953" s="11" t="inlineStr">
        <is>
          <t>Special Personal Information</t>
        </is>
      </c>
      <c r="J953" t="inlineStr"/>
      <c r="K953"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3" s="11" t="inlineStr">
        <is>
          <t>Mandates detailed descriptions of AI model development processes to ensure transparency and compliance with data protection and security requirements.</t>
        </is>
      </c>
      <c r="M953"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3"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3" s="12" t="inlineStr">
        <is>
          <t>Open PDF</t>
        </is>
      </c>
    </row>
    <row r="954">
      <c r="A954" t="inlineStr">
        <is>
          <t>GDPR</t>
        </is>
      </c>
      <c r="B954" t="inlineStr">
        <is>
          <t>OJ_L_202401689_EN_TXT (GDPR - Row 9)</t>
        </is>
      </c>
      <c r="C954" t="inlineStr">
        <is>
          <t>2</t>
        </is>
      </c>
      <c r="D954" s="11" t="inlineStr">
        <is>
          <t>AI model development description</t>
        </is>
      </c>
      <c r="E954" t="inlineStr">
        <is>
          <t>122</t>
        </is>
      </c>
      <c r="F954" t="inlineStr">
        <is>
          <t>Low</t>
        </is>
      </c>
      <c r="G954" t="inlineStr">
        <is>
          <t>High (explicit)</t>
        </is>
      </c>
      <c r="H954" s="11" t="inlineStr"/>
      <c r="I954" s="11" t="inlineStr">
        <is>
          <t>Special Personal Information</t>
        </is>
      </c>
      <c r="J954" t="inlineStr"/>
      <c r="K954"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4" s="11" t="inlineStr">
        <is>
          <t>Mandates detailed descriptions of AI model development processes to ensure transparency and compliance with data protection and security requirements.</t>
        </is>
      </c>
      <c r="M954"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4"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4" s="12" t="inlineStr">
        <is>
          <t>Open PDF</t>
        </is>
      </c>
    </row>
    <row r="955">
      <c r="A955" t="inlineStr">
        <is>
          <t>GDPR</t>
        </is>
      </c>
      <c r="B955" t="inlineStr">
        <is>
          <t>OJ_L_202401689_EN_TXT (GDPR - Row 9)</t>
        </is>
      </c>
      <c r="C955" t="inlineStr">
        <is>
          <t>2</t>
        </is>
      </c>
      <c r="D955" s="11" t="inlineStr">
        <is>
          <t>AI model development description</t>
        </is>
      </c>
      <c r="E955" t="inlineStr">
        <is>
          <t>130–131</t>
        </is>
      </c>
      <c r="F955" t="inlineStr">
        <is>
          <t>Low</t>
        </is>
      </c>
      <c r="G955" t="inlineStr">
        <is>
          <t>High (explicit)</t>
        </is>
      </c>
      <c r="H955" s="11" t="inlineStr"/>
      <c r="I955" s="11" t="inlineStr">
        <is>
          <t>Special Personal Information</t>
        </is>
      </c>
      <c r="J955" t="inlineStr"/>
      <c r="K955"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5" s="11" t="inlineStr">
        <is>
          <t>Mandates detailed descriptions of AI model development processes to ensure transparency and compliance with data protection and security requirements.</t>
        </is>
      </c>
      <c r="M955"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5"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5" s="12" t="inlineStr">
        <is>
          <t>Open PDF</t>
        </is>
      </c>
    </row>
    <row r="956">
      <c r="A956" t="inlineStr">
        <is>
          <t>GDPR</t>
        </is>
      </c>
      <c r="B956" t="inlineStr">
        <is>
          <t>OJ_L_202401689_EN_TXT (GDPR - Row 9)</t>
        </is>
      </c>
      <c r="C956" t="inlineStr">
        <is>
          <t>2</t>
        </is>
      </c>
      <c r="D956" s="11" t="inlineStr">
        <is>
          <t>AI model development description</t>
        </is>
      </c>
      <c r="E956" t="inlineStr">
        <is>
          <t>143–144</t>
        </is>
      </c>
      <c r="F956" t="inlineStr">
        <is>
          <t>Low</t>
        </is>
      </c>
      <c r="G956" t="inlineStr">
        <is>
          <t>High (explicit)</t>
        </is>
      </c>
      <c r="H956" s="11" t="inlineStr"/>
      <c r="I956" s="11" t="inlineStr">
        <is>
          <t>Special Personal Information</t>
        </is>
      </c>
      <c r="J956" t="inlineStr"/>
      <c r="K956" s="11" t="inlineStr">
        <is>
          <t>Requires providers to describe AI model elements and development processes, including technical means for integration, input/output modalities, and data used for training, testing, and validation. This information is critical for assessing model capabilities and risks.</t>
        </is>
      </c>
      <c r="L956" s="11" t="inlineStr">
        <is>
          <t>Mandates detailed descriptions of AI model development processes to ensure transparency and compliance with data protection and security requirements.</t>
        </is>
      </c>
      <c r="M956" s="11" t="inlineStr">
        <is>
          <t>• [Must] Provider must describe technical means required for general-purpose AI model integration
• [Must] Provider must describe input/output modalities and maximum size of data
• [Must] Provider must describe data used for training, testing, and validation including type, provenance, and curation methodologies</t>
        </is>
      </c>
      <c r="N956" s="11" t="inlineStr">
        <is>
          <t>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is>
      </c>
      <c r="O956" s="12" t="inlineStr">
        <is>
          <t>Open PDF</t>
        </is>
      </c>
    </row>
    <row r="957">
      <c r="A957" t="inlineStr">
        <is>
          <t>GDPR</t>
        </is>
      </c>
      <c r="B957" t="inlineStr">
        <is>
          <t>OJ_L_202401689_EN_TXT (GDPR - Row 9)</t>
        </is>
      </c>
      <c r="C957" t="inlineStr">
        <is>
          <t>3</t>
        </is>
      </c>
      <c r="D957" s="11" t="inlineStr">
        <is>
          <t>System architecture description for AI providers</t>
        </is>
      </c>
      <c r="E957" t="inlineStr">
        <is>
          <t>52–53</t>
        </is>
      </c>
      <c r="F957" t="inlineStr">
        <is>
          <t>Low</t>
        </is>
      </c>
      <c r="G957" t="inlineStr">
        <is>
          <t>High (explicit)</t>
        </is>
      </c>
      <c r="H957" s="11" t="inlineStr"/>
      <c r="I957" s="11" t="inlineStr">
        <is>
          <t>Special Personal Information</t>
        </is>
      </c>
      <c r="J957" t="inlineStr"/>
      <c r="K957"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57" s="11" t="inlineStr">
        <is>
          <t>Mandates detailed system architecture descriptions for AI providers to ensure transparency and understanding of data flows and processing mechanisms.</t>
        </is>
      </c>
      <c r="M957" s="11" t="inlineStr">
        <is>
          <t>• [Must] Provider must describe system architecture where applicable, explaining how software components build or feed into each other and integrate into overall processing</t>
        </is>
      </c>
      <c r="N957" s="11" t="inlineStr">
        <is>
          <t>3. Where applicable, a detailed description of the system architecture explaining how software components build or feed into each other and integrate into the overall processing.</t>
        </is>
      </c>
      <c r="O957" s="12" t="inlineStr">
        <is>
          <t>Open PDF</t>
        </is>
      </c>
    </row>
    <row r="958">
      <c r="A958" t="inlineStr">
        <is>
          <t>GDPR</t>
        </is>
      </c>
      <c r="B958" t="inlineStr">
        <is>
          <t>OJ_L_202401689_EN_TXT (GDPR - Row 9)</t>
        </is>
      </c>
      <c r="C958" t="inlineStr">
        <is>
          <t>3</t>
        </is>
      </c>
      <c r="D958" s="11" t="inlineStr">
        <is>
          <t>System architecture description for AI providers</t>
        </is>
      </c>
      <c r="E958" t="inlineStr">
        <is>
          <t>59–60</t>
        </is>
      </c>
      <c r="F958" t="inlineStr">
        <is>
          <t>Low</t>
        </is>
      </c>
      <c r="G958" t="inlineStr">
        <is>
          <t>High (explicit)</t>
        </is>
      </c>
      <c r="H958" s="11" t="inlineStr"/>
      <c r="I958" s="11" t="inlineStr">
        <is>
          <t>Special Personal Information</t>
        </is>
      </c>
      <c r="J958" t="inlineStr"/>
      <c r="K958"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58" s="11" t="inlineStr">
        <is>
          <t>Mandates detailed system architecture descriptions for AI providers to ensure transparency and understanding of data flows and processing mechanisms.</t>
        </is>
      </c>
      <c r="M958" s="11" t="inlineStr">
        <is>
          <t>• [Must] Provider must describe system architecture where applicable, explaining how software components build or feed into each other and integrate into overall processing</t>
        </is>
      </c>
      <c r="N958" s="11" t="inlineStr">
        <is>
          <t>3. Where applicable, a detailed description of the system architecture explaining how software components build or feed into each other and integrate into the overall processing.</t>
        </is>
      </c>
      <c r="O958" s="12" t="inlineStr">
        <is>
          <t>Open PDF</t>
        </is>
      </c>
    </row>
    <row r="959">
      <c r="A959" t="inlineStr">
        <is>
          <t>GDPR</t>
        </is>
      </c>
      <c r="B959" t="inlineStr">
        <is>
          <t>OJ_L_202401689_EN_TXT (GDPR - Row 9)</t>
        </is>
      </c>
      <c r="C959" t="inlineStr">
        <is>
          <t>3</t>
        </is>
      </c>
      <c r="D959" s="11" t="inlineStr">
        <is>
          <t>System architecture description for AI providers</t>
        </is>
      </c>
      <c r="E959" t="inlineStr">
        <is>
          <t>64</t>
        </is>
      </c>
      <c r="F959" t="inlineStr">
        <is>
          <t>Low</t>
        </is>
      </c>
      <c r="G959" t="inlineStr">
        <is>
          <t>High (explicit)</t>
        </is>
      </c>
      <c r="H959" s="11" t="inlineStr"/>
      <c r="I959" s="11" t="inlineStr">
        <is>
          <t>Special Personal Information</t>
        </is>
      </c>
      <c r="J959" t="inlineStr"/>
      <c r="K959"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59" s="11" t="inlineStr">
        <is>
          <t>Mandates detailed system architecture descriptions for AI providers to ensure transparency and understanding of data flows and processing mechanisms.</t>
        </is>
      </c>
      <c r="M959" s="11" t="inlineStr">
        <is>
          <t>• [Must] Provider must describe system architecture where applicable, explaining how software components build or feed into each other and integrate into overall processing</t>
        </is>
      </c>
      <c r="N959" s="11" t="inlineStr">
        <is>
          <t>3. Where applicable, a detailed description of the system architecture explaining how software components build or feed into each other and integrate into the overall processing.</t>
        </is>
      </c>
      <c r="O959" s="12" t="inlineStr">
        <is>
          <t>Open PDF</t>
        </is>
      </c>
    </row>
    <row r="960">
      <c r="A960" t="inlineStr">
        <is>
          <t>GDPR</t>
        </is>
      </c>
      <c r="B960" t="inlineStr">
        <is>
          <t>OJ_L_202401689_EN_TXT (GDPR - Row 9)</t>
        </is>
      </c>
      <c r="C960" t="inlineStr">
        <is>
          <t>3</t>
        </is>
      </c>
      <c r="D960" s="11" t="inlineStr">
        <is>
          <t>System architecture description for AI providers</t>
        </is>
      </c>
      <c r="E960" t="inlineStr">
        <is>
          <t>64–65</t>
        </is>
      </c>
      <c r="F960" t="inlineStr">
        <is>
          <t>Low</t>
        </is>
      </c>
      <c r="G960" t="inlineStr">
        <is>
          <t>High (explicit)</t>
        </is>
      </c>
      <c r="H960" s="11" t="inlineStr"/>
      <c r="I960" s="11" t="inlineStr">
        <is>
          <t>Special Personal Information</t>
        </is>
      </c>
      <c r="J960" t="inlineStr"/>
      <c r="K960"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0" s="11" t="inlineStr">
        <is>
          <t>Mandates detailed system architecture descriptions for AI providers to ensure transparency and understanding of data flows and processing mechanisms.</t>
        </is>
      </c>
      <c r="M960" s="11" t="inlineStr">
        <is>
          <t>• [Must] Provider must describe system architecture where applicable, explaining how software components build or feed into each other and integrate into overall processing</t>
        </is>
      </c>
      <c r="N960" s="11" t="inlineStr">
        <is>
          <t>3. Where applicable, a detailed description of the system architecture explaining how software components build or feed into each other and integrate into the overall processing.</t>
        </is>
      </c>
      <c r="O960" s="12" t="inlineStr">
        <is>
          <t>Open PDF</t>
        </is>
      </c>
    </row>
    <row r="961">
      <c r="A961" t="inlineStr">
        <is>
          <t>GDPR</t>
        </is>
      </c>
      <c r="B961" t="inlineStr">
        <is>
          <t>OJ_L_202401689_EN_TXT (GDPR - Row 9)</t>
        </is>
      </c>
      <c r="C961" t="inlineStr">
        <is>
          <t>3</t>
        </is>
      </c>
      <c r="D961" s="11" t="inlineStr">
        <is>
          <t>System architecture description for AI providers</t>
        </is>
      </c>
      <c r="E961" t="inlineStr">
        <is>
          <t>70</t>
        </is>
      </c>
      <c r="F961" t="inlineStr">
        <is>
          <t>Low</t>
        </is>
      </c>
      <c r="G961" t="inlineStr">
        <is>
          <t>High (explicit)</t>
        </is>
      </c>
      <c r="H961" s="11" t="inlineStr"/>
      <c r="I961" s="11" t="inlineStr">
        <is>
          <t>Special Personal Information</t>
        </is>
      </c>
      <c r="J961" t="inlineStr"/>
      <c r="K961"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1" s="11" t="inlineStr">
        <is>
          <t>Mandates detailed system architecture descriptions for AI providers to ensure transparency and understanding of data flows and processing mechanisms.</t>
        </is>
      </c>
      <c r="M961" s="11" t="inlineStr">
        <is>
          <t>• [Must] Provider must describe system architecture where applicable, explaining how software components build or feed into each other and integrate into overall processing</t>
        </is>
      </c>
      <c r="N961" s="11" t="inlineStr">
        <is>
          <t>3. Where applicable, a detailed description of the system architecture explaining how software components build or feed into each other and integrate into the overall processing.</t>
        </is>
      </c>
      <c r="O961" s="12" t="inlineStr">
        <is>
          <t>Open PDF</t>
        </is>
      </c>
    </row>
    <row r="962">
      <c r="A962" t="inlineStr">
        <is>
          <t>GDPR</t>
        </is>
      </c>
      <c r="B962" t="inlineStr">
        <is>
          <t>OJ_L_202401689_EN_TXT (GDPR - Row 9)</t>
        </is>
      </c>
      <c r="C962" t="inlineStr">
        <is>
          <t>3</t>
        </is>
      </c>
      <c r="D962" s="11" t="inlineStr">
        <is>
          <t>System architecture description for AI providers</t>
        </is>
      </c>
      <c r="E962" t="inlineStr">
        <is>
          <t>71</t>
        </is>
      </c>
      <c r="F962" t="inlineStr">
        <is>
          <t>Low</t>
        </is>
      </c>
      <c r="G962" t="inlineStr">
        <is>
          <t>High (explicit)</t>
        </is>
      </c>
      <c r="H962" s="11" t="inlineStr"/>
      <c r="I962" s="11" t="inlineStr">
        <is>
          <t>Special Personal Information</t>
        </is>
      </c>
      <c r="J962" t="inlineStr"/>
      <c r="K962"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2" s="11" t="inlineStr">
        <is>
          <t>Mandates detailed system architecture descriptions for AI providers to ensure transparency and understanding of data flows and processing mechanisms.</t>
        </is>
      </c>
      <c r="M962" s="11" t="inlineStr">
        <is>
          <t>• [Must] Provider must describe system architecture where applicable, explaining how software components build or feed into each other and integrate into overall processing</t>
        </is>
      </c>
      <c r="N962" s="11" t="inlineStr">
        <is>
          <t>3. Where applicable, a detailed description of the system architecture explaining how software components build or feed into each other and integrate into the overall processing.</t>
        </is>
      </c>
      <c r="O962" s="12" t="inlineStr">
        <is>
          <t>Open PDF</t>
        </is>
      </c>
    </row>
    <row r="963">
      <c r="A963" t="inlineStr">
        <is>
          <t>GDPR</t>
        </is>
      </c>
      <c r="B963" t="inlineStr">
        <is>
          <t>OJ_L_202401689_EN_TXT (GDPR - Row 9)</t>
        </is>
      </c>
      <c r="C963" t="inlineStr">
        <is>
          <t>3</t>
        </is>
      </c>
      <c r="D963" s="11" t="inlineStr">
        <is>
          <t>System architecture description for AI providers</t>
        </is>
      </c>
      <c r="E963" t="inlineStr">
        <is>
          <t>71</t>
        </is>
      </c>
      <c r="F963" t="inlineStr">
        <is>
          <t>Low</t>
        </is>
      </c>
      <c r="G963" t="inlineStr">
        <is>
          <t>High (explicit)</t>
        </is>
      </c>
      <c r="H963" s="11" t="inlineStr"/>
      <c r="I963" s="11" t="inlineStr">
        <is>
          <t>Special Personal Information</t>
        </is>
      </c>
      <c r="J963" t="inlineStr"/>
      <c r="K963"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3" s="11" t="inlineStr">
        <is>
          <t>Mandates detailed system architecture descriptions for AI providers to ensure transparency and understanding of data flows and processing mechanisms.</t>
        </is>
      </c>
      <c r="M963" s="11" t="inlineStr">
        <is>
          <t>• [Must] Provider must describe system architecture where applicable, explaining how software components build or feed into each other and integrate into overall processing</t>
        </is>
      </c>
      <c r="N963" s="11" t="inlineStr">
        <is>
          <t>3. Where applicable, a detailed description of the system architecture explaining how software components build or feed into each other and integrate into the overall processing.</t>
        </is>
      </c>
      <c r="O963" s="12" t="inlineStr">
        <is>
          <t>Open PDF</t>
        </is>
      </c>
    </row>
    <row r="964">
      <c r="A964" t="inlineStr">
        <is>
          <t>GDPR</t>
        </is>
      </c>
      <c r="B964" t="inlineStr">
        <is>
          <t>OJ_L_202401689_EN_TXT (GDPR - Row 9)</t>
        </is>
      </c>
      <c r="C964" t="inlineStr">
        <is>
          <t>3</t>
        </is>
      </c>
      <c r="D964" s="11" t="inlineStr">
        <is>
          <t>System architecture description for AI providers</t>
        </is>
      </c>
      <c r="E964" t="inlineStr">
        <is>
          <t>73</t>
        </is>
      </c>
      <c r="F964" t="inlineStr">
        <is>
          <t>Low</t>
        </is>
      </c>
      <c r="G964" t="inlineStr">
        <is>
          <t>High (explicit)</t>
        </is>
      </c>
      <c r="H964" s="11" t="inlineStr"/>
      <c r="I964" s="11" t="inlineStr">
        <is>
          <t>Special Personal Information</t>
        </is>
      </c>
      <c r="J964" t="inlineStr"/>
      <c r="K964"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4" s="11" t="inlineStr">
        <is>
          <t>Mandates detailed system architecture descriptions for AI providers to ensure transparency and understanding of data flows and processing mechanisms.</t>
        </is>
      </c>
      <c r="M964" s="11" t="inlineStr">
        <is>
          <t>• [Must] Provider must describe system architecture where applicable, explaining how software components build or feed into each other and integrate into overall processing</t>
        </is>
      </c>
      <c r="N964" s="11" t="inlineStr">
        <is>
          <t>3. Where applicable, a detailed description of the system architecture explaining how software components build or feed into each other and integrate into the overall processing.</t>
        </is>
      </c>
      <c r="O964" s="12" t="inlineStr">
        <is>
          <t>Open PDF</t>
        </is>
      </c>
    </row>
    <row r="965">
      <c r="A965" t="inlineStr">
        <is>
          <t>GDPR</t>
        </is>
      </c>
      <c r="B965" t="inlineStr">
        <is>
          <t>OJ_L_202401689_EN_TXT (GDPR - Row 9)</t>
        </is>
      </c>
      <c r="C965" t="inlineStr">
        <is>
          <t>3</t>
        </is>
      </c>
      <c r="D965" s="11" t="inlineStr">
        <is>
          <t>System architecture description for AI providers</t>
        </is>
      </c>
      <c r="E965" t="inlineStr">
        <is>
          <t>74</t>
        </is>
      </c>
      <c r="F965" t="inlineStr">
        <is>
          <t>Low</t>
        </is>
      </c>
      <c r="G965" t="inlineStr">
        <is>
          <t>High (explicit)</t>
        </is>
      </c>
      <c r="H965" s="11" t="inlineStr"/>
      <c r="I965" s="11" t="inlineStr">
        <is>
          <t>Special Personal Information</t>
        </is>
      </c>
      <c r="J965" t="inlineStr"/>
      <c r="K965"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5" s="11" t="inlineStr">
        <is>
          <t>Mandates detailed system architecture descriptions for AI providers to ensure transparency and understanding of data flows and processing mechanisms.</t>
        </is>
      </c>
      <c r="M965" s="11" t="inlineStr">
        <is>
          <t>• [Must] Provider must describe system architecture where applicable, explaining how software components build or feed into each other and integrate into overall processing</t>
        </is>
      </c>
      <c r="N965" s="11" t="inlineStr">
        <is>
          <t>3. Where applicable, a detailed description of the system architecture explaining how software components build or feed into each other and integrate into the overall processing.</t>
        </is>
      </c>
      <c r="O965" s="12" t="inlineStr">
        <is>
          <t>Open PDF</t>
        </is>
      </c>
    </row>
    <row r="966">
      <c r="A966" t="inlineStr">
        <is>
          <t>GDPR</t>
        </is>
      </c>
      <c r="B966" t="inlineStr">
        <is>
          <t>OJ_L_202401689_EN_TXT (GDPR - Row 9)</t>
        </is>
      </c>
      <c r="C966" t="inlineStr">
        <is>
          <t>3</t>
        </is>
      </c>
      <c r="D966" s="11" t="inlineStr">
        <is>
          <t>System architecture description for AI providers</t>
        </is>
      </c>
      <c r="E966" t="inlineStr">
        <is>
          <t>76</t>
        </is>
      </c>
      <c r="F966" t="inlineStr">
        <is>
          <t>Low</t>
        </is>
      </c>
      <c r="G966" t="inlineStr">
        <is>
          <t>High (explicit)</t>
        </is>
      </c>
      <c r="H966" s="11" t="inlineStr"/>
      <c r="I966" s="11" t="inlineStr">
        <is>
          <t>Special Personal Information</t>
        </is>
      </c>
      <c r="J966" t="inlineStr"/>
      <c r="K966"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6" s="11" t="inlineStr">
        <is>
          <t>Mandates detailed system architecture descriptions for AI providers to ensure transparency and understanding of data flows and processing mechanisms.</t>
        </is>
      </c>
      <c r="M966" s="11" t="inlineStr">
        <is>
          <t>• [Must] Provider must describe system architecture where applicable, explaining how software components build or feed into each other and integrate into overall processing</t>
        </is>
      </c>
      <c r="N966" s="11" t="inlineStr">
        <is>
          <t>3. Where applicable, a detailed description of the system architecture explaining how software components build or feed into each other and integrate into the overall processing.</t>
        </is>
      </c>
      <c r="O966" s="12" t="inlineStr">
        <is>
          <t>Open PDF</t>
        </is>
      </c>
    </row>
    <row r="967">
      <c r="A967" t="inlineStr">
        <is>
          <t>GDPR</t>
        </is>
      </c>
      <c r="B967" t="inlineStr">
        <is>
          <t>OJ_L_202401689_EN_TXT (GDPR - Row 9)</t>
        </is>
      </c>
      <c r="C967" t="inlineStr">
        <is>
          <t>3</t>
        </is>
      </c>
      <c r="D967" s="11" t="inlineStr">
        <is>
          <t>System architecture description for AI providers</t>
        </is>
      </c>
      <c r="E967" t="inlineStr">
        <is>
          <t>82</t>
        </is>
      </c>
      <c r="F967" t="inlineStr">
        <is>
          <t>Low</t>
        </is>
      </c>
      <c r="G967" t="inlineStr">
        <is>
          <t>High (explicit)</t>
        </is>
      </c>
      <c r="H967" s="11" t="inlineStr"/>
      <c r="I967" s="11" t="inlineStr">
        <is>
          <t>Special Personal Information</t>
        </is>
      </c>
      <c r="J967" t="inlineStr"/>
      <c r="K967"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7" s="11" t="inlineStr">
        <is>
          <t>Mandates detailed system architecture descriptions for AI providers to ensure transparency and understanding of data flows and processing mechanisms.</t>
        </is>
      </c>
      <c r="M967" s="11" t="inlineStr">
        <is>
          <t>• [Must] Provider must describe system architecture where applicable, explaining how software components build or feed into each other and integrate into overall processing</t>
        </is>
      </c>
      <c r="N967" s="11" t="inlineStr">
        <is>
          <t>3. Where applicable, a detailed description of the system architecture explaining how software components build or feed into each other and integrate into the overall processing.</t>
        </is>
      </c>
      <c r="O967" s="12" t="inlineStr">
        <is>
          <t>Open PDF</t>
        </is>
      </c>
    </row>
    <row r="968">
      <c r="A968" t="inlineStr">
        <is>
          <t>GDPR</t>
        </is>
      </c>
      <c r="B968" t="inlineStr">
        <is>
          <t>OJ_L_202401689_EN_TXT (GDPR - Row 9)</t>
        </is>
      </c>
      <c r="C968" t="inlineStr">
        <is>
          <t>3</t>
        </is>
      </c>
      <c r="D968" s="11" t="inlineStr">
        <is>
          <t>System architecture description for AI providers</t>
        </is>
      </c>
      <c r="E968" t="inlineStr">
        <is>
          <t>86</t>
        </is>
      </c>
      <c r="F968" t="inlineStr">
        <is>
          <t>Low</t>
        </is>
      </c>
      <c r="G968" t="inlineStr">
        <is>
          <t>High (explicit)</t>
        </is>
      </c>
      <c r="H968" s="11" t="inlineStr"/>
      <c r="I968" s="11" t="inlineStr">
        <is>
          <t>Special Personal Information</t>
        </is>
      </c>
      <c r="J968" t="inlineStr"/>
      <c r="K968"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8" s="11" t="inlineStr">
        <is>
          <t>Mandates detailed system architecture descriptions for AI providers to ensure transparency and understanding of data flows and processing mechanisms.</t>
        </is>
      </c>
      <c r="M968" s="11" t="inlineStr">
        <is>
          <t>• [Must] Provider must describe system architecture where applicable, explaining how software components build or feed into each other and integrate into overall processing</t>
        </is>
      </c>
      <c r="N968" s="11" t="inlineStr">
        <is>
          <t>3. Where applicable, a detailed description of the system architecture explaining how software components build or feed into each other and integrate into the overall processing.</t>
        </is>
      </c>
      <c r="O968" s="12" t="inlineStr">
        <is>
          <t>Open PDF</t>
        </is>
      </c>
    </row>
    <row r="969">
      <c r="A969" t="inlineStr">
        <is>
          <t>GDPR</t>
        </is>
      </c>
      <c r="B969" t="inlineStr">
        <is>
          <t>OJ_L_202401689_EN_TXT (GDPR - Row 9)</t>
        </is>
      </c>
      <c r="C969" t="inlineStr">
        <is>
          <t>3</t>
        </is>
      </c>
      <c r="D969" s="11" t="inlineStr">
        <is>
          <t>System architecture description for AI providers</t>
        </is>
      </c>
      <c r="E969" t="inlineStr">
        <is>
          <t>88</t>
        </is>
      </c>
      <c r="F969" t="inlineStr">
        <is>
          <t>Low</t>
        </is>
      </c>
      <c r="G969" t="inlineStr">
        <is>
          <t>High (explicit)</t>
        </is>
      </c>
      <c r="H969" s="11" t="inlineStr"/>
      <c r="I969" s="11" t="inlineStr">
        <is>
          <t>Special Personal Information</t>
        </is>
      </c>
      <c r="J969" t="inlineStr"/>
      <c r="K969"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69" s="11" t="inlineStr">
        <is>
          <t>Mandates detailed system architecture descriptions for AI providers to ensure transparency and understanding of data flows and processing mechanisms.</t>
        </is>
      </c>
      <c r="M969" s="11" t="inlineStr">
        <is>
          <t>• [Must] Provider must describe system architecture where applicable, explaining how software components build or feed into each other and integrate into overall processing</t>
        </is>
      </c>
      <c r="N969" s="11" t="inlineStr">
        <is>
          <t>3. Where applicable, a detailed description of the system architecture explaining how software components build or feed into each other and integrate into the overall processing.</t>
        </is>
      </c>
      <c r="O969" s="12" t="inlineStr">
        <is>
          <t>Open PDF</t>
        </is>
      </c>
    </row>
    <row r="970">
      <c r="A970" t="inlineStr">
        <is>
          <t>GDPR</t>
        </is>
      </c>
      <c r="B970" t="inlineStr">
        <is>
          <t>OJ_L_202401689_EN_TXT (GDPR - Row 9)</t>
        </is>
      </c>
      <c r="C970" t="inlineStr">
        <is>
          <t>3</t>
        </is>
      </c>
      <c r="D970" s="11" t="inlineStr">
        <is>
          <t>System architecture description for AI providers</t>
        </is>
      </c>
      <c r="E970" t="inlineStr">
        <is>
          <t>92</t>
        </is>
      </c>
      <c r="F970" t="inlineStr">
        <is>
          <t>Low</t>
        </is>
      </c>
      <c r="G970" t="inlineStr">
        <is>
          <t>High (explicit)</t>
        </is>
      </c>
      <c r="H970" s="11" t="inlineStr"/>
      <c r="I970" s="11" t="inlineStr">
        <is>
          <t>Special Personal Information</t>
        </is>
      </c>
      <c r="J970" t="inlineStr"/>
      <c r="K970"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0" s="11" t="inlineStr">
        <is>
          <t>Mandates detailed system architecture descriptions for AI providers to ensure transparency and understanding of data flows and processing mechanisms.</t>
        </is>
      </c>
      <c r="M970" s="11" t="inlineStr">
        <is>
          <t>• [Must] Provider must describe system architecture where applicable, explaining how software components build or feed into each other and integrate into overall processing</t>
        </is>
      </c>
      <c r="N970" s="11" t="inlineStr">
        <is>
          <t>3. Where applicable, a detailed description of the system architecture explaining how software components build or feed into each other and integrate into the overall processing.</t>
        </is>
      </c>
      <c r="O970" s="12" t="inlineStr">
        <is>
          <t>Open PDF</t>
        </is>
      </c>
    </row>
    <row r="971">
      <c r="A971" t="inlineStr">
        <is>
          <t>GDPR</t>
        </is>
      </c>
      <c r="B971" t="inlineStr">
        <is>
          <t>OJ_L_202401689_EN_TXT (GDPR - Row 9)</t>
        </is>
      </c>
      <c r="C971" t="inlineStr">
        <is>
          <t>3</t>
        </is>
      </c>
      <c r="D971" s="11" t="inlineStr">
        <is>
          <t>System architecture description for AI providers</t>
        </is>
      </c>
      <c r="E971" t="inlineStr">
        <is>
          <t>98–99</t>
        </is>
      </c>
      <c r="F971" t="inlineStr">
        <is>
          <t>Low</t>
        </is>
      </c>
      <c r="G971" t="inlineStr">
        <is>
          <t>High (explicit)</t>
        </is>
      </c>
      <c r="H971" s="11" t="inlineStr"/>
      <c r="I971" s="11" t="inlineStr">
        <is>
          <t>Special Personal Information</t>
        </is>
      </c>
      <c r="J971" t="inlineStr"/>
      <c r="K971"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1" s="11" t="inlineStr">
        <is>
          <t>Mandates detailed system architecture descriptions for AI providers to ensure transparency and understanding of data flows and processing mechanisms.</t>
        </is>
      </c>
      <c r="M971" s="11" t="inlineStr">
        <is>
          <t>• [Must] Provider must describe system architecture where applicable, explaining how software components build or feed into each other and integrate into overall processing</t>
        </is>
      </c>
      <c r="N971" s="11" t="inlineStr">
        <is>
          <t>3. Where applicable, a detailed description of the system architecture explaining how software components build or feed into each other and integrate into the overall processing.</t>
        </is>
      </c>
      <c r="O971" s="12" t="inlineStr">
        <is>
          <t>Open PDF</t>
        </is>
      </c>
    </row>
    <row r="972">
      <c r="A972" t="inlineStr">
        <is>
          <t>GDPR</t>
        </is>
      </c>
      <c r="B972" t="inlineStr">
        <is>
          <t>OJ_L_202401689_EN_TXT (GDPR - Row 9)</t>
        </is>
      </c>
      <c r="C972" t="inlineStr">
        <is>
          <t>3</t>
        </is>
      </c>
      <c r="D972" s="11" t="inlineStr">
        <is>
          <t>System architecture description for AI providers</t>
        </is>
      </c>
      <c r="E972" t="inlineStr">
        <is>
          <t>100</t>
        </is>
      </c>
      <c r="F972" t="inlineStr">
        <is>
          <t>Low</t>
        </is>
      </c>
      <c r="G972" t="inlineStr">
        <is>
          <t>High (explicit)</t>
        </is>
      </c>
      <c r="H972" s="11" t="inlineStr"/>
      <c r="I972" s="11" t="inlineStr">
        <is>
          <t>Special Personal Information</t>
        </is>
      </c>
      <c r="J972" t="inlineStr"/>
      <c r="K972"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2" s="11" t="inlineStr">
        <is>
          <t>Mandates detailed system architecture descriptions for AI providers to ensure transparency and understanding of data flows and processing mechanisms.</t>
        </is>
      </c>
      <c r="M972" s="11" t="inlineStr">
        <is>
          <t>• [Must] Provider must describe system architecture where applicable, explaining how software components build or feed into each other and integrate into overall processing</t>
        </is>
      </c>
      <c r="N972" s="11" t="inlineStr">
        <is>
          <t>3. Where applicable, a detailed description of the system architecture explaining how software components build or feed into each other and integrate into the overall processing.</t>
        </is>
      </c>
      <c r="O972" s="12" t="inlineStr">
        <is>
          <t>Open PDF</t>
        </is>
      </c>
    </row>
    <row r="973">
      <c r="A973" t="inlineStr">
        <is>
          <t>GDPR</t>
        </is>
      </c>
      <c r="B973" t="inlineStr">
        <is>
          <t>OJ_L_202401689_EN_TXT (GDPR - Row 9)</t>
        </is>
      </c>
      <c r="C973" t="inlineStr">
        <is>
          <t>3</t>
        </is>
      </c>
      <c r="D973" s="11" t="inlineStr">
        <is>
          <t>System architecture description for AI providers</t>
        </is>
      </c>
      <c r="E973" t="inlineStr">
        <is>
          <t>102</t>
        </is>
      </c>
      <c r="F973" t="inlineStr">
        <is>
          <t>Low</t>
        </is>
      </c>
      <c r="G973" t="inlineStr">
        <is>
          <t>High (explicit)</t>
        </is>
      </c>
      <c r="H973" s="11" t="inlineStr"/>
      <c r="I973" s="11" t="inlineStr">
        <is>
          <t>Special Personal Information</t>
        </is>
      </c>
      <c r="J973" t="inlineStr"/>
      <c r="K973"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3" s="11" t="inlineStr">
        <is>
          <t>Mandates detailed system architecture descriptions for AI providers to ensure transparency and understanding of data flows and processing mechanisms.</t>
        </is>
      </c>
      <c r="M973" s="11" t="inlineStr">
        <is>
          <t>• [Must] Provider must describe system architecture where applicable, explaining how software components build or feed into each other and integrate into overall processing</t>
        </is>
      </c>
      <c r="N973" s="11" t="inlineStr">
        <is>
          <t>3. Where applicable, a detailed description of the system architecture explaining how software components build or feed into each other and integrate into the overall processing.</t>
        </is>
      </c>
      <c r="O973" s="12" t="inlineStr">
        <is>
          <t>Open PDF</t>
        </is>
      </c>
    </row>
    <row r="974">
      <c r="A974" t="inlineStr">
        <is>
          <t>GDPR</t>
        </is>
      </c>
      <c r="B974" t="inlineStr">
        <is>
          <t>OJ_L_202401689_EN_TXT (GDPR - Row 9)</t>
        </is>
      </c>
      <c r="C974" t="inlineStr">
        <is>
          <t>3</t>
        </is>
      </c>
      <c r="D974" s="11" t="inlineStr">
        <is>
          <t>System architecture description for AI providers</t>
        </is>
      </c>
      <c r="E974" t="inlineStr">
        <is>
          <t>104</t>
        </is>
      </c>
      <c r="F974" t="inlineStr">
        <is>
          <t>Low</t>
        </is>
      </c>
      <c r="G974" t="inlineStr">
        <is>
          <t>High (explicit)</t>
        </is>
      </c>
      <c r="H974" s="11" t="inlineStr"/>
      <c r="I974" s="11" t="inlineStr">
        <is>
          <t>Special Personal Information</t>
        </is>
      </c>
      <c r="J974" t="inlineStr"/>
      <c r="K974"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4" s="11" t="inlineStr">
        <is>
          <t>Mandates detailed system architecture descriptions for AI providers to ensure transparency and understanding of data flows and processing mechanisms.</t>
        </is>
      </c>
      <c r="M974" s="11" t="inlineStr">
        <is>
          <t>• [Must] Provider must describe system architecture where applicable, explaining how software components build or feed into each other and integrate into overall processing</t>
        </is>
      </c>
      <c r="N974" s="11" t="inlineStr">
        <is>
          <t>3. Where applicable, a detailed description of the system architecture explaining how software components build or feed into each other and integrate into the overall processing.</t>
        </is>
      </c>
      <c r="O974" s="12" t="inlineStr">
        <is>
          <t>Open PDF</t>
        </is>
      </c>
    </row>
    <row r="975">
      <c r="A975" t="inlineStr">
        <is>
          <t>GDPR</t>
        </is>
      </c>
      <c r="B975" t="inlineStr">
        <is>
          <t>OJ_L_202401689_EN_TXT (GDPR - Row 9)</t>
        </is>
      </c>
      <c r="C975" t="inlineStr">
        <is>
          <t>3</t>
        </is>
      </c>
      <c r="D975" s="11" t="inlineStr">
        <is>
          <t>System architecture description for AI providers</t>
        </is>
      </c>
      <c r="E975" t="inlineStr">
        <is>
          <t>105</t>
        </is>
      </c>
      <c r="F975" t="inlineStr">
        <is>
          <t>Low</t>
        </is>
      </c>
      <c r="G975" t="inlineStr">
        <is>
          <t>High (explicit)</t>
        </is>
      </c>
      <c r="H975" s="11" t="inlineStr"/>
      <c r="I975" s="11" t="inlineStr">
        <is>
          <t>Special Personal Information</t>
        </is>
      </c>
      <c r="J975" t="inlineStr"/>
      <c r="K975"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5" s="11" t="inlineStr">
        <is>
          <t>Mandates detailed system architecture descriptions for AI providers to ensure transparency and understanding of data flows and processing mechanisms.</t>
        </is>
      </c>
      <c r="M975" s="11" t="inlineStr">
        <is>
          <t>• [Must] Provider must describe system architecture where applicable, explaining how software components build or feed into each other and integrate into overall processing</t>
        </is>
      </c>
      <c r="N975" s="11" t="inlineStr">
        <is>
          <t>3. Where applicable, a detailed description of the system architecture explaining how software components build or feed into each other and integrate into the overall processing.</t>
        </is>
      </c>
      <c r="O975" s="12" t="inlineStr">
        <is>
          <t>Open PDF</t>
        </is>
      </c>
    </row>
    <row r="976">
      <c r="A976" t="inlineStr">
        <is>
          <t>GDPR</t>
        </is>
      </c>
      <c r="B976" t="inlineStr">
        <is>
          <t>OJ_L_202401689_EN_TXT (GDPR - Row 9)</t>
        </is>
      </c>
      <c r="C976" t="inlineStr">
        <is>
          <t>3</t>
        </is>
      </c>
      <c r="D976" s="11" t="inlineStr">
        <is>
          <t>System architecture description for AI providers</t>
        </is>
      </c>
      <c r="E976" t="inlineStr">
        <is>
          <t>106</t>
        </is>
      </c>
      <c r="F976" t="inlineStr">
        <is>
          <t>Low</t>
        </is>
      </c>
      <c r="G976" t="inlineStr">
        <is>
          <t>High (explicit)</t>
        </is>
      </c>
      <c r="H976" s="11" t="inlineStr"/>
      <c r="I976" s="11" t="inlineStr">
        <is>
          <t>Special Personal Information</t>
        </is>
      </c>
      <c r="J976" t="inlineStr"/>
      <c r="K976"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6" s="11" t="inlineStr">
        <is>
          <t>Mandates detailed system architecture descriptions for AI providers to ensure transparency and understanding of data flows and processing mechanisms.</t>
        </is>
      </c>
      <c r="M976" s="11" t="inlineStr">
        <is>
          <t>• [Must] Provider must describe system architecture where applicable, explaining how software components build or feed into each other and integrate into overall processing</t>
        </is>
      </c>
      <c r="N976" s="11" t="inlineStr">
        <is>
          <t>3. Where applicable, a detailed description of the system architecture explaining how software components build or feed into each other and integrate into the overall processing.</t>
        </is>
      </c>
      <c r="O976" s="12" t="inlineStr">
        <is>
          <t>Open PDF</t>
        </is>
      </c>
    </row>
    <row r="977">
      <c r="A977" t="inlineStr">
        <is>
          <t>GDPR</t>
        </is>
      </c>
      <c r="B977" t="inlineStr">
        <is>
          <t>OJ_L_202401689_EN_TXT (GDPR - Row 9)</t>
        </is>
      </c>
      <c r="C977" t="inlineStr">
        <is>
          <t>3</t>
        </is>
      </c>
      <c r="D977" s="11" t="inlineStr">
        <is>
          <t>System architecture description for AI providers</t>
        </is>
      </c>
      <c r="E977" t="inlineStr">
        <is>
          <t>107</t>
        </is>
      </c>
      <c r="F977" t="inlineStr">
        <is>
          <t>Low</t>
        </is>
      </c>
      <c r="G977" t="inlineStr">
        <is>
          <t>High (explicit)</t>
        </is>
      </c>
      <c r="H977" s="11" t="inlineStr"/>
      <c r="I977" s="11" t="inlineStr">
        <is>
          <t>Special Personal Information</t>
        </is>
      </c>
      <c r="J977" t="inlineStr"/>
      <c r="K977"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7" s="11" t="inlineStr">
        <is>
          <t>Mandates detailed system architecture descriptions for AI providers to ensure transparency and understanding of data flows and processing mechanisms.</t>
        </is>
      </c>
      <c r="M977" s="11" t="inlineStr">
        <is>
          <t>• [Must] Provider must describe system architecture where applicable, explaining how software components build or feed into each other and integrate into overall processing</t>
        </is>
      </c>
      <c r="N977" s="11" t="inlineStr">
        <is>
          <t>3. Where applicable, a detailed description of the system architecture explaining how software components build or feed into each other and integrate into the overall processing.</t>
        </is>
      </c>
      <c r="O977" s="12" t="inlineStr">
        <is>
          <t>Open PDF</t>
        </is>
      </c>
    </row>
    <row r="978">
      <c r="A978" t="inlineStr">
        <is>
          <t>GDPR</t>
        </is>
      </c>
      <c r="B978" t="inlineStr">
        <is>
          <t>OJ_L_202401689_EN_TXT (GDPR - Row 9)</t>
        </is>
      </c>
      <c r="C978" t="inlineStr">
        <is>
          <t>3</t>
        </is>
      </c>
      <c r="D978" s="11" t="inlineStr">
        <is>
          <t>System architecture description for AI providers</t>
        </is>
      </c>
      <c r="E978" t="inlineStr">
        <is>
          <t>134</t>
        </is>
      </c>
      <c r="F978" t="inlineStr">
        <is>
          <t>Low</t>
        </is>
      </c>
      <c r="G978" t="inlineStr">
        <is>
          <t>High (explicit)</t>
        </is>
      </c>
      <c r="H978" s="11" t="inlineStr"/>
      <c r="I978" s="11" t="inlineStr">
        <is>
          <t>Special Personal Information</t>
        </is>
      </c>
      <c r="J978" t="inlineStr"/>
      <c r="K978"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8" s="11" t="inlineStr">
        <is>
          <t>Mandates detailed system architecture descriptions for AI providers to ensure transparency and understanding of data flows and processing mechanisms.</t>
        </is>
      </c>
      <c r="M978" s="11" t="inlineStr">
        <is>
          <t>• [Must] Provider must describe system architecture where applicable, explaining how software components build or feed into each other and integrate into overall processing</t>
        </is>
      </c>
      <c r="N978" s="11" t="inlineStr">
        <is>
          <t>3. Where applicable, a detailed description of the system architecture explaining how software components build or feed into each other and integrate into the overall processing.</t>
        </is>
      </c>
      <c r="O978" s="12" t="inlineStr">
        <is>
          <t>Open PDF</t>
        </is>
      </c>
    </row>
    <row r="979">
      <c r="A979" t="inlineStr">
        <is>
          <t>GDPR</t>
        </is>
      </c>
      <c r="B979" t="inlineStr">
        <is>
          <t>OJ_L_202401689_EN_TXT (GDPR - Row 9)</t>
        </is>
      </c>
      <c r="C979" t="inlineStr">
        <is>
          <t>3</t>
        </is>
      </c>
      <c r="D979" s="11" t="inlineStr">
        <is>
          <t>System architecture description for AI providers</t>
        </is>
      </c>
      <c r="E979" t="inlineStr">
        <is>
          <t>142–143</t>
        </is>
      </c>
      <c r="F979" t="inlineStr">
        <is>
          <t>Low</t>
        </is>
      </c>
      <c r="G979" t="inlineStr">
        <is>
          <t>High (explicit)</t>
        </is>
      </c>
      <c r="H979" s="11" t="inlineStr"/>
      <c r="I979" s="11" t="inlineStr">
        <is>
          <t>Special Personal Information</t>
        </is>
      </c>
      <c r="J979" t="inlineStr"/>
      <c r="K979" s="11" t="inlineStr">
        <is>
          <t>Requires providers to describe system architecture where applicable, explaining how software components build or feed into each other and integrate into overall processing. This information is relevant for transparency and technical documentation purposes.</t>
        </is>
      </c>
      <c r="L979" s="11" t="inlineStr">
        <is>
          <t>Mandates detailed system architecture descriptions for AI providers to ensure transparency and understanding of data flows and processing mechanisms.</t>
        </is>
      </c>
      <c r="M979" s="11" t="inlineStr">
        <is>
          <t>• [Must] Provider must describe system architecture where applicable, explaining how software components build or feed into each other and integrate into overall processing</t>
        </is>
      </c>
      <c r="N979" s="11" t="inlineStr">
        <is>
          <t>3. Where applicable, a detailed description of the system architecture explaining how software components build or feed into each other and integrate into the overall processing.</t>
        </is>
      </c>
      <c r="O979" s="12" t="inlineStr">
        <is>
          <t>Open PDF</t>
        </is>
      </c>
    </row>
    <row r="980">
      <c r="A980" t="inlineStr">
        <is>
          <t>GDPR</t>
        </is>
      </c>
      <c r="B980" t="inlineStr">
        <is>
          <t>OJ_L_202401689_EN_TXT (GDPR - Row 9)</t>
        </is>
      </c>
      <c r="C980" t="inlineStr">
        <is>
          <t>4</t>
        </is>
      </c>
      <c r="D980" s="11" t="inlineStr">
        <is>
          <t>Technical documentation control for AI systems</t>
        </is>
      </c>
      <c r="E980" t="inlineStr">
        <is>
          <t>53</t>
        </is>
      </c>
      <c r="F980" t="inlineStr">
        <is>
          <t>Medium</t>
        </is>
      </c>
      <c r="G980" t="inlineStr">
        <is>
          <t>High (explicit)</t>
        </is>
      </c>
      <c r="H980" s="11" t="inlineStr"/>
      <c r="I980" s="11" t="inlineStr">
        <is>
          <t>Special Personal Information</t>
        </is>
      </c>
      <c r="J980" t="inlineStr">
        <is>
          <t>Notified body</t>
        </is>
      </c>
      <c r="K980"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0" s="11" t="inlineStr">
        <is>
          <t>Requires detailed technical documentation for AI systems, including access to training data and models with safeguards. This impacts DTIA by mandating specific documentation and assessment processes for high-risk AI systems.</t>
        </is>
      </c>
      <c r="M980"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0"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0" s="12" t="inlineStr">
        <is>
          <t>Open PDF</t>
        </is>
      </c>
    </row>
    <row r="981">
      <c r="A981" t="inlineStr">
        <is>
          <t>GDPR</t>
        </is>
      </c>
      <c r="B981" t="inlineStr">
        <is>
          <t>OJ_L_202401689_EN_TXT (GDPR - Row 9)</t>
        </is>
      </c>
      <c r="C981" t="inlineStr">
        <is>
          <t>4</t>
        </is>
      </c>
      <c r="D981" s="11" t="inlineStr">
        <is>
          <t>Technical documentation control for AI systems</t>
        </is>
      </c>
      <c r="E981" t="inlineStr">
        <is>
          <t>63</t>
        </is>
      </c>
      <c r="F981" t="inlineStr">
        <is>
          <t>Medium</t>
        </is>
      </c>
      <c r="G981" t="inlineStr">
        <is>
          <t>High (explicit)</t>
        </is>
      </c>
      <c r="H981" s="11" t="inlineStr"/>
      <c r="I981" s="11" t="inlineStr">
        <is>
          <t>Special Personal Information</t>
        </is>
      </c>
      <c r="J981" t="inlineStr">
        <is>
          <t>Notified body</t>
        </is>
      </c>
      <c r="K981"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1" s="11" t="inlineStr">
        <is>
          <t>Requires detailed technical documentation for AI systems, including access to training data and models with safeguards. This impacts DTIA by mandating specific documentation and assessment processes for high-risk AI systems.</t>
        </is>
      </c>
      <c r="M981"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1"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1" s="12" t="inlineStr">
        <is>
          <t>Open PDF</t>
        </is>
      </c>
    </row>
    <row r="982">
      <c r="A982" t="inlineStr">
        <is>
          <t>GDPR</t>
        </is>
      </c>
      <c r="B982" t="inlineStr">
        <is>
          <t>OJ_L_202401689_EN_TXT (GDPR - Row 9)</t>
        </is>
      </c>
      <c r="C982" t="inlineStr">
        <is>
          <t>4</t>
        </is>
      </c>
      <c r="D982" s="11" t="inlineStr">
        <is>
          <t>Technical documentation control for AI systems</t>
        </is>
      </c>
      <c r="E982" t="inlineStr">
        <is>
          <t>67</t>
        </is>
      </c>
      <c r="F982" t="inlineStr">
        <is>
          <t>Medium</t>
        </is>
      </c>
      <c r="G982" t="inlineStr">
        <is>
          <t>High (explicit)</t>
        </is>
      </c>
      <c r="H982" s="11" t="inlineStr"/>
      <c r="I982" s="11" t="inlineStr">
        <is>
          <t>Special Personal Information</t>
        </is>
      </c>
      <c r="J982" t="inlineStr">
        <is>
          <t>Notified body</t>
        </is>
      </c>
      <c r="K982"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2" s="11" t="inlineStr">
        <is>
          <t>Requires detailed technical documentation for AI systems, including access to training data and models with safeguards. This impacts DTIA by mandating specific documentation and assessment processes for high-risk AI systems.</t>
        </is>
      </c>
      <c r="M982"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2"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2" s="12" t="inlineStr">
        <is>
          <t>Open PDF</t>
        </is>
      </c>
    </row>
    <row r="983">
      <c r="A983" t="inlineStr">
        <is>
          <t>GDPR</t>
        </is>
      </c>
      <c r="B983" t="inlineStr">
        <is>
          <t>OJ_L_202401689_EN_TXT (GDPR - Row 9)</t>
        </is>
      </c>
      <c r="C983" t="inlineStr">
        <is>
          <t>4</t>
        </is>
      </c>
      <c r="D983" s="11" t="inlineStr">
        <is>
          <t>Technical documentation control for AI systems</t>
        </is>
      </c>
      <c r="E983" t="inlineStr">
        <is>
          <t>70</t>
        </is>
      </c>
      <c r="F983" t="inlineStr">
        <is>
          <t>Medium</t>
        </is>
      </c>
      <c r="G983" t="inlineStr">
        <is>
          <t>High (explicit)</t>
        </is>
      </c>
      <c r="H983" s="11" t="inlineStr"/>
      <c r="I983" s="11" t="inlineStr">
        <is>
          <t>Special Personal Information</t>
        </is>
      </c>
      <c r="J983" t="inlineStr">
        <is>
          <t>Notified body</t>
        </is>
      </c>
      <c r="K983"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3" s="11" t="inlineStr">
        <is>
          <t>Requires detailed technical documentation for AI systems, including access to training data and models with safeguards. This impacts DTIA by mandating specific documentation and assessment processes for high-risk AI systems.</t>
        </is>
      </c>
      <c r="M983"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3"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3" s="12" t="inlineStr">
        <is>
          <t>Open PDF</t>
        </is>
      </c>
    </row>
    <row r="984">
      <c r="A984" t="inlineStr">
        <is>
          <t>GDPR</t>
        </is>
      </c>
      <c r="B984" t="inlineStr">
        <is>
          <t>OJ_L_202401689_EN_TXT (GDPR - Row 9)</t>
        </is>
      </c>
      <c r="C984" t="inlineStr">
        <is>
          <t>4</t>
        </is>
      </c>
      <c r="D984" s="11" t="inlineStr">
        <is>
          <t>Technical documentation control for AI systems</t>
        </is>
      </c>
      <c r="E984" t="inlineStr">
        <is>
          <t>70</t>
        </is>
      </c>
      <c r="F984" t="inlineStr">
        <is>
          <t>Medium</t>
        </is>
      </c>
      <c r="G984" t="inlineStr">
        <is>
          <t>High (explicit)</t>
        </is>
      </c>
      <c r="H984" s="11" t="inlineStr"/>
      <c r="I984" s="11" t="inlineStr">
        <is>
          <t>Special Personal Information</t>
        </is>
      </c>
      <c r="J984" t="inlineStr">
        <is>
          <t>Notified body</t>
        </is>
      </c>
      <c r="K984"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4" s="11" t="inlineStr">
        <is>
          <t>Requires detailed technical documentation for AI systems, including access to training data and models with safeguards. This impacts DTIA by mandating specific documentation and assessment processes for high-risk AI systems.</t>
        </is>
      </c>
      <c r="M984"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4"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4" s="12" t="inlineStr">
        <is>
          <t>Open PDF</t>
        </is>
      </c>
    </row>
    <row r="985">
      <c r="A985" t="inlineStr">
        <is>
          <t>GDPR</t>
        </is>
      </c>
      <c r="B985" t="inlineStr">
        <is>
          <t>OJ_L_202401689_EN_TXT (GDPR - Row 9)</t>
        </is>
      </c>
      <c r="C985" t="inlineStr">
        <is>
          <t>4</t>
        </is>
      </c>
      <c r="D985" s="11" t="inlineStr">
        <is>
          <t>Technical documentation control for AI systems</t>
        </is>
      </c>
      <c r="E985" t="inlineStr">
        <is>
          <t>71</t>
        </is>
      </c>
      <c r="F985" t="inlineStr">
        <is>
          <t>Medium</t>
        </is>
      </c>
      <c r="G985" t="inlineStr">
        <is>
          <t>High (explicit)</t>
        </is>
      </c>
      <c r="H985" s="11" t="inlineStr"/>
      <c r="I985" s="11" t="inlineStr">
        <is>
          <t>Special Personal Information</t>
        </is>
      </c>
      <c r="J985" t="inlineStr">
        <is>
          <t>Notified body</t>
        </is>
      </c>
      <c r="K985"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5" s="11" t="inlineStr">
        <is>
          <t>Requires detailed technical documentation for AI systems, including access to training data and models with safeguards. This impacts DTIA by mandating specific documentation and assessment processes for high-risk AI systems.</t>
        </is>
      </c>
      <c r="M985"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5"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5" s="12" t="inlineStr">
        <is>
          <t>Open PDF</t>
        </is>
      </c>
    </row>
    <row r="986">
      <c r="A986" t="inlineStr">
        <is>
          <t>GDPR</t>
        </is>
      </c>
      <c r="B986" t="inlineStr">
        <is>
          <t>OJ_L_202401689_EN_TXT (GDPR - Row 9)</t>
        </is>
      </c>
      <c r="C986" t="inlineStr">
        <is>
          <t>4</t>
        </is>
      </c>
      <c r="D986" s="11" t="inlineStr">
        <is>
          <t>Technical documentation control for AI systems</t>
        </is>
      </c>
      <c r="E986" t="inlineStr">
        <is>
          <t>71</t>
        </is>
      </c>
      <c r="F986" t="inlineStr">
        <is>
          <t>Medium</t>
        </is>
      </c>
      <c r="G986" t="inlineStr">
        <is>
          <t>High (explicit)</t>
        </is>
      </c>
      <c r="H986" s="11" t="inlineStr"/>
      <c r="I986" s="11" t="inlineStr">
        <is>
          <t>Special Personal Information</t>
        </is>
      </c>
      <c r="J986" t="inlineStr">
        <is>
          <t>Notified body</t>
        </is>
      </c>
      <c r="K986"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6" s="11" t="inlineStr">
        <is>
          <t>Requires detailed technical documentation for AI systems, including access to training data and models with safeguards. This impacts DTIA by mandating specific documentation and assessment processes for high-risk AI systems.</t>
        </is>
      </c>
      <c r="M986"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6"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6" s="12" t="inlineStr">
        <is>
          <t>Open PDF</t>
        </is>
      </c>
    </row>
    <row r="987">
      <c r="A987" t="inlineStr">
        <is>
          <t>GDPR</t>
        </is>
      </c>
      <c r="B987" t="inlineStr">
        <is>
          <t>OJ_L_202401689_EN_TXT (GDPR - Row 9)</t>
        </is>
      </c>
      <c r="C987" t="inlineStr">
        <is>
          <t>4</t>
        </is>
      </c>
      <c r="D987" s="11" t="inlineStr">
        <is>
          <t>Technical documentation control for AI systems</t>
        </is>
      </c>
      <c r="E987" t="inlineStr">
        <is>
          <t>73</t>
        </is>
      </c>
      <c r="F987" t="inlineStr">
        <is>
          <t>Medium</t>
        </is>
      </c>
      <c r="G987" t="inlineStr">
        <is>
          <t>High (explicit)</t>
        </is>
      </c>
      <c r="H987" s="11" t="inlineStr"/>
      <c r="I987" s="11" t="inlineStr">
        <is>
          <t>Special Personal Information</t>
        </is>
      </c>
      <c r="J987" t="inlineStr">
        <is>
          <t>Notified body</t>
        </is>
      </c>
      <c r="K987"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7" s="11" t="inlineStr">
        <is>
          <t>Requires detailed technical documentation for AI systems, including access to training data and models with safeguards. This impacts DTIA by mandating specific documentation and assessment processes for high-risk AI systems.</t>
        </is>
      </c>
      <c r="M987"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7"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7" s="12" t="inlineStr">
        <is>
          <t>Open PDF</t>
        </is>
      </c>
    </row>
    <row r="988">
      <c r="A988" t="inlineStr">
        <is>
          <t>GDPR</t>
        </is>
      </c>
      <c r="B988" t="inlineStr">
        <is>
          <t>OJ_L_202401689_EN_TXT (GDPR - Row 9)</t>
        </is>
      </c>
      <c r="C988" t="inlineStr">
        <is>
          <t>4</t>
        </is>
      </c>
      <c r="D988" s="11" t="inlineStr">
        <is>
          <t>Technical documentation control for AI systems</t>
        </is>
      </c>
      <c r="E988" t="inlineStr">
        <is>
          <t>74</t>
        </is>
      </c>
      <c r="F988" t="inlineStr">
        <is>
          <t>Medium</t>
        </is>
      </c>
      <c r="G988" t="inlineStr">
        <is>
          <t>High (explicit)</t>
        </is>
      </c>
      <c r="H988" s="11" t="inlineStr"/>
      <c r="I988" s="11" t="inlineStr">
        <is>
          <t>Special Personal Information</t>
        </is>
      </c>
      <c r="J988" t="inlineStr">
        <is>
          <t>Notified body</t>
        </is>
      </c>
      <c r="K988"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8" s="11" t="inlineStr">
        <is>
          <t>Requires detailed technical documentation for AI systems, including access to training data and models with safeguards. This impacts DTIA by mandating specific documentation and assessment processes for high-risk AI systems.</t>
        </is>
      </c>
      <c r="M988"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8"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8" s="12" t="inlineStr">
        <is>
          <t>Open PDF</t>
        </is>
      </c>
    </row>
    <row r="989">
      <c r="A989" t="inlineStr">
        <is>
          <t>GDPR</t>
        </is>
      </c>
      <c r="B989" t="inlineStr">
        <is>
          <t>OJ_L_202401689_EN_TXT (GDPR - Row 9)</t>
        </is>
      </c>
      <c r="C989" t="inlineStr">
        <is>
          <t>4</t>
        </is>
      </c>
      <c r="D989" s="11" t="inlineStr">
        <is>
          <t>Technical documentation control for AI systems</t>
        </is>
      </c>
      <c r="E989" t="inlineStr">
        <is>
          <t>75</t>
        </is>
      </c>
      <c r="F989" t="inlineStr">
        <is>
          <t>Medium</t>
        </is>
      </c>
      <c r="G989" t="inlineStr">
        <is>
          <t>High (explicit)</t>
        </is>
      </c>
      <c r="H989" s="11" t="inlineStr"/>
      <c r="I989" s="11" t="inlineStr">
        <is>
          <t>Special Personal Information</t>
        </is>
      </c>
      <c r="J989" t="inlineStr">
        <is>
          <t>Notified body</t>
        </is>
      </c>
      <c r="K989"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89" s="11" t="inlineStr">
        <is>
          <t>Requires detailed technical documentation for AI systems, including access to training data and models with safeguards. This impacts DTIA by mandating specific documentation and assessment processes for high-risk AI systems.</t>
        </is>
      </c>
      <c r="M989"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89"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89" s="12" t="inlineStr">
        <is>
          <t>Open PDF</t>
        </is>
      </c>
    </row>
    <row r="990">
      <c r="A990" t="inlineStr">
        <is>
          <t>GDPR</t>
        </is>
      </c>
      <c r="B990" t="inlineStr">
        <is>
          <t>OJ_L_202401689_EN_TXT (GDPR - Row 9)</t>
        </is>
      </c>
      <c r="C990" t="inlineStr">
        <is>
          <t>4</t>
        </is>
      </c>
      <c r="D990" s="11" t="inlineStr">
        <is>
          <t>Technical documentation control for AI systems</t>
        </is>
      </c>
      <c r="E990" t="inlineStr">
        <is>
          <t>80</t>
        </is>
      </c>
      <c r="F990" t="inlineStr">
        <is>
          <t>Medium</t>
        </is>
      </c>
      <c r="G990" t="inlineStr">
        <is>
          <t>High (explicit)</t>
        </is>
      </c>
      <c r="H990" s="11" t="inlineStr"/>
      <c r="I990" s="11" t="inlineStr">
        <is>
          <t>Special Personal Information</t>
        </is>
      </c>
      <c r="J990" t="inlineStr">
        <is>
          <t>Notified body</t>
        </is>
      </c>
      <c r="K990"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0" s="11" t="inlineStr">
        <is>
          <t>Requires detailed technical documentation for AI systems, including access to training data and models with safeguards. This impacts DTIA by mandating specific documentation and assessment processes for high-risk AI systems.</t>
        </is>
      </c>
      <c r="M990"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0"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0" s="12" t="inlineStr">
        <is>
          <t>Open PDF</t>
        </is>
      </c>
    </row>
    <row r="991">
      <c r="A991" t="inlineStr">
        <is>
          <t>GDPR</t>
        </is>
      </c>
      <c r="B991" t="inlineStr">
        <is>
          <t>OJ_L_202401689_EN_TXT (GDPR - Row 9)</t>
        </is>
      </c>
      <c r="C991" t="inlineStr">
        <is>
          <t>4</t>
        </is>
      </c>
      <c r="D991" s="11" t="inlineStr">
        <is>
          <t>Technical documentation control for AI systems</t>
        </is>
      </c>
      <c r="E991" t="inlineStr">
        <is>
          <t>82–83</t>
        </is>
      </c>
      <c r="F991" t="inlineStr">
        <is>
          <t>Medium</t>
        </is>
      </c>
      <c r="G991" t="inlineStr">
        <is>
          <t>High (explicit)</t>
        </is>
      </c>
      <c r="H991" s="11" t="inlineStr"/>
      <c r="I991" s="11" t="inlineStr">
        <is>
          <t>Special Personal Information</t>
        </is>
      </c>
      <c r="J991" t="inlineStr">
        <is>
          <t>Notified body</t>
        </is>
      </c>
      <c r="K991"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1" s="11" t="inlineStr">
        <is>
          <t>Requires detailed technical documentation for AI systems, including access to training data and models with safeguards. This impacts DTIA by mandating specific documentation and assessment processes for high-risk AI systems.</t>
        </is>
      </c>
      <c r="M991"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1"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1" s="12" t="inlineStr">
        <is>
          <t>Open PDF</t>
        </is>
      </c>
    </row>
    <row r="992">
      <c r="A992" t="inlineStr">
        <is>
          <t>GDPR</t>
        </is>
      </c>
      <c r="B992" t="inlineStr">
        <is>
          <t>OJ_L_202401689_EN_TXT (GDPR - Row 9)</t>
        </is>
      </c>
      <c r="C992" t="inlineStr">
        <is>
          <t>4</t>
        </is>
      </c>
      <c r="D992" s="11" t="inlineStr">
        <is>
          <t>Technical documentation control for AI systems</t>
        </is>
      </c>
      <c r="E992" t="inlineStr">
        <is>
          <t>91</t>
        </is>
      </c>
      <c r="F992" t="inlineStr">
        <is>
          <t>Medium</t>
        </is>
      </c>
      <c r="G992" t="inlineStr">
        <is>
          <t>High (explicit)</t>
        </is>
      </c>
      <c r="H992" s="11" t="inlineStr"/>
      <c r="I992" s="11" t="inlineStr">
        <is>
          <t>Special Personal Information</t>
        </is>
      </c>
      <c r="J992" t="inlineStr">
        <is>
          <t>Notified body</t>
        </is>
      </c>
      <c r="K992"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2" s="11" t="inlineStr">
        <is>
          <t>Requires detailed technical documentation for AI systems, including access to training data and models with safeguards. This impacts DTIA by mandating specific documentation and assessment processes for high-risk AI systems.</t>
        </is>
      </c>
      <c r="M992"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2"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2" s="12" t="inlineStr">
        <is>
          <t>Open PDF</t>
        </is>
      </c>
    </row>
    <row r="993">
      <c r="A993" t="inlineStr">
        <is>
          <t>GDPR</t>
        </is>
      </c>
      <c r="B993" t="inlineStr">
        <is>
          <t>OJ_L_202401689_EN_TXT (GDPR - Row 9)</t>
        </is>
      </c>
      <c r="C993" t="inlineStr">
        <is>
          <t>4</t>
        </is>
      </c>
      <c r="D993" s="11" t="inlineStr">
        <is>
          <t>Technical documentation control for AI systems</t>
        </is>
      </c>
      <c r="E993" t="inlineStr">
        <is>
          <t>92–93</t>
        </is>
      </c>
      <c r="F993" t="inlineStr">
        <is>
          <t>Medium</t>
        </is>
      </c>
      <c r="G993" t="inlineStr">
        <is>
          <t>High (explicit)</t>
        </is>
      </c>
      <c r="H993" s="11" t="inlineStr"/>
      <c r="I993" s="11" t="inlineStr">
        <is>
          <t>Special Personal Information</t>
        </is>
      </c>
      <c r="J993" t="inlineStr">
        <is>
          <t>Notified body</t>
        </is>
      </c>
      <c r="K993"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3" s="11" t="inlineStr">
        <is>
          <t>Requires detailed technical documentation for AI systems, including access to training data and models with safeguards. This impacts DTIA by mandating specific documentation and assessment processes for high-risk AI systems.</t>
        </is>
      </c>
      <c r="M993"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3"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3" s="12" t="inlineStr">
        <is>
          <t>Open PDF</t>
        </is>
      </c>
    </row>
    <row r="994">
      <c r="A994" t="inlineStr">
        <is>
          <t>GDPR</t>
        </is>
      </c>
      <c r="B994" t="inlineStr">
        <is>
          <t>OJ_L_202401689_EN_TXT (GDPR - Row 9)</t>
        </is>
      </c>
      <c r="C994" t="inlineStr">
        <is>
          <t>4</t>
        </is>
      </c>
      <c r="D994" s="11" t="inlineStr">
        <is>
          <t>Technical documentation control for AI systems</t>
        </is>
      </c>
      <c r="E994" t="inlineStr">
        <is>
          <t>95–96</t>
        </is>
      </c>
      <c r="F994" t="inlineStr">
        <is>
          <t>Medium</t>
        </is>
      </c>
      <c r="G994" t="inlineStr">
        <is>
          <t>High (explicit)</t>
        </is>
      </c>
      <c r="H994" s="11" t="inlineStr"/>
      <c r="I994" s="11" t="inlineStr">
        <is>
          <t>Special Personal Information</t>
        </is>
      </c>
      <c r="J994" t="inlineStr">
        <is>
          <t>Notified body</t>
        </is>
      </c>
      <c r="K994"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4" s="11" t="inlineStr">
        <is>
          <t>Requires detailed technical documentation for AI systems, including access to training data and models with safeguards. This impacts DTIA by mandating specific documentation and assessment processes for high-risk AI systems.</t>
        </is>
      </c>
      <c r="M994"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4"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4" s="12" t="inlineStr">
        <is>
          <t>Open PDF</t>
        </is>
      </c>
    </row>
    <row r="995">
      <c r="A995" t="inlineStr">
        <is>
          <t>GDPR</t>
        </is>
      </c>
      <c r="B995" t="inlineStr">
        <is>
          <t>OJ_L_202401689_EN_TXT (GDPR - Row 9)</t>
        </is>
      </c>
      <c r="C995" t="inlineStr">
        <is>
          <t>4</t>
        </is>
      </c>
      <c r="D995" s="11" t="inlineStr">
        <is>
          <t>Technical documentation control for AI systems</t>
        </is>
      </c>
      <c r="E995" t="inlineStr">
        <is>
          <t>99</t>
        </is>
      </c>
      <c r="F995" t="inlineStr">
        <is>
          <t>Medium</t>
        </is>
      </c>
      <c r="G995" t="inlineStr">
        <is>
          <t>High (explicit)</t>
        </is>
      </c>
      <c r="H995" s="11" t="inlineStr"/>
      <c r="I995" s="11" t="inlineStr">
        <is>
          <t>Special Personal Information</t>
        </is>
      </c>
      <c r="J995" t="inlineStr">
        <is>
          <t>Notified body</t>
        </is>
      </c>
      <c r="K995"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5" s="11" t="inlineStr">
        <is>
          <t>Requires detailed technical documentation for AI systems, including access to training data and models with safeguards. This impacts DTIA by mandating specific documentation and assessment processes for high-risk AI systems.</t>
        </is>
      </c>
      <c r="M995"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5"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5" s="12" t="inlineStr">
        <is>
          <t>Open PDF</t>
        </is>
      </c>
    </row>
    <row r="996">
      <c r="A996" t="inlineStr">
        <is>
          <t>GDPR</t>
        </is>
      </c>
      <c r="B996" t="inlineStr">
        <is>
          <t>OJ_L_202401689_EN_TXT (GDPR - Row 9)</t>
        </is>
      </c>
      <c r="C996" t="inlineStr">
        <is>
          <t>4</t>
        </is>
      </c>
      <c r="D996" s="11" t="inlineStr">
        <is>
          <t>Technical documentation control for AI systems</t>
        </is>
      </c>
      <c r="E996" t="inlineStr">
        <is>
          <t>100</t>
        </is>
      </c>
      <c r="F996" t="inlineStr">
        <is>
          <t>Medium</t>
        </is>
      </c>
      <c r="G996" t="inlineStr">
        <is>
          <t>High (explicit)</t>
        </is>
      </c>
      <c r="H996" s="11" t="inlineStr"/>
      <c r="I996" s="11" t="inlineStr">
        <is>
          <t>Special Personal Information</t>
        </is>
      </c>
      <c r="J996" t="inlineStr">
        <is>
          <t>Notified body</t>
        </is>
      </c>
      <c r="K996"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6" s="11" t="inlineStr">
        <is>
          <t>Requires detailed technical documentation for AI systems, including access to training data and models with safeguards. This impacts DTIA by mandating specific documentation and assessment processes for high-risk AI systems.</t>
        </is>
      </c>
      <c r="M996"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6"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6" s="12" t="inlineStr">
        <is>
          <t>Open PDF</t>
        </is>
      </c>
    </row>
    <row r="997">
      <c r="A997" t="inlineStr">
        <is>
          <t>GDPR</t>
        </is>
      </c>
      <c r="B997" t="inlineStr">
        <is>
          <t>OJ_L_202401689_EN_TXT (GDPR - Row 9)</t>
        </is>
      </c>
      <c r="C997" t="inlineStr">
        <is>
          <t>4</t>
        </is>
      </c>
      <c r="D997" s="11" t="inlineStr">
        <is>
          <t>Technical documentation control for AI systems</t>
        </is>
      </c>
      <c r="E997" t="inlineStr">
        <is>
          <t>101</t>
        </is>
      </c>
      <c r="F997" t="inlineStr">
        <is>
          <t>Medium</t>
        </is>
      </c>
      <c r="G997" t="inlineStr">
        <is>
          <t>High (explicit)</t>
        </is>
      </c>
      <c r="H997" s="11" t="inlineStr"/>
      <c r="I997" s="11" t="inlineStr">
        <is>
          <t>Special Personal Information</t>
        </is>
      </c>
      <c r="J997" t="inlineStr">
        <is>
          <t>Notified body</t>
        </is>
      </c>
      <c r="K997"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7" s="11" t="inlineStr">
        <is>
          <t>Requires detailed technical documentation for AI systems, including access to training data and models with safeguards. This impacts DTIA by mandating specific documentation and assessment processes for high-risk AI systems.</t>
        </is>
      </c>
      <c r="M997"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7"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7" s="12" t="inlineStr">
        <is>
          <t>Open PDF</t>
        </is>
      </c>
    </row>
    <row r="998">
      <c r="A998" t="inlineStr">
        <is>
          <t>GDPR</t>
        </is>
      </c>
      <c r="B998" t="inlineStr">
        <is>
          <t>OJ_L_202401689_EN_TXT (GDPR - Row 9)</t>
        </is>
      </c>
      <c r="C998" t="inlineStr">
        <is>
          <t>4</t>
        </is>
      </c>
      <c r="D998" s="11" t="inlineStr">
        <is>
          <t>Technical documentation control for AI systems</t>
        </is>
      </c>
      <c r="E998" t="inlineStr">
        <is>
          <t>102</t>
        </is>
      </c>
      <c r="F998" t="inlineStr">
        <is>
          <t>Medium</t>
        </is>
      </c>
      <c r="G998" t="inlineStr">
        <is>
          <t>High (explicit)</t>
        </is>
      </c>
      <c r="H998" s="11" t="inlineStr"/>
      <c r="I998" s="11" t="inlineStr">
        <is>
          <t>Special Personal Information</t>
        </is>
      </c>
      <c r="J998" t="inlineStr">
        <is>
          <t>Notified body</t>
        </is>
      </c>
      <c r="K998"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8" s="11" t="inlineStr">
        <is>
          <t>Requires detailed technical documentation for AI systems, including access to training data and models with safeguards. This impacts DTIA by mandating specific documentation and assessment processes for high-risk AI systems.</t>
        </is>
      </c>
      <c r="M998"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8"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8" s="12" t="inlineStr">
        <is>
          <t>Open PDF</t>
        </is>
      </c>
    </row>
    <row r="999">
      <c r="A999" t="inlineStr">
        <is>
          <t>GDPR</t>
        </is>
      </c>
      <c r="B999" t="inlineStr">
        <is>
          <t>OJ_L_202401689_EN_TXT (GDPR - Row 9)</t>
        </is>
      </c>
      <c r="C999" t="inlineStr">
        <is>
          <t>4</t>
        </is>
      </c>
      <c r="D999" s="11" t="inlineStr">
        <is>
          <t>Technical documentation control for AI systems</t>
        </is>
      </c>
      <c r="E999" t="inlineStr">
        <is>
          <t>105</t>
        </is>
      </c>
      <c r="F999" t="inlineStr">
        <is>
          <t>Medium</t>
        </is>
      </c>
      <c r="G999" t="inlineStr">
        <is>
          <t>High (explicit)</t>
        </is>
      </c>
      <c r="H999" s="11" t="inlineStr"/>
      <c r="I999" s="11" t="inlineStr">
        <is>
          <t>Special Personal Information</t>
        </is>
      </c>
      <c r="J999" t="inlineStr">
        <is>
          <t>Notified body</t>
        </is>
      </c>
      <c r="K999"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999" s="11" t="inlineStr">
        <is>
          <t>Requires detailed technical documentation for AI systems, including access to training data and models with safeguards. This impacts DTIA by mandating specific documentation and assessment processes for high-risk AI systems.</t>
        </is>
      </c>
      <c r="M999"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999"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999" s="12" t="inlineStr">
        <is>
          <t>Open PDF</t>
        </is>
      </c>
    </row>
    <row r="1000">
      <c r="A1000" t="inlineStr">
        <is>
          <t>GDPR</t>
        </is>
      </c>
      <c r="B1000" t="inlineStr">
        <is>
          <t>OJ_L_202401689_EN_TXT (GDPR - Row 9)</t>
        </is>
      </c>
      <c r="C1000" t="inlineStr">
        <is>
          <t>4</t>
        </is>
      </c>
      <c r="D1000" s="11" t="inlineStr">
        <is>
          <t>Technical documentation control for AI systems</t>
        </is>
      </c>
      <c r="E1000" t="inlineStr">
        <is>
          <t>106</t>
        </is>
      </c>
      <c r="F1000" t="inlineStr">
        <is>
          <t>Medium</t>
        </is>
      </c>
      <c r="G1000" t="inlineStr">
        <is>
          <t>High (explicit)</t>
        </is>
      </c>
      <c r="H1000" s="11" t="inlineStr"/>
      <c r="I1000" s="11" t="inlineStr">
        <is>
          <t>Special Personal Information</t>
        </is>
      </c>
      <c r="J1000" t="inlineStr">
        <is>
          <t>Notified body</t>
        </is>
      </c>
      <c r="K1000"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1000" s="11" t="inlineStr">
        <is>
          <t>Requires detailed technical documentation for AI systems, including access to training data and models with safeguards. This impacts DTIA by mandating specific documentation and assessment processes for high-risk AI systems.</t>
        </is>
      </c>
      <c r="M1000"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1000"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1000" s="12" t="inlineStr">
        <is>
          <t>Open PDF</t>
        </is>
      </c>
    </row>
    <row r="1001">
      <c r="A1001" t="inlineStr">
        <is>
          <t>GDPR</t>
        </is>
      </c>
      <c r="B1001" t="inlineStr">
        <is>
          <t>OJ_L_202401689_EN_TXT (GDPR - Row 9)</t>
        </is>
      </c>
      <c r="C1001" t="inlineStr">
        <is>
          <t>4</t>
        </is>
      </c>
      <c r="D1001" s="11" t="inlineStr">
        <is>
          <t>Technical documentation control for AI systems</t>
        </is>
      </c>
      <c r="E1001" t="inlineStr">
        <is>
          <t>115–116</t>
        </is>
      </c>
      <c r="F1001" t="inlineStr">
        <is>
          <t>Medium</t>
        </is>
      </c>
      <c r="G1001" t="inlineStr">
        <is>
          <t>High (explicit)</t>
        </is>
      </c>
      <c r="H1001" s="11" t="inlineStr"/>
      <c r="I1001" s="11" t="inlineStr">
        <is>
          <t>Special Personal Information</t>
        </is>
      </c>
      <c r="J1001" t="inlineStr">
        <is>
          <t>Notified body</t>
        </is>
      </c>
      <c r="K1001"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1001" s="11" t="inlineStr">
        <is>
          <t>Requires detailed technical documentation for AI systems, including access to training data and models with safeguards. This impacts DTIA by mandating specific documentation and assessment processes for high-risk AI systems.</t>
        </is>
      </c>
      <c r="M1001"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1001"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1001" s="12" t="inlineStr">
        <is>
          <t>Open PDF</t>
        </is>
      </c>
    </row>
    <row r="1002">
      <c r="A1002" t="inlineStr">
        <is>
          <t>GDPR</t>
        </is>
      </c>
      <c r="B1002" t="inlineStr">
        <is>
          <t>OJ_L_202401689_EN_TXT (GDPR - Row 9)</t>
        </is>
      </c>
      <c r="C1002" t="inlineStr">
        <is>
          <t>4</t>
        </is>
      </c>
      <c r="D1002" s="11" t="inlineStr">
        <is>
          <t>Technical documentation control for AI systems</t>
        </is>
      </c>
      <c r="E1002" t="inlineStr">
        <is>
          <t>117</t>
        </is>
      </c>
      <c r="F1002" t="inlineStr">
        <is>
          <t>Medium</t>
        </is>
      </c>
      <c r="G1002" t="inlineStr">
        <is>
          <t>High (explicit)</t>
        </is>
      </c>
      <c r="H1002" s="11" t="inlineStr"/>
      <c r="I1002" s="11" t="inlineStr">
        <is>
          <t>Special Personal Information</t>
        </is>
      </c>
      <c r="J1002" t="inlineStr">
        <is>
          <t>Notified body</t>
        </is>
      </c>
      <c r="K1002"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1002" s="11" t="inlineStr">
        <is>
          <t>Requires detailed technical documentation for AI systems, including access to training data and models with safeguards. This impacts DTIA by mandating specific documentation and assessment processes for high-risk AI systems.</t>
        </is>
      </c>
      <c r="M1002"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1002"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1002" s="12" t="inlineStr">
        <is>
          <t>Open PDF</t>
        </is>
      </c>
    </row>
    <row r="1003">
      <c r="A1003" t="inlineStr">
        <is>
          <t>GDPR</t>
        </is>
      </c>
      <c r="B1003" t="inlineStr">
        <is>
          <t>OJ_L_202401689_EN_TXT (GDPR - Row 9)</t>
        </is>
      </c>
      <c r="C1003" t="inlineStr">
        <is>
          <t>4</t>
        </is>
      </c>
      <c r="D1003" s="11" t="inlineStr">
        <is>
          <t>Technical documentation control for AI systems</t>
        </is>
      </c>
      <c r="E1003" t="inlineStr">
        <is>
          <t>122</t>
        </is>
      </c>
      <c r="F1003" t="inlineStr">
        <is>
          <t>Medium</t>
        </is>
      </c>
      <c r="G1003" t="inlineStr">
        <is>
          <t>High (explicit)</t>
        </is>
      </c>
      <c r="H1003" s="11" t="inlineStr"/>
      <c r="I1003" s="11" t="inlineStr">
        <is>
          <t>Special Personal Information</t>
        </is>
      </c>
      <c r="J1003" t="inlineStr">
        <is>
          <t>Notified body</t>
        </is>
      </c>
      <c r="K1003"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1003" s="11" t="inlineStr">
        <is>
          <t>Requires detailed technical documentation for AI systems, including access to training data and models with safeguards. This impacts DTIA by mandating specific documentation and assessment processes for high-risk AI systems.</t>
        </is>
      </c>
      <c r="M1003"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1003"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1003" s="12" t="inlineStr">
        <is>
          <t>Open PDF</t>
        </is>
      </c>
    </row>
    <row r="1004">
      <c r="A1004" t="inlineStr">
        <is>
          <t>GDPR</t>
        </is>
      </c>
      <c r="B1004" t="inlineStr">
        <is>
          <t>OJ_L_202401689_EN_TXT (GDPR - Row 9)</t>
        </is>
      </c>
      <c r="C1004" t="inlineStr">
        <is>
          <t>4</t>
        </is>
      </c>
      <c r="D1004" s="11" t="inlineStr">
        <is>
          <t>Technical documentation control for AI systems</t>
        </is>
      </c>
      <c r="E1004" t="inlineStr">
        <is>
          <t>134–135</t>
        </is>
      </c>
      <c r="F1004" t="inlineStr">
        <is>
          <t>Medium</t>
        </is>
      </c>
      <c r="G1004" t="inlineStr">
        <is>
          <t>High (explicit)</t>
        </is>
      </c>
      <c r="H1004" s="11" t="inlineStr"/>
      <c r="I1004" s="11" t="inlineStr">
        <is>
          <t>Special Personal Information</t>
        </is>
      </c>
      <c r="J1004" t="inlineStr">
        <is>
          <t>Notified body</t>
        </is>
      </c>
      <c r="K1004" s="11" t="inlineStr">
        <is>
          <t>Providers must submit technical documentation to notified bodies for assessment of AI systems intended for market placement. Notified bodies may require additional evidence or tests, and have access to training data sets with security safeguards. For high-risk AI systems, notified bodies can access training models with IP and trade secret protections. Notified bodies issue certificates of conformity or refusal with detailed reasons.</t>
        </is>
      </c>
      <c r="L1004" s="11" t="inlineStr">
        <is>
          <t>Requires detailed technical documentation for AI systems, including access to training data and models with safeguards. This impacts DTIA by mandating specific documentation and assessment processes for high-risk AI systems.</t>
        </is>
      </c>
      <c r="M1004" s="11" t="inlineStr">
        <is>
          <t>• [Must] Provider must submit application to notified body for technical documentation assessment
• [Must] Application must include provider name and address
• [Must] Application must include written declaration that application has not been lodged with other notified bodies
• [Must] Application must include technical documentation from Annex IV
• [May] Notified body may require additional evidence or tests for proper assessment
• [May] Notified body may grant full access to training, validation, and testing data sets with security safeguards
• [May] Notified body may require access to training and trained models for high-risk AI systems with IP and trade secret protections
• [Must] Notified body must issue Union technical documentation assessment certificate if AI system conforms
• [Must] Certificate must indicate provider name, address, assessment conclusions, conditions for validity, and AI system identification data
• [Must] Notified body must refuse certificate if AI system does not conform with requirements
• [Must] Notified body must provide detailed reasons for refusal of certificate
• [Must] Provider must retrain AI system if data used does not meet requirements</t>
        </is>
      </c>
      <c r="N1004" s="11" t="inlineStr">
        <is>
          <t>4.1 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is>
      </c>
      <c r="O1004" s="12" t="inlineStr">
        <is>
          <t>Open PDF</t>
        </is>
      </c>
    </row>
    <row r="1005">
      <c r="A1005" t="inlineStr">
        <is>
          <t>GDPR</t>
        </is>
      </c>
      <c r="B1005" t="inlineStr">
        <is>
          <t>OJ_L_202401689_EN_TXT (GDPR - Row 9)</t>
        </is>
      </c>
      <c r="C1005" t="inlineStr">
        <is>
          <t>5</t>
        </is>
      </c>
      <c r="D1005" s="11" t="inlineStr">
        <is>
          <t>Data protection impact assessment summary for AI systems</t>
        </is>
      </c>
      <c r="E1005" t="inlineStr">
        <is>
          <t>53</t>
        </is>
      </c>
      <c r="F1005" t="inlineStr">
        <is>
          <t>Low</t>
        </is>
      </c>
      <c r="G1005" t="inlineStr">
        <is>
          <t>High (explicit)</t>
        </is>
      </c>
      <c r="H1005" s="11" t="inlineStr"/>
      <c r="I1005" s="11" t="inlineStr">
        <is>
          <t>Special Personal Information</t>
        </is>
      </c>
      <c r="J1005" t="inlineStr"/>
      <c r="K1005"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05" s="11" t="inlineStr">
        <is>
          <t>Mandates submission of data protection impact assessments for high-risk AI systems, ensuring compliance with data protection principles during development and deployment.</t>
        </is>
      </c>
      <c r="M1005" s="11" t="inlineStr">
        <is>
          <t>• [Must] Provider must submit summary of data protection impact assessment as per GDPR Article 35 or Directive 2016/680 Article 27</t>
        </is>
      </c>
      <c r="N1005" s="11" t="inlineStr">
        <is>
          <t>5. A summary of the data protection impact assessment carried out in accordance with Article 35 of Regulation (EU) 2016/679 or Article 27 of Directive (EU) 2016/680 as specified in Article 26(8) of this Regulation, where applicable.</t>
        </is>
      </c>
      <c r="O1005" s="12" t="inlineStr">
        <is>
          <t>Open PDF</t>
        </is>
      </c>
    </row>
    <row r="1006">
      <c r="A1006" t="inlineStr">
        <is>
          <t>GDPR</t>
        </is>
      </c>
      <c r="B1006" t="inlineStr">
        <is>
          <t>OJ_L_202401689_EN_TXT (GDPR - Row 9)</t>
        </is>
      </c>
      <c r="C1006" t="inlineStr">
        <is>
          <t>5</t>
        </is>
      </c>
      <c r="D1006" s="11" t="inlineStr">
        <is>
          <t>Data protection impact assessment summary for AI systems</t>
        </is>
      </c>
      <c r="E1006" t="inlineStr">
        <is>
          <t>58</t>
        </is>
      </c>
      <c r="F1006" t="inlineStr">
        <is>
          <t>Low</t>
        </is>
      </c>
      <c r="G1006" t="inlineStr">
        <is>
          <t>High (explicit)</t>
        </is>
      </c>
      <c r="H1006" s="11" t="inlineStr"/>
      <c r="I1006" s="11" t="inlineStr">
        <is>
          <t>Special Personal Information</t>
        </is>
      </c>
      <c r="J1006" t="inlineStr"/>
      <c r="K1006"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06" s="11" t="inlineStr">
        <is>
          <t>Mandates submission of data protection impact assessments for high-risk AI systems, ensuring compliance with data protection principles during development and deployment.</t>
        </is>
      </c>
      <c r="M1006" s="11" t="inlineStr">
        <is>
          <t>• [Must] Provider must submit summary of data protection impact assessment as per GDPR Article 35 or Directive 2016/680 Article 27</t>
        </is>
      </c>
      <c r="N1006" s="11" t="inlineStr">
        <is>
          <t>5. A summary of the data protection impact assessment carried out in accordance with Article 35 of Regulation (EU) 2016/679 or Article 27 of Directive (EU) 2016/680 as specified in Article 26(8) of this Regulation, where applicable.</t>
        </is>
      </c>
      <c r="O1006" s="12" t="inlineStr">
        <is>
          <t>Open PDF</t>
        </is>
      </c>
    </row>
    <row r="1007">
      <c r="A1007" t="inlineStr">
        <is>
          <t>GDPR</t>
        </is>
      </c>
      <c r="B1007" t="inlineStr">
        <is>
          <t>OJ_L_202401689_EN_TXT (GDPR - Row 9)</t>
        </is>
      </c>
      <c r="C1007" t="inlineStr">
        <is>
          <t>5</t>
        </is>
      </c>
      <c r="D1007" s="11" t="inlineStr">
        <is>
          <t>Data protection impact assessment summary for AI systems</t>
        </is>
      </c>
      <c r="E1007" t="inlineStr">
        <is>
          <t>61</t>
        </is>
      </c>
      <c r="F1007" t="inlineStr">
        <is>
          <t>Low</t>
        </is>
      </c>
      <c r="G1007" t="inlineStr">
        <is>
          <t>High (explicit)</t>
        </is>
      </c>
      <c r="H1007" s="11" t="inlineStr"/>
      <c r="I1007" s="11" t="inlineStr">
        <is>
          <t>Special Personal Information</t>
        </is>
      </c>
      <c r="J1007" t="inlineStr"/>
      <c r="K1007"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07" s="11" t="inlineStr">
        <is>
          <t>Mandates submission of data protection impact assessments for high-risk AI systems, ensuring compliance with data protection principles during development and deployment.</t>
        </is>
      </c>
      <c r="M1007" s="11" t="inlineStr">
        <is>
          <t>• [Must] Provider must submit summary of data protection impact assessment as per GDPR Article 35 or Directive 2016/680 Article 27</t>
        </is>
      </c>
      <c r="N1007" s="11" t="inlineStr">
        <is>
          <t>5. A summary of the data protection impact assessment carried out in accordance with Article 35 of Regulation (EU) 2016/679 or Article 27 of Directive (EU) 2016/680 as specified in Article 26(8) of this Regulation, where applicable.</t>
        </is>
      </c>
      <c r="O1007" s="12" t="inlineStr">
        <is>
          <t>Open PDF</t>
        </is>
      </c>
    </row>
    <row r="1008">
      <c r="A1008" t="inlineStr">
        <is>
          <t>GDPR</t>
        </is>
      </c>
      <c r="B1008" t="inlineStr">
        <is>
          <t>OJ_L_202401689_EN_TXT (GDPR - Row 9)</t>
        </is>
      </c>
      <c r="C1008" t="inlineStr">
        <is>
          <t>5</t>
        </is>
      </c>
      <c r="D1008" s="11" t="inlineStr">
        <is>
          <t>Data protection impact assessment summary for AI systems</t>
        </is>
      </c>
      <c r="E1008" t="inlineStr">
        <is>
          <t>61–62</t>
        </is>
      </c>
      <c r="F1008" t="inlineStr">
        <is>
          <t>Low</t>
        </is>
      </c>
      <c r="G1008" t="inlineStr">
        <is>
          <t>High (explicit)</t>
        </is>
      </c>
      <c r="H1008" s="11" t="inlineStr"/>
      <c r="I1008" s="11" t="inlineStr">
        <is>
          <t>Special Personal Information</t>
        </is>
      </c>
      <c r="J1008" t="inlineStr"/>
      <c r="K1008"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08" s="11" t="inlineStr">
        <is>
          <t>Mandates submission of data protection impact assessments for high-risk AI systems, ensuring compliance with data protection principles during development and deployment.</t>
        </is>
      </c>
      <c r="M1008" s="11" t="inlineStr">
        <is>
          <t>• [Must] Provider must submit summary of data protection impact assessment as per GDPR Article 35 or Directive 2016/680 Article 27</t>
        </is>
      </c>
      <c r="N1008" s="11" t="inlineStr">
        <is>
          <t>5. A summary of the data protection impact assessment carried out in accordance with Article 35 of Regulation (EU) 2016/679 or Article 27 of Directive (EU) 2016/680 as specified in Article 26(8) of this Regulation, where applicable.</t>
        </is>
      </c>
      <c r="O1008" s="12" t="inlineStr">
        <is>
          <t>Open PDF</t>
        </is>
      </c>
    </row>
    <row r="1009">
      <c r="A1009" t="inlineStr">
        <is>
          <t>GDPR</t>
        </is>
      </c>
      <c r="B1009" t="inlineStr">
        <is>
          <t>OJ_L_202401689_EN_TXT (GDPR - Row 9)</t>
        </is>
      </c>
      <c r="C1009" t="inlineStr">
        <is>
          <t>5</t>
        </is>
      </c>
      <c r="D1009" s="11" t="inlineStr">
        <is>
          <t>Data protection impact assessment summary for AI systems</t>
        </is>
      </c>
      <c r="E1009" t="inlineStr">
        <is>
          <t>68</t>
        </is>
      </c>
      <c r="F1009" t="inlineStr">
        <is>
          <t>Low</t>
        </is>
      </c>
      <c r="G1009" t="inlineStr">
        <is>
          <t>High (explicit)</t>
        </is>
      </c>
      <c r="H1009" s="11" t="inlineStr"/>
      <c r="I1009" s="11" t="inlineStr">
        <is>
          <t>Special Personal Information</t>
        </is>
      </c>
      <c r="J1009" t="inlineStr"/>
      <c r="K1009"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09" s="11" t="inlineStr">
        <is>
          <t>Mandates submission of data protection impact assessments for high-risk AI systems, ensuring compliance with data protection principles during development and deployment.</t>
        </is>
      </c>
      <c r="M1009" s="11" t="inlineStr">
        <is>
          <t>• [Must] Provider must submit summary of data protection impact assessment as per GDPR Article 35 or Directive 2016/680 Article 27</t>
        </is>
      </c>
      <c r="N1009" s="11" t="inlineStr">
        <is>
          <t>5. A summary of the data protection impact assessment carried out in accordance with Article 35 of Regulation (EU) 2016/679 or Article 27 of Directive (EU) 2016/680 as specified in Article 26(8) of this Regulation, where applicable.</t>
        </is>
      </c>
      <c r="O1009" s="12" t="inlineStr">
        <is>
          <t>Open PDF</t>
        </is>
      </c>
    </row>
    <row r="1010">
      <c r="A1010" t="inlineStr">
        <is>
          <t>GDPR</t>
        </is>
      </c>
      <c r="B1010" t="inlineStr">
        <is>
          <t>OJ_L_202401689_EN_TXT (GDPR - Row 9)</t>
        </is>
      </c>
      <c r="C1010" t="inlineStr">
        <is>
          <t>5</t>
        </is>
      </c>
      <c r="D1010" s="11" t="inlineStr">
        <is>
          <t>Data protection impact assessment summary for AI systems</t>
        </is>
      </c>
      <c r="E1010" t="inlineStr">
        <is>
          <t>80</t>
        </is>
      </c>
      <c r="F1010" t="inlineStr">
        <is>
          <t>Low</t>
        </is>
      </c>
      <c r="G1010" t="inlineStr">
        <is>
          <t>High (explicit)</t>
        </is>
      </c>
      <c r="H1010" s="11" t="inlineStr"/>
      <c r="I1010" s="11" t="inlineStr">
        <is>
          <t>Special Personal Information</t>
        </is>
      </c>
      <c r="J1010" t="inlineStr"/>
      <c r="K1010"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0" s="11" t="inlineStr">
        <is>
          <t>Mandates submission of data protection impact assessments for high-risk AI systems, ensuring compliance with data protection principles during development and deployment.</t>
        </is>
      </c>
      <c r="M1010" s="11" t="inlineStr">
        <is>
          <t>• [Must] Provider must submit summary of data protection impact assessment as per GDPR Article 35 or Directive 2016/680 Article 27</t>
        </is>
      </c>
      <c r="N1010" s="11" t="inlineStr">
        <is>
          <t>5. A summary of the data protection impact assessment carried out in accordance with Article 35 of Regulation (EU) 2016/679 or Article 27 of Directive (EU) 2016/680 as specified in Article 26(8) of this Regulation, where applicable.</t>
        </is>
      </c>
      <c r="O1010" s="12" t="inlineStr">
        <is>
          <t>Open PDF</t>
        </is>
      </c>
    </row>
    <row r="1011">
      <c r="A1011" t="inlineStr">
        <is>
          <t>GDPR</t>
        </is>
      </c>
      <c r="B1011" t="inlineStr">
        <is>
          <t>OJ_L_202401689_EN_TXT (GDPR - Row 9)</t>
        </is>
      </c>
      <c r="C1011" t="inlineStr">
        <is>
          <t>5</t>
        </is>
      </c>
      <c r="D1011" s="11" t="inlineStr">
        <is>
          <t>Data protection impact assessment summary for AI systems</t>
        </is>
      </c>
      <c r="E1011" t="inlineStr">
        <is>
          <t>88</t>
        </is>
      </c>
      <c r="F1011" t="inlineStr">
        <is>
          <t>Low</t>
        </is>
      </c>
      <c r="G1011" t="inlineStr">
        <is>
          <t>High (explicit)</t>
        </is>
      </c>
      <c r="H1011" s="11" t="inlineStr"/>
      <c r="I1011" s="11" t="inlineStr">
        <is>
          <t>Special Personal Information</t>
        </is>
      </c>
      <c r="J1011" t="inlineStr"/>
      <c r="K1011"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1" s="11" t="inlineStr">
        <is>
          <t>Mandates submission of data protection impact assessments for high-risk AI systems, ensuring compliance with data protection principles during development and deployment.</t>
        </is>
      </c>
      <c r="M1011" s="11" t="inlineStr">
        <is>
          <t>• [Must] Provider must submit summary of data protection impact assessment as per GDPR Article 35 or Directive 2016/680 Article 27</t>
        </is>
      </c>
      <c r="N1011" s="11" t="inlineStr">
        <is>
          <t>5. A summary of the data protection impact assessment carried out in accordance with Article 35 of Regulation (EU) 2016/679 or Article 27 of Directive (EU) 2016/680 as specified in Article 26(8) of this Regulation, where applicable.</t>
        </is>
      </c>
      <c r="O1011" s="12" t="inlineStr">
        <is>
          <t>Open PDF</t>
        </is>
      </c>
    </row>
    <row r="1012">
      <c r="A1012" t="inlineStr">
        <is>
          <t>GDPR</t>
        </is>
      </c>
      <c r="B1012" t="inlineStr">
        <is>
          <t>OJ_L_202401689_EN_TXT (GDPR - Row 9)</t>
        </is>
      </c>
      <c r="C1012" t="inlineStr">
        <is>
          <t>5</t>
        </is>
      </c>
      <c r="D1012" s="11" t="inlineStr">
        <is>
          <t>Data protection impact assessment summary for AI systems</t>
        </is>
      </c>
      <c r="E1012" t="inlineStr">
        <is>
          <t>93</t>
        </is>
      </c>
      <c r="F1012" t="inlineStr">
        <is>
          <t>Low</t>
        </is>
      </c>
      <c r="G1012" t="inlineStr">
        <is>
          <t>High (explicit)</t>
        </is>
      </c>
      <c r="H1012" s="11" t="inlineStr"/>
      <c r="I1012" s="11" t="inlineStr">
        <is>
          <t>Special Personal Information</t>
        </is>
      </c>
      <c r="J1012" t="inlineStr"/>
      <c r="K1012"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2" s="11" t="inlineStr">
        <is>
          <t>Mandates submission of data protection impact assessments for high-risk AI systems, ensuring compliance with data protection principles during development and deployment.</t>
        </is>
      </c>
      <c r="M1012" s="11" t="inlineStr">
        <is>
          <t>• [Must] Provider must submit summary of data protection impact assessment as per GDPR Article 35 or Directive 2016/680 Article 27</t>
        </is>
      </c>
      <c r="N1012" s="11" t="inlineStr">
        <is>
          <t>5. A summary of the data protection impact assessment carried out in accordance with Article 35 of Regulation (EU) 2016/679 or Article 27 of Directive (EU) 2016/680 as specified in Article 26(8) of this Regulation, where applicable.</t>
        </is>
      </c>
      <c r="O1012" s="12" t="inlineStr">
        <is>
          <t>Open PDF</t>
        </is>
      </c>
    </row>
    <row r="1013">
      <c r="A1013" t="inlineStr">
        <is>
          <t>GDPR</t>
        </is>
      </c>
      <c r="B1013" t="inlineStr">
        <is>
          <t>OJ_L_202401689_EN_TXT (GDPR - Row 9)</t>
        </is>
      </c>
      <c r="C1013" t="inlineStr">
        <is>
          <t>5</t>
        </is>
      </c>
      <c r="D1013" s="11" t="inlineStr">
        <is>
          <t>Data protection impact assessment summary for AI systems</t>
        </is>
      </c>
      <c r="E1013" t="inlineStr">
        <is>
          <t>100</t>
        </is>
      </c>
      <c r="F1013" t="inlineStr">
        <is>
          <t>Low</t>
        </is>
      </c>
      <c r="G1013" t="inlineStr">
        <is>
          <t>High (explicit)</t>
        </is>
      </c>
      <c r="H1013" s="11" t="inlineStr"/>
      <c r="I1013" s="11" t="inlineStr">
        <is>
          <t>Special Personal Information</t>
        </is>
      </c>
      <c r="J1013" t="inlineStr"/>
      <c r="K1013"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3" s="11" t="inlineStr">
        <is>
          <t>Mandates submission of data protection impact assessments for high-risk AI systems, ensuring compliance with data protection principles during development and deployment.</t>
        </is>
      </c>
      <c r="M1013" s="11" t="inlineStr">
        <is>
          <t>• [Must] Provider must submit summary of data protection impact assessment as per GDPR Article 35 or Directive 2016/680 Article 27</t>
        </is>
      </c>
      <c r="N1013" s="11" t="inlineStr">
        <is>
          <t>5. A summary of the data protection impact assessment carried out in accordance with Article 35 of Regulation (EU) 2016/679 or Article 27 of Directive (EU) 2016/680 as specified in Article 26(8) of this Regulation, where applicable.</t>
        </is>
      </c>
      <c r="O1013" s="12" t="inlineStr">
        <is>
          <t>Open PDF</t>
        </is>
      </c>
    </row>
    <row r="1014">
      <c r="A1014" t="inlineStr">
        <is>
          <t>GDPR</t>
        </is>
      </c>
      <c r="B1014" t="inlineStr">
        <is>
          <t>OJ_L_202401689_EN_TXT (GDPR - Row 9)</t>
        </is>
      </c>
      <c r="C1014" t="inlineStr">
        <is>
          <t>5</t>
        </is>
      </c>
      <c r="D1014" s="11" t="inlineStr">
        <is>
          <t>Data protection impact assessment summary for AI systems</t>
        </is>
      </c>
      <c r="E1014" t="inlineStr">
        <is>
          <t>100–101</t>
        </is>
      </c>
      <c r="F1014" t="inlineStr">
        <is>
          <t>Low</t>
        </is>
      </c>
      <c r="G1014" t="inlineStr">
        <is>
          <t>High (explicit)</t>
        </is>
      </c>
      <c r="H1014" s="11" t="inlineStr"/>
      <c r="I1014" s="11" t="inlineStr">
        <is>
          <t>Special Personal Information</t>
        </is>
      </c>
      <c r="J1014" t="inlineStr"/>
      <c r="K1014"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4" s="11" t="inlineStr">
        <is>
          <t>Mandates submission of data protection impact assessments for high-risk AI systems, ensuring compliance with data protection principles during development and deployment.</t>
        </is>
      </c>
      <c r="M1014" s="11" t="inlineStr">
        <is>
          <t>• [Must] Provider must submit summary of data protection impact assessment as per GDPR Article 35 or Directive 2016/680 Article 27</t>
        </is>
      </c>
      <c r="N1014" s="11" t="inlineStr">
        <is>
          <t>5. A summary of the data protection impact assessment carried out in accordance with Article 35 of Regulation (EU) 2016/679 or Article 27 of Directive (EU) 2016/680 as specified in Article 26(8) of this Regulation, where applicable.</t>
        </is>
      </c>
      <c r="O1014" s="12" t="inlineStr">
        <is>
          <t>Open PDF</t>
        </is>
      </c>
    </row>
    <row r="1015">
      <c r="A1015" t="inlineStr">
        <is>
          <t>GDPR</t>
        </is>
      </c>
      <c r="B1015" t="inlineStr">
        <is>
          <t>OJ_L_202401689_EN_TXT (GDPR - Row 9)</t>
        </is>
      </c>
      <c r="C1015" t="inlineStr">
        <is>
          <t>5</t>
        </is>
      </c>
      <c r="D1015" s="11" t="inlineStr">
        <is>
          <t>Data protection impact assessment summary for AI systems</t>
        </is>
      </c>
      <c r="E1015" t="inlineStr">
        <is>
          <t>106</t>
        </is>
      </c>
      <c r="F1015" t="inlineStr">
        <is>
          <t>Low</t>
        </is>
      </c>
      <c r="G1015" t="inlineStr">
        <is>
          <t>High (explicit)</t>
        </is>
      </c>
      <c r="H1015" s="11" t="inlineStr"/>
      <c r="I1015" s="11" t="inlineStr">
        <is>
          <t>Special Personal Information</t>
        </is>
      </c>
      <c r="J1015" t="inlineStr"/>
      <c r="K1015"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5" s="11" t="inlineStr">
        <is>
          <t>Mandates submission of data protection impact assessments for high-risk AI systems, ensuring compliance with data protection principles during development and deployment.</t>
        </is>
      </c>
      <c r="M1015" s="11" t="inlineStr">
        <is>
          <t>• [Must] Provider must submit summary of data protection impact assessment as per GDPR Article 35 or Directive 2016/680 Article 27</t>
        </is>
      </c>
      <c r="N1015" s="11" t="inlineStr">
        <is>
          <t>5. A summary of the data protection impact assessment carried out in accordance with Article 35 of Regulation (EU) 2016/679 or Article 27 of Directive (EU) 2016/680 as specified in Article 26(8) of this Regulation, where applicable.</t>
        </is>
      </c>
      <c r="O1015" s="12" t="inlineStr">
        <is>
          <t>Open PDF</t>
        </is>
      </c>
    </row>
    <row r="1016">
      <c r="A1016" t="inlineStr">
        <is>
          <t>GDPR</t>
        </is>
      </c>
      <c r="B1016" t="inlineStr">
        <is>
          <t>OJ_L_202401689_EN_TXT (GDPR - Row 9)</t>
        </is>
      </c>
      <c r="C1016" t="inlineStr">
        <is>
          <t>5</t>
        </is>
      </c>
      <c r="D1016" s="11" t="inlineStr">
        <is>
          <t>Data protection impact assessment summary for AI systems</t>
        </is>
      </c>
      <c r="E1016" t="inlineStr">
        <is>
          <t>107</t>
        </is>
      </c>
      <c r="F1016" t="inlineStr">
        <is>
          <t>Low</t>
        </is>
      </c>
      <c r="G1016" t="inlineStr">
        <is>
          <t>High (explicit)</t>
        </is>
      </c>
      <c r="H1016" s="11" t="inlineStr"/>
      <c r="I1016" s="11" t="inlineStr">
        <is>
          <t>Special Personal Information</t>
        </is>
      </c>
      <c r="J1016" t="inlineStr"/>
      <c r="K1016"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6" s="11" t="inlineStr">
        <is>
          <t>Mandates submission of data protection impact assessments for high-risk AI systems, ensuring compliance with data protection principles during development and deployment.</t>
        </is>
      </c>
      <c r="M1016" s="11" t="inlineStr">
        <is>
          <t>• [Must] Provider must submit summary of data protection impact assessment as per GDPR Article 35 or Directive 2016/680 Article 27</t>
        </is>
      </c>
      <c r="N1016" s="11" t="inlineStr">
        <is>
          <t>5. A summary of the data protection impact assessment carried out in accordance with Article 35 of Regulation (EU) 2016/679 or Article 27 of Directive (EU) 2016/680 as specified in Article 26(8) of this Regulation, where applicable.</t>
        </is>
      </c>
      <c r="O1016" s="12" t="inlineStr">
        <is>
          <t>Open PDF</t>
        </is>
      </c>
    </row>
    <row r="1017">
      <c r="A1017" t="inlineStr">
        <is>
          <t>GDPR</t>
        </is>
      </c>
      <c r="B1017" t="inlineStr">
        <is>
          <t>OJ_L_202401689_EN_TXT (GDPR - Row 9)</t>
        </is>
      </c>
      <c r="C1017" t="inlineStr">
        <is>
          <t>5</t>
        </is>
      </c>
      <c r="D1017" s="11" t="inlineStr">
        <is>
          <t>Data protection impact assessment summary for AI systems</t>
        </is>
      </c>
      <c r="E1017" t="inlineStr">
        <is>
          <t>117</t>
        </is>
      </c>
      <c r="F1017" t="inlineStr">
        <is>
          <t>Low</t>
        </is>
      </c>
      <c r="G1017" t="inlineStr">
        <is>
          <t>High (explicit)</t>
        </is>
      </c>
      <c r="H1017" s="11" t="inlineStr"/>
      <c r="I1017" s="11" t="inlineStr">
        <is>
          <t>Special Personal Information</t>
        </is>
      </c>
      <c r="J1017" t="inlineStr"/>
      <c r="K1017"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7" s="11" t="inlineStr">
        <is>
          <t>Mandates submission of data protection impact assessments for high-risk AI systems, ensuring compliance with data protection principles during development and deployment.</t>
        </is>
      </c>
      <c r="M1017" s="11" t="inlineStr">
        <is>
          <t>• [Must] Provider must submit summary of data protection impact assessment as per GDPR Article 35 or Directive 2016/680 Article 27</t>
        </is>
      </c>
      <c r="N1017" s="11" t="inlineStr">
        <is>
          <t>5. A summary of the data protection impact assessment carried out in accordance with Article 35 of Regulation (EU) 2016/679 or Article 27 of Directive (EU) 2016/680 as specified in Article 26(8) of this Regulation, where applicable.</t>
        </is>
      </c>
      <c r="O1017" s="12" t="inlineStr">
        <is>
          <t>Open PDF</t>
        </is>
      </c>
    </row>
    <row r="1018">
      <c r="A1018" t="inlineStr">
        <is>
          <t>GDPR</t>
        </is>
      </c>
      <c r="B1018" t="inlineStr">
        <is>
          <t>OJ_L_202401689_EN_TXT (GDPR - Row 9)</t>
        </is>
      </c>
      <c r="C1018" t="inlineStr">
        <is>
          <t>5</t>
        </is>
      </c>
      <c r="D1018" s="11" t="inlineStr">
        <is>
          <t>Data protection impact assessment summary for AI systems</t>
        </is>
      </c>
      <c r="E1018" t="inlineStr">
        <is>
          <t>127–128</t>
        </is>
      </c>
      <c r="F1018" t="inlineStr">
        <is>
          <t>Low</t>
        </is>
      </c>
      <c r="G1018" t="inlineStr">
        <is>
          <t>High (explicit)</t>
        </is>
      </c>
      <c r="H1018" s="11" t="inlineStr"/>
      <c r="I1018" s="11" t="inlineStr">
        <is>
          <t>Special Personal Information</t>
        </is>
      </c>
      <c r="J1018" t="inlineStr"/>
      <c r="K1018"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8" s="11" t="inlineStr">
        <is>
          <t>Mandates submission of data protection impact assessments for high-risk AI systems, ensuring compliance with data protection principles during development and deployment.</t>
        </is>
      </c>
      <c r="M1018" s="11" t="inlineStr">
        <is>
          <t>• [Must] Provider must submit summary of data protection impact assessment as per GDPR Article 35 or Directive 2016/680 Article 27</t>
        </is>
      </c>
      <c r="N1018" s="11" t="inlineStr">
        <is>
          <t>5. A summary of the data protection impact assessment carried out in accordance with Article 35 of Regulation (EU) 2016/679 or Article 27 of Directive (EU) 2016/680 as specified in Article 26(8) of this Regulation, where applicable.</t>
        </is>
      </c>
      <c r="O1018" s="12" t="inlineStr">
        <is>
          <t>Open PDF</t>
        </is>
      </c>
    </row>
    <row r="1019">
      <c r="A1019" t="inlineStr">
        <is>
          <t>GDPR</t>
        </is>
      </c>
      <c r="B1019" t="inlineStr">
        <is>
          <t>OJ_L_202401689_EN_TXT (GDPR - Row 9)</t>
        </is>
      </c>
      <c r="C1019" t="inlineStr">
        <is>
          <t>5</t>
        </is>
      </c>
      <c r="D1019" s="11" t="inlineStr">
        <is>
          <t>Data protection impact assessment summary for AI systems</t>
        </is>
      </c>
      <c r="E1019" t="inlineStr">
        <is>
          <t>132</t>
        </is>
      </c>
      <c r="F1019" t="inlineStr">
        <is>
          <t>Low</t>
        </is>
      </c>
      <c r="G1019" t="inlineStr">
        <is>
          <t>High (explicit)</t>
        </is>
      </c>
      <c r="H1019" s="11" t="inlineStr"/>
      <c r="I1019" s="11" t="inlineStr">
        <is>
          <t>Special Personal Information</t>
        </is>
      </c>
      <c r="J1019" t="inlineStr"/>
      <c r="K1019"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19" s="11" t="inlineStr">
        <is>
          <t>Mandates submission of data protection impact assessments for high-risk AI systems, ensuring compliance with data protection principles during development and deployment.</t>
        </is>
      </c>
      <c r="M1019" s="11" t="inlineStr">
        <is>
          <t>• [Must] Provider must submit summary of data protection impact assessment as per GDPR Article 35 or Directive 2016/680 Article 27</t>
        </is>
      </c>
      <c r="N1019" s="11" t="inlineStr">
        <is>
          <t>5. A summary of the data protection impact assessment carried out in accordance with Article 35 of Regulation (EU) 2016/679 or Article 27 of Directive (EU) 2016/680 as specified in Article 26(8) of this Regulation, where applicable.</t>
        </is>
      </c>
      <c r="O1019" s="12" t="inlineStr">
        <is>
          <t>Open PDF</t>
        </is>
      </c>
    </row>
    <row r="1020">
      <c r="A1020" t="inlineStr">
        <is>
          <t>GDPR</t>
        </is>
      </c>
      <c r="B1020" t="inlineStr">
        <is>
          <t>OJ_L_202401689_EN_TXT (GDPR - Row 9)</t>
        </is>
      </c>
      <c r="C1020" t="inlineStr">
        <is>
          <t>5</t>
        </is>
      </c>
      <c r="D1020" s="11" t="inlineStr">
        <is>
          <t>Data protection impact assessment summary for AI systems</t>
        </is>
      </c>
      <c r="E1020" t="inlineStr">
        <is>
          <t>137–138</t>
        </is>
      </c>
      <c r="F1020" t="inlineStr">
        <is>
          <t>Low</t>
        </is>
      </c>
      <c r="G1020" t="inlineStr">
        <is>
          <t>High (explicit)</t>
        </is>
      </c>
      <c r="H1020" s="11" t="inlineStr"/>
      <c r="I1020" s="11" t="inlineStr">
        <is>
          <t>Special Personal Information</t>
        </is>
      </c>
      <c r="J1020" t="inlineStr"/>
      <c r="K1020" s="11" t="inlineStr">
        <is>
          <t>Requires providers to submit a summary of data protection impact assessments conducted in accordance with GDPR Article 35 or Directive 2016/680 Article 27. This summary must be provided for high-risk AI systems listed in Annex III to ensure compliance with data protection requirements.</t>
        </is>
      </c>
      <c r="L1020" s="11" t="inlineStr">
        <is>
          <t>Mandates submission of data protection impact assessments for high-risk AI systems, ensuring compliance with data protection principles during development and deployment.</t>
        </is>
      </c>
      <c r="M1020" s="11" t="inlineStr">
        <is>
          <t>• [Must] Provider must submit summary of data protection impact assessment as per GDPR Article 35 or Directive 2016/680 Article 27</t>
        </is>
      </c>
      <c r="N1020" s="11" t="inlineStr">
        <is>
          <t>5. A summary of the data protection impact assessment carried out in accordance with Article 35 of Regulation (EU) 2016/679 or Article 27 of Directive (EU) 2016/680 as specified in Article 26(8) of this Regulation, where applicable.</t>
        </is>
      </c>
      <c r="O1020" s="12" t="inlineStr">
        <is>
          <t>Open PDF</t>
        </is>
      </c>
    </row>
    <row r="1021">
      <c r="A1021" t="inlineStr">
        <is>
          <t>GDPR</t>
        </is>
      </c>
      <c r="B1021" t="inlineStr">
        <is>
          <t>OJ_L_202401689_EN_TXT (GDPR - Row 9)</t>
        </is>
      </c>
      <c r="C1021" t="inlineStr">
        <is>
          <t>6</t>
        </is>
      </c>
      <c r="D1021" s="11" t="inlineStr">
        <is>
          <t>European Criminal Records Information System for third-country nationals</t>
        </is>
      </c>
      <c r="E1021" t="inlineStr">
        <is>
          <t>53</t>
        </is>
      </c>
      <c r="F1021" t="inlineStr">
        <is>
          <t>Low</t>
        </is>
      </c>
      <c r="G1021" t="inlineStr">
        <is>
          <t>High (explicit)</t>
        </is>
      </c>
      <c r="H1021" s="11" t="inlineStr"/>
      <c r="I1021" s="11" t="inlineStr">
        <is>
          <t>Special Personal Information</t>
        </is>
      </c>
      <c r="J1021" t="inlineStr"/>
      <c r="K1021"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1" s="11" t="inlineStr">
        <is>
          <t>Relevant for DTIA as it involves cross-border sharing of criminal records for third-country nationals and stateless persons, requiring compliance with data transfer and processing rules.</t>
        </is>
      </c>
      <c r="M1021" s="11" t="inlineStr">
        <is>
          <t>• [Must] ECRIS-TCN is established to identify Member States holding conviction information on third-country nationals and stateless persons</t>
        </is>
      </c>
      <c r="N1021"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1" s="12" t="inlineStr">
        <is>
          <t>Open PDF</t>
        </is>
      </c>
    </row>
    <row r="1022">
      <c r="A1022" t="inlineStr">
        <is>
          <t>GDPR</t>
        </is>
      </c>
      <c r="B1022" t="inlineStr">
        <is>
          <t>OJ_L_202401689_EN_TXT (GDPR - Row 9)</t>
        </is>
      </c>
      <c r="C1022" t="inlineStr">
        <is>
          <t>6</t>
        </is>
      </c>
      <c r="D1022" s="11" t="inlineStr">
        <is>
          <t>European Criminal Records Information System for third-country nationals</t>
        </is>
      </c>
      <c r="E1022" t="inlineStr">
        <is>
          <t>68</t>
        </is>
      </c>
      <c r="F1022" t="inlineStr">
        <is>
          <t>Low</t>
        </is>
      </c>
      <c r="G1022" t="inlineStr">
        <is>
          <t>High (explicit)</t>
        </is>
      </c>
      <c r="H1022" s="11" t="inlineStr"/>
      <c r="I1022" s="11" t="inlineStr">
        <is>
          <t>Special Personal Information</t>
        </is>
      </c>
      <c r="J1022" t="inlineStr"/>
      <c r="K1022"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2" s="11" t="inlineStr">
        <is>
          <t>Relevant for DTIA as it involves cross-border sharing of criminal records for third-country nationals and stateless persons, requiring compliance with data transfer and processing rules.</t>
        </is>
      </c>
      <c r="M1022" s="11" t="inlineStr">
        <is>
          <t>• [Must] ECRIS-TCN is established to identify Member States holding conviction information on third-country nationals and stateless persons</t>
        </is>
      </c>
      <c r="N1022"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2" s="12" t="inlineStr">
        <is>
          <t>Open PDF</t>
        </is>
      </c>
    </row>
    <row r="1023">
      <c r="A1023" t="inlineStr">
        <is>
          <t>GDPR</t>
        </is>
      </c>
      <c r="B1023" t="inlineStr">
        <is>
          <t>OJ_L_202401689_EN_TXT (GDPR - Row 9)</t>
        </is>
      </c>
      <c r="C1023" t="inlineStr">
        <is>
          <t>6</t>
        </is>
      </c>
      <c r="D1023" s="11" t="inlineStr">
        <is>
          <t>European Criminal Records Information System for third-country nationals</t>
        </is>
      </c>
      <c r="E1023" t="inlineStr">
        <is>
          <t>70</t>
        </is>
      </c>
      <c r="F1023" t="inlineStr">
        <is>
          <t>Low</t>
        </is>
      </c>
      <c r="G1023" t="inlineStr">
        <is>
          <t>High (explicit)</t>
        </is>
      </c>
      <c r="H1023" s="11" t="inlineStr"/>
      <c r="I1023" s="11" t="inlineStr">
        <is>
          <t>Special Personal Information</t>
        </is>
      </c>
      <c r="J1023" t="inlineStr"/>
      <c r="K1023"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3" s="11" t="inlineStr">
        <is>
          <t>Relevant for DTIA as it involves cross-border sharing of criminal records for third-country nationals and stateless persons, requiring compliance with data transfer and processing rules.</t>
        </is>
      </c>
      <c r="M1023" s="11" t="inlineStr">
        <is>
          <t>• [Must] ECRIS-TCN is established to identify Member States holding conviction information on third-country nationals and stateless persons</t>
        </is>
      </c>
      <c r="N1023"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3" s="12" t="inlineStr">
        <is>
          <t>Open PDF</t>
        </is>
      </c>
    </row>
    <row r="1024">
      <c r="A1024" t="inlineStr">
        <is>
          <t>GDPR</t>
        </is>
      </c>
      <c r="B1024" t="inlineStr">
        <is>
          <t>OJ_L_202401689_EN_TXT (GDPR - Row 9)</t>
        </is>
      </c>
      <c r="C1024" t="inlineStr">
        <is>
          <t>6</t>
        </is>
      </c>
      <c r="D1024" s="11" t="inlineStr">
        <is>
          <t>European Criminal Records Information System for third-country nationals</t>
        </is>
      </c>
      <c r="E1024" t="inlineStr">
        <is>
          <t>74</t>
        </is>
      </c>
      <c r="F1024" t="inlineStr">
        <is>
          <t>Low</t>
        </is>
      </c>
      <c r="G1024" t="inlineStr">
        <is>
          <t>High (explicit)</t>
        </is>
      </c>
      <c r="H1024" s="11" t="inlineStr"/>
      <c r="I1024" s="11" t="inlineStr">
        <is>
          <t>Special Personal Information</t>
        </is>
      </c>
      <c r="J1024" t="inlineStr"/>
      <c r="K1024"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4" s="11" t="inlineStr">
        <is>
          <t>Relevant for DTIA as it involves cross-border sharing of criminal records for third-country nationals and stateless persons, requiring compliance with data transfer and processing rules.</t>
        </is>
      </c>
      <c r="M1024" s="11" t="inlineStr">
        <is>
          <t>• [Must] ECRIS-TCN is established to identify Member States holding conviction information on third-country nationals and stateless persons</t>
        </is>
      </c>
      <c r="N1024"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4" s="12" t="inlineStr">
        <is>
          <t>Open PDF</t>
        </is>
      </c>
    </row>
    <row r="1025">
      <c r="A1025" t="inlineStr">
        <is>
          <t>GDPR</t>
        </is>
      </c>
      <c r="B1025" t="inlineStr">
        <is>
          <t>OJ_L_202401689_EN_TXT (GDPR - Row 9)</t>
        </is>
      </c>
      <c r="C1025" t="inlineStr">
        <is>
          <t>6</t>
        </is>
      </c>
      <c r="D1025" s="11" t="inlineStr">
        <is>
          <t>European Criminal Records Information System for third-country nationals</t>
        </is>
      </c>
      <c r="E1025" t="inlineStr">
        <is>
          <t>79</t>
        </is>
      </c>
      <c r="F1025" t="inlineStr">
        <is>
          <t>Low</t>
        </is>
      </c>
      <c r="G1025" t="inlineStr">
        <is>
          <t>High (explicit)</t>
        </is>
      </c>
      <c r="H1025" s="11" t="inlineStr"/>
      <c r="I1025" s="11" t="inlineStr">
        <is>
          <t>Special Personal Information</t>
        </is>
      </c>
      <c r="J1025" t="inlineStr"/>
      <c r="K1025"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5" s="11" t="inlineStr">
        <is>
          <t>Relevant for DTIA as it involves cross-border sharing of criminal records for third-country nationals and stateless persons, requiring compliance with data transfer and processing rules.</t>
        </is>
      </c>
      <c r="M1025" s="11" t="inlineStr">
        <is>
          <t>• [Must] ECRIS-TCN is established to identify Member States holding conviction information on third-country nationals and stateless persons</t>
        </is>
      </c>
      <c r="N1025"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5" s="12" t="inlineStr">
        <is>
          <t>Open PDF</t>
        </is>
      </c>
    </row>
    <row r="1026">
      <c r="A1026" t="inlineStr">
        <is>
          <t>GDPR</t>
        </is>
      </c>
      <c r="B1026" t="inlineStr">
        <is>
          <t>OJ_L_202401689_EN_TXT (GDPR - Row 9)</t>
        </is>
      </c>
      <c r="C1026" t="inlineStr">
        <is>
          <t>6</t>
        </is>
      </c>
      <c r="D1026" s="11" t="inlineStr">
        <is>
          <t>European Criminal Records Information System for third-country nationals</t>
        </is>
      </c>
      <c r="E1026" t="inlineStr">
        <is>
          <t>100</t>
        </is>
      </c>
      <c r="F1026" t="inlineStr">
        <is>
          <t>Low</t>
        </is>
      </c>
      <c r="G1026" t="inlineStr">
        <is>
          <t>High (explicit)</t>
        </is>
      </c>
      <c r="H1026" s="11" t="inlineStr"/>
      <c r="I1026" s="11" t="inlineStr">
        <is>
          <t>Special Personal Information</t>
        </is>
      </c>
      <c r="J1026" t="inlineStr"/>
      <c r="K1026"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6" s="11" t="inlineStr">
        <is>
          <t>Relevant for DTIA as it involves cross-border sharing of criminal records for third-country nationals and stateless persons, requiring compliance with data transfer and processing rules.</t>
        </is>
      </c>
      <c r="M1026" s="11" t="inlineStr">
        <is>
          <t>• [Must] ECRIS-TCN is established to identify Member States holding conviction information on third-country nationals and stateless persons</t>
        </is>
      </c>
      <c r="N1026"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6" s="12" t="inlineStr">
        <is>
          <t>Open PDF</t>
        </is>
      </c>
    </row>
    <row r="1027">
      <c r="A1027" t="inlineStr">
        <is>
          <t>GDPR</t>
        </is>
      </c>
      <c r="B1027" t="inlineStr">
        <is>
          <t>OJ_L_202401689_EN_TXT (GDPR - Row 9)</t>
        </is>
      </c>
      <c r="C1027" t="inlineStr">
        <is>
          <t>6</t>
        </is>
      </c>
      <c r="D1027" s="11" t="inlineStr">
        <is>
          <t>European Criminal Records Information System for third-country nationals</t>
        </is>
      </c>
      <c r="E1027" t="inlineStr">
        <is>
          <t>102</t>
        </is>
      </c>
      <c r="F1027" t="inlineStr">
        <is>
          <t>Low</t>
        </is>
      </c>
      <c r="G1027" t="inlineStr">
        <is>
          <t>High (explicit)</t>
        </is>
      </c>
      <c r="H1027" s="11" t="inlineStr"/>
      <c r="I1027" s="11" t="inlineStr">
        <is>
          <t>Special Personal Information</t>
        </is>
      </c>
      <c r="J1027" t="inlineStr"/>
      <c r="K1027"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7" s="11" t="inlineStr">
        <is>
          <t>Relevant for DTIA as it involves cross-border sharing of criminal records for third-country nationals and stateless persons, requiring compliance with data transfer and processing rules.</t>
        </is>
      </c>
      <c r="M1027" s="11" t="inlineStr">
        <is>
          <t>• [Must] ECRIS-TCN is established to identify Member States holding conviction information on third-country nationals and stateless persons</t>
        </is>
      </c>
      <c r="N1027"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7" s="12" t="inlineStr">
        <is>
          <t>Open PDF</t>
        </is>
      </c>
    </row>
    <row r="1028">
      <c r="A1028" t="inlineStr">
        <is>
          <t>GDPR</t>
        </is>
      </c>
      <c r="B1028" t="inlineStr">
        <is>
          <t>OJ_L_202401689_EN_TXT (GDPR - Row 9)</t>
        </is>
      </c>
      <c r="C1028" t="inlineStr">
        <is>
          <t>6</t>
        </is>
      </c>
      <c r="D1028" s="11" t="inlineStr">
        <is>
          <t>European Criminal Records Information System for third-country nationals</t>
        </is>
      </c>
      <c r="E1028" t="inlineStr">
        <is>
          <t>103</t>
        </is>
      </c>
      <c r="F1028" t="inlineStr">
        <is>
          <t>Low</t>
        </is>
      </c>
      <c r="G1028" t="inlineStr">
        <is>
          <t>High (explicit)</t>
        </is>
      </c>
      <c r="H1028" s="11" t="inlineStr"/>
      <c r="I1028" s="11" t="inlineStr">
        <is>
          <t>Special Personal Information</t>
        </is>
      </c>
      <c r="J1028" t="inlineStr"/>
      <c r="K1028"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8" s="11" t="inlineStr">
        <is>
          <t>Relevant for DTIA as it involves cross-border sharing of criminal records for third-country nationals and stateless persons, requiring compliance with data transfer and processing rules.</t>
        </is>
      </c>
      <c r="M1028" s="11" t="inlineStr">
        <is>
          <t>• [Must] ECRIS-TCN is established to identify Member States holding conviction information on third-country nationals and stateless persons</t>
        </is>
      </c>
      <c r="N1028"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8" s="12" t="inlineStr">
        <is>
          <t>Open PDF</t>
        </is>
      </c>
    </row>
    <row r="1029">
      <c r="A1029" t="inlineStr">
        <is>
          <t>GDPR</t>
        </is>
      </c>
      <c r="B1029" t="inlineStr">
        <is>
          <t>OJ_L_202401689_EN_TXT (GDPR - Row 9)</t>
        </is>
      </c>
      <c r="C1029" t="inlineStr">
        <is>
          <t>6</t>
        </is>
      </c>
      <c r="D1029" s="11" t="inlineStr">
        <is>
          <t>European Criminal Records Information System for third-country nationals</t>
        </is>
      </c>
      <c r="E1029" t="inlineStr">
        <is>
          <t>107</t>
        </is>
      </c>
      <c r="F1029" t="inlineStr">
        <is>
          <t>Low</t>
        </is>
      </c>
      <c r="G1029" t="inlineStr">
        <is>
          <t>High (explicit)</t>
        </is>
      </c>
      <c r="H1029" s="11" t="inlineStr"/>
      <c r="I1029" s="11" t="inlineStr">
        <is>
          <t>Special Personal Information</t>
        </is>
      </c>
      <c r="J1029" t="inlineStr"/>
      <c r="K1029"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29" s="11" t="inlineStr">
        <is>
          <t>Relevant for DTIA as it involves cross-border sharing of criminal records for third-country nationals and stateless persons, requiring compliance with data transfer and processing rules.</t>
        </is>
      </c>
      <c r="M1029" s="11" t="inlineStr">
        <is>
          <t>• [Must] ECRIS-TCN is established to identify Member States holding conviction information on third-country nationals and stateless persons</t>
        </is>
      </c>
      <c r="N1029"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29" s="12" t="inlineStr">
        <is>
          <t>Open PDF</t>
        </is>
      </c>
    </row>
    <row r="1030">
      <c r="A1030" t="inlineStr">
        <is>
          <t>GDPR</t>
        </is>
      </c>
      <c r="B1030" t="inlineStr">
        <is>
          <t>OJ_L_202401689_EN_TXT (GDPR - Row 9)</t>
        </is>
      </c>
      <c r="C1030" t="inlineStr">
        <is>
          <t>6</t>
        </is>
      </c>
      <c r="D1030" s="11" t="inlineStr">
        <is>
          <t>European Criminal Records Information System for third-country nationals</t>
        </is>
      </c>
      <c r="E1030" t="inlineStr">
        <is>
          <t>118–121</t>
        </is>
      </c>
      <c r="F1030" t="inlineStr">
        <is>
          <t>Low</t>
        </is>
      </c>
      <c r="G1030" t="inlineStr">
        <is>
          <t>High (explicit)</t>
        </is>
      </c>
      <c r="H1030" s="11" t="inlineStr"/>
      <c r="I1030" s="11" t="inlineStr">
        <is>
          <t>Special Personal Information</t>
        </is>
      </c>
      <c r="J1030" t="inlineStr"/>
      <c r="K1030"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30" s="11" t="inlineStr">
        <is>
          <t>Relevant for DTIA as it involves cross-border sharing of criminal records for third-country nationals and stateless persons, requiring compliance with data transfer and processing rules.</t>
        </is>
      </c>
      <c r="M1030" s="11" t="inlineStr">
        <is>
          <t>• [Must] ECRIS-TCN is established to identify Member States holding conviction information on third-country nationals and stateless persons</t>
        </is>
      </c>
      <c r="N1030"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30" s="12" t="inlineStr">
        <is>
          <t>Open PDF</t>
        </is>
      </c>
    </row>
    <row r="1031">
      <c r="A1031" t="inlineStr">
        <is>
          <t>GDPR</t>
        </is>
      </c>
      <c r="B1031" t="inlineStr">
        <is>
          <t>OJ_L_202401689_EN_TXT (GDPR - Row 9)</t>
        </is>
      </c>
      <c r="C1031" t="inlineStr">
        <is>
          <t>6</t>
        </is>
      </c>
      <c r="D1031" s="11" t="inlineStr">
        <is>
          <t>European Criminal Records Information System for third-country nationals</t>
        </is>
      </c>
      <c r="E1031" t="inlineStr">
        <is>
          <t>140</t>
        </is>
      </c>
      <c r="F1031" t="inlineStr">
        <is>
          <t>Low</t>
        </is>
      </c>
      <c r="G1031" t="inlineStr">
        <is>
          <t>High (explicit)</t>
        </is>
      </c>
      <c r="H1031" s="11" t="inlineStr"/>
      <c r="I1031" s="11" t="inlineStr">
        <is>
          <t>Special Personal Information</t>
        </is>
      </c>
      <c r="J1031" t="inlineStr"/>
      <c r="K1031" s="11" t="inlineStr">
        <is>
          <t>Regulates the European Criminal Records Information System (ECRIS-TCN) for identifying Member States holding conviction information on third-country nationals and stateless persons. This system supplements the European Criminal Records Information System and amends Regulation (EU) 2018/1726.</t>
        </is>
      </c>
      <c r="L1031" s="11" t="inlineStr">
        <is>
          <t>Relevant for DTIA as it involves cross-border sharing of criminal records for third-country nationals and stateless persons, requiring compliance with data transfer and processing rules.</t>
        </is>
      </c>
      <c r="M1031" s="11" t="inlineStr">
        <is>
          <t>• [Must] ECRIS-TCN is established to identify Member States holding conviction information on third-country nationals and stateless persons</t>
        </is>
      </c>
      <c r="N1031" s="11" t="inlineStr">
        <is>
          <t>6. European Criminal Records Information System on third-country nationals and stateless persons 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is>
      </c>
      <c r="O1031" s="12" t="inlineStr">
        <is>
          <t>Open PDF</t>
        </is>
      </c>
    </row>
    <row r="1032">
      <c r="A1032" t="inlineStr">
        <is>
          <t>GDPR</t>
        </is>
      </c>
      <c r="B1032" t="inlineStr">
        <is>
          <t>OJ_L_202401689_EN_TXT (GDPR - Row 9)</t>
        </is>
      </c>
      <c r="C1032" t="inlineStr">
        <is>
          <t>7</t>
        </is>
      </c>
      <c r="D1032" s="11" t="inlineStr">
        <is>
          <t>Annual reporting of administrative fines by European Data Protection Supervisor</t>
        </is>
      </c>
      <c r="E1032" t="inlineStr">
        <is>
          <t>46</t>
        </is>
      </c>
      <c r="F1032" t="inlineStr">
        <is>
          <t>High</t>
        </is>
      </c>
      <c r="G1032" t="inlineStr">
        <is>
          <t>High (explicit)</t>
        </is>
      </c>
      <c r="H1032" s="11" t="inlineStr">
        <is>
          <t>Incident Reporting, Breach Notification</t>
        </is>
      </c>
      <c r="I1032" s="11" t="inlineStr"/>
      <c r="J1032" t="inlineStr">
        <is>
          <t>European Data Protection Supervisor</t>
        </is>
      </c>
      <c r="K1032"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2" s="11" t="inlineStr">
        <is>
          <t>This section mandates annual reporting of fines, which affects DTIA by requiring assessment of fine imposition mechanisms and their impact on data transfer compliance.</t>
        </is>
      </c>
      <c r="M1032" s="11" t="inlineStr">
        <is>
          <t>• [Must] European Data Protection Supervisor shall notify Commission annually of administrative fines imposed
• [Must] European Data Protection Supervisor shall notify Commission annually of litigation or judicial proceedings initiated</t>
        </is>
      </c>
      <c r="N1032" s="11" t="inlineStr">
        <is>
          <t>The European Data Protection Supervisor shall, on an annual basis, notify the Commission of the administrative fines it has imposed pursuant to this Article and of any litigation or judicial proceedings it has initiated.</t>
        </is>
      </c>
      <c r="O1032" s="12" t="inlineStr">
        <is>
          <t>Open PDF</t>
        </is>
      </c>
    </row>
    <row r="1033">
      <c r="A1033" t="inlineStr">
        <is>
          <t>GDPR</t>
        </is>
      </c>
      <c r="B1033" t="inlineStr">
        <is>
          <t>OJ_L_202401689_EN_TXT (GDPR - Row 9)</t>
        </is>
      </c>
      <c r="C1033" t="inlineStr">
        <is>
          <t>7</t>
        </is>
      </c>
      <c r="D1033" s="11" t="inlineStr">
        <is>
          <t>Annual reporting of administrative fines by European Data Protection Supervisor</t>
        </is>
      </c>
      <c r="E1033" t="inlineStr">
        <is>
          <t>70</t>
        </is>
      </c>
      <c r="F1033" t="inlineStr">
        <is>
          <t>High</t>
        </is>
      </c>
      <c r="G1033" t="inlineStr">
        <is>
          <t>High (explicit)</t>
        </is>
      </c>
      <c r="H1033" s="11" t="inlineStr">
        <is>
          <t>Incident Reporting, Breach Notification</t>
        </is>
      </c>
      <c r="I1033" s="11" t="inlineStr"/>
      <c r="J1033" t="inlineStr">
        <is>
          <t>European Data Protection Supervisor</t>
        </is>
      </c>
      <c r="K1033"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3" s="11" t="inlineStr">
        <is>
          <t>This section mandates annual reporting of fines, which affects DTIA by requiring assessment of fine imposition mechanisms and their impact on data transfer compliance.</t>
        </is>
      </c>
      <c r="M1033" s="11" t="inlineStr">
        <is>
          <t>• [Must] European Data Protection Supervisor shall notify Commission annually of administrative fines imposed
• [Must] European Data Protection Supervisor shall notify Commission annually of litigation or judicial proceedings initiated</t>
        </is>
      </c>
      <c r="N1033" s="11" t="inlineStr">
        <is>
          <t>The European Data Protection Supervisor shall, on an annual basis, notify the Commission of the administrative fines it has imposed pursuant to this Article and of any litigation or judicial proceedings it has initiated.</t>
        </is>
      </c>
      <c r="O1033" s="12" t="inlineStr">
        <is>
          <t>Open PDF</t>
        </is>
      </c>
    </row>
    <row r="1034">
      <c r="A1034" t="inlineStr">
        <is>
          <t>GDPR</t>
        </is>
      </c>
      <c r="B1034" t="inlineStr">
        <is>
          <t>OJ_L_202401689_EN_TXT (GDPR - Row 9)</t>
        </is>
      </c>
      <c r="C1034" t="inlineStr">
        <is>
          <t>7</t>
        </is>
      </c>
      <c r="D1034" s="11" t="inlineStr">
        <is>
          <t>Annual reporting of administrative fines by European Data Protection Supervisor</t>
        </is>
      </c>
      <c r="E1034" t="inlineStr">
        <is>
          <t>72</t>
        </is>
      </c>
      <c r="F1034" t="inlineStr">
        <is>
          <t>High</t>
        </is>
      </c>
      <c r="G1034" t="inlineStr">
        <is>
          <t>High (explicit)</t>
        </is>
      </c>
      <c r="H1034" s="11" t="inlineStr">
        <is>
          <t>Incident Reporting, Breach Notification</t>
        </is>
      </c>
      <c r="I1034" s="11" t="inlineStr"/>
      <c r="J1034" t="inlineStr">
        <is>
          <t>European Data Protection Supervisor</t>
        </is>
      </c>
      <c r="K1034"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4" s="11" t="inlineStr">
        <is>
          <t>This section mandates annual reporting of fines, which affects DTIA by requiring assessment of fine imposition mechanisms and their impact on data transfer compliance.</t>
        </is>
      </c>
      <c r="M1034" s="11" t="inlineStr">
        <is>
          <t>• [Must] European Data Protection Supervisor shall notify Commission annually of administrative fines imposed
• [Must] European Data Protection Supervisor shall notify Commission annually of litigation or judicial proceedings initiated</t>
        </is>
      </c>
      <c r="N1034" s="11" t="inlineStr">
        <is>
          <t>The European Data Protection Supervisor shall, on an annual basis, notify the Commission of the administrative fines it has imposed pursuant to this Article and of any litigation or judicial proceedings it has initiated.</t>
        </is>
      </c>
      <c r="O1034" s="12" t="inlineStr">
        <is>
          <t>Open PDF</t>
        </is>
      </c>
    </row>
    <row r="1035">
      <c r="A1035" t="inlineStr">
        <is>
          <t>GDPR</t>
        </is>
      </c>
      <c r="B1035" t="inlineStr">
        <is>
          <t>OJ_L_202401689_EN_TXT (GDPR - Row 9)</t>
        </is>
      </c>
      <c r="C1035" t="inlineStr">
        <is>
          <t>7</t>
        </is>
      </c>
      <c r="D1035" s="11" t="inlineStr">
        <is>
          <t>Annual reporting of administrative fines by European Data Protection Supervisor</t>
        </is>
      </c>
      <c r="E1035" t="inlineStr">
        <is>
          <t>74</t>
        </is>
      </c>
      <c r="F1035" t="inlineStr">
        <is>
          <t>High</t>
        </is>
      </c>
      <c r="G1035" t="inlineStr">
        <is>
          <t>High (explicit)</t>
        </is>
      </c>
      <c r="H1035" s="11" t="inlineStr">
        <is>
          <t>Incident Reporting, Breach Notification</t>
        </is>
      </c>
      <c r="I1035" s="11" t="inlineStr"/>
      <c r="J1035" t="inlineStr">
        <is>
          <t>European Data Protection Supervisor</t>
        </is>
      </c>
      <c r="K1035"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5" s="11" t="inlineStr">
        <is>
          <t>This section mandates annual reporting of fines, which affects DTIA by requiring assessment of fine imposition mechanisms and their impact on data transfer compliance.</t>
        </is>
      </c>
      <c r="M1035" s="11" t="inlineStr">
        <is>
          <t>• [Must] European Data Protection Supervisor shall notify Commission annually of administrative fines imposed
• [Must] European Data Protection Supervisor shall notify Commission annually of litigation or judicial proceedings initiated</t>
        </is>
      </c>
      <c r="N1035" s="11" t="inlineStr">
        <is>
          <t>The European Data Protection Supervisor shall, on an annual basis, notify the Commission of the administrative fines it has imposed pursuant to this Article and of any litigation or judicial proceedings it has initiated.</t>
        </is>
      </c>
      <c r="O1035" s="12" t="inlineStr">
        <is>
          <t>Open PDF</t>
        </is>
      </c>
    </row>
    <row r="1036">
      <c r="A1036" t="inlineStr">
        <is>
          <t>GDPR</t>
        </is>
      </c>
      <c r="B1036" t="inlineStr">
        <is>
          <t>OJ_L_202401689_EN_TXT (GDPR - Row 9)</t>
        </is>
      </c>
      <c r="C1036" t="inlineStr">
        <is>
          <t>7</t>
        </is>
      </c>
      <c r="D1036" s="11" t="inlineStr">
        <is>
          <t>Annual reporting of administrative fines by European Data Protection Supervisor</t>
        </is>
      </c>
      <c r="E1036" t="inlineStr">
        <is>
          <t>85</t>
        </is>
      </c>
      <c r="F1036" t="inlineStr">
        <is>
          <t>High</t>
        </is>
      </c>
      <c r="G1036" t="inlineStr">
        <is>
          <t>High (explicit)</t>
        </is>
      </c>
      <c r="H1036" s="11" t="inlineStr">
        <is>
          <t>Incident Reporting, Breach Notification</t>
        </is>
      </c>
      <c r="I1036" s="11" t="inlineStr"/>
      <c r="J1036" t="inlineStr">
        <is>
          <t>European Data Protection Supervisor</t>
        </is>
      </c>
      <c r="K1036"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6" s="11" t="inlineStr">
        <is>
          <t>This section mandates annual reporting of fines, which affects DTIA by requiring assessment of fine imposition mechanisms and their impact on data transfer compliance.</t>
        </is>
      </c>
      <c r="M1036" s="11" t="inlineStr">
        <is>
          <t>• [Must] European Data Protection Supervisor shall notify Commission annually of administrative fines imposed
• [Must] European Data Protection Supervisor shall notify Commission annually of litigation or judicial proceedings initiated</t>
        </is>
      </c>
      <c r="N1036" s="11" t="inlineStr">
        <is>
          <t>The European Data Protection Supervisor shall, on an annual basis, notify the Commission of the administrative fines it has imposed pursuant to this Article and of any litigation or judicial proceedings it has initiated.</t>
        </is>
      </c>
      <c r="O1036" s="12" t="inlineStr">
        <is>
          <t>Open PDF</t>
        </is>
      </c>
    </row>
    <row r="1037">
      <c r="A1037" t="inlineStr">
        <is>
          <t>GDPR</t>
        </is>
      </c>
      <c r="B1037" t="inlineStr">
        <is>
          <t>OJ_L_202401689_EN_TXT (GDPR - Row 9)</t>
        </is>
      </c>
      <c r="C1037" t="inlineStr">
        <is>
          <t>7</t>
        </is>
      </c>
      <c r="D1037" s="11" t="inlineStr">
        <is>
          <t>Annual reporting of administrative fines by European Data Protection Supervisor</t>
        </is>
      </c>
      <c r="E1037" t="inlineStr">
        <is>
          <t>88</t>
        </is>
      </c>
      <c r="F1037" t="inlineStr">
        <is>
          <t>High</t>
        </is>
      </c>
      <c r="G1037" t="inlineStr">
        <is>
          <t>High (explicit)</t>
        </is>
      </c>
      <c r="H1037" s="11" t="inlineStr">
        <is>
          <t>Incident Reporting, Breach Notification</t>
        </is>
      </c>
      <c r="I1037" s="11" t="inlineStr"/>
      <c r="J1037" t="inlineStr">
        <is>
          <t>European Data Protection Supervisor</t>
        </is>
      </c>
      <c r="K1037"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7" s="11" t="inlineStr">
        <is>
          <t>This section mandates annual reporting of fines, which affects DTIA by requiring assessment of fine imposition mechanisms and their impact on data transfer compliance.</t>
        </is>
      </c>
      <c r="M1037" s="11" t="inlineStr">
        <is>
          <t>• [Must] European Data Protection Supervisor shall notify Commission annually of administrative fines imposed
• [Must] European Data Protection Supervisor shall notify Commission annually of litigation or judicial proceedings initiated</t>
        </is>
      </c>
      <c r="N1037" s="11" t="inlineStr">
        <is>
          <t>The European Data Protection Supervisor shall, on an annual basis, notify the Commission of the administrative fines it has imposed pursuant to this Article and of any litigation or judicial proceedings it has initiated.</t>
        </is>
      </c>
      <c r="O1037" s="12" t="inlineStr">
        <is>
          <t>Open PDF</t>
        </is>
      </c>
    </row>
    <row r="1038">
      <c r="A1038" t="inlineStr">
        <is>
          <t>GDPR</t>
        </is>
      </c>
      <c r="B1038" t="inlineStr">
        <is>
          <t>OJ_L_202401689_EN_TXT (GDPR - Row 9)</t>
        </is>
      </c>
      <c r="C1038" t="inlineStr">
        <is>
          <t>7</t>
        </is>
      </c>
      <c r="D1038" s="11" t="inlineStr">
        <is>
          <t>Annual reporting of administrative fines by European Data Protection Supervisor</t>
        </is>
      </c>
      <c r="E1038" t="inlineStr">
        <is>
          <t>93</t>
        </is>
      </c>
      <c r="F1038" t="inlineStr">
        <is>
          <t>High</t>
        </is>
      </c>
      <c r="G1038" t="inlineStr">
        <is>
          <t>High (explicit)</t>
        </is>
      </c>
      <c r="H1038" s="11" t="inlineStr">
        <is>
          <t>Incident Reporting, Breach Notification</t>
        </is>
      </c>
      <c r="I1038" s="11" t="inlineStr"/>
      <c r="J1038" t="inlineStr">
        <is>
          <t>European Data Protection Supervisor</t>
        </is>
      </c>
      <c r="K1038"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8" s="11" t="inlineStr">
        <is>
          <t>This section mandates annual reporting of fines, which affects DTIA by requiring assessment of fine imposition mechanisms and their impact on data transfer compliance.</t>
        </is>
      </c>
      <c r="M1038" s="11" t="inlineStr">
        <is>
          <t>• [Must] European Data Protection Supervisor shall notify Commission annually of administrative fines imposed
• [Must] European Data Protection Supervisor shall notify Commission annually of litigation or judicial proceedings initiated</t>
        </is>
      </c>
      <c r="N1038" s="11" t="inlineStr">
        <is>
          <t>The European Data Protection Supervisor shall, on an annual basis, notify the Commission of the administrative fines it has imposed pursuant to this Article and of any litigation or judicial proceedings it has initiated.</t>
        </is>
      </c>
      <c r="O1038" s="12" t="inlineStr">
        <is>
          <t>Open PDF</t>
        </is>
      </c>
    </row>
    <row r="1039">
      <c r="A1039" t="inlineStr">
        <is>
          <t>GDPR</t>
        </is>
      </c>
      <c r="B1039" t="inlineStr">
        <is>
          <t>OJ_L_202401689_EN_TXT (GDPR - Row 9)</t>
        </is>
      </c>
      <c r="C1039" t="inlineStr">
        <is>
          <t>7</t>
        </is>
      </c>
      <c r="D1039" s="11" t="inlineStr">
        <is>
          <t>Annual reporting of administrative fines by European Data Protection Supervisor</t>
        </is>
      </c>
      <c r="E1039" t="inlineStr">
        <is>
          <t>102</t>
        </is>
      </c>
      <c r="F1039" t="inlineStr">
        <is>
          <t>High</t>
        </is>
      </c>
      <c r="G1039" t="inlineStr">
        <is>
          <t>High (explicit)</t>
        </is>
      </c>
      <c r="H1039" s="11" t="inlineStr">
        <is>
          <t>Incident Reporting, Breach Notification</t>
        </is>
      </c>
      <c r="I1039" s="11" t="inlineStr"/>
      <c r="J1039" t="inlineStr">
        <is>
          <t>European Data Protection Supervisor</t>
        </is>
      </c>
      <c r="K1039"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39" s="11" t="inlineStr">
        <is>
          <t>This section mandates annual reporting of fines, which affects DTIA by requiring assessment of fine imposition mechanisms and their impact on data transfer compliance.</t>
        </is>
      </c>
      <c r="M1039" s="11" t="inlineStr">
        <is>
          <t>• [Must] European Data Protection Supervisor shall notify Commission annually of administrative fines imposed
• [Must] European Data Protection Supervisor shall notify Commission annually of litigation or judicial proceedings initiated</t>
        </is>
      </c>
      <c r="N1039" s="11" t="inlineStr">
        <is>
          <t>The European Data Protection Supervisor shall, on an annual basis, notify the Commission of the administrative fines it has imposed pursuant to this Article and of any litigation or judicial proceedings it has initiated.</t>
        </is>
      </c>
      <c r="O1039" s="12" t="inlineStr">
        <is>
          <t>Open PDF</t>
        </is>
      </c>
    </row>
    <row r="1040">
      <c r="A1040" t="inlineStr">
        <is>
          <t>GDPR</t>
        </is>
      </c>
      <c r="B1040" t="inlineStr">
        <is>
          <t>OJ_L_202401689_EN_TXT (GDPR - Row 9)</t>
        </is>
      </c>
      <c r="C1040" t="inlineStr">
        <is>
          <t>7</t>
        </is>
      </c>
      <c r="D1040" s="11" t="inlineStr">
        <is>
          <t>Annual reporting of administrative fines by European Data Protection Supervisor</t>
        </is>
      </c>
      <c r="E1040" t="inlineStr">
        <is>
          <t>103</t>
        </is>
      </c>
      <c r="F1040" t="inlineStr">
        <is>
          <t>High</t>
        </is>
      </c>
      <c r="G1040" t="inlineStr">
        <is>
          <t>High (explicit)</t>
        </is>
      </c>
      <c r="H1040" s="11" t="inlineStr">
        <is>
          <t>Incident Reporting, Breach Notification</t>
        </is>
      </c>
      <c r="I1040" s="11" t="inlineStr"/>
      <c r="J1040" t="inlineStr">
        <is>
          <t>European Data Protection Supervisor</t>
        </is>
      </c>
      <c r="K1040"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40" s="11" t="inlineStr">
        <is>
          <t>This section mandates annual reporting of fines, which affects DTIA by requiring assessment of fine imposition mechanisms and their impact on data transfer compliance.</t>
        </is>
      </c>
      <c r="M1040" s="11" t="inlineStr">
        <is>
          <t>• [Must] European Data Protection Supervisor shall notify Commission annually of administrative fines imposed
• [Must] European Data Protection Supervisor shall notify Commission annually of litigation or judicial proceedings initiated</t>
        </is>
      </c>
      <c r="N1040" s="11" t="inlineStr">
        <is>
          <t>The European Data Protection Supervisor shall, on an annual basis, notify the Commission of the administrative fines it has imposed pursuant to this Article and of any litigation or judicial proceedings it has initiated.</t>
        </is>
      </c>
      <c r="O1040" s="12" t="inlineStr">
        <is>
          <t>Open PDF</t>
        </is>
      </c>
    </row>
    <row r="1041">
      <c r="A1041" t="inlineStr">
        <is>
          <t>GDPR</t>
        </is>
      </c>
      <c r="B1041" t="inlineStr">
        <is>
          <t>OJ_L_202401689_EN_TXT (GDPR - Row 9)</t>
        </is>
      </c>
      <c r="C1041" t="inlineStr">
        <is>
          <t>7</t>
        </is>
      </c>
      <c r="D1041" s="11" t="inlineStr">
        <is>
          <t>Annual reporting of administrative fines by European Data Protection Supervisor</t>
        </is>
      </c>
      <c r="E1041" t="inlineStr">
        <is>
          <t>116</t>
        </is>
      </c>
      <c r="F1041" t="inlineStr">
        <is>
          <t>High</t>
        </is>
      </c>
      <c r="G1041" t="inlineStr">
        <is>
          <t>High (explicit)</t>
        </is>
      </c>
      <c r="H1041" s="11" t="inlineStr">
        <is>
          <t>Incident Reporting, Breach Notification</t>
        </is>
      </c>
      <c r="I1041" s="11" t="inlineStr"/>
      <c r="J1041" t="inlineStr">
        <is>
          <t>European Data Protection Supervisor</t>
        </is>
      </c>
      <c r="K1041"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41" s="11" t="inlineStr">
        <is>
          <t>This section mandates annual reporting of fines, which affects DTIA by requiring assessment of fine imposition mechanisms and their impact on data transfer compliance.</t>
        </is>
      </c>
      <c r="M1041" s="11" t="inlineStr">
        <is>
          <t>• [Must] European Data Protection Supervisor shall notify Commission annually of administrative fines imposed
• [Must] European Data Protection Supervisor shall notify Commission annually of litigation or judicial proceedings initiated</t>
        </is>
      </c>
      <c r="N1041" s="11" t="inlineStr">
        <is>
          <t>The European Data Protection Supervisor shall, on an annual basis, notify the Commission of the administrative fines it has imposed pursuant to this Article and of any litigation or judicial proceedings it has initiated.</t>
        </is>
      </c>
      <c r="O1041" s="12" t="inlineStr">
        <is>
          <t>Open PDF</t>
        </is>
      </c>
    </row>
    <row r="1042">
      <c r="A1042" t="inlineStr">
        <is>
          <t>GDPR</t>
        </is>
      </c>
      <c r="B1042" t="inlineStr">
        <is>
          <t>OJ_L_202401689_EN_TXT (GDPR - Row 9)</t>
        </is>
      </c>
      <c r="C1042" t="inlineStr">
        <is>
          <t>7</t>
        </is>
      </c>
      <c r="D1042" s="11" t="inlineStr">
        <is>
          <t>Annual reporting of administrative fines by European Data Protection Supervisor</t>
        </is>
      </c>
      <c r="E1042" t="inlineStr">
        <is>
          <t>117</t>
        </is>
      </c>
      <c r="F1042" t="inlineStr">
        <is>
          <t>High</t>
        </is>
      </c>
      <c r="G1042" t="inlineStr">
        <is>
          <t>High (explicit)</t>
        </is>
      </c>
      <c r="H1042" s="11" t="inlineStr">
        <is>
          <t>Incident Reporting, Breach Notification</t>
        </is>
      </c>
      <c r="I1042" s="11" t="inlineStr"/>
      <c r="J1042" t="inlineStr">
        <is>
          <t>European Data Protection Supervisor</t>
        </is>
      </c>
      <c r="K1042" s="11" t="inlineStr">
        <is>
          <t>The European Data Protection Supervisor must annually report to the Commission all administrative fines imposed and any litigation or judicial proceedings initiated under this Regulation. This reporting obligation applies to the Supervisor and covers fines related to data protection violations.</t>
        </is>
      </c>
      <c r="L1042" s="11" t="inlineStr">
        <is>
          <t>This section mandates annual reporting of fines, which affects DTIA by requiring assessment of fine imposition mechanisms and their impact on data transfer compliance.</t>
        </is>
      </c>
      <c r="M1042" s="11" t="inlineStr">
        <is>
          <t>• [Must] European Data Protection Supervisor shall notify Commission annually of administrative fines imposed
• [Must] European Data Protection Supervisor shall notify Commission annually of litigation or judicial proceedings initiated</t>
        </is>
      </c>
      <c r="N1042" s="11" t="inlineStr">
        <is>
          <t>The European Data Protection Supervisor shall, on an annual basis, notify the Commission of the administrative fines it has imposed pursuant to this Article and of any litigation or judicial proceedings it has initiated.</t>
        </is>
      </c>
      <c r="O1042" s="12" t="inlineStr">
        <is>
          <t>Open PDF</t>
        </is>
      </c>
    </row>
    <row r="1043">
      <c r="A1043" t="inlineStr">
        <is>
          <t>GDPR</t>
        </is>
      </c>
      <c r="B1043" t="inlineStr">
        <is>
          <t>OJ_L_202401689_EN_TXT (GDPR - Row 9)</t>
        </is>
      </c>
      <c r="C1043" t="inlineStr">
        <is>
          <t>8</t>
        </is>
      </c>
      <c r="D1043" s="11" t="inlineStr">
        <is>
          <t>Justice and democratic processes AI systems</t>
        </is>
      </c>
      <c r="E1043" t="inlineStr">
        <is>
          <t>74–75</t>
        </is>
      </c>
      <c r="F1043" t="inlineStr">
        <is>
          <t>High</t>
        </is>
      </c>
      <c r="G1043" t="inlineStr">
        <is>
          <t>High (explicit)</t>
        </is>
      </c>
      <c r="H1043"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3" s="11" t="inlineStr">
        <is>
          <t>Personal Information</t>
        </is>
      </c>
      <c r="J1043" t="inlineStr"/>
      <c r="K1043"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3" s="11" t="inlineStr"/>
      <c r="M1043"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3"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3" s="12" t="inlineStr">
        <is>
          <t>Open PDF</t>
        </is>
      </c>
    </row>
    <row r="1044">
      <c r="A1044" t="inlineStr">
        <is>
          <t>GDPR</t>
        </is>
      </c>
      <c r="B1044" t="inlineStr">
        <is>
          <t>OJ_L_202401689_EN_TXT (GDPR - Row 9)</t>
        </is>
      </c>
      <c r="C1044" t="inlineStr">
        <is>
          <t>8</t>
        </is>
      </c>
      <c r="D1044" s="11" t="inlineStr">
        <is>
          <t>Justice and democratic processes AI systems</t>
        </is>
      </c>
      <c r="E1044" t="inlineStr">
        <is>
          <t>88</t>
        </is>
      </c>
      <c r="F1044" t="inlineStr">
        <is>
          <t>High</t>
        </is>
      </c>
      <c r="G1044" t="inlineStr">
        <is>
          <t>High (explicit)</t>
        </is>
      </c>
      <c r="H1044"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4" s="11" t="inlineStr">
        <is>
          <t>Personal Information</t>
        </is>
      </c>
      <c r="J1044" t="inlineStr"/>
      <c r="K1044"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4" s="11" t="inlineStr"/>
      <c r="M1044"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4"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4" s="12" t="inlineStr">
        <is>
          <t>Open PDF</t>
        </is>
      </c>
    </row>
    <row r="1045">
      <c r="A1045" t="inlineStr">
        <is>
          <t>GDPR</t>
        </is>
      </c>
      <c r="B1045" t="inlineStr">
        <is>
          <t>OJ_L_202401689_EN_TXT (GDPR - Row 9)</t>
        </is>
      </c>
      <c r="C1045" t="inlineStr">
        <is>
          <t>8</t>
        </is>
      </c>
      <c r="D1045" s="11" t="inlineStr">
        <is>
          <t>Justice and democratic processes AI systems</t>
        </is>
      </c>
      <c r="E1045" t="inlineStr">
        <is>
          <t>93</t>
        </is>
      </c>
      <c r="F1045" t="inlineStr">
        <is>
          <t>High</t>
        </is>
      </c>
      <c r="G1045" t="inlineStr">
        <is>
          <t>High (explicit)</t>
        </is>
      </c>
      <c r="H1045"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5" s="11" t="inlineStr">
        <is>
          <t>Personal Information</t>
        </is>
      </c>
      <c r="J1045" t="inlineStr"/>
      <c r="K1045"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5" s="11" t="inlineStr"/>
      <c r="M1045"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5"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5" s="12" t="inlineStr">
        <is>
          <t>Open PDF</t>
        </is>
      </c>
    </row>
    <row r="1046">
      <c r="A1046" t="inlineStr">
        <is>
          <t>GDPR</t>
        </is>
      </c>
      <c r="B1046" t="inlineStr">
        <is>
          <t>OJ_L_202401689_EN_TXT (GDPR - Row 9)</t>
        </is>
      </c>
      <c r="C1046" t="inlineStr">
        <is>
          <t>8</t>
        </is>
      </c>
      <c r="D1046" s="11" t="inlineStr">
        <is>
          <t>Justice and democratic processes AI systems</t>
        </is>
      </c>
      <c r="E1046" t="inlineStr">
        <is>
          <t>96–97</t>
        </is>
      </c>
      <c r="F1046" t="inlineStr">
        <is>
          <t>High</t>
        </is>
      </c>
      <c r="G1046" t="inlineStr">
        <is>
          <t>High (explicit)</t>
        </is>
      </c>
      <c r="H1046"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6" s="11" t="inlineStr">
        <is>
          <t>Personal Information</t>
        </is>
      </c>
      <c r="J1046" t="inlineStr"/>
      <c r="K1046"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6" s="11" t="inlineStr"/>
      <c r="M1046"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6"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6" s="12" t="inlineStr">
        <is>
          <t>Open PDF</t>
        </is>
      </c>
    </row>
    <row r="1047">
      <c r="A1047" t="inlineStr">
        <is>
          <t>GDPR</t>
        </is>
      </c>
      <c r="B1047" t="inlineStr">
        <is>
          <t>OJ_L_202401689_EN_TXT (GDPR - Row 9)</t>
        </is>
      </c>
      <c r="C1047" t="inlineStr">
        <is>
          <t>8</t>
        </is>
      </c>
      <c r="D1047" s="11" t="inlineStr">
        <is>
          <t>Justice and democratic processes AI systems</t>
        </is>
      </c>
      <c r="E1047" t="inlineStr">
        <is>
          <t>102</t>
        </is>
      </c>
      <c r="F1047" t="inlineStr">
        <is>
          <t>High</t>
        </is>
      </c>
      <c r="G1047" t="inlineStr">
        <is>
          <t>High (explicit)</t>
        </is>
      </c>
      <c r="H1047"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7" s="11" t="inlineStr">
        <is>
          <t>Personal Information</t>
        </is>
      </c>
      <c r="J1047" t="inlineStr"/>
      <c r="K1047"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7" s="11" t="inlineStr"/>
      <c r="M1047"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7"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7" s="12" t="inlineStr">
        <is>
          <t>Open PDF</t>
        </is>
      </c>
    </row>
    <row r="1048">
      <c r="A1048" t="inlineStr">
        <is>
          <t>GDPR</t>
        </is>
      </c>
      <c r="B1048" t="inlineStr">
        <is>
          <t>OJ_L_202401689_EN_TXT (GDPR - Row 9)</t>
        </is>
      </c>
      <c r="C1048" t="inlineStr">
        <is>
          <t>8</t>
        </is>
      </c>
      <c r="D1048" s="11" t="inlineStr">
        <is>
          <t>Justice and democratic processes AI systems</t>
        </is>
      </c>
      <c r="E1048" t="inlineStr">
        <is>
          <t>103</t>
        </is>
      </c>
      <c r="F1048" t="inlineStr">
        <is>
          <t>High</t>
        </is>
      </c>
      <c r="G1048" t="inlineStr">
        <is>
          <t>High (explicit)</t>
        </is>
      </c>
      <c r="H1048"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8" s="11" t="inlineStr">
        <is>
          <t>Personal Information</t>
        </is>
      </c>
      <c r="J1048" t="inlineStr"/>
      <c r="K1048"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8" s="11" t="inlineStr"/>
      <c r="M1048"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8"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8" s="12" t="inlineStr">
        <is>
          <t>Open PDF</t>
        </is>
      </c>
    </row>
    <row r="1049">
      <c r="A1049" t="inlineStr">
        <is>
          <t>GDPR</t>
        </is>
      </c>
      <c r="B1049" t="inlineStr">
        <is>
          <t>OJ_L_202401689_EN_TXT (GDPR - Row 9)</t>
        </is>
      </c>
      <c r="C1049" t="inlineStr">
        <is>
          <t>8</t>
        </is>
      </c>
      <c r="D1049" s="11" t="inlineStr">
        <is>
          <t>Justice and democratic processes AI systems</t>
        </is>
      </c>
      <c r="E1049" t="inlineStr">
        <is>
          <t>107</t>
        </is>
      </c>
      <c r="F1049" t="inlineStr">
        <is>
          <t>High</t>
        </is>
      </c>
      <c r="G1049" t="inlineStr">
        <is>
          <t>High (explicit)</t>
        </is>
      </c>
      <c r="H1049"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49" s="11" t="inlineStr">
        <is>
          <t>Personal Information</t>
        </is>
      </c>
      <c r="J1049" t="inlineStr"/>
      <c r="K1049"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49" s="11" t="inlineStr"/>
      <c r="M1049"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49"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49" s="12" t="inlineStr">
        <is>
          <t>Open PDF</t>
        </is>
      </c>
    </row>
    <row r="1050">
      <c r="A1050" t="inlineStr">
        <is>
          <t>GDPR</t>
        </is>
      </c>
      <c r="B1050" t="inlineStr">
        <is>
          <t>OJ_L_202401689_EN_TXT (GDPR - Row 9)</t>
        </is>
      </c>
      <c r="C1050" t="inlineStr">
        <is>
          <t>8</t>
        </is>
      </c>
      <c r="D1050" s="11" t="inlineStr">
        <is>
          <t>Justice and democratic processes AI systems</t>
        </is>
      </c>
      <c r="E1050" t="inlineStr">
        <is>
          <t>128–130</t>
        </is>
      </c>
      <c r="F1050" t="inlineStr">
        <is>
          <t>High</t>
        </is>
      </c>
      <c r="G1050" t="inlineStr">
        <is>
          <t>High (explicit)</t>
        </is>
      </c>
      <c r="H1050"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50" s="11" t="inlineStr">
        <is>
          <t>Personal Information</t>
        </is>
      </c>
      <c r="J1050" t="inlineStr"/>
      <c r="K1050" s="11" t="inlineStr">
        <is>
          <t>This section defines AI systems used in judicial processes, alternative dispute resolution, and election-related activities. These systems must not influence election outcomes or voting behavior without direct exposure to individuals, and must be designed to ensure transparency and fairness in legal proceedings.</t>
        </is>
      </c>
      <c r="L1050" s="11" t="inlineStr"/>
      <c r="M1050" s="11" t="inlineStr">
        <is>
          <t>• [Must] AI systems used by judicial authorities to research and interpret facts and law
• [Must] AI systems used by judicial authorities to apply law to concrete facts
• [Must] AI systems used in alternative dispute resolution
• [Must] AI systems used to influence election or referendum outcomes
• [Must] AI systems used to influence voting behavior in elections or referenda
• [Must Not] AI systems not directly exposed to natural persons</t>
        </is>
      </c>
      <c r="N1050" s="11" t="inlineStr">
        <is>
          <t>Administration of justice and democratic processes: (a) AI systems intended to be used by a judicial authority or on their behalf to assist a judicial authority in researching and interpreting facts and the law and in applying the law to a concrete set of facts, or to be used in a similar way in alternative dispute resolution; (b) 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is>
      </c>
      <c r="O1050" s="12" t="inlineStr">
        <is>
          <t>Open PDF</t>
        </is>
      </c>
    </row>
    <row r="1051">
      <c r="A1051" t="inlineStr">
        <is>
          <t>GDPR</t>
        </is>
      </c>
      <c r="B1051" t="inlineStr">
        <is>
          <t>OJ_L_202401689_EN_TXT (GDPR - Row 9)</t>
        </is>
      </c>
      <c r="C1051" t="inlineStr">
        <is>
          <t>9</t>
        </is>
      </c>
      <c r="D1051" s="11" t="inlineStr">
        <is>
          <t>Reporting scope for high-risk AI systems</t>
        </is>
      </c>
      <c r="E1051" t="inlineStr">
        <is>
          <t>68</t>
        </is>
      </c>
      <c r="F1051" t="inlineStr">
        <is>
          <t>High</t>
        </is>
      </c>
      <c r="G1051" t="inlineStr">
        <is>
          <t>High (explicit)</t>
        </is>
      </c>
      <c r="H1051" s="11" t="inlineStr">
        <is>
          <t>Incident Reporting, Breach Notification</t>
        </is>
      </c>
      <c r="I1051" s="11" t="inlineStr">
        <is>
          <t>Special Personal Information</t>
        </is>
      </c>
      <c r="J1051" t="inlineStr"/>
      <c r="K1051" s="11" t="inlineStr">
        <is>
          <t>This section limits the reporting of serious incidents to those specified in Article 3(49)(c) for high-risk AI systems placed on the market or put into service by providers subject to equivalent reporting obligations under Union legislative instruments. The obligation applies to providers of high-risk AI systems and restricts incident reporting to specific incident types.</t>
        </is>
      </c>
      <c r="L1051" s="11" t="inlineStr">
        <is>
          <t>Restricts incident reporting to specific types for high-risk AI systems, impacting DTIA scope and requirements for cross-border data flows.</t>
        </is>
      </c>
      <c r="M1051" s="11" t="inlineStr">
        <is>
          <t>• [Must] Reporting of serious incidents shall be limited to those referred to in Article 3, point (49)(c)</t>
        </is>
      </c>
      <c r="N1051" s="11" t="inlineStr">
        <is>
          <t>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is>
      </c>
      <c r="O1051" s="12" t="inlineStr">
        <is>
          <t>Open PDF</t>
        </is>
      </c>
    </row>
    <row r="1052">
      <c r="A1052" t="inlineStr">
        <is>
          <t>GDPR</t>
        </is>
      </c>
      <c r="B1052" t="inlineStr">
        <is>
          <t>OJ_L_202401689_EN_TXT (GDPR - Row 9)</t>
        </is>
      </c>
      <c r="C1052" t="inlineStr">
        <is>
          <t>9</t>
        </is>
      </c>
      <c r="D1052" s="11" t="inlineStr">
        <is>
          <t>Reporting scope for high-risk AI systems</t>
        </is>
      </c>
      <c r="E1052" t="inlineStr">
        <is>
          <t>88–89</t>
        </is>
      </c>
      <c r="F1052" t="inlineStr">
        <is>
          <t>High</t>
        </is>
      </c>
      <c r="G1052" t="inlineStr">
        <is>
          <t>High (explicit)</t>
        </is>
      </c>
      <c r="H1052" s="11" t="inlineStr">
        <is>
          <t>Incident Reporting, Breach Notification</t>
        </is>
      </c>
      <c r="I1052" s="11" t="inlineStr">
        <is>
          <t>Special Personal Information</t>
        </is>
      </c>
      <c r="J1052" t="inlineStr"/>
      <c r="K1052" s="11" t="inlineStr">
        <is>
          <t>This section limits the reporting of serious incidents to those specified in Article 3(49)(c) for high-risk AI systems placed on the market or put into service by providers subject to equivalent reporting obligations under Union legislative instruments. The obligation applies to providers of high-risk AI systems and restricts incident reporting to specific incident types.</t>
        </is>
      </c>
      <c r="L1052" s="11" t="inlineStr">
        <is>
          <t>Restricts incident reporting to specific types for high-risk AI systems, impacting DTIA scope and requirements for cross-border data flows.</t>
        </is>
      </c>
      <c r="M1052" s="11" t="inlineStr">
        <is>
          <t>• [Must] Reporting of serious incidents shall be limited to those referred to in Article 3, point (49)(c)</t>
        </is>
      </c>
      <c r="N1052" s="11" t="inlineStr">
        <is>
          <t>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is>
      </c>
      <c r="O1052" s="12" t="inlineStr">
        <is>
          <t>Open PDF</t>
        </is>
      </c>
    </row>
    <row r="1053">
      <c r="A1053" t="inlineStr">
        <is>
          <t>GDPR</t>
        </is>
      </c>
      <c r="B1053" t="inlineStr">
        <is>
          <t>OJ_L_202401689_EN_TXT (GDPR - Row 9)</t>
        </is>
      </c>
      <c r="C1053" t="inlineStr">
        <is>
          <t>9</t>
        </is>
      </c>
      <c r="D1053" s="11" t="inlineStr">
        <is>
          <t>Reporting scope for high-risk AI systems</t>
        </is>
      </c>
      <c r="E1053" t="inlineStr">
        <is>
          <t>93–94</t>
        </is>
      </c>
      <c r="F1053" t="inlineStr">
        <is>
          <t>High</t>
        </is>
      </c>
      <c r="G1053" t="inlineStr">
        <is>
          <t>High (explicit)</t>
        </is>
      </c>
      <c r="H1053" s="11" t="inlineStr">
        <is>
          <t>Incident Reporting, Breach Notification</t>
        </is>
      </c>
      <c r="I1053" s="11" t="inlineStr">
        <is>
          <t>Special Personal Information</t>
        </is>
      </c>
      <c r="J1053" t="inlineStr"/>
      <c r="K1053" s="11" t="inlineStr">
        <is>
          <t>This section limits the reporting of serious incidents to those specified in Article 3(49)(c) for high-risk AI systems placed on the market or put into service by providers subject to equivalent reporting obligations under Union legislative instruments. The obligation applies to providers of high-risk AI systems and restricts incident reporting to specific incident types.</t>
        </is>
      </c>
      <c r="L1053" s="11" t="inlineStr">
        <is>
          <t>Restricts incident reporting to specific types for high-risk AI systems, impacting DTIA scope and requirements for cross-border data flows.</t>
        </is>
      </c>
      <c r="M1053" s="11" t="inlineStr">
        <is>
          <t>• [Must] Reporting of serious incidents shall be limited to those referred to in Article 3, point (49)(c)</t>
        </is>
      </c>
      <c r="N1053" s="11" t="inlineStr">
        <is>
          <t>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is>
      </c>
      <c r="O1053" s="12" t="inlineStr">
        <is>
          <t>Open PDF</t>
        </is>
      </c>
    </row>
    <row r="1054">
      <c r="A1054" t="inlineStr">
        <is>
          <t>GDPR</t>
        </is>
      </c>
      <c r="B1054" t="inlineStr">
        <is>
          <t>OJ_L_202401689_EN_TXT (GDPR - Row 9)</t>
        </is>
      </c>
      <c r="C1054" t="inlineStr">
        <is>
          <t>9</t>
        </is>
      </c>
      <c r="D1054" s="11" t="inlineStr">
        <is>
          <t>Reporting scope for high-risk AI systems</t>
        </is>
      </c>
      <c r="E1054" t="inlineStr">
        <is>
          <t>102</t>
        </is>
      </c>
      <c r="F1054" t="inlineStr">
        <is>
          <t>High</t>
        </is>
      </c>
      <c r="G1054" t="inlineStr">
        <is>
          <t>High (explicit)</t>
        </is>
      </c>
      <c r="H1054" s="11" t="inlineStr">
        <is>
          <t>Incident Reporting, Breach Notification</t>
        </is>
      </c>
      <c r="I1054" s="11" t="inlineStr">
        <is>
          <t>Special Personal Information</t>
        </is>
      </c>
      <c r="J1054" t="inlineStr"/>
      <c r="K1054" s="11" t="inlineStr">
        <is>
          <t>This section limits the reporting of serious incidents to those specified in Article 3(49)(c) for high-risk AI systems placed on the market or put into service by providers subject to equivalent reporting obligations under Union legislative instruments. The obligation applies to providers of high-risk AI systems and restricts incident reporting to specific incident types.</t>
        </is>
      </c>
      <c r="L1054" s="11" t="inlineStr">
        <is>
          <t>Restricts incident reporting to specific types for high-risk AI systems, impacting DTIA scope and requirements for cross-border data flows.</t>
        </is>
      </c>
      <c r="M1054" s="11" t="inlineStr">
        <is>
          <t>• [Must] Reporting of serious incidents shall be limited to those referred to in Article 3, point (49)(c)</t>
        </is>
      </c>
      <c r="N1054" s="11" t="inlineStr">
        <is>
          <t>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is>
      </c>
      <c r="O1054" s="12" t="inlineStr">
        <is>
          <t>Open PDF</t>
        </is>
      </c>
    </row>
    <row r="1055">
      <c r="A1055" t="inlineStr">
        <is>
          <t>GDPR</t>
        </is>
      </c>
      <c r="B1055" t="inlineStr">
        <is>
          <t>OJ_L_202401689_EN_TXT (GDPR - Row 9)</t>
        </is>
      </c>
      <c r="C1055" t="inlineStr">
        <is>
          <t>10</t>
        </is>
      </c>
      <c r="D1055" s="11" t="inlineStr">
        <is>
          <t>Notification of serious incidents for high-risk AI systems</t>
        </is>
      </c>
      <c r="E1055" t="inlineStr">
        <is>
          <t>57</t>
        </is>
      </c>
      <c r="F1055" t="inlineStr">
        <is>
          <t>Low</t>
        </is>
      </c>
      <c r="G1055" t="inlineStr">
        <is>
          <t>High (explicit)</t>
        </is>
      </c>
      <c r="H1055" s="11" t="inlineStr">
        <is>
          <t>Incident Reporting, Breach Notification</t>
        </is>
      </c>
      <c r="I1055" s="11" t="inlineStr">
        <is>
          <t>Special Personal Information</t>
        </is>
      </c>
      <c r="J1055" t="inlineStr">
        <is>
          <t>National competent authorities</t>
        </is>
      </c>
      <c r="K1055" s="11" t="inlineStr">
        <is>
          <t>For high-risk AI systems that are safety components of devices or themselves devices covered by EU regulations 2017/745 and 2017/746, serious incident notifications must be limited to those specified in Article 3(49)(c) and submitted to the national competent authority chosen by Member States where the incident occurred.</t>
        </is>
      </c>
      <c r="L1055" s="11" t="inlineStr">
        <is>
          <t>Requires specific incident reporting for high-risk AI systems to national authorities, impacting DTIA scope for incident handling across borders.</t>
        </is>
      </c>
      <c r="M1055" s="11" t="inlineStr">
        <is>
          <t>• [Must] For high-risk AI systems that are safety components of devices or themselves devices covered by EU regulations 2017/745 and 2017/746, serious incident notifications must be limited to those specified in Article 3(49)(c)
• [Must] Serious incident notifications must be made to the national competent authority chosen by Member States where the incident occurred</t>
        </is>
      </c>
      <c r="N1055" s="11" t="inlineStr">
        <is>
          <t>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is>
      </c>
      <c r="O1055" s="12" t="inlineStr">
        <is>
          <t>Open PDF</t>
        </is>
      </c>
    </row>
    <row r="1056">
      <c r="A1056" t="inlineStr">
        <is>
          <t>GDPR</t>
        </is>
      </c>
      <c r="B1056" t="inlineStr">
        <is>
          <t>OJ_L_202401689_EN_TXT (GDPR - Row 9)</t>
        </is>
      </c>
      <c r="C1056" t="inlineStr">
        <is>
          <t>10</t>
        </is>
      </c>
      <c r="D1056" s="11" t="inlineStr">
        <is>
          <t>Notification of serious incidents for high-risk AI systems</t>
        </is>
      </c>
      <c r="E1056" t="inlineStr">
        <is>
          <t>68–69</t>
        </is>
      </c>
      <c r="F1056" t="inlineStr">
        <is>
          <t>Low</t>
        </is>
      </c>
      <c r="G1056" t="inlineStr">
        <is>
          <t>High (explicit)</t>
        </is>
      </c>
      <c r="H1056" s="11" t="inlineStr">
        <is>
          <t>Incident Reporting, Breach Notification</t>
        </is>
      </c>
      <c r="I1056" s="11" t="inlineStr">
        <is>
          <t>Special Personal Information</t>
        </is>
      </c>
      <c r="J1056" t="inlineStr">
        <is>
          <t>National competent authorities</t>
        </is>
      </c>
      <c r="K1056" s="11" t="inlineStr">
        <is>
          <t>For high-risk AI systems that are safety components of devices or themselves devices covered by EU regulations 2017/745 and 2017/746, serious incident notifications must be limited to those specified in Article 3(49)(c) and submitted to the national competent authority chosen by Member States where the incident occurred.</t>
        </is>
      </c>
      <c r="L1056" s="11" t="inlineStr">
        <is>
          <t>Requires specific incident reporting for high-risk AI systems to national authorities, impacting DTIA scope for incident handling across borders.</t>
        </is>
      </c>
      <c r="M1056" s="11" t="inlineStr">
        <is>
          <t>• [Must] For high-risk AI systems that are safety components of devices or themselves devices covered by EU regulations 2017/745 and 2017/746, serious incident notifications must be limited to those specified in Article 3(49)(c)
• [Must] Serious incident notifications must be made to the national competent authority chosen by Member States where the incident occurred</t>
        </is>
      </c>
      <c r="N1056" s="11" t="inlineStr">
        <is>
          <t>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is>
      </c>
      <c r="O1056" s="12" t="inlineStr">
        <is>
          <t>Open PDF</t>
        </is>
      </c>
    </row>
    <row r="1057">
      <c r="A1057" t="inlineStr">
        <is>
          <t>GDPR</t>
        </is>
      </c>
      <c r="B1057" t="inlineStr">
        <is>
          <t>OJ_L_202401689_EN_TXT (GDPR - Row 9)</t>
        </is>
      </c>
      <c r="C1057" t="inlineStr">
        <is>
          <t>10</t>
        </is>
      </c>
      <c r="D1057" s="11" t="inlineStr">
        <is>
          <t>Notification of serious incidents for high-risk AI systems</t>
        </is>
      </c>
      <c r="E1057" t="inlineStr">
        <is>
          <t>89</t>
        </is>
      </c>
      <c r="F1057" t="inlineStr">
        <is>
          <t>Low</t>
        </is>
      </c>
      <c r="G1057" t="inlineStr">
        <is>
          <t>High (explicit)</t>
        </is>
      </c>
      <c r="H1057" s="11" t="inlineStr">
        <is>
          <t>Incident Reporting, Breach Notification</t>
        </is>
      </c>
      <c r="I1057" s="11" t="inlineStr">
        <is>
          <t>Special Personal Information</t>
        </is>
      </c>
      <c r="J1057" t="inlineStr">
        <is>
          <t>National competent authorities</t>
        </is>
      </c>
      <c r="K1057" s="11" t="inlineStr">
        <is>
          <t>For high-risk AI systems that are safety components of devices or themselves devices covered by EU regulations 2017/745 and 2017/746, serious incident notifications must be limited to those specified in Article 3(49)(c) and submitted to the national competent authority chosen by Member States where the incident occurred.</t>
        </is>
      </c>
      <c r="L1057" s="11" t="inlineStr">
        <is>
          <t>Requires specific incident reporting for high-risk AI systems to national authorities, impacting DTIA scope for incident handling across borders.</t>
        </is>
      </c>
      <c r="M1057" s="11" t="inlineStr">
        <is>
          <t>• [Must] For high-risk AI systems that are safety components of devices or themselves devices covered by EU regulations 2017/745 and 2017/746, serious incident notifications must be limited to those specified in Article 3(49)(c)
• [Must] Serious incident notifications must be made to the national competent authority chosen by Member States where the incident occurred</t>
        </is>
      </c>
      <c r="N1057" s="11" t="inlineStr">
        <is>
          <t>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is>
      </c>
      <c r="O1057" s="12" t="inlineStr">
        <is>
          <t>Open PDF</t>
        </is>
      </c>
    </row>
    <row r="1058">
      <c r="A1058" t="inlineStr">
        <is>
          <t>GDPR</t>
        </is>
      </c>
      <c r="B1058" t="inlineStr">
        <is>
          <t>OJ_L_202401689_EN_TXT (GDPR - Row 9)</t>
        </is>
      </c>
      <c r="C1058" t="inlineStr">
        <is>
          <t>10</t>
        </is>
      </c>
      <c r="D1058" s="11" t="inlineStr">
        <is>
          <t>Notification of serious incidents for high-risk AI systems</t>
        </is>
      </c>
      <c r="E1058" t="inlineStr">
        <is>
          <t>102</t>
        </is>
      </c>
      <c r="F1058" t="inlineStr">
        <is>
          <t>Low</t>
        </is>
      </c>
      <c r="G1058" t="inlineStr">
        <is>
          <t>High (explicit)</t>
        </is>
      </c>
      <c r="H1058" s="11" t="inlineStr">
        <is>
          <t>Incident Reporting, Breach Notification</t>
        </is>
      </c>
      <c r="I1058" s="11" t="inlineStr">
        <is>
          <t>Special Personal Information</t>
        </is>
      </c>
      <c r="J1058" t="inlineStr">
        <is>
          <t>National competent authorities</t>
        </is>
      </c>
      <c r="K1058" s="11" t="inlineStr">
        <is>
          <t>For high-risk AI systems that are safety components of devices or themselves devices covered by EU regulations 2017/745 and 2017/746, serious incident notifications must be limited to those specified in Article 3(49)(c) and submitted to the national competent authority chosen by Member States where the incident occurred.</t>
        </is>
      </c>
      <c r="L1058" s="11" t="inlineStr">
        <is>
          <t>Requires specific incident reporting for high-risk AI systems to national authorities, impacting DTIA scope for incident handling across borders.</t>
        </is>
      </c>
      <c r="M1058" s="11" t="inlineStr">
        <is>
          <t>• [Must] For high-risk AI systems that are safety components of devices or themselves devices covered by EU regulations 2017/745 and 2017/746, serious incident notifications must be limited to those specified in Article 3(49)(c)
• [Must] Serious incident notifications must be made to the national competent authority chosen by Member States where the incident occurred</t>
        </is>
      </c>
      <c r="N1058" s="11" t="inlineStr">
        <is>
          <t>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is>
      </c>
      <c r="O1058" s="12" t="inlineStr">
        <is>
          <t>Open PDF</t>
        </is>
      </c>
    </row>
    <row r="1059">
      <c r="A1059" t="inlineStr">
        <is>
          <t>GDPR</t>
        </is>
      </c>
      <c r="B1059" t="inlineStr">
        <is>
          <t>OJ_L_202401689_EN_TXT (GDPR - Row 9)</t>
        </is>
      </c>
      <c r="C1059" t="inlineStr">
        <is>
          <t>11</t>
        </is>
      </c>
      <c r="D1059" s="11" t="inlineStr">
        <is>
          <t>National authorities notify Commission of serious incidents</t>
        </is>
      </c>
      <c r="E1059" t="inlineStr">
        <is>
          <t>89</t>
        </is>
      </c>
      <c r="F1059" t="inlineStr">
        <is>
          <t>Low</t>
        </is>
      </c>
      <c r="G1059" t="inlineStr">
        <is>
          <t>High (explicit)</t>
        </is>
      </c>
      <c r="H1059" s="11" t="inlineStr">
        <is>
          <t>Incident Reporting, Breach Notification</t>
        </is>
      </c>
      <c r="I1059" s="11" t="inlineStr">
        <is>
          <t>Special Personal Information</t>
        </is>
      </c>
      <c r="J1059" t="inlineStr">
        <is>
          <t>National competent authorities</t>
        </is>
      </c>
      <c r="K1059" s="11" t="inlineStr">
        <is>
          <t>National competent authorities must immediately notify the European Commission of any serious incident, regardless of whether action has been taken, in accordance with Article 20 of Regulation (EU) 2019/1020.</t>
        </is>
      </c>
      <c r="L1059" s="11" t="inlineStr">
        <is>
          <t>Requires cross-border incident reporting to the Commission for serious incidents, affecting DTIA scope for incident handling across EU.</t>
        </is>
      </c>
      <c r="M1059" s="11" t="inlineStr">
        <is>
          <t>• [Must] National competent authorities must immediately notify the European Commission of any serious incident
• [Must] Notification must occur regardless of whether action has been taken on the incident
• [Condition] Notification must comply with Article 20 of Regulation (EU) 2019/1020</t>
        </is>
      </c>
      <c r="N1059" s="11" t="inlineStr">
        <is>
          <t>National competent authorities shall immediately notify the Commission of any serious incident, whether or not they have taken action on it, in accordance with Article 20 of Regulation (EU) 2019/1020.</t>
        </is>
      </c>
      <c r="O1059" s="12" t="inlineStr">
        <is>
          <t>Open PDF</t>
        </is>
      </c>
    </row>
    <row r="1060">
      <c r="A1060" t="inlineStr">
        <is>
          <t>GDPR</t>
        </is>
      </c>
      <c r="B1060" t="inlineStr">
        <is>
          <t>OJ_L_202401689_EN_TXT (GDPR - Row 9)</t>
        </is>
      </c>
      <c r="C1060" t="inlineStr">
        <is>
          <t>11</t>
        </is>
      </c>
      <c r="D1060" s="11" t="inlineStr">
        <is>
          <t>National authorities notify Commission of serious incidents</t>
        </is>
      </c>
      <c r="E1060" t="inlineStr">
        <is>
          <t>102</t>
        </is>
      </c>
      <c r="F1060" t="inlineStr">
        <is>
          <t>Low</t>
        </is>
      </c>
      <c r="G1060" t="inlineStr">
        <is>
          <t>High (explicit)</t>
        </is>
      </c>
      <c r="H1060" s="11" t="inlineStr">
        <is>
          <t>Incident Reporting, Breach Notification</t>
        </is>
      </c>
      <c r="I1060" s="11" t="inlineStr">
        <is>
          <t>Special Personal Information</t>
        </is>
      </c>
      <c r="J1060" t="inlineStr">
        <is>
          <t>National competent authorities</t>
        </is>
      </c>
      <c r="K1060" s="11" t="inlineStr">
        <is>
          <t>National competent authorities must immediately notify the European Commission of any serious incident, regardless of whether action has been taken, in accordance with Article 20 of Regulation (EU) 2019/1020.</t>
        </is>
      </c>
      <c r="L1060" s="11" t="inlineStr">
        <is>
          <t>Requires cross-border incident reporting to the Commission for serious incidents, affecting DTIA scope for incident handling across EU.</t>
        </is>
      </c>
      <c r="M1060" s="11" t="inlineStr">
        <is>
          <t>• [Must] National competent authorities must immediately notify the European Commission of any serious incident
• [Must] Notification must occur regardless of whether action has been taken on the incident
• [Condition] Notification must comply with Article 20 of Regulation (EU) 2019/1020</t>
        </is>
      </c>
      <c r="N1060" s="11" t="inlineStr">
        <is>
          <t>National competent authorities shall immediately notify the Commission of any serious incident, whether or not they have taken action on it, in accordance with Article 20 of Regulation (EU) 2019/1020.</t>
        </is>
      </c>
      <c r="O1060" s="12" t="inlineStr">
        <is>
          <t>Open PDF</t>
        </is>
      </c>
    </row>
    <row r="1061">
      <c r="A1061" t="inlineStr">
        <is>
          <t>GDPR</t>
        </is>
      </c>
      <c r="B1061" t="inlineStr">
        <is>
          <t>OJ_L_202401689_EN_TXT (GDPR - Row 9)</t>
        </is>
      </c>
      <c r="C1061" t="inlineStr">
        <is>
          <t>12</t>
        </is>
      </c>
      <c r="D1061" s="11" t="inlineStr">
        <is>
          <t>Amendment considerations for sectoral harmonisation legislation</t>
        </is>
      </c>
      <c r="E1061" t="inlineStr">
        <is>
          <t>46–49</t>
        </is>
      </c>
      <c r="F1061" t="inlineStr">
        <is>
          <t>None</t>
        </is>
      </c>
      <c r="G1061" t="inlineStr">
        <is>
          <t>High (explicit)</t>
        </is>
      </c>
      <c r="H1061"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61" s="11" t="inlineStr">
        <is>
          <t>Personal Information</t>
        </is>
      </c>
      <c r="J1061" t="inlineStr"/>
      <c r="K1061" s="11" t="inlineStr">
        <is>
          <t>Amendments to the Regulation that affect sectoral Union harmonisation legislation must consider sector-specific regulatory nuances, existing governance structures, conformity assessment procedures, and enforcement mechanisms established within each sector. These amendments must account for the unique regulatory frameworks and authorities operating within each sector.</t>
        </is>
      </c>
      <c r="L1061" s="11" t="inlineStr"/>
      <c r="M1061" s="11" t="inlineStr">
        <is>
          <t>• [Must] Amendments to this Regulation that affect sectoral Union harmonisation legislation must consider regulatory specificities of each sector
• [Must] Amendments must take into account existing governance mechanisms in each sector
• [Must] Amendments must consider existing conformity assessment procedures in each sector
• [Must] Amendments must account for existing enforcement mechanisms in each sector
• [Must] Amendments must consider existing authorities established in each sector</t>
        </is>
      </c>
      <c r="N1061" s="11" t="inlineStr">
        <is>
          <t>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t>
        </is>
      </c>
      <c r="O1061" s="12" t="inlineStr">
        <is>
          <t>Open PDF</t>
        </is>
      </c>
    </row>
    <row r="1062">
      <c r="A1062" t="inlineStr">
        <is>
          <t>GDPR</t>
        </is>
      </c>
      <c r="B1062" t="inlineStr">
        <is>
          <t>OJ_L_202401689_EN_TXT (GDPR - Row 9)</t>
        </is>
      </c>
      <c r="C1062" t="inlineStr">
        <is>
          <t>12</t>
        </is>
      </c>
      <c r="D1062" s="11" t="inlineStr">
        <is>
          <t>Amendment considerations for sectoral harmonisation legislation</t>
        </is>
      </c>
      <c r="E1062" t="inlineStr">
        <is>
          <t>89</t>
        </is>
      </c>
      <c r="F1062" t="inlineStr">
        <is>
          <t>None</t>
        </is>
      </c>
      <c r="G1062" t="inlineStr">
        <is>
          <t>High (explicit)</t>
        </is>
      </c>
      <c r="H1062"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62" s="11" t="inlineStr">
        <is>
          <t>Personal Information</t>
        </is>
      </c>
      <c r="J1062" t="inlineStr"/>
      <c r="K1062" s="11" t="inlineStr">
        <is>
          <t>Amendments to the Regulation that affect sectoral Union harmonisation legislation must consider sector-specific regulatory nuances, existing governance structures, conformity assessment procedures, and enforcement mechanisms established within each sector. These amendments must account for the unique regulatory frameworks and authorities operating within each sector.</t>
        </is>
      </c>
      <c r="L1062" s="11" t="inlineStr"/>
      <c r="M1062" s="11" t="inlineStr">
        <is>
          <t>• [Must] Amendments to this Regulation that affect sectoral Union harmonisation legislation must consider regulatory specificities of each sector
• [Must] Amendments must take into account existing governance mechanisms in each sector
• [Must] Amendments must consider existing conformity assessment procedures in each sector
• [Must] Amendments must account for existing enforcement mechanisms in each sector
• [Must] Amendments must consider existing authorities established in each sector</t>
        </is>
      </c>
      <c r="N1062" s="11" t="inlineStr">
        <is>
          <t>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t>
        </is>
      </c>
      <c r="O1062" s="12" t="inlineStr">
        <is>
          <t>Open PDF</t>
        </is>
      </c>
    </row>
    <row r="1063">
      <c r="A1063" t="inlineStr">
        <is>
          <t>GDPR</t>
        </is>
      </c>
      <c r="B1063" t="inlineStr">
        <is>
          <t>OJ_L_202401689_EN_TXT (GDPR - Row 9)</t>
        </is>
      </c>
      <c r="C1063" t="inlineStr">
        <is>
          <t>12</t>
        </is>
      </c>
      <c r="D1063" s="11" t="inlineStr">
        <is>
          <t>Amendment considerations for sectoral harmonisation legislation</t>
        </is>
      </c>
      <c r="E1063" t="inlineStr">
        <is>
          <t>123</t>
        </is>
      </c>
      <c r="F1063" t="inlineStr">
        <is>
          <t>None</t>
        </is>
      </c>
      <c r="G1063" t="inlineStr">
        <is>
          <t>High (explicit)</t>
        </is>
      </c>
      <c r="H1063"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63" s="11" t="inlineStr">
        <is>
          <t>Personal Information</t>
        </is>
      </c>
      <c r="J1063" t="inlineStr"/>
      <c r="K1063" s="11" t="inlineStr">
        <is>
          <t>Amendments to the Regulation that affect sectoral Union harmonisation legislation must consider sector-specific regulatory nuances, existing governance structures, conformity assessment procedures, and enforcement mechanisms established within each sector. These amendments must account for the unique regulatory frameworks and authorities operating within each sector.</t>
        </is>
      </c>
      <c r="L1063" s="11" t="inlineStr"/>
      <c r="M1063" s="11" t="inlineStr">
        <is>
          <t>• [Must] Amendments to this Regulation that affect sectoral Union harmonisation legislation must consider regulatory specificities of each sector
• [Must] Amendments must take into account existing governance mechanisms in each sector
• [Must] Amendments must consider existing conformity assessment procedures in each sector
• [Must] Amendments must account for existing enforcement mechanisms in each sector
• [Must] Amendments must consider existing authorities established in each sector</t>
        </is>
      </c>
      <c r="N1063" s="11" t="inlineStr">
        <is>
          <t>Any amendment to this Regulation pursuant to paragraph 10, or relevant delegated or implementing acts, which concerns sectoral Union harmonisation legislation listed in Section B of Annex I shall take into account the regulatory specificities of each sector, and the existing governance, conformity assessment and enforcement mechanisms and authorities established therein.</t>
        </is>
      </c>
      <c r="O1063" s="12" t="inlineStr">
        <is>
          <t>Open PDF</t>
        </is>
      </c>
    </row>
    <row r="1064">
      <c r="A1064" t="inlineStr">
        <is>
          <t>GDPR</t>
        </is>
      </c>
      <c r="B1064" t="inlineStr">
        <is>
          <t>OJ_L_202401689_EN_TXT (GDPR - Row 9)</t>
        </is>
      </c>
      <c r="C1064" t="inlineStr">
        <is>
          <t>12 (part 2)</t>
        </is>
      </c>
      <c r="D1064" s="11" t="inlineStr">
        <is>
          <t>This Regulation does not apply to AI systems released under free and open-source licences, unless they are placed on (cont.)</t>
        </is>
      </c>
      <c r="E1064" t="inlineStr">
        <is>
          <t>49–51</t>
        </is>
      </c>
      <c r="F1064" t="inlineStr">
        <is>
          <t>Unknown</t>
        </is>
      </c>
      <c r="G1064" t="inlineStr">
        <is>
          <t>Low</t>
        </is>
      </c>
      <c r="H1064" s="11" t="inlineStr"/>
      <c r="I1064" s="11" t="inlineStr"/>
      <c r="J1064" t="inlineStr"/>
      <c r="K1064" s="11" t="inlineStr"/>
      <c r="L1064" s="11" t="inlineStr"/>
      <c r="M1064" s="11" t="inlineStr"/>
      <c r="N1064" s="11" t="inlineStr"/>
      <c r="O1064" s="12" t="inlineStr">
        <is>
          <t>Open PDF</t>
        </is>
      </c>
    </row>
    <row r="1065">
      <c r="A1065" t="inlineStr">
        <is>
          <t>GDPR</t>
        </is>
      </c>
      <c r="B1065" t="inlineStr">
        <is>
          <t>OJ_L_202401689_EN_TXT (GDPR - Row 9)</t>
        </is>
      </c>
      <c r="C1065" t="inlineStr">
        <is>
          <t>13</t>
        </is>
      </c>
      <c r="D1065" s="11" t="inlineStr">
        <is>
          <t>Commission enforcement assessment timeline</t>
        </is>
      </c>
      <c r="E1065" t="inlineStr">
        <is>
          <t>89</t>
        </is>
      </c>
      <c r="F1065" t="inlineStr">
        <is>
          <t>None</t>
        </is>
      </c>
      <c r="G1065" t="inlineStr">
        <is>
          <t>High (explicit)</t>
        </is>
      </c>
      <c r="H1065"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65" s="11" t="inlineStr">
        <is>
          <t>Personal Information</t>
        </is>
      </c>
      <c r="J1065" t="inlineStr">
        <is>
          <t>European Commission</t>
        </is>
      </c>
      <c r="K1065" s="11" t="inlineStr">
        <is>
          <t>The European Commission must complete an enforcement assessment of the GDPR by 2 August 2031 and report to the European Parliament, Council, and European Economic and Social Committee. This report must consider the first years of the Regulation's application and may include proposals for regulatory amendments regarding enforcement structure and the need for a Union agency to address identified shortcomings.</t>
        </is>
      </c>
      <c r="L1065" s="11" t="inlineStr"/>
      <c r="M1065" s="11" t="inlineStr">
        <is>
          <t>• [Must] By 2 August 2031, the Commission shall carry out an assessment of the enforcement of this Regulation
• [Must] The Commission shall report on the assessment to the European Parliament, Council, and European Economic and Social Committee
• [Must] The report must take into account the first years of application of this Regulation
• [May] The report may be accompanied by a proposal for amendment of this Regulation regarding enforcement structure
• [May] The report may include a proposal for a Union agency to resolve identified shortcomings</t>
        </is>
      </c>
      <c r="N1065" s="11" t="inlineStr">
        <is>
          <t>By 2 August 2031, the Commission shall carry out an assessment of the enforcement of this Regulation and shall report on it to the European Parliament, the Council and the European Economic and Social Committee, taking into account the first years of application of this Regulation.</t>
        </is>
      </c>
      <c r="O1065" s="12" t="inlineStr">
        <is>
          <t>Open PDF</t>
        </is>
      </c>
    </row>
    <row r="1066">
      <c r="A1066" t="inlineStr">
        <is>
          <t>GDPR</t>
        </is>
      </c>
      <c r="B1066" t="inlineStr">
        <is>
          <t>OJ_L_202401689_EN_TXT (GDPR - Row 9)</t>
        </is>
      </c>
      <c r="C1066" t="inlineStr">
        <is>
          <t>13</t>
        </is>
      </c>
      <c r="D1066" s="11" t="inlineStr">
        <is>
          <t>Commission enforcement assessment timeline</t>
        </is>
      </c>
      <c r="E1066" t="inlineStr">
        <is>
          <t>123–124</t>
        </is>
      </c>
      <c r="F1066" t="inlineStr">
        <is>
          <t>None</t>
        </is>
      </c>
      <c r="G1066" t="inlineStr">
        <is>
          <t>High (explicit)</t>
        </is>
      </c>
      <c r="H1066"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066" s="11" t="inlineStr">
        <is>
          <t>Personal Information</t>
        </is>
      </c>
      <c r="J1066" t="inlineStr">
        <is>
          <t>European Commission</t>
        </is>
      </c>
      <c r="K1066" s="11" t="inlineStr">
        <is>
          <t>The European Commission must complete an enforcement assessment of the GDPR by 2 August 2031 and report to the European Parliament, Council, and European Economic and Social Committee. This report must consider the first years of the Regulation's application and may include proposals for regulatory amendments regarding enforcement structure and the need for a Union agency to address identified shortcomings.</t>
        </is>
      </c>
      <c r="L1066" s="11" t="inlineStr"/>
      <c r="M1066" s="11" t="inlineStr">
        <is>
          <t>• [Must] By 2 August 2031, the Commission shall carry out an assessment of the enforcement of this Regulation
• [Must] The Commission shall report on the assessment to the European Parliament, Council, and European Economic and Social Committee
• [Must] The report must take into account the first years of application of this Regulation
• [May] The report may be accompanied by a proposal for amendment of this Regulation regarding enforcement structure
• [May] The report may include a proposal for a Union agency to resolve identified shortcomings</t>
        </is>
      </c>
      <c r="N1066" s="11" t="inlineStr">
        <is>
          <t>By 2 August 2031, the Commission shall carry out an assessment of the enforcement of this Regulation and shall report on it to the European Parliament, the Council and the European Economic and Social Committee, taking into account the first years of application of this Regulation.</t>
        </is>
      </c>
      <c r="O1066" s="12" t="inlineStr">
        <is>
          <t>Open PDF</t>
        </is>
      </c>
    </row>
    <row r="1067">
      <c r="A1067" t="inlineStr">
        <is>
          <t>GDPR</t>
        </is>
      </c>
      <c r="B1067" t="inlineStr">
        <is>
          <t>OJ_L_202401689_EN_TXT (GDPR - Row 9)</t>
        </is>
      </c>
      <c r="C1067" t="inlineStr">
        <is>
          <t>14</t>
        </is>
      </c>
      <c r="D1067" s="11" t="inlineStr">
        <is>
          <t>Confidentiality for market surveillance information</t>
        </is>
      </c>
      <c r="E1067" t="inlineStr">
        <is>
          <t>104</t>
        </is>
      </c>
      <c r="F1067" t="inlineStr">
        <is>
          <t>Low</t>
        </is>
      </c>
      <c r="G1067" t="inlineStr">
        <is>
          <t>High (explicit)</t>
        </is>
      </c>
      <c r="H1067" s="11" t="inlineStr"/>
      <c r="I1067" s="11" t="inlineStr">
        <is>
          <t>Special Personal Information</t>
        </is>
      </c>
      <c r="J1067" t="inlineStr"/>
      <c r="K1067" s="11" t="inlineStr">
        <is>
          <t>Any information or documentation obtained by market surveillance authorities must be treated in accordance with the confidentiality obligations set out in Article 78 of the GDPR.</t>
        </is>
      </c>
      <c r="L1067" s="11" t="inlineStr">
        <is>
          <t>Requires confidentiality for market surveillance information, impacting DTIA scope for data handling in AI system oversight.</t>
        </is>
      </c>
      <c r="M1067" s="11" t="inlineStr">
        <is>
          <t>• [Must] Any information or documentation obtained by market surveillance authorities shall be treated in accordance with the confidentiality obligations set out in Article 78</t>
        </is>
      </c>
      <c r="N1067" s="11" t="inlineStr">
        <is>
          <t>Any information or documentation obtained by market surveillance authorities shall be treated in accordance with the confidentiality obligations set out in Article 78.</t>
        </is>
      </c>
      <c r="O1067" s="12" t="inlineStr">
        <is>
          <t>Open PDF</t>
        </is>
      </c>
    </row>
    <row r="1068">
      <c r="A1068" t="inlineStr">
        <is>
          <t>GDPR</t>
        </is>
      </c>
      <c r="B1068" t="inlineStr">
        <is>
          <t>OJ_L_202401689_EN_TXT (GDPR - Row 9)</t>
        </is>
      </c>
      <c r="C1068" t="inlineStr">
        <is>
          <t>15</t>
        </is>
      </c>
      <c r="D1068" s="11" t="inlineStr">
        <is>
          <t>National competent authorities report sandbox establishment to AI Office and Board</t>
        </is>
      </c>
      <c r="E1068" t="inlineStr">
        <is>
          <t>89</t>
        </is>
      </c>
      <c r="F1068" t="inlineStr">
        <is>
          <t>Low</t>
        </is>
      </c>
      <c r="G1068" t="inlineStr">
        <is>
          <t>High (explicit)</t>
        </is>
      </c>
      <c r="H1068" s="11" t="inlineStr">
        <is>
          <t>Cross-border Transfer, International Processing, Data Storage, Security</t>
        </is>
      </c>
      <c r="I1068" s="11" t="inlineStr">
        <is>
          <t>Personal Information</t>
        </is>
      </c>
      <c r="J1068" t="inlineStr">
        <is>
          <t>AI Office</t>
        </is>
      </c>
      <c r="K1068" s="11" t="inlineStr">
        <is>
          <t>National competent authorities must inform the AI Office and Board about establishing an AI regulatory sandbox. They may request support and guidance from these bodies. The AI Office must publish and maintain a list of active and planned sandboxes to promote cross-border cooperation and interaction among sandbox participants.</t>
        </is>
      </c>
      <c r="L1068" s="11" t="inlineStr">
        <is>
          <t>Sandbox establishment reporting requires authorities to notify the AI Office and Board, enabling transparency and cross-border coordination for AI regulatory sandboxes.</t>
        </is>
      </c>
      <c r="M1068" s="11" t="inlineStr">
        <is>
          <t>• [Must] National competent authorities shall inform the AI Office and Board of sandbox establishment
• [May] National competent authorities may ask AI Office and Board for support and guidance
• [Must] AI Office shall publish and maintain list of planned and existing sandboxes</t>
        </is>
      </c>
      <c r="N1068" s="11" t="inlineStr">
        <is>
          <t>National competent authorities shall inform the AI Office and the Board of the establishment of a sandbox, and may ask them for support and guidance. The AI Office shall make publicly available a list of planned and existing sandboxes and keep it up to date in order to encourage more interaction in the AI regulatory sandboxes and cross-border cooperation.</t>
        </is>
      </c>
      <c r="O1068" s="12" t="inlineStr">
        <is>
          <t>Open PDF</t>
        </is>
      </c>
    </row>
    <row r="1069">
      <c r="A1069" t="inlineStr">
        <is>
          <t>GDPR</t>
        </is>
      </c>
      <c r="B1069" t="inlineStr">
        <is>
          <t>OJ_L_202401689_EN_TXT (GDPR - Row 9)</t>
        </is>
      </c>
      <c r="C1069" t="inlineStr">
        <is>
          <t>16</t>
        </is>
      </c>
      <c r="D1069" s="11" t="inlineStr">
        <is>
          <t>National competent authorities submit annual sandbox reports to AI Office and Board</t>
        </is>
      </c>
      <c r="E1069" t="inlineStr">
        <is>
          <t>89</t>
        </is>
      </c>
      <c r="F1069" t="inlineStr">
        <is>
          <t>Low</t>
        </is>
      </c>
      <c r="G1069" t="inlineStr">
        <is>
          <t>High (explicit)</t>
        </is>
      </c>
      <c r="H1069" s="11" t="inlineStr">
        <is>
          <t>Cross-border Transfer, International Processing, Data Storage, Security</t>
        </is>
      </c>
      <c r="I1069" s="11" t="inlineStr">
        <is>
          <t>Personal Information</t>
        </is>
      </c>
      <c r="J1069" t="inlineStr">
        <is>
          <t>AI Office</t>
        </is>
      </c>
      <c r="K1069" s="11" t="inlineStr">
        <is>
          <t>National competent authorities must submit annual reports to the AI Office and Board starting one year after sandbox establishment until termination. Reports must detail sandbox implementation progress, best practices, incidents, lessons learned, and recommendations. Authorities must publish these reports online, and the Commission may consider them when fulfilling regulatory tasks.</t>
        </is>
      </c>
      <c r="L1069" s="11" t="inlineStr">
        <is>
          <t>Annual reporting requirements ensure transparency and accountability in sandbox operations, facilitating cross-border regulatory alignment and incident management.</t>
        </is>
      </c>
      <c r="M1069" s="11" t="inlineStr">
        <is>
          <t>• [Must] National competent authorities shall submit annual reports to AI Office and Board from one year after sandbox establishment
• [Must] Annual reports must cover progress, results, best practices, incidents, lessons learned, and recommendations
• [Must] Reports must be made publicly available online
• [May] Commission may take annual reports into account when exercising regulatory tasks</t>
        </is>
      </c>
      <c r="N1069" s="11" t="inlineStr">
        <is>
          <t>National competent authorities shall submit annual reports to the AI Office and to the Board, from one year after the establishment of the AI regulatory sandbox and every year thereafter until its termination, and a final report. Those reports shall provide information on the progress and results of the implementation of those sandboxes, including best practices, incidents, lessons learnt and recommendations on their setup and, where relevant, on the application and possible revision of this Regulation, including its delegated and implementing acts, and on the application of other Union law supervised by the competent authorities within the sandbox. The national competent authorities shall make those annual reports or abstracts thereof available to the public, online. The Commission shall, where appropriate, take the annual reports into account when exercising its tasks under this Regulation.</t>
        </is>
      </c>
      <c r="O1069" s="12" t="inlineStr">
        <is>
          <t>Open PDF</t>
        </is>
      </c>
    </row>
    <row r="1070">
      <c r="A1070" t="inlineStr">
        <is>
          <t>GDPR</t>
        </is>
      </c>
      <c r="B1070" t="inlineStr">
        <is>
          <t>OJ_L_202401689_EN_TXT (GDPR - Row 9)</t>
        </is>
      </c>
      <c r="C1070" t="inlineStr">
        <is>
          <t>2025</t>
        </is>
      </c>
      <c r="D1070" s="11" t="inlineStr">
        <is>
          <t>AI model providers must comply with AI regulations from 2 August 2025</t>
        </is>
      </c>
      <c r="E1070" t="inlineStr">
        <is>
          <t>44</t>
        </is>
      </c>
      <c r="F1070" t="inlineStr">
        <is>
          <t>High</t>
        </is>
      </c>
      <c r="G1070" t="inlineStr">
        <is>
          <t>High (explicit)</t>
        </is>
      </c>
      <c r="H1070" s="11" t="inlineStr">
        <is>
          <t>Cross-border Transfer, International Processing, Data Storage, Security, Cloud Services, Incident Reporting, Breach Notification, Governance, Record Keeping</t>
        </is>
      </c>
      <c r="I1070" s="11" t="inlineStr">
        <is>
          <t>Personal Information, Financial Data, Customer Data, Employee Data, Special Personal Information</t>
        </is>
      </c>
      <c r="J1070" t="inlineStr">
        <is>
          <t>AI Office</t>
        </is>
      </c>
      <c r="K1070" s="11" t="inlineStr">
        <is>
          <t>This section establishes that providers of general-purpose AI models must comply with the AI Regulation starting 2 August 2025. It requires codes of practice to be ready by 2 May 2025 for providers to demonstrate compliance. The AI Office must ensure classification rules are updated with technological developments, and Member States must establish and notify penalties rules by this date for effective implementation.</t>
        </is>
      </c>
      <c r="L1070" s="11" t="inlineStr">
        <is>
          <t>AI model providers must implement compliance measures by May 2025 to meet regulatory requirements for data transfers involving AI systems. The section mandates updated classification rules and penalty frameworks that impact cross-border data flows for AI systems.</t>
        </is>
      </c>
      <c r="M1070" s="11" t="inlineStr">
        <is>
          <t>• [Must] Providers of general-purpose AI models must comply with AI regulations from 2 August 2025
• [Must] Codes of practice must be ready by 2 May 2025 for providers to demonstrate compliance
• [Must] AI Office must ensure classification rules and procedures are updated with technological developments
• [Must] Member States must lay down and notify to the Commission rules on penalties including administrative fines
• [Must] Member States must ensure penalties rules are properly and effectively implemented by 2 August 2025</t>
        </is>
      </c>
      <c r="N1070" s="11" t="inlineStr">
        <is>
          <t>Given the rapid pace of technological advancements and adoption of general-purpose AI models, obligations for providers of general-purpose AI models should apply from 2 August 2025. Codes of practice should be ready by 2 May 2025 in view of enabling providers to demonstrate compliance on time.</t>
        </is>
      </c>
      <c r="O1070" s="12" t="inlineStr">
        <is>
          <t>Open PDF</t>
        </is>
      </c>
    </row>
    <row r="1071">
      <c r="A1071" t="inlineStr">
        <is>
          <t>GDPR</t>
        </is>
      </c>
      <c r="B1071" t="inlineStr">
        <is>
          <t>esma_cloud_guidelines (GDPR - Row 8)</t>
        </is>
      </c>
      <c r="C1071" t="inlineStr">
        <is>
          <t>1</t>
        </is>
      </c>
      <c r="D1071" s="11" t="inlineStr">
        <is>
          <t>Applicable entities for cloud outsourcing guidelines</t>
        </is>
      </c>
      <c r="E1071" t="inlineStr">
        <is>
          <t>3</t>
        </is>
      </c>
      <c r="F1071" t="inlineStr">
        <is>
          <t>High</t>
        </is>
      </c>
      <c r="G1071" t="inlineStr">
        <is>
          <t>High (explicit)</t>
        </is>
      </c>
      <c r="H1071" s="11" t="inlineStr">
        <is>
          <t>Cloud Services</t>
        </is>
      </c>
      <c r="I1071" s="11" t="inlineStr">
        <is>
          <t>Financial Data</t>
        </is>
      </c>
      <c r="J1071" t="inlineStr">
        <is>
          <t>ESMA</t>
        </is>
      </c>
      <c r="K1071" s="11" t="inlineStr">
        <is>
          <t>These guidelines apply to competent authorities and specific financial entities including alternative investment fund managers, depositaries, UCITS management companies, central counterparties, trade repositories, investment firms, credit institutions, central securities depositories, credit rating agencies, and securitisation repositories. The scope explicitly lists entities that must comply with cloud outsourcing arrangements under these guidelines.</t>
        </is>
      </c>
      <c r="L1071" s="11" t="inlineStr">
        <is>
          <t>Defines which financial institutions must adhere to cloud outsourcing requirements for data transfers, impacting cross-border data processing when entities operate internationally.</t>
        </is>
      </c>
      <c r="M1071" s="11" t="inlineStr">
        <is>
          <t>• [Must] These guidelines apply to competent authorities and alternative investment fund managers
• [Must] These guidelines apply to depositaries of alternative investment funds
• [Must] These guidelines apply to UCITS management companies
• [Must] These guidelines apply to depositaries of UCITS
• [Must] These guidelines apply to investment companies without designated management companies
• [Must] These guidelines apply to central counterparties including Tier 2 third-country CCPs
• [Must] These guidelines apply to trade repositories
• [Must] These guidelines apply to investment firms and credit institutions for investment services
• [Must] These guidelines apply to data reporting services providers
• [Must] These guidelines apply to market operators of trading venues
• [Must] These guidelines apply to central securities depositories
• [Must] These guidelines apply to credit rating agencies
• [Must] These guidelines apply to securitisation repositories
• [Must] These guidelines apply to administrators of critical benchmarks</t>
        </is>
      </c>
      <c r="N1071" s="11" t="inlineStr">
        <is>
          <t>These guidelines apply to competent authorities and to (i) alternative investment fund managers (AIFMs) and depositaries of alternative investment funds (AIFs), (ii) undertakings for collective investment in transferable securities (UCITS), management companies and depositaries of UCITS, and investment companies that have not designated a management company authorised pursuant to UCITS Directive (iii) central counterparties (CCPs), including Tier 2 third-country CCPs which comply with the relevant EMIR requirements, (iv) trade repositories (TRs), (v) investment firms and credit institutions when carrying out investment services and activities, data reporting services providers and market operators of trading venues, (vi) central securities depositories (CSDs), (vii) credit rating agencies (CRAs), (viii) securitisation repositories (SRs), and (ix) administrators of critical benchmarks.</t>
        </is>
      </c>
      <c r="O1071" s="12" t="inlineStr">
        <is>
          <t>Open PDF</t>
        </is>
      </c>
    </row>
    <row r="1072">
      <c r="A1072" t="inlineStr">
        <is>
          <t>GDPR</t>
        </is>
      </c>
      <c r="B1072" t="inlineStr">
        <is>
          <t>esma_cloud_guidelines (GDPR - Row 8)</t>
        </is>
      </c>
      <c r="C1072" t="inlineStr">
        <is>
          <t>2</t>
        </is>
      </c>
      <c r="D1072" s="11" t="inlineStr">
        <is>
          <t>Tier 2 CCP compliance with EMIR requirements</t>
        </is>
      </c>
      <c r="E1072" t="inlineStr">
        <is>
          <t>3</t>
        </is>
      </c>
      <c r="F1072" t="inlineStr">
        <is>
          <t>High</t>
        </is>
      </c>
      <c r="G1072" t="inlineStr">
        <is>
          <t>High (explicit)</t>
        </is>
      </c>
      <c r="H1072" s="11" t="inlineStr">
        <is>
          <t>Cloud Services</t>
        </is>
      </c>
      <c r="I1072" s="11" t="inlineStr">
        <is>
          <t>Financial Data</t>
        </is>
      </c>
      <c r="J1072" t="inlineStr">
        <is>
          <t>ESMA</t>
        </is>
      </c>
      <c r="K1072" s="11" t="inlineStr">
        <is>
          <t>ESMA will consider compliance with comparable third-country requirements when assessing whether Tier 2 third-country central counterparties satisfy EMIR requirements. This section addresses the applicability of EMIR compliance for cross-border CCPs.</t>
        </is>
      </c>
      <c r="L1072" s="11" t="inlineStr">
        <is>
          <t>Relevant for cross-border data transfers involving central counterparties, as it specifies how third-country CCPs can meet EMIR obligations through local compliance.</t>
        </is>
      </c>
      <c r="M1072" s="11" t="inlineStr">
        <is>
          <t>• [Must] ESMA will take into account compliance with comparable requirements in third countries for Tier 2 third-country CCPs</t>
        </is>
      </c>
      <c r="N1072" s="11" t="inlineStr">
        <is>
          <t>ESMA will also take these guidelines into account when assessing the extent to which compliance with the relevant EMIR requirements by a Tier 2 third-country CCP is satisfied by its compliance with comparable requirements in the third country pursuant to Article 25(2b)(a) of EMIR.</t>
        </is>
      </c>
      <c r="O1072" s="12" t="inlineStr">
        <is>
          <t>Open PDF</t>
        </is>
      </c>
    </row>
    <row r="1073">
      <c r="A1073" t="inlineStr">
        <is>
          <t>GDPR</t>
        </is>
      </c>
      <c r="B1073" t="inlineStr">
        <is>
          <t>esma_cloud_guidelines (GDPR - Row 8)</t>
        </is>
      </c>
      <c r="C1073" t="inlineStr">
        <is>
          <t>3</t>
        </is>
      </c>
      <c r="D1073" s="11" t="inlineStr">
        <is>
          <t>Applicable regulatory provisions for cloud outsourcing</t>
        </is>
      </c>
      <c r="E1073" t="inlineStr">
        <is>
          <t>3–4</t>
        </is>
      </c>
      <c r="F1073" t="inlineStr">
        <is>
          <t>High</t>
        </is>
      </c>
      <c r="G1073" t="inlineStr">
        <is>
          <t>High (explicit)</t>
        </is>
      </c>
      <c r="H1073" s="11" t="inlineStr">
        <is>
          <t>Cloud Services</t>
        </is>
      </c>
      <c r="I1073" s="11" t="inlineStr">
        <is>
          <t>Financial Data</t>
        </is>
      </c>
      <c r="J1073" t="inlineStr">
        <is>
          <t>ESMA</t>
        </is>
      </c>
      <c r="K1073" s="11" t="inlineStr">
        <is>
          <t>These guidelines apply to specific provisions from AIFMD, UCITS Directive, EMIR, SFTR, MiFID II, and other regulations. The section lists the regulatory frameworks that must be considered when implementing cloud outsourcing arrangements.</t>
        </is>
      </c>
      <c r="L1073" s="11" t="inlineStr">
        <is>
          <t>Defines which regulatory provisions govern cloud outsourcing, impacting data transfers and processing across different financial jurisdictions.</t>
        </is>
      </c>
      <c r="M1073" s="11" t="inlineStr">
        <is>
          <t>• [Must] These guidelines apply to Articles 15, 18, 20 and 21(8) of AIFMD
• [Must] These guidelines apply to Articles 13, 22, 38, 39, 40, 44, 45, 57(1)(d), 57(2), 57(3), 58, 75, 76, 77, 79, 81, 82 and 98 of Commission Delegated Regulation (EU) 2013/231
• [Must] These guidelines apply to Articles 12(1)(a), 13, 14(1)(c), 22, 22a, 23(2), 30 and 31 of UCITS Directive
• [Must] These guidelines apply to Articles 4(1) to 4(3), 4(5), 5(2), 7, 9, 23(4), 32, 38, 39 and 40 of Commission Directive 2010/43/EU
• [Must] These guidelines apply to Articles 2(2)(j), 3(1), 13(2), 15, 16 and 22 of Commission Delegated Regulation (EU) No 2016/449
• [Must] These guidelines apply to Articles 25(2a) and 25(2b)(a) of EMIR
• [Must] These guidelines apply to Articles 2(2) of EMIR and Article 3(1) of SFTR
• [Must] These guidelines apply to Articles 4(1)(1) of MiFID II and Article 4(1)(27) of MiFID II
• [Must] These guidelines apply to Articles 4(1)(63) of MiFID II
• [Must] These guidelines apply to Articles 4(1)(24) of MiFID II
• [Must] These guidelines apply to Articles 2(1)(1) of CSDR
• [Must] These guidelines apply to Articles 3(1)(b) of CRA Regulation
• [Must] These guidelines apply to Articles 2(23) of SECR
• [Must] These guidelines apply to Article 3(1)(25) of Benchmarks Regulation</t>
        </is>
      </c>
      <c r="N1073" s="11" t="inlineStr">
        <is>
          <t>These guidelines apply to the following regulatory provisions: Articles 15, 18, 20 and 21(8) of AIFMD; Articles 13, 22, 38, 39, 40, 44, 45, 57(1)(d), 57(2), 57(3), 58, 75, 76, 77, 79, 81, 82 and 98 of Commission Delegated Regulation (EU) 2013/231; Articles 12(1)(a), 13, 14(1)(c), 22, 22a, 23(2), 30 and 31 of UCITS Directive; Articles 4(1) to 4(3), 4(5), 5(2), 7, 9, 23(4), 32, 38, 39 and 40 of Commission Directive 2010/43/EU; Articles 2(2)(j), 3(1), 13(2), 15, 16 and 22 of Commission Delegated Regulation (EU) No 2016/449; Articles 25(2a) and 25(2b)(a) of EMIR; Articles 2(2) of EMIR and Article 3(1) of SFTR; Articles 4(1)(1) of MiFID II and Article 4(1)(27) of MiFID II; Articles 4(1)(63) of MiFID II; Articles 4(1)(24) of MiFID II; Articles 2(1)(1) of CSDR; Articles 3(1)(b) of CRA Regulation; Articles 2(23) of SECR; and Article 3(1)(25) of Benchmarks Regulation.</t>
        </is>
      </c>
      <c r="O1073" s="12" t="inlineStr">
        <is>
          <t>Open PDF</t>
        </is>
      </c>
    </row>
    <row r="1074">
      <c r="A1074" t="inlineStr">
        <is>
          <t>GDPR</t>
        </is>
      </c>
      <c r="B1074" t="inlineStr">
        <is>
          <t>esma_cloud_guidelines (GDPR - Row 8)</t>
        </is>
      </c>
      <c r="C1074" t="inlineStr">
        <is>
          <t>4</t>
        </is>
      </c>
      <c r="D1074" s="11" t="inlineStr">
        <is>
          <t>Effective date and scope of cloud outsourcing guidelines</t>
        </is>
      </c>
      <c r="E1074" t="inlineStr">
        <is>
          <t>4–9</t>
        </is>
      </c>
      <c r="F1074" t="inlineStr">
        <is>
          <t>High</t>
        </is>
      </c>
      <c r="G1074" t="inlineStr">
        <is>
          <t>High (explicit)</t>
        </is>
      </c>
      <c r="H1074" s="11" t="inlineStr">
        <is>
          <t>Cloud Services</t>
        </is>
      </c>
      <c r="I1074" s="11" t="inlineStr">
        <is>
          <t>Financial Data</t>
        </is>
      </c>
      <c r="J1074" t="inlineStr">
        <is>
          <t>ESMA</t>
        </is>
      </c>
      <c r="K1074" s="11" t="inlineStr">
        <is>
          <t>These guidelines apply from 31 July 2021 to all cloud outsourcing arrangements. The scope includes specific financial entities that must comply with cloud service provider arrangements.</t>
        </is>
      </c>
      <c r="L1074" s="11" t="inlineStr">
        <is>
          <t>Sets the effective date and scope for cloud outsourcing, impacting data transfers and processing across financial institutions.</t>
        </is>
      </c>
      <c r="M1074" s="11" t="inlineStr">
        <is>
          <t>• [Must] These guidelines apply from 31 July 2021 to all cloud outsourcing arrangements</t>
        </is>
      </c>
      <c r="N1074" s="11" t="inlineStr">
        <is>
          <t>These guidelines apply from 31 July 2021 to all cloud outsourcing arrangements (cont.)</t>
        </is>
      </c>
      <c r="O1074" s="12" t="inlineStr">
        <is>
          <t>Open PDF</t>
        </is>
      </c>
    </row>
    <row r="1075">
      <c r="A1075" t="inlineStr">
        <is>
          <t>GDPR</t>
        </is>
      </c>
      <c r="B1075" t="inlineStr">
        <is>
          <t>esma_cloud_guidelines (GDPR - Row 8)</t>
        </is>
      </c>
      <c r="C1075" t="inlineStr">
        <is>
          <t>4 (part 2)</t>
        </is>
      </c>
      <c r="D1075" s="11" t="inlineStr">
        <is>
          <t>These guidelines apply from 31 July 2021 to all cloud outsourcing arrangements (cont.)</t>
        </is>
      </c>
      <c r="E1075" t="inlineStr">
        <is>
          <t>9–10</t>
        </is>
      </c>
      <c r="F1075" t="inlineStr">
        <is>
          <t>Unknown</t>
        </is>
      </c>
      <c r="G1075" t="inlineStr">
        <is>
          <t>Low</t>
        </is>
      </c>
      <c r="H1075" s="11" t="inlineStr"/>
      <c r="I1075" s="11" t="inlineStr"/>
      <c r="J1075" t="inlineStr"/>
      <c r="K1075" s="11" t="inlineStr"/>
      <c r="L1075" s="11" t="inlineStr"/>
      <c r="M1075" s="11" t="inlineStr"/>
      <c r="N1075" s="11" t="inlineStr"/>
      <c r="O1075" s="12" t="inlineStr">
        <is>
          <t>Open PDF</t>
        </is>
      </c>
    </row>
    <row r="1076">
      <c r="A1076" t="inlineStr">
        <is>
          <t>GDPR</t>
        </is>
      </c>
      <c r="B1076" t="inlineStr">
        <is>
          <t>esma_cloud_guidelines (GDPR - Row 8)</t>
        </is>
      </c>
      <c r="C1076" t="inlineStr">
        <is>
          <t>5</t>
        </is>
      </c>
      <c r="D1076" s="11" t="inlineStr">
        <is>
          <t>Purpose of cloud outsourcing guidelines</t>
        </is>
      </c>
      <c r="E1076" t="inlineStr">
        <is>
          <t>10</t>
        </is>
      </c>
      <c r="F1076" t="inlineStr">
        <is>
          <t>High</t>
        </is>
      </c>
      <c r="G1076" t="inlineStr">
        <is>
          <t>High (explicit)</t>
        </is>
      </c>
      <c r="H1076" s="11" t="inlineStr">
        <is>
          <t>Cloud Services</t>
        </is>
      </c>
      <c r="I1076" s="11" t="inlineStr">
        <is>
          <t>Financial Data</t>
        </is>
      </c>
      <c r="J1076" t="inlineStr">
        <is>
          <t>ESMA</t>
        </is>
      </c>
      <c r="K1076" s="11" t="inlineStr">
        <is>
          <t>These guidelines aim to establish consistent supervisory practices within the European System of Financial Supervision and ensure uniform application of requirements for cloud outsourcing arrangements. The objectives include identifying, addressing, and monitoring risks associated with cloud outsourcing.</t>
        </is>
      </c>
      <c r="L1076" s="11" t="inlineStr">
        <is>
          <t>Defines the purpose of cloud outsourcing guidelines, emphasizing risk management and consistent application of data transfer requirements across financial entities.</t>
        </is>
      </c>
      <c r="M1076" s="11" t="inlineStr">
        <is>
          <t>• [Must] These guidelines aim to establish consistent, efficient and effective supervisory practices within the European System of Financial Supervision
• [Must] These guidelines aim to ensure common, uniform and consistent application of requirements for cloud outsourcing
• [Must] These guidelines aim to help firms identify, address and monitor risks from cloud outsourcing arrangements</t>
        </is>
      </c>
      <c r="N1076" s="11" t="inlineStr">
        <is>
          <t>These guidelines are based on Article 16(1) of the ESMA Regulation. The objectives of these guidelines are to establish consistent, efficient and effective supervisory practices within the European System of Financial Supervision (ESFS) and to ensure the common, uniform and consistent application of the requirements referred to in Section 1.1 under the heading 'What?' where firms outsource to CSPs. In particular, these guidelines aim to help firms and competent authorities identify, address and monitor the risks and challenges arising from cloud outsourcing arrangements, from making the decision to outsource, selecting a cloud service provider, monitoring outsourced activities to providing for exit strategies.</t>
        </is>
      </c>
      <c r="O1076" s="12" t="inlineStr">
        <is>
          <t>Open PDF</t>
        </is>
      </c>
    </row>
    <row r="1077">
      <c r="A1077" t="inlineStr">
        <is>
          <t>GDPR</t>
        </is>
      </c>
      <c r="B1077" t="inlineStr">
        <is>
          <t>esma_cloud_guidelines (GDPR - Row 8)</t>
        </is>
      </c>
      <c r="C1077" t="inlineStr">
        <is>
          <t>7</t>
        </is>
      </c>
      <c r="D1077" s="11" t="inlineStr">
        <is>
          <t>Competent authorities must incorporate cloud guidelines into national frameworks</t>
        </is>
      </c>
      <c r="E1077" t="inlineStr">
        <is>
          <t>10</t>
        </is>
      </c>
      <c r="F1077" t="inlineStr">
        <is>
          <t>High</t>
        </is>
      </c>
      <c r="G1077" t="inlineStr">
        <is>
          <t>High (explicit)</t>
        </is>
      </c>
      <c r="H1077" s="11" t="inlineStr">
        <is>
          <t>Cloud Services, Governance, Record Keeping</t>
        </is>
      </c>
      <c r="I1077" s="11" t="inlineStr">
        <is>
          <t>Customer Data</t>
        </is>
      </c>
      <c r="J1077" t="inlineStr">
        <is>
          <t>ESMA</t>
        </is>
      </c>
      <c r="K1077" s="11" t="inlineStr">
        <is>
          <t>Competent authorities must integrate these cloud service provider guidelines into their national legal and supervisory frameworks. They must ensure compliance through ongoing supervision, particularly for firms targeted by specific guidelines. This applies to authorities overseeing financial institutions and cloud service providers within the EU.</t>
        </is>
      </c>
      <c r="L1077" s="11" t="inlineStr">
        <is>
          <t>Competent authorities must ensure national frameworks align with cloud guidelines to facilitate cross-border cloud service compliance. This affects data transfer assessments for cloud providers operating in multiple jurisdictions.</t>
        </is>
      </c>
      <c r="M1077" s="11" t="inlineStr">
        <is>
          <t>• [Must] Competent authorities must incorporate these guidelines into national legal and supervisory frameworks
• [Must] Competent authorities must ensure firms comply with guidelines through supervision</t>
        </is>
      </c>
      <c r="N1077" s="11" t="inlineStr">
        <is>
          <t>7. Competent authorities to which these guidelines apply should comply by incorporating them into their national legal and/or supervisory frameworks as appropriate, including where particular guidelines are directed primarily at firms. In this case, competent authorities should ensure, through their supervision, that firms comply with the guidelines.</t>
        </is>
      </c>
      <c r="O1077" s="12" t="inlineStr">
        <is>
          <t>Open PDF</t>
        </is>
      </c>
    </row>
    <row r="1078">
      <c r="A1078" t="inlineStr">
        <is>
          <t>GDPR</t>
        </is>
      </c>
      <c r="B1078" t="inlineStr">
        <is>
          <t>esma_cloud_guidelines (GDPR - Row 8)</t>
        </is>
      </c>
      <c r="C1078" t="inlineStr">
        <is>
          <t>8</t>
        </is>
      </c>
      <c r="D1078" s="11" t="inlineStr">
        <is>
          <t>ESMA supervises cloud providers and data reporting services</t>
        </is>
      </c>
      <c r="E1078" t="inlineStr">
        <is>
          <t>10–11</t>
        </is>
      </c>
      <c r="F1078" t="inlineStr">
        <is>
          <t>High</t>
        </is>
      </c>
      <c r="G1078" t="inlineStr">
        <is>
          <t>High (explicit)</t>
        </is>
      </c>
      <c r="H1078" s="11" t="inlineStr">
        <is>
          <t>Cloud Services, Governance, Record Keeping</t>
        </is>
      </c>
      <c r="I1078" s="11" t="inlineStr">
        <is>
          <t>Financial Data</t>
        </is>
      </c>
      <c r="J1078" t="inlineStr">
        <is>
          <t>ESMA</t>
        </is>
      </c>
      <c r="K1078" s="11" t="inlineStr">
        <is>
          <t>ESMA directly supervises cloud service providers, trading repositories, trading venues, and tier 2 third-country cloud providers to assess compliance with these guidelines. From January 2022, ESMA also supervises data reporting services and administrators of EU critical benchmarks. This ensures oversight of entities handling financial data across borders.</t>
        </is>
      </c>
      <c r="L1078" s="11" t="inlineStr">
        <is>
          <t>ESMA's direct supervision of cloud providers and data reporting services impacts cross-border data transfers by requiring adherence to specific cloud governance standards for financial data.</t>
        </is>
      </c>
      <c r="M1078" s="11" t="inlineStr">
        <is>
          <t>• [Must] ESMA will assess the application of these guidelines by CRAs, TRs, SRs, Tier 2 third-country CCPs
• [Must] ESMA will assess the application of these guidelines by data reporting services providers and administrators of EU critical benchmarks from 1 January 2022</t>
        </is>
      </c>
      <c r="N1078" s="11" t="inlineStr">
        <is>
          <t>8. Through its ongoing direct supervision, ESMA will assess the application of these guidelines by CRAs, TRs, SRs, Tier 2 third-country CCPs and, from 1 January 2022, data reporting services providers and administrators of EU critical benchmarks.</t>
        </is>
      </c>
      <c r="O1078" s="12" t="inlineStr">
        <is>
          <t>Open PDF</t>
        </is>
      </c>
    </row>
    <row r="1079">
      <c r="A1079" t="inlineStr">
        <is>
          <t>GDPR</t>
        </is>
      </c>
      <c r="B1079" t="inlineStr">
        <is>
          <t>esma_cloud_guidelines (GDPR - Row 8)</t>
        </is>
      </c>
      <c r="C1079" t="inlineStr">
        <is>
          <t>9</t>
        </is>
      </c>
      <c r="D1079" s="11" t="inlineStr">
        <is>
          <t>Competent authorities must notify ESMA of compliance status within two months</t>
        </is>
      </c>
      <c r="E1079" t="inlineStr">
        <is>
          <t>11</t>
        </is>
      </c>
      <c r="F1079" t="inlineStr">
        <is>
          <t>High</t>
        </is>
      </c>
      <c r="G1079" t="inlineStr">
        <is>
          <t>High (explicit)</t>
        </is>
      </c>
      <c r="H1079" s="11" t="inlineStr">
        <is>
          <t>Cloud Services, Governance, Record Keeping</t>
        </is>
      </c>
      <c r="I1079" s="11" t="inlineStr">
        <is>
          <t>Customer Data</t>
        </is>
      </c>
      <c r="J1079" t="inlineStr">
        <is>
          <t>ESMA</t>
        </is>
      </c>
      <c r="K1079" s="11" t="inlineStr">
        <is>
          <t>Competent authorities must notify ESMA within two months of the guidelines' publication in EU languages whether they comply with the guidelines, intend to comply but do not yet, or do not comply and have no intention to comply. This notification is required for all authorities that apply these guidelines to ensure transparency in compliance status.</t>
        </is>
      </c>
      <c r="L1079" s="11" t="inlineStr">
        <is>
          <t>Competent authorities must report compliance status to ESMA within two months, which affects data transfer assessments by ensuring authorities are aware of non-compliance risks for cloud providers.</t>
        </is>
      </c>
      <c r="M1079" s="11" t="inlineStr">
        <is>
          <t>• [Must] Competent authorities must notify ESMA within two months of publication in EU languages whether they comply, intend to comply but do not yet, or do not comply and have no intention to comply</t>
        </is>
      </c>
      <c r="N1079" s="11" t="inlineStr">
        <is>
          <t>9. Within two months of the date of publication of the guidelines on ESMA's website in all EU official languages, competent authorities to which these guidelines apply must notify ESMA whether they (i) comply, (ii) do not comply but intend to comply, or (iii) do not comply and do not intend to comply with the guidelines.</t>
        </is>
      </c>
      <c r="O1079" s="12" t="inlineStr">
        <is>
          <t>Open PDF</t>
        </is>
      </c>
    </row>
    <row r="1080">
      <c r="A1080" t="inlineStr">
        <is>
          <t>GDPR</t>
        </is>
      </c>
      <c r="B1080" t="inlineStr">
        <is>
          <t>esma_cloud_guidelines (GDPR - Row 8)</t>
        </is>
      </c>
      <c r="C1080" t="inlineStr">
        <is>
          <t>10</t>
        </is>
      </c>
      <c r="D1080" s="11" t="inlineStr">
        <is>
          <t>Competent authorities must explain non-compliance reasons to ESMA</t>
        </is>
      </c>
      <c r="E1080" t="inlineStr">
        <is>
          <t>11</t>
        </is>
      </c>
      <c r="F1080" t="inlineStr">
        <is>
          <t>High</t>
        </is>
      </c>
      <c r="G1080" t="inlineStr">
        <is>
          <t>High (explicit)</t>
        </is>
      </c>
      <c r="H1080" s="11" t="inlineStr">
        <is>
          <t>Cloud Services, Governance, Record Keeping</t>
        </is>
      </c>
      <c r="I1080" s="11" t="inlineStr">
        <is>
          <t>Customer Data</t>
        </is>
      </c>
      <c r="J1080" t="inlineStr">
        <is>
          <t>ESMA</t>
        </is>
      </c>
      <c r="K1080" s="11" t="inlineStr">
        <is>
          <t>If competent authorities do not comply with the guidelines, they must notify ESMA within two months of publication in EU languages with reasons for non-compliance. This includes using a template provided by ESMA to document the reasons, ensuring transparency and accountability for non-compliant authorities.</t>
        </is>
      </c>
      <c r="L1080" s="11" t="inlineStr">
        <is>
          <t>Competent authorities must provide detailed reasons for non-compliance to ESMA, which impacts data transfer assessments by identifying jurisdictional gaps in cloud service compliance.</t>
        </is>
      </c>
      <c r="M1080" s="11" t="inlineStr">
        <is>
          <t>• [Must] Competent authorities must notify ESMA within two months of publication in EU languages of reasons for non-compliance
• [Must] Competent authorities must use ESMA's template to document non-compliance reasons</t>
        </is>
      </c>
      <c r="N1080" s="11" t="inlineStr">
        <is>
          <t>10. In case of non-compliance, competent authorities must also notify ESMA within two months of the date of publication of the guidelines on ESMA's website in all EU official languages of their reasons for not complying with the guidelines. A template for notifications is available on ESMA's website. Once the template has been filled in, it shall be transmitted to ESMA.</t>
        </is>
      </c>
      <c r="O1080" s="12" t="inlineStr">
        <is>
          <t>Open PDF</t>
        </is>
      </c>
    </row>
    <row r="1081">
      <c r="A1081" t="inlineStr">
        <is>
          <t>GDPR</t>
        </is>
      </c>
      <c r="B1081" t="inlineStr">
        <is>
          <t>esma_cloud_guidelines (GDPR - Row 8)</t>
        </is>
      </c>
      <c r="C1081" t="inlineStr">
        <is>
          <t>11</t>
        </is>
      </c>
      <c r="D1081" s="11" t="inlineStr">
        <is>
          <t>Firms not required to report compliance with cloud guidelines</t>
        </is>
      </c>
      <c r="E1081" t="inlineStr">
        <is>
          <t>11</t>
        </is>
      </c>
      <c r="F1081" t="inlineStr">
        <is>
          <t>High</t>
        </is>
      </c>
      <c r="G1081" t="inlineStr">
        <is>
          <t>High (explicit)</t>
        </is>
      </c>
      <c r="H1081" s="11" t="inlineStr">
        <is>
          <t>Cloud Services, Governance</t>
        </is>
      </c>
      <c r="I1081" s="11" t="inlineStr">
        <is>
          <t>Customer Data</t>
        </is>
      </c>
      <c r="J1081" t="inlineStr">
        <is>
          <t>ESMA</t>
        </is>
      </c>
      <c r="K1081" s="11" t="inlineStr">
        <is>
          <t>Firms are not required to report whether they comply with these cloud service provider guidelines. This means firms have no obligation to inform ESMA or competent authorities about their compliance status with the guidelines, reducing reporting burdens for financial institutions.</t>
        </is>
      </c>
      <c r="L1081" s="11" t="inlineStr">
        <is>
          <t>Firms do not need to report compliance with cloud guidelines, which simplifies data transfer assessments by removing reporting obligations for cloud service providers.</t>
        </is>
      </c>
      <c r="M1081" s="11" t="inlineStr">
        <is>
          <t>• [Must Not] Firms are not required to report compliance with these guidelines</t>
        </is>
      </c>
      <c r="N1081" s="11" t="inlineStr">
        <is>
          <t>11. Firms are not required to report whether they comply with these guidelines.</t>
        </is>
      </c>
      <c r="O1081" s="12" t="inlineStr">
        <is>
          <t>Open PDF</t>
        </is>
      </c>
    </row>
    <row r="1082">
      <c r="A1082" t="inlineStr">
        <is>
          <t>GDPR</t>
        </is>
      </c>
      <c r="B1082" t="inlineStr">
        <is>
          <t>esma_cloud_guidelines (GDPR - Row 8)</t>
        </is>
      </c>
      <c r="C1082" t="inlineStr">
        <is>
          <t>12</t>
        </is>
      </c>
      <c r="D1082" s="11" t="inlineStr">
        <is>
          <t>Firms must have updated cloud outsourcing strategy</t>
        </is>
      </c>
      <c r="E1082" t="inlineStr">
        <is>
          <t>11</t>
        </is>
      </c>
      <c r="F1082" t="inlineStr">
        <is>
          <t>High</t>
        </is>
      </c>
      <c r="G1082" t="inlineStr">
        <is>
          <t>High (explicit)</t>
        </is>
      </c>
      <c r="H1082" s="11" t="inlineStr">
        <is>
          <t>Cloud Services, Governance, Record Keeping</t>
        </is>
      </c>
      <c r="I1082" s="11" t="inlineStr">
        <is>
          <t>Customer Data</t>
        </is>
      </c>
      <c r="J1082" t="inlineStr">
        <is>
          <t>ESMA</t>
        </is>
      </c>
      <c r="K1082" s="11" t="inlineStr">
        <is>
          <t>Firms must maintain a defined and up-to-date cloud outsourcing strategy that aligns with their internal policies, information security practices, and operational risk management frameworks. This ensures cloud services meet regulatory standards and protect financial data.</t>
        </is>
      </c>
      <c r="L1082" s="11" t="inlineStr">
        <is>
          <t>Firms must have a cloud outsourcing strategy that meets internal security and risk management standards, which is critical for data transfer impact assessments involving cloud services.</t>
        </is>
      </c>
      <c r="M1082" s="11" t="inlineStr">
        <is>
          <t>• [Must] Firms must have a defined and up-to-date cloud outsourcing strategy
• [Must] Cloud outsourcing strategy must be consistent with firm's internal policies and processes
• [Must] Cloud outsourcing strategy must align with information and communication technology, information security, and operational risk management</t>
        </is>
      </c>
      <c r="N1082" s="11" t="inlineStr">
        <is>
          <t>12. A firm should have a defined and up-to-date cloud outsourcing strategy that is consistent with the firm's relevant strategies and internal policies and processes, including in relation to information and communication technology, information security, and operational risk management.</t>
        </is>
      </c>
      <c r="O1082" s="12" t="inlineStr">
        <is>
          <t>Open PDF</t>
        </is>
      </c>
    </row>
    <row r="1083">
      <c r="A1083" t="inlineStr">
        <is>
          <t>GDPR</t>
        </is>
      </c>
      <c r="B1083" t="inlineStr">
        <is>
          <t>esma_cloud_guidelines (GDPR - Row 8)</t>
        </is>
      </c>
      <c r="C1083" t="inlineStr">
        <is>
          <t>13</t>
        </is>
      </c>
      <c r="D1083" s="11" t="inlineStr">
        <is>
          <t>Cloud outsourcing responsibility assignment and oversight</t>
        </is>
      </c>
      <c r="E1083" t="inlineStr">
        <is>
          <t>11–12</t>
        </is>
      </c>
      <c r="F1083" t="inlineStr">
        <is>
          <t>High</t>
        </is>
      </c>
      <c r="G1083" t="inlineStr">
        <is>
          <t>High (explicit)</t>
        </is>
      </c>
      <c r="H1083" s="11" t="inlineStr">
        <is>
          <t>Cloud Services</t>
        </is>
      </c>
      <c r="I1083" s="11" t="inlineStr">
        <is>
          <t>Personal Information</t>
        </is>
      </c>
      <c r="J1083" t="inlineStr">
        <is>
          <t>ESMA</t>
        </is>
      </c>
      <c r="K1083" s="11" t="inlineStr">
        <is>
          <t>Firms must clearly assign responsibilities for cloud outsourcing documentation, management, and control within their organization. They must allocate sufficient resources to ensure compliance with guidelines and all applicable legal requirements. Firms should establish an oversight function or designate senior staff accountable to management for monitoring cloud outsourcing risks, considering business scale, complexity, and financial system risks. Small firms must ensure clear task division for oversight.</t>
        </is>
      </c>
      <c r="L1083" s="11" t="inlineStr">
        <is>
          <t>This section mandates clear oversight of cloud outsourcing arrangements to ensure risks are managed appropriately for data transfers across borders, particularly for critical functions.</t>
        </is>
      </c>
      <c r="M1083" s="11" t="inlineStr">
        <is>
          <t>• [Must] Clearly assign responsibilities for documentation, management and control of cloud outsourcing arrangements
• [Must] Allocate sufficient resources to ensure compliance with guidelines and legal requirements
• [Must] Establish cloud outsourcing oversight function or designate senior staff accountable to management
• [Must] Consider business nature, scale, complexity and financial system risks when managing cloud outsourcing
• [Must] Ensure management body has technical skills to understand cloud outsourcing risks
• [Must] Small firms must ensure clear division of tasks and responsibilities for oversight</t>
        </is>
      </c>
      <c r="N1083" s="11" t="inlineStr">
        <is>
          <t>13. A firm should: a) clearly assign the responsibilities for the documentation, management and control of cloud outsourcing arrangements within its organisation; b) allocate sufficient resources to ensure compliance with these guidelines and all of the legal requirements applicable to its cloud outsourcing arrangements; c) establish a cloud outsourcing oversight function or designate senior staff members who are directly accountable to the management body and responsible for managing and overseeing the risks of cloud outsourcing arrangements.</t>
        </is>
      </c>
      <c r="O1083" s="12" t="inlineStr">
        <is>
          <t>Open PDF</t>
        </is>
      </c>
    </row>
    <row r="1084">
      <c r="A1084" t="inlineStr">
        <is>
          <t>GDPR</t>
        </is>
      </c>
      <c r="B1084" t="inlineStr">
        <is>
          <t>esma_cloud_guidelines (GDPR - Row 8)</t>
        </is>
      </c>
      <c r="C1084" t="inlineStr">
        <is>
          <t>14</t>
        </is>
      </c>
      <c r="D1084" s="11" t="inlineStr">
        <is>
          <t>Cloud outsourcing performance and security monitoring</t>
        </is>
      </c>
      <c r="E1084" t="inlineStr">
        <is>
          <t>12</t>
        </is>
      </c>
      <c r="F1084" t="inlineStr">
        <is>
          <t>High</t>
        </is>
      </c>
      <c r="G1084" t="inlineStr">
        <is>
          <t>High (explicit)</t>
        </is>
      </c>
      <c r="H1084" s="11" t="inlineStr">
        <is>
          <t>Cloud Services, Security</t>
        </is>
      </c>
      <c r="I1084" s="11" t="inlineStr">
        <is>
          <t>Personal Information</t>
        </is>
      </c>
      <c r="J1084" t="inlineStr">
        <is>
          <t>ESMA</t>
        </is>
      </c>
      <c r="K1084" s="11" t="inlineStr">
        <is>
          <t>Firms must monitor CSP performance, security measures, and adherence to service levels on a risk-based approach, prioritizing critical or important outsourced functions. This monitoring ensures ongoing compliance with cloud outsourcing arrangements and helps identify potential security or operational issues.</t>
        </is>
      </c>
      <c r="L1084" s="11" t="inlineStr">
        <is>
          <t>This section requires firms to monitor cloud service providers' performance and security to ensure data transfers remain secure and compliant across borders.</t>
        </is>
      </c>
      <c r="M1084" s="11" t="inlineStr">
        <is>
          <t>• [Must] Monitor performance of activities, security measures and adherence to agreed service levels by CSPs</t>
        </is>
      </c>
      <c r="N1084" s="11" t="inlineStr">
        <is>
          <t>14. A firm should monitor the performance of activities, the security measures and the adherence to agreed service levels by its CSPs. This monitoring should be risk-based, with a primary focus on the critical or important functions that have been outsourced.</t>
        </is>
      </c>
      <c r="O1084" s="12" t="inlineStr">
        <is>
          <t>Open PDF</t>
        </is>
      </c>
    </row>
    <row r="1085">
      <c r="A1085" t="inlineStr">
        <is>
          <t>GDPR</t>
        </is>
      </c>
      <c r="B1085" t="inlineStr">
        <is>
          <t>esma_cloud_guidelines (GDPR - Row 8)</t>
        </is>
      </c>
      <c r="C1085" t="inlineStr">
        <is>
          <t>15</t>
        </is>
      </c>
      <c r="D1085" s="11" t="inlineStr">
        <is>
          <t>Periodic reassessment of critical cloud functions</t>
        </is>
      </c>
      <c r="E1085" t="inlineStr">
        <is>
          <t>12</t>
        </is>
      </c>
      <c r="F1085" t="inlineStr">
        <is>
          <t>High</t>
        </is>
      </c>
      <c r="G1085" t="inlineStr">
        <is>
          <t>High (explicit)</t>
        </is>
      </c>
      <c r="H1085" s="11" t="inlineStr">
        <is>
          <t>Cloud Services</t>
        </is>
      </c>
      <c r="I1085" s="11" t="inlineStr">
        <is>
          <t>Personal Information</t>
        </is>
      </c>
      <c r="J1085" t="inlineStr">
        <is>
          <t>ESMA</t>
        </is>
      </c>
      <c r="K1085" s="11" t="inlineStr">
        <is>
          <t>Firms must periodically reassess whether cloud outsourcing arrangements concern critical or important functions, and trigger reassessment whenever the risk, nature, or scale of an outsourced function changes materially. This ensures ongoing alignment with evolving business needs and risks.</t>
        </is>
      </c>
      <c r="L1085" s="11" t="inlineStr">
        <is>
          <t>This section requires regular reassessment of cloud functions to ensure critical data transfers remain appropriately safeguarded across borders.</t>
        </is>
      </c>
      <c r="M1085" s="11" t="inlineStr">
        <is>
          <t>• [Must] Periodically reassess whether cloud outsourcing arrangements concern critical or important functions
• [Must] Reassess whenever risk, nature or scale of outsourced function has materially changed</t>
        </is>
      </c>
      <c r="N1085" s="11" t="inlineStr">
        <is>
          <t>15. A firm should reassess whether its cloud outsourcing arrangements concern a critical or important function periodically and whenever the risk, nature or scale of an outsourced function has materially changed.</t>
        </is>
      </c>
      <c r="O1085" s="12" t="inlineStr">
        <is>
          <t>Open PDF</t>
        </is>
      </c>
    </row>
    <row r="1086">
      <c r="A1086" t="inlineStr">
        <is>
          <t>GDPR</t>
        </is>
      </c>
      <c r="B1086" t="inlineStr">
        <is>
          <t>esma_cloud_guidelines (GDPR - Row 8)</t>
        </is>
      </c>
      <c r="C1086" t="inlineStr">
        <is>
          <t>16</t>
        </is>
      </c>
      <c r="D1086" s="11" t="inlineStr">
        <is>
          <t>Cloud outsourcing register maintenance</t>
        </is>
      </c>
      <c r="E1086" t="inlineStr">
        <is>
          <t>12</t>
        </is>
      </c>
      <c r="F1086" t="inlineStr">
        <is>
          <t>High</t>
        </is>
      </c>
      <c r="G1086" t="inlineStr">
        <is>
          <t>High (explicit)</t>
        </is>
      </c>
      <c r="H1086" s="11" t="inlineStr">
        <is>
          <t>Cloud Services, Record Keeping</t>
        </is>
      </c>
      <c r="I1086" s="11" t="inlineStr">
        <is>
          <t>Personal Information</t>
        </is>
      </c>
      <c r="J1086" t="inlineStr">
        <is>
          <t>ESMA</t>
        </is>
      </c>
      <c r="K1086" s="11" t="inlineStr">
        <is>
          <t>Firms must maintain an updated register of all cloud outsourcing arrangements, distinguishing between critical/important and non-critical functions. The register must include reasons for classification, and maintain records of terminated arrangements for an appropriate period, considering national law.</t>
        </is>
      </c>
      <c r="L1086" s="11" t="inlineStr">
        <is>
          <t>This section mandates detailed documentation of cloud data transfers to ensure compliance with cross-border data transfer requirements.</t>
        </is>
      </c>
      <c r="M1086" s="11" t="inlineStr">
        <is>
          <t>• [Must] Maintain updated register of information on all cloud outsourcing arrangements
• [Must] Distinguish between critical/important and other outsourcing arrangements
• [Must] Provide brief summary of reasons why outsourced function is critical or important
• [Must] Maintain record of terminated cloud outsourcing arrangements for appropriate time period</t>
        </is>
      </c>
      <c r="N1086" s="11" t="inlineStr">
        <is>
          <t>16. A firm should maintain an updated register of information on all its cloud outsourcing arrangements, distinguishing between the outsourcing of critical or important functions and other outsourcing arrangements. When distinguishing between the outsourcing of critical or important functions and other outsourcing arrangements, it should provide a brief summary of the reasons why the outsourced function is or is not considered critical or important. Taking into account national law, a firm should also maintain a record of terminated cloud outsourcing arrangements for an appropriate time period.</t>
        </is>
      </c>
      <c r="O1086" s="12" t="inlineStr">
        <is>
          <t>Open PDF</t>
        </is>
      </c>
    </row>
    <row r="1087">
      <c r="A1087" t="inlineStr">
        <is>
          <t>GDPR</t>
        </is>
      </c>
      <c r="B1087" t="inlineStr">
        <is>
          <t>esma_cloud_guidelines (GDPR - Row 8)</t>
        </is>
      </c>
      <c r="C1087" t="inlineStr">
        <is>
          <t>17</t>
        </is>
      </c>
      <c r="D1087" s="11" t="inlineStr">
        <is>
          <t>Critical cloud outsourcing register details</t>
        </is>
      </c>
      <c r="E1087" t="inlineStr">
        <is>
          <t>12–13</t>
        </is>
      </c>
      <c r="F1087" t="inlineStr">
        <is>
          <t>High</t>
        </is>
      </c>
      <c r="G1087" t="inlineStr">
        <is>
          <t>High (explicit)</t>
        </is>
      </c>
      <c r="H1087" s="11" t="inlineStr">
        <is>
          <t>Cloud Services, Record Keeping</t>
        </is>
      </c>
      <c r="I1087" s="11" t="inlineStr">
        <is>
          <t>Personal Information</t>
        </is>
      </c>
      <c r="J1087" t="inlineStr">
        <is>
          <t>ESMA</t>
        </is>
      </c>
      <c r="K1087" s="11" t="inlineStr">
        <is>
          <t>For critical cloud outsourcing arrangements, firms must include specific details in their register: reference numbers, dates, outsourced function descriptions, data types, criticality status, CSP information, data storage locations, risk assessment dates, and approval details. This ensures comprehensive tracking of high-risk data transfers.</t>
        </is>
      </c>
      <c r="L1087" s="11" t="inlineStr">
        <is>
          <t>This section specifies detailed requirements for registers of critical cloud data transfers to ensure robust cross-border data protection.</t>
        </is>
      </c>
      <c r="M1087" s="11" t="inlineStr">
        <is>
          <t>• [Must] Include reference number for each cloud outsourcing arrangement
• [Must] Provide start date and renewal dates for CSP and firm
• [Must] Describe outsourced function including data types and whether personal data is involved
• [Must] Assign category reflecting nature of outsourced function
• [Must] Indicate whether outsourced function supports time-critical business operations
• [Must] Provide CSP name, brand, country, registration details, address and parent company
• [Must] Specify governing law and jurisdiction choice
• [Must] Detail cloud services, deployment models and data storage locations
• [Must] Record date of most recent criticality assessment and next planned assessment
• [Must] Include date of most recent CSP risk assessment with summary and next planned date
• [Must] Identify individual or decision-making body that approved the arrangement
• [Must] List sub-outsourcers for critical functions including locations and data storage
• [Must] Provide estimated annual budget cost of cloud outsourcing arrangement</t>
        </is>
      </c>
      <c r="N1087" s="11" t="inlineStr">
        <is>
          <t>17. For the cloud outsourcing arrangements concerning critical or important functions, the register should include at least the following information for each cloud outsourcing arrangement: a) a reference number; b) the start date and, as applicable, the next contract renewal date, the end date and/or notice periods for the CSP and for the firm; c) a brief description of the outsourced function, including the data that is outsourced and whether this data includes personal data (for example by providing a yes or no in a separate data field); d) a category assigned by the firm that reflects the nature of the outsourced function (for example information technology function, control function), which should facilitate the identification of the different types of cloud outsourcing arrangements; e) whether the outsourced function supports business operations that are time-critical; f) the name and the brand name (if any) of the CSP, its country of registration, its corporate registration number, its legal entity identifier (where available), its registered address, its relevant contact details and the name of its parent company (if any); g) the governing law of the cloud outsourcing arrangement and, if any, the choice of jurisdiction; h) the type of cloud services and deployment models and the specific nature of the data to be held and the locations (namely regions or countries) where such data may be stored; i) the date of the most recent assessment of the criticality or importance of the outsourced function and the date of the next planned assessment; j) the date of the most recent risk assessment/audit of the CSP together with a brief summary of the main results, and the date of the next planned risk assessment/audit; k) the individual or decision-making body in the firm that approved the cloud outsourcing arrangement; l) where applicable, the names of any sub-outsourcer to which a critical or important function (or material parts thereof) is sub-outsourced, including the countries where the sub-outsourcers are registered, where the sub-outsourced service will be performed, and the locations (namely regions or countries) where the data will be stored; m) the estimated annual budget cost of the cloud outsourcing arrangement.</t>
        </is>
      </c>
      <c r="O1087" s="12" t="inlineStr">
        <is>
          <t>Open PDF</t>
        </is>
      </c>
    </row>
    <row r="1088">
      <c r="A1088" t="inlineStr">
        <is>
          <t>GDPR</t>
        </is>
      </c>
      <c r="B1088" t="inlineStr">
        <is>
          <t>esma_cloud_guidelines (GDPR - Row 8)</t>
        </is>
      </c>
      <c r="C1088" t="inlineStr">
        <is>
          <t>18</t>
        </is>
      </c>
      <c r="D1088" s="11" t="inlineStr">
        <is>
          <t>Non-critical cloud outsourcing register details</t>
        </is>
      </c>
      <c r="E1088" t="inlineStr">
        <is>
          <t>13</t>
        </is>
      </c>
      <c r="F1088" t="inlineStr">
        <is>
          <t>High</t>
        </is>
      </c>
      <c r="G1088" t="inlineStr">
        <is>
          <t>High (explicit)</t>
        </is>
      </c>
      <c r="H1088" s="11" t="inlineStr">
        <is>
          <t>Cloud Services, Record Keeping</t>
        </is>
      </c>
      <c r="I1088" s="11" t="inlineStr">
        <is>
          <t>Personal Information</t>
        </is>
      </c>
      <c r="J1088" t="inlineStr">
        <is>
          <t>ESMA</t>
        </is>
      </c>
      <c r="K1088" s="11" t="inlineStr">
        <is>
          <t>For non-critical cloud outsourcing arrangements, firms must define the register details based on the nature, scale, and complexity of risks inherent to the outsourced function. This ensures appropriate level of detail for lower-risk cloud activities.</t>
        </is>
      </c>
      <c r="L1088" s="11" t="inlineStr">
        <is>
          <t>This section specifies that non-critical cloud data transfers require less detailed documentation than critical transfers, reducing DTIA complexity for lower-risk scenarios.</t>
        </is>
      </c>
      <c r="M1088" s="11" t="inlineStr">
        <is>
          <t>• [Must] Define information to include in register based on nature, scale and complexity of risks</t>
        </is>
      </c>
      <c r="N1088" s="11" t="inlineStr">
        <is>
          <t>18. For the cloud outsourcing arrangements concerning non-critical or non-important functions, a firm should define the information to be included in the register based on the nature, scale and complexity of the risks inherent to the outsourced function.</t>
        </is>
      </c>
      <c r="O1088" s="12" t="inlineStr">
        <is>
          <t>Open PDF</t>
        </is>
      </c>
    </row>
    <row r="1089">
      <c r="A1089" t="inlineStr">
        <is>
          <t>GDPR</t>
        </is>
      </c>
      <c r="B1089" t="inlineStr">
        <is>
          <t>esma_cloud_guidelines (GDPR - Row 8)</t>
        </is>
      </c>
      <c r="C1089" t="inlineStr">
        <is>
          <t>19</t>
        </is>
      </c>
      <c r="D1089" s="11" t="inlineStr">
        <is>
          <t>Pre-cloud outsourcing risk assessment requirements</t>
        </is>
      </c>
      <c r="E1089" t="inlineStr">
        <is>
          <t>13</t>
        </is>
      </c>
      <c r="F1089" t="inlineStr">
        <is>
          <t>High</t>
        </is>
      </c>
      <c r="G1089" t="inlineStr">
        <is>
          <t>High (explicit)</t>
        </is>
      </c>
      <c r="H1089" s="11" t="inlineStr">
        <is>
          <t>Cloud Services</t>
        </is>
      </c>
      <c r="I1089" s="11" t="inlineStr">
        <is>
          <t>Personal Information</t>
        </is>
      </c>
      <c r="J1089" t="inlineStr">
        <is>
          <t>ESMA</t>
        </is>
      </c>
      <c r="K1089" s="11" t="inlineStr">
        <is>
          <t>Firms must assess if cloud outsourcing affects critical functions, identify all relevant risks, conduct due diligence on prospective cloud service providers (CSPs), and evaluate potential conflicts of interest before entering any cloud outsourcing arrangement. These obligations apply to financial institutions and firms subject to the ESMA guidelines.</t>
        </is>
      </c>
      <c r="L1089" s="11" t="inlineStr">
        <is>
          <t>Requires firms to conduct comprehensive risk assessments before cloud outsourcing, particularly for critical functions, to ensure adequate safeguards for data security and operational continuity across borders.</t>
        </is>
      </c>
      <c r="M1089" s="11" t="inlineStr">
        <is>
          <t>• [Must] Assess if cloud outsourcing arrangement concerns critical or important function
• [Must] Identify and assess all relevant risks of cloud outsourcing arrangement
• [Must] Undertake appropriate due diligence on prospective cloud service provider
• [Must] Identify and assess any conflict of interest arising from outsourcing</t>
        </is>
      </c>
      <c r="N1089" s="11" t="inlineStr">
        <is>
          <t>Before entering into any cloud outsourcing arrangement, a firm should: a) assess if the cloud outsourcing arrangement concerns a critical or important function; b) identify and assess all relevant risks of the cloud outsourcing arrangement; c) undertake appropriate due diligence on the prospective CSP; d) identify and assess any conflict of interest that the outsourcing may cause.</t>
        </is>
      </c>
      <c r="O1089" s="12" t="inlineStr">
        <is>
          <t>Open PDF</t>
        </is>
      </c>
    </row>
    <row r="1090">
      <c r="A1090" t="inlineStr">
        <is>
          <t>GDPR</t>
        </is>
      </c>
      <c r="B1090" t="inlineStr">
        <is>
          <t>esma_cloud_guidelines (GDPR - Row 8)</t>
        </is>
      </c>
      <c r="C1090" t="inlineStr">
        <is>
          <t>20</t>
        </is>
      </c>
      <c r="D1090" s="11" t="inlineStr">
        <is>
          <t>Proportionate pre-outsourcing due diligence requirements</t>
        </is>
      </c>
      <c r="E1090" t="inlineStr">
        <is>
          <t>13</t>
        </is>
      </c>
      <c r="F1090" t="inlineStr">
        <is>
          <t>High</t>
        </is>
      </c>
      <c r="G1090" t="inlineStr">
        <is>
          <t>High (explicit)</t>
        </is>
      </c>
      <c r="H1090" s="11" t="inlineStr">
        <is>
          <t>Cloud Services</t>
        </is>
      </c>
      <c r="I1090" s="11" t="inlineStr">
        <is>
          <t>Personal Information</t>
        </is>
      </c>
      <c r="J1090" t="inlineStr">
        <is>
          <t>ESMA</t>
        </is>
      </c>
      <c r="K1090" s="11" t="inlineStr">
        <is>
          <t>Firms must ensure pre-outsourcing analysis and due diligence on cloud service providers (CSPs) are proportionate to the function's nature, scale, complexity, and inherent risks. This includes assessing impacts on operational, legal, compliance, and reputational risks to maintain adequate safeguards for critical functions.</t>
        </is>
      </c>
      <c r="L1090" s="11" t="inlineStr">
        <is>
          <t>Mandates that due diligence must be proportionate to the function's risk profile, ensuring that cloud outsourcing arrangements do not compromise financial institution security or compliance across borders.</t>
        </is>
      </c>
      <c r="M1090" s="11" t="inlineStr">
        <is>
          <t>• [Must] Pre-outsourcing analysis and due diligence on CSP should be proportionate to function's nature, scale, complexity and inherent risks
• [Must] Include assessment of potential impact on operational, legal, compliance and reputational risks</t>
        </is>
      </c>
      <c r="N1090" s="11" t="inlineStr">
        <is>
          <t>The pre-outsourcing analysis and due diligence on the prospective CSP should be proportionate to the nature, scale and complexity of the function that the firm intends to outsource and the risks inherent to this function. It should include at least an assessment of the potential impact of the cloud outsourcing arrangement on the firm's operational, legal, compliance, and reputational risks.</t>
        </is>
      </c>
      <c r="O1090" s="12" t="inlineStr">
        <is>
          <t>Open PDF</t>
        </is>
      </c>
    </row>
    <row r="1091">
      <c r="A1091" t="inlineStr">
        <is>
          <t>GDPR</t>
        </is>
      </c>
      <c r="B1091" t="inlineStr">
        <is>
          <t>esma_cloud_guidelines (GDPR - Row 8)</t>
        </is>
      </c>
      <c r="C1091" t="inlineStr">
        <is>
          <t>21</t>
        </is>
      </c>
      <c r="D1091" s="11" t="inlineStr">
        <is>
          <t>Enhanced risk assessment for critical cloud functions</t>
        </is>
      </c>
      <c r="E1091" t="inlineStr">
        <is>
          <t>13–14</t>
        </is>
      </c>
      <c r="F1091" t="inlineStr">
        <is>
          <t>High</t>
        </is>
      </c>
      <c r="G1091" t="inlineStr">
        <is>
          <t>High (explicit)</t>
        </is>
      </c>
      <c r="H1091" s="11" t="inlineStr">
        <is>
          <t>Cloud Services</t>
        </is>
      </c>
      <c r="I1091" s="11" t="inlineStr">
        <is>
          <t>Personal Information</t>
        </is>
      </c>
      <c r="J1091" t="inlineStr">
        <is>
          <t>ESMA</t>
        </is>
      </c>
      <c r="K1091" s="11" t="inlineStr">
        <is>
          <t>Firms must conduct detailed risk assessments for cloud outsourcing arrangements involving critical functions, covering technology, security, business continuity, legal compliance, reputational risks, operational risks, and oversight limitations. This includes evaluating impacts on data portability, political stability, and cross-border data transfers to ensure compliance with GDPR.</t>
        </is>
      </c>
      <c r="L1091" s="11" t="inlineStr">
        <is>
          <t>Requires comprehensive risk analysis for critical functions, including cross-border data transfer implications and political stability assessments, to ensure GDPR compliance in cloud outsourcing arrangements.</t>
        </is>
      </c>
      <c r="M1091" s="11" t="inlineStr">
        <is>
          <t>• [Must] Assess all relevant risks arising from cloud outsourcing arrangement, including information security, business continuity, legal compliance, reputational risks, operational risks and oversight limitations
• [Must] Evaluate risks related to selected cloud service, deployment models, migration processes, data sensitivity and security measures
• [Must] Assess risks from interoperability of systems and applications with CSP
• [Must] Evaluate data portability capacity to transfer data between CSPs or back to firm
• [Must] Assess political stability, security situation, legal system, insolvency laws, data protection laws and GDPR transfer conditions of countries where data is stored
• [Must] Evaluate concentration risks from multiple firms using same CSP or sub-outsourcing chains
• [Must] Weigh expected benefits and costs of cloud outsourcing against significant risks</t>
        </is>
      </c>
      <c r="N1091" s="11" t="inlineStr">
        <is>
          <t>In case the cloud outsourcing arrangement concerns critical or important functions, a firm should also: a) assess all relevant risks that may arise as a result of the cloud outsourcing arrangement, including risks in relation to information and communication technology, information security, business continuity, legal and compliance, reputational risks, operational risks, and possible oversight limitations for the firm, arising from: i. the selected cloud service and the proposed deployment models; ii. the migration and/or the implementation processes; iii. the sensitivity of the function and the related data which are under consideration to be outsourced and the security measures which would need to be taken; iv. the interoperability of the systems and applications of the firm and the CSP, namely their capacity to exchange information and mutually use the information that has been exchanged; v. the portability of the data of the firm, namely the capacity to easily transfer the firm's data from one CSP to another or back to the firm; vi. the political stability, the security situation and the legal system (including the law enforcement provisions in place, the insolvency law provisions that would apply in case of the CSP's bankruptcy, the laws on data protection in force and whether the conditions for transfer of personal data to a third country under the GDPR are met) of the countries (within or outside the EU) where the outsourced functions would be provided and where the outsourced data would be stored; in case of sub-outsourcing, the additional risks that may arise if the sub-outsourcer is located in a third country or a different country from the CSP and, in case of a sub-outsourcing chain, any additional risk which may arise, including in relation to the absence of a direct contract between the firm and the sub-outsourcer performing the outsourced function; vii. possible concentration within the firm (including, where applicable, at the level of its group,) caused by multiple cloud outsourcing arrangements with the same CSP as well as possible concentration within the EU financial sector, caused by multiple firms making use of the same CSP or a small group of CSPs. When assessing the concentration risk, the firm should take into account all its cloud outsourcing arrangements (and, where applicable, the cloud outsourcing arrangements at the level of its group) with that CSP; b) take into account the expected benefits and costs of the cloud outsourcing arrangement, including weighing any significant risks which may be reduced or better managed against any significant risks which may arise as a result of the cloud outsourcing arrangement.</t>
        </is>
      </c>
      <c r="O1091" s="12" t="inlineStr">
        <is>
          <t>Open PDF</t>
        </is>
      </c>
    </row>
    <row r="1092">
      <c r="A1092" t="inlineStr">
        <is>
          <t>GDPR</t>
        </is>
      </c>
      <c r="B1092" t="inlineStr">
        <is>
          <t>esma_cloud_guidelines (GDPR - Row 8)</t>
        </is>
      </c>
      <c r="C1092" t="inlineStr">
        <is>
          <t>22</t>
        </is>
      </c>
      <c r="D1092" s="11" t="inlineStr">
        <is>
          <t>CSP suitability evaluation for critical functions</t>
        </is>
      </c>
      <c r="E1092" t="inlineStr">
        <is>
          <t>14</t>
        </is>
      </c>
      <c r="F1092" t="inlineStr">
        <is>
          <t>High</t>
        </is>
      </c>
      <c r="G1092" t="inlineStr">
        <is>
          <t>High (explicit)</t>
        </is>
      </c>
      <c r="H1092" s="11" t="inlineStr">
        <is>
          <t>Cloud Services</t>
        </is>
      </c>
      <c r="I1092" s="11" t="inlineStr">
        <is>
          <t>Personal Information</t>
        </is>
      </c>
      <c r="J1092" t="inlineStr">
        <is>
          <t>ESMA</t>
        </is>
      </c>
      <c r="K1092" s="11" t="inlineStr">
        <is>
          <t>Firms must evaluate CSP suitability for critical functions by assessing business reputation, skills, resources, organizational structure, and relevant authorizations. This includes evaluating information security practices, service support, and business continuity/disaster recovery plans to ensure reliable and professional service delivery.</t>
        </is>
      </c>
      <c r="L1092" s="11" t="inlineStr">
        <is>
          <t>Requires firms to verify CSP capabilities and security measures to ensure critical functions remain compliant with GDPR when outsourced to cloud services across borders.</t>
        </is>
      </c>
      <c r="M1092" s="11" t="inlineStr">
        <is>
          <t>• [Must] Ensure CSP has business reputation, skills, resources (human, IT, financial), organizational structure and relevant authorizations to perform critical functions reliably
• [Must] Assess CSP's management of information security and protection of personal, confidential or sensitive data
• [Must] Evaluate CSP's service support including support plans and contacts, and incident management processes
• [Must] Assess CSP's business continuity and disaster recovery plans</t>
        </is>
      </c>
      <c r="N1092" s="11" t="inlineStr">
        <is>
          <t>In case of outsourcing of critical or important functions, the due diligence should include an evaluation of the suitability of the CSP. When assessing the suitability of the CSP, a firm should ensure that the CSP has the business reputation, the skills, the resources (including human, IT and financial), the organisational structure and, if applicable, the relevant authorisation(s) or registration(s) to perform the critical or important function in a reliable and professional manner and to meet its obligations over the duration of the cloud outsourcing arrangement. Additional factors to be considered in the due diligence on the CSP include, but are not limited to: a) the management of information security and in particular the protection of personal, confidential or otherwise sensitive data; b) the service support, including support plans and contacts, and incident management processes; c) the business continuity and disaster recovery plans;</t>
        </is>
      </c>
      <c r="O1092" s="12" t="inlineStr">
        <is>
          <t>Open PDF</t>
        </is>
      </c>
    </row>
    <row r="1093">
      <c r="A1093" t="inlineStr">
        <is>
          <t>GDPR</t>
        </is>
      </c>
      <c r="B1093" t="inlineStr">
        <is>
          <t>esma_cloud_guidelines (GDPR - Row 8)</t>
        </is>
      </c>
      <c r="C1093" t="inlineStr">
        <is>
          <t>23</t>
        </is>
      </c>
      <c r="D1093" s="11" t="inlineStr">
        <is>
          <t>Certification and audit support for due diligence</t>
        </is>
      </c>
      <c r="E1093" t="inlineStr">
        <is>
          <t>14</t>
        </is>
      </c>
      <c r="F1093" t="inlineStr">
        <is>
          <t>High</t>
        </is>
      </c>
      <c r="G1093" t="inlineStr">
        <is>
          <t>High (explicit)</t>
        </is>
      </c>
      <c r="H1093" s="11" t="inlineStr">
        <is>
          <t>Cloud Services</t>
        </is>
      </c>
      <c r="I1093" s="11" t="inlineStr">
        <is>
          <t>Personal Information</t>
        </is>
      </c>
      <c r="J1093" t="inlineStr">
        <is>
          <t>ESMA</t>
        </is>
      </c>
      <c r="K1093" s="11" t="inlineStr">
        <is>
          <t>Firms may use international standards certifications and external or internal audit reports to support their pre-outsourcing due diligence, provided such measures are appropriate for the specific cloud outsourcing arrangement.</t>
        </is>
      </c>
      <c r="L1093" s="11" t="inlineStr">
        <is>
          <t>Allows firms to leverage third-party certifications and audits to validate cloud service provider compliance, enhancing the robustness of data transfer impact assessments for critical functions.</t>
        </is>
      </c>
      <c r="M1093" s="11" t="inlineStr">
        <is>
          <t>• [May] Use certifications based on international standards and external or internal audit reports to support due diligence</t>
        </is>
      </c>
      <c r="N1093" s="11" t="inlineStr">
        <is>
          <t>Where appropriate and in order to support the due diligence performed, a firm may also use certifications based on international standards and external or internal audit reports.</t>
        </is>
      </c>
      <c r="O1093" s="12" t="inlineStr">
        <is>
          <t>Open PDF</t>
        </is>
      </c>
    </row>
    <row r="1094">
      <c r="A1094" t="inlineStr">
        <is>
          <t>GDPR</t>
        </is>
      </c>
      <c r="B1094" t="inlineStr">
        <is>
          <t>esma_cloud_guidelines (GDPR - Row 8)</t>
        </is>
      </c>
      <c r="C1094" t="inlineStr">
        <is>
          <t>24</t>
        </is>
      </c>
      <c r="D1094" s="11" t="inlineStr">
        <is>
          <t>Review due diligence after significant CSP changes</t>
        </is>
      </c>
      <c r="E1094" t="inlineStr">
        <is>
          <t>14</t>
        </is>
      </c>
      <c r="F1094" t="inlineStr">
        <is>
          <t>High</t>
        </is>
      </c>
      <c r="G1094" t="inlineStr">
        <is>
          <t>High (explicit)</t>
        </is>
      </c>
      <c r="H1094" s="11" t="inlineStr">
        <is>
          <t>Cloud Services</t>
        </is>
      </c>
      <c r="I1094" s="11" t="inlineStr">
        <is>
          <t>Personal Information</t>
        </is>
      </c>
      <c r="J1094" t="inlineStr">
        <is>
          <t>ESMA</t>
        </is>
      </c>
      <c r="K1094" s="11" t="inlineStr">
        <is>
          <t>Firms must promptly review or re-perform pre-outsourcing analysis and due diligence on CSPs if they become aware of significant deficiencies or changes to services provided by the CSP or the CSP's situation.</t>
        </is>
      </c>
      <c r="L1094" s="11" t="inlineStr">
        <is>
          <t>Mandates ongoing monitoring of CSP performance and compliance, ensuring that data transfer impact assessments remain current and effective after significant changes to cloud service providers.</t>
        </is>
      </c>
      <c r="M1094" s="11" t="inlineStr">
        <is>
          <t>• [Must] Promptly review or re-perform pre-outsourcing analysis and due diligence on CSP when significant deficiencies or changes to services or CSP situation are identified</t>
        </is>
      </c>
      <c r="N1094" s="11" t="inlineStr">
        <is>
          <t>If a firm becomes aware of significant deficiencies and/or significant changes to the services provided or to the situation of the CSP, the pre-outsourcing analysis and due diligence on the CSP should be promptly reviewed or where needed re-performed.</t>
        </is>
      </c>
      <c r="O1094" s="12" t="inlineStr">
        <is>
          <t>Open PDF</t>
        </is>
      </c>
    </row>
    <row r="1095">
      <c r="A1095" t="inlineStr">
        <is>
          <t>GDPR</t>
        </is>
      </c>
      <c r="B1095" t="inlineStr">
        <is>
          <t>esma_cloud_guidelines (GDPR - Row 8)</t>
        </is>
      </c>
      <c r="C1095" t="inlineStr">
        <is>
          <t>25</t>
        </is>
      </c>
      <c r="D1095" s="11" t="inlineStr">
        <is>
          <t>Risk-based due diligence for re-assessed CSPs</t>
        </is>
      </c>
      <c r="E1095" t="inlineStr">
        <is>
          <t>14–15</t>
        </is>
      </c>
      <c r="F1095" t="inlineStr">
        <is>
          <t>High</t>
        </is>
      </c>
      <c r="G1095" t="inlineStr">
        <is>
          <t>High (explicit)</t>
        </is>
      </c>
      <c r="H1095" s="11" t="inlineStr">
        <is>
          <t>Cloud Services</t>
        </is>
      </c>
      <c r="I1095" s="11" t="inlineStr">
        <is>
          <t>Personal Information</t>
        </is>
      </c>
      <c r="J1095" t="inlineStr">
        <is>
          <t>ESMA</t>
        </is>
      </c>
      <c r="K1095" s="11" t="inlineStr">
        <is>
          <t>When a firm renews an existing arrangement with a CSP that has already been assessed, it must determine on a risk-based approach whether new due diligence is required. This applies to firms outsourcing critical functions to cloud service providers. The assessment must consider the specific risks associated with the renewed arrangement to ensure ongoing compliance with data protection standards.</t>
        </is>
      </c>
      <c r="L1095" s="11" t="inlineStr">
        <is>
          <t>Requires firms to reassess cloud provider risks before renewing agreements to ensure continued data protection compliance without unnecessary disruption.</t>
        </is>
      </c>
      <c r="M1095" s="11" t="inlineStr">
        <is>
          <t>• [Must] Determine on a risk-based approach whether new due diligence is needed</t>
        </is>
      </c>
      <c r="N1095" s="11" t="inlineStr">
        <is>
          <t>25. In case a firm enters into a new arrangement or renews an existing arrangement with a CSP that has already been assessed, it should determine, on a risk-based approach, whether a new due diligence is needed.</t>
        </is>
      </c>
      <c r="O1095" s="12" t="inlineStr">
        <is>
          <t>Open PDF</t>
        </is>
      </c>
    </row>
    <row r="1096">
      <c r="A1096" t="inlineStr">
        <is>
          <t>GDPR</t>
        </is>
      </c>
      <c r="B1096" t="inlineStr">
        <is>
          <t>esma_cloud_guidelines (GDPR - Row 8)</t>
        </is>
      </c>
      <c r="C1096" t="inlineStr">
        <is>
          <t>28</t>
        </is>
      </c>
      <c r="D1096" s="11" t="inlineStr">
        <is>
          <t>Minimum contractual terms for cloud outsourcing</t>
        </is>
      </c>
      <c r="E1096" t="inlineStr">
        <is>
          <t>15–16</t>
        </is>
      </c>
      <c r="F1096" t="inlineStr">
        <is>
          <t>High</t>
        </is>
      </c>
      <c r="G1096" t="inlineStr">
        <is>
          <t>High (explicit)</t>
        </is>
      </c>
      <c r="H1096" s="11" t="inlineStr">
        <is>
          <t>Cloud Services, Incident Reporting, Breach Notification, Security</t>
        </is>
      </c>
      <c r="I1096" s="11" t="inlineStr">
        <is>
          <t>Personal Information</t>
        </is>
      </c>
      <c r="J1096" t="inlineStr">
        <is>
          <t>ESMA</t>
        </is>
      </c>
      <c r="K1096" s="11" t="inlineStr">
        <is>
          <t>When outsourcing critical or important functions, firms must include specific contractual terms in written agreements with CSPs. These terms cover function description, agreement duration, governing law, financial obligations, sub-outsourcing rules, data location, security provisions, performance monitoring rights, service levels, reporting obligations, incident management, insurance requirements, business continuity plans, and audit rights. The clauses ensure transparency and accountability in cloud service arrangements.</t>
        </is>
      </c>
      <c r="L1096" s="11" t="inlineStr">
        <is>
          <t>Defines mandatory contractual terms for cloud providers to ensure data security, compliance, and operational continuity during outsourcing activities.</t>
        </is>
      </c>
      <c r="M1096" s="11" t="inlineStr">
        <is>
          <t>• [Must] Include a clear description of the outsourced function
• [Must] Specify start and end dates of the agreement and notice periods
• [Must] State governing law and jurisdiction choice
• [Must] Detail financial obligations of both parties
• [Must] Define sub-outsourcing permissions and conditions
• [Must] Specify data processing and storage locations and change notification requirements
• [Must] Include information security and data protection provisions
• [Must] Grant firm rights to monitor CSP performance regularly
• [Must] Set agreed service levels with performance targets
• [Must] Define CSP reporting obligations to the firm
• [Must] Include incident management provisions and timely reporting
• [Must] Specify mandatory insurance requirements and coverage levels
• [Must] Require business continuity and disaster recovery plans
• [Must] Grant firm access rights to inspect CSP systems and data
• [Must] Ensure data can be accessed, recovered, and returned to the firm</t>
        </is>
      </c>
      <c r="N1096" s="11" t="inlineStr">
        <is>
          <t>28. In case of outsourcing of critical or important functions, the written agreement should include at least: a) a clear description of the outsourced function; b) the start date and end date, where applicable, of the agreement and the notice periods for the CSP and for the firm; c) the governing law of the agreement and, if any, the choice of jurisdiction; d) the firm's and the CSP's financial obligations; e) whether sub-outsourcing is permitted, and, if so, under which conditions, having regard to Guideline 7; f) the location(s) (namely regions or countries) where the outsourced function will be provided and where data will be processed and stored, and the conditions to be met, including a requirement to notify the firm if the CSP proposes to change the location(s); g) provisions regarding information security and protection of personal data, having regard to Guideline 4; h) the right for the firm to monitor the CSP's performance under the cloud outsourcing arrangement on a regular basis, having regard to Guideline 6; i) the agreed service levels, which should include, quantitative and qualitative performance targets in order to allow for timely monitoring so that appropriate corrective actions can be taken without undue delay if agreed service levels are not met; j) the reporting obligations of the CSP to the firm and, as appropriate, the obligations to submit reports relevant for the firm's security function and key functions, such as reports prepared by the internal audit function of the CSP; k) provisions regarding the management of incidents by the CSP, including the obligation for the CSP to report to the firm without undue delay incidents that have affected the operation of the firm's contracted service; l) whether the CSP should take mandatory insurance against certain risks and, if applicable, the level of insurance cover requested; m) the requirements for the CSP to implement and test business continuity and disaster recovery plans; n) the requirement for the CSP to grant the firm, its competent authorities and any other person appointed by the firm or the competent authorities the right to access ('access rights') and to inspect ('audit rights') the relevant information, premises, systems and devices of the CSP to the extent necessary to monitor the CSP's performance under the cloud outsourcing arrangement and its compliance with the applicable regulatory and contractual requirements, having regard to Guideline 6; o) provisions to ensure that the data that the CSP processes or stores on behalf of the firm can be accessed, recovered and returned to the firm as needed, having regard to Guideline 5.</t>
        </is>
      </c>
      <c r="O1096" s="12" t="inlineStr">
        <is>
          <t>Open PDF</t>
        </is>
      </c>
    </row>
    <row r="1097">
      <c r="A1097" t="inlineStr">
        <is>
          <t>GDPR</t>
        </is>
      </c>
      <c r="B1097" t="inlineStr">
        <is>
          <t>esma_cloud_guidelines (GDPR - Row 8)</t>
        </is>
      </c>
      <c r="C1097" t="inlineStr">
        <is>
          <t>29</t>
        </is>
      </c>
      <c r="D1097" s="11" t="inlineStr">
        <is>
          <t>Ongoing information security monitoring</t>
        </is>
      </c>
      <c r="E1097" t="inlineStr">
        <is>
          <t>16</t>
        </is>
      </c>
      <c r="F1097" t="inlineStr">
        <is>
          <t>High</t>
        </is>
      </c>
      <c r="G1097" t="inlineStr">
        <is>
          <t>High (explicit)</t>
        </is>
      </c>
      <c r="H1097" s="11" t="inlineStr">
        <is>
          <t>Cloud Services, Security</t>
        </is>
      </c>
      <c r="I1097" s="11" t="inlineStr">
        <is>
          <t>Personal Information</t>
        </is>
      </c>
      <c r="J1097" t="inlineStr">
        <is>
          <t>ESMA</t>
        </is>
      </c>
      <c r="K1097" s="11" t="inlineStr">
        <is>
          <t>Firms must establish information security requirements in internal policies and procedures, and within cloud outsourcing agreements. These requirements must be proportionate to the function's nature, scale, complexity, and associated risks. Firms must continuously monitor compliance with these security measures to protect confidential, personal, and sensitive data.</t>
        </is>
      </c>
      <c r="L1097" s="11" t="inlineStr">
        <is>
          <t>Mandates continuous monitoring of information security to ensure data protection during cloud outsourcing, aligning with risk-based approaches.</t>
        </is>
      </c>
      <c r="M1097" s="11" t="inlineStr">
        <is>
          <t>• [Must] Set information security requirements in internal policies and procedures
• [Must] Include information security requirements in cloud outsourcing agreements
• [Must] Monitor compliance with security requirements on an ongoing basis
• [Must] Ensure requirements are proportionate to function nature, scale, complexity, and risks</t>
        </is>
      </c>
      <c r="N1097" s="11" t="inlineStr">
        <is>
          <t>29. A firm should set information security requirements in its internal policies and procedures and within the cloud outsourcing written agreement and monitor compliance with these requirements on an ongoing basis, including to protect confidential, personal or otherwise sensitive data. These requirements should be proportionate to the nature, scale and complexity of the function that the firm outsources to the CSP and the risks inherent to this function.</t>
        </is>
      </c>
      <c r="O1097" s="12" t="inlineStr">
        <is>
          <t>Open PDF</t>
        </is>
      </c>
    </row>
    <row r="1098">
      <c r="A1098" t="inlineStr">
        <is>
          <t>GDPR</t>
        </is>
      </c>
      <c r="B1098" t="inlineStr">
        <is>
          <t>esma_cloud_guidelines (GDPR - Row 8)</t>
        </is>
      </c>
      <c r="C1098" t="inlineStr">
        <is>
          <t>30</t>
        </is>
      </c>
      <c r="D1098" s="11" t="inlineStr">
        <is>
          <t>Information security requirements for critical functions</t>
        </is>
      </c>
      <c r="E1098" t="inlineStr">
        <is>
          <t>16–17</t>
        </is>
      </c>
      <c r="F1098" t="inlineStr">
        <is>
          <t>High</t>
        </is>
      </c>
      <c r="G1098" t="inlineStr">
        <is>
          <t>High (explicit)</t>
        </is>
      </c>
      <c r="H1098" s="11" t="inlineStr">
        <is>
          <t>Cloud Services, Security, Encryption, Access Control</t>
        </is>
      </c>
      <c r="I1098" s="11" t="inlineStr">
        <is>
          <t>Personal Information</t>
        </is>
      </c>
      <c r="J1098" t="inlineStr">
        <is>
          <t>ESMA</t>
        </is>
      </c>
      <c r="K1098" s="11" t="inlineStr">
        <is>
          <t>For critical or important functions, firms must implement specific information security requirements in cloud outsourcing agreements. These include clear role allocation, strong authentication mechanisms, encryption for data in transit, memory, at rest, and backups, network segregation, secure API integrations, business continuity and disaster recovery controls, data location strategies, and compliance verification with internationally recognized standards. These measures ensure robust data protection and operational resilience.</t>
        </is>
      </c>
      <c r="L1098" s="11" t="inlineStr">
        <is>
          <t>Specifies detailed security controls for critical cloud functions to mitigate risks and ensure data integrity during outsourcing.</t>
        </is>
      </c>
      <c r="M1098" s="11" t="inlineStr">
        <is>
          <t>• [Must] Ensure clear allocation of information security roles and responsibilities
• [Must] Implement strong authentication mechanisms and access controls
• [Must] Use encryption technologies for data in transit, memory, at rest, and backups
• [Must] Implement appropriate key management solutions
• [Must] Ensure appropriate network availability and segregation
• [Must] Secure application programming interfaces (APIs) with robust policies
• [Must] Ensure effective business continuity and disaster recovery controls
• [Must] Adopt a risk-based approach to data storage and processing locations
• [Must] Verify CSP compliance with internationally recognized security standards</t>
        </is>
      </c>
      <c r="N1098" s="11" t="inlineStr">
        <is>
          <t>30. For that purpose, in case of outsourcing of critical or important functions, and without prejudice to the applicable requirements under GDPR, a firm, applying a risk-based approach, should at least: a) information security organisation: ensure that there is a clear allocation of information security roles and responsibilities between the firm and the CSP, including in relation to threat detection, incident management and patch management, and ensure that the CSP is effectively able to fulfil its roles and responsibilities; b) identity and access management: ensure that strong authentication mechanisms (for example multi-factor authentication) and access controls are in place with a view to prevent unauthorised access to the firm's data and back-end cloud resources; c) encryption and key management: ensure that relevant encryption technologies are used, where necessary, for data in transit, data in memory, data at rest and data back-ups, in combination with appropriate key management solutions to limit the risk of non-authorised access to the encryption keys; in particular, the firm should consider state-of-the-art technology and processes when selecting its key management solution; d) operations and network security: consider appropriate levels of network availability, network segregation (for example tenant isolation in the shared environment of the cloud, operational separation as regards the web, application logic, operating system, network, Data Base Management System (DBMS) and storage layers) and processing environments (for example test, User Acceptance Testing, development, production); e) application programming interfaces (API): consider mechanisms for the integration of the cloud services with the systems of the firm to ensure security of APIs (for example establishing and maintaining information security policies and procedures for APIs across multiple system interfaces, jurisdictions, and business functions to prevent unauthorised disclosure, modification or destruction of data); f) business continuity and disaster recovery: ensure that effective business continuity and disaster recovery controls are in place (for example by setting minimum capacity requirements, selecting hosting options that are geographically spread, with the capability to switch from one to the other, or requesting and reviewing documentation showing the transport route of the firm's data among the CSP's systems, as well as considering the possibility to replicate machine images to an independent storage location, which is sufficiently isolated from the network or taken offline); g) data location: adopt a risk-based approach to data storage and data processing location(s) (namely regions or countries); h) compliance &amp; monitoring: verify that the CSP complies with internationally recognised information security standards and has implemented appropriate information security controls (for example by requesting the CSP to provide evidence that it conducts relevant information security reviews and by performing regular assessments and tests on the CSP's information security arrangements).</t>
        </is>
      </c>
      <c r="O1098" s="12" t="inlineStr">
        <is>
          <t>Open PDF</t>
        </is>
      </c>
    </row>
    <row r="1099">
      <c r="A1099" t="inlineStr">
        <is>
          <t>GDPR</t>
        </is>
      </c>
      <c r="B1099" t="inlineStr">
        <is>
          <t>esma_cloud_guidelines (GDPR - Row 8)</t>
        </is>
      </c>
      <c r="C1099" t="inlineStr">
        <is>
          <t>31</t>
        </is>
      </c>
      <c r="D1099" s="11" t="inlineStr">
        <is>
          <t>Exit strategy for cloud outsourcing</t>
        </is>
      </c>
      <c r="E1099" t="inlineStr">
        <is>
          <t>17</t>
        </is>
      </c>
      <c r="F1099" t="inlineStr">
        <is>
          <t>High</t>
        </is>
      </c>
      <c r="G1099" t="inlineStr">
        <is>
          <t>High (explicit)</t>
        </is>
      </c>
      <c r="H1099" s="11" t="inlineStr">
        <is>
          <t>Cloud Services</t>
        </is>
      </c>
      <c r="I1099" s="11" t="inlineStr">
        <is>
          <t>Personal Information</t>
        </is>
      </c>
      <c r="J1099" t="inlineStr">
        <is>
          <t>ESMA</t>
        </is>
      </c>
      <c r="K1099" s="11" t="inlineStr">
        <is>
          <t>Firms must develop comprehensive exit plans for cloud outsourcing arrangements to ensure seamless transition without business disruption or compliance detriment. These plans must cover documented exit strategies, alternative solutions, transition protocols, and contractual obligations for data transfer. The exit strategy must maintain data confidentiality, integrity, and availability while complying with applicable legislation.</t>
        </is>
      </c>
      <c r="L1099" s="11" t="inlineStr">
        <is>
          <t>Requires firms to prepare exit strategies for cloud providers to ensure data continuity and regulatory compliance during transitions.</t>
        </is>
      </c>
      <c r="M1099" s="11" t="inlineStr">
        <is>
          <t>• [Must] Develop comprehensive, documented, and tested exit plans
• [Must] Identify alternative solutions and develop transition plans for data transfer
• [Must] Ensure cloud outsourcing agreements include obligations for CSP to support orderly data transfer
• [Must] Include secure data deletion from CSP and sub-outsourcers</t>
        </is>
      </c>
      <c r="N1099" s="11" t="inlineStr">
        <is>
          <t>31. In case of outsourcing of critical or important functions, a firm should ensure that it is able to exit the cloud outsourcing arrangement without undue disruption to its business activities and services to its clients, and without any detriment to its compliance with its obligations under the applicable legislation, as well as the confidentiality, integrity and availability of its data. For that purpose, a firm should: a) develop exit plans that are comprehensive, documented and sufficiently tested. These plans should be updated as needed, including in case of changes in the outsourced function; b) identify alternative solutions and develop transition plans to remove the outsourced function and data from the CSP and, where applicable, any sub-outsourcer, and transfer them to the alternative CSP indicated by the firm or directly back to the firm. These solutions should be defined with regard to the challenges that may arise from the location of the data, taking the necessary measures to ensure business continuity during the transition phase; c) ensure that the cloud outsourcing written agreement includes an obligation for the CSP to support the orderly transfer of the outsourced function, and the related processing of data, from the CSP and any sub-outsourcer to another CSP indicated by the firm or directly to the firm in case the firm activates the exit strategy. The obligation to support the orderly transfer of the outsourced function, and the related treatment of data, should include where relevant the secure deletion of the data from the systems of the CSP and any sub-outsourcer.</t>
        </is>
      </c>
      <c r="O1099" s="12" t="inlineStr">
        <is>
          <t>Open PDF</t>
        </is>
      </c>
    </row>
    <row r="1100">
      <c r="A1100" t="inlineStr">
        <is>
          <t>GDPR</t>
        </is>
      </c>
      <c r="B1100" t="inlineStr">
        <is>
          <t>esma_cloud_guidelines (GDPR - Row 8)</t>
        </is>
      </c>
      <c r="C1100" t="inlineStr">
        <is>
          <t>32</t>
        </is>
      </c>
      <c r="D1100" s="11" t="inlineStr">
        <is>
          <t>Exit strategy development requirements</t>
        </is>
      </c>
      <c r="E1100" t="inlineStr">
        <is>
          <t>17–18</t>
        </is>
      </c>
      <c r="F1100" t="inlineStr">
        <is>
          <t>High</t>
        </is>
      </c>
      <c r="G1100" t="inlineStr">
        <is>
          <t>High (explicit)</t>
        </is>
      </c>
      <c r="H1100" s="11" t="inlineStr">
        <is>
          <t>Cloud Services</t>
        </is>
      </c>
      <c r="I1100" s="11" t="inlineStr">
        <is>
          <t>Personal Information</t>
        </is>
      </c>
      <c r="J1100" t="inlineStr">
        <is>
          <t>ESMA</t>
        </is>
      </c>
      <c r="K1100" s="11" t="inlineStr">
        <is>
          <t>Firms must define specific elements for exit strategies, including objectives, trigger events, business impact analysis, role assignments, testing procedures, and success criteria. These elements ensure the exit strategy is practical, timely, and aligned with the firm's operational needs and regulatory obligations.</t>
        </is>
      </c>
      <c r="L1100" s="11" t="inlineStr">
        <is>
          <t>Details the components necessary for effective exit strategies to minimize disruption during cloud service transitions.</t>
        </is>
      </c>
      <c r="M1100" s="11" t="inlineStr">
        <is>
          <t>• [Must] Define objectives of the exit strategy
• Define trigger events for exit strategy activation
• [Must] Perform business impact analysis for the outsourced function
• [Must] Assign roles and responsibilities for exit strategy management
• [Must] Test the exit strategy using a risk-based approach
• [Must] Define success criteria for the transition</t>
        </is>
      </c>
      <c r="N1100" s="11" t="inlineStr">
        <is>
          <t>32. When developing the exit plans and solutions referred to in points (a) and (b) above ('exit strategy'), the firm should consider the following: a) define the objectives of the exit strategy; b) define the trigger events that could activate the exit strategy. These should include at least the termination of the cloud outsourcing arrangement at the initiative of the firm or the CSP and the failure or other serious discontinuation of the business activity of the CSP; c) perform a business impact analysis that is commensurate to the function outsourced to identify what human and other resources would be required to implement the exit strategy; d) assign roles and responsibilities to manage the exit strategy; e) test the appropriateness of the exit strategy, using a risk-based approach, (for example, by carrying out an analysis of the potential costs, impact, resources and timing implications of transferring an outsourced service to an alternative provider); f) define success criteria of the transition.</t>
        </is>
      </c>
      <c r="O1100" s="12" t="inlineStr">
        <is>
          <t>Open PDF</t>
        </is>
      </c>
    </row>
    <row r="1101">
      <c r="A1101" t="inlineStr">
        <is>
          <t>GDPR</t>
        </is>
      </c>
      <c r="B1101" t="inlineStr">
        <is>
          <t>esma_cloud_guidelines (GDPR - Row 8)</t>
        </is>
      </c>
      <c r="C1101" t="inlineStr">
        <is>
          <t>33</t>
        </is>
      </c>
      <c r="D1101" s="11" t="inlineStr">
        <is>
          <t>Exit strategy trigger events for cloud services monitoring</t>
        </is>
      </c>
      <c r="E1101" t="inlineStr">
        <is>
          <t>18</t>
        </is>
      </c>
      <c r="F1101" t="inlineStr">
        <is>
          <t>Medium</t>
        </is>
      </c>
      <c r="G1101" t="inlineStr">
        <is>
          <t>High (explicit)</t>
        </is>
      </c>
      <c r="H1101" s="11" t="inlineStr">
        <is>
          <t>Cloud Services</t>
        </is>
      </c>
      <c r="I1101" s="11" t="inlineStr">
        <is>
          <t>Customer Data</t>
        </is>
      </c>
      <c r="J1101" t="inlineStr"/>
      <c r="K1101" s="11" t="inlineStr">
        <is>
          <t>Firms must include indicators of trigger events for their exit strategy within ongoing monitoring of cloud service providers under outsourcing arrangements. These indicators are part of the firm's oversight mechanisms to ensure readiness for potential termination of the cloud service contract. The requirement applies to firms outsourcing cloud services to service providers.</t>
        </is>
      </c>
      <c r="L1101" s="11" t="inlineStr">
        <is>
          <t>This section requires firms to define specific triggers for exiting cloud arrangements, which is critical for DTIAs to assess exit risks and ensure data portability in case of service termination.</t>
        </is>
      </c>
      <c r="M1101" s="11" t="inlineStr">
        <is>
          <t>• [Must] Include indicators of trigger events for exit strategy in ongoing monitoring of cloud services</t>
        </is>
      </c>
      <c r="N1101" s="11" t="inlineStr">
        <is>
          <t>A firm should include indicators of the trigger events of the exit strategy in its ongoing monitoring and oversight of the services provided by the CSP under the cloud outsourcing arrangement.</t>
        </is>
      </c>
      <c r="O1101" s="12" t="inlineStr">
        <is>
          <t>Open PDF</t>
        </is>
      </c>
    </row>
    <row r="1102">
      <c r="A1102" t="inlineStr">
        <is>
          <t>GDPR</t>
        </is>
      </c>
      <c r="B1102" t="inlineStr">
        <is>
          <t>esma_cloud_guidelines (GDPR - Row 8)</t>
        </is>
      </c>
      <c r="C1102" t="inlineStr">
        <is>
          <t>34</t>
        </is>
      </c>
      <c r="D1102" s="11" t="inlineStr">
        <is>
          <t>Cloud agreements must not restrict access and audit rights</t>
        </is>
      </c>
      <c r="E1102" t="inlineStr">
        <is>
          <t>18</t>
        </is>
      </c>
      <c r="F1102" t="inlineStr">
        <is>
          <t>Medium</t>
        </is>
      </c>
      <c r="G1102" t="inlineStr">
        <is>
          <t>High (explicit)</t>
        </is>
      </c>
      <c r="H1102" s="11" t="inlineStr">
        <is>
          <t>Cloud Services</t>
        </is>
      </c>
      <c r="I1102" s="11" t="inlineStr">
        <is>
          <t>Customer Data</t>
        </is>
      </c>
      <c r="J1102" t="inlineStr"/>
      <c r="K1102" s="11" t="inlineStr">
        <is>
          <t>Firms must ensure that cloud outsourcing agreements do not restrict their ability to exercise access and audit rights, as well as oversight options over the cloud service provider. This requirement applies to firms and their competent authorities when conducting audits of cloud service providers.</t>
        </is>
      </c>
      <c r="L1102" s="11" t="inlineStr">
        <is>
          <t>This section ensures that firms retain necessary access and audit rights in cloud arrangements, which is vital for DTIAs to verify compliance with data protection and security obligations across borders.</t>
        </is>
      </c>
      <c r="M1102" s="11" t="inlineStr">
        <is>
          <t>• [Must] Cloud outsourcing written agreement must not limit firm's and competent authority's access and audit rights</t>
        </is>
      </c>
      <c r="N1102" s="11" t="inlineStr">
        <is>
          <t>A firm should ensure that the cloud outsourcing written agreement does not limit the firm's and competent authority's effective exercise of the access and audit rights and oversight options on the CSP.</t>
        </is>
      </c>
      <c r="O1102" s="12" t="inlineStr">
        <is>
          <t>Open PDF</t>
        </is>
      </c>
    </row>
    <row r="1103">
      <c r="A1103" t="inlineStr">
        <is>
          <t>GDPR</t>
        </is>
      </c>
      <c r="B1103" t="inlineStr">
        <is>
          <t>esma_cloud_guidelines (GDPR - Row 8)</t>
        </is>
      </c>
      <c r="C1103" t="inlineStr">
        <is>
          <t>35</t>
        </is>
      </c>
      <c r="D1103" s="11" t="inlineStr">
        <is>
          <t>Audit scope considerations for critical cloud functions</t>
        </is>
      </c>
      <c r="E1103" t="inlineStr">
        <is>
          <t>18</t>
        </is>
      </c>
      <c r="F1103" t="inlineStr">
        <is>
          <t>Medium</t>
        </is>
      </c>
      <c r="G1103" t="inlineStr">
        <is>
          <t>High (explicit)</t>
        </is>
      </c>
      <c r="H1103" s="11" t="inlineStr">
        <is>
          <t>Cloud Services</t>
        </is>
      </c>
      <c r="I1103" s="11" t="inlineStr">
        <is>
          <t>Customer Data</t>
        </is>
      </c>
      <c r="J1103" t="inlineStr"/>
      <c r="K1103" s="11" t="inlineStr">
        <is>
          <t>Firms must ensure that audit frequency, scope, and services audited take into account whether cloud outsourcing relates to critical or important functions, as well as the risks and impact on the firm from the cloud arrangement. This requirement applies to firms conducting audits of cloud service providers.</t>
        </is>
      </c>
      <c r="L1103" s="11" t="inlineStr">
        <is>
          <t>This section mandates that firms tailor audit scope to critical functions, which is essential for DTIAs to assess risk levels in cloud data transfers and ensure adequate oversight for sensitive data.</t>
        </is>
      </c>
      <c r="M1103" s="11" t="inlineStr">
        <is>
          <t>• [Must] Audit frequency and scope must consider critical/important functions and associated risks</t>
        </is>
      </c>
      <c r="N1103" s="11" t="inlineStr">
        <is>
          <t>A firm should ensure that the exercise of the access and audit rights (for example, the audit frequency and the areas and services to be audited) takes into consideration whether the outsourcing is related to a critical or important function, as well as the nature and extent of the risks and impact arising from the cloud outsourcing arrangement on the firm.</t>
        </is>
      </c>
      <c r="O1103" s="12" t="inlineStr">
        <is>
          <t>Open PDF</t>
        </is>
      </c>
    </row>
    <row r="1104">
      <c r="A1104" t="inlineStr">
        <is>
          <t>GDPR</t>
        </is>
      </c>
      <c r="B1104" t="inlineStr">
        <is>
          <t>esma_cloud_guidelines (GDPR - Row 8)</t>
        </is>
      </c>
      <c r="C1104" t="inlineStr">
        <is>
          <t>36</t>
        </is>
      </c>
      <c r="D1104" s="11" t="inlineStr">
        <is>
          <t>Risk mitigation for audit activities in cloud services</t>
        </is>
      </c>
      <c r="E1104" t="inlineStr">
        <is>
          <t>18</t>
        </is>
      </c>
      <c r="F1104" t="inlineStr">
        <is>
          <t>Medium</t>
        </is>
      </c>
      <c r="G1104" t="inlineStr">
        <is>
          <t>High (explicit)</t>
        </is>
      </c>
      <c r="H1104" s="11" t="inlineStr">
        <is>
          <t>Cloud Services</t>
        </is>
      </c>
      <c r="I1104" s="11" t="inlineStr">
        <is>
          <t>Customer Data</t>
        </is>
      </c>
      <c r="J1104" t="inlineStr"/>
      <c r="K1104" s="11" t="inlineStr">
        <is>
          <t>If audit activities create risks to the cloud service provider's environment or other clients' data, the CSP must provide a rationale for the risk and agree on alternative methods to achieve similar results without compromising data confidentiality, integrity, or availability. This requirement applies to firms and CSPs during audits.</t>
        </is>
      </c>
      <c r="L1104" s="11" t="inlineStr">
        <is>
          <t>This section addresses risk mitigation for audits in cloud services, ensuring DTIAs account for potential disruptions to data security when conducting audits across borders.</t>
        </is>
      </c>
      <c r="M1104" s="11" t="inlineStr">
        <is>
          <t>• [Must] CSP must provide rationale for risks created by audit activities and agree on alternative methods</t>
        </is>
      </c>
      <c r="N1104" s="11" t="inlineStr">
        <is>
          <t>In case the exercise of the access or audit rights, or the use of certain audit techniques create a risk for the environment of the CSP and/or another CSP's client (for example by impacting service levels, confidentiality, integrity and availability of data), the CSP should provide a clear rationale to the firm as to why this would create a risk and the CSP should agree with the firm on alternative ways to achieve a similar result (for example, the inclusion of specific controls to be tested in a specific report/certification produced by the CSP).</t>
        </is>
      </c>
      <c r="O1104" s="12" t="inlineStr">
        <is>
          <t>Open PDF</t>
        </is>
      </c>
    </row>
    <row r="1105">
      <c r="A1105" t="inlineStr">
        <is>
          <t>GDPR</t>
        </is>
      </c>
      <c r="B1105" t="inlineStr">
        <is>
          <t>esma_cloud_guidelines (GDPR - Row 8)</t>
        </is>
      </c>
      <c r="C1105" t="inlineStr">
        <is>
          <t>37</t>
        </is>
      </c>
      <c r="D1105" s="11" t="inlineStr">
        <is>
          <t>Efficient audit sharing for cloud services</t>
        </is>
      </c>
      <c r="E1105" t="inlineStr">
        <is>
          <t>18–19</t>
        </is>
      </c>
      <c r="F1105" t="inlineStr">
        <is>
          <t>Medium</t>
        </is>
      </c>
      <c r="G1105" t="inlineStr">
        <is>
          <t>High (explicit)</t>
        </is>
      </c>
      <c r="H1105" s="11" t="inlineStr">
        <is>
          <t>Cloud Services</t>
        </is>
      </c>
      <c r="I1105" s="11" t="inlineStr">
        <is>
          <t>Customer Data</t>
        </is>
      </c>
      <c r="J1105" t="inlineStr"/>
      <c r="K1105" s="11" t="inlineStr">
        <is>
          <t>Firms may use third-party certifications, external or internal audit reports from CSPs, or pooled audits with other clients to reduce audit burden and improve efficiency. This requirement applies to firms outsourcing cloud services to CSPs.</t>
        </is>
      </c>
      <c r="L1105" s="11" t="inlineStr">
        <is>
          <t>This section allows firms to share audit resources across clients, which is relevant for DTIAs to assess cost-effective oversight mechanisms without compromising data security in cross-border cloud arrangements.</t>
        </is>
      </c>
      <c r="M1105" s="11" t="inlineStr">
        <is>
          <t>• [May] Firms may use third-party certifications and external/internal audit reports from CSPs
• [May] Firms may use pooled audits with other CSP clients or third-party auditors</t>
        </is>
      </c>
      <c r="N1105" s="11" t="inlineStr">
        <is>
          <t>Firms may use: a) third-party certifications and external or internal audit reports made available by the CSP; b) pooled audits performed jointly with other clients of the same CSP or pooled audits performed by a third-party auditor appointed by multiple clients of the same CSP.</t>
        </is>
      </c>
      <c r="O1105" s="12" t="inlineStr">
        <is>
          <t>Open PDF</t>
        </is>
      </c>
    </row>
    <row r="1106">
      <c r="A1106" t="inlineStr">
        <is>
          <t>GDPR</t>
        </is>
      </c>
      <c r="B1106" t="inlineStr">
        <is>
          <t>esma_cloud_guidelines (GDPR - Row 8)</t>
        </is>
      </c>
      <c r="C1106" t="inlineStr">
        <is>
          <t>38</t>
        </is>
      </c>
      <c r="D1106" s="11" t="inlineStr">
        <is>
          <t>Certification adequacy for critical cloud functions</t>
        </is>
      </c>
      <c r="E1106" t="inlineStr">
        <is>
          <t>19</t>
        </is>
      </c>
      <c r="F1106" t="inlineStr">
        <is>
          <t>Medium</t>
        </is>
      </c>
      <c r="G1106" t="inlineStr">
        <is>
          <t>High (explicit)</t>
        </is>
      </c>
      <c r="H1106" s="11" t="inlineStr">
        <is>
          <t>Cloud Services</t>
        </is>
      </c>
      <c r="I1106" s="11" t="inlineStr">
        <is>
          <t>Customer Data</t>
        </is>
      </c>
      <c r="J1106" t="inlineStr"/>
      <c r="K1106" s="11" t="inlineStr">
        <is>
          <t>Firms must assess whether third-party certifications and audit reports are adequate for critical or important functions, and should not rely solely on these certifications over time. This requirement applies to firms outsourcing critical cloud services.</t>
        </is>
      </c>
      <c r="L1106" s="11" t="inlineStr">
        <is>
          <t>This section ensures that firms validate the ongoing adequacy of certifications for critical cloud functions, which is crucial for DTIAs to maintain robust data protection in high-risk cross-border transfers.</t>
        </is>
      </c>
      <c r="M1106" s="11" t="inlineStr">
        <is>
          <t>• [Must] Assess adequacy of third-party certifications for critical/important functions
• [Must Not] Do not solely rely on certifications over time</t>
        </is>
      </c>
      <c r="N1106" s="11" t="inlineStr">
        <is>
          <t>In case of outsourcing of critical or important functions, a firm should assess whether the third-party certifications and external or internal audit reports referred to in paragraph 37(a) are adequate and sufficient to comply with its obligations under the applicable legislation and should aim at not solely relying on these certifications and reports over time.</t>
        </is>
      </c>
      <c r="O1106" s="12" t="inlineStr">
        <is>
          <t>Open PDF</t>
        </is>
      </c>
    </row>
    <row r="1107">
      <c r="A1107" t="inlineStr">
        <is>
          <t>GDPR</t>
        </is>
      </c>
      <c r="B1107" t="inlineStr">
        <is>
          <t>esma_cloud_guidelines (GDPR - Row 8)</t>
        </is>
      </c>
      <c r="C1107" t="inlineStr">
        <is>
          <t>39</t>
        </is>
      </c>
      <c r="D1107" s="11" t="inlineStr">
        <is>
          <t>Outsourcing critical functions: certification and audit requirements</t>
        </is>
      </c>
      <c r="E1107" t="inlineStr">
        <is>
          <t>19</t>
        </is>
      </c>
      <c r="F1107" t="inlineStr">
        <is>
          <t>High</t>
        </is>
      </c>
      <c r="G1107" t="inlineStr">
        <is>
          <t>High (explicit)</t>
        </is>
      </c>
      <c r="H1107" s="11" t="inlineStr">
        <is>
          <t>Cloud Services, Third Party Processing, Outsourcing</t>
        </is>
      </c>
      <c r="I1107" s="11" t="inlineStr">
        <is>
          <t>Personal Information</t>
        </is>
      </c>
      <c r="J1107" t="inlineStr"/>
      <c r="K1107" s="11" t="inlineStr">
        <is>
          <t>Firms must use third-party certifications and audit reports for critical or important functions only if they verify coverage of key systems, controls, and compliance with legislation. They must regularly assess the certifications, ensure they remain current, and maintain contractual rights to expand scope or conduct on-site audits. The requirements apply to firms outsourcing critical functions to cloud service providers.</t>
        </is>
      </c>
      <c r="L1107" s="11" t="inlineStr">
        <is>
          <t>Requires firms to validate that cloud certifications cover critical systems and controls, ensuring ongoing relevance and contractual rights to audit. This impacts DTIA by mandating thorough verification of third-party compliance before outsourcing critical functions.</t>
        </is>
      </c>
      <c r="M1107" s="11" t="inlineStr">
        <is>
          <t>• [Must] Verify certifications or audit reports cover CSP's key systems, processes, applications, infrastructure, data centres, and key controls
• [Must] Regularly assess certifications or audit reports to ensure they are not obsolete
• [Must] Ensure CSP's key systems and controls are covered in future certification or audit report versions
• [Must] Be satisfied with the certifying or auditing party's qualifications, expertise, and rotation
• [Must] Confirm certifications are issued and audits follow appropriate standards with effective control testing
• [Must] Maintain contractual right to request scope expansion of certifications or audit reports
• [Must] Retain contractual right to perform individual on-site audits at discretion</t>
        </is>
      </c>
      <c r="N1107" s="11" t="inlineStr">
        <is>
          <t>39. In case of outsourcing of critical or important functions, a firm should make use of the third-party certifications and external or internal audit reports referred to in paragraph 37(a) only if it: a) is satisfied that the scope of the certifications or the audit reports covers the CSP's key systems (for example processes, applications, infrastructure, data centres), the key controls identified by the firm and the compliance with the relevant applicable legislation; b) thoroughly assesses the content of the certifications or audit reports on a regular basis and verify that the certifications or reports are not obsolete; c) ensures that the CSP's key systems and controls are covered in future versions of the certifications or audit reports; d) is satisfied with the certifying or auditing party (for example with regard to its qualifications, expertise, re-performance/verification of the evidence in the underlying audit file as well as rotation of the certifying or auditing company); e) is satisfied that the certifications are issued and that the audits are performed according to appropriate standards and include a test of the effectiveness of the key controls in place; f) has the contractual right to request the expansion of the scope of the certifications or audit reports to other relevant systems and controls of the CSP; the number and frequency of such requests for scope modification should be reasonable and legitimate from a risk management perspective; g) retains the contractual right to perform individual on-site audits at its discretion with regard to the outsourced function.</t>
        </is>
      </c>
      <c r="O1107" s="12" t="inlineStr">
        <is>
          <t>Open PDF</t>
        </is>
      </c>
    </row>
    <row r="1108">
      <c r="A1108" t="inlineStr">
        <is>
          <t>GDPR</t>
        </is>
      </c>
      <c r="B1108" t="inlineStr">
        <is>
          <t>esma_cloud_guidelines (GDPR - Row 8)</t>
        </is>
      </c>
      <c r="C1108" t="inlineStr">
        <is>
          <t>40</t>
        </is>
      </c>
      <c r="D1108" s="11" t="inlineStr">
        <is>
          <t>On-site audits: prior notice requirements</t>
        </is>
      </c>
      <c r="E1108" t="inlineStr">
        <is>
          <t>19</t>
        </is>
      </c>
      <c r="F1108" t="inlineStr">
        <is>
          <t>High</t>
        </is>
      </c>
      <c r="G1108" t="inlineStr">
        <is>
          <t>High (explicit)</t>
        </is>
      </c>
      <c r="H1108" s="11" t="inlineStr">
        <is>
          <t>Cloud Services, Third Party Processing</t>
        </is>
      </c>
      <c r="I1108" s="11" t="inlineStr">
        <is>
          <t>Personal Information</t>
        </is>
      </c>
      <c r="J1108" t="inlineStr"/>
      <c r="K1108" s="11" t="inlineStr">
        <is>
          <t>Firms must provide prior written notice to cloud service providers (CSPs) at least a reasonable time before on-site visits, including those by third-party auditors. Exceptions include emergencies or crises where notice would compromise audit effectiveness. The notice must specify location, purpose, and participating personnel.</t>
        </is>
      </c>
      <c r="L1108" s="11" t="inlineStr">
        <is>
          <t>Requires timely notice for on-site audits, ensuring CSPs are aware of assessments before they occur. This impacts DTIA by clarifying when and how audits can be conducted without disrupting critical functions.</t>
        </is>
      </c>
      <c r="M1108" s="11" t="inlineStr">
        <is>
          <t>• [Must] Provide CSP with prior written notice within a reasonable time period before on-site visits
• [Must] Include location, purpose of visit, and participating personnel in notice</t>
        </is>
      </c>
      <c r="N1108" s="11" t="inlineStr">
        <is>
          <t>40. A firm should ensure that, before an on-site visit, including by a third party appointed by the firm (for example an auditor), prior notice within a reasonable time period is provided to the CSP, unless an early prior notification is not possible due to an emergency or crisis situation or would lead to a situation where the audit would no longer be effective. Such notice should include the location, purpose of the visit and the personnel that will participate to the visit.</t>
        </is>
      </c>
      <c r="O1108" s="12" t="inlineStr">
        <is>
          <t>Open PDF</t>
        </is>
      </c>
    </row>
    <row r="1109">
      <c r="A1109" t="inlineStr">
        <is>
          <t>GDPR</t>
        </is>
      </c>
      <c r="B1109" t="inlineStr">
        <is>
          <t>esma_cloud_guidelines (GDPR - Row 8)</t>
        </is>
      </c>
      <c r="C1109" t="inlineStr">
        <is>
          <t>41</t>
        </is>
      </c>
      <c r="D1109" s="11" t="inlineStr">
        <is>
          <t>Cloud audit staff competency requirements</t>
        </is>
      </c>
      <c r="E1109" t="inlineStr">
        <is>
          <t>19–20</t>
        </is>
      </c>
      <c r="F1109" t="inlineStr">
        <is>
          <t>High</t>
        </is>
      </c>
      <c r="G1109" t="inlineStr">
        <is>
          <t>High (explicit)</t>
        </is>
      </c>
      <c r="H1109" s="11" t="inlineStr">
        <is>
          <t>Cloud Services</t>
        </is>
      </c>
      <c r="I1109" s="11" t="inlineStr">
        <is>
          <t>Personal Information</t>
        </is>
      </c>
      <c r="J1109" t="inlineStr"/>
      <c r="K1109" s="11" t="inlineStr">
        <is>
          <t>Staff performing audits of cloud services must have the right skills and knowledge to assess cloud services effectively and conduct relevant audits. This applies to both internal auditors and third-party auditors reviewing certifications or audit reports from cloud service providers.</t>
        </is>
      </c>
      <c r="L1109" s="11" t="inlineStr">
        <is>
          <t>Ensures auditors have necessary expertise to evaluate cloud services, which is critical for DTIA as it affects the validity of compliance assessments.</t>
        </is>
      </c>
      <c r="M1109" s="11" t="inlineStr">
        <is>
          <t>• [Must] Staff performing audits must have right skills and knowledge to assess cloud services effectively
• [Must] Staff reviewing CSP certifications or audit reports must have right skills and knowledge</t>
        </is>
      </c>
      <c r="N1109" s="11" t="inlineStr">
        <is>
          <t>41. Considering that cloud services present a high level of technical complexity and raise specific jurisdictional challenges, the staff performing the audit – being the internal auditors of the firm or auditors acting on its behalf – should have the right skills and knowledge to properly assess the relevant cloud services and perform effective and relevant audit. This should also apply to the firms' staff reviewing the certifications or audit reports provided by the CSP.</t>
        </is>
      </c>
      <c r="O1109" s="12" t="inlineStr">
        <is>
          <t>Open PDF</t>
        </is>
      </c>
    </row>
    <row r="1110">
      <c r="A1110" t="inlineStr">
        <is>
          <t>GDPR</t>
        </is>
      </c>
      <c r="B1110" t="inlineStr">
        <is>
          <t>esma_cloud_guidelines (GDPR - Row 8)</t>
        </is>
      </c>
      <c r="C1110" t="inlineStr">
        <is>
          <t>42</t>
        </is>
      </c>
      <c r="D1110" s="11" t="inlineStr">
        <is>
          <t>Sub-outsourcing critical functions: contractual requirements</t>
        </is>
      </c>
      <c r="E1110" t="inlineStr">
        <is>
          <t>20</t>
        </is>
      </c>
      <c r="F1110" t="inlineStr">
        <is>
          <t>High</t>
        </is>
      </c>
      <c r="G1110" t="inlineStr">
        <is>
          <t>High (explicit)</t>
        </is>
      </c>
      <c r="H1110" s="11" t="inlineStr">
        <is>
          <t>Cloud Services, Third Party Processing</t>
        </is>
      </c>
      <c r="I1110" s="11" t="inlineStr">
        <is>
          <t>Personal Information</t>
        </is>
      </c>
      <c r="J1110" t="inlineStr"/>
      <c r="K1110" s="11" t="inlineStr">
        <is>
          <t>If sub-outsourcing critical functions is permitted, cloud outsourcing agreements must specify excluded sub-outsourcing areas, sub-outsourcing conditions, CSP accountability for sub-outsourced services, notification requirements for sub-outsourcing, and the firm's right to object or approve sub-outsourcing. The agreement must allow time for risk assessment and objection.</t>
        </is>
      </c>
      <c r="L1110" s="11" t="inlineStr">
        <is>
          <t>Requires explicit contractual terms for sub-outsourcing critical functions, including notification and objection rights, which are essential for DTIA to assess risks of third-party chain.</t>
        </is>
      </c>
      <c r="M1110" s="11" t="inlineStr">
        <is>
          <t>• [Must] Specify parts of outsourced function excluded from sub-outsourcing
• [Must] Indicate conditions to be complied with in case of sub-outsourcing
• [Must] Ensure CSP remains accountable for sub-outsourced services
• [Must] Include obligation for CSP to notify firm of intended sub-outsourcing or material changes
• [Must] Allow firm sufficient time to conduct risk assessment and object to or approve sub-outsourcing
• [Must] Ensure firm has right to object to or explicitly approve sub-outsourcing before it takes effect
• [Must] Ensure firm has right to terminate cloud outsourcing agreement if it objects to sub-outsourcing</t>
        </is>
      </c>
      <c r="N1110" s="11" t="inlineStr">
        <is>
          <t>42. If sub-outsourcing of critical or important functions (or material parts thereof) is permitted, the cloud outsourcing written agreement between the firm and the CSP should: a) specify any part or aspect of the outsourced function that are excluded from potential sub-outsourcing; b) indicate the conditions to be complied with in case of sub-outsourcing; c) specify that the CSP remains accountable and is obliged to oversee those services that it has sub-outsourced to ensure that all contractual obligations between the CSP and the firm are continuously met; d) include an obligation for the CSP to notify the firm of any intended sub-outsourcing, or material changes thereof, in particular where that might affect the ability of the CSP to meet its obligations under the cloud outsourcing arrangement with the firm. The notification period set in the written agreement should allow the firm sufficient time at least to carry out a risk assessment of the proposed sub-outsourcing or material changes thereof and to object to or explicitly approve them, as indicated in point (e) below; e) ensure that the firm has the right to object to the intended sub-outsourcing, or material changes thereof, or that explicit approval is required before the proposed sub-outsourcing or material changes come into effect; f) ensure that the firm has the contractual right to terminate the cloud outsourcing arrangement with the CSP in case it objects to the proposed sub-outsourcing or material changes thereof and in case of undue sub-outsourcing (for example where the CSP proceeds with the sub-outsourcing without notifying the firm or it seriously infringes the conditions of the sub-outsourcing specified in the outsourcing agreement).</t>
        </is>
      </c>
      <c r="O1110" s="12" t="inlineStr">
        <is>
          <t>Open PDF</t>
        </is>
      </c>
    </row>
    <row r="1111">
      <c r="A1111" t="inlineStr">
        <is>
          <t>GDPR</t>
        </is>
      </c>
      <c r="B1111" t="inlineStr">
        <is>
          <t>esma_cloud_guidelines (GDPR - Row 8)</t>
        </is>
      </c>
      <c r="C1111" t="inlineStr">
        <is>
          <t>44</t>
        </is>
      </c>
      <c r="D1111" s="11" t="inlineStr">
        <is>
          <t>Notification of critical cloud outsourcing arrangements</t>
        </is>
      </c>
      <c r="E1111" t="inlineStr">
        <is>
          <t>20</t>
        </is>
      </c>
      <c r="F1111" t="inlineStr">
        <is>
          <t>High</t>
        </is>
      </c>
      <c r="G1111" t="inlineStr">
        <is>
          <t>High (explicit)</t>
        </is>
      </c>
      <c r="H1111" s="11" t="inlineStr">
        <is>
          <t>Cloud Services</t>
        </is>
      </c>
      <c r="I1111" s="11" t="inlineStr">
        <is>
          <t>Personal Information</t>
        </is>
      </c>
      <c r="J1111" t="inlineStr"/>
      <c r="K1111" s="11" t="inlineStr">
        <is>
          <t>Firms must notify their competent authority in writing of planned cloud outsourcing arrangements for critical or important functions. This also applies to functions previously classified as non-critical that become critical or important.</t>
        </is>
      </c>
      <c r="L1111" s="11" t="inlineStr">
        <is>
          <t>Requires firms to inform regulators about critical cloud outsourcing, which is essential for DTIA to track and assess risks of critical functions being outsourced.</t>
        </is>
      </c>
      <c r="M1111" s="11" t="inlineStr">
        <is>
          <t>• [Must] Notify competent authority in writing of planned cloud outsourcing arrangements for critical or important functions
• [Must] Notify competent authority in writing of cloud outsourcing arrangements that become critical or important</t>
        </is>
      </c>
      <c r="N1111" s="11" t="inlineStr">
        <is>
          <t>44. The firm should notify in writing its competent authority in a timely manner of planned cloud outsourcing arrangements that concern a critical or important function. The firm should also notify in a timely manner and in writing its competent authority of those cloud outsourcing arrangements that concern a function that was previously classified as non-critical or non-important and then became critical or important.</t>
        </is>
      </c>
      <c r="O1111" s="12" t="inlineStr">
        <is>
          <t>Open PDF</t>
        </is>
      </c>
    </row>
    <row r="1112">
      <c r="A1112" t="inlineStr">
        <is>
          <t>GDPR</t>
        </is>
      </c>
      <c r="B1112" t="inlineStr">
        <is>
          <t>esma_cloud_guidelines (GDPR - Row 8)</t>
        </is>
      </c>
      <c r="C1112" t="inlineStr">
        <is>
          <t>45</t>
        </is>
      </c>
      <c r="D1112" s="11" t="inlineStr">
        <is>
          <t>Cloud outsourcing notification content requirements</t>
        </is>
      </c>
      <c r="E1112" t="inlineStr">
        <is>
          <t>20–21</t>
        </is>
      </c>
      <c r="F1112" t="inlineStr">
        <is>
          <t>High</t>
        </is>
      </c>
      <c r="G1112" t="inlineStr">
        <is>
          <t>High (explicit)</t>
        </is>
      </c>
      <c r="H1112" s="11" t="inlineStr">
        <is>
          <t>Cloud Services</t>
        </is>
      </c>
      <c r="I1112" s="11" t="inlineStr">
        <is>
          <t>Personal Information</t>
        </is>
      </c>
      <c r="J1112" t="inlineStr"/>
      <c r="K1112" s="11" t="inlineStr">
        <is>
          <t>Firms must include specific information in written notifications to competent authorities about cloud outsourcing arrangements, including start dates, reasons for criticality, CSP details, data locations, risk assessments, and sub-outsourcers. The information must be proportionate and relevant.</t>
        </is>
      </c>
      <c r="L1112" s="11" t="inlineStr">
        <is>
          <t>Details required in notifications help DTIA assess risks by providing transparency on data locations, CSPs, and sub-outsourcers, which is critical for cross-border data flows.</t>
        </is>
      </c>
      <c r="M1112" s="11" t="inlineStr">
        <is>
          <t>• [Must] Include start date of cloud outsourcing agreement and next renewal date, end date, and notice periods
• [Must] Provide brief description of outsourced function
• [Must] State reasons why outsourced function is critical or important
• [Must] List CSP name, brand, country of registration, corporate registration number, legal entity identifier, registered address, contact details, and parent company
• [Must] Specify governing law and jurisdiction choice of cloud outsourcing agreement
• [Must] Detail cloud deployment models and data storage locations
• [Must] Include date of most recent assessment of criticality or importance
• [Must] Provide date of most recent risk assessment or audit with summary of results
• [Must] Identify individual or decision-making body that approved cloud outsourcing
• [Must] List sub-outsourcers with their country, service location, and data storage locations</t>
        </is>
      </c>
      <c r="N1112" s="11" t="inlineStr">
        <is>
          <t>45. The firm's written notification should include, taking into account the principle of proportionality, at least the following information: a) the start date of the cloud outsourcing agreement and, as applicable, the next contract renewal date, the end date and/or notice periods for the CSP and for the firm; b) a brief description of the outsourced function; c) a brief summary of the reasons why the outsourced function is considered critical or important; d) the name and the brand name (if any) of the CSP, its country of registration, its corporate registration number, its legal entity identifier (where available), its registered address, its relevant contact details, and the name of its parent company (if any); e) the governing law of the cloud outsourcing agreement and, if any, the choice of jurisdiction; f) the cloud deployment models and the specific nature of the data to be held by the CSP and the locations (namely regions or countries) where such data will be stored; g) the date of the most recent assessment of the criticality or importance of the outsourced function; h) the date of the most recent risk assessment or audit of the CSP together with a brief summary of the main results, and the date of the next planned risk assessment or audit; i) the individual or decision-making body in the firm that approved the cloud outsourcing arrangement; j) where applicable, the names of any sub-outsourcer to which material parts of a critical or important function are sub-outsourced, including the country or region where the sub-outsourcers are registered, where the sub-outsourced service will be performed, and where the data will be stored;</t>
        </is>
      </c>
      <c r="O1112" s="12" t="inlineStr">
        <is>
          <t>Open PDF</t>
        </is>
      </c>
    </row>
    <row r="1113">
      <c r="A1113" t="inlineStr">
        <is>
          <t>GDPR</t>
        </is>
      </c>
      <c r="B1113" t="inlineStr">
        <is>
          <t>esma_cloud_guidelines (GDPR - Row 8)</t>
        </is>
      </c>
      <c r="C1113" t="inlineStr">
        <is>
          <t>46</t>
        </is>
      </c>
      <c r="D1113" s="11" t="inlineStr">
        <is>
          <t>Competent authorities assess cloud outsourcing risks</t>
        </is>
      </c>
      <c r="E1113" t="inlineStr">
        <is>
          <t>21</t>
        </is>
      </c>
      <c r="F1113" t="inlineStr">
        <is>
          <t>High</t>
        </is>
      </c>
      <c r="G1113" t="inlineStr">
        <is>
          <t>High (explicit)</t>
        </is>
      </c>
      <c r="H1113" s="11" t="inlineStr">
        <is>
          <t>Cloud Services</t>
        </is>
      </c>
      <c r="I1113" s="11" t="inlineStr">
        <is>
          <t>Customer Data</t>
        </is>
      </c>
      <c r="J1113" t="inlineStr">
        <is>
          <t>Competent authorities</t>
        </is>
      </c>
      <c r="K1113" s="11" t="inlineStr">
        <is>
          <t>Competent authorities must evaluate risks from firms' cloud outsourcing arrangements during supervision. The assessment specifically targets critical or important functions that are outsourced. This requirement applies to financial institutions under EU regulatory oversight.</t>
        </is>
      </c>
      <c r="L1113" s="11" t="inlineStr">
        <is>
          <t>Competent authorities require risk assessments for cloud outsourcing of critical functions, impacting DTIA by mandating specific risk evaluation for cross-border cloud data transfers.</t>
        </is>
      </c>
      <c r="M1113" s="11" t="inlineStr">
        <is>
          <t>• [Must] Competent authorities should assess risks arising from firms' cloud outsourcing arrangements
• [Must] Assessment should focus on arrangements related to outsourcing critical or important functions</t>
        </is>
      </c>
      <c r="N1113" s="11" t="inlineStr">
        <is>
          <t>46. Competent authorities should assess the risks arising from firms' cloud outsourcing arrangements as part of their supervisory process. In particular, this assessment should focus on the arrangements that relate to the outsourcing of critical or important functions.</t>
        </is>
      </c>
      <c r="O1113" s="12" t="inlineStr">
        <is>
          <t>Open PDF</t>
        </is>
      </c>
    </row>
    <row r="1114">
      <c r="A1114" t="inlineStr">
        <is>
          <t>GDPR</t>
        </is>
      </c>
      <c r="B1114" t="inlineStr">
        <is>
          <t>esma_cloud_guidelines (GDPR - Row 8)</t>
        </is>
      </c>
      <c r="C1114" t="inlineStr">
        <is>
          <t>47</t>
        </is>
      </c>
      <c r="D1114" s="11" t="inlineStr">
        <is>
          <t>Competent authorities ensure effective supervision of outsourced critical functions</t>
        </is>
      </c>
      <c r="E1114" t="inlineStr">
        <is>
          <t>21</t>
        </is>
      </c>
      <c r="F1114" t="inlineStr">
        <is>
          <t>High</t>
        </is>
      </c>
      <c r="G1114" t="inlineStr">
        <is>
          <t>High (explicit)</t>
        </is>
      </c>
      <c r="H1114" s="11" t="inlineStr">
        <is>
          <t>Cloud Services</t>
        </is>
      </c>
      <c r="I1114" s="11" t="inlineStr">
        <is>
          <t>Customer Data</t>
        </is>
      </c>
      <c r="J1114" t="inlineStr">
        <is>
          <t>Competent authorities</t>
        </is>
      </c>
      <c r="K1114" s="11" t="inlineStr">
        <is>
          <t>Competent authorities must confirm their capacity to supervise effectively when firms outsource critical functions outside the EU. This requirement ensures regulatory oversight remains robust for financial institutions operating across borders.</t>
        </is>
      </c>
      <c r="L1114" s="11" t="inlineStr">
        <is>
          <t>Competent authorities must verify supervision effectiveness for outsourced critical functions outside the EU, directly affecting DTIA by requiring cross-border cloud data transfer safeguards.</t>
        </is>
      </c>
      <c r="M1114" s="11" t="inlineStr">
        <is>
          <t>• [Must] Competent authorities should be satisfied they are able to perform effective supervision
• [Condition] This applies when firms outsource critical or important functions outside the EU</t>
        </is>
      </c>
      <c r="N1114" s="11" t="inlineStr">
        <is>
          <t>47. Competent authorities should be satisfied that they are able to perform effective supervision, in particular when firms outsource critical or important functions that are performed outside the EU.</t>
        </is>
      </c>
      <c r="O1114" s="12" t="inlineStr">
        <is>
          <t>Open PDF</t>
        </is>
      </c>
    </row>
    <row r="1115">
      <c r="A1115" t="inlineStr">
        <is>
          <t>GDPR</t>
        </is>
      </c>
      <c r="B1115" t="inlineStr">
        <is>
          <t>esma_cloud_guidelines (GDPR - Row 8)</t>
        </is>
      </c>
      <c r="C1115" t="inlineStr">
        <is>
          <t>48</t>
        </is>
      </c>
      <c r="D1115" s="11" t="inlineStr">
        <is>
          <t>Competent authorities assess cloud outsourcing governance and risk management</t>
        </is>
      </c>
      <c r="E1115" t="inlineStr">
        <is>
          <t>21</t>
        </is>
      </c>
      <c r="F1115" t="inlineStr">
        <is>
          <t>High</t>
        </is>
      </c>
      <c r="G1115" t="inlineStr">
        <is>
          <t>High (explicit)</t>
        </is>
      </c>
      <c r="H1115" s="11" t="inlineStr">
        <is>
          <t>Cloud Services</t>
        </is>
      </c>
      <c r="I1115" s="11" t="inlineStr">
        <is>
          <t>Customer Data</t>
        </is>
      </c>
      <c r="J1115" t="inlineStr">
        <is>
          <t>Competent authorities</t>
        </is>
      </c>
      <c r="K1115" s="11" t="inlineStr">
        <is>
          <t>Competent authorities must evaluate firms' governance, resources, and processes for cloud outsourcing on a risk-based approach. They must also ensure firms identify and manage all relevant risks associated with cloud outsourcing activities.</t>
        </is>
      </c>
      <c r="L1115" s="11" t="inlineStr">
        <is>
          <t>Competent authorities require firms to implement robust governance and risk management for cloud outsourcing, directly impacting DTIA by mandating specific controls for cross-border data transfers.</t>
        </is>
      </c>
      <c r="M1115" s="11" t="inlineStr">
        <is>
          <t>• [Must] Competent authorities should assess whether firms have governance, resources and operational processes to enter, implement, and oversee cloud outsourcing arrangements
• [Must] Competent authorities should assess whether firms identify and manage all relevant risks related to cloud outsourcing</t>
        </is>
      </c>
      <c r="N1115" s="11" t="inlineStr">
        <is>
          <t>48. Competent authorities should assess on a risk-based approach whether firms: a) have in place the relevant governance, resources and operational processes to appropriately and effectively enter into, implement, and oversee cloud outsourcing arrangements; b) identify and manage all relevant risks related to cloud outsourcing.</t>
        </is>
      </c>
      <c r="O1115" s="12" t="inlineStr">
        <is>
          <t>Open PDF</t>
        </is>
      </c>
    </row>
    <row r="1116">
      <c r="A1116" t="inlineStr">
        <is>
          <t>GDPR</t>
        </is>
      </c>
      <c r="B1116" t="inlineStr">
        <is>
          <t>esma_cloud_guidelines (GDPR - Row 8)</t>
        </is>
      </c>
      <c r="C1116" t="inlineStr">
        <is>
          <t>49</t>
        </is>
      </c>
      <c r="D1116" s="11" t="inlineStr">
        <is>
          <t>Competent authorities monitor concentration risks from cloud outsourcing</t>
        </is>
      </c>
      <c r="E1116" t="inlineStr">
        <is>
          <t>21</t>
        </is>
      </c>
      <c r="F1116" t="inlineStr">
        <is>
          <t>High</t>
        </is>
      </c>
      <c r="G1116" t="inlineStr">
        <is>
          <t>High (explicit)</t>
        </is>
      </c>
      <c r="H1116" s="11" t="inlineStr">
        <is>
          <t>Cloud Services</t>
        </is>
      </c>
      <c r="I1116" s="11" t="inlineStr">
        <is>
          <t>Customer Data</t>
        </is>
      </c>
      <c r="J1116" t="inlineStr">
        <is>
          <t>Competent authorities</t>
        </is>
      </c>
      <c r="K1116" s="11" t="inlineStr">
        <is>
          <t>If concentration risks are identified, competent authorities must monitor the development of these risks and evaluate their potential impact on other firms and financial market stability. This applies to cloud outsourcing activities that could affect market concentration.</t>
        </is>
      </c>
      <c r="L1116" s="11" t="inlineStr">
        <is>
          <t>Competent authorities must monitor concentration risks from cloud outsourcing, directly affecting DTIA by requiring assessment of cross-border data transfer impacts on market stability.</t>
        </is>
      </c>
      <c r="M1116" s="11" t="inlineStr">
        <is>
          <t>• [Must] Competent authorities should monitor development of concentration risks
• [Must] Competent authorities should evaluate potential impact on other firms and financial market stability</t>
        </is>
      </c>
      <c r="N1116" s="11" t="inlineStr">
        <is>
          <t>49. Where concentration risks are identified, competent authorities should monitor the development of such risks and evaluate both their potential impact on other firms they supervise and the stability of the financial market.</t>
        </is>
      </c>
      <c r="O1116" s="12" t="inlineStr">
        <is>
          <t>Open PDF</t>
        </is>
      </c>
    </row>
    <row r="1117">
      <c r="A1117" t="inlineStr">
        <is>
          <t>India</t>
        </is>
      </c>
      <c r="B1117" t="inlineStr">
        <is>
          <t>Guidelines on Information and Cyber Security (India - Row 8)</t>
        </is>
      </c>
      <c r="C1117" t="inlineStr">
        <is>
          <t>1</t>
        </is>
      </c>
      <c r="D1117" s="11" t="inlineStr">
        <is>
          <t>Applicability of Guidelines to Insurers</t>
        </is>
      </c>
      <c r="E1117" t="inlineStr">
        <is>
          <t>1</t>
        </is>
      </c>
      <c r="F1117" t="inlineStr">
        <is>
          <t>Medium</t>
        </is>
      </c>
      <c r="G1117" t="inlineStr">
        <is>
          <t>High (explicit)</t>
        </is>
      </c>
      <c r="H1117" s="11" t="inlineStr"/>
      <c r="I1117" s="11" t="inlineStr"/>
      <c r="J1117" t="inlineStr">
        <is>
          <t>IRDAI</t>
        </is>
      </c>
      <c r="K1117" s="11" t="inlineStr">
        <is>
          <t>This section states that the Guidelines on Information and Cyber Security for Insurers are applicable to all insurers regulated by the Insurance Regulatory and Development Authority of India (IRDAI). The applicability is explicitly defined by reference to Point 3 of the guidelines document.</t>
        </is>
      </c>
      <c r="L1117" s="11" t="inlineStr"/>
      <c r="M1117" s="11" t="inlineStr">
        <is>
          <t>• [Must] Guidelines on Information and Cyber Security for Insurers are applicable to all insurers regulated by IRDAI</t>
        </is>
      </c>
      <c r="N1117" s="11" t="inlineStr">
        <is>
          <t>Reference is drawn to Point no. 3 on "Applicability" of Guidelines on Information and Cyber Security for Insurers dated 07.04.2017 read as "this guidelines document is applicable to all insurers regulated by Insurance Regulatory and Development Authority of India (IRDAI".</t>
        </is>
      </c>
      <c r="O1117" s="12" t="inlineStr">
        <is>
          <t>Open PDF</t>
        </is>
      </c>
    </row>
    <row r="1118">
      <c r="A1118" t="inlineStr">
        <is>
          <t>India</t>
        </is>
      </c>
      <c r="B1118" t="inlineStr">
        <is>
          <t>Guidelines on Information and Cyber Security (India - Row 8)</t>
        </is>
      </c>
      <c r="C1118" t="inlineStr">
        <is>
          <t>2</t>
        </is>
      </c>
      <c r="D1118" s="11" t="inlineStr">
        <is>
          <t>Extension of Applicability to Insurance Intermediaries</t>
        </is>
      </c>
      <c r="E1118" t="inlineStr">
        <is>
          <t>1</t>
        </is>
      </c>
      <c r="F1118" t="inlineStr">
        <is>
          <t>Medium</t>
        </is>
      </c>
      <c r="G1118" t="inlineStr">
        <is>
          <t>High (explicit)</t>
        </is>
      </c>
      <c r="H1118" s="11" t="inlineStr"/>
      <c r="I1118" s="11" t="inlineStr"/>
      <c r="J1118" t="inlineStr">
        <is>
          <t>IRDAI</t>
        </is>
      </c>
      <c r="K1118" s="11" t="inlineStr">
        <is>
          <t>This section declares that the Guidelines on Information and Cyber Security for Insurers apply to all Insurance Intermediaries with immediate effect. The applicability extension is a direct decision by the Authority to include intermediaries within the regulatory scope.</t>
        </is>
      </c>
      <c r="L1118" s="11" t="inlineStr"/>
      <c r="M1118" s="11" t="inlineStr">
        <is>
          <t>• [Must] Guidelines on Information and Cyber Security for Insurers apply to all Insurance Intermediaries with immediate effect</t>
        </is>
      </c>
      <c r="N1118" s="11" t="inlineStr">
        <is>
          <t>It has been decided by the Authority to extend the applicability of said guidelines to all Insurance Intermediaries with immediate effect.</t>
        </is>
      </c>
      <c r="O1118" s="12" t="inlineStr">
        <is>
          <t>Open PDF</t>
        </is>
      </c>
    </row>
    <row r="1119">
      <c r="A1119" t="inlineStr">
        <is>
          <t>India</t>
        </is>
      </c>
      <c r="B1119" t="inlineStr">
        <is>
          <t>NT75589AC4A988D446CA94182886F6D8EADD (India - Row 13) PROVISIONALLY</t>
        </is>
      </c>
      <c r="C1119" t="inlineStr">
        <is>
          <t>3</t>
        </is>
      </c>
      <c r="D1119" s="11" t="inlineStr">
        <is>
          <t>All other instructions remain unchanged</t>
        </is>
      </c>
      <c r="E1119" t="inlineStr">
        <is>
          <t>1–2</t>
        </is>
      </c>
      <c r="F1119" t="inlineStr">
        <is>
          <t>None</t>
        </is>
      </c>
      <c r="G1119" t="inlineStr">
        <is>
          <t>High (explicit)</t>
        </is>
      </c>
      <c r="H1119" s="11" t="inlineStr"/>
      <c r="I1119" s="11" t="inlineStr"/>
      <c r="J1119" t="inlineStr"/>
      <c r="K1119" s="11" t="inlineStr">
        <is>
          <t>This section states that all existing instructions related to the matter remain unchanged. It does not introduce new obligations or modifications to the current framework. The provision serves as a continuity measure without altering the existing regulatory directives.</t>
        </is>
      </c>
      <c r="L1119" s="11" t="inlineStr"/>
      <c r="M1119" s="11" t="inlineStr">
        <is>
          <t>• [Must] All other instructions in this regard shall remain unchanged</t>
        </is>
      </c>
      <c r="N1119" s="11" t="inlineStr">
        <is>
          <t>3. All other instructions in this regard shall remain unchanged.</t>
        </is>
      </c>
      <c r="O1119" s="12" t="inlineStr">
        <is>
          <t>Open PDF</t>
        </is>
      </c>
    </row>
    <row r="1120">
      <c r="A1120" t="inlineStr">
        <is>
          <t>India</t>
        </is>
      </c>
      <c r="B1120" t="inlineStr">
        <is>
          <t>Payment and Settlement Systems Act, 2007 (India - Row 11)</t>
        </is>
      </c>
      <c r="C1120" t="inlineStr">
        <is>
          <t>1</t>
        </is>
      </c>
      <c r="D1120" s="11" t="inlineStr">
        <is>
          <t>Amendment for certain words effective from 22-01-2024</t>
        </is>
      </c>
      <c r="E1120" t="inlineStr">
        <is>
          <t>3</t>
        </is>
      </c>
      <c r="F1120" t="inlineStr">
        <is>
          <t>None</t>
        </is>
      </c>
      <c r="G1120" t="inlineStr">
        <is>
          <t>High (explicit)</t>
        </is>
      </c>
      <c r="H1120" s="11" t="inlineStr"/>
      <c r="I1120" s="11" t="inlineStr"/>
      <c r="J1120" t="inlineStr"/>
      <c r="K1120" s="11" t="inlineStr">
        <is>
          <t>This section amends certain words in the Act effective from January 22, 2024, but does not contain substantive obligations or penalties. It is purely a procedural amendment to the text of the Act.</t>
        </is>
      </c>
      <c r="L1120" s="11" t="inlineStr"/>
      <c r="M1120" s="11" t="inlineStr"/>
      <c r="N1120" s="11" t="inlineStr">
        <is>
          <t>1. Subs. by Act 18 of 2023, s. 2 and schedule, for certain words (w.e.f. 22-1-2024).</t>
        </is>
      </c>
      <c r="O1120" s="12" t="inlineStr">
        <is>
          <t>Open PDF</t>
        </is>
      </c>
    </row>
    <row r="1121">
      <c r="A1121" t="inlineStr">
        <is>
          <t>India</t>
        </is>
      </c>
      <c r="B1121" t="inlineStr">
        <is>
          <t>Payment and Settlement Systems Act, 2007 (India - Row 11)</t>
        </is>
      </c>
      <c r="C1121" t="inlineStr">
        <is>
          <t>1</t>
        </is>
      </c>
      <c r="D1121" s="11" t="inlineStr">
        <is>
          <t>Amendment for certain words effective from 22-01-2024</t>
        </is>
      </c>
      <c r="E1121" t="inlineStr">
        <is>
          <t>13–14</t>
        </is>
      </c>
      <c r="F1121" t="inlineStr">
        <is>
          <t>None</t>
        </is>
      </c>
      <c r="G1121" t="inlineStr">
        <is>
          <t>High (explicit)</t>
        </is>
      </c>
      <c r="H1121" s="11" t="inlineStr"/>
      <c r="I1121" s="11" t="inlineStr"/>
      <c r="J1121" t="inlineStr"/>
      <c r="K1121" s="11" t="inlineStr">
        <is>
          <t>This section amends certain words in the Act effective from January 22, 2024, but does not contain substantive obligations or penalties. It is purely a procedural amendment to the text of the Act.</t>
        </is>
      </c>
      <c r="L1121" s="11" t="inlineStr"/>
      <c r="M1121" s="11" t="inlineStr"/>
      <c r="N1121" s="11" t="inlineStr">
        <is>
          <t>1. Subs. by Act 18 of 2023, s. 2 and schedule, for certain words (w.e.f. 22-1-2024).</t>
        </is>
      </c>
      <c r="O1121" s="12" t="inlineStr">
        <is>
          <t>Open PDF</t>
        </is>
      </c>
    </row>
    <row r="1122">
      <c r="A1122" t="inlineStr">
        <is>
          <t>India</t>
        </is>
      </c>
      <c r="B1122" t="inlineStr">
        <is>
          <t>Payment and Settlement Systems Act, 2007 (India - Row 11)</t>
        </is>
      </c>
      <c r="C1122" t="inlineStr">
        <is>
          <t>2</t>
        </is>
      </c>
      <c r="D1122" s="11" t="inlineStr">
        <is>
          <t>Definitions of key terms in payment systems</t>
        </is>
      </c>
      <c r="E1122" t="inlineStr">
        <is>
          <t>1</t>
        </is>
      </c>
      <c r="F1122" t="inlineStr">
        <is>
          <t>High</t>
        </is>
      </c>
      <c r="G1122" t="inlineStr">
        <is>
          <t>High (explicit)</t>
        </is>
      </c>
      <c r="H1122" s="11" t="inlineStr"/>
      <c r="I1122" s="11" t="inlineStr">
        <is>
          <t>Financial Data, Customer Data</t>
        </is>
      </c>
      <c r="J1122" t="inlineStr"/>
      <c r="K1122" s="11" t="inlineStr">
        <is>
          <t>This section defines critical terms such as 'bank', 'derivative', 'electronic funds transfer', 'gross settlement system', and 'payment system' for the Payment and Settlement Systems Act. These definitions specify the scope of entities and transactions covered by the Act, including banks, payment systems, and derivatives. The definitions also clarify the roles of system participants and providers in payment systems.</t>
        </is>
      </c>
      <c r="L1122" s="11" t="inlineStr">
        <is>
          <t>These definitions establish the scope of data and entities subject to the Act, which is crucial for determining what data transfers and processing activities fall under the regulatory framework.</t>
        </is>
      </c>
      <c r="M1122" s="11" t="inlineStr">
        <is>
          <t>• [Condition] In this Act, unless the context otherwise requires
• [Definition] bank means a bank included in the Second Schedule to the Reserve Bank of India Act, 1934
• [Definition] bank means a post office savings bank
• [Definition] bank means a banking company as defined in clause (c) of section 5 of the Banking Regulation Act, 1949
• [Definition] bank means a co-operative bank as defined in clause (cci) of section 5, as inserted by section 56 of the Banking Regulation Act, 1949
• [Definition] bank means such other bank as the Reserve Bank may, by notification, specify for the purposes of this Act
• [Definition] derivative means an instrument, to be settled at a future date, whose value is derived from change in interest rate, foreign exchange rate, credit rating or credit index
• [Definition] derivative includes interest rate swaps, forward rate agreements, foreign currency swaps
• [Definition] electronic funds transfer means any transfer of funds initiated by a person by way of instruction, authorisation or order to a bank through electronic means
• [Definition] gross settlement system means a payment system in which each settlement of funds or securities occurs on the basis of separate or individual instructions
• [Definition] issuer means a person who issues a legal entity identifier or such other unique identification as may be specified by the Reserve Bank
• [Definition] legal entity identifier means a unique identity code assigned to a person by an issuer for the purpose of identifying that person in such derivatives or financial transactions
• [Definition] netting means the determination by the system provider of the amount of money or securities due or payable as a result of setting off or adjusting payment obligations
• [Definition] notification means a notification published in the Official Gazette
• [Definition] payment instruction means any instrument, authorisation or order in any form to effect a payment
• [Definition] payment obligation means an indebtedness owned by one system participant to another system participant as a result of clearing or settlement of payment instructions
• [Definition] payment system means a system that enables payment to be effected between a payer and a beneficiary
• [Definition] securities means the Government securities as defined in the Public Debt Act, 1944
• [Definition] settlement means settlement of payment instructions and includes settlement of securities, foreign exchange or derivatives
• [Definition] systemic risk means the risk arising from the inability of a system participant to meet payment obligations or any disruption in the system
• [Definition] system participant means a bank or any other person participating in a payment system
• [Definition] system provider means a person who operates an authorised payment system</t>
        </is>
      </c>
      <c r="N1122" s="11" t="inlineStr">
        <is>
          <t>2. Definitions.—(1) In this Act, unless the context otherwise requires,—</t>
        </is>
      </c>
      <c r="O1122" s="12" t="inlineStr">
        <is>
          <t>Open PDF</t>
        </is>
      </c>
    </row>
    <row r="1123">
      <c r="A1123" t="inlineStr">
        <is>
          <t>India</t>
        </is>
      </c>
      <c r="B1123" t="inlineStr">
        <is>
          <t>Payment and Settlement Systems Act, 2007 (India - Row 11)</t>
        </is>
      </c>
      <c r="C1123" t="inlineStr">
        <is>
          <t>2</t>
        </is>
      </c>
      <c r="D1123" s="11" t="inlineStr">
        <is>
          <t>Definitions of key terms in payment systems</t>
        </is>
      </c>
      <c r="E1123" t="inlineStr">
        <is>
          <t>3</t>
        </is>
      </c>
      <c r="F1123" t="inlineStr">
        <is>
          <t>High</t>
        </is>
      </c>
      <c r="G1123" t="inlineStr">
        <is>
          <t>High (explicit)</t>
        </is>
      </c>
      <c r="H1123" s="11" t="inlineStr"/>
      <c r="I1123" s="11" t="inlineStr">
        <is>
          <t>Financial Data, Customer Data</t>
        </is>
      </c>
      <c r="J1123" t="inlineStr"/>
      <c r="K1123" s="11" t="inlineStr">
        <is>
          <t>This section defines critical terms such as 'bank', 'derivative', 'electronic funds transfer', 'gross settlement system', and 'payment system' for the Payment and Settlement Systems Act. These definitions specify the scope of entities and transactions covered by the Act, including banks, payment systems, and derivatives. The definitions also clarify the roles of system participants and providers in payment systems.</t>
        </is>
      </c>
      <c r="L1123" s="11" t="inlineStr">
        <is>
          <t>These definitions establish the scope of data and entities subject to the Act, which is crucial for determining what data transfers and processing activities fall under the regulatory framework.</t>
        </is>
      </c>
      <c r="M1123" s="11" t="inlineStr">
        <is>
          <t>• [Condition] In this Act, unless the context otherwise requires
• [Definition] bank means a bank included in the Second Schedule to the Reserve Bank of India Act, 1934
• [Definition] bank means a post office savings bank
• [Definition] bank means a banking company as defined in clause (c) of section 5 of the Banking Regulation Act, 1949
• [Definition] bank means a co-operative bank as defined in clause (cci) of section 5, as inserted by section 56 of the Banking Regulation Act, 1949
• [Definition] bank means such other bank as the Reserve Bank may, by notification, specify for the purposes of this Act
• [Definition] derivative means an instrument, to be settled at a future date, whose value is derived from change in interest rate, foreign exchange rate, credit rating or credit index
• [Definition] derivative includes interest rate swaps, forward rate agreements, foreign currency swaps
• [Definition] electronic funds transfer means any transfer of funds initiated by a person by way of instruction, authorisation or order to a bank through electronic means
• [Definition] gross settlement system means a payment system in which each settlement of funds or securities occurs on the basis of separate or individual instructions
• [Definition] issuer means a person who issues a legal entity identifier or such other unique identification as may be specified by the Reserve Bank
• [Definition] legal entity identifier means a unique identity code assigned to a person by an issuer for the purpose of identifying that person in such derivatives or financial transactions
• [Definition] netting means the determination by the system provider of the amount of money or securities due or payable as a result of setting off or adjusting payment obligations
• [Definition] notification means a notification published in the Official Gazette
• [Definition] payment instruction means any instrument, authorisation or order in any form to effect a payment
• [Definition] payment obligation means an indebtedness owned by one system participant to another system participant as a result of clearing or settlement of payment instructions
• [Definition] payment system means a system that enables payment to be effected between a payer and a beneficiary
• [Definition] securities means the Government securities as defined in the Public Debt Act, 1944
• [Definition] settlement means settlement of payment instructions and includes settlement of securities, foreign exchange or derivatives
• [Definition] systemic risk means the risk arising from the inability of a system participant to meet payment obligations or any disruption in the system
• [Definition] system participant means a bank or any other person participating in a payment system
• [Definition] system provider means a person who operates an authorised payment system</t>
        </is>
      </c>
      <c r="N1123" s="11" t="inlineStr">
        <is>
          <t>2. Definitions.—(1) In this Act, unless the context otherwise requires,—</t>
        </is>
      </c>
      <c r="O1123" s="12" t="inlineStr">
        <is>
          <t>Open PDF</t>
        </is>
      </c>
    </row>
    <row r="1124">
      <c r="A1124" t="inlineStr">
        <is>
          <t>India</t>
        </is>
      </c>
      <c r="B1124" t="inlineStr">
        <is>
          <t>Payment and Settlement Systems Act, 2007 (India - Row 11)</t>
        </is>
      </c>
      <c r="C1124" t="inlineStr">
        <is>
          <t>2</t>
        </is>
      </c>
      <c r="D1124" s="11" t="inlineStr">
        <is>
          <t>Definitions of key terms in payment systems</t>
        </is>
      </c>
      <c r="E1124" t="inlineStr">
        <is>
          <t>3–5</t>
        </is>
      </c>
      <c r="F1124" t="inlineStr">
        <is>
          <t>High</t>
        </is>
      </c>
      <c r="G1124" t="inlineStr">
        <is>
          <t>High (explicit)</t>
        </is>
      </c>
      <c r="H1124" s="11" t="inlineStr"/>
      <c r="I1124" s="11" t="inlineStr">
        <is>
          <t>Financial Data, Customer Data</t>
        </is>
      </c>
      <c r="J1124" t="inlineStr"/>
      <c r="K1124" s="11" t="inlineStr">
        <is>
          <t>This section defines critical terms such as 'bank', 'derivative', 'electronic funds transfer', 'gross settlement system', and 'payment system' for the Payment and Settlement Systems Act. These definitions specify the scope of entities and transactions covered by the Act, including banks, payment systems, and derivatives. The definitions also clarify the roles of system participants and providers in payment systems.</t>
        </is>
      </c>
      <c r="L1124" s="11" t="inlineStr">
        <is>
          <t>These definitions establish the scope of data and entities subject to the Act, which is crucial for determining what data transfers and processing activities fall under the regulatory framework.</t>
        </is>
      </c>
      <c r="M1124" s="11" t="inlineStr">
        <is>
          <t>• [Condition] In this Act, unless the context otherwise requires
• [Definition] bank means a bank included in the Second Schedule to the Reserve Bank of India Act, 1934
• [Definition] bank means a post office savings bank
• [Definition] bank means a banking company as defined in clause (c) of section 5 of the Banking Regulation Act, 1949
• [Definition] bank means a co-operative bank as defined in clause (cci) of section 5, as inserted by section 56 of the Banking Regulation Act, 1949
• [Definition] bank means such other bank as the Reserve Bank may, by notification, specify for the purposes of this Act
• [Definition] derivative means an instrument, to be settled at a future date, whose value is derived from change in interest rate, foreign exchange rate, credit rating or credit index
• [Definition] derivative includes interest rate swaps, forward rate agreements, foreign currency swaps
• [Definition] electronic funds transfer means any transfer of funds initiated by a person by way of instruction, authorisation or order to a bank through electronic means
• [Definition] gross settlement system means a payment system in which each settlement of funds or securities occurs on the basis of separate or individual instructions
• [Definition] issuer means a person who issues a legal entity identifier or such other unique identification as may be specified by the Reserve Bank
• [Definition] legal entity identifier means a unique identity code assigned to a person by an issuer for the purpose of identifying that person in such derivatives or financial transactions
• [Definition] netting means the determination by the system provider of the amount of money or securities due or payable as a result of setting off or adjusting payment obligations
• [Definition] notification means a notification published in the Official Gazette
• [Definition] payment instruction means any instrument, authorisation or order in any form to effect a payment
• [Definition] payment obligation means an indebtedness owned by one system participant to another system participant as a result of clearing or settlement of payment instructions
• [Definition] payment system means a system that enables payment to be effected between a payer and a beneficiary
• [Definition] securities means the Government securities as defined in the Public Debt Act, 1944
• [Definition] settlement means settlement of payment instructions and includes settlement of securities, foreign exchange or derivatives
• [Definition] systemic risk means the risk arising from the inability of a system participant to meet payment obligations or any disruption in the system
• [Definition] system participant means a bank or any other person participating in a payment system
• [Definition] system provider means a person who operates an authorised payment system</t>
        </is>
      </c>
      <c r="N1124" s="11" t="inlineStr">
        <is>
          <t>2. Definitions.—(1) In this Act, unless the context otherwise requires,—</t>
        </is>
      </c>
      <c r="O1124" s="12" t="inlineStr">
        <is>
          <t>Open PDF</t>
        </is>
      </c>
    </row>
    <row r="1125">
      <c r="A1125" t="inlineStr">
        <is>
          <t>India</t>
        </is>
      </c>
      <c r="B1125" t="inlineStr">
        <is>
          <t>Payment and Settlement Systems Act, 2007 (India - Row 11)</t>
        </is>
      </c>
      <c r="C1125" t="inlineStr">
        <is>
          <t>3</t>
        </is>
      </c>
      <c r="D1125" s="11" t="inlineStr">
        <is>
          <t>Reserve Bank as designated authority for payment system regulation and oversight committee</t>
        </is>
      </c>
      <c r="E1125" t="inlineStr">
        <is>
          <t>5</t>
        </is>
      </c>
      <c r="F1125" t="inlineStr">
        <is>
          <t>High</t>
        </is>
      </c>
      <c r="G1125" t="inlineStr">
        <is>
          <t>High (explicit)</t>
        </is>
      </c>
      <c r="H1125" s="11" t="inlineStr">
        <is>
          <t>Governance, Record Keeping</t>
        </is>
      </c>
      <c r="I1125" s="11" t="inlineStr">
        <is>
          <t>Financial Data</t>
        </is>
      </c>
      <c r="J1125" t="inlineStr">
        <is>
          <t>Reserve Bank of India</t>
        </is>
      </c>
      <c r="K1125" s="11" t="inlineStr">
        <is>
          <t>The Reserve Bank is designated as the sole authority for payment system regulation and supervision. It may establish a committee within its Central Board called the Board for Regulation and Supervision of Payment and Settlement Systems, which includes the Governor as Chairperson, Deputy Governor in-charge of Payment Systems as Vice-Chairperson, and up to three Directors from the Central Board of the Reserve Bank. The committee's procedures and quorum are subject to regulation.</t>
        </is>
      </c>
      <c r="L1125" s="11" t="inlineStr">
        <is>
          <t>This section establishes the oversight committee structure for payment systems, relevant for DTIAs as it defines the regulatory body responsible for payment system authorization and supervision.</t>
        </is>
      </c>
      <c r="M1125" s="11" t="inlineStr">
        <is>
          <t>• [Must] The Reserve Bank shall be the designated authority for the regulation and supervision of payment systems under this Act
• [May] The Reserve Bank may constitute a committee of its Central Board to be known as the Board for Regulation and Supervision of Payment and Settlement Systems
• [Must] The committee shall consist of Governor as Chairperson, Deputy Governor in-charge of Payment Systems as Vice-Chairperson, and up to three Directors from Central Board of Reserve Bank
• [Condition] The committee's powers, meeting procedures, quorum and other incidental matters shall be prescribed</t>
        </is>
      </c>
      <c r="N1125" s="11" t="inlineStr">
        <is>
          <t>3. Designated authority and its Committee.—(1) The Reserve Bank shall be the designated authority for the regulation and supervision of payment systems under this Act.</t>
        </is>
      </c>
      <c r="O1125" s="12" t="inlineStr">
        <is>
          <t>Open PDF</t>
        </is>
      </c>
    </row>
    <row r="1126">
      <c r="A1126" t="inlineStr">
        <is>
          <t>India</t>
        </is>
      </c>
      <c r="B1126" t="inlineStr">
        <is>
          <t>Payment and Settlement Systems Act, 2007 (India - Row 11)</t>
        </is>
      </c>
      <c r="C1126" t="inlineStr">
        <is>
          <t>3</t>
        </is>
      </c>
      <c r="D1126" s="11" t="inlineStr">
        <is>
          <t>Reserve Bank as designated authority for payment system regulation and oversight committee</t>
        </is>
      </c>
      <c r="E1126" t="inlineStr">
        <is>
          <t>5–6</t>
        </is>
      </c>
      <c r="F1126" t="inlineStr">
        <is>
          <t>High</t>
        </is>
      </c>
      <c r="G1126" t="inlineStr">
        <is>
          <t>High (explicit)</t>
        </is>
      </c>
      <c r="H1126" s="11" t="inlineStr">
        <is>
          <t>Governance, Record Keeping</t>
        </is>
      </c>
      <c r="I1126" s="11" t="inlineStr">
        <is>
          <t>Financial Data</t>
        </is>
      </c>
      <c r="J1126" t="inlineStr">
        <is>
          <t>Reserve Bank of India</t>
        </is>
      </c>
      <c r="K1126" s="11" t="inlineStr">
        <is>
          <t>The Reserve Bank is designated as the sole authority for payment system regulation and supervision. It may establish a committee within its Central Board called the Board for Regulation and Supervision of Payment and Settlement Systems, which includes the Governor as Chairperson, Deputy Governor in-charge of Payment Systems as Vice-Chairperson, and up to three Directors from the Central Board of the Reserve Bank. The committee's procedures and quorum are subject to regulation.</t>
        </is>
      </c>
      <c r="L1126" s="11" t="inlineStr">
        <is>
          <t>This section establishes the oversight committee structure for payment systems, relevant for DTIAs as it defines the regulatory body responsible for payment system authorization and supervision.</t>
        </is>
      </c>
      <c r="M1126" s="11" t="inlineStr">
        <is>
          <t>• [Must] The Reserve Bank shall be the designated authority for the regulation and supervision of payment systems under this Act
• [May] The Reserve Bank may constitute a committee of its Central Board to be known as the Board for Regulation and Supervision of Payment and Settlement Systems
• [Must] The committee shall consist of Governor as Chairperson, Deputy Governor in-charge of Payment Systems as Vice-Chairperson, and up to three Directors from Central Board of Reserve Bank
• [Condition] The committee's powers, meeting procedures, quorum and other incidental matters shall be prescribed</t>
        </is>
      </c>
      <c r="N1126" s="11" t="inlineStr">
        <is>
          <t>3. Designated authority and its Committee.—(1) The Reserve Bank shall be the designated authority for the regulation and supervision of payment systems under this Act.</t>
        </is>
      </c>
      <c r="O1126" s="12" t="inlineStr">
        <is>
          <t>Open PDF</t>
        </is>
      </c>
    </row>
    <row r="1127">
      <c r="A1127" t="inlineStr">
        <is>
          <t>India</t>
        </is>
      </c>
      <c r="B1127" t="inlineStr">
        <is>
          <t>Payment and Settlement Systems Act, 2007 (India - Row 11)</t>
        </is>
      </c>
      <c r="C1127" t="inlineStr">
        <is>
          <t>4</t>
        </is>
      </c>
      <c r="D1127" s="11" t="inlineStr">
        <is>
          <t>Penalty payment terms</t>
        </is>
      </c>
      <c r="E1127" t="inlineStr">
        <is>
          <t>6</t>
        </is>
      </c>
      <c r="F1127" t="inlineStr">
        <is>
          <t>High</t>
        </is>
      </c>
      <c r="G1127" t="inlineStr">
        <is>
          <t>High (explicit)</t>
        </is>
      </c>
      <c r="H1127" s="11" t="inlineStr"/>
      <c r="I1127" s="11" t="inlineStr"/>
      <c r="J1127" t="inlineStr">
        <is>
          <t>Reserve Bank of India</t>
        </is>
      </c>
      <c r="K1127" s="11" t="inlineStr">
        <is>
          <t>Penalties imposed by the Reserve Bank must be paid within thirty days of notice. Failure to pay may lead to court enforcement. The Reserve Bank may recover penalties by debiting current accounts, liquidating securities, or through court orders. Penalties are enforceable as decrees in civil suits.</t>
        </is>
      </c>
      <c r="L1127" s="11" t="inlineStr"/>
      <c r="M1127" s="11" t="inlineStr">
        <is>
          <t>• [Must] Any penalty imposed by the Reserve Bank under this section shall be payable within a period of thirty days from the date on which notice issued by the Reserve Bank demanding payment of the sum is served on the defaulter
• [May] In the event of failure of the person to pay the sum within such period, may be recovered on a direction made by the principal civil court having jurisdiction in the area where the registered office of the defaulter company or the official business of the person is situated
• [May] The Reserve Bank may recover the amount of penalty by debiting the current account, if any, of the defaulter or by liquidating the securities held to the credit of the defaulter
• [Must] The court which makes a direction under sub-section (3) shall issue a certificate specifying the sum payable by the defaulter and every such certificate shall be enforceable in the same manner as it were a decree made by the court in a civil suit</t>
        </is>
      </c>
      <c r="N1127" s="11" t="inlineStr">
        <is>
          <t>33. Mode of recovery of penalty.—(1)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t>
        </is>
      </c>
      <c r="O1127" s="12" t="inlineStr">
        <is>
          <t>Open PDF</t>
        </is>
      </c>
    </row>
    <row r="1128">
      <c r="A1128" t="inlineStr">
        <is>
          <t>India</t>
        </is>
      </c>
      <c r="B1128" t="inlineStr">
        <is>
          <t>Payment and Settlement Systems Act, 2007 (India - Row 11)</t>
        </is>
      </c>
      <c r="C1128" t="inlineStr">
        <is>
          <t>4</t>
        </is>
      </c>
      <c r="D1128" s="11" t="inlineStr">
        <is>
          <t>Penalty payment terms</t>
        </is>
      </c>
      <c r="E1128" t="inlineStr">
        <is>
          <t>10–11</t>
        </is>
      </c>
      <c r="F1128" t="inlineStr">
        <is>
          <t>High</t>
        </is>
      </c>
      <c r="G1128" t="inlineStr">
        <is>
          <t>High (explicit)</t>
        </is>
      </c>
      <c r="H1128" s="11" t="inlineStr"/>
      <c r="I1128" s="11" t="inlineStr"/>
      <c r="J1128" t="inlineStr">
        <is>
          <t>Reserve Bank of India</t>
        </is>
      </c>
      <c r="K1128" s="11" t="inlineStr">
        <is>
          <t>Penalties imposed by the Reserve Bank must be paid within thirty days of notice. Failure to pay may lead to court enforcement. The Reserve Bank may recover penalties by debiting current accounts, liquidating securities, or through court orders. Penalties are enforceable as decrees in civil suits.</t>
        </is>
      </c>
      <c r="L1128" s="11" t="inlineStr"/>
      <c r="M1128" s="11" t="inlineStr">
        <is>
          <t>• [Must] Any penalty imposed by the Reserve Bank under this section shall be payable within a period of thirty days from the date on which notice issued by the Reserve Bank demanding payment of the sum is served on the defaulter
• [May] In the event of failure of the person to pay the sum within such period, may be recovered on a direction made by the principal civil court having jurisdiction in the area where the registered office of the defaulter company or the official business of the person is situated
• [May] The Reserve Bank may recover the amount of penalty by debiting the current account, if any, of the defaulter or by liquidating the securities held to the credit of the defaulter
• [Must] The court which makes a direction under sub-section (3) shall issue a certificate specifying the sum payable by the defaulter and every such certificate shall be enforceable in the same manner as it were a decree made by the court in a civil suit</t>
        </is>
      </c>
      <c r="N1128" s="11" t="inlineStr">
        <is>
          <t>33. Mode of recovery of penalty.—(1)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t>
        </is>
      </c>
      <c r="O1128" s="12" t="inlineStr">
        <is>
          <t>Open PDF</t>
        </is>
      </c>
    </row>
    <row r="1129">
      <c r="A1129" t="inlineStr">
        <is>
          <t>India</t>
        </is>
      </c>
      <c r="B1129" t="inlineStr">
        <is>
          <t>Payment and Settlement Systems Act, 2007 (India - Row 11)</t>
        </is>
      </c>
      <c r="C1129" t="inlineStr">
        <is>
          <t>4</t>
        </is>
      </c>
      <c r="D1129" s="11" t="inlineStr">
        <is>
          <t>Penalty payment terms</t>
        </is>
      </c>
      <c r="E1129" t="inlineStr">
        <is>
          <t>11–12</t>
        </is>
      </c>
      <c r="F1129" t="inlineStr">
        <is>
          <t>High</t>
        </is>
      </c>
      <c r="G1129" t="inlineStr">
        <is>
          <t>High (explicit)</t>
        </is>
      </c>
      <c r="H1129" s="11" t="inlineStr"/>
      <c r="I1129" s="11" t="inlineStr"/>
      <c r="J1129" t="inlineStr">
        <is>
          <t>Reserve Bank of India</t>
        </is>
      </c>
      <c r="K1129" s="11" t="inlineStr">
        <is>
          <t>Penalties imposed by the Reserve Bank must be paid within thirty days of notice. Failure to pay may lead to court enforcement. The Reserve Bank may recover penalties by debiting current accounts, liquidating securities, or through court orders. Penalties are enforceable as decrees in civil suits.</t>
        </is>
      </c>
      <c r="L1129" s="11" t="inlineStr"/>
      <c r="M1129" s="11" t="inlineStr">
        <is>
          <t>• [Must] Any penalty imposed by the Reserve Bank under this section shall be payable within a period of thirty days from the date on which notice issued by the Reserve Bank demanding payment of the sum is served on the defaulter
• [May] In the event of failure of the person to pay the sum within such period, may be recovered on a direction made by the principal civil court having jurisdiction in the area where the registered office of the defaulter company or the official business of the person is situated
• [May] The Reserve Bank may recover the amount of penalty by debiting the current account, if any, of the defaulter or by liquidating the securities held to the credit of the defaulter
• [Must] The court which makes a direction under sub-section (3) shall issue a certificate specifying the sum payable by the defaulter and every such certificate shall be enforceable in the same manner as it were a decree made by the court in a civil suit</t>
        </is>
      </c>
      <c r="N1129" s="11" t="inlineStr">
        <is>
          <t>33. Mode of recovery of penalty.—(1)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t>
        </is>
      </c>
      <c r="O1129" s="12" t="inlineStr">
        <is>
          <t>Open PDF</t>
        </is>
      </c>
    </row>
    <row r="1130">
      <c r="A1130" t="inlineStr">
        <is>
          <t>India</t>
        </is>
      </c>
      <c r="B1130" t="inlineStr">
        <is>
          <t>Payment and Settlement Systems Act, 2007 (India - Row 11)</t>
        </is>
      </c>
      <c r="C1130" t="inlineStr">
        <is>
          <t>4</t>
        </is>
      </c>
      <c r="D1130" s="11" t="inlineStr">
        <is>
          <t>Penalty payment terms</t>
        </is>
      </c>
      <c r="E1130" t="inlineStr">
        <is>
          <t>14–15</t>
        </is>
      </c>
      <c r="F1130" t="inlineStr">
        <is>
          <t>High</t>
        </is>
      </c>
      <c r="G1130" t="inlineStr">
        <is>
          <t>High (explicit)</t>
        </is>
      </c>
      <c r="H1130" s="11" t="inlineStr"/>
      <c r="I1130" s="11" t="inlineStr"/>
      <c r="J1130" t="inlineStr">
        <is>
          <t>Reserve Bank of India</t>
        </is>
      </c>
      <c r="K1130" s="11" t="inlineStr">
        <is>
          <t>Penalties imposed by the Reserve Bank must be paid within thirty days of notice. Failure to pay may lead to court enforcement. The Reserve Bank may recover penalties by debiting current accounts, liquidating securities, or through court orders. Penalties are enforceable as decrees in civil suits.</t>
        </is>
      </c>
      <c r="L1130" s="11" t="inlineStr"/>
      <c r="M1130" s="11" t="inlineStr">
        <is>
          <t>• [Must] Any penalty imposed by the Reserve Bank under this section shall be payable within a period of thirty days from the date on which notice issued by the Reserve Bank demanding payment of the sum is served on the defaulter
• [May] In the event of failure of the person to pay the sum within such period, may be recovered on a direction made by the principal civil court having jurisdiction in the area where the registered office of the defaulter company or the official business of the person is situated
• [May] The Reserve Bank may recover the amount of penalty by debiting the current account, if any, of the defaulter or by liquidating the securities held to the credit of the defaulter
• [Must] The court which makes a direction under sub-section (3) shall issue a certificate specifying the sum payable by the defaulter and every such certificate shall be enforceable in the same manner as it were a decree made by the court in a civil suit</t>
        </is>
      </c>
      <c r="N1130" s="11" t="inlineStr">
        <is>
          <t>33. Mode of recovery of penalty.—(1)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t>
        </is>
      </c>
      <c r="O1130" s="12" t="inlineStr">
        <is>
          <t>Open PDF</t>
        </is>
      </c>
    </row>
    <row r="1131">
      <c r="A1131" t="inlineStr">
        <is>
          <t>India</t>
        </is>
      </c>
      <c r="B1131" t="inlineStr">
        <is>
          <t>Payment and Settlement Systems Act, 2007 (India - Row 11)</t>
        </is>
      </c>
      <c r="C1131" t="inlineStr">
        <is>
          <t>5</t>
        </is>
      </c>
      <c r="D1131" s="11" t="inlineStr">
        <is>
          <t>Application process for payment system authorization</t>
        </is>
      </c>
      <c r="E1131" t="inlineStr">
        <is>
          <t>6</t>
        </is>
      </c>
      <c r="F1131" t="inlineStr">
        <is>
          <t>High</t>
        </is>
      </c>
      <c r="G1131" t="inlineStr">
        <is>
          <t>High (explicit)</t>
        </is>
      </c>
      <c r="H1131" s="11" t="inlineStr">
        <is>
          <t>Financial Data</t>
        </is>
      </c>
      <c r="I1131" s="11" t="inlineStr">
        <is>
          <t>Financial Data</t>
        </is>
      </c>
      <c r="J1131" t="inlineStr">
        <is>
          <t>Reserve Bank of India</t>
        </is>
      </c>
      <c r="K1131" s="11" t="inlineStr">
        <is>
          <t>Any entity seeking to operate a payment system must submit an application to the Reserve Bank. The application must be in the prescribed form and accompanied by the prescribed fees. This section establishes the procedural requirements for obtaining authorization to operate payment systems.</t>
        </is>
      </c>
      <c r="L1131" s="11" t="inlineStr">
        <is>
          <t>This section outlines the application process for payment system authorization, relevant for DTIAs as it defines the procedural steps required for entities to obtain authorization for payment systems.</t>
        </is>
      </c>
      <c r="M1131" s="11" t="inlineStr">
        <is>
          <t>• [May] Any person desirous of commencing or carrying on a payment system may apply to the Reserve Bank for authorization
• [Must] Applications must be made in prescribed form and manner
• [Must] Applications must be accompanied by prescribed fees</t>
        </is>
      </c>
      <c r="N1131" s="11" t="inlineStr">
        <is>
          <t>5. Application for authorisation.—(1) Any person desirous of commencing or carrying on a payment system may apply to the Reserve Bank for an authorisation under this Act.</t>
        </is>
      </c>
      <c r="O1131" s="12" t="inlineStr">
        <is>
          <t>Open PDF</t>
        </is>
      </c>
    </row>
    <row r="1132">
      <c r="A1132" t="inlineStr">
        <is>
          <t>India</t>
        </is>
      </c>
      <c r="B1132" t="inlineStr">
        <is>
          <t>Payment and Settlement Systems Act, 2007 (India - Row 11)</t>
        </is>
      </c>
      <c r="C1132" t="inlineStr">
        <is>
          <t>6</t>
        </is>
      </c>
      <c r="D1132" s="11" t="inlineStr">
        <is>
          <t>Reserve Bank inquiry before authorization</t>
        </is>
      </c>
      <c r="E1132" t="inlineStr">
        <is>
          <t>6</t>
        </is>
      </c>
      <c r="F1132" t="inlineStr">
        <is>
          <t>High</t>
        </is>
      </c>
      <c r="G1132" t="inlineStr">
        <is>
          <t>High (explicit)</t>
        </is>
      </c>
      <c r="H1132" s="11" t="inlineStr">
        <is>
          <t>Financial Data</t>
        </is>
      </c>
      <c r="I1132" s="11" t="inlineStr">
        <is>
          <t>Financial Data</t>
        </is>
      </c>
      <c r="J1132" t="inlineStr">
        <is>
          <t>Reserve Bank of India</t>
        </is>
      </c>
      <c r="K1132" s="11" t="inlineStr">
        <is>
          <t>The Reserve Bank may conduct inquiries before issuing authorization for a payment system. The inquiries are to verify the genuineness of applicant details, capacity to operate the payment system, credentials of participants, and other relevant factors. The Reserve Bank may require a report from an authorized person conducting the inquiry.</t>
        </is>
      </c>
      <c r="L1132" s="11" t="inlineStr">
        <is>
          <t>This section establishes the inquiry process for payment system authorization, relevant for DTIAs as it defines the regulatory review steps before authorization is granted.</t>
        </is>
      </c>
      <c r="M1132" s="11" t="inlineStr">
        <is>
          <t>• [May] After receiving an application, the Reserve Bank may make inquiries to verify applicant details, capacity, and participant credentials
• [May] The Reserve Bank may require a report from an authorized person conducting the inquiry</t>
        </is>
      </c>
      <c r="N1132" s="11" t="inlineStr">
        <is>
          <t>6. Inquiry by the Reserve Bank.—After the receipt of an application under section 5, and before an authorisation is issued under this Act, the Reserve Bank may make such inquiries as it may consider necessary for the purpose of satisfying itself about the genuineness of the particulars furnished by the applicant, his capacity to operate the payment system, the credentials of the participants or for any other reason and when such an inquiry is conducted by any person authorised by it in this behalf, it may require a report from such person in respect of the inquiry.</t>
        </is>
      </c>
      <c r="O1132" s="12" t="inlineStr">
        <is>
          <t>Open PDF</t>
        </is>
      </c>
    </row>
    <row r="1133">
      <c r="A1133" t="inlineStr">
        <is>
          <t>India</t>
        </is>
      </c>
      <c r="B1133" t="inlineStr">
        <is>
          <t>Payment and Settlement Systems Act, 2007 (India - Row 11)</t>
        </is>
      </c>
      <c r="C1133" t="inlineStr">
        <is>
          <t>7</t>
        </is>
      </c>
      <c r="D1133" s="11" t="inlineStr">
        <is>
          <t>Authorization issuance and refusal criteria</t>
        </is>
      </c>
      <c r="E1133" t="inlineStr">
        <is>
          <t>6–7</t>
        </is>
      </c>
      <c r="F1133" t="inlineStr">
        <is>
          <t>High</t>
        </is>
      </c>
      <c r="G1133" t="inlineStr">
        <is>
          <t>High (explicit)</t>
        </is>
      </c>
      <c r="H1133" s="11" t="inlineStr">
        <is>
          <t>Financial Data</t>
        </is>
      </c>
      <c r="I1133" s="11" t="inlineStr">
        <is>
          <t>Financial Data</t>
        </is>
      </c>
      <c r="J1133" t="inlineStr">
        <is>
          <t>Reserve Bank of India</t>
        </is>
      </c>
      <c r="K1133" s="11" t="inlineStr">
        <is>
          <t>The Reserve Bank may issue authorization for payment systems if it is satisfied that the application is complete and conforms to the Act. Authorization must specify effective date, conditions, fees, security requirements, and duration. Refusal requires written notice with reasons and a reasonable opportunity to be heard. Applications must be processed within six months.</t>
        </is>
      </c>
      <c r="L1133" s="11" t="inlineStr">
        <is>
          <t>This section details the criteria for authorization and refusal, relevant for DTIAs as it specifies the conditions under which payment systems must operate and the review process for authorization.</t>
        </is>
      </c>
      <c r="M1133" s="11" t="inlineStr">
        <is>
          <t>• [Must] The Reserve Bank may issue authorization if satisfied that the application is complete and conforms to the Act
• [Must] Authorization must specify effective date, conditions, fees, security requirements, and duration
• [Must] The Reserve Bank must provide written reasons for refusal with a reasonable opportunity to be heard
• [Must] Applications must be processed within six months from filing</t>
        </is>
      </c>
      <c r="N1133" s="11" t="inlineStr">
        <is>
          <t>7. Issue or refusal of authorisation.—(1) The Reserve Bank may, if satisfied, after any inquiry under section 6 or otherwise, that the application is complete in all respects and that it conforms to the provisions of this Act and the regulations issue an authorisation for operating the payment system under this Act</t>
        </is>
      </c>
      <c r="O1133" s="12" t="inlineStr">
        <is>
          <t>Open PDF</t>
        </is>
      </c>
    </row>
    <row r="1134">
      <c r="A1134" t="inlineStr">
        <is>
          <t>India</t>
        </is>
      </c>
      <c r="B1134" t="inlineStr">
        <is>
          <t>Payment and Settlement Systems Act, 2007 (India - Row 11)</t>
        </is>
      </c>
      <c r="C1134" t="inlineStr">
        <is>
          <t>8</t>
        </is>
      </c>
      <c r="D1134" s="11" t="inlineStr">
        <is>
          <t>Revocation of payment system authorization</t>
        </is>
      </c>
      <c r="E1134" t="inlineStr">
        <is>
          <t>7</t>
        </is>
      </c>
      <c r="F1134" t="inlineStr">
        <is>
          <t>High</t>
        </is>
      </c>
      <c r="G1134" t="inlineStr">
        <is>
          <t>High (explicit)</t>
        </is>
      </c>
      <c r="H1134" s="11" t="inlineStr"/>
      <c r="I1134" s="11" t="inlineStr">
        <is>
          <t>Financial Data</t>
        </is>
      </c>
      <c r="J1134" t="inlineStr">
        <is>
          <t>Reserve Bank of India</t>
        </is>
      </c>
      <c r="K1134" s="11" t="inlineStr">
        <is>
          <t>The Reserve Bank can revoke a system provider's authorization if they breach the Act, fail to comply with regulations, ignore orders from the Reserve Bank, or operate contrary to authorized conditions. Revocation requires giving the system provider a hearing opportunity and does not halt system operations until the order is issued. The Reserve Bank may also revoke authorization for monetary policy reasons without prior hearing. Revocation orders must include provisions to protect affected parties and apply automatically if the system provider becomes insolvent.</t>
        </is>
      </c>
      <c r="L1134" s="11" t="inlineStr">
        <is>
          <t>Revocation authority allows the Reserve Bank to terminate payment system operations if compliance is breached, requiring safeguards for affected parties and automatic revocation in insolvency cases. This impacts cross-border payment systems by potentially disrupting data flows.</t>
        </is>
      </c>
      <c r="M1134" s="11" t="inlineStr">
        <is>
          <t>• [Must] The Reserve Bank may revoke authorization if a system provider contravenes any provisions of this Act
• [Must] The Reserve Bank may revoke authorization if a system provider does not comply with regulations
• [Must] The Reserve Bank may revoke authorization if a system provider fails to comply with orders or directions issued by the designated authority
• [Must] The Reserve Bank may revoke authorization if a system provider operates the payment system contrary to conditions subject to which authorization was issued
• [Condition] Revocation orders must provide reasonable opportunity for the system provider to be heard
• [Condition] Revocation orders do not halt system operations until the order is issued
• [May] The Reserve Bank may revoke authorization for monetary policy reasons without prior hearing
• [Must] Revocation orders must include provisions to protect and safeguard interests of affected persons
• [Must] System providers must inform the Reserve Bank if they become insolvent, dissolved, or wound up</t>
        </is>
      </c>
      <c r="N1134" s="11" t="inlineStr">
        <is>
          <t>8. Revocation of authorisation.—(1) If a system provider,— (i) contravenes any provisions of this Act, or (ii) does not comply with the regulations, or (iii) fails to comply with the orders or directions issued by the designated authority, or (iv) operates the payment system contrary to the conditions subject to which the authorisation was issued, the Reserve Bank may, by order, revoke the authorisation given to such system provider under this Act</t>
        </is>
      </c>
      <c r="O1134" s="12" t="inlineStr">
        <is>
          <t>Open PDF</t>
        </is>
      </c>
    </row>
    <row r="1135">
      <c r="A1135" t="inlineStr">
        <is>
          <t>India</t>
        </is>
      </c>
      <c r="B1135" t="inlineStr">
        <is>
          <t>Payment and Settlement Systems Act, 2007 (India - Row 11)</t>
        </is>
      </c>
      <c r="C1135" t="inlineStr">
        <is>
          <t>9</t>
        </is>
      </c>
      <c r="D1135" s="11" t="inlineStr">
        <is>
          <t>Appeal process for payment system authorization decisions</t>
        </is>
      </c>
      <c r="E1135" t="inlineStr">
        <is>
          <t>7–8</t>
        </is>
      </c>
      <c r="F1135" t="inlineStr">
        <is>
          <t>Medium</t>
        </is>
      </c>
      <c r="G1135" t="inlineStr">
        <is>
          <t>High (explicit)</t>
        </is>
      </c>
      <c r="H1135" s="11" t="inlineStr"/>
      <c r="I1135" s="11" t="inlineStr">
        <is>
          <t>Financial Data</t>
        </is>
      </c>
      <c r="J1135" t="inlineStr">
        <is>
          <t>Central Government</t>
        </is>
      </c>
      <c r="K1135" s="11" t="inlineStr">
        <is>
          <t>Applicants for payment system authorization or system providers aggrieved by revocation orders can appeal to the Central Government within 30 days of receiving a decision. The Central Government must resolve appeals within 3 months and its decision is final. This provides a formal review mechanism for authorization and revocation decisions.</t>
        </is>
      </c>
      <c r="L1135" s="11" t="inlineStr">
        <is>
          <t>Provides a formal appeal process for payment system authorization and revocation decisions, ensuring affected parties can challenge regulatory actions before final decisions are made.</t>
        </is>
      </c>
      <c r="M1135" s="11" t="inlineStr">
        <is>
          <t>• [Must] Any applicant for authorization whose application is refused under section 7(3) may appeal to the Central Government within 30 days
• [Must] Any system provider aggrieved by a revocation order under section 8 may appeal to the Central Government within 30 days
• [Must] The Central Government must dispose of appeals within 3 months
• [Must] The Central Government's decision on appeals is final</t>
        </is>
      </c>
      <c r="N1135" s="11" t="inlineStr">
        <is>
          <t>9. Appeal to the Central Government.—(1) Any applicant for an authorisation whose application for the operation of the payment system is refused under sub-section (3) of section 7 or a system provider who is aggrieved by an order of revocation under section 8 may, within thirty days from the date on which the order is communicated to him, appeal to the Central Government.</t>
        </is>
      </c>
      <c r="O1135" s="12" t="inlineStr">
        <is>
          <t>Open PDF</t>
        </is>
      </c>
    </row>
    <row r="1136">
      <c r="A1136" t="inlineStr">
        <is>
          <t>India</t>
        </is>
      </c>
      <c r="B1136" t="inlineStr">
        <is>
          <t>Payment and Settlement Systems Act, 2007 (India - Row 11)</t>
        </is>
      </c>
      <c r="C1136" t="inlineStr">
        <is>
          <t>10</t>
        </is>
      </c>
      <c r="D1136" s="11" t="inlineStr">
        <is>
          <t>Reserve Bank standards for payment systems</t>
        </is>
      </c>
      <c r="E1136" t="inlineStr">
        <is>
          <t>8</t>
        </is>
      </c>
      <c r="F1136" t="inlineStr">
        <is>
          <t>High</t>
        </is>
      </c>
      <c r="G1136" t="inlineStr">
        <is>
          <t>High (explicit)</t>
        </is>
      </c>
      <c r="H1136" s="11" t="inlineStr"/>
      <c r="I1136" s="11" t="inlineStr">
        <is>
          <t>Financial Data</t>
        </is>
      </c>
      <c r="J1136" t="inlineStr">
        <is>
          <t>Reserve Bank of India</t>
        </is>
      </c>
      <c r="K1136" s="11" t="inlineStr">
        <is>
          <t>The Reserve Bank can prescribe standards for payment instructions, system timings, fund transfer methods, general payment system standards, membership criteria, and participant rights and obligations. The Reserve Bank may also issue guidelines for payment system management. This section establishes regulatory oversight over technical and operational aspects of payment systems.</t>
        </is>
      </c>
      <c r="L1136" s="11" t="inlineStr">
        <is>
          <t>Defines technical and operational standards for payment systems, impacting data transfer mechanisms and system interoperability across borders.</t>
        </is>
      </c>
      <c r="M1136" s="11" t="inlineStr">
        <is>
          <t>• [Must] The Reserve Bank may prescribe the format of payment instructions and size and shape of such instructions
• [Must] The Reserve Bank may prescribe timings to be maintained by payment systems
• [Must] The Reserve Bank may prescribe the manner of fund transfer within payment systems
• [Must] The Reserve Bank may prescribe other standards for payment systems generally
• [Must] The Reserve Bank may prescribe criteria for payment system membership including continuation, termination and rejection
• [Must] The Reserve Bank may prescribe conditions for system participants' participation in fund transfers and their rights and obligations
• [May] The Reserve Bank may issue guidelines for proper and efficient management of payment systems</t>
        </is>
      </c>
      <c r="N1136" s="11" t="inlineStr">
        <is>
          <t>10. Power to determine standards.—(1) The Reserve Bank may, from time to time, prescribe— (a) the format of payment instructions and the size and shape of such instructions; (b) the timings to be maintained by payment systems; (c) the manner of transfer of funds within the payment system, either through paper, electronic means or in any other manner, between banks or between banks and other system participants; (d) such other standards to be complied with the payment systems generally; (e) the criteria for membership of payment systems including continuation, termination and rejection of membership; (f) the conditions subject to which the system participants shall participate in such fund transfers and the rights and obligations of the system participants in such funds.</t>
        </is>
      </c>
      <c r="O1136" s="12" t="inlineStr">
        <is>
          <t>Open PDF</t>
        </is>
      </c>
    </row>
    <row r="1137">
      <c r="A1137" t="inlineStr">
        <is>
          <t>India</t>
        </is>
      </c>
      <c r="B1137" t="inlineStr">
        <is>
          <t>Payment and Settlement Systems Act, 2007 (India - Row 11)</t>
        </is>
      </c>
      <c r="C1137" t="inlineStr">
        <is>
          <t>11</t>
        </is>
      </c>
      <c r="D1137" s="11" t="inlineStr">
        <is>
          <t>Notice requirements for payment system changes</t>
        </is>
      </c>
      <c r="E1137" t="inlineStr">
        <is>
          <t>8</t>
        </is>
      </c>
      <c r="F1137" t="inlineStr">
        <is>
          <t>High</t>
        </is>
      </c>
      <c r="G1137" t="inlineStr">
        <is>
          <t>High (explicit)</t>
        </is>
      </c>
      <c r="H1137" s="11" t="inlineStr"/>
      <c r="I1137" s="11" t="inlineStr">
        <is>
          <t>Financial Data</t>
        </is>
      </c>
      <c r="J1137" t="inlineStr">
        <is>
          <t>Reserve Bank of India</t>
        </is>
      </c>
      <c r="K1137" s="11" t="inlineStr">
        <is>
          <t>System providers must obtain prior Reserve Bank approval and provide 30 days' notice to participants before changing payment systems that affect structure or operation. Exceptions apply for monetary policy or public interest reasons, allowing shorter notice periods or no notice at all. The Reserve Bank must object within two weeks if it has concerns about proposed changes.</t>
        </is>
      </c>
      <c r="L1137" s="11" t="inlineStr">
        <is>
          <t>Requires notice and approval for payment system changes, impacting data transfer mechanisms and system interoperability across borders.</t>
        </is>
      </c>
      <c r="M1137" s="11" t="inlineStr">
        <is>
          <t>• [Must] No system provider may change payment systems affecting structure or operation without prior Reserve Bank approval
• [Must] System providers must give 30 days' notice to participants after Reserve Bank approval
• [May] The Reserve Bank may permit changes without participant notice or longer notice periods for monetary policy or public interest reasons
• [Must] The Reserve Bank must communicate objections to proposed changes within two weeks
• [Must] System providers must respond to Reserve Bank objections within two weeks</t>
        </is>
      </c>
      <c r="N1137" s="11" t="inlineStr">
        <is>
          <t>11. Notice of change in the payment system.—(1) No system provider shall cause any change in the system which would affect the structure or the operation of the payment system without— (a) the prior approval of the Reserve Bank; and (b) giving notice of not less than thirty days to the system participants after the approval of the Reserve Bank: Provided that in the interest of monetary policy of the country or in public interest, the Reserve Bank may permit the system provider to make any changes in a payment system without giving notice to the system participants under clause (b) or requiring the system provider to give notice for a period longer than thirty days.</t>
        </is>
      </c>
      <c r="O1137" s="12" t="inlineStr">
        <is>
          <t>Open PDF</t>
        </is>
      </c>
    </row>
    <row r="1138">
      <c r="A1138" t="inlineStr">
        <is>
          <t>India</t>
        </is>
      </c>
      <c r="B1138" t="inlineStr">
        <is>
          <t>Payment and Settlement Systems Act, 2007 (India - Row 11)</t>
        </is>
      </c>
      <c r="C1138" t="inlineStr">
        <is>
          <t>12</t>
        </is>
      </c>
      <c r="D1138" s="11" t="inlineStr">
        <is>
          <t>Reserve Bank access to payment system information</t>
        </is>
      </c>
      <c r="E1138" t="inlineStr">
        <is>
          <t>8</t>
        </is>
      </c>
      <c r="F1138" t="inlineStr">
        <is>
          <t>High</t>
        </is>
      </c>
      <c r="G1138" t="inlineStr">
        <is>
          <t>High (explicit)</t>
        </is>
      </c>
      <c r="H1138" s="11" t="inlineStr"/>
      <c r="I1138" s="11" t="inlineStr">
        <is>
          <t>Financial Data</t>
        </is>
      </c>
      <c r="J1138" t="inlineStr">
        <is>
          <t>Reserve Bank of India</t>
        </is>
      </c>
      <c r="K1138" s="11" t="inlineStr">
        <is>
          <t>The Reserve Bank has the authority to request returns, documents, or other information from system providers regarding payment system operations at intervals, in specified formats, and in the manner required by the Reserve Bank. System providers must comply with these requests.</t>
        </is>
      </c>
      <c r="L1138" s="11" t="inlineStr">
        <is>
          <t>Allows regulators to access payment system data, impacting data transfer mechanisms and system interoperability across borders.</t>
        </is>
      </c>
      <c r="M1138" s="11" t="inlineStr">
        <is>
          <t>• [Must] The Reserve Bank may call for returns, documents, or other information from system providers regarding payment system operations
• [Must] System providers must comply with the Reserve Bank's requests for information</t>
        </is>
      </c>
      <c r="N1138" s="11" t="inlineStr">
        <is>
          <t>12. Power to call for returns, documents or other information.—The Reserve Bank may call for from any system provider such returns or documents as it may require or other information in regard to the operation of his payment system at such intervals, in such form and in such manner, as the Reserve Bank may require from time to time or as may be prescribed and such order shall be complied with.</t>
        </is>
      </c>
      <c r="O1138" s="12" t="inlineStr">
        <is>
          <t>Open PDF</t>
        </is>
      </c>
    </row>
    <row r="1139">
      <c r="A1139" t="inlineStr">
        <is>
          <t>India</t>
        </is>
      </c>
      <c r="B1139" t="inlineStr">
        <is>
          <t>Payment and Settlement Systems Act, 2007 (India - Row 11)</t>
        </is>
      </c>
      <c r="C1139" t="inlineStr">
        <is>
          <t>13</t>
        </is>
      </c>
      <c r="D1139" s="11" t="inlineStr">
        <is>
          <t>Reserve Bank access to payment system information</t>
        </is>
      </c>
      <c r="E1139" t="inlineStr">
        <is>
          <t>9</t>
        </is>
      </c>
      <c r="F1139" t="inlineStr">
        <is>
          <t>High</t>
        </is>
      </c>
      <c r="G1139" t="inlineStr">
        <is>
          <t>High (explicit)</t>
        </is>
      </c>
      <c r="H1139" s="11" t="inlineStr"/>
      <c r="I1139" s="11" t="inlineStr">
        <is>
          <t>Financial Data</t>
        </is>
      </c>
      <c r="J1139" t="inlineStr">
        <is>
          <t>Reserve Bank of India</t>
        </is>
      </c>
      <c r="K1139" s="11" t="inlineStr">
        <is>
          <t>The Reserve Bank has the right to access any information related to payment system operations and system providers. All system participants must provide access to such information to the Reserve Bank.</t>
        </is>
      </c>
      <c r="L1139" s="11" t="inlineStr">
        <is>
          <t>Ensures regulators can monitor payment systems, impacting data transfer mechanisms and system interoperability across borders.</t>
        </is>
      </c>
      <c r="M1139" s="11" t="inlineStr">
        <is>
          <t>• [Must] The Reserve Bank has the right to access information relating to payment system operations and system providers
• [Must] System participants must provide access to such information to the Reserve Bank</t>
        </is>
      </c>
      <c r="N1139" s="11" t="inlineStr">
        <is>
          <t>13. Access to information.—The Reserve Bank shall have right to access any information relating to the operation of any payment system and system provider and all the system participants shall provide access to such information to the Reserve Bank.</t>
        </is>
      </c>
      <c r="O1139" s="12" t="inlineStr">
        <is>
          <t>Open PDF</t>
        </is>
      </c>
    </row>
    <row r="1140">
      <c r="A1140" t="inlineStr">
        <is>
          <t>India</t>
        </is>
      </c>
      <c r="B1140" t="inlineStr">
        <is>
          <t>Payment and Settlement Systems Act, 2007 (India - Row 11)</t>
        </is>
      </c>
      <c r="C1140" t="inlineStr">
        <is>
          <t>14</t>
        </is>
      </c>
      <c r="D1140" s="11" t="inlineStr">
        <is>
          <t>Reserve Bank's authority to inspect payment system premises</t>
        </is>
      </c>
      <c r="E1140" t="inlineStr">
        <is>
          <t>9</t>
        </is>
      </c>
      <c r="F1140" t="inlineStr">
        <is>
          <t>High</t>
        </is>
      </c>
      <c r="G1140" t="inlineStr">
        <is>
          <t>High (explicit)</t>
        </is>
      </c>
      <c r="H1140" s="11" t="inlineStr"/>
      <c r="I1140" s="11" t="inlineStr">
        <is>
          <t>Personal Information</t>
        </is>
      </c>
      <c r="J1140" t="inlineStr">
        <is>
          <t>Reserve Bank of India</t>
        </is>
      </c>
      <c r="K1140" s="11" t="inlineStr">
        <is>
          <t>Reserve Bank officers with written authorization may enter payment system premises and inspect equipment, including computer systems and documents, to ensure compliance with the Act or regulations. They can also require employees or individuals present to provide information or documents as needed for compliance checks.</t>
        </is>
      </c>
      <c r="L1140" s="11" t="inlineStr">
        <is>
          <t>This section grants the Reserve Bank the power to inspect payment system infrastructure, which impacts DTIA by requiring assessments of physical and digital access controls for cross-border payment systems.</t>
        </is>
      </c>
      <c r="M1140" s="11" t="inlineStr">
        <is>
          <t>• [Must] Reserve Bank officers with written authorization may enter payment system premises
• [Must] Reserve Bank officers may inspect any equipment, including computer systems or other documents
• [Must] Reserve Bank officers may require employees or individuals present to furnish information or documents</t>
        </is>
      </c>
      <c r="N1140" s="11" t="inlineStr">
        <is>
          <t>Any officer of the Reserve Bank duly authorised by it in writing in this behalf, may for ensuring compliance with the provisions of this Act or any regulations, enter any premises where a payment system is being operated and may inspect any equipment, including any computer system or other documents situated at such premises and call upon any employee of such system provider or participant thereof or any other person working in such premises to furnish such information or documents as may be required by such officer.</t>
        </is>
      </c>
      <c r="O1140" s="12" t="inlineStr">
        <is>
          <t>Open PDF</t>
        </is>
      </c>
    </row>
    <row r="1141">
      <c r="A1141" t="inlineStr">
        <is>
          <t>India</t>
        </is>
      </c>
      <c r="B1141" t="inlineStr">
        <is>
          <t>Payment and Settlement Systems Act, 2007 (India - Row 11)</t>
        </is>
      </c>
      <c r="C1141" t="inlineStr">
        <is>
          <t>15</t>
        </is>
      </c>
      <c r="D1141" s="11" t="inlineStr">
        <is>
          <t>Confidentiality of payment system information</t>
        </is>
      </c>
      <c r="E1141" t="inlineStr">
        <is>
          <t>9</t>
        </is>
      </c>
      <c r="F1141" t="inlineStr">
        <is>
          <t>High</t>
        </is>
      </c>
      <c r="G1141" t="inlineStr">
        <is>
          <t>High (explicit)</t>
        </is>
      </c>
      <c r="H1141" s="11" t="inlineStr">
        <is>
          <t>Data Sharing</t>
        </is>
      </c>
      <c r="I1141" s="11" t="inlineStr">
        <is>
          <t>Personal Information</t>
        </is>
      </c>
      <c r="J1141" t="inlineStr">
        <is>
          <t>Reserve Bank of India</t>
        </is>
      </c>
      <c r="K1141" s="11" t="inlineStr">
        <is>
          <t>Payment system information obtained by the Reserve Bank under sections 12-14 must be kept confidential, except when disclosure is necessary to protect payment system integrity, banking policy, monetary policy, or public interest. The Reserve Bank may disclose such information to specific persons for these purposes.</t>
        </is>
      </c>
      <c r="L1141" s="11" t="inlineStr">
        <is>
          <t>This section affects DTIA by establishing confidentiality rules for payment system data, which may require data minimization and secure handling during cross-border transfers.</t>
        </is>
      </c>
      <c r="M1141" s="11" t="inlineStr">
        <is>
          <t>• [Must] Any document or information obtained by the Reserve Bank under sections 12 to 14 shall be kept confidential
• [May] Reserve Bank may disclose information to persons necessary for protecting payment system integrity, effectiveness, or security
• [May] Reserve Bank may disclose information in the interest of banking or monetary policy
• [May] Reserve Bank may disclose information for the operation of payment systems generally or public interest</t>
        </is>
      </c>
      <c r="N1141" s="11" t="inlineStr">
        <is>
          <t>Any document or information obtained by the Reserve Bank under sections 12 to 14 (both inclusive) shall be kept confidential. Notwithstanding anything contained in sub-section (1), the Reserve Bank may disclose any document or information obtained by it under sections 12 to 14 (both inclusive) to any person to whom the disclosure of such document or information is considered necessary for protecting the integrity, effectiveness or security of the payment system, or in the interest of banking or monetary policy or the operation of the payment systems generally or in the public interest.</t>
        </is>
      </c>
      <c r="O1141" s="12" t="inlineStr">
        <is>
          <t>Open PDF</t>
        </is>
      </c>
    </row>
    <row r="1142">
      <c r="A1142" t="inlineStr">
        <is>
          <t>India</t>
        </is>
      </c>
      <c r="B1142" t="inlineStr">
        <is>
          <t>Payment and Settlement Systems Act, 2007 (India - Row 11)</t>
        </is>
      </c>
      <c r="C1142" t="inlineStr">
        <is>
          <t>16</t>
        </is>
      </c>
      <c r="D1142" s="11" t="inlineStr">
        <is>
          <t>Reserve Bank's audit and inspection authority</t>
        </is>
      </c>
      <c r="E1142" t="inlineStr">
        <is>
          <t>9</t>
        </is>
      </c>
      <c r="F1142" t="inlineStr">
        <is>
          <t>High</t>
        </is>
      </c>
      <c r="G1142" t="inlineStr">
        <is>
          <t>High (explicit)</t>
        </is>
      </c>
      <c r="H1142" s="11" t="inlineStr"/>
      <c r="I1142" s="11" t="inlineStr">
        <is>
          <t>Personal Information</t>
        </is>
      </c>
      <c r="J1142" t="inlineStr">
        <is>
          <t>Reserve Bank of India</t>
        </is>
      </c>
      <c r="K1142" s="11" t="inlineStr">
        <is>
          <t>The Reserve Bank may conduct or arrange for audits and inspections of payment systems and their participants to ensure compliance with the Act. System providers and participants must assist the Reserve Bank during these audits and inspections.</t>
        </is>
      </c>
      <c r="L1142" s="11" t="inlineStr">
        <is>
          <t>This section impacts DTIA by requiring regular audits of payment systems, which may necessitate data security assessments for cross-border data flows.</t>
        </is>
      </c>
      <c r="M1142" s="11" t="inlineStr">
        <is>
          <t>• [May] Reserve Bank may conduct or get conducted audits and inspections of payment systems or participants
• [Must] System providers and participants must assist Reserve Bank in carrying out audits or inspections</t>
        </is>
      </c>
      <c r="N1142" s="11" t="inlineStr">
        <is>
          <t>The Reserve Bank may, for the purpose of carrying out its functions under this Act, conduct or get conducted audits and inspections of a payment system or participants thereof and it shall be the duty of the system provider and the system participants to assist the Reserve Bank to carry out such audit or inspection, as the case may be.</t>
        </is>
      </c>
      <c r="O1142" s="12" t="inlineStr">
        <is>
          <t>Open PDF</t>
        </is>
      </c>
    </row>
    <row r="1143">
      <c r="A1143" t="inlineStr">
        <is>
          <t>India</t>
        </is>
      </c>
      <c r="B1143" t="inlineStr">
        <is>
          <t>Payment and Settlement Systems Act, 2007 (India - Row 11)</t>
        </is>
      </c>
      <c r="C1143" t="inlineStr">
        <is>
          <t>17</t>
        </is>
      </c>
      <c r="D1143" s="11" t="inlineStr">
        <is>
          <t>Reserve Bank's power to issue risk-related directions</t>
        </is>
      </c>
      <c r="E1143" t="inlineStr">
        <is>
          <t>9</t>
        </is>
      </c>
      <c r="F1143" t="inlineStr">
        <is>
          <t>High</t>
        </is>
      </c>
      <c r="G1143" t="inlineStr">
        <is>
          <t>High (explicit)</t>
        </is>
      </c>
      <c r="H1143" s="11" t="inlineStr"/>
      <c r="I1143" s="11" t="inlineStr">
        <is>
          <t>Personal Information</t>
        </is>
      </c>
      <c r="J1143" t="inlineStr">
        <is>
          <t>Reserve Bank of India</t>
        </is>
      </c>
      <c r="K1143" s="11" t="inlineStr">
        <is>
          <t>The Reserve Bank may issue written directions to payment systems or participants to cease activities causing systemic risk or to take corrective actions if they are likely to affect monetary policy, credit policy, or payment system stability.</t>
        </is>
      </c>
      <c r="L1143" s="11" t="inlineStr">
        <is>
          <t>This section is critical for DTIA as it mandates risk-based interventions, requiring assessments of systemic risks in cross-border payment systems.</t>
        </is>
      </c>
      <c r="M1143" s="11" t="inlineStr">
        <is>
          <t>• [May] Reserve Bank may issue directions to cease acts causing systemic risk inadequately controlled
• [May] Reserve Bank may issue directions to ensure system participants cease risky activities
• [May] Reserve Bank may issue directions to perform necessary acts to remedy situations</t>
        </is>
      </c>
      <c r="N1143" s="11" t="inlineStr">
        <is>
          <t>Where the Reserve Bank is of the opinion that, a payment system or a system participant is engaging in, or is about to engage in, any act, omission or course of conduct that results, or is likely to result, in systemic risk being inadequately controlled; or any action under clause (a) is likely to affect the payment system, the monetary policy or the credit policy of the country, the Reserve Bank may issue directions in writing to such payment system or system participant requiring it, within such time as the Reserve Bank may specify— (i) to cease and desist from engaging in the act, omission or course of conduct or to ensure the system participants to cease and desist from the act, omission or course of conduct; or (ii) to perform such acts as may be necessary, in the opinion of the Reserve Bank, to remedy the situation.</t>
        </is>
      </c>
      <c r="O1143" s="12" t="inlineStr">
        <is>
          <t>Open PDF</t>
        </is>
      </c>
    </row>
    <row r="1144">
      <c r="A1144" t="inlineStr">
        <is>
          <t>India</t>
        </is>
      </c>
      <c r="B1144" t="inlineStr">
        <is>
          <t>Payment and Settlement Systems Act, 2007 (India - Row 11)</t>
        </is>
      </c>
      <c r="C1144" t="inlineStr">
        <is>
          <t>18</t>
        </is>
      </c>
      <c r="D1144" s="11" t="inlineStr">
        <is>
          <t>Reserve Bank's general policy-making authority</t>
        </is>
      </c>
      <c r="E1144" t="inlineStr">
        <is>
          <t>9</t>
        </is>
      </c>
      <c r="F1144" t="inlineStr">
        <is>
          <t>High</t>
        </is>
      </c>
      <c r="G1144" t="inlineStr">
        <is>
          <t>High (explicit)</t>
        </is>
      </c>
      <c r="H1144" s="11" t="inlineStr"/>
      <c r="I1144" s="11" t="inlineStr">
        <is>
          <t>Personal Information</t>
        </is>
      </c>
      <c r="J1144" t="inlineStr">
        <is>
          <t>Reserve Bank of India</t>
        </is>
      </c>
      <c r="K1144" s="11" t="inlineStr">
        <is>
          <t>The Reserve Bank may establish policies and directions for payment systems, including electronic and international payment systems, to regulate their operation and ensure public interest, monetary policy, and system stability.</t>
        </is>
      </c>
      <c r="L1144" s="11" t="inlineStr">
        <is>
          <t>This section impacts DTIA by allowing the Reserve Bank to set overarching rules for payment systems, which may affect cross-border data handling and system design.</t>
        </is>
      </c>
      <c r="M1144" s="11" t="inlineStr">
        <is>
          <t>• [May] Reserve Bank may lay down policies for payment systems including electronic and international payment systems
• [May] Reserve Bank may issue directions to system providers or participants for payment system regulation</t>
        </is>
      </c>
      <c r="N1144" s="11" t="inlineStr">
        <is>
          <t>Without prejudice to the provisions of the foregoing, the Reserve Bank may, if it is satisfied that for the purpose of enabling it to regulate the payment systems or in the interest of management or operation of any of the payment systems or in public interest, it is necessary so to do, lay down policies relating to the regulation of payment systems including electronic, non-electronic, domestic and international payment systems affecting domestic transactions and give such directions in writing as it may consider necessary to system providers or the system participants or any other person either generally or to any such agency and in particular, pertaining to the conduct of business relating to payment systems.</t>
        </is>
      </c>
      <c r="O1144" s="12" t="inlineStr">
        <is>
          <t>Open PDF</t>
        </is>
      </c>
    </row>
    <row r="1145">
      <c r="A1145" t="inlineStr">
        <is>
          <t>India</t>
        </is>
      </c>
      <c r="B1145" t="inlineStr">
        <is>
          <t>Payment and Settlement Systems Act, 2007 (India - Row 11)</t>
        </is>
      </c>
      <c r="C1145" t="inlineStr">
        <is>
          <t>19</t>
        </is>
      </c>
      <c r="D1145" s="11" t="inlineStr">
        <is>
          <t>Compliance with Reserve Bank directions</t>
        </is>
      </c>
      <c r="E1145" t="inlineStr">
        <is>
          <t>9–10</t>
        </is>
      </c>
      <c r="F1145" t="inlineStr">
        <is>
          <t>High</t>
        </is>
      </c>
      <c r="G1145" t="inlineStr">
        <is>
          <t>High (explicit)</t>
        </is>
      </c>
      <c r="H1145" s="11" t="inlineStr"/>
      <c r="I1145" s="11" t="inlineStr">
        <is>
          <t>Personal Information</t>
        </is>
      </c>
      <c r="J1145" t="inlineStr">
        <is>
          <t>Reserve Bank of India</t>
        </is>
      </c>
      <c r="K1145" s="11" t="inlineStr">
        <is>
          <t>All persons receiving directions from the Reserve Bank under this Act must comply immediately and submit a report of compliance within the timeframe specified by the Reserve Bank.</t>
        </is>
      </c>
      <c r="L1145" s="11" t="inlineStr">
        <is>
          <t>This section is relevant for DTIA as it mandates timely compliance with regulatory directions, which may impact cross-border data transfer timelines and procedures.</t>
        </is>
      </c>
      <c r="M1145" s="11" t="inlineStr">
        <is>
          <t>• [Must] Every person to whom a direction has been issued by the Reserve Bank shall comply without delay
• [Must] Compliance report must be furnished to the Reserve Bank within the time allowed</t>
        </is>
      </c>
      <c r="N1145" s="11" t="inlineStr">
        <is>
          <t>Every person to whom a direction has been issued by the Reserve Bank under this Act shall comply with such direction without any delay and a report of compliance shall be furnished to the Reserve Bank within the time allowed by it.</t>
        </is>
      </c>
      <c r="O1145" s="12" t="inlineStr">
        <is>
          <t>Open PDF</t>
        </is>
      </c>
    </row>
    <row r="1146">
      <c r="A1146" t="inlineStr">
        <is>
          <t>India</t>
        </is>
      </c>
      <c r="B1146" t="inlineStr">
        <is>
          <t>Payment and Settlement Systems Act, 2007 (India - Row 11)</t>
        </is>
      </c>
      <c r="C1146" t="inlineStr">
        <is>
          <t>20</t>
        </is>
      </c>
      <c r="D1146" s="11" t="inlineStr">
        <is>
          <t>System providers must comply with payment system regulations</t>
        </is>
      </c>
      <c r="E1146" t="inlineStr">
        <is>
          <t>10</t>
        </is>
      </c>
      <c r="F1146" t="inlineStr">
        <is>
          <t>High</t>
        </is>
      </c>
      <c r="G1146" t="inlineStr">
        <is>
          <t>High (explicit)</t>
        </is>
      </c>
      <c r="H1146" s="11" t="inlineStr">
        <is>
          <t>Cross-border Transfer, Financial Data</t>
        </is>
      </c>
      <c r="I1146" s="11" t="inlineStr">
        <is>
          <t>Financial Data</t>
        </is>
      </c>
      <c r="J1146" t="inlineStr">
        <is>
          <t>Reserve Bank of India</t>
        </is>
      </c>
      <c r="K1146" s="11" t="inlineStr">
        <is>
          <t>Every system provider operating a payment system in India must adhere to the Payment and Settlement Systems Act, 2007, relevant regulations, contractual agreements with participants, payment system rules, authorization conditions, and Reserve Bank directives. This obligation applies to all system providers managing payment systems within the Indian financial infrastructure.</t>
        </is>
      </c>
      <c r="L1146" s="11" t="inlineStr">
        <is>
          <t>System providers must follow regulatory frameworks for payment systems, which impacts cross-border data transfers by requiring compliance with Indian financial regulations for payment processing.</t>
        </is>
      </c>
      <c r="M1146" s="11" t="inlineStr">
        <is>
          <t>• [Must] System provider shall operate payment system in accordance with this Act, regulations, contracts, payment system rules, authorization conditions, and Reserve Bank directions</t>
        </is>
      </c>
      <c r="N1146" s="11" t="inlineStr">
        <is>
          <t>Every system provider shall operate the payment system in accordance with the provisions of this Act, the regulations, the contract governing the relationship among the system participants, the rules and regulations which deal with the operation of the payment system and the conditions subject to which the authorisation is issued, and the directions given by the Reserve Bank from time to time.</t>
        </is>
      </c>
      <c r="O1146" s="12" t="inlineStr">
        <is>
          <t>Open PDF</t>
        </is>
      </c>
    </row>
    <row r="1147">
      <c r="A1147" t="inlineStr">
        <is>
          <t>India</t>
        </is>
      </c>
      <c r="B1147" t="inlineStr">
        <is>
          <t>Payment and Settlement Systems Act, 2007 (India - Row 11)</t>
        </is>
      </c>
      <c r="C1147" t="inlineStr">
        <is>
          <t>21</t>
        </is>
      </c>
      <c r="D1147" s="11" t="inlineStr">
        <is>
          <t>System providers must disclose payment terms to participants</t>
        </is>
      </c>
      <c r="E1147" t="inlineStr">
        <is>
          <t>10</t>
        </is>
      </c>
      <c r="F1147" t="inlineStr">
        <is>
          <t>High</t>
        </is>
      </c>
      <c r="G1147" t="inlineStr">
        <is>
          <t>High (explicit)</t>
        </is>
      </c>
      <c r="H1147" s="11" t="inlineStr">
        <is>
          <t>Cross-border Transfer, Financial Data</t>
        </is>
      </c>
      <c r="I1147" s="11" t="inlineStr">
        <is>
          <t>Financial Data</t>
        </is>
      </c>
      <c r="J1147" t="inlineStr">
        <is>
          <t>Reserve Bank of India</t>
        </is>
      </c>
      <c r="K1147" s="11" t="inlineStr">
        <is>
          <t>System providers in India must provide existing or potential participants with payment system terms, conditions, charges, liability limitations, copies of operational rules, netting arrangements, and relevant documents. This duty also requires maintaining standards as determined by the Act.</t>
        </is>
      </c>
      <c r="L1147" s="11" t="inlineStr">
        <is>
          <t>System providers must disclose payment terms to participants, which affects data transfer by requiring transparency in payment system operations.</t>
        </is>
      </c>
      <c r="M1147" s="11" t="inlineStr">
        <is>
          <t>• [Must] System provider shall disclose terms and conditions including charges and liability limitations to existing or potential system participants
• [Must] System provider shall supply copies of payment system rules, regulations, netting arrangements, and relevant documents
• [Must] System provider shall maintain standards determined under this Act</t>
        </is>
      </c>
      <c r="N1147" s="11" t="inlineStr">
        <is>
          <t>Every system provider shall disclose to the existing or potential system participants, the terms and conditions including the charges and the limitations of liability under the payment system, supply them with copies of the rules and regulations governing the operation of the payment system, netting arrangements and other relevant documents.</t>
        </is>
      </c>
      <c r="O1147" s="12" t="inlineStr">
        <is>
          <t>Open PDF</t>
        </is>
      </c>
    </row>
    <row r="1148">
      <c r="A1148" t="inlineStr">
        <is>
          <t>India</t>
        </is>
      </c>
      <c r="B1148" t="inlineStr">
        <is>
          <t>Payment and Settlement Systems Act, 2007 (India - Row 11)</t>
        </is>
      </c>
      <c r="C1148" t="inlineStr">
        <is>
          <t>22</t>
        </is>
      </c>
      <c r="D1148" s="11" t="inlineStr">
        <is>
          <t>System providers must keep payment documents confidential</t>
        </is>
      </c>
      <c r="E1148" t="inlineStr">
        <is>
          <t>10</t>
        </is>
      </c>
      <c r="F1148" t="inlineStr">
        <is>
          <t>High</t>
        </is>
      </c>
      <c r="G1148" t="inlineStr">
        <is>
          <t>High (explicit)</t>
        </is>
      </c>
      <c r="H1148" s="11" t="inlineStr">
        <is>
          <t>Cross-border Transfer, Financial Data</t>
        </is>
      </c>
      <c r="I1148" s="11" t="inlineStr">
        <is>
          <t>Financial Data</t>
        </is>
      </c>
      <c r="J1148" t="inlineStr">
        <is>
          <t>Reserve Bank of India</t>
        </is>
      </c>
      <c r="K1148" s="11" t="inlineStr">
        <is>
          <t>System providers in India must not disclose payment documents or information to third parties without express or implied consent of the participant, court order, or statutory authority. The Bankers' Book Evidence Act, 1891 applies to information maintained by system providers.</t>
        </is>
      </c>
      <c r="L1148" s="11" t="inlineStr">
        <is>
          <t>System providers must maintain confidentiality of payment documents, which impacts data transfers by requiring secure handling of payment information.</t>
        </is>
      </c>
      <c r="M1148" s="11" t="inlineStr">
        <is>
          <t>• [Must Not] System provider shall not disclose existence or contents of payment documents to any other person
• [Must Not] Disclosure permitted only with express or implied consent of system participant
• [Must Not] Disclosure permitted where required by this Act
• [Must Not] Disclosure permitted where ordered by court of competent jurisdiction or statutory authority</t>
        </is>
      </c>
      <c r="N1148" s="11" t="inlineStr">
        <is>
          <t>A system provider shall not disclose to any other person the existence or contents of any document or part thereof or other information given to him by a system participant, except where such disclosure is required under the provisions of this Act or the disclosure is made with the express or implied consent of the system participant concerned or where such disclosure is in obedience to the orders passed by a court of competent jurisdiction or a statutory authority in exercise of the powers conferred by a statute.</t>
        </is>
      </c>
      <c r="O1148" s="12" t="inlineStr">
        <is>
          <t>Open PDF</t>
        </is>
      </c>
    </row>
    <row r="1149">
      <c r="A1149" t="inlineStr">
        <is>
          <t>India</t>
        </is>
      </c>
      <c r="B1149" t="inlineStr">
        <is>
          <t>Payment and Settlement Systems Act, 2007 (India - Row 11)</t>
        </is>
      </c>
      <c r="C1149" t="inlineStr">
        <is>
          <t>23</t>
        </is>
      </c>
      <c r="D1149" s="11" t="inlineStr">
        <is>
          <t>Settlement procedures must be final and irrevocable</t>
        </is>
      </c>
      <c r="E1149" t="inlineStr">
        <is>
          <t>10</t>
        </is>
      </c>
      <c r="F1149" t="inlineStr">
        <is>
          <t>High</t>
        </is>
      </c>
      <c r="G1149" t="inlineStr">
        <is>
          <t>High (explicit)</t>
        </is>
      </c>
      <c r="H1149" s="11" t="inlineStr">
        <is>
          <t>Cross-border Transfer, Financial Data</t>
        </is>
      </c>
      <c r="I1149" s="11" t="inlineStr">
        <is>
          <t>Financial Data</t>
        </is>
      </c>
      <c r="J1149" t="inlineStr">
        <is>
          <t>Reserve Bank of India</t>
        </is>
      </c>
      <c r="K1149" s="11" t="inlineStr">
        <is>
          <t>Payment obligations among system participants must follow gross or netting procedures approved by the Reserve Bank. Settlements are final and irrevocable, and liquidators cannot reopen them. Central counter parties must determine settlement instructions in accordance with approved procedures.</t>
        </is>
      </c>
      <c r="L1149" s="11" t="inlineStr">
        <is>
          <t>Settlement procedures must be final and irrevocable, which affects cross-border data transfers by requiring secure and final payment processing.</t>
        </is>
      </c>
      <c r="M1149" s="11" t="inlineStr">
        <is>
          <t>• [Must] Payment obligations and settlement instructions must follow gross or netting procedure approved by Reserve Bank
• [Must] Settlement procedures shall be final and irrevocable
• [Must Not] Liquidators cannot reopen final and irrevocable settlements
• [Must] Liquidators must return excess collaterals to system participants</t>
        </is>
      </c>
      <c r="N1149" s="11" t="inlineStr">
        <is>
          <t>The payment obligations and settlement instructions among the system participants shall be determined in accordance with the gross or netting procedure, as the case maybe, approved by the Reserve Bank while issuing authorisation to a payment system... A settlement effected under such procedure shall be final and irrevocable.</t>
        </is>
      </c>
      <c r="O1149" s="12" t="inlineStr">
        <is>
          <t>Open PDF</t>
        </is>
      </c>
    </row>
    <row r="1150">
      <c r="A1150" t="inlineStr">
        <is>
          <t>India</t>
        </is>
      </c>
      <c r="B1150" t="inlineStr">
        <is>
          <t>Payment and Settlement Systems Act, 2007 (India - Row 11)</t>
        </is>
      </c>
      <c r="C1150" t="inlineStr">
        <is>
          <t>24</t>
        </is>
      </c>
      <c r="D1150" s="11" t="inlineStr">
        <is>
          <t>Dispute resolution mechanism for payment system participants</t>
        </is>
      </c>
      <c r="E1150" t="inlineStr">
        <is>
          <t>12</t>
        </is>
      </c>
      <c r="F1150" t="inlineStr">
        <is>
          <t>High</t>
        </is>
      </c>
      <c r="G1150" t="inlineStr">
        <is>
          <t>High (explicit)</t>
        </is>
      </c>
      <c r="H1150" s="11" t="inlineStr"/>
      <c r="I1150" s="11" t="inlineStr">
        <is>
          <t>Financial Data</t>
        </is>
      </c>
      <c r="J1150" t="inlineStr">
        <is>
          <t>Reserve Bank</t>
        </is>
      </c>
      <c r="K1150" s="11" t="inlineStr">
        <is>
          <t>System providers must establish a dispute resolution panel of at least three participants to resolve conflicts between system participants regarding payment system operations. Disputes between participants must be referred to this panel. If participants are unsatisfied with the panel's decision or disputes involve the system provider, the matter must be escalated to the Reserve Bank for final adjudication. The Reserve Bank's decision is binding and final.</t>
        </is>
      </c>
      <c r="L1150" s="11" t="inlineStr">
        <is>
          <t>Requires a structured dispute resolution process involving independent participants before escalation to the Reserve Bank, impacting cross-border payment system data handling and dispute resolution mechanisms.</t>
        </is>
      </c>
      <c r="M1150" s="11" t="inlineStr">
        <is>
          <t>• [Must] System provider must create a dispute resolution panel of at least three system participants
• [Must] Disputes between system participants must be referred to the panel
• [Must] Disputes involving system provider or panel decisions must be escalated to Reserve Bank
• [Must] Reserve Bank's decision on escalated disputes is final and binding</t>
        </is>
      </c>
      <c r="N1150" s="11" t="inlineStr">
        <is>
          <t>24. Settlement of disputes.—(1) The system provider shall make provision in its rules or regulations for creation of panel consisting of not less than three system participants other than the system participants who are parties to the dispute to decide the disputes between system participants in respect of any matter connected with the operation of the payment system.</t>
        </is>
      </c>
      <c r="O1150" s="12" t="inlineStr">
        <is>
          <t>Open PDF</t>
        </is>
      </c>
    </row>
    <row r="1151">
      <c r="A1151" t="inlineStr">
        <is>
          <t>India</t>
        </is>
      </c>
      <c r="B1151" t="inlineStr">
        <is>
          <t>Payment and Settlement Systems Act, 2007 (India - Row 11)</t>
        </is>
      </c>
      <c r="C1151" t="inlineStr">
        <is>
          <t>25</t>
        </is>
      </c>
      <c r="D1151" s="11" t="inlineStr">
        <is>
          <t>Penalties for dishonoured electronic funds transfers</t>
        </is>
      </c>
      <c r="E1151" t="inlineStr">
        <is>
          <t>12–13</t>
        </is>
      </c>
      <c r="F1151" t="inlineStr">
        <is>
          <t>High</t>
        </is>
      </c>
      <c r="G1151" t="inlineStr">
        <is>
          <t>High (explicit)</t>
        </is>
      </c>
      <c r="H1151" s="11" t="inlineStr">
        <is>
          <t>Financial Data</t>
        </is>
      </c>
      <c r="I1151" s="11" t="inlineStr">
        <is>
          <t>Financial Data</t>
        </is>
      </c>
      <c r="J1151" t="inlineStr">
        <is>
          <t>Reserve Bank</t>
        </is>
      </c>
      <c r="K1151" s="11" t="inlineStr">
        <is>
          <t>Initiating electronic funds transfers with insufficient funds constitutes an offence punishable by imprisonment up to two years or a fine up to twice the transfer amount. The offence applies only if the transfer was for debt discharge, followed by written beneficiary demand within 30 days, and failure to pay within 15 days. The court presumes the transfer was for debt discharge unless proven otherwise.</t>
        </is>
      </c>
      <c r="L1151" s="11" t="inlineStr">
        <is>
          <t>Defines specific conditions under which electronic funds transfers with insufficient funds trigger penalties, impacting financial data handling and transfer validation processes.</t>
        </is>
      </c>
      <c r="M1151" s="11" t="inlineStr">
        <is>
          <t>• [Must] Person initiating transfer with insufficient funds commits offence punishable by imprisonment up to two years or fine up to twice transfer amount
• [Must] Transfer must be for debt discharge to apply
• [Must] Beneficiary must give written demand within 30 days of dishonour
• [Must] Initiator must pay within 15 days of written demand
• [Must] Court presumes transfer was for debt discharge unless proven otherwise</t>
        </is>
      </c>
      <c r="N1151" s="11" t="inlineStr">
        <is>
          <t>25. Dishonour of electronic funds transfer for insufficiency, etc., of funds in the account.—(1) Where an electronic funds transfer initiated by a person from an account maintained by him cannot be executed on the ground that the amount of money standing to the credit of that account is insufficient to honour the transfer instruction or that it exceeds the amount arranged to be paid from that account by an agreement made with a bank, such person shall be deemed to have committed an offence and shall, without prejudice to any other provisions of this Act, be punished with imprisonment for a term which may extend to two years, or with fine which may extend to twice the amount of the electronic funds transfer, or with both</t>
        </is>
      </c>
      <c r="O1151" s="12" t="inlineStr">
        <is>
          <t>Open PDF</t>
        </is>
      </c>
    </row>
    <row r="1152">
      <c r="A1152" t="inlineStr">
        <is>
          <t>India</t>
        </is>
      </c>
      <c r="B1152" t="inlineStr">
        <is>
          <t>Payment and Settlement Systems Act, 2007 (India - Row 11)</t>
        </is>
      </c>
      <c r="C1152" t="inlineStr">
        <is>
          <t>26</t>
        </is>
      </c>
      <c r="D1152" s="11" t="inlineStr">
        <is>
          <t>Penalties for non-compliance with payment system regulations</t>
        </is>
      </c>
      <c r="E1152" t="inlineStr">
        <is>
          <t>13</t>
        </is>
      </c>
      <c r="F1152" t="inlineStr">
        <is>
          <t>High</t>
        </is>
      </c>
      <c r="G1152" t="inlineStr">
        <is>
          <t>High (explicit)</t>
        </is>
      </c>
      <c r="H1152" s="11" t="inlineStr">
        <is>
          <t>Financial Data</t>
        </is>
      </c>
      <c r="I1152" s="11" t="inlineStr">
        <is>
          <t>Financial Data</t>
        </is>
      </c>
      <c r="J1152" t="inlineStr">
        <is>
          <t>Reserve Bank</t>
        </is>
      </c>
      <c r="K1152" s="11" t="inlineStr">
        <is>
          <t>Violations of payment system regulations incur penalties including imprisonment up to ten years, fines up to one crore rupees, and daily fines up to one lakh rupees. False statements in applications or returns are punishable by imprisonment up to three years and fines from ten lakh to fifty lakh rupees. Failure to produce required documents or comply with inspections results in penalties as specified in section 30.</t>
        </is>
      </c>
      <c r="L1152" s="11" t="inlineStr">
        <is>
          <t>Imposes strict penalties for non-compliance with payment system data handling and reporting requirements, affecting financial data accuracy and regulatory adherence.</t>
        </is>
      </c>
      <c r="M1152" s="11" t="inlineStr">
        <is>
          <t>• [Must] Contravention of section 4 or failure to comply with authorisation terms incurs imprisonment up to ten years or fine up to one crore rupees
• [Must] False statements in applications or returns punishable by imprisonment up to three years and fines from ten lakh to fifty lakh rupees
• [Must] Failure to produce required documents or comply with inspections incurs penalties as per section 30</t>
        </is>
      </c>
      <c r="N1152" s="11" t="inlineStr">
        <is>
          <t>26. Penalties.—(1)Where a person contravenes the provisions of section 4 or fails to comply with the terms and conditions subject to which the authorisation has been issued under section 7, he shall be punishable with imprisonment for a term which shall not be less than one month but which may extend to ten years or with fine which may extend to one crore rupees or with both</t>
        </is>
      </c>
      <c r="O1152" s="12" t="inlineStr">
        <is>
          <t>Open PDF</t>
        </is>
      </c>
    </row>
    <row r="1153">
      <c r="A1153" t="inlineStr">
        <is>
          <t>India</t>
        </is>
      </c>
      <c r="B1153" t="inlineStr">
        <is>
          <t>Payment and Settlement Systems Act, 2007 (India - Row 11)</t>
        </is>
      </c>
      <c r="C1153" t="inlineStr">
        <is>
          <t>27</t>
        </is>
      </c>
      <c r="D1153" s="11" t="inlineStr">
        <is>
          <t>Company liability for payment system offences</t>
        </is>
      </c>
      <c r="E1153" t="inlineStr">
        <is>
          <t>14</t>
        </is>
      </c>
      <c r="F1153" t="inlineStr">
        <is>
          <t>High</t>
        </is>
      </c>
      <c r="G1153" t="inlineStr">
        <is>
          <t>High (explicit)</t>
        </is>
      </c>
      <c r="H1153" s="11" t="inlineStr">
        <is>
          <t>Financial Data</t>
        </is>
      </c>
      <c r="I1153" s="11" t="inlineStr">
        <is>
          <t>Financial Data</t>
        </is>
      </c>
      <c r="J1153" t="inlineStr">
        <is>
          <t>Reserve Bank</t>
        </is>
      </c>
      <c r="K1153" s="11" t="inlineStr">
        <is>
          <t>Companies committing payment system offences are liable for the contravention by all persons responsible for business operations. Directors, managers, and officers are also liable if the contravention occurred with their consent or neglect. Individuals may avoid liability by proving they were unaware or exercised due diligence.</t>
        </is>
      </c>
      <c r="L1153" s="11" t="inlineStr">
        <is>
          <t>Clarifies liability for payment system offences within companies, impacting data handling responsibilities across organizational structures.</t>
        </is>
      </c>
      <c r="M1153" s="11" t="inlineStr">
        <is>
          <t>• [Must] Company and responsible persons liable for contraventions
• [Must] Directors, managers, and officers liable if contravention occurred with consent or neglect
• [Must] Individuals may avoid liability by proving unawareness or due diligence</t>
        </is>
      </c>
      <c r="N1153" s="11" t="inlineStr">
        <is>
          <t>27. Offences by companies.—(1) Where a person committing a contravention of any of the provisions of this Act or any regulation, direction or order made thereunder is a company, every person who, at the time of the contravention, was in-charge of, and was responsible to, the company for the conduct of business of the company, as well as the company, shall be guilty of the contravention and shall be liable to be proceeded against and punished accordingly</t>
        </is>
      </c>
      <c r="O1153" s="12" t="inlineStr">
        <is>
          <t>Open PDF</t>
        </is>
      </c>
    </row>
    <row r="1154">
      <c r="A1154" t="inlineStr">
        <is>
          <t>India</t>
        </is>
      </c>
      <c r="B1154" t="inlineStr">
        <is>
          <t>Payment and Settlement Systems Act, 2007 (India - Row 11)</t>
        </is>
      </c>
      <c r="C1154" t="inlineStr">
        <is>
          <t>28</t>
        </is>
      </c>
      <c r="D1154" s="11" t="inlineStr">
        <is>
          <t>Cognizance of payment system offences</t>
        </is>
      </c>
      <c r="E1154" t="inlineStr">
        <is>
          <t>14</t>
        </is>
      </c>
      <c r="F1154" t="inlineStr">
        <is>
          <t>High</t>
        </is>
      </c>
      <c r="G1154" t="inlineStr">
        <is>
          <t>High (explicit)</t>
        </is>
      </c>
      <c r="H1154" s="11" t="inlineStr">
        <is>
          <t>Financial Data</t>
        </is>
      </c>
      <c r="I1154" s="11" t="inlineStr">
        <is>
          <t>Financial Data</t>
        </is>
      </c>
      <c r="J1154" t="inlineStr">
        <is>
          <t>Reserve Bank</t>
        </is>
      </c>
      <c r="K1154" s="11" t="inlineStr">
        <is>
          <t>Courts may only take cognizance of payment system offences through written complaints from Reserve Bank officers. The court may dispense with personal attendance of the Reserve Bank officer but may require the complainant's attendance. Offences under section 25 can be prosecuted by the affected party.</t>
        </is>
      </c>
      <c r="L1154" s="11" t="inlineStr">
        <is>
          <t>Specifies how courts handle payment system offences, impacting legal procedures for data-related disputes.</t>
        </is>
      </c>
      <c r="M1154" s="11" t="inlineStr">
        <is>
          <t>• [Must] Courts may only take cognizance of offences through written complaints from Reserve Bank officers
• [Must] Courts may dispense with personal attendance of Reserve Bank officer but may require complainant's attendance
• [Must] Section 25 offences may be prosecuted by affected party</t>
        </is>
      </c>
      <c r="N1154" s="11" t="inlineStr">
        <is>
          <t>28. Cognizance of offences.—(1) No court shall take cognizance of an offence punishable under this Act except upon a complaint in writing made by an officer of the Reserve Bank generally or specially authorised by it in writing in this behalf</t>
        </is>
      </c>
      <c r="O1154" s="12" t="inlineStr">
        <is>
          <t>Open PDF</t>
        </is>
      </c>
    </row>
    <row r="1155">
      <c r="A1155" t="inlineStr">
        <is>
          <t>India</t>
        </is>
      </c>
      <c r="B1155" t="inlineStr">
        <is>
          <t>Payment and Settlement Systems Act, 2007 (India - Row 11)</t>
        </is>
      </c>
      <c r="C1155" t="inlineStr">
        <is>
          <t>29</t>
        </is>
      </c>
      <c r="D1155" s="11" t="inlineStr">
        <is>
          <t>Application of fines to court costs</t>
        </is>
      </c>
      <c r="E1155" t="inlineStr">
        <is>
          <t>14</t>
        </is>
      </c>
      <c r="F1155" t="inlineStr">
        <is>
          <t>Low</t>
        </is>
      </c>
      <c r="G1155" t="inlineStr">
        <is>
          <t>High (explicit)</t>
        </is>
      </c>
      <c r="H1155" s="11" t="inlineStr"/>
      <c r="I1155" s="11" t="inlineStr"/>
      <c r="J1155" t="inlineStr"/>
      <c r="K1155" s="11" t="inlineStr">
        <is>
          <t>Courts imposing fines under this Act may direct that the entire fine or part thereof be applied to cover the costs of the proceedings. This applies to any court enforcing penalties under the Payment and Settlement Systems Act, 2007.</t>
        </is>
      </c>
      <c r="L1155" s="11" t="inlineStr"/>
      <c r="M1155" s="11" t="inlineStr">
        <is>
          <t>• [Must] A court imposing any fine under this Act may direct that the whole or any part thereof shall be applied in, or towards payment of, the costs of the proceedings</t>
        </is>
      </c>
      <c r="N1155" s="11" t="inlineStr">
        <is>
          <t>29. Application of fine.—A court imposing any fine under this Act may direct that the whole or any part thereof shall be applied in, or towards payment of, the costs of the proceedings.</t>
        </is>
      </c>
      <c r="O1155" s="12" t="inlineStr">
        <is>
          <t>Open PDF</t>
        </is>
      </c>
    </row>
    <row r="1156">
      <c r="A1156" t="inlineStr">
        <is>
          <t>India</t>
        </is>
      </c>
      <c r="B1156" t="inlineStr">
        <is>
          <t>Payment and Settlement Systems Act, 2007 (India - Row 11)</t>
        </is>
      </c>
      <c r="C1156" t="inlineStr">
        <is>
          <t>30</t>
        </is>
      </c>
      <c r="D1156" s="11" t="inlineStr">
        <is>
          <t>Reserve Bank penalty powers</t>
        </is>
      </c>
      <c r="E1156" t="inlineStr">
        <is>
          <t>14</t>
        </is>
      </c>
      <c r="F1156" t="inlineStr">
        <is>
          <t>High</t>
        </is>
      </c>
      <c r="G1156" t="inlineStr">
        <is>
          <t>High (explicit)</t>
        </is>
      </c>
      <c r="H1156" s="11" t="inlineStr"/>
      <c r="I1156" s="11" t="inlineStr"/>
      <c r="J1156" t="inlineStr">
        <is>
          <t>Reserve Bank of India</t>
        </is>
      </c>
      <c r="K1156" s="11" t="inlineStr">
        <is>
          <t>The Reserve Bank may impose penalties up to ten lakh rupees or twice the amount involved in contraventions, whichever is higher. For continuing defaults, penalties may be levied daily up to twenty-five thousand rupees. The Reserve Bank must serve a notice requiring the defaulter to show cause why the penalty should not be imposed and provide a hearing opportunity.</t>
        </is>
      </c>
      <c r="L1156" s="11" t="inlineStr"/>
      <c r="M1156" s="11" t="inlineStr">
        <is>
          <t>• [May] The Reserve Bank may impose on the person contravening or committing default a penalty not exceeding ten lakh rupees or twice the amount involved in such contravention or default where such amount is quantifiable, whichever is more
• [May] For continuing defaults, the Reserve Bank may impose further penalties extending to twenty-five thousand rupees for every day after the first during which the contravention or default continues
• [Must] The Reserve Bank shall serve a notice on the defaulter requiring him to show cause why the amount specified in the notice should not be imposed as a penalty and a reasonable opportunity of being heard shall also be given to such defaulter</t>
        </is>
      </c>
      <c r="N1156" s="11" t="inlineStr">
        <is>
          <t>30. Power of Reserve Bank to impose 2[penalties].—(1) Notwithstanding anything contained in section 26, if a contravention or default of the nature referred to in sub-section (2) 3[or sub-section (3)] or sub-section (6) of section 26, as the case may be, the Reserve Bank may impose on the person contravening or committing default a penalty not exceeding 4[ten lakh] rupees or twice the amount involved in such contravention or default where such amount is quantifiable, whichever is more, and where such contravention or default is a continuing one, a further penalty which may extend to twenty-five thousand rupees for every day after the first during which the contravention or default continues.</t>
        </is>
      </c>
      <c r="O1156" s="12" t="inlineStr">
        <is>
          <t>Open PDF</t>
        </is>
      </c>
    </row>
    <row r="1157">
      <c r="A1157" t="inlineStr">
        <is>
          <t>India</t>
        </is>
      </c>
      <c r="B1157" t="inlineStr">
        <is>
          <t>Payment and Settlement Systems Act, 2007 (India - Row 11)</t>
        </is>
      </c>
      <c r="C1157" t="inlineStr">
        <is>
          <t>31</t>
        </is>
      </c>
      <c r="D1157" s="11" t="inlineStr">
        <is>
          <t>Compounding of offences</t>
        </is>
      </c>
      <c r="E1157" t="inlineStr">
        <is>
          <t>15</t>
        </is>
      </c>
      <c r="F1157" t="inlineStr">
        <is>
          <t>High</t>
        </is>
      </c>
      <c r="G1157" t="inlineStr">
        <is>
          <t>High (explicit)</t>
        </is>
      </c>
      <c r="H1157" s="11" t="inlineStr"/>
      <c r="I1157" s="11" t="inlineStr"/>
      <c r="J1157" t="inlineStr">
        <is>
          <t>Reserve Bank of India</t>
        </is>
      </c>
      <c r="K1157" s="11" t="inlineStr">
        <is>
          <t>The Reserve Bank may compound offences punishable under this Act for contraventions that are not punishable with imprisonment only or with imprisonment and fine. Compounded offences prevent further proceedings against the person committing the contravention.</t>
        </is>
      </c>
      <c r="L1157" s="11" t="inlineStr"/>
      <c r="M1157" s="11" t="inlineStr">
        <is>
          <t>• [May] Any offence punishable under this Act for any contravention, not being an offence punishable with imprisonment only, or with imprisonment and also with fine, may be compounded by an officer of the Reserve Bank duly authorised by it in this behalf
• [Must] Where a contravention has been compounded under sub-section (1), no proceeding or further proceeding shall be initiated or continued against the person committing such contravention under that section</t>
        </is>
      </c>
      <c r="N1157" s="11" t="inlineStr">
        <is>
          <t>31. Power to compound offences.—(1) Notwithstanding anything contained in the Code of Criminal Procedure, 1973 (2 of 1974), any offence punishable under this Act for any contravention, not being an offence punishable with imprisonment only, or with imprisonment and also with fine, may, on receipt of an application from the person committing such contravention either before or after the institution of any proceeding, be compounded by an officer of the Reserve Bank duly authorised by it in this behalf.</t>
        </is>
      </c>
      <c r="O1157" s="12" t="inlineStr">
        <is>
          <t>Open PDF</t>
        </is>
      </c>
    </row>
    <row r="1158">
      <c r="A1158" t="inlineStr">
        <is>
          <t>India</t>
        </is>
      </c>
      <c r="B1158" t="inlineStr">
        <is>
          <t>Payment and Settlement Systems Act, 2007 (India - Row 11)</t>
        </is>
      </c>
      <c r="C1158" t="inlineStr">
        <is>
          <t>32</t>
        </is>
      </c>
      <c r="D1158" s="11" t="inlineStr">
        <is>
          <t>Act overriding other laws</t>
        </is>
      </c>
      <c r="E1158" t="inlineStr">
        <is>
          <t>15</t>
        </is>
      </c>
      <c r="F1158" t="inlineStr">
        <is>
          <t>Low</t>
        </is>
      </c>
      <c r="G1158" t="inlineStr">
        <is>
          <t>High (explicit)</t>
        </is>
      </c>
      <c r="H1158" s="11" t="inlineStr"/>
      <c r="I1158" s="11" t="inlineStr"/>
      <c r="J1158" t="inlineStr"/>
      <c r="K1158" s="11" t="inlineStr">
        <is>
          <t>This Act has overriding effect over any inconsistent provisions in other existing laws. This ensures the Payment and Settlement Systems Act takes precedence in cases of conflict.</t>
        </is>
      </c>
      <c r="L1158" s="11" t="inlineStr"/>
      <c r="M1158" s="11" t="inlineStr">
        <is>
          <t>• [Must] The provisions of this Act shall have effect notwithstanding anything inconsistent therewith contained in any other law for the time being in force</t>
        </is>
      </c>
      <c r="N1158" s="11" t="inlineStr">
        <is>
          <t>32. Act to have overriding effect.—The provisions of this Act shall have effect notwithstanding anything inconsistent therewith contained in any other law for the time being in force.</t>
        </is>
      </c>
      <c r="O1158" s="12" t="inlineStr">
        <is>
          <t>Open PDF</t>
        </is>
      </c>
    </row>
    <row r="1159">
      <c r="A1159" t="inlineStr">
        <is>
          <t>India</t>
        </is>
      </c>
      <c r="B1159" t="inlineStr">
        <is>
          <t>Payment and Settlement Systems Act, 2007 (India - Row 11)</t>
        </is>
      </c>
      <c r="C1159" t="inlineStr">
        <is>
          <t>33</t>
        </is>
      </c>
      <c r="D1159" s="11" t="inlineStr">
        <is>
          <t>Penalty recovery mechanisms</t>
        </is>
      </c>
      <c r="E1159" t="inlineStr">
        <is>
          <t>15–16</t>
        </is>
      </c>
      <c r="F1159" t="inlineStr">
        <is>
          <t>High</t>
        </is>
      </c>
      <c r="G1159" t="inlineStr">
        <is>
          <t>High (explicit)</t>
        </is>
      </c>
      <c r="H1159" s="11" t="inlineStr"/>
      <c r="I1159" s="11" t="inlineStr"/>
      <c r="J1159" t="inlineStr">
        <is>
          <t>Reserve Bank of India</t>
        </is>
      </c>
      <c r="K1159" s="11" t="inlineStr">
        <is>
          <t>Penalties may be recovered through notices to third parties, with specific rules for payment, enforcement, and liability. Third parties who receive notices must comply unless they contest the penalty in writing. Failure to pay leads to further enforcement actions.</t>
        </is>
      </c>
      <c r="L1159" s="11" t="inlineStr"/>
      <c r="M1159" s="11" t="inlineStr">
        <is>
          <t>• [May]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
• [Must] Every person to whom a notice is issued under this sub-section shall be bound to comply with such notice, and where such notice is issued to a post office, bank or an insurer, it shall not be necessary for any passbook, deposit receipt, policy or any other document to be produced for the purpose of any entry, endorsement or the like being made bef…
• [Must] Any claim respecting any property in relation to which a notice under this sub-section has been issued arising after the date of the notice shall be void as against any demand contained in the notice
• [Must] Where a person to whom the notice under this sub-section is sent objects to it by a statement on oath that the sum demanded or any part thereof is not due to the defaulter or that he does not hold any money for or on account of the defaulter, then, nothing contained in this sub-section shall be deemed to require such person to pay any such sum or…
• [Must] If it is discovered that such statement was false in any material particular, such person shall be personally liable to the Reserve Bank to the extent of his own liability to the defaulter on the date of the notice, or to the extent of the penalty imposed on the defaulter by the Reserve Bank, whichever is less
• [May] The Reserve Bank may at any time or from time to time, amend or revoke any notice issued under this section or extend the time for making the payment in pursuance of such notice
• [Must] The Reserve Bank shall grant a receipt for any amount paid to it in compliance with a notice issued under this section and the person so paying shall be fully discharged from his liability to the defaulter to the extent of the amount so paid
• [Must] Any person discharging any liability to the defaulter after the receipt of a notice under this section shall be personally liable to the Reserve Bank to the extent of his own liability to the defaulter so discharged or to the extent of the penalty imposed on the defaulter by the Reserve Bank, whichever is less
• [May] If the person to whom the notice under this section is sent fails to make payment in pursuance thereof to the Reserve Bank, he shall be deemed to be the defaulter in respect of the amount specified in the notice and further proceedings may be taken against him for the realisation of the amount as if it were an arrear due from him in the manner pro…</t>
        </is>
      </c>
      <c r="N1159" s="11" t="inlineStr">
        <is>
          <t>33. Mode of recovery of penalty.—(1)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t>
        </is>
      </c>
      <c r="O1159" s="12" t="inlineStr">
        <is>
          <t>Open PDF</t>
        </is>
      </c>
    </row>
    <row r="1160">
      <c r="A1160" t="inlineStr">
        <is>
          <t>India</t>
        </is>
      </c>
      <c r="B1160" t="inlineStr">
        <is>
          <t>Payment and Settlement Systems Act, 2007 (India - Row 11)</t>
        </is>
      </c>
      <c r="C1160" t="inlineStr">
        <is>
          <t>34</t>
        </is>
      </c>
      <c r="D1160" s="11" t="inlineStr">
        <is>
          <t>Exemptions for stock exchanges and clearing corporations</t>
        </is>
      </c>
      <c r="E1160" t="inlineStr">
        <is>
          <t>2</t>
        </is>
      </c>
      <c r="F1160" t="inlineStr">
        <is>
          <t>None</t>
        </is>
      </c>
      <c r="G1160" t="inlineStr">
        <is>
          <t>High (explicit)</t>
        </is>
      </c>
      <c r="H1160" s="11" t="inlineStr"/>
      <c r="I1160" s="11" t="inlineStr"/>
      <c r="J1160" t="inlineStr"/>
      <c r="K1160" s="11" t="inlineStr">
        <is>
          <t>This section explicitly states that nothing in the Payment and Settlement Systems Act applies to stock exchanges or their clearing corporations. The Act does not govern these entities, which is a clear exemption from the scope of the legislation.</t>
        </is>
      </c>
      <c r="L1160" s="11" t="inlineStr">
        <is>
          <t>This section is irrelevant for Data Transfer Impact Assessments as it defines exemptions from the Act's scope, not data transfer mechanisms or requirements.</t>
        </is>
      </c>
      <c r="M1160" s="11" t="inlineStr">
        <is>
          <t>• [Must Not] Nothing contained in this Act shall apply to stock exchanges or the clearing corporations of the stock exchanges</t>
        </is>
      </c>
      <c r="N1160" s="11" t="inlineStr">
        <is>
          <t>34. Act not to apply to stock exchanges or clearing corporations of stock exchanges.—Nothing contained in this Act shall apply to stock exchanges or the clearing corporations of the stock exchanges.</t>
        </is>
      </c>
      <c r="O1160" s="12" t="inlineStr">
        <is>
          <t>Open PDF</t>
        </is>
      </c>
    </row>
    <row r="1161">
      <c r="A1161" t="inlineStr">
        <is>
          <t>India</t>
        </is>
      </c>
      <c r="B1161" t="inlineStr">
        <is>
          <t>Payment and Settlement Systems Act, 2007 (India - Row 11)</t>
        </is>
      </c>
      <c r="C1161" t="inlineStr">
        <is>
          <t>34</t>
        </is>
      </c>
      <c r="D1161" s="11" t="inlineStr">
        <is>
          <t>Exemptions for stock exchanges and clearing corporations</t>
        </is>
      </c>
      <c r="E1161" t="inlineStr">
        <is>
          <t>16</t>
        </is>
      </c>
      <c r="F1161" t="inlineStr">
        <is>
          <t>None</t>
        </is>
      </c>
      <c r="G1161" t="inlineStr">
        <is>
          <t>High (explicit)</t>
        </is>
      </c>
      <c r="H1161" s="11" t="inlineStr"/>
      <c r="I1161" s="11" t="inlineStr"/>
      <c r="J1161" t="inlineStr"/>
      <c r="K1161" s="11" t="inlineStr">
        <is>
          <t>This section explicitly states that nothing in the Payment and Settlement Systems Act applies to stock exchanges or their clearing corporations. The Act does not govern these entities, which is a clear exemption from the scope of the legislation.</t>
        </is>
      </c>
      <c r="L1161" s="11" t="inlineStr">
        <is>
          <t>This section is irrelevant for Data Transfer Impact Assessments as it defines exemptions from the Act's scope, not data transfer mechanisms or requirements.</t>
        </is>
      </c>
      <c r="M1161" s="11" t="inlineStr">
        <is>
          <t>• [Must Not] Nothing contained in this Act shall apply to stock exchanges or the clearing corporations of the stock exchanges</t>
        </is>
      </c>
      <c r="N1161" s="11" t="inlineStr">
        <is>
          <t>34. Act not to apply to stock exchanges or clearing corporations of stock exchanges.—Nothing contained in this Act shall apply to stock exchanges or the clearing corporations of the stock exchanges.</t>
        </is>
      </c>
      <c r="O1161" s="12" t="inlineStr">
        <is>
          <t>Open PDF</t>
        </is>
      </c>
    </row>
    <row r="1162">
      <c r="A1162" t="inlineStr">
        <is>
          <t>India</t>
        </is>
      </c>
      <c r="B1162" t="inlineStr">
        <is>
          <t>Payment and Settlement Systems Act, 2007 (India - Row 11)</t>
        </is>
      </c>
      <c r="C1162" t="inlineStr">
        <is>
          <t>35</t>
        </is>
      </c>
      <c r="D1162" s="11" t="inlineStr">
        <is>
          <t>Reserve Bank officers deemed public servants</t>
        </is>
      </c>
      <c r="E1162" t="inlineStr">
        <is>
          <t>17</t>
        </is>
      </c>
      <c r="F1162" t="inlineStr">
        <is>
          <t>None</t>
        </is>
      </c>
      <c r="G1162" t="inlineStr">
        <is>
          <t>High (explicit)</t>
        </is>
      </c>
      <c r="H1162" s="11" t="inlineStr"/>
      <c r="I1162" s="11" t="inlineStr"/>
      <c r="J1162" t="inlineStr"/>
      <c r="K1162" s="11" t="inlineStr">
        <is>
          <t>This section states that every Reserve Bank officer entrusted with powers under the Act is deemed a public servant under the Indian Penal Code. This classification has implications for legal liability and accountability.</t>
        </is>
      </c>
      <c r="L1162" s="11" t="inlineStr">
        <is>
          <t>This section is irrelevant for Data Transfer Impact Assessments as it defines a legal classification, not data transfer mechanisms or requirements.</t>
        </is>
      </c>
      <c r="M1162" s="11" t="inlineStr">
        <is>
          <t>• [Must] Every officer of the Reserve Bank who has been entrusted with any power under this Act, shall be deemed to be a public servant within the meaning of section 21 of the Indian Penal Code (45 of 1860)</t>
        </is>
      </c>
      <c r="N1162" s="11" t="inlineStr">
        <is>
          <t>35. Certain persons deemed to be public servants.—Every officer of the Reserve Bank who has been entrusted with any power under this Act, shall be deemed to be a public servant within the meaning of section 21 of the Indian Penal Code (45 of 1860).</t>
        </is>
      </c>
      <c r="O1162" s="12" t="inlineStr">
        <is>
          <t>Open PDF</t>
        </is>
      </c>
    </row>
    <row r="1163">
      <c r="A1163" t="inlineStr">
        <is>
          <t>India</t>
        </is>
      </c>
      <c r="B1163" t="inlineStr">
        <is>
          <t>Payment and Settlement Systems Act, 2007 (India - Row 11)</t>
        </is>
      </c>
      <c r="C1163" t="inlineStr">
        <is>
          <t>36</t>
        </is>
      </c>
      <c r="D1163" s="11" t="inlineStr">
        <is>
          <t>Protection for good faith actions</t>
        </is>
      </c>
      <c r="E1163" t="inlineStr">
        <is>
          <t>17</t>
        </is>
      </c>
      <c r="F1163" t="inlineStr">
        <is>
          <t>None</t>
        </is>
      </c>
      <c r="G1163" t="inlineStr">
        <is>
          <t>High (explicit)</t>
        </is>
      </c>
      <c r="H1163" s="11" t="inlineStr"/>
      <c r="I1163" s="11" t="inlineStr"/>
      <c r="J1163" t="inlineStr"/>
      <c r="K1163" s="11" t="inlineStr">
        <is>
          <t>This section provides legal immunity for the Central Government, Reserve Bank, and its officers from legal proceedings for damages caused by actions taken in good faith in pursuance of the Act, regulations, or orders made under it.</t>
        </is>
      </c>
      <c r="L1163" s="11" t="inlineStr">
        <is>
          <t>This section is irrelevant for Data Transfer Impact Assessments as it addresses legal immunity, not data transfer mechanisms or requirements.</t>
        </is>
      </c>
      <c r="M1163" s="11" t="inlineStr">
        <is>
          <t>• [Must Not] No suit or other legal proceedings shall lie against the Central Government, the Reserve Bank, or any officer thereof for any damage caused or likely to be caused by anything which is in good faith done or intended to be done in pursuance of this Act, any regulations, order or direction made or given thereunder</t>
        </is>
      </c>
      <c r="N1163" s="11" t="inlineStr">
        <is>
          <t>36. Protection of action taken in good faith.—No suit or other legal proceedings shall lie against the Central Government, the Reserve Bank, or any officer thereof for any damage caused or likely to be caused by anything which is in good faith done or intended to be done in pursuance of this Act, any regulations, order or direction made or given thereunder.</t>
        </is>
      </c>
      <c r="O1163" s="12" t="inlineStr">
        <is>
          <t>Open PDF</t>
        </is>
      </c>
    </row>
    <row r="1164">
      <c r="A1164" t="inlineStr">
        <is>
          <t>India</t>
        </is>
      </c>
      <c r="B1164" t="inlineStr">
        <is>
          <t>Payment and Settlement Systems Act, 2007 (India - Row 11)</t>
        </is>
      </c>
      <c r="C1164" t="inlineStr">
        <is>
          <t>37</t>
        </is>
      </c>
      <c r="D1164" s="11" t="inlineStr">
        <is>
          <t>Power to remove difficulties</t>
        </is>
      </c>
      <c r="E1164" t="inlineStr">
        <is>
          <t>17</t>
        </is>
      </c>
      <c r="F1164" t="inlineStr">
        <is>
          <t>None</t>
        </is>
      </c>
      <c r="G1164" t="inlineStr">
        <is>
          <t>High (explicit)</t>
        </is>
      </c>
      <c r="H1164" s="11" t="inlineStr"/>
      <c r="I1164" s="11" t="inlineStr"/>
      <c r="J1164" t="inlineStr"/>
      <c r="K1164" s="11" t="inlineStr">
        <is>
          <t>This section grants the Central Government the authority to issue orders via the Official Gazette to resolve difficulties in implementing the Act, with a two-year deadline for such orders and a requirement to lay the orders before Parliament.</t>
        </is>
      </c>
      <c r="L1164" s="11" t="inlineStr">
        <is>
          <t>This section is irrelevant for Data Transfer Impact Assessments as it addresses legislative flexibility, not data transfer mechanisms or requirements.</t>
        </is>
      </c>
      <c r="M1164" s="11" t="inlineStr">
        <is>
          <t>• [May] If any difficulty arises in giving effect to the provisions of this Act, the Central Government may, by order published in the Official Gazette, make such provision as appear to it to be necessary or expedient for removing the difficulty
• [Condition] No order shall be made under this section after the expiry of a period of two years from the commencement of this Act
• [Must] Every order made under this section shall be laid, as soon as may be after it is made, before each House of Parliament</t>
        </is>
      </c>
      <c r="N1164" s="11" t="inlineStr">
        <is>
          <t>37. Power to remove difficulties.—(1) If any difficulty arises in giving effect to the provisions of this Act, the Central Government may, by order published in the Official Gazette, make such provision is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O1164" s="12" t="inlineStr">
        <is>
          <t>Open PDF</t>
        </is>
      </c>
    </row>
    <row r="1165">
      <c r="A1165" t="inlineStr">
        <is>
          <t>India</t>
        </is>
      </c>
      <c r="B1165" t="inlineStr">
        <is>
          <t>Payment and Settlement Systems Act, 2007 (India - Row 11)</t>
        </is>
      </c>
      <c r="C1165" t="inlineStr">
        <is>
          <t>38</t>
        </is>
      </c>
      <c r="D1165" s="11" t="inlineStr">
        <is>
          <t>Reserve Bank regulatory powers</t>
        </is>
      </c>
      <c r="E1165" t="inlineStr">
        <is>
          <t>2–3</t>
        </is>
      </c>
      <c r="F1165" t="inlineStr">
        <is>
          <t>None</t>
        </is>
      </c>
      <c r="G1165" t="inlineStr">
        <is>
          <t>High (explicit)</t>
        </is>
      </c>
      <c r="H1165" s="11" t="inlineStr"/>
      <c r="I1165" s="11" t="inlineStr"/>
      <c r="J1165" t="inlineStr">
        <is>
          <t>Reserve Bank</t>
        </is>
      </c>
      <c r="K1165" s="11" t="inlineStr">
        <is>
          <t>This section empowers the Reserve Bank to make regulations consistent with the Act to implement its provisions, including specific matters like board functions, application formats, authorization procedures, payment standards, and information reporting requirements.</t>
        </is>
      </c>
      <c r="L1165" s="11" t="inlineStr">
        <is>
          <t>This section is irrelevant for Data Transfer Impact Assessments as it addresses regulatory powers, not data transfer mechanisms or requirements.</t>
        </is>
      </c>
      <c r="M1165" s="11" t="inlineStr">
        <is>
          <t>• [May] The Reserve Bank may, by notification, make regulations consistent with this Act to carry out the provisions of this Act
• [May] Regulations may provide for the powers and functions of the Board, the time and venue of its meetings and the procedure to be followed by it at its meetings
• [May] Regulations may provide for the form and manner in which an application for authorisation for commencing or carrying on a payment system shall be made and the fees which shall accompany such application
• [May] Regulations may provide for the form in which an authorisation to operate a payment system under this Act shall be issued
• [May] Regulations may provide for the format of payment instructions and other matters relating to determination of standards to be complied with by the payment systems
• [May] Regulations may provide for the intervals, at which and the form and manner in which the information or returns required by the Reserve Bank shall be furnished
• [May] Regulations may provide for such other matters as are required to be, or may be, prescribed</t>
        </is>
      </c>
      <c r="N1165" s="11" t="inlineStr">
        <is>
          <t>38. Power of Reserve Bank to make regulations.—(1) The Reserve Bank may, by notification, make regulations consistent with this Act to carry out the provisions of this Act.</t>
        </is>
      </c>
      <c r="O1165" s="12" t="inlineStr">
        <is>
          <t>Open PDF</t>
        </is>
      </c>
    </row>
    <row r="1166">
      <c r="A1166" t="inlineStr">
        <is>
          <t>India</t>
        </is>
      </c>
      <c r="B1166" t="inlineStr">
        <is>
          <t>Payment and Settlement Systems Act, 2007 (India - Row 11)</t>
        </is>
      </c>
      <c r="C1166" t="inlineStr">
        <is>
          <t>38</t>
        </is>
      </c>
      <c r="D1166" s="11" t="inlineStr">
        <is>
          <t>Reserve Bank regulatory powers</t>
        </is>
      </c>
      <c r="E1166" t="inlineStr">
        <is>
          <t>17</t>
        </is>
      </c>
      <c r="F1166" t="inlineStr">
        <is>
          <t>None</t>
        </is>
      </c>
      <c r="G1166" t="inlineStr">
        <is>
          <t>High (explicit)</t>
        </is>
      </c>
      <c r="H1166" s="11" t="inlineStr"/>
      <c r="I1166" s="11" t="inlineStr"/>
      <c r="J1166" t="inlineStr">
        <is>
          <t>Reserve Bank</t>
        </is>
      </c>
      <c r="K1166" s="11" t="inlineStr">
        <is>
          <t>This section empowers the Reserve Bank to make regulations consistent with the Act to implement its provisions, including specific matters like board functions, application formats, authorization procedures, payment standards, and information reporting requirements.</t>
        </is>
      </c>
      <c r="L1166" s="11" t="inlineStr">
        <is>
          <t>This section is irrelevant for Data Transfer Impact Assessments as it addresses regulatory powers, not data transfer mechanisms or requirements.</t>
        </is>
      </c>
      <c r="M1166" s="11" t="inlineStr">
        <is>
          <t>• [May] The Reserve Bank may, by notification, make regulations consistent with this Act to carry out the provisions of this Act
• [May] Regulations may provide for the powers and functions of the Board, the time and venue of its meetings and the procedure to be followed by it at its meetings
• [May] Regulations may provide for the form and manner in which an application for authorisation for commencing or carrying on a payment system shall be made and the fees which shall accompany such application
• [May] Regulations may provide for the form in which an authorisation to operate a payment system under this Act shall be issued
• [May] Regulations may provide for the format of payment instructions and other matters relating to determination of standards to be complied with by the payment systems
• [May] Regulations may provide for the intervals, at which and the form and manner in which the information or returns required by the Reserve Bank shall be furnished
• [May] Regulations may provide for such other matters as are required to be, or may be, prescribed</t>
        </is>
      </c>
      <c r="N1166" s="11" t="inlineStr">
        <is>
          <t>38. Power of Reserve Bank to make regulations.—(1) The Reserve Bank may, by notification, make regulations consistent with this Act to carry out the provisions of this Act.</t>
        </is>
      </c>
      <c r="O1166" s="12" t="inlineStr">
        <is>
          <t>Open PDF</t>
        </is>
      </c>
    </row>
    <row r="1167">
      <c r="A1167" t="inlineStr">
        <is>
          <t>India</t>
        </is>
      </c>
      <c r="B1167" t="inlineStr">
        <is>
          <t>RBI Digital Lending Directions 2025 Digital Lending Guidelines 2022 (India - Row 14)</t>
        </is>
      </c>
      <c r="C1167" t="inlineStr">
        <is>
          <t>1</t>
        </is>
      </c>
      <c r="D1167" s="11" t="inlineStr">
        <is>
          <t>Digital lending platform compliance guidelines</t>
        </is>
      </c>
      <c r="E1167" t="inlineStr">
        <is>
          <t>3</t>
        </is>
      </c>
      <c r="F1167" t="inlineStr">
        <is>
          <t>High</t>
        </is>
      </c>
      <c r="G1167" t="inlineStr">
        <is>
          <t>Medium (minor interpretation)</t>
        </is>
      </c>
      <c r="H1167" s="11" t="inlineStr">
        <is>
          <t>Financial Data</t>
        </is>
      </c>
      <c r="I1167" s="11" t="inlineStr">
        <is>
          <t>Financial Data</t>
        </is>
      </c>
      <c r="J1167" t="inlineStr">
        <is>
          <t>RBI</t>
        </is>
      </c>
      <c r="K1167" s="11" t="inlineStr">
        <is>
          <t>This section references RBI's 2020 guidelines on fair practices and outsourcing for loans sourced by banks and NBFCs through digital lending platforms. It establishes baseline compliance requirements for digital lending operations.</t>
        </is>
      </c>
      <c r="L1167" s="11" t="inlineStr">
        <is>
          <t>Digital lending platforms must adhere to fair practices and outsourcing guidelines, impacting data transfer impact assessments for cross-border data flows.</t>
        </is>
      </c>
      <c r="M1167" s="11" t="inlineStr">
        <is>
          <t>• [Must] Loans sourced by banks and NBFCs through digital lending platforms must adhere to fair practices code
• [Must] Outsourcing guidelines must be followed for digital lending platforms</t>
        </is>
      </c>
      <c r="N1167" s="11" t="inlineStr">
        <is>
          <t>RBI/2019-20/258 DOR(NBFC)(PD) CC.No.112/03.10.001/2019-20 24.06.2020 Loans Sourced by Banks and NBFCs over Digital Lending Platforms: Adherence to Fair Practices Code and Outsourcing Guidelines</t>
        </is>
      </c>
      <c r="O1167" s="12" t="inlineStr">
        <is>
          <t>Open PDF</t>
        </is>
      </c>
    </row>
    <row r="1168">
      <c r="A1168" t="inlineStr">
        <is>
          <t>India</t>
        </is>
      </c>
      <c r="B1168" t="inlineStr">
        <is>
          <t>RBI Digital Lending Directions 2025 Digital Lending Guidelines 2022 (India - Row 14)</t>
        </is>
      </c>
      <c r="C1168" t="inlineStr">
        <is>
          <t>1</t>
        </is>
      </c>
      <c r="D1168" s="11" t="inlineStr">
        <is>
          <t>Digital lending platform compliance guidelines</t>
        </is>
      </c>
      <c r="E1168" t="inlineStr">
        <is>
          <t>24</t>
        </is>
      </c>
      <c r="F1168" t="inlineStr">
        <is>
          <t>High</t>
        </is>
      </c>
      <c r="G1168" t="inlineStr">
        <is>
          <t>Medium (minor interpretation)</t>
        </is>
      </c>
      <c r="H1168" s="11" t="inlineStr">
        <is>
          <t>Financial Data</t>
        </is>
      </c>
      <c r="I1168" s="11" t="inlineStr">
        <is>
          <t>Financial Data</t>
        </is>
      </c>
      <c r="J1168" t="inlineStr">
        <is>
          <t>RBI</t>
        </is>
      </c>
      <c r="K1168" s="11" t="inlineStr">
        <is>
          <t>This section references RBI's 2020 guidelines on fair practices and outsourcing for loans sourced by banks and NBFCs through digital lending platforms. It establishes baseline compliance requirements for digital lending operations.</t>
        </is>
      </c>
      <c r="L1168" s="11" t="inlineStr">
        <is>
          <t>Digital lending platforms must adhere to fair practices and outsourcing guidelines, impacting data transfer impact assessments for cross-border data flows.</t>
        </is>
      </c>
      <c r="M1168" s="11" t="inlineStr">
        <is>
          <t>• [Must] Loans sourced by banks and NBFCs through digital lending platforms must adhere to fair practices code
• [Must] Outsourcing guidelines must be followed for digital lending platforms</t>
        </is>
      </c>
      <c r="N1168" s="11" t="inlineStr">
        <is>
          <t>RBI/2019-20/258 DOR(NBFC)(PD) CC.No.112/03.10.001/2019-20 24.06.2020 Loans Sourced by Banks and NBFCs over Digital Lending Platforms: Adherence to Fair Practices Code and Outsourcing Guidelines</t>
        </is>
      </c>
      <c r="O1168" s="12" t="inlineStr">
        <is>
          <t>Open PDF</t>
        </is>
      </c>
    </row>
    <row r="1169">
      <c r="A1169" t="inlineStr">
        <is>
          <t>India</t>
        </is>
      </c>
      <c r="B1169" t="inlineStr">
        <is>
          <t>RBI Digital Lending Directions 2025 Digital Lending Guidelines 2022 (India - Row 14)</t>
        </is>
      </c>
      <c r="C1169" t="inlineStr">
        <is>
          <t>3</t>
        </is>
      </c>
      <c r="D1169" s="11" t="inlineStr">
        <is>
          <t>Applicability of Digital Lending Guidelines</t>
        </is>
      </c>
      <c r="E1169" t="inlineStr">
        <is>
          <t>4</t>
        </is>
      </c>
      <c r="F1169" t="inlineStr">
        <is>
          <t>High</t>
        </is>
      </c>
      <c r="G1169" t="inlineStr">
        <is>
          <t>High (explicit)</t>
        </is>
      </c>
      <c r="H1169"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169" s="11" t="inlineStr">
        <is>
          <t>Personal Information, Financial Data, Customer Data, Employee Data, Health Data, Children's Data, Biometric Data, Special Personal Information</t>
        </is>
      </c>
      <c r="J1169" t="inlineStr"/>
      <c r="K1169" s="11" t="inlineStr">
        <is>
          <t>These guidelines apply to all digital lending activities of specified entities: commercial banks, primary (urban) co-operative banks, state co-operative banks, central co-operative banks, non-banking financial companies (including housing finance companies), and all-India financial institutions. The term 'Regulated Entity' refers to these institutions that must comply with the digital lending requirements outlined in the guidelines.</t>
        </is>
      </c>
      <c r="L1169" s="11" t="inlineStr"/>
      <c r="M1169" s="11" t="inlineStr">
        <is>
          <t>• [Must] These Directions shall be applicable to all digital lending activities of the following entities
• [Must] All Commercial Banks are Regulated Entities
• [Must] All Primary (Urban) Co-operative Banks, State Co-operative Banks, Central Co-operative Banks are Regulated Entities
• [Must] All Non-Banking Financial Companies (including Housing Finance Companies) are Regulated Entities
• [Must] All All-India Financial Institutions are Regulated Entities</t>
        </is>
      </c>
      <c r="N1169" s="11" t="inlineStr">
        <is>
          <t>These Directions shall be applicable to all digital lending activities of the following entities, hereinafter referred to as a Regulated Entity (RE) and collectively as Regulated Entities (REs), as the context may require: i. All Commercial Banks, ii. All Primary (Urban) Co-operative Banks, State Co-operative Banks, Central Co-operative Banks, iii. All Non-Banking Financial Companies (including Housing Finance Companies), and iv. All All-India Financial Institutions.</t>
        </is>
      </c>
      <c r="O1169" s="12" t="inlineStr">
        <is>
          <t>Open PDF</t>
        </is>
      </c>
    </row>
    <row r="1170">
      <c r="A1170" t="inlineStr">
        <is>
          <t>India</t>
        </is>
      </c>
      <c r="B1170" t="inlineStr">
        <is>
          <t>RBI Digital Lending Directions 2025 Digital Lending Guidelines 2022 (India - Row 14)</t>
        </is>
      </c>
      <c r="C1170" t="inlineStr">
        <is>
          <t>4</t>
        </is>
      </c>
      <c r="D1170" s="11" t="inlineStr">
        <is>
          <t>Definitions for Digital Lending</t>
        </is>
      </c>
      <c r="E1170" t="inlineStr">
        <is>
          <t>4–5</t>
        </is>
      </c>
      <c r="F1170" t="inlineStr">
        <is>
          <t>High</t>
        </is>
      </c>
      <c r="G1170" t="inlineStr">
        <is>
          <t>High (explicit)</t>
        </is>
      </c>
      <c r="H1170"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170" s="11" t="inlineStr">
        <is>
          <t>Personal Information, Financial Data, Customer Data, Employee Data, Health Data, Children's Data, Biometric Data, Special Personal Information</t>
        </is>
      </c>
      <c r="J1170" t="inlineStr"/>
      <c r="K1170" s="11" t="inlineStr">
        <is>
          <t>The guidelines define key terms including Annual Percentage Rate (APR), Default Loss Guarantee (DLG), Digital Lending, Digital Lending Apps/Platforms (DLAs), and Lending Service Providers (LSPs). These definitions clarify the scope of digital lending activities and the roles of entities involved in the lending process, particularly emphasizing the relationship between Regulated Entities and LSPs.</t>
        </is>
      </c>
      <c r="L1170" s="11" t="inlineStr"/>
      <c r="M1170" s="11" t="inlineStr">
        <is>
          <t>• [Must] Annual Percentage Rate (APR) is defined under Circular No. DOR.STR.REC.13/13.03.00/2024-25 on 'Key Facts Statement (KFS) for Loans &amp; Advances' dated April 15, 2024
• [Must] Default Loss Guarantee (DLG) is a contractual arrangement between RE and another entity for compensating RE for loan portfolio losses
• [Must] Digital Lending is a remote and automated lending process using digital technologies for customer acquisition, credit assessment, loan approval, disbursement, recovery and customer service
• [Must] Digital Lending Apps/Platforms (DLAs) are mobile and/or web-based applications facilitating digital lending services
• [Must] Lending Service Provider (LSP) is an agent of a RE who carries out one or more digital lending functions</t>
        </is>
      </c>
      <c r="N1170" s="11" t="inlineStr">
        <is>
          <t>For the purpose of these Directions, unless the context otherwise requires, the terms herein shall bear the meaning assigned to them below: i. Annual Percentage Rate (APR): APR as defined under Circular No. DOR.STR.REC.13/13.03.00/2024-25 on 'Key Facts Statement (KFS) for Loans &amp; Advances' dated April 15, 2024, as amended from time to time.</t>
        </is>
      </c>
      <c r="O1170" s="12" t="inlineStr">
        <is>
          <t>Open PDF</t>
        </is>
      </c>
    </row>
    <row r="1171">
      <c r="A1171" t="inlineStr">
        <is>
          <t>India</t>
        </is>
      </c>
      <c r="B1171" t="inlineStr">
        <is>
          <t>RBI Digital Lending Directions 2025 Digital Lending Guidelines 2022 (India - Row 14)</t>
        </is>
      </c>
      <c r="C1171" t="inlineStr">
        <is>
          <t>5</t>
        </is>
      </c>
      <c r="D1171" s="11" t="inlineStr">
        <is>
          <t>Due Diligence Requirements for LSPs</t>
        </is>
      </c>
      <c r="E1171" t="inlineStr">
        <is>
          <t>5–6</t>
        </is>
      </c>
      <c r="F1171" t="inlineStr">
        <is>
          <t>High</t>
        </is>
      </c>
      <c r="G1171" t="inlineStr">
        <is>
          <t>High (explicit)</t>
        </is>
      </c>
      <c r="H1171"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171" s="11" t="inlineStr">
        <is>
          <t>Personal Information, Financial Data, Customer Data, Employee Data, Health Data, Children's Data, Biometric Data, Special Personal Information</t>
        </is>
      </c>
      <c r="J1171" t="inlineStr">
        <is>
          <t>Reserve Bank of India</t>
        </is>
      </c>
      <c r="K1171" s="11" t="inlineStr">
        <is>
          <t>Regulated Entities must conduct enhanced due diligence before entering agreements with Lending Service Providers, including assessing technical capabilities, data privacy policies, robustness of storage systems, fairness in conduct with borrowers, past records, and compliance with regulations. They must also carry out periodic reviews of LSP conduct, establish monitoring mechanisms for loan portfolios, provide guidance to LSPs on recovery duties, and ensure compliance with outsourcing guidelines. The RE remains fully responsible for all acts and omissions of the LSP.</t>
        </is>
      </c>
      <c r="L1171" s="11" t="inlineStr">
        <is>
          <t>Regulated Entities must ensure LSPs meet strict due diligence standards before partnership, conduct periodic reviews, and maintain oversight to prevent breaches of data privacy and borrower protection. This section directly impacts data transfer impact assessments by requiring robust third-party vendor management for digital lending activities.</t>
        </is>
      </c>
      <c r="M1171" s="11" t="inlineStr">
        <is>
          <t>• [Must] Digital lending by a RE involving a LSP shall be carried out under a contractual agreement defining respective roles, rights, and obligations
• [Must] RE shall conduct enhanced due diligence before entering agreement with LSP considering technical capabilities, data privacy policies, storage systems, fairness with borrowers, past records, and compliance
• [Must] RE shall carry out periodic review of LSP conduct against contractual terms and take action for deviations
• [Must] RE shall lay down suitable monitoring mechanisms for loan portfolios originated with LSP support
• [Must] RE shall impart necessary guidance to LSP acting as recovery agent to discharge duties responsibly
• [Must] RE shall continue to conform to extant guidelines on outsourcing and ensure LSPs and DLAs comply with these Directions
• [Must] Any outsourcing agreement with LSP shall not dilute or absolve RE of statutory or regulatory obligations</t>
        </is>
      </c>
      <c r="N1171" s="11" t="inlineStr">
        <is>
          <t>Digital lending by a RE involving a LSP, shall be carried out under a contractual agreement between the RE and the LSP, which clearly defines the respective roles, rights, and obligations of each party thereto.</t>
        </is>
      </c>
      <c r="O1171" s="12" t="inlineStr">
        <is>
          <t>Open PDF</t>
        </is>
      </c>
    </row>
    <row r="1172">
      <c r="A1172" t="inlineStr">
        <is>
          <t>India</t>
        </is>
      </c>
      <c r="B1172" t="inlineStr">
        <is>
          <t>RBI Digital Lending Directions 2025 Digital Lending Guidelines 2022 (India - Row 14)</t>
        </is>
      </c>
      <c r="C1172" t="inlineStr">
        <is>
          <t>6</t>
        </is>
      </c>
      <c r="D1172" s="11" t="inlineStr">
        <is>
          <t>Multi-Lender Arrangements with LSPs</t>
        </is>
      </c>
      <c r="E1172" t="inlineStr">
        <is>
          <t>6–7</t>
        </is>
      </c>
      <c r="F1172" t="inlineStr">
        <is>
          <t>High</t>
        </is>
      </c>
      <c r="G1172" t="inlineStr">
        <is>
          <t>High (explicit)</t>
        </is>
      </c>
      <c r="H1172"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172" s="11" t="inlineStr">
        <is>
          <t>Personal Information, Financial Data, Customer Data, Employee Data, Health Data, Children's Data, Biometric Data, Special Personal Information</t>
        </is>
      </c>
      <c r="J1172" t="inlineStr">
        <is>
          <t>Reserve Bank of India</t>
        </is>
      </c>
      <c r="K1172" s="11" t="inlineStr">
        <is>
          <t>When a Lending Service Provider has agreements with multiple Regulated Entities, each RE must ensure the LSP provides a digital view of loan offers matching the borrower's request, including unmatched lenders. The LSP must follow a consistent approach for similarly placed borrowers, document mechanisms, and display loan offers with unbiased content that includes lender names, loan amounts, tenors, APR, repayment obligations, and penal charges. The content must not promote specific REs through dark patterns or deceptive practices.</t>
        </is>
      </c>
      <c r="L1172" s="11" t="inlineStr">
        <is>
          <t>This section requires LSPs to provide transparent, unbiased loan comparisons across lenders, directly impacting data transfer impact assessments by mandating clear disclosure mechanisms for cross-entity data sharing and preventing misleading practices in digital lending.</t>
        </is>
      </c>
      <c r="M1172" s="11" t="inlineStr">
        <is>
          <t>• [Must] LSP shall provide digital view of all loan offers matching borrower's request on DLA
• [Must] LSP shall disclose unmatched lenders in the digital view
• [Must] LSP shall follow consistent approach for similarly placed borrowers and products
• [Must] LSP shall document mechanisms adopted for matching borrowers with lenders
• [Must] Digital view of loan offers shall include lender names, loan amounts, tenors, APR, monthly repayment obligations and penal charges
• [Must] Digital view shall provide link to Key Facts Statement (KFS) for each RE
• [Must] Content displayed by LSP shall be unbiased, objective and not promote specific REs through dark patterns</t>
        </is>
      </c>
      <c r="N1172" s="11" t="inlineStr">
        <is>
          <t>LSP shall provide a digital view of all the loan offers matching the borrower's request on the DLA which meets the requirement of the borrower. The name of the unmatched lenders shall also be disclosed in the digital view.</t>
        </is>
      </c>
      <c r="O1172" s="12" t="inlineStr">
        <is>
          <t>Open PDF</t>
        </is>
      </c>
    </row>
    <row r="1173">
      <c r="A1173" t="inlineStr">
        <is>
          <t>India</t>
        </is>
      </c>
      <c r="B1173" t="inlineStr">
        <is>
          <t>RBI Digital Lending Directions 2025 Digital Lending Guidelines 2022 (India - Row 14)</t>
        </is>
      </c>
      <c r="C1173" t="inlineStr">
        <is>
          <t>7</t>
        </is>
      </c>
      <c r="D1173" s="11" t="inlineStr">
        <is>
          <t>Borrower Creditworthiness Assessment</t>
        </is>
      </c>
      <c r="E1173" t="inlineStr">
        <is>
          <t>7–8</t>
        </is>
      </c>
      <c r="F1173" t="inlineStr">
        <is>
          <t>High</t>
        </is>
      </c>
      <c r="G1173" t="inlineStr">
        <is>
          <t>High (explicit)</t>
        </is>
      </c>
      <c r="H1173" s="11"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I1173" s="11" t="inlineStr">
        <is>
          <t>Personal Information, Financial Data, Customer Data, Employee Data, Health Data, Children's Data, Biometric Data, Special Personal Information</t>
        </is>
      </c>
      <c r="J1173" t="inlineStr">
        <is>
          <t>Reserve Bank of India</t>
        </is>
      </c>
      <c r="K1173" s="11" t="inlineStr">
        <is>
          <t>Regulated Entities must obtain necessary information about borrowers' economic profiles to assess creditworthiness before extending loans, including minimum age, occupation, and income details. These details must be kept on record for audit purposes. Additionally, REs must ensure that credit limits cannot be automatically increased without explicit borrower requests, evaluations, and records.</t>
        </is>
      </c>
      <c r="L1173" s="11" t="inlineStr">
        <is>
          <t>This section impacts data transfer impact assessments by requiring detailed borrower information collection and strict controls on credit limit increases, ensuring data accuracy and compliance with financial regulations.</t>
        </is>
      </c>
      <c r="M1173" s="11" t="inlineStr">
        <is>
          <t>• [Must] RE shall obtain necessary information relating to borrower's economic profile for creditworthiness assessment
• [Must] RE shall keep age, occupation and income details on record for audit purposes
• [Must] RE shall ensure no automatic increase in credit limit without explicit borrower request, evaluation and record</t>
        </is>
      </c>
      <c r="N1173" s="11" t="inlineStr">
        <is>
          <t>RE shall obtain the necessary information relating to economic profile of the borrower with a view to assessing the borrower's creditworthiness before extending any loan, including, at a minimum, age, occupation and income details.</t>
        </is>
      </c>
      <c r="O1173" s="12" t="inlineStr">
        <is>
          <t>Open PDF</t>
        </is>
      </c>
    </row>
    <row r="1174">
      <c r="A1174" t="inlineStr">
        <is>
          <t>India</t>
        </is>
      </c>
      <c r="B1174" t="inlineStr">
        <is>
          <t>RBI Digital Lending Directions 2025 Digital Lending Guidelines 2022 (India - Row 14)</t>
        </is>
      </c>
      <c r="C1174" t="inlineStr">
        <is>
          <t>8</t>
        </is>
      </c>
      <c r="D1174" s="11" t="inlineStr">
        <is>
          <t>Borrower disclosures and document delivery</t>
        </is>
      </c>
      <c r="E1174" t="inlineStr">
        <is>
          <t>8–9</t>
        </is>
      </c>
      <c r="F1174" t="inlineStr">
        <is>
          <t>High</t>
        </is>
      </c>
      <c r="G1174" t="inlineStr">
        <is>
          <t>High (explicit)</t>
        </is>
      </c>
      <c r="H1174" s="11" t="inlineStr">
        <is>
          <t>Data Sharing, Data Storage, Data Residency, Security</t>
        </is>
      </c>
      <c r="I1174" s="11" t="inlineStr">
        <is>
          <t>Personal Information, Financial Data</t>
        </is>
      </c>
      <c r="J1174" t="inlineStr">
        <is>
          <t>Reserve Bank of India (RBI)</t>
        </is>
      </c>
      <c r="K1174" s="11" t="inlineStr">
        <is>
          <t>RBI requires digital lenders (REs) to provide borrowers with a Key Fact Statement (KFS) following specific circulars. REs must deliver digitally signed documents including KFS, loan product summaries, sanction letters, and privacy policies automatically to borrowers via email or SMS upon contract execution. REs must maintain a public website with detailed information about lending products, third-party service providers (LSPs), grievance mechanisms, and links to RBI's complaint systems. REs must also notify borrowers of recovery agents before contact for loan defaults.</t>
        </is>
      </c>
      <c r="L1174" s="11" t="inlineStr">
        <is>
          <t>Mandates direct delivery of key documents to borrowers via email/SMS, requires public disclosure of lending products and LSPs, and specifies data sharing protocols for recovery agents — critical for ensuring transparency and compliance in cross-border data transfers involving Indian digital lenders.</t>
        </is>
      </c>
      <c r="M1174" s="11" t="inlineStr">
        <is>
          <t>• [Must] RE shall provide Key Fact Statement (KFS) per circular DOR.STR.REC.13/13.03.00/2024-25
• [Must] RE shall ensure digitally signed documents (KFS, loan product summary, sanction letter, etc.) automatically flow to borrowers via email/SMS upon contract execution
• [Must] RE shall maintain public website with lending products, LSP details, grievance mechanisms, and links to RBI's complaint systems
• [Must] RE shall ensure DLAs/LSPs link to RE's public website
• [Must] RE shall notify borrowers of recovery agents via email/SMS before contact for loan defaults</t>
        </is>
      </c>
      <c r="N1174" s="11" t="inlineStr">
        <is>
          <t>RE shall provide a Key Fact Statement (KFS) as per instructions contained in circular no. DOR.STR.REC.13/13.03.00/2024-25 on ‘Key Facts Statement (KFS) for Loans &amp; Advances' dated April 15, 2024, as amended from time to time.</t>
        </is>
      </c>
      <c r="O1174" s="12" t="inlineStr">
        <is>
          <t>Open PDF</t>
        </is>
      </c>
    </row>
    <row r="1175">
      <c r="A1175" t="inlineStr">
        <is>
          <t>India</t>
        </is>
      </c>
      <c r="B1175" t="inlineStr">
        <is>
          <t>RBI Digital Lending Directions 2025 Digital Lending Guidelines 2022 (India - Row 14)</t>
        </is>
      </c>
      <c r="C1175" t="inlineStr">
        <is>
          <t>9</t>
        </is>
      </c>
      <c r="D1175" s="11" t="inlineStr">
        <is>
          <t>Loan disbursal and repayment without third-party intermediaries</t>
        </is>
      </c>
      <c r="E1175" t="inlineStr">
        <is>
          <t>9–10</t>
        </is>
      </c>
      <c r="F1175" t="inlineStr">
        <is>
          <t>High</t>
        </is>
      </c>
      <c r="G1175" t="inlineStr">
        <is>
          <t>High (explicit)</t>
        </is>
      </c>
      <c r="H1175" s="11" t="inlineStr">
        <is>
          <t>Financial Data, Data Storage, Data Residency</t>
        </is>
      </c>
      <c r="I1175" s="11" t="inlineStr">
        <is>
          <t>Financial Data</t>
        </is>
      </c>
      <c r="J1175" t="inlineStr">
        <is>
          <t>Reserve Bank of India (RBI)</t>
        </is>
      </c>
      <c r="K1175" s="11" t="inlineStr">
        <is>
          <t>Digital lenders must disburse loans directly to borrowers' bank accounts, excluding third-party accounts including LSPs, except for statutory mandates, co-lending transactions, or specific end-use cases. All loan servicing and repayments must be executed directly by borrowers in the lender's bank account without pass-through accounts. Funds flow between borrowers and lenders must not be controlled by third parties, and fees payable to LSPs must be directly handled by the lender without charging borrowers.</t>
        </is>
      </c>
      <c r="L1175" s="11" t="inlineStr">
        <is>
          <t>Requires direct bank account transfers for loans, prohibits third-party fund control, and mandates lender responsibility for LSP fees — essential for ensuring data flows remain within India and avoid cross-border data transfer risks.</t>
        </is>
      </c>
      <c r="M1175" s="11" t="inlineStr">
        <is>
          <t>• [Must] Loan disbursement must be made into borrower's bank account except for statutory mandates, co-lending transactions, or specific end-use cases
• [Must] All loan servicing and repayments must be executed directly in RE's bank account without third-party pass-through accounts
• [Must] Funds flow between borrower and RE must not be controlled by third parties including LSPs
• [Must] Fees payable to LSPs must be paid directly by RE without being charged to borrowers</t>
        </is>
      </c>
      <c r="N1175" s="11" t="inlineStr">
        <is>
          <t>RE shall ensure that in no case, disbursal is made to a third-party account, including the accounts of LSP, except as provided for in these Directions.</t>
        </is>
      </c>
      <c r="O1175" s="12" t="inlineStr">
        <is>
          <t>Open PDF</t>
        </is>
      </c>
    </row>
    <row r="1176">
      <c r="A1176" t="inlineStr">
        <is>
          <t>India</t>
        </is>
      </c>
      <c r="B1176" t="inlineStr">
        <is>
          <t>RBI Digital Lending Directions 2025 Digital Lending Guidelines 2022 (India - Row 14)</t>
        </is>
      </c>
      <c r="C1176" t="inlineStr">
        <is>
          <t>10</t>
        </is>
      </c>
      <c r="D1176" s="11" t="inlineStr">
        <is>
          <t>Cooling-off period for loan exits</t>
        </is>
      </c>
      <c r="E1176" t="inlineStr">
        <is>
          <t>10</t>
        </is>
      </c>
      <c r="F1176" t="inlineStr">
        <is>
          <t>High</t>
        </is>
      </c>
      <c r="G1176" t="inlineStr">
        <is>
          <t>High (explicit)</t>
        </is>
      </c>
      <c r="H1176" s="11" t="inlineStr">
        <is>
          <t>Data Sharing</t>
        </is>
      </c>
      <c r="I1176" s="11" t="inlineStr">
        <is>
          <t>Financial Data</t>
        </is>
      </c>
      <c r="J1176" t="inlineStr">
        <is>
          <t>Reserve Bank of India (RBI)</t>
        </is>
      </c>
      <c r="K1176" s="11" t="inlineStr">
        <is>
          <t>Borrowers must be given a cooling-off period during which they can exit a digital loan by repaying principal and proportionate APR without penalty. The period must be at least one day and determined by the RE's board. REs may retain a one-time processing fee if borrowers exit during this period, but this must be disclosed upfront in the KFS.</t>
        </is>
      </c>
      <c r="L1176" s="11" t="inlineStr">
        <is>
          <t>Requires a minimum one-day cooling-off period for loan exits, with clear exit mechanisms — relevant for data transfer impact assessments as it affects borrower consent and data retention timelines.</t>
        </is>
      </c>
      <c r="M1176" s="11" t="inlineStr">
        <is>
          <t>• [Must] Borrower must have explicit option to exit loan by repaying principal and proportionate APR without penalty during cooling-off period
• [Must] Cooling-off period must be at least one day and determined by RE's board
• [May] RE may retain one-time processing fee if borrower exits during cooling-off period, disclosed upfront in KFS</t>
        </is>
      </c>
      <c r="N1176" s="11" t="inlineStr">
        <is>
          <t>The borrower shall be given an explicit option to exit a digital loan by paying the principal and the proportionate APR without any penalty during an initial 'cooling-off period'.</t>
        </is>
      </c>
      <c r="O1176" s="12" t="inlineStr">
        <is>
          <t>Open PDF</t>
        </is>
      </c>
    </row>
    <row r="1177">
      <c r="A1177" t="inlineStr">
        <is>
          <t>India</t>
        </is>
      </c>
      <c r="B1177" t="inlineStr">
        <is>
          <t>RBI Digital Lending Directions 2025 Digital Lending Guidelines 2022 (India - Row 14)</t>
        </is>
      </c>
      <c r="C1177" t="inlineStr">
        <is>
          <t>11</t>
        </is>
      </c>
      <c r="D1177" s="11" t="inlineStr">
        <is>
          <t>Grievance redressal mechanisms</t>
        </is>
      </c>
      <c r="E1177" t="inlineStr">
        <is>
          <t>10–11</t>
        </is>
      </c>
      <c r="F1177" t="inlineStr">
        <is>
          <t>High</t>
        </is>
      </c>
      <c r="G1177" t="inlineStr">
        <is>
          <t>High (explicit)</t>
        </is>
      </c>
      <c r="H1177" s="11" t="inlineStr">
        <is>
          <t>Data Sharing</t>
        </is>
      </c>
      <c r="I1177" s="11" t="inlineStr">
        <is>
          <t>Personal Information</t>
        </is>
      </c>
      <c r="J1177" t="inlineStr">
        <is>
          <t>Reserve Bank of India (RBI)</t>
        </is>
      </c>
      <c r="K1177" s="11" t="inlineStr">
        <is>
          <t>Digital lenders and their LSPs must designate nodal grievance redressal officers for borrower complaints. Contact details must be prominently displayed on websites, DLAs, and KFS. Borrowers can escalate complaints to RBI's CMS portal if unresolved within 30 days, with RE retaining responsibility for grievance resolution.</t>
        </is>
      </c>
      <c r="L1177" s="11" t="inlineStr">
        <is>
          <t>Mandates clear grievance channels and RBI escalation pathways — critical for data transfer impact assessments as it ensures accountability for data-related complaints across borders.</t>
        </is>
      </c>
      <c r="M1177" s="11" t="inlineStr">
        <is>
          <t>• [Must] RE and LSP must designate nodal grievance redressal officers for digital lending complaints
• [Must] Contact details of nodal officers must be prominently displayed on RE's website, LSPs, and DLA
• [Must] Borrowers can escalate complaints to RBI's CMS portal if unresolved within 30 days</t>
        </is>
      </c>
      <c r="N1177" s="11" t="inlineStr">
        <is>
          <t>The RE, and the LSP which has an interface with the borrower, shall designate nodal grievance redressal officers to deal with digital lending related complaints/issues raised by the borrower.</t>
        </is>
      </c>
      <c r="O1177" s="12" t="inlineStr">
        <is>
          <t>Open PDF</t>
        </is>
      </c>
    </row>
    <row r="1178">
      <c r="A1178" t="inlineStr">
        <is>
          <t>India</t>
        </is>
      </c>
      <c r="B1178" t="inlineStr">
        <is>
          <t>RBI Digital Lending Directions 2025 Digital Lending Guidelines 2022 (India - Row 14)</t>
        </is>
      </c>
      <c r="C1178" t="inlineStr">
        <is>
          <t>12</t>
        </is>
      </c>
      <c r="D1178" s="11" t="inlineStr">
        <is>
          <t>Data consent and third-party sharing</t>
        </is>
      </c>
      <c r="E1178" t="inlineStr">
        <is>
          <t>11–12</t>
        </is>
      </c>
      <c r="F1178" t="inlineStr">
        <is>
          <t>High</t>
        </is>
      </c>
      <c r="G1178" t="inlineStr">
        <is>
          <t>High (explicit)</t>
        </is>
      </c>
      <c r="H1178" s="11" t="inlineStr">
        <is>
          <t>Data Sharing, Consent, Data Storage</t>
        </is>
      </c>
      <c r="I1178" s="11" t="inlineStr">
        <is>
          <t>Personal Information, Financial Data</t>
        </is>
      </c>
      <c r="J1178" t="inlineStr">
        <is>
          <t>Reserve Bank of India (RBI)</t>
        </is>
      </c>
      <c r="K1178" s="11" t="inlineStr">
        <is>
          <t>Digital lenders must collect data need-based with explicit consent and audit trail. They must not access mobile phone resources like contacts or call logs, except for one-time access to camera/microphone/location for KYC. Borrowers must be given options to manage consent, restrict third-party sharing, and delete data. Explicit consent is required before sharing personal information with third parties, except for statutory mandates.</t>
        </is>
      </c>
      <c r="L1178" s="11" t="inlineStr">
        <is>
          <t>Requires explicit consent for data collection and sharing, with strict limitations on mobile data access — directly impacts data transfer impact assessments by defining consent mechanisms and third-party data flows.</t>
        </is>
      </c>
      <c r="M1178" s="11" t="inlineStr">
        <is>
          <t>• [Must] RE must ensure data collection is need-based with prior and explicit consent and audit trail
• [Must Not] RE must not access mobile phone resources like contacts, call logs, etc., except for one-time access to camera/microphone/location for KYC
• [Must] Borrowers must be provided options to manage consent, restrict third-party sharing, and delete data
• [Must] Explicit consent required before sharing personal information with third parties, except for statutory mandates</t>
        </is>
      </c>
      <c r="N1178" s="11" t="inlineStr">
        <is>
          <t>RE shall ensure that any collection of data by their DLA and DLA of their LSP is need-based and with prior and explicit consent of the borrower having audit trail.</t>
        </is>
      </c>
      <c r="O1178" s="12" t="inlineStr">
        <is>
          <t>Open PDF</t>
        </is>
      </c>
    </row>
    <row r="1179">
      <c r="A1179" t="inlineStr">
        <is>
          <t>India</t>
        </is>
      </c>
      <c r="B1179" t="inlineStr">
        <is>
          <t>RBI Digital Lending Directions 2025 Digital Lending Guidelines 2022 (India - Row 14)</t>
        </is>
      </c>
      <c r="C1179" t="inlineStr">
        <is>
          <t>13</t>
        </is>
      </c>
      <c r="D1179" s="11" t="inlineStr">
        <is>
          <t>Data storage and localization requirements</t>
        </is>
      </c>
      <c r="E1179" t="inlineStr">
        <is>
          <t>12–13</t>
        </is>
      </c>
      <c r="F1179" t="inlineStr">
        <is>
          <t>High</t>
        </is>
      </c>
      <c r="G1179" t="inlineStr">
        <is>
          <t>High (explicit)</t>
        </is>
      </c>
      <c r="H1179" s="11" t="inlineStr">
        <is>
          <t>Data Storage, Data Residency, Security</t>
        </is>
      </c>
      <c r="I1179" s="11" t="inlineStr">
        <is>
          <t>Personal Information, Financial Data</t>
        </is>
      </c>
      <c r="J1179" t="inlineStr">
        <is>
          <t>Reserve Bank of India (RBI)</t>
        </is>
      </c>
      <c r="K1179" s="11" t="inlineStr">
        <is>
          <t>Digital lenders must ensure LSPs store only minimal borrower data (name, address, contact details) and retain responsibility for data privacy and security. Clear policies on data storage duration, usage restrictions, and destruction protocols must be disclosed. Biometric data storage is prohibited unless permitted by statutory guidelines. All data must be stored within India, with data processed outside India deleted within 24 hours and brought back to India.</t>
        </is>
      </c>
      <c r="L1179" s="11" t="inlineStr">
        <is>
          <t>Mandates data localization within India, strict storage duration limits, and immediate data re-transfer requirements for cross-border processing — critical for data transfer impact assessments involving international data flows.</t>
        </is>
      </c>
      <c r="M1179" s="11" t="inlineStr">
        <is>
          <t>• [Must] LSPs may store only minimal borrower data (name, address, contact details) for operational purposes
• [Must] RE must retain responsibility for data privacy and security of borrower information
• [Must] Clear policies on data storage duration, usage restrictions, and destruction protocols must be disclosed
• [Must Not] Biometric data storage prohibited unless permitted by statutory guidelines
• [Must] All data must be stored only in servers within India
• [Must] Data processed outside India must be deleted within 24 hours and brought back to India</t>
        </is>
      </c>
      <c r="N1179" s="11" t="inlineStr">
        <is>
          <t>RE shall ensure that all data is stored only in servers located within India, while ensuring compliance with statutory obligations/regulatory instructions.</t>
        </is>
      </c>
      <c r="O1179" s="12" t="inlineStr">
        <is>
          <t>Open PDF</t>
        </is>
      </c>
    </row>
    <row r="1180">
      <c r="A1180" t="inlineStr">
        <is>
          <t>India</t>
        </is>
      </c>
      <c r="B1180" t="inlineStr">
        <is>
          <t>RBI Digital Lending Directions 2025 Digital Lending Guidelines 2022 (India - Row 14)</t>
        </is>
      </c>
      <c r="C1180" t="inlineStr">
        <is>
          <t>14</t>
        </is>
      </c>
      <c r="D1180" s="11" t="inlineStr">
        <is>
          <t>Public availability of comprehensive privacy policy</t>
        </is>
      </c>
      <c r="E1180" t="inlineStr">
        <is>
          <t>13</t>
        </is>
      </c>
      <c r="F1180" t="inlineStr">
        <is>
          <t>Medium</t>
        </is>
      </c>
      <c r="G1180" t="inlineStr">
        <is>
          <t>High (explicit)</t>
        </is>
      </c>
      <c r="H1180" s="11" t="inlineStr">
        <is>
          <t>Third Party Processing</t>
        </is>
      </c>
      <c r="I1180" s="11" t="inlineStr">
        <is>
          <t>Personal Information</t>
        </is>
      </c>
      <c r="J1180" t="inlineStr">
        <is>
          <t>RBI</t>
        </is>
      </c>
      <c r="K1180" s="11" t="inlineStr">
        <is>
          <t>Retail Entities (REs) and LSPs must maintain a publicly accessible privacy policy compliant with laws, regulations, and RBI guidelines. The policy must detail third parties involved in collecting personal information through Digital Lending Arrangements (DLAs). This applies to all REs and their LSPs engaged in digital lending activities.</t>
        </is>
      </c>
      <c r="L1180" s="11" t="inlineStr">
        <is>
          <t>Requires transparency in data handling practices for cross-border transfers by mandating public disclosure of privacy policies and third-party data collection details.</t>
        </is>
      </c>
      <c r="M1180" s="11" t="inlineStr">
        <is>
          <t>• [Must] RE and LSPs must have a comprehensive privacy policy compliant with applicable laws, regulations, and RBI guidelines
• [Must] Privacy policy must be made publicly available on RE or LSP websites
• [Must] Details of third parties allowed to collect personal information through DLAs must be disclosed in the privacy policy</t>
        </is>
      </c>
      <c r="N1180" s="11" t="inlineStr">
        <is>
          <t>RE and LSPs engaged by RE shall have a comprehensive privacy policy compliant with applicable laws, associated regulations and RBI guidelines which shall be made available publicly on the website of RE and LSP, as the case may be.</t>
        </is>
      </c>
      <c r="O1180" s="12" t="inlineStr">
        <is>
          <t>Open PDF</t>
        </is>
      </c>
    </row>
    <row r="1181">
      <c r="A1181" t="inlineStr">
        <is>
          <t>India</t>
        </is>
      </c>
      <c r="B1181" t="inlineStr">
        <is>
          <t>RBI Digital Lending Directions 2025 Digital Lending Guidelines 2022 (India - Row 14)</t>
        </is>
      </c>
      <c r="C1181" t="inlineStr">
        <is>
          <t>15</t>
        </is>
      </c>
      <c r="D1181" s="11" t="inlineStr">
        <is>
          <t>Cybersecurity technology standards for digital lending</t>
        </is>
      </c>
      <c r="E1181" t="inlineStr">
        <is>
          <t>13</t>
        </is>
      </c>
      <c r="F1181" t="inlineStr">
        <is>
          <t>High</t>
        </is>
      </c>
      <c r="G1181" t="inlineStr">
        <is>
          <t>High (explicit)</t>
        </is>
      </c>
      <c r="H1181" s="11" t="inlineStr">
        <is>
          <t>Security</t>
        </is>
      </c>
      <c r="I1181" s="11" t="inlineStr">
        <is>
          <t>Financial Data</t>
        </is>
      </c>
      <c r="J1181" t="inlineStr">
        <is>
          <t>RBI</t>
        </is>
      </c>
      <c r="K1181" s="11" t="inlineStr">
        <is>
          <t>Retail Entities must ensure their digital lending platforms and third-party LSPs comply with RBI and other relevant agencies' cybersecurity standards. This includes implementing necessary technology standards for secure digital lending operations.</t>
        </is>
      </c>
      <c r="L1181" s="11" t="inlineStr">
        <is>
          <t>Sets cybersecurity requirements for digital lending platforms, impacting data security during cross-border transfers.</t>
        </is>
      </c>
      <c r="M1181" s="11" t="inlineStr">
        <is>
          <t>• [Must] RE and LSPs must comply with technology standards for cybersecurity stipulated by RBI and other relevant agencies</t>
        </is>
      </c>
      <c r="N1181" s="11" t="inlineStr">
        <is>
          <t>RE shall ensure that they and the LSPs engaged by them comply with various technology standards/ requirements on cybersecurity stipulated by RBI and other relevant agencies, or as may be specified from time to time, for undertaking digital lending.</t>
        </is>
      </c>
      <c r="O1181" s="12" t="inlineStr">
        <is>
          <t>Open PDF</t>
        </is>
      </c>
    </row>
    <row r="1182">
      <c r="A1182" t="inlineStr">
        <is>
          <t>India</t>
        </is>
      </c>
      <c r="B1182" t="inlineStr">
        <is>
          <t>RBI Digital Lending Directions 2025 Digital Lending Guidelines 2022 (India - Row 14)</t>
        </is>
      </c>
      <c r="C1182" t="inlineStr">
        <is>
          <t>16</t>
        </is>
      </c>
      <c r="D1182" s="11" t="inlineStr">
        <is>
          <t>Mandatory reporting of digital lending to credit information companies</t>
        </is>
      </c>
      <c r="E1182" t="inlineStr">
        <is>
          <t>13</t>
        </is>
      </c>
      <c r="F1182" t="inlineStr">
        <is>
          <t>High</t>
        </is>
      </c>
      <c r="G1182" t="inlineStr">
        <is>
          <t>High (explicit)</t>
        </is>
      </c>
      <c r="H1182" s="11" t="inlineStr"/>
      <c r="I1182" s="11" t="inlineStr">
        <is>
          <t>Financial Data</t>
        </is>
      </c>
      <c r="J1182" t="inlineStr">
        <is>
          <t>RBI</t>
        </is>
      </c>
      <c r="K1182" s="11" t="inlineStr">
        <is>
          <t>Retail Entities must report all digital lending activities to Credit Information Companies (CICs) regardless of loan type or duration. This includes reporting deferred payment credit products and ensuring LSPs comply with outsourcing guidelines when involved in such products.</t>
        </is>
      </c>
      <c r="L1182" s="11" t="inlineStr">
        <is>
          <t>Requires reporting of digital lending data to CICs, which affects data sharing and cross-border data flows for credit information.</t>
        </is>
      </c>
      <c r="M1182" s="11" t="inlineStr">
        <is>
          <t>• [Must] RE must report all lending done through DLAs to CICs irrespective of loan nature or tenor
• [Must] RE must ensure LSPs comply with outsourcing guidelines for deferred payment credit products</t>
        </is>
      </c>
      <c r="N1182" s="11" t="inlineStr">
        <is>
          <t>RE shall ensure that any lending done through their DLAs and/or DLAs of LSPs is reported by them to CICs irrespective of its nature/ tenor.</t>
        </is>
      </c>
      <c r="O1182" s="12" t="inlineStr">
        <is>
          <t>Open PDF</t>
        </is>
      </c>
    </row>
    <row r="1183">
      <c r="A1183" t="inlineStr">
        <is>
          <t>India</t>
        </is>
      </c>
      <c r="B1183" t="inlineStr">
        <is>
          <t>RBI Digital Lending Directions 2025 Digital Lending Guidelines 2022 (India - Row 14)</t>
        </is>
      </c>
      <c r="C1183" t="inlineStr">
        <is>
          <t>17</t>
        </is>
      </c>
      <c r="D1183" s="11" t="inlineStr">
        <is>
          <t>Reporting of digital lending arrangements to RBI</t>
        </is>
      </c>
      <c r="E1183" t="inlineStr">
        <is>
          <t>13–15</t>
        </is>
      </c>
      <c r="F1183" t="inlineStr">
        <is>
          <t>High</t>
        </is>
      </c>
      <c r="G1183" t="inlineStr">
        <is>
          <t>High (explicit)</t>
        </is>
      </c>
      <c r="H1183" s="11" t="inlineStr">
        <is>
          <t>Data Residency</t>
        </is>
      </c>
      <c r="I1183" s="11" t="inlineStr">
        <is>
          <t>Financial Data</t>
        </is>
      </c>
      <c r="J1183" t="inlineStr">
        <is>
          <t>RBI</t>
        </is>
      </c>
      <c r="K1183" s="11" t="inlineStr">
        <is>
          <t>Retail Entities must report all deployed Digital Lending Arrangements (DLAs) to RBI's CIMS portal, including updates when new DLAs are deployed or existing ones cease. The Chief Compliance Officer must certify that DLAs comply with regulations and are correctly reported.</t>
        </is>
      </c>
      <c r="L1183" s="11" t="inlineStr">
        <is>
          <t>Requires detailed reporting of digital lending infrastructure to RBI, impacting data residency and cross-border data flows.</t>
        </is>
      </c>
      <c r="M1183" s="11" t="inlineStr">
        <is>
          <t>• [Must] RE must report all DLAs deployed or joined by them on RBI's CIMS portal
• [Must] RE must update CIMS with new DLAs or discontinued ones
• [Must] Chief Compliance Officer must certify that DLA data on CIMS is correct and compliant
• [Must] DLAs must link to RE's website with loan product details, customer care, privacy policies, etc.
• [Must] DLAs (if owned by LSP) must have a nodal grievance redressal officer
• [Must] DLAs must comply with data collection and storage requirements
• [Must] DLA details must be prominently disclosed on RE's website
• [Must] RE must ensure timely reporting of DLAs by June 15, 2025</t>
        </is>
      </c>
      <c r="N1183" s="11" t="inlineStr">
        <is>
          <t>RE shall report all DLAs deployed/ joined by them, whether their own or those of the LSPs, either exclusively or as a platform participant, on the Centralised Withdrawn Information Management System (CIMS) portal of RBI in the requisite format as given in the Annex-I to these Directions.</t>
        </is>
      </c>
      <c r="O1183" s="12" t="inlineStr">
        <is>
          <t>Open PDF</t>
        </is>
      </c>
    </row>
    <row r="1184">
      <c r="A1184" t="inlineStr">
        <is>
          <t>India</t>
        </is>
      </c>
      <c r="B1184" t="inlineStr">
        <is>
          <t>RBI Digital Lending Directions 2025 Digital Lending Guidelines 2022 (India - Row 14)</t>
        </is>
      </c>
      <c r="C1184" t="inlineStr">
        <is>
          <t>19</t>
        </is>
      </c>
      <c r="D1184" s="11" t="inlineStr">
        <is>
          <t>Due diligence for digital lending guarantee providers</t>
        </is>
      </c>
      <c r="E1184" t="inlineStr">
        <is>
          <t>15–16</t>
        </is>
      </c>
      <c r="F1184" t="inlineStr">
        <is>
          <t>High</t>
        </is>
      </c>
      <c r="G1184" t="inlineStr">
        <is>
          <t>High (explicit)</t>
        </is>
      </c>
      <c r="H1184" s="11" t="inlineStr"/>
      <c r="I1184" s="11" t="inlineStr">
        <is>
          <t>Financial Data</t>
        </is>
      </c>
      <c r="J1184" t="inlineStr">
        <is>
          <t>RBI</t>
        </is>
      </c>
      <c r="K1184" s="11" t="inlineStr">
        <is>
          <t>Retail Entities must establish a Board-approved policy before entering into Digital Lending Guarantee (DLG) arrangements. The policy must include eligibility criteria, DLG coverage details, monitoring processes, and fee structures. RE must ensure DLG providers can honor commitments and maintain robust credit underwriting standards.</t>
        </is>
      </c>
      <c r="L1184" s="11" t="inlineStr">
        <is>
          <t>Requires due diligence on DLG providers, impacting risk assessment and data sharing with third parties.</t>
        </is>
      </c>
      <c r="M1184" s="11" t="inlineStr">
        <is>
          <t>• [Must] RE must have a Board-approved policy before entering DLG arrangements
• [Must] Policy must include eligibility criteria for DLG providers
• [Must] Policy must detail nature and extent of DLG cover
• [Must] Policy must specify monitoring and review processes for DLG arrangements
• [Must] Policy must include details of fees payable or received by DLG providers
• [Must] RE must ensure DLG arrangements do not substitute credit appraisal requirements
• [Must] RE must obtain information to verify DLG provider's ability to honor commitments
• [Must] DLG provider must submit a certified declaration on outstanding DLG amounts, number of REs, portfolios, and past default rates</t>
        </is>
      </c>
      <c r="N1184" s="11" t="inlineStr">
        <is>
          <t>RE, including a RE acting as DLG provider, shall put in place a Board approved policy before entering into any DLG arrangement.</t>
        </is>
      </c>
      <c r="O1184" s="12" t="inlineStr">
        <is>
          <t>Open PDF</t>
        </is>
      </c>
    </row>
    <row r="1185">
      <c r="A1185" t="inlineStr">
        <is>
          <t>India</t>
        </is>
      </c>
      <c r="B1185" t="inlineStr">
        <is>
          <t>RBI Digital Lending Directions 2025 Digital Lending Guidelines 2022 (India - Row 14)</t>
        </is>
      </c>
      <c r="C1185" t="inlineStr">
        <is>
          <t>20</t>
        </is>
      </c>
      <c r="D1185" s="11" t="inlineStr">
        <is>
          <t>Restrictions on digital lending guarantee arrangements</t>
        </is>
      </c>
      <c r="E1185" t="inlineStr">
        <is>
          <t>16</t>
        </is>
      </c>
      <c r="F1185" t="inlineStr">
        <is>
          <t>High</t>
        </is>
      </c>
      <c r="G1185" t="inlineStr">
        <is>
          <t>High (explicit)</t>
        </is>
      </c>
      <c r="H1185" s="11" t="inlineStr"/>
      <c r="I1185" s="11" t="inlineStr">
        <is>
          <t>Financial Data</t>
        </is>
      </c>
      <c r="J1185" t="inlineStr">
        <is>
          <t>RBI</t>
        </is>
      </c>
      <c r="K1185" s="11" t="inlineStr">
        <is>
          <t>Retail Entities cannot enter into DLG arrangements for revolving credit facilities through digital lending channels or credit cards. They also cannot enter into DLG arrangements for loans covered by credit guarantee schemes administered by trust funds. NBFC-P2P entities are prohibited from entering into DLG arrangements for loans facilitated over their platforms.</t>
        </is>
      </c>
      <c r="L1185" s="11" t="inlineStr">
        <is>
          <t>Sets specific restrictions on DLG arrangements, affecting data transfer and processing for certain financial products.</t>
        </is>
      </c>
      <c r="M1185" s="11" t="inlineStr">
        <is>
          <t>• [Must Not] RE shall not enter into DLG arrangements for revolving credit facilities offered through digital lending channel and credit cards
• [Must Not] RE shall not enter into DLG arrangements for loans covered by credit guarantee schemes administered by trust funds
• [Must Not] NBFC-P2P shall not enter into DLG arrangements for loans facilitated over their platform</t>
        </is>
      </c>
      <c r="N1185" s="11" t="inlineStr">
        <is>
          <t>RE shall not enter into DLG arrangements for revolving credit facilities offered through digital lending channel and credit cards as defined under Master Direction – Credit Card and Debit Card – Issuance and Conduct Directions, 2022 dated April 21, 2022.</t>
        </is>
      </c>
      <c r="O1185" s="12" t="inlineStr">
        <is>
          <t>Open PDF</t>
        </is>
      </c>
    </row>
    <row r="1186">
      <c r="A1186" t="inlineStr">
        <is>
          <t>India</t>
        </is>
      </c>
      <c r="B1186" t="inlineStr">
        <is>
          <t>RBI Digital Lending Directions 2025 Digital Lending Guidelines 2022 (India - Row 14)</t>
        </is>
      </c>
      <c r="C1186" t="inlineStr">
        <is>
          <t>25</t>
        </is>
      </c>
      <c r="D1186" s="11" t="inlineStr">
        <is>
          <t>Regulatory capital treatment for digital lending guarantees</t>
        </is>
      </c>
      <c r="E1186" t="inlineStr">
        <is>
          <t>18</t>
        </is>
      </c>
      <c r="F1186" t="inlineStr">
        <is>
          <t>High</t>
        </is>
      </c>
      <c r="G1186" t="inlineStr">
        <is>
          <t>High (explicit)</t>
        </is>
      </c>
      <c r="H1186" s="11" t="inlineStr">
        <is>
          <t>Financial Data</t>
        </is>
      </c>
      <c r="I1186" s="11" t="inlineStr">
        <is>
          <t>Financial Data</t>
        </is>
      </c>
      <c r="J1186" t="inlineStr">
        <is>
          <t>RBI</t>
        </is>
      </c>
      <c r="K1186" s="11" t="inlineStr">
        <is>
          <t>This section mandates that capital computation for individual loan assets under digital lending guarantees (DLGs) continues using existing norms. DLG providers that are REs (Reserve Enterprises) must deduct the full outstanding DLG amount from their capital. The section specifies that capital calculations for credit risk mitigation must follow extant regulatory frameworks.</t>
        </is>
      </c>
      <c r="L1186" s="11" t="inlineStr">
        <is>
          <t>DLG arrangements must be deducted from capital for REs, impacting capital adequacy calculations for financial institutions engaged in digital lending.</t>
        </is>
      </c>
      <c r="M1186" s="11" t="inlineStr">
        <is>
          <t>• [Must] Capital computation for individual loan assets under DLG must follow extant norms
• [Must] REs must deduct full outstanding DLG amount from capital</t>
        </is>
      </c>
      <c r="N1186" s="11" t="inlineStr">
        <is>
          <t>Capital computation, i.e., computation of exposure and application of Credit Risk Mitigation benefits on individual loan assets in the portfolio shall continue to be governed by the extant norms.</t>
        </is>
      </c>
      <c r="O1186" s="12" t="inlineStr">
        <is>
          <t>Open PDF</t>
        </is>
      </c>
    </row>
    <row r="1187">
      <c r="A1187" t="inlineStr">
        <is>
          <t>India</t>
        </is>
      </c>
      <c r="B1187" t="inlineStr">
        <is>
          <t>RBI Digital Lending Directions 2025 Digital Lending Guidelines 2022 (India - Row 14)</t>
        </is>
      </c>
      <c r="C1187" t="inlineStr">
        <is>
          <t>27</t>
        </is>
      </c>
      <c r="D1187" s="11" t="inlineStr">
        <is>
          <t>Monthly disclosure of DLG portfolio details to public</t>
        </is>
      </c>
      <c r="E1187" t="inlineStr">
        <is>
          <t>18–19</t>
        </is>
      </c>
      <c r="F1187" t="inlineStr">
        <is>
          <t>High</t>
        </is>
      </c>
      <c r="G1187" t="inlineStr">
        <is>
          <t>High (explicit)</t>
        </is>
      </c>
      <c r="H1187" s="11" t="inlineStr"/>
      <c r="I1187" s="11" t="inlineStr">
        <is>
          <t>Financial Data</t>
        </is>
      </c>
      <c r="J1187" t="inlineStr">
        <is>
          <t>RBI</t>
        </is>
      </c>
      <c r="K1187" s="11" t="inlineStr">
        <is>
          <t>REs must publish monthly on their website the total number of portfolios and respective amounts of each portfolio covered by DLG. The RE's name may or may not be disclosed. Disclosure must be completed within seven working days after the month ends. This section establishes transparency requirements for DLG arrangements.</t>
        </is>
      </c>
      <c r="L1187" s="11" t="inlineStr">
        <is>
          <t>REs must publicly disclose DLG portfolio details monthly, creating transparency requirements for data transfer impact assessments involving digital lending guarantees.</t>
        </is>
      </c>
      <c r="M1187" s="11" t="inlineStr">
        <is>
          <t>• [Must] REs must publish monthly on website total portfolios and respective DLG amounts
• [May] RE name may or may not be disclosed in public disclosures
• [Must] Monthly disclosures must be completed within seven working days after month ends</t>
        </is>
      </c>
      <c r="N1187" s="11" t="inlineStr">
        <is>
          <t>RE shall put in place a mechanism to ensure that LSPs with whom they have a DLG arrangement shall publish on their website the total number of portfolios and the respective amount of each portfolio on which DLG has been offered.</t>
        </is>
      </c>
      <c r="O1187" s="12" t="inlineStr">
        <is>
          <t>Open PDF</t>
        </is>
      </c>
    </row>
    <row r="1188">
      <c r="A1188" t="inlineStr">
        <is>
          <t>India</t>
        </is>
      </c>
      <c r="B1188" t="inlineStr">
        <is>
          <t>RBI Digital Lending Directions 2025 Digital Lending Guidelines 2022 (India - Row 14)</t>
        </is>
      </c>
      <c r="C1188" t="inlineStr">
        <is>
          <t>28</t>
        </is>
      </c>
      <c r="D1188" s="11" t="inlineStr">
        <is>
          <t>Exclusions for DLG coverage under specific schemes</t>
        </is>
      </c>
      <c r="E1188" t="inlineStr">
        <is>
          <t>19</t>
        </is>
      </c>
      <c r="F1188" t="inlineStr">
        <is>
          <t>High</t>
        </is>
      </c>
      <c r="G1188" t="inlineStr">
        <is>
          <t>High (explicit)</t>
        </is>
      </c>
      <c r="H1188" s="11" t="inlineStr"/>
      <c r="I1188" s="11" t="inlineStr">
        <is>
          <t>Financial Data</t>
        </is>
      </c>
      <c r="J1188" t="inlineStr">
        <is>
          <t>RBI</t>
        </is>
      </c>
      <c r="K1188" s="11" t="inlineStr">
        <is>
          <t>Guarantees covered under specific schemes like CGTMSE, CRGFTLIH, NCGTC, BIS, IMF, and Multilateral Development Banks are excluded from DLG coverage. This section defines which guarantees do not qualify as DLG under the regulatory framework.</t>
        </is>
      </c>
      <c r="L1188" s="11" t="inlineStr">
        <is>
          <t>Certain guarantees (e.g., government-backed schemes) are excluded from DLG coverage, reducing the scope of data transfer impact assessments for these specific instruments.</t>
        </is>
      </c>
      <c r="M1188" s="11" t="inlineStr">
        <is>
          <t>• [Must Not] CGTMSE, CRGFTLIH, and NCGTC schemes are excluded from DLG coverage
• [Must Not] BIS, IMF, and Multilateral Development Bank guarantees are excluded from DLG coverage</t>
        </is>
      </c>
      <c r="N1188" s="11" t="inlineStr">
        <is>
          <t>Guarantees covered under the following schemes/ entities shall not be covered within the definition of DLG</t>
        </is>
      </c>
      <c r="O1188" s="12" t="inlineStr">
        <is>
          <t>Open PDF</t>
        </is>
      </c>
    </row>
    <row r="1189">
      <c r="A1189" t="inlineStr">
        <is>
          <t>India</t>
        </is>
      </c>
      <c r="B1189" t="inlineStr">
        <is>
          <t>RBI Digital Lending Directions 2025 Digital Lending Guidelines 2022 (India - Row 14)</t>
        </is>
      </c>
      <c r="C1189" t="inlineStr">
        <is>
          <t>29</t>
        </is>
      </c>
      <c r="D1189" s="11" t="inlineStr">
        <is>
          <t>Special provisions for credit card EMIs and DLG arrangements</t>
        </is>
      </c>
      <c r="E1189" t="inlineStr">
        <is>
          <t>19–20</t>
        </is>
      </c>
      <c r="F1189" t="inlineStr">
        <is>
          <t>High</t>
        </is>
      </c>
      <c r="G1189" t="inlineStr">
        <is>
          <t>High (explicit)</t>
        </is>
      </c>
      <c r="H1189" s="11" t="inlineStr">
        <is>
          <t>Financial Data</t>
        </is>
      </c>
      <c r="I1189" s="11" t="inlineStr">
        <is>
          <t>Financial Data</t>
        </is>
      </c>
      <c r="J1189" t="inlineStr">
        <is>
          <t>RBI</t>
        </is>
      </c>
      <c r="K1189" s="11" t="inlineStr">
        <is>
          <t>EMI programs on credit cards are governed by specific Master Directions and not covered under DLG. Other credit card loans fall under DLG. DLG arrangements conforming to Chapter VI instructions are not treated as synthetic securitisation or loan participation. These Directions do not override other extant regulatory norms.</t>
        </is>
      </c>
      <c r="L1189" s="11" t="inlineStr">
        <is>
          <t>DLG arrangements must comply with specific credit card EMIs and securitisation rules, affecting data transfer impact assessments for financial institutions using credit card-based lending.</t>
        </is>
      </c>
      <c r="M1189" s="11" t="inlineStr">
        <is>
          <t>• [Must] Credit card EMI programs are governed by specific Master Directions and not covered under DLG
• [Must] DLG arrangements conforming to Chapter VI instructions are not treated as synthetic securitisation
• [Must] DLG arrangements conforming to Chapter VI instructions do not attract loan participation provisions
• [Must] These Directions do not override other extant regulatory norms</t>
        </is>
      </c>
      <c r="N1189" s="11" t="inlineStr">
        <is>
          <t>DLG arrangements entered between RE and LSP conforming to the instructions laid down in Chapter VI of these Directions shall not be treated as synthetic securitisation</t>
        </is>
      </c>
      <c r="O1189" s="12" t="inlineStr">
        <is>
          <t>Open PDF</t>
        </is>
      </c>
    </row>
    <row r="1190">
      <c r="A1190" t="inlineStr">
        <is>
          <t>India</t>
        </is>
      </c>
      <c r="B1190" t="inlineStr">
        <is>
          <t>RBI Digital Lending Directions 2025 Digital Lending Guidelines 2022 (India - Row 14)</t>
        </is>
      </c>
      <c r="C1190" t="inlineStr">
        <is>
          <t>30</t>
        </is>
      </c>
      <c r="D1190" s="11" t="inlineStr">
        <is>
          <t>Repeal of previous circulars and transitional provisions</t>
        </is>
      </c>
      <c r="E1190" t="inlineStr">
        <is>
          <t>20–24</t>
        </is>
      </c>
      <c r="F1190" t="inlineStr">
        <is>
          <t>High</t>
        </is>
      </c>
      <c r="G1190" t="inlineStr">
        <is>
          <t>High (explicit)</t>
        </is>
      </c>
      <c r="H1190" s="11" t="inlineStr"/>
      <c r="I1190" s="11" t="inlineStr">
        <is>
          <t>Financial Data</t>
        </is>
      </c>
      <c r="J1190" t="inlineStr">
        <is>
          <t>RBI</t>
        </is>
      </c>
      <c r="K1190" s="11" t="inlineStr">
        <is>
          <t>The Directions repeal specific circulars mentioned in Annex III. Actions taken under repealed circulars remain valid if not inconsistent with these Directions. This section handles the transition from previous regulations to the new framework.</t>
        </is>
      </c>
      <c r="L1190" s="11" t="inlineStr">
        <is>
          <t>Repeal provisions ensure continuity of regulatory compliance for financial institutions transitioning from old to new DLG frameworks.</t>
        </is>
      </c>
      <c r="M1190" s="11" t="inlineStr">
        <is>
          <t>• [Must] Circulars listed in Annex III are repealed with issuance of these Directions
• [Must] Actions under repealed circulars remain valid if not inconsistent with these Directions</t>
        </is>
      </c>
      <c r="N1190" s="11" t="inlineStr">
        <is>
          <t>With the issuance of these Directions, the instructions/guidelines contained in the circulars mentioned in the Annex - III issued by RBI stand repealed.</t>
        </is>
      </c>
      <c r="O1190" s="12" t="inlineStr">
        <is>
          <t>Open PDF</t>
        </is>
      </c>
    </row>
    <row r="1191">
      <c r="A1191" t="inlineStr">
        <is>
          <t>India</t>
        </is>
      </c>
      <c r="B1191" t="inlineStr">
        <is>
          <t>RBI Master Direction on Information Technology Framework for NBFC Sector (2017) (India - Row 15)</t>
        </is>
      </c>
      <c r="C1191" t="inlineStr">
        <is>
          <t>2</t>
        </is>
      </c>
      <c r="D1191" s="11" t="inlineStr">
        <is>
          <t>Income Declaration Scheme cash deposits and bank hesitancy</t>
        </is>
      </c>
      <c r="E1191" t="inlineStr">
        <is>
          <t>1</t>
        </is>
      </c>
      <c r="F1191" t="inlineStr">
        <is>
          <t>Low</t>
        </is>
      </c>
      <c r="G1191" t="inlineStr">
        <is>
          <t>High (explicit)</t>
        </is>
      </c>
      <c r="H1191" s="11" t="inlineStr">
        <is>
          <t>Customer Information</t>
        </is>
      </c>
      <c r="I1191" s="11" t="inlineStr">
        <is>
          <t>Customer Data</t>
        </is>
      </c>
      <c r="J1191" t="inlineStr"/>
      <c r="K1191" s="11" t="inlineStr">
        <is>
          <t>This section acknowledges the Income Declaration Scheme 2016's implementation since June 1, 2016, and notes that some declarants may wish to pay tax dues in cash. It highlights that banks are hesitant to accept large cash deposits for government accounts under this scheme.</t>
        </is>
      </c>
      <c r="L1191" s="11" t="inlineStr"/>
      <c r="M1191" s="11" t="inlineStr">
        <is>
          <t>• [Must] The Income Declaration Scheme 2016 has come into effect from June 1, 2016
• [Must] Some declarants may like to pay their tax dues in cash</t>
        </is>
      </c>
      <c r="N1191" s="11" t="inlineStr">
        <is>
          <t>2. As you are aware, the Income Declaration Scheme, 2016 (the Scheme) has come into effect from June 1, 2016 and some declarants may like to pay their tax dues in cash.</t>
        </is>
      </c>
      <c r="O1191" s="12" t="inlineStr">
        <is>
          <t>Open PDF</t>
        </is>
      </c>
    </row>
    <row r="1192">
      <c r="A1192" t="inlineStr">
        <is>
          <t>India</t>
        </is>
      </c>
      <c r="B1192" t="inlineStr">
        <is>
          <t>RBI Master Direction on Information Technology Framework for NBFC Sector (2017) (India - Row 15)</t>
        </is>
      </c>
      <c r="C1192" t="inlineStr">
        <is>
          <t>3</t>
        </is>
      </c>
      <c r="D1192" s="11" t="inlineStr">
        <is>
          <t>Banks must accept all cash deposits regardless of amount</t>
        </is>
      </c>
      <c r="E1192" t="inlineStr">
        <is>
          <t>1–2</t>
        </is>
      </c>
      <c r="F1192" t="inlineStr">
        <is>
          <t>Low</t>
        </is>
      </c>
      <c r="G1192" t="inlineStr">
        <is>
          <t>High (explicit)</t>
        </is>
      </c>
      <c r="H1192" s="11" t="inlineStr">
        <is>
          <t>Customer Information, Financial Data</t>
        </is>
      </c>
      <c r="I1192" s="11" t="inlineStr">
        <is>
          <t>Customer Data, Financial Data</t>
        </is>
      </c>
      <c r="J1192" t="inlineStr">
        <is>
          <t>RBI</t>
        </is>
      </c>
      <c r="K1192" s="11" t="inlineStr">
        <is>
          <t>Banks must accept cash deposits of any amount from declarants at counters, including those under the Income Declaration Scheme via challan ITNS-286. Banks must also comply with Know Your Customer requirements for all customers and walk-in customers.</t>
        </is>
      </c>
      <c r="L1192" s="11" t="inlineStr"/>
      <c r="M1192" s="11" t="inlineStr">
        <is>
          <t>• [Must] Banks must invariably accept cash, irrespective of amount, over the counters from all declarants
• [Must] Banks shall comply with Know Your Customer requirements for customers and walk-in customers</t>
        </is>
      </c>
      <c r="N1192" s="11" t="inlineStr">
        <is>
          <t>3. We advise that banks must invariably accept cash, irrespective of amount, over the counters from all declarants who desire to deposit cash at the counters, including deposits under the above Scheme through challan ITNS-286.</t>
        </is>
      </c>
      <c r="O1192" s="12" t="inlineStr">
        <is>
          <t>Open PDF</t>
        </is>
      </c>
    </row>
    <row r="1193">
      <c r="A1193" t="inlineStr">
        <is>
          <t>India</t>
        </is>
      </c>
      <c r="B1193" t="inlineStr">
        <is>
          <t>RBI Master Direction on Outsourcing of IT Services (MDS on IT Outsourcing, 2023) (India - Row 16)</t>
        </is>
      </c>
      <c r="C1193" t="inlineStr">
        <is>
          <t>1</t>
        </is>
      </c>
      <c r="D1193" s="11" t="inlineStr">
        <is>
          <t>Cloud adoption business analysis</t>
        </is>
      </c>
      <c r="E1193" t="inlineStr">
        <is>
          <t>5–6</t>
        </is>
      </c>
      <c r="F1193" t="inlineStr">
        <is>
          <t>High</t>
        </is>
      </c>
      <c r="G1193" t="inlineStr">
        <is>
          <t>High (explicit)</t>
        </is>
      </c>
      <c r="H1193" s="11" t="inlineStr">
        <is>
          <t>Cloud Services</t>
        </is>
      </c>
      <c r="I1193" s="11" t="inlineStr">
        <is>
          <t>Personal Information</t>
        </is>
      </c>
      <c r="J1193" t="inlineStr">
        <is>
          <t>RBI</t>
        </is>
      </c>
      <c r="K1193" s="11" t="inlineStr">
        <is>
          <t>REs must analyze business strategy and goals against current IT applications footprint and associated costs before adopting cloud solutions, considering the range from non-business critical workloads to critical business applications such as SaaS adoption.</t>
        </is>
      </c>
      <c r="L1193" s="11" t="inlineStr">
        <is>
          <t>Cloud adoption requires REs to conduct business technology risk assessments to determine appropriate cloud migration scope based on criticality of workloads.</t>
        </is>
      </c>
      <c r="M1193" s="11" t="inlineStr">
        <is>
          <t>• [Must] RE must analyze business strategy and goals against current IT applications footprint and associated costs</t>
        </is>
      </c>
      <c r="N1193" s="11" t="inlineStr">
        <is>
          <t>While considering adoption of cloud solution, it is imperative to analyse the business strategy and goals adopted to the current IT applications footprint and associated costs.</t>
        </is>
      </c>
      <c r="O1193" s="12" t="inlineStr">
        <is>
          <t>Open PDF</t>
        </is>
      </c>
    </row>
    <row r="1194">
      <c r="A1194" t="inlineStr">
        <is>
          <t>India</t>
        </is>
      </c>
      <c r="B1194" t="inlineStr">
        <is>
          <t>RBI Master Direction on Outsourcing of IT Services (MDS on IT Outsourcing, 2023) (India - Row 16)</t>
        </is>
      </c>
      <c r="C1194" t="inlineStr">
        <is>
          <t>1</t>
        </is>
      </c>
      <c r="D1194" s="11" t="inlineStr">
        <is>
          <t>Cloud adoption business analysis</t>
        </is>
      </c>
      <c r="E1194" t="inlineStr">
        <is>
          <t>24</t>
        </is>
      </c>
      <c r="F1194" t="inlineStr">
        <is>
          <t>High</t>
        </is>
      </c>
      <c r="G1194" t="inlineStr">
        <is>
          <t>High (explicit)</t>
        </is>
      </c>
      <c r="H1194" s="11" t="inlineStr">
        <is>
          <t>Cloud Services</t>
        </is>
      </c>
      <c r="I1194" s="11" t="inlineStr">
        <is>
          <t>Personal Information</t>
        </is>
      </c>
      <c r="J1194" t="inlineStr">
        <is>
          <t>RBI</t>
        </is>
      </c>
      <c r="K1194" s="11" t="inlineStr">
        <is>
          <t>REs must analyze business strategy and goals against current IT applications footprint and associated costs before adopting cloud solutions, considering the range from non-business critical workloads to critical business applications such as SaaS adoption.</t>
        </is>
      </c>
      <c r="L1194" s="11" t="inlineStr">
        <is>
          <t>Cloud adoption requires REs to conduct business technology risk assessments to determine appropriate cloud migration scope based on criticality of workloads.</t>
        </is>
      </c>
      <c r="M1194" s="11" t="inlineStr">
        <is>
          <t>• [Must] RE must analyze business strategy and goals against current IT applications footprint and associated costs</t>
        </is>
      </c>
      <c r="N1194" s="11" t="inlineStr">
        <is>
          <t>While considering adoption of cloud solution, it is imperative to analyse the business strategy and goals adopted to the current IT applications footprint and associated costs.</t>
        </is>
      </c>
      <c r="O1194" s="12" t="inlineStr">
        <is>
          <t>Open PDF</t>
        </is>
      </c>
    </row>
    <row r="1195">
      <c r="A1195" t="inlineStr">
        <is>
          <t>India</t>
        </is>
      </c>
      <c r="B1195" t="inlineStr">
        <is>
          <t>RBI Master Direction on Outsourcing of IT Services (MDS on IT Outsourcing, 2023) (India - Row 16)</t>
        </is>
      </c>
      <c r="C1195" t="inlineStr">
        <is>
          <t>2</t>
        </is>
      </c>
      <c r="D1195" s="11" t="inlineStr">
        <is>
          <t>Cloud data lifecycle coverage</t>
        </is>
      </c>
      <c r="E1195" t="inlineStr">
        <is>
          <t>1</t>
        </is>
      </c>
      <c r="F1195" t="inlineStr">
        <is>
          <t>High</t>
        </is>
      </c>
      <c r="G1195" t="inlineStr">
        <is>
          <t>High (explicit)</t>
        </is>
      </c>
      <c r="H1195" s="11" t="inlineStr">
        <is>
          <t>Cloud Services, Data Storage</t>
        </is>
      </c>
      <c r="I1195" s="11" t="inlineStr">
        <is>
          <t>Personal Information</t>
        </is>
      </c>
      <c r="J1195" t="inlineStr">
        <is>
          <t>RBI</t>
        </is>
      </c>
      <c r="K1195" s="11" t="inlineStr">
        <is>
          <t>REs must ensure their IT outsourcing policy covers the entire lifecycle of data from generation to permanent deletion, with procedures consistent with business needs and legal/regulatory requirements.</t>
        </is>
      </c>
      <c r="L1195" s="11" t="inlineStr">
        <is>
          <t>Cloud data lifecycle coverage ensures REs maintain end-to-end data management from creation to destruction, aligning with regulatory requirements.</t>
        </is>
      </c>
      <c r="M1195" s="11" t="inlineStr">
        <is>
          <t>• [Must] IT outsourcing policy must cover entire data lifecycle from generation to permanent deletion
• [Must] Procedures must be consistent with business needs and legal/regulatory requirements</t>
        </is>
      </c>
      <c r="N1195" s="11" t="inlineStr">
        <is>
          <t>In engaging cloud services, REs shall ensure, inter alia, that the Outsourcing of IT Services policy addresses the entire lifecycle of data, i.e., covering the entire span of time from generation of the data, its entry into the cloud, till the data is permanently erased/ deleted.</t>
        </is>
      </c>
      <c r="O1195" s="12" t="inlineStr">
        <is>
          <t>Open PDF</t>
        </is>
      </c>
    </row>
    <row r="1196">
      <c r="A1196" t="inlineStr">
        <is>
          <t>India</t>
        </is>
      </c>
      <c r="B1196" t="inlineStr">
        <is>
          <t>RBI Master Direction on Outsourcing of IT Services (MDS on IT Outsourcing, 2023) (India - Row 16)</t>
        </is>
      </c>
      <c r="C1196" t="inlineStr">
        <is>
          <t>2</t>
        </is>
      </c>
      <c r="D1196" s="11" t="inlineStr">
        <is>
          <t>Cloud data lifecycle coverage</t>
        </is>
      </c>
      <c r="E1196" t="inlineStr">
        <is>
          <t>6–7</t>
        </is>
      </c>
      <c r="F1196" t="inlineStr">
        <is>
          <t>High</t>
        </is>
      </c>
      <c r="G1196" t="inlineStr">
        <is>
          <t>High (explicit)</t>
        </is>
      </c>
      <c r="H1196" s="11" t="inlineStr">
        <is>
          <t>Cloud Services, Data Storage</t>
        </is>
      </c>
      <c r="I1196" s="11" t="inlineStr">
        <is>
          <t>Personal Information</t>
        </is>
      </c>
      <c r="J1196" t="inlineStr">
        <is>
          <t>RBI</t>
        </is>
      </c>
      <c r="K1196" s="11" t="inlineStr">
        <is>
          <t>REs must ensure their IT outsourcing policy covers the entire lifecycle of data from generation to permanent deletion, with procedures consistent with business needs and legal/regulatory requirements.</t>
        </is>
      </c>
      <c r="L1196" s="11" t="inlineStr">
        <is>
          <t>Cloud data lifecycle coverage ensures REs maintain end-to-end data management from creation to destruction, aligning with regulatory requirements.</t>
        </is>
      </c>
      <c r="M1196" s="11" t="inlineStr">
        <is>
          <t>• [Must] IT outsourcing policy must cover entire data lifecycle from generation to permanent deletion
• [Must] Procedures must be consistent with business needs and legal/regulatory requirements</t>
        </is>
      </c>
      <c r="N1196" s="11" t="inlineStr">
        <is>
          <t>In engaging cloud services, REs shall ensure, inter alia, that the Outsourcing of IT Services policy addresses the entire lifecycle of data, i.e., covering the entire span of time from generation of the data, its entry into the cloud, till the data is permanently erased/ deleted.</t>
        </is>
      </c>
      <c r="O1196" s="12" t="inlineStr">
        <is>
          <t>Open PDF</t>
        </is>
      </c>
    </row>
    <row r="1197">
      <c r="A1197" t="inlineStr">
        <is>
          <t>India</t>
        </is>
      </c>
      <c r="B1197" t="inlineStr">
        <is>
          <t>RBI Master Direction on Outsourcing of IT Services (MDS on IT Outsourcing, 2023) (India - Row 16)</t>
        </is>
      </c>
      <c r="C1197" t="inlineStr">
        <is>
          <t>2</t>
        </is>
      </c>
      <c r="D1197" s="11" t="inlineStr">
        <is>
          <t>Cloud data lifecycle coverage</t>
        </is>
      </c>
      <c r="E1197" t="inlineStr">
        <is>
          <t>24</t>
        </is>
      </c>
      <c r="F1197" t="inlineStr">
        <is>
          <t>High</t>
        </is>
      </c>
      <c r="G1197" t="inlineStr">
        <is>
          <t>High (explicit)</t>
        </is>
      </c>
      <c r="H1197" s="11" t="inlineStr">
        <is>
          <t>Cloud Services, Data Storage</t>
        </is>
      </c>
      <c r="I1197" s="11" t="inlineStr">
        <is>
          <t>Personal Information</t>
        </is>
      </c>
      <c r="J1197" t="inlineStr">
        <is>
          <t>RBI</t>
        </is>
      </c>
      <c r="K1197" s="11" t="inlineStr">
        <is>
          <t>REs must ensure their IT outsourcing policy covers the entire lifecycle of data from generation to permanent deletion, with procedures consistent with business needs and legal/regulatory requirements.</t>
        </is>
      </c>
      <c r="L1197" s="11" t="inlineStr">
        <is>
          <t>Cloud data lifecycle coverage ensures REs maintain end-to-end data management from creation to destruction, aligning with regulatory requirements.</t>
        </is>
      </c>
      <c r="M1197" s="11" t="inlineStr">
        <is>
          <t>• [Must] IT outsourcing policy must cover entire data lifecycle from generation to permanent deletion
• [Must] Procedures must be consistent with business needs and legal/regulatory requirements</t>
        </is>
      </c>
      <c r="N1197" s="11" t="inlineStr">
        <is>
          <t>In engaging cloud services, REs shall ensure, inter alia, that the Outsourcing of IT Services policy addresses the entire lifecycle of data, i.e., covering the entire span of time from generation of the data, its entry into the cloud, till the data is permanently erased/ deleted.</t>
        </is>
      </c>
      <c r="O1197" s="12" t="inlineStr">
        <is>
          <t>Open PDF</t>
        </is>
      </c>
    </row>
    <row r="1198">
      <c r="A1198" t="inlineStr">
        <is>
          <t>India</t>
        </is>
      </c>
      <c r="B1198" t="inlineStr">
        <is>
          <t>RBI Master Direction on Outsourcing of IT Services (MDS on IT Outsourcing, 2023) (India - Row 16)</t>
        </is>
      </c>
      <c r="C1198" t="inlineStr">
        <is>
          <t>3</t>
        </is>
      </c>
      <c r="D1198" s="11" t="inlineStr">
        <is>
          <t>Cloud service specific risk considerations</t>
        </is>
      </c>
      <c r="E1198" t="inlineStr">
        <is>
          <t>1–2</t>
        </is>
      </c>
      <c r="F1198" t="inlineStr">
        <is>
          <t>High</t>
        </is>
      </c>
      <c r="G1198" t="inlineStr">
        <is>
          <t>High (explicit)</t>
        </is>
      </c>
      <c r="H1198" s="11" t="inlineStr">
        <is>
          <t>Cloud Services, Data Storage</t>
        </is>
      </c>
      <c r="I1198" s="11" t="inlineStr">
        <is>
          <t>Personal Information</t>
        </is>
      </c>
      <c r="J1198" t="inlineStr">
        <is>
          <t>RBI</t>
        </is>
      </c>
      <c r="K1198" s="11" t="inlineStr">
        <is>
          <t>REs must consider cloud service-specific factors such as multi-tenancy and multi-location data storage while establishing risk management frameworks, with cloud security being a shared responsibility between RE and Cloud Service Provider.</t>
        </is>
      </c>
      <c r="L1198" s="11" t="inlineStr">
        <is>
          <t>Cloud service-specific risks require REs to account for multi-tenancy and multi-location data storage while implementing shared security responsibilities with CSPs.</t>
        </is>
      </c>
      <c r="M1198" s="11" t="inlineStr">
        <is>
          <t>• [Must] RE must consider cloud service-specific factors such as multi-tenancy and multi-location data storage
• [Must] RE must establish appropriate risk management framework for cloud services
• [Should] Cloud security is a shared responsibility between RE and Cloud Service Provider</t>
        </is>
      </c>
      <c r="N1198" s="11" t="inlineStr">
        <is>
          <t>In adoption of cloud services, REs shall take into account the cloud service specific factors, viz., multi-tenancy, multi-location storing/ processing of data, etc., and attendant risks, while establishing appropriate risk management framework.</t>
        </is>
      </c>
      <c r="O1198" s="12" t="inlineStr">
        <is>
          <t>Open PDF</t>
        </is>
      </c>
    </row>
    <row r="1199">
      <c r="A1199" t="inlineStr">
        <is>
          <t>India</t>
        </is>
      </c>
      <c r="B1199" t="inlineStr">
        <is>
          <t>RBI Master Direction on Outsourcing of IT Services (MDS on IT Outsourcing, 2023) (India - Row 16)</t>
        </is>
      </c>
      <c r="C1199" t="inlineStr">
        <is>
          <t>3</t>
        </is>
      </c>
      <c r="D1199" s="11" t="inlineStr">
        <is>
          <t>Cloud service specific risk considerations</t>
        </is>
      </c>
      <c r="E1199" t="inlineStr">
        <is>
          <t>7–9</t>
        </is>
      </c>
      <c r="F1199" t="inlineStr">
        <is>
          <t>High</t>
        </is>
      </c>
      <c r="G1199" t="inlineStr">
        <is>
          <t>High (explicit)</t>
        </is>
      </c>
      <c r="H1199" s="11" t="inlineStr">
        <is>
          <t>Cloud Services, Data Storage</t>
        </is>
      </c>
      <c r="I1199" s="11" t="inlineStr">
        <is>
          <t>Personal Information</t>
        </is>
      </c>
      <c r="J1199" t="inlineStr">
        <is>
          <t>RBI</t>
        </is>
      </c>
      <c r="K1199" s="11" t="inlineStr">
        <is>
          <t>REs must consider cloud service-specific factors such as multi-tenancy and multi-location data storage while establishing risk management frameworks, with cloud security being a shared responsibility between RE and Cloud Service Provider.</t>
        </is>
      </c>
      <c r="L1199" s="11" t="inlineStr">
        <is>
          <t>Cloud service-specific risks require REs to account for multi-tenancy and multi-location data storage while implementing shared security responsibilities with CSPs.</t>
        </is>
      </c>
      <c r="M1199" s="11" t="inlineStr">
        <is>
          <t>• [Must] RE must consider cloud service-specific factors such as multi-tenancy and multi-location data storage
• [Must] RE must establish appropriate risk management framework for cloud services
• [Should] Cloud security is a shared responsibility between RE and Cloud Service Provider</t>
        </is>
      </c>
      <c r="N1199" s="11" t="inlineStr">
        <is>
          <t>In adoption of cloud services, REs shall take into account the cloud service specific factors, viz., multi-tenancy, multi-location storing/ processing of data, etc., and attendant risks, while establishing appropriate risk management framework.</t>
        </is>
      </c>
      <c r="O1199" s="12" t="inlineStr">
        <is>
          <t>Open PDF</t>
        </is>
      </c>
    </row>
    <row r="1200">
      <c r="A1200" t="inlineStr">
        <is>
          <t>India</t>
        </is>
      </c>
      <c r="B1200" t="inlineStr">
        <is>
          <t>RBI Master Direction on Outsourcing of IT Services (MDS on IT Outsourcing, 2023) (India - Row 16)</t>
        </is>
      </c>
      <c r="C1200" t="inlineStr">
        <is>
          <t>3</t>
        </is>
      </c>
      <c r="D1200" s="11" t="inlineStr">
        <is>
          <t>Cloud service specific risk considerations</t>
        </is>
      </c>
      <c r="E1200" t="inlineStr">
        <is>
          <t>24–25</t>
        </is>
      </c>
      <c r="F1200" t="inlineStr">
        <is>
          <t>High</t>
        </is>
      </c>
      <c r="G1200" t="inlineStr">
        <is>
          <t>High (explicit)</t>
        </is>
      </c>
      <c r="H1200" s="11" t="inlineStr">
        <is>
          <t>Cloud Services, Data Storage</t>
        </is>
      </c>
      <c r="I1200" s="11" t="inlineStr">
        <is>
          <t>Personal Information</t>
        </is>
      </c>
      <c r="J1200" t="inlineStr">
        <is>
          <t>RBI</t>
        </is>
      </c>
      <c r="K1200" s="11" t="inlineStr">
        <is>
          <t>REs must consider cloud service-specific factors such as multi-tenancy and multi-location data storage while establishing risk management frameworks, with cloud security being a shared responsibility between RE and Cloud Service Provider.</t>
        </is>
      </c>
      <c r="L1200" s="11" t="inlineStr">
        <is>
          <t>Cloud service-specific risks require REs to account for multi-tenancy and multi-location data storage while implementing shared security responsibilities with CSPs.</t>
        </is>
      </c>
      <c r="M1200" s="11" t="inlineStr">
        <is>
          <t>• [Must] RE must consider cloud service-specific factors such as multi-tenancy and multi-location data storage
• [Must] RE must establish appropriate risk management framework for cloud services
• [Should] Cloud security is a shared responsibility between RE and Cloud Service Provider</t>
        </is>
      </c>
      <c r="N1200" s="11" t="inlineStr">
        <is>
          <t>In adoption of cloud services, REs shall take into account the cloud service specific factors, viz., multi-tenancy, multi-location storing/ processing of data, etc., and attendant risks, while establishing appropriate risk management framework.</t>
        </is>
      </c>
      <c r="O1200" s="12" t="inlineStr">
        <is>
          <t>Open PDF</t>
        </is>
      </c>
    </row>
    <row r="1201">
      <c r="A1201" t="inlineStr">
        <is>
          <t>India</t>
        </is>
      </c>
      <c r="B1201" t="inlineStr">
        <is>
          <t>RBI Master Direction on Outsourcing of IT Services (MDS on IT Outsourcing, 2023) (India - Row 16)</t>
        </is>
      </c>
      <c r="C1201" t="inlineStr">
        <is>
          <t>4</t>
        </is>
      </c>
      <c r="D1201" s="11" t="inlineStr">
        <is>
          <t>Cloud governance policy requirements</t>
        </is>
      </c>
      <c r="E1201" t="inlineStr">
        <is>
          <t>2–3</t>
        </is>
      </c>
      <c r="F1201" t="inlineStr">
        <is>
          <t>High</t>
        </is>
      </c>
      <c r="G1201" t="inlineStr">
        <is>
          <t>High (explicit)</t>
        </is>
      </c>
      <c r="H1201" s="11" t="inlineStr">
        <is>
          <t>Cloud Services, Data Storage</t>
        </is>
      </c>
      <c r="I1201" s="11" t="inlineStr">
        <is>
          <t>Personal Information</t>
        </is>
      </c>
      <c r="J1201" t="inlineStr">
        <is>
          <t>RBI</t>
        </is>
      </c>
      <c r="K1201" s="11" t="inlineStr">
        <is>
          <t>REs must adopt and demonstrate a well-established cloud adoption policy that identifies movable activities, protects stakeholder interests, ensures compliance with privacy, security, data sovereignty and storage requirements, and provides for risk management of CSPs.</t>
        </is>
      </c>
      <c r="L1201" s="11" t="inlineStr">
        <is>
          <t>Cloud governance policies require REs to define clear adoption frameworks that address data sovereignty, security and compliance while managing CSP-related risks.</t>
        </is>
      </c>
      <c r="M1201" s="11" t="inlineStr">
        <is>
          <t>• [Must] RE must adopt and demonstrate well-established documented cloud adoption policy
• [Must] Policy must identify activities that can be moved to cloud
• [Must] Policy must enable protection of stakeholder interests
• [Must] Policy must ensure compliance with regulatory requirements including privacy, security, data sovereignty and storage</t>
        </is>
      </c>
      <c r="N1201" s="11" t="inlineStr">
        <is>
          <t>REs shall adopt and demonstrate a well-established and documented cloud adoption policy. Such a policy should, inter alia, identify the activities that can be moved to the cloud, enable and support protection of various stakeholder interests, ensure compliance with regulatory requirements, including those on privacy, security, data sovereignty, recoverability and data storage requirements, aligned with data classification.</t>
        </is>
      </c>
      <c r="O1201" s="12" t="inlineStr">
        <is>
          <t>Open PDF</t>
        </is>
      </c>
    </row>
    <row r="1202">
      <c r="A1202" t="inlineStr">
        <is>
          <t>India</t>
        </is>
      </c>
      <c r="B1202" t="inlineStr">
        <is>
          <t>RBI Master Direction on Outsourcing of IT Services (MDS on IT Outsourcing, 2023) (India - Row 16)</t>
        </is>
      </c>
      <c r="C1202" t="inlineStr">
        <is>
          <t>4</t>
        </is>
      </c>
      <c r="D1202" s="11" t="inlineStr">
        <is>
          <t>Cloud governance policy requirements</t>
        </is>
      </c>
      <c r="E1202" t="inlineStr">
        <is>
          <t>9–10</t>
        </is>
      </c>
      <c r="F1202" t="inlineStr">
        <is>
          <t>High</t>
        </is>
      </c>
      <c r="G1202" t="inlineStr">
        <is>
          <t>High (explicit)</t>
        </is>
      </c>
      <c r="H1202" s="11" t="inlineStr">
        <is>
          <t>Cloud Services, Data Storage</t>
        </is>
      </c>
      <c r="I1202" s="11" t="inlineStr">
        <is>
          <t>Personal Information</t>
        </is>
      </c>
      <c r="J1202" t="inlineStr">
        <is>
          <t>RBI</t>
        </is>
      </c>
      <c r="K1202" s="11" t="inlineStr">
        <is>
          <t>REs must adopt and demonstrate a well-established cloud adoption policy that identifies movable activities, protects stakeholder interests, ensures compliance with privacy, security, data sovereignty and storage requirements, and provides for risk management of CSPs.</t>
        </is>
      </c>
      <c r="L1202" s="11" t="inlineStr">
        <is>
          <t>Cloud governance policies require REs to define clear adoption frameworks that address data sovereignty, security and compliance while managing CSP-related risks.</t>
        </is>
      </c>
      <c r="M1202" s="11" t="inlineStr">
        <is>
          <t>• [Must] RE must adopt and demonstrate well-established documented cloud adoption policy
• [Must] Policy must identify activities that can be moved to cloud
• [Must] Policy must enable protection of stakeholder interests
• [Must] Policy must ensure compliance with regulatory requirements including privacy, security, data sovereignty and storage</t>
        </is>
      </c>
      <c r="N1202" s="11" t="inlineStr">
        <is>
          <t>REs shall adopt and demonstrate a well-established and documented cloud adoption policy. Such a policy should, inter alia, identify the activities that can be moved to the cloud, enable and support protection of various stakeholder interests, ensure compliance with regulatory requirements, including those on privacy, security, data sovereignty, recoverability and data storage requirements, aligned with data classification.</t>
        </is>
      </c>
      <c r="O1202" s="12" t="inlineStr">
        <is>
          <t>Open PDF</t>
        </is>
      </c>
    </row>
    <row r="1203">
      <c r="A1203" t="inlineStr">
        <is>
          <t>India</t>
        </is>
      </c>
      <c r="B1203" t="inlineStr">
        <is>
          <t>RBI Master Direction on Outsourcing of IT Services (MDS on IT Outsourcing, 2023) (India - Row 16)</t>
        </is>
      </c>
      <c r="C1203" t="inlineStr">
        <is>
          <t>4</t>
        </is>
      </c>
      <c r="D1203" s="11" t="inlineStr">
        <is>
          <t>Cloud governance policy requirements</t>
        </is>
      </c>
      <c r="E1203" t="inlineStr">
        <is>
          <t>25</t>
        </is>
      </c>
      <c r="F1203" t="inlineStr">
        <is>
          <t>High</t>
        </is>
      </c>
      <c r="G1203" t="inlineStr">
        <is>
          <t>High (explicit)</t>
        </is>
      </c>
      <c r="H1203" s="11" t="inlineStr">
        <is>
          <t>Cloud Services, Data Storage</t>
        </is>
      </c>
      <c r="I1203" s="11" t="inlineStr">
        <is>
          <t>Personal Information</t>
        </is>
      </c>
      <c r="J1203" t="inlineStr">
        <is>
          <t>RBI</t>
        </is>
      </c>
      <c r="K1203" s="11" t="inlineStr">
        <is>
          <t>REs must adopt and demonstrate a well-established cloud adoption policy that identifies movable activities, protects stakeholder interests, ensures compliance with privacy, security, data sovereignty and storage requirements, and provides for risk management of CSPs.</t>
        </is>
      </c>
      <c r="L1203" s="11" t="inlineStr">
        <is>
          <t>Cloud governance policies require REs to define clear adoption frameworks that address data sovereignty, security and compliance while managing CSP-related risks.</t>
        </is>
      </c>
      <c r="M1203" s="11" t="inlineStr">
        <is>
          <t>• [Must] RE must adopt and demonstrate well-established documented cloud adoption policy
• [Must] Policy must identify activities that can be moved to cloud
• [Must] Policy must enable protection of stakeholder interests
• [Must] Policy must ensure compliance with regulatory requirements including privacy, security, data sovereignty and storage</t>
        </is>
      </c>
      <c r="N1203" s="11" t="inlineStr">
        <is>
          <t>REs shall adopt and demonstrate a well-established and documented cloud adoption policy. Such a policy should, inter alia, identify the activities that can be moved to the cloud, enable and support protection of various stakeholder interests, ensure compliance with regulatory requirements, including those on privacy, security, data sovereignty, recoverability and data storage requirements, aligned with data classification.</t>
        </is>
      </c>
      <c r="O1203" s="12" t="inlineStr">
        <is>
          <t>Open PDF</t>
        </is>
      </c>
    </row>
    <row r="1204">
      <c r="A1204" t="inlineStr">
        <is>
          <t>India</t>
        </is>
      </c>
      <c r="B1204" t="inlineStr">
        <is>
          <t>RBI Master Direction on Outsourcing of IT Services (MDS on IT Outsourcing, 2023) (India - Row 16)</t>
        </is>
      </c>
      <c r="C1204" t="inlineStr">
        <is>
          <t>5</t>
        </is>
      </c>
      <c r="D1204" s="11" t="inlineStr">
        <is>
          <t>Selection criteria for cloud service providers</t>
        </is>
      </c>
      <c r="E1204" t="inlineStr">
        <is>
          <t>10</t>
        </is>
      </c>
      <c r="F1204" t="inlineStr">
        <is>
          <t>High</t>
        </is>
      </c>
      <c r="G1204" t="inlineStr">
        <is>
          <t>High (explicit)</t>
        </is>
      </c>
      <c r="H1204" s="11" t="inlineStr">
        <is>
          <t>Cloud Services, Security, Data Storage</t>
        </is>
      </c>
      <c r="I1204" s="11" t="inlineStr">
        <is>
          <t>Personal Information</t>
        </is>
      </c>
      <c r="J1204" t="inlineStr">
        <is>
          <t>Reserve Bank of India</t>
        </is>
      </c>
      <c r="K1204" s="11" t="inlineStr">
        <is>
          <t>Reserve Banks (REs) must conduct a comprehensive risk assessment before selecting cloud service providers (CSPs). REs are required to enter contracts only with CSPs operating in jurisdictions that guarantee enforceable agreements and rights related to data storage, protection, and confidentiality. This ensures legal safeguards for REs when outsourcing cloud infrastructure.</t>
        </is>
      </c>
      <c r="L1204" s="11" t="inlineStr">
        <is>
          <t>Requires CSP selection based on jurisdictional enforceability of agreements and data protection rights, critical for cross-border data transfers involving cloud services.</t>
        </is>
      </c>
      <c r="M1204" s="11" t="inlineStr">
        <is>
          <t>• [Must] REs shall ensure that the selection of the CSP is based on a comprehensive risk assessment of the CSP
• [Must] REs shall enter into a contract only with CSPs subject to jurisdictions that uphold enforceability of agreements and the rights available thereunder to REs, including those relating to aspects such as data storage, data protection and confidentiality</t>
        </is>
      </c>
      <c r="N1204" s="11" t="inlineStr">
        <is>
          <t>REs shall ensure that the selection of the CSP is based on a comprehensive risk assessment of the CSP. REs shall enter into a contract only with CSPs subject to jurisdictions that uphold enforceability of agreements and the rights available thereunder to REs, including those relating to aspects such as data storage, data protection and confidentiality.</t>
        </is>
      </c>
      <c r="O1204" s="12" t="inlineStr">
        <is>
          <t>Open PDF</t>
        </is>
      </c>
    </row>
    <row r="1205">
      <c r="A1205" t="inlineStr">
        <is>
          <t>India</t>
        </is>
      </c>
      <c r="B1205" t="inlineStr">
        <is>
          <t>RBI Master Direction on Outsourcing of IT Services (MDS on IT Outsourcing, 2023) (India - Row 16)</t>
        </is>
      </c>
      <c r="C1205" t="inlineStr">
        <is>
          <t>5</t>
        </is>
      </c>
      <c r="D1205" s="11" t="inlineStr">
        <is>
          <t>Selection criteria for cloud service providers</t>
        </is>
      </c>
      <c r="E1205" t="inlineStr">
        <is>
          <t>25</t>
        </is>
      </c>
      <c r="F1205" t="inlineStr">
        <is>
          <t>High</t>
        </is>
      </c>
      <c r="G1205" t="inlineStr">
        <is>
          <t>High (explicit)</t>
        </is>
      </c>
      <c r="H1205" s="11" t="inlineStr">
        <is>
          <t>Cloud Services, Security, Data Storage</t>
        </is>
      </c>
      <c r="I1205" s="11" t="inlineStr">
        <is>
          <t>Personal Information</t>
        </is>
      </c>
      <c r="J1205" t="inlineStr">
        <is>
          <t>Reserve Bank of India</t>
        </is>
      </c>
      <c r="K1205" s="11" t="inlineStr">
        <is>
          <t>Reserve Banks (REs) must conduct a comprehensive risk assessment before selecting cloud service providers (CSPs). REs are required to enter contracts only with CSPs operating in jurisdictions that guarantee enforceable agreements and rights related to data storage, protection, and confidentiality. This ensures legal safeguards for REs when outsourcing cloud infrastructure.</t>
        </is>
      </c>
      <c r="L1205" s="11" t="inlineStr">
        <is>
          <t>Requires CSP selection based on jurisdictional enforceability of agreements and data protection rights, critical for cross-border data transfers involving cloud services.</t>
        </is>
      </c>
      <c r="M1205" s="11" t="inlineStr">
        <is>
          <t>• [Must] REs shall ensure that the selection of the CSP is based on a comprehensive risk assessment of the CSP
• [Must] REs shall enter into a contract only with CSPs subject to jurisdictions that uphold enforceability of agreements and the rights available thereunder to REs, including those relating to aspects such as data storage, data protection and confidentiality</t>
        </is>
      </c>
      <c r="N1205" s="11" t="inlineStr">
        <is>
          <t>REs shall ensure that the selection of the CSP is based on a comprehensive risk assessment of the CSP. REs shall enter into a contract only with CSPs subject to jurisdictions that uphold enforceability of agreements and the rights available thereunder to REs, including those relating to aspects such as data storage, data protection and confidentiality.</t>
        </is>
      </c>
      <c r="O1205" s="12" t="inlineStr">
        <is>
          <t>Open PDF</t>
        </is>
      </c>
    </row>
    <row r="1206">
      <c r="A1206" t="inlineStr">
        <is>
          <t>India</t>
        </is>
      </c>
      <c r="B1206" t="inlineStr">
        <is>
          <t>RBI Master Direction on Outsourcing of IT Services (MDS on IT Outsourcing, 2023) (India - Row 16)</t>
        </is>
      </c>
      <c r="C1206" t="inlineStr">
        <is>
          <t>6</t>
        </is>
      </c>
      <c r="D1206" s="11" t="inlineStr">
        <is>
          <t>Cloud security and management requirements</t>
        </is>
      </c>
      <c r="E1206" t="inlineStr">
        <is>
          <t>10</t>
        </is>
      </c>
      <c r="F1206" t="inlineStr">
        <is>
          <t>High</t>
        </is>
      </c>
      <c r="G1206" t="inlineStr">
        <is>
          <t>High (explicit)</t>
        </is>
      </c>
      <c r="H1206" s="11" t="inlineStr">
        <is>
          <t>Cloud Services, Security, Data Storage, Access Control</t>
        </is>
      </c>
      <c r="I1206" s="11" t="inlineStr">
        <is>
          <t>Personal Information</t>
        </is>
      </c>
      <c r="J1206" t="inlineStr">
        <is>
          <t>Reserve Bank of India</t>
        </is>
      </c>
      <c r="K1206" s="11" t="inlineStr">
        <is>
          <t>Reserve Banks (REs) must implement cloud architectures adhering to globally recognized standards, with secure container-based data management where encryption keys and Hardware Security Modules are under RE control. REs must enforce role-based access with multi-factor authentication, segregation of duties, and strict access controls. Security controls must match or exceed on-premise standards, including network security, configuration management, and change authorization. Continuous monitoring and vulnerability management are mandatory to ensure robust incident response and cyber resilience.</t>
        </is>
      </c>
      <c r="L1206" s="11" t="inlineStr">
        <is>
          <t>Mandates technical and operational safeguards for cloud environments, directly impacting data security and compliance during cross-border data transfers.</t>
        </is>
      </c>
      <c r="M1206" s="11" t="inlineStr">
        <is>
          <t>• [Must] REs shall ensure that the service and technology architecture supporting cloud-based applications is built in adherence to globally recognised architecture principles and standards
• [Must] REs shall prefer a technology architecture that provides for secure container-based data management, where encryption keys and Hardware Security Modules are under the control of the RE
• [Must] The architecture should provide for a standard set of tools and processes to manage containers, images and releases
• [Must] Multi-tenancy environments should be protected against data integrity and confidentiality risks, and against co-mingling of data
• [Must] The architecture should be resilient and enable smooth recovery in case of failure of any one or combination of components across the cloud architecture with minimal impact on data/information security
• [Must] IAM shall be agreed upon with the CSP and ensured for providing role-based access to the cloud hosted applications, in respect of user-access and privileged-access
• [Must] Stringent access controls, as applicable for an on-premise application, may be established for identity and access management to cloud-based applications
• [Must] Segregation of duties and role conflict matrix should be implemented for all kinds of user-access and privileged-access roles in the cloud-hosted application irrespective of the cloud service model
• [Must] Access provisioning should be governed by principles of 'need to know' and 'least privileges'
• [Must] Multi-factor authentication should be implemented for access to cloud applications
• [Must] REs shall ensure that the implementation of security controls in the cloud-based application achieves similar or higher degree of control objectives than those achieved in/on-premise application
• [Must] Secure connection through appropriate deployment of network security resources and their configurations
• [Must] Appropriate and secure configurations, monitoring of the cloud assets utilised by the RE
• [Must] Necessary procedures to authorise changes to cloud applications and related resources
• [Must] REs shall accurately define minimum monitoring requirements in the cloud environment
• [Must] REs should ensure to assess the information/cyber security capability of the cloud service provider, such that the CSP maintains an information security policy framework commensurate with its exposures to vulnerabilities and threats
• [Must] CSP is able to maintain its information/cyber security capability with respect to changes in vulnerabilities and threats, including those resulting from changes to information assets or its business environment
• [Must] Nature and frequency of testing of controls by the CSP in respect of the outsourced services is commensurate with the materiality of the services being outsourced by the RE and the threat environment
• [Must] CSP has mechanisms in place to assess the sub-contractors with regards to confidentiality, integrity and availability of the data being shared with the sub-contractors, where applicable
• [Must] REs shall ensure appropriate integration of logs, events from the CSP into the RE's SOC, where applicable and/or retention of relevant logs in cloud for incident reporting and handling of incidents
• [Must] The RE's own efforts in securing its application shall be complemented by the CSP's cyber resilience controls. The CSP/RE shall ensure continuous and regular updates of security-related software including upgrades, fixes, patches and service packs for protecting the application from advanced threats/malware
• [Must] REs shall ensure that CSPs have a well-governed and structured approach to manage threats and vulnerabilities supported by requisite industry-specific threat intelligence capabilities</t>
        </is>
      </c>
      <c r="N1206" s="11" t="inlineStr">
        <is>
          <t>REs shall ensure that the service and technology architecture supporting cloud-based applications is built in adherence to globally recognised architecture principles and standards. REs shall prefer a technology architecture that provides for secure container-based data management, where encryption keys and Hardware Security Modules are under the control of the RE.</t>
        </is>
      </c>
      <c r="O1206" s="12" t="inlineStr">
        <is>
          <t>Open PDF</t>
        </is>
      </c>
    </row>
    <row r="1207">
      <c r="A1207" t="inlineStr">
        <is>
          <t>India</t>
        </is>
      </c>
      <c r="B1207" t="inlineStr">
        <is>
          <t>RBI Master Direction on Outsourcing of IT Services (MDS on IT Outsourcing, 2023) (India - Row 16)</t>
        </is>
      </c>
      <c r="C1207" t="inlineStr">
        <is>
          <t>6</t>
        </is>
      </c>
      <c r="D1207" s="11" t="inlineStr">
        <is>
          <t>Cloud security and management requirements</t>
        </is>
      </c>
      <c r="E1207" t="inlineStr">
        <is>
          <t>25–27</t>
        </is>
      </c>
      <c r="F1207" t="inlineStr">
        <is>
          <t>High</t>
        </is>
      </c>
      <c r="G1207" t="inlineStr">
        <is>
          <t>High (explicit)</t>
        </is>
      </c>
      <c r="H1207" s="11" t="inlineStr">
        <is>
          <t>Cloud Services, Security, Data Storage, Access Control</t>
        </is>
      </c>
      <c r="I1207" s="11" t="inlineStr">
        <is>
          <t>Personal Information</t>
        </is>
      </c>
      <c r="J1207" t="inlineStr">
        <is>
          <t>Reserve Bank of India</t>
        </is>
      </c>
      <c r="K1207" s="11" t="inlineStr">
        <is>
          <t>Reserve Banks (REs) must implement cloud architectures adhering to globally recognized standards, with secure container-based data management where encryption keys and Hardware Security Modules are under RE control. REs must enforce role-based access with multi-factor authentication, segregation of duties, and strict access controls. Security controls must match or exceed on-premise standards, including network security, configuration management, and change authorization. Continuous monitoring and vulnerability management are mandatory to ensure robust incident response and cyber resilience.</t>
        </is>
      </c>
      <c r="L1207" s="11" t="inlineStr">
        <is>
          <t>Mandates technical and operational safeguards for cloud environments, directly impacting data security and compliance during cross-border data transfers.</t>
        </is>
      </c>
      <c r="M1207" s="11" t="inlineStr">
        <is>
          <t>• [Must] REs shall ensure that the service and technology architecture supporting cloud-based applications is built in adherence to globally recognised architecture principles and standards
• [Must] REs shall prefer a technology architecture that provides for secure container-based data management, where encryption keys and Hardware Security Modules are under the control of the RE
• [Must] The architecture should provide for a standard set of tools and processes to manage containers, images and releases
• [Must] Multi-tenancy environments should be protected against data integrity and confidentiality risks, and against co-mingling of data
• [Must] The architecture should be resilient and enable smooth recovery in case of failure of any one or combination of components across the cloud architecture with minimal impact on data/information security
• [Must] IAM shall be agreed upon with the CSP and ensured for providing role-based access to the cloud hosted applications, in respect of user-access and privileged-access
• [Must] Stringent access controls, as applicable for an on-premise application, may be established for identity and access management to cloud-based applications
• [Must] Segregation of duties and role conflict matrix should be implemented for all kinds of user-access and privileged-access roles in the cloud-hosted application irrespective of the cloud service model
• [Must] Access provisioning should be governed by principles of 'need to know' and 'least privileges'
• [Must] Multi-factor authentication should be implemented for access to cloud applications
• [Must] REs shall ensure that the implementation of security controls in the cloud-based application achieves similar or higher degree of control objectives than those achieved in/on-premise application
• [Must] Secure connection through appropriate deployment of network security resources and their configurations
• [Must] Appropriate and secure configurations, monitoring of the cloud assets utilised by the RE
• [Must] Necessary procedures to authorise changes to cloud applications and related resources
• [Must] REs shall accurately define minimum monitoring requirements in the cloud environment
• [Must] REs should ensure to assess the information/cyber security capability of the cloud service provider, such that the CSP maintains an information security policy framework commensurate with its exposures to vulnerabilities and threats
• [Must] CSP is able to maintain its information/cyber security capability with respect to changes in vulnerabilities and threats, including those resulting from changes to information assets or its business environment
• [Must] Nature and frequency of testing of controls by the CSP in respect of the outsourced services is commensurate with the materiality of the services being outsourced by the RE and the threat environment
• [Must] CSP has mechanisms in place to assess the sub-contractors with regards to confidentiality, integrity and availability of the data being shared with the sub-contractors, where applicable
• [Must] REs shall ensure appropriate integration of logs, events from the CSP into the RE's SOC, where applicable and/or retention of relevant logs in cloud for incident reporting and handling of incidents
• [Must] The RE's own efforts in securing its application shall be complemented by the CSP's cyber resilience controls. The CSP/RE shall ensure continuous and regular updates of security-related software including upgrades, fixes, patches and service packs for protecting the application from advanced threats/malware
• [Must] REs shall ensure that CSPs have a well-governed and structured approach to manage threats and vulnerabilities supported by requisite industry-specific threat intelligence capabilities</t>
        </is>
      </c>
      <c r="N1207" s="11" t="inlineStr">
        <is>
          <t>REs shall ensure that the service and technology architecture supporting cloud-based applications is built in adherence to globally recognised architecture principles and standards. REs shall prefer a technology architecture that provides for secure container-based data management, where encryption keys and Hardware Security Modules are under the control of the RE.</t>
        </is>
      </c>
      <c r="O1207" s="12" t="inlineStr">
        <is>
          <t>Open PDF</t>
        </is>
      </c>
    </row>
    <row r="1208">
      <c r="A1208" t="inlineStr">
        <is>
          <t>India</t>
        </is>
      </c>
      <c r="B1208" t="inlineStr">
        <is>
          <t>RBI Master Direction on Outsourcing of IT Services (MDS on IT Outsourcing, 2023) (India - Row 16)</t>
        </is>
      </c>
      <c r="C1208" t="inlineStr">
        <is>
          <t>7</t>
        </is>
      </c>
      <c r="D1208" s="11" t="inlineStr">
        <is>
          <t>Disaster recovery and cyber resilience requirements</t>
        </is>
      </c>
      <c r="E1208" t="inlineStr">
        <is>
          <t>10–11</t>
        </is>
      </c>
      <c r="F1208" t="inlineStr">
        <is>
          <t>High</t>
        </is>
      </c>
      <c r="G1208" t="inlineStr">
        <is>
          <t>High (explicit)</t>
        </is>
      </c>
      <c r="H1208" s="11" t="inlineStr">
        <is>
          <t>Cloud Services</t>
        </is>
      </c>
      <c r="I1208" s="11" t="inlineStr">
        <is>
          <t>Personal Information</t>
        </is>
      </c>
      <c r="J1208" t="inlineStr">
        <is>
          <t>Reserve Bank of India</t>
        </is>
      </c>
      <c r="K1208" s="11" t="inlineStr">
        <is>
          <t>Reserve Banks (REs) must maintain business continuity frameworks that allow critical operations to continue with minimal disruption during cloud service failures or CSP outages. REs must ensure CSPs demonstrate cyber resilience capabilities through robust incident response and recovery practices, including regular Disaster Recovery (DR) drills at various levels of cloud services.</t>
        </is>
      </c>
      <c r="L1208" s="11" t="inlineStr">
        <is>
          <t>Requires business continuity and cyber resilience measures for cloud services, essential for maintaining data integrity during disruptions and cross-border data transfers.</t>
        </is>
      </c>
      <c r="M1208" s="11" t="inlineStr">
        <is>
          <t>• [Must] The RE's business continuity framework shall ensure that, in the event of a disaster affecting its cloud services or failure of the CSP, the RE can continue its critical operations with minimal disruption of services while ensuring integrity and security
• [Must] REs shall ensure that the CSP puts in place demonstrative capabilities for preparedness and readiness for cyber resilience as regards cloud services in use by them
• [Must] This should be systematically ensured, inter alia, through robust incident response and recovery practices including conduct of Disaster Recovery (DR) drills at various levels of cloud services including necessary stakeholders</t>
        </is>
      </c>
      <c r="N1208" s="11" t="inlineStr">
        <is>
          <t>The RE's business continuity framework shall ensure that, in the event of a disaster affecting its cloud services or failure of the CSP, the RE can continue its critical operations with minimal disruption of services while ensuring integrity and security.</t>
        </is>
      </c>
      <c r="O1208" s="12" t="inlineStr">
        <is>
          <t>Open PDF</t>
        </is>
      </c>
    </row>
    <row r="1209">
      <c r="A1209" t="inlineStr">
        <is>
          <t>India</t>
        </is>
      </c>
      <c r="B1209" t="inlineStr">
        <is>
          <t>RBI Master Direction on Outsourcing of IT Services (MDS on IT Outsourcing, 2023) (India - Row 16)</t>
        </is>
      </c>
      <c r="C1209" t="inlineStr">
        <is>
          <t>7</t>
        </is>
      </c>
      <c r="D1209" s="11" t="inlineStr">
        <is>
          <t>Disaster recovery and cyber resilience requirements</t>
        </is>
      </c>
      <c r="E1209" t="inlineStr">
        <is>
          <t>27</t>
        </is>
      </c>
      <c r="F1209" t="inlineStr">
        <is>
          <t>High</t>
        </is>
      </c>
      <c r="G1209" t="inlineStr">
        <is>
          <t>High (explicit)</t>
        </is>
      </c>
      <c r="H1209" s="11" t="inlineStr">
        <is>
          <t>Cloud Services</t>
        </is>
      </c>
      <c r="I1209" s="11" t="inlineStr">
        <is>
          <t>Personal Information</t>
        </is>
      </c>
      <c r="J1209" t="inlineStr">
        <is>
          <t>Reserve Bank of India</t>
        </is>
      </c>
      <c r="K1209" s="11" t="inlineStr">
        <is>
          <t>Reserve Banks (REs) must maintain business continuity frameworks that allow critical operations to continue with minimal disruption during cloud service failures or CSP outages. REs must ensure CSPs demonstrate cyber resilience capabilities through robust incident response and recovery practices, including regular Disaster Recovery (DR) drills at various levels of cloud services.</t>
        </is>
      </c>
      <c r="L1209" s="11" t="inlineStr">
        <is>
          <t>Requires business continuity and cyber resilience measures for cloud services, essential for maintaining data integrity during disruptions and cross-border data transfers.</t>
        </is>
      </c>
      <c r="M1209" s="11" t="inlineStr">
        <is>
          <t>• [Must] The RE's business continuity framework shall ensure that, in the event of a disaster affecting its cloud services or failure of the CSP, the RE can continue its critical operations with minimal disruption of services while ensuring integrity and security
• [Must] REs shall ensure that the CSP puts in place demonstrative capabilities for preparedness and readiness for cyber resilience as regards cloud services in use by them
• [Must] This should be systematically ensured, inter alia, through robust incident response and recovery practices including conduct of Disaster Recovery (DR) drills at various levels of cloud services including necessary stakeholders</t>
        </is>
      </c>
      <c r="N1209" s="11" t="inlineStr">
        <is>
          <t>The RE's business continuity framework shall ensure that, in the event of a disaster affecting its cloud services or failure of the CSP, the RE can continue its critical operations with minimal disruption of services while ensuring integrity and security.</t>
        </is>
      </c>
      <c r="O1209" s="12" t="inlineStr">
        <is>
          <t>Open PDF</t>
        </is>
      </c>
    </row>
    <row r="1210">
      <c r="A1210" t="inlineStr">
        <is>
          <t>India</t>
        </is>
      </c>
      <c r="B1210" t="inlineStr">
        <is>
          <t>RBI Master Direction on Outsourcing of IT Services (MDS on IT Outsourcing, 2023) (India - Row 16)</t>
        </is>
      </c>
      <c r="C1210" t="inlineStr">
        <is>
          <t>8</t>
        </is>
      </c>
      <c r="D1210" s="11" t="inlineStr">
        <is>
          <t>Exit strategy considerations for cloud services</t>
        </is>
      </c>
      <c r="E1210" t="inlineStr">
        <is>
          <t>11</t>
        </is>
      </c>
      <c r="F1210" t="inlineStr">
        <is>
          <t>High</t>
        </is>
      </c>
      <c r="G1210" t="inlineStr">
        <is>
          <t>High (explicit)</t>
        </is>
      </c>
      <c r="H1210" s="11" t="inlineStr">
        <is>
          <t>Cloud Services, Data Storage</t>
        </is>
      </c>
      <c r="I1210" s="11" t="inlineStr">
        <is>
          <t>Personal Information</t>
        </is>
      </c>
      <c r="J1210" t="inlineStr">
        <is>
          <t>Reserve Bank of India</t>
        </is>
      </c>
      <c r="K1210" s="11" t="inlineStr">
        <is>
          <t>Reserve Banks (REs) must evaluate exit strategies that include agreed processes for returning service collaterals and data, data completeness and portability, secure data purging, smooth service transitions, and clear liability definitions. REs must ensure contractual exit plans specify how cloud-hosted services and data will be moved out with minimal business impact while maintaining data integrity and security.</t>
        </is>
      </c>
      <c r="L1210" s="11" t="inlineStr">
        <is>
          <t>Requires detailed exit strategies for cloud services to ensure data portability and security during transitions, critical for cross-border data transfers.</t>
        </is>
      </c>
      <c r="M1210" s="11" t="inlineStr">
        <is>
          <t>• [Must] the exit strategy and service level stipulations in the SLA shall factor in, inter alia, agreed processes and turnaround times for returning the RE's service collaterals and data held by the CSP
• [Must] the exit strategy and service level stipulations in the SLA shall factor in, inter alia, data completeness and portability
• [Must] the exit strategy and service level stipulations in the SLA shall factor in, inter alia, secure purge of RE's information from the CSP's environment
• [Must] the exit strategy and service level stipulations in the SLA shall factor in, inter alia, smooth transition of services
• [Must] the exit strategy and service level stipulations in the SLA shall factor in, inter alia, unambiguous definition of liabilities, damages, penalties and indemnities
• [Must] monitoring the ongoing design of applications and service delivery technology stack that the exit plans should align with
• [Must] contractually agreed exit / termination plans should specify how the cloud-hosted service(s) and data will be moved out from the cloud with minimal impact on continuity of the RE's business, while maintaining integrity and security
• [Must] All records of transactions, customer and operational information, configuration data should be promptly taken over in a systematic manner from the CSP and purged at the CSP-end and independent assurance sought before signing off from the CSP</t>
        </is>
      </c>
      <c r="N1210" s="11" t="inlineStr">
        <is>
          <t>the exit strategy and service level stipulations in the SLA shall factor in, inter alia, agreed processes and turnaround times for returning the RE's service collaterals and data held by the CSP</t>
        </is>
      </c>
      <c r="O1210" s="12" t="inlineStr">
        <is>
          <t>Open PDF</t>
        </is>
      </c>
    </row>
    <row r="1211">
      <c r="A1211" t="inlineStr">
        <is>
          <t>India</t>
        </is>
      </c>
      <c r="B1211" t="inlineStr">
        <is>
          <t>RBI Master Direction on Outsourcing of IT Services (MDS on IT Outsourcing, 2023) (India - Row 16)</t>
        </is>
      </c>
      <c r="C1211" t="inlineStr">
        <is>
          <t>8</t>
        </is>
      </c>
      <c r="D1211" s="11" t="inlineStr">
        <is>
          <t>Exit strategy considerations for cloud services</t>
        </is>
      </c>
      <c r="E1211" t="inlineStr">
        <is>
          <t>27–28</t>
        </is>
      </c>
      <c r="F1211" t="inlineStr">
        <is>
          <t>High</t>
        </is>
      </c>
      <c r="G1211" t="inlineStr">
        <is>
          <t>High (explicit)</t>
        </is>
      </c>
      <c r="H1211" s="11" t="inlineStr">
        <is>
          <t>Cloud Services, Data Storage</t>
        </is>
      </c>
      <c r="I1211" s="11" t="inlineStr">
        <is>
          <t>Personal Information</t>
        </is>
      </c>
      <c r="J1211" t="inlineStr">
        <is>
          <t>Reserve Bank of India</t>
        </is>
      </c>
      <c r="K1211" s="11" t="inlineStr">
        <is>
          <t>Reserve Banks (REs) must evaluate exit strategies that include agreed processes for returning service collaterals and data, data completeness and portability, secure data purging, smooth service transitions, and clear liability definitions. REs must ensure contractual exit plans specify how cloud-hosted services and data will be moved out with minimal business impact while maintaining data integrity and security.</t>
        </is>
      </c>
      <c r="L1211" s="11" t="inlineStr">
        <is>
          <t>Requires detailed exit strategies for cloud services to ensure data portability and security during transitions, critical for cross-border data transfers.</t>
        </is>
      </c>
      <c r="M1211" s="11" t="inlineStr">
        <is>
          <t>• [Must] the exit strategy and service level stipulations in the SLA shall factor in, inter alia, agreed processes and turnaround times for returning the RE's service collaterals and data held by the CSP
• [Must] the exit strategy and service level stipulations in the SLA shall factor in, inter alia, data completeness and portability
• [Must] the exit strategy and service level stipulations in the SLA shall factor in, inter alia, secure purge of RE's information from the CSP's environment
• [Must] the exit strategy and service level stipulations in the SLA shall factor in, inter alia, smooth transition of services
• [Must] the exit strategy and service level stipulations in the SLA shall factor in, inter alia, unambiguous definition of liabilities, damages, penalties and indemnities
• [Must] monitoring the ongoing design of applications and service delivery technology stack that the exit plans should align with
• [Must] contractually agreed exit / termination plans should specify how the cloud-hosted service(s) and data will be moved out from the cloud with minimal impact on continuity of the RE's business, while maintaining integrity and security
• [Must] All records of transactions, customer and operational information, configuration data should be promptly taken over in a systematic manner from the CSP and purged at the CSP-end and independent assurance sought before signing off from the CSP</t>
        </is>
      </c>
      <c r="N1211" s="11" t="inlineStr">
        <is>
          <t>the exit strategy and service level stipulations in the SLA shall factor in, inter alia, agreed processes and turnaround times for returning the RE's service collaterals and data held by the CSP</t>
        </is>
      </c>
      <c r="O1211" s="12" t="inlineStr">
        <is>
          <t>Open PDF</t>
        </is>
      </c>
    </row>
    <row r="1212">
      <c r="A1212" t="inlineStr">
        <is>
          <t>India</t>
        </is>
      </c>
      <c r="B1212" t="inlineStr">
        <is>
          <t>RBI Master Direction on Outsourcing of IT Services (MDS on IT Outsourcing, 2023) (India - Row 16)</t>
        </is>
      </c>
      <c r="C1212" t="inlineStr">
        <is>
          <t>9</t>
        </is>
      </c>
      <c r="D1212" s="11" t="inlineStr">
        <is>
          <t>Audit and assurance requirements for cloud services</t>
        </is>
      </c>
      <c r="E1212" t="inlineStr">
        <is>
          <t>11</t>
        </is>
      </c>
      <c r="F1212" t="inlineStr">
        <is>
          <t>High</t>
        </is>
      </c>
      <c r="G1212" t="inlineStr">
        <is>
          <t>High (explicit)</t>
        </is>
      </c>
      <c r="H1212" s="11" t="inlineStr">
        <is>
          <t>Cloud Services, Security</t>
        </is>
      </c>
      <c r="I1212" s="11" t="inlineStr">
        <is>
          <t>Personal Information</t>
        </is>
      </c>
      <c r="J1212" t="inlineStr">
        <is>
          <t>Reserve Bank of India</t>
        </is>
      </c>
      <c r="K1212" s="11" t="inlineStr">
        <is>
          <t>Reserve Banks (REs) must conduct audits, periodic reviews, or third-party certifications covering roles and responsibilities, access controls, network configurations, monitoring mechanisms, data encryption, log reviews, change management, incident response, and resilience testing to ensure cloud governance compliance.</t>
        </is>
      </c>
      <c r="L1212" s="11" t="inlineStr">
        <is>
          <t>Requires regular audits and certifications for cloud services to verify security and compliance, critical for data transfer impact assessments.</t>
        </is>
      </c>
      <c r="M1212" s="11" t="inlineStr">
        <is>
          <t>• [Must] The audit/ periodic review/ third-party certifications should cover, as per applicability and cloud usage, inter alia, aspects such as roles and responsibilities of both RE and CSP in cloud governance, access and network controls, configurations, monitoring mechanism, data encryption, log review, change management, incident response, and resilienc…</t>
        </is>
      </c>
      <c r="N1212" s="11" t="inlineStr">
        <is>
          <t>The audit/ periodic review/ third-party certifications should cover, as per applicability and cloud usage, inter alia, aspects such as roles and responsibilities of both RE and CSP in cloud governance, access and network controls, configurations, monitoring mechanism, data encryption, log review, change management, incident response, and resilience preparedness and testing</t>
        </is>
      </c>
      <c r="O1212" s="12" t="inlineStr">
        <is>
          <t>Open PDF</t>
        </is>
      </c>
    </row>
    <row r="1213">
      <c r="A1213" t="inlineStr">
        <is>
          <t>India</t>
        </is>
      </c>
      <c r="B1213" t="inlineStr">
        <is>
          <t>RBI Master Direction on Outsourcing of IT Services (MDS on IT Outsourcing, 2023) (India - Row 16)</t>
        </is>
      </c>
      <c r="C1213" t="inlineStr">
        <is>
          <t>9</t>
        </is>
      </c>
      <c r="D1213" s="11" t="inlineStr">
        <is>
          <t>Audit and assurance requirements for cloud services</t>
        </is>
      </c>
      <c r="E1213" t="inlineStr">
        <is>
          <t>28–31</t>
        </is>
      </c>
      <c r="F1213" t="inlineStr">
        <is>
          <t>High</t>
        </is>
      </c>
      <c r="G1213" t="inlineStr">
        <is>
          <t>High (explicit)</t>
        </is>
      </c>
      <c r="H1213" s="11" t="inlineStr">
        <is>
          <t>Cloud Services, Security</t>
        </is>
      </c>
      <c r="I1213" s="11" t="inlineStr">
        <is>
          <t>Personal Information</t>
        </is>
      </c>
      <c r="J1213" t="inlineStr">
        <is>
          <t>Reserve Bank of India</t>
        </is>
      </c>
      <c r="K1213" s="11" t="inlineStr">
        <is>
          <t>Reserve Banks (REs) must conduct audits, periodic reviews, or third-party certifications covering roles and responsibilities, access controls, network configurations, monitoring mechanisms, data encryption, log reviews, change management, incident response, and resilience testing to ensure cloud governance compliance.</t>
        </is>
      </c>
      <c r="L1213" s="11" t="inlineStr">
        <is>
          <t>Requires regular audits and certifications for cloud services to verify security and compliance, critical for data transfer impact assessments.</t>
        </is>
      </c>
      <c r="M1213" s="11" t="inlineStr">
        <is>
          <t>• [Must] The audit/ periodic review/ third-party certifications should cover, as per applicability and cloud usage, inter alia, aspects such as roles and responsibilities of both RE and CSP in cloud governance, access and network controls, configurations, monitoring mechanism, data encryption, log review, change management, incident response, and resilienc…</t>
        </is>
      </c>
      <c r="N1213" s="11" t="inlineStr">
        <is>
          <t>The audit/ periodic review/ third-party certifications should cover, as per applicability and cloud usage, inter alia, aspects such as roles and responsibilities of both RE and CSP in cloud governance, access and network controls, configurations, monitoring mechanism, data encryption, log review, change management, incident response, and resilience preparedness and testing</t>
        </is>
      </c>
      <c r="O1213" s="12" t="inlineStr">
        <is>
          <t>Open PDF</t>
        </is>
      </c>
    </row>
    <row r="1214">
      <c r="A1214" t="inlineStr">
        <is>
          <t>India</t>
        </is>
      </c>
      <c r="B1214" t="inlineStr">
        <is>
          <t>RBI Master Direction on Outsourcing of IT Services (MDS on IT Outsourcing, 2023) (India - Row 16)</t>
        </is>
      </c>
      <c r="C1214" t="inlineStr">
        <is>
          <t>10</t>
        </is>
      </c>
      <c r="D1214" s="11" t="inlineStr">
        <is>
          <t>Board Responsibilities for IT Outsourcing Risk Management</t>
        </is>
      </c>
      <c r="E1214" t="inlineStr">
        <is>
          <t>11</t>
        </is>
      </c>
      <c r="F1214" t="inlineStr">
        <is>
          <t>High</t>
        </is>
      </c>
      <c r="G1214" t="inlineStr">
        <is>
          <t>High (explicit)</t>
        </is>
      </c>
      <c r="H1214" s="11" t="inlineStr">
        <is>
          <t>Cross-border Transfer, International Processing, Data Storage, Security, Governance, Record Keeping</t>
        </is>
      </c>
      <c r="I1214" s="11" t="inlineStr">
        <is>
          <t>Financial Data, Customer Data</t>
        </is>
      </c>
      <c r="J1214" t="inlineStr">
        <is>
          <t>Reserve Bank of India (RBI)</t>
        </is>
      </c>
      <c r="K1214" s="11" t="inlineStr">
        <is>
          <t>The Board must establish a framework for approving IT outsourcing activities based on risk and materiality, approve policies for evaluating risks and materiality of existing and prospective outsourcing arrangements, and create an administrative framework for Senior Management to implement these requirements.</t>
        </is>
      </c>
      <c r="L1214" s="11" t="inlineStr">
        <is>
          <t>Directly impacts DTIA by requiring Board-level risk assessment and approval of IT outsourcing activities, ensuring alignment with financial institution risk management frameworks.</t>
        </is>
      </c>
      <c r="M1214" s="11" t="inlineStr">
        <is>
          <t>• [Must] The Board shall be responsible for putting in place a framework for approval of IT outsourcing activities depending on risks and materiality
• [Must] The Board shall approve policies to evaluate the risks and materiality of all existing and prospective IT outsourcing arrangements
• [Must] The Board shall set up suitable administrative framework of Senior Management for the purpose of these Directions</t>
        </is>
      </c>
      <c r="N1214" s="11" t="inlineStr">
        <is>
          <t>The Board of the RE shall be responsible, inter alia, for: a) putting in place a framework for approval of IT outsourcing activities depending on risks and materiality; b) approving policies to evaluate the risks and materiality of all existing and prospective IT outsourcing arrangements; and c) setting up suitable administrative framework of Senior Management for the purpose of these Directions.</t>
        </is>
      </c>
      <c r="O1214" s="12" t="inlineStr">
        <is>
          <t>Open PDF</t>
        </is>
      </c>
    </row>
    <row r="1215">
      <c r="A1215" t="inlineStr">
        <is>
          <t>India</t>
        </is>
      </c>
      <c r="B1215" t="inlineStr">
        <is>
          <t>RBI Master Direction on Outsourcing of IT Services (MDS on IT Outsourcing, 2023) (India - Row 16)</t>
        </is>
      </c>
      <c r="C1215" t="inlineStr">
        <is>
          <t>11</t>
        </is>
      </c>
      <c r="D1215" s="11" t="inlineStr">
        <is>
          <t>Senior Management Responsibilities for IT Outsourcing Oversight</t>
        </is>
      </c>
      <c r="E1215" t="inlineStr">
        <is>
          <t>11–12</t>
        </is>
      </c>
      <c r="F1215" t="inlineStr">
        <is>
          <t>High</t>
        </is>
      </c>
      <c r="G1215" t="inlineStr">
        <is>
          <t>High (explicit)</t>
        </is>
      </c>
      <c r="H1215" s="11" t="inlineStr">
        <is>
          <t>Cross-border Transfer, International Processing, Data Storage, Security, Incident Reporting, Breach Notification, Governance, Record Keeping</t>
        </is>
      </c>
      <c r="I1215" s="11" t="inlineStr">
        <is>
          <t>Financial Data, Customer Data</t>
        </is>
      </c>
      <c r="J1215" t="inlineStr">
        <is>
          <t>Reserve Bank of India (RBI)</t>
        </is>
      </c>
      <c r="K1215" s="11" t="inlineStr">
        <is>
          <t>Senior Management must formulate IT outsourcing policies aligned with enterprise-wide risk management, evaluate risks and materiality of existing and prospective arrangements, conduct periodic reviews of outsourcing performance, identify and mitigate IT outsourcing risks, ensure business continuity plans, oversee data confidentiality, manage customer grievances, conduct independent audits, and build necessary skillsets for outsourcing oversight.</t>
        </is>
      </c>
      <c r="L1215" s="11" t="inlineStr">
        <is>
          <t>Critical for DTIA as it mandates detailed oversight mechanisms for third-party data handling, including risk identification, mitigation, and business continuity planning for cross-border data transfers.</t>
        </is>
      </c>
      <c r="M1215" s="11" t="inlineStr">
        <is>
          <t>• [Must] Senior Management shall formulate IT outsourcing policies and procedures
• [Must] Senior Management shall evaluate risks and materiality of existing and prospective IT outsourcing arrangements based on enterprise-wide risk management approved by the Board
• [Must] Senior Management shall conduct prior evaluation of prospective IT outsourcing arrangements and periodic evaluation of existing arrangements covering performance review, criticality and associated risks
• [Must] Senior Management shall identify IT outsourcing risks as they arise, monitor, mitigate, manage and report to the Board/Board Committee
• [Must] Senior Management shall ensure business continuity plans based on realistic disruptive scenarios including third-party provider exit
• [Must] Senior Management shall ensure effective oversight over third party for data confidentiality
• [Must] Senior Management shall ensure timely redressal of customer grievances
• [Must] Senior Management shall ensure periodic independent review and audit for compliance with legislation, regulations, Board-approved policy and performance standards
• [Must] Senior Management shall create essential capacity with required skillsets for proper oversight of outsourced activities</t>
        </is>
      </c>
      <c r="N1215" s="11" t="inlineStr">
        <is>
          <t>The Senior Management of the RE shall, inter alia, be responsible for: a) formulating IT outsourcing policies and procedures, evaluating the risks and materiality of all existing and prospective IT outsourcing arrangements based on the framework commensurate with the complexity, nature and scope, in line with the enterprise-wide risk management of the organisation approved by the Board and its implementation; b) prior evaluation of prospective IT outsourcing arrangements and periodic evaluation of the existing outsourcing arrangements covering the performance review, criticality and associated risks of all such arrangements based on the policy approved by the Board; c) identifying IT outsourcing risks as they arise, monitoring, mitigating, managing and reporting of such risks to the Board/ Board Committee in a timely manner; d) ensuring that suitable business continuity plans based on realistic and probable disruptive scenarios, including exit of any third-party service provider, are in place and tested periodically; e) ensuring (i) effective oversight over third party for data confidentiality and (ii) appropriate redressal of customer grievances in a timely manner; f) ensuring an independent review and audit on a periodic basis for compliance with the legislations, regulations, Board-approved policy and performance standards and reporting the same to Board/ Board Committee; and g) creating essential capacity with required skillsets within the organisation for proper oversight of outsourced activities.</t>
        </is>
      </c>
      <c r="O1215" s="12" t="inlineStr">
        <is>
          <t>Open PDF</t>
        </is>
      </c>
    </row>
    <row r="1216">
      <c r="A1216" t="inlineStr">
        <is>
          <t>India</t>
        </is>
      </c>
      <c r="B1216" t="inlineStr">
        <is>
          <t>RBI Master Direction on Outsourcing of IT Services (MDS on IT Outsourcing, 2023) (India - Row 16)</t>
        </is>
      </c>
      <c r="C1216" t="inlineStr">
        <is>
          <t>12</t>
        </is>
      </c>
      <c r="D1216" s="11" t="inlineStr">
        <is>
          <t>IT Function Responsibilities for Outsourcing Oversight</t>
        </is>
      </c>
      <c r="E1216" t="inlineStr">
        <is>
          <t>12–13</t>
        </is>
      </c>
      <c r="F1216" t="inlineStr">
        <is>
          <t>High</t>
        </is>
      </c>
      <c r="G1216" t="inlineStr">
        <is>
          <t>High (explicit)</t>
        </is>
      </c>
      <c r="H1216" s="11" t="inlineStr">
        <is>
          <t>Cross-border Transfer, International Processing, Data Storage, Security, Governance, Record Keeping</t>
        </is>
      </c>
      <c r="I1216" s="11" t="inlineStr">
        <is>
          <t>Financial Data, Customer Data</t>
        </is>
      </c>
      <c r="J1216" t="inlineStr">
        <is>
          <t>Reserve Bank of India (RBI)</t>
        </is>
      </c>
      <c r="K1216" s="11" t="inlineStr">
        <is>
          <t>The IT Function must assist Senior Management in identifying, measuring, monitoring, mitigating and managing IT outsourcing risks, maintain a central database of all outsourcing arrangements for Board and Senior Management review, monitor outsourced activities to ensure service provider performance, coordinate periodic due diligence, and establish documentation for contractual agreements including service level management and risk classification.</t>
        </is>
      </c>
      <c r="L1216" s="11" t="inlineStr">
        <is>
          <t>Directly relevant to DTIA as it specifies technical oversight mechanisms for third-party data handling, including risk monitoring, service performance tracking, and contractual documentation requirements.</t>
        </is>
      </c>
      <c r="M1216" s="11" t="inlineStr">
        <is>
          <t>• [Must] IT Function shall assist Senior Management in identifying, measuring, monitoring, mitigating and managing IT outsourcing risk
• [Must] IT Function shall maintain a central database of all IT outsourcing arrangements accessible for review by Board, Senior Management, Auditors and Supervisors
• [Must] IT Function shall monitor and supervise outsourced activities to ensure service providers meet performance standards and provide uninterrupted services
• [Must] IT Function shall report to Senior Management on outsourced activities
• [Must] IT Function shall coordinate periodic due diligence and highlight concerns with Senior Management
• [Must] IT Function shall put in place necessary documentation for contractual agreements including service level management, monitoring of vendor operations, key risk indicators and vendor classification based on risk</t>
        </is>
      </c>
      <c r="N1216" s="11" t="inlineStr">
        <is>
          <t>The responsibilities of the IT Function of the RE shall, inter alia, include: a) assisting the Senior Management in identifying, measuring, monitoring, mitigating and managing the level of IT outsourcing risk in the organisation; b) ensuring that a central database of all IT outsourcing arrangements is maintained and is accessible for review by Board, Senior Management, Auditors and Supervisors; c) effectively monitor and supervise the outsourced activity to ensure that the service providers meet the laid down performance standards and provide uninterrupted services, report to the Senior Management; co-ordinate periodic due diligence and highlight concerns, if any; and d) putting in place necessary documentation required for contractual agreements including service level management, monitoring of vendor operations, key risk indicators and classifying the vendors as per the determined risk.</t>
        </is>
      </c>
      <c r="O1216" s="12" t="inlineStr">
        <is>
          <t>Open PDF</t>
        </is>
      </c>
    </row>
    <row r="1217">
      <c r="A1217" t="inlineStr">
        <is>
          <t>India</t>
        </is>
      </c>
      <c r="B1217" t="inlineStr">
        <is>
          <t>RBI Master Direction on Outsourcing of IT Services (MDS on IT Outsourcing, 2023) (India - Row 16)</t>
        </is>
      </c>
      <c r="C1217" t="inlineStr">
        <is>
          <t>13</t>
        </is>
      </c>
      <c r="D1217" s="11" t="inlineStr">
        <is>
          <t>Due Diligence Requirements for Service Providers</t>
        </is>
      </c>
      <c r="E1217" t="inlineStr">
        <is>
          <t>13</t>
        </is>
      </c>
      <c r="F1217" t="inlineStr">
        <is>
          <t>High</t>
        </is>
      </c>
      <c r="G1217" t="inlineStr">
        <is>
          <t>High (explicit)</t>
        </is>
      </c>
      <c r="H1217" s="11" t="inlineStr">
        <is>
          <t>Cross-border Transfer, International Processing, Data Storage, Security, Governance, Record Keeping</t>
        </is>
      </c>
      <c r="I1217" s="11" t="inlineStr">
        <is>
          <t>Financial Data, Customer Data</t>
        </is>
      </c>
      <c r="J1217" t="inlineStr">
        <is>
          <t>Reserve Bank of India (RBI)</t>
        </is>
      </c>
      <c r="K1217" s="11" t="inlineStr">
        <is>
          <t>Financial institutions must conduct risk-based due diligence on service providers to assess their capability to comply with outsourcing agreements, consider qualitative, quantitative, financial, operational, legal and reputational factors, obtain independent reviews and market feedback, and evaluate concentration risks from single or few service providers.</t>
        </is>
      </c>
      <c r="L1217" s="11" t="inlineStr">
        <is>
          <t>Critical for DTIA as it mandates comprehensive due diligence on third-party service providers, including risk assessment and concentration risk evaluation for cross-border data transfers.</t>
        </is>
      </c>
      <c r="M1217" s="11" t="inlineStr">
        <is>
          <t>• [Must] Appropriate due diligence shall be performed to assess service provider capability to comply with outsourcing agreement obligations on an ongoing basis
• [Must] A risk-based approach shall be adopted in conducting due diligence activities
• [Must] Due diligence shall consider qualitative, quantitative, financial, operational, legal and reputational factors
• [Must] REs shall obtain independent reviews and market feedback on service providers to supplement assessment
• [Must] REs shall consider risks arising from concentration of outsourcing arrangements with single or few service providers</t>
        </is>
      </c>
      <c r="N1217" s="11" t="inlineStr">
        <is>
          <t>a) In considering or renewing an Outsourcing of IT Services arrangement, appropriate due diligence shall be performed to assess the capability of the service provider to comply with obligations in the outsourcing agreement on an ongoing basis. b) A risk-based approach shall be adopted in conducting such due diligence activities. c) Due diligence shall take into consideration qualitative, quantitative, financial, operational, legal and reputational factors. Where possible, the RE shall obtain independent reviews and market feedback on the service provider to supplement its own assessment. d) REs shall also consider, while evaluating the capability of the service provider, risks arising from concentration of outsourcing arrangements with a single or a few service provider/s.</t>
        </is>
      </c>
      <c r="O1217" s="12" t="inlineStr">
        <is>
          <t>Open PDF</t>
        </is>
      </c>
    </row>
    <row r="1218">
      <c r="A1218" t="inlineStr">
        <is>
          <t>India</t>
        </is>
      </c>
      <c r="B1218" t="inlineStr">
        <is>
          <t>RBI Master Direction on Outsourcing of IT Services (MDS on IT Outsourcing, 2023) (India - Row 16)</t>
        </is>
      </c>
      <c r="C1218" t="inlineStr">
        <is>
          <t>14</t>
        </is>
      </c>
      <c r="D1218" s="11" t="inlineStr">
        <is>
          <t>Due Diligence Evaluation Criteria for Service Providers</t>
        </is>
      </c>
      <c r="E1218" t="inlineStr">
        <is>
          <t>13–15</t>
        </is>
      </c>
      <c r="F1218" t="inlineStr">
        <is>
          <t>High</t>
        </is>
      </c>
      <c r="G1218" t="inlineStr">
        <is>
          <t>High (explicit)</t>
        </is>
      </c>
      <c r="H1218" s="11" t="inlineStr">
        <is>
          <t>Cross-border Transfer, International Processing, Data Storage, Security, Governance, Record Keeping</t>
        </is>
      </c>
      <c r="I1218" s="11" t="inlineStr">
        <is>
          <t>Financial Data, Customer Data</t>
        </is>
      </c>
      <c r="J1218" t="inlineStr">
        <is>
          <t>Reserve Bank of India (RBI)</t>
        </is>
      </c>
      <c r="K1218" s="11" t="inlineStr">
        <is>
          <t>Due diligence must evaluate service providers' past experience, financial soundness, business reputation, conflict of interest, external factors affecting data security, technology infrastructure stability, data segregation capabilities, due diligence on employees and subcontractors, regulatory compliance, information security risk assessments, data protection controls, and ability to enforce agreements.</t>
        </is>
      </c>
      <c r="L1218" s="11" t="inlineStr">
        <is>
          <t>Directly impacts DTIA by specifying detailed evaluation criteria for third-party service providers, including data segregation, security controls, and regulatory compliance requirements for cross-border data transfers.</t>
        </is>
      </c>
      <c r="M1218" s="11" t="inlineStr">
        <is>
          <t>• [Must] Evaluate service provider's past experience and demonstrated competence to implement and support proposed IT activity over contract period
• [Must] Assess service provider's financial soundness and ability to service commitments under adverse conditions
• [Must] Evaluate service provider's business reputation, culture, compliance, complaints, and outstanding or potential litigations
• [Must] Assess service provider's conflict of interest, if any
• [Must] Evaluate external factors like political, economic, social and legal environment affecting data security and service performance
• [Must] Assess service provider's technology, infrastructure stability, security, internal control, audit coverage, reporting and monitoring procedures, data backup arrangements, business continuity management and disaster recovery plans
• [Must] Evaluate service provider's capability to identify and segregate RE's data
• [Must] Assess service provider's quality of due diligence on employees and subcontractors
• [Must] Evaluate service provider's capability to comply with regulatory and legal requirements of outsourcing arrangements
• [Must] Conduct information/cyber security risk assessment
• [Must] Ensure appropriate controls, assurance requirements and contractual arrangements for data protection and RE's access to data processed by service providers
• [Must] Evaluate service provider's ability to effectively service all customers while maintaining confidentiality
• [Must] Evaluate service provider's ability to enforce agreements and rights related to data storage, data protection and confidentiality</t>
        </is>
      </c>
      <c r="N1218" s="11" t="inlineStr">
        <is>
          <t>Due diligence shall involve evaluation of all available information, as applicable, about the service provider, including but not limited to: a) past experience and demonstrated competence to implement and support the proposed IT activity over the contract period; b) financial soundness and ability to service commitments even under adverse conditions; c) business reputation and culture, compliance, complaints and outstanding or potential litigations; d) conflict of interest, if any; e) external factors like political, economic, social and legal environment of the jurisdiction in which the service provider operates and other events that may impact data security and service performance; f) details of the technology, infrastructure stability, security and internal control, audit coverage, reporting and monitoring procedures, data backup arrangements, business continuity management and disaster recovery plan; g) capability to identify and segregate REs data; h) quality of due diligence exercised by the service provider with respect to its employees and sub-contractors; i) capability to comply with the regulatory and legal requirements of the Outsourcing of IT Services arrangement; j) information/ cyber security risk assessment; k) ensuring that appropriate controls, assurance requirements and possible contractual arrangements are in place to ensure data protection and RE's access to the data which is processed, managed or stored by the service provider; l) ability to effectively service all the customers while maintaining confidentiality, especially where a service provider has exposure to multiple entities; and m) ability to enforce agreements and the rights available thereunder including those relating to aspects such as data storage, data protection and confidentiality.</t>
        </is>
      </c>
      <c r="O1218" s="12" t="inlineStr">
        <is>
          <t>Open PDF</t>
        </is>
      </c>
    </row>
    <row r="1219">
      <c r="A1219" t="inlineStr">
        <is>
          <t>India</t>
        </is>
      </c>
      <c r="B1219" t="inlineStr">
        <is>
          <t>RBI Master Direction on Outsourcing of IT Services (MDS on IT Outsourcing, 2023) (India - Row 16)</t>
        </is>
      </c>
      <c r="C1219" t="inlineStr">
        <is>
          <t>15</t>
        </is>
      </c>
      <c r="D1219" s="11" t="inlineStr">
        <is>
          <t>Legally binding agreement requirements for IT service providers</t>
        </is>
      </c>
      <c r="E1219" t="inlineStr">
        <is>
          <t>15</t>
        </is>
      </c>
      <c r="F1219" t="inlineStr">
        <is>
          <t>High</t>
        </is>
      </c>
      <c r="G1219" t="inlineStr">
        <is>
          <t>High (explicit)</t>
        </is>
      </c>
      <c r="H1219" s="11" t="inlineStr">
        <is>
          <t>Outsourcing, Data Residency</t>
        </is>
      </c>
      <c r="I1219" s="11" t="inlineStr">
        <is>
          <t>Personal Information, Financial Data</t>
        </is>
      </c>
      <c r="J1219" t="inlineStr">
        <is>
          <t>RBI</t>
        </is>
      </c>
      <c r="K1219" s="11" t="inlineStr">
        <is>
          <t>Reserve Entities (REs) must ensure legally binding agreements define their rights, obligations, and those of service providers. The agreement must address task criticality, associated risks, and mitigation strategies. Legal counsel must vet terms for enforceability and flexibility to retain control over outsourced activities and meet regulatory obligations. The agreement must clarify the legal relationship between parties.</t>
        </is>
      </c>
      <c r="L1219" s="11" t="inlineStr">
        <is>
          <t>This section mandates specific contractual safeguards for IT outsourcing, including risk management, regulatory compliance, and control mechanisms that directly impact cross-border data transfers by requiring data residency in India and clear contractual terms for data handling.</t>
        </is>
      </c>
      <c r="M1219" s="11" t="inlineStr">
        <is>
          <t>• [Must] REs must ensure legally binding agreements define rights and obligations of REs and service providers
• [Must] Agreements should consider criticality of outsourced tasks, associated risks, and mitigation strategies
• [Must] Contract terms must be vetted by RE's legal counsel for legal effect and enforceability
• [Must] Agreements must be flexible to allow REs to retain control over outsourced activities and intervene to meet legal obligations
• [Must] Agreements must clarify the legal relationship between parties</t>
        </is>
      </c>
      <c r="N1219" s="11" t="inlineStr">
        <is>
          <t>REs shall ensure that their rights and obligations and those of each of their service providers are clearly defined and set out in a legally binding written agreement.</t>
        </is>
      </c>
      <c r="O1219" s="12" t="inlineStr">
        <is>
          <t>Open PDF</t>
        </is>
      </c>
    </row>
    <row r="1220">
      <c r="A1220" t="inlineStr">
        <is>
          <t>India</t>
        </is>
      </c>
      <c r="B1220" t="inlineStr">
        <is>
          <t>RBI Master Direction on Outsourcing of IT Services (MDS on IT Outsourcing, 2023) (India - Row 16)</t>
        </is>
      </c>
      <c r="C1220" t="inlineStr">
        <is>
          <t>16</t>
        </is>
      </c>
      <c r="D1220" s="11" t="inlineStr">
        <is>
          <t>Mandatory clauses for IT outsourcing agreements</t>
        </is>
      </c>
      <c r="E1220" t="inlineStr">
        <is>
          <t>15–18</t>
        </is>
      </c>
      <c r="F1220" t="inlineStr">
        <is>
          <t>High</t>
        </is>
      </c>
      <c r="G1220" t="inlineStr">
        <is>
          <t>High (explicit)</t>
        </is>
      </c>
      <c r="H1220" s="11" t="inlineStr">
        <is>
          <t>Outsourcing, Data Residency, Security, Data Sharing</t>
        </is>
      </c>
      <c r="I1220" s="11" t="inlineStr">
        <is>
          <t>Financial Data, Customer Data</t>
        </is>
      </c>
      <c r="J1220" t="inlineStr">
        <is>
          <t>RBI</t>
        </is>
      </c>
      <c r="K1220" s="11" t="inlineStr">
        <is>
          <t>Agreements must include specific clauses such as details of outsourced activities with performance standards, access to relevant data, regular monitoring of service providers, reporting of material adverse events, compliance with IT Act 2000, service-level agreements, data storage in India, data sharing disclosures, confidentiality controls, data sharing permissions, resolution processes, contingency planning, audit rights, third-party oversight, and contractual liability for sub-contractors.</t>
        </is>
      </c>
      <c r="L1220" s="11" t="inlineStr">
        <is>
          <t>This section specifies critical clauses for IT outsourcing agreements that ensure data residency in India, robust security controls, and clear contractual terms for data handling, directly impacting cross-border data transfers by mandating Indian data storage and strict access controls.</t>
        </is>
      </c>
      <c r="M1220" s="11" t="inlineStr">
        <is>
          <t>• [Must] Agreements must specify details of outsourced activities with performance standards including sub-contractor standards
• [Must] REs must ensure effective access to all data, books, records, information, logs, alerts, and business premises relevant to outsourced activities
• [Must] REs must conduct regular monitoring and assessment of service providers for continuous risk management
• [Must] Agreements must define material adverse events and reporting requirements to enable prompt risk mitigation
• [Must] Service providers must comply with IT Act 2000 and other legal requirements to protect customer data
• [Must] Agreements must include service-level agreements formalizing performance criteria
• [Must] Data storage must be in India as per regulatory requirements
• [Must] Agreements must require service providers to disclose data captured, processed, and stored
• [Must] Service providers must maintain confidentiality controls and be liable for security breaches
• [Must] Agreements must specify data sharing permissions with RE's customers and other parties
• [Must] Agreements must include resolution processes, events of default, indemnities, remedies, and recourse
• [Must] Service providers must have contingency plans for business continuity and testing requirements
• [Must] REs must have right to audit service providers (including sub-contractors) and obtain audit reports
• [Must] REs must have right to seek information about third parties in the supply chain
• [Must] Agreements must allow RBI or authorized persons to access RE's IT infrastructure and data
• [Must] Service providers must be contractually liable for sub-contractors' performance and risk management
• [Must] Service providers must comply with RBI directions on outsourced activities
• [Must] REs must require prior approval for service providers to use sub-contractors
• [Must] REs must retain termination rights including ability to transfer outsourcing to another provider
• [Must] Service providers must cooperate with regulators in case of RE insolvency/resolution
• [Must] Service providers must have skilled resources as 'essential personnel' for critical functions
• [Must] Service providers must have back-to-back arrangements with OEMs
• [Must] Service providers must sign non-disclosure agreements</t>
        </is>
      </c>
      <c r="N1220" s="11" t="inlineStr">
        <is>
          <t>The agreement at a minimum should include (as applicable to the scope of Outsourcing of IT Services) the following aspects: details of the activity being outsourced, including appropriate service and performance standards including for the sub-contractors, if any;</t>
        </is>
      </c>
      <c r="O1220" s="12" t="inlineStr">
        <is>
          <t>Open PDF</t>
        </is>
      </c>
    </row>
    <row r="1221">
      <c r="A1221" t="inlineStr">
        <is>
          <t>India</t>
        </is>
      </c>
      <c r="B1221" t="inlineStr">
        <is>
          <t>RBI Master Direction on Outsourcing of IT Services (MDS on IT Outsourcing, 2023) (India - Row 16)</t>
        </is>
      </c>
      <c r="C1221" t="inlineStr">
        <is>
          <t>17</t>
        </is>
      </c>
      <c r="D1221" s="11" t="inlineStr">
        <is>
          <t>Risk management framework for IT outsourcing</t>
        </is>
      </c>
      <c r="E1221" t="inlineStr">
        <is>
          <t>18–19</t>
        </is>
      </c>
      <c r="F1221" t="inlineStr">
        <is>
          <t>High</t>
        </is>
      </c>
      <c r="G1221" t="inlineStr">
        <is>
          <t>High (explicit)</t>
        </is>
      </c>
      <c r="H1221" s="11" t="inlineStr">
        <is>
          <t>Incident Reporting, Breach Notification</t>
        </is>
      </c>
      <c r="I1221" s="11" t="inlineStr">
        <is>
          <t>Financial Data, Customer Data</t>
        </is>
      </c>
      <c r="J1221" t="inlineStr">
        <is>
          <t>RBI</t>
        </is>
      </c>
      <c r="K1221" s="11" t="inlineStr">
        <is>
          <t>REs must establish a comprehensive risk management framework for IT outsourcing that covers identification, measurement, mitigation, management, and reporting of risks. Risk assessments must be documented with necessary approvals from Board, Senior Management, and IT Function. REs are responsible for data confidentiality and integrity, access to data on need-to-know basis with security controls, and oversight of multiple service providers. REs must report cyber incidents to RBI within 6 hours of detection by the service provider.</t>
        </is>
      </c>
      <c r="L1221" s="11" t="inlineStr">
        <is>
          <t>This section requires REs to implement robust risk management practices for IT outsourcing, including incident reporting within 6 hours to RBI, which directly impacts cross-border data transfers by mandating timely breach notifications and data security controls.</t>
        </is>
      </c>
      <c r="M1221" s="11" t="inlineStr">
        <is>
          <t>• [Must] REs must put in place a risk management framework for IT outsourcing covering identification, measurement, mitigation, management, and reporting of risks
• [Must] Risk assessments must be documented with necessary approvals from Board, Senior Management, and IT Function
• [Must] REs must ensure confidentiality and integrity of customer data available to service providers
• [Must] Access to data at RE's location must be on need-to-know basis with appropriate security controls
• [Must] REs must ensure security and confidentiality of customer information by service provider staff on need-to-know basis
• [Must] REs must monitor control environments of all service providers accessing RE's data
• [Must] Service providers must report cyber incidents to RE without undue delay, and RE must report to RBI within 6 hours of detection
• [Must] REs must review and monitor service provider security practices to disclose breaches and notify RBI immediately
• [Must] REs must assess concentration risk from multiple outsourcings to the same service provider</t>
        </is>
      </c>
      <c r="N1221" s="11" t="inlineStr">
        <is>
          <t>REs shall put in place a Risk Management framework for Outsourcing of IT Services that shall comprehensively deal with the processes and responsibilities for identification, measurement, mitigation, management, and reporting of risks associated with Outsourcing of IT Services arrangements.</t>
        </is>
      </c>
      <c r="O1221" s="12" t="inlineStr">
        <is>
          <t>Open PDF</t>
        </is>
      </c>
    </row>
    <row r="1222">
      <c r="A1222" t="inlineStr">
        <is>
          <t>India</t>
        </is>
      </c>
      <c r="B1222" t="inlineStr">
        <is>
          <t>RBI Master Direction on Outsourcing of IT Services (MDS on IT Outsourcing, 2023) (India - Row 16)</t>
        </is>
      </c>
      <c r="C1222" t="inlineStr">
        <is>
          <t>18</t>
        </is>
      </c>
      <c r="D1222" s="11" t="inlineStr">
        <is>
          <t>Business continuity and disaster recovery for IT outsourcing</t>
        </is>
      </c>
      <c r="E1222" t="inlineStr">
        <is>
          <t>19–20</t>
        </is>
      </c>
      <c r="F1222" t="inlineStr">
        <is>
          <t>High</t>
        </is>
      </c>
      <c r="G1222" t="inlineStr">
        <is>
          <t>High (explicit)</t>
        </is>
      </c>
      <c r="H1222" s="11" t="inlineStr">
        <is>
          <t>Data Residency</t>
        </is>
      </c>
      <c r="I1222" s="11" t="inlineStr">
        <is>
          <t>Financial Data, Customer Data</t>
        </is>
      </c>
      <c r="J1222" t="inlineStr">
        <is>
          <t>RBI</t>
        </is>
      </c>
      <c r="K1222" s="11" t="inlineStr">
        <is>
          <t>REs must require service providers to develop robust Business Continuity Plans (BCPs) and Disaster Recovery Plans (DRPs) commensurate with outsourced activities. REs must consider alternative service providers or in-house solutions during emergencies. REs must retain control over IT outsourcing arrangements to mitigate risks from termination or insolvency of service providers. REs must ensure service providers can isolate RE's information to facilitate removal or destruction of data in adverse conditions.</t>
        </is>
      </c>
      <c r="L1222" s="11" t="inlineStr">
        <is>
          <t>This section mandates business continuity and disaster recovery plans for IT outsourcing, ensuring data can be isolated and removed from service providers during emergencies, which is critical for cross-border data transfers to prevent data retention in foreign jurisdictions.</t>
        </is>
      </c>
      <c r="M1222" s="11" t="inlineStr">
        <is>
          <t>• [Must] REs must require service providers to develop and maintain robust BCP and DRP frameworks
• [Must] REs must consider alternative service providers or in-house solutions during emergencies
• [Must] REs must retain control over IT outsourcing arrangements to mitigate risks from termination or insolvency
• [Must] REs must ensure service providers can isolate RE's information to facilitate removal or destruction of data</t>
        </is>
      </c>
      <c r="N1222" s="11" t="inlineStr">
        <is>
          <t>REs shall require their service providers to develop and establish a robust framework for documenting, maintaining and testing Business Continuity Plan (BCP) and Disaster Recovery Plan (DRP) commensurate with the nature and scope of the outsourced activity as per extant instructions issued by RBI from time to time on BCP/ DR requirements.</t>
        </is>
      </c>
      <c r="O1222" s="12" t="inlineStr">
        <is>
          <t>Open PDF</t>
        </is>
      </c>
    </row>
    <row r="1223">
      <c r="A1223" t="inlineStr">
        <is>
          <t>India</t>
        </is>
      </c>
      <c r="B1223" t="inlineStr">
        <is>
          <t>RBI Master Direction on Outsourcing of IT Services (MDS on IT Outsourcing, 2023) (India - Row 16)</t>
        </is>
      </c>
      <c r="C1223" t="inlineStr">
        <is>
          <t>19</t>
        </is>
      </c>
      <c r="D1223" s="11" t="inlineStr">
        <is>
          <t>Monitoring and control of outsourced IT activities</t>
        </is>
      </c>
      <c r="E1223" t="inlineStr">
        <is>
          <t>20–22</t>
        </is>
      </c>
      <c r="F1223" t="inlineStr">
        <is>
          <t>High</t>
        </is>
      </c>
      <c r="G1223" t="inlineStr">
        <is>
          <t>High (explicit)</t>
        </is>
      </c>
      <c r="H1223" s="11" t="inlineStr"/>
      <c r="I1223" s="11" t="inlineStr">
        <is>
          <t>Financial Data, Customer Data</t>
        </is>
      </c>
      <c r="J1223" t="inlineStr">
        <is>
          <t>RBI</t>
        </is>
      </c>
      <c r="K1223" s="11" t="inlineStr">
        <is>
          <t>REs must establish a management structure to monitor and control outsourced IT activities, including performance, uptime, service availability, SLA adherence, and incident response. REs must conduct regular audits of service providers (including sub-contractors) with the option to pool audits for multiple REs. Audits must assess service provider performance, risk management practices, and compliance with laws. REs must periodically review financial and operational conditions of service providers to assess their ability to meet obligations.</t>
        </is>
      </c>
      <c r="L1223" s="11" t="inlineStr">
        <is>
          <t>This section requires REs to implement continuous monitoring and auditing of outsourced IT activities, ensuring service providers maintain compliance with data security and regulatory requirements, which directly impacts cross-border data transfers through strict oversight mechanisms.</t>
        </is>
      </c>
      <c r="M1223" s="11" t="inlineStr">
        <is>
          <t>• [Must] REs must have a management structure to monitor and control outsourced IT activities
• [Must] REs must conduct regular audits of service providers (including sub-contractors)
• [May] REs may pool audit resources for common service providers to reduce costs
• [Must] Audits must assess service provider performance, risk management practices, and compliance with laws
• [Must] REs must review financial and operational conditions of service providers periodically</t>
        </is>
      </c>
      <c r="N1223" s="11" t="inlineStr">
        <is>
          <t>REs shall have in place a management structure to monitor and control its Outsourced IT activities. This shall include (as applicable to the scope of Outsourcing of IT Services) but not limited to monitoring the performance, uptime of the systems and resources, service availability, adherence to SLA requirements, incident response mechanism, etc.</t>
        </is>
      </c>
      <c r="O1223" s="12" t="inlineStr">
        <is>
          <t>Open PDF</t>
        </is>
      </c>
    </row>
    <row r="1224">
      <c r="A1224" t="inlineStr">
        <is>
          <t>India</t>
        </is>
      </c>
      <c r="B1224" t="inlineStr">
        <is>
          <t>RBI Master Direction on Outsourcing of IT Services (MDS on IT Outsourcing, 2023) (India - Row 16)</t>
        </is>
      </c>
      <c r="C1224" t="inlineStr">
        <is>
          <t>20</t>
        </is>
      </c>
      <c r="D1224" s="11" t="inlineStr">
        <is>
          <t>Group outsourcing within business conglomerates</t>
        </is>
      </c>
      <c r="E1224" t="inlineStr">
        <is>
          <t>22</t>
        </is>
      </c>
      <c r="F1224" t="inlineStr">
        <is>
          <t>High</t>
        </is>
      </c>
      <c r="G1224" t="inlineStr">
        <is>
          <t>High (explicit)</t>
        </is>
      </c>
      <c r="H1224" s="11" t="inlineStr">
        <is>
          <t>Outsourcing, Data Residency</t>
        </is>
      </c>
      <c r="I1224" s="11" t="inlineStr">
        <is>
          <t>Financial Data, Customer Data</t>
        </is>
      </c>
      <c r="J1224" t="inlineStr">
        <is>
          <t>RBI</t>
        </is>
      </c>
      <c r="K1224" s="11" t="inlineStr">
        <is>
          <t>REs may outsource IT activities within their business group or conglomerate if backed by Board-approved policy and appropriate service level agreements. Selection of group entities must be based on objective criteria similar to third-party selection, with conflicts of interest addressed. REs must maintain arm's-length relationships with group entities and apply identical risk management practices as for non-related parties.</t>
        </is>
      </c>
      <c r="L1224" s="11" t="inlineStr">
        <is>
          <t>This section allows for group-level outsourcing but requires strict risk management practices and arm's-length relationships, which can impact cross-border data transfers if group entities operate in different jurisdictions.</t>
        </is>
      </c>
      <c r="M1224" s="11" t="inlineStr">
        <is>
          <t>• [May] REs may outsource IT activities within business group if backed by Board-approved policy and service level agreements
• Selection of group entities must be based on objective criteria similar to third-party selection
• [Must] REs must address conflicts of interest in group outsourcing arrangements
• [Must] REs must maintain arm's-length relationships with group entities
• [Must] Risk management practices for group entities must be identical to non-related parties</t>
        </is>
      </c>
      <c r="N1224" s="11" t="inlineStr">
        <is>
          <t>A RE may outsource any IT activity/ IT enabled service within its business group/ conglomerate, provided that such an arrangement is backed by the Board-approved policy and appropriate service level arrangements/ agreements with its group entities are in place.</t>
        </is>
      </c>
      <c r="O1224" s="12" t="inlineStr">
        <is>
          <t>Open PDF</t>
        </is>
      </c>
    </row>
    <row r="1225">
      <c r="A1225" t="inlineStr">
        <is>
          <t>India</t>
        </is>
      </c>
      <c r="B1225" t="inlineStr">
        <is>
          <t>RBI Master Direction on Outsourcing of IT Services (MDS on IT Outsourcing, 2023) (India - Row 16)</t>
        </is>
      </c>
      <c r="C1225" t="inlineStr">
        <is>
          <t>21</t>
        </is>
      </c>
      <c r="D1225" s="11" t="inlineStr">
        <is>
          <t>Cross-border outsourcing country risk management</t>
        </is>
      </c>
      <c r="E1225" t="inlineStr">
        <is>
          <t>22–23</t>
        </is>
      </c>
      <c r="F1225" t="inlineStr">
        <is>
          <t>High</t>
        </is>
      </c>
      <c r="G1225" t="inlineStr">
        <is>
          <t>High (explicit)</t>
        </is>
      </c>
      <c r="H1225" s="11" t="inlineStr">
        <is>
          <t>Cross-border Transfer, Data Storage</t>
        </is>
      </c>
      <c r="I1225" s="11" t="inlineStr">
        <is>
          <t>Personal Information</t>
        </is>
      </c>
      <c r="J1225" t="inlineStr">
        <is>
          <t>RBI</t>
        </is>
      </c>
      <c r="K1225" s="11" t="inlineStr">
        <is>
          <t>The recipient entity (RE) must continuously monitor the political, social, economic and legal conditions of the foreign jurisdiction where the service provider is based, establish procedures to mitigate country risk including contingency and exit strategies, and ensure records remain accessible to the RE and RBI even during service provider liquidation. This applies to REs engaging cross-border IT service providers.</t>
        </is>
      </c>
      <c r="L1225" s="11" t="inlineStr">
        <is>
          <t>Cross-border outsourcing requires REs to manage country risk through continuous monitoring of foreign jurisdiction conditions and establishing contingency/exit strategies to ensure data accessibility during service provider liquidation.</t>
        </is>
      </c>
      <c r="M1225" s="11" t="inlineStr">
        <is>
          <t>• [Must] RE must closely monitor government policies and political, social, economic and legal conditions of foreign jurisdiction continuously
• [Must] RE must establish sound procedures for mitigating country risk including contingency and exit strategies
• [Must] RE must ensure availability of records to RE and RBI is not affected even during service provider liquidation</t>
        </is>
      </c>
      <c r="N1225" s="11" t="inlineStr">
        <is>
          <t>The engagement of a service provider based in a different jurisdiction exposes the RE to country risk. To manage such risk, the RE shall closely monitor government policies of the jurisdiction in which the service provider is based and the political, social, economic and legal conditions on a continuous basis, as well as establish sound procedures for mitigating the country risk.</t>
        </is>
      </c>
      <c r="O1225" s="12" t="inlineStr">
        <is>
          <t>Open PDF</t>
        </is>
      </c>
    </row>
    <row r="1226">
      <c r="A1226" t="inlineStr">
        <is>
          <t>India</t>
        </is>
      </c>
      <c r="B1226" t="inlineStr">
        <is>
          <t>RBI Master Direction on Outsourcing of IT Services (MDS on IT Outsourcing, 2023) (India - Row 16)</t>
        </is>
      </c>
      <c r="C1226" t="inlineStr">
        <is>
          <t>22</t>
        </is>
      </c>
      <c r="D1226" s="11" t="inlineStr">
        <is>
          <t>Exit strategy for IT outsourcing</t>
        </is>
      </c>
      <c r="E1226" t="inlineStr">
        <is>
          <t>3–5</t>
        </is>
      </c>
      <c r="F1226" t="inlineStr">
        <is>
          <t>High</t>
        </is>
      </c>
      <c r="G1226" t="inlineStr">
        <is>
          <t>High (explicit)</t>
        </is>
      </c>
      <c r="H1226" s="11" t="inlineStr">
        <is>
          <t>Data Storage</t>
        </is>
      </c>
      <c r="I1226" s="11" t="inlineStr">
        <is>
          <t>Personal Information</t>
        </is>
      </c>
      <c r="J1226" t="inlineStr">
        <is>
          <t>RBI</t>
        </is>
      </c>
      <c r="K1226" s="11" t="inlineStr">
        <is>
          <t>The RE must include a clear exit strategy in its IT outsourcing policy that ensures business continuity during and after exit, covering different scenarios of termination with minimum execution periods. The agreement must include clauses for safe data and hardware removal/destruction, prohibiting the service provider from altering data during transition unless instructed by the regulator.</t>
        </is>
      </c>
      <c r="L1226" s="11" t="inlineStr">
        <is>
          <t>IT outsourcing exit strategies require REs to define clear transition protocols for data and hardware destruction while preventing service provider data alterations during transition periods.</t>
        </is>
      </c>
      <c r="M1226" s="11" t="inlineStr">
        <is>
          <t>• [Must] IT outsourcing policy must contain clear exit strategy ensuring business continuity during and after exit
• [Must] Exit strategy must include plans for different exit scenarios with stipulated minimum execution periods
• [Must] Agreement must have clauses for safe removal/destruction of data, hardware and records
• [Must] Service provider must be prohibited from erasing, purging, revoking, altering or changing data during transition unless specifically advised by regulator</t>
        </is>
      </c>
      <c r="N1226" s="11" t="inlineStr">
        <is>
          <t>The Outsourcing of IT Services policy shall contain a clear exit strategy with regard to outsourced IT activities/ IT enabled services, while ensuring business continuity during and after exit.</t>
        </is>
      </c>
      <c r="O1226" s="12" t="inlineStr">
        <is>
          <t>Open PDF</t>
        </is>
      </c>
    </row>
    <row r="1227">
      <c r="A1227" t="inlineStr">
        <is>
          <t>India</t>
        </is>
      </c>
      <c r="B1227" t="inlineStr">
        <is>
          <t>RBI Master Direction on Outsourcing of IT Services (MDS on IT Outsourcing, 2023) (India - Row 16)</t>
        </is>
      </c>
      <c r="C1227" t="inlineStr">
        <is>
          <t>22</t>
        </is>
      </c>
      <c r="D1227" s="11" t="inlineStr">
        <is>
          <t>Exit strategy for IT outsourcing</t>
        </is>
      </c>
      <c r="E1227" t="inlineStr">
        <is>
          <t>23–24</t>
        </is>
      </c>
      <c r="F1227" t="inlineStr">
        <is>
          <t>High</t>
        </is>
      </c>
      <c r="G1227" t="inlineStr">
        <is>
          <t>High (explicit)</t>
        </is>
      </c>
      <c r="H1227" s="11" t="inlineStr">
        <is>
          <t>Data Storage</t>
        </is>
      </c>
      <c r="I1227" s="11" t="inlineStr">
        <is>
          <t>Personal Information</t>
        </is>
      </c>
      <c r="J1227" t="inlineStr">
        <is>
          <t>RBI</t>
        </is>
      </c>
      <c r="K1227" s="11" t="inlineStr">
        <is>
          <t>The RE must include a clear exit strategy in its IT outsourcing policy that ensures business continuity during and after exit, covering different scenarios of termination with minimum execution periods. The agreement must include clauses for safe data and hardware removal/destruction, prohibiting the service provider from altering data during transition unless instructed by the regulator.</t>
        </is>
      </c>
      <c r="L1227" s="11" t="inlineStr">
        <is>
          <t>IT outsourcing exit strategies require REs to define clear transition protocols for data and hardware destruction while preventing service provider data alterations during transition periods.</t>
        </is>
      </c>
      <c r="M1227" s="11" t="inlineStr">
        <is>
          <t>• [Must] IT outsourcing policy must contain clear exit strategy ensuring business continuity during and after exit
• [Must] Exit strategy must include plans for different exit scenarios with stipulated minimum execution periods
• [Must] Agreement must have clauses for safe removal/destruction of data, hardware and records
• [Must] Service provider must be prohibited from erasing, purging, revoking, altering or changing data during transition unless specifically advised by regulator</t>
        </is>
      </c>
      <c r="N1227" s="11" t="inlineStr">
        <is>
          <t>The Outsourcing of IT Services policy shall contain a clear exit strategy with regard to outsourced IT activities/ IT enabled services, while ensuring business continuity during and after exit.</t>
        </is>
      </c>
      <c r="O1227" s="12" t="inlineStr">
        <is>
          <t>Open PDF</t>
        </is>
      </c>
    </row>
    <row r="1228">
      <c r="A1228" t="inlineStr">
        <is>
          <t>India</t>
        </is>
      </c>
      <c r="B1228" t="inlineStr">
        <is>
          <t>RBI Payment Data Localisation Requirement (India - Row 17)</t>
        </is>
      </c>
      <c r="C1228" t="inlineStr">
        <is>
          <t>2</t>
        </is>
      </c>
      <c r="D1228" s="11" t="inlineStr">
        <is>
          <t>Payment data storage requirement for system providers</t>
        </is>
      </c>
      <c r="E1228" t="inlineStr">
        <is>
          <t>1</t>
        </is>
      </c>
      <c r="F1228" t="inlineStr">
        <is>
          <t>High</t>
        </is>
      </c>
      <c r="G1228" t="inlineStr">
        <is>
          <t>High (explicit)</t>
        </is>
      </c>
      <c r="H1228" s="11" t="inlineStr">
        <is>
          <t>Data Storage, Cross-border Transfer, Financial Data</t>
        </is>
      </c>
      <c r="I1228" s="11" t="inlineStr">
        <is>
          <t>Financial Data</t>
        </is>
      </c>
      <c r="J1228" t="inlineStr">
        <is>
          <t>Reserve Bank of India</t>
        </is>
      </c>
      <c r="K1228" s="11" t="inlineStr">
        <is>
          <t>System providers must store all payment system data within India, including end-to-end transaction details. Foreign transaction data may be stored abroad if necessary. System providers must comply with this requirement within six months and report compliance to the Reserve Bank by October 15, 2018.</t>
        </is>
      </c>
      <c r="L1228" s="11" t="inlineStr">
        <is>
          <t>Requires payment data to be stored within India, creating a data residency requirement that impacts cross-border data transfers and storage arrangements for payment systems.</t>
        </is>
      </c>
      <c r="M1228" s="11" t="inlineStr">
        <is>
          <t>• [Must] All system providers shall ensure that the entire data relating to payment systems operated by them are stored in a system only in India
• [Must Not] For the foreign leg of the transaction, if any, the data can also be stored in the foreign country, if required
• [Must] System providers shall ensure compliance of the data storage requirement within a period of six months
• [Must] System providers shall report compliance to the Reserve Bank latest by October 15, 2018</t>
        </is>
      </c>
      <c r="N1228" s="11" t="inlineStr">
        <is>
          <t>It is observed that not all system providers store the payments data in India. In order to ensure better monitoring, it is important to have unfettered supervisory access to data stored with these system providers as also with their service providers / intermediaries/ third party vendors and other entities in the payment ecosystem.</t>
        </is>
      </c>
      <c r="O1228" s="12" t="inlineStr">
        <is>
          <t>Open PDF</t>
        </is>
      </c>
    </row>
    <row r="1229">
      <c r="A1229" t="inlineStr">
        <is>
          <t>India</t>
        </is>
      </c>
      <c r="B1229" t="inlineStr">
        <is>
          <t>RBI Payment Data Localisation Requirement (India - Row 17)</t>
        </is>
      </c>
      <c r="C1229" t="inlineStr">
        <is>
          <t>2018</t>
        </is>
      </c>
      <c r="D1229" s="11" t="inlineStr">
        <is>
          <t>Legal basis for the directive</t>
        </is>
      </c>
      <c r="E1229" t="inlineStr">
        <is>
          <t>1</t>
        </is>
      </c>
      <c r="F1229" t="inlineStr">
        <is>
          <t>None</t>
        </is>
      </c>
      <c r="G1229" t="inlineStr">
        <is>
          <t>High (explicit)</t>
        </is>
      </c>
      <c r="H1229" s="11" t="inlineStr"/>
      <c r="I1229" s="11" t="inlineStr"/>
      <c r="J1229" t="inlineStr"/>
      <c r="K1229" s="11" t="inlineStr">
        <is>
          <t>This section states that the directive is issued under Section 10(2) read with Section 18 of the Payment and Settlement Systems Act 2007.</t>
        </is>
      </c>
      <c r="L1229" s="11" t="inlineStr"/>
      <c r="M1229" s="11" t="inlineStr"/>
      <c r="N1229" s="11" t="inlineStr">
        <is>
          <t>The directive is issued under Section 10(2) read with Section 18 of Payment and Settlement Systems Act 2007, (Act 51 of 2007).</t>
        </is>
      </c>
      <c r="O1229" s="12" t="inlineStr">
        <is>
          <t>Open PDF</t>
        </is>
      </c>
    </row>
    <row r="1230">
      <c r="A1230" t="inlineStr">
        <is>
          <t>India</t>
        </is>
      </c>
      <c r="B1230" t="inlineStr">
        <is>
          <t>Reserve Bank of India – IT Governance and Cybersecurity Regulatory Framework (including Master Directions and Cyber Security Framework) (India - Row 18)</t>
        </is>
      </c>
      <c r="C1230" t="inlineStr">
        <is>
          <t>1</t>
        </is>
      </c>
      <c r="D1230" s="11" t="inlineStr">
        <is>
          <t>Short Title and Commencement</t>
        </is>
      </c>
      <c r="E1230" t="inlineStr">
        <is>
          <t>4</t>
        </is>
      </c>
      <c r="F1230" t="inlineStr">
        <is>
          <t>None</t>
        </is>
      </c>
      <c r="G1230" t="inlineStr">
        <is>
          <t>High (explicit)</t>
        </is>
      </c>
      <c r="H1230" s="11" t="inlineStr"/>
      <c r="I1230" s="11" t="inlineStr"/>
      <c r="J1230" t="inlineStr"/>
      <c r="K1230" s="11" t="inlineStr">
        <is>
          <t>This section specifies that the Directions shall be called the Reserve Bank of India (Information Technology Governance, Risk, Controls and Assurance Practices) Directions, and establishes the effective date of the Directions.</t>
        </is>
      </c>
      <c r="L1230" s="11" t="inlineStr"/>
      <c r="M1230" s="11" t="inlineStr">
        <is>
          <t>• [Definition] These Directions shall be called the Reserve Bank of India (Information Technology Governance, Risk, Controls and Assurance Practices) Directions</t>
        </is>
      </c>
      <c r="N1230" s="11" t="inlineStr">
        <is>
          <t>1. Short Title and Commencement</t>
        </is>
      </c>
      <c r="O1230" s="12" t="inlineStr">
        <is>
          <t>Open PDF</t>
        </is>
      </c>
    </row>
    <row r="1231">
      <c r="A1231" t="inlineStr">
        <is>
          <t>India</t>
        </is>
      </c>
      <c r="B1231" t="inlineStr">
        <is>
          <t>Reserve Bank of India – IT Governance and Cybersecurity Regulatory Framework (including Master Directions and Cyber Security Framework) (India - Row 18)</t>
        </is>
      </c>
      <c r="C1231" t="inlineStr">
        <is>
          <t>2</t>
        </is>
      </c>
      <c r="D1231" s="11" t="inlineStr">
        <is>
          <t>Applicability of Directions</t>
        </is>
      </c>
      <c r="E1231" t="inlineStr">
        <is>
          <t>1–2</t>
        </is>
      </c>
      <c r="F1231" t="inlineStr">
        <is>
          <t>None</t>
        </is>
      </c>
      <c r="G1231" t="inlineStr">
        <is>
          <t>High (explicit)</t>
        </is>
      </c>
      <c r="H1231" s="11" t="inlineStr"/>
      <c r="I1231" s="11" t="inlineStr"/>
      <c r="J1231" t="inlineStr"/>
      <c r="K1231" s="11" t="inlineStr">
        <is>
          <t>This section specifies which entities are covered by the Directions (Banking Companies, Non-Banking Financial Companies, Credit Information Companies, and All India Financial Institutions) and which entities are excluded (Local Area Banks, NBFC-Core Investment Companies). It also explains the 'comply or explain' approach for foreign banks operating in India through branch mode.</t>
        </is>
      </c>
      <c r="L1231" s="11" t="inlineStr"/>
      <c r="M1231" s="11" t="inlineStr">
        <is>
          <t>• [Definition] These Directions shall be applicable to Banking Companies, Non-Banking Financial Companies, Credit Information Companies, and All India Financial Institutions
• [Definition] These Directions shall not be applicable to Local Area Banks and NBFC-Core Investment Companies
• [Definition] In the case of foreign banks operating in India through branch mode, reference to the board or board of directors should be read as reference to the controlling office/ head office
• [Definition] Foreign banks operating in India through branch mode shall be subject to a 'comply or explain' approach</t>
        </is>
      </c>
      <c r="N1231" s="11" t="inlineStr">
        <is>
          <t>2. Applicability (a) These Directions shall be applicable to the following entities (collectively referred to as 'regulated entities' or 'REs' in these directions): (i) all Banking Companies, Corresponding New Banks and State Bank of India as defined under subsections (c), (da) and (nc) of section 5 of the Banking Regulation Act, 1949 (collectively referred to as 'commercial banks' hereinafter). (ii) Non-Banking Financial Companies (hereinafter referred to as 'NBFCs') as defined under clause (f) of section 45I of the Reserve Bank of India Act, 1934 and included in the 'Top Layer', 'Upper Layer' and 'Middle Layer' defined in paragraphs 1.5, 1.4 and 1.3 respectively of the Annex to RBI circular DOR.CRE.REC.No.60/03.10.001/2021-22 dated October 22, 2021 on 'Scale Based Regulation (SBR): A Revised Regulatory Framework for NBFCs'. (iii) Credit Information Companies as defined under clause (e) of section 2 of the Credit Information Companies (Regulation) Act, 2005 (hereinafter referred to as 'Credit Information Companies' or 'CICs'). (iv) EXIM Bank, National Bank for Agriculture and Rural Development ('NABARD'), National Bank for Financing Infrastructure and Development ('NaBFID'), National Housing Bank ('NHB') and Small Industries Development Bank of India ('SIDBI') as established by the Export-Import Bank of India Act, 1981; the National Bank for Agriculture and Rural Development Act, 1981; the National Bank For Financing Infrastructure and Development Act, 2021; National Housing Bank Act, 1987 and the Small Industries Development Bank of India Act, 1989 respectively (hereinafter referred to as 'All India Financial Institutions' or 'AIFIs'). (b) These Directions shall not be applicable to: (i) Local Area Banks (ii) NBFC-Core Investment Companies (c) In the case of foreign banks operating in India through branch mode, reference to the board or board of directors in these Directions should be read as reference to the controlling office/ head office which has the oversight over the branch operations in India. Further, such foreign banks shall be subject to a 'comply or explain' approach in terms of the applicability of these Directions.</t>
        </is>
      </c>
      <c r="O1231" s="12" t="inlineStr">
        <is>
          <t>Open PDF</t>
        </is>
      </c>
    </row>
    <row r="1232">
      <c r="A1232" t="inlineStr">
        <is>
          <t>India</t>
        </is>
      </c>
      <c r="B1232" t="inlineStr">
        <is>
          <t>Reserve Bank of India – IT Governance and Cybersecurity Regulatory Framework (including Master Directions and Cyber Security Framework) (India - Row 18)</t>
        </is>
      </c>
      <c r="C1232" t="inlineStr">
        <is>
          <t>2</t>
        </is>
      </c>
      <c r="D1232" s="11" t="inlineStr">
        <is>
          <t>Applicability of Directions</t>
        </is>
      </c>
      <c r="E1232" t="inlineStr">
        <is>
          <t>4–6</t>
        </is>
      </c>
      <c r="F1232" t="inlineStr">
        <is>
          <t>None</t>
        </is>
      </c>
      <c r="G1232" t="inlineStr">
        <is>
          <t>High (explicit)</t>
        </is>
      </c>
      <c r="H1232" s="11" t="inlineStr"/>
      <c r="I1232" s="11" t="inlineStr"/>
      <c r="J1232" t="inlineStr"/>
      <c r="K1232" s="11" t="inlineStr">
        <is>
          <t>This section specifies which entities are covered by the Directions (Banking Companies, Non-Banking Financial Companies, Credit Information Companies, and All India Financial Institutions) and which entities are excluded (Local Area Banks, NBFC-Core Investment Companies). It also explains the 'comply or explain' approach for foreign banks operating in India through branch mode.</t>
        </is>
      </c>
      <c r="L1232" s="11" t="inlineStr"/>
      <c r="M1232" s="11" t="inlineStr">
        <is>
          <t>• [Definition] These Directions shall be applicable to Banking Companies, Non-Banking Financial Companies, Credit Information Companies, and All India Financial Institutions
• [Definition] These Directions shall not be applicable to Local Area Banks and NBFC-Core Investment Companies
• [Definition] In the case of foreign banks operating in India through branch mode, reference to the board or board of directors should be read as reference to the controlling office/ head office
• [Definition] Foreign banks operating in India through branch mode shall be subject to a 'comply or explain' approach</t>
        </is>
      </c>
      <c r="N1232" s="11" t="inlineStr">
        <is>
          <t>2. Applicability (a) These Directions shall be applicable to the following entities (collectively referred to as 'regulated entities' or 'REs' in these directions): (i) all Banking Companies, Corresponding New Banks and State Bank of India as defined under subsections (c), (da) and (nc) of section 5 of the Banking Regulation Act, 1949 (collectively referred to as 'commercial banks' hereinafter). (ii) Non-Banking Financial Companies (hereinafter referred to as 'NBFCs') as defined under clause (f) of section 45I of the Reserve Bank of India Act, 1934 and included in the 'Top Layer', 'Upper Layer' and 'Middle Layer' defined in paragraphs 1.5, 1.4 and 1.3 respectively of the Annex to RBI circular DOR.CRE.REC.No.60/03.10.001/2021-22 dated October 22, 2021 on 'Scale Based Regulation (SBR): A Revised Regulatory Framework for NBFCs'. (iii) Credit Information Companies as defined under clause (e) of section 2 of the Credit Information Companies (Regulation) Act, 2005 (hereinafter referred to as 'Credit Information Companies' or 'CICs'). (iv) EXIM Bank, National Bank for Agriculture and Rural Development ('NABARD'), National Bank for Financing Infrastructure and Development ('NaBFID'), National Housing Bank ('NHB') and Small Industries Development Bank of India ('SIDBI') as established by the Export-Import Bank of India Act, 1981; the National Bank for Agriculture and Rural Development Act, 1981; the National Bank For Financing Infrastructure and Development Act, 2021; National Housing Bank Act, 1987 and the Small Industries Development Bank of India Act, 1989 respectively (hereinafter referred to as 'All India Financial Institutions' or 'AIFIs'). (b) These Directions shall not be applicable to: (i) Local Area Banks (ii) NBFC-Core Investment Companies (c) In the case of foreign banks operating in India through branch mode, reference to the board or board of directors in these Directions should be read as reference to the controlling office/ head office which has the oversight over the branch operations in India. Further, such foreign banks shall be subject to a 'comply or explain' approach in terms of the applicability of these Directions.</t>
        </is>
      </c>
      <c r="O1232" s="12" t="inlineStr">
        <is>
          <t>Open PDF</t>
        </is>
      </c>
    </row>
    <row r="1233">
      <c r="A1233" t="inlineStr">
        <is>
          <t>India</t>
        </is>
      </c>
      <c r="B1233" t="inlineStr">
        <is>
          <t>Reserve Bank of India – IT Governance and Cybersecurity Regulatory Framework (including Master Directions and Cyber Security Framework) (India - Row 18)</t>
        </is>
      </c>
      <c r="C1233" t="inlineStr">
        <is>
          <t>3</t>
        </is>
      </c>
      <c r="D1233" s="11" t="inlineStr">
        <is>
          <t>Definitions of key terms</t>
        </is>
      </c>
      <c r="E1233" t="inlineStr">
        <is>
          <t>6–7</t>
        </is>
      </c>
      <c r="F1233" t="inlineStr">
        <is>
          <t>None</t>
        </is>
      </c>
      <c r="G1233" t="inlineStr">
        <is>
          <t>High (explicit)</t>
        </is>
      </c>
      <c r="H1233" s="11" t="inlineStr"/>
      <c r="I1233" s="11" t="inlineStr"/>
      <c r="J1233" t="inlineStr"/>
      <c r="K1233" s="11" t="inlineStr">
        <is>
          <t>This section provides detailed definitions for terms such as 'Cyber', 'Cyber event', 'Cyber security', 'Cyber incident', 'Cyber-attack', 'De-militarized Zone', 'Information Asset', 'Information System', and 'IT Risk'. It also states that all expressions unless defined have the same meaning as under relevant Acts and Rules.</t>
        </is>
      </c>
      <c r="L1233" s="11" t="inlineStr"/>
      <c r="M1233" s="11" t="inlineStr">
        <is>
          <t>• [Definition] In these Directions, unless the context states otherwise, the terms herein shall bear the meanings assigned to them below</t>
        </is>
      </c>
      <c r="N1233" s="11" t="inlineStr">
        <is>
          <t>3. Definitions2 (a) In these Directions, unless the context states otherwise, the terms herein shall bear the meanings assigned to them below: (i) 'Cyber' - Relating to, within, or through the medium of the interconnected information infrastructure of interactions among persons, processes, data, and information systems. (ii) 'Cyber event' – Any observable occurrence in an information system. Cyber events sometimes provide indication that a cyber incident is occurring. (iii) 'Cyber security' - Preservation of confidentiality, integrity and availability of information and/or information systems through the cyber medium. In addition, other properties, such as authenticity, accountability, non-repudiation and reliability can also be involved. (iv) 'Cyber incident3' shall mean a cyber event that adversely affects the cyber security of an information asset whether resulting from malicious activity or not. (v) 'Cyber-attack' - Malicious attempt(s) to exploit vulnerabilities through the cyber medium to damage, disrupt or gain unauthorized access to assets. (vi) 'De-militarized Zone4' or 'DMZ' is a perimeter network segment that is logically between internal and external networks. (vii) 'Information Asset5' - Any piece of data, device or other component of the environment that supports information-related activities. Information Assets include information system, data, hardware and software. (viii) 'Information System' - Set of applications, services, information technology assets or other information-handling components, which includes the operating environment and networks. (ix) 'IT Risk6' - The business risk associated with the use, ownership, operation, involvement, influence and adoption of IT within an enterprise. (x) 'Privileged user7' refers to user who, by virtue of function, and/or role, has been allocated powers within an information system, which are significantly greater than those available to the majority of users.</t>
        </is>
      </c>
      <c r="O1233" s="12" t="inlineStr">
        <is>
          <t>Open PDF</t>
        </is>
      </c>
    </row>
    <row r="1234">
      <c r="A1234" t="inlineStr">
        <is>
          <t>India</t>
        </is>
      </c>
      <c r="B1234" t="inlineStr">
        <is>
          <t>Reserve Bank of India – IT Governance and Cybersecurity Regulatory Framework (including Master Directions and Cyber Security Framework) (India - Row 18)</t>
        </is>
      </c>
      <c r="C1234" t="inlineStr">
        <is>
          <t>4</t>
        </is>
      </c>
      <c r="D1234" s="11" t="inlineStr">
        <is>
          <t>IT Governance Framework Focus Areas</t>
        </is>
      </c>
      <c r="E1234" t="inlineStr">
        <is>
          <t>7–8</t>
        </is>
      </c>
      <c r="F1234" t="inlineStr">
        <is>
          <t>High</t>
        </is>
      </c>
      <c r="G1234" t="inlineStr">
        <is>
          <t>High (explicit)</t>
        </is>
      </c>
      <c r="H1234" s="11" t="inlineStr">
        <is>
          <t>Governance</t>
        </is>
      </c>
      <c r="I1234" s="11" t="inlineStr">
        <is>
          <t>Personal Information</t>
        </is>
      </c>
      <c r="J1234" t="inlineStr">
        <is>
          <t>Reserve Bank of India</t>
        </is>
      </c>
      <c r="K1234" s="11" t="inlineStr">
        <is>
          <t>This section mandates that banking entities establish an IT Governance Framework covering strategic alignment, risk management, resource management, performance management, and Business Continuity/Disaster Recovery Management. The framework must specify governance structures, roles and responsibilities, and oversight mechanisms to ensure accountability and mitigate IT and cyber risks. These requirements apply to all banking entities operating in India.</t>
        </is>
      </c>
      <c r="L1234" s="11" t="inlineStr">
        <is>
          <t>This section establishes foundational governance structures that impact data transfer by requiring robust oversight of IT and cybersecurity risks, which are critical for ensuring data security during cross-border transfers.</t>
        </is>
      </c>
      <c r="M1234" s="11" t="inlineStr">
        <is>
          <t>• [Must] The key focus areas of IT Governance shall include strategic alignment, risk management, resource management, performance management and Business Continuity/Disaster Recovery Management
• [Must] REs shall put in place a robust IT Governance Framework based on the aforementioned focus areas that inter alia: specifies the governance structure and processes necessary to meet the RE's business/ strategic objectives
• [Must] REs shall put in place a robust IT Governance Framework based on the aforementioned focus areas that inter alia: specifies the roles (including authority) and responsibilities of the Board of Directors (Board) / Board level Committee and Senior Management
• [Must] REs shall put in place a robust IT Governance Framework based on the aforementioned focus areas that inter alia: includes adequate oversight mechanisms to ensure accountability and mitigation of IT and cyber/ information security risks
• [Must] Enterprise-wide risk management policy or operational risk management policy shall also incorporate periodic assessment of IT-related risks (both inherent and potential risk)</t>
        </is>
      </c>
      <c r="N1234" s="11" t="inlineStr">
        <is>
          <t>4. IT Governance Framework (a) The key focus areas of IT Governance shall include strategic alignment, risk management, resource management, performance management and Business Continuity/ Disaster Recovery Management. (b) REs shall put in place a robust IT Governance Framework based on the aforementioned focus areas that inter alia: (i) specifies the governance structure and processes necessary to meet the RE's business/ strategic objectives; (ii) specifies the roles (including authority) and responsibilities of the Board of Directors (Board) / Board level Committee and Senior Management; and (iii) includes adequate oversight mechanisms to ensure accountability and mitigation of IT and cyber/ information security risks. (c) Enterprise-wide risk management policy or operational risk management policy shall also incorporate periodic assessment of IT-related risks (both inherent and potential risk).</t>
        </is>
      </c>
      <c r="O1234" s="12" t="inlineStr">
        <is>
          <t>Open PDF</t>
        </is>
      </c>
    </row>
    <row r="1235">
      <c r="A1235" t="inlineStr">
        <is>
          <t>India</t>
        </is>
      </c>
      <c r="B1235" t="inlineStr">
        <is>
          <t>Reserve Bank of India – IT Governance and Cybersecurity Regulatory Framework (including Master Directions and Cyber Security Framework) (India - Row 18)</t>
        </is>
      </c>
      <c r="C1235" t="inlineStr">
        <is>
          <t>5</t>
        </is>
      </c>
      <c r="D1235" s="11" t="inlineStr">
        <is>
          <t>Board Approval of IT Strategies</t>
        </is>
      </c>
      <c r="E1235" t="inlineStr">
        <is>
          <t>8</t>
        </is>
      </c>
      <c r="F1235" t="inlineStr">
        <is>
          <t>High</t>
        </is>
      </c>
      <c r="G1235" t="inlineStr">
        <is>
          <t>High (explicit)</t>
        </is>
      </c>
      <c r="H1235" s="11" t="inlineStr">
        <is>
          <t>Governance</t>
        </is>
      </c>
      <c r="I1235" s="11" t="inlineStr">
        <is>
          <t>Personal Information</t>
        </is>
      </c>
      <c r="J1235" t="inlineStr">
        <is>
          <t>Reserve Bank of India</t>
        </is>
      </c>
      <c r="K1235" s="11" t="inlineStr">
        <is>
          <t>This section requires that the Board of Directors approve IT, Information Assets, Business Continuity, Information Security, and Cyber Security strategies and policies, including Incident Response and Recovery Management. The Board must review these strategies at least annually to ensure ongoing alignment with the institution's objectives and risk management practices.</t>
        </is>
      </c>
      <c r="L1235" s="11" t="inlineStr">
        <is>
          <t>Board approval of IT and cybersecurity strategies ensures that data transfers are aligned with robust security frameworks, critical for cross-border data handling.</t>
        </is>
      </c>
      <c r="M1235" s="11" t="inlineStr">
        <is>
          <t>• [Must] The strategies and policies related to IT, Information Assets, Business Continuity, Information Security, Cyber Security (including Incident Response and Recovery Management/ Cyber Crisis Management) shall be approved by the Board of Directors
• [Must] Such strategies and policies shall be reviewed at least annually by the Board</t>
        </is>
      </c>
      <c r="N1235" s="11" t="inlineStr">
        <is>
          <t>5. Role of the Board of Directors (a) The strategies and policies related to IT, Information Assets, Business Continuity, Information Security, Cyber Security (including Incident Response and Recovery Management/ Cyber Crisis Management) shall be approved by the Board of Directors. (b) Such strategies and policies shall be reviewed at least annually by the Board.</t>
        </is>
      </c>
      <c r="O1235" s="12" t="inlineStr">
        <is>
          <t>Open PDF</t>
        </is>
      </c>
    </row>
    <row r="1236">
      <c r="A1236" t="inlineStr">
        <is>
          <t>India</t>
        </is>
      </c>
      <c r="B1236" t="inlineStr">
        <is>
          <t>Reserve Bank of India – IT Governance and Cybersecurity Regulatory Framework (including Master Directions and Cyber Security Framework) (India - Row 18)</t>
        </is>
      </c>
      <c r="C1236" t="inlineStr">
        <is>
          <t>6</t>
        </is>
      </c>
      <c r="D1236" s="11" t="inlineStr">
        <is>
          <t>Board-Level IT Strategy Committee Requirements</t>
        </is>
      </c>
      <c r="E1236" t="inlineStr">
        <is>
          <t>8–9</t>
        </is>
      </c>
      <c r="F1236" t="inlineStr">
        <is>
          <t>High</t>
        </is>
      </c>
      <c r="G1236" t="inlineStr">
        <is>
          <t>High (explicit)</t>
        </is>
      </c>
      <c r="H1236" s="11" t="inlineStr">
        <is>
          <t>Governance</t>
        </is>
      </c>
      <c r="I1236" s="11" t="inlineStr">
        <is>
          <t>Personal Information</t>
        </is>
      </c>
      <c r="J1236" t="inlineStr">
        <is>
          <t>Reserve Bank of India</t>
        </is>
      </c>
      <c r="K1236" s="11" t="inlineStr">
        <is>
          <t>This section mandates that banking entities establish a Board-level IT Strategy Committee with minimum three directors, including an independent chair with substantial IT expertise and technically competent members. The committee must meet quarterly and ensure strategic IT planning, alignment with business objectives, effective risk management, and annual review of business continuity planning.</t>
        </is>
      </c>
      <c r="L1236" s="11" t="inlineStr">
        <is>
          <t>The IT Strategy Committee ensures that data transfer mechanisms align with robust business continuity and risk management practices, critical for cross-border data operations.</t>
        </is>
      </c>
      <c r="M1236" s="11" t="inlineStr">
        <is>
          <t>• [Must] REs shall establish a Board-level IT Strategy Committee (ITSC)
• [Must] While constituting the ITSC, REs shall ensure: Minimum of three directors as members
• [Must] While constituting the ITSC, REs shall ensure: The Chairperson of the ITSC shall be an independent director and have substantial IT expertise in managing/ guiding information technology initiatives
• [Must] While constituting the ITSC, REs shall ensure: Members are technically competent
• [Must] The ITSC shall meet at least on a quarterly basis
• [Must] The ITSC shall ensure that the RE has put an effective IT strategic planning process in place
• [Must] The ITSC shall guide in preparation of IT Strategy and ensure that the IT Strategy aligns with the overall strategy of the RE towards accomplishment of its business objectives
• [Must] The ITSC shall satisfy itself that the IT Governance and Information Security Governance structure fosters accountability, is effective and efficient, has adequate skilled resources, well defined objectives and unambiguous responsibilities for each level in the organisation
• [Must] The ITSC shall ensure that the RE has put in place processes for assessing and managing IT and cybersecurity risks
• [Must] The ITSC shall ensure that the budgetary allocations for the IT function (including for IT security), cyber security are commensurate with the RE's IT maturity, digital depth, threat environment and industry standards and are utilised in a manner intended for meeting the stated objectives
• [Must] The ITSC shall review, at least on annual basis, the adequacy and effectiveness of the Business Continuity Planning and Disaster Recovery Management of the RE</t>
        </is>
      </c>
      <c r="N1236" s="11" t="inlineStr">
        <is>
          <t>6. IT Strategy Committee of the Board (a) REs shall establish a Board-level IT Strategy Committee (ITSC). (b) While constituting the ITSC, REs shall ensure: (i) Minimum of three directors as members; (ii) The Chairperson of the ITSC shall be an independent director and have substantial IT expertise in managing/ guiding information technology initiatives; and (iii) Members are technically competent. (c) The ITSC shall meet at least on a quarterly basis. (d) The ITSC shall: (i) Ensure that the RE has put an effective IT strategic planning process in place; (ii) Guide in preparation of IT Strategy and ensure that the IT Strategy aligns with the overall strategy of the RE towards accomplishment of its business objectives; (iii) Satisfy itself that the IT Governance and Information Security Governance structure fosters accountability, is effective and efficient, has adequate skilled resources, well defined objectives and unambiguous responsibilities for each level in the organisation; (iv) Ensure that the RE has put in place processes for assessing and managing IT and cybersecurity risks; (v) Ensure that the budgetary allocations for the IT function (including for IT security), cyber security are commensurate with the RE's IT maturity, digital depth, threat environment and industry standards and are utilised in a manner intended for meeting the stated objectives; and (vi) Review, at least on annual basis, the adequacy and effectiveness of the Business Continuity Planning and Disaster Recovery Management of the RE.</t>
        </is>
      </c>
      <c r="O1236" s="12" t="inlineStr">
        <is>
          <t>Open PDF</t>
        </is>
      </c>
    </row>
    <row r="1237">
      <c r="A1237" t="inlineStr">
        <is>
          <t>India</t>
        </is>
      </c>
      <c r="B1237" t="inlineStr">
        <is>
          <t>Reserve Bank of India – IT Governance and Cybersecurity Regulatory Framework (including Master Directions and Cyber Security Framework) (India - Row 18)</t>
        </is>
      </c>
      <c r="C1237" t="inlineStr">
        <is>
          <t>7</t>
        </is>
      </c>
      <c r="D1237" s="11" t="inlineStr">
        <is>
          <t>Senior Management and IT Steering Committee</t>
        </is>
      </c>
      <c r="E1237" t="inlineStr">
        <is>
          <t>9–10</t>
        </is>
      </c>
      <c r="F1237" t="inlineStr">
        <is>
          <t>High</t>
        </is>
      </c>
      <c r="G1237" t="inlineStr">
        <is>
          <t>High (explicit)</t>
        </is>
      </c>
      <c r="H1237" s="11" t="inlineStr">
        <is>
          <t>Governance</t>
        </is>
      </c>
      <c r="I1237" s="11" t="inlineStr">
        <is>
          <t>Personal Information</t>
        </is>
      </c>
      <c r="J1237" t="inlineStr">
        <is>
          <t>Reserve Bank of India</t>
        </is>
      </c>
      <c r="K1237" s="11" t="inlineStr">
        <is>
          <t>This section requires that senior management ensure effective IT strategy execution, operational resilience, risk management, and cyber security posture. Banking entities must establish an IT Steering Committee to oversee business continuity, IT architecture compliance, and quarterly reviews of IT activities.</t>
        </is>
      </c>
      <c r="L1237" s="11" t="inlineStr">
        <is>
          <t>Senior management oversight ensures data transfer mechanisms are resilient and compliant, critical for maintaining data integrity during cross-border transfers.</t>
        </is>
      </c>
      <c r="M1237" s="11" t="inlineStr">
        <is>
          <t>• [Must] The Senior Management of the RE shall, inter alia, ensure: Execution of the IT Strategy approved by the Board
• [Must] The Senior Management of the RE shall, inter alia, ensure: IT/ IS and their support infrastructure are functioning effectively and efficiently
• [Must] The Senior Management of the RE shall, inter alia, ensure: Necessary IT risk management processes are in place and create a culture of IT risk awareness and cyber hygiene practices in the RE
• [Must] The Senior Management of the RE shall, inter alia, ensure: Cyber security posture of the RE is robust
• [Must] The Senior Management of the RE shall, inter alia, ensure: Overall, IT contributes to productivity, effectiveness and efficiency in business operations
• [Must] REs shall establish an IT Steering Committee with representation at Senior Management level from IT and business functions
• [Must] The responsibilities of IT Steering Committee, inter alia, shall be to: Assist the ITSC in strategic IT planning, oversight of IT performance, and aligning IT activities with business needs
• [Must] The responsibilities of IT Steering Committee, inter alia, shall be to: Oversee the processes put in place for business continuity and disaster recovery
• [Must] The responsibilities of IT Steering Committee, inter alia, shall be to: Ensure implementation of a robust IT architecture meeting statutory and regulatory compliance
• [Must] The responsibilities of IT Steering Committee, inter alia, shall be to: Update ITSC and CEO periodically on the activities of IT Steering Committee
• [Must] The IT Steering Committee shall meet at least on a quarterly basis</t>
        </is>
      </c>
      <c r="N1237" s="11" t="inlineStr">
        <is>
          <t>7. Senior Management and IT Steering Committee (a) The Senior Management of the RE shall, inter alia, ensure: (i) Execution of the IT Strategy approved by the Board; (ii) IT/ IS and their support infrastructure are functioning effectively and efficiently; (iii) Necessary IT risk management processes are in place and create a culture of IT risk awareness and cyber hygiene practices in the RE; (iv) Cyber security posture of the RE is robust; and (v) Overall, IT contributes to productivity, effectiveness and efficiency in business operations. (b) REs shall establish an IT Steering Committee with representation at Senior Management level from IT and business functions. (c) The responsibilities of IT Steering Committee, inter alia, shall be to: (i) Assist the ITSC in strategic IT planning, oversight of IT performance, and aligning IT activities with business needs; (ii) Oversee the processes put in place for business continuity and disaster recovery; (iii) Ensure implementation of a robust IT architecture meeting statutory and regulatory compliance; and (iv) Update ITSC and CEO periodically on the activities of IT Steering Committee. (d) The IT Steering Committee shall meet at least on a quarterly basis.</t>
        </is>
      </c>
      <c r="O1237" s="12" t="inlineStr">
        <is>
          <t>Open PDF</t>
        </is>
      </c>
    </row>
    <row r="1238">
      <c r="A1238" t="inlineStr">
        <is>
          <t>India</t>
        </is>
      </c>
      <c r="B1238" t="inlineStr">
        <is>
          <t>Reserve Bank of India – IT Governance and Cybersecurity Regulatory Framework (including Master Directions and Cyber Security Framework) (India - Row 18)</t>
        </is>
      </c>
      <c r="C1238" t="inlineStr">
        <is>
          <t>8</t>
        </is>
      </c>
      <c r="D1238" s="11" t="inlineStr">
        <is>
          <t>Head of IT Function Responsibilities</t>
        </is>
      </c>
      <c r="E1238" t="inlineStr">
        <is>
          <t>10–11</t>
        </is>
      </c>
      <c r="F1238" t="inlineStr">
        <is>
          <t>High</t>
        </is>
      </c>
      <c r="G1238" t="inlineStr">
        <is>
          <t>High (explicit)</t>
        </is>
      </c>
      <c r="H1238" s="11" t="inlineStr">
        <is>
          <t>Governance</t>
        </is>
      </c>
      <c r="I1238" s="11" t="inlineStr">
        <is>
          <t>Personal Information</t>
        </is>
      </c>
      <c r="J1238" t="inlineStr">
        <is>
          <t>Reserve Bank of India</t>
        </is>
      </c>
      <c r="K1238" s="11" t="inlineStr">
        <is>
          <t>This section requires banking entities to appoint a sufficiently senior, technically competent Head of IT Function responsible for aligning IT projects with strategy, ensuring effective organizational structures, and implementing disaster recovery strategies. The Head must also manage IT controls and risks to secure information assets and comply with regulatory requirements.</t>
        </is>
      </c>
      <c r="L1238" s="11" t="inlineStr">
        <is>
          <t>The Head of IT Function ensures data transfer mechanisms are secure and compliant, critical for maintaining data integrity across borders.</t>
        </is>
      </c>
      <c r="M1238" s="11" t="inlineStr">
        <is>
          <t>• [Must] REs shall appoint a sufficiently senior level, technically competent and experienced official in IT related aspects as Head of IT Function
• [Must] The Head of IT Function shall, inter alia, be responsible for the following: Ensuring that the execution of IT projects/ initiatives is aligned with the RE's IT Policy and IT Strategy
• [Must] The Head of IT Function shall, inter alia, be responsible for the following: Ensuring that there is an effective organisational structure to support IT functions in the RE
• [Must] The Head of IT Function shall, inter alia, be responsible for the following: Putting in place an effective disaster recovery setup and business continuity strategy/ plan
• [Must] As a first line of defence, the Head of IT Function shall ensure effective assessment, evaluation and management of IT controls and IT risk, including the implementation of robust internal controls, to (i) secure the RE's information assets (ii) comply with extant internal policies, regulatory and legal requirements on IT related aspects</t>
        </is>
      </c>
      <c r="N1238" s="11" t="inlineStr">
        <is>
          <t>8. Head of IT Function (a) REs shall appoint a sufficiently senior level, technically competent and experienced official in IT related aspects as Head of IT Function. (b) The Head of IT Function shall, inter alia, be responsible for the following: (i) Ensuring that the execution of IT projects/ initiatives is aligned with the RE's IT Policy and IT Strategy; (ii) Ensuring that there is an effective organisational structure to support IT functions in the RE; and (iii) Putting in place an effective disaster recovery setup and business continuity strategy/ plan. (c) As a first line of defence, the Head of IT Function shall ensure effective assessment, evaluation and management of IT controls and IT risk, including the implementation of robust internal controls, to (i) secure the RE's information assets (ii) comply with extant internal policies, regulatory and legal requirements on IT related aspects.</t>
        </is>
      </c>
      <c r="O1238" s="12" t="inlineStr">
        <is>
          <t>Open PDF</t>
        </is>
      </c>
    </row>
    <row r="1239">
      <c r="A1239" t="inlineStr">
        <is>
          <t>India</t>
        </is>
      </c>
      <c r="B1239" t="inlineStr">
        <is>
          <t>Reserve Bank of India – IT Governance and Cybersecurity Regulatory Framework (including Master Directions and Cyber Security Framework) (India - Row 18)</t>
        </is>
      </c>
      <c r="C1239" t="inlineStr">
        <is>
          <t>9</t>
        </is>
      </c>
      <c r="D1239" s="11" t="inlineStr">
        <is>
          <t>IT Services Management Framework</t>
        </is>
      </c>
      <c r="E1239" t="inlineStr">
        <is>
          <t>11</t>
        </is>
      </c>
      <c r="F1239" t="inlineStr">
        <is>
          <t>High</t>
        </is>
      </c>
      <c r="G1239" t="inlineStr">
        <is>
          <t>High (explicit)</t>
        </is>
      </c>
      <c r="H1239" s="11" t="inlineStr">
        <is>
          <t>Governance</t>
        </is>
      </c>
      <c r="I1239" s="11" t="inlineStr">
        <is>
          <t>Personal Information</t>
        </is>
      </c>
      <c r="J1239" t="inlineStr">
        <is>
          <t>Reserve Bank of India</t>
        </is>
      </c>
      <c r="K1239" s="11" t="inlineStr">
        <is>
          <t>This section mandates banking entities to implement a robust IT Service Management Framework ensuring operational resilience, including Service Level Management processes, security classification of information assets, and technology refresh plans to avoid outdated hardware/software. It requires monitoring end-of-support dates and annual maintenance contracts for IT infrastructure.</t>
        </is>
      </c>
      <c r="L1239" s="11" t="inlineStr">
        <is>
          <t>IT Services Management ensures data transfer mechanisms are resilient and up-to-date, critical for maintaining data security during cross-border transfers.</t>
        </is>
      </c>
      <c r="M1239" s="11" t="inlineStr">
        <is>
          <t>• [Must] REs shall put in place a robust IT Service Management Framework for supporting their information systems and infrastructure to ensure the operational resilience of their entire IT environment (including DR sites)
• [Must] A Service Level Management (SLM) process shall be put in place to manage the IT operations while ensuring effective segregation of duties
• [Must] REs shall ensure identification and mapping of the security classification (in terms of Confidentiality, Integrity, and Availability) of information assets based on their criticality to the REs' operations
• [Must] For seamless continuity of business operations, REs shall avoid using outdated and unsupported hardware or software and shall monitor software's end-of-support (EOS) date and Annual Maintenance Contract (AMC) dates of IT hardware on an ongoing basis
• [Must] REs shall develop a technology refresh plan for the replacement of hardware and software in a timely manner before they reach EOS</t>
        </is>
      </c>
      <c r="N1239" s="11" t="inlineStr">
        <is>
          <t>9. IT Services Management (a) REs shall put in place a robust IT Service Management Framework for supporting their information systems and infrastructure to ensure the operational resilience of their entire IT environment (including DR sites). (b) A Service Level Management (SLM) process shall be put in place to manage the IT operations while ensuring effective segregation of duties. (c) REs shall ensure identification and mapping of the security classification (in terms of Confidentiality, Integrity, and Availability) of information assets based on their criticality to the REs' operations. (d) For seamless continuity of business operations, REs shall avoid using outdated and unsupported hardware or software and shall monitor software's end-of-support (EOS) date and Annual Maintenance Contract (AMC) dates of IT hardware on an ongoing basis. (e) REs shall develop a technology refresh plan for the replacement of hardware and software in a timely manner before they reach EOS.</t>
        </is>
      </c>
      <c r="O1239" s="12" t="inlineStr">
        <is>
          <t>Open PDF</t>
        </is>
      </c>
    </row>
    <row r="1240">
      <c r="A1240" t="inlineStr">
        <is>
          <t>India</t>
        </is>
      </c>
      <c r="B1240" t="inlineStr">
        <is>
          <t>Reserve Bank of India – IT Governance and Cybersecurity Regulatory Framework (including Master Directions and Cyber Security Framework) (India - Row 18)</t>
        </is>
      </c>
      <c r="C1240" t="inlineStr">
        <is>
          <t>10</t>
        </is>
      </c>
      <c r="D1240" s="11" t="inlineStr">
        <is>
          <t>Third-party vendor risk management for IT services</t>
        </is>
      </c>
      <c r="E1240" t="inlineStr">
        <is>
          <t>11–12</t>
        </is>
      </c>
      <c r="F1240" t="inlineStr">
        <is>
          <t>High</t>
        </is>
      </c>
      <c r="G1240" t="inlineStr">
        <is>
          <t>High (explicit)</t>
        </is>
      </c>
      <c r="H1240" s="11" t="inlineStr">
        <is>
          <t>Third Party Processing, Data Sharing, Security</t>
        </is>
      </c>
      <c r="I1240" s="11" t="inlineStr">
        <is>
          <t>Personal Information</t>
        </is>
      </c>
      <c r="J1240" t="inlineStr">
        <is>
          <t>Reserve Bank of India</t>
        </is>
      </c>
      <c r="K1240" s="11" t="inlineStr">
        <is>
          <t>Reserve Bank of India (REs) must implement vendor risk assessment processes for third-party arrangements outside specific outsourcing directions. These processes must address concentration risk, conflicts of interest, single point of failure risks, compliance with data protection laws, high availability requirements, and supply chain risk management. The requirements apply to all REs handling IT services.</t>
        </is>
      </c>
      <c r="L1240" s="11" t="inlineStr">
        <is>
          <t>Requires REs to assess and mitigate third-party risks before transferring data across borders through vendors, directly impacting cross-border data transfer impact assessments.</t>
        </is>
      </c>
      <c r="M1240" s="11" t="inlineStr">
        <is>
          <t>• [Must] REs must implement vendor risk assessment process proportionate to risk and materiality
• [Must] REs must mitigate concentration risk
• [Must] REs must eliminate or address conflicts of interest
• [Must] REs must mitigate risks associated with single point of failure
• [Must] REs must comply with legal and regulatory requirements to protect customer data
• [Must] REs must provide high availability for uninterrupted customer service
• [Must] REs must manage supply chain risks effectively</t>
        </is>
      </c>
      <c r="N1240" s="11" t="inlineStr">
        <is>
          <t>REs shall, put in place appropriate vendor risk assessment process and controls proportionate to the assessed risk and materiality to, inter alia: mitigate concentration risk; eliminate or address any conflict of interests; mitigate risks associated with single point of failure; comply with applicable legal, regulatory requirements and standards to protect customer data; provide high availability (for uninterrupted customer service); and manage supply chain risks effectively.</t>
        </is>
      </c>
      <c r="O1240" s="12" t="inlineStr">
        <is>
          <t>Open PDF</t>
        </is>
      </c>
    </row>
    <row r="1241">
      <c r="A1241" t="inlineStr">
        <is>
          <t>India</t>
        </is>
      </c>
      <c r="B1241" t="inlineStr">
        <is>
          <t>Reserve Bank of India – IT Governance and Cybersecurity Regulatory Framework (including Master Directions and Cyber Security Framework) (India - Row 18)</t>
        </is>
      </c>
      <c r="C1241" t="inlineStr">
        <is>
          <t>11</t>
        </is>
      </c>
      <c r="D1241" s="11" t="inlineStr">
        <is>
          <t>IT capacity planning and resource management</t>
        </is>
      </c>
      <c r="E1241" t="inlineStr">
        <is>
          <t>12</t>
        </is>
      </c>
      <c r="F1241" t="inlineStr">
        <is>
          <t>High</t>
        </is>
      </c>
      <c r="G1241" t="inlineStr">
        <is>
          <t>High (explicit)</t>
        </is>
      </c>
      <c r="H1241" s="11" t="inlineStr">
        <is>
          <t>Data Storage, Processing</t>
        </is>
      </c>
      <c r="I1241" s="11" t="inlineStr">
        <is>
          <t>Financial Data</t>
        </is>
      </c>
      <c r="J1241" t="inlineStr">
        <is>
          <t>Reserve Bank of India</t>
        </is>
      </c>
      <c r="K1241" s="11" t="inlineStr">
        <is>
          <t>Reserve Bank of India (REs) must ensure IT systems support business functions and service delivery channels. REs must annually assess IT capacity requirements, aligning with past trends, current business needs, and future projections. IT capacity planning must be reviewed by the ITSC to ensure consistency with the RE's IT strategy.</t>
        </is>
      </c>
      <c r="L1241" s="11" t="inlineStr">
        <is>
          <t>Ensures IT capacity planning aligns with business needs and regulatory requirements, critical for data storage and processing across borders without service disruptions.</t>
        </is>
      </c>
      <c r="M1241" s="11" t="inlineStr">
        <is>
          <t>• [Must] REs must ensure information systems support business functions and service delivery channels
• [Must] REs must annually assess IT capacity requirements
• [Must] REs must ensure IT capacity planning aligns with past trends, current business needs, and future projections
• [Must] REs must have IT capacity planning consistent with RE's IT strategy
• [Must] IT capacity requirements and measures must be reviewed by ITSC</t>
        </is>
      </c>
      <c r="N1241" s="11" t="inlineStr">
        <is>
          <t>REs shall ensure that information systems and infrastructure are able to support business functions and ensure availability of all service delivery channels. On an annual or more frequent basis, REs shall proactively assess capacity requirement of IT resources. REs shall ensure that IT capacity planning across components, services, system resources, supporting infrastructure is consistent with past trends (peak usage), the current business requirements and projected future needs as per the IT strategy of the RE. The assessment of IT capacity requirements and measures taken to address the issues shall be reviewed by the ITSC.</t>
        </is>
      </c>
      <c r="O1241" s="12" t="inlineStr">
        <is>
          <t>Open PDF</t>
        </is>
      </c>
    </row>
    <row r="1242">
      <c r="A1242" t="inlineStr">
        <is>
          <t>India</t>
        </is>
      </c>
      <c r="B1242" t="inlineStr">
        <is>
          <t>Reserve Bank of India – IT Governance and Cybersecurity Regulatory Framework (including Master Directions and Cyber Security Framework) (India - Row 18)</t>
        </is>
      </c>
      <c r="C1242" t="inlineStr">
        <is>
          <t>12</t>
        </is>
      </c>
      <c r="D1242" s="11" t="inlineStr">
        <is>
          <t>IT project management and application security</t>
        </is>
      </c>
      <c r="E1242" t="inlineStr">
        <is>
          <t>12–13</t>
        </is>
      </c>
      <c r="F1242" t="inlineStr">
        <is>
          <t>High</t>
        </is>
      </c>
      <c r="G1242" t="inlineStr">
        <is>
          <t>High (explicit)</t>
        </is>
      </c>
      <c r="H1242" s="11" t="inlineStr">
        <is>
          <t>Security, Data Sharing</t>
        </is>
      </c>
      <c r="I1242" s="11" t="inlineStr">
        <is>
          <t>Financial Data</t>
        </is>
      </c>
      <c r="J1242" t="inlineStr">
        <is>
          <t>Reserve Bank of India</t>
        </is>
      </c>
      <c r="K1242" s="11" t="inlineStr">
        <is>
          <t>Reserve Bank of India (REs) must follow formal project management approaches for IT projects, including stakeholder participation for risk monitoring. REs must adopt new technologies aligned with risk appetite and business strategy, maintain enterprise data dictionaries, ensure software vendor support through formal agreements, obtain source codes or escrow arrangements, and verify application security through vulnerability certificates.</t>
        </is>
      </c>
      <c r="L1242" s="11" t="inlineStr">
        <is>
          <t>Requires REs to implement robust project management and security controls for IT applications, directly impacting data transfer and processing security across borders.</t>
        </is>
      </c>
      <c r="M1242" s="11" t="inlineStr">
        <is>
          <t>• [Must] REs must follow consistent and formally defined project management approach for IT projects
• [Must] REs must enable stakeholder participation for effective monitoring and management of project risks and progress
• [Must] REs must follow standard enterprise architecture planning methodology when adopting new technologies
• [Must] Adoption of new technologies must align with RE's risk appetite and business strategy
• [Must] REs must maintain enterprise data dictionary for data sharing and common understanding
• [Must] REs must ensure software vendors provide maintenance and support through formal agreements
• [Must] REs must obtain source codes for critical applications from vendors
• [Must] REs must implement source code escrow arrangements if source code cannot be obtained
• [Must] REs must ensure product updates and fixes are included in source code escrow arrangements
• [Must] REs must obtain certificate of application free of known vulnerabilities, malware, and covert channels
• [Must] REs must obtain certificate whenever material changes to code occur
• [Must] REs must subject new IT applications to product approval and quality assurance process</t>
        </is>
      </c>
      <c r="N1242" s="11" t="inlineStr">
        <is>
          <t>REs shall follow a consistent and formally defined project management approach for IT projects undertaken by them. The project management approach shall, inter alia, enable appropriate stakeholder participation for effective monitoring and management of project risks and progress. While adopting new or emerging technologies, tools, or revamping their existing ones in the technology stack, REs shall follow a standard enterprise architecture planning methodology or framework. Adoption of new or emerging technologies shall be commensurate with the risk appetite and align with overall Business/ IT strategy of the RE. It should facilitate optimal creation, use, or sharing of information by a business in a secure and resilient way. REs shall maintain enterprise data dictionary to enable the sharing of data among applications and information systems and promote a common understanding of data. REs shall ensure that maintenance and necessary support of software applications is provided by the software vendors and the same is enforced through formal agreement. REs shall obtain the source codes for all critical applications from their vendors. Where obtaining of the source code is not possible, REs shall put in place a source code escrow arrangement or other arrangements to adequately mitigate the risk of default by the vendor. REs shall ensure that all product updates and programme fixes are included in the source code escrow arrangement. REs shall obtain a certificate or a written confirmation from the application developer or vendor stating that the application is free of known vulnerabilities, malware, and any covert channels in the code. Such a certificate or a written confirmation shall also be obtained whenever material changes to the code, including upgrades, occur. Any new IT application proposed to be introduced as a business product shall be subjected to product approval and quality assurance process.</t>
        </is>
      </c>
      <c r="O1242" s="12" t="inlineStr">
        <is>
          <t>Open PDF</t>
        </is>
      </c>
    </row>
    <row r="1243">
      <c r="A1243" t="inlineStr">
        <is>
          <t>India</t>
        </is>
      </c>
      <c r="B1243" t="inlineStr">
        <is>
          <t>Reserve Bank of India – IT Governance and Cybersecurity Regulatory Framework (including Master Directions and Cyber Security Framework) (India - Row 18)</t>
        </is>
      </c>
      <c r="C1243" t="inlineStr">
        <is>
          <t>13</t>
        </is>
      </c>
      <c r="D1243" s="11" t="inlineStr">
        <is>
          <t>Change and patch management procedures</t>
        </is>
      </c>
      <c r="E1243" t="inlineStr">
        <is>
          <t>13</t>
        </is>
      </c>
      <c r="F1243" t="inlineStr">
        <is>
          <t>High</t>
        </is>
      </c>
      <c r="G1243" t="inlineStr">
        <is>
          <t>High (explicit)</t>
        </is>
      </c>
      <c r="H1243" s="11" t="inlineStr">
        <is>
          <t>Security</t>
        </is>
      </c>
      <c r="I1243" s="11" t="inlineStr">
        <is>
          <t>Financial Data</t>
        </is>
      </c>
      <c r="J1243" t="inlineStr">
        <is>
          <t>Reserve Bank of India</t>
        </is>
      </c>
      <c r="K1243" s="11" t="inlineStr">
        <is>
          <t>Reserve Bank of India (REs) must implement documented change and patch management policies to assess business impact, ensure secure and timely implementation with approvals, justify changes through business needs, and establish recovery mechanisms for failed deployments.</t>
        </is>
      </c>
      <c r="L1243" s="11" t="inlineStr">
        <is>
          <t>Requires REs to manage changes and patches securely to prevent data breaches during cross-border data transfers, critical for DTIA compliance.</t>
        </is>
      </c>
      <c r="M1243" s="11" t="inlineStr">
        <is>
          <t>• [Must] REs must assess business impact of implementing patches or changes
• [Must] REs must apply and review patches/changes securely and timely with necessary approvals
• [Must] Changes to applications must be justified by genuine business needs and approved with documentation
• [Must] REs must establish mechanism to recover from failed changes or patch deployments</t>
        </is>
      </c>
      <c r="N1243" s="11" t="inlineStr">
        <is>
          <t>REs shall put in place documented policy(ies) and procedures for change and patch management to ensure the following: the business impact of implementing patches/ changes (or not implementing a particular patch/ change request) are assessed; the patches/ changes are applied/ implemented and reviewed in a secure and timely manner with necessary approvals; any changes to an application system or data are justified by genuine business needs and approvals supported by documentation and subjected to a robust change management process; and mechanism is established to recover from failed changes/ patch deployment or unexpected results.</t>
        </is>
      </c>
      <c r="O1243" s="12" t="inlineStr">
        <is>
          <t>Open PDF</t>
        </is>
      </c>
    </row>
    <row r="1244">
      <c r="A1244" t="inlineStr">
        <is>
          <t>India</t>
        </is>
      </c>
      <c r="B1244" t="inlineStr">
        <is>
          <t>Reserve Bank of India – IT Governance and Cybersecurity Regulatory Framework (including Master Directions and Cyber Security Framework) (India - Row 18)</t>
        </is>
      </c>
      <c r="C1244" t="inlineStr">
        <is>
          <t>14</t>
        </is>
      </c>
      <c r="D1244" s="11" t="inlineStr">
        <is>
          <t>Data migration policies and integrity controls</t>
        </is>
      </c>
      <c r="E1244" t="inlineStr">
        <is>
          <t>13–14</t>
        </is>
      </c>
      <c r="F1244" t="inlineStr">
        <is>
          <t>High</t>
        </is>
      </c>
      <c r="G1244" t="inlineStr">
        <is>
          <t>High (explicit)</t>
        </is>
      </c>
      <c r="H1244" s="11" t="inlineStr"/>
      <c r="I1244" s="11" t="inlineStr">
        <is>
          <t>Financial Data</t>
        </is>
      </c>
      <c r="J1244" t="inlineStr">
        <is>
          <t>Reserve Bank of India</t>
        </is>
      </c>
      <c r="K1244" s="11" t="inlineStr">
        <is>
          <t>Reserve Bank of India (REs) must have documented data migration policies ensuring data integrity, completeness, and consistency. The policies must include signoffs from business users and application owners at each migration stage and maintenance of audit trails.</t>
        </is>
      </c>
      <c r="L1244" s="11" t="inlineStr">
        <is>
          <t>Ensures data migration across borders maintains integrity and consistency, critical for DTIA compliance when transferring data internationally.</t>
        </is>
      </c>
      <c r="M1244" s="11" t="inlineStr">
        <is>
          <t>• [Must] REs must have documented data migration policy specifying systematic process for data migration
• [Must] REs must ensure data integrity, completeness and consistency during migration
• [Must] REs must obtain signoffs from business users and application owners at each migration stage
• [Must] REs must maintain audit trails during data migration</t>
        </is>
      </c>
      <c r="N1244" s="11" t="inlineStr">
        <is>
          <t>REs shall have a documented data migration policy specifying a systematic process for data migration, ensuring data integrity, completeness and consistency. The policy shall, inter alia, contain provisions pertaining to signoffs from business users and application owners at each stage of migration, maintenance of audit trails, etc.</t>
        </is>
      </c>
      <c r="O1244" s="12" t="inlineStr">
        <is>
          <t>Open PDF</t>
        </is>
      </c>
    </row>
    <row r="1245">
      <c r="A1245" t="inlineStr">
        <is>
          <t>India</t>
        </is>
      </c>
      <c r="B1245" t="inlineStr">
        <is>
          <t>Reserve Bank of India – IT Governance and Cybersecurity Regulatory Framework (including Master Directions and Cyber Security Framework) (India - Row 18)</t>
        </is>
      </c>
      <c r="C1245" t="inlineStr">
        <is>
          <t>15</t>
        </is>
      </c>
      <c r="D1245" s="11" t="inlineStr">
        <is>
          <t>Audit trail requirements for critical systems</t>
        </is>
      </c>
      <c r="E1245" t="inlineStr">
        <is>
          <t>14</t>
        </is>
      </c>
      <c r="F1245" t="inlineStr">
        <is>
          <t>High</t>
        </is>
      </c>
      <c r="G1245" t="inlineStr">
        <is>
          <t>High (explicit)</t>
        </is>
      </c>
      <c r="H1245" s="11" t="inlineStr">
        <is>
          <t>Security, Incident Reporting</t>
        </is>
      </c>
      <c r="I1245" s="11" t="inlineStr">
        <is>
          <t>Financial Data</t>
        </is>
      </c>
      <c r="J1245" t="inlineStr">
        <is>
          <t>Reserve Bank of India</t>
        </is>
      </c>
      <c r="K1245" s="11" t="inlineStr">
        <is>
          <t>Reserve Bank of India (REs) must implement audit and logging capabilities for all IT applications accessing critical or sensitive information. Audit trails must be detailed enough for forensic evidence, dispute resolution, and non-repudiation. REs must monitor audit trails regularly to detect unauthorized activity.</t>
        </is>
      </c>
      <c r="L1245" s="11" t="inlineStr">
        <is>
          <t>Requires robust audit trails for cross-border data transfers to ensure accountability and detect unauthorized access, directly impacting DTIA compliance.</t>
        </is>
      </c>
      <c r="M1245" s="11" t="inlineStr">
        <is>
          <t>• [Must] Every IT application accessing critical or sensitive information must have necessary audit and system logging capability
• [Must] Audit trails must satisfy business requirements apart from regulatory and legal requirements
• [Must] Audit trails must be detailed enough for forensic evidence, dispute resolution, and non-repudiation
• [Must] REs must monitor audit trails and system logs regularly to detect unauthorized activity</t>
        </is>
      </c>
      <c r="N1245" s="11" t="inlineStr">
        <is>
          <t>Every IT application which can access or affect critical or sensitive information, shall have necessary audit and system logging capability and should provide audit trails. The audit trails shall satisfy a RE's business requirements apart from regulatory and legal requirements. The audit trails must be detailed enough to facilitate the conduct of audit, serve as forensic evidence when required and assist in dispute resolution, including for non-repudiation purposes. REs shall put in place a system for regularly monitoring the audit trails and system logs to detect any unauthorised activity.</t>
        </is>
      </c>
      <c r="O1245" s="12" t="inlineStr">
        <is>
          <t>Open PDF</t>
        </is>
      </c>
    </row>
    <row r="1246">
      <c r="A1246" t="inlineStr">
        <is>
          <t>India</t>
        </is>
      </c>
      <c r="B1246" t="inlineStr">
        <is>
          <t>Reserve Bank of India – IT Governance and Cybersecurity Regulatory Framework (including Master Directions and Cyber Security Framework) (India - Row 18)</t>
        </is>
      </c>
      <c r="C1246" t="inlineStr">
        <is>
          <t>16</t>
        </is>
      </c>
      <c r="D1246" s="11" t="inlineStr">
        <is>
          <t>Cryptographic controls for secure data transmission</t>
        </is>
      </c>
      <c r="E1246" t="inlineStr">
        <is>
          <t>14</t>
        </is>
      </c>
      <c r="F1246" t="inlineStr">
        <is>
          <t>High</t>
        </is>
      </c>
      <c r="G1246" t="inlineStr">
        <is>
          <t>High (explicit)</t>
        </is>
      </c>
      <c r="H1246" s="11" t="inlineStr">
        <is>
          <t>Security, Encryption, Access Control</t>
        </is>
      </c>
      <c r="I1246" s="11" t="inlineStr">
        <is>
          <t>Financial Data</t>
        </is>
      </c>
      <c r="J1246" t="inlineStr">
        <is>
          <t>Reserve Bank of India</t>
        </is>
      </c>
      <c r="K1246" s="11" t="inlineStr">
        <is>
          <t>Financial institutions must use strong cryptographic standards for data transmission, processing and authentication. They must adopt internationally accepted, non-deprecated algorithms and protocols that comply with existing laws and regulatory instructions. These controls ensure data security during critical operations.</t>
        </is>
      </c>
      <c r="L1246" s="11" t="inlineStr">
        <is>
          <t>Requires strong cryptographic standards for data transmission and processing, impacting cross-border data transfers through encryption requirements and protocol compliance.</t>
        </is>
      </c>
      <c r="M1246" s="11" t="inlineStr">
        <is>
          <t>• [Must] Key length, algorithms, cipher suites and applicable protocols used in transmission channels, processing of data and authentication purpose shall be strong
• [Must] REs shall adopt internationally accepted and published standards that are not deprecated/demonstrated to be insecure/vulnerable
• [Must] Configurations involved in implementing such controls shall be compliant with extant laws and regulatory instructions</t>
        </is>
      </c>
      <c r="N1246" s="11" t="inlineStr">
        <is>
          <t>16. Cryptographic controls The key length, algorithms, cipher suites and applicable protocols used in transmission channels, processing of data and authentication purpose shall be strong. REs shall adopt internationally accepted and published standards that are not deprecated/demonstrated to be insecure/vulnerable and the configurations involved in implementing such controls shall be compliant with extant laws and regulatory instructions.</t>
        </is>
      </c>
      <c r="O1246" s="12" t="inlineStr">
        <is>
          <t>Open PDF</t>
        </is>
      </c>
    </row>
    <row r="1247">
      <c r="A1247" t="inlineStr">
        <is>
          <t>India</t>
        </is>
      </c>
      <c r="B1247" t="inlineStr">
        <is>
          <t>Reserve Bank of India – IT Governance and Cybersecurity Regulatory Framework (including Master Directions and Cyber Security Framework) (India - Row 18)</t>
        </is>
      </c>
      <c r="C1247" t="inlineStr">
        <is>
          <t>17</t>
        </is>
      </c>
      <c r="D1247" s="11" t="inlineStr">
        <is>
          <t>Automated data transfer without manual intervention</t>
        </is>
      </c>
      <c r="E1247" t="inlineStr">
        <is>
          <t>14–15</t>
        </is>
      </c>
      <c r="F1247" t="inlineStr">
        <is>
          <t>High</t>
        </is>
      </c>
      <c r="G1247" t="inlineStr">
        <is>
          <t>High (explicit)</t>
        </is>
      </c>
      <c r="H1247" s="11" t="inlineStr">
        <is>
          <t>Security</t>
        </is>
      </c>
      <c r="I1247" s="11" t="inlineStr">
        <is>
          <t>Financial Data</t>
        </is>
      </c>
      <c r="J1247" t="inlineStr">
        <is>
          <t>Reserve Bank of India</t>
        </is>
      </c>
      <c r="K1247" s="11" t="inlineStr">
        <is>
          <t>Financial institutions must ensure no manual modification occurs during critical data transfers between processes or applications. Data transfer mechanisms must be securely automated with checks, balances, and audit trails to prevent unauthorized changes and maintain data integrity.</t>
        </is>
      </c>
      <c r="L1247" s="11" t="inlineStr">
        <is>
          <t>Requires automated data transfers without manual intervention for critical systems, affecting data integrity during cross-border processing and storage.</t>
        </is>
      </c>
      <c r="M1247" s="11" t="inlineStr">
        <is>
          <t>• [Must] REs shall ensure there is no manual intervention or manual modification in data while it is being transferred from one process to another or from one application to another, in respect of critical applications
• [Must] Data transfer mechanism between processes or applications must be properly tested, securely automated with necessary checks and balances, and properly integrated through Straight Through Processing methodology with appropriate authentication mechanism and audit trails</t>
        </is>
      </c>
      <c r="N1247" s="11" t="inlineStr">
        <is>
          <t>17. Straight Through Processing (a) In order to prevent unauthorised modification of data, REs shall ensure that there is no manual intervention or manual modification in data while it is being transferred from one process to another or from one application to another, in respect of critical applications. (b) Data transfer mechanism between processes or applications must be properly tested, securely automated with necessary checks and balances, and properly integrated through "Straight Through Processing" methodology with appropriate authentication mechanism and audit trails.</t>
        </is>
      </c>
      <c r="O1247" s="12" t="inlineStr">
        <is>
          <t>Open PDF</t>
        </is>
      </c>
    </row>
    <row r="1248">
      <c r="A1248" t="inlineStr">
        <is>
          <t>India</t>
        </is>
      </c>
      <c r="B1248" t="inlineStr">
        <is>
          <t>Reserve Bank of India – IT Governance and Cybersecurity Regulatory Framework (including Master Directions and Cyber Security Framework) (India - Row 18)</t>
        </is>
      </c>
      <c r="C1248" t="inlineStr">
        <is>
          <t>18</t>
        </is>
      </c>
      <c r="D1248" s="11" t="inlineStr">
        <is>
          <t>Physical and environmental security for data centers</t>
        </is>
      </c>
      <c r="E1248" t="inlineStr">
        <is>
          <t>15</t>
        </is>
      </c>
      <c r="F1248" t="inlineStr">
        <is>
          <t>High</t>
        </is>
      </c>
      <c r="G1248" t="inlineStr">
        <is>
          <t>High (explicit)</t>
        </is>
      </c>
      <c r="H1248" s="11" t="inlineStr">
        <is>
          <t>Security, Data Storage</t>
        </is>
      </c>
      <c r="I1248" s="11" t="inlineStr">
        <is>
          <t>Financial Data</t>
        </is>
      </c>
      <c r="J1248" t="inlineStr">
        <is>
          <t>Reserve Bank of India</t>
        </is>
      </c>
      <c r="K1248" s="11" t="inlineStr">
        <is>
          <t>Financial institutions must implement physical and environmental controls for data centers and disaster recovery sites. These sites must be geographically separated to avoid similar threats and subject to electronic surveillance mechanisms to ensure security.</t>
        </is>
      </c>
      <c r="L1248" s="11" t="inlineStr">
        <is>
          <t>Requires geographically separated data centers and disaster recovery sites to prevent simultaneous threats, impacting data storage and disaster recovery across borders.</t>
        </is>
      </c>
      <c r="M1248" s="11" t="inlineStr">
        <is>
          <t>• [Must] REs shall implement suitable physical and environmental controls in Data Centre and Disaster Recovery sites used by them
• [Must] DC and DR sites should be geographically well separated so that both the sites are not affected by a similar threat associated to their location
• [Must] REs shall ensure that their DC and DR sites are subjected to necessary e-surveillance mechanism</t>
        </is>
      </c>
      <c r="N1248" s="11" t="inlineStr">
        <is>
          <t>18. Physical and Environmental Controls (a) REs shall implement suitable physical and environmental controls in Data Centre and Disaster Recovery14 sites used by them. (b) The DC and DR sites should be geographically well separated so that both the sites are not affected by a similar threat associated to their location. (c) REs shall ensure that their DC and DR sites are subjected to necessary e-surveillance mechanism.</t>
        </is>
      </c>
      <c r="O1248" s="12" t="inlineStr">
        <is>
          <t>Open PDF</t>
        </is>
      </c>
    </row>
    <row r="1249">
      <c r="A1249" t="inlineStr">
        <is>
          <t>India</t>
        </is>
      </c>
      <c r="B1249" t="inlineStr">
        <is>
          <t>Reserve Bank of India – IT Governance and Cybersecurity Regulatory Framework (including Master Directions and Cyber Security Framework) (India - Row 18)</t>
        </is>
      </c>
      <c r="C1249" t="inlineStr">
        <is>
          <t>19</t>
        </is>
      </c>
      <c r="D1249" s="11" t="inlineStr">
        <is>
          <t>Access control for information systems</t>
        </is>
      </c>
      <c r="E1249" t="inlineStr">
        <is>
          <t>15</t>
        </is>
      </c>
      <c r="F1249" t="inlineStr">
        <is>
          <t>High</t>
        </is>
      </c>
      <c r="G1249" t="inlineStr">
        <is>
          <t>High (explicit)</t>
        </is>
      </c>
      <c r="H1249" s="11" t="inlineStr">
        <is>
          <t>Security, Access Control, Data Sharing</t>
        </is>
      </c>
      <c r="I1249" s="11" t="inlineStr">
        <is>
          <t>Financial Data</t>
        </is>
      </c>
      <c r="J1249" t="inlineStr">
        <is>
          <t>Reserve Bank of India</t>
        </is>
      </c>
      <c r="K1249" s="11" t="inlineStr">
        <is>
          <t>Financial institutions must implement need-based access to information systems with documented standards approved by ITSC. Personnel with elevated access must be closely supervised with activities logged and periodically reviewed. Multi-factor authentication is required for critical systems and activities based on risk assessment.</t>
        </is>
      </c>
      <c r="L1249" s="11" t="inlineStr">
        <is>
          <t>Requires strict access controls with multi-factor authentication for critical systems, impacting data sharing and processing across borders.</t>
        </is>
      </c>
      <c r="M1249" s="11" t="inlineStr">
        <is>
          <t>• [Must] Access to information assets shall be allowed only where a valid business need exists
• [Must] REs shall have documented standards and procedures, which are approved by the ITSC and kept up to date for administering need-based access to an information system
• [Must] Personnel with elevated system access entitlements shall be closely supervised with all their systems activities logged and periodically reviewed
• [Must] REs shall adopt multi-factor authentication for privileged users of i) critical information systems and ii) for critical activities, basis the RE's risk assessment</t>
        </is>
      </c>
      <c r="N1249" s="11" t="inlineStr">
        <is>
          <t>19. Access Controls (a) Access to information assets shall be allowed only where a valid business need exists. REs shall have documented standards and procedures, which are approved by the ITSC and kept up to date for administering need-based access to an information system. (b) Personnel with elevated system access entitlements shall be closely supervised with all their systems activities logged and periodically reviewed. (c) REs shall adopt multi-factor authentication for privileged users of i) critical information systems and ii) for critical activities, basis the RE's risk assessment.</t>
        </is>
      </c>
      <c r="O1249" s="12" t="inlineStr">
        <is>
          <t>Open PDF</t>
        </is>
      </c>
    </row>
    <row r="1250">
      <c r="A1250" t="inlineStr">
        <is>
          <t>India</t>
        </is>
      </c>
      <c r="B1250" t="inlineStr">
        <is>
          <t>Reserve Bank of India – IT Governance and Cybersecurity Regulatory Framework (including Master Directions and Cyber Security Framework) (India - Row 18)</t>
        </is>
      </c>
      <c r="C1250" t="inlineStr">
        <is>
          <t>20</t>
        </is>
      </c>
      <c r="D1250" s="11" t="inlineStr">
        <is>
          <t>Secure teleworking environment controls</t>
        </is>
      </c>
      <c r="E1250" t="inlineStr">
        <is>
          <t>15–16</t>
        </is>
      </c>
      <c r="F1250" t="inlineStr">
        <is>
          <t>High</t>
        </is>
      </c>
      <c r="G1250" t="inlineStr">
        <is>
          <t>High (explicit)</t>
        </is>
      </c>
      <c r="H1250" s="11" t="inlineStr">
        <is>
          <t>Security, Data Storage</t>
        </is>
      </c>
      <c r="I1250" s="11" t="inlineStr">
        <is>
          <t>Financial Data</t>
        </is>
      </c>
      <c r="J1250" t="inlineStr">
        <is>
          <t>Reserve Bank of India</t>
        </is>
      </c>
      <c r="K1250" s="11" t="inlineStr">
        <is>
          <t>Financial institutions must ensure secure systems and remote access for teleworking, implement multi-factor authentication for critical systems, identify all remote-access devices, and secure data shared in teleworking environments.</t>
        </is>
      </c>
      <c r="L1250" s="11" t="inlineStr">
        <is>
          <t>Requires secure teleworking environments with multi-factor authentication and device identification, impacting data storage and processing across borders.</t>
        </is>
      </c>
      <c r="M1250" s="11" t="inlineStr">
        <is>
          <t>• [Must] REs shall ensure that the systems used and the remote access from alternate work location to the environment hosting RE's information assets are secure
• [Must] REs shall implement multi-factor authentication for enterprise access (logical) to critical systems
• [Must] REs shall put in place a mechanism to identify all remote-access devices attached/connected to the RE's systems
• [Must] REs shall ensure that data/information shared/presented in teleworking is secured appropriately</t>
        </is>
      </c>
      <c r="N1250" s="11" t="inlineStr">
        <is>
          <t>20. Controls on Teleworking In the teleworking environment, REs, inter alia, shall: (a) Ensure that the systems used and the remote access from alternate work location to the environment hosting RE's information assets are secure; (b) Implement multi-factor authentication for enterprise access (logical) to critical systems; (c) Put in place a mechanism to identify all remote-access devices attached/connected to the RE's systems; and (d) Ensure that data/information shared/presented in teleworking is secured appropriately.</t>
        </is>
      </c>
      <c r="O1250" s="12" t="inlineStr">
        <is>
          <t>Open PDF</t>
        </is>
      </c>
    </row>
    <row r="1251">
      <c r="A1251" t="inlineStr">
        <is>
          <t>India</t>
        </is>
      </c>
      <c r="B1251" t="inlineStr">
        <is>
          <t>Reserve Bank of India – IT Governance and Cybersecurity Regulatory Framework (including Master Directions and Cyber Security Framework) (India - Row 18)</t>
        </is>
      </c>
      <c r="C1251" t="inlineStr">
        <is>
          <t>21</t>
        </is>
      </c>
      <c r="D1251" s="11" t="inlineStr">
        <is>
          <t>Metrics for system performance and recovery</t>
        </is>
      </c>
      <c r="E1251" t="inlineStr">
        <is>
          <t>16</t>
        </is>
      </c>
      <c r="F1251" t="inlineStr">
        <is>
          <t>High</t>
        </is>
      </c>
      <c r="G1251" t="inlineStr">
        <is>
          <t>High (explicit)</t>
        </is>
      </c>
      <c r="H1251" s="11" t="inlineStr">
        <is>
          <t>Security, Data Storage</t>
        </is>
      </c>
      <c r="I1251" s="11" t="inlineStr">
        <is>
          <t>Financial Data</t>
        </is>
      </c>
      <c r="J1251" t="inlineStr">
        <is>
          <t>Reserve Bank of India</t>
        </is>
      </c>
      <c r="K1251" s="11" t="inlineStr">
        <is>
          <t>Financial institutions must define metrics for system performance, recovery and business resumption including RPO and RTO for critical systems. Non-critical systems require risk-based metrics, and institutions must implement scorecards to measure IT performance and maturity.</t>
        </is>
      </c>
      <c r="L1251" s="11" t="inlineStr">
        <is>
          <t>Requires defined recovery metrics for critical systems, impacting disaster recovery and business continuity across borders.</t>
        </is>
      </c>
      <c r="M1251" s="11" t="inlineStr">
        <is>
          <t>• [Must] REs shall define suitable metrics for system performance, recovery and business resumption, including Recovery Point Objective (RPO) and Recovery Time Objective (RTO), for all critical information systems
• [Must] For non-critical information systems, REs shall adopt a risk-based approach to define suitable metrics
• [Must] REs shall implement suitable scorecard/metrics/methodology to measure IT performance and IT maturity level</t>
        </is>
      </c>
      <c r="N1251" s="11" t="inlineStr">
        <is>
          <t>21. Metrics (a) REs shall define suitable metrics for system performance, recovery and business resumption, including Recovery Point Objective (RPO) and Recovery Time Objective (RTO), for all critical information systems. (b) For non-critical information systems, REs shall adopt a risk-based approach to define suitable metrics. (c) REs shall implement suitable scorecard/metrics/methodology to measure IT performance and IT maturity level.</t>
        </is>
      </c>
      <c r="O1251" s="12" t="inlineStr">
        <is>
          <t>Open PDF</t>
        </is>
      </c>
    </row>
    <row r="1252">
      <c r="A1252" t="inlineStr">
        <is>
          <t>India</t>
        </is>
      </c>
      <c r="B1252" t="inlineStr">
        <is>
          <t>Reserve Bank of India – IT Governance and Cybersecurity Regulatory Framework (including Master Directions and Cyber Security Framework) (India - Row 18)</t>
        </is>
      </c>
      <c r="C1252" t="inlineStr">
        <is>
          <t>22</t>
        </is>
      </c>
      <c r="D1252" s="11" t="inlineStr">
        <is>
          <t>Periodic review of IT risk management policy</t>
        </is>
      </c>
      <c r="E1252" t="inlineStr">
        <is>
          <t>16</t>
        </is>
      </c>
      <c r="F1252" t="inlineStr">
        <is>
          <t>High</t>
        </is>
      </c>
      <c r="G1252" t="inlineStr">
        <is>
          <t>High (explicit)</t>
        </is>
      </c>
      <c r="H1252" s="11" t="inlineStr"/>
      <c r="I1252" s="11" t="inlineStr">
        <is>
          <t>Personal Information</t>
        </is>
      </c>
      <c r="J1252" t="inlineStr">
        <is>
          <t>RBI</t>
        </is>
      </c>
      <c r="K1252" s="11" t="inlineStr">
        <is>
          <t>The Risk Management Committee of the Board (RMCB) must consult with the IT Security Committee (ITSC) to review and update the institution's IT risk management policy at least annually. This policy must cover cyber security risks and other IT-related risks. The review ensures the policy remains relevant to the evolving risk landscape.</t>
        </is>
      </c>
      <c r="L1252" s="11" t="inlineStr">
        <is>
          <t>Requires annual review of IT risk management policy by RMCB and ITSC to ensure alignment with current cyber security threats and operational risks, critical for DTIA compliance.</t>
        </is>
      </c>
      <c r="M1252" s="11" t="inlineStr">
        <is>
          <t>• [Must] Risk Management Committee of the Board (RMCB) must consult with IT Security Committee (ITSC) to review and update IT risk management policy annually</t>
        </is>
      </c>
      <c r="N1252" s="11" t="inlineStr">
        <is>
          <t>The risk management policy of the RE shall include IT related risks, including the Cyber Security related risks, and the Risk Management Committee of the Board (RMCB) in consultation with the ITSC shall periodically review and update the same at least on a yearly basis.</t>
        </is>
      </c>
      <c r="O1252" s="12" t="inlineStr">
        <is>
          <t>Open PDF</t>
        </is>
      </c>
    </row>
    <row r="1253">
      <c r="A1253" t="inlineStr">
        <is>
          <t>India</t>
        </is>
      </c>
      <c r="B1253" t="inlineStr">
        <is>
          <t>Reserve Bank of India – IT Governance and Cybersecurity Regulatory Framework (including Master Directions and Cyber Security Framework) (India - Row 18)</t>
        </is>
      </c>
      <c r="C1253" t="inlineStr">
        <is>
          <t>23</t>
        </is>
      </c>
      <c r="D1253" s="11" t="inlineStr">
        <is>
          <t>IT and Information Security Risk Management Framework</t>
        </is>
      </c>
      <c r="E1253" t="inlineStr">
        <is>
          <t>16–17</t>
        </is>
      </c>
      <c r="F1253" t="inlineStr">
        <is>
          <t>High</t>
        </is>
      </c>
      <c r="G1253" t="inlineStr">
        <is>
          <t>High (explicit)</t>
        </is>
      </c>
      <c r="H1253" s="11" t="inlineStr">
        <is>
          <t>Data Storage, Security</t>
        </is>
      </c>
      <c r="I1253" s="11" t="inlineStr">
        <is>
          <t>Personal Information</t>
        </is>
      </c>
      <c r="J1253" t="inlineStr">
        <is>
          <t>RBI</t>
        </is>
      </c>
      <c r="K1253" s="11" t="inlineStr">
        <is>
          <t>Financial institutions must establish a comprehensive IT and Information Security Risk Management Framework covering internal controls, roles and responsibilities, critical system identification, and secure data handling. This framework requires periodic reviews of its effectiveness in changing risk environments and must address role conflicts and accountability gaps.</t>
        </is>
      </c>
      <c r="L1253" s="11" t="inlineStr">
        <is>
          <t>Mandates a structured framework for managing IT and information security risks, including critical system identification and secure data handling, essential for DTIA when transferring data across borders.</t>
        </is>
      </c>
      <c r="M1253" s="11" t="inlineStr">
        <is>
          <t>• [Must] Implement comprehensive Information Security management function, internal controls and processes to mitigate IT risks
• [Must] Review implemented controls and processes periodically for efficacy in changing risk environments
• [Must] Define roles and responsibilities of stakeholders including third-party personnel to eliminate role conflicts and accountability gaps
• [Must] Identify critical information systems and fortify their security environment
• [Must] Define and implement systems, procedures and controls for secure storage, transmission and processing of data</t>
        </is>
      </c>
      <c r="N1253" s="11" t="inlineStr">
        <is>
          <t>REs shall establish a robust IT and Information Security Risk Management Framework covering, inter alia, the following aspects: (a) Implementation of comprehensive Information Security management function, internal controls and processes (including applicable insurance covers) to mitigate/ manage identified risks. The implemented controls and processes must be reviewed periodically on their efficacy in a risk environment characterised by change; (b) Definition of roles and responsibilities of stakeholders (including third-party personnel) involved in IT risk management. Areas of possible role conflicts and accountability gaps must be specifically identified and eliminated or managed; (c) Identification of critical information systems of the organisation and fortification of the security environment of such systems; and (d) Definition and implementation of necessary systems, procedures and controls to ensure secure storage/ transmission/ processing of data/ information.</t>
        </is>
      </c>
      <c r="O1253" s="12" t="inlineStr">
        <is>
          <t>Open PDF</t>
        </is>
      </c>
    </row>
    <row r="1254">
      <c r="A1254" t="inlineStr">
        <is>
          <t>India</t>
        </is>
      </c>
      <c r="B1254" t="inlineStr">
        <is>
          <t>Reserve Bank of India – IT Governance and Cybersecurity Regulatory Framework (including Master Directions and Cyber Security Framework) (India - Row 18)</t>
        </is>
      </c>
      <c r="C1254" t="inlineStr">
        <is>
          <t>24</t>
        </is>
      </c>
      <c r="D1254" s="11" t="inlineStr">
        <is>
          <t>Information Security and Cyber Security Policy Framework</t>
        </is>
      </c>
      <c r="E1254" t="inlineStr">
        <is>
          <t>17–18</t>
        </is>
      </c>
      <c r="F1254" t="inlineStr">
        <is>
          <t>High</t>
        </is>
      </c>
      <c r="G1254" t="inlineStr">
        <is>
          <t>High (explicit)</t>
        </is>
      </c>
      <c r="H1254" s="11" t="inlineStr">
        <is>
          <t>Security, Data Storage</t>
        </is>
      </c>
      <c r="I1254" s="11" t="inlineStr">
        <is>
          <t>Personal Information</t>
        </is>
      </c>
      <c r="J1254" t="inlineStr">
        <is>
          <t>RBI</t>
        </is>
      </c>
      <c r="K1254" s="11" t="inlineStr">
        <is>
          <t>Financial institutions must establish an Information Security Policy and Cyber Security Policy including a Cyber Crisis Management Plan. They must form an Information Security Committee (ISC) under ITSC oversight with a Chief Information Security Officer (CISO) who reports directly to risk management. The CISO must have technical expertise, be appointed for a reasonable term, and ensure adequate staffing and budget for security operations.</t>
        </is>
      </c>
      <c r="L1254" s="11" t="inlineStr">
        <is>
          <t>Requires a dedicated CISO with specific responsibilities for cyber security, critical for DTIA when handling cross-border data transfers due to enhanced oversight of security protocols.</t>
        </is>
      </c>
      <c r="M1254" s="11" t="inlineStr">
        <is>
          <t>• [Must] Establish Information Security Policy and Cyber Security Policy including Cyber Crisis Management Plan
• [Must] Form Information Security Committee (ISC) under ITSC oversight with CISO and other representatives
• [Must] Designate CISO as senior executive with technical expertise, reasonable term, adequate staffing, and budget aligned with threat landscape
• [Must] CISO must report directly to Executive Director or equivalent risk management executive
• [Must] CISO must review cyber security risks at least quarterly before Board/RMCB/ITSC</t>
        </is>
      </c>
      <c r="N1254" s="11" t="inlineStr">
        <is>
          <t>REs shall also put in place a Cyber Security Policy and Cyber Crisis Management Plan (CCMP). An Information Security Committee (ISC), under the oversight of the ITSC, shall be formed for managing cyber/ information security. The constitution of the ISC, with Chief Information Security Officer (CISO) and other representatives from business and IT functions, etc., shall be decided by the ITSC. The head of the ISC shall be from risk management vertical. Major responsibilities of the ISC, inter alia, shall include: (i) Development of information/ cyber security policies, implementation of policies, standards and procedures to ensure that all identified risks are managed within the RE's risk appetite; (ii) Approving and monitoring information security projects and security awareness initiatives; (iii) Reviewing cyber incidents, information systems audit observations, monitoring and mitigation activities; and (iv) Updating ITSC and CEO periodically on the activities of ISC. A senior level executive (preferably in the rank of a General Manager or an equivalent position) shall be designated as the Chief Information Security Officer (CISO). The CISO shall not have any direct reporting relationship with the Head of IT Function and shall not be given any business targets.</t>
        </is>
      </c>
      <c r="O1254" s="12" t="inlineStr">
        <is>
          <t>Open PDF</t>
        </is>
      </c>
    </row>
    <row r="1255">
      <c r="A1255" t="inlineStr">
        <is>
          <t>India</t>
        </is>
      </c>
      <c r="B1255" t="inlineStr">
        <is>
          <t>Reserve Bank of India – IT Governance and Cybersecurity Regulatory Framework (including Master Directions and Cyber Security Framework) (India - Row 18)</t>
        </is>
      </c>
      <c r="C1255" t="inlineStr">
        <is>
          <t>25</t>
        </is>
      </c>
      <c r="D1255" s="11" t="inlineStr">
        <is>
          <t>Risk Assessment for Information Assets</t>
        </is>
      </c>
      <c r="E1255" t="inlineStr">
        <is>
          <t>18–19</t>
        </is>
      </c>
      <c r="F1255" t="inlineStr">
        <is>
          <t>High</t>
        </is>
      </c>
      <c r="G1255" t="inlineStr">
        <is>
          <t>High (explicit)</t>
        </is>
      </c>
      <c r="H1255" s="11" t="inlineStr">
        <is>
          <t>Data Storage, Security</t>
        </is>
      </c>
      <c r="I1255" s="11" t="inlineStr">
        <is>
          <t>Personal Information</t>
        </is>
      </c>
      <c r="J1255" t="inlineStr">
        <is>
          <t>RBI</t>
        </is>
      </c>
      <c r="K1255" s="11" t="inlineStr">
        <is>
          <t>Financial institutions must conduct risk assessments for all information assets using appropriate security standards and frameworks. They must ensure staff and service providers comply with security policies and review their security infrastructure and policies annually, including addressing emerging threats like phishing and spoofing attacks.</t>
        </is>
      </c>
      <c r="L1255" s="11" t="inlineStr">
        <is>
          <t>Requires annual review of security infrastructure and policies to address evolving threats, critical for DTIA when assessing data transfer risks across borders.</t>
        </is>
      </c>
      <c r="M1255" s="11" t="inlineStr">
        <is>
          <t>• [Must] Conduct risk assessment for each information asset using appropriate security standards/ IT control frameworks
• [Must] Ensure staff and service providers comply with information security and acceptable-use policies
• [Must] Review security infrastructure and policies annually, factoring in emerging threats and risks
• [Must] Take steps to tackle cyber-attacks including phishing and spoofing attacks</t>
        </is>
      </c>
      <c r="N1255" s="11" t="inlineStr">
        <is>
          <t>The risk assessment for each information asset within the RE's scope shall be guided by appropriate security standards/ IT control frameworks. REs shall ensure that all staff members and service providers comply with the extant information security and acceptable-use policies as applicable to them. REs shall review their security infrastructure and security policies at least annually, factoring in their own experiences and emerging threats and risks. REs shall take steps to adequately tackle cyber-attacks including phishing, spoofing attacks and mitigate their adverse effects.</t>
        </is>
      </c>
      <c r="O1255" s="12" t="inlineStr">
        <is>
          <t>Open PDF</t>
        </is>
      </c>
    </row>
    <row r="1256">
      <c r="A1256" t="inlineStr">
        <is>
          <t>India</t>
        </is>
      </c>
      <c r="B1256" t="inlineStr">
        <is>
          <t>Reserve Bank of India – IT Governance and Cybersecurity Regulatory Framework (including Master Directions and Cyber Security Framework) (India - Row 18)</t>
        </is>
      </c>
      <c r="C1256" t="inlineStr">
        <is>
          <t>26</t>
        </is>
      </c>
      <c r="D1256" s="11" t="inlineStr">
        <is>
          <t>Vulnerability and Penetration Testing Requirements</t>
        </is>
      </c>
      <c r="E1256" t="inlineStr">
        <is>
          <t>19</t>
        </is>
      </c>
      <c r="F1256" t="inlineStr">
        <is>
          <t>High</t>
        </is>
      </c>
      <c r="G1256" t="inlineStr">
        <is>
          <t>High (explicit)</t>
        </is>
      </c>
      <c r="H1256" s="11" t="inlineStr"/>
      <c r="I1256" s="11" t="inlineStr">
        <is>
          <t>Personal Information</t>
        </is>
      </c>
      <c r="J1256" t="inlineStr">
        <is>
          <t>RBI</t>
        </is>
      </c>
      <c r="K1256" s="11" t="inlineStr">
        <is>
          <t>Financial institutions must conduct vulnerability assessments (VA) and penetration testing (PT) at least every six months for critical systems and annually for non-critical systems. Testing must be performed by independent experts, and vulnerabilities must be fixed within a time-bound manner to prevent recurrence.</t>
        </is>
      </c>
      <c r="L1256" s="11" t="inlineStr">
        <is>
          <t>Mandates regular vulnerability and penetration testing for critical systems, essential for DTIA when assessing data security during cross-border transfers.</t>
        </is>
      </c>
      <c r="M1256" s="11" t="inlineStr">
        <is>
          <t>• [Must] Conduct vulnerability assessments (VA) at least once every six months for critical information systems and DMZ systems with customer interface
• [Must] Conduct penetration testing (PT) at least once every twelve months for critical information systems and DMZ systems with customer interface
• [Must] Conduct VA/PT throughout the lifecycle of information systems (pre-implementation, post-implementation, after major changes)
• [Must] Conduct VA/PT by appropriately trained and independent information security experts/auditors
• [Must] Ensure production environment for post-implementation VA/PT; test environment must resemble production environment with documented deviations
• [Must] Fix identified vulnerabilities and associated risks in a time-bound manner to prevent recurrence</t>
        </is>
      </c>
      <c r="N1256" s="11" t="inlineStr">
        <is>
          <t>For critical information systems and/or those in the De-Militarized Zone (DMZ) having customer interface, VA shall be conducted at least once in every six months and PT at least once in 12 months. Also, REs shall conduct VA/ PT of such information systems throughout their lifecycle (pre-implementation, post implementation, after major changes, etc.). For non-critical information systems, a risk-based approach shall be adopted to decide the requirement and periodicity of conduct of VA/ PT. VA/ PT shall be conducted by appropriately trained and independent information security experts/ auditors. In the post implementation (of IT project/ system upgrade, etc.) scenario, the VA/ PT shall be performed on the production environment. Under unavoidable circumstances, if the PT is conducted in test environment, REs shall ensure that the version and configuration of the test environment resembles the production environment. Any deviation should be documented and approved by the ISC. REs shall ensure to fix the identified vulnerabilities and associated risks in a time-bound manner by undertaking requisite corrective measures and ensure that the compliance is sustained to avoid recurrence of known vulnerabilities such as those available in Common Vulnerabilities and Exposures (CVE) database.</t>
        </is>
      </c>
      <c r="O1256" s="12" t="inlineStr">
        <is>
          <t>Open PDF</t>
        </is>
      </c>
    </row>
    <row r="1257">
      <c r="A1257" t="inlineStr">
        <is>
          <t>India</t>
        </is>
      </c>
      <c r="B1257" t="inlineStr">
        <is>
          <t>Reserve Bank of India – IT Governance and Cybersecurity Regulatory Framework (including Master Directions and Cyber Security Framework) (India - Row 18)</t>
        </is>
      </c>
      <c r="C1257" t="inlineStr">
        <is>
          <t>27</t>
        </is>
      </c>
      <c r="D1257" s="11" t="inlineStr">
        <is>
          <t>Cyber Incident Response and Recovery Management</t>
        </is>
      </c>
      <c r="E1257" t="inlineStr">
        <is>
          <t>19–20</t>
        </is>
      </c>
      <c r="F1257" t="inlineStr">
        <is>
          <t>High</t>
        </is>
      </c>
      <c r="G1257" t="inlineStr">
        <is>
          <t>High (explicit)</t>
        </is>
      </c>
      <c r="H1257" s="11" t="inlineStr">
        <is>
          <t>Incident Reporting, Breach Notification</t>
        </is>
      </c>
      <c r="I1257" s="11" t="inlineStr">
        <is>
          <t>Personal Information</t>
        </is>
      </c>
      <c r="J1257" t="inlineStr">
        <is>
          <t>RBI</t>
        </is>
      </c>
      <c r="K1257" s="11" t="inlineStr">
        <is>
          <t>Financial institutions must establish incident response and recovery procedures including classification, communication strategies, root cause analysis, and corrective actions. They must report incidents to CERT-In and RBI, and conduct periodic drills to improve response capabilities.</t>
        </is>
      </c>
      <c r="L1257" s="11" t="inlineStr">
        <is>
          <t>Requires incident response procedures and reporting to regulatory bodies, critical for DTIA when data breaches occur across borders.</t>
        </is>
      </c>
      <c r="M1257" s="11" t="inlineStr">
        <is>
          <t>• [Must] Address classification and assessment of cyber incidents with clear communication strategy and plan to contain exposures and achieve timely recovery
• [Must] Analyze cyber incidents for severity, impact and root cause; take corrective and preventive measures to mitigate adverse effects
• [Must] Have written incident response and recovery procedures including identification of key roles for staff and outsourced staff
• [Must] Establish clear communication plans for escalation and reporting incidents to Board, Senior Management, and customers
• [Must] Proactively notify CERT-In and RBI regarding incidents as per regulatory requirements</t>
        </is>
      </c>
      <c r="N1257" s="11" t="inlineStr">
        <is>
          <t>The cyber incident response and recovery management policy shall address the classification and assessment of incidents; include a clear communication strategy and plan to manage such incidents, contain exposures and achieve timely recovery. REs shall analyse cyber incidents (including through forensic analysis, if necessary) for their severity, impact and root cause. REs shall take measures, corrective and preventive, to mitigate the adverse impact of incidents on business operations. REs shall have written incident response and recovery procedures including identification of key roles of staff/ outsourced staff handling such incidents. REs shall have clear communication plans for escalation and reporting the incidents to the Board and Senior Management as well as to customers, as required. REs shall pro-actively notify CERT-In and RBI regarding incidents, as per regulatory requirements.</t>
        </is>
      </c>
      <c r="O1257" s="12" t="inlineStr">
        <is>
          <t>Open PDF</t>
        </is>
      </c>
    </row>
    <row r="1258">
      <c r="A1258" t="inlineStr">
        <is>
          <t>India</t>
        </is>
      </c>
      <c r="B1258" t="inlineStr">
        <is>
          <t>Reserve Bank of India – IT Governance and Cybersecurity Regulatory Framework (including Master Directions and Cyber Security Framework) (India - Row 18)</t>
        </is>
      </c>
      <c r="C1258" t="inlineStr">
        <is>
          <t>28</t>
        </is>
      </c>
      <c r="D1258" s="11" t="inlineStr">
        <is>
          <t>Business continuity and disaster recovery policy requirements</t>
        </is>
      </c>
      <c r="E1258" t="inlineStr">
        <is>
          <t>20–21</t>
        </is>
      </c>
      <c r="F1258" t="inlineStr">
        <is>
          <t>High</t>
        </is>
      </c>
      <c r="G1258" t="inlineStr">
        <is>
          <t>High (explicit)</t>
        </is>
      </c>
      <c r="H1258" s="11" t="inlineStr"/>
      <c r="I1258" s="11" t="inlineStr">
        <is>
          <t>Financial Data</t>
        </is>
      </c>
      <c r="J1258" t="inlineStr">
        <is>
          <t>Reserve Bank of India</t>
        </is>
      </c>
      <c r="K1258" s="11" t="inlineStr">
        <is>
          <t>The Reserve Bank of India requires regulated entities (REs) to develop a Business Continuity Plan (BCP) and Disaster Recovery (DR) policy that follows best practices to reduce disruption impacts and maintain operations. The policy must be updated based on risk assessments and major developments. REs must design their BCP/DR capabilities to ensure rapid recovery and secure resumption of critical operations after cyber-attacks or incidents.</t>
        </is>
      </c>
      <c r="L1258" s="11" t="inlineStr">
        <is>
          <t>This section mandates that financial institutions maintain robust BCP/DR policies to ensure continuity during disruptions, directly impacting cross-border data transfer resilience and operational continuity in financial systems.</t>
        </is>
      </c>
      <c r="M1258" s="11" t="inlineStr">
        <is>
          <t>• [Must] BCP and DR policy shall adopt best practices to reduce disruptive incidents and maintain business continuity
• [Must] BCP/DR policy shall be updated based on major developments or risk assessment
• [Must] REs' BCP/DR capabilities must support resilience objectives and enable rapid recovery of critical operations post-incident</t>
        </is>
      </c>
      <c r="N1258" s="11" t="inlineStr">
        <is>
          <t>28. Business Continuity Plan (BCP) and Disaster Recovery (DR) Policy (a) The BCP and DR policy shall adopt best practices to guide its actions in reducing the likelihood or impact of the disruptive incidents and maintaining business continuity. The policy shall be updated based on major developments/ risk assessment.</t>
        </is>
      </c>
      <c r="O1258" s="12" t="inlineStr">
        <is>
          <t>Open PDF</t>
        </is>
      </c>
    </row>
    <row r="1259">
      <c r="A1259" t="inlineStr">
        <is>
          <t>India</t>
        </is>
      </c>
      <c r="B1259" t="inlineStr">
        <is>
          <t>Reserve Bank of India – IT Governance and Cybersecurity Regulatory Framework (including Master Directions and Cyber Security Framework) (India - Row 18)</t>
        </is>
      </c>
      <c r="C1259" t="inlineStr">
        <is>
          <t>29</t>
        </is>
      </c>
      <c r="D1259" s="11" t="inlineStr">
        <is>
          <t>Disaster recovery management procedures</t>
        </is>
      </c>
      <c r="E1259" t="inlineStr">
        <is>
          <t>21–22</t>
        </is>
      </c>
      <c r="F1259" t="inlineStr">
        <is>
          <t>High</t>
        </is>
      </c>
      <c r="G1259" t="inlineStr">
        <is>
          <t>High (explicit)</t>
        </is>
      </c>
      <c r="H1259" s="11" t="inlineStr"/>
      <c r="I1259" s="11" t="inlineStr">
        <is>
          <t>Financial Data</t>
        </is>
      </c>
      <c r="J1259" t="inlineStr">
        <is>
          <t>Reserve Bank of India</t>
        </is>
      </c>
      <c r="K1259" s="11" t="inlineStr">
        <is>
          <t>Regulated entities must conduct DR drills at least half-yearly for critical systems and as per risk assessment for others. Any issues during drills must be resolved before the next cycle. DR testing requires switching to alternate sites for full business operations. REs must test BCP/DR under varied scenarios, back up data with integrity checks, ensure identical configurations at primary and DR sites, and prioritize minimal RTO and near-zero RPO for critical systems.</t>
        </is>
      </c>
      <c r="L1259" s="11" t="inlineStr">
        <is>
          <t>This section specifies technical requirements for DR testing and data integrity that impact data transfer resilience, particularly for financial data stored in alternate locations during disruptions.</t>
        </is>
      </c>
      <c r="M1259" s="11" t="inlineStr">
        <is>
          <t>• [Must] DR drills for critical information systems must be conducted at least half-yearly
• [Must] DR drills for other information systems must align with RE's risk assessment
• [Must] Major issues observed during DR drills must be resolved and retested before next cycle
• [Must] DR testing must involve switching to alternate site for full business operations
• [Must] REs must regularly test BCP/DR under different contingency scenarios
• [Must] REs must back up data and periodically restore it to verify usability
• [Must] Backup data integrity must be preserved and protected from unauthorized access
• [Must] DR architecture and procedures must meet defined RTO and RPO for recovery operations
• [Must] REs must prioritize minimal RTO and near-zero RPO for critical information systems
• [Must] REs must have documented methodology for reconciling data during non-zero RPO scenarios
• [Must] Configurations and security patches at primary and DR sites must be identical
• [Must] REs must ensure BCP/DR capabilities in critical interconnected systems and networks</t>
        </is>
      </c>
      <c r="N1259" s="11" t="inlineStr">
        <is>
          <t>29. Disaster Recovery Management (a) Periodicity of DR drills for critical information systems shall be at least on a half-yearly basis and for other information systems, as per RE's risk assessment.</t>
        </is>
      </c>
      <c r="O1259" s="12" t="inlineStr">
        <is>
          <t>Open PDF</t>
        </is>
      </c>
    </row>
    <row r="1260">
      <c r="A1260" t="inlineStr">
        <is>
          <t>India</t>
        </is>
      </c>
      <c r="B1260" t="inlineStr">
        <is>
          <t>Reserve Bank of India – IT Governance and Cybersecurity Regulatory Framework (including Master Directions and Cyber Security Framework) (India - Row 18)</t>
        </is>
      </c>
      <c r="C1260" t="inlineStr">
        <is>
          <t>30</t>
        </is>
      </c>
      <c r="D1260" s="11" t="inlineStr">
        <is>
          <t>Information systems audit oversight</t>
        </is>
      </c>
      <c r="E1260" t="inlineStr">
        <is>
          <t>22–23</t>
        </is>
      </c>
      <c r="F1260" t="inlineStr">
        <is>
          <t>High</t>
        </is>
      </c>
      <c r="G1260" t="inlineStr">
        <is>
          <t>High (explicit)</t>
        </is>
      </c>
      <c r="H1260" s="11" t="inlineStr"/>
      <c r="I1260" s="11" t="inlineStr">
        <is>
          <t>Financial Data</t>
        </is>
      </c>
      <c r="J1260" t="inlineStr">
        <is>
          <t>Reserve Bank of India</t>
        </is>
      </c>
      <c r="K1260" s="11" t="inlineStr">
        <is>
          <t>The Audit Committee of the Board (ACB) must oversee IS audits for REs. REs must establish an IS Audit Policy approved by the ACB and reviewed annually. The ACB must review critical IT/security issues and provide guidance to management. REs must have dedicated IS audit resources or external auditors with accountability within Internal Audit.</t>
        </is>
      </c>
      <c r="L1260" s="11" t="inlineStr">
        <is>
          <t>This section ensures financial institutions have robust internal audit mechanisms to validate data transfer and processing resilience, critical for DTIA compliance in high-risk environments.</t>
        </is>
      </c>
      <c r="M1260" s="11" t="inlineStr">
        <is>
          <t>• [Must] Audit Committee of the Board (ACB) shall exercise oversight of IS Audit for RE
• [Must] REs must establish an IS Audit Policy approved by ACB and reviewed annually
• [Must] ACB must review critical IT/security issues and provide guidance to management
• [Must] REs must have dedicated IS audit resources or external auditors with accountability within Internal Audit</t>
        </is>
      </c>
      <c r="N1260" s="11" t="inlineStr">
        <is>
          <t>30. Information Systems (IS) Audit (a) The Audit Committee of the Board (ACB) shall be responsible for exercising oversight of IS Audit of the RE.</t>
        </is>
      </c>
      <c r="O1260" s="12" t="inlineStr">
        <is>
          <t>Open PDF</t>
        </is>
      </c>
    </row>
    <row r="1261">
      <c r="A1261" t="inlineStr">
        <is>
          <t>India</t>
        </is>
      </c>
      <c r="B1261" t="inlineStr">
        <is>
          <t>Reserve Bank of India – IT Governance and Cybersecurity Regulatory Framework (including Master Directions and Cyber Security Framework) (India - Row 18)</t>
        </is>
      </c>
      <c r="C1261" t="inlineStr">
        <is>
          <t>31</t>
        </is>
      </c>
      <c r="D1261" s="11" t="inlineStr">
        <is>
          <t>Application of other laws</t>
        </is>
      </c>
      <c r="E1261" t="inlineStr">
        <is>
          <t>23</t>
        </is>
      </c>
      <c r="F1261" t="inlineStr">
        <is>
          <t>Low</t>
        </is>
      </c>
      <c r="G1261" t="inlineStr">
        <is>
          <t>High (explicit)</t>
        </is>
      </c>
      <c r="H1261" s="11" t="inlineStr"/>
      <c r="I1261" s="11" t="inlineStr"/>
      <c r="J1261" t="inlineStr"/>
      <c r="K1261" s="11" t="inlineStr">
        <is>
          <t>These Directions complement existing laws without overriding them, ensuring REs comply with all applicable regulations while implementing the new framework.</t>
        </is>
      </c>
      <c r="L1261" s="11" t="inlineStr">
        <is>
          <t>This section confirms that DTIA requirements are additive to existing legal obligations, not conflicting with other financial regulations.</t>
        </is>
      </c>
      <c r="M1261" s="11" t="inlineStr">
        <is>
          <t>• [Must] Provisions of these Directions shall be in addition to, and not in derogation of, any other laws, rules, regulations or directions</t>
        </is>
      </c>
      <c r="N1261" s="11" t="inlineStr">
        <is>
          <t>31. Application of other laws not barred The provisions of these Directions shall be in addition to, and not in derogation of the provisions of any other laws, rules, regulations or directions, for the time being in force.</t>
        </is>
      </c>
      <c r="O1261" s="12" t="inlineStr">
        <is>
          <t>Open PDF</t>
        </is>
      </c>
    </row>
    <row r="1262">
      <c r="A1262" t="inlineStr">
        <is>
          <t>India</t>
        </is>
      </c>
      <c r="B1262" t="inlineStr">
        <is>
          <t>Reserve Bank of India – IT Governance and Cybersecurity Regulatory Framework (including Master Directions and Cyber Security Framework) (India - Row 18)</t>
        </is>
      </c>
      <c r="C1262" t="inlineStr">
        <is>
          <t>32</t>
        </is>
      </c>
      <c r="D1262" s="11" t="inlineStr">
        <is>
          <t>Interpretation and clarifications</t>
        </is>
      </c>
      <c r="E1262" t="inlineStr">
        <is>
          <t>3–4</t>
        </is>
      </c>
      <c r="F1262" t="inlineStr">
        <is>
          <t>Low</t>
        </is>
      </c>
      <c r="G1262" t="inlineStr">
        <is>
          <t>High (explicit)</t>
        </is>
      </c>
      <c r="H1262" s="11" t="inlineStr"/>
      <c r="I1262" s="11" t="inlineStr"/>
      <c r="J1262" t="inlineStr">
        <is>
          <t>Reserve Bank of India</t>
        </is>
      </c>
      <c r="K1262" s="11" t="inlineStr">
        <is>
          <t>The Reserve Bank of India may issue clarifications on any matter covered in these Directions, and its interpretations will be final and binding.</t>
        </is>
      </c>
      <c r="L1262" s="11" t="inlineStr">
        <is>
          <t>This section allows for regulatory flexibility in interpreting DTIA requirements but does not directly impact data transfer assessments.</t>
        </is>
      </c>
      <c r="M1262" s="11" t="inlineStr">
        <is>
          <t>• [May] RBI may issue clarifications on matters covered in these Directions</t>
        </is>
      </c>
      <c r="N1262" s="11" t="inlineStr">
        <is>
          <t>32. Interpretation For the purpose of giving effect to the provisions of these Directions or in order to remove any difficulties in the application or interpretation of the provisions of these Directions, the Reserve Bank of India may, if it considers necessary, issue necessary clarifications in respect of any matter covered herein and the interpretation of any provision of these Directions given by the Reserve Bank of India shall be final and binding.</t>
        </is>
      </c>
      <c r="O1262" s="12" t="inlineStr">
        <is>
          <t>Open PDF</t>
        </is>
      </c>
    </row>
    <row r="1263">
      <c r="A1263" t="inlineStr">
        <is>
          <t>India</t>
        </is>
      </c>
      <c r="B1263" t="inlineStr">
        <is>
          <t>Reserve Bank of India – IT Governance and Cybersecurity Regulatory Framework (including Master Directions and Cyber Security Framework) (India - Row 18)</t>
        </is>
      </c>
      <c r="C1263" t="inlineStr">
        <is>
          <t>32</t>
        </is>
      </c>
      <c r="D1263" s="11" t="inlineStr">
        <is>
          <t>Interpretation and clarifications</t>
        </is>
      </c>
      <c r="E1263" t="inlineStr">
        <is>
          <t>23–26</t>
        </is>
      </c>
      <c r="F1263" t="inlineStr">
        <is>
          <t>Low</t>
        </is>
      </c>
      <c r="G1263" t="inlineStr">
        <is>
          <t>High (explicit)</t>
        </is>
      </c>
      <c r="H1263" s="11" t="inlineStr"/>
      <c r="I1263" s="11" t="inlineStr"/>
      <c r="J1263" t="inlineStr">
        <is>
          <t>Reserve Bank of India</t>
        </is>
      </c>
      <c r="K1263" s="11" t="inlineStr">
        <is>
          <t>The Reserve Bank of India may issue clarifications on any matter covered in these Directions, and its interpretations will be final and binding.</t>
        </is>
      </c>
      <c r="L1263" s="11" t="inlineStr">
        <is>
          <t>This section allows for regulatory flexibility in interpreting DTIA requirements but does not directly impact data transfer assessments.</t>
        </is>
      </c>
      <c r="M1263" s="11" t="inlineStr">
        <is>
          <t>• [May] RBI may issue clarifications on matters covered in these Directions</t>
        </is>
      </c>
      <c r="N1263" s="11" t="inlineStr">
        <is>
          <t>32. Interpretation For the purpose of giving effect to the provisions of these Directions or in order to remove any difficulties in the application or interpretation of the provisions of these Directions, the Reserve Bank of India may, if it considers necessary, issue necessary clarifications in respect of any matter covered herein and the interpretation of any provision of these Directions given by the Reserve Bank of India shall be final and binding.</t>
        </is>
      </c>
      <c r="O1263" s="12" t="inlineStr">
        <is>
          <t>Open PDF</t>
        </is>
      </c>
    </row>
    <row r="1264">
      <c r="A1264" t="inlineStr">
        <is>
          <t>India</t>
        </is>
      </c>
      <c r="B1264" t="inlineStr">
        <is>
          <t>Reserve Bank of India – IT Governance and Cybersecurity Regulatory Framework (including Master Directions and Cyber Security Framework) (India - Row 18)</t>
        </is>
      </c>
      <c r="C1264" t="inlineStr">
        <is>
          <t>2023</t>
        </is>
      </c>
      <c r="D1264" s="11" t="inlineStr">
        <is>
          <t>Effective date and scope of Directions</t>
        </is>
      </c>
      <c r="E1264" t="inlineStr">
        <is>
          <t>4</t>
        </is>
      </c>
      <c r="F1264" t="inlineStr">
        <is>
          <t>None</t>
        </is>
      </c>
      <c r="G1264" t="inlineStr">
        <is>
          <t>High (explicit)</t>
        </is>
      </c>
      <c r="H1264" s="11" t="inlineStr"/>
      <c r="I1264" s="11" t="inlineStr"/>
      <c r="J1264" t="inlineStr"/>
      <c r="K1264" s="11" t="inlineStr">
        <is>
          <t>This section states that the Directions incorporate, consolidate and update guidelines on IT Governance, Risk, Controls, Assurance Practices and Business Continuity/Disaster Recovery Management. It also specifies that the Directions come into effect from April 1, 2024.</t>
        </is>
      </c>
      <c r="L1264" s="11" t="inlineStr"/>
      <c r="M1264" s="11" t="inlineStr">
        <is>
          <t>• [Definition] These Directions incorporate, consolidate and update the guidelines, instructions and circulars on IT Governance, Risk, Controls, Assurance Practices and Business Continuity/Disaster Recovery Management
• [Condition] These Directions shall come into effect from April 1, 2024</t>
        </is>
      </c>
      <c r="N1264" s="11" t="inlineStr">
        <is>
          <t>2023. These Directions incorporate, consolidate and update the guidelines, instructions and circulars on IT Governance, Risk, Controls, Assurance Practices and Business Continuity/Disaster Recovery Management. The list of circulars repealed is given in Chapter VII of this Master Direction. These Directions shall come into effect from April 1, 2024.</t>
        </is>
      </c>
      <c r="O1264" s="12" t="inlineStr">
        <is>
          <t>Open PDF</t>
        </is>
      </c>
    </row>
    <row r="1265">
      <c r="A1265" t="inlineStr">
        <is>
          <t>India</t>
        </is>
      </c>
      <c r="B1265" t="inlineStr">
        <is>
          <t>SEBI Master Circular for Alternative Investment Funds (India - Row 25)</t>
        </is>
      </c>
      <c r="C1265" t="inlineStr">
        <is>
          <t>1</t>
        </is>
      </c>
      <c r="D1265" s="11" t="inlineStr">
        <is>
          <t>Online filing requirement for AIF registration</t>
        </is>
      </c>
      <c r="E1265" t="inlineStr">
        <is>
          <t>6–7</t>
        </is>
      </c>
      <c r="F1265" t="inlineStr">
        <is>
          <t>High</t>
        </is>
      </c>
      <c r="G1265" t="inlineStr">
        <is>
          <t>High (explicit)</t>
        </is>
      </c>
      <c r="H1265" s="11" t="inlineStr"/>
      <c r="I1265" s="11" t="inlineStr">
        <is>
          <t>Customer Data</t>
        </is>
      </c>
      <c r="J1265" t="inlineStr">
        <is>
          <t>SEBI</t>
        </is>
      </c>
      <c r="K1265" s="11" t="inlineStr">
        <is>
          <t>All applicants seeking registration as an Alternative Investment Fund (AIF) must submit applications exclusively online via the SEBI Intermediary Portal at https://siportal.sebi.gov.in. Similarly, all SEBI-registered AIFs must file compliance reports and submit applications for requests under AIF Regulations and circulars through this portal. This section establishes the mandatory online filing system for AIF registration and ongoing compliance.</t>
        </is>
      </c>
      <c r="L1265" s="11" t="inlineStr">
        <is>
          <t>Mandates exclusive online filing for AIF registration and compliance reports through SEBI's portal, requiring data transfers to be handled via this secure channel. This impacts data transfer mechanisms for AIFs.</t>
        </is>
      </c>
      <c r="M1265" s="11" t="inlineStr">
        <is>
          <t>• [Must] All applicants seeking registration as an AIF must submit applications only online through SEBI Intermediary Portal
• [Must] All SEBI-registered AIFs must file compliance reports and submit applications for requests under AIF Regulations through SEBI Intermediary Portal</t>
        </is>
      </c>
      <c r="N1265" s="11" t="inlineStr">
        <is>
          <t>All applicants desirous of seeking registration as an Alternative Investment Fund (‘AIF') are required to submit their applications only online, through the SEBI Intermediary Portal at https://siportal.sebi.gov.in. Further, all SEBI registered AIFs are required to file their compliance reports and submit applications for any request under the provisions of AIF Regulations and circulars issued thereunder, only through the SEBI Intermediary Portal.</t>
        </is>
      </c>
      <c r="O1265" s="12" t="inlineStr">
        <is>
          <t>Open PDF</t>
        </is>
      </c>
    </row>
    <row r="1266">
      <c r="A1266" t="inlineStr">
        <is>
          <t>India</t>
        </is>
      </c>
      <c r="B1266" t="inlineStr">
        <is>
          <t>SEBI Master Circular for Alternative Investment Funds (India - Row 25)</t>
        </is>
      </c>
      <c r="C1266" t="inlineStr">
        <is>
          <t>2</t>
        </is>
      </c>
      <c r="D1266" s="11" t="inlineStr">
        <is>
          <t>PPM template and disclosure requirements</t>
        </is>
      </c>
      <c r="E1266" t="inlineStr">
        <is>
          <t>7–11</t>
        </is>
      </c>
      <c r="F1266" t="inlineStr">
        <is>
          <t>High</t>
        </is>
      </c>
      <c r="G1266" t="inlineStr">
        <is>
          <t>High (explicit)</t>
        </is>
      </c>
      <c r="H1266" s="11" t="inlineStr"/>
      <c r="I1266" s="11" t="inlineStr">
        <is>
          <t>Customer Data, Financial Data</t>
        </is>
      </c>
      <c r="J1266" t="inlineStr">
        <is>
          <t>SEBI</t>
        </is>
      </c>
      <c r="K1266" s="11" t="inlineStr">
        <is>
          <t>AIFs must use a standardized Private Placement Memorandum (PPM) template with two parts: minimum disclosures (Part A) and supplementary sections (Part B). The template varies by AIF category (I, II, III) and requires detailed fee structures, disciplinary histories, and compliance disclosures. AIFs must include disciplinary histories of sponsors, managers, directors, and trustees for the last 5 years, with specific monetary thresholds for penalties.</t>
        </is>
      </c>
      <c r="L1266" s="11" t="inlineStr">
        <is>
          <t>Requires standardized PPM templates with detailed disclosure requirements, including disciplinary histories and fee structures, impacting data transfer for AIFs. The disciplinary history disclosures may involve cross-border data transfers.</t>
        </is>
      </c>
      <c r="M1266" s="11" t="inlineStr">
        <is>
          <t>• [Must] PPM must have two parts: Part A for minimum disclosures and Part B for supplementary information
• [Must] PPM template varies by AIF category (I, II, III) with specific annexures
• [Must] PPM must include detailed tabular example of fees and charges applicable to investors including distribution waterfall
• [Must] PPM must include disciplinary history of AIF, sponsor, manager, directors/partners/promoters and associates for the last 5 years
• [Must] Disciplinary history must include details of outstanding/pending cases, criminal/civil prosecutions, non-payment of statutory dues, defaults against banks, contingent liabilities, economic offences, civil offences, compliance findings, penalties, disputed tax liabilities
• [Must] Disciplinary history must include disciplinary actions taken by Board or regulatory authorities
• [Must] Disciplinary history must be applicable for the last 5 years and where monetary penalty is greater than 5 lakh rupees
• [Must] Disciplinary history does not apply to personal capacity liabilities for individuals</t>
        </is>
      </c>
      <c r="N1266" s="11" t="inlineStr">
        <is>
          <t>Private Placement Memorandum (‘PPM') is a primary document in which all the necessary information about the AIF is disclosed to prospective investors. To ensure that a minimum standard of disclosure is made available in the PPM, a template has been mandated for the PPM, providing certain minimum level of information in a simple and comparable format.</t>
        </is>
      </c>
      <c r="O1266" s="12" t="inlineStr">
        <is>
          <t>Open PDF</t>
        </is>
      </c>
    </row>
    <row r="1267">
      <c r="A1267" t="inlineStr">
        <is>
          <t>India</t>
        </is>
      </c>
      <c r="B1267" t="inlineStr">
        <is>
          <t>SEBI Master Circular for Alternative Investment Funds (India - Row 25)</t>
        </is>
      </c>
      <c r="C1267" t="inlineStr">
        <is>
          <t>2 (part 2)</t>
        </is>
      </c>
      <c r="D1267" s="11" t="inlineStr">
        <is>
          <t>compliance requirements (cont.)</t>
        </is>
      </c>
      <c r="E1267" t="inlineStr">
        <is>
          <t>11–13</t>
        </is>
      </c>
      <c r="F1267" t="inlineStr">
        <is>
          <t>Unknown</t>
        </is>
      </c>
      <c r="G1267" t="inlineStr">
        <is>
          <t>Low</t>
        </is>
      </c>
      <c r="H1267" s="11" t="inlineStr"/>
      <c r="I1267" s="11" t="inlineStr"/>
      <c r="J1267" t="inlineStr"/>
      <c r="K1267" s="11" t="inlineStr"/>
      <c r="L1267" s="11" t="inlineStr"/>
      <c r="M1267" s="11" t="inlineStr"/>
      <c r="N1267" s="11" t="inlineStr"/>
      <c r="O1267" s="12" t="inlineStr">
        <is>
          <t>Open PDF</t>
        </is>
      </c>
    </row>
    <row r="1268">
      <c r="A1268" t="inlineStr">
        <is>
          <t>India</t>
        </is>
      </c>
      <c r="B1268" t="inlineStr">
        <is>
          <t>SEBI Master Circular for Alternative Investment Funds (India - Row 25)</t>
        </is>
      </c>
      <c r="C1268" t="inlineStr">
        <is>
          <t>3</t>
        </is>
      </c>
      <c r="D1268" s="11" t="inlineStr">
        <is>
          <t>Chapter 3 – Registration related clarifications</t>
        </is>
      </c>
      <c r="E1268" t="inlineStr">
        <is>
          <t>13–14</t>
        </is>
      </c>
      <c r="F1268" t="inlineStr">
        <is>
          <t>Unknown</t>
        </is>
      </c>
      <c r="G1268" t="inlineStr">
        <is>
          <t>Low</t>
        </is>
      </c>
      <c r="H1268" s="11" t="inlineStr"/>
      <c r="I1268" s="11" t="inlineStr"/>
      <c r="J1268" t="inlineStr"/>
      <c r="K1268" s="11" t="inlineStr"/>
      <c r="L1268" s="11" t="inlineStr"/>
      <c r="M1268" s="11" t="inlineStr"/>
      <c r="N1268" s="11" t="inlineStr"/>
      <c r="O1268" s="12" t="inlineStr">
        <is>
          <t>Open PDF</t>
        </is>
      </c>
    </row>
    <row r="1269">
      <c r="A1269" t="inlineStr">
        <is>
          <t>India</t>
        </is>
      </c>
      <c r="B1269" t="inlineStr">
        <is>
          <t>SEBI Master Circular for Alternative Investment Funds (India - Row 25)</t>
        </is>
      </c>
      <c r="C1269" t="inlineStr">
        <is>
          <t>4</t>
        </is>
      </c>
      <c r="D1269" s="11" t="inlineStr">
        <is>
          <t>Chapter 4 - Investment in AIFs12</t>
        </is>
      </c>
      <c r="E1269" t="inlineStr">
        <is>
          <t>14–16</t>
        </is>
      </c>
      <c r="F1269" t="inlineStr">
        <is>
          <t>Unknown</t>
        </is>
      </c>
      <c r="G1269" t="inlineStr">
        <is>
          <t>Low</t>
        </is>
      </c>
      <c r="H1269" s="11" t="inlineStr"/>
      <c r="I1269" s="11" t="inlineStr"/>
      <c r="J1269" t="inlineStr"/>
      <c r="K1269" s="11" t="inlineStr"/>
      <c r="L1269" s="11" t="inlineStr"/>
      <c r="M1269" s="11" t="inlineStr"/>
      <c r="N1269" s="11" t="inlineStr"/>
      <c r="O1269" s="12" t="inlineStr">
        <is>
          <t>Open PDF</t>
        </is>
      </c>
    </row>
    <row r="1270">
      <c r="A1270" t="inlineStr">
        <is>
          <t>India</t>
        </is>
      </c>
      <c r="B1270" t="inlineStr">
        <is>
          <t>SEBI Master Circular for Alternative Investment Funds (India - Row 25)</t>
        </is>
      </c>
      <c r="C1270" t="inlineStr">
        <is>
          <t>5</t>
        </is>
      </c>
      <c r="D1270" s="11" t="inlineStr">
        <is>
          <t>Operational and prudential norms for Category III AIFs</t>
        </is>
      </c>
      <c r="E1270" t="inlineStr">
        <is>
          <t>16–21</t>
        </is>
      </c>
      <c r="F1270" t="inlineStr">
        <is>
          <t>High</t>
        </is>
      </c>
      <c r="G1270" t="inlineStr">
        <is>
          <t>High (explicit)</t>
        </is>
      </c>
      <c r="H1270" s="11" t="inlineStr">
        <is>
          <t>Cross-border Transfer, International Processing, Data Storage, Security</t>
        </is>
      </c>
      <c r="I1270" s="11" t="inlineStr">
        <is>
          <t>Financial Data</t>
        </is>
      </c>
      <c r="J1270" t="inlineStr">
        <is>
          <t>SEBI</t>
        </is>
      </c>
      <c r="K1270" s="11" t="inlineStr">
        <is>
          <t>Category III Alternative Investment Funds (AIFs) must disclose the basis for calculating investment concentration norms in their Placement Prospects Memorandum (PPM). The basis cannot be changed during the scheme's term. If using NAV for calculations, they must adhere to specific rules: use NAV from the business day before investment, exclude borrowed funds, and rectify passive breaches within 30 days. These norms ensure transparency and stability in investment concentration.</t>
        </is>
      </c>
      <c r="L1270" s="11" t="inlineStr">
        <is>
          <t>This section imposes specific calculation rules for investment concentration norms using NAV or investable funds, with strict timeframes for breach rectification. It affects cross-border data transfers by requiring precise calculation methods and timely breach reporting.</t>
        </is>
      </c>
      <c r="M1270" s="11" t="inlineStr">
        <is>
          <t>• [Must] Category III AIFs must disclose the basis for calculating investment concentration norm in the PPM
• [Must Not] The basis for calculating investment concentration norm shall not be changed during the term of the scheme
• [Must] Category III AIFs using NAV must calculate investment limits based on NAV from the business day before investment
• [Must] NAV of the AIF must exclude any funds borrowed by the AIF
• [Must] Passive breaches of concentration norms must be rectified within 30 days</t>
        </is>
      </c>
      <c r="N1270" s="11" t="inlineStr">
        <is>
          <t>All Category III AIFs shall disclose the basis for calculation of investment concentration norm in the PPM of their schemes.</t>
        </is>
      </c>
      <c r="O1270" s="12" t="inlineStr">
        <is>
          <t>Open PDF</t>
        </is>
      </c>
    </row>
    <row r="1271">
      <c r="A1271" t="inlineStr">
        <is>
          <t>India</t>
        </is>
      </c>
      <c r="B1271" t="inlineStr">
        <is>
          <t>SEBI Master Circular for Alternative Investment Funds (India - Row 25)</t>
        </is>
      </c>
      <c r="C1271" t="inlineStr">
        <is>
          <t>6</t>
        </is>
      </c>
      <c r="D1271" s="11" t="inlineStr">
        <is>
          <t>Special Situation Funds (SSF) norms</t>
        </is>
      </c>
      <c r="E1271" t="inlineStr">
        <is>
          <t>21–22</t>
        </is>
      </c>
      <c r="F1271" t="inlineStr">
        <is>
          <t>High</t>
        </is>
      </c>
      <c r="G1271" t="inlineStr">
        <is>
          <t>High (explicit)</t>
        </is>
      </c>
      <c r="H1271" s="11" t="inlineStr">
        <is>
          <t>Cross-border Transfer, Financial Data, KYC, AML</t>
        </is>
      </c>
      <c r="I1271" s="11" t="inlineStr">
        <is>
          <t>Financial Data</t>
        </is>
      </c>
      <c r="J1271" t="inlineStr">
        <is>
          <t>SEBI</t>
        </is>
      </c>
      <c r="K1271" s="11" t="inlineStr">
        <is>
          <t>Special Situation Funds (SSFs) must maintain a minimum corpus of ₹100 crore. They require minimum investments of ₹10 crore from non-accredited investors, ₹5 crore from accredited investors, and ₹2.5 lakh from employees/directors. SSFs acting as resolution applicants must comply with Insolvency and Bankruptcy Code requirements. They also face restrictions on acquiring stressed loans from specific jurisdictions.</t>
        </is>
      </c>
      <c r="L1271" s="11" t="inlineStr">
        <is>
          <t>This section sets minimum capital requirements and investor eligibility for SSFs, which impacts cross-border data transfers through investment in offshore entities and stressed loans.</t>
        </is>
      </c>
      <c r="M1271" s="11" t="inlineStr">
        <is>
          <t>• [Must] SSFs must have a corpus of at least ₹100 crore
• [Must] SSFs must accept minimum investment of ₹10 crore from non-accredited investors
• [Must] SSFs must accept minimum investment of ₹5 crore from accredited investors
• [Must] SSFs must accept minimum investment of ₹2.5 lakh from employees/directors
• [Must] SSFs acting as resolution applicants must comply with Insolvency and Bankruptcy Code requirements</t>
        </is>
      </c>
      <c r="N1271" s="11" t="inlineStr">
        <is>
          <t>Each scheme of SSF shall have a corpus of at least one hundred crore rupees.</t>
        </is>
      </c>
      <c r="O1271" s="12" t="inlineStr">
        <is>
          <t>Open PDF</t>
        </is>
      </c>
    </row>
    <row r="1272">
      <c r="A1272" t="inlineStr">
        <is>
          <t>India</t>
        </is>
      </c>
      <c r="B1272" t="inlineStr">
        <is>
          <t>SEBI Master Circular for Alternative Investment Funds (India - Row 25)</t>
        </is>
      </c>
      <c r="C1272" t="inlineStr">
        <is>
          <t>7</t>
        </is>
      </c>
      <c r="D1272" s="11" t="inlineStr">
        <is>
          <t>Overseas investment guidelines for AIFs</t>
        </is>
      </c>
      <c r="E1272" t="inlineStr">
        <is>
          <t>22–25</t>
        </is>
      </c>
      <c r="F1272" t="inlineStr">
        <is>
          <t>High</t>
        </is>
      </c>
      <c r="G1272" t="inlineStr">
        <is>
          <t>High (explicit)</t>
        </is>
      </c>
      <c r="H1272" s="11" t="inlineStr">
        <is>
          <t>Cross-border Transfer, Financial Data, AML, KYC</t>
        </is>
      </c>
      <c r="I1272" s="11" t="inlineStr">
        <is>
          <t>Financial Data</t>
        </is>
      </c>
      <c r="J1272" t="inlineStr">
        <is>
          <t>SEBI</t>
        </is>
      </c>
      <c r="K1272" s="11" t="inlineStr">
        <is>
          <t>AIFs may invest in offshore venture capital undertakings up to 25% of their investable funds, subject to a combined USD 1.5 billion limit. Investments must be in countries with securities regulators that are FATF signatories or have bilateral agreements with SEBI. AIFs cannot invest in countries with strategic AML/CTF deficiencies or insufficient progress on FATF requirements. They must comply with FEMA regulations and cannot form joint ventures while making overseas investments.</t>
        </is>
      </c>
      <c r="L1272" s="11" t="inlineStr">
        <is>
          <t>This section defines strict conditions for AIFs to invest abroad, including FATF compliance checks and restrictions on jurisdictions with AML/CTF deficiencies, directly impacting cross-border data transfers.</t>
        </is>
      </c>
      <c r="M1272" s="11" t="inlineStr">
        <is>
          <t>• [Must] AIFs may invest in offshore venture capital undertakings up to 25% of investable funds
• [Must] Investments must be in countries with securities regulators that are FATF signatories or have bilateral agreements with SEBI
• [Must Not] AIFs cannot invest in countries with strategic AML/CTF deficiencies or insufficient progress on FATF requirements
• [Must] AIFs must comply with FEMA regulations
• [Must Not] AIFs cannot form joint ventures while making overseas investments</t>
        </is>
      </c>
      <c r="N1272" s="11" t="inlineStr">
        <is>
          <t>AIFs may invest in equity and equity linked instruments only of off-shore venture capital undertakings, subject to overall limit of USD 1500 million</t>
        </is>
      </c>
      <c r="O1272" s="12" t="inlineStr">
        <is>
          <t>Open PDF</t>
        </is>
      </c>
    </row>
    <row r="1273">
      <c r="A1273" t="inlineStr">
        <is>
          <t>India</t>
        </is>
      </c>
      <c r="B1273" t="inlineStr">
        <is>
          <t>SEBI Master Circular for Alternative Investment Funds (India - Row 25)</t>
        </is>
      </c>
      <c r="C1273" t="inlineStr">
        <is>
          <t>8</t>
        </is>
      </c>
      <c r="D1273" s="11" t="inlineStr">
        <is>
          <t>Investment in units of AIFs</t>
        </is>
      </c>
      <c r="E1273" t="inlineStr">
        <is>
          <t>25–26</t>
        </is>
      </c>
      <c r="F1273" t="inlineStr">
        <is>
          <t>High</t>
        </is>
      </c>
      <c r="G1273" t="inlineStr">
        <is>
          <t>High (explicit)</t>
        </is>
      </c>
      <c r="H1273" s="11" t="inlineStr">
        <is>
          <t>Cross-border Transfer, Financial Data, KYC, AML</t>
        </is>
      </c>
      <c r="I1273" s="11" t="inlineStr">
        <is>
          <t>Financial Data</t>
        </is>
      </c>
      <c r="J1273" t="inlineStr">
        <is>
          <t>SEBI</t>
        </is>
      </c>
      <c r="K1273" s="11" t="inlineStr">
        <is>
          <t>AIFs may invest in units of other AIFs without labeling themselves as Fund of AIFs. Existing AIFs can simultaneously invest in securities and AIF units with at least two-thirds approval from unit holders. They must disclose proposed allocations, fee attributions, compliance processes, and relationships with other AIFs in their PPMs. Pooling vehicles must be registered as AIFs if created solely for AIF investments.</t>
        </is>
      </c>
      <c r="L1273" s="11" t="inlineStr">
        <is>
          <t>This section governs cross-border investment in AIF units, requiring disclosures and approvals that affect data transfer mechanisms between funds.</t>
        </is>
      </c>
      <c r="M1273" s="11" t="inlineStr">
        <is>
          <t>• [Must] AIFs may invest in units of other A's without labeling themselves as Fund of AIFs
• [Must] Existing AIFs may invest in securities and AIF units with two-thirds approval from unit holders
• [Must] AIFs must disclose proposed allocation of investment in other AIF units
• [Must] AIFs must disclose portion of fees and expenses attributable to AIF unit investments
• [Must] AIFs must disclose compliance processes for investment conditions
• [Must] AIFs must disclose relationships with other AIFs managed by the same sponsor
• [Must] Pooling vehicles must be registered as AIFs if created solely for AIF investments</t>
        </is>
      </c>
      <c r="N1273" s="11" t="inlineStr">
        <is>
          <t>AIFs may invest in an investee company up to a specified limit, directly or through investment in the units of other AIFs.</t>
        </is>
      </c>
      <c r="O1273" s="12" t="inlineStr">
        <is>
          <t>Open PDF</t>
        </is>
      </c>
    </row>
    <row r="1274">
      <c r="A1274" t="inlineStr">
        <is>
          <t>India</t>
        </is>
      </c>
      <c r="B1274" t="inlineStr">
        <is>
          <t>SEBI Master Circular for Alternative Investment Funds (India - Row 25)</t>
        </is>
      </c>
      <c r="C1274" t="inlineStr">
        <is>
          <t>9</t>
        </is>
      </c>
      <c r="D1274" s="11" t="inlineStr">
        <is>
          <t>CDS trading restrictions for Alternative Investment Funds</t>
        </is>
      </c>
      <c r="E1274" t="inlineStr">
        <is>
          <t>26–28</t>
        </is>
      </c>
      <c r="F1274" t="inlineStr">
        <is>
          <t>High</t>
        </is>
      </c>
      <c r="G1274" t="inlineStr">
        <is>
          <t>High (explicit)</t>
        </is>
      </c>
      <c r="H1274" s="11" t="inlineStr">
        <is>
          <t>Cross-border Transfer, Data Storage, Security, Financial Data, KYC, AML</t>
        </is>
      </c>
      <c r="I1274" s="11" t="inlineStr">
        <is>
          <t>Financial Data</t>
        </is>
      </c>
      <c r="J1274" t="inlineStr">
        <is>
          <t>SEBI</t>
        </is>
      </c>
      <c r="K1274" s="11" t="inlineStr">
        <is>
          <t>Category I and II AIFs may only buy CDS for hedging purposes. Category III AIFs may buy CDS for hedging or other purposes within permissible leverage limits. Category III AIFs may sell CDS using earmarked government bonds to cover exposure without counting as leverage. Total exposure to any investee company must comply with concentration norms. AIFs must report CDS transactions to custodians within one business day. Custodians must monitor compliance with leverage and exposure limits. Category III AIFs must follow specific breach remediation procedures if leverage limits are exceeded. Unhedged positions exceeding 25% of investable funds require unit holder notification. Category I and II AIFs must maintain a 30-day cooling-off period between leverage activities. CDS transactions must occur on SEBI or RBI-regulated platforms. AIFs must comply with RBI's Credit Derivatives Directions.</t>
        </is>
      </c>
      <c r="L1274" s="11" t="inlineStr">
        <is>
          <t>CDS trading imposes specific leverage limits, exposure caps, and reporting requirements for AIFs. These restrictions affect cross-border data flows if CDS transactions involve international entities or data from foreign markets.</t>
        </is>
      </c>
      <c r="M1274" s="11" t="inlineStr">
        <is>
          <t>• [Must] Category I and II AIFs may buy CDS on debt securities only for hedging
• [Must] Category III AIFs may buy CDS for hedging or other purposes within permissible leverage
• [Must] Category III AIFs may sell CDS using earmarked government bonds equal to CDS exposure
• [Must] Total exposure to any investee company must comply with concentration norms
• [Must] AIFs must report CDS transactions to custodians within one business day
• [Must] Custodians must monitor compliance with leverage and exposure limits
• [Must] Category III AIFs must report breach of leverage limits within one business day
• [Must] Category III AIFs must rectify breach by end of next trading day and report
• [Must] Custodians must report breach to SEBI within one business day
• [Must] Unhedged positions exceeding 25% of investable funds require unit holder notification
• [Must] Category I and II AIFs must maintain 30-day cooling-off period between leverage activities
• [Must] CDS transactions must occur on SEBI or RBI-regulated platforms
• [Must] AIFs must comply with RBI's Credit Derivatives Directions</t>
        </is>
      </c>
      <c r="N1274" s="11" t="inlineStr">
        <is>
          <t>9.1.1. Category I AIFs and Category II AIFs may buy CDS on underlying investment in debt securities, only for the purpose of hedging.</t>
        </is>
      </c>
      <c r="O1274" s="12" t="inlineStr">
        <is>
          <t>Open PDF</t>
        </is>
      </c>
    </row>
    <row r="1275">
      <c r="A1275" t="inlineStr">
        <is>
          <t>India</t>
        </is>
      </c>
      <c r="B1275" t="inlineStr">
        <is>
          <t>SEBI Master Circular for Alternative Investment Funds (India - Row 25)</t>
        </is>
      </c>
      <c r="C1275" t="inlineStr">
        <is>
          <t>10</t>
        </is>
      </c>
      <c r="D1275" s="11" t="inlineStr">
        <is>
          <t>RFQ platform requirements for Corporate Bond trades</t>
        </is>
      </c>
      <c r="E1275" t="inlineStr">
        <is>
          <t>28–29</t>
        </is>
      </c>
      <c r="F1275" t="inlineStr">
        <is>
          <t>High</t>
        </is>
      </c>
      <c r="G1275" t="inlineStr">
        <is>
          <t>High (explicit)</t>
        </is>
      </c>
      <c r="H1275" s="11" t="inlineStr">
        <is>
          <t>Cross-border Transfer, Data Storage, Financial Data</t>
        </is>
      </c>
      <c r="I1275" s="11" t="inlineStr">
        <is>
          <t>Financial Data</t>
        </is>
      </c>
      <c r="J1275" t="inlineStr">
        <is>
          <t>SEBI</t>
        </is>
      </c>
      <c r="K1275" s="11" t="inlineStr">
        <is>
          <t>AIFs must conduct at least 10% of their monthly secondary market trades in Corporate Bonds via RFQ platform. Transactions can be placed in one-to-one or one-to-many modes, but trades where AIFs are on both sides must use one-to-one mode. One-to-many trades with other AIFs count as one-to-many, not one-to-one.</t>
        </is>
      </c>
      <c r="L1275" s="11" t="inlineStr">
        <is>
          <t>RFQ platform mandates affect data transfer by requiring specific trade execution mechanisms for Corporate Bonds, impacting cross-border data flows in financial transactions.</t>
        </is>
      </c>
      <c r="M1275" s="11" t="inlineStr">
        <is>
          <t>• [Must] AIFs must undertake at least 10% of monthly secondary market trades in Corporate Bonds via RFQ platform
• [Must] AIFs must use one-to-one mode for trades where they are on both sides of the trade
• [Must] One-to-many trades with other AIFs count as one-to-many, not one-to-one</t>
        </is>
      </c>
      <c r="N1275" s="11" t="inlineStr">
        <is>
          <t>10.1. AIFs shall undertake at least 10% of their total secondary market trades in Corporate Bonds by value in a month by placing/seeking quotes on the RFQ platform.</t>
        </is>
      </c>
      <c r="O1275" s="12" t="inlineStr">
        <is>
          <t>Open PDF</t>
        </is>
      </c>
    </row>
    <row r="1276">
      <c r="A1276" t="inlineStr">
        <is>
          <t>India</t>
        </is>
      </c>
      <c r="B1276" t="inlineStr">
        <is>
          <t>SEBI Master Circular for Alternative Investment Funds (India - Row 25)</t>
        </is>
      </c>
      <c r="C1276" t="inlineStr">
        <is>
          <t>11</t>
        </is>
      </c>
      <c r="D1276" s="11" t="inlineStr">
        <is>
          <t>Investment and distribution clarifications for AIFs</t>
        </is>
      </c>
      <c r="E1276" t="inlineStr">
        <is>
          <t>29–31</t>
        </is>
      </c>
      <c r="F1276" t="inlineStr">
        <is>
          <t>High</t>
        </is>
      </c>
      <c r="G1276" t="inlineStr">
        <is>
          <t>High (explicit)</t>
        </is>
      </c>
      <c r="H1276" s="11" t="inlineStr">
        <is>
          <t>Cross-border Transfer, Data Storage, Financial Data, KYC, AML</t>
        </is>
      </c>
      <c r="I1276" s="11" t="inlineStr">
        <is>
          <t>Financial Data</t>
        </is>
      </c>
      <c r="J1276" t="inlineStr">
        <is>
          <t>SEBI</t>
        </is>
      </c>
      <c r="K1276" s="11" t="inlineStr">
        <is>
          <t>Sponsor/manager loss sharing must be pro rata to their holding in AIF. Continuing interest must be maintained pro rata to funds raised. Real estate/infrastructure investments require at least one project per investee. Prior approval from investors required for investments in associates or other AIFs. Category II AIFs must have more unlisted securities in portfolio. Schemes with priority distribution models cannot accept new commitments until SEBI clarifies.</t>
        </is>
      </c>
      <c r="L1276" s="11" t="inlineStr">
        <is>
          <t>Investment and distribution rules affect data transfer by specifying loss sharing, portfolio composition, and investor approval mechanisms for cross-border financial data flows.</t>
        </is>
      </c>
      <c r="M1276" s="11" t="inlineStr">
        <is>
          <t>• [Must] Sponsor/manager loss sharing must be pro rata to their holding in AIF
• [Must] Continuing interest must be maintained pro rata to funds raised
• [Must] Real estate/infrastructure investments require at least one project per investee
• [Must] Prior approval from investors required for investments in associates or other AIFs
• [Must] Category II AIFs must have more unlisted securities in portfolio
• [Must] Schemes with priority distribution models cannot accept new commitments until SEBI clarifies</t>
        </is>
      </c>
      <c r="N1276" s="11" t="inlineStr">
        <is>
          <t>11.1.1. With respect to investment by the sponsor/manager in the AIF, the sharing of loss by the sponsor/manager shall not be less than pro rata to their holding in the AIF vis-à-vis other unit holders.</t>
        </is>
      </c>
      <c r="O1276" s="12" t="inlineStr">
        <is>
          <t>Open PDF</t>
        </is>
      </c>
    </row>
    <row r="1277">
      <c r="A1277" t="inlineStr">
        <is>
          <t>India</t>
        </is>
      </c>
      <c r="B1277" t="inlineStr">
        <is>
          <t>SEBI Master Circular for Alternative Investment Funds (India - Row 25)</t>
        </is>
      </c>
      <c r="C1277" t="inlineStr">
        <is>
          <t>12</t>
        </is>
      </c>
      <c r="D1277" s="11" t="inlineStr">
        <is>
          <t>Accredited Investors framework for AIFs</t>
        </is>
      </c>
      <c r="E1277" t="inlineStr">
        <is>
          <t>31–34</t>
        </is>
      </c>
      <c r="F1277" t="inlineStr">
        <is>
          <t>High</t>
        </is>
      </c>
      <c r="G1277" t="inlineStr">
        <is>
          <t>High (explicit)</t>
        </is>
      </c>
      <c r="H1277" s="11" t="inlineStr">
        <is>
          <t>Cross-border Transfer, Data Storage, Financial Data, KYC, AML</t>
        </is>
      </c>
      <c r="I1277" s="11" t="inlineStr">
        <is>
          <t>Financial Data</t>
        </is>
      </c>
      <c r="J1277" t="inlineStr">
        <is>
          <t>SEBI</t>
        </is>
      </c>
      <c r="K1277" s="11" t="inlineStr">
        <is>
          <t>Accreditation agencies must verify KYC and financial information for investors. Accredited investors may access lower ticket sizes and regulatory concessions. Accreditation certificates are valid for two or three years depending on financial history. LVF schemes can launch without filing placement memoranda with SEBI through merchant bankers.</t>
        </is>
      </c>
      <c r="L1277" s="11" t="inlineStr">
        <is>
          <t>Accredited Investors framework impacts data transfer by enabling specific investor types to access financial data with reduced regulatory burdens, affecting cross-border data flows.</t>
        </is>
      </c>
      <c r="M1277" s="11" t="inlineStr">
        <is>
          <t>• [Must] Accreditation agencies must verify KYC and financial information for investors
• [May] Accredited investors may access lower ticket sizes and regulatory concessions
• [Must] Accreditation certificates are valid for two or three years depending on financial history
• [Must] LVF schemes can launch without filing placement memoranda with SEBI through merchant bankers</t>
        </is>
      </c>
      <c r="N1277" s="11" t="inlineStr">
        <is>
          <t>12.2. Under the aforesaid framework, AIs may avail flexibility in minimum investment amount or concessions from specific regulatory requirements applicable to investment products, subject to conditions applicable for specific products/services under SEBI (Alternative Investment Funds) Regulations, 2012, SEBI (Portfolio Managers) Regulations, 2.2020 and SEBI (Investment Advisers) Regulations, 2013.</t>
        </is>
      </c>
      <c r="O1277" s="12" t="inlineStr">
        <is>
          <t>Open PDF</t>
        </is>
      </c>
    </row>
    <row r="1278">
      <c r="A1278" t="inlineStr">
        <is>
          <t>India</t>
        </is>
      </c>
      <c r="B1278" t="inlineStr">
        <is>
          <t>SEBI Master Circular for Alternative Investment Funds (India - Row 25)</t>
        </is>
      </c>
      <c r="C1278" t="inlineStr">
        <is>
          <t>13</t>
        </is>
      </c>
      <c r="D1278" s="11" t="inlineStr">
        <is>
          <t>Obligations of AIF managers, sponsors and trustees</t>
        </is>
      </c>
      <c r="E1278" t="inlineStr">
        <is>
          <t>34–37</t>
        </is>
      </c>
      <c r="F1278" t="inlineStr">
        <is>
          <t>High</t>
        </is>
      </c>
      <c r="G1278" t="inlineStr">
        <is>
          <t>High (explicit)</t>
        </is>
      </c>
      <c r="H1278" s="11" t="inlineStr">
        <is>
          <t>Cross-border Transfer, International Processing, Data Storage, Security, Consent, Customer Information, Financial Data, KYC, AML, Governance, Record Keeping</t>
        </is>
      </c>
      <c r="I1278" s="11" t="inlineStr">
        <is>
          <t>Financial Data, Customer Data</t>
        </is>
      </c>
      <c r="J1278" t="inlineStr">
        <is>
          <t>SEBI</t>
        </is>
      </c>
      <c r="K1278" s="11" t="inlineStr">
        <is>
          <t>AIFs must designate a Compliance Officer who is not the CEO or equivalent role, responsible for monitoring compliance with SEBI regulations. Key management personnel include members of the investment team, decision-makers, and persons declared by the AIF through trustee or board. AIFs must disclose key management personnel in PPMs and notify investors of changes. Custodians must be appointed prior to first investment, with specific timelines for Category I and II AIFs with corpus under INR 500 crore. Managers must ensure compliance with Regulation 20(11A) for custodians who are associates of the sponsor or manager. AIFs must submit quarterly reports to SEBI through the intermediary portal and maintain records for compliance.</t>
        </is>
      </c>
      <c r="L1278" s="11" t="inlineStr">
        <is>
          <t>Requires AIFs to designate compliance officers, disclose key personnel, appoint custodians with specific timelines, and submit quarterly reports to SEBI. These obligations impact data transfer and storage by mandating personnel disclosures and custodian appointments for cross-border AIF operations.</t>
        </is>
      </c>
      <c r="M1278" s="11" t="inlineStr">
        <is>
          <t>• [Must] AIFs shall ensure Manager designates Compliance Officer who is not CEO or equivalent role
• [Must] Compliance Officer must monitor compliance with SEBI Act, AIF Regulations and circulars
• [Must] Key management personnel include members of investment team, decision-makers, and persons declared by AIF
• [Must] AIFs must disclose key management personnel in PPMs
• [Must] Changes in key management personnel must be intimated to investors and Board
• [Must] Custodian for AIF must be appointed prior to first investment
• [Must] Category I and II AIFs with corpus ≤ INR 500 crore must appoint custodian by Jan 31, 2025
• [Must] Managers must ensure compliance with Regulation 20(11A) for custodians who are associates of sponsor/manager
• [Must] Information for compliance must be incorporated in quarterly reporting format on SEBI Intermediary Portal</t>
        </is>
      </c>
      <c r="N1278" s="11" t="inlineStr">
        <is>
          <t>Chapter 13 – Obligations of manager, sponsor and trustee of AIFs</t>
        </is>
      </c>
      <c r="O1278" s="12" t="inlineStr">
        <is>
          <t>Open PDF</t>
        </is>
      </c>
    </row>
    <row r="1279">
      <c r="A1279" t="inlineStr">
        <is>
          <t>India</t>
        </is>
      </c>
      <c r="B1279" t="inlineStr">
        <is>
          <t>SEBI Master Circular for Alternative Investment Funds (India - Row 25)</t>
        </is>
      </c>
      <c r="C1279" t="inlineStr">
        <is>
          <t>14</t>
        </is>
      </c>
      <c r="D1279" s="11" t="inlineStr">
        <is>
          <t>Investment committee constitution for AIFs</t>
        </is>
      </c>
      <c r="E1279" t="inlineStr">
        <is>
          <t>37–38</t>
        </is>
      </c>
      <c r="F1279" t="inlineStr">
        <is>
          <t>High</t>
        </is>
      </c>
      <c r="G1279" t="inlineStr">
        <is>
          <t>High (explicit)</t>
        </is>
      </c>
      <c r="H1279" s="11" t="inlineStr">
        <is>
          <t>Cross-border Transfer, International Processing, Data Storage, Security, Consent, Customer Information, Financial Data, KYC, AML, Governance, Record Keeping</t>
        </is>
      </c>
      <c r="I1279" s="11" t="inlineStr">
        <is>
          <t>Financial Data, Customer Data</t>
        </is>
      </c>
      <c r="J1279" t="inlineStr">
        <is>
          <t>SEBI</t>
        </is>
      </c>
      <c r="K1279" s="11" t="inlineStr">
        <is>
          <t>Managers may form Investment Committees to approve AIF decisions with certain conditions. Investors do not need consent for changes in ex-officio external members. SEBI requires clarification on applicability of foreign exchange rules for Investment Committees with non-resident Indian members. Applications with external non-resident Indian members must wait for clarification before processing.</t>
        </is>
      </c>
      <c r="L1279" s="11" t="inlineStr">
        <is>
          <t>Specifies conditions for Investment Committee formation, including requirements for non-resident Indian members, which may impact data transfer and storage across borders for AIFs.</t>
        </is>
      </c>
      <c r="M1279" s="11" t="inlineStr">
        <is>
          <t>• [Must] Manager may constitute Investment Committee to approve AIF decisions
• [Must] Investment Committee must have waiver for compliance with Regulation 20(8)
• [Must] Investor consent not required for changes in ex-officio external members
• [Must] Applications with external non-resident Indian members require SEBI clarification before processing</t>
        </is>
      </c>
      <c r="N1279" s="11" t="inlineStr">
        <is>
          <t>Chapter 14 – Constitution of investment committee</t>
        </is>
      </c>
      <c r="O1279" s="12" t="inlineStr">
        <is>
          <t>Open PDF</t>
        </is>
      </c>
    </row>
    <row r="1280">
      <c r="A1280" t="inlineStr">
        <is>
          <t>India</t>
        </is>
      </c>
      <c r="B1280" t="inlineStr">
        <is>
          <t>SEBI Master Circular for Alternative Investment Funds (India - Row 25)</t>
        </is>
      </c>
      <c r="C1280" t="inlineStr">
        <is>
          <t>15</t>
        </is>
      </c>
      <c r="D1280" s="11" t="inlineStr">
        <is>
          <t>Quarterly reporting and compliance testing for AIFs</t>
        </is>
      </c>
      <c r="E1280" t="inlineStr">
        <is>
          <t>38–40</t>
        </is>
      </c>
      <c r="F1280" t="inlineStr">
        <is>
          <t>High</t>
        </is>
      </c>
      <c r="G1280" t="inlineStr">
        <is>
          <t>High (explicit)</t>
        </is>
      </c>
      <c r="H1280" s="11" t="inlineStr">
        <is>
          <t>Cross-border Transfer, International Processing, Data Storage, Security, Consent, Customer Information, Financial Data, KYC, AML, Governance, Record Keeping</t>
        </is>
      </c>
      <c r="I1280" s="11" t="inlineStr">
        <is>
          <t>Financial Data, Customer Data</t>
        </is>
      </c>
      <c r="J1280" t="inlineStr">
        <is>
          <t>SEBI</t>
        </is>
      </c>
      <c r="K1280" s="11" t="inlineStr">
        <is>
          <t>AIFs must submit quarterly reports to SEBI via the intermediary portal within 15 days of quarter-end. Managers must prepare and submit Compliance Test Reports (CTRs) within 30 days of financial year-end to trustees/sponsors. CTRs must be revised within 15 days if observations are received, and violations must be reported to SEBI immediately.</t>
        </is>
      </c>
      <c r="L1280" s="11" t="inlineStr">
        <is>
          <t>Mandates quarterly reporting and annual compliance testing for AIFs, which impacts data transfer and storage by requiring detailed reporting on investment activities and compliance status.</t>
        </is>
      </c>
      <c r="M1280" s="11" t="inlineStr">
        <is>
          <t>• [Must] AIFs must submit quarterly activity reports to SEBI within 15 days of quarter-end
• [Must] Reports must be submitted online through SEBI Intermediary Portal
• [Must] Manager must prepare Compliance Test Report (CTR) within 30 days of financial year-end
• [Must] CTR must be submitted to trustee/sponsor within 30 days of financial year-end
• [Must] Manager must revise CTR within 15 days of receiving observations/comments
• [Must] Violations must be reported to SEBI immediately by trustee/sponsor</t>
        </is>
      </c>
      <c r="N1280" s="11" t="inlineStr">
        <is>
          <t>Chapter 15 – Reporting by AIFs</t>
        </is>
      </c>
      <c r="O1280" s="12" t="inlineStr">
        <is>
          <t>Open PDF</t>
        </is>
      </c>
    </row>
    <row r="1281">
      <c r="A1281" t="inlineStr">
        <is>
          <t>India</t>
        </is>
      </c>
      <c r="B1281" t="inlineStr">
        <is>
          <t>SEBI Master Circular for Alternative Investment Funds (India - Row 25)</t>
        </is>
      </c>
      <c r="C1281" t="inlineStr">
        <is>
          <t>16</t>
        </is>
      </c>
      <c r="D1281" s="11" t="inlineStr">
        <is>
          <t>Performance benchmarking for AIFs</t>
        </is>
      </c>
      <c r="E1281" t="inlineStr">
        <is>
          <t>40–42</t>
        </is>
      </c>
      <c r="F1281" t="inlineStr">
        <is>
          <t>High</t>
        </is>
      </c>
      <c r="G1281" t="inlineStr">
        <is>
          <t>High (explicit)</t>
        </is>
      </c>
      <c r="H1281" s="11" t="inlineStr">
        <is>
          <t>Cross-border Transfer, International Processing, Data Storage, Security, Consent, Customer Information, Financial Data, KYC, AML, Governance, Record Keeping</t>
        </is>
      </c>
      <c r="I1281" s="11" t="inlineStr">
        <is>
          <t>Financial Data, Customer Data</t>
        </is>
      </c>
      <c r="J1281" t="inlineStr">
        <is>
          <t>SEBI</t>
        </is>
      </c>
      <c r="K1281" s="11" t="inlineStr">
        <is>
          <t>AIFs must participate in industry benchmarking to compare performance against other investments and global opportunities. Associations representing at least 33% of AIFs may select Benchmarking Agencies to collect data on scheme performance. AIFs must report scheme-wise valuation and cash flow data after one year from 'First Close' and provide performance reports to investors.</t>
        </is>
      </c>
      <c r="L1281" s="11" t="inlineStr">
        <is>
          <t>Requires AIFs to benchmark performance, which may impact data transfer and storage by mandating detailed reporting on investment activities and performance metrics.</t>
        </is>
      </c>
      <c r="M1281" s="11" t="inlineStr">
        <is>
          <t>• [Must] Association representing ≥33% of AIFs may notify Benchmarking Agencies
• [Must] Performance versus benchmark reports must be provided to investors</t>
        </is>
      </c>
      <c r="N1281" s="11" t="inlineStr">
        <is>
          <t>Chapter 16 – Performance Benchmarking of AIFs</t>
        </is>
      </c>
      <c r="O1281" s="12" t="inlineStr">
        <is>
          <t>Open PDF</t>
        </is>
      </c>
    </row>
    <row r="1282">
      <c r="A1282" t="inlineStr">
        <is>
          <t>India</t>
        </is>
      </c>
      <c r="B1282" t="inlineStr">
        <is>
          <t>SEBI Master Circular for Alternative Investment Funds (India - Row 25)</t>
        </is>
      </c>
      <c r="C1282" t="inlineStr">
        <is>
          <t>17</t>
        </is>
      </c>
      <c r="D1282" s="11" t="inlineStr">
        <is>
          <t>Investor charter and complaint disclosure for AIFs</t>
        </is>
      </c>
      <c r="E1282" t="inlineStr">
        <is>
          <t>42–43</t>
        </is>
      </c>
      <c r="F1282" t="inlineStr">
        <is>
          <t>High</t>
        </is>
      </c>
      <c r="G1282" t="inlineStr">
        <is>
          <t>High (explicit)</t>
        </is>
      </c>
      <c r="H1282" s="11" t="inlineStr">
        <is>
          <t>Cross-border Transfer, International Processing, Data Storage, Security, Consent, Customer Information, Financial Data, KYC, AML, Governance, Record Keeping</t>
        </is>
      </c>
      <c r="I1282" s="11" t="inlineStr">
        <is>
          <t>Customer Data</t>
        </is>
      </c>
      <c r="J1282" t="inlineStr">
        <is>
          <t>SEBI</t>
        </is>
      </c>
      <c r="K1282" s="11" t="inlineStr">
        <is>
          <t>AIFs must disclose Investor Charter in PPMs, including grievance redressal mechanisms and investor responsibilities. AIFs must also disclose data on investor complaints and redressal status in PPMs and maintain complaint data for 7 days after quarter-end.</t>
        </is>
      </c>
      <c r="L1282" s="11" t="inlineStr">
        <is>
          <t>Requires AIFs to disclose investor complaint data and redressal mechanisms, which impacts data transfer and storage by mandating detailed reporting on investor interactions.</t>
        </is>
      </c>
      <c r="M1282" s="11" t="inlineStr">
        <is>
          <t>• [Must] AIFs must disclose Investor Charter in PPMs
• [Must] AIFs must disclose investor complaint data and redressal status in PPMs
• [Must] AIFs must maintain complaint data for 7 days after quarter-end</t>
        </is>
      </c>
      <c r="N1282" s="11" t="inlineStr">
        <is>
          <t>Chapter 17 – Investor Charter and Disclosure of complaints by AIFs</t>
        </is>
      </c>
      <c r="O1282" s="12" t="inlineStr">
        <is>
          <t>Open PDF</t>
        </is>
      </c>
    </row>
    <row r="1283">
      <c r="A1283" t="inlineStr">
        <is>
          <t>India</t>
        </is>
      </c>
      <c r="B1283" t="inlineStr">
        <is>
          <t>SEBI Master Circular for Alternative Investment Funds (India - Row 25)</t>
        </is>
      </c>
      <c r="C1283" t="inlineStr">
        <is>
          <t>18</t>
        </is>
      </c>
      <c r="D1283" s="11" t="inlineStr">
        <is>
          <t>Stamp duty collection for AIF units</t>
        </is>
      </c>
      <c r="E1283" t="inlineStr">
        <is>
          <t>43–44</t>
        </is>
      </c>
      <c r="F1283" t="inlineStr">
        <is>
          <t>High</t>
        </is>
      </c>
      <c r="G1283" t="inlineStr">
        <is>
          <t>High (explicit)</t>
        </is>
      </c>
      <c r="H1283" s="11" t="inlineStr">
        <is>
          <t>Cross-border Transfer, International Processing, Data Storage, Security, Consent, Customer Information, Financial Data, KYC, AML, Governance, Record Keeping</t>
        </is>
      </c>
      <c r="I1283" s="11" t="inlineStr">
        <is>
          <t>Financial Data</t>
        </is>
      </c>
      <c r="J1283" t="inlineStr">
        <is>
          <t>SEBI</t>
        </is>
      </c>
      <c r="K1283" s="11" t="inlineStr">
        <is>
          <t>AIFs must collect stamp duty on issue, transfer and sale of units through RTAs as per Indian Stamp Act, 1899. RTAs appointed by AIFs are responsible for collecting stamp duty in demat mode transactions through stock exchanges or depositories.</t>
        </is>
      </c>
      <c r="L1283" s="11" t="inlineStr">
        <is>
          <t>Requires AIFs to collect stamp duty on unit transactions, which impacts data transfer and storage by mandating specific collection mechanisms for financial transactions.</t>
        </is>
      </c>
      <c r="M1283" s="11" t="inlineStr">
        <is>
          <t>• [Must] AIFs must collect stamp duty on issue, transfer and sale of units through RTAs</t>
        </is>
      </c>
      <c r="N1283" s="11" t="inlineStr">
        <is>
          <t>Chapter 18 – Collection of stamp duty on issue, transfer and sale of units of AIFs</t>
        </is>
      </c>
      <c r="O1283" s="12" t="inlineStr">
        <is>
          <t>Open PDF</t>
        </is>
      </c>
    </row>
    <row r="1284">
      <c r="A1284" t="inlineStr">
        <is>
          <t>India</t>
        </is>
      </c>
      <c r="B1284" t="inlineStr">
        <is>
          <t>SEBI Master Circular for Alternative Investment Funds (India - Row 25)</t>
        </is>
      </c>
      <c r="C1284" t="inlineStr">
        <is>
          <t>19</t>
        </is>
      </c>
      <c r="D1284" s="11" t="inlineStr">
        <is>
          <t>Fee for changes in AIF manager or sponsor control</t>
        </is>
      </c>
      <c r="E1284" t="inlineStr">
        <is>
          <t>44–46</t>
        </is>
      </c>
      <c r="F1284" t="inlineStr">
        <is>
          <t>High</t>
        </is>
      </c>
      <c r="G1284" t="inlineStr">
        <is>
          <t>High (explicit)</t>
        </is>
      </c>
      <c r="H1284" s="11" t="inlineStr">
        <is>
          <t>Cross-border Transfer, Financial Data, KYC</t>
        </is>
      </c>
      <c r="I1284" s="11" t="inlineStr">
        <is>
          <t>Financial Data</t>
        </is>
      </c>
      <c r="J1284" t="inlineStr">
        <is>
          <t>SEBI</t>
        </is>
      </c>
      <c r="K1284" s="11" t="inlineStr">
        <is>
          <t>This section mandates that AIFs obtain prior SEBI approval for changes in manager or sponsor control, subject to fees. The fee equals the registration fee for the relevant AIF category. The fee must be paid within 15 days of the change and cannot be passed to investors. Simultaneous changes in manager and sponsor control incur a single registration fee. Specific exemptions apply for certain scenarios like manager acquiring control or sponsor exits in multi-sponsor schemes. The approval is valid for six months from SEBI communication.</t>
        </is>
      </c>
      <c r="L1284" s="11" t="inlineStr">
        <is>
          <t>This section imposes specific fee structures and timelines for changes in AIF manager/sponsor control, requiring SEBI approval and fee payment within 15 days. It affects cross-border data transfers if AIFs operate internationally, as fee structures and approval processes may impact data handling across borders.</t>
        </is>
      </c>
      <c r="M1284" s="11" t="inlineStr">
        <is>
          <t>• [Must] AIF must obtain prior SEBI approval for changes in manager or sponsor control
• [Must] Fee equivalent to registration fee for relevant AIF category must be levied
• [Must] Fee must be paid within 15 days of proposed change
• [Must Not] Fee cannot be passed to AIF investors
• [Must] Single registration fee applies for simultaneous changes in manager and sponsor control
• [Must Not] Fee exemption applies when manager acquires control or replaces sponsor in multi-sponsor schemes
• [Must] SEBI approval valid for 6 months from communication date
• [Must] Changes must comply with provisions in sections 2.5.4 and 2.5.5</t>
        </is>
      </c>
      <c r="N1284" s="11" t="inlineStr">
        <is>
          <t>In terms of Regulation 20(13) of AIF Regulations, in case of change of Sponsor or Manager, or change in control of the AIF, Sponsor or Manager, prior approval from the Board shall be taken by the AIF, subject to levy of fees and any other conditions as may be specified by SEBI from time to time.</t>
        </is>
      </c>
      <c r="O1284" s="12" t="inlineStr">
        <is>
          <t>Open PDF</t>
        </is>
      </c>
    </row>
    <row r="1285">
      <c r="A1285" t="inlineStr">
        <is>
          <t>India</t>
        </is>
      </c>
      <c r="B1285" t="inlineStr">
        <is>
          <t>SEBI Master Circular for Alternative Investment Funds (India - Row 25)</t>
        </is>
      </c>
      <c r="C1285" t="inlineStr">
        <is>
          <t>20</t>
        </is>
      </c>
      <c r="D1285" s="11" t="inlineStr">
        <is>
          <t>Dematerialisation of AIF units and credit to demat accounts</t>
        </is>
      </c>
      <c r="E1285" t="inlineStr">
        <is>
          <t>46–50</t>
        </is>
      </c>
      <c r="F1285" t="inlineStr">
        <is>
          <t>High</t>
        </is>
      </c>
      <c r="G1285" t="inlineStr">
        <is>
          <t>High (explicit)</t>
        </is>
      </c>
      <c r="H1285" s="11" t="inlineStr">
        <is>
          <t>Data Storage, Financial Data, KYC</t>
        </is>
      </c>
      <c r="I1285" s="11" t="inlineStr">
        <is>
          <t>Financial Data</t>
        </is>
      </c>
      <c r="J1285" t="inlineStr">
        <is>
          <t>SEBI</t>
        </is>
      </c>
      <c r="K1285" s="11" t="inlineStr">
        <is>
          <t>This section specifies timelines for dematerialising AIF units, requiring units to be issued in dematerialised form by specific dates. It establishes an 'Aggregate Escrow Demat Account' for investors who haven't provided demat details, with rules for transferring units to investors' accounts within 5 working days. Managers must report compliance to SEBI via the Intermediary Portal. The process ensures units are held in dematerialised form for investors with demat accounts, while temporarily holding units in escrow for those without.</t>
        </is>
      </c>
      <c r="L1285" s="11" t="inlineStr">
        <is>
          <t>This section mandates dematerialisation of AIF units and establishes an escrow account for investors without demat details, impacting data storage and transfer mechanisms. It requires specific timelines for credit to demat accounts and reporting to SEBI, affecting data handling across borders.</t>
        </is>
      </c>
      <c r="M1285" s="11" t="inlineStr">
        <is>
          <t>• [Must] Schemes with corpus ≥ INR 500 crore must dematerialise all units by October 31, 2023
• [Must] Schemes with corpus &lt; INR 500 crore must dematerialise all units by April 30, 2024
• [Must] Units issued after November 1, 2023 must be in dematerialised form
• [Must] Units issued after April 30, 2024 must be in dematerialised form
• [Must] Investors without demat details must be placed in Aggregate Escrow Demat Account
• [Must] Units in Aggregate Escrow Demat Account must be transferred to investors' accounts within 5 working days
• [Must] Manager must submit compliance reports to SEBI via Intermediary Portal
• [Must] Schemes must credit units to Aggregate Escrow Demat Account by January 31, 2024
• [Must] Schemes must credit units to Aggregate Escrow Demat Account by May 10, 2024</t>
        </is>
      </c>
      <c r="N1285" s="11" t="inlineStr">
        <is>
          <t>All schemes of AIFs shall dematerialise their units in the following time frame: Schemes of AIFs with corpus ≥ INR 500 Crore - dematerialise all units by October 31, 2023.</t>
        </is>
      </c>
      <c r="O1285" s="12" t="inlineStr">
        <is>
          <t>Open PDF</t>
        </is>
      </c>
    </row>
    <row r="1286">
      <c r="A1286" t="inlineStr">
        <is>
          <t>India</t>
        </is>
      </c>
      <c r="B1286" t="inlineStr">
        <is>
          <t>SEBI Master Circular for Alternative Investment Funds (India - Row 25)</t>
        </is>
      </c>
      <c r="C1286" t="inlineStr">
        <is>
          <t>21</t>
        </is>
      </c>
      <c r="D1286" s="11" t="inlineStr">
        <is>
          <t>Dematerialised form for AIF investments</t>
        </is>
      </c>
      <c r="E1286" t="inlineStr">
        <is>
          <t>50–51</t>
        </is>
      </c>
      <c r="F1286" t="inlineStr">
        <is>
          <t>High</t>
        </is>
      </c>
      <c r="G1286" t="inlineStr">
        <is>
          <t>High (explicit)</t>
        </is>
      </c>
      <c r="H1286" s="11" t="inlineStr">
        <is>
          <t>Data Storage, Financial Data, KYC</t>
        </is>
      </c>
      <c r="I1286" s="11" t="inlineStr">
        <is>
          <t>Financial Data</t>
        </is>
      </c>
      <c r="J1286" t="inlineStr">
        <is>
          <t>SEBI</t>
        </is>
      </c>
      <c r="K1286" s="11" t="inlineStr">
        <is>
          <t>This section requires AIFs to hold investments in dematerialised form starting October 1, 2024, with exemptions for certain investments. Investments made before this date must be converted to dematerialised form by January 31, 2025, unless exempted under specific conditions. The requirement does not apply to schemes with tenure ending by January 31, 2025, or schemes in extended tenure as of January 12, 2024.</t>
        </is>
      </c>
      <c r="L1286" s="11" t="inlineStr">
        <is>
          <t>This section mandates dematerialised form for AIF investments with specific timelines and exemptions, affecting data storage and transfer mechanisms. It requires conversion of pre-October 2024 investments to dematerialised form by January 31, 2025, with exemptions for certain schemes.</t>
        </is>
      </c>
      <c r="M1286" s="11" t="inlineStr">
        <is>
          <t>• [Must] All investments made by AIF on or after October 1, 2024 must be held in dematerialised form
• [Must] Investments made before October 1, 2024 must be converted to dematerialised form by January 31, 2025
• [Must Not] Exemptions apply for investments where investee company mandates dematerialisation
• [Must Not] Exemptions apply for AIFs exercising control over investee companies
• [Must Not] Schemes with tenure ending by January 31, 2025 are exempt
• [Must Not] Schemes in extended tenure as of January 12, 2024 are exempt</t>
        </is>
      </c>
      <c r="N1286" s="11" t="inlineStr">
        <is>
          <t>Any investment made by an AIF on or after October 01, 2024 shall be held in dematerialised form only, irrespective of whether the investment is made directly in the investee company or is acquired from another entity.</t>
        </is>
      </c>
      <c r="O1286" s="12" t="inlineStr">
        <is>
          <t>Open PDF</t>
        </is>
      </c>
    </row>
    <row r="1287">
      <c r="A1287" t="inlineStr">
        <is>
          <t>India</t>
        </is>
      </c>
      <c r="B1287" t="inlineStr">
        <is>
          <t>SEBI Master Circular for Alternative Investment Funds (India - Row 25)</t>
        </is>
      </c>
      <c r="C1287" t="inlineStr">
        <is>
          <t>22</t>
        </is>
      </c>
      <c r="D1287" s="11" t="inlineStr">
        <is>
          <t>Valuation of AIF investments</t>
        </is>
      </c>
      <c r="E1287" t="inlineStr">
        <is>
          <t>51–54</t>
        </is>
      </c>
      <c r="F1287" t="inlineStr">
        <is>
          <t>High</t>
        </is>
      </c>
      <c r="G1287" t="inlineStr">
        <is>
          <t>High (explicit)</t>
        </is>
      </c>
      <c r="H1287" s="11" t="inlineStr">
        <is>
          <t>Data Storage, Financial Data, KYC</t>
        </is>
      </c>
      <c r="I1287" s="11" t="inlineStr">
        <is>
          <t>Financial Data</t>
        </is>
      </c>
      <c r="J1287" t="inlineStr">
        <is>
          <t>SEBI</t>
        </is>
      </c>
      <c r="K1287" s="11" t="inlineStr">
        <is>
          <t>This section outlines valuation methodologies for AIF investments, requiring managers to follow SEBI-approved valuation norms. It mandates disclosure of valuation methodologies in PPM, ensures independent valuers meet specific criteria, and requires reporting of valuation changes to investors and SEBI. Managers must disclose significant deviations in valuation (20% between consecutive valuations or 33% in a financial year) and any changes in valuation methodologies.</t>
        </is>
      </c>
      <c r="L1287" s="11" t="inlineStr">
        <is>
          <t>This section specifies valuation methodologies for AIF investments, requiring disclosure of valuation changes and independent valuer criteria. It impacts data storage and transfer mechanisms by mandating specific valuation processes and reporting requirements.</t>
        </is>
      </c>
      <c r="M1287" s="11" t="inlineStr">
        <is>
          <t>• [Must] Valuation of securities with prescribed norms must follow SEBI (Mutual Funds) Regulations
• [Must] Valuation of other securities must follow industry association guidelines endorsed by SEBI
• [Must] Manager must disclose valuation methodology in PPM for each asset class
• [Must] Independent valuer must not be an associate of manager or sponsor
• [Must] Independent valuer must have at least three years of experience in unlisted securities valuation
• [Must] Manager must inform investors of valuation deviations exceeding 20% between consecutive valuations
• [Must] Manager must inform investors of valuation deviations exceeding 33% in a financial year
• [Must] Manager must report changes in valuation methodology to SEBI and investors</t>
        </is>
      </c>
      <c r="N1287" s="11" t="inlineStr">
        <is>
          <t>In terms of Regulation 23(1), AIFs are inter-alia required to carry out valuation of their investments in the manner specified by SEBI from time to time.</t>
        </is>
      </c>
      <c r="O1287" s="12" t="inlineStr">
        <is>
          <t>Open PDF</t>
        </is>
      </c>
    </row>
    <row r="1288">
      <c r="A1288" t="inlineStr">
        <is>
          <t>India</t>
        </is>
      </c>
      <c r="B1288" t="inlineStr">
        <is>
          <t>SEBI Master Circular for Alternative Investment Funds (India - Row 25)</t>
        </is>
      </c>
      <c r="C1288" t="inlineStr">
        <is>
          <t>23</t>
        </is>
      </c>
      <c r="D1288" s="11" t="inlineStr">
        <is>
          <t>Liquidation and in-specie distribution of unliquidated investments in AIFs</t>
        </is>
      </c>
      <c r="E1288" t="inlineStr">
        <is>
          <t>54–59</t>
        </is>
      </c>
      <c r="F1288" t="inlineStr">
        <is>
          <t>High</t>
        </is>
      </c>
      <c r="G1288" t="inlineStr">
        <is>
          <t>High (explicit)</t>
        </is>
      </c>
      <c r="H1288" s="11" t="inlineStr">
        <is>
          <t>Cross-border Transfer, Data Storage, Data Sharing, Financial Data</t>
        </is>
      </c>
      <c r="I1288" s="11" t="inlineStr">
        <is>
          <t>Financial Data</t>
        </is>
      </c>
      <c r="J1288" t="inlineStr">
        <is>
          <t>SEBI</t>
        </is>
      </c>
      <c r="K1288" s="11" t="inlineStr">
        <is>
          <t>During an AIF's liquidation period, the AIF must obtain 75% investor consent by value to launch a liquidation scheme or distribute unliquidated investments in-specie. The scheme must name 'Liquidation Scheme', arrange bids for at least 25% of unliquidated investments, disclose bid valuations to investors, and provide exit options to dissenting investors. If the bid fails, unliquidated investments are valued at one rupee. The AIF must distribute units to investors in-specie and report to Performance Benchmarking Agencies.</t>
        </is>
      </c>
      <c r="L1288" s="11" t="inlineStr">
        <is>
          <t>Requires specific consent thresholds, bid mechanisms, and valuation rules for cross-border data transfers during AIF liquidation, impacting data transfer safeguards and financial reporting.</t>
        </is>
      </c>
      <c r="M1288" s="11" t="inlineStr">
        <is>
          <t>• [Must] AIF must obtain consent of 75% of investors by value for liquidation scheme or in-specie distribution
• [Must] Liquidation scheme must contain 'Liquidation Scheme' in its name
• [Must] AIF must arrange bid for minimum 25% of unliquidated investments value
• [Must] AIF must disclose bid value and valuation by two independent valuers to investors
• [Must] Dissenting investors must be offered exit option from 25% bid
• [Must] Unsubscribed bid portion must provide pro-rata exit to non-dissenting investors
• [Must Not] Bidder or related parties cannot exit from Original Scheme
• [Must] Unliquidated investments valued at one rupee if bid fails to secure 25%
• [Must] AIF must distribute Liquidation Scheme units in-specie to investors
• [Must] Liquidation Scheme must be launched before Original Scheme expiry
• [Must] Value of sale must be reported to Performance Benchmarking Agencies</t>
        </is>
      </c>
      <c r="N1288" s="11" t="inlineStr">
        <is>
          <t>23.1.1. During the Liquidation Period of a scheme of an AIF (‘Original Scheme'), if the AIF decides to launch Liquidation Scheme, the AIF shall obtain consent of 75% of investors by value of their investment in the Original Scheme.</t>
        </is>
      </c>
      <c r="O1288" s="12" t="inlineStr">
        <is>
          <t>Open PDF</t>
        </is>
      </c>
    </row>
    <row r="1289">
      <c r="A1289" t="inlineStr">
        <is>
          <t>India</t>
        </is>
      </c>
      <c r="B1289" t="inlineStr">
        <is>
          <t>SEBI Master Circular for Alternative Investment Funds (India - Row 25)</t>
        </is>
      </c>
      <c r="C1289" t="inlineStr">
        <is>
          <t>24</t>
        </is>
      </c>
      <c r="D1289" s="11" t="inlineStr">
        <is>
          <t>Excusing or excluding investors from AIF investments</t>
        </is>
      </c>
      <c r="E1289" t="inlineStr">
        <is>
          <t>59–60</t>
        </is>
      </c>
      <c r="F1289" t="inlineStr">
        <is>
          <t>Medium</t>
        </is>
      </c>
      <c r="G1289" t="inlineStr">
        <is>
          <t>High (explicit)</t>
        </is>
      </c>
      <c r="H1289" s="11" t="inlineStr">
        <is>
          <t>Financial Data</t>
        </is>
      </c>
      <c r="I1289" s="11" t="inlineStr">
        <is>
          <t>Financial Data</t>
        </is>
      </c>
      <c r="J1289" t="inlineStr">
        <is>
          <t>SEBI</t>
        </is>
      </c>
      <c r="K1289" s="11" t="inlineStr">
        <is>
          <t>An AIF may excuse an investor from participating in an investment if the investor confirms participation would violate law or internal policy. The AIF may exclude an investor if participation would violate law or cause material adverse effect. The manager must record rationale and supporting documents for exclusions. Investors in other AIFs may be partially excused or excluded based on their underlying investors' status.</t>
        </is>
      </c>
      <c r="L1289" s="11" t="inlineStr">
        <is>
          <t>Provides mechanisms for investor exclusion based on legal compliance, relevant for data transfer impact assessments involving investor data.</t>
        </is>
      </c>
      <c r="M1289" s="11" t="inlineStr">
        <is>
          <t>• [May] AIF may excuse investor if participation violates applicable law
• [May] AIF may excuse investor if participation violates investor's internal policy
• [Must] Manager must ensure agreement with investor includes reporting policy changes within 15 days
• [May] AIF may exclude investor if participation would violate law or cause material adverse effect
• [Must] Manager must record rationale and supporting documents for exclusions</t>
        </is>
      </c>
      <c r="N1289" s="11" t="inlineStr">
        <is>
          <t>24.1.1. If the investor, based on the opinion of a legal professional/legal advisor, confirms that its participation in the investment opportunity would be in violation of an applicable law or regulation</t>
        </is>
      </c>
      <c r="O1289" s="12" t="inlineStr">
        <is>
          <t>Open PDF</t>
        </is>
      </c>
    </row>
    <row r="1290">
      <c r="A1290" t="inlineStr">
        <is>
          <t>India</t>
        </is>
      </c>
      <c r="B1290" t="inlineStr">
        <is>
          <t>SEBI Master Circular for Alternative Investment Funds (India - Row 25)</t>
        </is>
      </c>
      <c r="C1290" t="inlineStr">
        <is>
          <t>25</t>
        </is>
      </c>
      <c r="D1290" s="11" t="inlineStr">
        <is>
          <t>Direct plans and distribution fee models for AIFs</t>
        </is>
      </c>
      <c r="E1290" t="inlineStr">
        <is>
          <t>60–69</t>
        </is>
      </c>
      <c r="F1290" t="inlineStr">
        <is>
          <t>High</t>
        </is>
      </c>
      <c r="G1290" t="inlineStr">
        <is>
          <t>High (explicit)</t>
        </is>
      </c>
      <c r="H1290" s="11" t="inlineStr">
        <is>
          <t>Financial Data, Data Sharing</t>
        </is>
      </c>
      <c r="I1290" s="11" t="inlineStr">
        <is>
          <t>Financial Data</t>
        </is>
      </c>
      <c r="J1290" t="inlineStr">
        <is>
          <t>SEBI</t>
        </is>
      </c>
      <c r="K1290" s="11" t="inlineStr">
        <is>
          <t>AIFs must offer a Direct Plan without distribution fees. Investors approached through intermediaries must be onboarded via Direct Plan. AIFs must disclose distribution fees at onboarding. Category III AIFs charge fees only on equal trail basis with no upfront fees, while Category I and II AIFs may pay up to one-third of fees upfront to distributors.</t>
        </is>
      </c>
      <c r="L1290" s="11" t="inlineStr">
        <is>
          <t>Requires transparent fee structures and direct investment options, impacting data transfer costs and financial reporting for AIFs.</t>
        </is>
      </c>
      <c r="M1290" s="11" t="inlineStr">
        <is>
          <t>• [Must] Schemes must offer Direct Plan without distribution fees
• [Must] Investors through intermediaries must be onboarded via Direct Plan
• [Must] AIFs must disclose distribution fees at onboarding
• [Must] Category III AIFs charge fees only on equal trail basis with no upfront fees
• [May] Category I and II AIFs may pay up to one-third of fees upfront to distributors</t>
        </is>
      </c>
      <c r="N1290" s="11" t="inlineStr">
        <is>
          <t>25.1.1. Schemes of AIFs shall have an option of 'Direct Plan' for investors. Such Direct Plan shall not entail any distribution fee/placement fee.</t>
        </is>
      </c>
      <c r="O1290" s="12" t="inlineStr">
        <is>
          <t>Open PDF</t>
        </is>
      </c>
    </row>
    <row r="1291">
      <c r="A1291" t="inlineStr">
        <is>
          <t>India</t>
        </is>
      </c>
      <c r="B1291" t="inlineStr">
        <is>
          <t>SEBI Master Circular for Alternative Investment Funds (India - Row 25)</t>
        </is>
      </c>
      <c r="C1291" t="inlineStr">
        <is>
          <t>25 (part 2)</t>
        </is>
      </c>
      <c r="D1291" s="11" t="inlineStr">
        <is>
          <t>Disclosure requirements for AIF investment terms and timelines</t>
        </is>
      </c>
      <c r="E1291" t="inlineStr">
        <is>
          <t>69–75</t>
        </is>
      </c>
      <c r="F1291" t="inlineStr">
        <is>
          <t>High</t>
        </is>
      </c>
      <c r="G1291" t="inlineStr">
        <is>
          <t>High (explicit)</t>
        </is>
      </c>
      <c r="H1291" s="11" t="inlineStr">
        <is>
          <t>Cross-border Transfer,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t>
        </is>
      </c>
      <c r="I1291" s="11" t="inlineStr">
        <is>
          <t>Financial Data, Customer Data</t>
        </is>
      </c>
      <c r="J1291" t="inlineStr">
        <is>
          <t>SEBI</t>
        </is>
      </c>
      <c r="K1291" s="11" t="inlineStr">
        <is>
          <t>This section mandates disclosure of specific investment terms, timelines for warehousing and transferring investments, and mechanisms for handling defaults. It requires AIFs to disclose differential rights, impact on other investors, investment timelines, default procedures, in-specie distribution instances, co-investment compliance, and conflict management policies. These disclosures apply to Alternative Investment Funds (AIFs) seeking to provide investment opportunities to investors.</t>
        </is>
      </c>
      <c r="L1291" s="11" t="inlineStr">
        <is>
          <t>This section imposes disclosure obligations on AIFs regarding investment terms and timelines, which are critical for assessing the transparency and risk management of cross-border investments. It ensures investors understand the structure and potential impacts of AIF investments before committing capital.</t>
        </is>
      </c>
      <c r="M1291" s="11" t="inlineStr">
        <is>
          <t>• [Must] Disclose list of commercial and non-commercial terms for differential rights through side letter arrangements or additional units
• [Must] Disclose whether differential rights affect economic or other rights of other investors
• [Must] Disclose timelines for warehousing and transferring investments
• [Must] Disclose timelines for intimation of warehoused investments to investors
• [Must] Disclose mechanisms for handling defaulting investors who fail to meet drawdown timelines
• [Must] Disclose specific instances where in-specie distribution may occur
• [Must] Disclose compliance with AIF Regulations and PMS Regulations for co-investments
• [Must] Establish written down conflict management policy with specified timeline</t>
        </is>
      </c>
      <c r="N1291" s="11" t="inlineStr">
        <is>
          <t>Whether the list of commercial and non-commercial terms, on which differential rights may be offered through side letter arrangement or issuance of additional class of units, is disclosed</t>
        </is>
      </c>
      <c r="O1291" s="12" t="inlineStr">
        <is>
          <t>Open PDF</t>
        </is>
      </c>
    </row>
    <row r="1292">
      <c r="A1292" t="inlineStr">
        <is>
          <t>India</t>
        </is>
      </c>
      <c r="B1292" t="inlineStr">
        <is>
          <t>SEBI Master Circular for Alternative Investment Funds (India - Row 25)</t>
        </is>
      </c>
      <c r="C1292" t="inlineStr">
        <is>
          <t>25 (part 3)</t>
        </is>
      </c>
      <c r="D1292" s="11" t="inlineStr">
        <is>
          <t>Overseas investment eligibility and regulatory compliance requirements</t>
        </is>
      </c>
      <c r="E1292" t="inlineStr">
        <is>
          <t>75–80</t>
        </is>
      </c>
      <c r="F1292" t="inlineStr">
        <is>
          <t>High</t>
        </is>
      </c>
      <c r="G1292" t="inlineStr">
        <is>
          <t>High (explicit)</t>
        </is>
      </c>
      <c r="H1292" s="11" t="inlineStr">
        <is>
          <t>Cross-border Transfer,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t>
        </is>
      </c>
      <c r="I1292" s="11" t="inlineStr">
        <is>
          <t>Financial Data, Customer Data</t>
        </is>
      </c>
      <c r="J1292" t="inlineStr">
        <is>
          <t>SEBI</t>
        </is>
      </c>
      <c r="K1292" s="11" t="inlineStr">
        <is>
          <t>This section specifies eligibility criteria for overseas investments by AIFs, including requirements for offshore venture capital undertakings, compliance with FATF standards, prohibition on joint ventures, adherence to FEMA regulations, and conditions for selling stakes in overseas investments. These requirements apply to AIFs conducting overseas investments and must be met to ensure regulatory compliance and mitigate financial risks.</t>
        </is>
      </c>
      <c r="L1292" s="11" t="inlineStr">
        <is>
          <t>This section defines critical eligibility criteria for overseas investments, including FATF compliance, prohibition on joint ventures, and adherence to FEMA regulations, which are essential for assessing the risks and regulatory alignment of cross-border investments.</t>
        </is>
      </c>
      <c r="M1292" s="11" t="inlineStr">
        <is>
          <t>• [Must] Manager must exercise due diligence on investment decisions
• [Must] Investment must be in equity or equity-linked instruments
• [Must] Overseas investee company must be an offshore venture capital undertaking
• [Must] Overseas investee company must be in a country with securities market regulator signatory to MOU with SEBI
• [Must] Overseas investee company must not be in a FATF-listed jurisdiction with money laundering deficiencies
• [Must] AIF shall not invest in joint ventures or wholly owned subsidiaries while making overseas investments
• [Must] AIF must adhere to FEMA, 1999 and its regulations
• [Must] AIF must comply with RBI guidelines for overseas investments by NBFCs
• [Must] Entity receiving transferred stake must be eligible for overseas investments per FEMA guidelines</t>
        </is>
      </c>
      <c r="N1292" s="11" t="inlineStr">
        <is>
          <t>The manager has exercised due diligence with respect to the investment decision.</t>
        </is>
      </c>
      <c r="O1292" s="12" t="inlineStr">
        <is>
          <t>Open PDF</t>
        </is>
      </c>
    </row>
    <row r="1293">
      <c r="A1293" t="inlineStr">
        <is>
          <t>India</t>
        </is>
      </c>
      <c r="B1293" t="inlineStr">
        <is>
          <t>SEBI Master Circular for Alternative Investment Funds (India - Row 25)</t>
        </is>
      </c>
      <c r="C1293" t="inlineStr">
        <is>
          <t>25 (part 4)</t>
        </is>
      </c>
      <c r="D1293" s="11" t="inlineStr">
        <is>
          <t>Investor consent withdrawal and grandfathering for alternative investment funds</t>
        </is>
      </c>
      <c r="E1293" t="inlineStr">
        <is>
          <t>80–87</t>
        </is>
      </c>
      <c r="F1293" t="inlineStr">
        <is>
          <t>High</t>
        </is>
      </c>
      <c r="G1293" t="inlineStr">
        <is>
          <t>High (explicit)</t>
        </is>
      </c>
      <c r="H1293" s="11" t="inlineStr">
        <is>
          <t>Cross-border Transfer, Consent</t>
        </is>
      </c>
      <c r="I1293" s="11" t="inlineStr">
        <is>
          <t>Financial Data, Customer Data</t>
        </is>
      </c>
      <c r="J1293" t="inlineStr">
        <is>
          <t>SEBI</t>
        </is>
      </c>
      <c r="K1293" s="11" t="inlineStr">
        <is>
          <t>Investors who withdraw consent after benefiting from lower ticket size must increase investment to the minimum amount stipulated by regulatory frameworks within the client agreement timeframe. Withdrawn consent before client agreement expiry grandfathering existing investments while new transactions follow standard investor regulations. Investors in pooled products with regulatory concessions cannot withdraw consent. Client agreements must specify withdrawal modalities and consequences.</t>
        </is>
      </c>
      <c r="L1293" s="11" t="inlineStr">
        <is>
          <t>Requires specific conditions for investor consent withdrawal affecting data transfer mechanisms in alternative investment funds, including grandfathering provisions for existing investments and regulatory compliance for new transactions.</t>
        </is>
      </c>
      <c r="M1293" s="11" t="inlineStr">
        <is>
          <t>• [Must] Investor withdrawing consent after lower ticket size benefit must increase investment to minimum regulatory amount within client agreement timeframe
• [Must] Investor withdrawing consent before client agreement expiry grandfathering existing investments
• [Must] Investor withdrawing consent before client agreement expiry must follow standard investor regulatory framework for new transactions
• [Must Not] Investors in pooled products with regulatory concessions cannot withdraw consent
• [Must] Client agreements must specify withdrawal modalities and consequences</t>
        </is>
      </c>
      <c r="N1293" s="11" t="inlineStr">
        <is>
          <t>An investor who withdraws ‘Consent' after availing the benefit of lower ticket size shall be required to increase the investment to the minimum amount that is stipulated under the applicable regulatory framework for the particular investment product, within the timeframe specified in the client agreement.</t>
        </is>
      </c>
      <c r="O1293" s="12" t="inlineStr">
        <is>
          <t>Open PDF</t>
        </is>
      </c>
    </row>
    <row r="1294">
      <c r="A1294" t="inlineStr">
        <is>
          <t>India</t>
        </is>
      </c>
      <c r="B1294" t="inlineStr">
        <is>
          <t>SEBI Master Circular for Alternative Investment Funds (India - Row 25)</t>
        </is>
      </c>
      <c r="C1294" t="inlineStr">
        <is>
          <t>25 (part 5)</t>
        </is>
      </c>
      <c r="D1294" s="11" t="inlineStr">
        <is>
          <t>expenses and curb mis-selling, following is specified: (cont.)</t>
        </is>
      </c>
      <c r="E1294" t="inlineStr">
        <is>
          <t>87–95</t>
        </is>
      </c>
      <c r="F1294" t="inlineStr">
        <is>
          <t>Unknown</t>
        </is>
      </c>
      <c r="G1294" t="inlineStr">
        <is>
          <t>Low</t>
        </is>
      </c>
      <c r="H1294" s="11" t="inlineStr"/>
      <c r="I1294" s="11" t="inlineStr"/>
      <c r="J1294" t="inlineStr"/>
      <c r="K1294" s="11" t="inlineStr"/>
      <c r="L1294" s="11" t="inlineStr"/>
      <c r="M1294" s="11" t="inlineStr"/>
      <c r="N1294" s="11" t="inlineStr"/>
      <c r="O1294" s="12" t="inlineStr">
        <is>
          <t>Open PDF</t>
        </is>
      </c>
    </row>
    <row r="1295">
      <c r="A1295" t="inlineStr">
        <is>
          <t>India</t>
        </is>
      </c>
      <c r="B1295" t="inlineStr">
        <is>
          <t>SEBI Master Circular for Alternative Investment Funds (India - Row 25)</t>
        </is>
      </c>
      <c r="C1295" t="inlineStr">
        <is>
          <t>25 (part 6)</t>
        </is>
      </c>
      <c r="D1295" s="11" t="inlineStr">
        <is>
          <t>Compliance with SEBI regulations for AIFs</t>
        </is>
      </c>
      <c r="E1295" t="inlineStr">
        <is>
          <t>95–103</t>
        </is>
      </c>
      <c r="F1295" t="inlineStr">
        <is>
          <t>High</t>
        </is>
      </c>
      <c r="G1295" t="inlineStr">
        <is>
          <t>High (explicit)</t>
        </is>
      </c>
      <c r="H1295" s="11" t="inlineStr"/>
      <c r="I1295" s="11" t="inlineStr">
        <is>
          <t>Financial Data, Customer Data</t>
        </is>
      </c>
      <c r="J1295" t="inlineStr">
        <is>
          <t>SEBI</t>
        </is>
      </c>
      <c r="K1295" s="11" t="inlineStr">
        <is>
          <t>This section mandates that AIFs comply with SEBI regulations by maintaining records of compliance with specific sections of the placement memorandum and other regulatory requirements. It requires AIFs to ensure that their investment committees, custodians, and compliance officers adhere to defined standards, including fiduciary responsibilities, conflict of interest management, and transparent reporting to investors. The section also specifies annual audits, valuation procedures, and reporting obligations to SEBI.</t>
        </is>
      </c>
      <c r="L1295" s="11" t="inlineStr">
        <is>
          <t>This section requires AIFs to maintain detailed records of compliance with SEBI regulations, including specific disclosures in the placement memorandum and adherence to valuation procedures. These requirements impact data transfer impact assessments by mandating transparency in financial reporting and investor communications.</t>
        </is>
      </c>
      <c r="M1295" s="11" t="inlineStr">
        <is>
          <t>• [Must] AIF must inform SEBI of material changes in information provided at application
• [Must] AIF must obtain SEBI prior approval for changes in control of Sponsor or Manager
• [Must] AIF books of accounts must be audited annually by a qualified auditor
• [Must] Manager must appoint registered custodian for safekeeping of securities
• [Must] Category III AIF must keep custody of securities for physical settlement of commodity derivatives
• [May] Associate of sponsor/manager may act as custodian subject to specified conditions
• [Must] Manager must appoint compliance officer meeting specified eligibility criteria
• [Must] Compliance officer must report non-compliance to SEBI within 7 days
• [Must] Sponsor and Manager must act in fiduciary capacity towards investors
• [Must] Manager must establish written policies to mitigate conflict of interest
• [Must] Manager and Sponsor must abide by high-level principles on conflict of interest avoidance
• [Must] AIF must provide annual financial information to investors within 180 days of year-end
• [Must] Category III AIF must provide quarterly reports on financial information within 60 days of quarter-end
• [Must] Manager must ensure independent valuation of investments by qualified valuer</t>
        </is>
      </c>
      <c r="N1295" s="11" t="inlineStr">
        <is>
          <t>20(12) AIF to inform SEBI in case of any material change in information provided at the time of application. 20(13) AIF to obtain prior approval from SEBI in case of change in control of AIF Sponsor or Manager or change of Sponsor or Manager. 20(14) The books of accounts of AIF to be audited annually by a qualified auditor</t>
        </is>
      </c>
      <c r="O1295" s="12" t="inlineStr">
        <is>
          <t>Open PDF</t>
        </is>
      </c>
    </row>
    <row r="1296">
      <c r="A1296" t="inlineStr">
        <is>
          <t>India</t>
        </is>
      </c>
      <c r="B1296" t="inlineStr">
        <is>
          <t>SEBI Master Circular for Alternative Investment Funds (India - Row 25)</t>
        </is>
      </c>
      <c r="C1296" t="inlineStr">
        <is>
          <t>25 (part 7)</t>
        </is>
      </c>
      <c r="D1296" s="11" t="inlineStr">
        <is>
          <t>expenses and curb mis-selling, following is specified: (cont.)</t>
        </is>
      </c>
      <c r="E1296" t="inlineStr">
        <is>
          <t>103–108</t>
        </is>
      </c>
      <c r="F1296" t="inlineStr">
        <is>
          <t>Unknown</t>
        </is>
      </c>
      <c r="G1296" t="inlineStr">
        <is>
          <t>Low</t>
        </is>
      </c>
      <c r="H1296" s="11" t="inlineStr"/>
      <c r="I1296" s="11" t="inlineStr"/>
      <c r="J1296" t="inlineStr"/>
      <c r="K1296" s="11" t="inlineStr"/>
      <c r="L1296" s="11" t="inlineStr"/>
      <c r="M1296" s="11" t="inlineStr"/>
      <c r="N1296" s="11" t="inlineStr"/>
      <c r="O1296" s="12" t="inlineStr">
        <is>
          <t>Open PDF</t>
        </is>
      </c>
    </row>
    <row r="1297">
      <c r="A1297" t="inlineStr">
        <is>
          <t>India</t>
        </is>
      </c>
      <c r="B1297" t="inlineStr">
        <is>
          <t>SEBI Master Circular for Alternative Investment Funds (India - Row 25)</t>
        </is>
      </c>
      <c r="C1297" t="inlineStr">
        <is>
          <t>25 (part 8)</t>
        </is>
      </c>
      <c r="D1297" s="11" t="inlineStr">
        <is>
          <t>Voting policy and disclosure requirements for institutional investors</t>
        </is>
      </c>
      <c r="E1297" t="inlineStr">
        <is>
          <t>108–115</t>
        </is>
      </c>
      <c r="F1297" t="inlineStr">
        <is>
          <t>High</t>
        </is>
      </c>
      <c r="G1297" t="inlineStr">
        <is>
          <t>High (explicit)</t>
        </is>
      </c>
      <c r="H1297" s="11" t="inlineStr"/>
      <c r="I1297" s="11" t="inlineStr">
        <is>
          <t>Financial Data</t>
        </is>
      </c>
      <c r="J1297" t="inlineStr">
        <is>
          <t>SEBI</t>
        </is>
      </c>
      <c r="K1297" s="11" t="inlineStr">
        <is>
          <t>Institutional investors must establish comprehensive voting policies detailing mechanisms for voting, circumstances for voting decisions, and disclosure requirements. These policies must include voting mechanisms, internal voting guidelines, disclosure protocols, and specific disclosures for proxy voting services. Investors must publicly disclose voting decisions, rationales, and proxy voting activities to ensure transparency in their stewardship activities.</t>
        </is>
      </c>
      <c r="L1297" s="11" t="inlineStr">
        <is>
          <t>Requires institutional investors to establish and disclose voting policies that impact cross-border data transfers by mandating transparency in voting decisions and proxy voting activities, which may affect data sharing with foreign entities.</t>
        </is>
      </c>
      <c r="M1297" s="11" t="inlineStr">
        <is>
          <t>• [Must] Institutional investors must establish comprehensive voting policies including mechanisms for voting
• [Must] Voting policies must detail circumstances for voting decisions (for/against/abstain)
• [Must] Voting policies must include guidelines for assessing proposals and taking decisions
• [Must] Voting policies must specify voting guidelines for specific matters/circumstances
• [Must] Voting policies must establish oversight committees as escalation mechanisms
• [Must] Voting policies must include use of proxy advisors
• [Must] Voting policies must address conflict of interest issues
• [Must] Investors must publicly disclose voting decisions including rationale
• [Must] Investors must disclose voting activities through annual reports or websites
• [Must] Investors must disclose proxy voting service scope, providers, and reliance levels
• [Must] Institutional investors must report periodically on stewardship activities</t>
        </is>
      </c>
      <c r="N1297" s="11" t="inlineStr">
        <is>
          <t>Institutional investors shall report to their clients/ beneficiaries periodically on how they have fulfilled their stewardship responsibilities as per their policy in an easy-to-understand format.</t>
        </is>
      </c>
      <c r="O1297" s="12" t="inlineStr">
        <is>
          <t>Open PDF</t>
        </is>
      </c>
    </row>
    <row r="1298">
      <c r="A1298" t="inlineStr">
        <is>
          <t>India</t>
        </is>
      </c>
      <c r="B1298" t="inlineStr">
        <is>
          <t>SEBI Master Circular for Alternative Investment Funds (India - Row 25)</t>
        </is>
      </c>
      <c r="C1298" t="inlineStr">
        <is>
          <t>25 (part 9)</t>
        </is>
      </c>
      <c r="D1298" s="11" t="inlineStr">
        <is>
          <t>Compliance with operational and reporting norms for alternative investment funds</t>
        </is>
      </c>
      <c r="E1298" t="inlineStr">
        <is>
          <t>115–121</t>
        </is>
      </c>
      <c r="F1298" t="inlineStr">
        <is>
          <t>High</t>
        </is>
      </c>
      <c r="G1298" t="inlineStr">
        <is>
          <t>High (explicit)</t>
        </is>
      </c>
      <c r="H1298" s="11" t="inlineStr"/>
      <c r="I1298" s="11" t="inlineStr">
        <is>
          <t>Financial Data</t>
        </is>
      </c>
      <c r="J1298" t="inlineStr">
        <is>
          <t>SEBI</t>
        </is>
      </c>
      <c r="K1298" s="11" t="inlineStr">
        <is>
          <t>Alternative Investment Funds must comply with operational, prudential, and reporting norms including risk management, redemption norms, and prudential requirements. This involves adherence to SEBI circulars, disclosure requirements in placement memorandums, and compliance with additional circulars issued by SEBI. Funds must maintain detailed records of compliance with specific regulations and submit reports to SEBI as required.</t>
        </is>
      </c>
      <c r="L1298" s="11" t="inlineStr">
        <is>
          <t>Mandates compliance with operational and reporting norms that affect cross-border data transfers by requiring detailed records and disclosures related to fund operations, which may impact data sharing with foreign entities.</t>
        </is>
      </c>
      <c r="M1298" s="11" t="inlineStr">
        <is>
          <t>• [Must] Alternative Investment Funds must comply with risk management and compliance norms
• [Must] Alternative Investment Funds must adhere to redemption norms
• [Must] Alternative Investment Funds must meet prudential requirements
• [Must] Alternative Investment Funds must comply with SEBI circular No. CIR/IMD/DF/14/2014
• [Must] Alternative Investment Funds must comply with any other circulars issued by SEBI</t>
        </is>
      </c>
      <c r="N1298" s="11" t="inlineStr">
        <is>
          <t>Compliance with respect to: Risk management and compliance, redemption norms, prudential requirements</t>
        </is>
      </c>
      <c r="O1298" s="12" t="inlineStr">
        <is>
          <t>Open PDF</t>
        </is>
      </c>
    </row>
    <row r="1299">
      <c r="A1299" t="inlineStr">
        <is>
          <t>India</t>
        </is>
      </c>
      <c r="B1299" t="inlineStr">
        <is>
          <t>SEBI Master Circular for Alternative Investment Funds (India - Row 25)</t>
        </is>
      </c>
      <c r="C1299" t="inlineStr">
        <is>
          <t>25 (part 10)</t>
        </is>
      </c>
      <c r="D1299" s="11" t="inlineStr">
        <is>
          <t>Disclosure requirements for alternative investment funds</t>
        </is>
      </c>
      <c r="E1299" t="inlineStr">
        <is>
          <t>121–126</t>
        </is>
      </c>
      <c r="F1299" t="inlineStr">
        <is>
          <t>High</t>
        </is>
      </c>
      <c r="G1299" t="inlineStr">
        <is>
          <t>High (explicit)</t>
        </is>
      </c>
      <c r="H1299" s="11" t="inlineStr">
        <is>
          <t>Data Sharing</t>
        </is>
      </c>
      <c r="I1299" s="11" t="inlineStr">
        <is>
          <t>Financial Data, Customer Data</t>
        </is>
      </c>
      <c r="J1299" t="inlineStr">
        <is>
          <t>SEBI</t>
        </is>
      </c>
      <c r="K1299" s="11" t="inlineStr">
        <is>
          <t>This section mandates specific disclosures for Alternative Investment Funds (AIFs) including net asset value, financial information of investees, performance data, material risks, and non-material operational changes. AIFs must provide timely updates on conflicts of interest, legal actions, liabilities, and breaches of agreements. The disclosures must be made within defined timelines to ensure investor transparency and compliance with regulatory requirements.</t>
        </is>
      </c>
      <c r="L1299" s="11" t="inlineStr">
        <is>
          <t>This section imposes specific disclosure obligations that impact data transfer impact assessments by requiring detailed reporting on financial information, risks, and operational changes. The need for timely and accurate disclosures affects how data is shared across borders with investors and regulators.</t>
        </is>
      </c>
      <c r="M1299" s="11" t="inlineStr">
        <is>
          <t>• [Must] Disclose net asset value of fund/scheme at least every six months
• [Must] Disclose financial information of investee companies within 180 days from year end
• [Must] Disclose material risks including concentration risk, foreign exchange risk, leverage risk, etc.
• [Must] Intimate any non-material changes in fund operations within 30 days
• [Must] Redress investor complaints within 30 days of receipt
• [Must] Provide detailed grievance redressal mechanism for investors
• [Must] Disclose any legal actions by regulatory bodies in any jurisdiction
• [Must] Disclose any material liabilities arising during fund tenure
• [Must] Disclose any breaches of placement memorandum or fund agreements
• [Must] Intimate any conflicts of interest in transactions</t>
        </is>
      </c>
      <c r="N1299" s="11" t="inlineStr">
        <is>
          <t>3. Dissemination of financial information of Fund. 3.1. Net Asset Value of Fund/ Scheme. 3.2. Financial information of investee companies. 3.3. Information on performance of scheme/fund.</t>
        </is>
      </c>
      <c r="O1299" s="12" t="inlineStr">
        <is>
          <t>Open PDF</t>
        </is>
      </c>
    </row>
    <row r="1300">
      <c r="A1300" t="inlineStr">
        <is>
          <t>India</t>
        </is>
      </c>
      <c r="B1300" t="inlineStr">
        <is>
          <t>guidelines-on-cyber-security-and-cyber-resilience-for-regulated-entities-in-ifscs-1-10032025064412 (India - Row 5)</t>
        </is>
      </c>
      <c r="C1300" t="inlineStr">
        <is>
          <t>1</t>
        </is>
      </c>
      <c r="D1300" s="11" t="inlineStr">
        <is>
          <t>Cyber security as foundational for financial stability in IFSC</t>
        </is>
      </c>
      <c r="E1300" t="inlineStr">
        <is>
          <t>1–2</t>
        </is>
      </c>
      <c r="F1300" t="inlineStr">
        <is>
          <t>High</t>
        </is>
      </c>
      <c r="G1300" t="inlineStr">
        <is>
          <t>High (explicit)</t>
        </is>
      </c>
      <c r="H1300" s="11" t="inlineStr"/>
      <c r="I1300" s="11" t="inlineStr">
        <is>
          <t>Financial Data</t>
        </is>
      </c>
      <c r="J1300" t="inlineStr">
        <is>
          <t>IFSCA</t>
        </is>
      </c>
      <c r="K1300" s="11" t="inlineStr">
        <is>
          <t>This section establishes that cyber security is fundamental for financial entities operating in the GIFT IFSC, emphasizing its role in maintaining trust and stability. It mandates that regulated entities (REs) must implement cyber security measures to protect against threats like fraud, data breaches, and infrastructure disruptions. The guidelines require REs to align their security practices with the principle of proportionality based on operational scale, activity nature, ecosystem interconnectedness, and cyber risk exposure.</t>
        </is>
      </c>
      <c r="L1300" s="11" t="inlineStr">
        <is>
          <t>Cyber security is foundational for financial stability in IFSC; REs must implement proportionate security measures to protect against cross-border threats and ensure trust in financial services.</t>
        </is>
      </c>
      <c r="M1300" s="11" t="inlineStr">
        <is>
          <t>• [Must] Cyber security is fundamental for financial entities in GIFT IFSC
• [Must] Regulated entities must implement cyber security measures to protect against fraud, data breaches, and infrastructure disruptions
• [Condition] Cyber security practices must align with proportionality based on operational scale, activity nature, ecosystem interconnectedness, and cyber risk exposure</t>
        </is>
      </c>
      <c r="N1300" s="11" t="inlineStr">
        <is>
          <t>As the IFSC continues to evolve as a global financial hub, the sophistication of cyber threats targeting financial entities is also expected to grow. In such an international jurisdiction, where institutions cater to a diverse global client base, maintaining robust cyber security becomes fundamental.</t>
        </is>
      </c>
      <c r="O1300" s="12" t="inlineStr">
        <is>
          <t>Open PDF</t>
        </is>
      </c>
    </row>
    <row r="1301">
      <c r="A1301" t="inlineStr">
        <is>
          <t>India</t>
        </is>
      </c>
      <c r="B1301" t="inlineStr">
        <is>
          <t>guidelines-on-cyber-security-and-cyber-resilience-for-regulated-entities-in-ifscs-1-10032025064412 (India - Row 5)</t>
        </is>
      </c>
      <c r="C1301" t="inlineStr">
        <is>
          <t>2</t>
        </is>
      </c>
      <c r="D1301" s="11" t="inlineStr">
        <is>
          <t>Guidelines structured into five key components</t>
        </is>
      </c>
      <c r="E1301" t="inlineStr">
        <is>
          <t>2</t>
        </is>
      </c>
      <c r="F1301" t="inlineStr">
        <is>
          <t>None</t>
        </is>
      </c>
      <c r="G1301" t="inlineStr">
        <is>
          <t>High (explicit)</t>
        </is>
      </c>
      <c r="H1301" s="11" t="inlineStr">
        <is>
          <t>Governance</t>
        </is>
      </c>
      <c r="I1301" s="11" t="inlineStr"/>
      <c r="J1301" t="inlineStr"/>
      <c r="K1301" s="11" t="inlineStr">
        <is>
          <t>This section categorizes the guidelines into five key components: Governance, Cyber Security and Cyber Resilience Framework, Third Party Risk Management, Communication &amp; Awareness, and Audit. It does not impose specific obligations but outlines the structural framework for the guidelines.</t>
        </is>
      </c>
      <c r="L1301" s="11" t="inlineStr"/>
      <c r="M1301" s="11" t="inlineStr">
        <is>
          <t>• [Must] Guidelines are categorized into five key components: Governance, Cyber Security and Cyber Resilience Framework, Third Party Risk Management, Communication &amp; Awareness, and Audit</t>
        </is>
      </c>
      <c r="N1301" s="11" t="inlineStr">
        <is>
          <t>The key components of the Guidelines are categorized into: I. Governance II. Cyber security and cyber resilience framework III. Third party risk management IV. Communication &amp; awareness V. Audit</t>
        </is>
      </c>
      <c r="O1301" s="12" t="inlineStr">
        <is>
          <t>Open PDF</t>
        </is>
      </c>
    </row>
    <row r="1302">
      <c r="A1302" t="inlineStr">
        <is>
          <t>India</t>
        </is>
      </c>
      <c r="B1302" t="inlineStr">
        <is>
          <t>guidelines-on-cyber-security-and-cyber-resilience-for-regulated-entities-in-ifscs-1-10032025064412 (India - Row 5)</t>
        </is>
      </c>
      <c r="C1302" t="inlineStr">
        <is>
          <t>3</t>
        </is>
      </c>
      <c r="D1302" s="11" t="inlineStr">
        <is>
          <t>Oversight Body for cyber risk management</t>
        </is>
      </c>
      <c r="E1302" t="inlineStr">
        <is>
          <t>2</t>
        </is>
      </c>
      <c r="F1302" t="inlineStr">
        <is>
          <t>High</t>
        </is>
      </c>
      <c r="G1302" t="inlineStr">
        <is>
          <t>High (explicit)</t>
        </is>
      </c>
      <c r="H1302" s="11" t="inlineStr">
        <is>
          <t>Governance</t>
        </is>
      </c>
      <c r="I1302" s="11" t="inlineStr">
        <is>
          <t>Financial Data</t>
        </is>
      </c>
      <c r="J1302" t="inlineStr">
        <is>
          <t>IFSCA</t>
        </is>
      </c>
      <c r="K1302" s="11" t="inlineStr">
        <is>
          <t>This section mandates that regulated entities (REs) must establish an Oversight Body comprising stakeholders such as the Governing Board, senior management (including MD, CEO, CISO, CTO, etc.), or committees designated for cyber risk management. The Oversight Body is responsible for collectively managing cyber risk within the entity.</t>
        </is>
      </c>
      <c r="L1302" s="11" t="inlineStr">
        <is>
          <t>REs must establish an Oversight Body for cyber risk management, which includes governance structures to ensure cross-border data security and compliance.</t>
        </is>
      </c>
      <c r="M1302" s="11" t="inlineStr">
        <is>
          <t>• [Must] REs shall have adequate governance mechanisms with clear roles and responsibilities for cyber risk management
• [Must] Oversight Body includes Governing Board, senior management (MD, CEO, CISO, CTO, etc.), or committees designated for cyber risk management</t>
        </is>
      </c>
      <c r="N1302" s="11" t="inlineStr">
        <is>
          <t>The REs shall have adequate governance mechanisms, with a clear set of roles and responsibilities to manage cyber risk. The set of stakeholders involved in the governance of an RE's cyber risk management mechanism shall collectively be referred to as the 'Oversight Body' of the RE</t>
        </is>
      </c>
      <c r="O1302" s="12" t="inlineStr">
        <is>
          <t>Open PDF</t>
        </is>
      </c>
    </row>
    <row r="1303">
      <c r="A1303" t="inlineStr">
        <is>
          <t>India</t>
        </is>
      </c>
      <c r="B1303" t="inlineStr">
        <is>
          <t>guidelines-on-cyber-security-and-cyber-resilience-for-regulated-entities-in-ifscs-1-10032025064412 (India - Row 5)</t>
        </is>
      </c>
      <c r="C1303" t="inlineStr">
        <is>
          <t>4</t>
        </is>
      </c>
      <c r="D1303" s="11" t="inlineStr">
        <is>
          <t>Senior management must cultivate cyber risk culture</t>
        </is>
      </c>
      <c r="E1303" t="inlineStr">
        <is>
          <t>2–3</t>
        </is>
      </c>
      <c r="F1303" t="inlineStr">
        <is>
          <t>High</t>
        </is>
      </c>
      <c r="G1303" t="inlineStr">
        <is>
          <t>High (explicit)</t>
        </is>
      </c>
      <c r="H1303" s="11" t="inlineStr"/>
      <c r="I1303" s="11" t="inlineStr">
        <is>
          <t>Financial Data</t>
        </is>
      </c>
      <c r="J1303" t="inlineStr">
        <is>
          <t>IFSCA</t>
        </is>
      </c>
      <c r="K1303" s="11" t="inlineStr">
        <is>
          <t>This section requires that the Governing Board and senior management must possess sufficient expertise to understand and manage cyber risks, and they must set the tone for a strong culture of cyber risk awareness across all staff levels within the entity.</t>
        </is>
      </c>
      <c r="L1303" s="11" t="inlineStr">
        <is>
          <t>REs must ensure senior management cultivates a culture of cyber risk awareness to protect cross-border financial data.</t>
        </is>
      </c>
      <c r="M1303" s="11" t="inlineStr">
        <is>
          <t>• [Must] Governing Board and senior management must possess sufficient expertise to understand and manage cyber risk
• [Must] Governing Board and senior management must set the tone for a strong culture of cyber risk awareness across all staff levels</t>
        </is>
      </c>
      <c r="N1303" s="11" t="inlineStr">
        <is>
          <t>The REs shall ensure that their Governing Board and the senior management possesses sufficient expertise and knowledge to effectively understand and manage cyber risk.</t>
        </is>
      </c>
      <c r="O1303" s="12" t="inlineStr">
        <is>
          <t>Open PDF</t>
        </is>
      </c>
    </row>
    <row r="1304">
      <c r="A1304" t="inlineStr">
        <is>
          <t>India</t>
        </is>
      </c>
      <c r="B1304" t="inlineStr">
        <is>
          <t>guidelines-on-cyber-security-and-cyber-resilience-for-regulated-entities-in-ifscs-1-10032025064412 (India - Row 5)</t>
        </is>
      </c>
      <c r="C1304" t="inlineStr">
        <is>
          <t>5</t>
        </is>
      </c>
      <c r="D1304" s="11" t="inlineStr">
        <is>
          <t>Designated Officer for cyber risk management</t>
        </is>
      </c>
      <c r="E1304" t="inlineStr">
        <is>
          <t>3</t>
        </is>
      </c>
      <c r="F1304" t="inlineStr">
        <is>
          <t>High</t>
        </is>
      </c>
      <c r="G1304" t="inlineStr">
        <is>
          <t>High (explicit)</t>
        </is>
      </c>
      <c r="H1304" s="11" t="inlineStr"/>
      <c r="I1304" s="11" t="inlineStr">
        <is>
          <t>Financial Data</t>
        </is>
      </c>
      <c r="J1304" t="inlineStr">
        <is>
          <t>IFSCA</t>
        </is>
      </c>
      <c r="K1304" s="11" t="inlineStr">
        <is>
          <t>This section mandates that REs must appoint a Chief Information Security Officer (CISO) or designate a senior employee to assess, identify, reduce cyber security risks, respond to incidents, establish standards and controls, and direct the implementation of processes approved by the Oversight Body.</t>
        </is>
      </c>
      <c r="L1304" s="11" t="inlineStr">
        <is>
          <t>REs must appoint a Designated Officer to manage cyber risks, ensuring cross-border data security and compliance with IFSCA requirements.</t>
        </is>
      </c>
      <c r="M1304" s="11" t="inlineStr">
        <is>
          <t>• [Must] REs shall appoint a CISO or designate a senior employee to assess, identify and reduce cyber security risks
• [Must] Designated Officer must respond to incidents, establish appropriate standards and controls
• [Must] Designated Officer must direct the establishment and implementation of processes approved by the Oversight Body</t>
        </is>
      </c>
      <c r="N1304" s="11" t="inlineStr">
        <is>
          <t>The REs shall appoint a CISO or alternatively, designate a senior employee/ management personnel to assess, identify and reduce cyber security risks, respond to incidents, establish appropriate standards and controls, and direct the establishment and implementation of processes and procedures as approved by the Oversight Body of the RE</t>
        </is>
      </c>
      <c r="O1304" s="12" t="inlineStr">
        <is>
          <t>Open PDF</t>
        </is>
      </c>
    </row>
    <row r="1305">
      <c r="A1305" t="inlineStr">
        <is>
          <t>India</t>
        </is>
      </c>
      <c r="B1305" t="inlineStr">
        <is>
          <t>guidelines-on-cyber-security-and-cyber-resilience-for-regulated-entities-in-ifscs-1-10032025064412 (India - Row 5)</t>
        </is>
      </c>
      <c r="C1305" t="inlineStr">
        <is>
          <t>6</t>
        </is>
      </c>
      <c r="D1305" s="11" t="inlineStr">
        <is>
          <t>Designated Officer designation</t>
        </is>
      </c>
      <c r="E1305" t="inlineStr">
        <is>
          <t>3</t>
        </is>
      </c>
      <c r="F1305" t="inlineStr">
        <is>
          <t>None</t>
        </is>
      </c>
      <c r="G1305" t="inlineStr">
        <is>
          <t>High (explicit)</t>
        </is>
      </c>
      <c r="H1305" s="11" t="inlineStr">
        <is>
          <t>Governance</t>
        </is>
      </c>
      <c r="I1305" s="11" t="inlineStr"/>
      <c r="J1305" t="inlineStr"/>
      <c r="K1305" s="11" t="inlineStr">
        <is>
          <t>This section defines the 'Designated Officer' as the CISO or senior employee designated under Section 5, who is responsible for implementing cyber security measures as approved by the Oversight Body.</t>
        </is>
      </c>
      <c r="L1305" s="11" t="inlineStr"/>
      <c r="M1305" s="11" t="inlineStr">
        <is>
          <t>• [Must] Designated Officer refers to the CISO or senior employee designated under Section 5</t>
        </is>
      </c>
      <c r="N1305" s="11" t="inlineStr">
        <is>
          <t>The CISO or senior employee/ management personnel so designated shall henceforth be referred to as the 'Designated Officer'.</t>
        </is>
      </c>
      <c r="O1305" s="12" t="inlineStr">
        <is>
          <t>Open PDF</t>
        </is>
      </c>
    </row>
    <row r="1306">
      <c r="A1306" t="inlineStr">
        <is>
          <t>India</t>
        </is>
      </c>
      <c r="B1306" t="inlineStr">
        <is>
          <t>guidelines-on-cyber-security-and-cyber-resilience-for-regulated-entities-in-ifscs-1-10032025064412 (India - Row 5)</t>
        </is>
      </c>
      <c r="C1306" t="inlineStr">
        <is>
          <t>7</t>
        </is>
      </c>
      <c r="D1306" s="11" t="inlineStr">
        <is>
          <t>Cyber Security Framework for IT Asset Protection</t>
        </is>
      </c>
      <c r="E1306" t="inlineStr">
        <is>
          <t>3–4</t>
        </is>
      </c>
      <c r="F1306" t="inlineStr">
        <is>
          <t>High</t>
        </is>
      </c>
      <c r="G1306" t="inlineStr">
        <is>
          <t>High (explicit)</t>
        </is>
      </c>
      <c r="H1306" s="11" t="inlineStr">
        <is>
          <t>Security, Incident Reporting, Third Party Processing</t>
        </is>
      </c>
      <c r="I1306" s="11" t="inlineStr">
        <is>
          <t>Personal Information</t>
        </is>
      </c>
      <c r="J1306" t="inlineStr">
        <is>
          <t>IFSCA</t>
        </is>
      </c>
      <c r="K1306" s="11" t="inlineStr">
        <is>
          <t>Regulated entities must create a Cyber Security and Cyber Resilience Framework to ensure confidentiality, integrity, and availability of their IT assets. This framework must include capabilities to anticipate and recover from cyber-attacks, assess cyber threats including third-party risks, define cyber risk appetite, outline people/process/technology requirements for risk management, establish roles during incidents, and be periodically reviewed for relevance. The framework applies to all regulated entities in the IFSC.</t>
        </is>
      </c>
      <c r="L1306" s="11" t="inlineStr">
        <is>
          <t>This section mandates a comprehensive cyber resilience framework that directly impacts data transfer security by requiring entities to maintain robust incident response, third-party risk management, and continuous framework updates for cross-border data handling.</t>
        </is>
      </c>
      <c r="M1306" s="11" t="inlineStr">
        <is>
          <t>• [Must] The REs shall formulate the Cyber Security and Cyber Resilience Framework to maintain the Conϐidentiality, Integrity and Availability of their IT assets
• [Must] The framework shall aim to maintain and promote the RE's ability to anticipate, withstand, contain, and recover from cyber-attacks
• [Must] The framework shall take an integrated and comprehensive view of potential cyber threats, including third party risks
• [Must] The framework shall define the RE's cyber risk appetite and cyber resilience objectives
• [Must] The framework shall outline the RE's people, process and technology requirements for managing cyber risks
• [Must] The framework shall establish roles and responsibilities of the Oversight Body, Designated Officer, employees and stakeholders during cyber incidents
• [Must] The framework shall be reviewed and updated periodically to ensure relevance</t>
        </is>
      </c>
      <c r="N1306" s="11" t="inlineStr">
        <is>
          <t>7. The REs shall formulate the Cyber Security and Cyber Resilience Framework to maintain the Conϐidentiality, Integrity and Availability of their IT assets.</t>
        </is>
      </c>
      <c r="O1306" s="12" t="inlineStr">
        <is>
          <t>Open PDF</t>
        </is>
      </c>
    </row>
    <row r="1307">
      <c r="A1307" t="inlineStr">
        <is>
          <t>India</t>
        </is>
      </c>
      <c r="B1307" t="inlineStr">
        <is>
          <t>guidelines-on-cyber-security-and-cyber-resilience-for-regulated-entities-in-ifscs-1-10032025064412 (India - Row 5)</t>
        </is>
      </c>
      <c r="C1307" t="inlineStr">
        <is>
          <t>9</t>
        </is>
      </c>
      <c r="D1307" s="11" t="inlineStr">
        <is>
          <t>Information Security Policy with Risk-Based Controls</t>
        </is>
      </c>
      <c r="E1307" t="inlineStr">
        <is>
          <t>4–6</t>
        </is>
      </c>
      <c r="F1307" t="inlineStr">
        <is>
          <t>High</t>
        </is>
      </c>
      <c r="G1307" t="inlineStr">
        <is>
          <t>High (explicit)</t>
        </is>
      </c>
      <c r="H1307" s="11" t="inlineStr">
        <is>
          <t>Security, Access Control, Incident Reporting, Third Party Processing</t>
        </is>
      </c>
      <c r="I1307" s="11" t="inlineStr">
        <is>
          <t>Personal Information</t>
        </is>
      </c>
      <c r="J1307" t="inlineStr">
        <is>
          <t>IFSCA</t>
        </is>
      </c>
      <c r="K1307" s="11" t="inlineStr">
        <is>
          <t>Regulated entities must develop an Information Security Policy as part of their cyber resilience framework with specific principles: maintain detailed IT asset inventories, conduct risk assessments and classify assets by business criticality, implement security controls aligned with international standards like NIST and ISO 27000, enforce least privilege access controls, ensure physical security, conduct annual vulnerability assessments, establish recovery policies, and define incident management procedures. The policy applies to all regulated entities in the IFSC.</t>
        </is>
      </c>
      <c r="L1307" s="11" t="inlineStr">
        <is>
          <t>This section requires detailed security policies that directly affect data transfer by mandating asset classification, risk assessments, and third-party risk management for cross-border data flows.</t>
        </is>
      </c>
      <c r="M1307" s="11" t="inlineStr">
        <is>
          <t>• [Must] The REs shall maintain a detailed inventory of IT assets, including logical and physical components
• [Must] The REs shall carry out a risk assessment of assets and classify them based on business criticality, data sensitivity, and potential impact
• [Must] The REs shall identify and classify business functions and processes based on criticality to operations
• [Must] The REs shall implement security controls aligned with international best practices and standards like NIST, ISO 27000
• [Must] The REs shall ensure security controls are proportional to threat landscape and risk appetite
• [Must] The REs shall manage access rights on a 'need-to-know' basis following least privilege and segregation of duties principles
• [Must] The REs shall enforce robust authentication methods to ensure access control compliance
• [Must] The REs shall ensure adequate physical security for IT assets
• [Must] The REs shall conduct Vulnerability Assessment and Penetration Testing (VAPT) at least once a year
• [Must] The REs shall have recovery policies and procedures to maximize service continuity and limit losses during disruptions
• [Must] The REs shall define 'cyber incident' and develop processes for preventing, detecting, analyzing and responding to incidents
• [Must] The REs shall establish mechanisms for fulfilling disclosure and reporting requirements during cyber incidents
• [Must] The REs shall ensure audit trails exist for IT assets to satisfy business continuity, regulatory obligations, forensic evidence, and dispute resolution</t>
        </is>
      </c>
      <c r="N1307" s="11" t="inlineStr">
        <is>
          <t>9. The REs shall formulate an Information Security (IS) Policy as part of their cyber security and cyber resilience framework with the following basic principles.</t>
        </is>
      </c>
      <c r="O1307" s="12" t="inlineStr">
        <is>
          <t>Open PDF</t>
        </is>
      </c>
    </row>
    <row r="1308">
      <c r="A1308" t="inlineStr">
        <is>
          <t>India</t>
        </is>
      </c>
      <c r="B1308" t="inlineStr">
        <is>
          <t>guidelines-on-cyber-security-and-cyber-resilience-for-regulated-entities-in-ifscs-1-10032025064412 (India - Row 5)</t>
        </is>
      </c>
      <c r="C1308" t="inlineStr">
        <is>
          <t>10</t>
        </is>
      </c>
      <c r="D1308" s="11" t="inlineStr">
        <is>
          <t>Collaborative Third-Party Security Approach</t>
        </is>
      </c>
      <c r="E1308" t="inlineStr">
        <is>
          <t>6</t>
        </is>
      </c>
      <c r="F1308" t="inlineStr">
        <is>
          <t>High</t>
        </is>
      </c>
      <c r="G1308" t="inlineStr">
        <is>
          <t>High (explicit)</t>
        </is>
      </c>
      <c r="H1308" s="11" t="inlineStr">
        <is>
          <t>Third Party Processing, Security, Incident Reporting</t>
        </is>
      </c>
      <c r="I1308" s="11" t="inlineStr">
        <is>
          <t>Personal Information</t>
        </is>
      </c>
      <c r="J1308" t="inlineStr">
        <is>
          <t>IFSCA</t>
        </is>
      </c>
      <c r="K1308" s="11" t="inlineStr">
        <is>
          <t>Regulated entities must establish collaborative security practices with third-party vendors by clearly defining shared expectations for data security, incident reporting, and adherence to relevant security standards. This applies to all third-party relationships within the IFSC.</t>
        </is>
      </c>
      <c r="L1308" s="11" t="inlineStr">
        <is>
          <t>This section requires explicit communication protocols for third-party data transfers, directly impacting cross-border data flows by mandating security standards and incident reporting mechanisms.</t>
        </is>
      </c>
      <c r="M1308" s="11" t="inlineStr">
        <is>
          <t>• [Must] The REs shall adopt a collaborative security approach with third-party vendors/external partners
• [Must] The REs shall clearly outline shared expectations for data security, incident reporting and adherence to relevant security standards</t>
        </is>
      </c>
      <c r="N1308" s="11" t="inlineStr">
        <is>
          <t>10. The REs shall adopt a collaborative security approach with their third-party vendors/external partners, by clearly outlining shared expectations for data security, incident reporting and adherence to relevant security standards.</t>
        </is>
      </c>
      <c r="O1308" s="12" t="inlineStr">
        <is>
          <t>Open PDF</t>
        </is>
      </c>
    </row>
    <row r="1309">
      <c r="A1309" t="inlineStr">
        <is>
          <t>India</t>
        </is>
      </c>
      <c r="B1309" t="inlineStr">
        <is>
          <t>guidelines-on-cyber-security-and-cyber-resilience-for-regulated-entities-in-ifscs-1-10032025064412 (India - Row 5)</t>
        </is>
      </c>
      <c r="C1309" t="inlineStr">
        <is>
          <t>11</t>
        </is>
      </c>
      <c r="D1309" s="11" t="inlineStr">
        <is>
          <t>Risk-Based Third-Party Vendor Reviews</t>
        </is>
      </c>
      <c r="E1309" t="inlineStr">
        <is>
          <t>6–7</t>
        </is>
      </c>
      <c r="F1309" t="inlineStr">
        <is>
          <t>High</t>
        </is>
      </c>
      <c r="G1309" t="inlineStr">
        <is>
          <t>High (explicit)</t>
        </is>
      </c>
      <c r="H1309" s="11" t="inlineStr">
        <is>
          <t>Third Party Processing</t>
        </is>
      </c>
      <c r="I1309" s="11" t="inlineStr">
        <is>
          <t>Personal Information</t>
        </is>
      </c>
      <c r="J1309" t="inlineStr">
        <is>
          <t>IFSCA</t>
        </is>
      </c>
      <c r="K1309" s="11" t="inlineStr">
        <is>
          <t>Regulated entities must implement a risk-based approach for periodic review of third-party vendors, identifying critical dependencies and conducting vulnerability assessments every six months for core operations. Less critical vendors may have flexible review frequencies.</t>
        </is>
      </c>
      <c r="L1309" s="11" t="inlineStr">
        <is>
          <t>This section directly impacts data transfer by requiring regular third-party risk assessments for critical systems, which is essential for cross-border data transfers involving third parties.</t>
        </is>
      </c>
      <c r="M1309" s="11" t="inlineStr">
        <is>
          <t>• [Must] The REs shall identify third-party service providers critical to core operations or with access to critical systems
• [Must] The REs shall carry out vulnerability assessments or compliance gap detection every six months for critical third parties
• [May] The REs shall determine appropriate review frequency for non-critical third parties</t>
        </is>
      </c>
      <c r="N1309" s="11" t="inlineStr">
        <is>
          <t>11. The REs shall adopt a risk-based approach for periodic review of third-party vendors/external partners.</t>
        </is>
      </c>
      <c r="O1309" s="12" t="inlineStr">
        <is>
          <t>Open PDF</t>
        </is>
      </c>
    </row>
    <row r="1310">
      <c r="A1310" t="inlineStr">
        <is>
          <t>India</t>
        </is>
      </c>
      <c r="B1310" t="inlineStr">
        <is>
          <t>guidelines-on-cyber-security-and-cyber-resilience-for-regulated-entities-in-ifscs-1-10032025064412 (India - Row 5)</t>
        </is>
      </c>
      <c r="C1310" t="inlineStr">
        <is>
          <t>12</t>
        </is>
      </c>
      <c r="D1310" s="11" t="inlineStr">
        <is>
          <t>Third-Party Risk Communication Channels</t>
        </is>
      </c>
      <c r="E1310" t="inlineStr">
        <is>
          <t>7</t>
        </is>
      </c>
      <c r="F1310" t="inlineStr">
        <is>
          <t>High</t>
        </is>
      </c>
      <c r="G1310" t="inlineStr">
        <is>
          <t>High (explicit)</t>
        </is>
      </c>
      <c r="H1310" s="11" t="inlineStr">
        <is>
          <t>Third Party Processing</t>
        </is>
      </c>
      <c r="I1310" s="11" t="inlineStr">
        <is>
          <t>Personal Information</t>
        </is>
      </c>
      <c r="J1310" t="inlineStr">
        <is>
          <t>IFSCA</t>
        </is>
      </c>
      <c r="K1310" s="11" t="inlineStr">
        <is>
          <t>Regulated entities must establish clear communication channels and escalation procedures for addressing risks or non-compliance with third parties promptly and effectively.</t>
        </is>
      </c>
      <c r="L1310" s="11" t="inlineStr">
        <is>
          <t>This section ensures timely resolution of third-party data transfer issues, which is critical for maintaining data integrity in cross-border transfers.</t>
        </is>
      </c>
      <c r="M1310" s="11" t="inlineStr">
        <is>
          <t>• [Must] The REs shall establish clear communication channels and escalation procedures for addressing identified risks or non-compliance with partners</t>
        </is>
      </c>
      <c r="N1310" s="11" t="inlineStr">
        <is>
          <t>12. The REs should establish clear communication channels and escalation procedures for addressing any identified risks or non-compliance with partners, promptly and effectively.</t>
        </is>
      </c>
      <c r="O1310" s="12" t="inlineStr">
        <is>
          <t>Open PDF</t>
        </is>
      </c>
    </row>
    <row r="1311">
      <c r="A1311" t="inlineStr">
        <is>
          <t>India</t>
        </is>
      </c>
      <c r="B1311" t="inlineStr">
        <is>
          <t>guidelines-on-cyber-security-and-cyber-resilience-for-regulated-entities-in-ifscs-1-10032025064412 (India - Row 5)</t>
        </is>
      </c>
      <c r="C1311" t="inlineStr">
        <is>
          <t>13</t>
        </is>
      </c>
      <c r="D1311" s="11" t="inlineStr">
        <is>
          <t>Third-Party Risk Responsibility</t>
        </is>
      </c>
      <c r="E1311" t="inlineStr">
        <is>
          <t>7</t>
        </is>
      </c>
      <c r="F1311" t="inlineStr">
        <is>
          <t>High</t>
        </is>
      </c>
      <c r="G1311" t="inlineStr">
        <is>
          <t>High (explicit)</t>
        </is>
      </c>
      <c r="H1311" s="11" t="inlineStr">
        <is>
          <t>Third Party Processing</t>
        </is>
      </c>
      <c r="I1311" s="11" t="inlineStr">
        <is>
          <t>Personal Information</t>
        </is>
      </c>
      <c r="J1311" t="inlineStr">
        <is>
          <t>IFSCA</t>
        </is>
      </c>
      <c r="K1311" s="11" t="inlineStr">
        <is>
          <t>Regulated entities bear ultimate responsibility for mitigating cyber risks arising from third parties, ensuring comprehensive risk management across all vendor relationships.</t>
        </is>
      </c>
      <c r="L1311" s="11" t="inlineStr">
        <is>
          <t>This section clarifies that regulated entities are solely responsible for third-party cyber risks, which directly affects data transfer security and compliance for cross-border data flows.</t>
        </is>
      </c>
      <c r="M1311" s="11" t="inlineStr">
        <is>
          <t>• [Must] The ultimate responsibility to mitigate cyber risks arising from third parties shall be on the REs</t>
        </is>
      </c>
      <c r="N1311" s="11" t="inlineStr">
        <is>
          <t>13. The ultimate responsibility to mitigate the cyber risks arising from the third parties shall be on the REs.</t>
        </is>
      </c>
      <c r="O1311" s="12" t="inlineStr">
        <is>
          <t>Open PDF</t>
        </is>
      </c>
    </row>
    <row r="1312">
      <c r="A1312" t="inlineStr">
        <is>
          <t>India</t>
        </is>
      </c>
      <c r="B1312" t="inlineStr">
        <is>
          <t>guidelines-on-cyber-security-and-cyber-resilience-for-regulated-entities-in-ifscs-1-10032025064412 (India - Row 5)</t>
        </is>
      </c>
      <c r="C1312" t="inlineStr">
        <is>
          <t>14</t>
        </is>
      </c>
      <c r="D1312" s="11" t="inlineStr">
        <is>
          <t>Employee cyber security training requirements</t>
        </is>
      </c>
      <c r="E1312" t="inlineStr">
        <is>
          <t>7</t>
        </is>
      </c>
      <c r="F1312" t="inlineStr">
        <is>
          <t>Medium</t>
        </is>
      </c>
      <c r="G1312" t="inlineStr">
        <is>
          <t>High (explicit)</t>
        </is>
      </c>
      <c r="H1312" s="11" t="inlineStr">
        <is>
          <t>Security, Incident Reporting</t>
        </is>
      </c>
      <c r="I1312" s="11" t="inlineStr">
        <is>
          <t>Personal Information</t>
        </is>
      </c>
      <c r="J1312" t="inlineStr">
        <is>
          <t>IFSCA</t>
        </is>
      </c>
      <c r="K1312" s="11" t="inlineStr">
        <is>
          <t>Regulated entities must conduct regular cybersecurity training for employees covering phishing awareness, social engineering, password hygiene, and incident reporting procedures. This training is mandatory to ensure staff can identify and respond to cyber threats effectively. The training must be ongoing and address specific cyber risks relevant to the entity's operations.</t>
        </is>
      </c>
      <c r="L1312" s="11" t="inlineStr">
        <is>
          <t>Requires regular employee training on cybersecurity to mitigate risks during data transfers and processing activities. This impacts DTIA by emphasizing staff awareness as a critical control for secure data handling.</t>
        </is>
      </c>
      <c r="M1312" s="11" t="inlineStr">
        <is>
          <t>• [Must] Provide regular training to employees on cyber security topics
• [Must] Include phishing awareness in training
• [Must] Include social engineering awareness in training
• [Must] Include password hygiene in training
• [Must] Include incident reporting procedures in training</t>
        </is>
      </c>
      <c r="N1312" s="11" t="inlineStr">
        <is>
          <t>14. The REs shall provide regular training to its employees on topics pertaining to cyber security, including but not limited to, phishing awareness, social engineering, password hygiene and incident reporting procedures.</t>
        </is>
      </c>
      <c r="O1312" s="12" t="inlineStr">
        <is>
          <t>Open PDF</t>
        </is>
      </c>
    </row>
    <row r="1313">
      <c r="A1313" t="inlineStr">
        <is>
          <t>India</t>
        </is>
      </c>
      <c r="B1313" t="inlineStr">
        <is>
          <t>guidelines-on-cyber-security-and-cyber-resilience-for-regulated-entities-in-ifscs-1-10032025064412 (India - Row 5)</t>
        </is>
      </c>
      <c r="C1313" t="inlineStr">
        <is>
          <t>15</t>
        </is>
      </c>
      <c r="D1313" s="11" t="inlineStr">
        <is>
          <t>Employee incident reporting channels</t>
        </is>
      </c>
      <c r="E1313" t="inlineStr">
        <is>
          <t>7</t>
        </is>
      </c>
      <c r="F1313" t="inlineStr">
        <is>
          <t>Medium</t>
        </is>
      </c>
      <c r="G1313" t="inlineStr">
        <is>
          <t>High (explicit)</t>
        </is>
      </c>
      <c r="H1313" s="11" t="inlineStr">
        <is>
          <t>Security, Incident Reporting</t>
        </is>
      </c>
      <c r="I1313" s="11" t="inlineStr">
        <is>
          <t>Personal Information</t>
        </is>
      </c>
      <c r="J1313" t="inlineStr">
        <is>
          <t>IFSCA</t>
        </is>
      </c>
      <c r="K1313" s="11" t="inlineStr">
        <is>
          <t>Regulated entities must establish clear and accessible methods for employees to report suspicious activities, vulnerabilities, and potential cyber incidents. This ensures timely identification and response to security threats. Employees can use these channels to escalate issues before they escalate into major breaches.</t>
        </is>
      </c>
      <c r="L1313" s="11" t="inlineStr">
        <is>
          <t>Requires mechanisms for employees to report cyber incidents, which is critical for DTIA as it ensures early detection and mitigation of data transfer risks.</t>
        </is>
      </c>
      <c r="M1313" s="11" t="inlineStr">
        <is>
          <t>• [Must] Establish clear and accessible channels for employees to report suspicious activity
• [Must] Establish clear and accessible channels for employees to report vulnerabilities
• [Must] Establish clear and accessible channels for employees to report potential cyber incidents</t>
        </is>
      </c>
      <c r="N1313" s="11" t="inlineStr">
        <is>
          <t>15. The REs shall establish clear and accessible channels for employees to report suspicious activity, vulnerabilities, and potential cyber incidents.</t>
        </is>
      </c>
      <c r="O1313" s="12" t="inlineStr">
        <is>
          <t>Open PDF</t>
        </is>
      </c>
    </row>
    <row r="1314">
      <c r="A1314" t="inlineStr">
        <is>
          <t>India</t>
        </is>
      </c>
      <c r="B1314" t="inlineStr">
        <is>
          <t>guidelines-on-cyber-security-and-cyber-resilience-for-regulated-entities-in-ifscs-1-10032025064412 (India - Row 5)</t>
        </is>
      </c>
      <c r="C1314" t="inlineStr">
        <is>
          <t>16</t>
        </is>
      </c>
      <c r="D1314" s="11" t="inlineStr">
        <is>
          <t>Cybersecurity audit requirements</t>
        </is>
      </c>
      <c r="E1314" t="inlineStr">
        <is>
          <t>7–8</t>
        </is>
      </c>
      <c r="F1314" t="inlineStr">
        <is>
          <t>High</t>
        </is>
      </c>
      <c r="G1314" t="inlineStr">
        <is>
          <t>High (explicit)</t>
        </is>
      </c>
      <c r="H1314" s="11" t="inlineStr">
        <is>
          <t>Security, Incident Reporting</t>
        </is>
      </c>
      <c r="I1314" s="11" t="inlineStr">
        <is>
          <t>Personal Information</t>
        </is>
      </c>
      <c r="J1314" t="inlineStr">
        <is>
          <t>IFSCA</t>
        </is>
      </c>
      <c r="K1314" s="11" t="inlineStr">
        <is>
          <t>Regulated entities must undergo periodic cybersecurity audits by a certified auditor to ensure their security measures are effective. The audit must be conducted annually or more frequently based on cyber risk levels. The auditor must certify that security controls align with the entity's risk profile and submit findings to the IFSCA Governing Board and senior management.</t>
        </is>
      </c>
      <c r="L1314" s="11" t="inlineStr">
        <is>
          <t>Mandates periodic cybersecurity audits to validate security controls, which is essential for DTIA as it ensures data transfer mechanisms are robust and compliant with security standards.</t>
        </is>
      </c>
      <c r="M1314" s="11" t="inlineStr">
        <is>
          <t>• [Must] Conduct periodic audits of RE's cyber risk management measures
• [Must] Audit by a CERT-In empanelled auditor
• [Must] Audit by an independent auditor with CISA certification
• [Must] Audit by an independent auditor with CISM certification
• [Must] Audit by an independent auditor with GSNA certification
• [Must] Audit by an independent auditor with CISSP certification
• [Must] Audit by an auditor with prior experience in cybersecurity for similar entities
• [Must] Certify that security controls align with RE's cyber risks</t>
        </is>
      </c>
      <c r="N1314" s="11" t="inlineStr">
        <is>
          <t>16. The aim of the audit is to provide an independent assurance of the effectiveness of RE's measures to its Governing Board and the senior management. Towards this effect, the governance, systems and processes established by the REs for managing their cyber risks shall be audited on a periodic basis by either of the following: a. a CERT-In empanelled auditor, b. an independent auditor possessing the following certiϐications: i. Certiϐied Information Security Auditor (CISA) or ii. Certiϐied Information Security Manager (CISM) or iii. GIAC Systems and Network Auditor (GSNA) or iv. Certiϐied Information Systems Security Professional (CISSP)</t>
        </is>
      </c>
      <c r="O1314" s="12" t="inlineStr">
        <is>
          <t>Open PDF</t>
        </is>
      </c>
    </row>
    <row r="1315">
      <c r="A1315" t="inlineStr">
        <is>
          <t>India</t>
        </is>
      </c>
      <c r="B1315" t="inlineStr">
        <is>
          <t>guidelines-on-cyber-security-and-cyber-resilience-for-regulated-entities-in-ifscs-1-10032025064412 (India - Row 5)</t>
        </is>
      </c>
      <c r="C1315" t="inlineStr">
        <is>
          <t>17</t>
        </is>
      </c>
      <c r="D1315" s="11" t="inlineStr">
        <is>
          <t>Auditor conflict of interest and reporting</t>
        </is>
      </c>
      <c r="E1315" t="inlineStr">
        <is>
          <t>8</t>
        </is>
      </c>
      <c r="F1315" t="inlineStr">
        <is>
          <t>High</t>
        </is>
      </c>
      <c r="G1315" t="inlineStr">
        <is>
          <t>High (explicit)</t>
        </is>
      </c>
      <c r="H1315" s="11" t="inlineStr">
        <is>
          <t>Security, Incident Reporting</t>
        </is>
      </c>
      <c r="I1315" s="11" t="inlineStr">
        <is>
          <t>Personal Information</t>
        </is>
      </c>
      <c r="J1315" t="inlineStr">
        <is>
          <t>IFSCA</t>
        </is>
      </c>
      <c r="K1315" s="11" t="inlineStr">
        <is>
          <t>The auditor engaged by a regulated entity must not have a conflict of interest with the entity. The audit report must be submitted to IFSCA within 90 days of the financial year-end. Entities may conduct audits more frequently than annually based on their cyber risk levels and system criticality.</t>
        </is>
      </c>
      <c r="L1315" s="11" t="inlineStr">
        <is>
          <t>Requires auditor independence and timely reporting of audit results, which is vital for DTIA to ensure ongoing compliance with security standards during data transfers.</t>
        </is>
      </c>
      <c r="M1315" s="11" t="inlineStr">
        <is>
          <t>• [Must] Auditor must not have any conflict of interest with RE
• [Must] Submit audit report to IFSCA within 90 days of financial year-end
• [Must] Submit audit report to IFSCA's corresponding department/division
• [Must] Conduct audits at least annually
• [May] Conduct audits more frequently than annually based on cyber risk levels</t>
        </is>
      </c>
      <c r="N1315" s="11" t="inlineStr">
        <is>
          <t>17. The auditor engaged by an RE shall not have any conϐlict of interest with the RE. The audit shall be conducted annually and a report in this regard shall be submitted to IFSCA by the REs within 90 days from the end of the ϕinancial year.</t>
        </is>
      </c>
      <c r="O1315" s="12" t="inlineStr">
        <is>
          <t>Open PDF</t>
        </is>
      </c>
    </row>
    <row r="1316">
      <c r="A1316" t="inlineStr">
        <is>
          <t>India</t>
        </is>
      </c>
      <c r="B1316" t="inlineStr">
        <is>
          <t>guidelines-on-cyber-security-and-cyber-resilience-for-regulated-entities-in-ifscs-1-10032025064412 (India - Row 5)</t>
        </is>
      </c>
      <c r="C1316" t="inlineStr">
        <is>
          <t>18</t>
        </is>
      </c>
      <c r="D1316" s="11" t="inlineStr">
        <is>
          <t>Audit report submission for market participants</t>
        </is>
      </c>
      <c r="E1316" t="inlineStr">
        <is>
          <t>8</t>
        </is>
      </c>
      <c r="F1316" t="inlineStr">
        <is>
          <t>High</t>
        </is>
      </c>
      <c r="G1316" t="inlineStr">
        <is>
          <t>High (explicit)</t>
        </is>
      </c>
      <c r="H1316" s="11" t="inlineStr">
        <is>
          <t>Security</t>
        </is>
      </c>
      <c r="I1316" s="11" t="inlineStr">
        <is>
          <t>Personal Information</t>
        </is>
      </c>
      <c r="J1316" t="inlineStr">
        <is>
          <t>IFSCA</t>
        </is>
      </c>
      <c r="K1316" s="11" t="inlineStr">
        <is>
          <t>Regulated entities registered as Broker Dealers, Bullion Trading Members, Clearing Members, or Depository Participants must submit their cybersecurity audit reports to IFSCA within 7 days of submitting to a Market Infrastructure Institution or Bullion Exchange. This ensures timely compliance with IFSCA's cybersecurity standards.</t>
        </is>
      </c>
      <c r="L1316" s="11" t="inlineStr">
        <is>
          <t>Allows for streamlined audit reporting for market participants, which is relevant for DTIA as it ensures consistent security practices across financial entities during data transfers.</t>
        </is>
      </c>
      <c r="M1316" s="11" t="inlineStr">
        <is>
          <t>• [Must] Submit cybersecurity audit report to IFSCA within 7 days of submission to Market Infrastructure Institution/Bullion Exchange</t>
        </is>
      </c>
      <c r="N1316" s="11" t="inlineStr">
        <is>
          <t>18. In case the RE is registered with IFSCA as a Broker Dealer/Bullion Trading Member, Clearing Member/Bullion Clearing Member or as a Depository Participant, and is required to submit cyber security audit report to a recognised Market Infrastructure Institution/Bullion Exchange, such REs may submit the same audit report to IFSCA within 7 days of submission of the audit report to the Market Infrastructure Institution/Bullion Exchange.</t>
        </is>
      </c>
      <c r="O1316" s="12" t="inlineStr">
        <is>
          <t>Open PDF</t>
        </is>
      </c>
    </row>
    <row r="1317">
      <c r="A1317" t="inlineStr">
        <is>
          <t>India</t>
        </is>
      </c>
      <c r="B1317" t="inlineStr">
        <is>
          <t>guidelines-on-cyber-security-and-cyber-resilience-for-regulated-entities-in-ifscs-1-10032025064412 (India - Row 5)</t>
        </is>
      </c>
      <c r="C1317" t="inlineStr">
        <is>
          <t>19</t>
        </is>
      </c>
      <c r="D1317" s="11" t="inlineStr">
        <is>
          <t>Cyber incident reporting timeline</t>
        </is>
      </c>
      <c r="E1317" t="inlineStr">
        <is>
          <t>8</t>
        </is>
      </c>
      <c r="F1317" t="inlineStr">
        <is>
          <t>High</t>
        </is>
      </c>
      <c r="G1317" t="inlineStr">
        <is>
          <t>High (explicit)</t>
        </is>
      </c>
      <c r="H1317" s="11" t="inlineStr">
        <is>
          <t>Security, Incident Reporting</t>
        </is>
      </c>
      <c r="I1317" s="11" t="inlineStr">
        <is>
          <t>Personal Information</t>
        </is>
      </c>
      <c r="J1317" t="inlineStr">
        <is>
          <t>IFSCA</t>
        </is>
      </c>
      <c r="K1317" s="11" t="inlineStr">
        <is>
          <t>Regulated entities must report cyber incidents to IFSCA's cyber incidents email address within six hours of detection. This includes details of the incident, its impact, and any mitigating actions taken. The reporting requirement ensures rapid response to incidents that could affect data security.</t>
        </is>
      </c>
      <c r="L1317" s="11" t="inlineStr">
        <is>
          <t>Mandates immediate reporting of cyber incidents, which is critical for DTIA to address data transfer risks and ensure timely mitigation of breaches.</t>
        </is>
      </c>
      <c r="M1317" s="11" t="inlineStr">
        <is>
          <t>• [Must] Report cyber incidents to cyber-incidents@ifsca.gov.in within six hours of detection
• [Must] Copy report to IFSCA's CISO</t>
        </is>
      </c>
      <c r="N1317" s="11" t="inlineStr">
        <is>
          <t>19. In case of occurrence of any cyber incident, the REs are required to report the particulars of the incident to the Authority on cyber-incidents@ifsca.gov.in with a copy to CISO, IFSCA, not later than six (6) hours from the detection of the incident.</t>
        </is>
      </c>
      <c r="O1317" s="12" t="inlineStr">
        <is>
          <t>Open PDF</t>
        </is>
      </c>
    </row>
    <row r="1318">
      <c r="A1318" t="inlineStr">
        <is>
          <t>India</t>
        </is>
      </c>
      <c r="B1318" t="inlineStr">
        <is>
          <t>guidelines-on-cyber-security-and-cyber-resilience-for-regulated-entities-in-ifscs-1-10032025064412 (India - Row 5)</t>
        </is>
      </c>
      <c r="C1318" t="inlineStr">
        <is>
          <t>20</t>
        </is>
      </c>
      <c r="D1318" s="11" t="inlineStr">
        <is>
          <t>Interim reports and root cause analysis within deadlines</t>
        </is>
      </c>
      <c r="E1318" t="inlineStr">
        <is>
          <t>8–9</t>
        </is>
      </c>
      <c r="F1318" t="inlineStr">
        <is>
          <t>High</t>
        </is>
      </c>
      <c r="G1318" t="inlineStr">
        <is>
          <t>High (explicit)</t>
        </is>
      </c>
      <c r="H1318" s="11" t="inlineStr">
        <is>
          <t>Incident Reporting, Breach Notification</t>
        </is>
      </c>
      <c r="I1318" s="11" t="inlineStr">
        <is>
          <t>Personal Information</t>
        </is>
      </c>
      <c r="J1318" t="inlineStr">
        <is>
          <t>IFSCA</t>
        </is>
      </c>
      <c r="K1318" s="11" t="inlineStr">
        <is>
          <t>Regulated entities (REs) must submit an interim report within 3 days of an incident, followed by a detailed root cause analysis report within 30 days. REs must implement mitigation measures for the incident within 7 days. These obligations apply to REs operating in International Financial Services Centres (IFSCs) as per the guidelines.</t>
        </is>
      </c>
      <c r="L1318" s="11" t="inlineStr">
        <is>
          <t>Requires timely reporting and mitigation actions for incidents, which impacts DTIA by mandating specific timelines for root cause analysis and corrective measures across borders.</t>
        </is>
      </c>
      <c r="M1318" s="11" t="inlineStr">
        <is>
          <t>• [Must] REs shall submit interim report within 3 days
• [Must] REs shall submit detailed root cause analysis report within 30 days
• [Must] REs shall take mitigation measures within 7 days</t>
        </is>
      </c>
      <c r="N1318" s="11" t="inlineStr">
        <is>
          <t>20. Additionally, the REs shall submit the interim report within 3 days followed by a detailed root cause analysis report within 30 days. The REs shall take mitigation measures for the same within 7 days.</t>
        </is>
      </c>
      <c r="O1318" s="12" t="inlineStr">
        <is>
          <t>Open PDF</t>
        </is>
      </c>
    </row>
    <row r="1319">
      <c r="A1319" t="inlineStr">
        <is>
          <t>India</t>
        </is>
      </c>
      <c r="B1319" t="inlineStr">
        <is>
          <t>guidelines-on-cyber-security-and-cyber-resilience-for-regulated-entities-in-ifscs-1-10032025064412 (India - Row 5)</t>
        </is>
      </c>
      <c r="C1319" t="inlineStr">
        <is>
          <t>21</t>
        </is>
      </c>
      <c r="D1319" s="11" t="inlineStr">
        <is>
          <t>Exempted categories of regulated entities</t>
        </is>
      </c>
      <c r="E1319" t="inlineStr">
        <is>
          <t>9</t>
        </is>
      </c>
      <c r="F1319" t="inlineStr">
        <is>
          <t>High</t>
        </is>
      </c>
      <c r="G1319" t="inlineStr">
        <is>
          <t>High (explicit)</t>
        </is>
      </c>
      <c r="H1319" s="11" t="inlineStr"/>
      <c r="I1319" s="11" t="inlineStr">
        <is>
          <t>Personal Information</t>
        </is>
      </c>
      <c r="J1319" t="inlineStr">
        <is>
          <t>IFSCA</t>
        </is>
      </c>
      <c r="K1319" s="11" t="inlineStr">
        <is>
          <t>The following categories of regulated entities (REs) are exempt from the guidelines: REs operating as branches of regulated Indian or foreign entities; REs providing services to group entities only (e.g., Global In-House Centres); REs with fewer than 10 employees; and foreign universities established in IFSCs. These exemptions apply to REs operating in International Financial Services Centres.</t>
        </is>
      </c>
      <c r="L1319" s="11" t="inlineStr">
        <is>
          <t>Identifies specific REs exempt from compliance, which affects DTIA by reducing the scope of reporting and security requirements for certain entities operating in IFSCs.</t>
        </is>
      </c>
      <c r="M1319" s="11" t="inlineStr">
        <is>
          <t>• [Exempt] REs operating as branches of regulated Indian or foreign entities
• [Exempt] REs providing services to group entities only (e.g., Global In-House Centres)
• [Exempt] REs with fewer than 10 employees
• [Exempt] Foreign universities set up in IFSCs</t>
        </is>
      </c>
      <c r="N1319" s="11" t="inlineStr">
        <is>
          <t>21. The following categories of REs are exempted from the requirements mentioned in these Guidelines: a. The REs operating in the form of a branch of a regulated Indian or foreign entity. b. The REs providing services to their group entities only e.g. Global In-House Centres (GICs). c. The REs which have less than 10 employees. d. Foreign universities set up in IFSCs.</t>
        </is>
      </c>
      <c r="O1319" s="12" t="inlineStr">
        <is>
          <t>Open PDF</t>
        </is>
      </c>
    </row>
    <row r="1320">
      <c r="A1320" t="inlineStr">
        <is>
          <t>India</t>
        </is>
      </c>
      <c r="B1320" t="inlineStr">
        <is>
          <t>guidelines-on-cyber-security-and-cyber-resilience-for-regulated-entities-in-ifscs-1-10032025064412 (India - Row 5)</t>
        </is>
      </c>
      <c r="C1320" t="inlineStr">
        <is>
          <t>22</t>
        </is>
      </c>
      <c r="D1320" s="11" t="inlineStr">
        <is>
          <t>Conditions for exemptions from requirements</t>
        </is>
      </c>
      <c r="E1320" t="inlineStr">
        <is>
          <t>9–10</t>
        </is>
      </c>
      <c r="F1320" t="inlineStr">
        <is>
          <t>High</t>
        </is>
      </c>
      <c r="G1320" t="inlineStr">
        <is>
          <t>High (explicit)</t>
        </is>
      </c>
      <c r="H1320" s="11" t="inlineStr">
        <is>
          <t>Governance, Record Keeping</t>
        </is>
      </c>
      <c r="I1320" s="11" t="inlineStr">
        <is>
          <t>Personal Information</t>
        </is>
      </c>
      <c r="J1320" t="inlineStr">
        <is>
          <t>IFSCA</t>
        </is>
      </c>
      <c r="K1320" s="11" t="inlineStr">
        <is>
          <t>Exemptions granted under Section 21 are conditional on REs adopting the parent entity's Cyber Security and Cyber Resilience framework; designating the parent entity's CISO as the Designated Officer; ensuring the parent entity is regulated by a financial-sector regulator; and submitting certification within 90 days of each financial year. These exemptions are valid for three years from the guidelines' issuance date.</t>
        </is>
      </c>
      <c r="L1320" s="11" t="inlineStr">
        <is>
          <t>Sets conditions for exemption from compliance, which impacts DTIA by requiring specific alignment with parent entities' frameworks and timely certification for entities operating in IFSCs.</t>
        </is>
      </c>
      <c r="M1320" s="11" t="inlineStr">
        <is>
          <t>• [Must] REs shall adopt Cyber Security and Cyber Resilience framework and IS Policy of parent entity
• [Must] CISO of parent entity shall act as Designated Officer for REs in IFSC
• [Must] Parent entity shall be regulated by financial-sector regulator in home jurisdiction
• [Must] Parent entity's cyber security framework shall include REs in IFSC within scope
• [Must] Designated Officer shall certify systems/processes in line with guidelines within 90 days of financial year end
• [Must] Undertaking shall be submitted to IFSCA supervision division
• [Condition] Exemptions valid for three years from guidelines issuance</t>
        </is>
      </c>
      <c r="N1320" s="11" t="inlineStr">
        <is>
          <t>22. The exemptions to the REs provided vide para 21, are subject to fulϐilment of the following conditions: a. REs shall adopt the Cyber Security and Cyber Resilience framework and IS Policy of its parent entity. b. The CISO of the parent entity shall act as the Designated Ofϐicer for the REs in IFSC. c. The parent entity of REs, in India or overseas, shall be regulated by a financial-sector regulator in its home jurisdiction and cyber security and cyber resilience framework of the parent entity shall include within its scope, the REs in IFSC. The Designated Ofϐicer of the RE shall certify that all the necessary systems/processes have been put in place, which are in line with these Guidelines within 90 days of the end of each financial year. The said undertaking shall be submitted to the respective Department/ Division of IFSCA responsible for supervision of the RE. These exemptions have been granted for a period of three years from the date of the issuance of these guidelines.</t>
        </is>
      </c>
      <c r="O1320" s="12" t="inlineStr">
        <is>
          <t>Open PDF</t>
        </is>
      </c>
    </row>
    <row r="1321">
      <c r="A1321" t="inlineStr">
        <is>
          <t>Kenya</t>
        </is>
      </c>
      <c r="B1321" t="inlineStr">
        <is>
          <t>GUIDANCE-NOTE-ON-CYBERSECURITY-FOR-THE-BANKING-SECTOR</t>
        </is>
      </c>
      <c r="C1321" t="inlineStr">
        <is>
          <t>2</t>
        </is>
      </c>
      <c r="D1321" s="11" t="inlineStr">
        <is>
          <t>Policy statement for cybersecurity in banking sector</t>
        </is>
      </c>
      <c r="E1321" t="inlineStr">
        <is>
          <t>2</t>
        </is>
      </c>
      <c r="F1321" t="inlineStr">
        <is>
          <t>High</t>
        </is>
      </c>
      <c r="G1321" t="inlineStr">
        <is>
          <t>High (explicit)</t>
        </is>
      </c>
      <c r="H1321" s="11" t="inlineStr">
        <is>
          <t>Governance</t>
        </is>
      </c>
      <c r="I1321" s="11" t="inlineStr">
        <is>
          <t>Financial Data</t>
        </is>
      </c>
      <c r="J1321" t="inlineStr">
        <is>
          <t>Central Bank of Kenya (CBK)</t>
        </is>
      </c>
      <c r="K1321" s="11" t="inlineStr">
        <is>
          <t>This section outlines the purpose and scope of the Guidance Note on Cybersecurity for the Banking Sector. It establishes minimum standards for cybersecurity governance and risk management frameworks that institutions must adopt. The Guidance Note aims to create a secure cyberspace, combat cybercrime, protect critical information infrastructure, and maintain public trust in the financial system without replacing existing regulatory obligations.</t>
        </is>
      </c>
      <c r="L1321" s="11" t="inlineStr">
        <is>
          <t>This section sets the foundational policy for cybersecurity governance in banking institutions, requiring robust oversight mechanisms and risk management frameworks that must be integrated into the institution's overall risk management strategy. It establishes the baseline for assessing cyber risks and ensuring alignment with regulatory expectations.</t>
        </is>
      </c>
      <c r="M1321" s="11" t="inlineStr">
        <is>
          <t>• [Must] Create a safer and more secure cyberspace that underpins information system security priorities and promote stability of the Kenyan banking sector
• [Must] Establish a coordinated approach to the prevention and combating of cybercrime
• [Must] Up-scaling of identification and protection of critical information infrastructure
• [Must] Promotion of compliance with appropriate technical and operational cybersecurity standards
• [Must] Development of requisite skills, continuous building of capacity and promote a culture of fostering a strong interplay between policy, leveraging on technology to do business and risk management
• [Must] Maintenance of public trust and confidence in the financial system</t>
        </is>
      </c>
      <c r="N1321" s="11" t="inlineStr">
        <is>
          <t>This Guidance Note outlines the minimum requirements that institutions shall build upon in the development and implementation of strategies, policies, procedures and related activities aimed at mitigating cyber risk.</t>
        </is>
      </c>
      <c r="O1321" s="12" t="inlineStr">
        <is>
          <t>Open PDF</t>
        </is>
      </c>
    </row>
    <row r="1322">
      <c r="A1322" t="inlineStr">
        <is>
          <t>Kenya</t>
        </is>
      </c>
      <c r="B1322" t="inlineStr">
        <is>
          <t>GUIDANCE-NOTE-ON-CYBERSECURITY-FOR-THE-BANKING-SECTOR</t>
        </is>
      </c>
      <c r="C1322" t="inlineStr">
        <is>
          <t>3</t>
        </is>
      </c>
      <c r="D1322" s="11" t="inlineStr">
        <is>
          <t>Specific cybersecurity requirements for banking institutions</t>
        </is>
      </c>
      <c r="E1322" t="inlineStr">
        <is>
          <t>2–7</t>
        </is>
      </c>
      <c r="F1322" t="inlineStr">
        <is>
          <t>High</t>
        </is>
      </c>
      <c r="G1322" t="inlineStr">
        <is>
          <t>High (explicit)</t>
        </is>
      </c>
      <c r="H1322" s="11" t="inlineStr">
        <is>
          <t>Security, Incident Reporting</t>
        </is>
      </c>
      <c r="I1322" s="11" t="inlineStr">
        <is>
          <t>Financial Data</t>
        </is>
      </c>
      <c r="J1322" t="inlineStr">
        <is>
          <t>Central Bank of Kenya (CBK)</t>
        </is>
      </c>
      <c r="K1322" s="11" t="inlineStr">
        <is>
          <t>This section details specific cybersecurity requirements including governance structures, regular independent assessments, outsourcing protocols, and training programs. It mandates that institutions establish robust cybersecurity frameworks with clear responsibilities across the board, conduct annual independent threat assessments, and ensure third-party service providers meet regulatory standards. The requirements cover both technical and organizational aspects of cybersecurity.</t>
        </is>
      </c>
      <c r="L1322" s="11" t="inlineStr">
        <is>
          <t>This section provides detailed technical and organizational requirements for cybersecurity, including mandatory annual threat assessments, clear governance structures, and third-party risk management protocols that directly impact data transfer and processing security across borders.</t>
        </is>
      </c>
      <c r="M1322" s="11" t="inlineStr">
        <is>
          <t>• [Must] Board of Directors should understand the nature of their institution's business and cyber threats
• [Must] Board should oversee cultivation of ethical governance and management culture
• [Must] Board should engage management in establishing cybersecurity vision and risk appetite
• [Must] Board should allocate adequate cybersecurity budget based on institution structure
• [Must] Board should review management's determination of cybersecurity preparedness alignment with cyber risks
• [Must] Board should establish cybersecurity risk ownership and management accountability
• [Must] Board should approve and continuously review cybersecurity strategy, governance charter, policy and framework
• [Must] Board should ensure cybersecurity policy applies to all operating entities including subsidiaries
• [Must] Board should review implementation of cybersecurity framework at least once every 12 months
• [Must] Board should incorporate cybersecurity as a standard agenda in board meetings
• [Must] Senior Management should implement board-approved cybersecurity strategy
• [Must] Senior Management should understand cyber organizational scope and identify cyber threats
• [Must] Senior Management should ensure mitigation and recovery procedures for cyber risk incidents
• [Must] Senior Management should continuously improve collection and analysis of cybercrime information
• [Must] Senior Management should oversee deployment of strong authentication measures
• [Must] Senior Management should ensure provision of skilled staff for cybersecurity with enhanced background checks
• [Must] Senior Management should ensure timely reporting to the board on cyber risk status
• [Must] Senior Management should establish cybersecurity benchmarking framework with board endorsement
• [Must] Senior Management should incorporate cybersecurity as a standard agenda in senior management meetings
• [Must] Institutions should provide regular reports of cybersecurity posture to the board
• [Must] Institutions should document cybersecurity incident response plan with roles, responsibilities, incident detection and assessment
• [Must] Institutions should collaborate with other institutions and security agencies to share cyber threats
• [Must] Institutions should create post-incident analysis framework for corrective actions
• [Must] Institutions should oversee evaluation and management of risks introduced by third-party service providers
• [Must] CISO should oversee implementation of cybersecurity program and enforce cybersecurity policy
• [Must] CISO should ensure institution maintains current enterprise-wide knowledge base of users, devices, applications
• [Must] CISO should ensure information systems meet institution's needs and ICT strategy
• [Must] CISO should design cybersecurity controls with consideration of users at all levels
• [Must] CISO should organize professional cyber-related trainings to improve staff technical proficiency
• [Must] CISO should ensure regular and comprehensive cyber risk assessments
• [Must] CISO should ensure processes for monitoring IT systems to detect cybersecurity events
• [Must] CISO should report to CEO on cybersecurity assessment, exceptions, effectiveness of program, and material events
• [Must] CISO should ensure timely update of incident response mechanism and Business Continuity Plan
• [Must] CISO should incorporate scenario analysis to consider material cyber-attacks
• [Must] CISO should ensure frequent data backups of critical IT systems to separate storage locations
• [Must] CISO should ensure roles and responsibilities for managing cyber risks are clearly defined
• [Must] CISO should continuously test disaster recovery and Business Continuity Plans
• [Must] Institutions should engage external consultants with sufficient cybersecurity expertise
• [Must] Institutions should carry out independent cyber threat test at least once a year
• [Must] Institutions should incorporate qualified ICT auditors within Internal Audit team
• [Must] Internal ICT auditors should continuously review and report on cyber risks and controls
• [Must] Internal ICT auditors should assess design and effectiveness of cybersecurity framework
• [Must] Internal ICT auditors should conduct regular independent threat and vulnerability assessments
• [Must] Internal ICT auditors should report to board findings of assessments
• [Must] Internal ICT auditors should conduct comprehensive penetration tests
• [Must] Risk management function should assess cybersecurity risks and determine alignment with risk appetite
• [Must] Risk management function should monitor current and emerging cybersecurity risks
• [Must] Risk management function should collaborate with system administrators to ensure appropriate control design
• [Must] Risk management function should maintain comprehensive cyber risk registers
• [Must] Risk management function should ensure implementation of cyber risk management strategy
• [Must] Risk management function should safeguard confidentiality, integrity and availability of information
• [Must] Risk management function should establish comprehensive inventory of IT assets
• [Must] Risk management function should quantify potential impact by assessing residual cyber risk
• [Must] Risk management function should report all enterprise risks consistently to the board
• [Must] Risk management function should conduct red team exercises
• [Must] External auditors should ensure IT audit scope includes understanding institution's IT infrastructure
• [Must] External auditors should understand extent of institution's automated controls
• [Must] External auditors should conduct independent threat and vulnerability assessment
• [Must] External auditors should conduct comprehensive review of approved cybersecurity strategy
• [Must] External auditors should conduct comprehensive penetration tests
• [Must] External auditors should report annually to board and CBK on assessment findings</t>
        </is>
      </c>
      <c r="N1322" s="11" t="inlineStr">
        <is>
          <t>Institutions should carry out an independent cyber threat test at least once a year.</t>
        </is>
      </c>
      <c r="O1322" s="12" t="inlineStr">
        <is>
          <t>Open PDF</t>
        </is>
      </c>
    </row>
    <row r="1323">
      <c r="A1323" t="inlineStr">
        <is>
          <t>Kenya</t>
        </is>
      </c>
      <c r="B1323" t="inlineStr">
        <is>
          <t>GUIDANCE-NOTE-ON-CYBERSECURITY-FOR-THE-BANKING-SECTOR</t>
        </is>
      </c>
      <c r="C1323" t="inlineStr">
        <is>
          <t>3 (part 2)</t>
        </is>
      </c>
      <c r="D1323" s="11" t="inlineStr">
        <is>
          <t>PART III Specific Requirements (cont.)</t>
        </is>
      </c>
      <c r="E1323" t="inlineStr">
        <is>
          <t>7–10</t>
        </is>
      </c>
      <c r="F1323" t="inlineStr">
        <is>
          <t>Unknown</t>
        </is>
      </c>
      <c r="G1323" t="inlineStr">
        <is>
          <t>Low</t>
        </is>
      </c>
      <c r="H1323" s="11" t="inlineStr"/>
      <c r="I1323" s="11" t="inlineStr"/>
      <c r="J1323" t="inlineStr"/>
      <c r="K1323" s="11" t="inlineStr"/>
      <c r="L1323" s="11" t="inlineStr"/>
      <c r="M1323" s="11" t="inlineStr"/>
      <c r="N1323" s="11" t="inlineStr"/>
      <c r="O1323" s="12" t="inlineStr">
        <is>
          <t>Open PDF</t>
        </is>
      </c>
    </row>
    <row r="1324">
      <c r="A1324" t="inlineStr">
        <is>
          <t>Kenya</t>
        </is>
      </c>
      <c r="B1324" t="inlineStr">
        <is>
          <t>GUIDANCE-NOTE-ON-CYBERSECURITY-FOR-THE-BANKING-SECTOR</t>
        </is>
      </c>
      <c r="C1324" t="inlineStr">
        <is>
          <t>3 (part 3)</t>
        </is>
      </c>
      <c r="D1324" s="11" t="inlineStr">
        <is>
          <t>Outsourcing and Third-Party Cybersecurity Requirements</t>
        </is>
      </c>
      <c r="E1324" t="inlineStr">
        <is>
          <t>10–14</t>
        </is>
      </c>
      <c r="F1324" t="inlineStr">
        <is>
          <t>High</t>
        </is>
      </c>
      <c r="G1324" t="inlineStr">
        <is>
          <t>High (explicit)</t>
        </is>
      </c>
      <c r="H1324" s="11" t="inlineStr">
        <is>
          <t>Third Party Processing, Outsourcing</t>
        </is>
      </c>
      <c r="I1324" s="11" t="inlineStr">
        <is>
          <t>Financial Data</t>
        </is>
      </c>
      <c r="J1324" t="inlineStr">
        <is>
          <t>Central Bank of Kenya</t>
        </is>
      </c>
      <c r="K1324" s="11" t="inlineStr">
        <is>
          <t>Financial institutions must implement robust governance for outsourcing agreements, including due diligence on service providers, documented contracts, and monitoring of service delivery. They must treat outsourcing agreements as critical infrastructure, select vendors based on compliance and risk assessments, ensure computing resources are secured, and require service providers to comply with all applicable legal and regulatory frameworks. Institutions must also assess third-party risks, perform analytics on their outsourcing portfolio, collaborate with third parties to mitigate risks, and monitor for changes in third parties' business and cyber posture.</t>
        </is>
      </c>
      <c r="L1324" s="11" t="inlineStr">
        <is>
          <t>This section mandates specific cybersecurity controls for third-party relationships, requiring institutions to assess and manage risks from outsourcing agreements to ensure data security during cross-border or international transfers involving third parties.</t>
        </is>
      </c>
      <c r="M1324" s="11" t="inlineStr">
        <is>
          <t>• [Must] Have in place adequate governance of outsourcing agreements including due diligence on prospective service providers, documented outsourcing agreements and adequate monitoring of service delivery
• [Must] Consider all outsourcing agreements as critical infrastructure for regulation and protection for purposes of security of the banking sector and the economy at large
• [Must] Select their vendors based on compliance and risk assessments
• [Must] Ensure all computing resources are secured including registrations, licensing, compliance and verification
• [Must] Ensure all outsourcing contracts require service providers to comply with applicable legal and regulatory frameworks
• [Must] Understand the inherent risk arising from each third party
• [Must] Perform analytics on an institution's outsourcing portfolio to understand which pose the most relative risk to an institution
• [Must] Work collaboratively with third parties to mitigate risks that pose the most risk to an institution
• [Must] Monitor contracted third parties for changes in their business and cyber posture including expansions, divestitures, breaches and new attacks that may alter the third parties' exposure
• [Must] Service Level Agreements should have robust provisions in relation to security, service availability, performance metrics or penalties
• [Must] Develop exit management strategies and contingency plans</t>
        </is>
      </c>
      <c r="N1324" s="11" t="inlineStr">
        <is>
          <t>Have in place adequate governance of outsourcing agreements including due diligence on prospective service providers, documented outsourcing agreements and adequate monitoring of service delivery.</t>
        </is>
      </c>
      <c r="O1324" s="12" t="inlineStr">
        <is>
          <t>Open PDF</t>
        </is>
      </c>
    </row>
    <row r="1325">
      <c r="A1325" t="inlineStr">
        <is>
          <t>Kenya</t>
        </is>
      </c>
      <c r="B1325" t="inlineStr">
        <is>
          <t>GuidelinesonCybersecurityforPSPs (Kenya - Row19)</t>
        </is>
      </c>
      <c r="C1325" t="inlineStr">
        <is>
          <t>2</t>
        </is>
      </c>
      <c r="D1325" s="11" t="inlineStr">
        <is>
          <t>Policy statement for payment service providers' cybersecurity</t>
        </is>
      </c>
      <c r="E1325" t="inlineStr">
        <is>
          <t>2</t>
        </is>
      </c>
      <c r="F1325" t="inlineStr">
        <is>
          <t>High</t>
        </is>
      </c>
      <c r="G1325" t="inlineStr">
        <is>
          <t>High (explicit)</t>
        </is>
      </c>
      <c r="H1325" s="11" t="inlineStr">
        <is>
          <t>Governance, Incident Reporting, Breach Notification</t>
        </is>
      </c>
      <c r="I1325" s="11" t="inlineStr">
        <is>
          <t>Financial Data, Customer Data</t>
        </is>
      </c>
      <c r="J1325" t="inlineStr">
        <is>
          <t>Central Bank of Kenya (CBK)</t>
        </is>
      </c>
      <c r="K1325" s="11" t="inlineStr">
        <is>
          <t>This section establishes the purpose and scope of cybersecurity requirements for Payment Service Providers (PSPs) in Kenya. It mandates that PSPs develop cybersecurity strategies, frameworks, and policies to mitigate cyber risks while ensuring business continuity and financial stability. The guidelines require PSPs to align cybersecurity practices with their overall risk management and business objectives, with the Central Bank of Kenya (CBK) overseeing compliance.</t>
        </is>
      </c>
      <c r="L1325" s="11" t="inlineStr">
        <is>
          <t>This section defines the foundational cybersecurity governance framework for PSPs, requiring them to implement risk-based cybersecurity programs that protect critical payment systems. It directly impacts DTIAs by mandating specific risk assessments and incident response protocols for cross-border data transfers involving payment systems.</t>
        </is>
      </c>
      <c r="M1325" s="11" t="inlineStr">
        <is>
          <t>• [Must] PSPs must develop cybersecurity strategies, frameworks, and policies to mitigate cyber risks
• [Must] PSPs must align cybersecurity practices with overall business risk management objectives
• [Must] PSPs must maintain business continuity capabilities during cyber incidents
• [Must] PSPs must ensure cybersecurity programs address critical payment system risks</t>
        </is>
      </c>
      <c r="N1325" s="11" t="inlineStr">
        <is>
          <t>The Guidelines outline the minimum requirements that PSPs shall build upon in the development and implementation of strategies, frameworks, policies, procedures and related activities aimed at mitigating cyber risk.</t>
        </is>
      </c>
      <c r="O1325" s="12" t="inlineStr">
        <is>
          <t>Open PDF</t>
        </is>
      </c>
    </row>
    <row r="1326">
      <c r="A1326" t="inlineStr">
        <is>
          <t>Kenya</t>
        </is>
      </c>
      <c r="B1326" t="inlineStr">
        <is>
          <t>GuidelinesonCybersecurityforPSPs (Kenya - Row19)</t>
        </is>
      </c>
      <c r="C1326" t="inlineStr">
        <is>
          <t>3</t>
        </is>
      </c>
      <c r="D1326" s="11" t="inlineStr">
        <is>
          <t>Specific cybersecurity governance requirements for payment service providers</t>
        </is>
      </c>
      <c r="E1326" t="inlineStr">
        <is>
          <t>2</t>
        </is>
      </c>
      <c r="F1326" t="inlineStr">
        <is>
          <t>High</t>
        </is>
      </c>
      <c r="G1326" t="inlineStr">
        <is>
          <t>High (explicit)</t>
        </is>
      </c>
      <c r="H1326" s="11" t="inlineStr">
        <is>
          <t>Governance, Incident Reporting, Breach Notification</t>
        </is>
      </c>
      <c r="I1326" s="11" t="inlineStr">
        <is>
          <t>Financial Data, Customer Data</t>
        </is>
      </c>
      <c r="J1326" t="inlineStr">
        <is>
          <t>Central Bank of Kenya (CBK)</t>
        </is>
      </c>
      <c r="K1326" s="11" t="inlineStr">
        <is>
          <t>This section details specific governance requirements for Payment Service Providers (PSPs) in Kenya, including board responsibilities, senior management roles, and the Chief Information Security Officer (CISO) function. It mandates that PSPs establish clear accountability structures, implement robust cybersecurity programs, and conduct regular risk assessments to ensure the security of payment systems and customer data.</t>
        </is>
      </c>
      <c r="L1326" s="11" t="inlineStr">
        <is>
          <t>This section requires PSPs to implement comprehensive cybersecurity governance structures that directly impact data transfer assessments by mandating specific risk management protocols for cross-border payment systems and third-party data handling.</t>
        </is>
      </c>
      <c r="M1326" s="11" t="inlineStr">
        <is>
          <t>• [Must] Board of directors must oversee cybersecurity strategy development and implementation
• [Must] Board must review cybersecurity preparedness against cyber risk profile quarterly
• [Must] Senior management must implement cybersecurity strategy and monitor cyber threats
• [Must] CISO must report cybersecurity posture to board quarterly
• [Must] PSPs must maintain a cybersecurity incident response plan
• [Must] PSPs must conduct post-incident analysis to prevent future breaches</t>
        </is>
      </c>
      <c r="N1326" s="11" t="inlineStr">
        <is>
          <t>The board of directors is ultimately responsible for the cybersecurity of the PSP.</t>
        </is>
      </c>
      <c r="O1326" s="12" t="inlineStr">
        <is>
          <t>Open PDF</t>
        </is>
      </c>
    </row>
    <row r="1327">
      <c r="A1327" t="inlineStr">
        <is>
          <t>Kenya</t>
        </is>
      </c>
      <c r="B1327" t="inlineStr">
        <is>
          <t>GuidelinesonCybersecurityforPSPs (Kenya - Row19)</t>
        </is>
      </c>
      <c r="C1327" t="inlineStr">
        <is>
          <t>4</t>
        </is>
      </c>
      <c r="D1327" s="11" t="inlineStr">
        <is>
          <t>Transitional periods and reporting requirements for cybersecurity</t>
        </is>
      </c>
      <c r="E1327" t="inlineStr">
        <is>
          <t>2–8</t>
        </is>
      </c>
      <c r="F1327" t="inlineStr">
        <is>
          <t>High</t>
        </is>
      </c>
      <c r="G1327" t="inlineStr">
        <is>
          <t>High (explicit)</t>
        </is>
      </c>
      <c r="H1327" s="11" t="inlineStr">
        <is>
          <t>Incident Reporting, Breach Notification, Record Keeping</t>
        </is>
      </c>
      <c r="I1327" s="11" t="inlineStr">
        <is>
          <t>Financial Data, Customer Data</t>
        </is>
      </c>
      <c r="J1327" t="inlineStr">
        <is>
          <t>Central Bank of Kenya (CBK)</t>
        </is>
      </c>
      <c r="K1327" s="11" t="inlineStr">
        <is>
          <t>This section outlines transitional periods and reporting requirements for Payment Service Providers (PSPs) in Kenya, including the need to maintain cybersecurity incident records and templates. It mandates that PSPs document and report cybersecurity incidents in specific formats to ensure timely regulatory oversight and compliance with national payment system security standards.</t>
        </is>
      </c>
      <c r="L1327" s="11" t="inlineStr">
        <is>
          <t>This section requires PSPs to maintain detailed incident records for cybersecurity events, which is critical for DTIAs as it establishes baseline reporting requirements for cross-border data transfers involving payment systems.</t>
        </is>
      </c>
      <c r="M1327" s="11" t="inlineStr">
        <is>
          <t>• [Must] PSPs must maintain immediate cybersecurity incident records
• [Must] PSPs must maintain quarterly cybersecurity incident records</t>
        </is>
      </c>
      <c r="N1327" s="11" t="inlineStr">
        <is>
          <t>Cybersecurity incident record template (Immediate) and Cybersecurity incident record template (Quarterly)</t>
        </is>
      </c>
      <c r="O1327" s="12" t="inlineStr">
        <is>
          <t>Open PDF</t>
        </is>
      </c>
    </row>
    <row r="1328">
      <c r="A1328" t="inlineStr">
        <is>
          <t>Kenya</t>
        </is>
      </c>
      <c r="B1328" t="inlineStr">
        <is>
          <t>GuidelinesonCybersecurityforPSPs (Kenya - Row19)</t>
        </is>
      </c>
      <c r="C1328" t="inlineStr">
        <is>
          <t>4 (part 2)</t>
        </is>
      </c>
      <c r="D1328" s="11" t="inlineStr">
        <is>
          <t>(continued)</t>
        </is>
      </c>
      <c r="E1328" t="inlineStr">
        <is>
          <t>8–12</t>
        </is>
      </c>
      <c r="F1328" t="inlineStr">
        <is>
          <t>Unknown</t>
        </is>
      </c>
      <c r="G1328" t="inlineStr">
        <is>
          <t>Low</t>
        </is>
      </c>
      <c r="H1328" s="11" t="inlineStr"/>
      <c r="I1328" s="11" t="inlineStr"/>
      <c r="J1328" t="inlineStr"/>
      <c r="K1328" s="11" t="inlineStr"/>
      <c r="L1328" s="11" t="inlineStr"/>
      <c r="M1328" s="11" t="inlineStr"/>
      <c r="N1328" s="11" t="inlineStr"/>
      <c r="O1328" s="12" t="inlineStr">
        <is>
          <t>Open PDF</t>
        </is>
      </c>
    </row>
    <row r="1329">
      <c r="A1329" t="inlineStr">
        <is>
          <t>Kenya</t>
        </is>
      </c>
      <c r="B1329" t="inlineStr">
        <is>
          <t>GuidelinesonCybersecurityforPSPs (Kenya - Row19)</t>
        </is>
      </c>
      <c r="C1329" t="inlineStr">
        <is>
          <t>4 (part 3)</t>
        </is>
      </c>
      <c r="D1329" s="11" t="inlineStr">
        <is>
          <t>Cybersecurity training, monitoring, and reporting requirements for PSPs</t>
        </is>
      </c>
      <c r="E1329" t="inlineStr">
        <is>
          <t>12–16</t>
        </is>
      </c>
      <c r="F1329" t="inlineStr">
        <is>
          <t>High</t>
        </is>
      </c>
      <c r="G1329" t="inlineStr">
        <is>
          <t>High (explicit)</t>
        </is>
      </c>
      <c r="H1329" s="11" t="inlineStr">
        <is>
          <t>Security, Incident Reporting, Breach Notification</t>
        </is>
      </c>
      <c r="I1329" s="11" t="inlineStr">
        <is>
          <t>Financial Data</t>
        </is>
      </c>
      <c r="J1329" t="inlineStr">
        <is>
          <t>CBK</t>
        </is>
      </c>
      <c r="K1329" s="11" t="inlineStr">
        <is>
          <t>PSPs must conduct regular cybersecurity training for staff and users to improve technical proficiency and cyber hygiene. They must implement processes to monitor IT systems for timely detection of cybersecurity events and incidents. PSPs must report to the CEO quarterly on information system confidentiality, integrity, availability, policy exceptions, cybersecurity program effectiveness, and material cyber events. They must also report to the Board quarterly on cybersecurity management capabilities and strategy implementation progress. Additionally, PSPs must update incident response mechanisms and business continuity plans based on threat intelligence, incorporate scenario analysis for cyber-attacks, ensure critical backups with disaster recovery objectives, define cyber risk management roles, implement business continuity plans, assess cybersecurity program effectiveness, and report cybersecurity posture to senior management, board, and audit committees.</t>
        </is>
      </c>
      <c r="L1329" s="11" t="inlineStr">
        <is>
          <t>PSPs must maintain robust cybersecurity monitoring, reporting, and incident response mechanisms to ensure data protection across borders. These requirements directly impact cross-border data transfers by mandating timely incident reporting and business continuity planning for critical systems.</t>
        </is>
      </c>
      <c r="M1329" s="11" t="inlineStr">
        <is>
          <t>• [Must] Organize professional cyber-related trainings to improve staff technical proficiency and user awareness for cyber hygiene
• [Must] Ensure adequate processes for monitoring IT systems to detect cybersecurity events and incidents timely
• [Must] Report to CEO quarterly on information system confidentiality, integrity, and availability assessments
• [Must] Report to CEO quarterly on detailed exceptions to approved cybersecurity policies and procedures
• [Must] Report to CEO quarterly on effectiveness of approved cybersecurity program
• [Must] Report to CEO quarterly on all material cybersecurity events affecting PSP during period
• [Must] Report to Board quarterly on PSP's capability to manage cybersecurity and progress in implementation of cybersecurity strategy and goals
• [Must] Ensure timely update of incident response mechanism and Business Continuity Plan based on latest cyber threat intelligence
• [Must] Incorporate scenario analysis to consider material cyber-attacks, mitigating actions, and identify control gaps
• [Must] Ensure adequate backups of critical IT systems and data with recovery objectives to sites unlikely affected by disasters
• [Must] Define, document, and communicate roles and responsibilities for managing cyber risks including emergency decision-making
• [Must] Implement Business Continuity Plan and disaster recovery test plans to ensure PSP functions post cyber-attack
• [Must] Assess overall effectiveness of PSP's cybersecurity program
• [Must] Periodically report on organization's cybersecurity posture to senior management, board, and audit committee</t>
        </is>
      </c>
      <c r="N1329" s="11" t="inlineStr">
        <is>
          <t>e) Organizing professional cyber related trainings to improve technical proficiency of staff and user awareness trainings for improved cyber hygiene. f) Ensure that adequate processes are in place for monitoring IT systems to detect cybersecurity events and incidents in a timely manner. g) Reporting to the CEO on an agreed interval but not less than once per quarter on the following: ... h) Reporting to the Board on an agreed interval but not less than once per quarter on the PSP's capability to manage cybersecurity and progress in implementation of the cybersecurity strategy and goals. i) Ensure timely update of the incident response mechanism and Business Continuity Plan (BCP) based on the latest cyber threat intelligence gathered. j) Incorporate the utilization of scenario analysis to consider a material cyber-attack, mitigating actions, and identify potential control gaps. k) Ensure adequate backups of critical IT systems and data in line with predetermined recovery objectives (e.g. real time back up of changes made to critical data) are carried out to a site that is unlikely to be affected by a disaster event at the main processing site. l) Ensure the roles and responsibilities of managing cyber risks, including in emergency or crisis decision-making, are clearly defined, documented and communicated to relevant staff. m) Put in place BCP and disaster recovery test plans to ensure that the PSP can continue to function and meet its regulatory obligations in the event of an unforeseen attack through cyber-crime. n) Assessing the overall effectiveness of the PSP's cybersecurity program. o) Periodically reporting on the organization's cybersecurity posture to senior management, board and audit committee.</t>
        </is>
      </c>
      <c r="O1329" s="12" t="inlineStr">
        <is>
          <t>Open PDF</t>
        </is>
      </c>
    </row>
    <row r="1330">
      <c r="A1330" t="inlineStr">
        <is>
          <t>Kenya</t>
        </is>
      </c>
      <c r="B1330" t="inlineStr">
        <is>
          <t>GuidelinesonCybersecurityforPSPs (Kenya - Row19)</t>
        </is>
      </c>
      <c r="C1330" t="inlineStr">
        <is>
          <t>4 (part 4)</t>
        </is>
      </c>
      <c r="D1330" s="11" t="inlineStr">
        <is>
          <t>Cyber incident response and resilience requirements for payment systems</t>
        </is>
      </c>
      <c r="E1330" t="inlineStr">
        <is>
          <t>16–20</t>
        </is>
      </c>
      <c r="F1330" t="inlineStr">
        <is>
          <t>High</t>
        </is>
      </c>
      <c r="G1330" t="inlineStr">
        <is>
          <t>High (explicit)</t>
        </is>
      </c>
      <c r="H1330" s="11" t="inlineStr">
        <is>
          <t>Incident Reporting, Breach Notification</t>
        </is>
      </c>
      <c r="I1330" s="11" t="inlineStr">
        <is>
          <t>Financial Data</t>
        </is>
      </c>
      <c r="J1330" t="inlineStr">
        <is>
          <t>CBK</t>
        </is>
      </c>
      <c r="K1330" s="11" t="inlineStr">
        <is>
          <t>Payment service providers must notify CBK or credible sources of malware infections, data breaches, or unauthorized system access. They must develop incident response plans covering internal processes, roles, communications, remediation requirements, documentation, and plan revisions. PSPs must also maintain situational awareness, secure offline storage of financial records, and conduct tests to prevent significant customer service disruptions.</t>
        </is>
      </c>
      <c r="L1330" s="11" t="inlineStr">
        <is>
          <t>Requires PSPs to have robust incident response capabilities and resilience planning for cross-border data transfers involving payment systems, ensuring timely breach detection and recovery.</t>
        </is>
      </c>
      <c r="M1330" s="11" t="inlineStr">
        <is>
          <t>• [Must] PSPs must report malware infections or unauthorized system access to CBK or credible sources
• [Must] PSPs must notify CBK of data breaches or potential breaches
• [Must] PSPs must develop incident response plans covering internal processes, roles, communications, remediation, documentation, and plan revisions
• [Must] PSPs must maintain situational awareness to predict and respond to environmental changes
• [Must] PSPs must store critical financial records securely offline for restoration after disruptions
• [Must] PSPs must conduct tests to prevent significant customer service disruptions from cyber events</t>
        </is>
      </c>
      <c r="N1330" s="11" t="inlineStr">
        <is>
          <t>a) a PSP or its agent is informed, through any source, of the installation or existence of any malware in any of its systems or environments, or any system or environment of one of its agents, no matter where such malware is located or how it was introduced; b) a PSP or its agent receives notification from CBK, or any other credible source that the PSP or its agent(s) has experienced a data breach or a potential data breach; or c) a PSP or its agent discovers or, in the exercise of reasonable diligence, should have discovered a data breach or unauthorized penetration of its own system or environment or the system or environment of its agent(s).</t>
        </is>
      </c>
      <c r="O1330" s="12" t="inlineStr">
        <is>
          <t>Open PDF</t>
        </is>
      </c>
    </row>
    <row r="1331">
      <c r="A1331" t="inlineStr">
        <is>
          <t>Kenya</t>
        </is>
      </c>
      <c r="B1331" t="inlineStr">
        <is>
          <t>GuidelinesonCybersecurityforPSPs (Kenya - Row19)</t>
        </is>
      </c>
      <c r="C1331" t="inlineStr">
        <is>
          <t>4 (part 5)</t>
        </is>
      </c>
      <c r="D1331" s="11" t="inlineStr">
        <is>
          <t>Cybersecurity incident reporting requirements</t>
        </is>
      </c>
      <c r="E1331" t="inlineStr">
        <is>
          <t>20–24</t>
        </is>
      </c>
      <c r="F1331" t="inlineStr">
        <is>
          <t>High</t>
        </is>
      </c>
      <c r="G1331" t="inlineStr">
        <is>
          <t>High (explicit)</t>
        </is>
      </c>
      <c r="H1331" s="11" t="inlineStr">
        <is>
          <t>Incident Reporting, Breach Notification</t>
        </is>
      </c>
      <c r="I1331" s="11" t="inlineStr">
        <is>
          <t>Financial Data</t>
        </is>
      </c>
      <c r="J1331" t="inlineStr">
        <is>
          <t>Central Bank of Kenya (CBK)</t>
        </is>
      </c>
      <c r="K1331" s="11" t="inlineStr">
        <is>
          <t>PSPs must notify CBK within 24 hours and SWIPS/SIPS within 2 hours of significant cybersecurity incidents affecting services, reputation, or financial condition. They must also submit comprehensive incident reports quarterly.</t>
        </is>
      </c>
      <c r="L1331" s="11" t="inlineStr">
        <is>
          <t>Mandates immediate reporting of critical incidents to regulators, ensuring timely intervention for data transfers and financial stability.</t>
        </is>
      </c>
      <c r="M1331" s="11" t="inlineStr">
        <is>
          <t>• [Must] PSPs must notify CBK within 24 hours of significant cybersecurity incidents impacting services, reputation, or financial condition.
• [Must] SWIPS and SIPS must notify CBK within 2 hours of significant cybersecurity incidents.
• [Must] PSPs must submit quarterly cybersecurity incident reports to CBK by the 10th day after each quarter end.</t>
        </is>
      </c>
      <c r="N1331" s="11" t="inlineStr">
        <is>
          <t>PSPs should notify CBK within 24 hours, and SWIPS and SIPS within 2 hours, of any Cybersecurity incident(s) that could have a significant and adverse impact on the PSP's ability to provide adequate services to its customers, its reputation or financial condition in the format set out as Annex II (Immediate) to this Guideline. This should be followed by a comprehensive report on the incident. On a quarterly basis, PSPs shall provide Central Bank of Kenya with a report in the format set out as Annex III (Quarterly) to this Guideline, concerning its occurrence and handling of Cybersecurity incidents.</t>
        </is>
      </c>
      <c r="O1331" s="12" t="inlineStr">
        <is>
          <t>Open PDF</t>
        </is>
      </c>
    </row>
    <row r="1332">
      <c r="A1332" t="inlineStr">
        <is>
          <t>Kenya</t>
        </is>
      </c>
      <c r="B1332" t="inlineStr">
        <is>
          <t>THE-DATA-PROTECTION-COMPLAINTS-HANDLING-AND-ENFORCEMENT (Kenya - Row 15)</t>
        </is>
      </c>
      <c r="C1332" t="inlineStr">
        <is>
          <t>1</t>
        </is>
      </c>
      <c r="D1332" s="11" t="inlineStr">
        <is>
          <t>Regulation citation</t>
        </is>
      </c>
      <c r="E1332" t="inlineStr">
        <is>
          <t>3</t>
        </is>
      </c>
      <c r="F1332" t="inlineStr">
        <is>
          <t>None</t>
        </is>
      </c>
      <c r="G1332" t="inlineStr">
        <is>
          <t>High (explicit)</t>
        </is>
      </c>
      <c r="H1332" s="11" t="inlineStr"/>
      <c r="I1332" s="11" t="inlineStr"/>
      <c r="J1332" t="inlineStr"/>
      <c r="K1332" s="11" t="inlineStr">
        <is>
          <t>These Regulations are formally named the Data Protection (Complaints Handling Procedure and Enforcement) Regulations, 2021. They establish the citation for the regulations within the legal framework. The citation is used to reference the regulations in subsequent legal proceedings and communications.</t>
        </is>
      </c>
      <c r="L1332" s="11" t="inlineStr"/>
      <c r="M1332" s="11" t="inlineStr">
        <is>
          <t>• [Must] These Regulations may be cited as the Data Protection (Complaints Handling Procedure and Enforcement) Regulations, 2021</t>
        </is>
      </c>
      <c r="N1332" s="11" t="inlineStr">
        <is>
          <t>These Regulations may be cited as the Data Protection (Complaints Handling Procedure and Enforcement) Regulations, 2021.</t>
        </is>
      </c>
      <c r="O1332" s="12" t="inlineStr">
        <is>
          <t>Open PDF</t>
        </is>
      </c>
    </row>
    <row r="1333">
      <c r="A1333" t="inlineStr">
        <is>
          <t>Kenya</t>
        </is>
      </c>
      <c r="B1333" t="inlineStr">
        <is>
          <t>THE-DATA-PROTECTION-COMPLAINTS-HANDLING-AND-ENFORCEMENT (Kenya - Row 15)</t>
        </is>
      </c>
      <c r="C1333" t="inlineStr">
        <is>
          <t>2</t>
        </is>
      </c>
      <c r="D1333" s="11" t="inlineStr">
        <is>
          <t>Key terms defined</t>
        </is>
      </c>
      <c r="E1333" t="inlineStr">
        <is>
          <t>3</t>
        </is>
      </c>
      <c r="F1333" t="inlineStr">
        <is>
          <t>None</t>
        </is>
      </c>
      <c r="G1333" t="inlineStr">
        <is>
          <t>High (explicit)</t>
        </is>
      </c>
      <c r="H1333" s="11" t="inlineStr"/>
      <c r="I1333" s="11" t="inlineStr"/>
      <c r="J1333" t="inlineStr"/>
      <c r="K1333" s="11" t="inlineStr">
        <is>
          <t>This section defines critical terms used throughout the Regulations. It specifies that 'data subject' refers to a person who has lodged a complaint, 'Data Protection Commissioner' refers to the appointed official, and 'Office' refers to the Data Protection Commissioner's office. The definitions ensure clarity in interpreting the regulations.</t>
        </is>
      </c>
      <c r="L1333" s="11" t="inlineStr"/>
      <c r="M1333" s="11" t="inlineStr">
        <is>
          <t>• [Must] means a data subject or a person who has lodged a complaint pursuant to regulation 4
• [Must] means the person appointed under section 6 of the Act
• [Must] means the office of the Data Protection Commissioner
• [Must] Commissioner under regulation 16
• [Must] Commissioner under regulation 20
• [Must] lodged
• [Must] writing, directing a person to appear before the Office</t>
        </is>
      </c>
      <c r="N1333" s="11" t="inlineStr">
        <is>
          <t>In these Regulations, unless the context otherwise requires means a data subject or a person who has lodged a complaint pursuant to regulation 4; means the person appointed under section 6 of the Act; means the office of the Data Protection Commissioner; Commissioner under regulation 16; Commissioner under regulation 20; lodged; and writing, directing a person to appear before the Office.</t>
        </is>
      </c>
      <c r="O1333" s="12" t="inlineStr">
        <is>
          <t>Open PDF</t>
        </is>
      </c>
    </row>
    <row r="1334">
      <c r="A1334" t="inlineStr">
        <is>
          <t>Kenya</t>
        </is>
      </c>
      <c r="B1334" t="inlineStr">
        <is>
          <t>THE-DATA-PROTECTION-COMPLAINTS-HANDLING-AND-ENFORCEMENT (Kenya - Row 15)</t>
        </is>
      </c>
      <c r="C1334" t="inlineStr">
        <is>
          <t>3</t>
        </is>
      </c>
      <c r="D1334" s="11" t="inlineStr">
        <is>
          <t>Regulations' purpose</t>
        </is>
      </c>
      <c r="E1334" t="inlineStr">
        <is>
          <t>3–4</t>
        </is>
      </c>
      <c r="F1334" t="inlineStr">
        <is>
          <t>None</t>
        </is>
      </c>
      <c r="G1334" t="inlineStr">
        <is>
          <t>High (explicit)</t>
        </is>
      </c>
      <c r="H1334" s="11" t="inlineStr"/>
      <c r="I1334" s="11" t="inlineStr"/>
      <c r="J1334" t="inlineStr"/>
      <c r="K1334" s="11" t="inlineStr">
        <is>
          <t>These Regulations aim to ensure fair and efficient complaint resolution by the Data Commissioner, provide mechanisms for enforcement notices and penalty notices, establish procedures for hearing complaints, and enable alternative dispute resolution as specified in the Act. The purpose is to streamline complaint handling while adhering to legal standards.</t>
        </is>
      </c>
      <c r="L1334" s="11" t="inlineStr"/>
      <c r="M1334" s="11" t="inlineStr"/>
      <c r="N1334" s="11" t="inlineStr">
        <is>
          <t>The object and purpose of these Regulations is to (a) facilitate a fair, impartial, just, expeditious, proportionate and affordable determination of complaints lodged with the Data Commissioner in accordance with the Act and these Regulations, without undue regard to technicalities of procedure; (b) provide for issuance of enforcement notices as contemplated under section 58 of the Act; (c) provide for issuance of penalty notices as contemplated under section 62 of the Act; (d) provide for the procedure for hearing and determining of complaints; and (e) provide for the resolution of complaints lodged with the Data Commissioner by means of alternative dispute resolution mechanisms as specified under section 9(1) (c) of the Act.</t>
        </is>
      </c>
      <c r="O1334" s="12" t="inlineStr">
        <is>
          <t>Open PDF</t>
        </is>
      </c>
    </row>
    <row r="1335">
      <c r="A1335" t="inlineStr">
        <is>
          <t>Kenya</t>
        </is>
      </c>
      <c r="B1335" t="inlineStr">
        <is>
          <t>THE-DATA-PROTECTION-COMPLAINTS-HANDLING-AND-ENFORCEMENT (Kenya - Row 15)</t>
        </is>
      </c>
      <c r="C1335" t="inlineStr">
        <is>
          <t>4</t>
        </is>
      </c>
      <c r="D1335" s="11" t="inlineStr">
        <is>
          <t>Complaint lodging procedures</t>
        </is>
      </c>
      <c r="E1335" t="inlineStr">
        <is>
          <t>4</t>
        </is>
      </c>
      <c r="F1335" t="inlineStr">
        <is>
          <t>None</t>
        </is>
      </c>
      <c r="G1335" t="inlineStr">
        <is>
          <t>High (explicit)</t>
        </is>
      </c>
      <c r="H1335" s="11" t="inlineStr"/>
      <c r="I1335" s="11" t="inlineStr"/>
      <c r="J1335" t="inlineStr"/>
      <c r="K1335" s="11" t="inlineStr">
        <is>
          <t>Complaints can be lodged with the Data Commissioner either orally, electronically, or via other means. The complaint must be filed in Form DPC 1, and the Data Commissioner must acknowledge receipt within seven days. Lodging complaints is free of charge, and the complainant may lodge the complaint in person, by a representative, or anonymously.</t>
        </is>
      </c>
      <c r="L1335" s="11" t="inlineStr"/>
      <c r="M1335" s="11" t="inlineStr">
        <is>
          <t>• [Must] A complaint lodged under sub-regulation (1) may be lodged in Form DPC 1 set out in the Schedule
• [Must] A complaint may be lodged orally, subject to section 56(3) of the Act
• [Must] A complaint may be lodged through electronic means, including email, web posting, complaint management information system
• [Must] A complaint may be lodged by the complainant in person
• [Must] A complaint may be lodged by a person acting on behalf of the complainant
• [Must] A complaint may be lodged by any other person authorized by law to act on behalf of a data subject
• [Must] A complaint may be lodged anonymously
• [Must] The Data Commissioner shall acknowledge receipt of the complaint within seven days of receipt
• [Must] The complaint shall be lodged free of charge</t>
        </is>
      </c>
      <c r="N1335" s="11" t="inlineStr">
        <is>
          <t>(1) Pursuant to section 56 of the Act, a data subject or any person aggrieved on any matter under the Act may lodge a complaint with the Data Commissioner. (2) A complaint lodged under sub-regulation (1) may be lodged in Form DPC 1 set out in the Schedule (a) orally, subject to section 56(3) of the Act; (b) through electronic means, including email, web posting, complaint management information system; or (c) by any other appropriate means. (3) A complaint under sub-regulation (1) may be lodged (a) by the complainant in person; (b) by a person acting on behalf of the complainant; (c) by any other person authorized by law to act on behalf of a data subject; or (d) anonymously. (4) The Data Commissioner shall acknowledge receipt of the complaint within seven days of receipt of the complaint under sub-regulation (1). (5) The complaint under sub-regulation (1) shall be lodged free of charge.</t>
        </is>
      </c>
      <c r="O1335" s="12" t="inlineStr">
        <is>
          <t>Open PDF</t>
        </is>
      </c>
    </row>
    <row r="1336">
      <c r="A1336" t="inlineStr">
        <is>
          <t>Kenya</t>
        </is>
      </c>
      <c r="B1336" t="inlineStr">
        <is>
          <t>THE-DATA-PROTECTION-COMPLAINTS-HANDLING-AND-ENFORCEMENT (Kenya - Row 15)</t>
        </is>
      </c>
      <c r="C1336" t="inlineStr">
        <is>
          <t>5</t>
        </is>
      </c>
      <c r="D1336" s="11" t="inlineStr">
        <is>
          <t>Register of complaints</t>
        </is>
      </c>
      <c r="E1336" t="inlineStr">
        <is>
          <t>4</t>
        </is>
      </c>
      <c r="F1336" t="inlineStr">
        <is>
          <t>None</t>
        </is>
      </c>
      <c r="G1336" t="inlineStr">
        <is>
          <t>High (explicit)</t>
        </is>
      </c>
      <c r="H1336" s="11" t="inlineStr"/>
      <c r="I1336" s="11" t="inlineStr"/>
      <c r="J1336" t="inlineStr"/>
      <c r="K1336" s="11" t="inlineStr">
        <is>
          <t>The Data Commissioner must maintain an up-to-date Register of Complaints that includes the complainant's details and the complaint filed. The Commissioner must protect the complainant's identity if requested, ensuring privacy and confidentiality in complaint handling.</t>
        </is>
      </c>
      <c r="L1336" s="11" t="inlineStr"/>
      <c r="M1336" s="11" t="inlineStr">
        <is>
          <t>• [Must] The Data Commissioner shall keep and maintain an up to date Register of Complaints
• [Must] An entry into the register of complaints shall state the particulars of the complainant and the complaint filed with the Data Commissioner
• [Must] The Data Commissioner shall protect the identity of the complainant where the request to protect the identity is sought by the complainant</t>
        </is>
      </c>
      <c r="N1336" s="11" t="inlineStr">
        <is>
          <t>(1) The Data Commissioner shall keep and maintain an up to date Register of Complaints. (2) An entry into the register of complaints shall state the particulars of the complainant and the complaint filed with the Data Commissioner. (3) The Data Commissioner shall protect the identity of the complainant where the request to protect the identity is sought by the complainant.</t>
        </is>
      </c>
      <c r="O1336" s="12" t="inlineStr">
        <is>
          <t>Open PDF</t>
        </is>
      </c>
    </row>
    <row r="1337">
      <c r="A1337" t="inlineStr">
        <is>
          <t>Kenya</t>
        </is>
      </c>
      <c r="B1337" t="inlineStr">
        <is>
          <t>THE-DATA-PROTECTION-COMPLAINTS-HANDLING-AND-ENFORCEMENT (Kenya - Row 15)</t>
        </is>
      </c>
      <c r="C1337" t="inlineStr">
        <is>
          <t>6</t>
        </is>
      </c>
      <c r="D1337" s="11" t="inlineStr">
        <is>
          <t>Complaint admission procedures</t>
        </is>
      </c>
      <c r="E1337" t="inlineStr">
        <is>
          <t>4–5</t>
        </is>
      </c>
      <c r="F1337" t="inlineStr">
        <is>
          <t>None</t>
        </is>
      </c>
      <c r="G1337" t="inlineStr">
        <is>
          <t>High (explicit)</t>
        </is>
      </c>
      <c r="H1337" s="11" t="inlineStr"/>
      <c r="I1337" s="11" t="inlineStr"/>
      <c r="J1337" t="inlineStr"/>
      <c r="K1337" s="11" t="inlineStr">
        <is>
          <t>The Data Commissioner must conduct a preliminary review of complaints upon receipt. The Commissioner may admit the complaint, advise the complainant that the matter is outside their mandate, or refer the complaint to another body. If the complaint is declined, it may be re-admitted within six months if new issues arise under the Act.</t>
        </is>
      </c>
      <c r="L1337" s="11" t="inlineStr"/>
      <c r="M1337" s="11" t="inlineStr">
        <is>
          <t>• [Must] The Data Commissioner shall undertake a preliminary review of a complaint, upon receipt of the complaint by the Office
• [Must] The Data Commissioner may, upon undertaking a preliminary review of the complaint, admit the complaint
• [Must] The Data Commissioner may, upon undertaking a preliminary review of the complaint, advise the complainant in writing that the matter is not within the mandate of the Data Commissioner
• [Must] The Data Commissioner may, upon undertaking a preliminary review of the complaint, advise the complainant that the matter lies for determination by another body or institution and refer the complainant to that body or institution
• [Must] Despite sub-regulation (2), the Data Commissioner may decline to admit a complaint where the complaint does not raise any issue under the Act
• [Must] Upon admission of a complaint, the Data Commissioner may conduct an inquiry into the complaint
• [Must] Upon admission of a complaint, the Data Commissioner may conduct investigations
• [Must] Upon admission of a complaint, the Data Commissioner may facilitate mediation, conciliation or negotiation in accordance with the Act and these Regulations
• [Must] Upon admission of a complaint, the Data Commissioner may use any other mechanisms to resolve the complaint
• [Must] Where a complaint is declined for admission under sub-regulation (3), the complaint may be re-admitted within six months from the date of decline, where the complaint raises new issues for determination under the Act</t>
        </is>
      </c>
      <c r="N1337" s="11" t="inlineStr">
        <is>
          <t>(1) The Data Commissioner shall undertake a preliminary review of a complaint, upon receipt of the complaint by the Office. (2) The Data Commissioner may, upon undertaking a preliminary review of the complaint (a) admit the complaint; (b) where applicable, advise the complainant in writing that the matter is not within the mandate of the Data Commissioner; or (c) advise the complainant that the matter lies for determination by another body or institution and refer the complainant to that body or institution. (3) Despite sub-regulation (2), the Data Commissioner may decline to admit a complaint where the complaint does not raise any issue under the Act. (4) Upon admission of a complaint, the Data Commissioner may (a) conduct an inquiry into the complaint; (b) conduct investigations; (c) facilitate mediation, conciliation or negotiation in accordance with the Act and these Regulations; or (d) use any other mechanisms to resolve the complaint. (5) Where a complaint is declined for admission under sub-regulation (3), the complaint may be re-admitted within six months from the date of decline, where the complaint raises new issues for determination under the Act.</t>
        </is>
      </c>
      <c r="O1337" s="12" t="inlineStr">
        <is>
          <t>Open PDF</t>
        </is>
      </c>
    </row>
    <row r="1338">
      <c r="A1338" t="inlineStr">
        <is>
          <t>Kenya</t>
        </is>
      </c>
      <c r="B1338" t="inlineStr">
        <is>
          <t>THE-DATA-PROTECTION-COMPLAINTS-HANDLING-AND-ENFORCEMENT (Kenya - Row 15)</t>
        </is>
      </c>
      <c r="C1338" t="inlineStr">
        <is>
          <t>7</t>
        </is>
      </c>
      <c r="D1338" s="11" t="inlineStr">
        <is>
          <t>Discontinuation of complaints</t>
        </is>
      </c>
      <c r="E1338" t="inlineStr">
        <is>
          <t>5</t>
        </is>
      </c>
      <c r="F1338" t="inlineStr">
        <is>
          <t>None</t>
        </is>
      </c>
      <c r="G1338" t="inlineStr">
        <is>
          <t>High (explicit)</t>
        </is>
      </c>
      <c r="H1338" s="11" t="inlineStr"/>
      <c r="I1338" s="11" t="inlineStr"/>
      <c r="J1338" t="inlineStr">
        <is>
          <t>Data Commissioner</t>
        </is>
      </c>
      <c r="K1338" s="11" t="inlineStr">
        <is>
          <t>The Data Commissioner can terminate a complaint if it lacks merit or the complainant fails to engage without justifiable cause. The Commissioner must provide written reasons within fourteen days and allow the complainant to re-institute the complaint with new grounds.</t>
        </is>
      </c>
      <c r="L1338" s="11" t="inlineStr"/>
      <c r="M1338" s="11" t="inlineStr">
        <is>
          <t>• [Must] The Data Commissioner may discontinue an existing complaint in Form DPC 2 where the complaint does not merit further consideration
• [Must] The Data Commissioner may discontinue an existing complaint in Form DPC 2 where the complainant refuses, fails or neglects to communicate without justifiable cause
• [Must] The Data Commissioner shall provide written reasons for discontinuation within fourteen days of the decision
• [May] A complainant may re-institute a discontinued complaint by providing grounds for restitution to the Data Commissioner</t>
        </is>
      </c>
      <c r="N1338" s="11" t="inlineStr">
        <is>
          <t>7. (1) The Data Commissioner may discontinue an existing complaint in Form DPC 2 set out in the Schedule, where (a) a complaint does not merit further consideration; or (b) a complainant refuses, fails or neglects to communicate without justifiable cause. (2) The Data Commissioner shall provide the reasons for discontinuation on any of the grounds specified under sub-regulation (1) (a) or (b) and shall, in writing, notify the complainant and respondent within fourteen days from the date the decision to discontinue a complaint is made. (3) A complainant may, where a complaint has been discontinued pursuant to these Regulations, re-institute a complaint upon providing grounds for the restitution to the Data Commissioner.</t>
        </is>
      </c>
      <c r="O1338" s="12" t="inlineStr">
        <is>
          <t>Open PDF</t>
        </is>
      </c>
    </row>
    <row r="1339">
      <c r="A1339" t="inlineStr">
        <is>
          <t>Kenya</t>
        </is>
      </c>
      <c r="B1339" t="inlineStr">
        <is>
          <t>THE-DATA-PROTECTION-COMPLAINTS-HANDLING-AND-ENFORCEMENT (Kenya - Row 15)</t>
        </is>
      </c>
      <c r="C1339" t="inlineStr">
        <is>
          <t>8</t>
        </is>
      </c>
      <c r="D1339" s="11" t="inlineStr">
        <is>
          <t>Withdrawal of complaints</t>
        </is>
      </c>
      <c r="E1339" t="inlineStr">
        <is>
          <t>5</t>
        </is>
      </c>
      <c r="F1339" t="inlineStr">
        <is>
          <t>None</t>
        </is>
      </c>
      <c r="G1339" t="inlineStr">
        <is>
          <t>High (explicit)</t>
        </is>
      </c>
      <c r="H1339" s="11" t="inlineStr"/>
      <c r="I1339" s="11" t="inlineStr"/>
      <c r="J1339" t="inlineStr">
        <is>
          <t>Data Commissioner</t>
        </is>
      </c>
      <c r="K1339" s="11" t="inlineStr">
        <is>
          <t>Complaints can be withdrawn at any stage before determination. Withdrawn complaints may be re-lodged within six months, and re-lodged complaints follow the same processing procedures as original complaints.</t>
        </is>
      </c>
      <c r="L1339" s="11" t="inlineStr"/>
      <c r="M1339" s="11" t="inlineStr">
        <is>
          <t>• [May] A complaint may be withdrawn at any stage during its consideration but before a determination is made
• [May] A complainant may withdraw a complaint at any time during consideration before determination
• [Must] Withdrawal applications must be in Form DPC 2 set out in the Schedule
• [May] A withdrawn complaint may be re-lodged within six months from the date of withdrawal
• [Must] A re-lodged complaint shall be processed in accordance with the provisions of this Part</t>
        </is>
      </c>
      <c r="N1339" s="11" t="inlineStr">
        <is>
          <t>8. (1) A complaint may be withdrawn at any stage during its consideration but before a determination is made. (2) A complainant may, at any time during the consideration of a complaint lodged pursuant to regulation 4 and before its determination, withdraw the complaint. (3) An application for a withdrawal under sub-regulation (1) shall be in Form DPC 2 set out in the Schedule. (4) A withdrawn complaint under sub-regulation (1) may be re-lodged, within six months from the date of withdrawal of such complaint. (5) A complaint re-lodged under this regulation shall be processed in accordance with the provisions of this Part.</t>
        </is>
      </c>
      <c r="O1339" s="12" t="inlineStr">
        <is>
          <t>Open PDF</t>
        </is>
      </c>
    </row>
    <row r="1340">
      <c r="A1340" t="inlineStr">
        <is>
          <t>Kenya</t>
        </is>
      </c>
      <c r="B1340" t="inlineStr">
        <is>
          <t>THE-DATA-PROTECTION-COMPLAINTS-HANDLING-AND-ENFORCEMENT (Kenya - Row 15)</t>
        </is>
      </c>
      <c r="C1340" t="inlineStr">
        <is>
          <t>9</t>
        </is>
      </c>
      <c r="D1340" s="11" t="inlineStr">
        <is>
          <t>Joint consideration of complaints</t>
        </is>
      </c>
      <c r="E1340" t="inlineStr">
        <is>
          <t>5–6</t>
        </is>
      </c>
      <c r="F1340" t="inlineStr">
        <is>
          <t>None</t>
        </is>
      </c>
      <c r="G1340" t="inlineStr">
        <is>
          <t>High (explicit)</t>
        </is>
      </c>
      <c r="H1340" s="11" t="inlineStr"/>
      <c r="I1340" s="11" t="inlineStr"/>
      <c r="J1340" t="inlineStr">
        <is>
          <t>Data Commissioner</t>
        </is>
      </c>
      <c r="K1340" s="11" t="inlineStr">
        <is>
          <t>The Data Commissioner may consolidate similar complaints with complainant consent or treat one as a test complaint to stay other complaints pending resolution. Consolidated complaints are treated as a single complaint for determination.</t>
        </is>
      </c>
      <c r="L1340" s="11" t="inlineStr"/>
      <c r="M1340" s="11" t="inlineStr">
        <is>
          <t>• [May] The Data Commissioner may consolidate complaints with complainant consent to make a determination
• [May] The Data Commissioner may treat one complaint as a test complaint and stay further action on other complaints pending resolution
• [Must] The Data Commissioner shall apply the decision of a test complaint to all stayed complaints
• [Must] The Data Commissioner shall communicate the decision to complainants and all parties in writing
• [Must] Consolidated complaints shall be treated as a single complaint for determination</t>
        </is>
      </c>
      <c r="N1340" s="11" t="inlineStr">
        <is>
          <t>9. (1) Where two or more complaints are lodged in which similar issues are raised against a respondent, the Data Commissioner may, with the consent of the complainants (a) consolidate the complaints and make a determination; or (b) treat one complaint as a test complaint and stay further action on the other complaints pending resolution of the test complaint. (2) The Data Commissioner shall, with necessary modifications, apply the decision of a test complaint to all the complaints stayed under sub-regulation (1)(b). (3) The Data Commissioner shall, in writing, communicate to the complainants and all the parties the decision made under this regulation. (4) Where complaints are consolidated in accordance with this regulation, the complaint shall be treated as a single complaint and shall be determined in accordance with the provisions of these Regulations.</t>
        </is>
      </c>
      <c r="O1340" s="12" t="inlineStr">
        <is>
          <t>Open PDF</t>
        </is>
      </c>
    </row>
    <row r="1341">
      <c r="A1341" t="inlineStr">
        <is>
          <t>Kenya</t>
        </is>
      </c>
      <c r="B1341" t="inlineStr">
        <is>
          <t>THE-DATA-PROTECTION-COMPLAINTS-HANDLING-AND-ENFORCEMENT (Kenya - Row 15)</t>
        </is>
      </c>
      <c r="C1341" t="inlineStr">
        <is>
          <t>10</t>
        </is>
      </c>
      <c r="D1341" s="11" t="inlineStr">
        <is>
          <t>Language of proceedings</t>
        </is>
      </c>
      <c r="E1341" t="inlineStr">
        <is>
          <t>6</t>
        </is>
      </c>
      <c r="F1341" t="inlineStr">
        <is>
          <t>None</t>
        </is>
      </c>
      <c r="G1341" t="inlineStr">
        <is>
          <t>High (explicit)</t>
        </is>
      </c>
      <c r="H1341" s="11" t="inlineStr"/>
      <c r="I1341" s="11" t="inlineStr"/>
      <c r="J1341" t="inlineStr">
        <is>
          <t>Data Commissioner</t>
        </is>
      </c>
      <c r="K1341" s="11" t="inlineStr">
        <is>
          <t>Proceedings before the Office must be conducted in Kiswahili, English, or Kenyan Sign Language. The Office may provide interpreters for parties who cannot communicate in the language of proceedings.</t>
        </is>
      </c>
      <c r="L1341" s="11" t="inlineStr"/>
      <c r="M1341" s="11" t="inlineStr">
        <is>
          <t>• [Must] Proceedings before the Office shall be conducted in Kiswahili, English or Kenyan Sign Language
• [May] The Office may ensure a party who cannot speak, hear or understand the language of proceedings receives an interpreter</t>
        </is>
      </c>
      <c r="N1341" s="11" t="inlineStr">
        <is>
          <t>10. (1) Proceedings before the Office shall be conducted in Kiswahili, English or Kenyan Sign Language. (2) The Office may ensure that a party who cannot speak, hear or understand the language of proceedings receives the services of an interpreter provided for by the Office.</t>
        </is>
      </c>
      <c r="O1341" s="12" t="inlineStr">
        <is>
          <t>Open PDF</t>
        </is>
      </c>
    </row>
    <row r="1342">
      <c r="A1342" t="inlineStr">
        <is>
          <t>Kenya</t>
        </is>
      </c>
      <c r="B1342" t="inlineStr">
        <is>
          <t>THE-DATA-PROTECTION-COMPLAINTS-HANDLING-AND-ENFORCEMENT (Kenya - Row 15)</t>
        </is>
      </c>
      <c r="C1342" t="inlineStr">
        <is>
          <t>11</t>
        </is>
      </c>
      <c r="D1342" s="11" t="inlineStr">
        <is>
          <t>Notification of complaint to respondent</t>
        </is>
      </c>
      <c r="E1342" t="inlineStr">
        <is>
          <t>6</t>
        </is>
      </c>
      <c r="F1342" t="inlineStr">
        <is>
          <t>None</t>
        </is>
      </c>
      <c r="G1342" t="inlineStr">
        <is>
          <t>High (explicit)</t>
        </is>
      </c>
      <c r="H1342" s="11" t="inlineStr"/>
      <c r="I1342" s="11" t="inlineStr"/>
      <c r="J1342" t="inlineStr">
        <is>
          <t>Data Commissioner</t>
        </is>
      </c>
      <c r="K1342" s="11" t="inlineStr">
        <is>
          <t>Upon complaint admission, the Data Commissioner notifies the respondent in Form DPC 3, requiring them to respond within twenty-one days by making representations, reviewing the complaint, or providing a response. If the respondent takes no action, the Commissioner proceeds to determine the complaint.</t>
        </is>
      </c>
      <c r="L1342" s="11" t="inlineStr"/>
      <c r="M1342" s="11" t="inlineStr">
        <is>
          <t>• [Must] The Data Commissioner shall notify the respondent of the complaint lodged against him in Form DPC 3
• [Must] The Data Commissioner shall require the respondent to make representations and provide relevant material within twenty-one days
• [Must] The Data Commissioner shall require the respondent to review the complaint to summarize resolution with the complainant
• [Must] The Data Commissioner shall require the respondent to provide a response with required information
• [Must] Where the respondent takes no action, the Data Commissioner shall proceed to determine the complaint</t>
        </is>
      </c>
      <c r="N1342" s="11" t="inlineStr">
        <is>
          <t>11. (1) Upon admission of a complaint, the Data Commissioner shall notify the respondent of the complaint lodged against him, in Form DPC 3 set out in the Schedule and shall require the respondent to within twenty-one days (a) make representations and provide any relevant material or evidence in support of its representations; (b) review the complaint with a view of summarily resolving the complaint to the satisfaction of the complainant; or (c) provide a response with the required information. (2) Where a respondent does not take any action as contemplated under sub-regulation (1), the Data Commissioner shall proceed to determine the complaint in accordance with the Act and these Regulations. (3) The notice referred to under sub-regulation (1) shall specify options available to resolve a complaint including determining the complaint through alternative dispute resolution mechanisms specified in the Act and these Regulations.</t>
        </is>
      </c>
      <c r="O1342" s="12" t="inlineStr">
        <is>
          <t>Open PDF</t>
        </is>
      </c>
    </row>
    <row r="1343">
      <c r="A1343" t="inlineStr">
        <is>
          <t>Kenya</t>
        </is>
      </c>
      <c r="B1343" t="inlineStr">
        <is>
          <t>THE-DATA-PROTECTION-COMPLAINTS-HANDLING-AND-ENFORCEMENT (Kenya - Row 15)</t>
        </is>
      </c>
      <c r="C1343" t="inlineStr">
        <is>
          <t>12</t>
        </is>
      </c>
      <c r="D1343" s="11" t="inlineStr">
        <is>
          <t>Joinder of parties</t>
        </is>
      </c>
      <c r="E1343" t="inlineStr">
        <is>
          <t>6–7</t>
        </is>
      </c>
      <c r="F1343" t="inlineStr">
        <is>
          <t>None</t>
        </is>
      </c>
      <c r="G1343" t="inlineStr">
        <is>
          <t>High (explicit)</t>
        </is>
      </c>
      <c r="H1343" s="11" t="inlineStr"/>
      <c r="I1343" s="11" t="inlineStr"/>
      <c r="J1343" t="inlineStr">
        <is>
          <t>Data Commissioner</t>
        </is>
      </c>
      <c r="K1343" s="11" t="inlineStr">
        <is>
          <t>The Data Commissioner may order a person to be a party to a complaint if necessary. A person with sufficient interest may apply to be enjoined as a party before the hearing.</t>
        </is>
      </c>
      <c r="L1343" s="11" t="inlineStr"/>
      <c r="M1343" s="11" t="inlineStr">
        <is>
          <t>• [May] The Data Commissioner may order a person to be enjoined as a party to a complaint if it appears necessary
• [May] A person with sufficient interest may apply to the Office for leave to be enjoined in proceedings prior to hearing
• [Must] An application to be enjoined shall include the names of parties, address for service, grounds for enjoining, relevant documents, and relief sought</t>
        </is>
      </c>
      <c r="N1343" s="11" t="inlineStr">
        <is>
          <t>12. (1) Where it appears to the Data Commissioner, or by an application by either the complainant or the respondent, that it is necessary that a person becomes a party to a complaint, the Data Commissioner may order that person to be enjoined as a party. (2) A person who has sufficient interest in the outcome of a complaint may apply to the Office for leave to be enjoined in the proceedings prior to the hearing of the complaint. (3) An application under sub-regulation (1) shall include (a) the names of the parties to which that application relates; (b) the name and address for service of the person wishing to be enjoined; (c) the grounds the applicant relies on to be enjoined; (d) a copy of any relevant document in support of the application; and (e) the relief sought.</t>
        </is>
      </c>
      <c r="O1343" s="12" t="inlineStr">
        <is>
          <t>Open PDF</t>
        </is>
      </c>
    </row>
    <row r="1344">
      <c r="A1344" t="inlineStr">
        <is>
          <t>Kenya</t>
        </is>
      </c>
      <c r="B1344" t="inlineStr">
        <is>
          <t>THE-DATA-PROTECTION-COMPLAINTS-HANDLING-AND-ENFORCEMENT (Kenya - Row 15)</t>
        </is>
      </c>
      <c r="C1344" t="inlineStr">
        <is>
          <t>13</t>
        </is>
      </c>
      <c r="D1344" s="11" t="inlineStr">
        <is>
          <t>Data Commissioner's investigative powers during complaints</t>
        </is>
      </c>
      <c r="E1344" t="inlineStr">
        <is>
          <t>7</t>
        </is>
      </c>
      <c r="F1344" t="inlineStr">
        <is>
          <t>None</t>
        </is>
      </c>
      <c r="G1344" t="inlineStr">
        <is>
          <t>High (explicit)</t>
        </is>
      </c>
      <c r="H1344" s="11" t="inlineStr"/>
      <c r="I1344" s="11" t="inlineStr"/>
      <c r="J1344" t="inlineStr">
        <is>
          <t>Data Commissioner</t>
        </is>
      </c>
      <c r="K1344" s="11" t="inlineStr">
        <is>
          <t>The Data Commissioner may issue summons, examine individuals, administer oaths, require documents, and conduct searches with warrants during complaint investigations. The Commissioner must prepare a written report after completion and follow the Fair Administrative Action Act for procedural guidance. This section outlines specific investigative authority without imposing direct data transfer obligations.</t>
        </is>
      </c>
      <c r="L1344" s="11" t="inlineStr"/>
      <c r="M1344" s="11" t="inlineStr">
        <is>
          <t>• [Must] Issue summons in Form DPC 4 requiring attendance for examination
• [Must] Examine any person in relation to a complaint
• [Must] Administer an oath or affirmation during proceedings
• [Must] Require production of documents or information from persons or institutions
• [Must] Enter establishments with court warrants to conduct searches and seize relevant material
• [Must] Prepare a written investigation report upon completion
• [Must] Follow Fair Administrative Action Act 2015 procedures</t>
        </is>
      </c>
      <c r="N1344" s="11" t="inlineStr">
        <is>
          <t>13. (1) In investigating a complaint, the Data Commissioner may, subject to section 57 of the Act (a) issue summons in Form DPC 4 set out in the Schedule requiring the attendance of any person at a specified date, time and place for examination; (b) examine any person in relation to a complaint; (c) administer an oath or affirmation on any person during the proceedings; (d) require any person to produce any document or information from a person or institution; and (e) on obtaining warrants from the court, enter into any establishment or premises and conduct a search and may seize any material relevant to the investigation.</t>
        </is>
      </c>
      <c r="O1344" s="12" t="inlineStr">
        <is>
          <t>Open PDF</t>
        </is>
      </c>
    </row>
    <row r="1345">
      <c r="A1345" t="inlineStr">
        <is>
          <t>Kenya</t>
        </is>
      </c>
      <c r="B1345" t="inlineStr">
        <is>
          <t>THE-DATA-PROTECTION-COMPLAINTS-HANDLING-AND-ENFORCEMENT (Kenya - Row 15)</t>
        </is>
      </c>
      <c r="C1345" t="inlineStr">
        <is>
          <t>14</t>
        </is>
      </c>
      <c r="D1345" s="11" t="inlineStr">
        <is>
          <t>Data Commissioner's determination and enforcement of complaints</t>
        </is>
      </c>
      <c r="E1345" t="inlineStr">
        <is>
          <t>7–8</t>
        </is>
      </c>
      <c r="F1345" t="inlineStr">
        <is>
          <t>None</t>
        </is>
      </c>
      <c r="G1345" t="inlineStr">
        <is>
          <t>High (explicit)</t>
        </is>
      </c>
      <c r="H1345" s="11" t="inlineStr"/>
      <c r="I1345" s="11" t="inlineStr"/>
      <c r="J1345" t="inlineStr">
        <is>
          <t>Data Commissioner</t>
        </is>
      </c>
      <c r="K1345" s="11" t="inlineStr">
        <is>
          <t>The Data Commissioner must issue written determinations based on investigation findings, detailing complaint nature, facts, decisions, remedies, and other relevant matters. Remedies include enforcement notices, penalties, dismissal, prosecution recommendations, or compensation orders. The determination is binding and enforceable as a court order within seven days of issuance.</t>
        </is>
      </c>
      <c r="L1345" s="11" t="inlineStr"/>
      <c r="M1345" s="11" t="inlineStr">
        <is>
          <t>• [Must] Make written determination based on investigation findings
• [Must] State nature of complaint in determination
• [Must] Include summary of relevant facts and evidence in determination
• [Must] State decision and reasons for decision in determination
• [Must] Specify remedy entitled to complainant in determination
• [Must] Issue enforcement notice to respondent for compliance
• [Must] Impose administrative fine for non-compliance with enforcement notice
• [Must] Dismiss complaint if lacks merit
• [Must] Recommend prosecution for violations
• [Must] Order compensation to data subject by respondent
• [Must] Communicate decision within seven days to parties in writing
• [Must] Determination is binding on parties and enforceable as court order</t>
        </is>
      </c>
      <c r="N1345" s="11" t="inlineStr">
        <is>
          <t>14. (1) The Data Commissioner shall, upon the conclusion of the investigations, make a determination based on the findings of the investigations. (2) A determination under sub-regulation (1) shall be in writing and shall state (a) the nature of the complaint; (b) a summary of the relevant facts and evidence adduced; (c) the decision and the reasons for the decision; (d) the remedy to which the complainant is entitled; and (e) any other relevant matter.</t>
        </is>
      </c>
      <c r="O1345" s="12" t="inlineStr">
        <is>
          <t>Open PDF</t>
        </is>
      </c>
    </row>
    <row r="1346">
      <c r="A1346" t="inlineStr">
        <is>
          <t>Kenya</t>
        </is>
      </c>
      <c r="B1346" t="inlineStr">
        <is>
          <t>THE-DATA-PROTECTION-COMPLAINTS-HANDLING-AND-ENFORCEMENT (Kenya - Row 15)</t>
        </is>
      </c>
      <c r="C1346" t="inlineStr">
        <is>
          <t>15</t>
        </is>
      </c>
      <c r="D1346" s="11" t="inlineStr">
        <is>
          <t>Complaint resolution through negotiation, mediation or conciliation</t>
        </is>
      </c>
      <c r="E1346" t="inlineStr">
        <is>
          <t>8</t>
        </is>
      </c>
      <c r="F1346" t="inlineStr">
        <is>
          <t>None</t>
        </is>
      </c>
      <c r="G1346" t="inlineStr">
        <is>
          <t>High (explicit)</t>
        </is>
      </c>
      <c r="H1346" s="11" t="inlineStr"/>
      <c r="I1346" s="11" t="inlineStr"/>
      <c r="J1346" t="inlineStr">
        <is>
          <t>Data Commissioner</t>
        </is>
      </c>
      <c r="K1346" s="11" t="inlineStr">
        <is>
          <t>Complaints may be resolved through negotiation, mediation, or conciliation with the Data Commissioner facilitating the process. The Commissioner may apply appropriate procedures, and parties must sign agreements in Form DPC 5. Such agreements are binding determinations enforceable as court orders. Parties may withdraw from proceedings within seven days if they choose to exit early.</t>
        </is>
      </c>
      <c r="L1346" s="11" t="inlineStr"/>
      <c r="M1346" s="11" t="inlineStr">
        <is>
          <t>• [Must] Resolve complaints through negotiation, mediation, or conciliation
• [Must] Data Commissioner may facilitate negotiation, mediation, or conciliation process
• [Must] Data Commissioner may apply procedures beneficial to parties
• [Must] Parties must sign negotiation, mediation, or conciliation agreement in Form DPC 5
• [Must] Negotiation, mediation, or conciliation agreements are deemed binding determinations
• [Must] Parties may withdraw from proceedings within seven days
• [Must] Parties must act in good faith to amicably resolve disputes</t>
        </is>
      </c>
      <c r="N1346" s="11" t="inlineStr">
        <is>
          <t>15. (1) Where the complaint is to be determined through negotiation, mediation or conciliation, the provisions of these Regulations shall apply. (2) Where parties to a complaint agree to negotiation, mediation or conciliation, the Data Commissioner may in consultation with the parties facilitate the process. (3) During the negotiations, mediation or conciliation, the Data Commissioner may apply such procedures as may, in the interest of the parties, deem appropriate in the circumstances. (4) At the conclusion of the negotiations, mediation or conciliation process, the parties shall sign a negotiation, mediation or conciliation agreement in the manner specified in Form DPC 5 set out in the Schedule. (5) A negotiation, mediation or conciliation agreement entered into under this regulation shall be deemed to be a determination of the Data Commissioner, and shall be enforceable as such. (6) Despite this regulation, a party to dispute who is subject to a negotiation, mediation or conciliation may withdraw from the proceedings at any stage and shall notify the Data Commissioner and other parties of such withdrawal within seven days from the date of making such a decision. (7) Parties to a dispute shall take all reasonable measures to amicably determine a dispute and act in good faith.</t>
        </is>
      </c>
      <c r="O1346" s="12" t="inlineStr">
        <is>
          <t>Open PDF</t>
        </is>
      </c>
    </row>
    <row r="1347">
      <c r="A1347" t="inlineStr">
        <is>
          <t>Kenya</t>
        </is>
      </c>
      <c r="B1347" t="inlineStr">
        <is>
          <t>THE-DATA-PROTECTION-COMPLAINTS-HANDLING-AND-ENFORCEMENT (Kenya - Row 15)</t>
        </is>
      </c>
      <c r="C1347" t="inlineStr">
        <is>
          <t>16</t>
        </is>
      </c>
      <c r="D1347" s="11" t="inlineStr">
        <is>
          <t>Enforcement notice issuance authority</t>
        </is>
      </c>
      <c r="E1347" t="inlineStr">
        <is>
          <t>8–9</t>
        </is>
      </c>
      <c r="F1347" t="inlineStr">
        <is>
          <t>None</t>
        </is>
      </c>
      <c r="G1347" t="inlineStr">
        <is>
          <t>High (explicit)</t>
        </is>
      </c>
      <c r="H1347" s="11" t="inlineStr"/>
      <c r="I1347" s="11" t="inlineStr"/>
      <c r="J1347" t="inlineStr">
        <is>
          <t>Data Commissioner</t>
        </is>
      </c>
      <c r="K1347" s="11" t="inlineStr">
        <is>
          <t>The Data Commissioner may issue enforcement notices under these regulations or section 58 of the Act. Enforcement notices must specify consequences of non-compliance, including potential penalty notices under section 62(1) of the Act.</t>
        </is>
      </c>
      <c r="L1347" s="11" t="inlineStr"/>
      <c r="M1347" s="11" t="inlineStr">
        <is>
          <t>• [Must] Issue enforcement notices under regulations or section 58 of the Act
• [Must] Enforcement notices must specify consequences of non-compliance</t>
        </is>
      </c>
      <c r="N1347" s="11" t="inlineStr">
        <is>
          <t>16. (1) The Data Commissioner may pursuant these Regulations or section 58 of the Act issue an enforcement notice. (2) An enforcement notice shall specify the consequences of failure to comply with the notice including issuance of a penalty notice as provided under section 62 (1) of the Act.</t>
        </is>
      </c>
      <c r="O1347" s="12" t="inlineStr">
        <is>
          <t>Open PDF</t>
        </is>
      </c>
    </row>
    <row r="1348">
      <c r="A1348" t="inlineStr">
        <is>
          <t>Kenya</t>
        </is>
      </c>
      <c r="B1348" t="inlineStr">
        <is>
          <t>THE-DATA-PROTECTION-COMPLAINTS-HANDLING-AND-ENFORCEMENT (Kenya - Row 15)</t>
        </is>
      </c>
      <c r="C1348" t="inlineStr">
        <is>
          <t>17</t>
        </is>
      </c>
      <c r="D1348" s="11" t="inlineStr">
        <is>
          <t>Service of enforcement notices</t>
        </is>
      </c>
      <c r="E1348" t="inlineStr">
        <is>
          <t>9</t>
        </is>
      </c>
      <c r="F1348" t="inlineStr">
        <is>
          <t>None</t>
        </is>
      </c>
      <c r="G1348" t="inlineStr">
        <is>
          <t>High (explicit)</t>
        </is>
      </c>
      <c r="H1348" s="11" t="inlineStr"/>
      <c r="I1348" s="11" t="inlineStr"/>
      <c r="J1348" t="inlineStr">
        <is>
          <t>Data Commissioner</t>
        </is>
      </c>
      <c r="K1348" s="11" t="inlineStr">
        <is>
          <t>An enforcement notice is deemed served electronically if sent to the person's electronic address or physically delivered to their registered office. The notice takes effect from the date of service.</t>
        </is>
      </c>
      <c r="L1348" s="11" t="inlineStr"/>
      <c r="M1348" s="11" t="inlineStr">
        <is>
          <t>• [Must] Enforcement notice deemed served electronically if sent to electronic address
• [Must] Enforcement notice deemed served physically if delivered to registered office
• [Must] Enforcement notice takes effect from date of service</t>
        </is>
      </c>
      <c r="N1348" s="11" t="inlineStr">
        <is>
          <t>17. (1) An enforcement notice shall be deemed to have been duly served on the concerned person where (a) an electronic copy of enforcement notice is sent to the (b) the enforcement notice is posted or physically delivered to the registered offices of the concerned person, in the absence of an electronic address.</t>
        </is>
      </c>
      <c r="O1348" s="12" t="inlineStr">
        <is>
          <t>Open PDF</t>
        </is>
      </c>
    </row>
    <row r="1349">
      <c r="A1349" t="inlineStr">
        <is>
          <t>Kenya</t>
        </is>
      </c>
      <c r="B1349" t="inlineStr">
        <is>
          <t>THE-DATA-PROTECTION-COMPLAINTS-HANDLING-AND-ENFORCEMENT (Kenya - Row 15)</t>
        </is>
      </c>
      <c r="C1349" t="inlineStr">
        <is>
          <t>18</t>
        </is>
      </c>
      <c r="D1349" s="11" t="inlineStr">
        <is>
          <t>Review of enforcement notices</t>
        </is>
      </c>
      <c r="E1349" t="inlineStr">
        <is>
          <t>9</t>
        </is>
      </c>
      <c r="F1349" t="inlineStr">
        <is>
          <t>None</t>
        </is>
      </c>
      <c r="G1349" t="inlineStr">
        <is>
          <t>High (explicit)</t>
        </is>
      </c>
      <c r="H1349" s="11" t="inlineStr"/>
      <c r="I1349" s="11" t="inlineStr"/>
      <c r="J1349" t="inlineStr">
        <is>
          <t>Data Commissioner</t>
        </is>
      </c>
      <c r="K1349" s="11" t="inlineStr">
        <is>
          <t>A person receiving an enforcement notice may apply for review within the specified period or if new facts arise, to challenge the notice. The review application must be made before the deadline or on grounds of changed circumstances or non-compliance necessity.</t>
        </is>
      </c>
      <c r="L1349" s="11" t="inlineStr"/>
      <c r="M1349" s="11" t="inlineStr">
        <is>
          <t>• [Must] Apply for review of enforcement notice in Form DPC 6
• [Must] Apply for review before end of period specified in notice
• [Must] Apply for review on grounds of changed circumstances or new facts
• [Must] Apply for review if one or more provisions of notice need not be complied with</t>
        </is>
      </c>
      <c r="N1349" s="11" t="inlineStr">
        <is>
          <t>18. (1) A person to whom an enforcement notice is given may apply in Form DPC 6 set out in the Schedule to the Data Commissioner for a review of the enforcement notice. (2) An application under sub-regulation (1) may be made (a) before the end of the period specified in the enforcement notice; and (b) on the ground that (i) a change of circumstances or new facts have arisen; or (ii) one or more of the provisions of that notice need not be complied with in order to remedy the failure identified in the notice.</t>
        </is>
      </c>
      <c r="O1349" s="12" t="inlineStr">
        <is>
          <t>Open PDF</t>
        </is>
      </c>
    </row>
    <row r="1350">
      <c r="A1350" t="inlineStr">
        <is>
          <t>Kenya</t>
        </is>
      </c>
      <c r="B1350" t="inlineStr">
        <is>
          <t>THE-DATA-PROTECTION-COMPLAINTS-HANDLING-AND-ENFORCEMENT (Kenya - Row 15)</t>
        </is>
      </c>
      <c r="C1350" t="inlineStr">
        <is>
          <t>19</t>
        </is>
      </c>
      <c r="D1350" s="11" t="inlineStr">
        <is>
          <t>Appeal against enforcement notice within 30 days</t>
        </is>
      </c>
      <c r="E1350" t="inlineStr">
        <is>
          <t>9</t>
        </is>
      </c>
      <c r="F1350" t="inlineStr">
        <is>
          <t>Medium</t>
        </is>
      </c>
      <c r="G1350" t="inlineStr">
        <is>
          <t>High (explicit)</t>
        </is>
      </c>
      <c r="H1350" s="11" t="inlineStr"/>
      <c r="I1350" s="11" t="inlineStr"/>
      <c r="J1350" t="inlineStr">
        <is>
          <t>High Court</t>
        </is>
      </c>
      <c r="K1350" s="11" t="inlineStr">
        <is>
          <t>A person may appeal to the High Court within thirty days of receiving an enforcement notice if the enforcement notice decision is contested. The appeal is subject to sections 58(2)(d) and 64 of the Act. This section establishes a time limit for challenging enforcement decisions in court.</t>
        </is>
      </c>
      <c r="L1350" s="11" t="inlineStr">
        <is>
          <t>Provides a time-bound appeal mechanism for enforcement notices, relevant to DTIA as it affects how data protection violations are resolved across borders through judicial channels.</t>
        </is>
      </c>
      <c r="M1350" s="11" t="inlineStr">
        <is>
          <t>• [Must] A person may appeal to the High Court against a decision arising from the enforcement of the notice within thirty days of service of the enforcement notice</t>
        </is>
      </c>
      <c r="N1350" s="11" t="inlineStr">
        <is>
          <t>Subject to sections 58 (2) (d) and 64 of the Act, a person may before the lapse of thirty days from the date of service of the enforcement notice, appeal to the High Court against a decision arising out of the enforcement of the notice.</t>
        </is>
      </c>
      <c r="O1350" s="12" t="inlineStr">
        <is>
          <t>Open PDF</t>
        </is>
      </c>
    </row>
    <row r="1351">
      <c r="A1351" t="inlineStr">
        <is>
          <t>Kenya</t>
        </is>
      </c>
      <c r="B1351" t="inlineStr">
        <is>
          <t>THE-DATA-PROTECTION-COMPLAINTS-HANDLING-AND-ENFORCEMENT (Kenya - Row 15)</t>
        </is>
      </c>
      <c r="C1351" t="inlineStr">
        <is>
          <t>20</t>
        </is>
      </c>
      <c r="D1351" s="11" t="inlineStr">
        <is>
          <t>Penalty notice issuance and content requirements</t>
        </is>
      </c>
      <c r="E1351" t="inlineStr">
        <is>
          <t>9–10</t>
        </is>
      </c>
      <c r="F1351" t="inlineStr">
        <is>
          <t>High</t>
        </is>
      </c>
      <c r="G1351" t="inlineStr">
        <is>
          <t>High (explicit)</t>
        </is>
      </c>
      <c r="H1351" s="11" t="inlineStr"/>
      <c r="I1351" s="11" t="inlineStr"/>
      <c r="J1351" t="inlineStr">
        <is>
          <t>Data Commissioner</t>
        </is>
      </c>
      <c r="K1351" s="11" t="inlineStr">
        <is>
          <t>The Data Commissioner must issue penalty notices for breaches identified in enforcement notices. Each penalty notice must include the person's name and address, reasons for the penalty, the penalty amount, payment details, and appeal rights. The penalty amount must consider individual circumstances and may impose daily fines up to KES 10,000 per breach until rectification.</t>
        </is>
      </c>
      <c r="L1351" s="11" t="inlineStr">
        <is>
          <t>Defines penalty notice requirements for data breaches, relevant to DTIA as it specifies how penalties are calculated and enforced across borders for non-compliance.</t>
        </is>
      </c>
      <c r="M1351" s="11" t="inlineStr">
        <is>
          <t>• [Must] The Data Commissioner shall issue a penalty notice for each breach identified in the enforcement notice
• [Must] A penalty notice shall contain the name and address of the concerned person
• [Must] A penalty notice shall contain the reasons why the Data Commissioner proposes to impose the penalty and the amount thereof
• [Must] A penalty notice shall contain an administrative fine imposed as contemplated under section 63 of the Act
• [Must] A penalty notice shall contain details of how the penalty is to be paid
• [Must] A penalty notice shall contain details of the rights of appeal under section 64 of the Act
• [Must] The administrative fine levied under sub-regulation (2)(c) shall consider each individual case and have due regard to factors or reasons outlined under section 62 (2) of the Act
• [May] A penalty notice may impose a daily fine of not more than ten thousand shillings for each breach identified until the breach is rectified</t>
        </is>
      </c>
      <c r="N1351" s="11" t="inlineStr">
        <is>
          <t>(1) The Data Commissioner shall, where any of the circumstances specified under section 62 of the Act and these Regulations arises, issue a penalty notice for each breach identified in the enforcement notice.</t>
        </is>
      </c>
      <c r="O1351" s="12" t="inlineStr">
        <is>
          <t>Open PDF</t>
        </is>
      </c>
    </row>
    <row r="1352">
      <c r="A1352" t="inlineStr">
        <is>
          <t>Kenya</t>
        </is>
      </c>
      <c r="B1352" t="inlineStr">
        <is>
          <t>THE-DATA-PROTECTION-COMPLAINTS-HANDLING-AND-ENFORCEMENT (Kenya - Row 15)</t>
        </is>
      </c>
      <c r="C1352" t="inlineStr">
        <is>
          <t>21</t>
        </is>
      </c>
      <c r="D1352" s="11" t="inlineStr">
        <is>
          <t>Enforcement of penalty notices</t>
        </is>
      </c>
      <c r="E1352" t="inlineStr">
        <is>
          <t>10–16</t>
        </is>
      </c>
      <c r="F1352" t="inlineStr">
        <is>
          <t>High</t>
        </is>
      </c>
      <c r="G1352" t="inlineStr">
        <is>
          <t>High (explicit)</t>
        </is>
      </c>
      <c r="H1352" s="11" t="inlineStr"/>
      <c r="I1352" s="11" t="inlineStr"/>
      <c r="J1352" t="inlineStr">
        <is>
          <t>Data Commissioner</t>
        </is>
      </c>
      <c r="K1352" s="11" t="inlineStr">
        <is>
          <t>The Data Commissioner may enforce penalties by recovering the penalty amount upon the expiration of the payment period in the penalty notice, upon final determination of an appeal against the penalty notice, or upon the expiration of the appeal period. This section outlines the conditions under which penalties can be enforced.</t>
        </is>
      </c>
      <c r="L1352" s="11" t="inlineStr">
        <is>
          <t>Specifies enforcement mechanisms for penalties, relevant to DTIA as it details when and how penalties are recovered across borders for data protection violations.</t>
        </is>
      </c>
      <c r="M1352" s="11" t="inlineStr">
        <is>
          <t>• [Must] The Data Commissioner shall enforce or take action to recover a penalty upon the lapse of the period specified in the penalty notice for payment of the penalty
• [Must] The Data Commissioner shall enforce or take action to recover a penalty on the final determination of any appeal against the penalty notice
• [Must] The Data Commissioner shall enforce or take action to recover a penalty on the lapse of the period given to appeal against the penalty</t>
        </is>
      </c>
      <c r="N1352" s="11" t="inlineStr">
        <is>
          <t>The Data Commissioner shall enforce or take action to recover a penalty (a) upon the lapse of the period specified in the penalty notice for payment of the penalty; (b) on the final determination of any appeal against the penalty notice; or (c) on the lapse of the period given to appeal against the penalty.</t>
        </is>
      </c>
      <c r="O1352" s="12" t="inlineStr">
        <is>
          <t>Open PDF</t>
        </is>
      </c>
    </row>
    <row r="1353">
      <c r="A1353" t="inlineStr">
        <is>
          <t>Kenya</t>
        </is>
      </c>
      <c r="B1353" t="inlineStr">
        <is>
          <t>THE-DATA-PROTECTION-REGISTRATION-OF-DATA-CONTROLLERS-AND-DATA-PROCESSORS-REGULATIONS-2021 (Kenya = row17)</t>
        </is>
      </c>
      <c r="C1353" t="inlineStr">
        <is>
          <t>1</t>
        </is>
      </c>
      <c r="D1353" s="11" t="inlineStr">
        <is>
          <t>Regulation citation</t>
        </is>
      </c>
      <c r="E1353" t="inlineStr">
        <is>
          <t>2</t>
        </is>
      </c>
      <c r="F1353" t="inlineStr">
        <is>
          <t>None</t>
        </is>
      </c>
      <c r="G1353" t="inlineStr">
        <is>
          <t>High (explicit)</t>
        </is>
      </c>
      <c r="H1353" s="11" t="inlineStr"/>
      <c r="I1353" s="11" t="inlineStr"/>
      <c r="J1353" t="inlineStr"/>
      <c r="K1353" s="11" t="inlineStr">
        <is>
          <t>These Regulations are formally named the Data Protection (Registration of Data Controllers and Data Processors) Regulations, 2021. They establish the legal framework for data controller and processor registration in Kenya under the Data Protection Act.</t>
        </is>
      </c>
      <c r="L1353" s="11" t="inlineStr"/>
      <c r="M1353" s="11" t="inlineStr">
        <is>
          <t>• [Definition] These Regulations may be cited as the Data Protection (Registration of Data Controllers and Data Processors) Regulations, 2021</t>
        </is>
      </c>
      <c r="N1353" s="11" t="inlineStr">
        <is>
          <t>These Regulations may be cited as the Data Protection (Registration of Data Controllers and Data Processors) Regulations, 2021</t>
        </is>
      </c>
      <c r="O1353" s="12" t="inlineStr">
        <is>
          <t>Open PDF</t>
        </is>
      </c>
    </row>
    <row r="1354">
      <c r="A1354" t="inlineStr">
        <is>
          <t>Kenya</t>
        </is>
      </c>
      <c r="B1354" t="inlineStr">
        <is>
          <t>THE-DATA-PROTECTION-REGISTRATION-OF-DATA-CONTROLLERS-AND-DATA-PROCESSORS-REGULATIONS-2021 (Kenya = row17)</t>
        </is>
      </c>
      <c r="C1354" t="inlineStr">
        <is>
          <t>2</t>
        </is>
      </c>
      <c r="D1354" s="11" t="inlineStr">
        <is>
          <t>Definitions of establishment documents</t>
        </is>
      </c>
      <c r="E1354" t="inlineStr">
        <is>
          <t>2</t>
        </is>
      </c>
      <c r="F1354" t="inlineStr">
        <is>
          <t>None</t>
        </is>
      </c>
      <c r="G1354" t="inlineStr">
        <is>
          <t>High (explicit)</t>
        </is>
      </c>
      <c r="H1354" s="11" t="inlineStr"/>
      <c r="I1354" s="11" t="inlineStr"/>
      <c r="J1354" t="inlineStr"/>
      <c r="K1354" s="11" t="inlineStr">
        <is>
          <t>This section defines 'establishment' as including statutory instruments, registration certificates, trust deeds, and other instruments that establish a body. It clarifies the scope of documents required for registration purposes.</t>
        </is>
      </c>
      <c r="L1354" s="11" t="inlineStr"/>
      <c r="M1354" s="11" t="inlineStr">
        <is>
          <t>• [Definition] establishment means (a) a Statute, Charter or statutory instrument in which a body is established; (b) registration certificate; (c) trust deeds in which a trust has been established; and (d) other instruments by which a body is established including its governing and administrative structure</t>
        </is>
      </c>
      <c r="N1354" s="11" t="inlineStr">
        <is>
          <t>establishment means (a) a Statute, Charter or statutory instrument in which a body is established; (b) registration certificate; (c) trust deeds in which a trust has been established; and (d) other instruments by which a body is established including its governing and administrative structure</t>
        </is>
      </c>
      <c r="O1354" s="12" t="inlineStr">
        <is>
          <t>Open PDF</t>
        </is>
      </c>
    </row>
    <row r="1355">
      <c r="A1355" t="inlineStr">
        <is>
          <t>Kenya</t>
        </is>
      </c>
      <c r="B1355" t="inlineStr">
        <is>
          <t>THE-DATA-PROTECTION-REGISTRATION-OF-DATA-CONTROLLERS-AND-DATA-PROCESSORS-REGULATIONS-2021 (Kenya = row17)</t>
        </is>
      </c>
      <c r="C1355" t="inlineStr">
        <is>
          <t>3</t>
        </is>
      </c>
      <c r="D1355" s="11" t="inlineStr">
        <is>
          <t>Registration procedure scope</t>
        </is>
      </c>
      <c r="E1355" t="inlineStr">
        <is>
          <t>2</t>
        </is>
      </c>
      <c r="F1355" t="inlineStr">
        <is>
          <t>None</t>
        </is>
      </c>
      <c r="G1355" t="inlineStr">
        <is>
          <t>High (explicit)</t>
        </is>
      </c>
      <c r="H1355" s="11" t="inlineStr"/>
      <c r="I1355" s="11" t="inlineStr"/>
      <c r="J1355" t="inlineStr"/>
      <c r="K1355" s="11" t="inlineStr">
        <is>
          <t>These Regulations outline the registration procedure for data controllers and processors as per the Act. They explicitly exclude civil registration entities from this registration requirement, which are governed by separate Data Protection (Civil Registration) Regulations.</t>
        </is>
      </c>
      <c r="L1355" s="11" t="inlineStr"/>
      <c r="M1355" s="11" t="inlineStr">
        <is>
          <t>• [Must] These Regulations provide for the procedure for registration of data controllers and data processors as provided under section 18 of the Act
• [Must Not] These Regulations shall not apply to civil registration entities specified under the Data Protection (Civil Registration) Regulations</t>
        </is>
      </c>
      <c r="N1355" s="11" t="inlineStr">
        <is>
          <t>These Regulations provide for the procedure for registration of data controllers and data processors as provided under section 18 of the Act. These Regulations shall not apply to civil registration entities specified under the Data Protection (Civil Registration) Regulations</t>
        </is>
      </c>
      <c r="O1355" s="12" t="inlineStr">
        <is>
          <t>Open PDF</t>
        </is>
      </c>
    </row>
    <row r="1356">
      <c r="A1356" t="inlineStr">
        <is>
          <t>Kenya</t>
        </is>
      </c>
      <c r="B1356" t="inlineStr">
        <is>
          <t>THE-DATA-PROTECTION-REGISTRATION-OF-DATA-CONTROLLERS-AND-DATA-PROCESSORS-REGULATIONS-2021 (Kenya = row17)</t>
        </is>
      </c>
      <c r="C1356" t="inlineStr">
        <is>
          <t>4</t>
        </is>
      </c>
      <c r="D1356" s="11" t="inlineStr">
        <is>
          <t>Registration requirements for data controllers and processors</t>
        </is>
      </c>
      <c r="E1356" t="inlineStr">
        <is>
          <t>2–3</t>
        </is>
      </c>
      <c r="F1356" t="inlineStr">
        <is>
          <t>None</t>
        </is>
      </c>
      <c r="G1356" t="inlineStr">
        <is>
          <t>High (explicit)</t>
        </is>
      </c>
      <c r="H1356" s="11" t="inlineStr"/>
      <c r="I1356" s="11" t="inlineStr"/>
      <c r="J1356" t="inlineStr"/>
      <c r="K1356" s="11" t="inlineStr">
        <is>
          <t>Data controllers and processors must register with the Data Protection Authority. A data controller determines data processing purposes, while a data processor must have a contractual relationship with the controller and no decision-making power over processing purposes. A controller may apply for dual registration, and a processor acting outside instructions becomes a controller for that activity.</t>
        </is>
      </c>
      <c r="L1356" s="11" t="inlineStr"/>
      <c r="M1356" s="11" t="inlineStr">
        <is>
          <t>• [Must] Subject to regulation 13 (1), every data controller and data processor shall be required to register in accordance with the provisions of the Act and these Regulations
• [Must] For purposes of registration, a person shall register as a data controller where the person determines the purpose and means for processing personal data
• [Must] For purposes of registration, a person shall register as a data processor where the person processes personal data on behalf of the data controller but excludes employees of the data controller and has (i) a contractual relationship with the data controller; and (ii) no decision making power on the purpose and means of processing personal data
• [Must] Despite sub-regulation (2) (a), a data controller may apply for registration as both a data controller and a data processor with regards to any processing operations and shall be required to pay the requisite fees applicable for both a data controller and a data processor thereto
• [Must] Despite sub-regulation (2) (b), where a data processor processes personal data other than as instructed by the data controller, the data processor shall be considered to be a data controller in respect of that processing activity, for purposes of assessing liability</t>
        </is>
      </c>
      <c r="N1356" s="11" t="inlineStr">
        <is>
          <t>Subject to regulation 13 (1), every data controller and data processor shall be required to register in accordance with the provisions of the Act and these Regulations. For purposes of registration, a person shall register as a data controller, where the person determines the purpose and means for processing personal data; or a data processor, where the person processes personal data on behalf of the data controller but excludes employees of the data controller and has (i) a contractual relationship with the data controller; and (ii) no decision making power on the purpose and means of processing personal data.</t>
        </is>
      </c>
      <c r="O1356" s="12" t="inlineStr">
        <is>
          <t>Open PDF</t>
        </is>
      </c>
    </row>
    <row r="1357">
      <c r="A1357" t="inlineStr">
        <is>
          <t>Kenya</t>
        </is>
      </c>
      <c r="B1357" t="inlineStr">
        <is>
          <t>THE-DATA-PROTECTION-REGISTRATION-OF-DATA-CONTROLLERS-AND-DATA-PROCESSORS-REGULATIONS-2021 (Kenya = row17)</t>
        </is>
      </c>
      <c r="C1357" t="inlineStr">
        <is>
          <t>5</t>
        </is>
      </c>
      <c r="D1357" s="11" t="inlineStr">
        <is>
          <t>Application for registration requirements</t>
        </is>
      </c>
      <c r="E1357" t="inlineStr">
        <is>
          <t>3</t>
        </is>
      </c>
      <c r="F1357" t="inlineStr">
        <is>
          <t>None</t>
        </is>
      </c>
      <c r="G1357" t="inlineStr">
        <is>
          <t>High (explicit)</t>
        </is>
      </c>
      <c r="H1357" s="11" t="inlineStr"/>
      <c r="I1357" s="11" t="inlineStr"/>
      <c r="J1357" t="inlineStr"/>
      <c r="K1357" s="11" t="inlineStr">
        <is>
          <t>Applications for registration must be submitted in Form DPR1 and include registration fees, establishment documents, data controller/processor particulars, and descriptions of processing purposes and data categories. This ensures comprehensive information is provided for regulatory review.</t>
        </is>
      </c>
      <c r="L1357" s="11" t="inlineStr"/>
      <c r="M1357" s="11" t="inlineStr">
        <is>
          <t>• [Must] An application for registration of a data controller or data processor shall be in Form DPR1 set out in the First Schedule
• [Must] An application for registration shall be accompanied by the registration fees specified in the Second Schedule
• [Must] An application for registration shall be accompanied by a copy of the establishment documents
• [Must] An application for registration shall be accompanied by particulars of the data controllers or data processors including name and contact details
• [Must] An application for registration shall be accompanied by a description of the purpose for which personal data is processed
• [Must] An application for registration shall be accompanied by a description of categories of personal data being processed</t>
        </is>
      </c>
      <c r="N1357" s="11" t="inlineStr">
        <is>
          <t>An application for registration of a data controller or data processor shall be in Form DPR1 set out in the First Schedule; and be accompanied by the registration fees specified in the Second Schedule. An application for registration under sub-regulation (1) shall be accompanied by (a) a copy of the establishment documents; (b) particulars of the data controllers or data processors including name and contact details; (c) a description of the purpose for which personal data is processed; and (d) a description of categories of personal data being processed.</t>
        </is>
      </c>
      <c r="O1357" s="12" t="inlineStr">
        <is>
          <t>Open PDF</t>
        </is>
      </c>
    </row>
    <row r="1358">
      <c r="A1358" t="inlineStr">
        <is>
          <t>Kenya</t>
        </is>
      </c>
      <c r="B1358" t="inlineStr">
        <is>
          <t>THE-DATA-PROTECTION-REGISTRATION-OF-DATA-CONTROLLERS-AND-DATA-PROCESSORS-REGULATIONS-2021 (Kenya = row17)</t>
        </is>
      </c>
      <c r="C1358" t="inlineStr">
        <is>
          <t>6</t>
        </is>
      </c>
      <c r="D1358" s="11" t="inlineStr">
        <is>
          <t>Public entities registration</t>
        </is>
      </c>
      <c r="E1358" t="inlineStr">
        <is>
          <t>3–4</t>
        </is>
      </c>
      <c r="F1358" t="inlineStr">
        <is>
          <t>None</t>
        </is>
      </c>
      <c r="G1358" t="inlineStr">
        <is>
          <t>High (explicit)</t>
        </is>
      </c>
      <c r="H1358" s="11" t="inlineStr"/>
      <c r="I1358" s="11" t="inlineStr"/>
      <c r="J1358" t="inlineStr"/>
      <c r="K1358" s="11" t="inlineStr">
        <is>
          <t>State and county departments must register and pay fees for public entities that operate within their departments, are funded from the Consolidated Fund, and provide public services. State and county corporations must also register as data controllers or processors for their processing activities.</t>
        </is>
      </c>
      <c r="L1358" s="11" t="inlineStr"/>
      <c r="M1358" s="11" t="inlineStr">
        <is>
          <t>• [Must] A state department or county department shall register and pay the fees on behalf of their respective entities
• [Must] The entities referred to under sub-regulation (1) shall be the public entities at national or county government which (a) operates within a state department or county department; (b) is wholly funded from the Consolidated Fund; and (c) provides a public service
• [Must] The fees paid by the state department or county department under sub-regulation (1) shall cater for the specified entities registered under the concerned state department or county department
• [Must] Despite this regulation, a State Corporation or a County Corporation shall be required to register as a data controller or a data processor in respect of their processing activity, in the manner specified under these Regulations</t>
        </is>
      </c>
      <c r="N1358" s="11" t="inlineStr">
        <is>
          <t>A state department or county department shall register and pay the fees on behalf of their respective entities. The entities referred to under sub-regulation (1) shall be the public entities at national or county government which operates within a state department or county department; is wholly funded from the Consolidated Fund; and provides a public service. The fees paid by the state department or county department under sub-regulation (1) shall cater for the specified entities registered under the concerned state department or county department. Despite this regulation, a State Corporation or a County Corporation shall be required to register as a data controller or a data processor in respect of their processing activity, in the manner specified under these Regulations.</t>
        </is>
      </c>
      <c r="O1358" s="12" t="inlineStr">
        <is>
          <t>Open PDF</t>
        </is>
      </c>
    </row>
    <row r="1359">
      <c r="A1359" t="inlineStr">
        <is>
          <t>Kenya</t>
        </is>
      </c>
      <c r="B1359" t="inlineStr">
        <is>
          <t>THE-DATA-PROTECTION-REGISTRATION-OF-DATA-CONTROLLERS-AND-DATA-PROCESSORS-REGULATIONS-2021 (Kenya = row17)</t>
        </is>
      </c>
      <c r="C1359" t="inlineStr">
        <is>
          <t>8</t>
        </is>
      </c>
      <c r="D1359" s="11" t="inlineStr">
        <is>
          <t>Registration approval and certificate issuance</t>
        </is>
      </c>
      <c r="E1359" t="inlineStr">
        <is>
          <t>4</t>
        </is>
      </c>
      <c r="F1359" t="inlineStr">
        <is>
          <t>Low</t>
        </is>
      </c>
      <c r="G1359" t="inlineStr">
        <is>
          <t>High (explicit)</t>
        </is>
      </c>
      <c r="H1359" s="11" t="inlineStr"/>
      <c r="I1359" s="11" t="inlineStr">
        <is>
          <t>Personal Information</t>
        </is>
      </c>
      <c r="J1359" t="inlineStr">
        <is>
          <t>Data Commissioner</t>
        </is>
      </c>
      <c r="K1359" s="11" t="inlineStr">
        <is>
          <t>The Data Commissioner must issue a certificate of registration for the duration specified under regulation 9 and enter the applicant's particulars in the register within fourteen days if satisfied with the application. This applies to data controllers and data processors seeking registration under the Data Protection Regulations.</t>
        </is>
      </c>
      <c r="L1359" s="11" t="inlineStr"/>
      <c r="M1359" s="11" t="inlineStr">
        <is>
          <t>• [Must] Issue certificate of registration for duration specified under regulation 9
• [Must] Enter applicant's particulars in the register</t>
        </is>
      </c>
      <c r="N1359" s="11" t="inlineStr">
        <is>
          <t>Where the Data Commissioner is satisfied that the applicant fulfills the requirements for registration under these Regulations, the Data Commissioner shall, within fourteen days (a) issue the applicant with a certificate of registration for the duration specified under regulation 9; and (b) enter the particulars of the successful applicant in the register.</t>
        </is>
      </c>
      <c r="O1359" s="12" t="inlineStr">
        <is>
          <t>Open PDF</t>
        </is>
      </c>
    </row>
    <row r="1360">
      <c r="A1360" t="inlineStr">
        <is>
          <t>Kenya</t>
        </is>
      </c>
      <c r="B1360" t="inlineStr">
        <is>
          <t>THE-DATA-PROTECTION-REGISTRATION-OF-DATA-CONTROLLERS-AND-DATA-PROCESSORS-REGULATIONS-2021 (Kenya = row17)</t>
        </is>
      </c>
      <c r="C1360" t="inlineStr">
        <is>
          <t>9</t>
        </is>
      </c>
      <c r="D1360" s="11" t="inlineStr">
        <is>
          <t>Certificate validity period</t>
        </is>
      </c>
      <c r="E1360" t="inlineStr">
        <is>
          <t>4</t>
        </is>
      </c>
      <c r="F1360" t="inlineStr">
        <is>
          <t>Low</t>
        </is>
      </c>
      <c r="G1360" t="inlineStr">
        <is>
          <t>High (explicit)</t>
        </is>
      </c>
      <c r="H1360" s="11" t="inlineStr"/>
      <c r="I1360" s="11" t="inlineStr">
        <is>
          <t>Personal Information</t>
        </is>
      </c>
      <c r="J1360" t="inlineStr">
        <is>
          <t>Data Commissioner</t>
        </is>
      </c>
      <c r="K1360" s="11" t="inlineStr">
        <is>
          <t>A certificate of registration issued under regulation 8(a) remains valid for twenty-four months from the date of issuance. This applies to data controllers and data processors registered under the Data Protection Regulations.</t>
        </is>
      </c>
      <c r="L1360" s="11" t="inlineStr"/>
      <c r="M1360" s="11" t="inlineStr">
        <is>
          <t>• [Must] Certificate of registration is valid for twenty-four months from date of issuance</t>
        </is>
      </c>
      <c r="N1360" s="11" t="inlineStr">
        <is>
          <t>A certificate of registration issued under regulation 8 (a) shall be valid for a period of twenty-four months from the date of issuance.</t>
        </is>
      </c>
      <c r="O1360" s="12" t="inlineStr">
        <is>
          <t>Open PDF</t>
        </is>
      </c>
    </row>
    <row r="1361">
      <c r="A1361" t="inlineStr">
        <is>
          <t>Kenya</t>
        </is>
      </c>
      <c r="B1361" t="inlineStr">
        <is>
          <t>THE-DATA-PROTECTION-REGISTRATION-OF-DATA-CONTROLLERS-AND-DATA-PROCESSORS-REGULATIONS-2021 (Kenya = row17)</t>
        </is>
      </c>
      <c r="C1361" t="inlineStr">
        <is>
          <t>10</t>
        </is>
      </c>
      <c r="D1361" s="11" t="inlineStr">
        <is>
          <t>Registration refusal procedures</t>
        </is>
      </c>
      <c r="E1361" t="inlineStr">
        <is>
          <t>4</t>
        </is>
      </c>
      <c r="F1361" t="inlineStr">
        <is>
          <t>Low</t>
        </is>
      </c>
      <c r="G1361" t="inlineStr">
        <is>
          <t>High (explicit)</t>
        </is>
      </c>
      <c r="H1361" s="11" t="inlineStr"/>
      <c r="I1361" s="11" t="inlineStr">
        <is>
          <t>Personal Information</t>
        </is>
      </c>
      <c r="J1361" t="inlineStr">
        <is>
          <t>Data Commissioner</t>
        </is>
      </c>
      <c r="K1361" s="11" t="inlineStr">
        <is>
          <t>The Data Commissioner must notify applicants in writing of refusal within twenty-one days and provide reasons for refusal. Refusal may occur if application particulars are insufficient, appropriate privacy safeguards are not provided, or the applicant violates the Act or Regulations. Applicants may reapply after complying with refusal requirements.</t>
        </is>
      </c>
      <c r="L1361" s="11" t="inlineStr"/>
      <c r="M1361" s="11" t="inlineStr">
        <is>
          <t>• [Must] Notify applicant in writing of refusal within twenty-one days
• [Must] Provide reasons for refusal
• [Must Not] Refusal may occur if application particulars are insufficient
• [Must Not] Refusal may occur if appropriate privacy safeguards are not provided
• [Must Not] Refusal may occur if data controller or processor violates Act or Regulations
• [May] Applicant may reapply after complying with refusal requirements</t>
        </is>
      </c>
      <c r="N1361" s="11" t="inlineStr">
        <is>
          <t>(1) Where the Data Commissioner declines to approve an application for registration, the Data Commissioner shall within twenty-one days from the date of such decision (a) notify, in writing, the applicant of the refusal; and (b) provide reasons for such refusal.</t>
        </is>
      </c>
      <c r="O1361" s="12" t="inlineStr">
        <is>
          <t>Open PDF</t>
        </is>
      </c>
    </row>
    <row r="1362">
      <c r="A1362" t="inlineStr">
        <is>
          <t>Kenya</t>
        </is>
      </c>
      <c r="B1362" t="inlineStr">
        <is>
          <t>THE-DATA-PROTECTION-REGISTRATION-OF-DATA-CONTROLLERS-AND-DATA-PROCESSORS-REGULATIONS-2021 (Kenya = row17)</t>
        </is>
      </c>
      <c r="C1362" t="inlineStr">
        <is>
          <t>11</t>
        </is>
      </c>
      <c r="D1362" s="11" t="inlineStr">
        <is>
          <t>Registration renewal process</t>
        </is>
      </c>
      <c r="E1362" t="inlineStr">
        <is>
          <t>4–5</t>
        </is>
      </c>
      <c r="F1362" t="inlineStr">
        <is>
          <t>Low</t>
        </is>
      </c>
      <c r="G1362" t="inlineStr">
        <is>
          <t>High (explicit)</t>
        </is>
      </c>
      <c r="H1362" s="11" t="inlineStr"/>
      <c r="I1362" s="11" t="inlineStr">
        <is>
          <t>Personal Information</t>
        </is>
      </c>
      <c r="J1362" t="inlineStr">
        <is>
          <t>Data Commissioner</t>
        </is>
      </c>
      <c r="K1362" s="11" t="inlineStr">
        <is>
          <t>Registered data controllers or processors must apply for renewal of registration after their certificate expires. Renewal applications must be made in Form PR 2 and accompanied by the appropriate renewal fee. The Data Commissioner may require verification if renewal is for distinct purposes or data categories.</t>
        </is>
      </c>
      <c r="L1362" s="11" t="inlineStr"/>
      <c r="M1362" s="11" t="inlineStr">
        <is>
          <t>• [Must] Apply for renewal of registration after certificate expiry
• [Must] Make renewal application in Form PR 2
• [Must] Accompany renewal application with appropriate renewal fee
• [May] Data Commissioner may require verification if renewal is for distinct purposes or data categories</t>
        </is>
      </c>
      <c r="N1362" s="11" t="inlineStr">
        <is>
          <t>Pursuant to section 20 of the Act, a registered data controller or data processor shall apply for a renewal of registration as a data controller or data processor, after the expiry of the certificate of registration.</t>
        </is>
      </c>
      <c r="O1362" s="12" t="inlineStr">
        <is>
          <t>Open PDF</t>
        </is>
      </c>
    </row>
    <row r="1363">
      <c r="A1363" t="inlineStr">
        <is>
          <t>Kenya</t>
        </is>
      </c>
      <c r="B1363" t="inlineStr">
        <is>
          <t>THE-DATA-PROTECTION-REGISTRATION-OF-DATA-CONTROLLERS-AND-DATA-PROCESSORS-REGULATIONS-2021 (Kenya = row17)</t>
        </is>
      </c>
      <c r="C1363" t="inlineStr">
        <is>
          <t>12</t>
        </is>
      </c>
      <c r="D1363" s="11" t="inlineStr">
        <is>
          <t>Genetic Data Processing Registration</t>
        </is>
      </c>
      <c r="E1363" t="inlineStr">
        <is>
          <t>5</t>
        </is>
      </c>
      <c r="F1363" t="inlineStr">
        <is>
          <t>Low</t>
        </is>
      </c>
      <c r="G1363" t="inlineStr">
        <is>
          <t>High (explicit)</t>
        </is>
      </c>
      <c r="H1363" s="11" t="inlineStr">
        <is>
          <t>Special Personal Information</t>
        </is>
      </c>
      <c r="I1363" s="11" t="inlineStr"/>
      <c r="J1363" t="inlineStr"/>
      <c r="K1363" s="11" t="inlineStr">
        <is>
          <t>This section specifies that businesses processing genetic data must register with the Data Commissioner as data controllers or processors. It serves as a threshold for mandatory registration under the Data Protection Act.</t>
        </is>
      </c>
      <c r="L1363" s="11" t="inlineStr">
        <is>
          <t>Requires genetic data processing activities to be registered, which impacts DTIAs by necessitating specific safeguards for highly sensitive data transfers.</t>
        </is>
      </c>
      <c r="M1363" s="11" t="inlineStr">
        <is>
          <t>• [Must] Businesses processing genetic data must register with Data Commissioner</t>
        </is>
      </c>
      <c r="N1363" s="11" t="inlineStr">
        <is>
          <t>12. Businesses that process genetic data.</t>
        </is>
      </c>
      <c r="O1363" s="12" t="inlineStr">
        <is>
          <t>Open PDF</t>
        </is>
      </c>
    </row>
    <row r="1364">
      <c r="A1364" t="inlineStr">
        <is>
          <t>Kenya</t>
        </is>
      </c>
      <c r="B1364" t="inlineStr">
        <is>
          <t>THE-DATA-PROTECTION-REGISTRATION-OF-DATA-CONTROLLERS-AND-DATA-PROCESSORS-REGULATIONS-2021 (Kenya = row17)</t>
        </is>
      </c>
      <c r="C1364" t="inlineStr">
        <is>
          <t>12</t>
        </is>
      </c>
      <c r="D1364" s="11" t="inlineStr">
        <is>
          <t>Genetic Data Processing Registration</t>
        </is>
      </c>
      <c r="E1364" t="inlineStr">
        <is>
          <t>13</t>
        </is>
      </c>
      <c r="F1364" t="inlineStr">
        <is>
          <t>Low</t>
        </is>
      </c>
      <c r="G1364" t="inlineStr">
        <is>
          <t>High (explicit)</t>
        </is>
      </c>
      <c r="H1364" s="11" t="inlineStr">
        <is>
          <t>Special Personal Information</t>
        </is>
      </c>
      <c r="I1364" s="11" t="inlineStr"/>
      <c r="J1364" t="inlineStr"/>
      <c r="K1364" s="11" t="inlineStr">
        <is>
          <t>This section specifies that businesses processing genetic data must register with the Data Commissioner as data controllers or processors. It serves as a threshold for mandatory registration under the Data Protection Act.</t>
        </is>
      </c>
      <c r="L1364" s="11" t="inlineStr">
        <is>
          <t>Requires genetic data processing activities to be registered, which impacts DTIAs by necessitating specific safeguards for highly sensitive data transfers.</t>
        </is>
      </c>
      <c r="M1364" s="11" t="inlineStr">
        <is>
          <t>• [Must] Businesses processing genetic data must register with Data Commissioner</t>
        </is>
      </c>
      <c r="N1364" s="11" t="inlineStr">
        <is>
          <t>12. Businesses that process genetic data.</t>
        </is>
      </c>
      <c r="O1364" s="12" t="inlineStr">
        <is>
          <t>Open PDF</t>
        </is>
      </c>
    </row>
    <row r="1365">
      <c r="A1365" t="inlineStr">
        <is>
          <t>Kenya</t>
        </is>
      </c>
      <c r="B1365" t="inlineStr">
        <is>
          <t>THE-DATA-PROTECTION-REGISTRATION-OF-DATA-CONTROLLERS-AND-DATA-PROCESSORS-REGULATIONS-2021 (Kenya = row17)</t>
        </is>
      </c>
      <c r="C1365" t="inlineStr">
        <is>
          <t>13</t>
        </is>
      </c>
      <c r="D1365" s="11" t="inlineStr">
        <is>
          <t>Exemptions from mandatory registration</t>
        </is>
      </c>
      <c r="E1365" t="inlineStr">
        <is>
          <t>5–6</t>
        </is>
      </c>
      <c r="F1365" t="inlineStr">
        <is>
          <t>Low</t>
        </is>
      </c>
      <c r="G1365" t="inlineStr">
        <is>
          <t>High (explicit)</t>
        </is>
      </c>
      <c r="H1365" s="11" t="inlineStr"/>
      <c r="I1365" s="11" t="inlineStr">
        <is>
          <t>Personal Information</t>
        </is>
      </c>
      <c r="J1365" t="inlineStr"/>
      <c r="K1365" s="11" t="inlineStr">
        <is>
          <t>Data controllers or processors with annual turnover below five million shillings and fewer than ten employees are exempt from mandatory registration. However, exemptions do not apply if processing personal data for purposes specified in the Third Schedule, and exempt entities must comply with Part IV and Part VI of the Act.</t>
        </is>
      </c>
      <c r="L1365" s="11" t="inlineStr"/>
      <c r="M1365" s="11" t="inlineStr">
        <is>
          <t>• [Must Not] Exempt from mandatory registration if annual turnover below five million shillings and fewer than ten employees
• [Must Not] Exemptions do not apply if processing personal data for purposes specified in Third Schedule
• [Must] Exempt entities must comply with Part IV and Part VI of the Act</t>
        </is>
      </c>
      <c r="N1365" s="11" t="inlineStr">
        <is>
          <t>A data controller or data processor is exempt from mandatory registration under these Regulations where the data controller or data processor (a) has an annual turnover of below five million shillings or annual revenue of below five million shillings; and (b) has less than ten employees.</t>
        </is>
      </c>
      <c r="O1365" s="12" t="inlineStr">
        <is>
          <t>Open PDF</t>
        </is>
      </c>
    </row>
    <row r="1366">
      <c r="A1366" t="inlineStr">
        <is>
          <t>Kenya</t>
        </is>
      </c>
      <c r="B1366" t="inlineStr">
        <is>
          <t>THE-DATA-PROTECTION-REGISTRATION-OF-DATA-CONTROLLERS-AND-DATA-PROCESSORS-REGULATIONS-2021 (Kenya = row17)</t>
        </is>
      </c>
      <c r="C1366" t="inlineStr">
        <is>
          <t>14</t>
        </is>
      </c>
      <c r="D1366" s="11" t="inlineStr">
        <is>
          <t>Data Controller and Processor Registration Register Maintenance</t>
        </is>
      </c>
      <c r="E1366" t="inlineStr">
        <is>
          <t>6</t>
        </is>
      </c>
      <c r="F1366" t="inlineStr">
        <is>
          <t>Medium</t>
        </is>
      </c>
      <c r="G1366" t="inlineStr">
        <is>
          <t>High (explicit)</t>
        </is>
      </c>
      <c r="H1366" s="11" t="inlineStr">
        <is>
          <t>Data Storage, Data Sharing</t>
        </is>
      </c>
      <c r="I1366" s="11" t="inlineStr">
        <is>
          <t>Personal Information</t>
        </is>
      </c>
      <c r="J1366" t="inlineStr">
        <is>
          <t>Data Commissioner</t>
        </is>
      </c>
      <c r="K1366" s="11" t="inlineStr">
        <is>
          <t>The Data Commissioner must maintain an up-to-date register containing registered data controllers and processors, their categories of personal data processed, business addresses, data protection officer details, and other relevant particulars. The register must be updated within 14 days of any changes to registration details by the data controller or processor. The Data Commissioner publishes a list of registered entities on the official website every 30 days.</t>
        </is>
      </c>
      <c r="L1366" s="11" t="inlineStr">
        <is>
          <t>Requires maintaining a real-time register of data controllers and processors with their data processing activities, which impacts cross-border data transfers by ensuring entities are properly registered before handling personal data internationally.</t>
        </is>
      </c>
      <c r="M1366" s="11" t="inlineStr">
        <is>
          <t>• [Must] Data Commissioner shall keep and maintain an up-to-date register containing names and particulars of registered data controllers and data processors
• [Must] Register must include categories of personal data processed by data controllers and processors
• [Must] Register must contain addresses of principal business locations of data controllers and processors
• [Must] Register must include details of data protection officers where applicable
• [Must] Register must include any other relevant particulars
• [Must] Data Commissioner must publish a list of registered data controllers or processors on official website every 30 days</t>
        </is>
      </c>
      <c r="N1366" s="11" t="inlineStr">
        <is>
          <t>14. (1) Subject to section 21 of the Act, the Data Commissioner shall keep and maintain an up to date register which shall contain (a) the names and particulars of registered data controllers and data processors; (b) categories of personal data being processed by the data controllers and data processors; (c) the address of the principal places of business of the data controllers and data processors; (d) where applicable, details of data protection officers; and (e) any other relevant particular. (2) The Office shall, once every thirty days, publish on the official website a list of registered data controllers or data processors.</t>
        </is>
      </c>
      <c r="O1366" s="12" t="inlineStr">
        <is>
          <t>Open PDF</t>
        </is>
      </c>
    </row>
    <row r="1367">
      <c r="A1367" t="inlineStr">
        <is>
          <t>Kenya</t>
        </is>
      </c>
      <c r="B1367" t="inlineStr">
        <is>
          <t>THE-DATA-PROTECTION-REGISTRATION-OF-DATA-CONTROLLERS-AND-DATA-PROCESSORS-REGULATIONS-2021 (Kenya = row17)</t>
        </is>
      </c>
      <c r="C1367" t="inlineStr">
        <is>
          <t>15</t>
        </is>
      </c>
      <c r="D1367" s="11" t="inlineStr">
        <is>
          <t>Registration Details Notification Requirements</t>
        </is>
      </c>
      <c r="E1367" t="inlineStr">
        <is>
          <t>6</t>
        </is>
      </c>
      <c r="F1367" t="inlineStr">
        <is>
          <t>Medium</t>
        </is>
      </c>
      <c r="G1367" t="inlineStr">
        <is>
          <t>High (explicit)</t>
        </is>
      </c>
      <c r="H1367" s="11" t="inlineStr">
        <is>
          <t>Data Sharing</t>
        </is>
      </c>
      <c r="I1367" s="11" t="inlineStr">
        <is>
          <t>Personal Information</t>
        </is>
      </c>
      <c r="J1367" t="inlineStr">
        <is>
          <t>Data Commissioner</t>
        </is>
      </c>
      <c r="K1367" s="11" t="inlineStr">
        <is>
          <t>Data controllers and processors must notify the Data Commissioner in writing within 14 days of any changes to their registration particulars. The Data Commissioner must update the register upon receiving such notifications and may request additional documentation before making changes. Failure to comply constitutes an offence with penalties under section 73 of the Act.</t>
        </is>
      </c>
      <c r="L1367" s="11" t="inlineStr">
        <is>
          <t>Mandates timely notification of registration changes, which is critical for DTIAs to ensure current registration status before cross-border data transfers.</t>
        </is>
      </c>
      <c r="M1367" s="11" t="inlineStr">
        <is>
          <t>• [Must] Data controller or processor must notify Data Commissioner in writing within 14 days of any changes to registration particulars
• [Must] Data Commissioner must update register after receiving notification
• [May] Data Commissioner may request necessary documents or proof before updating register
• [Must Not] Failure to comply with this regulation constitutes an offence with penalties under section 73 of the Act</t>
        </is>
      </c>
      <c r="N1367" s="11" t="inlineStr">
        <is>
          <t>15. (1) Subject to section 19(2) of the Act, a data controller or data processor shall, within fourteen days of the occurrence of any changes in the particulars of a data controller or a data processor, notify the Data Commissioner in writing. (2) The Data Commissioner shall, on receiving the notification make the necessary changes on the register, where necessary. (3) The Data Commissioner may prior to making any change on the register, request for any necessary documents or proof thereof. (4) A data controller or data processor who contravenes this regulation commits an offence and shall, on conviction, be liable to the penalty specified under section 73 of the Act.</t>
        </is>
      </c>
      <c r="O1367" s="12" t="inlineStr">
        <is>
          <t>Open PDF</t>
        </is>
      </c>
    </row>
    <row r="1368">
      <c r="A1368" t="inlineStr">
        <is>
          <t>Kenya</t>
        </is>
      </c>
      <c r="B1368" t="inlineStr">
        <is>
          <t>THE-DATA-PROTECTION-REGISTRATION-OF-DATA-CONTROLLERS-AND-DATA-PROCESSORS-REGULATIONS-2021 (Kenya = row17)</t>
        </is>
      </c>
      <c r="C1368" t="inlineStr">
        <is>
          <t>16</t>
        </is>
      </c>
      <c r="D1368" s="11" t="inlineStr">
        <is>
          <t>Registration Certificate Cancellation or Variation</t>
        </is>
      </c>
      <c r="E1368" t="inlineStr">
        <is>
          <t>6</t>
        </is>
      </c>
      <c r="F1368" t="inlineStr">
        <is>
          <t>Medium</t>
        </is>
      </c>
      <c r="G1368" t="inlineStr">
        <is>
          <t>High (explicit)</t>
        </is>
      </c>
      <c r="H1368" s="11" t="inlineStr">
        <is>
          <t>Data Sharing</t>
        </is>
      </c>
      <c r="I1368" s="11" t="inlineStr">
        <is>
          <t>Personal Information</t>
        </is>
      </c>
      <c r="J1368" t="inlineStr">
        <is>
          <t>Data Commissioner</t>
        </is>
      </c>
      <c r="K1368" s="11" t="inlineStr">
        <is>
          <t>The Data Commissioner may cancel or vary registration conditions for data controllers or processors if they provide false information, willfully or negligently fail to comply with the Act and regulations, or apply for cancellation/variation. The Commissioner must follow the Fair Administrative Actions Act, 2015 when making such decisions.</t>
        </is>
      </c>
      <c r="L1368" s="11" t="inlineStr">
        <is>
          <t>Provides mechanisms for revoking registration where data controllers/processors fail to meet compliance requirements, which affects DTIAs by requiring thorough vetting of entities before cross-border data transfers.</t>
        </is>
      </c>
      <c r="M1368" s="11" t="inlineStr">
        <is>
          <t>• [May] Data Commissioner may cancel certificate of registration or vary conditions for registration
• [Condition] Cancellation or variation may occur if data controller or processor applies for cancellation or variation
• [Condition] Cancellation or variation may occur if Data Commissioner establishes false or misleading information was provided
• [Condition] Cancellation or variation may occur if data controller or processor willfully or negligently fails to comply with Act and regulations
• [Must] Data Commissioner must follow Fair Administrative Actions Act, 2015 when cancelling or varying registration</t>
        </is>
      </c>
      <c r="N1368" s="11" t="inlineStr">
        <is>
          <t>16. (1) Subject to section 22 of the Act, the Data Commissioner may cancel a certificate of registration or vary the conditions for registration, where (a) the data controller or data processor applies for cancellation or variation; (b) the Data Commissioner establishes that the data controller or data processor provided false or misleading information in relation to any registration particulars; or (c) the data controller or data processor willfully or negligently, fails to comply with provisions of the Act and any Regulations made thereunder. (2) The Data Commissioner shall, before cancelling or varying the conditions of registration, be guided by the provisions of the Fair Administrative Actions Act, 2015.</t>
        </is>
      </c>
      <c r="O1368" s="12" t="inlineStr">
        <is>
          <t>Open PDF</t>
        </is>
      </c>
    </row>
    <row r="1369">
      <c r="A1369" t="inlineStr">
        <is>
          <t>Kenya</t>
        </is>
      </c>
      <c r="B1369" t="inlineStr">
        <is>
          <t>THE-DATA-PROTECTION-REGISTRATION-OF-DATA-CONTROLLERS-AND-DATA-PROCESSORS-REGULATIONS-2021 (Kenya = row17)</t>
        </is>
      </c>
      <c r="C1369" t="inlineStr">
        <is>
          <t>18</t>
        </is>
      </c>
      <c r="D1369" s="11" t="inlineStr">
        <is>
          <t>Registration Offences</t>
        </is>
      </c>
      <c r="E1369" t="inlineStr">
        <is>
          <t>6–13</t>
        </is>
      </c>
      <c r="F1369" t="inlineStr">
        <is>
          <t>Medium</t>
        </is>
      </c>
      <c r="G1369" t="inlineStr">
        <is>
          <t>High (explicit)</t>
        </is>
      </c>
      <c r="H1369" s="11" t="inlineStr">
        <is>
          <t>Data Sharing</t>
        </is>
      </c>
      <c r="I1369" s="11" t="inlineStr">
        <is>
          <t>Personal Information</t>
        </is>
      </c>
      <c r="J1369" t="inlineStr">
        <is>
          <t>Data Commissioner</t>
        </is>
      </c>
      <c r="K1369" s="11" t="inlineStr">
        <is>
          <t>Data controllers or processors who fail to register personal data processing activities, provide false information during registration, or fail to renew their certificate of registration after expiry commit offences under this regulation. Penalties are specified in section 73 of the Act.</t>
        </is>
      </c>
      <c r="L1369" s="11" t="inlineStr">
        <is>
          <t>Defines specific offences related to registration compliance, which are critical for DTIAs to assess whether entities meet registration requirements before cross-border data transfers.</t>
        </is>
      </c>
      <c r="M1369" s="11" t="inlineStr">
        <is>
          <t>• [Must Not] Data controller or processor who processes personal data without registering commits an offence
• [Must Not] Data controller or processor who provides false or misleading information for registration commits an offence
• [Must Not] Data controller or processor who fails to renew certificate of registration and continues processing after expiry commits an offence
• [Must] Offenders face penalties specified under section 73 of the Act</t>
        </is>
      </c>
      <c r="N1369" s="11" t="inlineStr">
        <is>
          <t>18. A data controller or a data processor who (a) processes personal data without registering in accordance with these Regulations; (b) provides false or misleading information for the purpose of registration; or (c) fails to renew a certificate of registration and continues to process personal data after the expiry of the certificate, commits an offence and shall, upon conviction, be liable to penalty specified under section 73 of the Act.</t>
        </is>
      </c>
      <c r="O1369" s="12" t="inlineStr">
        <is>
          <t>Open PDF</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s>
  <pageMargins left="0.75" right="0.75" top="1" bottom="1" header="0.5" footer="0.5"/>
  <tableParts count="1">
    <tablePart xmlns:r="http://schemas.openxmlformats.org/officeDocument/2006/relationships" r:id="rId1369"/>
  </tableParts>
</worksheet>
</file>

<file path=xl/worksheets/sheet5.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60" customWidth="1" min="4" max="4"/>
    <col width="60" customWidth="1" min="5" max="5"/>
    <col width="21" customWidth="1" min="6" max="6"/>
  </cols>
  <sheetData>
    <row r="1">
      <c r="A1" s="10" t="inlineStr">
        <is>
          <t>Country</t>
        </is>
      </c>
      <c r="B1" s="10" t="inlineStr">
        <is>
          <t>Act</t>
        </is>
      </c>
      <c r="C1" s="10" t="inlineStr">
        <is>
          <t>Sections</t>
        </is>
      </c>
      <c r="D1" s="10" t="inlineStr">
        <is>
          <t>Regulators</t>
        </is>
      </c>
      <c r="E1" s="10" t="inlineStr">
        <is>
          <t>Topics</t>
        </is>
      </c>
      <c r="F1" s="10" t="inlineStr">
        <is>
          <t>Financial Relevance</t>
        </is>
      </c>
    </row>
    <row r="2">
      <c r="A2" t="inlineStr">
        <is>
          <t>Australia</t>
        </is>
      </c>
      <c r="B2" t="inlineStr">
        <is>
          <t>C2004A01182 (Australia - Row 25)</t>
        </is>
      </c>
      <c r="C2" t="n">
        <v>1</v>
      </c>
      <c r="D2" t="inlineStr"/>
      <c r="E2" t="inlineStr">
        <is>
          <t>AML, Access Control, Breach Notification, Children, Cloud Services, Collection, Consent, Cross-border Transfer, Customer Information, Data Sharing, Data Storage, Deletion, Employee Information, Encryption, Financial Data, Governance, Incident Reporting, International Processing, KYC, Outsourcing, Processing, Record Keeping, Retention, Security, Special Personal Information, Third Party Processing</t>
        </is>
      </c>
      <c r="F2" t="inlineStr"/>
    </row>
    <row r="3">
      <c r="A3" t="inlineStr">
        <is>
          <t>Australia</t>
        </is>
      </c>
      <c r="B3" t="inlineStr">
        <is>
          <t>C2004C01271-1 (Australia - Row 7)</t>
        </is>
      </c>
      <c r="C3" t="n">
        <v>1</v>
      </c>
      <c r="D3" t="inlineStr">
        <is>
          <t>Arts Minister</t>
        </is>
      </c>
      <c r="E3" t="inlineStr">
        <is>
          <t>Customer Information, Employee Information, Financial Data</t>
        </is>
      </c>
      <c r="F3" t="inlineStr"/>
    </row>
    <row r="4">
      <c r="A4" t="inlineStr">
        <is>
          <t>Australia</t>
        </is>
      </c>
      <c r="B4" t="inlineStr">
        <is>
          <t>C2012C00866 (Australia - Row 12)</t>
        </is>
      </c>
      <c r="C4" t="n">
        <v>38</v>
      </c>
      <c r="D4" t="inlineStr">
        <is>
          <t>Australian Information Commissioner, Commonwealth, Information Commissioner, Ombudsman</t>
        </is>
      </c>
      <c r="E4" t="inlineStr">
        <is>
          <t>AML, Breach Notification, Children, Consent, Cross-border Transfer, Customer Information, Data Residency, Data Storage, Employee Information, Financial Data, Governance, Incident Reporting, International Processing, KYC, Record Keeping, Retention, Security, Special Personal Information, Third Party Processing</t>
        </is>
      </c>
      <c r="F4" t="inlineStr">
        <is>
          <t>High</t>
        </is>
      </c>
    </row>
    <row r="5">
      <c r="A5" t="inlineStr">
        <is>
          <t>Australia</t>
        </is>
      </c>
      <c r="B5" t="inlineStr">
        <is>
          <t>C2016C00614 (Australia - Row 23)</t>
        </is>
      </c>
      <c r="C5" t="n">
        <v>12</v>
      </c>
      <c r="D5" t="inlineStr">
        <is>
          <t>ACMA, Federal Court</t>
        </is>
      </c>
      <c r="E5" t="inlineStr">
        <is>
          <t>Consent</t>
        </is>
      </c>
      <c r="F5" t="inlineStr">
        <is>
          <t>High</t>
        </is>
      </c>
    </row>
    <row r="6">
      <c r="A6" t="inlineStr">
        <is>
          <t>Australia</t>
        </is>
      </c>
      <c r="B6" t="inlineStr">
        <is>
          <t>C2026C00227 (Australia - Row 16)</t>
        </is>
      </c>
      <c r="C6" t="n">
        <v>19</v>
      </c>
      <c r="D6" t="inlineStr">
        <is>
          <t>Australian Privacy Principles (APP), Court, Privacy Commissioner</t>
        </is>
      </c>
      <c r="E6" t="inlineStr">
        <is>
          <t>Consent, Cross-border Transfer, Data Sharing, Data Storage, Security</t>
        </is>
      </c>
      <c r="F6" t="inlineStr">
        <is>
          <t>High</t>
        </is>
      </c>
    </row>
    <row r="7">
      <c r="A7" t="inlineStr">
        <is>
          <t>Australia</t>
        </is>
      </c>
      <c r="B7" t="inlineStr">
        <is>
          <t>C2026C00227-1 (Australia - Row 21)</t>
        </is>
      </c>
      <c r="C7" t="n">
        <v>19</v>
      </c>
      <c r="D7" t="inlineStr">
        <is>
          <t>Australian Privacy Principles (APP), Privacy Act 1988 (Cth)</t>
        </is>
      </c>
      <c r="E7" t="inlineStr">
        <is>
          <t>AML, Access Control, Breach Notification, Children, Cloud Services, Collection, Consent, Cross-border Transfer, Customer Information, Data Sharing, Data Storage, Deletion, Employee Information, Encryption, Financial Data, Governance, Incident Reporting, International Processing, KYC, Outsourcing, Processing, Record Keeping, Retention, Security, Special Personal Information, Third Party Processing</t>
        </is>
      </c>
      <c r="F7" t="inlineStr">
        <is>
          <t>High</t>
        </is>
      </c>
    </row>
    <row r="8">
      <c r="A8" t="inlineStr">
        <is>
          <t>Australia</t>
        </is>
      </c>
      <c r="B8" t="inlineStr">
        <is>
          <t>cps_234_july_2019_for_public_release (Australia - Row 6)</t>
        </is>
      </c>
      <c r="C8" t="n">
        <v>32</v>
      </c>
      <c r="D8" t="inlineStr">
        <is>
          <t>APRA</t>
        </is>
      </c>
      <c r="E8" t="inlineStr">
        <is>
          <t>Breach Notification, Governance, Incident Reporting, Security, Third Party Processing</t>
        </is>
      </c>
      <c r="F8" t="inlineStr">
        <is>
          <t>High</t>
        </is>
      </c>
    </row>
    <row r="9">
      <c r="A9" t="inlineStr">
        <is>
          <t>Australia</t>
        </is>
      </c>
      <c r="B9" t="inlineStr">
        <is>
          <t>Essential Eight explained (November 2023) (Australia - Row 11)</t>
        </is>
      </c>
      <c r="C9" t="n">
        <v>3</v>
      </c>
      <c r="D9" t="inlineStr">
        <is>
          <t>Australian Signals Directorate (ASD)</t>
        </is>
      </c>
      <c r="E9" t="inlineStr">
        <is>
          <t>Security</t>
        </is>
      </c>
      <c r="F9" t="inlineStr">
        <is>
          <t>Medium</t>
        </is>
      </c>
    </row>
    <row r="10">
      <c r="A10" t="inlineStr">
        <is>
          <t>Australia</t>
        </is>
      </c>
      <c r="B10" t="inlineStr">
        <is>
          <t>Prudential Standard - CPS 230 Operational Risk Management - clean (Australia - Row 3)</t>
        </is>
      </c>
      <c r="C10" t="n">
        <v>19</v>
      </c>
      <c r="D10" t="inlineStr">
        <is>
          <t>APRA</t>
        </is>
      </c>
      <c r="E10" t="inlineStr">
        <is>
          <t>Breach Notification, Cloud Services, Data Storage, Incident Reporting, Outsourcing, Security, Third Party Processing</t>
        </is>
      </c>
      <c r="F10" t="inlineStr">
        <is>
          <t>High</t>
        </is>
      </c>
    </row>
    <row r="11">
      <c r="A11" t="inlineStr">
        <is>
          <t>Australia</t>
        </is>
      </c>
      <c r="B11" t="inlineStr">
        <is>
          <t>Prudential-Practice-Guide-CPG-235-Managing-Data-Risk_1 (Australia - Row 4)</t>
        </is>
      </c>
      <c r="C11" t="n">
        <v>37</v>
      </c>
      <c r="D11" t="inlineStr">
        <is>
          <t>APRA, Australian Prudential Regulation Authority</t>
        </is>
      </c>
      <c r="E11" t="inlineStr">
        <is>
          <t>Cross-border Transfer, Data Sharing, Data Storage, Governance, Security, Third Party Processing</t>
        </is>
      </c>
      <c r="F11" t="inlineStr">
        <is>
          <t>High</t>
        </is>
      </c>
    </row>
    <row r="12">
      <c r="A12" t="inlineStr">
        <is>
          <t>Australia</t>
        </is>
      </c>
      <c r="B12" t="inlineStr">
        <is>
          <t>Prudential-Standard-CPS-232-Business-Continuity-Management-(July-2017) (Australia - Row 5)</t>
        </is>
      </c>
      <c r="C12" t="n">
        <v>11</v>
      </c>
      <c r="D12" t="inlineStr">
        <is>
          <t>APRA</t>
        </is>
      </c>
      <c r="E12" t="inlineStr">
        <is>
          <t>Governance, Incident Reporting</t>
        </is>
      </c>
      <c r="F12" t="inlineStr">
        <is>
          <t>High</t>
        </is>
      </c>
    </row>
    <row r="13">
      <c r="A13" t="inlineStr">
        <is>
          <t>Australia</t>
        </is>
      </c>
      <c r="B13" t="inlineStr">
        <is>
          <t>rg255-published-30-august-2016-20220328 (Australia - Row 9)</t>
        </is>
      </c>
      <c r="C13" t="n">
        <v>40</v>
      </c>
      <c r="D13" t="inlineStr">
        <is>
          <t>ASIC</t>
        </is>
      </c>
      <c r="E13" t="inlineStr">
        <is>
          <t>Breach Notification, Cloud Services, Cross-border Transfer, Data Sharing, Data Storage, Financial Data, Incident Reporting, Processing, Security, Third Party Processing</t>
        </is>
      </c>
      <c r="F13" t="inlineStr">
        <is>
          <t>High</t>
        </is>
      </c>
    </row>
    <row r="14">
      <c r="A14" t="inlineStr">
        <is>
          <t>Australia</t>
        </is>
      </c>
      <c r="B14" t="inlineStr">
        <is>
          <t>Statutory tort for serious invasions of privacy _ OAIC (Australia - Row 24)</t>
        </is>
      </c>
      <c r="C14" t="n">
        <v>5</v>
      </c>
      <c r="D14" t="inlineStr"/>
      <c r="E14" t="inlineStr">
        <is>
          <t>AML, Access Control, Breach Notification, Children, Cloud Services, Collection, Consent, Cross-border Transfer, Customer Information, Data Residency, Data Sharing, Data Storage, Deletion, Employee Information, Encryption, Financial Data, Governance, Incident Reporting, International Processing, KYC, Outsourcing, Processing, Record Keeping, Retention, Security, Special Personal Information, Third Party Processing</t>
        </is>
      </c>
      <c r="F14" t="inlineStr"/>
    </row>
    <row r="15">
      <c r="A15" t="inlineStr">
        <is>
          <t>GDPR</t>
        </is>
      </c>
      <c r="B15" t="inlineStr">
        <is>
          <t>CELEX_32002L0058_EN_TXT (GDPR Row 7)</t>
        </is>
      </c>
      <c r="C15" t="n">
        <v>20</v>
      </c>
      <c r="D15" t="inlineStr">
        <is>
          <t>European Commission</t>
        </is>
      </c>
      <c r="E15" t="inlineStr">
        <is>
          <t>Consent, Cross-border Transfer, Data Sharing, Data Storage, Governance, Processing, Record Keeping</t>
        </is>
      </c>
      <c r="F15" t="inlineStr">
        <is>
          <t>High</t>
        </is>
      </c>
    </row>
    <row r="16">
      <c r="A16" t="inlineStr">
        <is>
          <t>GDPR</t>
        </is>
      </c>
      <c r="B16" t="inlineStr">
        <is>
          <t>CELEX_32015L2366_EN_TXT (GDPR - Row 18)</t>
        </is>
      </c>
      <c r="C16" t="n">
        <v>109</v>
      </c>
      <c r="D16" t="inlineStr"/>
      <c r="E16" t="inlineStr">
        <is>
          <t>Cross-border Transfer, Security</t>
        </is>
      </c>
      <c r="F16" t="inlineStr">
        <is>
          <t>High</t>
        </is>
      </c>
    </row>
    <row r="17">
      <c r="A17" t="inlineStr">
        <is>
          <t>GDPR</t>
        </is>
      </c>
      <c r="B17" t="inlineStr">
        <is>
          <t>CELEX_32018L1673_EN_TXT (GDPR - Row 2)</t>
        </is>
      </c>
      <c r="C17" t="n">
        <v>20</v>
      </c>
      <c r="D17" t="inlineStr">
        <is>
          <t>European Commission</t>
        </is>
      </c>
      <c r="E17" t="inlineStr">
        <is>
          <t>Cross-border Transfer, Governance, Record Keeping</t>
        </is>
      </c>
      <c r="F17" t="inlineStr">
        <is>
          <t>High</t>
        </is>
      </c>
    </row>
    <row r="18">
      <c r="A18" t="inlineStr">
        <is>
          <t>GDPR</t>
        </is>
      </c>
      <c r="B18" t="inlineStr">
        <is>
          <t>CELEX_32022L2555_EN_TXT (GDPR - Row 17)</t>
        </is>
      </c>
      <c r="C18" t="n">
        <v>179</v>
      </c>
      <c r="D18" t="inlineStr">
        <is>
          <t>European Commission</t>
        </is>
      </c>
      <c r="E18" t="inlineStr">
        <is>
          <t>Cloud Services, Cross-border Transfer, Data Storage, Incident Reporting, International Processing, Processing, Security</t>
        </is>
      </c>
      <c r="F18" t="inlineStr">
        <is>
          <t>High</t>
        </is>
      </c>
    </row>
    <row r="19">
      <c r="A19" t="inlineStr">
        <is>
          <t>GDPR</t>
        </is>
      </c>
      <c r="B19" t="inlineStr">
        <is>
          <t>CELEX_32022R0868_EN_TXT (GDPR - Row 12)</t>
        </is>
      </c>
      <c r="C19" t="n">
        <v>128</v>
      </c>
      <c r="D19" t="inlineStr">
        <is>
          <t>Commission, Competent authorities for data intermediation services, Competent authorities for registration of data altruism organizations, European Commission, European Parliament or Council</t>
        </is>
      </c>
      <c r="E19" t="inlineStr">
        <is>
          <t>Consent, Cross-border Transfer, Data Residency, Data Sharing, Data Storage, Incident Reporting, Security</t>
        </is>
      </c>
      <c r="F19" t="inlineStr">
        <is>
          <t>High</t>
        </is>
      </c>
    </row>
    <row r="20">
      <c r="A20" t="inlineStr">
        <is>
          <t>GDPR</t>
        </is>
      </c>
      <c r="B20" t="inlineStr">
        <is>
          <t>CELEX_52023PC0360_EN_TXT (GDPR - Row 13)</t>
        </is>
      </c>
      <c r="C20" t="n">
        <v>95</v>
      </c>
      <c r="D20" t="inlineStr">
        <is>
          <t>Competent authorities, Competent authority, European Banking Authority (EBA), European Parliament or Council, Member States</t>
        </is>
      </c>
      <c r="E20" t="inlineStr">
        <is>
          <t>Breach Notification, Consent, Cross-border Transfer, Customer Information, Data Sharing, Data Storage, Financial Data, Governance, Incident Reporting, International Processing, Security</t>
        </is>
      </c>
      <c r="F20" t="inlineStr">
        <is>
          <t>High</t>
        </is>
      </c>
    </row>
    <row r="21">
      <c r="A21" t="inlineStr">
        <is>
          <t>GDPR</t>
        </is>
      </c>
      <c r="B21" t="inlineStr">
        <is>
          <t>esma_cloud_guidelines (GDPR - Row 8)</t>
        </is>
      </c>
      <c r="C21" t="n">
        <v>46</v>
      </c>
      <c r="D21" t="inlineStr">
        <is>
          <t>Competent authorities, ESMA</t>
        </is>
      </c>
      <c r="E21" t="inlineStr">
        <is>
          <t>Access Control, Breach Notification, Cloud Services, Encryption, Governance, Incident Reporting, Outsourcing, Record Keeping, Security, Third Party Processing</t>
        </is>
      </c>
      <c r="F21" t="inlineStr">
        <is>
          <t>High</t>
        </is>
      </c>
    </row>
    <row r="22">
      <c r="A22" t="inlineStr">
        <is>
          <t>GDPR</t>
        </is>
      </c>
      <c r="B22" t="inlineStr">
        <is>
          <t>Final report on amending GLs on ICT risk and security (GDPR - Row 4)</t>
        </is>
      </c>
      <c r="C22" t="n">
        <v>19</v>
      </c>
      <c r="D22" t="inlineStr">
        <is>
          <t>EBA</t>
        </is>
      </c>
      <c r="E22" t="inlineStr">
        <is>
          <t>Financial Data, Governance, Security</t>
        </is>
      </c>
      <c r="F22" t="inlineStr">
        <is>
          <t>High</t>
        </is>
      </c>
    </row>
    <row r="23">
      <c r="A23" t="inlineStr">
        <is>
          <t>GDPR</t>
        </is>
      </c>
      <c r="B23" t="inlineStr">
        <is>
          <t>OJ_L_202302854_EN_TXT (GDPR - Row 11)</t>
        </is>
      </c>
      <c r="C23" t="n">
        <v>95</v>
      </c>
      <c r="D23" t="inlineStr">
        <is>
          <t>Competent authorities, European Commission, European Data Protection Supervisor, Member States</t>
        </is>
      </c>
      <c r="E23" t="inlineStr">
        <is>
          <t>Cross-border Transfer, Data Sharing, Data Storage, International Processing, Security, Third Party Processing</t>
        </is>
      </c>
      <c r="F23" t="inlineStr">
        <is>
          <t>High</t>
        </is>
      </c>
    </row>
    <row r="24">
      <c r="A24" t="inlineStr">
        <is>
          <t>GDPR</t>
        </is>
      </c>
      <c r="B24" t="inlineStr">
        <is>
          <t>OJ_L_202401689_EN_TXT (GDPR - Row 9)</t>
        </is>
      </c>
      <c r="C24" t="n">
        <v>167</v>
      </c>
      <c r="D24" t="inlineStr">
        <is>
          <t>AI Office, European Commission, European Data Protection Supervisor, National competent authorities, Notified body</t>
        </is>
      </c>
      <c r="E24" t="inlineStr">
        <is>
          <t>AML, Access Control, Breach Notification, Children, Cloud Services, Collection, Consent, Cross-border Transfer, Customer Information, Data Residency, Data Sharing, Data Storage, Deletion, Employee Information, Encryption, Financial Data, Governance, Incident Reporting, International Processing, KYC, Outsourcing, Processing, Record Keeping, Retention, Security, Special Personal Information, Third Party Processing</t>
        </is>
      </c>
      <c r="F24" t="inlineStr">
        <is>
          <t>High</t>
        </is>
      </c>
    </row>
    <row r="25">
      <c r="A25" t="inlineStr">
        <is>
          <t>India</t>
        </is>
      </c>
      <c r="B25" t="inlineStr">
        <is>
          <t>Guidelines on Information and Cyber Security (India - Row 8)</t>
        </is>
      </c>
      <c r="C25" t="n">
        <v>2</v>
      </c>
      <c r="D25" t="inlineStr">
        <is>
          <t>IRDAI</t>
        </is>
      </c>
      <c r="E25" t="inlineStr"/>
      <c r="F25" t="inlineStr">
        <is>
          <t>Medium</t>
        </is>
      </c>
    </row>
    <row r="26">
      <c r="A26" t="inlineStr">
        <is>
          <t>India</t>
        </is>
      </c>
      <c r="B26" t="inlineStr">
        <is>
          <t>guidelines-on-cyber-security-and-cyber-resilience-for-regulated-entities-in-ifscs-1-10032025064412 (India - Row 5)</t>
        </is>
      </c>
      <c r="C26" t="n">
        <v>21</v>
      </c>
      <c r="D26" t="inlineStr">
        <is>
          <t>IFSCA</t>
        </is>
      </c>
      <c r="E26" t="inlineStr">
        <is>
          <t>Access Control, Breach Notification, Governance, Incident Reporting, Record Keeping, Security, Third Party Processing</t>
        </is>
      </c>
      <c r="F26" t="inlineStr">
        <is>
          <t>High</t>
        </is>
      </c>
    </row>
    <row r="27">
      <c r="A27" t="inlineStr">
        <is>
          <t>India</t>
        </is>
      </c>
      <c r="B27" t="inlineStr">
        <is>
          <t>NT75589AC4A988D446CA94182886F6D8EADD (India - Row 13) PROVISIONALLY</t>
        </is>
      </c>
      <c r="C27" t="n">
        <v>1</v>
      </c>
      <c r="D27" t="inlineStr"/>
      <c r="E27" t="inlineStr"/>
      <c r="F27" t="inlineStr"/>
    </row>
    <row r="28">
      <c r="A28" t="inlineStr">
        <is>
          <t>India</t>
        </is>
      </c>
      <c r="B28" t="inlineStr">
        <is>
          <t>Payment and Settlement Systems Act, 2007 (India - Row 11)</t>
        </is>
      </c>
      <c r="C28" t="n">
        <v>47</v>
      </c>
      <c r="D28" t="inlineStr">
        <is>
          <t>Central Government, Reserve Bank, Reserve Bank of India</t>
        </is>
      </c>
      <c r="E28" t="inlineStr">
        <is>
          <t>Cross-border Transfer, Data Sharing, Financial Data, Governance, Record Keeping</t>
        </is>
      </c>
      <c r="F28" t="inlineStr">
        <is>
          <t>High</t>
        </is>
      </c>
    </row>
    <row r="29">
      <c r="A29" t="inlineStr">
        <is>
          <t>India</t>
        </is>
      </c>
      <c r="B29" t="inlineStr">
        <is>
          <t>RBI Digital Lending Directions 2025 Digital Lending Guidelines 2022 (India - Row 14)</t>
        </is>
      </c>
      <c r="C29" t="n">
        <v>24</v>
      </c>
      <c r="D29" t="inlineStr">
        <is>
          <t>RBI, Reserve Bank of India, Reserve Bank of India (RBI)</t>
        </is>
      </c>
      <c r="E29" t="inlineStr">
        <is>
          <t>AML, Access Control, Breach Notification, Children, Cloud Services, Collection, Consent, Cross-border Transfer, Customer Information, Data Residency, Data Sharing, Data Storage, Deletion, Employee Information, Encryption, Financial Data, Governance, Incident Reporting, International Processing, KYC, Outsourcing, Processing, Record Keeping, Retention, Security, Special Personal Information, Third Party Processing</t>
        </is>
      </c>
      <c r="F29" t="inlineStr">
        <is>
          <t>High</t>
        </is>
      </c>
    </row>
    <row r="30">
      <c r="A30" t="inlineStr">
        <is>
          <t>India</t>
        </is>
      </c>
      <c r="B30" t="inlineStr">
        <is>
          <t>RBI Master Direction on Information Technology Framework for NBFC Sector (2017) (India - Row 15)</t>
        </is>
      </c>
      <c r="C30" t="n">
        <v>2</v>
      </c>
      <c r="D30" t="inlineStr">
        <is>
          <t>RBI</t>
        </is>
      </c>
      <c r="E30" t="inlineStr">
        <is>
          <t>Customer Information, Financial Data</t>
        </is>
      </c>
      <c r="F30" t="inlineStr">
        <is>
          <t>Low</t>
        </is>
      </c>
    </row>
    <row r="31">
      <c r="A31" t="inlineStr">
        <is>
          <t>India</t>
        </is>
      </c>
      <c r="B31" t="inlineStr">
        <is>
          <t>RBI Master Direction on Outsourcing of IT Services (MDS on IT Outsourcing, 2023) (India - Row 16)</t>
        </is>
      </c>
      <c r="C31" t="n">
        <v>35</v>
      </c>
      <c r="D31" t="inlineStr">
        <is>
          <t>RBI, Reserve Bank of India, Reserve Bank of India (RBI)</t>
        </is>
      </c>
      <c r="E31" t="inlineStr">
        <is>
          <t>Access Control, Breach Notification, Cloud Services, Cross-border Transfer, Data Residency, Data Sharing, Data Storage, Governance, Incident Reporting, International Processing, Outsourcing, Record Keeping, Security</t>
        </is>
      </c>
      <c r="F31" t="inlineStr">
        <is>
          <t>High</t>
        </is>
      </c>
    </row>
    <row r="32">
      <c r="A32" t="inlineStr">
        <is>
          <t>India</t>
        </is>
      </c>
      <c r="B32" t="inlineStr">
        <is>
          <t>RBI Payment Data Localisation Requirement (India - Row 17)</t>
        </is>
      </c>
      <c r="C32" t="n">
        <v>2</v>
      </c>
      <c r="D32" t="inlineStr">
        <is>
          <t>Reserve Bank of India</t>
        </is>
      </c>
      <c r="E32" t="inlineStr">
        <is>
          <t>Cross-border Transfer, Data Storage, Financial Data</t>
        </is>
      </c>
      <c r="F32" t="inlineStr">
        <is>
          <t>High</t>
        </is>
      </c>
    </row>
    <row r="33">
      <c r="A33" t="inlineStr">
        <is>
          <t>India</t>
        </is>
      </c>
      <c r="B33" t="inlineStr">
        <is>
          <t>Reserve Bank of India – IT Governance and Cybersecurity Regulatory Framework (including Master Directions and Cyber Security Framework) (India - Row 18)</t>
        </is>
      </c>
      <c r="C33" t="n">
        <v>35</v>
      </c>
      <c r="D33" t="inlineStr">
        <is>
          <t>RBI, Reserve Bank of India</t>
        </is>
      </c>
      <c r="E33" t="inlineStr">
        <is>
          <t>Access Control, Breach Notification, Data Sharing, Data Storage, Encryption, Governance, Incident Reporting, Processing, Security, Third Party Processing</t>
        </is>
      </c>
      <c r="F33" t="inlineStr">
        <is>
          <t>High</t>
        </is>
      </c>
    </row>
    <row r="34">
      <c r="A34" t="inlineStr">
        <is>
          <t>India</t>
        </is>
      </c>
      <c r="B34" t="inlineStr">
        <is>
          <t>SEBI Master Circular for Alternative Investment Funds (India - Row 25)</t>
        </is>
      </c>
      <c r="C34" t="n">
        <v>35</v>
      </c>
      <c r="D34" t="inlineStr">
        <is>
          <t>SEBI</t>
        </is>
      </c>
      <c r="E34" t="inlineStr">
        <is>
          <t>AML, Access Control, Breach Notification, Children, Cloud Services, Collection, Consent, Cross-border Transfer, Customer Information, Data Residency, Data Sharing, Data Storage, Deletion, Employee Information, Encryption, Financial Data, Governance, Incident Reporting, International Processing, KYC, Outsourcing, Processing, Record Keeping, Retention, Security, Special Personal Information, Third Party Processing</t>
        </is>
      </c>
      <c r="F34" t="inlineStr">
        <is>
          <t>High</t>
        </is>
      </c>
    </row>
    <row r="35">
      <c r="A35" t="inlineStr">
        <is>
          <t>Kenya</t>
        </is>
      </c>
      <c r="B35" t="inlineStr">
        <is>
          <t>GUIDANCE-NOTE-ON-CYBERSECURITY-FOR-THE-BANKING-SECTOR</t>
        </is>
      </c>
      <c r="C35" t="n">
        <v>4</v>
      </c>
      <c r="D35" t="inlineStr">
        <is>
          <t>Central Bank of Kenya, Central Bank of Kenya (CBK)</t>
        </is>
      </c>
      <c r="E35" t="inlineStr">
        <is>
          <t>Governance, Incident Reporting, Outsourcing, Security, Third Party Processing</t>
        </is>
      </c>
      <c r="F35" t="inlineStr">
        <is>
          <t>High</t>
        </is>
      </c>
    </row>
    <row r="36">
      <c r="A36" t="inlineStr">
        <is>
          <t>Kenya</t>
        </is>
      </c>
      <c r="B36" t="inlineStr">
        <is>
          <t>GuidelinesonCybersecurityforPSPs (Kenya - Row19)</t>
        </is>
      </c>
      <c r="C36" t="n">
        <v>7</v>
      </c>
      <c r="D36" t="inlineStr">
        <is>
          <t>CBK, Central Bank of Kenya (CBK)</t>
        </is>
      </c>
      <c r="E36" t="inlineStr">
        <is>
          <t>Breach Notification, Governance, Incident Reporting, Record Keeping, Security</t>
        </is>
      </c>
      <c r="F36" t="inlineStr">
        <is>
          <t>High</t>
        </is>
      </c>
    </row>
    <row r="37">
      <c r="A37" t="inlineStr">
        <is>
          <t>Kenya</t>
        </is>
      </c>
      <c r="B37" t="inlineStr">
        <is>
          <t>THE-DATA-PROTECTION-COMPLAINTS-HANDLING-AND-ENFORCEMENT (Kenya - Row 15)</t>
        </is>
      </c>
      <c r="C37" t="n">
        <v>21</v>
      </c>
      <c r="D37" t="inlineStr">
        <is>
          <t>Data Commissioner, High Court</t>
        </is>
      </c>
      <c r="E37" t="inlineStr"/>
      <c r="F37" t="inlineStr">
        <is>
          <t>High</t>
        </is>
      </c>
    </row>
    <row r="38">
      <c r="A38" t="inlineStr">
        <is>
          <t>Kenya</t>
        </is>
      </c>
      <c r="B38" t="inlineStr">
        <is>
          <t>THE-DATA-PROTECTION-REGISTRATION-OF-DATA-CONTROLLERS-AND-DATA-PROCESSORS-REGULATIONS-2021 (Kenya = row17)</t>
        </is>
      </c>
      <c r="C38" t="n">
        <v>17</v>
      </c>
      <c r="D38" t="inlineStr">
        <is>
          <t>Data Commissioner</t>
        </is>
      </c>
      <c r="E38" t="inlineStr">
        <is>
          <t>Data Sharing, Data Storage, Special Personal Information</t>
        </is>
      </c>
      <c r="F38" t="inlineStr">
        <is>
          <t>Medium</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60" customWidth="1" min="3" max="3"/>
  </cols>
  <sheetData>
    <row r="1">
      <c r="A1" s="10" t="inlineStr">
        <is>
          <t>Authority</t>
        </is>
      </c>
      <c r="B1" s="10" t="inlineStr">
        <is>
          <t>Countries</t>
        </is>
      </c>
      <c r="C1" s="10" t="inlineStr">
        <is>
          <t>Acts</t>
        </is>
      </c>
    </row>
    <row r="2">
      <c r="A2" t="inlineStr">
        <is>
          <t>ACMA</t>
        </is>
      </c>
      <c r="B2" t="inlineStr">
        <is>
          <t>Australia</t>
        </is>
      </c>
      <c r="C2" t="inlineStr">
        <is>
          <t>C2016C00614 (Australia - Row 23)</t>
        </is>
      </c>
    </row>
    <row r="3">
      <c r="A3" t="inlineStr">
        <is>
          <t>AI Office</t>
        </is>
      </c>
      <c r="B3" t="inlineStr">
        <is>
          <t>GDPR</t>
        </is>
      </c>
      <c r="C3" t="inlineStr">
        <is>
          <t>OJ_L_202401689_EN_TXT (GDPR - Row 9)</t>
        </is>
      </c>
    </row>
    <row r="4">
      <c r="A4" t="inlineStr">
        <is>
          <t>APRA</t>
        </is>
      </c>
      <c r="B4" t="inlineStr">
        <is>
          <t>Australia</t>
        </is>
      </c>
      <c r="C4" t="inlineStr">
        <is>
          <t>Prudential Standard - CPS 230 Operational Risk Management - clean (Australia - Row 3), Prudential-Practice-Guide-CPG-235-Managing-Data-Risk_1 (Australia - Row 4), Prudential-Standard-CPS-232-Business-Continuity-Management-(July-2017) (Australia - Row 5), cps_234_july_2019_for_public_release (Australia - Row 6)</t>
        </is>
      </c>
    </row>
    <row r="5">
      <c r="A5" t="inlineStr">
        <is>
          <t>ASIC</t>
        </is>
      </c>
      <c r="B5" t="inlineStr">
        <is>
          <t>Australia</t>
        </is>
      </c>
      <c r="C5" t="inlineStr">
        <is>
          <t>rg255-published-30-august-2016-20220328 (Australia - Row 9)</t>
        </is>
      </c>
    </row>
    <row r="6">
      <c r="A6" t="inlineStr">
        <is>
          <t>Arts Minister</t>
        </is>
      </c>
      <c r="B6" t="inlineStr">
        <is>
          <t>Australia</t>
        </is>
      </c>
      <c r="C6" t="inlineStr">
        <is>
          <t>C2004C01271-1 (Australia - Row 7)</t>
        </is>
      </c>
    </row>
    <row r="7">
      <c r="A7" t="inlineStr">
        <is>
          <t>Australian Information Commissioner</t>
        </is>
      </c>
      <c r="B7" t="inlineStr">
        <is>
          <t>Australia</t>
        </is>
      </c>
      <c r="C7" t="inlineStr">
        <is>
          <t>C2012C00866 (Australia - Row 12)</t>
        </is>
      </c>
    </row>
    <row r="8">
      <c r="A8" t="inlineStr">
        <is>
          <t>Australian Privacy Principles (APP)</t>
        </is>
      </c>
      <c r="B8" t="inlineStr">
        <is>
          <t>Australia</t>
        </is>
      </c>
      <c r="C8" t="inlineStr">
        <is>
          <t>C2026C00227 (Australia - Row 16), C2026C00227-1 (Australia - Row 21)</t>
        </is>
      </c>
    </row>
    <row r="9">
      <c r="A9" t="inlineStr">
        <is>
          <t>Australian Prudential Regulation Authority</t>
        </is>
      </c>
      <c r="B9" t="inlineStr">
        <is>
          <t>Australia</t>
        </is>
      </c>
      <c r="C9" t="inlineStr">
        <is>
          <t>Prudential-Practice-Guide-CPG-235-Managing-Data-Risk_1 (Australia - Row 4)</t>
        </is>
      </c>
    </row>
    <row r="10">
      <c r="A10" t="inlineStr">
        <is>
          <t>Australian Signals Directorate (ASD)</t>
        </is>
      </c>
      <c r="B10" t="inlineStr">
        <is>
          <t>Australia</t>
        </is>
      </c>
      <c r="C10" t="inlineStr">
        <is>
          <t>Essential Eight explained (November 2023) (Australia - Row 11)</t>
        </is>
      </c>
    </row>
    <row r="11">
      <c r="A11" t="inlineStr">
        <is>
          <t>CBK</t>
        </is>
      </c>
      <c r="B11" t="inlineStr">
        <is>
          <t>Kenya</t>
        </is>
      </c>
      <c r="C11" t="inlineStr">
        <is>
          <t>GuidelinesonCybersecurityforPSPs (Kenya - Row19)</t>
        </is>
      </c>
    </row>
    <row r="12">
      <c r="A12" t="inlineStr">
        <is>
          <t>Central Bank of Kenya</t>
        </is>
      </c>
      <c r="B12" t="inlineStr">
        <is>
          <t>Kenya</t>
        </is>
      </c>
      <c r="C12" t="inlineStr">
        <is>
          <t>GUIDANCE-NOTE-ON-CYBERSECURITY-FOR-THE-BANKING-SECTOR</t>
        </is>
      </c>
    </row>
    <row r="13">
      <c r="A13" t="inlineStr">
        <is>
          <t>Central Bank of Kenya (CBK)</t>
        </is>
      </c>
      <c r="B13" t="inlineStr">
        <is>
          <t>Kenya</t>
        </is>
      </c>
      <c r="C13" t="inlineStr">
        <is>
          <t>GUIDANCE-NOTE-ON-CYBERSECURITY-FOR-THE-BANKING-SECTOR, GuidelinesonCybersecurityforPSPs (Kenya - Row19)</t>
        </is>
      </c>
    </row>
    <row r="14">
      <c r="A14" t="inlineStr">
        <is>
          <t>Central Government</t>
        </is>
      </c>
      <c r="B14" t="inlineStr">
        <is>
          <t>India</t>
        </is>
      </c>
      <c r="C14" t="inlineStr">
        <is>
          <t>Payment and Settlement Systems Act, 2007 (India - Row 11)</t>
        </is>
      </c>
    </row>
    <row r="15">
      <c r="A15" t="inlineStr">
        <is>
          <t>Commission</t>
        </is>
      </c>
      <c r="B15" t="inlineStr">
        <is>
          <t>GDPR</t>
        </is>
      </c>
      <c r="C15" t="inlineStr">
        <is>
          <t>CELEX_32022R0868_EN_TXT (GDPR - Row 12)</t>
        </is>
      </c>
    </row>
    <row r="16">
      <c r="A16" t="inlineStr">
        <is>
          <t>Commonwealth</t>
        </is>
      </c>
      <c r="B16" t="inlineStr">
        <is>
          <t>Australia</t>
        </is>
      </c>
      <c r="C16" t="inlineStr">
        <is>
          <t>C2012C00866 (Australia - Row 12)</t>
        </is>
      </c>
    </row>
    <row r="17">
      <c r="A17" t="inlineStr">
        <is>
          <t>Competent authorities</t>
        </is>
      </c>
      <c r="B17" t="inlineStr">
        <is>
          <t>GDPR</t>
        </is>
      </c>
      <c r="C17" t="inlineStr">
        <is>
          <t>CELEX_52023PC0360_EN_TXT (GDPR - Row 13), OJ_L_202302854_EN_TXT (GDPR - Row 11), esma_cloud_guidelines (GDPR - Row 8)</t>
        </is>
      </c>
    </row>
    <row r="18">
      <c r="A18" t="inlineStr">
        <is>
          <t>Competent authorities for data intermediation services</t>
        </is>
      </c>
      <c r="B18" t="inlineStr">
        <is>
          <t>GDPR</t>
        </is>
      </c>
      <c r="C18" t="inlineStr">
        <is>
          <t>CELEX_32022R0868_EN_TXT (GDPR - Row 12)</t>
        </is>
      </c>
    </row>
    <row r="19">
      <c r="A19" t="inlineStr">
        <is>
          <t>Competent authorities for registration of data altruism organizations</t>
        </is>
      </c>
      <c r="B19" t="inlineStr">
        <is>
          <t>GDPR</t>
        </is>
      </c>
      <c r="C19" t="inlineStr">
        <is>
          <t>CELEX_32022R0868_EN_TXT (GDPR - Row 12)</t>
        </is>
      </c>
    </row>
    <row r="20">
      <c r="A20" t="inlineStr">
        <is>
          <t>Competent authority</t>
        </is>
      </c>
      <c r="B20" t="inlineStr">
        <is>
          <t>GDPR</t>
        </is>
      </c>
      <c r="C20" t="inlineStr">
        <is>
          <t>CELEX_52023PC0360_EN_TXT (GDPR - Row 13)</t>
        </is>
      </c>
    </row>
    <row r="21">
      <c r="A21" t="inlineStr">
        <is>
          <t>Court</t>
        </is>
      </c>
      <c r="B21" t="inlineStr">
        <is>
          <t>Australia</t>
        </is>
      </c>
      <c r="C21" t="inlineStr">
        <is>
          <t>C2026C00227 (Australia - Row 16)</t>
        </is>
      </c>
    </row>
    <row r="22">
      <c r="A22" t="inlineStr">
        <is>
          <t>Data Commissioner</t>
        </is>
      </c>
      <c r="B22" t="inlineStr">
        <is>
          <t>Kenya</t>
        </is>
      </c>
      <c r="C22" t="inlineStr">
        <is>
          <t>THE-DATA-PROTECTION-COMPLAINTS-HANDLING-AND-ENFORCEMENT (Kenya - Row 15), THE-DATA-PROTECTION-REGISTRATION-OF-DATA-CONTROLLERS-AND-DATA-PROCESSORS-REGULATIONS-2021 (Kenya = row17)</t>
        </is>
      </c>
    </row>
    <row r="23">
      <c r="A23" t="inlineStr">
        <is>
          <t>EBA</t>
        </is>
      </c>
      <c r="B23" t="inlineStr">
        <is>
          <t>GDPR</t>
        </is>
      </c>
      <c r="C23" t="inlineStr">
        <is>
          <t>Final report on amending GLs on ICT risk and security (GDPR - Row 4)</t>
        </is>
      </c>
    </row>
    <row r="24">
      <c r="A24" t="inlineStr">
        <is>
          <t>ESMA</t>
        </is>
      </c>
      <c r="B24" t="inlineStr">
        <is>
          <t>GDPR</t>
        </is>
      </c>
      <c r="C24" t="inlineStr">
        <is>
          <t>esma_cloud_guidelines (GDPR - Row 8)</t>
        </is>
      </c>
    </row>
    <row r="25">
      <c r="A25" t="inlineStr">
        <is>
          <t>European Banking Authority (EBA)</t>
        </is>
      </c>
      <c r="B25" t="inlineStr">
        <is>
          <t>GDPR</t>
        </is>
      </c>
      <c r="C25" t="inlineStr">
        <is>
          <t>CELEX_52023PC0360_EN_TXT (GDPR - Row 13)</t>
        </is>
      </c>
    </row>
    <row r="26">
      <c r="A26" t="inlineStr">
        <is>
          <t>European Commission</t>
        </is>
      </c>
      <c r="B26" t="inlineStr">
        <is>
          <t>GDPR</t>
        </is>
      </c>
      <c r="C26" t="inlineStr">
        <is>
          <t>CELEX_32002L0058_EN_TXT (GDPR Row 7), CELEX_32018L1673_EN_TXT (GDPR - Row 2), CELEX_32022L2555_EN_TXT (GDPR - Row 17), CELEX_32022R0868_EN_TXT (GDPR - Row 12), OJ_L_202302854_EN_TXT (GDPR - Row 11), OJ_L_202401689_EN_TXT (GDPR - Row 9)</t>
        </is>
      </c>
    </row>
    <row r="27">
      <c r="A27" t="inlineStr">
        <is>
          <t>European Data Protection Supervisor</t>
        </is>
      </c>
      <c r="B27" t="inlineStr">
        <is>
          <t>GDPR</t>
        </is>
      </c>
      <c r="C27" t="inlineStr">
        <is>
          <t>OJ_L_202302854_EN_TXT (GDPR - Row 11), OJ_L_202401689_EN_TXT (GDPR - Row 9)</t>
        </is>
      </c>
    </row>
    <row r="28">
      <c r="A28" t="inlineStr">
        <is>
          <t>European Parliament or Council</t>
        </is>
      </c>
      <c r="B28" t="inlineStr">
        <is>
          <t>GDPR</t>
        </is>
      </c>
      <c r="C28" t="inlineStr">
        <is>
          <t>CELEX_32022R0868_EN_TXT (GDPR - Row 12), CELEX_52023PC0360_EN_TXT (GDPR - Row 13)</t>
        </is>
      </c>
    </row>
    <row r="29">
      <c r="A29" t="inlineStr">
        <is>
          <t>Federal Court</t>
        </is>
      </c>
      <c r="B29" t="inlineStr">
        <is>
          <t>Australia</t>
        </is>
      </c>
      <c r="C29" t="inlineStr">
        <is>
          <t>C2016C00614 (Australia - Row 23)</t>
        </is>
      </c>
    </row>
    <row r="30">
      <c r="A30" t="inlineStr">
        <is>
          <t>High Court</t>
        </is>
      </c>
      <c r="B30" t="inlineStr">
        <is>
          <t>Kenya</t>
        </is>
      </c>
      <c r="C30" t="inlineStr">
        <is>
          <t>THE-DATA-PROTECTION-COMPLAINTS-HANDLING-AND-ENFORCEMENT (Kenya - Row 15)</t>
        </is>
      </c>
    </row>
    <row r="31">
      <c r="A31" t="inlineStr">
        <is>
          <t>IFSCA</t>
        </is>
      </c>
      <c r="B31" t="inlineStr">
        <is>
          <t>India</t>
        </is>
      </c>
      <c r="C31" t="inlineStr">
        <is>
          <t>guidelines-on-cyber-security-and-cyber-resilience-for-regulated-entities-in-ifscs-1-10032025064412 (India - Row 5)</t>
        </is>
      </c>
    </row>
    <row r="32">
      <c r="A32" t="inlineStr">
        <is>
          <t>IRDAI</t>
        </is>
      </c>
      <c r="B32" t="inlineStr">
        <is>
          <t>India</t>
        </is>
      </c>
      <c r="C32" t="inlineStr">
        <is>
          <t>Guidelines on Information and Cyber Security (India - Row 8)</t>
        </is>
      </c>
    </row>
    <row r="33">
      <c r="A33" t="inlineStr">
        <is>
          <t>Information Commissioner</t>
        </is>
      </c>
      <c r="B33" t="inlineStr">
        <is>
          <t>Australia</t>
        </is>
      </c>
      <c r="C33" t="inlineStr">
        <is>
          <t>C2012C00866 (Australia - Row 12)</t>
        </is>
      </c>
    </row>
    <row r="34">
      <c r="A34" t="inlineStr">
        <is>
          <t>Member States</t>
        </is>
      </c>
      <c r="B34" t="inlineStr">
        <is>
          <t>GDPR</t>
        </is>
      </c>
      <c r="C34" t="inlineStr">
        <is>
          <t>CELEX_52023PC0360_EN_TXT (GDPR - Row 13), OJ_L_202302854_EN_TXT (GDPR - Row 11)</t>
        </is>
      </c>
    </row>
    <row r="35">
      <c r="A35" t="inlineStr">
        <is>
          <t>National competent authorities</t>
        </is>
      </c>
      <c r="B35" t="inlineStr">
        <is>
          <t>GDPR</t>
        </is>
      </c>
      <c r="C35" t="inlineStr">
        <is>
          <t>OJ_L_202401689_EN_TXT (GDPR - Row 9)</t>
        </is>
      </c>
    </row>
    <row r="36">
      <c r="A36" t="inlineStr">
        <is>
          <t>Notified body</t>
        </is>
      </c>
      <c r="B36" t="inlineStr">
        <is>
          <t>GDPR</t>
        </is>
      </c>
      <c r="C36" t="inlineStr">
        <is>
          <t>OJ_L_202401689_EN_TXT (GDPR - Row 9)</t>
        </is>
      </c>
    </row>
    <row r="37">
      <c r="A37" t="inlineStr">
        <is>
          <t>Ombudsman</t>
        </is>
      </c>
      <c r="B37" t="inlineStr">
        <is>
          <t>Australia</t>
        </is>
      </c>
      <c r="C37" t="inlineStr">
        <is>
          <t>C2012C00866 (Australia - Row 12)</t>
        </is>
      </c>
    </row>
    <row r="38">
      <c r="A38" t="inlineStr">
        <is>
          <t>Privacy Act 1988 (Cth)</t>
        </is>
      </c>
      <c r="B38" t="inlineStr">
        <is>
          <t>Australia</t>
        </is>
      </c>
      <c r="C38" t="inlineStr">
        <is>
          <t>C2026C00227-1 (Australia - Row 21)</t>
        </is>
      </c>
    </row>
    <row r="39">
      <c r="A39" t="inlineStr">
        <is>
          <t>Privacy Commissioner</t>
        </is>
      </c>
      <c r="B39" t="inlineStr">
        <is>
          <t>Australia</t>
        </is>
      </c>
      <c r="C39" t="inlineStr">
        <is>
          <t>C2026C00227 (Australia - Row 16)</t>
        </is>
      </c>
    </row>
    <row r="40">
      <c r="A40" t="inlineStr">
        <is>
          <t>RBI</t>
        </is>
      </c>
      <c r="B40" t="inlineStr">
        <is>
          <t>India</t>
        </is>
      </c>
      <c r="C40" t="inlineStr">
        <is>
          <t>RBI Digital Lending Directions 2025 Digital Lending Guidelines 2022 (India - Row 14), RBI Master Direction on Information Technology Framework for NBFC Sector (2017) (India - Row 15), RBI Master Direction on Outsourcing of IT Services (MDS on IT Outsourcing, 2023) (India - Row 16), Reserve Bank of India – IT Governance and Cybersecurity Regulatory Framework (including Master Directions and Cyber Security Framework) (India - Row 18)</t>
        </is>
      </c>
    </row>
    <row r="41">
      <c r="A41" t="inlineStr">
        <is>
          <t>Reserve Bank</t>
        </is>
      </c>
      <c r="B41" t="inlineStr">
        <is>
          <t>India</t>
        </is>
      </c>
      <c r="C41" t="inlineStr">
        <is>
          <t>Payment and Settlement Systems Act, 2007 (India - Row 11)</t>
        </is>
      </c>
    </row>
    <row r="42">
      <c r="A42" t="inlineStr">
        <is>
          <t>Reserve Bank of India</t>
        </is>
      </c>
      <c r="B42" t="inlineStr">
        <is>
          <t>India</t>
        </is>
      </c>
      <c r="C42" t="inlineStr">
        <is>
          <t>Payment and Settlement Systems Act, 2007 (India - Row 11), RBI Digital Lending Directions 2025 Digital Lending Guidelines 2022 (India - Row 14), RBI Master Direction on Outsourcing of IT Services (MDS on IT Outsourcing, 2023) (India - Row 16), RBI Payment Data Localisation Requirement (India - Row 17), Reserve Bank of India – IT Governance and Cybersecurity Regulatory Framework (including Master Directions and Cyber Security Framework) (India - Row 18)</t>
        </is>
      </c>
    </row>
    <row r="43">
      <c r="A43" t="inlineStr">
        <is>
          <t>Reserve Bank of India (RBI)</t>
        </is>
      </c>
      <c r="B43" t="inlineStr">
        <is>
          <t>India</t>
        </is>
      </c>
      <c r="C43" t="inlineStr">
        <is>
          <t>RBI Digital Lending Directions 2025 Digital Lending Guidelines 2022 (India - Row 14), RBI Master Direction on Outsourcing of IT Services (MDS on IT Outsourcing, 2023) (India - Row 16)</t>
        </is>
      </c>
    </row>
    <row r="44">
      <c r="A44" t="inlineStr">
        <is>
          <t>SEBI</t>
        </is>
      </c>
      <c r="B44" t="inlineStr">
        <is>
          <t>India</t>
        </is>
      </c>
      <c r="C44" t="inlineStr">
        <is>
          <t>SEBI Master Circular for Alternative Investment Funds (India - Row 25)</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10" t="inlineStr">
        <is>
          <t>Topic</t>
        </is>
      </c>
      <c r="B1" s="10" t="inlineStr">
        <is>
          <t>Sections</t>
        </is>
      </c>
    </row>
    <row r="2">
      <c r="A2" t="inlineStr">
        <is>
          <t>Data Storage</t>
        </is>
      </c>
      <c r="B2" t="n">
        <v>234</v>
      </c>
    </row>
    <row r="3">
      <c r="A3" t="inlineStr">
        <is>
          <t>Cross-border Transfer</t>
        </is>
      </c>
      <c r="B3" t="n">
        <v>233</v>
      </c>
    </row>
    <row r="4">
      <c r="A4" t="inlineStr">
        <is>
          <t>Security</t>
        </is>
      </c>
      <c r="B4" t="n">
        <v>230</v>
      </c>
    </row>
    <row r="5">
      <c r="A5" t="inlineStr">
        <is>
          <t>Governance</t>
        </is>
      </c>
      <c r="B5" t="n">
        <v>166</v>
      </c>
    </row>
    <row r="6">
      <c r="A6" t="inlineStr">
        <is>
          <t>International Processing</t>
        </is>
      </c>
      <c r="B6" t="n">
        <v>117</v>
      </c>
    </row>
    <row r="7">
      <c r="A7" t="inlineStr">
        <is>
          <t>Data Sharing</t>
        </is>
      </c>
      <c r="B7" t="n">
        <v>113</v>
      </c>
    </row>
    <row r="8">
      <c r="A8" t="inlineStr">
        <is>
          <t>Cloud Services</t>
        </is>
      </c>
      <c r="B8" t="n">
        <v>110</v>
      </c>
    </row>
    <row r="9">
      <c r="A9" t="inlineStr">
        <is>
          <t>Financial Data</t>
        </is>
      </c>
      <c r="B9" t="n">
        <v>110</v>
      </c>
    </row>
    <row r="10">
      <c r="A10" t="inlineStr">
        <is>
          <t>Incident Reporting</t>
        </is>
      </c>
      <c r="B10" t="n">
        <v>91</v>
      </c>
    </row>
    <row r="11">
      <c r="A11" t="inlineStr">
        <is>
          <t>Breach Notification</t>
        </is>
      </c>
      <c r="B11" t="n">
        <v>77</v>
      </c>
    </row>
    <row r="12">
      <c r="A12" t="inlineStr">
        <is>
          <t>Record Keeping</t>
        </is>
      </c>
      <c r="B12" t="n">
        <v>75</v>
      </c>
    </row>
    <row r="13">
      <c r="A13" t="inlineStr">
        <is>
          <t>AML</t>
        </is>
      </c>
      <c r="B13" t="n">
        <v>69</v>
      </c>
    </row>
    <row r="14">
      <c r="A14" t="inlineStr">
        <is>
          <t>Consent</t>
        </is>
      </c>
      <c r="B14" t="n">
        <v>58</v>
      </c>
    </row>
    <row r="15">
      <c r="A15" t="inlineStr">
        <is>
          <t>Third Party Processing</t>
        </is>
      </c>
      <c r="B15" t="n">
        <v>57</v>
      </c>
    </row>
    <row r="16">
      <c r="A16" t="inlineStr">
        <is>
          <t>KYC</t>
        </is>
      </c>
      <c r="B16" t="n">
        <v>47</v>
      </c>
    </row>
    <row r="17">
      <c r="A17" t="inlineStr">
        <is>
          <t>Customer Information</t>
        </is>
      </c>
      <c r="B17" t="n">
        <v>42</v>
      </c>
    </row>
    <row r="18">
      <c r="A18" t="inlineStr">
        <is>
          <t>Data Residency</t>
        </is>
      </c>
      <c r="B18" t="n">
        <v>40</v>
      </c>
    </row>
    <row r="19">
      <c r="A19" t="inlineStr">
        <is>
          <t>Processing</t>
        </is>
      </c>
      <c r="B19" t="n">
        <v>36</v>
      </c>
    </row>
    <row r="20">
      <c r="A20" t="inlineStr">
        <is>
          <t>Access Control</t>
        </is>
      </c>
      <c r="B20" t="n">
        <v>33</v>
      </c>
    </row>
    <row r="21">
      <c r="A21" t="inlineStr">
        <is>
          <t>Outsourcing</t>
        </is>
      </c>
      <c r="B21" t="n">
        <v>33</v>
      </c>
    </row>
    <row r="22">
      <c r="A22" t="inlineStr">
        <is>
          <t>Special Personal Information</t>
        </is>
      </c>
      <c r="B22" t="n">
        <v>33</v>
      </c>
    </row>
    <row r="23">
      <c r="A23" t="inlineStr">
        <is>
          <t>Employee Information</t>
        </is>
      </c>
      <c r="B23" t="n">
        <v>32</v>
      </c>
    </row>
    <row r="24">
      <c r="A24" t="inlineStr">
        <is>
          <t>Children</t>
        </is>
      </c>
      <c r="B24" t="n">
        <v>31</v>
      </c>
    </row>
    <row r="25">
      <c r="A25" t="inlineStr">
        <is>
          <t>Encryption</t>
        </is>
      </c>
      <c r="B25" t="n">
        <v>29</v>
      </c>
    </row>
    <row r="26">
      <c r="A26" t="inlineStr">
        <is>
          <t>Retention</t>
        </is>
      </c>
      <c r="B26" t="n">
        <v>28</v>
      </c>
    </row>
    <row r="27">
      <c r="A27" t="inlineStr">
        <is>
          <t>Collection</t>
        </is>
      </c>
      <c r="B27" t="n">
        <v>27</v>
      </c>
    </row>
    <row r="28">
      <c r="A28" t="inlineStr">
        <is>
          <t>Deletion</t>
        </is>
      </c>
      <c r="B28" t="n">
        <v>27</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Country</t>
        </is>
      </c>
      <c r="B1" t="inlineStr">
        <is>
          <t>Topic</t>
        </is>
      </c>
      <c r="C1" t="inlineStr">
        <is>
          <t>Data Type</t>
        </is>
      </c>
      <c r="D1" t="inlineStr">
        <is>
          <t>Financial Relevance</t>
        </is>
      </c>
      <c r="E1" t="inlineStr">
        <is>
          <t>Authority</t>
        </is>
      </c>
    </row>
    <row r="2">
      <c r="A2" t="inlineStr">
        <is>
          <t>All</t>
        </is>
      </c>
      <c r="B2" t="inlineStr">
        <is>
          <t>All</t>
        </is>
      </c>
      <c r="C2" t="inlineStr">
        <is>
          <t>All</t>
        </is>
      </c>
      <c r="D2" t="inlineStr">
        <is>
          <t>All</t>
        </is>
      </c>
      <c r="E2" t="inlineStr">
        <is>
          <t>All</t>
        </is>
      </c>
    </row>
    <row r="3">
      <c r="A3" t="inlineStr">
        <is>
          <t>Australia</t>
        </is>
      </c>
      <c r="B3" t="inlineStr">
        <is>
          <t>AML</t>
        </is>
      </c>
      <c r="C3" t="inlineStr">
        <is>
          <t>Biometric Data</t>
        </is>
      </c>
      <c r="D3" t="inlineStr">
        <is>
          <t>High</t>
        </is>
      </c>
      <c r="E3" t="inlineStr">
        <is>
          <t>ACMA</t>
        </is>
      </c>
    </row>
    <row r="4">
      <c r="A4" t="inlineStr">
        <is>
          <t>GDPR</t>
        </is>
      </c>
      <c r="B4" t="inlineStr">
        <is>
          <t>Access Control</t>
        </is>
      </c>
      <c r="C4" t="inlineStr">
        <is>
          <t>Children's Data</t>
        </is>
      </c>
      <c r="D4" t="inlineStr">
        <is>
          <t>Medium</t>
        </is>
      </c>
      <c r="E4" t="inlineStr">
        <is>
          <t>AI Office</t>
        </is>
      </c>
    </row>
    <row r="5">
      <c r="A5" t="inlineStr">
        <is>
          <t>India</t>
        </is>
      </c>
      <c r="B5" t="inlineStr">
        <is>
          <t>Breach Notification</t>
        </is>
      </c>
      <c r="C5" t="inlineStr">
        <is>
          <t>Customer Data</t>
        </is>
      </c>
      <c r="D5" t="inlineStr">
        <is>
          <t>Low</t>
        </is>
      </c>
      <c r="E5" t="inlineStr">
        <is>
          <t>APRA</t>
        </is>
      </c>
    </row>
    <row r="6">
      <c r="A6" t="inlineStr">
        <is>
          <t>Kenya</t>
        </is>
      </c>
      <c r="B6" t="inlineStr">
        <is>
          <t>Children</t>
        </is>
      </c>
      <c r="C6" t="inlineStr">
        <is>
          <t>Employee Data</t>
        </is>
      </c>
      <c r="D6" t="inlineStr">
        <is>
          <t>None</t>
        </is>
      </c>
      <c r="E6" t="inlineStr">
        <is>
          <t>ASIC</t>
        </is>
      </c>
    </row>
    <row r="7">
      <c r="B7" t="inlineStr">
        <is>
          <t>Cloud Services</t>
        </is>
      </c>
      <c r="C7" t="inlineStr">
        <is>
          <t>Financial Data</t>
        </is>
      </c>
      <c r="E7" t="inlineStr">
        <is>
          <t>Arts Minister</t>
        </is>
      </c>
    </row>
    <row r="8">
      <c r="B8" t="inlineStr">
        <is>
          <t>Collection</t>
        </is>
      </c>
      <c r="C8" t="inlineStr">
        <is>
          <t>Health Data</t>
        </is>
      </c>
      <c r="E8" t="inlineStr">
        <is>
          <t>Australian Information Commissioner</t>
        </is>
      </c>
    </row>
    <row r="9">
      <c r="B9" t="inlineStr">
        <is>
          <t>Consent</t>
        </is>
      </c>
      <c r="C9" t="inlineStr">
        <is>
          <t>Personal Information</t>
        </is>
      </c>
      <c r="E9" t="inlineStr">
        <is>
          <t>Australian Privacy Principles (APP)</t>
        </is>
      </c>
    </row>
    <row r="10">
      <c r="B10" t="inlineStr">
        <is>
          <t>Cross-border Transfer</t>
        </is>
      </c>
      <c r="C10" t="inlineStr">
        <is>
          <t>Special Personal Information</t>
        </is>
      </c>
      <c r="E10" t="inlineStr">
        <is>
          <t>Australian Prudential Regulation Authority</t>
        </is>
      </c>
    </row>
    <row r="11">
      <c r="B11" t="inlineStr">
        <is>
          <t>Customer Information</t>
        </is>
      </c>
      <c r="E11" t="inlineStr">
        <is>
          <t>Australian Signals Directorate (ASD)</t>
        </is>
      </c>
    </row>
    <row r="12">
      <c r="B12" t="inlineStr">
        <is>
          <t>Data Residency</t>
        </is>
      </c>
      <c r="E12" t="inlineStr">
        <is>
          <t>CBK</t>
        </is>
      </c>
    </row>
    <row r="13">
      <c r="B13" t="inlineStr">
        <is>
          <t>Data Sharing</t>
        </is>
      </c>
      <c r="E13" t="inlineStr">
        <is>
          <t>Central Bank of Kenya</t>
        </is>
      </c>
    </row>
    <row r="14">
      <c r="B14" t="inlineStr">
        <is>
          <t>Data Storage</t>
        </is>
      </c>
      <c r="E14" t="inlineStr">
        <is>
          <t>Central Bank of Kenya (CBK)</t>
        </is>
      </c>
    </row>
    <row r="15">
      <c r="B15" t="inlineStr">
        <is>
          <t>Deletion</t>
        </is>
      </c>
      <c r="E15" t="inlineStr">
        <is>
          <t>Central Government</t>
        </is>
      </c>
    </row>
    <row r="16">
      <c r="B16" t="inlineStr">
        <is>
          <t>Employee Information</t>
        </is>
      </c>
      <c r="E16" t="inlineStr">
        <is>
          <t>Commission</t>
        </is>
      </c>
    </row>
    <row r="17">
      <c r="B17" t="inlineStr">
        <is>
          <t>Encryption</t>
        </is>
      </c>
      <c r="E17" t="inlineStr">
        <is>
          <t>Commonwealth</t>
        </is>
      </c>
    </row>
    <row r="18">
      <c r="B18" t="inlineStr">
        <is>
          <t>Financial Data</t>
        </is>
      </c>
      <c r="E18" t="inlineStr">
        <is>
          <t>Competent authorities</t>
        </is>
      </c>
    </row>
    <row r="19">
      <c r="B19" t="inlineStr">
        <is>
          <t>Governance</t>
        </is>
      </c>
      <c r="E19" t="inlineStr">
        <is>
          <t>Competent authorities for data intermediation services</t>
        </is>
      </c>
    </row>
    <row r="20">
      <c r="B20" t="inlineStr">
        <is>
          <t>Incident Reporting</t>
        </is>
      </c>
      <c r="E20" t="inlineStr">
        <is>
          <t>Competent authorities for registration of data altruism organizations</t>
        </is>
      </c>
    </row>
    <row r="21">
      <c r="B21" t="inlineStr">
        <is>
          <t>International Processing</t>
        </is>
      </c>
      <c r="E21" t="inlineStr">
        <is>
          <t>Competent authority</t>
        </is>
      </c>
    </row>
    <row r="22">
      <c r="B22" t="inlineStr">
        <is>
          <t>KYC</t>
        </is>
      </c>
      <c r="E22" t="inlineStr">
        <is>
          <t>Court</t>
        </is>
      </c>
    </row>
    <row r="23">
      <c r="B23" t="inlineStr">
        <is>
          <t>Outsourcing</t>
        </is>
      </c>
      <c r="E23" t="inlineStr">
        <is>
          <t>Data Commissioner</t>
        </is>
      </c>
    </row>
    <row r="24">
      <c r="B24" t="inlineStr">
        <is>
          <t>Processing</t>
        </is>
      </c>
      <c r="E24" t="inlineStr">
        <is>
          <t>EBA</t>
        </is>
      </c>
    </row>
    <row r="25">
      <c r="B25" t="inlineStr">
        <is>
          <t>Record Keeping</t>
        </is>
      </c>
      <c r="E25" t="inlineStr">
        <is>
          <t>ESMA</t>
        </is>
      </c>
    </row>
    <row r="26">
      <c r="B26" t="inlineStr">
        <is>
          <t>Retention</t>
        </is>
      </c>
      <c r="E26" t="inlineStr">
        <is>
          <t>European Banking Authority (EBA)</t>
        </is>
      </c>
    </row>
    <row r="27">
      <c r="B27" t="inlineStr">
        <is>
          <t>Security</t>
        </is>
      </c>
      <c r="E27" t="inlineStr">
        <is>
          <t>European Commission</t>
        </is>
      </c>
    </row>
    <row r="28">
      <c r="B28" t="inlineStr">
        <is>
          <t>Special Personal Information</t>
        </is>
      </c>
      <c r="E28" t="inlineStr">
        <is>
          <t>European Data Protection Supervisor</t>
        </is>
      </c>
    </row>
    <row r="29">
      <c r="B29" t="inlineStr">
        <is>
          <t>Third Party Processing</t>
        </is>
      </c>
      <c r="E29" t="inlineStr">
        <is>
          <t>European Parliament or Council</t>
        </is>
      </c>
    </row>
    <row r="30">
      <c r="E30" t="inlineStr">
        <is>
          <t>Federal Court</t>
        </is>
      </c>
    </row>
    <row r="31">
      <c r="E31" t="inlineStr">
        <is>
          <t>High Court</t>
        </is>
      </c>
    </row>
    <row r="32">
      <c r="E32" t="inlineStr">
        <is>
          <t>IFSCA</t>
        </is>
      </c>
    </row>
    <row r="33">
      <c r="E33" t="inlineStr">
        <is>
          <t>IRDAI</t>
        </is>
      </c>
    </row>
    <row r="34">
      <c r="E34" t="inlineStr">
        <is>
          <t>Information Commissioner</t>
        </is>
      </c>
    </row>
    <row r="35">
      <c r="E35" t="inlineStr">
        <is>
          <t>Member States</t>
        </is>
      </c>
    </row>
    <row r="36">
      <c r="E36" t="inlineStr">
        <is>
          <t>National competent authorities</t>
        </is>
      </c>
    </row>
    <row r="37">
      <c r="E37" t="inlineStr">
        <is>
          <t>Notified body</t>
        </is>
      </c>
    </row>
    <row r="38">
      <c r="E38" t="inlineStr">
        <is>
          <t>Ombudsman</t>
        </is>
      </c>
    </row>
    <row r="39">
      <c r="E39" t="inlineStr">
        <is>
          <t>Privacy Act 1988 (Cth)</t>
        </is>
      </c>
    </row>
    <row r="40">
      <c r="E40" t="inlineStr">
        <is>
          <t>Privacy Commissioner</t>
        </is>
      </c>
    </row>
    <row r="41">
      <c r="E41" t="inlineStr">
        <is>
          <t>RBI</t>
        </is>
      </c>
    </row>
    <row r="42">
      <c r="E42" t="inlineStr">
        <is>
          <t>Reserve Bank</t>
        </is>
      </c>
    </row>
    <row r="43">
      <c r="E43" t="inlineStr">
        <is>
          <t>Reserve Bank of India</t>
        </is>
      </c>
    </row>
    <row r="44">
      <c r="E44" t="inlineStr">
        <is>
          <t>Reserve Bank of India (RBI)</t>
        </is>
      </c>
    </row>
    <row r="45">
      <c r="E45" t="inlineStr">
        <is>
          <t>SEBI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69"/>
  <sheetViews>
    <sheetView workbookViewId="0">
      <selection activeCell="A1" sqref="A1"/>
    </sheetView>
  </sheetViews>
  <sheetFormatPr baseColWidth="8" defaultRowHeight="15"/>
  <sheetData>
    <row r="1">
      <c r="A1" t="inlineStr">
        <is>
          <t>match</t>
        </is>
      </c>
      <c r="B1" t="inlineStr">
        <is>
          <t>rank</t>
        </is>
      </c>
      <c r="C1" t="inlineStr">
        <is>
          <t>rankval</t>
        </is>
      </c>
      <c r="D1">
        <f>SUM($A$2:$A$1369)</f>
        <v/>
      </c>
    </row>
    <row r="2">
      <c r="A2">
        <f>IF(AND(OR(Query!$B$4="All",'Compliance Database'!$A2=Query!$B$4),OR(Query!$B$5="All",ISNUMBER(SEARCH(Query!$B$5,'Compliance Database'!$H2))),OR(Query!$B$6="All",ISNUMBER(SEARCH(Query!$B$6,'Compliance Database'!$I2))),OR(Query!$B$7="All",'Compliance Database'!$F2=Query!$B$7),OR(Query!$B$8="All",'Compliance Database'!$J2=Query!$B$8),OR(Query!$B$9="",ISNUMBER(SEARCH(Query!$B$9,'Compliance Database'!$D2&amp;" "&amp;'Compliance Database'!$K2&amp;" "&amp;'Compliance Database'!$L2&amp;" "&amp;'Compliance Database'!$M2&amp;" "&amp;'Compliance Database'!$N2)))),1,0)</f>
        <v/>
      </c>
      <c r="B2">
        <f>IF($A2=1,SUM($A$2:$A2),"")</f>
        <v/>
      </c>
      <c r="C2">
        <f>IF($A2=1,SUM($A$2:$A2),0)</f>
        <v/>
      </c>
    </row>
    <row r="3">
      <c r="A3">
        <f>IF(AND(OR(Query!$B$4="All",'Compliance Database'!$A3=Query!$B$4),OR(Query!$B$5="All",ISNUMBER(SEARCH(Query!$B$5,'Compliance Database'!$H3))),OR(Query!$B$6="All",ISNUMBER(SEARCH(Query!$B$6,'Compliance Database'!$I3))),OR(Query!$B$7="All",'Compliance Database'!$F3=Query!$B$7),OR(Query!$B$8="All",'Compliance Database'!$J3=Query!$B$8),OR(Query!$B$9="",ISNUMBER(SEARCH(Query!$B$9,'Compliance Database'!$D3&amp;" "&amp;'Compliance Database'!$K3&amp;" "&amp;'Compliance Database'!$L3&amp;" "&amp;'Compliance Database'!$M3&amp;" "&amp;'Compliance Database'!$N3)))),1,0)</f>
        <v/>
      </c>
      <c r="B3">
        <f>IF($A3=1,SUM($A$2:$A3),"")</f>
        <v/>
      </c>
      <c r="C3">
        <f>IF($A3=1,SUM($A$2:$A3),0)</f>
        <v/>
      </c>
    </row>
    <row r="4">
      <c r="A4">
        <f>IF(AND(OR(Query!$B$4="All",'Compliance Database'!$A4=Query!$B$4),OR(Query!$B$5="All",ISNUMBER(SEARCH(Query!$B$5,'Compliance Database'!$H4))),OR(Query!$B$6="All",ISNUMBER(SEARCH(Query!$B$6,'Compliance Database'!$I4))),OR(Query!$B$7="All",'Compliance Database'!$F4=Query!$B$7),OR(Query!$B$8="All",'Compliance Database'!$J4=Query!$B$8),OR(Query!$B$9="",ISNUMBER(SEARCH(Query!$B$9,'Compliance Database'!$D4&amp;" "&amp;'Compliance Database'!$K4&amp;" "&amp;'Compliance Database'!$L4&amp;" "&amp;'Compliance Database'!$M4&amp;" "&amp;'Compliance Database'!$N4)))),1,0)</f>
        <v/>
      </c>
      <c r="B4">
        <f>IF($A4=1,SUM($A$2:$A4),"")</f>
        <v/>
      </c>
      <c r="C4">
        <f>IF($A4=1,SUM($A$2:$A4),0)</f>
        <v/>
      </c>
    </row>
    <row r="5">
      <c r="A5">
        <f>IF(AND(OR(Query!$B$4="All",'Compliance Database'!$A5=Query!$B$4),OR(Query!$B$5="All",ISNUMBER(SEARCH(Query!$B$5,'Compliance Database'!$H5))),OR(Query!$B$6="All",ISNUMBER(SEARCH(Query!$B$6,'Compliance Database'!$I5))),OR(Query!$B$7="All",'Compliance Database'!$F5=Query!$B$7),OR(Query!$B$8="All",'Compliance Database'!$J5=Query!$B$8),OR(Query!$B$9="",ISNUMBER(SEARCH(Query!$B$9,'Compliance Database'!$D5&amp;" "&amp;'Compliance Database'!$K5&amp;" "&amp;'Compliance Database'!$L5&amp;" "&amp;'Compliance Database'!$M5&amp;" "&amp;'Compliance Database'!$N5)))),1,0)</f>
        <v/>
      </c>
      <c r="B5">
        <f>IF($A5=1,SUM($A$2:$A5),"")</f>
        <v/>
      </c>
      <c r="C5">
        <f>IF($A5=1,SUM($A$2:$A5),0)</f>
        <v/>
      </c>
    </row>
    <row r="6">
      <c r="A6">
        <f>IF(AND(OR(Query!$B$4="All",'Compliance Database'!$A6=Query!$B$4),OR(Query!$B$5="All",ISNUMBER(SEARCH(Query!$B$5,'Compliance Database'!$H6))),OR(Query!$B$6="All",ISNUMBER(SEARCH(Query!$B$6,'Compliance Database'!$I6))),OR(Query!$B$7="All",'Compliance Database'!$F6=Query!$B$7),OR(Query!$B$8="All",'Compliance Database'!$J6=Query!$B$8),OR(Query!$B$9="",ISNUMBER(SEARCH(Query!$B$9,'Compliance Database'!$D6&amp;" "&amp;'Compliance Database'!$K6&amp;" "&amp;'Compliance Database'!$L6&amp;" "&amp;'Compliance Database'!$M6&amp;" "&amp;'Compliance Database'!$N6)))),1,0)</f>
        <v/>
      </c>
      <c r="B6">
        <f>IF($A6=1,SUM($A$2:$A6),"")</f>
        <v/>
      </c>
      <c r="C6">
        <f>IF($A6=1,SUM($A$2:$A6),0)</f>
        <v/>
      </c>
    </row>
    <row r="7">
      <c r="A7">
        <f>IF(AND(OR(Query!$B$4="All",'Compliance Database'!$A7=Query!$B$4),OR(Query!$B$5="All",ISNUMBER(SEARCH(Query!$B$5,'Compliance Database'!$H7))),OR(Query!$B$6="All",ISNUMBER(SEARCH(Query!$B$6,'Compliance Database'!$I7))),OR(Query!$B$7="All",'Compliance Database'!$F7=Query!$B$7),OR(Query!$B$8="All",'Compliance Database'!$J7=Query!$B$8),OR(Query!$B$9="",ISNUMBER(SEARCH(Query!$B$9,'Compliance Database'!$D7&amp;" "&amp;'Compliance Database'!$K7&amp;" "&amp;'Compliance Database'!$L7&amp;" "&amp;'Compliance Database'!$M7&amp;" "&amp;'Compliance Database'!$N7)))),1,0)</f>
        <v/>
      </c>
      <c r="B7">
        <f>IF($A7=1,SUM($A$2:$A7),"")</f>
        <v/>
      </c>
      <c r="C7">
        <f>IF($A7=1,SUM($A$2:$A7),0)</f>
        <v/>
      </c>
    </row>
    <row r="8">
      <c r="A8">
        <f>IF(AND(OR(Query!$B$4="All",'Compliance Database'!$A8=Query!$B$4),OR(Query!$B$5="All",ISNUMBER(SEARCH(Query!$B$5,'Compliance Database'!$H8))),OR(Query!$B$6="All",ISNUMBER(SEARCH(Query!$B$6,'Compliance Database'!$I8))),OR(Query!$B$7="All",'Compliance Database'!$F8=Query!$B$7),OR(Query!$B$8="All",'Compliance Database'!$J8=Query!$B$8),OR(Query!$B$9="",ISNUMBER(SEARCH(Query!$B$9,'Compliance Database'!$D8&amp;" "&amp;'Compliance Database'!$K8&amp;" "&amp;'Compliance Database'!$L8&amp;" "&amp;'Compliance Database'!$M8&amp;" "&amp;'Compliance Database'!$N8)))),1,0)</f>
        <v/>
      </c>
      <c r="B8">
        <f>IF($A8=1,SUM($A$2:$A8),"")</f>
        <v/>
      </c>
      <c r="C8">
        <f>IF($A8=1,SUM($A$2:$A8),0)</f>
        <v/>
      </c>
    </row>
    <row r="9">
      <c r="A9">
        <f>IF(AND(OR(Query!$B$4="All",'Compliance Database'!$A9=Query!$B$4),OR(Query!$B$5="All",ISNUMBER(SEARCH(Query!$B$5,'Compliance Database'!$H9))),OR(Query!$B$6="All",ISNUMBER(SEARCH(Query!$B$6,'Compliance Database'!$I9))),OR(Query!$B$7="All",'Compliance Database'!$F9=Query!$B$7),OR(Query!$B$8="All",'Compliance Database'!$J9=Query!$B$8),OR(Query!$B$9="",ISNUMBER(SEARCH(Query!$B$9,'Compliance Database'!$D9&amp;" "&amp;'Compliance Database'!$K9&amp;" "&amp;'Compliance Database'!$L9&amp;" "&amp;'Compliance Database'!$M9&amp;" "&amp;'Compliance Database'!$N9)))),1,0)</f>
        <v/>
      </c>
      <c r="B9">
        <f>IF($A9=1,SUM($A$2:$A9),"")</f>
        <v/>
      </c>
      <c r="C9">
        <f>IF($A9=1,SUM($A$2:$A9),0)</f>
        <v/>
      </c>
    </row>
    <row r="10">
      <c r="A10">
        <f>IF(AND(OR(Query!$B$4="All",'Compliance Database'!$A10=Query!$B$4),OR(Query!$B$5="All",ISNUMBER(SEARCH(Query!$B$5,'Compliance Database'!$H10))),OR(Query!$B$6="All",ISNUMBER(SEARCH(Query!$B$6,'Compliance Database'!$I10))),OR(Query!$B$7="All",'Compliance Database'!$F10=Query!$B$7),OR(Query!$B$8="All",'Compliance Database'!$J10=Query!$B$8),OR(Query!$B$9="",ISNUMBER(SEARCH(Query!$B$9,'Compliance Database'!$D10&amp;" "&amp;'Compliance Database'!$K10&amp;" "&amp;'Compliance Database'!$L10&amp;" "&amp;'Compliance Database'!$M10&amp;" "&amp;'Compliance Database'!$N10)))),1,0)</f>
        <v/>
      </c>
      <c r="B10">
        <f>IF($A10=1,SUM($A$2:$A10),"")</f>
        <v/>
      </c>
      <c r="C10">
        <f>IF($A10=1,SUM($A$2:$A10),0)</f>
        <v/>
      </c>
    </row>
    <row r="11">
      <c r="A11">
        <f>IF(AND(OR(Query!$B$4="All",'Compliance Database'!$A11=Query!$B$4),OR(Query!$B$5="All",ISNUMBER(SEARCH(Query!$B$5,'Compliance Database'!$H11))),OR(Query!$B$6="All",ISNUMBER(SEARCH(Query!$B$6,'Compliance Database'!$I11))),OR(Query!$B$7="All",'Compliance Database'!$F11=Query!$B$7),OR(Query!$B$8="All",'Compliance Database'!$J11=Query!$B$8),OR(Query!$B$9="",ISNUMBER(SEARCH(Query!$B$9,'Compliance Database'!$D11&amp;" "&amp;'Compliance Database'!$K11&amp;" "&amp;'Compliance Database'!$L11&amp;" "&amp;'Compliance Database'!$M11&amp;" "&amp;'Compliance Database'!$N11)))),1,0)</f>
        <v/>
      </c>
      <c r="B11">
        <f>IF($A11=1,SUM($A$2:$A11),"")</f>
        <v/>
      </c>
      <c r="C11">
        <f>IF($A11=1,SUM($A$2:$A11),0)</f>
        <v/>
      </c>
    </row>
    <row r="12">
      <c r="A12">
        <f>IF(AND(OR(Query!$B$4="All",'Compliance Database'!$A12=Query!$B$4),OR(Query!$B$5="All",ISNUMBER(SEARCH(Query!$B$5,'Compliance Database'!$H12))),OR(Query!$B$6="All",ISNUMBER(SEARCH(Query!$B$6,'Compliance Database'!$I12))),OR(Query!$B$7="All",'Compliance Database'!$F12=Query!$B$7),OR(Query!$B$8="All",'Compliance Database'!$J12=Query!$B$8),OR(Query!$B$9="",ISNUMBER(SEARCH(Query!$B$9,'Compliance Database'!$D12&amp;" "&amp;'Compliance Database'!$K12&amp;" "&amp;'Compliance Database'!$L12&amp;" "&amp;'Compliance Database'!$M12&amp;" "&amp;'Compliance Database'!$N12)))),1,0)</f>
        <v/>
      </c>
      <c r="B12">
        <f>IF($A12=1,SUM($A$2:$A12),"")</f>
        <v/>
      </c>
      <c r="C12">
        <f>IF($A12=1,SUM($A$2:$A12),0)</f>
        <v/>
      </c>
    </row>
    <row r="13">
      <c r="A13">
        <f>IF(AND(OR(Query!$B$4="All",'Compliance Database'!$A13=Query!$B$4),OR(Query!$B$5="All",ISNUMBER(SEARCH(Query!$B$5,'Compliance Database'!$H13))),OR(Query!$B$6="All",ISNUMBER(SEARCH(Query!$B$6,'Compliance Database'!$I13))),OR(Query!$B$7="All",'Compliance Database'!$F13=Query!$B$7),OR(Query!$B$8="All",'Compliance Database'!$J13=Query!$B$8),OR(Query!$B$9="",ISNUMBER(SEARCH(Query!$B$9,'Compliance Database'!$D13&amp;" "&amp;'Compliance Database'!$K13&amp;" "&amp;'Compliance Database'!$L13&amp;" "&amp;'Compliance Database'!$M13&amp;" "&amp;'Compliance Database'!$N13)))),1,0)</f>
        <v/>
      </c>
      <c r="B13">
        <f>IF($A13=1,SUM($A$2:$A13),"")</f>
        <v/>
      </c>
      <c r="C13">
        <f>IF($A13=1,SUM($A$2:$A13),0)</f>
        <v/>
      </c>
    </row>
    <row r="14">
      <c r="A14">
        <f>IF(AND(OR(Query!$B$4="All",'Compliance Database'!$A14=Query!$B$4),OR(Query!$B$5="All",ISNUMBER(SEARCH(Query!$B$5,'Compliance Database'!$H14))),OR(Query!$B$6="All",ISNUMBER(SEARCH(Query!$B$6,'Compliance Database'!$I14))),OR(Query!$B$7="All",'Compliance Database'!$F14=Query!$B$7),OR(Query!$B$8="All",'Compliance Database'!$J14=Query!$B$8),OR(Query!$B$9="",ISNUMBER(SEARCH(Query!$B$9,'Compliance Database'!$D14&amp;" "&amp;'Compliance Database'!$K14&amp;" "&amp;'Compliance Database'!$L14&amp;" "&amp;'Compliance Database'!$M14&amp;" "&amp;'Compliance Database'!$N14)))),1,0)</f>
        <v/>
      </c>
      <c r="B14">
        <f>IF($A14=1,SUM($A$2:$A14),"")</f>
        <v/>
      </c>
      <c r="C14">
        <f>IF($A14=1,SUM($A$2:$A14),0)</f>
        <v/>
      </c>
    </row>
    <row r="15">
      <c r="A15">
        <f>IF(AND(OR(Query!$B$4="All",'Compliance Database'!$A15=Query!$B$4),OR(Query!$B$5="All",ISNUMBER(SEARCH(Query!$B$5,'Compliance Database'!$H15))),OR(Query!$B$6="All",ISNUMBER(SEARCH(Query!$B$6,'Compliance Database'!$I15))),OR(Query!$B$7="All",'Compliance Database'!$F15=Query!$B$7),OR(Query!$B$8="All",'Compliance Database'!$J15=Query!$B$8),OR(Query!$B$9="",ISNUMBER(SEARCH(Query!$B$9,'Compliance Database'!$D15&amp;" "&amp;'Compliance Database'!$K15&amp;" "&amp;'Compliance Database'!$L15&amp;" "&amp;'Compliance Database'!$M15&amp;" "&amp;'Compliance Database'!$N15)))),1,0)</f>
        <v/>
      </c>
      <c r="B15">
        <f>IF($A15=1,SUM($A$2:$A15),"")</f>
        <v/>
      </c>
      <c r="C15">
        <f>IF($A15=1,SUM($A$2:$A15),0)</f>
        <v/>
      </c>
    </row>
    <row r="16">
      <c r="A16">
        <f>IF(AND(OR(Query!$B$4="All",'Compliance Database'!$A16=Query!$B$4),OR(Query!$B$5="All",ISNUMBER(SEARCH(Query!$B$5,'Compliance Database'!$H16))),OR(Query!$B$6="All",ISNUMBER(SEARCH(Query!$B$6,'Compliance Database'!$I16))),OR(Query!$B$7="All",'Compliance Database'!$F16=Query!$B$7),OR(Query!$B$8="All",'Compliance Database'!$J16=Query!$B$8),OR(Query!$B$9="",ISNUMBER(SEARCH(Query!$B$9,'Compliance Database'!$D16&amp;" "&amp;'Compliance Database'!$K16&amp;" "&amp;'Compliance Database'!$L16&amp;" "&amp;'Compliance Database'!$M16&amp;" "&amp;'Compliance Database'!$N16)))),1,0)</f>
        <v/>
      </c>
      <c r="B16">
        <f>IF($A16=1,SUM($A$2:$A16),"")</f>
        <v/>
      </c>
      <c r="C16">
        <f>IF($A16=1,SUM($A$2:$A16),0)</f>
        <v/>
      </c>
    </row>
    <row r="17">
      <c r="A17">
        <f>IF(AND(OR(Query!$B$4="All",'Compliance Database'!$A17=Query!$B$4),OR(Query!$B$5="All",ISNUMBER(SEARCH(Query!$B$5,'Compliance Database'!$H17))),OR(Query!$B$6="All",ISNUMBER(SEARCH(Query!$B$6,'Compliance Database'!$I17))),OR(Query!$B$7="All",'Compliance Database'!$F17=Query!$B$7),OR(Query!$B$8="All",'Compliance Database'!$J17=Query!$B$8),OR(Query!$B$9="",ISNUMBER(SEARCH(Query!$B$9,'Compliance Database'!$D17&amp;" "&amp;'Compliance Database'!$K17&amp;" "&amp;'Compliance Database'!$L17&amp;" "&amp;'Compliance Database'!$M17&amp;" "&amp;'Compliance Database'!$N17)))),1,0)</f>
        <v/>
      </c>
      <c r="B17">
        <f>IF($A17=1,SUM($A$2:$A17),"")</f>
        <v/>
      </c>
      <c r="C17">
        <f>IF($A17=1,SUM($A$2:$A17),0)</f>
        <v/>
      </c>
    </row>
    <row r="18">
      <c r="A18">
        <f>IF(AND(OR(Query!$B$4="All",'Compliance Database'!$A18=Query!$B$4),OR(Query!$B$5="All",ISNUMBER(SEARCH(Query!$B$5,'Compliance Database'!$H18))),OR(Query!$B$6="All",ISNUMBER(SEARCH(Query!$B$6,'Compliance Database'!$I18))),OR(Query!$B$7="All",'Compliance Database'!$F18=Query!$B$7),OR(Query!$B$8="All",'Compliance Database'!$J18=Query!$B$8),OR(Query!$B$9="",ISNUMBER(SEARCH(Query!$B$9,'Compliance Database'!$D18&amp;" "&amp;'Compliance Database'!$K18&amp;" "&amp;'Compliance Database'!$L18&amp;" "&amp;'Compliance Database'!$M18&amp;" "&amp;'Compliance Database'!$N18)))),1,0)</f>
        <v/>
      </c>
      <c r="B18">
        <f>IF($A18=1,SUM($A$2:$A18),"")</f>
        <v/>
      </c>
      <c r="C18">
        <f>IF($A18=1,SUM($A$2:$A18),0)</f>
        <v/>
      </c>
    </row>
    <row r="19">
      <c r="A19">
        <f>IF(AND(OR(Query!$B$4="All",'Compliance Database'!$A19=Query!$B$4),OR(Query!$B$5="All",ISNUMBER(SEARCH(Query!$B$5,'Compliance Database'!$H19))),OR(Query!$B$6="All",ISNUMBER(SEARCH(Query!$B$6,'Compliance Database'!$I19))),OR(Query!$B$7="All",'Compliance Database'!$F19=Query!$B$7),OR(Query!$B$8="All",'Compliance Database'!$J19=Query!$B$8),OR(Query!$B$9="",ISNUMBER(SEARCH(Query!$B$9,'Compliance Database'!$D19&amp;" "&amp;'Compliance Database'!$K19&amp;" "&amp;'Compliance Database'!$L19&amp;" "&amp;'Compliance Database'!$M19&amp;" "&amp;'Compliance Database'!$N19)))),1,0)</f>
        <v/>
      </c>
      <c r="B19">
        <f>IF($A19=1,SUM($A$2:$A19),"")</f>
        <v/>
      </c>
      <c r="C19">
        <f>IF($A19=1,SUM($A$2:$A19),0)</f>
        <v/>
      </c>
    </row>
    <row r="20">
      <c r="A20">
        <f>IF(AND(OR(Query!$B$4="All",'Compliance Database'!$A20=Query!$B$4),OR(Query!$B$5="All",ISNUMBER(SEARCH(Query!$B$5,'Compliance Database'!$H20))),OR(Query!$B$6="All",ISNUMBER(SEARCH(Query!$B$6,'Compliance Database'!$I20))),OR(Query!$B$7="All",'Compliance Database'!$F20=Query!$B$7),OR(Query!$B$8="All",'Compliance Database'!$J20=Query!$B$8),OR(Query!$B$9="",ISNUMBER(SEARCH(Query!$B$9,'Compliance Database'!$D20&amp;" "&amp;'Compliance Database'!$K20&amp;" "&amp;'Compliance Database'!$L20&amp;" "&amp;'Compliance Database'!$M20&amp;" "&amp;'Compliance Database'!$N20)))),1,0)</f>
        <v/>
      </c>
      <c r="B20">
        <f>IF($A20=1,SUM($A$2:$A20),"")</f>
        <v/>
      </c>
      <c r="C20">
        <f>IF($A20=1,SUM($A$2:$A20),0)</f>
        <v/>
      </c>
    </row>
    <row r="21">
      <c r="A21">
        <f>IF(AND(OR(Query!$B$4="All",'Compliance Database'!$A21=Query!$B$4),OR(Query!$B$5="All",ISNUMBER(SEARCH(Query!$B$5,'Compliance Database'!$H21))),OR(Query!$B$6="All",ISNUMBER(SEARCH(Query!$B$6,'Compliance Database'!$I21))),OR(Query!$B$7="All",'Compliance Database'!$F21=Query!$B$7),OR(Query!$B$8="All",'Compliance Database'!$J21=Query!$B$8),OR(Query!$B$9="",ISNUMBER(SEARCH(Query!$B$9,'Compliance Database'!$D21&amp;" "&amp;'Compliance Database'!$K21&amp;" "&amp;'Compliance Database'!$L21&amp;" "&amp;'Compliance Database'!$M21&amp;" "&amp;'Compliance Database'!$N21)))),1,0)</f>
        <v/>
      </c>
      <c r="B21">
        <f>IF($A21=1,SUM($A$2:$A21),"")</f>
        <v/>
      </c>
      <c r="C21">
        <f>IF($A21=1,SUM($A$2:$A21),0)</f>
        <v/>
      </c>
    </row>
    <row r="22">
      <c r="A22">
        <f>IF(AND(OR(Query!$B$4="All",'Compliance Database'!$A22=Query!$B$4),OR(Query!$B$5="All",ISNUMBER(SEARCH(Query!$B$5,'Compliance Database'!$H22))),OR(Query!$B$6="All",ISNUMBER(SEARCH(Query!$B$6,'Compliance Database'!$I22))),OR(Query!$B$7="All",'Compliance Database'!$F22=Query!$B$7),OR(Query!$B$8="All",'Compliance Database'!$J22=Query!$B$8),OR(Query!$B$9="",ISNUMBER(SEARCH(Query!$B$9,'Compliance Database'!$D22&amp;" "&amp;'Compliance Database'!$K22&amp;" "&amp;'Compliance Database'!$L22&amp;" "&amp;'Compliance Database'!$M22&amp;" "&amp;'Compliance Database'!$N22)))),1,0)</f>
        <v/>
      </c>
      <c r="B22">
        <f>IF($A22=1,SUM($A$2:$A22),"")</f>
        <v/>
      </c>
      <c r="C22">
        <f>IF($A22=1,SUM($A$2:$A22),0)</f>
        <v/>
      </c>
    </row>
    <row r="23">
      <c r="A23">
        <f>IF(AND(OR(Query!$B$4="All",'Compliance Database'!$A23=Query!$B$4),OR(Query!$B$5="All",ISNUMBER(SEARCH(Query!$B$5,'Compliance Database'!$H23))),OR(Query!$B$6="All",ISNUMBER(SEARCH(Query!$B$6,'Compliance Database'!$I23))),OR(Query!$B$7="All",'Compliance Database'!$F23=Query!$B$7),OR(Query!$B$8="All",'Compliance Database'!$J23=Query!$B$8),OR(Query!$B$9="",ISNUMBER(SEARCH(Query!$B$9,'Compliance Database'!$D23&amp;" "&amp;'Compliance Database'!$K23&amp;" "&amp;'Compliance Database'!$L23&amp;" "&amp;'Compliance Database'!$M23&amp;" "&amp;'Compliance Database'!$N23)))),1,0)</f>
        <v/>
      </c>
      <c r="B23">
        <f>IF($A23=1,SUM($A$2:$A23),"")</f>
        <v/>
      </c>
      <c r="C23">
        <f>IF($A23=1,SUM($A$2:$A23),0)</f>
        <v/>
      </c>
    </row>
    <row r="24">
      <c r="A24">
        <f>IF(AND(OR(Query!$B$4="All",'Compliance Database'!$A24=Query!$B$4),OR(Query!$B$5="All",ISNUMBER(SEARCH(Query!$B$5,'Compliance Database'!$H24))),OR(Query!$B$6="All",ISNUMBER(SEARCH(Query!$B$6,'Compliance Database'!$I24))),OR(Query!$B$7="All",'Compliance Database'!$F24=Query!$B$7),OR(Query!$B$8="All",'Compliance Database'!$J24=Query!$B$8),OR(Query!$B$9="",ISNUMBER(SEARCH(Query!$B$9,'Compliance Database'!$D24&amp;" "&amp;'Compliance Database'!$K24&amp;" "&amp;'Compliance Database'!$L24&amp;" "&amp;'Compliance Database'!$M24&amp;" "&amp;'Compliance Database'!$N24)))),1,0)</f>
        <v/>
      </c>
      <c r="B24">
        <f>IF($A24=1,SUM($A$2:$A24),"")</f>
        <v/>
      </c>
      <c r="C24">
        <f>IF($A24=1,SUM($A$2:$A24),0)</f>
        <v/>
      </c>
    </row>
    <row r="25">
      <c r="A25">
        <f>IF(AND(OR(Query!$B$4="All",'Compliance Database'!$A25=Query!$B$4),OR(Query!$B$5="All",ISNUMBER(SEARCH(Query!$B$5,'Compliance Database'!$H25))),OR(Query!$B$6="All",ISNUMBER(SEARCH(Query!$B$6,'Compliance Database'!$I25))),OR(Query!$B$7="All",'Compliance Database'!$F25=Query!$B$7),OR(Query!$B$8="All",'Compliance Database'!$J25=Query!$B$8),OR(Query!$B$9="",ISNUMBER(SEARCH(Query!$B$9,'Compliance Database'!$D25&amp;" "&amp;'Compliance Database'!$K25&amp;" "&amp;'Compliance Database'!$L25&amp;" "&amp;'Compliance Database'!$M25&amp;" "&amp;'Compliance Database'!$N25)))),1,0)</f>
        <v/>
      </c>
      <c r="B25">
        <f>IF($A25=1,SUM($A$2:$A25),"")</f>
        <v/>
      </c>
      <c r="C25">
        <f>IF($A25=1,SUM($A$2:$A25),0)</f>
        <v/>
      </c>
    </row>
    <row r="26">
      <c r="A26">
        <f>IF(AND(OR(Query!$B$4="All",'Compliance Database'!$A26=Query!$B$4),OR(Query!$B$5="All",ISNUMBER(SEARCH(Query!$B$5,'Compliance Database'!$H26))),OR(Query!$B$6="All",ISNUMBER(SEARCH(Query!$B$6,'Compliance Database'!$I26))),OR(Query!$B$7="All",'Compliance Database'!$F26=Query!$B$7),OR(Query!$B$8="All",'Compliance Database'!$J26=Query!$B$8),OR(Query!$B$9="",ISNUMBER(SEARCH(Query!$B$9,'Compliance Database'!$D26&amp;" "&amp;'Compliance Database'!$K26&amp;" "&amp;'Compliance Database'!$L26&amp;" "&amp;'Compliance Database'!$M26&amp;" "&amp;'Compliance Database'!$N26)))),1,0)</f>
        <v/>
      </c>
      <c r="B26">
        <f>IF($A26=1,SUM($A$2:$A26),"")</f>
        <v/>
      </c>
      <c r="C26">
        <f>IF($A26=1,SUM($A$2:$A26),0)</f>
        <v/>
      </c>
    </row>
    <row r="27">
      <c r="A27">
        <f>IF(AND(OR(Query!$B$4="All",'Compliance Database'!$A27=Query!$B$4),OR(Query!$B$5="All",ISNUMBER(SEARCH(Query!$B$5,'Compliance Database'!$H27))),OR(Query!$B$6="All",ISNUMBER(SEARCH(Query!$B$6,'Compliance Database'!$I27))),OR(Query!$B$7="All",'Compliance Database'!$F27=Query!$B$7),OR(Query!$B$8="All",'Compliance Database'!$J27=Query!$B$8),OR(Query!$B$9="",ISNUMBER(SEARCH(Query!$B$9,'Compliance Database'!$D27&amp;" "&amp;'Compliance Database'!$K27&amp;" "&amp;'Compliance Database'!$L27&amp;" "&amp;'Compliance Database'!$M27&amp;" "&amp;'Compliance Database'!$N27)))),1,0)</f>
        <v/>
      </c>
      <c r="B27">
        <f>IF($A27=1,SUM($A$2:$A27),"")</f>
        <v/>
      </c>
      <c r="C27">
        <f>IF($A27=1,SUM($A$2:$A27),0)</f>
        <v/>
      </c>
    </row>
    <row r="28">
      <c r="A28">
        <f>IF(AND(OR(Query!$B$4="All",'Compliance Database'!$A28=Query!$B$4),OR(Query!$B$5="All",ISNUMBER(SEARCH(Query!$B$5,'Compliance Database'!$H28))),OR(Query!$B$6="All",ISNUMBER(SEARCH(Query!$B$6,'Compliance Database'!$I28))),OR(Query!$B$7="All",'Compliance Database'!$F28=Query!$B$7),OR(Query!$B$8="All",'Compliance Database'!$J28=Query!$B$8),OR(Query!$B$9="",ISNUMBER(SEARCH(Query!$B$9,'Compliance Database'!$D28&amp;" "&amp;'Compliance Database'!$K28&amp;" "&amp;'Compliance Database'!$L28&amp;" "&amp;'Compliance Database'!$M28&amp;" "&amp;'Compliance Database'!$N28)))),1,0)</f>
        <v/>
      </c>
      <c r="B28">
        <f>IF($A28=1,SUM($A$2:$A28),"")</f>
        <v/>
      </c>
      <c r="C28">
        <f>IF($A28=1,SUM($A$2:$A28),0)</f>
        <v/>
      </c>
    </row>
    <row r="29">
      <c r="A29">
        <f>IF(AND(OR(Query!$B$4="All",'Compliance Database'!$A29=Query!$B$4),OR(Query!$B$5="All",ISNUMBER(SEARCH(Query!$B$5,'Compliance Database'!$H29))),OR(Query!$B$6="All",ISNUMBER(SEARCH(Query!$B$6,'Compliance Database'!$I29))),OR(Query!$B$7="All",'Compliance Database'!$F29=Query!$B$7),OR(Query!$B$8="All",'Compliance Database'!$J29=Query!$B$8),OR(Query!$B$9="",ISNUMBER(SEARCH(Query!$B$9,'Compliance Database'!$D29&amp;" "&amp;'Compliance Database'!$K29&amp;" "&amp;'Compliance Database'!$L29&amp;" "&amp;'Compliance Database'!$M29&amp;" "&amp;'Compliance Database'!$N29)))),1,0)</f>
        <v/>
      </c>
      <c r="B29">
        <f>IF($A29=1,SUM($A$2:$A29),"")</f>
        <v/>
      </c>
      <c r="C29">
        <f>IF($A29=1,SUM($A$2:$A29),0)</f>
        <v/>
      </c>
    </row>
    <row r="30">
      <c r="A30">
        <f>IF(AND(OR(Query!$B$4="All",'Compliance Database'!$A30=Query!$B$4),OR(Query!$B$5="All",ISNUMBER(SEARCH(Query!$B$5,'Compliance Database'!$H30))),OR(Query!$B$6="All",ISNUMBER(SEARCH(Query!$B$6,'Compliance Database'!$I30))),OR(Query!$B$7="All",'Compliance Database'!$F30=Query!$B$7),OR(Query!$B$8="All",'Compliance Database'!$J30=Query!$B$8),OR(Query!$B$9="",ISNUMBER(SEARCH(Query!$B$9,'Compliance Database'!$D30&amp;" "&amp;'Compliance Database'!$K30&amp;" "&amp;'Compliance Database'!$L30&amp;" "&amp;'Compliance Database'!$M30&amp;" "&amp;'Compliance Database'!$N30)))),1,0)</f>
        <v/>
      </c>
      <c r="B30">
        <f>IF($A30=1,SUM($A$2:$A30),"")</f>
        <v/>
      </c>
      <c r="C30">
        <f>IF($A30=1,SUM($A$2:$A30),0)</f>
        <v/>
      </c>
    </row>
    <row r="31">
      <c r="A31">
        <f>IF(AND(OR(Query!$B$4="All",'Compliance Database'!$A31=Query!$B$4),OR(Query!$B$5="All",ISNUMBER(SEARCH(Query!$B$5,'Compliance Database'!$H31))),OR(Query!$B$6="All",ISNUMBER(SEARCH(Query!$B$6,'Compliance Database'!$I31))),OR(Query!$B$7="All",'Compliance Database'!$F31=Query!$B$7),OR(Query!$B$8="All",'Compliance Database'!$J31=Query!$B$8),OR(Query!$B$9="",ISNUMBER(SEARCH(Query!$B$9,'Compliance Database'!$D31&amp;" "&amp;'Compliance Database'!$K31&amp;" "&amp;'Compliance Database'!$L31&amp;" "&amp;'Compliance Database'!$M31&amp;" "&amp;'Compliance Database'!$N31)))),1,0)</f>
        <v/>
      </c>
      <c r="B31">
        <f>IF($A31=1,SUM($A$2:$A31),"")</f>
        <v/>
      </c>
      <c r="C31">
        <f>IF($A31=1,SUM($A$2:$A31),0)</f>
        <v/>
      </c>
    </row>
    <row r="32">
      <c r="A32">
        <f>IF(AND(OR(Query!$B$4="All",'Compliance Database'!$A32=Query!$B$4),OR(Query!$B$5="All",ISNUMBER(SEARCH(Query!$B$5,'Compliance Database'!$H32))),OR(Query!$B$6="All",ISNUMBER(SEARCH(Query!$B$6,'Compliance Database'!$I32))),OR(Query!$B$7="All",'Compliance Database'!$F32=Query!$B$7),OR(Query!$B$8="All",'Compliance Database'!$J32=Query!$B$8),OR(Query!$B$9="",ISNUMBER(SEARCH(Query!$B$9,'Compliance Database'!$D32&amp;" "&amp;'Compliance Database'!$K32&amp;" "&amp;'Compliance Database'!$L32&amp;" "&amp;'Compliance Database'!$M32&amp;" "&amp;'Compliance Database'!$N32)))),1,0)</f>
        <v/>
      </c>
      <c r="B32">
        <f>IF($A32=1,SUM($A$2:$A32),"")</f>
        <v/>
      </c>
      <c r="C32">
        <f>IF($A32=1,SUM($A$2:$A32),0)</f>
        <v/>
      </c>
    </row>
    <row r="33">
      <c r="A33">
        <f>IF(AND(OR(Query!$B$4="All",'Compliance Database'!$A33=Query!$B$4),OR(Query!$B$5="All",ISNUMBER(SEARCH(Query!$B$5,'Compliance Database'!$H33))),OR(Query!$B$6="All",ISNUMBER(SEARCH(Query!$B$6,'Compliance Database'!$I33))),OR(Query!$B$7="All",'Compliance Database'!$F33=Query!$B$7),OR(Query!$B$8="All",'Compliance Database'!$J33=Query!$B$8),OR(Query!$B$9="",ISNUMBER(SEARCH(Query!$B$9,'Compliance Database'!$D33&amp;" "&amp;'Compliance Database'!$K33&amp;" "&amp;'Compliance Database'!$L33&amp;" "&amp;'Compliance Database'!$M33&amp;" "&amp;'Compliance Database'!$N33)))),1,0)</f>
        <v/>
      </c>
      <c r="B33">
        <f>IF($A33=1,SUM($A$2:$A33),"")</f>
        <v/>
      </c>
      <c r="C33">
        <f>IF($A33=1,SUM($A$2:$A33),0)</f>
        <v/>
      </c>
    </row>
    <row r="34">
      <c r="A34">
        <f>IF(AND(OR(Query!$B$4="All",'Compliance Database'!$A34=Query!$B$4),OR(Query!$B$5="All",ISNUMBER(SEARCH(Query!$B$5,'Compliance Database'!$H34))),OR(Query!$B$6="All",ISNUMBER(SEARCH(Query!$B$6,'Compliance Database'!$I34))),OR(Query!$B$7="All",'Compliance Database'!$F34=Query!$B$7),OR(Query!$B$8="All",'Compliance Database'!$J34=Query!$B$8),OR(Query!$B$9="",ISNUMBER(SEARCH(Query!$B$9,'Compliance Database'!$D34&amp;" "&amp;'Compliance Database'!$K34&amp;" "&amp;'Compliance Database'!$L34&amp;" "&amp;'Compliance Database'!$M34&amp;" "&amp;'Compliance Database'!$N34)))),1,0)</f>
        <v/>
      </c>
      <c r="B34">
        <f>IF($A34=1,SUM($A$2:$A34),"")</f>
        <v/>
      </c>
      <c r="C34">
        <f>IF($A34=1,SUM($A$2:$A34),0)</f>
        <v/>
      </c>
    </row>
    <row r="35">
      <c r="A35">
        <f>IF(AND(OR(Query!$B$4="All",'Compliance Database'!$A35=Query!$B$4),OR(Query!$B$5="All",ISNUMBER(SEARCH(Query!$B$5,'Compliance Database'!$H35))),OR(Query!$B$6="All",ISNUMBER(SEARCH(Query!$B$6,'Compliance Database'!$I35))),OR(Query!$B$7="All",'Compliance Database'!$F35=Query!$B$7),OR(Query!$B$8="All",'Compliance Database'!$J35=Query!$B$8),OR(Query!$B$9="",ISNUMBER(SEARCH(Query!$B$9,'Compliance Database'!$D35&amp;" "&amp;'Compliance Database'!$K35&amp;" "&amp;'Compliance Database'!$L35&amp;" "&amp;'Compliance Database'!$M35&amp;" "&amp;'Compliance Database'!$N35)))),1,0)</f>
        <v/>
      </c>
      <c r="B35">
        <f>IF($A35=1,SUM($A$2:$A35),"")</f>
        <v/>
      </c>
      <c r="C35">
        <f>IF($A35=1,SUM($A$2:$A35),0)</f>
        <v/>
      </c>
    </row>
    <row r="36">
      <c r="A36">
        <f>IF(AND(OR(Query!$B$4="All",'Compliance Database'!$A36=Query!$B$4),OR(Query!$B$5="All",ISNUMBER(SEARCH(Query!$B$5,'Compliance Database'!$H36))),OR(Query!$B$6="All",ISNUMBER(SEARCH(Query!$B$6,'Compliance Database'!$I36))),OR(Query!$B$7="All",'Compliance Database'!$F36=Query!$B$7),OR(Query!$B$8="All",'Compliance Database'!$J36=Query!$B$8),OR(Query!$B$9="",ISNUMBER(SEARCH(Query!$B$9,'Compliance Database'!$D36&amp;" "&amp;'Compliance Database'!$K36&amp;" "&amp;'Compliance Database'!$L36&amp;" "&amp;'Compliance Database'!$M36&amp;" "&amp;'Compliance Database'!$N36)))),1,0)</f>
        <v/>
      </c>
      <c r="B36">
        <f>IF($A36=1,SUM($A$2:$A36),"")</f>
        <v/>
      </c>
      <c r="C36">
        <f>IF($A36=1,SUM($A$2:$A36),0)</f>
        <v/>
      </c>
    </row>
    <row r="37">
      <c r="A37">
        <f>IF(AND(OR(Query!$B$4="All",'Compliance Database'!$A37=Query!$B$4),OR(Query!$B$5="All",ISNUMBER(SEARCH(Query!$B$5,'Compliance Database'!$H37))),OR(Query!$B$6="All",ISNUMBER(SEARCH(Query!$B$6,'Compliance Database'!$I37))),OR(Query!$B$7="All",'Compliance Database'!$F37=Query!$B$7),OR(Query!$B$8="All",'Compliance Database'!$J37=Query!$B$8),OR(Query!$B$9="",ISNUMBER(SEARCH(Query!$B$9,'Compliance Database'!$D37&amp;" "&amp;'Compliance Database'!$K37&amp;" "&amp;'Compliance Database'!$L37&amp;" "&amp;'Compliance Database'!$M37&amp;" "&amp;'Compliance Database'!$N37)))),1,0)</f>
        <v/>
      </c>
      <c r="B37">
        <f>IF($A37=1,SUM($A$2:$A37),"")</f>
        <v/>
      </c>
      <c r="C37">
        <f>IF($A37=1,SUM($A$2:$A37),0)</f>
        <v/>
      </c>
    </row>
    <row r="38">
      <c r="A38">
        <f>IF(AND(OR(Query!$B$4="All",'Compliance Database'!$A38=Query!$B$4),OR(Query!$B$5="All",ISNUMBER(SEARCH(Query!$B$5,'Compliance Database'!$H38))),OR(Query!$B$6="All",ISNUMBER(SEARCH(Query!$B$6,'Compliance Database'!$I38))),OR(Query!$B$7="All",'Compliance Database'!$F38=Query!$B$7),OR(Query!$B$8="All",'Compliance Database'!$J38=Query!$B$8),OR(Query!$B$9="",ISNUMBER(SEARCH(Query!$B$9,'Compliance Database'!$D38&amp;" "&amp;'Compliance Database'!$K38&amp;" "&amp;'Compliance Database'!$L38&amp;" "&amp;'Compliance Database'!$M38&amp;" "&amp;'Compliance Database'!$N38)))),1,0)</f>
        <v/>
      </c>
      <c r="B38">
        <f>IF($A38=1,SUM($A$2:$A38),"")</f>
        <v/>
      </c>
      <c r="C38">
        <f>IF($A38=1,SUM($A$2:$A38),0)</f>
        <v/>
      </c>
    </row>
    <row r="39">
      <c r="A39">
        <f>IF(AND(OR(Query!$B$4="All",'Compliance Database'!$A39=Query!$B$4),OR(Query!$B$5="All",ISNUMBER(SEARCH(Query!$B$5,'Compliance Database'!$H39))),OR(Query!$B$6="All",ISNUMBER(SEARCH(Query!$B$6,'Compliance Database'!$I39))),OR(Query!$B$7="All",'Compliance Database'!$F39=Query!$B$7),OR(Query!$B$8="All",'Compliance Database'!$J39=Query!$B$8),OR(Query!$B$9="",ISNUMBER(SEARCH(Query!$B$9,'Compliance Database'!$D39&amp;" "&amp;'Compliance Database'!$K39&amp;" "&amp;'Compliance Database'!$L39&amp;" "&amp;'Compliance Database'!$M39&amp;" "&amp;'Compliance Database'!$N39)))),1,0)</f>
        <v/>
      </c>
      <c r="B39">
        <f>IF($A39=1,SUM($A$2:$A39),"")</f>
        <v/>
      </c>
      <c r="C39">
        <f>IF($A39=1,SUM($A$2:$A39),0)</f>
        <v/>
      </c>
    </row>
    <row r="40">
      <c r="A40">
        <f>IF(AND(OR(Query!$B$4="All",'Compliance Database'!$A40=Query!$B$4),OR(Query!$B$5="All",ISNUMBER(SEARCH(Query!$B$5,'Compliance Database'!$H40))),OR(Query!$B$6="All",ISNUMBER(SEARCH(Query!$B$6,'Compliance Database'!$I40))),OR(Query!$B$7="All",'Compliance Database'!$F40=Query!$B$7),OR(Query!$B$8="All",'Compliance Database'!$J40=Query!$B$8),OR(Query!$B$9="",ISNUMBER(SEARCH(Query!$B$9,'Compliance Database'!$D40&amp;" "&amp;'Compliance Database'!$K40&amp;" "&amp;'Compliance Database'!$L40&amp;" "&amp;'Compliance Database'!$M40&amp;" "&amp;'Compliance Database'!$N40)))),1,0)</f>
        <v/>
      </c>
      <c r="B40">
        <f>IF($A40=1,SUM($A$2:$A40),"")</f>
        <v/>
      </c>
      <c r="C40">
        <f>IF($A40=1,SUM($A$2:$A40),0)</f>
        <v/>
      </c>
    </row>
    <row r="41">
      <c r="A41">
        <f>IF(AND(OR(Query!$B$4="All",'Compliance Database'!$A41=Query!$B$4),OR(Query!$B$5="All",ISNUMBER(SEARCH(Query!$B$5,'Compliance Database'!$H41))),OR(Query!$B$6="All",ISNUMBER(SEARCH(Query!$B$6,'Compliance Database'!$I41))),OR(Query!$B$7="All",'Compliance Database'!$F41=Query!$B$7),OR(Query!$B$8="All",'Compliance Database'!$J41=Query!$B$8),OR(Query!$B$9="",ISNUMBER(SEARCH(Query!$B$9,'Compliance Database'!$D41&amp;" "&amp;'Compliance Database'!$K41&amp;" "&amp;'Compliance Database'!$L41&amp;" "&amp;'Compliance Database'!$M41&amp;" "&amp;'Compliance Database'!$N41)))),1,0)</f>
        <v/>
      </c>
      <c r="B41">
        <f>IF($A41=1,SUM($A$2:$A41),"")</f>
        <v/>
      </c>
      <c r="C41">
        <f>IF($A41=1,SUM($A$2:$A41),0)</f>
        <v/>
      </c>
    </row>
    <row r="42">
      <c r="A42">
        <f>IF(AND(OR(Query!$B$4="All",'Compliance Database'!$A42=Query!$B$4),OR(Query!$B$5="All",ISNUMBER(SEARCH(Query!$B$5,'Compliance Database'!$H42))),OR(Query!$B$6="All",ISNUMBER(SEARCH(Query!$B$6,'Compliance Database'!$I42))),OR(Query!$B$7="All",'Compliance Database'!$F42=Query!$B$7),OR(Query!$B$8="All",'Compliance Database'!$J42=Query!$B$8),OR(Query!$B$9="",ISNUMBER(SEARCH(Query!$B$9,'Compliance Database'!$D42&amp;" "&amp;'Compliance Database'!$K42&amp;" "&amp;'Compliance Database'!$L42&amp;" "&amp;'Compliance Database'!$M42&amp;" "&amp;'Compliance Database'!$N42)))),1,0)</f>
        <v/>
      </c>
      <c r="B42">
        <f>IF($A42=1,SUM($A$2:$A42),"")</f>
        <v/>
      </c>
      <c r="C42">
        <f>IF($A42=1,SUM($A$2:$A42),0)</f>
        <v/>
      </c>
    </row>
    <row r="43">
      <c r="A43">
        <f>IF(AND(OR(Query!$B$4="All",'Compliance Database'!$A43=Query!$B$4),OR(Query!$B$5="All",ISNUMBER(SEARCH(Query!$B$5,'Compliance Database'!$H43))),OR(Query!$B$6="All",ISNUMBER(SEARCH(Query!$B$6,'Compliance Database'!$I43))),OR(Query!$B$7="All",'Compliance Database'!$F43=Query!$B$7),OR(Query!$B$8="All",'Compliance Database'!$J43=Query!$B$8),OR(Query!$B$9="",ISNUMBER(SEARCH(Query!$B$9,'Compliance Database'!$D43&amp;" "&amp;'Compliance Database'!$K43&amp;" "&amp;'Compliance Database'!$L43&amp;" "&amp;'Compliance Database'!$M43&amp;" "&amp;'Compliance Database'!$N43)))),1,0)</f>
        <v/>
      </c>
      <c r="B43">
        <f>IF($A43=1,SUM($A$2:$A43),"")</f>
        <v/>
      </c>
      <c r="C43">
        <f>IF($A43=1,SUM($A$2:$A43),0)</f>
        <v/>
      </c>
    </row>
    <row r="44">
      <c r="A44">
        <f>IF(AND(OR(Query!$B$4="All",'Compliance Database'!$A44=Query!$B$4),OR(Query!$B$5="All",ISNUMBER(SEARCH(Query!$B$5,'Compliance Database'!$H44))),OR(Query!$B$6="All",ISNUMBER(SEARCH(Query!$B$6,'Compliance Database'!$I44))),OR(Query!$B$7="All",'Compliance Database'!$F44=Query!$B$7),OR(Query!$B$8="All",'Compliance Database'!$J44=Query!$B$8),OR(Query!$B$9="",ISNUMBER(SEARCH(Query!$B$9,'Compliance Database'!$D44&amp;" "&amp;'Compliance Database'!$K44&amp;" "&amp;'Compliance Database'!$L44&amp;" "&amp;'Compliance Database'!$M44&amp;" "&amp;'Compliance Database'!$N44)))),1,0)</f>
        <v/>
      </c>
      <c r="B44">
        <f>IF($A44=1,SUM($A$2:$A44),"")</f>
        <v/>
      </c>
      <c r="C44">
        <f>IF($A44=1,SUM($A$2:$A44),0)</f>
        <v/>
      </c>
    </row>
    <row r="45">
      <c r="A45">
        <f>IF(AND(OR(Query!$B$4="All",'Compliance Database'!$A45=Query!$B$4),OR(Query!$B$5="All",ISNUMBER(SEARCH(Query!$B$5,'Compliance Database'!$H45))),OR(Query!$B$6="All",ISNUMBER(SEARCH(Query!$B$6,'Compliance Database'!$I45))),OR(Query!$B$7="All",'Compliance Database'!$F45=Query!$B$7),OR(Query!$B$8="All",'Compliance Database'!$J45=Query!$B$8),OR(Query!$B$9="",ISNUMBER(SEARCH(Query!$B$9,'Compliance Database'!$D45&amp;" "&amp;'Compliance Database'!$K45&amp;" "&amp;'Compliance Database'!$L45&amp;" "&amp;'Compliance Database'!$M45&amp;" "&amp;'Compliance Database'!$N45)))),1,0)</f>
        <v/>
      </c>
      <c r="B45">
        <f>IF($A45=1,SUM($A$2:$A45),"")</f>
        <v/>
      </c>
      <c r="C45">
        <f>IF($A45=1,SUM($A$2:$A45),0)</f>
        <v/>
      </c>
    </row>
    <row r="46">
      <c r="A46">
        <f>IF(AND(OR(Query!$B$4="All",'Compliance Database'!$A46=Query!$B$4),OR(Query!$B$5="All",ISNUMBER(SEARCH(Query!$B$5,'Compliance Database'!$H46))),OR(Query!$B$6="All",ISNUMBER(SEARCH(Query!$B$6,'Compliance Database'!$I46))),OR(Query!$B$7="All",'Compliance Database'!$F46=Query!$B$7),OR(Query!$B$8="All",'Compliance Database'!$J46=Query!$B$8),OR(Query!$B$9="",ISNUMBER(SEARCH(Query!$B$9,'Compliance Database'!$D46&amp;" "&amp;'Compliance Database'!$K46&amp;" "&amp;'Compliance Database'!$L46&amp;" "&amp;'Compliance Database'!$M46&amp;" "&amp;'Compliance Database'!$N46)))),1,0)</f>
        <v/>
      </c>
      <c r="B46">
        <f>IF($A46=1,SUM($A$2:$A46),"")</f>
        <v/>
      </c>
      <c r="C46">
        <f>IF($A46=1,SUM($A$2:$A46),0)</f>
        <v/>
      </c>
    </row>
    <row r="47">
      <c r="A47">
        <f>IF(AND(OR(Query!$B$4="All",'Compliance Database'!$A47=Query!$B$4),OR(Query!$B$5="All",ISNUMBER(SEARCH(Query!$B$5,'Compliance Database'!$H47))),OR(Query!$B$6="All",ISNUMBER(SEARCH(Query!$B$6,'Compliance Database'!$I47))),OR(Query!$B$7="All",'Compliance Database'!$F47=Query!$B$7),OR(Query!$B$8="All",'Compliance Database'!$J47=Query!$B$8),OR(Query!$B$9="",ISNUMBER(SEARCH(Query!$B$9,'Compliance Database'!$D47&amp;" "&amp;'Compliance Database'!$K47&amp;" "&amp;'Compliance Database'!$L47&amp;" "&amp;'Compliance Database'!$M47&amp;" "&amp;'Compliance Database'!$N47)))),1,0)</f>
        <v/>
      </c>
      <c r="B47">
        <f>IF($A47=1,SUM($A$2:$A47),"")</f>
        <v/>
      </c>
      <c r="C47">
        <f>IF($A47=1,SUM($A$2:$A47),0)</f>
        <v/>
      </c>
    </row>
    <row r="48">
      <c r="A48">
        <f>IF(AND(OR(Query!$B$4="All",'Compliance Database'!$A48=Query!$B$4),OR(Query!$B$5="All",ISNUMBER(SEARCH(Query!$B$5,'Compliance Database'!$H48))),OR(Query!$B$6="All",ISNUMBER(SEARCH(Query!$B$6,'Compliance Database'!$I48))),OR(Query!$B$7="All",'Compliance Database'!$F48=Query!$B$7),OR(Query!$B$8="All",'Compliance Database'!$J48=Query!$B$8),OR(Query!$B$9="",ISNUMBER(SEARCH(Query!$B$9,'Compliance Database'!$D48&amp;" "&amp;'Compliance Database'!$K48&amp;" "&amp;'Compliance Database'!$L48&amp;" "&amp;'Compliance Database'!$M48&amp;" "&amp;'Compliance Database'!$N48)))),1,0)</f>
        <v/>
      </c>
      <c r="B48">
        <f>IF($A48=1,SUM($A$2:$A48),"")</f>
        <v/>
      </c>
      <c r="C48">
        <f>IF($A48=1,SUM($A$2:$A48),0)</f>
        <v/>
      </c>
    </row>
    <row r="49">
      <c r="A49">
        <f>IF(AND(OR(Query!$B$4="All",'Compliance Database'!$A49=Query!$B$4),OR(Query!$B$5="All",ISNUMBER(SEARCH(Query!$B$5,'Compliance Database'!$H49))),OR(Query!$B$6="All",ISNUMBER(SEARCH(Query!$B$6,'Compliance Database'!$I49))),OR(Query!$B$7="All",'Compliance Database'!$F49=Query!$B$7),OR(Query!$B$8="All",'Compliance Database'!$J49=Query!$B$8),OR(Query!$B$9="",ISNUMBER(SEARCH(Query!$B$9,'Compliance Database'!$D49&amp;" "&amp;'Compliance Database'!$K49&amp;" "&amp;'Compliance Database'!$L49&amp;" "&amp;'Compliance Database'!$M49&amp;" "&amp;'Compliance Database'!$N49)))),1,0)</f>
        <v/>
      </c>
      <c r="B49">
        <f>IF($A49=1,SUM($A$2:$A49),"")</f>
        <v/>
      </c>
      <c r="C49">
        <f>IF($A49=1,SUM($A$2:$A49),0)</f>
        <v/>
      </c>
    </row>
    <row r="50">
      <c r="A50">
        <f>IF(AND(OR(Query!$B$4="All",'Compliance Database'!$A50=Query!$B$4),OR(Query!$B$5="All",ISNUMBER(SEARCH(Query!$B$5,'Compliance Database'!$H50))),OR(Query!$B$6="All",ISNUMBER(SEARCH(Query!$B$6,'Compliance Database'!$I50))),OR(Query!$B$7="All",'Compliance Database'!$F50=Query!$B$7),OR(Query!$B$8="All",'Compliance Database'!$J50=Query!$B$8),OR(Query!$B$9="",ISNUMBER(SEARCH(Query!$B$9,'Compliance Database'!$D50&amp;" "&amp;'Compliance Database'!$K50&amp;" "&amp;'Compliance Database'!$L50&amp;" "&amp;'Compliance Database'!$M50&amp;" "&amp;'Compliance Database'!$N50)))),1,0)</f>
        <v/>
      </c>
      <c r="B50">
        <f>IF($A50=1,SUM($A$2:$A50),"")</f>
        <v/>
      </c>
      <c r="C50">
        <f>IF($A50=1,SUM($A$2:$A50),0)</f>
        <v/>
      </c>
    </row>
    <row r="51">
      <c r="A51">
        <f>IF(AND(OR(Query!$B$4="All",'Compliance Database'!$A51=Query!$B$4),OR(Query!$B$5="All",ISNUMBER(SEARCH(Query!$B$5,'Compliance Database'!$H51))),OR(Query!$B$6="All",ISNUMBER(SEARCH(Query!$B$6,'Compliance Database'!$I51))),OR(Query!$B$7="All",'Compliance Database'!$F51=Query!$B$7),OR(Query!$B$8="All",'Compliance Database'!$J51=Query!$B$8),OR(Query!$B$9="",ISNUMBER(SEARCH(Query!$B$9,'Compliance Database'!$D51&amp;" "&amp;'Compliance Database'!$K51&amp;" "&amp;'Compliance Database'!$L51&amp;" "&amp;'Compliance Database'!$M51&amp;" "&amp;'Compliance Database'!$N51)))),1,0)</f>
        <v/>
      </c>
      <c r="B51">
        <f>IF($A51=1,SUM($A$2:$A51),"")</f>
        <v/>
      </c>
      <c r="C51">
        <f>IF($A51=1,SUM($A$2:$A51),0)</f>
        <v/>
      </c>
    </row>
    <row r="52">
      <c r="A52">
        <f>IF(AND(OR(Query!$B$4="All",'Compliance Database'!$A52=Query!$B$4),OR(Query!$B$5="All",ISNUMBER(SEARCH(Query!$B$5,'Compliance Database'!$H52))),OR(Query!$B$6="All",ISNUMBER(SEARCH(Query!$B$6,'Compliance Database'!$I52))),OR(Query!$B$7="All",'Compliance Database'!$F52=Query!$B$7),OR(Query!$B$8="All",'Compliance Database'!$J52=Query!$B$8),OR(Query!$B$9="",ISNUMBER(SEARCH(Query!$B$9,'Compliance Database'!$D52&amp;" "&amp;'Compliance Database'!$K52&amp;" "&amp;'Compliance Database'!$L52&amp;" "&amp;'Compliance Database'!$M52&amp;" "&amp;'Compliance Database'!$N52)))),1,0)</f>
        <v/>
      </c>
      <c r="B52">
        <f>IF($A52=1,SUM($A$2:$A52),"")</f>
        <v/>
      </c>
      <c r="C52">
        <f>IF($A52=1,SUM($A$2:$A52),0)</f>
        <v/>
      </c>
    </row>
    <row r="53">
      <c r="A53">
        <f>IF(AND(OR(Query!$B$4="All",'Compliance Database'!$A53=Query!$B$4),OR(Query!$B$5="All",ISNUMBER(SEARCH(Query!$B$5,'Compliance Database'!$H53))),OR(Query!$B$6="All",ISNUMBER(SEARCH(Query!$B$6,'Compliance Database'!$I53))),OR(Query!$B$7="All",'Compliance Database'!$F53=Query!$B$7),OR(Query!$B$8="All",'Compliance Database'!$J53=Query!$B$8),OR(Query!$B$9="",ISNUMBER(SEARCH(Query!$B$9,'Compliance Database'!$D53&amp;" "&amp;'Compliance Database'!$K53&amp;" "&amp;'Compliance Database'!$L53&amp;" "&amp;'Compliance Database'!$M53&amp;" "&amp;'Compliance Database'!$N53)))),1,0)</f>
        <v/>
      </c>
      <c r="B53">
        <f>IF($A53=1,SUM($A$2:$A53),"")</f>
        <v/>
      </c>
      <c r="C53">
        <f>IF($A53=1,SUM($A$2:$A53),0)</f>
        <v/>
      </c>
    </row>
    <row r="54">
      <c r="A54">
        <f>IF(AND(OR(Query!$B$4="All",'Compliance Database'!$A54=Query!$B$4),OR(Query!$B$5="All",ISNUMBER(SEARCH(Query!$B$5,'Compliance Database'!$H54))),OR(Query!$B$6="All",ISNUMBER(SEARCH(Query!$B$6,'Compliance Database'!$I54))),OR(Query!$B$7="All",'Compliance Database'!$F54=Query!$B$7),OR(Query!$B$8="All",'Compliance Database'!$J54=Query!$B$8),OR(Query!$B$9="",ISNUMBER(SEARCH(Query!$B$9,'Compliance Database'!$D54&amp;" "&amp;'Compliance Database'!$K54&amp;" "&amp;'Compliance Database'!$L54&amp;" "&amp;'Compliance Database'!$M54&amp;" "&amp;'Compliance Database'!$N54)))),1,0)</f>
        <v/>
      </c>
      <c r="B54">
        <f>IF($A54=1,SUM($A$2:$A54),"")</f>
        <v/>
      </c>
      <c r="C54">
        <f>IF($A54=1,SUM($A$2:$A54),0)</f>
        <v/>
      </c>
    </row>
    <row r="55">
      <c r="A55">
        <f>IF(AND(OR(Query!$B$4="All",'Compliance Database'!$A55=Query!$B$4),OR(Query!$B$5="All",ISNUMBER(SEARCH(Query!$B$5,'Compliance Database'!$H55))),OR(Query!$B$6="All",ISNUMBER(SEARCH(Query!$B$6,'Compliance Database'!$I55))),OR(Query!$B$7="All",'Compliance Database'!$F55=Query!$B$7),OR(Query!$B$8="All",'Compliance Database'!$J55=Query!$B$8),OR(Query!$B$9="",ISNUMBER(SEARCH(Query!$B$9,'Compliance Database'!$D55&amp;" "&amp;'Compliance Database'!$K55&amp;" "&amp;'Compliance Database'!$L55&amp;" "&amp;'Compliance Database'!$M55&amp;" "&amp;'Compliance Database'!$N55)))),1,0)</f>
        <v/>
      </c>
      <c r="B55">
        <f>IF($A55=1,SUM($A$2:$A55),"")</f>
        <v/>
      </c>
      <c r="C55">
        <f>IF($A55=1,SUM($A$2:$A55),0)</f>
        <v/>
      </c>
    </row>
    <row r="56">
      <c r="A56">
        <f>IF(AND(OR(Query!$B$4="All",'Compliance Database'!$A56=Query!$B$4),OR(Query!$B$5="All",ISNUMBER(SEARCH(Query!$B$5,'Compliance Database'!$H56))),OR(Query!$B$6="All",ISNUMBER(SEARCH(Query!$B$6,'Compliance Database'!$I56))),OR(Query!$B$7="All",'Compliance Database'!$F56=Query!$B$7),OR(Query!$B$8="All",'Compliance Database'!$J56=Query!$B$8),OR(Query!$B$9="",ISNUMBER(SEARCH(Query!$B$9,'Compliance Database'!$D56&amp;" "&amp;'Compliance Database'!$K56&amp;" "&amp;'Compliance Database'!$L56&amp;" "&amp;'Compliance Database'!$M56&amp;" "&amp;'Compliance Database'!$N56)))),1,0)</f>
        <v/>
      </c>
      <c r="B56">
        <f>IF($A56=1,SUM($A$2:$A56),"")</f>
        <v/>
      </c>
      <c r="C56">
        <f>IF($A56=1,SUM($A$2:$A56),0)</f>
        <v/>
      </c>
    </row>
    <row r="57">
      <c r="A57">
        <f>IF(AND(OR(Query!$B$4="All",'Compliance Database'!$A57=Query!$B$4),OR(Query!$B$5="All",ISNUMBER(SEARCH(Query!$B$5,'Compliance Database'!$H57))),OR(Query!$B$6="All",ISNUMBER(SEARCH(Query!$B$6,'Compliance Database'!$I57))),OR(Query!$B$7="All",'Compliance Database'!$F57=Query!$B$7),OR(Query!$B$8="All",'Compliance Database'!$J57=Query!$B$8),OR(Query!$B$9="",ISNUMBER(SEARCH(Query!$B$9,'Compliance Database'!$D57&amp;" "&amp;'Compliance Database'!$K57&amp;" "&amp;'Compliance Database'!$L57&amp;" "&amp;'Compliance Database'!$M57&amp;" "&amp;'Compliance Database'!$N57)))),1,0)</f>
        <v/>
      </c>
      <c r="B57">
        <f>IF($A57=1,SUM($A$2:$A57),"")</f>
        <v/>
      </c>
      <c r="C57">
        <f>IF($A57=1,SUM($A$2:$A57),0)</f>
        <v/>
      </c>
    </row>
    <row r="58">
      <c r="A58">
        <f>IF(AND(OR(Query!$B$4="All",'Compliance Database'!$A58=Query!$B$4),OR(Query!$B$5="All",ISNUMBER(SEARCH(Query!$B$5,'Compliance Database'!$H58))),OR(Query!$B$6="All",ISNUMBER(SEARCH(Query!$B$6,'Compliance Database'!$I58))),OR(Query!$B$7="All",'Compliance Database'!$F58=Query!$B$7),OR(Query!$B$8="All",'Compliance Database'!$J58=Query!$B$8),OR(Query!$B$9="",ISNUMBER(SEARCH(Query!$B$9,'Compliance Database'!$D58&amp;" "&amp;'Compliance Database'!$K58&amp;" "&amp;'Compliance Database'!$L58&amp;" "&amp;'Compliance Database'!$M58&amp;" "&amp;'Compliance Database'!$N58)))),1,0)</f>
        <v/>
      </c>
      <c r="B58">
        <f>IF($A58=1,SUM($A$2:$A58),"")</f>
        <v/>
      </c>
      <c r="C58">
        <f>IF($A58=1,SUM($A$2:$A58),0)</f>
        <v/>
      </c>
    </row>
    <row r="59">
      <c r="A59">
        <f>IF(AND(OR(Query!$B$4="All",'Compliance Database'!$A59=Query!$B$4),OR(Query!$B$5="All",ISNUMBER(SEARCH(Query!$B$5,'Compliance Database'!$H59))),OR(Query!$B$6="All",ISNUMBER(SEARCH(Query!$B$6,'Compliance Database'!$I59))),OR(Query!$B$7="All",'Compliance Database'!$F59=Query!$B$7),OR(Query!$B$8="All",'Compliance Database'!$J59=Query!$B$8),OR(Query!$B$9="",ISNUMBER(SEARCH(Query!$B$9,'Compliance Database'!$D59&amp;" "&amp;'Compliance Database'!$K59&amp;" "&amp;'Compliance Database'!$L59&amp;" "&amp;'Compliance Database'!$M59&amp;" "&amp;'Compliance Database'!$N59)))),1,0)</f>
        <v/>
      </c>
      <c r="B59">
        <f>IF($A59=1,SUM($A$2:$A59),"")</f>
        <v/>
      </c>
      <c r="C59">
        <f>IF($A59=1,SUM($A$2:$A59),0)</f>
        <v/>
      </c>
    </row>
    <row r="60">
      <c r="A60">
        <f>IF(AND(OR(Query!$B$4="All",'Compliance Database'!$A60=Query!$B$4),OR(Query!$B$5="All",ISNUMBER(SEARCH(Query!$B$5,'Compliance Database'!$H60))),OR(Query!$B$6="All",ISNUMBER(SEARCH(Query!$B$6,'Compliance Database'!$I60))),OR(Query!$B$7="All",'Compliance Database'!$F60=Query!$B$7),OR(Query!$B$8="All",'Compliance Database'!$J60=Query!$B$8),OR(Query!$B$9="",ISNUMBER(SEARCH(Query!$B$9,'Compliance Database'!$D60&amp;" "&amp;'Compliance Database'!$K60&amp;" "&amp;'Compliance Database'!$L60&amp;" "&amp;'Compliance Database'!$M60&amp;" "&amp;'Compliance Database'!$N60)))),1,0)</f>
        <v/>
      </c>
      <c r="B60">
        <f>IF($A60=1,SUM($A$2:$A60),"")</f>
        <v/>
      </c>
      <c r="C60">
        <f>IF($A60=1,SUM($A$2:$A60),0)</f>
        <v/>
      </c>
    </row>
    <row r="61">
      <c r="A61">
        <f>IF(AND(OR(Query!$B$4="All",'Compliance Database'!$A61=Query!$B$4),OR(Query!$B$5="All",ISNUMBER(SEARCH(Query!$B$5,'Compliance Database'!$H61))),OR(Query!$B$6="All",ISNUMBER(SEARCH(Query!$B$6,'Compliance Database'!$I61))),OR(Query!$B$7="All",'Compliance Database'!$F61=Query!$B$7),OR(Query!$B$8="All",'Compliance Database'!$J61=Query!$B$8),OR(Query!$B$9="",ISNUMBER(SEARCH(Query!$B$9,'Compliance Database'!$D61&amp;" "&amp;'Compliance Database'!$K61&amp;" "&amp;'Compliance Database'!$L61&amp;" "&amp;'Compliance Database'!$M61&amp;" "&amp;'Compliance Database'!$N61)))),1,0)</f>
        <v/>
      </c>
      <c r="B61">
        <f>IF($A61=1,SUM($A$2:$A61),"")</f>
        <v/>
      </c>
      <c r="C61">
        <f>IF($A61=1,SUM($A$2:$A61),0)</f>
        <v/>
      </c>
    </row>
    <row r="62">
      <c r="A62">
        <f>IF(AND(OR(Query!$B$4="All",'Compliance Database'!$A62=Query!$B$4),OR(Query!$B$5="All",ISNUMBER(SEARCH(Query!$B$5,'Compliance Database'!$H62))),OR(Query!$B$6="All",ISNUMBER(SEARCH(Query!$B$6,'Compliance Database'!$I62))),OR(Query!$B$7="All",'Compliance Database'!$F62=Query!$B$7),OR(Query!$B$8="All",'Compliance Database'!$J62=Query!$B$8),OR(Query!$B$9="",ISNUMBER(SEARCH(Query!$B$9,'Compliance Database'!$D62&amp;" "&amp;'Compliance Database'!$K62&amp;" "&amp;'Compliance Database'!$L62&amp;" "&amp;'Compliance Database'!$M62&amp;" "&amp;'Compliance Database'!$N62)))),1,0)</f>
        <v/>
      </c>
      <c r="B62">
        <f>IF($A62=1,SUM($A$2:$A62),"")</f>
        <v/>
      </c>
      <c r="C62">
        <f>IF($A62=1,SUM($A$2:$A62),0)</f>
        <v/>
      </c>
    </row>
    <row r="63">
      <c r="A63">
        <f>IF(AND(OR(Query!$B$4="All",'Compliance Database'!$A63=Query!$B$4),OR(Query!$B$5="All",ISNUMBER(SEARCH(Query!$B$5,'Compliance Database'!$H63))),OR(Query!$B$6="All",ISNUMBER(SEARCH(Query!$B$6,'Compliance Database'!$I63))),OR(Query!$B$7="All",'Compliance Database'!$F63=Query!$B$7),OR(Query!$B$8="All",'Compliance Database'!$J63=Query!$B$8),OR(Query!$B$9="",ISNUMBER(SEARCH(Query!$B$9,'Compliance Database'!$D63&amp;" "&amp;'Compliance Database'!$K63&amp;" "&amp;'Compliance Database'!$L63&amp;" "&amp;'Compliance Database'!$M63&amp;" "&amp;'Compliance Database'!$N63)))),1,0)</f>
        <v/>
      </c>
      <c r="B63">
        <f>IF($A63=1,SUM($A$2:$A63),"")</f>
        <v/>
      </c>
      <c r="C63">
        <f>IF($A63=1,SUM($A$2:$A63),0)</f>
        <v/>
      </c>
    </row>
    <row r="64">
      <c r="A64">
        <f>IF(AND(OR(Query!$B$4="All",'Compliance Database'!$A64=Query!$B$4),OR(Query!$B$5="All",ISNUMBER(SEARCH(Query!$B$5,'Compliance Database'!$H64))),OR(Query!$B$6="All",ISNUMBER(SEARCH(Query!$B$6,'Compliance Database'!$I64))),OR(Query!$B$7="All",'Compliance Database'!$F64=Query!$B$7),OR(Query!$B$8="All",'Compliance Database'!$J64=Query!$B$8),OR(Query!$B$9="",ISNUMBER(SEARCH(Query!$B$9,'Compliance Database'!$D64&amp;" "&amp;'Compliance Database'!$K64&amp;" "&amp;'Compliance Database'!$L64&amp;" "&amp;'Compliance Database'!$M64&amp;" "&amp;'Compliance Database'!$N64)))),1,0)</f>
        <v/>
      </c>
      <c r="B64">
        <f>IF($A64=1,SUM($A$2:$A64),"")</f>
        <v/>
      </c>
      <c r="C64">
        <f>IF($A64=1,SUM($A$2:$A64),0)</f>
        <v/>
      </c>
    </row>
    <row r="65">
      <c r="A65">
        <f>IF(AND(OR(Query!$B$4="All",'Compliance Database'!$A65=Query!$B$4),OR(Query!$B$5="All",ISNUMBER(SEARCH(Query!$B$5,'Compliance Database'!$H65))),OR(Query!$B$6="All",ISNUMBER(SEARCH(Query!$B$6,'Compliance Database'!$I65))),OR(Query!$B$7="All",'Compliance Database'!$F65=Query!$B$7),OR(Query!$B$8="All",'Compliance Database'!$J65=Query!$B$8),OR(Query!$B$9="",ISNUMBER(SEARCH(Query!$B$9,'Compliance Database'!$D65&amp;" "&amp;'Compliance Database'!$K65&amp;" "&amp;'Compliance Database'!$L65&amp;" "&amp;'Compliance Database'!$M65&amp;" "&amp;'Compliance Database'!$N65)))),1,0)</f>
        <v/>
      </c>
      <c r="B65">
        <f>IF($A65=1,SUM($A$2:$A65),"")</f>
        <v/>
      </c>
      <c r="C65">
        <f>IF($A65=1,SUM($A$2:$A65),0)</f>
        <v/>
      </c>
    </row>
    <row r="66">
      <c r="A66">
        <f>IF(AND(OR(Query!$B$4="All",'Compliance Database'!$A66=Query!$B$4),OR(Query!$B$5="All",ISNUMBER(SEARCH(Query!$B$5,'Compliance Database'!$H66))),OR(Query!$B$6="All",ISNUMBER(SEARCH(Query!$B$6,'Compliance Database'!$I66))),OR(Query!$B$7="All",'Compliance Database'!$F66=Query!$B$7),OR(Query!$B$8="All",'Compliance Database'!$J66=Query!$B$8),OR(Query!$B$9="",ISNUMBER(SEARCH(Query!$B$9,'Compliance Database'!$D66&amp;" "&amp;'Compliance Database'!$K66&amp;" "&amp;'Compliance Database'!$L66&amp;" "&amp;'Compliance Database'!$M66&amp;" "&amp;'Compliance Database'!$N66)))),1,0)</f>
        <v/>
      </c>
      <c r="B66">
        <f>IF($A66=1,SUM($A$2:$A66),"")</f>
        <v/>
      </c>
      <c r="C66">
        <f>IF($A66=1,SUM($A$2:$A66),0)</f>
        <v/>
      </c>
    </row>
    <row r="67">
      <c r="A67">
        <f>IF(AND(OR(Query!$B$4="All",'Compliance Database'!$A67=Query!$B$4),OR(Query!$B$5="All",ISNUMBER(SEARCH(Query!$B$5,'Compliance Database'!$H67))),OR(Query!$B$6="All",ISNUMBER(SEARCH(Query!$B$6,'Compliance Database'!$I67))),OR(Query!$B$7="All",'Compliance Database'!$F67=Query!$B$7),OR(Query!$B$8="All",'Compliance Database'!$J67=Query!$B$8),OR(Query!$B$9="",ISNUMBER(SEARCH(Query!$B$9,'Compliance Database'!$D67&amp;" "&amp;'Compliance Database'!$K67&amp;" "&amp;'Compliance Database'!$L67&amp;" "&amp;'Compliance Database'!$M67&amp;" "&amp;'Compliance Database'!$N67)))),1,0)</f>
        <v/>
      </c>
      <c r="B67">
        <f>IF($A67=1,SUM($A$2:$A67),"")</f>
        <v/>
      </c>
      <c r="C67">
        <f>IF($A67=1,SUM($A$2:$A67),0)</f>
        <v/>
      </c>
    </row>
    <row r="68">
      <c r="A68">
        <f>IF(AND(OR(Query!$B$4="All",'Compliance Database'!$A68=Query!$B$4),OR(Query!$B$5="All",ISNUMBER(SEARCH(Query!$B$5,'Compliance Database'!$H68))),OR(Query!$B$6="All",ISNUMBER(SEARCH(Query!$B$6,'Compliance Database'!$I68))),OR(Query!$B$7="All",'Compliance Database'!$F68=Query!$B$7),OR(Query!$B$8="All",'Compliance Database'!$J68=Query!$B$8),OR(Query!$B$9="",ISNUMBER(SEARCH(Query!$B$9,'Compliance Database'!$D68&amp;" "&amp;'Compliance Database'!$K68&amp;" "&amp;'Compliance Database'!$L68&amp;" "&amp;'Compliance Database'!$M68&amp;" "&amp;'Compliance Database'!$N68)))),1,0)</f>
        <v/>
      </c>
      <c r="B68">
        <f>IF($A68=1,SUM($A$2:$A68),"")</f>
        <v/>
      </c>
      <c r="C68">
        <f>IF($A68=1,SUM($A$2:$A68),0)</f>
        <v/>
      </c>
    </row>
    <row r="69">
      <c r="A69">
        <f>IF(AND(OR(Query!$B$4="All",'Compliance Database'!$A69=Query!$B$4),OR(Query!$B$5="All",ISNUMBER(SEARCH(Query!$B$5,'Compliance Database'!$H69))),OR(Query!$B$6="All",ISNUMBER(SEARCH(Query!$B$6,'Compliance Database'!$I69))),OR(Query!$B$7="All",'Compliance Database'!$F69=Query!$B$7),OR(Query!$B$8="All",'Compliance Database'!$J69=Query!$B$8),OR(Query!$B$9="",ISNUMBER(SEARCH(Query!$B$9,'Compliance Database'!$D69&amp;" "&amp;'Compliance Database'!$K69&amp;" "&amp;'Compliance Database'!$L69&amp;" "&amp;'Compliance Database'!$M69&amp;" "&amp;'Compliance Database'!$N69)))),1,0)</f>
        <v/>
      </c>
      <c r="B69">
        <f>IF($A69=1,SUM($A$2:$A69),"")</f>
        <v/>
      </c>
      <c r="C69">
        <f>IF($A69=1,SUM($A$2:$A69),0)</f>
        <v/>
      </c>
    </row>
    <row r="70">
      <c r="A70">
        <f>IF(AND(OR(Query!$B$4="All",'Compliance Database'!$A70=Query!$B$4),OR(Query!$B$5="All",ISNUMBER(SEARCH(Query!$B$5,'Compliance Database'!$H70))),OR(Query!$B$6="All",ISNUMBER(SEARCH(Query!$B$6,'Compliance Database'!$I70))),OR(Query!$B$7="All",'Compliance Database'!$F70=Query!$B$7),OR(Query!$B$8="All",'Compliance Database'!$J70=Query!$B$8),OR(Query!$B$9="",ISNUMBER(SEARCH(Query!$B$9,'Compliance Database'!$D70&amp;" "&amp;'Compliance Database'!$K70&amp;" "&amp;'Compliance Database'!$L70&amp;" "&amp;'Compliance Database'!$M70&amp;" "&amp;'Compliance Database'!$N70)))),1,0)</f>
        <v/>
      </c>
      <c r="B70">
        <f>IF($A70=1,SUM($A$2:$A70),"")</f>
        <v/>
      </c>
      <c r="C70">
        <f>IF($A70=1,SUM($A$2:$A70),0)</f>
        <v/>
      </c>
    </row>
    <row r="71">
      <c r="A71">
        <f>IF(AND(OR(Query!$B$4="All",'Compliance Database'!$A71=Query!$B$4),OR(Query!$B$5="All",ISNUMBER(SEARCH(Query!$B$5,'Compliance Database'!$H71))),OR(Query!$B$6="All",ISNUMBER(SEARCH(Query!$B$6,'Compliance Database'!$I71))),OR(Query!$B$7="All",'Compliance Database'!$F71=Query!$B$7),OR(Query!$B$8="All",'Compliance Database'!$J71=Query!$B$8),OR(Query!$B$9="",ISNUMBER(SEARCH(Query!$B$9,'Compliance Database'!$D71&amp;" "&amp;'Compliance Database'!$K71&amp;" "&amp;'Compliance Database'!$L71&amp;" "&amp;'Compliance Database'!$M71&amp;" "&amp;'Compliance Database'!$N71)))),1,0)</f>
        <v/>
      </c>
      <c r="B71">
        <f>IF($A71=1,SUM($A$2:$A71),"")</f>
        <v/>
      </c>
      <c r="C71">
        <f>IF($A71=1,SUM($A$2:$A71),0)</f>
        <v/>
      </c>
    </row>
    <row r="72">
      <c r="A72">
        <f>IF(AND(OR(Query!$B$4="All",'Compliance Database'!$A72=Query!$B$4),OR(Query!$B$5="All",ISNUMBER(SEARCH(Query!$B$5,'Compliance Database'!$H72))),OR(Query!$B$6="All",ISNUMBER(SEARCH(Query!$B$6,'Compliance Database'!$I72))),OR(Query!$B$7="All",'Compliance Database'!$F72=Query!$B$7),OR(Query!$B$8="All",'Compliance Database'!$J72=Query!$B$8),OR(Query!$B$9="",ISNUMBER(SEARCH(Query!$B$9,'Compliance Database'!$D72&amp;" "&amp;'Compliance Database'!$K72&amp;" "&amp;'Compliance Database'!$L72&amp;" "&amp;'Compliance Database'!$M72&amp;" "&amp;'Compliance Database'!$N72)))),1,0)</f>
        <v/>
      </c>
      <c r="B72">
        <f>IF($A72=1,SUM($A$2:$A72),"")</f>
        <v/>
      </c>
      <c r="C72">
        <f>IF($A72=1,SUM($A$2:$A72),0)</f>
        <v/>
      </c>
    </row>
    <row r="73">
      <c r="A73">
        <f>IF(AND(OR(Query!$B$4="All",'Compliance Database'!$A73=Query!$B$4),OR(Query!$B$5="All",ISNUMBER(SEARCH(Query!$B$5,'Compliance Database'!$H73))),OR(Query!$B$6="All",ISNUMBER(SEARCH(Query!$B$6,'Compliance Database'!$I73))),OR(Query!$B$7="All",'Compliance Database'!$F73=Query!$B$7),OR(Query!$B$8="All",'Compliance Database'!$J73=Query!$B$8),OR(Query!$B$9="",ISNUMBER(SEARCH(Query!$B$9,'Compliance Database'!$D73&amp;" "&amp;'Compliance Database'!$K73&amp;" "&amp;'Compliance Database'!$L73&amp;" "&amp;'Compliance Database'!$M73&amp;" "&amp;'Compliance Database'!$N73)))),1,0)</f>
        <v/>
      </c>
      <c r="B73">
        <f>IF($A73=1,SUM($A$2:$A73),"")</f>
        <v/>
      </c>
      <c r="C73">
        <f>IF($A73=1,SUM($A$2:$A73),0)</f>
        <v/>
      </c>
    </row>
    <row r="74">
      <c r="A74">
        <f>IF(AND(OR(Query!$B$4="All",'Compliance Database'!$A74=Query!$B$4),OR(Query!$B$5="All",ISNUMBER(SEARCH(Query!$B$5,'Compliance Database'!$H74))),OR(Query!$B$6="All",ISNUMBER(SEARCH(Query!$B$6,'Compliance Database'!$I74))),OR(Query!$B$7="All",'Compliance Database'!$F74=Query!$B$7),OR(Query!$B$8="All",'Compliance Database'!$J74=Query!$B$8),OR(Query!$B$9="",ISNUMBER(SEARCH(Query!$B$9,'Compliance Database'!$D74&amp;" "&amp;'Compliance Database'!$K74&amp;" "&amp;'Compliance Database'!$L74&amp;" "&amp;'Compliance Database'!$M74&amp;" "&amp;'Compliance Database'!$N74)))),1,0)</f>
        <v/>
      </c>
      <c r="B74">
        <f>IF($A74=1,SUM($A$2:$A74),"")</f>
        <v/>
      </c>
      <c r="C74">
        <f>IF($A74=1,SUM($A$2:$A74),0)</f>
        <v/>
      </c>
    </row>
    <row r="75">
      <c r="A75">
        <f>IF(AND(OR(Query!$B$4="All",'Compliance Database'!$A75=Query!$B$4),OR(Query!$B$5="All",ISNUMBER(SEARCH(Query!$B$5,'Compliance Database'!$H75))),OR(Query!$B$6="All",ISNUMBER(SEARCH(Query!$B$6,'Compliance Database'!$I75))),OR(Query!$B$7="All",'Compliance Database'!$F75=Query!$B$7),OR(Query!$B$8="All",'Compliance Database'!$J75=Query!$B$8),OR(Query!$B$9="",ISNUMBER(SEARCH(Query!$B$9,'Compliance Database'!$D75&amp;" "&amp;'Compliance Database'!$K75&amp;" "&amp;'Compliance Database'!$L75&amp;" "&amp;'Compliance Database'!$M75&amp;" "&amp;'Compliance Database'!$N75)))),1,0)</f>
        <v/>
      </c>
      <c r="B75">
        <f>IF($A75=1,SUM($A$2:$A75),"")</f>
        <v/>
      </c>
      <c r="C75">
        <f>IF($A75=1,SUM($A$2:$A75),0)</f>
        <v/>
      </c>
    </row>
    <row r="76">
      <c r="A76">
        <f>IF(AND(OR(Query!$B$4="All",'Compliance Database'!$A76=Query!$B$4),OR(Query!$B$5="All",ISNUMBER(SEARCH(Query!$B$5,'Compliance Database'!$H76))),OR(Query!$B$6="All",ISNUMBER(SEARCH(Query!$B$6,'Compliance Database'!$I76))),OR(Query!$B$7="All",'Compliance Database'!$F76=Query!$B$7),OR(Query!$B$8="All",'Compliance Database'!$J76=Query!$B$8),OR(Query!$B$9="",ISNUMBER(SEARCH(Query!$B$9,'Compliance Database'!$D76&amp;" "&amp;'Compliance Database'!$K76&amp;" "&amp;'Compliance Database'!$L76&amp;" "&amp;'Compliance Database'!$M76&amp;" "&amp;'Compliance Database'!$N76)))),1,0)</f>
        <v/>
      </c>
      <c r="B76">
        <f>IF($A76=1,SUM($A$2:$A76),"")</f>
        <v/>
      </c>
      <c r="C76">
        <f>IF($A76=1,SUM($A$2:$A76),0)</f>
        <v/>
      </c>
    </row>
    <row r="77">
      <c r="A77">
        <f>IF(AND(OR(Query!$B$4="All",'Compliance Database'!$A77=Query!$B$4),OR(Query!$B$5="All",ISNUMBER(SEARCH(Query!$B$5,'Compliance Database'!$H77))),OR(Query!$B$6="All",ISNUMBER(SEARCH(Query!$B$6,'Compliance Database'!$I77))),OR(Query!$B$7="All",'Compliance Database'!$F77=Query!$B$7),OR(Query!$B$8="All",'Compliance Database'!$J77=Query!$B$8),OR(Query!$B$9="",ISNUMBER(SEARCH(Query!$B$9,'Compliance Database'!$D77&amp;" "&amp;'Compliance Database'!$K77&amp;" "&amp;'Compliance Database'!$L77&amp;" "&amp;'Compliance Database'!$M77&amp;" "&amp;'Compliance Database'!$N77)))),1,0)</f>
        <v/>
      </c>
      <c r="B77">
        <f>IF($A77=1,SUM($A$2:$A77),"")</f>
        <v/>
      </c>
      <c r="C77">
        <f>IF($A77=1,SUM($A$2:$A77),0)</f>
        <v/>
      </c>
    </row>
    <row r="78">
      <c r="A78">
        <f>IF(AND(OR(Query!$B$4="All",'Compliance Database'!$A78=Query!$B$4),OR(Query!$B$5="All",ISNUMBER(SEARCH(Query!$B$5,'Compliance Database'!$H78))),OR(Query!$B$6="All",ISNUMBER(SEARCH(Query!$B$6,'Compliance Database'!$I78))),OR(Query!$B$7="All",'Compliance Database'!$F78=Query!$B$7),OR(Query!$B$8="All",'Compliance Database'!$J78=Query!$B$8),OR(Query!$B$9="",ISNUMBER(SEARCH(Query!$B$9,'Compliance Database'!$D78&amp;" "&amp;'Compliance Database'!$K78&amp;" "&amp;'Compliance Database'!$L78&amp;" "&amp;'Compliance Database'!$M78&amp;" "&amp;'Compliance Database'!$N78)))),1,0)</f>
        <v/>
      </c>
      <c r="B78">
        <f>IF($A78=1,SUM($A$2:$A78),"")</f>
        <v/>
      </c>
      <c r="C78">
        <f>IF($A78=1,SUM($A$2:$A78),0)</f>
        <v/>
      </c>
    </row>
    <row r="79">
      <c r="A79">
        <f>IF(AND(OR(Query!$B$4="All",'Compliance Database'!$A79=Query!$B$4),OR(Query!$B$5="All",ISNUMBER(SEARCH(Query!$B$5,'Compliance Database'!$H79))),OR(Query!$B$6="All",ISNUMBER(SEARCH(Query!$B$6,'Compliance Database'!$I79))),OR(Query!$B$7="All",'Compliance Database'!$F79=Query!$B$7),OR(Query!$B$8="All",'Compliance Database'!$J79=Query!$B$8),OR(Query!$B$9="",ISNUMBER(SEARCH(Query!$B$9,'Compliance Database'!$D79&amp;" "&amp;'Compliance Database'!$K79&amp;" "&amp;'Compliance Database'!$L79&amp;" "&amp;'Compliance Database'!$M79&amp;" "&amp;'Compliance Database'!$N79)))),1,0)</f>
        <v/>
      </c>
      <c r="B79">
        <f>IF($A79=1,SUM($A$2:$A79),"")</f>
        <v/>
      </c>
      <c r="C79">
        <f>IF($A79=1,SUM($A$2:$A79),0)</f>
        <v/>
      </c>
    </row>
    <row r="80">
      <c r="A80">
        <f>IF(AND(OR(Query!$B$4="All",'Compliance Database'!$A80=Query!$B$4),OR(Query!$B$5="All",ISNUMBER(SEARCH(Query!$B$5,'Compliance Database'!$H80))),OR(Query!$B$6="All",ISNUMBER(SEARCH(Query!$B$6,'Compliance Database'!$I80))),OR(Query!$B$7="All",'Compliance Database'!$F80=Query!$B$7),OR(Query!$B$8="All",'Compliance Database'!$J80=Query!$B$8),OR(Query!$B$9="",ISNUMBER(SEARCH(Query!$B$9,'Compliance Database'!$D80&amp;" "&amp;'Compliance Database'!$K80&amp;" "&amp;'Compliance Database'!$L80&amp;" "&amp;'Compliance Database'!$M80&amp;" "&amp;'Compliance Database'!$N80)))),1,0)</f>
        <v/>
      </c>
      <c r="B80">
        <f>IF($A80=1,SUM($A$2:$A80),"")</f>
        <v/>
      </c>
      <c r="C80">
        <f>IF($A80=1,SUM($A$2:$A80),0)</f>
        <v/>
      </c>
    </row>
    <row r="81">
      <c r="A81">
        <f>IF(AND(OR(Query!$B$4="All",'Compliance Database'!$A81=Query!$B$4),OR(Query!$B$5="All",ISNUMBER(SEARCH(Query!$B$5,'Compliance Database'!$H81))),OR(Query!$B$6="All",ISNUMBER(SEARCH(Query!$B$6,'Compliance Database'!$I81))),OR(Query!$B$7="All",'Compliance Database'!$F81=Query!$B$7),OR(Query!$B$8="All",'Compliance Database'!$J81=Query!$B$8),OR(Query!$B$9="",ISNUMBER(SEARCH(Query!$B$9,'Compliance Database'!$D81&amp;" "&amp;'Compliance Database'!$K81&amp;" "&amp;'Compliance Database'!$L81&amp;" "&amp;'Compliance Database'!$M81&amp;" "&amp;'Compliance Database'!$N81)))),1,0)</f>
        <v/>
      </c>
      <c r="B81">
        <f>IF($A81=1,SUM($A$2:$A81),"")</f>
        <v/>
      </c>
      <c r="C81">
        <f>IF($A81=1,SUM($A$2:$A81),0)</f>
        <v/>
      </c>
    </row>
    <row r="82">
      <c r="A82">
        <f>IF(AND(OR(Query!$B$4="All",'Compliance Database'!$A82=Query!$B$4),OR(Query!$B$5="All",ISNUMBER(SEARCH(Query!$B$5,'Compliance Database'!$H82))),OR(Query!$B$6="All",ISNUMBER(SEARCH(Query!$B$6,'Compliance Database'!$I82))),OR(Query!$B$7="All",'Compliance Database'!$F82=Query!$B$7),OR(Query!$B$8="All",'Compliance Database'!$J82=Query!$B$8),OR(Query!$B$9="",ISNUMBER(SEARCH(Query!$B$9,'Compliance Database'!$D82&amp;" "&amp;'Compliance Database'!$K82&amp;" "&amp;'Compliance Database'!$L82&amp;" "&amp;'Compliance Database'!$M82&amp;" "&amp;'Compliance Database'!$N82)))),1,0)</f>
        <v/>
      </c>
      <c r="B82">
        <f>IF($A82=1,SUM($A$2:$A82),"")</f>
        <v/>
      </c>
      <c r="C82">
        <f>IF($A82=1,SUM($A$2:$A82),0)</f>
        <v/>
      </c>
    </row>
    <row r="83">
      <c r="A83">
        <f>IF(AND(OR(Query!$B$4="All",'Compliance Database'!$A83=Query!$B$4),OR(Query!$B$5="All",ISNUMBER(SEARCH(Query!$B$5,'Compliance Database'!$H83))),OR(Query!$B$6="All",ISNUMBER(SEARCH(Query!$B$6,'Compliance Database'!$I83))),OR(Query!$B$7="All",'Compliance Database'!$F83=Query!$B$7),OR(Query!$B$8="All",'Compliance Database'!$J83=Query!$B$8),OR(Query!$B$9="",ISNUMBER(SEARCH(Query!$B$9,'Compliance Database'!$D83&amp;" "&amp;'Compliance Database'!$K83&amp;" "&amp;'Compliance Database'!$L83&amp;" "&amp;'Compliance Database'!$M83&amp;" "&amp;'Compliance Database'!$N83)))),1,0)</f>
        <v/>
      </c>
      <c r="B83">
        <f>IF($A83=1,SUM($A$2:$A83),"")</f>
        <v/>
      </c>
      <c r="C83">
        <f>IF($A83=1,SUM($A$2:$A83),0)</f>
        <v/>
      </c>
    </row>
    <row r="84">
      <c r="A84">
        <f>IF(AND(OR(Query!$B$4="All",'Compliance Database'!$A84=Query!$B$4),OR(Query!$B$5="All",ISNUMBER(SEARCH(Query!$B$5,'Compliance Database'!$H84))),OR(Query!$B$6="All",ISNUMBER(SEARCH(Query!$B$6,'Compliance Database'!$I84))),OR(Query!$B$7="All",'Compliance Database'!$F84=Query!$B$7),OR(Query!$B$8="All",'Compliance Database'!$J84=Query!$B$8),OR(Query!$B$9="",ISNUMBER(SEARCH(Query!$B$9,'Compliance Database'!$D84&amp;" "&amp;'Compliance Database'!$K84&amp;" "&amp;'Compliance Database'!$L84&amp;" "&amp;'Compliance Database'!$M84&amp;" "&amp;'Compliance Database'!$N84)))),1,0)</f>
        <v/>
      </c>
      <c r="B84">
        <f>IF($A84=1,SUM($A$2:$A84),"")</f>
        <v/>
      </c>
      <c r="C84">
        <f>IF($A84=1,SUM($A$2:$A84),0)</f>
        <v/>
      </c>
    </row>
    <row r="85">
      <c r="A85">
        <f>IF(AND(OR(Query!$B$4="All",'Compliance Database'!$A85=Query!$B$4),OR(Query!$B$5="All",ISNUMBER(SEARCH(Query!$B$5,'Compliance Database'!$H85))),OR(Query!$B$6="All",ISNUMBER(SEARCH(Query!$B$6,'Compliance Database'!$I85))),OR(Query!$B$7="All",'Compliance Database'!$F85=Query!$B$7),OR(Query!$B$8="All",'Compliance Database'!$J85=Query!$B$8),OR(Query!$B$9="",ISNUMBER(SEARCH(Query!$B$9,'Compliance Database'!$D85&amp;" "&amp;'Compliance Database'!$K85&amp;" "&amp;'Compliance Database'!$L85&amp;" "&amp;'Compliance Database'!$M85&amp;" "&amp;'Compliance Database'!$N85)))),1,0)</f>
        <v/>
      </c>
      <c r="B85">
        <f>IF($A85=1,SUM($A$2:$A85),"")</f>
        <v/>
      </c>
      <c r="C85">
        <f>IF($A85=1,SUM($A$2:$A85),0)</f>
        <v/>
      </c>
    </row>
    <row r="86">
      <c r="A86">
        <f>IF(AND(OR(Query!$B$4="All",'Compliance Database'!$A86=Query!$B$4),OR(Query!$B$5="All",ISNUMBER(SEARCH(Query!$B$5,'Compliance Database'!$H86))),OR(Query!$B$6="All",ISNUMBER(SEARCH(Query!$B$6,'Compliance Database'!$I86))),OR(Query!$B$7="All",'Compliance Database'!$F86=Query!$B$7),OR(Query!$B$8="All",'Compliance Database'!$J86=Query!$B$8),OR(Query!$B$9="",ISNUMBER(SEARCH(Query!$B$9,'Compliance Database'!$D86&amp;" "&amp;'Compliance Database'!$K86&amp;" "&amp;'Compliance Database'!$L86&amp;" "&amp;'Compliance Database'!$M86&amp;" "&amp;'Compliance Database'!$N86)))),1,0)</f>
        <v/>
      </c>
      <c r="B86">
        <f>IF($A86=1,SUM($A$2:$A86),"")</f>
        <v/>
      </c>
      <c r="C86">
        <f>IF($A86=1,SUM($A$2:$A86),0)</f>
        <v/>
      </c>
    </row>
    <row r="87">
      <c r="A87">
        <f>IF(AND(OR(Query!$B$4="All",'Compliance Database'!$A87=Query!$B$4),OR(Query!$B$5="All",ISNUMBER(SEARCH(Query!$B$5,'Compliance Database'!$H87))),OR(Query!$B$6="All",ISNUMBER(SEARCH(Query!$B$6,'Compliance Database'!$I87))),OR(Query!$B$7="All",'Compliance Database'!$F87=Query!$B$7),OR(Query!$B$8="All",'Compliance Database'!$J87=Query!$B$8),OR(Query!$B$9="",ISNUMBER(SEARCH(Query!$B$9,'Compliance Database'!$D87&amp;" "&amp;'Compliance Database'!$K87&amp;" "&amp;'Compliance Database'!$L87&amp;" "&amp;'Compliance Database'!$M87&amp;" "&amp;'Compliance Database'!$N87)))),1,0)</f>
        <v/>
      </c>
      <c r="B87">
        <f>IF($A87=1,SUM($A$2:$A87),"")</f>
        <v/>
      </c>
      <c r="C87">
        <f>IF($A87=1,SUM($A$2:$A87),0)</f>
        <v/>
      </c>
    </row>
    <row r="88">
      <c r="A88">
        <f>IF(AND(OR(Query!$B$4="All",'Compliance Database'!$A88=Query!$B$4),OR(Query!$B$5="All",ISNUMBER(SEARCH(Query!$B$5,'Compliance Database'!$H88))),OR(Query!$B$6="All",ISNUMBER(SEARCH(Query!$B$6,'Compliance Database'!$I88))),OR(Query!$B$7="All",'Compliance Database'!$F88=Query!$B$7),OR(Query!$B$8="All",'Compliance Database'!$J88=Query!$B$8),OR(Query!$B$9="",ISNUMBER(SEARCH(Query!$B$9,'Compliance Database'!$D88&amp;" "&amp;'Compliance Database'!$K88&amp;" "&amp;'Compliance Database'!$L88&amp;" "&amp;'Compliance Database'!$M88&amp;" "&amp;'Compliance Database'!$N88)))),1,0)</f>
        <v/>
      </c>
      <c r="B88">
        <f>IF($A88=1,SUM($A$2:$A88),"")</f>
        <v/>
      </c>
      <c r="C88">
        <f>IF($A88=1,SUM($A$2:$A88),0)</f>
        <v/>
      </c>
    </row>
    <row r="89">
      <c r="A89">
        <f>IF(AND(OR(Query!$B$4="All",'Compliance Database'!$A89=Query!$B$4),OR(Query!$B$5="All",ISNUMBER(SEARCH(Query!$B$5,'Compliance Database'!$H89))),OR(Query!$B$6="All",ISNUMBER(SEARCH(Query!$B$6,'Compliance Database'!$I89))),OR(Query!$B$7="All",'Compliance Database'!$F89=Query!$B$7),OR(Query!$B$8="All",'Compliance Database'!$J89=Query!$B$8),OR(Query!$B$9="",ISNUMBER(SEARCH(Query!$B$9,'Compliance Database'!$D89&amp;" "&amp;'Compliance Database'!$K89&amp;" "&amp;'Compliance Database'!$L89&amp;" "&amp;'Compliance Database'!$M89&amp;" "&amp;'Compliance Database'!$N89)))),1,0)</f>
        <v/>
      </c>
      <c r="B89">
        <f>IF($A89=1,SUM($A$2:$A89),"")</f>
        <v/>
      </c>
      <c r="C89">
        <f>IF($A89=1,SUM($A$2:$A89),0)</f>
        <v/>
      </c>
    </row>
    <row r="90">
      <c r="A90">
        <f>IF(AND(OR(Query!$B$4="All",'Compliance Database'!$A90=Query!$B$4),OR(Query!$B$5="All",ISNUMBER(SEARCH(Query!$B$5,'Compliance Database'!$H90))),OR(Query!$B$6="All",ISNUMBER(SEARCH(Query!$B$6,'Compliance Database'!$I90))),OR(Query!$B$7="All",'Compliance Database'!$F90=Query!$B$7),OR(Query!$B$8="All",'Compliance Database'!$J90=Query!$B$8),OR(Query!$B$9="",ISNUMBER(SEARCH(Query!$B$9,'Compliance Database'!$D90&amp;" "&amp;'Compliance Database'!$K90&amp;" "&amp;'Compliance Database'!$L90&amp;" "&amp;'Compliance Database'!$M90&amp;" "&amp;'Compliance Database'!$N90)))),1,0)</f>
        <v/>
      </c>
      <c r="B90">
        <f>IF($A90=1,SUM($A$2:$A90),"")</f>
        <v/>
      </c>
      <c r="C90">
        <f>IF($A90=1,SUM($A$2:$A90),0)</f>
        <v/>
      </c>
    </row>
    <row r="91">
      <c r="A91">
        <f>IF(AND(OR(Query!$B$4="All",'Compliance Database'!$A91=Query!$B$4),OR(Query!$B$5="All",ISNUMBER(SEARCH(Query!$B$5,'Compliance Database'!$H91))),OR(Query!$B$6="All",ISNUMBER(SEARCH(Query!$B$6,'Compliance Database'!$I91))),OR(Query!$B$7="All",'Compliance Database'!$F91=Query!$B$7),OR(Query!$B$8="All",'Compliance Database'!$J91=Query!$B$8),OR(Query!$B$9="",ISNUMBER(SEARCH(Query!$B$9,'Compliance Database'!$D91&amp;" "&amp;'Compliance Database'!$K91&amp;" "&amp;'Compliance Database'!$L91&amp;" "&amp;'Compliance Database'!$M91&amp;" "&amp;'Compliance Database'!$N91)))),1,0)</f>
        <v/>
      </c>
      <c r="B91">
        <f>IF($A91=1,SUM($A$2:$A91),"")</f>
        <v/>
      </c>
      <c r="C91">
        <f>IF($A91=1,SUM($A$2:$A91),0)</f>
        <v/>
      </c>
    </row>
    <row r="92">
      <c r="A92">
        <f>IF(AND(OR(Query!$B$4="All",'Compliance Database'!$A92=Query!$B$4),OR(Query!$B$5="All",ISNUMBER(SEARCH(Query!$B$5,'Compliance Database'!$H92))),OR(Query!$B$6="All",ISNUMBER(SEARCH(Query!$B$6,'Compliance Database'!$I92))),OR(Query!$B$7="All",'Compliance Database'!$F92=Query!$B$7),OR(Query!$B$8="All",'Compliance Database'!$J92=Query!$B$8),OR(Query!$B$9="",ISNUMBER(SEARCH(Query!$B$9,'Compliance Database'!$D92&amp;" "&amp;'Compliance Database'!$K92&amp;" "&amp;'Compliance Database'!$L92&amp;" "&amp;'Compliance Database'!$M92&amp;" "&amp;'Compliance Database'!$N92)))),1,0)</f>
        <v/>
      </c>
      <c r="B92">
        <f>IF($A92=1,SUM($A$2:$A92),"")</f>
        <v/>
      </c>
      <c r="C92">
        <f>IF($A92=1,SUM($A$2:$A92),0)</f>
        <v/>
      </c>
    </row>
    <row r="93">
      <c r="A93">
        <f>IF(AND(OR(Query!$B$4="All",'Compliance Database'!$A93=Query!$B$4),OR(Query!$B$5="All",ISNUMBER(SEARCH(Query!$B$5,'Compliance Database'!$H93))),OR(Query!$B$6="All",ISNUMBER(SEARCH(Query!$B$6,'Compliance Database'!$I93))),OR(Query!$B$7="All",'Compliance Database'!$F93=Query!$B$7),OR(Query!$B$8="All",'Compliance Database'!$J93=Query!$B$8),OR(Query!$B$9="",ISNUMBER(SEARCH(Query!$B$9,'Compliance Database'!$D93&amp;" "&amp;'Compliance Database'!$K93&amp;" "&amp;'Compliance Database'!$L93&amp;" "&amp;'Compliance Database'!$M93&amp;" "&amp;'Compliance Database'!$N93)))),1,0)</f>
        <v/>
      </c>
      <c r="B93">
        <f>IF($A93=1,SUM($A$2:$A93),"")</f>
        <v/>
      </c>
      <c r="C93">
        <f>IF($A93=1,SUM($A$2:$A93),0)</f>
        <v/>
      </c>
    </row>
    <row r="94">
      <c r="A94">
        <f>IF(AND(OR(Query!$B$4="All",'Compliance Database'!$A94=Query!$B$4),OR(Query!$B$5="All",ISNUMBER(SEARCH(Query!$B$5,'Compliance Database'!$H94))),OR(Query!$B$6="All",ISNUMBER(SEARCH(Query!$B$6,'Compliance Database'!$I94))),OR(Query!$B$7="All",'Compliance Database'!$F94=Query!$B$7),OR(Query!$B$8="All",'Compliance Database'!$J94=Query!$B$8),OR(Query!$B$9="",ISNUMBER(SEARCH(Query!$B$9,'Compliance Database'!$D94&amp;" "&amp;'Compliance Database'!$K94&amp;" "&amp;'Compliance Database'!$L94&amp;" "&amp;'Compliance Database'!$M94&amp;" "&amp;'Compliance Database'!$N94)))),1,0)</f>
        <v/>
      </c>
      <c r="B94">
        <f>IF($A94=1,SUM($A$2:$A94),"")</f>
        <v/>
      </c>
      <c r="C94">
        <f>IF($A94=1,SUM($A$2:$A94),0)</f>
        <v/>
      </c>
    </row>
    <row r="95">
      <c r="A95">
        <f>IF(AND(OR(Query!$B$4="All",'Compliance Database'!$A95=Query!$B$4),OR(Query!$B$5="All",ISNUMBER(SEARCH(Query!$B$5,'Compliance Database'!$H95))),OR(Query!$B$6="All",ISNUMBER(SEARCH(Query!$B$6,'Compliance Database'!$I95))),OR(Query!$B$7="All",'Compliance Database'!$F95=Query!$B$7),OR(Query!$B$8="All",'Compliance Database'!$J95=Query!$B$8),OR(Query!$B$9="",ISNUMBER(SEARCH(Query!$B$9,'Compliance Database'!$D95&amp;" "&amp;'Compliance Database'!$K95&amp;" "&amp;'Compliance Database'!$L95&amp;" "&amp;'Compliance Database'!$M95&amp;" "&amp;'Compliance Database'!$N95)))),1,0)</f>
        <v/>
      </c>
      <c r="B95">
        <f>IF($A95=1,SUM($A$2:$A95),"")</f>
        <v/>
      </c>
      <c r="C95">
        <f>IF($A95=1,SUM($A$2:$A95),0)</f>
        <v/>
      </c>
    </row>
    <row r="96">
      <c r="A96">
        <f>IF(AND(OR(Query!$B$4="All",'Compliance Database'!$A96=Query!$B$4),OR(Query!$B$5="All",ISNUMBER(SEARCH(Query!$B$5,'Compliance Database'!$H96))),OR(Query!$B$6="All",ISNUMBER(SEARCH(Query!$B$6,'Compliance Database'!$I96))),OR(Query!$B$7="All",'Compliance Database'!$F96=Query!$B$7),OR(Query!$B$8="All",'Compliance Database'!$J96=Query!$B$8),OR(Query!$B$9="",ISNUMBER(SEARCH(Query!$B$9,'Compliance Database'!$D96&amp;" "&amp;'Compliance Database'!$K96&amp;" "&amp;'Compliance Database'!$L96&amp;" "&amp;'Compliance Database'!$M96&amp;" "&amp;'Compliance Database'!$N96)))),1,0)</f>
        <v/>
      </c>
      <c r="B96">
        <f>IF($A96=1,SUM($A$2:$A96),"")</f>
        <v/>
      </c>
      <c r="C96">
        <f>IF($A96=1,SUM($A$2:$A96),0)</f>
        <v/>
      </c>
    </row>
    <row r="97">
      <c r="A97">
        <f>IF(AND(OR(Query!$B$4="All",'Compliance Database'!$A97=Query!$B$4),OR(Query!$B$5="All",ISNUMBER(SEARCH(Query!$B$5,'Compliance Database'!$H97))),OR(Query!$B$6="All",ISNUMBER(SEARCH(Query!$B$6,'Compliance Database'!$I97))),OR(Query!$B$7="All",'Compliance Database'!$F97=Query!$B$7),OR(Query!$B$8="All",'Compliance Database'!$J97=Query!$B$8),OR(Query!$B$9="",ISNUMBER(SEARCH(Query!$B$9,'Compliance Database'!$D97&amp;" "&amp;'Compliance Database'!$K97&amp;" "&amp;'Compliance Database'!$L97&amp;" "&amp;'Compliance Database'!$M97&amp;" "&amp;'Compliance Database'!$N97)))),1,0)</f>
        <v/>
      </c>
      <c r="B97">
        <f>IF($A97=1,SUM($A$2:$A97),"")</f>
        <v/>
      </c>
      <c r="C97">
        <f>IF($A97=1,SUM($A$2:$A97),0)</f>
        <v/>
      </c>
    </row>
    <row r="98">
      <c r="A98">
        <f>IF(AND(OR(Query!$B$4="All",'Compliance Database'!$A98=Query!$B$4),OR(Query!$B$5="All",ISNUMBER(SEARCH(Query!$B$5,'Compliance Database'!$H98))),OR(Query!$B$6="All",ISNUMBER(SEARCH(Query!$B$6,'Compliance Database'!$I98))),OR(Query!$B$7="All",'Compliance Database'!$F98=Query!$B$7),OR(Query!$B$8="All",'Compliance Database'!$J98=Query!$B$8),OR(Query!$B$9="",ISNUMBER(SEARCH(Query!$B$9,'Compliance Database'!$D98&amp;" "&amp;'Compliance Database'!$K98&amp;" "&amp;'Compliance Database'!$L98&amp;" "&amp;'Compliance Database'!$M98&amp;" "&amp;'Compliance Database'!$N98)))),1,0)</f>
        <v/>
      </c>
      <c r="B98">
        <f>IF($A98=1,SUM($A$2:$A98),"")</f>
        <v/>
      </c>
      <c r="C98">
        <f>IF($A98=1,SUM($A$2:$A98),0)</f>
        <v/>
      </c>
    </row>
    <row r="99">
      <c r="A99">
        <f>IF(AND(OR(Query!$B$4="All",'Compliance Database'!$A99=Query!$B$4),OR(Query!$B$5="All",ISNUMBER(SEARCH(Query!$B$5,'Compliance Database'!$H99))),OR(Query!$B$6="All",ISNUMBER(SEARCH(Query!$B$6,'Compliance Database'!$I99))),OR(Query!$B$7="All",'Compliance Database'!$F99=Query!$B$7),OR(Query!$B$8="All",'Compliance Database'!$J99=Query!$B$8),OR(Query!$B$9="",ISNUMBER(SEARCH(Query!$B$9,'Compliance Database'!$D99&amp;" "&amp;'Compliance Database'!$K99&amp;" "&amp;'Compliance Database'!$L99&amp;" "&amp;'Compliance Database'!$M99&amp;" "&amp;'Compliance Database'!$N99)))),1,0)</f>
        <v/>
      </c>
      <c r="B99">
        <f>IF($A99=1,SUM($A$2:$A99),"")</f>
        <v/>
      </c>
      <c r="C99">
        <f>IF($A99=1,SUM($A$2:$A99),0)</f>
        <v/>
      </c>
    </row>
    <row r="100">
      <c r="A100">
        <f>IF(AND(OR(Query!$B$4="All",'Compliance Database'!$A100=Query!$B$4),OR(Query!$B$5="All",ISNUMBER(SEARCH(Query!$B$5,'Compliance Database'!$H100))),OR(Query!$B$6="All",ISNUMBER(SEARCH(Query!$B$6,'Compliance Database'!$I100))),OR(Query!$B$7="All",'Compliance Database'!$F100=Query!$B$7),OR(Query!$B$8="All",'Compliance Database'!$J100=Query!$B$8),OR(Query!$B$9="",ISNUMBER(SEARCH(Query!$B$9,'Compliance Database'!$D100&amp;" "&amp;'Compliance Database'!$K100&amp;" "&amp;'Compliance Database'!$L100&amp;" "&amp;'Compliance Database'!$M100&amp;" "&amp;'Compliance Database'!$N100)))),1,0)</f>
        <v/>
      </c>
      <c r="B100">
        <f>IF($A100=1,SUM($A$2:$A100),"")</f>
        <v/>
      </c>
      <c r="C100">
        <f>IF($A100=1,SUM($A$2:$A100),0)</f>
        <v/>
      </c>
    </row>
    <row r="101">
      <c r="A101">
        <f>IF(AND(OR(Query!$B$4="All",'Compliance Database'!$A101=Query!$B$4),OR(Query!$B$5="All",ISNUMBER(SEARCH(Query!$B$5,'Compliance Database'!$H101))),OR(Query!$B$6="All",ISNUMBER(SEARCH(Query!$B$6,'Compliance Database'!$I101))),OR(Query!$B$7="All",'Compliance Database'!$F101=Query!$B$7),OR(Query!$B$8="All",'Compliance Database'!$J101=Query!$B$8),OR(Query!$B$9="",ISNUMBER(SEARCH(Query!$B$9,'Compliance Database'!$D101&amp;" "&amp;'Compliance Database'!$K101&amp;" "&amp;'Compliance Database'!$L101&amp;" "&amp;'Compliance Database'!$M101&amp;" "&amp;'Compliance Database'!$N101)))),1,0)</f>
        <v/>
      </c>
      <c r="B101">
        <f>IF($A101=1,SUM($A$2:$A101),"")</f>
        <v/>
      </c>
      <c r="C101">
        <f>IF($A101=1,SUM($A$2:$A101),0)</f>
        <v/>
      </c>
    </row>
    <row r="102">
      <c r="A102">
        <f>IF(AND(OR(Query!$B$4="All",'Compliance Database'!$A102=Query!$B$4),OR(Query!$B$5="All",ISNUMBER(SEARCH(Query!$B$5,'Compliance Database'!$H102))),OR(Query!$B$6="All",ISNUMBER(SEARCH(Query!$B$6,'Compliance Database'!$I102))),OR(Query!$B$7="All",'Compliance Database'!$F102=Query!$B$7),OR(Query!$B$8="All",'Compliance Database'!$J102=Query!$B$8),OR(Query!$B$9="",ISNUMBER(SEARCH(Query!$B$9,'Compliance Database'!$D102&amp;" "&amp;'Compliance Database'!$K102&amp;" "&amp;'Compliance Database'!$L102&amp;" "&amp;'Compliance Database'!$M102&amp;" "&amp;'Compliance Database'!$N102)))),1,0)</f>
        <v/>
      </c>
      <c r="B102">
        <f>IF($A102=1,SUM($A$2:$A102),"")</f>
        <v/>
      </c>
      <c r="C102">
        <f>IF($A102=1,SUM($A$2:$A102),0)</f>
        <v/>
      </c>
    </row>
    <row r="103">
      <c r="A103">
        <f>IF(AND(OR(Query!$B$4="All",'Compliance Database'!$A103=Query!$B$4),OR(Query!$B$5="All",ISNUMBER(SEARCH(Query!$B$5,'Compliance Database'!$H103))),OR(Query!$B$6="All",ISNUMBER(SEARCH(Query!$B$6,'Compliance Database'!$I103))),OR(Query!$B$7="All",'Compliance Database'!$F103=Query!$B$7),OR(Query!$B$8="All",'Compliance Database'!$J103=Query!$B$8),OR(Query!$B$9="",ISNUMBER(SEARCH(Query!$B$9,'Compliance Database'!$D103&amp;" "&amp;'Compliance Database'!$K103&amp;" "&amp;'Compliance Database'!$L103&amp;" "&amp;'Compliance Database'!$M103&amp;" "&amp;'Compliance Database'!$N103)))),1,0)</f>
        <v/>
      </c>
      <c r="B103">
        <f>IF($A103=1,SUM($A$2:$A103),"")</f>
        <v/>
      </c>
      <c r="C103">
        <f>IF($A103=1,SUM($A$2:$A103),0)</f>
        <v/>
      </c>
    </row>
    <row r="104">
      <c r="A104">
        <f>IF(AND(OR(Query!$B$4="All",'Compliance Database'!$A104=Query!$B$4),OR(Query!$B$5="All",ISNUMBER(SEARCH(Query!$B$5,'Compliance Database'!$H104))),OR(Query!$B$6="All",ISNUMBER(SEARCH(Query!$B$6,'Compliance Database'!$I104))),OR(Query!$B$7="All",'Compliance Database'!$F104=Query!$B$7),OR(Query!$B$8="All",'Compliance Database'!$J104=Query!$B$8),OR(Query!$B$9="",ISNUMBER(SEARCH(Query!$B$9,'Compliance Database'!$D104&amp;" "&amp;'Compliance Database'!$K104&amp;" "&amp;'Compliance Database'!$L104&amp;" "&amp;'Compliance Database'!$M104&amp;" "&amp;'Compliance Database'!$N104)))),1,0)</f>
        <v/>
      </c>
      <c r="B104">
        <f>IF($A104=1,SUM($A$2:$A104),"")</f>
        <v/>
      </c>
      <c r="C104">
        <f>IF($A104=1,SUM($A$2:$A104),0)</f>
        <v/>
      </c>
    </row>
    <row r="105">
      <c r="A105">
        <f>IF(AND(OR(Query!$B$4="All",'Compliance Database'!$A105=Query!$B$4),OR(Query!$B$5="All",ISNUMBER(SEARCH(Query!$B$5,'Compliance Database'!$H105))),OR(Query!$B$6="All",ISNUMBER(SEARCH(Query!$B$6,'Compliance Database'!$I105))),OR(Query!$B$7="All",'Compliance Database'!$F105=Query!$B$7),OR(Query!$B$8="All",'Compliance Database'!$J105=Query!$B$8),OR(Query!$B$9="",ISNUMBER(SEARCH(Query!$B$9,'Compliance Database'!$D105&amp;" "&amp;'Compliance Database'!$K105&amp;" "&amp;'Compliance Database'!$L105&amp;" "&amp;'Compliance Database'!$M105&amp;" "&amp;'Compliance Database'!$N105)))),1,0)</f>
        <v/>
      </c>
      <c r="B105">
        <f>IF($A105=1,SUM($A$2:$A105),"")</f>
        <v/>
      </c>
      <c r="C105">
        <f>IF($A105=1,SUM($A$2:$A105),0)</f>
        <v/>
      </c>
    </row>
    <row r="106">
      <c r="A106">
        <f>IF(AND(OR(Query!$B$4="All",'Compliance Database'!$A106=Query!$B$4),OR(Query!$B$5="All",ISNUMBER(SEARCH(Query!$B$5,'Compliance Database'!$H106))),OR(Query!$B$6="All",ISNUMBER(SEARCH(Query!$B$6,'Compliance Database'!$I106))),OR(Query!$B$7="All",'Compliance Database'!$F106=Query!$B$7),OR(Query!$B$8="All",'Compliance Database'!$J106=Query!$B$8),OR(Query!$B$9="",ISNUMBER(SEARCH(Query!$B$9,'Compliance Database'!$D106&amp;" "&amp;'Compliance Database'!$K106&amp;" "&amp;'Compliance Database'!$L106&amp;" "&amp;'Compliance Database'!$M106&amp;" "&amp;'Compliance Database'!$N106)))),1,0)</f>
        <v/>
      </c>
      <c r="B106">
        <f>IF($A106=1,SUM($A$2:$A106),"")</f>
        <v/>
      </c>
      <c r="C106">
        <f>IF($A106=1,SUM($A$2:$A106),0)</f>
        <v/>
      </c>
    </row>
    <row r="107">
      <c r="A107">
        <f>IF(AND(OR(Query!$B$4="All",'Compliance Database'!$A107=Query!$B$4),OR(Query!$B$5="All",ISNUMBER(SEARCH(Query!$B$5,'Compliance Database'!$H107))),OR(Query!$B$6="All",ISNUMBER(SEARCH(Query!$B$6,'Compliance Database'!$I107))),OR(Query!$B$7="All",'Compliance Database'!$F107=Query!$B$7),OR(Query!$B$8="All",'Compliance Database'!$J107=Query!$B$8),OR(Query!$B$9="",ISNUMBER(SEARCH(Query!$B$9,'Compliance Database'!$D107&amp;" "&amp;'Compliance Database'!$K107&amp;" "&amp;'Compliance Database'!$L107&amp;" "&amp;'Compliance Database'!$M107&amp;" "&amp;'Compliance Database'!$N107)))),1,0)</f>
        <v/>
      </c>
      <c r="B107">
        <f>IF($A107=1,SUM($A$2:$A107),"")</f>
        <v/>
      </c>
      <c r="C107">
        <f>IF($A107=1,SUM($A$2:$A107),0)</f>
        <v/>
      </c>
    </row>
    <row r="108">
      <c r="A108">
        <f>IF(AND(OR(Query!$B$4="All",'Compliance Database'!$A108=Query!$B$4),OR(Query!$B$5="All",ISNUMBER(SEARCH(Query!$B$5,'Compliance Database'!$H108))),OR(Query!$B$6="All",ISNUMBER(SEARCH(Query!$B$6,'Compliance Database'!$I108))),OR(Query!$B$7="All",'Compliance Database'!$F108=Query!$B$7),OR(Query!$B$8="All",'Compliance Database'!$J108=Query!$B$8),OR(Query!$B$9="",ISNUMBER(SEARCH(Query!$B$9,'Compliance Database'!$D108&amp;" "&amp;'Compliance Database'!$K108&amp;" "&amp;'Compliance Database'!$L108&amp;" "&amp;'Compliance Database'!$M108&amp;" "&amp;'Compliance Database'!$N108)))),1,0)</f>
        <v/>
      </c>
      <c r="B108">
        <f>IF($A108=1,SUM($A$2:$A108),"")</f>
        <v/>
      </c>
      <c r="C108">
        <f>IF($A108=1,SUM($A$2:$A108),0)</f>
        <v/>
      </c>
    </row>
    <row r="109">
      <c r="A109">
        <f>IF(AND(OR(Query!$B$4="All",'Compliance Database'!$A109=Query!$B$4),OR(Query!$B$5="All",ISNUMBER(SEARCH(Query!$B$5,'Compliance Database'!$H109))),OR(Query!$B$6="All",ISNUMBER(SEARCH(Query!$B$6,'Compliance Database'!$I109))),OR(Query!$B$7="All",'Compliance Database'!$F109=Query!$B$7),OR(Query!$B$8="All",'Compliance Database'!$J109=Query!$B$8),OR(Query!$B$9="",ISNUMBER(SEARCH(Query!$B$9,'Compliance Database'!$D109&amp;" "&amp;'Compliance Database'!$K109&amp;" "&amp;'Compliance Database'!$L109&amp;" "&amp;'Compliance Database'!$M109&amp;" "&amp;'Compliance Database'!$N109)))),1,0)</f>
        <v/>
      </c>
      <c r="B109">
        <f>IF($A109=1,SUM($A$2:$A109),"")</f>
        <v/>
      </c>
      <c r="C109">
        <f>IF($A109=1,SUM($A$2:$A109),0)</f>
        <v/>
      </c>
    </row>
    <row r="110">
      <c r="A110">
        <f>IF(AND(OR(Query!$B$4="All",'Compliance Database'!$A110=Query!$B$4),OR(Query!$B$5="All",ISNUMBER(SEARCH(Query!$B$5,'Compliance Database'!$H110))),OR(Query!$B$6="All",ISNUMBER(SEARCH(Query!$B$6,'Compliance Database'!$I110))),OR(Query!$B$7="All",'Compliance Database'!$F110=Query!$B$7),OR(Query!$B$8="All",'Compliance Database'!$J110=Query!$B$8),OR(Query!$B$9="",ISNUMBER(SEARCH(Query!$B$9,'Compliance Database'!$D110&amp;" "&amp;'Compliance Database'!$K110&amp;" "&amp;'Compliance Database'!$L110&amp;" "&amp;'Compliance Database'!$M110&amp;" "&amp;'Compliance Database'!$N110)))),1,0)</f>
        <v/>
      </c>
      <c r="B110">
        <f>IF($A110=1,SUM($A$2:$A110),"")</f>
        <v/>
      </c>
      <c r="C110">
        <f>IF($A110=1,SUM($A$2:$A110),0)</f>
        <v/>
      </c>
    </row>
    <row r="111">
      <c r="A111">
        <f>IF(AND(OR(Query!$B$4="All",'Compliance Database'!$A111=Query!$B$4),OR(Query!$B$5="All",ISNUMBER(SEARCH(Query!$B$5,'Compliance Database'!$H111))),OR(Query!$B$6="All",ISNUMBER(SEARCH(Query!$B$6,'Compliance Database'!$I111))),OR(Query!$B$7="All",'Compliance Database'!$F111=Query!$B$7),OR(Query!$B$8="All",'Compliance Database'!$J111=Query!$B$8),OR(Query!$B$9="",ISNUMBER(SEARCH(Query!$B$9,'Compliance Database'!$D111&amp;" "&amp;'Compliance Database'!$K111&amp;" "&amp;'Compliance Database'!$L111&amp;" "&amp;'Compliance Database'!$M111&amp;" "&amp;'Compliance Database'!$N111)))),1,0)</f>
        <v/>
      </c>
      <c r="B111">
        <f>IF($A111=1,SUM($A$2:$A111),"")</f>
        <v/>
      </c>
      <c r="C111">
        <f>IF($A111=1,SUM($A$2:$A111),0)</f>
        <v/>
      </c>
    </row>
    <row r="112">
      <c r="A112">
        <f>IF(AND(OR(Query!$B$4="All",'Compliance Database'!$A112=Query!$B$4),OR(Query!$B$5="All",ISNUMBER(SEARCH(Query!$B$5,'Compliance Database'!$H112))),OR(Query!$B$6="All",ISNUMBER(SEARCH(Query!$B$6,'Compliance Database'!$I112))),OR(Query!$B$7="All",'Compliance Database'!$F112=Query!$B$7),OR(Query!$B$8="All",'Compliance Database'!$J112=Query!$B$8),OR(Query!$B$9="",ISNUMBER(SEARCH(Query!$B$9,'Compliance Database'!$D112&amp;" "&amp;'Compliance Database'!$K112&amp;" "&amp;'Compliance Database'!$L112&amp;" "&amp;'Compliance Database'!$M112&amp;" "&amp;'Compliance Database'!$N112)))),1,0)</f>
        <v/>
      </c>
      <c r="B112">
        <f>IF($A112=1,SUM($A$2:$A112),"")</f>
        <v/>
      </c>
      <c r="C112">
        <f>IF($A112=1,SUM($A$2:$A112),0)</f>
        <v/>
      </c>
    </row>
    <row r="113">
      <c r="A113">
        <f>IF(AND(OR(Query!$B$4="All",'Compliance Database'!$A113=Query!$B$4),OR(Query!$B$5="All",ISNUMBER(SEARCH(Query!$B$5,'Compliance Database'!$H113))),OR(Query!$B$6="All",ISNUMBER(SEARCH(Query!$B$6,'Compliance Database'!$I113))),OR(Query!$B$7="All",'Compliance Database'!$F113=Query!$B$7),OR(Query!$B$8="All",'Compliance Database'!$J113=Query!$B$8),OR(Query!$B$9="",ISNUMBER(SEARCH(Query!$B$9,'Compliance Database'!$D113&amp;" "&amp;'Compliance Database'!$K113&amp;" "&amp;'Compliance Database'!$L113&amp;" "&amp;'Compliance Database'!$M113&amp;" "&amp;'Compliance Database'!$N113)))),1,0)</f>
        <v/>
      </c>
      <c r="B113">
        <f>IF($A113=1,SUM($A$2:$A113),"")</f>
        <v/>
      </c>
      <c r="C113">
        <f>IF($A113=1,SUM($A$2:$A113),0)</f>
        <v/>
      </c>
    </row>
    <row r="114">
      <c r="A114">
        <f>IF(AND(OR(Query!$B$4="All",'Compliance Database'!$A114=Query!$B$4),OR(Query!$B$5="All",ISNUMBER(SEARCH(Query!$B$5,'Compliance Database'!$H114))),OR(Query!$B$6="All",ISNUMBER(SEARCH(Query!$B$6,'Compliance Database'!$I114))),OR(Query!$B$7="All",'Compliance Database'!$F114=Query!$B$7),OR(Query!$B$8="All",'Compliance Database'!$J114=Query!$B$8),OR(Query!$B$9="",ISNUMBER(SEARCH(Query!$B$9,'Compliance Database'!$D114&amp;" "&amp;'Compliance Database'!$K114&amp;" "&amp;'Compliance Database'!$L114&amp;" "&amp;'Compliance Database'!$M114&amp;" "&amp;'Compliance Database'!$N114)))),1,0)</f>
        <v/>
      </c>
      <c r="B114">
        <f>IF($A114=1,SUM($A$2:$A114),"")</f>
        <v/>
      </c>
      <c r="C114">
        <f>IF($A114=1,SUM($A$2:$A114),0)</f>
        <v/>
      </c>
    </row>
    <row r="115">
      <c r="A115">
        <f>IF(AND(OR(Query!$B$4="All",'Compliance Database'!$A115=Query!$B$4),OR(Query!$B$5="All",ISNUMBER(SEARCH(Query!$B$5,'Compliance Database'!$H115))),OR(Query!$B$6="All",ISNUMBER(SEARCH(Query!$B$6,'Compliance Database'!$I115))),OR(Query!$B$7="All",'Compliance Database'!$F115=Query!$B$7),OR(Query!$B$8="All",'Compliance Database'!$J115=Query!$B$8),OR(Query!$B$9="",ISNUMBER(SEARCH(Query!$B$9,'Compliance Database'!$D115&amp;" "&amp;'Compliance Database'!$K115&amp;" "&amp;'Compliance Database'!$L115&amp;" "&amp;'Compliance Database'!$M115&amp;" "&amp;'Compliance Database'!$N115)))),1,0)</f>
        <v/>
      </c>
      <c r="B115">
        <f>IF($A115=1,SUM($A$2:$A115),"")</f>
        <v/>
      </c>
      <c r="C115">
        <f>IF($A115=1,SUM($A$2:$A115),0)</f>
        <v/>
      </c>
    </row>
    <row r="116">
      <c r="A116">
        <f>IF(AND(OR(Query!$B$4="All",'Compliance Database'!$A116=Query!$B$4),OR(Query!$B$5="All",ISNUMBER(SEARCH(Query!$B$5,'Compliance Database'!$H116))),OR(Query!$B$6="All",ISNUMBER(SEARCH(Query!$B$6,'Compliance Database'!$I116))),OR(Query!$B$7="All",'Compliance Database'!$F116=Query!$B$7),OR(Query!$B$8="All",'Compliance Database'!$J116=Query!$B$8),OR(Query!$B$9="",ISNUMBER(SEARCH(Query!$B$9,'Compliance Database'!$D116&amp;" "&amp;'Compliance Database'!$K116&amp;" "&amp;'Compliance Database'!$L116&amp;" "&amp;'Compliance Database'!$M116&amp;" "&amp;'Compliance Database'!$N116)))),1,0)</f>
        <v/>
      </c>
      <c r="B116">
        <f>IF($A116=1,SUM($A$2:$A116),"")</f>
        <v/>
      </c>
      <c r="C116">
        <f>IF($A116=1,SUM($A$2:$A116),0)</f>
        <v/>
      </c>
    </row>
    <row r="117">
      <c r="A117">
        <f>IF(AND(OR(Query!$B$4="All",'Compliance Database'!$A117=Query!$B$4),OR(Query!$B$5="All",ISNUMBER(SEARCH(Query!$B$5,'Compliance Database'!$H117))),OR(Query!$B$6="All",ISNUMBER(SEARCH(Query!$B$6,'Compliance Database'!$I117))),OR(Query!$B$7="All",'Compliance Database'!$F117=Query!$B$7),OR(Query!$B$8="All",'Compliance Database'!$J117=Query!$B$8),OR(Query!$B$9="",ISNUMBER(SEARCH(Query!$B$9,'Compliance Database'!$D117&amp;" "&amp;'Compliance Database'!$K117&amp;" "&amp;'Compliance Database'!$L117&amp;" "&amp;'Compliance Database'!$M117&amp;" "&amp;'Compliance Database'!$N117)))),1,0)</f>
        <v/>
      </c>
      <c r="B117">
        <f>IF($A117=1,SUM($A$2:$A117),"")</f>
        <v/>
      </c>
      <c r="C117">
        <f>IF($A117=1,SUM($A$2:$A117),0)</f>
        <v/>
      </c>
    </row>
    <row r="118">
      <c r="A118">
        <f>IF(AND(OR(Query!$B$4="All",'Compliance Database'!$A118=Query!$B$4),OR(Query!$B$5="All",ISNUMBER(SEARCH(Query!$B$5,'Compliance Database'!$H118))),OR(Query!$B$6="All",ISNUMBER(SEARCH(Query!$B$6,'Compliance Database'!$I118))),OR(Query!$B$7="All",'Compliance Database'!$F118=Query!$B$7),OR(Query!$B$8="All",'Compliance Database'!$J118=Query!$B$8),OR(Query!$B$9="",ISNUMBER(SEARCH(Query!$B$9,'Compliance Database'!$D118&amp;" "&amp;'Compliance Database'!$K118&amp;" "&amp;'Compliance Database'!$L118&amp;" "&amp;'Compliance Database'!$M118&amp;" "&amp;'Compliance Database'!$N118)))),1,0)</f>
        <v/>
      </c>
      <c r="B118">
        <f>IF($A118=1,SUM($A$2:$A118),"")</f>
        <v/>
      </c>
      <c r="C118">
        <f>IF($A118=1,SUM($A$2:$A118),0)</f>
        <v/>
      </c>
    </row>
    <row r="119">
      <c r="A119">
        <f>IF(AND(OR(Query!$B$4="All",'Compliance Database'!$A119=Query!$B$4),OR(Query!$B$5="All",ISNUMBER(SEARCH(Query!$B$5,'Compliance Database'!$H119))),OR(Query!$B$6="All",ISNUMBER(SEARCH(Query!$B$6,'Compliance Database'!$I119))),OR(Query!$B$7="All",'Compliance Database'!$F119=Query!$B$7),OR(Query!$B$8="All",'Compliance Database'!$J119=Query!$B$8),OR(Query!$B$9="",ISNUMBER(SEARCH(Query!$B$9,'Compliance Database'!$D119&amp;" "&amp;'Compliance Database'!$K119&amp;" "&amp;'Compliance Database'!$L119&amp;" "&amp;'Compliance Database'!$M119&amp;" "&amp;'Compliance Database'!$N119)))),1,0)</f>
        <v/>
      </c>
      <c r="B119">
        <f>IF($A119=1,SUM($A$2:$A119),"")</f>
        <v/>
      </c>
      <c r="C119">
        <f>IF($A119=1,SUM($A$2:$A119),0)</f>
        <v/>
      </c>
    </row>
    <row r="120">
      <c r="A120">
        <f>IF(AND(OR(Query!$B$4="All",'Compliance Database'!$A120=Query!$B$4),OR(Query!$B$5="All",ISNUMBER(SEARCH(Query!$B$5,'Compliance Database'!$H120))),OR(Query!$B$6="All",ISNUMBER(SEARCH(Query!$B$6,'Compliance Database'!$I120))),OR(Query!$B$7="All",'Compliance Database'!$F120=Query!$B$7),OR(Query!$B$8="All",'Compliance Database'!$J120=Query!$B$8),OR(Query!$B$9="",ISNUMBER(SEARCH(Query!$B$9,'Compliance Database'!$D120&amp;" "&amp;'Compliance Database'!$K120&amp;" "&amp;'Compliance Database'!$L120&amp;" "&amp;'Compliance Database'!$M120&amp;" "&amp;'Compliance Database'!$N120)))),1,0)</f>
        <v/>
      </c>
      <c r="B120">
        <f>IF($A120=1,SUM($A$2:$A120),"")</f>
        <v/>
      </c>
      <c r="C120">
        <f>IF($A120=1,SUM($A$2:$A120),0)</f>
        <v/>
      </c>
    </row>
    <row r="121">
      <c r="A121">
        <f>IF(AND(OR(Query!$B$4="All",'Compliance Database'!$A121=Query!$B$4),OR(Query!$B$5="All",ISNUMBER(SEARCH(Query!$B$5,'Compliance Database'!$H121))),OR(Query!$B$6="All",ISNUMBER(SEARCH(Query!$B$6,'Compliance Database'!$I121))),OR(Query!$B$7="All",'Compliance Database'!$F121=Query!$B$7),OR(Query!$B$8="All",'Compliance Database'!$J121=Query!$B$8),OR(Query!$B$9="",ISNUMBER(SEARCH(Query!$B$9,'Compliance Database'!$D121&amp;" "&amp;'Compliance Database'!$K121&amp;" "&amp;'Compliance Database'!$L121&amp;" "&amp;'Compliance Database'!$M121&amp;" "&amp;'Compliance Database'!$N121)))),1,0)</f>
        <v/>
      </c>
      <c r="B121">
        <f>IF($A121=1,SUM($A$2:$A121),"")</f>
        <v/>
      </c>
      <c r="C121">
        <f>IF($A121=1,SUM($A$2:$A121),0)</f>
        <v/>
      </c>
    </row>
    <row r="122">
      <c r="A122">
        <f>IF(AND(OR(Query!$B$4="All",'Compliance Database'!$A122=Query!$B$4),OR(Query!$B$5="All",ISNUMBER(SEARCH(Query!$B$5,'Compliance Database'!$H122))),OR(Query!$B$6="All",ISNUMBER(SEARCH(Query!$B$6,'Compliance Database'!$I122))),OR(Query!$B$7="All",'Compliance Database'!$F122=Query!$B$7),OR(Query!$B$8="All",'Compliance Database'!$J122=Query!$B$8),OR(Query!$B$9="",ISNUMBER(SEARCH(Query!$B$9,'Compliance Database'!$D122&amp;" "&amp;'Compliance Database'!$K122&amp;" "&amp;'Compliance Database'!$L122&amp;" "&amp;'Compliance Database'!$M122&amp;" "&amp;'Compliance Database'!$N122)))),1,0)</f>
        <v/>
      </c>
      <c r="B122">
        <f>IF($A122=1,SUM($A$2:$A122),"")</f>
        <v/>
      </c>
      <c r="C122">
        <f>IF($A122=1,SUM($A$2:$A122),0)</f>
        <v/>
      </c>
    </row>
    <row r="123">
      <c r="A123">
        <f>IF(AND(OR(Query!$B$4="All",'Compliance Database'!$A123=Query!$B$4),OR(Query!$B$5="All",ISNUMBER(SEARCH(Query!$B$5,'Compliance Database'!$H123))),OR(Query!$B$6="All",ISNUMBER(SEARCH(Query!$B$6,'Compliance Database'!$I123))),OR(Query!$B$7="All",'Compliance Database'!$F123=Query!$B$7),OR(Query!$B$8="All",'Compliance Database'!$J123=Query!$B$8),OR(Query!$B$9="",ISNUMBER(SEARCH(Query!$B$9,'Compliance Database'!$D123&amp;" "&amp;'Compliance Database'!$K123&amp;" "&amp;'Compliance Database'!$L123&amp;" "&amp;'Compliance Database'!$M123&amp;" "&amp;'Compliance Database'!$N123)))),1,0)</f>
        <v/>
      </c>
      <c r="B123">
        <f>IF($A123=1,SUM($A$2:$A123),"")</f>
        <v/>
      </c>
      <c r="C123">
        <f>IF($A123=1,SUM($A$2:$A123),0)</f>
        <v/>
      </c>
    </row>
    <row r="124">
      <c r="A124">
        <f>IF(AND(OR(Query!$B$4="All",'Compliance Database'!$A124=Query!$B$4),OR(Query!$B$5="All",ISNUMBER(SEARCH(Query!$B$5,'Compliance Database'!$H124))),OR(Query!$B$6="All",ISNUMBER(SEARCH(Query!$B$6,'Compliance Database'!$I124))),OR(Query!$B$7="All",'Compliance Database'!$F124=Query!$B$7),OR(Query!$B$8="All",'Compliance Database'!$J124=Query!$B$8),OR(Query!$B$9="",ISNUMBER(SEARCH(Query!$B$9,'Compliance Database'!$D124&amp;" "&amp;'Compliance Database'!$K124&amp;" "&amp;'Compliance Database'!$L124&amp;" "&amp;'Compliance Database'!$M124&amp;" "&amp;'Compliance Database'!$N124)))),1,0)</f>
        <v/>
      </c>
      <c r="B124">
        <f>IF($A124=1,SUM($A$2:$A124),"")</f>
        <v/>
      </c>
      <c r="C124">
        <f>IF($A124=1,SUM($A$2:$A124),0)</f>
        <v/>
      </c>
    </row>
    <row r="125">
      <c r="A125">
        <f>IF(AND(OR(Query!$B$4="All",'Compliance Database'!$A125=Query!$B$4),OR(Query!$B$5="All",ISNUMBER(SEARCH(Query!$B$5,'Compliance Database'!$H125))),OR(Query!$B$6="All",ISNUMBER(SEARCH(Query!$B$6,'Compliance Database'!$I125))),OR(Query!$B$7="All",'Compliance Database'!$F125=Query!$B$7),OR(Query!$B$8="All",'Compliance Database'!$J125=Query!$B$8),OR(Query!$B$9="",ISNUMBER(SEARCH(Query!$B$9,'Compliance Database'!$D125&amp;" "&amp;'Compliance Database'!$K125&amp;" "&amp;'Compliance Database'!$L125&amp;" "&amp;'Compliance Database'!$M125&amp;" "&amp;'Compliance Database'!$N125)))),1,0)</f>
        <v/>
      </c>
      <c r="B125">
        <f>IF($A125=1,SUM($A$2:$A125),"")</f>
        <v/>
      </c>
      <c r="C125">
        <f>IF($A125=1,SUM($A$2:$A125),0)</f>
        <v/>
      </c>
    </row>
    <row r="126">
      <c r="A126">
        <f>IF(AND(OR(Query!$B$4="All",'Compliance Database'!$A126=Query!$B$4),OR(Query!$B$5="All",ISNUMBER(SEARCH(Query!$B$5,'Compliance Database'!$H126))),OR(Query!$B$6="All",ISNUMBER(SEARCH(Query!$B$6,'Compliance Database'!$I126))),OR(Query!$B$7="All",'Compliance Database'!$F126=Query!$B$7),OR(Query!$B$8="All",'Compliance Database'!$J126=Query!$B$8),OR(Query!$B$9="",ISNUMBER(SEARCH(Query!$B$9,'Compliance Database'!$D126&amp;" "&amp;'Compliance Database'!$K126&amp;" "&amp;'Compliance Database'!$L126&amp;" "&amp;'Compliance Database'!$M126&amp;" "&amp;'Compliance Database'!$N126)))),1,0)</f>
        <v/>
      </c>
      <c r="B126">
        <f>IF($A126=1,SUM($A$2:$A126),"")</f>
        <v/>
      </c>
      <c r="C126">
        <f>IF($A126=1,SUM($A$2:$A126),0)</f>
        <v/>
      </c>
    </row>
    <row r="127">
      <c r="A127">
        <f>IF(AND(OR(Query!$B$4="All",'Compliance Database'!$A127=Query!$B$4),OR(Query!$B$5="All",ISNUMBER(SEARCH(Query!$B$5,'Compliance Database'!$H127))),OR(Query!$B$6="All",ISNUMBER(SEARCH(Query!$B$6,'Compliance Database'!$I127))),OR(Query!$B$7="All",'Compliance Database'!$F127=Query!$B$7),OR(Query!$B$8="All",'Compliance Database'!$J127=Query!$B$8),OR(Query!$B$9="",ISNUMBER(SEARCH(Query!$B$9,'Compliance Database'!$D127&amp;" "&amp;'Compliance Database'!$K127&amp;" "&amp;'Compliance Database'!$L127&amp;" "&amp;'Compliance Database'!$M127&amp;" "&amp;'Compliance Database'!$N127)))),1,0)</f>
        <v/>
      </c>
      <c r="B127">
        <f>IF($A127=1,SUM($A$2:$A127),"")</f>
        <v/>
      </c>
      <c r="C127">
        <f>IF($A127=1,SUM($A$2:$A127),0)</f>
        <v/>
      </c>
    </row>
    <row r="128">
      <c r="A128">
        <f>IF(AND(OR(Query!$B$4="All",'Compliance Database'!$A128=Query!$B$4),OR(Query!$B$5="All",ISNUMBER(SEARCH(Query!$B$5,'Compliance Database'!$H128))),OR(Query!$B$6="All",ISNUMBER(SEARCH(Query!$B$6,'Compliance Database'!$I128))),OR(Query!$B$7="All",'Compliance Database'!$F128=Query!$B$7),OR(Query!$B$8="All",'Compliance Database'!$J128=Query!$B$8),OR(Query!$B$9="",ISNUMBER(SEARCH(Query!$B$9,'Compliance Database'!$D128&amp;" "&amp;'Compliance Database'!$K128&amp;" "&amp;'Compliance Database'!$L128&amp;" "&amp;'Compliance Database'!$M128&amp;" "&amp;'Compliance Database'!$N128)))),1,0)</f>
        <v/>
      </c>
      <c r="B128">
        <f>IF($A128=1,SUM($A$2:$A128),"")</f>
        <v/>
      </c>
      <c r="C128">
        <f>IF($A128=1,SUM($A$2:$A128),0)</f>
        <v/>
      </c>
    </row>
    <row r="129">
      <c r="A129">
        <f>IF(AND(OR(Query!$B$4="All",'Compliance Database'!$A129=Query!$B$4),OR(Query!$B$5="All",ISNUMBER(SEARCH(Query!$B$5,'Compliance Database'!$H129))),OR(Query!$B$6="All",ISNUMBER(SEARCH(Query!$B$6,'Compliance Database'!$I129))),OR(Query!$B$7="All",'Compliance Database'!$F129=Query!$B$7),OR(Query!$B$8="All",'Compliance Database'!$J129=Query!$B$8),OR(Query!$B$9="",ISNUMBER(SEARCH(Query!$B$9,'Compliance Database'!$D129&amp;" "&amp;'Compliance Database'!$K129&amp;" "&amp;'Compliance Database'!$L129&amp;" "&amp;'Compliance Database'!$M129&amp;" "&amp;'Compliance Database'!$N129)))),1,0)</f>
        <v/>
      </c>
      <c r="B129">
        <f>IF($A129=1,SUM($A$2:$A129),"")</f>
        <v/>
      </c>
      <c r="C129">
        <f>IF($A129=1,SUM($A$2:$A129),0)</f>
        <v/>
      </c>
    </row>
    <row r="130">
      <c r="A130">
        <f>IF(AND(OR(Query!$B$4="All",'Compliance Database'!$A130=Query!$B$4),OR(Query!$B$5="All",ISNUMBER(SEARCH(Query!$B$5,'Compliance Database'!$H130))),OR(Query!$B$6="All",ISNUMBER(SEARCH(Query!$B$6,'Compliance Database'!$I130))),OR(Query!$B$7="All",'Compliance Database'!$F130=Query!$B$7),OR(Query!$B$8="All",'Compliance Database'!$J130=Query!$B$8),OR(Query!$B$9="",ISNUMBER(SEARCH(Query!$B$9,'Compliance Database'!$D130&amp;" "&amp;'Compliance Database'!$K130&amp;" "&amp;'Compliance Database'!$L130&amp;" "&amp;'Compliance Database'!$M130&amp;" "&amp;'Compliance Database'!$N130)))),1,0)</f>
        <v/>
      </c>
      <c r="B130">
        <f>IF($A130=1,SUM($A$2:$A130),"")</f>
        <v/>
      </c>
      <c r="C130">
        <f>IF($A130=1,SUM($A$2:$A130),0)</f>
        <v/>
      </c>
    </row>
    <row r="131">
      <c r="A131">
        <f>IF(AND(OR(Query!$B$4="All",'Compliance Database'!$A131=Query!$B$4),OR(Query!$B$5="All",ISNUMBER(SEARCH(Query!$B$5,'Compliance Database'!$H131))),OR(Query!$B$6="All",ISNUMBER(SEARCH(Query!$B$6,'Compliance Database'!$I131))),OR(Query!$B$7="All",'Compliance Database'!$F131=Query!$B$7),OR(Query!$B$8="All",'Compliance Database'!$J131=Query!$B$8),OR(Query!$B$9="",ISNUMBER(SEARCH(Query!$B$9,'Compliance Database'!$D131&amp;" "&amp;'Compliance Database'!$K131&amp;" "&amp;'Compliance Database'!$L131&amp;" "&amp;'Compliance Database'!$M131&amp;" "&amp;'Compliance Database'!$N131)))),1,0)</f>
        <v/>
      </c>
      <c r="B131">
        <f>IF($A131=1,SUM($A$2:$A131),"")</f>
        <v/>
      </c>
      <c r="C131">
        <f>IF($A131=1,SUM($A$2:$A131),0)</f>
        <v/>
      </c>
    </row>
    <row r="132">
      <c r="A132">
        <f>IF(AND(OR(Query!$B$4="All",'Compliance Database'!$A132=Query!$B$4),OR(Query!$B$5="All",ISNUMBER(SEARCH(Query!$B$5,'Compliance Database'!$H132))),OR(Query!$B$6="All",ISNUMBER(SEARCH(Query!$B$6,'Compliance Database'!$I132))),OR(Query!$B$7="All",'Compliance Database'!$F132=Query!$B$7),OR(Query!$B$8="All",'Compliance Database'!$J132=Query!$B$8),OR(Query!$B$9="",ISNUMBER(SEARCH(Query!$B$9,'Compliance Database'!$D132&amp;" "&amp;'Compliance Database'!$K132&amp;" "&amp;'Compliance Database'!$L132&amp;" "&amp;'Compliance Database'!$M132&amp;" "&amp;'Compliance Database'!$N132)))),1,0)</f>
        <v/>
      </c>
      <c r="B132">
        <f>IF($A132=1,SUM($A$2:$A132),"")</f>
        <v/>
      </c>
      <c r="C132">
        <f>IF($A132=1,SUM($A$2:$A132),0)</f>
        <v/>
      </c>
    </row>
    <row r="133">
      <c r="A133">
        <f>IF(AND(OR(Query!$B$4="All",'Compliance Database'!$A133=Query!$B$4),OR(Query!$B$5="All",ISNUMBER(SEARCH(Query!$B$5,'Compliance Database'!$H133))),OR(Query!$B$6="All",ISNUMBER(SEARCH(Query!$B$6,'Compliance Database'!$I133))),OR(Query!$B$7="All",'Compliance Database'!$F133=Query!$B$7),OR(Query!$B$8="All",'Compliance Database'!$J133=Query!$B$8),OR(Query!$B$9="",ISNUMBER(SEARCH(Query!$B$9,'Compliance Database'!$D133&amp;" "&amp;'Compliance Database'!$K133&amp;" "&amp;'Compliance Database'!$L133&amp;" "&amp;'Compliance Database'!$M133&amp;" "&amp;'Compliance Database'!$N133)))),1,0)</f>
        <v/>
      </c>
      <c r="B133">
        <f>IF($A133=1,SUM($A$2:$A133),"")</f>
        <v/>
      </c>
      <c r="C133">
        <f>IF($A133=1,SUM($A$2:$A133),0)</f>
        <v/>
      </c>
    </row>
    <row r="134">
      <c r="A134">
        <f>IF(AND(OR(Query!$B$4="All",'Compliance Database'!$A134=Query!$B$4),OR(Query!$B$5="All",ISNUMBER(SEARCH(Query!$B$5,'Compliance Database'!$H134))),OR(Query!$B$6="All",ISNUMBER(SEARCH(Query!$B$6,'Compliance Database'!$I134))),OR(Query!$B$7="All",'Compliance Database'!$F134=Query!$B$7),OR(Query!$B$8="All",'Compliance Database'!$J134=Query!$B$8),OR(Query!$B$9="",ISNUMBER(SEARCH(Query!$B$9,'Compliance Database'!$D134&amp;" "&amp;'Compliance Database'!$K134&amp;" "&amp;'Compliance Database'!$L134&amp;" "&amp;'Compliance Database'!$M134&amp;" "&amp;'Compliance Database'!$N134)))),1,0)</f>
        <v/>
      </c>
      <c r="B134">
        <f>IF($A134=1,SUM($A$2:$A134),"")</f>
        <v/>
      </c>
      <c r="C134">
        <f>IF($A134=1,SUM($A$2:$A134),0)</f>
        <v/>
      </c>
    </row>
    <row r="135">
      <c r="A135">
        <f>IF(AND(OR(Query!$B$4="All",'Compliance Database'!$A135=Query!$B$4),OR(Query!$B$5="All",ISNUMBER(SEARCH(Query!$B$5,'Compliance Database'!$H135))),OR(Query!$B$6="All",ISNUMBER(SEARCH(Query!$B$6,'Compliance Database'!$I135))),OR(Query!$B$7="All",'Compliance Database'!$F135=Query!$B$7),OR(Query!$B$8="All",'Compliance Database'!$J135=Query!$B$8),OR(Query!$B$9="",ISNUMBER(SEARCH(Query!$B$9,'Compliance Database'!$D135&amp;" "&amp;'Compliance Database'!$K135&amp;" "&amp;'Compliance Database'!$L135&amp;" "&amp;'Compliance Database'!$M135&amp;" "&amp;'Compliance Database'!$N135)))),1,0)</f>
        <v/>
      </c>
      <c r="B135">
        <f>IF($A135=1,SUM($A$2:$A135),"")</f>
        <v/>
      </c>
      <c r="C135">
        <f>IF($A135=1,SUM($A$2:$A135),0)</f>
        <v/>
      </c>
    </row>
    <row r="136">
      <c r="A136">
        <f>IF(AND(OR(Query!$B$4="All",'Compliance Database'!$A136=Query!$B$4),OR(Query!$B$5="All",ISNUMBER(SEARCH(Query!$B$5,'Compliance Database'!$H136))),OR(Query!$B$6="All",ISNUMBER(SEARCH(Query!$B$6,'Compliance Database'!$I136))),OR(Query!$B$7="All",'Compliance Database'!$F136=Query!$B$7),OR(Query!$B$8="All",'Compliance Database'!$J136=Query!$B$8),OR(Query!$B$9="",ISNUMBER(SEARCH(Query!$B$9,'Compliance Database'!$D136&amp;" "&amp;'Compliance Database'!$K136&amp;" "&amp;'Compliance Database'!$L136&amp;" "&amp;'Compliance Database'!$M136&amp;" "&amp;'Compliance Database'!$N136)))),1,0)</f>
        <v/>
      </c>
      <c r="B136">
        <f>IF($A136=1,SUM($A$2:$A136),"")</f>
        <v/>
      </c>
      <c r="C136">
        <f>IF($A136=1,SUM($A$2:$A136),0)</f>
        <v/>
      </c>
    </row>
    <row r="137">
      <c r="A137">
        <f>IF(AND(OR(Query!$B$4="All",'Compliance Database'!$A137=Query!$B$4),OR(Query!$B$5="All",ISNUMBER(SEARCH(Query!$B$5,'Compliance Database'!$H137))),OR(Query!$B$6="All",ISNUMBER(SEARCH(Query!$B$6,'Compliance Database'!$I137))),OR(Query!$B$7="All",'Compliance Database'!$F137=Query!$B$7),OR(Query!$B$8="All",'Compliance Database'!$J137=Query!$B$8),OR(Query!$B$9="",ISNUMBER(SEARCH(Query!$B$9,'Compliance Database'!$D137&amp;" "&amp;'Compliance Database'!$K137&amp;" "&amp;'Compliance Database'!$L137&amp;" "&amp;'Compliance Database'!$M137&amp;" "&amp;'Compliance Database'!$N137)))),1,0)</f>
        <v/>
      </c>
      <c r="B137">
        <f>IF($A137=1,SUM($A$2:$A137),"")</f>
        <v/>
      </c>
      <c r="C137">
        <f>IF($A137=1,SUM($A$2:$A137),0)</f>
        <v/>
      </c>
    </row>
    <row r="138">
      <c r="A138">
        <f>IF(AND(OR(Query!$B$4="All",'Compliance Database'!$A138=Query!$B$4),OR(Query!$B$5="All",ISNUMBER(SEARCH(Query!$B$5,'Compliance Database'!$H138))),OR(Query!$B$6="All",ISNUMBER(SEARCH(Query!$B$6,'Compliance Database'!$I138))),OR(Query!$B$7="All",'Compliance Database'!$F138=Query!$B$7),OR(Query!$B$8="All",'Compliance Database'!$J138=Query!$B$8),OR(Query!$B$9="",ISNUMBER(SEARCH(Query!$B$9,'Compliance Database'!$D138&amp;" "&amp;'Compliance Database'!$K138&amp;" "&amp;'Compliance Database'!$L138&amp;" "&amp;'Compliance Database'!$M138&amp;" "&amp;'Compliance Database'!$N138)))),1,0)</f>
        <v/>
      </c>
      <c r="B138">
        <f>IF($A138=1,SUM($A$2:$A138),"")</f>
        <v/>
      </c>
      <c r="C138">
        <f>IF($A138=1,SUM($A$2:$A138),0)</f>
        <v/>
      </c>
    </row>
    <row r="139">
      <c r="A139">
        <f>IF(AND(OR(Query!$B$4="All",'Compliance Database'!$A139=Query!$B$4),OR(Query!$B$5="All",ISNUMBER(SEARCH(Query!$B$5,'Compliance Database'!$H139))),OR(Query!$B$6="All",ISNUMBER(SEARCH(Query!$B$6,'Compliance Database'!$I139))),OR(Query!$B$7="All",'Compliance Database'!$F139=Query!$B$7),OR(Query!$B$8="All",'Compliance Database'!$J139=Query!$B$8),OR(Query!$B$9="",ISNUMBER(SEARCH(Query!$B$9,'Compliance Database'!$D139&amp;" "&amp;'Compliance Database'!$K139&amp;" "&amp;'Compliance Database'!$L139&amp;" "&amp;'Compliance Database'!$M139&amp;" "&amp;'Compliance Database'!$N139)))),1,0)</f>
        <v/>
      </c>
      <c r="B139">
        <f>IF($A139=1,SUM($A$2:$A139),"")</f>
        <v/>
      </c>
      <c r="C139">
        <f>IF($A139=1,SUM($A$2:$A139),0)</f>
        <v/>
      </c>
    </row>
    <row r="140">
      <c r="A140">
        <f>IF(AND(OR(Query!$B$4="All",'Compliance Database'!$A140=Query!$B$4),OR(Query!$B$5="All",ISNUMBER(SEARCH(Query!$B$5,'Compliance Database'!$H140))),OR(Query!$B$6="All",ISNUMBER(SEARCH(Query!$B$6,'Compliance Database'!$I140))),OR(Query!$B$7="All",'Compliance Database'!$F140=Query!$B$7),OR(Query!$B$8="All",'Compliance Database'!$J140=Query!$B$8),OR(Query!$B$9="",ISNUMBER(SEARCH(Query!$B$9,'Compliance Database'!$D140&amp;" "&amp;'Compliance Database'!$K140&amp;" "&amp;'Compliance Database'!$L140&amp;" "&amp;'Compliance Database'!$M140&amp;" "&amp;'Compliance Database'!$N140)))),1,0)</f>
        <v/>
      </c>
      <c r="B140">
        <f>IF($A140=1,SUM($A$2:$A140),"")</f>
        <v/>
      </c>
      <c r="C140">
        <f>IF($A140=1,SUM($A$2:$A140),0)</f>
        <v/>
      </c>
    </row>
    <row r="141">
      <c r="A141">
        <f>IF(AND(OR(Query!$B$4="All",'Compliance Database'!$A141=Query!$B$4),OR(Query!$B$5="All",ISNUMBER(SEARCH(Query!$B$5,'Compliance Database'!$H141))),OR(Query!$B$6="All",ISNUMBER(SEARCH(Query!$B$6,'Compliance Database'!$I141))),OR(Query!$B$7="All",'Compliance Database'!$F141=Query!$B$7),OR(Query!$B$8="All",'Compliance Database'!$J141=Query!$B$8),OR(Query!$B$9="",ISNUMBER(SEARCH(Query!$B$9,'Compliance Database'!$D141&amp;" "&amp;'Compliance Database'!$K141&amp;" "&amp;'Compliance Database'!$L141&amp;" "&amp;'Compliance Database'!$M141&amp;" "&amp;'Compliance Database'!$N141)))),1,0)</f>
        <v/>
      </c>
      <c r="B141">
        <f>IF($A141=1,SUM($A$2:$A141),"")</f>
        <v/>
      </c>
      <c r="C141">
        <f>IF($A141=1,SUM($A$2:$A141),0)</f>
        <v/>
      </c>
    </row>
    <row r="142">
      <c r="A142">
        <f>IF(AND(OR(Query!$B$4="All",'Compliance Database'!$A142=Query!$B$4),OR(Query!$B$5="All",ISNUMBER(SEARCH(Query!$B$5,'Compliance Database'!$H142))),OR(Query!$B$6="All",ISNUMBER(SEARCH(Query!$B$6,'Compliance Database'!$I142))),OR(Query!$B$7="All",'Compliance Database'!$F142=Query!$B$7),OR(Query!$B$8="All",'Compliance Database'!$J142=Query!$B$8),OR(Query!$B$9="",ISNUMBER(SEARCH(Query!$B$9,'Compliance Database'!$D142&amp;" "&amp;'Compliance Database'!$K142&amp;" "&amp;'Compliance Database'!$L142&amp;" "&amp;'Compliance Database'!$M142&amp;" "&amp;'Compliance Database'!$N142)))),1,0)</f>
        <v/>
      </c>
      <c r="B142">
        <f>IF($A142=1,SUM($A$2:$A142),"")</f>
        <v/>
      </c>
      <c r="C142">
        <f>IF($A142=1,SUM($A$2:$A142),0)</f>
        <v/>
      </c>
    </row>
    <row r="143">
      <c r="A143">
        <f>IF(AND(OR(Query!$B$4="All",'Compliance Database'!$A143=Query!$B$4),OR(Query!$B$5="All",ISNUMBER(SEARCH(Query!$B$5,'Compliance Database'!$H143))),OR(Query!$B$6="All",ISNUMBER(SEARCH(Query!$B$6,'Compliance Database'!$I143))),OR(Query!$B$7="All",'Compliance Database'!$F143=Query!$B$7),OR(Query!$B$8="All",'Compliance Database'!$J143=Query!$B$8),OR(Query!$B$9="",ISNUMBER(SEARCH(Query!$B$9,'Compliance Database'!$D143&amp;" "&amp;'Compliance Database'!$K143&amp;" "&amp;'Compliance Database'!$L143&amp;" "&amp;'Compliance Database'!$M143&amp;" "&amp;'Compliance Database'!$N143)))),1,0)</f>
        <v/>
      </c>
      <c r="B143">
        <f>IF($A143=1,SUM($A$2:$A143),"")</f>
        <v/>
      </c>
      <c r="C143">
        <f>IF($A143=1,SUM($A$2:$A143),0)</f>
        <v/>
      </c>
    </row>
    <row r="144">
      <c r="A144">
        <f>IF(AND(OR(Query!$B$4="All",'Compliance Database'!$A144=Query!$B$4),OR(Query!$B$5="All",ISNUMBER(SEARCH(Query!$B$5,'Compliance Database'!$H144))),OR(Query!$B$6="All",ISNUMBER(SEARCH(Query!$B$6,'Compliance Database'!$I144))),OR(Query!$B$7="All",'Compliance Database'!$F144=Query!$B$7),OR(Query!$B$8="All",'Compliance Database'!$J144=Query!$B$8),OR(Query!$B$9="",ISNUMBER(SEARCH(Query!$B$9,'Compliance Database'!$D144&amp;" "&amp;'Compliance Database'!$K144&amp;" "&amp;'Compliance Database'!$L144&amp;" "&amp;'Compliance Database'!$M144&amp;" "&amp;'Compliance Database'!$N144)))),1,0)</f>
        <v/>
      </c>
      <c r="B144">
        <f>IF($A144=1,SUM($A$2:$A144),"")</f>
        <v/>
      </c>
      <c r="C144">
        <f>IF($A144=1,SUM($A$2:$A144),0)</f>
        <v/>
      </c>
    </row>
    <row r="145">
      <c r="A145">
        <f>IF(AND(OR(Query!$B$4="All",'Compliance Database'!$A145=Query!$B$4),OR(Query!$B$5="All",ISNUMBER(SEARCH(Query!$B$5,'Compliance Database'!$H145))),OR(Query!$B$6="All",ISNUMBER(SEARCH(Query!$B$6,'Compliance Database'!$I145))),OR(Query!$B$7="All",'Compliance Database'!$F145=Query!$B$7),OR(Query!$B$8="All",'Compliance Database'!$J145=Query!$B$8),OR(Query!$B$9="",ISNUMBER(SEARCH(Query!$B$9,'Compliance Database'!$D145&amp;" "&amp;'Compliance Database'!$K145&amp;" "&amp;'Compliance Database'!$L145&amp;" "&amp;'Compliance Database'!$M145&amp;" "&amp;'Compliance Database'!$N145)))),1,0)</f>
        <v/>
      </c>
      <c r="B145">
        <f>IF($A145=1,SUM($A$2:$A145),"")</f>
        <v/>
      </c>
      <c r="C145">
        <f>IF($A145=1,SUM($A$2:$A145),0)</f>
        <v/>
      </c>
    </row>
    <row r="146">
      <c r="A146">
        <f>IF(AND(OR(Query!$B$4="All",'Compliance Database'!$A146=Query!$B$4),OR(Query!$B$5="All",ISNUMBER(SEARCH(Query!$B$5,'Compliance Database'!$H146))),OR(Query!$B$6="All",ISNUMBER(SEARCH(Query!$B$6,'Compliance Database'!$I146))),OR(Query!$B$7="All",'Compliance Database'!$F146=Query!$B$7),OR(Query!$B$8="All",'Compliance Database'!$J146=Query!$B$8),OR(Query!$B$9="",ISNUMBER(SEARCH(Query!$B$9,'Compliance Database'!$D146&amp;" "&amp;'Compliance Database'!$K146&amp;" "&amp;'Compliance Database'!$L146&amp;" "&amp;'Compliance Database'!$M146&amp;" "&amp;'Compliance Database'!$N146)))),1,0)</f>
        <v/>
      </c>
      <c r="B146">
        <f>IF($A146=1,SUM($A$2:$A146),"")</f>
        <v/>
      </c>
      <c r="C146">
        <f>IF($A146=1,SUM($A$2:$A146),0)</f>
        <v/>
      </c>
    </row>
    <row r="147">
      <c r="A147">
        <f>IF(AND(OR(Query!$B$4="All",'Compliance Database'!$A147=Query!$B$4),OR(Query!$B$5="All",ISNUMBER(SEARCH(Query!$B$5,'Compliance Database'!$H147))),OR(Query!$B$6="All",ISNUMBER(SEARCH(Query!$B$6,'Compliance Database'!$I147))),OR(Query!$B$7="All",'Compliance Database'!$F147=Query!$B$7),OR(Query!$B$8="All",'Compliance Database'!$J147=Query!$B$8),OR(Query!$B$9="",ISNUMBER(SEARCH(Query!$B$9,'Compliance Database'!$D147&amp;" "&amp;'Compliance Database'!$K147&amp;" "&amp;'Compliance Database'!$L147&amp;" "&amp;'Compliance Database'!$M147&amp;" "&amp;'Compliance Database'!$N147)))),1,0)</f>
        <v/>
      </c>
      <c r="B147">
        <f>IF($A147=1,SUM($A$2:$A147),"")</f>
        <v/>
      </c>
      <c r="C147">
        <f>IF($A147=1,SUM($A$2:$A147),0)</f>
        <v/>
      </c>
    </row>
    <row r="148">
      <c r="A148">
        <f>IF(AND(OR(Query!$B$4="All",'Compliance Database'!$A148=Query!$B$4),OR(Query!$B$5="All",ISNUMBER(SEARCH(Query!$B$5,'Compliance Database'!$H148))),OR(Query!$B$6="All",ISNUMBER(SEARCH(Query!$B$6,'Compliance Database'!$I148))),OR(Query!$B$7="All",'Compliance Database'!$F148=Query!$B$7),OR(Query!$B$8="All",'Compliance Database'!$J148=Query!$B$8),OR(Query!$B$9="",ISNUMBER(SEARCH(Query!$B$9,'Compliance Database'!$D148&amp;" "&amp;'Compliance Database'!$K148&amp;" "&amp;'Compliance Database'!$L148&amp;" "&amp;'Compliance Database'!$M148&amp;" "&amp;'Compliance Database'!$N148)))),1,0)</f>
        <v/>
      </c>
      <c r="B148">
        <f>IF($A148=1,SUM($A$2:$A148),"")</f>
        <v/>
      </c>
      <c r="C148">
        <f>IF($A148=1,SUM($A$2:$A148),0)</f>
        <v/>
      </c>
    </row>
    <row r="149">
      <c r="A149">
        <f>IF(AND(OR(Query!$B$4="All",'Compliance Database'!$A149=Query!$B$4),OR(Query!$B$5="All",ISNUMBER(SEARCH(Query!$B$5,'Compliance Database'!$H149))),OR(Query!$B$6="All",ISNUMBER(SEARCH(Query!$B$6,'Compliance Database'!$I149))),OR(Query!$B$7="All",'Compliance Database'!$F149=Query!$B$7),OR(Query!$B$8="All",'Compliance Database'!$J149=Query!$B$8),OR(Query!$B$9="",ISNUMBER(SEARCH(Query!$B$9,'Compliance Database'!$D149&amp;" "&amp;'Compliance Database'!$K149&amp;" "&amp;'Compliance Database'!$L149&amp;" "&amp;'Compliance Database'!$M149&amp;" "&amp;'Compliance Database'!$N149)))),1,0)</f>
        <v/>
      </c>
      <c r="B149">
        <f>IF($A149=1,SUM($A$2:$A149),"")</f>
        <v/>
      </c>
      <c r="C149">
        <f>IF($A149=1,SUM($A$2:$A149),0)</f>
        <v/>
      </c>
    </row>
    <row r="150">
      <c r="A150">
        <f>IF(AND(OR(Query!$B$4="All",'Compliance Database'!$A150=Query!$B$4),OR(Query!$B$5="All",ISNUMBER(SEARCH(Query!$B$5,'Compliance Database'!$H150))),OR(Query!$B$6="All",ISNUMBER(SEARCH(Query!$B$6,'Compliance Database'!$I150))),OR(Query!$B$7="All",'Compliance Database'!$F150=Query!$B$7),OR(Query!$B$8="All",'Compliance Database'!$J150=Query!$B$8),OR(Query!$B$9="",ISNUMBER(SEARCH(Query!$B$9,'Compliance Database'!$D150&amp;" "&amp;'Compliance Database'!$K150&amp;" "&amp;'Compliance Database'!$L150&amp;" "&amp;'Compliance Database'!$M150&amp;" "&amp;'Compliance Database'!$N150)))),1,0)</f>
        <v/>
      </c>
      <c r="B150">
        <f>IF($A150=1,SUM($A$2:$A150),"")</f>
        <v/>
      </c>
      <c r="C150">
        <f>IF($A150=1,SUM($A$2:$A150),0)</f>
        <v/>
      </c>
    </row>
    <row r="151">
      <c r="A151">
        <f>IF(AND(OR(Query!$B$4="All",'Compliance Database'!$A151=Query!$B$4),OR(Query!$B$5="All",ISNUMBER(SEARCH(Query!$B$5,'Compliance Database'!$H151))),OR(Query!$B$6="All",ISNUMBER(SEARCH(Query!$B$6,'Compliance Database'!$I151))),OR(Query!$B$7="All",'Compliance Database'!$F151=Query!$B$7),OR(Query!$B$8="All",'Compliance Database'!$J151=Query!$B$8),OR(Query!$B$9="",ISNUMBER(SEARCH(Query!$B$9,'Compliance Database'!$D151&amp;" "&amp;'Compliance Database'!$K151&amp;" "&amp;'Compliance Database'!$L151&amp;" "&amp;'Compliance Database'!$M151&amp;" "&amp;'Compliance Database'!$N151)))),1,0)</f>
        <v/>
      </c>
      <c r="B151">
        <f>IF($A151=1,SUM($A$2:$A151),"")</f>
        <v/>
      </c>
      <c r="C151">
        <f>IF($A151=1,SUM($A$2:$A151),0)</f>
        <v/>
      </c>
    </row>
    <row r="152">
      <c r="A152">
        <f>IF(AND(OR(Query!$B$4="All",'Compliance Database'!$A152=Query!$B$4),OR(Query!$B$5="All",ISNUMBER(SEARCH(Query!$B$5,'Compliance Database'!$H152))),OR(Query!$B$6="All",ISNUMBER(SEARCH(Query!$B$6,'Compliance Database'!$I152))),OR(Query!$B$7="All",'Compliance Database'!$F152=Query!$B$7),OR(Query!$B$8="All",'Compliance Database'!$J152=Query!$B$8),OR(Query!$B$9="",ISNUMBER(SEARCH(Query!$B$9,'Compliance Database'!$D152&amp;" "&amp;'Compliance Database'!$K152&amp;" "&amp;'Compliance Database'!$L152&amp;" "&amp;'Compliance Database'!$M152&amp;" "&amp;'Compliance Database'!$N152)))),1,0)</f>
        <v/>
      </c>
      <c r="B152">
        <f>IF($A152=1,SUM($A$2:$A152),"")</f>
        <v/>
      </c>
      <c r="C152">
        <f>IF($A152=1,SUM($A$2:$A152),0)</f>
        <v/>
      </c>
    </row>
    <row r="153">
      <c r="A153">
        <f>IF(AND(OR(Query!$B$4="All",'Compliance Database'!$A153=Query!$B$4),OR(Query!$B$5="All",ISNUMBER(SEARCH(Query!$B$5,'Compliance Database'!$H153))),OR(Query!$B$6="All",ISNUMBER(SEARCH(Query!$B$6,'Compliance Database'!$I153))),OR(Query!$B$7="All",'Compliance Database'!$F153=Query!$B$7),OR(Query!$B$8="All",'Compliance Database'!$J153=Query!$B$8),OR(Query!$B$9="",ISNUMBER(SEARCH(Query!$B$9,'Compliance Database'!$D153&amp;" "&amp;'Compliance Database'!$K153&amp;" "&amp;'Compliance Database'!$L153&amp;" "&amp;'Compliance Database'!$M153&amp;" "&amp;'Compliance Database'!$N153)))),1,0)</f>
        <v/>
      </c>
      <c r="B153">
        <f>IF($A153=1,SUM($A$2:$A153),"")</f>
        <v/>
      </c>
      <c r="C153">
        <f>IF($A153=1,SUM($A$2:$A153),0)</f>
        <v/>
      </c>
    </row>
    <row r="154">
      <c r="A154">
        <f>IF(AND(OR(Query!$B$4="All",'Compliance Database'!$A154=Query!$B$4),OR(Query!$B$5="All",ISNUMBER(SEARCH(Query!$B$5,'Compliance Database'!$H154))),OR(Query!$B$6="All",ISNUMBER(SEARCH(Query!$B$6,'Compliance Database'!$I154))),OR(Query!$B$7="All",'Compliance Database'!$F154=Query!$B$7),OR(Query!$B$8="All",'Compliance Database'!$J154=Query!$B$8),OR(Query!$B$9="",ISNUMBER(SEARCH(Query!$B$9,'Compliance Database'!$D154&amp;" "&amp;'Compliance Database'!$K154&amp;" "&amp;'Compliance Database'!$L154&amp;" "&amp;'Compliance Database'!$M154&amp;" "&amp;'Compliance Database'!$N154)))),1,0)</f>
        <v/>
      </c>
      <c r="B154">
        <f>IF($A154=1,SUM($A$2:$A154),"")</f>
        <v/>
      </c>
      <c r="C154">
        <f>IF($A154=1,SUM($A$2:$A154),0)</f>
        <v/>
      </c>
    </row>
    <row r="155">
      <c r="A155">
        <f>IF(AND(OR(Query!$B$4="All",'Compliance Database'!$A155=Query!$B$4),OR(Query!$B$5="All",ISNUMBER(SEARCH(Query!$B$5,'Compliance Database'!$H155))),OR(Query!$B$6="All",ISNUMBER(SEARCH(Query!$B$6,'Compliance Database'!$I155))),OR(Query!$B$7="All",'Compliance Database'!$F155=Query!$B$7),OR(Query!$B$8="All",'Compliance Database'!$J155=Query!$B$8),OR(Query!$B$9="",ISNUMBER(SEARCH(Query!$B$9,'Compliance Database'!$D155&amp;" "&amp;'Compliance Database'!$K155&amp;" "&amp;'Compliance Database'!$L155&amp;" "&amp;'Compliance Database'!$M155&amp;" "&amp;'Compliance Database'!$N155)))),1,0)</f>
        <v/>
      </c>
      <c r="B155">
        <f>IF($A155=1,SUM($A$2:$A155),"")</f>
        <v/>
      </c>
      <c r="C155">
        <f>IF($A155=1,SUM($A$2:$A155),0)</f>
        <v/>
      </c>
    </row>
    <row r="156">
      <c r="A156">
        <f>IF(AND(OR(Query!$B$4="All",'Compliance Database'!$A156=Query!$B$4),OR(Query!$B$5="All",ISNUMBER(SEARCH(Query!$B$5,'Compliance Database'!$H156))),OR(Query!$B$6="All",ISNUMBER(SEARCH(Query!$B$6,'Compliance Database'!$I156))),OR(Query!$B$7="All",'Compliance Database'!$F156=Query!$B$7),OR(Query!$B$8="All",'Compliance Database'!$J156=Query!$B$8),OR(Query!$B$9="",ISNUMBER(SEARCH(Query!$B$9,'Compliance Database'!$D156&amp;" "&amp;'Compliance Database'!$K156&amp;" "&amp;'Compliance Database'!$L156&amp;" "&amp;'Compliance Database'!$M156&amp;" "&amp;'Compliance Database'!$N156)))),1,0)</f>
        <v/>
      </c>
      <c r="B156">
        <f>IF($A156=1,SUM($A$2:$A156),"")</f>
        <v/>
      </c>
      <c r="C156">
        <f>IF($A156=1,SUM($A$2:$A156),0)</f>
        <v/>
      </c>
    </row>
    <row r="157">
      <c r="A157">
        <f>IF(AND(OR(Query!$B$4="All",'Compliance Database'!$A157=Query!$B$4),OR(Query!$B$5="All",ISNUMBER(SEARCH(Query!$B$5,'Compliance Database'!$H157))),OR(Query!$B$6="All",ISNUMBER(SEARCH(Query!$B$6,'Compliance Database'!$I157))),OR(Query!$B$7="All",'Compliance Database'!$F157=Query!$B$7),OR(Query!$B$8="All",'Compliance Database'!$J157=Query!$B$8),OR(Query!$B$9="",ISNUMBER(SEARCH(Query!$B$9,'Compliance Database'!$D157&amp;" "&amp;'Compliance Database'!$K157&amp;" "&amp;'Compliance Database'!$L157&amp;" "&amp;'Compliance Database'!$M157&amp;" "&amp;'Compliance Database'!$N157)))),1,0)</f>
        <v/>
      </c>
      <c r="B157">
        <f>IF($A157=1,SUM($A$2:$A157),"")</f>
        <v/>
      </c>
      <c r="C157">
        <f>IF($A157=1,SUM($A$2:$A157),0)</f>
        <v/>
      </c>
    </row>
    <row r="158">
      <c r="A158">
        <f>IF(AND(OR(Query!$B$4="All",'Compliance Database'!$A158=Query!$B$4),OR(Query!$B$5="All",ISNUMBER(SEARCH(Query!$B$5,'Compliance Database'!$H158))),OR(Query!$B$6="All",ISNUMBER(SEARCH(Query!$B$6,'Compliance Database'!$I158))),OR(Query!$B$7="All",'Compliance Database'!$F158=Query!$B$7),OR(Query!$B$8="All",'Compliance Database'!$J158=Query!$B$8),OR(Query!$B$9="",ISNUMBER(SEARCH(Query!$B$9,'Compliance Database'!$D158&amp;" "&amp;'Compliance Database'!$K158&amp;" "&amp;'Compliance Database'!$L158&amp;" "&amp;'Compliance Database'!$M158&amp;" "&amp;'Compliance Database'!$N158)))),1,0)</f>
        <v/>
      </c>
      <c r="B158">
        <f>IF($A158=1,SUM($A$2:$A158),"")</f>
        <v/>
      </c>
      <c r="C158">
        <f>IF($A158=1,SUM($A$2:$A158),0)</f>
        <v/>
      </c>
    </row>
    <row r="159">
      <c r="A159">
        <f>IF(AND(OR(Query!$B$4="All",'Compliance Database'!$A159=Query!$B$4),OR(Query!$B$5="All",ISNUMBER(SEARCH(Query!$B$5,'Compliance Database'!$H159))),OR(Query!$B$6="All",ISNUMBER(SEARCH(Query!$B$6,'Compliance Database'!$I159))),OR(Query!$B$7="All",'Compliance Database'!$F159=Query!$B$7),OR(Query!$B$8="All",'Compliance Database'!$J159=Query!$B$8),OR(Query!$B$9="",ISNUMBER(SEARCH(Query!$B$9,'Compliance Database'!$D159&amp;" "&amp;'Compliance Database'!$K159&amp;" "&amp;'Compliance Database'!$L159&amp;" "&amp;'Compliance Database'!$M159&amp;" "&amp;'Compliance Database'!$N159)))),1,0)</f>
        <v/>
      </c>
      <c r="B159">
        <f>IF($A159=1,SUM($A$2:$A159),"")</f>
        <v/>
      </c>
      <c r="C159">
        <f>IF($A159=1,SUM($A$2:$A159),0)</f>
        <v/>
      </c>
    </row>
    <row r="160">
      <c r="A160">
        <f>IF(AND(OR(Query!$B$4="All",'Compliance Database'!$A160=Query!$B$4),OR(Query!$B$5="All",ISNUMBER(SEARCH(Query!$B$5,'Compliance Database'!$H160))),OR(Query!$B$6="All",ISNUMBER(SEARCH(Query!$B$6,'Compliance Database'!$I160))),OR(Query!$B$7="All",'Compliance Database'!$F160=Query!$B$7),OR(Query!$B$8="All",'Compliance Database'!$J160=Query!$B$8),OR(Query!$B$9="",ISNUMBER(SEARCH(Query!$B$9,'Compliance Database'!$D160&amp;" "&amp;'Compliance Database'!$K160&amp;" "&amp;'Compliance Database'!$L160&amp;" "&amp;'Compliance Database'!$M160&amp;" "&amp;'Compliance Database'!$N160)))),1,0)</f>
        <v/>
      </c>
      <c r="B160">
        <f>IF($A160=1,SUM($A$2:$A160),"")</f>
        <v/>
      </c>
      <c r="C160">
        <f>IF($A160=1,SUM($A$2:$A160),0)</f>
        <v/>
      </c>
    </row>
    <row r="161">
      <c r="A161">
        <f>IF(AND(OR(Query!$B$4="All",'Compliance Database'!$A161=Query!$B$4),OR(Query!$B$5="All",ISNUMBER(SEARCH(Query!$B$5,'Compliance Database'!$H161))),OR(Query!$B$6="All",ISNUMBER(SEARCH(Query!$B$6,'Compliance Database'!$I161))),OR(Query!$B$7="All",'Compliance Database'!$F161=Query!$B$7),OR(Query!$B$8="All",'Compliance Database'!$J161=Query!$B$8),OR(Query!$B$9="",ISNUMBER(SEARCH(Query!$B$9,'Compliance Database'!$D161&amp;" "&amp;'Compliance Database'!$K161&amp;" "&amp;'Compliance Database'!$L161&amp;" "&amp;'Compliance Database'!$M161&amp;" "&amp;'Compliance Database'!$N161)))),1,0)</f>
        <v/>
      </c>
      <c r="B161">
        <f>IF($A161=1,SUM($A$2:$A161),"")</f>
        <v/>
      </c>
      <c r="C161">
        <f>IF($A161=1,SUM($A$2:$A161),0)</f>
        <v/>
      </c>
    </row>
    <row r="162">
      <c r="A162">
        <f>IF(AND(OR(Query!$B$4="All",'Compliance Database'!$A162=Query!$B$4),OR(Query!$B$5="All",ISNUMBER(SEARCH(Query!$B$5,'Compliance Database'!$H162))),OR(Query!$B$6="All",ISNUMBER(SEARCH(Query!$B$6,'Compliance Database'!$I162))),OR(Query!$B$7="All",'Compliance Database'!$F162=Query!$B$7),OR(Query!$B$8="All",'Compliance Database'!$J162=Query!$B$8),OR(Query!$B$9="",ISNUMBER(SEARCH(Query!$B$9,'Compliance Database'!$D162&amp;" "&amp;'Compliance Database'!$K162&amp;" "&amp;'Compliance Database'!$L162&amp;" "&amp;'Compliance Database'!$M162&amp;" "&amp;'Compliance Database'!$N162)))),1,0)</f>
        <v/>
      </c>
      <c r="B162">
        <f>IF($A162=1,SUM($A$2:$A162),"")</f>
        <v/>
      </c>
      <c r="C162">
        <f>IF($A162=1,SUM($A$2:$A162),0)</f>
        <v/>
      </c>
    </row>
    <row r="163">
      <c r="A163">
        <f>IF(AND(OR(Query!$B$4="All",'Compliance Database'!$A163=Query!$B$4),OR(Query!$B$5="All",ISNUMBER(SEARCH(Query!$B$5,'Compliance Database'!$H163))),OR(Query!$B$6="All",ISNUMBER(SEARCH(Query!$B$6,'Compliance Database'!$I163))),OR(Query!$B$7="All",'Compliance Database'!$F163=Query!$B$7),OR(Query!$B$8="All",'Compliance Database'!$J163=Query!$B$8),OR(Query!$B$9="",ISNUMBER(SEARCH(Query!$B$9,'Compliance Database'!$D163&amp;" "&amp;'Compliance Database'!$K163&amp;" "&amp;'Compliance Database'!$L163&amp;" "&amp;'Compliance Database'!$M163&amp;" "&amp;'Compliance Database'!$N163)))),1,0)</f>
        <v/>
      </c>
      <c r="B163">
        <f>IF($A163=1,SUM($A$2:$A163),"")</f>
        <v/>
      </c>
      <c r="C163">
        <f>IF($A163=1,SUM($A$2:$A163),0)</f>
        <v/>
      </c>
    </row>
    <row r="164">
      <c r="A164">
        <f>IF(AND(OR(Query!$B$4="All",'Compliance Database'!$A164=Query!$B$4),OR(Query!$B$5="All",ISNUMBER(SEARCH(Query!$B$5,'Compliance Database'!$H164))),OR(Query!$B$6="All",ISNUMBER(SEARCH(Query!$B$6,'Compliance Database'!$I164))),OR(Query!$B$7="All",'Compliance Database'!$F164=Query!$B$7),OR(Query!$B$8="All",'Compliance Database'!$J164=Query!$B$8),OR(Query!$B$9="",ISNUMBER(SEARCH(Query!$B$9,'Compliance Database'!$D164&amp;" "&amp;'Compliance Database'!$K164&amp;" "&amp;'Compliance Database'!$L164&amp;" "&amp;'Compliance Database'!$M164&amp;" "&amp;'Compliance Database'!$N164)))),1,0)</f>
        <v/>
      </c>
      <c r="B164">
        <f>IF($A164=1,SUM($A$2:$A164),"")</f>
        <v/>
      </c>
      <c r="C164">
        <f>IF($A164=1,SUM($A$2:$A164),0)</f>
        <v/>
      </c>
    </row>
    <row r="165">
      <c r="A165">
        <f>IF(AND(OR(Query!$B$4="All",'Compliance Database'!$A165=Query!$B$4),OR(Query!$B$5="All",ISNUMBER(SEARCH(Query!$B$5,'Compliance Database'!$H165))),OR(Query!$B$6="All",ISNUMBER(SEARCH(Query!$B$6,'Compliance Database'!$I165))),OR(Query!$B$7="All",'Compliance Database'!$F165=Query!$B$7),OR(Query!$B$8="All",'Compliance Database'!$J165=Query!$B$8),OR(Query!$B$9="",ISNUMBER(SEARCH(Query!$B$9,'Compliance Database'!$D165&amp;" "&amp;'Compliance Database'!$K165&amp;" "&amp;'Compliance Database'!$L165&amp;" "&amp;'Compliance Database'!$M165&amp;" "&amp;'Compliance Database'!$N165)))),1,0)</f>
        <v/>
      </c>
      <c r="B165">
        <f>IF($A165=1,SUM($A$2:$A165),"")</f>
        <v/>
      </c>
      <c r="C165">
        <f>IF($A165=1,SUM($A$2:$A165),0)</f>
        <v/>
      </c>
    </row>
    <row r="166">
      <c r="A166">
        <f>IF(AND(OR(Query!$B$4="All",'Compliance Database'!$A166=Query!$B$4),OR(Query!$B$5="All",ISNUMBER(SEARCH(Query!$B$5,'Compliance Database'!$H166))),OR(Query!$B$6="All",ISNUMBER(SEARCH(Query!$B$6,'Compliance Database'!$I166))),OR(Query!$B$7="All",'Compliance Database'!$F166=Query!$B$7),OR(Query!$B$8="All",'Compliance Database'!$J166=Query!$B$8),OR(Query!$B$9="",ISNUMBER(SEARCH(Query!$B$9,'Compliance Database'!$D166&amp;" "&amp;'Compliance Database'!$K166&amp;" "&amp;'Compliance Database'!$L166&amp;" "&amp;'Compliance Database'!$M166&amp;" "&amp;'Compliance Database'!$N166)))),1,0)</f>
        <v/>
      </c>
      <c r="B166">
        <f>IF($A166=1,SUM($A$2:$A166),"")</f>
        <v/>
      </c>
      <c r="C166">
        <f>IF($A166=1,SUM($A$2:$A166),0)</f>
        <v/>
      </c>
    </row>
    <row r="167">
      <c r="A167">
        <f>IF(AND(OR(Query!$B$4="All",'Compliance Database'!$A167=Query!$B$4),OR(Query!$B$5="All",ISNUMBER(SEARCH(Query!$B$5,'Compliance Database'!$H167))),OR(Query!$B$6="All",ISNUMBER(SEARCH(Query!$B$6,'Compliance Database'!$I167))),OR(Query!$B$7="All",'Compliance Database'!$F167=Query!$B$7),OR(Query!$B$8="All",'Compliance Database'!$J167=Query!$B$8),OR(Query!$B$9="",ISNUMBER(SEARCH(Query!$B$9,'Compliance Database'!$D167&amp;" "&amp;'Compliance Database'!$K167&amp;" "&amp;'Compliance Database'!$L167&amp;" "&amp;'Compliance Database'!$M167&amp;" "&amp;'Compliance Database'!$N167)))),1,0)</f>
        <v/>
      </c>
      <c r="B167">
        <f>IF($A167=1,SUM($A$2:$A167),"")</f>
        <v/>
      </c>
      <c r="C167">
        <f>IF($A167=1,SUM($A$2:$A167),0)</f>
        <v/>
      </c>
    </row>
    <row r="168">
      <c r="A168">
        <f>IF(AND(OR(Query!$B$4="All",'Compliance Database'!$A168=Query!$B$4),OR(Query!$B$5="All",ISNUMBER(SEARCH(Query!$B$5,'Compliance Database'!$H168))),OR(Query!$B$6="All",ISNUMBER(SEARCH(Query!$B$6,'Compliance Database'!$I168))),OR(Query!$B$7="All",'Compliance Database'!$F168=Query!$B$7),OR(Query!$B$8="All",'Compliance Database'!$J168=Query!$B$8),OR(Query!$B$9="",ISNUMBER(SEARCH(Query!$B$9,'Compliance Database'!$D168&amp;" "&amp;'Compliance Database'!$K168&amp;" "&amp;'Compliance Database'!$L168&amp;" "&amp;'Compliance Database'!$M168&amp;" "&amp;'Compliance Database'!$N168)))),1,0)</f>
        <v/>
      </c>
      <c r="B168">
        <f>IF($A168=1,SUM($A$2:$A168),"")</f>
        <v/>
      </c>
      <c r="C168">
        <f>IF($A168=1,SUM($A$2:$A168),0)</f>
        <v/>
      </c>
    </row>
    <row r="169">
      <c r="A169">
        <f>IF(AND(OR(Query!$B$4="All",'Compliance Database'!$A169=Query!$B$4),OR(Query!$B$5="All",ISNUMBER(SEARCH(Query!$B$5,'Compliance Database'!$H169))),OR(Query!$B$6="All",ISNUMBER(SEARCH(Query!$B$6,'Compliance Database'!$I169))),OR(Query!$B$7="All",'Compliance Database'!$F169=Query!$B$7),OR(Query!$B$8="All",'Compliance Database'!$J169=Query!$B$8),OR(Query!$B$9="",ISNUMBER(SEARCH(Query!$B$9,'Compliance Database'!$D169&amp;" "&amp;'Compliance Database'!$K169&amp;" "&amp;'Compliance Database'!$L169&amp;" "&amp;'Compliance Database'!$M169&amp;" "&amp;'Compliance Database'!$N169)))),1,0)</f>
        <v/>
      </c>
      <c r="B169">
        <f>IF($A169=1,SUM($A$2:$A169),"")</f>
        <v/>
      </c>
      <c r="C169">
        <f>IF($A169=1,SUM($A$2:$A169),0)</f>
        <v/>
      </c>
    </row>
    <row r="170">
      <c r="A170">
        <f>IF(AND(OR(Query!$B$4="All",'Compliance Database'!$A170=Query!$B$4),OR(Query!$B$5="All",ISNUMBER(SEARCH(Query!$B$5,'Compliance Database'!$H170))),OR(Query!$B$6="All",ISNUMBER(SEARCH(Query!$B$6,'Compliance Database'!$I170))),OR(Query!$B$7="All",'Compliance Database'!$F170=Query!$B$7),OR(Query!$B$8="All",'Compliance Database'!$J170=Query!$B$8),OR(Query!$B$9="",ISNUMBER(SEARCH(Query!$B$9,'Compliance Database'!$D170&amp;" "&amp;'Compliance Database'!$K170&amp;" "&amp;'Compliance Database'!$L170&amp;" "&amp;'Compliance Database'!$M170&amp;" "&amp;'Compliance Database'!$N170)))),1,0)</f>
        <v/>
      </c>
      <c r="B170">
        <f>IF($A170=1,SUM($A$2:$A170),"")</f>
        <v/>
      </c>
      <c r="C170">
        <f>IF($A170=1,SUM($A$2:$A170),0)</f>
        <v/>
      </c>
    </row>
    <row r="171">
      <c r="A171">
        <f>IF(AND(OR(Query!$B$4="All",'Compliance Database'!$A171=Query!$B$4),OR(Query!$B$5="All",ISNUMBER(SEARCH(Query!$B$5,'Compliance Database'!$H171))),OR(Query!$B$6="All",ISNUMBER(SEARCH(Query!$B$6,'Compliance Database'!$I171))),OR(Query!$B$7="All",'Compliance Database'!$F171=Query!$B$7),OR(Query!$B$8="All",'Compliance Database'!$J171=Query!$B$8),OR(Query!$B$9="",ISNUMBER(SEARCH(Query!$B$9,'Compliance Database'!$D171&amp;" "&amp;'Compliance Database'!$K171&amp;" "&amp;'Compliance Database'!$L171&amp;" "&amp;'Compliance Database'!$M171&amp;" "&amp;'Compliance Database'!$N171)))),1,0)</f>
        <v/>
      </c>
      <c r="B171">
        <f>IF($A171=1,SUM($A$2:$A171),"")</f>
        <v/>
      </c>
      <c r="C171">
        <f>IF($A171=1,SUM($A$2:$A171),0)</f>
        <v/>
      </c>
    </row>
    <row r="172">
      <c r="A172">
        <f>IF(AND(OR(Query!$B$4="All",'Compliance Database'!$A172=Query!$B$4),OR(Query!$B$5="All",ISNUMBER(SEARCH(Query!$B$5,'Compliance Database'!$H172))),OR(Query!$B$6="All",ISNUMBER(SEARCH(Query!$B$6,'Compliance Database'!$I172))),OR(Query!$B$7="All",'Compliance Database'!$F172=Query!$B$7),OR(Query!$B$8="All",'Compliance Database'!$J172=Query!$B$8),OR(Query!$B$9="",ISNUMBER(SEARCH(Query!$B$9,'Compliance Database'!$D172&amp;" "&amp;'Compliance Database'!$K172&amp;" "&amp;'Compliance Database'!$L172&amp;" "&amp;'Compliance Database'!$M172&amp;" "&amp;'Compliance Database'!$N172)))),1,0)</f>
        <v/>
      </c>
      <c r="B172">
        <f>IF($A172=1,SUM($A$2:$A172),"")</f>
        <v/>
      </c>
      <c r="C172">
        <f>IF($A172=1,SUM($A$2:$A172),0)</f>
        <v/>
      </c>
    </row>
    <row r="173">
      <c r="A173">
        <f>IF(AND(OR(Query!$B$4="All",'Compliance Database'!$A173=Query!$B$4),OR(Query!$B$5="All",ISNUMBER(SEARCH(Query!$B$5,'Compliance Database'!$H173))),OR(Query!$B$6="All",ISNUMBER(SEARCH(Query!$B$6,'Compliance Database'!$I173))),OR(Query!$B$7="All",'Compliance Database'!$F173=Query!$B$7),OR(Query!$B$8="All",'Compliance Database'!$J173=Query!$B$8),OR(Query!$B$9="",ISNUMBER(SEARCH(Query!$B$9,'Compliance Database'!$D173&amp;" "&amp;'Compliance Database'!$K173&amp;" "&amp;'Compliance Database'!$L173&amp;" "&amp;'Compliance Database'!$M173&amp;" "&amp;'Compliance Database'!$N173)))),1,0)</f>
        <v/>
      </c>
      <c r="B173">
        <f>IF($A173=1,SUM($A$2:$A173),"")</f>
        <v/>
      </c>
      <c r="C173">
        <f>IF($A173=1,SUM($A$2:$A173),0)</f>
        <v/>
      </c>
    </row>
    <row r="174">
      <c r="A174">
        <f>IF(AND(OR(Query!$B$4="All",'Compliance Database'!$A174=Query!$B$4),OR(Query!$B$5="All",ISNUMBER(SEARCH(Query!$B$5,'Compliance Database'!$H174))),OR(Query!$B$6="All",ISNUMBER(SEARCH(Query!$B$6,'Compliance Database'!$I174))),OR(Query!$B$7="All",'Compliance Database'!$F174=Query!$B$7),OR(Query!$B$8="All",'Compliance Database'!$J174=Query!$B$8),OR(Query!$B$9="",ISNUMBER(SEARCH(Query!$B$9,'Compliance Database'!$D174&amp;" "&amp;'Compliance Database'!$K174&amp;" "&amp;'Compliance Database'!$L174&amp;" "&amp;'Compliance Database'!$M174&amp;" "&amp;'Compliance Database'!$N174)))),1,0)</f>
        <v/>
      </c>
      <c r="B174">
        <f>IF($A174=1,SUM($A$2:$A174),"")</f>
        <v/>
      </c>
      <c r="C174">
        <f>IF($A174=1,SUM($A$2:$A174),0)</f>
        <v/>
      </c>
    </row>
    <row r="175">
      <c r="A175">
        <f>IF(AND(OR(Query!$B$4="All",'Compliance Database'!$A175=Query!$B$4),OR(Query!$B$5="All",ISNUMBER(SEARCH(Query!$B$5,'Compliance Database'!$H175))),OR(Query!$B$6="All",ISNUMBER(SEARCH(Query!$B$6,'Compliance Database'!$I175))),OR(Query!$B$7="All",'Compliance Database'!$F175=Query!$B$7),OR(Query!$B$8="All",'Compliance Database'!$J175=Query!$B$8),OR(Query!$B$9="",ISNUMBER(SEARCH(Query!$B$9,'Compliance Database'!$D175&amp;" "&amp;'Compliance Database'!$K175&amp;" "&amp;'Compliance Database'!$L175&amp;" "&amp;'Compliance Database'!$M175&amp;" "&amp;'Compliance Database'!$N175)))),1,0)</f>
        <v/>
      </c>
      <c r="B175">
        <f>IF($A175=1,SUM($A$2:$A175),"")</f>
        <v/>
      </c>
      <c r="C175">
        <f>IF($A175=1,SUM($A$2:$A175),0)</f>
        <v/>
      </c>
    </row>
    <row r="176">
      <c r="A176">
        <f>IF(AND(OR(Query!$B$4="All",'Compliance Database'!$A176=Query!$B$4),OR(Query!$B$5="All",ISNUMBER(SEARCH(Query!$B$5,'Compliance Database'!$H176))),OR(Query!$B$6="All",ISNUMBER(SEARCH(Query!$B$6,'Compliance Database'!$I176))),OR(Query!$B$7="All",'Compliance Database'!$F176=Query!$B$7),OR(Query!$B$8="All",'Compliance Database'!$J176=Query!$B$8),OR(Query!$B$9="",ISNUMBER(SEARCH(Query!$B$9,'Compliance Database'!$D176&amp;" "&amp;'Compliance Database'!$K176&amp;" "&amp;'Compliance Database'!$L176&amp;" "&amp;'Compliance Database'!$M176&amp;" "&amp;'Compliance Database'!$N176)))),1,0)</f>
        <v/>
      </c>
      <c r="B176">
        <f>IF($A176=1,SUM($A$2:$A176),"")</f>
        <v/>
      </c>
      <c r="C176">
        <f>IF($A176=1,SUM($A$2:$A176),0)</f>
        <v/>
      </c>
    </row>
    <row r="177">
      <c r="A177">
        <f>IF(AND(OR(Query!$B$4="All",'Compliance Database'!$A177=Query!$B$4),OR(Query!$B$5="All",ISNUMBER(SEARCH(Query!$B$5,'Compliance Database'!$H177))),OR(Query!$B$6="All",ISNUMBER(SEARCH(Query!$B$6,'Compliance Database'!$I177))),OR(Query!$B$7="All",'Compliance Database'!$F177=Query!$B$7),OR(Query!$B$8="All",'Compliance Database'!$J177=Query!$B$8),OR(Query!$B$9="",ISNUMBER(SEARCH(Query!$B$9,'Compliance Database'!$D177&amp;" "&amp;'Compliance Database'!$K177&amp;" "&amp;'Compliance Database'!$L177&amp;" "&amp;'Compliance Database'!$M177&amp;" "&amp;'Compliance Database'!$N177)))),1,0)</f>
        <v/>
      </c>
      <c r="B177">
        <f>IF($A177=1,SUM($A$2:$A177),"")</f>
        <v/>
      </c>
      <c r="C177">
        <f>IF($A177=1,SUM($A$2:$A177),0)</f>
        <v/>
      </c>
    </row>
    <row r="178">
      <c r="A178">
        <f>IF(AND(OR(Query!$B$4="All",'Compliance Database'!$A178=Query!$B$4),OR(Query!$B$5="All",ISNUMBER(SEARCH(Query!$B$5,'Compliance Database'!$H178))),OR(Query!$B$6="All",ISNUMBER(SEARCH(Query!$B$6,'Compliance Database'!$I178))),OR(Query!$B$7="All",'Compliance Database'!$F178=Query!$B$7),OR(Query!$B$8="All",'Compliance Database'!$J178=Query!$B$8),OR(Query!$B$9="",ISNUMBER(SEARCH(Query!$B$9,'Compliance Database'!$D178&amp;" "&amp;'Compliance Database'!$K178&amp;" "&amp;'Compliance Database'!$L178&amp;" "&amp;'Compliance Database'!$M178&amp;" "&amp;'Compliance Database'!$N178)))),1,0)</f>
        <v/>
      </c>
      <c r="B178">
        <f>IF($A178=1,SUM($A$2:$A178),"")</f>
        <v/>
      </c>
      <c r="C178">
        <f>IF($A178=1,SUM($A$2:$A178),0)</f>
        <v/>
      </c>
    </row>
    <row r="179">
      <c r="A179">
        <f>IF(AND(OR(Query!$B$4="All",'Compliance Database'!$A179=Query!$B$4),OR(Query!$B$5="All",ISNUMBER(SEARCH(Query!$B$5,'Compliance Database'!$H179))),OR(Query!$B$6="All",ISNUMBER(SEARCH(Query!$B$6,'Compliance Database'!$I179))),OR(Query!$B$7="All",'Compliance Database'!$F179=Query!$B$7),OR(Query!$B$8="All",'Compliance Database'!$J179=Query!$B$8),OR(Query!$B$9="",ISNUMBER(SEARCH(Query!$B$9,'Compliance Database'!$D179&amp;" "&amp;'Compliance Database'!$K179&amp;" "&amp;'Compliance Database'!$L179&amp;" "&amp;'Compliance Database'!$M179&amp;" "&amp;'Compliance Database'!$N179)))),1,0)</f>
        <v/>
      </c>
      <c r="B179">
        <f>IF($A179=1,SUM($A$2:$A179),"")</f>
        <v/>
      </c>
      <c r="C179">
        <f>IF($A179=1,SUM($A$2:$A179),0)</f>
        <v/>
      </c>
    </row>
    <row r="180">
      <c r="A180">
        <f>IF(AND(OR(Query!$B$4="All",'Compliance Database'!$A180=Query!$B$4),OR(Query!$B$5="All",ISNUMBER(SEARCH(Query!$B$5,'Compliance Database'!$H180))),OR(Query!$B$6="All",ISNUMBER(SEARCH(Query!$B$6,'Compliance Database'!$I180))),OR(Query!$B$7="All",'Compliance Database'!$F180=Query!$B$7),OR(Query!$B$8="All",'Compliance Database'!$J180=Query!$B$8),OR(Query!$B$9="",ISNUMBER(SEARCH(Query!$B$9,'Compliance Database'!$D180&amp;" "&amp;'Compliance Database'!$K180&amp;" "&amp;'Compliance Database'!$L180&amp;" "&amp;'Compliance Database'!$M180&amp;" "&amp;'Compliance Database'!$N180)))),1,0)</f>
        <v/>
      </c>
      <c r="B180">
        <f>IF($A180=1,SUM($A$2:$A180),"")</f>
        <v/>
      </c>
      <c r="C180">
        <f>IF($A180=1,SUM($A$2:$A180),0)</f>
        <v/>
      </c>
    </row>
    <row r="181">
      <c r="A181">
        <f>IF(AND(OR(Query!$B$4="All",'Compliance Database'!$A181=Query!$B$4),OR(Query!$B$5="All",ISNUMBER(SEARCH(Query!$B$5,'Compliance Database'!$H181))),OR(Query!$B$6="All",ISNUMBER(SEARCH(Query!$B$6,'Compliance Database'!$I181))),OR(Query!$B$7="All",'Compliance Database'!$F181=Query!$B$7),OR(Query!$B$8="All",'Compliance Database'!$J181=Query!$B$8),OR(Query!$B$9="",ISNUMBER(SEARCH(Query!$B$9,'Compliance Database'!$D181&amp;" "&amp;'Compliance Database'!$K181&amp;" "&amp;'Compliance Database'!$L181&amp;" "&amp;'Compliance Database'!$M181&amp;" "&amp;'Compliance Database'!$N181)))),1,0)</f>
        <v/>
      </c>
      <c r="B181">
        <f>IF($A181=1,SUM($A$2:$A181),"")</f>
        <v/>
      </c>
      <c r="C181">
        <f>IF($A181=1,SUM($A$2:$A181),0)</f>
        <v/>
      </c>
    </row>
    <row r="182">
      <c r="A182">
        <f>IF(AND(OR(Query!$B$4="All",'Compliance Database'!$A182=Query!$B$4),OR(Query!$B$5="All",ISNUMBER(SEARCH(Query!$B$5,'Compliance Database'!$H182))),OR(Query!$B$6="All",ISNUMBER(SEARCH(Query!$B$6,'Compliance Database'!$I182))),OR(Query!$B$7="All",'Compliance Database'!$F182=Query!$B$7),OR(Query!$B$8="All",'Compliance Database'!$J182=Query!$B$8),OR(Query!$B$9="",ISNUMBER(SEARCH(Query!$B$9,'Compliance Database'!$D182&amp;" "&amp;'Compliance Database'!$K182&amp;" "&amp;'Compliance Database'!$L182&amp;" "&amp;'Compliance Database'!$M182&amp;" "&amp;'Compliance Database'!$N182)))),1,0)</f>
        <v/>
      </c>
      <c r="B182">
        <f>IF($A182=1,SUM($A$2:$A182),"")</f>
        <v/>
      </c>
      <c r="C182">
        <f>IF($A182=1,SUM($A$2:$A182),0)</f>
        <v/>
      </c>
    </row>
    <row r="183">
      <c r="A183">
        <f>IF(AND(OR(Query!$B$4="All",'Compliance Database'!$A183=Query!$B$4),OR(Query!$B$5="All",ISNUMBER(SEARCH(Query!$B$5,'Compliance Database'!$H183))),OR(Query!$B$6="All",ISNUMBER(SEARCH(Query!$B$6,'Compliance Database'!$I183))),OR(Query!$B$7="All",'Compliance Database'!$F183=Query!$B$7),OR(Query!$B$8="All",'Compliance Database'!$J183=Query!$B$8),OR(Query!$B$9="",ISNUMBER(SEARCH(Query!$B$9,'Compliance Database'!$D183&amp;" "&amp;'Compliance Database'!$K183&amp;" "&amp;'Compliance Database'!$L183&amp;" "&amp;'Compliance Database'!$M183&amp;" "&amp;'Compliance Database'!$N183)))),1,0)</f>
        <v/>
      </c>
      <c r="B183">
        <f>IF($A183=1,SUM($A$2:$A183),"")</f>
        <v/>
      </c>
      <c r="C183">
        <f>IF($A183=1,SUM($A$2:$A183),0)</f>
        <v/>
      </c>
    </row>
    <row r="184">
      <c r="A184">
        <f>IF(AND(OR(Query!$B$4="All",'Compliance Database'!$A184=Query!$B$4),OR(Query!$B$5="All",ISNUMBER(SEARCH(Query!$B$5,'Compliance Database'!$H184))),OR(Query!$B$6="All",ISNUMBER(SEARCH(Query!$B$6,'Compliance Database'!$I184))),OR(Query!$B$7="All",'Compliance Database'!$F184=Query!$B$7),OR(Query!$B$8="All",'Compliance Database'!$J184=Query!$B$8),OR(Query!$B$9="",ISNUMBER(SEARCH(Query!$B$9,'Compliance Database'!$D184&amp;" "&amp;'Compliance Database'!$K184&amp;" "&amp;'Compliance Database'!$L184&amp;" "&amp;'Compliance Database'!$M184&amp;" "&amp;'Compliance Database'!$N184)))),1,0)</f>
        <v/>
      </c>
      <c r="B184">
        <f>IF($A184=1,SUM($A$2:$A184),"")</f>
        <v/>
      </c>
      <c r="C184">
        <f>IF($A184=1,SUM($A$2:$A184),0)</f>
        <v/>
      </c>
    </row>
    <row r="185">
      <c r="A185">
        <f>IF(AND(OR(Query!$B$4="All",'Compliance Database'!$A185=Query!$B$4),OR(Query!$B$5="All",ISNUMBER(SEARCH(Query!$B$5,'Compliance Database'!$H185))),OR(Query!$B$6="All",ISNUMBER(SEARCH(Query!$B$6,'Compliance Database'!$I185))),OR(Query!$B$7="All",'Compliance Database'!$F185=Query!$B$7),OR(Query!$B$8="All",'Compliance Database'!$J185=Query!$B$8),OR(Query!$B$9="",ISNUMBER(SEARCH(Query!$B$9,'Compliance Database'!$D185&amp;" "&amp;'Compliance Database'!$K185&amp;" "&amp;'Compliance Database'!$L185&amp;" "&amp;'Compliance Database'!$M185&amp;" "&amp;'Compliance Database'!$N185)))),1,0)</f>
        <v/>
      </c>
      <c r="B185">
        <f>IF($A185=1,SUM($A$2:$A185),"")</f>
        <v/>
      </c>
      <c r="C185">
        <f>IF($A185=1,SUM($A$2:$A185),0)</f>
        <v/>
      </c>
    </row>
    <row r="186">
      <c r="A186">
        <f>IF(AND(OR(Query!$B$4="All",'Compliance Database'!$A186=Query!$B$4),OR(Query!$B$5="All",ISNUMBER(SEARCH(Query!$B$5,'Compliance Database'!$H186))),OR(Query!$B$6="All",ISNUMBER(SEARCH(Query!$B$6,'Compliance Database'!$I186))),OR(Query!$B$7="All",'Compliance Database'!$F186=Query!$B$7),OR(Query!$B$8="All",'Compliance Database'!$J186=Query!$B$8),OR(Query!$B$9="",ISNUMBER(SEARCH(Query!$B$9,'Compliance Database'!$D186&amp;" "&amp;'Compliance Database'!$K186&amp;" "&amp;'Compliance Database'!$L186&amp;" "&amp;'Compliance Database'!$M186&amp;" "&amp;'Compliance Database'!$N186)))),1,0)</f>
        <v/>
      </c>
      <c r="B186">
        <f>IF($A186=1,SUM($A$2:$A186),"")</f>
        <v/>
      </c>
      <c r="C186">
        <f>IF($A186=1,SUM($A$2:$A186),0)</f>
        <v/>
      </c>
    </row>
    <row r="187">
      <c r="A187">
        <f>IF(AND(OR(Query!$B$4="All",'Compliance Database'!$A187=Query!$B$4),OR(Query!$B$5="All",ISNUMBER(SEARCH(Query!$B$5,'Compliance Database'!$H187))),OR(Query!$B$6="All",ISNUMBER(SEARCH(Query!$B$6,'Compliance Database'!$I187))),OR(Query!$B$7="All",'Compliance Database'!$F187=Query!$B$7),OR(Query!$B$8="All",'Compliance Database'!$J187=Query!$B$8),OR(Query!$B$9="",ISNUMBER(SEARCH(Query!$B$9,'Compliance Database'!$D187&amp;" "&amp;'Compliance Database'!$K187&amp;" "&amp;'Compliance Database'!$L187&amp;" "&amp;'Compliance Database'!$M187&amp;" "&amp;'Compliance Database'!$N187)))),1,0)</f>
        <v/>
      </c>
      <c r="B187">
        <f>IF($A187=1,SUM($A$2:$A187),"")</f>
        <v/>
      </c>
      <c r="C187">
        <f>IF($A187=1,SUM($A$2:$A187),0)</f>
        <v/>
      </c>
    </row>
    <row r="188">
      <c r="A188">
        <f>IF(AND(OR(Query!$B$4="All",'Compliance Database'!$A188=Query!$B$4),OR(Query!$B$5="All",ISNUMBER(SEARCH(Query!$B$5,'Compliance Database'!$H188))),OR(Query!$B$6="All",ISNUMBER(SEARCH(Query!$B$6,'Compliance Database'!$I188))),OR(Query!$B$7="All",'Compliance Database'!$F188=Query!$B$7),OR(Query!$B$8="All",'Compliance Database'!$J188=Query!$B$8),OR(Query!$B$9="",ISNUMBER(SEARCH(Query!$B$9,'Compliance Database'!$D188&amp;" "&amp;'Compliance Database'!$K188&amp;" "&amp;'Compliance Database'!$L188&amp;" "&amp;'Compliance Database'!$M188&amp;" "&amp;'Compliance Database'!$N188)))),1,0)</f>
        <v/>
      </c>
      <c r="B188">
        <f>IF($A188=1,SUM($A$2:$A188),"")</f>
        <v/>
      </c>
      <c r="C188">
        <f>IF($A188=1,SUM($A$2:$A188),0)</f>
        <v/>
      </c>
    </row>
    <row r="189">
      <c r="A189">
        <f>IF(AND(OR(Query!$B$4="All",'Compliance Database'!$A189=Query!$B$4),OR(Query!$B$5="All",ISNUMBER(SEARCH(Query!$B$5,'Compliance Database'!$H189))),OR(Query!$B$6="All",ISNUMBER(SEARCH(Query!$B$6,'Compliance Database'!$I189))),OR(Query!$B$7="All",'Compliance Database'!$F189=Query!$B$7),OR(Query!$B$8="All",'Compliance Database'!$J189=Query!$B$8),OR(Query!$B$9="",ISNUMBER(SEARCH(Query!$B$9,'Compliance Database'!$D189&amp;" "&amp;'Compliance Database'!$K189&amp;" "&amp;'Compliance Database'!$L189&amp;" "&amp;'Compliance Database'!$M189&amp;" "&amp;'Compliance Database'!$N189)))),1,0)</f>
        <v/>
      </c>
      <c r="B189">
        <f>IF($A189=1,SUM($A$2:$A189),"")</f>
        <v/>
      </c>
      <c r="C189">
        <f>IF($A189=1,SUM($A$2:$A189),0)</f>
        <v/>
      </c>
    </row>
    <row r="190">
      <c r="A190">
        <f>IF(AND(OR(Query!$B$4="All",'Compliance Database'!$A190=Query!$B$4),OR(Query!$B$5="All",ISNUMBER(SEARCH(Query!$B$5,'Compliance Database'!$H190))),OR(Query!$B$6="All",ISNUMBER(SEARCH(Query!$B$6,'Compliance Database'!$I190))),OR(Query!$B$7="All",'Compliance Database'!$F190=Query!$B$7),OR(Query!$B$8="All",'Compliance Database'!$J190=Query!$B$8),OR(Query!$B$9="",ISNUMBER(SEARCH(Query!$B$9,'Compliance Database'!$D190&amp;" "&amp;'Compliance Database'!$K190&amp;" "&amp;'Compliance Database'!$L190&amp;" "&amp;'Compliance Database'!$M190&amp;" "&amp;'Compliance Database'!$N190)))),1,0)</f>
        <v/>
      </c>
      <c r="B190">
        <f>IF($A190=1,SUM($A$2:$A190),"")</f>
        <v/>
      </c>
      <c r="C190">
        <f>IF($A190=1,SUM($A$2:$A190),0)</f>
        <v/>
      </c>
    </row>
    <row r="191">
      <c r="A191">
        <f>IF(AND(OR(Query!$B$4="All",'Compliance Database'!$A191=Query!$B$4),OR(Query!$B$5="All",ISNUMBER(SEARCH(Query!$B$5,'Compliance Database'!$H191))),OR(Query!$B$6="All",ISNUMBER(SEARCH(Query!$B$6,'Compliance Database'!$I191))),OR(Query!$B$7="All",'Compliance Database'!$F191=Query!$B$7),OR(Query!$B$8="All",'Compliance Database'!$J191=Query!$B$8),OR(Query!$B$9="",ISNUMBER(SEARCH(Query!$B$9,'Compliance Database'!$D191&amp;" "&amp;'Compliance Database'!$K191&amp;" "&amp;'Compliance Database'!$L191&amp;" "&amp;'Compliance Database'!$M191&amp;" "&amp;'Compliance Database'!$N191)))),1,0)</f>
        <v/>
      </c>
      <c r="B191">
        <f>IF($A191=1,SUM($A$2:$A191),"")</f>
        <v/>
      </c>
      <c r="C191">
        <f>IF($A191=1,SUM($A$2:$A191),0)</f>
        <v/>
      </c>
    </row>
    <row r="192">
      <c r="A192">
        <f>IF(AND(OR(Query!$B$4="All",'Compliance Database'!$A192=Query!$B$4),OR(Query!$B$5="All",ISNUMBER(SEARCH(Query!$B$5,'Compliance Database'!$H192))),OR(Query!$B$6="All",ISNUMBER(SEARCH(Query!$B$6,'Compliance Database'!$I192))),OR(Query!$B$7="All",'Compliance Database'!$F192=Query!$B$7),OR(Query!$B$8="All",'Compliance Database'!$J192=Query!$B$8),OR(Query!$B$9="",ISNUMBER(SEARCH(Query!$B$9,'Compliance Database'!$D192&amp;" "&amp;'Compliance Database'!$K192&amp;" "&amp;'Compliance Database'!$L192&amp;" "&amp;'Compliance Database'!$M192&amp;" "&amp;'Compliance Database'!$N192)))),1,0)</f>
        <v/>
      </c>
      <c r="B192">
        <f>IF($A192=1,SUM($A$2:$A192),"")</f>
        <v/>
      </c>
      <c r="C192">
        <f>IF($A192=1,SUM($A$2:$A192),0)</f>
        <v/>
      </c>
    </row>
    <row r="193">
      <c r="A193">
        <f>IF(AND(OR(Query!$B$4="All",'Compliance Database'!$A193=Query!$B$4),OR(Query!$B$5="All",ISNUMBER(SEARCH(Query!$B$5,'Compliance Database'!$H193))),OR(Query!$B$6="All",ISNUMBER(SEARCH(Query!$B$6,'Compliance Database'!$I193))),OR(Query!$B$7="All",'Compliance Database'!$F193=Query!$B$7),OR(Query!$B$8="All",'Compliance Database'!$J193=Query!$B$8),OR(Query!$B$9="",ISNUMBER(SEARCH(Query!$B$9,'Compliance Database'!$D193&amp;" "&amp;'Compliance Database'!$K193&amp;" "&amp;'Compliance Database'!$L193&amp;" "&amp;'Compliance Database'!$M193&amp;" "&amp;'Compliance Database'!$N193)))),1,0)</f>
        <v/>
      </c>
      <c r="B193">
        <f>IF($A193=1,SUM($A$2:$A193),"")</f>
        <v/>
      </c>
      <c r="C193">
        <f>IF($A193=1,SUM($A$2:$A193),0)</f>
        <v/>
      </c>
    </row>
    <row r="194">
      <c r="A194">
        <f>IF(AND(OR(Query!$B$4="All",'Compliance Database'!$A194=Query!$B$4),OR(Query!$B$5="All",ISNUMBER(SEARCH(Query!$B$5,'Compliance Database'!$H194))),OR(Query!$B$6="All",ISNUMBER(SEARCH(Query!$B$6,'Compliance Database'!$I194))),OR(Query!$B$7="All",'Compliance Database'!$F194=Query!$B$7),OR(Query!$B$8="All",'Compliance Database'!$J194=Query!$B$8),OR(Query!$B$9="",ISNUMBER(SEARCH(Query!$B$9,'Compliance Database'!$D194&amp;" "&amp;'Compliance Database'!$K194&amp;" "&amp;'Compliance Database'!$L194&amp;" "&amp;'Compliance Database'!$M194&amp;" "&amp;'Compliance Database'!$N194)))),1,0)</f>
        <v/>
      </c>
      <c r="B194">
        <f>IF($A194=1,SUM($A$2:$A194),"")</f>
        <v/>
      </c>
      <c r="C194">
        <f>IF($A194=1,SUM($A$2:$A194),0)</f>
        <v/>
      </c>
    </row>
    <row r="195">
      <c r="A195">
        <f>IF(AND(OR(Query!$B$4="All",'Compliance Database'!$A195=Query!$B$4),OR(Query!$B$5="All",ISNUMBER(SEARCH(Query!$B$5,'Compliance Database'!$H195))),OR(Query!$B$6="All",ISNUMBER(SEARCH(Query!$B$6,'Compliance Database'!$I195))),OR(Query!$B$7="All",'Compliance Database'!$F195=Query!$B$7),OR(Query!$B$8="All",'Compliance Database'!$J195=Query!$B$8),OR(Query!$B$9="",ISNUMBER(SEARCH(Query!$B$9,'Compliance Database'!$D195&amp;" "&amp;'Compliance Database'!$K195&amp;" "&amp;'Compliance Database'!$L195&amp;" "&amp;'Compliance Database'!$M195&amp;" "&amp;'Compliance Database'!$N195)))),1,0)</f>
        <v/>
      </c>
      <c r="B195">
        <f>IF($A195=1,SUM($A$2:$A195),"")</f>
        <v/>
      </c>
      <c r="C195">
        <f>IF($A195=1,SUM($A$2:$A195),0)</f>
        <v/>
      </c>
    </row>
    <row r="196">
      <c r="A196">
        <f>IF(AND(OR(Query!$B$4="All",'Compliance Database'!$A196=Query!$B$4),OR(Query!$B$5="All",ISNUMBER(SEARCH(Query!$B$5,'Compliance Database'!$H196))),OR(Query!$B$6="All",ISNUMBER(SEARCH(Query!$B$6,'Compliance Database'!$I196))),OR(Query!$B$7="All",'Compliance Database'!$F196=Query!$B$7),OR(Query!$B$8="All",'Compliance Database'!$J196=Query!$B$8),OR(Query!$B$9="",ISNUMBER(SEARCH(Query!$B$9,'Compliance Database'!$D196&amp;" "&amp;'Compliance Database'!$K196&amp;" "&amp;'Compliance Database'!$L196&amp;" "&amp;'Compliance Database'!$M196&amp;" "&amp;'Compliance Database'!$N196)))),1,0)</f>
        <v/>
      </c>
      <c r="B196">
        <f>IF($A196=1,SUM($A$2:$A196),"")</f>
        <v/>
      </c>
      <c r="C196">
        <f>IF($A196=1,SUM($A$2:$A196),0)</f>
        <v/>
      </c>
    </row>
    <row r="197">
      <c r="A197">
        <f>IF(AND(OR(Query!$B$4="All",'Compliance Database'!$A197=Query!$B$4),OR(Query!$B$5="All",ISNUMBER(SEARCH(Query!$B$5,'Compliance Database'!$H197))),OR(Query!$B$6="All",ISNUMBER(SEARCH(Query!$B$6,'Compliance Database'!$I197))),OR(Query!$B$7="All",'Compliance Database'!$F197=Query!$B$7),OR(Query!$B$8="All",'Compliance Database'!$J197=Query!$B$8),OR(Query!$B$9="",ISNUMBER(SEARCH(Query!$B$9,'Compliance Database'!$D197&amp;" "&amp;'Compliance Database'!$K197&amp;" "&amp;'Compliance Database'!$L197&amp;" "&amp;'Compliance Database'!$M197&amp;" "&amp;'Compliance Database'!$N197)))),1,0)</f>
        <v/>
      </c>
      <c r="B197">
        <f>IF($A197=1,SUM($A$2:$A197),"")</f>
        <v/>
      </c>
      <c r="C197">
        <f>IF($A197=1,SUM($A$2:$A197),0)</f>
        <v/>
      </c>
    </row>
    <row r="198">
      <c r="A198">
        <f>IF(AND(OR(Query!$B$4="All",'Compliance Database'!$A198=Query!$B$4),OR(Query!$B$5="All",ISNUMBER(SEARCH(Query!$B$5,'Compliance Database'!$H198))),OR(Query!$B$6="All",ISNUMBER(SEARCH(Query!$B$6,'Compliance Database'!$I198))),OR(Query!$B$7="All",'Compliance Database'!$F198=Query!$B$7),OR(Query!$B$8="All",'Compliance Database'!$J198=Query!$B$8),OR(Query!$B$9="",ISNUMBER(SEARCH(Query!$B$9,'Compliance Database'!$D198&amp;" "&amp;'Compliance Database'!$K198&amp;" "&amp;'Compliance Database'!$L198&amp;" "&amp;'Compliance Database'!$M198&amp;" "&amp;'Compliance Database'!$N198)))),1,0)</f>
        <v/>
      </c>
      <c r="B198">
        <f>IF($A198=1,SUM($A$2:$A198),"")</f>
        <v/>
      </c>
      <c r="C198">
        <f>IF($A198=1,SUM($A$2:$A198),0)</f>
        <v/>
      </c>
    </row>
    <row r="199">
      <c r="A199">
        <f>IF(AND(OR(Query!$B$4="All",'Compliance Database'!$A199=Query!$B$4),OR(Query!$B$5="All",ISNUMBER(SEARCH(Query!$B$5,'Compliance Database'!$H199))),OR(Query!$B$6="All",ISNUMBER(SEARCH(Query!$B$6,'Compliance Database'!$I199))),OR(Query!$B$7="All",'Compliance Database'!$F199=Query!$B$7),OR(Query!$B$8="All",'Compliance Database'!$J199=Query!$B$8),OR(Query!$B$9="",ISNUMBER(SEARCH(Query!$B$9,'Compliance Database'!$D199&amp;" "&amp;'Compliance Database'!$K199&amp;" "&amp;'Compliance Database'!$L199&amp;" "&amp;'Compliance Database'!$M199&amp;" "&amp;'Compliance Database'!$N199)))),1,0)</f>
        <v/>
      </c>
      <c r="B199">
        <f>IF($A199=1,SUM($A$2:$A199),"")</f>
        <v/>
      </c>
      <c r="C199">
        <f>IF($A199=1,SUM($A$2:$A199),0)</f>
        <v/>
      </c>
    </row>
    <row r="200">
      <c r="A200">
        <f>IF(AND(OR(Query!$B$4="All",'Compliance Database'!$A200=Query!$B$4),OR(Query!$B$5="All",ISNUMBER(SEARCH(Query!$B$5,'Compliance Database'!$H200))),OR(Query!$B$6="All",ISNUMBER(SEARCH(Query!$B$6,'Compliance Database'!$I200))),OR(Query!$B$7="All",'Compliance Database'!$F200=Query!$B$7),OR(Query!$B$8="All",'Compliance Database'!$J200=Query!$B$8),OR(Query!$B$9="",ISNUMBER(SEARCH(Query!$B$9,'Compliance Database'!$D200&amp;" "&amp;'Compliance Database'!$K200&amp;" "&amp;'Compliance Database'!$L200&amp;" "&amp;'Compliance Database'!$M200&amp;" "&amp;'Compliance Database'!$N200)))),1,0)</f>
        <v/>
      </c>
      <c r="B200">
        <f>IF($A200=1,SUM($A$2:$A200),"")</f>
        <v/>
      </c>
      <c r="C200">
        <f>IF($A200=1,SUM($A$2:$A200),0)</f>
        <v/>
      </c>
    </row>
    <row r="201">
      <c r="A201">
        <f>IF(AND(OR(Query!$B$4="All",'Compliance Database'!$A201=Query!$B$4),OR(Query!$B$5="All",ISNUMBER(SEARCH(Query!$B$5,'Compliance Database'!$H201))),OR(Query!$B$6="All",ISNUMBER(SEARCH(Query!$B$6,'Compliance Database'!$I201))),OR(Query!$B$7="All",'Compliance Database'!$F201=Query!$B$7),OR(Query!$B$8="All",'Compliance Database'!$J201=Query!$B$8),OR(Query!$B$9="",ISNUMBER(SEARCH(Query!$B$9,'Compliance Database'!$D201&amp;" "&amp;'Compliance Database'!$K201&amp;" "&amp;'Compliance Database'!$L201&amp;" "&amp;'Compliance Database'!$M201&amp;" "&amp;'Compliance Database'!$N201)))),1,0)</f>
        <v/>
      </c>
      <c r="B201">
        <f>IF($A201=1,SUM($A$2:$A201),"")</f>
        <v/>
      </c>
      <c r="C201">
        <f>IF($A201=1,SUM($A$2:$A201),0)</f>
        <v/>
      </c>
    </row>
    <row r="202">
      <c r="A202">
        <f>IF(AND(OR(Query!$B$4="All",'Compliance Database'!$A202=Query!$B$4),OR(Query!$B$5="All",ISNUMBER(SEARCH(Query!$B$5,'Compliance Database'!$H202))),OR(Query!$B$6="All",ISNUMBER(SEARCH(Query!$B$6,'Compliance Database'!$I202))),OR(Query!$B$7="All",'Compliance Database'!$F202=Query!$B$7),OR(Query!$B$8="All",'Compliance Database'!$J202=Query!$B$8),OR(Query!$B$9="",ISNUMBER(SEARCH(Query!$B$9,'Compliance Database'!$D202&amp;" "&amp;'Compliance Database'!$K202&amp;" "&amp;'Compliance Database'!$L202&amp;" "&amp;'Compliance Database'!$M202&amp;" "&amp;'Compliance Database'!$N202)))),1,0)</f>
        <v/>
      </c>
      <c r="B202">
        <f>IF($A202=1,SUM($A$2:$A202),"")</f>
        <v/>
      </c>
      <c r="C202">
        <f>IF($A202=1,SUM($A$2:$A202),0)</f>
        <v/>
      </c>
    </row>
    <row r="203">
      <c r="A203">
        <f>IF(AND(OR(Query!$B$4="All",'Compliance Database'!$A203=Query!$B$4),OR(Query!$B$5="All",ISNUMBER(SEARCH(Query!$B$5,'Compliance Database'!$H203))),OR(Query!$B$6="All",ISNUMBER(SEARCH(Query!$B$6,'Compliance Database'!$I203))),OR(Query!$B$7="All",'Compliance Database'!$F203=Query!$B$7),OR(Query!$B$8="All",'Compliance Database'!$J203=Query!$B$8),OR(Query!$B$9="",ISNUMBER(SEARCH(Query!$B$9,'Compliance Database'!$D203&amp;" "&amp;'Compliance Database'!$K203&amp;" "&amp;'Compliance Database'!$L203&amp;" "&amp;'Compliance Database'!$M203&amp;" "&amp;'Compliance Database'!$N203)))),1,0)</f>
        <v/>
      </c>
      <c r="B203">
        <f>IF($A203=1,SUM($A$2:$A203),"")</f>
        <v/>
      </c>
      <c r="C203">
        <f>IF($A203=1,SUM($A$2:$A203),0)</f>
        <v/>
      </c>
    </row>
    <row r="204">
      <c r="A204">
        <f>IF(AND(OR(Query!$B$4="All",'Compliance Database'!$A204=Query!$B$4),OR(Query!$B$5="All",ISNUMBER(SEARCH(Query!$B$5,'Compliance Database'!$H204))),OR(Query!$B$6="All",ISNUMBER(SEARCH(Query!$B$6,'Compliance Database'!$I204))),OR(Query!$B$7="All",'Compliance Database'!$F204=Query!$B$7),OR(Query!$B$8="All",'Compliance Database'!$J204=Query!$B$8),OR(Query!$B$9="",ISNUMBER(SEARCH(Query!$B$9,'Compliance Database'!$D204&amp;" "&amp;'Compliance Database'!$K204&amp;" "&amp;'Compliance Database'!$L204&amp;" "&amp;'Compliance Database'!$M204&amp;" "&amp;'Compliance Database'!$N204)))),1,0)</f>
        <v/>
      </c>
      <c r="B204">
        <f>IF($A204=1,SUM($A$2:$A204),"")</f>
        <v/>
      </c>
      <c r="C204">
        <f>IF($A204=1,SUM($A$2:$A204),0)</f>
        <v/>
      </c>
    </row>
    <row r="205">
      <c r="A205">
        <f>IF(AND(OR(Query!$B$4="All",'Compliance Database'!$A205=Query!$B$4),OR(Query!$B$5="All",ISNUMBER(SEARCH(Query!$B$5,'Compliance Database'!$H205))),OR(Query!$B$6="All",ISNUMBER(SEARCH(Query!$B$6,'Compliance Database'!$I205))),OR(Query!$B$7="All",'Compliance Database'!$F205=Query!$B$7),OR(Query!$B$8="All",'Compliance Database'!$J205=Query!$B$8),OR(Query!$B$9="",ISNUMBER(SEARCH(Query!$B$9,'Compliance Database'!$D205&amp;" "&amp;'Compliance Database'!$K205&amp;" "&amp;'Compliance Database'!$L205&amp;" "&amp;'Compliance Database'!$M205&amp;" "&amp;'Compliance Database'!$N205)))),1,0)</f>
        <v/>
      </c>
      <c r="B205">
        <f>IF($A205=1,SUM($A$2:$A205),"")</f>
        <v/>
      </c>
      <c r="C205">
        <f>IF($A205=1,SUM($A$2:$A205),0)</f>
        <v/>
      </c>
    </row>
    <row r="206">
      <c r="A206">
        <f>IF(AND(OR(Query!$B$4="All",'Compliance Database'!$A206=Query!$B$4),OR(Query!$B$5="All",ISNUMBER(SEARCH(Query!$B$5,'Compliance Database'!$H206))),OR(Query!$B$6="All",ISNUMBER(SEARCH(Query!$B$6,'Compliance Database'!$I206))),OR(Query!$B$7="All",'Compliance Database'!$F206=Query!$B$7),OR(Query!$B$8="All",'Compliance Database'!$J206=Query!$B$8),OR(Query!$B$9="",ISNUMBER(SEARCH(Query!$B$9,'Compliance Database'!$D206&amp;" "&amp;'Compliance Database'!$K206&amp;" "&amp;'Compliance Database'!$L206&amp;" "&amp;'Compliance Database'!$M206&amp;" "&amp;'Compliance Database'!$N206)))),1,0)</f>
        <v/>
      </c>
      <c r="B206">
        <f>IF($A206=1,SUM($A$2:$A206),"")</f>
        <v/>
      </c>
      <c r="C206">
        <f>IF($A206=1,SUM($A$2:$A206),0)</f>
        <v/>
      </c>
    </row>
    <row r="207">
      <c r="A207">
        <f>IF(AND(OR(Query!$B$4="All",'Compliance Database'!$A207=Query!$B$4),OR(Query!$B$5="All",ISNUMBER(SEARCH(Query!$B$5,'Compliance Database'!$H207))),OR(Query!$B$6="All",ISNUMBER(SEARCH(Query!$B$6,'Compliance Database'!$I207))),OR(Query!$B$7="All",'Compliance Database'!$F207=Query!$B$7),OR(Query!$B$8="All",'Compliance Database'!$J207=Query!$B$8),OR(Query!$B$9="",ISNUMBER(SEARCH(Query!$B$9,'Compliance Database'!$D207&amp;" "&amp;'Compliance Database'!$K207&amp;" "&amp;'Compliance Database'!$L207&amp;" "&amp;'Compliance Database'!$M207&amp;" "&amp;'Compliance Database'!$N207)))),1,0)</f>
        <v/>
      </c>
      <c r="B207">
        <f>IF($A207=1,SUM($A$2:$A207),"")</f>
        <v/>
      </c>
      <c r="C207">
        <f>IF($A207=1,SUM($A$2:$A207),0)</f>
        <v/>
      </c>
    </row>
    <row r="208">
      <c r="A208">
        <f>IF(AND(OR(Query!$B$4="All",'Compliance Database'!$A208=Query!$B$4),OR(Query!$B$5="All",ISNUMBER(SEARCH(Query!$B$5,'Compliance Database'!$H208))),OR(Query!$B$6="All",ISNUMBER(SEARCH(Query!$B$6,'Compliance Database'!$I208))),OR(Query!$B$7="All",'Compliance Database'!$F208=Query!$B$7),OR(Query!$B$8="All",'Compliance Database'!$J208=Query!$B$8),OR(Query!$B$9="",ISNUMBER(SEARCH(Query!$B$9,'Compliance Database'!$D208&amp;" "&amp;'Compliance Database'!$K208&amp;" "&amp;'Compliance Database'!$L208&amp;" "&amp;'Compliance Database'!$M208&amp;" "&amp;'Compliance Database'!$N208)))),1,0)</f>
        <v/>
      </c>
      <c r="B208">
        <f>IF($A208=1,SUM($A$2:$A208),"")</f>
        <v/>
      </c>
      <c r="C208">
        <f>IF($A208=1,SUM($A$2:$A208),0)</f>
        <v/>
      </c>
    </row>
    <row r="209">
      <c r="A209">
        <f>IF(AND(OR(Query!$B$4="All",'Compliance Database'!$A209=Query!$B$4),OR(Query!$B$5="All",ISNUMBER(SEARCH(Query!$B$5,'Compliance Database'!$H209))),OR(Query!$B$6="All",ISNUMBER(SEARCH(Query!$B$6,'Compliance Database'!$I209))),OR(Query!$B$7="All",'Compliance Database'!$F209=Query!$B$7),OR(Query!$B$8="All",'Compliance Database'!$J209=Query!$B$8),OR(Query!$B$9="",ISNUMBER(SEARCH(Query!$B$9,'Compliance Database'!$D209&amp;" "&amp;'Compliance Database'!$K209&amp;" "&amp;'Compliance Database'!$L209&amp;" "&amp;'Compliance Database'!$M209&amp;" "&amp;'Compliance Database'!$N209)))),1,0)</f>
        <v/>
      </c>
      <c r="B209">
        <f>IF($A209=1,SUM($A$2:$A209),"")</f>
        <v/>
      </c>
      <c r="C209">
        <f>IF($A209=1,SUM($A$2:$A209),0)</f>
        <v/>
      </c>
    </row>
    <row r="210">
      <c r="A210">
        <f>IF(AND(OR(Query!$B$4="All",'Compliance Database'!$A210=Query!$B$4),OR(Query!$B$5="All",ISNUMBER(SEARCH(Query!$B$5,'Compliance Database'!$H210))),OR(Query!$B$6="All",ISNUMBER(SEARCH(Query!$B$6,'Compliance Database'!$I210))),OR(Query!$B$7="All",'Compliance Database'!$F210=Query!$B$7),OR(Query!$B$8="All",'Compliance Database'!$J210=Query!$B$8),OR(Query!$B$9="",ISNUMBER(SEARCH(Query!$B$9,'Compliance Database'!$D210&amp;" "&amp;'Compliance Database'!$K210&amp;" "&amp;'Compliance Database'!$L210&amp;" "&amp;'Compliance Database'!$M210&amp;" "&amp;'Compliance Database'!$N210)))),1,0)</f>
        <v/>
      </c>
      <c r="B210">
        <f>IF($A210=1,SUM($A$2:$A210),"")</f>
        <v/>
      </c>
      <c r="C210">
        <f>IF($A210=1,SUM($A$2:$A210),0)</f>
        <v/>
      </c>
    </row>
    <row r="211">
      <c r="A211">
        <f>IF(AND(OR(Query!$B$4="All",'Compliance Database'!$A211=Query!$B$4),OR(Query!$B$5="All",ISNUMBER(SEARCH(Query!$B$5,'Compliance Database'!$H211))),OR(Query!$B$6="All",ISNUMBER(SEARCH(Query!$B$6,'Compliance Database'!$I211))),OR(Query!$B$7="All",'Compliance Database'!$F211=Query!$B$7),OR(Query!$B$8="All",'Compliance Database'!$J211=Query!$B$8),OR(Query!$B$9="",ISNUMBER(SEARCH(Query!$B$9,'Compliance Database'!$D211&amp;" "&amp;'Compliance Database'!$K211&amp;" "&amp;'Compliance Database'!$L211&amp;" "&amp;'Compliance Database'!$M211&amp;" "&amp;'Compliance Database'!$N211)))),1,0)</f>
        <v/>
      </c>
      <c r="B211">
        <f>IF($A211=1,SUM($A$2:$A211),"")</f>
        <v/>
      </c>
      <c r="C211">
        <f>IF($A211=1,SUM($A$2:$A211),0)</f>
        <v/>
      </c>
    </row>
    <row r="212">
      <c r="A212">
        <f>IF(AND(OR(Query!$B$4="All",'Compliance Database'!$A212=Query!$B$4),OR(Query!$B$5="All",ISNUMBER(SEARCH(Query!$B$5,'Compliance Database'!$H212))),OR(Query!$B$6="All",ISNUMBER(SEARCH(Query!$B$6,'Compliance Database'!$I212))),OR(Query!$B$7="All",'Compliance Database'!$F212=Query!$B$7),OR(Query!$B$8="All",'Compliance Database'!$J212=Query!$B$8),OR(Query!$B$9="",ISNUMBER(SEARCH(Query!$B$9,'Compliance Database'!$D212&amp;" "&amp;'Compliance Database'!$K212&amp;" "&amp;'Compliance Database'!$L212&amp;" "&amp;'Compliance Database'!$M212&amp;" "&amp;'Compliance Database'!$N212)))),1,0)</f>
        <v/>
      </c>
      <c r="B212">
        <f>IF($A212=1,SUM($A$2:$A212),"")</f>
        <v/>
      </c>
      <c r="C212">
        <f>IF($A212=1,SUM($A$2:$A212),0)</f>
        <v/>
      </c>
    </row>
    <row r="213">
      <c r="A213">
        <f>IF(AND(OR(Query!$B$4="All",'Compliance Database'!$A213=Query!$B$4),OR(Query!$B$5="All",ISNUMBER(SEARCH(Query!$B$5,'Compliance Database'!$H213))),OR(Query!$B$6="All",ISNUMBER(SEARCH(Query!$B$6,'Compliance Database'!$I213))),OR(Query!$B$7="All",'Compliance Database'!$F213=Query!$B$7),OR(Query!$B$8="All",'Compliance Database'!$J213=Query!$B$8),OR(Query!$B$9="",ISNUMBER(SEARCH(Query!$B$9,'Compliance Database'!$D213&amp;" "&amp;'Compliance Database'!$K213&amp;" "&amp;'Compliance Database'!$L213&amp;" "&amp;'Compliance Database'!$M213&amp;" "&amp;'Compliance Database'!$N213)))),1,0)</f>
        <v/>
      </c>
      <c r="B213">
        <f>IF($A213=1,SUM($A$2:$A213),"")</f>
        <v/>
      </c>
      <c r="C213">
        <f>IF($A213=1,SUM($A$2:$A213),0)</f>
        <v/>
      </c>
    </row>
    <row r="214">
      <c r="A214">
        <f>IF(AND(OR(Query!$B$4="All",'Compliance Database'!$A214=Query!$B$4),OR(Query!$B$5="All",ISNUMBER(SEARCH(Query!$B$5,'Compliance Database'!$H214))),OR(Query!$B$6="All",ISNUMBER(SEARCH(Query!$B$6,'Compliance Database'!$I214))),OR(Query!$B$7="All",'Compliance Database'!$F214=Query!$B$7),OR(Query!$B$8="All",'Compliance Database'!$J214=Query!$B$8),OR(Query!$B$9="",ISNUMBER(SEARCH(Query!$B$9,'Compliance Database'!$D214&amp;" "&amp;'Compliance Database'!$K214&amp;" "&amp;'Compliance Database'!$L214&amp;" "&amp;'Compliance Database'!$M214&amp;" "&amp;'Compliance Database'!$N214)))),1,0)</f>
        <v/>
      </c>
      <c r="B214">
        <f>IF($A214=1,SUM($A$2:$A214),"")</f>
        <v/>
      </c>
      <c r="C214">
        <f>IF($A214=1,SUM($A$2:$A214),0)</f>
        <v/>
      </c>
    </row>
    <row r="215">
      <c r="A215">
        <f>IF(AND(OR(Query!$B$4="All",'Compliance Database'!$A215=Query!$B$4),OR(Query!$B$5="All",ISNUMBER(SEARCH(Query!$B$5,'Compliance Database'!$H215))),OR(Query!$B$6="All",ISNUMBER(SEARCH(Query!$B$6,'Compliance Database'!$I215))),OR(Query!$B$7="All",'Compliance Database'!$F215=Query!$B$7),OR(Query!$B$8="All",'Compliance Database'!$J215=Query!$B$8),OR(Query!$B$9="",ISNUMBER(SEARCH(Query!$B$9,'Compliance Database'!$D215&amp;" "&amp;'Compliance Database'!$K215&amp;" "&amp;'Compliance Database'!$L215&amp;" "&amp;'Compliance Database'!$M215&amp;" "&amp;'Compliance Database'!$N215)))),1,0)</f>
        <v/>
      </c>
      <c r="B215">
        <f>IF($A215=1,SUM($A$2:$A215),"")</f>
        <v/>
      </c>
      <c r="C215">
        <f>IF($A215=1,SUM($A$2:$A215),0)</f>
        <v/>
      </c>
    </row>
    <row r="216">
      <c r="A216">
        <f>IF(AND(OR(Query!$B$4="All",'Compliance Database'!$A216=Query!$B$4),OR(Query!$B$5="All",ISNUMBER(SEARCH(Query!$B$5,'Compliance Database'!$H216))),OR(Query!$B$6="All",ISNUMBER(SEARCH(Query!$B$6,'Compliance Database'!$I216))),OR(Query!$B$7="All",'Compliance Database'!$F216=Query!$B$7),OR(Query!$B$8="All",'Compliance Database'!$J216=Query!$B$8),OR(Query!$B$9="",ISNUMBER(SEARCH(Query!$B$9,'Compliance Database'!$D216&amp;" "&amp;'Compliance Database'!$K216&amp;" "&amp;'Compliance Database'!$L216&amp;" "&amp;'Compliance Database'!$M216&amp;" "&amp;'Compliance Database'!$N216)))),1,0)</f>
        <v/>
      </c>
      <c r="B216">
        <f>IF($A216=1,SUM($A$2:$A216),"")</f>
        <v/>
      </c>
      <c r="C216">
        <f>IF($A216=1,SUM($A$2:$A216),0)</f>
        <v/>
      </c>
    </row>
    <row r="217">
      <c r="A217">
        <f>IF(AND(OR(Query!$B$4="All",'Compliance Database'!$A217=Query!$B$4),OR(Query!$B$5="All",ISNUMBER(SEARCH(Query!$B$5,'Compliance Database'!$H217))),OR(Query!$B$6="All",ISNUMBER(SEARCH(Query!$B$6,'Compliance Database'!$I217))),OR(Query!$B$7="All",'Compliance Database'!$F217=Query!$B$7),OR(Query!$B$8="All",'Compliance Database'!$J217=Query!$B$8),OR(Query!$B$9="",ISNUMBER(SEARCH(Query!$B$9,'Compliance Database'!$D217&amp;" "&amp;'Compliance Database'!$K217&amp;" "&amp;'Compliance Database'!$L217&amp;" "&amp;'Compliance Database'!$M217&amp;" "&amp;'Compliance Database'!$N217)))),1,0)</f>
        <v/>
      </c>
      <c r="B217">
        <f>IF($A217=1,SUM($A$2:$A217),"")</f>
        <v/>
      </c>
      <c r="C217">
        <f>IF($A217=1,SUM($A$2:$A217),0)</f>
        <v/>
      </c>
    </row>
    <row r="218">
      <c r="A218">
        <f>IF(AND(OR(Query!$B$4="All",'Compliance Database'!$A218=Query!$B$4),OR(Query!$B$5="All",ISNUMBER(SEARCH(Query!$B$5,'Compliance Database'!$H218))),OR(Query!$B$6="All",ISNUMBER(SEARCH(Query!$B$6,'Compliance Database'!$I218))),OR(Query!$B$7="All",'Compliance Database'!$F218=Query!$B$7),OR(Query!$B$8="All",'Compliance Database'!$J218=Query!$B$8),OR(Query!$B$9="",ISNUMBER(SEARCH(Query!$B$9,'Compliance Database'!$D218&amp;" "&amp;'Compliance Database'!$K218&amp;" "&amp;'Compliance Database'!$L218&amp;" "&amp;'Compliance Database'!$M218&amp;" "&amp;'Compliance Database'!$N218)))),1,0)</f>
        <v/>
      </c>
      <c r="B218">
        <f>IF($A218=1,SUM($A$2:$A218),"")</f>
        <v/>
      </c>
      <c r="C218">
        <f>IF($A218=1,SUM($A$2:$A218),0)</f>
        <v/>
      </c>
    </row>
    <row r="219">
      <c r="A219">
        <f>IF(AND(OR(Query!$B$4="All",'Compliance Database'!$A219=Query!$B$4),OR(Query!$B$5="All",ISNUMBER(SEARCH(Query!$B$5,'Compliance Database'!$H219))),OR(Query!$B$6="All",ISNUMBER(SEARCH(Query!$B$6,'Compliance Database'!$I219))),OR(Query!$B$7="All",'Compliance Database'!$F219=Query!$B$7),OR(Query!$B$8="All",'Compliance Database'!$J219=Query!$B$8),OR(Query!$B$9="",ISNUMBER(SEARCH(Query!$B$9,'Compliance Database'!$D219&amp;" "&amp;'Compliance Database'!$K219&amp;" "&amp;'Compliance Database'!$L219&amp;" "&amp;'Compliance Database'!$M219&amp;" "&amp;'Compliance Database'!$N219)))),1,0)</f>
        <v/>
      </c>
      <c r="B219">
        <f>IF($A219=1,SUM($A$2:$A219),"")</f>
        <v/>
      </c>
      <c r="C219">
        <f>IF($A219=1,SUM($A$2:$A219),0)</f>
        <v/>
      </c>
    </row>
    <row r="220">
      <c r="A220">
        <f>IF(AND(OR(Query!$B$4="All",'Compliance Database'!$A220=Query!$B$4),OR(Query!$B$5="All",ISNUMBER(SEARCH(Query!$B$5,'Compliance Database'!$H220))),OR(Query!$B$6="All",ISNUMBER(SEARCH(Query!$B$6,'Compliance Database'!$I220))),OR(Query!$B$7="All",'Compliance Database'!$F220=Query!$B$7),OR(Query!$B$8="All",'Compliance Database'!$J220=Query!$B$8),OR(Query!$B$9="",ISNUMBER(SEARCH(Query!$B$9,'Compliance Database'!$D220&amp;" "&amp;'Compliance Database'!$K220&amp;" "&amp;'Compliance Database'!$L220&amp;" "&amp;'Compliance Database'!$M220&amp;" "&amp;'Compliance Database'!$N220)))),1,0)</f>
        <v/>
      </c>
      <c r="B220">
        <f>IF($A220=1,SUM($A$2:$A220),"")</f>
        <v/>
      </c>
      <c r="C220">
        <f>IF($A220=1,SUM($A$2:$A220),0)</f>
        <v/>
      </c>
    </row>
    <row r="221">
      <c r="A221">
        <f>IF(AND(OR(Query!$B$4="All",'Compliance Database'!$A221=Query!$B$4),OR(Query!$B$5="All",ISNUMBER(SEARCH(Query!$B$5,'Compliance Database'!$H221))),OR(Query!$B$6="All",ISNUMBER(SEARCH(Query!$B$6,'Compliance Database'!$I221))),OR(Query!$B$7="All",'Compliance Database'!$F221=Query!$B$7),OR(Query!$B$8="All",'Compliance Database'!$J221=Query!$B$8),OR(Query!$B$9="",ISNUMBER(SEARCH(Query!$B$9,'Compliance Database'!$D221&amp;" "&amp;'Compliance Database'!$K221&amp;" "&amp;'Compliance Database'!$L221&amp;" "&amp;'Compliance Database'!$M221&amp;" "&amp;'Compliance Database'!$N221)))),1,0)</f>
        <v/>
      </c>
      <c r="B221">
        <f>IF($A221=1,SUM($A$2:$A221),"")</f>
        <v/>
      </c>
      <c r="C221">
        <f>IF($A221=1,SUM($A$2:$A221),0)</f>
        <v/>
      </c>
    </row>
    <row r="222">
      <c r="A222">
        <f>IF(AND(OR(Query!$B$4="All",'Compliance Database'!$A222=Query!$B$4),OR(Query!$B$5="All",ISNUMBER(SEARCH(Query!$B$5,'Compliance Database'!$H222))),OR(Query!$B$6="All",ISNUMBER(SEARCH(Query!$B$6,'Compliance Database'!$I222))),OR(Query!$B$7="All",'Compliance Database'!$F222=Query!$B$7),OR(Query!$B$8="All",'Compliance Database'!$J222=Query!$B$8),OR(Query!$B$9="",ISNUMBER(SEARCH(Query!$B$9,'Compliance Database'!$D222&amp;" "&amp;'Compliance Database'!$K222&amp;" "&amp;'Compliance Database'!$L222&amp;" "&amp;'Compliance Database'!$M222&amp;" "&amp;'Compliance Database'!$N222)))),1,0)</f>
        <v/>
      </c>
      <c r="B222">
        <f>IF($A222=1,SUM($A$2:$A222),"")</f>
        <v/>
      </c>
      <c r="C222">
        <f>IF($A222=1,SUM($A$2:$A222),0)</f>
        <v/>
      </c>
    </row>
    <row r="223">
      <c r="A223">
        <f>IF(AND(OR(Query!$B$4="All",'Compliance Database'!$A223=Query!$B$4),OR(Query!$B$5="All",ISNUMBER(SEARCH(Query!$B$5,'Compliance Database'!$H223))),OR(Query!$B$6="All",ISNUMBER(SEARCH(Query!$B$6,'Compliance Database'!$I223))),OR(Query!$B$7="All",'Compliance Database'!$F223=Query!$B$7),OR(Query!$B$8="All",'Compliance Database'!$J223=Query!$B$8),OR(Query!$B$9="",ISNUMBER(SEARCH(Query!$B$9,'Compliance Database'!$D223&amp;" "&amp;'Compliance Database'!$K223&amp;" "&amp;'Compliance Database'!$L223&amp;" "&amp;'Compliance Database'!$M223&amp;" "&amp;'Compliance Database'!$N223)))),1,0)</f>
        <v/>
      </c>
      <c r="B223">
        <f>IF($A223=1,SUM($A$2:$A223),"")</f>
        <v/>
      </c>
      <c r="C223">
        <f>IF($A223=1,SUM($A$2:$A223),0)</f>
        <v/>
      </c>
    </row>
    <row r="224">
      <c r="A224">
        <f>IF(AND(OR(Query!$B$4="All",'Compliance Database'!$A224=Query!$B$4),OR(Query!$B$5="All",ISNUMBER(SEARCH(Query!$B$5,'Compliance Database'!$H224))),OR(Query!$B$6="All",ISNUMBER(SEARCH(Query!$B$6,'Compliance Database'!$I224))),OR(Query!$B$7="All",'Compliance Database'!$F224=Query!$B$7),OR(Query!$B$8="All",'Compliance Database'!$J224=Query!$B$8),OR(Query!$B$9="",ISNUMBER(SEARCH(Query!$B$9,'Compliance Database'!$D224&amp;" "&amp;'Compliance Database'!$K224&amp;" "&amp;'Compliance Database'!$L224&amp;" "&amp;'Compliance Database'!$M224&amp;" "&amp;'Compliance Database'!$N224)))),1,0)</f>
        <v/>
      </c>
      <c r="B224">
        <f>IF($A224=1,SUM($A$2:$A224),"")</f>
        <v/>
      </c>
      <c r="C224">
        <f>IF($A224=1,SUM($A$2:$A224),0)</f>
        <v/>
      </c>
    </row>
    <row r="225">
      <c r="A225">
        <f>IF(AND(OR(Query!$B$4="All",'Compliance Database'!$A225=Query!$B$4),OR(Query!$B$5="All",ISNUMBER(SEARCH(Query!$B$5,'Compliance Database'!$H225))),OR(Query!$B$6="All",ISNUMBER(SEARCH(Query!$B$6,'Compliance Database'!$I225))),OR(Query!$B$7="All",'Compliance Database'!$F225=Query!$B$7),OR(Query!$B$8="All",'Compliance Database'!$J225=Query!$B$8),OR(Query!$B$9="",ISNUMBER(SEARCH(Query!$B$9,'Compliance Database'!$D225&amp;" "&amp;'Compliance Database'!$K225&amp;" "&amp;'Compliance Database'!$L225&amp;" "&amp;'Compliance Database'!$M225&amp;" "&amp;'Compliance Database'!$N225)))),1,0)</f>
        <v/>
      </c>
      <c r="B225">
        <f>IF($A225=1,SUM($A$2:$A225),"")</f>
        <v/>
      </c>
      <c r="C225">
        <f>IF($A225=1,SUM($A$2:$A225),0)</f>
        <v/>
      </c>
    </row>
    <row r="226">
      <c r="A226">
        <f>IF(AND(OR(Query!$B$4="All",'Compliance Database'!$A226=Query!$B$4),OR(Query!$B$5="All",ISNUMBER(SEARCH(Query!$B$5,'Compliance Database'!$H226))),OR(Query!$B$6="All",ISNUMBER(SEARCH(Query!$B$6,'Compliance Database'!$I226))),OR(Query!$B$7="All",'Compliance Database'!$F226=Query!$B$7),OR(Query!$B$8="All",'Compliance Database'!$J226=Query!$B$8),OR(Query!$B$9="",ISNUMBER(SEARCH(Query!$B$9,'Compliance Database'!$D226&amp;" "&amp;'Compliance Database'!$K226&amp;" "&amp;'Compliance Database'!$L226&amp;" "&amp;'Compliance Database'!$M226&amp;" "&amp;'Compliance Database'!$N226)))),1,0)</f>
        <v/>
      </c>
      <c r="B226">
        <f>IF($A226=1,SUM($A$2:$A226),"")</f>
        <v/>
      </c>
      <c r="C226">
        <f>IF($A226=1,SUM($A$2:$A226),0)</f>
        <v/>
      </c>
    </row>
    <row r="227">
      <c r="A227">
        <f>IF(AND(OR(Query!$B$4="All",'Compliance Database'!$A227=Query!$B$4),OR(Query!$B$5="All",ISNUMBER(SEARCH(Query!$B$5,'Compliance Database'!$H227))),OR(Query!$B$6="All",ISNUMBER(SEARCH(Query!$B$6,'Compliance Database'!$I227))),OR(Query!$B$7="All",'Compliance Database'!$F227=Query!$B$7),OR(Query!$B$8="All",'Compliance Database'!$J227=Query!$B$8),OR(Query!$B$9="",ISNUMBER(SEARCH(Query!$B$9,'Compliance Database'!$D227&amp;" "&amp;'Compliance Database'!$K227&amp;" "&amp;'Compliance Database'!$L227&amp;" "&amp;'Compliance Database'!$M227&amp;" "&amp;'Compliance Database'!$N227)))),1,0)</f>
        <v/>
      </c>
      <c r="B227">
        <f>IF($A227=1,SUM($A$2:$A227),"")</f>
        <v/>
      </c>
      <c r="C227">
        <f>IF($A227=1,SUM($A$2:$A227),0)</f>
        <v/>
      </c>
    </row>
    <row r="228">
      <c r="A228">
        <f>IF(AND(OR(Query!$B$4="All",'Compliance Database'!$A228=Query!$B$4),OR(Query!$B$5="All",ISNUMBER(SEARCH(Query!$B$5,'Compliance Database'!$H228))),OR(Query!$B$6="All",ISNUMBER(SEARCH(Query!$B$6,'Compliance Database'!$I228))),OR(Query!$B$7="All",'Compliance Database'!$F228=Query!$B$7),OR(Query!$B$8="All",'Compliance Database'!$J228=Query!$B$8),OR(Query!$B$9="",ISNUMBER(SEARCH(Query!$B$9,'Compliance Database'!$D228&amp;" "&amp;'Compliance Database'!$K228&amp;" "&amp;'Compliance Database'!$L228&amp;" "&amp;'Compliance Database'!$M228&amp;" "&amp;'Compliance Database'!$N228)))),1,0)</f>
        <v/>
      </c>
      <c r="B228">
        <f>IF($A228=1,SUM($A$2:$A228),"")</f>
        <v/>
      </c>
      <c r="C228">
        <f>IF($A228=1,SUM($A$2:$A228),0)</f>
        <v/>
      </c>
    </row>
    <row r="229">
      <c r="A229">
        <f>IF(AND(OR(Query!$B$4="All",'Compliance Database'!$A229=Query!$B$4),OR(Query!$B$5="All",ISNUMBER(SEARCH(Query!$B$5,'Compliance Database'!$H229))),OR(Query!$B$6="All",ISNUMBER(SEARCH(Query!$B$6,'Compliance Database'!$I229))),OR(Query!$B$7="All",'Compliance Database'!$F229=Query!$B$7),OR(Query!$B$8="All",'Compliance Database'!$J229=Query!$B$8),OR(Query!$B$9="",ISNUMBER(SEARCH(Query!$B$9,'Compliance Database'!$D229&amp;" "&amp;'Compliance Database'!$K229&amp;" "&amp;'Compliance Database'!$L229&amp;" "&amp;'Compliance Database'!$M229&amp;" "&amp;'Compliance Database'!$N229)))),1,0)</f>
        <v/>
      </c>
      <c r="B229">
        <f>IF($A229=1,SUM($A$2:$A229),"")</f>
        <v/>
      </c>
      <c r="C229">
        <f>IF($A229=1,SUM($A$2:$A229),0)</f>
        <v/>
      </c>
    </row>
    <row r="230">
      <c r="A230">
        <f>IF(AND(OR(Query!$B$4="All",'Compliance Database'!$A230=Query!$B$4),OR(Query!$B$5="All",ISNUMBER(SEARCH(Query!$B$5,'Compliance Database'!$H230))),OR(Query!$B$6="All",ISNUMBER(SEARCH(Query!$B$6,'Compliance Database'!$I230))),OR(Query!$B$7="All",'Compliance Database'!$F230=Query!$B$7),OR(Query!$B$8="All",'Compliance Database'!$J230=Query!$B$8),OR(Query!$B$9="",ISNUMBER(SEARCH(Query!$B$9,'Compliance Database'!$D230&amp;" "&amp;'Compliance Database'!$K230&amp;" "&amp;'Compliance Database'!$L230&amp;" "&amp;'Compliance Database'!$M230&amp;" "&amp;'Compliance Database'!$N230)))),1,0)</f>
        <v/>
      </c>
      <c r="B230">
        <f>IF($A230=1,SUM($A$2:$A230),"")</f>
        <v/>
      </c>
      <c r="C230">
        <f>IF($A230=1,SUM($A$2:$A230),0)</f>
        <v/>
      </c>
    </row>
    <row r="231">
      <c r="A231">
        <f>IF(AND(OR(Query!$B$4="All",'Compliance Database'!$A231=Query!$B$4),OR(Query!$B$5="All",ISNUMBER(SEARCH(Query!$B$5,'Compliance Database'!$H231))),OR(Query!$B$6="All",ISNUMBER(SEARCH(Query!$B$6,'Compliance Database'!$I231))),OR(Query!$B$7="All",'Compliance Database'!$F231=Query!$B$7),OR(Query!$B$8="All",'Compliance Database'!$J231=Query!$B$8),OR(Query!$B$9="",ISNUMBER(SEARCH(Query!$B$9,'Compliance Database'!$D231&amp;" "&amp;'Compliance Database'!$K231&amp;" "&amp;'Compliance Database'!$L231&amp;" "&amp;'Compliance Database'!$M231&amp;" "&amp;'Compliance Database'!$N231)))),1,0)</f>
        <v/>
      </c>
      <c r="B231">
        <f>IF($A231=1,SUM($A$2:$A231),"")</f>
        <v/>
      </c>
      <c r="C231">
        <f>IF($A231=1,SUM($A$2:$A231),0)</f>
        <v/>
      </c>
    </row>
    <row r="232">
      <c r="A232">
        <f>IF(AND(OR(Query!$B$4="All",'Compliance Database'!$A232=Query!$B$4),OR(Query!$B$5="All",ISNUMBER(SEARCH(Query!$B$5,'Compliance Database'!$H232))),OR(Query!$B$6="All",ISNUMBER(SEARCH(Query!$B$6,'Compliance Database'!$I232))),OR(Query!$B$7="All",'Compliance Database'!$F232=Query!$B$7),OR(Query!$B$8="All",'Compliance Database'!$J232=Query!$B$8),OR(Query!$B$9="",ISNUMBER(SEARCH(Query!$B$9,'Compliance Database'!$D232&amp;" "&amp;'Compliance Database'!$K232&amp;" "&amp;'Compliance Database'!$L232&amp;" "&amp;'Compliance Database'!$M232&amp;" "&amp;'Compliance Database'!$N232)))),1,0)</f>
        <v/>
      </c>
      <c r="B232">
        <f>IF($A232=1,SUM($A$2:$A232),"")</f>
        <v/>
      </c>
      <c r="C232">
        <f>IF($A232=1,SUM($A$2:$A232),0)</f>
        <v/>
      </c>
    </row>
    <row r="233">
      <c r="A233">
        <f>IF(AND(OR(Query!$B$4="All",'Compliance Database'!$A233=Query!$B$4),OR(Query!$B$5="All",ISNUMBER(SEARCH(Query!$B$5,'Compliance Database'!$H233))),OR(Query!$B$6="All",ISNUMBER(SEARCH(Query!$B$6,'Compliance Database'!$I233))),OR(Query!$B$7="All",'Compliance Database'!$F233=Query!$B$7),OR(Query!$B$8="All",'Compliance Database'!$J233=Query!$B$8),OR(Query!$B$9="",ISNUMBER(SEARCH(Query!$B$9,'Compliance Database'!$D233&amp;" "&amp;'Compliance Database'!$K233&amp;" "&amp;'Compliance Database'!$L233&amp;" "&amp;'Compliance Database'!$M233&amp;" "&amp;'Compliance Database'!$N233)))),1,0)</f>
        <v/>
      </c>
      <c r="B233">
        <f>IF($A233=1,SUM($A$2:$A233),"")</f>
        <v/>
      </c>
      <c r="C233">
        <f>IF($A233=1,SUM($A$2:$A233),0)</f>
        <v/>
      </c>
    </row>
    <row r="234">
      <c r="A234">
        <f>IF(AND(OR(Query!$B$4="All",'Compliance Database'!$A234=Query!$B$4),OR(Query!$B$5="All",ISNUMBER(SEARCH(Query!$B$5,'Compliance Database'!$H234))),OR(Query!$B$6="All",ISNUMBER(SEARCH(Query!$B$6,'Compliance Database'!$I234))),OR(Query!$B$7="All",'Compliance Database'!$F234=Query!$B$7),OR(Query!$B$8="All",'Compliance Database'!$J234=Query!$B$8),OR(Query!$B$9="",ISNUMBER(SEARCH(Query!$B$9,'Compliance Database'!$D234&amp;" "&amp;'Compliance Database'!$K234&amp;" "&amp;'Compliance Database'!$L234&amp;" "&amp;'Compliance Database'!$M234&amp;" "&amp;'Compliance Database'!$N234)))),1,0)</f>
        <v/>
      </c>
      <c r="B234">
        <f>IF($A234=1,SUM($A$2:$A234),"")</f>
        <v/>
      </c>
      <c r="C234">
        <f>IF($A234=1,SUM($A$2:$A234),0)</f>
        <v/>
      </c>
    </row>
    <row r="235">
      <c r="A235">
        <f>IF(AND(OR(Query!$B$4="All",'Compliance Database'!$A235=Query!$B$4),OR(Query!$B$5="All",ISNUMBER(SEARCH(Query!$B$5,'Compliance Database'!$H235))),OR(Query!$B$6="All",ISNUMBER(SEARCH(Query!$B$6,'Compliance Database'!$I235))),OR(Query!$B$7="All",'Compliance Database'!$F235=Query!$B$7),OR(Query!$B$8="All",'Compliance Database'!$J235=Query!$B$8),OR(Query!$B$9="",ISNUMBER(SEARCH(Query!$B$9,'Compliance Database'!$D235&amp;" "&amp;'Compliance Database'!$K235&amp;" "&amp;'Compliance Database'!$L235&amp;" "&amp;'Compliance Database'!$M235&amp;" "&amp;'Compliance Database'!$N235)))),1,0)</f>
        <v/>
      </c>
      <c r="B235">
        <f>IF($A235=1,SUM($A$2:$A235),"")</f>
        <v/>
      </c>
      <c r="C235">
        <f>IF($A235=1,SUM($A$2:$A235),0)</f>
        <v/>
      </c>
    </row>
    <row r="236">
      <c r="A236">
        <f>IF(AND(OR(Query!$B$4="All",'Compliance Database'!$A236=Query!$B$4),OR(Query!$B$5="All",ISNUMBER(SEARCH(Query!$B$5,'Compliance Database'!$H236))),OR(Query!$B$6="All",ISNUMBER(SEARCH(Query!$B$6,'Compliance Database'!$I236))),OR(Query!$B$7="All",'Compliance Database'!$F236=Query!$B$7),OR(Query!$B$8="All",'Compliance Database'!$J236=Query!$B$8),OR(Query!$B$9="",ISNUMBER(SEARCH(Query!$B$9,'Compliance Database'!$D236&amp;" "&amp;'Compliance Database'!$K236&amp;" "&amp;'Compliance Database'!$L236&amp;" "&amp;'Compliance Database'!$M236&amp;" "&amp;'Compliance Database'!$N236)))),1,0)</f>
        <v/>
      </c>
      <c r="B236">
        <f>IF($A236=1,SUM($A$2:$A236),"")</f>
        <v/>
      </c>
      <c r="C236">
        <f>IF($A236=1,SUM($A$2:$A236),0)</f>
        <v/>
      </c>
    </row>
    <row r="237">
      <c r="A237">
        <f>IF(AND(OR(Query!$B$4="All",'Compliance Database'!$A237=Query!$B$4),OR(Query!$B$5="All",ISNUMBER(SEARCH(Query!$B$5,'Compliance Database'!$H237))),OR(Query!$B$6="All",ISNUMBER(SEARCH(Query!$B$6,'Compliance Database'!$I237))),OR(Query!$B$7="All",'Compliance Database'!$F237=Query!$B$7),OR(Query!$B$8="All",'Compliance Database'!$J237=Query!$B$8),OR(Query!$B$9="",ISNUMBER(SEARCH(Query!$B$9,'Compliance Database'!$D237&amp;" "&amp;'Compliance Database'!$K237&amp;" "&amp;'Compliance Database'!$L237&amp;" "&amp;'Compliance Database'!$M237&amp;" "&amp;'Compliance Database'!$N237)))),1,0)</f>
        <v/>
      </c>
      <c r="B237">
        <f>IF($A237=1,SUM($A$2:$A237),"")</f>
        <v/>
      </c>
      <c r="C237">
        <f>IF($A237=1,SUM($A$2:$A237),0)</f>
        <v/>
      </c>
    </row>
    <row r="238">
      <c r="A238">
        <f>IF(AND(OR(Query!$B$4="All",'Compliance Database'!$A238=Query!$B$4),OR(Query!$B$5="All",ISNUMBER(SEARCH(Query!$B$5,'Compliance Database'!$H238))),OR(Query!$B$6="All",ISNUMBER(SEARCH(Query!$B$6,'Compliance Database'!$I238))),OR(Query!$B$7="All",'Compliance Database'!$F238=Query!$B$7),OR(Query!$B$8="All",'Compliance Database'!$J238=Query!$B$8),OR(Query!$B$9="",ISNUMBER(SEARCH(Query!$B$9,'Compliance Database'!$D238&amp;" "&amp;'Compliance Database'!$K238&amp;" "&amp;'Compliance Database'!$L238&amp;" "&amp;'Compliance Database'!$M238&amp;" "&amp;'Compliance Database'!$N238)))),1,0)</f>
        <v/>
      </c>
      <c r="B238">
        <f>IF($A238=1,SUM($A$2:$A238),"")</f>
        <v/>
      </c>
      <c r="C238">
        <f>IF($A238=1,SUM($A$2:$A238),0)</f>
        <v/>
      </c>
    </row>
    <row r="239">
      <c r="A239">
        <f>IF(AND(OR(Query!$B$4="All",'Compliance Database'!$A239=Query!$B$4),OR(Query!$B$5="All",ISNUMBER(SEARCH(Query!$B$5,'Compliance Database'!$H239))),OR(Query!$B$6="All",ISNUMBER(SEARCH(Query!$B$6,'Compliance Database'!$I239))),OR(Query!$B$7="All",'Compliance Database'!$F239=Query!$B$7),OR(Query!$B$8="All",'Compliance Database'!$J239=Query!$B$8),OR(Query!$B$9="",ISNUMBER(SEARCH(Query!$B$9,'Compliance Database'!$D239&amp;" "&amp;'Compliance Database'!$K239&amp;" "&amp;'Compliance Database'!$L239&amp;" "&amp;'Compliance Database'!$M239&amp;" "&amp;'Compliance Database'!$N239)))),1,0)</f>
        <v/>
      </c>
      <c r="B239">
        <f>IF($A239=1,SUM($A$2:$A239),"")</f>
        <v/>
      </c>
      <c r="C239">
        <f>IF($A239=1,SUM($A$2:$A239),0)</f>
        <v/>
      </c>
    </row>
    <row r="240">
      <c r="A240">
        <f>IF(AND(OR(Query!$B$4="All",'Compliance Database'!$A240=Query!$B$4),OR(Query!$B$5="All",ISNUMBER(SEARCH(Query!$B$5,'Compliance Database'!$H240))),OR(Query!$B$6="All",ISNUMBER(SEARCH(Query!$B$6,'Compliance Database'!$I240))),OR(Query!$B$7="All",'Compliance Database'!$F240=Query!$B$7),OR(Query!$B$8="All",'Compliance Database'!$J240=Query!$B$8),OR(Query!$B$9="",ISNUMBER(SEARCH(Query!$B$9,'Compliance Database'!$D240&amp;" "&amp;'Compliance Database'!$K240&amp;" "&amp;'Compliance Database'!$L240&amp;" "&amp;'Compliance Database'!$M240&amp;" "&amp;'Compliance Database'!$N240)))),1,0)</f>
        <v/>
      </c>
      <c r="B240">
        <f>IF($A240=1,SUM($A$2:$A240),"")</f>
        <v/>
      </c>
      <c r="C240">
        <f>IF($A240=1,SUM($A$2:$A240),0)</f>
        <v/>
      </c>
    </row>
    <row r="241">
      <c r="A241">
        <f>IF(AND(OR(Query!$B$4="All",'Compliance Database'!$A241=Query!$B$4),OR(Query!$B$5="All",ISNUMBER(SEARCH(Query!$B$5,'Compliance Database'!$H241))),OR(Query!$B$6="All",ISNUMBER(SEARCH(Query!$B$6,'Compliance Database'!$I241))),OR(Query!$B$7="All",'Compliance Database'!$F241=Query!$B$7),OR(Query!$B$8="All",'Compliance Database'!$J241=Query!$B$8),OR(Query!$B$9="",ISNUMBER(SEARCH(Query!$B$9,'Compliance Database'!$D241&amp;" "&amp;'Compliance Database'!$K241&amp;" "&amp;'Compliance Database'!$L241&amp;" "&amp;'Compliance Database'!$M241&amp;" "&amp;'Compliance Database'!$N241)))),1,0)</f>
        <v/>
      </c>
      <c r="B241">
        <f>IF($A241=1,SUM($A$2:$A241),"")</f>
        <v/>
      </c>
      <c r="C241">
        <f>IF($A241=1,SUM($A$2:$A241),0)</f>
        <v/>
      </c>
    </row>
    <row r="242">
      <c r="A242">
        <f>IF(AND(OR(Query!$B$4="All",'Compliance Database'!$A242=Query!$B$4),OR(Query!$B$5="All",ISNUMBER(SEARCH(Query!$B$5,'Compliance Database'!$H242))),OR(Query!$B$6="All",ISNUMBER(SEARCH(Query!$B$6,'Compliance Database'!$I242))),OR(Query!$B$7="All",'Compliance Database'!$F242=Query!$B$7),OR(Query!$B$8="All",'Compliance Database'!$J242=Query!$B$8),OR(Query!$B$9="",ISNUMBER(SEARCH(Query!$B$9,'Compliance Database'!$D242&amp;" "&amp;'Compliance Database'!$K242&amp;" "&amp;'Compliance Database'!$L242&amp;" "&amp;'Compliance Database'!$M242&amp;" "&amp;'Compliance Database'!$N242)))),1,0)</f>
        <v/>
      </c>
      <c r="B242">
        <f>IF($A242=1,SUM($A$2:$A242),"")</f>
        <v/>
      </c>
      <c r="C242">
        <f>IF($A242=1,SUM($A$2:$A242),0)</f>
        <v/>
      </c>
    </row>
    <row r="243">
      <c r="A243">
        <f>IF(AND(OR(Query!$B$4="All",'Compliance Database'!$A243=Query!$B$4),OR(Query!$B$5="All",ISNUMBER(SEARCH(Query!$B$5,'Compliance Database'!$H243))),OR(Query!$B$6="All",ISNUMBER(SEARCH(Query!$B$6,'Compliance Database'!$I243))),OR(Query!$B$7="All",'Compliance Database'!$F243=Query!$B$7),OR(Query!$B$8="All",'Compliance Database'!$J243=Query!$B$8),OR(Query!$B$9="",ISNUMBER(SEARCH(Query!$B$9,'Compliance Database'!$D243&amp;" "&amp;'Compliance Database'!$K243&amp;" "&amp;'Compliance Database'!$L243&amp;" "&amp;'Compliance Database'!$M243&amp;" "&amp;'Compliance Database'!$N243)))),1,0)</f>
        <v/>
      </c>
      <c r="B243">
        <f>IF($A243=1,SUM($A$2:$A243),"")</f>
        <v/>
      </c>
      <c r="C243">
        <f>IF($A243=1,SUM($A$2:$A243),0)</f>
        <v/>
      </c>
    </row>
    <row r="244">
      <c r="A244">
        <f>IF(AND(OR(Query!$B$4="All",'Compliance Database'!$A244=Query!$B$4),OR(Query!$B$5="All",ISNUMBER(SEARCH(Query!$B$5,'Compliance Database'!$H244))),OR(Query!$B$6="All",ISNUMBER(SEARCH(Query!$B$6,'Compliance Database'!$I244))),OR(Query!$B$7="All",'Compliance Database'!$F244=Query!$B$7),OR(Query!$B$8="All",'Compliance Database'!$J244=Query!$B$8),OR(Query!$B$9="",ISNUMBER(SEARCH(Query!$B$9,'Compliance Database'!$D244&amp;" "&amp;'Compliance Database'!$K244&amp;" "&amp;'Compliance Database'!$L244&amp;" "&amp;'Compliance Database'!$M244&amp;" "&amp;'Compliance Database'!$N244)))),1,0)</f>
        <v/>
      </c>
      <c r="B244">
        <f>IF($A244=1,SUM($A$2:$A244),"")</f>
        <v/>
      </c>
      <c r="C244">
        <f>IF($A244=1,SUM($A$2:$A244),0)</f>
        <v/>
      </c>
    </row>
    <row r="245">
      <c r="A245">
        <f>IF(AND(OR(Query!$B$4="All",'Compliance Database'!$A245=Query!$B$4),OR(Query!$B$5="All",ISNUMBER(SEARCH(Query!$B$5,'Compliance Database'!$H245))),OR(Query!$B$6="All",ISNUMBER(SEARCH(Query!$B$6,'Compliance Database'!$I245))),OR(Query!$B$7="All",'Compliance Database'!$F245=Query!$B$7),OR(Query!$B$8="All",'Compliance Database'!$J245=Query!$B$8),OR(Query!$B$9="",ISNUMBER(SEARCH(Query!$B$9,'Compliance Database'!$D245&amp;" "&amp;'Compliance Database'!$K245&amp;" "&amp;'Compliance Database'!$L245&amp;" "&amp;'Compliance Database'!$M245&amp;" "&amp;'Compliance Database'!$N245)))),1,0)</f>
        <v/>
      </c>
      <c r="B245">
        <f>IF($A245=1,SUM($A$2:$A245),"")</f>
        <v/>
      </c>
      <c r="C245">
        <f>IF($A245=1,SUM($A$2:$A245),0)</f>
        <v/>
      </c>
    </row>
    <row r="246">
      <c r="A246">
        <f>IF(AND(OR(Query!$B$4="All",'Compliance Database'!$A246=Query!$B$4),OR(Query!$B$5="All",ISNUMBER(SEARCH(Query!$B$5,'Compliance Database'!$H246))),OR(Query!$B$6="All",ISNUMBER(SEARCH(Query!$B$6,'Compliance Database'!$I246))),OR(Query!$B$7="All",'Compliance Database'!$F246=Query!$B$7),OR(Query!$B$8="All",'Compliance Database'!$J246=Query!$B$8),OR(Query!$B$9="",ISNUMBER(SEARCH(Query!$B$9,'Compliance Database'!$D246&amp;" "&amp;'Compliance Database'!$K246&amp;" "&amp;'Compliance Database'!$L246&amp;" "&amp;'Compliance Database'!$M246&amp;" "&amp;'Compliance Database'!$N246)))),1,0)</f>
        <v/>
      </c>
      <c r="B246">
        <f>IF($A246=1,SUM($A$2:$A246),"")</f>
        <v/>
      </c>
      <c r="C246">
        <f>IF($A246=1,SUM($A$2:$A246),0)</f>
        <v/>
      </c>
    </row>
    <row r="247">
      <c r="A247">
        <f>IF(AND(OR(Query!$B$4="All",'Compliance Database'!$A247=Query!$B$4),OR(Query!$B$5="All",ISNUMBER(SEARCH(Query!$B$5,'Compliance Database'!$H247))),OR(Query!$B$6="All",ISNUMBER(SEARCH(Query!$B$6,'Compliance Database'!$I247))),OR(Query!$B$7="All",'Compliance Database'!$F247=Query!$B$7),OR(Query!$B$8="All",'Compliance Database'!$J247=Query!$B$8),OR(Query!$B$9="",ISNUMBER(SEARCH(Query!$B$9,'Compliance Database'!$D247&amp;" "&amp;'Compliance Database'!$K247&amp;" "&amp;'Compliance Database'!$L247&amp;" "&amp;'Compliance Database'!$M247&amp;" "&amp;'Compliance Database'!$N247)))),1,0)</f>
        <v/>
      </c>
      <c r="B247">
        <f>IF($A247=1,SUM($A$2:$A247),"")</f>
        <v/>
      </c>
      <c r="C247">
        <f>IF($A247=1,SUM($A$2:$A247),0)</f>
        <v/>
      </c>
    </row>
    <row r="248">
      <c r="A248">
        <f>IF(AND(OR(Query!$B$4="All",'Compliance Database'!$A248=Query!$B$4),OR(Query!$B$5="All",ISNUMBER(SEARCH(Query!$B$5,'Compliance Database'!$H248))),OR(Query!$B$6="All",ISNUMBER(SEARCH(Query!$B$6,'Compliance Database'!$I248))),OR(Query!$B$7="All",'Compliance Database'!$F248=Query!$B$7),OR(Query!$B$8="All",'Compliance Database'!$J248=Query!$B$8),OR(Query!$B$9="",ISNUMBER(SEARCH(Query!$B$9,'Compliance Database'!$D248&amp;" "&amp;'Compliance Database'!$K248&amp;" "&amp;'Compliance Database'!$L248&amp;" "&amp;'Compliance Database'!$M248&amp;" "&amp;'Compliance Database'!$N248)))),1,0)</f>
        <v/>
      </c>
      <c r="B248">
        <f>IF($A248=1,SUM($A$2:$A248),"")</f>
        <v/>
      </c>
      <c r="C248">
        <f>IF($A248=1,SUM($A$2:$A248),0)</f>
        <v/>
      </c>
    </row>
    <row r="249">
      <c r="A249">
        <f>IF(AND(OR(Query!$B$4="All",'Compliance Database'!$A249=Query!$B$4),OR(Query!$B$5="All",ISNUMBER(SEARCH(Query!$B$5,'Compliance Database'!$H249))),OR(Query!$B$6="All",ISNUMBER(SEARCH(Query!$B$6,'Compliance Database'!$I249))),OR(Query!$B$7="All",'Compliance Database'!$F249=Query!$B$7),OR(Query!$B$8="All",'Compliance Database'!$J249=Query!$B$8),OR(Query!$B$9="",ISNUMBER(SEARCH(Query!$B$9,'Compliance Database'!$D249&amp;" "&amp;'Compliance Database'!$K249&amp;" "&amp;'Compliance Database'!$L249&amp;" "&amp;'Compliance Database'!$M249&amp;" "&amp;'Compliance Database'!$N249)))),1,0)</f>
        <v/>
      </c>
      <c r="B249">
        <f>IF($A249=1,SUM($A$2:$A249),"")</f>
        <v/>
      </c>
      <c r="C249">
        <f>IF($A249=1,SUM($A$2:$A249),0)</f>
        <v/>
      </c>
    </row>
    <row r="250">
      <c r="A250">
        <f>IF(AND(OR(Query!$B$4="All",'Compliance Database'!$A250=Query!$B$4),OR(Query!$B$5="All",ISNUMBER(SEARCH(Query!$B$5,'Compliance Database'!$H250))),OR(Query!$B$6="All",ISNUMBER(SEARCH(Query!$B$6,'Compliance Database'!$I250))),OR(Query!$B$7="All",'Compliance Database'!$F250=Query!$B$7),OR(Query!$B$8="All",'Compliance Database'!$J250=Query!$B$8),OR(Query!$B$9="",ISNUMBER(SEARCH(Query!$B$9,'Compliance Database'!$D250&amp;" "&amp;'Compliance Database'!$K250&amp;" "&amp;'Compliance Database'!$L250&amp;" "&amp;'Compliance Database'!$M250&amp;" "&amp;'Compliance Database'!$N250)))),1,0)</f>
        <v/>
      </c>
      <c r="B250">
        <f>IF($A250=1,SUM($A$2:$A250),"")</f>
        <v/>
      </c>
      <c r="C250">
        <f>IF($A250=1,SUM($A$2:$A250),0)</f>
        <v/>
      </c>
    </row>
    <row r="251">
      <c r="A251">
        <f>IF(AND(OR(Query!$B$4="All",'Compliance Database'!$A251=Query!$B$4),OR(Query!$B$5="All",ISNUMBER(SEARCH(Query!$B$5,'Compliance Database'!$H251))),OR(Query!$B$6="All",ISNUMBER(SEARCH(Query!$B$6,'Compliance Database'!$I251))),OR(Query!$B$7="All",'Compliance Database'!$F251=Query!$B$7),OR(Query!$B$8="All",'Compliance Database'!$J251=Query!$B$8),OR(Query!$B$9="",ISNUMBER(SEARCH(Query!$B$9,'Compliance Database'!$D251&amp;" "&amp;'Compliance Database'!$K251&amp;" "&amp;'Compliance Database'!$L251&amp;" "&amp;'Compliance Database'!$M251&amp;" "&amp;'Compliance Database'!$N251)))),1,0)</f>
        <v/>
      </c>
      <c r="B251">
        <f>IF($A251=1,SUM($A$2:$A251),"")</f>
        <v/>
      </c>
      <c r="C251">
        <f>IF($A251=1,SUM($A$2:$A251),0)</f>
        <v/>
      </c>
    </row>
    <row r="252">
      <c r="A252">
        <f>IF(AND(OR(Query!$B$4="All",'Compliance Database'!$A252=Query!$B$4),OR(Query!$B$5="All",ISNUMBER(SEARCH(Query!$B$5,'Compliance Database'!$H252))),OR(Query!$B$6="All",ISNUMBER(SEARCH(Query!$B$6,'Compliance Database'!$I252))),OR(Query!$B$7="All",'Compliance Database'!$F252=Query!$B$7),OR(Query!$B$8="All",'Compliance Database'!$J252=Query!$B$8),OR(Query!$B$9="",ISNUMBER(SEARCH(Query!$B$9,'Compliance Database'!$D252&amp;" "&amp;'Compliance Database'!$K252&amp;" "&amp;'Compliance Database'!$L252&amp;" "&amp;'Compliance Database'!$M252&amp;" "&amp;'Compliance Database'!$N252)))),1,0)</f>
        <v/>
      </c>
      <c r="B252">
        <f>IF($A252=1,SUM($A$2:$A252),"")</f>
        <v/>
      </c>
      <c r="C252">
        <f>IF($A252=1,SUM($A$2:$A252),0)</f>
        <v/>
      </c>
    </row>
    <row r="253">
      <c r="A253">
        <f>IF(AND(OR(Query!$B$4="All",'Compliance Database'!$A253=Query!$B$4),OR(Query!$B$5="All",ISNUMBER(SEARCH(Query!$B$5,'Compliance Database'!$H253))),OR(Query!$B$6="All",ISNUMBER(SEARCH(Query!$B$6,'Compliance Database'!$I253))),OR(Query!$B$7="All",'Compliance Database'!$F253=Query!$B$7),OR(Query!$B$8="All",'Compliance Database'!$J253=Query!$B$8),OR(Query!$B$9="",ISNUMBER(SEARCH(Query!$B$9,'Compliance Database'!$D253&amp;" "&amp;'Compliance Database'!$K253&amp;" "&amp;'Compliance Database'!$L253&amp;" "&amp;'Compliance Database'!$M253&amp;" "&amp;'Compliance Database'!$N253)))),1,0)</f>
        <v/>
      </c>
      <c r="B253">
        <f>IF($A253=1,SUM($A$2:$A253),"")</f>
        <v/>
      </c>
      <c r="C253">
        <f>IF($A253=1,SUM($A$2:$A253),0)</f>
        <v/>
      </c>
    </row>
    <row r="254">
      <c r="A254">
        <f>IF(AND(OR(Query!$B$4="All",'Compliance Database'!$A254=Query!$B$4),OR(Query!$B$5="All",ISNUMBER(SEARCH(Query!$B$5,'Compliance Database'!$H254))),OR(Query!$B$6="All",ISNUMBER(SEARCH(Query!$B$6,'Compliance Database'!$I254))),OR(Query!$B$7="All",'Compliance Database'!$F254=Query!$B$7),OR(Query!$B$8="All",'Compliance Database'!$J254=Query!$B$8),OR(Query!$B$9="",ISNUMBER(SEARCH(Query!$B$9,'Compliance Database'!$D254&amp;" "&amp;'Compliance Database'!$K254&amp;" "&amp;'Compliance Database'!$L254&amp;" "&amp;'Compliance Database'!$M254&amp;" "&amp;'Compliance Database'!$N254)))),1,0)</f>
        <v/>
      </c>
      <c r="B254">
        <f>IF($A254=1,SUM($A$2:$A254),"")</f>
        <v/>
      </c>
      <c r="C254">
        <f>IF($A254=1,SUM($A$2:$A254),0)</f>
        <v/>
      </c>
    </row>
    <row r="255">
      <c r="A255">
        <f>IF(AND(OR(Query!$B$4="All",'Compliance Database'!$A255=Query!$B$4),OR(Query!$B$5="All",ISNUMBER(SEARCH(Query!$B$5,'Compliance Database'!$H255))),OR(Query!$B$6="All",ISNUMBER(SEARCH(Query!$B$6,'Compliance Database'!$I255))),OR(Query!$B$7="All",'Compliance Database'!$F255=Query!$B$7),OR(Query!$B$8="All",'Compliance Database'!$J255=Query!$B$8),OR(Query!$B$9="",ISNUMBER(SEARCH(Query!$B$9,'Compliance Database'!$D255&amp;" "&amp;'Compliance Database'!$K255&amp;" "&amp;'Compliance Database'!$L255&amp;" "&amp;'Compliance Database'!$M255&amp;" "&amp;'Compliance Database'!$N255)))),1,0)</f>
        <v/>
      </c>
      <c r="B255">
        <f>IF($A255=1,SUM($A$2:$A255),"")</f>
        <v/>
      </c>
      <c r="C255">
        <f>IF($A255=1,SUM($A$2:$A255),0)</f>
        <v/>
      </c>
    </row>
    <row r="256">
      <c r="A256">
        <f>IF(AND(OR(Query!$B$4="All",'Compliance Database'!$A256=Query!$B$4),OR(Query!$B$5="All",ISNUMBER(SEARCH(Query!$B$5,'Compliance Database'!$H256))),OR(Query!$B$6="All",ISNUMBER(SEARCH(Query!$B$6,'Compliance Database'!$I256))),OR(Query!$B$7="All",'Compliance Database'!$F256=Query!$B$7),OR(Query!$B$8="All",'Compliance Database'!$J256=Query!$B$8),OR(Query!$B$9="",ISNUMBER(SEARCH(Query!$B$9,'Compliance Database'!$D256&amp;" "&amp;'Compliance Database'!$K256&amp;" "&amp;'Compliance Database'!$L256&amp;" "&amp;'Compliance Database'!$M256&amp;" "&amp;'Compliance Database'!$N256)))),1,0)</f>
        <v/>
      </c>
      <c r="B256">
        <f>IF($A256=1,SUM($A$2:$A256),"")</f>
        <v/>
      </c>
      <c r="C256">
        <f>IF($A256=1,SUM($A$2:$A256),0)</f>
        <v/>
      </c>
    </row>
    <row r="257">
      <c r="A257">
        <f>IF(AND(OR(Query!$B$4="All",'Compliance Database'!$A257=Query!$B$4),OR(Query!$B$5="All",ISNUMBER(SEARCH(Query!$B$5,'Compliance Database'!$H257))),OR(Query!$B$6="All",ISNUMBER(SEARCH(Query!$B$6,'Compliance Database'!$I257))),OR(Query!$B$7="All",'Compliance Database'!$F257=Query!$B$7),OR(Query!$B$8="All",'Compliance Database'!$J257=Query!$B$8),OR(Query!$B$9="",ISNUMBER(SEARCH(Query!$B$9,'Compliance Database'!$D257&amp;" "&amp;'Compliance Database'!$K257&amp;" "&amp;'Compliance Database'!$L257&amp;" "&amp;'Compliance Database'!$M257&amp;" "&amp;'Compliance Database'!$N257)))),1,0)</f>
        <v/>
      </c>
      <c r="B257">
        <f>IF($A257=1,SUM($A$2:$A257),"")</f>
        <v/>
      </c>
      <c r="C257">
        <f>IF($A257=1,SUM($A$2:$A257),0)</f>
        <v/>
      </c>
    </row>
    <row r="258">
      <c r="A258">
        <f>IF(AND(OR(Query!$B$4="All",'Compliance Database'!$A258=Query!$B$4),OR(Query!$B$5="All",ISNUMBER(SEARCH(Query!$B$5,'Compliance Database'!$H258))),OR(Query!$B$6="All",ISNUMBER(SEARCH(Query!$B$6,'Compliance Database'!$I258))),OR(Query!$B$7="All",'Compliance Database'!$F258=Query!$B$7),OR(Query!$B$8="All",'Compliance Database'!$J258=Query!$B$8),OR(Query!$B$9="",ISNUMBER(SEARCH(Query!$B$9,'Compliance Database'!$D258&amp;" "&amp;'Compliance Database'!$K258&amp;" "&amp;'Compliance Database'!$L258&amp;" "&amp;'Compliance Database'!$M258&amp;" "&amp;'Compliance Database'!$N258)))),1,0)</f>
        <v/>
      </c>
      <c r="B258">
        <f>IF($A258=1,SUM($A$2:$A258),"")</f>
        <v/>
      </c>
      <c r="C258">
        <f>IF($A258=1,SUM($A$2:$A258),0)</f>
        <v/>
      </c>
    </row>
    <row r="259">
      <c r="A259">
        <f>IF(AND(OR(Query!$B$4="All",'Compliance Database'!$A259=Query!$B$4),OR(Query!$B$5="All",ISNUMBER(SEARCH(Query!$B$5,'Compliance Database'!$H259))),OR(Query!$B$6="All",ISNUMBER(SEARCH(Query!$B$6,'Compliance Database'!$I259))),OR(Query!$B$7="All",'Compliance Database'!$F259=Query!$B$7),OR(Query!$B$8="All",'Compliance Database'!$J259=Query!$B$8),OR(Query!$B$9="",ISNUMBER(SEARCH(Query!$B$9,'Compliance Database'!$D259&amp;" "&amp;'Compliance Database'!$K259&amp;" "&amp;'Compliance Database'!$L259&amp;" "&amp;'Compliance Database'!$M259&amp;" "&amp;'Compliance Database'!$N259)))),1,0)</f>
        <v/>
      </c>
      <c r="B259">
        <f>IF($A259=1,SUM($A$2:$A259),"")</f>
        <v/>
      </c>
      <c r="C259">
        <f>IF($A259=1,SUM($A$2:$A259),0)</f>
        <v/>
      </c>
    </row>
    <row r="260">
      <c r="A260">
        <f>IF(AND(OR(Query!$B$4="All",'Compliance Database'!$A260=Query!$B$4),OR(Query!$B$5="All",ISNUMBER(SEARCH(Query!$B$5,'Compliance Database'!$H260))),OR(Query!$B$6="All",ISNUMBER(SEARCH(Query!$B$6,'Compliance Database'!$I260))),OR(Query!$B$7="All",'Compliance Database'!$F260=Query!$B$7),OR(Query!$B$8="All",'Compliance Database'!$J260=Query!$B$8),OR(Query!$B$9="",ISNUMBER(SEARCH(Query!$B$9,'Compliance Database'!$D260&amp;" "&amp;'Compliance Database'!$K260&amp;" "&amp;'Compliance Database'!$L260&amp;" "&amp;'Compliance Database'!$M260&amp;" "&amp;'Compliance Database'!$N260)))),1,0)</f>
        <v/>
      </c>
      <c r="B260">
        <f>IF($A260=1,SUM($A$2:$A260),"")</f>
        <v/>
      </c>
      <c r="C260">
        <f>IF($A260=1,SUM($A$2:$A260),0)</f>
        <v/>
      </c>
    </row>
    <row r="261">
      <c r="A261">
        <f>IF(AND(OR(Query!$B$4="All",'Compliance Database'!$A261=Query!$B$4),OR(Query!$B$5="All",ISNUMBER(SEARCH(Query!$B$5,'Compliance Database'!$H261))),OR(Query!$B$6="All",ISNUMBER(SEARCH(Query!$B$6,'Compliance Database'!$I261))),OR(Query!$B$7="All",'Compliance Database'!$F261=Query!$B$7),OR(Query!$B$8="All",'Compliance Database'!$J261=Query!$B$8),OR(Query!$B$9="",ISNUMBER(SEARCH(Query!$B$9,'Compliance Database'!$D261&amp;" "&amp;'Compliance Database'!$K261&amp;" "&amp;'Compliance Database'!$L261&amp;" "&amp;'Compliance Database'!$M261&amp;" "&amp;'Compliance Database'!$N261)))),1,0)</f>
        <v/>
      </c>
      <c r="B261">
        <f>IF($A261=1,SUM($A$2:$A261),"")</f>
        <v/>
      </c>
      <c r="C261">
        <f>IF($A261=1,SUM($A$2:$A261),0)</f>
        <v/>
      </c>
    </row>
    <row r="262">
      <c r="A262">
        <f>IF(AND(OR(Query!$B$4="All",'Compliance Database'!$A262=Query!$B$4),OR(Query!$B$5="All",ISNUMBER(SEARCH(Query!$B$5,'Compliance Database'!$H262))),OR(Query!$B$6="All",ISNUMBER(SEARCH(Query!$B$6,'Compliance Database'!$I262))),OR(Query!$B$7="All",'Compliance Database'!$F262=Query!$B$7),OR(Query!$B$8="All",'Compliance Database'!$J262=Query!$B$8),OR(Query!$B$9="",ISNUMBER(SEARCH(Query!$B$9,'Compliance Database'!$D262&amp;" "&amp;'Compliance Database'!$K262&amp;" "&amp;'Compliance Database'!$L262&amp;" "&amp;'Compliance Database'!$M262&amp;" "&amp;'Compliance Database'!$N262)))),1,0)</f>
        <v/>
      </c>
      <c r="B262">
        <f>IF($A262=1,SUM($A$2:$A262),"")</f>
        <v/>
      </c>
      <c r="C262">
        <f>IF($A262=1,SUM($A$2:$A262),0)</f>
        <v/>
      </c>
    </row>
    <row r="263">
      <c r="A263">
        <f>IF(AND(OR(Query!$B$4="All",'Compliance Database'!$A263=Query!$B$4),OR(Query!$B$5="All",ISNUMBER(SEARCH(Query!$B$5,'Compliance Database'!$H263))),OR(Query!$B$6="All",ISNUMBER(SEARCH(Query!$B$6,'Compliance Database'!$I263))),OR(Query!$B$7="All",'Compliance Database'!$F263=Query!$B$7),OR(Query!$B$8="All",'Compliance Database'!$J263=Query!$B$8),OR(Query!$B$9="",ISNUMBER(SEARCH(Query!$B$9,'Compliance Database'!$D263&amp;" "&amp;'Compliance Database'!$K263&amp;" "&amp;'Compliance Database'!$L263&amp;" "&amp;'Compliance Database'!$M263&amp;" "&amp;'Compliance Database'!$N263)))),1,0)</f>
        <v/>
      </c>
      <c r="B263">
        <f>IF($A263=1,SUM($A$2:$A263),"")</f>
        <v/>
      </c>
      <c r="C263">
        <f>IF($A263=1,SUM($A$2:$A263),0)</f>
        <v/>
      </c>
    </row>
    <row r="264">
      <c r="A264">
        <f>IF(AND(OR(Query!$B$4="All",'Compliance Database'!$A264=Query!$B$4),OR(Query!$B$5="All",ISNUMBER(SEARCH(Query!$B$5,'Compliance Database'!$H264))),OR(Query!$B$6="All",ISNUMBER(SEARCH(Query!$B$6,'Compliance Database'!$I264))),OR(Query!$B$7="All",'Compliance Database'!$F264=Query!$B$7),OR(Query!$B$8="All",'Compliance Database'!$J264=Query!$B$8),OR(Query!$B$9="",ISNUMBER(SEARCH(Query!$B$9,'Compliance Database'!$D264&amp;" "&amp;'Compliance Database'!$K264&amp;" "&amp;'Compliance Database'!$L264&amp;" "&amp;'Compliance Database'!$M264&amp;" "&amp;'Compliance Database'!$N264)))),1,0)</f>
        <v/>
      </c>
      <c r="B264">
        <f>IF($A264=1,SUM($A$2:$A264),"")</f>
        <v/>
      </c>
      <c r="C264">
        <f>IF($A264=1,SUM($A$2:$A264),0)</f>
        <v/>
      </c>
    </row>
    <row r="265">
      <c r="A265">
        <f>IF(AND(OR(Query!$B$4="All",'Compliance Database'!$A265=Query!$B$4),OR(Query!$B$5="All",ISNUMBER(SEARCH(Query!$B$5,'Compliance Database'!$H265))),OR(Query!$B$6="All",ISNUMBER(SEARCH(Query!$B$6,'Compliance Database'!$I265))),OR(Query!$B$7="All",'Compliance Database'!$F265=Query!$B$7),OR(Query!$B$8="All",'Compliance Database'!$J265=Query!$B$8),OR(Query!$B$9="",ISNUMBER(SEARCH(Query!$B$9,'Compliance Database'!$D265&amp;" "&amp;'Compliance Database'!$K265&amp;" "&amp;'Compliance Database'!$L265&amp;" "&amp;'Compliance Database'!$M265&amp;" "&amp;'Compliance Database'!$N265)))),1,0)</f>
        <v/>
      </c>
      <c r="B265">
        <f>IF($A265=1,SUM($A$2:$A265),"")</f>
        <v/>
      </c>
      <c r="C265">
        <f>IF($A265=1,SUM($A$2:$A265),0)</f>
        <v/>
      </c>
    </row>
    <row r="266">
      <c r="A266">
        <f>IF(AND(OR(Query!$B$4="All",'Compliance Database'!$A266=Query!$B$4),OR(Query!$B$5="All",ISNUMBER(SEARCH(Query!$B$5,'Compliance Database'!$H266))),OR(Query!$B$6="All",ISNUMBER(SEARCH(Query!$B$6,'Compliance Database'!$I266))),OR(Query!$B$7="All",'Compliance Database'!$F266=Query!$B$7),OR(Query!$B$8="All",'Compliance Database'!$J266=Query!$B$8),OR(Query!$B$9="",ISNUMBER(SEARCH(Query!$B$9,'Compliance Database'!$D266&amp;" "&amp;'Compliance Database'!$K266&amp;" "&amp;'Compliance Database'!$L266&amp;" "&amp;'Compliance Database'!$M266&amp;" "&amp;'Compliance Database'!$N266)))),1,0)</f>
        <v/>
      </c>
      <c r="B266">
        <f>IF($A266=1,SUM($A$2:$A266),"")</f>
        <v/>
      </c>
      <c r="C266">
        <f>IF($A266=1,SUM($A$2:$A266),0)</f>
        <v/>
      </c>
    </row>
    <row r="267">
      <c r="A267">
        <f>IF(AND(OR(Query!$B$4="All",'Compliance Database'!$A267=Query!$B$4),OR(Query!$B$5="All",ISNUMBER(SEARCH(Query!$B$5,'Compliance Database'!$H267))),OR(Query!$B$6="All",ISNUMBER(SEARCH(Query!$B$6,'Compliance Database'!$I267))),OR(Query!$B$7="All",'Compliance Database'!$F267=Query!$B$7),OR(Query!$B$8="All",'Compliance Database'!$J267=Query!$B$8),OR(Query!$B$9="",ISNUMBER(SEARCH(Query!$B$9,'Compliance Database'!$D267&amp;" "&amp;'Compliance Database'!$K267&amp;" "&amp;'Compliance Database'!$L267&amp;" "&amp;'Compliance Database'!$M267&amp;" "&amp;'Compliance Database'!$N267)))),1,0)</f>
        <v/>
      </c>
      <c r="B267">
        <f>IF($A267=1,SUM($A$2:$A267),"")</f>
        <v/>
      </c>
      <c r="C267">
        <f>IF($A267=1,SUM($A$2:$A267),0)</f>
        <v/>
      </c>
    </row>
    <row r="268">
      <c r="A268">
        <f>IF(AND(OR(Query!$B$4="All",'Compliance Database'!$A268=Query!$B$4),OR(Query!$B$5="All",ISNUMBER(SEARCH(Query!$B$5,'Compliance Database'!$H268))),OR(Query!$B$6="All",ISNUMBER(SEARCH(Query!$B$6,'Compliance Database'!$I268))),OR(Query!$B$7="All",'Compliance Database'!$F268=Query!$B$7),OR(Query!$B$8="All",'Compliance Database'!$J268=Query!$B$8),OR(Query!$B$9="",ISNUMBER(SEARCH(Query!$B$9,'Compliance Database'!$D268&amp;" "&amp;'Compliance Database'!$K268&amp;" "&amp;'Compliance Database'!$L268&amp;" "&amp;'Compliance Database'!$M268&amp;" "&amp;'Compliance Database'!$N268)))),1,0)</f>
        <v/>
      </c>
      <c r="B268">
        <f>IF($A268=1,SUM($A$2:$A268),"")</f>
        <v/>
      </c>
      <c r="C268">
        <f>IF($A268=1,SUM($A$2:$A268),0)</f>
        <v/>
      </c>
    </row>
    <row r="269">
      <c r="A269">
        <f>IF(AND(OR(Query!$B$4="All",'Compliance Database'!$A269=Query!$B$4),OR(Query!$B$5="All",ISNUMBER(SEARCH(Query!$B$5,'Compliance Database'!$H269))),OR(Query!$B$6="All",ISNUMBER(SEARCH(Query!$B$6,'Compliance Database'!$I269))),OR(Query!$B$7="All",'Compliance Database'!$F269=Query!$B$7),OR(Query!$B$8="All",'Compliance Database'!$J269=Query!$B$8),OR(Query!$B$9="",ISNUMBER(SEARCH(Query!$B$9,'Compliance Database'!$D269&amp;" "&amp;'Compliance Database'!$K269&amp;" "&amp;'Compliance Database'!$L269&amp;" "&amp;'Compliance Database'!$M269&amp;" "&amp;'Compliance Database'!$N269)))),1,0)</f>
        <v/>
      </c>
      <c r="B269">
        <f>IF($A269=1,SUM($A$2:$A269),"")</f>
        <v/>
      </c>
      <c r="C269">
        <f>IF($A269=1,SUM($A$2:$A269),0)</f>
        <v/>
      </c>
    </row>
    <row r="270">
      <c r="A270">
        <f>IF(AND(OR(Query!$B$4="All",'Compliance Database'!$A270=Query!$B$4),OR(Query!$B$5="All",ISNUMBER(SEARCH(Query!$B$5,'Compliance Database'!$H270))),OR(Query!$B$6="All",ISNUMBER(SEARCH(Query!$B$6,'Compliance Database'!$I270))),OR(Query!$B$7="All",'Compliance Database'!$F270=Query!$B$7),OR(Query!$B$8="All",'Compliance Database'!$J270=Query!$B$8),OR(Query!$B$9="",ISNUMBER(SEARCH(Query!$B$9,'Compliance Database'!$D270&amp;" "&amp;'Compliance Database'!$K270&amp;" "&amp;'Compliance Database'!$L270&amp;" "&amp;'Compliance Database'!$M270&amp;" "&amp;'Compliance Database'!$N270)))),1,0)</f>
        <v/>
      </c>
      <c r="B270">
        <f>IF($A270=1,SUM($A$2:$A270),"")</f>
        <v/>
      </c>
      <c r="C270">
        <f>IF($A270=1,SUM($A$2:$A270),0)</f>
        <v/>
      </c>
    </row>
    <row r="271">
      <c r="A271">
        <f>IF(AND(OR(Query!$B$4="All",'Compliance Database'!$A271=Query!$B$4),OR(Query!$B$5="All",ISNUMBER(SEARCH(Query!$B$5,'Compliance Database'!$H271))),OR(Query!$B$6="All",ISNUMBER(SEARCH(Query!$B$6,'Compliance Database'!$I271))),OR(Query!$B$7="All",'Compliance Database'!$F271=Query!$B$7),OR(Query!$B$8="All",'Compliance Database'!$J271=Query!$B$8),OR(Query!$B$9="",ISNUMBER(SEARCH(Query!$B$9,'Compliance Database'!$D271&amp;" "&amp;'Compliance Database'!$K271&amp;" "&amp;'Compliance Database'!$L271&amp;" "&amp;'Compliance Database'!$M271&amp;" "&amp;'Compliance Database'!$N271)))),1,0)</f>
        <v/>
      </c>
      <c r="B271">
        <f>IF($A271=1,SUM($A$2:$A271),"")</f>
        <v/>
      </c>
      <c r="C271">
        <f>IF($A271=1,SUM($A$2:$A271),0)</f>
        <v/>
      </c>
    </row>
    <row r="272">
      <c r="A272">
        <f>IF(AND(OR(Query!$B$4="All",'Compliance Database'!$A272=Query!$B$4),OR(Query!$B$5="All",ISNUMBER(SEARCH(Query!$B$5,'Compliance Database'!$H272))),OR(Query!$B$6="All",ISNUMBER(SEARCH(Query!$B$6,'Compliance Database'!$I272))),OR(Query!$B$7="All",'Compliance Database'!$F272=Query!$B$7),OR(Query!$B$8="All",'Compliance Database'!$J272=Query!$B$8),OR(Query!$B$9="",ISNUMBER(SEARCH(Query!$B$9,'Compliance Database'!$D272&amp;" "&amp;'Compliance Database'!$K272&amp;" "&amp;'Compliance Database'!$L272&amp;" "&amp;'Compliance Database'!$M272&amp;" "&amp;'Compliance Database'!$N272)))),1,0)</f>
        <v/>
      </c>
      <c r="B272">
        <f>IF($A272=1,SUM($A$2:$A272),"")</f>
        <v/>
      </c>
      <c r="C272">
        <f>IF($A272=1,SUM($A$2:$A272),0)</f>
        <v/>
      </c>
    </row>
    <row r="273">
      <c r="A273">
        <f>IF(AND(OR(Query!$B$4="All",'Compliance Database'!$A273=Query!$B$4),OR(Query!$B$5="All",ISNUMBER(SEARCH(Query!$B$5,'Compliance Database'!$H273))),OR(Query!$B$6="All",ISNUMBER(SEARCH(Query!$B$6,'Compliance Database'!$I273))),OR(Query!$B$7="All",'Compliance Database'!$F273=Query!$B$7),OR(Query!$B$8="All",'Compliance Database'!$J273=Query!$B$8),OR(Query!$B$9="",ISNUMBER(SEARCH(Query!$B$9,'Compliance Database'!$D273&amp;" "&amp;'Compliance Database'!$K273&amp;" "&amp;'Compliance Database'!$L273&amp;" "&amp;'Compliance Database'!$M273&amp;" "&amp;'Compliance Database'!$N273)))),1,0)</f>
        <v/>
      </c>
      <c r="B273">
        <f>IF($A273=1,SUM($A$2:$A273),"")</f>
        <v/>
      </c>
      <c r="C273">
        <f>IF($A273=1,SUM($A$2:$A273),0)</f>
        <v/>
      </c>
    </row>
    <row r="274">
      <c r="A274">
        <f>IF(AND(OR(Query!$B$4="All",'Compliance Database'!$A274=Query!$B$4),OR(Query!$B$5="All",ISNUMBER(SEARCH(Query!$B$5,'Compliance Database'!$H274))),OR(Query!$B$6="All",ISNUMBER(SEARCH(Query!$B$6,'Compliance Database'!$I274))),OR(Query!$B$7="All",'Compliance Database'!$F274=Query!$B$7),OR(Query!$B$8="All",'Compliance Database'!$J274=Query!$B$8),OR(Query!$B$9="",ISNUMBER(SEARCH(Query!$B$9,'Compliance Database'!$D274&amp;" "&amp;'Compliance Database'!$K274&amp;" "&amp;'Compliance Database'!$L274&amp;" "&amp;'Compliance Database'!$M274&amp;" "&amp;'Compliance Database'!$N274)))),1,0)</f>
        <v/>
      </c>
      <c r="B274">
        <f>IF($A274=1,SUM($A$2:$A274),"")</f>
        <v/>
      </c>
      <c r="C274">
        <f>IF($A274=1,SUM($A$2:$A274),0)</f>
        <v/>
      </c>
    </row>
    <row r="275">
      <c r="A275">
        <f>IF(AND(OR(Query!$B$4="All",'Compliance Database'!$A275=Query!$B$4),OR(Query!$B$5="All",ISNUMBER(SEARCH(Query!$B$5,'Compliance Database'!$H275))),OR(Query!$B$6="All",ISNUMBER(SEARCH(Query!$B$6,'Compliance Database'!$I275))),OR(Query!$B$7="All",'Compliance Database'!$F275=Query!$B$7),OR(Query!$B$8="All",'Compliance Database'!$J275=Query!$B$8),OR(Query!$B$9="",ISNUMBER(SEARCH(Query!$B$9,'Compliance Database'!$D275&amp;" "&amp;'Compliance Database'!$K275&amp;" "&amp;'Compliance Database'!$L275&amp;" "&amp;'Compliance Database'!$M275&amp;" "&amp;'Compliance Database'!$N275)))),1,0)</f>
        <v/>
      </c>
      <c r="B275">
        <f>IF($A275=1,SUM($A$2:$A275),"")</f>
        <v/>
      </c>
      <c r="C275">
        <f>IF($A275=1,SUM($A$2:$A275),0)</f>
        <v/>
      </c>
    </row>
    <row r="276">
      <c r="A276">
        <f>IF(AND(OR(Query!$B$4="All",'Compliance Database'!$A276=Query!$B$4),OR(Query!$B$5="All",ISNUMBER(SEARCH(Query!$B$5,'Compliance Database'!$H276))),OR(Query!$B$6="All",ISNUMBER(SEARCH(Query!$B$6,'Compliance Database'!$I276))),OR(Query!$B$7="All",'Compliance Database'!$F276=Query!$B$7),OR(Query!$B$8="All",'Compliance Database'!$J276=Query!$B$8),OR(Query!$B$9="",ISNUMBER(SEARCH(Query!$B$9,'Compliance Database'!$D276&amp;" "&amp;'Compliance Database'!$K276&amp;" "&amp;'Compliance Database'!$L276&amp;" "&amp;'Compliance Database'!$M276&amp;" "&amp;'Compliance Database'!$N276)))),1,0)</f>
        <v/>
      </c>
      <c r="B276">
        <f>IF($A276=1,SUM($A$2:$A276),"")</f>
        <v/>
      </c>
      <c r="C276">
        <f>IF($A276=1,SUM($A$2:$A276),0)</f>
        <v/>
      </c>
    </row>
    <row r="277">
      <c r="A277">
        <f>IF(AND(OR(Query!$B$4="All",'Compliance Database'!$A277=Query!$B$4),OR(Query!$B$5="All",ISNUMBER(SEARCH(Query!$B$5,'Compliance Database'!$H277))),OR(Query!$B$6="All",ISNUMBER(SEARCH(Query!$B$6,'Compliance Database'!$I277))),OR(Query!$B$7="All",'Compliance Database'!$F277=Query!$B$7),OR(Query!$B$8="All",'Compliance Database'!$J277=Query!$B$8),OR(Query!$B$9="",ISNUMBER(SEARCH(Query!$B$9,'Compliance Database'!$D277&amp;" "&amp;'Compliance Database'!$K277&amp;" "&amp;'Compliance Database'!$L277&amp;" "&amp;'Compliance Database'!$M277&amp;" "&amp;'Compliance Database'!$N277)))),1,0)</f>
        <v/>
      </c>
      <c r="B277">
        <f>IF($A277=1,SUM($A$2:$A277),"")</f>
        <v/>
      </c>
      <c r="C277">
        <f>IF($A277=1,SUM($A$2:$A277),0)</f>
        <v/>
      </c>
    </row>
    <row r="278">
      <c r="A278">
        <f>IF(AND(OR(Query!$B$4="All",'Compliance Database'!$A278=Query!$B$4),OR(Query!$B$5="All",ISNUMBER(SEARCH(Query!$B$5,'Compliance Database'!$H278))),OR(Query!$B$6="All",ISNUMBER(SEARCH(Query!$B$6,'Compliance Database'!$I278))),OR(Query!$B$7="All",'Compliance Database'!$F278=Query!$B$7),OR(Query!$B$8="All",'Compliance Database'!$J278=Query!$B$8),OR(Query!$B$9="",ISNUMBER(SEARCH(Query!$B$9,'Compliance Database'!$D278&amp;" "&amp;'Compliance Database'!$K278&amp;" "&amp;'Compliance Database'!$L278&amp;" "&amp;'Compliance Database'!$M278&amp;" "&amp;'Compliance Database'!$N278)))),1,0)</f>
        <v/>
      </c>
      <c r="B278">
        <f>IF($A278=1,SUM($A$2:$A278),"")</f>
        <v/>
      </c>
      <c r="C278">
        <f>IF($A278=1,SUM($A$2:$A278),0)</f>
        <v/>
      </c>
    </row>
    <row r="279">
      <c r="A279">
        <f>IF(AND(OR(Query!$B$4="All",'Compliance Database'!$A279=Query!$B$4),OR(Query!$B$5="All",ISNUMBER(SEARCH(Query!$B$5,'Compliance Database'!$H279))),OR(Query!$B$6="All",ISNUMBER(SEARCH(Query!$B$6,'Compliance Database'!$I279))),OR(Query!$B$7="All",'Compliance Database'!$F279=Query!$B$7),OR(Query!$B$8="All",'Compliance Database'!$J279=Query!$B$8),OR(Query!$B$9="",ISNUMBER(SEARCH(Query!$B$9,'Compliance Database'!$D279&amp;" "&amp;'Compliance Database'!$K279&amp;" "&amp;'Compliance Database'!$L279&amp;" "&amp;'Compliance Database'!$M279&amp;" "&amp;'Compliance Database'!$N279)))),1,0)</f>
        <v/>
      </c>
      <c r="B279">
        <f>IF($A279=1,SUM($A$2:$A279),"")</f>
        <v/>
      </c>
      <c r="C279">
        <f>IF($A279=1,SUM($A$2:$A279),0)</f>
        <v/>
      </c>
    </row>
    <row r="280">
      <c r="A280">
        <f>IF(AND(OR(Query!$B$4="All",'Compliance Database'!$A280=Query!$B$4),OR(Query!$B$5="All",ISNUMBER(SEARCH(Query!$B$5,'Compliance Database'!$H280))),OR(Query!$B$6="All",ISNUMBER(SEARCH(Query!$B$6,'Compliance Database'!$I280))),OR(Query!$B$7="All",'Compliance Database'!$F280=Query!$B$7),OR(Query!$B$8="All",'Compliance Database'!$J280=Query!$B$8),OR(Query!$B$9="",ISNUMBER(SEARCH(Query!$B$9,'Compliance Database'!$D280&amp;" "&amp;'Compliance Database'!$K280&amp;" "&amp;'Compliance Database'!$L280&amp;" "&amp;'Compliance Database'!$M280&amp;" "&amp;'Compliance Database'!$N280)))),1,0)</f>
        <v/>
      </c>
      <c r="B280">
        <f>IF($A280=1,SUM($A$2:$A280),"")</f>
        <v/>
      </c>
      <c r="C280">
        <f>IF($A280=1,SUM($A$2:$A280),0)</f>
        <v/>
      </c>
    </row>
    <row r="281">
      <c r="A281">
        <f>IF(AND(OR(Query!$B$4="All",'Compliance Database'!$A281=Query!$B$4),OR(Query!$B$5="All",ISNUMBER(SEARCH(Query!$B$5,'Compliance Database'!$H281))),OR(Query!$B$6="All",ISNUMBER(SEARCH(Query!$B$6,'Compliance Database'!$I281))),OR(Query!$B$7="All",'Compliance Database'!$F281=Query!$B$7),OR(Query!$B$8="All",'Compliance Database'!$J281=Query!$B$8),OR(Query!$B$9="",ISNUMBER(SEARCH(Query!$B$9,'Compliance Database'!$D281&amp;" "&amp;'Compliance Database'!$K281&amp;" "&amp;'Compliance Database'!$L281&amp;" "&amp;'Compliance Database'!$M281&amp;" "&amp;'Compliance Database'!$N281)))),1,0)</f>
        <v/>
      </c>
      <c r="B281">
        <f>IF($A281=1,SUM($A$2:$A281),"")</f>
        <v/>
      </c>
      <c r="C281">
        <f>IF($A281=1,SUM($A$2:$A281),0)</f>
        <v/>
      </c>
    </row>
    <row r="282">
      <c r="A282">
        <f>IF(AND(OR(Query!$B$4="All",'Compliance Database'!$A282=Query!$B$4),OR(Query!$B$5="All",ISNUMBER(SEARCH(Query!$B$5,'Compliance Database'!$H282))),OR(Query!$B$6="All",ISNUMBER(SEARCH(Query!$B$6,'Compliance Database'!$I282))),OR(Query!$B$7="All",'Compliance Database'!$F282=Query!$B$7),OR(Query!$B$8="All",'Compliance Database'!$J282=Query!$B$8),OR(Query!$B$9="",ISNUMBER(SEARCH(Query!$B$9,'Compliance Database'!$D282&amp;" "&amp;'Compliance Database'!$K282&amp;" "&amp;'Compliance Database'!$L282&amp;" "&amp;'Compliance Database'!$M282&amp;" "&amp;'Compliance Database'!$N282)))),1,0)</f>
        <v/>
      </c>
      <c r="B282">
        <f>IF($A282=1,SUM($A$2:$A282),"")</f>
        <v/>
      </c>
      <c r="C282">
        <f>IF($A282=1,SUM($A$2:$A282),0)</f>
        <v/>
      </c>
    </row>
    <row r="283">
      <c r="A283">
        <f>IF(AND(OR(Query!$B$4="All",'Compliance Database'!$A283=Query!$B$4),OR(Query!$B$5="All",ISNUMBER(SEARCH(Query!$B$5,'Compliance Database'!$H283))),OR(Query!$B$6="All",ISNUMBER(SEARCH(Query!$B$6,'Compliance Database'!$I283))),OR(Query!$B$7="All",'Compliance Database'!$F283=Query!$B$7),OR(Query!$B$8="All",'Compliance Database'!$J283=Query!$B$8),OR(Query!$B$9="",ISNUMBER(SEARCH(Query!$B$9,'Compliance Database'!$D283&amp;" "&amp;'Compliance Database'!$K283&amp;" "&amp;'Compliance Database'!$L283&amp;" "&amp;'Compliance Database'!$M283&amp;" "&amp;'Compliance Database'!$N283)))),1,0)</f>
        <v/>
      </c>
      <c r="B283">
        <f>IF($A283=1,SUM($A$2:$A283),"")</f>
        <v/>
      </c>
      <c r="C283">
        <f>IF($A283=1,SUM($A$2:$A283),0)</f>
        <v/>
      </c>
    </row>
    <row r="284">
      <c r="A284">
        <f>IF(AND(OR(Query!$B$4="All",'Compliance Database'!$A284=Query!$B$4),OR(Query!$B$5="All",ISNUMBER(SEARCH(Query!$B$5,'Compliance Database'!$H284))),OR(Query!$B$6="All",ISNUMBER(SEARCH(Query!$B$6,'Compliance Database'!$I284))),OR(Query!$B$7="All",'Compliance Database'!$F284=Query!$B$7),OR(Query!$B$8="All",'Compliance Database'!$J284=Query!$B$8),OR(Query!$B$9="",ISNUMBER(SEARCH(Query!$B$9,'Compliance Database'!$D284&amp;" "&amp;'Compliance Database'!$K284&amp;" "&amp;'Compliance Database'!$L284&amp;" "&amp;'Compliance Database'!$M284&amp;" "&amp;'Compliance Database'!$N284)))),1,0)</f>
        <v/>
      </c>
      <c r="B284">
        <f>IF($A284=1,SUM($A$2:$A284),"")</f>
        <v/>
      </c>
      <c r="C284">
        <f>IF($A284=1,SUM($A$2:$A284),0)</f>
        <v/>
      </c>
    </row>
    <row r="285">
      <c r="A285">
        <f>IF(AND(OR(Query!$B$4="All",'Compliance Database'!$A285=Query!$B$4),OR(Query!$B$5="All",ISNUMBER(SEARCH(Query!$B$5,'Compliance Database'!$H285))),OR(Query!$B$6="All",ISNUMBER(SEARCH(Query!$B$6,'Compliance Database'!$I285))),OR(Query!$B$7="All",'Compliance Database'!$F285=Query!$B$7),OR(Query!$B$8="All",'Compliance Database'!$J285=Query!$B$8),OR(Query!$B$9="",ISNUMBER(SEARCH(Query!$B$9,'Compliance Database'!$D285&amp;" "&amp;'Compliance Database'!$K285&amp;" "&amp;'Compliance Database'!$L285&amp;" "&amp;'Compliance Database'!$M285&amp;" "&amp;'Compliance Database'!$N285)))),1,0)</f>
        <v/>
      </c>
      <c r="B285">
        <f>IF($A285=1,SUM($A$2:$A285),"")</f>
        <v/>
      </c>
      <c r="C285">
        <f>IF($A285=1,SUM($A$2:$A285),0)</f>
        <v/>
      </c>
    </row>
    <row r="286">
      <c r="A286">
        <f>IF(AND(OR(Query!$B$4="All",'Compliance Database'!$A286=Query!$B$4),OR(Query!$B$5="All",ISNUMBER(SEARCH(Query!$B$5,'Compliance Database'!$H286))),OR(Query!$B$6="All",ISNUMBER(SEARCH(Query!$B$6,'Compliance Database'!$I286))),OR(Query!$B$7="All",'Compliance Database'!$F286=Query!$B$7),OR(Query!$B$8="All",'Compliance Database'!$J286=Query!$B$8),OR(Query!$B$9="",ISNUMBER(SEARCH(Query!$B$9,'Compliance Database'!$D286&amp;" "&amp;'Compliance Database'!$K286&amp;" "&amp;'Compliance Database'!$L286&amp;" "&amp;'Compliance Database'!$M286&amp;" "&amp;'Compliance Database'!$N286)))),1,0)</f>
        <v/>
      </c>
      <c r="B286">
        <f>IF($A286=1,SUM($A$2:$A286),"")</f>
        <v/>
      </c>
      <c r="C286">
        <f>IF($A286=1,SUM($A$2:$A286),0)</f>
        <v/>
      </c>
    </row>
    <row r="287">
      <c r="A287">
        <f>IF(AND(OR(Query!$B$4="All",'Compliance Database'!$A287=Query!$B$4),OR(Query!$B$5="All",ISNUMBER(SEARCH(Query!$B$5,'Compliance Database'!$H287))),OR(Query!$B$6="All",ISNUMBER(SEARCH(Query!$B$6,'Compliance Database'!$I287))),OR(Query!$B$7="All",'Compliance Database'!$F287=Query!$B$7),OR(Query!$B$8="All",'Compliance Database'!$J287=Query!$B$8),OR(Query!$B$9="",ISNUMBER(SEARCH(Query!$B$9,'Compliance Database'!$D287&amp;" "&amp;'Compliance Database'!$K287&amp;" "&amp;'Compliance Database'!$L287&amp;" "&amp;'Compliance Database'!$M287&amp;" "&amp;'Compliance Database'!$N287)))),1,0)</f>
        <v/>
      </c>
      <c r="B287">
        <f>IF($A287=1,SUM($A$2:$A287),"")</f>
        <v/>
      </c>
      <c r="C287">
        <f>IF($A287=1,SUM($A$2:$A287),0)</f>
        <v/>
      </c>
    </row>
    <row r="288">
      <c r="A288">
        <f>IF(AND(OR(Query!$B$4="All",'Compliance Database'!$A288=Query!$B$4),OR(Query!$B$5="All",ISNUMBER(SEARCH(Query!$B$5,'Compliance Database'!$H288))),OR(Query!$B$6="All",ISNUMBER(SEARCH(Query!$B$6,'Compliance Database'!$I288))),OR(Query!$B$7="All",'Compliance Database'!$F288=Query!$B$7),OR(Query!$B$8="All",'Compliance Database'!$J288=Query!$B$8),OR(Query!$B$9="",ISNUMBER(SEARCH(Query!$B$9,'Compliance Database'!$D288&amp;" "&amp;'Compliance Database'!$K288&amp;" "&amp;'Compliance Database'!$L288&amp;" "&amp;'Compliance Database'!$M288&amp;" "&amp;'Compliance Database'!$N288)))),1,0)</f>
        <v/>
      </c>
      <c r="B288">
        <f>IF($A288=1,SUM($A$2:$A288),"")</f>
        <v/>
      </c>
      <c r="C288">
        <f>IF($A288=1,SUM($A$2:$A288),0)</f>
        <v/>
      </c>
    </row>
    <row r="289">
      <c r="A289">
        <f>IF(AND(OR(Query!$B$4="All",'Compliance Database'!$A289=Query!$B$4),OR(Query!$B$5="All",ISNUMBER(SEARCH(Query!$B$5,'Compliance Database'!$H289))),OR(Query!$B$6="All",ISNUMBER(SEARCH(Query!$B$6,'Compliance Database'!$I289))),OR(Query!$B$7="All",'Compliance Database'!$F289=Query!$B$7),OR(Query!$B$8="All",'Compliance Database'!$J289=Query!$B$8),OR(Query!$B$9="",ISNUMBER(SEARCH(Query!$B$9,'Compliance Database'!$D289&amp;" "&amp;'Compliance Database'!$K289&amp;" "&amp;'Compliance Database'!$L289&amp;" "&amp;'Compliance Database'!$M289&amp;" "&amp;'Compliance Database'!$N289)))),1,0)</f>
        <v/>
      </c>
      <c r="B289">
        <f>IF($A289=1,SUM($A$2:$A289),"")</f>
        <v/>
      </c>
      <c r="C289">
        <f>IF($A289=1,SUM($A$2:$A289),0)</f>
        <v/>
      </c>
    </row>
    <row r="290">
      <c r="A290">
        <f>IF(AND(OR(Query!$B$4="All",'Compliance Database'!$A290=Query!$B$4),OR(Query!$B$5="All",ISNUMBER(SEARCH(Query!$B$5,'Compliance Database'!$H290))),OR(Query!$B$6="All",ISNUMBER(SEARCH(Query!$B$6,'Compliance Database'!$I290))),OR(Query!$B$7="All",'Compliance Database'!$F290=Query!$B$7),OR(Query!$B$8="All",'Compliance Database'!$J290=Query!$B$8),OR(Query!$B$9="",ISNUMBER(SEARCH(Query!$B$9,'Compliance Database'!$D290&amp;" "&amp;'Compliance Database'!$K290&amp;" "&amp;'Compliance Database'!$L290&amp;" "&amp;'Compliance Database'!$M290&amp;" "&amp;'Compliance Database'!$N290)))),1,0)</f>
        <v/>
      </c>
      <c r="B290">
        <f>IF($A290=1,SUM($A$2:$A290),"")</f>
        <v/>
      </c>
      <c r="C290">
        <f>IF($A290=1,SUM($A$2:$A290),0)</f>
        <v/>
      </c>
    </row>
    <row r="291">
      <c r="A291">
        <f>IF(AND(OR(Query!$B$4="All",'Compliance Database'!$A291=Query!$B$4),OR(Query!$B$5="All",ISNUMBER(SEARCH(Query!$B$5,'Compliance Database'!$H291))),OR(Query!$B$6="All",ISNUMBER(SEARCH(Query!$B$6,'Compliance Database'!$I291))),OR(Query!$B$7="All",'Compliance Database'!$F291=Query!$B$7),OR(Query!$B$8="All",'Compliance Database'!$J291=Query!$B$8),OR(Query!$B$9="",ISNUMBER(SEARCH(Query!$B$9,'Compliance Database'!$D291&amp;" "&amp;'Compliance Database'!$K291&amp;" "&amp;'Compliance Database'!$L291&amp;" "&amp;'Compliance Database'!$M291&amp;" "&amp;'Compliance Database'!$N291)))),1,0)</f>
        <v/>
      </c>
      <c r="B291">
        <f>IF($A291=1,SUM($A$2:$A291),"")</f>
        <v/>
      </c>
      <c r="C291">
        <f>IF($A291=1,SUM($A$2:$A291),0)</f>
        <v/>
      </c>
    </row>
    <row r="292">
      <c r="A292">
        <f>IF(AND(OR(Query!$B$4="All",'Compliance Database'!$A292=Query!$B$4),OR(Query!$B$5="All",ISNUMBER(SEARCH(Query!$B$5,'Compliance Database'!$H292))),OR(Query!$B$6="All",ISNUMBER(SEARCH(Query!$B$6,'Compliance Database'!$I292))),OR(Query!$B$7="All",'Compliance Database'!$F292=Query!$B$7),OR(Query!$B$8="All",'Compliance Database'!$J292=Query!$B$8),OR(Query!$B$9="",ISNUMBER(SEARCH(Query!$B$9,'Compliance Database'!$D292&amp;" "&amp;'Compliance Database'!$K292&amp;" "&amp;'Compliance Database'!$L292&amp;" "&amp;'Compliance Database'!$M292&amp;" "&amp;'Compliance Database'!$N292)))),1,0)</f>
        <v/>
      </c>
      <c r="B292">
        <f>IF($A292=1,SUM($A$2:$A292),"")</f>
        <v/>
      </c>
      <c r="C292">
        <f>IF($A292=1,SUM($A$2:$A292),0)</f>
        <v/>
      </c>
    </row>
    <row r="293">
      <c r="A293">
        <f>IF(AND(OR(Query!$B$4="All",'Compliance Database'!$A293=Query!$B$4),OR(Query!$B$5="All",ISNUMBER(SEARCH(Query!$B$5,'Compliance Database'!$H293))),OR(Query!$B$6="All",ISNUMBER(SEARCH(Query!$B$6,'Compliance Database'!$I293))),OR(Query!$B$7="All",'Compliance Database'!$F293=Query!$B$7),OR(Query!$B$8="All",'Compliance Database'!$J293=Query!$B$8),OR(Query!$B$9="",ISNUMBER(SEARCH(Query!$B$9,'Compliance Database'!$D293&amp;" "&amp;'Compliance Database'!$K293&amp;" "&amp;'Compliance Database'!$L293&amp;" "&amp;'Compliance Database'!$M293&amp;" "&amp;'Compliance Database'!$N293)))),1,0)</f>
        <v/>
      </c>
      <c r="B293">
        <f>IF($A293=1,SUM($A$2:$A293),"")</f>
        <v/>
      </c>
      <c r="C293">
        <f>IF($A293=1,SUM($A$2:$A293),0)</f>
        <v/>
      </c>
    </row>
    <row r="294">
      <c r="A294">
        <f>IF(AND(OR(Query!$B$4="All",'Compliance Database'!$A294=Query!$B$4),OR(Query!$B$5="All",ISNUMBER(SEARCH(Query!$B$5,'Compliance Database'!$H294))),OR(Query!$B$6="All",ISNUMBER(SEARCH(Query!$B$6,'Compliance Database'!$I294))),OR(Query!$B$7="All",'Compliance Database'!$F294=Query!$B$7),OR(Query!$B$8="All",'Compliance Database'!$J294=Query!$B$8),OR(Query!$B$9="",ISNUMBER(SEARCH(Query!$B$9,'Compliance Database'!$D294&amp;" "&amp;'Compliance Database'!$K294&amp;" "&amp;'Compliance Database'!$L294&amp;" "&amp;'Compliance Database'!$M294&amp;" "&amp;'Compliance Database'!$N294)))),1,0)</f>
        <v/>
      </c>
      <c r="B294">
        <f>IF($A294=1,SUM($A$2:$A294),"")</f>
        <v/>
      </c>
      <c r="C294">
        <f>IF($A294=1,SUM($A$2:$A294),0)</f>
        <v/>
      </c>
    </row>
    <row r="295">
      <c r="A295">
        <f>IF(AND(OR(Query!$B$4="All",'Compliance Database'!$A295=Query!$B$4),OR(Query!$B$5="All",ISNUMBER(SEARCH(Query!$B$5,'Compliance Database'!$H295))),OR(Query!$B$6="All",ISNUMBER(SEARCH(Query!$B$6,'Compliance Database'!$I295))),OR(Query!$B$7="All",'Compliance Database'!$F295=Query!$B$7),OR(Query!$B$8="All",'Compliance Database'!$J295=Query!$B$8),OR(Query!$B$9="",ISNUMBER(SEARCH(Query!$B$9,'Compliance Database'!$D295&amp;" "&amp;'Compliance Database'!$K295&amp;" "&amp;'Compliance Database'!$L295&amp;" "&amp;'Compliance Database'!$M295&amp;" "&amp;'Compliance Database'!$N295)))),1,0)</f>
        <v/>
      </c>
      <c r="B295">
        <f>IF($A295=1,SUM($A$2:$A295),"")</f>
        <v/>
      </c>
      <c r="C295">
        <f>IF($A295=1,SUM($A$2:$A295),0)</f>
        <v/>
      </c>
    </row>
    <row r="296">
      <c r="A296">
        <f>IF(AND(OR(Query!$B$4="All",'Compliance Database'!$A296=Query!$B$4),OR(Query!$B$5="All",ISNUMBER(SEARCH(Query!$B$5,'Compliance Database'!$H296))),OR(Query!$B$6="All",ISNUMBER(SEARCH(Query!$B$6,'Compliance Database'!$I296))),OR(Query!$B$7="All",'Compliance Database'!$F296=Query!$B$7),OR(Query!$B$8="All",'Compliance Database'!$J296=Query!$B$8),OR(Query!$B$9="",ISNUMBER(SEARCH(Query!$B$9,'Compliance Database'!$D296&amp;" "&amp;'Compliance Database'!$K296&amp;" "&amp;'Compliance Database'!$L296&amp;" "&amp;'Compliance Database'!$M296&amp;" "&amp;'Compliance Database'!$N296)))),1,0)</f>
        <v/>
      </c>
      <c r="B296">
        <f>IF($A296=1,SUM($A$2:$A296),"")</f>
        <v/>
      </c>
      <c r="C296">
        <f>IF($A296=1,SUM($A$2:$A296),0)</f>
        <v/>
      </c>
    </row>
    <row r="297">
      <c r="A297">
        <f>IF(AND(OR(Query!$B$4="All",'Compliance Database'!$A297=Query!$B$4),OR(Query!$B$5="All",ISNUMBER(SEARCH(Query!$B$5,'Compliance Database'!$H297))),OR(Query!$B$6="All",ISNUMBER(SEARCH(Query!$B$6,'Compliance Database'!$I297))),OR(Query!$B$7="All",'Compliance Database'!$F297=Query!$B$7),OR(Query!$B$8="All",'Compliance Database'!$J297=Query!$B$8),OR(Query!$B$9="",ISNUMBER(SEARCH(Query!$B$9,'Compliance Database'!$D297&amp;" "&amp;'Compliance Database'!$K297&amp;" "&amp;'Compliance Database'!$L297&amp;" "&amp;'Compliance Database'!$M297&amp;" "&amp;'Compliance Database'!$N297)))),1,0)</f>
        <v/>
      </c>
      <c r="B297">
        <f>IF($A297=1,SUM($A$2:$A297),"")</f>
        <v/>
      </c>
      <c r="C297">
        <f>IF($A297=1,SUM($A$2:$A297),0)</f>
        <v/>
      </c>
    </row>
    <row r="298">
      <c r="A298">
        <f>IF(AND(OR(Query!$B$4="All",'Compliance Database'!$A298=Query!$B$4),OR(Query!$B$5="All",ISNUMBER(SEARCH(Query!$B$5,'Compliance Database'!$H298))),OR(Query!$B$6="All",ISNUMBER(SEARCH(Query!$B$6,'Compliance Database'!$I298))),OR(Query!$B$7="All",'Compliance Database'!$F298=Query!$B$7),OR(Query!$B$8="All",'Compliance Database'!$J298=Query!$B$8),OR(Query!$B$9="",ISNUMBER(SEARCH(Query!$B$9,'Compliance Database'!$D298&amp;" "&amp;'Compliance Database'!$K298&amp;" "&amp;'Compliance Database'!$L298&amp;" "&amp;'Compliance Database'!$M298&amp;" "&amp;'Compliance Database'!$N298)))),1,0)</f>
        <v/>
      </c>
      <c r="B298">
        <f>IF($A298=1,SUM($A$2:$A298),"")</f>
        <v/>
      </c>
      <c r="C298">
        <f>IF($A298=1,SUM($A$2:$A298),0)</f>
        <v/>
      </c>
    </row>
    <row r="299">
      <c r="A299">
        <f>IF(AND(OR(Query!$B$4="All",'Compliance Database'!$A299=Query!$B$4),OR(Query!$B$5="All",ISNUMBER(SEARCH(Query!$B$5,'Compliance Database'!$H299))),OR(Query!$B$6="All",ISNUMBER(SEARCH(Query!$B$6,'Compliance Database'!$I299))),OR(Query!$B$7="All",'Compliance Database'!$F299=Query!$B$7),OR(Query!$B$8="All",'Compliance Database'!$J299=Query!$B$8),OR(Query!$B$9="",ISNUMBER(SEARCH(Query!$B$9,'Compliance Database'!$D299&amp;" "&amp;'Compliance Database'!$K299&amp;" "&amp;'Compliance Database'!$L299&amp;" "&amp;'Compliance Database'!$M299&amp;" "&amp;'Compliance Database'!$N299)))),1,0)</f>
        <v/>
      </c>
      <c r="B299">
        <f>IF($A299=1,SUM($A$2:$A299),"")</f>
        <v/>
      </c>
      <c r="C299">
        <f>IF($A299=1,SUM($A$2:$A299),0)</f>
        <v/>
      </c>
    </row>
    <row r="300">
      <c r="A300">
        <f>IF(AND(OR(Query!$B$4="All",'Compliance Database'!$A300=Query!$B$4),OR(Query!$B$5="All",ISNUMBER(SEARCH(Query!$B$5,'Compliance Database'!$H300))),OR(Query!$B$6="All",ISNUMBER(SEARCH(Query!$B$6,'Compliance Database'!$I300))),OR(Query!$B$7="All",'Compliance Database'!$F300=Query!$B$7),OR(Query!$B$8="All",'Compliance Database'!$J300=Query!$B$8),OR(Query!$B$9="",ISNUMBER(SEARCH(Query!$B$9,'Compliance Database'!$D300&amp;" "&amp;'Compliance Database'!$K300&amp;" "&amp;'Compliance Database'!$L300&amp;" "&amp;'Compliance Database'!$M300&amp;" "&amp;'Compliance Database'!$N300)))),1,0)</f>
        <v/>
      </c>
      <c r="B300">
        <f>IF($A300=1,SUM($A$2:$A300),"")</f>
        <v/>
      </c>
      <c r="C300">
        <f>IF($A300=1,SUM($A$2:$A300),0)</f>
        <v/>
      </c>
    </row>
    <row r="301">
      <c r="A301">
        <f>IF(AND(OR(Query!$B$4="All",'Compliance Database'!$A301=Query!$B$4),OR(Query!$B$5="All",ISNUMBER(SEARCH(Query!$B$5,'Compliance Database'!$H301))),OR(Query!$B$6="All",ISNUMBER(SEARCH(Query!$B$6,'Compliance Database'!$I301))),OR(Query!$B$7="All",'Compliance Database'!$F301=Query!$B$7),OR(Query!$B$8="All",'Compliance Database'!$J301=Query!$B$8),OR(Query!$B$9="",ISNUMBER(SEARCH(Query!$B$9,'Compliance Database'!$D301&amp;" "&amp;'Compliance Database'!$K301&amp;" "&amp;'Compliance Database'!$L301&amp;" "&amp;'Compliance Database'!$M301&amp;" "&amp;'Compliance Database'!$N301)))),1,0)</f>
        <v/>
      </c>
      <c r="B301">
        <f>IF($A301=1,SUM($A$2:$A301),"")</f>
        <v/>
      </c>
      <c r="C301">
        <f>IF($A301=1,SUM($A$2:$A301),0)</f>
        <v/>
      </c>
    </row>
    <row r="302">
      <c r="A302">
        <f>IF(AND(OR(Query!$B$4="All",'Compliance Database'!$A302=Query!$B$4),OR(Query!$B$5="All",ISNUMBER(SEARCH(Query!$B$5,'Compliance Database'!$H302))),OR(Query!$B$6="All",ISNUMBER(SEARCH(Query!$B$6,'Compliance Database'!$I302))),OR(Query!$B$7="All",'Compliance Database'!$F302=Query!$B$7),OR(Query!$B$8="All",'Compliance Database'!$J302=Query!$B$8),OR(Query!$B$9="",ISNUMBER(SEARCH(Query!$B$9,'Compliance Database'!$D302&amp;" "&amp;'Compliance Database'!$K302&amp;" "&amp;'Compliance Database'!$L302&amp;" "&amp;'Compliance Database'!$M302&amp;" "&amp;'Compliance Database'!$N302)))),1,0)</f>
        <v/>
      </c>
      <c r="B302">
        <f>IF($A302=1,SUM($A$2:$A302),"")</f>
        <v/>
      </c>
      <c r="C302">
        <f>IF($A302=1,SUM($A$2:$A302),0)</f>
        <v/>
      </c>
    </row>
    <row r="303">
      <c r="A303">
        <f>IF(AND(OR(Query!$B$4="All",'Compliance Database'!$A303=Query!$B$4),OR(Query!$B$5="All",ISNUMBER(SEARCH(Query!$B$5,'Compliance Database'!$H303))),OR(Query!$B$6="All",ISNUMBER(SEARCH(Query!$B$6,'Compliance Database'!$I303))),OR(Query!$B$7="All",'Compliance Database'!$F303=Query!$B$7),OR(Query!$B$8="All",'Compliance Database'!$J303=Query!$B$8),OR(Query!$B$9="",ISNUMBER(SEARCH(Query!$B$9,'Compliance Database'!$D303&amp;" "&amp;'Compliance Database'!$K303&amp;" "&amp;'Compliance Database'!$L303&amp;" "&amp;'Compliance Database'!$M303&amp;" "&amp;'Compliance Database'!$N303)))),1,0)</f>
        <v/>
      </c>
      <c r="B303">
        <f>IF($A303=1,SUM($A$2:$A303),"")</f>
        <v/>
      </c>
      <c r="C303">
        <f>IF($A303=1,SUM($A$2:$A303),0)</f>
        <v/>
      </c>
    </row>
    <row r="304">
      <c r="A304">
        <f>IF(AND(OR(Query!$B$4="All",'Compliance Database'!$A304=Query!$B$4),OR(Query!$B$5="All",ISNUMBER(SEARCH(Query!$B$5,'Compliance Database'!$H304))),OR(Query!$B$6="All",ISNUMBER(SEARCH(Query!$B$6,'Compliance Database'!$I304))),OR(Query!$B$7="All",'Compliance Database'!$F304=Query!$B$7),OR(Query!$B$8="All",'Compliance Database'!$J304=Query!$B$8),OR(Query!$B$9="",ISNUMBER(SEARCH(Query!$B$9,'Compliance Database'!$D304&amp;" "&amp;'Compliance Database'!$K304&amp;" "&amp;'Compliance Database'!$L304&amp;" "&amp;'Compliance Database'!$M304&amp;" "&amp;'Compliance Database'!$N304)))),1,0)</f>
        <v/>
      </c>
      <c r="B304">
        <f>IF($A304=1,SUM($A$2:$A304),"")</f>
        <v/>
      </c>
      <c r="C304">
        <f>IF($A304=1,SUM($A$2:$A304),0)</f>
        <v/>
      </c>
    </row>
    <row r="305">
      <c r="A305">
        <f>IF(AND(OR(Query!$B$4="All",'Compliance Database'!$A305=Query!$B$4),OR(Query!$B$5="All",ISNUMBER(SEARCH(Query!$B$5,'Compliance Database'!$H305))),OR(Query!$B$6="All",ISNUMBER(SEARCH(Query!$B$6,'Compliance Database'!$I305))),OR(Query!$B$7="All",'Compliance Database'!$F305=Query!$B$7),OR(Query!$B$8="All",'Compliance Database'!$J305=Query!$B$8),OR(Query!$B$9="",ISNUMBER(SEARCH(Query!$B$9,'Compliance Database'!$D305&amp;" "&amp;'Compliance Database'!$K305&amp;" "&amp;'Compliance Database'!$L305&amp;" "&amp;'Compliance Database'!$M305&amp;" "&amp;'Compliance Database'!$N305)))),1,0)</f>
        <v/>
      </c>
      <c r="B305">
        <f>IF($A305=1,SUM($A$2:$A305),"")</f>
        <v/>
      </c>
      <c r="C305">
        <f>IF($A305=1,SUM($A$2:$A305),0)</f>
        <v/>
      </c>
    </row>
    <row r="306">
      <c r="A306">
        <f>IF(AND(OR(Query!$B$4="All",'Compliance Database'!$A306=Query!$B$4),OR(Query!$B$5="All",ISNUMBER(SEARCH(Query!$B$5,'Compliance Database'!$H306))),OR(Query!$B$6="All",ISNUMBER(SEARCH(Query!$B$6,'Compliance Database'!$I306))),OR(Query!$B$7="All",'Compliance Database'!$F306=Query!$B$7),OR(Query!$B$8="All",'Compliance Database'!$J306=Query!$B$8),OR(Query!$B$9="",ISNUMBER(SEARCH(Query!$B$9,'Compliance Database'!$D306&amp;" "&amp;'Compliance Database'!$K306&amp;" "&amp;'Compliance Database'!$L306&amp;" "&amp;'Compliance Database'!$M306&amp;" "&amp;'Compliance Database'!$N306)))),1,0)</f>
        <v/>
      </c>
      <c r="B306">
        <f>IF($A306=1,SUM($A$2:$A306),"")</f>
        <v/>
      </c>
      <c r="C306">
        <f>IF($A306=1,SUM($A$2:$A306),0)</f>
        <v/>
      </c>
    </row>
    <row r="307">
      <c r="A307">
        <f>IF(AND(OR(Query!$B$4="All",'Compliance Database'!$A307=Query!$B$4),OR(Query!$B$5="All",ISNUMBER(SEARCH(Query!$B$5,'Compliance Database'!$H307))),OR(Query!$B$6="All",ISNUMBER(SEARCH(Query!$B$6,'Compliance Database'!$I307))),OR(Query!$B$7="All",'Compliance Database'!$F307=Query!$B$7),OR(Query!$B$8="All",'Compliance Database'!$J307=Query!$B$8),OR(Query!$B$9="",ISNUMBER(SEARCH(Query!$B$9,'Compliance Database'!$D307&amp;" "&amp;'Compliance Database'!$K307&amp;" "&amp;'Compliance Database'!$L307&amp;" "&amp;'Compliance Database'!$M307&amp;" "&amp;'Compliance Database'!$N307)))),1,0)</f>
        <v/>
      </c>
      <c r="B307">
        <f>IF($A307=1,SUM($A$2:$A307),"")</f>
        <v/>
      </c>
      <c r="C307">
        <f>IF($A307=1,SUM($A$2:$A307),0)</f>
        <v/>
      </c>
    </row>
    <row r="308">
      <c r="A308">
        <f>IF(AND(OR(Query!$B$4="All",'Compliance Database'!$A308=Query!$B$4),OR(Query!$B$5="All",ISNUMBER(SEARCH(Query!$B$5,'Compliance Database'!$H308))),OR(Query!$B$6="All",ISNUMBER(SEARCH(Query!$B$6,'Compliance Database'!$I308))),OR(Query!$B$7="All",'Compliance Database'!$F308=Query!$B$7),OR(Query!$B$8="All",'Compliance Database'!$J308=Query!$B$8),OR(Query!$B$9="",ISNUMBER(SEARCH(Query!$B$9,'Compliance Database'!$D308&amp;" "&amp;'Compliance Database'!$K308&amp;" "&amp;'Compliance Database'!$L308&amp;" "&amp;'Compliance Database'!$M308&amp;" "&amp;'Compliance Database'!$N308)))),1,0)</f>
        <v/>
      </c>
      <c r="B308">
        <f>IF($A308=1,SUM($A$2:$A308),"")</f>
        <v/>
      </c>
      <c r="C308">
        <f>IF($A308=1,SUM($A$2:$A308),0)</f>
        <v/>
      </c>
    </row>
    <row r="309">
      <c r="A309">
        <f>IF(AND(OR(Query!$B$4="All",'Compliance Database'!$A309=Query!$B$4),OR(Query!$B$5="All",ISNUMBER(SEARCH(Query!$B$5,'Compliance Database'!$H309))),OR(Query!$B$6="All",ISNUMBER(SEARCH(Query!$B$6,'Compliance Database'!$I309))),OR(Query!$B$7="All",'Compliance Database'!$F309=Query!$B$7),OR(Query!$B$8="All",'Compliance Database'!$J309=Query!$B$8),OR(Query!$B$9="",ISNUMBER(SEARCH(Query!$B$9,'Compliance Database'!$D309&amp;" "&amp;'Compliance Database'!$K309&amp;" "&amp;'Compliance Database'!$L309&amp;" "&amp;'Compliance Database'!$M309&amp;" "&amp;'Compliance Database'!$N309)))),1,0)</f>
        <v/>
      </c>
      <c r="B309">
        <f>IF($A309=1,SUM($A$2:$A309),"")</f>
        <v/>
      </c>
      <c r="C309">
        <f>IF($A309=1,SUM($A$2:$A309),0)</f>
        <v/>
      </c>
    </row>
    <row r="310">
      <c r="A310">
        <f>IF(AND(OR(Query!$B$4="All",'Compliance Database'!$A310=Query!$B$4),OR(Query!$B$5="All",ISNUMBER(SEARCH(Query!$B$5,'Compliance Database'!$H310))),OR(Query!$B$6="All",ISNUMBER(SEARCH(Query!$B$6,'Compliance Database'!$I310))),OR(Query!$B$7="All",'Compliance Database'!$F310=Query!$B$7),OR(Query!$B$8="All",'Compliance Database'!$J310=Query!$B$8),OR(Query!$B$9="",ISNUMBER(SEARCH(Query!$B$9,'Compliance Database'!$D310&amp;" "&amp;'Compliance Database'!$K310&amp;" "&amp;'Compliance Database'!$L310&amp;" "&amp;'Compliance Database'!$M310&amp;" "&amp;'Compliance Database'!$N310)))),1,0)</f>
        <v/>
      </c>
      <c r="B310">
        <f>IF($A310=1,SUM($A$2:$A310),"")</f>
        <v/>
      </c>
      <c r="C310">
        <f>IF($A310=1,SUM($A$2:$A310),0)</f>
        <v/>
      </c>
    </row>
    <row r="311">
      <c r="A311">
        <f>IF(AND(OR(Query!$B$4="All",'Compliance Database'!$A311=Query!$B$4),OR(Query!$B$5="All",ISNUMBER(SEARCH(Query!$B$5,'Compliance Database'!$H311))),OR(Query!$B$6="All",ISNUMBER(SEARCH(Query!$B$6,'Compliance Database'!$I311))),OR(Query!$B$7="All",'Compliance Database'!$F311=Query!$B$7),OR(Query!$B$8="All",'Compliance Database'!$J311=Query!$B$8),OR(Query!$B$9="",ISNUMBER(SEARCH(Query!$B$9,'Compliance Database'!$D311&amp;" "&amp;'Compliance Database'!$K311&amp;" "&amp;'Compliance Database'!$L311&amp;" "&amp;'Compliance Database'!$M311&amp;" "&amp;'Compliance Database'!$N311)))),1,0)</f>
        <v/>
      </c>
      <c r="B311">
        <f>IF($A311=1,SUM($A$2:$A311),"")</f>
        <v/>
      </c>
      <c r="C311">
        <f>IF($A311=1,SUM($A$2:$A311),0)</f>
        <v/>
      </c>
    </row>
    <row r="312">
      <c r="A312">
        <f>IF(AND(OR(Query!$B$4="All",'Compliance Database'!$A312=Query!$B$4),OR(Query!$B$5="All",ISNUMBER(SEARCH(Query!$B$5,'Compliance Database'!$H312))),OR(Query!$B$6="All",ISNUMBER(SEARCH(Query!$B$6,'Compliance Database'!$I312))),OR(Query!$B$7="All",'Compliance Database'!$F312=Query!$B$7),OR(Query!$B$8="All",'Compliance Database'!$J312=Query!$B$8),OR(Query!$B$9="",ISNUMBER(SEARCH(Query!$B$9,'Compliance Database'!$D312&amp;" "&amp;'Compliance Database'!$K312&amp;" "&amp;'Compliance Database'!$L312&amp;" "&amp;'Compliance Database'!$M312&amp;" "&amp;'Compliance Database'!$N312)))),1,0)</f>
        <v/>
      </c>
      <c r="B312">
        <f>IF($A312=1,SUM($A$2:$A312),"")</f>
        <v/>
      </c>
      <c r="C312">
        <f>IF($A312=1,SUM($A$2:$A312),0)</f>
        <v/>
      </c>
    </row>
    <row r="313">
      <c r="A313">
        <f>IF(AND(OR(Query!$B$4="All",'Compliance Database'!$A313=Query!$B$4),OR(Query!$B$5="All",ISNUMBER(SEARCH(Query!$B$5,'Compliance Database'!$H313))),OR(Query!$B$6="All",ISNUMBER(SEARCH(Query!$B$6,'Compliance Database'!$I313))),OR(Query!$B$7="All",'Compliance Database'!$F313=Query!$B$7),OR(Query!$B$8="All",'Compliance Database'!$J313=Query!$B$8),OR(Query!$B$9="",ISNUMBER(SEARCH(Query!$B$9,'Compliance Database'!$D313&amp;" "&amp;'Compliance Database'!$K313&amp;" "&amp;'Compliance Database'!$L313&amp;" "&amp;'Compliance Database'!$M313&amp;" "&amp;'Compliance Database'!$N313)))),1,0)</f>
        <v/>
      </c>
      <c r="B313">
        <f>IF($A313=1,SUM($A$2:$A313),"")</f>
        <v/>
      </c>
      <c r="C313">
        <f>IF($A313=1,SUM($A$2:$A313),0)</f>
        <v/>
      </c>
    </row>
    <row r="314">
      <c r="A314">
        <f>IF(AND(OR(Query!$B$4="All",'Compliance Database'!$A314=Query!$B$4),OR(Query!$B$5="All",ISNUMBER(SEARCH(Query!$B$5,'Compliance Database'!$H314))),OR(Query!$B$6="All",ISNUMBER(SEARCH(Query!$B$6,'Compliance Database'!$I314))),OR(Query!$B$7="All",'Compliance Database'!$F314=Query!$B$7),OR(Query!$B$8="All",'Compliance Database'!$J314=Query!$B$8),OR(Query!$B$9="",ISNUMBER(SEARCH(Query!$B$9,'Compliance Database'!$D314&amp;" "&amp;'Compliance Database'!$K314&amp;" "&amp;'Compliance Database'!$L314&amp;" "&amp;'Compliance Database'!$M314&amp;" "&amp;'Compliance Database'!$N314)))),1,0)</f>
        <v/>
      </c>
      <c r="B314">
        <f>IF($A314=1,SUM($A$2:$A314),"")</f>
        <v/>
      </c>
      <c r="C314">
        <f>IF($A314=1,SUM($A$2:$A314),0)</f>
        <v/>
      </c>
    </row>
    <row r="315">
      <c r="A315">
        <f>IF(AND(OR(Query!$B$4="All",'Compliance Database'!$A315=Query!$B$4),OR(Query!$B$5="All",ISNUMBER(SEARCH(Query!$B$5,'Compliance Database'!$H315))),OR(Query!$B$6="All",ISNUMBER(SEARCH(Query!$B$6,'Compliance Database'!$I315))),OR(Query!$B$7="All",'Compliance Database'!$F315=Query!$B$7),OR(Query!$B$8="All",'Compliance Database'!$J315=Query!$B$8),OR(Query!$B$9="",ISNUMBER(SEARCH(Query!$B$9,'Compliance Database'!$D315&amp;" "&amp;'Compliance Database'!$K315&amp;" "&amp;'Compliance Database'!$L315&amp;" "&amp;'Compliance Database'!$M315&amp;" "&amp;'Compliance Database'!$N315)))),1,0)</f>
        <v/>
      </c>
      <c r="B315">
        <f>IF($A315=1,SUM($A$2:$A315),"")</f>
        <v/>
      </c>
      <c r="C315">
        <f>IF($A315=1,SUM($A$2:$A315),0)</f>
        <v/>
      </c>
    </row>
    <row r="316">
      <c r="A316">
        <f>IF(AND(OR(Query!$B$4="All",'Compliance Database'!$A316=Query!$B$4),OR(Query!$B$5="All",ISNUMBER(SEARCH(Query!$B$5,'Compliance Database'!$H316))),OR(Query!$B$6="All",ISNUMBER(SEARCH(Query!$B$6,'Compliance Database'!$I316))),OR(Query!$B$7="All",'Compliance Database'!$F316=Query!$B$7),OR(Query!$B$8="All",'Compliance Database'!$J316=Query!$B$8),OR(Query!$B$9="",ISNUMBER(SEARCH(Query!$B$9,'Compliance Database'!$D316&amp;" "&amp;'Compliance Database'!$K316&amp;" "&amp;'Compliance Database'!$L316&amp;" "&amp;'Compliance Database'!$M316&amp;" "&amp;'Compliance Database'!$N316)))),1,0)</f>
        <v/>
      </c>
      <c r="B316">
        <f>IF($A316=1,SUM($A$2:$A316),"")</f>
        <v/>
      </c>
      <c r="C316">
        <f>IF($A316=1,SUM($A$2:$A316),0)</f>
        <v/>
      </c>
    </row>
    <row r="317">
      <c r="A317">
        <f>IF(AND(OR(Query!$B$4="All",'Compliance Database'!$A317=Query!$B$4),OR(Query!$B$5="All",ISNUMBER(SEARCH(Query!$B$5,'Compliance Database'!$H317))),OR(Query!$B$6="All",ISNUMBER(SEARCH(Query!$B$6,'Compliance Database'!$I317))),OR(Query!$B$7="All",'Compliance Database'!$F317=Query!$B$7),OR(Query!$B$8="All",'Compliance Database'!$J317=Query!$B$8),OR(Query!$B$9="",ISNUMBER(SEARCH(Query!$B$9,'Compliance Database'!$D317&amp;" "&amp;'Compliance Database'!$K317&amp;" "&amp;'Compliance Database'!$L317&amp;" "&amp;'Compliance Database'!$M317&amp;" "&amp;'Compliance Database'!$N317)))),1,0)</f>
        <v/>
      </c>
      <c r="B317">
        <f>IF($A317=1,SUM($A$2:$A317),"")</f>
        <v/>
      </c>
      <c r="C317">
        <f>IF($A317=1,SUM($A$2:$A317),0)</f>
        <v/>
      </c>
    </row>
    <row r="318">
      <c r="A318">
        <f>IF(AND(OR(Query!$B$4="All",'Compliance Database'!$A318=Query!$B$4),OR(Query!$B$5="All",ISNUMBER(SEARCH(Query!$B$5,'Compliance Database'!$H318))),OR(Query!$B$6="All",ISNUMBER(SEARCH(Query!$B$6,'Compliance Database'!$I318))),OR(Query!$B$7="All",'Compliance Database'!$F318=Query!$B$7),OR(Query!$B$8="All",'Compliance Database'!$J318=Query!$B$8),OR(Query!$B$9="",ISNUMBER(SEARCH(Query!$B$9,'Compliance Database'!$D318&amp;" "&amp;'Compliance Database'!$K318&amp;" "&amp;'Compliance Database'!$L318&amp;" "&amp;'Compliance Database'!$M318&amp;" "&amp;'Compliance Database'!$N318)))),1,0)</f>
        <v/>
      </c>
      <c r="B318">
        <f>IF($A318=1,SUM($A$2:$A318),"")</f>
        <v/>
      </c>
      <c r="C318">
        <f>IF($A318=1,SUM($A$2:$A318),0)</f>
        <v/>
      </c>
    </row>
    <row r="319">
      <c r="A319">
        <f>IF(AND(OR(Query!$B$4="All",'Compliance Database'!$A319=Query!$B$4),OR(Query!$B$5="All",ISNUMBER(SEARCH(Query!$B$5,'Compliance Database'!$H319))),OR(Query!$B$6="All",ISNUMBER(SEARCH(Query!$B$6,'Compliance Database'!$I319))),OR(Query!$B$7="All",'Compliance Database'!$F319=Query!$B$7),OR(Query!$B$8="All",'Compliance Database'!$J319=Query!$B$8),OR(Query!$B$9="",ISNUMBER(SEARCH(Query!$B$9,'Compliance Database'!$D319&amp;" "&amp;'Compliance Database'!$K319&amp;" "&amp;'Compliance Database'!$L319&amp;" "&amp;'Compliance Database'!$M319&amp;" "&amp;'Compliance Database'!$N319)))),1,0)</f>
        <v/>
      </c>
      <c r="B319">
        <f>IF($A319=1,SUM($A$2:$A319),"")</f>
        <v/>
      </c>
      <c r="C319">
        <f>IF($A319=1,SUM($A$2:$A319),0)</f>
        <v/>
      </c>
    </row>
    <row r="320">
      <c r="A320">
        <f>IF(AND(OR(Query!$B$4="All",'Compliance Database'!$A320=Query!$B$4),OR(Query!$B$5="All",ISNUMBER(SEARCH(Query!$B$5,'Compliance Database'!$H320))),OR(Query!$B$6="All",ISNUMBER(SEARCH(Query!$B$6,'Compliance Database'!$I320))),OR(Query!$B$7="All",'Compliance Database'!$F320=Query!$B$7),OR(Query!$B$8="All",'Compliance Database'!$J320=Query!$B$8),OR(Query!$B$9="",ISNUMBER(SEARCH(Query!$B$9,'Compliance Database'!$D320&amp;" "&amp;'Compliance Database'!$K320&amp;" "&amp;'Compliance Database'!$L320&amp;" "&amp;'Compliance Database'!$M320&amp;" "&amp;'Compliance Database'!$N320)))),1,0)</f>
        <v/>
      </c>
      <c r="B320">
        <f>IF($A320=1,SUM($A$2:$A320),"")</f>
        <v/>
      </c>
      <c r="C320">
        <f>IF($A320=1,SUM($A$2:$A320),0)</f>
        <v/>
      </c>
    </row>
    <row r="321">
      <c r="A321">
        <f>IF(AND(OR(Query!$B$4="All",'Compliance Database'!$A321=Query!$B$4),OR(Query!$B$5="All",ISNUMBER(SEARCH(Query!$B$5,'Compliance Database'!$H321))),OR(Query!$B$6="All",ISNUMBER(SEARCH(Query!$B$6,'Compliance Database'!$I321))),OR(Query!$B$7="All",'Compliance Database'!$F321=Query!$B$7),OR(Query!$B$8="All",'Compliance Database'!$J321=Query!$B$8),OR(Query!$B$9="",ISNUMBER(SEARCH(Query!$B$9,'Compliance Database'!$D321&amp;" "&amp;'Compliance Database'!$K321&amp;" "&amp;'Compliance Database'!$L321&amp;" "&amp;'Compliance Database'!$M321&amp;" "&amp;'Compliance Database'!$N321)))),1,0)</f>
        <v/>
      </c>
      <c r="B321">
        <f>IF($A321=1,SUM($A$2:$A321),"")</f>
        <v/>
      </c>
      <c r="C321">
        <f>IF($A321=1,SUM($A$2:$A321),0)</f>
        <v/>
      </c>
    </row>
    <row r="322">
      <c r="A322">
        <f>IF(AND(OR(Query!$B$4="All",'Compliance Database'!$A322=Query!$B$4),OR(Query!$B$5="All",ISNUMBER(SEARCH(Query!$B$5,'Compliance Database'!$H322))),OR(Query!$B$6="All",ISNUMBER(SEARCH(Query!$B$6,'Compliance Database'!$I322))),OR(Query!$B$7="All",'Compliance Database'!$F322=Query!$B$7),OR(Query!$B$8="All",'Compliance Database'!$J322=Query!$B$8),OR(Query!$B$9="",ISNUMBER(SEARCH(Query!$B$9,'Compliance Database'!$D322&amp;" "&amp;'Compliance Database'!$K322&amp;" "&amp;'Compliance Database'!$L322&amp;" "&amp;'Compliance Database'!$M322&amp;" "&amp;'Compliance Database'!$N322)))),1,0)</f>
        <v/>
      </c>
      <c r="B322">
        <f>IF($A322=1,SUM($A$2:$A322),"")</f>
        <v/>
      </c>
      <c r="C322">
        <f>IF($A322=1,SUM($A$2:$A322),0)</f>
        <v/>
      </c>
    </row>
    <row r="323">
      <c r="A323">
        <f>IF(AND(OR(Query!$B$4="All",'Compliance Database'!$A323=Query!$B$4),OR(Query!$B$5="All",ISNUMBER(SEARCH(Query!$B$5,'Compliance Database'!$H323))),OR(Query!$B$6="All",ISNUMBER(SEARCH(Query!$B$6,'Compliance Database'!$I323))),OR(Query!$B$7="All",'Compliance Database'!$F323=Query!$B$7),OR(Query!$B$8="All",'Compliance Database'!$J323=Query!$B$8),OR(Query!$B$9="",ISNUMBER(SEARCH(Query!$B$9,'Compliance Database'!$D323&amp;" "&amp;'Compliance Database'!$K323&amp;" "&amp;'Compliance Database'!$L323&amp;" "&amp;'Compliance Database'!$M323&amp;" "&amp;'Compliance Database'!$N323)))),1,0)</f>
        <v/>
      </c>
      <c r="B323">
        <f>IF($A323=1,SUM($A$2:$A323),"")</f>
        <v/>
      </c>
      <c r="C323">
        <f>IF($A323=1,SUM($A$2:$A323),0)</f>
        <v/>
      </c>
    </row>
    <row r="324">
      <c r="A324">
        <f>IF(AND(OR(Query!$B$4="All",'Compliance Database'!$A324=Query!$B$4),OR(Query!$B$5="All",ISNUMBER(SEARCH(Query!$B$5,'Compliance Database'!$H324))),OR(Query!$B$6="All",ISNUMBER(SEARCH(Query!$B$6,'Compliance Database'!$I324))),OR(Query!$B$7="All",'Compliance Database'!$F324=Query!$B$7),OR(Query!$B$8="All",'Compliance Database'!$J324=Query!$B$8),OR(Query!$B$9="",ISNUMBER(SEARCH(Query!$B$9,'Compliance Database'!$D324&amp;" "&amp;'Compliance Database'!$K324&amp;" "&amp;'Compliance Database'!$L324&amp;" "&amp;'Compliance Database'!$M324&amp;" "&amp;'Compliance Database'!$N324)))),1,0)</f>
        <v/>
      </c>
      <c r="B324">
        <f>IF($A324=1,SUM($A$2:$A324),"")</f>
        <v/>
      </c>
      <c r="C324">
        <f>IF($A324=1,SUM($A$2:$A324),0)</f>
        <v/>
      </c>
    </row>
    <row r="325">
      <c r="A325">
        <f>IF(AND(OR(Query!$B$4="All",'Compliance Database'!$A325=Query!$B$4),OR(Query!$B$5="All",ISNUMBER(SEARCH(Query!$B$5,'Compliance Database'!$H325))),OR(Query!$B$6="All",ISNUMBER(SEARCH(Query!$B$6,'Compliance Database'!$I325))),OR(Query!$B$7="All",'Compliance Database'!$F325=Query!$B$7),OR(Query!$B$8="All",'Compliance Database'!$J325=Query!$B$8),OR(Query!$B$9="",ISNUMBER(SEARCH(Query!$B$9,'Compliance Database'!$D325&amp;" "&amp;'Compliance Database'!$K325&amp;" "&amp;'Compliance Database'!$L325&amp;" "&amp;'Compliance Database'!$M325&amp;" "&amp;'Compliance Database'!$N325)))),1,0)</f>
        <v/>
      </c>
      <c r="B325">
        <f>IF($A325=1,SUM($A$2:$A325),"")</f>
        <v/>
      </c>
      <c r="C325">
        <f>IF($A325=1,SUM($A$2:$A325),0)</f>
        <v/>
      </c>
    </row>
    <row r="326">
      <c r="A326">
        <f>IF(AND(OR(Query!$B$4="All",'Compliance Database'!$A326=Query!$B$4),OR(Query!$B$5="All",ISNUMBER(SEARCH(Query!$B$5,'Compliance Database'!$H326))),OR(Query!$B$6="All",ISNUMBER(SEARCH(Query!$B$6,'Compliance Database'!$I326))),OR(Query!$B$7="All",'Compliance Database'!$F326=Query!$B$7),OR(Query!$B$8="All",'Compliance Database'!$J326=Query!$B$8),OR(Query!$B$9="",ISNUMBER(SEARCH(Query!$B$9,'Compliance Database'!$D326&amp;" "&amp;'Compliance Database'!$K326&amp;" "&amp;'Compliance Database'!$L326&amp;" "&amp;'Compliance Database'!$M326&amp;" "&amp;'Compliance Database'!$N326)))),1,0)</f>
        <v/>
      </c>
      <c r="B326">
        <f>IF($A326=1,SUM($A$2:$A326),"")</f>
        <v/>
      </c>
      <c r="C326">
        <f>IF($A326=1,SUM($A$2:$A326),0)</f>
        <v/>
      </c>
    </row>
    <row r="327">
      <c r="A327">
        <f>IF(AND(OR(Query!$B$4="All",'Compliance Database'!$A327=Query!$B$4),OR(Query!$B$5="All",ISNUMBER(SEARCH(Query!$B$5,'Compliance Database'!$H327))),OR(Query!$B$6="All",ISNUMBER(SEARCH(Query!$B$6,'Compliance Database'!$I327))),OR(Query!$B$7="All",'Compliance Database'!$F327=Query!$B$7),OR(Query!$B$8="All",'Compliance Database'!$J327=Query!$B$8),OR(Query!$B$9="",ISNUMBER(SEARCH(Query!$B$9,'Compliance Database'!$D327&amp;" "&amp;'Compliance Database'!$K327&amp;" "&amp;'Compliance Database'!$L327&amp;" "&amp;'Compliance Database'!$M327&amp;" "&amp;'Compliance Database'!$N327)))),1,0)</f>
        <v/>
      </c>
      <c r="B327">
        <f>IF($A327=1,SUM($A$2:$A327),"")</f>
        <v/>
      </c>
      <c r="C327">
        <f>IF($A327=1,SUM($A$2:$A327),0)</f>
        <v/>
      </c>
    </row>
    <row r="328">
      <c r="A328">
        <f>IF(AND(OR(Query!$B$4="All",'Compliance Database'!$A328=Query!$B$4),OR(Query!$B$5="All",ISNUMBER(SEARCH(Query!$B$5,'Compliance Database'!$H328))),OR(Query!$B$6="All",ISNUMBER(SEARCH(Query!$B$6,'Compliance Database'!$I328))),OR(Query!$B$7="All",'Compliance Database'!$F328=Query!$B$7),OR(Query!$B$8="All",'Compliance Database'!$J328=Query!$B$8),OR(Query!$B$9="",ISNUMBER(SEARCH(Query!$B$9,'Compliance Database'!$D328&amp;" "&amp;'Compliance Database'!$K328&amp;" "&amp;'Compliance Database'!$L328&amp;" "&amp;'Compliance Database'!$M328&amp;" "&amp;'Compliance Database'!$N328)))),1,0)</f>
        <v/>
      </c>
      <c r="B328">
        <f>IF($A328=1,SUM($A$2:$A328),"")</f>
        <v/>
      </c>
      <c r="C328">
        <f>IF($A328=1,SUM($A$2:$A328),0)</f>
        <v/>
      </c>
    </row>
    <row r="329">
      <c r="A329">
        <f>IF(AND(OR(Query!$B$4="All",'Compliance Database'!$A329=Query!$B$4),OR(Query!$B$5="All",ISNUMBER(SEARCH(Query!$B$5,'Compliance Database'!$H329))),OR(Query!$B$6="All",ISNUMBER(SEARCH(Query!$B$6,'Compliance Database'!$I329))),OR(Query!$B$7="All",'Compliance Database'!$F329=Query!$B$7),OR(Query!$B$8="All",'Compliance Database'!$J329=Query!$B$8),OR(Query!$B$9="",ISNUMBER(SEARCH(Query!$B$9,'Compliance Database'!$D329&amp;" "&amp;'Compliance Database'!$K329&amp;" "&amp;'Compliance Database'!$L329&amp;" "&amp;'Compliance Database'!$M329&amp;" "&amp;'Compliance Database'!$N329)))),1,0)</f>
        <v/>
      </c>
      <c r="B329">
        <f>IF($A329=1,SUM($A$2:$A329),"")</f>
        <v/>
      </c>
      <c r="C329">
        <f>IF($A329=1,SUM($A$2:$A329),0)</f>
        <v/>
      </c>
    </row>
    <row r="330">
      <c r="A330">
        <f>IF(AND(OR(Query!$B$4="All",'Compliance Database'!$A330=Query!$B$4),OR(Query!$B$5="All",ISNUMBER(SEARCH(Query!$B$5,'Compliance Database'!$H330))),OR(Query!$B$6="All",ISNUMBER(SEARCH(Query!$B$6,'Compliance Database'!$I330))),OR(Query!$B$7="All",'Compliance Database'!$F330=Query!$B$7),OR(Query!$B$8="All",'Compliance Database'!$J330=Query!$B$8),OR(Query!$B$9="",ISNUMBER(SEARCH(Query!$B$9,'Compliance Database'!$D330&amp;" "&amp;'Compliance Database'!$K330&amp;" "&amp;'Compliance Database'!$L330&amp;" "&amp;'Compliance Database'!$M330&amp;" "&amp;'Compliance Database'!$N330)))),1,0)</f>
        <v/>
      </c>
      <c r="B330">
        <f>IF($A330=1,SUM($A$2:$A330),"")</f>
        <v/>
      </c>
      <c r="C330">
        <f>IF($A330=1,SUM($A$2:$A330),0)</f>
        <v/>
      </c>
    </row>
    <row r="331">
      <c r="A331">
        <f>IF(AND(OR(Query!$B$4="All",'Compliance Database'!$A331=Query!$B$4),OR(Query!$B$5="All",ISNUMBER(SEARCH(Query!$B$5,'Compliance Database'!$H331))),OR(Query!$B$6="All",ISNUMBER(SEARCH(Query!$B$6,'Compliance Database'!$I331))),OR(Query!$B$7="All",'Compliance Database'!$F331=Query!$B$7),OR(Query!$B$8="All",'Compliance Database'!$J331=Query!$B$8),OR(Query!$B$9="",ISNUMBER(SEARCH(Query!$B$9,'Compliance Database'!$D331&amp;" "&amp;'Compliance Database'!$K331&amp;" "&amp;'Compliance Database'!$L331&amp;" "&amp;'Compliance Database'!$M331&amp;" "&amp;'Compliance Database'!$N331)))),1,0)</f>
        <v/>
      </c>
      <c r="B331">
        <f>IF($A331=1,SUM($A$2:$A331),"")</f>
        <v/>
      </c>
      <c r="C331">
        <f>IF($A331=1,SUM($A$2:$A331),0)</f>
        <v/>
      </c>
    </row>
    <row r="332">
      <c r="A332">
        <f>IF(AND(OR(Query!$B$4="All",'Compliance Database'!$A332=Query!$B$4),OR(Query!$B$5="All",ISNUMBER(SEARCH(Query!$B$5,'Compliance Database'!$H332))),OR(Query!$B$6="All",ISNUMBER(SEARCH(Query!$B$6,'Compliance Database'!$I332))),OR(Query!$B$7="All",'Compliance Database'!$F332=Query!$B$7),OR(Query!$B$8="All",'Compliance Database'!$J332=Query!$B$8),OR(Query!$B$9="",ISNUMBER(SEARCH(Query!$B$9,'Compliance Database'!$D332&amp;" "&amp;'Compliance Database'!$K332&amp;" "&amp;'Compliance Database'!$L332&amp;" "&amp;'Compliance Database'!$M332&amp;" "&amp;'Compliance Database'!$N332)))),1,0)</f>
        <v/>
      </c>
      <c r="B332">
        <f>IF($A332=1,SUM($A$2:$A332),"")</f>
        <v/>
      </c>
      <c r="C332">
        <f>IF($A332=1,SUM($A$2:$A332),0)</f>
        <v/>
      </c>
    </row>
    <row r="333">
      <c r="A333">
        <f>IF(AND(OR(Query!$B$4="All",'Compliance Database'!$A333=Query!$B$4),OR(Query!$B$5="All",ISNUMBER(SEARCH(Query!$B$5,'Compliance Database'!$H333))),OR(Query!$B$6="All",ISNUMBER(SEARCH(Query!$B$6,'Compliance Database'!$I333))),OR(Query!$B$7="All",'Compliance Database'!$F333=Query!$B$7),OR(Query!$B$8="All",'Compliance Database'!$J333=Query!$B$8),OR(Query!$B$9="",ISNUMBER(SEARCH(Query!$B$9,'Compliance Database'!$D333&amp;" "&amp;'Compliance Database'!$K333&amp;" "&amp;'Compliance Database'!$L333&amp;" "&amp;'Compliance Database'!$M333&amp;" "&amp;'Compliance Database'!$N333)))),1,0)</f>
        <v/>
      </c>
      <c r="B333">
        <f>IF($A333=1,SUM($A$2:$A333),"")</f>
        <v/>
      </c>
      <c r="C333">
        <f>IF($A333=1,SUM($A$2:$A333),0)</f>
        <v/>
      </c>
    </row>
    <row r="334">
      <c r="A334">
        <f>IF(AND(OR(Query!$B$4="All",'Compliance Database'!$A334=Query!$B$4),OR(Query!$B$5="All",ISNUMBER(SEARCH(Query!$B$5,'Compliance Database'!$H334))),OR(Query!$B$6="All",ISNUMBER(SEARCH(Query!$B$6,'Compliance Database'!$I334))),OR(Query!$B$7="All",'Compliance Database'!$F334=Query!$B$7),OR(Query!$B$8="All",'Compliance Database'!$J334=Query!$B$8),OR(Query!$B$9="",ISNUMBER(SEARCH(Query!$B$9,'Compliance Database'!$D334&amp;" "&amp;'Compliance Database'!$K334&amp;" "&amp;'Compliance Database'!$L334&amp;" "&amp;'Compliance Database'!$M334&amp;" "&amp;'Compliance Database'!$N334)))),1,0)</f>
        <v/>
      </c>
      <c r="B334">
        <f>IF($A334=1,SUM($A$2:$A334),"")</f>
        <v/>
      </c>
      <c r="C334">
        <f>IF($A334=1,SUM($A$2:$A334),0)</f>
        <v/>
      </c>
    </row>
    <row r="335">
      <c r="A335">
        <f>IF(AND(OR(Query!$B$4="All",'Compliance Database'!$A335=Query!$B$4),OR(Query!$B$5="All",ISNUMBER(SEARCH(Query!$B$5,'Compliance Database'!$H335))),OR(Query!$B$6="All",ISNUMBER(SEARCH(Query!$B$6,'Compliance Database'!$I335))),OR(Query!$B$7="All",'Compliance Database'!$F335=Query!$B$7),OR(Query!$B$8="All",'Compliance Database'!$J335=Query!$B$8),OR(Query!$B$9="",ISNUMBER(SEARCH(Query!$B$9,'Compliance Database'!$D335&amp;" "&amp;'Compliance Database'!$K335&amp;" "&amp;'Compliance Database'!$L335&amp;" "&amp;'Compliance Database'!$M335&amp;" "&amp;'Compliance Database'!$N335)))),1,0)</f>
        <v/>
      </c>
      <c r="B335">
        <f>IF($A335=1,SUM($A$2:$A335),"")</f>
        <v/>
      </c>
      <c r="C335">
        <f>IF($A335=1,SUM($A$2:$A335),0)</f>
        <v/>
      </c>
    </row>
    <row r="336">
      <c r="A336">
        <f>IF(AND(OR(Query!$B$4="All",'Compliance Database'!$A336=Query!$B$4),OR(Query!$B$5="All",ISNUMBER(SEARCH(Query!$B$5,'Compliance Database'!$H336))),OR(Query!$B$6="All",ISNUMBER(SEARCH(Query!$B$6,'Compliance Database'!$I336))),OR(Query!$B$7="All",'Compliance Database'!$F336=Query!$B$7),OR(Query!$B$8="All",'Compliance Database'!$J336=Query!$B$8),OR(Query!$B$9="",ISNUMBER(SEARCH(Query!$B$9,'Compliance Database'!$D336&amp;" "&amp;'Compliance Database'!$K336&amp;" "&amp;'Compliance Database'!$L336&amp;" "&amp;'Compliance Database'!$M336&amp;" "&amp;'Compliance Database'!$N336)))),1,0)</f>
        <v/>
      </c>
      <c r="B336">
        <f>IF($A336=1,SUM($A$2:$A336),"")</f>
        <v/>
      </c>
      <c r="C336">
        <f>IF($A336=1,SUM($A$2:$A336),0)</f>
        <v/>
      </c>
    </row>
    <row r="337">
      <c r="A337">
        <f>IF(AND(OR(Query!$B$4="All",'Compliance Database'!$A337=Query!$B$4),OR(Query!$B$5="All",ISNUMBER(SEARCH(Query!$B$5,'Compliance Database'!$H337))),OR(Query!$B$6="All",ISNUMBER(SEARCH(Query!$B$6,'Compliance Database'!$I337))),OR(Query!$B$7="All",'Compliance Database'!$F337=Query!$B$7),OR(Query!$B$8="All",'Compliance Database'!$J337=Query!$B$8),OR(Query!$B$9="",ISNUMBER(SEARCH(Query!$B$9,'Compliance Database'!$D337&amp;" "&amp;'Compliance Database'!$K337&amp;" "&amp;'Compliance Database'!$L337&amp;" "&amp;'Compliance Database'!$M337&amp;" "&amp;'Compliance Database'!$N337)))),1,0)</f>
        <v/>
      </c>
      <c r="B337">
        <f>IF($A337=1,SUM($A$2:$A337),"")</f>
        <v/>
      </c>
      <c r="C337">
        <f>IF($A337=1,SUM($A$2:$A337),0)</f>
        <v/>
      </c>
    </row>
    <row r="338">
      <c r="A338">
        <f>IF(AND(OR(Query!$B$4="All",'Compliance Database'!$A338=Query!$B$4),OR(Query!$B$5="All",ISNUMBER(SEARCH(Query!$B$5,'Compliance Database'!$H338))),OR(Query!$B$6="All",ISNUMBER(SEARCH(Query!$B$6,'Compliance Database'!$I338))),OR(Query!$B$7="All",'Compliance Database'!$F338=Query!$B$7),OR(Query!$B$8="All",'Compliance Database'!$J338=Query!$B$8),OR(Query!$B$9="",ISNUMBER(SEARCH(Query!$B$9,'Compliance Database'!$D338&amp;" "&amp;'Compliance Database'!$K338&amp;" "&amp;'Compliance Database'!$L338&amp;" "&amp;'Compliance Database'!$M338&amp;" "&amp;'Compliance Database'!$N338)))),1,0)</f>
        <v/>
      </c>
      <c r="B338">
        <f>IF($A338=1,SUM($A$2:$A338),"")</f>
        <v/>
      </c>
      <c r="C338">
        <f>IF($A338=1,SUM($A$2:$A338),0)</f>
        <v/>
      </c>
    </row>
    <row r="339">
      <c r="A339">
        <f>IF(AND(OR(Query!$B$4="All",'Compliance Database'!$A339=Query!$B$4),OR(Query!$B$5="All",ISNUMBER(SEARCH(Query!$B$5,'Compliance Database'!$H339))),OR(Query!$B$6="All",ISNUMBER(SEARCH(Query!$B$6,'Compliance Database'!$I339))),OR(Query!$B$7="All",'Compliance Database'!$F339=Query!$B$7),OR(Query!$B$8="All",'Compliance Database'!$J339=Query!$B$8),OR(Query!$B$9="",ISNUMBER(SEARCH(Query!$B$9,'Compliance Database'!$D339&amp;" "&amp;'Compliance Database'!$K339&amp;" "&amp;'Compliance Database'!$L339&amp;" "&amp;'Compliance Database'!$M339&amp;" "&amp;'Compliance Database'!$N339)))),1,0)</f>
        <v/>
      </c>
      <c r="B339">
        <f>IF($A339=1,SUM($A$2:$A339),"")</f>
        <v/>
      </c>
      <c r="C339">
        <f>IF($A339=1,SUM($A$2:$A339),0)</f>
        <v/>
      </c>
    </row>
    <row r="340">
      <c r="A340">
        <f>IF(AND(OR(Query!$B$4="All",'Compliance Database'!$A340=Query!$B$4),OR(Query!$B$5="All",ISNUMBER(SEARCH(Query!$B$5,'Compliance Database'!$H340))),OR(Query!$B$6="All",ISNUMBER(SEARCH(Query!$B$6,'Compliance Database'!$I340))),OR(Query!$B$7="All",'Compliance Database'!$F340=Query!$B$7),OR(Query!$B$8="All",'Compliance Database'!$J340=Query!$B$8),OR(Query!$B$9="",ISNUMBER(SEARCH(Query!$B$9,'Compliance Database'!$D340&amp;" "&amp;'Compliance Database'!$K340&amp;" "&amp;'Compliance Database'!$L340&amp;" "&amp;'Compliance Database'!$M340&amp;" "&amp;'Compliance Database'!$N340)))),1,0)</f>
        <v/>
      </c>
      <c r="B340">
        <f>IF($A340=1,SUM($A$2:$A340),"")</f>
        <v/>
      </c>
      <c r="C340">
        <f>IF($A340=1,SUM($A$2:$A340),0)</f>
        <v/>
      </c>
    </row>
    <row r="341">
      <c r="A341">
        <f>IF(AND(OR(Query!$B$4="All",'Compliance Database'!$A341=Query!$B$4),OR(Query!$B$5="All",ISNUMBER(SEARCH(Query!$B$5,'Compliance Database'!$H341))),OR(Query!$B$6="All",ISNUMBER(SEARCH(Query!$B$6,'Compliance Database'!$I341))),OR(Query!$B$7="All",'Compliance Database'!$F341=Query!$B$7),OR(Query!$B$8="All",'Compliance Database'!$J341=Query!$B$8),OR(Query!$B$9="",ISNUMBER(SEARCH(Query!$B$9,'Compliance Database'!$D341&amp;" "&amp;'Compliance Database'!$K341&amp;" "&amp;'Compliance Database'!$L341&amp;" "&amp;'Compliance Database'!$M341&amp;" "&amp;'Compliance Database'!$N341)))),1,0)</f>
        <v/>
      </c>
      <c r="B341">
        <f>IF($A341=1,SUM($A$2:$A341),"")</f>
        <v/>
      </c>
      <c r="C341">
        <f>IF($A341=1,SUM($A$2:$A341),0)</f>
        <v/>
      </c>
    </row>
    <row r="342">
      <c r="A342">
        <f>IF(AND(OR(Query!$B$4="All",'Compliance Database'!$A342=Query!$B$4),OR(Query!$B$5="All",ISNUMBER(SEARCH(Query!$B$5,'Compliance Database'!$H342))),OR(Query!$B$6="All",ISNUMBER(SEARCH(Query!$B$6,'Compliance Database'!$I342))),OR(Query!$B$7="All",'Compliance Database'!$F342=Query!$B$7),OR(Query!$B$8="All",'Compliance Database'!$J342=Query!$B$8),OR(Query!$B$9="",ISNUMBER(SEARCH(Query!$B$9,'Compliance Database'!$D342&amp;" "&amp;'Compliance Database'!$K342&amp;" "&amp;'Compliance Database'!$L342&amp;" "&amp;'Compliance Database'!$M342&amp;" "&amp;'Compliance Database'!$N342)))),1,0)</f>
        <v/>
      </c>
      <c r="B342">
        <f>IF($A342=1,SUM($A$2:$A342),"")</f>
        <v/>
      </c>
      <c r="C342">
        <f>IF($A342=1,SUM($A$2:$A342),0)</f>
        <v/>
      </c>
    </row>
    <row r="343">
      <c r="A343">
        <f>IF(AND(OR(Query!$B$4="All",'Compliance Database'!$A343=Query!$B$4),OR(Query!$B$5="All",ISNUMBER(SEARCH(Query!$B$5,'Compliance Database'!$H343))),OR(Query!$B$6="All",ISNUMBER(SEARCH(Query!$B$6,'Compliance Database'!$I343))),OR(Query!$B$7="All",'Compliance Database'!$F343=Query!$B$7),OR(Query!$B$8="All",'Compliance Database'!$J343=Query!$B$8),OR(Query!$B$9="",ISNUMBER(SEARCH(Query!$B$9,'Compliance Database'!$D343&amp;" "&amp;'Compliance Database'!$K343&amp;" "&amp;'Compliance Database'!$L343&amp;" "&amp;'Compliance Database'!$M343&amp;" "&amp;'Compliance Database'!$N343)))),1,0)</f>
        <v/>
      </c>
      <c r="B343">
        <f>IF($A343=1,SUM($A$2:$A343),"")</f>
        <v/>
      </c>
      <c r="C343">
        <f>IF($A343=1,SUM($A$2:$A343),0)</f>
        <v/>
      </c>
    </row>
    <row r="344">
      <c r="A344">
        <f>IF(AND(OR(Query!$B$4="All",'Compliance Database'!$A344=Query!$B$4),OR(Query!$B$5="All",ISNUMBER(SEARCH(Query!$B$5,'Compliance Database'!$H344))),OR(Query!$B$6="All",ISNUMBER(SEARCH(Query!$B$6,'Compliance Database'!$I344))),OR(Query!$B$7="All",'Compliance Database'!$F344=Query!$B$7),OR(Query!$B$8="All",'Compliance Database'!$J344=Query!$B$8),OR(Query!$B$9="",ISNUMBER(SEARCH(Query!$B$9,'Compliance Database'!$D344&amp;" "&amp;'Compliance Database'!$K344&amp;" "&amp;'Compliance Database'!$L344&amp;" "&amp;'Compliance Database'!$M344&amp;" "&amp;'Compliance Database'!$N344)))),1,0)</f>
        <v/>
      </c>
      <c r="B344">
        <f>IF($A344=1,SUM($A$2:$A344),"")</f>
        <v/>
      </c>
      <c r="C344">
        <f>IF($A344=1,SUM($A$2:$A344),0)</f>
        <v/>
      </c>
    </row>
    <row r="345">
      <c r="A345">
        <f>IF(AND(OR(Query!$B$4="All",'Compliance Database'!$A345=Query!$B$4),OR(Query!$B$5="All",ISNUMBER(SEARCH(Query!$B$5,'Compliance Database'!$H345))),OR(Query!$B$6="All",ISNUMBER(SEARCH(Query!$B$6,'Compliance Database'!$I345))),OR(Query!$B$7="All",'Compliance Database'!$F345=Query!$B$7),OR(Query!$B$8="All",'Compliance Database'!$J345=Query!$B$8),OR(Query!$B$9="",ISNUMBER(SEARCH(Query!$B$9,'Compliance Database'!$D345&amp;" "&amp;'Compliance Database'!$K345&amp;" "&amp;'Compliance Database'!$L345&amp;" "&amp;'Compliance Database'!$M345&amp;" "&amp;'Compliance Database'!$N345)))),1,0)</f>
        <v/>
      </c>
      <c r="B345">
        <f>IF($A345=1,SUM($A$2:$A345),"")</f>
        <v/>
      </c>
      <c r="C345">
        <f>IF($A345=1,SUM($A$2:$A345),0)</f>
        <v/>
      </c>
    </row>
    <row r="346">
      <c r="A346">
        <f>IF(AND(OR(Query!$B$4="All",'Compliance Database'!$A346=Query!$B$4),OR(Query!$B$5="All",ISNUMBER(SEARCH(Query!$B$5,'Compliance Database'!$H346))),OR(Query!$B$6="All",ISNUMBER(SEARCH(Query!$B$6,'Compliance Database'!$I346))),OR(Query!$B$7="All",'Compliance Database'!$F346=Query!$B$7),OR(Query!$B$8="All",'Compliance Database'!$J346=Query!$B$8),OR(Query!$B$9="",ISNUMBER(SEARCH(Query!$B$9,'Compliance Database'!$D346&amp;" "&amp;'Compliance Database'!$K346&amp;" "&amp;'Compliance Database'!$L346&amp;" "&amp;'Compliance Database'!$M346&amp;" "&amp;'Compliance Database'!$N346)))),1,0)</f>
        <v/>
      </c>
      <c r="B346">
        <f>IF($A346=1,SUM($A$2:$A346),"")</f>
        <v/>
      </c>
      <c r="C346">
        <f>IF($A346=1,SUM($A$2:$A346),0)</f>
        <v/>
      </c>
    </row>
    <row r="347">
      <c r="A347">
        <f>IF(AND(OR(Query!$B$4="All",'Compliance Database'!$A347=Query!$B$4),OR(Query!$B$5="All",ISNUMBER(SEARCH(Query!$B$5,'Compliance Database'!$H347))),OR(Query!$B$6="All",ISNUMBER(SEARCH(Query!$B$6,'Compliance Database'!$I347))),OR(Query!$B$7="All",'Compliance Database'!$F347=Query!$B$7),OR(Query!$B$8="All",'Compliance Database'!$J347=Query!$B$8),OR(Query!$B$9="",ISNUMBER(SEARCH(Query!$B$9,'Compliance Database'!$D347&amp;" "&amp;'Compliance Database'!$K347&amp;" "&amp;'Compliance Database'!$L347&amp;" "&amp;'Compliance Database'!$M347&amp;" "&amp;'Compliance Database'!$N347)))),1,0)</f>
        <v/>
      </c>
      <c r="B347">
        <f>IF($A347=1,SUM($A$2:$A347),"")</f>
        <v/>
      </c>
      <c r="C347">
        <f>IF($A347=1,SUM($A$2:$A347),0)</f>
        <v/>
      </c>
    </row>
    <row r="348">
      <c r="A348">
        <f>IF(AND(OR(Query!$B$4="All",'Compliance Database'!$A348=Query!$B$4),OR(Query!$B$5="All",ISNUMBER(SEARCH(Query!$B$5,'Compliance Database'!$H348))),OR(Query!$B$6="All",ISNUMBER(SEARCH(Query!$B$6,'Compliance Database'!$I348))),OR(Query!$B$7="All",'Compliance Database'!$F348=Query!$B$7),OR(Query!$B$8="All",'Compliance Database'!$J348=Query!$B$8),OR(Query!$B$9="",ISNUMBER(SEARCH(Query!$B$9,'Compliance Database'!$D348&amp;" "&amp;'Compliance Database'!$K348&amp;" "&amp;'Compliance Database'!$L348&amp;" "&amp;'Compliance Database'!$M348&amp;" "&amp;'Compliance Database'!$N348)))),1,0)</f>
        <v/>
      </c>
      <c r="B348">
        <f>IF($A348=1,SUM($A$2:$A348),"")</f>
        <v/>
      </c>
      <c r="C348">
        <f>IF($A348=1,SUM($A$2:$A348),0)</f>
        <v/>
      </c>
    </row>
    <row r="349">
      <c r="A349">
        <f>IF(AND(OR(Query!$B$4="All",'Compliance Database'!$A349=Query!$B$4),OR(Query!$B$5="All",ISNUMBER(SEARCH(Query!$B$5,'Compliance Database'!$H349))),OR(Query!$B$6="All",ISNUMBER(SEARCH(Query!$B$6,'Compliance Database'!$I349))),OR(Query!$B$7="All",'Compliance Database'!$F349=Query!$B$7),OR(Query!$B$8="All",'Compliance Database'!$J349=Query!$B$8),OR(Query!$B$9="",ISNUMBER(SEARCH(Query!$B$9,'Compliance Database'!$D349&amp;" "&amp;'Compliance Database'!$K349&amp;" "&amp;'Compliance Database'!$L349&amp;" "&amp;'Compliance Database'!$M349&amp;" "&amp;'Compliance Database'!$N349)))),1,0)</f>
        <v/>
      </c>
      <c r="B349">
        <f>IF($A349=1,SUM($A$2:$A349),"")</f>
        <v/>
      </c>
      <c r="C349">
        <f>IF($A349=1,SUM($A$2:$A349),0)</f>
        <v/>
      </c>
    </row>
    <row r="350">
      <c r="A350">
        <f>IF(AND(OR(Query!$B$4="All",'Compliance Database'!$A350=Query!$B$4),OR(Query!$B$5="All",ISNUMBER(SEARCH(Query!$B$5,'Compliance Database'!$H350))),OR(Query!$B$6="All",ISNUMBER(SEARCH(Query!$B$6,'Compliance Database'!$I350))),OR(Query!$B$7="All",'Compliance Database'!$F350=Query!$B$7),OR(Query!$B$8="All",'Compliance Database'!$J350=Query!$B$8),OR(Query!$B$9="",ISNUMBER(SEARCH(Query!$B$9,'Compliance Database'!$D350&amp;" "&amp;'Compliance Database'!$K350&amp;" "&amp;'Compliance Database'!$L350&amp;" "&amp;'Compliance Database'!$M350&amp;" "&amp;'Compliance Database'!$N350)))),1,0)</f>
        <v/>
      </c>
      <c r="B350">
        <f>IF($A350=1,SUM($A$2:$A350),"")</f>
        <v/>
      </c>
      <c r="C350">
        <f>IF($A350=1,SUM($A$2:$A350),0)</f>
        <v/>
      </c>
    </row>
    <row r="351">
      <c r="A351">
        <f>IF(AND(OR(Query!$B$4="All",'Compliance Database'!$A351=Query!$B$4),OR(Query!$B$5="All",ISNUMBER(SEARCH(Query!$B$5,'Compliance Database'!$H351))),OR(Query!$B$6="All",ISNUMBER(SEARCH(Query!$B$6,'Compliance Database'!$I351))),OR(Query!$B$7="All",'Compliance Database'!$F351=Query!$B$7),OR(Query!$B$8="All",'Compliance Database'!$J351=Query!$B$8),OR(Query!$B$9="",ISNUMBER(SEARCH(Query!$B$9,'Compliance Database'!$D351&amp;" "&amp;'Compliance Database'!$K351&amp;" "&amp;'Compliance Database'!$L351&amp;" "&amp;'Compliance Database'!$M351&amp;" "&amp;'Compliance Database'!$N351)))),1,0)</f>
        <v/>
      </c>
      <c r="B351">
        <f>IF($A351=1,SUM($A$2:$A351),"")</f>
        <v/>
      </c>
      <c r="C351">
        <f>IF($A351=1,SUM($A$2:$A351),0)</f>
        <v/>
      </c>
    </row>
    <row r="352">
      <c r="A352">
        <f>IF(AND(OR(Query!$B$4="All",'Compliance Database'!$A352=Query!$B$4),OR(Query!$B$5="All",ISNUMBER(SEARCH(Query!$B$5,'Compliance Database'!$H352))),OR(Query!$B$6="All",ISNUMBER(SEARCH(Query!$B$6,'Compliance Database'!$I352))),OR(Query!$B$7="All",'Compliance Database'!$F352=Query!$B$7),OR(Query!$B$8="All",'Compliance Database'!$J352=Query!$B$8),OR(Query!$B$9="",ISNUMBER(SEARCH(Query!$B$9,'Compliance Database'!$D352&amp;" "&amp;'Compliance Database'!$K352&amp;" "&amp;'Compliance Database'!$L352&amp;" "&amp;'Compliance Database'!$M352&amp;" "&amp;'Compliance Database'!$N352)))),1,0)</f>
        <v/>
      </c>
      <c r="B352">
        <f>IF($A352=1,SUM($A$2:$A352),"")</f>
        <v/>
      </c>
      <c r="C352">
        <f>IF($A352=1,SUM($A$2:$A352),0)</f>
        <v/>
      </c>
    </row>
    <row r="353">
      <c r="A353">
        <f>IF(AND(OR(Query!$B$4="All",'Compliance Database'!$A353=Query!$B$4),OR(Query!$B$5="All",ISNUMBER(SEARCH(Query!$B$5,'Compliance Database'!$H353))),OR(Query!$B$6="All",ISNUMBER(SEARCH(Query!$B$6,'Compliance Database'!$I353))),OR(Query!$B$7="All",'Compliance Database'!$F353=Query!$B$7),OR(Query!$B$8="All",'Compliance Database'!$J353=Query!$B$8),OR(Query!$B$9="",ISNUMBER(SEARCH(Query!$B$9,'Compliance Database'!$D353&amp;" "&amp;'Compliance Database'!$K353&amp;" "&amp;'Compliance Database'!$L353&amp;" "&amp;'Compliance Database'!$M353&amp;" "&amp;'Compliance Database'!$N353)))),1,0)</f>
        <v/>
      </c>
      <c r="B353">
        <f>IF($A353=1,SUM($A$2:$A353),"")</f>
        <v/>
      </c>
      <c r="C353">
        <f>IF($A353=1,SUM($A$2:$A353),0)</f>
        <v/>
      </c>
    </row>
    <row r="354">
      <c r="A354">
        <f>IF(AND(OR(Query!$B$4="All",'Compliance Database'!$A354=Query!$B$4),OR(Query!$B$5="All",ISNUMBER(SEARCH(Query!$B$5,'Compliance Database'!$H354))),OR(Query!$B$6="All",ISNUMBER(SEARCH(Query!$B$6,'Compliance Database'!$I354))),OR(Query!$B$7="All",'Compliance Database'!$F354=Query!$B$7),OR(Query!$B$8="All",'Compliance Database'!$J354=Query!$B$8),OR(Query!$B$9="",ISNUMBER(SEARCH(Query!$B$9,'Compliance Database'!$D354&amp;" "&amp;'Compliance Database'!$K354&amp;" "&amp;'Compliance Database'!$L354&amp;" "&amp;'Compliance Database'!$M354&amp;" "&amp;'Compliance Database'!$N354)))),1,0)</f>
        <v/>
      </c>
      <c r="B354">
        <f>IF($A354=1,SUM($A$2:$A354),"")</f>
        <v/>
      </c>
      <c r="C354">
        <f>IF($A354=1,SUM($A$2:$A354),0)</f>
        <v/>
      </c>
    </row>
    <row r="355">
      <c r="A355">
        <f>IF(AND(OR(Query!$B$4="All",'Compliance Database'!$A355=Query!$B$4),OR(Query!$B$5="All",ISNUMBER(SEARCH(Query!$B$5,'Compliance Database'!$H355))),OR(Query!$B$6="All",ISNUMBER(SEARCH(Query!$B$6,'Compliance Database'!$I355))),OR(Query!$B$7="All",'Compliance Database'!$F355=Query!$B$7),OR(Query!$B$8="All",'Compliance Database'!$J355=Query!$B$8),OR(Query!$B$9="",ISNUMBER(SEARCH(Query!$B$9,'Compliance Database'!$D355&amp;" "&amp;'Compliance Database'!$K355&amp;" "&amp;'Compliance Database'!$L355&amp;" "&amp;'Compliance Database'!$M355&amp;" "&amp;'Compliance Database'!$N355)))),1,0)</f>
        <v/>
      </c>
      <c r="B355">
        <f>IF($A355=1,SUM($A$2:$A355),"")</f>
        <v/>
      </c>
      <c r="C355">
        <f>IF($A355=1,SUM($A$2:$A355),0)</f>
        <v/>
      </c>
    </row>
    <row r="356">
      <c r="A356">
        <f>IF(AND(OR(Query!$B$4="All",'Compliance Database'!$A356=Query!$B$4),OR(Query!$B$5="All",ISNUMBER(SEARCH(Query!$B$5,'Compliance Database'!$H356))),OR(Query!$B$6="All",ISNUMBER(SEARCH(Query!$B$6,'Compliance Database'!$I356))),OR(Query!$B$7="All",'Compliance Database'!$F356=Query!$B$7),OR(Query!$B$8="All",'Compliance Database'!$J356=Query!$B$8),OR(Query!$B$9="",ISNUMBER(SEARCH(Query!$B$9,'Compliance Database'!$D356&amp;" "&amp;'Compliance Database'!$K356&amp;" "&amp;'Compliance Database'!$L356&amp;" "&amp;'Compliance Database'!$M356&amp;" "&amp;'Compliance Database'!$N356)))),1,0)</f>
        <v/>
      </c>
      <c r="B356">
        <f>IF($A356=1,SUM($A$2:$A356),"")</f>
        <v/>
      </c>
      <c r="C356">
        <f>IF($A356=1,SUM($A$2:$A356),0)</f>
        <v/>
      </c>
    </row>
    <row r="357">
      <c r="A357">
        <f>IF(AND(OR(Query!$B$4="All",'Compliance Database'!$A357=Query!$B$4),OR(Query!$B$5="All",ISNUMBER(SEARCH(Query!$B$5,'Compliance Database'!$H357))),OR(Query!$B$6="All",ISNUMBER(SEARCH(Query!$B$6,'Compliance Database'!$I357))),OR(Query!$B$7="All",'Compliance Database'!$F357=Query!$B$7),OR(Query!$B$8="All",'Compliance Database'!$J357=Query!$B$8),OR(Query!$B$9="",ISNUMBER(SEARCH(Query!$B$9,'Compliance Database'!$D357&amp;" "&amp;'Compliance Database'!$K357&amp;" "&amp;'Compliance Database'!$L357&amp;" "&amp;'Compliance Database'!$M357&amp;" "&amp;'Compliance Database'!$N357)))),1,0)</f>
        <v/>
      </c>
      <c r="B357">
        <f>IF($A357=1,SUM($A$2:$A357),"")</f>
        <v/>
      </c>
      <c r="C357">
        <f>IF($A357=1,SUM($A$2:$A357),0)</f>
        <v/>
      </c>
    </row>
    <row r="358">
      <c r="A358">
        <f>IF(AND(OR(Query!$B$4="All",'Compliance Database'!$A358=Query!$B$4),OR(Query!$B$5="All",ISNUMBER(SEARCH(Query!$B$5,'Compliance Database'!$H358))),OR(Query!$B$6="All",ISNUMBER(SEARCH(Query!$B$6,'Compliance Database'!$I358))),OR(Query!$B$7="All",'Compliance Database'!$F358=Query!$B$7),OR(Query!$B$8="All",'Compliance Database'!$J358=Query!$B$8),OR(Query!$B$9="",ISNUMBER(SEARCH(Query!$B$9,'Compliance Database'!$D358&amp;" "&amp;'Compliance Database'!$K358&amp;" "&amp;'Compliance Database'!$L358&amp;" "&amp;'Compliance Database'!$M358&amp;" "&amp;'Compliance Database'!$N358)))),1,0)</f>
        <v/>
      </c>
      <c r="B358">
        <f>IF($A358=1,SUM($A$2:$A358),"")</f>
        <v/>
      </c>
      <c r="C358">
        <f>IF($A358=1,SUM($A$2:$A358),0)</f>
        <v/>
      </c>
    </row>
    <row r="359">
      <c r="A359">
        <f>IF(AND(OR(Query!$B$4="All",'Compliance Database'!$A359=Query!$B$4),OR(Query!$B$5="All",ISNUMBER(SEARCH(Query!$B$5,'Compliance Database'!$H359))),OR(Query!$B$6="All",ISNUMBER(SEARCH(Query!$B$6,'Compliance Database'!$I359))),OR(Query!$B$7="All",'Compliance Database'!$F359=Query!$B$7),OR(Query!$B$8="All",'Compliance Database'!$J359=Query!$B$8),OR(Query!$B$9="",ISNUMBER(SEARCH(Query!$B$9,'Compliance Database'!$D359&amp;" "&amp;'Compliance Database'!$K359&amp;" "&amp;'Compliance Database'!$L359&amp;" "&amp;'Compliance Database'!$M359&amp;" "&amp;'Compliance Database'!$N359)))),1,0)</f>
        <v/>
      </c>
      <c r="B359">
        <f>IF($A359=1,SUM($A$2:$A359),"")</f>
        <v/>
      </c>
      <c r="C359">
        <f>IF($A359=1,SUM($A$2:$A359),0)</f>
        <v/>
      </c>
    </row>
    <row r="360">
      <c r="A360">
        <f>IF(AND(OR(Query!$B$4="All",'Compliance Database'!$A360=Query!$B$4),OR(Query!$B$5="All",ISNUMBER(SEARCH(Query!$B$5,'Compliance Database'!$H360))),OR(Query!$B$6="All",ISNUMBER(SEARCH(Query!$B$6,'Compliance Database'!$I360))),OR(Query!$B$7="All",'Compliance Database'!$F360=Query!$B$7),OR(Query!$B$8="All",'Compliance Database'!$J360=Query!$B$8),OR(Query!$B$9="",ISNUMBER(SEARCH(Query!$B$9,'Compliance Database'!$D360&amp;" "&amp;'Compliance Database'!$K360&amp;" "&amp;'Compliance Database'!$L360&amp;" "&amp;'Compliance Database'!$M360&amp;" "&amp;'Compliance Database'!$N360)))),1,0)</f>
        <v/>
      </c>
      <c r="B360">
        <f>IF($A360=1,SUM($A$2:$A360),"")</f>
        <v/>
      </c>
      <c r="C360">
        <f>IF($A360=1,SUM($A$2:$A360),0)</f>
        <v/>
      </c>
    </row>
    <row r="361">
      <c r="A361">
        <f>IF(AND(OR(Query!$B$4="All",'Compliance Database'!$A361=Query!$B$4),OR(Query!$B$5="All",ISNUMBER(SEARCH(Query!$B$5,'Compliance Database'!$H361))),OR(Query!$B$6="All",ISNUMBER(SEARCH(Query!$B$6,'Compliance Database'!$I361))),OR(Query!$B$7="All",'Compliance Database'!$F361=Query!$B$7),OR(Query!$B$8="All",'Compliance Database'!$J361=Query!$B$8),OR(Query!$B$9="",ISNUMBER(SEARCH(Query!$B$9,'Compliance Database'!$D361&amp;" "&amp;'Compliance Database'!$K361&amp;" "&amp;'Compliance Database'!$L361&amp;" "&amp;'Compliance Database'!$M361&amp;" "&amp;'Compliance Database'!$N361)))),1,0)</f>
        <v/>
      </c>
      <c r="B361">
        <f>IF($A361=1,SUM($A$2:$A361),"")</f>
        <v/>
      </c>
      <c r="C361">
        <f>IF($A361=1,SUM($A$2:$A361),0)</f>
        <v/>
      </c>
    </row>
    <row r="362">
      <c r="A362">
        <f>IF(AND(OR(Query!$B$4="All",'Compliance Database'!$A362=Query!$B$4),OR(Query!$B$5="All",ISNUMBER(SEARCH(Query!$B$5,'Compliance Database'!$H362))),OR(Query!$B$6="All",ISNUMBER(SEARCH(Query!$B$6,'Compliance Database'!$I362))),OR(Query!$B$7="All",'Compliance Database'!$F362=Query!$B$7),OR(Query!$B$8="All",'Compliance Database'!$J362=Query!$B$8),OR(Query!$B$9="",ISNUMBER(SEARCH(Query!$B$9,'Compliance Database'!$D362&amp;" "&amp;'Compliance Database'!$K362&amp;" "&amp;'Compliance Database'!$L362&amp;" "&amp;'Compliance Database'!$M362&amp;" "&amp;'Compliance Database'!$N362)))),1,0)</f>
        <v/>
      </c>
      <c r="B362">
        <f>IF($A362=1,SUM($A$2:$A362),"")</f>
        <v/>
      </c>
      <c r="C362">
        <f>IF($A362=1,SUM($A$2:$A362),0)</f>
        <v/>
      </c>
    </row>
    <row r="363">
      <c r="A363">
        <f>IF(AND(OR(Query!$B$4="All",'Compliance Database'!$A363=Query!$B$4),OR(Query!$B$5="All",ISNUMBER(SEARCH(Query!$B$5,'Compliance Database'!$H363))),OR(Query!$B$6="All",ISNUMBER(SEARCH(Query!$B$6,'Compliance Database'!$I363))),OR(Query!$B$7="All",'Compliance Database'!$F363=Query!$B$7),OR(Query!$B$8="All",'Compliance Database'!$J363=Query!$B$8),OR(Query!$B$9="",ISNUMBER(SEARCH(Query!$B$9,'Compliance Database'!$D363&amp;" "&amp;'Compliance Database'!$K363&amp;" "&amp;'Compliance Database'!$L363&amp;" "&amp;'Compliance Database'!$M363&amp;" "&amp;'Compliance Database'!$N363)))),1,0)</f>
        <v/>
      </c>
      <c r="B363">
        <f>IF($A363=1,SUM($A$2:$A363),"")</f>
        <v/>
      </c>
      <c r="C363">
        <f>IF($A363=1,SUM($A$2:$A363),0)</f>
        <v/>
      </c>
    </row>
    <row r="364">
      <c r="A364">
        <f>IF(AND(OR(Query!$B$4="All",'Compliance Database'!$A364=Query!$B$4),OR(Query!$B$5="All",ISNUMBER(SEARCH(Query!$B$5,'Compliance Database'!$H364))),OR(Query!$B$6="All",ISNUMBER(SEARCH(Query!$B$6,'Compliance Database'!$I364))),OR(Query!$B$7="All",'Compliance Database'!$F364=Query!$B$7),OR(Query!$B$8="All",'Compliance Database'!$J364=Query!$B$8),OR(Query!$B$9="",ISNUMBER(SEARCH(Query!$B$9,'Compliance Database'!$D364&amp;" "&amp;'Compliance Database'!$K364&amp;" "&amp;'Compliance Database'!$L364&amp;" "&amp;'Compliance Database'!$M364&amp;" "&amp;'Compliance Database'!$N364)))),1,0)</f>
        <v/>
      </c>
      <c r="B364">
        <f>IF($A364=1,SUM($A$2:$A364),"")</f>
        <v/>
      </c>
      <c r="C364">
        <f>IF($A364=1,SUM($A$2:$A364),0)</f>
        <v/>
      </c>
    </row>
    <row r="365">
      <c r="A365">
        <f>IF(AND(OR(Query!$B$4="All",'Compliance Database'!$A365=Query!$B$4),OR(Query!$B$5="All",ISNUMBER(SEARCH(Query!$B$5,'Compliance Database'!$H365))),OR(Query!$B$6="All",ISNUMBER(SEARCH(Query!$B$6,'Compliance Database'!$I365))),OR(Query!$B$7="All",'Compliance Database'!$F365=Query!$B$7),OR(Query!$B$8="All",'Compliance Database'!$J365=Query!$B$8),OR(Query!$B$9="",ISNUMBER(SEARCH(Query!$B$9,'Compliance Database'!$D365&amp;" "&amp;'Compliance Database'!$K365&amp;" "&amp;'Compliance Database'!$L365&amp;" "&amp;'Compliance Database'!$M365&amp;" "&amp;'Compliance Database'!$N365)))),1,0)</f>
        <v/>
      </c>
      <c r="B365">
        <f>IF($A365=1,SUM($A$2:$A365),"")</f>
        <v/>
      </c>
      <c r="C365">
        <f>IF($A365=1,SUM($A$2:$A365),0)</f>
        <v/>
      </c>
    </row>
    <row r="366">
      <c r="A366">
        <f>IF(AND(OR(Query!$B$4="All",'Compliance Database'!$A366=Query!$B$4),OR(Query!$B$5="All",ISNUMBER(SEARCH(Query!$B$5,'Compliance Database'!$H366))),OR(Query!$B$6="All",ISNUMBER(SEARCH(Query!$B$6,'Compliance Database'!$I366))),OR(Query!$B$7="All",'Compliance Database'!$F366=Query!$B$7),OR(Query!$B$8="All",'Compliance Database'!$J366=Query!$B$8),OR(Query!$B$9="",ISNUMBER(SEARCH(Query!$B$9,'Compliance Database'!$D366&amp;" "&amp;'Compliance Database'!$K366&amp;" "&amp;'Compliance Database'!$L366&amp;" "&amp;'Compliance Database'!$M366&amp;" "&amp;'Compliance Database'!$N366)))),1,0)</f>
        <v/>
      </c>
      <c r="B366">
        <f>IF($A366=1,SUM($A$2:$A366),"")</f>
        <v/>
      </c>
      <c r="C366">
        <f>IF($A366=1,SUM($A$2:$A366),0)</f>
        <v/>
      </c>
    </row>
    <row r="367">
      <c r="A367">
        <f>IF(AND(OR(Query!$B$4="All",'Compliance Database'!$A367=Query!$B$4),OR(Query!$B$5="All",ISNUMBER(SEARCH(Query!$B$5,'Compliance Database'!$H367))),OR(Query!$B$6="All",ISNUMBER(SEARCH(Query!$B$6,'Compliance Database'!$I367))),OR(Query!$B$7="All",'Compliance Database'!$F367=Query!$B$7),OR(Query!$B$8="All",'Compliance Database'!$J367=Query!$B$8),OR(Query!$B$9="",ISNUMBER(SEARCH(Query!$B$9,'Compliance Database'!$D367&amp;" "&amp;'Compliance Database'!$K367&amp;" "&amp;'Compliance Database'!$L367&amp;" "&amp;'Compliance Database'!$M367&amp;" "&amp;'Compliance Database'!$N367)))),1,0)</f>
        <v/>
      </c>
      <c r="B367">
        <f>IF($A367=1,SUM($A$2:$A367),"")</f>
        <v/>
      </c>
      <c r="C367">
        <f>IF($A367=1,SUM($A$2:$A367),0)</f>
        <v/>
      </c>
    </row>
    <row r="368">
      <c r="A368">
        <f>IF(AND(OR(Query!$B$4="All",'Compliance Database'!$A368=Query!$B$4),OR(Query!$B$5="All",ISNUMBER(SEARCH(Query!$B$5,'Compliance Database'!$H368))),OR(Query!$B$6="All",ISNUMBER(SEARCH(Query!$B$6,'Compliance Database'!$I368))),OR(Query!$B$7="All",'Compliance Database'!$F368=Query!$B$7),OR(Query!$B$8="All",'Compliance Database'!$J368=Query!$B$8),OR(Query!$B$9="",ISNUMBER(SEARCH(Query!$B$9,'Compliance Database'!$D368&amp;" "&amp;'Compliance Database'!$K368&amp;" "&amp;'Compliance Database'!$L368&amp;" "&amp;'Compliance Database'!$M368&amp;" "&amp;'Compliance Database'!$N368)))),1,0)</f>
        <v/>
      </c>
      <c r="B368">
        <f>IF($A368=1,SUM($A$2:$A368),"")</f>
        <v/>
      </c>
      <c r="C368">
        <f>IF($A368=1,SUM($A$2:$A368),0)</f>
        <v/>
      </c>
    </row>
    <row r="369">
      <c r="A369">
        <f>IF(AND(OR(Query!$B$4="All",'Compliance Database'!$A369=Query!$B$4),OR(Query!$B$5="All",ISNUMBER(SEARCH(Query!$B$5,'Compliance Database'!$H369))),OR(Query!$B$6="All",ISNUMBER(SEARCH(Query!$B$6,'Compliance Database'!$I369))),OR(Query!$B$7="All",'Compliance Database'!$F369=Query!$B$7),OR(Query!$B$8="All",'Compliance Database'!$J369=Query!$B$8),OR(Query!$B$9="",ISNUMBER(SEARCH(Query!$B$9,'Compliance Database'!$D369&amp;" "&amp;'Compliance Database'!$K369&amp;" "&amp;'Compliance Database'!$L369&amp;" "&amp;'Compliance Database'!$M369&amp;" "&amp;'Compliance Database'!$N369)))),1,0)</f>
        <v/>
      </c>
      <c r="B369">
        <f>IF($A369=1,SUM($A$2:$A369),"")</f>
        <v/>
      </c>
      <c r="C369">
        <f>IF($A369=1,SUM($A$2:$A369),0)</f>
        <v/>
      </c>
    </row>
    <row r="370">
      <c r="A370">
        <f>IF(AND(OR(Query!$B$4="All",'Compliance Database'!$A370=Query!$B$4),OR(Query!$B$5="All",ISNUMBER(SEARCH(Query!$B$5,'Compliance Database'!$H370))),OR(Query!$B$6="All",ISNUMBER(SEARCH(Query!$B$6,'Compliance Database'!$I370))),OR(Query!$B$7="All",'Compliance Database'!$F370=Query!$B$7),OR(Query!$B$8="All",'Compliance Database'!$J370=Query!$B$8),OR(Query!$B$9="",ISNUMBER(SEARCH(Query!$B$9,'Compliance Database'!$D370&amp;" "&amp;'Compliance Database'!$K370&amp;" "&amp;'Compliance Database'!$L370&amp;" "&amp;'Compliance Database'!$M370&amp;" "&amp;'Compliance Database'!$N370)))),1,0)</f>
        <v/>
      </c>
      <c r="B370">
        <f>IF($A370=1,SUM($A$2:$A370),"")</f>
        <v/>
      </c>
      <c r="C370">
        <f>IF($A370=1,SUM($A$2:$A370),0)</f>
        <v/>
      </c>
    </row>
    <row r="371">
      <c r="A371">
        <f>IF(AND(OR(Query!$B$4="All",'Compliance Database'!$A371=Query!$B$4),OR(Query!$B$5="All",ISNUMBER(SEARCH(Query!$B$5,'Compliance Database'!$H371))),OR(Query!$B$6="All",ISNUMBER(SEARCH(Query!$B$6,'Compliance Database'!$I371))),OR(Query!$B$7="All",'Compliance Database'!$F371=Query!$B$7),OR(Query!$B$8="All",'Compliance Database'!$J371=Query!$B$8),OR(Query!$B$9="",ISNUMBER(SEARCH(Query!$B$9,'Compliance Database'!$D371&amp;" "&amp;'Compliance Database'!$K371&amp;" "&amp;'Compliance Database'!$L371&amp;" "&amp;'Compliance Database'!$M371&amp;" "&amp;'Compliance Database'!$N371)))),1,0)</f>
        <v/>
      </c>
      <c r="B371">
        <f>IF($A371=1,SUM($A$2:$A371),"")</f>
        <v/>
      </c>
      <c r="C371">
        <f>IF($A371=1,SUM($A$2:$A371),0)</f>
        <v/>
      </c>
    </row>
    <row r="372">
      <c r="A372">
        <f>IF(AND(OR(Query!$B$4="All",'Compliance Database'!$A372=Query!$B$4),OR(Query!$B$5="All",ISNUMBER(SEARCH(Query!$B$5,'Compliance Database'!$H372))),OR(Query!$B$6="All",ISNUMBER(SEARCH(Query!$B$6,'Compliance Database'!$I372))),OR(Query!$B$7="All",'Compliance Database'!$F372=Query!$B$7),OR(Query!$B$8="All",'Compliance Database'!$J372=Query!$B$8),OR(Query!$B$9="",ISNUMBER(SEARCH(Query!$B$9,'Compliance Database'!$D372&amp;" "&amp;'Compliance Database'!$K372&amp;" "&amp;'Compliance Database'!$L372&amp;" "&amp;'Compliance Database'!$M372&amp;" "&amp;'Compliance Database'!$N372)))),1,0)</f>
        <v/>
      </c>
      <c r="B372">
        <f>IF($A372=1,SUM($A$2:$A372),"")</f>
        <v/>
      </c>
      <c r="C372">
        <f>IF($A372=1,SUM($A$2:$A372),0)</f>
        <v/>
      </c>
    </row>
    <row r="373">
      <c r="A373">
        <f>IF(AND(OR(Query!$B$4="All",'Compliance Database'!$A373=Query!$B$4),OR(Query!$B$5="All",ISNUMBER(SEARCH(Query!$B$5,'Compliance Database'!$H373))),OR(Query!$B$6="All",ISNUMBER(SEARCH(Query!$B$6,'Compliance Database'!$I373))),OR(Query!$B$7="All",'Compliance Database'!$F373=Query!$B$7),OR(Query!$B$8="All",'Compliance Database'!$J373=Query!$B$8),OR(Query!$B$9="",ISNUMBER(SEARCH(Query!$B$9,'Compliance Database'!$D373&amp;" "&amp;'Compliance Database'!$K373&amp;" "&amp;'Compliance Database'!$L373&amp;" "&amp;'Compliance Database'!$M373&amp;" "&amp;'Compliance Database'!$N373)))),1,0)</f>
        <v/>
      </c>
      <c r="B373">
        <f>IF($A373=1,SUM($A$2:$A373),"")</f>
        <v/>
      </c>
      <c r="C373">
        <f>IF($A373=1,SUM($A$2:$A373),0)</f>
        <v/>
      </c>
    </row>
    <row r="374">
      <c r="A374">
        <f>IF(AND(OR(Query!$B$4="All",'Compliance Database'!$A374=Query!$B$4),OR(Query!$B$5="All",ISNUMBER(SEARCH(Query!$B$5,'Compliance Database'!$H374))),OR(Query!$B$6="All",ISNUMBER(SEARCH(Query!$B$6,'Compliance Database'!$I374))),OR(Query!$B$7="All",'Compliance Database'!$F374=Query!$B$7),OR(Query!$B$8="All",'Compliance Database'!$J374=Query!$B$8),OR(Query!$B$9="",ISNUMBER(SEARCH(Query!$B$9,'Compliance Database'!$D374&amp;" "&amp;'Compliance Database'!$K374&amp;" "&amp;'Compliance Database'!$L374&amp;" "&amp;'Compliance Database'!$M374&amp;" "&amp;'Compliance Database'!$N374)))),1,0)</f>
        <v/>
      </c>
      <c r="B374">
        <f>IF($A374=1,SUM($A$2:$A374),"")</f>
        <v/>
      </c>
      <c r="C374">
        <f>IF($A374=1,SUM($A$2:$A374),0)</f>
        <v/>
      </c>
    </row>
    <row r="375">
      <c r="A375">
        <f>IF(AND(OR(Query!$B$4="All",'Compliance Database'!$A375=Query!$B$4),OR(Query!$B$5="All",ISNUMBER(SEARCH(Query!$B$5,'Compliance Database'!$H375))),OR(Query!$B$6="All",ISNUMBER(SEARCH(Query!$B$6,'Compliance Database'!$I375))),OR(Query!$B$7="All",'Compliance Database'!$F375=Query!$B$7),OR(Query!$B$8="All",'Compliance Database'!$J375=Query!$B$8),OR(Query!$B$9="",ISNUMBER(SEARCH(Query!$B$9,'Compliance Database'!$D375&amp;" "&amp;'Compliance Database'!$K375&amp;" "&amp;'Compliance Database'!$L375&amp;" "&amp;'Compliance Database'!$M375&amp;" "&amp;'Compliance Database'!$N375)))),1,0)</f>
        <v/>
      </c>
      <c r="B375">
        <f>IF($A375=1,SUM($A$2:$A375),"")</f>
        <v/>
      </c>
      <c r="C375">
        <f>IF($A375=1,SUM($A$2:$A375),0)</f>
        <v/>
      </c>
    </row>
    <row r="376">
      <c r="A376">
        <f>IF(AND(OR(Query!$B$4="All",'Compliance Database'!$A376=Query!$B$4),OR(Query!$B$5="All",ISNUMBER(SEARCH(Query!$B$5,'Compliance Database'!$H376))),OR(Query!$B$6="All",ISNUMBER(SEARCH(Query!$B$6,'Compliance Database'!$I376))),OR(Query!$B$7="All",'Compliance Database'!$F376=Query!$B$7),OR(Query!$B$8="All",'Compliance Database'!$J376=Query!$B$8),OR(Query!$B$9="",ISNUMBER(SEARCH(Query!$B$9,'Compliance Database'!$D376&amp;" "&amp;'Compliance Database'!$K376&amp;" "&amp;'Compliance Database'!$L376&amp;" "&amp;'Compliance Database'!$M376&amp;" "&amp;'Compliance Database'!$N376)))),1,0)</f>
        <v/>
      </c>
      <c r="B376">
        <f>IF($A376=1,SUM($A$2:$A376),"")</f>
        <v/>
      </c>
      <c r="C376">
        <f>IF($A376=1,SUM($A$2:$A376),0)</f>
        <v/>
      </c>
    </row>
    <row r="377">
      <c r="A377">
        <f>IF(AND(OR(Query!$B$4="All",'Compliance Database'!$A377=Query!$B$4),OR(Query!$B$5="All",ISNUMBER(SEARCH(Query!$B$5,'Compliance Database'!$H377))),OR(Query!$B$6="All",ISNUMBER(SEARCH(Query!$B$6,'Compliance Database'!$I377))),OR(Query!$B$7="All",'Compliance Database'!$F377=Query!$B$7),OR(Query!$B$8="All",'Compliance Database'!$J377=Query!$B$8),OR(Query!$B$9="",ISNUMBER(SEARCH(Query!$B$9,'Compliance Database'!$D377&amp;" "&amp;'Compliance Database'!$K377&amp;" "&amp;'Compliance Database'!$L377&amp;" "&amp;'Compliance Database'!$M377&amp;" "&amp;'Compliance Database'!$N377)))),1,0)</f>
        <v/>
      </c>
      <c r="B377">
        <f>IF($A377=1,SUM($A$2:$A377),"")</f>
        <v/>
      </c>
      <c r="C377">
        <f>IF($A377=1,SUM($A$2:$A377),0)</f>
        <v/>
      </c>
    </row>
    <row r="378">
      <c r="A378">
        <f>IF(AND(OR(Query!$B$4="All",'Compliance Database'!$A378=Query!$B$4),OR(Query!$B$5="All",ISNUMBER(SEARCH(Query!$B$5,'Compliance Database'!$H378))),OR(Query!$B$6="All",ISNUMBER(SEARCH(Query!$B$6,'Compliance Database'!$I378))),OR(Query!$B$7="All",'Compliance Database'!$F378=Query!$B$7),OR(Query!$B$8="All",'Compliance Database'!$J378=Query!$B$8),OR(Query!$B$9="",ISNUMBER(SEARCH(Query!$B$9,'Compliance Database'!$D378&amp;" "&amp;'Compliance Database'!$K378&amp;" "&amp;'Compliance Database'!$L378&amp;" "&amp;'Compliance Database'!$M378&amp;" "&amp;'Compliance Database'!$N378)))),1,0)</f>
        <v/>
      </c>
      <c r="B378">
        <f>IF($A378=1,SUM($A$2:$A378),"")</f>
        <v/>
      </c>
      <c r="C378">
        <f>IF($A378=1,SUM($A$2:$A378),0)</f>
        <v/>
      </c>
    </row>
    <row r="379">
      <c r="A379">
        <f>IF(AND(OR(Query!$B$4="All",'Compliance Database'!$A379=Query!$B$4),OR(Query!$B$5="All",ISNUMBER(SEARCH(Query!$B$5,'Compliance Database'!$H379))),OR(Query!$B$6="All",ISNUMBER(SEARCH(Query!$B$6,'Compliance Database'!$I379))),OR(Query!$B$7="All",'Compliance Database'!$F379=Query!$B$7),OR(Query!$B$8="All",'Compliance Database'!$J379=Query!$B$8),OR(Query!$B$9="",ISNUMBER(SEARCH(Query!$B$9,'Compliance Database'!$D379&amp;" "&amp;'Compliance Database'!$K379&amp;" "&amp;'Compliance Database'!$L379&amp;" "&amp;'Compliance Database'!$M379&amp;" "&amp;'Compliance Database'!$N379)))),1,0)</f>
        <v/>
      </c>
      <c r="B379">
        <f>IF($A379=1,SUM($A$2:$A379),"")</f>
        <v/>
      </c>
      <c r="C379">
        <f>IF($A379=1,SUM($A$2:$A379),0)</f>
        <v/>
      </c>
    </row>
    <row r="380">
      <c r="A380">
        <f>IF(AND(OR(Query!$B$4="All",'Compliance Database'!$A380=Query!$B$4),OR(Query!$B$5="All",ISNUMBER(SEARCH(Query!$B$5,'Compliance Database'!$H380))),OR(Query!$B$6="All",ISNUMBER(SEARCH(Query!$B$6,'Compliance Database'!$I380))),OR(Query!$B$7="All",'Compliance Database'!$F380=Query!$B$7),OR(Query!$B$8="All",'Compliance Database'!$J380=Query!$B$8),OR(Query!$B$9="",ISNUMBER(SEARCH(Query!$B$9,'Compliance Database'!$D380&amp;" "&amp;'Compliance Database'!$K380&amp;" "&amp;'Compliance Database'!$L380&amp;" "&amp;'Compliance Database'!$M380&amp;" "&amp;'Compliance Database'!$N380)))),1,0)</f>
        <v/>
      </c>
      <c r="B380">
        <f>IF($A380=1,SUM($A$2:$A380),"")</f>
        <v/>
      </c>
      <c r="C380">
        <f>IF($A380=1,SUM($A$2:$A380),0)</f>
        <v/>
      </c>
    </row>
    <row r="381">
      <c r="A381">
        <f>IF(AND(OR(Query!$B$4="All",'Compliance Database'!$A381=Query!$B$4),OR(Query!$B$5="All",ISNUMBER(SEARCH(Query!$B$5,'Compliance Database'!$H381))),OR(Query!$B$6="All",ISNUMBER(SEARCH(Query!$B$6,'Compliance Database'!$I381))),OR(Query!$B$7="All",'Compliance Database'!$F381=Query!$B$7),OR(Query!$B$8="All",'Compliance Database'!$J381=Query!$B$8),OR(Query!$B$9="",ISNUMBER(SEARCH(Query!$B$9,'Compliance Database'!$D381&amp;" "&amp;'Compliance Database'!$K381&amp;" "&amp;'Compliance Database'!$L381&amp;" "&amp;'Compliance Database'!$M381&amp;" "&amp;'Compliance Database'!$N381)))),1,0)</f>
        <v/>
      </c>
      <c r="B381">
        <f>IF($A381=1,SUM($A$2:$A381),"")</f>
        <v/>
      </c>
      <c r="C381">
        <f>IF($A381=1,SUM($A$2:$A381),0)</f>
        <v/>
      </c>
    </row>
    <row r="382">
      <c r="A382">
        <f>IF(AND(OR(Query!$B$4="All",'Compliance Database'!$A382=Query!$B$4),OR(Query!$B$5="All",ISNUMBER(SEARCH(Query!$B$5,'Compliance Database'!$H382))),OR(Query!$B$6="All",ISNUMBER(SEARCH(Query!$B$6,'Compliance Database'!$I382))),OR(Query!$B$7="All",'Compliance Database'!$F382=Query!$B$7),OR(Query!$B$8="All",'Compliance Database'!$J382=Query!$B$8),OR(Query!$B$9="",ISNUMBER(SEARCH(Query!$B$9,'Compliance Database'!$D382&amp;" "&amp;'Compliance Database'!$K382&amp;" "&amp;'Compliance Database'!$L382&amp;" "&amp;'Compliance Database'!$M382&amp;" "&amp;'Compliance Database'!$N382)))),1,0)</f>
        <v/>
      </c>
      <c r="B382">
        <f>IF($A382=1,SUM($A$2:$A382),"")</f>
        <v/>
      </c>
      <c r="C382">
        <f>IF($A382=1,SUM($A$2:$A382),0)</f>
        <v/>
      </c>
    </row>
    <row r="383">
      <c r="A383">
        <f>IF(AND(OR(Query!$B$4="All",'Compliance Database'!$A383=Query!$B$4),OR(Query!$B$5="All",ISNUMBER(SEARCH(Query!$B$5,'Compliance Database'!$H383))),OR(Query!$B$6="All",ISNUMBER(SEARCH(Query!$B$6,'Compliance Database'!$I383))),OR(Query!$B$7="All",'Compliance Database'!$F383=Query!$B$7),OR(Query!$B$8="All",'Compliance Database'!$J383=Query!$B$8),OR(Query!$B$9="",ISNUMBER(SEARCH(Query!$B$9,'Compliance Database'!$D383&amp;" "&amp;'Compliance Database'!$K383&amp;" "&amp;'Compliance Database'!$L383&amp;" "&amp;'Compliance Database'!$M383&amp;" "&amp;'Compliance Database'!$N383)))),1,0)</f>
        <v/>
      </c>
      <c r="B383">
        <f>IF($A383=1,SUM($A$2:$A383),"")</f>
        <v/>
      </c>
      <c r="C383">
        <f>IF($A383=1,SUM($A$2:$A383),0)</f>
        <v/>
      </c>
    </row>
    <row r="384">
      <c r="A384">
        <f>IF(AND(OR(Query!$B$4="All",'Compliance Database'!$A384=Query!$B$4),OR(Query!$B$5="All",ISNUMBER(SEARCH(Query!$B$5,'Compliance Database'!$H384))),OR(Query!$B$6="All",ISNUMBER(SEARCH(Query!$B$6,'Compliance Database'!$I384))),OR(Query!$B$7="All",'Compliance Database'!$F384=Query!$B$7),OR(Query!$B$8="All",'Compliance Database'!$J384=Query!$B$8),OR(Query!$B$9="",ISNUMBER(SEARCH(Query!$B$9,'Compliance Database'!$D384&amp;" "&amp;'Compliance Database'!$K384&amp;" "&amp;'Compliance Database'!$L384&amp;" "&amp;'Compliance Database'!$M384&amp;" "&amp;'Compliance Database'!$N384)))),1,0)</f>
        <v/>
      </c>
      <c r="B384">
        <f>IF($A384=1,SUM($A$2:$A384),"")</f>
        <v/>
      </c>
      <c r="C384">
        <f>IF($A384=1,SUM($A$2:$A384),0)</f>
        <v/>
      </c>
    </row>
    <row r="385">
      <c r="A385">
        <f>IF(AND(OR(Query!$B$4="All",'Compliance Database'!$A385=Query!$B$4),OR(Query!$B$5="All",ISNUMBER(SEARCH(Query!$B$5,'Compliance Database'!$H385))),OR(Query!$B$6="All",ISNUMBER(SEARCH(Query!$B$6,'Compliance Database'!$I385))),OR(Query!$B$7="All",'Compliance Database'!$F385=Query!$B$7),OR(Query!$B$8="All",'Compliance Database'!$J385=Query!$B$8),OR(Query!$B$9="",ISNUMBER(SEARCH(Query!$B$9,'Compliance Database'!$D385&amp;" "&amp;'Compliance Database'!$K385&amp;" "&amp;'Compliance Database'!$L385&amp;" "&amp;'Compliance Database'!$M385&amp;" "&amp;'Compliance Database'!$N385)))),1,0)</f>
        <v/>
      </c>
      <c r="B385">
        <f>IF($A385=1,SUM($A$2:$A385),"")</f>
        <v/>
      </c>
      <c r="C385">
        <f>IF($A385=1,SUM($A$2:$A385),0)</f>
        <v/>
      </c>
    </row>
    <row r="386">
      <c r="A386">
        <f>IF(AND(OR(Query!$B$4="All",'Compliance Database'!$A386=Query!$B$4),OR(Query!$B$5="All",ISNUMBER(SEARCH(Query!$B$5,'Compliance Database'!$H386))),OR(Query!$B$6="All",ISNUMBER(SEARCH(Query!$B$6,'Compliance Database'!$I386))),OR(Query!$B$7="All",'Compliance Database'!$F386=Query!$B$7),OR(Query!$B$8="All",'Compliance Database'!$J386=Query!$B$8),OR(Query!$B$9="",ISNUMBER(SEARCH(Query!$B$9,'Compliance Database'!$D386&amp;" "&amp;'Compliance Database'!$K386&amp;" "&amp;'Compliance Database'!$L386&amp;" "&amp;'Compliance Database'!$M386&amp;" "&amp;'Compliance Database'!$N386)))),1,0)</f>
        <v/>
      </c>
      <c r="B386">
        <f>IF($A386=1,SUM($A$2:$A386),"")</f>
        <v/>
      </c>
      <c r="C386">
        <f>IF($A386=1,SUM($A$2:$A386),0)</f>
        <v/>
      </c>
    </row>
    <row r="387">
      <c r="A387">
        <f>IF(AND(OR(Query!$B$4="All",'Compliance Database'!$A387=Query!$B$4),OR(Query!$B$5="All",ISNUMBER(SEARCH(Query!$B$5,'Compliance Database'!$H387))),OR(Query!$B$6="All",ISNUMBER(SEARCH(Query!$B$6,'Compliance Database'!$I387))),OR(Query!$B$7="All",'Compliance Database'!$F387=Query!$B$7),OR(Query!$B$8="All",'Compliance Database'!$J387=Query!$B$8),OR(Query!$B$9="",ISNUMBER(SEARCH(Query!$B$9,'Compliance Database'!$D387&amp;" "&amp;'Compliance Database'!$K387&amp;" "&amp;'Compliance Database'!$L387&amp;" "&amp;'Compliance Database'!$M387&amp;" "&amp;'Compliance Database'!$N387)))),1,0)</f>
        <v/>
      </c>
      <c r="B387">
        <f>IF($A387=1,SUM($A$2:$A387),"")</f>
        <v/>
      </c>
      <c r="C387">
        <f>IF($A387=1,SUM($A$2:$A387),0)</f>
        <v/>
      </c>
    </row>
    <row r="388">
      <c r="A388">
        <f>IF(AND(OR(Query!$B$4="All",'Compliance Database'!$A388=Query!$B$4),OR(Query!$B$5="All",ISNUMBER(SEARCH(Query!$B$5,'Compliance Database'!$H388))),OR(Query!$B$6="All",ISNUMBER(SEARCH(Query!$B$6,'Compliance Database'!$I388))),OR(Query!$B$7="All",'Compliance Database'!$F388=Query!$B$7),OR(Query!$B$8="All",'Compliance Database'!$J388=Query!$B$8),OR(Query!$B$9="",ISNUMBER(SEARCH(Query!$B$9,'Compliance Database'!$D388&amp;" "&amp;'Compliance Database'!$K388&amp;" "&amp;'Compliance Database'!$L388&amp;" "&amp;'Compliance Database'!$M388&amp;" "&amp;'Compliance Database'!$N388)))),1,0)</f>
        <v/>
      </c>
      <c r="B388">
        <f>IF($A388=1,SUM($A$2:$A388),"")</f>
        <v/>
      </c>
      <c r="C388">
        <f>IF($A388=1,SUM($A$2:$A388),0)</f>
        <v/>
      </c>
    </row>
    <row r="389">
      <c r="A389">
        <f>IF(AND(OR(Query!$B$4="All",'Compliance Database'!$A389=Query!$B$4),OR(Query!$B$5="All",ISNUMBER(SEARCH(Query!$B$5,'Compliance Database'!$H389))),OR(Query!$B$6="All",ISNUMBER(SEARCH(Query!$B$6,'Compliance Database'!$I389))),OR(Query!$B$7="All",'Compliance Database'!$F389=Query!$B$7),OR(Query!$B$8="All",'Compliance Database'!$J389=Query!$B$8),OR(Query!$B$9="",ISNUMBER(SEARCH(Query!$B$9,'Compliance Database'!$D389&amp;" "&amp;'Compliance Database'!$K389&amp;" "&amp;'Compliance Database'!$L389&amp;" "&amp;'Compliance Database'!$M389&amp;" "&amp;'Compliance Database'!$N389)))),1,0)</f>
        <v/>
      </c>
      <c r="B389">
        <f>IF($A389=1,SUM($A$2:$A389),"")</f>
        <v/>
      </c>
      <c r="C389">
        <f>IF($A389=1,SUM($A$2:$A389),0)</f>
        <v/>
      </c>
    </row>
    <row r="390">
      <c r="A390">
        <f>IF(AND(OR(Query!$B$4="All",'Compliance Database'!$A390=Query!$B$4),OR(Query!$B$5="All",ISNUMBER(SEARCH(Query!$B$5,'Compliance Database'!$H390))),OR(Query!$B$6="All",ISNUMBER(SEARCH(Query!$B$6,'Compliance Database'!$I390))),OR(Query!$B$7="All",'Compliance Database'!$F390=Query!$B$7),OR(Query!$B$8="All",'Compliance Database'!$J390=Query!$B$8),OR(Query!$B$9="",ISNUMBER(SEARCH(Query!$B$9,'Compliance Database'!$D390&amp;" "&amp;'Compliance Database'!$K390&amp;" "&amp;'Compliance Database'!$L390&amp;" "&amp;'Compliance Database'!$M390&amp;" "&amp;'Compliance Database'!$N390)))),1,0)</f>
        <v/>
      </c>
      <c r="B390">
        <f>IF($A390=1,SUM($A$2:$A390),"")</f>
        <v/>
      </c>
      <c r="C390">
        <f>IF($A390=1,SUM($A$2:$A390),0)</f>
        <v/>
      </c>
    </row>
    <row r="391">
      <c r="A391">
        <f>IF(AND(OR(Query!$B$4="All",'Compliance Database'!$A391=Query!$B$4),OR(Query!$B$5="All",ISNUMBER(SEARCH(Query!$B$5,'Compliance Database'!$H391))),OR(Query!$B$6="All",ISNUMBER(SEARCH(Query!$B$6,'Compliance Database'!$I391))),OR(Query!$B$7="All",'Compliance Database'!$F391=Query!$B$7),OR(Query!$B$8="All",'Compliance Database'!$J391=Query!$B$8),OR(Query!$B$9="",ISNUMBER(SEARCH(Query!$B$9,'Compliance Database'!$D391&amp;" "&amp;'Compliance Database'!$K391&amp;" "&amp;'Compliance Database'!$L391&amp;" "&amp;'Compliance Database'!$M391&amp;" "&amp;'Compliance Database'!$N391)))),1,0)</f>
        <v/>
      </c>
      <c r="B391">
        <f>IF($A391=1,SUM($A$2:$A391),"")</f>
        <v/>
      </c>
      <c r="C391">
        <f>IF($A391=1,SUM($A$2:$A391),0)</f>
        <v/>
      </c>
    </row>
    <row r="392">
      <c r="A392">
        <f>IF(AND(OR(Query!$B$4="All",'Compliance Database'!$A392=Query!$B$4),OR(Query!$B$5="All",ISNUMBER(SEARCH(Query!$B$5,'Compliance Database'!$H392))),OR(Query!$B$6="All",ISNUMBER(SEARCH(Query!$B$6,'Compliance Database'!$I392))),OR(Query!$B$7="All",'Compliance Database'!$F392=Query!$B$7),OR(Query!$B$8="All",'Compliance Database'!$J392=Query!$B$8),OR(Query!$B$9="",ISNUMBER(SEARCH(Query!$B$9,'Compliance Database'!$D392&amp;" "&amp;'Compliance Database'!$K392&amp;" "&amp;'Compliance Database'!$L392&amp;" "&amp;'Compliance Database'!$M392&amp;" "&amp;'Compliance Database'!$N392)))),1,0)</f>
        <v/>
      </c>
      <c r="B392">
        <f>IF($A392=1,SUM($A$2:$A392),"")</f>
        <v/>
      </c>
      <c r="C392">
        <f>IF($A392=1,SUM($A$2:$A392),0)</f>
        <v/>
      </c>
    </row>
    <row r="393">
      <c r="A393">
        <f>IF(AND(OR(Query!$B$4="All",'Compliance Database'!$A393=Query!$B$4),OR(Query!$B$5="All",ISNUMBER(SEARCH(Query!$B$5,'Compliance Database'!$H393))),OR(Query!$B$6="All",ISNUMBER(SEARCH(Query!$B$6,'Compliance Database'!$I393))),OR(Query!$B$7="All",'Compliance Database'!$F393=Query!$B$7),OR(Query!$B$8="All",'Compliance Database'!$J393=Query!$B$8),OR(Query!$B$9="",ISNUMBER(SEARCH(Query!$B$9,'Compliance Database'!$D393&amp;" "&amp;'Compliance Database'!$K393&amp;" "&amp;'Compliance Database'!$L393&amp;" "&amp;'Compliance Database'!$M393&amp;" "&amp;'Compliance Database'!$N393)))),1,0)</f>
        <v/>
      </c>
      <c r="B393">
        <f>IF($A393=1,SUM($A$2:$A393),"")</f>
        <v/>
      </c>
      <c r="C393">
        <f>IF($A393=1,SUM($A$2:$A393),0)</f>
        <v/>
      </c>
    </row>
    <row r="394">
      <c r="A394">
        <f>IF(AND(OR(Query!$B$4="All",'Compliance Database'!$A394=Query!$B$4),OR(Query!$B$5="All",ISNUMBER(SEARCH(Query!$B$5,'Compliance Database'!$H394))),OR(Query!$B$6="All",ISNUMBER(SEARCH(Query!$B$6,'Compliance Database'!$I394))),OR(Query!$B$7="All",'Compliance Database'!$F394=Query!$B$7),OR(Query!$B$8="All",'Compliance Database'!$J394=Query!$B$8),OR(Query!$B$9="",ISNUMBER(SEARCH(Query!$B$9,'Compliance Database'!$D394&amp;" "&amp;'Compliance Database'!$K394&amp;" "&amp;'Compliance Database'!$L394&amp;" "&amp;'Compliance Database'!$M394&amp;" "&amp;'Compliance Database'!$N394)))),1,0)</f>
        <v/>
      </c>
      <c r="B394">
        <f>IF($A394=1,SUM($A$2:$A394),"")</f>
        <v/>
      </c>
      <c r="C394">
        <f>IF($A394=1,SUM($A$2:$A394),0)</f>
        <v/>
      </c>
    </row>
    <row r="395">
      <c r="A395">
        <f>IF(AND(OR(Query!$B$4="All",'Compliance Database'!$A395=Query!$B$4),OR(Query!$B$5="All",ISNUMBER(SEARCH(Query!$B$5,'Compliance Database'!$H395))),OR(Query!$B$6="All",ISNUMBER(SEARCH(Query!$B$6,'Compliance Database'!$I395))),OR(Query!$B$7="All",'Compliance Database'!$F395=Query!$B$7),OR(Query!$B$8="All",'Compliance Database'!$J395=Query!$B$8),OR(Query!$B$9="",ISNUMBER(SEARCH(Query!$B$9,'Compliance Database'!$D395&amp;" "&amp;'Compliance Database'!$K395&amp;" "&amp;'Compliance Database'!$L395&amp;" "&amp;'Compliance Database'!$M395&amp;" "&amp;'Compliance Database'!$N395)))),1,0)</f>
        <v/>
      </c>
      <c r="B395">
        <f>IF($A395=1,SUM($A$2:$A395),"")</f>
        <v/>
      </c>
      <c r="C395">
        <f>IF($A395=1,SUM($A$2:$A395),0)</f>
        <v/>
      </c>
    </row>
    <row r="396">
      <c r="A396">
        <f>IF(AND(OR(Query!$B$4="All",'Compliance Database'!$A396=Query!$B$4),OR(Query!$B$5="All",ISNUMBER(SEARCH(Query!$B$5,'Compliance Database'!$H396))),OR(Query!$B$6="All",ISNUMBER(SEARCH(Query!$B$6,'Compliance Database'!$I396))),OR(Query!$B$7="All",'Compliance Database'!$F396=Query!$B$7),OR(Query!$B$8="All",'Compliance Database'!$J396=Query!$B$8),OR(Query!$B$9="",ISNUMBER(SEARCH(Query!$B$9,'Compliance Database'!$D396&amp;" "&amp;'Compliance Database'!$K396&amp;" "&amp;'Compliance Database'!$L396&amp;" "&amp;'Compliance Database'!$M396&amp;" "&amp;'Compliance Database'!$N396)))),1,0)</f>
        <v/>
      </c>
      <c r="B396">
        <f>IF($A396=1,SUM($A$2:$A396),"")</f>
        <v/>
      </c>
      <c r="C396">
        <f>IF($A396=1,SUM($A$2:$A396),0)</f>
        <v/>
      </c>
    </row>
    <row r="397">
      <c r="A397">
        <f>IF(AND(OR(Query!$B$4="All",'Compliance Database'!$A397=Query!$B$4),OR(Query!$B$5="All",ISNUMBER(SEARCH(Query!$B$5,'Compliance Database'!$H397))),OR(Query!$B$6="All",ISNUMBER(SEARCH(Query!$B$6,'Compliance Database'!$I397))),OR(Query!$B$7="All",'Compliance Database'!$F397=Query!$B$7),OR(Query!$B$8="All",'Compliance Database'!$J397=Query!$B$8),OR(Query!$B$9="",ISNUMBER(SEARCH(Query!$B$9,'Compliance Database'!$D397&amp;" "&amp;'Compliance Database'!$K397&amp;" "&amp;'Compliance Database'!$L397&amp;" "&amp;'Compliance Database'!$M397&amp;" "&amp;'Compliance Database'!$N397)))),1,0)</f>
        <v/>
      </c>
      <c r="B397">
        <f>IF($A397=1,SUM($A$2:$A397),"")</f>
        <v/>
      </c>
      <c r="C397">
        <f>IF($A397=1,SUM($A$2:$A397),0)</f>
        <v/>
      </c>
    </row>
    <row r="398">
      <c r="A398">
        <f>IF(AND(OR(Query!$B$4="All",'Compliance Database'!$A398=Query!$B$4),OR(Query!$B$5="All",ISNUMBER(SEARCH(Query!$B$5,'Compliance Database'!$H398))),OR(Query!$B$6="All",ISNUMBER(SEARCH(Query!$B$6,'Compliance Database'!$I398))),OR(Query!$B$7="All",'Compliance Database'!$F398=Query!$B$7),OR(Query!$B$8="All",'Compliance Database'!$J398=Query!$B$8),OR(Query!$B$9="",ISNUMBER(SEARCH(Query!$B$9,'Compliance Database'!$D398&amp;" "&amp;'Compliance Database'!$K398&amp;" "&amp;'Compliance Database'!$L398&amp;" "&amp;'Compliance Database'!$M398&amp;" "&amp;'Compliance Database'!$N398)))),1,0)</f>
        <v/>
      </c>
      <c r="B398">
        <f>IF($A398=1,SUM($A$2:$A398),"")</f>
        <v/>
      </c>
      <c r="C398">
        <f>IF($A398=1,SUM($A$2:$A398),0)</f>
        <v/>
      </c>
    </row>
    <row r="399">
      <c r="A399">
        <f>IF(AND(OR(Query!$B$4="All",'Compliance Database'!$A399=Query!$B$4),OR(Query!$B$5="All",ISNUMBER(SEARCH(Query!$B$5,'Compliance Database'!$H399))),OR(Query!$B$6="All",ISNUMBER(SEARCH(Query!$B$6,'Compliance Database'!$I399))),OR(Query!$B$7="All",'Compliance Database'!$F399=Query!$B$7),OR(Query!$B$8="All",'Compliance Database'!$J399=Query!$B$8),OR(Query!$B$9="",ISNUMBER(SEARCH(Query!$B$9,'Compliance Database'!$D399&amp;" "&amp;'Compliance Database'!$K399&amp;" "&amp;'Compliance Database'!$L399&amp;" "&amp;'Compliance Database'!$M399&amp;" "&amp;'Compliance Database'!$N399)))),1,0)</f>
        <v/>
      </c>
      <c r="B399">
        <f>IF($A399=1,SUM($A$2:$A399),"")</f>
        <v/>
      </c>
      <c r="C399">
        <f>IF($A399=1,SUM($A$2:$A399),0)</f>
        <v/>
      </c>
    </row>
    <row r="400">
      <c r="A400">
        <f>IF(AND(OR(Query!$B$4="All",'Compliance Database'!$A400=Query!$B$4),OR(Query!$B$5="All",ISNUMBER(SEARCH(Query!$B$5,'Compliance Database'!$H400))),OR(Query!$B$6="All",ISNUMBER(SEARCH(Query!$B$6,'Compliance Database'!$I400))),OR(Query!$B$7="All",'Compliance Database'!$F400=Query!$B$7),OR(Query!$B$8="All",'Compliance Database'!$J400=Query!$B$8),OR(Query!$B$9="",ISNUMBER(SEARCH(Query!$B$9,'Compliance Database'!$D400&amp;" "&amp;'Compliance Database'!$K400&amp;" "&amp;'Compliance Database'!$L400&amp;" "&amp;'Compliance Database'!$M400&amp;" "&amp;'Compliance Database'!$N400)))),1,0)</f>
        <v/>
      </c>
      <c r="B400">
        <f>IF($A400=1,SUM($A$2:$A400),"")</f>
        <v/>
      </c>
      <c r="C400">
        <f>IF($A400=1,SUM($A$2:$A400),0)</f>
        <v/>
      </c>
    </row>
    <row r="401">
      <c r="A401">
        <f>IF(AND(OR(Query!$B$4="All",'Compliance Database'!$A401=Query!$B$4),OR(Query!$B$5="All",ISNUMBER(SEARCH(Query!$B$5,'Compliance Database'!$H401))),OR(Query!$B$6="All",ISNUMBER(SEARCH(Query!$B$6,'Compliance Database'!$I401))),OR(Query!$B$7="All",'Compliance Database'!$F401=Query!$B$7),OR(Query!$B$8="All",'Compliance Database'!$J401=Query!$B$8),OR(Query!$B$9="",ISNUMBER(SEARCH(Query!$B$9,'Compliance Database'!$D401&amp;" "&amp;'Compliance Database'!$K401&amp;" "&amp;'Compliance Database'!$L401&amp;" "&amp;'Compliance Database'!$M401&amp;" "&amp;'Compliance Database'!$N401)))),1,0)</f>
        <v/>
      </c>
      <c r="B401">
        <f>IF($A401=1,SUM($A$2:$A401),"")</f>
        <v/>
      </c>
      <c r="C401">
        <f>IF($A401=1,SUM($A$2:$A401),0)</f>
        <v/>
      </c>
    </row>
    <row r="402">
      <c r="A402">
        <f>IF(AND(OR(Query!$B$4="All",'Compliance Database'!$A402=Query!$B$4),OR(Query!$B$5="All",ISNUMBER(SEARCH(Query!$B$5,'Compliance Database'!$H402))),OR(Query!$B$6="All",ISNUMBER(SEARCH(Query!$B$6,'Compliance Database'!$I402))),OR(Query!$B$7="All",'Compliance Database'!$F402=Query!$B$7),OR(Query!$B$8="All",'Compliance Database'!$J402=Query!$B$8),OR(Query!$B$9="",ISNUMBER(SEARCH(Query!$B$9,'Compliance Database'!$D402&amp;" "&amp;'Compliance Database'!$K402&amp;" "&amp;'Compliance Database'!$L402&amp;" "&amp;'Compliance Database'!$M402&amp;" "&amp;'Compliance Database'!$N402)))),1,0)</f>
        <v/>
      </c>
      <c r="B402">
        <f>IF($A402=1,SUM($A$2:$A402),"")</f>
        <v/>
      </c>
      <c r="C402">
        <f>IF($A402=1,SUM($A$2:$A402),0)</f>
        <v/>
      </c>
    </row>
    <row r="403">
      <c r="A403">
        <f>IF(AND(OR(Query!$B$4="All",'Compliance Database'!$A403=Query!$B$4),OR(Query!$B$5="All",ISNUMBER(SEARCH(Query!$B$5,'Compliance Database'!$H403))),OR(Query!$B$6="All",ISNUMBER(SEARCH(Query!$B$6,'Compliance Database'!$I403))),OR(Query!$B$7="All",'Compliance Database'!$F403=Query!$B$7),OR(Query!$B$8="All",'Compliance Database'!$J403=Query!$B$8),OR(Query!$B$9="",ISNUMBER(SEARCH(Query!$B$9,'Compliance Database'!$D403&amp;" "&amp;'Compliance Database'!$K403&amp;" "&amp;'Compliance Database'!$L403&amp;" "&amp;'Compliance Database'!$M403&amp;" "&amp;'Compliance Database'!$N403)))),1,0)</f>
        <v/>
      </c>
      <c r="B403">
        <f>IF($A403=1,SUM($A$2:$A403),"")</f>
        <v/>
      </c>
      <c r="C403">
        <f>IF($A403=1,SUM($A$2:$A403),0)</f>
        <v/>
      </c>
    </row>
    <row r="404">
      <c r="A404">
        <f>IF(AND(OR(Query!$B$4="All",'Compliance Database'!$A404=Query!$B$4),OR(Query!$B$5="All",ISNUMBER(SEARCH(Query!$B$5,'Compliance Database'!$H404))),OR(Query!$B$6="All",ISNUMBER(SEARCH(Query!$B$6,'Compliance Database'!$I404))),OR(Query!$B$7="All",'Compliance Database'!$F404=Query!$B$7),OR(Query!$B$8="All",'Compliance Database'!$J404=Query!$B$8),OR(Query!$B$9="",ISNUMBER(SEARCH(Query!$B$9,'Compliance Database'!$D404&amp;" "&amp;'Compliance Database'!$K404&amp;" "&amp;'Compliance Database'!$L404&amp;" "&amp;'Compliance Database'!$M404&amp;" "&amp;'Compliance Database'!$N404)))),1,0)</f>
        <v/>
      </c>
      <c r="B404">
        <f>IF($A404=1,SUM($A$2:$A404),"")</f>
        <v/>
      </c>
      <c r="C404">
        <f>IF($A404=1,SUM($A$2:$A404),0)</f>
        <v/>
      </c>
    </row>
    <row r="405">
      <c r="A405">
        <f>IF(AND(OR(Query!$B$4="All",'Compliance Database'!$A405=Query!$B$4),OR(Query!$B$5="All",ISNUMBER(SEARCH(Query!$B$5,'Compliance Database'!$H405))),OR(Query!$B$6="All",ISNUMBER(SEARCH(Query!$B$6,'Compliance Database'!$I405))),OR(Query!$B$7="All",'Compliance Database'!$F405=Query!$B$7),OR(Query!$B$8="All",'Compliance Database'!$J405=Query!$B$8),OR(Query!$B$9="",ISNUMBER(SEARCH(Query!$B$9,'Compliance Database'!$D405&amp;" "&amp;'Compliance Database'!$K405&amp;" "&amp;'Compliance Database'!$L405&amp;" "&amp;'Compliance Database'!$M405&amp;" "&amp;'Compliance Database'!$N405)))),1,0)</f>
        <v/>
      </c>
      <c r="B405">
        <f>IF($A405=1,SUM($A$2:$A405),"")</f>
        <v/>
      </c>
      <c r="C405">
        <f>IF($A405=1,SUM($A$2:$A405),0)</f>
        <v/>
      </c>
    </row>
    <row r="406">
      <c r="A406">
        <f>IF(AND(OR(Query!$B$4="All",'Compliance Database'!$A406=Query!$B$4),OR(Query!$B$5="All",ISNUMBER(SEARCH(Query!$B$5,'Compliance Database'!$H406))),OR(Query!$B$6="All",ISNUMBER(SEARCH(Query!$B$6,'Compliance Database'!$I406))),OR(Query!$B$7="All",'Compliance Database'!$F406=Query!$B$7),OR(Query!$B$8="All",'Compliance Database'!$J406=Query!$B$8),OR(Query!$B$9="",ISNUMBER(SEARCH(Query!$B$9,'Compliance Database'!$D406&amp;" "&amp;'Compliance Database'!$K406&amp;" "&amp;'Compliance Database'!$L406&amp;" "&amp;'Compliance Database'!$M406&amp;" "&amp;'Compliance Database'!$N406)))),1,0)</f>
        <v/>
      </c>
      <c r="B406">
        <f>IF($A406=1,SUM($A$2:$A406),"")</f>
        <v/>
      </c>
      <c r="C406">
        <f>IF($A406=1,SUM($A$2:$A406),0)</f>
        <v/>
      </c>
    </row>
    <row r="407">
      <c r="A407">
        <f>IF(AND(OR(Query!$B$4="All",'Compliance Database'!$A407=Query!$B$4),OR(Query!$B$5="All",ISNUMBER(SEARCH(Query!$B$5,'Compliance Database'!$H407))),OR(Query!$B$6="All",ISNUMBER(SEARCH(Query!$B$6,'Compliance Database'!$I407))),OR(Query!$B$7="All",'Compliance Database'!$F407=Query!$B$7),OR(Query!$B$8="All",'Compliance Database'!$J407=Query!$B$8),OR(Query!$B$9="",ISNUMBER(SEARCH(Query!$B$9,'Compliance Database'!$D407&amp;" "&amp;'Compliance Database'!$K407&amp;" "&amp;'Compliance Database'!$L407&amp;" "&amp;'Compliance Database'!$M407&amp;" "&amp;'Compliance Database'!$N407)))),1,0)</f>
        <v/>
      </c>
      <c r="B407">
        <f>IF($A407=1,SUM($A$2:$A407),"")</f>
        <v/>
      </c>
      <c r="C407">
        <f>IF($A407=1,SUM($A$2:$A407),0)</f>
        <v/>
      </c>
    </row>
    <row r="408">
      <c r="A408">
        <f>IF(AND(OR(Query!$B$4="All",'Compliance Database'!$A408=Query!$B$4),OR(Query!$B$5="All",ISNUMBER(SEARCH(Query!$B$5,'Compliance Database'!$H408))),OR(Query!$B$6="All",ISNUMBER(SEARCH(Query!$B$6,'Compliance Database'!$I408))),OR(Query!$B$7="All",'Compliance Database'!$F408=Query!$B$7),OR(Query!$B$8="All",'Compliance Database'!$J408=Query!$B$8),OR(Query!$B$9="",ISNUMBER(SEARCH(Query!$B$9,'Compliance Database'!$D408&amp;" "&amp;'Compliance Database'!$K408&amp;" "&amp;'Compliance Database'!$L408&amp;" "&amp;'Compliance Database'!$M408&amp;" "&amp;'Compliance Database'!$N408)))),1,0)</f>
        <v/>
      </c>
      <c r="B408">
        <f>IF($A408=1,SUM($A$2:$A408),"")</f>
        <v/>
      </c>
      <c r="C408">
        <f>IF($A408=1,SUM($A$2:$A408),0)</f>
        <v/>
      </c>
    </row>
    <row r="409">
      <c r="A409">
        <f>IF(AND(OR(Query!$B$4="All",'Compliance Database'!$A409=Query!$B$4),OR(Query!$B$5="All",ISNUMBER(SEARCH(Query!$B$5,'Compliance Database'!$H409))),OR(Query!$B$6="All",ISNUMBER(SEARCH(Query!$B$6,'Compliance Database'!$I409))),OR(Query!$B$7="All",'Compliance Database'!$F409=Query!$B$7),OR(Query!$B$8="All",'Compliance Database'!$J409=Query!$B$8),OR(Query!$B$9="",ISNUMBER(SEARCH(Query!$B$9,'Compliance Database'!$D409&amp;" "&amp;'Compliance Database'!$K409&amp;" "&amp;'Compliance Database'!$L409&amp;" "&amp;'Compliance Database'!$M409&amp;" "&amp;'Compliance Database'!$N409)))),1,0)</f>
        <v/>
      </c>
      <c r="B409">
        <f>IF($A409=1,SUM($A$2:$A409),"")</f>
        <v/>
      </c>
      <c r="C409">
        <f>IF($A409=1,SUM($A$2:$A409),0)</f>
        <v/>
      </c>
    </row>
    <row r="410">
      <c r="A410">
        <f>IF(AND(OR(Query!$B$4="All",'Compliance Database'!$A410=Query!$B$4),OR(Query!$B$5="All",ISNUMBER(SEARCH(Query!$B$5,'Compliance Database'!$H410))),OR(Query!$B$6="All",ISNUMBER(SEARCH(Query!$B$6,'Compliance Database'!$I410))),OR(Query!$B$7="All",'Compliance Database'!$F410=Query!$B$7),OR(Query!$B$8="All",'Compliance Database'!$J410=Query!$B$8),OR(Query!$B$9="",ISNUMBER(SEARCH(Query!$B$9,'Compliance Database'!$D410&amp;" "&amp;'Compliance Database'!$K410&amp;" "&amp;'Compliance Database'!$L410&amp;" "&amp;'Compliance Database'!$M410&amp;" "&amp;'Compliance Database'!$N410)))),1,0)</f>
        <v/>
      </c>
      <c r="B410">
        <f>IF($A410=1,SUM($A$2:$A410),"")</f>
        <v/>
      </c>
      <c r="C410">
        <f>IF($A410=1,SUM($A$2:$A410),0)</f>
        <v/>
      </c>
    </row>
    <row r="411">
      <c r="A411">
        <f>IF(AND(OR(Query!$B$4="All",'Compliance Database'!$A411=Query!$B$4),OR(Query!$B$5="All",ISNUMBER(SEARCH(Query!$B$5,'Compliance Database'!$H411))),OR(Query!$B$6="All",ISNUMBER(SEARCH(Query!$B$6,'Compliance Database'!$I411))),OR(Query!$B$7="All",'Compliance Database'!$F411=Query!$B$7),OR(Query!$B$8="All",'Compliance Database'!$J411=Query!$B$8),OR(Query!$B$9="",ISNUMBER(SEARCH(Query!$B$9,'Compliance Database'!$D411&amp;" "&amp;'Compliance Database'!$K411&amp;" "&amp;'Compliance Database'!$L411&amp;" "&amp;'Compliance Database'!$M411&amp;" "&amp;'Compliance Database'!$N411)))),1,0)</f>
        <v/>
      </c>
      <c r="B411">
        <f>IF($A411=1,SUM($A$2:$A411),"")</f>
        <v/>
      </c>
      <c r="C411">
        <f>IF($A411=1,SUM($A$2:$A411),0)</f>
        <v/>
      </c>
    </row>
    <row r="412">
      <c r="A412">
        <f>IF(AND(OR(Query!$B$4="All",'Compliance Database'!$A412=Query!$B$4),OR(Query!$B$5="All",ISNUMBER(SEARCH(Query!$B$5,'Compliance Database'!$H412))),OR(Query!$B$6="All",ISNUMBER(SEARCH(Query!$B$6,'Compliance Database'!$I412))),OR(Query!$B$7="All",'Compliance Database'!$F412=Query!$B$7),OR(Query!$B$8="All",'Compliance Database'!$J412=Query!$B$8),OR(Query!$B$9="",ISNUMBER(SEARCH(Query!$B$9,'Compliance Database'!$D412&amp;" "&amp;'Compliance Database'!$K412&amp;" "&amp;'Compliance Database'!$L412&amp;" "&amp;'Compliance Database'!$M412&amp;" "&amp;'Compliance Database'!$N412)))),1,0)</f>
        <v/>
      </c>
      <c r="B412">
        <f>IF($A412=1,SUM($A$2:$A412),"")</f>
        <v/>
      </c>
      <c r="C412">
        <f>IF($A412=1,SUM($A$2:$A412),0)</f>
        <v/>
      </c>
    </row>
    <row r="413">
      <c r="A413">
        <f>IF(AND(OR(Query!$B$4="All",'Compliance Database'!$A413=Query!$B$4),OR(Query!$B$5="All",ISNUMBER(SEARCH(Query!$B$5,'Compliance Database'!$H413))),OR(Query!$B$6="All",ISNUMBER(SEARCH(Query!$B$6,'Compliance Database'!$I413))),OR(Query!$B$7="All",'Compliance Database'!$F413=Query!$B$7),OR(Query!$B$8="All",'Compliance Database'!$J413=Query!$B$8),OR(Query!$B$9="",ISNUMBER(SEARCH(Query!$B$9,'Compliance Database'!$D413&amp;" "&amp;'Compliance Database'!$K413&amp;" "&amp;'Compliance Database'!$L413&amp;" "&amp;'Compliance Database'!$M413&amp;" "&amp;'Compliance Database'!$N413)))),1,0)</f>
        <v/>
      </c>
      <c r="B413">
        <f>IF($A413=1,SUM($A$2:$A413),"")</f>
        <v/>
      </c>
      <c r="C413">
        <f>IF($A413=1,SUM($A$2:$A413),0)</f>
        <v/>
      </c>
    </row>
    <row r="414">
      <c r="A414">
        <f>IF(AND(OR(Query!$B$4="All",'Compliance Database'!$A414=Query!$B$4),OR(Query!$B$5="All",ISNUMBER(SEARCH(Query!$B$5,'Compliance Database'!$H414))),OR(Query!$B$6="All",ISNUMBER(SEARCH(Query!$B$6,'Compliance Database'!$I414))),OR(Query!$B$7="All",'Compliance Database'!$F414=Query!$B$7),OR(Query!$B$8="All",'Compliance Database'!$J414=Query!$B$8),OR(Query!$B$9="",ISNUMBER(SEARCH(Query!$B$9,'Compliance Database'!$D414&amp;" "&amp;'Compliance Database'!$K414&amp;" "&amp;'Compliance Database'!$L414&amp;" "&amp;'Compliance Database'!$M414&amp;" "&amp;'Compliance Database'!$N414)))),1,0)</f>
        <v/>
      </c>
      <c r="B414">
        <f>IF($A414=1,SUM($A$2:$A414),"")</f>
        <v/>
      </c>
      <c r="C414">
        <f>IF($A414=1,SUM($A$2:$A414),0)</f>
        <v/>
      </c>
    </row>
    <row r="415">
      <c r="A415">
        <f>IF(AND(OR(Query!$B$4="All",'Compliance Database'!$A415=Query!$B$4),OR(Query!$B$5="All",ISNUMBER(SEARCH(Query!$B$5,'Compliance Database'!$H415))),OR(Query!$B$6="All",ISNUMBER(SEARCH(Query!$B$6,'Compliance Database'!$I415))),OR(Query!$B$7="All",'Compliance Database'!$F415=Query!$B$7),OR(Query!$B$8="All",'Compliance Database'!$J415=Query!$B$8),OR(Query!$B$9="",ISNUMBER(SEARCH(Query!$B$9,'Compliance Database'!$D415&amp;" "&amp;'Compliance Database'!$K415&amp;" "&amp;'Compliance Database'!$L415&amp;" "&amp;'Compliance Database'!$M415&amp;" "&amp;'Compliance Database'!$N415)))),1,0)</f>
        <v/>
      </c>
      <c r="B415">
        <f>IF($A415=1,SUM($A$2:$A415),"")</f>
        <v/>
      </c>
      <c r="C415">
        <f>IF($A415=1,SUM($A$2:$A415),0)</f>
        <v/>
      </c>
    </row>
    <row r="416">
      <c r="A416">
        <f>IF(AND(OR(Query!$B$4="All",'Compliance Database'!$A416=Query!$B$4),OR(Query!$B$5="All",ISNUMBER(SEARCH(Query!$B$5,'Compliance Database'!$H416))),OR(Query!$B$6="All",ISNUMBER(SEARCH(Query!$B$6,'Compliance Database'!$I416))),OR(Query!$B$7="All",'Compliance Database'!$F416=Query!$B$7),OR(Query!$B$8="All",'Compliance Database'!$J416=Query!$B$8),OR(Query!$B$9="",ISNUMBER(SEARCH(Query!$B$9,'Compliance Database'!$D416&amp;" "&amp;'Compliance Database'!$K416&amp;" "&amp;'Compliance Database'!$L416&amp;" "&amp;'Compliance Database'!$M416&amp;" "&amp;'Compliance Database'!$N416)))),1,0)</f>
        <v/>
      </c>
      <c r="B416">
        <f>IF($A416=1,SUM($A$2:$A416),"")</f>
        <v/>
      </c>
      <c r="C416">
        <f>IF($A416=1,SUM($A$2:$A416),0)</f>
        <v/>
      </c>
    </row>
    <row r="417">
      <c r="A417">
        <f>IF(AND(OR(Query!$B$4="All",'Compliance Database'!$A417=Query!$B$4),OR(Query!$B$5="All",ISNUMBER(SEARCH(Query!$B$5,'Compliance Database'!$H417))),OR(Query!$B$6="All",ISNUMBER(SEARCH(Query!$B$6,'Compliance Database'!$I417))),OR(Query!$B$7="All",'Compliance Database'!$F417=Query!$B$7),OR(Query!$B$8="All",'Compliance Database'!$J417=Query!$B$8),OR(Query!$B$9="",ISNUMBER(SEARCH(Query!$B$9,'Compliance Database'!$D417&amp;" "&amp;'Compliance Database'!$K417&amp;" "&amp;'Compliance Database'!$L417&amp;" "&amp;'Compliance Database'!$M417&amp;" "&amp;'Compliance Database'!$N417)))),1,0)</f>
        <v/>
      </c>
      <c r="B417">
        <f>IF($A417=1,SUM($A$2:$A417),"")</f>
        <v/>
      </c>
      <c r="C417">
        <f>IF($A417=1,SUM($A$2:$A417),0)</f>
        <v/>
      </c>
    </row>
    <row r="418">
      <c r="A418">
        <f>IF(AND(OR(Query!$B$4="All",'Compliance Database'!$A418=Query!$B$4),OR(Query!$B$5="All",ISNUMBER(SEARCH(Query!$B$5,'Compliance Database'!$H418))),OR(Query!$B$6="All",ISNUMBER(SEARCH(Query!$B$6,'Compliance Database'!$I418))),OR(Query!$B$7="All",'Compliance Database'!$F418=Query!$B$7),OR(Query!$B$8="All",'Compliance Database'!$J418=Query!$B$8),OR(Query!$B$9="",ISNUMBER(SEARCH(Query!$B$9,'Compliance Database'!$D418&amp;" "&amp;'Compliance Database'!$K418&amp;" "&amp;'Compliance Database'!$L418&amp;" "&amp;'Compliance Database'!$M418&amp;" "&amp;'Compliance Database'!$N418)))),1,0)</f>
        <v/>
      </c>
      <c r="B418">
        <f>IF($A418=1,SUM($A$2:$A418),"")</f>
        <v/>
      </c>
      <c r="C418">
        <f>IF($A418=1,SUM($A$2:$A418),0)</f>
        <v/>
      </c>
    </row>
    <row r="419">
      <c r="A419">
        <f>IF(AND(OR(Query!$B$4="All",'Compliance Database'!$A419=Query!$B$4),OR(Query!$B$5="All",ISNUMBER(SEARCH(Query!$B$5,'Compliance Database'!$H419))),OR(Query!$B$6="All",ISNUMBER(SEARCH(Query!$B$6,'Compliance Database'!$I419))),OR(Query!$B$7="All",'Compliance Database'!$F419=Query!$B$7),OR(Query!$B$8="All",'Compliance Database'!$J419=Query!$B$8),OR(Query!$B$9="",ISNUMBER(SEARCH(Query!$B$9,'Compliance Database'!$D419&amp;" "&amp;'Compliance Database'!$K419&amp;" "&amp;'Compliance Database'!$L419&amp;" "&amp;'Compliance Database'!$M419&amp;" "&amp;'Compliance Database'!$N419)))),1,0)</f>
        <v/>
      </c>
      <c r="B419">
        <f>IF($A419=1,SUM($A$2:$A419),"")</f>
        <v/>
      </c>
      <c r="C419">
        <f>IF($A419=1,SUM($A$2:$A419),0)</f>
        <v/>
      </c>
    </row>
    <row r="420">
      <c r="A420">
        <f>IF(AND(OR(Query!$B$4="All",'Compliance Database'!$A420=Query!$B$4),OR(Query!$B$5="All",ISNUMBER(SEARCH(Query!$B$5,'Compliance Database'!$H420))),OR(Query!$B$6="All",ISNUMBER(SEARCH(Query!$B$6,'Compliance Database'!$I420))),OR(Query!$B$7="All",'Compliance Database'!$F420=Query!$B$7),OR(Query!$B$8="All",'Compliance Database'!$J420=Query!$B$8),OR(Query!$B$9="",ISNUMBER(SEARCH(Query!$B$9,'Compliance Database'!$D420&amp;" "&amp;'Compliance Database'!$K420&amp;" "&amp;'Compliance Database'!$L420&amp;" "&amp;'Compliance Database'!$M420&amp;" "&amp;'Compliance Database'!$N420)))),1,0)</f>
        <v/>
      </c>
      <c r="B420">
        <f>IF($A420=1,SUM($A$2:$A420),"")</f>
        <v/>
      </c>
      <c r="C420">
        <f>IF($A420=1,SUM($A$2:$A420),0)</f>
        <v/>
      </c>
    </row>
    <row r="421">
      <c r="A421">
        <f>IF(AND(OR(Query!$B$4="All",'Compliance Database'!$A421=Query!$B$4),OR(Query!$B$5="All",ISNUMBER(SEARCH(Query!$B$5,'Compliance Database'!$H421))),OR(Query!$B$6="All",ISNUMBER(SEARCH(Query!$B$6,'Compliance Database'!$I421))),OR(Query!$B$7="All",'Compliance Database'!$F421=Query!$B$7),OR(Query!$B$8="All",'Compliance Database'!$J421=Query!$B$8),OR(Query!$B$9="",ISNUMBER(SEARCH(Query!$B$9,'Compliance Database'!$D421&amp;" "&amp;'Compliance Database'!$K421&amp;" "&amp;'Compliance Database'!$L421&amp;" "&amp;'Compliance Database'!$M421&amp;" "&amp;'Compliance Database'!$N421)))),1,0)</f>
        <v/>
      </c>
      <c r="B421">
        <f>IF($A421=1,SUM($A$2:$A421),"")</f>
        <v/>
      </c>
      <c r="C421">
        <f>IF($A421=1,SUM($A$2:$A421),0)</f>
        <v/>
      </c>
    </row>
    <row r="422">
      <c r="A422">
        <f>IF(AND(OR(Query!$B$4="All",'Compliance Database'!$A422=Query!$B$4),OR(Query!$B$5="All",ISNUMBER(SEARCH(Query!$B$5,'Compliance Database'!$H422))),OR(Query!$B$6="All",ISNUMBER(SEARCH(Query!$B$6,'Compliance Database'!$I422))),OR(Query!$B$7="All",'Compliance Database'!$F422=Query!$B$7),OR(Query!$B$8="All",'Compliance Database'!$J422=Query!$B$8),OR(Query!$B$9="",ISNUMBER(SEARCH(Query!$B$9,'Compliance Database'!$D422&amp;" "&amp;'Compliance Database'!$K422&amp;" "&amp;'Compliance Database'!$L422&amp;" "&amp;'Compliance Database'!$M422&amp;" "&amp;'Compliance Database'!$N422)))),1,0)</f>
        <v/>
      </c>
      <c r="B422">
        <f>IF($A422=1,SUM($A$2:$A422),"")</f>
        <v/>
      </c>
      <c r="C422">
        <f>IF($A422=1,SUM($A$2:$A422),0)</f>
        <v/>
      </c>
    </row>
    <row r="423">
      <c r="A423">
        <f>IF(AND(OR(Query!$B$4="All",'Compliance Database'!$A423=Query!$B$4),OR(Query!$B$5="All",ISNUMBER(SEARCH(Query!$B$5,'Compliance Database'!$H423))),OR(Query!$B$6="All",ISNUMBER(SEARCH(Query!$B$6,'Compliance Database'!$I423))),OR(Query!$B$7="All",'Compliance Database'!$F423=Query!$B$7),OR(Query!$B$8="All",'Compliance Database'!$J423=Query!$B$8),OR(Query!$B$9="",ISNUMBER(SEARCH(Query!$B$9,'Compliance Database'!$D423&amp;" "&amp;'Compliance Database'!$K423&amp;" "&amp;'Compliance Database'!$L423&amp;" "&amp;'Compliance Database'!$M423&amp;" "&amp;'Compliance Database'!$N423)))),1,0)</f>
        <v/>
      </c>
      <c r="B423">
        <f>IF($A423=1,SUM($A$2:$A423),"")</f>
        <v/>
      </c>
      <c r="C423">
        <f>IF($A423=1,SUM($A$2:$A423),0)</f>
        <v/>
      </c>
    </row>
    <row r="424">
      <c r="A424">
        <f>IF(AND(OR(Query!$B$4="All",'Compliance Database'!$A424=Query!$B$4),OR(Query!$B$5="All",ISNUMBER(SEARCH(Query!$B$5,'Compliance Database'!$H424))),OR(Query!$B$6="All",ISNUMBER(SEARCH(Query!$B$6,'Compliance Database'!$I424))),OR(Query!$B$7="All",'Compliance Database'!$F424=Query!$B$7),OR(Query!$B$8="All",'Compliance Database'!$J424=Query!$B$8),OR(Query!$B$9="",ISNUMBER(SEARCH(Query!$B$9,'Compliance Database'!$D424&amp;" "&amp;'Compliance Database'!$K424&amp;" "&amp;'Compliance Database'!$L424&amp;" "&amp;'Compliance Database'!$M424&amp;" "&amp;'Compliance Database'!$N424)))),1,0)</f>
        <v/>
      </c>
      <c r="B424">
        <f>IF($A424=1,SUM($A$2:$A424),"")</f>
        <v/>
      </c>
      <c r="C424">
        <f>IF($A424=1,SUM($A$2:$A424),0)</f>
        <v/>
      </c>
    </row>
    <row r="425">
      <c r="A425">
        <f>IF(AND(OR(Query!$B$4="All",'Compliance Database'!$A425=Query!$B$4),OR(Query!$B$5="All",ISNUMBER(SEARCH(Query!$B$5,'Compliance Database'!$H425))),OR(Query!$B$6="All",ISNUMBER(SEARCH(Query!$B$6,'Compliance Database'!$I425))),OR(Query!$B$7="All",'Compliance Database'!$F425=Query!$B$7),OR(Query!$B$8="All",'Compliance Database'!$J425=Query!$B$8),OR(Query!$B$9="",ISNUMBER(SEARCH(Query!$B$9,'Compliance Database'!$D425&amp;" "&amp;'Compliance Database'!$K425&amp;" "&amp;'Compliance Database'!$L425&amp;" "&amp;'Compliance Database'!$M425&amp;" "&amp;'Compliance Database'!$N425)))),1,0)</f>
        <v/>
      </c>
      <c r="B425">
        <f>IF($A425=1,SUM($A$2:$A425),"")</f>
        <v/>
      </c>
      <c r="C425">
        <f>IF($A425=1,SUM($A$2:$A425),0)</f>
        <v/>
      </c>
    </row>
    <row r="426">
      <c r="A426">
        <f>IF(AND(OR(Query!$B$4="All",'Compliance Database'!$A426=Query!$B$4),OR(Query!$B$5="All",ISNUMBER(SEARCH(Query!$B$5,'Compliance Database'!$H426))),OR(Query!$B$6="All",ISNUMBER(SEARCH(Query!$B$6,'Compliance Database'!$I426))),OR(Query!$B$7="All",'Compliance Database'!$F426=Query!$B$7),OR(Query!$B$8="All",'Compliance Database'!$J426=Query!$B$8),OR(Query!$B$9="",ISNUMBER(SEARCH(Query!$B$9,'Compliance Database'!$D426&amp;" "&amp;'Compliance Database'!$K426&amp;" "&amp;'Compliance Database'!$L426&amp;" "&amp;'Compliance Database'!$M426&amp;" "&amp;'Compliance Database'!$N426)))),1,0)</f>
        <v/>
      </c>
      <c r="B426">
        <f>IF($A426=1,SUM($A$2:$A426),"")</f>
        <v/>
      </c>
      <c r="C426">
        <f>IF($A426=1,SUM($A$2:$A426),0)</f>
        <v/>
      </c>
    </row>
    <row r="427">
      <c r="A427">
        <f>IF(AND(OR(Query!$B$4="All",'Compliance Database'!$A427=Query!$B$4),OR(Query!$B$5="All",ISNUMBER(SEARCH(Query!$B$5,'Compliance Database'!$H427))),OR(Query!$B$6="All",ISNUMBER(SEARCH(Query!$B$6,'Compliance Database'!$I427))),OR(Query!$B$7="All",'Compliance Database'!$F427=Query!$B$7),OR(Query!$B$8="All",'Compliance Database'!$J427=Query!$B$8),OR(Query!$B$9="",ISNUMBER(SEARCH(Query!$B$9,'Compliance Database'!$D427&amp;" "&amp;'Compliance Database'!$K427&amp;" "&amp;'Compliance Database'!$L427&amp;" "&amp;'Compliance Database'!$M427&amp;" "&amp;'Compliance Database'!$N427)))),1,0)</f>
        <v/>
      </c>
      <c r="B427">
        <f>IF($A427=1,SUM($A$2:$A427),"")</f>
        <v/>
      </c>
      <c r="C427">
        <f>IF($A427=1,SUM($A$2:$A427),0)</f>
        <v/>
      </c>
    </row>
    <row r="428">
      <c r="A428">
        <f>IF(AND(OR(Query!$B$4="All",'Compliance Database'!$A428=Query!$B$4),OR(Query!$B$5="All",ISNUMBER(SEARCH(Query!$B$5,'Compliance Database'!$H428))),OR(Query!$B$6="All",ISNUMBER(SEARCH(Query!$B$6,'Compliance Database'!$I428))),OR(Query!$B$7="All",'Compliance Database'!$F428=Query!$B$7),OR(Query!$B$8="All",'Compliance Database'!$J428=Query!$B$8),OR(Query!$B$9="",ISNUMBER(SEARCH(Query!$B$9,'Compliance Database'!$D428&amp;" "&amp;'Compliance Database'!$K428&amp;" "&amp;'Compliance Database'!$L428&amp;" "&amp;'Compliance Database'!$M428&amp;" "&amp;'Compliance Database'!$N428)))),1,0)</f>
        <v/>
      </c>
      <c r="B428">
        <f>IF($A428=1,SUM($A$2:$A428),"")</f>
        <v/>
      </c>
      <c r="C428">
        <f>IF($A428=1,SUM($A$2:$A428),0)</f>
        <v/>
      </c>
    </row>
    <row r="429">
      <c r="A429">
        <f>IF(AND(OR(Query!$B$4="All",'Compliance Database'!$A429=Query!$B$4),OR(Query!$B$5="All",ISNUMBER(SEARCH(Query!$B$5,'Compliance Database'!$H429))),OR(Query!$B$6="All",ISNUMBER(SEARCH(Query!$B$6,'Compliance Database'!$I429))),OR(Query!$B$7="All",'Compliance Database'!$F429=Query!$B$7),OR(Query!$B$8="All",'Compliance Database'!$J429=Query!$B$8),OR(Query!$B$9="",ISNUMBER(SEARCH(Query!$B$9,'Compliance Database'!$D429&amp;" "&amp;'Compliance Database'!$K429&amp;" "&amp;'Compliance Database'!$L429&amp;" "&amp;'Compliance Database'!$M429&amp;" "&amp;'Compliance Database'!$N429)))),1,0)</f>
        <v/>
      </c>
      <c r="B429">
        <f>IF($A429=1,SUM($A$2:$A429),"")</f>
        <v/>
      </c>
      <c r="C429">
        <f>IF($A429=1,SUM($A$2:$A429),0)</f>
        <v/>
      </c>
    </row>
    <row r="430">
      <c r="A430">
        <f>IF(AND(OR(Query!$B$4="All",'Compliance Database'!$A430=Query!$B$4),OR(Query!$B$5="All",ISNUMBER(SEARCH(Query!$B$5,'Compliance Database'!$H430))),OR(Query!$B$6="All",ISNUMBER(SEARCH(Query!$B$6,'Compliance Database'!$I430))),OR(Query!$B$7="All",'Compliance Database'!$F430=Query!$B$7),OR(Query!$B$8="All",'Compliance Database'!$J430=Query!$B$8),OR(Query!$B$9="",ISNUMBER(SEARCH(Query!$B$9,'Compliance Database'!$D430&amp;" "&amp;'Compliance Database'!$K430&amp;" "&amp;'Compliance Database'!$L430&amp;" "&amp;'Compliance Database'!$M430&amp;" "&amp;'Compliance Database'!$N430)))),1,0)</f>
        <v/>
      </c>
      <c r="B430">
        <f>IF($A430=1,SUM($A$2:$A430),"")</f>
        <v/>
      </c>
      <c r="C430">
        <f>IF($A430=1,SUM($A$2:$A430),0)</f>
        <v/>
      </c>
    </row>
    <row r="431">
      <c r="A431">
        <f>IF(AND(OR(Query!$B$4="All",'Compliance Database'!$A431=Query!$B$4),OR(Query!$B$5="All",ISNUMBER(SEARCH(Query!$B$5,'Compliance Database'!$H431))),OR(Query!$B$6="All",ISNUMBER(SEARCH(Query!$B$6,'Compliance Database'!$I431))),OR(Query!$B$7="All",'Compliance Database'!$F431=Query!$B$7),OR(Query!$B$8="All",'Compliance Database'!$J431=Query!$B$8),OR(Query!$B$9="",ISNUMBER(SEARCH(Query!$B$9,'Compliance Database'!$D431&amp;" "&amp;'Compliance Database'!$K431&amp;" "&amp;'Compliance Database'!$L431&amp;" "&amp;'Compliance Database'!$M431&amp;" "&amp;'Compliance Database'!$N431)))),1,0)</f>
        <v/>
      </c>
      <c r="B431">
        <f>IF($A431=1,SUM($A$2:$A431),"")</f>
        <v/>
      </c>
      <c r="C431">
        <f>IF($A431=1,SUM($A$2:$A431),0)</f>
        <v/>
      </c>
    </row>
    <row r="432">
      <c r="A432">
        <f>IF(AND(OR(Query!$B$4="All",'Compliance Database'!$A432=Query!$B$4),OR(Query!$B$5="All",ISNUMBER(SEARCH(Query!$B$5,'Compliance Database'!$H432))),OR(Query!$B$6="All",ISNUMBER(SEARCH(Query!$B$6,'Compliance Database'!$I432))),OR(Query!$B$7="All",'Compliance Database'!$F432=Query!$B$7),OR(Query!$B$8="All",'Compliance Database'!$J432=Query!$B$8),OR(Query!$B$9="",ISNUMBER(SEARCH(Query!$B$9,'Compliance Database'!$D432&amp;" "&amp;'Compliance Database'!$K432&amp;" "&amp;'Compliance Database'!$L432&amp;" "&amp;'Compliance Database'!$M432&amp;" "&amp;'Compliance Database'!$N432)))),1,0)</f>
        <v/>
      </c>
      <c r="B432">
        <f>IF($A432=1,SUM($A$2:$A432),"")</f>
        <v/>
      </c>
      <c r="C432">
        <f>IF($A432=1,SUM($A$2:$A432),0)</f>
        <v/>
      </c>
    </row>
    <row r="433">
      <c r="A433">
        <f>IF(AND(OR(Query!$B$4="All",'Compliance Database'!$A433=Query!$B$4),OR(Query!$B$5="All",ISNUMBER(SEARCH(Query!$B$5,'Compliance Database'!$H433))),OR(Query!$B$6="All",ISNUMBER(SEARCH(Query!$B$6,'Compliance Database'!$I433))),OR(Query!$B$7="All",'Compliance Database'!$F433=Query!$B$7),OR(Query!$B$8="All",'Compliance Database'!$J433=Query!$B$8),OR(Query!$B$9="",ISNUMBER(SEARCH(Query!$B$9,'Compliance Database'!$D433&amp;" "&amp;'Compliance Database'!$K433&amp;" "&amp;'Compliance Database'!$L433&amp;" "&amp;'Compliance Database'!$M433&amp;" "&amp;'Compliance Database'!$N433)))),1,0)</f>
        <v/>
      </c>
      <c r="B433">
        <f>IF($A433=1,SUM($A$2:$A433),"")</f>
        <v/>
      </c>
      <c r="C433">
        <f>IF($A433=1,SUM($A$2:$A433),0)</f>
        <v/>
      </c>
    </row>
    <row r="434">
      <c r="A434">
        <f>IF(AND(OR(Query!$B$4="All",'Compliance Database'!$A434=Query!$B$4),OR(Query!$B$5="All",ISNUMBER(SEARCH(Query!$B$5,'Compliance Database'!$H434))),OR(Query!$B$6="All",ISNUMBER(SEARCH(Query!$B$6,'Compliance Database'!$I434))),OR(Query!$B$7="All",'Compliance Database'!$F434=Query!$B$7),OR(Query!$B$8="All",'Compliance Database'!$J434=Query!$B$8),OR(Query!$B$9="",ISNUMBER(SEARCH(Query!$B$9,'Compliance Database'!$D434&amp;" "&amp;'Compliance Database'!$K434&amp;" "&amp;'Compliance Database'!$L434&amp;" "&amp;'Compliance Database'!$M434&amp;" "&amp;'Compliance Database'!$N434)))),1,0)</f>
        <v/>
      </c>
      <c r="B434">
        <f>IF($A434=1,SUM($A$2:$A434),"")</f>
        <v/>
      </c>
      <c r="C434">
        <f>IF($A434=1,SUM($A$2:$A434),0)</f>
        <v/>
      </c>
    </row>
    <row r="435">
      <c r="A435">
        <f>IF(AND(OR(Query!$B$4="All",'Compliance Database'!$A435=Query!$B$4),OR(Query!$B$5="All",ISNUMBER(SEARCH(Query!$B$5,'Compliance Database'!$H435))),OR(Query!$B$6="All",ISNUMBER(SEARCH(Query!$B$6,'Compliance Database'!$I435))),OR(Query!$B$7="All",'Compliance Database'!$F435=Query!$B$7),OR(Query!$B$8="All",'Compliance Database'!$J435=Query!$B$8),OR(Query!$B$9="",ISNUMBER(SEARCH(Query!$B$9,'Compliance Database'!$D435&amp;" "&amp;'Compliance Database'!$K435&amp;" "&amp;'Compliance Database'!$L435&amp;" "&amp;'Compliance Database'!$M435&amp;" "&amp;'Compliance Database'!$N435)))),1,0)</f>
        <v/>
      </c>
      <c r="B435">
        <f>IF($A435=1,SUM($A$2:$A435),"")</f>
        <v/>
      </c>
      <c r="C435">
        <f>IF($A435=1,SUM($A$2:$A435),0)</f>
        <v/>
      </c>
    </row>
    <row r="436">
      <c r="A436">
        <f>IF(AND(OR(Query!$B$4="All",'Compliance Database'!$A436=Query!$B$4),OR(Query!$B$5="All",ISNUMBER(SEARCH(Query!$B$5,'Compliance Database'!$H436))),OR(Query!$B$6="All",ISNUMBER(SEARCH(Query!$B$6,'Compliance Database'!$I436))),OR(Query!$B$7="All",'Compliance Database'!$F436=Query!$B$7),OR(Query!$B$8="All",'Compliance Database'!$J436=Query!$B$8),OR(Query!$B$9="",ISNUMBER(SEARCH(Query!$B$9,'Compliance Database'!$D436&amp;" "&amp;'Compliance Database'!$K436&amp;" "&amp;'Compliance Database'!$L436&amp;" "&amp;'Compliance Database'!$M436&amp;" "&amp;'Compliance Database'!$N436)))),1,0)</f>
        <v/>
      </c>
      <c r="B436">
        <f>IF($A436=1,SUM($A$2:$A436),"")</f>
        <v/>
      </c>
      <c r="C436">
        <f>IF($A436=1,SUM($A$2:$A436),0)</f>
        <v/>
      </c>
    </row>
    <row r="437">
      <c r="A437">
        <f>IF(AND(OR(Query!$B$4="All",'Compliance Database'!$A437=Query!$B$4),OR(Query!$B$5="All",ISNUMBER(SEARCH(Query!$B$5,'Compliance Database'!$H437))),OR(Query!$B$6="All",ISNUMBER(SEARCH(Query!$B$6,'Compliance Database'!$I437))),OR(Query!$B$7="All",'Compliance Database'!$F437=Query!$B$7),OR(Query!$B$8="All",'Compliance Database'!$J437=Query!$B$8),OR(Query!$B$9="",ISNUMBER(SEARCH(Query!$B$9,'Compliance Database'!$D437&amp;" "&amp;'Compliance Database'!$K437&amp;" "&amp;'Compliance Database'!$L437&amp;" "&amp;'Compliance Database'!$M437&amp;" "&amp;'Compliance Database'!$N437)))),1,0)</f>
        <v/>
      </c>
      <c r="B437">
        <f>IF($A437=1,SUM($A$2:$A437),"")</f>
        <v/>
      </c>
      <c r="C437">
        <f>IF($A437=1,SUM($A$2:$A437),0)</f>
        <v/>
      </c>
    </row>
    <row r="438">
      <c r="A438">
        <f>IF(AND(OR(Query!$B$4="All",'Compliance Database'!$A438=Query!$B$4),OR(Query!$B$5="All",ISNUMBER(SEARCH(Query!$B$5,'Compliance Database'!$H438))),OR(Query!$B$6="All",ISNUMBER(SEARCH(Query!$B$6,'Compliance Database'!$I438))),OR(Query!$B$7="All",'Compliance Database'!$F438=Query!$B$7),OR(Query!$B$8="All",'Compliance Database'!$J438=Query!$B$8),OR(Query!$B$9="",ISNUMBER(SEARCH(Query!$B$9,'Compliance Database'!$D438&amp;" "&amp;'Compliance Database'!$K438&amp;" "&amp;'Compliance Database'!$L438&amp;" "&amp;'Compliance Database'!$M438&amp;" "&amp;'Compliance Database'!$N438)))),1,0)</f>
        <v/>
      </c>
      <c r="B438">
        <f>IF($A438=1,SUM($A$2:$A438),"")</f>
        <v/>
      </c>
      <c r="C438">
        <f>IF($A438=1,SUM($A$2:$A438),0)</f>
        <v/>
      </c>
    </row>
    <row r="439">
      <c r="A439">
        <f>IF(AND(OR(Query!$B$4="All",'Compliance Database'!$A439=Query!$B$4),OR(Query!$B$5="All",ISNUMBER(SEARCH(Query!$B$5,'Compliance Database'!$H439))),OR(Query!$B$6="All",ISNUMBER(SEARCH(Query!$B$6,'Compliance Database'!$I439))),OR(Query!$B$7="All",'Compliance Database'!$F439=Query!$B$7),OR(Query!$B$8="All",'Compliance Database'!$J439=Query!$B$8),OR(Query!$B$9="",ISNUMBER(SEARCH(Query!$B$9,'Compliance Database'!$D439&amp;" "&amp;'Compliance Database'!$K439&amp;" "&amp;'Compliance Database'!$L439&amp;" "&amp;'Compliance Database'!$M439&amp;" "&amp;'Compliance Database'!$N439)))),1,0)</f>
        <v/>
      </c>
      <c r="B439">
        <f>IF($A439=1,SUM($A$2:$A439),"")</f>
        <v/>
      </c>
      <c r="C439">
        <f>IF($A439=1,SUM($A$2:$A439),0)</f>
        <v/>
      </c>
    </row>
    <row r="440">
      <c r="A440">
        <f>IF(AND(OR(Query!$B$4="All",'Compliance Database'!$A440=Query!$B$4),OR(Query!$B$5="All",ISNUMBER(SEARCH(Query!$B$5,'Compliance Database'!$H440))),OR(Query!$B$6="All",ISNUMBER(SEARCH(Query!$B$6,'Compliance Database'!$I440))),OR(Query!$B$7="All",'Compliance Database'!$F440=Query!$B$7),OR(Query!$B$8="All",'Compliance Database'!$J440=Query!$B$8),OR(Query!$B$9="",ISNUMBER(SEARCH(Query!$B$9,'Compliance Database'!$D440&amp;" "&amp;'Compliance Database'!$K440&amp;" "&amp;'Compliance Database'!$L440&amp;" "&amp;'Compliance Database'!$M440&amp;" "&amp;'Compliance Database'!$N440)))),1,0)</f>
        <v/>
      </c>
      <c r="B440">
        <f>IF($A440=1,SUM($A$2:$A440),"")</f>
        <v/>
      </c>
      <c r="C440">
        <f>IF($A440=1,SUM($A$2:$A440),0)</f>
        <v/>
      </c>
    </row>
    <row r="441">
      <c r="A441">
        <f>IF(AND(OR(Query!$B$4="All",'Compliance Database'!$A441=Query!$B$4),OR(Query!$B$5="All",ISNUMBER(SEARCH(Query!$B$5,'Compliance Database'!$H441))),OR(Query!$B$6="All",ISNUMBER(SEARCH(Query!$B$6,'Compliance Database'!$I441))),OR(Query!$B$7="All",'Compliance Database'!$F441=Query!$B$7),OR(Query!$B$8="All",'Compliance Database'!$J441=Query!$B$8),OR(Query!$B$9="",ISNUMBER(SEARCH(Query!$B$9,'Compliance Database'!$D441&amp;" "&amp;'Compliance Database'!$K441&amp;" "&amp;'Compliance Database'!$L441&amp;" "&amp;'Compliance Database'!$M441&amp;" "&amp;'Compliance Database'!$N441)))),1,0)</f>
        <v/>
      </c>
      <c r="B441">
        <f>IF($A441=1,SUM($A$2:$A441),"")</f>
        <v/>
      </c>
      <c r="C441">
        <f>IF($A441=1,SUM($A$2:$A441),0)</f>
        <v/>
      </c>
    </row>
    <row r="442">
      <c r="A442">
        <f>IF(AND(OR(Query!$B$4="All",'Compliance Database'!$A442=Query!$B$4),OR(Query!$B$5="All",ISNUMBER(SEARCH(Query!$B$5,'Compliance Database'!$H442))),OR(Query!$B$6="All",ISNUMBER(SEARCH(Query!$B$6,'Compliance Database'!$I442))),OR(Query!$B$7="All",'Compliance Database'!$F442=Query!$B$7),OR(Query!$B$8="All",'Compliance Database'!$J442=Query!$B$8),OR(Query!$B$9="",ISNUMBER(SEARCH(Query!$B$9,'Compliance Database'!$D442&amp;" "&amp;'Compliance Database'!$K442&amp;" "&amp;'Compliance Database'!$L442&amp;" "&amp;'Compliance Database'!$M442&amp;" "&amp;'Compliance Database'!$N442)))),1,0)</f>
        <v/>
      </c>
      <c r="B442">
        <f>IF($A442=1,SUM($A$2:$A442),"")</f>
        <v/>
      </c>
      <c r="C442">
        <f>IF($A442=1,SUM($A$2:$A442),0)</f>
        <v/>
      </c>
    </row>
    <row r="443">
      <c r="A443">
        <f>IF(AND(OR(Query!$B$4="All",'Compliance Database'!$A443=Query!$B$4),OR(Query!$B$5="All",ISNUMBER(SEARCH(Query!$B$5,'Compliance Database'!$H443))),OR(Query!$B$6="All",ISNUMBER(SEARCH(Query!$B$6,'Compliance Database'!$I443))),OR(Query!$B$7="All",'Compliance Database'!$F443=Query!$B$7),OR(Query!$B$8="All",'Compliance Database'!$J443=Query!$B$8),OR(Query!$B$9="",ISNUMBER(SEARCH(Query!$B$9,'Compliance Database'!$D443&amp;" "&amp;'Compliance Database'!$K443&amp;" "&amp;'Compliance Database'!$L443&amp;" "&amp;'Compliance Database'!$M443&amp;" "&amp;'Compliance Database'!$N443)))),1,0)</f>
        <v/>
      </c>
      <c r="B443">
        <f>IF($A443=1,SUM($A$2:$A443),"")</f>
        <v/>
      </c>
      <c r="C443">
        <f>IF($A443=1,SUM($A$2:$A443),0)</f>
        <v/>
      </c>
    </row>
    <row r="444">
      <c r="A444">
        <f>IF(AND(OR(Query!$B$4="All",'Compliance Database'!$A444=Query!$B$4),OR(Query!$B$5="All",ISNUMBER(SEARCH(Query!$B$5,'Compliance Database'!$H444))),OR(Query!$B$6="All",ISNUMBER(SEARCH(Query!$B$6,'Compliance Database'!$I444))),OR(Query!$B$7="All",'Compliance Database'!$F444=Query!$B$7),OR(Query!$B$8="All",'Compliance Database'!$J444=Query!$B$8),OR(Query!$B$9="",ISNUMBER(SEARCH(Query!$B$9,'Compliance Database'!$D444&amp;" "&amp;'Compliance Database'!$K444&amp;" "&amp;'Compliance Database'!$L444&amp;" "&amp;'Compliance Database'!$M444&amp;" "&amp;'Compliance Database'!$N444)))),1,0)</f>
        <v/>
      </c>
      <c r="B444">
        <f>IF($A444=1,SUM($A$2:$A444),"")</f>
        <v/>
      </c>
      <c r="C444">
        <f>IF($A444=1,SUM($A$2:$A444),0)</f>
        <v/>
      </c>
    </row>
    <row r="445">
      <c r="A445">
        <f>IF(AND(OR(Query!$B$4="All",'Compliance Database'!$A445=Query!$B$4),OR(Query!$B$5="All",ISNUMBER(SEARCH(Query!$B$5,'Compliance Database'!$H445))),OR(Query!$B$6="All",ISNUMBER(SEARCH(Query!$B$6,'Compliance Database'!$I445))),OR(Query!$B$7="All",'Compliance Database'!$F445=Query!$B$7),OR(Query!$B$8="All",'Compliance Database'!$J445=Query!$B$8),OR(Query!$B$9="",ISNUMBER(SEARCH(Query!$B$9,'Compliance Database'!$D445&amp;" "&amp;'Compliance Database'!$K445&amp;" "&amp;'Compliance Database'!$L445&amp;" "&amp;'Compliance Database'!$M445&amp;" "&amp;'Compliance Database'!$N445)))),1,0)</f>
        <v/>
      </c>
      <c r="B445">
        <f>IF($A445=1,SUM($A$2:$A445),"")</f>
        <v/>
      </c>
      <c r="C445">
        <f>IF($A445=1,SUM($A$2:$A445),0)</f>
        <v/>
      </c>
    </row>
    <row r="446">
      <c r="A446">
        <f>IF(AND(OR(Query!$B$4="All",'Compliance Database'!$A446=Query!$B$4),OR(Query!$B$5="All",ISNUMBER(SEARCH(Query!$B$5,'Compliance Database'!$H446))),OR(Query!$B$6="All",ISNUMBER(SEARCH(Query!$B$6,'Compliance Database'!$I446))),OR(Query!$B$7="All",'Compliance Database'!$F446=Query!$B$7),OR(Query!$B$8="All",'Compliance Database'!$J446=Query!$B$8),OR(Query!$B$9="",ISNUMBER(SEARCH(Query!$B$9,'Compliance Database'!$D446&amp;" "&amp;'Compliance Database'!$K446&amp;" "&amp;'Compliance Database'!$L446&amp;" "&amp;'Compliance Database'!$M446&amp;" "&amp;'Compliance Database'!$N446)))),1,0)</f>
        <v/>
      </c>
      <c r="B446">
        <f>IF($A446=1,SUM($A$2:$A446),"")</f>
        <v/>
      </c>
      <c r="C446">
        <f>IF($A446=1,SUM($A$2:$A446),0)</f>
        <v/>
      </c>
    </row>
    <row r="447">
      <c r="A447">
        <f>IF(AND(OR(Query!$B$4="All",'Compliance Database'!$A447=Query!$B$4),OR(Query!$B$5="All",ISNUMBER(SEARCH(Query!$B$5,'Compliance Database'!$H447))),OR(Query!$B$6="All",ISNUMBER(SEARCH(Query!$B$6,'Compliance Database'!$I447))),OR(Query!$B$7="All",'Compliance Database'!$F447=Query!$B$7),OR(Query!$B$8="All",'Compliance Database'!$J447=Query!$B$8),OR(Query!$B$9="",ISNUMBER(SEARCH(Query!$B$9,'Compliance Database'!$D447&amp;" "&amp;'Compliance Database'!$K447&amp;" "&amp;'Compliance Database'!$L447&amp;" "&amp;'Compliance Database'!$M447&amp;" "&amp;'Compliance Database'!$N447)))),1,0)</f>
        <v/>
      </c>
      <c r="B447">
        <f>IF($A447=1,SUM($A$2:$A447),"")</f>
        <v/>
      </c>
      <c r="C447">
        <f>IF($A447=1,SUM($A$2:$A447),0)</f>
        <v/>
      </c>
    </row>
    <row r="448">
      <c r="A448">
        <f>IF(AND(OR(Query!$B$4="All",'Compliance Database'!$A448=Query!$B$4),OR(Query!$B$5="All",ISNUMBER(SEARCH(Query!$B$5,'Compliance Database'!$H448))),OR(Query!$B$6="All",ISNUMBER(SEARCH(Query!$B$6,'Compliance Database'!$I448))),OR(Query!$B$7="All",'Compliance Database'!$F448=Query!$B$7),OR(Query!$B$8="All",'Compliance Database'!$J448=Query!$B$8),OR(Query!$B$9="",ISNUMBER(SEARCH(Query!$B$9,'Compliance Database'!$D448&amp;" "&amp;'Compliance Database'!$K448&amp;" "&amp;'Compliance Database'!$L448&amp;" "&amp;'Compliance Database'!$M448&amp;" "&amp;'Compliance Database'!$N448)))),1,0)</f>
        <v/>
      </c>
      <c r="B448">
        <f>IF($A448=1,SUM($A$2:$A448),"")</f>
        <v/>
      </c>
      <c r="C448">
        <f>IF($A448=1,SUM($A$2:$A448),0)</f>
        <v/>
      </c>
    </row>
    <row r="449">
      <c r="A449">
        <f>IF(AND(OR(Query!$B$4="All",'Compliance Database'!$A449=Query!$B$4),OR(Query!$B$5="All",ISNUMBER(SEARCH(Query!$B$5,'Compliance Database'!$H449))),OR(Query!$B$6="All",ISNUMBER(SEARCH(Query!$B$6,'Compliance Database'!$I449))),OR(Query!$B$7="All",'Compliance Database'!$F449=Query!$B$7),OR(Query!$B$8="All",'Compliance Database'!$J449=Query!$B$8),OR(Query!$B$9="",ISNUMBER(SEARCH(Query!$B$9,'Compliance Database'!$D449&amp;" "&amp;'Compliance Database'!$K449&amp;" "&amp;'Compliance Database'!$L449&amp;" "&amp;'Compliance Database'!$M449&amp;" "&amp;'Compliance Database'!$N449)))),1,0)</f>
        <v/>
      </c>
      <c r="B449">
        <f>IF($A449=1,SUM($A$2:$A449),"")</f>
        <v/>
      </c>
      <c r="C449">
        <f>IF($A449=1,SUM($A$2:$A449),0)</f>
        <v/>
      </c>
    </row>
    <row r="450">
      <c r="A450">
        <f>IF(AND(OR(Query!$B$4="All",'Compliance Database'!$A450=Query!$B$4),OR(Query!$B$5="All",ISNUMBER(SEARCH(Query!$B$5,'Compliance Database'!$H450))),OR(Query!$B$6="All",ISNUMBER(SEARCH(Query!$B$6,'Compliance Database'!$I450))),OR(Query!$B$7="All",'Compliance Database'!$F450=Query!$B$7),OR(Query!$B$8="All",'Compliance Database'!$J450=Query!$B$8),OR(Query!$B$9="",ISNUMBER(SEARCH(Query!$B$9,'Compliance Database'!$D450&amp;" "&amp;'Compliance Database'!$K450&amp;" "&amp;'Compliance Database'!$L450&amp;" "&amp;'Compliance Database'!$M450&amp;" "&amp;'Compliance Database'!$N450)))),1,0)</f>
        <v/>
      </c>
      <c r="B450">
        <f>IF($A450=1,SUM($A$2:$A450),"")</f>
        <v/>
      </c>
      <c r="C450">
        <f>IF($A450=1,SUM($A$2:$A450),0)</f>
        <v/>
      </c>
    </row>
    <row r="451">
      <c r="A451">
        <f>IF(AND(OR(Query!$B$4="All",'Compliance Database'!$A451=Query!$B$4),OR(Query!$B$5="All",ISNUMBER(SEARCH(Query!$B$5,'Compliance Database'!$H451))),OR(Query!$B$6="All",ISNUMBER(SEARCH(Query!$B$6,'Compliance Database'!$I451))),OR(Query!$B$7="All",'Compliance Database'!$F451=Query!$B$7),OR(Query!$B$8="All",'Compliance Database'!$J451=Query!$B$8),OR(Query!$B$9="",ISNUMBER(SEARCH(Query!$B$9,'Compliance Database'!$D451&amp;" "&amp;'Compliance Database'!$K451&amp;" "&amp;'Compliance Database'!$L451&amp;" "&amp;'Compliance Database'!$M451&amp;" "&amp;'Compliance Database'!$N451)))),1,0)</f>
        <v/>
      </c>
      <c r="B451">
        <f>IF($A451=1,SUM($A$2:$A451),"")</f>
        <v/>
      </c>
      <c r="C451">
        <f>IF($A451=1,SUM($A$2:$A451),0)</f>
        <v/>
      </c>
    </row>
    <row r="452">
      <c r="A452">
        <f>IF(AND(OR(Query!$B$4="All",'Compliance Database'!$A452=Query!$B$4),OR(Query!$B$5="All",ISNUMBER(SEARCH(Query!$B$5,'Compliance Database'!$H452))),OR(Query!$B$6="All",ISNUMBER(SEARCH(Query!$B$6,'Compliance Database'!$I452))),OR(Query!$B$7="All",'Compliance Database'!$F452=Query!$B$7),OR(Query!$B$8="All",'Compliance Database'!$J452=Query!$B$8),OR(Query!$B$9="",ISNUMBER(SEARCH(Query!$B$9,'Compliance Database'!$D452&amp;" "&amp;'Compliance Database'!$K452&amp;" "&amp;'Compliance Database'!$L452&amp;" "&amp;'Compliance Database'!$M452&amp;" "&amp;'Compliance Database'!$N452)))),1,0)</f>
        <v/>
      </c>
      <c r="B452">
        <f>IF($A452=1,SUM($A$2:$A452),"")</f>
        <v/>
      </c>
      <c r="C452">
        <f>IF($A452=1,SUM($A$2:$A452),0)</f>
        <v/>
      </c>
    </row>
    <row r="453">
      <c r="A453">
        <f>IF(AND(OR(Query!$B$4="All",'Compliance Database'!$A453=Query!$B$4),OR(Query!$B$5="All",ISNUMBER(SEARCH(Query!$B$5,'Compliance Database'!$H453))),OR(Query!$B$6="All",ISNUMBER(SEARCH(Query!$B$6,'Compliance Database'!$I453))),OR(Query!$B$7="All",'Compliance Database'!$F453=Query!$B$7),OR(Query!$B$8="All",'Compliance Database'!$J453=Query!$B$8),OR(Query!$B$9="",ISNUMBER(SEARCH(Query!$B$9,'Compliance Database'!$D453&amp;" "&amp;'Compliance Database'!$K453&amp;" "&amp;'Compliance Database'!$L453&amp;" "&amp;'Compliance Database'!$M453&amp;" "&amp;'Compliance Database'!$N453)))),1,0)</f>
        <v/>
      </c>
      <c r="B453">
        <f>IF($A453=1,SUM($A$2:$A453),"")</f>
        <v/>
      </c>
      <c r="C453">
        <f>IF($A453=1,SUM($A$2:$A453),0)</f>
        <v/>
      </c>
    </row>
    <row r="454">
      <c r="A454">
        <f>IF(AND(OR(Query!$B$4="All",'Compliance Database'!$A454=Query!$B$4),OR(Query!$B$5="All",ISNUMBER(SEARCH(Query!$B$5,'Compliance Database'!$H454))),OR(Query!$B$6="All",ISNUMBER(SEARCH(Query!$B$6,'Compliance Database'!$I454))),OR(Query!$B$7="All",'Compliance Database'!$F454=Query!$B$7),OR(Query!$B$8="All",'Compliance Database'!$J454=Query!$B$8),OR(Query!$B$9="",ISNUMBER(SEARCH(Query!$B$9,'Compliance Database'!$D454&amp;" "&amp;'Compliance Database'!$K454&amp;" "&amp;'Compliance Database'!$L454&amp;" "&amp;'Compliance Database'!$M454&amp;" "&amp;'Compliance Database'!$N454)))),1,0)</f>
        <v/>
      </c>
      <c r="B454">
        <f>IF($A454=1,SUM($A$2:$A454),"")</f>
        <v/>
      </c>
      <c r="C454">
        <f>IF($A454=1,SUM($A$2:$A454),0)</f>
        <v/>
      </c>
    </row>
    <row r="455">
      <c r="A455">
        <f>IF(AND(OR(Query!$B$4="All",'Compliance Database'!$A455=Query!$B$4),OR(Query!$B$5="All",ISNUMBER(SEARCH(Query!$B$5,'Compliance Database'!$H455))),OR(Query!$B$6="All",ISNUMBER(SEARCH(Query!$B$6,'Compliance Database'!$I455))),OR(Query!$B$7="All",'Compliance Database'!$F455=Query!$B$7),OR(Query!$B$8="All",'Compliance Database'!$J455=Query!$B$8),OR(Query!$B$9="",ISNUMBER(SEARCH(Query!$B$9,'Compliance Database'!$D455&amp;" "&amp;'Compliance Database'!$K455&amp;" "&amp;'Compliance Database'!$L455&amp;" "&amp;'Compliance Database'!$M455&amp;" "&amp;'Compliance Database'!$N455)))),1,0)</f>
        <v/>
      </c>
      <c r="B455">
        <f>IF($A455=1,SUM($A$2:$A455),"")</f>
        <v/>
      </c>
      <c r="C455">
        <f>IF($A455=1,SUM($A$2:$A455),0)</f>
        <v/>
      </c>
    </row>
    <row r="456">
      <c r="A456">
        <f>IF(AND(OR(Query!$B$4="All",'Compliance Database'!$A456=Query!$B$4),OR(Query!$B$5="All",ISNUMBER(SEARCH(Query!$B$5,'Compliance Database'!$H456))),OR(Query!$B$6="All",ISNUMBER(SEARCH(Query!$B$6,'Compliance Database'!$I456))),OR(Query!$B$7="All",'Compliance Database'!$F456=Query!$B$7),OR(Query!$B$8="All",'Compliance Database'!$J456=Query!$B$8),OR(Query!$B$9="",ISNUMBER(SEARCH(Query!$B$9,'Compliance Database'!$D456&amp;" "&amp;'Compliance Database'!$K456&amp;" "&amp;'Compliance Database'!$L456&amp;" "&amp;'Compliance Database'!$M456&amp;" "&amp;'Compliance Database'!$N456)))),1,0)</f>
        <v/>
      </c>
      <c r="B456">
        <f>IF($A456=1,SUM($A$2:$A456),"")</f>
        <v/>
      </c>
      <c r="C456">
        <f>IF($A456=1,SUM($A$2:$A456),0)</f>
        <v/>
      </c>
    </row>
    <row r="457">
      <c r="A457">
        <f>IF(AND(OR(Query!$B$4="All",'Compliance Database'!$A457=Query!$B$4),OR(Query!$B$5="All",ISNUMBER(SEARCH(Query!$B$5,'Compliance Database'!$H457))),OR(Query!$B$6="All",ISNUMBER(SEARCH(Query!$B$6,'Compliance Database'!$I457))),OR(Query!$B$7="All",'Compliance Database'!$F457=Query!$B$7),OR(Query!$B$8="All",'Compliance Database'!$J457=Query!$B$8),OR(Query!$B$9="",ISNUMBER(SEARCH(Query!$B$9,'Compliance Database'!$D457&amp;" "&amp;'Compliance Database'!$K457&amp;" "&amp;'Compliance Database'!$L457&amp;" "&amp;'Compliance Database'!$M457&amp;" "&amp;'Compliance Database'!$N457)))),1,0)</f>
        <v/>
      </c>
      <c r="B457">
        <f>IF($A457=1,SUM($A$2:$A457),"")</f>
        <v/>
      </c>
      <c r="C457">
        <f>IF($A457=1,SUM($A$2:$A457),0)</f>
        <v/>
      </c>
    </row>
    <row r="458">
      <c r="A458">
        <f>IF(AND(OR(Query!$B$4="All",'Compliance Database'!$A458=Query!$B$4),OR(Query!$B$5="All",ISNUMBER(SEARCH(Query!$B$5,'Compliance Database'!$H458))),OR(Query!$B$6="All",ISNUMBER(SEARCH(Query!$B$6,'Compliance Database'!$I458))),OR(Query!$B$7="All",'Compliance Database'!$F458=Query!$B$7),OR(Query!$B$8="All",'Compliance Database'!$J458=Query!$B$8),OR(Query!$B$9="",ISNUMBER(SEARCH(Query!$B$9,'Compliance Database'!$D458&amp;" "&amp;'Compliance Database'!$K458&amp;" "&amp;'Compliance Database'!$L458&amp;" "&amp;'Compliance Database'!$M458&amp;" "&amp;'Compliance Database'!$N458)))),1,0)</f>
        <v/>
      </c>
      <c r="B458">
        <f>IF($A458=1,SUM($A$2:$A458),"")</f>
        <v/>
      </c>
      <c r="C458">
        <f>IF($A458=1,SUM($A$2:$A458),0)</f>
        <v/>
      </c>
    </row>
    <row r="459">
      <c r="A459">
        <f>IF(AND(OR(Query!$B$4="All",'Compliance Database'!$A459=Query!$B$4),OR(Query!$B$5="All",ISNUMBER(SEARCH(Query!$B$5,'Compliance Database'!$H459))),OR(Query!$B$6="All",ISNUMBER(SEARCH(Query!$B$6,'Compliance Database'!$I459))),OR(Query!$B$7="All",'Compliance Database'!$F459=Query!$B$7),OR(Query!$B$8="All",'Compliance Database'!$J459=Query!$B$8),OR(Query!$B$9="",ISNUMBER(SEARCH(Query!$B$9,'Compliance Database'!$D459&amp;" "&amp;'Compliance Database'!$K459&amp;" "&amp;'Compliance Database'!$L459&amp;" "&amp;'Compliance Database'!$M459&amp;" "&amp;'Compliance Database'!$N459)))),1,0)</f>
        <v/>
      </c>
      <c r="B459">
        <f>IF($A459=1,SUM($A$2:$A459),"")</f>
        <v/>
      </c>
      <c r="C459">
        <f>IF($A459=1,SUM($A$2:$A459),0)</f>
        <v/>
      </c>
    </row>
    <row r="460">
      <c r="A460">
        <f>IF(AND(OR(Query!$B$4="All",'Compliance Database'!$A460=Query!$B$4),OR(Query!$B$5="All",ISNUMBER(SEARCH(Query!$B$5,'Compliance Database'!$H460))),OR(Query!$B$6="All",ISNUMBER(SEARCH(Query!$B$6,'Compliance Database'!$I460))),OR(Query!$B$7="All",'Compliance Database'!$F460=Query!$B$7),OR(Query!$B$8="All",'Compliance Database'!$J460=Query!$B$8),OR(Query!$B$9="",ISNUMBER(SEARCH(Query!$B$9,'Compliance Database'!$D460&amp;" "&amp;'Compliance Database'!$K460&amp;" "&amp;'Compliance Database'!$L460&amp;" "&amp;'Compliance Database'!$M460&amp;" "&amp;'Compliance Database'!$N460)))),1,0)</f>
        <v/>
      </c>
      <c r="B460">
        <f>IF($A460=1,SUM($A$2:$A460),"")</f>
        <v/>
      </c>
      <c r="C460">
        <f>IF($A460=1,SUM($A$2:$A460),0)</f>
        <v/>
      </c>
    </row>
    <row r="461">
      <c r="A461">
        <f>IF(AND(OR(Query!$B$4="All",'Compliance Database'!$A461=Query!$B$4),OR(Query!$B$5="All",ISNUMBER(SEARCH(Query!$B$5,'Compliance Database'!$H461))),OR(Query!$B$6="All",ISNUMBER(SEARCH(Query!$B$6,'Compliance Database'!$I461))),OR(Query!$B$7="All",'Compliance Database'!$F461=Query!$B$7),OR(Query!$B$8="All",'Compliance Database'!$J461=Query!$B$8),OR(Query!$B$9="",ISNUMBER(SEARCH(Query!$B$9,'Compliance Database'!$D461&amp;" "&amp;'Compliance Database'!$K461&amp;" "&amp;'Compliance Database'!$L461&amp;" "&amp;'Compliance Database'!$M461&amp;" "&amp;'Compliance Database'!$N461)))),1,0)</f>
        <v/>
      </c>
      <c r="B461">
        <f>IF($A461=1,SUM($A$2:$A461),"")</f>
        <v/>
      </c>
      <c r="C461">
        <f>IF($A461=1,SUM($A$2:$A461),0)</f>
        <v/>
      </c>
    </row>
    <row r="462">
      <c r="A462">
        <f>IF(AND(OR(Query!$B$4="All",'Compliance Database'!$A462=Query!$B$4),OR(Query!$B$5="All",ISNUMBER(SEARCH(Query!$B$5,'Compliance Database'!$H462))),OR(Query!$B$6="All",ISNUMBER(SEARCH(Query!$B$6,'Compliance Database'!$I462))),OR(Query!$B$7="All",'Compliance Database'!$F462=Query!$B$7),OR(Query!$B$8="All",'Compliance Database'!$J462=Query!$B$8),OR(Query!$B$9="",ISNUMBER(SEARCH(Query!$B$9,'Compliance Database'!$D462&amp;" "&amp;'Compliance Database'!$K462&amp;" "&amp;'Compliance Database'!$L462&amp;" "&amp;'Compliance Database'!$M462&amp;" "&amp;'Compliance Database'!$N462)))),1,0)</f>
        <v/>
      </c>
      <c r="B462">
        <f>IF($A462=1,SUM($A$2:$A462),"")</f>
        <v/>
      </c>
      <c r="C462">
        <f>IF($A462=1,SUM($A$2:$A462),0)</f>
        <v/>
      </c>
    </row>
    <row r="463">
      <c r="A463">
        <f>IF(AND(OR(Query!$B$4="All",'Compliance Database'!$A463=Query!$B$4),OR(Query!$B$5="All",ISNUMBER(SEARCH(Query!$B$5,'Compliance Database'!$H463))),OR(Query!$B$6="All",ISNUMBER(SEARCH(Query!$B$6,'Compliance Database'!$I463))),OR(Query!$B$7="All",'Compliance Database'!$F463=Query!$B$7),OR(Query!$B$8="All",'Compliance Database'!$J463=Query!$B$8),OR(Query!$B$9="",ISNUMBER(SEARCH(Query!$B$9,'Compliance Database'!$D463&amp;" "&amp;'Compliance Database'!$K463&amp;" "&amp;'Compliance Database'!$L463&amp;" "&amp;'Compliance Database'!$M463&amp;" "&amp;'Compliance Database'!$N463)))),1,0)</f>
        <v/>
      </c>
      <c r="B463">
        <f>IF($A463=1,SUM($A$2:$A463),"")</f>
        <v/>
      </c>
      <c r="C463">
        <f>IF($A463=1,SUM($A$2:$A463),0)</f>
        <v/>
      </c>
    </row>
    <row r="464">
      <c r="A464">
        <f>IF(AND(OR(Query!$B$4="All",'Compliance Database'!$A464=Query!$B$4),OR(Query!$B$5="All",ISNUMBER(SEARCH(Query!$B$5,'Compliance Database'!$H464))),OR(Query!$B$6="All",ISNUMBER(SEARCH(Query!$B$6,'Compliance Database'!$I464))),OR(Query!$B$7="All",'Compliance Database'!$F464=Query!$B$7),OR(Query!$B$8="All",'Compliance Database'!$J464=Query!$B$8),OR(Query!$B$9="",ISNUMBER(SEARCH(Query!$B$9,'Compliance Database'!$D464&amp;" "&amp;'Compliance Database'!$K464&amp;" "&amp;'Compliance Database'!$L464&amp;" "&amp;'Compliance Database'!$M464&amp;" "&amp;'Compliance Database'!$N464)))),1,0)</f>
        <v/>
      </c>
      <c r="B464">
        <f>IF($A464=1,SUM($A$2:$A464),"")</f>
        <v/>
      </c>
      <c r="C464">
        <f>IF($A464=1,SUM($A$2:$A464),0)</f>
        <v/>
      </c>
    </row>
    <row r="465">
      <c r="A465">
        <f>IF(AND(OR(Query!$B$4="All",'Compliance Database'!$A465=Query!$B$4),OR(Query!$B$5="All",ISNUMBER(SEARCH(Query!$B$5,'Compliance Database'!$H465))),OR(Query!$B$6="All",ISNUMBER(SEARCH(Query!$B$6,'Compliance Database'!$I465))),OR(Query!$B$7="All",'Compliance Database'!$F465=Query!$B$7),OR(Query!$B$8="All",'Compliance Database'!$J465=Query!$B$8),OR(Query!$B$9="",ISNUMBER(SEARCH(Query!$B$9,'Compliance Database'!$D465&amp;" "&amp;'Compliance Database'!$K465&amp;" "&amp;'Compliance Database'!$L465&amp;" "&amp;'Compliance Database'!$M465&amp;" "&amp;'Compliance Database'!$N465)))),1,0)</f>
        <v/>
      </c>
      <c r="B465">
        <f>IF($A465=1,SUM($A$2:$A465),"")</f>
        <v/>
      </c>
      <c r="C465">
        <f>IF($A465=1,SUM($A$2:$A465),0)</f>
        <v/>
      </c>
    </row>
    <row r="466">
      <c r="A466">
        <f>IF(AND(OR(Query!$B$4="All",'Compliance Database'!$A466=Query!$B$4),OR(Query!$B$5="All",ISNUMBER(SEARCH(Query!$B$5,'Compliance Database'!$H466))),OR(Query!$B$6="All",ISNUMBER(SEARCH(Query!$B$6,'Compliance Database'!$I466))),OR(Query!$B$7="All",'Compliance Database'!$F466=Query!$B$7),OR(Query!$B$8="All",'Compliance Database'!$J466=Query!$B$8),OR(Query!$B$9="",ISNUMBER(SEARCH(Query!$B$9,'Compliance Database'!$D466&amp;" "&amp;'Compliance Database'!$K466&amp;" "&amp;'Compliance Database'!$L466&amp;" "&amp;'Compliance Database'!$M466&amp;" "&amp;'Compliance Database'!$N466)))),1,0)</f>
        <v/>
      </c>
      <c r="B466">
        <f>IF($A466=1,SUM($A$2:$A466),"")</f>
        <v/>
      </c>
      <c r="C466">
        <f>IF($A466=1,SUM($A$2:$A466),0)</f>
        <v/>
      </c>
    </row>
    <row r="467">
      <c r="A467">
        <f>IF(AND(OR(Query!$B$4="All",'Compliance Database'!$A467=Query!$B$4),OR(Query!$B$5="All",ISNUMBER(SEARCH(Query!$B$5,'Compliance Database'!$H467))),OR(Query!$B$6="All",ISNUMBER(SEARCH(Query!$B$6,'Compliance Database'!$I467))),OR(Query!$B$7="All",'Compliance Database'!$F467=Query!$B$7),OR(Query!$B$8="All",'Compliance Database'!$J467=Query!$B$8),OR(Query!$B$9="",ISNUMBER(SEARCH(Query!$B$9,'Compliance Database'!$D467&amp;" "&amp;'Compliance Database'!$K467&amp;" "&amp;'Compliance Database'!$L467&amp;" "&amp;'Compliance Database'!$M467&amp;" "&amp;'Compliance Database'!$N467)))),1,0)</f>
        <v/>
      </c>
      <c r="B467">
        <f>IF($A467=1,SUM($A$2:$A467),"")</f>
        <v/>
      </c>
      <c r="C467">
        <f>IF($A467=1,SUM($A$2:$A467),0)</f>
        <v/>
      </c>
    </row>
    <row r="468">
      <c r="A468">
        <f>IF(AND(OR(Query!$B$4="All",'Compliance Database'!$A468=Query!$B$4),OR(Query!$B$5="All",ISNUMBER(SEARCH(Query!$B$5,'Compliance Database'!$H468))),OR(Query!$B$6="All",ISNUMBER(SEARCH(Query!$B$6,'Compliance Database'!$I468))),OR(Query!$B$7="All",'Compliance Database'!$F468=Query!$B$7),OR(Query!$B$8="All",'Compliance Database'!$J468=Query!$B$8),OR(Query!$B$9="",ISNUMBER(SEARCH(Query!$B$9,'Compliance Database'!$D468&amp;" "&amp;'Compliance Database'!$K468&amp;" "&amp;'Compliance Database'!$L468&amp;" "&amp;'Compliance Database'!$M468&amp;" "&amp;'Compliance Database'!$N468)))),1,0)</f>
        <v/>
      </c>
      <c r="B468">
        <f>IF($A468=1,SUM($A$2:$A468),"")</f>
        <v/>
      </c>
      <c r="C468">
        <f>IF($A468=1,SUM($A$2:$A468),0)</f>
        <v/>
      </c>
    </row>
    <row r="469">
      <c r="A469">
        <f>IF(AND(OR(Query!$B$4="All",'Compliance Database'!$A469=Query!$B$4),OR(Query!$B$5="All",ISNUMBER(SEARCH(Query!$B$5,'Compliance Database'!$H469))),OR(Query!$B$6="All",ISNUMBER(SEARCH(Query!$B$6,'Compliance Database'!$I469))),OR(Query!$B$7="All",'Compliance Database'!$F469=Query!$B$7),OR(Query!$B$8="All",'Compliance Database'!$J469=Query!$B$8),OR(Query!$B$9="",ISNUMBER(SEARCH(Query!$B$9,'Compliance Database'!$D469&amp;" "&amp;'Compliance Database'!$K469&amp;" "&amp;'Compliance Database'!$L469&amp;" "&amp;'Compliance Database'!$M469&amp;" "&amp;'Compliance Database'!$N469)))),1,0)</f>
        <v/>
      </c>
      <c r="B469">
        <f>IF($A469=1,SUM($A$2:$A469),"")</f>
        <v/>
      </c>
      <c r="C469">
        <f>IF($A469=1,SUM($A$2:$A469),0)</f>
        <v/>
      </c>
    </row>
    <row r="470">
      <c r="A470">
        <f>IF(AND(OR(Query!$B$4="All",'Compliance Database'!$A470=Query!$B$4),OR(Query!$B$5="All",ISNUMBER(SEARCH(Query!$B$5,'Compliance Database'!$H470))),OR(Query!$B$6="All",ISNUMBER(SEARCH(Query!$B$6,'Compliance Database'!$I470))),OR(Query!$B$7="All",'Compliance Database'!$F470=Query!$B$7),OR(Query!$B$8="All",'Compliance Database'!$J470=Query!$B$8),OR(Query!$B$9="",ISNUMBER(SEARCH(Query!$B$9,'Compliance Database'!$D470&amp;" "&amp;'Compliance Database'!$K470&amp;" "&amp;'Compliance Database'!$L470&amp;" "&amp;'Compliance Database'!$M470&amp;" "&amp;'Compliance Database'!$N470)))),1,0)</f>
        <v/>
      </c>
      <c r="B470">
        <f>IF($A470=1,SUM($A$2:$A470),"")</f>
        <v/>
      </c>
      <c r="C470">
        <f>IF($A470=1,SUM($A$2:$A470),0)</f>
        <v/>
      </c>
    </row>
    <row r="471">
      <c r="A471">
        <f>IF(AND(OR(Query!$B$4="All",'Compliance Database'!$A471=Query!$B$4),OR(Query!$B$5="All",ISNUMBER(SEARCH(Query!$B$5,'Compliance Database'!$H471))),OR(Query!$B$6="All",ISNUMBER(SEARCH(Query!$B$6,'Compliance Database'!$I471))),OR(Query!$B$7="All",'Compliance Database'!$F471=Query!$B$7),OR(Query!$B$8="All",'Compliance Database'!$J471=Query!$B$8),OR(Query!$B$9="",ISNUMBER(SEARCH(Query!$B$9,'Compliance Database'!$D471&amp;" "&amp;'Compliance Database'!$K471&amp;" "&amp;'Compliance Database'!$L471&amp;" "&amp;'Compliance Database'!$M471&amp;" "&amp;'Compliance Database'!$N471)))),1,0)</f>
        <v/>
      </c>
      <c r="B471">
        <f>IF($A471=1,SUM($A$2:$A471),"")</f>
        <v/>
      </c>
      <c r="C471">
        <f>IF($A471=1,SUM($A$2:$A471),0)</f>
        <v/>
      </c>
    </row>
    <row r="472">
      <c r="A472">
        <f>IF(AND(OR(Query!$B$4="All",'Compliance Database'!$A472=Query!$B$4),OR(Query!$B$5="All",ISNUMBER(SEARCH(Query!$B$5,'Compliance Database'!$H472))),OR(Query!$B$6="All",ISNUMBER(SEARCH(Query!$B$6,'Compliance Database'!$I472))),OR(Query!$B$7="All",'Compliance Database'!$F472=Query!$B$7),OR(Query!$B$8="All",'Compliance Database'!$J472=Query!$B$8),OR(Query!$B$9="",ISNUMBER(SEARCH(Query!$B$9,'Compliance Database'!$D472&amp;" "&amp;'Compliance Database'!$K472&amp;" "&amp;'Compliance Database'!$L472&amp;" "&amp;'Compliance Database'!$M472&amp;" "&amp;'Compliance Database'!$N472)))),1,0)</f>
        <v/>
      </c>
      <c r="B472">
        <f>IF($A472=1,SUM($A$2:$A472),"")</f>
        <v/>
      </c>
      <c r="C472">
        <f>IF($A472=1,SUM($A$2:$A472),0)</f>
        <v/>
      </c>
    </row>
    <row r="473">
      <c r="A473">
        <f>IF(AND(OR(Query!$B$4="All",'Compliance Database'!$A473=Query!$B$4),OR(Query!$B$5="All",ISNUMBER(SEARCH(Query!$B$5,'Compliance Database'!$H473))),OR(Query!$B$6="All",ISNUMBER(SEARCH(Query!$B$6,'Compliance Database'!$I473))),OR(Query!$B$7="All",'Compliance Database'!$F473=Query!$B$7),OR(Query!$B$8="All",'Compliance Database'!$J473=Query!$B$8),OR(Query!$B$9="",ISNUMBER(SEARCH(Query!$B$9,'Compliance Database'!$D473&amp;" "&amp;'Compliance Database'!$K473&amp;" "&amp;'Compliance Database'!$L473&amp;" "&amp;'Compliance Database'!$M473&amp;" "&amp;'Compliance Database'!$N473)))),1,0)</f>
        <v/>
      </c>
      <c r="B473">
        <f>IF($A473=1,SUM($A$2:$A473),"")</f>
        <v/>
      </c>
      <c r="C473">
        <f>IF($A473=1,SUM($A$2:$A473),0)</f>
        <v/>
      </c>
    </row>
    <row r="474">
      <c r="A474">
        <f>IF(AND(OR(Query!$B$4="All",'Compliance Database'!$A474=Query!$B$4),OR(Query!$B$5="All",ISNUMBER(SEARCH(Query!$B$5,'Compliance Database'!$H474))),OR(Query!$B$6="All",ISNUMBER(SEARCH(Query!$B$6,'Compliance Database'!$I474))),OR(Query!$B$7="All",'Compliance Database'!$F474=Query!$B$7),OR(Query!$B$8="All",'Compliance Database'!$J474=Query!$B$8),OR(Query!$B$9="",ISNUMBER(SEARCH(Query!$B$9,'Compliance Database'!$D474&amp;" "&amp;'Compliance Database'!$K474&amp;" "&amp;'Compliance Database'!$L474&amp;" "&amp;'Compliance Database'!$M474&amp;" "&amp;'Compliance Database'!$N474)))),1,0)</f>
        <v/>
      </c>
      <c r="B474">
        <f>IF($A474=1,SUM($A$2:$A474),"")</f>
        <v/>
      </c>
      <c r="C474">
        <f>IF($A474=1,SUM($A$2:$A474),0)</f>
        <v/>
      </c>
    </row>
    <row r="475">
      <c r="A475">
        <f>IF(AND(OR(Query!$B$4="All",'Compliance Database'!$A475=Query!$B$4),OR(Query!$B$5="All",ISNUMBER(SEARCH(Query!$B$5,'Compliance Database'!$H475))),OR(Query!$B$6="All",ISNUMBER(SEARCH(Query!$B$6,'Compliance Database'!$I475))),OR(Query!$B$7="All",'Compliance Database'!$F475=Query!$B$7),OR(Query!$B$8="All",'Compliance Database'!$J475=Query!$B$8),OR(Query!$B$9="",ISNUMBER(SEARCH(Query!$B$9,'Compliance Database'!$D475&amp;" "&amp;'Compliance Database'!$K475&amp;" "&amp;'Compliance Database'!$L475&amp;" "&amp;'Compliance Database'!$M475&amp;" "&amp;'Compliance Database'!$N475)))),1,0)</f>
        <v/>
      </c>
      <c r="B475">
        <f>IF($A475=1,SUM($A$2:$A475),"")</f>
        <v/>
      </c>
      <c r="C475">
        <f>IF($A475=1,SUM($A$2:$A475),0)</f>
        <v/>
      </c>
    </row>
    <row r="476">
      <c r="A476">
        <f>IF(AND(OR(Query!$B$4="All",'Compliance Database'!$A476=Query!$B$4),OR(Query!$B$5="All",ISNUMBER(SEARCH(Query!$B$5,'Compliance Database'!$H476))),OR(Query!$B$6="All",ISNUMBER(SEARCH(Query!$B$6,'Compliance Database'!$I476))),OR(Query!$B$7="All",'Compliance Database'!$F476=Query!$B$7),OR(Query!$B$8="All",'Compliance Database'!$J476=Query!$B$8),OR(Query!$B$9="",ISNUMBER(SEARCH(Query!$B$9,'Compliance Database'!$D476&amp;" "&amp;'Compliance Database'!$K476&amp;" "&amp;'Compliance Database'!$L476&amp;" "&amp;'Compliance Database'!$M476&amp;" "&amp;'Compliance Database'!$N476)))),1,0)</f>
        <v/>
      </c>
      <c r="B476">
        <f>IF($A476=1,SUM($A$2:$A476),"")</f>
        <v/>
      </c>
      <c r="C476">
        <f>IF($A476=1,SUM($A$2:$A476),0)</f>
        <v/>
      </c>
    </row>
    <row r="477">
      <c r="A477">
        <f>IF(AND(OR(Query!$B$4="All",'Compliance Database'!$A477=Query!$B$4),OR(Query!$B$5="All",ISNUMBER(SEARCH(Query!$B$5,'Compliance Database'!$H477))),OR(Query!$B$6="All",ISNUMBER(SEARCH(Query!$B$6,'Compliance Database'!$I477))),OR(Query!$B$7="All",'Compliance Database'!$F477=Query!$B$7),OR(Query!$B$8="All",'Compliance Database'!$J477=Query!$B$8),OR(Query!$B$9="",ISNUMBER(SEARCH(Query!$B$9,'Compliance Database'!$D477&amp;" "&amp;'Compliance Database'!$K477&amp;" "&amp;'Compliance Database'!$L477&amp;" "&amp;'Compliance Database'!$M477&amp;" "&amp;'Compliance Database'!$N477)))),1,0)</f>
        <v/>
      </c>
      <c r="B477">
        <f>IF($A477=1,SUM($A$2:$A477),"")</f>
        <v/>
      </c>
      <c r="C477">
        <f>IF($A477=1,SUM($A$2:$A477),0)</f>
        <v/>
      </c>
    </row>
    <row r="478">
      <c r="A478">
        <f>IF(AND(OR(Query!$B$4="All",'Compliance Database'!$A478=Query!$B$4),OR(Query!$B$5="All",ISNUMBER(SEARCH(Query!$B$5,'Compliance Database'!$H478))),OR(Query!$B$6="All",ISNUMBER(SEARCH(Query!$B$6,'Compliance Database'!$I478))),OR(Query!$B$7="All",'Compliance Database'!$F478=Query!$B$7),OR(Query!$B$8="All",'Compliance Database'!$J478=Query!$B$8),OR(Query!$B$9="",ISNUMBER(SEARCH(Query!$B$9,'Compliance Database'!$D478&amp;" "&amp;'Compliance Database'!$K478&amp;" "&amp;'Compliance Database'!$L478&amp;" "&amp;'Compliance Database'!$M478&amp;" "&amp;'Compliance Database'!$N478)))),1,0)</f>
        <v/>
      </c>
      <c r="B478">
        <f>IF($A478=1,SUM($A$2:$A478),"")</f>
        <v/>
      </c>
      <c r="C478">
        <f>IF($A478=1,SUM($A$2:$A478),0)</f>
        <v/>
      </c>
    </row>
    <row r="479">
      <c r="A479">
        <f>IF(AND(OR(Query!$B$4="All",'Compliance Database'!$A479=Query!$B$4),OR(Query!$B$5="All",ISNUMBER(SEARCH(Query!$B$5,'Compliance Database'!$H479))),OR(Query!$B$6="All",ISNUMBER(SEARCH(Query!$B$6,'Compliance Database'!$I479))),OR(Query!$B$7="All",'Compliance Database'!$F479=Query!$B$7),OR(Query!$B$8="All",'Compliance Database'!$J479=Query!$B$8),OR(Query!$B$9="",ISNUMBER(SEARCH(Query!$B$9,'Compliance Database'!$D479&amp;" "&amp;'Compliance Database'!$K479&amp;" "&amp;'Compliance Database'!$L479&amp;" "&amp;'Compliance Database'!$M479&amp;" "&amp;'Compliance Database'!$N479)))),1,0)</f>
        <v/>
      </c>
      <c r="B479">
        <f>IF($A479=1,SUM($A$2:$A479),"")</f>
        <v/>
      </c>
      <c r="C479">
        <f>IF($A479=1,SUM($A$2:$A479),0)</f>
        <v/>
      </c>
    </row>
    <row r="480">
      <c r="A480">
        <f>IF(AND(OR(Query!$B$4="All",'Compliance Database'!$A480=Query!$B$4),OR(Query!$B$5="All",ISNUMBER(SEARCH(Query!$B$5,'Compliance Database'!$H480))),OR(Query!$B$6="All",ISNUMBER(SEARCH(Query!$B$6,'Compliance Database'!$I480))),OR(Query!$B$7="All",'Compliance Database'!$F480=Query!$B$7),OR(Query!$B$8="All",'Compliance Database'!$J480=Query!$B$8),OR(Query!$B$9="",ISNUMBER(SEARCH(Query!$B$9,'Compliance Database'!$D480&amp;" "&amp;'Compliance Database'!$K480&amp;" "&amp;'Compliance Database'!$L480&amp;" "&amp;'Compliance Database'!$M480&amp;" "&amp;'Compliance Database'!$N480)))),1,0)</f>
        <v/>
      </c>
      <c r="B480">
        <f>IF($A480=1,SUM($A$2:$A480),"")</f>
        <v/>
      </c>
      <c r="C480">
        <f>IF($A480=1,SUM($A$2:$A480),0)</f>
        <v/>
      </c>
    </row>
    <row r="481">
      <c r="A481">
        <f>IF(AND(OR(Query!$B$4="All",'Compliance Database'!$A481=Query!$B$4),OR(Query!$B$5="All",ISNUMBER(SEARCH(Query!$B$5,'Compliance Database'!$H481))),OR(Query!$B$6="All",ISNUMBER(SEARCH(Query!$B$6,'Compliance Database'!$I481))),OR(Query!$B$7="All",'Compliance Database'!$F481=Query!$B$7),OR(Query!$B$8="All",'Compliance Database'!$J481=Query!$B$8),OR(Query!$B$9="",ISNUMBER(SEARCH(Query!$B$9,'Compliance Database'!$D481&amp;" "&amp;'Compliance Database'!$K481&amp;" "&amp;'Compliance Database'!$L481&amp;" "&amp;'Compliance Database'!$M481&amp;" "&amp;'Compliance Database'!$N481)))),1,0)</f>
        <v/>
      </c>
      <c r="B481">
        <f>IF($A481=1,SUM($A$2:$A481),"")</f>
        <v/>
      </c>
      <c r="C481">
        <f>IF($A481=1,SUM($A$2:$A481),0)</f>
        <v/>
      </c>
    </row>
    <row r="482">
      <c r="A482">
        <f>IF(AND(OR(Query!$B$4="All",'Compliance Database'!$A482=Query!$B$4),OR(Query!$B$5="All",ISNUMBER(SEARCH(Query!$B$5,'Compliance Database'!$H482))),OR(Query!$B$6="All",ISNUMBER(SEARCH(Query!$B$6,'Compliance Database'!$I482))),OR(Query!$B$7="All",'Compliance Database'!$F482=Query!$B$7),OR(Query!$B$8="All",'Compliance Database'!$J482=Query!$B$8),OR(Query!$B$9="",ISNUMBER(SEARCH(Query!$B$9,'Compliance Database'!$D482&amp;" "&amp;'Compliance Database'!$K482&amp;" "&amp;'Compliance Database'!$L482&amp;" "&amp;'Compliance Database'!$M482&amp;" "&amp;'Compliance Database'!$N482)))),1,0)</f>
        <v/>
      </c>
      <c r="B482">
        <f>IF($A482=1,SUM($A$2:$A482),"")</f>
        <v/>
      </c>
      <c r="C482">
        <f>IF($A482=1,SUM($A$2:$A482),0)</f>
        <v/>
      </c>
    </row>
    <row r="483">
      <c r="A483">
        <f>IF(AND(OR(Query!$B$4="All",'Compliance Database'!$A483=Query!$B$4),OR(Query!$B$5="All",ISNUMBER(SEARCH(Query!$B$5,'Compliance Database'!$H483))),OR(Query!$B$6="All",ISNUMBER(SEARCH(Query!$B$6,'Compliance Database'!$I483))),OR(Query!$B$7="All",'Compliance Database'!$F483=Query!$B$7),OR(Query!$B$8="All",'Compliance Database'!$J483=Query!$B$8),OR(Query!$B$9="",ISNUMBER(SEARCH(Query!$B$9,'Compliance Database'!$D483&amp;" "&amp;'Compliance Database'!$K483&amp;" "&amp;'Compliance Database'!$L483&amp;" "&amp;'Compliance Database'!$M483&amp;" "&amp;'Compliance Database'!$N483)))),1,0)</f>
        <v/>
      </c>
      <c r="B483">
        <f>IF($A483=1,SUM($A$2:$A483),"")</f>
        <v/>
      </c>
      <c r="C483">
        <f>IF($A483=1,SUM($A$2:$A483),0)</f>
        <v/>
      </c>
    </row>
    <row r="484">
      <c r="A484">
        <f>IF(AND(OR(Query!$B$4="All",'Compliance Database'!$A484=Query!$B$4),OR(Query!$B$5="All",ISNUMBER(SEARCH(Query!$B$5,'Compliance Database'!$H484))),OR(Query!$B$6="All",ISNUMBER(SEARCH(Query!$B$6,'Compliance Database'!$I484))),OR(Query!$B$7="All",'Compliance Database'!$F484=Query!$B$7),OR(Query!$B$8="All",'Compliance Database'!$J484=Query!$B$8),OR(Query!$B$9="",ISNUMBER(SEARCH(Query!$B$9,'Compliance Database'!$D484&amp;" "&amp;'Compliance Database'!$K484&amp;" "&amp;'Compliance Database'!$L484&amp;" "&amp;'Compliance Database'!$M484&amp;" "&amp;'Compliance Database'!$N484)))),1,0)</f>
        <v/>
      </c>
      <c r="B484">
        <f>IF($A484=1,SUM($A$2:$A484),"")</f>
        <v/>
      </c>
      <c r="C484">
        <f>IF($A484=1,SUM($A$2:$A484),0)</f>
        <v/>
      </c>
    </row>
    <row r="485">
      <c r="A485">
        <f>IF(AND(OR(Query!$B$4="All",'Compliance Database'!$A485=Query!$B$4),OR(Query!$B$5="All",ISNUMBER(SEARCH(Query!$B$5,'Compliance Database'!$H485))),OR(Query!$B$6="All",ISNUMBER(SEARCH(Query!$B$6,'Compliance Database'!$I485))),OR(Query!$B$7="All",'Compliance Database'!$F485=Query!$B$7),OR(Query!$B$8="All",'Compliance Database'!$J485=Query!$B$8),OR(Query!$B$9="",ISNUMBER(SEARCH(Query!$B$9,'Compliance Database'!$D485&amp;" "&amp;'Compliance Database'!$K485&amp;" "&amp;'Compliance Database'!$L485&amp;" "&amp;'Compliance Database'!$M485&amp;" "&amp;'Compliance Database'!$N485)))),1,0)</f>
        <v/>
      </c>
      <c r="B485">
        <f>IF($A485=1,SUM($A$2:$A485),"")</f>
        <v/>
      </c>
      <c r="C485">
        <f>IF($A485=1,SUM($A$2:$A485),0)</f>
        <v/>
      </c>
    </row>
    <row r="486">
      <c r="A486">
        <f>IF(AND(OR(Query!$B$4="All",'Compliance Database'!$A486=Query!$B$4),OR(Query!$B$5="All",ISNUMBER(SEARCH(Query!$B$5,'Compliance Database'!$H486))),OR(Query!$B$6="All",ISNUMBER(SEARCH(Query!$B$6,'Compliance Database'!$I486))),OR(Query!$B$7="All",'Compliance Database'!$F486=Query!$B$7),OR(Query!$B$8="All",'Compliance Database'!$J486=Query!$B$8),OR(Query!$B$9="",ISNUMBER(SEARCH(Query!$B$9,'Compliance Database'!$D486&amp;" "&amp;'Compliance Database'!$K486&amp;" "&amp;'Compliance Database'!$L486&amp;" "&amp;'Compliance Database'!$M486&amp;" "&amp;'Compliance Database'!$N486)))),1,0)</f>
        <v/>
      </c>
      <c r="B486">
        <f>IF($A486=1,SUM($A$2:$A486),"")</f>
        <v/>
      </c>
      <c r="C486">
        <f>IF($A486=1,SUM($A$2:$A486),0)</f>
        <v/>
      </c>
    </row>
    <row r="487">
      <c r="A487">
        <f>IF(AND(OR(Query!$B$4="All",'Compliance Database'!$A487=Query!$B$4),OR(Query!$B$5="All",ISNUMBER(SEARCH(Query!$B$5,'Compliance Database'!$H487))),OR(Query!$B$6="All",ISNUMBER(SEARCH(Query!$B$6,'Compliance Database'!$I487))),OR(Query!$B$7="All",'Compliance Database'!$F487=Query!$B$7),OR(Query!$B$8="All",'Compliance Database'!$J487=Query!$B$8),OR(Query!$B$9="",ISNUMBER(SEARCH(Query!$B$9,'Compliance Database'!$D487&amp;" "&amp;'Compliance Database'!$K487&amp;" "&amp;'Compliance Database'!$L487&amp;" "&amp;'Compliance Database'!$M487&amp;" "&amp;'Compliance Database'!$N487)))),1,0)</f>
        <v/>
      </c>
      <c r="B487">
        <f>IF($A487=1,SUM($A$2:$A487),"")</f>
        <v/>
      </c>
      <c r="C487">
        <f>IF($A487=1,SUM($A$2:$A487),0)</f>
        <v/>
      </c>
    </row>
    <row r="488">
      <c r="A488">
        <f>IF(AND(OR(Query!$B$4="All",'Compliance Database'!$A488=Query!$B$4),OR(Query!$B$5="All",ISNUMBER(SEARCH(Query!$B$5,'Compliance Database'!$H488))),OR(Query!$B$6="All",ISNUMBER(SEARCH(Query!$B$6,'Compliance Database'!$I488))),OR(Query!$B$7="All",'Compliance Database'!$F488=Query!$B$7),OR(Query!$B$8="All",'Compliance Database'!$J488=Query!$B$8),OR(Query!$B$9="",ISNUMBER(SEARCH(Query!$B$9,'Compliance Database'!$D488&amp;" "&amp;'Compliance Database'!$K488&amp;" "&amp;'Compliance Database'!$L488&amp;" "&amp;'Compliance Database'!$M488&amp;" "&amp;'Compliance Database'!$N488)))),1,0)</f>
        <v/>
      </c>
      <c r="B488">
        <f>IF($A488=1,SUM($A$2:$A488),"")</f>
        <v/>
      </c>
      <c r="C488">
        <f>IF($A488=1,SUM($A$2:$A488),0)</f>
        <v/>
      </c>
    </row>
    <row r="489">
      <c r="A489">
        <f>IF(AND(OR(Query!$B$4="All",'Compliance Database'!$A489=Query!$B$4),OR(Query!$B$5="All",ISNUMBER(SEARCH(Query!$B$5,'Compliance Database'!$H489))),OR(Query!$B$6="All",ISNUMBER(SEARCH(Query!$B$6,'Compliance Database'!$I489))),OR(Query!$B$7="All",'Compliance Database'!$F489=Query!$B$7),OR(Query!$B$8="All",'Compliance Database'!$J489=Query!$B$8),OR(Query!$B$9="",ISNUMBER(SEARCH(Query!$B$9,'Compliance Database'!$D489&amp;" "&amp;'Compliance Database'!$K489&amp;" "&amp;'Compliance Database'!$L489&amp;" "&amp;'Compliance Database'!$M489&amp;" "&amp;'Compliance Database'!$N489)))),1,0)</f>
        <v/>
      </c>
      <c r="B489">
        <f>IF($A489=1,SUM($A$2:$A489),"")</f>
        <v/>
      </c>
      <c r="C489">
        <f>IF($A489=1,SUM($A$2:$A489),0)</f>
        <v/>
      </c>
    </row>
    <row r="490">
      <c r="A490">
        <f>IF(AND(OR(Query!$B$4="All",'Compliance Database'!$A490=Query!$B$4),OR(Query!$B$5="All",ISNUMBER(SEARCH(Query!$B$5,'Compliance Database'!$H490))),OR(Query!$B$6="All",ISNUMBER(SEARCH(Query!$B$6,'Compliance Database'!$I490))),OR(Query!$B$7="All",'Compliance Database'!$F490=Query!$B$7),OR(Query!$B$8="All",'Compliance Database'!$J490=Query!$B$8),OR(Query!$B$9="",ISNUMBER(SEARCH(Query!$B$9,'Compliance Database'!$D490&amp;" "&amp;'Compliance Database'!$K490&amp;" "&amp;'Compliance Database'!$L490&amp;" "&amp;'Compliance Database'!$M490&amp;" "&amp;'Compliance Database'!$N490)))),1,0)</f>
        <v/>
      </c>
      <c r="B490">
        <f>IF($A490=1,SUM($A$2:$A490),"")</f>
        <v/>
      </c>
      <c r="C490">
        <f>IF($A490=1,SUM($A$2:$A490),0)</f>
        <v/>
      </c>
    </row>
    <row r="491">
      <c r="A491">
        <f>IF(AND(OR(Query!$B$4="All",'Compliance Database'!$A491=Query!$B$4),OR(Query!$B$5="All",ISNUMBER(SEARCH(Query!$B$5,'Compliance Database'!$H491))),OR(Query!$B$6="All",ISNUMBER(SEARCH(Query!$B$6,'Compliance Database'!$I491))),OR(Query!$B$7="All",'Compliance Database'!$F491=Query!$B$7),OR(Query!$B$8="All",'Compliance Database'!$J491=Query!$B$8),OR(Query!$B$9="",ISNUMBER(SEARCH(Query!$B$9,'Compliance Database'!$D491&amp;" "&amp;'Compliance Database'!$K491&amp;" "&amp;'Compliance Database'!$L491&amp;" "&amp;'Compliance Database'!$M491&amp;" "&amp;'Compliance Database'!$N491)))),1,0)</f>
        <v/>
      </c>
      <c r="B491">
        <f>IF($A491=1,SUM($A$2:$A491),"")</f>
        <v/>
      </c>
      <c r="C491">
        <f>IF($A491=1,SUM($A$2:$A491),0)</f>
        <v/>
      </c>
    </row>
    <row r="492">
      <c r="A492">
        <f>IF(AND(OR(Query!$B$4="All",'Compliance Database'!$A492=Query!$B$4),OR(Query!$B$5="All",ISNUMBER(SEARCH(Query!$B$5,'Compliance Database'!$H492))),OR(Query!$B$6="All",ISNUMBER(SEARCH(Query!$B$6,'Compliance Database'!$I492))),OR(Query!$B$7="All",'Compliance Database'!$F492=Query!$B$7),OR(Query!$B$8="All",'Compliance Database'!$J492=Query!$B$8),OR(Query!$B$9="",ISNUMBER(SEARCH(Query!$B$9,'Compliance Database'!$D492&amp;" "&amp;'Compliance Database'!$K492&amp;" "&amp;'Compliance Database'!$L492&amp;" "&amp;'Compliance Database'!$M492&amp;" "&amp;'Compliance Database'!$N492)))),1,0)</f>
        <v/>
      </c>
      <c r="B492">
        <f>IF($A492=1,SUM($A$2:$A492),"")</f>
        <v/>
      </c>
      <c r="C492">
        <f>IF($A492=1,SUM($A$2:$A492),0)</f>
        <v/>
      </c>
    </row>
    <row r="493">
      <c r="A493">
        <f>IF(AND(OR(Query!$B$4="All",'Compliance Database'!$A493=Query!$B$4),OR(Query!$B$5="All",ISNUMBER(SEARCH(Query!$B$5,'Compliance Database'!$H493))),OR(Query!$B$6="All",ISNUMBER(SEARCH(Query!$B$6,'Compliance Database'!$I493))),OR(Query!$B$7="All",'Compliance Database'!$F493=Query!$B$7),OR(Query!$B$8="All",'Compliance Database'!$J493=Query!$B$8),OR(Query!$B$9="",ISNUMBER(SEARCH(Query!$B$9,'Compliance Database'!$D493&amp;" "&amp;'Compliance Database'!$K493&amp;" "&amp;'Compliance Database'!$L493&amp;" "&amp;'Compliance Database'!$M493&amp;" "&amp;'Compliance Database'!$N493)))),1,0)</f>
        <v/>
      </c>
      <c r="B493">
        <f>IF($A493=1,SUM($A$2:$A493),"")</f>
        <v/>
      </c>
      <c r="C493">
        <f>IF($A493=1,SUM($A$2:$A493),0)</f>
        <v/>
      </c>
    </row>
    <row r="494">
      <c r="A494">
        <f>IF(AND(OR(Query!$B$4="All",'Compliance Database'!$A494=Query!$B$4),OR(Query!$B$5="All",ISNUMBER(SEARCH(Query!$B$5,'Compliance Database'!$H494))),OR(Query!$B$6="All",ISNUMBER(SEARCH(Query!$B$6,'Compliance Database'!$I494))),OR(Query!$B$7="All",'Compliance Database'!$F494=Query!$B$7),OR(Query!$B$8="All",'Compliance Database'!$J494=Query!$B$8),OR(Query!$B$9="",ISNUMBER(SEARCH(Query!$B$9,'Compliance Database'!$D494&amp;" "&amp;'Compliance Database'!$K494&amp;" "&amp;'Compliance Database'!$L494&amp;" "&amp;'Compliance Database'!$M494&amp;" "&amp;'Compliance Database'!$N494)))),1,0)</f>
        <v/>
      </c>
      <c r="B494">
        <f>IF($A494=1,SUM($A$2:$A494),"")</f>
        <v/>
      </c>
      <c r="C494">
        <f>IF($A494=1,SUM($A$2:$A494),0)</f>
        <v/>
      </c>
    </row>
    <row r="495">
      <c r="A495">
        <f>IF(AND(OR(Query!$B$4="All",'Compliance Database'!$A495=Query!$B$4),OR(Query!$B$5="All",ISNUMBER(SEARCH(Query!$B$5,'Compliance Database'!$H495))),OR(Query!$B$6="All",ISNUMBER(SEARCH(Query!$B$6,'Compliance Database'!$I495))),OR(Query!$B$7="All",'Compliance Database'!$F495=Query!$B$7),OR(Query!$B$8="All",'Compliance Database'!$J495=Query!$B$8),OR(Query!$B$9="",ISNUMBER(SEARCH(Query!$B$9,'Compliance Database'!$D495&amp;" "&amp;'Compliance Database'!$K495&amp;" "&amp;'Compliance Database'!$L495&amp;" "&amp;'Compliance Database'!$M495&amp;" "&amp;'Compliance Database'!$N495)))),1,0)</f>
        <v/>
      </c>
      <c r="B495">
        <f>IF($A495=1,SUM($A$2:$A495),"")</f>
        <v/>
      </c>
      <c r="C495">
        <f>IF($A495=1,SUM($A$2:$A495),0)</f>
        <v/>
      </c>
    </row>
    <row r="496">
      <c r="A496">
        <f>IF(AND(OR(Query!$B$4="All",'Compliance Database'!$A496=Query!$B$4),OR(Query!$B$5="All",ISNUMBER(SEARCH(Query!$B$5,'Compliance Database'!$H496))),OR(Query!$B$6="All",ISNUMBER(SEARCH(Query!$B$6,'Compliance Database'!$I496))),OR(Query!$B$7="All",'Compliance Database'!$F496=Query!$B$7),OR(Query!$B$8="All",'Compliance Database'!$J496=Query!$B$8),OR(Query!$B$9="",ISNUMBER(SEARCH(Query!$B$9,'Compliance Database'!$D496&amp;" "&amp;'Compliance Database'!$K496&amp;" "&amp;'Compliance Database'!$L496&amp;" "&amp;'Compliance Database'!$M496&amp;" "&amp;'Compliance Database'!$N496)))),1,0)</f>
        <v/>
      </c>
      <c r="B496">
        <f>IF($A496=1,SUM($A$2:$A496),"")</f>
        <v/>
      </c>
      <c r="C496">
        <f>IF($A496=1,SUM($A$2:$A496),0)</f>
        <v/>
      </c>
    </row>
    <row r="497">
      <c r="A497">
        <f>IF(AND(OR(Query!$B$4="All",'Compliance Database'!$A497=Query!$B$4),OR(Query!$B$5="All",ISNUMBER(SEARCH(Query!$B$5,'Compliance Database'!$H497))),OR(Query!$B$6="All",ISNUMBER(SEARCH(Query!$B$6,'Compliance Database'!$I497))),OR(Query!$B$7="All",'Compliance Database'!$F497=Query!$B$7),OR(Query!$B$8="All",'Compliance Database'!$J497=Query!$B$8),OR(Query!$B$9="",ISNUMBER(SEARCH(Query!$B$9,'Compliance Database'!$D497&amp;" "&amp;'Compliance Database'!$K497&amp;" "&amp;'Compliance Database'!$L497&amp;" "&amp;'Compliance Database'!$M497&amp;" "&amp;'Compliance Database'!$N497)))),1,0)</f>
        <v/>
      </c>
      <c r="B497">
        <f>IF($A497=1,SUM($A$2:$A497),"")</f>
        <v/>
      </c>
      <c r="C497">
        <f>IF($A497=1,SUM($A$2:$A497),0)</f>
        <v/>
      </c>
    </row>
    <row r="498">
      <c r="A498">
        <f>IF(AND(OR(Query!$B$4="All",'Compliance Database'!$A498=Query!$B$4),OR(Query!$B$5="All",ISNUMBER(SEARCH(Query!$B$5,'Compliance Database'!$H498))),OR(Query!$B$6="All",ISNUMBER(SEARCH(Query!$B$6,'Compliance Database'!$I498))),OR(Query!$B$7="All",'Compliance Database'!$F498=Query!$B$7),OR(Query!$B$8="All",'Compliance Database'!$J498=Query!$B$8),OR(Query!$B$9="",ISNUMBER(SEARCH(Query!$B$9,'Compliance Database'!$D498&amp;" "&amp;'Compliance Database'!$K498&amp;" "&amp;'Compliance Database'!$L498&amp;" "&amp;'Compliance Database'!$M498&amp;" "&amp;'Compliance Database'!$N498)))),1,0)</f>
        <v/>
      </c>
      <c r="B498">
        <f>IF($A498=1,SUM($A$2:$A498),"")</f>
        <v/>
      </c>
      <c r="C498">
        <f>IF($A498=1,SUM($A$2:$A498),0)</f>
        <v/>
      </c>
    </row>
    <row r="499">
      <c r="A499">
        <f>IF(AND(OR(Query!$B$4="All",'Compliance Database'!$A499=Query!$B$4),OR(Query!$B$5="All",ISNUMBER(SEARCH(Query!$B$5,'Compliance Database'!$H499))),OR(Query!$B$6="All",ISNUMBER(SEARCH(Query!$B$6,'Compliance Database'!$I499))),OR(Query!$B$7="All",'Compliance Database'!$F499=Query!$B$7),OR(Query!$B$8="All",'Compliance Database'!$J499=Query!$B$8),OR(Query!$B$9="",ISNUMBER(SEARCH(Query!$B$9,'Compliance Database'!$D499&amp;" "&amp;'Compliance Database'!$K499&amp;" "&amp;'Compliance Database'!$L499&amp;" "&amp;'Compliance Database'!$M499&amp;" "&amp;'Compliance Database'!$N499)))),1,0)</f>
        <v/>
      </c>
      <c r="B499">
        <f>IF($A499=1,SUM($A$2:$A499),"")</f>
        <v/>
      </c>
      <c r="C499">
        <f>IF($A499=1,SUM($A$2:$A499),0)</f>
        <v/>
      </c>
    </row>
    <row r="500">
      <c r="A500">
        <f>IF(AND(OR(Query!$B$4="All",'Compliance Database'!$A500=Query!$B$4),OR(Query!$B$5="All",ISNUMBER(SEARCH(Query!$B$5,'Compliance Database'!$H500))),OR(Query!$B$6="All",ISNUMBER(SEARCH(Query!$B$6,'Compliance Database'!$I500))),OR(Query!$B$7="All",'Compliance Database'!$F500=Query!$B$7),OR(Query!$B$8="All",'Compliance Database'!$J500=Query!$B$8),OR(Query!$B$9="",ISNUMBER(SEARCH(Query!$B$9,'Compliance Database'!$D500&amp;" "&amp;'Compliance Database'!$K500&amp;" "&amp;'Compliance Database'!$L500&amp;" "&amp;'Compliance Database'!$M500&amp;" "&amp;'Compliance Database'!$N500)))),1,0)</f>
        <v/>
      </c>
      <c r="B500">
        <f>IF($A500=1,SUM($A$2:$A500),"")</f>
        <v/>
      </c>
      <c r="C500">
        <f>IF($A500=1,SUM($A$2:$A500),0)</f>
        <v/>
      </c>
    </row>
    <row r="501">
      <c r="A501">
        <f>IF(AND(OR(Query!$B$4="All",'Compliance Database'!$A501=Query!$B$4),OR(Query!$B$5="All",ISNUMBER(SEARCH(Query!$B$5,'Compliance Database'!$H501))),OR(Query!$B$6="All",ISNUMBER(SEARCH(Query!$B$6,'Compliance Database'!$I501))),OR(Query!$B$7="All",'Compliance Database'!$F501=Query!$B$7),OR(Query!$B$8="All",'Compliance Database'!$J501=Query!$B$8),OR(Query!$B$9="",ISNUMBER(SEARCH(Query!$B$9,'Compliance Database'!$D501&amp;" "&amp;'Compliance Database'!$K501&amp;" "&amp;'Compliance Database'!$L501&amp;" "&amp;'Compliance Database'!$M501&amp;" "&amp;'Compliance Database'!$N501)))),1,0)</f>
        <v/>
      </c>
      <c r="B501">
        <f>IF($A501=1,SUM($A$2:$A501),"")</f>
        <v/>
      </c>
      <c r="C501">
        <f>IF($A501=1,SUM($A$2:$A501),0)</f>
        <v/>
      </c>
    </row>
    <row r="502">
      <c r="A502">
        <f>IF(AND(OR(Query!$B$4="All",'Compliance Database'!$A502=Query!$B$4),OR(Query!$B$5="All",ISNUMBER(SEARCH(Query!$B$5,'Compliance Database'!$H502))),OR(Query!$B$6="All",ISNUMBER(SEARCH(Query!$B$6,'Compliance Database'!$I502))),OR(Query!$B$7="All",'Compliance Database'!$F502=Query!$B$7),OR(Query!$B$8="All",'Compliance Database'!$J502=Query!$B$8),OR(Query!$B$9="",ISNUMBER(SEARCH(Query!$B$9,'Compliance Database'!$D502&amp;" "&amp;'Compliance Database'!$K502&amp;" "&amp;'Compliance Database'!$L502&amp;" "&amp;'Compliance Database'!$M502&amp;" "&amp;'Compliance Database'!$N502)))),1,0)</f>
        <v/>
      </c>
      <c r="B502">
        <f>IF($A502=1,SUM($A$2:$A502),"")</f>
        <v/>
      </c>
      <c r="C502">
        <f>IF($A502=1,SUM($A$2:$A502),0)</f>
        <v/>
      </c>
    </row>
    <row r="503">
      <c r="A503">
        <f>IF(AND(OR(Query!$B$4="All",'Compliance Database'!$A503=Query!$B$4),OR(Query!$B$5="All",ISNUMBER(SEARCH(Query!$B$5,'Compliance Database'!$H503))),OR(Query!$B$6="All",ISNUMBER(SEARCH(Query!$B$6,'Compliance Database'!$I503))),OR(Query!$B$7="All",'Compliance Database'!$F503=Query!$B$7),OR(Query!$B$8="All",'Compliance Database'!$J503=Query!$B$8),OR(Query!$B$9="",ISNUMBER(SEARCH(Query!$B$9,'Compliance Database'!$D503&amp;" "&amp;'Compliance Database'!$K503&amp;" "&amp;'Compliance Database'!$L503&amp;" "&amp;'Compliance Database'!$M503&amp;" "&amp;'Compliance Database'!$N503)))),1,0)</f>
        <v/>
      </c>
      <c r="B503">
        <f>IF($A503=1,SUM($A$2:$A503),"")</f>
        <v/>
      </c>
      <c r="C503">
        <f>IF($A503=1,SUM($A$2:$A503),0)</f>
        <v/>
      </c>
    </row>
    <row r="504">
      <c r="A504">
        <f>IF(AND(OR(Query!$B$4="All",'Compliance Database'!$A504=Query!$B$4),OR(Query!$B$5="All",ISNUMBER(SEARCH(Query!$B$5,'Compliance Database'!$H504))),OR(Query!$B$6="All",ISNUMBER(SEARCH(Query!$B$6,'Compliance Database'!$I504))),OR(Query!$B$7="All",'Compliance Database'!$F504=Query!$B$7),OR(Query!$B$8="All",'Compliance Database'!$J504=Query!$B$8),OR(Query!$B$9="",ISNUMBER(SEARCH(Query!$B$9,'Compliance Database'!$D504&amp;" "&amp;'Compliance Database'!$K504&amp;" "&amp;'Compliance Database'!$L504&amp;" "&amp;'Compliance Database'!$M504&amp;" "&amp;'Compliance Database'!$N504)))),1,0)</f>
        <v/>
      </c>
      <c r="B504">
        <f>IF($A504=1,SUM($A$2:$A504),"")</f>
        <v/>
      </c>
      <c r="C504">
        <f>IF($A504=1,SUM($A$2:$A504),0)</f>
        <v/>
      </c>
    </row>
    <row r="505">
      <c r="A505">
        <f>IF(AND(OR(Query!$B$4="All",'Compliance Database'!$A505=Query!$B$4),OR(Query!$B$5="All",ISNUMBER(SEARCH(Query!$B$5,'Compliance Database'!$H505))),OR(Query!$B$6="All",ISNUMBER(SEARCH(Query!$B$6,'Compliance Database'!$I505))),OR(Query!$B$7="All",'Compliance Database'!$F505=Query!$B$7),OR(Query!$B$8="All",'Compliance Database'!$J505=Query!$B$8),OR(Query!$B$9="",ISNUMBER(SEARCH(Query!$B$9,'Compliance Database'!$D505&amp;" "&amp;'Compliance Database'!$K505&amp;" "&amp;'Compliance Database'!$L505&amp;" "&amp;'Compliance Database'!$M505&amp;" "&amp;'Compliance Database'!$N505)))),1,0)</f>
        <v/>
      </c>
      <c r="B505">
        <f>IF($A505=1,SUM($A$2:$A505),"")</f>
        <v/>
      </c>
      <c r="C505">
        <f>IF($A505=1,SUM($A$2:$A505),0)</f>
        <v/>
      </c>
    </row>
    <row r="506">
      <c r="A506">
        <f>IF(AND(OR(Query!$B$4="All",'Compliance Database'!$A506=Query!$B$4),OR(Query!$B$5="All",ISNUMBER(SEARCH(Query!$B$5,'Compliance Database'!$H506))),OR(Query!$B$6="All",ISNUMBER(SEARCH(Query!$B$6,'Compliance Database'!$I506))),OR(Query!$B$7="All",'Compliance Database'!$F506=Query!$B$7),OR(Query!$B$8="All",'Compliance Database'!$J506=Query!$B$8),OR(Query!$B$9="",ISNUMBER(SEARCH(Query!$B$9,'Compliance Database'!$D506&amp;" "&amp;'Compliance Database'!$K506&amp;" "&amp;'Compliance Database'!$L506&amp;" "&amp;'Compliance Database'!$M506&amp;" "&amp;'Compliance Database'!$N506)))),1,0)</f>
        <v/>
      </c>
      <c r="B506">
        <f>IF($A506=1,SUM($A$2:$A506),"")</f>
        <v/>
      </c>
      <c r="C506">
        <f>IF($A506=1,SUM($A$2:$A506),0)</f>
        <v/>
      </c>
    </row>
    <row r="507">
      <c r="A507">
        <f>IF(AND(OR(Query!$B$4="All",'Compliance Database'!$A507=Query!$B$4),OR(Query!$B$5="All",ISNUMBER(SEARCH(Query!$B$5,'Compliance Database'!$H507))),OR(Query!$B$6="All",ISNUMBER(SEARCH(Query!$B$6,'Compliance Database'!$I507))),OR(Query!$B$7="All",'Compliance Database'!$F507=Query!$B$7),OR(Query!$B$8="All",'Compliance Database'!$J507=Query!$B$8),OR(Query!$B$9="",ISNUMBER(SEARCH(Query!$B$9,'Compliance Database'!$D507&amp;" "&amp;'Compliance Database'!$K507&amp;" "&amp;'Compliance Database'!$L507&amp;" "&amp;'Compliance Database'!$M507&amp;" "&amp;'Compliance Database'!$N507)))),1,0)</f>
        <v/>
      </c>
      <c r="B507">
        <f>IF($A507=1,SUM($A$2:$A507),"")</f>
        <v/>
      </c>
      <c r="C507">
        <f>IF($A507=1,SUM($A$2:$A507),0)</f>
        <v/>
      </c>
    </row>
    <row r="508">
      <c r="A508">
        <f>IF(AND(OR(Query!$B$4="All",'Compliance Database'!$A508=Query!$B$4),OR(Query!$B$5="All",ISNUMBER(SEARCH(Query!$B$5,'Compliance Database'!$H508))),OR(Query!$B$6="All",ISNUMBER(SEARCH(Query!$B$6,'Compliance Database'!$I508))),OR(Query!$B$7="All",'Compliance Database'!$F508=Query!$B$7),OR(Query!$B$8="All",'Compliance Database'!$J508=Query!$B$8),OR(Query!$B$9="",ISNUMBER(SEARCH(Query!$B$9,'Compliance Database'!$D508&amp;" "&amp;'Compliance Database'!$K508&amp;" "&amp;'Compliance Database'!$L508&amp;" "&amp;'Compliance Database'!$M508&amp;" "&amp;'Compliance Database'!$N508)))),1,0)</f>
        <v/>
      </c>
      <c r="B508">
        <f>IF($A508=1,SUM($A$2:$A508),"")</f>
        <v/>
      </c>
      <c r="C508">
        <f>IF($A508=1,SUM($A$2:$A508),0)</f>
        <v/>
      </c>
    </row>
    <row r="509">
      <c r="A509">
        <f>IF(AND(OR(Query!$B$4="All",'Compliance Database'!$A509=Query!$B$4),OR(Query!$B$5="All",ISNUMBER(SEARCH(Query!$B$5,'Compliance Database'!$H509))),OR(Query!$B$6="All",ISNUMBER(SEARCH(Query!$B$6,'Compliance Database'!$I509))),OR(Query!$B$7="All",'Compliance Database'!$F509=Query!$B$7),OR(Query!$B$8="All",'Compliance Database'!$J509=Query!$B$8),OR(Query!$B$9="",ISNUMBER(SEARCH(Query!$B$9,'Compliance Database'!$D509&amp;" "&amp;'Compliance Database'!$K509&amp;" "&amp;'Compliance Database'!$L509&amp;" "&amp;'Compliance Database'!$M509&amp;" "&amp;'Compliance Database'!$N509)))),1,0)</f>
        <v/>
      </c>
      <c r="B509">
        <f>IF($A509=1,SUM($A$2:$A509),"")</f>
        <v/>
      </c>
      <c r="C509">
        <f>IF($A509=1,SUM($A$2:$A509),0)</f>
        <v/>
      </c>
    </row>
    <row r="510">
      <c r="A510">
        <f>IF(AND(OR(Query!$B$4="All",'Compliance Database'!$A510=Query!$B$4),OR(Query!$B$5="All",ISNUMBER(SEARCH(Query!$B$5,'Compliance Database'!$H510))),OR(Query!$B$6="All",ISNUMBER(SEARCH(Query!$B$6,'Compliance Database'!$I510))),OR(Query!$B$7="All",'Compliance Database'!$F510=Query!$B$7),OR(Query!$B$8="All",'Compliance Database'!$J510=Query!$B$8),OR(Query!$B$9="",ISNUMBER(SEARCH(Query!$B$9,'Compliance Database'!$D510&amp;" "&amp;'Compliance Database'!$K510&amp;" "&amp;'Compliance Database'!$L510&amp;" "&amp;'Compliance Database'!$M510&amp;" "&amp;'Compliance Database'!$N510)))),1,0)</f>
        <v/>
      </c>
      <c r="B510">
        <f>IF($A510=1,SUM($A$2:$A510),"")</f>
        <v/>
      </c>
      <c r="C510">
        <f>IF($A510=1,SUM($A$2:$A510),0)</f>
        <v/>
      </c>
    </row>
    <row r="511">
      <c r="A511">
        <f>IF(AND(OR(Query!$B$4="All",'Compliance Database'!$A511=Query!$B$4),OR(Query!$B$5="All",ISNUMBER(SEARCH(Query!$B$5,'Compliance Database'!$H511))),OR(Query!$B$6="All",ISNUMBER(SEARCH(Query!$B$6,'Compliance Database'!$I511))),OR(Query!$B$7="All",'Compliance Database'!$F511=Query!$B$7),OR(Query!$B$8="All",'Compliance Database'!$J511=Query!$B$8),OR(Query!$B$9="",ISNUMBER(SEARCH(Query!$B$9,'Compliance Database'!$D511&amp;" "&amp;'Compliance Database'!$K511&amp;" "&amp;'Compliance Database'!$L511&amp;" "&amp;'Compliance Database'!$M511&amp;" "&amp;'Compliance Database'!$N511)))),1,0)</f>
        <v/>
      </c>
      <c r="B511">
        <f>IF($A511=1,SUM($A$2:$A511),"")</f>
        <v/>
      </c>
      <c r="C511">
        <f>IF($A511=1,SUM($A$2:$A511),0)</f>
        <v/>
      </c>
    </row>
    <row r="512">
      <c r="A512">
        <f>IF(AND(OR(Query!$B$4="All",'Compliance Database'!$A512=Query!$B$4),OR(Query!$B$5="All",ISNUMBER(SEARCH(Query!$B$5,'Compliance Database'!$H512))),OR(Query!$B$6="All",ISNUMBER(SEARCH(Query!$B$6,'Compliance Database'!$I512))),OR(Query!$B$7="All",'Compliance Database'!$F512=Query!$B$7),OR(Query!$B$8="All",'Compliance Database'!$J512=Query!$B$8),OR(Query!$B$9="",ISNUMBER(SEARCH(Query!$B$9,'Compliance Database'!$D512&amp;" "&amp;'Compliance Database'!$K512&amp;" "&amp;'Compliance Database'!$L512&amp;" "&amp;'Compliance Database'!$M512&amp;" "&amp;'Compliance Database'!$N512)))),1,0)</f>
        <v/>
      </c>
      <c r="B512">
        <f>IF($A512=1,SUM($A$2:$A512),"")</f>
        <v/>
      </c>
      <c r="C512">
        <f>IF($A512=1,SUM($A$2:$A512),0)</f>
        <v/>
      </c>
    </row>
    <row r="513">
      <c r="A513">
        <f>IF(AND(OR(Query!$B$4="All",'Compliance Database'!$A513=Query!$B$4),OR(Query!$B$5="All",ISNUMBER(SEARCH(Query!$B$5,'Compliance Database'!$H513))),OR(Query!$B$6="All",ISNUMBER(SEARCH(Query!$B$6,'Compliance Database'!$I513))),OR(Query!$B$7="All",'Compliance Database'!$F513=Query!$B$7),OR(Query!$B$8="All",'Compliance Database'!$J513=Query!$B$8),OR(Query!$B$9="",ISNUMBER(SEARCH(Query!$B$9,'Compliance Database'!$D513&amp;" "&amp;'Compliance Database'!$K513&amp;" "&amp;'Compliance Database'!$L513&amp;" "&amp;'Compliance Database'!$M513&amp;" "&amp;'Compliance Database'!$N513)))),1,0)</f>
        <v/>
      </c>
      <c r="B513">
        <f>IF($A513=1,SUM($A$2:$A513),"")</f>
        <v/>
      </c>
      <c r="C513">
        <f>IF($A513=1,SUM($A$2:$A513),0)</f>
        <v/>
      </c>
    </row>
    <row r="514">
      <c r="A514">
        <f>IF(AND(OR(Query!$B$4="All",'Compliance Database'!$A514=Query!$B$4),OR(Query!$B$5="All",ISNUMBER(SEARCH(Query!$B$5,'Compliance Database'!$H514))),OR(Query!$B$6="All",ISNUMBER(SEARCH(Query!$B$6,'Compliance Database'!$I514))),OR(Query!$B$7="All",'Compliance Database'!$F514=Query!$B$7),OR(Query!$B$8="All",'Compliance Database'!$J514=Query!$B$8),OR(Query!$B$9="",ISNUMBER(SEARCH(Query!$B$9,'Compliance Database'!$D514&amp;" "&amp;'Compliance Database'!$K514&amp;" "&amp;'Compliance Database'!$L514&amp;" "&amp;'Compliance Database'!$M514&amp;" "&amp;'Compliance Database'!$N514)))),1,0)</f>
        <v/>
      </c>
      <c r="B514">
        <f>IF($A514=1,SUM($A$2:$A514),"")</f>
        <v/>
      </c>
      <c r="C514">
        <f>IF($A514=1,SUM($A$2:$A514),0)</f>
        <v/>
      </c>
    </row>
    <row r="515">
      <c r="A515">
        <f>IF(AND(OR(Query!$B$4="All",'Compliance Database'!$A515=Query!$B$4),OR(Query!$B$5="All",ISNUMBER(SEARCH(Query!$B$5,'Compliance Database'!$H515))),OR(Query!$B$6="All",ISNUMBER(SEARCH(Query!$B$6,'Compliance Database'!$I515))),OR(Query!$B$7="All",'Compliance Database'!$F515=Query!$B$7),OR(Query!$B$8="All",'Compliance Database'!$J515=Query!$B$8),OR(Query!$B$9="",ISNUMBER(SEARCH(Query!$B$9,'Compliance Database'!$D515&amp;" "&amp;'Compliance Database'!$K515&amp;" "&amp;'Compliance Database'!$L515&amp;" "&amp;'Compliance Database'!$M515&amp;" "&amp;'Compliance Database'!$N515)))),1,0)</f>
        <v/>
      </c>
      <c r="B515">
        <f>IF($A515=1,SUM($A$2:$A515),"")</f>
        <v/>
      </c>
      <c r="C515">
        <f>IF($A515=1,SUM($A$2:$A515),0)</f>
        <v/>
      </c>
    </row>
    <row r="516">
      <c r="A516">
        <f>IF(AND(OR(Query!$B$4="All",'Compliance Database'!$A516=Query!$B$4),OR(Query!$B$5="All",ISNUMBER(SEARCH(Query!$B$5,'Compliance Database'!$H516))),OR(Query!$B$6="All",ISNUMBER(SEARCH(Query!$B$6,'Compliance Database'!$I516))),OR(Query!$B$7="All",'Compliance Database'!$F516=Query!$B$7),OR(Query!$B$8="All",'Compliance Database'!$J516=Query!$B$8),OR(Query!$B$9="",ISNUMBER(SEARCH(Query!$B$9,'Compliance Database'!$D516&amp;" "&amp;'Compliance Database'!$K516&amp;" "&amp;'Compliance Database'!$L516&amp;" "&amp;'Compliance Database'!$M516&amp;" "&amp;'Compliance Database'!$N516)))),1,0)</f>
        <v/>
      </c>
      <c r="B516">
        <f>IF($A516=1,SUM($A$2:$A516),"")</f>
        <v/>
      </c>
      <c r="C516">
        <f>IF($A516=1,SUM($A$2:$A516),0)</f>
        <v/>
      </c>
    </row>
    <row r="517">
      <c r="A517">
        <f>IF(AND(OR(Query!$B$4="All",'Compliance Database'!$A517=Query!$B$4),OR(Query!$B$5="All",ISNUMBER(SEARCH(Query!$B$5,'Compliance Database'!$H517))),OR(Query!$B$6="All",ISNUMBER(SEARCH(Query!$B$6,'Compliance Database'!$I517))),OR(Query!$B$7="All",'Compliance Database'!$F517=Query!$B$7),OR(Query!$B$8="All",'Compliance Database'!$J517=Query!$B$8),OR(Query!$B$9="",ISNUMBER(SEARCH(Query!$B$9,'Compliance Database'!$D517&amp;" "&amp;'Compliance Database'!$K517&amp;" "&amp;'Compliance Database'!$L517&amp;" "&amp;'Compliance Database'!$M517&amp;" "&amp;'Compliance Database'!$N517)))),1,0)</f>
        <v/>
      </c>
      <c r="B517">
        <f>IF($A517=1,SUM($A$2:$A517),"")</f>
        <v/>
      </c>
      <c r="C517">
        <f>IF($A517=1,SUM($A$2:$A517),0)</f>
        <v/>
      </c>
    </row>
    <row r="518">
      <c r="A518">
        <f>IF(AND(OR(Query!$B$4="All",'Compliance Database'!$A518=Query!$B$4),OR(Query!$B$5="All",ISNUMBER(SEARCH(Query!$B$5,'Compliance Database'!$H518))),OR(Query!$B$6="All",ISNUMBER(SEARCH(Query!$B$6,'Compliance Database'!$I518))),OR(Query!$B$7="All",'Compliance Database'!$F518=Query!$B$7),OR(Query!$B$8="All",'Compliance Database'!$J518=Query!$B$8),OR(Query!$B$9="",ISNUMBER(SEARCH(Query!$B$9,'Compliance Database'!$D518&amp;" "&amp;'Compliance Database'!$K518&amp;" "&amp;'Compliance Database'!$L518&amp;" "&amp;'Compliance Database'!$M518&amp;" "&amp;'Compliance Database'!$N518)))),1,0)</f>
        <v/>
      </c>
      <c r="B518">
        <f>IF($A518=1,SUM($A$2:$A518),"")</f>
        <v/>
      </c>
      <c r="C518">
        <f>IF($A518=1,SUM($A$2:$A518),0)</f>
        <v/>
      </c>
    </row>
    <row r="519">
      <c r="A519">
        <f>IF(AND(OR(Query!$B$4="All",'Compliance Database'!$A519=Query!$B$4),OR(Query!$B$5="All",ISNUMBER(SEARCH(Query!$B$5,'Compliance Database'!$H519))),OR(Query!$B$6="All",ISNUMBER(SEARCH(Query!$B$6,'Compliance Database'!$I519))),OR(Query!$B$7="All",'Compliance Database'!$F519=Query!$B$7),OR(Query!$B$8="All",'Compliance Database'!$J519=Query!$B$8),OR(Query!$B$9="",ISNUMBER(SEARCH(Query!$B$9,'Compliance Database'!$D519&amp;" "&amp;'Compliance Database'!$K519&amp;" "&amp;'Compliance Database'!$L519&amp;" "&amp;'Compliance Database'!$M519&amp;" "&amp;'Compliance Database'!$N519)))),1,0)</f>
        <v/>
      </c>
      <c r="B519">
        <f>IF($A519=1,SUM($A$2:$A519),"")</f>
        <v/>
      </c>
      <c r="C519">
        <f>IF($A519=1,SUM($A$2:$A519),0)</f>
        <v/>
      </c>
    </row>
    <row r="520">
      <c r="A520">
        <f>IF(AND(OR(Query!$B$4="All",'Compliance Database'!$A520=Query!$B$4),OR(Query!$B$5="All",ISNUMBER(SEARCH(Query!$B$5,'Compliance Database'!$H520))),OR(Query!$B$6="All",ISNUMBER(SEARCH(Query!$B$6,'Compliance Database'!$I520))),OR(Query!$B$7="All",'Compliance Database'!$F520=Query!$B$7),OR(Query!$B$8="All",'Compliance Database'!$J520=Query!$B$8),OR(Query!$B$9="",ISNUMBER(SEARCH(Query!$B$9,'Compliance Database'!$D520&amp;" "&amp;'Compliance Database'!$K520&amp;" "&amp;'Compliance Database'!$L520&amp;" "&amp;'Compliance Database'!$M520&amp;" "&amp;'Compliance Database'!$N520)))),1,0)</f>
        <v/>
      </c>
      <c r="B520">
        <f>IF($A520=1,SUM($A$2:$A520),"")</f>
        <v/>
      </c>
      <c r="C520">
        <f>IF($A520=1,SUM($A$2:$A520),0)</f>
        <v/>
      </c>
    </row>
    <row r="521">
      <c r="A521">
        <f>IF(AND(OR(Query!$B$4="All",'Compliance Database'!$A521=Query!$B$4),OR(Query!$B$5="All",ISNUMBER(SEARCH(Query!$B$5,'Compliance Database'!$H521))),OR(Query!$B$6="All",ISNUMBER(SEARCH(Query!$B$6,'Compliance Database'!$I521))),OR(Query!$B$7="All",'Compliance Database'!$F521=Query!$B$7),OR(Query!$B$8="All",'Compliance Database'!$J521=Query!$B$8),OR(Query!$B$9="",ISNUMBER(SEARCH(Query!$B$9,'Compliance Database'!$D521&amp;" "&amp;'Compliance Database'!$K521&amp;" "&amp;'Compliance Database'!$L521&amp;" "&amp;'Compliance Database'!$M521&amp;" "&amp;'Compliance Database'!$N521)))),1,0)</f>
        <v/>
      </c>
      <c r="B521">
        <f>IF($A521=1,SUM($A$2:$A521),"")</f>
        <v/>
      </c>
      <c r="C521">
        <f>IF($A521=1,SUM($A$2:$A521),0)</f>
        <v/>
      </c>
    </row>
    <row r="522">
      <c r="A522">
        <f>IF(AND(OR(Query!$B$4="All",'Compliance Database'!$A522=Query!$B$4),OR(Query!$B$5="All",ISNUMBER(SEARCH(Query!$B$5,'Compliance Database'!$H522))),OR(Query!$B$6="All",ISNUMBER(SEARCH(Query!$B$6,'Compliance Database'!$I522))),OR(Query!$B$7="All",'Compliance Database'!$F522=Query!$B$7),OR(Query!$B$8="All",'Compliance Database'!$J522=Query!$B$8),OR(Query!$B$9="",ISNUMBER(SEARCH(Query!$B$9,'Compliance Database'!$D522&amp;" "&amp;'Compliance Database'!$K522&amp;" "&amp;'Compliance Database'!$L522&amp;" "&amp;'Compliance Database'!$M522&amp;" "&amp;'Compliance Database'!$N522)))),1,0)</f>
        <v/>
      </c>
      <c r="B522">
        <f>IF($A522=1,SUM($A$2:$A522),"")</f>
        <v/>
      </c>
      <c r="C522">
        <f>IF($A522=1,SUM($A$2:$A522),0)</f>
        <v/>
      </c>
    </row>
    <row r="523">
      <c r="A523">
        <f>IF(AND(OR(Query!$B$4="All",'Compliance Database'!$A523=Query!$B$4),OR(Query!$B$5="All",ISNUMBER(SEARCH(Query!$B$5,'Compliance Database'!$H523))),OR(Query!$B$6="All",ISNUMBER(SEARCH(Query!$B$6,'Compliance Database'!$I523))),OR(Query!$B$7="All",'Compliance Database'!$F523=Query!$B$7),OR(Query!$B$8="All",'Compliance Database'!$J523=Query!$B$8),OR(Query!$B$9="",ISNUMBER(SEARCH(Query!$B$9,'Compliance Database'!$D523&amp;" "&amp;'Compliance Database'!$K523&amp;" "&amp;'Compliance Database'!$L523&amp;" "&amp;'Compliance Database'!$M523&amp;" "&amp;'Compliance Database'!$N523)))),1,0)</f>
        <v/>
      </c>
      <c r="B523">
        <f>IF($A523=1,SUM($A$2:$A523),"")</f>
        <v/>
      </c>
      <c r="C523">
        <f>IF($A523=1,SUM($A$2:$A523),0)</f>
        <v/>
      </c>
    </row>
    <row r="524">
      <c r="A524">
        <f>IF(AND(OR(Query!$B$4="All",'Compliance Database'!$A524=Query!$B$4),OR(Query!$B$5="All",ISNUMBER(SEARCH(Query!$B$5,'Compliance Database'!$H524))),OR(Query!$B$6="All",ISNUMBER(SEARCH(Query!$B$6,'Compliance Database'!$I524))),OR(Query!$B$7="All",'Compliance Database'!$F524=Query!$B$7),OR(Query!$B$8="All",'Compliance Database'!$J524=Query!$B$8),OR(Query!$B$9="",ISNUMBER(SEARCH(Query!$B$9,'Compliance Database'!$D524&amp;" "&amp;'Compliance Database'!$K524&amp;" "&amp;'Compliance Database'!$L524&amp;" "&amp;'Compliance Database'!$M524&amp;" "&amp;'Compliance Database'!$N524)))),1,0)</f>
        <v/>
      </c>
      <c r="B524">
        <f>IF($A524=1,SUM($A$2:$A524),"")</f>
        <v/>
      </c>
      <c r="C524">
        <f>IF($A524=1,SUM($A$2:$A524),0)</f>
        <v/>
      </c>
    </row>
    <row r="525">
      <c r="A525">
        <f>IF(AND(OR(Query!$B$4="All",'Compliance Database'!$A525=Query!$B$4),OR(Query!$B$5="All",ISNUMBER(SEARCH(Query!$B$5,'Compliance Database'!$H525))),OR(Query!$B$6="All",ISNUMBER(SEARCH(Query!$B$6,'Compliance Database'!$I525))),OR(Query!$B$7="All",'Compliance Database'!$F525=Query!$B$7),OR(Query!$B$8="All",'Compliance Database'!$J525=Query!$B$8),OR(Query!$B$9="",ISNUMBER(SEARCH(Query!$B$9,'Compliance Database'!$D525&amp;" "&amp;'Compliance Database'!$K525&amp;" "&amp;'Compliance Database'!$L525&amp;" "&amp;'Compliance Database'!$M525&amp;" "&amp;'Compliance Database'!$N525)))),1,0)</f>
        <v/>
      </c>
      <c r="B525">
        <f>IF($A525=1,SUM($A$2:$A525),"")</f>
        <v/>
      </c>
      <c r="C525">
        <f>IF($A525=1,SUM($A$2:$A525),0)</f>
        <v/>
      </c>
    </row>
    <row r="526">
      <c r="A526">
        <f>IF(AND(OR(Query!$B$4="All",'Compliance Database'!$A526=Query!$B$4),OR(Query!$B$5="All",ISNUMBER(SEARCH(Query!$B$5,'Compliance Database'!$H526))),OR(Query!$B$6="All",ISNUMBER(SEARCH(Query!$B$6,'Compliance Database'!$I526))),OR(Query!$B$7="All",'Compliance Database'!$F526=Query!$B$7),OR(Query!$B$8="All",'Compliance Database'!$J526=Query!$B$8),OR(Query!$B$9="",ISNUMBER(SEARCH(Query!$B$9,'Compliance Database'!$D526&amp;" "&amp;'Compliance Database'!$K526&amp;" "&amp;'Compliance Database'!$L526&amp;" "&amp;'Compliance Database'!$M526&amp;" "&amp;'Compliance Database'!$N526)))),1,0)</f>
        <v/>
      </c>
      <c r="B526">
        <f>IF($A526=1,SUM($A$2:$A526),"")</f>
        <v/>
      </c>
      <c r="C526">
        <f>IF($A526=1,SUM($A$2:$A526),0)</f>
        <v/>
      </c>
    </row>
    <row r="527">
      <c r="A527">
        <f>IF(AND(OR(Query!$B$4="All",'Compliance Database'!$A527=Query!$B$4),OR(Query!$B$5="All",ISNUMBER(SEARCH(Query!$B$5,'Compliance Database'!$H527))),OR(Query!$B$6="All",ISNUMBER(SEARCH(Query!$B$6,'Compliance Database'!$I527))),OR(Query!$B$7="All",'Compliance Database'!$F527=Query!$B$7),OR(Query!$B$8="All",'Compliance Database'!$J527=Query!$B$8),OR(Query!$B$9="",ISNUMBER(SEARCH(Query!$B$9,'Compliance Database'!$D527&amp;" "&amp;'Compliance Database'!$K527&amp;" "&amp;'Compliance Database'!$L527&amp;" "&amp;'Compliance Database'!$M527&amp;" "&amp;'Compliance Database'!$N527)))),1,0)</f>
        <v/>
      </c>
      <c r="B527">
        <f>IF($A527=1,SUM($A$2:$A527),"")</f>
        <v/>
      </c>
      <c r="C527">
        <f>IF($A527=1,SUM($A$2:$A527),0)</f>
        <v/>
      </c>
    </row>
    <row r="528">
      <c r="A528">
        <f>IF(AND(OR(Query!$B$4="All",'Compliance Database'!$A528=Query!$B$4),OR(Query!$B$5="All",ISNUMBER(SEARCH(Query!$B$5,'Compliance Database'!$H528))),OR(Query!$B$6="All",ISNUMBER(SEARCH(Query!$B$6,'Compliance Database'!$I528))),OR(Query!$B$7="All",'Compliance Database'!$F528=Query!$B$7),OR(Query!$B$8="All",'Compliance Database'!$J528=Query!$B$8),OR(Query!$B$9="",ISNUMBER(SEARCH(Query!$B$9,'Compliance Database'!$D528&amp;" "&amp;'Compliance Database'!$K528&amp;" "&amp;'Compliance Database'!$L528&amp;" "&amp;'Compliance Database'!$M528&amp;" "&amp;'Compliance Database'!$N528)))),1,0)</f>
        <v/>
      </c>
      <c r="B528">
        <f>IF($A528=1,SUM($A$2:$A528),"")</f>
        <v/>
      </c>
      <c r="C528">
        <f>IF($A528=1,SUM($A$2:$A528),0)</f>
        <v/>
      </c>
    </row>
    <row r="529">
      <c r="A529">
        <f>IF(AND(OR(Query!$B$4="All",'Compliance Database'!$A529=Query!$B$4),OR(Query!$B$5="All",ISNUMBER(SEARCH(Query!$B$5,'Compliance Database'!$H529))),OR(Query!$B$6="All",ISNUMBER(SEARCH(Query!$B$6,'Compliance Database'!$I529))),OR(Query!$B$7="All",'Compliance Database'!$F529=Query!$B$7),OR(Query!$B$8="All",'Compliance Database'!$J529=Query!$B$8),OR(Query!$B$9="",ISNUMBER(SEARCH(Query!$B$9,'Compliance Database'!$D529&amp;" "&amp;'Compliance Database'!$K529&amp;" "&amp;'Compliance Database'!$L529&amp;" "&amp;'Compliance Database'!$M529&amp;" "&amp;'Compliance Database'!$N529)))),1,0)</f>
        <v/>
      </c>
      <c r="B529">
        <f>IF($A529=1,SUM($A$2:$A529),"")</f>
        <v/>
      </c>
      <c r="C529">
        <f>IF($A529=1,SUM($A$2:$A529),0)</f>
        <v/>
      </c>
    </row>
    <row r="530">
      <c r="A530">
        <f>IF(AND(OR(Query!$B$4="All",'Compliance Database'!$A530=Query!$B$4),OR(Query!$B$5="All",ISNUMBER(SEARCH(Query!$B$5,'Compliance Database'!$H530))),OR(Query!$B$6="All",ISNUMBER(SEARCH(Query!$B$6,'Compliance Database'!$I530))),OR(Query!$B$7="All",'Compliance Database'!$F530=Query!$B$7),OR(Query!$B$8="All",'Compliance Database'!$J530=Query!$B$8),OR(Query!$B$9="",ISNUMBER(SEARCH(Query!$B$9,'Compliance Database'!$D530&amp;" "&amp;'Compliance Database'!$K530&amp;" "&amp;'Compliance Database'!$L530&amp;" "&amp;'Compliance Database'!$M530&amp;" "&amp;'Compliance Database'!$N530)))),1,0)</f>
        <v/>
      </c>
      <c r="B530">
        <f>IF($A530=1,SUM($A$2:$A530),"")</f>
        <v/>
      </c>
      <c r="C530">
        <f>IF($A530=1,SUM($A$2:$A530),0)</f>
        <v/>
      </c>
    </row>
    <row r="531">
      <c r="A531">
        <f>IF(AND(OR(Query!$B$4="All",'Compliance Database'!$A531=Query!$B$4),OR(Query!$B$5="All",ISNUMBER(SEARCH(Query!$B$5,'Compliance Database'!$H531))),OR(Query!$B$6="All",ISNUMBER(SEARCH(Query!$B$6,'Compliance Database'!$I531))),OR(Query!$B$7="All",'Compliance Database'!$F531=Query!$B$7),OR(Query!$B$8="All",'Compliance Database'!$J531=Query!$B$8),OR(Query!$B$9="",ISNUMBER(SEARCH(Query!$B$9,'Compliance Database'!$D531&amp;" "&amp;'Compliance Database'!$K531&amp;" "&amp;'Compliance Database'!$L531&amp;" "&amp;'Compliance Database'!$M531&amp;" "&amp;'Compliance Database'!$N531)))),1,0)</f>
        <v/>
      </c>
      <c r="B531">
        <f>IF($A531=1,SUM($A$2:$A531),"")</f>
        <v/>
      </c>
      <c r="C531">
        <f>IF($A531=1,SUM($A$2:$A531),0)</f>
        <v/>
      </c>
    </row>
    <row r="532">
      <c r="A532">
        <f>IF(AND(OR(Query!$B$4="All",'Compliance Database'!$A532=Query!$B$4),OR(Query!$B$5="All",ISNUMBER(SEARCH(Query!$B$5,'Compliance Database'!$H532))),OR(Query!$B$6="All",ISNUMBER(SEARCH(Query!$B$6,'Compliance Database'!$I532))),OR(Query!$B$7="All",'Compliance Database'!$F532=Query!$B$7),OR(Query!$B$8="All",'Compliance Database'!$J532=Query!$B$8),OR(Query!$B$9="",ISNUMBER(SEARCH(Query!$B$9,'Compliance Database'!$D532&amp;" "&amp;'Compliance Database'!$K532&amp;" "&amp;'Compliance Database'!$L532&amp;" "&amp;'Compliance Database'!$M532&amp;" "&amp;'Compliance Database'!$N532)))),1,0)</f>
        <v/>
      </c>
      <c r="B532">
        <f>IF($A532=1,SUM($A$2:$A532),"")</f>
        <v/>
      </c>
      <c r="C532">
        <f>IF($A532=1,SUM($A$2:$A532),0)</f>
        <v/>
      </c>
    </row>
    <row r="533">
      <c r="A533">
        <f>IF(AND(OR(Query!$B$4="All",'Compliance Database'!$A533=Query!$B$4),OR(Query!$B$5="All",ISNUMBER(SEARCH(Query!$B$5,'Compliance Database'!$H533))),OR(Query!$B$6="All",ISNUMBER(SEARCH(Query!$B$6,'Compliance Database'!$I533))),OR(Query!$B$7="All",'Compliance Database'!$F533=Query!$B$7),OR(Query!$B$8="All",'Compliance Database'!$J533=Query!$B$8),OR(Query!$B$9="",ISNUMBER(SEARCH(Query!$B$9,'Compliance Database'!$D533&amp;" "&amp;'Compliance Database'!$K533&amp;" "&amp;'Compliance Database'!$L533&amp;" "&amp;'Compliance Database'!$M533&amp;" "&amp;'Compliance Database'!$N533)))),1,0)</f>
        <v/>
      </c>
      <c r="B533">
        <f>IF($A533=1,SUM($A$2:$A533),"")</f>
        <v/>
      </c>
      <c r="C533">
        <f>IF($A533=1,SUM($A$2:$A533),0)</f>
        <v/>
      </c>
    </row>
    <row r="534">
      <c r="A534">
        <f>IF(AND(OR(Query!$B$4="All",'Compliance Database'!$A534=Query!$B$4),OR(Query!$B$5="All",ISNUMBER(SEARCH(Query!$B$5,'Compliance Database'!$H534))),OR(Query!$B$6="All",ISNUMBER(SEARCH(Query!$B$6,'Compliance Database'!$I534))),OR(Query!$B$7="All",'Compliance Database'!$F534=Query!$B$7),OR(Query!$B$8="All",'Compliance Database'!$J534=Query!$B$8),OR(Query!$B$9="",ISNUMBER(SEARCH(Query!$B$9,'Compliance Database'!$D534&amp;" "&amp;'Compliance Database'!$K534&amp;" "&amp;'Compliance Database'!$L534&amp;" "&amp;'Compliance Database'!$M534&amp;" "&amp;'Compliance Database'!$N534)))),1,0)</f>
        <v/>
      </c>
      <c r="B534">
        <f>IF($A534=1,SUM($A$2:$A534),"")</f>
        <v/>
      </c>
      <c r="C534">
        <f>IF($A534=1,SUM($A$2:$A534),0)</f>
        <v/>
      </c>
    </row>
    <row r="535">
      <c r="A535">
        <f>IF(AND(OR(Query!$B$4="All",'Compliance Database'!$A535=Query!$B$4),OR(Query!$B$5="All",ISNUMBER(SEARCH(Query!$B$5,'Compliance Database'!$H535))),OR(Query!$B$6="All",ISNUMBER(SEARCH(Query!$B$6,'Compliance Database'!$I535))),OR(Query!$B$7="All",'Compliance Database'!$F535=Query!$B$7),OR(Query!$B$8="All",'Compliance Database'!$J535=Query!$B$8),OR(Query!$B$9="",ISNUMBER(SEARCH(Query!$B$9,'Compliance Database'!$D535&amp;" "&amp;'Compliance Database'!$K535&amp;" "&amp;'Compliance Database'!$L535&amp;" "&amp;'Compliance Database'!$M535&amp;" "&amp;'Compliance Database'!$N535)))),1,0)</f>
        <v/>
      </c>
      <c r="B535">
        <f>IF($A535=1,SUM($A$2:$A535),"")</f>
        <v/>
      </c>
      <c r="C535">
        <f>IF($A535=1,SUM($A$2:$A535),0)</f>
        <v/>
      </c>
    </row>
    <row r="536">
      <c r="A536">
        <f>IF(AND(OR(Query!$B$4="All",'Compliance Database'!$A536=Query!$B$4),OR(Query!$B$5="All",ISNUMBER(SEARCH(Query!$B$5,'Compliance Database'!$H536))),OR(Query!$B$6="All",ISNUMBER(SEARCH(Query!$B$6,'Compliance Database'!$I536))),OR(Query!$B$7="All",'Compliance Database'!$F536=Query!$B$7),OR(Query!$B$8="All",'Compliance Database'!$J536=Query!$B$8),OR(Query!$B$9="",ISNUMBER(SEARCH(Query!$B$9,'Compliance Database'!$D536&amp;" "&amp;'Compliance Database'!$K536&amp;" "&amp;'Compliance Database'!$L536&amp;" "&amp;'Compliance Database'!$M536&amp;" "&amp;'Compliance Database'!$N536)))),1,0)</f>
        <v/>
      </c>
      <c r="B536">
        <f>IF($A536=1,SUM($A$2:$A536),"")</f>
        <v/>
      </c>
      <c r="C536">
        <f>IF($A536=1,SUM($A$2:$A536),0)</f>
        <v/>
      </c>
    </row>
    <row r="537">
      <c r="A537">
        <f>IF(AND(OR(Query!$B$4="All",'Compliance Database'!$A537=Query!$B$4),OR(Query!$B$5="All",ISNUMBER(SEARCH(Query!$B$5,'Compliance Database'!$H537))),OR(Query!$B$6="All",ISNUMBER(SEARCH(Query!$B$6,'Compliance Database'!$I537))),OR(Query!$B$7="All",'Compliance Database'!$F537=Query!$B$7),OR(Query!$B$8="All",'Compliance Database'!$J537=Query!$B$8),OR(Query!$B$9="",ISNUMBER(SEARCH(Query!$B$9,'Compliance Database'!$D537&amp;" "&amp;'Compliance Database'!$K537&amp;" "&amp;'Compliance Database'!$L537&amp;" "&amp;'Compliance Database'!$M537&amp;" "&amp;'Compliance Database'!$N537)))),1,0)</f>
        <v/>
      </c>
      <c r="B537">
        <f>IF($A537=1,SUM($A$2:$A537),"")</f>
        <v/>
      </c>
      <c r="C537">
        <f>IF($A537=1,SUM($A$2:$A537),0)</f>
        <v/>
      </c>
    </row>
    <row r="538">
      <c r="A538">
        <f>IF(AND(OR(Query!$B$4="All",'Compliance Database'!$A538=Query!$B$4),OR(Query!$B$5="All",ISNUMBER(SEARCH(Query!$B$5,'Compliance Database'!$H538))),OR(Query!$B$6="All",ISNUMBER(SEARCH(Query!$B$6,'Compliance Database'!$I538))),OR(Query!$B$7="All",'Compliance Database'!$F538=Query!$B$7),OR(Query!$B$8="All",'Compliance Database'!$J538=Query!$B$8),OR(Query!$B$9="",ISNUMBER(SEARCH(Query!$B$9,'Compliance Database'!$D538&amp;" "&amp;'Compliance Database'!$K538&amp;" "&amp;'Compliance Database'!$L538&amp;" "&amp;'Compliance Database'!$M538&amp;" "&amp;'Compliance Database'!$N538)))),1,0)</f>
        <v/>
      </c>
      <c r="B538">
        <f>IF($A538=1,SUM($A$2:$A538),"")</f>
        <v/>
      </c>
      <c r="C538">
        <f>IF($A538=1,SUM($A$2:$A538),0)</f>
        <v/>
      </c>
    </row>
    <row r="539">
      <c r="A539">
        <f>IF(AND(OR(Query!$B$4="All",'Compliance Database'!$A539=Query!$B$4),OR(Query!$B$5="All",ISNUMBER(SEARCH(Query!$B$5,'Compliance Database'!$H539))),OR(Query!$B$6="All",ISNUMBER(SEARCH(Query!$B$6,'Compliance Database'!$I539))),OR(Query!$B$7="All",'Compliance Database'!$F539=Query!$B$7),OR(Query!$B$8="All",'Compliance Database'!$J539=Query!$B$8),OR(Query!$B$9="",ISNUMBER(SEARCH(Query!$B$9,'Compliance Database'!$D539&amp;" "&amp;'Compliance Database'!$K539&amp;" "&amp;'Compliance Database'!$L539&amp;" "&amp;'Compliance Database'!$M539&amp;" "&amp;'Compliance Database'!$N539)))),1,0)</f>
        <v/>
      </c>
      <c r="B539">
        <f>IF($A539=1,SUM($A$2:$A539),"")</f>
        <v/>
      </c>
      <c r="C539">
        <f>IF($A539=1,SUM($A$2:$A539),0)</f>
        <v/>
      </c>
    </row>
    <row r="540">
      <c r="A540">
        <f>IF(AND(OR(Query!$B$4="All",'Compliance Database'!$A540=Query!$B$4),OR(Query!$B$5="All",ISNUMBER(SEARCH(Query!$B$5,'Compliance Database'!$H540))),OR(Query!$B$6="All",ISNUMBER(SEARCH(Query!$B$6,'Compliance Database'!$I540))),OR(Query!$B$7="All",'Compliance Database'!$F540=Query!$B$7),OR(Query!$B$8="All",'Compliance Database'!$J540=Query!$B$8),OR(Query!$B$9="",ISNUMBER(SEARCH(Query!$B$9,'Compliance Database'!$D540&amp;" "&amp;'Compliance Database'!$K540&amp;" "&amp;'Compliance Database'!$L540&amp;" "&amp;'Compliance Database'!$M540&amp;" "&amp;'Compliance Database'!$N540)))),1,0)</f>
        <v/>
      </c>
      <c r="B540">
        <f>IF($A540=1,SUM($A$2:$A540),"")</f>
        <v/>
      </c>
      <c r="C540">
        <f>IF($A540=1,SUM($A$2:$A540),0)</f>
        <v/>
      </c>
    </row>
    <row r="541">
      <c r="A541">
        <f>IF(AND(OR(Query!$B$4="All",'Compliance Database'!$A541=Query!$B$4),OR(Query!$B$5="All",ISNUMBER(SEARCH(Query!$B$5,'Compliance Database'!$H541))),OR(Query!$B$6="All",ISNUMBER(SEARCH(Query!$B$6,'Compliance Database'!$I541))),OR(Query!$B$7="All",'Compliance Database'!$F541=Query!$B$7),OR(Query!$B$8="All",'Compliance Database'!$J541=Query!$B$8),OR(Query!$B$9="",ISNUMBER(SEARCH(Query!$B$9,'Compliance Database'!$D541&amp;" "&amp;'Compliance Database'!$K541&amp;" "&amp;'Compliance Database'!$L541&amp;" "&amp;'Compliance Database'!$M541&amp;" "&amp;'Compliance Database'!$N541)))),1,0)</f>
        <v/>
      </c>
      <c r="B541">
        <f>IF($A541=1,SUM($A$2:$A541),"")</f>
        <v/>
      </c>
      <c r="C541">
        <f>IF($A541=1,SUM($A$2:$A541),0)</f>
        <v/>
      </c>
    </row>
    <row r="542">
      <c r="A542">
        <f>IF(AND(OR(Query!$B$4="All",'Compliance Database'!$A542=Query!$B$4),OR(Query!$B$5="All",ISNUMBER(SEARCH(Query!$B$5,'Compliance Database'!$H542))),OR(Query!$B$6="All",ISNUMBER(SEARCH(Query!$B$6,'Compliance Database'!$I542))),OR(Query!$B$7="All",'Compliance Database'!$F542=Query!$B$7),OR(Query!$B$8="All",'Compliance Database'!$J542=Query!$B$8),OR(Query!$B$9="",ISNUMBER(SEARCH(Query!$B$9,'Compliance Database'!$D542&amp;" "&amp;'Compliance Database'!$K542&amp;" "&amp;'Compliance Database'!$L542&amp;" "&amp;'Compliance Database'!$M542&amp;" "&amp;'Compliance Database'!$N542)))),1,0)</f>
        <v/>
      </c>
      <c r="B542">
        <f>IF($A542=1,SUM($A$2:$A542),"")</f>
        <v/>
      </c>
      <c r="C542">
        <f>IF($A542=1,SUM($A$2:$A542),0)</f>
        <v/>
      </c>
    </row>
    <row r="543">
      <c r="A543">
        <f>IF(AND(OR(Query!$B$4="All",'Compliance Database'!$A543=Query!$B$4),OR(Query!$B$5="All",ISNUMBER(SEARCH(Query!$B$5,'Compliance Database'!$H543))),OR(Query!$B$6="All",ISNUMBER(SEARCH(Query!$B$6,'Compliance Database'!$I543))),OR(Query!$B$7="All",'Compliance Database'!$F543=Query!$B$7),OR(Query!$B$8="All",'Compliance Database'!$J543=Query!$B$8),OR(Query!$B$9="",ISNUMBER(SEARCH(Query!$B$9,'Compliance Database'!$D543&amp;" "&amp;'Compliance Database'!$K543&amp;" "&amp;'Compliance Database'!$L543&amp;" "&amp;'Compliance Database'!$M543&amp;" "&amp;'Compliance Database'!$N543)))),1,0)</f>
        <v/>
      </c>
      <c r="B543">
        <f>IF($A543=1,SUM($A$2:$A543),"")</f>
        <v/>
      </c>
      <c r="C543">
        <f>IF($A543=1,SUM($A$2:$A543),0)</f>
        <v/>
      </c>
    </row>
    <row r="544">
      <c r="A544">
        <f>IF(AND(OR(Query!$B$4="All",'Compliance Database'!$A544=Query!$B$4),OR(Query!$B$5="All",ISNUMBER(SEARCH(Query!$B$5,'Compliance Database'!$H544))),OR(Query!$B$6="All",ISNUMBER(SEARCH(Query!$B$6,'Compliance Database'!$I544))),OR(Query!$B$7="All",'Compliance Database'!$F544=Query!$B$7),OR(Query!$B$8="All",'Compliance Database'!$J544=Query!$B$8),OR(Query!$B$9="",ISNUMBER(SEARCH(Query!$B$9,'Compliance Database'!$D544&amp;" "&amp;'Compliance Database'!$K544&amp;" "&amp;'Compliance Database'!$L544&amp;" "&amp;'Compliance Database'!$M544&amp;" "&amp;'Compliance Database'!$N544)))),1,0)</f>
        <v/>
      </c>
      <c r="B544">
        <f>IF($A544=1,SUM($A$2:$A544),"")</f>
        <v/>
      </c>
      <c r="C544">
        <f>IF($A544=1,SUM($A$2:$A544),0)</f>
        <v/>
      </c>
    </row>
    <row r="545">
      <c r="A545">
        <f>IF(AND(OR(Query!$B$4="All",'Compliance Database'!$A545=Query!$B$4),OR(Query!$B$5="All",ISNUMBER(SEARCH(Query!$B$5,'Compliance Database'!$H545))),OR(Query!$B$6="All",ISNUMBER(SEARCH(Query!$B$6,'Compliance Database'!$I545))),OR(Query!$B$7="All",'Compliance Database'!$F545=Query!$B$7),OR(Query!$B$8="All",'Compliance Database'!$J545=Query!$B$8),OR(Query!$B$9="",ISNUMBER(SEARCH(Query!$B$9,'Compliance Database'!$D545&amp;" "&amp;'Compliance Database'!$K545&amp;" "&amp;'Compliance Database'!$L545&amp;" "&amp;'Compliance Database'!$M545&amp;" "&amp;'Compliance Database'!$N545)))),1,0)</f>
        <v/>
      </c>
      <c r="B545">
        <f>IF($A545=1,SUM($A$2:$A545),"")</f>
        <v/>
      </c>
      <c r="C545">
        <f>IF($A545=1,SUM($A$2:$A545),0)</f>
        <v/>
      </c>
    </row>
    <row r="546">
      <c r="A546">
        <f>IF(AND(OR(Query!$B$4="All",'Compliance Database'!$A546=Query!$B$4),OR(Query!$B$5="All",ISNUMBER(SEARCH(Query!$B$5,'Compliance Database'!$H546))),OR(Query!$B$6="All",ISNUMBER(SEARCH(Query!$B$6,'Compliance Database'!$I546))),OR(Query!$B$7="All",'Compliance Database'!$F546=Query!$B$7),OR(Query!$B$8="All",'Compliance Database'!$J546=Query!$B$8),OR(Query!$B$9="",ISNUMBER(SEARCH(Query!$B$9,'Compliance Database'!$D546&amp;" "&amp;'Compliance Database'!$K546&amp;" "&amp;'Compliance Database'!$L546&amp;" "&amp;'Compliance Database'!$M546&amp;" "&amp;'Compliance Database'!$N546)))),1,0)</f>
        <v/>
      </c>
      <c r="B546">
        <f>IF($A546=1,SUM($A$2:$A546),"")</f>
        <v/>
      </c>
      <c r="C546">
        <f>IF($A546=1,SUM($A$2:$A546),0)</f>
        <v/>
      </c>
    </row>
    <row r="547">
      <c r="A547">
        <f>IF(AND(OR(Query!$B$4="All",'Compliance Database'!$A547=Query!$B$4),OR(Query!$B$5="All",ISNUMBER(SEARCH(Query!$B$5,'Compliance Database'!$H547))),OR(Query!$B$6="All",ISNUMBER(SEARCH(Query!$B$6,'Compliance Database'!$I547))),OR(Query!$B$7="All",'Compliance Database'!$F547=Query!$B$7),OR(Query!$B$8="All",'Compliance Database'!$J547=Query!$B$8),OR(Query!$B$9="",ISNUMBER(SEARCH(Query!$B$9,'Compliance Database'!$D547&amp;" "&amp;'Compliance Database'!$K547&amp;" "&amp;'Compliance Database'!$L547&amp;" "&amp;'Compliance Database'!$M547&amp;" "&amp;'Compliance Database'!$N547)))),1,0)</f>
        <v/>
      </c>
      <c r="B547">
        <f>IF($A547=1,SUM($A$2:$A547),"")</f>
        <v/>
      </c>
      <c r="C547">
        <f>IF($A547=1,SUM($A$2:$A547),0)</f>
        <v/>
      </c>
    </row>
    <row r="548">
      <c r="A548">
        <f>IF(AND(OR(Query!$B$4="All",'Compliance Database'!$A548=Query!$B$4),OR(Query!$B$5="All",ISNUMBER(SEARCH(Query!$B$5,'Compliance Database'!$H548))),OR(Query!$B$6="All",ISNUMBER(SEARCH(Query!$B$6,'Compliance Database'!$I548))),OR(Query!$B$7="All",'Compliance Database'!$F548=Query!$B$7),OR(Query!$B$8="All",'Compliance Database'!$J548=Query!$B$8),OR(Query!$B$9="",ISNUMBER(SEARCH(Query!$B$9,'Compliance Database'!$D548&amp;" "&amp;'Compliance Database'!$K548&amp;" "&amp;'Compliance Database'!$L548&amp;" "&amp;'Compliance Database'!$M548&amp;" "&amp;'Compliance Database'!$N548)))),1,0)</f>
        <v/>
      </c>
      <c r="B548">
        <f>IF($A548=1,SUM($A$2:$A548),"")</f>
        <v/>
      </c>
      <c r="C548">
        <f>IF($A548=1,SUM($A$2:$A548),0)</f>
        <v/>
      </c>
    </row>
    <row r="549">
      <c r="A549">
        <f>IF(AND(OR(Query!$B$4="All",'Compliance Database'!$A549=Query!$B$4),OR(Query!$B$5="All",ISNUMBER(SEARCH(Query!$B$5,'Compliance Database'!$H549))),OR(Query!$B$6="All",ISNUMBER(SEARCH(Query!$B$6,'Compliance Database'!$I549))),OR(Query!$B$7="All",'Compliance Database'!$F549=Query!$B$7),OR(Query!$B$8="All",'Compliance Database'!$J549=Query!$B$8),OR(Query!$B$9="",ISNUMBER(SEARCH(Query!$B$9,'Compliance Database'!$D549&amp;" "&amp;'Compliance Database'!$K549&amp;" "&amp;'Compliance Database'!$L549&amp;" "&amp;'Compliance Database'!$M549&amp;" "&amp;'Compliance Database'!$N549)))),1,0)</f>
        <v/>
      </c>
      <c r="B549">
        <f>IF($A549=1,SUM($A$2:$A549),"")</f>
        <v/>
      </c>
      <c r="C549">
        <f>IF($A549=1,SUM($A$2:$A549),0)</f>
        <v/>
      </c>
    </row>
    <row r="550">
      <c r="A550">
        <f>IF(AND(OR(Query!$B$4="All",'Compliance Database'!$A550=Query!$B$4),OR(Query!$B$5="All",ISNUMBER(SEARCH(Query!$B$5,'Compliance Database'!$H550))),OR(Query!$B$6="All",ISNUMBER(SEARCH(Query!$B$6,'Compliance Database'!$I550))),OR(Query!$B$7="All",'Compliance Database'!$F550=Query!$B$7),OR(Query!$B$8="All",'Compliance Database'!$J550=Query!$B$8),OR(Query!$B$9="",ISNUMBER(SEARCH(Query!$B$9,'Compliance Database'!$D550&amp;" "&amp;'Compliance Database'!$K550&amp;" "&amp;'Compliance Database'!$L550&amp;" "&amp;'Compliance Database'!$M550&amp;" "&amp;'Compliance Database'!$N550)))),1,0)</f>
        <v/>
      </c>
      <c r="B550">
        <f>IF($A550=1,SUM($A$2:$A550),"")</f>
        <v/>
      </c>
      <c r="C550">
        <f>IF($A550=1,SUM($A$2:$A550),0)</f>
        <v/>
      </c>
    </row>
    <row r="551">
      <c r="A551">
        <f>IF(AND(OR(Query!$B$4="All",'Compliance Database'!$A551=Query!$B$4),OR(Query!$B$5="All",ISNUMBER(SEARCH(Query!$B$5,'Compliance Database'!$H551))),OR(Query!$B$6="All",ISNUMBER(SEARCH(Query!$B$6,'Compliance Database'!$I551))),OR(Query!$B$7="All",'Compliance Database'!$F551=Query!$B$7),OR(Query!$B$8="All",'Compliance Database'!$J551=Query!$B$8),OR(Query!$B$9="",ISNUMBER(SEARCH(Query!$B$9,'Compliance Database'!$D551&amp;" "&amp;'Compliance Database'!$K551&amp;" "&amp;'Compliance Database'!$L551&amp;" "&amp;'Compliance Database'!$M551&amp;" "&amp;'Compliance Database'!$N551)))),1,0)</f>
        <v/>
      </c>
      <c r="B551">
        <f>IF($A551=1,SUM($A$2:$A551),"")</f>
        <v/>
      </c>
      <c r="C551">
        <f>IF($A551=1,SUM($A$2:$A551),0)</f>
        <v/>
      </c>
    </row>
    <row r="552">
      <c r="A552">
        <f>IF(AND(OR(Query!$B$4="All",'Compliance Database'!$A552=Query!$B$4),OR(Query!$B$5="All",ISNUMBER(SEARCH(Query!$B$5,'Compliance Database'!$H552))),OR(Query!$B$6="All",ISNUMBER(SEARCH(Query!$B$6,'Compliance Database'!$I552))),OR(Query!$B$7="All",'Compliance Database'!$F552=Query!$B$7),OR(Query!$B$8="All",'Compliance Database'!$J552=Query!$B$8),OR(Query!$B$9="",ISNUMBER(SEARCH(Query!$B$9,'Compliance Database'!$D552&amp;" "&amp;'Compliance Database'!$K552&amp;" "&amp;'Compliance Database'!$L552&amp;" "&amp;'Compliance Database'!$M552&amp;" "&amp;'Compliance Database'!$N552)))),1,0)</f>
        <v/>
      </c>
      <c r="B552">
        <f>IF($A552=1,SUM($A$2:$A552),"")</f>
        <v/>
      </c>
      <c r="C552">
        <f>IF($A552=1,SUM($A$2:$A552),0)</f>
        <v/>
      </c>
    </row>
    <row r="553">
      <c r="A553">
        <f>IF(AND(OR(Query!$B$4="All",'Compliance Database'!$A553=Query!$B$4),OR(Query!$B$5="All",ISNUMBER(SEARCH(Query!$B$5,'Compliance Database'!$H553))),OR(Query!$B$6="All",ISNUMBER(SEARCH(Query!$B$6,'Compliance Database'!$I553))),OR(Query!$B$7="All",'Compliance Database'!$F553=Query!$B$7),OR(Query!$B$8="All",'Compliance Database'!$J553=Query!$B$8),OR(Query!$B$9="",ISNUMBER(SEARCH(Query!$B$9,'Compliance Database'!$D553&amp;" "&amp;'Compliance Database'!$K553&amp;" "&amp;'Compliance Database'!$L553&amp;" "&amp;'Compliance Database'!$M553&amp;" "&amp;'Compliance Database'!$N553)))),1,0)</f>
        <v/>
      </c>
      <c r="B553">
        <f>IF($A553=1,SUM($A$2:$A553),"")</f>
        <v/>
      </c>
      <c r="C553">
        <f>IF($A553=1,SUM($A$2:$A553),0)</f>
        <v/>
      </c>
    </row>
    <row r="554">
      <c r="A554">
        <f>IF(AND(OR(Query!$B$4="All",'Compliance Database'!$A554=Query!$B$4),OR(Query!$B$5="All",ISNUMBER(SEARCH(Query!$B$5,'Compliance Database'!$H554))),OR(Query!$B$6="All",ISNUMBER(SEARCH(Query!$B$6,'Compliance Database'!$I554))),OR(Query!$B$7="All",'Compliance Database'!$F554=Query!$B$7),OR(Query!$B$8="All",'Compliance Database'!$J554=Query!$B$8),OR(Query!$B$9="",ISNUMBER(SEARCH(Query!$B$9,'Compliance Database'!$D554&amp;" "&amp;'Compliance Database'!$K554&amp;" "&amp;'Compliance Database'!$L554&amp;" "&amp;'Compliance Database'!$M554&amp;" "&amp;'Compliance Database'!$N554)))),1,0)</f>
        <v/>
      </c>
      <c r="B554">
        <f>IF($A554=1,SUM($A$2:$A554),"")</f>
        <v/>
      </c>
      <c r="C554">
        <f>IF($A554=1,SUM($A$2:$A554),0)</f>
        <v/>
      </c>
    </row>
    <row r="555">
      <c r="A555">
        <f>IF(AND(OR(Query!$B$4="All",'Compliance Database'!$A555=Query!$B$4),OR(Query!$B$5="All",ISNUMBER(SEARCH(Query!$B$5,'Compliance Database'!$H555))),OR(Query!$B$6="All",ISNUMBER(SEARCH(Query!$B$6,'Compliance Database'!$I555))),OR(Query!$B$7="All",'Compliance Database'!$F555=Query!$B$7),OR(Query!$B$8="All",'Compliance Database'!$J555=Query!$B$8),OR(Query!$B$9="",ISNUMBER(SEARCH(Query!$B$9,'Compliance Database'!$D555&amp;" "&amp;'Compliance Database'!$K555&amp;" "&amp;'Compliance Database'!$L555&amp;" "&amp;'Compliance Database'!$M555&amp;" "&amp;'Compliance Database'!$N555)))),1,0)</f>
        <v/>
      </c>
      <c r="B555">
        <f>IF($A555=1,SUM($A$2:$A555),"")</f>
        <v/>
      </c>
      <c r="C555">
        <f>IF($A555=1,SUM($A$2:$A555),0)</f>
        <v/>
      </c>
    </row>
    <row r="556">
      <c r="A556">
        <f>IF(AND(OR(Query!$B$4="All",'Compliance Database'!$A556=Query!$B$4),OR(Query!$B$5="All",ISNUMBER(SEARCH(Query!$B$5,'Compliance Database'!$H556))),OR(Query!$B$6="All",ISNUMBER(SEARCH(Query!$B$6,'Compliance Database'!$I556))),OR(Query!$B$7="All",'Compliance Database'!$F556=Query!$B$7),OR(Query!$B$8="All",'Compliance Database'!$J556=Query!$B$8),OR(Query!$B$9="",ISNUMBER(SEARCH(Query!$B$9,'Compliance Database'!$D556&amp;" "&amp;'Compliance Database'!$K556&amp;" "&amp;'Compliance Database'!$L556&amp;" "&amp;'Compliance Database'!$M556&amp;" "&amp;'Compliance Database'!$N556)))),1,0)</f>
        <v/>
      </c>
      <c r="B556">
        <f>IF($A556=1,SUM($A$2:$A556),"")</f>
        <v/>
      </c>
      <c r="C556">
        <f>IF($A556=1,SUM($A$2:$A556),0)</f>
        <v/>
      </c>
    </row>
    <row r="557">
      <c r="A557">
        <f>IF(AND(OR(Query!$B$4="All",'Compliance Database'!$A557=Query!$B$4),OR(Query!$B$5="All",ISNUMBER(SEARCH(Query!$B$5,'Compliance Database'!$H557))),OR(Query!$B$6="All",ISNUMBER(SEARCH(Query!$B$6,'Compliance Database'!$I557))),OR(Query!$B$7="All",'Compliance Database'!$F557=Query!$B$7),OR(Query!$B$8="All",'Compliance Database'!$J557=Query!$B$8),OR(Query!$B$9="",ISNUMBER(SEARCH(Query!$B$9,'Compliance Database'!$D557&amp;" "&amp;'Compliance Database'!$K557&amp;" "&amp;'Compliance Database'!$L557&amp;" "&amp;'Compliance Database'!$M557&amp;" "&amp;'Compliance Database'!$N557)))),1,0)</f>
        <v/>
      </c>
      <c r="B557">
        <f>IF($A557=1,SUM($A$2:$A557),"")</f>
        <v/>
      </c>
      <c r="C557">
        <f>IF($A557=1,SUM($A$2:$A557),0)</f>
        <v/>
      </c>
    </row>
    <row r="558">
      <c r="A558">
        <f>IF(AND(OR(Query!$B$4="All",'Compliance Database'!$A558=Query!$B$4),OR(Query!$B$5="All",ISNUMBER(SEARCH(Query!$B$5,'Compliance Database'!$H558))),OR(Query!$B$6="All",ISNUMBER(SEARCH(Query!$B$6,'Compliance Database'!$I558))),OR(Query!$B$7="All",'Compliance Database'!$F558=Query!$B$7),OR(Query!$B$8="All",'Compliance Database'!$J558=Query!$B$8),OR(Query!$B$9="",ISNUMBER(SEARCH(Query!$B$9,'Compliance Database'!$D558&amp;" "&amp;'Compliance Database'!$K558&amp;" "&amp;'Compliance Database'!$L558&amp;" "&amp;'Compliance Database'!$M558&amp;" "&amp;'Compliance Database'!$N558)))),1,0)</f>
        <v/>
      </c>
      <c r="B558">
        <f>IF($A558=1,SUM($A$2:$A558),"")</f>
        <v/>
      </c>
      <c r="C558">
        <f>IF($A558=1,SUM($A$2:$A558),0)</f>
        <v/>
      </c>
    </row>
    <row r="559">
      <c r="A559">
        <f>IF(AND(OR(Query!$B$4="All",'Compliance Database'!$A559=Query!$B$4),OR(Query!$B$5="All",ISNUMBER(SEARCH(Query!$B$5,'Compliance Database'!$H559))),OR(Query!$B$6="All",ISNUMBER(SEARCH(Query!$B$6,'Compliance Database'!$I559))),OR(Query!$B$7="All",'Compliance Database'!$F559=Query!$B$7),OR(Query!$B$8="All",'Compliance Database'!$J559=Query!$B$8),OR(Query!$B$9="",ISNUMBER(SEARCH(Query!$B$9,'Compliance Database'!$D559&amp;" "&amp;'Compliance Database'!$K559&amp;" "&amp;'Compliance Database'!$L559&amp;" "&amp;'Compliance Database'!$M559&amp;" "&amp;'Compliance Database'!$N559)))),1,0)</f>
        <v/>
      </c>
      <c r="B559">
        <f>IF($A559=1,SUM($A$2:$A559),"")</f>
        <v/>
      </c>
      <c r="C559">
        <f>IF($A559=1,SUM($A$2:$A559),0)</f>
        <v/>
      </c>
    </row>
    <row r="560">
      <c r="A560">
        <f>IF(AND(OR(Query!$B$4="All",'Compliance Database'!$A560=Query!$B$4),OR(Query!$B$5="All",ISNUMBER(SEARCH(Query!$B$5,'Compliance Database'!$H560))),OR(Query!$B$6="All",ISNUMBER(SEARCH(Query!$B$6,'Compliance Database'!$I560))),OR(Query!$B$7="All",'Compliance Database'!$F560=Query!$B$7),OR(Query!$B$8="All",'Compliance Database'!$J560=Query!$B$8),OR(Query!$B$9="",ISNUMBER(SEARCH(Query!$B$9,'Compliance Database'!$D560&amp;" "&amp;'Compliance Database'!$K560&amp;" "&amp;'Compliance Database'!$L560&amp;" "&amp;'Compliance Database'!$M560&amp;" "&amp;'Compliance Database'!$N560)))),1,0)</f>
        <v/>
      </c>
      <c r="B560">
        <f>IF($A560=1,SUM($A$2:$A560),"")</f>
        <v/>
      </c>
      <c r="C560">
        <f>IF($A560=1,SUM($A$2:$A560),0)</f>
        <v/>
      </c>
    </row>
    <row r="561">
      <c r="A561">
        <f>IF(AND(OR(Query!$B$4="All",'Compliance Database'!$A561=Query!$B$4),OR(Query!$B$5="All",ISNUMBER(SEARCH(Query!$B$5,'Compliance Database'!$H561))),OR(Query!$B$6="All",ISNUMBER(SEARCH(Query!$B$6,'Compliance Database'!$I561))),OR(Query!$B$7="All",'Compliance Database'!$F561=Query!$B$7),OR(Query!$B$8="All",'Compliance Database'!$J561=Query!$B$8),OR(Query!$B$9="",ISNUMBER(SEARCH(Query!$B$9,'Compliance Database'!$D561&amp;" "&amp;'Compliance Database'!$K561&amp;" "&amp;'Compliance Database'!$L561&amp;" "&amp;'Compliance Database'!$M561&amp;" "&amp;'Compliance Database'!$N561)))),1,0)</f>
        <v/>
      </c>
      <c r="B561">
        <f>IF($A561=1,SUM($A$2:$A561),"")</f>
        <v/>
      </c>
      <c r="C561">
        <f>IF($A561=1,SUM($A$2:$A561),0)</f>
        <v/>
      </c>
    </row>
    <row r="562">
      <c r="A562">
        <f>IF(AND(OR(Query!$B$4="All",'Compliance Database'!$A562=Query!$B$4),OR(Query!$B$5="All",ISNUMBER(SEARCH(Query!$B$5,'Compliance Database'!$H562))),OR(Query!$B$6="All",ISNUMBER(SEARCH(Query!$B$6,'Compliance Database'!$I562))),OR(Query!$B$7="All",'Compliance Database'!$F562=Query!$B$7),OR(Query!$B$8="All",'Compliance Database'!$J562=Query!$B$8),OR(Query!$B$9="",ISNUMBER(SEARCH(Query!$B$9,'Compliance Database'!$D562&amp;" "&amp;'Compliance Database'!$K562&amp;" "&amp;'Compliance Database'!$L562&amp;" "&amp;'Compliance Database'!$M562&amp;" "&amp;'Compliance Database'!$N562)))),1,0)</f>
        <v/>
      </c>
      <c r="B562">
        <f>IF($A562=1,SUM($A$2:$A562),"")</f>
        <v/>
      </c>
      <c r="C562">
        <f>IF($A562=1,SUM($A$2:$A562),0)</f>
        <v/>
      </c>
    </row>
    <row r="563">
      <c r="A563">
        <f>IF(AND(OR(Query!$B$4="All",'Compliance Database'!$A563=Query!$B$4),OR(Query!$B$5="All",ISNUMBER(SEARCH(Query!$B$5,'Compliance Database'!$H563))),OR(Query!$B$6="All",ISNUMBER(SEARCH(Query!$B$6,'Compliance Database'!$I563))),OR(Query!$B$7="All",'Compliance Database'!$F563=Query!$B$7),OR(Query!$B$8="All",'Compliance Database'!$J563=Query!$B$8),OR(Query!$B$9="",ISNUMBER(SEARCH(Query!$B$9,'Compliance Database'!$D563&amp;" "&amp;'Compliance Database'!$K563&amp;" "&amp;'Compliance Database'!$L563&amp;" "&amp;'Compliance Database'!$M563&amp;" "&amp;'Compliance Database'!$N563)))),1,0)</f>
        <v/>
      </c>
      <c r="B563">
        <f>IF($A563=1,SUM($A$2:$A563),"")</f>
        <v/>
      </c>
      <c r="C563">
        <f>IF($A563=1,SUM($A$2:$A563),0)</f>
        <v/>
      </c>
    </row>
    <row r="564">
      <c r="A564">
        <f>IF(AND(OR(Query!$B$4="All",'Compliance Database'!$A564=Query!$B$4),OR(Query!$B$5="All",ISNUMBER(SEARCH(Query!$B$5,'Compliance Database'!$H564))),OR(Query!$B$6="All",ISNUMBER(SEARCH(Query!$B$6,'Compliance Database'!$I564))),OR(Query!$B$7="All",'Compliance Database'!$F564=Query!$B$7),OR(Query!$B$8="All",'Compliance Database'!$J564=Query!$B$8),OR(Query!$B$9="",ISNUMBER(SEARCH(Query!$B$9,'Compliance Database'!$D564&amp;" "&amp;'Compliance Database'!$K564&amp;" "&amp;'Compliance Database'!$L564&amp;" "&amp;'Compliance Database'!$M564&amp;" "&amp;'Compliance Database'!$N564)))),1,0)</f>
        <v/>
      </c>
      <c r="B564">
        <f>IF($A564=1,SUM($A$2:$A564),"")</f>
        <v/>
      </c>
      <c r="C564">
        <f>IF($A564=1,SUM($A$2:$A564),0)</f>
        <v/>
      </c>
    </row>
    <row r="565">
      <c r="A565">
        <f>IF(AND(OR(Query!$B$4="All",'Compliance Database'!$A565=Query!$B$4),OR(Query!$B$5="All",ISNUMBER(SEARCH(Query!$B$5,'Compliance Database'!$H565))),OR(Query!$B$6="All",ISNUMBER(SEARCH(Query!$B$6,'Compliance Database'!$I565))),OR(Query!$B$7="All",'Compliance Database'!$F565=Query!$B$7),OR(Query!$B$8="All",'Compliance Database'!$J565=Query!$B$8),OR(Query!$B$9="",ISNUMBER(SEARCH(Query!$B$9,'Compliance Database'!$D565&amp;" "&amp;'Compliance Database'!$K565&amp;" "&amp;'Compliance Database'!$L565&amp;" "&amp;'Compliance Database'!$M565&amp;" "&amp;'Compliance Database'!$N565)))),1,0)</f>
        <v/>
      </c>
      <c r="B565">
        <f>IF($A565=1,SUM($A$2:$A565),"")</f>
        <v/>
      </c>
      <c r="C565">
        <f>IF($A565=1,SUM($A$2:$A565),0)</f>
        <v/>
      </c>
    </row>
    <row r="566">
      <c r="A566">
        <f>IF(AND(OR(Query!$B$4="All",'Compliance Database'!$A566=Query!$B$4),OR(Query!$B$5="All",ISNUMBER(SEARCH(Query!$B$5,'Compliance Database'!$H566))),OR(Query!$B$6="All",ISNUMBER(SEARCH(Query!$B$6,'Compliance Database'!$I566))),OR(Query!$B$7="All",'Compliance Database'!$F566=Query!$B$7),OR(Query!$B$8="All",'Compliance Database'!$J566=Query!$B$8),OR(Query!$B$9="",ISNUMBER(SEARCH(Query!$B$9,'Compliance Database'!$D566&amp;" "&amp;'Compliance Database'!$K566&amp;" "&amp;'Compliance Database'!$L566&amp;" "&amp;'Compliance Database'!$M566&amp;" "&amp;'Compliance Database'!$N566)))),1,0)</f>
        <v/>
      </c>
      <c r="B566">
        <f>IF($A566=1,SUM($A$2:$A566),"")</f>
        <v/>
      </c>
      <c r="C566">
        <f>IF($A566=1,SUM($A$2:$A566),0)</f>
        <v/>
      </c>
    </row>
    <row r="567">
      <c r="A567">
        <f>IF(AND(OR(Query!$B$4="All",'Compliance Database'!$A567=Query!$B$4),OR(Query!$B$5="All",ISNUMBER(SEARCH(Query!$B$5,'Compliance Database'!$H567))),OR(Query!$B$6="All",ISNUMBER(SEARCH(Query!$B$6,'Compliance Database'!$I567))),OR(Query!$B$7="All",'Compliance Database'!$F567=Query!$B$7),OR(Query!$B$8="All",'Compliance Database'!$J567=Query!$B$8),OR(Query!$B$9="",ISNUMBER(SEARCH(Query!$B$9,'Compliance Database'!$D567&amp;" "&amp;'Compliance Database'!$K567&amp;" "&amp;'Compliance Database'!$L567&amp;" "&amp;'Compliance Database'!$M567&amp;" "&amp;'Compliance Database'!$N567)))),1,0)</f>
        <v/>
      </c>
      <c r="B567">
        <f>IF($A567=1,SUM($A$2:$A567),"")</f>
        <v/>
      </c>
      <c r="C567">
        <f>IF($A567=1,SUM($A$2:$A567),0)</f>
        <v/>
      </c>
    </row>
    <row r="568">
      <c r="A568">
        <f>IF(AND(OR(Query!$B$4="All",'Compliance Database'!$A568=Query!$B$4),OR(Query!$B$5="All",ISNUMBER(SEARCH(Query!$B$5,'Compliance Database'!$H568))),OR(Query!$B$6="All",ISNUMBER(SEARCH(Query!$B$6,'Compliance Database'!$I568))),OR(Query!$B$7="All",'Compliance Database'!$F568=Query!$B$7),OR(Query!$B$8="All",'Compliance Database'!$J568=Query!$B$8),OR(Query!$B$9="",ISNUMBER(SEARCH(Query!$B$9,'Compliance Database'!$D568&amp;" "&amp;'Compliance Database'!$K568&amp;" "&amp;'Compliance Database'!$L568&amp;" "&amp;'Compliance Database'!$M568&amp;" "&amp;'Compliance Database'!$N568)))),1,0)</f>
        <v/>
      </c>
      <c r="B568">
        <f>IF($A568=1,SUM($A$2:$A568),"")</f>
        <v/>
      </c>
      <c r="C568">
        <f>IF($A568=1,SUM($A$2:$A568),0)</f>
        <v/>
      </c>
    </row>
    <row r="569">
      <c r="A569">
        <f>IF(AND(OR(Query!$B$4="All",'Compliance Database'!$A569=Query!$B$4),OR(Query!$B$5="All",ISNUMBER(SEARCH(Query!$B$5,'Compliance Database'!$H569))),OR(Query!$B$6="All",ISNUMBER(SEARCH(Query!$B$6,'Compliance Database'!$I569))),OR(Query!$B$7="All",'Compliance Database'!$F569=Query!$B$7),OR(Query!$B$8="All",'Compliance Database'!$J569=Query!$B$8),OR(Query!$B$9="",ISNUMBER(SEARCH(Query!$B$9,'Compliance Database'!$D569&amp;" "&amp;'Compliance Database'!$K569&amp;" "&amp;'Compliance Database'!$L569&amp;" "&amp;'Compliance Database'!$M569&amp;" "&amp;'Compliance Database'!$N569)))),1,0)</f>
        <v/>
      </c>
      <c r="B569">
        <f>IF($A569=1,SUM($A$2:$A569),"")</f>
        <v/>
      </c>
      <c r="C569">
        <f>IF($A569=1,SUM($A$2:$A569),0)</f>
        <v/>
      </c>
    </row>
    <row r="570">
      <c r="A570">
        <f>IF(AND(OR(Query!$B$4="All",'Compliance Database'!$A570=Query!$B$4),OR(Query!$B$5="All",ISNUMBER(SEARCH(Query!$B$5,'Compliance Database'!$H570))),OR(Query!$B$6="All",ISNUMBER(SEARCH(Query!$B$6,'Compliance Database'!$I570))),OR(Query!$B$7="All",'Compliance Database'!$F570=Query!$B$7),OR(Query!$B$8="All",'Compliance Database'!$J570=Query!$B$8),OR(Query!$B$9="",ISNUMBER(SEARCH(Query!$B$9,'Compliance Database'!$D570&amp;" "&amp;'Compliance Database'!$K570&amp;" "&amp;'Compliance Database'!$L570&amp;" "&amp;'Compliance Database'!$M570&amp;" "&amp;'Compliance Database'!$N570)))),1,0)</f>
        <v/>
      </c>
      <c r="B570">
        <f>IF($A570=1,SUM($A$2:$A570),"")</f>
        <v/>
      </c>
      <c r="C570">
        <f>IF($A570=1,SUM($A$2:$A570),0)</f>
        <v/>
      </c>
    </row>
    <row r="571">
      <c r="A571">
        <f>IF(AND(OR(Query!$B$4="All",'Compliance Database'!$A571=Query!$B$4),OR(Query!$B$5="All",ISNUMBER(SEARCH(Query!$B$5,'Compliance Database'!$H571))),OR(Query!$B$6="All",ISNUMBER(SEARCH(Query!$B$6,'Compliance Database'!$I571))),OR(Query!$B$7="All",'Compliance Database'!$F571=Query!$B$7),OR(Query!$B$8="All",'Compliance Database'!$J571=Query!$B$8),OR(Query!$B$9="",ISNUMBER(SEARCH(Query!$B$9,'Compliance Database'!$D571&amp;" "&amp;'Compliance Database'!$K571&amp;" "&amp;'Compliance Database'!$L571&amp;" "&amp;'Compliance Database'!$M571&amp;" "&amp;'Compliance Database'!$N571)))),1,0)</f>
        <v/>
      </c>
      <c r="B571">
        <f>IF($A571=1,SUM($A$2:$A571),"")</f>
        <v/>
      </c>
      <c r="C571">
        <f>IF($A571=1,SUM($A$2:$A571),0)</f>
        <v/>
      </c>
    </row>
    <row r="572">
      <c r="A572">
        <f>IF(AND(OR(Query!$B$4="All",'Compliance Database'!$A572=Query!$B$4),OR(Query!$B$5="All",ISNUMBER(SEARCH(Query!$B$5,'Compliance Database'!$H572))),OR(Query!$B$6="All",ISNUMBER(SEARCH(Query!$B$6,'Compliance Database'!$I572))),OR(Query!$B$7="All",'Compliance Database'!$F572=Query!$B$7),OR(Query!$B$8="All",'Compliance Database'!$J572=Query!$B$8),OR(Query!$B$9="",ISNUMBER(SEARCH(Query!$B$9,'Compliance Database'!$D572&amp;" "&amp;'Compliance Database'!$K572&amp;" "&amp;'Compliance Database'!$L572&amp;" "&amp;'Compliance Database'!$M572&amp;" "&amp;'Compliance Database'!$N572)))),1,0)</f>
        <v/>
      </c>
      <c r="B572">
        <f>IF($A572=1,SUM($A$2:$A572),"")</f>
        <v/>
      </c>
      <c r="C572">
        <f>IF($A572=1,SUM($A$2:$A572),0)</f>
        <v/>
      </c>
    </row>
    <row r="573">
      <c r="A573">
        <f>IF(AND(OR(Query!$B$4="All",'Compliance Database'!$A573=Query!$B$4),OR(Query!$B$5="All",ISNUMBER(SEARCH(Query!$B$5,'Compliance Database'!$H573))),OR(Query!$B$6="All",ISNUMBER(SEARCH(Query!$B$6,'Compliance Database'!$I573))),OR(Query!$B$7="All",'Compliance Database'!$F573=Query!$B$7),OR(Query!$B$8="All",'Compliance Database'!$J573=Query!$B$8),OR(Query!$B$9="",ISNUMBER(SEARCH(Query!$B$9,'Compliance Database'!$D573&amp;" "&amp;'Compliance Database'!$K573&amp;" "&amp;'Compliance Database'!$L573&amp;" "&amp;'Compliance Database'!$M573&amp;" "&amp;'Compliance Database'!$N573)))),1,0)</f>
        <v/>
      </c>
      <c r="B573">
        <f>IF($A573=1,SUM($A$2:$A573),"")</f>
        <v/>
      </c>
      <c r="C573">
        <f>IF($A573=1,SUM($A$2:$A573),0)</f>
        <v/>
      </c>
    </row>
    <row r="574">
      <c r="A574">
        <f>IF(AND(OR(Query!$B$4="All",'Compliance Database'!$A574=Query!$B$4),OR(Query!$B$5="All",ISNUMBER(SEARCH(Query!$B$5,'Compliance Database'!$H574))),OR(Query!$B$6="All",ISNUMBER(SEARCH(Query!$B$6,'Compliance Database'!$I574))),OR(Query!$B$7="All",'Compliance Database'!$F574=Query!$B$7),OR(Query!$B$8="All",'Compliance Database'!$J574=Query!$B$8),OR(Query!$B$9="",ISNUMBER(SEARCH(Query!$B$9,'Compliance Database'!$D574&amp;" "&amp;'Compliance Database'!$K574&amp;" "&amp;'Compliance Database'!$L574&amp;" "&amp;'Compliance Database'!$M574&amp;" "&amp;'Compliance Database'!$N574)))),1,0)</f>
        <v/>
      </c>
      <c r="B574">
        <f>IF($A574=1,SUM($A$2:$A574),"")</f>
        <v/>
      </c>
      <c r="C574">
        <f>IF($A574=1,SUM($A$2:$A574),0)</f>
        <v/>
      </c>
    </row>
    <row r="575">
      <c r="A575">
        <f>IF(AND(OR(Query!$B$4="All",'Compliance Database'!$A575=Query!$B$4),OR(Query!$B$5="All",ISNUMBER(SEARCH(Query!$B$5,'Compliance Database'!$H575))),OR(Query!$B$6="All",ISNUMBER(SEARCH(Query!$B$6,'Compliance Database'!$I575))),OR(Query!$B$7="All",'Compliance Database'!$F575=Query!$B$7),OR(Query!$B$8="All",'Compliance Database'!$J575=Query!$B$8),OR(Query!$B$9="",ISNUMBER(SEARCH(Query!$B$9,'Compliance Database'!$D575&amp;" "&amp;'Compliance Database'!$K575&amp;" "&amp;'Compliance Database'!$L575&amp;" "&amp;'Compliance Database'!$M575&amp;" "&amp;'Compliance Database'!$N575)))),1,0)</f>
        <v/>
      </c>
      <c r="B575">
        <f>IF($A575=1,SUM($A$2:$A575),"")</f>
        <v/>
      </c>
      <c r="C575">
        <f>IF($A575=1,SUM($A$2:$A575),0)</f>
        <v/>
      </c>
    </row>
    <row r="576">
      <c r="A576">
        <f>IF(AND(OR(Query!$B$4="All",'Compliance Database'!$A576=Query!$B$4),OR(Query!$B$5="All",ISNUMBER(SEARCH(Query!$B$5,'Compliance Database'!$H576))),OR(Query!$B$6="All",ISNUMBER(SEARCH(Query!$B$6,'Compliance Database'!$I576))),OR(Query!$B$7="All",'Compliance Database'!$F576=Query!$B$7),OR(Query!$B$8="All",'Compliance Database'!$J576=Query!$B$8),OR(Query!$B$9="",ISNUMBER(SEARCH(Query!$B$9,'Compliance Database'!$D576&amp;" "&amp;'Compliance Database'!$K576&amp;" "&amp;'Compliance Database'!$L576&amp;" "&amp;'Compliance Database'!$M576&amp;" "&amp;'Compliance Database'!$N576)))),1,0)</f>
        <v/>
      </c>
      <c r="B576">
        <f>IF($A576=1,SUM($A$2:$A576),"")</f>
        <v/>
      </c>
      <c r="C576">
        <f>IF($A576=1,SUM($A$2:$A576),0)</f>
        <v/>
      </c>
    </row>
    <row r="577">
      <c r="A577">
        <f>IF(AND(OR(Query!$B$4="All",'Compliance Database'!$A577=Query!$B$4),OR(Query!$B$5="All",ISNUMBER(SEARCH(Query!$B$5,'Compliance Database'!$H577))),OR(Query!$B$6="All",ISNUMBER(SEARCH(Query!$B$6,'Compliance Database'!$I577))),OR(Query!$B$7="All",'Compliance Database'!$F577=Query!$B$7),OR(Query!$B$8="All",'Compliance Database'!$J577=Query!$B$8),OR(Query!$B$9="",ISNUMBER(SEARCH(Query!$B$9,'Compliance Database'!$D577&amp;" "&amp;'Compliance Database'!$K577&amp;" "&amp;'Compliance Database'!$L577&amp;" "&amp;'Compliance Database'!$M577&amp;" "&amp;'Compliance Database'!$N577)))),1,0)</f>
        <v/>
      </c>
      <c r="B577">
        <f>IF($A577=1,SUM($A$2:$A577),"")</f>
        <v/>
      </c>
      <c r="C577">
        <f>IF($A577=1,SUM($A$2:$A577),0)</f>
        <v/>
      </c>
    </row>
    <row r="578">
      <c r="A578">
        <f>IF(AND(OR(Query!$B$4="All",'Compliance Database'!$A578=Query!$B$4),OR(Query!$B$5="All",ISNUMBER(SEARCH(Query!$B$5,'Compliance Database'!$H578))),OR(Query!$B$6="All",ISNUMBER(SEARCH(Query!$B$6,'Compliance Database'!$I578))),OR(Query!$B$7="All",'Compliance Database'!$F578=Query!$B$7),OR(Query!$B$8="All",'Compliance Database'!$J578=Query!$B$8),OR(Query!$B$9="",ISNUMBER(SEARCH(Query!$B$9,'Compliance Database'!$D578&amp;" "&amp;'Compliance Database'!$K578&amp;" "&amp;'Compliance Database'!$L578&amp;" "&amp;'Compliance Database'!$M578&amp;" "&amp;'Compliance Database'!$N578)))),1,0)</f>
        <v/>
      </c>
      <c r="B578">
        <f>IF($A578=1,SUM($A$2:$A578),"")</f>
        <v/>
      </c>
      <c r="C578">
        <f>IF($A578=1,SUM($A$2:$A578),0)</f>
        <v/>
      </c>
    </row>
    <row r="579">
      <c r="A579">
        <f>IF(AND(OR(Query!$B$4="All",'Compliance Database'!$A579=Query!$B$4),OR(Query!$B$5="All",ISNUMBER(SEARCH(Query!$B$5,'Compliance Database'!$H579))),OR(Query!$B$6="All",ISNUMBER(SEARCH(Query!$B$6,'Compliance Database'!$I579))),OR(Query!$B$7="All",'Compliance Database'!$F579=Query!$B$7),OR(Query!$B$8="All",'Compliance Database'!$J579=Query!$B$8),OR(Query!$B$9="",ISNUMBER(SEARCH(Query!$B$9,'Compliance Database'!$D579&amp;" "&amp;'Compliance Database'!$K579&amp;" "&amp;'Compliance Database'!$L579&amp;" "&amp;'Compliance Database'!$M579&amp;" "&amp;'Compliance Database'!$N579)))),1,0)</f>
        <v/>
      </c>
      <c r="B579">
        <f>IF($A579=1,SUM($A$2:$A579),"")</f>
        <v/>
      </c>
      <c r="C579">
        <f>IF($A579=1,SUM($A$2:$A579),0)</f>
        <v/>
      </c>
    </row>
    <row r="580">
      <c r="A580">
        <f>IF(AND(OR(Query!$B$4="All",'Compliance Database'!$A580=Query!$B$4),OR(Query!$B$5="All",ISNUMBER(SEARCH(Query!$B$5,'Compliance Database'!$H580))),OR(Query!$B$6="All",ISNUMBER(SEARCH(Query!$B$6,'Compliance Database'!$I580))),OR(Query!$B$7="All",'Compliance Database'!$F580=Query!$B$7),OR(Query!$B$8="All",'Compliance Database'!$J580=Query!$B$8),OR(Query!$B$9="",ISNUMBER(SEARCH(Query!$B$9,'Compliance Database'!$D580&amp;" "&amp;'Compliance Database'!$K580&amp;" "&amp;'Compliance Database'!$L580&amp;" "&amp;'Compliance Database'!$M580&amp;" "&amp;'Compliance Database'!$N580)))),1,0)</f>
        <v/>
      </c>
      <c r="B580">
        <f>IF($A580=1,SUM($A$2:$A580),"")</f>
        <v/>
      </c>
      <c r="C580">
        <f>IF($A580=1,SUM($A$2:$A580),0)</f>
        <v/>
      </c>
    </row>
    <row r="581">
      <c r="A581">
        <f>IF(AND(OR(Query!$B$4="All",'Compliance Database'!$A581=Query!$B$4),OR(Query!$B$5="All",ISNUMBER(SEARCH(Query!$B$5,'Compliance Database'!$H581))),OR(Query!$B$6="All",ISNUMBER(SEARCH(Query!$B$6,'Compliance Database'!$I581))),OR(Query!$B$7="All",'Compliance Database'!$F581=Query!$B$7),OR(Query!$B$8="All",'Compliance Database'!$J581=Query!$B$8),OR(Query!$B$9="",ISNUMBER(SEARCH(Query!$B$9,'Compliance Database'!$D581&amp;" "&amp;'Compliance Database'!$K581&amp;" "&amp;'Compliance Database'!$L581&amp;" "&amp;'Compliance Database'!$M581&amp;" "&amp;'Compliance Database'!$N581)))),1,0)</f>
        <v/>
      </c>
      <c r="B581">
        <f>IF($A581=1,SUM($A$2:$A581),"")</f>
        <v/>
      </c>
      <c r="C581">
        <f>IF($A581=1,SUM($A$2:$A581),0)</f>
        <v/>
      </c>
    </row>
    <row r="582">
      <c r="A582">
        <f>IF(AND(OR(Query!$B$4="All",'Compliance Database'!$A582=Query!$B$4),OR(Query!$B$5="All",ISNUMBER(SEARCH(Query!$B$5,'Compliance Database'!$H582))),OR(Query!$B$6="All",ISNUMBER(SEARCH(Query!$B$6,'Compliance Database'!$I582))),OR(Query!$B$7="All",'Compliance Database'!$F582=Query!$B$7),OR(Query!$B$8="All",'Compliance Database'!$J582=Query!$B$8),OR(Query!$B$9="",ISNUMBER(SEARCH(Query!$B$9,'Compliance Database'!$D582&amp;" "&amp;'Compliance Database'!$K582&amp;" "&amp;'Compliance Database'!$L582&amp;" "&amp;'Compliance Database'!$M582&amp;" "&amp;'Compliance Database'!$N582)))),1,0)</f>
        <v/>
      </c>
      <c r="B582">
        <f>IF($A582=1,SUM($A$2:$A582),"")</f>
        <v/>
      </c>
      <c r="C582">
        <f>IF($A582=1,SUM($A$2:$A582),0)</f>
        <v/>
      </c>
    </row>
    <row r="583">
      <c r="A583">
        <f>IF(AND(OR(Query!$B$4="All",'Compliance Database'!$A583=Query!$B$4),OR(Query!$B$5="All",ISNUMBER(SEARCH(Query!$B$5,'Compliance Database'!$H583))),OR(Query!$B$6="All",ISNUMBER(SEARCH(Query!$B$6,'Compliance Database'!$I583))),OR(Query!$B$7="All",'Compliance Database'!$F583=Query!$B$7),OR(Query!$B$8="All",'Compliance Database'!$J583=Query!$B$8),OR(Query!$B$9="",ISNUMBER(SEARCH(Query!$B$9,'Compliance Database'!$D583&amp;" "&amp;'Compliance Database'!$K583&amp;" "&amp;'Compliance Database'!$L583&amp;" "&amp;'Compliance Database'!$M583&amp;" "&amp;'Compliance Database'!$N583)))),1,0)</f>
        <v/>
      </c>
      <c r="B583">
        <f>IF($A583=1,SUM($A$2:$A583),"")</f>
        <v/>
      </c>
      <c r="C583">
        <f>IF($A583=1,SUM($A$2:$A583),0)</f>
        <v/>
      </c>
    </row>
    <row r="584">
      <c r="A584">
        <f>IF(AND(OR(Query!$B$4="All",'Compliance Database'!$A584=Query!$B$4),OR(Query!$B$5="All",ISNUMBER(SEARCH(Query!$B$5,'Compliance Database'!$H584))),OR(Query!$B$6="All",ISNUMBER(SEARCH(Query!$B$6,'Compliance Database'!$I584))),OR(Query!$B$7="All",'Compliance Database'!$F584=Query!$B$7),OR(Query!$B$8="All",'Compliance Database'!$J584=Query!$B$8),OR(Query!$B$9="",ISNUMBER(SEARCH(Query!$B$9,'Compliance Database'!$D584&amp;" "&amp;'Compliance Database'!$K584&amp;" "&amp;'Compliance Database'!$L584&amp;" "&amp;'Compliance Database'!$M584&amp;" "&amp;'Compliance Database'!$N584)))),1,0)</f>
        <v/>
      </c>
      <c r="B584">
        <f>IF($A584=1,SUM($A$2:$A584),"")</f>
        <v/>
      </c>
      <c r="C584">
        <f>IF($A584=1,SUM($A$2:$A584),0)</f>
        <v/>
      </c>
    </row>
    <row r="585">
      <c r="A585">
        <f>IF(AND(OR(Query!$B$4="All",'Compliance Database'!$A585=Query!$B$4),OR(Query!$B$5="All",ISNUMBER(SEARCH(Query!$B$5,'Compliance Database'!$H585))),OR(Query!$B$6="All",ISNUMBER(SEARCH(Query!$B$6,'Compliance Database'!$I585))),OR(Query!$B$7="All",'Compliance Database'!$F585=Query!$B$7),OR(Query!$B$8="All",'Compliance Database'!$J585=Query!$B$8),OR(Query!$B$9="",ISNUMBER(SEARCH(Query!$B$9,'Compliance Database'!$D585&amp;" "&amp;'Compliance Database'!$K585&amp;" "&amp;'Compliance Database'!$L585&amp;" "&amp;'Compliance Database'!$M585&amp;" "&amp;'Compliance Database'!$N585)))),1,0)</f>
        <v/>
      </c>
      <c r="B585">
        <f>IF($A585=1,SUM($A$2:$A585),"")</f>
        <v/>
      </c>
      <c r="C585">
        <f>IF($A585=1,SUM($A$2:$A585),0)</f>
        <v/>
      </c>
    </row>
    <row r="586">
      <c r="A586">
        <f>IF(AND(OR(Query!$B$4="All",'Compliance Database'!$A586=Query!$B$4),OR(Query!$B$5="All",ISNUMBER(SEARCH(Query!$B$5,'Compliance Database'!$H586))),OR(Query!$B$6="All",ISNUMBER(SEARCH(Query!$B$6,'Compliance Database'!$I586))),OR(Query!$B$7="All",'Compliance Database'!$F586=Query!$B$7),OR(Query!$B$8="All",'Compliance Database'!$J586=Query!$B$8),OR(Query!$B$9="",ISNUMBER(SEARCH(Query!$B$9,'Compliance Database'!$D586&amp;" "&amp;'Compliance Database'!$K586&amp;" "&amp;'Compliance Database'!$L586&amp;" "&amp;'Compliance Database'!$M586&amp;" "&amp;'Compliance Database'!$N586)))),1,0)</f>
        <v/>
      </c>
      <c r="B586">
        <f>IF($A586=1,SUM($A$2:$A586),"")</f>
        <v/>
      </c>
      <c r="C586">
        <f>IF($A586=1,SUM($A$2:$A586),0)</f>
        <v/>
      </c>
    </row>
    <row r="587">
      <c r="A587">
        <f>IF(AND(OR(Query!$B$4="All",'Compliance Database'!$A587=Query!$B$4),OR(Query!$B$5="All",ISNUMBER(SEARCH(Query!$B$5,'Compliance Database'!$H587))),OR(Query!$B$6="All",ISNUMBER(SEARCH(Query!$B$6,'Compliance Database'!$I587))),OR(Query!$B$7="All",'Compliance Database'!$F587=Query!$B$7),OR(Query!$B$8="All",'Compliance Database'!$J587=Query!$B$8),OR(Query!$B$9="",ISNUMBER(SEARCH(Query!$B$9,'Compliance Database'!$D587&amp;" "&amp;'Compliance Database'!$K587&amp;" "&amp;'Compliance Database'!$L587&amp;" "&amp;'Compliance Database'!$M587&amp;" "&amp;'Compliance Database'!$N587)))),1,0)</f>
        <v/>
      </c>
      <c r="B587">
        <f>IF($A587=1,SUM($A$2:$A587),"")</f>
        <v/>
      </c>
      <c r="C587">
        <f>IF($A587=1,SUM($A$2:$A587),0)</f>
        <v/>
      </c>
    </row>
    <row r="588">
      <c r="A588">
        <f>IF(AND(OR(Query!$B$4="All",'Compliance Database'!$A588=Query!$B$4),OR(Query!$B$5="All",ISNUMBER(SEARCH(Query!$B$5,'Compliance Database'!$H588))),OR(Query!$B$6="All",ISNUMBER(SEARCH(Query!$B$6,'Compliance Database'!$I588))),OR(Query!$B$7="All",'Compliance Database'!$F588=Query!$B$7),OR(Query!$B$8="All",'Compliance Database'!$J588=Query!$B$8),OR(Query!$B$9="",ISNUMBER(SEARCH(Query!$B$9,'Compliance Database'!$D588&amp;" "&amp;'Compliance Database'!$K588&amp;" "&amp;'Compliance Database'!$L588&amp;" "&amp;'Compliance Database'!$M588&amp;" "&amp;'Compliance Database'!$N588)))),1,0)</f>
        <v/>
      </c>
      <c r="B588">
        <f>IF($A588=1,SUM($A$2:$A588),"")</f>
        <v/>
      </c>
      <c r="C588">
        <f>IF($A588=1,SUM($A$2:$A588),0)</f>
        <v/>
      </c>
    </row>
    <row r="589">
      <c r="A589">
        <f>IF(AND(OR(Query!$B$4="All",'Compliance Database'!$A589=Query!$B$4),OR(Query!$B$5="All",ISNUMBER(SEARCH(Query!$B$5,'Compliance Database'!$H589))),OR(Query!$B$6="All",ISNUMBER(SEARCH(Query!$B$6,'Compliance Database'!$I589))),OR(Query!$B$7="All",'Compliance Database'!$F589=Query!$B$7),OR(Query!$B$8="All",'Compliance Database'!$J589=Query!$B$8),OR(Query!$B$9="",ISNUMBER(SEARCH(Query!$B$9,'Compliance Database'!$D589&amp;" "&amp;'Compliance Database'!$K589&amp;" "&amp;'Compliance Database'!$L589&amp;" "&amp;'Compliance Database'!$M589&amp;" "&amp;'Compliance Database'!$N589)))),1,0)</f>
        <v/>
      </c>
      <c r="B589">
        <f>IF($A589=1,SUM($A$2:$A589),"")</f>
        <v/>
      </c>
      <c r="C589">
        <f>IF($A589=1,SUM($A$2:$A589),0)</f>
        <v/>
      </c>
    </row>
    <row r="590">
      <c r="A590">
        <f>IF(AND(OR(Query!$B$4="All",'Compliance Database'!$A590=Query!$B$4),OR(Query!$B$5="All",ISNUMBER(SEARCH(Query!$B$5,'Compliance Database'!$H590))),OR(Query!$B$6="All",ISNUMBER(SEARCH(Query!$B$6,'Compliance Database'!$I590))),OR(Query!$B$7="All",'Compliance Database'!$F590=Query!$B$7),OR(Query!$B$8="All",'Compliance Database'!$J590=Query!$B$8),OR(Query!$B$9="",ISNUMBER(SEARCH(Query!$B$9,'Compliance Database'!$D590&amp;" "&amp;'Compliance Database'!$K590&amp;" "&amp;'Compliance Database'!$L590&amp;" "&amp;'Compliance Database'!$M590&amp;" "&amp;'Compliance Database'!$N590)))),1,0)</f>
        <v/>
      </c>
      <c r="B590">
        <f>IF($A590=1,SUM($A$2:$A590),"")</f>
        <v/>
      </c>
      <c r="C590">
        <f>IF($A590=1,SUM($A$2:$A590),0)</f>
        <v/>
      </c>
    </row>
    <row r="591">
      <c r="A591">
        <f>IF(AND(OR(Query!$B$4="All",'Compliance Database'!$A591=Query!$B$4),OR(Query!$B$5="All",ISNUMBER(SEARCH(Query!$B$5,'Compliance Database'!$H591))),OR(Query!$B$6="All",ISNUMBER(SEARCH(Query!$B$6,'Compliance Database'!$I591))),OR(Query!$B$7="All",'Compliance Database'!$F591=Query!$B$7),OR(Query!$B$8="All",'Compliance Database'!$J591=Query!$B$8),OR(Query!$B$9="",ISNUMBER(SEARCH(Query!$B$9,'Compliance Database'!$D591&amp;" "&amp;'Compliance Database'!$K591&amp;" "&amp;'Compliance Database'!$L591&amp;" "&amp;'Compliance Database'!$M591&amp;" "&amp;'Compliance Database'!$N591)))),1,0)</f>
        <v/>
      </c>
      <c r="B591">
        <f>IF($A591=1,SUM($A$2:$A591),"")</f>
        <v/>
      </c>
      <c r="C591">
        <f>IF($A591=1,SUM($A$2:$A591),0)</f>
        <v/>
      </c>
    </row>
    <row r="592">
      <c r="A592">
        <f>IF(AND(OR(Query!$B$4="All",'Compliance Database'!$A592=Query!$B$4),OR(Query!$B$5="All",ISNUMBER(SEARCH(Query!$B$5,'Compliance Database'!$H592))),OR(Query!$B$6="All",ISNUMBER(SEARCH(Query!$B$6,'Compliance Database'!$I592))),OR(Query!$B$7="All",'Compliance Database'!$F592=Query!$B$7),OR(Query!$B$8="All",'Compliance Database'!$J592=Query!$B$8),OR(Query!$B$9="",ISNUMBER(SEARCH(Query!$B$9,'Compliance Database'!$D592&amp;" "&amp;'Compliance Database'!$K592&amp;" "&amp;'Compliance Database'!$L592&amp;" "&amp;'Compliance Database'!$M592&amp;" "&amp;'Compliance Database'!$N592)))),1,0)</f>
        <v/>
      </c>
      <c r="B592">
        <f>IF($A592=1,SUM($A$2:$A592),"")</f>
        <v/>
      </c>
      <c r="C592">
        <f>IF($A592=1,SUM($A$2:$A592),0)</f>
        <v/>
      </c>
    </row>
    <row r="593">
      <c r="A593">
        <f>IF(AND(OR(Query!$B$4="All",'Compliance Database'!$A593=Query!$B$4),OR(Query!$B$5="All",ISNUMBER(SEARCH(Query!$B$5,'Compliance Database'!$H593))),OR(Query!$B$6="All",ISNUMBER(SEARCH(Query!$B$6,'Compliance Database'!$I593))),OR(Query!$B$7="All",'Compliance Database'!$F593=Query!$B$7),OR(Query!$B$8="All",'Compliance Database'!$J593=Query!$B$8),OR(Query!$B$9="",ISNUMBER(SEARCH(Query!$B$9,'Compliance Database'!$D593&amp;" "&amp;'Compliance Database'!$K593&amp;" "&amp;'Compliance Database'!$L593&amp;" "&amp;'Compliance Database'!$M593&amp;" "&amp;'Compliance Database'!$N593)))),1,0)</f>
        <v/>
      </c>
      <c r="B593">
        <f>IF($A593=1,SUM($A$2:$A593),"")</f>
        <v/>
      </c>
      <c r="C593">
        <f>IF($A593=1,SUM($A$2:$A593),0)</f>
        <v/>
      </c>
    </row>
    <row r="594">
      <c r="A594">
        <f>IF(AND(OR(Query!$B$4="All",'Compliance Database'!$A594=Query!$B$4),OR(Query!$B$5="All",ISNUMBER(SEARCH(Query!$B$5,'Compliance Database'!$H594))),OR(Query!$B$6="All",ISNUMBER(SEARCH(Query!$B$6,'Compliance Database'!$I594))),OR(Query!$B$7="All",'Compliance Database'!$F594=Query!$B$7),OR(Query!$B$8="All",'Compliance Database'!$J594=Query!$B$8),OR(Query!$B$9="",ISNUMBER(SEARCH(Query!$B$9,'Compliance Database'!$D594&amp;" "&amp;'Compliance Database'!$K594&amp;" "&amp;'Compliance Database'!$L594&amp;" "&amp;'Compliance Database'!$M594&amp;" "&amp;'Compliance Database'!$N594)))),1,0)</f>
        <v/>
      </c>
      <c r="B594">
        <f>IF($A594=1,SUM($A$2:$A594),"")</f>
        <v/>
      </c>
      <c r="C594">
        <f>IF($A594=1,SUM($A$2:$A594),0)</f>
        <v/>
      </c>
    </row>
    <row r="595">
      <c r="A595">
        <f>IF(AND(OR(Query!$B$4="All",'Compliance Database'!$A595=Query!$B$4),OR(Query!$B$5="All",ISNUMBER(SEARCH(Query!$B$5,'Compliance Database'!$H595))),OR(Query!$B$6="All",ISNUMBER(SEARCH(Query!$B$6,'Compliance Database'!$I595))),OR(Query!$B$7="All",'Compliance Database'!$F595=Query!$B$7),OR(Query!$B$8="All",'Compliance Database'!$J595=Query!$B$8),OR(Query!$B$9="",ISNUMBER(SEARCH(Query!$B$9,'Compliance Database'!$D595&amp;" "&amp;'Compliance Database'!$K595&amp;" "&amp;'Compliance Database'!$L595&amp;" "&amp;'Compliance Database'!$M595&amp;" "&amp;'Compliance Database'!$N595)))),1,0)</f>
        <v/>
      </c>
      <c r="B595">
        <f>IF($A595=1,SUM($A$2:$A595),"")</f>
        <v/>
      </c>
      <c r="C595">
        <f>IF($A595=1,SUM($A$2:$A595),0)</f>
        <v/>
      </c>
    </row>
    <row r="596">
      <c r="A596">
        <f>IF(AND(OR(Query!$B$4="All",'Compliance Database'!$A596=Query!$B$4),OR(Query!$B$5="All",ISNUMBER(SEARCH(Query!$B$5,'Compliance Database'!$H596))),OR(Query!$B$6="All",ISNUMBER(SEARCH(Query!$B$6,'Compliance Database'!$I596))),OR(Query!$B$7="All",'Compliance Database'!$F596=Query!$B$7),OR(Query!$B$8="All",'Compliance Database'!$J596=Query!$B$8),OR(Query!$B$9="",ISNUMBER(SEARCH(Query!$B$9,'Compliance Database'!$D596&amp;" "&amp;'Compliance Database'!$K596&amp;" "&amp;'Compliance Database'!$L596&amp;" "&amp;'Compliance Database'!$M596&amp;" "&amp;'Compliance Database'!$N596)))),1,0)</f>
        <v/>
      </c>
      <c r="B596">
        <f>IF($A596=1,SUM($A$2:$A596),"")</f>
        <v/>
      </c>
      <c r="C596">
        <f>IF($A596=1,SUM($A$2:$A596),0)</f>
        <v/>
      </c>
    </row>
    <row r="597">
      <c r="A597">
        <f>IF(AND(OR(Query!$B$4="All",'Compliance Database'!$A597=Query!$B$4),OR(Query!$B$5="All",ISNUMBER(SEARCH(Query!$B$5,'Compliance Database'!$H597))),OR(Query!$B$6="All",ISNUMBER(SEARCH(Query!$B$6,'Compliance Database'!$I597))),OR(Query!$B$7="All",'Compliance Database'!$F597=Query!$B$7),OR(Query!$B$8="All",'Compliance Database'!$J597=Query!$B$8),OR(Query!$B$9="",ISNUMBER(SEARCH(Query!$B$9,'Compliance Database'!$D597&amp;" "&amp;'Compliance Database'!$K597&amp;" "&amp;'Compliance Database'!$L597&amp;" "&amp;'Compliance Database'!$M597&amp;" "&amp;'Compliance Database'!$N597)))),1,0)</f>
        <v/>
      </c>
      <c r="B597">
        <f>IF($A597=1,SUM($A$2:$A597),"")</f>
        <v/>
      </c>
      <c r="C597">
        <f>IF($A597=1,SUM($A$2:$A597),0)</f>
        <v/>
      </c>
    </row>
    <row r="598">
      <c r="A598">
        <f>IF(AND(OR(Query!$B$4="All",'Compliance Database'!$A598=Query!$B$4),OR(Query!$B$5="All",ISNUMBER(SEARCH(Query!$B$5,'Compliance Database'!$H598))),OR(Query!$B$6="All",ISNUMBER(SEARCH(Query!$B$6,'Compliance Database'!$I598))),OR(Query!$B$7="All",'Compliance Database'!$F598=Query!$B$7),OR(Query!$B$8="All",'Compliance Database'!$J598=Query!$B$8),OR(Query!$B$9="",ISNUMBER(SEARCH(Query!$B$9,'Compliance Database'!$D598&amp;" "&amp;'Compliance Database'!$K598&amp;" "&amp;'Compliance Database'!$L598&amp;" "&amp;'Compliance Database'!$M598&amp;" "&amp;'Compliance Database'!$N598)))),1,0)</f>
        <v/>
      </c>
      <c r="B598">
        <f>IF($A598=1,SUM($A$2:$A598),"")</f>
        <v/>
      </c>
      <c r="C598">
        <f>IF($A598=1,SUM($A$2:$A598),0)</f>
        <v/>
      </c>
    </row>
    <row r="599">
      <c r="A599">
        <f>IF(AND(OR(Query!$B$4="All",'Compliance Database'!$A599=Query!$B$4),OR(Query!$B$5="All",ISNUMBER(SEARCH(Query!$B$5,'Compliance Database'!$H599))),OR(Query!$B$6="All",ISNUMBER(SEARCH(Query!$B$6,'Compliance Database'!$I599))),OR(Query!$B$7="All",'Compliance Database'!$F599=Query!$B$7),OR(Query!$B$8="All",'Compliance Database'!$J599=Query!$B$8),OR(Query!$B$9="",ISNUMBER(SEARCH(Query!$B$9,'Compliance Database'!$D599&amp;" "&amp;'Compliance Database'!$K599&amp;" "&amp;'Compliance Database'!$L599&amp;" "&amp;'Compliance Database'!$M599&amp;" "&amp;'Compliance Database'!$N599)))),1,0)</f>
        <v/>
      </c>
      <c r="B599">
        <f>IF($A599=1,SUM($A$2:$A599),"")</f>
        <v/>
      </c>
      <c r="C599">
        <f>IF($A599=1,SUM($A$2:$A599),0)</f>
        <v/>
      </c>
    </row>
    <row r="600">
      <c r="A600">
        <f>IF(AND(OR(Query!$B$4="All",'Compliance Database'!$A600=Query!$B$4),OR(Query!$B$5="All",ISNUMBER(SEARCH(Query!$B$5,'Compliance Database'!$H600))),OR(Query!$B$6="All",ISNUMBER(SEARCH(Query!$B$6,'Compliance Database'!$I600))),OR(Query!$B$7="All",'Compliance Database'!$F600=Query!$B$7),OR(Query!$B$8="All",'Compliance Database'!$J600=Query!$B$8),OR(Query!$B$9="",ISNUMBER(SEARCH(Query!$B$9,'Compliance Database'!$D600&amp;" "&amp;'Compliance Database'!$K600&amp;" "&amp;'Compliance Database'!$L600&amp;" "&amp;'Compliance Database'!$M600&amp;" "&amp;'Compliance Database'!$N600)))),1,0)</f>
        <v/>
      </c>
      <c r="B600">
        <f>IF($A600=1,SUM($A$2:$A600),"")</f>
        <v/>
      </c>
      <c r="C600">
        <f>IF($A600=1,SUM($A$2:$A600),0)</f>
        <v/>
      </c>
    </row>
    <row r="601">
      <c r="A601">
        <f>IF(AND(OR(Query!$B$4="All",'Compliance Database'!$A601=Query!$B$4),OR(Query!$B$5="All",ISNUMBER(SEARCH(Query!$B$5,'Compliance Database'!$H601))),OR(Query!$B$6="All",ISNUMBER(SEARCH(Query!$B$6,'Compliance Database'!$I601))),OR(Query!$B$7="All",'Compliance Database'!$F601=Query!$B$7),OR(Query!$B$8="All",'Compliance Database'!$J601=Query!$B$8),OR(Query!$B$9="",ISNUMBER(SEARCH(Query!$B$9,'Compliance Database'!$D601&amp;" "&amp;'Compliance Database'!$K601&amp;" "&amp;'Compliance Database'!$L601&amp;" "&amp;'Compliance Database'!$M601&amp;" "&amp;'Compliance Database'!$N601)))),1,0)</f>
        <v/>
      </c>
      <c r="B601">
        <f>IF($A601=1,SUM($A$2:$A601),"")</f>
        <v/>
      </c>
      <c r="C601">
        <f>IF($A601=1,SUM($A$2:$A601),0)</f>
        <v/>
      </c>
    </row>
    <row r="602">
      <c r="A602">
        <f>IF(AND(OR(Query!$B$4="All",'Compliance Database'!$A602=Query!$B$4),OR(Query!$B$5="All",ISNUMBER(SEARCH(Query!$B$5,'Compliance Database'!$H602))),OR(Query!$B$6="All",ISNUMBER(SEARCH(Query!$B$6,'Compliance Database'!$I602))),OR(Query!$B$7="All",'Compliance Database'!$F602=Query!$B$7),OR(Query!$B$8="All",'Compliance Database'!$J602=Query!$B$8),OR(Query!$B$9="",ISNUMBER(SEARCH(Query!$B$9,'Compliance Database'!$D602&amp;" "&amp;'Compliance Database'!$K602&amp;" "&amp;'Compliance Database'!$L602&amp;" "&amp;'Compliance Database'!$M602&amp;" "&amp;'Compliance Database'!$N602)))),1,0)</f>
        <v/>
      </c>
      <c r="B602">
        <f>IF($A602=1,SUM($A$2:$A602),"")</f>
        <v/>
      </c>
      <c r="C602">
        <f>IF($A602=1,SUM($A$2:$A602),0)</f>
        <v/>
      </c>
    </row>
    <row r="603">
      <c r="A603">
        <f>IF(AND(OR(Query!$B$4="All",'Compliance Database'!$A603=Query!$B$4),OR(Query!$B$5="All",ISNUMBER(SEARCH(Query!$B$5,'Compliance Database'!$H603))),OR(Query!$B$6="All",ISNUMBER(SEARCH(Query!$B$6,'Compliance Database'!$I603))),OR(Query!$B$7="All",'Compliance Database'!$F603=Query!$B$7),OR(Query!$B$8="All",'Compliance Database'!$J603=Query!$B$8),OR(Query!$B$9="",ISNUMBER(SEARCH(Query!$B$9,'Compliance Database'!$D603&amp;" "&amp;'Compliance Database'!$K603&amp;" "&amp;'Compliance Database'!$L603&amp;" "&amp;'Compliance Database'!$M603&amp;" "&amp;'Compliance Database'!$N603)))),1,0)</f>
        <v/>
      </c>
      <c r="B603">
        <f>IF($A603=1,SUM($A$2:$A603),"")</f>
        <v/>
      </c>
      <c r="C603">
        <f>IF($A603=1,SUM($A$2:$A603),0)</f>
        <v/>
      </c>
    </row>
    <row r="604">
      <c r="A604">
        <f>IF(AND(OR(Query!$B$4="All",'Compliance Database'!$A604=Query!$B$4),OR(Query!$B$5="All",ISNUMBER(SEARCH(Query!$B$5,'Compliance Database'!$H604))),OR(Query!$B$6="All",ISNUMBER(SEARCH(Query!$B$6,'Compliance Database'!$I604))),OR(Query!$B$7="All",'Compliance Database'!$F604=Query!$B$7),OR(Query!$B$8="All",'Compliance Database'!$J604=Query!$B$8),OR(Query!$B$9="",ISNUMBER(SEARCH(Query!$B$9,'Compliance Database'!$D604&amp;" "&amp;'Compliance Database'!$K604&amp;" "&amp;'Compliance Database'!$L604&amp;" "&amp;'Compliance Database'!$M604&amp;" "&amp;'Compliance Database'!$N604)))),1,0)</f>
        <v/>
      </c>
      <c r="B604">
        <f>IF($A604=1,SUM($A$2:$A604),"")</f>
        <v/>
      </c>
      <c r="C604">
        <f>IF($A604=1,SUM($A$2:$A604),0)</f>
        <v/>
      </c>
    </row>
    <row r="605">
      <c r="A605">
        <f>IF(AND(OR(Query!$B$4="All",'Compliance Database'!$A605=Query!$B$4),OR(Query!$B$5="All",ISNUMBER(SEARCH(Query!$B$5,'Compliance Database'!$H605))),OR(Query!$B$6="All",ISNUMBER(SEARCH(Query!$B$6,'Compliance Database'!$I605))),OR(Query!$B$7="All",'Compliance Database'!$F605=Query!$B$7),OR(Query!$B$8="All",'Compliance Database'!$J605=Query!$B$8),OR(Query!$B$9="",ISNUMBER(SEARCH(Query!$B$9,'Compliance Database'!$D605&amp;" "&amp;'Compliance Database'!$K605&amp;" "&amp;'Compliance Database'!$L605&amp;" "&amp;'Compliance Database'!$M605&amp;" "&amp;'Compliance Database'!$N605)))),1,0)</f>
        <v/>
      </c>
      <c r="B605">
        <f>IF($A605=1,SUM($A$2:$A605),"")</f>
        <v/>
      </c>
      <c r="C605">
        <f>IF($A605=1,SUM($A$2:$A605),0)</f>
        <v/>
      </c>
    </row>
    <row r="606">
      <c r="A606">
        <f>IF(AND(OR(Query!$B$4="All",'Compliance Database'!$A606=Query!$B$4),OR(Query!$B$5="All",ISNUMBER(SEARCH(Query!$B$5,'Compliance Database'!$H606))),OR(Query!$B$6="All",ISNUMBER(SEARCH(Query!$B$6,'Compliance Database'!$I606))),OR(Query!$B$7="All",'Compliance Database'!$F606=Query!$B$7),OR(Query!$B$8="All",'Compliance Database'!$J606=Query!$B$8),OR(Query!$B$9="",ISNUMBER(SEARCH(Query!$B$9,'Compliance Database'!$D606&amp;" "&amp;'Compliance Database'!$K606&amp;" "&amp;'Compliance Database'!$L606&amp;" "&amp;'Compliance Database'!$M606&amp;" "&amp;'Compliance Database'!$N606)))),1,0)</f>
        <v/>
      </c>
      <c r="B606">
        <f>IF($A606=1,SUM($A$2:$A606),"")</f>
        <v/>
      </c>
      <c r="C606">
        <f>IF($A606=1,SUM($A$2:$A606),0)</f>
        <v/>
      </c>
    </row>
    <row r="607">
      <c r="A607">
        <f>IF(AND(OR(Query!$B$4="All",'Compliance Database'!$A607=Query!$B$4),OR(Query!$B$5="All",ISNUMBER(SEARCH(Query!$B$5,'Compliance Database'!$H607))),OR(Query!$B$6="All",ISNUMBER(SEARCH(Query!$B$6,'Compliance Database'!$I607))),OR(Query!$B$7="All",'Compliance Database'!$F607=Query!$B$7),OR(Query!$B$8="All",'Compliance Database'!$J607=Query!$B$8),OR(Query!$B$9="",ISNUMBER(SEARCH(Query!$B$9,'Compliance Database'!$D607&amp;" "&amp;'Compliance Database'!$K607&amp;" "&amp;'Compliance Database'!$L607&amp;" "&amp;'Compliance Database'!$M607&amp;" "&amp;'Compliance Database'!$N607)))),1,0)</f>
        <v/>
      </c>
      <c r="B607">
        <f>IF($A607=1,SUM($A$2:$A607),"")</f>
        <v/>
      </c>
      <c r="C607">
        <f>IF($A607=1,SUM($A$2:$A607),0)</f>
        <v/>
      </c>
    </row>
    <row r="608">
      <c r="A608">
        <f>IF(AND(OR(Query!$B$4="All",'Compliance Database'!$A608=Query!$B$4),OR(Query!$B$5="All",ISNUMBER(SEARCH(Query!$B$5,'Compliance Database'!$H608))),OR(Query!$B$6="All",ISNUMBER(SEARCH(Query!$B$6,'Compliance Database'!$I608))),OR(Query!$B$7="All",'Compliance Database'!$F608=Query!$B$7),OR(Query!$B$8="All",'Compliance Database'!$J608=Query!$B$8),OR(Query!$B$9="",ISNUMBER(SEARCH(Query!$B$9,'Compliance Database'!$D608&amp;" "&amp;'Compliance Database'!$K608&amp;" "&amp;'Compliance Database'!$L608&amp;" "&amp;'Compliance Database'!$M608&amp;" "&amp;'Compliance Database'!$N608)))),1,0)</f>
        <v/>
      </c>
      <c r="B608">
        <f>IF($A608=1,SUM($A$2:$A608),"")</f>
        <v/>
      </c>
      <c r="C608">
        <f>IF($A608=1,SUM($A$2:$A608),0)</f>
        <v/>
      </c>
    </row>
    <row r="609">
      <c r="A609">
        <f>IF(AND(OR(Query!$B$4="All",'Compliance Database'!$A609=Query!$B$4),OR(Query!$B$5="All",ISNUMBER(SEARCH(Query!$B$5,'Compliance Database'!$H609))),OR(Query!$B$6="All",ISNUMBER(SEARCH(Query!$B$6,'Compliance Database'!$I609))),OR(Query!$B$7="All",'Compliance Database'!$F609=Query!$B$7),OR(Query!$B$8="All",'Compliance Database'!$J609=Query!$B$8),OR(Query!$B$9="",ISNUMBER(SEARCH(Query!$B$9,'Compliance Database'!$D609&amp;" "&amp;'Compliance Database'!$K609&amp;" "&amp;'Compliance Database'!$L609&amp;" "&amp;'Compliance Database'!$M609&amp;" "&amp;'Compliance Database'!$N609)))),1,0)</f>
        <v/>
      </c>
      <c r="B609">
        <f>IF($A609=1,SUM($A$2:$A609),"")</f>
        <v/>
      </c>
      <c r="C609">
        <f>IF($A609=1,SUM($A$2:$A609),0)</f>
        <v/>
      </c>
    </row>
    <row r="610">
      <c r="A610">
        <f>IF(AND(OR(Query!$B$4="All",'Compliance Database'!$A610=Query!$B$4),OR(Query!$B$5="All",ISNUMBER(SEARCH(Query!$B$5,'Compliance Database'!$H610))),OR(Query!$B$6="All",ISNUMBER(SEARCH(Query!$B$6,'Compliance Database'!$I610))),OR(Query!$B$7="All",'Compliance Database'!$F610=Query!$B$7),OR(Query!$B$8="All",'Compliance Database'!$J610=Query!$B$8),OR(Query!$B$9="",ISNUMBER(SEARCH(Query!$B$9,'Compliance Database'!$D610&amp;" "&amp;'Compliance Database'!$K610&amp;" "&amp;'Compliance Database'!$L610&amp;" "&amp;'Compliance Database'!$M610&amp;" "&amp;'Compliance Database'!$N610)))),1,0)</f>
        <v/>
      </c>
      <c r="B610">
        <f>IF($A610=1,SUM($A$2:$A610),"")</f>
        <v/>
      </c>
      <c r="C610">
        <f>IF($A610=1,SUM($A$2:$A610),0)</f>
        <v/>
      </c>
    </row>
    <row r="611">
      <c r="A611">
        <f>IF(AND(OR(Query!$B$4="All",'Compliance Database'!$A611=Query!$B$4),OR(Query!$B$5="All",ISNUMBER(SEARCH(Query!$B$5,'Compliance Database'!$H611))),OR(Query!$B$6="All",ISNUMBER(SEARCH(Query!$B$6,'Compliance Database'!$I611))),OR(Query!$B$7="All",'Compliance Database'!$F611=Query!$B$7),OR(Query!$B$8="All",'Compliance Database'!$J611=Query!$B$8),OR(Query!$B$9="",ISNUMBER(SEARCH(Query!$B$9,'Compliance Database'!$D611&amp;" "&amp;'Compliance Database'!$K611&amp;" "&amp;'Compliance Database'!$L611&amp;" "&amp;'Compliance Database'!$M611&amp;" "&amp;'Compliance Database'!$N611)))),1,0)</f>
        <v/>
      </c>
      <c r="B611">
        <f>IF($A611=1,SUM($A$2:$A611),"")</f>
        <v/>
      </c>
      <c r="C611">
        <f>IF($A611=1,SUM($A$2:$A611),0)</f>
        <v/>
      </c>
    </row>
    <row r="612">
      <c r="A612">
        <f>IF(AND(OR(Query!$B$4="All",'Compliance Database'!$A612=Query!$B$4),OR(Query!$B$5="All",ISNUMBER(SEARCH(Query!$B$5,'Compliance Database'!$H612))),OR(Query!$B$6="All",ISNUMBER(SEARCH(Query!$B$6,'Compliance Database'!$I612))),OR(Query!$B$7="All",'Compliance Database'!$F612=Query!$B$7),OR(Query!$B$8="All",'Compliance Database'!$J612=Query!$B$8),OR(Query!$B$9="",ISNUMBER(SEARCH(Query!$B$9,'Compliance Database'!$D612&amp;" "&amp;'Compliance Database'!$K612&amp;" "&amp;'Compliance Database'!$L612&amp;" "&amp;'Compliance Database'!$M612&amp;" "&amp;'Compliance Database'!$N612)))),1,0)</f>
        <v/>
      </c>
      <c r="B612">
        <f>IF($A612=1,SUM($A$2:$A612),"")</f>
        <v/>
      </c>
      <c r="C612">
        <f>IF($A612=1,SUM($A$2:$A612),0)</f>
        <v/>
      </c>
    </row>
    <row r="613">
      <c r="A613">
        <f>IF(AND(OR(Query!$B$4="All",'Compliance Database'!$A613=Query!$B$4),OR(Query!$B$5="All",ISNUMBER(SEARCH(Query!$B$5,'Compliance Database'!$H613))),OR(Query!$B$6="All",ISNUMBER(SEARCH(Query!$B$6,'Compliance Database'!$I613))),OR(Query!$B$7="All",'Compliance Database'!$F613=Query!$B$7),OR(Query!$B$8="All",'Compliance Database'!$J613=Query!$B$8),OR(Query!$B$9="",ISNUMBER(SEARCH(Query!$B$9,'Compliance Database'!$D613&amp;" "&amp;'Compliance Database'!$K613&amp;" "&amp;'Compliance Database'!$L613&amp;" "&amp;'Compliance Database'!$M613&amp;" "&amp;'Compliance Database'!$N613)))),1,0)</f>
        <v/>
      </c>
      <c r="B613">
        <f>IF($A613=1,SUM($A$2:$A613),"")</f>
        <v/>
      </c>
      <c r="C613">
        <f>IF($A613=1,SUM($A$2:$A613),0)</f>
        <v/>
      </c>
    </row>
    <row r="614">
      <c r="A614">
        <f>IF(AND(OR(Query!$B$4="All",'Compliance Database'!$A614=Query!$B$4),OR(Query!$B$5="All",ISNUMBER(SEARCH(Query!$B$5,'Compliance Database'!$H614))),OR(Query!$B$6="All",ISNUMBER(SEARCH(Query!$B$6,'Compliance Database'!$I614))),OR(Query!$B$7="All",'Compliance Database'!$F614=Query!$B$7),OR(Query!$B$8="All",'Compliance Database'!$J614=Query!$B$8),OR(Query!$B$9="",ISNUMBER(SEARCH(Query!$B$9,'Compliance Database'!$D614&amp;" "&amp;'Compliance Database'!$K614&amp;" "&amp;'Compliance Database'!$L614&amp;" "&amp;'Compliance Database'!$M614&amp;" "&amp;'Compliance Database'!$N614)))),1,0)</f>
        <v/>
      </c>
      <c r="B614">
        <f>IF($A614=1,SUM($A$2:$A614),"")</f>
        <v/>
      </c>
      <c r="C614">
        <f>IF($A614=1,SUM($A$2:$A614),0)</f>
        <v/>
      </c>
    </row>
    <row r="615">
      <c r="A615">
        <f>IF(AND(OR(Query!$B$4="All",'Compliance Database'!$A615=Query!$B$4),OR(Query!$B$5="All",ISNUMBER(SEARCH(Query!$B$5,'Compliance Database'!$H615))),OR(Query!$B$6="All",ISNUMBER(SEARCH(Query!$B$6,'Compliance Database'!$I615))),OR(Query!$B$7="All",'Compliance Database'!$F615=Query!$B$7),OR(Query!$B$8="All",'Compliance Database'!$J615=Query!$B$8),OR(Query!$B$9="",ISNUMBER(SEARCH(Query!$B$9,'Compliance Database'!$D615&amp;" "&amp;'Compliance Database'!$K615&amp;" "&amp;'Compliance Database'!$L615&amp;" "&amp;'Compliance Database'!$M615&amp;" "&amp;'Compliance Database'!$N615)))),1,0)</f>
        <v/>
      </c>
      <c r="B615">
        <f>IF($A615=1,SUM($A$2:$A615),"")</f>
        <v/>
      </c>
      <c r="C615">
        <f>IF($A615=1,SUM($A$2:$A615),0)</f>
        <v/>
      </c>
    </row>
    <row r="616">
      <c r="A616">
        <f>IF(AND(OR(Query!$B$4="All",'Compliance Database'!$A616=Query!$B$4),OR(Query!$B$5="All",ISNUMBER(SEARCH(Query!$B$5,'Compliance Database'!$H616))),OR(Query!$B$6="All",ISNUMBER(SEARCH(Query!$B$6,'Compliance Database'!$I616))),OR(Query!$B$7="All",'Compliance Database'!$F616=Query!$B$7),OR(Query!$B$8="All",'Compliance Database'!$J616=Query!$B$8),OR(Query!$B$9="",ISNUMBER(SEARCH(Query!$B$9,'Compliance Database'!$D616&amp;" "&amp;'Compliance Database'!$K616&amp;" "&amp;'Compliance Database'!$L616&amp;" "&amp;'Compliance Database'!$M616&amp;" "&amp;'Compliance Database'!$N616)))),1,0)</f>
        <v/>
      </c>
      <c r="B616">
        <f>IF($A616=1,SUM($A$2:$A616),"")</f>
        <v/>
      </c>
      <c r="C616">
        <f>IF($A616=1,SUM($A$2:$A616),0)</f>
        <v/>
      </c>
    </row>
    <row r="617">
      <c r="A617">
        <f>IF(AND(OR(Query!$B$4="All",'Compliance Database'!$A617=Query!$B$4),OR(Query!$B$5="All",ISNUMBER(SEARCH(Query!$B$5,'Compliance Database'!$H617))),OR(Query!$B$6="All",ISNUMBER(SEARCH(Query!$B$6,'Compliance Database'!$I617))),OR(Query!$B$7="All",'Compliance Database'!$F617=Query!$B$7),OR(Query!$B$8="All",'Compliance Database'!$J617=Query!$B$8),OR(Query!$B$9="",ISNUMBER(SEARCH(Query!$B$9,'Compliance Database'!$D617&amp;" "&amp;'Compliance Database'!$K617&amp;" "&amp;'Compliance Database'!$L617&amp;" "&amp;'Compliance Database'!$M617&amp;" "&amp;'Compliance Database'!$N617)))),1,0)</f>
        <v/>
      </c>
      <c r="B617">
        <f>IF($A617=1,SUM($A$2:$A617),"")</f>
        <v/>
      </c>
      <c r="C617">
        <f>IF($A617=1,SUM($A$2:$A617),0)</f>
        <v/>
      </c>
    </row>
    <row r="618">
      <c r="A618">
        <f>IF(AND(OR(Query!$B$4="All",'Compliance Database'!$A618=Query!$B$4),OR(Query!$B$5="All",ISNUMBER(SEARCH(Query!$B$5,'Compliance Database'!$H618))),OR(Query!$B$6="All",ISNUMBER(SEARCH(Query!$B$6,'Compliance Database'!$I618))),OR(Query!$B$7="All",'Compliance Database'!$F618=Query!$B$7),OR(Query!$B$8="All",'Compliance Database'!$J618=Query!$B$8),OR(Query!$B$9="",ISNUMBER(SEARCH(Query!$B$9,'Compliance Database'!$D618&amp;" "&amp;'Compliance Database'!$K618&amp;" "&amp;'Compliance Database'!$L618&amp;" "&amp;'Compliance Database'!$M618&amp;" "&amp;'Compliance Database'!$N618)))),1,0)</f>
        <v/>
      </c>
      <c r="B618">
        <f>IF($A618=1,SUM($A$2:$A618),"")</f>
        <v/>
      </c>
      <c r="C618">
        <f>IF($A618=1,SUM($A$2:$A618),0)</f>
        <v/>
      </c>
    </row>
    <row r="619">
      <c r="A619">
        <f>IF(AND(OR(Query!$B$4="All",'Compliance Database'!$A619=Query!$B$4),OR(Query!$B$5="All",ISNUMBER(SEARCH(Query!$B$5,'Compliance Database'!$H619))),OR(Query!$B$6="All",ISNUMBER(SEARCH(Query!$B$6,'Compliance Database'!$I619))),OR(Query!$B$7="All",'Compliance Database'!$F619=Query!$B$7),OR(Query!$B$8="All",'Compliance Database'!$J619=Query!$B$8),OR(Query!$B$9="",ISNUMBER(SEARCH(Query!$B$9,'Compliance Database'!$D619&amp;" "&amp;'Compliance Database'!$K619&amp;" "&amp;'Compliance Database'!$L619&amp;" "&amp;'Compliance Database'!$M619&amp;" "&amp;'Compliance Database'!$N619)))),1,0)</f>
        <v/>
      </c>
      <c r="B619">
        <f>IF($A619=1,SUM($A$2:$A619),"")</f>
        <v/>
      </c>
      <c r="C619">
        <f>IF($A619=1,SUM($A$2:$A619),0)</f>
        <v/>
      </c>
    </row>
    <row r="620">
      <c r="A620">
        <f>IF(AND(OR(Query!$B$4="All",'Compliance Database'!$A620=Query!$B$4),OR(Query!$B$5="All",ISNUMBER(SEARCH(Query!$B$5,'Compliance Database'!$H620))),OR(Query!$B$6="All",ISNUMBER(SEARCH(Query!$B$6,'Compliance Database'!$I620))),OR(Query!$B$7="All",'Compliance Database'!$F620=Query!$B$7),OR(Query!$B$8="All",'Compliance Database'!$J620=Query!$B$8),OR(Query!$B$9="",ISNUMBER(SEARCH(Query!$B$9,'Compliance Database'!$D620&amp;" "&amp;'Compliance Database'!$K620&amp;" "&amp;'Compliance Database'!$L620&amp;" "&amp;'Compliance Database'!$M620&amp;" "&amp;'Compliance Database'!$N620)))),1,0)</f>
        <v/>
      </c>
      <c r="B620">
        <f>IF($A620=1,SUM($A$2:$A620),"")</f>
        <v/>
      </c>
      <c r="C620">
        <f>IF($A620=1,SUM($A$2:$A620),0)</f>
        <v/>
      </c>
    </row>
    <row r="621">
      <c r="A621">
        <f>IF(AND(OR(Query!$B$4="All",'Compliance Database'!$A621=Query!$B$4),OR(Query!$B$5="All",ISNUMBER(SEARCH(Query!$B$5,'Compliance Database'!$H621))),OR(Query!$B$6="All",ISNUMBER(SEARCH(Query!$B$6,'Compliance Database'!$I621))),OR(Query!$B$7="All",'Compliance Database'!$F621=Query!$B$7),OR(Query!$B$8="All",'Compliance Database'!$J621=Query!$B$8),OR(Query!$B$9="",ISNUMBER(SEARCH(Query!$B$9,'Compliance Database'!$D621&amp;" "&amp;'Compliance Database'!$K621&amp;" "&amp;'Compliance Database'!$L621&amp;" "&amp;'Compliance Database'!$M621&amp;" "&amp;'Compliance Database'!$N621)))),1,0)</f>
        <v/>
      </c>
      <c r="B621">
        <f>IF($A621=1,SUM($A$2:$A621),"")</f>
        <v/>
      </c>
      <c r="C621">
        <f>IF($A621=1,SUM($A$2:$A621),0)</f>
        <v/>
      </c>
    </row>
    <row r="622">
      <c r="A622">
        <f>IF(AND(OR(Query!$B$4="All",'Compliance Database'!$A622=Query!$B$4),OR(Query!$B$5="All",ISNUMBER(SEARCH(Query!$B$5,'Compliance Database'!$H622))),OR(Query!$B$6="All",ISNUMBER(SEARCH(Query!$B$6,'Compliance Database'!$I622))),OR(Query!$B$7="All",'Compliance Database'!$F622=Query!$B$7),OR(Query!$B$8="All",'Compliance Database'!$J622=Query!$B$8),OR(Query!$B$9="",ISNUMBER(SEARCH(Query!$B$9,'Compliance Database'!$D622&amp;" "&amp;'Compliance Database'!$K622&amp;" "&amp;'Compliance Database'!$L622&amp;" "&amp;'Compliance Database'!$M622&amp;" "&amp;'Compliance Database'!$N622)))),1,0)</f>
        <v/>
      </c>
      <c r="B622">
        <f>IF($A622=1,SUM($A$2:$A622),"")</f>
        <v/>
      </c>
      <c r="C622">
        <f>IF($A622=1,SUM($A$2:$A622),0)</f>
        <v/>
      </c>
    </row>
    <row r="623">
      <c r="A623">
        <f>IF(AND(OR(Query!$B$4="All",'Compliance Database'!$A623=Query!$B$4),OR(Query!$B$5="All",ISNUMBER(SEARCH(Query!$B$5,'Compliance Database'!$H623))),OR(Query!$B$6="All",ISNUMBER(SEARCH(Query!$B$6,'Compliance Database'!$I623))),OR(Query!$B$7="All",'Compliance Database'!$F623=Query!$B$7),OR(Query!$B$8="All",'Compliance Database'!$J623=Query!$B$8),OR(Query!$B$9="",ISNUMBER(SEARCH(Query!$B$9,'Compliance Database'!$D623&amp;" "&amp;'Compliance Database'!$K623&amp;" "&amp;'Compliance Database'!$L623&amp;" "&amp;'Compliance Database'!$M623&amp;" "&amp;'Compliance Database'!$N623)))),1,0)</f>
        <v/>
      </c>
      <c r="B623">
        <f>IF($A623=1,SUM($A$2:$A623),"")</f>
        <v/>
      </c>
      <c r="C623">
        <f>IF($A623=1,SUM($A$2:$A623),0)</f>
        <v/>
      </c>
    </row>
    <row r="624">
      <c r="A624">
        <f>IF(AND(OR(Query!$B$4="All",'Compliance Database'!$A624=Query!$B$4),OR(Query!$B$5="All",ISNUMBER(SEARCH(Query!$B$5,'Compliance Database'!$H624))),OR(Query!$B$6="All",ISNUMBER(SEARCH(Query!$B$6,'Compliance Database'!$I624))),OR(Query!$B$7="All",'Compliance Database'!$F624=Query!$B$7),OR(Query!$B$8="All",'Compliance Database'!$J624=Query!$B$8),OR(Query!$B$9="",ISNUMBER(SEARCH(Query!$B$9,'Compliance Database'!$D624&amp;" "&amp;'Compliance Database'!$K624&amp;" "&amp;'Compliance Database'!$L624&amp;" "&amp;'Compliance Database'!$M624&amp;" "&amp;'Compliance Database'!$N624)))),1,0)</f>
        <v/>
      </c>
      <c r="B624">
        <f>IF($A624=1,SUM($A$2:$A624),"")</f>
        <v/>
      </c>
      <c r="C624">
        <f>IF($A624=1,SUM($A$2:$A624),0)</f>
        <v/>
      </c>
    </row>
    <row r="625">
      <c r="A625">
        <f>IF(AND(OR(Query!$B$4="All",'Compliance Database'!$A625=Query!$B$4),OR(Query!$B$5="All",ISNUMBER(SEARCH(Query!$B$5,'Compliance Database'!$H625))),OR(Query!$B$6="All",ISNUMBER(SEARCH(Query!$B$6,'Compliance Database'!$I625))),OR(Query!$B$7="All",'Compliance Database'!$F625=Query!$B$7),OR(Query!$B$8="All",'Compliance Database'!$J625=Query!$B$8),OR(Query!$B$9="",ISNUMBER(SEARCH(Query!$B$9,'Compliance Database'!$D625&amp;" "&amp;'Compliance Database'!$K625&amp;" "&amp;'Compliance Database'!$L625&amp;" "&amp;'Compliance Database'!$M625&amp;" "&amp;'Compliance Database'!$N625)))),1,0)</f>
        <v/>
      </c>
      <c r="B625">
        <f>IF($A625=1,SUM($A$2:$A625),"")</f>
        <v/>
      </c>
      <c r="C625">
        <f>IF($A625=1,SUM($A$2:$A625),0)</f>
        <v/>
      </c>
    </row>
    <row r="626">
      <c r="A626">
        <f>IF(AND(OR(Query!$B$4="All",'Compliance Database'!$A626=Query!$B$4),OR(Query!$B$5="All",ISNUMBER(SEARCH(Query!$B$5,'Compliance Database'!$H626))),OR(Query!$B$6="All",ISNUMBER(SEARCH(Query!$B$6,'Compliance Database'!$I626))),OR(Query!$B$7="All",'Compliance Database'!$F626=Query!$B$7),OR(Query!$B$8="All",'Compliance Database'!$J626=Query!$B$8),OR(Query!$B$9="",ISNUMBER(SEARCH(Query!$B$9,'Compliance Database'!$D626&amp;" "&amp;'Compliance Database'!$K626&amp;" "&amp;'Compliance Database'!$L626&amp;" "&amp;'Compliance Database'!$M626&amp;" "&amp;'Compliance Database'!$N626)))),1,0)</f>
        <v/>
      </c>
      <c r="B626">
        <f>IF($A626=1,SUM($A$2:$A626),"")</f>
        <v/>
      </c>
      <c r="C626">
        <f>IF($A626=1,SUM($A$2:$A626),0)</f>
        <v/>
      </c>
    </row>
    <row r="627">
      <c r="A627">
        <f>IF(AND(OR(Query!$B$4="All",'Compliance Database'!$A627=Query!$B$4),OR(Query!$B$5="All",ISNUMBER(SEARCH(Query!$B$5,'Compliance Database'!$H627))),OR(Query!$B$6="All",ISNUMBER(SEARCH(Query!$B$6,'Compliance Database'!$I627))),OR(Query!$B$7="All",'Compliance Database'!$F627=Query!$B$7),OR(Query!$B$8="All",'Compliance Database'!$J627=Query!$B$8),OR(Query!$B$9="",ISNUMBER(SEARCH(Query!$B$9,'Compliance Database'!$D627&amp;" "&amp;'Compliance Database'!$K627&amp;" "&amp;'Compliance Database'!$L627&amp;" "&amp;'Compliance Database'!$M627&amp;" "&amp;'Compliance Database'!$N627)))),1,0)</f>
        <v/>
      </c>
      <c r="B627">
        <f>IF($A627=1,SUM($A$2:$A627),"")</f>
        <v/>
      </c>
      <c r="C627">
        <f>IF($A627=1,SUM($A$2:$A627),0)</f>
        <v/>
      </c>
    </row>
    <row r="628">
      <c r="A628">
        <f>IF(AND(OR(Query!$B$4="All",'Compliance Database'!$A628=Query!$B$4),OR(Query!$B$5="All",ISNUMBER(SEARCH(Query!$B$5,'Compliance Database'!$H628))),OR(Query!$B$6="All",ISNUMBER(SEARCH(Query!$B$6,'Compliance Database'!$I628))),OR(Query!$B$7="All",'Compliance Database'!$F628=Query!$B$7),OR(Query!$B$8="All",'Compliance Database'!$J628=Query!$B$8),OR(Query!$B$9="",ISNUMBER(SEARCH(Query!$B$9,'Compliance Database'!$D628&amp;" "&amp;'Compliance Database'!$K628&amp;" "&amp;'Compliance Database'!$L628&amp;" "&amp;'Compliance Database'!$M628&amp;" "&amp;'Compliance Database'!$N628)))),1,0)</f>
        <v/>
      </c>
      <c r="B628">
        <f>IF($A628=1,SUM($A$2:$A628),"")</f>
        <v/>
      </c>
      <c r="C628">
        <f>IF($A628=1,SUM($A$2:$A628),0)</f>
        <v/>
      </c>
    </row>
    <row r="629">
      <c r="A629">
        <f>IF(AND(OR(Query!$B$4="All",'Compliance Database'!$A629=Query!$B$4),OR(Query!$B$5="All",ISNUMBER(SEARCH(Query!$B$5,'Compliance Database'!$H629))),OR(Query!$B$6="All",ISNUMBER(SEARCH(Query!$B$6,'Compliance Database'!$I629))),OR(Query!$B$7="All",'Compliance Database'!$F629=Query!$B$7),OR(Query!$B$8="All",'Compliance Database'!$J629=Query!$B$8),OR(Query!$B$9="",ISNUMBER(SEARCH(Query!$B$9,'Compliance Database'!$D629&amp;" "&amp;'Compliance Database'!$K629&amp;" "&amp;'Compliance Database'!$L629&amp;" "&amp;'Compliance Database'!$M629&amp;" "&amp;'Compliance Database'!$N629)))),1,0)</f>
        <v/>
      </c>
      <c r="B629">
        <f>IF($A629=1,SUM($A$2:$A629),"")</f>
        <v/>
      </c>
      <c r="C629">
        <f>IF($A629=1,SUM($A$2:$A629),0)</f>
        <v/>
      </c>
    </row>
    <row r="630">
      <c r="A630">
        <f>IF(AND(OR(Query!$B$4="All",'Compliance Database'!$A630=Query!$B$4),OR(Query!$B$5="All",ISNUMBER(SEARCH(Query!$B$5,'Compliance Database'!$H630))),OR(Query!$B$6="All",ISNUMBER(SEARCH(Query!$B$6,'Compliance Database'!$I630))),OR(Query!$B$7="All",'Compliance Database'!$F630=Query!$B$7),OR(Query!$B$8="All",'Compliance Database'!$J630=Query!$B$8),OR(Query!$B$9="",ISNUMBER(SEARCH(Query!$B$9,'Compliance Database'!$D630&amp;" "&amp;'Compliance Database'!$K630&amp;" "&amp;'Compliance Database'!$L630&amp;" "&amp;'Compliance Database'!$M630&amp;" "&amp;'Compliance Database'!$N630)))),1,0)</f>
        <v/>
      </c>
      <c r="B630">
        <f>IF($A630=1,SUM($A$2:$A630),"")</f>
        <v/>
      </c>
      <c r="C630">
        <f>IF($A630=1,SUM($A$2:$A630),0)</f>
        <v/>
      </c>
    </row>
    <row r="631">
      <c r="A631">
        <f>IF(AND(OR(Query!$B$4="All",'Compliance Database'!$A631=Query!$B$4),OR(Query!$B$5="All",ISNUMBER(SEARCH(Query!$B$5,'Compliance Database'!$H631))),OR(Query!$B$6="All",ISNUMBER(SEARCH(Query!$B$6,'Compliance Database'!$I631))),OR(Query!$B$7="All",'Compliance Database'!$F631=Query!$B$7),OR(Query!$B$8="All",'Compliance Database'!$J631=Query!$B$8),OR(Query!$B$9="",ISNUMBER(SEARCH(Query!$B$9,'Compliance Database'!$D631&amp;" "&amp;'Compliance Database'!$K631&amp;" "&amp;'Compliance Database'!$L631&amp;" "&amp;'Compliance Database'!$M631&amp;" "&amp;'Compliance Database'!$N631)))),1,0)</f>
        <v/>
      </c>
      <c r="B631">
        <f>IF($A631=1,SUM($A$2:$A631),"")</f>
        <v/>
      </c>
      <c r="C631">
        <f>IF($A631=1,SUM($A$2:$A631),0)</f>
        <v/>
      </c>
    </row>
    <row r="632">
      <c r="A632">
        <f>IF(AND(OR(Query!$B$4="All",'Compliance Database'!$A632=Query!$B$4),OR(Query!$B$5="All",ISNUMBER(SEARCH(Query!$B$5,'Compliance Database'!$H632))),OR(Query!$B$6="All",ISNUMBER(SEARCH(Query!$B$6,'Compliance Database'!$I632))),OR(Query!$B$7="All",'Compliance Database'!$F632=Query!$B$7),OR(Query!$B$8="All",'Compliance Database'!$J632=Query!$B$8),OR(Query!$B$9="",ISNUMBER(SEARCH(Query!$B$9,'Compliance Database'!$D632&amp;" "&amp;'Compliance Database'!$K632&amp;" "&amp;'Compliance Database'!$L632&amp;" "&amp;'Compliance Database'!$M632&amp;" "&amp;'Compliance Database'!$N632)))),1,0)</f>
        <v/>
      </c>
      <c r="B632">
        <f>IF($A632=1,SUM($A$2:$A632),"")</f>
        <v/>
      </c>
      <c r="C632">
        <f>IF($A632=1,SUM($A$2:$A632),0)</f>
        <v/>
      </c>
    </row>
    <row r="633">
      <c r="A633">
        <f>IF(AND(OR(Query!$B$4="All",'Compliance Database'!$A633=Query!$B$4),OR(Query!$B$5="All",ISNUMBER(SEARCH(Query!$B$5,'Compliance Database'!$H633))),OR(Query!$B$6="All",ISNUMBER(SEARCH(Query!$B$6,'Compliance Database'!$I633))),OR(Query!$B$7="All",'Compliance Database'!$F633=Query!$B$7),OR(Query!$B$8="All",'Compliance Database'!$J633=Query!$B$8),OR(Query!$B$9="",ISNUMBER(SEARCH(Query!$B$9,'Compliance Database'!$D633&amp;" "&amp;'Compliance Database'!$K633&amp;" "&amp;'Compliance Database'!$L633&amp;" "&amp;'Compliance Database'!$M633&amp;" "&amp;'Compliance Database'!$N633)))),1,0)</f>
        <v/>
      </c>
      <c r="B633">
        <f>IF($A633=1,SUM($A$2:$A633),"")</f>
        <v/>
      </c>
      <c r="C633">
        <f>IF($A633=1,SUM($A$2:$A633),0)</f>
        <v/>
      </c>
    </row>
    <row r="634">
      <c r="A634">
        <f>IF(AND(OR(Query!$B$4="All",'Compliance Database'!$A634=Query!$B$4),OR(Query!$B$5="All",ISNUMBER(SEARCH(Query!$B$5,'Compliance Database'!$H634))),OR(Query!$B$6="All",ISNUMBER(SEARCH(Query!$B$6,'Compliance Database'!$I634))),OR(Query!$B$7="All",'Compliance Database'!$F634=Query!$B$7),OR(Query!$B$8="All",'Compliance Database'!$J634=Query!$B$8),OR(Query!$B$9="",ISNUMBER(SEARCH(Query!$B$9,'Compliance Database'!$D634&amp;" "&amp;'Compliance Database'!$K634&amp;" "&amp;'Compliance Database'!$L634&amp;" "&amp;'Compliance Database'!$M634&amp;" "&amp;'Compliance Database'!$N634)))),1,0)</f>
        <v/>
      </c>
      <c r="B634">
        <f>IF($A634=1,SUM($A$2:$A634),"")</f>
        <v/>
      </c>
      <c r="C634">
        <f>IF($A634=1,SUM($A$2:$A634),0)</f>
        <v/>
      </c>
    </row>
    <row r="635">
      <c r="A635">
        <f>IF(AND(OR(Query!$B$4="All",'Compliance Database'!$A635=Query!$B$4),OR(Query!$B$5="All",ISNUMBER(SEARCH(Query!$B$5,'Compliance Database'!$H635))),OR(Query!$B$6="All",ISNUMBER(SEARCH(Query!$B$6,'Compliance Database'!$I635))),OR(Query!$B$7="All",'Compliance Database'!$F635=Query!$B$7),OR(Query!$B$8="All",'Compliance Database'!$J635=Query!$B$8),OR(Query!$B$9="",ISNUMBER(SEARCH(Query!$B$9,'Compliance Database'!$D635&amp;" "&amp;'Compliance Database'!$K635&amp;" "&amp;'Compliance Database'!$L635&amp;" "&amp;'Compliance Database'!$M635&amp;" "&amp;'Compliance Database'!$N635)))),1,0)</f>
        <v/>
      </c>
      <c r="B635">
        <f>IF($A635=1,SUM($A$2:$A635),"")</f>
        <v/>
      </c>
      <c r="C635">
        <f>IF($A635=1,SUM($A$2:$A635),0)</f>
        <v/>
      </c>
    </row>
    <row r="636">
      <c r="A636">
        <f>IF(AND(OR(Query!$B$4="All",'Compliance Database'!$A636=Query!$B$4),OR(Query!$B$5="All",ISNUMBER(SEARCH(Query!$B$5,'Compliance Database'!$H636))),OR(Query!$B$6="All",ISNUMBER(SEARCH(Query!$B$6,'Compliance Database'!$I636))),OR(Query!$B$7="All",'Compliance Database'!$F636=Query!$B$7),OR(Query!$B$8="All",'Compliance Database'!$J636=Query!$B$8),OR(Query!$B$9="",ISNUMBER(SEARCH(Query!$B$9,'Compliance Database'!$D636&amp;" "&amp;'Compliance Database'!$K636&amp;" "&amp;'Compliance Database'!$L636&amp;" "&amp;'Compliance Database'!$M636&amp;" "&amp;'Compliance Database'!$N636)))),1,0)</f>
        <v/>
      </c>
      <c r="B636">
        <f>IF($A636=1,SUM($A$2:$A636),"")</f>
        <v/>
      </c>
      <c r="C636">
        <f>IF($A636=1,SUM($A$2:$A636),0)</f>
        <v/>
      </c>
    </row>
    <row r="637">
      <c r="A637">
        <f>IF(AND(OR(Query!$B$4="All",'Compliance Database'!$A637=Query!$B$4),OR(Query!$B$5="All",ISNUMBER(SEARCH(Query!$B$5,'Compliance Database'!$H637))),OR(Query!$B$6="All",ISNUMBER(SEARCH(Query!$B$6,'Compliance Database'!$I637))),OR(Query!$B$7="All",'Compliance Database'!$F637=Query!$B$7),OR(Query!$B$8="All",'Compliance Database'!$J637=Query!$B$8),OR(Query!$B$9="",ISNUMBER(SEARCH(Query!$B$9,'Compliance Database'!$D637&amp;" "&amp;'Compliance Database'!$K637&amp;" "&amp;'Compliance Database'!$L637&amp;" "&amp;'Compliance Database'!$M637&amp;" "&amp;'Compliance Database'!$N637)))),1,0)</f>
        <v/>
      </c>
      <c r="B637">
        <f>IF($A637=1,SUM($A$2:$A637),"")</f>
        <v/>
      </c>
      <c r="C637">
        <f>IF($A637=1,SUM($A$2:$A637),0)</f>
        <v/>
      </c>
    </row>
    <row r="638">
      <c r="A638">
        <f>IF(AND(OR(Query!$B$4="All",'Compliance Database'!$A638=Query!$B$4),OR(Query!$B$5="All",ISNUMBER(SEARCH(Query!$B$5,'Compliance Database'!$H638))),OR(Query!$B$6="All",ISNUMBER(SEARCH(Query!$B$6,'Compliance Database'!$I638))),OR(Query!$B$7="All",'Compliance Database'!$F638=Query!$B$7),OR(Query!$B$8="All",'Compliance Database'!$J638=Query!$B$8),OR(Query!$B$9="",ISNUMBER(SEARCH(Query!$B$9,'Compliance Database'!$D638&amp;" "&amp;'Compliance Database'!$K638&amp;" "&amp;'Compliance Database'!$L638&amp;" "&amp;'Compliance Database'!$M638&amp;" "&amp;'Compliance Database'!$N638)))),1,0)</f>
        <v/>
      </c>
      <c r="B638">
        <f>IF($A638=1,SUM($A$2:$A638),"")</f>
        <v/>
      </c>
      <c r="C638">
        <f>IF($A638=1,SUM($A$2:$A638),0)</f>
        <v/>
      </c>
    </row>
    <row r="639">
      <c r="A639">
        <f>IF(AND(OR(Query!$B$4="All",'Compliance Database'!$A639=Query!$B$4),OR(Query!$B$5="All",ISNUMBER(SEARCH(Query!$B$5,'Compliance Database'!$H639))),OR(Query!$B$6="All",ISNUMBER(SEARCH(Query!$B$6,'Compliance Database'!$I639))),OR(Query!$B$7="All",'Compliance Database'!$F639=Query!$B$7),OR(Query!$B$8="All",'Compliance Database'!$J639=Query!$B$8),OR(Query!$B$9="",ISNUMBER(SEARCH(Query!$B$9,'Compliance Database'!$D639&amp;" "&amp;'Compliance Database'!$K639&amp;" "&amp;'Compliance Database'!$L639&amp;" "&amp;'Compliance Database'!$M639&amp;" "&amp;'Compliance Database'!$N639)))),1,0)</f>
        <v/>
      </c>
      <c r="B639">
        <f>IF($A639=1,SUM($A$2:$A639),"")</f>
        <v/>
      </c>
      <c r="C639">
        <f>IF($A639=1,SUM($A$2:$A639),0)</f>
        <v/>
      </c>
    </row>
    <row r="640">
      <c r="A640">
        <f>IF(AND(OR(Query!$B$4="All",'Compliance Database'!$A640=Query!$B$4),OR(Query!$B$5="All",ISNUMBER(SEARCH(Query!$B$5,'Compliance Database'!$H640))),OR(Query!$B$6="All",ISNUMBER(SEARCH(Query!$B$6,'Compliance Database'!$I640))),OR(Query!$B$7="All",'Compliance Database'!$F640=Query!$B$7),OR(Query!$B$8="All",'Compliance Database'!$J640=Query!$B$8),OR(Query!$B$9="",ISNUMBER(SEARCH(Query!$B$9,'Compliance Database'!$D640&amp;" "&amp;'Compliance Database'!$K640&amp;" "&amp;'Compliance Database'!$L640&amp;" "&amp;'Compliance Database'!$M640&amp;" "&amp;'Compliance Database'!$N640)))),1,0)</f>
        <v/>
      </c>
      <c r="B640">
        <f>IF($A640=1,SUM($A$2:$A640),"")</f>
        <v/>
      </c>
      <c r="C640">
        <f>IF($A640=1,SUM($A$2:$A640),0)</f>
        <v/>
      </c>
    </row>
    <row r="641">
      <c r="A641">
        <f>IF(AND(OR(Query!$B$4="All",'Compliance Database'!$A641=Query!$B$4),OR(Query!$B$5="All",ISNUMBER(SEARCH(Query!$B$5,'Compliance Database'!$H641))),OR(Query!$B$6="All",ISNUMBER(SEARCH(Query!$B$6,'Compliance Database'!$I641))),OR(Query!$B$7="All",'Compliance Database'!$F641=Query!$B$7),OR(Query!$B$8="All",'Compliance Database'!$J641=Query!$B$8),OR(Query!$B$9="",ISNUMBER(SEARCH(Query!$B$9,'Compliance Database'!$D641&amp;" "&amp;'Compliance Database'!$K641&amp;" "&amp;'Compliance Database'!$L641&amp;" "&amp;'Compliance Database'!$M641&amp;" "&amp;'Compliance Database'!$N641)))),1,0)</f>
        <v/>
      </c>
      <c r="B641">
        <f>IF($A641=1,SUM($A$2:$A641),"")</f>
        <v/>
      </c>
      <c r="C641">
        <f>IF($A641=1,SUM($A$2:$A641),0)</f>
        <v/>
      </c>
    </row>
    <row r="642">
      <c r="A642">
        <f>IF(AND(OR(Query!$B$4="All",'Compliance Database'!$A642=Query!$B$4),OR(Query!$B$5="All",ISNUMBER(SEARCH(Query!$B$5,'Compliance Database'!$H642))),OR(Query!$B$6="All",ISNUMBER(SEARCH(Query!$B$6,'Compliance Database'!$I642))),OR(Query!$B$7="All",'Compliance Database'!$F642=Query!$B$7),OR(Query!$B$8="All",'Compliance Database'!$J642=Query!$B$8),OR(Query!$B$9="",ISNUMBER(SEARCH(Query!$B$9,'Compliance Database'!$D642&amp;" "&amp;'Compliance Database'!$K642&amp;" "&amp;'Compliance Database'!$L642&amp;" "&amp;'Compliance Database'!$M642&amp;" "&amp;'Compliance Database'!$N642)))),1,0)</f>
        <v/>
      </c>
      <c r="B642">
        <f>IF($A642=1,SUM($A$2:$A642),"")</f>
        <v/>
      </c>
      <c r="C642">
        <f>IF($A642=1,SUM($A$2:$A642),0)</f>
        <v/>
      </c>
    </row>
    <row r="643">
      <c r="A643">
        <f>IF(AND(OR(Query!$B$4="All",'Compliance Database'!$A643=Query!$B$4),OR(Query!$B$5="All",ISNUMBER(SEARCH(Query!$B$5,'Compliance Database'!$H643))),OR(Query!$B$6="All",ISNUMBER(SEARCH(Query!$B$6,'Compliance Database'!$I643))),OR(Query!$B$7="All",'Compliance Database'!$F643=Query!$B$7),OR(Query!$B$8="All",'Compliance Database'!$J643=Query!$B$8),OR(Query!$B$9="",ISNUMBER(SEARCH(Query!$B$9,'Compliance Database'!$D643&amp;" "&amp;'Compliance Database'!$K643&amp;" "&amp;'Compliance Database'!$L643&amp;" "&amp;'Compliance Database'!$M643&amp;" "&amp;'Compliance Database'!$N643)))),1,0)</f>
        <v/>
      </c>
      <c r="B643">
        <f>IF($A643=1,SUM($A$2:$A643),"")</f>
        <v/>
      </c>
      <c r="C643">
        <f>IF($A643=1,SUM($A$2:$A643),0)</f>
        <v/>
      </c>
    </row>
    <row r="644">
      <c r="A644">
        <f>IF(AND(OR(Query!$B$4="All",'Compliance Database'!$A644=Query!$B$4),OR(Query!$B$5="All",ISNUMBER(SEARCH(Query!$B$5,'Compliance Database'!$H644))),OR(Query!$B$6="All",ISNUMBER(SEARCH(Query!$B$6,'Compliance Database'!$I644))),OR(Query!$B$7="All",'Compliance Database'!$F644=Query!$B$7),OR(Query!$B$8="All",'Compliance Database'!$J644=Query!$B$8),OR(Query!$B$9="",ISNUMBER(SEARCH(Query!$B$9,'Compliance Database'!$D644&amp;" "&amp;'Compliance Database'!$K644&amp;" "&amp;'Compliance Database'!$L644&amp;" "&amp;'Compliance Database'!$M644&amp;" "&amp;'Compliance Database'!$N644)))),1,0)</f>
        <v/>
      </c>
      <c r="B644">
        <f>IF($A644=1,SUM($A$2:$A644),"")</f>
        <v/>
      </c>
      <c r="C644">
        <f>IF($A644=1,SUM($A$2:$A644),0)</f>
        <v/>
      </c>
    </row>
    <row r="645">
      <c r="A645">
        <f>IF(AND(OR(Query!$B$4="All",'Compliance Database'!$A645=Query!$B$4),OR(Query!$B$5="All",ISNUMBER(SEARCH(Query!$B$5,'Compliance Database'!$H645))),OR(Query!$B$6="All",ISNUMBER(SEARCH(Query!$B$6,'Compliance Database'!$I645))),OR(Query!$B$7="All",'Compliance Database'!$F645=Query!$B$7),OR(Query!$B$8="All",'Compliance Database'!$J645=Query!$B$8),OR(Query!$B$9="",ISNUMBER(SEARCH(Query!$B$9,'Compliance Database'!$D645&amp;" "&amp;'Compliance Database'!$K645&amp;" "&amp;'Compliance Database'!$L645&amp;" "&amp;'Compliance Database'!$M645&amp;" "&amp;'Compliance Database'!$N645)))),1,0)</f>
        <v/>
      </c>
      <c r="B645">
        <f>IF($A645=1,SUM($A$2:$A645),"")</f>
        <v/>
      </c>
      <c r="C645">
        <f>IF($A645=1,SUM($A$2:$A645),0)</f>
        <v/>
      </c>
    </row>
    <row r="646">
      <c r="A646">
        <f>IF(AND(OR(Query!$B$4="All",'Compliance Database'!$A646=Query!$B$4),OR(Query!$B$5="All",ISNUMBER(SEARCH(Query!$B$5,'Compliance Database'!$H646))),OR(Query!$B$6="All",ISNUMBER(SEARCH(Query!$B$6,'Compliance Database'!$I646))),OR(Query!$B$7="All",'Compliance Database'!$F646=Query!$B$7),OR(Query!$B$8="All",'Compliance Database'!$J646=Query!$B$8),OR(Query!$B$9="",ISNUMBER(SEARCH(Query!$B$9,'Compliance Database'!$D646&amp;" "&amp;'Compliance Database'!$K646&amp;" "&amp;'Compliance Database'!$L646&amp;" "&amp;'Compliance Database'!$M646&amp;" "&amp;'Compliance Database'!$N646)))),1,0)</f>
        <v/>
      </c>
      <c r="B646">
        <f>IF($A646=1,SUM($A$2:$A646),"")</f>
        <v/>
      </c>
      <c r="C646">
        <f>IF($A646=1,SUM($A$2:$A646),0)</f>
        <v/>
      </c>
    </row>
    <row r="647">
      <c r="A647">
        <f>IF(AND(OR(Query!$B$4="All",'Compliance Database'!$A647=Query!$B$4),OR(Query!$B$5="All",ISNUMBER(SEARCH(Query!$B$5,'Compliance Database'!$H647))),OR(Query!$B$6="All",ISNUMBER(SEARCH(Query!$B$6,'Compliance Database'!$I647))),OR(Query!$B$7="All",'Compliance Database'!$F647=Query!$B$7),OR(Query!$B$8="All",'Compliance Database'!$J647=Query!$B$8),OR(Query!$B$9="",ISNUMBER(SEARCH(Query!$B$9,'Compliance Database'!$D647&amp;" "&amp;'Compliance Database'!$K647&amp;" "&amp;'Compliance Database'!$L647&amp;" "&amp;'Compliance Database'!$M647&amp;" "&amp;'Compliance Database'!$N647)))),1,0)</f>
        <v/>
      </c>
      <c r="B647">
        <f>IF($A647=1,SUM($A$2:$A647),"")</f>
        <v/>
      </c>
      <c r="C647">
        <f>IF($A647=1,SUM($A$2:$A647),0)</f>
        <v/>
      </c>
    </row>
    <row r="648">
      <c r="A648">
        <f>IF(AND(OR(Query!$B$4="All",'Compliance Database'!$A648=Query!$B$4),OR(Query!$B$5="All",ISNUMBER(SEARCH(Query!$B$5,'Compliance Database'!$H648))),OR(Query!$B$6="All",ISNUMBER(SEARCH(Query!$B$6,'Compliance Database'!$I648))),OR(Query!$B$7="All",'Compliance Database'!$F648=Query!$B$7),OR(Query!$B$8="All",'Compliance Database'!$J648=Query!$B$8),OR(Query!$B$9="",ISNUMBER(SEARCH(Query!$B$9,'Compliance Database'!$D648&amp;" "&amp;'Compliance Database'!$K648&amp;" "&amp;'Compliance Database'!$L648&amp;" "&amp;'Compliance Database'!$M648&amp;" "&amp;'Compliance Database'!$N648)))),1,0)</f>
        <v/>
      </c>
      <c r="B648">
        <f>IF($A648=1,SUM($A$2:$A648),"")</f>
        <v/>
      </c>
      <c r="C648">
        <f>IF($A648=1,SUM($A$2:$A648),0)</f>
        <v/>
      </c>
    </row>
    <row r="649">
      <c r="A649">
        <f>IF(AND(OR(Query!$B$4="All",'Compliance Database'!$A649=Query!$B$4),OR(Query!$B$5="All",ISNUMBER(SEARCH(Query!$B$5,'Compliance Database'!$H649))),OR(Query!$B$6="All",ISNUMBER(SEARCH(Query!$B$6,'Compliance Database'!$I649))),OR(Query!$B$7="All",'Compliance Database'!$F649=Query!$B$7),OR(Query!$B$8="All",'Compliance Database'!$J649=Query!$B$8),OR(Query!$B$9="",ISNUMBER(SEARCH(Query!$B$9,'Compliance Database'!$D649&amp;" "&amp;'Compliance Database'!$K649&amp;" "&amp;'Compliance Database'!$L649&amp;" "&amp;'Compliance Database'!$M649&amp;" "&amp;'Compliance Database'!$N649)))),1,0)</f>
        <v/>
      </c>
      <c r="B649">
        <f>IF($A649=1,SUM($A$2:$A649),"")</f>
        <v/>
      </c>
      <c r="C649">
        <f>IF($A649=1,SUM($A$2:$A649),0)</f>
        <v/>
      </c>
    </row>
    <row r="650">
      <c r="A650">
        <f>IF(AND(OR(Query!$B$4="All",'Compliance Database'!$A650=Query!$B$4),OR(Query!$B$5="All",ISNUMBER(SEARCH(Query!$B$5,'Compliance Database'!$H650))),OR(Query!$B$6="All",ISNUMBER(SEARCH(Query!$B$6,'Compliance Database'!$I650))),OR(Query!$B$7="All",'Compliance Database'!$F650=Query!$B$7),OR(Query!$B$8="All",'Compliance Database'!$J650=Query!$B$8),OR(Query!$B$9="",ISNUMBER(SEARCH(Query!$B$9,'Compliance Database'!$D650&amp;" "&amp;'Compliance Database'!$K650&amp;" "&amp;'Compliance Database'!$L650&amp;" "&amp;'Compliance Database'!$M650&amp;" "&amp;'Compliance Database'!$N650)))),1,0)</f>
        <v/>
      </c>
      <c r="B650">
        <f>IF($A650=1,SUM($A$2:$A650),"")</f>
        <v/>
      </c>
      <c r="C650">
        <f>IF($A650=1,SUM($A$2:$A650),0)</f>
        <v/>
      </c>
    </row>
    <row r="651">
      <c r="A651">
        <f>IF(AND(OR(Query!$B$4="All",'Compliance Database'!$A651=Query!$B$4),OR(Query!$B$5="All",ISNUMBER(SEARCH(Query!$B$5,'Compliance Database'!$H651))),OR(Query!$B$6="All",ISNUMBER(SEARCH(Query!$B$6,'Compliance Database'!$I651))),OR(Query!$B$7="All",'Compliance Database'!$F651=Query!$B$7),OR(Query!$B$8="All",'Compliance Database'!$J651=Query!$B$8),OR(Query!$B$9="",ISNUMBER(SEARCH(Query!$B$9,'Compliance Database'!$D651&amp;" "&amp;'Compliance Database'!$K651&amp;" "&amp;'Compliance Database'!$L651&amp;" "&amp;'Compliance Database'!$M651&amp;" "&amp;'Compliance Database'!$N651)))),1,0)</f>
        <v/>
      </c>
      <c r="B651">
        <f>IF($A651=1,SUM($A$2:$A651),"")</f>
        <v/>
      </c>
      <c r="C651">
        <f>IF($A651=1,SUM($A$2:$A651),0)</f>
        <v/>
      </c>
    </row>
    <row r="652">
      <c r="A652">
        <f>IF(AND(OR(Query!$B$4="All",'Compliance Database'!$A652=Query!$B$4),OR(Query!$B$5="All",ISNUMBER(SEARCH(Query!$B$5,'Compliance Database'!$H652))),OR(Query!$B$6="All",ISNUMBER(SEARCH(Query!$B$6,'Compliance Database'!$I652))),OR(Query!$B$7="All",'Compliance Database'!$F652=Query!$B$7),OR(Query!$B$8="All",'Compliance Database'!$J652=Query!$B$8),OR(Query!$B$9="",ISNUMBER(SEARCH(Query!$B$9,'Compliance Database'!$D652&amp;" "&amp;'Compliance Database'!$K652&amp;" "&amp;'Compliance Database'!$L652&amp;" "&amp;'Compliance Database'!$M652&amp;" "&amp;'Compliance Database'!$N652)))),1,0)</f>
        <v/>
      </c>
      <c r="B652">
        <f>IF($A652=1,SUM($A$2:$A652),"")</f>
        <v/>
      </c>
      <c r="C652">
        <f>IF($A652=1,SUM($A$2:$A652),0)</f>
        <v/>
      </c>
    </row>
    <row r="653">
      <c r="A653">
        <f>IF(AND(OR(Query!$B$4="All",'Compliance Database'!$A653=Query!$B$4),OR(Query!$B$5="All",ISNUMBER(SEARCH(Query!$B$5,'Compliance Database'!$H653))),OR(Query!$B$6="All",ISNUMBER(SEARCH(Query!$B$6,'Compliance Database'!$I653))),OR(Query!$B$7="All",'Compliance Database'!$F653=Query!$B$7),OR(Query!$B$8="All",'Compliance Database'!$J653=Query!$B$8),OR(Query!$B$9="",ISNUMBER(SEARCH(Query!$B$9,'Compliance Database'!$D653&amp;" "&amp;'Compliance Database'!$K653&amp;" "&amp;'Compliance Database'!$L653&amp;" "&amp;'Compliance Database'!$M653&amp;" "&amp;'Compliance Database'!$N653)))),1,0)</f>
        <v/>
      </c>
      <c r="B653">
        <f>IF($A653=1,SUM($A$2:$A653),"")</f>
        <v/>
      </c>
      <c r="C653">
        <f>IF($A653=1,SUM($A$2:$A653),0)</f>
        <v/>
      </c>
    </row>
    <row r="654">
      <c r="A654">
        <f>IF(AND(OR(Query!$B$4="All",'Compliance Database'!$A654=Query!$B$4),OR(Query!$B$5="All",ISNUMBER(SEARCH(Query!$B$5,'Compliance Database'!$H654))),OR(Query!$B$6="All",ISNUMBER(SEARCH(Query!$B$6,'Compliance Database'!$I654))),OR(Query!$B$7="All",'Compliance Database'!$F654=Query!$B$7),OR(Query!$B$8="All",'Compliance Database'!$J654=Query!$B$8),OR(Query!$B$9="",ISNUMBER(SEARCH(Query!$B$9,'Compliance Database'!$D654&amp;" "&amp;'Compliance Database'!$K654&amp;" "&amp;'Compliance Database'!$L654&amp;" "&amp;'Compliance Database'!$M654&amp;" "&amp;'Compliance Database'!$N654)))),1,0)</f>
        <v/>
      </c>
      <c r="B654">
        <f>IF($A654=1,SUM($A$2:$A654),"")</f>
        <v/>
      </c>
      <c r="C654">
        <f>IF($A654=1,SUM($A$2:$A654),0)</f>
        <v/>
      </c>
    </row>
    <row r="655">
      <c r="A655">
        <f>IF(AND(OR(Query!$B$4="All",'Compliance Database'!$A655=Query!$B$4),OR(Query!$B$5="All",ISNUMBER(SEARCH(Query!$B$5,'Compliance Database'!$H655))),OR(Query!$B$6="All",ISNUMBER(SEARCH(Query!$B$6,'Compliance Database'!$I655))),OR(Query!$B$7="All",'Compliance Database'!$F655=Query!$B$7),OR(Query!$B$8="All",'Compliance Database'!$J655=Query!$B$8),OR(Query!$B$9="",ISNUMBER(SEARCH(Query!$B$9,'Compliance Database'!$D655&amp;" "&amp;'Compliance Database'!$K655&amp;" "&amp;'Compliance Database'!$L655&amp;" "&amp;'Compliance Database'!$M655&amp;" "&amp;'Compliance Database'!$N655)))),1,0)</f>
        <v/>
      </c>
      <c r="B655">
        <f>IF($A655=1,SUM($A$2:$A655),"")</f>
        <v/>
      </c>
      <c r="C655">
        <f>IF($A655=1,SUM($A$2:$A655),0)</f>
        <v/>
      </c>
    </row>
    <row r="656">
      <c r="A656">
        <f>IF(AND(OR(Query!$B$4="All",'Compliance Database'!$A656=Query!$B$4),OR(Query!$B$5="All",ISNUMBER(SEARCH(Query!$B$5,'Compliance Database'!$H656))),OR(Query!$B$6="All",ISNUMBER(SEARCH(Query!$B$6,'Compliance Database'!$I656))),OR(Query!$B$7="All",'Compliance Database'!$F656=Query!$B$7),OR(Query!$B$8="All",'Compliance Database'!$J656=Query!$B$8),OR(Query!$B$9="",ISNUMBER(SEARCH(Query!$B$9,'Compliance Database'!$D656&amp;" "&amp;'Compliance Database'!$K656&amp;" "&amp;'Compliance Database'!$L656&amp;" "&amp;'Compliance Database'!$M656&amp;" "&amp;'Compliance Database'!$N656)))),1,0)</f>
        <v/>
      </c>
      <c r="B656">
        <f>IF($A656=1,SUM($A$2:$A656),"")</f>
        <v/>
      </c>
      <c r="C656">
        <f>IF($A656=1,SUM($A$2:$A656),0)</f>
        <v/>
      </c>
    </row>
    <row r="657">
      <c r="A657">
        <f>IF(AND(OR(Query!$B$4="All",'Compliance Database'!$A657=Query!$B$4),OR(Query!$B$5="All",ISNUMBER(SEARCH(Query!$B$5,'Compliance Database'!$H657))),OR(Query!$B$6="All",ISNUMBER(SEARCH(Query!$B$6,'Compliance Database'!$I657))),OR(Query!$B$7="All",'Compliance Database'!$F657=Query!$B$7),OR(Query!$B$8="All",'Compliance Database'!$J657=Query!$B$8),OR(Query!$B$9="",ISNUMBER(SEARCH(Query!$B$9,'Compliance Database'!$D657&amp;" "&amp;'Compliance Database'!$K657&amp;" "&amp;'Compliance Database'!$L657&amp;" "&amp;'Compliance Database'!$M657&amp;" "&amp;'Compliance Database'!$N657)))),1,0)</f>
        <v/>
      </c>
      <c r="B657">
        <f>IF($A657=1,SUM($A$2:$A657),"")</f>
        <v/>
      </c>
      <c r="C657">
        <f>IF($A657=1,SUM($A$2:$A657),0)</f>
        <v/>
      </c>
    </row>
    <row r="658">
      <c r="A658">
        <f>IF(AND(OR(Query!$B$4="All",'Compliance Database'!$A658=Query!$B$4),OR(Query!$B$5="All",ISNUMBER(SEARCH(Query!$B$5,'Compliance Database'!$H658))),OR(Query!$B$6="All",ISNUMBER(SEARCH(Query!$B$6,'Compliance Database'!$I658))),OR(Query!$B$7="All",'Compliance Database'!$F658=Query!$B$7),OR(Query!$B$8="All",'Compliance Database'!$J658=Query!$B$8),OR(Query!$B$9="",ISNUMBER(SEARCH(Query!$B$9,'Compliance Database'!$D658&amp;" "&amp;'Compliance Database'!$K658&amp;" "&amp;'Compliance Database'!$L658&amp;" "&amp;'Compliance Database'!$M658&amp;" "&amp;'Compliance Database'!$N658)))),1,0)</f>
        <v/>
      </c>
      <c r="B658">
        <f>IF($A658=1,SUM($A$2:$A658),"")</f>
        <v/>
      </c>
      <c r="C658">
        <f>IF($A658=1,SUM($A$2:$A658),0)</f>
        <v/>
      </c>
    </row>
    <row r="659">
      <c r="A659">
        <f>IF(AND(OR(Query!$B$4="All",'Compliance Database'!$A659=Query!$B$4),OR(Query!$B$5="All",ISNUMBER(SEARCH(Query!$B$5,'Compliance Database'!$H659))),OR(Query!$B$6="All",ISNUMBER(SEARCH(Query!$B$6,'Compliance Database'!$I659))),OR(Query!$B$7="All",'Compliance Database'!$F659=Query!$B$7),OR(Query!$B$8="All",'Compliance Database'!$J659=Query!$B$8),OR(Query!$B$9="",ISNUMBER(SEARCH(Query!$B$9,'Compliance Database'!$D659&amp;" "&amp;'Compliance Database'!$K659&amp;" "&amp;'Compliance Database'!$L659&amp;" "&amp;'Compliance Database'!$M659&amp;" "&amp;'Compliance Database'!$N659)))),1,0)</f>
        <v/>
      </c>
      <c r="B659">
        <f>IF($A659=1,SUM($A$2:$A659),"")</f>
        <v/>
      </c>
      <c r="C659">
        <f>IF($A659=1,SUM($A$2:$A659),0)</f>
        <v/>
      </c>
    </row>
    <row r="660">
      <c r="A660">
        <f>IF(AND(OR(Query!$B$4="All",'Compliance Database'!$A660=Query!$B$4),OR(Query!$B$5="All",ISNUMBER(SEARCH(Query!$B$5,'Compliance Database'!$H660))),OR(Query!$B$6="All",ISNUMBER(SEARCH(Query!$B$6,'Compliance Database'!$I660))),OR(Query!$B$7="All",'Compliance Database'!$F660=Query!$B$7),OR(Query!$B$8="All",'Compliance Database'!$J660=Query!$B$8),OR(Query!$B$9="",ISNUMBER(SEARCH(Query!$B$9,'Compliance Database'!$D660&amp;" "&amp;'Compliance Database'!$K660&amp;" "&amp;'Compliance Database'!$L660&amp;" "&amp;'Compliance Database'!$M660&amp;" "&amp;'Compliance Database'!$N660)))),1,0)</f>
        <v/>
      </c>
      <c r="B660">
        <f>IF($A660=1,SUM($A$2:$A660),"")</f>
        <v/>
      </c>
      <c r="C660">
        <f>IF($A660=1,SUM($A$2:$A660),0)</f>
        <v/>
      </c>
    </row>
    <row r="661">
      <c r="A661">
        <f>IF(AND(OR(Query!$B$4="All",'Compliance Database'!$A661=Query!$B$4),OR(Query!$B$5="All",ISNUMBER(SEARCH(Query!$B$5,'Compliance Database'!$H661))),OR(Query!$B$6="All",ISNUMBER(SEARCH(Query!$B$6,'Compliance Database'!$I661))),OR(Query!$B$7="All",'Compliance Database'!$F661=Query!$B$7),OR(Query!$B$8="All",'Compliance Database'!$J661=Query!$B$8),OR(Query!$B$9="",ISNUMBER(SEARCH(Query!$B$9,'Compliance Database'!$D661&amp;" "&amp;'Compliance Database'!$K661&amp;" "&amp;'Compliance Database'!$L661&amp;" "&amp;'Compliance Database'!$M661&amp;" "&amp;'Compliance Database'!$N661)))),1,0)</f>
        <v/>
      </c>
      <c r="B661">
        <f>IF($A661=1,SUM($A$2:$A661),"")</f>
        <v/>
      </c>
      <c r="C661">
        <f>IF($A661=1,SUM($A$2:$A661),0)</f>
        <v/>
      </c>
    </row>
    <row r="662">
      <c r="A662">
        <f>IF(AND(OR(Query!$B$4="All",'Compliance Database'!$A662=Query!$B$4),OR(Query!$B$5="All",ISNUMBER(SEARCH(Query!$B$5,'Compliance Database'!$H662))),OR(Query!$B$6="All",ISNUMBER(SEARCH(Query!$B$6,'Compliance Database'!$I662))),OR(Query!$B$7="All",'Compliance Database'!$F662=Query!$B$7),OR(Query!$B$8="All",'Compliance Database'!$J662=Query!$B$8),OR(Query!$B$9="",ISNUMBER(SEARCH(Query!$B$9,'Compliance Database'!$D662&amp;" "&amp;'Compliance Database'!$K662&amp;" "&amp;'Compliance Database'!$L662&amp;" "&amp;'Compliance Database'!$M662&amp;" "&amp;'Compliance Database'!$N662)))),1,0)</f>
        <v/>
      </c>
      <c r="B662">
        <f>IF($A662=1,SUM($A$2:$A662),"")</f>
        <v/>
      </c>
      <c r="C662">
        <f>IF($A662=1,SUM($A$2:$A662),0)</f>
        <v/>
      </c>
    </row>
    <row r="663">
      <c r="A663">
        <f>IF(AND(OR(Query!$B$4="All",'Compliance Database'!$A663=Query!$B$4),OR(Query!$B$5="All",ISNUMBER(SEARCH(Query!$B$5,'Compliance Database'!$H663))),OR(Query!$B$6="All",ISNUMBER(SEARCH(Query!$B$6,'Compliance Database'!$I663))),OR(Query!$B$7="All",'Compliance Database'!$F663=Query!$B$7),OR(Query!$B$8="All",'Compliance Database'!$J663=Query!$B$8),OR(Query!$B$9="",ISNUMBER(SEARCH(Query!$B$9,'Compliance Database'!$D663&amp;" "&amp;'Compliance Database'!$K663&amp;" "&amp;'Compliance Database'!$L663&amp;" "&amp;'Compliance Database'!$M663&amp;" "&amp;'Compliance Database'!$N663)))),1,0)</f>
        <v/>
      </c>
      <c r="B663">
        <f>IF($A663=1,SUM($A$2:$A663),"")</f>
        <v/>
      </c>
      <c r="C663">
        <f>IF($A663=1,SUM($A$2:$A663),0)</f>
        <v/>
      </c>
    </row>
    <row r="664">
      <c r="A664">
        <f>IF(AND(OR(Query!$B$4="All",'Compliance Database'!$A664=Query!$B$4),OR(Query!$B$5="All",ISNUMBER(SEARCH(Query!$B$5,'Compliance Database'!$H664))),OR(Query!$B$6="All",ISNUMBER(SEARCH(Query!$B$6,'Compliance Database'!$I664))),OR(Query!$B$7="All",'Compliance Database'!$F664=Query!$B$7),OR(Query!$B$8="All",'Compliance Database'!$J664=Query!$B$8),OR(Query!$B$9="",ISNUMBER(SEARCH(Query!$B$9,'Compliance Database'!$D664&amp;" "&amp;'Compliance Database'!$K664&amp;" "&amp;'Compliance Database'!$L664&amp;" "&amp;'Compliance Database'!$M664&amp;" "&amp;'Compliance Database'!$N664)))),1,0)</f>
        <v/>
      </c>
      <c r="B664">
        <f>IF($A664=1,SUM($A$2:$A664),"")</f>
        <v/>
      </c>
      <c r="C664">
        <f>IF($A664=1,SUM($A$2:$A664),0)</f>
        <v/>
      </c>
    </row>
    <row r="665">
      <c r="A665">
        <f>IF(AND(OR(Query!$B$4="All",'Compliance Database'!$A665=Query!$B$4),OR(Query!$B$5="All",ISNUMBER(SEARCH(Query!$B$5,'Compliance Database'!$H665))),OR(Query!$B$6="All",ISNUMBER(SEARCH(Query!$B$6,'Compliance Database'!$I665))),OR(Query!$B$7="All",'Compliance Database'!$F665=Query!$B$7),OR(Query!$B$8="All",'Compliance Database'!$J665=Query!$B$8),OR(Query!$B$9="",ISNUMBER(SEARCH(Query!$B$9,'Compliance Database'!$D665&amp;" "&amp;'Compliance Database'!$K665&amp;" "&amp;'Compliance Database'!$L665&amp;" "&amp;'Compliance Database'!$M665&amp;" "&amp;'Compliance Database'!$N665)))),1,0)</f>
        <v/>
      </c>
      <c r="B665">
        <f>IF($A665=1,SUM($A$2:$A665),"")</f>
        <v/>
      </c>
      <c r="C665">
        <f>IF($A665=1,SUM($A$2:$A665),0)</f>
        <v/>
      </c>
    </row>
    <row r="666">
      <c r="A666">
        <f>IF(AND(OR(Query!$B$4="All",'Compliance Database'!$A666=Query!$B$4),OR(Query!$B$5="All",ISNUMBER(SEARCH(Query!$B$5,'Compliance Database'!$H666))),OR(Query!$B$6="All",ISNUMBER(SEARCH(Query!$B$6,'Compliance Database'!$I666))),OR(Query!$B$7="All",'Compliance Database'!$F666=Query!$B$7),OR(Query!$B$8="All",'Compliance Database'!$J666=Query!$B$8),OR(Query!$B$9="",ISNUMBER(SEARCH(Query!$B$9,'Compliance Database'!$D666&amp;" "&amp;'Compliance Database'!$K666&amp;" "&amp;'Compliance Database'!$L666&amp;" "&amp;'Compliance Database'!$M666&amp;" "&amp;'Compliance Database'!$N666)))),1,0)</f>
        <v/>
      </c>
      <c r="B666">
        <f>IF($A666=1,SUM($A$2:$A666),"")</f>
        <v/>
      </c>
      <c r="C666">
        <f>IF($A666=1,SUM($A$2:$A666),0)</f>
        <v/>
      </c>
    </row>
    <row r="667">
      <c r="A667">
        <f>IF(AND(OR(Query!$B$4="All",'Compliance Database'!$A667=Query!$B$4),OR(Query!$B$5="All",ISNUMBER(SEARCH(Query!$B$5,'Compliance Database'!$H667))),OR(Query!$B$6="All",ISNUMBER(SEARCH(Query!$B$6,'Compliance Database'!$I667))),OR(Query!$B$7="All",'Compliance Database'!$F667=Query!$B$7),OR(Query!$B$8="All",'Compliance Database'!$J667=Query!$B$8),OR(Query!$B$9="",ISNUMBER(SEARCH(Query!$B$9,'Compliance Database'!$D667&amp;" "&amp;'Compliance Database'!$K667&amp;" "&amp;'Compliance Database'!$L667&amp;" "&amp;'Compliance Database'!$M667&amp;" "&amp;'Compliance Database'!$N667)))),1,0)</f>
        <v/>
      </c>
      <c r="B667">
        <f>IF($A667=1,SUM($A$2:$A667),"")</f>
        <v/>
      </c>
      <c r="C667">
        <f>IF($A667=1,SUM($A$2:$A667),0)</f>
        <v/>
      </c>
    </row>
    <row r="668">
      <c r="A668">
        <f>IF(AND(OR(Query!$B$4="All",'Compliance Database'!$A668=Query!$B$4),OR(Query!$B$5="All",ISNUMBER(SEARCH(Query!$B$5,'Compliance Database'!$H668))),OR(Query!$B$6="All",ISNUMBER(SEARCH(Query!$B$6,'Compliance Database'!$I668))),OR(Query!$B$7="All",'Compliance Database'!$F668=Query!$B$7),OR(Query!$B$8="All",'Compliance Database'!$J668=Query!$B$8),OR(Query!$B$9="",ISNUMBER(SEARCH(Query!$B$9,'Compliance Database'!$D668&amp;" "&amp;'Compliance Database'!$K668&amp;" "&amp;'Compliance Database'!$L668&amp;" "&amp;'Compliance Database'!$M668&amp;" "&amp;'Compliance Database'!$N668)))),1,0)</f>
        <v/>
      </c>
      <c r="B668">
        <f>IF($A668=1,SUM($A$2:$A668),"")</f>
        <v/>
      </c>
      <c r="C668">
        <f>IF($A668=1,SUM($A$2:$A668),0)</f>
        <v/>
      </c>
    </row>
    <row r="669">
      <c r="A669">
        <f>IF(AND(OR(Query!$B$4="All",'Compliance Database'!$A669=Query!$B$4),OR(Query!$B$5="All",ISNUMBER(SEARCH(Query!$B$5,'Compliance Database'!$H669))),OR(Query!$B$6="All",ISNUMBER(SEARCH(Query!$B$6,'Compliance Database'!$I669))),OR(Query!$B$7="All",'Compliance Database'!$F669=Query!$B$7),OR(Query!$B$8="All",'Compliance Database'!$J669=Query!$B$8),OR(Query!$B$9="",ISNUMBER(SEARCH(Query!$B$9,'Compliance Database'!$D669&amp;" "&amp;'Compliance Database'!$K669&amp;" "&amp;'Compliance Database'!$L669&amp;" "&amp;'Compliance Database'!$M669&amp;" "&amp;'Compliance Database'!$N669)))),1,0)</f>
        <v/>
      </c>
      <c r="B669">
        <f>IF($A669=1,SUM($A$2:$A669),"")</f>
        <v/>
      </c>
      <c r="C669">
        <f>IF($A669=1,SUM($A$2:$A669),0)</f>
        <v/>
      </c>
    </row>
    <row r="670">
      <c r="A670">
        <f>IF(AND(OR(Query!$B$4="All",'Compliance Database'!$A670=Query!$B$4),OR(Query!$B$5="All",ISNUMBER(SEARCH(Query!$B$5,'Compliance Database'!$H670))),OR(Query!$B$6="All",ISNUMBER(SEARCH(Query!$B$6,'Compliance Database'!$I670))),OR(Query!$B$7="All",'Compliance Database'!$F670=Query!$B$7),OR(Query!$B$8="All",'Compliance Database'!$J670=Query!$B$8),OR(Query!$B$9="",ISNUMBER(SEARCH(Query!$B$9,'Compliance Database'!$D670&amp;" "&amp;'Compliance Database'!$K670&amp;" "&amp;'Compliance Database'!$L670&amp;" "&amp;'Compliance Database'!$M670&amp;" "&amp;'Compliance Database'!$N670)))),1,0)</f>
        <v/>
      </c>
      <c r="B670">
        <f>IF($A670=1,SUM($A$2:$A670),"")</f>
        <v/>
      </c>
      <c r="C670">
        <f>IF($A670=1,SUM($A$2:$A670),0)</f>
        <v/>
      </c>
    </row>
    <row r="671">
      <c r="A671">
        <f>IF(AND(OR(Query!$B$4="All",'Compliance Database'!$A671=Query!$B$4),OR(Query!$B$5="All",ISNUMBER(SEARCH(Query!$B$5,'Compliance Database'!$H671))),OR(Query!$B$6="All",ISNUMBER(SEARCH(Query!$B$6,'Compliance Database'!$I671))),OR(Query!$B$7="All",'Compliance Database'!$F671=Query!$B$7),OR(Query!$B$8="All",'Compliance Database'!$J671=Query!$B$8),OR(Query!$B$9="",ISNUMBER(SEARCH(Query!$B$9,'Compliance Database'!$D671&amp;" "&amp;'Compliance Database'!$K671&amp;" "&amp;'Compliance Database'!$L671&amp;" "&amp;'Compliance Database'!$M671&amp;" "&amp;'Compliance Database'!$N671)))),1,0)</f>
        <v/>
      </c>
      <c r="B671">
        <f>IF($A671=1,SUM($A$2:$A671),"")</f>
        <v/>
      </c>
      <c r="C671">
        <f>IF($A671=1,SUM($A$2:$A671),0)</f>
        <v/>
      </c>
    </row>
    <row r="672">
      <c r="A672">
        <f>IF(AND(OR(Query!$B$4="All",'Compliance Database'!$A672=Query!$B$4),OR(Query!$B$5="All",ISNUMBER(SEARCH(Query!$B$5,'Compliance Database'!$H672))),OR(Query!$B$6="All",ISNUMBER(SEARCH(Query!$B$6,'Compliance Database'!$I672))),OR(Query!$B$7="All",'Compliance Database'!$F672=Query!$B$7),OR(Query!$B$8="All",'Compliance Database'!$J672=Query!$B$8),OR(Query!$B$9="",ISNUMBER(SEARCH(Query!$B$9,'Compliance Database'!$D672&amp;" "&amp;'Compliance Database'!$K672&amp;" "&amp;'Compliance Database'!$L672&amp;" "&amp;'Compliance Database'!$M672&amp;" "&amp;'Compliance Database'!$N672)))),1,0)</f>
        <v/>
      </c>
      <c r="B672">
        <f>IF($A672=1,SUM($A$2:$A672),"")</f>
        <v/>
      </c>
      <c r="C672">
        <f>IF($A672=1,SUM($A$2:$A672),0)</f>
        <v/>
      </c>
    </row>
    <row r="673">
      <c r="A673">
        <f>IF(AND(OR(Query!$B$4="All",'Compliance Database'!$A673=Query!$B$4),OR(Query!$B$5="All",ISNUMBER(SEARCH(Query!$B$5,'Compliance Database'!$H673))),OR(Query!$B$6="All",ISNUMBER(SEARCH(Query!$B$6,'Compliance Database'!$I673))),OR(Query!$B$7="All",'Compliance Database'!$F673=Query!$B$7),OR(Query!$B$8="All",'Compliance Database'!$J673=Query!$B$8),OR(Query!$B$9="",ISNUMBER(SEARCH(Query!$B$9,'Compliance Database'!$D673&amp;" "&amp;'Compliance Database'!$K673&amp;" "&amp;'Compliance Database'!$L673&amp;" "&amp;'Compliance Database'!$M673&amp;" "&amp;'Compliance Database'!$N673)))),1,0)</f>
        <v/>
      </c>
      <c r="B673">
        <f>IF($A673=1,SUM($A$2:$A673),"")</f>
        <v/>
      </c>
      <c r="C673">
        <f>IF($A673=1,SUM($A$2:$A673),0)</f>
        <v/>
      </c>
    </row>
    <row r="674">
      <c r="A674">
        <f>IF(AND(OR(Query!$B$4="All",'Compliance Database'!$A674=Query!$B$4),OR(Query!$B$5="All",ISNUMBER(SEARCH(Query!$B$5,'Compliance Database'!$H674))),OR(Query!$B$6="All",ISNUMBER(SEARCH(Query!$B$6,'Compliance Database'!$I674))),OR(Query!$B$7="All",'Compliance Database'!$F674=Query!$B$7),OR(Query!$B$8="All",'Compliance Database'!$J674=Query!$B$8),OR(Query!$B$9="",ISNUMBER(SEARCH(Query!$B$9,'Compliance Database'!$D674&amp;" "&amp;'Compliance Database'!$K674&amp;" "&amp;'Compliance Database'!$L674&amp;" "&amp;'Compliance Database'!$M674&amp;" "&amp;'Compliance Database'!$N674)))),1,0)</f>
        <v/>
      </c>
      <c r="B674">
        <f>IF($A674=1,SUM($A$2:$A674),"")</f>
        <v/>
      </c>
      <c r="C674">
        <f>IF($A674=1,SUM($A$2:$A674),0)</f>
        <v/>
      </c>
    </row>
    <row r="675">
      <c r="A675">
        <f>IF(AND(OR(Query!$B$4="All",'Compliance Database'!$A675=Query!$B$4),OR(Query!$B$5="All",ISNUMBER(SEARCH(Query!$B$5,'Compliance Database'!$H675))),OR(Query!$B$6="All",ISNUMBER(SEARCH(Query!$B$6,'Compliance Database'!$I675))),OR(Query!$B$7="All",'Compliance Database'!$F675=Query!$B$7),OR(Query!$B$8="All",'Compliance Database'!$J675=Query!$B$8),OR(Query!$B$9="",ISNUMBER(SEARCH(Query!$B$9,'Compliance Database'!$D675&amp;" "&amp;'Compliance Database'!$K675&amp;" "&amp;'Compliance Database'!$L675&amp;" "&amp;'Compliance Database'!$M675&amp;" "&amp;'Compliance Database'!$N675)))),1,0)</f>
        <v/>
      </c>
      <c r="B675">
        <f>IF($A675=1,SUM($A$2:$A675),"")</f>
        <v/>
      </c>
      <c r="C675">
        <f>IF($A675=1,SUM($A$2:$A675),0)</f>
        <v/>
      </c>
    </row>
    <row r="676">
      <c r="A676">
        <f>IF(AND(OR(Query!$B$4="All",'Compliance Database'!$A676=Query!$B$4),OR(Query!$B$5="All",ISNUMBER(SEARCH(Query!$B$5,'Compliance Database'!$H676))),OR(Query!$B$6="All",ISNUMBER(SEARCH(Query!$B$6,'Compliance Database'!$I676))),OR(Query!$B$7="All",'Compliance Database'!$F676=Query!$B$7),OR(Query!$B$8="All",'Compliance Database'!$J676=Query!$B$8),OR(Query!$B$9="",ISNUMBER(SEARCH(Query!$B$9,'Compliance Database'!$D676&amp;" "&amp;'Compliance Database'!$K676&amp;" "&amp;'Compliance Database'!$L676&amp;" "&amp;'Compliance Database'!$M676&amp;" "&amp;'Compliance Database'!$N676)))),1,0)</f>
        <v/>
      </c>
      <c r="B676">
        <f>IF($A676=1,SUM($A$2:$A676),"")</f>
        <v/>
      </c>
      <c r="C676">
        <f>IF($A676=1,SUM($A$2:$A676),0)</f>
        <v/>
      </c>
    </row>
    <row r="677">
      <c r="A677">
        <f>IF(AND(OR(Query!$B$4="All",'Compliance Database'!$A677=Query!$B$4),OR(Query!$B$5="All",ISNUMBER(SEARCH(Query!$B$5,'Compliance Database'!$H677))),OR(Query!$B$6="All",ISNUMBER(SEARCH(Query!$B$6,'Compliance Database'!$I677))),OR(Query!$B$7="All",'Compliance Database'!$F677=Query!$B$7),OR(Query!$B$8="All",'Compliance Database'!$J677=Query!$B$8),OR(Query!$B$9="",ISNUMBER(SEARCH(Query!$B$9,'Compliance Database'!$D677&amp;" "&amp;'Compliance Database'!$K677&amp;" "&amp;'Compliance Database'!$L677&amp;" "&amp;'Compliance Database'!$M677&amp;" "&amp;'Compliance Database'!$N677)))),1,0)</f>
        <v/>
      </c>
      <c r="B677">
        <f>IF($A677=1,SUM($A$2:$A677),"")</f>
        <v/>
      </c>
      <c r="C677">
        <f>IF($A677=1,SUM($A$2:$A677),0)</f>
        <v/>
      </c>
    </row>
    <row r="678">
      <c r="A678">
        <f>IF(AND(OR(Query!$B$4="All",'Compliance Database'!$A678=Query!$B$4),OR(Query!$B$5="All",ISNUMBER(SEARCH(Query!$B$5,'Compliance Database'!$H678))),OR(Query!$B$6="All",ISNUMBER(SEARCH(Query!$B$6,'Compliance Database'!$I678))),OR(Query!$B$7="All",'Compliance Database'!$F678=Query!$B$7),OR(Query!$B$8="All",'Compliance Database'!$J678=Query!$B$8),OR(Query!$B$9="",ISNUMBER(SEARCH(Query!$B$9,'Compliance Database'!$D678&amp;" "&amp;'Compliance Database'!$K678&amp;" "&amp;'Compliance Database'!$L678&amp;" "&amp;'Compliance Database'!$M678&amp;" "&amp;'Compliance Database'!$N678)))),1,0)</f>
        <v/>
      </c>
      <c r="B678">
        <f>IF($A678=1,SUM($A$2:$A678),"")</f>
        <v/>
      </c>
      <c r="C678">
        <f>IF($A678=1,SUM($A$2:$A678),0)</f>
        <v/>
      </c>
    </row>
    <row r="679">
      <c r="A679">
        <f>IF(AND(OR(Query!$B$4="All",'Compliance Database'!$A679=Query!$B$4),OR(Query!$B$5="All",ISNUMBER(SEARCH(Query!$B$5,'Compliance Database'!$H679))),OR(Query!$B$6="All",ISNUMBER(SEARCH(Query!$B$6,'Compliance Database'!$I679))),OR(Query!$B$7="All",'Compliance Database'!$F679=Query!$B$7),OR(Query!$B$8="All",'Compliance Database'!$J679=Query!$B$8),OR(Query!$B$9="",ISNUMBER(SEARCH(Query!$B$9,'Compliance Database'!$D679&amp;" "&amp;'Compliance Database'!$K679&amp;" "&amp;'Compliance Database'!$L679&amp;" "&amp;'Compliance Database'!$M679&amp;" "&amp;'Compliance Database'!$N679)))),1,0)</f>
        <v/>
      </c>
      <c r="B679">
        <f>IF($A679=1,SUM($A$2:$A679),"")</f>
        <v/>
      </c>
      <c r="C679">
        <f>IF($A679=1,SUM($A$2:$A679),0)</f>
        <v/>
      </c>
    </row>
    <row r="680">
      <c r="A680">
        <f>IF(AND(OR(Query!$B$4="All",'Compliance Database'!$A680=Query!$B$4),OR(Query!$B$5="All",ISNUMBER(SEARCH(Query!$B$5,'Compliance Database'!$H680))),OR(Query!$B$6="All",ISNUMBER(SEARCH(Query!$B$6,'Compliance Database'!$I680))),OR(Query!$B$7="All",'Compliance Database'!$F680=Query!$B$7),OR(Query!$B$8="All",'Compliance Database'!$J680=Query!$B$8),OR(Query!$B$9="",ISNUMBER(SEARCH(Query!$B$9,'Compliance Database'!$D680&amp;" "&amp;'Compliance Database'!$K680&amp;" "&amp;'Compliance Database'!$L680&amp;" "&amp;'Compliance Database'!$M680&amp;" "&amp;'Compliance Database'!$N680)))),1,0)</f>
        <v/>
      </c>
      <c r="B680">
        <f>IF($A680=1,SUM($A$2:$A680),"")</f>
        <v/>
      </c>
      <c r="C680">
        <f>IF($A680=1,SUM($A$2:$A680),0)</f>
        <v/>
      </c>
    </row>
    <row r="681">
      <c r="A681">
        <f>IF(AND(OR(Query!$B$4="All",'Compliance Database'!$A681=Query!$B$4),OR(Query!$B$5="All",ISNUMBER(SEARCH(Query!$B$5,'Compliance Database'!$H681))),OR(Query!$B$6="All",ISNUMBER(SEARCH(Query!$B$6,'Compliance Database'!$I681))),OR(Query!$B$7="All",'Compliance Database'!$F681=Query!$B$7),OR(Query!$B$8="All",'Compliance Database'!$J681=Query!$B$8),OR(Query!$B$9="",ISNUMBER(SEARCH(Query!$B$9,'Compliance Database'!$D681&amp;" "&amp;'Compliance Database'!$K681&amp;" "&amp;'Compliance Database'!$L681&amp;" "&amp;'Compliance Database'!$M681&amp;" "&amp;'Compliance Database'!$N681)))),1,0)</f>
        <v/>
      </c>
      <c r="B681">
        <f>IF($A681=1,SUM($A$2:$A681),"")</f>
        <v/>
      </c>
      <c r="C681">
        <f>IF($A681=1,SUM($A$2:$A681),0)</f>
        <v/>
      </c>
    </row>
    <row r="682">
      <c r="A682">
        <f>IF(AND(OR(Query!$B$4="All",'Compliance Database'!$A682=Query!$B$4),OR(Query!$B$5="All",ISNUMBER(SEARCH(Query!$B$5,'Compliance Database'!$H682))),OR(Query!$B$6="All",ISNUMBER(SEARCH(Query!$B$6,'Compliance Database'!$I682))),OR(Query!$B$7="All",'Compliance Database'!$F682=Query!$B$7),OR(Query!$B$8="All",'Compliance Database'!$J682=Query!$B$8),OR(Query!$B$9="",ISNUMBER(SEARCH(Query!$B$9,'Compliance Database'!$D682&amp;" "&amp;'Compliance Database'!$K682&amp;" "&amp;'Compliance Database'!$L682&amp;" "&amp;'Compliance Database'!$M682&amp;" "&amp;'Compliance Database'!$N682)))),1,0)</f>
        <v/>
      </c>
      <c r="B682">
        <f>IF($A682=1,SUM($A$2:$A682),"")</f>
        <v/>
      </c>
      <c r="C682">
        <f>IF($A682=1,SUM($A$2:$A682),0)</f>
        <v/>
      </c>
    </row>
    <row r="683">
      <c r="A683">
        <f>IF(AND(OR(Query!$B$4="All",'Compliance Database'!$A683=Query!$B$4),OR(Query!$B$5="All",ISNUMBER(SEARCH(Query!$B$5,'Compliance Database'!$H683))),OR(Query!$B$6="All",ISNUMBER(SEARCH(Query!$B$6,'Compliance Database'!$I683))),OR(Query!$B$7="All",'Compliance Database'!$F683=Query!$B$7),OR(Query!$B$8="All",'Compliance Database'!$J683=Query!$B$8),OR(Query!$B$9="",ISNUMBER(SEARCH(Query!$B$9,'Compliance Database'!$D683&amp;" "&amp;'Compliance Database'!$K683&amp;" "&amp;'Compliance Database'!$L683&amp;" "&amp;'Compliance Database'!$M683&amp;" "&amp;'Compliance Database'!$N683)))),1,0)</f>
        <v/>
      </c>
      <c r="B683">
        <f>IF($A683=1,SUM($A$2:$A683),"")</f>
        <v/>
      </c>
      <c r="C683">
        <f>IF($A683=1,SUM($A$2:$A683),0)</f>
        <v/>
      </c>
    </row>
    <row r="684">
      <c r="A684">
        <f>IF(AND(OR(Query!$B$4="All",'Compliance Database'!$A684=Query!$B$4),OR(Query!$B$5="All",ISNUMBER(SEARCH(Query!$B$5,'Compliance Database'!$H684))),OR(Query!$B$6="All",ISNUMBER(SEARCH(Query!$B$6,'Compliance Database'!$I684))),OR(Query!$B$7="All",'Compliance Database'!$F684=Query!$B$7),OR(Query!$B$8="All",'Compliance Database'!$J684=Query!$B$8),OR(Query!$B$9="",ISNUMBER(SEARCH(Query!$B$9,'Compliance Database'!$D684&amp;" "&amp;'Compliance Database'!$K684&amp;" "&amp;'Compliance Database'!$L684&amp;" "&amp;'Compliance Database'!$M684&amp;" "&amp;'Compliance Database'!$N684)))),1,0)</f>
        <v/>
      </c>
      <c r="B684">
        <f>IF($A684=1,SUM($A$2:$A684),"")</f>
        <v/>
      </c>
      <c r="C684">
        <f>IF($A684=1,SUM($A$2:$A684),0)</f>
        <v/>
      </c>
    </row>
    <row r="685">
      <c r="A685">
        <f>IF(AND(OR(Query!$B$4="All",'Compliance Database'!$A685=Query!$B$4),OR(Query!$B$5="All",ISNUMBER(SEARCH(Query!$B$5,'Compliance Database'!$H685))),OR(Query!$B$6="All",ISNUMBER(SEARCH(Query!$B$6,'Compliance Database'!$I685))),OR(Query!$B$7="All",'Compliance Database'!$F685=Query!$B$7),OR(Query!$B$8="All",'Compliance Database'!$J685=Query!$B$8),OR(Query!$B$9="",ISNUMBER(SEARCH(Query!$B$9,'Compliance Database'!$D685&amp;" "&amp;'Compliance Database'!$K685&amp;" "&amp;'Compliance Database'!$L685&amp;" "&amp;'Compliance Database'!$M685&amp;" "&amp;'Compliance Database'!$N685)))),1,0)</f>
        <v/>
      </c>
      <c r="B685">
        <f>IF($A685=1,SUM($A$2:$A685),"")</f>
        <v/>
      </c>
      <c r="C685">
        <f>IF($A685=1,SUM($A$2:$A685),0)</f>
        <v/>
      </c>
    </row>
    <row r="686">
      <c r="A686">
        <f>IF(AND(OR(Query!$B$4="All",'Compliance Database'!$A686=Query!$B$4),OR(Query!$B$5="All",ISNUMBER(SEARCH(Query!$B$5,'Compliance Database'!$H686))),OR(Query!$B$6="All",ISNUMBER(SEARCH(Query!$B$6,'Compliance Database'!$I686))),OR(Query!$B$7="All",'Compliance Database'!$F686=Query!$B$7),OR(Query!$B$8="All",'Compliance Database'!$J686=Query!$B$8),OR(Query!$B$9="",ISNUMBER(SEARCH(Query!$B$9,'Compliance Database'!$D686&amp;" "&amp;'Compliance Database'!$K686&amp;" "&amp;'Compliance Database'!$L686&amp;" "&amp;'Compliance Database'!$M686&amp;" "&amp;'Compliance Database'!$N686)))),1,0)</f>
        <v/>
      </c>
      <c r="B686">
        <f>IF($A686=1,SUM($A$2:$A686),"")</f>
        <v/>
      </c>
      <c r="C686">
        <f>IF($A686=1,SUM($A$2:$A686),0)</f>
        <v/>
      </c>
    </row>
    <row r="687">
      <c r="A687">
        <f>IF(AND(OR(Query!$B$4="All",'Compliance Database'!$A687=Query!$B$4),OR(Query!$B$5="All",ISNUMBER(SEARCH(Query!$B$5,'Compliance Database'!$H687))),OR(Query!$B$6="All",ISNUMBER(SEARCH(Query!$B$6,'Compliance Database'!$I687))),OR(Query!$B$7="All",'Compliance Database'!$F687=Query!$B$7),OR(Query!$B$8="All",'Compliance Database'!$J687=Query!$B$8),OR(Query!$B$9="",ISNUMBER(SEARCH(Query!$B$9,'Compliance Database'!$D687&amp;" "&amp;'Compliance Database'!$K687&amp;" "&amp;'Compliance Database'!$L687&amp;" "&amp;'Compliance Database'!$M687&amp;" "&amp;'Compliance Database'!$N687)))),1,0)</f>
        <v/>
      </c>
      <c r="B687">
        <f>IF($A687=1,SUM($A$2:$A687),"")</f>
        <v/>
      </c>
      <c r="C687">
        <f>IF($A687=1,SUM($A$2:$A687),0)</f>
        <v/>
      </c>
    </row>
    <row r="688">
      <c r="A688">
        <f>IF(AND(OR(Query!$B$4="All",'Compliance Database'!$A688=Query!$B$4),OR(Query!$B$5="All",ISNUMBER(SEARCH(Query!$B$5,'Compliance Database'!$H688))),OR(Query!$B$6="All",ISNUMBER(SEARCH(Query!$B$6,'Compliance Database'!$I688))),OR(Query!$B$7="All",'Compliance Database'!$F688=Query!$B$7),OR(Query!$B$8="All",'Compliance Database'!$J688=Query!$B$8),OR(Query!$B$9="",ISNUMBER(SEARCH(Query!$B$9,'Compliance Database'!$D688&amp;" "&amp;'Compliance Database'!$K688&amp;" "&amp;'Compliance Database'!$L688&amp;" "&amp;'Compliance Database'!$M688&amp;" "&amp;'Compliance Database'!$N688)))),1,0)</f>
        <v/>
      </c>
      <c r="B688">
        <f>IF($A688=1,SUM($A$2:$A688),"")</f>
        <v/>
      </c>
      <c r="C688">
        <f>IF($A688=1,SUM($A$2:$A688),0)</f>
        <v/>
      </c>
    </row>
    <row r="689">
      <c r="A689">
        <f>IF(AND(OR(Query!$B$4="All",'Compliance Database'!$A689=Query!$B$4),OR(Query!$B$5="All",ISNUMBER(SEARCH(Query!$B$5,'Compliance Database'!$H689))),OR(Query!$B$6="All",ISNUMBER(SEARCH(Query!$B$6,'Compliance Database'!$I689))),OR(Query!$B$7="All",'Compliance Database'!$F689=Query!$B$7),OR(Query!$B$8="All",'Compliance Database'!$J689=Query!$B$8),OR(Query!$B$9="",ISNUMBER(SEARCH(Query!$B$9,'Compliance Database'!$D689&amp;" "&amp;'Compliance Database'!$K689&amp;" "&amp;'Compliance Database'!$L689&amp;" "&amp;'Compliance Database'!$M689&amp;" "&amp;'Compliance Database'!$N689)))),1,0)</f>
        <v/>
      </c>
      <c r="B689">
        <f>IF($A689=1,SUM($A$2:$A689),"")</f>
        <v/>
      </c>
      <c r="C689">
        <f>IF($A689=1,SUM($A$2:$A689),0)</f>
        <v/>
      </c>
    </row>
    <row r="690">
      <c r="A690">
        <f>IF(AND(OR(Query!$B$4="All",'Compliance Database'!$A690=Query!$B$4),OR(Query!$B$5="All",ISNUMBER(SEARCH(Query!$B$5,'Compliance Database'!$H690))),OR(Query!$B$6="All",ISNUMBER(SEARCH(Query!$B$6,'Compliance Database'!$I690))),OR(Query!$B$7="All",'Compliance Database'!$F690=Query!$B$7),OR(Query!$B$8="All",'Compliance Database'!$J690=Query!$B$8),OR(Query!$B$9="",ISNUMBER(SEARCH(Query!$B$9,'Compliance Database'!$D690&amp;" "&amp;'Compliance Database'!$K690&amp;" "&amp;'Compliance Database'!$L690&amp;" "&amp;'Compliance Database'!$M690&amp;" "&amp;'Compliance Database'!$N690)))),1,0)</f>
        <v/>
      </c>
      <c r="B690">
        <f>IF($A690=1,SUM($A$2:$A690),"")</f>
        <v/>
      </c>
      <c r="C690">
        <f>IF($A690=1,SUM($A$2:$A690),0)</f>
        <v/>
      </c>
    </row>
    <row r="691">
      <c r="A691">
        <f>IF(AND(OR(Query!$B$4="All",'Compliance Database'!$A691=Query!$B$4),OR(Query!$B$5="All",ISNUMBER(SEARCH(Query!$B$5,'Compliance Database'!$H691))),OR(Query!$B$6="All",ISNUMBER(SEARCH(Query!$B$6,'Compliance Database'!$I691))),OR(Query!$B$7="All",'Compliance Database'!$F691=Query!$B$7),OR(Query!$B$8="All",'Compliance Database'!$J691=Query!$B$8),OR(Query!$B$9="",ISNUMBER(SEARCH(Query!$B$9,'Compliance Database'!$D691&amp;" "&amp;'Compliance Database'!$K691&amp;" "&amp;'Compliance Database'!$L691&amp;" "&amp;'Compliance Database'!$M691&amp;" "&amp;'Compliance Database'!$N691)))),1,0)</f>
        <v/>
      </c>
      <c r="B691">
        <f>IF($A691=1,SUM($A$2:$A691),"")</f>
        <v/>
      </c>
      <c r="C691">
        <f>IF($A691=1,SUM($A$2:$A691),0)</f>
        <v/>
      </c>
    </row>
    <row r="692">
      <c r="A692">
        <f>IF(AND(OR(Query!$B$4="All",'Compliance Database'!$A692=Query!$B$4),OR(Query!$B$5="All",ISNUMBER(SEARCH(Query!$B$5,'Compliance Database'!$H692))),OR(Query!$B$6="All",ISNUMBER(SEARCH(Query!$B$6,'Compliance Database'!$I692))),OR(Query!$B$7="All",'Compliance Database'!$F692=Query!$B$7),OR(Query!$B$8="All",'Compliance Database'!$J692=Query!$B$8),OR(Query!$B$9="",ISNUMBER(SEARCH(Query!$B$9,'Compliance Database'!$D692&amp;" "&amp;'Compliance Database'!$K692&amp;" "&amp;'Compliance Database'!$L692&amp;" "&amp;'Compliance Database'!$M692&amp;" "&amp;'Compliance Database'!$N692)))),1,0)</f>
        <v/>
      </c>
      <c r="B692">
        <f>IF($A692=1,SUM($A$2:$A692),"")</f>
        <v/>
      </c>
      <c r="C692">
        <f>IF($A692=1,SUM($A$2:$A692),0)</f>
        <v/>
      </c>
    </row>
    <row r="693">
      <c r="A693">
        <f>IF(AND(OR(Query!$B$4="All",'Compliance Database'!$A693=Query!$B$4),OR(Query!$B$5="All",ISNUMBER(SEARCH(Query!$B$5,'Compliance Database'!$H693))),OR(Query!$B$6="All",ISNUMBER(SEARCH(Query!$B$6,'Compliance Database'!$I693))),OR(Query!$B$7="All",'Compliance Database'!$F693=Query!$B$7),OR(Query!$B$8="All",'Compliance Database'!$J693=Query!$B$8),OR(Query!$B$9="",ISNUMBER(SEARCH(Query!$B$9,'Compliance Database'!$D693&amp;" "&amp;'Compliance Database'!$K693&amp;" "&amp;'Compliance Database'!$L693&amp;" "&amp;'Compliance Database'!$M693&amp;" "&amp;'Compliance Database'!$N693)))),1,0)</f>
        <v/>
      </c>
      <c r="B693">
        <f>IF($A693=1,SUM($A$2:$A693),"")</f>
        <v/>
      </c>
      <c r="C693">
        <f>IF($A693=1,SUM($A$2:$A693),0)</f>
        <v/>
      </c>
    </row>
    <row r="694">
      <c r="A694">
        <f>IF(AND(OR(Query!$B$4="All",'Compliance Database'!$A694=Query!$B$4),OR(Query!$B$5="All",ISNUMBER(SEARCH(Query!$B$5,'Compliance Database'!$H694))),OR(Query!$B$6="All",ISNUMBER(SEARCH(Query!$B$6,'Compliance Database'!$I694))),OR(Query!$B$7="All",'Compliance Database'!$F694=Query!$B$7),OR(Query!$B$8="All",'Compliance Database'!$J694=Query!$B$8),OR(Query!$B$9="",ISNUMBER(SEARCH(Query!$B$9,'Compliance Database'!$D694&amp;" "&amp;'Compliance Database'!$K694&amp;" "&amp;'Compliance Database'!$L694&amp;" "&amp;'Compliance Database'!$M694&amp;" "&amp;'Compliance Database'!$N694)))),1,0)</f>
        <v/>
      </c>
      <c r="B694">
        <f>IF($A694=1,SUM($A$2:$A694),"")</f>
        <v/>
      </c>
      <c r="C694">
        <f>IF($A694=1,SUM($A$2:$A694),0)</f>
        <v/>
      </c>
    </row>
    <row r="695">
      <c r="A695">
        <f>IF(AND(OR(Query!$B$4="All",'Compliance Database'!$A695=Query!$B$4),OR(Query!$B$5="All",ISNUMBER(SEARCH(Query!$B$5,'Compliance Database'!$H695))),OR(Query!$B$6="All",ISNUMBER(SEARCH(Query!$B$6,'Compliance Database'!$I695))),OR(Query!$B$7="All",'Compliance Database'!$F695=Query!$B$7),OR(Query!$B$8="All",'Compliance Database'!$J695=Query!$B$8),OR(Query!$B$9="",ISNUMBER(SEARCH(Query!$B$9,'Compliance Database'!$D695&amp;" "&amp;'Compliance Database'!$K695&amp;" "&amp;'Compliance Database'!$L695&amp;" "&amp;'Compliance Database'!$M695&amp;" "&amp;'Compliance Database'!$N695)))),1,0)</f>
        <v/>
      </c>
      <c r="B695">
        <f>IF($A695=1,SUM($A$2:$A695),"")</f>
        <v/>
      </c>
      <c r="C695">
        <f>IF($A695=1,SUM($A$2:$A695),0)</f>
        <v/>
      </c>
    </row>
    <row r="696">
      <c r="A696">
        <f>IF(AND(OR(Query!$B$4="All",'Compliance Database'!$A696=Query!$B$4),OR(Query!$B$5="All",ISNUMBER(SEARCH(Query!$B$5,'Compliance Database'!$H696))),OR(Query!$B$6="All",ISNUMBER(SEARCH(Query!$B$6,'Compliance Database'!$I696))),OR(Query!$B$7="All",'Compliance Database'!$F696=Query!$B$7),OR(Query!$B$8="All",'Compliance Database'!$J696=Query!$B$8),OR(Query!$B$9="",ISNUMBER(SEARCH(Query!$B$9,'Compliance Database'!$D696&amp;" "&amp;'Compliance Database'!$K696&amp;" "&amp;'Compliance Database'!$L696&amp;" "&amp;'Compliance Database'!$M696&amp;" "&amp;'Compliance Database'!$N696)))),1,0)</f>
        <v/>
      </c>
      <c r="B696">
        <f>IF($A696=1,SUM($A$2:$A696),"")</f>
        <v/>
      </c>
      <c r="C696">
        <f>IF($A696=1,SUM($A$2:$A696),0)</f>
        <v/>
      </c>
    </row>
    <row r="697">
      <c r="A697">
        <f>IF(AND(OR(Query!$B$4="All",'Compliance Database'!$A697=Query!$B$4),OR(Query!$B$5="All",ISNUMBER(SEARCH(Query!$B$5,'Compliance Database'!$H697))),OR(Query!$B$6="All",ISNUMBER(SEARCH(Query!$B$6,'Compliance Database'!$I697))),OR(Query!$B$7="All",'Compliance Database'!$F697=Query!$B$7),OR(Query!$B$8="All",'Compliance Database'!$J697=Query!$B$8),OR(Query!$B$9="",ISNUMBER(SEARCH(Query!$B$9,'Compliance Database'!$D697&amp;" "&amp;'Compliance Database'!$K697&amp;" "&amp;'Compliance Database'!$L697&amp;" "&amp;'Compliance Database'!$M697&amp;" "&amp;'Compliance Database'!$N697)))),1,0)</f>
        <v/>
      </c>
      <c r="B697">
        <f>IF($A697=1,SUM($A$2:$A697),"")</f>
        <v/>
      </c>
      <c r="C697">
        <f>IF($A697=1,SUM($A$2:$A697),0)</f>
        <v/>
      </c>
    </row>
    <row r="698">
      <c r="A698">
        <f>IF(AND(OR(Query!$B$4="All",'Compliance Database'!$A698=Query!$B$4),OR(Query!$B$5="All",ISNUMBER(SEARCH(Query!$B$5,'Compliance Database'!$H698))),OR(Query!$B$6="All",ISNUMBER(SEARCH(Query!$B$6,'Compliance Database'!$I698))),OR(Query!$B$7="All",'Compliance Database'!$F698=Query!$B$7),OR(Query!$B$8="All",'Compliance Database'!$J698=Query!$B$8),OR(Query!$B$9="",ISNUMBER(SEARCH(Query!$B$9,'Compliance Database'!$D698&amp;" "&amp;'Compliance Database'!$K698&amp;" "&amp;'Compliance Database'!$L698&amp;" "&amp;'Compliance Database'!$M698&amp;" "&amp;'Compliance Database'!$N698)))),1,0)</f>
        <v/>
      </c>
      <c r="B698">
        <f>IF($A698=1,SUM($A$2:$A698),"")</f>
        <v/>
      </c>
      <c r="C698">
        <f>IF($A698=1,SUM($A$2:$A698),0)</f>
        <v/>
      </c>
    </row>
    <row r="699">
      <c r="A699">
        <f>IF(AND(OR(Query!$B$4="All",'Compliance Database'!$A699=Query!$B$4),OR(Query!$B$5="All",ISNUMBER(SEARCH(Query!$B$5,'Compliance Database'!$H699))),OR(Query!$B$6="All",ISNUMBER(SEARCH(Query!$B$6,'Compliance Database'!$I699))),OR(Query!$B$7="All",'Compliance Database'!$F699=Query!$B$7),OR(Query!$B$8="All",'Compliance Database'!$J699=Query!$B$8),OR(Query!$B$9="",ISNUMBER(SEARCH(Query!$B$9,'Compliance Database'!$D699&amp;" "&amp;'Compliance Database'!$K699&amp;" "&amp;'Compliance Database'!$L699&amp;" "&amp;'Compliance Database'!$M699&amp;" "&amp;'Compliance Database'!$N699)))),1,0)</f>
        <v/>
      </c>
      <c r="B699">
        <f>IF($A699=1,SUM($A$2:$A699),"")</f>
        <v/>
      </c>
      <c r="C699">
        <f>IF($A699=1,SUM($A$2:$A699),0)</f>
        <v/>
      </c>
    </row>
    <row r="700">
      <c r="A700">
        <f>IF(AND(OR(Query!$B$4="All",'Compliance Database'!$A700=Query!$B$4),OR(Query!$B$5="All",ISNUMBER(SEARCH(Query!$B$5,'Compliance Database'!$H700))),OR(Query!$B$6="All",ISNUMBER(SEARCH(Query!$B$6,'Compliance Database'!$I700))),OR(Query!$B$7="All",'Compliance Database'!$F700=Query!$B$7),OR(Query!$B$8="All",'Compliance Database'!$J700=Query!$B$8),OR(Query!$B$9="",ISNUMBER(SEARCH(Query!$B$9,'Compliance Database'!$D700&amp;" "&amp;'Compliance Database'!$K700&amp;" "&amp;'Compliance Database'!$L700&amp;" "&amp;'Compliance Database'!$M700&amp;" "&amp;'Compliance Database'!$N700)))),1,0)</f>
        <v/>
      </c>
      <c r="B700">
        <f>IF($A700=1,SUM($A$2:$A700),"")</f>
        <v/>
      </c>
      <c r="C700">
        <f>IF($A700=1,SUM($A$2:$A700),0)</f>
        <v/>
      </c>
    </row>
    <row r="701">
      <c r="A701">
        <f>IF(AND(OR(Query!$B$4="All",'Compliance Database'!$A701=Query!$B$4),OR(Query!$B$5="All",ISNUMBER(SEARCH(Query!$B$5,'Compliance Database'!$H701))),OR(Query!$B$6="All",ISNUMBER(SEARCH(Query!$B$6,'Compliance Database'!$I701))),OR(Query!$B$7="All",'Compliance Database'!$F701=Query!$B$7),OR(Query!$B$8="All",'Compliance Database'!$J701=Query!$B$8),OR(Query!$B$9="",ISNUMBER(SEARCH(Query!$B$9,'Compliance Database'!$D701&amp;" "&amp;'Compliance Database'!$K701&amp;" "&amp;'Compliance Database'!$L701&amp;" "&amp;'Compliance Database'!$M701&amp;" "&amp;'Compliance Database'!$N701)))),1,0)</f>
        <v/>
      </c>
      <c r="B701">
        <f>IF($A701=1,SUM($A$2:$A701),"")</f>
        <v/>
      </c>
      <c r="C701">
        <f>IF($A701=1,SUM($A$2:$A701),0)</f>
        <v/>
      </c>
    </row>
    <row r="702">
      <c r="A702">
        <f>IF(AND(OR(Query!$B$4="All",'Compliance Database'!$A702=Query!$B$4),OR(Query!$B$5="All",ISNUMBER(SEARCH(Query!$B$5,'Compliance Database'!$H702))),OR(Query!$B$6="All",ISNUMBER(SEARCH(Query!$B$6,'Compliance Database'!$I702))),OR(Query!$B$7="All",'Compliance Database'!$F702=Query!$B$7),OR(Query!$B$8="All",'Compliance Database'!$J702=Query!$B$8),OR(Query!$B$9="",ISNUMBER(SEARCH(Query!$B$9,'Compliance Database'!$D702&amp;" "&amp;'Compliance Database'!$K702&amp;" "&amp;'Compliance Database'!$L702&amp;" "&amp;'Compliance Database'!$M702&amp;" "&amp;'Compliance Database'!$N702)))),1,0)</f>
        <v/>
      </c>
      <c r="B702">
        <f>IF($A702=1,SUM($A$2:$A702),"")</f>
        <v/>
      </c>
      <c r="C702">
        <f>IF($A702=1,SUM($A$2:$A702),0)</f>
        <v/>
      </c>
    </row>
    <row r="703">
      <c r="A703">
        <f>IF(AND(OR(Query!$B$4="All",'Compliance Database'!$A703=Query!$B$4),OR(Query!$B$5="All",ISNUMBER(SEARCH(Query!$B$5,'Compliance Database'!$H703))),OR(Query!$B$6="All",ISNUMBER(SEARCH(Query!$B$6,'Compliance Database'!$I703))),OR(Query!$B$7="All",'Compliance Database'!$F703=Query!$B$7),OR(Query!$B$8="All",'Compliance Database'!$J703=Query!$B$8),OR(Query!$B$9="",ISNUMBER(SEARCH(Query!$B$9,'Compliance Database'!$D703&amp;" "&amp;'Compliance Database'!$K703&amp;" "&amp;'Compliance Database'!$L703&amp;" "&amp;'Compliance Database'!$M703&amp;" "&amp;'Compliance Database'!$N703)))),1,0)</f>
        <v/>
      </c>
      <c r="B703">
        <f>IF($A703=1,SUM($A$2:$A703),"")</f>
        <v/>
      </c>
      <c r="C703">
        <f>IF($A703=1,SUM($A$2:$A703),0)</f>
        <v/>
      </c>
    </row>
    <row r="704">
      <c r="A704">
        <f>IF(AND(OR(Query!$B$4="All",'Compliance Database'!$A704=Query!$B$4),OR(Query!$B$5="All",ISNUMBER(SEARCH(Query!$B$5,'Compliance Database'!$H704))),OR(Query!$B$6="All",ISNUMBER(SEARCH(Query!$B$6,'Compliance Database'!$I704))),OR(Query!$B$7="All",'Compliance Database'!$F704=Query!$B$7),OR(Query!$B$8="All",'Compliance Database'!$J704=Query!$B$8),OR(Query!$B$9="",ISNUMBER(SEARCH(Query!$B$9,'Compliance Database'!$D704&amp;" "&amp;'Compliance Database'!$K704&amp;" "&amp;'Compliance Database'!$L704&amp;" "&amp;'Compliance Database'!$M704&amp;" "&amp;'Compliance Database'!$N704)))),1,0)</f>
        <v/>
      </c>
      <c r="B704">
        <f>IF($A704=1,SUM($A$2:$A704),"")</f>
        <v/>
      </c>
      <c r="C704">
        <f>IF($A704=1,SUM($A$2:$A704),0)</f>
        <v/>
      </c>
    </row>
    <row r="705">
      <c r="A705">
        <f>IF(AND(OR(Query!$B$4="All",'Compliance Database'!$A705=Query!$B$4),OR(Query!$B$5="All",ISNUMBER(SEARCH(Query!$B$5,'Compliance Database'!$H705))),OR(Query!$B$6="All",ISNUMBER(SEARCH(Query!$B$6,'Compliance Database'!$I705))),OR(Query!$B$7="All",'Compliance Database'!$F705=Query!$B$7),OR(Query!$B$8="All",'Compliance Database'!$J705=Query!$B$8),OR(Query!$B$9="",ISNUMBER(SEARCH(Query!$B$9,'Compliance Database'!$D705&amp;" "&amp;'Compliance Database'!$K705&amp;" "&amp;'Compliance Database'!$L705&amp;" "&amp;'Compliance Database'!$M705&amp;" "&amp;'Compliance Database'!$N705)))),1,0)</f>
        <v/>
      </c>
      <c r="B705">
        <f>IF($A705=1,SUM($A$2:$A705),"")</f>
        <v/>
      </c>
      <c r="C705">
        <f>IF($A705=1,SUM($A$2:$A705),0)</f>
        <v/>
      </c>
    </row>
    <row r="706">
      <c r="A706">
        <f>IF(AND(OR(Query!$B$4="All",'Compliance Database'!$A706=Query!$B$4),OR(Query!$B$5="All",ISNUMBER(SEARCH(Query!$B$5,'Compliance Database'!$H706))),OR(Query!$B$6="All",ISNUMBER(SEARCH(Query!$B$6,'Compliance Database'!$I706))),OR(Query!$B$7="All",'Compliance Database'!$F706=Query!$B$7),OR(Query!$B$8="All",'Compliance Database'!$J706=Query!$B$8),OR(Query!$B$9="",ISNUMBER(SEARCH(Query!$B$9,'Compliance Database'!$D706&amp;" "&amp;'Compliance Database'!$K706&amp;" "&amp;'Compliance Database'!$L706&amp;" "&amp;'Compliance Database'!$M706&amp;" "&amp;'Compliance Database'!$N706)))),1,0)</f>
        <v/>
      </c>
      <c r="B706">
        <f>IF($A706=1,SUM($A$2:$A706),"")</f>
        <v/>
      </c>
      <c r="C706">
        <f>IF($A706=1,SUM($A$2:$A706),0)</f>
        <v/>
      </c>
    </row>
    <row r="707">
      <c r="A707">
        <f>IF(AND(OR(Query!$B$4="All",'Compliance Database'!$A707=Query!$B$4),OR(Query!$B$5="All",ISNUMBER(SEARCH(Query!$B$5,'Compliance Database'!$H707))),OR(Query!$B$6="All",ISNUMBER(SEARCH(Query!$B$6,'Compliance Database'!$I707))),OR(Query!$B$7="All",'Compliance Database'!$F707=Query!$B$7),OR(Query!$B$8="All",'Compliance Database'!$J707=Query!$B$8),OR(Query!$B$9="",ISNUMBER(SEARCH(Query!$B$9,'Compliance Database'!$D707&amp;" "&amp;'Compliance Database'!$K707&amp;" "&amp;'Compliance Database'!$L707&amp;" "&amp;'Compliance Database'!$M707&amp;" "&amp;'Compliance Database'!$N707)))),1,0)</f>
        <v/>
      </c>
      <c r="B707">
        <f>IF($A707=1,SUM($A$2:$A707),"")</f>
        <v/>
      </c>
      <c r="C707">
        <f>IF($A707=1,SUM($A$2:$A707),0)</f>
        <v/>
      </c>
    </row>
    <row r="708">
      <c r="A708">
        <f>IF(AND(OR(Query!$B$4="All",'Compliance Database'!$A708=Query!$B$4),OR(Query!$B$5="All",ISNUMBER(SEARCH(Query!$B$5,'Compliance Database'!$H708))),OR(Query!$B$6="All",ISNUMBER(SEARCH(Query!$B$6,'Compliance Database'!$I708))),OR(Query!$B$7="All",'Compliance Database'!$F708=Query!$B$7),OR(Query!$B$8="All",'Compliance Database'!$J708=Query!$B$8),OR(Query!$B$9="",ISNUMBER(SEARCH(Query!$B$9,'Compliance Database'!$D708&amp;" "&amp;'Compliance Database'!$K708&amp;" "&amp;'Compliance Database'!$L708&amp;" "&amp;'Compliance Database'!$M708&amp;" "&amp;'Compliance Database'!$N708)))),1,0)</f>
        <v/>
      </c>
      <c r="B708">
        <f>IF($A708=1,SUM($A$2:$A708),"")</f>
        <v/>
      </c>
      <c r="C708">
        <f>IF($A708=1,SUM($A$2:$A708),0)</f>
        <v/>
      </c>
    </row>
    <row r="709">
      <c r="A709">
        <f>IF(AND(OR(Query!$B$4="All",'Compliance Database'!$A709=Query!$B$4),OR(Query!$B$5="All",ISNUMBER(SEARCH(Query!$B$5,'Compliance Database'!$H709))),OR(Query!$B$6="All",ISNUMBER(SEARCH(Query!$B$6,'Compliance Database'!$I709))),OR(Query!$B$7="All",'Compliance Database'!$F709=Query!$B$7),OR(Query!$B$8="All",'Compliance Database'!$J709=Query!$B$8),OR(Query!$B$9="",ISNUMBER(SEARCH(Query!$B$9,'Compliance Database'!$D709&amp;" "&amp;'Compliance Database'!$K709&amp;" "&amp;'Compliance Database'!$L709&amp;" "&amp;'Compliance Database'!$M709&amp;" "&amp;'Compliance Database'!$N709)))),1,0)</f>
        <v/>
      </c>
      <c r="B709">
        <f>IF($A709=1,SUM($A$2:$A709),"")</f>
        <v/>
      </c>
      <c r="C709">
        <f>IF($A709=1,SUM($A$2:$A709),0)</f>
        <v/>
      </c>
    </row>
    <row r="710">
      <c r="A710">
        <f>IF(AND(OR(Query!$B$4="All",'Compliance Database'!$A710=Query!$B$4),OR(Query!$B$5="All",ISNUMBER(SEARCH(Query!$B$5,'Compliance Database'!$H710))),OR(Query!$B$6="All",ISNUMBER(SEARCH(Query!$B$6,'Compliance Database'!$I710))),OR(Query!$B$7="All",'Compliance Database'!$F710=Query!$B$7),OR(Query!$B$8="All",'Compliance Database'!$J710=Query!$B$8),OR(Query!$B$9="",ISNUMBER(SEARCH(Query!$B$9,'Compliance Database'!$D710&amp;" "&amp;'Compliance Database'!$K710&amp;" "&amp;'Compliance Database'!$L710&amp;" "&amp;'Compliance Database'!$M710&amp;" "&amp;'Compliance Database'!$N710)))),1,0)</f>
        <v/>
      </c>
      <c r="B710">
        <f>IF($A710=1,SUM($A$2:$A710),"")</f>
        <v/>
      </c>
      <c r="C710">
        <f>IF($A710=1,SUM($A$2:$A710),0)</f>
        <v/>
      </c>
    </row>
    <row r="711">
      <c r="A711">
        <f>IF(AND(OR(Query!$B$4="All",'Compliance Database'!$A711=Query!$B$4),OR(Query!$B$5="All",ISNUMBER(SEARCH(Query!$B$5,'Compliance Database'!$H711))),OR(Query!$B$6="All",ISNUMBER(SEARCH(Query!$B$6,'Compliance Database'!$I711))),OR(Query!$B$7="All",'Compliance Database'!$F711=Query!$B$7),OR(Query!$B$8="All",'Compliance Database'!$J711=Query!$B$8),OR(Query!$B$9="",ISNUMBER(SEARCH(Query!$B$9,'Compliance Database'!$D711&amp;" "&amp;'Compliance Database'!$K711&amp;" "&amp;'Compliance Database'!$L711&amp;" "&amp;'Compliance Database'!$M711&amp;" "&amp;'Compliance Database'!$N711)))),1,0)</f>
        <v/>
      </c>
      <c r="B711">
        <f>IF($A711=1,SUM($A$2:$A711),"")</f>
        <v/>
      </c>
      <c r="C711">
        <f>IF($A711=1,SUM($A$2:$A711),0)</f>
        <v/>
      </c>
    </row>
    <row r="712">
      <c r="A712">
        <f>IF(AND(OR(Query!$B$4="All",'Compliance Database'!$A712=Query!$B$4),OR(Query!$B$5="All",ISNUMBER(SEARCH(Query!$B$5,'Compliance Database'!$H712))),OR(Query!$B$6="All",ISNUMBER(SEARCH(Query!$B$6,'Compliance Database'!$I712))),OR(Query!$B$7="All",'Compliance Database'!$F712=Query!$B$7),OR(Query!$B$8="All",'Compliance Database'!$J712=Query!$B$8),OR(Query!$B$9="",ISNUMBER(SEARCH(Query!$B$9,'Compliance Database'!$D712&amp;" "&amp;'Compliance Database'!$K712&amp;" "&amp;'Compliance Database'!$L712&amp;" "&amp;'Compliance Database'!$M712&amp;" "&amp;'Compliance Database'!$N712)))),1,0)</f>
        <v/>
      </c>
      <c r="B712">
        <f>IF($A712=1,SUM($A$2:$A712),"")</f>
        <v/>
      </c>
      <c r="C712">
        <f>IF($A712=1,SUM($A$2:$A712),0)</f>
        <v/>
      </c>
    </row>
    <row r="713">
      <c r="A713">
        <f>IF(AND(OR(Query!$B$4="All",'Compliance Database'!$A713=Query!$B$4),OR(Query!$B$5="All",ISNUMBER(SEARCH(Query!$B$5,'Compliance Database'!$H713))),OR(Query!$B$6="All",ISNUMBER(SEARCH(Query!$B$6,'Compliance Database'!$I713))),OR(Query!$B$7="All",'Compliance Database'!$F713=Query!$B$7),OR(Query!$B$8="All",'Compliance Database'!$J713=Query!$B$8),OR(Query!$B$9="",ISNUMBER(SEARCH(Query!$B$9,'Compliance Database'!$D713&amp;" "&amp;'Compliance Database'!$K713&amp;" "&amp;'Compliance Database'!$L713&amp;" "&amp;'Compliance Database'!$M713&amp;" "&amp;'Compliance Database'!$N713)))),1,0)</f>
        <v/>
      </c>
      <c r="B713">
        <f>IF($A713=1,SUM($A$2:$A713),"")</f>
        <v/>
      </c>
      <c r="C713">
        <f>IF($A713=1,SUM($A$2:$A713),0)</f>
        <v/>
      </c>
    </row>
    <row r="714">
      <c r="A714">
        <f>IF(AND(OR(Query!$B$4="All",'Compliance Database'!$A714=Query!$B$4),OR(Query!$B$5="All",ISNUMBER(SEARCH(Query!$B$5,'Compliance Database'!$H714))),OR(Query!$B$6="All",ISNUMBER(SEARCH(Query!$B$6,'Compliance Database'!$I714))),OR(Query!$B$7="All",'Compliance Database'!$F714=Query!$B$7),OR(Query!$B$8="All",'Compliance Database'!$J714=Query!$B$8),OR(Query!$B$9="",ISNUMBER(SEARCH(Query!$B$9,'Compliance Database'!$D714&amp;" "&amp;'Compliance Database'!$K714&amp;" "&amp;'Compliance Database'!$L714&amp;" "&amp;'Compliance Database'!$M714&amp;" "&amp;'Compliance Database'!$N714)))),1,0)</f>
        <v/>
      </c>
      <c r="B714">
        <f>IF($A714=1,SUM($A$2:$A714),"")</f>
        <v/>
      </c>
      <c r="C714">
        <f>IF($A714=1,SUM($A$2:$A714),0)</f>
        <v/>
      </c>
    </row>
    <row r="715">
      <c r="A715">
        <f>IF(AND(OR(Query!$B$4="All",'Compliance Database'!$A715=Query!$B$4),OR(Query!$B$5="All",ISNUMBER(SEARCH(Query!$B$5,'Compliance Database'!$H715))),OR(Query!$B$6="All",ISNUMBER(SEARCH(Query!$B$6,'Compliance Database'!$I715))),OR(Query!$B$7="All",'Compliance Database'!$F715=Query!$B$7),OR(Query!$B$8="All",'Compliance Database'!$J715=Query!$B$8),OR(Query!$B$9="",ISNUMBER(SEARCH(Query!$B$9,'Compliance Database'!$D715&amp;" "&amp;'Compliance Database'!$K715&amp;" "&amp;'Compliance Database'!$L715&amp;" "&amp;'Compliance Database'!$M715&amp;" "&amp;'Compliance Database'!$N715)))),1,0)</f>
        <v/>
      </c>
      <c r="B715">
        <f>IF($A715=1,SUM($A$2:$A715),"")</f>
        <v/>
      </c>
      <c r="C715">
        <f>IF($A715=1,SUM($A$2:$A715),0)</f>
        <v/>
      </c>
    </row>
    <row r="716">
      <c r="A716">
        <f>IF(AND(OR(Query!$B$4="All",'Compliance Database'!$A716=Query!$B$4),OR(Query!$B$5="All",ISNUMBER(SEARCH(Query!$B$5,'Compliance Database'!$H716))),OR(Query!$B$6="All",ISNUMBER(SEARCH(Query!$B$6,'Compliance Database'!$I716))),OR(Query!$B$7="All",'Compliance Database'!$F716=Query!$B$7),OR(Query!$B$8="All",'Compliance Database'!$J716=Query!$B$8),OR(Query!$B$9="",ISNUMBER(SEARCH(Query!$B$9,'Compliance Database'!$D716&amp;" "&amp;'Compliance Database'!$K716&amp;" "&amp;'Compliance Database'!$L716&amp;" "&amp;'Compliance Database'!$M716&amp;" "&amp;'Compliance Database'!$N716)))),1,0)</f>
        <v/>
      </c>
      <c r="B716">
        <f>IF($A716=1,SUM($A$2:$A716),"")</f>
        <v/>
      </c>
      <c r="C716">
        <f>IF($A716=1,SUM($A$2:$A716),0)</f>
        <v/>
      </c>
    </row>
    <row r="717">
      <c r="A717">
        <f>IF(AND(OR(Query!$B$4="All",'Compliance Database'!$A717=Query!$B$4),OR(Query!$B$5="All",ISNUMBER(SEARCH(Query!$B$5,'Compliance Database'!$H717))),OR(Query!$B$6="All",ISNUMBER(SEARCH(Query!$B$6,'Compliance Database'!$I717))),OR(Query!$B$7="All",'Compliance Database'!$F717=Query!$B$7),OR(Query!$B$8="All",'Compliance Database'!$J717=Query!$B$8),OR(Query!$B$9="",ISNUMBER(SEARCH(Query!$B$9,'Compliance Database'!$D717&amp;" "&amp;'Compliance Database'!$K717&amp;" "&amp;'Compliance Database'!$L717&amp;" "&amp;'Compliance Database'!$M717&amp;" "&amp;'Compliance Database'!$N717)))),1,0)</f>
        <v/>
      </c>
      <c r="B717">
        <f>IF($A717=1,SUM($A$2:$A717),"")</f>
        <v/>
      </c>
      <c r="C717">
        <f>IF($A717=1,SUM($A$2:$A717),0)</f>
        <v/>
      </c>
    </row>
    <row r="718">
      <c r="A718">
        <f>IF(AND(OR(Query!$B$4="All",'Compliance Database'!$A718=Query!$B$4),OR(Query!$B$5="All",ISNUMBER(SEARCH(Query!$B$5,'Compliance Database'!$H718))),OR(Query!$B$6="All",ISNUMBER(SEARCH(Query!$B$6,'Compliance Database'!$I718))),OR(Query!$B$7="All",'Compliance Database'!$F718=Query!$B$7),OR(Query!$B$8="All",'Compliance Database'!$J718=Query!$B$8),OR(Query!$B$9="",ISNUMBER(SEARCH(Query!$B$9,'Compliance Database'!$D718&amp;" "&amp;'Compliance Database'!$K718&amp;" "&amp;'Compliance Database'!$L718&amp;" "&amp;'Compliance Database'!$M718&amp;" "&amp;'Compliance Database'!$N718)))),1,0)</f>
        <v/>
      </c>
      <c r="B718">
        <f>IF($A718=1,SUM($A$2:$A718),"")</f>
        <v/>
      </c>
      <c r="C718">
        <f>IF($A718=1,SUM($A$2:$A718),0)</f>
        <v/>
      </c>
    </row>
    <row r="719">
      <c r="A719">
        <f>IF(AND(OR(Query!$B$4="All",'Compliance Database'!$A719=Query!$B$4),OR(Query!$B$5="All",ISNUMBER(SEARCH(Query!$B$5,'Compliance Database'!$H719))),OR(Query!$B$6="All",ISNUMBER(SEARCH(Query!$B$6,'Compliance Database'!$I719))),OR(Query!$B$7="All",'Compliance Database'!$F719=Query!$B$7),OR(Query!$B$8="All",'Compliance Database'!$J719=Query!$B$8),OR(Query!$B$9="",ISNUMBER(SEARCH(Query!$B$9,'Compliance Database'!$D719&amp;" "&amp;'Compliance Database'!$K719&amp;" "&amp;'Compliance Database'!$L719&amp;" "&amp;'Compliance Database'!$M719&amp;" "&amp;'Compliance Database'!$N719)))),1,0)</f>
        <v/>
      </c>
      <c r="B719">
        <f>IF($A719=1,SUM($A$2:$A719),"")</f>
        <v/>
      </c>
      <c r="C719">
        <f>IF($A719=1,SUM($A$2:$A719),0)</f>
        <v/>
      </c>
    </row>
    <row r="720">
      <c r="A720">
        <f>IF(AND(OR(Query!$B$4="All",'Compliance Database'!$A720=Query!$B$4),OR(Query!$B$5="All",ISNUMBER(SEARCH(Query!$B$5,'Compliance Database'!$H720))),OR(Query!$B$6="All",ISNUMBER(SEARCH(Query!$B$6,'Compliance Database'!$I720))),OR(Query!$B$7="All",'Compliance Database'!$F720=Query!$B$7),OR(Query!$B$8="All",'Compliance Database'!$J720=Query!$B$8),OR(Query!$B$9="",ISNUMBER(SEARCH(Query!$B$9,'Compliance Database'!$D720&amp;" "&amp;'Compliance Database'!$K720&amp;" "&amp;'Compliance Database'!$L720&amp;" "&amp;'Compliance Database'!$M720&amp;" "&amp;'Compliance Database'!$N720)))),1,0)</f>
        <v/>
      </c>
      <c r="B720">
        <f>IF($A720=1,SUM($A$2:$A720),"")</f>
        <v/>
      </c>
      <c r="C720">
        <f>IF($A720=1,SUM($A$2:$A720),0)</f>
        <v/>
      </c>
    </row>
    <row r="721">
      <c r="A721">
        <f>IF(AND(OR(Query!$B$4="All",'Compliance Database'!$A721=Query!$B$4),OR(Query!$B$5="All",ISNUMBER(SEARCH(Query!$B$5,'Compliance Database'!$H721))),OR(Query!$B$6="All",ISNUMBER(SEARCH(Query!$B$6,'Compliance Database'!$I721))),OR(Query!$B$7="All",'Compliance Database'!$F721=Query!$B$7),OR(Query!$B$8="All",'Compliance Database'!$J721=Query!$B$8),OR(Query!$B$9="",ISNUMBER(SEARCH(Query!$B$9,'Compliance Database'!$D721&amp;" "&amp;'Compliance Database'!$K721&amp;" "&amp;'Compliance Database'!$L721&amp;" "&amp;'Compliance Database'!$M721&amp;" "&amp;'Compliance Database'!$N721)))),1,0)</f>
        <v/>
      </c>
      <c r="B721">
        <f>IF($A721=1,SUM($A$2:$A721),"")</f>
        <v/>
      </c>
      <c r="C721">
        <f>IF($A721=1,SUM($A$2:$A721),0)</f>
        <v/>
      </c>
    </row>
    <row r="722">
      <c r="A722">
        <f>IF(AND(OR(Query!$B$4="All",'Compliance Database'!$A722=Query!$B$4),OR(Query!$B$5="All",ISNUMBER(SEARCH(Query!$B$5,'Compliance Database'!$H722))),OR(Query!$B$6="All",ISNUMBER(SEARCH(Query!$B$6,'Compliance Database'!$I722))),OR(Query!$B$7="All",'Compliance Database'!$F722=Query!$B$7),OR(Query!$B$8="All",'Compliance Database'!$J722=Query!$B$8),OR(Query!$B$9="",ISNUMBER(SEARCH(Query!$B$9,'Compliance Database'!$D722&amp;" "&amp;'Compliance Database'!$K722&amp;" "&amp;'Compliance Database'!$L722&amp;" "&amp;'Compliance Database'!$M722&amp;" "&amp;'Compliance Database'!$N722)))),1,0)</f>
        <v/>
      </c>
      <c r="B722">
        <f>IF($A722=1,SUM($A$2:$A722),"")</f>
        <v/>
      </c>
      <c r="C722">
        <f>IF($A722=1,SUM($A$2:$A722),0)</f>
        <v/>
      </c>
    </row>
    <row r="723">
      <c r="A723">
        <f>IF(AND(OR(Query!$B$4="All",'Compliance Database'!$A723=Query!$B$4),OR(Query!$B$5="All",ISNUMBER(SEARCH(Query!$B$5,'Compliance Database'!$H723))),OR(Query!$B$6="All",ISNUMBER(SEARCH(Query!$B$6,'Compliance Database'!$I723))),OR(Query!$B$7="All",'Compliance Database'!$F723=Query!$B$7),OR(Query!$B$8="All",'Compliance Database'!$J723=Query!$B$8),OR(Query!$B$9="",ISNUMBER(SEARCH(Query!$B$9,'Compliance Database'!$D723&amp;" "&amp;'Compliance Database'!$K723&amp;" "&amp;'Compliance Database'!$L723&amp;" "&amp;'Compliance Database'!$M723&amp;" "&amp;'Compliance Database'!$N723)))),1,0)</f>
        <v/>
      </c>
      <c r="B723">
        <f>IF($A723=1,SUM($A$2:$A723),"")</f>
        <v/>
      </c>
      <c r="C723">
        <f>IF($A723=1,SUM($A$2:$A723),0)</f>
        <v/>
      </c>
    </row>
    <row r="724">
      <c r="A724">
        <f>IF(AND(OR(Query!$B$4="All",'Compliance Database'!$A724=Query!$B$4),OR(Query!$B$5="All",ISNUMBER(SEARCH(Query!$B$5,'Compliance Database'!$H724))),OR(Query!$B$6="All",ISNUMBER(SEARCH(Query!$B$6,'Compliance Database'!$I724))),OR(Query!$B$7="All",'Compliance Database'!$F724=Query!$B$7),OR(Query!$B$8="All",'Compliance Database'!$J724=Query!$B$8),OR(Query!$B$9="",ISNUMBER(SEARCH(Query!$B$9,'Compliance Database'!$D724&amp;" "&amp;'Compliance Database'!$K724&amp;" "&amp;'Compliance Database'!$L724&amp;" "&amp;'Compliance Database'!$M724&amp;" "&amp;'Compliance Database'!$N724)))),1,0)</f>
        <v/>
      </c>
      <c r="B724">
        <f>IF($A724=1,SUM($A$2:$A724),"")</f>
        <v/>
      </c>
      <c r="C724">
        <f>IF($A724=1,SUM($A$2:$A724),0)</f>
        <v/>
      </c>
    </row>
    <row r="725">
      <c r="A725">
        <f>IF(AND(OR(Query!$B$4="All",'Compliance Database'!$A725=Query!$B$4),OR(Query!$B$5="All",ISNUMBER(SEARCH(Query!$B$5,'Compliance Database'!$H725))),OR(Query!$B$6="All",ISNUMBER(SEARCH(Query!$B$6,'Compliance Database'!$I725))),OR(Query!$B$7="All",'Compliance Database'!$F725=Query!$B$7),OR(Query!$B$8="All",'Compliance Database'!$J725=Query!$B$8),OR(Query!$B$9="",ISNUMBER(SEARCH(Query!$B$9,'Compliance Database'!$D725&amp;" "&amp;'Compliance Database'!$K725&amp;" "&amp;'Compliance Database'!$L725&amp;" "&amp;'Compliance Database'!$M725&amp;" "&amp;'Compliance Database'!$N725)))),1,0)</f>
        <v/>
      </c>
      <c r="B725">
        <f>IF($A725=1,SUM($A$2:$A725),"")</f>
        <v/>
      </c>
      <c r="C725">
        <f>IF($A725=1,SUM($A$2:$A725),0)</f>
        <v/>
      </c>
    </row>
    <row r="726">
      <c r="A726">
        <f>IF(AND(OR(Query!$B$4="All",'Compliance Database'!$A726=Query!$B$4),OR(Query!$B$5="All",ISNUMBER(SEARCH(Query!$B$5,'Compliance Database'!$H726))),OR(Query!$B$6="All",ISNUMBER(SEARCH(Query!$B$6,'Compliance Database'!$I726))),OR(Query!$B$7="All",'Compliance Database'!$F726=Query!$B$7),OR(Query!$B$8="All",'Compliance Database'!$J726=Query!$B$8),OR(Query!$B$9="",ISNUMBER(SEARCH(Query!$B$9,'Compliance Database'!$D726&amp;" "&amp;'Compliance Database'!$K726&amp;" "&amp;'Compliance Database'!$L726&amp;" "&amp;'Compliance Database'!$M726&amp;" "&amp;'Compliance Database'!$N726)))),1,0)</f>
        <v/>
      </c>
      <c r="B726">
        <f>IF($A726=1,SUM($A$2:$A726),"")</f>
        <v/>
      </c>
      <c r="C726">
        <f>IF($A726=1,SUM($A$2:$A726),0)</f>
        <v/>
      </c>
    </row>
    <row r="727">
      <c r="A727">
        <f>IF(AND(OR(Query!$B$4="All",'Compliance Database'!$A727=Query!$B$4),OR(Query!$B$5="All",ISNUMBER(SEARCH(Query!$B$5,'Compliance Database'!$H727))),OR(Query!$B$6="All",ISNUMBER(SEARCH(Query!$B$6,'Compliance Database'!$I727))),OR(Query!$B$7="All",'Compliance Database'!$F727=Query!$B$7),OR(Query!$B$8="All",'Compliance Database'!$J727=Query!$B$8),OR(Query!$B$9="",ISNUMBER(SEARCH(Query!$B$9,'Compliance Database'!$D727&amp;" "&amp;'Compliance Database'!$K727&amp;" "&amp;'Compliance Database'!$L727&amp;" "&amp;'Compliance Database'!$M727&amp;" "&amp;'Compliance Database'!$N727)))),1,0)</f>
        <v/>
      </c>
      <c r="B727">
        <f>IF($A727=1,SUM($A$2:$A727),"")</f>
        <v/>
      </c>
      <c r="C727">
        <f>IF($A727=1,SUM($A$2:$A727),0)</f>
        <v/>
      </c>
    </row>
    <row r="728">
      <c r="A728">
        <f>IF(AND(OR(Query!$B$4="All",'Compliance Database'!$A728=Query!$B$4),OR(Query!$B$5="All",ISNUMBER(SEARCH(Query!$B$5,'Compliance Database'!$H728))),OR(Query!$B$6="All",ISNUMBER(SEARCH(Query!$B$6,'Compliance Database'!$I728))),OR(Query!$B$7="All",'Compliance Database'!$F728=Query!$B$7),OR(Query!$B$8="All",'Compliance Database'!$J728=Query!$B$8),OR(Query!$B$9="",ISNUMBER(SEARCH(Query!$B$9,'Compliance Database'!$D728&amp;" "&amp;'Compliance Database'!$K728&amp;" "&amp;'Compliance Database'!$L728&amp;" "&amp;'Compliance Database'!$M728&amp;" "&amp;'Compliance Database'!$N728)))),1,0)</f>
        <v/>
      </c>
      <c r="B728">
        <f>IF($A728=1,SUM($A$2:$A728),"")</f>
        <v/>
      </c>
      <c r="C728">
        <f>IF($A728=1,SUM($A$2:$A728),0)</f>
        <v/>
      </c>
    </row>
    <row r="729">
      <c r="A729">
        <f>IF(AND(OR(Query!$B$4="All",'Compliance Database'!$A729=Query!$B$4),OR(Query!$B$5="All",ISNUMBER(SEARCH(Query!$B$5,'Compliance Database'!$H729))),OR(Query!$B$6="All",ISNUMBER(SEARCH(Query!$B$6,'Compliance Database'!$I729))),OR(Query!$B$7="All",'Compliance Database'!$F729=Query!$B$7),OR(Query!$B$8="All",'Compliance Database'!$J729=Query!$B$8),OR(Query!$B$9="",ISNUMBER(SEARCH(Query!$B$9,'Compliance Database'!$D729&amp;" "&amp;'Compliance Database'!$K729&amp;" "&amp;'Compliance Database'!$L729&amp;" "&amp;'Compliance Database'!$M729&amp;" "&amp;'Compliance Database'!$N729)))),1,0)</f>
        <v/>
      </c>
      <c r="B729">
        <f>IF($A729=1,SUM($A$2:$A729),"")</f>
        <v/>
      </c>
      <c r="C729">
        <f>IF($A729=1,SUM($A$2:$A729),0)</f>
        <v/>
      </c>
    </row>
    <row r="730">
      <c r="A730">
        <f>IF(AND(OR(Query!$B$4="All",'Compliance Database'!$A730=Query!$B$4),OR(Query!$B$5="All",ISNUMBER(SEARCH(Query!$B$5,'Compliance Database'!$H730))),OR(Query!$B$6="All",ISNUMBER(SEARCH(Query!$B$6,'Compliance Database'!$I730))),OR(Query!$B$7="All",'Compliance Database'!$F730=Query!$B$7),OR(Query!$B$8="All",'Compliance Database'!$J730=Query!$B$8),OR(Query!$B$9="",ISNUMBER(SEARCH(Query!$B$9,'Compliance Database'!$D730&amp;" "&amp;'Compliance Database'!$K730&amp;" "&amp;'Compliance Database'!$L730&amp;" "&amp;'Compliance Database'!$M730&amp;" "&amp;'Compliance Database'!$N730)))),1,0)</f>
        <v/>
      </c>
      <c r="B730">
        <f>IF($A730=1,SUM($A$2:$A730),"")</f>
        <v/>
      </c>
      <c r="C730">
        <f>IF($A730=1,SUM($A$2:$A730),0)</f>
        <v/>
      </c>
    </row>
    <row r="731">
      <c r="A731">
        <f>IF(AND(OR(Query!$B$4="All",'Compliance Database'!$A731=Query!$B$4),OR(Query!$B$5="All",ISNUMBER(SEARCH(Query!$B$5,'Compliance Database'!$H731))),OR(Query!$B$6="All",ISNUMBER(SEARCH(Query!$B$6,'Compliance Database'!$I731))),OR(Query!$B$7="All",'Compliance Database'!$F731=Query!$B$7),OR(Query!$B$8="All",'Compliance Database'!$J731=Query!$B$8),OR(Query!$B$9="",ISNUMBER(SEARCH(Query!$B$9,'Compliance Database'!$D731&amp;" "&amp;'Compliance Database'!$K731&amp;" "&amp;'Compliance Database'!$L731&amp;" "&amp;'Compliance Database'!$M731&amp;" "&amp;'Compliance Database'!$N731)))),1,0)</f>
        <v/>
      </c>
      <c r="B731">
        <f>IF($A731=1,SUM($A$2:$A731),"")</f>
        <v/>
      </c>
      <c r="C731">
        <f>IF($A731=1,SUM($A$2:$A731),0)</f>
        <v/>
      </c>
    </row>
    <row r="732">
      <c r="A732">
        <f>IF(AND(OR(Query!$B$4="All",'Compliance Database'!$A732=Query!$B$4),OR(Query!$B$5="All",ISNUMBER(SEARCH(Query!$B$5,'Compliance Database'!$H732))),OR(Query!$B$6="All",ISNUMBER(SEARCH(Query!$B$6,'Compliance Database'!$I732))),OR(Query!$B$7="All",'Compliance Database'!$F732=Query!$B$7),OR(Query!$B$8="All",'Compliance Database'!$J732=Query!$B$8),OR(Query!$B$9="",ISNUMBER(SEARCH(Query!$B$9,'Compliance Database'!$D732&amp;" "&amp;'Compliance Database'!$K732&amp;" "&amp;'Compliance Database'!$L732&amp;" "&amp;'Compliance Database'!$M732&amp;" "&amp;'Compliance Database'!$N732)))),1,0)</f>
        <v/>
      </c>
      <c r="B732">
        <f>IF($A732=1,SUM($A$2:$A732),"")</f>
        <v/>
      </c>
      <c r="C732">
        <f>IF($A732=1,SUM($A$2:$A732),0)</f>
        <v/>
      </c>
    </row>
    <row r="733">
      <c r="A733">
        <f>IF(AND(OR(Query!$B$4="All",'Compliance Database'!$A733=Query!$B$4),OR(Query!$B$5="All",ISNUMBER(SEARCH(Query!$B$5,'Compliance Database'!$H733))),OR(Query!$B$6="All",ISNUMBER(SEARCH(Query!$B$6,'Compliance Database'!$I733))),OR(Query!$B$7="All",'Compliance Database'!$F733=Query!$B$7),OR(Query!$B$8="All",'Compliance Database'!$J733=Query!$B$8),OR(Query!$B$9="",ISNUMBER(SEARCH(Query!$B$9,'Compliance Database'!$D733&amp;" "&amp;'Compliance Database'!$K733&amp;" "&amp;'Compliance Database'!$L733&amp;" "&amp;'Compliance Database'!$M733&amp;" "&amp;'Compliance Database'!$N733)))),1,0)</f>
        <v/>
      </c>
      <c r="B733">
        <f>IF($A733=1,SUM($A$2:$A733),"")</f>
        <v/>
      </c>
      <c r="C733">
        <f>IF($A733=1,SUM($A$2:$A733),0)</f>
        <v/>
      </c>
    </row>
    <row r="734">
      <c r="A734">
        <f>IF(AND(OR(Query!$B$4="All",'Compliance Database'!$A734=Query!$B$4),OR(Query!$B$5="All",ISNUMBER(SEARCH(Query!$B$5,'Compliance Database'!$H734))),OR(Query!$B$6="All",ISNUMBER(SEARCH(Query!$B$6,'Compliance Database'!$I734))),OR(Query!$B$7="All",'Compliance Database'!$F734=Query!$B$7),OR(Query!$B$8="All",'Compliance Database'!$J734=Query!$B$8),OR(Query!$B$9="",ISNUMBER(SEARCH(Query!$B$9,'Compliance Database'!$D734&amp;" "&amp;'Compliance Database'!$K734&amp;" "&amp;'Compliance Database'!$L734&amp;" "&amp;'Compliance Database'!$M734&amp;" "&amp;'Compliance Database'!$N734)))),1,0)</f>
        <v/>
      </c>
      <c r="B734">
        <f>IF($A734=1,SUM($A$2:$A734),"")</f>
        <v/>
      </c>
      <c r="C734">
        <f>IF($A734=1,SUM($A$2:$A734),0)</f>
        <v/>
      </c>
    </row>
    <row r="735">
      <c r="A735">
        <f>IF(AND(OR(Query!$B$4="All",'Compliance Database'!$A735=Query!$B$4),OR(Query!$B$5="All",ISNUMBER(SEARCH(Query!$B$5,'Compliance Database'!$H735))),OR(Query!$B$6="All",ISNUMBER(SEARCH(Query!$B$6,'Compliance Database'!$I735))),OR(Query!$B$7="All",'Compliance Database'!$F735=Query!$B$7),OR(Query!$B$8="All",'Compliance Database'!$J735=Query!$B$8),OR(Query!$B$9="",ISNUMBER(SEARCH(Query!$B$9,'Compliance Database'!$D735&amp;" "&amp;'Compliance Database'!$K735&amp;" "&amp;'Compliance Database'!$L735&amp;" "&amp;'Compliance Database'!$M735&amp;" "&amp;'Compliance Database'!$N735)))),1,0)</f>
        <v/>
      </c>
      <c r="B735">
        <f>IF($A735=1,SUM($A$2:$A735),"")</f>
        <v/>
      </c>
      <c r="C735">
        <f>IF($A735=1,SUM($A$2:$A735),0)</f>
        <v/>
      </c>
    </row>
    <row r="736">
      <c r="A736">
        <f>IF(AND(OR(Query!$B$4="All",'Compliance Database'!$A736=Query!$B$4),OR(Query!$B$5="All",ISNUMBER(SEARCH(Query!$B$5,'Compliance Database'!$H736))),OR(Query!$B$6="All",ISNUMBER(SEARCH(Query!$B$6,'Compliance Database'!$I736))),OR(Query!$B$7="All",'Compliance Database'!$F736=Query!$B$7),OR(Query!$B$8="All",'Compliance Database'!$J736=Query!$B$8),OR(Query!$B$9="",ISNUMBER(SEARCH(Query!$B$9,'Compliance Database'!$D736&amp;" "&amp;'Compliance Database'!$K736&amp;" "&amp;'Compliance Database'!$L736&amp;" "&amp;'Compliance Database'!$M736&amp;" "&amp;'Compliance Database'!$N736)))),1,0)</f>
        <v/>
      </c>
      <c r="B736">
        <f>IF($A736=1,SUM($A$2:$A736),"")</f>
        <v/>
      </c>
      <c r="C736">
        <f>IF($A736=1,SUM($A$2:$A736),0)</f>
        <v/>
      </c>
    </row>
    <row r="737">
      <c r="A737">
        <f>IF(AND(OR(Query!$B$4="All",'Compliance Database'!$A737=Query!$B$4),OR(Query!$B$5="All",ISNUMBER(SEARCH(Query!$B$5,'Compliance Database'!$H737))),OR(Query!$B$6="All",ISNUMBER(SEARCH(Query!$B$6,'Compliance Database'!$I737))),OR(Query!$B$7="All",'Compliance Database'!$F737=Query!$B$7),OR(Query!$B$8="All",'Compliance Database'!$J737=Query!$B$8),OR(Query!$B$9="",ISNUMBER(SEARCH(Query!$B$9,'Compliance Database'!$D737&amp;" "&amp;'Compliance Database'!$K737&amp;" "&amp;'Compliance Database'!$L737&amp;" "&amp;'Compliance Database'!$M737&amp;" "&amp;'Compliance Database'!$N737)))),1,0)</f>
        <v/>
      </c>
      <c r="B737">
        <f>IF($A737=1,SUM($A$2:$A737),"")</f>
        <v/>
      </c>
      <c r="C737">
        <f>IF($A737=1,SUM($A$2:$A737),0)</f>
        <v/>
      </c>
    </row>
    <row r="738">
      <c r="A738">
        <f>IF(AND(OR(Query!$B$4="All",'Compliance Database'!$A738=Query!$B$4),OR(Query!$B$5="All",ISNUMBER(SEARCH(Query!$B$5,'Compliance Database'!$H738))),OR(Query!$B$6="All",ISNUMBER(SEARCH(Query!$B$6,'Compliance Database'!$I738))),OR(Query!$B$7="All",'Compliance Database'!$F738=Query!$B$7),OR(Query!$B$8="All",'Compliance Database'!$J738=Query!$B$8),OR(Query!$B$9="",ISNUMBER(SEARCH(Query!$B$9,'Compliance Database'!$D738&amp;" "&amp;'Compliance Database'!$K738&amp;" "&amp;'Compliance Database'!$L738&amp;" "&amp;'Compliance Database'!$M738&amp;" "&amp;'Compliance Database'!$N738)))),1,0)</f>
        <v/>
      </c>
      <c r="B738">
        <f>IF($A738=1,SUM($A$2:$A738),"")</f>
        <v/>
      </c>
      <c r="C738">
        <f>IF($A738=1,SUM($A$2:$A738),0)</f>
        <v/>
      </c>
    </row>
    <row r="739">
      <c r="A739">
        <f>IF(AND(OR(Query!$B$4="All",'Compliance Database'!$A739=Query!$B$4),OR(Query!$B$5="All",ISNUMBER(SEARCH(Query!$B$5,'Compliance Database'!$H739))),OR(Query!$B$6="All",ISNUMBER(SEARCH(Query!$B$6,'Compliance Database'!$I739))),OR(Query!$B$7="All",'Compliance Database'!$F739=Query!$B$7),OR(Query!$B$8="All",'Compliance Database'!$J739=Query!$B$8),OR(Query!$B$9="",ISNUMBER(SEARCH(Query!$B$9,'Compliance Database'!$D739&amp;" "&amp;'Compliance Database'!$K739&amp;" "&amp;'Compliance Database'!$L739&amp;" "&amp;'Compliance Database'!$M739&amp;" "&amp;'Compliance Database'!$N739)))),1,0)</f>
        <v/>
      </c>
      <c r="B739">
        <f>IF($A739=1,SUM($A$2:$A739),"")</f>
        <v/>
      </c>
      <c r="C739">
        <f>IF($A739=1,SUM($A$2:$A739),0)</f>
        <v/>
      </c>
    </row>
    <row r="740">
      <c r="A740">
        <f>IF(AND(OR(Query!$B$4="All",'Compliance Database'!$A740=Query!$B$4),OR(Query!$B$5="All",ISNUMBER(SEARCH(Query!$B$5,'Compliance Database'!$H740))),OR(Query!$B$6="All",ISNUMBER(SEARCH(Query!$B$6,'Compliance Database'!$I740))),OR(Query!$B$7="All",'Compliance Database'!$F740=Query!$B$7),OR(Query!$B$8="All",'Compliance Database'!$J740=Query!$B$8),OR(Query!$B$9="",ISNUMBER(SEARCH(Query!$B$9,'Compliance Database'!$D740&amp;" "&amp;'Compliance Database'!$K740&amp;" "&amp;'Compliance Database'!$L740&amp;" "&amp;'Compliance Database'!$M740&amp;" "&amp;'Compliance Database'!$N740)))),1,0)</f>
        <v/>
      </c>
      <c r="B740">
        <f>IF($A740=1,SUM($A$2:$A740),"")</f>
        <v/>
      </c>
      <c r="C740">
        <f>IF($A740=1,SUM($A$2:$A740),0)</f>
        <v/>
      </c>
    </row>
    <row r="741">
      <c r="A741">
        <f>IF(AND(OR(Query!$B$4="All",'Compliance Database'!$A741=Query!$B$4),OR(Query!$B$5="All",ISNUMBER(SEARCH(Query!$B$5,'Compliance Database'!$H741))),OR(Query!$B$6="All",ISNUMBER(SEARCH(Query!$B$6,'Compliance Database'!$I741))),OR(Query!$B$7="All",'Compliance Database'!$F741=Query!$B$7),OR(Query!$B$8="All",'Compliance Database'!$J741=Query!$B$8),OR(Query!$B$9="",ISNUMBER(SEARCH(Query!$B$9,'Compliance Database'!$D741&amp;" "&amp;'Compliance Database'!$K741&amp;" "&amp;'Compliance Database'!$L741&amp;" "&amp;'Compliance Database'!$M741&amp;" "&amp;'Compliance Database'!$N741)))),1,0)</f>
        <v/>
      </c>
      <c r="B741">
        <f>IF($A741=1,SUM($A$2:$A741),"")</f>
        <v/>
      </c>
      <c r="C741">
        <f>IF($A741=1,SUM($A$2:$A741),0)</f>
        <v/>
      </c>
    </row>
    <row r="742">
      <c r="A742">
        <f>IF(AND(OR(Query!$B$4="All",'Compliance Database'!$A742=Query!$B$4),OR(Query!$B$5="All",ISNUMBER(SEARCH(Query!$B$5,'Compliance Database'!$H742))),OR(Query!$B$6="All",ISNUMBER(SEARCH(Query!$B$6,'Compliance Database'!$I742))),OR(Query!$B$7="All",'Compliance Database'!$F742=Query!$B$7),OR(Query!$B$8="All",'Compliance Database'!$J742=Query!$B$8),OR(Query!$B$9="",ISNUMBER(SEARCH(Query!$B$9,'Compliance Database'!$D742&amp;" "&amp;'Compliance Database'!$K742&amp;" "&amp;'Compliance Database'!$L742&amp;" "&amp;'Compliance Database'!$M742&amp;" "&amp;'Compliance Database'!$N742)))),1,0)</f>
        <v/>
      </c>
      <c r="B742">
        <f>IF($A742=1,SUM($A$2:$A742),"")</f>
        <v/>
      </c>
      <c r="C742">
        <f>IF($A742=1,SUM($A$2:$A742),0)</f>
        <v/>
      </c>
    </row>
    <row r="743">
      <c r="A743">
        <f>IF(AND(OR(Query!$B$4="All",'Compliance Database'!$A743=Query!$B$4),OR(Query!$B$5="All",ISNUMBER(SEARCH(Query!$B$5,'Compliance Database'!$H743))),OR(Query!$B$6="All",ISNUMBER(SEARCH(Query!$B$6,'Compliance Database'!$I743))),OR(Query!$B$7="All",'Compliance Database'!$F743=Query!$B$7),OR(Query!$B$8="All",'Compliance Database'!$J743=Query!$B$8),OR(Query!$B$9="",ISNUMBER(SEARCH(Query!$B$9,'Compliance Database'!$D743&amp;" "&amp;'Compliance Database'!$K743&amp;" "&amp;'Compliance Database'!$L743&amp;" "&amp;'Compliance Database'!$M743&amp;" "&amp;'Compliance Database'!$N743)))),1,0)</f>
        <v/>
      </c>
      <c r="B743">
        <f>IF($A743=1,SUM($A$2:$A743),"")</f>
        <v/>
      </c>
      <c r="C743">
        <f>IF($A743=1,SUM($A$2:$A743),0)</f>
        <v/>
      </c>
    </row>
    <row r="744">
      <c r="A744">
        <f>IF(AND(OR(Query!$B$4="All",'Compliance Database'!$A744=Query!$B$4),OR(Query!$B$5="All",ISNUMBER(SEARCH(Query!$B$5,'Compliance Database'!$H744))),OR(Query!$B$6="All",ISNUMBER(SEARCH(Query!$B$6,'Compliance Database'!$I744))),OR(Query!$B$7="All",'Compliance Database'!$F744=Query!$B$7),OR(Query!$B$8="All",'Compliance Database'!$J744=Query!$B$8),OR(Query!$B$9="",ISNUMBER(SEARCH(Query!$B$9,'Compliance Database'!$D744&amp;" "&amp;'Compliance Database'!$K744&amp;" "&amp;'Compliance Database'!$L744&amp;" "&amp;'Compliance Database'!$M744&amp;" "&amp;'Compliance Database'!$N744)))),1,0)</f>
        <v/>
      </c>
      <c r="B744">
        <f>IF($A744=1,SUM($A$2:$A744),"")</f>
        <v/>
      </c>
      <c r="C744">
        <f>IF($A744=1,SUM($A$2:$A744),0)</f>
        <v/>
      </c>
    </row>
    <row r="745">
      <c r="A745">
        <f>IF(AND(OR(Query!$B$4="All",'Compliance Database'!$A745=Query!$B$4),OR(Query!$B$5="All",ISNUMBER(SEARCH(Query!$B$5,'Compliance Database'!$H745))),OR(Query!$B$6="All",ISNUMBER(SEARCH(Query!$B$6,'Compliance Database'!$I745))),OR(Query!$B$7="All",'Compliance Database'!$F745=Query!$B$7),OR(Query!$B$8="All",'Compliance Database'!$J745=Query!$B$8),OR(Query!$B$9="",ISNUMBER(SEARCH(Query!$B$9,'Compliance Database'!$D745&amp;" "&amp;'Compliance Database'!$K745&amp;" "&amp;'Compliance Database'!$L745&amp;" "&amp;'Compliance Database'!$M745&amp;" "&amp;'Compliance Database'!$N745)))),1,0)</f>
        <v/>
      </c>
      <c r="B745">
        <f>IF($A745=1,SUM($A$2:$A745),"")</f>
        <v/>
      </c>
      <c r="C745">
        <f>IF($A745=1,SUM($A$2:$A745),0)</f>
        <v/>
      </c>
    </row>
    <row r="746">
      <c r="A746">
        <f>IF(AND(OR(Query!$B$4="All",'Compliance Database'!$A746=Query!$B$4),OR(Query!$B$5="All",ISNUMBER(SEARCH(Query!$B$5,'Compliance Database'!$H746))),OR(Query!$B$6="All",ISNUMBER(SEARCH(Query!$B$6,'Compliance Database'!$I746))),OR(Query!$B$7="All",'Compliance Database'!$F746=Query!$B$7),OR(Query!$B$8="All",'Compliance Database'!$J746=Query!$B$8),OR(Query!$B$9="",ISNUMBER(SEARCH(Query!$B$9,'Compliance Database'!$D746&amp;" "&amp;'Compliance Database'!$K746&amp;" "&amp;'Compliance Database'!$L746&amp;" "&amp;'Compliance Database'!$M746&amp;" "&amp;'Compliance Database'!$N746)))),1,0)</f>
        <v/>
      </c>
      <c r="B746">
        <f>IF($A746=1,SUM($A$2:$A746),"")</f>
        <v/>
      </c>
      <c r="C746">
        <f>IF($A746=1,SUM($A$2:$A746),0)</f>
        <v/>
      </c>
    </row>
    <row r="747">
      <c r="A747">
        <f>IF(AND(OR(Query!$B$4="All",'Compliance Database'!$A747=Query!$B$4),OR(Query!$B$5="All",ISNUMBER(SEARCH(Query!$B$5,'Compliance Database'!$H747))),OR(Query!$B$6="All",ISNUMBER(SEARCH(Query!$B$6,'Compliance Database'!$I747))),OR(Query!$B$7="All",'Compliance Database'!$F747=Query!$B$7),OR(Query!$B$8="All",'Compliance Database'!$J747=Query!$B$8),OR(Query!$B$9="",ISNUMBER(SEARCH(Query!$B$9,'Compliance Database'!$D747&amp;" "&amp;'Compliance Database'!$K747&amp;" "&amp;'Compliance Database'!$L747&amp;" "&amp;'Compliance Database'!$M747&amp;" "&amp;'Compliance Database'!$N747)))),1,0)</f>
        <v/>
      </c>
      <c r="B747">
        <f>IF($A747=1,SUM($A$2:$A747),"")</f>
        <v/>
      </c>
      <c r="C747">
        <f>IF($A747=1,SUM($A$2:$A747),0)</f>
        <v/>
      </c>
    </row>
    <row r="748">
      <c r="A748">
        <f>IF(AND(OR(Query!$B$4="All",'Compliance Database'!$A748=Query!$B$4),OR(Query!$B$5="All",ISNUMBER(SEARCH(Query!$B$5,'Compliance Database'!$H748))),OR(Query!$B$6="All",ISNUMBER(SEARCH(Query!$B$6,'Compliance Database'!$I748))),OR(Query!$B$7="All",'Compliance Database'!$F748=Query!$B$7),OR(Query!$B$8="All",'Compliance Database'!$J748=Query!$B$8),OR(Query!$B$9="",ISNUMBER(SEARCH(Query!$B$9,'Compliance Database'!$D748&amp;" "&amp;'Compliance Database'!$K748&amp;" "&amp;'Compliance Database'!$L748&amp;" "&amp;'Compliance Database'!$M748&amp;" "&amp;'Compliance Database'!$N748)))),1,0)</f>
        <v/>
      </c>
      <c r="B748">
        <f>IF($A748=1,SUM($A$2:$A748),"")</f>
        <v/>
      </c>
      <c r="C748">
        <f>IF($A748=1,SUM($A$2:$A748),0)</f>
        <v/>
      </c>
    </row>
    <row r="749">
      <c r="A749">
        <f>IF(AND(OR(Query!$B$4="All",'Compliance Database'!$A749=Query!$B$4),OR(Query!$B$5="All",ISNUMBER(SEARCH(Query!$B$5,'Compliance Database'!$H749))),OR(Query!$B$6="All",ISNUMBER(SEARCH(Query!$B$6,'Compliance Database'!$I749))),OR(Query!$B$7="All",'Compliance Database'!$F749=Query!$B$7),OR(Query!$B$8="All",'Compliance Database'!$J749=Query!$B$8),OR(Query!$B$9="",ISNUMBER(SEARCH(Query!$B$9,'Compliance Database'!$D749&amp;" "&amp;'Compliance Database'!$K749&amp;" "&amp;'Compliance Database'!$L749&amp;" "&amp;'Compliance Database'!$M749&amp;" "&amp;'Compliance Database'!$N749)))),1,0)</f>
        <v/>
      </c>
      <c r="B749">
        <f>IF($A749=1,SUM($A$2:$A749),"")</f>
        <v/>
      </c>
      <c r="C749">
        <f>IF($A749=1,SUM($A$2:$A749),0)</f>
        <v/>
      </c>
    </row>
    <row r="750">
      <c r="A750">
        <f>IF(AND(OR(Query!$B$4="All",'Compliance Database'!$A750=Query!$B$4),OR(Query!$B$5="All",ISNUMBER(SEARCH(Query!$B$5,'Compliance Database'!$H750))),OR(Query!$B$6="All",ISNUMBER(SEARCH(Query!$B$6,'Compliance Database'!$I750))),OR(Query!$B$7="All",'Compliance Database'!$F750=Query!$B$7),OR(Query!$B$8="All",'Compliance Database'!$J750=Query!$B$8),OR(Query!$B$9="",ISNUMBER(SEARCH(Query!$B$9,'Compliance Database'!$D750&amp;" "&amp;'Compliance Database'!$K750&amp;" "&amp;'Compliance Database'!$L750&amp;" "&amp;'Compliance Database'!$M750&amp;" "&amp;'Compliance Database'!$N750)))),1,0)</f>
        <v/>
      </c>
      <c r="B750">
        <f>IF($A750=1,SUM($A$2:$A750),"")</f>
        <v/>
      </c>
      <c r="C750">
        <f>IF($A750=1,SUM($A$2:$A750),0)</f>
        <v/>
      </c>
    </row>
    <row r="751">
      <c r="A751">
        <f>IF(AND(OR(Query!$B$4="All",'Compliance Database'!$A751=Query!$B$4),OR(Query!$B$5="All",ISNUMBER(SEARCH(Query!$B$5,'Compliance Database'!$H751))),OR(Query!$B$6="All",ISNUMBER(SEARCH(Query!$B$6,'Compliance Database'!$I751))),OR(Query!$B$7="All",'Compliance Database'!$F751=Query!$B$7),OR(Query!$B$8="All",'Compliance Database'!$J751=Query!$B$8),OR(Query!$B$9="",ISNUMBER(SEARCH(Query!$B$9,'Compliance Database'!$D751&amp;" "&amp;'Compliance Database'!$K751&amp;" "&amp;'Compliance Database'!$L751&amp;" "&amp;'Compliance Database'!$M751&amp;" "&amp;'Compliance Database'!$N751)))),1,0)</f>
        <v/>
      </c>
      <c r="B751">
        <f>IF($A751=1,SUM($A$2:$A751),"")</f>
        <v/>
      </c>
      <c r="C751">
        <f>IF($A751=1,SUM($A$2:$A751),0)</f>
        <v/>
      </c>
    </row>
    <row r="752">
      <c r="A752">
        <f>IF(AND(OR(Query!$B$4="All",'Compliance Database'!$A752=Query!$B$4),OR(Query!$B$5="All",ISNUMBER(SEARCH(Query!$B$5,'Compliance Database'!$H752))),OR(Query!$B$6="All",ISNUMBER(SEARCH(Query!$B$6,'Compliance Database'!$I752))),OR(Query!$B$7="All",'Compliance Database'!$F752=Query!$B$7),OR(Query!$B$8="All",'Compliance Database'!$J752=Query!$B$8),OR(Query!$B$9="",ISNUMBER(SEARCH(Query!$B$9,'Compliance Database'!$D752&amp;" "&amp;'Compliance Database'!$K752&amp;" "&amp;'Compliance Database'!$L752&amp;" "&amp;'Compliance Database'!$M752&amp;" "&amp;'Compliance Database'!$N752)))),1,0)</f>
        <v/>
      </c>
      <c r="B752">
        <f>IF($A752=1,SUM($A$2:$A752),"")</f>
        <v/>
      </c>
      <c r="C752">
        <f>IF($A752=1,SUM($A$2:$A752),0)</f>
        <v/>
      </c>
    </row>
    <row r="753">
      <c r="A753">
        <f>IF(AND(OR(Query!$B$4="All",'Compliance Database'!$A753=Query!$B$4),OR(Query!$B$5="All",ISNUMBER(SEARCH(Query!$B$5,'Compliance Database'!$H753))),OR(Query!$B$6="All",ISNUMBER(SEARCH(Query!$B$6,'Compliance Database'!$I753))),OR(Query!$B$7="All",'Compliance Database'!$F753=Query!$B$7),OR(Query!$B$8="All",'Compliance Database'!$J753=Query!$B$8),OR(Query!$B$9="",ISNUMBER(SEARCH(Query!$B$9,'Compliance Database'!$D753&amp;" "&amp;'Compliance Database'!$K753&amp;" "&amp;'Compliance Database'!$L753&amp;" "&amp;'Compliance Database'!$M753&amp;" "&amp;'Compliance Database'!$N753)))),1,0)</f>
        <v/>
      </c>
      <c r="B753">
        <f>IF($A753=1,SUM($A$2:$A753),"")</f>
        <v/>
      </c>
      <c r="C753">
        <f>IF($A753=1,SUM($A$2:$A753),0)</f>
        <v/>
      </c>
    </row>
    <row r="754">
      <c r="A754">
        <f>IF(AND(OR(Query!$B$4="All",'Compliance Database'!$A754=Query!$B$4),OR(Query!$B$5="All",ISNUMBER(SEARCH(Query!$B$5,'Compliance Database'!$H754))),OR(Query!$B$6="All",ISNUMBER(SEARCH(Query!$B$6,'Compliance Database'!$I754))),OR(Query!$B$7="All",'Compliance Database'!$F754=Query!$B$7),OR(Query!$B$8="All",'Compliance Database'!$J754=Query!$B$8),OR(Query!$B$9="",ISNUMBER(SEARCH(Query!$B$9,'Compliance Database'!$D754&amp;" "&amp;'Compliance Database'!$K754&amp;" "&amp;'Compliance Database'!$L754&amp;" "&amp;'Compliance Database'!$M754&amp;" "&amp;'Compliance Database'!$N754)))),1,0)</f>
        <v/>
      </c>
      <c r="B754">
        <f>IF($A754=1,SUM($A$2:$A754),"")</f>
        <v/>
      </c>
      <c r="C754">
        <f>IF($A754=1,SUM($A$2:$A754),0)</f>
        <v/>
      </c>
    </row>
    <row r="755">
      <c r="A755">
        <f>IF(AND(OR(Query!$B$4="All",'Compliance Database'!$A755=Query!$B$4),OR(Query!$B$5="All",ISNUMBER(SEARCH(Query!$B$5,'Compliance Database'!$H755))),OR(Query!$B$6="All",ISNUMBER(SEARCH(Query!$B$6,'Compliance Database'!$I755))),OR(Query!$B$7="All",'Compliance Database'!$F755=Query!$B$7),OR(Query!$B$8="All",'Compliance Database'!$J755=Query!$B$8),OR(Query!$B$9="",ISNUMBER(SEARCH(Query!$B$9,'Compliance Database'!$D755&amp;" "&amp;'Compliance Database'!$K755&amp;" "&amp;'Compliance Database'!$L755&amp;" "&amp;'Compliance Database'!$M755&amp;" "&amp;'Compliance Database'!$N755)))),1,0)</f>
        <v/>
      </c>
      <c r="B755">
        <f>IF($A755=1,SUM($A$2:$A755),"")</f>
        <v/>
      </c>
      <c r="C755">
        <f>IF($A755=1,SUM($A$2:$A755),0)</f>
        <v/>
      </c>
    </row>
    <row r="756">
      <c r="A756">
        <f>IF(AND(OR(Query!$B$4="All",'Compliance Database'!$A756=Query!$B$4),OR(Query!$B$5="All",ISNUMBER(SEARCH(Query!$B$5,'Compliance Database'!$H756))),OR(Query!$B$6="All",ISNUMBER(SEARCH(Query!$B$6,'Compliance Database'!$I756))),OR(Query!$B$7="All",'Compliance Database'!$F756=Query!$B$7),OR(Query!$B$8="All",'Compliance Database'!$J756=Query!$B$8),OR(Query!$B$9="",ISNUMBER(SEARCH(Query!$B$9,'Compliance Database'!$D756&amp;" "&amp;'Compliance Database'!$K756&amp;" "&amp;'Compliance Database'!$L756&amp;" "&amp;'Compliance Database'!$M756&amp;" "&amp;'Compliance Database'!$N756)))),1,0)</f>
        <v/>
      </c>
      <c r="B756">
        <f>IF($A756=1,SUM($A$2:$A756),"")</f>
        <v/>
      </c>
      <c r="C756">
        <f>IF($A756=1,SUM($A$2:$A756),0)</f>
        <v/>
      </c>
    </row>
    <row r="757">
      <c r="A757">
        <f>IF(AND(OR(Query!$B$4="All",'Compliance Database'!$A757=Query!$B$4),OR(Query!$B$5="All",ISNUMBER(SEARCH(Query!$B$5,'Compliance Database'!$H757))),OR(Query!$B$6="All",ISNUMBER(SEARCH(Query!$B$6,'Compliance Database'!$I757))),OR(Query!$B$7="All",'Compliance Database'!$F757=Query!$B$7),OR(Query!$B$8="All",'Compliance Database'!$J757=Query!$B$8),OR(Query!$B$9="",ISNUMBER(SEARCH(Query!$B$9,'Compliance Database'!$D757&amp;" "&amp;'Compliance Database'!$K757&amp;" "&amp;'Compliance Database'!$L757&amp;" "&amp;'Compliance Database'!$M757&amp;" "&amp;'Compliance Database'!$N757)))),1,0)</f>
        <v/>
      </c>
      <c r="B757">
        <f>IF($A757=1,SUM($A$2:$A757),"")</f>
        <v/>
      </c>
      <c r="C757">
        <f>IF($A757=1,SUM($A$2:$A757),0)</f>
        <v/>
      </c>
    </row>
    <row r="758">
      <c r="A758">
        <f>IF(AND(OR(Query!$B$4="All",'Compliance Database'!$A758=Query!$B$4),OR(Query!$B$5="All",ISNUMBER(SEARCH(Query!$B$5,'Compliance Database'!$H758))),OR(Query!$B$6="All",ISNUMBER(SEARCH(Query!$B$6,'Compliance Database'!$I758))),OR(Query!$B$7="All",'Compliance Database'!$F758=Query!$B$7),OR(Query!$B$8="All",'Compliance Database'!$J758=Query!$B$8),OR(Query!$B$9="",ISNUMBER(SEARCH(Query!$B$9,'Compliance Database'!$D758&amp;" "&amp;'Compliance Database'!$K758&amp;" "&amp;'Compliance Database'!$L758&amp;" "&amp;'Compliance Database'!$M758&amp;" "&amp;'Compliance Database'!$N758)))),1,0)</f>
        <v/>
      </c>
      <c r="B758">
        <f>IF($A758=1,SUM($A$2:$A758),"")</f>
        <v/>
      </c>
      <c r="C758">
        <f>IF($A758=1,SUM($A$2:$A758),0)</f>
        <v/>
      </c>
    </row>
    <row r="759">
      <c r="A759">
        <f>IF(AND(OR(Query!$B$4="All",'Compliance Database'!$A759=Query!$B$4),OR(Query!$B$5="All",ISNUMBER(SEARCH(Query!$B$5,'Compliance Database'!$H759))),OR(Query!$B$6="All",ISNUMBER(SEARCH(Query!$B$6,'Compliance Database'!$I759))),OR(Query!$B$7="All",'Compliance Database'!$F759=Query!$B$7),OR(Query!$B$8="All",'Compliance Database'!$J759=Query!$B$8),OR(Query!$B$9="",ISNUMBER(SEARCH(Query!$B$9,'Compliance Database'!$D759&amp;" "&amp;'Compliance Database'!$K759&amp;" "&amp;'Compliance Database'!$L759&amp;" "&amp;'Compliance Database'!$M759&amp;" "&amp;'Compliance Database'!$N759)))),1,0)</f>
        <v/>
      </c>
      <c r="B759">
        <f>IF($A759=1,SUM($A$2:$A759),"")</f>
        <v/>
      </c>
      <c r="C759">
        <f>IF($A759=1,SUM($A$2:$A759),0)</f>
        <v/>
      </c>
    </row>
    <row r="760">
      <c r="A760">
        <f>IF(AND(OR(Query!$B$4="All",'Compliance Database'!$A760=Query!$B$4),OR(Query!$B$5="All",ISNUMBER(SEARCH(Query!$B$5,'Compliance Database'!$H760))),OR(Query!$B$6="All",ISNUMBER(SEARCH(Query!$B$6,'Compliance Database'!$I760))),OR(Query!$B$7="All",'Compliance Database'!$F760=Query!$B$7),OR(Query!$B$8="All",'Compliance Database'!$J760=Query!$B$8),OR(Query!$B$9="",ISNUMBER(SEARCH(Query!$B$9,'Compliance Database'!$D760&amp;" "&amp;'Compliance Database'!$K760&amp;" "&amp;'Compliance Database'!$L760&amp;" "&amp;'Compliance Database'!$M760&amp;" "&amp;'Compliance Database'!$N760)))),1,0)</f>
        <v/>
      </c>
      <c r="B760">
        <f>IF($A760=1,SUM($A$2:$A760),"")</f>
        <v/>
      </c>
      <c r="C760">
        <f>IF($A760=1,SUM($A$2:$A760),0)</f>
        <v/>
      </c>
    </row>
    <row r="761">
      <c r="A761">
        <f>IF(AND(OR(Query!$B$4="All",'Compliance Database'!$A761=Query!$B$4),OR(Query!$B$5="All",ISNUMBER(SEARCH(Query!$B$5,'Compliance Database'!$H761))),OR(Query!$B$6="All",ISNUMBER(SEARCH(Query!$B$6,'Compliance Database'!$I761))),OR(Query!$B$7="All",'Compliance Database'!$F761=Query!$B$7),OR(Query!$B$8="All",'Compliance Database'!$J761=Query!$B$8),OR(Query!$B$9="",ISNUMBER(SEARCH(Query!$B$9,'Compliance Database'!$D761&amp;" "&amp;'Compliance Database'!$K761&amp;" "&amp;'Compliance Database'!$L761&amp;" "&amp;'Compliance Database'!$M761&amp;" "&amp;'Compliance Database'!$N761)))),1,0)</f>
        <v/>
      </c>
      <c r="B761">
        <f>IF($A761=1,SUM($A$2:$A761),"")</f>
        <v/>
      </c>
      <c r="C761">
        <f>IF($A761=1,SUM($A$2:$A761),0)</f>
        <v/>
      </c>
    </row>
    <row r="762">
      <c r="A762">
        <f>IF(AND(OR(Query!$B$4="All",'Compliance Database'!$A762=Query!$B$4),OR(Query!$B$5="All",ISNUMBER(SEARCH(Query!$B$5,'Compliance Database'!$H762))),OR(Query!$B$6="All",ISNUMBER(SEARCH(Query!$B$6,'Compliance Database'!$I762))),OR(Query!$B$7="All",'Compliance Database'!$F762=Query!$B$7),OR(Query!$B$8="All",'Compliance Database'!$J762=Query!$B$8),OR(Query!$B$9="",ISNUMBER(SEARCH(Query!$B$9,'Compliance Database'!$D762&amp;" "&amp;'Compliance Database'!$K762&amp;" "&amp;'Compliance Database'!$L762&amp;" "&amp;'Compliance Database'!$M762&amp;" "&amp;'Compliance Database'!$N762)))),1,0)</f>
        <v/>
      </c>
      <c r="B762">
        <f>IF($A762=1,SUM($A$2:$A762),"")</f>
        <v/>
      </c>
      <c r="C762">
        <f>IF($A762=1,SUM($A$2:$A762),0)</f>
        <v/>
      </c>
    </row>
    <row r="763">
      <c r="A763">
        <f>IF(AND(OR(Query!$B$4="All",'Compliance Database'!$A763=Query!$B$4),OR(Query!$B$5="All",ISNUMBER(SEARCH(Query!$B$5,'Compliance Database'!$H763))),OR(Query!$B$6="All",ISNUMBER(SEARCH(Query!$B$6,'Compliance Database'!$I763))),OR(Query!$B$7="All",'Compliance Database'!$F763=Query!$B$7),OR(Query!$B$8="All",'Compliance Database'!$J763=Query!$B$8),OR(Query!$B$9="",ISNUMBER(SEARCH(Query!$B$9,'Compliance Database'!$D763&amp;" "&amp;'Compliance Database'!$K763&amp;" "&amp;'Compliance Database'!$L763&amp;" "&amp;'Compliance Database'!$M763&amp;" "&amp;'Compliance Database'!$N763)))),1,0)</f>
        <v/>
      </c>
      <c r="B763">
        <f>IF($A763=1,SUM($A$2:$A763),"")</f>
        <v/>
      </c>
      <c r="C763">
        <f>IF($A763=1,SUM($A$2:$A763),0)</f>
        <v/>
      </c>
    </row>
    <row r="764">
      <c r="A764">
        <f>IF(AND(OR(Query!$B$4="All",'Compliance Database'!$A764=Query!$B$4),OR(Query!$B$5="All",ISNUMBER(SEARCH(Query!$B$5,'Compliance Database'!$H764))),OR(Query!$B$6="All",ISNUMBER(SEARCH(Query!$B$6,'Compliance Database'!$I764))),OR(Query!$B$7="All",'Compliance Database'!$F764=Query!$B$7),OR(Query!$B$8="All",'Compliance Database'!$J764=Query!$B$8),OR(Query!$B$9="",ISNUMBER(SEARCH(Query!$B$9,'Compliance Database'!$D764&amp;" "&amp;'Compliance Database'!$K764&amp;" "&amp;'Compliance Database'!$L764&amp;" "&amp;'Compliance Database'!$M764&amp;" "&amp;'Compliance Database'!$N764)))),1,0)</f>
        <v/>
      </c>
      <c r="B764">
        <f>IF($A764=1,SUM($A$2:$A764),"")</f>
        <v/>
      </c>
      <c r="C764">
        <f>IF($A764=1,SUM($A$2:$A764),0)</f>
        <v/>
      </c>
    </row>
    <row r="765">
      <c r="A765">
        <f>IF(AND(OR(Query!$B$4="All",'Compliance Database'!$A765=Query!$B$4),OR(Query!$B$5="All",ISNUMBER(SEARCH(Query!$B$5,'Compliance Database'!$H765))),OR(Query!$B$6="All",ISNUMBER(SEARCH(Query!$B$6,'Compliance Database'!$I765))),OR(Query!$B$7="All",'Compliance Database'!$F765=Query!$B$7),OR(Query!$B$8="All",'Compliance Database'!$J765=Query!$B$8),OR(Query!$B$9="",ISNUMBER(SEARCH(Query!$B$9,'Compliance Database'!$D765&amp;" "&amp;'Compliance Database'!$K765&amp;" "&amp;'Compliance Database'!$L765&amp;" "&amp;'Compliance Database'!$M765&amp;" "&amp;'Compliance Database'!$N765)))),1,0)</f>
        <v/>
      </c>
      <c r="B765">
        <f>IF($A765=1,SUM($A$2:$A765),"")</f>
        <v/>
      </c>
      <c r="C765">
        <f>IF($A765=1,SUM($A$2:$A765),0)</f>
        <v/>
      </c>
    </row>
    <row r="766">
      <c r="A766">
        <f>IF(AND(OR(Query!$B$4="All",'Compliance Database'!$A766=Query!$B$4),OR(Query!$B$5="All",ISNUMBER(SEARCH(Query!$B$5,'Compliance Database'!$H766))),OR(Query!$B$6="All",ISNUMBER(SEARCH(Query!$B$6,'Compliance Database'!$I766))),OR(Query!$B$7="All",'Compliance Database'!$F766=Query!$B$7),OR(Query!$B$8="All",'Compliance Database'!$J766=Query!$B$8),OR(Query!$B$9="",ISNUMBER(SEARCH(Query!$B$9,'Compliance Database'!$D766&amp;" "&amp;'Compliance Database'!$K766&amp;" "&amp;'Compliance Database'!$L766&amp;" "&amp;'Compliance Database'!$M766&amp;" "&amp;'Compliance Database'!$N766)))),1,0)</f>
        <v/>
      </c>
      <c r="B766">
        <f>IF($A766=1,SUM($A$2:$A766),"")</f>
        <v/>
      </c>
      <c r="C766">
        <f>IF($A766=1,SUM($A$2:$A766),0)</f>
        <v/>
      </c>
    </row>
    <row r="767">
      <c r="A767">
        <f>IF(AND(OR(Query!$B$4="All",'Compliance Database'!$A767=Query!$B$4),OR(Query!$B$5="All",ISNUMBER(SEARCH(Query!$B$5,'Compliance Database'!$H767))),OR(Query!$B$6="All",ISNUMBER(SEARCH(Query!$B$6,'Compliance Database'!$I767))),OR(Query!$B$7="All",'Compliance Database'!$F767=Query!$B$7),OR(Query!$B$8="All",'Compliance Database'!$J767=Query!$B$8),OR(Query!$B$9="",ISNUMBER(SEARCH(Query!$B$9,'Compliance Database'!$D767&amp;" "&amp;'Compliance Database'!$K767&amp;" "&amp;'Compliance Database'!$L767&amp;" "&amp;'Compliance Database'!$M767&amp;" "&amp;'Compliance Database'!$N767)))),1,0)</f>
        <v/>
      </c>
      <c r="B767">
        <f>IF($A767=1,SUM($A$2:$A767),"")</f>
        <v/>
      </c>
      <c r="C767">
        <f>IF($A767=1,SUM($A$2:$A767),0)</f>
        <v/>
      </c>
    </row>
    <row r="768">
      <c r="A768">
        <f>IF(AND(OR(Query!$B$4="All",'Compliance Database'!$A768=Query!$B$4),OR(Query!$B$5="All",ISNUMBER(SEARCH(Query!$B$5,'Compliance Database'!$H768))),OR(Query!$B$6="All",ISNUMBER(SEARCH(Query!$B$6,'Compliance Database'!$I768))),OR(Query!$B$7="All",'Compliance Database'!$F768=Query!$B$7),OR(Query!$B$8="All",'Compliance Database'!$J768=Query!$B$8),OR(Query!$B$9="",ISNUMBER(SEARCH(Query!$B$9,'Compliance Database'!$D768&amp;" "&amp;'Compliance Database'!$K768&amp;" "&amp;'Compliance Database'!$L768&amp;" "&amp;'Compliance Database'!$M768&amp;" "&amp;'Compliance Database'!$N768)))),1,0)</f>
        <v/>
      </c>
      <c r="B768">
        <f>IF($A768=1,SUM($A$2:$A768),"")</f>
        <v/>
      </c>
      <c r="C768">
        <f>IF($A768=1,SUM($A$2:$A768),0)</f>
        <v/>
      </c>
    </row>
    <row r="769">
      <c r="A769">
        <f>IF(AND(OR(Query!$B$4="All",'Compliance Database'!$A769=Query!$B$4),OR(Query!$B$5="All",ISNUMBER(SEARCH(Query!$B$5,'Compliance Database'!$H769))),OR(Query!$B$6="All",ISNUMBER(SEARCH(Query!$B$6,'Compliance Database'!$I769))),OR(Query!$B$7="All",'Compliance Database'!$F769=Query!$B$7),OR(Query!$B$8="All",'Compliance Database'!$J769=Query!$B$8),OR(Query!$B$9="",ISNUMBER(SEARCH(Query!$B$9,'Compliance Database'!$D769&amp;" "&amp;'Compliance Database'!$K769&amp;" "&amp;'Compliance Database'!$L769&amp;" "&amp;'Compliance Database'!$M769&amp;" "&amp;'Compliance Database'!$N769)))),1,0)</f>
        <v/>
      </c>
      <c r="B769">
        <f>IF($A769=1,SUM($A$2:$A769),"")</f>
        <v/>
      </c>
      <c r="C769">
        <f>IF($A769=1,SUM($A$2:$A769),0)</f>
        <v/>
      </c>
    </row>
    <row r="770">
      <c r="A770">
        <f>IF(AND(OR(Query!$B$4="All",'Compliance Database'!$A770=Query!$B$4),OR(Query!$B$5="All",ISNUMBER(SEARCH(Query!$B$5,'Compliance Database'!$H770))),OR(Query!$B$6="All",ISNUMBER(SEARCH(Query!$B$6,'Compliance Database'!$I770))),OR(Query!$B$7="All",'Compliance Database'!$F770=Query!$B$7),OR(Query!$B$8="All",'Compliance Database'!$J770=Query!$B$8),OR(Query!$B$9="",ISNUMBER(SEARCH(Query!$B$9,'Compliance Database'!$D770&amp;" "&amp;'Compliance Database'!$K770&amp;" "&amp;'Compliance Database'!$L770&amp;" "&amp;'Compliance Database'!$M770&amp;" "&amp;'Compliance Database'!$N770)))),1,0)</f>
        <v/>
      </c>
      <c r="B770">
        <f>IF($A770=1,SUM($A$2:$A770),"")</f>
        <v/>
      </c>
      <c r="C770">
        <f>IF($A770=1,SUM($A$2:$A770),0)</f>
        <v/>
      </c>
    </row>
    <row r="771">
      <c r="A771">
        <f>IF(AND(OR(Query!$B$4="All",'Compliance Database'!$A771=Query!$B$4),OR(Query!$B$5="All",ISNUMBER(SEARCH(Query!$B$5,'Compliance Database'!$H771))),OR(Query!$B$6="All",ISNUMBER(SEARCH(Query!$B$6,'Compliance Database'!$I771))),OR(Query!$B$7="All",'Compliance Database'!$F771=Query!$B$7),OR(Query!$B$8="All",'Compliance Database'!$J771=Query!$B$8),OR(Query!$B$9="",ISNUMBER(SEARCH(Query!$B$9,'Compliance Database'!$D771&amp;" "&amp;'Compliance Database'!$K771&amp;" "&amp;'Compliance Database'!$L771&amp;" "&amp;'Compliance Database'!$M771&amp;" "&amp;'Compliance Database'!$N771)))),1,0)</f>
        <v/>
      </c>
      <c r="B771">
        <f>IF($A771=1,SUM($A$2:$A771),"")</f>
        <v/>
      </c>
      <c r="C771">
        <f>IF($A771=1,SUM($A$2:$A771),0)</f>
        <v/>
      </c>
    </row>
    <row r="772">
      <c r="A772">
        <f>IF(AND(OR(Query!$B$4="All",'Compliance Database'!$A772=Query!$B$4),OR(Query!$B$5="All",ISNUMBER(SEARCH(Query!$B$5,'Compliance Database'!$H772))),OR(Query!$B$6="All",ISNUMBER(SEARCH(Query!$B$6,'Compliance Database'!$I772))),OR(Query!$B$7="All",'Compliance Database'!$F772=Query!$B$7),OR(Query!$B$8="All",'Compliance Database'!$J772=Query!$B$8),OR(Query!$B$9="",ISNUMBER(SEARCH(Query!$B$9,'Compliance Database'!$D772&amp;" "&amp;'Compliance Database'!$K772&amp;" "&amp;'Compliance Database'!$L772&amp;" "&amp;'Compliance Database'!$M772&amp;" "&amp;'Compliance Database'!$N772)))),1,0)</f>
        <v/>
      </c>
      <c r="B772">
        <f>IF($A772=1,SUM($A$2:$A772),"")</f>
        <v/>
      </c>
      <c r="C772">
        <f>IF($A772=1,SUM($A$2:$A772),0)</f>
        <v/>
      </c>
    </row>
    <row r="773">
      <c r="A773">
        <f>IF(AND(OR(Query!$B$4="All",'Compliance Database'!$A773=Query!$B$4),OR(Query!$B$5="All",ISNUMBER(SEARCH(Query!$B$5,'Compliance Database'!$H773))),OR(Query!$B$6="All",ISNUMBER(SEARCH(Query!$B$6,'Compliance Database'!$I773))),OR(Query!$B$7="All",'Compliance Database'!$F773=Query!$B$7),OR(Query!$B$8="All",'Compliance Database'!$J773=Query!$B$8),OR(Query!$B$9="",ISNUMBER(SEARCH(Query!$B$9,'Compliance Database'!$D773&amp;" "&amp;'Compliance Database'!$K773&amp;" "&amp;'Compliance Database'!$L773&amp;" "&amp;'Compliance Database'!$M773&amp;" "&amp;'Compliance Database'!$N773)))),1,0)</f>
        <v/>
      </c>
      <c r="B773">
        <f>IF($A773=1,SUM($A$2:$A773),"")</f>
        <v/>
      </c>
      <c r="C773">
        <f>IF($A773=1,SUM($A$2:$A773),0)</f>
        <v/>
      </c>
    </row>
    <row r="774">
      <c r="A774">
        <f>IF(AND(OR(Query!$B$4="All",'Compliance Database'!$A774=Query!$B$4),OR(Query!$B$5="All",ISNUMBER(SEARCH(Query!$B$5,'Compliance Database'!$H774))),OR(Query!$B$6="All",ISNUMBER(SEARCH(Query!$B$6,'Compliance Database'!$I774))),OR(Query!$B$7="All",'Compliance Database'!$F774=Query!$B$7),OR(Query!$B$8="All",'Compliance Database'!$J774=Query!$B$8),OR(Query!$B$9="",ISNUMBER(SEARCH(Query!$B$9,'Compliance Database'!$D774&amp;" "&amp;'Compliance Database'!$K774&amp;" "&amp;'Compliance Database'!$L774&amp;" "&amp;'Compliance Database'!$M774&amp;" "&amp;'Compliance Database'!$N774)))),1,0)</f>
        <v/>
      </c>
      <c r="B774">
        <f>IF($A774=1,SUM($A$2:$A774),"")</f>
        <v/>
      </c>
      <c r="C774">
        <f>IF($A774=1,SUM($A$2:$A774),0)</f>
        <v/>
      </c>
    </row>
    <row r="775">
      <c r="A775">
        <f>IF(AND(OR(Query!$B$4="All",'Compliance Database'!$A775=Query!$B$4),OR(Query!$B$5="All",ISNUMBER(SEARCH(Query!$B$5,'Compliance Database'!$H775))),OR(Query!$B$6="All",ISNUMBER(SEARCH(Query!$B$6,'Compliance Database'!$I775))),OR(Query!$B$7="All",'Compliance Database'!$F775=Query!$B$7),OR(Query!$B$8="All",'Compliance Database'!$J775=Query!$B$8),OR(Query!$B$9="",ISNUMBER(SEARCH(Query!$B$9,'Compliance Database'!$D775&amp;" "&amp;'Compliance Database'!$K775&amp;" "&amp;'Compliance Database'!$L775&amp;" "&amp;'Compliance Database'!$M775&amp;" "&amp;'Compliance Database'!$N775)))),1,0)</f>
        <v/>
      </c>
      <c r="B775">
        <f>IF($A775=1,SUM($A$2:$A775),"")</f>
        <v/>
      </c>
      <c r="C775">
        <f>IF($A775=1,SUM($A$2:$A775),0)</f>
        <v/>
      </c>
    </row>
    <row r="776">
      <c r="A776">
        <f>IF(AND(OR(Query!$B$4="All",'Compliance Database'!$A776=Query!$B$4),OR(Query!$B$5="All",ISNUMBER(SEARCH(Query!$B$5,'Compliance Database'!$H776))),OR(Query!$B$6="All",ISNUMBER(SEARCH(Query!$B$6,'Compliance Database'!$I776))),OR(Query!$B$7="All",'Compliance Database'!$F776=Query!$B$7),OR(Query!$B$8="All",'Compliance Database'!$J776=Query!$B$8),OR(Query!$B$9="",ISNUMBER(SEARCH(Query!$B$9,'Compliance Database'!$D776&amp;" "&amp;'Compliance Database'!$K776&amp;" "&amp;'Compliance Database'!$L776&amp;" "&amp;'Compliance Database'!$M776&amp;" "&amp;'Compliance Database'!$N776)))),1,0)</f>
        <v/>
      </c>
      <c r="B776">
        <f>IF($A776=1,SUM($A$2:$A776),"")</f>
        <v/>
      </c>
      <c r="C776">
        <f>IF($A776=1,SUM($A$2:$A776),0)</f>
        <v/>
      </c>
    </row>
    <row r="777">
      <c r="A777">
        <f>IF(AND(OR(Query!$B$4="All",'Compliance Database'!$A777=Query!$B$4),OR(Query!$B$5="All",ISNUMBER(SEARCH(Query!$B$5,'Compliance Database'!$H777))),OR(Query!$B$6="All",ISNUMBER(SEARCH(Query!$B$6,'Compliance Database'!$I777))),OR(Query!$B$7="All",'Compliance Database'!$F777=Query!$B$7),OR(Query!$B$8="All",'Compliance Database'!$J777=Query!$B$8),OR(Query!$B$9="",ISNUMBER(SEARCH(Query!$B$9,'Compliance Database'!$D777&amp;" "&amp;'Compliance Database'!$K777&amp;" "&amp;'Compliance Database'!$L777&amp;" "&amp;'Compliance Database'!$M777&amp;" "&amp;'Compliance Database'!$N777)))),1,0)</f>
        <v/>
      </c>
      <c r="B777">
        <f>IF($A777=1,SUM($A$2:$A777),"")</f>
        <v/>
      </c>
      <c r="C777">
        <f>IF($A777=1,SUM($A$2:$A777),0)</f>
        <v/>
      </c>
    </row>
    <row r="778">
      <c r="A778">
        <f>IF(AND(OR(Query!$B$4="All",'Compliance Database'!$A778=Query!$B$4),OR(Query!$B$5="All",ISNUMBER(SEARCH(Query!$B$5,'Compliance Database'!$H778))),OR(Query!$B$6="All",ISNUMBER(SEARCH(Query!$B$6,'Compliance Database'!$I778))),OR(Query!$B$7="All",'Compliance Database'!$F778=Query!$B$7),OR(Query!$B$8="All",'Compliance Database'!$J778=Query!$B$8),OR(Query!$B$9="",ISNUMBER(SEARCH(Query!$B$9,'Compliance Database'!$D778&amp;" "&amp;'Compliance Database'!$K778&amp;" "&amp;'Compliance Database'!$L778&amp;" "&amp;'Compliance Database'!$M778&amp;" "&amp;'Compliance Database'!$N778)))),1,0)</f>
        <v/>
      </c>
      <c r="B778">
        <f>IF($A778=1,SUM($A$2:$A778),"")</f>
        <v/>
      </c>
      <c r="C778">
        <f>IF($A778=1,SUM($A$2:$A778),0)</f>
        <v/>
      </c>
    </row>
    <row r="779">
      <c r="A779">
        <f>IF(AND(OR(Query!$B$4="All",'Compliance Database'!$A779=Query!$B$4),OR(Query!$B$5="All",ISNUMBER(SEARCH(Query!$B$5,'Compliance Database'!$H779))),OR(Query!$B$6="All",ISNUMBER(SEARCH(Query!$B$6,'Compliance Database'!$I779))),OR(Query!$B$7="All",'Compliance Database'!$F779=Query!$B$7),OR(Query!$B$8="All",'Compliance Database'!$J779=Query!$B$8),OR(Query!$B$9="",ISNUMBER(SEARCH(Query!$B$9,'Compliance Database'!$D779&amp;" "&amp;'Compliance Database'!$K779&amp;" "&amp;'Compliance Database'!$L779&amp;" "&amp;'Compliance Database'!$M779&amp;" "&amp;'Compliance Database'!$N779)))),1,0)</f>
        <v/>
      </c>
      <c r="B779">
        <f>IF($A779=1,SUM($A$2:$A779),"")</f>
        <v/>
      </c>
      <c r="C779">
        <f>IF($A779=1,SUM($A$2:$A779),0)</f>
        <v/>
      </c>
    </row>
    <row r="780">
      <c r="A780">
        <f>IF(AND(OR(Query!$B$4="All",'Compliance Database'!$A780=Query!$B$4),OR(Query!$B$5="All",ISNUMBER(SEARCH(Query!$B$5,'Compliance Database'!$H780))),OR(Query!$B$6="All",ISNUMBER(SEARCH(Query!$B$6,'Compliance Database'!$I780))),OR(Query!$B$7="All",'Compliance Database'!$F780=Query!$B$7),OR(Query!$B$8="All",'Compliance Database'!$J780=Query!$B$8),OR(Query!$B$9="",ISNUMBER(SEARCH(Query!$B$9,'Compliance Database'!$D780&amp;" "&amp;'Compliance Database'!$K780&amp;" "&amp;'Compliance Database'!$L780&amp;" "&amp;'Compliance Database'!$M780&amp;" "&amp;'Compliance Database'!$N780)))),1,0)</f>
        <v/>
      </c>
      <c r="B780">
        <f>IF($A780=1,SUM($A$2:$A780),"")</f>
        <v/>
      </c>
      <c r="C780">
        <f>IF($A780=1,SUM($A$2:$A780),0)</f>
        <v/>
      </c>
    </row>
    <row r="781">
      <c r="A781">
        <f>IF(AND(OR(Query!$B$4="All",'Compliance Database'!$A781=Query!$B$4),OR(Query!$B$5="All",ISNUMBER(SEARCH(Query!$B$5,'Compliance Database'!$H781))),OR(Query!$B$6="All",ISNUMBER(SEARCH(Query!$B$6,'Compliance Database'!$I781))),OR(Query!$B$7="All",'Compliance Database'!$F781=Query!$B$7),OR(Query!$B$8="All",'Compliance Database'!$J781=Query!$B$8),OR(Query!$B$9="",ISNUMBER(SEARCH(Query!$B$9,'Compliance Database'!$D781&amp;" "&amp;'Compliance Database'!$K781&amp;" "&amp;'Compliance Database'!$L781&amp;" "&amp;'Compliance Database'!$M781&amp;" "&amp;'Compliance Database'!$N781)))),1,0)</f>
        <v/>
      </c>
      <c r="B781">
        <f>IF($A781=1,SUM($A$2:$A781),"")</f>
        <v/>
      </c>
      <c r="C781">
        <f>IF($A781=1,SUM($A$2:$A781),0)</f>
        <v/>
      </c>
    </row>
    <row r="782">
      <c r="A782">
        <f>IF(AND(OR(Query!$B$4="All",'Compliance Database'!$A782=Query!$B$4),OR(Query!$B$5="All",ISNUMBER(SEARCH(Query!$B$5,'Compliance Database'!$H782))),OR(Query!$B$6="All",ISNUMBER(SEARCH(Query!$B$6,'Compliance Database'!$I782))),OR(Query!$B$7="All",'Compliance Database'!$F782=Query!$B$7),OR(Query!$B$8="All",'Compliance Database'!$J782=Query!$B$8),OR(Query!$B$9="",ISNUMBER(SEARCH(Query!$B$9,'Compliance Database'!$D782&amp;" "&amp;'Compliance Database'!$K782&amp;" "&amp;'Compliance Database'!$L782&amp;" "&amp;'Compliance Database'!$M782&amp;" "&amp;'Compliance Database'!$N782)))),1,0)</f>
        <v/>
      </c>
      <c r="B782">
        <f>IF($A782=1,SUM($A$2:$A782),"")</f>
        <v/>
      </c>
      <c r="C782">
        <f>IF($A782=1,SUM($A$2:$A782),0)</f>
        <v/>
      </c>
    </row>
    <row r="783">
      <c r="A783">
        <f>IF(AND(OR(Query!$B$4="All",'Compliance Database'!$A783=Query!$B$4),OR(Query!$B$5="All",ISNUMBER(SEARCH(Query!$B$5,'Compliance Database'!$H783))),OR(Query!$B$6="All",ISNUMBER(SEARCH(Query!$B$6,'Compliance Database'!$I783))),OR(Query!$B$7="All",'Compliance Database'!$F783=Query!$B$7),OR(Query!$B$8="All",'Compliance Database'!$J783=Query!$B$8),OR(Query!$B$9="",ISNUMBER(SEARCH(Query!$B$9,'Compliance Database'!$D783&amp;" "&amp;'Compliance Database'!$K783&amp;" "&amp;'Compliance Database'!$L783&amp;" "&amp;'Compliance Database'!$M783&amp;" "&amp;'Compliance Database'!$N783)))),1,0)</f>
        <v/>
      </c>
      <c r="B783">
        <f>IF($A783=1,SUM($A$2:$A783),"")</f>
        <v/>
      </c>
      <c r="C783">
        <f>IF($A783=1,SUM($A$2:$A783),0)</f>
        <v/>
      </c>
    </row>
    <row r="784">
      <c r="A784">
        <f>IF(AND(OR(Query!$B$4="All",'Compliance Database'!$A784=Query!$B$4),OR(Query!$B$5="All",ISNUMBER(SEARCH(Query!$B$5,'Compliance Database'!$H784))),OR(Query!$B$6="All",ISNUMBER(SEARCH(Query!$B$6,'Compliance Database'!$I784))),OR(Query!$B$7="All",'Compliance Database'!$F784=Query!$B$7),OR(Query!$B$8="All",'Compliance Database'!$J784=Query!$B$8),OR(Query!$B$9="",ISNUMBER(SEARCH(Query!$B$9,'Compliance Database'!$D784&amp;" "&amp;'Compliance Database'!$K784&amp;" "&amp;'Compliance Database'!$L784&amp;" "&amp;'Compliance Database'!$M784&amp;" "&amp;'Compliance Database'!$N784)))),1,0)</f>
        <v/>
      </c>
      <c r="B784">
        <f>IF($A784=1,SUM($A$2:$A784),"")</f>
        <v/>
      </c>
      <c r="C784">
        <f>IF($A784=1,SUM($A$2:$A784),0)</f>
        <v/>
      </c>
    </row>
    <row r="785">
      <c r="A785">
        <f>IF(AND(OR(Query!$B$4="All",'Compliance Database'!$A785=Query!$B$4),OR(Query!$B$5="All",ISNUMBER(SEARCH(Query!$B$5,'Compliance Database'!$H785))),OR(Query!$B$6="All",ISNUMBER(SEARCH(Query!$B$6,'Compliance Database'!$I785))),OR(Query!$B$7="All",'Compliance Database'!$F785=Query!$B$7),OR(Query!$B$8="All",'Compliance Database'!$J785=Query!$B$8),OR(Query!$B$9="",ISNUMBER(SEARCH(Query!$B$9,'Compliance Database'!$D785&amp;" "&amp;'Compliance Database'!$K785&amp;" "&amp;'Compliance Database'!$L785&amp;" "&amp;'Compliance Database'!$M785&amp;" "&amp;'Compliance Database'!$N785)))),1,0)</f>
        <v/>
      </c>
      <c r="B785">
        <f>IF($A785=1,SUM($A$2:$A785),"")</f>
        <v/>
      </c>
      <c r="C785">
        <f>IF($A785=1,SUM($A$2:$A785),0)</f>
        <v/>
      </c>
    </row>
    <row r="786">
      <c r="A786">
        <f>IF(AND(OR(Query!$B$4="All",'Compliance Database'!$A786=Query!$B$4),OR(Query!$B$5="All",ISNUMBER(SEARCH(Query!$B$5,'Compliance Database'!$H786))),OR(Query!$B$6="All",ISNUMBER(SEARCH(Query!$B$6,'Compliance Database'!$I786))),OR(Query!$B$7="All",'Compliance Database'!$F786=Query!$B$7),OR(Query!$B$8="All",'Compliance Database'!$J786=Query!$B$8),OR(Query!$B$9="",ISNUMBER(SEARCH(Query!$B$9,'Compliance Database'!$D786&amp;" "&amp;'Compliance Database'!$K786&amp;" "&amp;'Compliance Database'!$L786&amp;" "&amp;'Compliance Database'!$M786&amp;" "&amp;'Compliance Database'!$N786)))),1,0)</f>
        <v/>
      </c>
      <c r="B786">
        <f>IF($A786=1,SUM($A$2:$A786),"")</f>
        <v/>
      </c>
      <c r="C786">
        <f>IF($A786=1,SUM($A$2:$A786),0)</f>
        <v/>
      </c>
    </row>
    <row r="787">
      <c r="A787">
        <f>IF(AND(OR(Query!$B$4="All",'Compliance Database'!$A787=Query!$B$4),OR(Query!$B$5="All",ISNUMBER(SEARCH(Query!$B$5,'Compliance Database'!$H787))),OR(Query!$B$6="All",ISNUMBER(SEARCH(Query!$B$6,'Compliance Database'!$I787))),OR(Query!$B$7="All",'Compliance Database'!$F787=Query!$B$7),OR(Query!$B$8="All",'Compliance Database'!$J787=Query!$B$8),OR(Query!$B$9="",ISNUMBER(SEARCH(Query!$B$9,'Compliance Database'!$D787&amp;" "&amp;'Compliance Database'!$K787&amp;" "&amp;'Compliance Database'!$L787&amp;" "&amp;'Compliance Database'!$M787&amp;" "&amp;'Compliance Database'!$N787)))),1,0)</f>
        <v/>
      </c>
      <c r="B787">
        <f>IF($A787=1,SUM($A$2:$A787),"")</f>
        <v/>
      </c>
      <c r="C787">
        <f>IF($A787=1,SUM($A$2:$A787),0)</f>
        <v/>
      </c>
    </row>
    <row r="788">
      <c r="A788">
        <f>IF(AND(OR(Query!$B$4="All",'Compliance Database'!$A788=Query!$B$4),OR(Query!$B$5="All",ISNUMBER(SEARCH(Query!$B$5,'Compliance Database'!$H788))),OR(Query!$B$6="All",ISNUMBER(SEARCH(Query!$B$6,'Compliance Database'!$I788))),OR(Query!$B$7="All",'Compliance Database'!$F788=Query!$B$7),OR(Query!$B$8="All",'Compliance Database'!$J788=Query!$B$8),OR(Query!$B$9="",ISNUMBER(SEARCH(Query!$B$9,'Compliance Database'!$D788&amp;" "&amp;'Compliance Database'!$K788&amp;" "&amp;'Compliance Database'!$L788&amp;" "&amp;'Compliance Database'!$M788&amp;" "&amp;'Compliance Database'!$N788)))),1,0)</f>
        <v/>
      </c>
      <c r="B788">
        <f>IF($A788=1,SUM($A$2:$A788),"")</f>
        <v/>
      </c>
      <c r="C788">
        <f>IF($A788=1,SUM($A$2:$A788),0)</f>
        <v/>
      </c>
    </row>
    <row r="789">
      <c r="A789">
        <f>IF(AND(OR(Query!$B$4="All",'Compliance Database'!$A789=Query!$B$4),OR(Query!$B$5="All",ISNUMBER(SEARCH(Query!$B$5,'Compliance Database'!$H789))),OR(Query!$B$6="All",ISNUMBER(SEARCH(Query!$B$6,'Compliance Database'!$I789))),OR(Query!$B$7="All",'Compliance Database'!$F789=Query!$B$7),OR(Query!$B$8="All",'Compliance Database'!$J789=Query!$B$8),OR(Query!$B$9="",ISNUMBER(SEARCH(Query!$B$9,'Compliance Database'!$D789&amp;" "&amp;'Compliance Database'!$K789&amp;" "&amp;'Compliance Database'!$L789&amp;" "&amp;'Compliance Database'!$M789&amp;" "&amp;'Compliance Database'!$N789)))),1,0)</f>
        <v/>
      </c>
      <c r="B789">
        <f>IF($A789=1,SUM($A$2:$A789),"")</f>
        <v/>
      </c>
      <c r="C789">
        <f>IF($A789=1,SUM($A$2:$A789),0)</f>
        <v/>
      </c>
    </row>
    <row r="790">
      <c r="A790">
        <f>IF(AND(OR(Query!$B$4="All",'Compliance Database'!$A790=Query!$B$4),OR(Query!$B$5="All",ISNUMBER(SEARCH(Query!$B$5,'Compliance Database'!$H790))),OR(Query!$B$6="All",ISNUMBER(SEARCH(Query!$B$6,'Compliance Database'!$I790))),OR(Query!$B$7="All",'Compliance Database'!$F790=Query!$B$7),OR(Query!$B$8="All",'Compliance Database'!$J790=Query!$B$8),OR(Query!$B$9="",ISNUMBER(SEARCH(Query!$B$9,'Compliance Database'!$D790&amp;" "&amp;'Compliance Database'!$K790&amp;" "&amp;'Compliance Database'!$L790&amp;" "&amp;'Compliance Database'!$M790&amp;" "&amp;'Compliance Database'!$N790)))),1,0)</f>
        <v/>
      </c>
      <c r="B790">
        <f>IF($A790=1,SUM($A$2:$A790),"")</f>
        <v/>
      </c>
      <c r="C790">
        <f>IF($A790=1,SUM($A$2:$A790),0)</f>
        <v/>
      </c>
    </row>
    <row r="791">
      <c r="A791">
        <f>IF(AND(OR(Query!$B$4="All",'Compliance Database'!$A791=Query!$B$4),OR(Query!$B$5="All",ISNUMBER(SEARCH(Query!$B$5,'Compliance Database'!$H791))),OR(Query!$B$6="All",ISNUMBER(SEARCH(Query!$B$6,'Compliance Database'!$I791))),OR(Query!$B$7="All",'Compliance Database'!$F791=Query!$B$7),OR(Query!$B$8="All",'Compliance Database'!$J791=Query!$B$8),OR(Query!$B$9="",ISNUMBER(SEARCH(Query!$B$9,'Compliance Database'!$D791&amp;" "&amp;'Compliance Database'!$K791&amp;" "&amp;'Compliance Database'!$L791&amp;" "&amp;'Compliance Database'!$M791&amp;" "&amp;'Compliance Database'!$N791)))),1,0)</f>
        <v/>
      </c>
      <c r="B791">
        <f>IF($A791=1,SUM($A$2:$A791),"")</f>
        <v/>
      </c>
      <c r="C791">
        <f>IF($A791=1,SUM($A$2:$A791),0)</f>
        <v/>
      </c>
    </row>
    <row r="792">
      <c r="A792">
        <f>IF(AND(OR(Query!$B$4="All",'Compliance Database'!$A792=Query!$B$4),OR(Query!$B$5="All",ISNUMBER(SEARCH(Query!$B$5,'Compliance Database'!$H792))),OR(Query!$B$6="All",ISNUMBER(SEARCH(Query!$B$6,'Compliance Database'!$I792))),OR(Query!$B$7="All",'Compliance Database'!$F792=Query!$B$7),OR(Query!$B$8="All",'Compliance Database'!$J792=Query!$B$8),OR(Query!$B$9="",ISNUMBER(SEARCH(Query!$B$9,'Compliance Database'!$D792&amp;" "&amp;'Compliance Database'!$K792&amp;" "&amp;'Compliance Database'!$L792&amp;" "&amp;'Compliance Database'!$M792&amp;" "&amp;'Compliance Database'!$N792)))),1,0)</f>
        <v/>
      </c>
      <c r="B792">
        <f>IF($A792=1,SUM($A$2:$A792),"")</f>
        <v/>
      </c>
      <c r="C792">
        <f>IF($A792=1,SUM($A$2:$A792),0)</f>
        <v/>
      </c>
    </row>
    <row r="793">
      <c r="A793">
        <f>IF(AND(OR(Query!$B$4="All",'Compliance Database'!$A793=Query!$B$4),OR(Query!$B$5="All",ISNUMBER(SEARCH(Query!$B$5,'Compliance Database'!$H793))),OR(Query!$B$6="All",ISNUMBER(SEARCH(Query!$B$6,'Compliance Database'!$I793))),OR(Query!$B$7="All",'Compliance Database'!$F793=Query!$B$7),OR(Query!$B$8="All",'Compliance Database'!$J793=Query!$B$8),OR(Query!$B$9="",ISNUMBER(SEARCH(Query!$B$9,'Compliance Database'!$D793&amp;" "&amp;'Compliance Database'!$K793&amp;" "&amp;'Compliance Database'!$L793&amp;" "&amp;'Compliance Database'!$M793&amp;" "&amp;'Compliance Database'!$N793)))),1,0)</f>
        <v/>
      </c>
      <c r="B793">
        <f>IF($A793=1,SUM($A$2:$A793),"")</f>
        <v/>
      </c>
      <c r="C793">
        <f>IF($A793=1,SUM($A$2:$A793),0)</f>
        <v/>
      </c>
    </row>
    <row r="794">
      <c r="A794">
        <f>IF(AND(OR(Query!$B$4="All",'Compliance Database'!$A794=Query!$B$4),OR(Query!$B$5="All",ISNUMBER(SEARCH(Query!$B$5,'Compliance Database'!$H794))),OR(Query!$B$6="All",ISNUMBER(SEARCH(Query!$B$6,'Compliance Database'!$I794))),OR(Query!$B$7="All",'Compliance Database'!$F794=Query!$B$7),OR(Query!$B$8="All",'Compliance Database'!$J794=Query!$B$8),OR(Query!$B$9="",ISNUMBER(SEARCH(Query!$B$9,'Compliance Database'!$D794&amp;" "&amp;'Compliance Database'!$K794&amp;" "&amp;'Compliance Database'!$L794&amp;" "&amp;'Compliance Database'!$M794&amp;" "&amp;'Compliance Database'!$N794)))),1,0)</f>
        <v/>
      </c>
      <c r="B794">
        <f>IF($A794=1,SUM($A$2:$A794),"")</f>
        <v/>
      </c>
      <c r="C794">
        <f>IF($A794=1,SUM($A$2:$A794),0)</f>
        <v/>
      </c>
    </row>
    <row r="795">
      <c r="A795">
        <f>IF(AND(OR(Query!$B$4="All",'Compliance Database'!$A795=Query!$B$4),OR(Query!$B$5="All",ISNUMBER(SEARCH(Query!$B$5,'Compliance Database'!$H795))),OR(Query!$B$6="All",ISNUMBER(SEARCH(Query!$B$6,'Compliance Database'!$I795))),OR(Query!$B$7="All",'Compliance Database'!$F795=Query!$B$7),OR(Query!$B$8="All",'Compliance Database'!$J795=Query!$B$8),OR(Query!$B$9="",ISNUMBER(SEARCH(Query!$B$9,'Compliance Database'!$D795&amp;" "&amp;'Compliance Database'!$K795&amp;" "&amp;'Compliance Database'!$L795&amp;" "&amp;'Compliance Database'!$M795&amp;" "&amp;'Compliance Database'!$N795)))),1,0)</f>
        <v/>
      </c>
      <c r="B795">
        <f>IF($A795=1,SUM($A$2:$A795),"")</f>
        <v/>
      </c>
      <c r="C795">
        <f>IF($A795=1,SUM($A$2:$A795),0)</f>
        <v/>
      </c>
    </row>
    <row r="796">
      <c r="A796">
        <f>IF(AND(OR(Query!$B$4="All",'Compliance Database'!$A796=Query!$B$4),OR(Query!$B$5="All",ISNUMBER(SEARCH(Query!$B$5,'Compliance Database'!$H796))),OR(Query!$B$6="All",ISNUMBER(SEARCH(Query!$B$6,'Compliance Database'!$I796))),OR(Query!$B$7="All",'Compliance Database'!$F796=Query!$B$7),OR(Query!$B$8="All",'Compliance Database'!$J796=Query!$B$8),OR(Query!$B$9="",ISNUMBER(SEARCH(Query!$B$9,'Compliance Database'!$D796&amp;" "&amp;'Compliance Database'!$K796&amp;" "&amp;'Compliance Database'!$L796&amp;" "&amp;'Compliance Database'!$M796&amp;" "&amp;'Compliance Database'!$N796)))),1,0)</f>
        <v/>
      </c>
      <c r="B796">
        <f>IF($A796=1,SUM($A$2:$A796),"")</f>
        <v/>
      </c>
      <c r="C796">
        <f>IF($A796=1,SUM($A$2:$A796),0)</f>
        <v/>
      </c>
    </row>
    <row r="797">
      <c r="A797">
        <f>IF(AND(OR(Query!$B$4="All",'Compliance Database'!$A797=Query!$B$4),OR(Query!$B$5="All",ISNUMBER(SEARCH(Query!$B$5,'Compliance Database'!$H797))),OR(Query!$B$6="All",ISNUMBER(SEARCH(Query!$B$6,'Compliance Database'!$I797))),OR(Query!$B$7="All",'Compliance Database'!$F797=Query!$B$7),OR(Query!$B$8="All",'Compliance Database'!$J797=Query!$B$8),OR(Query!$B$9="",ISNUMBER(SEARCH(Query!$B$9,'Compliance Database'!$D797&amp;" "&amp;'Compliance Database'!$K797&amp;" "&amp;'Compliance Database'!$L797&amp;" "&amp;'Compliance Database'!$M797&amp;" "&amp;'Compliance Database'!$N797)))),1,0)</f>
        <v/>
      </c>
      <c r="B797">
        <f>IF($A797=1,SUM($A$2:$A797),"")</f>
        <v/>
      </c>
      <c r="C797">
        <f>IF($A797=1,SUM($A$2:$A797),0)</f>
        <v/>
      </c>
    </row>
    <row r="798">
      <c r="A798">
        <f>IF(AND(OR(Query!$B$4="All",'Compliance Database'!$A798=Query!$B$4),OR(Query!$B$5="All",ISNUMBER(SEARCH(Query!$B$5,'Compliance Database'!$H798))),OR(Query!$B$6="All",ISNUMBER(SEARCH(Query!$B$6,'Compliance Database'!$I798))),OR(Query!$B$7="All",'Compliance Database'!$F798=Query!$B$7),OR(Query!$B$8="All",'Compliance Database'!$J798=Query!$B$8),OR(Query!$B$9="",ISNUMBER(SEARCH(Query!$B$9,'Compliance Database'!$D798&amp;" "&amp;'Compliance Database'!$K798&amp;" "&amp;'Compliance Database'!$L798&amp;" "&amp;'Compliance Database'!$M798&amp;" "&amp;'Compliance Database'!$N798)))),1,0)</f>
        <v/>
      </c>
      <c r="B798">
        <f>IF($A798=1,SUM($A$2:$A798),"")</f>
        <v/>
      </c>
      <c r="C798">
        <f>IF($A798=1,SUM($A$2:$A798),0)</f>
        <v/>
      </c>
    </row>
    <row r="799">
      <c r="A799">
        <f>IF(AND(OR(Query!$B$4="All",'Compliance Database'!$A799=Query!$B$4),OR(Query!$B$5="All",ISNUMBER(SEARCH(Query!$B$5,'Compliance Database'!$H799))),OR(Query!$B$6="All",ISNUMBER(SEARCH(Query!$B$6,'Compliance Database'!$I799))),OR(Query!$B$7="All",'Compliance Database'!$F799=Query!$B$7),OR(Query!$B$8="All",'Compliance Database'!$J799=Query!$B$8),OR(Query!$B$9="",ISNUMBER(SEARCH(Query!$B$9,'Compliance Database'!$D799&amp;" "&amp;'Compliance Database'!$K799&amp;" "&amp;'Compliance Database'!$L799&amp;" "&amp;'Compliance Database'!$M799&amp;" "&amp;'Compliance Database'!$N799)))),1,0)</f>
        <v/>
      </c>
      <c r="B799">
        <f>IF($A799=1,SUM($A$2:$A799),"")</f>
        <v/>
      </c>
      <c r="C799">
        <f>IF($A799=1,SUM($A$2:$A799),0)</f>
        <v/>
      </c>
    </row>
    <row r="800">
      <c r="A800">
        <f>IF(AND(OR(Query!$B$4="All",'Compliance Database'!$A800=Query!$B$4),OR(Query!$B$5="All",ISNUMBER(SEARCH(Query!$B$5,'Compliance Database'!$H800))),OR(Query!$B$6="All",ISNUMBER(SEARCH(Query!$B$6,'Compliance Database'!$I800))),OR(Query!$B$7="All",'Compliance Database'!$F800=Query!$B$7),OR(Query!$B$8="All",'Compliance Database'!$J800=Query!$B$8),OR(Query!$B$9="",ISNUMBER(SEARCH(Query!$B$9,'Compliance Database'!$D800&amp;" "&amp;'Compliance Database'!$K800&amp;" "&amp;'Compliance Database'!$L800&amp;" "&amp;'Compliance Database'!$M800&amp;" "&amp;'Compliance Database'!$N800)))),1,0)</f>
        <v/>
      </c>
      <c r="B800">
        <f>IF($A800=1,SUM($A$2:$A800),"")</f>
        <v/>
      </c>
      <c r="C800">
        <f>IF($A800=1,SUM($A$2:$A800),0)</f>
        <v/>
      </c>
    </row>
    <row r="801">
      <c r="A801">
        <f>IF(AND(OR(Query!$B$4="All",'Compliance Database'!$A801=Query!$B$4),OR(Query!$B$5="All",ISNUMBER(SEARCH(Query!$B$5,'Compliance Database'!$H801))),OR(Query!$B$6="All",ISNUMBER(SEARCH(Query!$B$6,'Compliance Database'!$I801))),OR(Query!$B$7="All",'Compliance Database'!$F801=Query!$B$7),OR(Query!$B$8="All",'Compliance Database'!$J801=Query!$B$8),OR(Query!$B$9="",ISNUMBER(SEARCH(Query!$B$9,'Compliance Database'!$D801&amp;" "&amp;'Compliance Database'!$K801&amp;" "&amp;'Compliance Database'!$L801&amp;" "&amp;'Compliance Database'!$M801&amp;" "&amp;'Compliance Database'!$N801)))),1,0)</f>
        <v/>
      </c>
      <c r="B801">
        <f>IF($A801=1,SUM($A$2:$A801),"")</f>
        <v/>
      </c>
      <c r="C801">
        <f>IF($A801=1,SUM($A$2:$A801),0)</f>
        <v/>
      </c>
    </row>
    <row r="802">
      <c r="A802">
        <f>IF(AND(OR(Query!$B$4="All",'Compliance Database'!$A802=Query!$B$4),OR(Query!$B$5="All",ISNUMBER(SEARCH(Query!$B$5,'Compliance Database'!$H802))),OR(Query!$B$6="All",ISNUMBER(SEARCH(Query!$B$6,'Compliance Database'!$I802))),OR(Query!$B$7="All",'Compliance Database'!$F802=Query!$B$7),OR(Query!$B$8="All",'Compliance Database'!$J802=Query!$B$8),OR(Query!$B$9="",ISNUMBER(SEARCH(Query!$B$9,'Compliance Database'!$D802&amp;" "&amp;'Compliance Database'!$K802&amp;" "&amp;'Compliance Database'!$L802&amp;" "&amp;'Compliance Database'!$M802&amp;" "&amp;'Compliance Database'!$N802)))),1,0)</f>
        <v/>
      </c>
      <c r="B802">
        <f>IF($A802=1,SUM($A$2:$A802),"")</f>
        <v/>
      </c>
      <c r="C802">
        <f>IF($A802=1,SUM($A$2:$A802),0)</f>
        <v/>
      </c>
    </row>
    <row r="803">
      <c r="A803">
        <f>IF(AND(OR(Query!$B$4="All",'Compliance Database'!$A803=Query!$B$4),OR(Query!$B$5="All",ISNUMBER(SEARCH(Query!$B$5,'Compliance Database'!$H803))),OR(Query!$B$6="All",ISNUMBER(SEARCH(Query!$B$6,'Compliance Database'!$I803))),OR(Query!$B$7="All",'Compliance Database'!$F803=Query!$B$7),OR(Query!$B$8="All",'Compliance Database'!$J803=Query!$B$8),OR(Query!$B$9="",ISNUMBER(SEARCH(Query!$B$9,'Compliance Database'!$D803&amp;" "&amp;'Compliance Database'!$K803&amp;" "&amp;'Compliance Database'!$L803&amp;" "&amp;'Compliance Database'!$M803&amp;" "&amp;'Compliance Database'!$N803)))),1,0)</f>
        <v/>
      </c>
      <c r="B803">
        <f>IF($A803=1,SUM($A$2:$A803),"")</f>
        <v/>
      </c>
      <c r="C803">
        <f>IF($A803=1,SUM($A$2:$A803),0)</f>
        <v/>
      </c>
    </row>
    <row r="804">
      <c r="A804">
        <f>IF(AND(OR(Query!$B$4="All",'Compliance Database'!$A804=Query!$B$4),OR(Query!$B$5="All",ISNUMBER(SEARCH(Query!$B$5,'Compliance Database'!$H804))),OR(Query!$B$6="All",ISNUMBER(SEARCH(Query!$B$6,'Compliance Database'!$I804))),OR(Query!$B$7="All",'Compliance Database'!$F804=Query!$B$7),OR(Query!$B$8="All",'Compliance Database'!$J804=Query!$B$8),OR(Query!$B$9="",ISNUMBER(SEARCH(Query!$B$9,'Compliance Database'!$D804&amp;" "&amp;'Compliance Database'!$K804&amp;" "&amp;'Compliance Database'!$L804&amp;" "&amp;'Compliance Database'!$M804&amp;" "&amp;'Compliance Database'!$N804)))),1,0)</f>
        <v/>
      </c>
      <c r="B804">
        <f>IF($A804=1,SUM($A$2:$A804),"")</f>
        <v/>
      </c>
      <c r="C804">
        <f>IF($A804=1,SUM($A$2:$A804),0)</f>
        <v/>
      </c>
    </row>
    <row r="805">
      <c r="A805">
        <f>IF(AND(OR(Query!$B$4="All",'Compliance Database'!$A805=Query!$B$4),OR(Query!$B$5="All",ISNUMBER(SEARCH(Query!$B$5,'Compliance Database'!$H805))),OR(Query!$B$6="All",ISNUMBER(SEARCH(Query!$B$6,'Compliance Database'!$I805))),OR(Query!$B$7="All",'Compliance Database'!$F805=Query!$B$7),OR(Query!$B$8="All",'Compliance Database'!$J805=Query!$B$8),OR(Query!$B$9="",ISNUMBER(SEARCH(Query!$B$9,'Compliance Database'!$D805&amp;" "&amp;'Compliance Database'!$K805&amp;" "&amp;'Compliance Database'!$L805&amp;" "&amp;'Compliance Database'!$M805&amp;" "&amp;'Compliance Database'!$N805)))),1,0)</f>
        <v/>
      </c>
      <c r="B805">
        <f>IF($A805=1,SUM($A$2:$A805),"")</f>
        <v/>
      </c>
      <c r="C805">
        <f>IF($A805=1,SUM($A$2:$A805),0)</f>
        <v/>
      </c>
    </row>
    <row r="806">
      <c r="A806">
        <f>IF(AND(OR(Query!$B$4="All",'Compliance Database'!$A806=Query!$B$4),OR(Query!$B$5="All",ISNUMBER(SEARCH(Query!$B$5,'Compliance Database'!$H806))),OR(Query!$B$6="All",ISNUMBER(SEARCH(Query!$B$6,'Compliance Database'!$I806))),OR(Query!$B$7="All",'Compliance Database'!$F806=Query!$B$7),OR(Query!$B$8="All",'Compliance Database'!$J806=Query!$B$8),OR(Query!$B$9="",ISNUMBER(SEARCH(Query!$B$9,'Compliance Database'!$D806&amp;" "&amp;'Compliance Database'!$K806&amp;" "&amp;'Compliance Database'!$L806&amp;" "&amp;'Compliance Database'!$M806&amp;" "&amp;'Compliance Database'!$N806)))),1,0)</f>
        <v/>
      </c>
      <c r="B806">
        <f>IF($A806=1,SUM($A$2:$A806),"")</f>
        <v/>
      </c>
      <c r="C806">
        <f>IF($A806=1,SUM($A$2:$A806),0)</f>
        <v/>
      </c>
    </row>
    <row r="807">
      <c r="A807">
        <f>IF(AND(OR(Query!$B$4="All",'Compliance Database'!$A807=Query!$B$4),OR(Query!$B$5="All",ISNUMBER(SEARCH(Query!$B$5,'Compliance Database'!$H807))),OR(Query!$B$6="All",ISNUMBER(SEARCH(Query!$B$6,'Compliance Database'!$I807))),OR(Query!$B$7="All",'Compliance Database'!$F807=Query!$B$7),OR(Query!$B$8="All",'Compliance Database'!$J807=Query!$B$8),OR(Query!$B$9="",ISNUMBER(SEARCH(Query!$B$9,'Compliance Database'!$D807&amp;" "&amp;'Compliance Database'!$K807&amp;" "&amp;'Compliance Database'!$L807&amp;" "&amp;'Compliance Database'!$M807&amp;" "&amp;'Compliance Database'!$N807)))),1,0)</f>
        <v/>
      </c>
      <c r="B807">
        <f>IF($A807=1,SUM($A$2:$A807),"")</f>
        <v/>
      </c>
      <c r="C807">
        <f>IF($A807=1,SUM($A$2:$A807),0)</f>
        <v/>
      </c>
    </row>
    <row r="808">
      <c r="A808">
        <f>IF(AND(OR(Query!$B$4="All",'Compliance Database'!$A808=Query!$B$4),OR(Query!$B$5="All",ISNUMBER(SEARCH(Query!$B$5,'Compliance Database'!$H808))),OR(Query!$B$6="All",ISNUMBER(SEARCH(Query!$B$6,'Compliance Database'!$I808))),OR(Query!$B$7="All",'Compliance Database'!$F808=Query!$B$7),OR(Query!$B$8="All",'Compliance Database'!$J808=Query!$B$8),OR(Query!$B$9="",ISNUMBER(SEARCH(Query!$B$9,'Compliance Database'!$D808&amp;" "&amp;'Compliance Database'!$K808&amp;" "&amp;'Compliance Database'!$L808&amp;" "&amp;'Compliance Database'!$M808&amp;" "&amp;'Compliance Database'!$N808)))),1,0)</f>
        <v/>
      </c>
      <c r="B808">
        <f>IF($A808=1,SUM($A$2:$A808),"")</f>
        <v/>
      </c>
      <c r="C808">
        <f>IF($A808=1,SUM($A$2:$A808),0)</f>
        <v/>
      </c>
    </row>
    <row r="809">
      <c r="A809">
        <f>IF(AND(OR(Query!$B$4="All",'Compliance Database'!$A809=Query!$B$4),OR(Query!$B$5="All",ISNUMBER(SEARCH(Query!$B$5,'Compliance Database'!$H809))),OR(Query!$B$6="All",ISNUMBER(SEARCH(Query!$B$6,'Compliance Database'!$I809))),OR(Query!$B$7="All",'Compliance Database'!$F809=Query!$B$7),OR(Query!$B$8="All",'Compliance Database'!$J809=Query!$B$8),OR(Query!$B$9="",ISNUMBER(SEARCH(Query!$B$9,'Compliance Database'!$D809&amp;" "&amp;'Compliance Database'!$K809&amp;" "&amp;'Compliance Database'!$L809&amp;" "&amp;'Compliance Database'!$M809&amp;" "&amp;'Compliance Database'!$N809)))),1,0)</f>
        <v/>
      </c>
      <c r="B809">
        <f>IF($A809=1,SUM($A$2:$A809),"")</f>
        <v/>
      </c>
      <c r="C809">
        <f>IF($A809=1,SUM($A$2:$A809),0)</f>
        <v/>
      </c>
    </row>
    <row r="810">
      <c r="A810">
        <f>IF(AND(OR(Query!$B$4="All",'Compliance Database'!$A810=Query!$B$4),OR(Query!$B$5="All",ISNUMBER(SEARCH(Query!$B$5,'Compliance Database'!$H810))),OR(Query!$B$6="All",ISNUMBER(SEARCH(Query!$B$6,'Compliance Database'!$I810))),OR(Query!$B$7="All",'Compliance Database'!$F810=Query!$B$7),OR(Query!$B$8="All",'Compliance Database'!$J810=Query!$B$8),OR(Query!$B$9="",ISNUMBER(SEARCH(Query!$B$9,'Compliance Database'!$D810&amp;" "&amp;'Compliance Database'!$K810&amp;" "&amp;'Compliance Database'!$L810&amp;" "&amp;'Compliance Database'!$M810&amp;" "&amp;'Compliance Database'!$N810)))),1,0)</f>
        <v/>
      </c>
      <c r="B810">
        <f>IF($A810=1,SUM($A$2:$A810),"")</f>
        <v/>
      </c>
      <c r="C810">
        <f>IF($A810=1,SUM($A$2:$A810),0)</f>
        <v/>
      </c>
    </row>
    <row r="811">
      <c r="A811">
        <f>IF(AND(OR(Query!$B$4="All",'Compliance Database'!$A811=Query!$B$4),OR(Query!$B$5="All",ISNUMBER(SEARCH(Query!$B$5,'Compliance Database'!$H811))),OR(Query!$B$6="All",ISNUMBER(SEARCH(Query!$B$6,'Compliance Database'!$I811))),OR(Query!$B$7="All",'Compliance Database'!$F811=Query!$B$7),OR(Query!$B$8="All",'Compliance Database'!$J811=Query!$B$8),OR(Query!$B$9="",ISNUMBER(SEARCH(Query!$B$9,'Compliance Database'!$D811&amp;" "&amp;'Compliance Database'!$K811&amp;" "&amp;'Compliance Database'!$L811&amp;" "&amp;'Compliance Database'!$M811&amp;" "&amp;'Compliance Database'!$N811)))),1,0)</f>
        <v/>
      </c>
      <c r="B811">
        <f>IF($A811=1,SUM($A$2:$A811),"")</f>
        <v/>
      </c>
      <c r="C811">
        <f>IF($A811=1,SUM($A$2:$A811),0)</f>
        <v/>
      </c>
    </row>
    <row r="812">
      <c r="A812">
        <f>IF(AND(OR(Query!$B$4="All",'Compliance Database'!$A812=Query!$B$4),OR(Query!$B$5="All",ISNUMBER(SEARCH(Query!$B$5,'Compliance Database'!$H812))),OR(Query!$B$6="All",ISNUMBER(SEARCH(Query!$B$6,'Compliance Database'!$I812))),OR(Query!$B$7="All",'Compliance Database'!$F812=Query!$B$7),OR(Query!$B$8="All",'Compliance Database'!$J812=Query!$B$8),OR(Query!$B$9="",ISNUMBER(SEARCH(Query!$B$9,'Compliance Database'!$D812&amp;" "&amp;'Compliance Database'!$K812&amp;" "&amp;'Compliance Database'!$L812&amp;" "&amp;'Compliance Database'!$M812&amp;" "&amp;'Compliance Database'!$N812)))),1,0)</f>
        <v/>
      </c>
      <c r="B812">
        <f>IF($A812=1,SUM($A$2:$A812),"")</f>
        <v/>
      </c>
      <c r="C812">
        <f>IF($A812=1,SUM($A$2:$A812),0)</f>
        <v/>
      </c>
    </row>
    <row r="813">
      <c r="A813">
        <f>IF(AND(OR(Query!$B$4="All",'Compliance Database'!$A813=Query!$B$4),OR(Query!$B$5="All",ISNUMBER(SEARCH(Query!$B$5,'Compliance Database'!$H813))),OR(Query!$B$6="All",ISNUMBER(SEARCH(Query!$B$6,'Compliance Database'!$I813))),OR(Query!$B$7="All",'Compliance Database'!$F813=Query!$B$7),OR(Query!$B$8="All",'Compliance Database'!$J813=Query!$B$8),OR(Query!$B$9="",ISNUMBER(SEARCH(Query!$B$9,'Compliance Database'!$D813&amp;" "&amp;'Compliance Database'!$K813&amp;" "&amp;'Compliance Database'!$L813&amp;" "&amp;'Compliance Database'!$M813&amp;" "&amp;'Compliance Database'!$N813)))),1,0)</f>
        <v/>
      </c>
      <c r="B813">
        <f>IF($A813=1,SUM($A$2:$A813),"")</f>
        <v/>
      </c>
      <c r="C813">
        <f>IF($A813=1,SUM($A$2:$A813),0)</f>
        <v/>
      </c>
    </row>
    <row r="814">
      <c r="A814">
        <f>IF(AND(OR(Query!$B$4="All",'Compliance Database'!$A814=Query!$B$4),OR(Query!$B$5="All",ISNUMBER(SEARCH(Query!$B$5,'Compliance Database'!$H814))),OR(Query!$B$6="All",ISNUMBER(SEARCH(Query!$B$6,'Compliance Database'!$I814))),OR(Query!$B$7="All",'Compliance Database'!$F814=Query!$B$7),OR(Query!$B$8="All",'Compliance Database'!$J814=Query!$B$8),OR(Query!$B$9="",ISNUMBER(SEARCH(Query!$B$9,'Compliance Database'!$D814&amp;" "&amp;'Compliance Database'!$K814&amp;" "&amp;'Compliance Database'!$L814&amp;" "&amp;'Compliance Database'!$M814&amp;" "&amp;'Compliance Database'!$N814)))),1,0)</f>
        <v/>
      </c>
      <c r="B814">
        <f>IF($A814=1,SUM($A$2:$A814),"")</f>
        <v/>
      </c>
      <c r="C814">
        <f>IF($A814=1,SUM($A$2:$A814),0)</f>
        <v/>
      </c>
    </row>
    <row r="815">
      <c r="A815">
        <f>IF(AND(OR(Query!$B$4="All",'Compliance Database'!$A815=Query!$B$4),OR(Query!$B$5="All",ISNUMBER(SEARCH(Query!$B$5,'Compliance Database'!$H815))),OR(Query!$B$6="All",ISNUMBER(SEARCH(Query!$B$6,'Compliance Database'!$I815))),OR(Query!$B$7="All",'Compliance Database'!$F815=Query!$B$7),OR(Query!$B$8="All",'Compliance Database'!$J815=Query!$B$8),OR(Query!$B$9="",ISNUMBER(SEARCH(Query!$B$9,'Compliance Database'!$D815&amp;" "&amp;'Compliance Database'!$K815&amp;" "&amp;'Compliance Database'!$L815&amp;" "&amp;'Compliance Database'!$M815&amp;" "&amp;'Compliance Database'!$N815)))),1,0)</f>
        <v/>
      </c>
      <c r="B815">
        <f>IF($A815=1,SUM($A$2:$A815),"")</f>
        <v/>
      </c>
      <c r="C815">
        <f>IF($A815=1,SUM($A$2:$A815),0)</f>
        <v/>
      </c>
    </row>
    <row r="816">
      <c r="A816">
        <f>IF(AND(OR(Query!$B$4="All",'Compliance Database'!$A816=Query!$B$4),OR(Query!$B$5="All",ISNUMBER(SEARCH(Query!$B$5,'Compliance Database'!$H816))),OR(Query!$B$6="All",ISNUMBER(SEARCH(Query!$B$6,'Compliance Database'!$I816))),OR(Query!$B$7="All",'Compliance Database'!$F816=Query!$B$7),OR(Query!$B$8="All",'Compliance Database'!$J816=Query!$B$8),OR(Query!$B$9="",ISNUMBER(SEARCH(Query!$B$9,'Compliance Database'!$D816&amp;" "&amp;'Compliance Database'!$K816&amp;" "&amp;'Compliance Database'!$L816&amp;" "&amp;'Compliance Database'!$M816&amp;" "&amp;'Compliance Database'!$N816)))),1,0)</f>
        <v/>
      </c>
      <c r="B816">
        <f>IF($A816=1,SUM($A$2:$A816),"")</f>
        <v/>
      </c>
      <c r="C816">
        <f>IF($A816=1,SUM($A$2:$A816),0)</f>
        <v/>
      </c>
    </row>
    <row r="817">
      <c r="A817">
        <f>IF(AND(OR(Query!$B$4="All",'Compliance Database'!$A817=Query!$B$4),OR(Query!$B$5="All",ISNUMBER(SEARCH(Query!$B$5,'Compliance Database'!$H817))),OR(Query!$B$6="All",ISNUMBER(SEARCH(Query!$B$6,'Compliance Database'!$I817))),OR(Query!$B$7="All",'Compliance Database'!$F817=Query!$B$7),OR(Query!$B$8="All",'Compliance Database'!$J817=Query!$B$8),OR(Query!$B$9="",ISNUMBER(SEARCH(Query!$B$9,'Compliance Database'!$D817&amp;" "&amp;'Compliance Database'!$K817&amp;" "&amp;'Compliance Database'!$L817&amp;" "&amp;'Compliance Database'!$M817&amp;" "&amp;'Compliance Database'!$N817)))),1,0)</f>
        <v/>
      </c>
      <c r="B817">
        <f>IF($A817=1,SUM($A$2:$A817),"")</f>
        <v/>
      </c>
      <c r="C817">
        <f>IF($A817=1,SUM($A$2:$A817),0)</f>
        <v/>
      </c>
    </row>
    <row r="818">
      <c r="A818">
        <f>IF(AND(OR(Query!$B$4="All",'Compliance Database'!$A818=Query!$B$4),OR(Query!$B$5="All",ISNUMBER(SEARCH(Query!$B$5,'Compliance Database'!$H818))),OR(Query!$B$6="All",ISNUMBER(SEARCH(Query!$B$6,'Compliance Database'!$I818))),OR(Query!$B$7="All",'Compliance Database'!$F818=Query!$B$7),OR(Query!$B$8="All",'Compliance Database'!$J818=Query!$B$8),OR(Query!$B$9="",ISNUMBER(SEARCH(Query!$B$9,'Compliance Database'!$D818&amp;" "&amp;'Compliance Database'!$K818&amp;" "&amp;'Compliance Database'!$L818&amp;" "&amp;'Compliance Database'!$M818&amp;" "&amp;'Compliance Database'!$N818)))),1,0)</f>
        <v/>
      </c>
      <c r="B818">
        <f>IF($A818=1,SUM($A$2:$A818),"")</f>
        <v/>
      </c>
      <c r="C818">
        <f>IF($A818=1,SUM($A$2:$A818),0)</f>
        <v/>
      </c>
    </row>
    <row r="819">
      <c r="A819">
        <f>IF(AND(OR(Query!$B$4="All",'Compliance Database'!$A819=Query!$B$4),OR(Query!$B$5="All",ISNUMBER(SEARCH(Query!$B$5,'Compliance Database'!$H819))),OR(Query!$B$6="All",ISNUMBER(SEARCH(Query!$B$6,'Compliance Database'!$I819))),OR(Query!$B$7="All",'Compliance Database'!$F819=Query!$B$7),OR(Query!$B$8="All",'Compliance Database'!$J819=Query!$B$8),OR(Query!$B$9="",ISNUMBER(SEARCH(Query!$B$9,'Compliance Database'!$D819&amp;" "&amp;'Compliance Database'!$K819&amp;" "&amp;'Compliance Database'!$L819&amp;" "&amp;'Compliance Database'!$M819&amp;" "&amp;'Compliance Database'!$N819)))),1,0)</f>
        <v/>
      </c>
      <c r="B819">
        <f>IF($A819=1,SUM($A$2:$A819),"")</f>
        <v/>
      </c>
      <c r="C819">
        <f>IF($A819=1,SUM($A$2:$A819),0)</f>
        <v/>
      </c>
    </row>
    <row r="820">
      <c r="A820">
        <f>IF(AND(OR(Query!$B$4="All",'Compliance Database'!$A820=Query!$B$4),OR(Query!$B$5="All",ISNUMBER(SEARCH(Query!$B$5,'Compliance Database'!$H820))),OR(Query!$B$6="All",ISNUMBER(SEARCH(Query!$B$6,'Compliance Database'!$I820))),OR(Query!$B$7="All",'Compliance Database'!$F820=Query!$B$7),OR(Query!$B$8="All",'Compliance Database'!$J820=Query!$B$8),OR(Query!$B$9="",ISNUMBER(SEARCH(Query!$B$9,'Compliance Database'!$D820&amp;" "&amp;'Compliance Database'!$K820&amp;" "&amp;'Compliance Database'!$L820&amp;" "&amp;'Compliance Database'!$M820&amp;" "&amp;'Compliance Database'!$N820)))),1,0)</f>
        <v/>
      </c>
      <c r="B820">
        <f>IF($A820=1,SUM($A$2:$A820),"")</f>
        <v/>
      </c>
      <c r="C820">
        <f>IF($A820=1,SUM($A$2:$A820),0)</f>
        <v/>
      </c>
    </row>
    <row r="821">
      <c r="A821">
        <f>IF(AND(OR(Query!$B$4="All",'Compliance Database'!$A821=Query!$B$4),OR(Query!$B$5="All",ISNUMBER(SEARCH(Query!$B$5,'Compliance Database'!$H821))),OR(Query!$B$6="All",ISNUMBER(SEARCH(Query!$B$6,'Compliance Database'!$I821))),OR(Query!$B$7="All",'Compliance Database'!$F821=Query!$B$7),OR(Query!$B$8="All",'Compliance Database'!$J821=Query!$B$8),OR(Query!$B$9="",ISNUMBER(SEARCH(Query!$B$9,'Compliance Database'!$D821&amp;" "&amp;'Compliance Database'!$K821&amp;" "&amp;'Compliance Database'!$L821&amp;" "&amp;'Compliance Database'!$M821&amp;" "&amp;'Compliance Database'!$N821)))),1,0)</f>
        <v/>
      </c>
      <c r="B821">
        <f>IF($A821=1,SUM($A$2:$A821),"")</f>
        <v/>
      </c>
      <c r="C821">
        <f>IF($A821=1,SUM($A$2:$A821),0)</f>
        <v/>
      </c>
    </row>
    <row r="822">
      <c r="A822">
        <f>IF(AND(OR(Query!$B$4="All",'Compliance Database'!$A822=Query!$B$4),OR(Query!$B$5="All",ISNUMBER(SEARCH(Query!$B$5,'Compliance Database'!$H822))),OR(Query!$B$6="All",ISNUMBER(SEARCH(Query!$B$6,'Compliance Database'!$I822))),OR(Query!$B$7="All",'Compliance Database'!$F822=Query!$B$7),OR(Query!$B$8="All",'Compliance Database'!$J822=Query!$B$8),OR(Query!$B$9="",ISNUMBER(SEARCH(Query!$B$9,'Compliance Database'!$D822&amp;" "&amp;'Compliance Database'!$K822&amp;" "&amp;'Compliance Database'!$L822&amp;" "&amp;'Compliance Database'!$M822&amp;" "&amp;'Compliance Database'!$N822)))),1,0)</f>
        <v/>
      </c>
      <c r="B822">
        <f>IF($A822=1,SUM($A$2:$A822),"")</f>
        <v/>
      </c>
      <c r="C822">
        <f>IF($A822=1,SUM($A$2:$A822),0)</f>
        <v/>
      </c>
    </row>
    <row r="823">
      <c r="A823">
        <f>IF(AND(OR(Query!$B$4="All",'Compliance Database'!$A823=Query!$B$4),OR(Query!$B$5="All",ISNUMBER(SEARCH(Query!$B$5,'Compliance Database'!$H823))),OR(Query!$B$6="All",ISNUMBER(SEARCH(Query!$B$6,'Compliance Database'!$I823))),OR(Query!$B$7="All",'Compliance Database'!$F823=Query!$B$7),OR(Query!$B$8="All",'Compliance Database'!$J823=Query!$B$8),OR(Query!$B$9="",ISNUMBER(SEARCH(Query!$B$9,'Compliance Database'!$D823&amp;" "&amp;'Compliance Database'!$K823&amp;" "&amp;'Compliance Database'!$L823&amp;" "&amp;'Compliance Database'!$M823&amp;" "&amp;'Compliance Database'!$N823)))),1,0)</f>
        <v/>
      </c>
      <c r="B823">
        <f>IF($A823=1,SUM($A$2:$A823),"")</f>
        <v/>
      </c>
      <c r="C823">
        <f>IF($A823=1,SUM($A$2:$A823),0)</f>
        <v/>
      </c>
    </row>
    <row r="824">
      <c r="A824">
        <f>IF(AND(OR(Query!$B$4="All",'Compliance Database'!$A824=Query!$B$4),OR(Query!$B$5="All",ISNUMBER(SEARCH(Query!$B$5,'Compliance Database'!$H824))),OR(Query!$B$6="All",ISNUMBER(SEARCH(Query!$B$6,'Compliance Database'!$I824))),OR(Query!$B$7="All",'Compliance Database'!$F824=Query!$B$7),OR(Query!$B$8="All",'Compliance Database'!$J824=Query!$B$8),OR(Query!$B$9="",ISNUMBER(SEARCH(Query!$B$9,'Compliance Database'!$D824&amp;" "&amp;'Compliance Database'!$K824&amp;" "&amp;'Compliance Database'!$L824&amp;" "&amp;'Compliance Database'!$M824&amp;" "&amp;'Compliance Database'!$N824)))),1,0)</f>
        <v/>
      </c>
      <c r="B824">
        <f>IF($A824=1,SUM($A$2:$A824),"")</f>
        <v/>
      </c>
      <c r="C824">
        <f>IF($A824=1,SUM($A$2:$A824),0)</f>
        <v/>
      </c>
    </row>
    <row r="825">
      <c r="A825">
        <f>IF(AND(OR(Query!$B$4="All",'Compliance Database'!$A825=Query!$B$4),OR(Query!$B$5="All",ISNUMBER(SEARCH(Query!$B$5,'Compliance Database'!$H825))),OR(Query!$B$6="All",ISNUMBER(SEARCH(Query!$B$6,'Compliance Database'!$I825))),OR(Query!$B$7="All",'Compliance Database'!$F825=Query!$B$7),OR(Query!$B$8="All",'Compliance Database'!$J825=Query!$B$8),OR(Query!$B$9="",ISNUMBER(SEARCH(Query!$B$9,'Compliance Database'!$D825&amp;" "&amp;'Compliance Database'!$K825&amp;" "&amp;'Compliance Database'!$L825&amp;" "&amp;'Compliance Database'!$M825&amp;" "&amp;'Compliance Database'!$N825)))),1,0)</f>
        <v/>
      </c>
      <c r="B825">
        <f>IF($A825=1,SUM($A$2:$A825),"")</f>
        <v/>
      </c>
      <c r="C825">
        <f>IF($A825=1,SUM($A$2:$A825),0)</f>
        <v/>
      </c>
    </row>
    <row r="826">
      <c r="A826">
        <f>IF(AND(OR(Query!$B$4="All",'Compliance Database'!$A826=Query!$B$4),OR(Query!$B$5="All",ISNUMBER(SEARCH(Query!$B$5,'Compliance Database'!$H826))),OR(Query!$B$6="All",ISNUMBER(SEARCH(Query!$B$6,'Compliance Database'!$I826))),OR(Query!$B$7="All",'Compliance Database'!$F826=Query!$B$7),OR(Query!$B$8="All",'Compliance Database'!$J826=Query!$B$8),OR(Query!$B$9="",ISNUMBER(SEARCH(Query!$B$9,'Compliance Database'!$D826&amp;" "&amp;'Compliance Database'!$K826&amp;" "&amp;'Compliance Database'!$L826&amp;" "&amp;'Compliance Database'!$M826&amp;" "&amp;'Compliance Database'!$N826)))),1,0)</f>
        <v/>
      </c>
      <c r="B826">
        <f>IF($A826=1,SUM($A$2:$A826),"")</f>
        <v/>
      </c>
      <c r="C826">
        <f>IF($A826=1,SUM($A$2:$A826),0)</f>
        <v/>
      </c>
    </row>
    <row r="827">
      <c r="A827">
        <f>IF(AND(OR(Query!$B$4="All",'Compliance Database'!$A827=Query!$B$4),OR(Query!$B$5="All",ISNUMBER(SEARCH(Query!$B$5,'Compliance Database'!$H827))),OR(Query!$B$6="All",ISNUMBER(SEARCH(Query!$B$6,'Compliance Database'!$I827))),OR(Query!$B$7="All",'Compliance Database'!$F827=Query!$B$7),OR(Query!$B$8="All",'Compliance Database'!$J827=Query!$B$8),OR(Query!$B$9="",ISNUMBER(SEARCH(Query!$B$9,'Compliance Database'!$D827&amp;" "&amp;'Compliance Database'!$K827&amp;" "&amp;'Compliance Database'!$L827&amp;" "&amp;'Compliance Database'!$M827&amp;" "&amp;'Compliance Database'!$N827)))),1,0)</f>
        <v/>
      </c>
      <c r="B827">
        <f>IF($A827=1,SUM($A$2:$A827),"")</f>
        <v/>
      </c>
      <c r="C827">
        <f>IF($A827=1,SUM($A$2:$A827),0)</f>
        <v/>
      </c>
    </row>
    <row r="828">
      <c r="A828">
        <f>IF(AND(OR(Query!$B$4="All",'Compliance Database'!$A828=Query!$B$4),OR(Query!$B$5="All",ISNUMBER(SEARCH(Query!$B$5,'Compliance Database'!$H828))),OR(Query!$B$6="All",ISNUMBER(SEARCH(Query!$B$6,'Compliance Database'!$I828))),OR(Query!$B$7="All",'Compliance Database'!$F828=Query!$B$7),OR(Query!$B$8="All",'Compliance Database'!$J828=Query!$B$8),OR(Query!$B$9="",ISNUMBER(SEARCH(Query!$B$9,'Compliance Database'!$D828&amp;" "&amp;'Compliance Database'!$K828&amp;" "&amp;'Compliance Database'!$L828&amp;" "&amp;'Compliance Database'!$M828&amp;" "&amp;'Compliance Database'!$N828)))),1,0)</f>
        <v/>
      </c>
      <c r="B828">
        <f>IF($A828=1,SUM($A$2:$A828),"")</f>
        <v/>
      </c>
      <c r="C828">
        <f>IF($A828=1,SUM($A$2:$A828),0)</f>
        <v/>
      </c>
    </row>
    <row r="829">
      <c r="A829">
        <f>IF(AND(OR(Query!$B$4="All",'Compliance Database'!$A829=Query!$B$4),OR(Query!$B$5="All",ISNUMBER(SEARCH(Query!$B$5,'Compliance Database'!$H829))),OR(Query!$B$6="All",ISNUMBER(SEARCH(Query!$B$6,'Compliance Database'!$I829))),OR(Query!$B$7="All",'Compliance Database'!$F829=Query!$B$7),OR(Query!$B$8="All",'Compliance Database'!$J829=Query!$B$8),OR(Query!$B$9="",ISNUMBER(SEARCH(Query!$B$9,'Compliance Database'!$D829&amp;" "&amp;'Compliance Database'!$K829&amp;" "&amp;'Compliance Database'!$L829&amp;" "&amp;'Compliance Database'!$M829&amp;" "&amp;'Compliance Database'!$N829)))),1,0)</f>
        <v/>
      </c>
      <c r="B829">
        <f>IF($A829=1,SUM($A$2:$A829),"")</f>
        <v/>
      </c>
      <c r="C829">
        <f>IF($A829=1,SUM($A$2:$A829),0)</f>
        <v/>
      </c>
    </row>
    <row r="830">
      <c r="A830">
        <f>IF(AND(OR(Query!$B$4="All",'Compliance Database'!$A830=Query!$B$4),OR(Query!$B$5="All",ISNUMBER(SEARCH(Query!$B$5,'Compliance Database'!$H830))),OR(Query!$B$6="All",ISNUMBER(SEARCH(Query!$B$6,'Compliance Database'!$I830))),OR(Query!$B$7="All",'Compliance Database'!$F830=Query!$B$7),OR(Query!$B$8="All",'Compliance Database'!$J830=Query!$B$8),OR(Query!$B$9="",ISNUMBER(SEARCH(Query!$B$9,'Compliance Database'!$D830&amp;" "&amp;'Compliance Database'!$K830&amp;" "&amp;'Compliance Database'!$L830&amp;" "&amp;'Compliance Database'!$M830&amp;" "&amp;'Compliance Database'!$N830)))),1,0)</f>
        <v/>
      </c>
      <c r="B830">
        <f>IF($A830=1,SUM($A$2:$A830),"")</f>
        <v/>
      </c>
      <c r="C830">
        <f>IF($A830=1,SUM($A$2:$A830),0)</f>
        <v/>
      </c>
    </row>
    <row r="831">
      <c r="A831">
        <f>IF(AND(OR(Query!$B$4="All",'Compliance Database'!$A831=Query!$B$4),OR(Query!$B$5="All",ISNUMBER(SEARCH(Query!$B$5,'Compliance Database'!$H831))),OR(Query!$B$6="All",ISNUMBER(SEARCH(Query!$B$6,'Compliance Database'!$I831))),OR(Query!$B$7="All",'Compliance Database'!$F831=Query!$B$7),OR(Query!$B$8="All",'Compliance Database'!$J831=Query!$B$8),OR(Query!$B$9="",ISNUMBER(SEARCH(Query!$B$9,'Compliance Database'!$D831&amp;" "&amp;'Compliance Database'!$K831&amp;" "&amp;'Compliance Database'!$L831&amp;" "&amp;'Compliance Database'!$M831&amp;" "&amp;'Compliance Database'!$N831)))),1,0)</f>
        <v/>
      </c>
      <c r="B831">
        <f>IF($A831=1,SUM($A$2:$A831),"")</f>
        <v/>
      </c>
      <c r="C831">
        <f>IF($A831=1,SUM($A$2:$A831),0)</f>
        <v/>
      </c>
    </row>
    <row r="832">
      <c r="A832">
        <f>IF(AND(OR(Query!$B$4="All",'Compliance Database'!$A832=Query!$B$4),OR(Query!$B$5="All",ISNUMBER(SEARCH(Query!$B$5,'Compliance Database'!$H832))),OR(Query!$B$6="All",ISNUMBER(SEARCH(Query!$B$6,'Compliance Database'!$I832))),OR(Query!$B$7="All",'Compliance Database'!$F832=Query!$B$7),OR(Query!$B$8="All",'Compliance Database'!$J832=Query!$B$8),OR(Query!$B$9="",ISNUMBER(SEARCH(Query!$B$9,'Compliance Database'!$D832&amp;" "&amp;'Compliance Database'!$K832&amp;" "&amp;'Compliance Database'!$L832&amp;" "&amp;'Compliance Database'!$M832&amp;" "&amp;'Compliance Database'!$N832)))),1,0)</f>
        <v/>
      </c>
      <c r="B832">
        <f>IF($A832=1,SUM($A$2:$A832),"")</f>
        <v/>
      </c>
      <c r="C832">
        <f>IF($A832=1,SUM($A$2:$A832),0)</f>
        <v/>
      </c>
    </row>
    <row r="833">
      <c r="A833">
        <f>IF(AND(OR(Query!$B$4="All",'Compliance Database'!$A833=Query!$B$4),OR(Query!$B$5="All",ISNUMBER(SEARCH(Query!$B$5,'Compliance Database'!$H833))),OR(Query!$B$6="All",ISNUMBER(SEARCH(Query!$B$6,'Compliance Database'!$I833))),OR(Query!$B$7="All",'Compliance Database'!$F833=Query!$B$7),OR(Query!$B$8="All",'Compliance Database'!$J833=Query!$B$8),OR(Query!$B$9="",ISNUMBER(SEARCH(Query!$B$9,'Compliance Database'!$D833&amp;" "&amp;'Compliance Database'!$K833&amp;" "&amp;'Compliance Database'!$L833&amp;" "&amp;'Compliance Database'!$M833&amp;" "&amp;'Compliance Database'!$N833)))),1,0)</f>
        <v/>
      </c>
      <c r="B833">
        <f>IF($A833=1,SUM($A$2:$A833),"")</f>
        <v/>
      </c>
      <c r="C833">
        <f>IF($A833=1,SUM($A$2:$A833),0)</f>
        <v/>
      </c>
    </row>
    <row r="834">
      <c r="A834">
        <f>IF(AND(OR(Query!$B$4="All",'Compliance Database'!$A834=Query!$B$4),OR(Query!$B$5="All",ISNUMBER(SEARCH(Query!$B$5,'Compliance Database'!$H834))),OR(Query!$B$6="All",ISNUMBER(SEARCH(Query!$B$6,'Compliance Database'!$I834))),OR(Query!$B$7="All",'Compliance Database'!$F834=Query!$B$7),OR(Query!$B$8="All",'Compliance Database'!$J834=Query!$B$8),OR(Query!$B$9="",ISNUMBER(SEARCH(Query!$B$9,'Compliance Database'!$D834&amp;" "&amp;'Compliance Database'!$K834&amp;" "&amp;'Compliance Database'!$L834&amp;" "&amp;'Compliance Database'!$M834&amp;" "&amp;'Compliance Database'!$N834)))),1,0)</f>
        <v/>
      </c>
      <c r="B834">
        <f>IF($A834=1,SUM($A$2:$A834),"")</f>
        <v/>
      </c>
      <c r="C834">
        <f>IF($A834=1,SUM($A$2:$A834),0)</f>
        <v/>
      </c>
    </row>
    <row r="835">
      <c r="A835">
        <f>IF(AND(OR(Query!$B$4="All",'Compliance Database'!$A835=Query!$B$4),OR(Query!$B$5="All",ISNUMBER(SEARCH(Query!$B$5,'Compliance Database'!$H835))),OR(Query!$B$6="All",ISNUMBER(SEARCH(Query!$B$6,'Compliance Database'!$I835))),OR(Query!$B$7="All",'Compliance Database'!$F835=Query!$B$7),OR(Query!$B$8="All",'Compliance Database'!$J835=Query!$B$8),OR(Query!$B$9="",ISNUMBER(SEARCH(Query!$B$9,'Compliance Database'!$D835&amp;" "&amp;'Compliance Database'!$K835&amp;" "&amp;'Compliance Database'!$L835&amp;" "&amp;'Compliance Database'!$M835&amp;" "&amp;'Compliance Database'!$N835)))),1,0)</f>
        <v/>
      </c>
      <c r="B835">
        <f>IF($A835=1,SUM($A$2:$A835),"")</f>
        <v/>
      </c>
      <c r="C835">
        <f>IF($A835=1,SUM($A$2:$A835),0)</f>
        <v/>
      </c>
    </row>
    <row r="836">
      <c r="A836">
        <f>IF(AND(OR(Query!$B$4="All",'Compliance Database'!$A836=Query!$B$4),OR(Query!$B$5="All",ISNUMBER(SEARCH(Query!$B$5,'Compliance Database'!$H836))),OR(Query!$B$6="All",ISNUMBER(SEARCH(Query!$B$6,'Compliance Database'!$I836))),OR(Query!$B$7="All",'Compliance Database'!$F836=Query!$B$7),OR(Query!$B$8="All",'Compliance Database'!$J836=Query!$B$8),OR(Query!$B$9="",ISNUMBER(SEARCH(Query!$B$9,'Compliance Database'!$D836&amp;" "&amp;'Compliance Database'!$K836&amp;" "&amp;'Compliance Database'!$L836&amp;" "&amp;'Compliance Database'!$M836&amp;" "&amp;'Compliance Database'!$N836)))),1,0)</f>
        <v/>
      </c>
      <c r="B836">
        <f>IF($A836=1,SUM($A$2:$A836),"")</f>
        <v/>
      </c>
      <c r="C836">
        <f>IF($A836=1,SUM($A$2:$A836),0)</f>
        <v/>
      </c>
    </row>
    <row r="837">
      <c r="A837">
        <f>IF(AND(OR(Query!$B$4="All",'Compliance Database'!$A837=Query!$B$4),OR(Query!$B$5="All",ISNUMBER(SEARCH(Query!$B$5,'Compliance Database'!$H837))),OR(Query!$B$6="All",ISNUMBER(SEARCH(Query!$B$6,'Compliance Database'!$I837))),OR(Query!$B$7="All",'Compliance Database'!$F837=Query!$B$7),OR(Query!$B$8="All",'Compliance Database'!$J837=Query!$B$8),OR(Query!$B$9="",ISNUMBER(SEARCH(Query!$B$9,'Compliance Database'!$D837&amp;" "&amp;'Compliance Database'!$K837&amp;" "&amp;'Compliance Database'!$L837&amp;" "&amp;'Compliance Database'!$M837&amp;" "&amp;'Compliance Database'!$N837)))),1,0)</f>
        <v/>
      </c>
      <c r="B837">
        <f>IF($A837=1,SUM($A$2:$A837),"")</f>
        <v/>
      </c>
      <c r="C837">
        <f>IF($A837=1,SUM($A$2:$A837),0)</f>
        <v/>
      </c>
    </row>
    <row r="838">
      <c r="A838">
        <f>IF(AND(OR(Query!$B$4="All",'Compliance Database'!$A838=Query!$B$4),OR(Query!$B$5="All",ISNUMBER(SEARCH(Query!$B$5,'Compliance Database'!$H838))),OR(Query!$B$6="All",ISNUMBER(SEARCH(Query!$B$6,'Compliance Database'!$I838))),OR(Query!$B$7="All",'Compliance Database'!$F838=Query!$B$7),OR(Query!$B$8="All",'Compliance Database'!$J838=Query!$B$8),OR(Query!$B$9="",ISNUMBER(SEARCH(Query!$B$9,'Compliance Database'!$D838&amp;" "&amp;'Compliance Database'!$K838&amp;" "&amp;'Compliance Database'!$L838&amp;" "&amp;'Compliance Database'!$M838&amp;" "&amp;'Compliance Database'!$N838)))),1,0)</f>
        <v/>
      </c>
      <c r="B838">
        <f>IF($A838=1,SUM($A$2:$A838),"")</f>
        <v/>
      </c>
      <c r="C838">
        <f>IF($A838=1,SUM($A$2:$A838),0)</f>
        <v/>
      </c>
    </row>
    <row r="839">
      <c r="A839">
        <f>IF(AND(OR(Query!$B$4="All",'Compliance Database'!$A839=Query!$B$4),OR(Query!$B$5="All",ISNUMBER(SEARCH(Query!$B$5,'Compliance Database'!$H839))),OR(Query!$B$6="All",ISNUMBER(SEARCH(Query!$B$6,'Compliance Database'!$I839))),OR(Query!$B$7="All",'Compliance Database'!$F839=Query!$B$7),OR(Query!$B$8="All",'Compliance Database'!$J839=Query!$B$8),OR(Query!$B$9="",ISNUMBER(SEARCH(Query!$B$9,'Compliance Database'!$D839&amp;" "&amp;'Compliance Database'!$K839&amp;" "&amp;'Compliance Database'!$L839&amp;" "&amp;'Compliance Database'!$M839&amp;" "&amp;'Compliance Database'!$N839)))),1,0)</f>
        <v/>
      </c>
      <c r="B839">
        <f>IF($A839=1,SUM($A$2:$A839),"")</f>
        <v/>
      </c>
      <c r="C839">
        <f>IF($A839=1,SUM($A$2:$A839),0)</f>
        <v/>
      </c>
    </row>
    <row r="840">
      <c r="A840">
        <f>IF(AND(OR(Query!$B$4="All",'Compliance Database'!$A840=Query!$B$4),OR(Query!$B$5="All",ISNUMBER(SEARCH(Query!$B$5,'Compliance Database'!$H840))),OR(Query!$B$6="All",ISNUMBER(SEARCH(Query!$B$6,'Compliance Database'!$I840))),OR(Query!$B$7="All",'Compliance Database'!$F840=Query!$B$7),OR(Query!$B$8="All",'Compliance Database'!$J840=Query!$B$8),OR(Query!$B$9="",ISNUMBER(SEARCH(Query!$B$9,'Compliance Database'!$D840&amp;" "&amp;'Compliance Database'!$K840&amp;" "&amp;'Compliance Database'!$L840&amp;" "&amp;'Compliance Database'!$M840&amp;" "&amp;'Compliance Database'!$N840)))),1,0)</f>
        <v/>
      </c>
      <c r="B840">
        <f>IF($A840=1,SUM($A$2:$A840),"")</f>
        <v/>
      </c>
      <c r="C840">
        <f>IF($A840=1,SUM($A$2:$A840),0)</f>
        <v/>
      </c>
    </row>
    <row r="841">
      <c r="A841">
        <f>IF(AND(OR(Query!$B$4="All",'Compliance Database'!$A841=Query!$B$4),OR(Query!$B$5="All",ISNUMBER(SEARCH(Query!$B$5,'Compliance Database'!$H841))),OR(Query!$B$6="All",ISNUMBER(SEARCH(Query!$B$6,'Compliance Database'!$I841))),OR(Query!$B$7="All",'Compliance Database'!$F841=Query!$B$7),OR(Query!$B$8="All",'Compliance Database'!$J841=Query!$B$8),OR(Query!$B$9="",ISNUMBER(SEARCH(Query!$B$9,'Compliance Database'!$D841&amp;" "&amp;'Compliance Database'!$K841&amp;" "&amp;'Compliance Database'!$L841&amp;" "&amp;'Compliance Database'!$M841&amp;" "&amp;'Compliance Database'!$N841)))),1,0)</f>
        <v/>
      </c>
      <c r="B841">
        <f>IF($A841=1,SUM($A$2:$A841),"")</f>
        <v/>
      </c>
      <c r="C841">
        <f>IF($A841=1,SUM($A$2:$A841),0)</f>
        <v/>
      </c>
    </row>
    <row r="842">
      <c r="A842">
        <f>IF(AND(OR(Query!$B$4="All",'Compliance Database'!$A842=Query!$B$4),OR(Query!$B$5="All",ISNUMBER(SEARCH(Query!$B$5,'Compliance Database'!$H842))),OR(Query!$B$6="All",ISNUMBER(SEARCH(Query!$B$6,'Compliance Database'!$I842))),OR(Query!$B$7="All",'Compliance Database'!$F842=Query!$B$7),OR(Query!$B$8="All",'Compliance Database'!$J842=Query!$B$8),OR(Query!$B$9="",ISNUMBER(SEARCH(Query!$B$9,'Compliance Database'!$D842&amp;" "&amp;'Compliance Database'!$K842&amp;" "&amp;'Compliance Database'!$L842&amp;" "&amp;'Compliance Database'!$M842&amp;" "&amp;'Compliance Database'!$N842)))),1,0)</f>
        <v/>
      </c>
      <c r="B842">
        <f>IF($A842=1,SUM($A$2:$A842),"")</f>
        <v/>
      </c>
      <c r="C842">
        <f>IF($A842=1,SUM($A$2:$A842),0)</f>
        <v/>
      </c>
    </row>
    <row r="843">
      <c r="A843">
        <f>IF(AND(OR(Query!$B$4="All",'Compliance Database'!$A843=Query!$B$4),OR(Query!$B$5="All",ISNUMBER(SEARCH(Query!$B$5,'Compliance Database'!$H843))),OR(Query!$B$6="All",ISNUMBER(SEARCH(Query!$B$6,'Compliance Database'!$I843))),OR(Query!$B$7="All",'Compliance Database'!$F843=Query!$B$7),OR(Query!$B$8="All",'Compliance Database'!$J843=Query!$B$8),OR(Query!$B$9="",ISNUMBER(SEARCH(Query!$B$9,'Compliance Database'!$D843&amp;" "&amp;'Compliance Database'!$K843&amp;" "&amp;'Compliance Database'!$L843&amp;" "&amp;'Compliance Database'!$M843&amp;" "&amp;'Compliance Database'!$N843)))),1,0)</f>
        <v/>
      </c>
      <c r="B843">
        <f>IF($A843=1,SUM($A$2:$A843),"")</f>
        <v/>
      </c>
      <c r="C843">
        <f>IF($A843=1,SUM($A$2:$A843),0)</f>
        <v/>
      </c>
    </row>
    <row r="844">
      <c r="A844">
        <f>IF(AND(OR(Query!$B$4="All",'Compliance Database'!$A844=Query!$B$4),OR(Query!$B$5="All",ISNUMBER(SEARCH(Query!$B$5,'Compliance Database'!$H844))),OR(Query!$B$6="All",ISNUMBER(SEARCH(Query!$B$6,'Compliance Database'!$I844))),OR(Query!$B$7="All",'Compliance Database'!$F844=Query!$B$7),OR(Query!$B$8="All",'Compliance Database'!$J844=Query!$B$8),OR(Query!$B$9="",ISNUMBER(SEARCH(Query!$B$9,'Compliance Database'!$D844&amp;" "&amp;'Compliance Database'!$K844&amp;" "&amp;'Compliance Database'!$L844&amp;" "&amp;'Compliance Database'!$M844&amp;" "&amp;'Compliance Database'!$N844)))),1,0)</f>
        <v/>
      </c>
      <c r="B844">
        <f>IF($A844=1,SUM($A$2:$A844),"")</f>
        <v/>
      </c>
      <c r="C844">
        <f>IF($A844=1,SUM($A$2:$A844),0)</f>
        <v/>
      </c>
    </row>
    <row r="845">
      <c r="A845">
        <f>IF(AND(OR(Query!$B$4="All",'Compliance Database'!$A845=Query!$B$4),OR(Query!$B$5="All",ISNUMBER(SEARCH(Query!$B$5,'Compliance Database'!$H845))),OR(Query!$B$6="All",ISNUMBER(SEARCH(Query!$B$6,'Compliance Database'!$I845))),OR(Query!$B$7="All",'Compliance Database'!$F845=Query!$B$7),OR(Query!$B$8="All",'Compliance Database'!$J845=Query!$B$8),OR(Query!$B$9="",ISNUMBER(SEARCH(Query!$B$9,'Compliance Database'!$D845&amp;" "&amp;'Compliance Database'!$K845&amp;" "&amp;'Compliance Database'!$L845&amp;" "&amp;'Compliance Database'!$M845&amp;" "&amp;'Compliance Database'!$N845)))),1,0)</f>
        <v/>
      </c>
      <c r="B845">
        <f>IF($A845=1,SUM($A$2:$A845),"")</f>
        <v/>
      </c>
      <c r="C845">
        <f>IF($A845=1,SUM($A$2:$A845),0)</f>
        <v/>
      </c>
    </row>
    <row r="846">
      <c r="A846">
        <f>IF(AND(OR(Query!$B$4="All",'Compliance Database'!$A846=Query!$B$4),OR(Query!$B$5="All",ISNUMBER(SEARCH(Query!$B$5,'Compliance Database'!$H846))),OR(Query!$B$6="All",ISNUMBER(SEARCH(Query!$B$6,'Compliance Database'!$I846))),OR(Query!$B$7="All",'Compliance Database'!$F846=Query!$B$7),OR(Query!$B$8="All",'Compliance Database'!$J846=Query!$B$8),OR(Query!$B$9="",ISNUMBER(SEARCH(Query!$B$9,'Compliance Database'!$D846&amp;" "&amp;'Compliance Database'!$K846&amp;" "&amp;'Compliance Database'!$L846&amp;" "&amp;'Compliance Database'!$M846&amp;" "&amp;'Compliance Database'!$N846)))),1,0)</f>
        <v/>
      </c>
      <c r="B846">
        <f>IF($A846=1,SUM($A$2:$A846),"")</f>
        <v/>
      </c>
      <c r="C846">
        <f>IF($A846=1,SUM($A$2:$A846),0)</f>
        <v/>
      </c>
    </row>
    <row r="847">
      <c r="A847">
        <f>IF(AND(OR(Query!$B$4="All",'Compliance Database'!$A847=Query!$B$4),OR(Query!$B$5="All",ISNUMBER(SEARCH(Query!$B$5,'Compliance Database'!$H847))),OR(Query!$B$6="All",ISNUMBER(SEARCH(Query!$B$6,'Compliance Database'!$I847))),OR(Query!$B$7="All",'Compliance Database'!$F847=Query!$B$7),OR(Query!$B$8="All",'Compliance Database'!$J847=Query!$B$8),OR(Query!$B$9="",ISNUMBER(SEARCH(Query!$B$9,'Compliance Database'!$D847&amp;" "&amp;'Compliance Database'!$K847&amp;" "&amp;'Compliance Database'!$L847&amp;" "&amp;'Compliance Database'!$M847&amp;" "&amp;'Compliance Database'!$N847)))),1,0)</f>
        <v/>
      </c>
      <c r="B847">
        <f>IF($A847=1,SUM($A$2:$A847),"")</f>
        <v/>
      </c>
      <c r="C847">
        <f>IF($A847=1,SUM($A$2:$A847),0)</f>
        <v/>
      </c>
    </row>
    <row r="848">
      <c r="A848">
        <f>IF(AND(OR(Query!$B$4="All",'Compliance Database'!$A848=Query!$B$4),OR(Query!$B$5="All",ISNUMBER(SEARCH(Query!$B$5,'Compliance Database'!$H848))),OR(Query!$B$6="All",ISNUMBER(SEARCH(Query!$B$6,'Compliance Database'!$I848))),OR(Query!$B$7="All",'Compliance Database'!$F848=Query!$B$7),OR(Query!$B$8="All",'Compliance Database'!$J848=Query!$B$8),OR(Query!$B$9="",ISNUMBER(SEARCH(Query!$B$9,'Compliance Database'!$D848&amp;" "&amp;'Compliance Database'!$K848&amp;" "&amp;'Compliance Database'!$L848&amp;" "&amp;'Compliance Database'!$M848&amp;" "&amp;'Compliance Database'!$N848)))),1,0)</f>
        <v/>
      </c>
      <c r="B848">
        <f>IF($A848=1,SUM($A$2:$A848),"")</f>
        <v/>
      </c>
      <c r="C848">
        <f>IF($A848=1,SUM($A$2:$A848),0)</f>
        <v/>
      </c>
    </row>
    <row r="849">
      <c r="A849">
        <f>IF(AND(OR(Query!$B$4="All",'Compliance Database'!$A849=Query!$B$4),OR(Query!$B$5="All",ISNUMBER(SEARCH(Query!$B$5,'Compliance Database'!$H849))),OR(Query!$B$6="All",ISNUMBER(SEARCH(Query!$B$6,'Compliance Database'!$I849))),OR(Query!$B$7="All",'Compliance Database'!$F849=Query!$B$7),OR(Query!$B$8="All",'Compliance Database'!$J849=Query!$B$8),OR(Query!$B$9="",ISNUMBER(SEARCH(Query!$B$9,'Compliance Database'!$D849&amp;" "&amp;'Compliance Database'!$K849&amp;" "&amp;'Compliance Database'!$L849&amp;" "&amp;'Compliance Database'!$M849&amp;" "&amp;'Compliance Database'!$N849)))),1,0)</f>
        <v/>
      </c>
      <c r="B849">
        <f>IF($A849=1,SUM($A$2:$A849),"")</f>
        <v/>
      </c>
      <c r="C849">
        <f>IF($A849=1,SUM($A$2:$A849),0)</f>
        <v/>
      </c>
    </row>
    <row r="850">
      <c r="A850">
        <f>IF(AND(OR(Query!$B$4="All",'Compliance Database'!$A850=Query!$B$4),OR(Query!$B$5="All",ISNUMBER(SEARCH(Query!$B$5,'Compliance Database'!$H850))),OR(Query!$B$6="All",ISNUMBER(SEARCH(Query!$B$6,'Compliance Database'!$I850))),OR(Query!$B$7="All",'Compliance Database'!$F850=Query!$B$7),OR(Query!$B$8="All",'Compliance Database'!$J850=Query!$B$8),OR(Query!$B$9="",ISNUMBER(SEARCH(Query!$B$9,'Compliance Database'!$D850&amp;" "&amp;'Compliance Database'!$K850&amp;" "&amp;'Compliance Database'!$L850&amp;" "&amp;'Compliance Database'!$M850&amp;" "&amp;'Compliance Database'!$N850)))),1,0)</f>
        <v/>
      </c>
      <c r="B850">
        <f>IF($A850=1,SUM($A$2:$A850),"")</f>
        <v/>
      </c>
      <c r="C850">
        <f>IF($A850=1,SUM($A$2:$A850),0)</f>
        <v/>
      </c>
    </row>
    <row r="851">
      <c r="A851">
        <f>IF(AND(OR(Query!$B$4="All",'Compliance Database'!$A851=Query!$B$4),OR(Query!$B$5="All",ISNUMBER(SEARCH(Query!$B$5,'Compliance Database'!$H851))),OR(Query!$B$6="All",ISNUMBER(SEARCH(Query!$B$6,'Compliance Database'!$I851))),OR(Query!$B$7="All",'Compliance Database'!$F851=Query!$B$7),OR(Query!$B$8="All",'Compliance Database'!$J851=Query!$B$8),OR(Query!$B$9="",ISNUMBER(SEARCH(Query!$B$9,'Compliance Database'!$D851&amp;" "&amp;'Compliance Database'!$K851&amp;" "&amp;'Compliance Database'!$L851&amp;" "&amp;'Compliance Database'!$M851&amp;" "&amp;'Compliance Database'!$N851)))),1,0)</f>
        <v/>
      </c>
      <c r="B851">
        <f>IF($A851=1,SUM($A$2:$A851),"")</f>
        <v/>
      </c>
      <c r="C851">
        <f>IF($A851=1,SUM($A$2:$A851),0)</f>
        <v/>
      </c>
    </row>
    <row r="852">
      <c r="A852">
        <f>IF(AND(OR(Query!$B$4="All",'Compliance Database'!$A852=Query!$B$4),OR(Query!$B$5="All",ISNUMBER(SEARCH(Query!$B$5,'Compliance Database'!$H852))),OR(Query!$B$6="All",ISNUMBER(SEARCH(Query!$B$6,'Compliance Database'!$I852))),OR(Query!$B$7="All",'Compliance Database'!$F852=Query!$B$7),OR(Query!$B$8="All",'Compliance Database'!$J852=Query!$B$8),OR(Query!$B$9="",ISNUMBER(SEARCH(Query!$B$9,'Compliance Database'!$D852&amp;" "&amp;'Compliance Database'!$K852&amp;" "&amp;'Compliance Database'!$L852&amp;" "&amp;'Compliance Database'!$M852&amp;" "&amp;'Compliance Database'!$N852)))),1,0)</f>
        <v/>
      </c>
      <c r="B852">
        <f>IF($A852=1,SUM($A$2:$A852),"")</f>
        <v/>
      </c>
      <c r="C852">
        <f>IF($A852=1,SUM($A$2:$A852),0)</f>
        <v/>
      </c>
    </row>
    <row r="853">
      <c r="A853">
        <f>IF(AND(OR(Query!$B$4="All",'Compliance Database'!$A853=Query!$B$4),OR(Query!$B$5="All",ISNUMBER(SEARCH(Query!$B$5,'Compliance Database'!$H853))),OR(Query!$B$6="All",ISNUMBER(SEARCH(Query!$B$6,'Compliance Database'!$I853))),OR(Query!$B$7="All",'Compliance Database'!$F853=Query!$B$7),OR(Query!$B$8="All",'Compliance Database'!$J853=Query!$B$8),OR(Query!$B$9="",ISNUMBER(SEARCH(Query!$B$9,'Compliance Database'!$D853&amp;" "&amp;'Compliance Database'!$K853&amp;" "&amp;'Compliance Database'!$L853&amp;" "&amp;'Compliance Database'!$M853&amp;" "&amp;'Compliance Database'!$N853)))),1,0)</f>
        <v/>
      </c>
      <c r="B853">
        <f>IF($A853=1,SUM($A$2:$A853),"")</f>
        <v/>
      </c>
      <c r="C853">
        <f>IF($A853=1,SUM($A$2:$A853),0)</f>
        <v/>
      </c>
    </row>
    <row r="854">
      <c r="A854">
        <f>IF(AND(OR(Query!$B$4="All",'Compliance Database'!$A854=Query!$B$4),OR(Query!$B$5="All",ISNUMBER(SEARCH(Query!$B$5,'Compliance Database'!$H854))),OR(Query!$B$6="All",ISNUMBER(SEARCH(Query!$B$6,'Compliance Database'!$I854))),OR(Query!$B$7="All",'Compliance Database'!$F854=Query!$B$7),OR(Query!$B$8="All",'Compliance Database'!$J854=Query!$B$8),OR(Query!$B$9="",ISNUMBER(SEARCH(Query!$B$9,'Compliance Database'!$D854&amp;" "&amp;'Compliance Database'!$K854&amp;" "&amp;'Compliance Database'!$L854&amp;" "&amp;'Compliance Database'!$M854&amp;" "&amp;'Compliance Database'!$N854)))),1,0)</f>
        <v/>
      </c>
      <c r="B854">
        <f>IF($A854=1,SUM($A$2:$A854),"")</f>
        <v/>
      </c>
      <c r="C854">
        <f>IF($A854=1,SUM($A$2:$A854),0)</f>
        <v/>
      </c>
    </row>
    <row r="855">
      <c r="A855">
        <f>IF(AND(OR(Query!$B$4="All",'Compliance Database'!$A855=Query!$B$4),OR(Query!$B$5="All",ISNUMBER(SEARCH(Query!$B$5,'Compliance Database'!$H855))),OR(Query!$B$6="All",ISNUMBER(SEARCH(Query!$B$6,'Compliance Database'!$I855))),OR(Query!$B$7="All",'Compliance Database'!$F855=Query!$B$7),OR(Query!$B$8="All",'Compliance Database'!$J855=Query!$B$8),OR(Query!$B$9="",ISNUMBER(SEARCH(Query!$B$9,'Compliance Database'!$D855&amp;" "&amp;'Compliance Database'!$K855&amp;" "&amp;'Compliance Database'!$L855&amp;" "&amp;'Compliance Database'!$M855&amp;" "&amp;'Compliance Database'!$N855)))),1,0)</f>
        <v/>
      </c>
      <c r="B855">
        <f>IF($A855=1,SUM($A$2:$A855),"")</f>
        <v/>
      </c>
      <c r="C855">
        <f>IF($A855=1,SUM($A$2:$A855),0)</f>
        <v/>
      </c>
    </row>
    <row r="856">
      <c r="A856">
        <f>IF(AND(OR(Query!$B$4="All",'Compliance Database'!$A856=Query!$B$4),OR(Query!$B$5="All",ISNUMBER(SEARCH(Query!$B$5,'Compliance Database'!$H856))),OR(Query!$B$6="All",ISNUMBER(SEARCH(Query!$B$6,'Compliance Database'!$I856))),OR(Query!$B$7="All",'Compliance Database'!$F856=Query!$B$7),OR(Query!$B$8="All",'Compliance Database'!$J856=Query!$B$8),OR(Query!$B$9="",ISNUMBER(SEARCH(Query!$B$9,'Compliance Database'!$D856&amp;" "&amp;'Compliance Database'!$K856&amp;" "&amp;'Compliance Database'!$L856&amp;" "&amp;'Compliance Database'!$M856&amp;" "&amp;'Compliance Database'!$N856)))),1,0)</f>
        <v/>
      </c>
      <c r="B856">
        <f>IF($A856=1,SUM($A$2:$A856),"")</f>
        <v/>
      </c>
      <c r="C856">
        <f>IF($A856=1,SUM($A$2:$A856),0)</f>
        <v/>
      </c>
    </row>
    <row r="857">
      <c r="A857">
        <f>IF(AND(OR(Query!$B$4="All",'Compliance Database'!$A857=Query!$B$4),OR(Query!$B$5="All",ISNUMBER(SEARCH(Query!$B$5,'Compliance Database'!$H857))),OR(Query!$B$6="All",ISNUMBER(SEARCH(Query!$B$6,'Compliance Database'!$I857))),OR(Query!$B$7="All",'Compliance Database'!$F857=Query!$B$7),OR(Query!$B$8="All",'Compliance Database'!$J857=Query!$B$8),OR(Query!$B$9="",ISNUMBER(SEARCH(Query!$B$9,'Compliance Database'!$D857&amp;" "&amp;'Compliance Database'!$K857&amp;" "&amp;'Compliance Database'!$L857&amp;" "&amp;'Compliance Database'!$M857&amp;" "&amp;'Compliance Database'!$N857)))),1,0)</f>
        <v/>
      </c>
      <c r="B857">
        <f>IF($A857=1,SUM($A$2:$A857),"")</f>
        <v/>
      </c>
      <c r="C857">
        <f>IF($A857=1,SUM($A$2:$A857),0)</f>
        <v/>
      </c>
    </row>
    <row r="858">
      <c r="A858">
        <f>IF(AND(OR(Query!$B$4="All",'Compliance Database'!$A858=Query!$B$4),OR(Query!$B$5="All",ISNUMBER(SEARCH(Query!$B$5,'Compliance Database'!$H858))),OR(Query!$B$6="All",ISNUMBER(SEARCH(Query!$B$6,'Compliance Database'!$I858))),OR(Query!$B$7="All",'Compliance Database'!$F858=Query!$B$7),OR(Query!$B$8="All",'Compliance Database'!$J858=Query!$B$8),OR(Query!$B$9="",ISNUMBER(SEARCH(Query!$B$9,'Compliance Database'!$D858&amp;" "&amp;'Compliance Database'!$K858&amp;" "&amp;'Compliance Database'!$L858&amp;" "&amp;'Compliance Database'!$M858&amp;" "&amp;'Compliance Database'!$N858)))),1,0)</f>
        <v/>
      </c>
      <c r="B858">
        <f>IF($A858=1,SUM($A$2:$A858),"")</f>
        <v/>
      </c>
      <c r="C858">
        <f>IF($A858=1,SUM($A$2:$A858),0)</f>
        <v/>
      </c>
    </row>
    <row r="859">
      <c r="A859">
        <f>IF(AND(OR(Query!$B$4="All",'Compliance Database'!$A859=Query!$B$4),OR(Query!$B$5="All",ISNUMBER(SEARCH(Query!$B$5,'Compliance Database'!$H859))),OR(Query!$B$6="All",ISNUMBER(SEARCH(Query!$B$6,'Compliance Database'!$I859))),OR(Query!$B$7="All",'Compliance Database'!$F859=Query!$B$7),OR(Query!$B$8="All",'Compliance Database'!$J859=Query!$B$8),OR(Query!$B$9="",ISNUMBER(SEARCH(Query!$B$9,'Compliance Database'!$D859&amp;" "&amp;'Compliance Database'!$K859&amp;" "&amp;'Compliance Database'!$L859&amp;" "&amp;'Compliance Database'!$M859&amp;" "&amp;'Compliance Database'!$N859)))),1,0)</f>
        <v/>
      </c>
      <c r="B859">
        <f>IF($A859=1,SUM($A$2:$A859),"")</f>
        <v/>
      </c>
      <c r="C859">
        <f>IF($A859=1,SUM($A$2:$A859),0)</f>
        <v/>
      </c>
    </row>
    <row r="860">
      <c r="A860">
        <f>IF(AND(OR(Query!$B$4="All",'Compliance Database'!$A860=Query!$B$4),OR(Query!$B$5="All",ISNUMBER(SEARCH(Query!$B$5,'Compliance Database'!$H860))),OR(Query!$B$6="All",ISNUMBER(SEARCH(Query!$B$6,'Compliance Database'!$I860))),OR(Query!$B$7="All",'Compliance Database'!$F860=Query!$B$7),OR(Query!$B$8="All",'Compliance Database'!$J860=Query!$B$8),OR(Query!$B$9="",ISNUMBER(SEARCH(Query!$B$9,'Compliance Database'!$D860&amp;" "&amp;'Compliance Database'!$K860&amp;" "&amp;'Compliance Database'!$L860&amp;" "&amp;'Compliance Database'!$M860&amp;" "&amp;'Compliance Database'!$N860)))),1,0)</f>
        <v/>
      </c>
      <c r="B860">
        <f>IF($A860=1,SUM($A$2:$A860),"")</f>
        <v/>
      </c>
      <c r="C860">
        <f>IF($A860=1,SUM($A$2:$A860),0)</f>
        <v/>
      </c>
    </row>
    <row r="861">
      <c r="A861">
        <f>IF(AND(OR(Query!$B$4="All",'Compliance Database'!$A861=Query!$B$4),OR(Query!$B$5="All",ISNUMBER(SEARCH(Query!$B$5,'Compliance Database'!$H861))),OR(Query!$B$6="All",ISNUMBER(SEARCH(Query!$B$6,'Compliance Database'!$I861))),OR(Query!$B$7="All",'Compliance Database'!$F861=Query!$B$7),OR(Query!$B$8="All",'Compliance Database'!$J861=Query!$B$8),OR(Query!$B$9="",ISNUMBER(SEARCH(Query!$B$9,'Compliance Database'!$D861&amp;" "&amp;'Compliance Database'!$K861&amp;" "&amp;'Compliance Database'!$L861&amp;" "&amp;'Compliance Database'!$M861&amp;" "&amp;'Compliance Database'!$N861)))),1,0)</f>
        <v/>
      </c>
      <c r="B861">
        <f>IF($A861=1,SUM($A$2:$A861),"")</f>
        <v/>
      </c>
      <c r="C861">
        <f>IF($A861=1,SUM($A$2:$A861),0)</f>
        <v/>
      </c>
    </row>
    <row r="862">
      <c r="A862">
        <f>IF(AND(OR(Query!$B$4="All",'Compliance Database'!$A862=Query!$B$4),OR(Query!$B$5="All",ISNUMBER(SEARCH(Query!$B$5,'Compliance Database'!$H862))),OR(Query!$B$6="All",ISNUMBER(SEARCH(Query!$B$6,'Compliance Database'!$I862))),OR(Query!$B$7="All",'Compliance Database'!$F862=Query!$B$7),OR(Query!$B$8="All",'Compliance Database'!$J862=Query!$B$8),OR(Query!$B$9="",ISNUMBER(SEARCH(Query!$B$9,'Compliance Database'!$D862&amp;" "&amp;'Compliance Database'!$K862&amp;" "&amp;'Compliance Database'!$L862&amp;" "&amp;'Compliance Database'!$M862&amp;" "&amp;'Compliance Database'!$N862)))),1,0)</f>
        <v/>
      </c>
      <c r="B862">
        <f>IF($A862=1,SUM($A$2:$A862),"")</f>
        <v/>
      </c>
      <c r="C862">
        <f>IF($A862=1,SUM($A$2:$A862),0)</f>
        <v/>
      </c>
    </row>
    <row r="863">
      <c r="A863">
        <f>IF(AND(OR(Query!$B$4="All",'Compliance Database'!$A863=Query!$B$4),OR(Query!$B$5="All",ISNUMBER(SEARCH(Query!$B$5,'Compliance Database'!$H863))),OR(Query!$B$6="All",ISNUMBER(SEARCH(Query!$B$6,'Compliance Database'!$I863))),OR(Query!$B$7="All",'Compliance Database'!$F863=Query!$B$7),OR(Query!$B$8="All",'Compliance Database'!$J863=Query!$B$8),OR(Query!$B$9="",ISNUMBER(SEARCH(Query!$B$9,'Compliance Database'!$D863&amp;" "&amp;'Compliance Database'!$K863&amp;" "&amp;'Compliance Database'!$L863&amp;" "&amp;'Compliance Database'!$M863&amp;" "&amp;'Compliance Database'!$N863)))),1,0)</f>
        <v/>
      </c>
      <c r="B863">
        <f>IF($A863=1,SUM($A$2:$A863),"")</f>
        <v/>
      </c>
      <c r="C863">
        <f>IF($A863=1,SUM($A$2:$A863),0)</f>
        <v/>
      </c>
    </row>
    <row r="864">
      <c r="A864">
        <f>IF(AND(OR(Query!$B$4="All",'Compliance Database'!$A864=Query!$B$4),OR(Query!$B$5="All",ISNUMBER(SEARCH(Query!$B$5,'Compliance Database'!$H864))),OR(Query!$B$6="All",ISNUMBER(SEARCH(Query!$B$6,'Compliance Database'!$I864))),OR(Query!$B$7="All",'Compliance Database'!$F864=Query!$B$7),OR(Query!$B$8="All",'Compliance Database'!$J864=Query!$B$8),OR(Query!$B$9="",ISNUMBER(SEARCH(Query!$B$9,'Compliance Database'!$D864&amp;" "&amp;'Compliance Database'!$K864&amp;" "&amp;'Compliance Database'!$L864&amp;" "&amp;'Compliance Database'!$M864&amp;" "&amp;'Compliance Database'!$N864)))),1,0)</f>
        <v/>
      </c>
      <c r="B864">
        <f>IF($A864=1,SUM($A$2:$A864),"")</f>
        <v/>
      </c>
      <c r="C864">
        <f>IF($A864=1,SUM($A$2:$A864),0)</f>
        <v/>
      </c>
    </row>
    <row r="865">
      <c r="A865">
        <f>IF(AND(OR(Query!$B$4="All",'Compliance Database'!$A865=Query!$B$4),OR(Query!$B$5="All",ISNUMBER(SEARCH(Query!$B$5,'Compliance Database'!$H865))),OR(Query!$B$6="All",ISNUMBER(SEARCH(Query!$B$6,'Compliance Database'!$I865))),OR(Query!$B$7="All",'Compliance Database'!$F865=Query!$B$7),OR(Query!$B$8="All",'Compliance Database'!$J865=Query!$B$8),OR(Query!$B$9="",ISNUMBER(SEARCH(Query!$B$9,'Compliance Database'!$D865&amp;" "&amp;'Compliance Database'!$K865&amp;" "&amp;'Compliance Database'!$L865&amp;" "&amp;'Compliance Database'!$M865&amp;" "&amp;'Compliance Database'!$N865)))),1,0)</f>
        <v/>
      </c>
      <c r="B865">
        <f>IF($A865=1,SUM($A$2:$A865),"")</f>
        <v/>
      </c>
      <c r="C865">
        <f>IF($A865=1,SUM($A$2:$A865),0)</f>
        <v/>
      </c>
    </row>
    <row r="866">
      <c r="A866">
        <f>IF(AND(OR(Query!$B$4="All",'Compliance Database'!$A866=Query!$B$4),OR(Query!$B$5="All",ISNUMBER(SEARCH(Query!$B$5,'Compliance Database'!$H866))),OR(Query!$B$6="All",ISNUMBER(SEARCH(Query!$B$6,'Compliance Database'!$I866))),OR(Query!$B$7="All",'Compliance Database'!$F866=Query!$B$7),OR(Query!$B$8="All",'Compliance Database'!$J866=Query!$B$8),OR(Query!$B$9="",ISNUMBER(SEARCH(Query!$B$9,'Compliance Database'!$D866&amp;" "&amp;'Compliance Database'!$K866&amp;" "&amp;'Compliance Database'!$L866&amp;" "&amp;'Compliance Database'!$M866&amp;" "&amp;'Compliance Database'!$N866)))),1,0)</f>
        <v/>
      </c>
      <c r="B866">
        <f>IF($A866=1,SUM($A$2:$A866),"")</f>
        <v/>
      </c>
      <c r="C866">
        <f>IF($A866=1,SUM($A$2:$A866),0)</f>
        <v/>
      </c>
    </row>
    <row r="867">
      <c r="A867">
        <f>IF(AND(OR(Query!$B$4="All",'Compliance Database'!$A867=Query!$B$4),OR(Query!$B$5="All",ISNUMBER(SEARCH(Query!$B$5,'Compliance Database'!$H867))),OR(Query!$B$6="All",ISNUMBER(SEARCH(Query!$B$6,'Compliance Database'!$I867))),OR(Query!$B$7="All",'Compliance Database'!$F867=Query!$B$7),OR(Query!$B$8="All",'Compliance Database'!$J867=Query!$B$8),OR(Query!$B$9="",ISNUMBER(SEARCH(Query!$B$9,'Compliance Database'!$D867&amp;" "&amp;'Compliance Database'!$K867&amp;" "&amp;'Compliance Database'!$L867&amp;" "&amp;'Compliance Database'!$M867&amp;" "&amp;'Compliance Database'!$N867)))),1,0)</f>
        <v/>
      </c>
      <c r="B867">
        <f>IF($A867=1,SUM($A$2:$A867),"")</f>
        <v/>
      </c>
      <c r="C867">
        <f>IF($A867=1,SUM($A$2:$A867),0)</f>
        <v/>
      </c>
    </row>
    <row r="868">
      <c r="A868">
        <f>IF(AND(OR(Query!$B$4="All",'Compliance Database'!$A868=Query!$B$4),OR(Query!$B$5="All",ISNUMBER(SEARCH(Query!$B$5,'Compliance Database'!$H868))),OR(Query!$B$6="All",ISNUMBER(SEARCH(Query!$B$6,'Compliance Database'!$I868))),OR(Query!$B$7="All",'Compliance Database'!$F868=Query!$B$7),OR(Query!$B$8="All",'Compliance Database'!$J868=Query!$B$8),OR(Query!$B$9="",ISNUMBER(SEARCH(Query!$B$9,'Compliance Database'!$D868&amp;" "&amp;'Compliance Database'!$K868&amp;" "&amp;'Compliance Database'!$L868&amp;" "&amp;'Compliance Database'!$M868&amp;" "&amp;'Compliance Database'!$N868)))),1,0)</f>
        <v/>
      </c>
      <c r="B868">
        <f>IF($A868=1,SUM($A$2:$A868),"")</f>
        <v/>
      </c>
      <c r="C868">
        <f>IF($A868=1,SUM($A$2:$A868),0)</f>
        <v/>
      </c>
    </row>
    <row r="869">
      <c r="A869">
        <f>IF(AND(OR(Query!$B$4="All",'Compliance Database'!$A869=Query!$B$4),OR(Query!$B$5="All",ISNUMBER(SEARCH(Query!$B$5,'Compliance Database'!$H869))),OR(Query!$B$6="All",ISNUMBER(SEARCH(Query!$B$6,'Compliance Database'!$I869))),OR(Query!$B$7="All",'Compliance Database'!$F869=Query!$B$7),OR(Query!$B$8="All",'Compliance Database'!$J869=Query!$B$8),OR(Query!$B$9="",ISNUMBER(SEARCH(Query!$B$9,'Compliance Database'!$D869&amp;" "&amp;'Compliance Database'!$K869&amp;" "&amp;'Compliance Database'!$L869&amp;" "&amp;'Compliance Database'!$M869&amp;" "&amp;'Compliance Database'!$N869)))),1,0)</f>
        <v/>
      </c>
      <c r="B869">
        <f>IF($A869=1,SUM($A$2:$A869),"")</f>
        <v/>
      </c>
      <c r="C869">
        <f>IF($A869=1,SUM($A$2:$A869),0)</f>
        <v/>
      </c>
    </row>
    <row r="870">
      <c r="A870">
        <f>IF(AND(OR(Query!$B$4="All",'Compliance Database'!$A870=Query!$B$4),OR(Query!$B$5="All",ISNUMBER(SEARCH(Query!$B$5,'Compliance Database'!$H870))),OR(Query!$B$6="All",ISNUMBER(SEARCH(Query!$B$6,'Compliance Database'!$I870))),OR(Query!$B$7="All",'Compliance Database'!$F870=Query!$B$7),OR(Query!$B$8="All",'Compliance Database'!$J870=Query!$B$8),OR(Query!$B$9="",ISNUMBER(SEARCH(Query!$B$9,'Compliance Database'!$D870&amp;" "&amp;'Compliance Database'!$K870&amp;" "&amp;'Compliance Database'!$L870&amp;" "&amp;'Compliance Database'!$M870&amp;" "&amp;'Compliance Database'!$N870)))),1,0)</f>
        <v/>
      </c>
      <c r="B870">
        <f>IF($A870=1,SUM($A$2:$A870),"")</f>
        <v/>
      </c>
      <c r="C870">
        <f>IF($A870=1,SUM($A$2:$A870),0)</f>
        <v/>
      </c>
    </row>
    <row r="871">
      <c r="A871">
        <f>IF(AND(OR(Query!$B$4="All",'Compliance Database'!$A871=Query!$B$4),OR(Query!$B$5="All",ISNUMBER(SEARCH(Query!$B$5,'Compliance Database'!$H871))),OR(Query!$B$6="All",ISNUMBER(SEARCH(Query!$B$6,'Compliance Database'!$I871))),OR(Query!$B$7="All",'Compliance Database'!$F871=Query!$B$7),OR(Query!$B$8="All",'Compliance Database'!$J871=Query!$B$8),OR(Query!$B$9="",ISNUMBER(SEARCH(Query!$B$9,'Compliance Database'!$D871&amp;" "&amp;'Compliance Database'!$K871&amp;" "&amp;'Compliance Database'!$L871&amp;" "&amp;'Compliance Database'!$M871&amp;" "&amp;'Compliance Database'!$N871)))),1,0)</f>
        <v/>
      </c>
      <c r="B871">
        <f>IF($A871=1,SUM($A$2:$A871),"")</f>
        <v/>
      </c>
      <c r="C871">
        <f>IF($A871=1,SUM($A$2:$A871),0)</f>
        <v/>
      </c>
    </row>
    <row r="872">
      <c r="A872">
        <f>IF(AND(OR(Query!$B$4="All",'Compliance Database'!$A872=Query!$B$4),OR(Query!$B$5="All",ISNUMBER(SEARCH(Query!$B$5,'Compliance Database'!$H872))),OR(Query!$B$6="All",ISNUMBER(SEARCH(Query!$B$6,'Compliance Database'!$I872))),OR(Query!$B$7="All",'Compliance Database'!$F872=Query!$B$7),OR(Query!$B$8="All",'Compliance Database'!$J872=Query!$B$8),OR(Query!$B$9="",ISNUMBER(SEARCH(Query!$B$9,'Compliance Database'!$D872&amp;" "&amp;'Compliance Database'!$K872&amp;" "&amp;'Compliance Database'!$L872&amp;" "&amp;'Compliance Database'!$M872&amp;" "&amp;'Compliance Database'!$N872)))),1,0)</f>
        <v/>
      </c>
      <c r="B872">
        <f>IF($A872=1,SUM($A$2:$A872),"")</f>
        <v/>
      </c>
      <c r="C872">
        <f>IF($A872=1,SUM($A$2:$A872),0)</f>
        <v/>
      </c>
    </row>
    <row r="873">
      <c r="A873">
        <f>IF(AND(OR(Query!$B$4="All",'Compliance Database'!$A873=Query!$B$4),OR(Query!$B$5="All",ISNUMBER(SEARCH(Query!$B$5,'Compliance Database'!$H873))),OR(Query!$B$6="All",ISNUMBER(SEARCH(Query!$B$6,'Compliance Database'!$I873))),OR(Query!$B$7="All",'Compliance Database'!$F873=Query!$B$7),OR(Query!$B$8="All",'Compliance Database'!$J873=Query!$B$8),OR(Query!$B$9="",ISNUMBER(SEARCH(Query!$B$9,'Compliance Database'!$D873&amp;" "&amp;'Compliance Database'!$K873&amp;" "&amp;'Compliance Database'!$L873&amp;" "&amp;'Compliance Database'!$M873&amp;" "&amp;'Compliance Database'!$N873)))),1,0)</f>
        <v/>
      </c>
      <c r="B873">
        <f>IF($A873=1,SUM($A$2:$A873),"")</f>
        <v/>
      </c>
      <c r="C873">
        <f>IF($A873=1,SUM($A$2:$A873),0)</f>
        <v/>
      </c>
    </row>
    <row r="874">
      <c r="A874">
        <f>IF(AND(OR(Query!$B$4="All",'Compliance Database'!$A874=Query!$B$4),OR(Query!$B$5="All",ISNUMBER(SEARCH(Query!$B$5,'Compliance Database'!$H874))),OR(Query!$B$6="All",ISNUMBER(SEARCH(Query!$B$6,'Compliance Database'!$I874))),OR(Query!$B$7="All",'Compliance Database'!$F874=Query!$B$7),OR(Query!$B$8="All",'Compliance Database'!$J874=Query!$B$8),OR(Query!$B$9="",ISNUMBER(SEARCH(Query!$B$9,'Compliance Database'!$D874&amp;" "&amp;'Compliance Database'!$K874&amp;" "&amp;'Compliance Database'!$L874&amp;" "&amp;'Compliance Database'!$M874&amp;" "&amp;'Compliance Database'!$N874)))),1,0)</f>
        <v/>
      </c>
      <c r="B874">
        <f>IF($A874=1,SUM($A$2:$A874),"")</f>
        <v/>
      </c>
      <c r="C874">
        <f>IF($A874=1,SUM($A$2:$A874),0)</f>
        <v/>
      </c>
    </row>
    <row r="875">
      <c r="A875">
        <f>IF(AND(OR(Query!$B$4="All",'Compliance Database'!$A875=Query!$B$4),OR(Query!$B$5="All",ISNUMBER(SEARCH(Query!$B$5,'Compliance Database'!$H875))),OR(Query!$B$6="All",ISNUMBER(SEARCH(Query!$B$6,'Compliance Database'!$I875))),OR(Query!$B$7="All",'Compliance Database'!$F875=Query!$B$7),OR(Query!$B$8="All",'Compliance Database'!$J875=Query!$B$8),OR(Query!$B$9="",ISNUMBER(SEARCH(Query!$B$9,'Compliance Database'!$D875&amp;" "&amp;'Compliance Database'!$K875&amp;" "&amp;'Compliance Database'!$L875&amp;" "&amp;'Compliance Database'!$M875&amp;" "&amp;'Compliance Database'!$N875)))),1,0)</f>
        <v/>
      </c>
      <c r="B875">
        <f>IF($A875=1,SUM($A$2:$A875),"")</f>
        <v/>
      </c>
      <c r="C875">
        <f>IF($A875=1,SUM($A$2:$A875),0)</f>
        <v/>
      </c>
    </row>
    <row r="876">
      <c r="A876">
        <f>IF(AND(OR(Query!$B$4="All",'Compliance Database'!$A876=Query!$B$4),OR(Query!$B$5="All",ISNUMBER(SEARCH(Query!$B$5,'Compliance Database'!$H876))),OR(Query!$B$6="All",ISNUMBER(SEARCH(Query!$B$6,'Compliance Database'!$I876))),OR(Query!$B$7="All",'Compliance Database'!$F876=Query!$B$7),OR(Query!$B$8="All",'Compliance Database'!$J876=Query!$B$8),OR(Query!$B$9="",ISNUMBER(SEARCH(Query!$B$9,'Compliance Database'!$D876&amp;" "&amp;'Compliance Database'!$K876&amp;" "&amp;'Compliance Database'!$L876&amp;" "&amp;'Compliance Database'!$M876&amp;" "&amp;'Compliance Database'!$N876)))),1,0)</f>
        <v/>
      </c>
      <c r="B876">
        <f>IF($A876=1,SUM($A$2:$A876),"")</f>
        <v/>
      </c>
      <c r="C876">
        <f>IF($A876=1,SUM($A$2:$A876),0)</f>
        <v/>
      </c>
    </row>
    <row r="877">
      <c r="A877">
        <f>IF(AND(OR(Query!$B$4="All",'Compliance Database'!$A877=Query!$B$4),OR(Query!$B$5="All",ISNUMBER(SEARCH(Query!$B$5,'Compliance Database'!$H877))),OR(Query!$B$6="All",ISNUMBER(SEARCH(Query!$B$6,'Compliance Database'!$I877))),OR(Query!$B$7="All",'Compliance Database'!$F877=Query!$B$7),OR(Query!$B$8="All",'Compliance Database'!$J877=Query!$B$8),OR(Query!$B$9="",ISNUMBER(SEARCH(Query!$B$9,'Compliance Database'!$D877&amp;" "&amp;'Compliance Database'!$K877&amp;" "&amp;'Compliance Database'!$L877&amp;" "&amp;'Compliance Database'!$M877&amp;" "&amp;'Compliance Database'!$N877)))),1,0)</f>
        <v/>
      </c>
      <c r="B877">
        <f>IF($A877=1,SUM($A$2:$A877),"")</f>
        <v/>
      </c>
      <c r="C877">
        <f>IF($A877=1,SUM($A$2:$A877),0)</f>
        <v/>
      </c>
    </row>
    <row r="878">
      <c r="A878">
        <f>IF(AND(OR(Query!$B$4="All",'Compliance Database'!$A878=Query!$B$4),OR(Query!$B$5="All",ISNUMBER(SEARCH(Query!$B$5,'Compliance Database'!$H878))),OR(Query!$B$6="All",ISNUMBER(SEARCH(Query!$B$6,'Compliance Database'!$I878))),OR(Query!$B$7="All",'Compliance Database'!$F878=Query!$B$7),OR(Query!$B$8="All",'Compliance Database'!$J878=Query!$B$8),OR(Query!$B$9="",ISNUMBER(SEARCH(Query!$B$9,'Compliance Database'!$D878&amp;" "&amp;'Compliance Database'!$K878&amp;" "&amp;'Compliance Database'!$L878&amp;" "&amp;'Compliance Database'!$M878&amp;" "&amp;'Compliance Database'!$N878)))),1,0)</f>
        <v/>
      </c>
      <c r="B878">
        <f>IF($A878=1,SUM($A$2:$A878),"")</f>
        <v/>
      </c>
      <c r="C878">
        <f>IF($A878=1,SUM($A$2:$A878),0)</f>
        <v/>
      </c>
    </row>
    <row r="879">
      <c r="A879">
        <f>IF(AND(OR(Query!$B$4="All",'Compliance Database'!$A879=Query!$B$4),OR(Query!$B$5="All",ISNUMBER(SEARCH(Query!$B$5,'Compliance Database'!$H879))),OR(Query!$B$6="All",ISNUMBER(SEARCH(Query!$B$6,'Compliance Database'!$I879))),OR(Query!$B$7="All",'Compliance Database'!$F879=Query!$B$7),OR(Query!$B$8="All",'Compliance Database'!$J879=Query!$B$8),OR(Query!$B$9="",ISNUMBER(SEARCH(Query!$B$9,'Compliance Database'!$D879&amp;" "&amp;'Compliance Database'!$K879&amp;" "&amp;'Compliance Database'!$L879&amp;" "&amp;'Compliance Database'!$M879&amp;" "&amp;'Compliance Database'!$N879)))),1,0)</f>
        <v/>
      </c>
      <c r="B879">
        <f>IF($A879=1,SUM($A$2:$A879),"")</f>
        <v/>
      </c>
      <c r="C879">
        <f>IF($A879=1,SUM($A$2:$A879),0)</f>
        <v/>
      </c>
    </row>
    <row r="880">
      <c r="A880">
        <f>IF(AND(OR(Query!$B$4="All",'Compliance Database'!$A880=Query!$B$4),OR(Query!$B$5="All",ISNUMBER(SEARCH(Query!$B$5,'Compliance Database'!$H880))),OR(Query!$B$6="All",ISNUMBER(SEARCH(Query!$B$6,'Compliance Database'!$I880))),OR(Query!$B$7="All",'Compliance Database'!$F880=Query!$B$7),OR(Query!$B$8="All",'Compliance Database'!$J880=Query!$B$8),OR(Query!$B$9="",ISNUMBER(SEARCH(Query!$B$9,'Compliance Database'!$D880&amp;" "&amp;'Compliance Database'!$K880&amp;" "&amp;'Compliance Database'!$L880&amp;" "&amp;'Compliance Database'!$M880&amp;" "&amp;'Compliance Database'!$N880)))),1,0)</f>
        <v/>
      </c>
      <c r="B880">
        <f>IF($A880=1,SUM($A$2:$A880),"")</f>
        <v/>
      </c>
      <c r="C880">
        <f>IF($A880=1,SUM($A$2:$A880),0)</f>
        <v/>
      </c>
    </row>
    <row r="881">
      <c r="A881">
        <f>IF(AND(OR(Query!$B$4="All",'Compliance Database'!$A881=Query!$B$4),OR(Query!$B$5="All",ISNUMBER(SEARCH(Query!$B$5,'Compliance Database'!$H881))),OR(Query!$B$6="All",ISNUMBER(SEARCH(Query!$B$6,'Compliance Database'!$I881))),OR(Query!$B$7="All",'Compliance Database'!$F881=Query!$B$7),OR(Query!$B$8="All",'Compliance Database'!$J881=Query!$B$8),OR(Query!$B$9="",ISNUMBER(SEARCH(Query!$B$9,'Compliance Database'!$D881&amp;" "&amp;'Compliance Database'!$K881&amp;" "&amp;'Compliance Database'!$L881&amp;" "&amp;'Compliance Database'!$M881&amp;" "&amp;'Compliance Database'!$N881)))),1,0)</f>
        <v/>
      </c>
      <c r="B881">
        <f>IF($A881=1,SUM($A$2:$A881),"")</f>
        <v/>
      </c>
      <c r="C881">
        <f>IF($A881=1,SUM($A$2:$A881),0)</f>
        <v/>
      </c>
    </row>
    <row r="882">
      <c r="A882">
        <f>IF(AND(OR(Query!$B$4="All",'Compliance Database'!$A882=Query!$B$4),OR(Query!$B$5="All",ISNUMBER(SEARCH(Query!$B$5,'Compliance Database'!$H882))),OR(Query!$B$6="All",ISNUMBER(SEARCH(Query!$B$6,'Compliance Database'!$I882))),OR(Query!$B$7="All",'Compliance Database'!$F882=Query!$B$7),OR(Query!$B$8="All",'Compliance Database'!$J882=Query!$B$8),OR(Query!$B$9="",ISNUMBER(SEARCH(Query!$B$9,'Compliance Database'!$D882&amp;" "&amp;'Compliance Database'!$K882&amp;" "&amp;'Compliance Database'!$L882&amp;" "&amp;'Compliance Database'!$M882&amp;" "&amp;'Compliance Database'!$N882)))),1,0)</f>
        <v/>
      </c>
      <c r="B882">
        <f>IF($A882=1,SUM($A$2:$A882),"")</f>
        <v/>
      </c>
      <c r="C882">
        <f>IF($A882=1,SUM($A$2:$A882),0)</f>
        <v/>
      </c>
    </row>
    <row r="883">
      <c r="A883">
        <f>IF(AND(OR(Query!$B$4="All",'Compliance Database'!$A883=Query!$B$4),OR(Query!$B$5="All",ISNUMBER(SEARCH(Query!$B$5,'Compliance Database'!$H883))),OR(Query!$B$6="All",ISNUMBER(SEARCH(Query!$B$6,'Compliance Database'!$I883))),OR(Query!$B$7="All",'Compliance Database'!$F883=Query!$B$7),OR(Query!$B$8="All",'Compliance Database'!$J883=Query!$B$8),OR(Query!$B$9="",ISNUMBER(SEARCH(Query!$B$9,'Compliance Database'!$D883&amp;" "&amp;'Compliance Database'!$K883&amp;" "&amp;'Compliance Database'!$L883&amp;" "&amp;'Compliance Database'!$M883&amp;" "&amp;'Compliance Database'!$N883)))),1,0)</f>
        <v/>
      </c>
      <c r="B883">
        <f>IF($A883=1,SUM($A$2:$A883),"")</f>
        <v/>
      </c>
      <c r="C883">
        <f>IF($A883=1,SUM($A$2:$A883),0)</f>
        <v/>
      </c>
    </row>
    <row r="884">
      <c r="A884">
        <f>IF(AND(OR(Query!$B$4="All",'Compliance Database'!$A884=Query!$B$4),OR(Query!$B$5="All",ISNUMBER(SEARCH(Query!$B$5,'Compliance Database'!$H884))),OR(Query!$B$6="All",ISNUMBER(SEARCH(Query!$B$6,'Compliance Database'!$I884))),OR(Query!$B$7="All",'Compliance Database'!$F884=Query!$B$7),OR(Query!$B$8="All",'Compliance Database'!$J884=Query!$B$8),OR(Query!$B$9="",ISNUMBER(SEARCH(Query!$B$9,'Compliance Database'!$D884&amp;" "&amp;'Compliance Database'!$K884&amp;" "&amp;'Compliance Database'!$L884&amp;" "&amp;'Compliance Database'!$M884&amp;" "&amp;'Compliance Database'!$N884)))),1,0)</f>
        <v/>
      </c>
      <c r="B884">
        <f>IF($A884=1,SUM($A$2:$A884),"")</f>
        <v/>
      </c>
      <c r="C884">
        <f>IF($A884=1,SUM($A$2:$A884),0)</f>
        <v/>
      </c>
    </row>
    <row r="885">
      <c r="A885">
        <f>IF(AND(OR(Query!$B$4="All",'Compliance Database'!$A885=Query!$B$4),OR(Query!$B$5="All",ISNUMBER(SEARCH(Query!$B$5,'Compliance Database'!$H885))),OR(Query!$B$6="All",ISNUMBER(SEARCH(Query!$B$6,'Compliance Database'!$I885))),OR(Query!$B$7="All",'Compliance Database'!$F885=Query!$B$7),OR(Query!$B$8="All",'Compliance Database'!$J885=Query!$B$8),OR(Query!$B$9="",ISNUMBER(SEARCH(Query!$B$9,'Compliance Database'!$D885&amp;" "&amp;'Compliance Database'!$K885&amp;" "&amp;'Compliance Database'!$L885&amp;" "&amp;'Compliance Database'!$M885&amp;" "&amp;'Compliance Database'!$N885)))),1,0)</f>
        <v/>
      </c>
      <c r="B885">
        <f>IF($A885=1,SUM($A$2:$A885),"")</f>
        <v/>
      </c>
      <c r="C885">
        <f>IF($A885=1,SUM($A$2:$A885),0)</f>
        <v/>
      </c>
    </row>
    <row r="886">
      <c r="A886">
        <f>IF(AND(OR(Query!$B$4="All",'Compliance Database'!$A886=Query!$B$4),OR(Query!$B$5="All",ISNUMBER(SEARCH(Query!$B$5,'Compliance Database'!$H886))),OR(Query!$B$6="All",ISNUMBER(SEARCH(Query!$B$6,'Compliance Database'!$I886))),OR(Query!$B$7="All",'Compliance Database'!$F886=Query!$B$7),OR(Query!$B$8="All",'Compliance Database'!$J886=Query!$B$8),OR(Query!$B$9="",ISNUMBER(SEARCH(Query!$B$9,'Compliance Database'!$D886&amp;" "&amp;'Compliance Database'!$K886&amp;" "&amp;'Compliance Database'!$L886&amp;" "&amp;'Compliance Database'!$M886&amp;" "&amp;'Compliance Database'!$N886)))),1,0)</f>
        <v/>
      </c>
      <c r="B886">
        <f>IF($A886=1,SUM($A$2:$A886),"")</f>
        <v/>
      </c>
      <c r="C886">
        <f>IF($A886=1,SUM($A$2:$A886),0)</f>
        <v/>
      </c>
    </row>
    <row r="887">
      <c r="A887">
        <f>IF(AND(OR(Query!$B$4="All",'Compliance Database'!$A887=Query!$B$4),OR(Query!$B$5="All",ISNUMBER(SEARCH(Query!$B$5,'Compliance Database'!$H887))),OR(Query!$B$6="All",ISNUMBER(SEARCH(Query!$B$6,'Compliance Database'!$I887))),OR(Query!$B$7="All",'Compliance Database'!$F887=Query!$B$7),OR(Query!$B$8="All",'Compliance Database'!$J887=Query!$B$8),OR(Query!$B$9="",ISNUMBER(SEARCH(Query!$B$9,'Compliance Database'!$D887&amp;" "&amp;'Compliance Database'!$K887&amp;" "&amp;'Compliance Database'!$L887&amp;" "&amp;'Compliance Database'!$M887&amp;" "&amp;'Compliance Database'!$N887)))),1,0)</f>
        <v/>
      </c>
      <c r="B887">
        <f>IF($A887=1,SUM($A$2:$A887),"")</f>
        <v/>
      </c>
      <c r="C887">
        <f>IF($A887=1,SUM($A$2:$A887),0)</f>
        <v/>
      </c>
    </row>
    <row r="888">
      <c r="A888">
        <f>IF(AND(OR(Query!$B$4="All",'Compliance Database'!$A888=Query!$B$4),OR(Query!$B$5="All",ISNUMBER(SEARCH(Query!$B$5,'Compliance Database'!$H888))),OR(Query!$B$6="All",ISNUMBER(SEARCH(Query!$B$6,'Compliance Database'!$I888))),OR(Query!$B$7="All",'Compliance Database'!$F888=Query!$B$7),OR(Query!$B$8="All",'Compliance Database'!$J888=Query!$B$8),OR(Query!$B$9="",ISNUMBER(SEARCH(Query!$B$9,'Compliance Database'!$D888&amp;" "&amp;'Compliance Database'!$K888&amp;" "&amp;'Compliance Database'!$L888&amp;" "&amp;'Compliance Database'!$M888&amp;" "&amp;'Compliance Database'!$N888)))),1,0)</f>
        <v/>
      </c>
      <c r="B888">
        <f>IF($A888=1,SUM($A$2:$A888),"")</f>
        <v/>
      </c>
      <c r="C888">
        <f>IF($A888=1,SUM($A$2:$A888),0)</f>
        <v/>
      </c>
    </row>
    <row r="889">
      <c r="A889">
        <f>IF(AND(OR(Query!$B$4="All",'Compliance Database'!$A889=Query!$B$4),OR(Query!$B$5="All",ISNUMBER(SEARCH(Query!$B$5,'Compliance Database'!$H889))),OR(Query!$B$6="All",ISNUMBER(SEARCH(Query!$B$6,'Compliance Database'!$I889))),OR(Query!$B$7="All",'Compliance Database'!$F889=Query!$B$7),OR(Query!$B$8="All",'Compliance Database'!$J889=Query!$B$8),OR(Query!$B$9="",ISNUMBER(SEARCH(Query!$B$9,'Compliance Database'!$D889&amp;" "&amp;'Compliance Database'!$K889&amp;" "&amp;'Compliance Database'!$L889&amp;" "&amp;'Compliance Database'!$M889&amp;" "&amp;'Compliance Database'!$N889)))),1,0)</f>
        <v/>
      </c>
      <c r="B889">
        <f>IF($A889=1,SUM($A$2:$A889),"")</f>
        <v/>
      </c>
      <c r="C889">
        <f>IF($A889=1,SUM($A$2:$A889),0)</f>
        <v/>
      </c>
    </row>
    <row r="890">
      <c r="A890">
        <f>IF(AND(OR(Query!$B$4="All",'Compliance Database'!$A890=Query!$B$4),OR(Query!$B$5="All",ISNUMBER(SEARCH(Query!$B$5,'Compliance Database'!$H890))),OR(Query!$B$6="All",ISNUMBER(SEARCH(Query!$B$6,'Compliance Database'!$I890))),OR(Query!$B$7="All",'Compliance Database'!$F890=Query!$B$7),OR(Query!$B$8="All",'Compliance Database'!$J890=Query!$B$8),OR(Query!$B$9="",ISNUMBER(SEARCH(Query!$B$9,'Compliance Database'!$D890&amp;" "&amp;'Compliance Database'!$K890&amp;" "&amp;'Compliance Database'!$L890&amp;" "&amp;'Compliance Database'!$M890&amp;" "&amp;'Compliance Database'!$N890)))),1,0)</f>
        <v/>
      </c>
      <c r="B890">
        <f>IF($A890=1,SUM($A$2:$A890),"")</f>
        <v/>
      </c>
      <c r="C890">
        <f>IF($A890=1,SUM($A$2:$A890),0)</f>
        <v/>
      </c>
    </row>
    <row r="891">
      <c r="A891">
        <f>IF(AND(OR(Query!$B$4="All",'Compliance Database'!$A891=Query!$B$4),OR(Query!$B$5="All",ISNUMBER(SEARCH(Query!$B$5,'Compliance Database'!$H891))),OR(Query!$B$6="All",ISNUMBER(SEARCH(Query!$B$6,'Compliance Database'!$I891))),OR(Query!$B$7="All",'Compliance Database'!$F891=Query!$B$7),OR(Query!$B$8="All",'Compliance Database'!$J891=Query!$B$8),OR(Query!$B$9="",ISNUMBER(SEARCH(Query!$B$9,'Compliance Database'!$D891&amp;" "&amp;'Compliance Database'!$K891&amp;" "&amp;'Compliance Database'!$L891&amp;" "&amp;'Compliance Database'!$M891&amp;" "&amp;'Compliance Database'!$N891)))),1,0)</f>
        <v/>
      </c>
      <c r="B891">
        <f>IF($A891=1,SUM($A$2:$A891),"")</f>
        <v/>
      </c>
      <c r="C891">
        <f>IF($A891=1,SUM($A$2:$A891),0)</f>
        <v/>
      </c>
    </row>
    <row r="892">
      <c r="A892">
        <f>IF(AND(OR(Query!$B$4="All",'Compliance Database'!$A892=Query!$B$4),OR(Query!$B$5="All",ISNUMBER(SEARCH(Query!$B$5,'Compliance Database'!$H892))),OR(Query!$B$6="All",ISNUMBER(SEARCH(Query!$B$6,'Compliance Database'!$I892))),OR(Query!$B$7="All",'Compliance Database'!$F892=Query!$B$7),OR(Query!$B$8="All",'Compliance Database'!$J892=Query!$B$8),OR(Query!$B$9="",ISNUMBER(SEARCH(Query!$B$9,'Compliance Database'!$D892&amp;" "&amp;'Compliance Database'!$K892&amp;" "&amp;'Compliance Database'!$L892&amp;" "&amp;'Compliance Database'!$M892&amp;" "&amp;'Compliance Database'!$N892)))),1,0)</f>
        <v/>
      </c>
      <c r="B892">
        <f>IF($A892=1,SUM($A$2:$A892),"")</f>
        <v/>
      </c>
      <c r="C892">
        <f>IF($A892=1,SUM($A$2:$A892),0)</f>
        <v/>
      </c>
    </row>
    <row r="893">
      <c r="A893">
        <f>IF(AND(OR(Query!$B$4="All",'Compliance Database'!$A893=Query!$B$4),OR(Query!$B$5="All",ISNUMBER(SEARCH(Query!$B$5,'Compliance Database'!$H893))),OR(Query!$B$6="All",ISNUMBER(SEARCH(Query!$B$6,'Compliance Database'!$I893))),OR(Query!$B$7="All",'Compliance Database'!$F893=Query!$B$7),OR(Query!$B$8="All",'Compliance Database'!$J893=Query!$B$8),OR(Query!$B$9="",ISNUMBER(SEARCH(Query!$B$9,'Compliance Database'!$D893&amp;" "&amp;'Compliance Database'!$K893&amp;" "&amp;'Compliance Database'!$L893&amp;" "&amp;'Compliance Database'!$M893&amp;" "&amp;'Compliance Database'!$N893)))),1,0)</f>
        <v/>
      </c>
      <c r="B893">
        <f>IF($A893=1,SUM($A$2:$A893),"")</f>
        <v/>
      </c>
      <c r="C893">
        <f>IF($A893=1,SUM($A$2:$A893),0)</f>
        <v/>
      </c>
    </row>
    <row r="894">
      <c r="A894">
        <f>IF(AND(OR(Query!$B$4="All",'Compliance Database'!$A894=Query!$B$4),OR(Query!$B$5="All",ISNUMBER(SEARCH(Query!$B$5,'Compliance Database'!$H894))),OR(Query!$B$6="All",ISNUMBER(SEARCH(Query!$B$6,'Compliance Database'!$I894))),OR(Query!$B$7="All",'Compliance Database'!$F894=Query!$B$7),OR(Query!$B$8="All",'Compliance Database'!$J894=Query!$B$8),OR(Query!$B$9="",ISNUMBER(SEARCH(Query!$B$9,'Compliance Database'!$D894&amp;" "&amp;'Compliance Database'!$K894&amp;" "&amp;'Compliance Database'!$L894&amp;" "&amp;'Compliance Database'!$M894&amp;" "&amp;'Compliance Database'!$N894)))),1,0)</f>
        <v/>
      </c>
      <c r="B894">
        <f>IF($A894=1,SUM($A$2:$A894),"")</f>
        <v/>
      </c>
      <c r="C894">
        <f>IF($A894=1,SUM($A$2:$A894),0)</f>
        <v/>
      </c>
    </row>
    <row r="895">
      <c r="A895">
        <f>IF(AND(OR(Query!$B$4="All",'Compliance Database'!$A895=Query!$B$4),OR(Query!$B$5="All",ISNUMBER(SEARCH(Query!$B$5,'Compliance Database'!$H895))),OR(Query!$B$6="All",ISNUMBER(SEARCH(Query!$B$6,'Compliance Database'!$I895))),OR(Query!$B$7="All",'Compliance Database'!$F895=Query!$B$7),OR(Query!$B$8="All",'Compliance Database'!$J895=Query!$B$8),OR(Query!$B$9="",ISNUMBER(SEARCH(Query!$B$9,'Compliance Database'!$D895&amp;" "&amp;'Compliance Database'!$K895&amp;" "&amp;'Compliance Database'!$L895&amp;" "&amp;'Compliance Database'!$M895&amp;" "&amp;'Compliance Database'!$N895)))),1,0)</f>
        <v/>
      </c>
      <c r="B895">
        <f>IF($A895=1,SUM($A$2:$A895),"")</f>
        <v/>
      </c>
      <c r="C895">
        <f>IF($A895=1,SUM($A$2:$A895),0)</f>
        <v/>
      </c>
    </row>
    <row r="896">
      <c r="A896">
        <f>IF(AND(OR(Query!$B$4="All",'Compliance Database'!$A896=Query!$B$4),OR(Query!$B$5="All",ISNUMBER(SEARCH(Query!$B$5,'Compliance Database'!$H896))),OR(Query!$B$6="All",ISNUMBER(SEARCH(Query!$B$6,'Compliance Database'!$I896))),OR(Query!$B$7="All",'Compliance Database'!$F896=Query!$B$7),OR(Query!$B$8="All",'Compliance Database'!$J896=Query!$B$8),OR(Query!$B$9="",ISNUMBER(SEARCH(Query!$B$9,'Compliance Database'!$D896&amp;" "&amp;'Compliance Database'!$K896&amp;" "&amp;'Compliance Database'!$L896&amp;" "&amp;'Compliance Database'!$M896&amp;" "&amp;'Compliance Database'!$N896)))),1,0)</f>
        <v/>
      </c>
      <c r="B896">
        <f>IF($A896=1,SUM($A$2:$A896),"")</f>
        <v/>
      </c>
      <c r="C896">
        <f>IF($A896=1,SUM($A$2:$A896),0)</f>
        <v/>
      </c>
    </row>
    <row r="897">
      <c r="A897">
        <f>IF(AND(OR(Query!$B$4="All",'Compliance Database'!$A897=Query!$B$4),OR(Query!$B$5="All",ISNUMBER(SEARCH(Query!$B$5,'Compliance Database'!$H897))),OR(Query!$B$6="All",ISNUMBER(SEARCH(Query!$B$6,'Compliance Database'!$I897))),OR(Query!$B$7="All",'Compliance Database'!$F897=Query!$B$7),OR(Query!$B$8="All",'Compliance Database'!$J897=Query!$B$8),OR(Query!$B$9="",ISNUMBER(SEARCH(Query!$B$9,'Compliance Database'!$D897&amp;" "&amp;'Compliance Database'!$K897&amp;" "&amp;'Compliance Database'!$L897&amp;" "&amp;'Compliance Database'!$M897&amp;" "&amp;'Compliance Database'!$N897)))),1,0)</f>
        <v/>
      </c>
      <c r="B897">
        <f>IF($A897=1,SUM($A$2:$A897),"")</f>
        <v/>
      </c>
      <c r="C897">
        <f>IF($A897=1,SUM($A$2:$A897),0)</f>
        <v/>
      </c>
    </row>
    <row r="898">
      <c r="A898">
        <f>IF(AND(OR(Query!$B$4="All",'Compliance Database'!$A898=Query!$B$4),OR(Query!$B$5="All",ISNUMBER(SEARCH(Query!$B$5,'Compliance Database'!$H898))),OR(Query!$B$6="All",ISNUMBER(SEARCH(Query!$B$6,'Compliance Database'!$I898))),OR(Query!$B$7="All",'Compliance Database'!$F898=Query!$B$7),OR(Query!$B$8="All",'Compliance Database'!$J898=Query!$B$8),OR(Query!$B$9="",ISNUMBER(SEARCH(Query!$B$9,'Compliance Database'!$D898&amp;" "&amp;'Compliance Database'!$K898&amp;" "&amp;'Compliance Database'!$L898&amp;" "&amp;'Compliance Database'!$M898&amp;" "&amp;'Compliance Database'!$N898)))),1,0)</f>
        <v/>
      </c>
      <c r="B898">
        <f>IF($A898=1,SUM($A$2:$A898),"")</f>
        <v/>
      </c>
      <c r="C898">
        <f>IF($A898=1,SUM($A$2:$A898),0)</f>
        <v/>
      </c>
    </row>
    <row r="899">
      <c r="A899">
        <f>IF(AND(OR(Query!$B$4="All",'Compliance Database'!$A899=Query!$B$4),OR(Query!$B$5="All",ISNUMBER(SEARCH(Query!$B$5,'Compliance Database'!$H899))),OR(Query!$B$6="All",ISNUMBER(SEARCH(Query!$B$6,'Compliance Database'!$I899))),OR(Query!$B$7="All",'Compliance Database'!$F899=Query!$B$7),OR(Query!$B$8="All",'Compliance Database'!$J899=Query!$B$8),OR(Query!$B$9="",ISNUMBER(SEARCH(Query!$B$9,'Compliance Database'!$D899&amp;" "&amp;'Compliance Database'!$K899&amp;" "&amp;'Compliance Database'!$L899&amp;" "&amp;'Compliance Database'!$M899&amp;" "&amp;'Compliance Database'!$N899)))),1,0)</f>
        <v/>
      </c>
      <c r="B899">
        <f>IF($A899=1,SUM($A$2:$A899),"")</f>
        <v/>
      </c>
      <c r="C899">
        <f>IF($A899=1,SUM($A$2:$A899),0)</f>
        <v/>
      </c>
    </row>
    <row r="900">
      <c r="A900">
        <f>IF(AND(OR(Query!$B$4="All",'Compliance Database'!$A900=Query!$B$4),OR(Query!$B$5="All",ISNUMBER(SEARCH(Query!$B$5,'Compliance Database'!$H900))),OR(Query!$B$6="All",ISNUMBER(SEARCH(Query!$B$6,'Compliance Database'!$I900))),OR(Query!$B$7="All",'Compliance Database'!$F900=Query!$B$7),OR(Query!$B$8="All",'Compliance Database'!$J900=Query!$B$8),OR(Query!$B$9="",ISNUMBER(SEARCH(Query!$B$9,'Compliance Database'!$D900&amp;" "&amp;'Compliance Database'!$K900&amp;" "&amp;'Compliance Database'!$L900&amp;" "&amp;'Compliance Database'!$M900&amp;" "&amp;'Compliance Database'!$N900)))),1,0)</f>
        <v/>
      </c>
      <c r="B900">
        <f>IF($A900=1,SUM($A$2:$A900),"")</f>
        <v/>
      </c>
      <c r="C900">
        <f>IF($A900=1,SUM($A$2:$A900),0)</f>
        <v/>
      </c>
    </row>
    <row r="901">
      <c r="A901">
        <f>IF(AND(OR(Query!$B$4="All",'Compliance Database'!$A901=Query!$B$4),OR(Query!$B$5="All",ISNUMBER(SEARCH(Query!$B$5,'Compliance Database'!$H901))),OR(Query!$B$6="All",ISNUMBER(SEARCH(Query!$B$6,'Compliance Database'!$I901))),OR(Query!$B$7="All",'Compliance Database'!$F901=Query!$B$7),OR(Query!$B$8="All",'Compliance Database'!$J901=Query!$B$8),OR(Query!$B$9="",ISNUMBER(SEARCH(Query!$B$9,'Compliance Database'!$D901&amp;" "&amp;'Compliance Database'!$K901&amp;" "&amp;'Compliance Database'!$L901&amp;" "&amp;'Compliance Database'!$M901&amp;" "&amp;'Compliance Database'!$N901)))),1,0)</f>
        <v/>
      </c>
      <c r="B901">
        <f>IF($A901=1,SUM($A$2:$A901),"")</f>
        <v/>
      </c>
      <c r="C901">
        <f>IF($A901=1,SUM($A$2:$A901),0)</f>
        <v/>
      </c>
    </row>
    <row r="902">
      <c r="A902">
        <f>IF(AND(OR(Query!$B$4="All",'Compliance Database'!$A902=Query!$B$4),OR(Query!$B$5="All",ISNUMBER(SEARCH(Query!$B$5,'Compliance Database'!$H902))),OR(Query!$B$6="All",ISNUMBER(SEARCH(Query!$B$6,'Compliance Database'!$I902))),OR(Query!$B$7="All",'Compliance Database'!$F902=Query!$B$7),OR(Query!$B$8="All",'Compliance Database'!$J902=Query!$B$8),OR(Query!$B$9="",ISNUMBER(SEARCH(Query!$B$9,'Compliance Database'!$D902&amp;" "&amp;'Compliance Database'!$K902&amp;" "&amp;'Compliance Database'!$L902&amp;" "&amp;'Compliance Database'!$M902&amp;" "&amp;'Compliance Database'!$N902)))),1,0)</f>
        <v/>
      </c>
      <c r="B902">
        <f>IF($A902=1,SUM($A$2:$A902),"")</f>
        <v/>
      </c>
      <c r="C902">
        <f>IF($A902=1,SUM($A$2:$A902),0)</f>
        <v/>
      </c>
    </row>
    <row r="903">
      <c r="A903">
        <f>IF(AND(OR(Query!$B$4="All",'Compliance Database'!$A903=Query!$B$4),OR(Query!$B$5="All",ISNUMBER(SEARCH(Query!$B$5,'Compliance Database'!$H903))),OR(Query!$B$6="All",ISNUMBER(SEARCH(Query!$B$6,'Compliance Database'!$I903))),OR(Query!$B$7="All",'Compliance Database'!$F903=Query!$B$7),OR(Query!$B$8="All",'Compliance Database'!$J903=Query!$B$8),OR(Query!$B$9="",ISNUMBER(SEARCH(Query!$B$9,'Compliance Database'!$D903&amp;" "&amp;'Compliance Database'!$K903&amp;" "&amp;'Compliance Database'!$L903&amp;" "&amp;'Compliance Database'!$M903&amp;" "&amp;'Compliance Database'!$N903)))),1,0)</f>
        <v/>
      </c>
      <c r="B903">
        <f>IF($A903=1,SUM($A$2:$A903),"")</f>
        <v/>
      </c>
      <c r="C903">
        <f>IF($A903=1,SUM($A$2:$A903),0)</f>
        <v/>
      </c>
    </row>
    <row r="904">
      <c r="A904">
        <f>IF(AND(OR(Query!$B$4="All",'Compliance Database'!$A904=Query!$B$4),OR(Query!$B$5="All",ISNUMBER(SEARCH(Query!$B$5,'Compliance Database'!$H904))),OR(Query!$B$6="All",ISNUMBER(SEARCH(Query!$B$6,'Compliance Database'!$I904))),OR(Query!$B$7="All",'Compliance Database'!$F904=Query!$B$7),OR(Query!$B$8="All",'Compliance Database'!$J904=Query!$B$8),OR(Query!$B$9="",ISNUMBER(SEARCH(Query!$B$9,'Compliance Database'!$D904&amp;" "&amp;'Compliance Database'!$K904&amp;" "&amp;'Compliance Database'!$L904&amp;" "&amp;'Compliance Database'!$M904&amp;" "&amp;'Compliance Database'!$N904)))),1,0)</f>
        <v/>
      </c>
      <c r="B904">
        <f>IF($A904=1,SUM($A$2:$A904),"")</f>
        <v/>
      </c>
      <c r="C904">
        <f>IF($A904=1,SUM($A$2:$A904),0)</f>
        <v/>
      </c>
    </row>
    <row r="905">
      <c r="A905">
        <f>IF(AND(OR(Query!$B$4="All",'Compliance Database'!$A905=Query!$B$4),OR(Query!$B$5="All",ISNUMBER(SEARCH(Query!$B$5,'Compliance Database'!$H905))),OR(Query!$B$6="All",ISNUMBER(SEARCH(Query!$B$6,'Compliance Database'!$I905))),OR(Query!$B$7="All",'Compliance Database'!$F905=Query!$B$7),OR(Query!$B$8="All",'Compliance Database'!$J905=Query!$B$8),OR(Query!$B$9="",ISNUMBER(SEARCH(Query!$B$9,'Compliance Database'!$D905&amp;" "&amp;'Compliance Database'!$K905&amp;" "&amp;'Compliance Database'!$L905&amp;" "&amp;'Compliance Database'!$M905&amp;" "&amp;'Compliance Database'!$N905)))),1,0)</f>
        <v/>
      </c>
      <c r="B905">
        <f>IF($A905=1,SUM($A$2:$A905),"")</f>
        <v/>
      </c>
      <c r="C905">
        <f>IF($A905=1,SUM($A$2:$A905),0)</f>
        <v/>
      </c>
    </row>
    <row r="906">
      <c r="A906">
        <f>IF(AND(OR(Query!$B$4="All",'Compliance Database'!$A906=Query!$B$4),OR(Query!$B$5="All",ISNUMBER(SEARCH(Query!$B$5,'Compliance Database'!$H906))),OR(Query!$B$6="All",ISNUMBER(SEARCH(Query!$B$6,'Compliance Database'!$I906))),OR(Query!$B$7="All",'Compliance Database'!$F906=Query!$B$7),OR(Query!$B$8="All",'Compliance Database'!$J906=Query!$B$8),OR(Query!$B$9="",ISNUMBER(SEARCH(Query!$B$9,'Compliance Database'!$D906&amp;" "&amp;'Compliance Database'!$K906&amp;" "&amp;'Compliance Database'!$L906&amp;" "&amp;'Compliance Database'!$M906&amp;" "&amp;'Compliance Database'!$N906)))),1,0)</f>
        <v/>
      </c>
      <c r="B906">
        <f>IF($A906=1,SUM($A$2:$A906),"")</f>
        <v/>
      </c>
      <c r="C906">
        <f>IF($A906=1,SUM($A$2:$A906),0)</f>
        <v/>
      </c>
    </row>
    <row r="907">
      <c r="A907">
        <f>IF(AND(OR(Query!$B$4="All",'Compliance Database'!$A907=Query!$B$4),OR(Query!$B$5="All",ISNUMBER(SEARCH(Query!$B$5,'Compliance Database'!$H907))),OR(Query!$B$6="All",ISNUMBER(SEARCH(Query!$B$6,'Compliance Database'!$I907))),OR(Query!$B$7="All",'Compliance Database'!$F907=Query!$B$7),OR(Query!$B$8="All",'Compliance Database'!$J907=Query!$B$8),OR(Query!$B$9="",ISNUMBER(SEARCH(Query!$B$9,'Compliance Database'!$D907&amp;" "&amp;'Compliance Database'!$K907&amp;" "&amp;'Compliance Database'!$L907&amp;" "&amp;'Compliance Database'!$M907&amp;" "&amp;'Compliance Database'!$N907)))),1,0)</f>
        <v/>
      </c>
      <c r="B907">
        <f>IF($A907=1,SUM($A$2:$A907),"")</f>
        <v/>
      </c>
      <c r="C907">
        <f>IF($A907=1,SUM($A$2:$A907),0)</f>
        <v/>
      </c>
    </row>
    <row r="908">
      <c r="A908">
        <f>IF(AND(OR(Query!$B$4="All",'Compliance Database'!$A908=Query!$B$4),OR(Query!$B$5="All",ISNUMBER(SEARCH(Query!$B$5,'Compliance Database'!$H908))),OR(Query!$B$6="All",ISNUMBER(SEARCH(Query!$B$6,'Compliance Database'!$I908))),OR(Query!$B$7="All",'Compliance Database'!$F908=Query!$B$7),OR(Query!$B$8="All",'Compliance Database'!$J908=Query!$B$8),OR(Query!$B$9="",ISNUMBER(SEARCH(Query!$B$9,'Compliance Database'!$D908&amp;" "&amp;'Compliance Database'!$K908&amp;" "&amp;'Compliance Database'!$L908&amp;" "&amp;'Compliance Database'!$M908&amp;" "&amp;'Compliance Database'!$N908)))),1,0)</f>
        <v/>
      </c>
      <c r="B908">
        <f>IF($A908=1,SUM($A$2:$A908),"")</f>
        <v/>
      </c>
      <c r="C908">
        <f>IF($A908=1,SUM($A$2:$A908),0)</f>
        <v/>
      </c>
    </row>
    <row r="909">
      <c r="A909">
        <f>IF(AND(OR(Query!$B$4="All",'Compliance Database'!$A909=Query!$B$4),OR(Query!$B$5="All",ISNUMBER(SEARCH(Query!$B$5,'Compliance Database'!$H909))),OR(Query!$B$6="All",ISNUMBER(SEARCH(Query!$B$6,'Compliance Database'!$I909))),OR(Query!$B$7="All",'Compliance Database'!$F909=Query!$B$7),OR(Query!$B$8="All",'Compliance Database'!$J909=Query!$B$8),OR(Query!$B$9="",ISNUMBER(SEARCH(Query!$B$9,'Compliance Database'!$D909&amp;" "&amp;'Compliance Database'!$K909&amp;" "&amp;'Compliance Database'!$L909&amp;" "&amp;'Compliance Database'!$M909&amp;" "&amp;'Compliance Database'!$N909)))),1,0)</f>
        <v/>
      </c>
      <c r="B909">
        <f>IF($A909=1,SUM($A$2:$A909),"")</f>
        <v/>
      </c>
      <c r="C909">
        <f>IF($A909=1,SUM($A$2:$A909),0)</f>
        <v/>
      </c>
    </row>
    <row r="910">
      <c r="A910">
        <f>IF(AND(OR(Query!$B$4="All",'Compliance Database'!$A910=Query!$B$4),OR(Query!$B$5="All",ISNUMBER(SEARCH(Query!$B$5,'Compliance Database'!$H910))),OR(Query!$B$6="All",ISNUMBER(SEARCH(Query!$B$6,'Compliance Database'!$I910))),OR(Query!$B$7="All",'Compliance Database'!$F910=Query!$B$7),OR(Query!$B$8="All",'Compliance Database'!$J910=Query!$B$8),OR(Query!$B$9="",ISNUMBER(SEARCH(Query!$B$9,'Compliance Database'!$D910&amp;" "&amp;'Compliance Database'!$K910&amp;" "&amp;'Compliance Database'!$L910&amp;" "&amp;'Compliance Database'!$M910&amp;" "&amp;'Compliance Database'!$N910)))),1,0)</f>
        <v/>
      </c>
      <c r="B910">
        <f>IF($A910=1,SUM($A$2:$A910),"")</f>
        <v/>
      </c>
      <c r="C910">
        <f>IF($A910=1,SUM($A$2:$A910),0)</f>
        <v/>
      </c>
    </row>
    <row r="911">
      <c r="A911">
        <f>IF(AND(OR(Query!$B$4="All",'Compliance Database'!$A911=Query!$B$4),OR(Query!$B$5="All",ISNUMBER(SEARCH(Query!$B$5,'Compliance Database'!$H911))),OR(Query!$B$6="All",ISNUMBER(SEARCH(Query!$B$6,'Compliance Database'!$I911))),OR(Query!$B$7="All",'Compliance Database'!$F911=Query!$B$7),OR(Query!$B$8="All",'Compliance Database'!$J911=Query!$B$8),OR(Query!$B$9="",ISNUMBER(SEARCH(Query!$B$9,'Compliance Database'!$D911&amp;" "&amp;'Compliance Database'!$K911&amp;" "&amp;'Compliance Database'!$L911&amp;" "&amp;'Compliance Database'!$M911&amp;" "&amp;'Compliance Database'!$N911)))),1,0)</f>
        <v/>
      </c>
      <c r="B911">
        <f>IF($A911=1,SUM($A$2:$A911),"")</f>
        <v/>
      </c>
      <c r="C911">
        <f>IF($A911=1,SUM($A$2:$A911),0)</f>
        <v/>
      </c>
    </row>
    <row r="912">
      <c r="A912">
        <f>IF(AND(OR(Query!$B$4="All",'Compliance Database'!$A912=Query!$B$4),OR(Query!$B$5="All",ISNUMBER(SEARCH(Query!$B$5,'Compliance Database'!$H912))),OR(Query!$B$6="All",ISNUMBER(SEARCH(Query!$B$6,'Compliance Database'!$I912))),OR(Query!$B$7="All",'Compliance Database'!$F912=Query!$B$7),OR(Query!$B$8="All",'Compliance Database'!$J912=Query!$B$8),OR(Query!$B$9="",ISNUMBER(SEARCH(Query!$B$9,'Compliance Database'!$D912&amp;" "&amp;'Compliance Database'!$K912&amp;" "&amp;'Compliance Database'!$L912&amp;" "&amp;'Compliance Database'!$M912&amp;" "&amp;'Compliance Database'!$N912)))),1,0)</f>
        <v/>
      </c>
      <c r="B912">
        <f>IF($A912=1,SUM($A$2:$A912),"")</f>
        <v/>
      </c>
      <c r="C912">
        <f>IF($A912=1,SUM($A$2:$A912),0)</f>
        <v/>
      </c>
    </row>
    <row r="913">
      <c r="A913">
        <f>IF(AND(OR(Query!$B$4="All",'Compliance Database'!$A913=Query!$B$4),OR(Query!$B$5="All",ISNUMBER(SEARCH(Query!$B$5,'Compliance Database'!$H913))),OR(Query!$B$6="All",ISNUMBER(SEARCH(Query!$B$6,'Compliance Database'!$I913))),OR(Query!$B$7="All",'Compliance Database'!$F913=Query!$B$7),OR(Query!$B$8="All",'Compliance Database'!$J913=Query!$B$8),OR(Query!$B$9="",ISNUMBER(SEARCH(Query!$B$9,'Compliance Database'!$D913&amp;" "&amp;'Compliance Database'!$K913&amp;" "&amp;'Compliance Database'!$L913&amp;" "&amp;'Compliance Database'!$M913&amp;" "&amp;'Compliance Database'!$N913)))),1,0)</f>
        <v/>
      </c>
      <c r="B913">
        <f>IF($A913=1,SUM($A$2:$A913),"")</f>
        <v/>
      </c>
      <c r="C913">
        <f>IF($A913=1,SUM($A$2:$A913),0)</f>
        <v/>
      </c>
    </row>
    <row r="914">
      <c r="A914">
        <f>IF(AND(OR(Query!$B$4="All",'Compliance Database'!$A914=Query!$B$4),OR(Query!$B$5="All",ISNUMBER(SEARCH(Query!$B$5,'Compliance Database'!$H914))),OR(Query!$B$6="All",ISNUMBER(SEARCH(Query!$B$6,'Compliance Database'!$I914))),OR(Query!$B$7="All",'Compliance Database'!$F914=Query!$B$7),OR(Query!$B$8="All",'Compliance Database'!$J914=Query!$B$8),OR(Query!$B$9="",ISNUMBER(SEARCH(Query!$B$9,'Compliance Database'!$D914&amp;" "&amp;'Compliance Database'!$K914&amp;" "&amp;'Compliance Database'!$L914&amp;" "&amp;'Compliance Database'!$M914&amp;" "&amp;'Compliance Database'!$N914)))),1,0)</f>
        <v/>
      </c>
      <c r="B914">
        <f>IF($A914=1,SUM($A$2:$A914),"")</f>
        <v/>
      </c>
      <c r="C914">
        <f>IF($A914=1,SUM($A$2:$A914),0)</f>
        <v/>
      </c>
    </row>
    <row r="915">
      <c r="A915">
        <f>IF(AND(OR(Query!$B$4="All",'Compliance Database'!$A915=Query!$B$4),OR(Query!$B$5="All",ISNUMBER(SEARCH(Query!$B$5,'Compliance Database'!$H915))),OR(Query!$B$6="All",ISNUMBER(SEARCH(Query!$B$6,'Compliance Database'!$I915))),OR(Query!$B$7="All",'Compliance Database'!$F915=Query!$B$7),OR(Query!$B$8="All",'Compliance Database'!$J915=Query!$B$8),OR(Query!$B$9="",ISNUMBER(SEARCH(Query!$B$9,'Compliance Database'!$D915&amp;" "&amp;'Compliance Database'!$K915&amp;" "&amp;'Compliance Database'!$L915&amp;" "&amp;'Compliance Database'!$M915&amp;" "&amp;'Compliance Database'!$N915)))),1,0)</f>
        <v/>
      </c>
      <c r="B915">
        <f>IF($A915=1,SUM($A$2:$A915),"")</f>
        <v/>
      </c>
      <c r="C915">
        <f>IF($A915=1,SUM($A$2:$A915),0)</f>
        <v/>
      </c>
    </row>
    <row r="916">
      <c r="A916">
        <f>IF(AND(OR(Query!$B$4="All",'Compliance Database'!$A916=Query!$B$4),OR(Query!$B$5="All",ISNUMBER(SEARCH(Query!$B$5,'Compliance Database'!$H916))),OR(Query!$B$6="All",ISNUMBER(SEARCH(Query!$B$6,'Compliance Database'!$I916))),OR(Query!$B$7="All",'Compliance Database'!$F916=Query!$B$7),OR(Query!$B$8="All",'Compliance Database'!$J916=Query!$B$8),OR(Query!$B$9="",ISNUMBER(SEARCH(Query!$B$9,'Compliance Database'!$D916&amp;" "&amp;'Compliance Database'!$K916&amp;" "&amp;'Compliance Database'!$L916&amp;" "&amp;'Compliance Database'!$M916&amp;" "&amp;'Compliance Database'!$N916)))),1,0)</f>
        <v/>
      </c>
      <c r="B916">
        <f>IF($A916=1,SUM($A$2:$A916),"")</f>
        <v/>
      </c>
      <c r="C916">
        <f>IF($A916=1,SUM($A$2:$A916),0)</f>
        <v/>
      </c>
    </row>
    <row r="917">
      <c r="A917">
        <f>IF(AND(OR(Query!$B$4="All",'Compliance Database'!$A917=Query!$B$4),OR(Query!$B$5="All",ISNUMBER(SEARCH(Query!$B$5,'Compliance Database'!$H917))),OR(Query!$B$6="All",ISNUMBER(SEARCH(Query!$B$6,'Compliance Database'!$I917))),OR(Query!$B$7="All",'Compliance Database'!$F917=Query!$B$7),OR(Query!$B$8="All",'Compliance Database'!$J917=Query!$B$8),OR(Query!$B$9="",ISNUMBER(SEARCH(Query!$B$9,'Compliance Database'!$D917&amp;" "&amp;'Compliance Database'!$K917&amp;" "&amp;'Compliance Database'!$L917&amp;" "&amp;'Compliance Database'!$M917&amp;" "&amp;'Compliance Database'!$N917)))),1,0)</f>
        <v/>
      </c>
      <c r="B917">
        <f>IF($A917=1,SUM($A$2:$A917),"")</f>
        <v/>
      </c>
      <c r="C917">
        <f>IF($A917=1,SUM($A$2:$A917),0)</f>
        <v/>
      </c>
    </row>
    <row r="918">
      <c r="A918">
        <f>IF(AND(OR(Query!$B$4="All",'Compliance Database'!$A918=Query!$B$4),OR(Query!$B$5="All",ISNUMBER(SEARCH(Query!$B$5,'Compliance Database'!$H918))),OR(Query!$B$6="All",ISNUMBER(SEARCH(Query!$B$6,'Compliance Database'!$I918))),OR(Query!$B$7="All",'Compliance Database'!$F918=Query!$B$7),OR(Query!$B$8="All",'Compliance Database'!$J918=Query!$B$8),OR(Query!$B$9="",ISNUMBER(SEARCH(Query!$B$9,'Compliance Database'!$D918&amp;" "&amp;'Compliance Database'!$K918&amp;" "&amp;'Compliance Database'!$L918&amp;" "&amp;'Compliance Database'!$M918&amp;" "&amp;'Compliance Database'!$N918)))),1,0)</f>
        <v/>
      </c>
      <c r="B918">
        <f>IF($A918=1,SUM($A$2:$A918),"")</f>
        <v/>
      </c>
      <c r="C918">
        <f>IF($A918=1,SUM($A$2:$A918),0)</f>
        <v/>
      </c>
    </row>
    <row r="919">
      <c r="A919">
        <f>IF(AND(OR(Query!$B$4="All",'Compliance Database'!$A919=Query!$B$4),OR(Query!$B$5="All",ISNUMBER(SEARCH(Query!$B$5,'Compliance Database'!$H919))),OR(Query!$B$6="All",ISNUMBER(SEARCH(Query!$B$6,'Compliance Database'!$I919))),OR(Query!$B$7="All",'Compliance Database'!$F919=Query!$B$7),OR(Query!$B$8="All",'Compliance Database'!$J919=Query!$B$8),OR(Query!$B$9="",ISNUMBER(SEARCH(Query!$B$9,'Compliance Database'!$D919&amp;" "&amp;'Compliance Database'!$K919&amp;" "&amp;'Compliance Database'!$L919&amp;" "&amp;'Compliance Database'!$M919&amp;" "&amp;'Compliance Database'!$N919)))),1,0)</f>
        <v/>
      </c>
      <c r="B919">
        <f>IF($A919=1,SUM($A$2:$A919),"")</f>
        <v/>
      </c>
      <c r="C919">
        <f>IF($A919=1,SUM($A$2:$A919),0)</f>
        <v/>
      </c>
    </row>
    <row r="920">
      <c r="A920">
        <f>IF(AND(OR(Query!$B$4="All",'Compliance Database'!$A920=Query!$B$4),OR(Query!$B$5="All",ISNUMBER(SEARCH(Query!$B$5,'Compliance Database'!$H920))),OR(Query!$B$6="All",ISNUMBER(SEARCH(Query!$B$6,'Compliance Database'!$I920))),OR(Query!$B$7="All",'Compliance Database'!$F920=Query!$B$7),OR(Query!$B$8="All",'Compliance Database'!$J920=Query!$B$8),OR(Query!$B$9="",ISNUMBER(SEARCH(Query!$B$9,'Compliance Database'!$D920&amp;" "&amp;'Compliance Database'!$K920&amp;" "&amp;'Compliance Database'!$L920&amp;" "&amp;'Compliance Database'!$M920&amp;" "&amp;'Compliance Database'!$N920)))),1,0)</f>
        <v/>
      </c>
      <c r="B920">
        <f>IF($A920=1,SUM($A$2:$A920),"")</f>
        <v/>
      </c>
      <c r="C920">
        <f>IF($A920=1,SUM($A$2:$A920),0)</f>
        <v/>
      </c>
    </row>
    <row r="921">
      <c r="A921">
        <f>IF(AND(OR(Query!$B$4="All",'Compliance Database'!$A921=Query!$B$4),OR(Query!$B$5="All",ISNUMBER(SEARCH(Query!$B$5,'Compliance Database'!$H921))),OR(Query!$B$6="All",ISNUMBER(SEARCH(Query!$B$6,'Compliance Database'!$I921))),OR(Query!$B$7="All",'Compliance Database'!$F921=Query!$B$7),OR(Query!$B$8="All",'Compliance Database'!$J921=Query!$B$8),OR(Query!$B$9="",ISNUMBER(SEARCH(Query!$B$9,'Compliance Database'!$D921&amp;" "&amp;'Compliance Database'!$K921&amp;" "&amp;'Compliance Database'!$L921&amp;" "&amp;'Compliance Database'!$M921&amp;" "&amp;'Compliance Database'!$N921)))),1,0)</f>
        <v/>
      </c>
      <c r="B921">
        <f>IF($A921=1,SUM($A$2:$A921),"")</f>
        <v/>
      </c>
      <c r="C921">
        <f>IF($A921=1,SUM($A$2:$A921),0)</f>
        <v/>
      </c>
    </row>
    <row r="922">
      <c r="A922">
        <f>IF(AND(OR(Query!$B$4="All",'Compliance Database'!$A922=Query!$B$4),OR(Query!$B$5="All",ISNUMBER(SEARCH(Query!$B$5,'Compliance Database'!$H922))),OR(Query!$B$6="All",ISNUMBER(SEARCH(Query!$B$6,'Compliance Database'!$I922))),OR(Query!$B$7="All",'Compliance Database'!$F922=Query!$B$7),OR(Query!$B$8="All",'Compliance Database'!$J922=Query!$B$8),OR(Query!$B$9="",ISNUMBER(SEARCH(Query!$B$9,'Compliance Database'!$D922&amp;" "&amp;'Compliance Database'!$K922&amp;" "&amp;'Compliance Database'!$L922&amp;" "&amp;'Compliance Database'!$M922&amp;" "&amp;'Compliance Database'!$N922)))),1,0)</f>
        <v/>
      </c>
      <c r="B922">
        <f>IF($A922=1,SUM($A$2:$A922),"")</f>
        <v/>
      </c>
      <c r="C922">
        <f>IF($A922=1,SUM($A$2:$A922),0)</f>
        <v/>
      </c>
    </row>
    <row r="923">
      <c r="A923">
        <f>IF(AND(OR(Query!$B$4="All",'Compliance Database'!$A923=Query!$B$4),OR(Query!$B$5="All",ISNUMBER(SEARCH(Query!$B$5,'Compliance Database'!$H923))),OR(Query!$B$6="All",ISNUMBER(SEARCH(Query!$B$6,'Compliance Database'!$I923))),OR(Query!$B$7="All",'Compliance Database'!$F923=Query!$B$7),OR(Query!$B$8="All",'Compliance Database'!$J923=Query!$B$8),OR(Query!$B$9="",ISNUMBER(SEARCH(Query!$B$9,'Compliance Database'!$D923&amp;" "&amp;'Compliance Database'!$K923&amp;" "&amp;'Compliance Database'!$L923&amp;" "&amp;'Compliance Database'!$M923&amp;" "&amp;'Compliance Database'!$N923)))),1,0)</f>
        <v/>
      </c>
      <c r="B923">
        <f>IF($A923=1,SUM($A$2:$A923),"")</f>
        <v/>
      </c>
      <c r="C923">
        <f>IF($A923=1,SUM($A$2:$A923),0)</f>
        <v/>
      </c>
    </row>
    <row r="924">
      <c r="A924">
        <f>IF(AND(OR(Query!$B$4="All",'Compliance Database'!$A924=Query!$B$4),OR(Query!$B$5="All",ISNUMBER(SEARCH(Query!$B$5,'Compliance Database'!$H924))),OR(Query!$B$6="All",ISNUMBER(SEARCH(Query!$B$6,'Compliance Database'!$I924))),OR(Query!$B$7="All",'Compliance Database'!$F924=Query!$B$7),OR(Query!$B$8="All",'Compliance Database'!$J924=Query!$B$8),OR(Query!$B$9="",ISNUMBER(SEARCH(Query!$B$9,'Compliance Database'!$D924&amp;" "&amp;'Compliance Database'!$K924&amp;" "&amp;'Compliance Database'!$L924&amp;" "&amp;'Compliance Database'!$M924&amp;" "&amp;'Compliance Database'!$N924)))),1,0)</f>
        <v/>
      </c>
      <c r="B924">
        <f>IF($A924=1,SUM($A$2:$A924),"")</f>
        <v/>
      </c>
      <c r="C924">
        <f>IF($A924=1,SUM($A$2:$A924),0)</f>
        <v/>
      </c>
    </row>
    <row r="925">
      <c r="A925">
        <f>IF(AND(OR(Query!$B$4="All",'Compliance Database'!$A925=Query!$B$4),OR(Query!$B$5="All",ISNUMBER(SEARCH(Query!$B$5,'Compliance Database'!$H925))),OR(Query!$B$6="All",ISNUMBER(SEARCH(Query!$B$6,'Compliance Database'!$I925))),OR(Query!$B$7="All",'Compliance Database'!$F925=Query!$B$7),OR(Query!$B$8="All",'Compliance Database'!$J925=Query!$B$8),OR(Query!$B$9="",ISNUMBER(SEARCH(Query!$B$9,'Compliance Database'!$D925&amp;" "&amp;'Compliance Database'!$K925&amp;" "&amp;'Compliance Database'!$L925&amp;" "&amp;'Compliance Database'!$M925&amp;" "&amp;'Compliance Database'!$N925)))),1,0)</f>
        <v/>
      </c>
      <c r="B925">
        <f>IF($A925=1,SUM($A$2:$A925),"")</f>
        <v/>
      </c>
      <c r="C925">
        <f>IF($A925=1,SUM($A$2:$A925),0)</f>
        <v/>
      </c>
    </row>
    <row r="926">
      <c r="A926">
        <f>IF(AND(OR(Query!$B$4="All",'Compliance Database'!$A926=Query!$B$4),OR(Query!$B$5="All",ISNUMBER(SEARCH(Query!$B$5,'Compliance Database'!$H926))),OR(Query!$B$6="All",ISNUMBER(SEARCH(Query!$B$6,'Compliance Database'!$I926))),OR(Query!$B$7="All",'Compliance Database'!$F926=Query!$B$7),OR(Query!$B$8="All",'Compliance Database'!$J926=Query!$B$8),OR(Query!$B$9="",ISNUMBER(SEARCH(Query!$B$9,'Compliance Database'!$D926&amp;" "&amp;'Compliance Database'!$K926&amp;" "&amp;'Compliance Database'!$L926&amp;" "&amp;'Compliance Database'!$M926&amp;" "&amp;'Compliance Database'!$N926)))),1,0)</f>
        <v/>
      </c>
      <c r="B926">
        <f>IF($A926=1,SUM($A$2:$A926),"")</f>
        <v/>
      </c>
      <c r="C926">
        <f>IF($A926=1,SUM($A$2:$A926),0)</f>
        <v/>
      </c>
    </row>
    <row r="927">
      <c r="A927">
        <f>IF(AND(OR(Query!$B$4="All",'Compliance Database'!$A927=Query!$B$4),OR(Query!$B$5="All",ISNUMBER(SEARCH(Query!$B$5,'Compliance Database'!$H927))),OR(Query!$B$6="All",ISNUMBER(SEARCH(Query!$B$6,'Compliance Database'!$I927))),OR(Query!$B$7="All",'Compliance Database'!$F927=Query!$B$7),OR(Query!$B$8="All",'Compliance Database'!$J927=Query!$B$8),OR(Query!$B$9="",ISNUMBER(SEARCH(Query!$B$9,'Compliance Database'!$D927&amp;" "&amp;'Compliance Database'!$K927&amp;" "&amp;'Compliance Database'!$L927&amp;" "&amp;'Compliance Database'!$M927&amp;" "&amp;'Compliance Database'!$N927)))),1,0)</f>
        <v/>
      </c>
      <c r="B927">
        <f>IF($A927=1,SUM($A$2:$A927),"")</f>
        <v/>
      </c>
      <c r="C927">
        <f>IF($A927=1,SUM($A$2:$A927),0)</f>
        <v/>
      </c>
    </row>
    <row r="928">
      <c r="A928">
        <f>IF(AND(OR(Query!$B$4="All",'Compliance Database'!$A928=Query!$B$4),OR(Query!$B$5="All",ISNUMBER(SEARCH(Query!$B$5,'Compliance Database'!$H928))),OR(Query!$B$6="All",ISNUMBER(SEARCH(Query!$B$6,'Compliance Database'!$I928))),OR(Query!$B$7="All",'Compliance Database'!$F928=Query!$B$7),OR(Query!$B$8="All",'Compliance Database'!$J928=Query!$B$8),OR(Query!$B$9="",ISNUMBER(SEARCH(Query!$B$9,'Compliance Database'!$D928&amp;" "&amp;'Compliance Database'!$K928&amp;" "&amp;'Compliance Database'!$L928&amp;" "&amp;'Compliance Database'!$M928&amp;" "&amp;'Compliance Database'!$N928)))),1,0)</f>
        <v/>
      </c>
      <c r="B928">
        <f>IF($A928=1,SUM($A$2:$A928),"")</f>
        <v/>
      </c>
      <c r="C928">
        <f>IF($A928=1,SUM($A$2:$A928),0)</f>
        <v/>
      </c>
    </row>
    <row r="929">
      <c r="A929">
        <f>IF(AND(OR(Query!$B$4="All",'Compliance Database'!$A929=Query!$B$4),OR(Query!$B$5="All",ISNUMBER(SEARCH(Query!$B$5,'Compliance Database'!$H929))),OR(Query!$B$6="All",ISNUMBER(SEARCH(Query!$B$6,'Compliance Database'!$I929))),OR(Query!$B$7="All",'Compliance Database'!$F929=Query!$B$7),OR(Query!$B$8="All",'Compliance Database'!$J929=Query!$B$8),OR(Query!$B$9="",ISNUMBER(SEARCH(Query!$B$9,'Compliance Database'!$D929&amp;" "&amp;'Compliance Database'!$K929&amp;" "&amp;'Compliance Database'!$L929&amp;" "&amp;'Compliance Database'!$M929&amp;" "&amp;'Compliance Database'!$N929)))),1,0)</f>
        <v/>
      </c>
      <c r="B929">
        <f>IF($A929=1,SUM($A$2:$A929),"")</f>
        <v/>
      </c>
      <c r="C929">
        <f>IF($A929=1,SUM($A$2:$A929),0)</f>
        <v/>
      </c>
    </row>
    <row r="930">
      <c r="A930">
        <f>IF(AND(OR(Query!$B$4="All",'Compliance Database'!$A930=Query!$B$4),OR(Query!$B$5="All",ISNUMBER(SEARCH(Query!$B$5,'Compliance Database'!$H930))),OR(Query!$B$6="All",ISNUMBER(SEARCH(Query!$B$6,'Compliance Database'!$I930))),OR(Query!$B$7="All",'Compliance Database'!$F930=Query!$B$7),OR(Query!$B$8="All",'Compliance Database'!$J930=Query!$B$8),OR(Query!$B$9="",ISNUMBER(SEARCH(Query!$B$9,'Compliance Database'!$D930&amp;" "&amp;'Compliance Database'!$K930&amp;" "&amp;'Compliance Database'!$L930&amp;" "&amp;'Compliance Database'!$M930&amp;" "&amp;'Compliance Database'!$N930)))),1,0)</f>
        <v/>
      </c>
      <c r="B930">
        <f>IF($A930=1,SUM($A$2:$A930),"")</f>
        <v/>
      </c>
      <c r="C930">
        <f>IF($A930=1,SUM($A$2:$A930),0)</f>
        <v/>
      </c>
    </row>
    <row r="931">
      <c r="A931">
        <f>IF(AND(OR(Query!$B$4="All",'Compliance Database'!$A931=Query!$B$4),OR(Query!$B$5="All",ISNUMBER(SEARCH(Query!$B$5,'Compliance Database'!$H931))),OR(Query!$B$6="All",ISNUMBER(SEARCH(Query!$B$6,'Compliance Database'!$I931))),OR(Query!$B$7="All",'Compliance Database'!$F931=Query!$B$7),OR(Query!$B$8="All",'Compliance Database'!$J931=Query!$B$8),OR(Query!$B$9="",ISNUMBER(SEARCH(Query!$B$9,'Compliance Database'!$D931&amp;" "&amp;'Compliance Database'!$K931&amp;" "&amp;'Compliance Database'!$L931&amp;" "&amp;'Compliance Database'!$M931&amp;" "&amp;'Compliance Database'!$N931)))),1,0)</f>
        <v/>
      </c>
      <c r="B931">
        <f>IF($A931=1,SUM($A$2:$A931),"")</f>
        <v/>
      </c>
      <c r="C931">
        <f>IF($A931=1,SUM($A$2:$A931),0)</f>
        <v/>
      </c>
    </row>
    <row r="932">
      <c r="A932">
        <f>IF(AND(OR(Query!$B$4="All",'Compliance Database'!$A932=Query!$B$4),OR(Query!$B$5="All",ISNUMBER(SEARCH(Query!$B$5,'Compliance Database'!$H932))),OR(Query!$B$6="All",ISNUMBER(SEARCH(Query!$B$6,'Compliance Database'!$I932))),OR(Query!$B$7="All",'Compliance Database'!$F932=Query!$B$7),OR(Query!$B$8="All",'Compliance Database'!$J932=Query!$B$8),OR(Query!$B$9="",ISNUMBER(SEARCH(Query!$B$9,'Compliance Database'!$D932&amp;" "&amp;'Compliance Database'!$K932&amp;" "&amp;'Compliance Database'!$L932&amp;" "&amp;'Compliance Database'!$M932&amp;" "&amp;'Compliance Database'!$N932)))),1,0)</f>
        <v/>
      </c>
      <c r="B932">
        <f>IF($A932=1,SUM($A$2:$A932),"")</f>
        <v/>
      </c>
      <c r="C932">
        <f>IF($A932=1,SUM($A$2:$A932),0)</f>
        <v/>
      </c>
    </row>
    <row r="933">
      <c r="A933">
        <f>IF(AND(OR(Query!$B$4="All",'Compliance Database'!$A933=Query!$B$4),OR(Query!$B$5="All",ISNUMBER(SEARCH(Query!$B$5,'Compliance Database'!$H933))),OR(Query!$B$6="All",ISNUMBER(SEARCH(Query!$B$6,'Compliance Database'!$I933))),OR(Query!$B$7="All",'Compliance Database'!$F933=Query!$B$7),OR(Query!$B$8="All",'Compliance Database'!$J933=Query!$B$8),OR(Query!$B$9="",ISNUMBER(SEARCH(Query!$B$9,'Compliance Database'!$D933&amp;" "&amp;'Compliance Database'!$K933&amp;" "&amp;'Compliance Database'!$L933&amp;" "&amp;'Compliance Database'!$M933&amp;" "&amp;'Compliance Database'!$N933)))),1,0)</f>
        <v/>
      </c>
      <c r="B933">
        <f>IF($A933=1,SUM($A$2:$A933),"")</f>
        <v/>
      </c>
      <c r="C933">
        <f>IF($A933=1,SUM($A$2:$A933),0)</f>
        <v/>
      </c>
    </row>
    <row r="934">
      <c r="A934">
        <f>IF(AND(OR(Query!$B$4="All",'Compliance Database'!$A934=Query!$B$4),OR(Query!$B$5="All",ISNUMBER(SEARCH(Query!$B$5,'Compliance Database'!$H934))),OR(Query!$B$6="All",ISNUMBER(SEARCH(Query!$B$6,'Compliance Database'!$I934))),OR(Query!$B$7="All",'Compliance Database'!$F934=Query!$B$7),OR(Query!$B$8="All",'Compliance Database'!$J934=Query!$B$8),OR(Query!$B$9="",ISNUMBER(SEARCH(Query!$B$9,'Compliance Database'!$D934&amp;" "&amp;'Compliance Database'!$K934&amp;" "&amp;'Compliance Database'!$L934&amp;" "&amp;'Compliance Database'!$M934&amp;" "&amp;'Compliance Database'!$N934)))),1,0)</f>
        <v/>
      </c>
      <c r="B934">
        <f>IF($A934=1,SUM($A$2:$A934),"")</f>
        <v/>
      </c>
      <c r="C934">
        <f>IF($A934=1,SUM($A$2:$A934),0)</f>
        <v/>
      </c>
    </row>
    <row r="935">
      <c r="A935">
        <f>IF(AND(OR(Query!$B$4="All",'Compliance Database'!$A935=Query!$B$4),OR(Query!$B$5="All",ISNUMBER(SEARCH(Query!$B$5,'Compliance Database'!$H935))),OR(Query!$B$6="All",ISNUMBER(SEARCH(Query!$B$6,'Compliance Database'!$I935))),OR(Query!$B$7="All",'Compliance Database'!$F935=Query!$B$7),OR(Query!$B$8="All",'Compliance Database'!$J935=Query!$B$8),OR(Query!$B$9="",ISNUMBER(SEARCH(Query!$B$9,'Compliance Database'!$D935&amp;" "&amp;'Compliance Database'!$K935&amp;" "&amp;'Compliance Database'!$L935&amp;" "&amp;'Compliance Database'!$M935&amp;" "&amp;'Compliance Database'!$N935)))),1,0)</f>
        <v/>
      </c>
      <c r="B935">
        <f>IF($A935=1,SUM($A$2:$A935),"")</f>
        <v/>
      </c>
      <c r="C935">
        <f>IF($A935=1,SUM($A$2:$A935),0)</f>
        <v/>
      </c>
    </row>
    <row r="936">
      <c r="A936">
        <f>IF(AND(OR(Query!$B$4="All",'Compliance Database'!$A936=Query!$B$4),OR(Query!$B$5="All",ISNUMBER(SEARCH(Query!$B$5,'Compliance Database'!$H936))),OR(Query!$B$6="All",ISNUMBER(SEARCH(Query!$B$6,'Compliance Database'!$I936))),OR(Query!$B$7="All",'Compliance Database'!$F936=Query!$B$7),OR(Query!$B$8="All",'Compliance Database'!$J936=Query!$B$8),OR(Query!$B$9="",ISNUMBER(SEARCH(Query!$B$9,'Compliance Database'!$D936&amp;" "&amp;'Compliance Database'!$K936&amp;" "&amp;'Compliance Database'!$L936&amp;" "&amp;'Compliance Database'!$M936&amp;" "&amp;'Compliance Database'!$N936)))),1,0)</f>
        <v/>
      </c>
      <c r="B936">
        <f>IF($A936=1,SUM($A$2:$A936),"")</f>
        <v/>
      </c>
      <c r="C936">
        <f>IF($A936=1,SUM($A$2:$A936),0)</f>
        <v/>
      </c>
    </row>
    <row r="937">
      <c r="A937">
        <f>IF(AND(OR(Query!$B$4="All",'Compliance Database'!$A937=Query!$B$4),OR(Query!$B$5="All",ISNUMBER(SEARCH(Query!$B$5,'Compliance Database'!$H937))),OR(Query!$B$6="All",ISNUMBER(SEARCH(Query!$B$6,'Compliance Database'!$I937))),OR(Query!$B$7="All",'Compliance Database'!$F937=Query!$B$7),OR(Query!$B$8="All",'Compliance Database'!$J937=Query!$B$8),OR(Query!$B$9="",ISNUMBER(SEARCH(Query!$B$9,'Compliance Database'!$D937&amp;" "&amp;'Compliance Database'!$K937&amp;" "&amp;'Compliance Database'!$L937&amp;" "&amp;'Compliance Database'!$M937&amp;" "&amp;'Compliance Database'!$N937)))),1,0)</f>
        <v/>
      </c>
      <c r="B937">
        <f>IF($A937=1,SUM($A$2:$A937),"")</f>
        <v/>
      </c>
      <c r="C937">
        <f>IF($A937=1,SUM($A$2:$A937),0)</f>
        <v/>
      </c>
    </row>
    <row r="938">
      <c r="A938">
        <f>IF(AND(OR(Query!$B$4="All",'Compliance Database'!$A938=Query!$B$4),OR(Query!$B$5="All",ISNUMBER(SEARCH(Query!$B$5,'Compliance Database'!$H938))),OR(Query!$B$6="All",ISNUMBER(SEARCH(Query!$B$6,'Compliance Database'!$I938))),OR(Query!$B$7="All",'Compliance Database'!$F938=Query!$B$7),OR(Query!$B$8="All",'Compliance Database'!$J938=Query!$B$8),OR(Query!$B$9="",ISNUMBER(SEARCH(Query!$B$9,'Compliance Database'!$D938&amp;" "&amp;'Compliance Database'!$K938&amp;" "&amp;'Compliance Database'!$L938&amp;" "&amp;'Compliance Database'!$M938&amp;" "&amp;'Compliance Database'!$N938)))),1,0)</f>
        <v/>
      </c>
      <c r="B938">
        <f>IF($A938=1,SUM($A$2:$A938),"")</f>
        <v/>
      </c>
      <c r="C938">
        <f>IF($A938=1,SUM($A$2:$A938),0)</f>
        <v/>
      </c>
    </row>
    <row r="939">
      <c r="A939">
        <f>IF(AND(OR(Query!$B$4="All",'Compliance Database'!$A939=Query!$B$4),OR(Query!$B$5="All",ISNUMBER(SEARCH(Query!$B$5,'Compliance Database'!$H939))),OR(Query!$B$6="All",ISNUMBER(SEARCH(Query!$B$6,'Compliance Database'!$I939))),OR(Query!$B$7="All",'Compliance Database'!$F939=Query!$B$7),OR(Query!$B$8="All",'Compliance Database'!$J939=Query!$B$8),OR(Query!$B$9="",ISNUMBER(SEARCH(Query!$B$9,'Compliance Database'!$D939&amp;" "&amp;'Compliance Database'!$K939&amp;" "&amp;'Compliance Database'!$L939&amp;" "&amp;'Compliance Database'!$M939&amp;" "&amp;'Compliance Database'!$N939)))),1,0)</f>
        <v/>
      </c>
      <c r="B939">
        <f>IF($A939=1,SUM($A$2:$A939),"")</f>
        <v/>
      </c>
      <c r="C939">
        <f>IF($A939=1,SUM($A$2:$A939),0)</f>
        <v/>
      </c>
    </row>
    <row r="940">
      <c r="A940">
        <f>IF(AND(OR(Query!$B$4="All",'Compliance Database'!$A940=Query!$B$4),OR(Query!$B$5="All",ISNUMBER(SEARCH(Query!$B$5,'Compliance Database'!$H940))),OR(Query!$B$6="All",ISNUMBER(SEARCH(Query!$B$6,'Compliance Database'!$I940))),OR(Query!$B$7="All",'Compliance Database'!$F940=Query!$B$7),OR(Query!$B$8="All",'Compliance Database'!$J940=Query!$B$8),OR(Query!$B$9="",ISNUMBER(SEARCH(Query!$B$9,'Compliance Database'!$D940&amp;" "&amp;'Compliance Database'!$K940&amp;" "&amp;'Compliance Database'!$L940&amp;" "&amp;'Compliance Database'!$M940&amp;" "&amp;'Compliance Database'!$N940)))),1,0)</f>
        <v/>
      </c>
      <c r="B940">
        <f>IF($A940=1,SUM($A$2:$A940),"")</f>
        <v/>
      </c>
      <c r="C940">
        <f>IF($A940=1,SUM($A$2:$A940),0)</f>
        <v/>
      </c>
    </row>
    <row r="941">
      <c r="A941">
        <f>IF(AND(OR(Query!$B$4="All",'Compliance Database'!$A941=Query!$B$4),OR(Query!$B$5="All",ISNUMBER(SEARCH(Query!$B$5,'Compliance Database'!$H941))),OR(Query!$B$6="All",ISNUMBER(SEARCH(Query!$B$6,'Compliance Database'!$I941))),OR(Query!$B$7="All",'Compliance Database'!$F941=Query!$B$7),OR(Query!$B$8="All",'Compliance Database'!$J941=Query!$B$8),OR(Query!$B$9="",ISNUMBER(SEARCH(Query!$B$9,'Compliance Database'!$D941&amp;" "&amp;'Compliance Database'!$K941&amp;" "&amp;'Compliance Database'!$L941&amp;" "&amp;'Compliance Database'!$M941&amp;" "&amp;'Compliance Database'!$N941)))),1,0)</f>
        <v/>
      </c>
      <c r="B941">
        <f>IF($A941=1,SUM($A$2:$A941),"")</f>
        <v/>
      </c>
      <c r="C941">
        <f>IF($A941=1,SUM($A$2:$A941),0)</f>
        <v/>
      </c>
    </row>
    <row r="942">
      <c r="A942">
        <f>IF(AND(OR(Query!$B$4="All",'Compliance Database'!$A942=Query!$B$4),OR(Query!$B$5="All",ISNUMBER(SEARCH(Query!$B$5,'Compliance Database'!$H942))),OR(Query!$B$6="All",ISNUMBER(SEARCH(Query!$B$6,'Compliance Database'!$I942))),OR(Query!$B$7="All",'Compliance Database'!$F942=Query!$B$7),OR(Query!$B$8="All",'Compliance Database'!$J942=Query!$B$8),OR(Query!$B$9="",ISNUMBER(SEARCH(Query!$B$9,'Compliance Database'!$D942&amp;" "&amp;'Compliance Database'!$K942&amp;" "&amp;'Compliance Database'!$L942&amp;" "&amp;'Compliance Database'!$M942&amp;" "&amp;'Compliance Database'!$N942)))),1,0)</f>
        <v/>
      </c>
      <c r="B942">
        <f>IF($A942=1,SUM($A$2:$A942),"")</f>
        <v/>
      </c>
      <c r="C942">
        <f>IF($A942=1,SUM($A$2:$A942),0)</f>
        <v/>
      </c>
    </row>
    <row r="943">
      <c r="A943">
        <f>IF(AND(OR(Query!$B$4="All",'Compliance Database'!$A943=Query!$B$4),OR(Query!$B$5="All",ISNUMBER(SEARCH(Query!$B$5,'Compliance Database'!$H943))),OR(Query!$B$6="All",ISNUMBER(SEARCH(Query!$B$6,'Compliance Database'!$I943))),OR(Query!$B$7="All",'Compliance Database'!$F943=Query!$B$7),OR(Query!$B$8="All",'Compliance Database'!$J943=Query!$B$8),OR(Query!$B$9="",ISNUMBER(SEARCH(Query!$B$9,'Compliance Database'!$D943&amp;" "&amp;'Compliance Database'!$K943&amp;" "&amp;'Compliance Database'!$L943&amp;" "&amp;'Compliance Database'!$M943&amp;" "&amp;'Compliance Database'!$N943)))),1,0)</f>
        <v/>
      </c>
      <c r="B943">
        <f>IF($A943=1,SUM($A$2:$A943),"")</f>
        <v/>
      </c>
      <c r="C943">
        <f>IF($A943=1,SUM($A$2:$A943),0)</f>
        <v/>
      </c>
    </row>
    <row r="944">
      <c r="A944">
        <f>IF(AND(OR(Query!$B$4="All",'Compliance Database'!$A944=Query!$B$4),OR(Query!$B$5="All",ISNUMBER(SEARCH(Query!$B$5,'Compliance Database'!$H944))),OR(Query!$B$6="All",ISNUMBER(SEARCH(Query!$B$6,'Compliance Database'!$I944))),OR(Query!$B$7="All",'Compliance Database'!$F944=Query!$B$7),OR(Query!$B$8="All",'Compliance Database'!$J944=Query!$B$8),OR(Query!$B$9="",ISNUMBER(SEARCH(Query!$B$9,'Compliance Database'!$D944&amp;" "&amp;'Compliance Database'!$K944&amp;" "&amp;'Compliance Database'!$L944&amp;" "&amp;'Compliance Database'!$M944&amp;" "&amp;'Compliance Database'!$N944)))),1,0)</f>
        <v/>
      </c>
      <c r="B944">
        <f>IF($A944=1,SUM($A$2:$A944),"")</f>
        <v/>
      </c>
      <c r="C944">
        <f>IF($A944=1,SUM($A$2:$A944),0)</f>
        <v/>
      </c>
    </row>
    <row r="945">
      <c r="A945">
        <f>IF(AND(OR(Query!$B$4="All",'Compliance Database'!$A945=Query!$B$4),OR(Query!$B$5="All",ISNUMBER(SEARCH(Query!$B$5,'Compliance Database'!$H945))),OR(Query!$B$6="All",ISNUMBER(SEARCH(Query!$B$6,'Compliance Database'!$I945))),OR(Query!$B$7="All",'Compliance Database'!$F945=Query!$B$7),OR(Query!$B$8="All",'Compliance Database'!$J945=Query!$B$8),OR(Query!$B$9="",ISNUMBER(SEARCH(Query!$B$9,'Compliance Database'!$D945&amp;" "&amp;'Compliance Database'!$K945&amp;" "&amp;'Compliance Database'!$L945&amp;" "&amp;'Compliance Database'!$M945&amp;" "&amp;'Compliance Database'!$N945)))),1,0)</f>
        <v/>
      </c>
      <c r="B945">
        <f>IF($A945=1,SUM($A$2:$A945),"")</f>
        <v/>
      </c>
      <c r="C945">
        <f>IF($A945=1,SUM($A$2:$A945),0)</f>
        <v/>
      </c>
    </row>
    <row r="946">
      <c r="A946">
        <f>IF(AND(OR(Query!$B$4="All",'Compliance Database'!$A946=Query!$B$4),OR(Query!$B$5="All",ISNUMBER(SEARCH(Query!$B$5,'Compliance Database'!$H946))),OR(Query!$B$6="All",ISNUMBER(SEARCH(Query!$B$6,'Compliance Database'!$I946))),OR(Query!$B$7="All",'Compliance Database'!$F946=Query!$B$7),OR(Query!$B$8="All",'Compliance Database'!$J946=Query!$B$8),OR(Query!$B$9="",ISNUMBER(SEARCH(Query!$B$9,'Compliance Database'!$D946&amp;" "&amp;'Compliance Database'!$K946&amp;" "&amp;'Compliance Database'!$L946&amp;" "&amp;'Compliance Database'!$M946&amp;" "&amp;'Compliance Database'!$N946)))),1,0)</f>
        <v/>
      </c>
      <c r="B946">
        <f>IF($A946=1,SUM($A$2:$A946),"")</f>
        <v/>
      </c>
      <c r="C946">
        <f>IF($A946=1,SUM($A$2:$A946),0)</f>
        <v/>
      </c>
    </row>
    <row r="947">
      <c r="A947">
        <f>IF(AND(OR(Query!$B$4="All",'Compliance Database'!$A947=Query!$B$4),OR(Query!$B$5="All",ISNUMBER(SEARCH(Query!$B$5,'Compliance Database'!$H947))),OR(Query!$B$6="All",ISNUMBER(SEARCH(Query!$B$6,'Compliance Database'!$I947))),OR(Query!$B$7="All",'Compliance Database'!$F947=Query!$B$7),OR(Query!$B$8="All",'Compliance Database'!$J947=Query!$B$8),OR(Query!$B$9="",ISNUMBER(SEARCH(Query!$B$9,'Compliance Database'!$D947&amp;" "&amp;'Compliance Database'!$K947&amp;" "&amp;'Compliance Database'!$L947&amp;" "&amp;'Compliance Database'!$M947&amp;" "&amp;'Compliance Database'!$N947)))),1,0)</f>
        <v/>
      </c>
      <c r="B947">
        <f>IF($A947=1,SUM($A$2:$A947),"")</f>
        <v/>
      </c>
      <c r="C947">
        <f>IF($A947=1,SUM($A$2:$A947),0)</f>
        <v/>
      </c>
    </row>
    <row r="948">
      <c r="A948">
        <f>IF(AND(OR(Query!$B$4="All",'Compliance Database'!$A948=Query!$B$4),OR(Query!$B$5="All",ISNUMBER(SEARCH(Query!$B$5,'Compliance Database'!$H948))),OR(Query!$B$6="All",ISNUMBER(SEARCH(Query!$B$6,'Compliance Database'!$I948))),OR(Query!$B$7="All",'Compliance Database'!$F948=Query!$B$7),OR(Query!$B$8="All",'Compliance Database'!$J948=Query!$B$8),OR(Query!$B$9="",ISNUMBER(SEARCH(Query!$B$9,'Compliance Database'!$D948&amp;" "&amp;'Compliance Database'!$K948&amp;" "&amp;'Compliance Database'!$L948&amp;" "&amp;'Compliance Database'!$M948&amp;" "&amp;'Compliance Database'!$N948)))),1,0)</f>
        <v/>
      </c>
      <c r="B948">
        <f>IF($A948=1,SUM($A$2:$A948),"")</f>
        <v/>
      </c>
      <c r="C948">
        <f>IF($A948=1,SUM($A$2:$A948),0)</f>
        <v/>
      </c>
    </row>
    <row r="949">
      <c r="A949">
        <f>IF(AND(OR(Query!$B$4="All",'Compliance Database'!$A949=Query!$B$4),OR(Query!$B$5="All",ISNUMBER(SEARCH(Query!$B$5,'Compliance Database'!$H949))),OR(Query!$B$6="All",ISNUMBER(SEARCH(Query!$B$6,'Compliance Database'!$I949))),OR(Query!$B$7="All",'Compliance Database'!$F949=Query!$B$7),OR(Query!$B$8="All",'Compliance Database'!$J949=Query!$B$8),OR(Query!$B$9="",ISNUMBER(SEARCH(Query!$B$9,'Compliance Database'!$D949&amp;" "&amp;'Compliance Database'!$K949&amp;" "&amp;'Compliance Database'!$L949&amp;" "&amp;'Compliance Database'!$M949&amp;" "&amp;'Compliance Database'!$N949)))),1,0)</f>
        <v/>
      </c>
      <c r="B949">
        <f>IF($A949=1,SUM($A$2:$A949),"")</f>
        <v/>
      </c>
      <c r="C949">
        <f>IF($A949=1,SUM($A$2:$A949),0)</f>
        <v/>
      </c>
    </row>
    <row r="950">
      <c r="A950">
        <f>IF(AND(OR(Query!$B$4="All",'Compliance Database'!$A950=Query!$B$4),OR(Query!$B$5="All",ISNUMBER(SEARCH(Query!$B$5,'Compliance Database'!$H950))),OR(Query!$B$6="All",ISNUMBER(SEARCH(Query!$B$6,'Compliance Database'!$I950))),OR(Query!$B$7="All",'Compliance Database'!$F950=Query!$B$7),OR(Query!$B$8="All",'Compliance Database'!$J950=Query!$B$8),OR(Query!$B$9="",ISNUMBER(SEARCH(Query!$B$9,'Compliance Database'!$D950&amp;" "&amp;'Compliance Database'!$K950&amp;" "&amp;'Compliance Database'!$L950&amp;" "&amp;'Compliance Database'!$M950&amp;" "&amp;'Compliance Database'!$N950)))),1,0)</f>
        <v/>
      </c>
      <c r="B950">
        <f>IF($A950=1,SUM($A$2:$A950),"")</f>
        <v/>
      </c>
      <c r="C950">
        <f>IF($A950=1,SUM($A$2:$A950),0)</f>
        <v/>
      </c>
    </row>
    <row r="951">
      <c r="A951">
        <f>IF(AND(OR(Query!$B$4="All",'Compliance Database'!$A951=Query!$B$4),OR(Query!$B$5="All",ISNUMBER(SEARCH(Query!$B$5,'Compliance Database'!$H951))),OR(Query!$B$6="All",ISNUMBER(SEARCH(Query!$B$6,'Compliance Database'!$I951))),OR(Query!$B$7="All",'Compliance Database'!$F951=Query!$B$7),OR(Query!$B$8="All",'Compliance Database'!$J951=Query!$B$8),OR(Query!$B$9="",ISNUMBER(SEARCH(Query!$B$9,'Compliance Database'!$D951&amp;" "&amp;'Compliance Database'!$K951&amp;" "&amp;'Compliance Database'!$L951&amp;" "&amp;'Compliance Database'!$M951&amp;" "&amp;'Compliance Database'!$N951)))),1,0)</f>
        <v/>
      </c>
      <c r="B951">
        <f>IF($A951=1,SUM($A$2:$A951),"")</f>
        <v/>
      </c>
      <c r="C951">
        <f>IF($A951=1,SUM($A$2:$A951),0)</f>
        <v/>
      </c>
    </row>
    <row r="952">
      <c r="A952">
        <f>IF(AND(OR(Query!$B$4="All",'Compliance Database'!$A952=Query!$B$4),OR(Query!$B$5="All",ISNUMBER(SEARCH(Query!$B$5,'Compliance Database'!$H952))),OR(Query!$B$6="All",ISNUMBER(SEARCH(Query!$B$6,'Compliance Database'!$I952))),OR(Query!$B$7="All",'Compliance Database'!$F952=Query!$B$7),OR(Query!$B$8="All",'Compliance Database'!$J952=Query!$B$8),OR(Query!$B$9="",ISNUMBER(SEARCH(Query!$B$9,'Compliance Database'!$D952&amp;" "&amp;'Compliance Database'!$K952&amp;" "&amp;'Compliance Database'!$L952&amp;" "&amp;'Compliance Database'!$M952&amp;" "&amp;'Compliance Database'!$N952)))),1,0)</f>
        <v/>
      </c>
      <c r="B952">
        <f>IF($A952=1,SUM($A$2:$A952),"")</f>
        <v/>
      </c>
      <c r="C952">
        <f>IF($A952=1,SUM($A$2:$A952),0)</f>
        <v/>
      </c>
    </row>
    <row r="953">
      <c r="A953">
        <f>IF(AND(OR(Query!$B$4="All",'Compliance Database'!$A953=Query!$B$4),OR(Query!$B$5="All",ISNUMBER(SEARCH(Query!$B$5,'Compliance Database'!$H953))),OR(Query!$B$6="All",ISNUMBER(SEARCH(Query!$B$6,'Compliance Database'!$I953))),OR(Query!$B$7="All",'Compliance Database'!$F953=Query!$B$7),OR(Query!$B$8="All",'Compliance Database'!$J953=Query!$B$8),OR(Query!$B$9="",ISNUMBER(SEARCH(Query!$B$9,'Compliance Database'!$D953&amp;" "&amp;'Compliance Database'!$K953&amp;" "&amp;'Compliance Database'!$L953&amp;" "&amp;'Compliance Database'!$M953&amp;" "&amp;'Compliance Database'!$N953)))),1,0)</f>
        <v/>
      </c>
      <c r="B953">
        <f>IF($A953=1,SUM($A$2:$A953),"")</f>
        <v/>
      </c>
      <c r="C953">
        <f>IF($A953=1,SUM($A$2:$A953),0)</f>
        <v/>
      </c>
    </row>
    <row r="954">
      <c r="A954">
        <f>IF(AND(OR(Query!$B$4="All",'Compliance Database'!$A954=Query!$B$4),OR(Query!$B$5="All",ISNUMBER(SEARCH(Query!$B$5,'Compliance Database'!$H954))),OR(Query!$B$6="All",ISNUMBER(SEARCH(Query!$B$6,'Compliance Database'!$I954))),OR(Query!$B$7="All",'Compliance Database'!$F954=Query!$B$7),OR(Query!$B$8="All",'Compliance Database'!$J954=Query!$B$8),OR(Query!$B$9="",ISNUMBER(SEARCH(Query!$B$9,'Compliance Database'!$D954&amp;" "&amp;'Compliance Database'!$K954&amp;" "&amp;'Compliance Database'!$L954&amp;" "&amp;'Compliance Database'!$M954&amp;" "&amp;'Compliance Database'!$N954)))),1,0)</f>
        <v/>
      </c>
      <c r="B954">
        <f>IF($A954=1,SUM($A$2:$A954),"")</f>
        <v/>
      </c>
      <c r="C954">
        <f>IF($A954=1,SUM($A$2:$A954),0)</f>
        <v/>
      </c>
    </row>
    <row r="955">
      <c r="A955">
        <f>IF(AND(OR(Query!$B$4="All",'Compliance Database'!$A955=Query!$B$4),OR(Query!$B$5="All",ISNUMBER(SEARCH(Query!$B$5,'Compliance Database'!$H955))),OR(Query!$B$6="All",ISNUMBER(SEARCH(Query!$B$6,'Compliance Database'!$I955))),OR(Query!$B$7="All",'Compliance Database'!$F955=Query!$B$7),OR(Query!$B$8="All",'Compliance Database'!$J955=Query!$B$8),OR(Query!$B$9="",ISNUMBER(SEARCH(Query!$B$9,'Compliance Database'!$D955&amp;" "&amp;'Compliance Database'!$K955&amp;" "&amp;'Compliance Database'!$L955&amp;" "&amp;'Compliance Database'!$M955&amp;" "&amp;'Compliance Database'!$N955)))),1,0)</f>
        <v/>
      </c>
      <c r="B955">
        <f>IF($A955=1,SUM($A$2:$A955),"")</f>
        <v/>
      </c>
      <c r="C955">
        <f>IF($A955=1,SUM($A$2:$A955),0)</f>
        <v/>
      </c>
    </row>
    <row r="956">
      <c r="A956">
        <f>IF(AND(OR(Query!$B$4="All",'Compliance Database'!$A956=Query!$B$4),OR(Query!$B$5="All",ISNUMBER(SEARCH(Query!$B$5,'Compliance Database'!$H956))),OR(Query!$B$6="All",ISNUMBER(SEARCH(Query!$B$6,'Compliance Database'!$I956))),OR(Query!$B$7="All",'Compliance Database'!$F956=Query!$B$7),OR(Query!$B$8="All",'Compliance Database'!$J956=Query!$B$8),OR(Query!$B$9="",ISNUMBER(SEARCH(Query!$B$9,'Compliance Database'!$D956&amp;" "&amp;'Compliance Database'!$K956&amp;" "&amp;'Compliance Database'!$L956&amp;" "&amp;'Compliance Database'!$M956&amp;" "&amp;'Compliance Database'!$N956)))),1,0)</f>
        <v/>
      </c>
      <c r="B956">
        <f>IF($A956=1,SUM($A$2:$A956),"")</f>
        <v/>
      </c>
      <c r="C956">
        <f>IF($A956=1,SUM($A$2:$A956),0)</f>
        <v/>
      </c>
    </row>
    <row r="957">
      <c r="A957">
        <f>IF(AND(OR(Query!$B$4="All",'Compliance Database'!$A957=Query!$B$4),OR(Query!$B$5="All",ISNUMBER(SEARCH(Query!$B$5,'Compliance Database'!$H957))),OR(Query!$B$6="All",ISNUMBER(SEARCH(Query!$B$6,'Compliance Database'!$I957))),OR(Query!$B$7="All",'Compliance Database'!$F957=Query!$B$7),OR(Query!$B$8="All",'Compliance Database'!$J957=Query!$B$8),OR(Query!$B$9="",ISNUMBER(SEARCH(Query!$B$9,'Compliance Database'!$D957&amp;" "&amp;'Compliance Database'!$K957&amp;" "&amp;'Compliance Database'!$L957&amp;" "&amp;'Compliance Database'!$M957&amp;" "&amp;'Compliance Database'!$N957)))),1,0)</f>
        <v/>
      </c>
      <c r="B957">
        <f>IF($A957=1,SUM($A$2:$A957),"")</f>
        <v/>
      </c>
      <c r="C957">
        <f>IF($A957=1,SUM($A$2:$A957),0)</f>
        <v/>
      </c>
    </row>
    <row r="958">
      <c r="A958">
        <f>IF(AND(OR(Query!$B$4="All",'Compliance Database'!$A958=Query!$B$4),OR(Query!$B$5="All",ISNUMBER(SEARCH(Query!$B$5,'Compliance Database'!$H958))),OR(Query!$B$6="All",ISNUMBER(SEARCH(Query!$B$6,'Compliance Database'!$I958))),OR(Query!$B$7="All",'Compliance Database'!$F958=Query!$B$7),OR(Query!$B$8="All",'Compliance Database'!$J958=Query!$B$8),OR(Query!$B$9="",ISNUMBER(SEARCH(Query!$B$9,'Compliance Database'!$D958&amp;" "&amp;'Compliance Database'!$K958&amp;" "&amp;'Compliance Database'!$L958&amp;" "&amp;'Compliance Database'!$M958&amp;" "&amp;'Compliance Database'!$N958)))),1,0)</f>
        <v/>
      </c>
      <c r="B958">
        <f>IF($A958=1,SUM($A$2:$A958),"")</f>
        <v/>
      </c>
      <c r="C958">
        <f>IF($A958=1,SUM($A$2:$A958),0)</f>
        <v/>
      </c>
    </row>
    <row r="959">
      <c r="A959">
        <f>IF(AND(OR(Query!$B$4="All",'Compliance Database'!$A959=Query!$B$4),OR(Query!$B$5="All",ISNUMBER(SEARCH(Query!$B$5,'Compliance Database'!$H959))),OR(Query!$B$6="All",ISNUMBER(SEARCH(Query!$B$6,'Compliance Database'!$I959))),OR(Query!$B$7="All",'Compliance Database'!$F959=Query!$B$7),OR(Query!$B$8="All",'Compliance Database'!$J959=Query!$B$8),OR(Query!$B$9="",ISNUMBER(SEARCH(Query!$B$9,'Compliance Database'!$D959&amp;" "&amp;'Compliance Database'!$K959&amp;" "&amp;'Compliance Database'!$L959&amp;" "&amp;'Compliance Database'!$M959&amp;" "&amp;'Compliance Database'!$N959)))),1,0)</f>
        <v/>
      </c>
      <c r="B959">
        <f>IF($A959=1,SUM($A$2:$A959),"")</f>
        <v/>
      </c>
      <c r="C959">
        <f>IF($A959=1,SUM($A$2:$A959),0)</f>
        <v/>
      </c>
    </row>
    <row r="960">
      <c r="A960">
        <f>IF(AND(OR(Query!$B$4="All",'Compliance Database'!$A960=Query!$B$4),OR(Query!$B$5="All",ISNUMBER(SEARCH(Query!$B$5,'Compliance Database'!$H960))),OR(Query!$B$6="All",ISNUMBER(SEARCH(Query!$B$6,'Compliance Database'!$I960))),OR(Query!$B$7="All",'Compliance Database'!$F960=Query!$B$7),OR(Query!$B$8="All",'Compliance Database'!$J960=Query!$B$8),OR(Query!$B$9="",ISNUMBER(SEARCH(Query!$B$9,'Compliance Database'!$D960&amp;" "&amp;'Compliance Database'!$K960&amp;" "&amp;'Compliance Database'!$L960&amp;" "&amp;'Compliance Database'!$M960&amp;" "&amp;'Compliance Database'!$N960)))),1,0)</f>
        <v/>
      </c>
      <c r="B960">
        <f>IF($A960=1,SUM($A$2:$A960),"")</f>
        <v/>
      </c>
      <c r="C960">
        <f>IF($A960=1,SUM($A$2:$A960),0)</f>
        <v/>
      </c>
    </row>
    <row r="961">
      <c r="A961">
        <f>IF(AND(OR(Query!$B$4="All",'Compliance Database'!$A961=Query!$B$4),OR(Query!$B$5="All",ISNUMBER(SEARCH(Query!$B$5,'Compliance Database'!$H961))),OR(Query!$B$6="All",ISNUMBER(SEARCH(Query!$B$6,'Compliance Database'!$I961))),OR(Query!$B$7="All",'Compliance Database'!$F961=Query!$B$7),OR(Query!$B$8="All",'Compliance Database'!$J961=Query!$B$8),OR(Query!$B$9="",ISNUMBER(SEARCH(Query!$B$9,'Compliance Database'!$D961&amp;" "&amp;'Compliance Database'!$K961&amp;" "&amp;'Compliance Database'!$L961&amp;" "&amp;'Compliance Database'!$M961&amp;" "&amp;'Compliance Database'!$N961)))),1,0)</f>
        <v/>
      </c>
      <c r="B961">
        <f>IF($A961=1,SUM($A$2:$A961),"")</f>
        <v/>
      </c>
      <c r="C961">
        <f>IF($A961=1,SUM($A$2:$A961),0)</f>
        <v/>
      </c>
    </row>
    <row r="962">
      <c r="A962">
        <f>IF(AND(OR(Query!$B$4="All",'Compliance Database'!$A962=Query!$B$4),OR(Query!$B$5="All",ISNUMBER(SEARCH(Query!$B$5,'Compliance Database'!$H962))),OR(Query!$B$6="All",ISNUMBER(SEARCH(Query!$B$6,'Compliance Database'!$I962))),OR(Query!$B$7="All",'Compliance Database'!$F962=Query!$B$7),OR(Query!$B$8="All",'Compliance Database'!$J962=Query!$B$8),OR(Query!$B$9="",ISNUMBER(SEARCH(Query!$B$9,'Compliance Database'!$D962&amp;" "&amp;'Compliance Database'!$K962&amp;" "&amp;'Compliance Database'!$L962&amp;" "&amp;'Compliance Database'!$M962&amp;" "&amp;'Compliance Database'!$N962)))),1,0)</f>
        <v/>
      </c>
      <c r="B962">
        <f>IF($A962=1,SUM($A$2:$A962),"")</f>
        <v/>
      </c>
      <c r="C962">
        <f>IF($A962=1,SUM($A$2:$A962),0)</f>
        <v/>
      </c>
    </row>
    <row r="963">
      <c r="A963">
        <f>IF(AND(OR(Query!$B$4="All",'Compliance Database'!$A963=Query!$B$4),OR(Query!$B$5="All",ISNUMBER(SEARCH(Query!$B$5,'Compliance Database'!$H963))),OR(Query!$B$6="All",ISNUMBER(SEARCH(Query!$B$6,'Compliance Database'!$I963))),OR(Query!$B$7="All",'Compliance Database'!$F963=Query!$B$7),OR(Query!$B$8="All",'Compliance Database'!$J963=Query!$B$8),OR(Query!$B$9="",ISNUMBER(SEARCH(Query!$B$9,'Compliance Database'!$D963&amp;" "&amp;'Compliance Database'!$K963&amp;" "&amp;'Compliance Database'!$L963&amp;" "&amp;'Compliance Database'!$M963&amp;" "&amp;'Compliance Database'!$N963)))),1,0)</f>
        <v/>
      </c>
      <c r="B963">
        <f>IF($A963=1,SUM($A$2:$A963),"")</f>
        <v/>
      </c>
      <c r="C963">
        <f>IF($A963=1,SUM($A$2:$A963),0)</f>
        <v/>
      </c>
    </row>
    <row r="964">
      <c r="A964">
        <f>IF(AND(OR(Query!$B$4="All",'Compliance Database'!$A964=Query!$B$4),OR(Query!$B$5="All",ISNUMBER(SEARCH(Query!$B$5,'Compliance Database'!$H964))),OR(Query!$B$6="All",ISNUMBER(SEARCH(Query!$B$6,'Compliance Database'!$I964))),OR(Query!$B$7="All",'Compliance Database'!$F964=Query!$B$7),OR(Query!$B$8="All",'Compliance Database'!$J964=Query!$B$8),OR(Query!$B$9="",ISNUMBER(SEARCH(Query!$B$9,'Compliance Database'!$D964&amp;" "&amp;'Compliance Database'!$K964&amp;" "&amp;'Compliance Database'!$L964&amp;" "&amp;'Compliance Database'!$M964&amp;" "&amp;'Compliance Database'!$N964)))),1,0)</f>
        <v/>
      </c>
      <c r="B964">
        <f>IF($A964=1,SUM($A$2:$A964),"")</f>
        <v/>
      </c>
      <c r="C964">
        <f>IF($A964=1,SUM($A$2:$A964),0)</f>
        <v/>
      </c>
    </row>
    <row r="965">
      <c r="A965">
        <f>IF(AND(OR(Query!$B$4="All",'Compliance Database'!$A965=Query!$B$4),OR(Query!$B$5="All",ISNUMBER(SEARCH(Query!$B$5,'Compliance Database'!$H965))),OR(Query!$B$6="All",ISNUMBER(SEARCH(Query!$B$6,'Compliance Database'!$I965))),OR(Query!$B$7="All",'Compliance Database'!$F965=Query!$B$7),OR(Query!$B$8="All",'Compliance Database'!$J965=Query!$B$8),OR(Query!$B$9="",ISNUMBER(SEARCH(Query!$B$9,'Compliance Database'!$D965&amp;" "&amp;'Compliance Database'!$K965&amp;" "&amp;'Compliance Database'!$L965&amp;" "&amp;'Compliance Database'!$M965&amp;" "&amp;'Compliance Database'!$N965)))),1,0)</f>
        <v/>
      </c>
      <c r="B965">
        <f>IF($A965=1,SUM($A$2:$A965),"")</f>
        <v/>
      </c>
      <c r="C965">
        <f>IF($A965=1,SUM($A$2:$A965),0)</f>
        <v/>
      </c>
    </row>
    <row r="966">
      <c r="A966">
        <f>IF(AND(OR(Query!$B$4="All",'Compliance Database'!$A966=Query!$B$4),OR(Query!$B$5="All",ISNUMBER(SEARCH(Query!$B$5,'Compliance Database'!$H966))),OR(Query!$B$6="All",ISNUMBER(SEARCH(Query!$B$6,'Compliance Database'!$I966))),OR(Query!$B$7="All",'Compliance Database'!$F966=Query!$B$7),OR(Query!$B$8="All",'Compliance Database'!$J966=Query!$B$8),OR(Query!$B$9="",ISNUMBER(SEARCH(Query!$B$9,'Compliance Database'!$D966&amp;" "&amp;'Compliance Database'!$K966&amp;" "&amp;'Compliance Database'!$L966&amp;" "&amp;'Compliance Database'!$M966&amp;" "&amp;'Compliance Database'!$N966)))),1,0)</f>
        <v/>
      </c>
      <c r="B966">
        <f>IF($A966=1,SUM($A$2:$A966),"")</f>
        <v/>
      </c>
      <c r="C966">
        <f>IF($A966=1,SUM($A$2:$A966),0)</f>
        <v/>
      </c>
    </row>
    <row r="967">
      <c r="A967">
        <f>IF(AND(OR(Query!$B$4="All",'Compliance Database'!$A967=Query!$B$4),OR(Query!$B$5="All",ISNUMBER(SEARCH(Query!$B$5,'Compliance Database'!$H967))),OR(Query!$B$6="All",ISNUMBER(SEARCH(Query!$B$6,'Compliance Database'!$I967))),OR(Query!$B$7="All",'Compliance Database'!$F967=Query!$B$7),OR(Query!$B$8="All",'Compliance Database'!$J967=Query!$B$8),OR(Query!$B$9="",ISNUMBER(SEARCH(Query!$B$9,'Compliance Database'!$D967&amp;" "&amp;'Compliance Database'!$K967&amp;" "&amp;'Compliance Database'!$L967&amp;" "&amp;'Compliance Database'!$M967&amp;" "&amp;'Compliance Database'!$N967)))),1,0)</f>
        <v/>
      </c>
      <c r="B967">
        <f>IF($A967=1,SUM($A$2:$A967),"")</f>
        <v/>
      </c>
      <c r="C967">
        <f>IF($A967=1,SUM($A$2:$A967),0)</f>
        <v/>
      </c>
    </row>
    <row r="968">
      <c r="A968">
        <f>IF(AND(OR(Query!$B$4="All",'Compliance Database'!$A968=Query!$B$4),OR(Query!$B$5="All",ISNUMBER(SEARCH(Query!$B$5,'Compliance Database'!$H968))),OR(Query!$B$6="All",ISNUMBER(SEARCH(Query!$B$6,'Compliance Database'!$I968))),OR(Query!$B$7="All",'Compliance Database'!$F968=Query!$B$7),OR(Query!$B$8="All",'Compliance Database'!$J968=Query!$B$8),OR(Query!$B$9="",ISNUMBER(SEARCH(Query!$B$9,'Compliance Database'!$D968&amp;" "&amp;'Compliance Database'!$K968&amp;" "&amp;'Compliance Database'!$L968&amp;" "&amp;'Compliance Database'!$M968&amp;" "&amp;'Compliance Database'!$N968)))),1,0)</f>
        <v/>
      </c>
      <c r="B968">
        <f>IF($A968=1,SUM($A$2:$A968),"")</f>
        <v/>
      </c>
      <c r="C968">
        <f>IF($A968=1,SUM($A$2:$A968),0)</f>
        <v/>
      </c>
    </row>
    <row r="969">
      <c r="A969">
        <f>IF(AND(OR(Query!$B$4="All",'Compliance Database'!$A969=Query!$B$4),OR(Query!$B$5="All",ISNUMBER(SEARCH(Query!$B$5,'Compliance Database'!$H969))),OR(Query!$B$6="All",ISNUMBER(SEARCH(Query!$B$6,'Compliance Database'!$I969))),OR(Query!$B$7="All",'Compliance Database'!$F969=Query!$B$7),OR(Query!$B$8="All",'Compliance Database'!$J969=Query!$B$8),OR(Query!$B$9="",ISNUMBER(SEARCH(Query!$B$9,'Compliance Database'!$D969&amp;" "&amp;'Compliance Database'!$K969&amp;" "&amp;'Compliance Database'!$L969&amp;" "&amp;'Compliance Database'!$M969&amp;" "&amp;'Compliance Database'!$N969)))),1,0)</f>
        <v/>
      </c>
      <c r="B969">
        <f>IF($A969=1,SUM($A$2:$A969),"")</f>
        <v/>
      </c>
      <c r="C969">
        <f>IF($A969=1,SUM($A$2:$A969),0)</f>
        <v/>
      </c>
    </row>
    <row r="970">
      <c r="A970">
        <f>IF(AND(OR(Query!$B$4="All",'Compliance Database'!$A970=Query!$B$4),OR(Query!$B$5="All",ISNUMBER(SEARCH(Query!$B$5,'Compliance Database'!$H970))),OR(Query!$B$6="All",ISNUMBER(SEARCH(Query!$B$6,'Compliance Database'!$I970))),OR(Query!$B$7="All",'Compliance Database'!$F970=Query!$B$7),OR(Query!$B$8="All",'Compliance Database'!$J970=Query!$B$8),OR(Query!$B$9="",ISNUMBER(SEARCH(Query!$B$9,'Compliance Database'!$D970&amp;" "&amp;'Compliance Database'!$K970&amp;" "&amp;'Compliance Database'!$L970&amp;" "&amp;'Compliance Database'!$M970&amp;" "&amp;'Compliance Database'!$N970)))),1,0)</f>
        <v/>
      </c>
      <c r="B970">
        <f>IF($A970=1,SUM($A$2:$A970),"")</f>
        <v/>
      </c>
      <c r="C970">
        <f>IF($A970=1,SUM($A$2:$A970),0)</f>
        <v/>
      </c>
    </row>
    <row r="971">
      <c r="A971">
        <f>IF(AND(OR(Query!$B$4="All",'Compliance Database'!$A971=Query!$B$4),OR(Query!$B$5="All",ISNUMBER(SEARCH(Query!$B$5,'Compliance Database'!$H971))),OR(Query!$B$6="All",ISNUMBER(SEARCH(Query!$B$6,'Compliance Database'!$I971))),OR(Query!$B$7="All",'Compliance Database'!$F971=Query!$B$7),OR(Query!$B$8="All",'Compliance Database'!$J971=Query!$B$8),OR(Query!$B$9="",ISNUMBER(SEARCH(Query!$B$9,'Compliance Database'!$D971&amp;" "&amp;'Compliance Database'!$K971&amp;" "&amp;'Compliance Database'!$L971&amp;" "&amp;'Compliance Database'!$M971&amp;" "&amp;'Compliance Database'!$N971)))),1,0)</f>
        <v/>
      </c>
      <c r="B971">
        <f>IF($A971=1,SUM($A$2:$A971),"")</f>
        <v/>
      </c>
      <c r="C971">
        <f>IF($A971=1,SUM($A$2:$A971),0)</f>
        <v/>
      </c>
    </row>
    <row r="972">
      <c r="A972">
        <f>IF(AND(OR(Query!$B$4="All",'Compliance Database'!$A972=Query!$B$4),OR(Query!$B$5="All",ISNUMBER(SEARCH(Query!$B$5,'Compliance Database'!$H972))),OR(Query!$B$6="All",ISNUMBER(SEARCH(Query!$B$6,'Compliance Database'!$I972))),OR(Query!$B$7="All",'Compliance Database'!$F972=Query!$B$7),OR(Query!$B$8="All",'Compliance Database'!$J972=Query!$B$8),OR(Query!$B$9="",ISNUMBER(SEARCH(Query!$B$9,'Compliance Database'!$D972&amp;" "&amp;'Compliance Database'!$K972&amp;" "&amp;'Compliance Database'!$L972&amp;" "&amp;'Compliance Database'!$M972&amp;" "&amp;'Compliance Database'!$N972)))),1,0)</f>
        <v/>
      </c>
      <c r="B972">
        <f>IF($A972=1,SUM($A$2:$A972),"")</f>
        <v/>
      </c>
      <c r="C972">
        <f>IF($A972=1,SUM($A$2:$A972),0)</f>
        <v/>
      </c>
    </row>
    <row r="973">
      <c r="A973">
        <f>IF(AND(OR(Query!$B$4="All",'Compliance Database'!$A973=Query!$B$4),OR(Query!$B$5="All",ISNUMBER(SEARCH(Query!$B$5,'Compliance Database'!$H973))),OR(Query!$B$6="All",ISNUMBER(SEARCH(Query!$B$6,'Compliance Database'!$I973))),OR(Query!$B$7="All",'Compliance Database'!$F973=Query!$B$7),OR(Query!$B$8="All",'Compliance Database'!$J973=Query!$B$8),OR(Query!$B$9="",ISNUMBER(SEARCH(Query!$B$9,'Compliance Database'!$D973&amp;" "&amp;'Compliance Database'!$K973&amp;" "&amp;'Compliance Database'!$L973&amp;" "&amp;'Compliance Database'!$M973&amp;" "&amp;'Compliance Database'!$N973)))),1,0)</f>
        <v/>
      </c>
      <c r="B973">
        <f>IF($A973=1,SUM($A$2:$A973),"")</f>
        <v/>
      </c>
      <c r="C973">
        <f>IF($A973=1,SUM($A$2:$A973),0)</f>
        <v/>
      </c>
    </row>
    <row r="974">
      <c r="A974">
        <f>IF(AND(OR(Query!$B$4="All",'Compliance Database'!$A974=Query!$B$4),OR(Query!$B$5="All",ISNUMBER(SEARCH(Query!$B$5,'Compliance Database'!$H974))),OR(Query!$B$6="All",ISNUMBER(SEARCH(Query!$B$6,'Compliance Database'!$I974))),OR(Query!$B$7="All",'Compliance Database'!$F974=Query!$B$7),OR(Query!$B$8="All",'Compliance Database'!$J974=Query!$B$8),OR(Query!$B$9="",ISNUMBER(SEARCH(Query!$B$9,'Compliance Database'!$D974&amp;" "&amp;'Compliance Database'!$K974&amp;" "&amp;'Compliance Database'!$L974&amp;" "&amp;'Compliance Database'!$M974&amp;" "&amp;'Compliance Database'!$N974)))),1,0)</f>
        <v/>
      </c>
      <c r="B974">
        <f>IF($A974=1,SUM($A$2:$A974),"")</f>
        <v/>
      </c>
      <c r="C974">
        <f>IF($A974=1,SUM($A$2:$A974),0)</f>
        <v/>
      </c>
    </row>
    <row r="975">
      <c r="A975">
        <f>IF(AND(OR(Query!$B$4="All",'Compliance Database'!$A975=Query!$B$4),OR(Query!$B$5="All",ISNUMBER(SEARCH(Query!$B$5,'Compliance Database'!$H975))),OR(Query!$B$6="All",ISNUMBER(SEARCH(Query!$B$6,'Compliance Database'!$I975))),OR(Query!$B$7="All",'Compliance Database'!$F975=Query!$B$7),OR(Query!$B$8="All",'Compliance Database'!$J975=Query!$B$8),OR(Query!$B$9="",ISNUMBER(SEARCH(Query!$B$9,'Compliance Database'!$D975&amp;" "&amp;'Compliance Database'!$K975&amp;" "&amp;'Compliance Database'!$L975&amp;" "&amp;'Compliance Database'!$M975&amp;" "&amp;'Compliance Database'!$N975)))),1,0)</f>
        <v/>
      </c>
      <c r="B975">
        <f>IF($A975=1,SUM($A$2:$A975),"")</f>
        <v/>
      </c>
      <c r="C975">
        <f>IF($A975=1,SUM($A$2:$A975),0)</f>
        <v/>
      </c>
    </row>
    <row r="976">
      <c r="A976">
        <f>IF(AND(OR(Query!$B$4="All",'Compliance Database'!$A976=Query!$B$4),OR(Query!$B$5="All",ISNUMBER(SEARCH(Query!$B$5,'Compliance Database'!$H976))),OR(Query!$B$6="All",ISNUMBER(SEARCH(Query!$B$6,'Compliance Database'!$I976))),OR(Query!$B$7="All",'Compliance Database'!$F976=Query!$B$7),OR(Query!$B$8="All",'Compliance Database'!$J976=Query!$B$8),OR(Query!$B$9="",ISNUMBER(SEARCH(Query!$B$9,'Compliance Database'!$D976&amp;" "&amp;'Compliance Database'!$K976&amp;" "&amp;'Compliance Database'!$L976&amp;" "&amp;'Compliance Database'!$M976&amp;" "&amp;'Compliance Database'!$N976)))),1,0)</f>
        <v/>
      </c>
      <c r="B976">
        <f>IF($A976=1,SUM($A$2:$A976),"")</f>
        <v/>
      </c>
      <c r="C976">
        <f>IF($A976=1,SUM($A$2:$A976),0)</f>
        <v/>
      </c>
    </row>
    <row r="977">
      <c r="A977">
        <f>IF(AND(OR(Query!$B$4="All",'Compliance Database'!$A977=Query!$B$4),OR(Query!$B$5="All",ISNUMBER(SEARCH(Query!$B$5,'Compliance Database'!$H977))),OR(Query!$B$6="All",ISNUMBER(SEARCH(Query!$B$6,'Compliance Database'!$I977))),OR(Query!$B$7="All",'Compliance Database'!$F977=Query!$B$7),OR(Query!$B$8="All",'Compliance Database'!$J977=Query!$B$8),OR(Query!$B$9="",ISNUMBER(SEARCH(Query!$B$9,'Compliance Database'!$D977&amp;" "&amp;'Compliance Database'!$K977&amp;" "&amp;'Compliance Database'!$L977&amp;" "&amp;'Compliance Database'!$M977&amp;" "&amp;'Compliance Database'!$N977)))),1,0)</f>
        <v/>
      </c>
      <c r="B977">
        <f>IF($A977=1,SUM($A$2:$A977),"")</f>
        <v/>
      </c>
      <c r="C977">
        <f>IF($A977=1,SUM($A$2:$A977),0)</f>
        <v/>
      </c>
    </row>
    <row r="978">
      <c r="A978">
        <f>IF(AND(OR(Query!$B$4="All",'Compliance Database'!$A978=Query!$B$4),OR(Query!$B$5="All",ISNUMBER(SEARCH(Query!$B$5,'Compliance Database'!$H978))),OR(Query!$B$6="All",ISNUMBER(SEARCH(Query!$B$6,'Compliance Database'!$I978))),OR(Query!$B$7="All",'Compliance Database'!$F978=Query!$B$7),OR(Query!$B$8="All",'Compliance Database'!$J978=Query!$B$8),OR(Query!$B$9="",ISNUMBER(SEARCH(Query!$B$9,'Compliance Database'!$D978&amp;" "&amp;'Compliance Database'!$K978&amp;" "&amp;'Compliance Database'!$L978&amp;" "&amp;'Compliance Database'!$M978&amp;" "&amp;'Compliance Database'!$N978)))),1,0)</f>
        <v/>
      </c>
      <c r="B978">
        <f>IF($A978=1,SUM($A$2:$A978),"")</f>
        <v/>
      </c>
      <c r="C978">
        <f>IF($A978=1,SUM($A$2:$A978),0)</f>
        <v/>
      </c>
    </row>
    <row r="979">
      <c r="A979">
        <f>IF(AND(OR(Query!$B$4="All",'Compliance Database'!$A979=Query!$B$4),OR(Query!$B$5="All",ISNUMBER(SEARCH(Query!$B$5,'Compliance Database'!$H979))),OR(Query!$B$6="All",ISNUMBER(SEARCH(Query!$B$6,'Compliance Database'!$I979))),OR(Query!$B$7="All",'Compliance Database'!$F979=Query!$B$7),OR(Query!$B$8="All",'Compliance Database'!$J979=Query!$B$8),OR(Query!$B$9="",ISNUMBER(SEARCH(Query!$B$9,'Compliance Database'!$D979&amp;" "&amp;'Compliance Database'!$K979&amp;" "&amp;'Compliance Database'!$L979&amp;" "&amp;'Compliance Database'!$M979&amp;" "&amp;'Compliance Database'!$N979)))),1,0)</f>
        <v/>
      </c>
      <c r="B979">
        <f>IF($A979=1,SUM($A$2:$A979),"")</f>
        <v/>
      </c>
      <c r="C979">
        <f>IF($A979=1,SUM($A$2:$A979),0)</f>
        <v/>
      </c>
    </row>
    <row r="980">
      <c r="A980">
        <f>IF(AND(OR(Query!$B$4="All",'Compliance Database'!$A980=Query!$B$4),OR(Query!$B$5="All",ISNUMBER(SEARCH(Query!$B$5,'Compliance Database'!$H980))),OR(Query!$B$6="All",ISNUMBER(SEARCH(Query!$B$6,'Compliance Database'!$I980))),OR(Query!$B$7="All",'Compliance Database'!$F980=Query!$B$7),OR(Query!$B$8="All",'Compliance Database'!$J980=Query!$B$8),OR(Query!$B$9="",ISNUMBER(SEARCH(Query!$B$9,'Compliance Database'!$D980&amp;" "&amp;'Compliance Database'!$K980&amp;" "&amp;'Compliance Database'!$L980&amp;" "&amp;'Compliance Database'!$M980&amp;" "&amp;'Compliance Database'!$N980)))),1,0)</f>
        <v/>
      </c>
      <c r="B980">
        <f>IF($A980=1,SUM($A$2:$A980),"")</f>
        <v/>
      </c>
      <c r="C980">
        <f>IF($A980=1,SUM($A$2:$A980),0)</f>
        <v/>
      </c>
    </row>
    <row r="981">
      <c r="A981">
        <f>IF(AND(OR(Query!$B$4="All",'Compliance Database'!$A981=Query!$B$4),OR(Query!$B$5="All",ISNUMBER(SEARCH(Query!$B$5,'Compliance Database'!$H981))),OR(Query!$B$6="All",ISNUMBER(SEARCH(Query!$B$6,'Compliance Database'!$I981))),OR(Query!$B$7="All",'Compliance Database'!$F981=Query!$B$7),OR(Query!$B$8="All",'Compliance Database'!$J981=Query!$B$8),OR(Query!$B$9="",ISNUMBER(SEARCH(Query!$B$9,'Compliance Database'!$D981&amp;" "&amp;'Compliance Database'!$K981&amp;" "&amp;'Compliance Database'!$L981&amp;" "&amp;'Compliance Database'!$M981&amp;" "&amp;'Compliance Database'!$N981)))),1,0)</f>
        <v/>
      </c>
      <c r="B981">
        <f>IF($A981=1,SUM($A$2:$A981),"")</f>
        <v/>
      </c>
      <c r="C981">
        <f>IF($A981=1,SUM($A$2:$A981),0)</f>
        <v/>
      </c>
    </row>
    <row r="982">
      <c r="A982">
        <f>IF(AND(OR(Query!$B$4="All",'Compliance Database'!$A982=Query!$B$4),OR(Query!$B$5="All",ISNUMBER(SEARCH(Query!$B$5,'Compliance Database'!$H982))),OR(Query!$B$6="All",ISNUMBER(SEARCH(Query!$B$6,'Compliance Database'!$I982))),OR(Query!$B$7="All",'Compliance Database'!$F982=Query!$B$7),OR(Query!$B$8="All",'Compliance Database'!$J982=Query!$B$8),OR(Query!$B$9="",ISNUMBER(SEARCH(Query!$B$9,'Compliance Database'!$D982&amp;" "&amp;'Compliance Database'!$K982&amp;" "&amp;'Compliance Database'!$L982&amp;" "&amp;'Compliance Database'!$M982&amp;" "&amp;'Compliance Database'!$N982)))),1,0)</f>
        <v/>
      </c>
      <c r="B982">
        <f>IF($A982=1,SUM($A$2:$A982),"")</f>
        <v/>
      </c>
      <c r="C982">
        <f>IF($A982=1,SUM($A$2:$A982),0)</f>
        <v/>
      </c>
    </row>
    <row r="983">
      <c r="A983">
        <f>IF(AND(OR(Query!$B$4="All",'Compliance Database'!$A983=Query!$B$4),OR(Query!$B$5="All",ISNUMBER(SEARCH(Query!$B$5,'Compliance Database'!$H983))),OR(Query!$B$6="All",ISNUMBER(SEARCH(Query!$B$6,'Compliance Database'!$I983))),OR(Query!$B$7="All",'Compliance Database'!$F983=Query!$B$7),OR(Query!$B$8="All",'Compliance Database'!$J983=Query!$B$8),OR(Query!$B$9="",ISNUMBER(SEARCH(Query!$B$9,'Compliance Database'!$D983&amp;" "&amp;'Compliance Database'!$K983&amp;" "&amp;'Compliance Database'!$L983&amp;" "&amp;'Compliance Database'!$M983&amp;" "&amp;'Compliance Database'!$N983)))),1,0)</f>
        <v/>
      </c>
      <c r="B983">
        <f>IF($A983=1,SUM($A$2:$A983),"")</f>
        <v/>
      </c>
      <c r="C983">
        <f>IF($A983=1,SUM($A$2:$A983),0)</f>
        <v/>
      </c>
    </row>
    <row r="984">
      <c r="A984">
        <f>IF(AND(OR(Query!$B$4="All",'Compliance Database'!$A984=Query!$B$4),OR(Query!$B$5="All",ISNUMBER(SEARCH(Query!$B$5,'Compliance Database'!$H984))),OR(Query!$B$6="All",ISNUMBER(SEARCH(Query!$B$6,'Compliance Database'!$I984))),OR(Query!$B$7="All",'Compliance Database'!$F984=Query!$B$7),OR(Query!$B$8="All",'Compliance Database'!$J984=Query!$B$8),OR(Query!$B$9="",ISNUMBER(SEARCH(Query!$B$9,'Compliance Database'!$D984&amp;" "&amp;'Compliance Database'!$K984&amp;" "&amp;'Compliance Database'!$L984&amp;" "&amp;'Compliance Database'!$M984&amp;" "&amp;'Compliance Database'!$N984)))),1,0)</f>
        <v/>
      </c>
      <c r="B984">
        <f>IF($A984=1,SUM($A$2:$A984),"")</f>
        <v/>
      </c>
      <c r="C984">
        <f>IF($A984=1,SUM($A$2:$A984),0)</f>
        <v/>
      </c>
    </row>
    <row r="985">
      <c r="A985">
        <f>IF(AND(OR(Query!$B$4="All",'Compliance Database'!$A985=Query!$B$4),OR(Query!$B$5="All",ISNUMBER(SEARCH(Query!$B$5,'Compliance Database'!$H985))),OR(Query!$B$6="All",ISNUMBER(SEARCH(Query!$B$6,'Compliance Database'!$I985))),OR(Query!$B$7="All",'Compliance Database'!$F985=Query!$B$7),OR(Query!$B$8="All",'Compliance Database'!$J985=Query!$B$8),OR(Query!$B$9="",ISNUMBER(SEARCH(Query!$B$9,'Compliance Database'!$D985&amp;" "&amp;'Compliance Database'!$K985&amp;" "&amp;'Compliance Database'!$L985&amp;" "&amp;'Compliance Database'!$M985&amp;" "&amp;'Compliance Database'!$N985)))),1,0)</f>
        <v/>
      </c>
      <c r="B985">
        <f>IF($A985=1,SUM($A$2:$A985),"")</f>
        <v/>
      </c>
      <c r="C985">
        <f>IF($A985=1,SUM($A$2:$A985),0)</f>
        <v/>
      </c>
    </row>
    <row r="986">
      <c r="A986">
        <f>IF(AND(OR(Query!$B$4="All",'Compliance Database'!$A986=Query!$B$4),OR(Query!$B$5="All",ISNUMBER(SEARCH(Query!$B$5,'Compliance Database'!$H986))),OR(Query!$B$6="All",ISNUMBER(SEARCH(Query!$B$6,'Compliance Database'!$I986))),OR(Query!$B$7="All",'Compliance Database'!$F986=Query!$B$7),OR(Query!$B$8="All",'Compliance Database'!$J986=Query!$B$8),OR(Query!$B$9="",ISNUMBER(SEARCH(Query!$B$9,'Compliance Database'!$D986&amp;" "&amp;'Compliance Database'!$K986&amp;" "&amp;'Compliance Database'!$L986&amp;" "&amp;'Compliance Database'!$M986&amp;" "&amp;'Compliance Database'!$N986)))),1,0)</f>
        <v/>
      </c>
      <c r="B986">
        <f>IF($A986=1,SUM($A$2:$A986),"")</f>
        <v/>
      </c>
      <c r="C986">
        <f>IF($A986=1,SUM($A$2:$A986),0)</f>
        <v/>
      </c>
    </row>
    <row r="987">
      <c r="A987">
        <f>IF(AND(OR(Query!$B$4="All",'Compliance Database'!$A987=Query!$B$4),OR(Query!$B$5="All",ISNUMBER(SEARCH(Query!$B$5,'Compliance Database'!$H987))),OR(Query!$B$6="All",ISNUMBER(SEARCH(Query!$B$6,'Compliance Database'!$I987))),OR(Query!$B$7="All",'Compliance Database'!$F987=Query!$B$7),OR(Query!$B$8="All",'Compliance Database'!$J987=Query!$B$8),OR(Query!$B$9="",ISNUMBER(SEARCH(Query!$B$9,'Compliance Database'!$D987&amp;" "&amp;'Compliance Database'!$K987&amp;" "&amp;'Compliance Database'!$L987&amp;" "&amp;'Compliance Database'!$M987&amp;" "&amp;'Compliance Database'!$N987)))),1,0)</f>
        <v/>
      </c>
      <c r="B987">
        <f>IF($A987=1,SUM($A$2:$A987),"")</f>
        <v/>
      </c>
      <c r="C987">
        <f>IF($A987=1,SUM($A$2:$A987),0)</f>
        <v/>
      </c>
    </row>
    <row r="988">
      <c r="A988">
        <f>IF(AND(OR(Query!$B$4="All",'Compliance Database'!$A988=Query!$B$4),OR(Query!$B$5="All",ISNUMBER(SEARCH(Query!$B$5,'Compliance Database'!$H988))),OR(Query!$B$6="All",ISNUMBER(SEARCH(Query!$B$6,'Compliance Database'!$I988))),OR(Query!$B$7="All",'Compliance Database'!$F988=Query!$B$7),OR(Query!$B$8="All",'Compliance Database'!$J988=Query!$B$8),OR(Query!$B$9="",ISNUMBER(SEARCH(Query!$B$9,'Compliance Database'!$D988&amp;" "&amp;'Compliance Database'!$K988&amp;" "&amp;'Compliance Database'!$L988&amp;" "&amp;'Compliance Database'!$M988&amp;" "&amp;'Compliance Database'!$N988)))),1,0)</f>
        <v/>
      </c>
      <c r="B988">
        <f>IF($A988=1,SUM($A$2:$A988),"")</f>
        <v/>
      </c>
      <c r="C988">
        <f>IF($A988=1,SUM($A$2:$A988),0)</f>
        <v/>
      </c>
    </row>
    <row r="989">
      <c r="A989">
        <f>IF(AND(OR(Query!$B$4="All",'Compliance Database'!$A989=Query!$B$4),OR(Query!$B$5="All",ISNUMBER(SEARCH(Query!$B$5,'Compliance Database'!$H989))),OR(Query!$B$6="All",ISNUMBER(SEARCH(Query!$B$6,'Compliance Database'!$I989))),OR(Query!$B$7="All",'Compliance Database'!$F989=Query!$B$7),OR(Query!$B$8="All",'Compliance Database'!$J989=Query!$B$8),OR(Query!$B$9="",ISNUMBER(SEARCH(Query!$B$9,'Compliance Database'!$D989&amp;" "&amp;'Compliance Database'!$K989&amp;" "&amp;'Compliance Database'!$L989&amp;" "&amp;'Compliance Database'!$M989&amp;" "&amp;'Compliance Database'!$N989)))),1,0)</f>
        <v/>
      </c>
      <c r="B989">
        <f>IF($A989=1,SUM($A$2:$A989),"")</f>
        <v/>
      </c>
      <c r="C989">
        <f>IF($A989=1,SUM($A$2:$A989),0)</f>
        <v/>
      </c>
    </row>
    <row r="990">
      <c r="A990">
        <f>IF(AND(OR(Query!$B$4="All",'Compliance Database'!$A990=Query!$B$4),OR(Query!$B$5="All",ISNUMBER(SEARCH(Query!$B$5,'Compliance Database'!$H990))),OR(Query!$B$6="All",ISNUMBER(SEARCH(Query!$B$6,'Compliance Database'!$I990))),OR(Query!$B$7="All",'Compliance Database'!$F990=Query!$B$7),OR(Query!$B$8="All",'Compliance Database'!$J990=Query!$B$8),OR(Query!$B$9="",ISNUMBER(SEARCH(Query!$B$9,'Compliance Database'!$D990&amp;" "&amp;'Compliance Database'!$K990&amp;" "&amp;'Compliance Database'!$L990&amp;" "&amp;'Compliance Database'!$M990&amp;" "&amp;'Compliance Database'!$N990)))),1,0)</f>
        <v/>
      </c>
      <c r="B990">
        <f>IF($A990=1,SUM($A$2:$A990),"")</f>
        <v/>
      </c>
      <c r="C990">
        <f>IF($A990=1,SUM($A$2:$A990),0)</f>
        <v/>
      </c>
    </row>
    <row r="991">
      <c r="A991">
        <f>IF(AND(OR(Query!$B$4="All",'Compliance Database'!$A991=Query!$B$4),OR(Query!$B$5="All",ISNUMBER(SEARCH(Query!$B$5,'Compliance Database'!$H991))),OR(Query!$B$6="All",ISNUMBER(SEARCH(Query!$B$6,'Compliance Database'!$I991))),OR(Query!$B$7="All",'Compliance Database'!$F991=Query!$B$7),OR(Query!$B$8="All",'Compliance Database'!$J991=Query!$B$8),OR(Query!$B$9="",ISNUMBER(SEARCH(Query!$B$9,'Compliance Database'!$D991&amp;" "&amp;'Compliance Database'!$K991&amp;" "&amp;'Compliance Database'!$L991&amp;" "&amp;'Compliance Database'!$M991&amp;" "&amp;'Compliance Database'!$N991)))),1,0)</f>
        <v/>
      </c>
      <c r="B991">
        <f>IF($A991=1,SUM($A$2:$A991),"")</f>
        <v/>
      </c>
      <c r="C991">
        <f>IF($A991=1,SUM($A$2:$A991),0)</f>
        <v/>
      </c>
    </row>
    <row r="992">
      <c r="A992">
        <f>IF(AND(OR(Query!$B$4="All",'Compliance Database'!$A992=Query!$B$4),OR(Query!$B$5="All",ISNUMBER(SEARCH(Query!$B$5,'Compliance Database'!$H992))),OR(Query!$B$6="All",ISNUMBER(SEARCH(Query!$B$6,'Compliance Database'!$I992))),OR(Query!$B$7="All",'Compliance Database'!$F992=Query!$B$7),OR(Query!$B$8="All",'Compliance Database'!$J992=Query!$B$8),OR(Query!$B$9="",ISNUMBER(SEARCH(Query!$B$9,'Compliance Database'!$D992&amp;" "&amp;'Compliance Database'!$K992&amp;" "&amp;'Compliance Database'!$L992&amp;" "&amp;'Compliance Database'!$M992&amp;" "&amp;'Compliance Database'!$N992)))),1,0)</f>
        <v/>
      </c>
      <c r="B992">
        <f>IF($A992=1,SUM($A$2:$A992),"")</f>
        <v/>
      </c>
      <c r="C992">
        <f>IF($A992=1,SUM($A$2:$A992),0)</f>
        <v/>
      </c>
    </row>
    <row r="993">
      <c r="A993">
        <f>IF(AND(OR(Query!$B$4="All",'Compliance Database'!$A993=Query!$B$4),OR(Query!$B$5="All",ISNUMBER(SEARCH(Query!$B$5,'Compliance Database'!$H993))),OR(Query!$B$6="All",ISNUMBER(SEARCH(Query!$B$6,'Compliance Database'!$I993))),OR(Query!$B$7="All",'Compliance Database'!$F993=Query!$B$7),OR(Query!$B$8="All",'Compliance Database'!$J993=Query!$B$8),OR(Query!$B$9="",ISNUMBER(SEARCH(Query!$B$9,'Compliance Database'!$D993&amp;" "&amp;'Compliance Database'!$K993&amp;" "&amp;'Compliance Database'!$L993&amp;" "&amp;'Compliance Database'!$M993&amp;" "&amp;'Compliance Database'!$N993)))),1,0)</f>
        <v/>
      </c>
      <c r="B993">
        <f>IF($A993=1,SUM($A$2:$A993),"")</f>
        <v/>
      </c>
      <c r="C993">
        <f>IF($A993=1,SUM($A$2:$A993),0)</f>
        <v/>
      </c>
    </row>
    <row r="994">
      <c r="A994">
        <f>IF(AND(OR(Query!$B$4="All",'Compliance Database'!$A994=Query!$B$4),OR(Query!$B$5="All",ISNUMBER(SEARCH(Query!$B$5,'Compliance Database'!$H994))),OR(Query!$B$6="All",ISNUMBER(SEARCH(Query!$B$6,'Compliance Database'!$I994))),OR(Query!$B$7="All",'Compliance Database'!$F994=Query!$B$7),OR(Query!$B$8="All",'Compliance Database'!$J994=Query!$B$8),OR(Query!$B$9="",ISNUMBER(SEARCH(Query!$B$9,'Compliance Database'!$D994&amp;" "&amp;'Compliance Database'!$K994&amp;" "&amp;'Compliance Database'!$L994&amp;" "&amp;'Compliance Database'!$M994&amp;" "&amp;'Compliance Database'!$N994)))),1,0)</f>
        <v/>
      </c>
      <c r="B994">
        <f>IF($A994=1,SUM($A$2:$A994),"")</f>
        <v/>
      </c>
      <c r="C994">
        <f>IF($A994=1,SUM($A$2:$A994),0)</f>
        <v/>
      </c>
    </row>
    <row r="995">
      <c r="A995">
        <f>IF(AND(OR(Query!$B$4="All",'Compliance Database'!$A995=Query!$B$4),OR(Query!$B$5="All",ISNUMBER(SEARCH(Query!$B$5,'Compliance Database'!$H995))),OR(Query!$B$6="All",ISNUMBER(SEARCH(Query!$B$6,'Compliance Database'!$I995))),OR(Query!$B$7="All",'Compliance Database'!$F995=Query!$B$7),OR(Query!$B$8="All",'Compliance Database'!$J995=Query!$B$8),OR(Query!$B$9="",ISNUMBER(SEARCH(Query!$B$9,'Compliance Database'!$D995&amp;" "&amp;'Compliance Database'!$K995&amp;" "&amp;'Compliance Database'!$L995&amp;" "&amp;'Compliance Database'!$M995&amp;" "&amp;'Compliance Database'!$N995)))),1,0)</f>
        <v/>
      </c>
      <c r="B995">
        <f>IF($A995=1,SUM($A$2:$A995),"")</f>
        <v/>
      </c>
      <c r="C995">
        <f>IF($A995=1,SUM($A$2:$A995),0)</f>
        <v/>
      </c>
    </row>
    <row r="996">
      <c r="A996">
        <f>IF(AND(OR(Query!$B$4="All",'Compliance Database'!$A996=Query!$B$4),OR(Query!$B$5="All",ISNUMBER(SEARCH(Query!$B$5,'Compliance Database'!$H996))),OR(Query!$B$6="All",ISNUMBER(SEARCH(Query!$B$6,'Compliance Database'!$I996))),OR(Query!$B$7="All",'Compliance Database'!$F996=Query!$B$7),OR(Query!$B$8="All",'Compliance Database'!$J996=Query!$B$8),OR(Query!$B$9="",ISNUMBER(SEARCH(Query!$B$9,'Compliance Database'!$D996&amp;" "&amp;'Compliance Database'!$K996&amp;" "&amp;'Compliance Database'!$L996&amp;" "&amp;'Compliance Database'!$M996&amp;" "&amp;'Compliance Database'!$N996)))),1,0)</f>
        <v/>
      </c>
      <c r="B996">
        <f>IF($A996=1,SUM($A$2:$A996),"")</f>
        <v/>
      </c>
      <c r="C996">
        <f>IF($A996=1,SUM($A$2:$A996),0)</f>
        <v/>
      </c>
    </row>
    <row r="997">
      <c r="A997">
        <f>IF(AND(OR(Query!$B$4="All",'Compliance Database'!$A997=Query!$B$4),OR(Query!$B$5="All",ISNUMBER(SEARCH(Query!$B$5,'Compliance Database'!$H997))),OR(Query!$B$6="All",ISNUMBER(SEARCH(Query!$B$6,'Compliance Database'!$I997))),OR(Query!$B$7="All",'Compliance Database'!$F997=Query!$B$7),OR(Query!$B$8="All",'Compliance Database'!$J997=Query!$B$8),OR(Query!$B$9="",ISNUMBER(SEARCH(Query!$B$9,'Compliance Database'!$D997&amp;" "&amp;'Compliance Database'!$K997&amp;" "&amp;'Compliance Database'!$L997&amp;" "&amp;'Compliance Database'!$M997&amp;" "&amp;'Compliance Database'!$N997)))),1,0)</f>
        <v/>
      </c>
      <c r="B997">
        <f>IF($A997=1,SUM($A$2:$A997),"")</f>
        <v/>
      </c>
      <c r="C997">
        <f>IF($A997=1,SUM($A$2:$A997),0)</f>
        <v/>
      </c>
    </row>
    <row r="998">
      <c r="A998">
        <f>IF(AND(OR(Query!$B$4="All",'Compliance Database'!$A998=Query!$B$4),OR(Query!$B$5="All",ISNUMBER(SEARCH(Query!$B$5,'Compliance Database'!$H998))),OR(Query!$B$6="All",ISNUMBER(SEARCH(Query!$B$6,'Compliance Database'!$I998))),OR(Query!$B$7="All",'Compliance Database'!$F998=Query!$B$7),OR(Query!$B$8="All",'Compliance Database'!$J998=Query!$B$8),OR(Query!$B$9="",ISNUMBER(SEARCH(Query!$B$9,'Compliance Database'!$D998&amp;" "&amp;'Compliance Database'!$K998&amp;" "&amp;'Compliance Database'!$L998&amp;" "&amp;'Compliance Database'!$M998&amp;" "&amp;'Compliance Database'!$N998)))),1,0)</f>
        <v/>
      </c>
      <c r="B998">
        <f>IF($A998=1,SUM($A$2:$A998),"")</f>
        <v/>
      </c>
      <c r="C998">
        <f>IF($A998=1,SUM($A$2:$A998),0)</f>
        <v/>
      </c>
    </row>
    <row r="999">
      <c r="A999">
        <f>IF(AND(OR(Query!$B$4="All",'Compliance Database'!$A999=Query!$B$4),OR(Query!$B$5="All",ISNUMBER(SEARCH(Query!$B$5,'Compliance Database'!$H999))),OR(Query!$B$6="All",ISNUMBER(SEARCH(Query!$B$6,'Compliance Database'!$I999))),OR(Query!$B$7="All",'Compliance Database'!$F999=Query!$B$7),OR(Query!$B$8="All",'Compliance Database'!$J999=Query!$B$8),OR(Query!$B$9="",ISNUMBER(SEARCH(Query!$B$9,'Compliance Database'!$D999&amp;" "&amp;'Compliance Database'!$K999&amp;" "&amp;'Compliance Database'!$L999&amp;" "&amp;'Compliance Database'!$M999&amp;" "&amp;'Compliance Database'!$N999)))),1,0)</f>
        <v/>
      </c>
      <c r="B999">
        <f>IF($A999=1,SUM($A$2:$A999),"")</f>
        <v/>
      </c>
      <c r="C999">
        <f>IF($A999=1,SUM($A$2:$A999),0)</f>
        <v/>
      </c>
    </row>
    <row r="1000">
      <c r="A1000">
        <f>IF(AND(OR(Query!$B$4="All",'Compliance Database'!$A1000=Query!$B$4),OR(Query!$B$5="All",ISNUMBER(SEARCH(Query!$B$5,'Compliance Database'!$H1000))),OR(Query!$B$6="All",ISNUMBER(SEARCH(Query!$B$6,'Compliance Database'!$I1000))),OR(Query!$B$7="All",'Compliance Database'!$F1000=Query!$B$7),OR(Query!$B$8="All",'Compliance Database'!$J1000=Query!$B$8),OR(Query!$B$9="",ISNUMBER(SEARCH(Query!$B$9,'Compliance Database'!$D1000&amp;" "&amp;'Compliance Database'!$K1000&amp;" "&amp;'Compliance Database'!$L1000&amp;" "&amp;'Compliance Database'!$M1000&amp;" "&amp;'Compliance Database'!$N1000)))),1,0)</f>
        <v/>
      </c>
      <c r="B1000">
        <f>IF($A1000=1,SUM($A$2:$A1000),"")</f>
        <v/>
      </c>
      <c r="C1000">
        <f>IF($A1000=1,SUM($A$2:$A1000),0)</f>
        <v/>
      </c>
    </row>
    <row r="1001">
      <c r="A1001">
        <f>IF(AND(OR(Query!$B$4="All",'Compliance Database'!$A1001=Query!$B$4),OR(Query!$B$5="All",ISNUMBER(SEARCH(Query!$B$5,'Compliance Database'!$H1001))),OR(Query!$B$6="All",ISNUMBER(SEARCH(Query!$B$6,'Compliance Database'!$I1001))),OR(Query!$B$7="All",'Compliance Database'!$F1001=Query!$B$7),OR(Query!$B$8="All",'Compliance Database'!$J1001=Query!$B$8),OR(Query!$B$9="",ISNUMBER(SEARCH(Query!$B$9,'Compliance Database'!$D1001&amp;" "&amp;'Compliance Database'!$K1001&amp;" "&amp;'Compliance Database'!$L1001&amp;" "&amp;'Compliance Database'!$M1001&amp;" "&amp;'Compliance Database'!$N1001)))),1,0)</f>
        <v/>
      </c>
      <c r="B1001">
        <f>IF($A1001=1,SUM($A$2:$A1001),"")</f>
        <v/>
      </c>
      <c r="C1001">
        <f>IF($A1001=1,SUM($A$2:$A1001),0)</f>
        <v/>
      </c>
    </row>
    <row r="1002">
      <c r="A1002">
        <f>IF(AND(OR(Query!$B$4="All",'Compliance Database'!$A1002=Query!$B$4),OR(Query!$B$5="All",ISNUMBER(SEARCH(Query!$B$5,'Compliance Database'!$H1002))),OR(Query!$B$6="All",ISNUMBER(SEARCH(Query!$B$6,'Compliance Database'!$I1002))),OR(Query!$B$7="All",'Compliance Database'!$F1002=Query!$B$7),OR(Query!$B$8="All",'Compliance Database'!$J1002=Query!$B$8),OR(Query!$B$9="",ISNUMBER(SEARCH(Query!$B$9,'Compliance Database'!$D1002&amp;" "&amp;'Compliance Database'!$K1002&amp;" "&amp;'Compliance Database'!$L1002&amp;" "&amp;'Compliance Database'!$M1002&amp;" "&amp;'Compliance Database'!$N1002)))),1,0)</f>
        <v/>
      </c>
      <c r="B1002">
        <f>IF($A1002=1,SUM($A$2:$A1002),"")</f>
        <v/>
      </c>
      <c r="C1002">
        <f>IF($A1002=1,SUM($A$2:$A1002),0)</f>
        <v/>
      </c>
    </row>
    <row r="1003">
      <c r="A1003">
        <f>IF(AND(OR(Query!$B$4="All",'Compliance Database'!$A1003=Query!$B$4),OR(Query!$B$5="All",ISNUMBER(SEARCH(Query!$B$5,'Compliance Database'!$H1003))),OR(Query!$B$6="All",ISNUMBER(SEARCH(Query!$B$6,'Compliance Database'!$I1003))),OR(Query!$B$7="All",'Compliance Database'!$F1003=Query!$B$7),OR(Query!$B$8="All",'Compliance Database'!$J1003=Query!$B$8),OR(Query!$B$9="",ISNUMBER(SEARCH(Query!$B$9,'Compliance Database'!$D1003&amp;" "&amp;'Compliance Database'!$K1003&amp;" "&amp;'Compliance Database'!$L1003&amp;" "&amp;'Compliance Database'!$M1003&amp;" "&amp;'Compliance Database'!$N1003)))),1,0)</f>
        <v/>
      </c>
      <c r="B1003">
        <f>IF($A1003=1,SUM($A$2:$A1003),"")</f>
        <v/>
      </c>
      <c r="C1003">
        <f>IF($A1003=1,SUM($A$2:$A1003),0)</f>
        <v/>
      </c>
    </row>
    <row r="1004">
      <c r="A1004">
        <f>IF(AND(OR(Query!$B$4="All",'Compliance Database'!$A1004=Query!$B$4),OR(Query!$B$5="All",ISNUMBER(SEARCH(Query!$B$5,'Compliance Database'!$H1004))),OR(Query!$B$6="All",ISNUMBER(SEARCH(Query!$B$6,'Compliance Database'!$I1004))),OR(Query!$B$7="All",'Compliance Database'!$F1004=Query!$B$7),OR(Query!$B$8="All",'Compliance Database'!$J1004=Query!$B$8),OR(Query!$B$9="",ISNUMBER(SEARCH(Query!$B$9,'Compliance Database'!$D1004&amp;" "&amp;'Compliance Database'!$K1004&amp;" "&amp;'Compliance Database'!$L1004&amp;" "&amp;'Compliance Database'!$M1004&amp;" "&amp;'Compliance Database'!$N1004)))),1,0)</f>
        <v/>
      </c>
      <c r="B1004">
        <f>IF($A1004=1,SUM($A$2:$A1004),"")</f>
        <v/>
      </c>
      <c r="C1004">
        <f>IF($A1004=1,SUM($A$2:$A1004),0)</f>
        <v/>
      </c>
    </row>
    <row r="1005">
      <c r="A1005">
        <f>IF(AND(OR(Query!$B$4="All",'Compliance Database'!$A1005=Query!$B$4),OR(Query!$B$5="All",ISNUMBER(SEARCH(Query!$B$5,'Compliance Database'!$H1005))),OR(Query!$B$6="All",ISNUMBER(SEARCH(Query!$B$6,'Compliance Database'!$I1005))),OR(Query!$B$7="All",'Compliance Database'!$F1005=Query!$B$7),OR(Query!$B$8="All",'Compliance Database'!$J1005=Query!$B$8),OR(Query!$B$9="",ISNUMBER(SEARCH(Query!$B$9,'Compliance Database'!$D1005&amp;" "&amp;'Compliance Database'!$K1005&amp;" "&amp;'Compliance Database'!$L1005&amp;" "&amp;'Compliance Database'!$M1005&amp;" "&amp;'Compliance Database'!$N1005)))),1,0)</f>
        <v/>
      </c>
      <c r="B1005">
        <f>IF($A1005=1,SUM($A$2:$A1005),"")</f>
        <v/>
      </c>
      <c r="C1005">
        <f>IF($A1005=1,SUM($A$2:$A1005),0)</f>
        <v/>
      </c>
    </row>
    <row r="1006">
      <c r="A1006">
        <f>IF(AND(OR(Query!$B$4="All",'Compliance Database'!$A1006=Query!$B$4),OR(Query!$B$5="All",ISNUMBER(SEARCH(Query!$B$5,'Compliance Database'!$H1006))),OR(Query!$B$6="All",ISNUMBER(SEARCH(Query!$B$6,'Compliance Database'!$I1006))),OR(Query!$B$7="All",'Compliance Database'!$F1006=Query!$B$7),OR(Query!$B$8="All",'Compliance Database'!$J1006=Query!$B$8),OR(Query!$B$9="",ISNUMBER(SEARCH(Query!$B$9,'Compliance Database'!$D1006&amp;" "&amp;'Compliance Database'!$K1006&amp;" "&amp;'Compliance Database'!$L1006&amp;" "&amp;'Compliance Database'!$M1006&amp;" "&amp;'Compliance Database'!$N1006)))),1,0)</f>
        <v/>
      </c>
      <c r="B1006">
        <f>IF($A1006=1,SUM($A$2:$A1006),"")</f>
        <v/>
      </c>
      <c r="C1006">
        <f>IF($A1006=1,SUM($A$2:$A1006),0)</f>
        <v/>
      </c>
    </row>
    <row r="1007">
      <c r="A1007">
        <f>IF(AND(OR(Query!$B$4="All",'Compliance Database'!$A1007=Query!$B$4),OR(Query!$B$5="All",ISNUMBER(SEARCH(Query!$B$5,'Compliance Database'!$H1007))),OR(Query!$B$6="All",ISNUMBER(SEARCH(Query!$B$6,'Compliance Database'!$I1007))),OR(Query!$B$7="All",'Compliance Database'!$F1007=Query!$B$7),OR(Query!$B$8="All",'Compliance Database'!$J1007=Query!$B$8),OR(Query!$B$9="",ISNUMBER(SEARCH(Query!$B$9,'Compliance Database'!$D1007&amp;" "&amp;'Compliance Database'!$K1007&amp;" "&amp;'Compliance Database'!$L1007&amp;" "&amp;'Compliance Database'!$M1007&amp;" "&amp;'Compliance Database'!$N1007)))),1,0)</f>
        <v/>
      </c>
      <c r="B1007">
        <f>IF($A1007=1,SUM($A$2:$A1007),"")</f>
        <v/>
      </c>
      <c r="C1007">
        <f>IF($A1007=1,SUM($A$2:$A1007),0)</f>
        <v/>
      </c>
    </row>
    <row r="1008">
      <c r="A1008">
        <f>IF(AND(OR(Query!$B$4="All",'Compliance Database'!$A1008=Query!$B$4),OR(Query!$B$5="All",ISNUMBER(SEARCH(Query!$B$5,'Compliance Database'!$H1008))),OR(Query!$B$6="All",ISNUMBER(SEARCH(Query!$B$6,'Compliance Database'!$I1008))),OR(Query!$B$7="All",'Compliance Database'!$F1008=Query!$B$7),OR(Query!$B$8="All",'Compliance Database'!$J1008=Query!$B$8),OR(Query!$B$9="",ISNUMBER(SEARCH(Query!$B$9,'Compliance Database'!$D1008&amp;" "&amp;'Compliance Database'!$K1008&amp;" "&amp;'Compliance Database'!$L1008&amp;" "&amp;'Compliance Database'!$M1008&amp;" "&amp;'Compliance Database'!$N1008)))),1,0)</f>
        <v/>
      </c>
      <c r="B1008">
        <f>IF($A1008=1,SUM($A$2:$A1008),"")</f>
        <v/>
      </c>
      <c r="C1008">
        <f>IF($A1008=1,SUM($A$2:$A1008),0)</f>
        <v/>
      </c>
    </row>
    <row r="1009">
      <c r="A1009">
        <f>IF(AND(OR(Query!$B$4="All",'Compliance Database'!$A1009=Query!$B$4),OR(Query!$B$5="All",ISNUMBER(SEARCH(Query!$B$5,'Compliance Database'!$H1009))),OR(Query!$B$6="All",ISNUMBER(SEARCH(Query!$B$6,'Compliance Database'!$I1009))),OR(Query!$B$7="All",'Compliance Database'!$F1009=Query!$B$7),OR(Query!$B$8="All",'Compliance Database'!$J1009=Query!$B$8),OR(Query!$B$9="",ISNUMBER(SEARCH(Query!$B$9,'Compliance Database'!$D1009&amp;" "&amp;'Compliance Database'!$K1009&amp;" "&amp;'Compliance Database'!$L1009&amp;" "&amp;'Compliance Database'!$M1009&amp;" "&amp;'Compliance Database'!$N1009)))),1,0)</f>
        <v/>
      </c>
      <c r="B1009">
        <f>IF($A1009=1,SUM($A$2:$A1009),"")</f>
        <v/>
      </c>
      <c r="C1009">
        <f>IF($A1009=1,SUM($A$2:$A1009),0)</f>
        <v/>
      </c>
    </row>
    <row r="1010">
      <c r="A1010">
        <f>IF(AND(OR(Query!$B$4="All",'Compliance Database'!$A1010=Query!$B$4),OR(Query!$B$5="All",ISNUMBER(SEARCH(Query!$B$5,'Compliance Database'!$H1010))),OR(Query!$B$6="All",ISNUMBER(SEARCH(Query!$B$6,'Compliance Database'!$I1010))),OR(Query!$B$7="All",'Compliance Database'!$F1010=Query!$B$7),OR(Query!$B$8="All",'Compliance Database'!$J1010=Query!$B$8),OR(Query!$B$9="",ISNUMBER(SEARCH(Query!$B$9,'Compliance Database'!$D1010&amp;" "&amp;'Compliance Database'!$K1010&amp;" "&amp;'Compliance Database'!$L1010&amp;" "&amp;'Compliance Database'!$M1010&amp;" "&amp;'Compliance Database'!$N1010)))),1,0)</f>
        <v/>
      </c>
      <c r="B1010">
        <f>IF($A1010=1,SUM($A$2:$A1010),"")</f>
        <v/>
      </c>
      <c r="C1010">
        <f>IF($A1010=1,SUM($A$2:$A1010),0)</f>
        <v/>
      </c>
    </row>
    <row r="1011">
      <c r="A1011">
        <f>IF(AND(OR(Query!$B$4="All",'Compliance Database'!$A1011=Query!$B$4),OR(Query!$B$5="All",ISNUMBER(SEARCH(Query!$B$5,'Compliance Database'!$H1011))),OR(Query!$B$6="All",ISNUMBER(SEARCH(Query!$B$6,'Compliance Database'!$I1011))),OR(Query!$B$7="All",'Compliance Database'!$F1011=Query!$B$7),OR(Query!$B$8="All",'Compliance Database'!$J1011=Query!$B$8),OR(Query!$B$9="",ISNUMBER(SEARCH(Query!$B$9,'Compliance Database'!$D1011&amp;" "&amp;'Compliance Database'!$K1011&amp;" "&amp;'Compliance Database'!$L1011&amp;" "&amp;'Compliance Database'!$M1011&amp;" "&amp;'Compliance Database'!$N1011)))),1,0)</f>
        <v/>
      </c>
      <c r="B1011">
        <f>IF($A1011=1,SUM($A$2:$A1011),"")</f>
        <v/>
      </c>
      <c r="C1011">
        <f>IF($A1011=1,SUM($A$2:$A1011),0)</f>
        <v/>
      </c>
    </row>
    <row r="1012">
      <c r="A1012">
        <f>IF(AND(OR(Query!$B$4="All",'Compliance Database'!$A1012=Query!$B$4),OR(Query!$B$5="All",ISNUMBER(SEARCH(Query!$B$5,'Compliance Database'!$H1012))),OR(Query!$B$6="All",ISNUMBER(SEARCH(Query!$B$6,'Compliance Database'!$I1012))),OR(Query!$B$7="All",'Compliance Database'!$F1012=Query!$B$7),OR(Query!$B$8="All",'Compliance Database'!$J1012=Query!$B$8),OR(Query!$B$9="",ISNUMBER(SEARCH(Query!$B$9,'Compliance Database'!$D1012&amp;" "&amp;'Compliance Database'!$K1012&amp;" "&amp;'Compliance Database'!$L1012&amp;" "&amp;'Compliance Database'!$M1012&amp;" "&amp;'Compliance Database'!$N1012)))),1,0)</f>
        <v/>
      </c>
      <c r="B1012">
        <f>IF($A1012=1,SUM($A$2:$A1012),"")</f>
        <v/>
      </c>
      <c r="C1012">
        <f>IF($A1012=1,SUM($A$2:$A1012),0)</f>
        <v/>
      </c>
    </row>
    <row r="1013">
      <c r="A1013">
        <f>IF(AND(OR(Query!$B$4="All",'Compliance Database'!$A1013=Query!$B$4),OR(Query!$B$5="All",ISNUMBER(SEARCH(Query!$B$5,'Compliance Database'!$H1013))),OR(Query!$B$6="All",ISNUMBER(SEARCH(Query!$B$6,'Compliance Database'!$I1013))),OR(Query!$B$7="All",'Compliance Database'!$F1013=Query!$B$7),OR(Query!$B$8="All",'Compliance Database'!$J1013=Query!$B$8),OR(Query!$B$9="",ISNUMBER(SEARCH(Query!$B$9,'Compliance Database'!$D1013&amp;" "&amp;'Compliance Database'!$K1013&amp;" "&amp;'Compliance Database'!$L1013&amp;" "&amp;'Compliance Database'!$M1013&amp;" "&amp;'Compliance Database'!$N1013)))),1,0)</f>
        <v/>
      </c>
      <c r="B1013">
        <f>IF($A1013=1,SUM($A$2:$A1013),"")</f>
        <v/>
      </c>
      <c r="C1013">
        <f>IF($A1013=1,SUM($A$2:$A1013),0)</f>
        <v/>
      </c>
    </row>
    <row r="1014">
      <c r="A1014">
        <f>IF(AND(OR(Query!$B$4="All",'Compliance Database'!$A1014=Query!$B$4),OR(Query!$B$5="All",ISNUMBER(SEARCH(Query!$B$5,'Compliance Database'!$H1014))),OR(Query!$B$6="All",ISNUMBER(SEARCH(Query!$B$6,'Compliance Database'!$I1014))),OR(Query!$B$7="All",'Compliance Database'!$F1014=Query!$B$7),OR(Query!$B$8="All",'Compliance Database'!$J1014=Query!$B$8),OR(Query!$B$9="",ISNUMBER(SEARCH(Query!$B$9,'Compliance Database'!$D1014&amp;" "&amp;'Compliance Database'!$K1014&amp;" "&amp;'Compliance Database'!$L1014&amp;" "&amp;'Compliance Database'!$M1014&amp;" "&amp;'Compliance Database'!$N1014)))),1,0)</f>
        <v/>
      </c>
      <c r="B1014">
        <f>IF($A1014=1,SUM($A$2:$A1014),"")</f>
        <v/>
      </c>
      <c r="C1014">
        <f>IF($A1014=1,SUM($A$2:$A1014),0)</f>
        <v/>
      </c>
    </row>
    <row r="1015">
      <c r="A1015">
        <f>IF(AND(OR(Query!$B$4="All",'Compliance Database'!$A1015=Query!$B$4),OR(Query!$B$5="All",ISNUMBER(SEARCH(Query!$B$5,'Compliance Database'!$H1015))),OR(Query!$B$6="All",ISNUMBER(SEARCH(Query!$B$6,'Compliance Database'!$I1015))),OR(Query!$B$7="All",'Compliance Database'!$F1015=Query!$B$7),OR(Query!$B$8="All",'Compliance Database'!$J1015=Query!$B$8),OR(Query!$B$9="",ISNUMBER(SEARCH(Query!$B$9,'Compliance Database'!$D1015&amp;" "&amp;'Compliance Database'!$K1015&amp;" "&amp;'Compliance Database'!$L1015&amp;" "&amp;'Compliance Database'!$M1015&amp;" "&amp;'Compliance Database'!$N1015)))),1,0)</f>
        <v/>
      </c>
      <c r="B1015">
        <f>IF($A1015=1,SUM($A$2:$A1015),"")</f>
        <v/>
      </c>
      <c r="C1015">
        <f>IF($A1015=1,SUM($A$2:$A1015),0)</f>
        <v/>
      </c>
    </row>
    <row r="1016">
      <c r="A1016">
        <f>IF(AND(OR(Query!$B$4="All",'Compliance Database'!$A1016=Query!$B$4),OR(Query!$B$5="All",ISNUMBER(SEARCH(Query!$B$5,'Compliance Database'!$H1016))),OR(Query!$B$6="All",ISNUMBER(SEARCH(Query!$B$6,'Compliance Database'!$I1016))),OR(Query!$B$7="All",'Compliance Database'!$F1016=Query!$B$7),OR(Query!$B$8="All",'Compliance Database'!$J1016=Query!$B$8),OR(Query!$B$9="",ISNUMBER(SEARCH(Query!$B$9,'Compliance Database'!$D1016&amp;" "&amp;'Compliance Database'!$K1016&amp;" "&amp;'Compliance Database'!$L1016&amp;" "&amp;'Compliance Database'!$M1016&amp;" "&amp;'Compliance Database'!$N1016)))),1,0)</f>
        <v/>
      </c>
      <c r="B1016">
        <f>IF($A1016=1,SUM($A$2:$A1016),"")</f>
        <v/>
      </c>
      <c r="C1016">
        <f>IF($A1016=1,SUM($A$2:$A1016),0)</f>
        <v/>
      </c>
    </row>
    <row r="1017">
      <c r="A1017">
        <f>IF(AND(OR(Query!$B$4="All",'Compliance Database'!$A1017=Query!$B$4),OR(Query!$B$5="All",ISNUMBER(SEARCH(Query!$B$5,'Compliance Database'!$H1017))),OR(Query!$B$6="All",ISNUMBER(SEARCH(Query!$B$6,'Compliance Database'!$I1017))),OR(Query!$B$7="All",'Compliance Database'!$F1017=Query!$B$7),OR(Query!$B$8="All",'Compliance Database'!$J1017=Query!$B$8),OR(Query!$B$9="",ISNUMBER(SEARCH(Query!$B$9,'Compliance Database'!$D1017&amp;" "&amp;'Compliance Database'!$K1017&amp;" "&amp;'Compliance Database'!$L1017&amp;" "&amp;'Compliance Database'!$M1017&amp;" "&amp;'Compliance Database'!$N1017)))),1,0)</f>
        <v/>
      </c>
      <c r="B1017">
        <f>IF($A1017=1,SUM($A$2:$A1017),"")</f>
        <v/>
      </c>
      <c r="C1017">
        <f>IF($A1017=1,SUM($A$2:$A1017),0)</f>
        <v/>
      </c>
    </row>
    <row r="1018">
      <c r="A1018">
        <f>IF(AND(OR(Query!$B$4="All",'Compliance Database'!$A1018=Query!$B$4),OR(Query!$B$5="All",ISNUMBER(SEARCH(Query!$B$5,'Compliance Database'!$H1018))),OR(Query!$B$6="All",ISNUMBER(SEARCH(Query!$B$6,'Compliance Database'!$I1018))),OR(Query!$B$7="All",'Compliance Database'!$F1018=Query!$B$7),OR(Query!$B$8="All",'Compliance Database'!$J1018=Query!$B$8),OR(Query!$B$9="",ISNUMBER(SEARCH(Query!$B$9,'Compliance Database'!$D1018&amp;" "&amp;'Compliance Database'!$K1018&amp;" "&amp;'Compliance Database'!$L1018&amp;" "&amp;'Compliance Database'!$M1018&amp;" "&amp;'Compliance Database'!$N1018)))),1,0)</f>
        <v/>
      </c>
      <c r="B1018">
        <f>IF($A1018=1,SUM($A$2:$A1018),"")</f>
        <v/>
      </c>
      <c r="C1018">
        <f>IF($A1018=1,SUM($A$2:$A1018),0)</f>
        <v/>
      </c>
    </row>
    <row r="1019">
      <c r="A1019">
        <f>IF(AND(OR(Query!$B$4="All",'Compliance Database'!$A1019=Query!$B$4),OR(Query!$B$5="All",ISNUMBER(SEARCH(Query!$B$5,'Compliance Database'!$H1019))),OR(Query!$B$6="All",ISNUMBER(SEARCH(Query!$B$6,'Compliance Database'!$I1019))),OR(Query!$B$7="All",'Compliance Database'!$F1019=Query!$B$7),OR(Query!$B$8="All",'Compliance Database'!$J1019=Query!$B$8),OR(Query!$B$9="",ISNUMBER(SEARCH(Query!$B$9,'Compliance Database'!$D1019&amp;" "&amp;'Compliance Database'!$K1019&amp;" "&amp;'Compliance Database'!$L1019&amp;" "&amp;'Compliance Database'!$M1019&amp;" "&amp;'Compliance Database'!$N1019)))),1,0)</f>
        <v/>
      </c>
      <c r="B1019">
        <f>IF($A1019=1,SUM($A$2:$A1019),"")</f>
        <v/>
      </c>
      <c r="C1019">
        <f>IF($A1019=1,SUM($A$2:$A1019),0)</f>
        <v/>
      </c>
    </row>
    <row r="1020">
      <c r="A1020">
        <f>IF(AND(OR(Query!$B$4="All",'Compliance Database'!$A1020=Query!$B$4),OR(Query!$B$5="All",ISNUMBER(SEARCH(Query!$B$5,'Compliance Database'!$H1020))),OR(Query!$B$6="All",ISNUMBER(SEARCH(Query!$B$6,'Compliance Database'!$I1020))),OR(Query!$B$7="All",'Compliance Database'!$F1020=Query!$B$7),OR(Query!$B$8="All",'Compliance Database'!$J1020=Query!$B$8),OR(Query!$B$9="",ISNUMBER(SEARCH(Query!$B$9,'Compliance Database'!$D1020&amp;" "&amp;'Compliance Database'!$K1020&amp;" "&amp;'Compliance Database'!$L1020&amp;" "&amp;'Compliance Database'!$M1020&amp;" "&amp;'Compliance Database'!$N1020)))),1,0)</f>
        <v/>
      </c>
      <c r="B1020">
        <f>IF($A1020=1,SUM($A$2:$A1020),"")</f>
        <v/>
      </c>
      <c r="C1020">
        <f>IF($A1020=1,SUM($A$2:$A1020),0)</f>
        <v/>
      </c>
    </row>
    <row r="1021">
      <c r="A1021">
        <f>IF(AND(OR(Query!$B$4="All",'Compliance Database'!$A1021=Query!$B$4),OR(Query!$B$5="All",ISNUMBER(SEARCH(Query!$B$5,'Compliance Database'!$H1021))),OR(Query!$B$6="All",ISNUMBER(SEARCH(Query!$B$6,'Compliance Database'!$I1021))),OR(Query!$B$7="All",'Compliance Database'!$F1021=Query!$B$7),OR(Query!$B$8="All",'Compliance Database'!$J1021=Query!$B$8),OR(Query!$B$9="",ISNUMBER(SEARCH(Query!$B$9,'Compliance Database'!$D1021&amp;" "&amp;'Compliance Database'!$K1021&amp;" "&amp;'Compliance Database'!$L1021&amp;" "&amp;'Compliance Database'!$M1021&amp;" "&amp;'Compliance Database'!$N1021)))),1,0)</f>
        <v/>
      </c>
      <c r="B1021">
        <f>IF($A1021=1,SUM($A$2:$A1021),"")</f>
        <v/>
      </c>
      <c r="C1021">
        <f>IF($A1021=1,SUM($A$2:$A1021),0)</f>
        <v/>
      </c>
    </row>
    <row r="1022">
      <c r="A1022">
        <f>IF(AND(OR(Query!$B$4="All",'Compliance Database'!$A1022=Query!$B$4),OR(Query!$B$5="All",ISNUMBER(SEARCH(Query!$B$5,'Compliance Database'!$H1022))),OR(Query!$B$6="All",ISNUMBER(SEARCH(Query!$B$6,'Compliance Database'!$I1022))),OR(Query!$B$7="All",'Compliance Database'!$F1022=Query!$B$7),OR(Query!$B$8="All",'Compliance Database'!$J1022=Query!$B$8),OR(Query!$B$9="",ISNUMBER(SEARCH(Query!$B$9,'Compliance Database'!$D1022&amp;" "&amp;'Compliance Database'!$K1022&amp;" "&amp;'Compliance Database'!$L1022&amp;" "&amp;'Compliance Database'!$M1022&amp;" "&amp;'Compliance Database'!$N1022)))),1,0)</f>
        <v/>
      </c>
      <c r="B1022">
        <f>IF($A1022=1,SUM($A$2:$A1022),"")</f>
        <v/>
      </c>
      <c r="C1022">
        <f>IF($A1022=1,SUM($A$2:$A1022),0)</f>
        <v/>
      </c>
    </row>
    <row r="1023">
      <c r="A1023">
        <f>IF(AND(OR(Query!$B$4="All",'Compliance Database'!$A1023=Query!$B$4),OR(Query!$B$5="All",ISNUMBER(SEARCH(Query!$B$5,'Compliance Database'!$H1023))),OR(Query!$B$6="All",ISNUMBER(SEARCH(Query!$B$6,'Compliance Database'!$I1023))),OR(Query!$B$7="All",'Compliance Database'!$F1023=Query!$B$7),OR(Query!$B$8="All",'Compliance Database'!$J1023=Query!$B$8),OR(Query!$B$9="",ISNUMBER(SEARCH(Query!$B$9,'Compliance Database'!$D1023&amp;" "&amp;'Compliance Database'!$K1023&amp;" "&amp;'Compliance Database'!$L1023&amp;" "&amp;'Compliance Database'!$M1023&amp;" "&amp;'Compliance Database'!$N1023)))),1,0)</f>
        <v/>
      </c>
      <c r="B1023">
        <f>IF($A1023=1,SUM($A$2:$A1023),"")</f>
        <v/>
      </c>
      <c r="C1023">
        <f>IF($A1023=1,SUM($A$2:$A1023),0)</f>
        <v/>
      </c>
    </row>
    <row r="1024">
      <c r="A1024">
        <f>IF(AND(OR(Query!$B$4="All",'Compliance Database'!$A1024=Query!$B$4),OR(Query!$B$5="All",ISNUMBER(SEARCH(Query!$B$5,'Compliance Database'!$H1024))),OR(Query!$B$6="All",ISNUMBER(SEARCH(Query!$B$6,'Compliance Database'!$I1024))),OR(Query!$B$7="All",'Compliance Database'!$F1024=Query!$B$7),OR(Query!$B$8="All",'Compliance Database'!$J1024=Query!$B$8),OR(Query!$B$9="",ISNUMBER(SEARCH(Query!$B$9,'Compliance Database'!$D1024&amp;" "&amp;'Compliance Database'!$K1024&amp;" "&amp;'Compliance Database'!$L1024&amp;" "&amp;'Compliance Database'!$M1024&amp;" "&amp;'Compliance Database'!$N1024)))),1,0)</f>
        <v/>
      </c>
      <c r="B1024">
        <f>IF($A1024=1,SUM($A$2:$A1024),"")</f>
        <v/>
      </c>
      <c r="C1024">
        <f>IF($A1024=1,SUM($A$2:$A1024),0)</f>
        <v/>
      </c>
    </row>
    <row r="1025">
      <c r="A1025">
        <f>IF(AND(OR(Query!$B$4="All",'Compliance Database'!$A1025=Query!$B$4),OR(Query!$B$5="All",ISNUMBER(SEARCH(Query!$B$5,'Compliance Database'!$H1025))),OR(Query!$B$6="All",ISNUMBER(SEARCH(Query!$B$6,'Compliance Database'!$I1025))),OR(Query!$B$7="All",'Compliance Database'!$F1025=Query!$B$7),OR(Query!$B$8="All",'Compliance Database'!$J1025=Query!$B$8),OR(Query!$B$9="",ISNUMBER(SEARCH(Query!$B$9,'Compliance Database'!$D1025&amp;" "&amp;'Compliance Database'!$K1025&amp;" "&amp;'Compliance Database'!$L1025&amp;" "&amp;'Compliance Database'!$M1025&amp;" "&amp;'Compliance Database'!$N1025)))),1,0)</f>
        <v/>
      </c>
      <c r="B1025">
        <f>IF($A1025=1,SUM($A$2:$A1025),"")</f>
        <v/>
      </c>
      <c r="C1025">
        <f>IF($A1025=1,SUM($A$2:$A1025),0)</f>
        <v/>
      </c>
    </row>
    <row r="1026">
      <c r="A1026">
        <f>IF(AND(OR(Query!$B$4="All",'Compliance Database'!$A1026=Query!$B$4),OR(Query!$B$5="All",ISNUMBER(SEARCH(Query!$B$5,'Compliance Database'!$H1026))),OR(Query!$B$6="All",ISNUMBER(SEARCH(Query!$B$6,'Compliance Database'!$I1026))),OR(Query!$B$7="All",'Compliance Database'!$F1026=Query!$B$7),OR(Query!$B$8="All",'Compliance Database'!$J1026=Query!$B$8),OR(Query!$B$9="",ISNUMBER(SEARCH(Query!$B$9,'Compliance Database'!$D1026&amp;" "&amp;'Compliance Database'!$K1026&amp;" "&amp;'Compliance Database'!$L1026&amp;" "&amp;'Compliance Database'!$M1026&amp;" "&amp;'Compliance Database'!$N1026)))),1,0)</f>
        <v/>
      </c>
      <c r="B1026">
        <f>IF($A1026=1,SUM($A$2:$A1026),"")</f>
        <v/>
      </c>
      <c r="C1026">
        <f>IF($A1026=1,SUM($A$2:$A1026),0)</f>
        <v/>
      </c>
    </row>
    <row r="1027">
      <c r="A1027">
        <f>IF(AND(OR(Query!$B$4="All",'Compliance Database'!$A1027=Query!$B$4),OR(Query!$B$5="All",ISNUMBER(SEARCH(Query!$B$5,'Compliance Database'!$H1027))),OR(Query!$B$6="All",ISNUMBER(SEARCH(Query!$B$6,'Compliance Database'!$I1027))),OR(Query!$B$7="All",'Compliance Database'!$F1027=Query!$B$7),OR(Query!$B$8="All",'Compliance Database'!$J1027=Query!$B$8),OR(Query!$B$9="",ISNUMBER(SEARCH(Query!$B$9,'Compliance Database'!$D1027&amp;" "&amp;'Compliance Database'!$K1027&amp;" "&amp;'Compliance Database'!$L1027&amp;" "&amp;'Compliance Database'!$M1027&amp;" "&amp;'Compliance Database'!$N1027)))),1,0)</f>
        <v/>
      </c>
      <c r="B1027">
        <f>IF($A1027=1,SUM($A$2:$A1027),"")</f>
        <v/>
      </c>
      <c r="C1027">
        <f>IF($A1027=1,SUM($A$2:$A1027),0)</f>
        <v/>
      </c>
    </row>
    <row r="1028">
      <c r="A1028">
        <f>IF(AND(OR(Query!$B$4="All",'Compliance Database'!$A1028=Query!$B$4),OR(Query!$B$5="All",ISNUMBER(SEARCH(Query!$B$5,'Compliance Database'!$H1028))),OR(Query!$B$6="All",ISNUMBER(SEARCH(Query!$B$6,'Compliance Database'!$I1028))),OR(Query!$B$7="All",'Compliance Database'!$F1028=Query!$B$7),OR(Query!$B$8="All",'Compliance Database'!$J1028=Query!$B$8),OR(Query!$B$9="",ISNUMBER(SEARCH(Query!$B$9,'Compliance Database'!$D1028&amp;" "&amp;'Compliance Database'!$K1028&amp;" "&amp;'Compliance Database'!$L1028&amp;" "&amp;'Compliance Database'!$M1028&amp;" "&amp;'Compliance Database'!$N1028)))),1,0)</f>
        <v/>
      </c>
      <c r="B1028">
        <f>IF($A1028=1,SUM($A$2:$A1028),"")</f>
        <v/>
      </c>
      <c r="C1028">
        <f>IF($A1028=1,SUM($A$2:$A1028),0)</f>
        <v/>
      </c>
    </row>
    <row r="1029">
      <c r="A1029">
        <f>IF(AND(OR(Query!$B$4="All",'Compliance Database'!$A1029=Query!$B$4),OR(Query!$B$5="All",ISNUMBER(SEARCH(Query!$B$5,'Compliance Database'!$H1029))),OR(Query!$B$6="All",ISNUMBER(SEARCH(Query!$B$6,'Compliance Database'!$I1029))),OR(Query!$B$7="All",'Compliance Database'!$F1029=Query!$B$7),OR(Query!$B$8="All",'Compliance Database'!$J1029=Query!$B$8),OR(Query!$B$9="",ISNUMBER(SEARCH(Query!$B$9,'Compliance Database'!$D1029&amp;" "&amp;'Compliance Database'!$K1029&amp;" "&amp;'Compliance Database'!$L1029&amp;" "&amp;'Compliance Database'!$M1029&amp;" "&amp;'Compliance Database'!$N1029)))),1,0)</f>
        <v/>
      </c>
      <c r="B1029">
        <f>IF($A1029=1,SUM($A$2:$A1029),"")</f>
        <v/>
      </c>
      <c r="C1029">
        <f>IF($A1029=1,SUM($A$2:$A1029),0)</f>
        <v/>
      </c>
    </row>
    <row r="1030">
      <c r="A1030">
        <f>IF(AND(OR(Query!$B$4="All",'Compliance Database'!$A1030=Query!$B$4),OR(Query!$B$5="All",ISNUMBER(SEARCH(Query!$B$5,'Compliance Database'!$H1030))),OR(Query!$B$6="All",ISNUMBER(SEARCH(Query!$B$6,'Compliance Database'!$I1030))),OR(Query!$B$7="All",'Compliance Database'!$F1030=Query!$B$7),OR(Query!$B$8="All",'Compliance Database'!$J1030=Query!$B$8),OR(Query!$B$9="",ISNUMBER(SEARCH(Query!$B$9,'Compliance Database'!$D1030&amp;" "&amp;'Compliance Database'!$K1030&amp;" "&amp;'Compliance Database'!$L1030&amp;" "&amp;'Compliance Database'!$M1030&amp;" "&amp;'Compliance Database'!$N1030)))),1,0)</f>
        <v/>
      </c>
      <c r="B1030">
        <f>IF($A1030=1,SUM($A$2:$A1030),"")</f>
        <v/>
      </c>
      <c r="C1030">
        <f>IF($A1030=1,SUM($A$2:$A1030),0)</f>
        <v/>
      </c>
    </row>
    <row r="1031">
      <c r="A1031">
        <f>IF(AND(OR(Query!$B$4="All",'Compliance Database'!$A1031=Query!$B$4),OR(Query!$B$5="All",ISNUMBER(SEARCH(Query!$B$5,'Compliance Database'!$H1031))),OR(Query!$B$6="All",ISNUMBER(SEARCH(Query!$B$6,'Compliance Database'!$I1031))),OR(Query!$B$7="All",'Compliance Database'!$F1031=Query!$B$7),OR(Query!$B$8="All",'Compliance Database'!$J1031=Query!$B$8),OR(Query!$B$9="",ISNUMBER(SEARCH(Query!$B$9,'Compliance Database'!$D1031&amp;" "&amp;'Compliance Database'!$K1031&amp;" "&amp;'Compliance Database'!$L1031&amp;" "&amp;'Compliance Database'!$M1031&amp;" "&amp;'Compliance Database'!$N1031)))),1,0)</f>
        <v/>
      </c>
      <c r="B1031">
        <f>IF($A1031=1,SUM($A$2:$A1031),"")</f>
        <v/>
      </c>
      <c r="C1031">
        <f>IF($A1031=1,SUM($A$2:$A1031),0)</f>
        <v/>
      </c>
    </row>
    <row r="1032">
      <c r="A1032">
        <f>IF(AND(OR(Query!$B$4="All",'Compliance Database'!$A1032=Query!$B$4),OR(Query!$B$5="All",ISNUMBER(SEARCH(Query!$B$5,'Compliance Database'!$H1032))),OR(Query!$B$6="All",ISNUMBER(SEARCH(Query!$B$6,'Compliance Database'!$I1032))),OR(Query!$B$7="All",'Compliance Database'!$F1032=Query!$B$7),OR(Query!$B$8="All",'Compliance Database'!$J1032=Query!$B$8),OR(Query!$B$9="",ISNUMBER(SEARCH(Query!$B$9,'Compliance Database'!$D1032&amp;" "&amp;'Compliance Database'!$K1032&amp;" "&amp;'Compliance Database'!$L1032&amp;" "&amp;'Compliance Database'!$M1032&amp;" "&amp;'Compliance Database'!$N1032)))),1,0)</f>
        <v/>
      </c>
      <c r="B1032">
        <f>IF($A1032=1,SUM($A$2:$A1032),"")</f>
        <v/>
      </c>
      <c r="C1032">
        <f>IF($A1032=1,SUM($A$2:$A1032),0)</f>
        <v/>
      </c>
    </row>
    <row r="1033">
      <c r="A1033">
        <f>IF(AND(OR(Query!$B$4="All",'Compliance Database'!$A1033=Query!$B$4),OR(Query!$B$5="All",ISNUMBER(SEARCH(Query!$B$5,'Compliance Database'!$H1033))),OR(Query!$B$6="All",ISNUMBER(SEARCH(Query!$B$6,'Compliance Database'!$I1033))),OR(Query!$B$7="All",'Compliance Database'!$F1033=Query!$B$7),OR(Query!$B$8="All",'Compliance Database'!$J1033=Query!$B$8),OR(Query!$B$9="",ISNUMBER(SEARCH(Query!$B$9,'Compliance Database'!$D1033&amp;" "&amp;'Compliance Database'!$K1033&amp;" "&amp;'Compliance Database'!$L1033&amp;" "&amp;'Compliance Database'!$M1033&amp;" "&amp;'Compliance Database'!$N1033)))),1,0)</f>
        <v/>
      </c>
      <c r="B1033">
        <f>IF($A1033=1,SUM($A$2:$A1033),"")</f>
        <v/>
      </c>
      <c r="C1033">
        <f>IF($A1033=1,SUM($A$2:$A1033),0)</f>
        <v/>
      </c>
    </row>
    <row r="1034">
      <c r="A1034">
        <f>IF(AND(OR(Query!$B$4="All",'Compliance Database'!$A1034=Query!$B$4),OR(Query!$B$5="All",ISNUMBER(SEARCH(Query!$B$5,'Compliance Database'!$H1034))),OR(Query!$B$6="All",ISNUMBER(SEARCH(Query!$B$6,'Compliance Database'!$I1034))),OR(Query!$B$7="All",'Compliance Database'!$F1034=Query!$B$7),OR(Query!$B$8="All",'Compliance Database'!$J1034=Query!$B$8),OR(Query!$B$9="",ISNUMBER(SEARCH(Query!$B$9,'Compliance Database'!$D1034&amp;" "&amp;'Compliance Database'!$K1034&amp;" "&amp;'Compliance Database'!$L1034&amp;" "&amp;'Compliance Database'!$M1034&amp;" "&amp;'Compliance Database'!$N1034)))),1,0)</f>
        <v/>
      </c>
      <c r="B1034">
        <f>IF($A1034=1,SUM($A$2:$A1034),"")</f>
        <v/>
      </c>
      <c r="C1034">
        <f>IF($A1034=1,SUM($A$2:$A1034),0)</f>
        <v/>
      </c>
    </row>
    <row r="1035">
      <c r="A1035">
        <f>IF(AND(OR(Query!$B$4="All",'Compliance Database'!$A1035=Query!$B$4),OR(Query!$B$5="All",ISNUMBER(SEARCH(Query!$B$5,'Compliance Database'!$H1035))),OR(Query!$B$6="All",ISNUMBER(SEARCH(Query!$B$6,'Compliance Database'!$I1035))),OR(Query!$B$7="All",'Compliance Database'!$F1035=Query!$B$7),OR(Query!$B$8="All",'Compliance Database'!$J1035=Query!$B$8),OR(Query!$B$9="",ISNUMBER(SEARCH(Query!$B$9,'Compliance Database'!$D1035&amp;" "&amp;'Compliance Database'!$K1035&amp;" "&amp;'Compliance Database'!$L1035&amp;" "&amp;'Compliance Database'!$M1035&amp;" "&amp;'Compliance Database'!$N1035)))),1,0)</f>
        <v/>
      </c>
      <c r="B1035">
        <f>IF($A1035=1,SUM($A$2:$A1035),"")</f>
        <v/>
      </c>
      <c r="C1035">
        <f>IF($A1035=1,SUM($A$2:$A1035),0)</f>
        <v/>
      </c>
    </row>
    <row r="1036">
      <c r="A1036">
        <f>IF(AND(OR(Query!$B$4="All",'Compliance Database'!$A1036=Query!$B$4),OR(Query!$B$5="All",ISNUMBER(SEARCH(Query!$B$5,'Compliance Database'!$H1036))),OR(Query!$B$6="All",ISNUMBER(SEARCH(Query!$B$6,'Compliance Database'!$I1036))),OR(Query!$B$7="All",'Compliance Database'!$F1036=Query!$B$7),OR(Query!$B$8="All",'Compliance Database'!$J1036=Query!$B$8),OR(Query!$B$9="",ISNUMBER(SEARCH(Query!$B$9,'Compliance Database'!$D1036&amp;" "&amp;'Compliance Database'!$K1036&amp;" "&amp;'Compliance Database'!$L1036&amp;" "&amp;'Compliance Database'!$M1036&amp;" "&amp;'Compliance Database'!$N1036)))),1,0)</f>
        <v/>
      </c>
      <c r="B1036">
        <f>IF($A1036=1,SUM($A$2:$A1036),"")</f>
        <v/>
      </c>
      <c r="C1036">
        <f>IF($A1036=1,SUM($A$2:$A1036),0)</f>
        <v/>
      </c>
    </row>
    <row r="1037">
      <c r="A1037">
        <f>IF(AND(OR(Query!$B$4="All",'Compliance Database'!$A1037=Query!$B$4),OR(Query!$B$5="All",ISNUMBER(SEARCH(Query!$B$5,'Compliance Database'!$H1037))),OR(Query!$B$6="All",ISNUMBER(SEARCH(Query!$B$6,'Compliance Database'!$I1037))),OR(Query!$B$7="All",'Compliance Database'!$F1037=Query!$B$7),OR(Query!$B$8="All",'Compliance Database'!$J1037=Query!$B$8),OR(Query!$B$9="",ISNUMBER(SEARCH(Query!$B$9,'Compliance Database'!$D1037&amp;" "&amp;'Compliance Database'!$K1037&amp;" "&amp;'Compliance Database'!$L1037&amp;" "&amp;'Compliance Database'!$M1037&amp;" "&amp;'Compliance Database'!$N1037)))),1,0)</f>
        <v/>
      </c>
      <c r="B1037">
        <f>IF($A1037=1,SUM($A$2:$A1037),"")</f>
        <v/>
      </c>
      <c r="C1037">
        <f>IF($A1037=1,SUM($A$2:$A1037),0)</f>
        <v/>
      </c>
    </row>
    <row r="1038">
      <c r="A1038">
        <f>IF(AND(OR(Query!$B$4="All",'Compliance Database'!$A1038=Query!$B$4),OR(Query!$B$5="All",ISNUMBER(SEARCH(Query!$B$5,'Compliance Database'!$H1038))),OR(Query!$B$6="All",ISNUMBER(SEARCH(Query!$B$6,'Compliance Database'!$I1038))),OR(Query!$B$7="All",'Compliance Database'!$F1038=Query!$B$7),OR(Query!$B$8="All",'Compliance Database'!$J1038=Query!$B$8),OR(Query!$B$9="",ISNUMBER(SEARCH(Query!$B$9,'Compliance Database'!$D1038&amp;" "&amp;'Compliance Database'!$K1038&amp;" "&amp;'Compliance Database'!$L1038&amp;" "&amp;'Compliance Database'!$M1038&amp;" "&amp;'Compliance Database'!$N1038)))),1,0)</f>
        <v/>
      </c>
      <c r="B1038">
        <f>IF($A1038=1,SUM($A$2:$A1038),"")</f>
        <v/>
      </c>
      <c r="C1038">
        <f>IF($A1038=1,SUM($A$2:$A1038),0)</f>
        <v/>
      </c>
    </row>
    <row r="1039">
      <c r="A1039">
        <f>IF(AND(OR(Query!$B$4="All",'Compliance Database'!$A1039=Query!$B$4),OR(Query!$B$5="All",ISNUMBER(SEARCH(Query!$B$5,'Compliance Database'!$H1039))),OR(Query!$B$6="All",ISNUMBER(SEARCH(Query!$B$6,'Compliance Database'!$I1039))),OR(Query!$B$7="All",'Compliance Database'!$F1039=Query!$B$7),OR(Query!$B$8="All",'Compliance Database'!$J1039=Query!$B$8),OR(Query!$B$9="",ISNUMBER(SEARCH(Query!$B$9,'Compliance Database'!$D1039&amp;" "&amp;'Compliance Database'!$K1039&amp;" "&amp;'Compliance Database'!$L1039&amp;" "&amp;'Compliance Database'!$M1039&amp;" "&amp;'Compliance Database'!$N1039)))),1,0)</f>
        <v/>
      </c>
      <c r="B1039">
        <f>IF($A1039=1,SUM($A$2:$A1039),"")</f>
        <v/>
      </c>
      <c r="C1039">
        <f>IF($A1039=1,SUM($A$2:$A1039),0)</f>
        <v/>
      </c>
    </row>
    <row r="1040">
      <c r="A1040">
        <f>IF(AND(OR(Query!$B$4="All",'Compliance Database'!$A1040=Query!$B$4),OR(Query!$B$5="All",ISNUMBER(SEARCH(Query!$B$5,'Compliance Database'!$H1040))),OR(Query!$B$6="All",ISNUMBER(SEARCH(Query!$B$6,'Compliance Database'!$I1040))),OR(Query!$B$7="All",'Compliance Database'!$F1040=Query!$B$7),OR(Query!$B$8="All",'Compliance Database'!$J1040=Query!$B$8),OR(Query!$B$9="",ISNUMBER(SEARCH(Query!$B$9,'Compliance Database'!$D1040&amp;" "&amp;'Compliance Database'!$K1040&amp;" "&amp;'Compliance Database'!$L1040&amp;" "&amp;'Compliance Database'!$M1040&amp;" "&amp;'Compliance Database'!$N1040)))),1,0)</f>
        <v/>
      </c>
      <c r="B1040">
        <f>IF($A1040=1,SUM($A$2:$A1040),"")</f>
        <v/>
      </c>
      <c r="C1040">
        <f>IF($A1040=1,SUM($A$2:$A1040),0)</f>
        <v/>
      </c>
    </row>
    <row r="1041">
      <c r="A1041">
        <f>IF(AND(OR(Query!$B$4="All",'Compliance Database'!$A1041=Query!$B$4),OR(Query!$B$5="All",ISNUMBER(SEARCH(Query!$B$5,'Compliance Database'!$H1041))),OR(Query!$B$6="All",ISNUMBER(SEARCH(Query!$B$6,'Compliance Database'!$I1041))),OR(Query!$B$7="All",'Compliance Database'!$F1041=Query!$B$7),OR(Query!$B$8="All",'Compliance Database'!$J1041=Query!$B$8),OR(Query!$B$9="",ISNUMBER(SEARCH(Query!$B$9,'Compliance Database'!$D1041&amp;" "&amp;'Compliance Database'!$K1041&amp;" "&amp;'Compliance Database'!$L1041&amp;" "&amp;'Compliance Database'!$M1041&amp;" "&amp;'Compliance Database'!$N1041)))),1,0)</f>
        <v/>
      </c>
      <c r="B1041">
        <f>IF($A1041=1,SUM($A$2:$A1041),"")</f>
        <v/>
      </c>
      <c r="C1041">
        <f>IF($A1041=1,SUM($A$2:$A1041),0)</f>
        <v/>
      </c>
    </row>
    <row r="1042">
      <c r="A1042">
        <f>IF(AND(OR(Query!$B$4="All",'Compliance Database'!$A1042=Query!$B$4),OR(Query!$B$5="All",ISNUMBER(SEARCH(Query!$B$5,'Compliance Database'!$H1042))),OR(Query!$B$6="All",ISNUMBER(SEARCH(Query!$B$6,'Compliance Database'!$I1042))),OR(Query!$B$7="All",'Compliance Database'!$F1042=Query!$B$7),OR(Query!$B$8="All",'Compliance Database'!$J1042=Query!$B$8),OR(Query!$B$9="",ISNUMBER(SEARCH(Query!$B$9,'Compliance Database'!$D1042&amp;" "&amp;'Compliance Database'!$K1042&amp;" "&amp;'Compliance Database'!$L1042&amp;" "&amp;'Compliance Database'!$M1042&amp;" "&amp;'Compliance Database'!$N1042)))),1,0)</f>
        <v/>
      </c>
      <c r="B1042">
        <f>IF($A1042=1,SUM($A$2:$A1042),"")</f>
        <v/>
      </c>
      <c r="C1042">
        <f>IF($A1042=1,SUM($A$2:$A1042),0)</f>
        <v/>
      </c>
    </row>
    <row r="1043">
      <c r="A1043">
        <f>IF(AND(OR(Query!$B$4="All",'Compliance Database'!$A1043=Query!$B$4),OR(Query!$B$5="All",ISNUMBER(SEARCH(Query!$B$5,'Compliance Database'!$H1043))),OR(Query!$B$6="All",ISNUMBER(SEARCH(Query!$B$6,'Compliance Database'!$I1043))),OR(Query!$B$7="All",'Compliance Database'!$F1043=Query!$B$7),OR(Query!$B$8="All",'Compliance Database'!$J1043=Query!$B$8),OR(Query!$B$9="",ISNUMBER(SEARCH(Query!$B$9,'Compliance Database'!$D1043&amp;" "&amp;'Compliance Database'!$K1043&amp;" "&amp;'Compliance Database'!$L1043&amp;" "&amp;'Compliance Database'!$M1043&amp;" "&amp;'Compliance Database'!$N1043)))),1,0)</f>
        <v/>
      </c>
      <c r="B1043">
        <f>IF($A1043=1,SUM($A$2:$A1043),"")</f>
        <v/>
      </c>
      <c r="C1043">
        <f>IF($A1043=1,SUM($A$2:$A1043),0)</f>
        <v/>
      </c>
    </row>
    <row r="1044">
      <c r="A1044">
        <f>IF(AND(OR(Query!$B$4="All",'Compliance Database'!$A1044=Query!$B$4),OR(Query!$B$5="All",ISNUMBER(SEARCH(Query!$B$5,'Compliance Database'!$H1044))),OR(Query!$B$6="All",ISNUMBER(SEARCH(Query!$B$6,'Compliance Database'!$I1044))),OR(Query!$B$7="All",'Compliance Database'!$F1044=Query!$B$7),OR(Query!$B$8="All",'Compliance Database'!$J1044=Query!$B$8),OR(Query!$B$9="",ISNUMBER(SEARCH(Query!$B$9,'Compliance Database'!$D1044&amp;" "&amp;'Compliance Database'!$K1044&amp;" "&amp;'Compliance Database'!$L1044&amp;" "&amp;'Compliance Database'!$M1044&amp;" "&amp;'Compliance Database'!$N1044)))),1,0)</f>
        <v/>
      </c>
      <c r="B1044">
        <f>IF($A1044=1,SUM($A$2:$A1044),"")</f>
        <v/>
      </c>
      <c r="C1044">
        <f>IF($A1044=1,SUM($A$2:$A1044),0)</f>
        <v/>
      </c>
    </row>
    <row r="1045">
      <c r="A1045">
        <f>IF(AND(OR(Query!$B$4="All",'Compliance Database'!$A1045=Query!$B$4),OR(Query!$B$5="All",ISNUMBER(SEARCH(Query!$B$5,'Compliance Database'!$H1045))),OR(Query!$B$6="All",ISNUMBER(SEARCH(Query!$B$6,'Compliance Database'!$I1045))),OR(Query!$B$7="All",'Compliance Database'!$F1045=Query!$B$7),OR(Query!$B$8="All",'Compliance Database'!$J1045=Query!$B$8),OR(Query!$B$9="",ISNUMBER(SEARCH(Query!$B$9,'Compliance Database'!$D1045&amp;" "&amp;'Compliance Database'!$K1045&amp;" "&amp;'Compliance Database'!$L1045&amp;" "&amp;'Compliance Database'!$M1045&amp;" "&amp;'Compliance Database'!$N1045)))),1,0)</f>
        <v/>
      </c>
      <c r="B1045">
        <f>IF($A1045=1,SUM($A$2:$A1045),"")</f>
        <v/>
      </c>
      <c r="C1045">
        <f>IF($A1045=1,SUM($A$2:$A1045),0)</f>
        <v/>
      </c>
    </row>
    <row r="1046">
      <c r="A1046">
        <f>IF(AND(OR(Query!$B$4="All",'Compliance Database'!$A1046=Query!$B$4),OR(Query!$B$5="All",ISNUMBER(SEARCH(Query!$B$5,'Compliance Database'!$H1046))),OR(Query!$B$6="All",ISNUMBER(SEARCH(Query!$B$6,'Compliance Database'!$I1046))),OR(Query!$B$7="All",'Compliance Database'!$F1046=Query!$B$7),OR(Query!$B$8="All",'Compliance Database'!$J1046=Query!$B$8),OR(Query!$B$9="",ISNUMBER(SEARCH(Query!$B$9,'Compliance Database'!$D1046&amp;" "&amp;'Compliance Database'!$K1046&amp;" "&amp;'Compliance Database'!$L1046&amp;" "&amp;'Compliance Database'!$M1046&amp;" "&amp;'Compliance Database'!$N1046)))),1,0)</f>
        <v/>
      </c>
      <c r="B1046">
        <f>IF($A1046=1,SUM($A$2:$A1046),"")</f>
        <v/>
      </c>
      <c r="C1046">
        <f>IF($A1046=1,SUM($A$2:$A1046),0)</f>
        <v/>
      </c>
    </row>
    <row r="1047">
      <c r="A1047">
        <f>IF(AND(OR(Query!$B$4="All",'Compliance Database'!$A1047=Query!$B$4),OR(Query!$B$5="All",ISNUMBER(SEARCH(Query!$B$5,'Compliance Database'!$H1047))),OR(Query!$B$6="All",ISNUMBER(SEARCH(Query!$B$6,'Compliance Database'!$I1047))),OR(Query!$B$7="All",'Compliance Database'!$F1047=Query!$B$7),OR(Query!$B$8="All",'Compliance Database'!$J1047=Query!$B$8),OR(Query!$B$9="",ISNUMBER(SEARCH(Query!$B$9,'Compliance Database'!$D1047&amp;" "&amp;'Compliance Database'!$K1047&amp;" "&amp;'Compliance Database'!$L1047&amp;" "&amp;'Compliance Database'!$M1047&amp;" "&amp;'Compliance Database'!$N1047)))),1,0)</f>
        <v/>
      </c>
      <c r="B1047">
        <f>IF($A1047=1,SUM($A$2:$A1047),"")</f>
        <v/>
      </c>
      <c r="C1047">
        <f>IF($A1047=1,SUM($A$2:$A1047),0)</f>
        <v/>
      </c>
    </row>
    <row r="1048">
      <c r="A1048">
        <f>IF(AND(OR(Query!$B$4="All",'Compliance Database'!$A1048=Query!$B$4),OR(Query!$B$5="All",ISNUMBER(SEARCH(Query!$B$5,'Compliance Database'!$H1048))),OR(Query!$B$6="All",ISNUMBER(SEARCH(Query!$B$6,'Compliance Database'!$I1048))),OR(Query!$B$7="All",'Compliance Database'!$F1048=Query!$B$7),OR(Query!$B$8="All",'Compliance Database'!$J1048=Query!$B$8),OR(Query!$B$9="",ISNUMBER(SEARCH(Query!$B$9,'Compliance Database'!$D1048&amp;" "&amp;'Compliance Database'!$K1048&amp;" "&amp;'Compliance Database'!$L1048&amp;" "&amp;'Compliance Database'!$M1048&amp;" "&amp;'Compliance Database'!$N1048)))),1,0)</f>
        <v/>
      </c>
      <c r="B1048">
        <f>IF($A1048=1,SUM($A$2:$A1048),"")</f>
        <v/>
      </c>
      <c r="C1048">
        <f>IF($A1048=1,SUM($A$2:$A1048),0)</f>
        <v/>
      </c>
    </row>
    <row r="1049">
      <c r="A1049">
        <f>IF(AND(OR(Query!$B$4="All",'Compliance Database'!$A1049=Query!$B$4),OR(Query!$B$5="All",ISNUMBER(SEARCH(Query!$B$5,'Compliance Database'!$H1049))),OR(Query!$B$6="All",ISNUMBER(SEARCH(Query!$B$6,'Compliance Database'!$I1049))),OR(Query!$B$7="All",'Compliance Database'!$F1049=Query!$B$7),OR(Query!$B$8="All",'Compliance Database'!$J1049=Query!$B$8),OR(Query!$B$9="",ISNUMBER(SEARCH(Query!$B$9,'Compliance Database'!$D1049&amp;" "&amp;'Compliance Database'!$K1049&amp;" "&amp;'Compliance Database'!$L1049&amp;" "&amp;'Compliance Database'!$M1049&amp;" "&amp;'Compliance Database'!$N1049)))),1,0)</f>
        <v/>
      </c>
      <c r="B1049">
        <f>IF($A1049=1,SUM($A$2:$A1049),"")</f>
        <v/>
      </c>
      <c r="C1049">
        <f>IF($A1049=1,SUM($A$2:$A1049),0)</f>
        <v/>
      </c>
    </row>
    <row r="1050">
      <c r="A1050">
        <f>IF(AND(OR(Query!$B$4="All",'Compliance Database'!$A1050=Query!$B$4),OR(Query!$B$5="All",ISNUMBER(SEARCH(Query!$B$5,'Compliance Database'!$H1050))),OR(Query!$B$6="All",ISNUMBER(SEARCH(Query!$B$6,'Compliance Database'!$I1050))),OR(Query!$B$7="All",'Compliance Database'!$F1050=Query!$B$7),OR(Query!$B$8="All",'Compliance Database'!$J1050=Query!$B$8),OR(Query!$B$9="",ISNUMBER(SEARCH(Query!$B$9,'Compliance Database'!$D1050&amp;" "&amp;'Compliance Database'!$K1050&amp;" "&amp;'Compliance Database'!$L1050&amp;" "&amp;'Compliance Database'!$M1050&amp;" "&amp;'Compliance Database'!$N1050)))),1,0)</f>
        <v/>
      </c>
      <c r="B1050">
        <f>IF($A1050=1,SUM($A$2:$A1050),"")</f>
        <v/>
      </c>
      <c r="C1050">
        <f>IF($A1050=1,SUM($A$2:$A1050),0)</f>
        <v/>
      </c>
    </row>
    <row r="1051">
      <c r="A1051">
        <f>IF(AND(OR(Query!$B$4="All",'Compliance Database'!$A1051=Query!$B$4),OR(Query!$B$5="All",ISNUMBER(SEARCH(Query!$B$5,'Compliance Database'!$H1051))),OR(Query!$B$6="All",ISNUMBER(SEARCH(Query!$B$6,'Compliance Database'!$I1051))),OR(Query!$B$7="All",'Compliance Database'!$F1051=Query!$B$7),OR(Query!$B$8="All",'Compliance Database'!$J1051=Query!$B$8),OR(Query!$B$9="",ISNUMBER(SEARCH(Query!$B$9,'Compliance Database'!$D1051&amp;" "&amp;'Compliance Database'!$K1051&amp;" "&amp;'Compliance Database'!$L1051&amp;" "&amp;'Compliance Database'!$M1051&amp;" "&amp;'Compliance Database'!$N1051)))),1,0)</f>
        <v/>
      </c>
      <c r="B1051">
        <f>IF($A1051=1,SUM($A$2:$A1051),"")</f>
        <v/>
      </c>
      <c r="C1051">
        <f>IF($A1051=1,SUM($A$2:$A1051),0)</f>
        <v/>
      </c>
    </row>
    <row r="1052">
      <c r="A1052">
        <f>IF(AND(OR(Query!$B$4="All",'Compliance Database'!$A1052=Query!$B$4),OR(Query!$B$5="All",ISNUMBER(SEARCH(Query!$B$5,'Compliance Database'!$H1052))),OR(Query!$B$6="All",ISNUMBER(SEARCH(Query!$B$6,'Compliance Database'!$I1052))),OR(Query!$B$7="All",'Compliance Database'!$F1052=Query!$B$7),OR(Query!$B$8="All",'Compliance Database'!$J1052=Query!$B$8),OR(Query!$B$9="",ISNUMBER(SEARCH(Query!$B$9,'Compliance Database'!$D1052&amp;" "&amp;'Compliance Database'!$K1052&amp;" "&amp;'Compliance Database'!$L1052&amp;" "&amp;'Compliance Database'!$M1052&amp;" "&amp;'Compliance Database'!$N1052)))),1,0)</f>
        <v/>
      </c>
      <c r="B1052">
        <f>IF($A1052=1,SUM($A$2:$A1052),"")</f>
        <v/>
      </c>
      <c r="C1052">
        <f>IF($A1052=1,SUM($A$2:$A1052),0)</f>
        <v/>
      </c>
    </row>
    <row r="1053">
      <c r="A1053">
        <f>IF(AND(OR(Query!$B$4="All",'Compliance Database'!$A1053=Query!$B$4),OR(Query!$B$5="All",ISNUMBER(SEARCH(Query!$B$5,'Compliance Database'!$H1053))),OR(Query!$B$6="All",ISNUMBER(SEARCH(Query!$B$6,'Compliance Database'!$I1053))),OR(Query!$B$7="All",'Compliance Database'!$F1053=Query!$B$7),OR(Query!$B$8="All",'Compliance Database'!$J1053=Query!$B$8),OR(Query!$B$9="",ISNUMBER(SEARCH(Query!$B$9,'Compliance Database'!$D1053&amp;" "&amp;'Compliance Database'!$K1053&amp;" "&amp;'Compliance Database'!$L1053&amp;" "&amp;'Compliance Database'!$M1053&amp;" "&amp;'Compliance Database'!$N1053)))),1,0)</f>
        <v/>
      </c>
      <c r="B1053">
        <f>IF($A1053=1,SUM($A$2:$A1053),"")</f>
        <v/>
      </c>
      <c r="C1053">
        <f>IF($A1053=1,SUM($A$2:$A1053),0)</f>
        <v/>
      </c>
    </row>
    <row r="1054">
      <c r="A1054">
        <f>IF(AND(OR(Query!$B$4="All",'Compliance Database'!$A1054=Query!$B$4),OR(Query!$B$5="All",ISNUMBER(SEARCH(Query!$B$5,'Compliance Database'!$H1054))),OR(Query!$B$6="All",ISNUMBER(SEARCH(Query!$B$6,'Compliance Database'!$I1054))),OR(Query!$B$7="All",'Compliance Database'!$F1054=Query!$B$7),OR(Query!$B$8="All",'Compliance Database'!$J1054=Query!$B$8),OR(Query!$B$9="",ISNUMBER(SEARCH(Query!$B$9,'Compliance Database'!$D1054&amp;" "&amp;'Compliance Database'!$K1054&amp;" "&amp;'Compliance Database'!$L1054&amp;" "&amp;'Compliance Database'!$M1054&amp;" "&amp;'Compliance Database'!$N1054)))),1,0)</f>
        <v/>
      </c>
      <c r="B1054">
        <f>IF($A1054=1,SUM($A$2:$A1054),"")</f>
        <v/>
      </c>
      <c r="C1054">
        <f>IF($A1054=1,SUM($A$2:$A1054),0)</f>
        <v/>
      </c>
    </row>
    <row r="1055">
      <c r="A1055">
        <f>IF(AND(OR(Query!$B$4="All",'Compliance Database'!$A1055=Query!$B$4),OR(Query!$B$5="All",ISNUMBER(SEARCH(Query!$B$5,'Compliance Database'!$H1055))),OR(Query!$B$6="All",ISNUMBER(SEARCH(Query!$B$6,'Compliance Database'!$I1055))),OR(Query!$B$7="All",'Compliance Database'!$F1055=Query!$B$7),OR(Query!$B$8="All",'Compliance Database'!$J1055=Query!$B$8),OR(Query!$B$9="",ISNUMBER(SEARCH(Query!$B$9,'Compliance Database'!$D1055&amp;" "&amp;'Compliance Database'!$K1055&amp;" "&amp;'Compliance Database'!$L1055&amp;" "&amp;'Compliance Database'!$M1055&amp;" "&amp;'Compliance Database'!$N1055)))),1,0)</f>
        <v/>
      </c>
      <c r="B1055">
        <f>IF($A1055=1,SUM($A$2:$A1055),"")</f>
        <v/>
      </c>
      <c r="C1055">
        <f>IF($A1055=1,SUM($A$2:$A1055),0)</f>
        <v/>
      </c>
    </row>
    <row r="1056">
      <c r="A1056">
        <f>IF(AND(OR(Query!$B$4="All",'Compliance Database'!$A1056=Query!$B$4),OR(Query!$B$5="All",ISNUMBER(SEARCH(Query!$B$5,'Compliance Database'!$H1056))),OR(Query!$B$6="All",ISNUMBER(SEARCH(Query!$B$6,'Compliance Database'!$I1056))),OR(Query!$B$7="All",'Compliance Database'!$F1056=Query!$B$7),OR(Query!$B$8="All",'Compliance Database'!$J1056=Query!$B$8),OR(Query!$B$9="",ISNUMBER(SEARCH(Query!$B$9,'Compliance Database'!$D1056&amp;" "&amp;'Compliance Database'!$K1056&amp;" "&amp;'Compliance Database'!$L1056&amp;" "&amp;'Compliance Database'!$M1056&amp;" "&amp;'Compliance Database'!$N1056)))),1,0)</f>
        <v/>
      </c>
      <c r="B1056">
        <f>IF($A1056=1,SUM($A$2:$A1056),"")</f>
        <v/>
      </c>
      <c r="C1056">
        <f>IF($A1056=1,SUM($A$2:$A1056),0)</f>
        <v/>
      </c>
    </row>
    <row r="1057">
      <c r="A1057">
        <f>IF(AND(OR(Query!$B$4="All",'Compliance Database'!$A1057=Query!$B$4),OR(Query!$B$5="All",ISNUMBER(SEARCH(Query!$B$5,'Compliance Database'!$H1057))),OR(Query!$B$6="All",ISNUMBER(SEARCH(Query!$B$6,'Compliance Database'!$I1057))),OR(Query!$B$7="All",'Compliance Database'!$F1057=Query!$B$7),OR(Query!$B$8="All",'Compliance Database'!$J1057=Query!$B$8),OR(Query!$B$9="",ISNUMBER(SEARCH(Query!$B$9,'Compliance Database'!$D1057&amp;" "&amp;'Compliance Database'!$K1057&amp;" "&amp;'Compliance Database'!$L1057&amp;" "&amp;'Compliance Database'!$M1057&amp;" "&amp;'Compliance Database'!$N1057)))),1,0)</f>
        <v/>
      </c>
      <c r="B1057">
        <f>IF($A1057=1,SUM($A$2:$A1057),"")</f>
        <v/>
      </c>
      <c r="C1057">
        <f>IF($A1057=1,SUM($A$2:$A1057),0)</f>
        <v/>
      </c>
    </row>
    <row r="1058">
      <c r="A1058">
        <f>IF(AND(OR(Query!$B$4="All",'Compliance Database'!$A1058=Query!$B$4),OR(Query!$B$5="All",ISNUMBER(SEARCH(Query!$B$5,'Compliance Database'!$H1058))),OR(Query!$B$6="All",ISNUMBER(SEARCH(Query!$B$6,'Compliance Database'!$I1058))),OR(Query!$B$7="All",'Compliance Database'!$F1058=Query!$B$7),OR(Query!$B$8="All",'Compliance Database'!$J1058=Query!$B$8),OR(Query!$B$9="",ISNUMBER(SEARCH(Query!$B$9,'Compliance Database'!$D1058&amp;" "&amp;'Compliance Database'!$K1058&amp;" "&amp;'Compliance Database'!$L1058&amp;" "&amp;'Compliance Database'!$M1058&amp;" "&amp;'Compliance Database'!$N1058)))),1,0)</f>
        <v/>
      </c>
      <c r="B1058">
        <f>IF($A1058=1,SUM($A$2:$A1058),"")</f>
        <v/>
      </c>
      <c r="C1058">
        <f>IF($A1058=1,SUM($A$2:$A1058),0)</f>
        <v/>
      </c>
    </row>
    <row r="1059">
      <c r="A1059">
        <f>IF(AND(OR(Query!$B$4="All",'Compliance Database'!$A1059=Query!$B$4),OR(Query!$B$5="All",ISNUMBER(SEARCH(Query!$B$5,'Compliance Database'!$H1059))),OR(Query!$B$6="All",ISNUMBER(SEARCH(Query!$B$6,'Compliance Database'!$I1059))),OR(Query!$B$7="All",'Compliance Database'!$F1059=Query!$B$7),OR(Query!$B$8="All",'Compliance Database'!$J1059=Query!$B$8),OR(Query!$B$9="",ISNUMBER(SEARCH(Query!$B$9,'Compliance Database'!$D1059&amp;" "&amp;'Compliance Database'!$K1059&amp;" "&amp;'Compliance Database'!$L1059&amp;" "&amp;'Compliance Database'!$M1059&amp;" "&amp;'Compliance Database'!$N1059)))),1,0)</f>
        <v/>
      </c>
      <c r="B1059">
        <f>IF($A1059=1,SUM($A$2:$A1059),"")</f>
        <v/>
      </c>
      <c r="C1059">
        <f>IF($A1059=1,SUM($A$2:$A1059),0)</f>
        <v/>
      </c>
    </row>
    <row r="1060">
      <c r="A1060">
        <f>IF(AND(OR(Query!$B$4="All",'Compliance Database'!$A1060=Query!$B$4),OR(Query!$B$5="All",ISNUMBER(SEARCH(Query!$B$5,'Compliance Database'!$H1060))),OR(Query!$B$6="All",ISNUMBER(SEARCH(Query!$B$6,'Compliance Database'!$I1060))),OR(Query!$B$7="All",'Compliance Database'!$F1060=Query!$B$7),OR(Query!$B$8="All",'Compliance Database'!$J1060=Query!$B$8),OR(Query!$B$9="",ISNUMBER(SEARCH(Query!$B$9,'Compliance Database'!$D1060&amp;" "&amp;'Compliance Database'!$K1060&amp;" "&amp;'Compliance Database'!$L1060&amp;" "&amp;'Compliance Database'!$M1060&amp;" "&amp;'Compliance Database'!$N1060)))),1,0)</f>
        <v/>
      </c>
      <c r="B1060">
        <f>IF($A1060=1,SUM($A$2:$A1060),"")</f>
        <v/>
      </c>
      <c r="C1060">
        <f>IF($A1060=1,SUM($A$2:$A1060),0)</f>
        <v/>
      </c>
    </row>
    <row r="1061">
      <c r="A1061">
        <f>IF(AND(OR(Query!$B$4="All",'Compliance Database'!$A1061=Query!$B$4),OR(Query!$B$5="All",ISNUMBER(SEARCH(Query!$B$5,'Compliance Database'!$H1061))),OR(Query!$B$6="All",ISNUMBER(SEARCH(Query!$B$6,'Compliance Database'!$I1061))),OR(Query!$B$7="All",'Compliance Database'!$F1061=Query!$B$7),OR(Query!$B$8="All",'Compliance Database'!$J1061=Query!$B$8),OR(Query!$B$9="",ISNUMBER(SEARCH(Query!$B$9,'Compliance Database'!$D1061&amp;" "&amp;'Compliance Database'!$K1061&amp;" "&amp;'Compliance Database'!$L1061&amp;" "&amp;'Compliance Database'!$M1061&amp;" "&amp;'Compliance Database'!$N1061)))),1,0)</f>
        <v/>
      </c>
      <c r="B1061">
        <f>IF($A1061=1,SUM($A$2:$A1061),"")</f>
        <v/>
      </c>
      <c r="C1061">
        <f>IF($A1061=1,SUM($A$2:$A1061),0)</f>
        <v/>
      </c>
    </row>
    <row r="1062">
      <c r="A1062">
        <f>IF(AND(OR(Query!$B$4="All",'Compliance Database'!$A1062=Query!$B$4),OR(Query!$B$5="All",ISNUMBER(SEARCH(Query!$B$5,'Compliance Database'!$H1062))),OR(Query!$B$6="All",ISNUMBER(SEARCH(Query!$B$6,'Compliance Database'!$I1062))),OR(Query!$B$7="All",'Compliance Database'!$F1062=Query!$B$7),OR(Query!$B$8="All",'Compliance Database'!$J1062=Query!$B$8),OR(Query!$B$9="",ISNUMBER(SEARCH(Query!$B$9,'Compliance Database'!$D1062&amp;" "&amp;'Compliance Database'!$K1062&amp;" "&amp;'Compliance Database'!$L1062&amp;" "&amp;'Compliance Database'!$M1062&amp;" "&amp;'Compliance Database'!$N1062)))),1,0)</f>
        <v/>
      </c>
      <c r="B1062">
        <f>IF($A1062=1,SUM($A$2:$A1062),"")</f>
        <v/>
      </c>
      <c r="C1062">
        <f>IF($A1062=1,SUM($A$2:$A1062),0)</f>
        <v/>
      </c>
    </row>
    <row r="1063">
      <c r="A1063">
        <f>IF(AND(OR(Query!$B$4="All",'Compliance Database'!$A1063=Query!$B$4),OR(Query!$B$5="All",ISNUMBER(SEARCH(Query!$B$5,'Compliance Database'!$H1063))),OR(Query!$B$6="All",ISNUMBER(SEARCH(Query!$B$6,'Compliance Database'!$I1063))),OR(Query!$B$7="All",'Compliance Database'!$F1063=Query!$B$7),OR(Query!$B$8="All",'Compliance Database'!$J1063=Query!$B$8),OR(Query!$B$9="",ISNUMBER(SEARCH(Query!$B$9,'Compliance Database'!$D1063&amp;" "&amp;'Compliance Database'!$K1063&amp;" "&amp;'Compliance Database'!$L1063&amp;" "&amp;'Compliance Database'!$M1063&amp;" "&amp;'Compliance Database'!$N1063)))),1,0)</f>
        <v/>
      </c>
      <c r="B1063">
        <f>IF($A1063=1,SUM($A$2:$A1063),"")</f>
        <v/>
      </c>
      <c r="C1063">
        <f>IF($A1063=1,SUM($A$2:$A1063),0)</f>
        <v/>
      </c>
    </row>
    <row r="1064">
      <c r="A1064">
        <f>IF(AND(OR(Query!$B$4="All",'Compliance Database'!$A1064=Query!$B$4),OR(Query!$B$5="All",ISNUMBER(SEARCH(Query!$B$5,'Compliance Database'!$H1064))),OR(Query!$B$6="All",ISNUMBER(SEARCH(Query!$B$6,'Compliance Database'!$I1064))),OR(Query!$B$7="All",'Compliance Database'!$F1064=Query!$B$7),OR(Query!$B$8="All",'Compliance Database'!$J1064=Query!$B$8),OR(Query!$B$9="",ISNUMBER(SEARCH(Query!$B$9,'Compliance Database'!$D1064&amp;" "&amp;'Compliance Database'!$K1064&amp;" "&amp;'Compliance Database'!$L1064&amp;" "&amp;'Compliance Database'!$M1064&amp;" "&amp;'Compliance Database'!$N1064)))),1,0)</f>
        <v/>
      </c>
      <c r="B1064">
        <f>IF($A1064=1,SUM($A$2:$A1064),"")</f>
        <v/>
      </c>
      <c r="C1064">
        <f>IF($A1064=1,SUM($A$2:$A1064),0)</f>
        <v/>
      </c>
    </row>
    <row r="1065">
      <c r="A1065">
        <f>IF(AND(OR(Query!$B$4="All",'Compliance Database'!$A1065=Query!$B$4),OR(Query!$B$5="All",ISNUMBER(SEARCH(Query!$B$5,'Compliance Database'!$H1065))),OR(Query!$B$6="All",ISNUMBER(SEARCH(Query!$B$6,'Compliance Database'!$I1065))),OR(Query!$B$7="All",'Compliance Database'!$F1065=Query!$B$7),OR(Query!$B$8="All",'Compliance Database'!$J1065=Query!$B$8),OR(Query!$B$9="",ISNUMBER(SEARCH(Query!$B$9,'Compliance Database'!$D1065&amp;" "&amp;'Compliance Database'!$K1065&amp;" "&amp;'Compliance Database'!$L1065&amp;" "&amp;'Compliance Database'!$M1065&amp;" "&amp;'Compliance Database'!$N1065)))),1,0)</f>
        <v/>
      </c>
      <c r="B1065">
        <f>IF($A1065=1,SUM($A$2:$A1065),"")</f>
        <v/>
      </c>
      <c r="C1065">
        <f>IF($A1065=1,SUM($A$2:$A1065),0)</f>
        <v/>
      </c>
    </row>
    <row r="1066">
      <c r="A1066">
        <f>IF(AND(OR(Query!$B$4="All",'Compliance Database'!$A1066=Query!$B$4),OR(Query!$B$5="All",ISNUMBER(SEARCH(Query!$B$5,'Compliance Database'!$H1066))),OR(Query!$B$6="All",ISNUMBER(SEARCH(Query!$B$6,'Compliance Database'!$I1066))),OR(Query!$B$7="All",'Compliance Database'!$F1066=Query!$B$7),OR(Query!$B$8="All",'Compliance Database'!$J1066=Query!$B$8),OR(Query!$B$9="",ISNUMBER(SEARCH(Query!$B$9,'Compliance Database'!$D1066&amp;" "&amp;'Compliance Database'!$K1066&amp;" "&amp;'Compliance Database'!$L1066&amp;" "&amp;'Compliance Database'!$M1066&amp;" "&amp;'Compliance Database'!$N1066)))),1,0)</f>
        <v/>
      </c>
      <c r="B1066">
        <f>IF($A1066=1,SUM($A$2:$A1066),"")</f>
        <v/>
      </c>
      <c r="C1066">
        <f>IF($A1066=1,SUM($A$2:$A1066),0)</f>
        <v/>
      </c>
    </row>
    <row r="1067">
      <c r="A1067">
        <f>IF(AND(OR(Query!$B$4="All",'Compliance Database'!$A1067=Query!$B$4),OR(Query!$B$5="All",ISNUMBER(SEARCH(Query!$B$5,'Compliance Database'!$H1067))),OR(Query!$B$6="All",ISNUMBER(SEARCH(Query!$B$6,'Compliance Database'!$I1067))),OR(Query!$B$7="All",'Compliance Database'!$F1067=Query!$B$7),OR(Query!$B$8="All",'Compliance Database'!$J1067=Query!$B$8),OR(Query!$B$9="",ISNUMBER(SEARCH(Query!$B$9,'Compliance Database'!$D1067&amp;" "&amp;'Compliance Database'!$K1067&amp;" "&amp;'Compliance Database'!$L1067&amp;" "&amp;'Compliance Database'!$M1067&amp;" "&amp;'Compliance Database'!$N1067)))),1,0)</f>
        <v/>
      </c>
      <c r="B1067">
        <f>IF($A1067=1,SUM($A$2:$A1067),"")</f>
        <v/>
      </c>
      <c r="C1067">
        <f>IF($A1067=1,SUM($A$2:$A1067),0)</f>
        <v/>
      </c>
    </row>
    <row r="1068">
      <c r="A1068">
        <f>IF(AND(OR(Query!$B$4="All",'Compliance Database'!$A1068=Query!$B$4),OR(Query!$B$5="All",ISNUMBER(SEARCH(Query!$B$5,'Compliance Database'!$H1068))),OR(Query!$B$6="All",ISNUMBER(SEARCH(Query!$B$6,'Compliance Database'!$I1068))),OR(Query!$B$7="All",'Compliance Database'!$F1068=Query!$B$7),OR(Query!$B$8="All",'Compliance Database'!$J1068=Query!$B$8),OR(Query!$B$9="",ISNUMBER(SEARCH(Query!$B$9,'Compliance Database'!$D1068&amp;" "&amp;'Compliance Database'!$K1068&amp;" "&amp;'Compliance Database'!$L1068&amp;" "&amp;'Compliance Database'!$M1068&amp;" "&amp;'Compliance Database'!$N1068)))),1,0)</f>
        <v/>
      </c>
      <c r="B1068">
        <f>IF($A1068=1,SUM($A$2:$A1068),"")</f>
        <v/>
      </c>
      <c r="C1068">
        <f>IF($A1068=1,SUM($A$2:$A1068),0)</f>
        <v/>
      </c>
    </row>
    <row r="1069">
      <c r="A1069">
        <f>IF(AND(OR(Query!$B$4="All",'Compliance Database'!$A1069=Query!$B$4),OR(Query!$B$5="All",ISNUMBER(SEARCH(Query!$B$5,'Compliance Database'!$H1069))),OR(Query!$B$6="All",ISNUMBER(SEARCH(Query!$B$6,'Compliance Database'!$I1069))),OR(Query!$B$7="All",'Compliance Database'!$F1069=Query!$B$7),OR(Query!$B$8="All",'Compliance Database'!$J1069=Query!$B$8),OR(Query!$B$9="",ISNUMBER(SEARCH(Query!$B$9,'Compliance Database'!$D1069&amp;" "&amp;'Compliance Database'!$K1069&amp;" "&amp;'Compliance Database'!$L1069&amp;" "&amp;'Compliance Database'!$M1069&amp;" "&amp;'Compliance Database'!$N1069)))),1,0)</f>
        <v/>
      </c>
      <c r="B1069">
        <f>IF($A1069=1,SUM($A$2:$A1069),"")</f>
        <v/>
      </c>
      <c r="C1069">
        <f>IF($A1069=1,SUM($A$2:$A1069),0)</f>
        <v/>
      </c>
    </row>
    <row r="1070">
      <c r="A1070">
        <f>IF(AND(OR(Query!$B$4="All",'Compliance Database'!$A1070=Query!$B$4),OR(Query!$B$5="All",ISNUMBER(SEARCH(Query!$B$5,'Compliance Database'!$H1070))),OR(Query!$B$6="All",ISNUMBER(SEARCH(Query!$B$6,'Compliance Database'!$I1070))),OR(Query!$B$7="All",'Compliance Database'!$F1070=Query!$B$7),OR(Query!$B$8="All",'Compliance Database'!$J1070=Query!$B$8),OR(Query!$B$9="",ISNUMBER(SEARCH(Query!$B$9,'Compliance Database'!$D1070&amp;" "&amp;'Compliance Database'!$K1070&amp;" "&amp;'Compliance Database'!$L1070&amp;" "&amp;'Compliance Database'!$M1070&amp;" "&amp;'Compliance Database'!$N1070)))),1,0)</f>
        <v/>
      </c>
      <c r="B1070">
        <f>IF($A1070=1,SUM($A$2:$A1070),"")</f>
        <v/>
      </c>
      <c r="C1070">
        <f>IF($A1070=1,SUM($A$2:$A1070),0)</f>
        <v/>
      </c>
    </row>
    <row r="1071">
      <c r="A1071">
        <f>IF(AND(OR(Query!$B$4="All",'Compliance Database'!$A1071=Query!$B$4),OR(Query!$B$5="All",ISNUMBER(SEARCH(Query!$B$5,'Compliance Database'!$H1071))),OR(Query!$B$6="All",ISNUMBER(SEARCH(Query!$B$6,'Compliance Database'!$I1071))),OR(Query!$B$7="All",'Compliance Database'!$F1071=Query!$B$7),OR(Query!$B$8="All",'Compliance Database'!$J1071=Query!$B$8),OR(Query!$B$9="",ISNUMBER(SEARCH(Query!$B$9,'Compliance Database'!$D1071&amp;" "&amp;'Compliance Database'!$K1071&amp;" "&amp;'Compliance Database'!$L1071&amp;" "&amp;'Compliance Database'!$M1071&amp;" "&amp;'Compliance Database'!$N1071)))),1,0)</f>
        <v/>
      </c>
      <c r="B1071">
        <f>IF($A1071=1,SUM($A$2:$A1071),"")</f>
        <v/>
      </c>
      <c r="C1071">
        <f>IF($A1071=1,SUM($A$2:$A1071),0)</f>
        <v/>
      </c>
    </row>
    <row r="1072">
      <c r="A1072">
        <f>IF(AND(OR(Query!$B$4="All",'Compliance Database'!$A1072=Query!$B$4),OR(Query!$B$5="All",ISNUMBER(SEARCH(Query!$B$5,'Compliance Database'!$H1072))),OR(Query!$B$6="All",ISNUMBER(SEARCH(Query!$B$6,'Compliance Database'!$I1072))),OR(Query!$B$7="All",'Compliance Database'!$F1072=Query!$B$7),OR(Query!$B$8="All",'Compliance Database'!$J1072=Query!$B$8),OR(Query!$B$9="",ISNUMBER(SEARCH(Query!$B$9,'Compliance Database'!$D1072&amp;" "&amp;'Compliance Database'!$K1072&amp;" "&amp;'Compliance Database'!$L1072&amp;" "&amp;'Compliance Database'!$M1072&amp;" "&amp;'Compliance Database'!$N1072)))),1,0)</f>
        <v/>
      </c>
      <c r="B1072">
        <f>IF($A1072=1,SUM($A$2:$A1072),"")</f>
        <v/>
      </c>
      <c r="C1072">
        <f>IF($A1072=1,SUM($A$2:$A1072),0)</f>
        <v/>
      </c>
    </row>
    <row r="1073">
      <c r="A1073">
        <f>IF(AND(OR(Query!$B$4="All",'Compliance Database'!$A1073=Query!$B$4),OR(Query!$B$5="All",ISNUMBER(SEARCH(Query!$B$5,'Compliance Database'!$H1073))),OR(Query!$B$6="All",ISNUMBER(SEARCH(Query!$B$6,'Compliance Database'!$I1073))),OR(Query!$B$7="All",'Compliance Database'!$F1073=Query!$B$7),OR(Query!$B$8="All",'Compliance Database'!$J1073=Query!$B$8),OR(Query!$B$9="",ISNUMBER(SEARCH(Query!$B$9,'Compliance Database'!$D1073&amp;" "&amp;'Compliance Database'!$K1073&amp;" "&amp;'Compliance Database'!$L1073&amp;" "&amp;'Compliance Database'!$M1073&amp;" "&amp;'Compliance Database'!$N1073)))),1,0)</f>
        <v/>
      </c>
      <c r="B1073">
        <f>IF($A1073=1,SUM($A$2:$A1073),"")</f>
        <v/>
      </c>
      <c r="C1073">
        <f>IF($A1073=1,SUM($A$2:$A1073),0)</f>
        <v/>
      </c>
    </row>
    <row r="1074">
      <c r="A1074">
        <f>IF(AND(OR(Query!$B$4="All",'Compliance Database'!$A1074=Query!$B$4),OR(Query!$B$5="All",ISNUMBER(SEARCH(Query!$B$5,'Compliance Database'!$H1074))),OR(Query!$B$6="All",ISNUMBER(SEARCH(Query!$B$6,'Compliance Database'!$I1074))),OR(Query!$B$7="All",'Compliance Database'!$F1074=Query!$B$7),OR(Query!$B$8="All",'Compliance Database'!$J1074=Query!$B$8),OR(Query!$B$9="",ISNUMBER(SEARCH(Query!$B$9,'Compliance Database'!$D1074&amp;" "&amp;'Compliance Database'!$K1074&amp;" "&amp;'Compliance Database'!$L1074&amp;" "&amp;'Compliance Database'!$M1074&amp;" "&amp;'Compliance Database'!$N1074)))),1,0)</f>
        <v/>
      </c>
      <c r="B1074">
        <f>IF($A1074=1,SUM($A$2:$A1074),"")</f>
        <v/>
      </c>
      <c r="C1074">
        <f>IF($A1074=1,SUM($A$2:$A1074),0)</f>
        <v/>
      </c>
    </row>
    <row r="1075">
      <c r="A1075">
        <f>IF(AND(OR(Query!$B$4="All",'Compliance Database'!$A1075=Query!$B$4),OR(Query!$B$5="All",ISNUMBER(SEARCH(Query!$B$5,'Compliance Database'!$H1075))),OR(Query!$B$6="All",ISNUMBER(SEARCH(Query!$B$6,'Compliance Database'!$I1075))),OR(Query!$B$7="All",'Compliance Database'!$F1075=Query!$B$7),OR(Query!$B$8="All",'Compliance Database'!$J1075=Query!$B$8),OR(Query!$B$9="",ISNUMBER(SEARCH(Query!$B$9,'Compliance Database'!$D1075&amp;" "&amp;'Compliance Database'!$K1075&amp;" "&amp;'Compliance Database'!$L1075&amp;" "&amp;'Compliance Database'!$M1075&amp;" "&amp;'Compliance Database'!$N1075)))),1,0)</f>
        <v/>
      </c>
      <c r="B1075">
        <f>IF($A1075=1,SUM($A$2:$A1075),"")</f>
        <v/>
      </c>
      <c r="C1075">
        <f>IF($A1075=1,SUM($A$2:$A1075),0)</f>
        <v/>
      </c>
    </row>
    <row r="1076">
      <c r="A1076">
        <f>IF(AND(OR(Query!$B$4="All",'Compliance Database'!$A1076=Query!$B$4),OR(Query!$B$5="All",ISNUMBER(SEARCH(Query!$B$5,'Compliance Database'!$H1076))),OR(Query!$B$6="All",ISNUMBER(SEARCH(Query!$B$6,'Compliance Database'!$I1076))),OR(Query!$B$7="All",'Compliance Database'!$F1076=Query!$B$7),OR(Query!$B$8="All",'Compliance Database'!$J1076=Query!$B$8),OR(Query!$B$9="",ISNUMBER(SEARCH(Query!$B$9,'Compliance Database'!$D1076&amp;" "&amp;'Compliance Database'!$K1076&amp;" "&amp;'Compliance Database'!$L1076&amp;" "&amp;'Compliance Database'!$M1076&amp;" "&amp;'Compliance Database'!$N1076)))),1,0)</f>
        <v/>
      </c>
      <c r="B1076">
        <f>IF($A1076=1,SUM($A$2:$A1076),"")</f>
        <v/>
      </c>
      <c r="C1076">
        <f>IF($A1076=1,SUM($A$2:$A1076),0)</f>
        <v/>
      </c>
    </row>
    <row r="1077">
      <c r="A1077">
        <f>IF(AND(OR(Query!$B$4="All",'Compliance Database'!$A1077=Query!$B$4),OR(Query!$B$5="All",ISNUMBER(SEARCH(Query!$B$5,'Compliance Database'!$H1077))),OR(Query!$B$6="All",ISNUMBER(SEARCH(Query!$B$6,'Compliance Database'!$I1077))),OR(Query!$B$7="All",'Compliance Database'!$F1077=Query!$B$7),OR(Query!$B$8="All",'Compliance Database'!$J1077=Query!$B$8),OR(Query!$B$9="",ISNUMBER(SEARCH(Query!$B$9,'Compliance Database'!$D1077&amp;" "&amp;'Compliance Database'!$K1077&amp;" "&amp;'Compliance Database'!$L1077&amp;" "&amp;'Compliance Database'!$M1077&amp;" "&amp;'Compliance Database'!$N1077)))),1,0)</f>
        <v/>
      </c>
      <c r="B1077">
        <f>IF($A1077=1,SUM($A$2:$A1077),"")</f>
        <v/>
      </c>
      <c r="C1077">
        <f>IF($A1077=1,SUM($A$2:$A1077),0)</f>
        <v/>
      </c>
    </row>
    <row r="1078">
      <c r="A1078">
        <f>IF(AND(OR(Query!$B$4="All",'Compliance Database'!$A1078=Query!$B$4),OR(Query!$B$5="All",ISNUMBER(SEARCH(Query!$B$5,'Compliance Database'!$H1078))),OR(Query!$B$6="All",ISNUMBER(SEARCH(Query!$B$6,'Compliance Database'!$I1078))),OR(Query!$B$7="All",'Compliance Database'!$F1078=Query!$B$7),OR(Query!$B$8="All",'Compliance Database'!$J1078=Query!$B$8),OR(Query!$B$9="",ISNUMBER(SEARCH(Query!$B$9,'Compliance Database'!$D1078&amp;" "&amp;'Compliance Database'!$K1078&amp;" "&amp;'Compliance Database'!$L1078&amp;" "&amp;'Compliance Database'!$M1078&amp;" "&amp;'Compliance Database'!$N1078)))),1,0)</f>
        <v/>
      </c>
      <c r="B1078">
        <f>IF($A1078=1,SUM($A$2:$A1078),"")</f>
        <v/>
      </c>
      <c r="C1078">
        <f>IF($A1078=1,SUM($A$2:$A1078),0)</f>
        <v/>
      </c>
    </row>
    <row r="1079">
      <c r="A1079">
        <f>IF(AND(OR(Query!$B$4="All",'Compliance Database'!$A1079=Query!$B$4),OR(Query!$B$5="All",ISNUMBER(SEARCH(Query!$B$5,'Compliance Database'!$H1079))),OR(Query!$B$6="All",ISNUMBER(SEARCH(Query!$B$6,'Compliance Database'!$I1079))),OR(Query!$B$7="All",'Compliance Database'!$F1079=Query!$B$7),OR(Query!$B$8="All",'Compliance Database'!$J1079=Query!$B$8),OR(Query!$B$9="",ISNUMBER(SEARCH(Query!$B$9,'Compliance Database'!$D1079&amp;" "&amp;'Compliance Database'!$K1079&amp;" "&amp;'Compliance Database'!$L1079&amp;" "&amp;'Compliance Database'!$M1079&amp;" "&amp;'Compliance Database'!$N1079)))),1,0)</f>
        <v/>
      </c>
      <c r="B1079">
        <f>IF($A1079=1,SUM($A$2:$A1079),"")</f>
        <v/>
      </c>
      <c r="C1079">
        <f>IF($A1079=1,SUM($A$2:$A1079),0)</f>
        <v/>
      </c>
    </row>
    <row r="1080">
      <c r="A1080">
        <f>IF(AND(OR(Query!$B$4="All",'Compliance Database'!$A1080=Query!$B$4),OR(Query!$B$5="All",ISNUMBER(SEARCH(Query!$B$5,'Compliance Database'!$H1080))),OR(Query!$B$6="All",ISNUMBER(SEARCH(Query!$B$6,'Compliance Database'!$I1080))),OR(Query!$B$7="All",'Compliance Database'!$F1080=Query!$B$7),OR(Query!$B$8="All",'Compliance Database'!$J1080=Query!$B$8),OR(Query!$B$9="",ISNUMBER(SEARCH(Query!$B$9,'Compliance Database'!$D1080&amp;" "&amp;'Compliance Database'!$K1080&amp;" "&amp;'Compliance Database'!$L1080&amp;" "&amp;'Compliance Database'!$M1080&amp;" "&amp;'Compliance Database'!$N1080)))),1,0)</f>
        <v/>
      </c>
      <c r="B1080">
        <f>IF($A1080=1,SUM($A$2:$A1080),"")</f>
        <v/>
      </c>
      <c r="C1080">
        <f>IF($A1080=1,SUM($A$2:$A1080),0)</f>
        <v/>
      </c>
    </row>
    <row r="1081">
      <c r="A1081">
        <f>IF(AND(OR(Query!$B$4="All",'Compliance Database'!$A1081=Query!$B$4),OR(Query!$B$5="All",ISNUMBER(SEARCH(Query!$B$5,'Compliance Database'!$H1081))),OR(Query!$B$6="All",ISNUMBER(SEARCH(Query!$B$6,'Compliance Database'!$I1081))),OR(Query!$B$7="All",'Compliance Database'!$F1081=Query!$B$7),OR(Query!$B$8="All",'Compliance Database'!$J1081=Query!$B$8),OR(Query!$B$9="",ISNUMBER(SEARCH(Query!$B$9,'Compliance Database'!$D1081&amp;" "&amp;'Compliance Database'!$K1081&amp;" "&amp;'Compliance Database'!$L1081&amp;" "&amp;'Compliance Database'!$M1081&amp;" "&amp;'Compliance Database'!$N1081)))),1,0)</f>
        <v/>
      </c>
      <c r="B1081">
        <f>IF($A1081=1,SUM($A$2:$A1081),"")</f>
        <v/>
      </c>
      <c r="C1081">
        <f>IF($A1081=1,SUM($A$2:$A1081),0)</f>
        <v/>
      </c>
    </row>
    <row r="1082">
      <c r="A1082">
        <f>IF(AND(OR(Query!$B$4="All",'Compliance Database'!$A1082=Query!$B$4),OR(Query!$B$5="All",ISNUMBER(SEARCH(Query!$B$5,'Compliance Database'!$H1082))),OR(Query!$B$6="All",ISNUMBER(SEARCH(Query!$B$6,'Compliance Database'!$I1082))),OR(Query!$B$7="All",'Compliance Database'!$F1082=Query!$B$7),OR(Query!$B$8="All",'Compliance Database'!$J1082=Query!$B$8),OR(Query!$B$9="",ISNUMBER(SEARCH(Query!$B$9,'Compliance Database'!$D1082&amp;" "&amp;'Compliance Database'!$K1082&amp;" "&amp;'Compliance Database'!$L1082&amp;" "&amp;'Compliance Database'!$M1082&amp;" "&amp;'Compliance Database'!$N1082)))),1,0)</f>
        <v/>
      </c>
      <c r="B1082">
        <f>IF($A1082=1,SUM($A$2:$A1082),"")</f>
        <v/>
      </c>
      <c r="C1082">
        <f>IF($A1082=1,SUM($A$2:$A1082),0)</f>
        <v/>
      </c>
    </row>
    <row r="1083">
      <c r="A1083">
        <f>IF(AND(OR(Query!$B$4="All",'Compliance Database'!$A1083=Query!$B$4),OR(Query!$B$5="All",ISNUMBER(SEARCH(Query!$B$5,'Compliance Database'!$H1083))),OR(Query!$B$6="All",ISNUMBER(SEARCH(Query!$B$6,'Compliance Database'!$I1083))),OR(Query!$B$7="All",'Compliance Database'!$F1083=Query!$B$7),OR(Query!$B$8="All",'Compliance Database'!$J1083=Query!$B$8),OR(Query!$B$9="",ISNUMBER(SEARCH(Query!$B$9,'Compliance Database'!$D1083&amp;" "&amp;'Compliance Database'!$K1083&amp;" "&amp;'Compliance Database'!$L1083&amp;" "&amp;'Compliance Database'!$M1083&amp;" "&amp;'Compliance Database'!$N1083)))),1,0)</f>
        <v/>
      </c>
      <c r="B1083">
        <f>IF($A1083=1,SUM($A$2:$A1083),"")</f>
        <v/>
      </c>
      <c r="C1083">
        <f>IF($A1083=1,SUM($A$2:$A1083),0)</f>
        <v/>
      </c>
    </row>
    <row r="1084">
      <c r="A1084">
        <f>IF(AND(OR(Query!$B$4="All",'Compliance Database'!$A1084=Query!$B$4),OR(Query!$B$5="All",ISNUMBER(SEARCH(Query!$B$5,'Compliance Database'!$H1084))),OR(Query!$B$6="All",ISNUMBER(SEARCH(Query!$B$6,'Compliance Database'!$I1084))),OR(Query!$B$7="All",'Compliance Database'!$F1084=Query!$B$7),OR(Query!$B$8="All",'Compliance Database'!$J1084=Query!$B$8),OR(Query!$B$9="",ISNUMBER(SEARCH(Query!$B$9,'Compliance Database'!$D1084&amp;" "&amp;'Compliance Database'!$K1084&amp;" "&amp;'Compliance Database'!$L1084&amp;" "&amp;'Compliance Database'!$M1084&amp;" "&amp;'Compliance Database'!$N1084)))),1,0)</f>
        <v/>
      </c>
      <c r="B1084">
        <f>IF($A1084=1,SUM($A$2:$A1084),"")</f>
        <v/>
      </c>
      <c r="C1084">
        <f>IF($A1084=1,SUM($A$2:$A1084),0)</f>
        <v/>
      </c>
    </row>
    <row r="1085">
      <c r="A1085">
        <f>IF(AND(OR(Query!$B$4="All",'Compliance Database'!$A1085=Query!$B$4),OR(Query!$B$5="All",ISNUMBER(SEARCH(Query!$B$5,'Compliance Database'!$H1085))),OR(Query!$B$6="All",ISNUMBER(SEARCH(Query!$B$6,'Compliance Database'!$I1085))),OR(Query!$B$7="All",'Compliance Database'!$F1085=Query!$B$7),OR(Query!$B$8="All",'Compliance Database'!$J1085=Query!$B$8),OR(Query!$B$9="",ISNUMBER(SEARCH(Query!$B$9,'Compliance Database'!$D1085&amp;" "&amp;'Compliance Database'!$K1085&amp;" "&amp;'Compliance Database'!$L1085&amp;" "&amp;'Compliance Database'!$M1085&amp;" "&amp;'Compliance Database'!$N1085)))),1,0)</f>
        <v/>
      </c>
      <c r="B1085">
        <f>IF($A1085=1,SUM($A$2:$A1085),"")</f>
        <v/>
      </c>
      <c r="C1085">
        <f>IF($A1085=1,SUM($A$2:$A1085),0)</f>
        <v/>
      </c>
    </row>
    <row r="1086">
      <c r="A1086">
        <f>IF(AND(OR(Query!$B$4="All",'Compliance Database'!$A1086=Query!$B$4),OR(Query!$B$5="All",ISNUMBER(SEARCH(Query!$B$5,'Compliance Database'!$H1086))),OR(Query!$B$6="All",ISNUMBER(SEARCH(Query!$B$6,'Compliance Database'!$I1086))),OR(Query!$B$7="All",'Compliance Database'!$F1086=Query!$B$7),OR(Query!$B$8="All",'Compliance Database'!$J1086=Query!$B$8),OR(Query!$B$9="",ISNUMBER(SEARCH(Query!$B$9,'Compliance Database'!$D1086&amp;" "&amp;'Compliance Database'!$K1086&amp;" "&amp;'Compliance Database'!$L1086&amp;" "&amp;'Compliance Database'!$M1086&amp;" "&amp;'Compliance Database'!$N1086)))),1,0)</f>
        <v/>
      </c>
      <c r="B1086">
        <f>IF($A1086=1,SUM($A$2:$A1086),"")</f>
        <v/>
      </c>
      <c r="C1086">
        <f>IF($A1086=1,SUM($A$2:$A1086),0)</f>
        <v/>
      </c>
    </row>
    <row r="1087">
      <c r="A1087">
        <f>IF(AND(OR(Query!$B$4="All",'Compliance Database'!$A1087=Query!$B$4),OR(Query!$B$5="All",ISNUMBER(SEARCH(Query!$B$5,'Compliance Database'!$H1087))),OR(Query!$B$6="All",ISNUMBER(SEARCH(Query!$B$6,'Compliance Database'!$I1087))),OR(Query!$B$7="All",'Compliance Database'!$F1087=Query!$B$7),OR(Query!$B$8="All",'Compliance Database'!$J1087=Query!$B$8),OR(Query!$B$9="",ISNUMBER(SEARCH(Query!$B$9,'Compliance Database'!$D1087&amp;" "&amp;'Compliance Database'!$K1087&amp;" "&amp;'Compliance Database'!$L1087&amp;" "&amp;'Compliance Database'!$M1087&amp;" "&amp;'Compliance Database'!$N1087)))),1,0)</f>
        <v/>
      </c>
      <c r="B1087">
        <f>IF($A1087=1,SUM($A$2:$A1087),"")</f>
        <v/>
      </c>
      <c r="C1087">
        <f>IF($A1087=1,SUM($A$2:$A1087),0)</f>
        <v/>
      </c>
    </row>
    <row r="1088">
      <c r="A1088">
        <f>IF(AND(OR(Query!$B$4="All",'Compliance Database'!$A1088=Query!$B$4),OR(Query!$B$5="All",ISNUMBER(SEARCH(Query!$B$5,'Compliance Database'!$H1088))),OR(Query!$B$6="All",ISNUMBER(SEARCH(Query!$B$6,'Compliance Database'!$I1088))),OR(Query!$B$7="All",'Compliance Database'!$F1088=Query!$B$7),OR(Query!$B$8="All",'Compliance Database'!$J1088=Query!$B$8),OR(Query!$B$9="",ISNUMBER(SEARCH(Query!$B$9,'Compliance Database'!$D1088&amp;" "&amp;'Compliance Database'!$K1088&amp;" "&amp;'Compliance Database'!$L1088&amp;" "&amp;'Compliance Database'!$M1088&amp;" "&amp;'Compliance Database'!$N1088)))),1,0)</f>
        <v/>
      </c>
      <c r="B1088">
        <f>IF($A1088=1,SUM($A$2:$A1088),"")</f>
        <v/>
      </c>
      <c r="C1088">
        <f>IF($A1088=1,SUM($A$2:$A1088),0)</f>
        <v/>
      </c>
    </row>
    <row r="1089">
      <c r="A1089">
        <f>IF(AND(OR(Query!$B$4="All",'Compliance Database'!$A1089=Query!$B$4),OR(Query!$B$5="All",ISNUMBER(SEARCH(Query!$B$5,'Compliance Database'!$H1089))),OR(Query!$B$6="All",ISNUMBER(SEARCH(Query!$B$6,'Compliance Database'!$I1089))),OR(Query!$B$7="All",'Compliance Database'!$F1089=Query!$B$7),OR(Query!$B$8="All",'Compliance Database'!$J1089=Query!$B$8),OR(Query!$B$9="",ISNUMBER(SEARCH(Query!$B$9,'Compliance Database'!$D1089&amp;" "&amp;'Compliance Database'!$K1089&amp;" "&amp;'Compliance Database'!$L1089&amp;" "&amp;'Compliance Database'!$M1089&amp;" "&amp;'Compliance Database'!$N1089)))),1,0)</f>
        <v/>
      </c>
      <c r="B1089">
        <f>IF($A1089=1,SUM($A$2:$A1089),"")</f>
        <v/>
      </c>
      <c r="C1089">
        <f>IF($A1089=1,SUM($A$2:$A1089),0)</f>
        <v/>
      </c>
    </row>
    <row r="1090">
      <c r="A1090">
        <f>IF(AND(OR(Query!$B$4="All",'Compliance Database'!$A1090=Query!$B$4),OR(Query!$B$5="All",ISNUMBER(SEARCH(Query!$B$5,'Compliance Database'!$H1090))),OR(Query!$B$6="All",ISNUMBER(SEARCH(Query!$B$6,'Compliance Database'!$I1090))),OR(Query!$B$7="All",'Compliance Database'!$F1090=Query!$B$7),OR(Query!$B$8="All",'Compliance Database'!$J1090=Query!$B$8),OR(Query!$B$9="",ISNUMBER(SEARCH(Query!$B$9,'Compliance Database'!$D1090&amp;" "&amp;'Compliance Database'!$K1090&amp;" "&amp;'Compliance Database'!$L1090&amp;" "&amp;'Compliance Database'!$M1090&amp;" "&amp;'Compliance Database'!$N1090)))),1,0)</f>
        <v/>
      </c>
      <c r="B1090">
        <f>IF($A1090=1,SUM($A$2:$A1090),"")</f>
        <v/>
      </c>
      <c r="C1090">
        <f>IF($A1090=1,SUM($A$2:$A1090),0)</f>
        <v/>
      </c>
    </row>
    <row r="1091">
      <c r="A1091">
        <f>IF(AND(OR(Query!$B$4="All",'Compliance Database'!$A1091=Query!$B$4),OR(Query!$B$5="All",ISNUMBER(SEARCH(Query!$B$5,'Compliance Database'!$H1091))),OR(Query!$B$6="All",ISNUMBER(SEARCH(Query!$B$6,'Compliance Database'!$I1091))),OR(Query!$B$7="All",'Compliance Database'!$F1091=Query!$B$7),OR(Query!$B$8="All",'Compliance Database'!$J1091=Query!$B$8),OR(Query!$B$9="",ISNUMBER(SEARCH(Query!$B$9,'Compliance Database'!$D1091&amp;" "&amp;'Compliance Database'!$K1091&amp;" "&amp;'Compliance Database'!$L1091&amp;" "&amp;'Compliance Database'!$M1091&amp;" "&amp;'Compliance Database'!$N1091)))),1,0)</f>
        <v/>
      </c>
      <c r="B1091">
        <f>IF($A1091=1,SUM($A$2:$A1091),"")</f>
        <v/>
      </c>
      <c r="C1091">
        <f>IF($A1091=1,SUM($A$2:$A1091),0)</f>
        <v/>
      </c>
    </row>
    <row r="1092">
      <c r="A1092">
        <f>IF(AND(OR(Query!$B$4="All",'Compliance Database'!$A1092=Query!$B$4),OR(Query!$B$5="All",ISNUMBER(SEARCH(Query!$B$5,'Compliance Database'!$H1092))),OR(Query!$B$6="All",ISNUMBER(SEARCH(Query!$B$6,'Compliance Database'!$I1092))),OR(Query!$B$7="All",'Compliance Database'!$F1092=Query!$B$7),OR(Query!$B$8="All",'Compliance Database'!$J1092=Query!$B$8),OR(Query!$B$9="",ISNUMBER(SEARCH(Query!$B$9,'Compliance Database'!$D1092&amp;" "&amp;'Compliance Database'!$K1092&amp;" "&amp;'Compliance Database'!$L1092&amp;" "&amp;'Compliance Database'!$M1092&amp;" "&amp;'Compliance Database'!$N1092)))),1,0)</f>
        <v/>
      </c>
      <c r="B1092">
        <f>IF($A1092=1,SUM($A$2:$A1092),"")</f>
        <v/>
      </c>
      <c r="C1092">
        <f>IF($A1092=1,SUM($A$2:$A1092),0)</f>
        <v/>
      </c>
    </row>
    <row r="1093">
      <c r="A1093">
        <f>IF(AND(OR(Query!$B$4="All",'Compliance Database'!$A1093=Query!$B$4),OR(Query!$B$5="All",ISNUMBER(SEARCH(Query!$B$5,'Compliance Database'!$H1093))),OR(Query!$B$6="All",ISNUMBER(SEARCH(Query!$B$6,'Compliance Database'!$I1093))),OR(Query!$B$7="All",'Compliance Database'!$F1093=Query!$B$7),OR(Query!$B$8="All",'Compliance Database'!$J1093=Query!$B$8),OR(Query!$B$9="",ISNUMBER(SEARCH(Query!$B$9,'Compliance Database'!$D1093&amp;" "&amp;'Compliance Database'!$K1093&amp;" "&amp;'Compliance Database'!$L1093&amp;" "&amp;'Compliance Database'!$M1093&amp;" "&amp;'Compliance Database'!$N1093)))),1,0)</f>
        <v/>
      </c>
      <c r="B1093">
        <f>IF($A1093=1,SUM($A$2:$A1093),"")</f>
        <v/>
      </c>
      <c r="C1093">
        <f>IF($A1093=1,SUM($A$2:$A1093),0)</f>
        <v/>
      </c>
    </row>
    <row r="1094">
      <c r="A1094">
        <f>IF(AND(OR(Query!$B$4="All",'Compliance Database'!$A1094=Query!$B$4),OR(Query!$B$5="All",ISNUMBER(SEARCH(Query!$B$5,'Compliance Database'!$H1094))),OR(Query!$B$6="All",ISNUMBER(SEARCH(Query!$B$6,'Compliance Database'!$I1094))),OR(Query!$B$7="All",'Compliance Database'!$F1094=Query!$B$7),OR(Query!$B$8="All",'Compliance Database'!$J1094=Query!$B$8),OR(Query!$B$9="",ISNUMBER(SEARCH(Query!$B$9,'Compliance Database'!$D1094&amp;" "&amp;'Compliance Database'!$K1094&amp;" "&amp;'Compliance Database'!$L1094&amp;" "&amp;'Compliance Database'!$M1094&amp;" "&amp;'Compliance Database'!$N1094)))),1,0)</f>
        <v/>
      </c>
      <c r="B1094">
        <f>IF($A1094=1,SUM($A$2:$A1094),"")</f>
        <v/>
      </c>
      <c r="C1094">
        <f>IF($A1094=1,SUM($A$2:$A1094),0)</f>
        <v/>
      </c>
    </row>
    <row r="1095">
      <c r="A1095">
        <f>IF(AND(OR(Query!$B$4="All",'Compliance Database'!$A1095=Query!$B$4),OR(Query!$B$5="All",ISNUMBER(SEARCH(Query!$B$5,'Compliance Database'!$H1095))),OR(Query!$B$6="All",ISNUMBER(SEARCH(Query!$B$6,'Compliance Database'!$I1095))),OR(Query!$B$7="All",'Compliance Database'!$F1095=Query!$B$7),OR(Query!$B$8="All",'Compliance Database'!$J1095=Query!$B$8),OR(Query!$B$9="",ISNUMBER(SEARCH(Query!$B$9,'Compliance Database'!$D1095&amp;" "&amp;'Compliance Database'!$K1095&amp;" "&amp;'Compliance Database'!$L1095&amp;" "&amp;'Compliance Database'!$M1095&amp;" "&amp;'Compliance Database'!$N1095)))),1,0)</f>
        <v/>
      </c>
      <c r="B1095">
        <f>IF($A1095=1,SUM($A$2:$A1095),"")</f>
        <v/>
      </c>
      <c r="C1095">
        <f>IF($A1095=1,SUM($A$2:$A1095),0)</f>
        <v/>
      </c>
    </row>
    <row r="1096">
      <c r="A1096">
        <f>IF(AND(OR(Query!$B$4="All",'Compliance Database'!$A1096=Query!$B$4),OR(Query!$B$5="All",ISNUMBER(SEARCH(Query!$B$5,'Compliance Database'!$H1096))),OR(Query!$B$6="All",ISNUMBER(SEARCH(Query!$B$6,'Compliance Database'!$I1096))),OR(Query!$B$7="All",'Compliance Database'!$F1096=Query!$B$7),OR(Query!$B$8="All",'Compliance Database'!$J1096=Query!$B$8),OR(Query!$B$9="",ISNUMBER(SEARCH(Query!$B$9,'Compliance Database'!$D1096&amp;" "&amp;'Compliance Database'!$K1096&amp;" "&amp;'Compliance Database'!$L1096&amp;" "&amp;'Compliance Database'!$M1096&amp;" "&amp;'Compliance Database'!$N1096)))),1,0)</f>
        <v/>
      </c>
      <c r="B1096">
        <f>IF($A1096=1,SUM($A$2:$A1096),"")</f>
        <v/>
      </c>
      <c r="C1096">
        <f>IF($A1096=1,SUM($A$2:$A1096),0)</f>
        <v/>
      </c>
    </row>
    <row r="1097">
      <c r="A1097">
        <f>IF(AND(OR(Query!$B$4="All",'Compliance Database'!$A1097=Query!$B$4),OR(Query!$B$5="All",ISNUMBER(SEARCH(Query!$B$5,'Compliance Database'!$H1097))),OR(Query!$B$6="All",ISNUMBER(SEARCH(Query!$B$6,'Compliance Database'!$I1097))),OR(Query!$B$7="All",'Compliance Database'!$F1097=Query!$B$7),OR(Query!$B$8="All",'Compliance Database'!$J1097=Query!$B$8),OR(Query!$B$9="",ISNUMBER(SEARCH(Query!$B$9,'Compliance Database'!$D1097&amp;" "&amp;'Compliance Database'!$K1097&amp;" "&amp;'Compliance Database'!$L1097&amp;" "&amp;'Compliance Database'!$M1097&amp;" "&amp;'Compliance Database'!$N1097)))),1,0)</f>
        <v/>
      </c>
      <c r="B1097">
        <f>IF($A1097=1,SUM($A$2:$A1097),"")</f>
        <v/>
      </c>
      <c r="C1097">
        <f>IF($A1097=1,SUM($A$2:$A1097),0)</f>
        <v/>
      </c>
    </row>
    <row r="1098">
      <c r="A1098">
        <f>IF(AND(OR(Query!$B$4="All",'Compliance Database'!$A1098=Query!$B$4),OR(Query!$B$5="All",ISNUMBER(SEARCH(Query!$B$5,'Compliance Database'!$H1098))),OR(Query!$B$6="All",ISNUMBER(SEARCH(Query!$B$6,'Compliance Database'!$I1098))),OR(Query!$B$7="All",'Compliance Database'!$F1098=Query!$B$7),OR(Query!$B$8="All",'Compliance Database'!$J1098=Query!$B$8),OR(Query!$B$9="",ISNUMBER(SEARCH(Query!$B$9,'Compliance Database'!$D1098&amp;" "&amp;'Compliance Database'!$K1098&amp;" "&amp;'Compliance Database'!$L1098&amp;" "&amp;'Compliance Database'!$M1098&amp;" "&amp;'Compliance Database'!$N1098)))),1,0)</f>
        <v/>
      </c>
      <c r="B1098">
        <f>IF($A1098=1,SUM($A$2:$A1098),"")</f>
        <v/>
      </c>
      <c r="C1098">
        <f>IF($A1098=1,SUM($A$2:$A1098),0)</f>
        <v/>
      </c>
    </row>
    <row r="1099">
      <c r="A1099">
        <f>IF(AND(OR(Query!$B$4="All",'Compliance Database'!$A1099=Query!$B$4),OR(Query!$B$5="All",ISNUMBER(SEARCH(Query!$B$5,'Compliance Database'!$H1099))),OR(Query!$B$6="All",ISNUMBER(SEARCH(Query!$B$6,'Compliance Database'!$I1099))),OR(Query!$B$7="All",'Compliance Database'!$F1099=Query!$B$7),OR(Query!$B$8="All",'Compliance Database'!$J1099=Query!$B$8),OR(Query!$B$9="",ISNUMBER(SEARCH(Query!$B$9,'Compliance Database'!$D1099&amp;" "&amp;'Compliance Database'!$K1099&amp;" "&amp;'Compliance Database'!$L1099&amp;" "&amp;'Compliance Database'!$M1099&amp;" "&amp;'Compliance Database'!$N1099)))),1,0)</f>
        <v/>
      </c>
      <c r="B1099">
        <f>IF($A1099=1,SUM($A$2:$A1099),"")</f>
        <v/>
      </c>
      <c r="C1099">
        <f>IF($A1099=1,SUM($A$2:$A1099),0)</f>
        <v/>
      </c>
    </row>
    <row r="1100">
      <c r="A1100">
        <f>IF(AND(OR(Query!$B$4="All",'Compliance Database'!$A1100=Query!$B$4),OR(Query!$B$5="All",ISNUMBER(SEARCH(Query!$B$5,'Compliance Database'!$H1100))),OR(Query!$B$6="All",ISNUMBER(SEARCH(Query!$B$6,'Compliance Database'!$I1100))),OR(Query!$B$7="All",'Compliance Database'!$F1100=Query!$B$7),OR(Query!$B$8="All",'Compliance Database'!$J1100=Query!$B$8),OR(Query!$B$9="",ISNUMBER(SEARCH(Query!$B$9,'Compliance Database'!$D1100&amp;" "&amp;'Compliance Database'!$K1100&amp;" "&amp;'Compliance Database'!$L1100&amp;" "&amp;'Compliance Database'!$M1100&amp;" "&amp;'Compliance Database'!$N1100)))),1,0)</f>
        <v/>
      </c>
      <c r="B1100">
        <f>IF($A1100=1,SUM($A$2:$A1100),"")</f>
        <v/>
      </c>
      <c r="C1100">
        <f>IF($A1100=1,SUM($A$2:$A1100),0)</f>
        <v/>
      </c>
    </row>
    <row r="1101">
      <c r="A1101">
        <f>IF(AND(OR(Query!$B$4="All",'Compliance Database'!$A1101=Query!$B$4),OR(Query!$B$5="All",ISNUMBER(SEARCH(Query!$B$5,'Compliance Database'!$H1101))),OR(Query!$B$6="All",ISNUMBER(SEARCH(Query!$B$6,'Compliance Database'!$I1101))),OR(Query!$B$7="All",'Compliance Database'!$F1101=Query!$B$7),OR(Query!$B$8="All",'Compliance Database'!$J1101=Query!$B$8),OR(Query!$B$9="",ISNUMBER(SEARCH(Query!$B$9,'Compliance Database'!$D1101&amp;" "&amp;'Compliance Database'!$K1101&amp;" "&amp;'Compliance Database'!$L1101&amp;" "&amp;'Compliance Database'!$M1101&amp;" "&amp;'Compliance Database'!$N1101)))),1,0)</f>
        <v/>
      </c>
      <c r="B1101">
        <f>IF($A1101=1,SUM($A$2:$A1101),"")</f>
        <v/>
      </c>
      <c r="C1101">
        <f>IF($A1101=1,SUM($A$2:$A1101),0)</f>
        <v/>
      </c>
    </row>
    <row r="1102">
      <c r="A1102">
        <f>IF(AND(OR(Query!$B$4="All",'Compliance Database'!$A1102=Query!$B$4),OR(Query!$B$5="All",ISNUMBER(SEARCH(Query!$B$5,'Compliance Database'!$H1102))),OR(Query!$B$6="All",ISNUMBER(SEARCH(Query!$B$6,'Compliance Database'!$I1102))),OR(Query!$B$7="All",'Compliance Database'!$F1102=Query!$B$7),OR(Query!$B$8="All",'Compliance Database'!$J1102=Query!$B$8),OR(Query!$B$9="",ISNUMBER(SEARCH(Query!$B$9,'Compliance Database'!$D1102&amp;" "&amp;'Compliance Database'!$K1102&amp;" "&amp;'Compliance Database'!$L1102&amp;" "&amp;'Compliance Database'!$M1102&amp;" "&amp;'Compliance Database'!$N1102)))),1,0)</f>
        <v/>
      </c>
      <c r="B1102">
        <f>IF($A1102=1,SUM($A$2:$A1102),"")</f>
        <v/>
      </c>
      <c r="C1102">
        <f>IF($A1102=1,SUM($A$2:$A1102),0)</f>
        <v/>
      </c>
    </row>
    <row r="1103">
      <c r="A1103">
        <f>IF(AND(OR(Query!$B$4="All",'Compliance Database'!$A1103=Query!$B$4),OR(Query!$B$5="All",ISNUMBER(SEARCH(Query!$B$5,'Compliance Database'!$H1103))),OR(Query!$B$6="All",ISNUMBER(SEARCH(Query!$B$6,'Compliance Database'!$I1103))),OR(Query!$B$7="All",'Compliance Database'!$F1103=Query!$B$7),OR(Query!$B$8="All",'Compliance Database'!$J1103=Query!$B$8),OR(Query!$B$9="",ISNUMBER(SEARCH(Query!$B$9,'Compliance Database'!$D1103&amp;" "&amp;'Compliance Database'!$K1103&amp;" "&amp;'Compliance Database'!$L1103&amp;" "&amp;'Compliance Database'!$M1103&amp;" "&amp;'Compliance Database'!$N1103)))),1,0)</f>
        <v/>
      </c>
      <c r="B1103">
        <f>IF($A1103=1,SUM($A$2:$A1103),"")</f>
        <v/>
      </c>
      <c r="C1103">
        <f>IF($A1103=1,SUM($A$2:$A1103),0)</f>
        <v/>
      </c>
    </row>
    <row r="1104">
      <c r="A1104">
        <f>IF(AND(OR(Query!$B$4="All",'Compliance Database'!$A1104=Query!$B$4),OR(Query!$B$5="All",ISNUMBER(SEARCH(Query!$B$5,'Compliance Database'!$H1104))),OR(Query!$B$6="All",ISNUMBER(SEARCH(Query!$B$6,'Compliance Database'!$I1104))),OR(Query!$B$7="All",'Compliance Database'!$F1104=Query!$B$7),OR(Query!$B$8="All",'Compliance Database'!$J1104=Query!$B$8),OR(Query!$B$9="",ISNUMBER(SEARCH(Query!$B$9,'Compliance Database'!$D1104&amp;" "&amp;'Compliance Database'!$K1104&amp;" "&amp;'Compliance Database'!$L1104&amp;" "&amp;'Compliance Database'!$M1104&amp;" "&amp;'Compliance Database'!$N1104)))),1,0)</f>
        <v/>
      </c>
      <c r="B1104">
        <f>IF($A1104=1,SUM($A$2:$A1104),"")</f>
        <v/>
      </c>
      <c r="C1104">
        <f>IF($A1104=1,SUM($A$2:$A1104),0)</f>
        <v/>
      </c>
    </row>
    <row r="1105">
      <c r="A1105">
        <f>IF(AND(OR(Query!$B$4="All",'Compliance Database'!$A1105=Query!$B$4),OR(Query!$B$5="All",ISNUMBER(SEARCH(Query!$B$5,'Compliance Database'!$H1105))),OR(Query!$B$6="All",ISNUMBER(SEARCH(Query!$B$6,'Compliance Database'!$I1105))),OR(Query!$B$7="All",'Compliance Database'!$F1105=Query!$B$7),OR(Query!$B$8="All",'Compliance Database'!$J1105=Query!$B$8),OR(Query!$B$9="",ISNUMBER(SEARCH(Query!$B$9,'Compliance Database'!$D1105&amp;" "&amp;'Compliance Database'!$K1105&amp;" "&amp;'Compliance Database'!$L1105&amp;" "&amp;'Compliance Database'!$M1105&amp;" "&amp;'Compliance Database'!$N1105)))),1,0)</f>
        <v/>
      </c>
      <c r="B1105">
        <f>IF($A1105=1,SUM($A$2:$A1105),"")</f>
        <v/>
      </c>
      <c r="C1105">
        <f>IF($A1105=1,SUM($A$2:$A1105),0)</f>
        <v/>
      </c>
    </row>
    <row r="1106">
      <c r="A1106">
        <f>IF(AND(OR(Query!$B$4="All",'Compliance Database'!$A1106=Query!$B$4),OR(Query!$B$5="All",ISNUMBER(SEARCH(Query!$B$5,'Compliance Database'!$H1106))),OR(Query!$B$6="All",ISNUMBER(SEARCH(Query!$B$6,'Compliance Database'!$I1106))),OR(Query!$B$7="All",'Compliance Database'!$F1106=Query!$B$7),OR(Query!$B$8="All",'Compliance Database'!$J1106=Query!$B$8),OR(Query!$B$9="",ISNUMBER(SEARCH(Query!$B$9,'Compliance Database'!$D1106&amp;" "&amp;'Compliance Database'!$K1106&amp;" "&amp;'Compliance Database'!$L1106&amp;" "&amp;'Compliance Database'!$M1106&amp;" "&amp;'Compliance Database'!$N1106)))),1,0)</f>
        <v/>
      </c>
      <c r="B1106">
        <f>IF($A1106=1,SUM($A$2:$A1106),"")</f>
        <v/>
      </c>
      <c r="C1106">
        <f>IF($A1106=1,SUM($A$2:$A1106),0)</f>
        <v/>
      </c>
    </row>
    <row r="1107">
      <c r="A1107">
        <f>IF(AND(OR(Query!$B$4="All",'Compliance Database'!$A1107=Query!$B$4),OR(Query!$B$5="All",ISNUMBER(SEARCH(Query!$B$5,'Compliance Database'!$H1107))),OR(Query!$B$6="All",ISNUMBER(SEARCH(Query!$B$6,'Compliance Database'!$I1107))),OR(Query!$B$7="All",'Compliance Database'!$F1107=Query!$B$7),OR(Query!$B$8="All",'Compliance Database'!$J1107=Query!$B$8),OR(Query!$B$9="",ISNUMBER(SEARCH(Query!$B$9,'Compliance Database'!$D1107&amp;" "&amp;'Compliance Database'!$K1107&amp;" "&amp;'Compliance Database'!$L1107&amp;" "&amp;'Compliance Database'!$M1107&amp;" "&amp;'Compliance Database'!$N1107)))),1,0)</f>
        <v/>
      </c>
      <c r="B1107">
        <f>IF($A1107=1,SUM($A$2:$A1107),"")</f>
        <v/>
      </c>
      <c r="C1107">
        <f>IF($A1107=1,SUM($A$2:$A1107),0)</f>
        <v/>
      </c>
    </row>
    <row r="1108">
      <c r="A1108">
        <f>IF(AND(OR(Query!$B$4="All",'Compliance Database'!$A1108=Query!$B$4),OR(Query!$B$5="All",ISNUMBER(SEARCH(Query!$B$5,'Compliance Database'!$H1108))),OR(Query!$B$6="All",ISNUMBER(SEARCH(Query!$B$6,'Compliance Database'!$I1108))),OR(Query!$B$7="All",'Compliance Database'!$F1108=Query!$B$7),OR(Query!$B$8="All",'Compliance Database'!$J1108=Query!$B$8),OR(Query!$B$9="",ISNUMBER(SEARCH(Query!$B$9,'Compliance Database'!$D1108&amp;" "&amp;'Compliance Database'!$K1108&amp;" "&amp;'Compliance Database'!$L1108&amp;" "&amp;'Compliance Database'!$M1108&amp;" "&amp;'Compliance Database'!$N1108)))),1,0)</f>
        <v/>
      </c>
      <c r="B1108">
        <f>IF($A1108=1,SUM($A$2:$A1108),"")</f>
        <v/>
      </c>
      <c r="C1108">
        <f>IF($A1108=1,SUM($A$2:$A1108),0)</f>
        <v/>
      </c>
    </row>
    <row r="1109">
      <c r="A1109">
        <f>IF(AND(OR(Query!$B$4="All",'Compliance Database'!$A1109=Query!$B$4),OR(Query!$B$5="All",ISNUMBER(SEARCH(Query!$B$5,'Compliance Database'!$H1109))),OR(Query!$B$6="All",ISNUMBER(SEARCH(Query!$B$6,'Compliance Database'!$I1109))),OR(Query!$B$7="All",'Compliance Database'!$F1109=Query!$B$7),OR(Query!$B$8="All",'Compliance Database'!$J1109=Query!$B$8),OR(Query!$B$9="",ISNUMBER(SEARCH(Query!$B$9,'Compliance Database'!$D1109&amp;" "&amp;'Compliance Database'!$K1109&amp;" "&amp;'Compliance Database'!$L1109&amp;" "&amp;'Compliance Database'!$M1109&amp;" "&amp;'Compliance Database'!$N1109)))),1,0)</f>
        <v/>
      </c>
      <c r="B1109">
        <f>IF($A1109=1,SUM($A$2:$A1109),"")</f>
        <v/>
      </c>
      <c r="C1109">
        <f>IF($A1109=1,SUM($A$2:$A1109),0)</f>
        <v/>
      </c>
    </row>
    <row r="1110">
      <c r="A1110">
        <f>IF(AND(OR(Query!$B$4="All",'Compliance Database'!$A1110=Query!$B$4),OR(Query!$B$5="All",ISNUMBER(SEARCH(Query!$B$5,'Compliance Database'!$H1110))),OR(Query!$B$6="All",ISNUMBER(SEARCH(Query!$B$6,'Compliance Database'!$I1110))),OR(Query!$B$7="All",'Compliance Database'!$F1110=Query!$B$7),OR(Query!$B$8="All",'Compliance Database'!$J1110=Query!$B$8),OR(Query!$B$9="",ISNUMBER(SEARCH(Query!$B$9,'Compliance Database'!$D1110&amp;" "&amp;'Compliance Database'!$K1110&amp;" "&amp;'Compliance Database'!$L1110&amp;" "&amp;'Compliance Database'!$M1110&amp;" "&amp;'Compliance Database'!$N1110)))),1,0)</f>
        <v/>
      </c>
      <c r="B1110">
        <f>IF($A1110=1,SUM($A$2:$A1110),"")</f>
        <v/>
      </c>
      <c r="C1110">
        <f>IF($A1110=1,SUM($A$2:$A1110),0)</f>
        <v/>
      </c>
    </row>
    <row r="1111">
      <c r="A1111">
        <f>IF(AND(OR(Query!$B$4="All",'Compliance Database'!$A1111=Query!$B$4),OR(Query!$B$5="All",ISNUMBER(SEARCH(Query!$B$5,'Compliance Database'!$H1111))),OR(Query!$B$6="All",ISNUMBER(SEARCH(Query!$B$6,'Compliance Database'!$I1111))),OR(Query!$B$7="All",'Compliance Database'!$F1111=Query!$B$7),OR(Query!$B$8="All",'Compliance Database'!$J1111=Query!$B$8),OR(Query!$B$9="",ISNUMBER(SEARCH(Query!$B$9,'Compliance Database'!$D1111&amp;" "&amp;'Compliance Database'!$K1111&amp;" "&amp;'Compliance Database'!$L1111&amp;" "&amp;'Compliance Database'!$M1111&amp;" "&amp;'Compliance Database'!$N1111)))),1,0)</f>
        <v/>
      </c>
      <c r="B1111">
        <f>IF($A1111=1,SUM($A$2:$A1111),"")</f>
        <v/>
      </c>
      <c r="C1111">
        <f>IF($A1111=1,SUM($A$2:$A1111),0)</f>
        <v/>
      </c>
    </row>
    <row r="1112">
      <c r="A1112">
        <f>IF(AND(OR(Query!$B$4="All",'Compliance Database'!$A1112=Query!$B$4),OR(Query!$B$5="All",ISNUMBER(SEARCH(Query!$B$5,'Compliance Database'!$H1112))),OR(Query!$B$6="All",ISNUMBER(SEARCH(Query!$B$6,'Compliance Database'!$I1112))),OR(Query!$B$7="All",'Compliance Database'!$F1112=Query!$B$7),OR(Query!$B$8="All",'Compliance Database'!$J1112=Query!$B$8),OR(Query!$B$9="",ISNUMBER(SEARCH(Query!$B$9,'Compliance Database'!$D1112&amp;" "&amp;'Compliance Database'!$K1112&amp;" "&amp;'Compliance Database'!$L1112&amp;" "&amp;'Compliance Database'!$M1112&amp;" "&amp;'Compliance Database'!$N1112)))),1,0)</f>
        <v/>
      </c>
      <c r="B1112">
        <f>IF($A1112=1,SUM($A$2:$A1112),"")</f>
        <v/>
      </c>
      <c r="C1112">
        <f>IF($A1112=1,SUM($A$2:$A1112),0)</f>
        <v/>
      </c>
    </row>
    <row r="1113">
      <c r="A1113">
        <f>IF(AND(OR(Query!$B$4="All",'Compliance Database'!$A1113=Query!$B$4),OR(Query!$B$5="All",ISNUMBER(SEARCH(Query!$B$5,'Compliance Database'!$H1113))),OR(Query!$B$6="All",ISNUMBER(SEARCH(Query!$B$6,'Compliance Database'!$I1113))),OR(Query!$B$7="All",'Compliance Database'!$F1113=Query!$B$7),OR(Query!$B$8="All",'Compliance Database'!$J1113=Query!$B$8),OR(Query!$B$9="",ISNUMBER(SEARCH(Query!$B$9,'Compliance Database'!$D1113&amp;" "&amp;'Compliance Database'!$K1113&amp;" "&amp;'Compliance Database'!$L1113&amp;" "&amp;'Compliance Database'!$M1113&amp;" "&amp;'Compliance Database'!$N1113)))),1,0)</f>
        <v/>
      </c>
      <c r="B1113">
        <f>IF($A1113=1,SUM($A$2:$A1113),"")</f>
        <v/>
      </c>
      <c r="C1113">
        <f>IF($A1113=1,SUM($A$2:$A1113),0)</f>
        <v/>
      </c>
    </row>
    <row r="1114">
      <c r="A1114">
        <f>IF(AND(OR(Query!$B$4="All",'Compliance Database'!$A1114=Query!$B$4),OR(Query!$B$5="All",ISNUMBER(SEARCH(Query!$B$5,'Compliance Database'!$H1114))),OR(Query!$B$6="All",ISNUMBER(SEARCH(Query!$B$6,'Compliance Database'!$I1114))),OR(Query!$B$7="All",'Compliance Database'!$F1114=Query!$B$7),OR(Query!$B$8="All",'Compliance Database'!$J1114=Query!$B$8),OR(Query!$B$9="",ISNUMBER(SEARCH(Query!$B$9,'Compliance Database'!$D1114&amp;" "&amp;'Compliance Database'!$K1114&amp;" "&amp;'Compliance Database'!$L1114&amp;" "&amp;'Compliance Database'!$M1114&amp;" "&amp;'Compliance Database'!$N1114)))),1,0)</f>
        <v/>
      </c>
      <c r="B1114">
        <f>IF($A1114=1,SUM($A$2:$A1114),"")</f>
        <v/>
      </c>
      <c r="C1114">
        <f>IF($A1114=1,SUM($A$2:$A1114),0)</f>
        <v/>
      </c>
    </row>
    <row r="1115">
      <c r="A1115">
        <f>IF(AND(OR(Query!$B$4="All",'Compliance Database'!$A1115=Query!$B$4),OR(Query!$B$5="All",ISNUMBER(SEARCH(Query!$B$5,'Compliance Database'!$H1115))),OR(Query!$B$6="All",ISNUMBER(SEARCH(Query!$B$6,'Compliance Database'!$I1115))),OR(Query!$B$7="All",'Compliance Database'!$F1115=Query!$B$7),OR(Query!$B$8="All",'Compliance Database'!$J1115=Query!$B$8),OR(Query!$B$9="",ISNUMBER(SEARCH(Query!$B$9,'Compliance Database'!$D1115&amp;" "&amp;'Compliance Database'!$K1115&amp;" "&amp;'Compliance Database'!$L1115&amp;" "&amp;'Compliance Database'!$M1115&amp;" "&amp;'Compliance Database'!$N1115)))),1,0)</f>
        <v/>
      </c>
      <c r="B1115">
        <f>IF($A1115=1,SUM($A$2:$A1115),"")</f>
        <v/>
      </c>
      <c r="C1115">
        <f>IF($A1115=1,SUM($A$2:$A1115),0)</f>
        <v/>
      </c>
    </row>
    <row r="1116">
      <c r="A1116">
        <f>IF(AND(OR(Query!$B$4="All",'Compliance Database'!$A1116=Query!$B$4),OR(Query!$B$5="All",ISNUMBER(SEARCH(Query!$B$5,'Compliance Database'!$H1116))),OR(Query!$B$6="All",ISNUMBER(SEARCH(Query!$B$6,'Compliance Database'!$I1116))),OR(Query!$B$7="All",'Compliance Database'!$F1116=Query!$B$7),OR(Query!$B$8="All",'Compliance Database'!$J1116=Query!$B$8),OR(Query!$B$9="",ISNUMBER(SEARCH(Query!$B$9,'Compliance Database'!$D1116&amp;" "&amp;'Compliance Database'!$K1116&amp;" "&amp;'Compliance Database'!$L1116&amp;" "&amp;'Compliance Database'!$M1116&amp;" "&amp;'Compliance Database'!$N1116)))),1,0)</f>
        <v/>
      </c>
      <c r="B1116">
        <f>IF($A1116=1,SUM($A$2:$A1116),"")</f>
        <v/>
      </c>
      <c r="C1116">
        <f>IF($A1116=1,SUM($A$2:$A1116),0)</f>
        <v/>
      </c>
    </row>
    <row r="1117">
      <c r="A1117">
        <f>IF(AND(OR(Query!$B$4="All",'Compliance Database'!$A1117=Query!$B$4),OR(Query!$B$5="All",ISNUMBER(SEARCH(Query!$B$5,'Compliance Database'!$H1117))),OR(Query!$B$6="All",ISNUMBER(SEARCH(Query!$B$6,'Compliance Database'!$I1117))),OR(Query!$B$7="All",'Compliance Database'!$F1117=Query!$B$7),OR(Query!$B$8="All",'Compliance Database'!$J1117=Query!$B$8),OR(Query!$B$9="",ISNUMBER(SEARCH(Query!$B$9,'Compliance Database'!$D1117&amp;" "&amp;'Compliance Database'!$K1117&amp;" "&amp;'Compliance Database'!$L1117&amp;" "&amp;'Compliance Database'!$M1117&amp;" "&amp;'Compliance Database'!$N1117)))),1,0)</f>
        <v/>
      </c>
      <c r="B1117">
        <f>IF($A1117=1,SUM($A$2:$A1117),"")</f>
        <v/>
      </c>
      <c r="C1117">
        <f>IF($A1117=1,SUM($A$2:$A1117),0)</f>
        <v/>
      </c>
    </row>
    <row r="1118">
      <c r="A1118">
        <f>IF(AND(OR(Query!$B$4="All",'Compliance Database'!$A1118=Query!$B$4),OR(Query!$B$5="All",ISNUMBER(SEARCH(Query!$B$5,'Compliance Database'!$H1118))),OR(Query!$B$6="All",ISNUMBER(SEARCH(Query!$B$6,'Compliance Database'!$I1118))),OR(Query!$B$7="All",'Compliance Database'!$F1118=Query!$B$7),OR(Query!$B$8="All",'Compliance Database'!$J1118=Query!$B$8),OR(Query!$B$9="",ISNUMBER(SEARCH(Query!$B$9,'Compliance Database'!$D1118&amp;" "&amp;'Compliance Database'!$K1118&amp;" "&amp;'Compliance Database'!$L1118&amp;" "&amp;'Compliance Database'!$M1118&amp;" "&amp;'Compliance Database'!$N1118)))),1,0)</f>
        <v/>
      </c>
      <c r="B1118">
        <f>IF($A1118=1,SUM($A$2:$A1118),"")</f>
        <v/>
      </c>
      <c r="C1118">
        <f>IF($A1118=1,SUM($A$2:$A1118),0)</f>
        <v/>
      </c>
    </row>
    <row r="1119">
      <c r="A1119">
        <f>IF(AND(OR(Query!$B$4="All",'Compliance Database'!$A1119=Query!$B$4),OR(Query!$B$5="All",ISNUMBER(SEARCH(Query!$B$5,'Compliance Database'!$H1119))),OR(Query!$B$6="All",ISNUMBER(SEARCH(Query!$B$6,'Compliance Database'!$I1119))),OR(Query!$B$7="All",'Compliance Database'!$F1119=Query!$B$7),OR(Query!$B$8="All",'Compliance Database'!$J1119=Query!$B$8),OR(Query!$B$9="",ISNUMBER(SEARCH(Query!$B$9,'Compliance Database'!$D1119&amp;" "&amp;'Compliance Database'!$K1119&amp;" "&amp;'Compliance Database'!$L1119&amp;" "&amp;'Compliance Database'!$M1119&amp;" "&amp;'Compliance Database'!$N1119)))),1,0)</f>
        <v/>
      </c>
      <c r="B1119">
        <f>IF($A1119=1,SUM($A$2:$A1119),"")</f>
        <v/>
      </c>
      <c r="C1119">
        <f>IF($A1119=1,SUM($A$2:$A1119),0)</f>
        <v/>
      </c>
    </row>
    <row r="1120">
      <c r="A1120">
        <f>IF(AND(OR(Query!$B$4="All",'Compliance Database'!$A1120=Query!$B$4),OR(Query!$B$5="All",ISNUMBER(SEARCH(Query!$B$5,'Compliance Database'!$H1120))),OR(Query!$B$6="All",ISNUMBER(SEARCH(Query!$B$6,'Compliance Database'!$I1120))),OR(Query!$B$7="All",'Compliance Database'!$F1120=Query!$B$7),OR(Query!$B$8="All",'Compliance Database'!$J1120=Query!$B$8),OR(Query!$B$9="",ISNUMBER(SEARCH(Query!$B$9,'Compliance Database'!$D1120&amp;" "&amp;'Compliance Database'!$K1120&amp;" "&amp;'Compliance Database'!$L1120&amp;" "&amp;'Compliance Database'!$M1120&amp;" "&amp;'Compliance Database'!$N1120)))),1,0)</f>
        <v/>
      </c>
      <c r="B1120">
        <f>IF($A1120=1,SUM($A$2:$A1120),"")</f>
        <v/>
      </c>
      <c r="C1120">
        <f>IF($A1120=1,SUM($A$2:$A1120),0)</f>
        <v/>
      </c>
    </row>
    <row r="1121">
      <c r="A1121">
        <f>IF(AND(OR(Query!$B$4="All",'Compliance Database'!$A1121=Query!$B$4),OR(Query!$B$5="All",ISNUMBER(SEARCH(Query!$B$5,'Compliance Database'!$H1121))),OR(Query!$B$6="All",ISNUMBER(SEARCH(Query!$B$6,'Compliance Database'!$I1121))),OR(Query!$B$7="All",'Compliance Database'!$F1121=Query!$B$7),OR(Query!$B$8="All",'Compliance Database'!$J1121=Query!$B$8),OR(Query!$B$9="",ISNUMBER(SEARCH(Query!$B$9,'Compliance Database'!$D1121&amp;" "&amp;'Compliance Database'!$K1121&amp;" "&amp;'Compliance Database'!$L1121&amp;" "&amp;'Compliance Database'!$M1121&amp;" "&amp;'Compliance Database'!$N1121)))),1,0)</f>
        <v/>
      </c>
      <c r="B1121">
        <f>IF($A1121=1,SUM($A$2:$A1121),"")</f>
        <v/>
      </c>
      <c r="C1121">
        <f>IF($A1121=1,SUM($A$2:$A1121),0)</f>
        <v/>
      </c>
    </row>
    <row r="1122">
      <c r="A1122">
        <f>IF(AND(OR(Query!$B$4="All",'Compliance Database'!$A1122=Query!$B$4),OR(Query!$B$5="All",ISNUMBER(SEARCH(Query!$B$5,'Compliance Database'!$H1122))),OR(Query!$B$6="All",ISNUMBER(SEARCH(Query!$B$6,'Compliance Database'!$I1122))),OR(Query!$B$7="All",'Compliance Database'!$F1122=Query!$B$7),OR(Query!$B$8="All",'Compliance Database'!$J1122=Query!$B$8),OR(Query!$B$9="",ISNUMBER(SEARCH(Query!$B$9,'Compliance Database'!$D1122&amp;" "&amp;'Compliance Database'!$K1122&amp;" "&amp;'Compliance Database'!$L1122&amp;" "&amp;'Compliance Database'!$M1122&amp;" "&amp;'Compliance Database'!$N1122)))),1,0)</f>
        <v/>
      </c>
      <c r="B1122">
        <f>IF($A1122=1,SUM($A$2:$A1122),"")</f>
        <v/>
      </c>
      <c r="C1122">
        <f>IF($A1122=1,SUM($A$2:$A1122),0)</f>
        <v/>
      </c>
    </row>
    <row r="1123">
      <c r="A1123">
        <f>IF(AND(OR(Query!$B$4="All",'Compliance Database'!$A1123=Query!$B$4),OR(Query!$B$5="All",ISNUMBER(SEARCH(Query!$B$5,'Compliance Database'!$H1123))),OR(Query!$B$6="All",ISNUMBER(SEARCH(Query!$B$6,'Compliance Database'!$I1123))),OR(Query!$B$7="All",'Compliance Database'!$F1123=Query!$B$7),OR(Query!$B$8="All",'Compliance Database'!$J1123=Query!$B$8),OR(Query!$B$9="",ISNUMBER(SEARCH(Query!$B$9,'Compliance Database'!$D1123&amp;" "&amp;'Compliance Database'!$K1123&amp;" "&amp;'Compliance Database'!$L1123&amp;" "&amp;'Compliance Database'!$M1123&amp;" "&amp;'Compliance Database'!$N1123)))),1,0)</f>
        <v/>
      </c>
      <c r="B1123">
        <f>IF($A1123=1,SUM($A$2:$A1123),"")</f>
        <v/>
      </c>
      <c r="C1123">
        <f>IF($A1123=1,SUM($A$2:$A1123),0)</f>
        <v/>
      </c>
    </row>
    <row r="1124">
      <c r="A1124">
        <f>IF(AND(OR(Query!$B$4="All",'Compliance Database'!$A1124=Query!$B$4),OR(Query!$B$5="All",ISNUMBER(SEARCH(Query!$B$5,'Compliance Database'!$H1124))),OR(Query!$B$6="All",ISNUMBER(SEARCH(Query!$B$6,'Compliance Database'!$I1124))),OR(Query!$B$7="All",'Compliance Database'!$F1124=Query!$B$7),OR(Query!$B$8="All",'Compliance Database'!$J1124=Query!$B$8),OR(Query!$B$9="",ISNUMBER(SEARCH(Query!$B$9,'Compliance Database'!$D1124&amp;" "&amp;'Compliance Database'!$K1124&amp;" "&amp;'Compliance Database'!$L1124&amp;" "&amp;'Compliance Database'!$M1124&amp;" "&amp;'Compliance Database'!$N1124)))),1,0)</f>
        <v/>
      </c>
      <c r="B1124">
        <f>IF($A1124=1,SUM($A$2:$A1124),"")</f>
        <v/>
      </c>
      <c r="C1124">
        <f>IF($A1124=1,SUM($A$2:$A1124),0)</f>
        <v/>
      </c>
    </row>
    <row r="1125">
      <c r="A1125">
        <f>IF(AND(OR(Query!$B$4="All",'Compliance Database'!$A1125=Query!$B$4),OR(Query!$B$5="All",ISNUMBER(SEARCH(Query!$B$5,'Compliance Database'!$H1125))),OR(Query!$B$6="All",ISNUMBER(SEARCH(Query!$B$6,'Compliance Database'!$I1125))),OR(Query!$B$7="All",'Compliance Database'!$F1125=Query!$B$7),OR(Query!$B$8="All",'Compliance Database'!$J1125=Query!$B$8),OR(Query!$B$9="",ISNUMBER(SEARCH(Query!$B$9,'Compliance Database'!$D1125&amp;" "&amp;'Compliance Database'!$K1125&amp;" "&amp;'Compliance Database'!$L1125&amp;" "&amp;'Compliance Database'!$M1125&amp;" "&amp;'Compliance Database'!$N1125)))),1,0)</f>
        <v/>
      </c>
      <c r="B1125">
        <f>IF($A1125=1,SUM($A$2:$A1125),"")</f>
        <v/>
      </c>
      <c r="C1125">
        <f>IF($A1125=1,SUM($A$2:$A1125),0)</f>
        <v/>
      </c>
    </row>
    <row r="1126">
      <c r="A1126">
        <f>IF(AND(OR(Query!$B$4="All",'Compliance Database'!$A1126=Query!$B$4),OR(Query!$B$5="All",ISNUMBER(SEARCH(Query!$B$5,'Compliance Database'!$H1126))),OR(Query!$B$6="All",ISNUMBER(SEARCH(Query!$B$6,'Compliance Database'!$I1126))),OR(Query!$B$7="All",'Compliance Database'!$F1126=Query!$B$7),OR(Query!$B$8="All",'Compliance Database'!$J1126=Query!$B$8),OR(Query!$B$9="",ISNUMBER(SEARCH(Query!$B$9,'Compliance Database'!$D1126&amp;" "&amp;'Compliance Database'!$K1126&amp;" "&amp;'Compliance Database'!$L1126&amp;" "&amp;'Compliance Database'!$M1126&amp;" "&amp;'Compliance Database'!$N1126)))),1,0)</f>
        <v/>
      </c>
      <c r="B1126">
        <f>IF($A1126=1,SUM($A$2:$A1126),"")</f>
        <v/>
      </c>
      <c r="C1126">
        <f>IF($A1126=1,SUM($A$2:$A1126),0)</f>
        <v/>
      </c>
    </row>
    <row r="1127">
      <c r="A1127">
        <f>IF(AND(OR(Query!$B$4="All",'Compliance Database'!$A1127=Query!$B$4),OR(Query!$B$5="All",ISNUMBER(SEARCH(Query!$B$5,'Compliance Database'!$H1127))),OR(Query!$B$6="All",ISNUMBER(SEARCH(Query!$B$6,'Compliance Database'!$I1127))),OR(Query!$B$7="All",'Compliance Database'!$F1127=Query!$B$7),OR(Query!$B$8="All",'Compliance Database'!$J1127=Query!$B$8),OR(Query!$B$9="",ISNUMBER(SEARCH(Query!$B$9,'Compliance Database'!$D1127&amp;" "&amp;'Compliance Database'!$K1127&amp;" "&amp;'Compliance Database'!$L1127&amp;" "&amp;'Compliance Database'!$M1127&amp;" "&amp;'Compliance Database'!$N1127)))),1,0)</f>
        <v/>
      </c>
      <c r="B1127">
        <f>IF($A1127=1,SUM($A$2:$A1127),"")</f>
        <v/>
      </c>
      <c r="C1127">
        <f>IF($A1127=1,SUM($A$2:$A1127),0)</f>
        <v/>
      </c>
    </row>
    <row r="1128">
      <c r="A1128">
        <f>IF(AND(OR(Query!$B$4="All",'Compliance Database'!$A1128=Query!$B$4),OR(Query!$B$5="All",ISNUMBER(SEARCH(Query!$B$5,'Compliance Database'!$H1128))),OR(Query!$B$6="All",ISNUMBER(SEARCH(Query!$B$6,'Compliance Database'!$I1128))),OR(Query!$B$7="All",'Compliance Database'!$F1128=Query!$B$7),OR(Query!$B$8="All",'Compliance Database'!$J1128=Query!$B$8),OR(Query!$B$9="",ISNUMBER(SEARCH(Query!$B$9,'Compliance Database'!$D1128&amp;" "&amp;'Compliance Database'!$K1128&amp;" "&amp;'Compliance Database'!$L1128&amp;" "&amp;'Compliance Database'!$M1128&amp;" "&amp;'Compliance Database'!$N1128)))),1,0)</f>
        <v/>
      </c>
      <c r="B1128">
        <f>IF($A1128=1,SUM($A$2:$A1128),"")</f>
        <v/>
      </c>
      <c r="C1128">
        <f>IF($A1128=1,SUM($A$2:$A1128),0)</f>
        <v/>
      </c>
    </row>
    <row r="1129">
      <c r="A1129">
        <f>IF(AND(OR(Query!$B$4="All",'Compliance Database'!$A1129=Query!$B$4),OR(Query!$B$5="All",ISNUMBER(SEARCH(Query!$B$5,'Compliance Database'!$H1129))),OR(Query!$B$6="All",ISNUMBER(SEARCH(Query!$B$6,'Compliance Database'!$I1129))),OR(Query!$B$7="All",'Compliance Database'!$F1129=Query!$B$7),OR(Query!$B$8="All",'Compliance Database'!$J1129=Query!$B$8),OR(Query!$B$9="",ISNUMBER(SEARCH(Query!$B$9,'Compliance Database'!$D1129&amp;" "&amp;'Compliance Database'!$K1129&amp;" "&amp;'Compliance Database'!$L1129&amp;" "&amp;'Compliance Database'!$M1129&amp;" "&amp;'Compliance Database'!$N1129)))),1,0)</f>
        <v/>
      </c>
      <c r="B1129">
        <f>IF($A1129=1,SUM($A$2:$A1129),"")</f>
        <v/>
      </c>
      <c r="C1129">
        <f>IF($A1129=1,SUM($A$2:$A1129),0)</f>
        <v/>
      </c>
    </row>
    <row r="1130">
      <c r="A1130">
        <f>IF(AND(OR(Query!$B$4="All",'Compliance Database'!$A1130=Query!$B$4),OR(Query!$B$5="All",ISNUMBER(SEARCH(Query!$B$5,'Compliance Database'!$H1130))),OR(Query!$B$6="All",ISNUMBER(SEARCH(Query!$B$6,'Compliance Database'!$I1130))),OR(Query!$B$7="All",'Compliance Database'!$F1130=Query!$B$7),OR(Query!$B$8="All",'Compliance Database'!$J1130=Query!$B$8),OR(Query!$B$9="",ISNUMBER(SEARCH(Query!$B$9,'Compliance Database'!$D1130&amp;" "&amp;'Compliance Database'!$K1130&amp;" "&amp;'Compliance Database'!$L1130&amp;" "&amp;'Compliance Database'!$M1130&amp;" "&amp;'Compliance Database'!$N1130)))),1,0)</f>
        <v/>
      </c>
      <c r="B1130">
        <f>IF($A1130=1,SUM($A$2:$A1130),"")</f>
        <v/>
      </c>
      <c r="C1130">
        <f>IF($A1130=1,SUM($A$2:$A1130),0)</f>
        <v/>
      </c>
    </row>
    <row r="1131">
      <c r="A1131">
        <f>IF(AND(OR(Query!$B$4="All",'Compliance Database'!$A1131=Query!$B$4),OR(Query!$B$5="All",ISNUMBER(SEARCH(Query!$B$5,'Compliance Database'!$H1131))),OR(Query!$B$6="All",ISNUMBER(SEARCH(Query!$B$6,'Compliance Database'!$I1131))),OR(Query!$B$7="All",'Compliance Database'!$F1131=Query!$B$7),OR(Query!$B$8="All",'Compliance Database'!$J1131=Query!$B$8),OR(Query!$B$9="",ISNUMBER(SEARCH(Query!$B$9,'Compliance Database'!$D1131&amp;" "&amp;'Compliance Database'!$K1131&amp;" "&amp;'Compliance Database'!$L1131&amp;" "&amp;'Compliance Database'!$M1131&amp;" "&amp;'Compliance Database'!$N1131)))),1,0)</f>
        <v/>
      </c>
      <c r="B1131">
        <f>IF($A1131=1,SUM($A$2:$A1131),"")</f>
        <v/>
      </c>
      <c r="C1131">
        <f>IF($A1131=1,SUM($A$2:$A1131),0)</f>
        <v/>
      </c>
    </row>
    <row r="1132">
      <c r="A1132">
        <f>IF(AND(OR(Query!$B$4="All",'Compliance Database'!$A1132=Query!$B$4),OR(Query!$B$5="All",ISNUMBER(SEARCH(Query!$B$5,'Compliance Database'!$H1132))),OR(Query!$B$6="All",ISNUMBER(SEARCH(Query!$B$6,'Compliance Database'!$I1132))),OR(Query!$B$7="All",'Compliance Database'!$F1132=Query!$B$7),OR(Query!$B$8="All",'Compliance Database'!$J1132=Query!$B$8),OR(Query!$B$9="",ISNUMBER(SEARCH(Query!$B$9,'Compliance Database'!$D1132&amp;" "&amp;'Compliance Database'!$K1132&amp;" "&amp;'Compliance Database'!$L1132&amp;" "&amp;'Compliance Database'!$M1132&amp;" "&amp;'Compliance Database'!$N1132)))),1,0)</f>
        <v/>
      </c>
      <c r="B1132">
        <f>IF($A1132=1,SUM($A$2:$A1132),"")</f>
        <v/>
      </c>
      <c r="C1132">
        <f>IF($A1132=1,SUM($A$2:$A1132),0)</f>
        <v/>
      </c>
    </row>
    <row r="1133">
      <c r="A1133">
        <f>IF(AND(OR(Query!$B$4="All",'Compliance Database'!$A1133=Query!$B$4),OR(Query!$B$5="All",ISNUMBER(SEARCH(Query!$B$5,'Compliance Database'!$H1133))),OR(Query!$B$6="All",ISNUMBER(SEARCH(Query!$B$6,'Compliance Database'!$I1133))),OR(Query!$B$7="All",'Compliance Database'!$F1133=Query!$B$7),OR(Query!$B$8="All",'Compliance Database'!$J1133=Query!$B$8),OR(Query!$B$9="",ISNUMBER(SEARCH(Query!$B$9,'Compliance Database'!$D1133&amp;" "&amp;'Compliance Database'!$K1133&amp;" "&amp;'Compliance Database'!$L1133&amp;" "&amp;'Compliance Database'!$M1133&amp;" "&amp;'Compliance Database'!$N1133)))),1,0)</f>
        <v/>
      </c>
      <c r="B1133">
        <f>IF($A1133=1,SUM($A$2:$A1133),"")</f>
        <v/>
      </c>
      <c r="C1133">
        <f>IF($A1133=1,SUM($A$2:$A1133),0)</f>
        <v/>
      </c>
    </row>
    <row r="1134">
      <c r="A1134">
        <f>IF(AND(OR(Query!$B$4="All",'Compliance Database'!$A1134=Query!$B$4),OR(Query!$B$5="All",ISNUMBER(SEARCH(Query!$B$5,'Compliance Database'!$H1134))),OR(Query!$B$6="All",ISNUMBER(SEARCH(Query!$B$6,'Compliance Database'!$I1134))),OR(Query!$B$7="All",'Compliance Database'!$F1134=Query!$B$7),OR(Query!$B$8="All",'Compliance Database'!$J1134=Query!$B$8),OR(Query!$B$9="",ISNUMBER(SEARCH(Query!$B$9,'Compliance Database'!$D1134&amp;" "&amp;'Compliance Database'!$K1134&amp;" "&amp;'Compliance Database'!$L1134&amp;" "&amp;'Compliance Database'!$M1134&amp;" "&amp;'Compliance Database'!$N1134)))),1,0)</f>
        <v/>
      </c>
      <c r="B1134">
        <f>IF($A1134=1,SUM($A$2:$A1134),"")</f>
        <v/>
      </c>
      <c r="C1134">
        <f>IF($A1134=1,SUM($A$2:$A1134),0)</f>
        <v/>
      </c>
    </row>
    <row r="1135">
      <c r="A1135">
        <f>IF(AND(OR(Query!$B$4="All",'Compliance Database'!$A1135=Query!$B$4),OR(Query!$B$5="All",ISNUMBER(SEARCH(Query!$B$5,'Compliance Database'!$H1135))),OR(Query!$B$6="All",ISNUMBER(SEARCH(Query!$B$6,'Compliance Database'!$I1135))),OR(Query!$B$7="All",'Compliance Database'!$F1135=Query!$B$7),OR(Query!$B$8="All",'Compliance Database'!$J1135=Query!$B$8),OR(Query!$B$9="",ISNUMBER(SEARCH(Query!$B$9,'Compliance Database'!$D1135&amp;" "&amp;'Compliance Database'!$K1135&amp;" "&amp;'Compliance Database'!$L1135&amp;" "&amp;'Compliance Database'!$M1135&amp;" "&amp;'Compliance Database'!$N1135)))),1,0)</f>
        <v/>
      </c>
      <c r="B1135">
        <f>IF($A1135=1,SUM($A$2:$A1135),"")</f>
        <v/>
      </c>
      <c r="C1135">
        <f>IF($A1135=1,SUM($A$2:$A1135),0)</f>
        <v/>
      </c>
    </row>
    <row r="1136">
      <c r="A1136">
        <f>IF(AND(OR(Query!$B$4="All",'Compliance Database'!$A1136=Query!$B$4),OR(Query!$B$5="All",ISNUMBER(SEARCH(Query!$B$5,'Compliance Database'!$H1136))),OR(Query!$B$6="All",ISNUMBER(SEARCH(Query!$B$6,'Compliance Database'!$I1136))),OR(Query!$B$7="All",'Compliance Database'!$F1136=Query!$B$7),OR(Query!$B$8="All",'Compliance Database'!$J1136=Query!$B$8),OR(Query!$B$9="",ISNUMBER(SEARCH(Query!$B$9,'Compliance Database'!$D1136&amp;" "&amp;'Compliance Database'!$K1136&amp;" "&amp;'Compliance Database'!$L1136&amp;" "&amp;'Compliance Database'!$M1136&amp;" "&amp;'Compliance Database'!$N1136)))),1,0)</f>
        <v/>
      </c>
      <c r="B1136">
        <f>IF($A1136=1,SUM($A$2:$A1136),"")</f>
        <v/>
      </c>
      <c r="C1136">
        <f>IF($A1136=1,SUM($A$2:$A1136),0)</f>
        <v/>
      </c>
    </row>
    <row r="1137">
      <c r="A1137">
        <f>IF(AND(OR(Query!$B$4="All",'Compliance Database'!$A1137=Query!$B$4),OR(Query!$B$5="All",ISNUMBER(SEARCH(Query!$B$5,'Compliance Database'!$H1137))),OR(Query!$B$6="All",ISNUMBER(SEARCH(Query!$B$6,'Compliance Database'!$I1137))),OR(Query!$B$7="All",'Compliance Database'!$F1137=Query!$B$7),OR(Query!$B$8="All",'Compliance Database'!$J1137=Query!$B$8),OR(Query!$B$9="",ISNUMBER(SEARCH(Query!$B$9,'Compliance Database'!$D1137&amp;" "&amp;'Compliance Database'!$K1137&amp;" "&amp;'Compliance Database'!$L1137&amp;" "&amp;'Compliance Database'!$M1137&amp;" "&amp;'Compliance Database'!$N1137)))),1,0)</f>
        <v/>
      </c>
      <c r="B1137">
        <f>IF($A1137=1,SUM($A$2:$A1137),"")</f>
        <v/>
      </c>
      <c r="C1137">
        <f>IF($A1137=1,SUM($A$2:$A1137),0)</f>
        <v/>
      </c>
    </row>
    <row r="1138">
      <c r="A1138">
        <f>IF(AND(OR(Query!$B$4="All",'Compliance Database'!$A1138=Query!$B$4),OR(Query!$B$5="All",ISNUMBER(SEARCH(Query!$B$5,'Compliance Database'!$H1138))),OR(Query!$B$6="All",ISNUMBER(SEARCH(Query!$B$6,'Compliance Database'!$I1138))),OR(Query!$B$7="All",'Compliance Database'!$F1138=Query!$B$7),OR(Query!$B$8="All",'Compliance Database'!$J1138=Query!$B$8),OR(Query!$B$9="",ISNUMBER(SEARCH(Query!$B$9,'Compliance Database'!$D1138&amp;" "&amp;'Compliance Database'!$K1138&amp;" "&amp;'Compliance Database'!$L1138&amp;" "&amp;'Compliance Database'!$M1138&amp;" "&amp;'Compliance Database'!$N1138)))),1,0)</f>
        <v/>
      </c>
      <c r="B1138">
        <f>IF($A1138=1,SUM($A$2:$A1138),"")</f>
        <v/>
      </c>
      <c r="C1138">
        <f>IF($A1138=1,SUM($A$2:$A1138),0)</f>
        <v/>
      </c>
    </row>
    <row r="1139">
      <c r="A1139">
        <f>IF(AND(OR(Query!$B$4="All",'Compliance Database'!$A1139=Query!$B$4),OR(Query!$B$5="All",ISNUMBER(SEARCH(Query!$B$5,'Compliance Database'!$H1139))),OR(Query!$B$6="All",ISNUMBER(SEARCH(Query!$B$6,'Compliance Database'!$I1139))),OR(Query!$B$7="All",'Compliance Database'!$F1139=Query!$B$7),OR(Query!$B$8="All",'Compliance Database'!$J1139=Query!$B$8),OR(Query!$B$9="",ISNUMBER(SEARCH(Query!$B$9,'Compliance Database'!$D1139&amp;" "&amp;'Compliance Database'!$K1139&amp;" "&amp;'Compliance Database'!$L1139&amp;" "&amp;'Compliance Database'!$M1139&amp;" "&amp;'Compliance Database'!$N1139)))),1,0)</f>
        <v/>
      </c>
      <c r="B1139">
        <f>IF($A1139=1,SUM($A$2:$A1139),"")</f>
        <v/>
      </c>
      <c r="C1139">
        <f>IF($A1139=1,SUM($A$2:$A1139),0)</f>
        <v/>
      </c>
    </row>
    <row r="1140">
      <c r="A1140">
        <f>IF(AND(OR(Query!$B$4="All",'Compliance Database'!$A1140=Query!$B$4),OR(Query!$B$5="All",ISNUMBER(SEARCH(Query!$B$5,'Compliance Database'!$H1140))),OR(Query!$B$6="All",ISNUMBER(SEARCH(Query!$B$6,'Compliance Database'!$I1140))),OR(Query!$B$7="All",'Compliance Database'!$F1140=Query!$B$7),OR(Query!$B$8="All",'Compliance Database'!$J1140=Query!$B$8),OR(Query!$B$9="",ISNUMBER(SEARCH(Query!$B$9,'Compliance Database'!$D1140&amp;" "&amp;'Compliance Database'!$K1140&amp;" "&amp;'Compliance Database'!$L1140&amp;" "&amp;'Compliance Database'!$M1140&amp;" "&amp;'Compliance Database'!$N1140)))),1,0)</f>
        <v/>
      </c>
      <c r="B1140">
        <f>IF($A1140=1,SUM($A$2:$A1140),"")</f>
        <v/>
      </c>
      <c r="C1140">
        <f>IF($A1140=1,SUM($A$2:$A1140),0)</f>
        <v/>
      </c>
    </row>
    <row r="1141">
      <c r="A1141">
        <f>IF(AND(OR(Query!$B$4="All",'Compliance Database'!$A1141=Query!$B$4),OR(Query!$B$5="All",ISNUMBER(SEARCH(Query!$B$5,'Compliance Database'!$H1141))),OR(Query!$B$6="All",ISNUMBER(SEARCH(Query!$B$6,'Compliance Database'!$I1141))),OR(Query!$B$7="All",'Compliance Database'!$F1141=Query!$B$7),OR(Query!$B$8="All",'Compliance Database'!$J1141=Query!$B$8),OR(Query!$B$9="",ISNUMBER(SEARCH(Query!$B$9,'Compliance Database'!$D1141&amp;" "&amp;'Compliance Database'!$K1141&amp;" "&amp;'Compliance Database'!$L1141&amp;" "&amp;'Compliance Database'!$M1141&amp;" "&amp;'Compliance Database'!$N1141)))),1,0)</f>
        <v/>
      </c>
      <c r="B1141">
        <f>IF($A1141=1,SUM($A$2:$A1141),"")</f>
        <v/>
      </c>
      <c r="C1141">
        <f>IF($A1141=1,SUM($A$2:$A1141),0)</f>
        <v/>
      </c>
    </row>
    <row r="1142">
      <c r="A1142">
        <f>IF(AND(OR(Query!$B$4="All",'Compliance Database'!$A1142=Query!$B$4),OR(Query!$B$5="All",ISNUMBER(SEARCH(Query!$B$5,'Compliance Database'!$H1142))),OR(Query!$B$6="All",ISNUMBER(SEARCH(Query!$B$6,'Compliance Database'!$I1142))),OR(Query!$B$7="All",'Compliance Database'!$F1142=Query!$B$7),OR(Query!$B$8="All",'Compliance Database'!$J1142=Query!$B$8),OR(Query!$B$9="",ISNUMBER(SEARCH(Query!$B$9,'Compliance Database'!$D1142&amp;" "&amp;'Compliance Database'!$K1142&amp;" "&amp;'Compliance Database'!$L1142&amp;" "&amp;'Compliance Database'!$M1142&amp;" "&amp;'Compliance Database'!$N1142)))),1,0)</f>
        <v/>
      </c>
      <c r="B1142">
        <f>IF($A1142=1,SUM($A$2:$A1142),"")</f>
        <v/>
      </c>
      <c r="C1142">
        <f>IF($A1142=1,SUM($A$2:$A1142),0)</f>
        <v/>
      </c>
    </row>
    <row r="1143">
      <c r="A1143">
        <f>IF(AND(OR(Query!$B$4="All",'Compliance Database'!$A1143=Query!$B$4),OR(Query!$B$5="All",ISNUMBER(SEARCH(Query!$B$5,'Compliance Database'!$H1143))),OR(Query!$B$6="All",ISNUMBER(SEARCH(Query!$B$6,'Compliance Database'!$I1143))),OR(Query!$B$7="All",'Compliance Database'!$F1143=Query!$B$7),OR(Query!$B$8="All",'Compliance Database'!$J1143=Query!$B$8),OR(Query!$B$9="",ISNUMBER(SEARCH(Query!$B$9,'Compliance Database'!$D1143&amp;" "&amp;'Compliance Database'!$K1143&amp;" "&amp;'Compliance Database'!$L1143&amp;" "&amp;'Compliance Database'!$M1143&amp;" "&amp;'Compliance Database'!$N1143)))),1,0)</f>
        <v/>
      </c>
      <c r="B1143">
        <f>IF($A1143=1,SUM($A$2:$A1143),"")</f>
        <v/>
      </c>
      <c r="C1143">
        <f>IF($A1143=1,SUM($A$2:$A1143),0)</f>
        <v/>
      </c>
    </row>
    <row r="1144">
      <c r="A1144">
        <f>IF(AND(OR(Query!$B$4="All",'Compliance Database'!$A1144=Query!$B$4),OR(Query!$B$5="All",ISNUMBER(SEARCH(Query!$B$5,'Compliance Database'!$H1144))),OR(Query!$B$6="All",ISNUMBER(SEARCH(Query!$B$6,'Compliance Database'!$I1144))),OR(Query!$B$7="All",'Compliance Database'!$F1144=Query!$B$7),OR(Query!$B$8="All",'Compliance Database'!$J1144=Query!$B$8),OR(Query!$B$9="",ISNUMBER(SEARCH(Query!$B$9,'Compliance Database'!$D1144&amp;" "&amp;'Compliance Database'!$K1144&amp;" "&amp;'Compliance Database'!$L1144&amp;" "&amp;'Compliance Database'!$M1144&amp;" "&amp;'Compliance Database'!$N1144)))),1,0)</f>
        <v/>
      </c>
      <c r="B1144">
        <f>IF($A1144=1,SUM($A$2:$A1144),"")</f>
        <v/>
      </c>
      <c r="C1144">
        <f>IF($A1144=1,SUM($A$2:$A1144),0)</f>
        <v/>
      </c>
    </row>
    <row r="1145">
      <c r="A1145">
        <f>IF(AND(OR(Query!$B$4="All",'Compliance Database'!$A1145=Query!$B$4),OR(Query!$B$5="All",ISNUMBER(SEARCH(Query!$B$5,'Compliance Database'!$H1145))),OR(Query!$B$6="All",ISNUMBER(SEARCH(Query!$B$6,'Compliance Database'!$I1145))),OR(Query!$B$7="All",'Compliance Database'!$F1145=Query!$B$7),OR(Query!$B$8="All",'Compliance Database'!$J1145=Query!$B$8),OR(Query!$B$9="",ISNUMBER(SEARCH(Query!$B$9,'Compliance Database'!$D1145&amp;" "&amp;'Compliance Database'!$K1145&amp;" "&amp;'Compliance Database'!$L1145&amp;" "&amp;'Compliance Database'!$M1145&amp;" "&amp;'Compliance Database'!$N1145)))),1,0)</f>
        <v/>
      </c>
      <c r="B1145">
        <f>IF($A1145=1,SUM($A$2:$A1145),"")</f>
        <v/>
      </c>
      <c r="C1145">
        <f>IF($A1145=1,SUM($A$2:$A1145),0)</f>
        <v/>
      </c>
    </row>
    <row r="1146">
      <c r="A1146">
        <f>IF(AND(OR(Query!$B$4="All",'Compliance Database'!$A1146=Query!$B$4),OR(Query!$B$5="All",ISNUMBER(SEARCH(Query!$B$5,'Compliance Database'!$H1146))),OR(Query!$B$6="All",ISNUMBER(SEARCH(Query!$B$6,'Compliance Database'!$I1146))),OR(Query!$B$7="All",'Compliance Database'!$F1146=Query!$B$7),OR(Query!$B$8="All",'Compliance Database'!$J1146=Query!$B$8),OR(Query!$B$9="",ISNUMBER(SEARCH(Query!$B$9,'Compliance Database'!$D1146&amp;" "&amp;'Compliance Database'!$K1146&amp;" "&amp;'Compliance Database'!$L1146&amp;" "&amp;'Compliance Database'!$M1146&amp;" "&amp;'Compliance Database'!$N1146)))),1,0)</f>
        <v/>
      </c>
      <c r="B1146">
        <f>IF($A1146=1,SUM($A$2:$A1146),"")</f>
        <v/>
      </c>
      <c r="C1146">
        <f>IF($A1146=1,SUM($A$2:$A1146),0)</f>
        <v/>
      </c>
    </row>
    <row r="1147">
      <c r="A1147">
        <f>IF(AND(OR(Query!$B$4="All",'Compliance Database'!$A1147=Query!$B$4),OR(Query!$B$5="All",ISNUMBER(SEARCH(Query!$B$5,'Compliance Database'!$H1147))),OR(Query!$B$6="All",ISNUMBER(SEARCH(Query!$B$6,'Compliance Database'!$I1147))),OR(Query!$B$7="All",'Compliance Database'!$F1147=Query!$B$7),OR(Query!$B$8="All",'Compliance Database'!$J1147=Query!$B$8),OR(Query!$B$9="",ISNUMBER(SEARCH(Query!$B$9,'Compliance Database'!$D1147&amp;" "&amp;'Compliance Database'!$K1147&amp;" "&amp;'Compliance Database'!$L1147&amp;" "&amp;'Compliance Database'!$M1147&amp;" "&amp;'Compliance Database'!$N1147)))),1,0)</f>
        <v/>
      </c>
      <c r="B1147">
        <f>IF($A1147=1,SUM($A$2:$A1147),"")</f>
        <v/>
      </c>
      <c r="C1147">
        <f>IF($A1147=1,SUM($A$2:$A1147),0)</f>
        <v/>
      </c>
    </row>
    <row r="1148">
      <c r="A1148">
        <f>IF(AND(OR(Query!$B$4="All",'Compliance Database'!$A1148=Query!$B$4),OR(Query!$B$5="All",ISNUMBER(SEARCH(Query!$B$5,'Compliance Database'!$H1148))),OR(Query!$B$6="All",ISNUMBER(SEARCH(Query!$B$6,'Compliance Database'!$I1148))),OR(Query!$B$7="All",'Compliance Database'!$F1148=Query!$B$7),OR(Query!$B$8="All",'Compliance Database'!$J1148=Query!$B$8),OR(Query!$B$9="",ISNUMBER(SEARCH(Query!$B$9,'Compliance Database'!$D1148&amp;" "&amp;'Compliance Database'!$K1148&amp;" "&amp;'Compliance Database'!$L1148&amp;" "&amp;'Compliance Database'!$M1148&amp;" "&amp;'Compliance Database'!$N1148)))),1,0)</f>
        <v/>
      </c>
      <c r="B1148">
        <f>IF($A1148=1,SUM($A$2:$A1148),"")</f>
        <v/>
      </c>
      <c r="C1148">
        <f>IF($A1148=1,SUM($A$2:$A1148),0)</f>
        <v/>
      </c>
    </row>
    <row r="1149">
      <c r="A1149">
        <f>IF(AND(OR(Query!$B$4="All",'Compliance Database'!$A1149=Query!$B$4),OR(Query!$B$5="All",ISNUMBER(SEARCH(Query!$B$5,'Compliance Database'!$H1149))),OR(Query!$B$6="All",ISNUMBER(SEARCH(Query!$B$6,'Compliance Database'!$I1149))),OR(Query!$B$7="All",'Compliance Database'!$F1149=Query!$B$7),OR(Query!$B$8="All",'Compliance Database'!$J1149=Query!$B$8),OR(Query!$B$9="",ISNUMBER(SEARCH(Query!$B$9,'Compliance Database'!$D1149&amp;" "&amp;'Compliance Database'!$K1149&amp;" "&amp;'Compliance Database'!$L1149&amp;" "&amp;'Compliance Database'!$M1149&amp;" "&amp;'Compliance Database'!$N1149)))),1,0)</f>
        <v/>
      </c>
      <c r="B1149">
        <f>IF($A1149=1,SUM($A$2:$A1149),"")</f>
        <v/>
      </c>
      <c r="C1149">
        <f>IF($A1149=1,SUM($A$2:$A1149),0)</f>
        <v/>
      </c>
    </row>
    <row r="1150">
      <c r="A1150">
        <f>IF(AND(OR(Query!$B$4="All",'Compliance Database'!$A1150=Query!$B$4),OR(Query!$B$5="All",ISNUMBER(SEARCH(Query!$B$5,'Compliance Database'!$H1150))),OR(Query!$B$6="All",ISNUMBER(SEARCH(Query!$B$6,'Compliance Database'!$I1150))),OR(Query!$B$7="All",'Compliance Database'!$F1150=Query!$B$7),OR(Query!$B$8="All",'Compliance Database'!$J1150=Query!$B$8),OR(Query!$B$9="",ISNUMBER(SEARCH(Query!$B$9,'Compliance Database'!$D1150&amp;" "&amp;'Compliance Database'!$K1150&amp;" "&amp;'Compliance Database'!$L1150&amp;" "&amp;'Compliance Database'!$M1150&amp;" "&amp;'Compliance Database'!$N1150)))),1,0)</f>
        <v/>
      </c>
      <c r="B1150">
        <f>IF($A1150=1,SUM($A$2:$A1150),"")</f>
        <v/>
      </c>
      <c r="C1150">
        <f>IF($A1150=1,SUM($A$2:$A1150),0)</f>
        <v/>
      </c>
    </row>
    <row r="1151">
      <c r="A1151">
        <f>IF(AND(OR(Query!$B$4="All",'Compliance Database'!$A1151=Query!$B$4),OR(Query!$B$5="All",ISNUMBER(SEARCH(Query!$B$5,'Compliance Database'!$H1151))),OR(Query!$B$6="All",ISNUMBER(SEARCH(Query!$B$6,'Compliance Database'!$I1151))),OR(Query!$B$7="All",'Compliance Database'!$F1151=Query!$B$7),OR(Query!$B$8="All",'Compliance Database'!$J1151=Query!$B$8),OR(Query!$B$9="",ISNUMBER(SEARCH(Query!$B$9,'Compliance Database'!$D1151&amp;" "&amp;'Compliance Database'!$K1151&amp;" "&amp;'Compliance Database'!$L1151&amp;" "&amp;'Compliance Database'!$M1151&amp;" "&amp;'Compliance Database'!$N1151)))),1,0)</f>
        <v/>
      </c>
      <c r="B1151">
        <f>IF($A1151=1,SUM($A$2:$A1151),"")</f>
        <v/>
      </c>
      <c r="C1151">
        <f>IF($A1151=1,SUM($A$2:$A1151),0)</f>
        <v/>
      </c>
    </row>
    <row r="1152">
      <c r="A1152">
        <f>IF(AND(OR(Query!$B$4="All",'Compliance Database'!$A1152=Query!$B$4),OR(Query!$B$5="All",ISNUMBER(SEARCH(Query!$B$5,'Compliance Database'!$H1152))),OR(Query!$B$6="All",ISNUMBER(SEARCH(Query!$B$6,'Compliance Database'!$I1152))),OR(Query!$B$7="All",'Compliance Database'!$F1152=Query!$B$7),OR(Query!$B$8="All",'Compliance Database'!$J1152=Query!$B$8),OR(Query!$B$9="",ISNUMBER(SEARCH(Query!$B$9,'Compliance Database'!$D1152&amp;" "&amp;'Compliance Database'!$K1152&amp;" "&amp;'Compliance Database'!$L1152&amp;" "&amp;'Compliance Database'!$M1152&amp;" "&amp;'Compliance Database'!$N1152)))),1,0)</f>
        <v/>
      </c>
      <c r="B1152">
        <f>IF($A1152=1,SUM($A$2:$A1152),"")</f>
        <v/>
      </c>
      <c r="C1152">
        <f>IF($A1152=1,SUM($A$2:$A1152),0)</f>
        <v/>
      </c>
    </row>
    <row r="1153">
      <c r="A1153">
        <f>IF(AND(OR(Query!$B$4="All",'Compliance Database'!$A1153=Query!$B$4),OR(Query!$B$5="All",ISNUMBER(SEARCH(Query!$B$5,'Compliance Database'!$H1153))),OR(Query!$B$6="All",ISNUMBER(SEARCH(Query!$B$6,'Compliance Database'!$I1153))),OR(Query!$B$7="All",'Compliance Database'!$F1153=Query!$B$7),OR(Query!$B$8="All",'Compliance Database'!$J1153=Query!$B$8),OR(Query!$B$9="",ISNUMBER(SEARCH(Query!$B$9,'Compliance Database'!$D1153&amp;" "&amp;'Compliance Database'!$K1153&amp;" "&amp;'Compliance Database'!$L1153&amp;" "&amp;'Compliance Database'!$M1153&amp;" "&amp;'Compliance Database'!$N1153)))),1,0)</f>
        <v/>
      </c>
      <c r="B1153">
        <f>IF($A1153=1,SUM($A$2:$A1153),"")</f>
        <v/>
      </c>
      <c r="C1153">
        <f>IF($A1153=1,SUM($A$2:$A1153),0)</f>
        <v/>
      </c>
    </row>
    <row r="1154">
      <c r="A1154">
        <f>IF(AND(OR(Query!$B$4="All",'Compliance Database'!$A1154=Query!$B$4),OR(Query!$B$5="All",ISNUMBER(SEARCH(Query!$B$5,'Compliance Database'!$H1154))),OR(Query!$B$6="All",ISNUMBER(SEARCH(Query!$B$6,'Compliance Database'!$I1154))),OR(Query!$B$7="All",'Compliance Database'!$F1154=Query!$B$7),OR(Query!$B$8="All",'Compliance Database'!$J1154=Query!$B$8),OR(Query!$B$9="",ISNUMBER(SEARCH(Query!$B$9,'Compliance Database'!$D1154&amp;" "&amp;'Compliance Database'!$K1154&amp;" "&amp;'Compliance Database'!$L1154&amp;" "&amp;'Compliance Database'!$M1154&amp;" "&amp;'Compliance Database'!$N1154)))),1,0)</f>
        <v/>
      </c>
      <c r="B1154">
        <f>IF($A1154=1,SUM($A$2:$A1154),"")</f>
        <v/>
      </c>
      <c r="C1154">
        <f>IF($A1154=1,SUM($A$2:$A1154),0)</f>
        <v/>
      </c>
    </row>
    <row r="1155">
      <c r="A1155">
        <f>IF(AND(OR(Query!$B$4="All",'Compliance Database'!$A1155=Query!$B$4),OR(Query!$B$5="All",ISNUMBER(SEARCH(Query!$B$5,'Compliance Database'!$H1155))),OR(Query!$B$6="All",ISNUMBER(SEARCH(Query!$B$6,'Compliance Database'!$I1155))),OR(Query!$B$7="All",'Compliance Database'!$F1155=Query!$B$7),OR(Query!$B$8="All",'Compliance Database'!$J1155=Query!$B$8),OR(Query!$B$9="",ISNUMBER(SEARCH(Query!$B$9,'Compliance Database'!$D1155&amp;" "&amp;'Compliance Database'!$K1155&amp;" "&amp;'Compliance Database'!$L1155&amp;" "&amp;'Compliance Database'!$M1155&amp;" "&amp;'Compliance Database'!$N1155)))),1,0)</f>
        <v/>
      </c>
      <c r="B1155">
        <f>IF($A1155=1,SUM($A$2:$A1155),"")</f>
        <v/>
      </c>
      <c r="C1155">
        <f>IF($A1155=1,SUM($A$2:$A1155),0)</f>
        <v/>
      </c>
    </row>
    <row r="1156">
      <c r="A1156">
        <f>IF(AND(OR(Query!$B$4="All",'Compliance Database'!$A1156=Query!$B$4),OR(Query!$B$5="All",ISNUMBER(SEARCH(Query!$B$5,'Compliance Database'!$H1156))),OR(Query!$B$6="All",ISNUMBER(SEARCH(Query!$B$6,'Compliance Database'!$I1156))),OR(Query!$B$7="All",'Compliance Database'!$F1156=Query!$B$7),OR(Query!$B$8="All",'Compliance Database'!$J1156=Query!$B$8),OR(Query!$B$9="",ISNUMBER(SEARCH(Query!$B$9,'Compliance Database'!$D1156&amp;" "&amp;'Compliance Database'!$K1156&amp;" "&amp;'Compliance Database'!$L1156&amp;" "&amp;'Compliance Database'!$M1156&amp;" "&amp;'Compliance Database'!$N1156)))),1,0)</f>
        <v/>
      </c>
      <c r="B1156">
        <f>IF($A1156=1,SUM($A$2:$A1156),"")</f>
        <v/>
      </c>
      <c r="C1156">
        <f>IF($A1156=1,SUM($A$2:$A1156),0)</f>
        <v/>
      </c>
    </row>
    <row r="1157">
      <c r="A1157">
        <f>IF(AND(OR(Query!$B$4="All",'Compliance Database'!$A1157=Query!$B$4),OR(Query!$B$5="All",ISNUMBER(SEARCH(Query!$B$5,'Compliance Database'!$H1157))),OR(Query!$B$6="All",ISNUMBER(SEARCH(Query!$B$6,'Compliance Database'!$I1157))),OR(Query!$B$7="All",'Compliance Database'!$F1157=Query!$B$7),OR(Query!$B$8="All",'Compliance Database'!$J1157=Query!$B$8),OR(Query!$B$9="",ISNUMBER(SEARCH(Query!$B$9,'Compliance Database'!$D1157&amp;" "&amp;'Compliance Database'!$K1157&amp;" "&amp;'Compliance Database'!$L1157&amp;" "&amp;'Compliance Database'!$M1157&amp;" "&amp;'Compliance Database'!$N1157)))),1,0)</f>
        <v/>
      </c>
      <c r="B1157">
        <f>IF($A1157=1,SUM($A$2:$A1157),"")</f>
        <v/>
      </c>
      <c r="C1157">
        <f>IF($A1157=1,SUM($A$2:$A1157),0)</f>
        <v/>
      </c>
    </row>
    <row r="1158">
      <c r="A1158">
        <f>IF(AND(OR(Query!$B$4="All",'Compliance Database'!$A1158=Query!$B$4),OR(Query!$B$5="All",ISNUMBER(SEARCH(Query!$B$5,'Compliance Database'!$H1158))),OR(Query!$B$6="All",ISNUMBER(SEARCH(Query!$B$6,'Compliance Database'!$I1158))),OR(Query!$B$7="All",'Compliance Database'!$F1158=Query!$B$7),OR(Query!$B$8="All",'Compliance Database'!$J1158=Query!$B$8),OR(Query!$B$9="",ISNUMBER(SEARCH(Query!$B$9,'Compliance Database'!$D1158&amp;" "&amp;'Compliance Database'!$K1158&amp;" "&amp;'Compliance Database'!$L1158&amp;" "&amp;'Compliance Database'!$M1158&amp;" "&amp;'Compliance Database'!$N1158)))),1,0)</f>
        <v/>
      </c>
      <c r="B1158">
        <f>IF($A1158=1,SUM($A$2:$A1158),"")</f>
        <v/>
      </c>
      <c r="C1158">
        <f>IF($A1158=1,SUM($A$2:$A1158),0)</f>
        <v/>
      </c>
    </row>
    <row r="1159">
      <c r="A1159">
        <f>IF(AND(OR(Query!$B$4="All",'Compliance Database'!$A1159=Query!$B$4),OR(Query!$B$5="All",ISNUMBER(SEARCH(Query!$B$5,'Compliance Database'!$H1159))),OR(Query!$B$6="All",ISNUMBER(SEARCH(Query!$B$6,'Compliance Database'!$I1159))),OR(Query!$B$7="All",'Compliance Database'!$F1159=Query!$B$7),OR(Query!$B$8="All",'Compliance Database'!$J1159=Query!$B$8),OR(Query!$B$9="",ISNUMBER(SEARCH(Query!$B$9,'Compliance Database'!$D1159&amp;" "&amp;'Compliance Database'!$K1159&amp;" "&amp;'Compliance Database'!$L1159&amp;" "&amp;'Compliance Database'!$M1159&amp;" "&amp;'Compliance Database'!$N1159)))),1,0)</f>
        <v/>
      </c>
      <c r="B1159">
        <f>IF($A1159=1,SUM($A$2:$A1159),"")</f>
        <v/>
      </c>
      <c r="C1159">
        <f>IF($A1159=1,SUM($A$2:$A1159),0)</f>
        <v/>
      </c>
    </row>
    <row r="1160">
      <c r="A1160">
        <f>IF(AND(OR(Query!$B$4="All",'Compliance Database'!$A1160=Query!$B$4),OR(Query!$B$5="All",ISNUMBER(SEARCH(Query!$B$5,'Compliance Database'!$H1160))),OR(Query!$B$6="All",ISNUMBER(SEARCH(Query!$B$6,'Compliance Database'!$I1160))),OR(Query!$B$7="All",'Compliance Database'!$F1160=Query!$B$7),OR(Query!$B$8="All",'Compliance Database'!$J1160=Query!$B$8),OR(Query!$B$9="",ISNUMBER(SEARCH(Query!$B$9,'Compliance Database'!$D1160&amp;" "&amp;'Compliance Database'!$K1160&amp;" "&amp;'Compliance Database'!$L1160&amp;" "&amp;'Compliance Database'!$M1160&amp;" "&amp;'Compliance Database'!$N1160)))),1,0)</f>
        <v/>
      </c>
      <c r="B1160">
        <f>IF($A1160=1,SUM($A$2:$A1160),"")</f>
        <v/>
      </c>
      <c r="C1160">
        <f>IF($A1160=1,SUM($A$2:$A1160),0)</f>
        <v/>
      </c>
    </row>
    <row r="1161">
      <c r="A1161">
        <f>IF(AND(OR(Query!$B$4="All",'Compliance Database'!$A1161=Query!$B$4),OR(Query!$B$5="All",ISNUMBER(SEARCH(Query!$B$5,'Compliance Database'!$H1161))),OR(Query!$B$6="All",ISNUMBER(SEARCH(Query!$B$6,'Compliance Database'!$I1161))),OR(Query!$B$7="All",'Compliance Database'!$F1161=Query!$B$7),OR(Query!$B$8="All",'Compliance Database'!$J1161=Query!$B$8),OR(Query!$B$9="",ISNUMBER(SEARCH(Query!$B$9,'Compliance Database'!$D1161&amp;" "&amp;'Compliance Database'!$K1161&amp;" "&amp;'Compliance Database'!$L1161&amp;" "&amp;'Compliance Database'!$M1161&amp;" "&amp;'Compliance Database'!$N1161)))),1,0)</f>
        <v/>
      </c>
      <c r="B1161">
        <f>IF($A1161=1,SUM($A$2:$A1161),"")</f>
        <v/>
      </c>
      <c r="C1161">
        <f>IF($A1161=1,SUM($A$2:$A1161),0)</f>
        <v/>
      </c>
    </row>
    <row r="1162">
      <c r="A1162">
        <f>IF(AND(OR(Query!$B$4="All",'Compliance Database'!$A1162=Query!$B$4),OR(Query!$B$5="All",ISNUMBER(SEARCH(Query!$B$5,'Compliance Database'!$H1162))),OR(Query!$B$6="All",ISNUMBER(SEARCH(Query!$B$6,'Compliance Database'!$I1162))),OR(Query!$B$7="All",'Compliance Database'!$F1162=Query!$B$7),OR(Query!$B$8="All",'Compliance Database'!$J1162=Query!$B$8),OR(Query!$B$9="",ISNUMBER(SEARCH(Query!$B$9,'Compliance Database'!$D1162&amp;" "&amp;'Compliance Database'!$K1162&amp;" "&amp;'Compliance Database'!$L1162&amp;" "&amp;'Compliance Database'!$M1162&amp;" "&amp;'Compliance Database'!$N1162)))),1,0)</f>
        <v/>
      </c>
      <c r="B1162">
        <f>IF($A1162=1,SUM($A$2:$A1162),"")</f>
        <v/>
      </c>
      <c r="C1162">
        <f>IF($A1162=1,SUM($A$2:$A1162),0)</f>
        <v/>
      </c>
    </row>
    <row r="1163">
      <c r="A1163">
        <f>IF(AND(OR(Query!$B$4="All",'Compliance Database'!$A1163=Query!$B$4),OR(Query!$B$5="All",ISNUMBER(SEARCH(Query!$B$5,'Compliance Database'!$H1163))),OR(Query!$B$6="All",ISNUMBER(SEARCH(Query!$B$6,'Compliance Database'!$I1163))),OR(Query!$B$7="All",'Compliance Database'!$F1163=Query!$B$7),OR(Query!$B$8="All",'Compliance Database'!$J1163=Query!$B$8),OR(Query!$B$9="",ISNUMBER(SEARCH(Query!$B$9,'Compliance Database'!$D1163&amp;" "&amp;'Compliance Database'!$K1163&amp;" "&amp;'Compliance Database'!$L1163&amp;" "&amp;'Compliance Database'!$M1163&amp;" "&amp;'Compliance Database'!$N1163)))),1,0)</f>
        <v/>
      </c>
      <c r="B1163">
        <f>IF($A1163=1,SUM($A$2:$A1163),"")</f>
        <v/>
      </c>
      <c r="C1163">
        <f>IF($A1163=1,SUM($A$2:$A1163),0)</f>
        <v/>
      </c>
    </row>
    <row r="1164">
      <c r="A1164">
        <f>IF(AND(OR(Query!$B$4="All",'Compliance Database'!$A1164=Query!$B$4),OR(Query!$B$5="All",ISNUMBER(SEARCH(Query!$B$5,'Compliance Database'!$H1164))),OR(Query!$B$6="All",ISNUMBER(SEARCH(Query!$B$6,'Compliance Database'!$I1164))),OR(Query!$B$7="All",'Compliance Database'!$F1164=Query!$B$7),OR(Query!$B$8="All",'Compliance Database'!$J1164=Query!$B$8),OR(Query!$B$9="",ISNUMBER(SEARCH(Query!$B$9,'Compliance Database'!$D1164&amp;" "&amp;'Compliance Database'!$K1164&amp;" "&amp;'Compliance Database'!$L1164&amp;" "&amp;'Compliance Database'!$M1164&amp;" "&amp;'Compliance Database'!$N1164)))),1,0)</f>
        <v/>
      </c>
      <c r="B1164">
        <f>IF($A1164=1,SUM($A$2:$A1164),"")</f>
        <v/>
      </c>
      <c r="C1164">
        <f>IF($A1164=1,SUM($A$2:$A1164),0)</f>
        <v/>
      </c>
    </row>
    <row r="1165">
      <c r="A1165">
        <f>IF(AND(OR(Query!$B$4="All",'Compliance Database'!$A1165=Query!$B$4),OR(Query!$B$5="All",ISNUMBER(SEARCH(Query!$B$5,'Compliance Database'!$H1165))),OR(Query!$B$6="All",ISNUMBER(SEARCH(Query!$B$6,'Compliance Database'!$I1165))),OR(Query!$B$7="All",'Compliance Database'!$F1165=Query!$B$7),OR(Query!$B$8="All",'Compliance Database'!$J1165=Query!$B$8),OR(Query!$B$9="",ISNUMBER(SEARCH(Query!$B$9,'Compliance Database'!$D1165&amp;" "&amp;'Compliance Database'!$K1165&amp;" "&amp;'Compliance Database'!$L1165&amp;" "&amp;'Compliance Database'!$M1165&amp;" "&amp;'Compliance Database'!$N1165)))),1,0)</f>
        <v/>
      </c>
      <c r="B1165">
        <f>IF($A1165=1,SUM($A$2:$A1165),"")</f>
        <v/>
      </c>
      <c r="C1165">
        <f>IF($A1165=1,SUM($A$2:$A1165),0)</f>
        <v/>
      </c>
    </row>
    <row r="1166">
      <c r="A1166">
        <f>IF(AND(OR(Query!$B$4="All",'Compliance Database'!$A1166=Query!$B$4),OR(Query!$B$5="All",ISNUMBER(SEARCH(Query!$B$5,'Compliance Database'!$H1166))),OR(Query!$B$6="All",ISNUMBER(SEARCH(Query!$B$6,'Compliance Database'!$I1166))),OR(Query!$B$7="All",'Compliance Database'!$F1166=Query!$B$7),OR(Query!$B$8="All",'Compliance Database'!$J1166=Query!$B$8),OR(Query!$B$9="",ISNUMBER(SEARCH(Query!$B$9,'Compliance Database'!$D1166&amp;" "&amp;'Compliance Database'!$K1166&amp;" "&amp;'Compliance Database'!$L1166&amp;" "&amp;'Compliance Database'!$M1166&amp;" "&amp;'Compliance Database'!$N1166)))),1,0)</f>
        <v/>
      </c>
      <c r="B1166">
        <f>IF($A1166=1,SUM($A$2:$A1166),"")</f>
        <v/>
      </c>
      <c r="C1166">
        <f>IF($A1166=1,SUM($A$2:$A1166),0)</f>
        <v/>
      </c>
    </row>
    <row r="1167">
      <c r="A1167">
        <f>IF(AND(OR(Query!$B$4="All",'Compliance Database'!$A1167=Query!$B$4),OR(Query!$B$5="All",ISNUMBER(SEARCH(Query!$B$5,'Compliance Database'!$H1167))),OR(Query!$B$6="All",ISNUMBER(SEARCH(Query!$B$6,'Compliance Database'!$I1167))),OR(Query!$B$7="All",'Compliance Database'!$F1167=Query!$B$7),OR(Query!$B$8="All",'Compliance Database'!$J1167=Query!$B$8),OR(Query!$B$9="",ISNUMBER(SEARCH(Query!$B$9,'Compliance Database'!$D1167&amp;" "&amp;'Compliance Database'!$K1167&amp;" "&amp;'Compliance Database'!$L1167&amp;" "&amp;'Compliance Database'!$M1167&amp;" "&amp;'Compliance Database'!$N1167)))),1,0)</f>
        <v/>
      </c>
      <c r="B1167">
        <f>IF($A1167=1,SUM($A$2:$A1167),"")</f>
        <v/>
      </c>
      <c r="C1167">
        <f>IF($A1167=1,SUM($A$2:$A1167),0)</f>
        <v/>
      </c>
    </row>
    <row r="1168">
      <c r="A1168">
        <f>IF(AND(OR(Query!$B$4="All",'Compliance Database'!$A1168=Query!$B$4),OR(Query!$B$5="All",ISNUMBER(SEARCH(Query!$B$5,'Compliance Database'!$H1168))),OR(Query!$B$6="All",ISNUMBER(SEARCH(Query!$B$6,'Compliance Database'!$I1168))),OR(Query!$B$7="All",'Compliance Database'!$F1168=Query!$B$7),OR(Query!$B$8="All",'Compliance Database'!$J1168=Query!$B$8),OR(Query!$B$9="",ISNUMBER(SEARCH(Query!$B$9,'Compliance Database'!$D1168&amp;" "&amp;'Compliance Database'!$K1168&amp;" "&amp;'Compliance Database'!$L1168&amp;" "&amp;'Compliance Database'!$M1168&amp;" "&amp;'Compliance Database'!$N1168)))),1,0)</f>
        <v/>
      </c>
      <c r="B1168">
        <f>IF($A1168=1,SUM($A$2:$A1168),"")</f>
        <v/>
      </c>
      <c r="C1168">
        <f>IF($A1168=1,SUM($A$2:$A1168),0)</f>
        <v/>
      </c>
    </row>
    <row r="1169">
      <c r="A1169">
        <f>IF(AND(OR(Query!$B$4="All",'Compliance Database'!$A1169=Query!$B$4),OR(Query!$B$5="All",ISNUMBER(SEARCH(Query!$B$5,'Compliance Database'!$H1169))),OR(Query!$B$6="All",ISNUMBER(SEARCH(Query!$B$6,'Compliance Database'!$I1169))),OR(Query!$B$7="All",'Compliance Database'!$F1169=Query!$B$7),OR(Query!$B$8="All",'Compliance Database'!$J1169=Query!$B$8),OR(Query!$B$9="",ISNUMBER(SEARCH(Query!$B$9,'Compliance Database'!$D1169&amp;" "&amp;'Compliance Database'!$K1169&amp;" "&amp;'Compliance Database'!$L1169&amp;" "&amp;'Compliance Database'!$M1169&amp;" "&amp;'Compliance Database'!$N1169)))),1,0)</f>
        <v/>
      </c>
      <c r="B1169">
        <f>IF($A1169=1,SUM($A$2:$A1169),"")</f>
        <v/>
      </c>
      <c r="C1169">
        <f>IF($A1169=1,SUM($A$2:$A1169),0)</f>
        <v/>
      </c>
    </row>
    <row r="1170">
      <c r="A1170">
        <f>IF(AND(OR(Query!$B$4="All",'Compliance Database'!$A1170=Query!$B$4),OR(Query!$B$5="All",ISNUMBER(SEARCH(Query!$B$5,'Compliance Database'!$H1170))),OR(Query!$B$6="All",ISNUMBER(SEARCH(Query!$B$6,'Compliance Database'!$I1170))),OR(Query!$B$7="All",'Compliance Database'!$F1170=Query!$B$7),OR(Query!$B$8="All",'Compliance Database'!$J1170=Query!$B$8),OR(Query!$B$9="",ISNUMBER(SEARCH(Query!$B$9,'Compliance Database'!$D1170&amp;" "&amp;'Compliance Database'!$K1170&amp;" "&amp;'Compliance Database'!$L1170&amp;" "&amp;'Compliance Database'!$M1170&amp;" "&amp;'Compliance Database'!$N1170)))),1,0)</f>
        <v/>
      </c>
      <c r="B1170">
        <f>IF($A1170=1,SUM($A$2:$A1170),"")</f>
        <v/>
      </c>
      <c r="C1170">
        <f>IF($A1170=1,SUM($A$2:$A1170),0)</f>
        <v/>
      </c>
    </row>
    <row r="1171">
      <c r="A1171">
        <f>IF(AND(OR(Query!$B$4="All",'Compliance Database'!$A1171=Query!$B$4),OR(Query!$B$5="All",ISNUMBER(SEARCH(Query!$B$5,'Compliance Database'!$H1171))),OR(Query!$B$6="All",ISNUMBER(SEARCH(Query!$B$6,'Compliance Database'!$I1171))),OR(Query!$B$7="All",'Compliance Database'!$F1171=Query!$B$7),OR(Query!$B$8="All",'Compliance Database'!$J1171=Query!$B$8),OR(Query!$B$9="",ISNUMBER(SEARCH(Query!$B$9,'Compliance Database'!$D1171&amp;" "&amp;'Compliance Database'!$K1171&amp;" "&amp;'Compliance Database'!$L1171&amp;" "&amp;'Compliance Database'!$M1171&amp;" "&amp;'Compliance Database'!$N1171)))),1,0)</f>
        <v/>
      </c>
      <c r="B1171">
        <f>IF($A1171=1,SUM($A$2:$A1171),"")</f>
        <v/>
      </c>
      <c r="C1171">
        <f>IF($A1171=1,SUM($A$2:$A1171),0)</f>
        <v/>
      </c>
    </row>
    <row r="1172">
      <c r="A1172">
        <f>IF(AND(OR(Query!$B$4="All",'Compliance Database'!$A1172=Query!$B$4),OR(Query!$B$5="All",ISNUMBER(SEARCH(Query!$B$5,'Compliance Database'!$H1172))),OR(Query!$B$6="All",ISNUMBER(SEARCH(Query!$B$6,'Compliance Database'!$I1172))),OR(Query!$B$7="All",'Compliance Database'!$F1172=Query!$B$7),OR(Query!$B$8="All",'Compliance Database'!$J1172=Query!$B$8),OR(Query!$B$9="",ISNUMBER(SEARCH(Query!$B$9,'Compliance Database'!$D1172&amp;" "&amp;'Compliance Database'!$K1172&amp;" "&amp;'Compliance Database'!$L1172&amp;" "&amp;'Compliance Database'!$M1172&amp;" "&amp;'Compliance Database'!$N1172)))),1,0)</f>
        <v/>
      </c>
      <c r="B1172">
        <f>IF($A1172=1,SUM($A$2:$A1172),"")</f>
        <v/>
      </c>
      <c r="C1172">
        <f>IF($A1172=1,SUM($A$2:$A1172),0)</f>
        <v/>
      </c>
    </row>
    <row r="1173">
      <c r="A1173">
        <f>IF(AND(OR(Query!$B$4="All",'Compliance Database'!$A1173=Query!$B$4),OR(Query!$B$5="All",ISNUMBER(SEARCH(Query!$B$5,'Compliance Database'!$H1173))),OR(Query!$B$6="All",ISNUMBER(SEARCH(Query!$B$6,'Compliance Database'!$I1173))),OR(Query!$B$7="All",'Compliance Database'!$F1173=Query!$B$7),OR(Query!$B$8="All",'Compliance Database'!$J1173=Query!$B$8),OR(Query!$B$9="",ISNUMBER(SEARCH(Query!$B$9,'Compliance Database'!$D1173&amp;" "&amp;'Compliance Database'!$K1173&amp;" "&amp;'Compliance Database'!$L1173&amp;" "&amp;'Compliance Database'!$M1173&amp;" "&amp;'Compliance Database'!$N1173)))),1,0)</f>
        <v/>
      </c>
      <c r="B1173">
        <f>IF($A1173=1,SUM($A$2:$A1173),"")</f>
        <v/>
      </c>
      <c r="C1173">
        <f>IF($A1173=1,SUM($A$2:$A1173),0)</f>
        <v/>
      </c>
    </row>
    <row r="1174">
      <c r="A1174">
        <f>IF(AND(OR(Query!$B$4="All",'Compliance Database'!$A1174=Query!$B$4),OR(Query!$B$5="All",ISNUMBER(SEARCH(Query!$B$5,'Compliance Database'!$H1174))),OR(Query!$B$6="All",ISNUMBER(SEARCH(Query!$B$6,'Compliance Database'!$I1174))),OR(Query!$B$7="All",'Compliance Database'!$F1174=Query!$B$7),OR(Query!$B$8="All",'Compliance Database'!$J1174=Query!$B$8),OR(Query!$B$9="",ISNUMBER(SEARCH(Query!$B$9,'Compliance Database'!$D1174&amp;" "&amp;'Compliance Database'!$K1174&amp;" "&amp;'Compliance Database'!$L1174&amp;" "&amp;'Compliance Database'!$M1174&amp;" "&amp;'Compliance Database'!$N1174)))),1,0)</f>
        <v/>
      </c>
      <c r="B1174">
        <f>IF($A1174=1,SUM($A$2:$A1174),"")</f>
        <v/>
      </c>
      <c r="C1174">
        <f>IF($A1174=1,SUM($A$2:$A1174),0)</f>
        <v/>
      </c>
    </row>
    <row r="1175">
      <c r="A1175">
        <f>IF(AND(OR(Query!$B$4="All",'Compliance Database'!$A1175=Query!$B$4),OR(Query!$B$5="All",ISNUMBER(SEARCH(Query!$B$5,'Compliance Database'!$H1175))),OR(Query!$B$6="All",ISNUMBER(SEARCH(Query!$B$6,'Compliance Database'!$I1175))),OR(Query!$B$7="All",'Compliance Database'!$F1175=Query!$B$7),OR(Query!$B$8="All",'Compliance Database'!$J1175=Query!$B$8),OR(Query!$B$9="",ISNUMBER(SEARCH(Query!$B$9,'Compliance Database'!$D1175&amp;" "&amp;'Compliance Database'!$K1175&amp;" "&amp;'Compliance Database'!$L1175&amp;" "&amp;'Compliance Database'!$M1175&amp;" "&amp;'Compliance Database'!$N1175)))),1,0)</f>
        <v/>
      </c>
      <c r="B1175">
        <f>IF($A1175=1,SUM($A$2:$A1175),"")</f>
        <v/>
      </c>
      <c r="C1175">
        <f>IF($A1175=1,SUM($A$2:$A1175),0)</f>
        <v/>
      </c>
    </row>
    <row r="1176">
      <c r="A1176">
        <f>IF(AND(OR(Query!$B$4="All",'Compliance Database'!$A1176=Query!$B$4),OR(Query!$B$5="All",ISNUMBER(SEARCH(Query!$B$5,'Compliance Database'!$H1176))),OR(Query!$B$6="All",ISNUMBER(SEARCH(Query!$B$6,'Compliance Database'!$I1176))),OR(Query!$B$7="All",'Compliance Database'!$F1176=Query!$B$7),OR(Query!$B$8="All",'Compliance Database'!$J1176=Query!$B$8),OR(Query!$B$9="",ISNUMBER(SEARCH(Query!$B$9,'Compliance Database'!$D1176&amp;" "&amp;'Compliance Database'!$K1176&amp;" "&amp;'Compliance Database'!$L1176&amp;" "&amp;'Compliance Database'!$M1176&amp;" "&amp;'Compliance Database'!$N1176)))),1,0)</f>
        <v/>
      </c>
      <c r="B1176">
        <f>IF($A1176=1,SUM($A$2:$A1176),"")</f>
        <v/>
      </c>
      <c r="C1176">
        <f>IF($A1176=1,SUM($A$2:$A1176),0)</f>
        <v/>
      </c>
    </row>
    <row r="1177">
      <c r="A1177">
        <f>IF(AND(OR(Query!$B$4="All",'Compliance Database'!$A1177=Query!$B$4),OR(Query!$B$5="All",ISNUMBER(SEARCH(Query!$B$5,'Compliance Database'!$H1177))),OR(Query!$B$6="All",ISNUMBER(SEARCH(Query!$B$6,'Compliance Database'!$I1177))),OR(Query!$B$7="All",'Compliance Database'!$F1177=Query!$B$7),OR(Query!$B$8="All",'Compliance Database'!$J1177=Query!$B$8),OR(Query!$B$9="",ISNUMBER(SEARCH(Query!$B$9,'Compliance Database'!$D1177&amp;" "&amp;'Compliance Database'!$K1177&amp;" "&amp;'Compliance Database'!$L1177&amp;" "&amp;'Compliance Database'!$M1177&amp;" "&amp;'Compliance Database'!$N1177)))),1,0)</f>
        <v/>
      </c>
      <c r="B1177">
        <f>IF($A1177=1,SUM($A$2:$A1177),"")</f>
        <v/>
      </c>
      <c r="C1177">
        <f>IF($A1177=1,SUM($A$2:$A1177),0)</f>
        <v/>
      </c>
    </row>
    <row r="1178">
      <c r="A1178">
        <f>IF(AND(OR(Query!$B$4="All",'Compliance Database'!$A1178=Query!$B$4),OR(Query!$B$5="All",ISNUMBER(SEARCH(Query!$B$5,'Compliance Database'!$H1178))),OR(Query!$B$6="All",ISNUMBER(SEARCH(Query!$B$6,'Compliance Database'!$I1178))),OR(Query!$B$7="All",'Compliance Database'!$F1178=Query!$B$7),OR(Query!$B$8="All",'Compliance Database'!$J1178=Query!$B$8),OR(Query!$B$9="",ISNUMBER(SEARCH(Query!$B$9,'Compliance Database'!$D1178&amp;" "&amp;'Compliance Database'!$K1178&amp;" "&amp;'Compliance Database'!$L1178&amp;" "&amp;'Compliance Database'!$M1178&amp;" "&amp;'Compliance Database'!$N1178)))),1,0)</f>
        <v/>
      </c>
      <c r="B1178">
        <f>IF($A1178=1,SUM($A$2:$A1178),"")</f>
        <v/>
      </c>
      <c r="C1178">
        <f>IF($A1178=1,SUM($A$2:$A1178),0)</f>
        <v/>
      </c>
    </row>
    <row r="1179">
      <c r="A1179">
        <f>IF(AND(OR(Query!$B$4="All",'Compliance Database'!$A1179=Query!$B$4),OR(Query!$B$5="All",ISNUMBER(SEARCH(Query!$B$5,'Compliance Database'!$H1179))),OR(Query!$B$6="All",ISNUMBER(SEARCH(Query!$B$6,'Compliance Database'!$I1179))),OR(Query!$B$7="All",'Compliance Database'!$F1179=Query!$B$7),OR(Query!$B$8="All",'Compliance Database'!$J1179=Query!$B$8),OR(Query!$B$9="",ISNUMBER(SEARCH(Query!$B$9,'Compliance Database'!$D1179&amp;" "&amp;'Compliance Database'!$K1179&amp;" "&amp;'Compliance Database'!$L1179&amp;" "&amp;'Compliance Database'!$M1179&amp;" "&amp;'Compliance Database'!$N1179)))),1,0)</f>
        <v/>
      </c>
      <c r="B1179">
        <f>IF($A1179=1,SUM($A$2:$A1179),"")</f>
        <v/>
      </c>
      <c r="C1179">
        <f>IF($A1179=1,SUM($A$2:$A1179),0)</f>
        <v/>
      </c>
    </row>
    <row r="1180">
      <c r="A1180">
        <f>IF(AND(OR(Query!$B$4="All",'Compliance Database'!$A1180=Query!$B$4),OR(Query!$B$5="All",ISNUMBER(SEARCH(Query!$B$5,'Compliance Database'!$H1180))),OR(Query!$B$6="All",ISNUMBER(SEARCH(Query!$B$6,'Compliance Database'!$I1180))),OR(Query!$B$7="All",'Compliance Database'!$F1180=Query!$B$7),OR(Query!$B$8="All",'Compliance Database'!$J1180=Query!$B$8),OR(Query!$B$9="",ISNUMBER(SEARCH(Query!$B$9,'Compliance Database'!$D1180&amp;" "&amp;'Compliance Database'!$K1180&amp;" "&amp;'Compliance Database'!$L1180&amp;" "&amp;'Compliance Database'!$M1180&amp;" "&amp;'Compliance Database'!$N1180)))),1,0)</f>
        <v/>
      </c>
      <c r="B1180">
        <f>IF($A1180=1,SUM($A$2:$A1180),"")</f>
        <v/>
      </c>
      <c r="C1180">
        <f>IF($A1180=1,SUM($A$2:$A1180),0)</f>
        <v/>
      </c>
    </row>
    <row r="1181">
      <c r="A1181">
        <f>IF(AND(OR(Query!$B$4="All",'Compliance Database'!$A1181=Query!$B$4),OR(Query!$B$5="All",ISNUMBER(SEARCH(Query!$B$5,'Compliance Database'!$H1181))),OR(Query!$B$6="All",ISNUMBER(SEARCH(Query!$B$6,'Compliance Database'!$I1181))),OR(Query!$B$7="All",'Compliance Database'!$F1181=Query!$B$7),OR(Query!$B$8="All",'Compliance Database'!$J1181=Query!$B$8),OR(Query!$B$9="",ISNUMBER(SEARCH(Query!$B$9,'Compliance Database'!$D1181&amp;" "&amp;'Compliance Database'!$K1181&amp;" "&amp;'Compliance Database'!$L1181&amp;" "&amp;'Compliance Database'!$M1181&amp;" "&amp;'Compliance Database'!$N1181)))),1,0)</f>
        <v/>
      </c>
      <c r="B1181">
        <f>IF($A1181=1,SUM($A$2:$A1181),"")</f>
        <v/>
      </c>
      <c r="C1181">
        <f>IF($A1181=1,SUM($A$2:$A1181),0)</f>
        <v/>
      </c>
    </row>
    <row r="1182">
      <c r="A1182">
        <f>IF(AND(OR(Query!$B$4="All",'Compliance Database'!$A1182=Query!$B$4),OR(Query!$B$5="All",ISNUMBER(SEARCH(Query!$B$5,'Compliance Database'!$H1182))),OR(Query!$B$6="All",ISNUMBER(SEARCH(Query!$B$6,'Compliance Database'!$I1182))),OR(Query!$B$7="All",'Compliance Database'!$F1182=Query!$B$7),OR(Query!$B$8="All",'Compliance Database'!$J1182=Query!$B$8),OR(Query!$B$9="",ISNUMBER(SEARCH(Query!$B$9,'Compliance Database'!$D1182&amp;" "&amp;'Compliance Database'!$K1182&amp;" "&amp;'Compliance Database'!$L1182&amp;" "&amp;'Compliance Database'!$M1182&amp;" "&amp;'Compliance Database'!$N1182)))),1,0)</f>
        <v/>
      </c>
      <c r="B1182">
        <f>IF($A1182=1,SUM($A$2:$A1182),"")</f>
        <v/>
      </c>
      <c r="C1182">
        <f>IF($A1182=1,SUM($A$2:$A1182),0)</f>
        <v/>
      </c>
    </row>
    <row r="1183">
      <c r="A1183">
        <f>IF(AND(OR(Query!$B$4="All",'Compliance Database'!$A1183=Query!$B$4),OR(Query!$B$5="All",ISNUMBER(SEARCH(Query!$B$5,'Compliance Database'!$H1183))),OR(Query!$B$6="All",ISNUMBER(SEARCH(Query!$B$6,'Compliance Database'!$I1183))),OR(Query!$B$7="All",'Compliance Database'!$F1183=Query!$B$7),OR(Query!$B$8="All",'Compliance Database'!$J1183=Query!$B$8),OR(Query!$B$9="",ISNUMBER(SEARCH(Query!$B$9,'Compliance Database'!$D1183&amp;" "&amp;'Compliance Database'!$K1183&amp;" "&amp;'Compliance Database'!$L1183&amp;" "&amp;'Compliance Database'!$M1183&amp;" "&amp;'Compliance Database'!$N1183)))),1,0)</f>
        <v/>
      </c>
      <c r="B1183">
        <f>IF($A1183=1,SUM($A$2:$A1183),"")</f>
        <v/>
      </c>
      <c r="C1183">
        <f>IF($A1183=1,SUM($A$2:$A1183),0)</f>
        <v/>
      </c>
    </row>
    <row r="1184">
      <c r="A1184">
        <f>IF(AND(OR(Query!$B$4="All",'Compliance Database'!$A1184=Query!$B$4),OR(Query!$B$5="All",ISNUMBER(SEARCH(Query!$B$5,'Compliance Database'!$H1184))),OR(Query!$B$6="All",ISNUMBER(SEARCH(Query!$B$6,'Compliance Database'!$I1184))),OR(Query!$B$7="All",'Compliance Database'!$F1184=Query!$B$7),OR(Query!$B$8="All",'Compliance Database'!$J1184=Query!$B$8),OR(Query!$B$9="",ISNUMBER(SEARCH(Query!$B$9,'Compliance Database'!$D1184&amp;" "&amp;'Compliance Database'!$K1184&amp;" "&amp;'Compliance Database'!$L1184&amp;" "&amp;'Compliance Database'!$M1184&amp;" "&amp;'Compliance Database'!$N1184)))),1,0)</f>
        <v/>
      </c>
      <c r="B1184">
        <f>IF($A1184=1,SUM($A$2:$A1184),"")</f>
        <v/>
      </c>
      <c r="C1184">
        <f>IF($A1184=1,SUM($A$2:$A1184),0)</f>
        <v/>
      </c>
    </row>
    <row r="1185">
      <c r="A1185">
        <f>IF(AND(OR(Query!$B$4="All",'Compliance Database'!$A1185=Query!$B$4),OR(Query!$B$5="All",ISNUMBER(SEARCH(Query!$B$5,'Compliance Database'!$H1185))),OR(Query!$B$6="All",ISNUMBER(SEARCH(Query!$B$6,'Compliance Database'!$I1185))),OR(Query!$B$7="All",'Compliance Database'!$F1185=Query!$B$7),OR(Query!$B$8="All",'Compliance Database'!$J1185=Query!$B$8),OR(Query!$B$9="",ISNUMBER(SEARCH(Query!$B$9,'Compliance Database'!$D1185&amp;" "&amp;'Compliance Database'!$K1185&amp;" "&amp;'Compliance Database'!$L1185&amp;" "&amp;'Compliance Database'!$M1185&amp;" "&amp;'Compliance Database'!$N1185)))),1,0)</f>
        <v/>
      </c>
      <c r="B1185">
        <f>IF($A1185=1,SUM($A$2:$A1185),"")</f>
        <v/>
      </c>
      <c r="C1185">
        <f>IF($A1185=1,SUM($A$2:$A1185),0)</f>
        <v/>
      </c>
    </row>
    <row r="1186">
      <c r="A1186">
        <f>IF(AND(OR(Query!$B$4="All",'Compliance Database'!$A1186=Query!$B$4),OR(Query!$B$5="All",ISNUMBER(SEARCH(Query!$B$5,'Compliance Database'!$H1186))),OR(Query!$B$6="All",ISNUMBER(SEARCH(Query!$B$6,'Compliance Database'!$I1186))),OR(Query!$B$7="All",'Compliance Database'!$F1186=Query!$B$7),OR(Query!$B$8="All",'Compliance Database'!$J1186=Query!$B$8),OR(Query!$B$9="",ISNUMBER(SEARCH(Query!$B$9,'Compliance Database'!$D1186&amp;" "&amp;'Compliance Database'!$K1186&amp;" "&amp;'Compliance Database'!$L1186&amp;" "&amp;'Compliance Database'!$M1186&amp;" "&amp;'Compliance Database'!$N1186)))),1,0)</f>
        <v/>
      </c>
      <c r="B1186">
        <f>IF($A1186=1,SUM($A$2:$A1186),"")</f>
        <v/>
      </c>
      <c r="C1186">
        <f>IF($A1186=1,SUM($A$2:$A1186),0)</f>
        <v/>
      </c>
    </row>
    <row r="1187">
      <c r="A1187">
        <f>IF(AND(OR(Query!$B$4="All",'Compliance Database'!$A1187=Query!$B$4),OR(Query!$B$5="All",ISNUMBER(SEARCH(Query!$B$5,'Compliance Database'!$H1187))),OR(Query!$B$6="All",ISNUMBER(SEARCH(Query!$B$6,'Compliance Database'!$I1187))),OR(Query!$B$7="All",'Compliance Database'!$F1187=Query!$B$7),OR(Query!$B$8="All",'Compliance Database'!$J1187=Query!$B$8),OR(Query!$B$9="",ISNUMBER(SEARCH(Query!$B$9,'Compliance Database'!$D1187&amp;" "&amp;'Compliance Database'!$K1187&amp;" "&amp;'Compliance Database'!$L1187&amp;" "&amp;'Compliance Database'!$M1187&amp;" "&amp;'Compliance Database'!$N1187)))),1,0)</f>
        <v/>
      </c>
      <c r="B1187">
        <f>IF($A1187=1,SUM($A$2:$A1187),"")</f>
        <v/>
      </c>
      <c r="C1187">
        <f>IF($A1187=1,SUM($A$2:$A1187),0)</f>
        <v/>
      </c>
    </row>
    <row r="1188">
      <c r="A1188">
        <f>IF(AND(OR(Query!$B$4="All",'Compliance Database'!$A1188=Query!$B$4),OR(Query!$B$5="All",ISNUMBER(SEARCH(Query!$B$5,'Compliance Database'!$H1188))),OR(Query!$B$6="All",ISNUMBER(SEARCH(Query!$B$6,'Compliance Database'!$I1188))),OR(Query!$B$7="All",'Compliance Database'!$F1188=Query!$B$7),OR(Query!$B$8="All",'Compliance Database'!$J1188=Query!$B$8),OR(Query!$B$9="",ISNUMBER(SEARCH(Query!$B$9,'Compliance Database'!$D1188&amp;" "&amp;'Compliance Database'!$K1188&amp;" "&amp;'Compliance Database'!$L1188&amp;" "&amp;'Compliance Database'!$M1188&amp;" "&amp;'Compliance Database'!$N1188)))),1,0)</f>
        <v/>
      </c>
      <c r="B1188">
        <f>IF($A1188=1,SUM($A$2:$A1188),"")</f>
        <v/>
      </c>
      <c r="C1188">
        <f>IF($A1188=1,SUM($A$2:$A1188),0)</f>
        <v/>
      </c>
    </row>
    <row r="1189">
      <c r="A1189">
        <f>IF(AND(OR(Query!$B$4="All",'Compliance Database'!$A1189=Query!$B$4),OR(Query!$B$5="All",ISNUMBER(SEARCH(Query!$B$5,'Compliance Database'!$H1189))),OR(Query!$B$6="All",ISNUMBER(SEARCH(Query!$B$6,'Compliance Database'!$I1189))),OR(Query!$B$7="All",'Compliance Database'!$F1189=Query!$B$7),OR(Query!$B$8="All",'Compliance Database'!$J1189=Query!$B$8),OR(Query!$B$9="",ISNUMBER(SEARCH(Query!$B$9,'Compliance Database'!$D1189&amp;" "&amp;'Compliance Database'!$K1189&amp;" "&amp;'Compliance Database'!$L1189&amp;" "&amp;'Compliance Database'!$M1189&amp;" "&amp;'Compliance Database'!$N1189)))),1,0)</f>
        <v/>
      </c>
      <c r="B1189">
        <f>IF($A1189=1,SUM($A$2:$A1189),"")</f>
        <v/>
      </c>
      <c r="C1189">
        <f>IF($A1189=1,SUM($A$2:$A1189),0)</f>
        <v/>
      </c>
    </row>
    <row r="1190">
      <c r="A1190">
        <f>IF(AND(OR(Query!$B$4="All",'Compliance Database'!$A1190=Query!$B$4),OR(Query!$B$5="All",ISNUMBER(SEARCH(Query!$B$5,'Compliance Database'!$H1190))),OR(Query!$B$6="All",ISNUMBER(SEARCH(Query!$B$6,'Compliance Database'!$I1190))),OR(Query!$B$7="All",'Compliance Database'!$F1190=Query!$B$7),OR(Query!$B$8="All",'Compliance Database'!$J1190=Query!$B$8),OR(Query!$B$9="",ISNUMBER(SEARCH(Query!$B$9,'Compliance Database'!$D1190&amp;" "&amp;'Compliance Database'!$K1190&amp;" "&amp;'Compliance Database'!$L1190&amp;" "&amp;'Compliance Database'!$M1190&amp;" "&amp;'Compliance Database'!$N1190)))),1,0)</f>
        <v/>
      </c>
      <c r="B1190">
        <f>IF($A1190=1,SUM($A$2:$A1190),"")</f>
        <v/>
      </c>
      <c r="C1190">
        <f>IF($A1190=1,SUM($A$2:$A1190),0)</f>
        <v/>
      </c>
    </row>
    <row r="1191">
      <c r="A1191">
        <f>IF(AND(OR(Query!$B$4="All",'Compliance Database'!$A1191=Query!$B$4),OR(Query!$B$5="All",ISNUMBER(SEARCH(Query!$B$5,'Compliance Database'!$H1191))),OR(Query!$B$6="All",ISNUMBER(SEARCH(Query!$B$6,'Compliance Database'!$I1191))),OR(Query!$B$7="All",'Compliance Database'!$F1191=Query!$B$7),OR(Query!$B$8="All",'Compliance Database'!$J1191=Query!$B$8),OR(Query!$B$9="",ISNUMBER(SEARCH(Query!$B$9,'Compliance Database'!$D1191&amp;" "&amp;'Compliance Database'!$K1191&amp;" "&amp;'Compliance Database'!$L1191&amp;" "&amp;'Compliance Database'!$M1191&amp;" "&amp;'Compliance Database'!$N1191)))),1,0)</f>
        <v/>
      </c>
      <c r="B1191">
        <f>IF($A1191=1,SUM($A$2:$A1191),"")</f>
        <v/>
      </c>
      <c r="C1191">
        <f>IF($A1191=1,SUM($A$2:$A1191),0)</f>
        <v/>
      </c>
    </row>
    <row r="1192">
      <c r="A1192">
        <f>IF(AND(OR(Query!$B$4="All",'Compliance Database'!$A1192=Query!$B$4),OR(Query!$B$5="All",ISNUMBER(SEARCH(Query!$B$5,'Compliance Database'!$H1192))),OR(Query!$B$6="All",ISNUMBER(SEARCH(Query!$B$6,'Compliance Database'!$I1192))),OR(Query!$B$7="All",'Compliance Database'!$F1192=Query!$B$7),OR(Query!$B$8="All",'Compliance Database'!$J1192=Query!$B$8),OR(Query!$B$9="",ISNUMBER(SEARCH(Query!$B$9,'Compliance Database'!$D1192&amp;" "&amp;'Compliance Database'!$K1192&amp;" "&amp;'Compliance Database'!$L1192&amp;" "&amp;'Compliance Database'!$M1192&amp;" "&amp;'Compliance Database'!$N1192)))),1,0)</f>
        <v/>
      </c>
      <c r="B1192">
        <f>IF($A1192=1,SUM($A$2:$A1192),"")</f>
        <v/>
      </c>
      <c r="C1192">
        <f>IF($A1192=1,SUM($A$2:$A1192),0)</f>
        <v/>
      </c>
    </row>
    <row r="1193">
      <c r="A1193">
        <f>IF(AND(OR(Query!$B$4="All",'Compliance Database'!$A1193=Query!$B$4),OR(Query!$B$5="All",ISNUMBER(SEARCH(Query!$B$5,'Compliance Database'!$H1193))),OR(Query!$B$6="All",ISNUMBER(SEARCH(Query!$B$6,'Compliance Database'!$I1193))),OR(Query!$B$7="All",'Compliance Database'!$F1193=Query!$B$7),OR(Query!$B$8="All",'Compliance Database'!$J1193=Query!$B$8),OR(Query!$B$9="",ISNUMBER(SEARCH(Query!$B$9,'Compliance Database'!$D1193&amp;" "&amp;'Compliance Database'!$K1193&amp;" "&amp;'Compliance Database'!$L1193&amp;" "&amp;'Compliance Database'!$M1193&amp;" "&amp;'Compliance Database'!$N1193)))),1,0)</f>
        <v/>
      </c>
      <c r="B1193">
        <f>IF($A1193=1,SUM($A$2:$A1193),"")</f>
        <v/>
      </c>
      <c r="C1193">
        <f>IF($A1193=1,SUM($A$2:$A1193),0)</f>
        <v/>
      </c>
    </row>
    <row r="1194">
      <c r="A1194">
        <f>IF(AND(OR(Query!$B$4="All",'Compliance Database'!$A1194=Query!$B$4),OR(Query!$B$5="All",ISNUMBER(SEARCH(Query!$B$5,'Compliance Database'!$H1194))),OR(Query!$B$6="All",ISNUMBER(SEARCH(Query!$B$6,'Compliance Database'!$I1194))),OR(Query!$B$7="All",'Compliance Database'!$F1194=Query!$B$7),OR(Query!$B$8="All",'Compliance Database'!$J1194=Query!$B$8),OR(Query!$B$9="",ISNUMBER(SEARCH(Query!$B$9,'Compliance Database'!$D1194&amp;" "&amp;'Compliance Database'!$K1194&amp;" "&amp;'Compliance Database'!$L1194&amp;" "&amp;'Compliance Database'!$M1194&amp;" "&amp;'Compliance Database'!$N1194)))),1,0)</f>
        <v/>
      </c>
      <c r="B1194">
        <f>IF($A1194=1,SUM($A$2:$A1194),"")</f>
        <v/>
      </c>
      <c r="C1194">
        <f>IF($A1194=1,SUM($A$2:$A1194),0)</f>
        <v/>
      </c>
    </row>
    <row r="1195">
      <c r="A1195">
        <f>IF(AND(OR(Query!$B$4="All",'Compliance Database'!$A1195=Query!$B$4),OR(Query!$B$5="All",ISNUMBER(SEARCH(Query!$B$5,'Compliance Database'!$H1195))),OR(Query!$B$6="All",ISNUMBER(SEARCH(Query!$B$6,'Compliance Database'!$I1195))),OR(Query!$B$7="All",'Compliance Database'!$F1195=Query!$B$7),OR(Query!$B$8="All",'Compliance Database'!$J1195=Query!$B$8),OR(Query!$B$9="",ISNUMBER(SEARCH(Query!$B$9,'Compliance Database'!$D1195&amp;" "&amp;'Compliance Database'!$K1195&amp;" "&amp;'Compliance Database'!$L1195&amp;" "&amp;'Compliance Database'!$M1195&amp;" "&amp;'Compliance Database'!$N1195)))),1,0)</f>
        <v/>
      </c>
      <c r="B1195">
        <f>IF($A1195=1,SUM($A$2:$A1195),"")</f>
        <v/>
      </c>
      <c r="C1195">
        <f>IF($A1195=1,SUM($A$2:$A1195),0)</f>
        <v/>
      </c>
    </row>
    <row r="1196">
      <c r="A1196">
        <f>IF(AND(OR(Query!$B$4="All",'Compliance Database'!$A1196=Query!$B$4),OR(Query!$B$5="All",ISNUMBER(SEARCH(Query!$B$5,'Compliance Database'!$H1196))),OR(Query!$B$6="All",ISNUMBER(SEARCH(Query!$B$6,'Compliance Database'!$I1196))),OR(Query!$B$7="All",'Compliance Database'!$F1196=Query!$B$7),OR(Query!$B$8="All",'Compliance Database'!$J1196=Query!$B$8),OR(Query!$B$9="",ISNUMBER(SEARCH(Query!$B$9,'Compliance Database'!$D1196&amp;" "&amp;'Compliance Database'!$K1196&amp;" "&amp;'Compliance Database'!$L1196&amp;" "&amp;'Compliance Database'!$M1196&amp;" "&amp;'Compliance Database'!$N1196)))),1,0)</f>
        <v/>
      </c>
      <c r="B1196">
        <f>IF($A1196=1,SUM($A$2:$A1196),"")</f>
        <v/>
      </c>
      <c r="C1196">
        <f>IF($A1196=1,SUM($A$2:$A1196),0)</f>
        <v/>
      </c>
    </row>
    <row r="1197">
      <c r="A1197">
        <f>IF(AND(OR(Query!$B$4="All",'Compliance Database'!$A1197=Query!$B$4),OR(Query!$B$5="All",ISNUMBER(SEARCH(Query!$B$5,'Compliance Database'!$H1197))),OR(Query!$B$6="All",ISNUMBER(SEARCH(Query!$B$6,'Compliance Database'!$I1197))),OR(Query!$B$7="All",'Compliance Database'!$F1197=Query!$B$7),OR(Query!$B$8="All",'Compliance Database'!$J1197=Query!$B$8),OR(Query!$B$9="",ISNUMBER(SEARCH(Query!$B$9,'Compliance Database'!$D1197&amp;" "&amp;'Compliance Database'!$K1197&amp;" "&amp;'Compliance Database'!$L1197&amp;" "&amp;'Compliance Database'!$M1197&amp;" "&amp;'Compliance Database'!$N1197)))),1,0)</f>
        <v/>
      </c>
      <c r="B1197">
        <f>IF($A1197=1,SUM($A$2:$A1197),"")</f>
        <v/>
      </c>
      <c r="C1197">
        <f>IF($A1197=1,SUM($A$2:$A1197),0)</f>
        <v/>
      </c>
    </row>
    <row r="1198">
      <c r="A1198">
        <f>IF(AND(OR(Query!$B$4="All",'Compliance Database'!$A1198=Query!$B$4),OR(Query!$B$5="All",ISNUMBER(SEARCH(Query!$B$5,'Compliance Database'!$H1198))),OR(Query!$B$6="All",ISNUMBER(SEARCH(Query!$B$6,'Compliance Database'!$I1198))),OR(Query!$B$7="All",'Compliance Database'!$F1198=Query!$B$7),OR(Query!$B$8="All",'Compliance Database'!$J1198=Query!$B$8),OR(Query!$B$9="",ISNUMBER(SEARCH(Query!$B$9,'Compliance Database'!$D1198&amp;" "&amp;'Compliance Database'!$K1198&amp;" "&amp;'Compliance Database'!$L1198&amp;" "&amp;'Compliance Database'!$M1198&amp;" "&amp;'Compliance Database'!$N1198)))),1,0)</f>
        <v/>
      </c>
      <c r="B1198">
        <f>IF($A1198=1,SUM($A$2:$A1198),"")</f>
        <v/>
      </c>
      <c r="C1198">
        <f>IF($A1198=1,SUM($A$2:$A1198),0)</f>
        <v/>
      </c>
    </row>
    <row r="1199">
      <c r="A1199">
        <f>IF(AND(OR(Query!$B$4="All",'Compliance Database'!$A1199=Query!$B$4),OR(Query!$B$5="All",ISNUMBER(SEARCH(Query!$B$5,'Compliance Database'!$H1199))),OR(Query!$B$6="All",ISNUMBER(SEARCH(Query!$B$6,'Compliance Database'!$I1199))),OR(Query!$B$7="All",'Compliance Database'!$F1199=Query!$B$7),OR(Query!$B$8="All",'Compliance Database'!$J1199=Query!$B$8),OR(Query!$B$9="",ISNUMBER(SEARCH(Query!$B$9,'Compliance Database'!$D1199&amp;" "&amp;'Compliance Database'!$K1199&amp;" "&amp;'Compliance Database'!$L1199&amp;" "&amp;'Compliance Database'!$M1199&amp;" "&amp;'Compliance Database'!$N1199)))),1,0)</f>
        <v/>
      </c>
      <c r="B1199">
        <f>IF($A1199=1,SUM($A$2:$A1199),"")</f>
        <v/>
      </c>
      <c r="C1199">
        <f>IF($A1199=1,SUM($A$2:$A1199),0)</f>
        <v/>
      </c>
    </row>
    <row r="1200">
      <c r="A1200">
        <f>IF(AND(OR(Query!$B$4="All",'Compliance Database'!$A1200=Query!$B$4),OR(Query!$B$5="All",ISNUMBER(SEARCH(Query!$B$5,'Compliance Database'!$H1200))),OR(Query!$B$6="All",ISNUMBER(SEARCH(Query!$B$6,'Compliance Database'!$I1200))),OR(Query!$B$7="All",'Compliance Database'!$F1200=Query!$B$7),OR(Query!$B$8="All",'Compliance Database'!$J1200=Query!$B$8),OR(Query!$B$9="",ISNUMBER(SEARCH(Query!$B$9,'Compliance Database'!$D1200&amp;" "&amp;'Compliance Database'!$K1200&amp;" "&amp;'Compliance Database'!$L1200&amp;" "&amp;'Compliance Database'!$M1200&amp;" "&amp;'Compliance Database'!$N1200)))),1,0)</f>
        <v/>
      </c>
      <c r="B1200">
        <f>IF($A1200=1,SUM($A$2:$A1200),"")</f>
        <v/>
      </c>
      <c r="C1200">
        <f>IF($A1200=1,SUM($A$2:$A1200),0)</f>
        <v/>
      </c>
    </row>
    <row r="1201">
      <c r="A1201">
        <f>IF(AND(OR(Query!$B$4="All",'Compliance Database'!$A1201=Query!$B$4),OR(Query!$B$5="All",ISNUMBER(SEARCH(Query!$B$5,'Compliance Database'!$H1201))),OR(Query!$B$6="All",ISNUMBER(SEARCH(Query!$B$6,'Compliance Database'!$I1201))),OR(Query!$B$7="All",'Compliance Database'!$F1201=Query!$B$7),OR(Query!$B$8="All",'Compliance Database'!$J1201=Query!$B$8),OR(Query!$B$9="",ISNUMBER(SEARCH(Query!$B$9,'Compliance Database'!$D1201&amp;" "&amp;'Compliance Database'!$K1201&amp;" "&amp;'Compliance Database'!$L1201&amp;" "&amp;'Compliance Database'!$M1201&amp;" "&amp;'Compliance Database'!$N1201)))),1,0)</f>
        <v/>
      </c>
      <c r="B1201">
        <f>IF($A1201=1,SUM($A$2:$A1201),"")</f>
        <v/>
      </c>
      <c r="C1201">
        <f>IF($A1201=1,SUM($A$2:$A1201),0)</f>
        <v/>
      </c>
    </row>
    <row r="1202">
      <c r="A1202">
        <f>IF(AND(OR(Query!$B$4="All",'Compliance Database'!$A1202=Query!$B$4),OR(Query!$B$5="All",ISNUMBER(SEARCH(Query!$B$5,'Compliance Database'!$H1202))),OR(Query!$B$6="All",ISNUMBER(SEARCH(Query!$B$6,'Compliance Database'!$I1202))),OR(Query!$B$7="All",'Compliance Database'!$F1202=Query!$B$7),OR(Query!$B$8="All",'Compliance Database'!$J1202=Query!$B$8),OR(Query!$B$9="",ISNUMBER(SEARCH(Query!$B$9,'Compliance Database'!$D1202&amp;" "&amp;'Compliance Database'!$K1202&amp;" "&amp;'Compliance Database'!$L1202&amp;" "&amp;'Compliance Database'!$M1202&amp;" "&amp;'Compliance Database'!$N1202)))),1,0)</f>
        <v/>
      </c>
      <c r="B1202">
        <f>IF($A1202=1,SUM($A$2:$A1202),"")</f>
        <v/>
      </c>
      <c r="C1202">
        <f>IF($A1202=1,SUM($A$2:$A1202),0)</f>
        <v/>
      </c>
    </row>
    <row r="1203">
      <c r="A1203">
        <f>IF(AND(OR(Query!$B$4="All",'Compliance Database'!$A1203=Query!$B$4),OR(Query!$B$5="All",ISNUMBER(SEARCH(Query!$B$5,'Compliance Database'!$H1203))),OR(Query!$B$6="All",ISNUMBER(SEARCH(Query!$B$6,'Compliance Database'!$I1203))),OR(Query!$B$7="All",'Compliance Database'!$F1203=Query!$B$7),OR(Query!$B$8="All",'Compliance Database'!$J1203=Query!$B$8),OR(Query!$B$9="",ISNUMBER(SEARCH(Query!$B$9,'Compliance Database'!$D1203&amp;" "&amp;'Compliance Database'!$K1203&amp;" "&amp;'Compliance Database'!$L1203&amp;" "&amp;'Compliance Database'!$M1203&amp;" "&amp;'Compliance Database'!$N1203)))),1,0)</f>
        <v/>
      </c>
      <c r="B1203">
        <f>IF($A1203=1,SUM($A$2:$A1203),"")</f>
        <v/>
      </c>
      <c r="C1203">
        <f>IF($A1203=1,SUM($A$2:$A1203),0)</f>
        <v/>
      </c>
    </row>
    <row r="1204">
      <c r="A1204">
        <f>IF(AND(OR(Query!$B$4="All",'Compliance Database'!$A1204=Query!$B$4),OR(Query!$B$5="All",ISNUMBER(SEARCH(Query!$B$5,'Compliance Database'!$H1204))),OR(Query!$B$6="All",ISNUMBER(SEARCH(Query!$B$6,'Compliance Database'!$I1204))),OR(Query!$B$7="All",'Compliance Database'!$F1204=Query!$B$7),OR(Query!$B$8="All",'Compliance Database'!$J1204=Query!$B$8),OR(Query!$B$9="",ISNUMBER(SEARCH(Query!$B$9,'Compliance Database'!$D1204&amp;" "&amp;'Compliance Database'!$K1204&amp;" "&amp;'Compliance Database'!$L1204&amp;" "&amp;'Compliance Database'!$M1204&amp;" "&amp;'Compliance Database'!$N1204)))),1,0)</f>
        <v/>
      </c>
      <c r="B1204">
        <f>IF($A1204=1,SUM($A$2:$A1204),"")</f>
        <v/>
      </c>
      <c r="C1204">
        <f>IF($A1204=1,SUM($A$2:$A1204),0)</f>
        <v/>
      </c>
    </row>
    <row r="1205">
      <c r="A1205">
        <f>IF(AND(OR(Query!$B$4="All",'Compliance Database'!$A1205=Query!$B$4),OR(Query!$B$5="All",ISNUMBER(SEARCH(Query!$B$5,'Compliance Database'!$H1205))),OR(Query!$B$6="All",ISNUMBER(SEARCH(Query!$B$6,'Compliance Database'!$I1205))),OR(Query!$B$7="All",'Compliance Database'!$F1205=Query!$B$7),OR(Query!$B$8="All",'Compliance Database'!$J1205=Query!$B$8),OR(Query!$B$9="",ISNUMBER(SEARCH(Query!$B$9,'Compliance Database'!$D1205&amp;" "&amp;'Compliance Database'!$K1205&amp;" "&amp;'Compliance Database'!$L1205&amp;" "&amp;'Compliance Database'!$M1205&amp;" "&amp;'Compliance Database'!$N1205)))),1,0)</f>
        <v/>
      </c>
      <c r="B1205">
        <f>IF($A1205=1,SUM($A$2:$A1205),"")</f>
        <v/>
      </c>
      <c r="C1205">
        <f>IF($A1205=1,SUM($A$2:$A1205),0)</f>
        <v/>
      </c>
    </row>
    <row r="1206">
      <c r="A1206">
        <f>IF(AND(OR(Query!$B$4="All",'Compliance Database'!$A1206=Query!$B$4),OR(Query!$B$5="All",ISNUMBER(SEARCH(Query!$B$5,'Compliance Database'!$H1206))),OR(Query!$B$6="All",ISNUMBER(SEARCH(Query!$B$6,'Compliance Database'!$I1206))),OR(Query!$B$7="All",'Compliance Database'!$F1206=Query!$B$7),OR(Query!$B$8="All",'Compliance Database'!$J1206=Query!$B$8),OR(Query!$B$9="",ISNUMBER(SEARCH(Query!$B$9,'Compliance Database'!$D1206&amp;" "&amp;'Compliance Database'!$K1206&amp;" "&amp;'Compliance Database'!$L1206&amp;" "&amp;'Compliance Database'!$M1206&amp;" "&amp;'Compliance Database'!$N1206)))),1,0)</f>
        <v/>
      </c>
      <c r="B1206">
        <f>IF($A1206=1,SUM($A$2:$A1206),"")</f>
        <v/>
      </c>
      <c r="C1206">
        <f>IF($A1206=1,SUM($A$2:$A1206),0)</f>
        <v/>
      </c>
    </row>
    <row r="1207">
      <c r="A1207">
        <f>IF(AND(OR(Query!$B$4="All",'Compliance Database'!$A1207=Query!$B$4),OR(Query!$B$5="All",ISNUMBER(SEARCH(Query!$B$5,'Compliance Database'!$H1207))),OR(Query!$B$6="All",ISNUMBER(SEARCH(Query!$B$6,'Compliance Database'!$I1207))),OR(Query!$B$7="All",'Compliance Database'!$F1207=Query!$B$7),OR(Query!$B$8="All",'Compliance Database'!$J1207=Query!$B$8),OR(Query!$B$9="",ISNUMBER(SEARCH(Query!$B$9,'Compliance Database'!$D1207&amp;" "&amp;'Compliance Database'!$K1207&amp;" "&amp;'Compliance Database'!$L1207&amp;" "&amp;'Compliance Database'!$M1207&amp;" "&amp;'Compliance Database'!$N1207)))),1,0)</f>
        <v/>
      </c>
      <c r="B1207">
        <f>IF($A1207=1,SUM($A$2:$A1207),"")</f>
        <v/>
      </c>
      <c r="C1207">
        <f>IF($A1207=1,SUM($A$2:$A1207),0)</f>
        <v/>
      </c>
    </row>
    <row r="1208">
      <c r="A1208">
        <f>IF(AND(OR(Query!$B$4="All",'Compliance Database'!$A1208=Query!$B$4),OR(Query!$B$5="All",ISNUMBER(SEARCH(Query!$B$5,'Compliance Database'!$H1208))),OR(Query!$B$6="All",ISNUMBER(SEARCH(Query!$B$6,'Compliance Database'!$I1208))),OR(Query!$B$7="All",'Compliance Database'!$F1208=Query!$B$7),OR(Query!$B$8="All",'Compliance Database'!$J1208=Query!$B$8),OR(Query!$B$9="",ISNUMBER(SEARCH(Query!$B$9,'Compliance Database'!$D1208&amp;" "&amp;'Compliance Database'!$K1208&amp;" "&amp;'Compliance Database'!$L1208&amp;" "&amp;'Compliance Database'!$M1208&amp;" "&amp;'Compliance Database'!$N1208)))),1,0)</f>
        <v/>
      </c>
      <c r="B1208">
        <f>IF($A1208=1,SUM($A$2:$A1208),"")</f>
        <v/>
      </c>
      <c r="C1208">
        <f>IF($A1208=1,SUM($A$2:$A1208),0)</f>
        <v/>
      </c>
    </row>
    <row r="1209">
      <c r="A1209">
        <f>IF(AND(OR(Query!$B$4="All",'Compliance Database'!$A1209=Query!$B$4),OR(Query!$B$5="All",ISNUMBER(SEARCH(Query!$B$5,'Compliance Database'!$H1209))),OR(Query!$B$6="All",ISNUMBER(SEARCH(Query!$B$6,'Compliance Database'!$I1209))),OR(Query!$B$7="All",'Compliance Database'!$F1209=Query!$B$7),OR(Query!$B$8="All",'Compliance Database'!$J1209=Query!$B$8),OR(Query!$B$9="",ISNUMBER(SEARCH(Query!$B$9,'Compliance Database'!$D1209&amp;" "&amp;'Compliance Database'!$K1209&amp;" "&amp;'Compliance Database'!$L1209&amp;" "&amp;'Compliance Database'!$M1209&amp;" "&amp;'Compliance Database'!$N1209)))),1,0)</f>
        <v/>
      </c>
      <c r="B1209">
        <f>IF($A1209=1,SUM($A$2:$A1209),"")</f>
        <v/>
      </c>
      <c r="C1209">
        <f>IF($A1209=1,SUM($A$2:$A1209),0)</f>
        <v/>
      </c>
    </row>
    <row r="1210">
      <c r="A1210">
        <f>IF(AND(OR(Query!$B$4="All",'Compliance Database'!$A1210=Query!$B$4),OR(Query!$B$5="All",ISNUMBER(SEARCH(Query!$B$5,'Compliance Database'!$H1210))),OR(Query!$B$6="All",ISNUMBER(SEARCH(Query!$B$6,'Compliance Database'!$I1210))),OR(Query!$B$7="All",'Compliance Database'!$F1210=Query!$B$7),OR(Query!$B$8="All",'Compliance Database'!$J1210=Query!$B$8),OR(Query!$B$9="",ISNUMBER(SEARCH(Query!$B$9,'Compliance Database'!$D1210&amp;" "&amp;'Compliance Database'!$K1210&amp;" "&amp;'Compliance Database'!$L1210&amp;" "&amp;'Compliance Database'!$M1210&amp;" "&amp;'Compliance Database'!$N1210)))),1,0)</f>
        <v/>
      </c>
      <c r="B1210">
        <f>IF($A1210=1,SUM($A$2:$A1210),"")</f>
        <v/>
      </c>
      <c r="C1210">
        <f>IF($A1210=1,SUM($A$2:$A1210),0)</f>
        <v/>
      </c>
    </row>
    <row r="1211">
      <c r="A1211">
        <f>IF(AND(OR(Query!$B$4="All",'Compliance Database'!$A1211=Query!$B$4),OR(Query!$B$5="All",ISNUMBER(SEARCH(Query!$B$5,'Compliance Database'!$H1211))),OR(Query!$B$6="All",ISNUMBER(SEARCH(Query!$B$6,'Compliance Database'!$I1211))),OR(Query!$B$7="All",'Compliance Database'!$F1211=Query!$B$7),OR(Query!$B$8="All",'Compliance Database'!$J1211=Query!$B$8),OR(Query!$B$9="",ISNUMBER(SEARCH(Query!$B$9,'Compliance Database'!$D1211&amp;" "&amp;'Compliance Database'!$K1211&amp;" "&amp;'Compliance Database'!$L1211&amp;" "&amp;'Compliance Database'!$M1211&amp;" "&amp;'Compliance Database'!$N1211)))),1,0)</f>
        <v/>
      </c>
      <c r="B1211">
        <f>IF($A1211=1,SUM($A$2:$A1211),"")</f>
        <v/>
      </c>
      <c r="C1211">
        <f>IF($A1211=1,SUM($A$2:$A1211),0)</f>
        <v/>
      </c>
    </row>
    <row r="1212">
      <c r="A1212">
        <f>IF(AND(OR(Query!$B$4="All",'Compliance Database'!$A1212=Query!$B$4),OR(Query!$B$5="All",ISNUMBER(SEARCH(Query!$B$5,'Compliance Database'!$H1212))),OR(Query!$B$6="All",ISNUMBER(SEARCH(Query!$B$6,'Compliance Database'!$I1212))),OR(Query!$B$7="All",'Compliance Database'!$F1212=Query!$B$7),OR(Query!$B$8="All",'Compliance Database'!$J1212=Query!$B$8),OR(Query!$B$9="",ISNUMBER(SEARCH(Query!$B$9,'Compliance Database'!$D1212&amp;" "&amp;'Compliance Database'!$K1212&amp;" "&amp;'Compliance Database'!$L1212&amp;" "&amp;'Compliance Database'!$M1212&amp;" "&amp;'Compliance Database'!$N1212)))),1,0)</f>
        <v/>
      </c>
      <c r="B1212">
        <f>IF($A1212=1,SUM($A$2:$A1212),"")</f>
        <v/>
      </c>
      <c r="C1212">
        <f>IF($A1212=1,SUM($A$2:$A1212),0)</f>
        <v/>
      </c>
    </row>
    <row r="1213">
      <c r="A1213">
        <f>IF(AND(OR(Query!$B$4="All",'Compliance Database'!$A1213=Query!$B$4),OR(Query!$B$5="All",ISNUMBER(SEARCH(Query!$B$5,'Compliance Database'!$H1213))),OR(Query!$B$6="All",ISNUMBER(SEARCH(Query!$B$6,'Compliance Database'!$I1213))),OR(Query!$B$7="All",'Compliance Database'!$F1213=Query!$B$7),OR(Query!$B$8="All",'Compliance Database'!$J1213=Query!$B$8),OR(Query!$B$9="",ISNUMBER(SEARCH(Query!$B$9,'Compliance Database'!$D1213&amp;" "&amp;'Compliance Database'!$K1213&amp;" "&amp;'Compliance Database'!$L1213&amp;" "&amp;'Compliance Database'!$M1213&amp;" "&amp;'Compliance Database'!$N1213)))),1,0)</f>
        <v/>
      </c>
      <c r="B1213">
        <f>IF($A1213=1,SUM($A$2:$A1213),"")</f>
        <v/>
      </c>
      <c r="C1213">
        <f>IF($A1213=1,SUM($A$2:$A1213),0)</f>
        <v/>
      </c>
    </row>
    <row r="1214">
      <c r="A1214">
        <f>IF(AND(OR(Query!$B$4="All",'Compliance Database'!$A1214=Query!$B$4),OR(Query!$B$5="All",ISNUMBER(SEARCH(Query!$B$5,'Compliance Database'!$H1214))),OR(Query!$B$6="All",ISNUMBER(SEARCH(Query!$B$6,'Compliance Database'!$I1214))),OR(Query!$B$7="All",'Compliance Database'!$F1214=Query!$B$7),OR(Query!$B$8="All",'Compliance Database'!$J1214=Query!$B$8),OR(Query!$B$9="",ISNUMBER(SEARCH(Query!$B$9,'Compliance Database'!$D1214&amp;" "&amp;'Compliance Database'!$K1214&amp;" "&amp;'Compliance Database'!$L1214&amp;" "&amp;'Compliance Database'!$M1214&amp;" "&amp;'Compliance Database'!$N1214)))),1,0)</f>
        <v/>
      </c>
      <c r="B1214">
        <f>IF($A1214=1,SUM($A$2:$A1214),"")</f>
        <v/>
      </c>
      <c r="C1214">
        <f>IF($A1214=1,SUM($A$2:$A1214),0)</f>
        <v/>
      </c>
    </row>
    <row r="1215">
      <c r="A1215">
        <f>IF(AND(OR(Query!$B$4="All",'Compliance Database'!$A1215=Query!$B$4),OR(Query!$B$5="All",ISNUMBER(SEARCH(Query!$B$5,'Compliance Database'!$H1215))),OR(Query!$B$6="All",ISNUMBER(SEARCH(Query!$B$6,'Compliance Database'!$I1215))),OR(Query!$B$7="All",'Compliance Database'!$F1215=Query!$B$7),OR(Query!$B$8="All",'Compliance Database'!$J1215=Query!$B$8),OR(Query!$B$9="",ISNUMBER(SEARCH(Query!$B$9,'Compliance Database'!$D1215&amp;" "&amp;'Compliance Database'!$K1215&amp;" "&amp;'Compliance Database'!$L1215&amp;" "&amp;'Compliance Database'!$M1215&amp;" "&amp;'Compliance Database'!$N1215)))),1,0)</f>
        <v/>
      </c>
      <c r="B1215">
        <f>IF($A1215=1,SUM($A$2:$A1215),"")</f>
        <v/>
      </c>
      <c r="C1215">
        <f>IF($A1215=1,SUM($A$2:$A1215),0)</f>
        <v/>
      </c>
    </row>
    <row r="1216">
      <c r="A1216">
        <f>IF(AND(OR(Query!$B$4="All",'Compliance Database'!$A1216=Query!$B$4),OR(Query!$B$5="All",ISNUMBER(SEARCH(Query!$B$5,'Compliance Database'!$H1216))),OR(Query!$B$6="All",ISNUMBER(SEARCH(Query!$B$6,'Compliance Database'!$I1216))),OR(Query!$B$7="All",'Compliance Database'!$F1216=Query!$B$7),OR(Query!$B$8="All",'Compliance Database'!$J1216=Query!$B$8),OR(Query!$B$9="",ISNUMBER(SEARCH(Query!$B$9,'Compliance Database'!$D1216&amp;" "&amp;'Compliance Database'!$K1216&amp;" "&amp;'Compliance Database'!$L1216&amp;" "&amp;'Compliance Database'!$M1216&amp;" "&amp;'Compliance Database'!$N1216)))),1,0)</f>
        <v/>
      </c>
      <c r="B1216">
        <f>IF($A1216=1,SUM($A$2:$A1216),"")</f>
        <v/>
      </c>
      <c r="C1216">
        <f>IF($A1216=1,SUM($A$2:$A1216),0)</f>
        <v/>
      </c>
    </row>
    <row r="1217">
      <c r="A1217">
        <f>IF(AND(OR(Query!$B$4="All",'Compliance Database'!$A1217=Query!$B$4),OR(Query!$B$5="All",ISNUMBER(SEARCH(Query!$B$5,'Compliance Database'!$H1217))),OR(Query!$B$6="All",ISNUMBER(SEARCH(Query!$B$6,'Compliance Database'!$I1217))),OR(Query!$B$7="All",'Compliance Database'!$F1217=Query!$B$7),OR(Query!$B$8="All",'Compliance Database'!$J1217=Query!$B$8),OR(Query!$B$9="",ISNUMBER(SEARCH(Query!$B$9,'Compliance Database'!$D1217&amp;" "&amp;'Compliance Database'!$K1217&amp;" "&amp;'Compliance Database'!$L1217&amp;" "&amp;'Compliance Database'!$M1217&amp;" "&amp;'Compliance Database'!$N1217)))),1,0)</f>
        <v/>
      </c>
      <c r="B1217">
        <f>IF($A1217=1,SUM($A$2:$A1217),"")</f>
        <v/>
      </c>
      <c r="C1217">
        <f>IF($A1217=1,SUM($A$2:$A1217),0)</f>
        <v/>
      </c>
    </row>
    <row r="1218">
      <c r="A1218">
        <f>IF(AND(OR(Query!$B$4="All",'Compliance Database'!$A1218=Query!$B$4),OR(Query!$B$5="All",ISNUMBER(SEARCH(Query!$B$5,'Compliance Database'!$H1218))),OR(Query!$B$6="All",ISNUMBER(SEARCH(Query!$B$6,'Compliance Database'!$I1218))),OR(Query!$B$7="All",'Compliance Database'!$F1218=Query!$B$7),OR(Query!$B$8="All",'Compliance Database'!$J1218=Query!$B$8),OR(Query!$B$9="",ISNUMBER(SEARCH(Query!$B$9,'Compliance Database'!$D1218&amp;" "&amp;'Compliance Database'!$K1218&amp;" "&amp;'Compliance Database'!$L1218&amp;" "&amp;'Compliance Database'!$M1218&amp;" "&amp;'Compliance Database'!$N1218)))),1,0)</f>
        <v/>
      </c>
      <c r="B1218">
        <f>IF($A1218=1,SUM($A$2:$A1218),"")</f>
        <v/>
      </c>
      <c r="C1218">
        <f>IF($A1218=1,SUM($A$2:$A1218),0)</f>
        <v/>
      </c>
    </row>
    <row r="1219">
      <c r="A1219">
        <f>IF(AND(OR(Query!$B$4="All",'Compliance Database'!$A1219=Query!$B$4),OR(Query!$B$5="All",ISNUMBER(SEARCH(Query!$B$5,'Compliance Database'!$H1219))),OR(Query!$B$6="All",ISNUMBER(SEARCH(Query!$B$6,'Compliance Database'!$I1219))),OR(Query!$B$7="All",'Compliance Database'!$F1219=Query!$B$7),OR(Query!$B$8="All",'Compliance Database'!$J1219=Query!$B$8),OR(Query!$B$9="",ISNUMBER(SEARCH(Query!$B$9,'Compliance Database'!$D1219&amp;" "&amp;'Compliance Database'!$K1219&amp;" "&amp;'Compliance Database'!$L1219&amp;" "&amp;'Compliance Database'!$M1219&amp;" "&amp;'Compliance Database'!$N1219)))),1,0)</f>
        <v/>
      </c>
      <c r="B1219">
        <f>IF($A1219=1,SUM($A$2:$A1219),"")</f>
        <v/>
      </c>
      <c r="C1219">
        <f>IF($A1219=1,SUM($A$2:$A1219),0)</f>
        <v/>
      </c>
    </row>
    <row r="1220">
      <c r="A1220">
        <f>IF(AND(OR(Query!$B$4="All",'Compliance Database'!$A1220=Query!$B$4),OR(Query!$B$5="All",ISNUMBER(SEARCH(Query!$B$5,'Compliance Database'!$H1220))),OR(Query!$B$6="All",ISNUMBER(SEARCH(Query!$B$6,'Compliance Database'!$I1220))),OR(Query!$B$7="All",'Compliance Database'!$F1220=Query!$B$7),OR(Query!$B$8="All",'Compliance Database'!$J1220=Query!$B$8),OR(Query!$B$9="",ISNUMBER(SEARCH(Query!$B$9,'Compliance Database'!$D1220&amp;" "&amp;'Compliance Database'!$K1220&amp;" "&amp;'Compliance Database'!$L1220&amp;" "&amp;'Compliance Database'!$M1220&amp;" "&amp;'Compliance Database'!$N1220)))),1,0)</f>
        <v/>
      </c>
      <c r="B1220">
        <f>IF($A1220=1,SUM($A$2:$A1220),"")</f>
        <v/>
      </c>
      <c r="C1220">
        <f>IF($A1220=1,SUM($A$2:$A1220),0)</f>
        <v/>
      </c>
    </row>
    <row r="1221">
      <c r="A1221">
        <f>IF(AND(OR(Query!$B$4="All",'Compliance Database'!$A1221=Query!$B$4),OR(Query!$B$5="All",ISNUMBER(SEARCH(Query!$B$5,'Compliance Database'!$H1221))),OR(Query!$B$6="All",ISNUMBER(SEARCH(Query!$B$6,'Compliance Database'!$I1221))),OR(Query!$B$7="All",'Compliance Database'!$F1221=Query!$B$7),OR(Query!$B$8="All",'Compliance Database'!$J1221=Query!$B$8),OR(Query!$B$9="",ISNUMBER(SEARCH(Query!$B$9,'Compliance Database'!$D1221&amp;" "&amp;'Compliance Database'!$K1221&amp;" "&amp;'Compliance Database'!$L1221&amp;" "&amp;'Compliance Database'!$M1221&amp;" "&amp;'Compliance Database'!$N1221)))),1,0)</f>
        <v/>
      </c>
      <c r="B1221">
        <f>IF($A1221=1,SUM($A$2:$A1221),"")</f>
        <v/>
      </c>
      <c r="C1221">
        <f>IF($A1221=1,SUM($A$2:$A1221),0)</f>
        <v/>
      </c>
    </row>
    <row r="1222">
      <c r="A1222">
        <f>IF(AND(OR(Query!$B$4="All",'Compliance Database'!$A1222=Query!$B$4),OR(Query!$B$5="All",ISNUMBER(SEARCH(Query!$B$5,'Compliance Database'!$H1222))),OR(Query!$B$6="All",ISNUMBER(SEARCH(Query!$B$6,'Compliance Database'!$I1222))),OR(Query!$B$7="All",'Compliance Database'!$F1222=Query!$B$7),OR(Query!$B$8="All",'Compliance Database'!$J1222=Query!$B$8),OR(Query!$B$9="",ISNUMBER(SEARCH(Query!$B$9,'Compliance Database'!$D1222&amp;" "&amp;'Compliance Database'!$K1222&amp;" "&amp;'Compliance Database'!$L1222&amp;" "&amp;'Compliance Database'!$M1222&amp;" "&amp;'Compliance Database'!$N1222)))),1,0)</f>
        <v/>
      </c>
      <c r="B1222">
        <f>IF($A1222=1,SUM($A$2:$A1222),"")</f>
        <v/>
      </c>
      <c r="C1222">
        <f>IF($A1222=1,SUM($A$2:$A1222),0)</f>
        <v/>
      </c>
    </row>
    <row r="1223">
      <c r="A1223">
        <f>IF(AND(OR(Query!$B$4="All",'Compliance Database'!$A1223=Query!$B$4),OR(Query!$B$5="All",ISNUMBER(SEARCH(Query!$B$5,'Compliance Database'!$H1223))),OR(Query!$B$6="All",ISNUMBER(SEARCH(Query!$B$6,'Compliance Database'!$I1223))),OR(Query!$B$7="All",'Compliance Database'!$F1223=Query!$B$7),OR(Query!$B$8="All",'Compliance Database'!$J1223=Query!$B$8),OR(Query!$B$9="",ISNUMBER(SEARCH(Query!$B$9,'Compliance Database'!$D1223&amp;" "&amp;'Compliance Database'!$K1223&amp;" "&amp;'Compliance Database'!$L1223&amp;" "&amp;'Compliance Database'!$M1223&amp;" "&amp;'Compliance Database'!$N1223)))),1,0)</f>
        <v/>
      </c>
      <c r="B1223">
        <f>IF($A1223=1,SUM($A$2:$A1223),"")</f>
        <v/>
      </c>
      <c r="C1223">
        <f>IF($A1223=1,SUM($A$2:$A1223),0)</f>
        <v/>
      </c>
    </row>
    <row r="1224">
      <c r="A1224">
        <f>IF(AND(OR(Query!$B$4="All",'Compliance Database'!$A1224=Query!$B$4),OR(Query!$B$5="All",ISNUMBER(SEARCH(Query!$B$5,'Compliance Database'!$H1224))),OR(Query!$B$6="All",ISNUMBER(SEARCH(Query!$B$6,'Compliance Database'!$I1224))),OR(Query!$B$7="All",'Compliance Database'!$F1224=Query!$B$7),OR(Query!$B$8="All",'Compliance Database'!$J1224=Query!$B$8),OR(Query!$B$9="",ISNUMBER(SEARCH(Query!$B$9,'Compliance Database'!$D1224&amp;" "&amp;'Compliance Database'!$K1224&amp;" "&amp;'Compliance Database'!$L1224&amp;" "&amp;'Compliance Database'!$M1224&amp;" "&amp;'Compliance Database'!$N1224)))),1,0)</f>
        <v/>
      </c>
      <c r="B1224">
        <f>IF($A1224=1,SUM($A$2:$A1224),"")</f>
        <v/>
      </c>
      <c r="C1224">
        <f>IF($A1224=1,SUM($A$2:$A1224),0)</f>
        <v/>
      </c>
    </row>
    <row r="1225">
      <c r="A1225">
        <f>IF(AND(OR(Query!$B$4="All",'Compliance Database'!$A1225=Query!$B$4),OR(Query!$B$5="All",ISNUMBER(SEARCH(Query!$B$5,'Compliance Database'!$H1225))),OR(Query!$B$6="All",ISNUMBER(SEARCH(Query!$B$6,'Compliance Database'!$I1225))),OR(Query!$B$7="All",'Compliance Database'!$F1225=Query!$B$7),OR(Query!$B$8="All",'Compliance Database'!$J1225=Query!$B$8),OR(Query!$B$9="",ISNUMBER(SEARCH(Query!$B$9,'Compliance Database'!$D1225&amp;" "&amp;'Compliance Database'!$K1225&amp;" "&amp;'Compliance Database'!$L1225&amp;" "&amp;'Compliance Database'!$M1225&amp;" "&amp;'Compliance Database'!$N1225)))),1,0)</f>
        <v/>
      </c>
      <c r="B1225">
        <f>IF($A1225=1,SUM($A$2:$A1225),"")</f>
        <v/>
      </c>
      <c r="C1225">
        <f>IF($A1225=1,SUM($A$2:$A1225),0)</f>
        <v/>
      </c>
    </row>
    <row r="1226">
      <c r="A1226">
        <f>IF(AND(OR(Query!$B$4="All",'Compliance Database'!$A1226=Query!$B$4),OR(Query!$B$5="All",ISNUMBER(SEARCH(Query!$B$5,'Compliance Database'!$H1226))),OR(Query!$B$6="All",ISNUMBER(SEARCH(Query!$B$6,'Compliance Database'!$I1226))),OR(Query!$B$7="All",'Compliance Database'!$F1226=Query!$B$7),OR(Query!$B$8="All",'Compliance Database'!$J1226=Query!$B$8),OR(Query!$B$9="",ISNUMBER(SEARCH(Query!$B$9,'Compliance Database'!$D1226&amp;" "&amp;'Compliance Database'!$K1226&amp;" "&amp;'Compliance Database'!$L1226&amp;" "&amp;'Compliance Database'!$M1226&amp;" "&amp;'Compliance Database'!$N1226)))),1,0)</f>
        <v/>
      </c>
      <c r="B1226">
        <f>IF($A1226=1,SUM($A$2:$A1226),"")</f>
        <v/>
      </c>
      <c r="C1226">
        <f>IF($A1226=1,SUM($A$2:$A1226),0)</f>
        <v/>
      </c>
    </row>
    <row r="1227">
      <c r="A1227">
        <f>IF(AND(OR(Query!$B$4="All",'Compliance Database'!$A1227=Query!$B$4),OR(Query!$B$5="All",ISNUMBER(SEARCH(Query!$B$5,'Compliance Database'!$H1227))),OR(Query!$B$6="All",ISNUMBER(SEARCH(Query!$B$6,'Compliance Database'!$I1227))),OR(Query!$B$7="All",'Compliance Database'!$F1227=Query!$B$7),OR(Query!$B$8="All",'Compliance Database'!$J1227=Query!$B$8),OR(Query!$B$9="",ISNUMBER(SEARCH(Query!$B$9,'Compliance Database'!$D1227&amp;" "&amp;'Compliance Database'!$K1227&amp;" "&amp;'Compliance Database'!$L1227&amp;" "&amp;'Compliance Database'!$M1227&amp;" "&amp;'Compliance Database'!$N1227)))),1,0)</f>
        <v/>
      </c>
      <c r="B1227">
        <f>IF($A1227=1,SUM($A$2:$A1227),"")</f>
        <v/>
      </c>
      <c r="C1227">
        <f>IF($A1227=1,SUM($A$2:$A1227),0)</f>
        <v/>
      </c>
    </row>
    <row r="1228">
      <c r="A1228">
        <f>IF(AND(OR(Query!$B$4="All",'Compliance Database'!$A1228=Query!$B$4),OR(Query!$B$5="All",ISNUMBER(SEARCH(Query!$B$5,'Compliance Database'!$H1228))),OR(Query!$B$6="All",ISNUMBER(SEARCH(Query!$B$6,'Compliance Database'!$I1228))),OR(Query!$B$7="All",'Compliance Database'!$F1228=Query!$B$7),OR(Query!$B$8="All",'Compliance Database'!$J1228=Query!$B$8),OR(Query!$B$9="",ISNUMBER(SEARCH(Query!$B$9,'Compliance Database'!$D1228&amp;" "&amp;'Compliance Database'!$K1228&amp;" "&amp;'Compliance Database'!$L1228&amp;" "&amp;'Compliance Database'!$M1228&amp;" "&amp;'Compliance Database'!$N1228)))),1,0)</f>
        <v/>
      </c>
      <c r="B1228">
        <f>IF($A1228=1,SUM($A$2:$A1228),"")</f>
        <v/>
      </c>
      <c r="C1228">
        <f>IF($A1228=1,SUM($A$2:$A1228),0)</f>
        <v/>
      </c>
    </row>
    <row r="1229">
      <c r="A1229">
        <f>IF(AND(OR(Query!$B$4="All",'Compliance Database'!$A1229=Query!$B$4),OR(Query!$B$5="All",ISNUMBER(SEARCH(Query!$B$5,'Compliance Database'!$H1229))),OR(Query!$B$6="All",ISNUMBER(SEARCH(Query!$B$6,'Compliance Database'!$I1229))),OR(Query!$B$7="All",'Compliance Database'!$F1229=Query!$B$7),OR(Query!$B$8="All",'Compliance Database'!$J1229=Query!$B$8),OR(Query!$B$9="",ISNUMBER(SEARCH(Query!$B$9,'Compliance Database'!$D1229&amp;" "&amp;'Compliance Database'!$K1229&amp;" "&amp;'Compliance Database'!$L1229&amp;" "&amp;'Compliance Database'!$M1229&amp;" "&amp;'Compliance Database'!$N1229)))),1,0)</f>
        <v/>
      </c>
      <c r="B1229">
        <f>IF($A1229=1,SUM($A$2:$A1229),"")</f>
        <v/>
      </c>
      <c r="C1229">
        <f>IF($A1229=1,SUM($A$2:$A1229),0)</f>
        <v/>
      </c>
    </row>
    <row r="1230">
      <c r="A1230">
        <f>IF(AND(OR(Query!$B$4="All",'Compliance Database'!$A1230=Query!$B$4),OR(Query!$B$5="All",ISNUMBER(SEARCH(Query!$B$5,'Compliance Database'!$H1230))),OR(Query!$B$6="All",ISNUMBER(SEARCH(Query!$B$6,'Compliance Database'!$I1230))),OR(Query!$B$7="All",'Compliance Database'!$F1230=Query!$B$7),OR(Query!$B$8="All",'Compliance Database'!$J1230=Query!$B$8),OR(Query!$B$9="",ISNUMBER(SEARCH(Query!$B$9,'Compliance Database'!$D1230&amp;" "&amp;'Compliance Database'!$K1230&amp;" "&amp;'Compliance Database'!$L1230&amp;" "&amp;'Compliance Database'!$M1230&amp;" "&amp;'Compliance Database'!$N1230)))),1,0)</f>
        <v/>
      </c>
      <c r="B1230">
        <f>IF($A1230=1,SUM($A$2:$A1230),"")</f>
        <v/>
      </c>
      <c r="C1230">
        <f>IF($A1230=1,SUM($A$2:$A1230),0)</f>
        <v/>
      </c>
    </row>
    <row r="1231">
      <c r="A1231">
        <f>IF(AND(OR(Query!$B$4="All",'Compliance Database'!$A1231=Query!$B$4),OR(Query!$B$5="All",ISNUMBER(SEARCH(Query!$B$5,'Compliance Database'!$H1231))),OR(Query!$B$6="All",ISNUMBER(SEARCH(Query!$B$6,'Compliance Database'!$I1231))),OR(Query!$B$7="All",'Compliance Database'!$F1231=Query!$B$7),OR(Query!$B$8="All",'Compliance Database'!$J1231=Query!$B$8),OR(Query!$B$9="",ISNUMBER(SEARCH(Query!$B$9,'Compliance Database'!$D1231&amp;" "&amp;'Compliance Database'!$K1231&amp;" "&amp;'Compliance Database'!$L1231&amp;" "&amp;'Compliance Database'!$M1231&amp;" "&amp;'Compliance Database'!$N1231)))),1,0)</f>
        <v/>
      </c>
      <c r="B1231">
        <f>IF($A1231=1,SUM($A$2:$A1231),"")</f>
        <v/>
      </c>
      <c r="C1231">
        <f>IF($A1231=1,SUM($A$2:$A1231),0)</f>
        <v/>
      </c>
    </row>
    <row r="1232">
      <c r="A1232">
        <f>IF(AND(OR(Query!$B$4="All",'Compliance Database'!$A1232=Query!$B$4),OR(Query!$B$5="All",ISNUMBER(SEARCH(Query!$B$5,'Compliance Database'!$H1232))),OR(Query!$B$6="All",ISNUMBER(SEARCH(Query!$B$6,'Compliance Database'!$I1232))),OR(Query!$B$7="All",'Compliance Database'!$F1232=Query!$B$7),OR(Query!$B$8="All",'Compliance Database'!$J1232=Query!$B$8),OR(Query!$B$9="",ISNUMBER(SEARCH(Query!$B$9,'Compliance Database'!$D1232&amp;" "&amp;'Compliance Database'!$K1232&amp;" "&amp;'Compliance Database'!$L1232&amp;" "&amp;'Compliance Database'!$M1232&amp;" "&amp;'Compliance Database'!$N1232)))),1,0)</f>
        <v/>
      </c>
      <c r="B1232">
        <f>IF($A1232=1,SUM($A$2:$A1232),"")</f>
        <v/>
      </c>
      <c r="C1232">
        <f>IF($A1232=1,SUM($A$2:$A1232),0)</f>
        <v/>
      </c>
    </row>
    <row r="1233">
      <c r="A1233">
        <f>IF(AND(OR(Query!$B$4="All",'Compliance Database'!$A1233=Query!$B$4),OR(Query!$B$5="All",ISNUMBER(SEARCH(Query!$B$5,'Compliance Database'!$H1233))),OR(Query!$B$6="All",ISNUMBER(SEARCH(Query!$B$6,'Compliance Database'!$I1233))),OR(Query!$B$7="All",'Compliance Database'!$F1233=Query!$B$7),OR(Query!$B$8="All",'Compliance Database'!$J1233=Query!$B$8),OR(Query!$B$9="",ISNUMBER(SEARCH(Query!$B$9,'Compliance Database'!$D1233&amp;" "&amp;'Compliance Database'!$K1233&amp;" "&amp;'Compliance Database'!$L1233&amp;" "&amp;'Compliance Database'!$M1233&amp;" "&amp;'Compliance Database'!$N1233)))),1,0)</f>
        <v/>
      </c>
      <c r="B1233">
        <f>IF($A1233=1,SUM($A$2:$A1233),"")</f>
        <v/>
      </c>
      <c r="C1233">
        <f>IF($A1233=1,SUM($A$2:$A1233),0)</f>
        <v/>
      </c>
    </row>
    <row r="1234">
      <c r="A1234">
        <f>IF(AND(OR(Query!$B$4="All",'Compliance Database'!$A1234=Query!$B$4),OR(Query!$B$5="All",ISNUMBER(SEARCH(Query!$B$5,'Compliance Database'!$H1234))),OR(Query!$B$6="All",ISNUMBER(SEARCH(Query!$B$6,'Compliance Database'!$I1234))),OR(Query!$B$7="All",'Compliance Database'!$F1234=Query!$B$7),OR(Query!$B$8="All",'Compliance Database'!$J1234=Query!$B$8),OR(Query!$B$9="",ISNUMBER(SEARCH(Query!$B$9,'Compliance Database'!$D1234&amp;" "&amp;'Compliance Database'!$K1234&amp;" "&amp;'Compliance Database'!$L1234&amp;" "&amp;'Compliance Database'!$M1234&amp;" "&amp;'Compliance Database'!$N1234)))),1,0)</f>
        <v/>
      </c>
      <c r="B1234">
        <f>IF($A1234=1,SUM($A$2:$A1234),"")</f>
        <v/>
      </c>
      <c r="C1234">
        <f>IF($A1234=1,SUM($A$2:$A1234),0)</f>
        <v/>
      </c>
    </row>
    <row r="1235">
      <c r="A1235">
        <f>IF(AND(OR(Query!$B$4="All",'Compliance Database'!$A1235=Query!$B$4),OR(Query!$B$5="All",ISNUMBER(SEARCH(Query!$B$5,'Compliance Database'!$H1235))),OR(Query!$B$6="All",ISNUMBER(SEARCH(Query!$B$6,'Compliance Database'!$I1235))),OR(Query!$B$7="All",'Compliance Database'!$F1235=Query!$B$7),OR(Query!$B$8="All",'Compliance Database'!$J1235=Query!$B$8),OR(Query!$B$9="",ISNUMBER(SEARCH(Query!$B$9,'Compliance Database'!$D1235&amp;" "&amp;'Compliance Database'!$K1235&amp;" "&amp;'Compliance Database'!$L1235&amp;" "&amp;'Compliance Database'!$M1235&amp;" "&amp;'Compliance Database'!$N1235)))),1,0)</f>
        <v/>
      </c>
      <c r="B1235">
        <f>IF($A1235=1,SUM($A$2:$A1235),"")</f>
        <v/>
      </c>
      <c r="C1235">
        <f>IF($A1235=1,SUM($A$2:$A1235),0)</f>
        <v/>
      </c>
    </row>
    <row r="1236">
      <c r="A1236">
        <f>IF(AND(OR(Query!$B$4="All",'Compliance Database'!$A1236=Query!$B$4),OR(Query!$B$5="All",ISNUMBER(SEARCH(Query!$B$5,'Compliance Database'!$H1236))),OR(Query!$B$6="All",ISNUMBER(SEARCH(Query!$B$6,'Compliance Database'!$I1236))),OR(Query!$B$7="All",'Compliance Database'!$F1236=Query!$B$7),OR(Query!$B$8="All",'Compliance Database'!$J1236=Query!$B$8),OR(Query!$B$9="",ISNUMBER(SEARCH(Query!$B$9,'Compliance Database'!$D1236&amp;" "&amp;'Compliance Database'!$K1236&amp;" "&amp;'Compliance Database'!$L1236&amp;" "&amp;'Compliance Database'!$M1236&amp;" "&amp;'Compliance Database'!$N1236)))),1,0)</f>
        <v/>
      </c>
      <c r="B1236">
        <f>IF($A1236=1,SUM($A$2:$A1236),"")</f>
        <v/>
      </c>
      <c r="C1236">
        <f>IF($A1236=1,SUM($A$2:$A1236),0)</f>
        <v/>
      </c>
    </row>
    <row r="1237">
      <c r="A1237">
        <f>IF(AND(OR(Query!$B$4="All",'Compliance Database'!$A1237=Query!$B$4),OR(Query!$B$5="All",ISNUMBER(SEARCH(Query!$B$5,'Compliance Database'!$H1237))),OR(Query!$B$6="All",ISNUMBER(SEARCH(Query!$B$6,'Compliance Database'!$I1237))),OR(Query!$B$7="All",'Compliance Database'!$F1237=Query!$B$7),OR(Query!$B$8="All",'Compliance Database'!$J1237=Query!$B$8),OR(Query!$B$9="",ISNUMBER(SEARCH(Query!$B$9,'Compliance Database'!$D1237&amp;" "&amp;'Compliance Database'!$K1237&amp;" "&amp;'Compliance Database'!$L1237&amp;" "&amp;'Compliance Database'!$M1237&amp;" "&amp;'Compliance Database'!$N1237)))),1,0)</f>
        <v/>
      </c>
      <c r="B1237">
        <f>IF($A1237=1,SUM($A$2:$A1237),"")</f>
        <v/>
      </c>
      <c r="C1237">
        <f>IF($A1237=1,SUM($A$2:$A1237),0)</f>
        <v/>
      </c>
    </row>
    <row r="1238">
      <c r="A1238">
        <f>IF(AND(OR(Query!$B$4="All",'Compliance Database'!$A1238=Query!$B$4),OR(Query!$B$5="All",ISNUMBER(SEARCH(Query!$B$5,'Compliance Database'!$H1238))),OR(Query!$B$6="All",ISNUMBER(SEARCH(Query!$B$6,'Compliance Database'!$I1238))),OR(Query!$B$7="All",'Compliance Database'!$F1238=Query!$B$7),OR(Query!$B$8="All",'Compliance Database'!$J1238=Query!$B$8),OR(Query!$B$9="",ISNUMBER(SEARCH(Query!$B$9,'Compliance Database'!$D1238&amp;" "&amp;'Compliance Database'!$K1238&amp;" "&amp;'Compliance Database'!$L1238&amp;" "&amp;'Compliance Database'!$M1238&amp;" "&amp;'Compliance Database'!$N1238)))),1,0)</f>
        <v/>
      </c>
      <c r="B1238">
        <f>IF($A1238=1,SUM($A$2:$A1238),"")</f>
        <v/>
      </c>
      <c r="C1238">
        <f>IF($A1238=1,SUM($A$2:$A1238),0)</f>
        <v/>
      </c>
    </row>
    <row r="1239">
      <c r="A1239">
        <f>IF(AND(OR(Query!$B$4="All",'Compliance Database'!$A1239=Query!$B$4),OR(Query!$B$5="All",ISNUMBER(SEARCH(Query!$B$5,'Compliance Database'!$H1239))),OR(Query!$B$6="All",ISNUMBER(SEARCH(Query!$B$6,'Compliance Database'!$I1239))),OR(Query!$B$7="All",'Compliance Database'!$F1239=Query!$B$7),OR(Query!$B$8="All",'Compliance Database'!$J1239=Query!$B$8),OR(Query!$B$9="",ISNUMBER(SEARCH(Query!$B$9,'Compliance Database'!$D1239&amp;" "&amp;'Compliance Database'!$K1239&amp;" "&amp;'Compliance Database'!$L1239&amp;" "&amp;'Compliance Database'!$M1239&amp;" "&amp;'Compliance Database'!$N1239)))),1,0)</f>
        <v/>
      </c>
      <c r="B1239">
        <f>IF($A1239=1,SUM($A$2:$A1239),"")</f>
        <v/>
      </c>
      <c r="C1239">
        <f>IF($A1239=1,SUM($A$2:$A1239),0)</f>
        <v/>
      </c>
    </row>
    <row r="1240">
      <c r="A1240">
        <f>IF(AND(OR(Query!$B$4="All",'Compliance Database'!$A1240=Query!$B$4),OR(Query!$B$5="All",ISNUMBER(SEARCH(Query!$B$5,'Compliance Database'!$H1240))),OR(Query!$B$6="All",ISNUMBER(SEARCH(Query!$B$6,'Compliance Database'!$I1240))),OR(Query!$B$7="All",'Compliance Database'!$F1240=Query!$B$7),OR(Query!$B$8="All",'Compliance Database'!$J1240=Query!$B$8),OR(Query!$B$9="",ISNUMBER(SEARCH(Query!$B$9,'Compliance Database'!$D1240&amp;" "&amp;'Compliance Database'!$K1240&amp;" "&amp;'Compliance Database'!$L1240&amp;" "&amp;'Compliance Database'!$M1240&amp;" "&amp;'Compliance Database'!$N1240)))),1,0)</f>
        <v/>
      </c>
      <c r="B1240">
        <f>IF($A1240=1,SUM($A$2:$A1240),"")</f>
        <v/>
      </c>
      <c r="C1240">
        <f>IF($A1240=1,SUM($A$2:$A1240),0)</f>
        <v/>
      </c>
    </row>
    <row r="1241">
      <c r="A1241">
        <f>IF(AND(OR(Query!$B$4="All",'Compliance Database'!$A1241=Query!$B$4),OR(Query!$B$5="All",ISNUMBER(SEARCH(Query!$B$5,'Compliance Database'!$H1241))),OR(Query!$B$6="All",ISNUMBER(SEARCH(Query!$B$6,'Compliance Database'!$I1241))),OR(Query!$B$7="All",'Compliance Database'!$F1241=Query!$B$7),OR(Query!$B$8="All",'Compliance Database'!$J1241=Query!$B$8),OR(Query!$B$9="",ISNUMBER(SEARCH(Query!$B$9,'Compliance Database'!$D1241&amp;" "&amp;'Compliance Database'!$K1241&amp;" "&amp;'Compliance Database'!$L1241&amp;" "&amp;'Compliance Database'!$M1241&amp;" "&amp;'Compliance Database'!$N1241)))),1,0)</f>
        <v/>
      </c>
      <c r="B1241">
        <f>IF($A1241=1,SUM($A$2:$A1241),"")</f>
        <v/>
      </c>
      <c r="C1241">
        <f>IF($A1241=1,SUM($A$2:$A1241),0)</f>
        <v/>
      </c>
    </row>
    <row r="1242">
      <c r="A1242">
        <f>IF(AND(OR(Query!$B$4="All",'Compliance Database'!$A1242=Query!$B$4),OR(Query!$B$5="All",ISNUMBER(SEARCH(Query!$B$5,'Compliance Database'!$H1242))),OR(Query!$B$6="All",ISNUMBER(SEARCH(Query!$B$6,'Compliance Database'!$I1242))),OR(Query!$B$7="All",'Compliance Database'!$F1242=Query!$B$7),OR(Query!$B$8="All",'Compliance Database'!$J1242=Query!$B$8),OR(Query!$B$9="",ISNUMBER(SEARCH(Query!$B$9,'Compliance Database'!$D1242&amp;" "&amp;'Compliance Database'!$K1242&amp;" "&amp;'Compliance Database'!$L1242&amp;" "&amp;'Compliance Database'!$M1242&amp;" "&amp;'Compliance Database'!$N1242)))),1,0)</f>
        <v/>
      </c>
      <c r="B1242">
        <f>IF($A1242=1,SUM($A$2:$A1242),"")</f>
        <v/>
      </c>
      <c r="C1242">
        <f>IF($A1242=1,SUM($A$2:$A1242),0)</f>
        <v/>
      </c>
    </row>
    <row r="1243">
      <c r="A1243">
        <f>IF(AND(OR(Query!$B$4="All",'Compliance Database'!$A1243=Query!$B$4),OR(Query!$B$5="All",ISNUMBER(SEARCH(Query!$B$5,'Compliance Database'!$H1243))),OR(Query!$B$6="All",ISNUMBER(SEARCH(Query!$B$6,'Compliance Database'!$I1243))),OR(Query!$B$7="All",'Compliance Database'!$F1243=Query!$B$7),OR(Query!$B$8="All",'Compliance Database'!$J1243=Query!$B$8),OR(Query!$B$9="",ISNUMBER(SEARCH(Query!$B$9,'Compliance Database'!$D1243&amp;" "&amp;'Compliance Database'!$K1243&amp;" "&amp;'Compliance Database'!$L1243&amp;" "&amp;'Compliance Database'!$M1243&amp;" "&amp;'Compliance Database'!$N1243)))),1,0)</f>
        <v/>
      </c>
      <c r="B1243">
        <f>IF($A1243=1,SUM($A$2:$A1243),"")</f>
        <v/>
      </c>
      <c r="C1243">
        <f>IF($A1243=1,SUM($A$2:$A1243),0)</f>
        <v/>
      </c>
    </row>
    <row r="1244">
      <c r="A1244">
        <f>IF(AND(OR(Query!$B$4="All",'Compliance Database'!$A1244=Query!$B$4),OR(Query!$B$5="All",ISNUMBER(SEARCH(Query!$B$5,'Compliance Database'!$H1244))),OR(Query!$B$6="All",ISNUMBER(SEARCH(Query!$B$6,'Compliance Database'!$I1244))),OR(Query!$B$7="All",'Compliance Database'!$F1244=Query!$B$7),OR(Query!$B$8="All",'Compliance Database'!$J1244=Query!$B$8),OR(Query!$B$9="",ISNUMBER(SEARCH(Query!$B$9,'Compliance Database'!$D1244&amp;" "&amp;'Compliance Database'!$K1244&amp;" "&amp;'Compliance Database'!$L1244&amp;" "&amp;'Compliance Database'!$M1244&amp;" "&amp;'Compliance Database'!$N1244)))),1,0)</f>
        <v/>
      </c>
      <c r="B1244">
        <f>IF($A1244=1,SUM($A$2:$A1244),"")</f>
        <v/>
      </c>
      <c r="C1244">
        <f>IF($A1244=1,SUM($A$2:$A1244),0)</f>
        <v/>
      </c>
    </row>
    <row r="1245">
      <c r="A1245">
        <f>IF(AND(OR(Query!$B$4="All",'Compliance Database'!$A1245=Query!$B$4),OR(Query!$B$5="All",ISNUMBER(SEARCH(Query!$B$5,'Compliance Database'!$H1245))),OR(Query!$B$6="All",ISNUMBER(SEARCH(Query!$B$6,'Compliance Database'!$I1245))),OR(Query!$B$7="All",'Compliance Database'!$F1245=Query!$B$7),OR(Query!$B$8="All",'Compliance Database'!$J1245=Query!$B$8),OR(Query!$B$9="",ISNUMBER(SEARCH(Query!$B$9,'Compliance Database'!$D1245&amp;" "&amp;'Compliance Database'!$K1245&amp;" "&amp;'Compliance Database'!$L1245&amp;" "&amp;'Compliance Database'!$M1245&amp;" "&amp;'Compliance Database'!$N1245)))),1,0)</f>
        <v/>
      </c>
      <c r="B1245">
        <f>IF($A1245=1,SUM($A$2:$A1245),"")</f>
        <v/>
      </c>
      <c r="C1245">
        <f>IF($A1245=1,SUM($A$2:$A1245),0)</f>
        <v/>
      </c>
    </row>
    <row r="1246">
      <c r="A1246">
        <f>IF(AND(OR(Query!$B$4="All",'Compliance Database'!$A1246=Query!$B$4),OR(Query!$B$5="All",ISNUMBER(SEARCH(Query!$B$5,'Compliance Database'!$H1246))),OR(Query!$B$6="All",ISNUMBER(SEARCH(Query!$B$6,'Compliance Database'!$I1246))),OR(Query!$B$7="All",'Compliance Database'!$F1246=Query!$B$7),OR(Query!$B$8="All",'Compliance Database'!$J1246=Query!$B$8),OR(Query!$B$9="",ISNUMBER(SEARCH(Query!$B$9,'Compliance Database'!$D1246&amp;" "&amp;'Compliance Database'!$K1246&amp;" "&amp;'Compliance Database'!$L1246&amp;" "&amp;'Compliance Database'!$M1246&amp;" "&amp;'Compliance Database'!$N1246)))),1,0)</f>
        <v/>
      </c>
      <c r="B1246">
        <f>IF($A1246=1,SUM($A$2:$A1246),"")</f>
        <v/>
      </c>
      <c r="C1246">
        <f>IF($A1246=1,SUM($A$2:$A1246),0)</f>
        <v/>
      </c>
    </row>
    <row r="1247">
      <c r="A1247">
        <f>IF(AND(OR(Query!$B$4="All",'Compliance Database'!$A1247=Query!$B$4),OR(Query!$B$5="All",ISNUMBER(SEARCH(Query!$B$5,'Compliance Database'!$H1247))),OR(Query!$B$6="All",ISNUMBER(SEARCH(Query!$B$6,'Compliance Database'!$I1247))),OR(Query!$B$7="All",'Compliance Database'!$F1247=Query!$B$7),OR(Query!$B$8="All",'Compliance Database'!$J1247=Query!$B$8),OR(Query!$B$9="",ISNUMBER(SEARCH(Query!$B$9,'Compliance Database'!$D1247&amp;" "&amp;'Compliance Database'!$K1247&amp;" "&amp;'Compliance Database'!$L1247&amp;" "&amp;'Compliance Database'!$M1247&amp;" "&amp;'Compliance Database'!$N1247)))),1,0)</f>
        <v/>
      </c>
      <c r="B1247">
        <f>IF($A1247=1,SUM($A$2:$A1247),"")</f>
        <v/>
      </c>
      <c r="C1247">
        <f>IF($A1247=1,SUM($A$2:$A1247),0)</f>
        <v/>
      </c>
    </row>
    <row r="1248">
      <c r="A1248">
        <f>IF(AND(OR(Query!$B$4="All",'Compliance Database'!$A1248=Query!$B$4),OR(Query!$B$5="All",ISNUMBER(SEARCH(Query!$B$5,'Compliance Database'!$H1248))),OR(Query!$B$6="All",ISNUMBER(SEARCH(Query!$B$6,'Compliance Database'!$I1248))),OR(Query!$B$7="All",'Compliance Database'!$F1248=Query!$B$7),OR(Query!$B$8="All",'Compliance Database'!$J1248=Query!$B$8),OR(Query!$B$9="",ISNUMBER(SEARCH(Query!$B$9,'Compliance Database'!$D1248&amp;" "&amp;'Compliance Database'!$K1248&amp;" "&amp;'Compliance Database'!$L1248&amp;" "&amp;'Compliance Database'!$M1248&amp;" "&amp;'Compliance Database'!$N1248)))),1,0)</f>
        <v/>
      </c>
      <c r="B1248">
        <f>IF($A1248=1,SUM($A$2:$A1248),"")</f>
        <v/>
      </c>
      <c r="C1248">
        <f>IF($A1248=1,SUM($A$2:$A1248),0)</f>
        <v/>
      </c>
    </row>
    <row r="1249">
      <c r="A1249">
        <f>IF(AND(OR(Query!$B$4="All",'Compliance Database'!$A1249=Query!$B$4),OR(Query!$B$5="All",ISNUMBER(SEARCH(Query!$B$5,'Compliance Database'!$H1249))),OR(Query!$B$6="All",ISNUMBER(SEARCH(Query!$B$6,'Compliance Database'!$I1249))),OR(Query!$B$7="All",'Compliance Database'!$F1249=Query!$B$7),OR(Query!$B$8="All",'Compliance Database'!$J1249=Query!$B$8),OR(Query!$B$9="",ISNUMBER(SEARCH(Query!$B$9,'Compliance Database'!$D1249&amp;" "&amp;'Compliance Database'!$K1249&amp;" "&amp;'Compliance Database'!$L1249&amp;" "&amp;'Compliance Database'!$M1249&amp;" "&amp;'Compliance Database'!$N1249)))),1,0)</f>
        <v/>
      </c>
      <c r="B1249">
        <f>IF($A1249=1,SUM($A$2:$A1249),"")</f>
        <v/>
      </c>
      <c r="C1249">
        <f>IF($A1249=1,SUM($A$2:$A1249),0)</f>
        <v/>
      </c>
    </row>
    <row r="1250">
      <c r="A1250">
        <f>IF(AND(OR(Query!$B$4="All",'Compliance Database'!$A1250=Query!$B$4),OR(Query!$B$5="All",ISNUMBER(SEARCH(Query!$B$5,'Compliance Database'!$H1250))),OR(Query!$B$6="All",ISNUMBER(SEARCH(Query!$B$6,'Compliance Database'!$I1250))),OR(Query!$B$7="All",'Compliance Database'!$F1250=Query!$B$7),OR(Query!$B$8="All",'Compliance Database'!$J1250=Query!$B$8),OR(Query!$B$9="",ISNUMBER(SEARCH(Query!$B$9,'Compliance Database'!$D1250&amp;" "&amp;'Compliance Database'!$K1250&amp;" "&amp;'Compliance Database'!$L1250&amp;" "&amp;'Compliance Database'!$M1250&amp;" "&amp;'Compliance Database'!$N1250)))),1,0)</f>
        <v/>
      </c>
      <c r="B1250">
        <f>IF($A1250=1,SUM($A$2:$A1250),"")</f>
        <v/>
      </c>
      <c r="C1250">
        <f>IF($A1250=1,SUM($A$2:$A1250),0)</f>
        <v/>
      </c>
    </row>
    <row r="1251">
      <c r="A1251">
        <f>IF(AND(OR(Query!$B$4="All",'Compliance Database'!$A1251=Query!$B$4),OR(Query!$B$5="All",ISNUMBER(SEARCH(Query!$B$5,'Compliance Database'!$H1251))),OR(Query!$B$6="All",ISNUMBER(SEARCH(Query!$B$6,'Compliance Database'!$I1251))),OR(Query!$B$7="All",'Compliance Database'!$F1251=Query!$B$7),OR(Query!$B$8="All",'Compliance Database'!$J1251=Query!$B$8),OR(Query!$B$9="",ISNUMBER(SEARCH(Query!$B$9,'Compliance Database'!$D1251&amp;" "&amp;'Compliance Database'!$K1251&amp;" "&amp;'Compliance Database'!$L1251&amp;" "&amp;'Compliance Database'!$M1251&amp;" "&amp;'Compliance Database'!$N1251)))),1,0)</f>
        <v/>
      </c>
      <c r="B1251">
        <f>IF($A1251=1,SUM($A$2:$A1251),"")</f>
        <v/>
      </c>
      <c r="C1251">
        <f>IF($A1251=1,SUM($A$2:$A1251),0)</f>
        <v/>
      </c>
    </row>
    <row r="1252">
      <c r="A1252">
        <f>IF(AND(OR(Query!$B$4="All",'Compliance Database'!$A1252=Query!$B$4),OR(Query!$B$5="All",ISNUMBER(SEARCH(Query!$B$5,'Compliance Database'!$H1252))),OR(Query!$B$6="All",ISNUMBER(SEARCH(Query!$B$6,'Compliance Database'!$I1252))),OR(Query!$B$7="All",'Compliance Database'!$F1252=Query!$B$7),OR(Query!$B$8="All",'Compliance Database'!$J1252=Query!$B$8),OR(Query!$B$9="",ISNUMBER(SEARCH(Query!$B$9,'Compliance Database'!$D1252&amp;" "&amp;'Compliance Database'!$K1252&amp;" "&amp;'Compliance Database'!$L1252&amp;" "&amp;'Compliance Database'!$M1252&amp;" "&amp;'Compliance Database'!$N1252)))),1,0)</f>
        <v/>
      </c>
      <c r="B1252">
        <f>IF($A1252=1,SUM($A$2:$A1252),"")</f>
        <v/>
      </c>
      <c r="C1252">
        <f>IF($A1252=1,SUM($A$2:$A1252),0)</f>
        <v/>
      </c>
    </row>
    <row r="1253">
      <c r="A1253">
        <f>IF(AND(OR(Query!$B$4="All",'Compliance Database'!$A1253=Query!$B$4),OR(Query!$B$5="All",ISNUMBER(SEARCH(Query!$B$5,'Compliance Database'!$H1253))),OR(Query!$B$6="All",ISNUMBER(SEARCH(Query!$B$6,'Compliance Database'!$I1253))),OR(Query!$B$7="All",'Compliance Database'!$F1253=Query!$B$7),OR(Query!$B$8="All",'Compliance Database'!$J1253=Query!$B$8),OR(Query!$B$9="",ISNUMBER(SEARCH(Query!$B$9,'Compliance Database'!$D1253&amp;" "&amp;'Compliance Database'!$K1253&amp;" "&amp;'Compliance Database'!$L1253&amp;" "&amp;'Compliance Database'!$M1253&amp;" "&amp;'Compliance Database'!$N1253)))),1,0)</f>
        <v/>
      </c>
      <c r="B1253">
        <f>IF($A1253=1,SUM($A$2:$A1253),"")</f>
        <v/>
      </c>
      <c r="C1253">
        <f>IF($A1253=1,SUM($A$2:$A1253),0)</f>
        <v/>
      </c>
    </row>
    <row r="1254">
      <c r="A1254">
        <f>IF(AND(OR(Query!$B$4="All",'Compliance Database'!$A1254=Query!$B$4),OR(Query!$B$5="All",ISNUMBER(SEARCH(Query!$B$5,'Compliance Database'!$H1254))),OR(Query!$B$6="All",ISNUMBER(SEARCH(Query!$B$6,'Compliance Database'!$I1254))),OR(Query!$B$7="All",'Compliance Database'!$F1254=Query!$B$7),OR(Query!$B$8="All",'Compliance Database'!$J1254=Query!$B$8),OR(Query!$B$9="",ISNUMBER(SEARCH(Query!$B$9,'Compliance Database'!$D1254&amp;" "&amp;'Compliance Database'!$K1254&amp;" "&amp;'Compliance Database'!$L1254&amp;" "&amp;'Compliance Database'!$M1254&amp;" "&amp;'Compliance Database'!$N1254)))),1,0)</f>
        <v/>
      </c>
      <c r="B1254">
        <f>IF($A1254=1,SUM($A$2:$A1254),"")</f>
        <v/>
      </c>
      <c r="C1254">
        <f>IF($A1254=1,SUM($A$2:$A1254),0)</f>
        <v/>
      </c>
    </row>
    <row r="1255">
      <c r="A1255">
        <f>IF(AND(OR(Query!$B$4="All",'Compliance Database'!$A1255=Query!$B$4),OR(Query!$B$5="All",ISNUMBER(SEARCH(Query!$B$5,'Compliance Database'!$H1255))),OR(Query!$B$6="All",ISNUMBER(SEARCH(Query!$B$6,'Compliance Database'!$I1255))),OR(Query!$B$7="All",'Compliance Database'!$F1255=Query!$B$7),OR(Query!$B$8="All",'Compliance Database'!$J1255=Query!$B$8),OR(Query!$B$9="",ISNUMBER(SEARCH(Query!$B$9,'Compliance Database'!$D1255&amp;" "&amp;'Compliance Database'!$K1255&amp;" "&amp;'Compliance Database'!$L1255&amp;" "&amp;'Compliance Database'!$M1255&amp;" "&amp;'Compliance Database'!$N1255)))),1,0)</f>
        <v/>
      </c>
      <c r="B1255">
        <f>IF($A1255=1,SUM($A$2:$A1255),"")</f>
        <v/>
      </c>
      <c r="C1255">
        <f>IF($A1255=1,SUM($A$2:$A1255),0)</f>
        <v/>
      </c>
    </row>
    <row r="1256">
      <c r="A1256">
        <f>IF(AND(OR(Query!$B$4="All",'Compliance Database'!$A1256=Query!$B$4),OR(Query!$B$5="All",ISNUMBER(SEARCH(Query!$B$5,'Compliance Database'!$H1256))),OR(Query!$B$6="All",ISNUMBER(SEARCH(Query!$B$6,'Compliance Database'!$I1256))),OR(Query!$B$7="All",'Compliance Database'!$F1256=Query!$B$7),OR(Query!$B$8="All",'Compliance Database'!$J1256=Query!$B$8),OR(Query!$B$9="",ISNUMBER(SEARCH(Query!$B$9,'Compliance Database'!$D1256&amp;" "&amp;'Compliance Database'!$K1256&amp;" "&amp;'Compliance Database'!$L1256&amp;" "&amp;'Compliance Database'!$M1256&amp;" "&amp;'Compliance Database'!$N1256)))),1,0)</f>
        <v/>
      </c>
      <c r="B1256">
        <f>IF($A1256=1,SUM($A$2:$A1256),"")</f>
        <v/>
      </c>
      <c r="C1256">
        <f>IF($A1256=1,SUM($A$2:$A1256),0)</f>
        <v/>
      </c>
    </row>
    <row r="1257">
      <c r="A1257">
        <f>IF(AND(OR(Query!$B$4="All",'Compliance Database'!$A1257=Query!$B$4),OR(Query!$B$5="All",ISNUMBER(SEARCH(Query!$B$5,'Compliance Database'!$H1257))),OR(Query!$B$6="All",ISNUMBER(SEARCH(Query!$B$6,'Compliance Database'!$I1257))),OR(Query!$B$7="All",'Compliance Database'!$F1257=Query!$B$7),OR(Query!$B$8="All",'Compliance Database'!$J1257=Query!$B$8),OR(Query!$B$9="",ISNUMBER(SEARCH(Query!$B$9,'Compliance Database'!$D1257&amp;" "&amp;'Compliance Database'!$K1257&amp;" "&amp;'Compliance Database'!$L1257&amp;" "&amp;'Compliance Database'!$M1257&amp;" "&amp;'Compliance Database'!$N1257)))),1,0)</f>
        <v/>
      </c>
      <c r="B1257">
        <f>IF($A1257=1,SUM($A$2:$A1257),"")</f>
        <v/>
      </c>
      <c r="C1257">
        <f>IF($A1257=1,SUM($A$2:$A1257),0)</f>
        <v/>
      </c>
    </row>
    <row r="1258">
      <c r="A1258">
        <f>IF(AND(OR(Query!$B$4="All",'Compliance Database'!$A1258=Query!$B$4),OR(Query!$B$5="All",ISNUMBER(SEARCH(Query!$B$5,'Compliance Database'!$H1258))),OR(Query!$B$6="All",ISNUMBER(SEARCH(Query!$B$6,'Compliance Database'!$I1258))),OR(Query!$B$7="All",'Compliance Database'!$F1258=Query!$B$7),OR(Query!$B$8="All",'Compliance Database'!$J1258=Query!$B$8),OR(Query!$B$9="",ISNUMBER(SEARCH(Query!$B$9,'Compliance Database'!$D1258&amp;" "&amp;'Compliance Database'!$K1258&amp;" "&amp;'Compliance Database'!$L1258&amp;" "&amp;'Compliance Database'!$M1258&amp;" "&amp;'Compliance Database'!$N1258)))),1,0)</f>
        <v/>
      </c>
      <c r="B1258">
        <f>IF($A1258=1,SUM($A$2:$A1258),"")</f>
        <v/>
      </c>
      <c r="C1258">
        <f>IF($A1258=1,SUM($A$2:$A1258),0)</f>
        <v/>
      </c>
    </row>
    <row r="1259">
      <c r="A1259">
        <f>IF(AND(OR(Query!$B$4="All",'Compliance Database'!$A1259=Query!$B$4),OR(Query!$B$5="All",ISNUMBER(SEARCH(Query!$B$5,'Compliance Database'!$H1259))),OR(Query!$B$6="All",ISNUMBER(SEARCH(Query!$B$6,'Compliance Database'!$I1259))),OR(Query!$B$7="All",'Compliance Database'!$F1259=Query!$B$7),OR(Query!$B$8="All",'Compliance Database'!$J1259=Query!$B$8),OR(Query!$B$9="",ISNUMBER(SEARCH(Query!$B$9,'Compliance Database'!$D1259&amp;" "&amp;'Compliance Database'!$K1259&amp;" "&amp;'Compliance Database'!$L1259&amp;" "&amp;'Compliance Database'!$M1259&amp;" "&amp;'Compliance Database'!$N1259)))),1,0)</f>
        <v/>
      </c>
      <c r="B1259">
        <f>IF($A1259=1,SUM($A$2:$A1259),"")</f>
        <v/>
      </c>
      <c r="C1259">
        <f>IF($A1259=1,SUM($A$2:$A1259),0)</f>
        <v/>
      </c>
    </row>
    <row r="1260">
      <c r="A1260">
        <f>IF(AND(OR(Query!$B$4="All",'Compliance Database'!$A1260=Query!$B$4),OR(Query!$B$5="All",ISNUMBER(SEARCH(Query!$B$5,'Compliance Database'!$H1260))),OR(Query!$B$6="All",ISNUMBER(SEARCH(Query!$B$6,'Compliance Database'!$I1260))),OR(Query!$B$7="All",'Compliance Database'!$F1260=Query!$B$7),OR(Query!$B$8="All",'Compliance Database'!$J1260=Query!$B$8),OR(Query!$B$9="",ISNUMBER(SEARCH(Query!$B$9,'Compliance Database'!$D1260&amp;" "&amp;'Compliance Database'!$K1260&amp;" "&amp;'Compliance Database'!$L1260&amp;" "&amp;'Compliance Database'!$M1260&amp;" "&amp;'Compliance Database'!$N1260)))),1,0)</f>
        <v/>
      </c>
      <c r="B1260">
        <f>IF($A1260=1,SUM($A$2:$A1260),"")</f>
        <v/>
      </c>
      <c r="C1260">
        <f>IF($A1260=1,SUM($A$2:$A1260),0)</f>
        <v/>
      </c>
    </row>
    <row r="1261">
      <c r="A1261">
        <f>IF(AND(OR(Query!$B$4="All",'Compliance Database'!$A1261=Query!$B$4),OR(Query!$B$5="All",ISNUMBER(SEARCH(Query!$B$5,'Compliance Database'!$H1261))),OR(Query!$B$6="All",ISNUMBER(SEARCH(Query!$B$6,'Compliance Database'!$I1261))),OR(Query!$B$7="All",'Compliance Database'!$F1261=Query!$B$7),OR(Query!$B$8="All",'Compliance Database'!$J1261=Query!$B$8),OR(Query!$B$9="",ISNUMBER(SEARCH(Query!$B$9,'Compliance Database'!$D1261&amp;" "&amp;'Compliance Database'!$K1261&amp;" "&amp;'Compliance Database'!$L1261&amp;" "&amp;'Compliance Database'!$M1261&amp;" "&amp;'Compliance Database'!$N1261)))),1,0)</f>
        <v/>
      </c>
      <c r="B1261">
        <f>IF($A1261=1,SUM($A$2:$A1261),"")</f>
        <v/>
      </c>
      <c r="C1261">
        <f>IF($A1261=1,SUM($A$2:$A1261),0)</f>
        <v/>
      </c>
    </row>
    <row r="1262">
      <c r="A1262">
        <f>IF(AND(OR(Query!$B$4="All",'Compliance Database'!$A1262=Query!$B$4),OR(Query!$B$5="All",ISNUMBER(SEARCH(Query!$B$5,'Compliance Database'!$H1262))),OR(Query!$B$6="All",ISNUMBER(SEARCH(Query!$B$6,'Compliance Database'!$I1262))),OR(Query!$B$7="All",'Compliance Database'!$F1262=Query!$B$7),OR(Query!$B$8="All",'Compliance Database'!$J1262=Query!$B$8),OR(Query!$B$9="",ISNUMBER(SEARCH(Query!$B$9,'Compliance Database'!$D1262&amp;" "&amp;'Compliance Database'!$K1262&amp;" "&amp;'Compliance Database'!$L1262&amp;" "&amp;'Compliance Database'!$M1262&amp;" "&amp;'Compliance Database'!$N1262)))),1,0)</f>
        <v/>
      </c>
      <c r="B1262">
        <f>IF($A1262=1,SUM($A$2:$A1262),"")</f>
        <v/>
      </c>
      <c r="C1262">
        <f>IF($A1262=1,SUM($A$2:$A1262),0)</f>
        <v/>
      </c>
    </row>
    <row r="1263">
      <c r="A1263">
        <f>IF(AND(OR(Query!$B$4="All",'Compliance Database'!$A1263=Query!$B$4),OR(Query!$B$5="All",ISNUMBER(SEARCH(Query!$B$5,'Compliance Database'!$H1263))),OR(Query!$B$6="All",ISNUMBER(SEARCH(Query!$B$6,'Compliance Database'!$I1263))),OR(Query!$B$7="All",'Compliance Database'!$F1263=Query!$B$7),OR(Query!$B$8="All",'Compliance Database'!$J1263=Query!$B$8),OR(Query!$B$9="",ISNUMBER(SEARCH(Query!$B$9,'Compliance Database'!$D1263&amp;" "&amp;'Compliance Database'!$K1263&amp;" "&amp;'Compliance Database'!$L1263&amp;" "&amp;'Compliance Database'!$M1263&amp;" "&amp;'Compliance Database'!$N1263)))),1,0)</f>
        <v/>
      </c>
      <c r="B1263">
        <f>IF($A1263=1,SUM($A$2:$A1263),"")</f>
        <v/>
      </c>
      <c r="C1263">
        <f>IF($A1263=1,SUM($A$2:$A1263),0)</f>
        <v/>
      </c>
    </row>
    <row r="1264">
      <c r="A1264">
        <f>IF(AND(OR(Query!$B$4="All",'Compliance Database'!$A1264=Query!$B$4),OR(Query!$B$5="All",ISNUMBER(SEARCH(Query!$B$5,'Compliance Database'!$H1264))),OR(Query!$B$6="All",ISNUMBER(SEARCH(Query!$B$6,'Compliance Database'!$I1264))),OR(Query!$B$7="All",'Compliance Database'!$F1264=Query!$B$7),OR(Query!$B$8="All",'Compliance Database'!$J1264=Query!$B$8),OR(Query!$B$9="",ISNUMBER(SEARCH(Query!$B$9,'Compliance Database'!$D1264&amp;" "&amp;'Compliance Database'!$K1264&amp;" "&amp;'Compliance Database'!$L1264&amp;" "&amp;'Compliance Database'!$M1264&amp;" "&amp;'Compliance Database'!$N1264)))),1,0)</f>
        <v/>
      </c>
      <c r="B1264">
        <f>IF($A1264=1,SUM($A$2:$A1264),"")</f>
        <v/>
      </c>
      <c r="C1264">
        <f>IF($A1264=1,SUM($A$2:$A1264),0)</f>
        <v/>
      </c>
    </row>
    <row r="1265">
      <c r="A1265">
        <f>IF(AND(OR(Query!$B$4="All",'Compliance Database'!$A1265=Query!$B$4),OR(Query!$B$5="All",ISNUMBER(SEARCH(Query!$B$5,'Compliance Database'!$H1265))),OR(Query!$B$6="All",ISNUMBER(SEARCH(Query!$B$6,'Compliance Database'!$I1265))),OR(Query!$B$7="All",'Compliance Database'!$F1265=Query!$B$7),OR(Query!$B$8="All",'Compliance Database'!$J1265=Query!$B$8),OR(Query!$B$9="",ISNUMBER(SEARCH(Query!$B$9,'Compliance Database'!$D1265&amp;" "&amp;'Compliance Database'!$K1265&amp;" "&amp;'Compliance Database'!$L1265&amp;" "&amp;'Compliance Database'!$M1265&amp;" "&amp;'Compliance Database'!$N1265)))),1,0)</f>
        <v/>
      </c>
      <c r="B1265">
        <f>IF($A1265=1,SUM($A$2:$A1265),"")</f>
        <v/>
      </c>
      <c r="C1265">
        <f>IF($A1265=1,SUM($A$2:$A1265),0)</f>
        <v/>
      </c>
    </row>
    <row r="1266">
      <c r="A1266">
        <f>IF(AND(OR(Query!$B$4="All",'Compliance Database'!$A1266=Query!$B$4),OR(Query!$B$5="All",ISNUMBER(SEARCH(Query!$B$5,'Compliance Database'!$H1266))),OR(Query!$B$6="All",ISNUMBER(SEARCH(Query!$B$6,'Compliance Database'!$I1266))),OR(Query!$B$7="All",'Compliance Database'!$F1266=Query!$B$7),OR(Query!$B$8="All",'Compliance Database'!$J1266=Query!$B$8),OR(Query!$B$9="",ISNUMBER(SEARCH(Query!$B$9,'Compliance Database'!$D1266&amp;" "&amp;'Compliance Database'!$K1266&amp;" "&amp;'Compliance Database'!$L1266&amp;" "&amp;'Compliance Database'!$M1266&amp;" "&amp;'Compliance Database'!$N1266)))),1,0)</f>
        <v/>
      </c>
      <c r="B1266">
        <f>IF($A1266=1,SUM($A$2:$A1266),"")</f>
        <v/>
      </c>
      <c r="C1266">
        <f>IF($A1266=1,SUM($A$2:$A1266),0)</f>
        <v/>
      </c>
    </row>
    <row r="1267">
      <c r="A1267">
        <f>IF(AND(OR(Query!$B$4="All",'Compliance Database'!$A1267=Query!$B$4),OR(Query!$B$5="All",ISNUMBER(SEARCH(Query!$B$5,'Compliance Database'!$H1267))),OR(Query!$B$6="All",ISNUMBER(SEARCH(Query!$B$6,'Compliance Database'!$I1267))),OR(Query!$B$7="All",'Compliance Database'!$F1267=Query!$B$7),OR(Query!$B$8="All",'Compliance Database'!$J1267=Query!$B$8),OR(Query!$B$9="",ISNUMBER(SEARCH(Query!$B$9,'Compliance Database'!$D1267&amp;" "&amp;'Compliance Database'!$K1267&amp;" "&amp;'Compliance Database'!$L1267&amp;" "&amp;'Compliance Database'!$M1267&amp;" "&amp;'Compliance Database'!$N1267)))),1,0)</f>
        <v/>
      </c>
      <c r="B1267">
        <f>IF($A1267=1,SUM($A$2:$A1267),"")</f>
        <v/>
      </c>
      <c r="C1267">
        <f>IF($A1267=1,SUM($A$2:$A1267),0)</f>
        <v/>
      </c>
    </row>
    <row r="1268">
      <c r="A1268">
        <f>IF(AND(OR(Query!$B$4="All",'Compliance Database'!$A1268=Query!$B$4),OR(Query!$B$5="All",ISNUMBER(SEARCH(Query!$B$5,'Compliance Database'!$H1268))),OR(Query!$B$6="All",ISNUMBER(SEARCH(Query!$B$6,'Compliance Database'!$I1268))),OR(Query!$B$7="All",'Compliance Database'!$F1268=Query!$B$7),OR(Query!$B$8="All",'Compliance Database'!$J1268=Query!$B$8),OR(Query!$B$9="",ISNUMBER(SEARCH(Query!$B$9,'Compliance Database'!$D1268&amp;" "&amp;'Compliance Database'!$K1268&amp;" "&amp;'Compliance Database'!$L1268&amp;" "&amp;'Compliance Database'!$M1268&amp;" "&amp;'Compliance Database'!$N1268)))),1,0)</f>
        <v/>
      </c>
      <c r="B1268">
        <f>IF($A1268=1,SUM($A$2:$A1268),"")</f>
        <v/>
      </c>
      <c r="C1268">
        <f>IF($A1268=1,SUM($A$2:$A1268),0)</f>
        <v/>
      </c>
    </row>
    <row r="1269">
      <c r="A1269">
        <f>IF(AND(OR(Query!$B$4="All",'Compliance Database'!$A1269=Query!$B$4),OR(Query!$B$5="All",ISNUMBER(SEARCH(Query!$B$5,'Compliance Database'!$H1269))),OR(Query!$B$6="All",ISNUMBER(SEARCH(Query!$B$6,'Compliance Database'!$I1269))),OR(Query!$B$7="All",'Compliance Database'!$F1269=Query!$B$7),OR(Query!$B$8="All",'Compliance Database'!$J1269=Query!$B$8),OR(Query!$B$9="",ISNUMBER(SEARCH(Query!$B$9,'Compliance Database'!$D1269&amp;" "&amp;'Compliance Database'!$K1269&amp;" "&amp;'Compliance Database'!$L1269&amp;" "&amp;'Compliance Database'!$M1269&amp;" "&amp;'Compliance Database'!$N1269)))),1,0)</f>
        <v/>
      </c>
      <c r="B1269">
        <f>IF($A1269=1,SUM($A$2:$A1269),"")</f>
        <v/>
      </c>
      <c r="C1269">
        <f>IF($A1269=1,SUM($A$2:$A1269),0)</f>
        <v/>
      </c>
    </row>
    <row r="1270">
      <c r="A1270">
        <f>IF(AND(OR(Query!$B$4="All",'Compliance Database'!$A1270=Query!$B$4),OR(Query!$B$5="All",ISNUMBER(SEARCH(Query!$B$5,'Compliance Database'!$H1270))),OR(Query!$B$6="All",ISNUMBER(SEARCH(Query!$B$6,'Compliance Database'!$I1270))),OR(Query!$B$7="All",'Compliance Database'!$F1270=Query!$B$7),OR(Query!$B$8="All",'Compliance Database'!$J1270=Query!$B$8),OR(Query!$B$9="",ISNUMBER(SEARCH(Query!$B$9,'Compliance Database'!$D1270&amp;" "&amp;'Compliance Database'!$K1270&amp;" "&amp;'Compliance Database'!$L1270&amp;" "&amp;'Compliance Database'!$M1270&amp;" "&amp;'Compliance Database'!$N1270)))),1,0)</f>
        <v/>
      </c>
      <c r="B1270">
        <f>IF($A1270=1,SUM($A$2:$A1270),"")</f>
        <v/>
      </c>
      <c r="C1270">
        <f>IF($A1270=1,SUM($A$2:$A1270),0)</f>
        <v/>
      </c>
    </row>
    <row r="1271">
      <c r="A1271">
        <f>IF(AND(OR(Query!$B$4="All",'Compliance Database'!$A1271=Query!$B$4),OR(Query!$B$5="All",ISNUMBER(SEARCH(Query!$B$5,'Compliance Database'!$H1271))),OR(Query!$B$6="All",ISNUMBER(SEARCH(Query!$B$6,'Compliance Database'!$I1271))),OR(Query!$B$7="All",'Compliance Database'!$F1271=Query!$B$7),OR(Query!$B$8="All",'Compliance Database'!$J1271=Query!$B$8),OR(Query!$B$9="",ISNUMBER(SEARCH(Query!$B$9,'Compliance Database'!$D1271&amp;" "&amp;'Compliance Database'!$K1271&amp;" "&amp;'Compliance Database'!$L1271&amp;" "&amp;'Compliance Database'!$M1271&amp;" "&amp;'Compliance Database'!$N1271)))),1,0)</f>
        <v/>
      </c>
      <c r="B1271">
        <f>IF($A1271=1,SUM($A$2:$A1271),"")</f>
        <v/>
      </c>
      <c r="C1271">
        <f>IF($A1271=1,SUM($A$2:$A1271),0)</f>
        <v/>
      </c>
    </row>
    <row r="1272">
      <c r="A1272">
        <f>IF(AND(OR(Query!$B$4="All",'Compliance Database'!$A1272=Query!$B$4),OR(Query!$B$5="All",ISNUMBER(SEARCH(Query!$B$5,'Compliance Database'!$H1272))),OR(Query!$B$6="All",ISNUMBER(SEARCH(Query!$B$6,'Compliance Database'!$I1272))),OR(Query!$B$7="All",'Compliance Database'!$F1272=Query!$B$7),OR(Query!$B$8="All",'Compliance Database'!$J1272=Query!$B$8),OR(Query!$B$9="",ISNUMBER(SEARCH(Query!$B$9,'Compliance Database'!$D1272&amp;" "&amp;'Compliance Database'!$K1272&amp;" "&amp;'Compliance Database'!$L1272&amp;" "&amp;'Compliance Database'!$M1272&amp;" "&amp;'Compliance Database'!$N1272)))),1,0)</f>
        <v/>
      </c>
      <c r="B1272">
        <f>IF($A1272=1,SUM($A$2:$A1272),"")</f>
        <v/>
      </c>
      <c r="C1272">
        <f>IF($A1272=1,SUM($A$2:$A1272),0)</f>
        <v/>
      </c>
    </row>
    <row r="1273">
      <c r="A1273">
        <f>IF(AND(OR(Query!$B$4="All",'Compliance Database'!$A1273=Query!$B$4),OR(Query!$B$5="All",ISNUMBER(SEARCH(Query!$B$5,'Compliance Database'!$H1273))),OR(Query!$B$6="All",ISNUMBER(SEARCH(Query!$B$6,'Compliance Database'!$I1273))),OR(Query!$B$7="All",'Compliance Database'!$F1273=Query!$B$7),OR(Query!$B$8="All",'Compliance Database'!$J1273=Query!$B$8),OR(Query!$B$9="",ISNUMBER(SEARCH(Query!$B$9,'Compliance Database'!$D1273&amp;" "&amp;'Compliance Database'!$K1273&amp;" "&amp;'Compliance Database'!$L1273&amp;" "&amp;'Compliance Database'!$M1273&amp;" "&amp;'Compliance Database'!$N1273)))),1,0)</f>
        <v/>
      </c>
      <c r="B1273">
        <f>IF($A1273=1,SUM($A$2:$A1273),"")</f>
        <v/>
      </c>
      <c r="C1273">
        <f>IF($A1273=1,SUM($A$2:$A1273),0)</f>
        <v/>
      </c>
    </row>
    <row r="1274">
      <c r="A1274">
        <f>IF(AND(OR(Query!$B$4="All",'Compliance Database'!$A1274=Query!$B$4),OR(Query!$B$5="All",ISNUMBER(SEARCH(Query!$B$5,'Compliance Database'!$H1274))),OR(Query!$B$6="All",ISNUMBER(SEARCH(Query!$B$6,'Compliance Database'!$I1274))),OR(Query!$B$7="All",'Compliance Database'!$F1274=Query!$B$7),OR(Query!$B$8="All",'Compliance Database'!$J1274=Query!$B$8),OR(Query!$B$9="",ISNUMBER(SEARCH(Query!$B$9,'Compliance Database'!$D1274&amp;" "&amp;'Compliance Database'!$K1274&amp;" "&amp;'Compliance Database'!$L1274&amp;" "&amp;'Compliance Database'!$M1274&amp;" "&amp;'Compliance Database'!$N1274)))),1,0)</f>
        <v/>
      </c>
      <c r="B1274">
        <f>IF($A1274=1,SUM($A$2:$A1274),"")</f>
        <v/>
      </c>
      <c r="C1274">
        <f>IF($A1274=1,SUM($A$2:$A1274),0)</f>
        <v/>
      </c>
    </row>
    <row r="1275">
      <c r="A1275">
        <f>IF(AND(OR(Query!$B$4="All",'Compliance Database'!$A1275=Query!$B$4),OR(Query!$B$5="All",ISNUMBER(SEARCH(Query!$B$5,'Compliance Database'!$H1275))),OR(Query!$B$6="All",ISNUMBER(SEARCH(Query!$B$6,'Compliance Database'!$I1275))),OR(Query!$B$7="All",'Compliance Database'!$F1275=Query!$B$7),OR(Query!$B$8="All",'Compliance Database'!$J1275=Query!$B$8),OR(Query!$B$9="",ISNUMBER(SEARCH(Query!$B$9,'Compliance Database'!$D1275&amp;" "&amp;'Compliance Database'!$K1275&amp;" "&amp;'Compliance Database'!$L1275&amp;" "&amp;'Compliance Database'!$M1275&amp;" "&amp;'Compliance Database'!$N1275)))),1,0)</f>
        <v/>
      </c>
      <c r="B1275">
        <f>IF($A1275=1,SUM($A$2:$A1275),"")</f>
        <v/>
      </c>
      <c r="C1275">
        <f>IF($A1275=1,SUM($A$2:$A1275),0)</f>
        <v/>
      </c>
    </row>
    <row r="1276">
      <c r="A1276">
        <f>IF(AND(OR(Query!$B$4="All",'Compliance Database'!$A1276=Query!$B$4),OR(Query!$B$5="All",ISNUMBER(SEARCH(Query!$B$5,'Compliance Database'!$H1276))),OR(Query!$B$6="All",ISNUMBER(SEARCH(Query!$B$6,'Compliance Database'!$I1276))),OR(Query!$B$7="All",'Compliance Database'!$F1276=Query!$B$7),OR(Query!$B$8="All",'Compliance Database'!$J1276=Query!$B$8),OR(Query!$B$9="",ISNUMBER(SEARCH(Query!$B$9,'Compliance Database'!$D1276&amp;" "&amp;'Compliance Database'!$K1276&amp;" "&amp;'Compliance Database'!$L1276&amp;" "&amp;'Compliance Database'!$M1276&amp;" "&amp;'Compliance Database'!$N1276)))),1,0)</f>
        <v/>
      </c>
      <c r="B1276">
        <f>IF($A1276=1,SUM($A$2:$A1276),"")</f>
        <v/>
      </c>
      <c r="C1276">
        <f>IF($A1276=1,SUM($A$2:$A1276),0)</f>
        <v/>
      </c>
    </row>
    <row r="1277">
      <c r="A1277">
        <f>IF(AND(OR(Query!$B$4="All",'Compliance Database'!$A1277=Query!$B$4),OR(Query!$B$5="All",ISNUMBER(SEARCH(Query!$B$5,'Compliance Database'!$H1277))),OR(Query!$B$6="All",ISNUMBER(SEARCH(Query!$B$6,'Compliance Database'!$I1277))),OR(Query!$B$7="All",'Compliance Database'!$F1277=Query!$B$7),OR(Query!$B$8="All",'Compliance Database'!$J1277=Query!$B$8),OR(Query!$B$9="",ISNUMBER(SEARCH(Query!$B$9,'Compliance Database'!$D1277&amp;" "&amp;'Compliance Database'!$K1277&amp;" "&amp;'Compliance Database'!$L1277&amp;" "&amp;'Compliance Database'!$M1277&amp;" "&amp;'Compliance Database'!$N1277)))),1,0)</f>
        <v/>
      </c>
      <c r="B1277">
        <f>IF($A1277=1,SUM($A$2:$A1277),"")</f>
        <v/>
      </c>
      <c r="C1277">
        <f>IF($A1277=1,SUM($A$2:$A1277),0)</f>
        <v/>
      </c>
    </row>
    <row r="1278">
      <c r="A1278">
        <f>IF(AND(OR(Query!$B$4="All",'Compliance Database'!$A1278=Query!$B$4),OR(Query!$B$5="All",ISNUMBER(SEARCH(Query!$B$5,'Compliance Database'!$H1278))),OR(Query!$B$6="All",ISNUMBER(SEARCH(Query!$B$6,'Compliance Database'!$I1278))),OR(Query!$B$7="All",'Compliance Database'!$F1278=Query!$B$7),OR(Query!$B$8="All",'Compliance Database'!$J1278=Query!$B$8),OR(Query!$B$9="",ISNUMBER(SEARCH(Query!$B$9,'Compliance Database'!$D1278&amp;" "&amp;'Compliance Database'!$K1278&amp;" "&amp;'Compliance Database'!$L1278&amp;" "&amp;'Compliance Database'!$M1278&amp;" "&amp;'Compliance Database'!$N1278)))),1,0)</f>
        <v/>
      </c>
      <c r="B1278">
        <f>IF($A1278=1,SUM($A$2:$A1278),"")</f>
        <v/>
      </c>
      <c r="C1278">
        <f>IF($A1278=1,SUM($A$2:$A1278),0)</f>
        <v/>
      </c>
    </row>
    <row r="1279">
      <c r="A1279">
        <f>IF(AND(OR(Query!$B$4="All",'Compliance Database'!$A1279=Query!$B$4),OR(Query!$B$5="All",ISNUMBER(SEARCH(Query!$B$5,'Compliance Database'!$H1279))),OR(Query!$B$6="All",ISNUMBER(SEARCH(Query!$B$6,'Compliance Database'!$I1279))),OR(Query!$B$7="All",'Compliance Database'!$F1279=Query!$B$7),OR(Query!$B$8="All",'Compliance Database'!$J1279=Query!$B$8),OR(Query!$B$9="",ISNUMBER(SEARCH(Query!$B$9,'Compliance Database'!$D1279&amp;" "&amp;'Compliance Database'!$K1279&amp;" "&amp;'Compliance Database'!$L1279&amp;" "&amp;'Compliance Database'!$M1279&amp;" "&amp;'Compliance Database'!$N1279)))),1,0)</f>
        <v/>
      </c>
      <c r="B1279">
        <f>IF($A1279=1,SUM($A$2:$A1279),"")</f>
        <v/>
      </c>
      <c r="C1279">
        <f>IF($A1279=1,SUM($A$2:$A1279),0)</f>
        <v/>
      </c>
    </row>
    <row r="1280">
      <c r="A1280">
        <f>IF(AND(OR(Query!$B$4="All",'Compliance Database'!$A1280=Query!$B$4),OR(Query!$B$5="All",ISNUMBER(SEARCH(Query!$B$5,'Compliance Database'!$H1280))),OR(Query!$B$6="All",ISNUMBER(SEARCH(Query!$B$6,'Compliance Database'!$I1280))),OR(Query!$B$7="All",'Compliance Database'!$F1280=Query!$B$7),OR(Query!$B$8="All",'Compliance Database'!$J1280=Query!$B$8),OR(Query!$B$9="",ISNUMBER(SEARCH(Query!$B$9,'Compliance Database'!$D1280&amp;" "&amp;'Compliance Database'!$K1280&amp;" "&amp;'Compliance Database'!$L1280&amp;" "&amp;'Compliance Database'!$M1280&amp;" "&amp;'Compliance Database'!$N1280)))),1,0)</f>
        <v/>
      </c>
      <c r="B1280">
        <f>IF($A1280=1,SUM($A$2:$A1280),"")</f>
        <v/>
      </c>
      <c r="C1280">
        <f>IF($A1280=1,SUM($A$2:$A1280),0)</f>
        <v/>
      </c>
    </row>
    <row r="1281">
      <c r="A1281">
        <f>IF(AND(OR(Query!$B$4="All",'Compliance Database'!$A1281=Query!$B$4),OR(Query!$B$5="All",ISNUMBER(SEARCH(Query!$B$5,'Compliance Database'!$H1281))),OR(Query!$B$6="All",ISNUMBER(SEARCH(Query!$B$6,'Compliance Database'!$I1281))),OR(Query!$B$7="All",'Compliance Database'!$F1281=Query!$B$7),OR(Query!$B$8="All",'Compliance Database'!$J1281=Query!$B$8),OR(Query!$B$9="",ISNUMBER(SEARCH(Query!$B$9,'Compliance Database'!$D1281&amp;" "&amp;'Compliance Database'!$K1281&amp;" "&amp;'Compliance Database'!$L1281&amp;" "&amp;'Compliance Database'!$M1281&amp;" "&amp;'Compliance Database'!$N1281)))),1,0)</f>
        <v/>
      </c>
      <c r="B1281">
        <f>IF($A1281=1,SUM($A$2:$A1281),"")</f>
        <v/>
      </c>
      <c r="C1281">
        <f>IF($A1281=1,SUM($A$2:$A1281),0)</f>
        <v/>
      </c>
    </row>
    <row r="1282">
      <c r="A1282">
        <f>IF(AND(OR(Query!$B$4="All",'Compliance Database'!$A1282=Query!$B$4),OR(Query!$B$5="All",ISNUMBER(SEARCH(Query!$B$5,'Compliance Database'!$H1282))),OR(Query!$B$6="All",ISNUMBER(SEARCH(Query!$B$6,'Compliance Database'!$I1282))),OR(Query!$B$7="All",'Compliance Database'!$F1282=Query!$B$7),OR(Query!$B$8="All",'Compliance Database'!$J1282=Query!$B$8),OR(Query!$B$9="",ISNUMBER(SEARCH(Query!$B$9,'Compliance Database'!$D1282&amp;" "&amp;'Compliance Database'!$K1282&amp;" "&amp;'Compliance Database'!$L1282&amp;" "&amp;'Compliance Database'!$M1282&amp;" "&amp;'Compliance Database'!$N1282)))),1,0)</f>
        <v/>
      </c>
      <c r="B1282">
        <f>IF($A1282=1,SUM($A$2:$A1282),"")</f>
        <v/>
      </c>
      <c r="C1282">
        <f>IF($A1282=1,SUM($A$2:$A1282),0)</f>
        <v/>
      </c>
    </row>
    <row r="1283">
      <c r="A1283">
        <f>IF(AND(OR(Query!$B$4="All",'Compliance Database'!$A1283=Query!$B$4),OR(Query!$B$5="All",ISNUMBER(SEARCH(Query!$B$5,'Compliance Database'!$H1283))),OR(Query!$B$6="All",ISNUMBER(SEARCH(Query!$B$6,'Compliance Database'!$I1283))),OR(Query!$B$7="All",'Compliance Database'!$F1283=Query!$B$7),OR(Query!$B$8="All",'Compliance Database'!$J1283=Query!$B$8),OR(Query!$B$9="",ISNUMBER(SEARCH(Query!$B$9,'Compliance Database'!$D1283&amp;" "&amp;'Compliance Database'!$K1283&amp;" "&amp;'Compliance Database'!$L1283&amp;" "&amp;'Compliance Database'!$M1283&amp;" "&amp;'Compliance Database'!$N1283)))),1,0)</f>
        <v/>
      </c>
      <c r="B1283">
        <f>IF($A1283=1,SUM($A$2:$A1283),"")</f>
        <v/>
      </c>
      <c r="C1283">
        <f>IF($A1283=1,SUM($A$2:$A1283),0)</f>
        <v/>
      </c>
    </row>
    <row r="1284">
      <c r="A1284">
        <f>IF(AND(OR(Query!$B$4="All",'Compliance Database'!$A1284=Query!$B$4),OR(Query!$B$5="All",ISNUMBER(SEARCH(Query!$B$5,'Compliance Database'!$H1284))),OR(Query!$B$6="All",ISNUMBER(SEARCH(Query!$B$6,'Compliance Database'!$I1284))),OR(Query!$B$7="All",'Compliance Database'!$F1284=Query!$B$7),OR(Query!$B$8="All",'Compliance Database'!$J1284=Query!$B$8),OR(Query!$B$9="",ISNUMBER(SEARCH(Query!$B$9,'Compliance Database'!$D1284&amp;" "&amp;'Compliance Database'!$K1284&amp;" "&amp;'Compliance Database'!$L1284&amp;" "&amp;'Compliance Database'!$M1284&amp;" "&amp;'Compliance Database'!$N1284)))),1,0)</f>
        <v/>
      </c>
      <c r="B1284">
        <f>IF($A1284=1,SUM($A$2:$A1284),"")</f>
        <v/>
      </c>
      <c r="C1284">
        <f>IF($A1284=1,SUM($A$2:$A1284),0)</f>
        <v/>
      </c>
    </row>
    <row r="1285">
      <c r="A1285">
        <f>IF(AND(OR(Query!$B$4="All",'Compliance Database'!$A1285=Query!$B$4),OR(Query!$B$5="All",ISNUMBER(SEARCH(Query!$B$5,'Compliance Database'!$H1285))),OR(Query!$B$6="All",ISNUMBER(SEARCH(Query!$B$6,'Compliance Database'!$I1285))),OR(Query!$B$7="All",'Compliance Database'!$F1285=Query!$B$7),OR(Query!$B$8="All",'Compliance Database'!$J1285=Query!$B$8),OR(Query!$B$9="",ISNUMBER(SEARCH(Query!$B$9,'Compliance Database'!$D1285&amp;" "&amp;'Compliance Database'!$K1285&amp;" "&amp;'Compliance Database'!$L1285&amp;" "&amp;'Compliance Database'!$M1285&amp;" "&amp;'Compliance Database'!$N1285)))),1,0)</f>
        <v/>
      </c>
      <c r="B1285">
        <f>IF($A1285=1,SUM($A$2:$A1285),"")</f>
        <v/>
      </c>
      <c r="C1285">
        <f>IF($A1285=1,SUM($A$2:$A1285),0)</f>
        <v/>
      </c>
    </row>
    <row r="1286">
      <c r="A1286">
        <f>IF(AND(OR(Query!$B$4="All",'Compliance Database'!$A1286=Query!$B$4),OR(Query!$B$5="All",ISNUMBER(SEARCH(Query!$B$5,'Compliance Database'!$H1286))),OR(Query!$B$6="All",ISNUMBER(SEARCH(Query!$B$6,'Compliance Database'!$I1286))),OR(Query!$B$7="All",'Compliance Database'!$F1286=Query!$B$7),OR(Query!$B$8="All",'Compliance Database'!$J1286=Query!$B$8),OR(Query!$B$9="",ISNUMBER(SEARCH(Query!$B$9,'Compliance Database'!$D1286&amp;" "&amp;'Compliance Database'!$K1286&amp;" "&amp;'Compliance Database'!$L1286&amp;" "&amp;'Compliance Database'!$M1286&amp;" "&amp;'Compliance Database'!$N1286)))),1,0)</f>
        <v/>
      </c>
      <c r="B1286">
        <f>IF($A1286=1,SUM($A$2:$A1286),"")</f>
        <v/>
      </c>
      <c r="C1286">
        <f>IF($A1286=1,SUM($A$2:$A1286),0)</f>
        <v/>
      </c>
    </row>
    <row r="1287">
      <c r="A1287">
        <f>IF(AND(OR(Query!$B$4="All",'Compliance Database'!$A1287=Query!$B$4),OR(Query!$B$5="All",ISNUMBER(SEARCH(Query!$B$5,'Compliance Database'!$H1287))),OR(Query!$B$6="All",ISNUMBER(SEARCH(Query!$B$6,'Compliance Database'!$I1287))),OR(Query!$B$7="All",'Compliance Database'!$F1287=Query!$B$7),OR(Query!$B$8="All",'Compliance Database'!$J1287=Query!$B$8),OR(Query!$B$9="",ISNUMBER(SEARCH(Query!$B$9,'Compliance Database'!$D1287&amp;" "&amp;'Compliance Database'!$K1287&amp;" "&amp;'Compliance Database'!$L1287&amp;" "&amp;'Compliance Database'!$M1287&amp;" "&amp;'Compliance Database'!$N1287)))),1,0)</f>
        <v/>
      </c>
      <c r="B1287">
        <f>IF($A1287=1,SUM($A$2:$A1287),"")</f>
        <v/>
      </c>
      <c r="C1287">
        <f>IF($A1287=1,SUM($A$2:$A1287),0)</f>
        <v/>
      </c>
    </row>
    <row r="1288">
      <c r="A1288">
        <f>IF(AND(OR(Query!$B$4="All",'Compliance Database'!$A1288=Query!$B$4),OR(Query!$B$5="All",ISNUMBER(SEARCH(Query!$B$5,'Compliance Database'!$H1288))),OR(Query!$B$6="All",ISNUMBER(SEARCH(Query!$B$6,'Compliance Database'!$I1288))),OR(Query!$B$7="All",'Compliance Database'!$F1288=Query!$B$7),OR(Query!$B$8="All",'Compliance Database'!$J1288=Query!$B$8),OR(Query!$B$9="",ISNUMBER(SEARCH(Query!$B$9,'Compliance Database'!$D1288&amp;" "&amp;'Compliance Database'!$K1288&amp;" "&amp;'Compliance Database'!$L1288&amp;" "&amp;'Compliance Database'!$M1288&amp;" "&amp;'Compliance Database'!$N1288)))),1,0)</f>
        <v/>
      </c>
      <c r="B1288">
        <f>IF($A1288=1,SUM($A$2:$A1288),"")</f>
        <v/>
      </c>
      <c r="C1288">
        <f>IF($A1288=1,SUM($A$2:$A1288),0)</f>
        <v/>
      </c>
    </row>
    <row r="1289">
      <c r="A1289">
        <f>IF(AND(OR(Query!$B$4="All",'Compliance Database'!$A1289=Query!$B$4),OR(Query!$B$5="All",ISNUMBER(SEARCH(Query!$B$5,'Compliance Database'!$H1289))),OR(Query!$B$6="All",ISNUMBER(SEARCH(Query!$B$6,'Compliance Database'!$I1289))),OR(Query!$B$7="All",'Compliance Database'!$F1289=Query!$B$7),OR(Query!$B$8="All",'Compliance Database'!$J1289=Query!$B$8),OR(Query!$B$9="",ISNUMBER(SEARCH(Query!$B$9,'Compliance Database'!$D1289&amp;" "&amp;'Compliance Database'!$K1289&amp;" "&amp;'Compliance Database'!$L1289&amp;" "&amp;'Compliance Database'!$M1289&amp;" "&amp;'Compliance Database'!$N1289)))),1,0)</f>
        <v/>
      </c>
      <c r="B1289">
        <f>IF($A1289=1,SUM($A$2:$A1289),"")</f>
        <v/>
      </c>
      <c r="C1289">
        <f>IF($A1289=1,SUM($A$2:$A1289),0)</f>
        <v/>
      </c>
    </row>
    <row r="1290">
      <c r="A1290">
        <f>IF(AND(OR(Query!$B$4="All",'Compliance Database'!$A1290=Query!$B$4),OR(Query!$B$5="All",ISNUMBER(SEARCH(Query!$B$5,'Compliance Database'!$H1290))),OR(Query!$B$6="All",ISNUMBER(SEARCH(Query!$B$6,'Compliance Database'!$I1290))),OR(Query!$B$7="All",'Compliance Database'!$F1290=Query!$B$7),OR(Query!$B$8="All",'Compliance Database'!$J1290=Query!$B$8),OR(Query!$B$9="",ISNUMBER(SEARCH(Query!$B$9,'Compliance Database'!$D1290&amp;" "&amp;'Compliance Database'!$K1290&amp;" "&amp;'Compliance Database'!$L1290&amp;" "&amp;'Compliance Database'!$M1290&amp;" "&amp;'Compliance Database'!$N1290)))),1,0)</f>
        <v/>
      </c>
      <c r="B1290">
        <f>IF($A1290=1,SUM($A$2:$A1290),"")</f>
        <v/>
      </c>
      <c r="C1290">
        <f>IF($A1290=1,SUM($A$2:$A1290),0)</f>
        <v/>
      </c>
    </row>
    <row r="1291">
      <c r="A1291">
        <f>IF(AND(OR(Query!$B$4="All",'Compliance Database'!$A1291=Query!$B$4),OR(Query!$B$5="All",ISNUMBER(SEARCH(Query!$B$5,'Compliance Database'!$H1291))),OR(Query!$B$6="All",ISNUMBER(SEARCH(Query!$B$6,'Compliance Database'!$I1291))),OR(Query!$B$7="All",'Compliance Database'!$F1291=Query!$B$7),OR(Query!$B$8="All",'Compliance Database'!$J1291=Query!$B$8),OR(Query!$B$9="",ISNUMBER(SEARCH(Query!$B$9,'Compliance Database'!$D1291&amp;" "&amp;'Compliance Database'!$K1291&amp;" "&amp;'Compliance Database'!$L1291&amp;" "&amp;'Compliance Database'!$M1291&amp;" "&amp;'Compliance Database'!$N1291)))),1,0)</f>
        <v/>
      </c>
      <c r="B1291">
        <f>IF($A1291=1,SUM($A$2:$A1291),"")</f>
        <v/>
      </c>
      <c r="C1291">
        <f>IF($A1291=1,SUM($A$2:$A1291),0)</f>
        <v/>
      </c>
    </row>
    <row r="1292">
      <c r="A1292">
        <f>IF(AND(OR(Query!$B$4="All",'Compliance Database'!$A1292=Query!$B$4),OR(Query!$B$5="All",ISNUMBER(SEARCH(Query!$B$5,'Compliance Database'!$H1292))),OR(Query!$B$6="All",ISNUMBER(SEARCH(Query!$B$6,'Compliance Database'!$I1292))),OR(Query!$B$7="All",'Compliance Database'!$F1292=Query!$B$7),OR(Query!$B$8="All",'Compliance Database'!$J1292=Query!$B$8),OR(Query!$B$9="",ISNUMBER(SEARCH(Query!$B$9,'Compliance Database'!$D1292&amp;" "&amp;'Compliance Database'!$K1292&amp;" "&amp;'Compliance Database'!$L1292&amp;" "&amp;'Compliance Database'!$M1292&amp;" "&amp;'Compliance Database'!$N1292)))),1,0)</f>
        <v/>
      </c>
      <c r="B1292">
        <f>IF($A1292=1,SUM($A$2:$A1292),"")</f>
        <v/>
      </c>
      <c r="C1292">
        <f>IF($A1292=1,SUM($A$2:$A1292),0)</f>
        <v/>
      </c>
    </row>
    <row r="1293">
      <c r="A1293">
        <f>IF(AND(OR(Query!$B$4="All",'Compliance Database'!$A1293=Query!$B$4),OR(Query!$B$5="All",ISNUMBER(SEARCH(Query!$B$5,'Compliance Database'!$H1293))),OR(Query!$B$6="All",ISNUMBER(SEARCH(Query!$B$6,'Compliance Database'!$I1293))),OR(Query!$B$7="All",'Compliance Database'!$F1293=Query!$B$7),OR(Query!$B$8="All",'Compliance Database'!$J1293=Query!$B$8),OR(Query!$B$9="",ISNUMBER(SEARCH(Query!$B$9,'Compliance Database'!$D1293&amp;" "&amp;'Compliance Database'!$K1293&amp;" "&amp;'Compliance Database'!$L1293&amp;" "&amp;'Compliance Database'!$M1293&amp;" "&amp;'Compliance Database'!$N1293)))),1,0)</f>
        <v/>
      </c>
      <c r="B1293">
        <f>IF($A1293=1,SUM($A$2:$A1293),"")</f>
        <v/>
      </c>
      <c r="C1293">
        <f>IF($A1293=1,SUM($A$2:$A1293),0)</f>
        <v/>
      </c>
    </row>
    <row r="1294">
      <c r="A1294">
        <f>IF(AND(OR(Query!$B$4="All",'Compliance Database'!$A1294=Query!$B$4),OR(Query!$B$5="All",ISNUMBER(SEARCH(Query!$B$5,'Compliance Database'!$H1294))),OR(Query!$B$6="All",ISNUMBER(SEARCH(Query!$B$6,'Compliance Database'!$I1294))),OR(Query!$B$7="All",'Compliance Database'!$F1294=Query!$B$7),OR(Query!$B$8="All",'Compliance Database'!$J1294=Query!$B$8),OR(Query!$B$9="",ISNUMBER(SEARCH(Query!$B$9,'Compliance Database'!$D1294&amp;" "&amp;'Compliance Database'!$K1294&amp;" "&amp;'Compliance Database'!$L1294&amp;" "&amp;'Compliance Database'!$M1294&amp;" "&amp;'Compliance Database'!$N1294)))),1,0)</f>
        <v/>
      </c>
      <c r="B1294">
        <f>IF($A1294=1,SUM($A$2:$A1294),"")</f>
        <v/>
      </c>
      <c r="C1294">
        <f>IF($A1294=1,SUM($A$2:$A1294),0)</f>
        <v/>
      </c>
    </row>
    <row r="1295">
      <c r="A1295">
        <f>IF(AND(OR(Query!$B$4="All",'Compliance Database'!$A1295=Query!$B$4),OR(Query!$B$5="All",ISNUMBER(SEARCH(Query!$B$5,'Compliance Database'!$H1295))),OR(Query!$B$6="All",ISNUMBER(SEARCH(Query!$B$6,'Compliance Database'!$I1295))),OR(Query!$B$7="All",'Compliance Database'!$F1295=Query!$B$7),OR(Query!$B$8="All",'Compliance Database'!$J1295=Query!$B$8),OR(Query!$B$9="",ISNUMBER(SEARCH(Query!$B$9,'Compliance Database'!$D1295&amp;" "&amp;'Compliance Database'!$K1295&amp;" "&amp;'Compliance Database'!$L1295&amp;" "&amp;'Compliance Database'!$M1295&amp;" "&amp;'Compliance Database'!$N1295)))),1,0)</f>
        <v/>
      </c>
      <c r="B1295">
        <f>IF($A1295=1,SUM($A$2:$A1295),"")</f>
        <v/>
      </c>
      <c r="C1295">
        <f>IF($A1295=1,SUM($A$2:$A1295),0)</f>
        <v/>
      </c>
    </row>
    <row r="1296">
      <c r="A1296">
        <f>IF(AND(OR(Query!$B$4="All",'Compliance Database'!$A1296=Query!$B$4),OR(Query!$B$5="All",ISNUMBER(SEARCH(Query!$B$5,'Compliance Database'!$H1296))),OR(Query!$B$6="All",ISNUMBER(SEARCH(Query!$B$6,'Compliance Database'!$I1296))),OR(Query!$B$7="All",'Compliance Database'!$F1296=Query!$B$7),OR(Query!$B$8="All",'Compliance Database'!$J1296=Query!$B$8),OR(Query!$B$9="",ISNUMBER(SEARCH(Query!$B$9,'Compliance Database'!$D1296&amp;" "&amp;'Compliance Database'!$K1296&amp;" "&amp;'Compliance Database'!$L1296&amp;" "&amp;'Compliance Database'!$M1296&amp;" "&amp;'Compliance Database'!$N1296)))),1,0)</f>
        <v/>
      </c>
      <c r="B1296">
        <f>IF($A1296=1,SUM($A$2:$A1296),"")</f>
        <v/>
      </c>
      <c r="C1296">
        <f>IF($A1296=1,SUM($A$2:$A1296),0)</f>
        <v/>
      </c>
    </row>
    <row r="1297">
      <c r="A1297">
        <f>IF(AND(OR(Query!$B$4="All",'Compliance Database'!$A1297=Query!$B$4),OR(Query!$B$5="All",ISNUMBER(SEARCH(Query!$B$5,'Compliance Database'!$H1297))),OR(Query!$B$6="All",ISNUMBER(SEARCH(Query!$B$6,'Compliance Database'!$I1297))),OR(Query!$B$7="All",'Compliance Database'!$F1297=Query!$B$7),OR(Query!$B$8="All",'Compliance Database'!$J1297=Query!$B$8),OR(Query!$B$9="",ISNUMBER(SEARCH(Query!$B$9,'Compliance Database'!$D1297&amp;" "&amp;'Compliance Database'!$K1297&amp;" "&amp;'Compliance Database'!$L1297&amp;" "&amp;'Compliance Database'!$M1297&amp;" "&amp;'Compliance Database'!$N1297)))),1,0)</f>
        <v/>
      </c>
      <c r="B1297">
        <f>IF($A1297=1,SUM($A$2:$A1297),"")</f>
        <v/>
      </c>
      <c r="C1297">
        <f>IF($A1297=1,SUM($A$2:$A1297),0)</f>
        <v/>
      </c>
    </row>
    <row r="1298">
      <c r="A1298">
        <f>IF(AND(OR(Query!$B$4="All",'Compliance Database'!$A1298=Query!$B$4),OR(Query!$B$5="All",ISNUMBER(SEARCH(Query!$B$5,'Compliance Database'!$H1298))),OR(Query!$B$6="All",ISNUMBER(SEARCH(Query!$B$6,'Compliance Database'!$I1298))),OR(Query!$B$7="All",'Compliance Database'!$F1298=Query!$B$7),OR(Query!$B$8="All",'Compliance Database'!$J1298=Query!$B$8),OR(Query!$B$9="",ISNUMBER(SEARCH(Query!$B$9,'Compliance Database'!$D1298&amp;" "&amp;'Compliance Database'!$K1298&amp;" "&amp;'Compliance Database'!$L1298&amp;" "&amp;'Compliance Database'!$M1298&amp;" "&amp;'Compliance Database'!$N1298)))),1,0)</f>
        <v/>
      </c>
      <c r="B1298">
        <f>IF($A1298=1,SUM($A$2:$A1298),"")</f>
        <v/>
      </c>
      <c r="C1298">
        <f>IF($A1298=1,SUM($A$2:$A1298),0)</f>
        <v/>
      </c>
    </row>
    <row r="1299">
      <c r="A1299">
        <f>IF(AND(OR(Query!$B$4="All",'Compliance Database'!$A1299=Query!$B$4),OR(Query!$B$5="All",ISNUMBER(SEARCH(Query!$B$5,'Compliance Database'!$H1299))),OR(Query!$B$6="All",ISNUMBER(SEARCH(Query!$B$6,'Compliance Database'!$I1299))),OR(Query!$B$7="All",'Compliance Database'!$F1299=Query!$B$7),OR(Query!$B$8="All",'Compliance Database'!$J1299=Query!$B$8),OR(Query!$B$9="",ISNUMBER(SEARCH(Query!$B$9,'Compliance Database'!$D1299&amp;" "&amp;'Compliance Database'!$K1299&amp;" "&amp;'Compliance Database'!$L1299&amp;" "&amp;'Compliance Database'!$M1299&amp;" "&amp;'Compliance Database'!$N1299)))),1,0)</f>
        <v/>
      </c>
      <c r="B1299">
        <f>IF($A1299=1,SUM($A$2:$A1299),"")</f>
        <v/>
      </c>
      <c r="C1299">
        <f>IF($A1299=1,SUM($A$2:$A1299),0)</f>
        <v/>
      </c>
    </row>
    <row r="1300">
      <c r="A1300">
        <f>IF(AND(OR(Query!$B$4="All",'Compliance Database'!$A1300=Query!$B$4),OR(Query!$B$5="All",ISNUMBER(SEARCH(Query!$B$5,'Compliance Database'!$H1300))),OR(Query!$B$6="All",ISNUMBER(SEARCH(Query!$B$6,'Compliance Database'!$I1300))),OR(Query!$B$7="All",'Compliance Database'!$F1300=Query!$B$7),OR(Query!$B$8="All",'Compliance Database'!$J1300=Query!$B$8),OR(Query!$B$9="",ISNUMBER(SEARCH(Query!$B$9,'Compliance Database'!$D1300&amp;" "&amp;'Compliance Database'!$K1300&amp;" "&amp;'Compliance Database'!$L1300&amp;" "&amp;'Compliance Database'!$M1300&amp;" "&amp;'Compliance Database'!$N1300)))),1,0)</f>
        <v/>
      </c>
      <c r="B1300">
        <f>IF($A1300=1,SUM($A$2:$A1300),"")</f>
        <v/>
      </c>
      <c r="C1300">
        <f>IF($A1300=1,SUM($A$2:$A1300),0)</f>
        <v/>
      </c>
    </row>
    <row r="1301">
      <c r="A1301">
        <f>IF(AND(OR(Query!$B$4="All",'Compliance Database'!$A1301=Query!$B$4),OR(Query!$B$5="All",ISNUMBER(SEARCH(Query!$B$5,'Compliance Database'!$H1301))),OR(Query!$B$6="All",ISNUMBER(SEARCH(Query!$B$6,'Compliance Database'!$I1301))),OR(Query!$B$7="All",'Compliance Database'!$F1301=Query!$B$7),OR(Query!$B$8="All",'Compliance Database'!$J1301=Query!$B$8),OR(Query!$B$9="",ISNUMBER(SEARCH(Query!$B$9,'Compliance Database'!$D1301&amp;" "&amp;'Compliance Database'!$K1301&amp;" "&amp;'Compliance Database'!$L1301&amp;" "&amp;'Compliance Database'!$M1301&amp;" "&amp;'Compliance Database'!$N1301)))),1,0)</f>
        <v/>
      </c>
      <c r="B1301">
        <f>IF($A1301=1,SUM($A$2:$A1301),"")</f>
        <v/>
      </c>
      <c r="C1301">
        <f>IF($A1301=1,SUM($A$2:$A1301),0)</f>
        <v/>
      </c>
    </row>
    <row r="1302">
      <c r="A1302">
        <f>IF(AND(OR(Query!$B$4="All",'Compliance Database'!$A1302=Query!$B$4),OR(Query!$B$5="All",ISNUMBER(SEARCH(Query!$B$5,'Compliance Database'!$H1302))),OR(Query!$B$6="All",ISNUMBER(SEARCH(Query!$B$6,'Compliance Database'!$I1302))),OR(Query!$B$7="All",'Compliance Database'!$F1302=Query!$B$7),OR(Query!$B$8="All",'Compliance Database'!$J1302=Query!$B$8),OR(Query!$B$9="",ISNUMBER(SEARCH(Query!$B$9,'Compliance Database'!$D1302&amp;" "&amp;'Compliance Database'!$K1302&amp;" "&amp;'Compliance Database'!$L1302&amp;" "&amp;'Compliance Database'!$M1302&amp;" "&amp;'Compliance Database'!$N1302)))),1,0)</f>
        <v/>
      </c>
      <c r="B1302">
        <f>IF($A1302=1,SUM($A$2:$A1302),"")</f>
        <v/>
      </c>
      <c r="C1302">
        <f>IF($A1302=1,SUM($A$2:$A1302),0)</f>
        <v/>
      </c>
    </row>
    <row r="1303">
      <c r="A1303">
        <f>IF(AND(OR(Query!$B$4="All",'Compliance Database'!$A1303=Query!$B$4),OR(Query!$B$5="All",ISNUMBER(SEARCH(Query!$B$5,'Compliance Database'!$H1303))),OR(Query!$B$6="All",ISNUMBER(SEARCH(Query!$B$6,'Compliance Database'!$I1303))),OR(Query!$B$7="All",'Compliance Database'!$F1303=Query!$B$7),OR(Query!$B$8="All",'Compliance Database'!$J1303=Query!$B$8),OR(Query!$B$9="",ISNUMBER(SEARCH(Query!$B$9,'Compliance Database'!$D1303&amp;" "&amp;'Compliance Database'!$K1303&amp;" "&amp;'Compliance Database'!$L1303&amp;" "&amp;'Compliance Database'!$M1303&amp;" "&amp;'Compliance Database'!$N1303)))),1,0)</f>
        <v/>
      </c>
      <c r="B1303">
        <f>IF($A1303=1,SUM($A$2:$A1303),"")</f>
        <v/>
      </c>
      <c r="C1303">
        <f>IF($A1303=1,SUM($A$2:$A1303),0)</f>
        <v/>
      </c>
    </row>
    <row r="1304">
      <c r="A1304">
        <f>IF(AND(OR(Query!$B$4="All",'Compliance Database'!$A1304=Query!$B$4),OR(Query!$B$5="All",ISNUMBER(SEARCH(Query!$B$5,'Compliance Database'!$H1304))),OR(Query!$B$6="All",ISNUMBER(SEARCH(Query!$B$6,'Compliance Database'!$I1304))),OR(Query!$B$7="All",'Compliance Database'!$F1304=Query!$B$7),OR(Query!$B$8="All",'Compliance Database'!$J1304=Query!$B$8),OR(Query!$B$9="",ISNUMBER(SEARCH(Query!$B$9,'Compliance Database'!$D1304&amp;" "&amp;'Compliance Database'!$K1304&amp;" "&amp;'Compliance Database'!$L1304&amp;" "&amp;'Compliance Database'!$M1304&amp;" "&amp;'Compliance Database'!$N1304)))),1,0)</f>
        <v/>
      </c>
      <c r="B1304">
        <f>IF($A1304=1,SUM($A$2:$A1304),"")</f>
        <v/>
      </c>
      <c r="C1304">
        <f>IF($A1304=1,SUM($A$2:$A1304),0)</f>
        <v/>
      </c>
    </row>
    <row r="1305">
      <c r="A1305">
        <f>IF(AND(OR(Query!$B$4="All",'Compliance Database'!$A1305=Query!$B$4),OR(Query!$B$5="All",ISNUMBER(SEARCH(Query!$B$5,'Compliance Database'!$H1305))),OR(Query!$B$6="All",ISNUMBER(SEARCH(Query!$B$6,'Compliance Database'!$I1305))),OR(Query!$B$7="All",'Compliance Database'!$F1305=Query!$B$7),OR(Query!$B$8="All",'Compliance Database'!$J1305=Query!$B$8),OR(Query!$B$9="",ISNUMBER(SEARCH(Query!$B$9,'Compliance Database'!$D1305&amp;" "&amp;'Compliance Database'!$K1305&amp;" "&amp;'Compliance Database'!$L1305&amp;" "&amp;'Compliance Database'!$M1305&amp;" "&amp;'Compliance Database'!$N1305)))),1,0)</f>
        <v/>
      </c>
      <c r="B1305">
        <f>IF($A1305=1,SUM($A$2:$A1305),"")</f>
        <v/>
      </c>
      <c r="C1305">
        <f>IF($A1305=1,SUM($A$2:$A1305),0)</f>
        <v/>
      </c>
    </row>
    <row r="1306">
      <c r="A1306">
        <f>IF(AND(OR(Query!$B$4="All",'Compliance Database'!$A1306=Query!$B$4),OR(Query!$B$5="All",ISNUMBER(SEARCH(Query!$B$5,'Compliance Database'!$H1306))),OR(Query!$B$6="All",ISNUMBER(SEARCH(Query!$B$6,'Compliance Database'!$I1306))),OR(Query!$B$7="All",'Compliance Database'!$F1306=Query!$B$7),OR(Query!$B$8="All",'Compliance Database'!$J1306=Query!$B$8),OR(Query!$B$9="",ISNUMBER(SEARCH(Query!$B$9,'Compliance Database'!$D1306&amp;" "&amp;'Compliance Database'!$K1306&amp;" "&amp;'Compliance Database'!$L1306&amp;" "&amp;'Compliance Database'!$M1306&amp;" "&amp;'Compliance Database'!$N1306)))),1,0)</f>
        <v/>
      </c>
      <c r="B1306">
        <f>IF($A1306=1,SUM($A$2:$A1306),"")</f>
        <v/>
      </c>
      <c r="C1306">
        <f>IF($A1306=1,SUM($A$2:$A1306),0)</f>
        <v/>
      </c>
    </row>
    <row r="1307">
      <c r="A1307">
        <f>IF(AND(OR(Query!$B$4="All",'Compliance Database'!$A1307=Query!$B$4),OR(Query!$B$5="All",ISNUMBER(SEARCH(Query!$B$5,'Compliance Database'!$H1307))),OR(Query!$B$6="All",ISNUMBER(SEARCH(Query!$B$6,'Compliance Database'!$I1307))),OR(Query!$B$7="All",'Compliance Database'!$F1307=Query!$B$7),OR(Query!$B$8="All",'Compliance Database'!$J1307=Query!$B$8),OR(Query!$B$9="",ISNUMBER(SEARCH(Query!$B$9,'Compliance Database'!$D1307&amp;" "&amp;'Compliance Database'!$K1307&amp;" "&amp;'Compliance Database'!$L1307&amp;" "&amp;'Compliance Database'!$M1307&amp;" "&amp;'Compliance Database'!$N1307)))),1,0)</f>
        <v/>
      </c>
      <c r="B1307">
        <f>IF($A1307=1,SUM($A$2:$A1307),"")</f>
        <v/>
      </c>
      <c r="C1307">
        <f>IF($A1307=1,SUM($A$2:$A1307),0)</f>
        <v/>
      </c>
    </row>
    <row r="1308">
      <c r="A1308">
        <f>IF(AND(OR(Query!$B$4="All",'Compliance Database'!$A1308=Query!$B$4),OR(Query!$B$5="All",ISNUMBER(SEARCH(Query!$B$5,'Compliance Database'!$H1308))),OR(Query!$B$6="All",ISNUMBER(SEARCH(Query!$B$6,'Compliance Database'!$I1308))),OR(Query!$B$7="All",'Compliance Database'!$F1308=Query!$B$7),OR(Query!$B$8="All",'Compliance Database'!$J1308=Query!$B$8),OR(Query!$B$9="",ISNUMBER(SEARCH(Query!$B$9,'Compliance Database'!$D1308&amp;" "&amp;'Compliance Database'!$K1308&amp;" "&amp;'Compliance Database'!$L1308&amp;" "&amp;'Compliance Database'!$M1308&amp;" "&amp;'Compliance Database'!$N1308)))),1,0)</f>
        <v/>
      </c>
      <c r="B1308">
        <f>IF($A1308=1,SUM($A$2:$A1308),"")</f>
        <v/>
      </c>
      <c r="C1308">
        <f>IF($A1308=1,SUM($A$2:$A1308),0)</f>
        <v/>
      </c>
    </row>
    <row r="1309">
      <c r="A1309">
        <f>IF(AND(OR(Query!$B$4="All",'Compliance Database'!$A1309=Query!$B$4),OR(Query!$B$5="All",ISNUMBER(SEARCH(Query!$B$5,'Compliance Database'!$H1309))),OR(Query!$B$6="All",ISNUMBER(SEARCH(Query!$B$6,'Compliance Database'!$I1309))),OR(Query!$B$7="All",'Compliance Database'!$F1309=Query!$B$7),OR(Query!$B$8="All",'Compliance Database'!$J1309=Query!$B$8),OR(Query!$B$9="",ISNUMBER(SEARCH(Query!$B$9,'Compliance Database'!$D1309&amp;" "&amp;'Compliance Database'!$K1309&amp;" "&amp;'Compliance Database'!$L1309&amp;" "&amp;'Compliance Database'!$M1309&amp;" "&amp;'Compliance Database'!$N1309)))),1,0)</f>
        <v/>
      </c>
      <c r="B1309">
        <f>IF($A1309=1,SUM($A$2:$A1309),"")</f>
        <v/>
      </c>
      <c r="C1309">
        <f>IF($A1309=1,SUM($A$2:$A1309),0)</f>
        <v/>
      </c>
    </row>
    <row r="1310">
      <c r="A1310">
        <f>IF(AND(OR(Query!$B$4="All",'Compliance Database'!$A1310=Query!$B$4),OR(Query!$B$5="All",ISNUMBER(SEARCH(Query!$B$5,'Compliance Database'!$H1310))),OR(Query!$B$6="All",ISNUMBER(SEARCH(Query!$B$6,'Compliance Database'!$I1310))),OR(Query!$B$7="All",'Compliance Database'!$F1310=Query!$B$7),OR(Query!$B$8="All",'Compliance Database'!$J1310=Query!$B$8),OR(Query!$B$9="",ISNUMBER(SEARCH(Query!$B$9,'Compliance Database'!$D1310&amp;" "&amp;'Compliance Database'!$K1310&amp;" "&amp;'Compliance Database'!$L1310&amp;" "&amp;'Compliance Database'!$M1310&amp;" "&amp;'Compliance Database'!$N1310)))),1,0)</f>
        <v/>
      </c>
      <c r="B1310">
        <f>IF($A1310=1,SUM($A$2:$A1310),"")</f>
        <v/>
      </c>
      <c r="C1310">
        <f>IF($A1310=1,SUM($A$2:$A1310),0)</f>
        <v/>
      </c>
    </row>
    <row r="1311">
      <c r="A1311">
        <f>IF(AND(OR(Query!$B$4="All",'Compliance Database'!$A1311=Query!$B$4),OR(Query!$B$5="All",ISNUMBER(SEARCH(Query!$B$5,'Compliance Database'!$H1311))),OR(Query!$B$6="All",ISNUMBER(SEARCH(Query!$B$6,'Compliance Database'!$I1311))),OR(Query!$B$7="All",'Compliance Database'!$F1311=Query!$B$7),OR(Query!$B$8="All",'Compliance Database'!$J1311=Query!$B$8),OR(Query!$B$9="",ISNUMBER(SEARCH(Query!$B$9,'Compliance Database'!$D1311&amp;" "&amp;'Compliance Database'!$K1311&amp;" "&amp;'Compliance Database'!$L1311&amp;" "&amp;'Compliance Database'!$M1311&amp;" "&amp;'Compliance Database'!$N1311)))),1,0)</f>
        <v/>
      </c>
      <c r="B1311">
        <f>IF($A1311=1,SUM($A$2:$A1311),"")</f>
        <v/>
      </c>
      <c r="C1311">
        <f>IF($A1311=1,SUM($A$2:$A1311),0)</f>
        <v/>
      </c>
    </row>
    <row r="1312">
      <c r="A1312">
        <f>IF(AND(OR(Query!$B$4="All",'Compliance Database'!$A1312=Query!$B$4),OR(Query!$B$5="All",ISNUMBER(SEARCH(Query!$B$5,'Compliance Database'!$H1312))),OR(Query!$B$6="All",ISNUMBER(SEARCH(Query!$B$6,'Compliance Database'!$I1312))),OR(Query!$B$7="All",'Compliance Database'!$F1312=Query!$B$7),OR(Query!$B$8="All",'Compliance Database'!$J1312=Query!$B$8),OR(Query!$B$9="",ISNUMBER(SEARCH(Query!$B$9,'Compliance Database'!$D1312&amp;" "&amp;'Compliance Database'!$K1312&amp;" "&amp;'Compliance Database'!$L1312&amp;" "&amp;'Compliance Database'!$M1312&amp;" "&amp;'Compliance Database'!$N1312)))),1,0)</f>
        <v/>
      </c>
      <c r="B1312">
        <f>IF($A1312=1,SUM($A$2:$A1312),"")</f>
        <v/>
      </c>
      <c r="C1312">
        <f>IF($A1312=1,SUM($A$2:$A1312),0)</f>
        <v/>
      </c>
    </row>
    <row r="1313">
      <c r="A1313">
        <f>IF(AND(OR(Query!$B$4="All",'Compliance Database'!$A1313=Query!$B$4),OR(Query!$B$5="All",ISNUMBER(SEARCH(Query!$B$5,'Compliance Database'!$H1313))),OR(Query!$B$6="All",ISNUMBER(SEARCH(Query!$B$6,'Compliance Database'!$I1313))),OR(Query!$B$7="All",'Compliance Database'!$F1313=Query!$B$7),OR(Query!$B$8="All",'Compliance Database'!$J1313=Query!$B$8),OR(Query!$B$9="",ISNUMBER(SEARCH(Query!$B$9,'Compliance Database'!$D1313&amp;" "&amp;'Compliance Database'!$K1313&amp;" "&amp;'Compliance Database'!$L1313&amp;" "&amp;'Compliance Database'!$M1313&amp;" "&amp;'Compliance Database'!$N1313)))),1,0)</f>
        <v/>
      </c>
      <c r="B1313">
        <f>IF($A1313=1,SUM($A$2:$A1313),"")</f>
        <v/>
      </c>
      <c r="C1313">
        <f>IF($A1313=1,SUM($A$2:$A1313),0)</f>
        <v/>
      </c>
    </row>
    <row r="1314">
      <c r="A1314">
        <f>IF(AND(OR(Query!$B$4="All",'Compliance Database'!$A1314=Query!$B$4),OR(Query!$B$5="All",ISNUMBER(SEARCH(Query!$B$5,'Compliance Database'!$H1314))),OR(Query!$B$6="All",ISNUMBER(SEARCH(Query!$B$6,'Compliance Database'!$I1314))),OR(Query!$B$7="All",'Compliance Database'!$F1314=Query!$B$7),OR(Query!$B$8="All",'Compliance Database'!$J1314=Query!$B$8),OR(Query!$B$9="",ISNUMBER(SEARCH(Query!$B$9,'Compliance Database'!$D1314&amp;" "&amp;'Compliance Database'!$K1314&amp;" "&amp;'Compliance Database'!$L1314&amp;" "&amp;'Compliance Database'!$M1314&amp;" "&amp;'Compliance Database'!$N1314)))),1,0)</f>
        <v/>
      </c>
      <c r="B1314">
        <f>IF($A1314=1,SUM($A$2:$A1314),"")</f>
        <v/>
      </c>
      <c r="C1314">
        <f>IF($A1314=1,SUM($A$2:$A1314),0)</f>
        <v/>
      </c>
    </row>
    <row r="1315">
      <c r="A1315">
        <f>IF(AND(OR(Query!$B$4="All",'Compliance Database'!$A1315=Query!$B$4),OR(Query!$B$5="All",ISNUMBER(SEARCH(Query!$B$5,'Compliance Database'!$H1315))),OR(Query!$B$6="All",ISNUMBER(SEARCH(Query!$B$6,'Compliance Database'!$I1315))),OR(Query!$B$7="All",'Compliance Database'!$F1315=Query!$B$7),OR(Query!$B$8="All",'Compliance Database'!$J1315=Query!$B$8),OR(Query!$B$9="",ISNUMBER(SEARCH(Query!$B$9,'Compliance Database'!$D1315&amp;" "&amp;'Compliance Database'!$K1315&amp;" "&amp;'Compliance Database'!$L1315&amp;" "&amp;'Compliance Database'!$M1315&amp;" "&amp;'Compliance Database'!$N1315)))),1,0)</f>
        <v/>
      </c>
      <c r="B1315">
        <f>IF($A1315=1,SUM($A$2:$A1315),"")</f>
        <v/>
      </c>
      <c r="C1315">
        <f>IF($A1315=1,SUM($A$2:$A1315),0)</f>
        <v/>
      </c>
    </row>
    <row r="1316">
      <c r="A1316">
        <f>IF(AND(OR(Query!$B$4="All",'Compliance Database'!$A1316=Query!$B$4),OR(Query!$B$5="All",ISNUMBER(SEARCH(Query!$B$5,'Compliance Database'!$H1316))),OR(Query!$B$6="All",ISNUMBER(SEARCH(Query!$B$6,'Compliance Database'!$I1316))),OR(Query!$B$7="All",'Compliance Database'!$F1316=Query!$B$7),OR(Query!$B$8="All",'Compliance Database'!$J1316=Query!$B$8),OR(Query!$B$9="",ISNUMBER(SEARCH(Query!$B$9,'Compliance Database'!$D1316&amp;" "&amp;'Compliance Database'!$K1316&amp;" "&amp;'Compliance Database'!$L1316&amp;" "&amp;'Compliance Database'!$M1316&amp;" "&amp;'Compliance Database'!$N1316)))),1,0)</f>
        <v/>
      </c>
      <c r="B1316">
        <f>IF($A1316=1,SUM($A$2:$A1316),"")</f>
        <v/>
      </c>
      <c r="C1316">
        <f>IF($A1316=1,SUM($A$2:$A1316),0)</f>
        <v/>
      </c>
    </row>
    <row r="1317">
      <c r="A1317">
        <f>IF(AND(OR(Query!$B$4="All",'Compliance Database'!$A1317=Query!$B$4),OR(Query!$B$5="All",ISNUMBER(SEARCH(Query!$B$5,'Compliance Database'!$H1317))),OR(Query!$B$6="All",ISNUMBER(SEARCH(Query!$B$6,'Compliance Database'!$I1317))),OR(Query!$B$7="All",'Compliance Database'!$F1317=Query!$B$7),OR(Query!$B$8="All",'Compliance Database'!$J1317=Query!$B$8),OR(Query!$B$9="",ISNUMBER(SEARCH(Query!$B$9,'Compliance Database'!$D1317&amp;" "&amp;'Compliance Database'!$K1317&amp;" "&amp;'Compliance Database'!$L1317&amp;" "&amp;'Compliance Database'!$M1317&amp;" "&amp;'Compliance Database'!$N1317)))),1,0)</f>
        <v/>
      </c>
      <c r="B1317">
        <f>IF($A1317=1,SUM($A$2:$A1317),"")</f>
        <v/>
      </c>
      <c r="C1317">
        <f>IF($A1317=1,SUM($A$2:$A1317),0)</f>
        <v/>
      </c>
    </row>
    <row r="1318">
      <c r="A1318">
        <f>IF(AND(OR(Query!$B$4="All",'Compliance Database'!$A1318=Query!$B$4),OR(Query!$B$5="All",ISNUMBER(SEARCH(Query!$B$5,'Compliance Database'!$H1318))),OR(Query!$B$6="All",ISNUMBER(SEARCH(Query!$B$6,'Compliance Database'!$I1318))),OR(Query!$B$7="All",'Compliance Database'!$F1318=Query!$B$7),OR(Query!$B$8="All",'Compliance Database'!$J1318=Query!$B$8),OR(Query!$B$9="",ISNUMBER(SEARCH(Query!$B$9,'Compliance Database'!$D1318&amp;" "&amp;'Compliance Database'!$K1318&amp;" "&amp;'Compliance Database'!$L1318&amp;" "&amp;'Compliance Database'!$M1318&amp;" "&amp;'Compliance Database'!$N1318)))),1,0)</f>
        <v/>
      </c>
      <c r="B1318">
        <f>IF($A1318=1,SUM($A$2:$A1318),"")</f>
        <v/>
      </c>
      <c r="C1318">
        <f>IF($A1318=1,SUM($A$2:$A1318),0)</f>
        <v/>
      </c>
    </row>
    <row r="1319">
      <c r="A1319">
        <f>IF(AND(OR(Query!$B$4="All",'Compliance Database'!$A1319=Query!$B$4),OR(Query!$B$5="All",ISNUMBER(SEARCH(Query!$B$5,'Compliance Database'!$H1319))),OR(Query!$B$6="All",ISNUMBER(SEARCH(Query!$B$6,'Compliance Database'!$I1319))),OR(Query!$B$7="All",'Compliance Database'!$F1319=Query!$B$7),OR(Query!$B$8="All",'Compliance Database'!$J1319=Query!$B$8),OR(Query!$B$9="",ISNUMBER(SEARCH(Query!$B$9,'Compliance Database'!$D1319&amp;" "&amp;'Compliance Database'!$K1319&amp;" "&amp;'Compliance Database'!$L1319&amp;" "&amp;'Compliance Database'!$M1319&amp;" "&amp;'Compliance Database'!$N1319)))),1,0)</f>
        <v/>
      </c>
      <c r="B1319">
        <f>IF($A1319=1,SUM($A$2:$A1319),"")</f>
        <v/>
      </c>
      <c r="C1319">
        <f>IF($A1319=1,SUM($A$2:$A1319),0)</f>
        <v/>
      </c>
    </row>
    <row r="1320">
      <c r="A1320">
        <f>IF(AND(OR(Query!$B$4="All",'Compliance Database'!$A1320=Query!$B$4),OR(Query!$B$5="All",ISNUMBER(SEARCH(Query!$B$5,'Compliance Database'!$H1320))),OR(Query!$B$6="All",ISNUMBER(SEARCH(Query!$B$6,'Compliance Database'!$I1320))),OR(Query!$B$7="All",'Compliance Database'!$F1320=Query!$B$7),OR(Query!$B$8="All",'Compliance Database'!$J1320=Query!$B$8),OR(Query!$B$9="",ISNUMBER(SEARCH(Query!$B$9,'Compliance Database'!$D1320&amp;" "&amp;'Compliance Database'!$K1320&amp;" "&amp;'Compliance Database'!$L1320&amp;" "&amp;'Compliance Database'!$M1320&amp;" "&amp;'Compliance Database'!$N1320)))),1,0)</f>
        <v/>
      </c>
      <c r="B1320">
        <f>IF($A1320=1,SUM($A$2:$A1320),"")</f>
        <v/>
      </c>
      <c r="C1320">
        <f>IF($A1320=1,SUM($A$2:$A1320),0)</f>
        <v/>
      </c>
    </row>
    <row r="1321">
      <c r="A1321">
        <f>IF(AND(OR(Query!$B$4="All",'Compliance Database'!$A1321=Query!$B$4),OR(Query!$B$5="All",ISNUMBER(SEARCH(Query!$B$5,'Compliance Database'!$H1321))),OR(Query!$B$6="All",ISNUMBER(SEARCH(Query!$B$6,'Compliance Database'!$I1321))),OR(Query!$B$7="All",'Compliance Database'!$F1321=Query!$B$7),OR(Query!$B$8="All",'Compliance Database'!$J1321=Query!$B$8),OR(Query!$B$9="",ISNUMBER(SEARCH(Query!$B$9,'Compliance Database'!$D1321&amp;" "&amp;'Compliance Database'!$K1321&amp;" "&amp;'Compliance Database'!$L1321&amp;" "&amp;'Compliance Database'!$M1321&amp;" "&amp;'Compliance Database'!$N1321)))),1,0)</f>
        <v/>
      </c>
      <c r="B1321">
        <f>IF($A1321=1,SUM($A$2:$A1321),"")</f>
        <v/>
      </c>
      <c r="C1321">
        <f>IF($A1321=1,SUM($A$2:$A1321),0)</f>
        <v/>
      </c>
    </row>
    <row r="1322">
      <c r="A1322">
        <f>IF(AND(OR(Query!$B$4="All",'Compliance Database'!$A1322=Query!$B$4),OR(Query!$B$5="All",ISNUMBER(SEARCH(Query!$B$5,'Compliance Database'!$H1322))),OR(Query!$B$6="All",ISNUMBER(SEARCH(Query!$B$6,'Compliance Database'!$I1322))),OR(Query!$B$7="All",'Compliance Database'!$F1322=Query!$B$7),OR(Query!$B$8="All",'Compliance Database'!$J1322=Query!$B$8),OR(Query!$B$9="",ISNUMBER(SEARCH(Query!$B$9,'Compliance Database'!$D1322&amp;" "&amp;'Compliance Database'!$K1322&amp;" "&amp;'Compliance Database'!$L1322&amp;" "&amp;'Compliance Database'!$M1322&amp;" "&amp;'Compliance Database'!$N1322)))),1,0)</f>
        <v/>
      </c>
      <c r="B1322">
        <f>IF($A1322=1,SUM($A$2:$A1322),"")</f>
        <v/>
      </c>
      <c r="C1322">
        <f>IF($A1322=1,SUM($A$2:$A1322),0)</f>
        <v/>
      </c>
    </row>
    <row r="1323">
      <c r="A1323">
        <f>IF(AND(OR(Query!$B$4="All",'Compliance Database'!$A1323=Query!$B$4),OR(Query!$B$5="All",ISNUMBER(SEARCH(Query!$B$5,'Compliance Database'!$H1323))),OR(Query!$B$6="All",ISNUMBER(SEARCH(Query!$B$6,'Compliance Database'!$I1323))),OR(Query!$B$7="All",'Compliance Database'!$F1323=Query!$B$7),OR(Query!$B$8="All",'Compliance Database'!$J1323=Query!$B$8),OR(Query!$B$9="",ISNUMBER(SEARCH(Query!$B$9,'Compliance Database'!$D1323&amp;" "&amp;'Compliance Database'!$K1323&amp;" "&amp;'Compliance Database'!$L1323&amp;" "&amp;'Compliance Database'!$M1323&amp;" "&amp;'Compliance Database'!$N1323)))),1,0)</f>
        <v/>
      </c>
      <c r="B1323">
        <f>IF($A1323=1,SUM($A$2:$A1323),"")</f>
        <v/>
      </c>
      <c r="C1323">
        <f>IF($A1323=1,SUM($A$2:$A1323),0)</f>
        <v/>
      </c>
    </row>
    <row r="1324">
      <c r="A1324">
        <f>IF(AND(OR(Query!$B$4="All",'Compliance Database'!$A1324=Query!$B$4),OR(Query!$B$5="All",ISNUMBER(SEARCH(Query!$B$5,'Compliance Database'!$H1324))),OR(Query!$B$6="All",ISNUMBER(SEARCH(Query!$B$6,'Compliance Database'!$I1324))),OR(Query!$B$7="All",'Compliance Database'!$F1324=Query!$B$7),OR(Query!$B$8="All",'Compliance Database'!$J1324=Query!$B$8),OR(Query!$B$9="",ISNUMBER(SEARCH(Query!$B$9,'Compliance Database'!$D1324&amp;" "&amp;'Compliance Database'!$K1324&amp;" "&amp;'Compliance Database'!$L1324&amp;" "&amp;'Compliance Database'!$M1324&amp;" "&amp;'Compliance Database'!$N1324)))),1,0)</f>
        <v/>
      </c>
      <c r="B1324">
        <f>IF($A1324=1,SUM($A$2:$A1324),"")</f>
        <v/>
      </c>
      <c r="C1324">
        <f>IF($A1324=1,SUM($A$2:$A1324),0)</f>
        <v/>
      </c>
    </row>
    <row r="1325">
      <c r="A1325">
        <f>IF(AND(OR(Query!$B$4="All",'Compliance Database'!$A1325=Query!$B$4),OR(Query!$B$5="All",ISNUMBER(SEARCH(Query!$B$5,'Compliance Database'!$H1325))),OR(Query!$B$6="All",ISNUMBER(SEARCH(Query!$B$6,'Compliance Database'!$I1325))),OR(Query!$B$7="All",'Compliance Database'!$F1325=Query!$B$7),OR(Query!$B$8="All",'Compliance Database'!$J1325=Query!$B$8),OR(Query!$B$9="",ISNUMBER(SEARCH(Query!$B$9,'Compliance Database'!$D1325&amp;" "&amp;'Compliance Database'!$K1325&amp;" "&amp;'Compliance Database'!$L1325&amp;" "&amp;'Compliance Database'!$M1325&amp;" "&amp;'Compliance Database'!$N1325)))),1,0)</f>
        <v/>
      </c>
      <c r="B1325">
        <f>IF($A1325=1,SUM($A$2:$A1325),"")</f>
        <v/>
      </c>
      <c r="C1325">
        <f>IF($A1325=1,SUM($A$2:$A1325),0)</f>
        <v/>
      </c>
    </row>
    <row r="1326">
      <c r="A1326">
        <f>IF(AND(OR(Query!$B$4="All",'Compliance Database'!$A1326=Query!$B$4),OR(Query!$B$5="All",ISNUMBER(SEARCH(Query!$B$5,'Compliance Database'!$H1326))),OR(Query!$B$6="All",ISNUMBER(SEARCH(Query!$B$6,'Compliance Database'!$I1326))),OR(Query!$B$7="All",'Compliance Database'!$F1326=Query!$B$7),OR(Query!$B$8="All",'Compliance Database'!$J1326=Query!$B$8),OR(Query!$B$9="",ISNUMBER(SEARCH(Query!$B$9,'Compliance Database'!$D1326&amp;" "&amp;'Compliance Database'!$K1326&amp;" "&amp;'Compliance Database'!$L1326&amp;" "&amp;'Compliance Database'!$M1326&amp;" "&amp;'Compliance Database'!$N1326)))),1,0)</f>
        <v/>
      </c>
      <c r="B1326">
        <f>IF($A1326=1,SUM($A$2:$A1326),"")</f>
        <v/>
      </c>
      <c r="C1326">
        <f>IF($A1326=1,SUM($A$2:$A1326),0)</f>
        <v/>
      </c>
    </row>
    <row r="1327">
      <c r="A1327">
        <f>IF(AND(OR(Query!$B$4="All",'Compliance Database'!$A1327=Query!$B$4),OR(Query!$B$5="All",ISNUMBER(SEARCH(Query!$B$5,'Compliance Database'!$H1327))),OR(Query!$B$6="All",ISNUMBER(SEARCH(Query!$B$6,'Compliance Database'!$I1327))),OR(Query!$B$7="All",'Compliance Database'!$F1327=Query!$B$7),OR(Query!$B$8="All",'Compliance Database'!$J1327=Query!$B$8),OR(Query!$B$9="",ISNUMBER(SEARCH(Query!$B$9,'Compliance Database'!$D1327&amp;" "&amp;'Compliance Database'!$K1327&amp;" "&amp;'Compliance Database'!$L1327&amp;" "&amp;'Compliance Database'!$M1327&amp;" "&amp;'Compliance Database'!$N1327)))),1,0)</f>
        <v/>
      </c>
      <c r="B1327">
        <f>IF($A1327=1,SUM($A$2:$A1327),"")</f>
        <v/>
      </c>
      <c r="C1327">
        <f>IF($A1327=1,SUM($A$2:$A1327),0)</f>
        <v/>
      </c>
    </row>
    <row r="1328">
      <c r="A1328">
        <f>IF(AND(OR(Query!$B$4="All",'Compliance Database'!$A1328=Query!$B$4),OR(Query!$B$5="All",ISNUMBER(SEARCH(Query!$B$5,'Compliance Database'!$H1328))),OR(Query!$B$6="All",ISNUMBER(SEARCH(Query!$B$6,'Compliance Database'!$I1328))),OR(Query!$B$7="All",'Compliance Database'!$F1328=Query!$B$7),OR(Query!$B$8="All",'Compliance Database'!$J1328=Query!$B$8),OR(Query!$B$9="",ISNUMBER(SEARCH(Query!$B$9,'Compliance Database'!$D1328&amp;" "&amp;'Compliance Database'!$K1328&amp;" "&amp;'Compliance Database'!$L1328&amp;" "&amp;'Compliance Database'!$M1328&amp;" "&amp;'Compliance Database'!$N1328)))),1,0)</f>
        <v/>
      </c>
      <c r="B1328">
        <f>IF($A1328=1,SUM($A$2:$A1328),"")</f>
        <v/>
      </c>
      <c r="C1328">
        <f>IF($A1328=1,SUM($A$2:$A1328),0)</f>
        <v/>
      </c>
    </row>
    <row r="1329">
      <c r="A1329">
        <f>IF(AND(OR(Query!$B$4="All",'Compliance Database'!$A1329=Query!$B$4),OR(Query!$B$5="All",ISNUMBER(SEARCH(Query!$B$5,'Compliance Database'!$H1329))),OR(Query!$B$6="All",ISNUMBER(SEARCH(Query!$B$6,'Compliance Database'!$I1329))),OR(Query!$B$7="All",'Compliance Database'!$F1329=Query!$B$7),OR(Query!$B$8="All",'Compliance Database'!$J1329=Query!$B$8),OR(Query!$B$9="",ISNUMBER(SEARCH(Query!$B$9,'Compliance Database'!$D1329&amp;" "&amp;'Compliance Database'!$K1329&amp;" "&amp;'Compliance Database'!$L1329&amp;" "&amp;'Compliance Database'!$M1329&amp;" "&amp;'Compliance Database'!$N1329)))),1,0)</f>
        <v/>
      </c>
      <c r="B1329">
        <f>IF($A1329=1,SUM($A$2:$A1329),"")</f>
        <v/>
      </c>
      <c r="C1329">
        <f>IF($A1329=1,SUM($A$2:$A1329),0)</f>
        <v/>
      </c>
    </row>
    <row r="1330">
      <c r="A1330">
        <f>IF(AND(OR(Query!$B$4="All",'Compliance Database'!$A1330=Query!$B$4),OR(Query!$B$5="All",ISNUMBER(SEARCH(Query!$B$5,'Compliance Database'!$H1330))),OR(Query!$B$6="All",ISNUMBER(SEARCH(Query!$B$6,'Compliance Database'!$I1330))),OR(Query!$B$7="All",'Compliance Database'!$F1330=Query!$B$7),OR(Query!$B$8="All",'Compliance Database'!$J1330=Query!$B$8),OR(Query!$B$9="",ISNUMBER(SEARCH(Query!$B$9,'Compliance Database'!$D1330&amp;" "&amp;'Compliance Database'!$K1330&amp;" "&amp;'Compliance Database'!$L1330&amp;" "&amp;'Compliance Database'!$M1330&amp;" "&amp;'Compliance Database'!$N1330)))),1,0)</f>
        <v/>
      </c>
      <c r="B1330">
        <f>IF($A1330=1,SUM($A$2:$A1330),"")</f>
        <v/>
      </c>
      <c r="C1330">
        <f>IF($A1330=1,SUM($A$2:$A1330),0)</f>
        <v/>
      </c>
    </row>
    <row r="1331">
      <c r="A1331">
        <f>IF(AND(OR(Query!$B$4="All",'Compliance Database'!$A1331=Query!$B$4),OR(Query!$B$5="All",ISNUMBER(SEARCH(Query!$B$5,'Compliance Database'!$H1331))),OR(Query!$B$6="All",ISNUMBER(SEARCH(Query!$B$6,'Compliance Database'!$I1331))),OR(Query!$B$7="All",'Compliance Database'!$F1331=Query!$B$7),OR(Query!$B$8="All",'Compliance Database'!$J1331=Query!$B$8),OR(Query!$B$9="",ISNUMBER(SEARCH(Query!$B$9,'Compliance Database'!$D1331&amp;" "&amp;'Compliance Database'!$K1331&amp;" "&amp;'Compliance Database'!$L1331&amp;" "&amp;'Compliance Database'!$M1331&amp;" "&amp;'Compliance Database'!$N1331)))),1,0)</f>
        <v/>
      </c>
      <c r="B1331">
        <f>IF($A1331=1,SUM($A$2:$A1331),"")</f>
        <v/>
      </c>
      <c r="C1331">
        <f>IF($A1331=1,SUM($A$2:$A1331),0)</f>
        <v/>
      </c>
    </row>
    <row r="1332">
      <c r="A1332">
        <f>IF(AND(OR(Query!$B$4="All",'Compliance Database'!$A1332=Query!$B$4),OR(Query!$B$5="All",ISNUMBER(SEARCH(Query!$B$5,'Compliance Database'!$H1332))),OR(Query!$B$6="All",ISNUMBER(SEARCH(Query!$B$6,'Compliance Database'!$I1332))),OR(Query!$B$7="All",'Compliance Database'!$F1332=Query!$B$7),OR(Query!$B$8="All",'Compliance Database'!$J1332=Query!$B$8),OR(Query!$B$9="",ISNUMBER(SEARCH(Query!$B$9,'Compliance Database'!$D1332&amp;" "&amp;'Compliance Database'!$K1332&amp;" "&amp;'Compliance Database'!$L1332&amp;" "&amp;'Compliance Database'!$M1332&amp;" "&amp;'Compliance Database'!$N1332)))),1,0)</f>
        <v/>
      </c>
      <c r="B1332">
        <f>IF($A1332=1,SUM($A$2:$A1332),"")</f>
        <v/>
      </c>
      <c r="C1332">
        <f>IF($A1332=1,SUM($A$2:$A1332),0)</f>
        <v/>
      </c>
    </row>
    <row r="1333">
      <c r="A1333">
        <f>IF(AND(OR(Query!$B$4="All",'Compliance Database'!$A1333=Query!$B$4),OR(Query!$B$5="All",ISNUMBER(SEARCH(Query!$B$5,'Compliance Database'!$H1333))),OR(Query!$B$6="All",ISNUMBER(SEARCH(Query!$B$6,'Compliance Database'!$I1333))),OR(Query!$B$7="All",'Compliance Database'!$F1333=Query!$B$7),OR(Query!$B$8="All",'Compliance Database'!$J1333=Query!$B$8),OR(Query!$B$9="",ISNUMBER(SEARCH(Query!$B$9,'Compliance Database'!$D1333&amp;" "&amp;'Compliance Database'!$K1333&amp;" "&amp;'Compliance Database'!$L1333&amp;" "&amp;'Compliance Database'!$M1333&amp;" "&amp;'Compliance Database'!$N1333)))),1,0)</f>
        <v/>
      </c>
      <c r="B1333">
        <f>IF($A1333=1,SUM($A$2:$A1333),"")</f>
        <v/>
      </c>
      <c r="C1333">
        <f>IF($A1333=1,SUM($A$2:$A1333),0)</f>
        <v/>
      </c>
    </row>
    <row r="1334">
      <c r="A1334">
        <f>IF(AND(OR(Query!$B$4="All",'Compliance Database'!$A1334=Query!$B$4),OR(Query!$B$5="All",ISNUMBER(SEARCH(Query!$B$5,'Compliance Database'!$H1334))),OR(Query!$B$6="All",ISNUMBER(SEARCH(Query!$B$6,'Compliance Database'!$I1334))),OR(Query!$B$7="All",'Compliance Database'!$F1334=Query!$B$7),OR(Query!$B$8="All",'Compliance Database'!$J1334=Query!$B$8),OR(Query!$B$9="",ISNUMBER(SEARCH(Query!$B$9,'Compliance Database'!$D1334&amp;" "&amp;'Compliance Database'!$K1334&amp;" "&amp;'Compliance Database'!$L1334&amp;" "&amp;'Compliance Database'!$M1334&amp;" "&amp;'Compliance Database'!$N1334)))),1,0)</f>
        <v/>
      </c>
      <c r="B1334">
        <f>IF($A1334=1,SUM($A$2:$A1334),"")</f>
        <v/>
      </c>
      <c r="C1334">
        <f>IF($A1334=1,SUM($A$2:$A1334),0)</f>
        <v/>
      </c>
    </row>
    <row r="1335">
      <c r="A1335">
        <f>IF(AND(OR(Query!$B$4="All",'Compliance Database'!$A1335=Query!$B$4),OR(Query!$B$5="All",ISNUMBER(SEARCH(Query!$B$5,'Compliance Database'!$H1335))),OR(Query!$B$6="All",ISNUMBER(SEARCH(Query!$B$6,'Compliance Database'!$I1335))),OR(Query!$B$7="All",'Compliance Database'!$F1335=Query!$B$7),OR(Query!$B$8="All",'Compliance Database'!$J1335=Query!$B$8),OR(Query!$B$9="",ISNUMBER(SEARCH(Query!$B$9,'Compliance Database'!$D1335&amp;" "&amp;'Compliance Database'!$K1335&amp;" "&amp;'Compliance Database'!$L1335&amp;" "&amp;'Compliance Database'!$M1335&amp;" "&amp;'Compliance Database'!$N1335)))),1,0)</f>
        <v/>
      </c>
      <c r="B1335">
        <f>IF($A1335=1,SUM($A$2:$A1335),"")</f>
        <v/>
      </c>
      <c r="C1335">
        <f>IF($A1335=1,SUM($A$2:$A1335),0)</f>
        <v/>
      </c>
    </row>
    <row r="1336">
      <c r="A1336">
        <f>IF(AND(OR(Query!$B$4="All",'Compliance Database'!$A1336=Query!$B$4),OR(Query!$B$5="All",ISNUMBER(SEARCH(Query!$B$5,'Compliance Database'!$H1336))),OR(Query!$B$6="All",ISNUMBER(SEARCH(Query!$B$6,'Compliance Database'!$I1336))),OR(Query!$B$7="All",'Compliance Database'!$F1336=Query!$B$7),OR(Query!$B$8="All",'Compliance Database'!$J1336=Query!$B$8),OR(Query!$B$9="",ISNUMBER(SEARCH(Query!$B$9,'Compliance Database'!$D1336&amp;" "&amp;'Compliance Database'!$K1336&amp;" "&amp;'Compliance Database'!$L1336&amp;" "&amp;'Compliance Database'!$M1336&amp;" "&amp;'Compliance Database'!$N1336)))),1,0)</f>
        <v/>
      </c>
      <c r="B1336">
        <f>IF($A1336=1,SUM($A$2:$A1336),"")</f>
        <v/>
      </c>
      <c r="C1336">
        <f>IF($A1336=1,SUM($A$2:$A1336),0)</f>
        <v/>
      </c>
    </row>
    <row r="1337">
      <c r="A1337">
        <f>IF(AND(OR(Query!$B$4="All",'Compliance Database'!$A1337=Query!$B$4),OR(Query!$B$5="All",ISNUMBER(SEARCH(Query!$B$5,'Compliance Database'!$H1337))),OR(Query!$B$6="All",ISNUMBER(SEARCH(Query!$B$6,'Compliance Database'!$I1337))),OR(Query!$B$7="All",'Compliance Database'!$F1337=Query!$B$7),OR(Query!$B$8="All",'Compliance Database'!$J1337=Query!$B$8),OR(Query!$B$9="",ISNUMBER(SEARCH(Query!$B$9,'Compliance Database'!$D1337&amp;" "&amp;'Compliance Database'!$K1337&amp;" "&amp;'Compliance Database'!$L1337&amp;" "&amp;'Compliance Database'!$M1337&amp;" "&amp;'Compliance Database'!$N1337)))),1,0)</f>
        <v/>
      </c>
      <c r="B1337">
        <f>IF($A1337=1,SUM($A$2:$A1337),"")</f>
        <v/>
      </c>
      <c r="C1337">
        <f>IF($A1337=1,SUM($A$2:$A1337),0)</f>
        <v/>
      </c>
    </row>
    <row r="1338">
      <c r="A1338">
        <f>IF(AND(OR(Query!$B$4="All",'Compliance Database'!$A1338=Query!$B$4),OR(Query!$B$5="All",ISNUMBER(SEARCH(Query!$B$5,'Compliance Database'!$H1338))),OR(Query!$B$6="All",ISNUMBER(SEARCH(Query!$B$6,'Compliance Database'!$I1338))),OR(Query!$B$7="All",'Compliance Database'!$F1338=Query!$B$7),OR(Query!$B$8="All",'Compliance Database'!$J1338=Query!$B$8),OR(Query!$B$9="",ISNUMBER(SEARCH(Query!$B$9,'Compliance Database'!$D1338&amp;" "&amp;'Compliance Database'!$K1338&amp;" "&amp;'Compliance Database'!$L1338&amp;" "&amp;'Compliance Database'!$M1338&amp;" "&amp;'Compliance Database'!$N1338)))),1,0)</f>
        <v/>
      </c>
      <c r="B1338">
        <f>IF($A1338=1,SUM($A$2:$A1338),"")</f>
        <v/>
      </c>
      <c r="C1338">
        <f>IF($A1338=1,SUM($A$2:$A1338),0)</f>
        <v/>
      </c>
    </row>
    <row r="1339">
      <c r="A1339">
        <f>IF(AND(OR(Query!$B$4="All",'Compliance Database'!$A1339=Query!$B$4),OR(Query!$B$5="All",ISNUMBER(SEARCH(Query!$B$5,'Compliance Database'!$H1339))),OR(Query!$B$6="All",ISNUMBER(SEARCH(Query!$B$6,'Compliance Database'!$I1339))),OR(Query!$B$7="All",'Compliance Database'!$F1339=Query!$B$7),OR(Query!$B$8="All",'Compliance Database'!$J1339=Query!$B$8),OR(Query!$B$9="",ISNUMBER(SEARCH(Query!$B$9,'Compliance Database'!$D1339&amp;" "&amp;'Compliance Database'!$K1339&amp;" "&amp;'Compliance Database'!$L1339&amp;" "&amp;'Compliance Database'!$M1339&amp;" "&amp;'Compliance Database'!$N1339)))),1,0)</f>
        <v/>
      </c>
      <c r="B1339">
        <f>IF($A1339=1,SUM($A$2:$A1339),"")</f>
        <v/>
      </c>
      <c r="C1339">
        <f>IF($A1339=1,SUM($A$2:$A1339),0)</f>
        <v/>
      </c>
    </row>
    <row r="1340">
      <c r="A1340">
        <f>IF(AND(OR(Query!$B$4="All",'Compliance Database'!$A1340=Query!$B$4),OR(Query!$B$5="All",ISNUMBER(SEARCH(Query!$B$5,'Compliance Database'!$H1340))),OR(Query!$B$6="All",ISNUMBER(SEARCH(Query!$B$6,'Compliance Database'!$I1340))),OR(Query!$B$7="All",'Compliance Database'!$F1340=Query!$B$7),OR(Query!$B$8="All",'Compliance Database'!$J1340=Query!$B$8),OR(Query!$B$9="",ISNUMBER(SEARCH(Query!$B$9,'Compliance Database'!$D1340&amp;" "&amp;'Compliance Database'!$K1340&amp;" "&amp;'Compliance Database'!$L1340&amp;" "&amp;'Compliance Database'!$M1340&amp;" "&amp;'Compliance Database'!$N1340)))),1,0)</f>
        <v/>
      </c>
      <c r="B1340">
        <f>IF($A1340=1,SUM($A$2:$A1340),"")</f>
        <v/>
      </c>
      <c r="C1340">
        <f>IF($A1340=1,SUM($A$2:$A1340),0)</f>
        <v/>
      </c>
    </row>
    <row r="1341">
      <c r="A1341">
        <f>IF(AND(OR(Query!$B$4="All",'Compliance Database'!$A1341=Query!$B$4),OR(Query!$B$5="All",ISNUMBER(SEARCH(Query!$B$5,'Compliance Database'!$H1341))),OR(Query!$B$6="All",ISNUMBER(SEARCH(Query!$B$6,'Compliance Database'!$I1341))),OR(Query!$B$7="All",'Compliance Database'!$F1341=Query!$B$7),OR(Query!$B$8="All",'Compliance Database'!$J1341=Query!$B$8),OR(Query!$B$9="",ISNUMBER(SEARCH(Query!$B$9,'Compliance Database'!$D1341&amp;" "&amp;'Compliance Database'!$K1341&amp;" "&amp;'Compliance Database'!$L1341&amp;" "&amp;'Compliance Database'!$M1341&amp;" "&amp;'Compliance Database'!$N1341)))),1,0)</f>
        <v/>
      </c>
      <c r="B1341">
        <f>IF($A1341=1,SUM($A$2:$A1341),"")</f>
        <v/>
      </c>
      <c r="C1341">
        <f>IF($A1341=1,SUM($A$2:$A1341),0)</f>
        <v/>
      </c>
    </row>
    <row r="1342">
      <c r="A1342">
        <f>IF(AND(OR(Query!$B$4="All",'Compliance Database'!$A1342=Query!$B$4),OR(Query!$B$5="All",ISNUMBER(SEARCH(Query!$B$5,'Compliance Database'!$H1342))),OR(Query!$B$6="All",ISNUMBER(SEARCH(Query!$B$6,'Compliance Database'!$I1342))),OR(Query!$B$7="All",'Compliance Database'!$F1342=Query!$B$7),OR(Query!$B$8="All",'Compliance Database'!$J1342=Query!$B$8),OR(Query!$B$9="",ISNUMBER(SEARCH(Query!$B$9,'Compliance Database'!$D1342&amp;" "&amp;'Compliance Database'!$K1342&amp;" "&amp;'Compliance Database'!$L1342&amp;" "&amp;'Compliance Database'!$M1342&amp;" "&amp;'Compliance Database'!$N1342)))),1,0)</f>
        <v/>
      </c>
      <c r="B1342">
        <f>IF($A1342=1,SUM($A$2:$A1342),"")</f>
        <v/>
      </c>
      <c r="C1342">
        <f>IF($A1342=1,SUM($A$2:$A1342),0)</f>
        <v/>
      </c>
    </row>
    <row r="1343">
      <c r="A1343">
        <f>IF(AND(OR(Query!$B$4="All",'Compliance Database'!$A1343=Query!$B$4),OR(Query!$B$5="All",ISNUMBER(SEARCH(Query!$B$5,'Compliance Database'!$H1343))),OR(Query!$B$6="All",ISNUMBER(SEARCH(Query!$B$6,'Compliance Database'!$I1343))),OR(Query!$B$7="All",'Compliance Database'!$F1343=Query!$B$7),OR(Query!$B$8="All",'Compliance Database'!$J1343=Query!$B$8),OR(Query!$B$9="",ISNUMBER(SEARCH(Query!$B$9,'Compliance Database'!$D1343&amp;" "&amp;'Compliance Database'!$K1343&amp;" "&amp;'Compliance Database'!$L1343&amp;" "&amp;'Compliance Database'!$M1343&amp;" "&amp;'Compliance Database'!$N1343)))),1,0)</f>
        <v/>
      </c>
      <c r="B1343">
        <f>IF($A1343=1,SUM($A$2:$A1343),"")</f>
        <v/>
      </c>
      <c r="C1343">
        <f>IF($A1343=1,SUM($A$2:$A1343),0)</f>
        <v/>
      </c>
    </row>
    <row r="1344">
      <c r="A1344">
        <f>IF(AND(OR(Query!$B$4="All",'Compliance Database'!$A1344=Query!$B$4),OR(Query!$B$5="All",ISNUMBER(SEARCH(Query!$B$5,'Compliance Database'!$H1344))),OR(Query!$B$6="All",ISNUMBER(SEARCH(Query!$B$6,'Compliance Database'!$I1344))),OR(Query!$B$7="All",'Compliance Database'!$F1344=Query!$B$7),OR(Query!$B$8="All",'Compliance Database'!$J1344=Query!$B$8),OR(Query!$B$9="",ISNUMBER(SEARCH(Query!$B$9,'Compliance Database'!$D1344&amp;" "&amp;'Compliance Database'!$K1344&amp;" "&amp;'Compliance Database'!$L1344&amp;" "&amp;'Compliance Database'!$M1344&amp;" "&amp;'Compliance Database'!$N1344)))),1,0)</f>
        <v/>
      </c>
      <c r="B1344">
        <f>IF($A1344=1,SUM($A$2:$A1344),"")</f>
        <v/>
      </c>
      <c r="C1344">
        <f>IF($A1344=1,SUM($A$2:$A1344),0)</f>
        <v/>
      </c>
    </row>
    <row r="1345">
      <c r="A1345">
        <f>IF(AND(OR(Query!$B$4="All",'Compliance Database'!$A1345=Query!$B$4),OR(Query!$B$5="All",ISNUMBER(SEARCH(Query!$B$5,'Compliance Database'!$H1345))),OR(Query!$B$6="All",ISNUMBER(SEARCH(Query!$B$6,'Compliance Database'!$I1345))),OR(Query!$B$7="All",'Compliance Database'!$F1345=Query!$B$7),OR(Query!$B$8="All",'Compliance Database'!$J1345=Query!$B$8),OR(Query!$B$9="",ISNUMBER(SEARCH(Query!$B$9,'Compliance Database'!$D1345&amp;" "&amp;'Compliance Database'!$K1345&amp;" "&amp;'Compliance Database'!$L1345&amp;" "&amp;'Compliance Database'!$M1345&amp;" "&amp;'Compliance Database'!$N1345)))),1,0)</f>
        <v/>
      </c>
      <c r="B1345">
        <f>IF($A1345=1,SUM($A$2:$A1345),"")</f>
        <v/>
      </c>
      <c r="C1345">
        <f>IF($A1345=1,SUM($A$2:$A1345),0)</f>
        <v/>
      </c>
    </row>
    <row r="1346">
      <c r="A1346">
        <f>IF(AND(OR(Query!$B$4="All",'Compliance Database'!$A1346=Query!$B$4),OR(Query!$B$5="All",ISNUMBER(SEARCH(Query!$B$5,'Compliance Database'!$H1346))),OR(Query!$B$6="All",ISNUMBER(SEARCH(Query!$B$6,'Compliance Database'!$I1346))),OR(Query!$B$7="All",'Compliance Database'!$F1346=Query!$B$7),OR(Query!$B$8="All",'Compliance Database'!$J1346=Query!$B$8),OR(Query!$B$9="",ISNUMBER(SEARCH(Query!$B$9,'Compliance Database'!$D1346&amp;" "&amp;'Compliance Database'!$K1346&amp;" "&amp;'Compliance Database'!$L1346&amp;" "&amp;'Compliance Database'!$M1346&amp;" "&amp;'Compliance Database'!$N1346)))),1,0)</f>
        <v/>
      </c>
      <c r="B1346">
        <f>IF($A1346=1,SUM($A$2:$A1346),"")</f>
        <v/>
      </c>
      <c r="C1346">
        <f>IF($A1346=1,SUM($A$2:$A1346),0)</f>
        <v/>
      </c>
    </row>
    <row r="1347">
      <c r="A1347">
        <f>IF(AND(OR(Query!$B$4="All",'Compliance Database'!$A1347=Query!$B$4),OR(Query!$B$5="All",ISNUMBER(SEARCH(Query!$B$5,'Compliance Database'!$H1347))),OR(Query!$B$6="All",ISNUMBER(SEARCH(Query!$B$6,'Compliance Database'!$I1347))),OR(Query!$B$7="All",'Compliance Database'!$F1347=Query!$B$7),OR(Query!$B$8="All",'Compliance Database'!$J1347=Query!$B$8),OR(Query!$B$9="",ISNUMBER(SEARCH(Query!$B$9,'Compliance Database'!$D1347&amp;" "&amp;'Compliance Database'!$K1347&amp;" "&amp;'Compliance Database'!$L1347&amp;" "&amp;'Compliance Database'!$M1347&amp;" "&amp;'Compliance Database'!$N1347)))),1,0)</f>
        <v/>
      </c>
      <c r="B1347">
        <f>IF($A1347=1,SUM($A$2:$A1347),"")</f>
        <v/>
      </c>
      <c r="C1347">
        <f>IF($A1347=1,SUM($A$2:$A1347),0)</f>
        <v/>
      </c>
    </row>
    <row r="1348">
      <c r="A1348">
        <f>IF(AND(OR(Query!$B$4="All",'Compliance Database'!$A1348=Query!$B$4),OR(Query!$B$5="All",ISNUMBER(SEARCH(Query!$B$5,'Compliance Database'!$H1348))),OR(Query!$B$6="All",ISNUMBER(SEARCH(Query!$B$6,'Compliance Database'!$I1348))),OR(Query!$B$7="All",'Compliance Database'!$F1348=Query!$B$7),OR(Query!$B$8="All",'Compliance Database'!$J1348=Query!$B$8),OR(Query!$B$9="",ISNUMBER(SEARCH(Query!$B$9,'Compliance Database'!$D1348&amp;" "&amp;'Compliance Database'!$K1348&amp;" "&amp;'Compliance Database'!$L1348&amp;" "&amp;'Compliance Database'!$M1348&amp;" "&amp;'Compliance Database'!$N1348)))),1,0)</f>
        <v/>
      </c>
      <c r="B1348">
        <f>IF($A1348=1,SUM($A$2:$A1348),"")</f>
        <v/>
      </c>
      <c r="C1348">
        <f>IF($A1348=1,SUM($A$2:$A1348),0)</f>
        <v/>
      </c>
    </row>
    <row r="1349">
      <c r="A1349">
        <f>IF(AND(OR(Query!$B$4="All",'Compliance Database'!$A1349=Query!$B$4),OR(Query!$B$5="All",ISNUMBER(SEARCH(Query!$B$5,'Compliance Database'!$H1349))),OR(Query!$B$6="All",ISNUMBER(SEARCH(Query!$B$6,'Compliance Database'!$I1349))),OR(Query!$B$7="All",'Compliance Database'!$F1349=Query!$B$7),OR(Query!$B$8="All",'Compliance Database'!$J1349=Query!$B$8),OR(Query!$B$9="",ISNUMBER(SEARCH(Query!$B$9,'Compliance Database'!$D1349&amp;" "&amp;'Compliance Database'!$K1349&amp;" "&amp;'Compliance Database'!$L1349&amp;" "&amp;'Compliance Database'!$M1349&amp;" "&amp;'Compliance Database'!$N1349)))),1,0)</f>
        <v/>
      </c>
      <c r="B1349">
        <f>IF($A1349=1,SUM($A$2:$A1349),"")</f>
        <v/>
      </c>
      <c r="C1349">
        <f>IF($A1349=1,SUM($A$2:$A1349),0)</f>
        <v/>
      </c>
    </row>
    <row r="1350">
      <c r="A1350">
        <f>IF(AND(OR(Query!$B$4="All",'Compliance Database'!$A1350=Query!$B$4),OR(Query!$B$5="All",ISNUMBER(SEARCH(Query!$B$5,'Compliance Database'!$H1350))),OR(Query!$B$6="All",ISNUMBER(SEARCH(Query!$B$6,'Compliance Database'!$I1350))),OR(Query!$B$7="All",'Compliance Database'!$F1350=Query!$B$7),OR(Query!$B$8="All",'Compliance Database'!$J1350=Query!$B$8),OR(Query!$B$9="",ISNUMBER(SEARCH(Query!$B$9,'Compliance Database'!$D1350&amp;" "&amp;'Compliance Database'!$K1350&amp;" "&amp;'Compliance Database'!$L1350&amp;" "&amp;'Compliance Database'!$M1350&amp;" "&amp;'Compliance Database'!$N1350)))),1,0)</f>
        <v/>
      </c>
      <c r="B1350">
        <f>IF($A1350=1,SUM($A$2:$A1350),"")</f>
        <v/>
      </c>
      <c r="C1350">
        <f>IF($A1350=1,SUM($A$2:$A1350),0)</f>
        <v/>
      </c>
    </row>
    <row r="1351">
      <c r="A1351">
        <f>IF(AND(OR(Query!$B$4="All",'Compliance Database'!$A1351=Query!$B$4),OR(Query!$B$5="All",ISNUMBER(SEARCH(Query!$B$5,'Compliance Database'!$H1351))),OR(Query!$B$6="All",ISNUMBER(SEARCH(Query!$B$6,'Compliance Database'!$I1351))),OR(Query!$B$7="All",'Compliance Database'!$F1351=Query!$B$7),OR(Query!$B$8="All",'Compliance Database'!$J1351=Query!$B$8),OR(Query!$B$9="",ISNUMBER(SEARCH(Query!$B$9,'Compliance Database'!$D1351&amp;" "&amp;'Compliance Database'!$K1351&amp;" "&amp;'Compliance Database'!$L1351&amp;" "&amp;'Compliance Database'!$M1351&amp;" "&amp;'Compliance Database'!$N1351)))),1,0)</f>
        <v/>
      </c>
      <c r="B1351">
        <f>IF($A1351=1,SUM($A$2:$A1351),"")</f>
        <v/>
      </c>
      <c r="C1351">
        <f>IF($A1351=1,SUM($A$2:$A1351),0)</f>
        <v/>
      </c>
    </row>
    <row r="1352">
      <c r="A1352">
        <f>IF(AND(OR(Query!$B$4="All",'Compliance Database'!$A1352=Query!$B$4),OR(Query!$B$5="All",ISNUMBER(SEARCH(Query!$B$5,'Compliance Database'!$H1352))),OR(Query!$B$6="All",ISNUMBER(SEARCH(Query!$B$6,'Compliance Database'!$I1352))),OR(Query!$B$7="All",'Compliance Database'!$F1352=Query!$B$7),OR(Query!$B$8="All",'Compliance Database'!$J1352=Query!$B$8),OR(Query!$B$9="",ISNUMBER(SEARCH(Query!$B$9,'Compliance Database'!$D1352&amp;" "&amp;'Compliance Database'!$K1352&amp;" "&amp;'Compliance Database'!$L1352&amp;" "&amp;'Compliance Database'!$M1352&amp;" "&amp;'Compliance Database'!$N1352)))),1,0)</f>
        <v/>
      </c>
      <c r="B1352">
        <f>IF($A1352=1,SUM($A$2:$A1352),"")</f>
        <v/>
      </c>
      <c r="C1352">
        <f>IF($A1352=1,SUM($A$2:$A1352),0)</f>
        <v/>
      </c>
    </row>
    <row r="1353">
      <c r="A1353">
        <f>IF(AND(OR(Query!$B$4="All",'Compliance Database'!$A1353=Query!$B$4),OR(Query!$B$5="All",ISNUMBER(SEARCH(Query!$B$5,'Compliance Database'!$H1353))),OR(Query!$B$6="All",ISNUMBER(SEARCH(Query!$B$6,'Compliance Database'!$I1353))),OR(Query!$B$7="All",'Compliance Database'!$F1353=Query!$B$7),OR(Query!$B$8="All",'Compliance Database'!$J1353=Query!$B$8),OR(Query!$B$9="",ISNUMBER(SEARCH(Query!$B$9,'Compliance Database'!$D1353&amp;" "&amp;'Compliance Database'!$K1353&amp;" "&amp;'Compliance Database'!$L1353&amp;" "&amp;'Compliance Database'!$M1353&amp;" "&amp;'Compliance Database'!$N1353)))),1,0)</f>
        <v/>
      </c>
      <c r="B1353">
        <f>IF($A1353=1,SUM($A$2:$A1353),"")</f>
        <v/>
      </c>
      <c r="C1353">
        <f>IF($A1353=1,SUM($A$2:$A1353),0)</f>
        <v/>
      </c>
    </row>
    <row r="1354">
      <c r="A1354">
        <f>IF(AND(OR(Query!$B$4="All",'Compliance Database'!$A1354=Query!$B$4),OR(Query!$B$5="All",ISNUMBER(SEARCH(Query!$B$5,'Compliance Database'!$H1354))),OR(Query!$B$6="All",ISNUMBER(SEARCH(Query!$B$6,'Compliance Database'!$I1354))),OR(Query!$B$7="All",'Compliance Database'!$F1354=Query!$B$7),OR(Query!$B$8="All",'Compliance Database'!$J1354=Query!$B$8),OR(Query!$B$9="",ISNUMBER(SEARCH(Query!$B$9,'Compliance Database'!$D1354&amp;" "&amp;'Compliance Database'!$K1354&amp;" "&amp;'Compliance Database'!$L1354&amp;" "&amp;'Compliance Database'!$M1354&amp;" "&amp;'Compliance Database'!$N1354)))),1,0)</f>
        <v/>
      </c>
      <c r="B1354">
        <f>IF($A1354=1,SUM($A$2:$A1354),"")</f>
        <v/>
      </c>
      <c r="C1354">
        <f>IF($A1354=1,SUM($A$2:$A1354),0)</f>
        <v/>
      </c>
    </row>
    <row r="1355">
      <c r="A1355">
        <f>IF(AND(OR(Query!$B$4="All",'Compliance Database'!$A1355=Query!$B$4),OR(Query!$B$5="All",ISNUMBER(SEARCH(Query!$B$5,'Compliance Database'!$H1355))),OR(Query!$B$6="All",ISNUMBER(SEARCH(Query!$B$6,'Compliance Database'!$I1355))),OR(Query!$B$7="All",'Compliance Database'!$F1355=Query!$B$7),OR(Query!$B$8="All",'Compliance Database'!$J1355=Query!$B$8),OR(Query!$B$9="",ISNUMBER(SEARCH(Query!$B$9,'Compliance Database'!$D1355&amp;" "&amp;'Compliance Database'!$K1355&amp;" "&amp;'Compliance Database'!$L1355&amp;" "&amp;'Compliance Database'!$M1355&amp;" "&amp;'Compliance Database'!$N1355)))),1,0)</f>
        <v/>
      </c>
      <c r="B1355">
        <f>IF($A1355=1,SUM($A$2:$A1355),"")</f>
        <v/>
      </c>
      <c r="C1355">
        <f>IF($A1355=1,SUM($A$2:$A1355),0)</f>
        <v/>
      </c>
    </row>
    <row r="1356">
      <c r="A1356">
        <f>IF(AND(OR(Query!$B$4="All",'Compliance Database'!$A1356=Query!$B$4),OR(Query!$B$5="All",ISNUMBER(SEARCH(Query!$B$5,'Compliance Database'!$H1356))),OR(Query!$B$6="All",ISNUMBER(SEARCH(Query!$B$6,'Compliance Database'!$I1356))),OR(Query!$B$7="All",'Compliance Database'!$F1356=Query!$B$7),OR(Query!$B$8="All",'Compliance Database'!$J1356=Query!$B$8),OR(Query!$B$9="",ISNUMBER(SEARCH(Query!$B$9,'Compliance Database'!$D1356&amp;" "&amp;'Compliance Database'!$K1356&amp;" "&amp;'Compliance Database'!$L1356&amp;" "&amp;'Compliance Database'!$M1356&amp;" "&amp;'Compliance Database'!$N1356)))),1,0)</f>
        <v/>
      </c>
      <c r="B1356">
        <f>IF($A1356=1,SUM($A$2:$A1356),"")</f>
        <v/>
      </c>
      <c r="C1356">
        <f>IF($A1356=1,SUM($A$2:$A1356),0)</f>
        <v/>
      </c>
    </row>
    <row r="1357">
      <c r="A1357">
        <f>IF(AND(OR(Query!$B$4="All",'Compliance Database'!$A1357=Query!$B$4),OR(Query!$B$5="All",ISNUMBER(SEARCH(Query!$B$5,'Compliance Database'!$H1357))),OR(Query!$B$6="All",ISNUMBER(SEARCH(Query!$B$6,'Compliance Database'!$I1357))),OR(Query!$B$7="All",'Compliance Database'!$F1357=Query!$B$7),OR(Query!$B$8="All",'Compliance Database'!$J1357=Query!$B$8),OR(Query!$B$9="",ISNUMBER(SEARCH(Query!$B$9,'Compliance Database'!$D1357&amp;" "&amp;'Compliance Database'!$K1357&amp;" "&amp;'Compliance Database'!$L1357&amp;" "&amp;'Compliance Database'!$M1357&amp;" "&amp;'Compliance Database'!$N1357)))),1,0)</f>
        <v/>
      </c>
      <c r="B1357">
        <f>IF($A1357=1,SUM($A$2:$A1357),"")</f>
        <v/>
      </c>
      <c r="C1357">
        <f>IF($A1357=1,SUM($A$2:$A1357),0)</f>
        <v/>
      </c>
    </row>
    <row r="1358">
      <c r="A1358">
        <f>IF(AND(OR(Query!$B$4="All",'Compliance Database'!$A1358=Query!$B$4),OR(Query!$B$5="All",ISNUMBER(SEARCH(Query!$B$5,'Compliance Database'!$H1358))),OR(Query!$B$6="All",ISNUMBER(SEARCH(Query!$B$6,'Compliance Database'!$I1358))),OR(Query!$B$7="All",'Compliance Database'!$F1358=Query!$B$7),OR(Query!$B$8="All",'Compliance Database'!$J1358=Query!$B$8),OR(Query!$B$9="",ISNUMBER(SEARCH(Query!$B$9,'Compliance Database'!$D1358&amp;" "&amp;'Compliance Database'!$K1358&amp;" "&amp;'Compliance Database'!$L1358&amp;" "&amp;'Compliance Database'!$M1358&amp;" "&amp;'Compliance Database'!$N1358)))),1,0)</f>
        <v/>
      </c>
      <c r="B1358">
        <f>IF($A1358=1,SUM($A$2:$A1358),"")</f>
        <v/>
      </c>
      <c r="C1358">
        <f>IF($A1358=1,SUM($A$2:$A1358),0)</f>
        <v/>
      </c>
    </row>
    <row r="1359">
      <c r="A1359">
        <f>IF(AND(OR(Query!$B$4="All",'Compliance Database'!$A1359=Query!$B$4),OR(Query!$B$5="All",ISNUMBER(SEARCH(Query!$B$5,'Compliance Database'!$H1359))),OR(Query!$B$6="All",ISNUMBER(SEARCH(Query!$B$6,'Compliance Database'!$I1359))),OR(Query!$B$7="All",'Compliance Database'!$F1359=Query!$B$7),OR(Query!$B$8="All",'Compliance Database'!$J1359=Query!$B$8),OR(Query!$B$9="",ISNUMBER(SEARCH(Query!$B$9,'Compliance Database'!$D1359&amp;" "&amp;'Compliance Database'!$K1359&amp;" "&amp;'Compliance Database'!$L1359&amp;" "&amp;'Compliance Database'!$M1359&amp;" "&amp;'Compliance Database'!$N1359)))),1,0)</f>
        <v/>
      </c>
      <c r="B1359">
        <f>IF($A1359=1,SUM($A$2:$A1359),"")</f>
        <v/>
      </c>
      <c r="C1359">
        <f>IF($A1359=1,SUM($A$2:$A1359),0)</f>
        <v/>
      </c>
    </row>
    <row r="1360">
      <c r="A1360">
        <f>IF(AND(OR(Query!$B$4="All",'Compliance Database'!$A1360=Query!$B$4),OR(Query!$B$5="All",ISNUMBER(SEARCH(Query!$B$5,'Compliance Database'!$H1360))),OR(Query!$B$6="All",ISNUMBER(SEARCH(Query!$B$6,'Compliance Database'!$I1360))),OR(Query!$B$7="All",'Compliance Database'!$F1360=Query!$B$7),OR(Query!$B$8="All",'Compliance Database'!$J1360=Query!$B$8),OR(Query!$B$9="",ISNUMBER(SEARCH(Query!$B$9,'Compliance Database'!$D1360&amp;" "&amp;'Compliance Database'!$K1360&amp;" "&amp;'Compliance Database'!$L1360&amp;" "&amp;'Compliance Database'!$M1360&amp;" "&amp;'Compliance Database'!$N1360)))),1,0)</f>
        <v/>
      </c>
      <c r="B1360">
        <f>IF($A1360=1,SUM($A$2:$A1360),"")</f>
        <v/>
      </c>
      <c r="C1360">
        <f>IF($A1360=1,SUM($A$2:$A1360),0)</f>
        <v/>
      </c>
    </row>
    <row r="1361">
      <c r="A1361">
        <f>IF(AND(OR(Query!$B$4="All",'Compliance Database'!$A1361=Query!$B$4),OR(Query!$B$5="All",ISNUMBER(SEARCH(Query!$B$5,'Compliance Database'!$H1361))),OR(Query!$B$6="All",ISNUMBER(SEARCH(Query!$B$6,'Compliance Database'!$I1361))),OR(Query!$B$7="All",'Compliance Database'!$F1361=Query!$B$7),OR(Query!$B$8="All",'Compliance Database'!$J1361=Query!$B$8),OR(Query!$B$9="",ISNUMBER(SEARCH(Query!$B$9,'Compliance Database'!$D1361&amp;" "&amp;'Compliance Database'!$K1361&amp;" "&amp;'Compliance Database'!$L1361&amp;" "&amp;'Compliance Database'!$M1361&amp;" "&amp;'Compliance Database'!$N1361)))),1,0)</f>
        <v/>
      </c>
      <c r="B1361">
        <f>IF($A1361=1,SUM($A$2:$A1361),"")</f>
        <v/>
      </c>
      <c r="C1361">
        <f>IF($A1361=1,SUM($A$2:$A1361),0)</f>
        <v/>
      </c>
    </row>
    <row r="1362">
      <c r="A1362">
        <f>IF(AND(OR(Query!$B$4="All",'Compliance Database'!$A1362=Query!$B$4),OR(Query!$B$5="All",ISNUMBER(SEARCH(Query!$B$5,'Compliance Database'!$H1362))),OR(Query!$B$6="All",ISNUMBER(SEARCH(Query!$B$6,'Compliance Database'!$I1362))),OR(Query!$B$7="All",'Compliance Database'!$F1362=Query!$B$7),OR(Query!$B$8="All",'Compliance Database'!$J1362=Query!$B$8),OR(Query!$B$9="",ISNUMBER(SEARCH(Query!$B$9,'Compliance Database'!$D1362&amp;" "&amp;'Compliance Database'!$K1362&amp;" "&amp;'Compliance Database'!$L1362&amp;" "&amp;'Compliance Database'!$M1362&amp;" "&amp;'Compliance Database'!$N1362)))),1,0)</f>
        <v/>
      </c>
      <c r="B1362">
        <f>IF($A1362=1,SUM($A$2:$A1362),"")</f>
        <v/>
      </c>
      <c r="C1362">
        <f>IF($A1362=1,SUM($A$2:$A1362),0)</f>
        <v/>
      </c>
    </row>
    <row r="1363">
      <c r="A1363">
        <f>IF(AND(OR(Query!$B$4="All",'Compliance Database'!$A1363=Query!$B$4),OR(Query!$B$5="All",ISNUMBER(SEARCH(Query!$B$5,'Compliance Database'!$H1363))),OR(Query!$B$6="All",ISNUMBER(SEARCH(Query!$B$6,'Compliance Database'!$I1363))),OR(Query!$B$7="All",'Compliance Database'!$F1363=Query!$B$7),OR(Query!$B$8="All",'Compliance Database'!$J1363=Query!$B$8),OR(Query!$B$9="",ISNUMBER(SEARCH(Query!$B$9,'Compliance Database'!$D1363&amp;" "&amp;'Compliance Database'!$K1363&amp;" "&amp;'Compliance Database'!$L1363&amp;" "&amp;'Compliance Database'!$M1363&amp;" "&amp;'Compliance Database'!$N1363)))),1,0)</f>
        <v/>
      </c>
      <c r="B1363">
        <f>IF($A1363=1,SUM($A$2:$A1363),"")</f>
        <v/>
      </c>
      <c r="C1363">
        <f>IF($A1363=1,SUM($A$2:$A1363),0)</f>
        <v/>
      </c>
    </row>
    <row r="1364">
      <c r="A1364">
        <f>IF(AND(OR(Query!$B$4="All",'Compliance Database'!$A1364=Query!$B$4),OR(Query!$B$5="All",ISNUMBER(SEARCH(Query!$B$5,'Compliance Database'!$H1364))),OR(Query!$B$6="All",ISNUMBER(SEARCH(Query!$B$6,'Compliance Database'!$I1364))),OR(Query!$B$7="All",'Compliance Database'!$F1364=Query!$B$7),OR(Query!$B$8="All",'Compliance Database'!$J1364=Query!$B$8),OR(Query!$B$9="",ISNUMBER(SEARCH(Query!$B$9,'Compliance Database'!$D1364&amp;" "&amp;'Compliance Database'!$K1364&amp;" "&amp;'Compliance Database'!$L1364&amp;" "&amp;'Compliance Database'!$M1364&amp;" "&amp;'Compliance Database'!$N1364)))),1,0)</f>
        <v/>
      </c>
      <c r="B1364">
        <f>IF($A1364=1,SUM($A$2:$A1364),"")</f>
        <v/>
      </c>
      <c r="C1364">
        <f>IF($A1364=1,SUM($A$2:$A1364),0)</f>
        <v/>
      </c>
    </row>
    <row r="1365">
      <c r="A1365">
        <f>IF(AND(OR(Query!$B$4="All",'Compliance Database'!$A1365=Query!$B$4),OR(Query!$B$5="All",ISNUMBER(SEARCH(Query!$B$5,'Compliance Database'!$H1365))),OR(Query!$B$6="All",ISNUMBER(SEARCH(Query!$B$6,'Compliance Database'!$I1365))),OR(Query!$B$7="All",'Compliance Database'!$F1365=Query!$B$7),OR(Query!$B$8="All",'Compliance Database'!$J1365=Query!$B$8),OR(Query!$B$9="",ISNUMBER(SEARCH(Query!$B$9,'Compliance Database'!$D1365&amp;" "&amp;'Compliance Database'!$K1365&amp;" "&amp;'Compliance Database'!$L1365&amp;" "&amp;'Compliance Database'!$M1365&amp;" "&amp;'Compliance Database'!$N1365)))),1,0)</f>
        <v/>
      </c>
      <c r="B1365">
        <f>IF($A1365=1,SUM($A$2:$A1365),"")</f>
        <v/>
      </c>
      <c r="C1365">
        <f>IF($A1365=1,SUM($A$2:$A1365),0)</f>
        <v/>
      </c>
    </row>
    <row r="1366">
      <c r="A1366">
        <f>IF(AND(OR(Query!$B$4="All",'Compliance Database'!$A1366=Query!$B$4),OR(Query!$B$5="All",ISNUMBER(SEARCH(Query!$B$5,'Compliance Database'!$H1366))),OR(Query!$B$6="All",ISNUMBER(SEARCH(Query!$B$6,'Compliance Database'!$I1366))),OR(Query!$B$7="All",'Compliance Database'!$F1366=Query!$B$7),OR(Query!$B$8="All",'Compliance Database'!$J1366=Query!$B$8),OR(Query!$B$9="",ISNUMBER(SEARCH(Query!$B$9,'Compliance Database'!$D1366&amp;" "&amp;'Compliance Database'!$K1366&amp;" "&amp;'Compliance Database'!$L1366&amp;" "&amp;'Compliance Database'!$M1366&amp;" "&amp;'Compliance Database'!$N1366)))),1,0)</f>
        <v/>
      </c>
      <c r="B1366">
        <f>IF($A1366=1,SUM($A$2:$A1366),"")</f>
        <v/>
      </c>
      <c r="C1366">
        <f>IF($A1366=1,SUM($A$2:$A1366),0)</f>
        <v/>
      </c>
    </row>
    <row r="1367">
      <c r="A1367">
        <f>IF(AND(OR(Query!$B$4="All",'Compliance Database'!$A1367=Query!$B$4),OR(Query!$B$5="All",ISNUMBER(SEARCH(Query!$B$5,'Compliance Database'!$H1367))),OR(Query!$B$6="All",ISNUMBER(SEARCH(Query!$B$6,'Compliance Database'!$I1367))),OR(Query!$B$7="All",'Compliance Database'!$F1367=Query!$B$7),OR(Query!$B$8="All",'Compliance Database'!$J1367=Query!$B$8),OR(Query!$B$9="",ISNUMBER(SEARCH(Query!$B$9,'Compliance Database'!$D1367&amp;" "&amp;'Compliance Database'!$K1367&amp;" "&amp;'Compliance Database'!$L1367&amp;" "&amp;'Compliance Database'!$M1367&amp;" "&amp;'Compliance Database'!$N1367)))),1,0)</f>
        <v/>
      </c>
      <c r="B1367">
        <f>IF($A1367=1,SUM($A$2:$A1367),"")</f>
        <v/>
      </c>
      <c r="C1367">
        <f>IF($A1367=1,SUM($A$2:$A1367),0)</f>
        <v/>
      </c>
    </row>
    <row r="1368">
      <c r="A1368">
        <f>IF(AND(OR(Query!$B$4="All",'Compliance Database'!$A1368=Query!$B$4),OR(Query!$B$5="All",ISNUMBER(SEARCH(Query!$B$5,'Compliance Database'!$H1368))),OR(Query!$B$6="All",ISNUMBER(SEARCH(Query!$B$6,'Compliance Database'!$I1368))),OR(Query!$B$7="All",'Compliance Database'!$F1368=Query!$B$7),OR(Query!$B$8="All",'Compliance Database'!$J1368=Query!$B$8),OR(Query!$B$9="",ISNUMBER(SEARCH(Query!$B$9,'Compliance Database'!$D1368&amp;" "&amp;'Compliance Database'!$K1368&amp;" "&amp;'Compliance Database'!$L1368&amp;" "&amp;'Compliance Database'!$M1368&amp;" "&amp;'Compliance Database'!$N1368)))),1,0)</f>
        <v/>
      </c>
      <c r="B1368">
        <f>IF($A1368=1,SUM($A$2:$A1368),"")</f>
        <v/>
      </c>
      <c r="C1368">
        <f>IF($A1368=1,SUM($A$2:$A1368),0)</f>
        <v/>
      </c>
    </row>
    <row r="1369">
      <c r="A1369">
        <f>IF(AND(OR(Query!$B$4="All",'Compliance Database'!$A1369=Query!$B$4),OR(Query!$B$5="All",ISNUMBER(SEARCH(Query!$B$5,'Compliance Database'!$H1369))),OR(Query!$B$6="All",ISNUMBER(SEARCH(Query!$B$6,'Compliance Database'!$I1369))),OR(Query!$B$7="All",'Compliance Database'!$F1369=Query!$B$7),OR(Query!$B$8="All",'Compliance Database'!$J1369=Query!$B$8),OR(Query!$B$9="",ISNUMBER(SEARCH(Query!$B$9,'Compliance Database'!$D1369&amp;" "&amp;'Compliance Database'!$K1369&amp;" "&amp;'Compliance Database'!$L1369&amp;" "&amp;'Compliance Database'!$M1369&amp;" "&amp;'Compliance Database'!$N1369)))),1,0)</f>
        <v/>
      </c>
      <c r="B1369">
        <f>IF($A1369=1,SUM($A$2:$A1369),"")</f>
        <v/>
      </c>
      <c r="C1369">
        <f>IF($A1369=1,SUM($A$2:$A1369),0)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69"/>
  <sheetViews>
    <sheetView workbookViewId="0">
      <selection activeCell="A1" sqref="A1"/>
    </sheetView>
  </sheetViews>
  <sheetFormatPr baseColWidth="8" defaultRowHeight="15"/>
  <sheetData>
    <row r="1">
      <c r="A1" t="inlineStr">
        <is>
          <t>match</t>
        </is>
      </c>
      <c r="B1" t="inlineStr">
        <is>
          <t>rank</t>
        </is>
      </c>
      <c r="C1" t="inlineStr">
        <is>
          <t>rankval</t>
        </is>
      </c>
      <c r="D1">
        <f>SUM($A$2:$A$1369)</f>
        <v/>
      </c>
    </row>
    <row r="2">
      <c r="A2">
        <f>IF(AND(OR('Compliance Database'!$A2='Data Transfer'!$B$4,'Compliance Database'!$A2='Data Transfer'!$B$5),OR('Data Transfer'!$B$6="",ISNUMBER(SEARCH('Data Transfer'!$B$6,'Compliance Database'!$D2&amp;" "&amp;'Compliance Database'!$K2&amp;" "&amp;'Compliance Database'!$L2&amp;" "&amp;'Compliance Database'!$M2&amp;" "&amp;'Compliance Database'!$N2)))),1,0)</f>
        <v/>
      </c>
      <c r="B2">
        <f>IF($A2=1,SUM($A$2:$A2),"")</f>
        <v/>
      </c>
      <c r="C2">
        <f>IF($A2=1,SUM($A$2:$A2),0)</f>
        <v/>
      </c>
    </row>
    <row r="3">
      <c r="A3">
        <f>IF(AND(OR('Compliance Database'!$A3='Data Transfer'!$B$4,'Compliance Database'!$A3='Data Transfer'!$B$5),OR('Data Transfer'!$B$6="",ISNUMBER(SEARCH('Data Transfer'!$B$6,'Compliance Database'!$D3&amp;" "&amp;'Compliance Database'!$K3&amp;" "&amp;'Compliance Database'!$L3&amp;" "&amp;'Compliance Database'!$M3&amp;" "&amp;'Compliance Database'!$N3)))),1,0)</f>
        <v/>
      </c>
      <c r="B3">
        <f>IF($A3=1,SUM($A$2:$A3),"")</f>
        <v/>
      </c>
      <c r="C3">
        <f>IF($A3=1,SUM($A$2:$A3),0)</f>
        <v/>
      </c>
    </row>
    <row r="4">
      <c r="A4">
        <f>IF(AND(OR('Compliance Database'!$A4='Data Transfer'!$B$4,'Compliance Database'!$A4='Data Transfer'!$B$5),OR('Data Transfer'!$B$6="",ISNUMBER(SEARCH('Data Transfer'!$B$6,'Compliance Database'!$D4&amp;" "&amp;'Compliance Database'!$K4&amp;" "&amp;'Compliance Database'!$L4&amp;" "&amp;'Compliance Database'!$M4&amp;" "&amp;'Compliance Database'!$N4)))),1,0)</f>
        <v/>
      </c>
      <c r="B4">
        <f>IF($A4=1,SUM($A$2:$A4),"")</f>
        <v/>
      </c>
      <c r="C4">
        <f>IF($A4=1,SUM($A$2:$A4),0)</f>
        <v/>
      </c>
    </row>
    <row r="5">
      <c r="A5">
        <f>IF(AND(OR('Compliance Database'!$A5='Data Transfer'!$B$4,'Compliance Database'!$A5='Data Transfer'!$B$5),OR('Data Transfer'!$B$6="",ISNUMBER(SEARCH('Data Transfer'!$B$6,'Compliance Database'!$D5&amp;" "&amp;'Compliance Database'!$K5&amp;" "&amp;'Compliance Database'!$L5&amp;" "&amp;'Compliance Database'!$M5&amp;" "&amp;'Compliance Database'!$N5)))),1,0)</f>
        <v/>
      </c>
      <c r="B5">
        <f>IF($A5=1,SUM($A$2:$A5),"")</f>
        <v/>
      </c>
      <c r="C5">
        <f>IF($A5=1,SUM($A$2:$A5),0)</f>
        <v/>
      </c>
    </row>
    <row r="6">
      <c r="A6">
        <f>IF(AND(OR('Compliance Database'!$A6='Data Transfer'!$B$4,'Compliance Database'!$A6='Data Transfer'!$B$5),OR('Data Transfer'!$B$6="",ISNUMBER(SEARCH('Data Transfer'!$B$6,'Compliance Database'!$D6&amp;" "&amp;'Compliance Database'!$K6&amp;" "&amp;'Compliance Database'!$L6&amp;" "&amp;'Compliance Database'!$M6&amp;" "&amp;'Compliance Database'!$N6)))),1,0)</f>
        <v/>
      </c>
      <c r="B6">
        <f>IF($A6=1,SUM($A$2:$A6),"")</f>
        <v/>
      </c>
      <c r="C6">
        <f>IF($A6=1,SUM($A$2:$A6),0)</f>
        <v/>
      </c>
    </row>
    <row r="7">
      <c r="A7">
        <f>IF(AND(OR('Compliance Database'!$A7='Data Transfer'!$B$4,'Compliance Database'!$A7='Data Transfer'!$B$5),OR('Data Transfer'!$B$6="",ISNUMBER(SEARCH('Data Transfer'!$B$6,'Compliance Database'!$D7&amp;" "&amp;'Compliance Database'!$K7&amp;" "&amp;'Compliance Database'!$L7&amp;" "&amp;'Compliance Database'!$M7&amp;" "&amp;'Compliance Database'!$N7)))),1,0)</f>
        <v/>
      </c>
      <c r="B7">
        <f>IF($A7=1,SUM($A$2:$A7),"")</f>
        <v/>
      </c>
      <c r="C7">
        <f>IF($A7=1,SUM($A$2:$A7),0)</f>
        <v/>
      </c>
    </row>
    <row r="8">
      <c r="A8">
        <f>IF(AND(OR('Compliance Database'!$A8='Data Transfer'!$B$4,'Compliance Database'!$A8='Data Transfer'!$B$5),OR('Data Transfer'!$B$6="",ISNUMBER(SEARCH('Data Transfer'!$B$6,'Compliance Database'!$D8&amp;" "&amp;'Compliance Database'!$K8&amp;" "&amp;'Compliance Database'!$L8&amp;" "&amp;'Compliance Database'!$M8&amp;" "&amp;'Compliance Database'!$N8)))),1,0)</f>
        <v/>
      </c>
      <c r="B8">
        <f>IF($A8=1,SUM($A$2:$A8),"")</f>
        <v/>
      </c>
      <c r="C8">
        <f>IF($A8=1,SUM($A$2:$A8),0)</f>
        <v/>
      </c>
    </row>
    <row r="9">
      <c r="A9">
        <f>IF(AND(OR('Compliance Database'!$A9='Data Transfer'!$B$4,'Compliance Database'!$A9='Data Transfer'!$B$5),OR('Data Transfer'!$B$6="",ISNUMBER(SEARCH('Data Transfer'!$B$6,'Compliance Database'!$D9&amp;" "&amp;'Compliance Database'!$K9&amp;" "&amp;'Compliance Database'!$L9&amp;" "&amp;'Compliance Database'!$M9&amp;" "&amp;'Compliance Database'!$N9)))),1,0)</f>
        <v/>
      </c>
      <c r="B9">
        <f>IF($A9=1,SUM($A$2:$A9),"")</f>
        <v/>
      </c>
      <c r="C9">
        <f>IF($A9=1,SUM($A$2:$A9),0)</f>
        <v/>
      </c>
    </row>
    <row r="10">
      <c r="A10">
        <f>IF(AND(OR('Compliance Database'!$A10='Data Transfer'!$B$4,'Compliance Database'!$A10='Data Transfer'!$B$5),OR('Data Transfer'!$B$6="",ISNUMBER(SEARCH('Data Transfer'!$B$6,'Compliance Database'!$D10&amp;" "&amp;'Compliance Database'!$K10&amp;" "&amp;'Compliance Database'!$L10&amp;" "&amp;'Compliance Database'!$M10&amp;" "&amp;'Compliance Database'!$N10)))),1,0)</f>
        <v/>
      </c>
      <c r="B10">
        <f>IF($A10=1,SUM($A$2:$A10),"")</f>
        <v/>
      </c>
      <c r="C10">
        <f>IF($A10=1,SUM($A$2:$A10),0)</f>
        <v/>
      </c>
    </row>
    <row r="11">
      <c r="A11">
        <f>IF(AND(OR('Compliance Database'!$A11='Data Transfer'!$B$4,'Compliance Database'!$A11='Data Transfer'!$B$5),OR('Data Transfer'!$B$6="",ISNUMBER(SEARCH('Data Transfer'!$B$6,'Compliance Database'!$D11&amp;" "&amp;'Compliance Database'!$K11&amp;" "&amp;'Compliance Database'!$L11&amp;" "&amp;'Compliance Database'!$M11&amp;" "&amp;'Compliance Database'!$N11)))),1,0)</f>
        <v/>
      </c>
      <c r="B11">
        <f>IF($A11=1,SUM($A$2:$A11),"")</f>
        <v/>
      </c>
      <c r="C11">
        <f>IF($A11=1,SUM($A$2:$A11),0)</f>
        <v/>
      </c>
    </row>
    <row r="12">
      <c r="A12">
        <f>IF(AND(OR('Compliance Database'!$A12='Data Transfer'!$B$4,'Compliance Database'!$A12='Data Transfer'!$B$5),OR('Data Transfer'!$B$6="",ISNUMBER(SEARCH('Data Transfer'!$B$6,'Compliance Database'!$D12&amp;" "&amp;'Compliance Database'!$K12&amp;" "&amp;'Compliance Database'!$L12&amp;" "&amp;'Compliance Database'!$M12&amp;" "&amp;'Compliance Database'!$N12)))),1,0)</f>
        <v/>
      </c>
      <c r="B12">
        <f>IF($A12=1,SUM($A$2:$A12),"")</f>
        <v/>
      </c>
      <c r="C12">
        <f>IF($A12=1,SUM($A$2:$A12),0)</f>
        <v/>
      </c>
    </row>
    <row r="13">
      <c r="A13">
        <f>IF(AND(OR('Compliance Database'!$A13='Data Transfer'!$B$4,'Compliance Database'!$A13='Data Transfer'!$B$5),OR('Data Transfer'!$B$6="",ISNUMBER(SEARCH('Data Transfer'!$B$6,'Compliance Database'!$D13&amp;" "&amp;'Compliance Database'!$K13&amp;" "&amp;'Compliance Database'!$L13&amp;" "&amp;'Compliance Database'!$M13&amp;" "&amp;'Compliance Database'!$N13)))),1,0)</f>
        <v/>
      </c>
      <c r="B13">
        <f>IF($A13=1,SUM($A$2:$A13),"")</f>
        <v/>
      </c>
      <c r="C13">
        <f>IF($A13=1,SUM($A$2:$A13),0)</f>
        <v/>
      </c>
    </row>
    <row r="14">
      <c r="A14">
        <f>IF(AND(OR('Compliance Database'!$A14='Data Transfer'!$B$4,'Compliance Database'!$A14='Data Transfer'!$B$5),OR('Data Transfer'!$B$6="",ISNUMBER(SEARCH('Data Transfer'!$B$6,'Compliance Database'!$D14&amp;" "&amp;'Compliance Database'!$K14&amp;" "&amp;'Compliance Database'!$L14&amp;" "&amp;'Compliance Database'!$M14&amp;" "&amp;'Compliance Database'!$N14)))),1,0)</f>
        <v/>
      </c>
      <c r="B14">
        <f>IF($A14=1,SUM($A$2:$A14),"")</f>
        <v/>
      </c>
      <c r="C14">
        <f>IF($A14=1,SUM($A$2:$A14),0)</f>
        <v/>
      </c>
    </row>
    <row r="15">
      <c r="A15">
        <f>IF(AND(OR('Compliance Database'!$A15='Data Transfer'!$B$4,'Compliance Database'!$A15='Data Transfer'!$B$5),OR('Data Transfer'!$B$6="",ISNUMBER(SEARCH('Data Transfer'!$B$6,'Compliance Database'!$D15&amp;" "&amp;'Compliance Database'!$K15&amp;" "&amp;'Compliance Database'!$L15&amp;" "&amp;'Compliance Database'!$M15&amp;" "&amp;'Compliance Database'!$N15)))),1,0)</f>
        <v/>
      </c>
      <c r="B15">
        <f>IF($A15=1,SUM($A$2:$A15),"")</f>
        <v/>
      </c>
      <c r="C15">
        <f>IF($A15=1,SUM($A$2:$A15),0)</f>
        <v/>
      </c>
    </row>
    <row r="16">
      <c r="A16">
        <f>IF(AND(OR('Compliance Database'!$A16='Data Transfer'!$B$4,'Compliance Database'!$A16='Data Transfer'!$B$5),OR('Data Transfer'!$B$6="",ISNUMBER(SEARCH('Data Transfer'!$B$6,'Compliance Database'!$D16&amp;" "&amp;'Compliance Database'!$K16&amp;" "&amp;'Compliance Database'!$L16&amp;" "&amp;'Compliance Database'!$M16&amp;" "&amp;'Compliance Database'!$N16)))),1,0)</f>
        <v/>
      </c>
      <c r="B16">
        <f>IF($A16=1,SUM($A$2:$A16),"")</f>
        <v/>
      </c>
      <c r="C16">
        <f>IF($A16=1,SUM($A$2:$A16),0)</f>
        <v/>
      </c>
    </row>
    <row r="17">
      <c r="A17">
        <f>IF(AND(OR('Compliance Database'!$A17='Data Transfer'!$B$4,'Compliance Database'!$A17='Data Transfer'!$B$5),OR('Data Transfer'!$B$6="",ISNUMBER(SEARCH('Data Transfer'!$B$6,'Compliance Database'!$D17&amp;" "&amp;'Compliance Database'!$K17&amp;" "&amp;'Compliance Database'!$L17&amp;" "&amp;'Compliance Database'!$M17&amp;" "&amp;'Compliance Database'!$N17)))),1,0)</f>
        <v/>
      </c>
      <c r="B17">
        <f>IF($A17=1,SUM($A$2:$A17),"")</f>
        <v/>
      </c>
      <c r="C17">
        <f>IF($A17=1,SUM($A$2:$A17),0)</f>
        <v/>
      </c>
    </row>
    <row r="18">
      <c r="A18">
        <f>IF(AND(OR('Compliance Database'!$A18='Data Transfer'!$B$4,'Compliance Database'!$A18='Data Transfer'!$B$5),OR('Data Transfer'!$B$6="",ISNUMBER(SEARCH('Data Transfer'!$B$6,'Compliance Database'!$D18&amp;" "&amp;'Compliance Database'!$K18&amp;" "&amp;'Compliance Database'!$L18&amp;" "&amp;'Compliance Database'!$M18&amp;" "&amp;'Compliance Database'!$N18)))),1,0)</f>
        <v/>
      </c>
      <c r="B18">
        <f>IF($A18=1,SUM($A$2:$A18),"")</f>
        <v/>
      </c>
      <c r="C18">
        <f>IF($A18=1,SUM($A$2:$A18),0)</f>
        <v/>
      </c>
    </row>
    <row r="19">
      <c r="A19">
        <f>IF(AND(OR('Compliance Database'!$A19='Data Transfer'!$B$4,'Compliance Database'!$A19='Data Transfer'!$B$5),OR('Data Transfer'!$B$6="",ISNUMBER(SEARCH('Data Transfer'!$B$6,'Compliance Database'!$D19&amp;" "&amp;'Compliance Database'!$K19&amp;" "&amp;'Compliance Database'!$L19&amp;" "&amp;'Compliance Database'!$M19&amp;" "&amp;'Compliance Database'!$N19)))),1,0)</f>
        <v/>
      </c>
      <c r="B19">
        <f>IF($A19=1,SUM($A$2:$A19),"")</f>
        <v/>
      </c>
      <c r="C19">
        <f>IF($A19=1,SUM($A$2:$A19),0)</f>
        <v/>
      </c>
    </row>
    <row r="20">
      <c r="A20">
        <f>IF(AND(OR('Compliance Database'!$A20='Data Transfer'!$B$4,'Compliance Database'!$A20='Data Transfer'!$B$5),OR('Data Transfer'!$B$6="",ISNUMBER(SEARCH('Data Transfer'!$B$6,'Compliance Database'!$D20&amp;" "&amp;'Compliance Database'!$K20&amp;" "&amp;'Compliance Database'!$L20&amp;" "&amp;'Compliance Database'!$M20&amp;" "&amp;'Compliance Database'!$N20)))),1,0)</f>
        <v/>
      </c>
      <c r="B20">
        <f>IF($A20=1,SUM($A$2:$A20),"")</f>
        <v/>
      </c>
      <c r="C20">
        <f>IF($A20=1,SUM($A$2:$A20),0)</f>
        <v/>
      </c>
    </row>
    <row r="21">
      <c r="A21">
        <f>IF(AND(OR('Compliance Database'!$A21='Data Transfer'!$B$4,'Compliance Database'!$A21='Data Transfer'!$B$5),OR('Data Transfer'!$B$6="",ISNUMBER(SEARCH('Data Transfer'!$B$6,'Compliance Database'!$D21&amp;" "&amp;'Compliance Database'!$K21&amp;" "&amp;'Compliance Database'!$L21&amp;" "&amp;'Compliance Database'!$M21&amp;" "&amp;'Compliance Database'!$N21)))),1,0)</f>
        <v/>
      </c>
      <c r="B21">
        <f>IF($A21=1,SUM($A$2:$A21),"")</f>
        <v/>
      </c>
      <c r="C21">
        <f>IF($A21=1,SUM($A$2:$A21),0)</f>
        <v/>
      </c>
    </row>
    <row r="22">
      <c r="A22">
        <f>IF(AND(OR('Compliance Database'!$A22='Data Transfer'!$B$4,'Compliance Database'!$A22='Data Transfer'!$B$5),OR('Data Transfer'!$B$6="",ISNUMBER(SEARCH('Data Transfer'!$B$6,'Compliance Database'!$D22&amp;" "&amp;'Compliance Database'!$K22&amp;" "&amp;'Compliance Database'!$L22&amp;" "&amp;'Compliance Database'!$M22&amp;" "&amp;'Compliance Database'!$N22)))),1,0)</f>
        <v/>
      </c>
      <c r="B22">
        <f>IF($A22=1,SUM($A$2:$A22),"")</f>
        <v/>
      </c>
      <c r="C22">
        <f>IF($A22=1,SUM($A$2:$A22),0)</f>
        <v/>
      </c>
    </row>
    <row r="23">
      <c r="A23">
        <f>IF(AND(OR('Compliance Database'!$A23='Data Transfer'!$B$4,'Compliance Database'!$A23='Data Transfer'!$B$5),OR('Data Transfer'!$B$6="",ISNUMBER(SEARCH('Data Transfer'!$B$6,'Compliance Database'!$D23&amp;" "&amp;'Compliance Database'!$K23&amp;" "&amp;'Compliance Database'!$L23&amp;" "&amp;'Compliance Database'!$M23&amp;" "&amp;'Compliance Database'!$N23)))),1,0)</f>
        <v/>
      </c>
      <c r="B23">
        <f>IF($A23=1,SUM($A$2:$A23),"")</f>
        <v/>
      </c>
      <c r="C23">
        <f>IF($A23=1,SUM($A$2:$A23),0)</f>
        <v/>
      </c>
    </row>
    <row r="24">
      <c r="A24">
        <f>IF(AND(OR('Compliance Database'!$A24='Data Transfer'!$B$4,'Compliance Database'!$A24='Data Transfer'!$B$5),OR('Data Transfer'!$B$6="",ISNUMBER(SEARCH('Data Transfer'!$B$6,'Compliance Database'!$D24&amp;" "&amp;'Compliance Database'!$K24&amp;" "&amp;'Compliance Database'!$L24&amp;" "&amp;'Compliance Database'!$M24&amp;" "&amp;'Compliance Database'!$N24)))),1,0)</f>
        <v/>
      </c>
      <c r="B24">
        <f>IF($A24=1,SUM($A$2:$A24),"")</f>
        <v/>
      </c>
      <c r="C24">
        <f>IF($A24=1,SUM($A$2:$A24),0)</f>
        <v/>
      </c>
    </row>
    <row r="25">
      <c r="A25">
        <f>IF(AND(OR('Compliance Database'!$A25='Data Transfer'!$B$4,'Compliance Database'!$A25='Data Transfer'!$B$5),OR('Data Transfer'!$B$6="",ISNUMBER(SEARCH('Data Transfer'!$B$6,'Compliance Database'!$D25&amp;" "&amp;'Compliance Database'!$K25&amp;" "&amp;'Compliance Database'!$L25&amp;" "&amp;'Compliance Database'!$M25&amp;" "&amp;'Compliance Database'!$N25)))),1,0)</f>
        <v/>
      </c>
      <c r="B25">
        <f>IF($A25=1,SUM($A$2:$A25),"")</f>
        <v/>
      </c>
      <c r="C25">
        <f>IF($A25=1,SUM($A$2:$A25),0)</f>
        <v/>
      </c>
    </row>
    <row r="26">
      <c r="A26">
        <f>IF(AND(OR('Compliance Database'!$A26='Data Transfer'!$B$4,'Compliance Database'!$A26='Data Transfer'!$B$5),OR('Data Transfer'!$B$6="",ISNUMBER(SEARCH('Data Transfer'!$B$6,'Compliance Database'!$D26&amp;" "&amp;'Compliance Database'!$K26&amp;" "&amp;'Compliance Database'!$L26&amp;" "&amp;'Compliance Database'!$M26&amp;" "&amp;'Compliance Database'!$N26)))),1,0)</f>
        <v/>
      </c>
      <c r="B26">
        <f>IF($A26=1,SUM($A$2:$A26),"")</f>
        <v/>
      </c>
      <c r="C26">
        <f>IF($A26=1,SUM($A$2:$A26),0)</f>
        <v/>
      </c>
    </row>
    <row r="27">
      <c r="A27">
        <f>IF(AND(OR('Compliance Database'!$A27='Data Transfer'!$B$4,'Compliance Database'!$A27='Data Transfer'!$B$5),OR('Data Transfer'!$B$6="",ISNUMBER(SEARCH('Data Transfer'!$B$6,'Compliance Database'!$D27&amp;" "&amp;'Compliance Database'!$K27&amp;" "&amp;'Compliance Database'!$L27&amp;" "&amp;'Compliance Database'!$M27&amp;" "&amp;'Compliance Database'!$N27)))),1,0)</f>
        <v/>
      </c>
      <c r="B27">
        <f>IF($A27=1,SUM($A$2:$A27),"")</f>
        <v/>
      </c>
      <c r="C27">
        <f>IF($A27=1,SUM($A$2:$A27),0)</f>
        <v/>
      </c>
    </row>
    <row r="28">
      <c r="A28">
        <f>IF(AND(OR('Compliance Database'!$A28='Data Transfer'!$B$4,'Compliance Database'!$A28='Data Transfer'!$B$5),OR('Data Transfer'!$B$6="",ISNUMBER(SEARCH('Data Transfer'!$B$6,'Compliance Database'!$D28&amp;" "&amp;'Compliance Database'!$K28&amp;" "&amp;'Compliance Database'!$L28&amp;" "&amp;'Compliance Database'!$M28&amp;" "&amp;'Compliance Database'!$N28)))),1,0)</f>
        <v/>
      </c>
      <c r="B28">
        <f>IF($A28=1,SUM($A$2:$A28),"")</f>
        <v/>
      </c>
      <c r="C28">
        <f>IF($A28=1,SUM($A$2:$A28),0)</f>
        <v/>
      </c>
    </row>
    <row r="29">
      <c r="A29">
        <f>IF(AND(OR('Compliance Database'!$A29='Data Transfer'!$B$4,'Compliance Database'!$A29='Data Transfer'!$B$5),OR('Data Transfer'!$B$6="",ISNUMBER(SEARCH('Data Transfer'!$B$6,'Compliance Database'!$D29&amp;" "&amp;'Compliance Database'!$K29&amp;" "&amp;'Compliance Database'!$L29&amp;" "&amp;'Compliance Database'!$M29&amp;" "&amp;'Compliance Database'!$N29)))),1,0)</f>
        <v/>
      </c>
      <c r="B29">
        <f>IF($A29=1,SUM($A$2:$A29),"")</f>
        <v/>
      </c>
      <c r="C29">
        <f>IF($A29=1,SUM($A$2:$A29),0)</f>
        <v/>
      </c>
    </row>
    <row r="30">
      <c r="A30">
        <f>IF(AND(OR('Compliance Database'!$A30='Data Transfer'!$B$4,'Compliance Database'!$A30='Data Transfer'!$B$5),OR('Data Transfer'!$B$6="",ISNUMBER(SEARCH('Data Transfer'!$B$6,'Compliance Database'!$D30&amp;" "&amp;'Compliance Database'!$K30&amp;" "&amp;'Compliance Database'!$L30&amp;" "&amp;'Compliance Database'!$M30&amp;" "&amp;'Compliance Database'!$N30)))),1,0)</f>
        <v/>
      </c>
      <c r="B30">
        <f>IF($A30=1,SUM($A$2:$A30),"")</f>
        <v/>
      </c>
      <c r="C30">
        <f>IF($A30=1,SUM($A$2:$A30),0)</f>
        <v/>
      </c>
    </row>
    <row r="31">
      <c r="A31">
        <f>IF(AND(OR('Compliance Database'!$A31='Data Transfer'!$B$4,'Compliance Database'!$A31='Data Transfer'!$B$5),OR('Data Transfer'!$B$6="",ISNUMBER(SEARCH('Data Transfer'!$B$6,'Compliance Database'!$D31&amp;" "&amp;'Compliance Database'!$K31&amp;" "&amp;'Compliance Database'!$L31&amp;" "&amp;'Compliance Database'!$M31&amp;" "&amp;'Compliance Database'!$N31)))),1,0)</f>
        <v/>
      </c>
      <c r="B31">
        <f>IF($A31=1,SUM($A$2:$A31),"")</f>
        <v/>
      </c>
      <c r="C31">
        <f>IF($A31=1,SUM($A$2:$A31),0)</f>
        <v/>
      </c>
    </row>
    <row r="32">
      <c r="A32">
        <f>IF(AND(OR('Compliance Database'!$A32='Data Transfer'!$B$4,'Compliance Database'!$A32='Data Transfer'!$B$5),OR('Data Transfer'!$B$6="",ISNUMBER(SEARCH('Data Transfer'!$B$6,'Compliance Database'!$D32&amp;" "&amp;'Compliance Database'!$K32&amp;" "&amp;'Compliance Database'!$L32&amp;" "&amp;'Compliance Database'!$M32&amp;" "&amp;'Compliance Database'!$N32)))),1,0)</f>
        <v/>
      </c>
      <c r="B32">
        <f>IF($A32=1,SUM($A$2:$A32),"")</f>
        <v/>
      </c>
      <c r="C32">
        <f>IF($A32=1,SUM($A$2:$A32),0)</f>
        <v/>
      </c>
    </row>
    <row r="33">
      <c r="A33">
        <f>IF(AND(OR('Compliance Database'!$A33='Data Transfer'!$B$4,'Compliance Database'!$A33='Data Transfer'!$B$5),OR('Data Transfer'!$B$6="",ISNUMBER(SEARCH('Data Transfer'!$B$6,'Compliance Database'!$D33&amp;" "&amp;'Compliance Database'!$K33&amp;" "&amp;'Compliance Database'!$L33&amp;" "&amp;'Compliance Database'!$M33&amp;" "&amp;'Compliance Database'!$N33)))),1,0)</f>
        <v/>
      </c>
      <c r="B33">
        <f>IF($A33=1,SUM($A$2:$A33),"")</f>
        <v/>
      </c>
      <c r="C33">
        <f>IF($A33=1,SUM($A$2:$A33),0)</f>
        <v/>
      </c>
    </row>
    <row r="34">
      <c r="A34">
        <f>IF(AND(OR('Compliance Database'!$A34='Data Transfer'!$B$4,'Compliance Database'!$A34='Data Transfer'!$B$5),OR('Data Transfer'!$B$6="",ISNUMBER(SEARCH('Data Transfer'!$B$6,'Compliance Database'!$D34&amp;" "&amp;'Compliance Database'!$K34&amp;" "&amp;'Compliance Database'!$L34&amp;" "&amp;'Compliance Database'!$M34&amp;" "&amp;'Compliance Database'!$N34)))),1,0)</f>
        <v/>
      </c>
      <c r="B34">
        <f>IF($A34=1,SUM($A$2:$A34),"")</f>
        <v/>
      </c>
      <c r="C34">
        <f>IF($A34=1,SUM($A$2:$A34),0)</f>
        <v/>
      </c>
    </row>
    <row r="35">
      <c r="A35">
        <f>IF(AND(OR('Compliance Database'!$A35='Data Transfer'!$B$4,'Compliance Database'!$A35='Data Transfer'!$B$5),OR('Data Transfer'!$B$6="",ISNUMBER(SEARCH('Data Transfer'!$B$6,'Compliance Database'!$D35&amp;" "&amp;'Compliance Database'!$K35&amp;" "&amp;'Compliance Database'!$L35&amp;" "&amp;'Compliance Database'!$M35&amp;" "&amp;'Compliance Database'!$N35)))),1,0)</f>
        <v/>
      </c>
      <c r="B35">
        <f>IF($A35=1,SUM($A$2:$A35),"")</f>
        <v/>
      </c>
      <c r="C35">
        <f>IF($A35=1,SUM($A$2:$A35),0)</f>
        <v/>
      </c>
    </row>
    <row r="36">
      <c r="A36">
        <f>IF(AND(OR('Compliance Database'!$A36='Data Transfer'!$B$4,'Compliance Database'!$A36='Data Transfer'!$B$5),OR('Data Transfer'!$B$6="",ISNUMBER(SEARCH('Data Transfer'!$B$6,'Compliance Database'!$D36&amp;" "&amp;'Compliance Database'!$K36&amp;" "&amp;'Compliance Database'!$L36&amp;" "&amp;'Compliance Database'!$M36&amp;" "&amp;'Compliance Database'!$N36)))),1,0)</f>
        <v/>
      </c>
      <c r="B36">
        <f>IF($A36=1,SUM($A$2:$A36),"")</f>
        <v/>
      </c>
      <c r="C36">
        <f>IF($A36=1,SUM($A$2:$A36),0)</f>
        <v/>
      </c>
    </row>
    <row r="37">
      <c r="A37">
        <f>IF(AND(OR('Compliance Database'!$A37='Data Transfer'!$B$4,'Compliance Database'!$A37='Data Transfer'!$B$5),OR('Data Transfer'!$B$6="",ISNUMBER(SEARCH('Data Transfer'!$B$6,'Compliance Database'!$D37&amp;" "&amp;'Compliance Database'!$K37&amp;" "&amp;'Compliance Database'!$L37&amp;" "&amp;'Compliance Database'!$M37&amp;" "&amp;'Compliance Database'!$N37)))),1,0)</f>
        <v/>
      </c>
      <c r="B37">
        <f>IF($A37=1,SUM($A$2:$A37),"")</f>
        <v/>
      </c>
      <c r="C37">
        <f>IF($A37=1,SUM($A$2:$A37),0)</f>
        <v/>
      </c>
    </row>
    <row r="38">
      <c r="A38">
        <f>IF(AND(OR('Compliance Database'!$A38='Data Transfer'!$B$4,'Compliance Database'!$A38='Data Transfer'!$B$5),OR('Data Transfer'!$B$6="",ISNUMBER(SEARCH('Data Transfer'!$B$6,'Compliance Database'!$D38&amp;" "&amp;'Compliance Database'!$K38&amp;" "&amp;'Compliance Database'!$L38&amp;" "&amp;'Compliance Database'!$M38&amp;" "&amp;'Compliance Database'!$N38)))),1,0)</f>
        <v/>
      </c>
      <c r="B38">
        <f>IF($A38=1,SUM($A$2:$A38),"")</f>
        <v/>
      </c>
      <c r="C38">
        <f>IF($A38=1,SUM($A$2:$A38),0)</f>
        <v/>
      </c>
    </row>
    <row r="39">
      <c r="A39">
        <f>IF(AND(OR('Compliance Database'!$A39='Data Transfer'!$B$4,'Compliance Database'!$A39='Data Transfer'!$B$5),OR('Data Transfer'!$B$6="",ISNUMBER(SEARCH('Data Transfer'!$B$6,'Compliance Database'!$D39&amp;" "&amp;'Compliance Database'!$K39&amp;" "&amp;'Compliance Database'!$L39&amp;" "&amp;'Compliance Database'!$M39&amp;" "&amp;'Compliance Database'!$N39)))),1,0)</f>
        <v/>
      </c>
      <c r="B39">
        <f>IF($A39=1,SUM($A$2:$A39),"")</f>
        <v/>
      </c>
      <c r="C39">
        <f>IF($A39=1,SUM($A$2:$A39),0)</f>
        <v/>
      </c>
    </row>
    <row r="40">
      <c r="A40">
        <f>IF(AND(OR('Compliance Database'!$A40='Data Transfer'!$B$4,'Compliance Database'!$A40='Data Transfer'!$B$5),OR('Data Transfer'!$B$6="",ISNUMBER(SEARCH('Data Transfer'!$B$6,'Compliance Database'!$D40&amp;" "&amp;'Compliance Database'!$K40&amp;" "&amp;'Compliance Database'!$L40&amp;" "&amp;'Compliance Database'!$M40&amp;" "&amp;'Compliance Database'!$N40)))),1,0)</f>
        <v/>
      </c>
      <c r="B40">
        <f>IF($A40=1,SUM($A$2:$A40),"")</f>
        <v/>
      </c>
      <c r="C40">
        <f>IF($A40=1,SUM($A$2:$A40),0)</f>
        <v/>
      </c>
    </row>
    <row r="41">
      <c r="A41">
        <f>IF(AND(OR('Compliance Database'!$A41='Data Transfer'!$B$4,'Compliance Database'!$A41='Data Transfer'!$B$5),OR('Data Transfer'!$B$6="",ISNUMBER(SEARCH('Data Transfer'!$B$6,'Compliance Database'!$D41&amp;" "&amp;'Compliance Database'!$K41&amp;" "&amp;'Compliance Database'!$L41&amp;" "&amp;'Compliance Database'!$M41&amp;" "&amp;'Compliance Database'!$N41)))),1,0)</f>
        <v/>
      </c>
      <c r="B41">
        <f>IF($A41=1,SUM($A$2:$A41),"")</f>
        <v/>
      </c>
      <c r="C41">
        <f>IF($A41=1,SUM($A$2:$A41),0)</f>
        <v/>
      </c>
    </row>
    <row r="42">
      <c r="A42">
        <f>IF(AND(OR('Compliance Database'!$A42='Data Transfer'!$B$4,'Compliance Database'!$A42='Data Transfer'!$B$5),OR('Data Transfer'!$B$6="",ISNUMBER(SEARCH('Data Transfer'!$B$6,'Compliance Database'!$D42&amp;" "&amp;'Compliance Database'!$K42&amp;" "&amp;'Compliance Database'!$L42&amp;" "&amp;'Compliance Database'!$M42&amp;" "&amp;'Compliance Database'!$N42)))),1,0)</f>
        <v/>
      </c>
      <c r="B42">
        <f>IF($A42=1,SUM($A$2:$A42),"")</f>
        <v/>
      </c>
      <c r="C42">
        <f>IF($A42=1,SUM($A$2:$A42),0)</f>
        <v/>
      </c>
    </row>
    <row r="43">
      <c r="A43">
        <f>IF(AND(OR('Compliance Database'!$A43='Data Transfer'!$B$4,'Compliance Database'!$A43='Data Transfer'!$B$5),OR('Data Transfer'!$B$6="",ISNUMBER(SEARCH('Data Transfer'!$B$6,'Compliance Database'!$D43&amp;" "&amp;'Compliance Database'!$K43&amp;" "&amp;'Compliance Database'!$L43&amp;" "&amp;'Compliance Database'!$M43&amp;" "&amp;'Compliance Database'!$N43)))),1,0)</f>
        <v/>
      </c>
      <c r="B43">
        <f>IF($A43=1,SUM($A$2:$A43),"")</f>
        <v/>
      </c>
      <c r="C43">
        <f>IF($A43=1,SUM($A$2:$A43),0)</f>
        <v/>
      </c>
    </row>
    <row r="44">
      <c r="A44">
        <f>IF(AND(OR('Compliance Database'!$A44='Data Transfer'!$B$4,'Compliance Database'!$A44='Data Transfer'!$B$5),OR('Data Transfer'!$B$6="",ISNUMBER(SEARCH('Data Transfer'!$B$6,'Compliance Database'!$D44&amp;" "&amp;'Compliance Database'!$K44&amp;" "&amp;'Compliance Database'!$L44&amp;" "&amp;'Compliance Database'!$M44&amp;" "&amp;'Compliance Database'!$N44)))),1,0)</f>
        <v/>
      </c>
      <c r="B44">
        <f>IF($A44=1,SUM($A$2:$A44),"")</f>
        <v/>
      </c>
      <c r="C44">
        <f>IF($A44=1,SUM($A$2:$A44),0)</f>
        <v/>
      </c>
    </row>
    <row r="45">
      <c r="A45">
        <f>IF(AND(OR('Compliance Database'!$A45='Data Transfer'!$B$4,'Compliance Database'!$A45='Data Transfer'!$B$5),OR('Data Transfer'!$B$6="",ISNUMBER(SEARCH('Data Transfer'!$B$6,'Compliance Database'!$D45&amp;" "&amp;'Compliance Database'!$K45&amp;" "&amp;'Compliance Database'!$L45&amp;" "&amp;'Compliance Database'!$M45&amp;" "&amp;'Compliance Database'!$N45)))),1,0)</f>
        <v/>
      </c>
      <c r="B45">
        <f>IF($A45=1,SUM($A$2:$A45),"")</f>
        <v/>
      </c>
      <c r="C45">
        <f>IF($A45=1,SUM($A$2:$A45),0)</f>
        <v/>
      </c>
    </row>
    <row r="46">
      <c r="A46">
        <f>IF(AND(OR('Compliance Database'!$A46='Data Transfer'!$B$4,'Compliance Database'!$A46='Data Transfer'!$B$5),OR('Data Transfer'!$B$6="",ISNUMBER(SEARCH('Data Transfer'!$B$6,'Compliance Database'!$D46&amp;" "&amp;'Compliance Database'!$K46&amp;" "&amp;'Compliance Database'!$L46&amp;" "&amp;'Compliance Database'!$M46&amp;" "&amp;'Compliance Database'!$N46)))),1,0)</f>
        <v/>
      </c>
      <c r="B46">
        <f>IF($A46=1,SUM($A$2:$A46),"")</f>
        <v/>
      </c>
      <c r="C46">
        <f>IF($A46=1,SUM($A$2:$A46),0)</f>
        <v/>
      </c>
    </row>
    <row r="47">
      <c r="A47">
        <f>IF(AND(OR('Compliance Database'!$A47='Data Transfer'!$B$4,'Compliance Database'!$A47='Data Transfer'!$B$5),OR('Data Transfer'!$B$6="",ISNUMBER(SEARCH('Data Transfer'!$B$6,'Compliance Database'!$D47&amp;" "&amp;'Compliance Database'!$K47&amp;" "&amp;'Compliance Database'!$L47&amp;" "&amp;'Compliance Database'!$M47&amp;" "&amp;'Compliance Database'!$N47)))),1,0)</f>
        <v/>
      </c>
      <c r="B47">
        <f>IF($A47=1,SUM($A$2:$A47),"")</f>
        <v/>
      </c>
      <c r="C47">
        <f>IF($A47=1,SUM($A$2:$A47),0)</f>
        <v/>
      </c>
    </row>
    <row r="48">
      <c r="A48">
        <f>IF(AND(OR('Compliance Database'!$A48='Data Transfer'!$B$4,'Compliance Database'!$A48='Data Transfer'!$B$5),OR('Data Transfer'!$B$6="",ISNUMBER(SEARCH('Data Transfer'!$B$6,'Compliance Database'!$D48&amp;" "&amp;'Compliance Database'!$K48&amp;" "&amp;'Compliance Database'!$L48&amp;" "&amp;'Compliance Database'!$M48&amp;" "&amp;'Compliance Database'!$N48)))),1,0)</f>
        <v/>
      </c>
      <c r="B48">
        <f>IF($A48=1,SUM($A$2:$A48),"")</f>
        <v/>
      </c>
      <c r="C48">
        <f>IF($A48=1,SUM($A$2:$A48),0)</f>
        <v/>
      </c>
    </row>
    <row r="49">
      <c r="A49">
        <f>IF(AND(OR('Compliance Database'!$A49='Data Transfer'!$B$4,'Compliance Database'!$A49='Data Transfer'!$B$5),OR('Data Transfer'!$B$6="",ISNUMBER(SEARCH('Data Transfer'!$B$6,'Compliance Database'!$D49&amp;" "&amp;'Compliance Database'!$K49&amp;" "&amp;'Compliance Database'!$L49&amp;" "&amp;'Compliance Database'!$M49&amp;" "&amp;'Compliance Database'!$N49)))),1,0)</f>
        <v/>
      </c>
      <c r="B49">
        <f>IF($A49=1,SUM($A$2:$A49),"")</f>
        <v/>
      </c>
      <c r="C49">
        <f>IF($A49=1,SUM($A$2:$A49),0)</f>
        <v/>
      </c>
    </row>
    <row r="50">
      <c r="A50">
        <f>IF(AND(OR('Compliance Database'!$A50='Data Transfer'!$B$4,'Compliance Database'!$A50='Data Transfer'!$B$5),OR('Data Transfer'!$B$6="",ISNUMBER(SEARCH('Data Transfer'!$B$6,'Compliance Database'!$D50&amp;" "&amp;'Compliance Database'!$K50&amp;" "&amp;'Compliance Database'!$L50&amp;" "&amp;'Compliance Database'!$M50&amp;" "&amp;'Compliance Database'!$N50)))),1,0)</f>
        <v/>
      </c>
      <c r="B50">
        <f>IF($A50=1,SUM($A$2:$A50),"")</f>
        <v/>
      </c>
      <c r="C50">
        <f>IF($A50=1,SUM($A$2:$A50),0)</f>
        <v/>
      </c>
    </row>
    <row r="51">
      <c r="A51">
        <f>IF(AND(OR('Compliance Database'!$A51='Data Transfer'!$B$4,'Compliance Database'!$A51='Data Transfer'!$B$5),OR('Data Transfer'!$B$6="",ISNUMBER(SEARCH('Data Transfer'!$B$6,'Compliance Database'!$D51&amp;" "&amp;'Compliance Database'!$K51&amp;" "&amp;'Compliance Database'!$L51&amp;" "&amp;'Compliance Database'!$M51&amp;" "&amp;'Compliance Database'!$N51)))),1,0)</f>
        <v/>
      </c>
      <c r="B51">
        <f>IF($A51=1,SUM($A$2:$A51),"")</f>
        <v/>
      </c>
      <c r="C51">
        <f>IF($A51=1,SUM($A$2:$A51),0)</f>
        <v/>
      </c>
    </row>
    <row r="52">
      <c r="A52">
        <f>IF(AND(OR('Compliance Database'!$A52='Data Transfer'!$B$4,'Compliance Database'!$A52='Data Transfer'!$B$5),OR('Data Transfer'!$B$6="",ISNUMBER(SEARCH('Data Transfer'!$B$6,'Compliance Database'!$D52&amp;" "&amp;'Compliance Database'!$K52&amp;" "&amp;'Compliance Database'!$L52&amp;" "&amp;'Compliance Database'!$M52&amp;" "&amp;'Compliance Database'!$N52)))),1,0)</f>
        <v/>
      </c>
      <c r="B52">
        <f>IF($A52=1,SUM($A$2:$A52),"")</f>
        <v/>
      </c>
      <c r="C52">
        <f>IF($A52=1,SUM($A$2:$A52),0)</f>
        <v/>
      </c>
    </row>
    <row r="53">
      <c r="A53">
        <f>IF(AND(OR('Compliance Database'!$A53='Data Transfer'!$B$4,'Compliance Database'!$A53='Data Transfer'!$B$5),OR('Data Transfer'!$B$6="",ISNUMBER(SEARCH('Data Transfer'!$B$6,'Compliance Database'!$D53&amp;" "&amp;'Compliance Database'!$K53&amp;" "&amp;'Compliance Database'!$L53&amp;" "&amp;'Compliance Database'!$M53&amp;" "&amp;'Compliance Database'!$N53)))),1,0)</f>
        <v/>
      </c>
      <c r="B53">
        <f>IF($A53=1,SUM($A$2:$A53),"")</f>
        <v/>
      </c>
      <c r="C53">
        <f>IF($A53=1,SUM($A$2:$A53),0)</f>
        <v/>
      </c>
    </row>
    <row r="54">
      <c r="A54">
        <f>IF(AND(OR('Compliance Database'!$A54='Data Transfer'!$B$4,'Compliance Database'!$A54='Data Transfer'!$B$5),OR('Data Transfer'!$B$6="",ISNUMBER(SEARCH('Data Transfer'!$B$6,'Compliance Database'!$D54&amp;" "&amp;'Compliance Database'!$K54&amp;" "&amp;'Compliance Database'!$L54&amp;" "&amp;'Compliance Database'!$M54&amp;" "&amp;'Compliance Database'!$N54)))),1,0)</f>
        <v/>
      </c>
      <c r="B54">
        <f>IF($A54=1,SUM($A$2:$A54),"")</f>
        <v/>
      </c>
      <c r="C54">
        <f>IF($A54=1,SUM($A$2:$A54),0)</f>
        <v/>
      </c>
    </row>
    <row r="55">
      <c r="A55">
        <f>IF(AND(OR('Compliance Database'!$A55='Data Transfer'!$B$4,'Compliance Database'!$A55='Data Transfer'!$B$5),OR('Data Transfer'!$B$6="",ISNUMBER(SEARCH('Data Transfer'!$B$6,'Compliance Database'!$D55&amp;" "&amp;'Compliance Database'!$K55&amp;" "&amp;'Compliance Database'!$L55&amp;" "&amp;'Compliance Database'!$M55&amp;" "&amp;'Compliance Database'!$N55)))),1,0)</f>
        <v/>
      </c>
      <c r="B55">
        <f>IF($A55=1,SUM($A$2:$A55),"")</f>
        <v/>
      </c>
      <c r="C55">
        <f>IF($A55=1,SUM($A$2:$A55),0)</f>
        <v/>
      </c>
    </row>
    <row r="56">
      <c r="A56">
        <f>IF(AND(OR('Compliance Database'!$A56='Data Transfer'!$B$4,'Compliance Database'!$A56='Data Transfer'!$B$5),OR('Data Transfer'!$B$6="",ISNUMBER(SEARCH('Data Transfer'!$B$6,'Compliance Database'!$D56&amp;" "&amp;'Compliance Database'!$K56&amp;" "&amp;'Compliance Database'!$L56&amp;" "&amp;'Compliance Database'!$M56&amp;" "&amp;'Compliance Database'!$N56)))),1,0)</f>
        <v/>
      </c>
      <c r="B56">
        <f>IF($A56=1,SUM($A$2:$A56),"")</f>
        <v/>
      </c>
      <c r="C56">
        <f>IF($A56=1,SUM($A$2:$A56),0)</f>
        <v/>
      </c>
    </row>
    <row r="57">
      <c r="A57">
        <f>IF(AND(OR('Compliance Database'!$A57='Data Transfer'!$B$4,'Compliance Database'!$A57='Data Transfer'!$B$5),OR('Data Transfer'!$B$6="",ISNUMBER(SEARCH('Data Transfer'!$B$6,'Compliance Database'!$D57&amp;" "&amp;'Compliance Database'!$K57&amp;" "&amp;'Compliance Database'!$L57&amp;" "&amp;'Compliance Database'!$M57&amp;" "&amp;'Compliance Database'!$N57)))),1,0)</f>
        <v/>
      </c>
      <c r="B57">
        <f>IF($A57=1,SUM($A$2:$A57),"")</f>
        <v/>
      </c>
      <c r="C57">
        <f>IF($A57=1,SUM($A$2:$A57),0)</f>
        <v/>
      </c>
    </row>
    <row r="58">
      <c r="A58">
        <f>IF(AND(OR('Compliance Database'!$A58='Data Transfer'!$B$4,'Compliance Database'!$A58='Data Transfer'!$B$5),OR('Data Transfer'!$B$6="",ISNUMBER(SEARCH('Data Transfer'!$B$6,'Compliance Database'!$D58&amp;" "&amp;'Compliance Database'!$K58&amp;" "&amp;'Compliance Database'!$L58&amp;" "&amp;'Compliance Database'!$M58&amp;" "&amp;'Compliance Database'!$N58)))),1,0)</f>
        <v/>
      </c>
      <c r="B58">
        <f>IF($A58=1,SUM($A$2:$A58),"")</f>
        <v/>
      </c>
      <c r="C58">
        <f>IF($A58=1,SUM($A$2:$A58),0)</f>
        <v/>
      </c>
    </row>
    <row r="59">
      <c r="A59">
        <f>IF(AND(OR('Compliance Database'!$A59='Data Transfer'!$B$4,'Compliance Database'!$A59='Data Transfer'!$B$5),OR('Data Transfer'!$B$6="",ISNUMBER(SEARCH('Data Transfer'!$B$6,'Compliance Database'!$D59&amp;" "&amp;'Compliance Database'!$K59&amp;" "&amp;'Compliance Database'!$L59&amp;" "&amp;'Compliance Database'!$M59&amp;" "&amp;'Compliance Database'!$N59)))),1,0)</f>
        <v/>
      </c>
      <c r="B59">
        <f>IF($A59=1,SUM($A$2:$A59),"")</f>
        <v/>
      </c>
      <c r="C59">
        <f>IF($A59=1,SUM($A$2:$A59),0)</f>
        <v/>
      </c>
    </row>
    <row r="60">
      <c r="A60">
        <f>IF(AND(OR('Compliance Database'!$A60='Data Transfer'!$B$4,'Compliance Database'!$A60='Data Transfer'!$B$5),OR('Data Transfer'!$B$6="",ISNUMBER(SEARCH('Data Transfer'!$B$6,'Compliance Database'!$D60&amp;" "&amp;'Compliance Database'!$K60&amp;" "&amp;'Compliance Database'!$L60&amp;" "&amp;'Compliance Database'!$M60&amp;" "&amp;'Compliance Database'!$N60)))),1,0)</f>
        <v/>
      </c>
      <c r="B60">
        <f>IF($A60=1,SUM($A$2:$A60),"")</f>
        <v/>
      </c>
      <c r="C60">
        <f>IF($A60=1,SUM($A$2:$A60),0)</f>
        <v/>
      </c>
    </row>
    <row r="61">
      <c r="A61">
        <f>IF(AND(OR('Compliance Database'!$A61='Data Transfer'!$B$4,'Compliance Database'!$A61='Data Transfer'!$B$5),OR('Data Transfer'!$B$6="",ISNUMBER(SEARCH('Data Transfer'!$B$6,'Compliance Database'!$D61&amp;" "&amp;'Compliance Database'!$K61&amp;" "&amp;'Compliance Database'!$L61&amp;" "&amp;'Compliance Database'!$M61&amp;" "&amp;'Compliance Database'!$N61)))),1,0)</f>
        <v/>
      </c>
      <c r="B61">
        <f>IF($A61=1,SUM($A$2:$A61),"")</f>
        <v/>
      </c>
      <c r="C61">
        <f>IF($A61=1,SUM($A$2:$A61),0)</f>
        <v/>
      </c>
    </row>
    <row r="62">
      <c r="A62">
        <f>IF(AND(OR('Compliance Database'!$A62='Data Transfer'!$B$4,'Compliance Database'!$A62='Data Transfer'!$B$5),OR('Data Transfer'!$B$6="",ISNUMBER(SEARCH('Data Transfer'!$B$6,'Compliance Database'!$D62&amp;" "&amp;'Compliance Database'!$K62&amp;" "&amp;'Compliance Database'!$L62&amp;" "&amp;'Compliance Database'!$M62&amp;" "&amp;'Compliance Database'!$N62)))),1,0)</f>
        <v/>
      </c>
      <c r="B62">
        <f>IF($A62=1,SUM($A$2:$A62),"")</f>
        <v/>
      </c>
      <c r="C62">
        <f>IF($A62=1,SUM($A$2:$A62),0)</f>
        <v/>
      </c>
    </row>
    <row r="63">
      <c r="A63">
        <f>IF(AND(OR('Compliance Database'!$A63='Data Transfer'!$B$4,'Compliance Database'!$A63='Data Transfer'!$B$5),OR('Data Transfer'!$B$6="",ISNUMBER(SEARCH('Data Transfer'!$B$6,'Compliance Database'!$D63&amp;" "&amp;'Compliance Database'!$K63&amp;" "&amp;'Compliance Database'!$L63&amp;" "&amp;'Compliance Database'!$M63&amp;" "&amp;'Compliance Database'!$N63)))),1,0)</f>
        <v/>
      </c>
      <c r="B63">
        <f>IF($A63=1,SUM($A$2:$A63),"")</f>
        <v/>
      </c>
      <c r="C63">
        <f>IF($A63=1,SUM($A$2:$A63),0)</f>
        <v/>
      </c>
    </row>
    <row r="64">
      <c r="A64">
        <f>IF(AND(OR('Compliance Database'!$A64='Data Transfer'!$B$4,'Compliance Database'!$A64='Data Transfer'!$B$5),OR('Data Transfer'!$B$6="",ISNUMBER(SEARCH('Data Transfer'!$B$6,'Compliance Database'!$D64&amp;" "&amp;'Compliance Database'!$K64&amp;" "&amp;'Compliance Database'!$L64&amp;" "&amp;'Compliance Database'!$M64&amp;" "&amp;'Compliance Database'!$N64)))),1,0)</f>
        <v/>
      </c>
      <c r="B64">
        <f>IF($A64=1,SUM($A$2:$A64),"")</f>
        <v/>
      </c>
      <c r="C64">
        <f>IF($A64=1,SUM($A$2:$A64),0)</f>
        <v/>
      </c>
    </row>
    <row r="65">
      <c r="A65">
        <f>IF(AND(OR('Compliance Database'!$A65='Data Transfer'!$B$4,'Compliance Database'!$A65='Data Transfer'!$B$5),OR('Data Transfer'!$B$6="",ISNUMBER(SEARCH('Data Transfer'!$B$6,'Compliance Database'!$D65&amp;" "&amp;'Compliance Database'!$K65&amp;" "&amp;'Compliance Database'!$L65&amp;" "&amp;'Compliance Database'!$M65&amp;" "&amp;'Compliance Database'!$N65)))),1,0)</f>
        <v/>
      </c>
      <c r="B65">
        <f>IF($A65=1,SUM($A$2:$A65),"")</f>
        <v/>
      </c>
      <c r="C65">
        <f>IF($A65=1,SUM($A$2:$A65),0)</f>
        <v/>
      </c>
    </row>
    <row r="66">
      <c r="A66">
        <f>IF(AND(OR('Compliance Database'!$A66='Data Transfer'!$B$4,'Compliance Database'!$A66='Data Transfer'!$B$5),OR('Data Transfer'!$B$6="",ISNUMBER(SEARCH('Data Transfer'!$B$6,'Compliance Database'!$D66&amp;" "&amp;'Compliance Database'!$K66&amp;" "&amp;'Compliance Database'!$L66&amp;" "&amp;'Compliance Database'!$M66&amp;" "&amp;'Compliance Database'!$N66)))),1,0)</f>
        <v/>
      </c>
      <c r="B66">
        <f>IF($A66=1,SUM($A$2:$A66),"")</f>
        <v/>
      </c>
      <c r="C66">
        <f>IF($A66=1,SUM($A$2:$A66),0)</f>
        <v/>
      </c>
    </row>
    <row r="67">
      <c r="A67">
        <f>IF(AND(OR('Compliance Database'!$A67='Data Transfer'!$B$4,'Compliance Database'!$A67='Data Transfer'!$B$5),OR('Data Transfer'!$B$6="",ISNUMBER(SEARCH('Data Transfer'!$B$6,'Compliance Database'!$D67&amp;" "&amp;'Compliance Database'!$K67&amp;" "&amp;'Compliance Database'!$L67&amp;" "&amp;'Compliance Database'!$M67&amp;" "&amp;'Compliance Database'!$N67)))),1,0)</f>
        <v/>
      </c>
      <c r="B67">
        <f>IF($A67=1,SUM($A$2:$A67),"")</f>
        <v/>
      </c>
      <c r="C67">
        <f>IF($A67=1,SUM($A$2:$A67),0)</f>
        <v/>
      </c>
    </row>
    <row r="68">
      <c r="A68">
        <f>IF(AND(OR('Compliance Database'!$A68='Data Transfer'!$B$4,'Compliance Database'!$A68='Data Transfer'!$B$5),OR('Data Transfer'!$B$6="",ISNUMBER(SEARCH('Data Transfer'!$B$6,'Compliance Database'!$D68&amp;" "&amp;'Compliance Database'!$K68&amp;" "&amp;'Compliance Database'!$L68&amp;" "&amp;'Compliance Database'!$M68&amp;" "&amp;'Compliance Database'!$N68)))),1,0)</f>
        <v/>
      </c>
      <c r="B68">
        <f>IF($A68=1,SUM($A$2:$A68),"")</f>
        <v/>
      </c>
      <c r="C68">
        <f>IF($A68=1,SUM($A$2:$A68),0)</f>
        <v/>
      </c>
    </row>
    <row r="69">
      <c r="A69">
        <f>IF(AND(OR('Compliance Database'!$A69='Data Transfer'!$B$4,'Compliance Database'!$A69='Data Transfer'!$B$5),OR('Data Transfer'!$B$6="",ISNUMBER(SEARCH('Data Transfer'!$B$6,'Compliance Database'!$D69&amp;" "&amp;'Compliance Database'!$K69&amp;" "&amp;'Compliance Database'!$L69&amp;" "&amp;'Compliance Database'!$M69&amp;" "&amp;'Compliance Database'!$N69)))),1,0)</f>
        <v/>
      </c>
      <c r="B69">
        <f>IF($A69=1,SUM($A$2:$A69),"")</f>
        <v/>
      </c>
      <c r="C69">
        <f>IF($A69=1,SUM($A$2:$A69),0)</f>
        <v/>
      </c>
    </row>
    <row r="70">
      <c r="A70">
        <f>IF(AND(OR('Compliance Database'!$A70='Data Transfer'!$B$4,'Compliance Database'!$A70='Data Transfer'!$B$5),OR('Data Transfer'!$B$6="",ISNUMBER(SEARCH('Data Transfer'!$B$6,'Compliance Database'!$D70&amp;" "&amp;'Compliance Database'!$K70&amp;" "&amp;'Compliance Database'!$L70&amp;" "&amp;'Compliance Database'!$M70&amp;" "&amp;'Compliance Database'!$N70)))),1,0)</f>
        <v/>
      </c>
      <c r="B70">
        <f>IF($A70=1,SUM($A$2:$A70),"")</f>
        <v/>
      </c>
      <c r="C70">
        <f>IF($A70=1,SUM($A$2:$A70),0)</f>
        <v/>
      </c>
    </row>
    <row r="71">
      <c r="A71">
        <f>IF(AND(OR('Compliance Database'!$A71='Data Transfer'!$B$4,'Compliance Database'!$A71='Data Transfer'!$B$5),OR('Data Transfer'!$B$6="",ISNUMBER(SEARCH('Data Transfer'!$B$6,'Compliance Database'!$D71&amp;" "&amp;'Compliance Database'!$K71&amp;" "&amp;'Compliance Database'!$L71&amp;" "&amp;'Compliance Database'!$M71&amp;" "&amp;'Compliance Database'!$N71)))),1,0)</f>
        <v/>
      </c>
      <c r="B71">
        <f>IF($A71=1,SUM($A$2:$A71),"")</f>
        <v/>
      </c>
      <c r="C71">
        <f>IF($A71=1,SUM($A$2:$A71),0)</f>
        <v/>
      </c>
    </row>
    <row r="72">
      <c r="A72">
        <f>IF(AND(OR('Compliance Database'!$A72='Data Transfer'!$B$4,'Compliance Database'!$A72='Data Transfer'!$B$5),OR('Data Transfer'!$B$6="",ISNUMBER(SEARCH('Data Transfer'!$B$6,'Compliance Database'!$D72&amp;" "&amp;'Compliance Database'!$K72&amp;" "&amp;'Compliance Database'!$L72&amp;" "&amp;'Compliance Database'!$M72&amp;" "&amp;'Compliance Database'!$N72)))),1,0)</f>
        <v/>
      </c>
      <c r="B72">
        <f>IF($A72=1,SUM($A$2:$A72),"")</f>
        <v/>
      </c>
      <c r="C72">
        <f>IF($A72=1,SUM($A$2:$A72),0)</f>
        <v/>
      </c>
    </row>
    <row r="73">
      <c r="A73">
        <f>IF(AND(OR('Compliance Database'!$A73='Data Transfer'!$B$4,'Compliance Database'!$A73='Data Transfer'!$B$5),OR('Data Transfer'!$B$6="",ISNUMBER(SEARCH('Data Transfer'!$B$6,'Compliance Database'!$D73&amp;" "&amp;'Compliance Database'!$K73&amp;" "&amp;'Compliance Database'!$L73&amp;" "&amp;'Compliance Database'!$M73&amp;" "&amp;'Compliance Database'!$N73)))),1,0)</f>
        <v/>
      </c>
      <c r="B73">
        <f>IF($A73=1,SUM($A$2:$A73),"")</f>
        <v/>
      </c>
      <c r="C73">
        <f>IF($A73=1,SUM($A$2:$A73),0)</f>
        <v/>
      </c>
    </row>
    <row r="74">
      <c r="A74">
        <f>IF(AND(OR('Compliance Database'!$A74='Data Transfer'!$B$4,'Compliance Database'!$A74='Data Transfer'!$B$5),OR('Data Transfer'!$B$6="",ISNUMBER(SEARCH('Data Transfer'!$B$6,'Compliance Database'!$D74&amp;" "&amp;'Compliance Database'!$K74&amp;" "&amp;'Compliance Database'!$L74&amp;" "&amp;'Compliance Database'!$M74&amp;" "&amp;'Compliance Database'!$N74)))),1,0)</f>
        <v/>
      </c>
      <c r="B74">
        <f>IF($A74=1,SUM($A$2:$A74),"")</f>
        <v/>
      </c>
      <c r="C74">
        <f>IF($A74=1,SUM($A$2:$A74),0)</f>
        <v/>
      </c>
    </row>
    <row r="75">
      <c r="A75">
        <f>IF(AND(OR('Compliance Database'!$A75='Data Transfer'!$B$4,'Compliance Database'!$A75='Data Transfer'!$B$5),OR('Data Transfer'!$B$6="",ISNUMBER(SEARCH('Data Transfer'!$B$6,'Compliance Database'!$D75&amp;" "&amp;'Compliance Database'!$K75&amp;" "&amp;'Compliance Database'!$L75&amp;" "&amp;'Compliance Database'!$M75&amp;" "&amp;'Compliance Database'!$N75)))),1,0)</f>
        <v/>
      </c>
      <c r="B75">
        <f>IF($A75=1,SUM($A$2:$A75),"")</f>
        <v/>
      </c>
      <c r="C75">
        <f>IF($A75=1,SUM($A$2:$A75),0)</f>
        <v/>
      </c>
    </row>
    <row r="76">
      <c r="A76">
        <f>IF(AND(OR('Compliance Database'!$A76='Data Transfer'!$B$4,'Compliance Database'!$A76='Data Transfer'!$B$5),OR('Data Transfer'!$B$6="",ISNUMBER(SEARCH('Data Transfer'!$B$6,'Compliance Database'!$D76&amp;" "&amp;'Compliance Database'!$K76&amp;" "&amp;'Compliance Database'!$L76&amp;" "&amp;'Compliance Database'!$M76&amp;" "&amp;'Compliance Database'!$N76)))),1,0)</f>
        <v/>
      </c>
      <c r="B76">
        <f>IF($A76=1,SUM($A$2:$A76),"")</f>
        <v/>
      </c>
      <c r="C76">
        <f>IF($A76=1,SUM($A$2:$A76),0)</f>
        <v/>
      </c>
    </row>
    <row r="77">
      <c r="A77">
        <f>IF(AND(OR('Compliance Database'!$A77='Data Transfer'!$B$4,'Compliance Database'!$A77='Data Transfer'!$B$5),OR('Data Transfer'!$B$6="",ISNUMBER(SEARCH('Data Transfer'!$B$6,'Compliance Database'!$D77&amp;" "&amp;'Compliance Database'!$K77&amp;" "&amp;'Compliance Database'!$L77&amp;" "&amp;'Compliance Database'!$M77&amp;" "&amp;'Compliance Database'!$N77)))),1,0)</f>
        <v/>
      </c>
      <c r="B77">
        <f>IF($A77=1,SUM($A$2:$A77),"")</f>
        <v/>
      </c>
      <c r="C77">
        <f>IF($A77=1,SUM($A$2:$A77),0)</f>
        <v/>
      </c>
    </row>
    <row r="78">
      <c r="A78">
        <f>IF(AND(OR('Compliance Database'!$A78='Data Transfer'!$B$4,'Compliance Database'!$A78='Data Transfer'!$B$5),OR('Data Transfer'!$B$6="",ISNUMBER(SEARCH('Data Transfer'!$B$6,'Compliance Database'!$D78&amp;" "&amp;'Compliance Database'!$K78&amp;" "&amp;'Compliance Database'!$L78&amp;" "&amp;'Compliance Database'!$M78&amp;" "&amp;'Compliance Database'!$N78)))),1,0)</f>
        <v/>
      </c>
      <c r="B78">
        <f>IF($A78=1,SUM($A$2:$A78),"")</f>
        <v/>
      </c>
      <c r="C78">
        <f>IF($A78=1,SUM($A$2:$A78),0)</f>
        <v/>
      </c>
    </row>
    <row r="79">
      <c r="A79">
        <f>IF(AND(OR('Compliance Database'!$A79='Data Transfer'!$B$4,'Compliance Database'!$A79='Data Transfer'!$B$5),OR('Data Transfer'!$B$6="",ISNUMBER(SEARCH('Data Transfer'!$B$6,'Compliance Database'!$D79&amp;" "&amp;'Compliance Database'!$K79&amp;" "&amp;'Compliance Database'!$L79&amp;" "&amp;'Compliance Database'!$M79&amp;" "&amp;'Compliance Database'!$N79)))),1,0)</f>
        <v/>
      </c>
      <c r="B79">
        <f>IF($A79=1,SUM($A$2:$A79),"")</f>
        <v/>
      </c>
      <c r="C79">
        <f>IF($A79=1,SUM($A$2:$A79),0)</f>
        <v/>
      </c>
    </row>
    <row r="80">
      <c r="A80">
        <f>IF(AND(OR('Compliance Database'!$A80='Data Transfer'!$B$4,'Compliance Database'!$A80='Data Transfer'!$B$5),OR('Data Transfer'!$B$6="",ISNUMBER(SEARCH('Data Transfer'!$B$6,'Compliance Database'!$D80&amp;" "&amp;'Compliance Database'!$K80&amp;" "&amp;'Compliance Database'!$L80&amp;" "&amp;'Compliance Database'!$M80&amp;" "&amp;'Compliance Database'!$N80)))),1,0)</f>
        <v/>
      </c>
      <c r="B80">
        <f>IF($A80=1,SUM($A$2:$A80),"")</f>
        <v/>
      </c>
      <c r="C80">
        <f>IF($A80=1,SUM($A$2:$A80),0)</f>
        <v/>
      </c>
    </row>
    <row r="81">
      <c r="A81">
        <f>IF(AND(OR('Compliance Database'!$A81='Data Transfer'!$B$4,'Compliance Database'!$A81='Data Transfer'!$B$5),OR('Data Transfer'!$B$6="",ISNUMBER(SEARCH('Data Transfer'!$B$6,'Compliance Database'!$D81&amp;" "&amp;'Compliance Database'!$K81&amp;" "&amp;'Compliance Database'!$L81&amp;" "&amp;'Compliance Database'!$M81&amp;" "&amp;'Compliance Database'!$N81)))),1,0)</f>
        <v/>
      </c>
      <c r="B81">
        <f>IF($A81=1,SUM($A$2:$A81),"")</f>
        <v/>
      </c>
      <c r="C81">
        <f>IF($A81=1,SUM($A$2:$A81),0)</f>
        <v/>
      </c>
    </row>
    <row r="82">
      <c r="A82">
        <f>IF(AND(OR('Compliance Database'!$A82='Data Transfer'!$B$4,'Compliance Database'!$A82='Data Transfer'!$B$5),OR('Data Transfer'!$B$6="",ISNUMBER(SEARCH('Data Transfer'!$B$6,'Compliance Database'!$D82&amp;" "&amp;'Compliance Database'!$K82&amp;" "&amp;'Compliance Database'!$L82&amp;" "&amp;'Compliance Database'!$M82&amp;" "&amp;'Compliance Database'!$N82)))),1,0)</f>
        <v/>
      </c>
      <c r="B82">
        <f>IF($A82=1,SUM($A$2:$A82),"")</f>
        <v/>
      </c>
      <c r="C82">
        <f>IF($A82=1,SUM($A$2:$A82),0)</f>
        <v/>
      </c>
    </row>
    <row r="83">
      <c r="A83">
        <f>IF(AND(OR('Compliance Database'!$A83='Data Transfer'!$B$4,'Compliance Database'!$A83='Data Transfer'!$B$5),OR('Data Transfer'!$B$6="",ISNUMBER(SEARCH('Data Transfer'!$B$6,'Compliance Database'!$D83&amp;" "&amp;'Compliance Database'!$K83&amp;" "&amp;'Compliance Database'!$L83&amp;" "&amp;'Compliance Database'!$M83&amp;" "&amp;'Compliance Database'!$N83)))),1,0)</f>
        <v/>
      </c>
      <c r="B83">
        <f>IF($A83=1,SUM($A$2:$A83),"")</f>
        <v/>
      </c>
      <c r="C83">
        <f>IF($A83=1,SUM($A$2:$A83),0)</f>
        <v/>
      </c>
    </row>
    <row r="84">
      <c r="A84">
        <f>IF(AND(OR('Compliance Database'!$A84='Data Transfer'!$B$4,'Compliance Database'!$A84='Data Transfer'!$B$5),OR('Data Transfer'!$B$6="",ISNUMBER(SEARCH('Data Transfer'!$B$6,'Compliance Database'!$D84&amp;" "&amp;'Compliance Database'!$K84&amp;" "&amp;'Compliance Database'!$L84&amp;" "&amp;'Compliance Database'!$M84&amp;" "&amp;'Compliance Database'!$N84)))),1,0)</f>
        <v/>
      </c>
      <c r="B84">
        <f>IF($A84=1,SUM($A$2:$A84),"")</f>
        <v/>
      </c>
      <c r="C84">
        <f>IF($A84=1,SUM($A$2:$A84),0)</f>
        <v/>
      </c>
    </row>
    <row r="85">
      <c r="A85">
        <f>IF(AND(OR('Compliance Database'!$A85='Data Transfer'!$B$4,'Compliance Database'!$A85='Data Transfer'!$B$5),OR('Data Transfer'!$B$6="",ISNUMBER(SEARCH('Data Transfer'!$B$6,'Compliance Database'!$D85&amp;" "&amp;'Compliance Database'!$K85&amp;" "&amp;'Compliance Database'!$L85&amp;" "&amp;'Compliance Database'!$M85&amp;" "&amp;'Compliance Database'!$N85)))),1,0)</f>
        <v/>
      </c>
      <c r="B85">
        <f>IF($A85=1,SUM($A$2:$A85),"")</f>
        <v/>
      </c>
      <c r="C85">
        <f>IF($A85=1,SUM($A$2:$A85),0)</f>
        <v/>
      </c>
    </row>
    <row r="86">
      <c r="A86">
        <f>IF(AND(OR('Compliance Database'!$A86='Data Transfer'!$B$4,'Compliance Database'!$A86='Data Transfer'!$B$5),OR('Data Transfer'!$B$6="",ISNUMBER(SEARCH('Data Transfer'!$B$6,'Compliance Database'!$D86&amp;" "&amp;'Compliance Database'!$K86&amp;" "&amp;'Compliance Database'!$L86&amp;" "&amp;'Compliance Database'!$M86&amp;" "&amp;'Compliance Database'!$N86)))),1,0)</f>
        <v/>
      </c>
      <c r="B86">
        <f>IF($A86=1,SUM($A$2:$A86),"")</f>
        <v/>
      </c>
      <c r="C86">
        <f>IF($A86=1,SUM($A$2:$A86),0)</f>
        <v/>
      </c>
    </row>
    <row r="87">
      <c r="A87">
        <f>IF(AND(OR('Compliance Database'!$A87='Data Transfer'!$B$4,'Compliance Database'!$A87='Data Transfer'!$B$5),OR('Data Transfer'!$B$6="",ISNUMBER(SEARCH('Data Transfer'!$B$6,'Compliance Database'!$D87&amp;" "&amp;'Compliance Database'!$K87&amp;" "&amp;'Compliance Database'!$L87&amp;" "&amp;'Compliance Database'!$M87&amp;" "&amp;'Compliance Database'!$N87)))),1,0)</f>
        <v/>
      </c>
      <c r="B87">
        <f>IF($A87=1,SUM($A$2:$A87),"")</f>
        <v/>
      </c>
      <c r="C87">
        <f>IF($A87=1,SUM($A$2:$A87),0)</f>
        <v/>
      </c>
    </row>
    <row r="88">
      <c r="A88">
        <f>IF(AND(OR('Compliance Database'!$A88='Data Transfer'!$B$4,'Compliance Database'!$A88='Data Transfer'!$B$5),OR('Data Transfer'!$B$6="",ISNUMBER(SEARCH('Data Transfer'!$B$6,'Compliance Database'!$D88&amp;" "&amp;'Compliance Database'!$K88&amp;" "&amp;'Compliance Database'!$L88&amp;" "&amp;'Compliance Database'!$M88&amp;" "&amp;'Compliance Database'!$N88)))),1,0)</f>
        <v/>
      </c>
      <c r="B88">
        <f>IF($A88=1,SUM($A$2:$A88),"")</f>
        <v/>
      </c>
      <c r="C88">
        <f>IF($A88=1,SUM($A$2:$A88),0)</f>
        <v/>
      </c>
    </row>
    <row r="89">
      <c r="A89">
        <f>IF(AND(OR('Compliance Database'!$A89='Data Transfer'!$B$4,'Compliance Database'!$A89='Data Transfer'!$B$5),OR('Data Transfer'!$B$6="",ISNUMBER(SEARCH('Data Transfer'!$B$6,'Compliance Database'!$D89&amp;" "&amp;'Compliance Database'!$K89&amp;" "&amp;'Compliance Database'!$L89&amp;" "&amp;'Compliance Database'!$M89&amp;" "&amp;'Compliance Database'!$N89)))),1,0)</f>
        <v/>
      </c>
      <c r="B89">
        <f>IF($A89=1,SUM($A$2:$A89),"")</f>
        <v/>
      </c>
      <c r="C89">
        <f>IF($A89=1,SUM($A$2:$A89),0)</f>
        <v/>
      </c>
    </row>
    <row r="90">
      <c r="A90">
        <f>IF(AND(OR('Compliance Database'!$A90='Data Transfer'!$B$4,'Compliance Database'!$A90='Data Transfer'!$B$5),OR('Data Transfer'!$B$6="",ISNUMBER(SEARCH('Data Transfer'!$B$6,'Compliance Database'!$D90&amp;" "&amp;'Compliance Database'!$K90&amp;" "&amp;'Compliance Database'!$L90&amp;" "&amp;'Compliance Database'!$M90&amp;" "&amp;'Compliance Database'!$N90)))),1,0)</f>
        <v/>
      </c>
      <c r="B90">
        <f>IF($A90=1,SUM($A$2:$A90),"")</f>
        <v/>
      </c>
      <c r="C90">
        <f>IF($A90=1,SUM($A$2:$A90),0)</f>
        <v/>
      </c>
    </row>
    <row r="91">
      <c r="A91">
        <f>IF(AND(OR('Compliance Database'!$A91='Data Transfer'!$B$4,'Compliance Database'!$A91='Data Transfer'!$B$5),OR('Data Transfer'!$B$6="",ISNUMBER(SEARCH('Data Transfer'!$B$6,'Compliance Database'!$D91&amp;" "&amp;'Compliance Database'!$K91&amp;" "&amp;'Compliance Database'!$L91&amp;" "&amp;'Compliance Database'!$M91&amp;" "&amp;'Compliance Database'!$N91)))),1,0)</f>
        <v/>
      </c>
      <c r="B91">
        <f>IF($A91=1,SUM($A$2:$A91),"")</f>
        <v/>
      </c>
      <c r="C91">
        <f>IF($A91=1,SUM($A$2:$A91),0)</f>
        <v/>
      </c>
    </row>
    <row r="92">
      <c r="A92">
        <f>IF(AND(OR('Compliance Database'!$A92='Data Transfer'!$B$4,'Compliance Database'!$A92='Data Transfer'!$B$5),OR('Data Transfer'!$B$6="",ISNUMBER(SEARCH('Data Transfer'!$B$6,'Compliance Database'!$D92&amp;" "&amp;'Compliance Database'!$K92&amp;" "&amp;'Compliance Database'!$L92&amp;" "&amp;'Compliance Database'!$M92&amp;" "&amp;'Compliance Database'!$N92)))),1,0)</f>
        <v/>
      </c>
      <c r="B92">
        <f>IF($A92=1,SUM($A$2:$A92),"")</f>
        <v/>
      </c>
      <c r="C92">
        <f>IF($A92=1,SUM($A$2:$A92),0)</f>
        <v/>
      </c>
    </row>
    <row r="93">
      <c r="A93">
        <f>IF(AND(OR('Compliance Database'!$A93='Data Transfer'!$B$4,'Compliance Database'!$A93='Data Transfer'!$B$5),OR('Data Transfer'!$B$6="",ISNUMBER(SEARCH('Data Transfer'!$B$6,'Compliance Database'!$D93&amp;" "&amp;'Compliance Database'!$K93&amp;" "&amp;'Compliance Database'!$L93&amp;" "&amp;'Compliance Database'!$M93&amp;" "&amp;'Compliance Database'!$N93)))),1,0)</f>
        <v/>
      </c>
      <c r="B93">
        <f>IF($A93=1,SUM($A$2:$A93),"")</f>
        <v/>
      </c>
      <c r="C93">
        <f>IF($A93=1,SUM($A$2:$A93),0)</f>
        <v/>
      </c>
    </row>
    <row r="94">
      <c r="A94">
        <f>IF(AND(OR('Compliance Database'!$A94='Data Transfer'!$B$4,'Compliance Database'!$A94='Data Transfer'!$B$5),OR('Data Transfer'!$B$6="",ISNUMBER(SEARCH('Data Transfer'!$B$6,'Compliance Database'!$D94&amp;" "&amp;'Compliance Database'!$K94&amp;" "&amp;'Compliance Database'!$L94&amp;" "&amp;'Compliance Database'!$M94&amp;" "&amp;'Compliance Database'!$N94)))),1,0)</f>
        <v/>
      </c>
      <c r="B94">
        <f>IF($A94=1,SUM($A$2:$A94),"")</f>
        <v/>
      </c>
      <c r="C94">
        <f>IF($A94=1,SUM($A$2:$A94),0)</f>
        <v/>
      </c>
    </row>
    <row r="95">
      <c r="A95">
        <f>IF(AND(OR('Compliance Database'!$A95='Data Transfer'!$B$4,'Compliance Database'!$A95='Data Transfer'!$B$5),OR('Data Transfer'!$B$6="",ISNUMBER(SEARCH('Data Transfer'!$B$6,'Compliance Database'!$D95&amp;" "&amp;'Compliance Database'!$K95&amp;" "&amp;'Compliance Database'!$L95&amp;" "&amp;'Compliance Database'!$M95&amp;" "&amp;'Compliance Database'!$N95)))),1,0)</f>
        <v/>
      </c>
      <c r="B95">
        <f>IF($A95=1,SUM($A$2:$A95),"")</f>
        <v/>
      </c>
      <c r="C95">
        <f>IF($A95=1,SUM($A$2:$A95),0)</f>
        <v/>
      </c>
    </row>
    <row r="96">
      <c r="A96">
        <f>IF(AND(OR('Compliance Database'!$A96='Data Transfer'!$B$4,'Compliance Database'!$A96='Data Transfer'!$B$5),OR('Data Transfer'!$B$6="",ISNUMBER(SEARCH('Data Transfer'!$B$6,'Compliance Database'!$D96&amp;" "&amp;'Compliance Database'!$K96&amp;" "&amp;'Compliance Database'!$L96&amp;" "&amp;'Compliance Database'!$M96&amp;" "&amp;'Compliance Database'!$N96)))),1,0)</f>
        <v/>
      </c>
      <c r="B96">
        <f>IF($A96=1,SUM($A$2:$A96),"")</f>
        <v/>
      </c>
      <c r="C96">
        <f>IF($A96=1,SUM($A$2:$A96),0)</f>
        <v/>
      </c>
    </row>
    <row r="97">
      <c r="A97">
        <f>IF(AND(OR('Compliance Database'!$A97='Data Transfer'!$B$4,'Compliance Database'!$A97='Data Transfer'!$B$5),OR('Data Transfer'!$B$6="",ISNUMBER(SEARCH('Data Transfer'!$B$6,'Compliance Database'!$D97&amp;" "&amp;'Compliance Database'!$K97&amp;" "&amp;'Compliance Database'!$L97&amp;" "&amp;'Compliance Database'!$M97&amp;" "&amp;'Compliance Database'!$N97)))),1,0)</f>
        <v/>
      </c>
      <c r="B97">
        <f>IF($A97=1,SUM($A$2:$A97),"")</f>
        <v/>
      </c>
      <c r="C97">
        <f>IF($A97=1,SUM($A$2:$A97),0)</f>
        <v/>
      </c>
    </row>
    <row r="98">
      <c r="A98">
        <f>IF(AND(OR('Compliance Database'!$A98='Data Transfer'!$B$4,'Compliance Database'!$A98='Data Transfer'!$B$5),OR('Data Transfer'!$B$6="",ISNUMBER(SEARCH('Data Transfer'!$B$6,'Compliance Database'!$D98&amp;" "&amp;'Compliance Database'!$K98&amp;" "&amp;'Compliance Database'!$L98&amp;" "&amp;'Compliance Database'!$M98&amp;" "&amp;'Compliance Database'!$N98)))),1,0)</f>
        <v/>
      </c>
      <c r="B98">
        <f>IF($A98=1,SUM($A$2:$A98),"")</f>
        <v/>
      </c>
      <c r="C98">
        <f>IF($A98=1,SUM($A$2:$A98),0)</f>
        <v/>
      </c>
    </row>
    <row r="99">
      <c r="A99">
        <f>IF(AND(OR('Compliance Database'!$A99='Data Transfer'!$B$4,'Compliance Database'!$A99='Data Transfer'!$B$5),OR('Data Transfer'!$B$6="",ISNUMBER(SEARCH('Data Transfer'!$B$6,'Compliance Database'!$D99&amp;" "&amp;'Compliance Database'!$K99&amp;" "&amp;'Compliance Database'!$L99&amp;" "&amp;'Compliance Database'!$M99&amp;" "&amp;'Compliance Database'!$N99)))),1,0)</f>
        <v/>
      </c>
      <c r="B99">
        <f>IF($A99=1,SUM($A$2:$A99),"")</f>
        <v/>
      </c>
      <c r="C99">
        <f>IF($A99=1,SUM($A$2:$A99),0)</f>
        <v/>
      </c>
    </row>
    <row r="100">
      <c r="A100">
        <f>IF(AND(OR('Compliance Database'!$A100='Data Transfer'!$B$4,'Compliance Database'!$A100='Data Transfer'!$B$5),OR('Data Transfer'!$B$6="",ISNUMBER(SEARCH('Data Transfer'!$B$6,'Compliance Database'!$D100&amp;" "&amp;'Compliance Database'!$K100&amp;" "&amp;'Compliance Database'!$L100&amp;" "&amp;'Compliance Database'!$M100&amp;" "&amp;'Compliance Database'!$N100)))),1,0)</f>
        <v/>
      </c>
      <c r="B100">
        <f>IF($A100=1,SUM($A$2:$A100),"")</f>
        <v/>
      </c>
      <c r="C100">
        <f>IF($A100=1,SUM($A$2:$A100),0)</f>
        <v/>
      </c>
    </row>
    <row r="101">
      <c r="A101">
        <f>IF(AND(OR('Compliance Database'!$A101='Data Transfer'!$B$4,'Compliance Database'!$A101='Data Transfer'!$B$5),OR('Data Transfer'!$B$6="",ISNUMBER(SEARCH('Data Transfer'!$B$6,'Compliance Database'!$D101&amp;" "&amp;'Compliance Database'!$K101&amp;" "&amp;'Compliance Database'!$L101&amp;" "&amp;'Compliance Database'!$M101&amp;" "&amp;'Compliance Database'!$N101)))),1,0)</f>
        <v/>
      </c>
      <c r="B101">
        <f>IF($A101=1,SUM($A$2:$A101),"")</f>
        <v/>
      </c>
      <c r="C101">
        <f>IF($A101=1,SUM($A$2:$A101),0)</f>
        <v/>
      </c>
    </row>
    <row r="102">
      <c r="A102">
        <f>IF(AND(OR('Compliance Database'!$A102='Data Transfer'!$B$4,'Compliance Database'!$A102='Data Transfer'!$B$5),OR('Data Transfer'!$B$6="",ISNUMBER(SEARCH('Data Transfer'!$B$6,'Compliance Database'!$D102&amp;" "&amp;'Compliance Database'!$K102&amp;" "&amp;'Compliance Database'!$L102&amp;" "&amp;'Compliance Database'!$M102&amp;" "&amp;'Compliance Database'!$N102)))),1,0)</f>
        <v/>
      </c>
      <c r="B102">
        <f>IF($A102=1,SUM($A$2:$A102),"")</f>
        <v/>
      </c>
      <c r="C102">
        <f>IF($A102=1,SUM($A$2:$A102),0)</f>
        <v/>
      </c>
    </row>
    <row r="103">
      <c r="A103">
        <f>IF(AND(OR('Compliance Database'!$A103='Data Transfer'!$B$4,'Compliance Database'!$A103='Data Transfer'!$B$5),OR('Data Transfer'!$B$6="",ISNUMBER(SEARCH('Data Transfer'!$B$6,'Compliance Database'!$D103&amp;" "&amp;'Compliance Database'!$K103&amp;" "&amp;'Compliance Database'!$L103&amp;" "&amp;'Compliance Database'!$M103&amp;" "&amp;'Compliance Database'!$N103)))),1,0)</f>
        <v/>
      </c>
      <c r="B103">
        <f>IF($A103=1,SUM($A$2:$A103),"")</f>
        <v/>
      </c>
      <c r="C103">
        <f>IF($A103=1,SUM($A$2:$A103),0)</f>
        <v/>
      </c>
    </row>
    <row r="104">
      <c r="A104">
        <f>IF(AND(OR('Compliance Database'!$A104='Data Transfer'!$B$4,'Compliance Database'!$A104='Data Transfer'!$B$5),OR('Data Transfer'!$B$6="",ISNUMBER(SEARCH('Data Transfer'!$B$6,'Compliance Database'!$D104&amp;" "&amp;'Compliance Database'!$K104&amp;" "&amp;'Compliance Database'!$L104&amp;" "&amp;'Compliance Database'!$M104&amp;" "&amp;'Compliance Database'!$N104)))),1,0)</f>
        <v/>
      </c>
      <c r="B104">
        <f>IF($A104=1,SUM($A$2:$A104),"")</f>
        <v/>
      </c>
      <c r="C104">
        <f>IF($A104=1,SUM($A$2:$A104),0)</f>
        <v/>
      </c>
    </row>
    <row r="105">
      <c r="A105">
        <f>IF(AND(OR('Compliance Database'!$A105='Data Transfer'!$B$4,'Compliance Database'!$A105='Data Transfer'!$B$5),OR('Data Transfer'!$B$6="",ISNUMBER(SEARCH('Data Transfer'!$B$6,'Compliance Database'!$D105&amp;" "&amp;'Compliance Database'!$K105&amp;" "&amp;'Compliance Database'!$L105&amp;" "&amp;'Compliance Database'!$M105&amp;" "&amp;'Compliance Database'!$N105)))),1,0)</f>
        <v/>
      </c>
      <c r="B105">
        <f>IF($A105=1,SUM($A$2:$A105),"")</f>
        <v/>
      </c>
      <c r="C105">
        <f>IF($A105=1,SUM($A$2:$A105),0)</f>
        <v/>
      </c>
    </row>
    <row r="106">
      <c r="A106">
        <f>IF(AND(OR('Compliance Database'!$A106='Data Transfer'!$B$4,'Compliance Database'!$A106='Data Transfer'!$B$5),OR('Data Transfer'!$B$6="",ISNUMBER(SEARCH('Data Transfer'!$B$6,'Compliance Database'!$D106&amp;" "&amp;'Compliance Database'!$K106&amp;" "&amp;'Compliance Database'!$L106&amp;" "&amp;'Compliance Database'!$M106&amp;" "&amp;'Compliance Database'!$N106)))),1,0)</f>
        <v/>
      </c>
      <c r="B106">
        <f>IF($A106=1,SUM($A$2:$A106),"")</f>
        <v/>
      </c>
      <c r="C106">
        <f>IF($A106=1,SUM($A$2:$A106),0)</f>
        <v/>
      </c>
    </row>
    <row r="107">
      <c r="A107">
        <f>IF(AND(OR('Compliance Database'!$A107='Data Transfer'!$B$4,'Compliance Database'!$A107='Data Transfer'!$B$5),OR('Data Transfer'!$B$6="",ISNUMBER(SEARCH('Data Transfer'!$B$6,'Compliance Database'!$D107&amp;" "&amp;'Compliance Database'!$K107&amp;" "&amp;'Compliance Database'!$L107&amp;" "&amp;'Compliance Database'!$M107&amp;" "&amp;'Compliance Database'!$N107)))),1,0)</f>
        <v/>
      </c>
      <c r="B107">
        <f>IF($A107=1,SUM($A$2:$A107),"")</f>
        <v/>
      </c>
      <c r="C107">
        <f>IF($A107=1,SUM($A$2:$A107),0)</f>
        <v/>
      </c>
    </row>
    <row r="108">
      <c r="A108">
        <f>IF(AND(OR('Compliance Database'!$A108='Data Transfer'!$B$4,'Compliance Database'!$A108='Data Transfer'!$B$5),OR('Data Transfer'!$B$6="",ISNUMBER(SEARCH('Data Transfer'!$B$6,'Compliance Database'!$D108&amp;" "&amp;'Compliance Database'!$K108&amp;" "&amp;'Compliance Database'!$L108&amp;" "&amp;'Compliance Database'!$M108&amp;" "&amp;'Compliance Database'!$N108)))),1,0)</f>
        <v/>
      </c>
      <c r="B108">
        <f>IF($A108=1,SUM($A$2:$A108),"")</f>
        <v/>
      </c>
      <c r="C108">
        <f>IF($A108=1,SUM($A$2:$A108),0)</f>
        <v/>
      </c>
    </row>
    <row r="109">
      <c r="A109">
        <f>IF(AND(OR('Compliance Database'!$A109='Data Transfer'!$B$4,'Compliance Database'!$A109='Data Transfer'!$B$5),OR('Data Transfer'!$B$6="",ISNUMBER(SEARCH('Data Transfer'!$B$6,'Compliance Database'!$D109&amp;" "&amp;'Compliance Database'!$K109&amp;" "&amp;'Compliance Database'!$L109&amp;" "&amp;'Compliance Database'!$M109&amp;" "&amp;'Compliance Database'!$N109)))),1,0)</f>
        <v/>
      </c>
      <c r="B109">
        <f>IF($A109=1,SUM($A$2:$A109),"")</f>
        <v/>
      </c>
      <c r="C109">
        <f>IF($A109=1,SUM($A$2:$A109),0)</f>
        <v/>
      </c>
    </row>
    <row r="110">
      <c r="A110">
        <f>IF(AND(OR('Compliance Database'!$A110='Data Transfer'!$B$4,'Compliance Database'!$A110='Data Transfer'!$B$5),OR('Data Transfer'!$B$6="",ISNUMBER(SEARCH('Data Transfer'!$B$6,'Compliance Database'!$D110&amp;" "&amp;'Compliance Database'!$K110&amp;" "&amp;'Compliance Database'!$L110&amp;" "&amp;'Compliance Database'!$M110&amp;" "&amp;'Compliance Database'!$N110)))),1,0)</f>
        <v/>
      </c>
      <c r="B110">
        <f>IF($A110=1,SUM($A$2:$A110),"")</f>
        <v/>
      </c>
      <c r="C110">
        <f>IF($A110=1,SUM($A$2:$A110),0)</f>
        <v/>
      </c>
    </row>
    <row r="111">
      <c r="A111">
        <f>IF(AND(OR('Compliance Database'!$A111='Data Transfer'!$B$4,'Compliance Database'!$A111='Data Transfer'!$B$5),OR('Data Transfer'!$B$6="",ISNUMBER(SEARCH('Data Transfer'!$B$6,'Compliance Database'!$D111&amp;" "&amp;'Compliance Database'!$K111&amp;" "&amp;'Compliance Database'!$L111&amp;" "&amp;'Compliance Database'!$M111&amp;" "&amp;'Compliance Database'!$N111)))),1,0)</f>
        <v/>
      </c>
      <c r="B111">
        <f>IF($A111=1,SUM($A$2:$A111),"")</f>
        <v/>
      </c>
      <c r="C111">
        <f>IF($A111=1,SUM($A$2:$A111),0)</f>
        <v/>
      </c>
    </row>
    <row r="112">
      <c r="A112">
        <f>IF(AND(OR('Compliance Database'!$A112='Data Transfer'!$B$4,'Compliance Database'!$A112='Data Transfer'!$B$5),OR('Data Transfer'!$B$6="",ISNUMBER(SEARCH('Data Transfer'!$B$6,'Compliance Database'!$D112&amp;" "&amp;'Compliance Database'!$K112&amp;" "&amp;'Compliance Database'!$L112&amp;" "&amp;'Compliance Database'!$M112&amp;" "&amp;'Compliance Database'!$N112)))),1,0)</f>
        <v/>
      </c>
      <c r="B112">
        <f>IF($A112=1,SUM($A$2:$A112),"")</f>
        <v/>
      </c>
      <c r="C112">
        <f>IF($A112=1,SUM($A$2:$A112),0)</f>
        <v/>
      </c>
    </row>
    <row r="113">
      <c r="A113">
        <f>IF(AND(OR('Compliance Database'!$A113='Data Transfer'!$B$4,'Compliance Database'!$A113='Data Transfer'!$B$5),OR('Data Transfer'!$B$6="",ISNUMBER(SEARCH('Data Transfer'!$B$6,'Compliance Database'!$D113&amp;" "&amp;'Compliance Database'!$K113&amp;" "&amp;'Compliance Database'!$L113&amp;" "&amp;'Compliance Database'!$M113&amp;" "&amp;'Compliance Database'!$N113)))),1,0)</f>
        <v/>
      </c>
      <c r="B113">
        <f>IF($A113=1,SUM($A$2:$A113),"")</f>
        <v/>
      </c>
      <c r="C113">
        <f>IF($A113=1,SUM($A$2:$A113),0)</f>
        <v/>
      </c>
    </row>
    <row r="114">
      <c r="A114">
        <f>IF(AND(OR('Compliance Database'!$A114='Data Transfer'!$B$4,'Compliance Database'!$A114='Data Transfer'!$B$5),OR('Data Transfer'!$B$6="",ISNUMBER(SEARCH('Data Transfer'!$B$6,'Compliance Database'!$D114&amp;" "&amp;'Compliance Database'!$K114&amp;" "&amp;'Compliance Database'!$L114&amp;" "&amp;'Compliance Database'!$M114&amp;" "&amp;'Compliance Database'!$N114)))),1,0)</f>
        <v/>
      </c>
      <c r="B114">
        <f>IF($A114=1,SUM($A$2:$A114),"")</f>
        <v/>
      </c>
      <c r="C114">
        <f>IF($A114=1,SUM($A$2:$A114),0)</f>
        <v/>
      </c>
    </row>
    <row r="115">
      <c r="A115">
        <f>IF(AND(OR('Compliance Database'!$A115='Data Transfer'!$B$4,'Compliance Database'!$A115='Data Transfer'!$B$5),OR('Data Transfer'!$B$6="",ISNUMBER(SEARCH('Data Transfer'!$B$6,'Compliance Database'!$D115&amp;" "&amp;'Compliance Database'!$K115&amp;" "&amp;'Compliance Database'!$L115&amp;" "&amp;'Compliance Database'!$M115&amp;" "&amp;'Compliance Database'!$N115)))),1,0)</f>
        <v/>
      </c>
      <c r="B115">
        <f>IF($A115=1,SUM($A$2:$A115),"")</f>
        <v/>
      </c>
      <c r="C115">
        <f>IF($A115=1,SUM($A$2:$A115),0)</f>
        <v/>
      </c>
    </row>
    <row r="116">
      <c r="A116">
        <f>IF(AND(OR('Compliance Database'!$A116='Data Transfer'!$B$4,'Compliance Database'!$A116='Data Transfer'!$B$5),OR('Data Transfer'!$B$6="",ISNUMBER(SEARCH('Data Transfer'!$B$6,'Compliance Database'!$D116&amp;" "&amp;'Compliance Database'!$K116&amp;" "&amp;'Compliance Database'!$L116&amp;" "&amp;'Compliance Database'!$M116&amp;" "&amp;'Compliance Database'!$N116)))),1,0)</f>
        <v/>
      </c>
      <c r="B116">
        <f>IF($A116=1,SUM($A$2:$A116),"")</f>
        <v/>
      </c>
      <c r="C116">
        <f>IF($A116=1,SUM($A$2:$A116),0)</f>
        <v/>
      </c>
    </row>
    <row r="117">
      <c r="A117">
        <f>IF(AND(OR('Compliance Database'!$A117='Data Transfer'!$B$4,'Compliance Database'!$A117='Data Transfer'!$B$5),OR('Data Transfer'!$B$6="",ISNUMBER(SEARCH('Data Transfer'!$B$6,'Compliance Database'!$D117&amp;" "&amp;'Compliance Database'!$K117&amp;" "&amp;'Compliance Database'!$L117&amp;" "&amp;'Compliance Database'!$M117&amp;" "&amp;'Compliance Database'!$N117)))),1,0)</f>
        <v/>
      </c>
      <c r="B117">
        <f>IF($A117=1,SUM($A$2:$A117),"")</f>
        <v/>
      </c>
      <c r="C117">
        <f>IF($A117=1,SUM($A$2:$A117),0)</f>
        <v/>
      </c>
    </row>
    <row r="118">
      <c r="A118">
        <f>IF(AND(OR('Compliance Database'!$A118='Data Transfer'!$B$4,'Compliance Database'!$A118='Data Transfer'!$B$5),OR('Data Transfer'!$B$6="",ISNUMBER(SEARCH('Data Transfer'!$B$6,'Compliance Database'!$D118&amp;" "&amp;'Compliance Database'!$K118&amp;" "&amp;'Compliance Database'!$L118&amp;" "&amp;'Compliance Database'!$M118&amp;" "&amp;'Compliance Database'!$N118)))),1,0)</f>
        <v/>
      </c>
      <c r="B118">
        <f>IF($A118=1,SUM($A$2:$A118),"")</f>
        <v/>
      </c>
      <c r="C118">
        <f>IF($A118=1,SUM($A$2:$A118),0)</f>
        <v/>
      </c>
    </row>
    <row r="119">
      <c r="A119">
        <f>IF(AND(OR('Compliance Database'!$A119='Data Transfer'!$B$4,'Compliance Database'!$A119='Data Transfer'!$B$5),OR('Data Transfer'!$B$6="",ISNUMBER(SEARCH('Data Transfer'!$B$6,'Compliance Database'!$D119&amp;" "&amp;'Compliance Database'!$K119&amp;" "&amp;'Compliance Database'!$L119&amp;" "&amp;'Compliance Database'!$M119&amp;" "&amp;'Compliance Database'!$N119)))),1,0)</f>
        <v/>
      </c>
      <c r="B119">
        <f>IF($A119=1,SUM($A$2:$A119),"")</f>
        <v/>
      </c>
      <c r="C119">
        <f>IF($A119=1,SUM($A$2:$A119),0)</f>
        <v/>
      </c>
    </row>
    <row r="120">
      <c r="A120">
        <f>IF(AND(OR('Compliance Database'!$A120='Data Transfer'!$B$4,'Compliance Database'!$A120='Data Transfer'!$B$5),OR('Data Transfer'!$B$6="",ISNUMBER(SEARCH('Data Transfer'!$B$6,'Compliance Database'!$D120&amp;" "&amp;'Compliance Database'!$K120&amp;" "&amp;'Compliance Database'!$L120&amp;" "&amp;'Compliance Database'!$M120&amp;" "&amp;'Compliance Database'!$N120)))),1,0)</f>
        <v/>
      </c>
      <c r="B120">
        <f>IF($A120=1,SUM($A$2:$A120),"")</f>
        <v/>
      </c>
      <c r="C120">
        <f>IF($A120=1,SUM($A$2:$A120),0)</f>
        <v/>
      </c>
    </row>
    <row r="121">
      <c r="A121">
        <f>IF(AND(OR('Compliance Database'!$A121='Data Transfer'!$B$4,'Compliance Database'!$A121='Data Transfer'!$B$5),OR('Data Transfer'!$B$6="",ISNUMBER(SEARCH('Data Transfer'!$B$6,'Compliance Database'!$D121&amp;" "&amp;'Compliance Database'!$K121&amp;" "&amp;'Compliance Database'!$L121&amp;" "&amp;'Compliance Database'!$M121&amp;" "&amp;'Compliance Database'!$N121)))),1,0)</f>
        <v/>
      </c>
      <c r="B121">
        <f>IF($A121=1,SUM($A$2:$A121),"")</f>
        <v/>
      </c>
      <c r="C121">
        <f>IF($A121=1,SUM($A$2:$A121),0)</f>
        <v/>
      </c>
    </row>
    <row r="122">
      <c r="A122">
        <f>IF(AND(OR('Compliance Database'!$A122='Data Transfer'!$B$4,'Compliance Database'!$A122='Data Transfer'!$B$5),OR('Data Transfer'!$B$6="",ISNUMBER(SEARCH('Data Transfer'!$B$6,'Compliance Database'!$D122&amp;" "&amp;'Compliance Database'!$K122&amp;" "&amp;'Compliance Database'!$L122&amp;" "&amp;'Compliance Database'!$M122&amp;" "&amp;'Compliance Database'!$N122)))),1,0)</f>
        <v/>
      </c>
      <c r="B122">
        <f>IF($A122=1,SUM($A$2:$A122),"")</f>
        <v/>
      </c>
      <c r="C122">
        <f>IF($A122=1,SUM($A$2:$A122),0)</f>
        <v/>
      </c>
    </row>
    <row r="123">
      <c r="A123">
        <f>IF(AND(OR('Compliance Database'!$A123='Data Transfer'!$B$4,'Compliance Database'!$A123='Data Transfer'!$B$5),OR('Data Transfer'!$B$6="",ISNUMBER(SEARCH('Data Transfer'!$B$6,'Compliance Database'!$D123&amp;" "&amp;'Compliance Database'!$K123&amp;" "&amp;'Compliance Database'!$L123&amp;" "&amp;'Compliance Database'!$M123&amp;" "&amp;'Compliance Database'!$N123)))),1,0)</f>
        <v/>
      </c>
      <c r="B123">
        <f>IF($A123=1,SUM($A$2:$A123),"")</f>
        <v/>
      </c>
      <c r="C123">
        <f>IF($A123=1,SUM($A$2:$A123),0)</f>
        <v/>
      </c>
    </row>
    <row r="124">
      <c r="A124">
        <f>IF(AND(OR('Compliance Database'!$A124='Data Transfer'!$B$4,'Compliance Database'!$A124='Data Transfer'!$B$5),OR('Data Transfer'!$B$6="",ISNUMBER(SEARCH('Data Transfer'!$B$6,'Compliance Database'!$D124&amp;" "&amp;'Compliance Database'!$K124&amp;" "&amp;'Compliance Database'!$L124&amp;" "&amp;'Compliance Database'!$M124&amp;" "&amp;'Compliance Database'!$N124)))),1,0)</f>
        <v/>
      </c>
      <c r="B124">
        <f>IF($A124=1,SUM($A$2:$A124),"")</f>
        <v/>
      </c>
      <c r="C124">
        <f>IF($A124=1,SUM($A$2:$A124),0)</f>
        <v/>
      </c>
    </row>
    <row r="125">
      <c r="A125">
        <f>IF(AND(OR('Compliance Database'!$A125='Data Transfer'!$B$4,'Compliance Database'!$A125='Data Transfer'!$B$5),OR('Data Transfer'!$B$6="",ISNUMBER(SEARCH('Data Transfer'!$B$6,'Compliance Database'!$D125&amp;" "&amp;'Compliance Database'!$K125&amp;" "&amp;'Compliance Database'!$L125&amp;" "&amp;'Compliance Database'!$M125&amp;" "&amp;'Compliance Database'!$N125)))),1,0)</f>
        <v/>
      </c>
      <c r="B125">
        <f>IF($A125=1,SUM($A$2:$A125),"")</f>
        <v/>
      </c>
      <c r="C125">
        <f>IF($A125=1,SUM($A$2:$A125),0)</f>
        <v/>
      </c>
    </row>
    <row r="126">
      <c r="A126">
        <f>IF(AND(OR('Compliance Database'!$A126='Data Transfer'!$B$4,'Compliance Database'!$A126='Data Transfer'!$B$5),OR('Data Transfer'!$B$6="",ISNUMBER(SEARCH('Data Transfer'!$B$6,'Compliance Database'!$D126&amp;" "&amp;'Compliance Database'!$K126&amp;" "&amp;'Compliance Database'!$L126&amp;" "&amp;'Compliance Database'!$M126&amp;" "&amp;'Compliance Database'!$N126)))),1,0)</f>
        <v/>
      </c>
      <c r="B126">
        <f>IF($A126=1,SUM($A$2:$A126),"")</f>
        <v/>
      </c>
      <c r="C126">
        <f>IF($A126=1,SUM($A$2:$A126),0)</f>
        <v/>
      </c>
    </row>
    <row r="127">
      <c r="A127">
        <f>IF(AND(OR('Compliance Database'!$A127='Data Transfer'!$B$4,'Compliance Database'!$A127='Data Transfer'!$B$5),OR('Data Transfer'!$B$6="",ISNUMBER(SEARCH('Data Transfer'!$B$6,'Compliance Database'!$D127&amp;" "&amp;'Compliance Database'!$K127&amp;" "&amp;'Compliance Database'!$L127&amp;" "&amp;'Compliance Database'!$M127&amp;" "&amp;'Compliance Database'!$N127)))),1,0)</f>
        <v/>
      </c>
      <c r="B127">
        <f>IF($A127=1,SUM($A$2:$A127),"")</f>
        <v/>
      </c>
      <c r="C127">
        <f>IF($A127=1,SUM($A$2:$A127),0)</f>
        <v/>
      </c>
    </row>
    <row r="128">
      <c r="A128">
        <f>IF(AND(OR('Compliance Database'!$A128='Data Transfer'!$B$4,'Compliance Database'!$A128='Data Transfer'!$B$5),OR('Data Transfer'!$B$6="",ISNUMBER(SEARCH('Data Transfer'!$B$6,'Compliance Database'!$D128&amp;" "&amp;'Compliance Database'!$K128&amp;" "&amp;'Compliance Database'!$L128&amp;" "&amp;'Compliance Database'!$M128&amp;" "&amp;'Compliance Database'!$N128)))),1,0)</f>
        <v/>
      </c>
      <c r="B128">
        <f>IF($A128=1,SUM($A$2:$A128),"")</f>
        <v/>
      </c>
      <c r="C128">
        <f>IF($A128=1,SUM($A$2:$A128),0)</f>
        <v/>
      </c>
    </row>
    <row r="129">
      <c r="A129">
        <f>IF(AND(OR('Compliance Database'!$A129='Data Transfer'!$B$4,'Compliance Database'!$A129='Data Transfer'!$B$5),OR('Data Transfer'!$B$6="",ISNUMBER(SEARCH('Data Transfer'!$B$6,'Compliance Database'!$D129&amp;" "&amp;'Compliance Database'!$K129&amp;" "&amp;'Compliance Database'!$L129&amp;" "&amp;'Compliance Database'!$M129&amp;" "&amp;'Compliance Database'!$N129)))),1,0)</f>
        <v/>
      </c>
      <c r="B129">
        <f>IF($A129=1,SUM($A$2:$A129),"")</f>
        <v/>
      </c>
      <c r="C129">
        <f>IF($A129=1,SUM($A$2:$A129),0)</f>
        <v/>
      </c>
    </row>
    <row r="130">
      <c r="A130">
        <f>IF(AND(OR('Compliance Database'!$A130='Data Transfer'!$B$4,'Compliance Database'!$A130='Data Transfer'!$B$5),OR('Data Transfer'!$B$6="",ISNUMBER(SEARCH('Data Transfer'!$B$6,'Compliance Database'!$D130&amp;" "&amp;'Compliance Database'!$K130&amp;" "&amp;'Compliance Database'!$L130&amp;" "&amp;'Compliance Database'!$M130&amp;" "&amp;'Compliance Database'!$N130)))),1,0)</f>
        <v/>
      </c>
      <c r="B130">
        <f>IF($A130=1,SUM($A$2:$A130),"")</f>
        <v/>
      </c>
      <c r="C130">
        <f>IF($A130=1,SUM($A$2:$A130),0)</f>
        <v/>
      </c>
    </row>
    <row r="131">
      <c r="A131">
        <f>IF(AND(OR('Compliance Database'!$A131='Data Transfer'!$B$4,'Compliance Database'!$A131='Data Transfer'!$B$5),OR('Data Transfer'!$B$6="",ISNUMBER(SEARCH('Data Transfer'!$B$6,'Compliance Database'!$D131&amp;" "&amp;'Compliance Database'!$K131&amp;" "&amp;'Compliance Database'!$L131&amp;" "&amp;'Compliance Database'!$M131&amp;" "&amp;'Compliance Database'!$N131)))),1,0)</f>
        <v/>
      </c>
      <c r="B131">
        <f>IF($A131=1,SUM($A$2:$A131),"")</f>
        <v/>
      </c>
      <c r="C131">
        <f>IF($A131=1,SUM($A$2:$A131),0)</f>
        <v/>
      </c>
    </row>
    <row r="132">
      <c r="A132">
        <f>IF(AND(OR('Compliance Database'!$A132='Data Transfer'!$B$4,'Compliance Database'!$A132='Data Transfer'!$B$5),OR('Data Transfer'!$B$6="",ISNUMBER(SEARCH('Data Transfer'!$B$6,'Compliance Database'!$D132&amp;" "&amp;'Compliance Database'!$K132&amp;" "&amp;'Compliance Database'!$L132&amp;" "&amp;'Compliance Database'!$M132&amp;" "&amp;'Compliance Database'!$N132)))),1,0)</f>
        <v/>
      </c>
      <c r="B132">
        <f>IF($A132=1,SUM($A$2:$A132),"")</f>
        <v/>
      </c>
      <c r="C132">
        <f>IF($A132=1,SUM($A$2:$A132),0)</f>
        <v/>
      </c>
    </row>
    <row r="133">
      <c r="A133">
        <f>IF(AND(OR('Compliance Database'!$A133='Data Transfer'!$B$4,'Compliance Database'!$A133='Data Transfer'!$B$5),OR('Data Transfer'!$B$6="",ISNUMBER(SEARCH('Data Transfer'!$B$6,'Compliance Database'!$D133&amp;" "&amp;'Compliance Database'!$K133&amp;" "&amp;'Compliance Database'!$L133&amp;" "&amp;'Compliance Database'!$M133&amp;" "&amp;'Compliance Database'!$N133)))),1,0)</f>
        <v/>
      </c>
      <c r="B133">
        <f>IF($A133=1,SUM($A$2:$A133),"")</f>
        <v/>
      </c>
      <c r="C133">
        <f>IF($A133=1,SUM($A$2:$A133),0)</f>
        <v/>
      </c>
    </row>
    <row r="134">
      <c r="A134">
        <f>IF(AND(OR('Compliance Database'!$A134='Data Transfer'!$B$4,'Compliance Database'!$A134='Data Transfer'!$B$5),OR('Data Transfer'!$B$6="",ISNUMBER(SEARCH('Data Transfer'!$B$6,'Compliance Database'!$D134&amp;" "&amp;'Compliance Database'!$K134&amp;" "&amp;'Compliance Database'!$L134&amp;" "&amp;'Compliance Database'!$M134&amp;" "&amp;'Compliance Database'!$N134)))),1,0)</f>
        <v/>
      </c>
      <c r="B134">
        <f>IF($A134=1,SUM($A$2:$A134),"")</f>
        <v/>
      </c>
      <c r="C134">
        <f>IF($A134=1,SUM($A$2:$A134),0)</f>
        <v/>
      </c>
    </row>
    <row r="135">
      <c r="A135">
        <f>IF(AND(OR('Compliance Database'!$A135='Data Transfer'!$B$4,'Compliance Database'!$A135='Data Transfer'!$B$5),OR('Data Transfer'!$B$6="",ISNUMBER(SEARCH('Data Transfer'!$B$6,'Compliance Database'!$D135&amp;" "&amp;'Compliance Database'!$K135&amp;" "&amp;'Compliance Database'!$L135&amp;" "&amp;'Compliance Database'!$M135&amp;" "&amp;'Compliance Database'!$N135)))),1,0)</f>
        <v/>
      </c>
      <c r="B135">
        <f>IF($A135=1,SUM($A$2:$A135),"")</f>
        <v/>
      </c>
      <c r="C135">
        <f>IF($A135=1,SUM($A$2:$A135),0)</f>
        <v/>
      </c>
    </row>
    <row r="136">
      <c r="A136">
        <f>IF(AND(OR('Compliance Database'!$A136='Data Transfer'!$B$4,'Compliance Database'!$A136='Data Transfer'!$B$5),OR('Data Transfer'!$B$6="",ISNUMBER(SEARCH('Data Transfer'!$B$6,'Compliance Database'!$D136&amp;" "&amp;'Compliance Database'!$K136&amp;" "&amp;'Compliance Database'!$L136&amp;" "&amp;'Compliance Database'!$M136&amp;" "&amp;'Compliance Database'!$N136)))),1,0)</f>
        <v/>
      </c>
      <c r="B136">
        <f>IF($A136=1,SUM($A$2:$A136),"")</f>
        <v/>
      </c>
      <c r="C136">
        <f>IF($A136=1,SUM($A$2:$A136),0)</f>
        <v/>
      </c>
    </row>
    <row r="137">
      <c r="A137">
        <f>IF(AND(OR('Compliance Database'!$A137='Data Transfer'!$B$4,'Compliance Database'!$A137='Data Transfer'!$B$5),OR('Data Transfer'!$B$6="",ISNUMBER(SEARCH('Data Transfer'!$B$6,'Compliance Database'!$D137&amp;" "&amp;'Compliance Database'!$K137&amp;" "&amp;'Compliance Database'!$L137&amp;" "&amp;'Compliance Database'!$M137&amp;" "&amp;'Compliance Database'!$N137)))),1,0)</f>
        <v/>
      </c>
      <c r="B137">
        <f>IF($A137=1,SUM($A$2:$A137),"")</f>
        <v/>
      </c>
      <c r="C137">
        <f>IF($A137=1,SUM($A$2:$A137),0)</f>
        <v/>
      </c>
    </row>
    <row r="138">
      <c r="A138">
        <f>IF(AND(OR('Compliance Database'!$A138='Data Transfer'!$B$4,'Compliance Database'!$A138='Data Transfer'!$B$5),OR('Data Transfer'!$B$6="",ISNUMBER(SEARCH('Data Transfer'!$B$6,'Compliance Database'!$D138&amp;" "&amp;'Compliance Database'!$K138&amp;" "&amp;'Compliance Database'!$L138&amp;" "&amp;'Compliance Database'!$M138&amp;" "&amp;'Compliance Database'!$N138)))),1,0)</f>
        <v/>
      </c>
      <c r="B138">
        <f>IF($A138=1,SUM($A$2:$A138),"")</f>
        <v/>
      </c>
      <c r="C138">
        <f>IF($A138=1,SUM($A$2:$A138),0)</f>
        <v/>
      </c>
    </row>
    <row r="139">
      <c r="A139">
        <f>IF(AND(OR('Compliance Database'!$A139='Data Transfer'!$B$4,'Compliance Database'!$A139='Data Transfer'!$B$5),OR('Data Transfer'!$B$6="",ISNUMBER(SEARCH('Data Transfer'!$B$6,'Compliance Database'!$D139&amp;" "&amp;'Compliance Database'!$K139&amp;" "&amp;'Compliance Database'!$L139&amp;" "&amp;'Compliance Database'!$M139&amp;" "&amp;'Compliance Database'!$N139)))),1,0)</f>
        <v/>
      </c>
      <c r="B139">
        <f>IF($A139=1,SUM($A$2:$A139),"")</f>
        <v/>
      </c>
      <c r="C139">
        <f>IF($A139=1,SUM($A$2:$A139),0)</f>
        <v/>
      </c>
    </row>
    <row r="140">
      <c r="A140">
        <f>IF(AND(OR('Compliance Database'!$A140='Data Transfer'!$B$4,'Compliance Database'!$A140='Data Transfer'!$B$5),OR('Data Transfer'!$B$6="",ISNUMBER(SEARCH('Data Transfer'!$B$6,'Compliance Database'!$D140&amp;" "&amp;'Compliance Database'!$K140&amp;" "&amp;'Compliance Database'!$L140&amp;" "&amp;'Compliance Database'!$M140&amp;" "&amp;'Compliance Database'!$N140)))),1,0)</f>
        <v/>
      </c>
      <c r="B140">
        <f>IF($A140=1,SUM($A$2:$A140),"")</f>
        <v/>
      </c>
      <c r="C140">
        <f>IF($A140=1,SUM($A$2:$A140),0)</f>
        <v/>
      </c>
    </row>
    <row r="141">
      <c r="A141">
        <f>IF(AND(OR('Compliance Database'!$A141='Data Transfer'!$B$4,'Compliance Database'!$A141='Data Transfer'!$B$5),OR('Data Transfer'!$B$6="",ISNUMBER(SEARCH('Data Transfer'!$B$6,'Compliance Database'!$D141&amp;" "&amp;'Compliance Database'!$K141&amp;" "&amp;'Compliance Database'!$L141&amp;" "&amp;'Compliance Database'!$M141&amp;" "&amp;'Compliance Database'!$N141)))),1,0)</f>
        <v/>
      </c>
      <c r="B141">
        <f>IF($A141=1,SUM($A$2:$A141),"")</f>
        <v/>
      </c>
      <c r="C141">
        <f>IF($A141=1,SUM($A$2:$A141),0)</f>
        <v/>
      </c>
    </row>
    <row r="142">
      <c r="A142">
        <f>IF(AND(OR('Compliance Database'!$A142='Data Transfer'!$B$4,'Compliance Database'!$A142='Data Transfer'!$B$5),OR('Data Transfer'!$B$6="",ISNUMBER(SEARCH('Data Transfer'!$B$6,'Compliance Database'!$D142&amp;" "&amp;'Compliance Database'!$K142&amp;" "&amp;'Compliance Database'!$L142&amp;" "&amp;'Compliance Database'!$M142&amp;" "&amp;'Compliance Database'!$N142)))),1,0)</f>
        <v/>
      </c>
      <c r="B142">
        <f>IF($A142=1,SUM($A$2:$A142),"")</f>
        <v/>
      </c>
      <c r="C142">
        <f>IF($A142=1,SUM($A$2:$A142),0)</f>
        <v/>
      </c>
    </row>
    <row r="143">
      <c r="A143">
        <f>IF(AND(OR('Compliance Database'!$A143='Data Transfer'!$B$4,'Compliance Database'!$A143='Data Transfer'!$B$5),OR('Data Transfer'!$B$6="",ISNUMBER(SEARCH('Data Transfer'!$B$6,'Compliance Database'!$D143&amp;" "&amp;'Compliance Database'!$K143&amp;" "&amp;'Compliance Database'!$L143&amp;" "&amp;'Compliance Database'!$M143&amp;" "&amp;'Compliance Database'!$N143)))),1,0)</f>
        <v/>
      </c>
      <c r="B143">
        <f>IF($A143=1,SUM($A$2:$A143),"")</f>
        <v/>
      </c>
      <c r="C143">
        <f>IF($A143=1,SUM($A$2:$A143),0)</f>
        <v/>
      </c>
    </row>
    <row r="144">
      <c r="A144">
        <f>IF(AND(OR('Compliance Database'!$A144='Data Transfer'!$B$4,'Compliance Database'!$A144='Data Transfer'!$B$5),OR('Data Transfer'!$B$6="",ISNUMBER(SEARCH('Data Transfer'!$B$6,'Compliance Database'!$D144&amp;" "&amp;'Compliance Database'!$K144&amp;" "&amp;'Compliance Database'!$L144&amp;" "&amp;'Compliance Database'!$M144&amp;" "&amp;'Compliance Database'!$N144)))),1,0)</f>
        <v/>
      </c>
      <c r="B144">
        <f>IF($A144=1,SUM($A$2:$A144),"")</f>
        <v/>
      </c>
      <c r="C144">
        <f>IF($A144=1,SUM($A$2:$A144),0)</f>
        <v/>
      </c>
    </row>
    <row r="145">
      <c r="A145">
        <f>IF(AND(OR('Compliance Database'!$A145='Data Transfer'!$B$4,'Compliance Database'!$A145='Data Transfer'!$B$5),OR('Data Transfer'!$B$6="",ISNUMBER(SEARCH('Data Transfer'!$B$6,'Compliance Database'!$D145&amp;" "&amp;'Compliance Database'!$K145&amp;" "&amp;'Compliance Database'!$L145&amp;" "&amp;'Compliance Database'!$M145&amp;" "&amp;'Compliance Database'!$N145)))),1,0)</f>
        <v/>
      </c>
      <c r="B145">
        <f>IF($A145=1,SUM($A$2:$A145),"")</f>
        <v/>
      </c>
      <c r="C145">
        <f>IF($A145=1,SUM($A$2:$A145),0)</f>
        <v/>
      </c>
    </row>
    <row r="146">
      <c r="A146">
        <f>IF(AND(OR('Compliance Database'!$A146='Data Transfer'!$B$4,'Compliance Database'!$A146='Data Transfer'!$B$5),OR('Data Transfer'!$B$6="",ISNUMBER(SEARCH('Data Transfer'!$B$6,'Compliance Database'!$D146&amp;" "&amp;'Compliance Database'!$K146&amp;" "&amp;'Compliance Database'!$L146&amp;" "&amp;'Compliance Database'!$M146&amp;" "&amp;'Compliance Database'!$N146)))),1,0)</f>
        <v/>
      </c>
      <c r="B146">
        <f>IF($A146=1,SUM($A$2:$A146),"")</f>
        <v/>
      </c>
      <c r="C146">
        <f>IF($A146=1,SUM($A$2:$A146),0)</f>
        <v/>
      </c>
    </row>
    <row r="147">
      <c r="A147">
        <f>IF(AND(OR('Compliance Database'!$A147='Data Transfer'!$B$4,'Compliance Database'!$A147='Data Transfer'!$B$5),OR('Data Transfer'!$B$6="",ISNUMBER(SEARCH('Data Transfer'!$B$6,'Compliance Database'!$D147&amp;" "&amp;'Compliance Database'!$K147&amp;" "&amp;'Compliance Database'!$L147&amp;" "&amp;'Compliance Database'!$M147&amp;" "&amp;'Compliance Database'!$N147)))),1,0)</f>
        <v/>
      </c>
      <c r="B147">
        <f>IF($A147=1,SUM($A$2:$A147),"")</f>
        <v/>
      </c>
      <c r="C147">
        <f>IF($A147=1,SUM($A$2:$A147),0)</f>
        <v/>
      </c>
    </row>
    <row r="148">
      <c r="A148">
        <f>IF(AND(OR('Compliance Database'!$A148='Data Transfer'!$B$4,'Compliance Database'!$A148='Data Transfer'!$B$5),OR('Data Transfer'!$B$6="",ISNUMBER(SEARCH('Data Transfer'!$B$6,'Compliance Database'!$D148&amp;" "&amp;'Compliance Database'!$K148&amp;" "&amp;'Compliance Database'!$L148&amp;" "&amp;'Compliance Database'!$M148&amp;" "&amp;'Compliance Database'!$N148)))),1,0)</f>
        <v/>
      </c>
      <c r="B148">
        <f>IF($A148=1,SUM($A$2:$A148),"")</f>
        <v/>
      </c>
      <c r="C148">
        <f>IF($A148=1,SUM($A$2:$A148),0)</f>
        <v/>
      </c>
    </row>
    <row r="149">
      <c r="A149">
        <f>IF(AND(OR('Compliance Database'!$A149='Data Transfer'!$B$4,'Compliance Database'!$A149='Data Transfer'!$B$5),OR('Data Transfer'!$B$6="",ISNUMBER(SEARCH('Data Transfer'!$B$6,'Compliance Database'!$D149&amp;" "&amp;'Compliance Database'!$K149&amp;" "&amp;'Compliance Database'!$L149&amp;" "&amp;'Compliance Database'!$M149&amp;" "&amp;'Compliance Database'!$N149)))),1,0)</f>
        <v/>
      </c>
      <c r="B149">
        <f>IF($A149=1,SUM($A$2:$A149),"")</f>
        <v/>
      </c>
      <c r="C149">
        <f>IF($A149=1,SUM($A$2:$A149),0)</f>
        <v/>
      </c>
    </row>
    <row r="150">
      <c r="A150">
        <f>IF(AND(OR('Compliance Database'!$A150='Data Transfer'!$B$4,'Compliance Database'!$A150='Data Transfer'!$B$5),OR('Data Transfer'!$B$6="",ISNUMBER(SEARCH('Data Transfer'!$B$6,'Compliance Database'!$D150&amp;" "&amp;'Compliance Database'!$K150&amp;" "&amp;'Compliance Database'!$L150&amp;" "&amp;'Compliance Database'!$M150&amp;" "&amp;'Compliance Database'!$N150)))),1,0)</f>
        <v/>
      </c>
      <c r="B150">
        <f>IF($A150=1,SUM($A$2:$A150),"")</f>
        <v/>
      </c>
      <c r="C150">
        <f>IF($A150=1,SUM($A$2:$A150),0)</f>
        <v/>
      </c>
    </row>
    <row r="151">
      <c r="A151">
        <f>IF(AND(OR('Compliance Database'!$A151='Data Transfer'!$B$4,'Compliance Database'!$A151='Data Transfer'!$B$5),OR('Data Transfer'!$B$6="",ISNUMBER(SEARCH('Data Transfer'!$B$6,'Compliance Database'!$D151&amp;" "&amp;'Compliance Database'!$K151&amp;" "&amp;'Compliance Database'!$L151&amp;" "&amp;'Compliance Database'!$M151&amp;" "&amp;'Compliance Database'!$N151)))),1,0)</f>
        <v/>
      </c>
      <c r="B151">
        <f>IF($A151=1,SUM($A$2:$A151),"")</f>
        <v/>
      </c>
      <c r="C151">
        <f>IF($A151=1,SUM($A$2:$A151),0)</f>
        <v/>
      </c>
    </row>
    <row r="152">
      <c r="A152">
        <f>IF(AND(OR('Compliance Database'!$A152='Data Transfer'!$B$4,'Compliance Database'!$A152='Data Transfer'!$B$5),OR('Data Transfer'!$B$6="",ISNUMBER(SEARCH('Data Transfer'!$B$6,'Compliance Database'!$D152&amp;" "&amp;'Compliance Database'!$K152&amp;" "&amp;'Compliance Database'!$L152&amp;" "&amp;'Compliance Database'!$M152&amp;" "&amp;'Compliance Database'!$N152)))),1,0)</f>
        <v/>
      </c>
      <c r="B152">
        <f>IF($A152=1,SUM($A$2:$A152),"")</f>
        <v/>
      </c>
      <c r="C152">
        <f>IF($A152=1,SUM($A$2:$A152),0)</f>
        <v/>
      </c>
    </row>
    <row r="153">
      <c r="A153">
        <f>IF(AND(OR('Compliance Database'!$A153='Data Transfer'!$B$4,'Compliance Database'!$A153='Data Transfer'!$B$5),OR('Data Transfer'!$B$6="",ISNUMBER(SEARCH('Data Transfer'!$B$6,'Compliance Database'!$D153&amp;" "&amp;'Compliance Database'!$K153&amp;" "&amp;'Compliance Database'!$L153&amp;" "&amp;'Compliance Database'!$M153&amp;" "&amp;'Compliance Database'!$N153)))),1,0)</f>
        <v/>
      </c>
      <c r="B153">
        <f>IF($A153=1,SUM($A$2:$A153),"")</f>
        <v/>
      </c>
      <c r="C153">
        <f>IF($A153=1,SUM($A$2:$A153),0)</f>
        <v/>
      </c>
    </row>
    <row r="154">
      <c r="A154">
        <f>IF(AND(OR('Compliance Database'!$A154='Data Transfer'!$B$4,'Compliance Database'!$A154='Data Transfer'!$B$5),OR('Data Transfer'!$B$6="",ISNUMBER(SEARCH('Data Transfer'!$B$6,'Compliance Database'!$D154&amp;" "&amp;'Compliance Database'!$K154&amp;" "&amp;'Compliance Database'!$L154&amp;" "&amp;'Compliance Database'!$M154&amp;" "&amp;'Compliance Database'!$N154)))),1,0)</f>
        <v/>
      </c>
      <c r="B154">
        <f>IF($A154=1,SUM($A$2:$A154),"")</f>
        <v/>
      </c>
      <c r="C154">
        <f>IF($A154=1,SUM($A$2:$A154),0)</f>
        <v/>
      </c>
    </row>
    <row r="155">
      <c r="A155">
        <f>IF(AND(OR('Compliance Database'!$A155='Data Transfer'!$B$4,'Compliance Database'!$A155='Data Transfer'!$B$5),OR('Data Transfer'!$B$6="",ISNUMBER(SEARCH('Data Transfer'!$B$6,'Compliance Database'!$D155&amp;" "&amp;'Compliance Database'!$K155&amp;" "&amp;'Compliance Database'!$L155&amp;" "&amp;'Compliance Database'!$M155&amp;" "&amp;'Compliance Database'!$N155)))),1,0)</f>
        <v/>
      </c>
      <c r="B155">
        <f>IF($A155=1,SUM($A$2:$A155),"")</f>
        <v/>
      </c>
      <c r="C155">
        <f>IF($A155=1,SUM($A$2:$A155),0)</f>
        <v/>
      </c>
    </row>
    <row r="156">
      <c r="A156">
        <f>IF(AND(OR('Compliance Database'!$A156='Data Transfer'!$B$4,'Compliance Database'!$A156='Data Transfer'!$B$5),OR('Data Transfer'!$B$6="",ISNUMBER(SEARCH('Data Transfer'!$B$6,'Compliance Database'!$D156&amp;" "&amp;'Compliance Database'!$K156&amp;" "&amp;'Compliance Database'!$L156&amp;" "&amp;'Compliance Database'!$M156&amp;" "&amp;'Compliance Database'!$N156)))),1,0)</f>
        <v/>
      </c>
      <c r="B156">
        <f>IF($A156=1,SUM($A$2:$A156),"")</f>
        <v/>
      </c>
      <c r="C156">
        <f>IF($A156=1,SUM($A$2:$A156),0)</f>
        <v/>
      </c>
    </row>
    <row r="157">
      <c r="A157">
        <f>IF(AND(OR('Compliance Database'!$A157='Data Transfer'!$B$4,'Compliance Database'!$A157='Data Transfer'!$B$5),OR('Data Transfer'!$B$6="",ISNUMBER(SEARCH('Data Transfer'!$B$6,'Compliance Database'!$D157&amp;" "&amp;'Compliance Database'!$K157&amp;" "&amp;'Compliance Database'!$L157&amp;" "&amp;'Compliance Database'!$M157&amp;" "&amp;'Compliance Database'!$N157)))),1,0)</f>
        <v/>
      </c>
      <c r="B157">
        <f>IF($A157=1,SUM($A$2:$A157),"")</f>
        <v/>
      </c>
      <c r="C157">
        <f>IF($A157=1,SUM($A$2:$A157),0)</f>
        <v/>
      </c>
    </row>
    <row r="158">
      <c r="A158">
        <f>IF(AND(OR('Compliance Database'!$A158='Data Transfer'!$B$4,'Compliance Database'!$A158='Data Transfer'!$B$5),OR('Data Transfer'!$B$6="",ISNUMBER(SEARCH('Data Transfer'!$B$6,'Compliance Database'!$D158&amp;" "&amp;'Compliance Database'!$K158&amp;" "&amp;'Compliance Database'!$L158&amp;" "&amp;'Compliance Database'!$M158&amp;" "&amp;'Compliance Database'!$N158)))),1,0)</f>
        <v/>
      </c>
      <c r="B158">
        <f>IF($A158=1,SUM($A$2:$A158),"")</f>
        <v/>
      </c>
      <c r="C158">
        <f>IF($A158=1,SUM($A$2:$A158),0)</f>
        <v/>
      </c>
    </row>
    <row r="159">
      <c r="A159">
        <f>IF(AND(OR('Compliance Database'!$A159='Data Transfer'!$B$4,'Compliance Database'!$A159='Data Transfer'!$B$5),OR('Data Transfer'!$B$6="",ISNUMBER(SEARCH('Data Transfer'!$B$6,'Compliance Database'!$D159&amp;" "&amp;'Compliance Database'!$K159&amp;" "&amp;'Compliance Database'!$L159&amp;" "&amp;'Compliance Database'!$M159&amp;" "&amp;'Compliance Database'!$N159)))),1,0)</f>
        <v/>
      </c>
      <c r="B159">
        <f>IF($A159=1,SUM($A$2:$A159),"")</f>
        <v/>
      </c>
      <c r="C159">
        <f>IF($A159=1,SUM($A$2:$A159),0)</f>
        <v/>
      </c>
    </row>
    <row r="160">
      <c r="A160">
        <f>IF(AND(OR('Compliance Database'!$A160='Data Transfer'!$B$4,'Compliance Database'!$A160='Data Transfer'!$B$5),OR('Data Transfer'!$B$6="",ISNUMBER(SEARCH('Data Transfer'!$B$6,'Compliance Database'!$D160&amp;" "&amp;'Compliance Database'!$K160&amp;" "&amp;'Compliance Database'!$L160&amp;" "&amp;'Compliance Database'!$M160&amp;" "&amp;'Compliance Database'!$N160)))),1,0)</f>
        <v/>
      </c>
      <c r="B160">
        <f>IF($A160=1,SUM($A$2:$A160),"")</f>
        <v/>
      </c>
      <c r="C160">
        <f>IF($A160=1,SUM($A$2:$A160),0)</f>
        <v/>
      </c>
    </row>
    <row r="161">
      <c r="A161">
        <f>IF(AND(OR('Compliance Database'!$A161='Data Transfer'!$B$4,'Compliance Database'!$A161='Data Transfer'!$B$5),OR('Data Transfer'!$B$6="",ISNUMBER(SEARCH('Data Transfer'!$B$6,'Compliance Database'!$D161&amp;" "&amp;'Compliance Database'!$K161&amp;" "&amp;'Compliance Database'!$L161&amp;" "&amp;'Compliance Database'!$M161&amp;" "&amp;'Compliance Database'!$N161)))),1,0)</f>
        <v/>
      </c>
      <c r="B161">
        <f>IF($A161=1,SUM($A$2:$A161),"")</f>
        <v/>
      </c>
      <c r="C161">
        <f>IF($A161=1,SUM($A$2:$A161),0)</f>
        <v/>
      </c>
    </row>
    <row r="162">
      <c r="A162">
        <f>IF(AND(OR('Compliance Database'!$A162='Data Transfer'!$B$4,'Compliance Database'!$A162='Data Transfer'!$B$5),OR('Data Transfer'!$B$6="",ISNUMBER(SEARCH('Data Transfer'!$B$6,'Compliance Database'!$D162&amp;" "&amp;'Compliance Database'!$K162&amp;" "&amp;'Compliance Database'!$L162&amp;" "&amp;'Compliance Database'!$M162&amp;" "&amp;'Compliance Database'!$N162)))),1,0)</f>
        <v/>
      </c>
      <c r="B162">
        <f>IF($A162=1,SUM($A$2:$A162),"")</f>
        <v/>
      </c>
      <c r="C162">
        <f>IF($A162=1,SUM($A$2:$A162),0)</f>
        <v/>
      </c>
    </row>
    <row r="163">
      <c r="A163">
        <f>IF(AND(OR('Compliance Database'!$A163='Data Transfer'!$B$4,'Compliance Database'!$A163='Data Transfer'!$B$5),OR('Data Transfer'!$B$6="",ISNUMBER(SEARCH('Data Transfer'!$B$6,'Compliance Database'!$D163&amp;" "&amp;'Compliance Database'!$K163&amp;" "&amp;'Compliance Database'!$L163&amp;" "&amp;'Compliance Database'!$M163&amp;" "&amp;'Compliance Database'!$N163)))),1,0)</f>
        <v/>
      </c>
      <c r="B163">
        <f>IF($A163=1,SUM($A$2:$A163),"")</f>
        <v/>
      </c>
      <c r="C163">
        <f>IF($A163=1,SUM($A$2:$A163),0)</f>
        <v/>
      </c>
    </row>
    <row r="164">
      <c r="A164">
        <f>IF(AND(OR('Compliance Database'!$A164='Data Transfer'!$B$4,'Compliance Database'!$A164='Data Transfer'!$B$5),OR('Data Transfer'!$B$6="",ISNUMBER(SEARCH('Data Transfer'!$B$6,'Compliance Database'!$D164&amp;" "&amp;'Compliance Database'!$K164&amp;" "&amp;'Compliance Database'!$L164&amp;" "&amp;'Compliance Database'!$M164&amp;" "&amp;'Compliance Database'!$N164)))),1,0)</f>
        <v/>
      </c>
      <c r="B164">
        <f>IF($A164=1,SUM($A$2:$A164),"")</f>
        <v/>
      </c>
      <c r="C164">
        <f>IF($A164=1,SUM($A$2:$A164),0)</f>
        <v/>
      </c>
    </row>
    <row r="165">
      <c r="A165">
        <f>IF(AND(OR('Compliance Database'!$A165='Data Transfer'!$B$4,'Compliance Database'!$A165='Data Transfer'!$B$5),OR('Data Transfer'!$B$6="",ISNUMBER(SEARCH('Data Transfer'!$B$6,'Compliance Database'!$D165&amp;" "&amp;'Compliance Database'!$K165&amp;" "&amp;'Compliance Database'!$L165&amp;" "&amp;'Compliance Database'!$M165&amp;" "&amp;'Compliance Database'!$N165)))),1,0)</f>
        <v/>
      </c>
      <c r="B165">
        <f>IF($A165=1,SUM($A$2:$A165),"")</f>
        <v/>
      </c>
      <c r="C165">
        <f>IF($A165=1,SUM($A$2:$A165),0)</f>
        <v/>
      </c>
    </row>
    <row r="166">
      <c r="A166">
        <f>IF(AND(OR('Compliance Database'!$A166='Data Transfer'!$B$4,'Compliance Database'!$A166='Data Transfer'!$B$5),OR('Data Transfer'!$B$6="",ISNUMBER(SEARCH('Data Transfer'!$B$6,'Compliance Database'!$D166&amp;" "&amp;'Compliance Database'!$K166&amp;" "&amp;'Compliance Database'!$L166&amp;" "&amp;'Compliance Database'!$M166&amp;" "&amp;'Compliance Database'!$N166)))),1,0)</f>
        <v/>
      </c>
      <c r="B166">
        <f>IF($A166=1,SUM($A$2:$A166),"")</f>
        <v/>
      </c>
      <c r="C166">
        <f>IF($A166=1,SUM($A$2:$A166),0)</f>
        <v/>
      </c>
    </row>
    <row r="167">
      <c r="A167">
        <f>IF(AND(OR('Compliance Database'!$A167='Data Transfer'!$B$4,'Compliance Database'!$A167='Data Transfer'!$B$5),OR('Data Transfer'!$B$6="",ISNUMBER(SEARCH('Data Transfer'!$B$6,'Compliance Database'!$D167&amp;" "&amp;'Compliance Database'!$K167&amp;" "&amp;'Compliance Database'!$L167&amp;" "&amp;'Compliance Database'!$M167&amp;" "&amp;'Compliance Database'!$N167)))),1,0)</f>
        <v/>
      </c>
      <c r="B167">
        <f>IF($A167=1,SUM($A$2:$A167),"")</f>
        <v/>
      </c>
      <c r="C167">
        <f>IF($A167=1,SUM($A$2:$A167),0)</f>
        <v/>
      </c>
    </row>
    <row r="168">
      <c r="A168">
        <f>IF(AND(OR('Compliance Database'!$A168='Data Transfer'!$B$4,'Compliance Database'!$A168='Data Transfer'!$B$5),OR('Data Transfer'!$B$6="",ISNUMBER(SEARCH('Data Transfer'!$B$6,'Compliance Database'!$D168&amp;" "&amp;'Compliance Database'!$K168&amp;" "&amp;'Compliance Database'!$L168&amp;" "&amp;'Compliance Database'!$M168&amp;" "&amp;'Compliance Database'!$N168)))),1,0)</f>
        <v/>
      </c>
      <c r="B168">
        <f>IF($A168=1,SUM($A$2:$A168),"")</f>
        <v/>
      </c>
      <c r="C168">
        <f>IF($A168=1,SUM($A$2:$A168),0)</f>
        <v/>
      </c>
    </row>
    <row r="169">
      <c r="A169">
        <f>IF(AND(OR('Compliance Database'!$A169='Data Transfer'!$B$4,'Compliance Database'!$A169='Data Transfer'!$B$5),OR('Data Transfer'!$B$6="",ISNUMBER(SEARCH('Data Transfer'!$B$6,'Compliance Database'!$D169&amp;" "&amp;'Compliance Database'!$K169&amp;" "&amp;'Compliance Database'!$L169&amp;" "&amp;'Compliance Database'!$M169&amp;" "&amp;'Compliance Database'!$N169)))),1,0)</f>
        <v/>
      </c>
      <c r="B169">
        <f>IF($A169=1,SUM($A$2:$A169),"")</f>
        <v/>
      </c>
      <c r="C169">
        <f>IF($A169=1,SUM($A$2:$A169),0)</f>
        <v/>
      </c>
    </row>
    <row r="170">
      <c r="A170">
        <f>IF(AND(OR('Compliance Database'!$A170='Data Transfer'!$B$4,'Compliance Database'!$A170='Data Transfer'!$B$5),OR('Data Transfer'!$B$6="",ISNUMBER(SEARCH('Data Transfer'!$B$6,'Compliance Database'!$D170&amp;" "&amp;'Compliance Database'!$K170&amp;" "&amp;'Compliance Database'!$L170&amp;" "&amp;'Compliance Database'!$M170&amp;" "&amp;'Compliance Database'!$N170)))),1,0)</f>
        <v/>
      </c>
      <c r="B170">
        <f>IF($A170=1,SUM($A$2:$A170),"")</f>
        <v/>
      </c>
      <c r="C170">
        <f>IF($A170=1,SUM($A$2:$A170),0)</f>
        <v/>
      </c>
    </row>
    <row r="171">
      <c r="A171">
        <f>IF(AND(OR('Compliance Database'!$A171='Data Transfer'!$B$4,'Compliance Database'!$A171='Data Transfer'!$B$5),OR('Data Transfer'!$B$6="",ISNUMBER(SEARCH('Data Transfer'!$B$6,'Compliance Database'!$D171&amp;" "&amp;'Compliance Database'!$K171&amp;" "&amp;'Compliance Database'!$L171&amp;" "&amp;'Compliance Database'!$M171&amp;" "&amp;'Compliance Database'!$N171)))),1,0)</f>
        <v/>
      </c>
      <c r="B171">
        <f>IF($A171=1,SUM($A$2:$A171),"")</f>
        <v/>
      </c>
      <c r="C171">
        <f>IF($A171=1,SUM($A$2:$A171),0)</f>
        <v/>
      </c>
    </row>
    <row r="172">
      <c r="A172">
        <f>IF(AND(OR('Compliance Database'!$A172='Data Transfer'!$B$4,'Compliance Database'!$A172='Data Transfer'!$B$5),OR('Data Transfer'!$B$6="",ISNUMBER(SEARCH('Data Transfer'!$B$6,'Compliance Database'!$D172&amp;" "&amp;'Compliance Database'!$K172&amp;" "&amp;'Compliance Database'!$L172&amp;" "&amp;'Compliance Database'!$M172&amp;" "&amp;'Compliance Database'!$N172)))),1,0)</f>
        <v/>
      </c>
      <c r="B172">
        <f>IF($A172=1,SUM($A$2:$A172),"")</f>
        <v/>
      </c>
      <c r="C172">
        <f>IF($A172=1,SUM($A$2:$A172),0)</f>
        <v/>
      </c>
    </row>
    <row r="173">
      <c r="A173">
        <f>IF(AND(OR('Compliance Database'!$A173='Data Transfer'!$B$4,'Compliance Database'!$A173='Data Transfer'!$B$5),OR('Data Transfer'!$B$6="",ISNUMBER(SEARCH('Data Transfer'!$B$6,'Compliance Database'!$D173&amp;" "&amp;'Compliance Database'!$K173&amp;" "&amp;'Compliance Database'!$L173&amp;" "&amp;'Compliance Database'!$M173&amp;" "&amp;'Compliance Database'!$N173)))),1,0)</f>
        <v/>
      </c>
      <c r="B173">
        <f>IF($A173=1,SUM($A$2:$A173),"")</f>
        <v/>
      </c>
      <c r="C173">
        <f>IF($A173=1,SUM($A$2:$A173),0)</f>
        <v/>
      </c>
    </row>
    <row r="174">
      <c r="A174">
        <f>IF(AND(OR('Compliance Database'!$A174='Data Transfer'!$B$4,'Compliance Database'!$A174='Data Transfer'!$B$5),OR('Data Transfer'!$B$6="",ISNUMBER(SEARCH('Data Transfer'!$B$6,'Compliance Database'!$D174&amp;" "&amp;'Compliance Database'!$K174&amp;" "&amp;'Compliance Database'!$L174&amp;" "&amp;'Compliance Database'!$M174&amp;" "&amp;'Compliance Database'!$N174)))),1,0)</f>
        <v/>
      </c>
      <c r="B174">
        <f>IF($A174=1,SUM($A$2:$A174),"")</f>
        <v/>
      </c>
      <c r="C174">
        <f>IF($A174=1,SUM($A$2:$A174),0)</f>
        <v/>
      </c>
    </row>
    <row r="175">
      <c r="A175">
        <f>IF(AND(OR('Compliance Database'!$A175='Data Transfer'!$B$4,'Compliance Database'!$A175='Data Transfer'!$B$5),OR('Data Transfer'!$B$6="",ISNUMBER(SEARCH('Data Transfer'!$B$6,'Compliance Database'!$D175&amp;" "&amp;'Compliance Database'!$K175&amp;" "&amp;'Compliance Database'!$L175&amp;" "&amp;'Compliance Database'!$M175&amp;" "&amp;'Compliance Database'!$N175)))),1,0)</f>
        <v/>
      </c>
      <c r="B175">
        <f>IF($A175=1,SUM($A$2:$A175),"")</f>
        <v/>
      </c>
      <c r="C175">
        <f>IF($A175=1,SUM($A$2:$A175),0)</f>
        <v/>
      </c>
    </row>
    <row r="176">
      <c r="A176">
        <f>IF(AND(OR('Compliance Database'!$A176='Data Transfer'!$B$4,'Compliance Database'!$A176='Data Transfer'!$B$5),OR('Data Transfer'!$B$6="",ISNUMBER(SEARCH('Data Transfer'!$B$6,'Compliance Database'!$D176&amp;" "&amp;'Compliance Database'!$K176&amp;" "&amp;'Compliance Database'!$L176&amp;" "&amp;'Compliance Database'!$M176&amp;" "&amp;'Compliance Database'!$N176)))),1,0)</f>
        <v/>
      </c>
      <c r="B176">
        <f>IF($A176=1,SUM($A$2:$A176),"")</f>
        <v/>
      </c>
      <c r="C176">
        <f>IF($A176=1,SUM($A$2:$A176),0)</f>
        <v/>
      </c>
    </row>
    <row r="177">
      <c r="A177">
        <f>IF(AND(OR('Compliance Database'!$A177='Data Transfer'!$B$4,'Compliance Database'!$A177='Data Transfer'!$B$5),OR('Data Transfer'!$B$6="",ISNUMBER(SEARCH('Data Transfer'!$B$6,'Compliance Database'!$D177&amp;" "&amp;'Compliance Database'!$K177&amp;" "&amp;'Compliance Database'!$L177&amp;" "&amp;'Compliance Database'!$M177&amp;" "&amp;'Compliance Database'!$N177)))),1,0)</f>
        <v/>
      </c>
      <c r="B177">
        <f>IF($A177=1,SUM($A$2:$A177),"")</f>
        <v/>
      </c>
      <c r="C177">
        <f>IF($A177=1,SUM($A$2:$A177),0)</f>
        <v/>
      </c>
    </row>
    <row r="178">
      <c r="A178">
        <f>IF(AND(OR('Compliance Database'!$A178='Data Transfer'!$B$4,'Compliance Database'!$A178='Data Transfer'!$B$5),OR('Data Transfer'!$B$6="",ISNUMBER(SEARCH('Data Transfer'!$B$6,'Compliance Database'!$D178&amp;" "&amp;'Compliance Database'!$K178&amp;" "&amp;'Compliance Database'!$L178&amp;" "&amp;'Compliance Database'!$M178&amp;" "&amp;'Compliance Database'!$N178)))),1,0)</f>
        <v/>
      </c>
      <c r="B178">
        <f>IF($A178=1,SUM($A$2:$A178),"")</f>
        <v/>
      </c>
      <c r="C178">
        <f>IF($A178=1,SUM($A$2:$A178),0)</f>
        <v/>
      </c>
    </row>
    <row r="179">
      <c r="A179">
        <f>IF(AND(OR('Compliance Database'!$A179='Data Transfer'!$B$4,'Compliance Database'!$A179='Data Transfer'!$B$5),OR('Data Transfer'!$B$6="",ISNUMBER(SEARCH('Data Transfer'!$B$6,'Compliance Database'!$D179&amp;" "&amp;'Compliance Database'!$K179&amp;" "&amp;'Compliance Database'!$L179&amp;" "&amp;'Compliance Database'!$M179&amp;" "&amp;'Compliance Database'!$N179)))),1,0)</f>
        <v/>
      </c>
      <c r="B179">
        <f>IF($A179=1,SUM($A$2:$A179),"")</f>
        <v/>
      </c>
      <c r="C179">
        <f>IF($A179=1,SUM($A$2:$A179),0)</f>
        <v/>
      </c>
    </row>
    <row r="180">
      <c r="A180">
        <f>IF(AND(OR('Compliance Database'!$A180='Data Transfer'!$B$4,'Compliance Database'!$A180='Data Transfer'!$B$5),OR('Data Transfer'!$B$6="",ISNUMBER(SEARCH('Data Transfer'!$B$6,'Compliance Database'!$D180&amp;" "&amp;'Compliance Database'!$K180&amp;" "&amp;'Compliance Database'!$L180&amp;" "&amp;'Compliance Database'!$M180&amp;" "&amp;'Compliance Database'!$N180)))),1,0)</f>
        <v/>
      </c>
      <c r="B180">
        <f>IF($A180=1,SUM($A$2:$A180),"")</f>
        <v/>
      </c>
      <c r="C180">
        <f>IF($A180=1,SUM($A$2:$A180),0)</f>
        <v/>
      </c>
    </row>
    <row r="181">
      <c r="A181">
        <f>IF(AND(OR('Compliance Database'!$A181='Data Transfer'!$B$4,'Compliance Database'!$A181='Data Transfer'!$B$5),OR('Data Transfer'!$B$6="",ISNUMBER(SEARCH('Data Transfer'!$B$6,'Compliance Database'!$D181&amp;" "&amp;'Compliance Database'!$K181&amp;" "&amp;'Compliance Database'!$L181&amp;" "&amp;'Compliance Database'!$M181&amp;" "&amp;'Compliance Database'!$N181)))),1,0)</f>
        <v/>
      </c>
      <c r="B181">
        <f>IF($A181=1,SUM($A$2:$A181),"")</f>
        <v/>
      </c>
      <c r="C181">
        <f>IF($A181=1,SUM($A$2:$A181),0)</f>
        <v/>
      </c>
    </row>
    <row r="182">
      <c r="A182">
        <f>IF(AND(OR('Compliance Database'!$A182='Data Transfer'!$B$4,'Compliance Database'!$A182='Data Transfer'!$B$5),OR('Data Transfer'!$B$6="",ISNUMBER(SEARCH('Data Transfer'!$B$6,'Compliance Database'!$D182&amp;" "&amp;'Compliance Database'!$K182&amp;" "&amp;'Compliance Database'!$L182&amp;" "&amp;'Compliance Database'!$M182&amp;" "&amp;'Compliance Database'!$N182)))),1,0)</f>
        <v/>
      </c>
      <c r="B182">
        <f>IF($A182=1,SUM($A$2:$A182),"")</f>
        <v/>
      </c>
      <c r="C182">
        <f>IF($A182=1,SUM($A$2:$A182),0)</f>
        <v/>
      </c>
    </row>
    <row r="183">
      <c r="A183">
        <f>IF(AND(OR('Compliance Database'!$A183='Data Transfer'!$B$4,'Compliance Database'!$A183='Data Transfer'!$B$5),OR('Data Transfer'!$B$6="",ISNUMBER(SEARCH('Data Transfer'!$B$6,'Compliance Database'!$D183&amp;" "&amp;'Compliance Database'!$K183&amp;" "&amp;'Compliance Database'!$L183&amp;" "&amp;'Compliance Database'!$M183&amp;" "&amp;'Compliance Database'!$N183)))),1,0)</f>
        <v/>
      </c>
      <c r="B183">
        <f>IF($A183=1,SUM($A$2:$A183),"")</f>
        <v/>
      </c>
      <c r="C183">
        <f>IF($A183=1,SUM($A$2:$A183),0)</f>
        <v/>
      </c>
    </row>
    <row r="184">
      <c r="A184">
        <f>IF(AND(OR('Compliance Database'!$A184='Data Transfer'!$B$4,'Compliance Database'!$A184='Data Transfer'!$B$5),OR('Data Transfer'!$B$6="",ISNUMBER(SEARCH('Data Transfer'!$B$6,'Compliance Database'!$D184&amp;" "&amp;'Compliance Database'!$K184&amp;" "&amp;'Compliance Database'!$L184&amp;" "&amp;'Compliance Database'!$M184&amp;" "&amp;'Compliance Database'!$N184)))),1,0)</f>
        <v/>
      </c>
      <c r="B184">
        <f>IF($A184=1,SUM($A$2:$A184),"")</f>
        <v/>
      </c>
      <c r="C184">
        <f>IF($A184=1,SUM($A$2:$A184),0)</f>
        <v/>
      </c>
    </row>
    <row r="185">
      <c r="A185">
        <f>IF(AND(OR('Compliance Database'!$A185='Data Transfer'!$B$4,'Compliance Database'!$A185='Data Transfer'!$B$5),OR('Data Transfer'!$B$6="",ISNUMBER(SEARCH('Data Transfer'!$B$6,'Compliance Database'!$D185&amp;" "&amp;'Compliance Database'!$K185&amp;" "&amp;'Compliance Database'!$L185&amp;" "&amp;'Compliance Database'!$M185&amp;" "&amp;'Compliance Database'!$N185)))),1,0)</f>
        <v/>
      </c>
      <c r="B185">
        <f>IF($A185=1,SUM($A$2:$A185),"")</f>
        <v/>
      </c>
      <c r="C185">
        <f>IF($A185=1,SUM($A$2:$A185),0)</f>
        <v/>
      </c>
    </row>
    <row r="186">
      <c r="A186">
        <f>IF(AND(OR('Compliance Database'!$A186='Data Transfer'!$B$4,'Compliance Database'!$A186='Data Transfer'!$B$5),OR('Data Transfer'!$B$6="",ISNUMBER(SEARCH('Data Transfer'!$B$6,'Compliance Database'!$D186&amp;" "&amp;'Compliance Database'!$K186&amp;" "&amp;'Compliance Database'!$L186&amp;" "&amp;'Compliance Database'!$M186&amp;" "&amp;'Compliance Database'!$N186)))),1,0)</f>
        <v/>
      </c>
      <c r="B186">
        <f>IF($A186=1,SUM($A$2:$A186),"")</f>
        <v/>
      </c>
      <c r="C186">
        <f>IF($A186=1,SUM($A$2:$A186),0)</f>
        <v/>
      </c>
    </row>
    <row r="187">
      <c r="A187">
        <f>IF(AND(OR('Compliance Database'!$A187='Data Transfer'!$B$4,'Compliance Database'!$A187='Data Transfer'!$B$5),OR('Data Transfer'!$B$6="",ISNUMBER(SEARCH('Data Transfer'!$B$6,'Compliance Database'!$D187&amp;" "&amp;'Compliance Database'!$K187&amp;" "&amp;'Compliance Database'!$L187&amp;" "&amp;'Compliance Database'!$M187&amp;" "&amp;'Compliance Database'!$N187)))),1,0)</f>
        <v/>
      </c>
      <c r="B187">
        <f>IF($A187=1,SUM($A$2:$A187),"")</f>
        <v/>
      </c>
      <c r="C187">
        <f>IF($A187=1,SUM($A$2:$A187),0)</f>
        <v/>
      </c>
    </row>
    <row r="188">
      <c r="A188">
        <f>IF(AND(OR('Compliance Database'!$A188='Data Transfer'!$B$4,'Compliance Database'!$A188='Data Transfer'!$B$5),OR('Data Transfer'!$B$6="",ISNUMBER(SEARCH('Data Transfer'!$B$6,'Compliance Database'!$D188&amp;" "&amp;'Compliance Database'!$K188&amp;" "&amp;'Compliance Database'!$L188&amp;" "&amp;'Compliance Database'!$M188&amp;" "&amp;'Compliance Database'!$N188)))),1,0)</f>
        <v/>
      </c>
      <c r="B188">
        <f>IF($A188=1,SUM($A$2:$A188),"")</f>
        <v/>
      </c>
      <c r="C188">
        <f>IF($A188=1,SUM($A$2:$A188),0)</f>
        <v/>
      </c>
    </row>
    <row r="189">
      <c r="A189">
        <f>IF(AND(OR('Compliance Database'!$A189='Data Transfer'!$B$4,'Compliance Database'!$A189='Data Transfer'!$B$5),OR('Data Transfer'!$B$6="",ISNUMBER(SEARCH('Data Transfer'!$B$6,'Compliance Database'!$D189&amp;" "&amp;'Compliance Database'!$K189&amp;" "&amp;'Compliance Database'!$L189&amp;" "&amp;'Compliance Database'!$M189&amp;" "&amp;'Compliance Database'!$N189)))),1,0)</f>
        <v/>
      </c>
      <c r="B189">
        <f>IF($A189=1,SUM($A$2:$A189),"")</f>
        <v/>
      </c>
      <c r="C189">
        <f>IF($A189=1,SUM($A$2:$A189),0)</f>
        <v/>
      </c>
    </row>
    <row r="190">
      <c r="A190">
        <f>IF(AND(OR('Compliance Database'!$A190='Data Transfer'!$B$4,'Compliance Database'!$A190='Data Transfer'!$B$5),OR('Data Transfer'!$B$6="",ISNUMBER(SEARCH('Data Transfer'!$B$6,'Compliance Database'!$D190&amp;" "&amp;'Compliance Database'!$K190&amp;" "&amp;'Compliance Database'!$L190&amp;" "&amp;'Compliance Database'!$M190&amp;" "&amp;'Compliance Database'!$N190)))),1,0)</f>
        <v/>
      </c>
      <c r="B190">
        <f>IF($A190=1,SUM($A$2:$A190),"")</f>
        <v/>
      </c>
      <c r="C190">
        <f>IF($A190=1,SUM($A$2:$A190),0)</f>
        <v/>
      </c>
    </row>
    <row r="191">
      <c r="A191">
        <f>IF(AND(OR('Compliance Database'!$A191='Data Transfer'!$B$4,'Compliance Database'!$A191='Data Transfer'!$B$5),OR('Data Transfer'!$B$6="",ISNUMBER(SEARCH('Data Transfer'!$B$6,'Compliance Database'!$D191&amp;" "&amp;'Compliance Database'!$K191&amp;" "&amp;'Compliance Database'!$L191&amp;" "&amp;'Compliance Database'!$M191&amp;" "&amp;'Compliance Database'!$N191)))),1,0)</f>
        <v/>
      </c>
      <c r="B191">
        <f>IF($A191=1,SUM($A$2:$A191),"")</f>
        <v/>
      </c>
      <c r="C191">
        <f>IF($A191=1,SUM($A$2:$A191),0)</f>
        <v/>
      </c>
    </row>
    <row r="192">
      <c r="A192">
        <f>IF(AND(OR('Compliance Database'!$A192='Data Transfer'!$B$4,'Compliance Database'!$A192='Data Transfer'!$B$5),OR('Data Transfer'!$B$6="",ISNUMBER(SEARCH('Data Transfer'!$B$6,'Compliance Database'!$D192&amp;" "&amp;'Compliance Database'!$K192&amp;" "&amp;'Compliance Database'!$L192&amp;" "&amp;'Compliance Database'!$M192&amp;" "&amp;'Compliance Database'!$N192)))),1,0)</f>
        <v/>
      </c>
      <c r="B192">
        <f>IF($A192=1,SUM($A$2:$A192),"")</f>
        <v/>
      </c>
      <c r="C192">
        <f>IF($A192=1,SUM($A$2:$A192),0)</f>
        <v/>
      </c>
    </row>
    <row r="193">
      <c r="A193">
        <f>IF(AND(OR('Compliance Database'!$A193='Data Transfer'!$B$4,'Compliance Database'!$A193='Data Transfer'!$B$5),OR('Data Transfer'!$B$6="",ISNUMBER(SEARCH('Data Transfer'!$B$6,'Compliance Database'!$D193&amp;" "&amp;'Compliance Database'!$K193&amp;" "&amp;'Compliance Database'!$L193&amp;" "&amp;'Compliance Database'!$M193&amp;" "&amp;'Compliance Database'!$N193)))),1,0)</f>
        <v/>
      </c>
      <c r="B193">
        <f>IF($A193=1,SUM($A$2:$A193),"")</f>
        <v/>
      </c>
      <c r="C193">
        <f>IF($A193=1,SUM($A$2:$A193),0)</f>
        <v/>
      </c>
    </row>
    <row r="194">
      <c r="A194">
        <f>IF(AND(OR('Compliance Database'!$A194='Data Transfer'!$B$4,'Compliance Database'!$A194='Data Transfer'!$B$5),OR('Data Transfer'!$B$6="",ISNUMBER(SEARCH('Data Transfer'!$B$6,'Compliance Database'!$D194&amp;" "&amp;'Compliance Database'!$K194&amp;" "&amp;'Compliance Database'!$L194&amp;" "&amp;'Compliance Database'!$M194&amp;" "&amp;'Compliance Database'!$N194)))),1,0)</f>
        <v/>
      </c>
      <c r="B194">
        <f>IF($A194=1,SUM($A$2:$A194),"")</f>
        <v/>
      </c>
      <c r="C194">
        <f>IF($A194=1,SUM($A$2:$A194),0)</f>
        <v/>
      </c>
    </row>
    <row r="195">
      <c r="A195">
        <f>IF(AND(OR('Compliance Database'!$A195='Data Transfer'!$B$4,'Compliance Database'!$A195='Data Transfer'!$B$5),OR('Data Transfer'!$B$6="",ISNUMBER(SEARCH('Data Transfer'!$B$6,'Compliance Database'!$D195&amp;" "&amp;'Compliance Database'!$K195&amp;" "&amp;'Compliance Database'!$L195&amp;" "&amp;'Compliance Database'!$M195&amp;" "&amp;'Compliance Database'!$N195)))),1,0)</f>
        <v/>
      </c>
      <c r="B195">
        <f>IF($A195=1,SUM($A$2:$A195),"")</f>
        <v/>
      </c>
      <c r="C195">
        <f>IF($A195=1,SUM($A$2:$A195),0)</f>
        <v/>
      </c>
    </row>
    <row r="196">
      <c r="A196">
        <f>IF(AND(OR('Compliance Database'!$A196='Data Transfer'!$B$4,'Compliance Database'!$A196='Data Transfer'!$B$5),OR('Data Transfer'!$B$6="",ISNUMBER(SEARCH('Data Transfer'!$B$6,'Compliance Database'!$D196&amp;" "&amp;'Compliance Database'!$K196&amp;" "&amp;'Compliance Database'!$L196&amp;" "&amp;'Compliance Database'!$M196&amp;" "&amp;'Compliance Database'!$N196)))),1,0)</f>
        <v/>
      </c>
      <c r="B196">
        <f>IF($A196=1,SUM($A$2:$A196),"")</f>
        <v/>
      </c>
      <c r="C196">
        <f>IF($A196=1,SUM($A$2:$A196),0)</f>
        <v/>
      </c>
    </row>
    <row r="197">
      <c r="A197">
        <f>IF(AND(OR('Compliance Database'!$A197='Data Transfer'!$B$4,'Compliance Database'!$A197='Data Transfer'!$B$5),OR('Data Transfer'!$B$6="",ISNUMBER(SEARCH('Data Transfer'!$B$6,'Compliance Database'!$D197&amp;" "&amp;'Compliance Database'!$K197&amp;" "&amp;'Compliance Database'!$L197&amp;" "&amp;'Compliance Database'!$M197&amp;" "&amp;'Compliance Database'!$N197)))),1,0)</f>
        <v/>
      </c>
      <c r="B197">
        <f>IF($A197=1,SUM($A$2:$A197),"")</f>
        <v/>
      </c>
      <c r="C197">
        <f>IF($A197=1,SUM($A$2:$A197),0)</f>
        <v/>
      </c>
    </row>
    <row r="198">
      <c r="A198">
        <f>IF(AND(OR('Compliance Database'!$A198='Data Transfer'!$B$4,'Compliance Database'!$A198='Data Transfer'!$B$5),OR('Data Transfer'!$B$6="",ISNUMBER(SEARCH('Data Transfer'!$B$6,'Compliance Database'!$D198&amp;" "&amp;'Compliance Database'!$K198&amp;" "&amp;'Compliance Database'!$L198&amp;" "&amp;'Compliance Database'!$M198&amp;" "&amp;'Compliance Database'!$N198)))),1,0)</f>
        <v/>
      </c>
      <c r="B198">
        <f>IF($A198=1,SUM($A$2:$A198),"")</f>
        <v/>
      </c>
      <c r="C198">
        <f>IF($A198=1,SUM($A$2:$A198),0)</f>
        <v/>
      </c>
    </row>
    <row r="199">
      <c r="A199">
        <f>IF(AND(OR('Compliance Database'!$A199='Data Transfer'!$B$4,'Compliance Database'!$A199='Data Transfer'!$B$5),OR('Data Transfer'!$B$6="",ISNUMBER(SEARCH('Data Transfer'!$B$6,'Compliance Database'!$D199&amp;" "&amp;'Compliance Database'!$K199&amp;" "&amp;'Compliance Database'!$L199&amp;" "&amp;'Compliance Database'!$M199&amp;" "&amp;'Compliance Database'!$N199)))),1,0)</f>
        <v/>
      </c>
      <c r="B199">
        <f>IF($A199=1,SUM($A$2:$A199),"")</f>
        <v/>
      </c>
      <c r="C199">
        <f>IF($A199=1,SUM($A$2:$A199),0)</f>
        <v/>
      </c>
    </row>
    <row r="200">
      <c r="A200">
        <f>IF(AND(OR('Compliance Database'!$A200='Data Transfer'!$B$4,'Compliance Database'!$A200='Data Transfer'!$B$5),OR('Data Transfer'!$B$6="",ISNUMBER(SEARCH('Data Transfer'!$B$6,'Compliance Database'!$D200&amp;" "&amp;'Compliance Database'!$K200&amp;" "&amp;'Compliance Database'!$L200&amp;" "&amp;'Compliance Database'!$M200&amp;" "&amp;'Compliance Database'!$N200)))),1,0)</f>
        <v/>
      </c>
      <c r="B200">
        <f>IF($A200=1,SUM($A$2:$A200),"")</f>
        <v/>
      </c>
      <c r="C200">
        <f>IF($A200=1,SUM($A$2:$A200),0)</f>
        <v/>
      </c>
    </row>
    <row r="201">
      <c r="A201">
        <f>IF(AND(OR('Compliance Database'!$A201='Data Transfer'!$B$4,'Compliance Database'!$A201='Data Transfer'!$B$5),OR('Data Transfer'!$B$6="",ISNUMBER(SEARCH('Data Transfer'!$B$6,'Compliance Database'!$D201&amp;" "&amp;'Compliance Database'!$K201&amp;" "&amp;'Compliance Database'!$L201&amp;" "&amp;'Compliance Database'!$M201&amp;" "&amp;'Compliance Database'!$N201)))),1,0)</f>
        <v/>
      </c>
      <c r="B201">
        <f>IF($A201=1,SUM($A$2:$A201),"")</f>
        <v/>
      </c>
      <c r="C201">
        <f>IF($A201=1,SUM($A$2:$A201),0)</f>
        <v/>
      </c>
    </row>
    <row r="202">
      <c r="A202">
        <f>IF(AND(OR('Compliance Database'!$A202='Data Transfer'!$B$4,'Compliance Database'!$A202='Data Transfer'!$B$5),OR('Data Transfer'!$B$6="",ISNUMBER(SEARCH('Data Transfer'!$B$6,'Compliance Database'!$D202&amp;" "&amp;'Compliance Database'!$K202&amp;" "&amp;'Compliance Database'!$L202&amp;" "&amp;'Compliance Database'!$M202&amp;" "&amp;'Compliance Database'!$N202)))),1,0)</f>
        <v/>
      </c>
      <c r="B202">
        <f>IF($A202=1,SUM($A$2:$A202),"")</f>
        <v/>
      </c>
      <c r="C202">
        <f>IF($A202=1,SUM($A$2:$A202),0)</f>
        <v/>
      </c>
    </row>
    <row r="203">
      <c r="A203">
        <f>IF(AND(OR('Compliance Database'!$A203='Data Transfer'!$B$4,'Compliance Database'!$A203='Data Transfer'!$B$5),OR('Data Transfer'!$B$6="",ISNUMBER(SEARCH('Data Transfer'!$B$6,'Compliance Database'!$D203&amp;" "&amp;'Compliance Database'!$K203&amp;" "&amp;'Compliance Database'!$L203&amp;" "&amp;'Compliance Database'!$M203&amp;" "&amp;'Compliance Database'!$N203)))),1,0)</f>
        <v/>
      </c>
      <c r="B203">
        <f>IF($A203=1,SUM($A$2:$A203),"")</f>
        <v/>
      </c>
      <c r="C203">
        <f>IF($A203=1,SUM($A$2:$A203),0)</f>
        <v/>
      </c>
    </row>
    <row r="204">
      <c r="A204">
        <f>IF(AND(OR('Compliance Database'!$A204='Data Transfer'!$B$4,'Compliance Database'!$A204='Data Transfer'!$B$5),OR('Data Transfer'!$B$6="",ISNUMBER(SEARCH('Data Transfer'!$B$6,'Compliance Database'!$D204&amp;" "&amp;'Compliance Database'!$K204&amp;" "&amp;'Compliance Database'!$L204&amp;" "&amp;'Compliance Database'!$M204&amp;" "&amp;'Compliance Database'!$N204)))),1,0)</f>
        <v/>
      </c>
      <c r="B204">
        <f>IF($A204=1,SUM($A$2:$A204),"")</f>
        <v/>
      </c>
      <c r="C204">
        <f>IF($A204=1,SUM($A$2:$A204),0)</f>
        <v/>
      </c>
    </row>
    <row r="205">
      <c r="A205">
        <f>IF(AND(OR('Compliance Database'!$A205='Data Transfer'!$B$4,'Compliance Database'!$A205='Data Transfer'!$B$5),OR('Data Transfer'!$B$6="",ISNUMBER(SEARCH('Data Transfer'!$B$6,'Compliance Database'!$D205&amp;" "&amp;'Compliance Database'!$K205&amp;" "&amp;'Compliance Database'!$L205&amp;" "&amp;'Compliance Database'!$M205&amp;" "&amp;'Compliance Database'!$N205)))),1,0)</f>
        <v/>
      </c>
      <c r="B205">
        <f>IF($A205=1,SUM($A$2:$A205),"")</f>
        <v/>
      </c>
      <c r="C205">
        <f>IF($A205=1,SUM($A$2:$A205),0)</f>
        <v/>
      </c>
    </row>
    <row r="206">
      <c r="A206">
        <f>IF(AND(OR('Compliance Database'!$A206='Data Transfer'!$B$4,'Compliance Database'!$A206='Data Transfer'!$B$5),OR('Data Transfer'!$B$6="",ISNUMBER(SEARCH('Data Transfer'!$B$6,'Compliance Database'!$D206&amp;" "&amp;'Compliance Database'!$K206&amp;" "&amp;'Compliance Database'!$L206&amp;" "&amp;'Compliance Database'!$M206&amp;" "&amp;'Compliance Database'!$N206)))),1,0)</f>
        <v/>
      </c>
      <c r="B206">
        <f>IF($A206=1,SUM($A$2:$A206),"")</f>
        <v/>
      </c>
      <c r="C206">
        <f>IF($A206=1,SUM($A$2:$A206),0)</f>
        <v/>
      </c>
    </row>
    <row r="207">
      <c r="A207">
        <f>IF(AND(OR('Compliance Database'!$A207='Data Transfer'!$B$4,'Compliance Database'!$A207='Data Transfer'!$B$5),OR('Data Transfer'!$B$6="",ISNUMBER(SEARCH('Data Transfer'!$B$6,'Compliance Database'!$D207&amp;" "&amp;'Compliance Database'!$K207&amp;" "&amp;'Compliance Database'!$L207&amp;" "&amp;'Compliance Database'!$M207&amp;" "&amp;'Compliance Database'!$N207)))),1,0)</f>
        <v/>
      </c>
      <c r="B207">
        <f>IF($A207=1,SUM($A$2:$A207),"")</f>
        <v/>
      </c>
      <c r="C207">
        <f>IF($A207=1,SUM($A$2:$A207),0)</f>
        <v/>
      </c>
    </row>
    <row r="208">
      <c r="A208">
        <f>IF(AND(OR('Compliance Database'!$A208='Data Transfer'!$B$4,'Compliance Database'!$A208='Data Transfer'!$B$5),OR('Data Transfer'!$B$6="",ISNUMBER(SEARCH('Data Transfer'!$B$6,'Compliance Database'!$D208&amp;" "&amp;'Compliance Database'!$K208&amp;" "&amp;'Compliance Database'!$L208&amp;" "&amp;'Compliance Database'!$M208&amp;" "&amp;'Compliance Database'!$N208)))),1,0)</f>
        <v/>
      </c>
      <c r="B208">
        <f>IF($A208=1,SUM($A$2:$A208),"")</f>
        <v/>
      </c>
      <c r="C208">
        <f>IF($A208=1,SUM($A$2:$A208),0)</f>
        <v/>
      </c>
    </row>
    <row r="209">
      <c r="A209">
        <f>IF(AND(OR('Compliance Database'!$A209='Data Transfer'!$B$4,'Compliance Database'!$A209='Data Transfer'!$B$5),OR('Data Transfer'!$B$6="",ISNUMBER(SEARCH('Data Transfer'!$B$6,'Compliance Database'!$D209&amp;" "&amp;'Compliance Database'!$K209&amp;" "&amp;'Compliance Database'!$L209&amp;" "&amp;'Compliance Database'!$M209&amp;" "&amp;'Compliance Database'!$N209)))),1,0)</f>
        <v/>
      </c>
      <c r="B209">
        <f>IF($A209=1,SUM($A$2:$A209),"")</f>
        <v/>
      </c>
      <c r="C209">
        <f>IF($A209=1,SUM($A$2:$A209),0)</f>
        <v/>
      </c>
    </row>
    <row r="210">
      <c r="A210">
        <f>IF(AND(OR('Compliance Database'!$A210='Data Transfer'!$B$4,'Compliance Database'!$A210='Data Transfer'!$B$5),OR('Data Transfer'!$B$6="",ISNUMBER(SEARCH('Data Transfer'!$B$6,'Compliance Database'!$D210&amp;" "&amp;'Compliance Database'!$K210&amp;" "&amp;'Compliance Database'!$L210&amp;" "&amp;'Compliance Database'!$M210&amp;" "&amp;'Compliance Database'!$N210)))),1,0)</f>
        <v/>
      </c>
      <c r="B210">
        <f>IF($A210=1,SUM($A$2:$A210),"")</f>
        <v/>
      </c>
      <c r="C210">
        <f>IF($A210=1,SUM($A$2:$A210),0)</f>
        <v/>
      </c>
    </row>
    <row r="211">
      <c r="A211">
        <f>IF(AND(OR('Compliance Database'!$A211='Data Transfer'!$B$4,'Compliance Database'!$A211='Data Transfer'!$B$5),OR('Data Transfer'!$B$6="",ISNUMBER(SEARCH('Data Transfer'!$B$6,'Compliance Database'!$D211&amp;" "&amp;'Compliance Database'!$K211&amp;" "&amp;'Compliance Database'!$L211&amp;" "&amp;'Compliance Database'!$M211&amp;" "&amp;'Compliance Database'!$N211)))),1,0)</f>
        <v/>
      </c>
      <c r="B211">
        <f>IF($A211=1,SUM($A$2:$A211),"")</f>
        <v/>
      </c>
      <c r="C211">
        <f>IF($A211=1,SUM($A$2:$A211),0)</f>
        <v/>
      </c>
    </row>
    <row r="212">
      <c r="A212">
        <f>IF(AND(OR('Compliance Database'!$A212='Data Transfer'!$B$4,'Compliance Database'!$A212='Data Transfer'!$B$5),OR('Data Transfer'!$B$6="",ISNUMBER(SEARCH('Data Transfer'!$B$6,'Compliance Database'!$D212&amp;" "&amp;'Compliance Database'!$K212&amp;" "&amp;'Compliance Database'!$L212&amp;" "&amp;'Compliance Database'!$M212&amp;" "&amp;'Compliance Database'!$N212)))),1,0)</f>
        <v/>
      </c>
      <c r="B212">
        <f>IF($A212=1,SUM($A$2:$A212),"")</f>
        <v/>
      </c>
      <c r="C212">
        <f>IF($A212=1,SUM($A$2:$A212),0)</f>
        <v/>
      </c>
    </row>
    <row r="213">
      <c r="A213">
        <f>IF(AND(OR('Compliance Database'!$A213='Data Transfer'!$B$4,'Compliance Database'!$A213='Data Transfer'!$B$5),OR('Data Transfer'!$B$6="",ISNUMBER(SEARCH('Data Transfer'!$B$6,'Compliance Database'!$D213&amp;" "&amp;'Compliance Database'!$K213&amp;" "&amp;'Compliance Database'!$L213&amp;" "&amp;'Compliance Database'!$M213&amp;" "&amp;'Compliance Database'!$N213)))),1,0)</f>
        <v/>
      </c>
      <c r="B213">
        <f>IF($A213=1,SUM($A$2:$A213),"")</f>
        <v/>
      </c>
      <c r="C213">
        <f>IF($A213=1,SUM($A$2:$A213),0)</f>
        <v/>
      </c>
    </row>
    <row r="214">
      <c r="A214">
        <f>IF(AND(OR('Compliance Database'!$A214='Data Transfer'!$B$4,'Compliance Database'!$A214='Data Transfer'!$B$5),OR('Data Transfer'!$B$6="",ISNUMBER(SEARCH('Data Transfer'!$B$6,'Compliance Database'!$D214&amp;" "&amp;'Compliance Database'!$K214&amp;" "&amp;'Compliance Database'!$L214&amp;" "&amp;'Compliance Database'!$M214&amp;" "&amp;'Compliance Database'!$N214)))),1,0)</f>
        <v/>
      </c>
      <c r="B214">
        <f>IF($A214=1,SUM($A$2:$A214),"")</f>
        <v/>
      </c>
      <c r="C214">
        <f>IF($A214=1,SUM($A$2:$A214),0)</f>
        <v/>
      </c>
    </row>
    <row r="215">
      <c r="A215">
        <f>IF(AND(OR('Compliance Database'!$A215='Data Transfer'!$B$4,'Compliance Database'!$A215='Data Transfer'!$B$5),OR('Data Transfer'!$B$6="",ISNUMBER(SEARCH('Data Transfer'!$B$6,'Compliance Database'!$D215&amp;" "&amp;'Compliance Database'!$K215&amp;" "&amp;'Compliance Database'!$L215&amp;" "&amp;'Compliance Database'!$M215&amp;" "&amp;'Compliance Database'!$N215)))),1,0)</f>
        <v/>
      </c>
      <c r="B215">
        <f>IF($A215=1,SUM($A$2:$A215),"")</f>
        <v/>
      </c>
      <c r="C215">
        <f>IF($A215=1,SUM($A$2:$A215),0)</f>
        <v/>
      </c>
    </row>
    <row r="216">
      <c r="A216">
        <f>IF(AND(OR('Compliance Database'!$A216='Data Transfer'!$B$4,'Compliance Database'!$A216='Data Transfer'!$B$5),OR('Data Transfer'!$B$6="",ISNUMBER(SEARCH('Data Transfer'!$B$6,'Compliance Database'!$D216&amp;" "&amp;'Compliance Database'!$K216&amp;" "&amp;'Compliance Database'!$L216&amp;" "&amp;'Compliance Database'!$M216&amp;" "&amp;'Compliance Database'!$N216)))),1,0)</f>
        <v/>
      </c>
      <c r="B216">
        <f>IF($A216=1,SUM($A$2:$A216),"")</f>
        <v/>
      </c>
      <c r="C216">
        <f>IF($A216=1,SUM($A$2:$A216),0)</f>
        <v/>
      </c>
    </row>
    <row r="217">
      <c r="A217">
        <f>IF(AND(OR('Compliance Database'!$A217='Data Transfer'!$B$4,'Compliance Database'!$A217='Data Transfer'!$B$5),OR('Data Transfer'!$B$6="",ISNUMBER(SEARCH('Data Transfer'!$B$6,'Compliance Database'!$D217&amp;" "&amp;'Compliance Database'!$K217&amp;" "&amp;'Compliance Database'!$L217&amp;" "&amp;'Compliance Database'!$M217&amp;" "&amp;'Compliance Database'!$N217)))),1,0)</f>
        <v/>
      </c>
      <c r="B217">
        <f>IF($A217=1,SUM($A$2:$A217),"")</f>
        <v/>
      </c>
      <c r="C217">
        <f>IF($A217=1,SUM($A$2:$A217),0)</f>
        <v/>
      </c>
    </row>
    <row r="218">
      <c r="A218">
        <f>IF(AND(OR('Compliance Database'!$A218='Data Transfer'!$B$4,'Compliance Database'!$A218='Data Transfer'!$B$5),OR('Data Transfer'!$B$6="",ISNUMBER(SEARCH('Data Transfer'!$B$6,'Compliance Database'!$D218&amp;" "&amp;'Compliance Database'!$K218&amp;" "&amp;'Compliance Database'!$L218&amp;" "&amp;'Compliance Database'!$M218&amp;" "&amp;'Compliance Database'!$N218)))),1,0)</f>
        <v/>
      </c>
      <c r="B218">
        <f>IF($A218=1,SUM($A$2:$A218),"")</f>
        <v/>
      </c>
      <c r="C218">
        <f>IF($A218=1,SUM($A$2:$A218),0)</f>
        <v/>
      </c>
    </row>
    <row r="219">
      <c r="A219">
        <f>IF(AND(OR('Compliance Database'!$A219='Data Transfer'!$B$4,'Compliance Database'!$A219='Data Transfer'!$B$5),OR('Data Transfer'!$B$6="",ISNUMBER(SEARCH('Data Transfer'!$B$6,'Compliance Database'!$D219&amp;" "&amp;'Compliance Database'!$K219&amp;" "&amp;'Compliance Database'!$L219&amp;" "&amp;'Compliance Database'!$M219&amp;" "&amp;'Compliance Database'!$N219)))),1,0)</f>
        <v/>
      </c>
      <c r="B219">
        <f>IF($A219=1,SUM($A$2:$A219),"")</f>
        <v/>
      </c>
      <c r="C219">
        <f>IF($A219=1,SUM($A$2:$A219),0)</f>
        <v/>
      </c>
    </row>
    <row r="220">
      <c r="A220">
        <f>IF(AND(OR('Compliance Database'!$A220='Data Transfer'!$B$4,'Compliance Database'!$A220='Data Transfer'!$B$5),OR('Data Transfer'!$B$6="",ISNUMBER(SEARCH('Data Transfer'!$B$6,'Compliance Database'!$D220&amp;" "&amp;'Compliance Database'!$K220&amp;" "&amp;'Compliance Database'!$L220&amp;" "&amp;'Compliance Database'!$M220&amp;" "&amp;'Compliance Database'!$N220)))),1,0)</f>
        <v/>
      </c>
      <c r="B220">
        <f>IF($A220=1,SUM($A$2:$A220),"")</f>
        <v/>
      </c>
      <c r="C220">
        <f>IF($A220=1,SUM($A$2:$A220),0)</f>
        <v/>
      </c>
    </row>
    <row r="221">
      <c r="A221">
        <f>IF(AND(OR('Compliance Database'!$A221='Data Transfer'!$B$4,'Compliance Database'!$A221='Data Transfer'!$B$5),OR('Data Transfer'!$B$6="",ISNUMBER(SEARCH('Data Transfer'!$B$6,'Compliance Database'!$D221&amp;" "&amp;'Compliance Database'!$K221&amp;" "&amp;'Compliance Database'!$L221&amp;" "&amp;'Compliance Database'!$M221&amp;" "&amp;'Compliance Database'!$N221)))),1,0)</f>
        <v/>
      </c>
      <c r="B221">
        <f>IF($A221=1,SUM($A$2:$A221),"")</f>
        <v/>
      </c>
      <c r="C221">
        <f>IF($A221=1,SUM($A$2:$A221),0)</f>
        <v/>
      </c>
    </row>
    <row r="222">
      <c r="A222">
        <f>IF(AND(OR('Compliance Database'!$A222='Data Transfer'!$B$4,'Compliance Database'!$A222='Data Transfer'!$B$5),OR('Data Transfer'!$B$6="",ISNUMBER(SEARCH('Data Transfer'!$B$6,'Compliance Database'!$D222&amp;" "&amp;'Compliance Database'!$K222&amp;" "&amp;'Compliance Database'!$L222&amp;" "&amp;'Compliance Database'!$M222&amp;" "&amp;'Compliance Database'!$N222)))),1,0)</f>
        <v/>
      </c>
      <c r="B222">
        <f>IF($A222=1,SUM($A$2:$A222),"")</f>
        <v/>
      </c>
      <c r="C222">
        <f>IF($A222=1,SUM($A$2:$A222),0)</f>
        <v/>
      </c>
    </row>
    <row r="223">
      <c r="A223">
        <f>IF(AND(OR('Compliance Database'!$A223='Data Transfer'!$B$4,'Compliance Database'!$A223='Data Transfer'!$B$5),OR('Data Transfer'!$B$6="",ISNUMBER(SEARCH('Data Transfer'!$B$6,'Compliance Database'!$D223&amp;" "&amp;'Compliance Database'!$K223&amp;" "&amp;'Compliance Database'!$L223&amp;" "&amp;'Compliance Database'!$M223&amp;" "&amp;'Compliance Database'!$N223)))),1,0)</f>
        <v/>
      </c>
      <c r="B223">
        <f>IF($A223=1,SUM($A$2:$A223),"")</f>
        <v/>
      </c>
      <c r="C223">
        <f>IF($A223=1,SUM($A$2:$A223),0)</f>
        <v/>
      </c>
    </row>
    <row r="224">
      <c r="A224">
        <f>IF(AND(OR('Compliance Database'!$A224='Data Transfer'!$B$4,'Compliance Database'!$A224='Data Transfer'!$B$5),OR('Data Transfer'!$B$6="",ISNUMBER(SEARCH('Data Transfer'!$B$6,'Compliance Database'!$D224&amp;" "&amp;'Compliance Database'!$K224&amp;" "&amp;'Compliance Database'!$L224&amp;" "&amp;'Compliance Database'!$M224&amp;" "&amp;'Compliance Database'!$N224)))),1,0)</f>
        <v/>
      </c>
      <c r="B224">
        <f>IF($A224=1,SUM($A$2:$A224),"")</f>
        <v/>
      </c>
      <c r="C224">
        <f>IF($A224=1,SUM($A$2:$A224),0)</f>
        <v/>
      </c>
    </row>
    <row r="225">
      <c r="A225">
        <f>IF(AND(OR('Compliance Database'!$A225='Data Transfer'!$B$4,'Compliance Database'!$A225='Data Transfer'!$B$5),OR('Data Transfer'!$B$6="",ISNUMBER(SEARCH('Data Transfer'!$B$6,'Compliance Database'!$D225&amp;" "&amp;'Compliance Database'!$K225&amp;" "&amp;'Compliance Database'!$L225&amp;" "&amp;'Compliance Database'!$M225&amp;" "&amp;'Compliance Database'!$N225)))),1,0)</f>
        <v/>
      </c>
      <c r="B225">
        <f>IF($A225=1,SUM($A$2:$A225),"")</f>
        <v/>
      </c>
      <c r="C225">
        <f>IF($A225=1,SUM($A$2:$A225),0)</f>
        <v/>
      </c>
    </row>
    <row r="226">
      <c r="A226">
        <f>IF(AND(OR('Compliance Database'!$A226='Data Transfer'!$B$4,'Compliance Database'!$A226='Data Transfer'!$B$5),OR('Data Transfer'!$B$6="",ISNUMBER(SEARCH('Data Transfer'!$B$6,'Compliance Database'!$D226&amp;" "&amp;'Compliance Database'!$K226&amp;" "&amp;'Compliance Database'!$L226&amp;" "&amp;'Compliance Database'!$M226&amp;" "&amp;'Compliance Database'!$N226)))),1,0)</f>
        <v/>
      </c>
      <c r="B226">
        <f>IF($A226=1,SUM($A$2:$A226),"")</f>
        <v/>
      </c>
      <c r="C226">
        <f>IF($A226=1,SUM($A$2:$A226),0)</f>
        <v/>
      </c>
    </row>
    <row r="227">
      <c r="A227">
        <f>IF(AND(OR('Compliance Database'!$A227='Data Transfer'!$B$4,'Compliance Database'!$A227='Data Transfer'!$B$5),OR('Data Transfer'!$B$6="",ISNUMBER(SEARCH('Data Transfer'!$B$6,'Compliance Database'!$D227&amp;" "&amp;'Compliance Database'!$K227&amp;" "&amp;'Compliance Database'!$L227&amp;" "&amp;'Compliance Database'!$M227&amp;" "&amp;'Compliance Database'!$N227)))),1,0)</f>
        <v/>
      </c>
      <c r="B227">
        <f>IF($A227=1,SUM($A$2:$A227),"")</f>
        <v/>
      </c>
      <c r="C227">
        <f>IF($A227=1,SUM($A$2:$A227),0)</f>
        <v/>
      </c>
    </row>
    <row r="228">
      <c r="A228">
        <f>IF(AND(OR('Compliance Database'!$A228='Data Transfer'!$B$4,'Compliance Database'!$A228='Data Transfer'!$B$5),OR('Data Transfer'!$B$6="",ISNUMBER(SEARCH('Data Transfer'!$B$6,'Compliance Database'!$D228&amp;" "&amp;'Compliance Database'!$K228&amp;" "&amp;'Compliance Database'!$L228&amp;" "&amp;'Compliance Database'!$M228&amp;" "&amp;'Compliance Database'!$N228)))),1,0)</f>
        <v/>
      </c>
      <c r="B228">
        <f>IF($A228=1,SUM($A$2:$A228),"")</f>
        <v/>
      </c>
      <c r="C228">
        <f>IF($A228=1,SUM($A$2:$A228),0)</f>
        <v/>
      </c>
    </row>
    <row r="229">
      <c r="A229">
        <f>IF(AND(OR('Compliance Database'!$A229='Data Transfer'!$B$4,'Compliance Database'!$A229='Data Transfer'!$B$5),OR('Data Transfer'!$B$6="",ISNUMBER(SEARCH('Data Transfer'!$B$6,'Compliance Database'!$D229&amp;" "&amp;'Compliance Database'!$K229&amp;" "&amp;'Compliance Database'!$L229&amp;" "&amp;'Compliance Database'!$M229&amp;" "&amp;'Compliance Database'!$N229)))),1,0)</f>
        <v/>
      </c>
      <c r="B229">
        <f>IF($A229=1,SUM($A$2:$A229),"")</f>
        <v/>
      </c>
      <c r="C229">
        <f>IF($A229=1,SUM($A$2:$A229),0)</f>
        <v/>
      </c>
    </row>
    <row r="230">
      <c r="A230">
        <f>IF(AND(OR('Compliance Database'!$A230='Data Transfer'!$B$4,'Compliance Database'!$A230='Data Transfer'!$B$5),OR('Data Transfer'!$B$6="",ISNUMBER(SEARCH('Data Transfer'!$B$6,'Compliance Database'!$D230&amp;" "&amp;'Compliance Database'!$K230&amp;" "&amp;'Compliance Database'!$L230&amp;" "&amp;'Compliance Database'!$M230&amp;" "&amp;'Compliance Database'!$N230)))),1,0)</f>
        <v/>
      </c>
      <c r="B230">
        <f>IF($A230=1,SUM($A$2:$A230),"")</f>
        <v/>
      </c>
      <c r="C230">
        <f>IF($A230=1,SUM($A$2:$A230),0)</f>
        <v/>
      </c>
    </row>
    <row r="231">
      <c r="A231">
        <f>IF(AND(OR('Compliance Database'!$A231='Data Transfer'!$B$4,'Compliance Database'!$A231='Data Transfer'!$B$5),OR('Data Transfer'!$B$6="",ISNUMBER(SEARCH('Data Transfer'!$B$6,'Compliance Database'!$D231&amp;" "&amp;'Compliance Database'!$K231&amp;" "&amp;'Compliance Database'!$L231&amp;" "&amp;'Compliance Database'!$M231&amp;" "&amp;'Compliance Database'!$N231)))),1,0)</f>
        <v/>
      </c>
      <c r="B231">
        <f>IF($A231=1,SUM($A$2:$A231),"")</f>
        <v/>
      </c>
      <c r="C231">
        <f>IF($A231=1,SUM($A$2:$A231),0)</f>
        <v/>
      </c>
    </row>
    <row r="232">
      <c r="A232">
        <f>IF(AND(OR('Compliance Database'!$A232='Data Transfer'!$B$4,'Compliance Database'!$A232='Data Transfer'!$B$5),OR('Data Transfer'!$B$6="",ISNUMBER(SEARCH('Data Transfer'!$B$6,'Compliance Database'!$D232&amp;" "&amp;'Compliance Database'!$K232&amp;" "&amp;'Compliance Database'!$L232&amp;" "&amp;'Compliance Database'!$M232&amp;" "&amp;'Compliance Database'!$N232)))),1,0)</f>
        <v/>
      </c>
      <c r="B232">
        <f>IF($A232=1,SUM($A$2:$A232),"")</f>
        <v/>
      </c>
      <c r="C232">
        <f>IF($A232=1,SUM($A$2:$A232),0)</f>
        <v/>
      </c>
    </row>
    <row r="233">
      <c r="A233">
        <f>IF(AND(OR('Compliance Database'!$A233='Data Transfer'!$B$4,'Compliance Database'!$A233='Data Transfer'!$B$5),OR('Data Transfer'!$B$6="",ISNUMBER(SEARCH('Data Transfer'!$B$6,'Compliance Database'!$D233&amp;" "&amp;'Compliance Database'!$K233&amp;" "&amp;'Compliance Database'!$L233&amp;" "&amp;'Compliance Database'!$M233&amp;" "&amp;'Compliance Database'!$N233)))),1,0)</f>
        <v/>
      </c>
      <c r="B233">
        <f>IF($A233=1,SUM($A$2:$A233),"")</f>
        <v/>
      </c>
      <c r="C233">
        <f>IF($A233=1,SUM($A$2:$A233),0)</f>
        <v/>
      </c>
    </row>
    <row r="234">
      <c r="A234">
        <f>IF(AND(OR('Compliance Database'!$A234='Data Transfer'!$B$4,'Compliance Database'!$A234='Data Transfer'!$B$5),OR('Data Transfer'!$B$6="",ISNUMBER(SEARCH('Data Transfer'!$B$6,'Compliance Database'!$D234&amp;" "&amp;'Compliance Database'!$K234&amp;" "&amp;'Compliance Database'!$L234&amp;" "&amp;'Compliance Database'!$M234&amp;" "&amp;'Compliance Database'!$N234)))),1,0)</f>
        <v/>
      </c>
      <c r="B234">
        <f>IF($A234=1,SUM($A$2:$A234),"")</f>
        <v/>
      </c>
      <c r="C234">
        <f>IF($A234=1,SUM($A$2:$A234),0)</f>
        <v/>
      </c>
    </row>
    <row r="235">
      <c r="A235">
        <f>IF(AND(OR('Compliance Database'!$A235='Data Transfer'!$B$4,'Compliance Database'!$A235='Data Transfer'!$B$5),OR('Data Transfer'!$B$6="",ISNUMBER(SEARCH('Data Transfer'!$B$6,'Compliance Database'!$D235&amp;" "&amp;'Compliance Database'!$K235&amp;" "&amp;'Compliance Database'!$L235&amp;" "&amp;'Compliance Database'!$M235&amp;" "&amp;'Compliance Database'!$N235)))),1,0)</f>
        <v/>
      </c>
      <c r="B235">
        <f>IF($A235=1,SUM($A$2:$A235),"")</f>
        <v/>
      </c>
      <c r="C235">
        <f>IF($A235=1,SUM($A$2:$A235),0)</f>
        <v/>
      </c>
    </row>
    <row r="236">
      <c r="A236">
        <f>IF(AND(OR('Compliance Database'!$A236='Data Transfer'!$B$4,'Compliance Database'!$A236='Data Transfer'!$B$5),OR('Data Transfer'!$B$6="",ISNUMBER(SEARCH('Data Transfer'!$B$6,'Compliance Database'!$D236&amp;" "&amp;'Compliance Database'!$K236&amp;" "&amp;'Compliance Database'!$L236&amp;" "&amp;'Compliance Database'!$M236&amp;" "&amp;'Compliance Database'!$N236)))),1,0)</f>
        <v/>
      </c>
      <c r="B236">
        <f>IF($A236=1,SUM($A$2:$A236),"")</f>
        <v/>
      </c>
      <c r="C236">
        <f>IF($A236=1,SUM($A$2:$A236),0)</f>
        <v/>
      </c>
    </row>
    <row r="237">
      <c r="A237">
        <f>IF(AND(OR('Compliance Database'!$A237='Data Transfer'!$B$4,'Compliance Database'!$A237='Data Transfer'!$B$5),OR('Data Transfer'!$B$6="",ISNUMBER(SEARCH('Data Transfer'!$B$6,'Compliance Database'!$D237&amp;" "&amp;'Compliance Database'!$K237&amp;" "&amp;'Compliance Database'!$L237&amp;" "&amp;'Compliance Database'!$M237&amp;" "&amp;'Compliance Database'!$N237)))),1,0)</f>
        <v/>
      </c>
      <c r="B237">
        <f>IF($A237=1,SUM($A$2:$A237),"")</f>
        <v/>
      </c>
      <c r="C237">
        <f>IF($A237=1,SUM($A$2:$A237),0)</f>
        <v/>
      </c>
    </row>
    <row r="238">
      <c r="A238">
        <f>IF(AND(OR('Compliance Database'!$A238='Data Transfer'!$B$4,'Compliance Database'!$A238='Data Transfer'!$B$5),OR('Data Transfer'!$B$6="",ISNUMBER(SEARCH('Data Transfer'!$B$6,'Compliance Database'!$D238&amp;" "&amp;'Compliance Database'!$K238&amp;" "&amp;'Compliance Database'!$L238&amp;" "&amp;'Compliance Database'!$M238&amp;" "&amp;'Compliance Database'!$N238)))),1,0)</f>
        <v/>
      </c>
      <c r="B238">
        <f>IF($A238=1,SUM($A$2:$A238),"")</f>
        <v/>
      </c>
      <c r="C238">
        <f>IF($A238=1,SUM($A$2:$A238),0)</f>
        <v/>
      </c>
    </row>
    <row r="239">
      <c r="A239">
        <f>IF(AND(OR('Compliance Database'!$A239='Data Transfer'!$B$4,'Compliance Database'!$A239='Data Transfer'!$B$5),OR('Data Transfer'!$B$6="",ISNUMBER(SEARCH('Data Transfer'!$B$6,'Compliance Database'!$D239&amp;" "&amp;'Compliance Database'!$K239&amp;" "&amp;'Compliance Database'!$L239&amp;" "&amp;'Compliance Database'!$M239&amp;" "&amp;'Compliance Database'!$N239)))),1,0)</f>
        <v/>
      </c>
      <c r="B239">
        <f>IF($A239=1,SUM($A$2:$A239),"")</f>
        <v/>
      </c>
      <c r="C239">
        <f>IF($A239=1,SUM($A$2:$A239),0)</f>
        <v/>
      </c>
    </row>
    <row r="240">
      <c r="A240">
        <f>IF(AND(OR('Compliance Database'!$A240='Data Transfer'!$B$4,'Compliance Database'!$A240='Data Transfer'!$B$5),OR('Data Transfer'!$B$6="",ISNUMBER(SEARCH('Data Transfer'!$B$6,'Compliance Database'!$D240&amp;" "&amp;'Compliance Database'!$K240&amp;" "&amp;'Compliance Database'!$L240&amp;" "&amp;'Compliance Database'!$M240&amp;" "&amp;'Compliance Database'!$N240)))),1,0)</f>
        <v/>
      </c>
      <c r="B240">
        <f>IF($A240=1,SUM($A$2:$A240),"")</f>
        <v/>
      </c>
      <c r="C240">
        <f>IF($A240=1,SUM($A$2:$A240),0)</f>
        <v/>
      </c>
    </row>
    <row r="241">
      <c r="A241">
        <f>IF(AND(OR('Compliance Database'!$A241='Data Transfer'!$B$4,'Compliance Database'!$A241='Data Transfer'!$B$5),OR('Data Transfer'!$B$6="",ISNUMBER(SEARCH('Data Transfer'!$B$6,'Compliance Database'!$D241&amp;" "&amp;'Compliance Database'!$K241&amp;" "&amp;'Compliance Database'!$L241&amp;" "&amp;'Compliance Database'!$M241&amp;" "&amp;'Compliance Database'!$N241)))),1,0)</f>
        <v/>
      </c>
      <c r="B241">
        <f>IF($A241=1,SUM($A$2:$A241),"")</f>
        <v/>
      </c>
      <c r="C241">
        <f>IF($A241=1,SUM($A$2:$A241),0)</f>
        <v/>
      </c>
    </row>
    <row r="242">
      <c r="A242">
        <f>IF(AND(OR('Compliance Database'!$A242='Data Transfer'!$B$4,'Compliance Database'!$A242='Data Transfer'!$B$5),OR('Data Transfer'!$B$6="",ISNUMBER(SEARCH('Data Transfer'!$B$6,'Compliance Database'!$D242&amp;" "&amp;'Compliance Database'!$K242&amp;" "&amp;'Compliance Database'!$L242&amp;" "&amp;'Compliance Database'!$M242&amp;" "&amp;'Compliance Database'!$N242)))),1,0)</f>
        <v/>
      </c>
      <c r="B242">
        <f>IF($A242=1,SUM($A$2:$A242),"")</f>
        <v/>
      </c>
      <c r="C242">
        <f>IF($A242=1,SUM($A$2:$A242),0)</f>
        <v/>
      </c>
    </row>
    <row r="243">
      <c r="A243">
        <f>IF(AND(OR('Compliance Database'!$A243='Data Transfer'!$B$4,'Compliance Database'!$A243='Data Transfer'!$B$5),OR('Data Transfer'!$B$6="",ISNUMBER(SEARCH('Data Transfer'!$B$6,'Compliance Database'!$D243&amp;" "&amp;'Compliance Database'!$K243&amp;" "&amp;'Compliance Database'!$L243&amp;" "&amp;'Compliance Database'!$M243&amp;" "&amp;'Compliance Database'!$N243)))),1,0)</f>
        <v/>
      </c>
      <c r="B243">
        <f>IF($A243=1,SUM($A$2:$A243),"")</f>
        <v/>
      </c>
      <c r="C243">
        <f>IF($A243=1,SUM($A$2:$A243),0)</f>
        <v/>
      </c>
    </row>
    <row r="244">
      <c r="A244">
        <f>IF(AND(OR('Compliance Database'!$A244='Data Transfer'!$B$4,'Compliance Database'!$A244='Data Transfer'!$B$5),OR('Data Transfer'!$B$6="",ISNUMBER(SEARCH('Data Transfer'!$B$6,'Compliance Database'!$D244&amp;" "&amp;'Compliance Database'!$K244&amp;" "&amp;'Compliance Database'!$L244&amp;" "&amp;'Compliance Database'!$M244&amp;" "&amp;'Compliance Database'!$N244)))),1,0)</f>
        <v/>
      </c>
      <c r="B244">
        <f>IF($A244=1,SUM($A$2:$A244),"")</f>
        <v/>
      </c>
      <c r="C244">
        <f>IF($A244=1,SUM($A$2:$A244),0)</f>
        <v/>
      </c>
    </row>
    <row r="245">
      <c r="A245">
        <f>IF(AND(OR('Compliance Database'!$A245='Data Transfer'!$B$4,'Compliance Database'!$A245='Data Transfer'!$B$5),OR('Data Transfer'!$B$6="",ISNUMBER(SEARCH('Data Transfer'!$B$6,'Compliance Database'!$D245&amp;" "&amp;'Compliance Database'!$K245&amp;" "&amp;'Compliance Database'!$L245&amp;" "&amp;'Compliance Database'!$M245&amp;" "&amp;'Compliance Database'!$N245)))),1,0)</f>
        <v/>
      </c>
      <c r="B245">
        <f>IF($A245=1,SUM($A$2:$A245),"")</f>
        <v/>
      </c>
      <c r="C245">
        <f>IF($A245=1,SUM($A$2:$A245),0)</f>
        <v/>
      </c>
    </row>
    <row r="246">
      <c r="A246">
        <f>IF(AND(OR('Compliance Database'!$A246='Data Transfer'!$B$4,'Compliance Database'!$A246='Data Transfer'!$B$5),OR('Data Transfer'!$B$6="",ISNUMBER(SEARCH('Data Transfer'!$B$6,'Compliance Database'!$D246&amp;" "&amp;'Compliance Database'!$K246&amp;" "&amp;'Compliance Database'!$L246&amp;" "&amp;'Compliance Database'!$M246&amp;" "&amp;'Compliance Database'!$N246)))),1,0)</f>
        <v/>
      </c>
      <c r="B246">
        <f>IF($A246=1,SUM($A$2:$A246),"")</f>
        <v/>
      </c>
      <c r="C246">
        <f>IF($A246=1,SUM($A$2:$A246),0)</f>
        <v/>
      </c>
    </row>
    <row r="247">
      <c r="A247">
        <f>IF(AND(OR('Compliance Database'!$A247='Data Transfer'!$B$4,'Compliance Database'!$A247='Data Transfer'!$B$5),OR('Data Transfer'!$B$6="",ISNUMBER(SEARCH('Data Transfer'!$B$6,'Compliance Database'!$D247&amp;" "&amp;'Compliance Database'!$K247&amp;" "&amp;'Compliance Database'!$L247&amp;" "&amp;'Compliance Database'!$M247&amp;" "&amp;'Compliance Database'!$N247)))),1,0)</f>
        <v/>
      </c>
      <c r="B247">
        <f>IF($A247=1,SUM($A$2:$A247),"")</f>
        <v/>
      </c>
      <c r="C247">
        <f>IF($A247=1,SUM($A$2:$A247),0)</f>
        <v/>
      </c>
    </row>
    <row r="248">
      <c r="A248">
        <f>IF(AND(OR('Compliance Database'!$A248='Data Transfer'!$B$4,'Compliance Database'!$A248='Data Transfer'!$B$5),OR('Data Transfer'!$B$6="",ISNUMBER(SEARCH('Data Transfer'!$B$6,'Compliance Database'!$D248&amp;" "&amp;'Compliance Database'!$K248&amp;" "&amp;'Compliance Database'!$L248&amp;" "&amp;'Compliance Database'!$M248&amp;" "&amp;'Compliance Database'!$N248)))),1,0)</f>
        <v/>
      </c>
      <c r="B248">
        <f>IF($A248=1,SUM($A$2:$A248),"")</f>
        <v/>
      </c>
      <c r="C248">
        <f>IF($A248=1,SUM($A$2:$A248),0)</f>
        <v/>
      </c>
    </row>
    <row r="249">
      <c r="A249">
        <f>IF(AND(OR('Compliance Database'!$A249='Data Transfer'!$B$4,'Compliance Database'!$A249='Data Transfer'!$B$5),OR('Data Transfer'!$B$6="",ISNUMBER(SEARCH('Data Transfer'!$B$6,'Compliance Database'!$D249&amp;" "&amp;'Compliance Database'!$K249&amp;" "&amp;'Compliance Database'!$L249&amp;" "&amp;'Compliance Database'!$M249&amp;" "&amp;'Compliance Database'!$N249)))),1,0)</f>
        <v/>
      </c>
      <c r="B249">
        <f>IF($A249=1,SUM($A$2:$A249),"")</f>
        <v/>
      </c>
      <c r="C249">
        <f>IF($A249=1,SUM($A$2:$A249),0)</f>
        <v/>
      </c>
    </row>
    <row r="250">
      <c r="A250">
        <f>IF(AND(OR('Compliance Database'!$A250='Data Transfer'!$B$4,'Compliance Database'!$A250='Data Transfer'!$B$5),OR('Data Transfer'!$B$6="",ISNUMBER(SEARCH('Data Transfer'!$B$6,'Compliance Database'!$D250&amp;" "&amp;'Compliance Database'!$K250&amp;" "&amp;'Compliance Database'!$L250&amp;" "&amp;'Compliance Database'!$M250&amp;" "&amp;'Compliance Database'!$N250)))),1,0)</f>
        <v/>
      </c>
      <c r="B250">
        <f>IF($A250=1,SUM($A$2:$A250),"")</f>
        <v/>
      </c>
      <c r="C250">
        <f>IF($A250=1,SUM($A$2:$A250),0)</f>
        <v/>
      </c>
    </row>
    <row r="251">
      <c r="A251">
        <f>IF(AND(OR('Compliance Database'!$A251='Data Transfer'!$B$4,'Compliance Database'!$A251='Data Transfer'!$B$5),OR('Data Transfer'!$B$6="",ISNUMBER(SEARCH('Data Transfer'!$B$6,'Compliance Database'!$D251&amp;" "&amp;'Compliance Database'!$K251&amp;" "&amp;'Compliance Database'!$L251&amp;" "&amp;'Compliance Database'!$M251&amp;" "&amp;'Compliance Database'!$N251)))),1,0)</f>
        <v/>
      </c>
      <c r="B251">
        <f>IF($A251=1,SUM($A$2:$A251),"")</f>
        <v/>
      </c>
      <c r="C251">
        <f>IF($A251=1,SUM($A$2:$A251),0)</f>
        <v/>
      </c>
    </row>
    <row r="252">
      <c r="A252">
        <f>IF(AND(OR('Compliance Database'!$A252='Data Transfer'!$B$4,'Compliance Database'!$A252='Data Transfer'!$B$5),OR('Data Transfer'!$B$6="",ISNUMBER(SEARCH('Data Transfer'!$B$6,'Compliance Database'!$D252&amp;" "&amp;'Compliance Database'!$K252&amp;" "&amp;'Compliance Database'!$L252&amp;" "&amp;'Compliance Database'!$M252&amp;" "&amp;'Compliance Database'!$N252)))),1,0)</f>
        <v/>
      </c>
      <c r="B252">
        <f>IF($A252=1,SUM($A$2:$A252),"")</f>
        <v/>
      </c>
      <c r="C252">
        <f>IF($A252=1,SUM($A$2:$A252),0)</f>
        <v/>
      </c>
    </row>
    <row r="253">
      <c r="A253">
        <f>IF(AND(OR('Compliance Database'!$A253='Data Transfer'!$B$4,'Compliance Database'!$A253='Data Transfer'!$B$5),OR('Data Transfer'!$B$6="",ISNUMBER(SEARCH('Data Transfer'!$B$6,'Compliance Database'!$D253&amp;" "&amp;'Compliance Database'!$K253&amp;" "&amp;'Compliance Database'!$L253&amp;" "&amp;'Compliance Database'!$M253&amp;" "&amp;'Compliance Database'!$N253)))),1,0)</f>
        <v/>
      </c>
      <c r="B253">
        <f>IF($A253=1,SUM($A$2:$A253),"")</f>
        <v/>
      </c>
      <c r="C253">
        <f>IF($A253=1,SUM($A$2:$A253),0)</f>
        <v/>
      </c>
    </row>
    <row r="254">
      <c r="A254">
        <f>IF(AND(OR('Compliance Database'!$A254='Data Transfer'!$B$4,'Compliance Database'!$A254='Data Transfer'!$B$5),OR('Data Transfer'!$B$6="",ISNUMBER(SEARCH('Data Transfer'!$B$6,'Compliance Database'!$D254&amp;" "&amp;'Compliance Database'!$K254&amp;" "&amp;'Compliance Database'!$L254&amp;" "&amp;'Compliance Database'!$M254&amp;" "&amp;'Compliance Database'!$N254)))),1,0)</f>
        <v/>
      </c>
      <c r="B254">
        <f>IF($A254=1,SUM($A$2:$A254),"")</f>
        <v/>
      </c>
      <c r="C254">
        <f>IF($A254=1,SUM($A$2:$A254),0)</f>
        <v/>
      </c>
    </row>
    <row r="255">
      <c r="A255">
        <f>IF(AND(OR('Compliance Database'!$A255='Data Transfer'!$B$4,'Compliance Database'!$A255='Data Transfer'!$B$5),OR('Data Transfer'!$B$6="",ISNUMBER(SEARCH('Data Transfer'!$B$6,'Compliance Database'!$D255&amp;" "&amp;'Compliance Database'!$K255&amp;" "&amp;'Compliance Database'!$L255&amp;" "&amp;'Compliance Database'!$M255&amp;" "&amp;'Compliance Database'!$N255)))),1,0)</f>
        <v/>
      </c>
      <c r="B255">
        <f>IF($A255=1,SUM($A$2:$A255),"")</f>
        <v/>
      </c>
      <c r="C255">
        <f>IF($A255=1,SUM($A$2:$A255),0)</f>
        <v/>
      </c>
    </row>
    <row r="256">
      <c r="A256">
        <f>IF(AND(OR('Compliance Database'!$A256='Data Transfer'!$B$4,'Compliance Database'!$A256='Data Transfer'!$B$5),OR('Data Transfer'!$B$6="",ISNUMBER(SEARCH('Data Transfer'!$B$6,'Compliance Database'!$D256&amp;" "&amp;'Compliance Database'!$K256&amp;" "&amp;'Compliance Database'!$L256&amp;" "&amp;'Compliance Database'!$M256&amp;" "&amp;'Compliance Database'!$N256)))),1,0)</f>
        <v/>
      </c>
      <c r="B256">
        <f>IF($A256=1,SUM($A$2:$A256),"")</f>
        <v/>
      </c>
      <c r="C256">
        <f>IF($A256=1,SUM($A$2:$A256),0)</f>
        <v/>
      </c>
    </row>
    <row r="257">
      <c r="A257">
        <f>IF(AND(OR('Compliance Database'!$A257='Data Transfer'!$B$4,'Compliance Database'!$A257='Data Transfer'!$B$5),OR('Data Transfer'!$B$6="",ISNUMBER(SEARCH('Data Transfer'!$B$6,'Compliance Database'!$D257&amp;" "&amp;'Compliance Database'!$K257&amp;" "&amp;'Compliance Database'!$L257&amp;" "&amp;'Compliance Database'!$M257&amp;" "&amp;'Compliance Database'!$N257)))),1,0)</f>
        <v/>
      </c>
      <c r="B257">
        <f>IF($A257=1,SUM($A$2:$A257),"")</f>
        <v/>
      </c>
      <c r="C257">
        <f>IF($A257=1,SUM($A$2:$A257),0)</f>
        <v/>
      </c>
    </row>
    <row r="258">
      <c r="A258">
        <f>IF(AND(OR('Compliance Database'!$A258='Data Transfer'!$B$4,'Compliance Database'!$A258='Data Transfer'!$B$5),OR('Data Transfer'!$B$6="",ISNUMBER(SEARCH('Data Transfer'!$B$6,'Compliance Database'!$D258&amp;" "&amp;'Compliance Database'!$K258&amp;" "&amp;'Compliance Database'!$L258&amp;" "&amp;'Compliance Database'!$M258&amp;" "&amp;'Compliance Database'!$N258)))),1,0)</f>
        <v/>
      </c>
      <c r="B258">
        <f>IF($A258=1,SUM($A$2:$A258),"")</f>
        <v/>
      </c>
      <c r="C258">
        <f>IF($A258=1,SUM($A$2:$A258),0)</f>
        <v/>
      </c>
    </row>
    <row r="259">
      <c r="A259">
        <f>IF(AND(OR('Compliance Database'!$A259='Data Transfer'!$B$4,'Compliance Database'!$A259='Data Transfer'!$B$5),OR('Data Transfer'!$B$6="",ISNUMBER(SEARCH('Data Transfer'!$B$6,'Compliance Database'!$D259&amp;" "&amp;'Compliance Database'!$K259&amp;" "&amp;'Compliance Database'!$L259&amp;" "&amp;'Compliance Database'!$M259&amp;" "&amp;'Compliance Database'!$N259)))),1,0)</f>
        <v/>
      </c>
      <c r="B259">
        <f>IF($A259=1,SUM($A$2:$A259),"")</f>
        <v/>
      </c>
      <c r="C259">
        <f>IF($A259=1,SUM($A$2:$A259),0)</f>
        <v/>
      </c>
    </row>
    <row r="260">
      <c r="A260">
        <f>IF(AND(OR('Compliance Database'!$A260='Data Transfer'!$B$4,'Compliance Database'!$A260='Data Transfer'!$B$5),OR('Data Transfer'!$B$6="",ISNUMBER(SEARCH('Data Transfer'!$B$6,'Compliance Database'!$D260&amp;" "&amp;'Compliance Database'!$K260&amp;" "&amp;'Compliance Database'!$L260&amp;" "&amp;'Compliance Database'!$M260&amp;" "&amp;'Compliance Database'!$N260)))),1,0)</f>
        <v/>
      </c>
      <c r="B260">
        <f>IF($A260=1,SUM($A$2:$A260),"")</f>
        <v/>
      </c>
      <c r="C260">
        <f>IF($A260=1,SUM($A$2:$A260),0)</f>
        <v/>
      </c>
    </row>
    <row r="261">
      <c r="A261">
        <f>IF(AND(OR('Compliance Database'!$A261='Data Transfer'!$B$4,'Compliance Database'!$A261='Data Transfer'!$B$5),OR('Data Transfer'!$B$6="",ISNUMBER(SEARCH('Data Transfer'!$B$6,'Compliance Database'!$D261&amp;" "&amp;'Compliance Database'!$K261&amp;" "&amp;'Compliance Database'!$L261&amp;" "&amp;'Compliance Database'!$M261&amp;" "&amp;'Compliance Database'!$N261)))),1,0)</f>
        <v/>
      </c>
      <c r="B261">
        <f>IF($A261=1,SUM($A$2:$A261),"")</f>
        <v/>
      </c>
      <c r="C261">
        <f>IF($A261=1,SUM($A$2:$A261),0)</f>
        <v/>
      </c>
    </row>
    <row r="262">
      <c r="A262">
        <f>IF(AND(OR('Compliance Database'!$A262='Data Transfer'!$B$4,'Compliance Database'!$A262='Data Transfer'!$B$5),OR('Data Transfer'!$B$6="",ISNUMBER(SEARCH('Data Transfer'!$B$6,'Compliance Database'!$D262&amp;" "&amp;'Compliance Database'!$K262&amp;" "&amp;'Compliance Database'!$L262&amp;" "&amp;'Compliance Database'!$M262&amp;" "&amp;'Compliance Database'!$N262)))),1,0)</f>
        <v/>
      </c>
      <c r="B262">
        <f>IF($A262=1,SUM($A$2:$A262),"")</f>
        <v/>
      </c>
      <c r="C262">
        <f>IF($A262=1,SUM($A$2:$A262),0)</f>
        <v/>
      </c>
    </row>
    <row r="263">
      <c r="A263">
        <f>IF(AND(OR('Compliance Database'!$A263='Data Transfer'!$B$4,'Compliance Database'!$A263='Data Transfer'!$B$5),OR('Data Transfer'!$B$6="",ISNUMBER(SEARCH('Data Transfer'!$B$6,'Compliance Database'!$D263&amp;" "&amp;'Compliance Database'!$K263&amp;" "&amp;'Compliance Database'!$L263&amp;" "&amp;'Compliance Database'!$M263&amp;" "&amp;'Compliance Database'!$N263)))),1,0)</f>
        <v/>
      </c>
      <c r="B263">
        <f>IF($A263=1,SUM($A$2:$A263),"")</f>
        <v/>
      </c>
      <c r="C263">
        <f>IF($A263=1,SUM($A$2:$A263),0)</f>
        <v/>
      </c>
    </row>
    <row r="264">
      <c r="A264">
        <f>IF(AND(OR('Compliance Database'!$A264='Data Transfer'!$B$4,'Compliance Database'!$A264='Data Transfer'!$B$5),OR('Data Transfer'!$B$6="",ISNUMBER(SEARCH('Data Transfer'!$B$6,'Compliance Database'!$D264&amp;" "&amp;'Compliance Database'!$K264&amp;" "&amp;'Compliance Database'!$L264&amp;" "&amp;'Compliance Database'!$M264&amp;" "&amp;'Compliance Database'!$N264)))),1,0)</f>
        <v/>
      </c>
      <c r="B264">
        <f>IF($A264=1,SUM($A$2:$A264),"")</f>
        <v/>
      </c>
      <c r="C264">
        <f>IF($A264=1,SUM($A$2:$A264),0)</f>
        <v/>
      </c>
    </row>
    <row r="265">
      <c r="A265">
        <f>IF(AND(OR('Compliance Database'!$A265='Data Transfer'!$B$4,'Compliance Database'!$A265='Data Transfer'!$B$5),OR('Data Transfer'!$B$6="",ISNUMBER(SEARCH('Data Transfer'!$B$6,'Compliance Database'!$D265&amp;" "&amp;'Compliance Database'!$K265&amp;" "&amp;'Compliance Database'!$L265&amp;" "&amp;'Compliance Database'!$M265&amp;" "&amp;'Compliance Database'!$N265)))),1,0)</f>
        <v/>
      </c>
      <c r="B265">
        <f>IF($A265=1,SUM($A$2:$A265),"")</f>
        <v/>
      </c>
      <c r="C265">
        <f>IF($A265=1,SUM($A$2:$A265),0)</f>
        <v/>
      </c>
    </row>
    <row r="266">
      <c r="A266">
        <f>IF(AND(OR('Compliance Database'!$A266='Data Transfer'!$B$4,'Compliance Database'!$A266='Data Transfer'!$B$5),OR('Data Transfer'!$B$6="",ISNUMBER(SEARCH('Data Transfer'!$B$6,'Compliance Database'!$D266&amp;" "&amp;'Compliance Database'!$K266&amp;" "&amp;'Compliance Database'!$L266&amp;" "&amp;'Compliance Database'!$M266&amp;" "&amp;'Compliance Database'!$N266)))),1,0)</f>
        <v/>
      </c>
      <c r="B266">
        <f>IF($A266=1,SUM($A$2:$A266),"")</f>
        <v/>
      </c>
      <c r="C266">
        <f>IF($A266=1,SUM($A$2:$A266),0)</f>
        <v/>
      </c>
    </row>
    <row r="267">
      <c r="A267">
        <f>IF(AND(OR('Compliance Database'!$A267='Data Transfer'!$B$4,'Compliance Database'!$A267='Data Transfer'!$B$5),OR('Data Transfer'!$B$6="",ISNUMBER(SEARCH('Data Transfer'!$B$6,'Compliance Database'!$D267&amp;" "&amp;'Compliance Database'!$K267&amp;" "&amp;'Compliance Database'!$L267&amp;" "&amp;'Compliance Database'!$M267&amp;" "&amp;'Compliance Database'!$N267)))),1,0)</f>
        <v/>
      </c>
      <c r="B267">
        <f>IF($A267=1,SUM($A$2:$A267),"")</f>
        <v/>
      </c>
      <c r="C267">
        <f>IF($A267=1,SUM($A$2:$A267),0)</f>
        <v/>
      </c>
    </row>
    <row r="268">
      <c r="A268">
        <f>IF(AND(OR('Compliance Database'!$A268='Data Transfer'!$B$4,'Compliance Database'!$A268='Data Transfer'!$B$5),OR('Data Transfer'!$B$6="",ISNUMBER(SEARCH('Data Transfer'!$B$6,'Compliance Database'!$D268&amp;" "&amp;'Compliance Database'!$K268&amp;" "&amp;'Compliance Database'!$L268&amp;" "&amp;'Compliance Database'!$M268&amp;" "&amp;'Compliance Database'!$N268)))),1,0)</f>
        <v/>
      </c>
      <c r="B268">
        <f>IF($A268=1,SUM($A$2:$A268),"")</f>
        <v/>
      </c>
      <c r="C268">
        <f>IF($A268=1,SUM($A$2:$A268),0)</f>
        <v/>
      </c>
    </row>
    <row r="269">
      <c r="A269">
        <f>IF(AND(OR('Compliance Database'!$A269='Data Transfer'!$B$4,'Compliance Database'!$A269='Data Transfer'!$B$5),OR('Data Transfer'!$B$6="",ISNUMBER(SEARCH('Data Transfer'!$B$6,'Compliance Database'!$D269&amp;" "&amp;'Compliance Database'!$K269&amp;" "&amp;'Compliance Database'!$L269&amp;" "&amp;'Compliance Database'!$M269&amp;" "&amp;'Compliance Database'!$N269)))),1,0)</f>
        <v/>
      </c>
      <c r="B269">
        <f>IF($A269=1,SUM($A$2:$A269),"")</f>
        <v/>
      </c>
      <c r="C269">
        <f>IF($A269=1,SUM($A$2:$A269),0)</f>
        <v/>
      </c>
    </row>
    <row r="270">
      <c r="A270">
        <f>IF(AND(OR('Compliance Database'!$A270='Data Transfer'!$B$4,'Compliance Database'!$A270='Data Transfer'!$B$5),OR('Data Transfer'!$B$6="",ISNUMBER(SEARCH('Data Transfer'!$B$6,'Compliance Database'!$D270&amp;" "&amp;'Compliance Database'!$K270&amp;" "&amp;'Compliance Database'!$L270&amp;" "&amp;'Compliance Database'!$M270&amp;" "&amp;'Compliance Database'!$N270)))),1,0)</f>
        <v/>
      </c>
      <c r="B270">
        <f>IF($A270=1,SUM($A$2:$A270),"")</f>
        <v/>
      </c>
      <c r="C270">
        <f>IF($A270=1,SUM($A$2:$A270),0)</f>
        <v/>
      </c>
    </row>
    <row r="271">
      <c r="A271">
        <f>IF(AND(OR('Compliance Database'!$A271='Data Transfer'!$B$4,'Compliance Database'!$A271='Data Transfer'!$B$5),OR('Data Transfer'!$B$6="",ISNUMBER(SEARCH('Data Transfer'!$B$6,'Compliance Database'!$D271&amp;" "&amp;'Compliance Database'!$K271&amp;" "&amp;'Compliance Database'!$L271&amp;" "&amp;'Compliance Database'!$M271&amp;" "&amp;'Compliance Database'!$N271)))),1,0)</f>
        <v/>
      </c>
      <c r="B271">
        <f>IF($A271=1,SUM($A$2:$A271),"")</f>
        <v/>
      </c>
      <c r="C271">
        <f>IF($A271=1,SUM($A$2:$A271),0)</f>
        <v/>
      </c>
    </row>
    <row r="272">
      <c r="A272">
        <f>IF(AND(OR('Compliance Database'!$A272='Data Transfer'!$B$4,'Compliance Database'!$A272='Data Transfer'!$B$5),OR('Data Transfer'!$B$6="",ISNUMBER(SEARCH('Data Transfer'!$B$6,'Compliance Database'!$D272&amp;" "&amp;'Compliance Database'!$K272&amp;" "&amp;'Compliance Database'!$L272&amp;" "&amp;'Compliance Database'!$M272&amp;" "&amp;'Compliance Database'!$N272)))),1,0)</f>
        <v/>
      </c>
      <c r="B272">
        <f>IF($A272=1,SUM($A$2:$A272),"")</f>
        <v/>
      </c>
      <c r="C272">
        <f>IF($A272=1,SUM($A$2:$A272),0)</f>
        <v/>
      </c>
    </row>
    <row r="273">
      <c r="A273">
        <f>IF(AND(OR('Compliance Database'!$A273='Data Transfer'!$B$4,'Compliance Database'!$A273='Data Transfer'!$B$5),OR('Data Transfer'!$B$6="",ISNUMBER(SEARCH('Data Transfer'!$B$6,'Compliance Database'!$D273&amp;" "&amp;'Compliance Database'!$K273&amp;" "&amp;'Compliance Database'!$L273&amp;" "&amp;'Compliance Database'!$M273&amp;" "&amp;'Compliance Database'!$N273)))),1,0)</f>
        <v/>
      </c>
      <c r="B273">
        <f>IF($A273=1,SUM($A$2:$A273),"")</f>
        <v/>
      </c>
      <c r="C273">
        <f>IF($A273=1,SUM($A$2:$A273),0)</f>
        <v/>
      </c>
    </row>
    <row r="274">
      <c r="A274">
        <f>IF(AND(OR('Compliance Database'!$A274='Data Transfer'!$B$4,'Compliance Database'!$A274='Data Transfer'!$B$5),OR('Data Transfer'!$B$6="",ISNUMBER(SEARCH('Data Transfer'!$B$6,'Compliance Database'!$D274&amp;" "&amp;'Compliance Database'!$K274&amp;" "&amp;'Compliance Database'!$L274&amp;" "&amp;'Compliance Database'!$M274&amp;" "&amp;'Compliance Database'!$N274)))),1,0)</f>
        <v/>
      </c>
      <c r="B274">
        <f>IF($A274=1,SUM($A$2:$A274),"")</f>
        <v/>
      </c>
      <c r="C274">
        <f>IF($A274=1,SUM($A$2:$A274),0)</f>
        <v/>
      </c>
    </row>
    <row r="275">
      <c r="A275">
        <f>IF(AND(OR('Compliance Database'!$A275='Data Transfer'!$B$4,'Compliance Database'!$A275='Data Transfer'!$B$5),OR('Data Transfer'!$B$6="",ISNUMBER(SEARCH('Data Transfer'!$B$6,'Compliance Database'!$D275&amp;" "&amp;'Compliance Database'!$K275&amp;" "&amp;'Compliance Database'!$L275&amp;" "&amp;'Compliance Database'!$M275&amp;" "&amp;'Compliance Database'!$N275)))),1,0)</f>
        <v/>
      </c>
      <c r="B275">
        <f>IF($A275=1,SUM($A$2:$A275),"")</f>
        <v/>
      </c>
      <c r="C275">
        <f>IF($A275=1,SUM($A$2:$A275),0)</f>
        <v/>
      </c>
    </row>
    <row r="276">
      <c r="A276">
        <f>IF(AND(OR('Compliance Database'!$A276='Data Transfer'!$B$4,'Compliance Database'!$A276='Data Transfer'!$B$5),OR('Data Transfer'!$B$6="",ISNUMBER(SEARCH('Data Transfer'!$B$6,'Compliance Database'!$D276&amp;" "&amp;'Compliance Database'!$K276&amp;" "&amp;'Compliance Database'!$L276&amp;" "&amp;'Compliance Database'!$M276&amp;" "&amp;'Compliance Database'!$N276)))),1,0)</f>
        <v/>
      </c>
      <c r="B276">
        <f>IF($A276=1,SUM($A$2:$A276),"")</f>
        <v/>
      </c>
      <c r="C276">
        <f>IF($A276=1,SUM($A$2:$A276),0)</f>
        <v/>
      </c>
    </row>
    <row r="277">
      <c r="A277">
        <f>IF(AND(OR('Compliance Database'!$A277='Data Transfer'!$B$4,'Compliance Database'!$A277='Data Transfer'!$B$5),OR('Data Transfer'!$B$6="",ISNUMBER(SEARCH('Data Transfer'!$B$6,'Compliance Database'!$D277&amp;" "&amp;'Compliance Database'!$K277&amp;" "&amp;'Compliance Database'!$L277&amp;" "&amp;'Compliance Database'!$M277&amp;" "&amp;'Compliance Database'!$N277)))),1,0)</f>
        <v/>
      </c>
      <c r="B277">
        <f>IF($A277=1,SUM($A$2:$A277),"")</f>
        <v/>
      </c>
      <c r="C277">
        <f>IF($A277=1,SUM($A$2:$A277),0)</f>
        <v/>
      </c>
    </row>
    <row r="278">
      <c r="A278">
        <f>IF(AND(OR('Compliance Database'!$A278='Data Transfer'!$B$4,'Compliance Database'!$A278='Data Transfer'!$B$5),OR('Data Transfer'!$B$6="",ISNUMBER(SEARCH('Data Transfer'!$B$6,'Compliance Database'!$D278&amp;" "&amp;'Compliance Database'!$K278&amp;" "&amp;'Compliance Database'!$L278&amp;" "&amp;'Compliance Database'!$M278&amp;" "&amp;'Compliance Database'!$N278)))),1,0)</f>
        <v/>
      </c>
      <c r="B278">
        <f>IF($A278=1,SUM($A$2:$A278),"")</f>
        <v/>
      </c>
      <c r="C278">
        <f>IF($A278=1,SUM($A$2:$A278),0)</f>
        <v/>
      </c>
    </row>
    <row r="279">
      <c r="A279">
        <f>IF(AND(OR('Compliance Database'!$A279='Data Transfer'!$B$4,'Compliance Database'!$A279='Data Transfer'!$B$5),OR('Data Transfer'!$B$6="",ISNUMBER(SEARCH('Data Transfer'!$B$6,'Compliance Database'!$D279&amp;" "&amp;'Compliance Database'!$K279&amp;" "&amp;'Compliance Database'!$L279&amp;" "&amp;'Compliance Database'!$M279&amp;" "&amp;'Compliance Database'!$N279)))),1,0)</f>
        <v/>
      </c>
      <c r="B279">
        <f>IF($A279=1,SUM($A$2:$A279),"")</f>
        <v/>
      </c>
      <c r="C279">
        <f>IF($A279=1,SUM($A$2:$A279),0)</f>
        <v/>
      </c>
    </row>
    <row r="280">
      <c r="A280">
        <f>IF(AND(OR('Compliance Database'!$A280='Data Transfer'!$B$4,'Compliance Database'!$A280='Data Transfer'!$B$5),OR('Data Transfer'!$B$6="",ISNUMBER(SEARCH('Data Transfer'!$B$6,'Compliance Database'!$D280&amp;" "&amp;'Compliance Database'!$K280&amp;" "&amp;'Compliance Database'!$L280&amp;" "&amp;'Compliance Database'!$M280&amp;" "&amp;'Compliance Database'!$N280)))),1,0)</f>
        <v/>
      </c>
      <c r="B280">
        <f>IF($A280=1,SUM($A$2:$A280),"")</f>
        <v/>
      </c>
      <c r="C280">
        <f>IF($A280=1,SUM($A$2:$A280),0)</f>
        <v/>
      </c>
    </row>
    <row r="281">
      <c r="A281">
        <f>IF(AND(OR('Compliance Database'!$A281='Data Transfer'!$B$4,'Compliance Database'!$A281='Data Transfer'!$B$5),OR('Data Transfer'!$B$6="",ISNUMBER(SEARCH('Data Transfer'!$B$6,'Compliance Database'!$D281&amp;" "&amp;'Compliance Database'!$K281&amp;" "&amp;'Compliance Database'!$L281&amp;" "&amp;'Compliance Database'!$M281&amp;" "&amp;'Compliance Database'!$N281)))),1,0)</f>
        <v/>
      </c>
      <c r="B281">
        <f>IF($A281=1,SUM($A$2:$A281),"")</f>
        <v/>
      </c>
      <c r="C281">
        <f>IF($A281=1,SUM($A$2:$A281),0)</f>
        <v/>
      </c>
    </row>
    <row r="282">
      <c r="A282">
        <f>IF(AND(OR('Compliance Database'!$A282='Data Transfer'!$B$4,'Compliance Database'!$A282='Data Transfer'!$B$5),OR('Data Transfer'!$B$6="",ISNUMBER(SEARCH('Data Transfer'!$B$6,'Compliance Database'!$D282&amp;" "&amp;'Compliance Database'!$K282&amp;" "&amp;'Compliance Database'!$L282&amp;" "&amp;'Compliance Database'!$M282&amp;" "&amp;'Compliance Database'!$N282)))),1,0)</f>
        <v/>
      </c>
      <c r="B282">
        <f>IF($A282=1,SUM($A$2:$A282),"")</f>
        <v/>
      </c>
      <c r="C282">
        <f>IF($A282=1,SUM($A$2:$A282),0)</f>
        <v/>
      </c>
    </row>
    <row r="283">
      <c r="A283">
        <f>IF(AND(OR('Compliance Database'!$A283='Data Transfer'!$B$4,'Compliance Database'!$A283='Data Transfer'!$B$5),OR('Data Transfer'!$B$6="",ISNUMBER(SEARCH('Data Transfer'!$B$6,'Compliance Database'!$D283&amp;" "&amp;'Compliance Database'!$K283&amp;" "&amp;'Compliance Database'!$L283&amp;" "&amp;'Compliance Database'!$M283&amp;" "&amp;'Compliance Database'!$N283)))),1,0)</f>
        <v/>
      </c>
      <c r="B283">
        <f>IF($A283=1,SUM($A$2:$A283),"")</f>
        <v/>
      </c>
      <c r="C283">
        <f>IF($A283=1,SUM($A$2:$A283),0)</f>
        <v/>
      </c>
    </row>
    <row r="284">
      <c r="A284">
        <f>IF(AND(OR('Compliance Database'!$A284='Data Transfer'!$B$4,'Compliance Database'!$A284='Data Transfer'!$B$5),OR('Data Transfer'!$B$6="",ISNUMBER(SEARCH('Data Transfer'!$B$6,'Compliance Database'!$D284&amp;" "&amp;'Compliance Database'!$K284&amp;" "&amp;'Compliance Database'!$L284&amp;" "&amp;'Compliance Database'!$M284&amp;" "&amp;'Compliance Database'!$N284)))),1,0)</f>
        <v/>
      </c>
      <c r="B284">
        <f>IF($A284=1,SUM($A$2:$A284),"")</f>
        <v/>
      </c>
      <c r="C284">
        <f>IF($A284=1,SUM($A$2:$A284),0)</f>
        <v/>
      </c>
    </row>
    <row r="285">
      <c r="A285">
        <f>IF(AND(OR('Compliance Database'!$A285='Data Transfer'!$B$4,'Compliance Database'!$A285='Data Transfer'!$B$5),OR('Data Transfer'!$B$6="",ISNUMBER(SEARCH('Data Transfer'!$B$6,'Compliance Database'!$D285&amp;" "&amp;'Compliance Database'!$K285&amp;" "&amp;'Compliance Database'!$L285&amp;" "&amp;'Compliance Database'!$M285&amp;" "&amp;'Compliance Database'!$N285)))),1,0)</f>
        <v/>
      </c>
      <c r="B285">
        <f>IF($A285=1,SUM($A$2:$A285),"")</f>
        <v/>
      </c>
      <c r="C285">
        <f>IF($A285=1,SUM($A$2:$A285),0)</f>
        <v/>
      </c>
    </row>
    <row r="286">
      <c r="A286">
        <f>IF(AND(OR('Compliance Database'!$A286='Data Transfer'!$B$4,'Compliance Database'!$A286='Data Transfer'!$B$5),OR('Data Transfer'!$B$6="",ISNUMBER(SEARCH('Data Transfer'!$B$6,'Compliance Database'!$D286&amp;" "&amp;'Compliance Database'!$K286&amp;" "&amp;'Compliance Database'!$L286&amp;" "&amp;'Compliance Database'!$M286&amp;" "&amp;'Compliance Database'!$N286)))),1,0)</f>
        <v/>
      </c>
      <c r="B286">
        <f>IF($A286=1,SUM($A$2:$A286),"")</f>
        <v/>
      </c>
      <c r="C286">
        <f>IF($A286=1,SUM($A$2:$A286),0)</f>
        <v/>
      </c>
    </row>
    <row r="287">
      <c r="A287">
        <f>IF(AND(OR('Compliance Database'!$A287='Data Transfer'!$B$4,'Compliance Database'!$A287='Data Transfer'!$B$5),OR('Data Transfer'!$B$6="",ISNUMBER(SEARCH('Data Transfer'!$B$6,'Compliance Database'!$D287&amp;" "&amp;'Compliance Database'!$K287&amp;" "&amp;'Compliance Database'!$L287&amp;" "&amp;'Compliance Database'!$M287&amp;" "&amp;'Compliance Database'!$N287)))),1,0)</f>
        <v/>
      </c>
      <c r="B287">
        <f>IF($A287=1,SUM($A$2:$A287),"")</f>
        <v/>
      </c>
      <c r="C287">
        <f>IF($A287=1,SUM($A$2:$A287),0)</f>
        <v/>
      </c>
    </row>
    <row r="288">
      <c r="A288">
        <f>IF(AND(OR('Compliance Database'!$A288='Data Transfer'!$B$4,'Compliance Database'!$A288='Data Transfer'!$B$5),OR('Data Transfer'!$B$6="",ISNUMBER(SEARCH('Data Transfer'!$B$6,'Compliance Database'!$D288&amp;" "&amp;'Compliance Database'!$K288&amp;" "&amp;'Compliance Database'!$L288&amp;" "&amp;'Compliance Database'!$M288&amp;" "&amp;'Compliance Database'!$N288)))),1,0)</f>
        <v/>
      </c>
      <c r="B288">
        <f>IF($A288=1,SUM($A$2:$A288),"")</f>
        <v/>
      </c>
      <c r="C288">
        <f>IF($A288=1,SUM($A$2:$A288),0)</f>
        <v/>
      </c>
    </row>
    <row r="289">
      <c r="A289">
        <f>IF(AND(OR('Compliance Database'!$A289='Data Transfer'!$B$4,'Compliance Database'!$A289='Data Transfer'!$B$5),OR('Data Transfer'!$B$6="",ISNUMBER(SEARCH('Data Transfer'!$B$6,'Compliance Database'!$D289&amp;" "&amp;'Compliance Database'!$K289&amp;" "&amp;'Compliance Database'!$L289&amp;" "&amp;'Compliance Database'!$M289&amp;" "&amp;'Compliance Database'!$N289)))),1,0)</f>
        <v/>
      </c>
      <c r="B289">
        <f>IF($A289=1,SUM($A$2:$A289),"")</f>
        <v/>
      </c>
      <c r="C289">
        <f>IF($A289=1,SUM($A$2:$A289),0)</f>
        <v/>
      </c>
    </row>
    <row r="290">
      <c r="A290">
        <f>IF(AND(OR('Compliance Database'!$A290='Data Transfer'!$B$4,'Compliance Database'!$A290='Data Transfer'!$B$5),OR('Data Transfer'!$B$6="",ISNUMBER(SEARCH('Data Transfer'!$B$6,'Compliance Database'!$D290&amp;" "&amp;'Compliance Database'!$K290&amp;" "&amp;'Compliance Database'!$L290&amp;" "&amp;'Compliance Database'!$M290&amp;" "&amp;'Compliance Database'!$N290)))),1,0)</f>
        <v/>
      </c>
      <c r="B290">
        <f>IF($A290=1,SUM($A$2:$A290),"")</f>
        <v/>
      </c>
      <c r="C290">
        <f>IF($A290=1,SUM($A$2:$A290),0)</f>
        <v/>
      </c>
    </row>
    <row r="291">
      <c r="A291">
        <f>IF(AND(OR('Compliance Database'!$A291='Data Transfer'!$B$4,'Compliance Database'!$A291='Data Transfer'!$B$5),OR('Data Transfer'!$B$6="",ISNUMBER(SEARCH('Data Transfer'!$B$6,'Compliance Database'!$D291&amp;" "&amp;'Compliance Database'!$K291&amp;" "&amp;'Compliance Database'!$L291&amp;" "&amp;'Compliance Database'!$M291&amp;" "&amp;'Compliance Database'!$N291)))),1,0)</f>
        <v/>
      </c>
      <c r="B291">
        <f>IF($A291=1,SUM($A$2:$A291),"")</f>
        <v/>
      </c>
      <c r="C291">
        <f>IF($A291=1,SUM($A$2:$A291),0)</f>
        <v/>
      </c>
    </row>
    <row r="292">
      <c r="A292">
        <f>IF(AND(OR('Compliance Database'!$A292='Data Transfer'!$B$4,'Compliance Database'!$A292='Data Transfer'!$B$5),OR('Data Transfer'!$B$6="",ISNUMBER(SEARCH('Data Transfer'!$B$6,'Compliance Database'!$D292&amp;" "&amp;'Compliance Database'!$K292&amp;" "&amp;'Compliance Database'!$L292&amp;" "&amp;'Compliance Database'!$M292&amp;" "&amp;'Compliance Database'!$N292)))),1,0)</f>
        <v/>
      </c>
      <c r="B292">
        <f>IF($A292=1,SUM($A$2:$A292),"")</f>
        <v/>
      </c>
      <c r="C292">
        <f>IF($A292=1,SUM($A$2:$A292),0)</f>
        <v/>
      </c>
    </row>
    <row r="293">
      <c r="A293">
        <f>IF(AND(OR('Compliance Database'!$A293='Data Transfer'!$B$4,'Compliance Database'!$A293='Data Transfer'!$B$5),OR('Data Transfer'!$B$6="",ISNUMBER(SEARCH('Data Transfer'!$B$6,'Compliance Database'!$D293&amp;" "&amp;'Compliance Database'!$K293&amp;" "&amp;'Compliance Database'!$L293&amp;" "&amp;'Compliance Database'!$M293&amp;" "&amp;'Compliance Database'!$N293)))),1,0)</f>
        <v/>
      </c>
      <c r="B293">
        <f>IF($A293=1,SUM($A$2:$A293),"")</f>
        <v/>
      </c>
      <c r="C293">
        <f>IF($A293=1,SUM($A$2:$A293),0)</f>
        <v/>
      </c>
    </row>
    <row r="294">
      <c r="A294">
        <f>IF(AND(OR('Compliance Database'!$A294='Data Transfer'!$B$4,'Compliance Database'!$A294='Data Transfer'!$B$5),OR('Data Transfer'!$B$6="",ISNUMBER(SEARCH('Data Transfer'!$B$6,'Compliance Database'!$D294&amp;" "&amp;'Compliance Database'!$K294&amp;" "&amp;'Compliance Database'!$L294&amp;" "&amp;'Compliance Database'!$M294&amp;" "&amp;'Compliance Database'!$N294)))),1,0)</f>
        <v/>
      </c>
      <c r="B294">
        <f>IF($A294=1,SUM($A$2:$A294),"")</f>
        <v/>
      </c>
      <c r="C294">
        <f>IF($A294=1,SUM($A$2:$A294),0)</f>
        <v/>
      </c>
    </row>
    <row r="295">
      <c r="A295">
        <f>IF(AND(OR('Compliance Database'!$A295='Data Transfer'!$B$4,'Compliance Database'!$A295='Data Transfer'!$B$5),OR('Data Transfer'!$B$6="",ISNUMBER(SEARCH('Data Transfer'!$B$6,'Compliance Database'!$D295&amp;" "&amp;'Compliance Database'!$K295&amp;" "&amp;'Compliance Database'!$L295&amp;" "&amp;'Compliance Database'!$M295&amp;" "&amp;'Compliance Database'!$N295)))),1,0)</f>
        <v/>
      </c>
      <c r="B295">
        <f>IF($A295=1,SUM($A$2:$A295),"")</f>
        <v/>
      </c>
      <c r="C295">
        <f>IF($A295=1,SUM($A$2:$A295),0)</f>
        <v/>
      </c>
    </row>
    <row r="296">
      <c r="A296">
        <f>IF(AND(OR('Compliance Database'!$A296='Data Transfer'!$B$4,'Compliance Database'!$A296='Data Transfer'!$B$5),OR('Data Transfer'!$B$6="",ISNUMBER(SEARCH('Data Transfer'!$B$6,'Compliance Database'!$D296&amp;" "&amp;'Compliance Database'!$K296&amp;" "&amp;'Compliance Database'!$L296&amp;" "&amp;'Compliance Database'!$M296&amp;" "&amp;'Compliance Database'!$N296)))),1,0)</f>
        <v/>
      </c>
      <c r="B296">
        <f>IF($A296=1,SUM($A$2:$A296),"")</f>
        <v/>
      </c>
      <c r="C296">
        <f>IF($A296=1,SUM($A$2:$A296),0)</f>
        <v/>
      </c>
    </row>
    <row r="297">
      <c r="A297">
        <f>IF(AND(OR('Compliance Database'!$A297='Data Transfer'!$B$4,'Compliance Database'!$A297='Data Transfer'!$B$5),OR('Data Transfer'!$B$6="",ISNUMBER(SEARCH('Data Transfer'!$B$6,'Compliance Database'!$D297&amp;" "&amp;'Compliance Database'!$K297&amp;" "&amp;'Compliance Database'!$L297&amp;" "&amp;'Compliance Database'!$M297&amp;" "&amp;'Compliance Database'!$N297)))),1,0)</f>
        <v/>
      </c>
      <c r="B297">
        <f>IF($A297=1,SUM($A$2:$A297),"")</f>
        <v/>
      </c>
      <c r="C297">
        <f>IF($A297=1,SUM($A$2:$A297),0)</f>
        <v/>
      </c>
    </row>
    <row r="298">
      <c r="A298">
        <f>IF(AND(OR('Compliance Database'!$A298='Data Transfer'!$B$4,'Compliance Database'!$A298='Data Transfer'!$B$5),OR('Data Transfer'!$B$6="",ISNUMBER(SEARCH('Data Transfer'!$B$6,'Compliance Database'!$D298&amp;" "&amp;'Compliance Database'!$K298&amp;" "&amp;'Compliance Database'!$L298&amp;" "&amp;'Compliance Database'!$M298&amp;" "&amp;'Compliance Database'!$N298)))),1,0)</f>
        <v/>
      </c>
      <c r="B298">
        <f>IF($A298=1,SUM($A$2:$A298),"")</f>
        <v/>
      </c>
      <c r="C298">
        <f>IF($A298=1,SUM($A$2:$A298),0)</f>
        <v/>
      </c>
    </row>
    <row r="299">
      <c r="A299">
        <f>IF(AND(OR('Compliance Database'!$A299='Data Transfer'!$B$4,'Compliance Database'!$A299='Data Transfer'!$B$5),OR('Data Transfer'!$B$6="",ISNUMBER(SEARCH('Data Transfer'!$B$6,'Compliance Database'!$D299&amp;" "&amp;'Compliance Database'!$K299&amp;" "&amp;'Compliance Database'!$L299&amp;" "&amp;'Compliance Database'!$M299&amp;" "&amp;'Compliance Database'!$N299)))),1,0)</f>
        <v/>
      </c>
      <c r="B299">
        <f>IF($A299=1,SUM($A$2:$A299),"")</f>
        <v/>
      </c>
      <c r="C299">
        <f>IF($A299=1,SUM($A$2:$A299),0)</f>
        <v/>
      </c>
    </row>
    <row r="300">
      <c r="A300">
        <f>IF(AND(OR('Compliance Database'!$A300='Data Transfer'!$B$4,'Compliance Database'!$A300='Data Transfer'!$B$5),OR('Data Transfer'!$B$6="",ISNUMBER(SEARCH('Data Transfer'!$B$6,'Compliance Database'!$D300&amp;" "&amp;'Compliance Database'!$K300&amp;" "&amp;'Compliance Database'!$L300&amp;" "&amp;'Compliance Database'!$M300&amp;" "&amp;'Compliance Database'!$N300)))),1,0)</f>
        <v/>
      </c>
      <c r="B300">
        <f>IF($A300=1,SUM($A$2:$A300),"")</f>
        <v/>
      </c>
      <c r="C300">
        <f>IF($A300=1,SUM($A$2:$A300),0)</f>
        <v/>
      </c>
    </row>
    <row r="301">
      <c r="A301">
        <f>IF(AND(OR('Compliance Database'!$A301='Data Transfer'!$B$4,'Compliance Database'!$A301='Data Transfer'!$B$5),OR('Data Transfer'!$B$6="",ISNUMBER(SEARCH('Data Transfer'!$B$6,'Compliance Database'!$D301&amp;" "&amp;'Compliance Database'!$K301&amp;" "&amp;'Compliance Database'!$L301&amp;" "&amp;'Compliance Database'!$M301&amp;" "&amp;'Compliance Database'!$N301)))),1,0)</f>
        <v/>
      </c>
      <c r="B301">
        <f>IF($A301=1,SUM($A$2:$A301),"")</f>
        <v/>
      </c>
      <c r="C301">
        <f>IF($A301=1,SUM($A$2:$A301),0)</f>
        <v/>
      </c>
    </row>
    <row r="302">
      <c r="A302">
        <f>IF(AND(OR('Compliance Database'!$A302='Data Transfer'!$B$4,'Compliance Database'!$A302='Data Transfer'!$B$5),OR('Data Transfer'!$B$6="",ISNUMBER(SEARCH('Data Transfer'!$B$6,'Compliance Database'!$D302&amp;" "&amp;'Compliance Database'!$K302&amp;" "&amp;'Compliance Database'!$L302&amp;" "&amp;'Compliance Database'!$M302&amp;" "&amp;'Compliance Database'!$N302)))),1,0)</f>
        <v/>
      </c>
      <c r="B302">
        <f>IF($A302=1,SUM($A$2:$A302),"")</f>
        <v/>
      </c>
      <c r="C302">
        <f>IF($A302=1,SUM($A$2:$A302),0)</f>
        <v/>
      </c>
    </row>
    <row r="303">
      <c r="A303">
        <f>IF(AND(OR('Compliance Database'!$A303='Data Transfer'!$B$4,'Compliance Database'!$A303='Data Transfer'!$B$5),OR('Data Transfer'!$B$6="",ISNUMBER(SEARCH('Data Transfer'!$B$6,'Compliance Database'!$D303&amp;" "&amp;'Compliance Database'!$K303&amp;" "&amp;'Compliance Database'!$L303&amp;" "&amp;'Compliance Database'!$M303&amp;" "&amp;'Compliance Database'!$N303)))),1,0)</f>
        <v/>
      </c>
      <c r="B303">
        <f>IF($A303=1,SUM($A$2:$A303),"")</f>
        <v/>
      </c>
      <c r="C303">
        <f>IF($A303=1,SUM($A$2:$A303),0)</f>
        <v/>
      </c>
    </row>
    <row r="304">
      <c r="A304">
        <f>IF(AND(OR('Compliance Database'!$A304='Data Transfer'!$B$4,'Compliance Database'!$A304='Data Transfer'!$B$5),OR('Data Transfer'!$B$6="",ISNUMBER(SEARCH('Data Transfer'!$B$6,'Compliance Database'!$D304&amp;" "&amp;'Compliance Database'!$K304&amp;" "&amp;'Compliance Database'!$L304&amp;" "&amp;'Compliance Database'!$M304&amp;" "&amp;'Compliance Database'!$N304)))),1,0)</f>
        <v/>
      </c>
      <c r="B304">
        <f>IF($A304=1,SUM($A$2:$A304),"")</f>
        <v/>
      </c>
      <c r="C304">
        <f>IF($A304=1,SUM($A$2:$A304),0)</f>
        <v/>
      </c>
    </row>
    <row r="305">
      <c r="A305">
        <f>IF(AND(OR('Compliance Database'!$A305='Data Transfer'!$B$4,'Compliance Database'!$A305='Data Transfer'!$B$5),OR('Data Transfer'!$B$6="",ISNUMBER(SEARCH('Data Transfer'!$B$6,'Compliance Database'!$D305&amp;" "&amp;'Compliance Database'!$K305&amp;" "&amp;'Compliance Database'!$L305&amp;" "&amp;'Compliance Database'!$M305&amp;" "&amp;'Compliance Database'!$N305)))),1,0)</f>
        <v/>
      </c>
      <c r="B305">
        <f>IF($A305=1,SUM($A$2:$A305),"")</f>
        <v/>
      </c>
      <c r="C305">
        <f>IF($A305=1,SUM($A$2:$A305),0)</f>
        <v/>
      </c>
    </row>
    <row r="306">
      <c r="A306">
        <f>IF(AND(OR('Compliance Database'!$A306='Data Transfer'!$B$4,'Compliance Database'!$A306='Data Transfer'!$B$5),OR('Data Transfer'!$B$6="",ISNUMBER(SEARCH('Data Transfer'!$B$6,'Compliance Database'!$D306&amp;" "&amp;'Compliance Database'!$K306&amp;" "&amp;'Compliance Database'!$L306&amp;" "&amp;'Compliance Database'!$M306&amp;" "&amp;'Compliance Database'!$N306)))),1,0)</f>
        <v/>
      </c>
      <c r="B306">
        <f>IF($A306=1,SUM($A$2:$A306),"")</f>
        <v/>
      </c>
      <c r="C306">
        <f>IF($A306=1,SUM($A$2:$A306),0)</f>
        <v/>
      </c>
    </row>
    <row r="307">
      <c r="A307">
        <f>IF(AND(OR('Compliance Database'!$A307='Data Transfer'!$B$4,'Compliance Database'!$A307='Data Transfer'!$B$5),OR('Data Transfer'!$B$6="",ISNUMBER(SEARCH('Data Transfer'!$B$6,'Compliance Database'!$D307&amp;" "&amp;'Compliance Database'!$K307&amp;" "&amp;'Compliance Database'!$L307&amp;" "&amp;'Compliance Database'!$M307&amp;" "&amp;'Compliance Database'!$N307)))),1,0)</f>
        <v/>
      </c>
      <c r="B307">
        <f>IF($A307=1,SUM($A$2:$A307),"")</f>
        <v/>
      </c>
      <c r="C307">
        <f>IF($A307=1,SUM($A$2:$A307),0)</f>
        <v/>
      </c>
    </row>
    <row r="308">
      <c r="A308">
        <f>IF(AND(OR('Compliance Database'!$A308='Data Transfer'!$B$4,'Compliance Database'!$A308='Data Transfer'!$B$5),OR('Data Transfer'!$B$6="",ISNUMBER(SEARCH('Data Transfer'!$B$6,'Compliance Database'!$D308&amp;" "&amp;'Compliance Database'!$K308&amp;" "&amp;'Compliance Database'!$L308&amp;" "&amp;'Compliance Database'!$M308&amp;" "&amp;'Compliance Database'!$N308)))),1,0)</f>
        <v/>
      </c>
      <c r="B308">
        <f>IF($A308=1,SUM($A$2:$A308),"")</f>
        <v/>
      </c>
      <c r="C308">
        <f>IF($A308=1,SUM($A$2:$A308),0)</f>
        <v/>
      </c>
    </row>
    <row r="309">
      <c r="A309">
        <f>IF(AND(OR('Compliance Database'!$A309='Data Transfer'!$B$4,'Compliance Database'!$A309='Data Transfer'!$B$5),OR('Data Transfer'!$B$6="",ISNUMBER(SEARCH('Data Transfer'!$B$6,'Compliance Database'!$D309&amp;" "&amp;'Compliance Database'!$K309&amp;" "&amp;'Compliance Database'!$L309&amp;" "&amp;'Compliance Database'!$M309&amp;" "&amp;'Compliance Database'!$N309)))),1,0)</f>
        <v/>
      </c>
      <c r="B309">
        <f>IF($A309=1,SUM($A$2:$A309),"")</f>
        <v/>
      </c>
      <c r="C309">
        <f>IF($A309=1,SUM($A$2:$A309),0)</f>
        <v/>
      </c>
    </row>
    <row r="310">
      <c r="A310">
        <f>IF(AND(OR('Compliance Database'!$A310='Data Transfer'!$B$4,'Compliance Database'!$A310='Data Transfer'!$B$5),OR('Data Transfer'!$B$6="",ISNUMBER(SEARCH('Data Transfer'!$B$6,'Compliance Database'!$D310&amp;" "&amp;'Compliance Database'!$K310&amp;" "&amp;'Compliance Database'!$L310&amp;" "&amp;'Compliance Database'!$M310&amp;" "&amp;'Compliance Database'!$N310)))),1,0)</f>
        <v/>
      </c>
      <c r="B310">
        <f>IF($A310=1,SUM($A$2:$A310),"")</f>
        <v/>
      </c>
      <c r="C310">
        <f>IF($A310=1,SUM($A$2:$A310),0)</f>
        <v/>
      </c>
    </row>
    <row r="311">
      <c r="A311">
        <f>IF(AND(OR('Compliance Database'!$A311='Data Transfer'!$B$4,'Compliance Database'!$A311='Data Transfer'!$B$5),OR('Data Transfer'!$B$6="",ISNUMBER(SEARCH('Data Transfer'!$B$6,'Compliance Database'!$D311&amp;" "&amp;'Compliance Database'!$K311&amp;" "&amp;'Compliance Database'!$L311&amp;" "&amp;'Compliance Database'!$M311&amp;" "&amp;'Compliance Database'!$N311)))),1,0)</f>
        <v/>
      </c>
      <c r="B311">
        <f>IF($A311=1,SUM($A$2:$A311),"")</f>
        <v/>
      </c>
      <c r="C311">
        <f>IF($A311=1,SUM($A$2:$A311),0)</f>
        <v/>
      </c>
    </row>
    <row r="312">
      <c r="A312">
        <f>IF(AND(OR('Compliance Database'!$A312='Data Transfer'!$B$4,'Compliance Database'!$A312='Data Transfer'!$B$5),OR('Data Transfer'!$B$6="",ISNUMBER(SEARCH('Data Transfer'!$B$6,'Compliance Database'!$D312&amp;" "&amp;'Compliance Database'!$K312&amp;" "&amp;'Compliance Database'!$L312&amp;" "&amp;'Compliance Database'!$M312&amp;" "&amp;'Compliance Database'!$N312)))),1,0)</f>
        <v/>
      </c>
      <c r="B312">
        <f>IF($A312=1,SUM($A$2:$A312),"")</f>
        <v/>
      </c>
      <c r="C312">
        <f>IF($A312=1,SUM($A$2:$A312),0)</f>
        <v/>
      </c>
    </row>
    <row r="313">
      <c r="A313">
        <f>IF(AND(OR('Compliance Database'!$A313='Data Transfer'!$B$4,'Compliance Database'!$A313='Data Transfer'!$B$5),OR('Data Transfer'!$B$6="",ISNUMBER(SEARCH('Data Transfer'!$B$6,'Compliance Database'!$D313&amp;" "&amp;'Compliance Database'!$K313&amp;" "&amp;'Compliance Database'!$L313&amp;" "&amp;'Compliance Database'!$M313&amp;" "&amp;'Compliance Database'!$N313)))),1,0)</f>
        <v/>
      </c>
      <c r="B313">
        <f>IF($A313=1,SUM($A$2:$A313),"")</f>
        <v/>
      </c>
      <c r="C313">
        <f>IF($A313=1,SUM($A$2:$A313),0)</f>
        <v/>
      </c>
    </row>
    <row r="314">
      <c r="A314">
        <f>IF(AND(OR('Compliance Database'!$A314='Data Transfer'!$B$4,'Compliance Database'!$A314='Data Transfer'!$B$5),OR('Data Transfer'!$B$6="",ISNUMBER(SEARCH('Data Transfer'!$B$6,'Compliance Database'!$D314&amp;" "&amp;'Compliance Database'!$K314&amp;" "&amp;'Compliance Database'!$L314&amp;" "&amp;'Compliance Database'!$M314&amp;" "&amp;'Compliance Database'!$N314)))),1,0)</f>
        <v/>
      </c>
      <c r="B314">
        <f>IF($A314=1,SUM($A$2:$A314),"")</f>
        <v/>
      </c>
      <c r="C314">
        <f>IF($A314=1,SUM($A$2:$A314),0)</f>
        <v/>
      </c>
    </row>
    <row r="315">
      <c r="A315">
        <f>IF(AND(OR('Compliance Database'!$A315='Data Transfer'!$B$4,'Compliance Database'!$A315='Data Transfer'!$B$5),OR('Data Transfer'!$B$6="",ISNUMBER(SEARCH('Data Transfer'!$B$6,'Compliance Database'!$D315&amp;" "&amp;'Compliance Database'!$K315&amp;" "&amp;'Compliance Database'!$L315&amp;" "&amp;'Compliance Database'!$M315&amp;" "&amp;'Compliance Database'!$N315)))),1,0)</f>
        <v/>
      </c>
      <c r="B315">
        <f>IF($A315=1,SUM($A$2:$A315),"")</f>
        <v/>
      </c>
      <c r="C315">
        <f>IF($A315=1,SUM($A$2:$A315),0)</f>
        <v/>
      </c>
    </row>
    <row r="316">
      <c r="A316">
        <f>IF(AND(OR('Compliance Database'!$A316='Data Transfer'!$B$4,'Compliance Database'!$A316='Data Transfer'!$B$5),OR('Data Transfer'!$B$6="",ISNUMBER(SEARCH('Data Transfer'!$B$6,'Compliance Database'!$D316&amp;" "&amp;'Compliance Database'!$K316&amp;" "&amp;'Compliance Database'!$L316&amp;" "&amp;'Compliance Database'!$M316&amp;" "&amp;'Compliance Database'!$N316)))),1,0)</f>
        <v/>
      </c>
      <c r="B316">
        <f>IF($A316=1,SUM($A$2:$A316),"")</f>
        <v/>
      </c>
      <c r="C316">
        <f>IF($A316=1,SUM($A$2:$A316),0)</f>
        <v/>
      </c>
    </row>
    <row r="317">
      <c r="A317">
        <f>IF(AND(OR('Compliance Database'!$A317='Data Transfer'!$B$4,'Compliance Database'!$A317='Data Transfer'!$B$5),OR('Data Transfer'!$B$6="",ISNUMBER(SEARCH('Data Transfer'!$B$6,'Compliance Database'!$D317&amp;" "&amp;'Compliance Database'!$K317&amp;" "&amp;'Compliance Database'!$L317&amp;" "&amp;'Compliance Database'!$M317&amp;" "&amp;'Compliance Database'!$N317)))),1,0)</f>
        <v/>
      </c>
      <c r="B317">
        <f>IF($A317=1,SUM($A$2:$A317),"")</f>
        <v/>
      </c>
      <c r="C317">
        <f>IF($A317=1,SUM($A$2:$A317),0)</f>
        <v/>
      </c>
    </row>
    <row r="318">
      <c r="A318">
        <f>IF(AND(OR('Compliance Database'!$A318='Data Transfer'!$B$4,'Compliance Database'!$A318='Data Transfer'!$B$5),OR('Data Transfer'!$B$6="",ISNUMBER(SEARCH('Data Transfer'!$B$6,'Compliance Database'!$D318&amp;" "&amp;'Compliance Database'!$K318&amp;" "&amp;'Compliance Database'!$L318&amp;" "&amp;'Compliance Database'!$M318&amp;" "&amp;'Compliance Database'!$N318)))),1,0)</f>
        <v/>
      </c>
      <c r="B318">
        <f>IF($A318=1,SUM($A$2:$A318),"")</f>
        <v/>
      </c>
      <c r="C318">
        <f>IF($A318=1,SUM($A$2:$A318),0)</f>
        <v/>
      </c>
    </row>
    <row r="319">
      <c r="A319">
        <f>IF(AND(OR('Compliance Database'!$A319='Data Transfer'!$B$4,'Compliance Database'!$A319='Data Transfer'!$B$5),OR('Data Transfer'!$B$6="",ISNUMBER(SEARCH('Data Transfer'!$B$6,'Compliance Database'!$D319&amp;" "&amp;'Compliance Database'!$K319&amp;" "&amp;'Compliance Database'!$L319&amp;" "&amp;'Compliance Database'!$M319&amp;" "&amp;'Compliance Database'!$N319)))),1,0)</f>
        <v/>
      </c>
      <c r="B319">
        <f>IF($A319=1,SUM($A$2:$A319),"")</f>
        <v/>
      </c>
      <c r="C319">
        <f>IF($A319=1,SUM($A$2:$A319),0)</f>
        <v/>
      </c>
    </row>
    <row r="320">
      <c r="A320">
        <f>IF(AND(OR('Compliance Database'!$A320='Data Transfer'!$B$4,'Compliance Database'!$A320='Data Transfer'!$B$5),OR('Data Transfer'!$B$6="",ISNUMBER(SEARCH('Data Transfer'!$B$6,'Compliance Database'!$D320&amp;" "&amp;'Compliance Database'!$K320&amp;" "&amp;'Compliance Database'!$L320&amp;" "&amp;'Compliance Database'!$M320&amp;" "&amp;'Compliance Database'!$N320)))),1,0)</f>
        <v/>
      </c>
      <c r="B320">
        <f>IF($A320=1,SUM($A$2:$A320),"")</f>
        <v/>
      </c>
      <c r="C320">
        <f>IF($A320=1,SUM($A$2:$A320),0)</f>
        <v/>
      </c>
    </row>
    <row r="321">
      <c r="A321">
        <f>IF(AND(OR('Compliance Database'!$A321='Data Transfer'!$B$4,'Compliance Database'!$A321='Data Transfer'!$B$5),OR('Data Transfer'!$B$6="",ISNUMBER(SEARCH('Data Transfer'!$B$6,'Compliance Database'!$D321&amp;" "&amp;'Compliance Database'!$K321&amp;" "&amp;'Compliance Database'!$L321&amp;" "&amp;'Compliance Database'!$M321&amp;" "&amp;'Compliance Database'!$N321)))),1,0)</f>
        <v/>
      </c>
      <c r="B321">
        <f>IF($A321=1,SUM($A$2:$A321),"")</f>
        <v/>
      </c>
      <c r="C321">
        <f>IF($A321=1,SUM($A$2:$A321),0)</f>
        <v/>
      </c>
    </row>
    <row r="322">
      <c r="A322">
        <f>IF(AND(OR('Compliance Database'!$A322='Data Transfer'!$B$4,'Compliance Database'!$A322='Data Transfer'!$B$5),OR('Data Transfer'!$B$6="",ISNUMBER(SEARCH('Data Transfer'!$B$6,'Compliance Database'!$D322&amp;" "&amp;'Compliance Database'!$K322&amp;" "&amp;'Compliance Database'!$L322&amp;" "&amp;'Compliance Database'!$M322&amp;" "&amp;'Compliance Database'!$N322)))),1,0)</f>
        <v/>
      </c>
      <c r="B322">
        <f>IF($A322=1,SUM($A$2:$A322),"")</f>
        <v/>
      </c>
      <c r="C322">
        <f>IF($A322=1,SUM($A$2:$A322),0)</f>
        <v/>
      </c>
    </row>
    <row r="323">
      <c r="A323">
        <f>IF(AND(OR('Compliance Database'!$A323='Data Transfer'!$B$4,'Compliance Database'!$A323='Data Transfer'!$B$5),OR('Data Transfer'!$B$6="",ISNUMBER(SEARCH('Data Transfer'!$B$6,'Compliance Database'!$D323&amp;" "&amp;'Compliance Database'!$K323&amp;" "&amp;'Compliance Database'!$L323&amp;" "&amp;'Compliance Database'!$M323&amp;" "&amp;'Compliance Database'!$N323)))),1,0)</f>
        <v/>
      </c>
      <c r="B323">
        <f>IF($A323=1,SUM($A$2:$A323),"")</f>
        <v/>
      </c>
      <c r="C323">
        <f>IF($A323=1,SUM($A$2:$A323),0)</f>
        <v/>
      </c>
    </row>
    <row r="324">
      <c r="A324">
        <f>IF(AND(OR('Compliance Database'!$A324='Data Transfer'!$B$4,'Compliance Database'!$A324='Data Transfer'!$B$5),OR('Data Transfer'!$B$6="",ISNUMBER(SEARCH('Data Transfer'!$B$6,'Compliance Database'!$D324&amp;" "&amp;'Compliance Database'!$K324&amp;" "&amp;'Compliance Database'!$L324&amp;" "&amp;'Compliance Database'!$M324&amp;" "&amp;'Compliance Database'!$N324)))),1,0)</f>
        <v/>
      </c>
      <c r="B324">
        <f>IF($A324=1,SUM($A$2:$A324),"")</f>
        <v/>
      </c>
      <c r="C324">
        <f>IF($A324=1,SUM($A$2:$A324),0)</f>
        <v/>
      </c>
    </row>
    <row r="325">
      <c r="A325">
        <f>IF(AND(OR('Compliance Database'!$A325='Data Transfer'!$B$4,'Compliance Database'!$A325='Data Transfer'!$B$5),OR('Data Transfer'!$B$6="",ISNUMBER(SEARCH('Data Transfer'!$B$6,'Compliance Database'!$D325&amp;" "&amp;'Compliance Database'!$K325&amp;" "&amp;'Compliance Database'!$L325&amp;" "&amp;'Compliance Database'!$M325&amp;" "&amp;'Compliance Database'!$N325)))),1,0)</f>
        <v/>
      </c>
      <c r="B325">
        <f>IF($A325=1,SUM($A$2:$A325),"")</f>
        <v/>
      </c>
      <c r="C325">
        <f>IF($A325=1,SUM($A$2:$A325),0)</f>
        <v/>
      </c>
    </row>
    <row r="326">
      <c r="A326">
        <f>IF(AND(OR('Compliance Database'!$A326='Data Transfer'!$B$4,'Compliance Database'!$A326='Data Transfer'!$B$5),OR('Data Transfer'!$B$6="",ISNUMBER(SEARCH('Data Transfer'!$B$6,'Compliance Database'!$D326&amp;" "&amp;'Compliance Database'!$K326&amp;" "&amp;'Compliance Database'!$L326&amp;" "&amp;'Compliance Database'!$M326&amp;" "&amp;'Compliance Database'!$N326)))),1,0)</f>
        <v/>
      </c>
      <c r="B326">
        <f>IF($A326=1,SUM($A$2:$A326),"")</f>
        <v/>
      </c>
      <c r="C326">
        <f>IF($A326=1,SUM($A$2:$A326),0)</f>
        <v/>
      </c>
    </row>
    <row r="327">
      <c r="A327">
        <f>IF(AND(OR('Compliance Database'!$A327='Data Transfer'!$B$4,'Compliance Database'!$A327='Data Transfer'!$B$5),OR('Data Transfer'!$B$6="",ISNUMBER(SEARCH('Data Transfer'!$B$6,'Compliance Database'!$D327&amp;" "&amp;'Compliance Database'!$K327&amp;" "&amp;'Compliance Database'!$L327&amp;" "&amp;'Compliance Database'!$M327&amp;" "&amp;'Compliance Database'!$N327)))),1,0)</f>
        <v/>
      </c>
      <c r="B327">
        <f>IF($A327=1,SUM($A$2:$A327),"")</f>
        <v/>
      </c>
      <c r="C327">
        <f>IF($A327=1,SUM($A$2:$A327),0)</f>
        <v/>
      </c>
    </row>
    <row r="328">
      <c r="A328">
        <f>IF(AND(OR('Compliance Database'!$A328='Data Transfer'!$B$4,'Compliance Database'!$A328='Data Transfer'!$B$5),OR('Data Transfer'!$B$6="",ISNUMBER(SEARCH('Data Transfer'!$B$6,'Compliance Database'!$D328&amp;" "&amp;'Compliance Database'!$K328&amp;" "&amp;'Compliance Database'!$L328&amp;" "&amp;'Compliance Database'!$M328&amp;" "&amp;'Compliance Database'!$N328)))),1,0)</f>
        <v/>
      </c>
      <c r="B328">
        <f>IF($A328=1,SUM($A$2:$A328),"")</f>
        <v/>
      </c>
      <c r="C328">
        <f>IF($A328=1,SUM($A$2:$A328),0)</f>
        <v/>
      </c>
    </row>
    <row r="329">
      <c r="A329">
        <f>IF(AND(OR('Compliance Database'!$A329='Data Transfer'!$B$4,'Compliance Database'!$A329='Data Transfer'!$B$5),OR('Data Transfer'!$B$6="",ISNUMBER(SEARCH('Data Transfer'!$B$6,'Compliance Database'!$D329&amp;" "&amp;'Compliance Database'!$K329&amp;" "&amp;'Compliance Database'!$L329&amp;" "&amp;'Compliance Database'!$M329&amp;" "&amp;'Compliance Database'!$N329)))),1,0)</f>
        <v/>
      </c>
      <c r="B329">
        <f>IF($A329=1,SUM($A$2:$A329),"")</f>
        <v/>
      </c>
      <c r="C329">
        <f>IF($A329=1,SUM($A$2:$A329),0)</f>
        <v/>
      </c>
    </row>
    <row r="330">
      <c r="A330">
        <f>IF(AND(OR('Compliance Database'!$A330='Data Transfer'!$B$4,'Compliance Database'!$A330='Data Transfer'!$B$5),OR('Data Transfer'!$B$6="",ISNUMBER(SEARCH('Data Transfer'!$B$6,'Compliance Database'!$D330&amp;" "&amp;'Compliance Database'!$K330&amp;" "&amp;'Compliance Database'!$L330&amp;" "&amp;'Compliance Database'!$M330&amp;" "&amp;'Compliance Database'!$N330)))),1,0)</f>
        <v/>
      </c>
      <c r="B330">
        <f>IF($A330=1,SUM($A$2:$A330),"")</f>
        <v/>
      </c>
      <c r="C330">
        <f>IF($A330=1,SUM($A$2:$A330),0)</f>
        <v/>
      </c>
    </row>
    <row r="331">
      <c r="A331">
        <f>IF(AND(OR('Compliance Database'!$A331='Data Transfer'!$B$4,'Compliance Database'!$A331='Data Transfer'!$B$5),OR('Data Transfer'!$B$6="",ISNUMBER(SEARCH('Data Transfer'!$B$6,'Compliance Database'!$D331&amp;" "&amp;'Compliance Database'!$K331&amp;" "&amp;'Compliance Database'!$L331&amp;" "&amp;'Compliance Database'!$M331&amp;" "&amp;'Compliance Database'!$N331)))),1,0)</f>
        <v/>
      </c>
      <c r="B331">
        <f>IF($A331=1,SUM($A$2:$A331),"")</f>
        <v/>
      </c>
      <c r="C331">
        <f>IF($A331=1,SUM($A$2:$A331),0)</f>
        <v/>
      </c>
    </row>
    <row r="332">
      <c r="A332">
        <f>IF(AND(OR('Compliance Database'!$A332='Data Transfer'!$B$4,'Compliance Database'!$A332='Data Transfer'!$B$5),OR('Data Transfer'!$B$6="",ISNUMBER(SEARCH('Data Transfer'!$B$6,'Compliance Database'!$D332&amp;" "&amp;'Compliance Database'!$K332&amp;" "&amp;'Compliance Database'!$L332&amp;" "&amp;'Compliance Database'!$M332&amp;" "&amp;'Compliance Database'!$N332)))),1,0)</f>
        <v/>
      </c>
      <c r="B332">
        <f>IF($A332=1,SUM($A$2:$A332),"")</f>
        <v/>
      </c>
      <c r="C332">
        <f>IF($A332=1,SUM($A$2:$A332),0)</f>
        <v/>
      </c>
    </row>
    <row r="333">
      <c r="A333">
        <f>IF(AND(OR('Compliance Database'!$A333='Data Transfer'!$B$4,'Compliance Database'!$A333='Data Transfer'!$B$5),OR('Data Transfer'!$B$6="",ISNUMBER(SEARCH('Data Transfer'!$B$6,'Compliance Database'!$D333&amp;" "&amp;'Compliance Database'!$K333&amp;" "&amp;'Compliance Database'!$L333&amp;" "&amp;'Compliance Database'!$M333&amp;" "&amp;'Compliance Database'!$N333)))),1,0)</f>
        <v/>
      </c>
      <c r="B333">
        <f>IF($A333=1,SUM($A$2:$A333),"")</f>
        <v/>
      </c>
      <c r="C333">
        <f>IF($A333=1,SUM($A$2:$A333),0)</f>
        <v/>
      </c>
    </row>
    <row r="334">
      <c r="A334">
        <f>IF(AND(OR('Compliance Database'!$A334='Data Transfer'!$B$4,'Compliance Database'!$A334='Data Transfer'!$B$5),OR('Data Transfer'!$B$6="",ISNUMBER(SEARCH('Data Transfer'!$B$6,'Compliance Database'!$D334&amp;" "&amp;'Compliance Database'!$K334&amp;" "&amp;'Compliance Database'!$L334&amp;" "&amp;'Compliance Database'!$M334&amp;" "&amp;'Compliance Database'!$N334)))),1,0)</f>
        <v/>
      </c>
      <c r="B334">
        <f>IF($A334=1,SUM($A$2:$A334),"")</f>
        <v/>
      </c>
      <c r="C334">
        <f>IF($A334=1,SUM($A$2:$A334),0)</f>
        <v/>
      </c>
    </row>
    <row r="335">
      <c r="A335">
        <f>IF(AND(OR('Compliance Database'!$A335='Data Transfer'!$B$4,'Compliance Database'!$A335='Data Transfer'!$B$5),OR('Data Transfer'!$B$6="",ISNUMBER(SEARCH('Data Transfer'!$B$6,'Compliance Database'!$D335&amp;" "&amp;'Compliance Database'!$K335&amp;" "&amp;'Compliance Database'!$L335&amp;" "&amp;'Compliance Database'!$M335&amp;" "&amp;'Compliance Database'!$N335)))),1,0)</f>
        <v/>
      </c>
      <c r="B335">
        <f>IF($A335=1,SUM($A$2:$A335),"")</f>
        <v/>
      </c>
      <c r="C335">
        <f>IF($A335=1,SUM($A$2:$A335),0)</f>
        <v/>
      </c>
    </row>
    <row r="336">
      <c r="A336">
        <f>IF(AND(OR('Compliance Database'!$A336='Data Transfer'!$B$4,'Compliance Database'!$A336='Data Transfer'!$B$5),OR('Data Transfer'!$B$6="",ISNUMBER(SEARCH('Data Transfer'!$B$6,'Compliance Database'!$D336&amp;" "&amp;'Compliance Database'!$K336&amp;" "&amp;'Compliance Database'!$L336&amp;" "&amp;'Compliance Database'!$M336&amp;" "&amp;'Compliance Database'!$N336)))),1,0)</f>
        <v/>
      </c>
      <c r="B336">
        <f>IF($A336=1,SUM($A$2:$A336),"")</f>
        <v/>
      </c>
      <c r="C336">
        <f>IF($A336=1,SUM($A$2:$A336),0)</f>
        <v/>
      </c>
    </row>
    <row r="337">
      <c r="A337">
        <f>IF(AND(OR('Compliance Database'!$A337='Data Transfer'!$B$4,'Compliance Database'!$A337='Data Transfer'!$B$5),OR('Data Transfer'!$B$6="",ISNUMBER(SEARCH('Data Transfer'!$B$6,'Compliance Database'!$D337&amp;" "&amp;'Compliance Database'!$K337&amp;" "&amp;'Compliance Database'!$L337&amp;" "&amp;'Compliance Database'!$M337&amp;" "&amp;'Compliance Database'!$N337)))),1,0)</f>
        <v/>
      </c>
      <c r="B337">
        <f>IF($A337=1,SUM($A$2:$A337),"")</f>
        <v/>
      </c>
      <c r="C337">
        <f>IF($A337=1,SUM($A$2:$A337),0)</f>
        <v/>
      </c>
    </row>
    <row r="338">
      <c r="A338">
        <f>IF(AND(OR('Compliance Database'!$A338='Data Transfer'!$B$4,'Compliance Database'!$A338='Data Transfer'!$B$5),OR('Data Transfer'!$B$6="",ISNUMBER(SEARCH('Data Transfer'!$B$6,'Compliance Database'!$D338&amp;" "&amp;'Compliance Database'!$K338&amp;" "&amp;'Compliance Database'!$L338&amp;" "&amp;'Compliance Database'!$M338&amp;" "&amp;'Compliance Database'!$N338)))),1,0)</f>
        <v/>
      </c>
      <c r="B338">
        <f>IF($A338=1,SUM($A$2:$A338),"")</f>
        <v/>
      </c>
      <c r="C338">
        <f>IF($A338=1,SUM($A$2:$A338),0)</f>
        <v/>
      </c>
    </row>
    <row r="339">
      <c r="A339">
        <f>IF(AND(OR('Compliance Database'!$A339='Data Transfer'!$B$4,'Compliance Database'!$A339='Data Transfer'!$B$5),OR('Data Transfer'!$B$6="",ISNUMBER(SEARCH('Data Transfer'!$B$6,'Compliance Database'!$D339&amp;" "&amp;'Compliance Database'!$K339&amp;" "&amp;'Compliance Database'!$L339&amp;" "&amp;'Compliance Database'!$M339&amp;" "&amp;'Compliance Database'!$N339)))),1,0)</f>
        <v/>
      </c>
      <c r="B339">
        <f>IF($A339=1,SUM($A$2:$A339),"")</f>
        <v/>
      </c>
      <c r="C339">
        <f>IF($A339=1,SUM($A$2:$A339),0)</f>
        <v/>
      </c>
    </row>
    <row r="340">
      <c r="A340">
        <f>IF(AND(OR('Compliance Database'!$A340='Data Transfer'!$B$4,'Compliance Database'!$A340='Data Transfer'!$B$5),OR('Data Transfer'!$B$6="",ISNUMBER(SEARCH('Data Transfer'!$B$6,'Compliance Database'!$D340&amp;" "&amp;'Compliance Database'!$K340&amp;" "&amp;'Compliance Database'!$L340&amp;" "&amp;'Compliance Database'!$M340&amp;" "&amp;'Compliance Database'!$N340)))),1,0)</f>
        <v/>
      </c>
      <c r="B340">
        <f>IF($A340=1,SUM($A$2:$A340),"")</f>
        <v/>
      </c>
      <c r="C340">
        <f>IF($A340=1,SUM($A$2:$A340),0)</f>
        <v/>
      </c>
    </row>
    <row r="341">
      <c r="A341">
        <f>IF(AND(OR('Compliance Database'!$A341='Data Transfer'!$B$4,'Compliance Database'!$A341='Data Transfer'!$B$5),OR('Data Transfer'!$B$6="",ISNUMBER(SEARCH('Data Transfer'!$B$6,'Compliance Database'!$D341&amp;" "&amp;'Compliance Database'!$K341&amp;" "&amp;'Compliance Database'!$L341&amp;" "&amp;'Compliance Database'!$M341&amp;" "&amp;'Compliance Database'!$N341)))),1,0)</f>
        <v/>
      </c>
      <c r="B341">
        <f>IF($A341=1,SUM($A$2:$A341),"")</f>
        <v/>
      </c>
      <c r="C341">
        <f>IF($A341=1,SUM($A$2:$A341),0)</f>
        <v/>
      </c>
    </row>
    <row r="342">
      <c r="A342">
        <f>IF(AND(OR('Compliance Database'!$A342='Data Transfer'!$B$4,'Compliance Database'!$A342='Data Transfer'!$B$5),OR('Data Transfer'!$B$6="",ISNUMBER(SEARCH('Data Transfer'!$B$6,'Compliance Database'!$D342&amp;" "&amp;'Compliance Database'!$K342&amp;" "&amp;'Compliance Database'!$L342&amp;" "&amp;'Compliance Database'!$M342&amp;" "&amp;'Compliance Database'!$N342)))),1,0)</f>
        <v/>
      </c>
      <c r="B342">
        <f>IF($A342=1,SUM($A$2:$A342),"")</f>
        <v/>
      </c>
      <c r="C342">
        <f>IF($A342=1,SUM($A$2:$A342),0)</f>
        <v/>
      </c>
    </row>
    <row r="343">
      <c r="A343">
        <f>IF(AND(OR('Compliance Database'!$A343='Data Transfer'!$B$4,'Compliance Database'!$A343='Data Transfer'!$B$5),OR('Data Transfer'!$B$6="",ISNUMBER(SEARCH('Data Transfer'!$B$6,'Compliance Database'!$D343&amp;" "&amp;'Compliance Database'!$K343&amp;" "&amp;'Compliance Database'!$L343&amp;" "&amp;'Compliance Database'!$M343&amp;" "&amp;'Compliance Database'!$N343)))),1,0)</f>
        <v/>
      </c>
      <c r="B343">
        <f>IF($A343=1,SUM($A$2:$A343),"")</f>
        <v/>
      </c>
      <c r="C343">
        <f>IF($A343=1,SUM($A$2:$A343),0)</f>
        <v/>
      </c>
    </row>
    <row r="344">
      <c r="A344">
        <f>IF(AND(OR('Compliance Database'!$A344='Data Transfer'!$B$4,'Compliance Database'!$A344='Data Transfer'!$B$5),OR('Data Transfer'!$B$6="",ISNUMBER(SEARCH('Data Transfer'!$B$6,'Compliance Database'!$D344&amp;" "&amp;'Compliance Database'!$K344&amp;" "&amp;'Compliance Database'!$L344&amp;" "&amp;'Compliance Database'!$M344&amp;" "&amp;'Compliance Database'!$N344)))),1,0)</f>
        <v/>
      </c>
      <c r="B344">
        <f>IF($A344=1,SUM($A$2:$A344),"")</f>
        <v/>
      </c>
      <c r="C344">
        <f>IF($A344=1,SUM($A$2:$A344),0)</f>
        <v/>
      </c>
    </row>
    <row r="345">
      <c r="A345">
        <f>IF(AND(OR('Compliance Database'!$A345='Data Transfer'!$B$4,'Compliance Database'!$A345='Data Transfer'!$B$5),OR('Data Transfer'!$B$6="",ISNUMBER(SEARCH('Data Transfer'!$B$6,'Compliance Database'!$D345&amp;" "&amp;'Compliance Database'!$K345&amp;" "&amp;'Compliance Database'!$L345&amp;" "&amp;'Compliance Database'!$M345&amp;" "&amp;'Compliance Database'!$N345)))),1,0)</f>
        <v/>
      </c>
      <c r="B345">
        <f>IF($A345=1,SUM($A$2:$A345),"")</f>
        <v/>
      </c>
      <c r="C345">
        <f>IF($A345=1,SUM($A$2:$A345),0)</f>
        <v/>
      </c>
    </row>
    <row r="346">
      <c r="A346">
        <f>IF(AND(OR('Compliance Database'!$A346='Data Transfer'!$B$4,'Compliance Database'!$A346='Data Transfer'!$B$5),OR('Data Transfer'!$B$6="",ISNUMBER(SEARCH('Data Transfer'!$B$6,'Compliance Database'!$D346&amp;" "&amp;'Compliance Database'!$K346&amp;" "&amp;'Compliance Database'!$L346&amp;" "&amp;'Compliance Database'!$M346&amp;" "&amp;'Compliance Database'!$N346)))),1,0)</f>
        <v/>
      </c>
      <c r="B346">
        <f>IF($A346=1,SUM($A$2:$A346),"")</f>
        <v/>
      </c>
      <c r="C346">
        <f>IF($A346=1,SUM($A$2:$A346),0)</f>
        <v/>
      </c>
    </row>
    <row r="347">
      <c r="A347">
        <f>IF(AND(OR('Compliance Database'!$A347='Data Transfer'!$B$4,'Compliance Database'!$A347='Data Transfer'!$B$5),OR('Data Transfer'!$B$6="",ISNUMBER(SEARCH('Data Transfer'!$B$6,'Compliance Database'!$D347&amp;" "&amp;'Compliance Database'!$K347&amp;" "&amp;'Compliance Database'!$L347&amp;" "&amp;'Compliance Database'!$M347&amp;" "&amp;'Compliance Database'!$N347)))),1,0)</f>
        <v/>
      </c>
      <c r="B347">
        <f>IF($A347=1,SUM($A$2:$A347),"")</f>
        <v/>
      </c>
      <c r="C347">
        <f>IF($A347=1,SUM($A$2:$A347),0)</f>
        <v/>
      </c>
    </row>
    <row r="348">
      <c r="A348">
        <f>IF(AND(OR('Compliance Database'!$A348='Data Transfer'!$B$4,'Compliance Database'!$A348='Data Transfer'!$B$5),OR('Data Transfer'!$B$6="",ISNUMBER(SEARCH('Data Transfer'!$B$6,'Compliance Database'!$D348&amp;" "&amp;'Compliance Database'!$K348&amp;" "&amp;'Compliance Database'!$L348&amp;" "&amp;'Compliance Database'!$M348&amp;" "&amp;'Compliance Database'!$N348)))),1,0)</f>
        <v/>
      </c>
      <c r="B348">
        <f>IF($A348=1,SUM($A$2:$A348),"")</f>
        <v/>
      </c>
      <c r="C348">
        <f>IF($A348=1,SUM($A$2:$A348),0)</f>
        <v/>
      </c>
    </row>
    <row r="349">
      <c r="A349">
        <f>IF(AND(OR('Compliance Database'!$A349='Data Transfer'!$B$4,'Compliance Database'!$A349='Data Transfer'!$B$5),OR('Data Transfer'!$B$6="",ISNUMBER(SEARCH('Data Transfer'!$B$6,'Compliance Database'!$D349&amp;" "&amp;'Compliance Database'!$K349&amp;" "&amp;'Compliance Database'!$L349&amp;" "&amp;'Compliance Database'!$M349&amp;" "&amp;'Compliance Database'!$N349)))),1,0)</f>
        <v/>
      </c>
      <c r="B349">
        <f>IF($A349=1,SUM($A$2:$A349),"")</f>
        <v/>
      </c>
      <c r="C349">
        <f>IF($A349=1,SUM($A$2:$A349),0)</f>
        <v/>
      </c>
    </row>
    <row r="350">
      <c r="A350">
        <f>IF(AND(OR('Compliance Database'!$A350='Data Transfer'!$B$4,'Compliance Database'!$A350='Data Transfer'!$B$5),OR('Data Transfer'!$B$6="",ISNUMBER(SEARCH('Data Transfer'!$B$6,'Compliance Database'!$D350&amp;" "&amp;'Compliance Database'!$K350&amp;" "&amp;'Compliance Database'!$L350&amp;" "&amp;'Compliance Database'!$M350&amp;" "&amp;'Compliance Database'!$N350)))),1,0)</f>
        <v/>
      </c>
      <c r="B350">
        <f>IF($A350=1,SUM($A$2:$A350),"")</f>
        <v/>
      </c>
      <c r="C350">
        <f>IF($A350=1,SUM($A$2:$A350),0)</f>
        <v/>
      </c>
    </row>
    <row r="351">
      <c r="A351">
        <f>IF(AND(OR('Compliance Database'!$A351='Data Transfer'!$B$4,'Compliance Database'!$A351='Data Transfer'!$B$5),OR('Data Transfer'!$B$6="",ISNUMBER(SEARCH('Data Transfer'!$B$6,'Compliance Database'!$D351&amp;" "&amp;'Compliance Database'!$K351&amp;" "&amp;'Compliance Database'!$L351&amp;" "&amp;'Compliance Database'!$M351&amp;" "&amp;'Compliance Database'!$N351)))),1,0)</f>
        <v/>
      </c>
      <c r="B351">
        <f>IF($A351=1,SUM($A$2:$A351),"")</f>
        <v/>
      </c>
      <c r="C351">
        <f>IF($A351=1,SUM($A$2:$A351),0)</f>
        <v/>
      </c>
    </row>
    <row r="352">
      <c r="A352">
        <f>IF(AND(OR('Compliance Database'!$A352='Data Transfer'!$B$4,'Compliance Database'!$A352='Data Transfer'!$B$5),OR('Data Transfer'!$B$6="",ISNUMBER(SEARCH('Data Transfer'!$B$6,'Compliance Database'!$D352&amp;" "&amp;'Compliance Database'!$K352&amp;" "&amp;'Compliance Database'!$L352&amp;" "&amp;'Compliance Database'!$M352&amp;" "&amp;'Compliance Database'!$N352)))),1,0)</f>
        <v/>
      </c>
      <c r="B352">
        <f>IF($A352=1,SUM($A$2:$A352),"")</f>
        <v/>
      </c>
      <c r="C352">
        <f>IF($A352=1,SUM($A$2:$A352),0)</f>
        <v/>
      </c>
    </row>
    <row r="353">
      <c r="A353">
        <f>IF(AND(OR('Compliance Database'!$A353='Data Transfer'!$B$4,'Compliance Database'!$A353='Data Transfer'!$B$5),OR('Data Transfer'!$B$6="",ISNUMBER(SEARCH('Data Transfer'!$B$6,'Compliance Database'!$D353&amp;" "&amp;'Compliance Database'!$K353&amp;" "&amp;'Compliance Database'!$L353&amp;" "&amp;'Compliance Database'!$M353&amp;" "&amp;'Compliance Database'!$N353)))),1,0)</f>
        <v/>
      </c>
      <c r="B353">
        <f>IF($A353=1,SUM($A$2:$A353),"")</f>
        <v/>
      </c>
      <c r="C353">
        <f>IF($A353=1,SUM($A$2:$A353),0)</f>
        <v/>
      </c>
    </row>
    <row r="354">
      <c r="A354">
        <f>IF(AND(OR('Compliance Database'!$A354='Data Transfer'!$B$4,'Compliance Database'!$A354='Data Transfer'!$B$5),OR('Data Transfer'!$B$6="",ISNUMBER(SEARCH('Data Transfer'!$B$6,'Compliance Database'!$D354&amp;" "&amp;'Compliance Database'!$K354&amp;" "&amp;'Compliance Database'!$L354&amp;" "&amp;'Compliance Database'!$M354&amp;" "&amp;'Compliance Database'!$N354)))),1,0)</f>
        <v/>
      </c>
      <c r="B354">
        <f>IF($A354=1,SUM($A$2:$A354),"")</f>
        <v/>
      </c>
      <c r="C354">
        <f>IF($A354=1,SUM($A$2:$A354),0)</f>
        <v/>
      </c>
    </row>
    <row r="355">
      <c r="A355">
        <f>IF(AND(OR('Compliance Database'!$A355='Data Transfer'!$B$4,'Compliance Database'!$A355='Data Transfer'!$B$5),OR('Data Transfer'!$B$6="",ISNUMBER(SEARCH('Data Transfer'!$B$6,'Compliance Database'!$D355&amp;" "&amp;'Compliance Database'!$K355&amp;" "&amp;'Compliance Database'!$L355&amp;" "&amp;'Compliance Database'!$M355&amp;" "&amp;'Compliance Database'!$N355)))),1,0)</f>
        <v/>
      </c>
      <c r="B355">
        <f>IF($A355=1,SUM($A$2:$A355),"")</f>
        <v/>
      </c>
      <c r="C355">
        <f>IF($A355=1,SUM($A$2:$A355),0)</f>
        <v/>
      </c>
    </row>
    <row r="356">
      <c r="A356">
        <f>IF(AND(OR('Compliance Database'!$A356='Data Transfer'!$B$4,'Compliance Database'!$A356='Data Transfer'!$B$5),OR('Data Transfer'!$B$6="",ISNUMBER(SEARCH('Data Transfer'!$B$6,'Compliance Database'!$D356&amp;" "&amp;'Compliance Database'!$K356&amp;" "&amp;'Compliance Database'!$L356&amp;" "&amp;'Compliance Database'!$M356&amp;" "&amp;'Compliance Database'!$N356)))),1,0)</f>
        <v/>
      </c>
      <c r="B356">
        <f>IF($A356=1,SUM($A$2:$A356),"")</f>
        <v/>
      </c>
      <c r="C356">
        <f>IF($A356=1,SUM($A$2:$A356),0)</f>
        <v/>
      </c>
    </row>
    <row r="357">
      <c r="A357">
        <f>IF(AND(OR('Compliance Database'!$A357='Data Transfer'!$B$4,'Compliance Database'!$A357='Data Transfer'!$B$5),OR('Data Transfer'!$B$6="",ISNUMBER(SEARCH('Data Transfer'!$B$6,'Compliance Database'!$D357&amp;" "&amp;'Compliance Database'!$K357&amp;" "&amp;'Compliance Database'!$L357&amp;" "&amp;'Compliance Database'!$M357&amp;" "&amp;'Compliance Database'!$N357)))),1,0)</f>
        <v/>
      </c>
      <c r="B357">
        <f>IF($A357=1,SUM($A$2:$A357),"")</f>
        <v/>
      </c>
      <c r="C357">
        <f>IF($A357=1,SUM($A$2:$A357),0)</f>
        <v/>
      </c>
    </row>
    <row r="358">
      <c r="A358">
        <f>IF(AND(OR('Compliance Database'!$A358='Data Transfer'!$B$4,'Compliance Database'!$A358='Data Transfer'!$B$5),OR('Data Transfer'!$B$6="",ISNUMBER(SEARCH('Data Transfer'!$B$6,'Compliance Database'!$D358&amp;" "&amp;'Compliance Database'!$K358&amp;" "&amp;'Compliance Database'!$L358&amp;" "&amp;'Compliance Database'!$M358&amp;" "&amp;'Compliance Database'!$N358)))),1,0)</f>
        <v/>
      </c>
      <c r="B358">
        <f>IF($A358=1,SUM($A$2:$A358),"")</f>
        <v/>
      </c>
      <c r="C358">
        <f>IF($A358=1,SUM($A$2:$A358),0)</f>
        <v/>
      </c>
    </row>
    <row r="359">
      <c r="A359">
        <f>IF(AND(OR('Compliance Database'!$A359='Data Transfer'!$B$4,'Compliance Database'!$A359='Data Transfer'!$B$5),OR('Data Transfer'!$B$6="",ISNUMBER(SEARCH('Data Transfer'!$B$6,'Compliance Database'!$D359&amp;" "&amp;'Compliance Database'!$K359&amp;" "&amp;'Compliance Database'!$L359&amp;" "&amp;'Compliance Database'!$M359&amp;" "&amp;'Compliance Database'!$N359)))),1,0)</f>
        <v/>
      </c>
      <c r="B359">
        <f>IF($A359=1,SUM($A$2:$A359),"")</f>
        <v/>
      </c>
      <c r="C359">
        <f>IF($A359=1,SUM($A$2:$A359),0)</f>
        <v/>
      </c>
    </row>
    <row r="360">
      <c r="A360">
        <f>IF(AND(OR('Compliance Database'!$A360='Data Transfer'!$B$4,'Compliance Database'!$A360='Data Transfer'!$B$5),OR('Data Transfer'!$B$6="",ISNUMBER(SEARCH('Data Transfer'!$B$6,'Compliance Database'!$D360&amp;" "&amp;'Compliance Database'!$K360&amp;" "&amp;'Compliance Database'!$L360&amp;" "&amp;'Compliance Database'!$M360&amp;" "&amp;'Compliance Database'!$N360)))),1,0)</f>
        <v/>
      </c>
      <c r="B360">
        <f>IF($A360=1,SUM($A$2:$A360),"")</f>
        <v/>
      </c>
      <c r="C360">
        <f>IF($A360=1,SUM($A$2:$A360),0)</f>
        <v/>
      </c>
    </row>
    <row r="361">
      <c r="A361">
        <f>IF(AND(OR('Compliance Database'!$A361='Data Transfer'!$B$4,'Compliance Database'!$A361='Data Transfer'!$B$5),OR('Data Transfer'!$B$6="",ISNUMBER(SEARCH('Data Transfer'!$B$6,'Compliance Database'!$D361&amp;" "&amp;'Compliance Database'!$K361&amp;" "&amp;'Compliance Database'!$L361&amp;" "&amp;'Compliance Database'!$M361&amp;" "&amp;'Compliance Database'!$N361)))),1,0)</f>
        <v/>
      </c>
      <c r="B361">
        <f>IF($A361=1,SUM($A$2:$A361),"")</f>
        <v/>
      </c>
      <c r="C361">
        <f>IF($A361=1,SUM($A$2:$A361),0)</f>
        <v/>
      </c>
    </row>
    <row r="362">
      <c r="A362">
        <f>IF(AND(OR('Compliance Database'!$A362='Data Transfer'!$B$4,'Compliance Database'!$A362='Data Transfer'!$B$5),OR('Data Transfer'!$B$6="",ISNUMBER(SEARCH('Data Transfer'!$B$6,'Compliance Database'!$D362&amp;" "&amp;'Compliance Database'!$K362&amp;" "&amp;'Compliance Database'!$L362&amp;" "&amp;'Compliance Database'!$M362&amp;" "&amp;'Compliance Database'!$N362)))),1,0)</f>
        <v/>
      </c>
      <c r="B362">
        <f>IF($A362=1,SUM($A$2:$A362),"")</f>
        <v/>
      </c>
      <c r="C362">
        <f>IF($A362=1,SUM($A$2:$A362),0)</f>
        <v/>
      </c>
    </row>
    <row r="363">
      <c r="A363">
        <f>IF(AND(OR('Compliance Database'!$A363='Data Transfer'!$B$4,'Compliance Database'!$A363='Data Transfer'!$B$5),OR('Data Transfer'!$B$6="",ISNUMBER(SEARCH('Data Transfer'!$B$6,'Compliance Database'!$D363&amp;" "&amp;'Compliance Database'!$K363&amp;" "&amp;'Compliance Database'!$L363&amp;" "&amp;'Compliance Database'!$M363&amp;" "&amp;'Compliance Database'!$N363)))),1,0)</f>
        <v/>
      </c>
      <c r="B363">
        <f>IF($A363=1,SUM($A$2:$A363),"")</f>
        <v/>
      </c>
      <c r="C363">
        <f>IF($A363=1,SUM($A$2:$A363),0)</f>
        <v/>
      </c>
    </row>
    <row r="364">
      <c r="A364">
        <f>IF(AND(OR('Compliance Database'!$A364='Data Transfer'!$B$4,'Compliance Database'!$A364='Data Transfer'!$B$5),OR('Data Transfer'!$B$6="",ISNUMBER(SEARCH('Data Transfer'!$B$6,'Compliance Database'!$D364&amp;" "&amp;'Compliance Database'!$K364&amp;" "&amp;'Compliance Database'!$L364&amp;" "&amp;'Compliance Database'!$M364&amp;" "&amp;'Compliance Database'!$N364)))),1,0)</f>
        <v/>
      </c>
      <c r="B364">
        <f>IF($A364=1,SUM($A$2:$A364),"")</f>
        <v/>
      </c>
      <c r="C364">
        <f>IF($A364=1,SUM($A$2:$A364),0)</f>
        <v/>
      </c>
    </row>
    <row r="365">
      <c r="A365">
        <f>IF(AND(OR('Compliance Database'!$A365='Data Transfer'!$B$4,'Compliance Database'!$A365='Data Transfer'!$B$5),OR('Data Transfer'!$B$6="",ISNUMBER(SEARCH('Data Transfer'!$B$6,'Compliance Database'!$D365&amp;" "&amp;'Compliance Database'!$K365&amp;" "&amp;'Compliance Database'!$L365&amp;" "&amp;'Compliance Database'!$M365&amp;" "&amp;'Compliance Database'!$N365)))),1,0)</f>
        <v/>
      </c>
      <c r="B365">
        <f>IF($A365=1,SUM($A$2:$A365),"")</f>
        <v/>
      </c>
      <c r="C365">
        <f>IF($A365=1,SUM($A$2:$A365),0)</f>
        <v/>
      </c>
    </row>
    <row r="366">
      <c r="A366">
        <f>IF(AND(OR('Compliance Database'!$A366='Data Transfer'!$B$4,'Compliance Database'!$A366='Data Transfer'!$B$5),OR('Data Transfer'!$B$6="",ISNUMBER(SEARCH('Data Transfer'!$B$6,'Compliance Database'!$D366&amp;" "&amp;'Compliance Database'!$K366&amp;" "&amp;'Compliance Database'!$L366&amp;" "&amp;'Compliance Database'!$M366&amp;" "&amp;'Compliance Database'!$N366)))),1,0)</f>
        <v/>
      </c>
      <c r="B366">
        <f>IF($A366=1,SUM($A$2:$A366),"")</f>
        <v/>
      </c>
      <c r="C366">
        <f>IF($A366=1,SUM($A$2:$A366),0)</f>
        <v/>
      </c>
    </row>
    <row r="367">
      <c r="A367">
        <f>IF(AND(OR('Compliance Database'!$A367='Data Transfer'!$B$4,'Compliance Database'!$A367='Data Transfer'!$B$5),OR('Data Transfer'!$B$6="",ISNUMBER(SEARCH('Data Transfer'!$B$6,'Compliance Database'!$D367&amp;" "&amp;'Compliance Database'!$K367&amp;" "&amp;'Compliance Database'!$L367&amp;" "&amp;'Compliance Database'!$M367&amp;" "&amp;'Compliance Database'!$N367)))),1,0)</f>
        <v/>
      </c>
      <c r="B367">
        <f>IF($A367=1,SUM($A$2:$A367),"")</f>
        <v/>
      </c>
      <c r="C367">
        <f>IF($A367=1,SUM($A$2:$A367),0)</f>
        <v/>
      </c>
    </row>
    <row r="368">
      <c r="A368">
        <f>IF(AND(OR('Compliance Database'!$A368='Data Transfer'!$B$4,'Compliance Database'!$A368='Data Transfer'!$B$5),OR('Data Transfer'!$B$6="",ISNUMBER(SEARCH('Data Transfer'!$B$6,'Compliance Database'!$D368&amp;" "&amp;'Compliance Database'!$K368&amp;" "&amp;'Compliance Database'!$L368&amp;" "&amp;'Compliance Database'!$M368&amp;" "&amp;'Compliance Database'!$N368)))),1,0)</f>
        <v/>
      </c>
      <c r="B368">
        <f>IF($A368=1,SUM($A$2:$A368),"")</f>
        <v/>
      </c>
      <c r="C368">
        <f>IF($A368=1,SUM($A$2:$A368),0)</f>
        <v/>
      </c>
    </row>
    <row r="369">
      <c r="A369">
        <f>IF(AND(OR('Compliance Database'!$A369='Data Transfer'!$B$4,'Compliance Database'!$A369='Data Transfer'!$B$5),OR('Data Transfer'!$B$6="",ISNUMBER(SEARCH('Data Transfer'!$B$6,'Compliance Database'!$D369&amp;" "&amp;'Compliance Database'!$K369&amp;" "&amp;'Compliance Database'!$L369&amp;" "&amp;'Compliance Database'!$M369&amp;" "&amp;'Compliance Database'!$N369)))),1,0)</f>
        <v/>
      </c>
      <c r="B369">
        <f>IF($A369=1,SUM($A$2:$A369),"")</f>
        <v/>
      </c>
      <c r="C369">
        <f>IF($A369=1,SUM($A$2:$A369),0)</f>
        <v/>
      </c>
    </row>
    <row r="370">
      <c r="A370">
        <f>IF(AND(OR('Compliance Database'!$A370='Data Transfer'!$B$4,'Compliance Database'!$A370='Data Transfer'!$B$5),OR('Data Transfer'!$B$6="",ISNUMBER(SEARCH('Data Transfer'!$B$6,'Compliance Database'!$D370&amp;" "&amp;'Compliance Database'!$K370&amp;" "&amp;'Compliance Database'!$L370&amp;" "&amp;'Compliance Database'!$M370&amp;" "&amp;'Compliance Database'!$N370)))),1,0)</f>
        <v/>
      </c>
      <c r="B370">
        <f>IF($A370=1,SUM($A$2:$A370),"")</f>
        <v/>
      </c>
      <c r="C370">
        <f>IF($A370=1,SUM($A$2:$A370),0)</f>
        <v/>
      </c>
    </row>
    <row r="371">
      <c r="A371">
        <f>IF(AND(OR('Compliance Database'!$A371='Data Transfer'!$B$4,'Compliance Database'!$A371='Data Transfer'!$B$5),OR('Data Transfer'!$B$6="",ISNUMBER(SEARCH('Data Transfer'!$B$6,'Compliance Database'!$D371&amp;" "&amp;'Compliance Database'!$K371&amp;" "&amp;'Compliance Database'!$L371&amp;" "&amp;'Compliance Database'!$M371&amp;" "&amp;'Compliance Database'!$N371)))),1,0)</f>
        <v/>
      </c>
      <c r="B371">
        <f>IF($A371=1,SUM($A$2:$A371),"")</f>
        <v/>
      </c>
      <c r="C371">
        <f>IF($A371=1,SUM($A$2:$A371),0)</f>
        <v/>
      </c>
    </row>
    <row r="372">
      <c r="A372">
        <f>IF(AND(OR('Compliance Database'!$A372='Data Transfer'!$B$4,'Compliance Database'!$A372='Data Transfer'!$B$5),OR('Data Transfer'!$B$6="",ISNUMBER(SEARCH('Data Transfer'!$B$6,'Compliance Database'!$D372&amp;" "&amp;'Compliance Database'!$K372&amp;" "&amp;'Compliance Database'!$L372&amp;" "&amp;'Compliance Database'!$M372&amp;" "&amp;'Compliance Database'!$N372)))),1,0)</f>
        <v/>
      </c>
      <c r="B372">
        <f>IF($A372=1,SUM($A$2:$A372),"")</f>
        <v/>
      </c>
      <c r="C372">
        <f>IF($A372=1,SUM($A$2:$A372),0)</f>
        <v/>
      </c>
    </row>
    <row r="373">
      <c r="A373">
        <f>IF(AND(OR('Compliance Database'!$A373='Data Transfer'!$B$4,'Compliance Database'!$A373='Data Transfer'!$B$5),OR('Data Transfer'!$B$6="",ISNUMBER(SEARCH('Data Transfer'!$B$6,'Compliance Database'!$D373&amp;" "&amp;'Compliance Database'!$K373&amp;" "&amp;'Compliance Database'!$L373&amp;" "&amp;'Compliance Database'!$M373&amp;" "&amp;'Compliance Database'!$N373)))),1,0)</f>
        <v/>
      </c>
      <c r="B373">
        <f>IF($A373=1,SUM($A$2:$A373),"")</f>
        <v/>
      </c>
      <c r="C373">
        <f>IF($A373=1,SUM($A$2:$A373),0)</f>
        <v/>
      </c>
    </row>
    <row r="374">
      <c r="A374">
        <f>IF(AND(OR('Compliance Database'!$A374='Data Transfer'!$B$4,'Compliance Database'!$A374='Data Transfer'!$B$5),OR('Data Transfer'!$B$6="",ISNUMBER(SEARCH('Data Transfer'!$B$6,'Compliance Database'!$D374&amp;" "&amp;'Compliance Database'!$K374&amp;" "&amp;'Compliance Database'!$L374&amp;" "&amp;'Compliance Database'!$M374&amp;" "&amp;'Compliance Database'!$N374)))),1,0)</f>
        <v/>
      </c>
      <c r="B374">
        <f>IF($A374=1,SUM($A$2:$A374),"")</f>
        <v/>
      </c>
      <c r="C374">
        <f>IF($A374=1,SUM($A$2:$A374),0)</f>
        <v/>
      </c>
    </row>
    <row r="375">
      <c r="A375">
        <f>IF(AND(OR('Compliance Database'!$A375='Data Transfer'!$B$4,'Compliance Database'!$A375='Data Transfer'!$B$5),OR('Data Transfer'!$B$6="",ISNUMBER(SEARCH('Data Transfer'!$B$6,'Compliance Database'!$D375&amp;" "&amp;'Compliance Database'!$K375&amp;" "&amp;'Compliance Database'!$L375&amp;" "&amp;'Compliance Database'!$M375&amp;" "&amp;'Compliance Database'!$N375)))),1,0)</f>
        <v/>
      </c>
      <c r="B375">
        <f>IF($A375=1,SUM($A$2:$A375),"")</f>
        <v/>
      </c>
      <c r="C375">
        <f>IF($A375=1,SUM($A$2:$A375),0)</f>
        <v/>
      </c>
    </row>
    <row r="376">
      <c r="A376">
        <f>IF(AND(OR('Compliance Database'!$A376='Data Transfer'!$B$4,'Compliance Database'!$A376='Data Transfer'!$B$5),OR('Data Transfer'!$B$6="",ISNUMBER(SEARCH('Data Transfer'!$B$6,'Compliance Database'!$D376&amp;" "&amp;'Compliance Database'!$K376&amp;" "&amp;'Compliance Database'!$L376&amp;" "&amp;'Compliance Database'!$M376&amp;" "&amp;'Compliance Database'!$N376)))),1,0)</f>
        <v/>
      </c>
      <c r="B376">
        <f>IF($A376=1,SUM($A$2:$A376),"")</f>
        <v/>
      </c>
      <c r="C376">
        <f>IF($A376=1,SUM($A$2:$A376),0)</f>
        <v/>
      </c>
    </row>
    <row r="377">
      <c r="A377">
        <f>IF(AND(OR('Compliance Database'!$A377='Data Transfer'!$B$4,'Compliance Database'!$A377='Data Transfer'!$B$5),OR('Data Transfer'!$B$6="",ISNUMBER(SEARCH('Data Transfer'!$B$6,'Compliance Database'!$D377&amp;" "&amp;'Compliance Database'!$K377&amp;" "&amp;'Compliance Database'!$L377&amp;" "&amp;'Compliance Database'!$M377&amp;" "&amp;'Compliance Database'!$N377)))),1,0)</f>
        <v/>
      </c>
      <c r="B377">
        <f>IF($A377=1,SUM($A$2:$A377),"")</f>
        <v/>
      </c>
      <c r="C377">
        <f>IF($A377=1,SUM($A$2:$A377),0)</f>
        <v/>
      </c>
    </row>
    <row r="378">
      <c r="A378">
        <f>IF(AND(OR('Compliance Database'!$A378='Data Transfer'!$B$4,'Compliance Database'!$A378='Data Transfer'!$B$5),OR('Data Transfer'!$B$6="",ISNUMBER(SEARCH('Data Transfer'!$B$6,'Compliance Database'!$D378&amp;" "&amp;'Compliance Database'!$K378&amp;" "&amp;'Compliance Database'!$L378&amp;" "&amp;'Compliance Database'!$M378&amp;" "&amp;'Compliance Database'!$N378)))),1,0)</f>
        <v/>
      </c>
      <c r="B378">
        <f>IF($A378=1,SUM($A$2:$A378),"")</f>
        <v/>
      </c>
      <c r="C378">
        <f>IF($A378=1,SUM($A$2:$A378),0)</f>
        <v/>
      </c>
    </row>
    <row r="379">
      <c r="A379">
        <f>IF(AND(OR('Compliance Database'!$A379='Data Transfer'!$B$4,'Compliance Database'!$A379='Data Transfer'!$B$5),OR('Data Transfer'!$B$6="",ISNUMBER(SEARCH('Data Transfer'!$B$6,'Compliance Database'!$D379&amp;" "&amp;'Compliance Database'!$K379&amp;" "&amp;'Compliance Database'!$L379&amp;" "&amp;'Compliance Database'!$M379&amp;" "&amp;'Compliance Database'!$N379)))),1,0)</f>
        <v/>
      </c>
      <c r="B379">
        <f>IF($A379=1,SUM($A$2:$A379),"")</f>
        <v/>
      </c>
      <c r="C379">
        <f>IF($A379=1,SUM($A$2:$A379),0)</f>
        <v/>
      </c>
    </row>
    <row r="380">
      <c r="A380">
        <f>IF(AND(OR('Compliance Database'!$A380='Data Transfer'!$B$4,'Compliance Database'!$A380='Data Transfer'!$B$5),OR('Data Transfer'!$B$6="",ISNUMBER(SEARCH('Data Transfer'!$B$6,'Compliance Database'!$D380&amp;" "&amp;'Compliance Database'!$K380&amp;" "&amp;'Compliance Database'!$L380&amp;" "&amp;'Compliance Database'!$M380&amp;" "&amp;'Compliance Database'!$N380)))),1,0)</f>
        <v/>
      </c>
      <c r="B380">
        <f>IF($A380=1,SUM($A$2:$A380),"")</f>
        <v/>
      </c>
      <c r="C380">
        <f>IF($A380=1,SUM($A$2:$A380),0)</f>
        <v/>
      </c>
    </row>
    <row r="381">
      <c r="A381">
        <f>IF(AND(OR('Compliance Database'!$A381='Data Transfer'!$B$4,'Compliance Database'!$A381='Data Transfer'!$B$5),OR('Data Transfer'!$B$6="",ISNUMBER(SEARCH('Data Transfer'!$B$6,'Compliance Database'!$D381&amp;" "&amp;'Compliance Database'!$K381&amp;" "&amp;'Compliance Database'!$L381&amp;" "&amp;'Compliance Database'!$M381&amp;" "&amp;'Compliance Database'!$N381)))),1,0)</f>
        <v/>
      </c>
      <c r="B381">
        <f>IF($A381=1,SUM($A$2:$A381),"")</f>
        <v/>
      </c>
      <c r="C381">
        <f>IF($A381=1,SUM($A$2:$A381),0)</f>
        <v/>
      </c>
    </row>
    <row r="382">
      <c r="A382">
        <f>IF(AND(OR('Compliance Database'!$A382='Data Transfer'!$B$4,'Compliance Database'!$A382='Data Transfer'!$B$5),OR('Data Transfer'!$B$6="",ISNUMBER(SEARCH('Data Transfer'!$B$6,'Compliance Database'!$D382&amp;" "&amp;'Compliance Database'!$K382&amp;" "&amp;'Compliance Database'!$L382&amp;" "&amp;'Compliance Database'!$M382&amp;" "&amp;'Compliance Database'!$N382)))),1,0)</f>
        <v/>
      </c>
      <c r="B382">
        <f>IF($A382=1,SUM($A$2:$A382),"")</f>
        <v/>
      </c>
      <c r="C382">
        <f>IF($A382=1,SUM($A$2:$A382),0)</f>
        <v/>
      </c>
    </row>
    <row r="383">
      <c r="A383">
        <f>IF(AND(OR('Compliance Database'!$A383='Data Transfer'!$B$4,'Compliance Database'!$A383='Data Transfer'!$B$5),OR('Data Transfer'!$B$6="",ISNUMBER(SEARCH('Data Transfer'!$B$6,'Compliance Database'!$D383&amp;" "&amp;'Compliance Database'!$K383&amp;" "&amp;'Compliance Database'!$L383&amp;" "&amp;'Compliance Database'!$M383&amp;" "&amp;'Compliance Database'!$N383)))),1,0)</f>
        <v/>
      </c>
      <c r="B383">
        <f>IF($A383=1,SUM($A$2:$A383),"")</f>
        <v/>
      </c>
      <c r="C383">
        <f>IF($A383=1,SUM($A$2:$A383),0)</f>
        <v/>
      </c>
    </row>
    <row r="384">
      <c r="A384">
        <f>IF(AND(OR('Compliance Database'!$A384='Data Transfer'!$B$4,'Compliance Database'!$A384='Data Transfer'!$B$5),OR('Data Transfer'!$B$6="",ISNUMBER(SEARCH('Data Transfer'!$B$6,'Compliance Database'!$D384&amp;" "&amp;'Compliance Database'!$K384&amp;" "&amp;'Compliance Database'!$L384&amp;" "&amp;'Compliance Database'!$M384&amp;" "&amp;'Compliance Database'!$N384)))),1,0)</f>
        <v/>
      </c>
      <c r="B384">
        <f>IF($A384=1,SUM($A$2:$A384),"")</f>
        <v/>
      </c>
      <c r="C384">
        <f>IF($A384=1,SUM($A$2:$A384),0)</f>
        <v/>
      </c>
    </row>
    <row r="385">
      <c r="A385">
        <f>IF(AND(OR('Compliance Database'!$A385='Data Transfer'!$B$4,'Compliance Database'!$A385='Data Transfer'!$B$5),OR('Data Transfer'!$B$6="",ISNUMBER(SEARCH('Data Transfer'!$B$6,'Compliance Database'!$D385&amp;" "&amp;'Compliance Database'!$K385&amp;" "&amp;'Compliance Database'!$L385&amp;" "&amp;'Compliance Database'!$M385&amp;" "&amp;'Compliance Database'!$N385)))),1,0)</f>
        <v/>
      </c>
      <c r="B385">
        <f>IF($A385=1,SUM($A$2:$A385),"")</f>
        <v/>
      </c>
      <c r="C385">
        <f>IF($A385=1,SUM($A$2:$A385),0)</f>
        <v/>
      </c>
    </row>
    <row r="386">
      <c r="A386">
        <f>IF(AND(OR('Compliance Database'!$A386='Data Transfer'!$B$4,'Compliance Database'!$A386='Data Transfer'!$B$5),OR('Data Transfer'!$B$6="",ISNUMBER(SEARCH('Data Transfer'!$B$6,'Compliance Database'!$D386&amp;" "&amp;'Compliance Database'!$K386&amp;" "&amp;'Compliance Database'!$L386&amp;" "&amp;'Compliance Database'!$M386&amp;" "&amp;'Compliance Database'!$N386)))),1,0)</f>
        <v/>
      </c>
      <c r="B386">
        <f>IF($A386=1,SUM($A$2:$A386),"")</f>
        <v/>
      </c>
      <c r="C386">
        <f>IF($A386=1,SUM($A$2:$A386),0)</f>
        <v/>
      </c>
    </row>
    <row r="387">
      <c r="A387">
        <f>IF(AND(OR('Compliance Database'!$A387='Data Transfer'!$B$4,'Compliance Database'!$A387='Data Transfer'!$B$5),OR('Data Transfer'!$B$6="",ISNUMBER(SEARCH('Data Transfer'!$B$6,'Compliance Database'!$D387&amp;" "&amp;'Compliance Database'!$K387&amp;" "&amp;'Compliance Database'!$L387&amp;" "&amp;'Compliance Database'!$M387&amp;" "&amp;'Compliance Database'!$N387)))),1,0)</f>
        <v/>
      </c>
      <c r="B387">
        <f>IF($A387=1,SUM($A$2:$A387),"")</f>
        <v/>
      </c>
      <c r="C387">
        <f>IF($A387=1,SUM($A$2:$A387),0)</f>
        <v/>
      </c>
    </row>
    <row r="388">
      <c r="A388">
        <f>IF(AND(OR('Compliance Database'!$A388='Data Transfer'!$B$4,'Compliance Database'!$A388='Data Transfer'!$B$5),OR('Data Transfer'!$B$6="",ISNUMBER(SEARCH('Data Transfer'!$B$6,'Compliance Database'!$D388&amp;" "&amp;'Compliance Database'!$K388&amp;" "&amp;'Compliance Database'!$L388&amp;" "&amp;'Compliance Database'!$M388&amp;" "&amp;'Compliance Database'!$N388)))),1,0)</f>
        <v/>
      </c>
      <c r="B388">
        <f>IF($A388=1,SUM($A$2:$A388),"")</f>
        <v/>
      </c>
      <c r="C388">
        <f>IF($A388=1,SUM($A$2:$A388),0)</f>
        <v/>
      </c>
    </row>
    <row r="389">
      <c r="A389">
        <f>IF(AND(OR('Compliance Database'!$A389='Data Transfer'!$B$4,'Compliance Database'!$A389='Data Transfer'!$B$5),OR('Data Transfer'!$B$6="",ISNUMBER(SEARCH('Data Transfer'!$B$6,'Compliance Database'!$D389&amp;" "&amp;'Compliance Database'!$K389&amp;" "&amp;'Compliance Database'!$L389&amp;" "&amp;'Compliance Database'!$M389&amp;" "&amp;'Compliance Database'!$N389)))),1,0)</f>
        <v/>
      </c>
      <c r="B389">
        <f>IF($A389=1,SUM($A$2:$A389),"")</f>
        <v/>
      </c>
      <c r="C389">
        <f>IF($A389=1,SUM($A$2:$A389),0)</f>
        <v/>
      </c>
    </row>
    <row r="390">
      <c r="A390">
        <f>IF(AND(OR('Compliance Database'!$A390='Data Transfer'!$B$4,'Compliance Database'!$A390='Data Transfer'!$B$5),OR('Data Transfer'!$B$6="",ISNUMBER(SEARCH('Data Transfer'!$B$6,'Compliance Database'!$D390&amp;" "&amp;'Compliance Database'!$K390&amp;" "&amp;'Compliance Database'!$L390&amp;" "&amp;'Compliance Database'!$M390&amp;" "&amp;'Compliance Database'!$N390)))),1,0)</f>
        <v/>
      </c>
      <c r="B390">
        <f>IF($A390=1,SUM($A$2:$A390),"")</f>
        <v/>
      </c>
      <c r="C390">
        <f>IF($A390=1,SUM($A$2:$A390),0)</f>
        <v/>
      </c>
    </row>
    <row r="391">
      <c r="A391">
        <f>IF(AND(OR('Compliance Database'!$A391='Data Transfer'!$B$4,'Compliance Database'!$A391='Data Transfer'!$B$5),OR('Data Transfer'!$B$6="",ISNUMBER(SEARCH('Data Transfer'!$B$6,'Compliance Database'!$D391&amp;" "&amp;'Compliance Database'!$K391&amp;" "&amp;'Compliance Database'!$L391&amp;" "&amp;'Compliance Database'!$M391&amp;" "&amp;'Compliance Database'!$N391)))),1,0)</f>
        <v/>
      </c>
      <c r="B391">
        <f>IF($A391=1,SUM($A$2:$A391),"")</f>
        <v/>
      </c>
      <c r="C391">
        <f>IF($A391=1,SUM($A$2:$A391),0)</f>
        <v/>
      </c>
    </row>
    <row r="392">
      <c r="A392">
        <f>IF(AND(OR('Compliance Database'!$A392='Data Transfer'!$B$4,'Compliance Database'!$A392='Data Transfer'!$B$5),OR('Data Transfer'!$B$6="",ISNUMBER(SEARCH('Data Transfer'!$B$6,'Compliance Database'!$D392&amp;" "&amp;'Compliance Database'!$K392&amp;" "&amp;'Compliance Database'!$L392&amp;" "&amp;'Compliance Database'!$M392&amp;" "&amp;'Compliance Database'!$N392)))),1,0)</f>
        <v/>
      </c>
      <c r="B392">
        <f>IF($A392=1,SUM($A$2:$A392),"")</f>
        <v/>
      </c>
      <c r="C392">
        <f>IF($A392=1,SUM($A$2:$A392),0)</f>
        <v/>
      </c>
    </row>
    <row r="393">
      <c r="A393">
        <f>IF(AND(OR('Compliance Database'!$A393='Data Transfer'!$B$4,'Compliance Database'!$A393='Data Transfer'!$B$5),OR('Data Transfer'!$B$6="",ISNUMBER(SEARCH('Data Transfer'!$B$6,'Compliance Database'!$D393&amp;" "&amp;'Compliance Database'!$K393&amp;" "&amp;'Compliance Database'!$L393&amp;" "&amp;'Compliance Database'!$M393&amp;" "&amp;'Compliance Database'!$N393)))),1,0)</f>
        <v/>
      </c>
      <c r="B393">
        <f>IF($A393=1,SUM($A$2:$A393),"")</f>
        <v/>
      </c>
      <c r="C393">
        <f>IF($A393=1,SUM($A$2:$A393),0)</f>
        <v/>
      </c>
    </row>
    <row r="394">
      <c r="A394">
        <f>IF(AND(OR('Compliance Database'!$A394='Data Transfer'!$B$4,'Compliance Database'!$A394='Data Transfer'!$B$5),OR('Data Transfer'!$B$6="",ISNUMBER(SEARCH('Data Transfer'!$B$6,'Compliance Database'!$D394&amp;" "&amp;'Compliance Database'!$K394&amp;" "&amp;'Compliance Database'!$L394&amp;" "&amp;'Compliance Database'!$M394&amp;" "&amp;'Compliance Database'!$N394)))),1,0)</f>
        <v/>
      </c>
      <c r="B394">
        <f>IF($A394=1,SUM($A$2:$A394),"")</f>
        <v/>
      </c>
      <c r="C394">
        <f>IF($A394=1,SUM($A$2:$A394),0)</f>
        <v/>
      </c>
    </row>
    <row r="395">
      <c r="A395">
        <f>IF(AND(OR('Compliance Database'!$A395='Data Transfer'!$B$4,'Compliance Database'!$A395='Data Transfer'!$B$5),OR('Data Transfer'!$B$6="",ISNUMBER(SEARCH('Data Transfer'!$B$6,'Compliance Database'!$D395&amp;" "&amp;'Compliance Database'!$K395&amp;" "&amp;'Compliance Database'!$L395&amp;" "&amp;'Compliance Database'!$M395&amp;" "&amp;'Compliance Database'!$N395)))),1,0)</f>
        <v/>
      </c>
      <c r="B395">
        <f>IF($A395=1,SUM($A$2:$A395),"")</f>
        <v/>
      </c>
      <c r="C395">
        <f>IF($A395=1,SUM($A$2:$A395),0)</f>
        <v/>
      </c>
    </row>
    <row r="396">
      <c r="A396">
        <f>IF(AND(OR('Compliance Database'!$A396='Data Transfer'!$B$4,'Compliance Database'!$A396='Data Transfer'!$B$5),OR('Data Transfer'!$B$6="",ISNUMBER(SEARCH('Data Transfer'!$B$6,'Compliance Database'!$D396&amp;" "&amp;'Compliance Database'!$K396&amp;" "&amp;'Compliance Database'!$L396&amp;" "&amp;'Compliance Database'!$M396&amp;" "&amp;'Compliance Database'!$N396)))),1,0)</f>
        <v/>
      </c>
      <c r="B396">
        <f>IF($A396=1,SUM($A$2:$A396),"")</f>
        <v/>
      </c>
      <c r="C396">
        <f>IF($A396=1,SUM($A$2:$A396),0)</f>
        <v/>
      </c>
    </row>
    <row r="397">
      <c r="A397">
        <f>IF(AND(OR('Compliance Database'!$A397='Data Transfer'!$B$4,'Compliance Database'!$A397='Data Transfer'!$B$5),OR('Data Transfer'!$B$6="",ISNUMBER(SEARCH('Data Transfer'!$B$6,'Compliance Database'!$D397&amp;" "&amp;'Compliance Database'!$K397&amp;" "&amp;'Compliance Database'!$L397&amp;" "&amp;'Compliance Database'!$M397&amp;" "&amp;'Compliance Database'!$N397)))),1,0)</f>
        <v/>
      </c>
      <c r="B397">
        <f>IF($A397=1,SUM($A$2:$A397),"")</f>
        <v/>
      </c>
      <c r="C397">
        <f>IF($A397=1,SUM($A$2:$A397),0)</f>
        <v/>
      </c>
    </row>
    <row r="398">
      <c r="A398">
        <f>IF(AND(OR('Compliance Database'!$A398='Data Transfer'!$B$4,'Compliance Database'!$A398='Data Transfer'!$B$5),OR('Data Transfer'!$B$6="",ISNUMBER(SEARCH('Data Transfer'!$B$6,'Compliance Database'!$D398&amp;" "&amp;'Compliance Database'!$K398&amp;" "&amp;'Compliance Database'!$L398&amp;" "&amp;'Compliance Database'!$M398&amp;" "&amp;'Compliance Database'!$N398)))),1,0)</f>
        <v/>
      </c>
      <c r="B398">
        <f>IF($A398=1,SUM($A$2:$A398),"")</f>
        <v/>
      </c>
      <c r="C398">
        <f>IF($A398=1,SUM($A$2:$A398),0)</f>
        <v/>
      </c>
    </row>
    <row r="399">
      <c r="A399">
        <f>IF(AND(OR('Compliance Database'!$A399='Data Transfer'!$B$4,'Compliance Database'!$A399='Data Transfer'!$B$5),OR('Data Transfer'!$B$6="",ISNUMBER(SEARCH('Data Transfer'!$B$6,'Compliance Database'!$D399&amp;" "&amp;'Compliance Database'!$K399&amp;" "&amp;'Compliance Database'!$L399&amp;" "&amp;'Compliance Database'!$M399&amp;" "&amp;'Compliance Database'!$N399)))),1,0)</f>
        <v/>
      </c>
      <c r="B399">
        <f>IF($A399=1,SUM($A$2:$A399),"")</f>
        <v/>
      </c>
      <c r="C399">
        <f>IF($A399=1,SUM($A$2:$A399),0)</f>
        <v/>
      </c>
    </row>
    <row r="400">
      <c r="A400">
        <f>IF(AND(OR('Compliance Database'!$A400='Data Transfer'!$B$4,'Compliance Database'!$A400='Data Transfer'!$B$5),OR('Data Transfer'!$B$6="",ISNUMBER(SEARCH('Data Transfer'!$B$6,'Compliance Database'!$D400&amp;" "&amp;'Compliance Database'!$K400&amp;" "&amp;'Compliance Database'!$L400&amp;" "&amp;'Compliance Database'!$M400&amp;" "&amp;'Compliance Database'!$N400)))),1,0)</f>
        <v/>
      </c>
      <c r="B400">
        <f>IF($A400=1,SUM($A$2:$A400),"")</f>
        <v/>
      </c>
      <c r="C400">
        <f>IF($A400=1,SUM($A$2:$A400),0)</f>
        <v/>
      </c>
    </row>
    <row r="401">
      <c r="A401">
        <f>IF(AND(OR('Compliance Database'!$A401='Data Transfer'!$B$4,'Compliance Database'!$A401='Data Transfer'!$B$5),OR('Data Transfer'!$B$6="",ISNUMBER(SEARCH('Data Transfer'!$B$6,'Compliance Database'!$D401&amp;" "&amp;'Compliance Database'!$K401&amp;" "&amp;'Compliance Database'!$L401&amp;" "&amp;'Compliance Database'!$M401&amp;" "&amp;'Compliance Database'!$N401)))),1,0)</f>
        <v/>
      </c>
      <c r="B401">
        <f>IF($A401=1,SUM($A$2:$A401),"")</f>
        <v/>
      </c>
      <c r="C401">
        <f>IF($A401=1,SUM($A$2:$A401),0)</f>
        <v/>
      </c>
    </row>
    <row r="402">
      <c r="A402">
        <f>IF(AND(OR('Compliance Database'!$A402='Data Transfer'!$B$4,'Compliance Database'!$A402='Data Transfer'!$B$5),OR('Data Transfer'!$B$6="",ISNUMBER(SEARCH('Data Transfer'!$B$6,'Compliance Database'!$D402&amp;" "&amp;'Compliance Database'!$K402&amp;" "&amp;'Compliance Database'!$L402&amp;" "&amp;'Compliance Database'!$M402&amp;" "&amp;'Compliance Database'!$N402)))),1,0)</f>
        <v/>
      </c>
      <c r="B402">
        <f>IF($A402=1,SUM($A$2:$A402),"")</f>
        <v/>
      </c>
      <c r="C402">
        <f>IF($A402=1,SUM($A$2:$A402),0)</f>
        <v/>
      </c>
    </row>
    <row r="403">
      <c r="A403">
        <f>IF(AND(OR('Compliance Database'!$A403='Data Transfer'!$B$4,'Compliance Database'!$A403='Data Transfer'!$B$5),OR('Data Transfer'!$B$6="",ISNUMBER(SEARCH('Data Transfer'!$B$6,'Compliance Database'!$D403&amp;" "&amp;'Compliance Database'!$K403&amp;" "&amp;'Compliance Database'!$L403&amp;" "&amp;'Compliance Database'!$M403&amp;" "&amp;'Compliance Database'!$N403)))),1,0)</f>
        <v/>
      </c>
      <c r="B403">
        <f>IF($A403=1,SUM($A$2:$A403),"")</f>
        <v/>
      </c>
      <c r="C403">
        <f>IF($A403=1,SUM($A$2:$A403),0)</f>
        <v/>
      </c>
    </row>
    <row r="404">
      <c r="A404">
        <f>IF(AND(OR('Compliance Database'!$A404='Data Transfer'!$B$4,'Compliance Database'!$A404='Data Transfer'!$B$5),OR('Data Transfer'!$B$6="",ISNUMBER(SEARCH('Data Transfer'!$B$6,'Compliance Database'!$D404&amp;" "&amp;'Compliance Database'!$K404&amp;" "&amp;'Compliance Database'!$L404&amp;" "&amp;'Compliance Database'!$M404&amp;" "&amp;'Compliance Database'!$N404)))),1,0)</f>
        <v/>
      </c>
      <c r="B404">
        <f>IF($A404=1,SUM($A$2:$A404),"")</f>
        <v/>
      </c>
      <c r="C404">
        <f>IF($A404=1,SUM($A$2:$A404),0)</f>
        <v/>
      </c>
    </row>
    <row r="405">
      <c r="A405">
        <f>IF(AND(OR('Compliance Database'!$A405='Data Transfer'!$B$4,'Compliance Database'!$A405='Data Transfer'!$B$5),OR('Data Transfer'!$B$6="",ISNUMBER(SEARCH('Data Transfer'!$B$6,'Compliance Database'!$D405&amp;" "&amp;'Compliance Database'!$K405&amp;" "&amp;'Compliance Database'!$L405&amp;" "&amp;'Compliance Database'!$M405&amp;" "&amp;'Compliance Database'!$N405)))),1,0)</f>
        <v/>
      </c>
      <c r="B405">
        <f>IF($A405=1,SUM($A$2:$A405),"")</f>
        <v/>
      </c>
      <c r="C405">
        <f>IF($A405=1,SUM($A$2:$A405),0)</f>
        <v/>
      </c>
    </row>
    <row r="406">
      <c r="A406">
        <f>IF(AND(OR('Compliance Database'!$A406='Data Transfer'!$B$4,'Compliance Database'!$A406='Data Transfer'!$B$5),OR('Data Transfer'!$B$6="",ISNUMBER(SEARCH('Data Transfer'!$B$6,'Compliance Database'!$D406&amp;" "&amp;'Compliance Database'!$K406&amp;" "&amp;'Compliance Database'!$L406&amp;" "&amp;'Compliance Database'!$M406&amp;" "&amp;'Compliance Database'!$N406)))),1,0)</f>
        <v/>
      </c>
      <c r="B406">
        <f>IF($A406=1,SUM($A$2:$A406),"")</f>
        <v/>
      </c>
      <c r="C406">
        <f>IF($A406=1,SUM($A$2:$A406),0)</f>
        <v/>
      </c>
    </row>
    <row r="407">
      <c r="A407">
        <f>IF(AND(OR('Compliance Database'!$A407='Data Transfer'!$B$4,'Compliance Database'!$A407='Data Transfer'!$B$5),OR('Data Transfer'!$B$6="",ISNUMBER(SEARCH('Data Transfer'!$B$6,'Compliance Database'!$D407&amp;" "&amp;'Compliance Database'!$K407&amp;" "&amp;'Compliance Database'!$L407&amp;" "&amp;'Compliance Database'!$M407&amp;" "&amp;'Compliance Database'!$N407)))),1,0)</f>
        <v/>
      </c>
      <c r="B407">
        <f>IF($A407=1,SUM($A$2:$A407),"")</f>
        <v/>
      </c>
      <c r="C407">
        <f>IF($A407=1,SUM($A$2:$A407),0)</f>
        <v/>
      </c>
    </row>
    <row r="408">
      <c r="A408">
        <f>IF(AND(OR('Compliance Database'!$A408='Data Transfer'!$B$4,'Compliance Database'!$A408='Data Transfer'!$B$5),OR('Data Transfer'!$B$6="",ISNUMBER(SEARCH('Data Transfer'!$B$6,'Compliance Database'!$D408&amp;" "&amp;'Compliance Database'!$K408&amp;" "&amp;'Compliance Database'!$L408&amp;" "&amp;'Compliance Database'!$M408&amp;" "&amp;'Compliance Database'!$N408)))),1,0)</f>
        <v/>
      </c>
      <c r="B408">
        <f>IF($A408=1,SUM($A$2:$A408),"")</f>
        <v/>
      </c>
      <c r="C408">
        <f>IF($A408=1,SUM($A$2:$A408),0)</f>
        <v/>
      </c>
    </row>
    <row r="409">
      <c r="A409">
        <f>IF(AND(OR('Compliance Database'!$A409='Data Transfer'!$B$4,'Compliance Database'!$A409='Data Transfer'!$B$5),OR('Data Transfer'!$B$6="",ISNUMBER(SEARCH('Data Transfer'!$B$6,'Compliance Database'!$D409&amp;" "&amp;'Compliance Database'!$K409&amp;" "&amp;'Compliance Database'!$L409&amp;" "&amp;'Compliance Database'!$M409&amp;" "&amp;'Compliance Database'!$N409)))),1,0)</f>
        <v/>
      </c>
      <c r="B409">
        <f>IF($A409=1,SUM($A$2:$A409),"")</f>
        <v/>
      </c>
      <c r="C409">
        <f>IF($A409=1,SUM($A$2:$A409),0)</f>
        <v/>
      </c>
    </row>
    <row r="410">
      <c r="A410">
        <f>IF(AND(OR('Compliance Database'!$A410='Data Transfer'!$B$4,'Compliance Database'!$A410='Data Transfer'!$B$5),OR('Data Transfer'!$B$6="",ISNUMBER(SEARCH('Data Transfer'!$B$6,'Compliance Database'!$D410&amp;" "&amp;'Compliance Database'!$K410&amp;" "&amp;'Compliance Database'!$L410&amp;" "&amp;'Compliance Database'!$M410&amp;" "&amp;'Compliance Database'!$N410)))),1,0)</f>
        <v/>
      </c>
      <c r="B410">
        <f>IF($A410=1,SUM($A$2:$A410),"")</f>
        <v/>
      </c>
      <c r="C410">
        <f>IF($A410=1,SUM($A$2:$A410),0)</f>
        <v/>
      </c>
    </row>
    <row r="411">
      <c r="A411">
        <f>IF(AND(OR('Compliance Database'!$A411='Data Transfer'!$B$4,'Compliance Database'!$A411='Data Transfer'!$B$5),OR('Data Transfer'!$B$6="",ISNUMBER(SEARCH('Data Transfer'!$B$6,'Compliance Database'!$D411&amp;" "&amp;'Compliance Database'!$K411&amp;" "&amp;'Compliance Database'!$L411&amp;" "&amp;'Compliance Database'!$M411&amp;" "&amp;'Compliance Database'!$N411)))),1,0)</f>
        <v/>
      </c>
      <c r="B411">
        <f>IF($A411=1,SUM($A$2:$A411),"")</f>
        <v/>
      </c>
      <c r="C411">
        <f>IF($A411=1,SUM($A$2:$A411),0)</f>
        <v/>
      </c>
    </row>
    <row r="412">
      <c r="A412">
        <f>IF(AND(OR('Compliance Database'!$A412='Data Transfer'!$B$4,'Compliance Database'!$A412='Data Transfer'!$B$5),OR('Data Transfer'!$B$6="",ISNUMBER(SEARCH('Data Transfer'!$B$6,'Compliance Database'!$D412&amp;" "&amp;'Compliance Database'!$K412&amp;" "&amp;'Compliance Database'!$L412&amp;" "&amp;'Compliance Database'!$M412&amp;" "&amp;'Compliance Database'!$N412)))),1,0)</f>
        <v/>
      </c>
      <c r="B412">
        <f>IF($A412=1,SUM($A$2:$A412),"")</f>
        <v/>
      </c>
      <c r="C412">
        <f>IF($A412=1,SUM($A$2:$A412),0)</f>
        <v/>
      </c>
    </row>
    <row r="413">
      <c r="A413">
        <f>IF(AND(OR('Compliance Database'!$A413='Data Transfer'!$B$4,'Compliance Database'!$A413='Data Transfer'!$B$5),OR('Data Transfer'!$B$6="",ISNUMBER(SEARCH('Data Transfer'!$B$6,'Compliance Database'!$D413&amp;" "&amp;'Compliance Database'!$K413&amp;" "&amp;'Compliance Database'!$L413&amp;" "&amp;'Compliance Database'!$M413&amp;" "&amp;'Compliance Database'!$N413)))),1,0)</f>
        <v/>
      </c>
      <c r="B413">
        <f>IF($A413=1,SUM($A$2:$A413),"")</f>
        <v/>
      </c>
      <c r="C413">
        <f>IF($A413=1,SUM($A$2:$A413),0)</f>
        <v/>
      </c>
    </row>
    <row r="414">
      <c r="A414">
        <f>IF(AND(OR('Compliance Database'!$A414='Data Transfer'!$B$4,'Compliance Database'!$A414='Data Transfer'!$B$5),OR('Data Transfer'!$B$6="",ISNUMBER(SEARCH('Data Transfer'!$B$6,'Compliance Database'!$D414&amp;" "&amp;'Compliance Database'!$K414&amp;" "&amp;'Compliance Database'!$L414&amp;" "&amp;'Compliance Database'!$M414&amp;" "&amp;'Compliance Database'!$N414)))),1,0)</f>
        <v/>
      </c>
      <c r="B414">
        <f>IF($A414=1,SUM($A$2:$A414),"")</f>
        <v/>
      </c>
      <c r="C414">
        <f>IF($A414=1,SUM($A$2:$A414),0)</f>
        <v/>
      </c>
    </row>
    <row r="415">
      <c r="A415">
        <f>IF(AND(OR('Compliance Database'!$A415='Data Transfer'!$B$4,'Compliance Database'!$A415='Data Transfer'!$B$5),OR('Data Transfer'!$B$6="",ISNUMBER(SEARCH('Data Transfer'!$B$6,'Compliance Database'!$D415&amp;" "&amp;'Compliance Database'!$K415&amp;" "&amp;'Compliance Database'!$L415&amp;" "&amp;'Compliance Database'!$M415&amp;" "&amp;'Compliance Database'!$N415)))),1,0)</f>
        <v/>
      </c>
      <c r="B415">
        <f>IF($A415=1,SUM($A$2:$A415),"")</f>
        <v/>
      </c>
      <c r="C415">
        <f>IF($A415=1,SUM($A$2:$A415),0)</f>
        <v/>
      </c>
    </row>
    <row r="416">
      <c r="A416">
        <f>IF(AND(OR('Compliance Database'!$A416='Data Transfer'!$B$4,'Compliance Database'!$A416='Data Transfer'!$B$5),OR('Data Transfer'!$B$6="",ISNUMBER(SEARCH('Data Transfer'!$B$6,'Compliance Database'!$D416&amp;" "&amp;'Compliance Database'!$K416&amp;" "&amp;'Compliance Database'!$L416&amp;" "&amp;'Compliance Database'!$M416&amp;" "&amp;'Compliance Database'!$N416)))),1,0)</f>
        <v/>
      </c>
      <c r="B416">
        <f>IF($A416=1,SUM($A$2:$A416),"")</f>
        <v/>
      </c>
      <c r="C416">
        <f>IF($A416=1,SUM($A$2:$A416),0)</f>
        <v/>
      </c>
    </row>
    <row r="417">
      <c r="A417">
        <f>IF(AND(OR('Compliance Database'!$A417='Data Transfer'!$B$4,'Compliance Database'!$A417='Data Transfer'!$B$5),OR('Data Transfer'!$B$6="",ISNUMBER(SEARCH('Data Transfer'!$B$6,'Compliance Database'!$D417&amp;" "&amp;'Compliance Database'!$K417&amp;" "&amp;'Compliance Database'!$L417&amp;" "&amp;'Compliance Database'!$M417&amp;" "&amp;'Compliance Database'!$N417)))),1,0)</f>
        <v/>
      </c>
      <c r="B417">
        <f>IF($A417=1,SUM($A$2:$A417),"")</f>
        <v/>
      </c>
      <c r="C417">
        <f>IF($A417=1,SUM($A$2:$A417),0)</f>
        <v/>
      </c>
    </row>
    <row r="418">
      <c r="A418">
        <f>IF(AND(OR('Compliance Database'!$A418='Data Transfer'!$B$4,'Compliance Database'!$A418='Data Transfer'!$B$5),OR('Data Transfer'!$B$6="",ISNUMBER(SEARCH('Data Transfer'!$B$6,'Compliance Database'!$D418&amp;" "&amp;'Compliance Database'!$K418&amp;" "&amp;'Compliance Database'!$L418&amp;" "&amp;'Compliance Database'!$M418&amp;" "&amp;'Compliance Database'!$N418)))),1,0)</f>
        <v/>
      </c>
      <c r="B418">
        <f>IF($A418=1,SUM($A$2:$A418),"")</f>
        <v/>
      </c>
      <c r="C418">
        <f>IF($A418=1,SUM($A$2:$A418),0)</f>
        <v/>
      </c>
    </row>
    <row r="419">
      <c r="A419">
        <f>IF(AND(OR('Compliance Database'!$A419='Data Transfer'!$B$4,'Compliance Database'!$A419='Data Transfer'!$B$5),OR('Data Transfer'!$B$6="",ISNUMBER(SEARCH('Data Transfer'!$B$6,'Compliance Database'!$D419&amp;" "&amp;'Compliance Database'!$K419&amp;" "&amp;'Compliance Database'!$L419&amp;" "&amp;'Compliance Database'!$M419&amp;" "&amp;'Compliance Database'!$N419)))),1,0)</f>
        <v/>
      </c>
      <c r="B419">
        <f>IF($A419=1,SUM($A$2:$A419),"")</f>
        <v/>
      </c>
      <c r="C419">
        <f>IF($A419=1,SUM($A$2:$A419),0)</f>
        <v/>
      </c>
    </row>
    <row r="420">
      <c r="A420">
        <f>IF(AND(OR('Compliance Database'!$A420='Data Transfer'!$B$4,'Compliance Database'!$A420='Data Transfer'!$B$5),OR('Data Transfer'!$B$6="",ISNUMBER(SEARCH('Data Transfer'!$B$6,'Compliance Database'!$D420&amp;" "&amp;'Compliance Database'!$K420&amp;" "&amp;'Compliance Database'!$L420&amp;" "&amp;'Compliance Database'!$M420&amp;" "&amp;'Compliance Database'!$N420)))),1,0)</f>
        <v/>
      </c>
      <c r="B420">
        <f>IF($A420=1,SUM($A$2:$A420),"")</f>
        <v/>
      </c>
      <c r="C420">
        <f>IF($A420=1,SUM($A$2:$A420),0)</f>
        <v/>
      </c>
    </row>
    <row r="421">
      <c r="A421">
        <f>IF(AND(OR('Compliance Database'!$A421='Data Transfer'!$B$4,'Compliance Database'!$A421='Data Transfer'!$B$5),OR('Data Transfer'!$B$6="",ISNUMBER(SEARCH('Data Transfer'!$B$6,'Compliance Database'!$D421&amp;" "&amp;'Compliance Database'!$K421&amp;" "&amp;'Compliance Database'!$L421&amp;" "&amp;'Compliance Database'!$M421&amp;" "&amp;'Compliance Database'!$N421)))),1,0)</f>
        <v/>
      </c>
      <c r="B421">
        <f>IF($A421=1,SUM($A$2:$A421),"")</f>
        <v/>
      </c>
      <c r="C421">
        <f>IF($A421=1,SUM($A$2:$A421),0)</f>
        <v/>
      </c>
    </row>
    <row r="422">
      <c r="A422">
        <f>IF(AND(OR('Compliance Database'!$A422='Data Transfer'!$B$4,'Compliance Database'!$A422='Data Transfer'!$B$5),OR('Data Transfer'!$B$6="",ISNUMBER(SEARCH('Data Transfer'!$B$6,'Compliance Database'!$D422&amp;" "&amp;'Compliance Database'!$K422&amp;" "&amp;'Compliance Database'!$L422&amp;" "&amp;'Compliance Database'!$M422&amp;" "&amp;'Compliance Database'!$N422)))),1,0)</f>
        <v/>
      </c>
      <c r="B422">
        <f>IF($A422=1,SUM($A$2:$A422),"")</f>
        <v/>
      </c>
      <c r="C422">
        <f>IF($A422=1,SUM($A$2:$A422),0)</f>
        <v/>
      </c>
    </row>
    <row r="423">
      <c r="A423">
        <f>IF(AND(OR('Compliance Database'!$A423='Data Transfer'!$B$4,'Compliance Database'!$A423='Data Transfer'!$B$5),OR('Data Transfer'!$B$6="",ISNUMBER(SEARCH('Data Transfer'!$B$6,'Compliance Database'!$D423&amp;" "&amp;'Compliance Database'!$K423&amp;" "&amp;'Compliance Database'!$L423&amp;" "&amp;'Compliance Database'!$M423&amp;" "&amp;'Compliance Database'!$N423)))),1,0)</f>
        <v/>
      </c>
      <c r="B423">
        <f>IF($A423=1,SUM($A$2:$A423),"")</f>
        <v/>
      </c>
      <c r="C423">
        <f>IF($A423=1,SUM($A$2:$A423),0)</f>
        <v/>
      </c>
    </row>
    <row r="424">
      <c r="A424">
        <f>IF(AND(OR('Compliance Database'!$A424='Data Transfer'!$B$4,'Compliance Database'!$A424='Data Transfer'!$B$5),OR('Data Transfer'!$B$6="",ISNUMBER(SEARCH('Data Transfer'!$B$6,'Compliance Database'!$D424&amp;" "&amp;'Compliance Database'!$K424&amp;" "&amp;'Compliance Database'!$L424&amp;" "&amp;'Compliance Database'!$M424&amp;" "&amp;'Compliance Database'!$N424)))),1,0)</f>
        <v/>
      </c>
      <c r="B424">
        <f>IF($A424=1,SUM($A$2:$A424),"")</f>
        <v/>
      </c>
      <c r="C424">
        <f>IF($A424=1,SUM($A$2:$A424),0)</f>
        <v/>
      </c>
    </row>
    <row r="425">
      <c r="A425">
        <f>IF(AND(OR('Compliance Database'!$A425='Data Transfer'!$B$4,'Compliance Database'!$A425='Data Transfer'!$B$5),OR('Data Transfer'!$B$6="",ISNUMBER(SEARCH('Data Transfer'!$B$6,'Compliance Database'!$D425&amp;" "&amp;'Compliance Database'!$K425&amp;" "&amp;'Compliance Database'!$L425&amp;" "&amp;'Compliance Database'!$M425&amp;" "&amp;'Compliance Database'!$N425)))),1,0)</f>
        <v/>
      </c>
      <c r="B425">
        <f>IF($A425=1,SUM($A$2:$A425),"")</f>
        <v/>
      </c>
      <c r="C425">
        <f>IF($A425=1,SUM($A$2:$A425),0)</f>
        <v/>
      </c>
    </row>
    <row r="426">
      <c r="A426">
        <f>IF(AND(OR('Compliance Database'!$A426='Data Transfer'!$B$4,'Compliance Database'!$A426='Data Transfer'!$B$5),OR('Data Transfer'!$B$6="",ISNUMBER(SEARCH('Data Transfer'!$B$6,'Compliance Database'!$D426&amp;" "&amp;'Compliance Database'!$K426&amp;" "&amp;'Compliance Database'!$L426&amp;" "&amp;'Compliance Database'!$M426&amp;" "&amp;'Compliance Database'!$N426)))),1,0)</f>
        <v/>
      </c>
      <c r="B426">
        <f>IF($A426=1,SUM($A$2:$A426),"")</f>
        <v/>
      </c>
      <c r="C426">
        <f>IF($A426=1,SUM($A$2:$A426),0)</f>
        <v/>
      </c>
    </row>
    <row r="427">
      <c r="A427">
        <f>IF(AND(OR('Compliance Database'!$A427='Data Transfer'!$B$4,'Compliance Database'!$A427='Data Transfer'!$B$5),OR('Data Transfer'!$B$6="",ISNUMBER(SEARCH('Data Transfer'!$B$6,'Compliance Database'!$D427&amp;" "&amp;'Compliance Database'!$K427&amp;" "&amp;'Compliance Database'!$L427&amp;" "&amp;'Compliance Database'!$M427&amp;" "&amp;'Compliance Database'!$N427)))),1,0)</f>
        <v/>
      </c>
      <c r="B427">
        <f>IF($A427=1,SUM($A$2:$A427),"")</f>
        <v/>
      </c>
      <c r="C427">
        <f>IF($A427=1,SUM($A$2:$A427),0)</f>
        <v/>
      </c>
    </row>
    <row r="428">
      <c r="A428">
        <f>IF(AND(OR('Compliance Database'!$A428='Data Transfer'!$B$4,'Compliance Database'!$A428='Data Transfer'!$B$5),OR('Data Transfer'!$B$6="",ISNUMBER(SEARCH('Data Transfer'!$B$6,'Compliance Database'!$D428&amp;" "&amp;'Compliance Database'!$K428&amp;" "&amp;'Compliance Database'!$L428&amp;" "&amp;'Compliance Database'!$M428&amp;" "&amp;'Compliance Database'!$N428)))),1,0)</f>
        <v/>
      </c>
      <c r="B428">
        <f>IF($A428=1,SUM($A$2:$A428),"")</f>
        <v/>
      </c>
      <c r="C428">
        <f>IF($A428=1,SUM($A$2:$A428),0)</f>
        <v/>
      </c>
    </row>
    <row r="429">
      <c r="A429">
        <f>IF(AND(OR('Compliance Database'!$A429='Data Transfer'!$B$4,'Compliance Database'!$A429='Data Transfer'!$B$5),OR('Data Transfer'!$B$6="",ISNUMBER(SEARCH('Data Transfer'!$B$6,'Compliance Database'!$D429&amp;" "&amp;'Compliance Database'!$K429&amp;" "&amp;'Compliance Database'!$L429&amp;" "&amp;'Compliance Database'!$M429&amp;" "&amp;'Compliance Database'!$N429)))),1,0)</f>
        <v/>
      </c>
      <c r="B429">
        <f>IF($A429=1,SUM($A$2:$A429),"")</f>
        <v/>
      </c>
      <c r="C429">
        <f>IF($A429=1,SUM($A$2:$A429),0)</f>
        <v/>
      </c>
    </row>
    <row r="430">
      <c r="A430">
        <f>IF(AND(OR('Compliance Database'!$A430='Data Transfer'!$B$4,'Compliance Database'!$A430='Data Transfer'!$B$5),OR('Data Transfer'!$B$6="",ISNUMBER(SEARCH('Data Transfer'!$B$6,'Compliance Database'!$D430&amp;" "&amp;'Compliance Database'!$K430&amp;" "&amp;'Compliance Database'!$L430&amp;" "&amp;'Compliance Database'!$M430&amp;" "&amp;'Compliance Database'!$N430)))),1,0)</f>
        <v/>
      </c>
      <c r="B430">
        <f>IF($A430=1,SUM($A$2:$A430),"")</f>
        <v/>
      </c>
      <c r="C430">
        <f>IF($A430=1,SUM($A$2:$A430),0)</f>
        <v/>
      </c>
    </row>
    <row r="431">
      <c r="A431">
        <f>IF(AND(OR('Compliance Database'!$A431='Data Transfer'!$B$4,'Compliance Database'!$A431='Data Transfer'!$B$5),OR('Data Transfer'!$B$6="",ISNUMBER(SEARCH('Data Transfer'!$B$6,'Compliance Database'!$D431&amp;" "&amp;'Compliance Database'!$K431&amp;" "&amp;'Compliance Database'!$L431&amp;" "&amp;'Compliance Database'!$M431&amp;" "&amp;'Compliance Database'!$N431)))),1,0)</f>
        <v/>
      </c>
      <c r="B431">
        <f>IF($A431=1,SUM($A$2:$A431),"")</f>
        <v/>
      </c>
      <c r="C431">
        <f>IF($A431=1,SUM($A$2:$A431),0)</f>
        <v/>
      </c>
    </row>
    <row r="432">
      <c r="A432">
        <f>IF(AND(OR('Compliance Database'!$A432='Data Transfer'!$B$4,'Compliance Database'!$A432='Data Transfer'!$B$5),OR('Data Transfer'!$B$6="",ISNUMBER(SEARCH('Data Transfer'!$B$6,'Compliance Database'!$D432&amp;" "&amp;'Compliance Database'!$K432&amp;" "&amp;'Compliance Database'!$L432&amp;" "&amp;'Compliance Database'!$M432&amp;" "&amp;'Compliance Database'!$N432)))),1,0)</f>
        <v/>
      </c>
      <c r="B432">
        <f>IF($A432=1,SUM($A$2:$A432),"")</f>
        <v/>
      </c>
      <c r="C432">
        <f>IF($A432=1,SUM($A$2:$A432),0)</f>
        <v/>
      </c>
    </row>
    <row r="433">
      <c r="A433">
        <f>IF(AND(OR('Compliance Database'!$A433='Data Transfer'!$B$4,'Compliance Database'!$A433='Data Transfer'!$B$5),OR('Data Transfer'!$B$6="",ISNUMBER(SEARCH('Data Transfer'!$B$6,'Compliance Database'!$D433&amp;" "&amp;'Compliance Database'!$K433&amp;" "&amp;'Compliance Database'!$L433&amp;" "&amp;'Compliance Database'!$M433&amp;" "&amp;'Compliance Database'!$N433)))),1,0)</f>
        <v/>
      </c>
      <c r="B433">
        <f>IF($A433=1,SUM($A$2:$A433),"")</f>
        <v/>
      </c>
      <c r="C433">
        <f>IF($A433=1,SUM($A$2:$A433),0)</f>
        <v/>
      </c>
    </row>
    <row r="434">
      <c r="A434">
        <f>IF(AND(OR('Compliance Database'!$A434='Data Transfer'!$B$4,'Compliance Database'!$A434='Data Transfer'!$B$5),OR('Data Transfer'!$B$6="",ISNUMBER(SEARCH('Data Transfer'!$B$6,'Compliance Database'!$D434&amp;" "&amp;'Compliance Database'!$K434&amp;" "&amp;'Compliance Database'!$L434&amp;" "&amp;'Compliance Database'!$M434&amp;" "&amp;'Compliance Database'!$N434)))),1,0)</f>
        <v/>
      </c>
      <c r="B434">
        <f>IF($A434=1,SUM($A$2:$A434),"")</f>
        <v/>
      </c>
      <c r="C434">
        <f>IF($A434=1,SUM($A$2:$A434),0)</f>
        <v/>
      </c>
    </row>
    <row r="435">
      <c r="A435">
        <f>IF(AND(OR('Compliance Database'!$A435='Data Transfer'!$B$4,'Compliance Database'!$A435='Data Transfer'!$B$5),OR('Data Transfer'!$B$6="",ISNUMBER(SEARCH('Data Transfer'!$B$6,'Compliance Database'!$D435&amp;" "&amp;'Compliance Database'!$K435&amp;" "&amp;'Compliance Database'!$L435&amp;" "&amp;'Compliance Database'!$M435&amp;" "&amp;'Compliance Database'!$N435)))),1,0)</f>
        <v/>
      </c>
      <c r="B435">
        <f>IF($A435=1,SUM($A$2:$A435),"")</f>
        <v/>
      </c>
      <c r="C435">
        <f>IF($A435=1,SUM($A$2:$A435),0)</f>
        <v/>
      </c>
    </row>
    <row r="436">
      <c r="A436">
        <f>IF(AND(OR('Compliance Database'!$A436='Data Transfer'!$B$4,'Compliance Database'!$A436='Data Transfer'!$B$5),OR('Data Transfer'!$B$6="",ISNUMBER(SEARCH('Data Transfer'!$B$6,'Compliance Database'!$D436&amp;" "&amp;'Compliance Database'!$K436&amp;" "&amp;'Compliance Database'!$L436&amp;" "&amp;'Compliance Database'!$M436&amp;" "&amp;'Compliance Database'!$N436)))),1,0)</f>
        <v/>
      </c>
      <c r="B436">
        <f>IF($A436=1,SUM($A$2:$A436),"")</f>
        <v/>
      </c>
      <c r="C436">
        <f>IF($A436=1,SUM($A$2:$A436),0)</f>
        <v/>
      </c>
    </row>
    <row r="437">
      <c r="A437">
        <f>IF(AND(OR('Compliance Database'!$A437='Data Transfer'!$B$4,'Compliance Database'!$A437='Data Transfer'!$B$5),OR('Data Transfer'!$B$6="",ISNUMBER(SEARCH('Data Transfer'!$B$6,'Compliance Database'!$D437&amp;" "&amp;'Compliance Database'!$K437&amp;" "&amp;'Compliance Database'!$L437&amp;" "&amp;'Compliance Database'!$M437&amp;" "&amp;'Compliance Database'!$N437)))),1,0)</f>
        <v/>
      </c>
      <c r="B437">
        <f>IF($A437=1,SUM($A$2:$A437),"")</f>
        <v/>
      </c>
      <c r="C437">
        <f>IF($A437=1,SUM($A$2:$A437),0)</f>
        <v/>
      </c>
    </row>
    <row r="438">
      <c r="A438">
        <f>IF(AND(OR('Compliance Database'!$A438='Data Transfer'!$B$4,'Compliance Database'!$A438='Data Transfer'!$B$5),OR('Data Transfer'!$B$6="",ISNUMBER(SEARCH('Data Transfer'!$B$6,'Compliance Database'!$D438&amp;" "&amp;'Compliance Database'!$K438&amp;" "&amp;'Compliance Database'!$L438&amp;" "&amp;'Compliance Database'!$M438&amp;" "&amp;'Compliance Database'!$N438)))),1,0)</f>
        <v/>
      </c>
      <c r="B438">
        <f>IF($A438=1,SUM($A$2:$A438),"")</f>
        <v/>
      </c>
      <c r="C438">
        <f>IF($A438=1,SUM($A$2:$A438),0)</f>
        <v/>
      </c>
    </row>
    <row r="439">
      <c r="A439">
        <f>IF(AND(OR('Compliance Database'!$A439='Data Transfer'!$B$4,'Compliance Database'!$A439='Data Transfer'!$B$5),OR('Data Transfer'!$B$6="",ISNUMBER(SEARCH('Data Transfer'!$B$6,'Compliance Database'!$D439&amp;" "&amp;'Compliance Database'!$K439&amp;" "&amp;'Compliance Database'!$L439&amp;" "&amp;'Compliance Database'!$M439&amp;" "&amp;'Compliance Database'!$N439)))),1,0)</f>
        <v/>
      </c>
      <c r="B439">
        <f>IF($A439=1,SUM($A$2:$A439),"")</f>
        <v/>
      </c>
      <c r="C439">
        <f>IF($A439=1,SUM($A$2:$A439),0)</f>
        <v/>
      </c>
    </row>
    <row r="440">
      <c r="A440">
        <f>IF(AND(OR('Compliance Database'!$A440='Data Transfer'!$B$4,'Compliance Database'!$A440='Data Transfer'!$B$5),OR('Data Transfer'!$B$6="",ISNUMBER(SEARCH('Data Transfer'!$B$6,'Compliance Database'!$D440&amp;" "&amp;'Compliance Database'!$K440&amp;" "&amp;'Compliance Database'!$L440&amp;" "&amp;'Compliance Database'!$M440&amp;" "&amp;'Compliance Database'!$N440)))),1,0)</f>
        <v/>
      </c>
      <c r="B440">
        <f>IF($A440=1,SUM($A$2:$A440),"")</f>
        <v/>
      </c>
      <c r="C440">
        <f>IF($A440=1,SUM($A$2:$A440),0)</f>
        <v/>
      </c>
    </row>
    <row r="441">
      <c r="A441">
        <f>IF(AND(OR('Compliance Database'!$A441='Data Transfer'!$B$4,'Compliance Database'!$A441='Data Transfer'!$B$5),OR('Data Transfer'!$B$6="",ISNUMBER(SEARCH('Data Transfer'!$B$6,'Compliance Database'!$D441&amp;" "&amp;'Compliance Database'!$K441&amp;" "&amp;'Compliance Database'!$L441&amp;" "&amp;'Compliance Database'!$M441&amp;" "&amp;'Compliance Database'!$N441)))),1,0)</f>
        <v/>
      </c>
      <c r="B441">
        <f>IF($A441=1,SUM($A$2:$A441),"")</f>
        <v/>
      </c>
      <c r="C441">
        <f>IF($A441=1,SUM($A$2:$A441),0)</f>
        <v/>
      </c>
    </row>
    <row r="442">
      <c r="A442">
        <f>IF(AND(OR('Compliance Database'!$A442='Data Transfer'!$B$4,'Compliance Database'!$A442='Data Transfer'!$B$5),OR('Data Transfer'!$B$6="",ISNUMBER(SEARCH('Data Transfer'!$B$6,'Compliance Database'!$D442&amp;" "&amp;'Compliance Database'!$K442&amp;" "&amp;'Compliance Database'!$L442&amp;" "&amp;'Compliance Database'!$M442&amp;" "&amp;'Compliance Database'!$N442)))),1,0)</f>
        <v/>
      </c>
      <c r="B442">
        <f>IF($A442=1,SUM($A$2:$A442),"")</f>
        <v/>
      </c>
      <c r="C442">
        <f>IF($A442=1,SUM($A$2:$A442),0)</f>
        <v/>
      </c>
    </row>
    <row r="443">
      <c r="A443">
        <f>IF(AND(OR('Compliance Database'!$A443='Data Transfer'!$B$4,'Compliance Database'!$A443='Data Transfer'!$B$5),OR('Data Transfer'!$B$6="",ISNUMBER(SEARCH('Data Transfer'!$B$6,'Compliance Database'!$D443&amp;" "&amp;'Compliance Database'!$K443&amp;" "&amp;'Compliance Database'!$L443&amp;" "&amp;'Compliance Database'!$M443&amp;" "&amp;'Compliance Database'!$N443)))),1,0)</f>
        <v/>
      </c>
      <c r="B443">
        <f>IF($A443=1,SUM($A$2:$A443),"")</f>
        <v/>
      </c>
      <c r="C443">
        <f>IF($A443=1,SUM($A$2:$A443),0)</f>
        <v/>
      </c>
    </row>
    <row r="444">
      <c r="A444">
        <f>IF(AND(OR('Compliance Database'!$A444='Data Transfer'!$B$4,'Compliance Database'!$A444='Data Transfer'!$B$5),OR('Data Transfer'!$B$6="",ISNUMBER(SEARCH('Data Transfer'!$B$6,'Compliance Database'!$D444&amp;" "&amp;'Compliance Database'!$K444&amp;" "&amp;'Compliance Database'!$L444&amp;" "&amp;'Compliance Database'!$M444&amp;" "&amp;'Compliance Database'!$N444)))),1,0)</f>
        <v/>
      </c>
      <c r="B444">
        <f>IF($A444=1,SUM($A$2:$A444),"")</f>
        <v/>
      </c>
      <c r="C444">
        <f>IF($A444=1,SUM($A$2:$A444),0)</f>
        <v/>
      </c>
    </row>
    <row r="445">
      <c r="A445">
        <f>IF(AND(OR('Compliance Database'!$A445='Data Transfer'!$B$4,'Compliance Database'!$A445='Data Transfer'!$B$5),OR('Data Transfer'!$B$6="",ISNUMBER(SEARCH('Data Transfer'!$B$6,'Compliance Database'!$D445&amp;" "&amp;'Compliance Database'!$K445&amp;" "&amp;'Compliance Database'!$L445&amp;" "&amp;'Compliance Database'!$M445&amp;" "&amp;'Compliance Database'!$N445)))),1,0)</f>
        <v/>
      </c>
      <c r="B445">
        <f>IF($A445=1,SUM($A$2:$A445),"")</f>
        <v/>
      </c>
      <c r="C445">
        <f>IF($A445=1,SUM($A$2:$A445),0)</f>
        <v/>
      </c>
    </row>
    <row r="446">
      <c r="A446">
        <f>IF(AND(OR('Compliance Database'!$A446='Data Transfer'!$B$4,'Compliance Database'!$A446='Data Transfer'!$B$5),OR('Data Transfer'!$B$6="",ISNUMBER(SEARCH('Data Transfer'!$B$6,'Compliance Database'!$D446&amp;" "&amp;'Compliance Database'!$K446&amp;" "&amp;'Compliance Database'!$L446&amp;" "&amp;'Compliance Database'!$M446&amp;" "&amp;'Compliance Database'!$N446)))),1,0)</f>
        <v/>
      </c>
      <c r="B446">
        <f>IF($A446=1,SUM($A$2:$A446),"")</f>
        <v/>
      </c>
      <c r="C446">
        <f>IF($A446=1,SUM($A$2:$A446),0)</f>
        <v/>
      </c>
    </row>
    <row r="447">
      <c r="A447">
        <f>IF(AND(OR('Compliance Database'!$A447='Data Transfer'!$B$4,'Compliance Database'!$A447='Data Transfer'!$B$5),OR('Data Transfer'!$B$6="",ISNUMBER(SEARCH('Data Transfer'!$B$6,'Compliance Database'!$D447&amp;" "&amp;'Compliance Database'!$K447&amp;" "&amp;'Compliance Database'!$L447&amp;" "&amp;'Compliance Database'!$M447&amp;" "&amp;'Compliance Database'!$N447)))),1,0)</f>
        <v/>
      </c>
      <c r="B447">
        <f>IF($A447=1,SUM($A$2:$A447),"")</f>
        <v/>
      </c>
      <c r="C447">
        <f>IF($A447=1,SUM($A$2:$A447),0)</f>
        <v/>
      </c>
    </row>
    <row r="448">
      <c r="A448">
        <f>IF(AND(OR('Compliance Database'!$A448='Data Transfer'!$B$4,'Compliance Database'!$A448='Data Transfer'!$B$5),OR('Data Transfer'!$B$6="",ISNUMBER(SEARCH('Data Transfer'!$B$6,'Compliance Database'!$D448&amp;" "&amp;'Compliance Database'!$K448&amp;" "&amp;'Compliance Database'!$L448&amp;" "&amp;'Compliance Database'!$M448&amp;" "&amp;'Compliance Database'!$N448)))),1,0)</f>
        <v/>
      </c>
      <c r="B448">
        <f>IF($A448=1,SUM($A$2:$A448),"")</f>
        <v/>
      </c>
      <c r="C448">
        <f>IF($A448=1,SUM($A$2:$A448),0)</f>
        <v/>
      </c>
    </row>
    <row r="449">
      <c r="A449">
        <f>IF(AND(OR('Compliance Database'!$A449='Data Transfer'!$B$4,'Compliance Database'!$A449='Data Transfer'!$B$5),OR('Data Transfer'!$B$6="",ISNUMBER(SEARCH('Data Transfer'!$B$6,'Compliance Database'!$D449&amp;" "&amp;'Compliance Database'!$K449&amp;" "&amp;'Compliance Database'!$L449&amp;" "&amp;'Compliance Database'!$M449&amp;" "&amp;'Compliance Database'!$N449)))),1,0)</f>
        <v/>
      </c>
      <c r="B449">
        <f>IF($A449=1,SUM($A$2:$A449),"")</f>
        <v/>
      </c>
      <c r="C449">
        <f>IF($A449=1,SUM($A$2:$A449),0)</f>
        <v/>
      </c>
    </row>
    <row r="450">
      <c r="A450">
        <f>IF(AND(OR('Compliance Database'!$A450='Data Transfer'!$B$4,'Compliance Database'!$A450='Data Transfer'!$B$5),OR('Data Transfer'!$B$6="",ISNUMBER(SEARCH('Data Transfer'!$B$6,'Compliance Database'!$D450&amp;" "&amp;'Compliance Database'!$K450&amp;" "&amp;'Compliance Database'!$L450&amp;" "&amp;'Compliance Database'!$M450&amp;" "&amp;'Compliance Database'!$N450)))),1,0)</f>
        <v/>
      </c>
      <c r="B450">
        <f>IF($A450=1,SUM($A$2:$A450),"")</f>
        <v/>
      </c>
      <c r="C450">
        <f>IF($A450=1,SUM($A$2:$A450),0)</f>
        <v/>
      </c>
    </row>
    <row r="451">
      <c r="A451">
        <f>IF(AND(OR('Compliance Database'!$A451='Data Transfer'!$B$4,'Compliance Database'!$A451='Data Transfer'!$B$5),OR('Data Transfer'!$B$6="",ISNUMBER(SEARCH('Data Transfer'!$B$6,'Compliance Database'!$D451&amp;" "&amp;'Compliance Database'!$K451&amp;" "&amp;'Compliance Database'!$L451&amp;" "&amp;'Compliance Database'!$M451&amp;" "&amp;'Compliance Database'!$N451)))),1,0)</f>
        <v/>
      </c>
      <c r="B451">
        <f>IF($A451=1,SUM($A$2:$A451),"")</f>
        <v/>
      </c>
      <c r="C451">
        <f>IF($A451=1,SUM($A$2:$A451),0)</f>
        <v/>
      </c>
    </row>
    <row r="452">
      <c r="A452">
        <f>IF(AND(OR('Compliance Database'!$A452='Data Transfer'!$B$4,'Compliance Database'!$A452='Data Transfer'!$B$5),OR('Data Transfer'!$B$6="",ISNUMBER(SEARCH('Data Transfer'!$B$6,'Compliance Database'!$D452&amp;" "&amp;'Compliance Database'!$K452&amp;" "&amp;'Compliance Database'!$L452&amp;" "&amp;'Compliance Database'!$M452&amp;" "&amp;'Compliance Database'!$N452)))),1,0)</f>
        <v/>
      </c>
      <c r="B452">
        <f>IF($A452=1,SUM($A$2:$A452),"")</f>
        <v/>
      </c>
      <c r="C452">
        <f>IF($A452=1,SUM($A$2:$A452),0)</f>
        <v/>
      </c>
    </row>
    <row r="453">
      <c r="A453">
        <f>IF(AND(OR('Compliance Database'!$A453='Data Transfer'!$B$4,'Compliance Database'!$A453='Data Transfer'!$B$5),OR('Data Transfer'!$B$6="",ISNUMBER(SEARCH('Data Transfer'!$B$6,'Compliance Database'!$D453&amp;" "&amp;'Compliance Database'!$K453&amp;" "&amp;'Compliance Database'!$L453&amp;" "&amp;'Compliance Database'!$M453&amp;" "&amp;'Compliance Database'!$N453)))),1,0)</f>
        <v/>
      </c>
      <c r="B453">
        <f>IF($A453=1,SUM($A$2:$A453),"")</f>
        <v/>
      </c>
      <c r="C453">
        <f>IF($A453=1,SUM($A$2:$A453),0)</f>
        <v/>
      </c>
    </row>
    <row r="454">
      <c r="A454">
        <f>IF(AND(OR('Compliance Database'!$A454='Data Transfer'!$B$4,'Compliance Database'!$A454='Data Transfer'!$B$5),OR('Data Transfer'!$B$6="",ISNUMBER(SEARCH('Data Transfer'!$B$6,'Compliance Database'!$D454&amp;" "&amp;'Compliance Database'!$K454&amp;" "&amp;'Compliance Database'!$L454&amp;" "&amp;'Compliance Database'!$M454&amp;" "&amp;'Compliance Database'!$N454)))),1,0)</f>
        <v/>
      </c>
      <c r="B454">
        <f>IF($A454=1,SUM($A$2:$A454),"")</f>
        <v/>
      </c>
      <c r="C454">
        <f>IF($A454=1,SUM($A$2:$A454),0)</f>
        <v/>
      </c>
    </row>
    <row r="455">
      <c r="A455">
        <f>IF(AND(OR('Compliance Database'!$A455='Data Transfer'!$B$4,'Compliance Database'!$A455='Data Transfer'!$B$5),OR('Data Transfer'!$B$6="",ISNUMBER(SEARCH('Data Transfer'!$B$6,'Compliance Database'!$D455&amp;" "&amp;'Compliance Database'!$K455&amp;" "&amp;'Compliance Database'!$L455&amp;" "&amp;'Compliance Database'!$M455&amp;" "&amp;'Compliance Database'!$N455)))),1,0)</f>
        <v/>
      </c>
      <c r="B455">
        <f>IF($A455=1,SUM($A$2:$A455),"")</f>
        <v/>
      </c>
      <c r="C455">
        <f>IF($A455=1,SUM($A$2:$A455),0)</f>
        <v/>
      </c>
    </row>
    <row r="456">
      <c r="A456">
        <f>IF(AND(OR('Compliance Database'!$A456='Data Transfer'!$B$4,'Compliance Database'!$A456='Data Transfer'!$B$5),OR('Data Transfer'!$B$6="",ISNUMBER(SEARCH('Data Transfer'!$B$6,'Compliance Database'!$D456&amp;" "&amp;'Compliance Database'!$K456&amp;" "&amp;'Compliance Database'!$L456&amp;" "&amp;'Compliance Database'!$M456&amp;" "&amp;'Compliance Database'!$N456)))),1,0)</f>
        <v/>
      </c>
      <c r="B456">
        <f>IF($A456=1,SUM($A$2:$A456),"")</f>
        <v/>
      </c>
      <c r="C456">
        <f>IF($A456=1,SUM($A$2:$A456),0)</f>
        <v/>
      </c>
    </row>
    <row r="457">
      <c r="A457">
        <f>IF(AND(OR('Compliance Database'!$A457='Data Transfer'!$B$4,'Compliance Database'!$A457='Data Transfer'!$B$5),OR('Data Transfer'!$B$6="",ISNUMBER(SEARCH('Data Transfer'!$B$6,'Compliance Database'!$D457&amp;" "&amp;'Compliance Database'!$K457&amp;" "&amp;'Compliance Database'!$L457&amp;" "&amp;'Compliance Database'!$M457&amp;" "&amp;'Compliance Database'!$N457)))),1,0)</f>
        <v/>
      </c>
      <c r="B457">
        <f>IF($A457=1,SUM($A$2:$A457),"")</f>
        <v/>
      </c>
      <c r="C457">
        <f>IF($A457=1,SUM($A$2:$A457),0)</f>
        <v/>
      </c>
    </row>
    <row r="458">
      <c r="A458">
        <f>IF(AND(OR('Compliance Database'!$A458='Data Transfer'!$B$4,'Compliance Database'!$A458='Data Transfer'!$B$5),OR('Data Transfer'!$B$6="",ISNUMBER(SEARCH('Data Transfer'!$B$6,'Compliance Database'!$D458&amp;" "&amp;'Compliance Database'!$K458&amp;" "&amp;'Compliance Database'!$L458&amp;" "&amp;'Compliance Database'!$M458&amp;" "&amp;'Compliance Database'!$N458)))),1,0)</f>
        <v/>
      </c>
      <c r="B458">
        <f>IF($A458=1,SUM($A$2:$A458),"")</f>
        <v/>
      </c>
      <c r="C458">
        <f>IF($A458=1,SUM($A$2:$A458),0)</f>
        <v/>
      </c>
    </row>
    <row r="459">
      <c r="A459">
        <f>IF(AND(OR('Compliance Database'!$A459='Data Transfer'!$B$4,'Compliance Database'!$A459='Data Transfer'!$B$5),OR('Data Transfer'!$B$6="",ISNUMBER(SEARCH('Data Transfer'!$B$6,'Compliance Database'!$D459&amp;" "&amp;'Compliance Database'!$K459&amp;" "&amp;'Compliance Database'!$L459&amp;" "&amp;'Compliance Database'!$M459&amp;" "&amp;'Compliance Database'!$N459)))),1,0)</f>
        <v/>
      </c>
      <c r="B459">
        <f>IF($A459=1,SUM($A$2:$A459),"")</f>
        <v/>
      </c>
      <c r="C459">
        <f>IF($A459=1,SUM($A$2:$A459),0)</f>
        <v/>
      </c>
    </row>
    <row r="460">
      <c r="A460">
        <f>IF(AND(OR('Compliance Database'!$A460='Data Transfer'!$B$4,'Compliance Database'!$A460='Data Transfer'!$B$5),OR('Data Transfer'!$B$6="",ISNUMBER(SEARCH('Data Transfer'!$B$6,'Compliance Database'!$D460&amp;" "&amp;'Compliance Database'!$K460&amp;" "&amp;'Compliance Database'!$L460&amp;" "&amp;'Compliance Database'!$M460&amp;" "&amp;'Compliance Database'!$N460)))),1,0)</f>
        <v/>
      </c>
      <c r="B460">
        <f>IF($A460=1,SUM($A$2:$A460),"")</f>
        <v/>
      </c>
      <c r="C460">
        <f>IF($A460=1,SUM($A$2:$A460),0)</f>
        <v/>
      </c>
    </row>
    <row r="461">
      <c r="A461">
        <f>IF(AND(OR('Compliance Database'!$A461='Data Transfer'!$B$4,'Compliance Database'!$A461='Data Transfer'!$B$5),OR('Data Transfer'!$B$6="",ISNUMBER(SEARCH('Data Transfer'!$B$6,'Compliance Database'!$D461&amp;" "&amp;'Compliance Database'!$K461&amp;" "&amp;'Compliance Database'!$L461&amp;" "&amp;'Compliance Database'!$M461&amp;" "&amp;'Compliance Database'!$N461)))),1,0)</f>
        <v/>
      </c>
      <c r="B461">
        <f>IF($A461=1,SUM($A$2:$A461),"")</f>
        <v/>
      </c>
      <c r="C461">
        <f>IF($A461=1,SUM($A$2:$A461),0)</f>
        <v/>
      </c>
    </row>
    <row r="462">
      <c r="A462">
        <f>IF(AND(OR('Compliance Database'!$A462='Data Transfer'!$B$4,'Compliance Database'!$A462='Data Transfer'!$B$5),OR('Data Transfer'!$B$6="",ISNUMBER(SEARCH('Data Transfer'!$B$6,'Compliance Database'!$D462&amp;" "&amp;'Compliance Database'!$K462&amp;" "&amp;'Compliance Database'!$L462&amp;" "&amp;'Compliance Database'!$M462&amp;" "&amp;'Compliance Database'!$N462)))),1,0)</f>
        <v/>
      </c>
      <c r="B462">
        <f>IF($A462=1,SUM($A$2:$A462),"")</f>
        <v/>
      </c>
      <c r="C462">
        <f>IF($A462=1,SUM($A$2:$A462),0)</f>
        <v/>
      </c>
    </row>
    <row r="463">
      <c r="A463">
        <f>IF(AND(OR('Compliance Database'!$A463='Data Transfer'!$B$4,'Compliance Database'!$A463='Data Transfer'!$B$5),OR('Data Transfer'!$B$6="",ISNUMBER(SEARCH('Data Transfer'!$B$6,'Compliance Database'!$D463&amp;" "&amp;'Compliance Database'!$K463&amp;" "&amp;'Compliance Database'!$L463&amp;" "&amp;'Compliance Database'!$M463&amp;" "&amp;'Compliance Database'!$N463)))),1,0)</f>
        <v/>
      </c>
      <c r="B463">
        <f>IF($A463=1,SUM($A$2:$A463),"")</f>
        <v/>
      </c>
      <c r="C463">
        <f>IF($A463=1,SUM($A$2:$A463),0)</f>
        <v/>
      </c>
    </row>
    <row r="464">
      <c r="A464">
        <f>IF(AND(OR('Compliance Database'!$A464='Data Transfer'!$B$4,'Compliance Database'!$A464='Data Transfer'!$B$5),OR('Data Transfer'!$B$6="",ISNUMBER(SEARCH('Data Transfer'!$B$6,'Compliance Database'!$D464&amp;" "&amp;'Compliance Database'!$K464&amp;" "&amp;'Compliance Database'!$L464&amp;" "&amp;'Compliance Database'!$M464&amp;" "&amp;'Compliance Database'!$N464)))),1,0)</f>
        <v/>
      </c>
      <c r="B464">
        <f>IF($A464=1,SUM($A$2:$A464),"")</f>
        <v/>
      </c>
      <c r="C464">
        <f>IF($A464=1,SUM($A$2:$A464),0)</f>
        <v/>
      </c>
    </row>
    <row r="465">
      <c r="A465">
        <f>IF(AND(OR('Compliance Database'!$A465='Data Transfer'!$B$4,'Compliance Database'!$A465='Data Transfer'!$B$5),OR('Data Transfer'!$B$6="",ISNUMBER(SEARCH('Data Transfer'!$B$6,'Compliance Database'!$D465&amp;" "&amp;'Compliance Database'!$K465&amp;" "&amp;'Compliance Database'!$L465&amp;" "&amp;'Compliance Database'!$M465&amp;" "&amp;'Compliance Database'!$N465)))),1,0)</f>
        <v/>
      </c>
      <c r="B465">
        <f>IF($A465=1,SUM($A$2:$A465),"")</f>
        <v/>
      </c>
      <c r="C465">
        <f>IF($A465=1,SUM($A$2:$A465),0)</f>
        <v/>
      </c>
    </row>
    <row r="466">
      <c r="A466">
        <f>IF(AND(OR('Compliance Database'!$A466='Data Transfer'!$B$4,'Compliance Database'!$A466='Data Transfer'!$B$5),OR('Data Transfer'!$B$6="",ISNUMBER(SEARCH('Data Transfer'!$B$6,'Compliance Database'!$D466&amp;" "&amp;'Compliance Database'!$K466&amp;" "&amp;'Compliance Database'!$L466&amp;" "&amp;'Compliance Database'!$M466&amp;" "&amp;'Compliance Database'!$N466)))),1,0)</f>
        <v/>
      </c>
      <c r="B466">
        <f>IF($A466=1,SUM($A$2:$A466),"")</f>
        <v/>
      </c>
      <c r="C466">
        <f>IF($A466=1,SUM($A$2:$A466),0)</f>
        <v/>
      </c>
    </row>
    <row r="467">
      <c r="A467">
        <f>IF(AND(OR('Compliance Database'!$A467='Data Transfer'!$B$4,'Compliance Database'!$A467='Data Transfer'!$B$5),OR('Data Transfer'!$B$6="",ISNUMBER(SEARCH('Data Transfer'!$B$6,'Compliance Database'!$D467&amp;" "&amp;'Compliance Database'!$K467&amp;" "&amp;'Compliance Database'!$L467&amp;" "&amp;'Compliance Database'!$M467&amp;" "&amp;'Compliance Database'!$N467)))),1,0)</f>
        <v/>
      </c>
      <c r="B467">
        <f>IF($A467=1,SUM($A$2:$A467),"")</f>
        <v/>
      </c>
      <c r="C467">
        <f>IF($A467=1,SUM($A$2:$A467),0)</f>
        <v/>
      </c>
    </row>
    <row r="468">
      <c r="A468">
        <f>IF(AND(OR('Compliance Database'!$A468='Data Transfer'!$B$4,'Compliance Database'!$A468='Data Transfer'!$B$5),OR('Data Transfer'!$B$6="",ISNUMBER(SEARCH('Data Transfer'!$B$6,'Compliance Database'!$D468&amp;" "&amp;'Compliance Database'!$K468&amp;" "&amp;'Compliance Database'!$L468&amp;" "&amp;'Compliance Database'!$M468&amp;" "&amp;'Compliance Database'!$N468)))),1,0)</f>
        <v/>
      </c>
      <c r="B468">
        <f>IF($A468=1,SUM($A$2:$A468),"")</f>
        <v/>
      </c>
      <c r="C468">
        <f>IF($A468=1,SUM($A$2:$A468),0)</f>
        <v/>
      </c>
    </row>
    <row r="469">
      <c r="A469">
        <f>IF(AND(OR('Compliance Database'!$A469='Data Transfer'!$B$4,'Compliance Database'!$A469='Data Transfer'!$B$5),OR('Data Transfer'!$B$6="",ISNUMBER(SEARCH('Data Transfer'!$B$6,'Compliance Database'!$D469&amp;" "&amp;'Compliance Database'!$K469&amp;" "&amp;'Compliance Database'!$L469&amp;" "&amp;'Compliance Database'!$M469&amp;" "&amp;'Compliance Database'!$N469)))),1,0)</f>
        <v/>
      </c>
      <c r="B469">
        <f>IF($A469=1,SUM($A$2:$A469),"")</f>
        <v/>
      </c>
      <c r="C469">
        <f>IF($A469=1,SUM($A$2:$A469),0)</f>
        <v/>
      </c>
    </row>
    <row r="470">
      <c r="A470">
        <f>IF(AND(OR('Compliance Database'!$A470='Data Transfer'!$B$4,'Compliance Database'!$A470='Data Transfer'!$B$5),OR('Data Transfer'!$B$6="",ISNUMBER(SEARCH('Data Transfer'!$B$6,'Compliance Database'!$D470&amp;" "&amp;'Compliance Database'!$K470&amp;" "&amp;'Compliance Database'!$L470&amp;" "&amp;'Compliance Database'!$M470&amp;" "&amp;'Compliance Database'!$N470)))),1,0)</f>
        <v/>
      </c>
      <c r="B470">
        <f>IF($A470=1,SUM($A$2:$A470),"")</f>
        <v/>
      </c>
      <c r="C470">
        <f>IF($A470=1,SUM($A$2:$A470),0)</f>
        <v/>
      </c>
    </row>
    <row r="471">
      <c r="A471">
        <f>IF(AND(OR('Compliance Database'!$A471='Data Transfer'!$B$4,'Compliance Database'!$A471='Data Transfer'!$B$5),OR('Data Transfer'!$B$6="",ISNUMBER(SEARCH('Data Transfer'!$B$6,'Compliance Database'!$D471&amp;" "&amp;'Compliance Database'!$K471&amp;" "&amp;'Compliance Database'!$L471&amp;" "&amp;'Compliance Database'!$M471&amp;" "&amp;'Compliance Database'!$N471)))),1,0)</f>
        <v/>
      </c>
      <c r="B471">
        <f>IF($A471=1,SUM($A$2:$A471),"")</f>
        <v/>
      </c>
      <c r="C471">
        <f>IF($A471=1,SUM($A$2:$A471),0)</f>
        <v/>
      </c>
    </row>
    <row r="472">
      <c r="A472">
        <f>IF(AND(OR('Compliance Database'!$A472='Data Transfer'!$B$4,'Compliance Database'!$A472='Data Transfer'!$B$5),OR('Data Transfer'!$B$6="",ISNUMBER(SEARCH('Data Transfer'!$B$6,'Compliance Database'!$D472&amp;" "&amp;'Compliance Database'!$K472&amp;" "&amp;'Compliance Database'!$L472&amp;" "&amp;'Compliance Database'!$M472&amp;" "&amp;'Compliance Database'!$N472)))),1,0)</f>
        <v/>
      </c>
      <c r="B472">
        <f>IF($A472=1,SUM($A$2:$A472),"")</f>
        <v/>
      </c>
      <c r="C472">
        <f>IF($A472=1,SUM($A$2:$A472),0)</f>
        <v/>
      </c>
    </row>
    <row r="473">
      <c r="A473">
        <f>IF(AND(OR('Compliance Database'!$A473='Data Transfer'!$B$4,'Compliance Database'!$A473='Data Transfer'!$B$5),OR('Data Transfer'!$B$6="",ISNUMBER(SEARCH('Data Transfer'!$B$6,'Compliance Database'!$D473&amp;" "&amp;'Compliance Database'!$K473&amp;" "&amp;'Compliance Database'!$L473&amp;" "&amp;'Compliance Database'!$M473&amp;" "&amp;'Compliance Database'!$N473)))),1,0)</f>
        <v/>
      </c>
      <c r="B473">
        <f>IF($A473=1,SUM($A$2:$A473),"")</f>
        <v/>
      </c>
      <c r="C473">
        <f>IF($A473=1,SUM($A$2:$A473),0)</f>
        <v/>
      </c>
    </row>
    <row r="474">
      <c r="A474">
        <f>IF(AND(OR('Compliance Database'!$A474='Data Transfer'!$B$4,'Compliance Database'!$A474='Data Transfer'!$B$5),OR('Data Transfer'!$B$6="",ISNUMBER(SEARCH('Data Transfer'!$B$6,'Compliance Database'!$D474&amp;" "&amp;'Compliance Database'!$K474&amp;" "&amp;'Compliance Database'!$L474&amp;" "&amp;'Compliance Database'!$M474&amp;" "&amp;'Compliance Database'!$N474)))),1,0)</f>
        <v/>
      </c>
      <c r="B474">
        <f>IF($A474=1,SUM($A$2:$A474),"")</f>
        <v/>
      </c>
      <c r="C474">
        <f>IF($A474=1,SUM($A$2:$A474),0)</f>
        <v/>
      </c>
    </row>
    <row r="475">
      <c r="A475">
        <f>IF(AND(OR('Compliance Database'!$A475='Data Transfer'!$B$4,'Compliance Database'!$A475='Data Transfer'!$B$5),OR('Data Transfer'!$B$6="",ISNUMBER(SEARCH('Data Transfer'!$B$6,'Compliance Database'!$D475&amp;" "&amp;'Compliance Database'!$K475&amp;" "&amp;'Compliance Database'!$L475&amp;" "&amp;'Compliance Database'!$M475&amp;" "&amp;'Compliance Database'!$N475)))),1,0)</f>
        <v/>
      </c>
      <c r="B475">
        <f>IF($A475=1,SUM($A$2:$A475),"")</f>
        <v/>
      </c>
      <c r="C475">
        <f>IF($A475=1,SUM($A$2:$A475),0)</f>
        <v/>
      </c>
    </row>
    <row r="476">
      <c r="A476">
        <f>IF(AND(OR('Compliance Database'!$A476='Data Transfer'!$B$4,'Compliance Database'!$A476='Data Transfer'!$B$5),OR('Data Transfer'!$B$6="",ISNUMBER(SEARCH('Data Transfer'!$B$6,'Compliance Database'!$D476&amp;" "&amp;'Compliance Database'!$K476&amp;" "&amp;'Compliance Database'!$L476&amp;" "&amp;'Compliance Database'!$M476&amp;" "&amp;'Compliance Database'!$N476)))),1,0)</f>
        <v/>
      </c>
      <c r="B476">
        <f>IF($A476=1,SUM($A$2:$A476),"")</f>
        <v/>
      </c>
      <c r="C476">
        <f>IF($A476=1,SUM($A$2:$A476),0)</f>
        <v/>
      </c>
    </row>
    <row r="477">
      <c r="A477">
        <f>IF(AND(OR('Compliance Database'!$A477='Data Transfer'!$B$4,'Compliance Database'!$A477='Data Transfer'!$B$5),OR('Data Transfer'!$B$6="",ISNUMBER(SEARCH('Data Transfer'!$B$6,'Compliance Database'!$D477&amp;" "&amp;'Compliance Database'!$K477&amp;" "&amp;'Compliance Database'!$L477&amp;" "&amp;'Compliance Database'!$M477&amp;" "&amp;'Compliance Database'!$N477)))),1,0)</f>
        <v/>
      </c>
      <c r="B477">
        <f>IF($A477=1,SUM($A$2:$A477),"")</f>
        <v/>
      </c>
      <c r="C477">
        <f>IF($A477=1,SUM($A$2:$A477),0)</f>
        <v/>
      </c>
    </row>
    <row r="478">
      <c r="A478">
        <f>IF(AND(OR('Compliance Database'!$A478='Data Transfer'!$B$4,'Compliance Database'!$A478='Data Transfer'!$B$5),OR('Data Transfer'!$B$6="",ISNUMBER(SEARCH('Data Transfer'!$B$6,'Compliance Database'!$D478&amp;" "&amp;'Compliance Database'!$K478&amp;" "&amp;'Compliance Database'!$L478&amp;" "&amp;'Compliance Database'!$M478&amp;" "&amp;'Compliance Database'!$N478)))),1,0)</f>
        <v/>
      </c>
      <c r="B478">
        <f>IF($A478=1,SUM($A$2:$A478),"")</f>
        <v/>
      </c>
      <c r="C478">
        <f>IF($A478=1,SUM($A$2:$A478),0)</f>
        <v/>
      </c>
    </row>
    <row r="479">
      <c r="A479">
        <f>IF(AND(OR('Compliance Database'!$A479='Data Transfer'!$B$4,'Compliance Database'!$A479='Data Transfer'!$B$5),OR('Data Transfer'!$B$6="",ISNUMBER(SEARCH('Data Transfer'!$B$6,'Compliance Database'!$D479&amp;" "&amp;'Compliance Database'!$K479&amp;" "&amp;'Compliance Database'!$L479&amp;" "&amp;'Compliance Database'!$M479&amp;" "&amp;'Compliance Database'!$N479)))),1,0)</f>
        <v/>
      </c>
      <c r="B479">
        <f>IF($A479=1,SUM($A$2:$A479),"")</f>
        <v/>
      </c>
      <c r="C479">
        <f>IF($A479=1,SUM($A$2:$A479),0)</f>
        <v/>
      </c>
    </row>
    <row r="480">
      <c r="A480">
        <f>IF(AND(OR('Compliance Database'!$A480='Data Transfer'!$B$4,'Compliance Database'!$A480='Data Transfer'!$B$5),OR('Data Transfer'!$B$6="",ISNUMBER(SEARCH('Data Transfer'!$B$6,'Compliance Database'!$D480&amp;" "&amp;'Compliance Database'!$K480&amp;" "&amp;'Compliance Database'!$L480&amp;" "&amp;'Compliance Database'!$M480&amp;" "&amp;'Compliance Database'!$N480)))),1,0)</f>
        <v/>
      </c>
      <c r="B480">
        <f>IF($A480=1,SUM($A$2:$A480),"")</f>
        <v/>
      </c>
      <c r="C480">
        <f>IF($A480=1,SUM($A$2:$A480),0)</f>
        <v/>
      </c>
    </row>
    <row r="481">
      <c r="A481">
        <f>IF(AND(OR('Compliance Database'!$A481='Data Transfer'!$B$4,'Compliance Database'!$A481='Data Transfer'!$B$5),OR('Data Transfer'!$B$6="",ISNUMBER(SEARCH('Data Transfer'!$B$6,'Compliance Database'!$D481&amp;" "&amp;'Compliance Database'!$K481&amp;" "&amp;'Compliance Database'!$L481&amp;" "&amp;'Compliance Database'!$M481&amp;" "&amp;'Compliance Database'!$N481)))),1,0)</f>
        <v/>
      </c>
      <c r="B481">
        <f>IF($A481=1,SUM($A$2:$A481),"")</f>
        <v/>
      </c>
      <c r="C481">
        <f>IF($A481=1,SUM($A$2:$A481),0)</f>
        <v/>
      </c>
    </row>
    <row r="482">
      <c r="A482">
        <f>IF(AND(OR('Compliance Database'!$A482='Data Transfer'!$B$4,'Compliance Database'!$A482='Data Transfer'!$B$5),OR('Data Transfer'!$B$6="",ISNUMBER(SEARCH('Data Transfer'!$B$6,'Compliance Database'!$D482&amp;" "&amp;'Compliance Database'!$K482&amp;" "&amp;'Compliance Database'!$L482&amp;" "&amp;'Compliance Database'!$M482&amp;" "&amp;'Compliance Database'!$N482)))),1,0)</f>
        <v/>
      </c>
      <c r="B482">
        <f>IF($A482=1,SUM($A$2:$A482),"")</f>
        <v/>
      </c>
      <c r="C482">
        <f>IF($A482=1,SUM($A$2:$A482),0)</f>
        <v/>
      </c>
    </row>
    <row r="483">
      <c r="A483">
        <f>IF(AND(OR('Compliance Database'!$A483='Data Transfer'!$B$4,'Compliance Database'!$A483='Data Transfer'!$B$5),OR('Data Transfer'!$B$6="",ISNUMBER(SEARCH('Data Transfer'!$B$6,'Compliance Database'!$D483&amp;" "&amp;'Compliance Database'!$K483&amp;" "&amp;'Compliance Database'!$L483&amp;" "&amp;'Compliance Database'!$M483&amp;" "&amp;'Compliance Database'!$N483)))),1,0)</f>
        <v/>
      </c>
      <c r="B483">
        <f>IF($A483=1,SUM($A$2:$A483),"")</f>
        <v/>
      </c>
      <c r="C483">
        <f>IF($A483=1,SUM($A$2:$A483),0)</f>
        <v/>
      </c>
    </row>
    <row r="484">
      <c r="A484">
        <f>IF(AND(OR('Compliance Database'!$A484='Data Transfer'!$B$4,'Compliance Database'!$A484='Data Transfer'!$B$5),OR('Data Transfer'!$B$6="",ISNUMBER(SEARCH('Data Transfer'!$B$6,'Compliance Database'!$D484&amp;" "&amp;'Compliance Database'!$K484&amp;" "&amp;'Compliance Database'!$L484&amp;" "&amp;'Compliance Database'!$M484&amp;" "&amp;'Compliance Database'!$N484)))),1,0)</f>
        <v/>
      </c>
      <c r="B484">
        <f>IF($A484=1,SUM($A$2:$A484),"")</f>
        <v/>
      </c>
      <c r="C484">
        <f>IF($A484=1,SUM($A$2:$A484),0)</f>
        <v/>
      </c>
    </row>
    <row r="485">
      <c r="A485">
        <f>IF(AND(OR('Compliance Database'!$A485='Data Transfer'!$B$4,'Compliance Database'!$A485='Data Transfer'!$B$5),OR('Data Transfer'!$B$6="",ISNUMBER(SEARCH('Data Transfer'!$B$6,'Compliance Database'!$D485&amp;" "&amp;'Compliance Database'!$K485&amp;" "&amp;'Compliance Database'!$L485&amp;" "&amp;'Compliance Database'!$M485&amp;" "&amp;'Compliance Database'!$N485)))),1,0)</f>
        <v/>
      </c>
      <c r="B485">
        <f>IF($A485=1,SUM($A$2:$A485),"")</f>
        <v/>
      </c>
      <c r="C485">
        <f>IF($A485=1,SUM($A$2:$A485),0)</f>
        <v/>
      </c>
    </row>
    <row r="486">
      <c r="A486">
        <f>IF(AND(OR('Compliance Database'!$A486='Data Transfer'!$B$4,'Compliance Database'!$A486='Data Transfer'!$B$5),OR('Data Transfer'!$B$6="",ISNUMBER(SEARCH('Data Transfer'!$B$6,'Compliance Database'!$D486&amp;" "&amp;'Compliance Database'!$K486&amp;" "&amp;'Compliance Database'!$L486&amp;" "&amp;'Compliance Database'!$M486&amp;" "&amp;'Compliance Database'!$N486)))),1,0)</f>
        <v/>
      </c>
      <c r="B486">
        <f>IF($A486=1,SUM($A$2:$A486),"")</f>
        <v/>
      </c>
      <c r="C486">
        <f>IF($A486=1,SUM($A$2:$A486),0)</f>
        <v/>
      </c>
    </row>
    <row r="487">
      <c r="A487">
        <f>IF(AND(OR('Compliance Database'!$A487='Data Transfer'!$B$4,'Compliance Database'!$A487='Data Transfer'!$B$5),OR('Data Transfer'!$B$6="",ISNUMBER(SEARCH('Data Transfer'!$B$6,'Compliance Database'!$D487&amp;" "&amp;'Compliance Database'!$K487&amp;" "&amp;'Compliance Database'!$L487&amp;" "&amp;'Compliance Database'!$M487&amp;" "&amp;'Compliance Database'!$N487)))),1,0)</f>
        <v/>
      </c>
      <c r="B487">
        <f>IF($A487=1,SUM($A$2:$A487),"")</f>
        <v/>
      </c>
      <c r="C487">
        <f>IF($A487=1,SUM($A$2:$A487),0)</f>
        <v/>
      </c>
    </row>
    <row r="488">
      <c r="A488">
        <f>IF(AND(OR('Compliance Database'!$A488='Data Transfer'!$B$4,'Compliance Database'!$A488='Data Transfer'!$B$5),OR('Data Transfer'!$B$6="",ISNUMBER(SEARCH('Data Transfer'!$B$6,'Compliance Database'!$D488&amp;" "&amp;'Compliance Database'!$K488&amp;" "&amp;'Compliance Database'!$L488&amp;" "&amp;'Compliance Database'!$M488&amp;" "&amp;'Compliance Database'!$N488)))),1,0)</f>
        <v/>
      </c>
      <c r="B488">
        <f>IF($A488=1,SUM($A$2:$A488),"")</f>
        <v/>
      </c>
      <c r="C488">
        <f>IF($A488=1,SUM($A$2:$A488),0)</f>
        <v/>
      </c>
    </row>
    <row r="489">
      <c r="A489">
        <f>IF(AND(OR('Compliance Database'!$A489='Data Transfer'!$B$4,'Compliance Database'!$A489='Data Transfer'!$B$5),OR('Data Transfer'!$B$6="",ISNUMBER(SEARCH('Data Transfer'!$B$6,'Compliance Database'!$D489&amp;" "&amp;'Compliance Database'!$K489&amp;" "&amp;'Compliance Database'!$L489&amp;" "&amp;'Compliance Database'!$M489&amp;" "&amp;'Compliance Database'!$N489)))),1,0)</f>
        <v/>
      </c>
      <c r="B489">
        <f>IF($A489=1,SUM($A$2:$A489),"")</f>
        <v/>
      </c>
      <c r="C489">
        <f>IF($A489=1,SUM($A$2:$A489),0)</f>
        <v/>
      </c>
    </row>
    <row r="490">
      <c r="A490">
        <f>IF(AND(OR('Compliance Database'!$A490='Data Transfer'!$B$4,'Compliance Database'!$A490='Data Transfer'!$B$5),OR('Data Transfer'!$B$6="",ISNUMBER(SEARCH('Data Transfer'!$B$6,'Compliance Database'!$D490&amp;" "&amp;'Compliance Database'!$K490&amp;" "&amp;'Compliance Database'!$L490&amp;" "&amp;'Compliance Database'!$M490&amp;" "&amp;'Compliance Database'!$N490)))),1,0)</f>
        <v/>
      </c>
      <c r="B490">
        <f>IF($A490=1,SUM($A$2:$A490),"")</f>
        <v/>
      </c>
      <c r="C490">
        <f>IF($A490=1,SUM($A$2:$A490),0)</f>
        <v/>
      </c>
    </row>
    <row r="491">
      <c r="A491">
        <f>IF(AND(OR('Compliance Database'!$A491='Data Transfer'!$B$4,'Compliance Database'!$A491='Data Transfer'!$B$5),OR('Data Transfer'!$B$6="",ISNUMBER(SEARCH('Data Transfer'!$B$6,'Compliance Database'!$D491&amp;" "&amp;'Compliance Database'!$K491&amp;" "&amp;'Compliance Database'!$L491&amp;" "&amp;'Compliance Database'!$M491&amp;" "&amp;'Compliance Database'!$N491)))),1,0)</f>
        <v/>
      </c>
      <c r="B491">
        <f>IF($A491=1,SUM($A$2:$A491),"")</f>
        <v/>
      </c>
      <c r="C491">
        <f>IF($A491=1,SUM($A$2:$A491),0)</f>
        <v/>
      </c>
    </row>
    <row r="492">
      <c r="A492">
        <f>IF(AND(OR('Compliance Database'!$A492='Data Transfer'!$B$4,'Compliance Database'!$A492='Data Transfer'!$B$5),OR('Data Transfer'!$B$6="",ISNUMBER(SEARCH('Data Transfer'!$B$6,'Compliance Database'!$D492&amp;" "&amp;'Compliance Database'!$K492&amp;" "&amp;'Compliance Database'!$L492&amp;" "&amp;'Compliance Database'!$M492&amp;" "&amp;'Compliance Database'!$N492)))),1,0)</f>
        <v/>
      </c>
      <c r="B492">
        <f>IF($A492=1,SUM($A$2:$A492),"")</f>
        <v/>
      </c>
      <c r="C492">
        <f>IF($A492=1,SUM($A$2:$A492),0)</f>
        <v/>
      </c>
    </row>
    <row r="493">
      <c r="A493">
        <f>IF(AND(OR('Compliance Database'!$A493='Data Transfer'!$B$4,'Compliance Database'!$A493='Data Transfer'!$B$5),OR('Data Transfer'!$B$6="",ISNUMBER(SEARCH('Data Transfer'!$B$6,'Compliance Database'!$D493&amp;" "&amp;'Compliance Database'!$K493&amp;" "&amp;'Compliance Database'!$L493&amp;" "&amp;'Compliance Database'!$M493&amp;" "&amp;'Compliance Database'!$N493)))),1,0)</f>
        <v/>
      </c>
      <c r="B493">
        <f>IF($A493=1,SUM($A$2:$A493),"")</f>
        <v/>
      </c>
      <c r="C493">
        <f>IF($A493=1,SUM($A$2:$A493),0)</f>
        <v/>
      </c>
    </row>
    <row r="494">
      <c r="A494">
        <f>IF(AND(OR('Compliance Database'!$A494='Data Transfer'!$B$4,'Compliance Database'!$A494='Data Transfer'!$B$5),OR('Data Transfer'!$B$6="",ISNUMBER(SEARCH('Data Transfer'!$B$6,'Compliance Database'!$D494&amp;" "&amp;'Compliance Database'!$K494&amp;" "&amp;'Compliance Database'!$L494&amp;" "&amp;'Compliance Database'!$M494&amp;" "&amp;'Compliance Database'!$N494)))),1,0)</f>
        <v/>
      </c>
      <c r="B494">
        <f>IF($A494=1,SUM($A$2:$A494),"")</f>
        <v/>
      </c>
      <c r="C494">
        <f>IF($A494=1,SUM($A$2:$A494),0)</f>
        <v/>
      </c>
    </row>
    <row r="495">
      <c r="A495">
        <f>IF(AND(OR('Compliance Database'!$A495='Data Transfer'!$B$4,'Compliance Database'!$A495='Data Transfer'!$B$5),OR('Data Transfer'!$B$6="",ISNUMBER(SEARCH('Data Transfer'!$B$6,'Compliance Database'!$D495&amp;" "&amp;'Compliance Database'!$K495&amp;" "&amp;'Compliance Database'!$L495&amp;" "&amp;'Compliance Database'!$M495&amp;" "&amp;'Compliance Database'!$N495)))),1,0)</f>
        <v/>
      </c>
      <c r="B495">
        <f>IF($A495=1,SUM($A$2:$A495),"")</f>
        <v/>
      </c>
      <c r="C495">
        <f>IF($A495=1,SUM($A$2:$A495),0)</f>
        <v/>
      </c>
    </row>
    <row r="496">
      <c r="A496">
        <f>IF(AND(OR('Compliance Database'!$A496='Data Transfer'!$B$4,'Compliance Database'!$A496='Data Transfer'!$B$5),OR('Data Transfer'!$B$6="",ISNUMBER(SEARCH('Data Transfer'!$B$6,'Compliance Database'!$D496&amp;" "&amp;'Compliance Database'!$K496&amp;" "&amp;'Compliance Database'!$L496&amp;" "&amp;'Compliance Database'!$M496&amp;" "&amp;'Compliance Database'!$N496)))),1,0)</f>
        <v/>
      </c>
      <c r="B496">
        <f>IF($A496=1,SUM($A$2:$A496),"")</f>
        <v/>
      </c>
      <c r="C496">
        <f>IF($A496=1,SUM($A$2:$A496),0)</f>
        <v/>
      </c>
    </row>
    <row r="497">
      <c r="A497">
        <f>IF(AND(OR('Compliance Database'!$A497='Data Transfer'!$B$4,'Compliance Database'!$A497='Data Transfer'!$B$5),OR('Data Transfer'!$B$6="",ISNUMBER(SEARCH('Data Transfer'!$B$6,'Compliance Database'!$D497&amp;" "&amp;'Compliance Database'!$K497&amp;" "&amp;'Compliance Database'!$L497&amp;" "&amp;'Compliance Database'!$M497&amp;" "&amp;'Compliance Database'!$N497)))),1,0)</f>
        <v/>
      </c>
      <c r="B497">
        <f>IF($A497=1,SUM($A$2:$A497),"")</f>
        <v/>
      </c>
      <c r="C497">
        <f>IF($A497=1,SUM($A$2:$A497),0)</f>
        <v/>
      </c>
    </row>
    <row r="498">
      <c r="A498">
        <f>IF(AND(OR('Compliance Database'!$A498='Data Transfer'!$B$4,'Compliance Database'!$A498='Data Transfer'!$B$5),OR('Data Transfer'!$B$6="",ISNUMBER(SEARCH('Data Transfer'!$B$6,'Compliance Database'!$D498&amp;" "&amp;'Compliance Database'!$K498&amp;" "&amp;'Compliance Database'!$L498&amp;" "&amp;'Compliance Database'!$M498&amp;" "&amp;'Compliance Database'!$N498)))),1,0)</f>
        <v/>
      </c>
      <c r="B498">
        <f>IF($A498=1,SUM($A$2:$A498),"")</f>
        <v/>
      </c>
      <c r="C498">
        <f>IF($A498=1,SUM($A$2:$A498),0)</f>
        <v/>
      </c>
    </row>
    <row r="499">
      <c r="A499">
        <f>IF(AND(OR('Compliance Database'!$A499='Data Transfer'!$B$4,'Compliance Database'!$A499='Data Transfer'!$B$5),OR('Data Transfer'!$B$6="",ISNUMBER(SEARCH('Data Transfer'!$B$6,'Compliance Database'!$D499&amp;" "&amp;'Compliance Database'!$K499&amp;" "&amp;'Compliance Database'!$L499&amp;" "&amp;'Compliance Database'!$M499&amp;" "&amp;'Compliance Database'!$N499)))),1,0)</f>
        <v/>
      </c>
      <c r="B499">
        <f>IF($A499=1,SUM($A$2:$A499),"")</f>
        <v/>
      </c>
      <c r="C499">
        <f>IF($A499=1,SUM($A$2:$A499),0)</f>
        <v/>
      </c>
    </row>
    <row r="500">
      <c r="A500">
        <f>IF(AND(OR('Compliance Database'!$A500='Data Transfer'!$B$4,'Compliance Database'!$A500='Data Transfer'!$B$5),OR('Data Transfer'!$B$6="",ISNUMBER(SEARCH('Data Transfer'!$B$6,'Compliance Database'!$D500&amp;" "&amp;'Compliance Database'!$K500&amp;" "&amp;'Compliance Database'!$L500&amp;" "&amp;'Compliance Database'!$M500&amp;" "&amp;'Compliance Database'!$N500)))),1,0)</f>
        <v/>
      </c>
      <c r="B500">
        <f>IF($A500=1,SUM($A$2:$A500),"")</f>
        <v/>
      </c>
      <c r="C500">
        <f>IF($A500=1,SUM($A$2:$A500),0)</f>
        <v/>
      </c>
    </row>
    <row r="501">
      <c r="A501">
        <f>IF(AND(OR('Compliance Database'!$A501='Data Transfer'!$B$4,'Compliance Database'!$A501='Data Transfer'!$B$5),OR('Data Transfer'!$B$6="",ISNUMBER(SEARCH('Data Transfer'!$B$6,'Compliance Database'!$D501&amp;" "&amp;'Compliance Database'!$K501&amp;" "&amp;'Compliance Database'!$L501&amp;" "&amp;'Compliance Database'!$M501&amp;" "&amp;'Compliance Database'!$N501)))),1,0)</f>
        <v/>
      </c>
      <c r="B501">
        <f>IF($A501=1,SUM($A$2:$A501),"")</f>
        <v/>
      </c>
      <c r="C501">
        <f>IF($A501=1,SUM($A$2:$A501),0)</f>
        <v/>
      </c>
    </row>
    <row r="502">
      <c r="A502">
        <f>IF(AND(OR('Compliance Database'!$A502='Data Transfer'!$B$4,'Compliance Database'!$A502='Data Transfer'!$B$5),OR('Data Transfer'!$B$6="",ISNUMBER(SEARCH('Data Transfer'!$B$6,'Compliance Database'!$D502&amp;" "&amp;'Compliance Database'!$K502&amp;" "&amp;'Compliance Database'!$L502&amp;" "&amp;'Compliance Database'!$M502&amp;" "&amp;'Compliance Database'!$N502)))),1,0)</f>
        <v/>
      </c>
      <c r="B502">
        <f>IF($A502=1,SUM($A$2:$A502),"")</f>
        <v/>
      </c>
      <c r="C502">
        <f>IF($A502=1,SUM($A$2:$A502),0)</f>
        <v/>
      </c>
    </row>
    <row r="503">
      <c r="A503">
        <f>IF(AND(OR('Compliance Database'!$A503='Data Transfer'!$B$4,'Compliance Database'!$A503='Data Transfer'!$B$5),OR('Data Transfer'!$B$6="",ISNUMBER(SEARCH('Data Transfer'!$B$6,'Compliance Database'!$D503&amp;" "&amp;'Compliance Database'!$K503&amp;" "&amp;'Compliance Database'!$L503&amp;" "&amp;'Compliance Database'!$M503&amp;" "&amp;'Compliance Database'!$N503)))),1,0)</f>
        <v/>
      </c>
      <c r="B503">
        <f>IF($A503=1,SUM($A$2:$A503),"")</f>
        <v/>
      </c>
      <c r="C503">
        <f>IF($A503=1,SUM($A$2:$A503),0)</f>
        <v/>
      </c>
    </row>
    <row r="504">
      <c r="A504">
        <f>IF(AND(OR('Compliance Database'!$A504='Data Transfer'!$B$4,'Compliance Database'!$A504='Data Transfer'!$B$5),OR('Data Transfer'!$B$6="",ISNUMBER(SEARCH('Data Transfer'!$B$6,'Compliance Database'!$D504&amp;" "&amp;'Compliance Database'!$K504&amp;" "&amp;'Compliance Database'!$L504&amp;" "&amp;'Compliance Database'!$M504&amp;" "&amp;'Compliance Database'!$N504)))),1,0)</f>
        <v/>
      </c>
      <c r="B504">
        <f>IF($A504=1,SUM($A$2:$A504),"")</f>
        <v/>
      </c>
      <c r="C504">
        <f>IF($A504=1,SUM($A$2:$A504),0)</f>
        <v/>
      </c>
    </row>
    <row r="505">
      <c r="A505">
        <f>IF(AND(OR('Compliance Database'!$A505='Data Transfer'!$B$4,'Compliance Database'!$A505='Data Transfer'!$B$5),OR('Data Transfer'!$B$6="",ISNUMBER(SEARCH('Data Transfer'!$B$6,'Compliance Database'!$D505&amp;" "&amp;'Compliance Database'!$K505&amp;" "&amp;'Compliance Database'!$L505&amp;" "&amp;'Compliance Database'!$M505&amp;" "&amp;'Compliance Database'!$N505)))),1,0)</f>
        <v/>
      </c>
      <c r="B505">
        <f>IF($A505=1,SUM($A$2:$A505),"")</f>
        <v/>
      </c>
      <c r="C505">
        <f>IF($A505=1,SUM($A$2:$A505),0)</f>
        <v/>
      </c>
    </row>
    <row r="506">
      <c r="A506">
        <f>IF(AND(OR('Compliance Database'!$A506='Data Transfer'!$B$4,'Compliance Database'!$A506='Data Transfer'!$B$5),OR('Data Transfer'!$B$6="",ISNUMBER(SEARCH('Data Transfer'!$B$6,'Compliance Database'!$D506&amp;" "&amp;'Compliance Database'!$K506&amp;" "&amp;'Compliance Database'!$L506&amp;" "&amp;'Compliance Database'!$M506&amp;" "&amp;'Compliance Database'!$N506)))),1,0)</f>
        <v/>
      </c>
      <c r="B506">
        <f>IF($A506=1,SUM($A$2:$A506),"")</f>
        <v/>
      </c>
      <c r="C506">
        <f>IF($A506=1,SUM($A$2:$A506),0)</f>
        <v/>
      </c>
    </row>
    <row r="507">
      <c r="A507">
        <f>IF(AND(OR('Compliance Database'!$A507='Data Transfer'!$B$4,'Compliance Database'!$A507='Data Transfer'!$B$5),OR('Data Transfer'!$B$6="",ISNUMBER(SEARCH('Data Transfer'!$B$6,'Compliance Database'!$D507&amp;" "&amp;'Compliance Database'!$K507&amp;" "&amp;'Compliance Database'!$L507&amp;" "&amp;'Compliance Database'!$M507&amp;" "&amp;'Compliance Database'!$N507)))),1,0)</f>
        <v/>
      </c>
      <c r="B507">
        <f>IF($A507=1,SUM($A$2:$A507),"")</f>
        <v/>
      </c>
      <c r="C507">
        <f>IF($A507=1,SUM($A$2:$A507),0)</f>
        <v/>
      </c>
    </row>
    <row r="508">
      <c r="A508">
        <f>IF(AND(OR('Compliance Database'!$A508='Data Transfer'!$B$4,'Compliance Database'!$A508='Data Transfer'!$B$5),OR('Data Transfer'!$B$6="",ISNUMBER(SEARCH('Data Transfer'!$B$6,'Compliance Database'!$D508&amp;" "&amp;'Compliance Database'!$K508&amp;" "&amp;'Compliance Database'!$L508&amp;" "&amp;'Compliance Database'!$M508&amp;" "&amp;'Compliance Database'!$N508)))),1,0)</f>
        <v/>
      </c>
      <c r="B508">
        <f>IF($A508=1,SUM($A$2:$A508),"")</f>
        <v/>
      </c>
      <c r="C508">
        <f>IF($A508=1,SUM($A$2:$A508),0)</f>
        <v/>
      </c>
    </row>
    <row r="509">
      <c r="A509">
        <f>IF(AND(OR('Compliance Database'!$A509='Data Transfer'!$B$4,'Compliance Database'!$A509='Data Transfer'!$B$5),OR('Data Transfer'!$B$6="",ISNUMBER(SEARCH('Data Transfer'!$B$6,'Compliance Database'!$D509&amp;" "&amp;'Compliance Database'!$K509&amp;" "&amp;'Compliance Database'!$L509&amp;" "&amp;'Compliance Database'!$M509&amp;" "&amp;'Compliance Database'!$N509)))),1,0)</f>
        <v/>
      </c>
      <c r="B509">
        <f>IF($A509=1,SUM($A$2:$A509),"")</f>
        <v/>
      </c>
      <c r="C509">
        <f>IF($A509=1,SUM($A$2:$A509),0)</f>
        <v/>
      </c>
    </row>
    <row r="510">
      <c r="A510">
        <f>IF(AND(OR('Compliance Database'!$A510='Data Transfer'!$B$4,'Compliance Database'!$A510='Data Transfer'!$B$5),OR('Data Transfer'!$B$6="",ISNUMBER(SEARCH('Data Transfer'!$B$6,'Compliance Database'!$D510&amp;" "&amp;'Compliance Database'!$K510&amp;" "&amp;'Compliance Database'!$L510&amp;" "&amp;'Compliance Database'!$M510&amp;" "&amp;'Compliance Database'!$N510)))),1,0)</f>
        <v/>
      </c>
      <c r="B510">
        <f>IF($A510=1,SUM($A$2:$A510),"")</f>
        <v/>
      </c>
      <c r="C510">
        <f>IF($A510=1,SUM($A$2:$A510),0)</f>
        <v/>
      </c>
    </row>
    <row r="511">
      <c r="A511">
        <f>IF(AND(OR('Compliance Database'!$A511='Data Transfer'!$B$4,'Compliance Database'!$A511='Data Transfer'!$B$5),OR('Data Transfer'!$B$6="",ISNUMBER(SEARCH('Data Transfer'!$B$6,'Compliance Database'!$D511&amp;" "&amp;'Compliance Database'!$K511&amp;" "&amp;'Compliance Database'!$L511&amp;" "&amp;'Compliance Database'!$M511&amp;" "&amp;'Compliance Database'!$N511)))),1,0)</f>
        <v/>
      </c>
      <c r="B511">
        <f>IF($A511=1,SUM($A$2:$A511),"")</f>
        <v/>
      </c>
      <c r="C511">
        <f>IF($A511=1,SUM($A$2:$A511),0)</f>
        <v/>
      </c>
    </row>
    <row r="512">
      <c r="A512">
        <f>IF(AND(OR('Compliance Database'!$A512='Data Transfer'!$B$4,'Compliance Database'!$A512='Data Transfer'!$B$5),OR('Data Transfer'!$B$6="",ISNUMBER(SEARCH('Data Transfer'!$B$6,'Compliance Database'!$D512&amp;" "&amp;'Compliance Database'!$K512&amp;" "&amp;'Compliance Database'!$L512&amp;" "&amp;'Compliance Database'!$M512&amp;" "&amp;'Compliance Database'!$N512)))),1,0)</f>
        <v/>
      </c>
      <c r="B512">
        <f>IF($A512=1,SUM($A$2:$A512),"")</f>
        <v/>
      </c>
      <c r="C512">
        <f>IF($A512=1,SUM($A$2:$A512),0)</f>
        <v/>
      </c>
    </row>
    <row r="513">
      <c r="A513">
        <f>IF(AND(OR('Compliance Database'!$A513='Data Transfer'!$B$4,'Compliance Database'!$A513='Data Transfer'!$B$5),OR('Data Transfer'!$B$6="",ISNUMBER(SEARCH('Data Transfer'!$B$6,'Compliance Database'!$D513&amp;" "&amp;'Compliance Database'!$K513&amp;" "&amp;'Compliance Database'!$L513&amp;" "&amp;'Compliance Database'!$M513&amp;" "&amp;'Compliance Database'!$N513)))),1,0)</f>
        <v/>
      </c>
      <c r="B513">
        <f>IF($A513=1,SUM($A$2:$A513),"")</f>
        <v/>
      </c>
      <c r="C513">
        <f>IF($A513=1,SUM($A$2:$A513),0)</f>
        <v/>
      </c>
    </row>
    <row r="514">
      <c r="A514">
        <f>IF(AND(OR('Compliance Database'!$A514='Data Transfer'!$B$4,'Compliance Database'!$A514='Data Transfer'!$B$5),OR('Data Transfer'!$B$6="",ISNUMBER(SEARCH('Data Transfer'!$B$6,'Compliance Database'!$D514&amp;" "&amp;'Compliance Database'!$K514&amp;" "&amp;'Compliance Database'!$L514&amp;" "&amp;'Compliance Database'!$M514&amp;" "&amp;'Compliance Database'!$N514)))),1,0)</f>
        <v/>
      </c>
      <c r="B514">
        <f>IF($A514=1,SUM($A$2:$A514),"")</f>
        <v/>
      </c>
      <c r="C514">
        <f>IF($A514=1,SUM($A$2:$A514),0)</f>
        <v/>
      </c>
    </row>
    <row r="515">
      <c r="A515">
        <f>IF(AND(OR('Compliance Database'!$A515='Data Transfer'!$B$4,'Compliance Database'!$A515='Data Transfer'!$B$5),OR('Data Transfer'!$B$6="",ISNUMBER(SEARCH('Data Transfer'!$B$6,'Compliance Database'!$D515&amp;" "&amp;'Compliance Database'!$K515&amp;" "&amp;'Compliance Database'!$L515&amp;" "&amp;'Compliance Database'!$M515&amp;" "&amp;'Compliance Database'!$N515)))),1,0)</f>
        <v/>
      </c>
      <c r="B515">
        <f>IF($A515=1,SUM($A$2:$A515),"")</f>
        <v/>
      </c>
      <c r="C515">
        <f>IF($A515=1,SUM($A$2:$A515),0)</f>
        <v/>
      </c>
    </row>
    <row r="516">
      <c r="A516">
        <f>IF(AND(OR('Compliance Database'!$A516='Data Transfer'!$B$4,'Compliance Database'!$A516='Data Transfer'!$B$5),OR('Data Transfer'!$B$6="",ISNUMBER(SEARCH('Data Transfer'!$B$6,'Compliance Database'!$D516&amp;" "&amp;'Compliance Database'!$K516&amp;" "&amp;'Compliance Database'!$L516&amp;" "&amp;'Compliance Database'!$M516&amp;" "&amp;'Compliance Database'!$N516)))),1,0)</f>
        <v/>
      </c>
      <c r="B516">
        <f>IF($A516=1,SUM($A$2:$A516),"")</f>
        <v/>
      </c>
      <c r="C516">
        <f>IF($A516=1,SUM($A$2:$A516),0)</f>
        <v/>
      </c>
    </row>
    <row r="517">
      <c r="A517">
        <f>IF(AND(OR('Compliance Database'!$A517='Data Transfer'!$B$4,'Compliance Database'!$A517='Data Transfer'!$B$5),OR('Data Transfer'!$B$6="",ISNUMBER(SEARCH('Data Transfer'!$B$6,'Compliance Database'!$D517&amp;" "&amp;'Compliance Database'!$K517&amp;" "&amp;'Compliance Database'!$L517&amp;" "&amp;'Compliance Database'!$M517&amp;" "&amp;'Compliance Database'!$N517)))),1,0)</f>
        <v/>
      </c>
      <c r="B517">
        <f>IF($A517=1,SUM($A$2:$A517),"")</f>
        <v/>
      </c>
      <c r="C517">
        <f>IF($A517=1,SUM($A$2:$A517),0)</f>
        <v/>
      </c>
    </row>
    <row r="518">
      <c r="A518">
        <f>IF(AND(OR('Compliance Database'!$A518='Data Transfer'!$B$4,'Compliance Database'!$A518='Data Transfer'!$B$5),OR('Data Transfer'!$B$6="",ISNUMBER(SEARCH('Data Transfer'!$B$6,'Compliance Database'!$D518&amp;" "&amp;'Compliance Database'!$K518&amp;" "&amp;'Compliance Database'!$L518&amp;" "&amp;'Compliance Database'!$M518&amp;" "&amp;'Compliance Database'!$N518)))),1,0)</f>
        <v/>
      </c>
      <c r="B518">
        <f>IF($A518=1,SUM($A$2:$A518),"")</f>
        <v/>
      </c>
      <c r="C518">
        <f>IF($A518=1,SUM($A$2:$A518),0)</f>
        <v/>
      </c>
    </row>
    <row r="519">
      <c r="A519">
        <f>IF(AND(OR('Compliance Database'!$A519='Data Transfer'!$B$4,'Compliance Database'!$A519='Data Transfer'!$B$5),OR('Data Transfer'!$B$6="",ISNUMBER(SEARCH('Data Transfer'!$B$6,'Compliance Database'!$D519&amp;" "&amp;'Compliance Database'!$K519&amp;" "&amp;'Compliance Database'!$L519&amp;" "&amp;'Compliance Database'!$M519&amp;" "&amp;'Compliance Database'!$N519)))),1,0)</f>
        <v/>
      </c>
      <c r="B519">
        <f>IF($A519=1,SUM($A$2:$A519),"")</f>
        <v/>
      </c>
      <c r="C519">
        <f>IF($A519=1,SUM($A$2:$A519),0)</f>
        <v/>
      </c>
    </row>
    <row r="520">
      <c r="A520">
        <f>IF(AND(OR('Compliance Database'!$A520='Data Transfer'!$B$4,'Compliance Database'!$A520='Data Transfer'!$B$5),OR('Data Transfer'!$B$6="",ISNUMBER(SEARCH('Data Transfer'!$B$6,'Compliance Database'!$D520&amp;" "&amp;'Compliance Database'!$K520&amp;" "&amp;'Compliance Database'!$L520&amp;" "&amp;'Compliance Database'!$M520&amp;" "&amp;'Compliance Database'!$N520)))),1,0)</f>
        <v/>
      </c>
      <c r="B520">
        <f>IF($A520=1,SUM($A$2:$A520),"")</f>
        <v/>
      </c>
      <c r="C520">
        <f>IF($A520=1,SUM($A$2:$A520),0)</f>
        <v/>
      </c>
    </row>
    <row r="521">
      <c r="A521">
        <f>IF(AND(OR('Compliance Database'!$A521='Data Transfer'!$B$4,'Compliance Database'!$A521='Data Transfer'!$B$5),OR('Data Transfer'!$B$6="",ISNUMBER(SEARCH('Data Transfer'!$B$6,'Compliance Database'!$D521&amp;" "&amp;'Compliance Database'!$K521&amp;" "&amp;'Compliance Database'!$L521&amp;" "&amp;'Compliance Database'!$M521&amp;" "&amp;'Compliance Database'!$N521)))),1,0)</f>
        <v/>
      </c>
      <c r="B521">
        <f>IF($A521=1,SUM($A$2:$A521),"")</f>
        <v/>
      </c>
      <c r="C521">
        <f>IF($A521=1,SUM($A$2:$A521),0)</f>
        <v/>
      </c>
    </row>
    <row r="522">
      <c r="A522">
        <f>IF(AND(OR('Compliance Database'!$A522='Data Transfer'!$B$4,'Compliance Database'!$A522='Data Transfer'!$B$5),OR('Data Transfer'!$B$6="",ISNUMBER(SEARCH('Data Transfer'!$B$6,'Compliance Database'!$D522&amp;" "&amp;'Compliance Database'!$K522&amp;" "&amp;'Compliance Database'!$L522&amp;" "&amp;'Compliance Database'!$M522&amp;" "&amp;'Compliance Database'!$N522)))),1,0)</f>
        <v/>
      </c>
      <c r="B522">
        <f>IF($A522=1,SUM($A$2:$A522),"")</f>
        <v/>
      </c>
      <c r="C522">
        <f>IF($A522=1,SUM($A$2:$A522),0)</f>
        <v/>
      </c>
    </row>
    <row r="523">
      <c r="A523">
        <f>IF(AND(OR('Compliance Database'!$A523='Data Transfer'!$B$4,'Compliance Database'!$A523='Data Transfer'!$B$5),OR('Data Transfer'!$B$6="",ISNUMBER(SEARCH('Data Transfer'!$B$6,'Compliance Database'!$D523&amp;" "&amp;'Compliance Database'!$K523&amp;" "&amp;'Compliance Database'!$L523&amp;" "&amp;'Compliance Database'!$M523&amp;" "&amp;'Compliance Database'!$N523)))),1,0)</f>
        <v/>
      </c>
      <c r="B523">
        <f>IF($A523=1,SUM($A$2:$A523),"")</f>
        <v/>
      </c>
      <c r="C523">
        <f>IF($A523=1,SUM($A$2:$A523),0)</f>
        <v/>
      </c>
    </row>
    <row r="524">
      <c r="A524">
        <f>IF(AND(OR('Compliance Database'!$A524='Data Transfer'!$B$4,'Compliance Database'!$A524='Data Transfer'!$B$5),OR('Data Transfer'!$B$6="",ISNUMBER(SEARCH('Data Transfer'!$B$6,'Compliance Database'!$D524&amp;" "&amp;'Compliance Database'!$K524&amp;" "&amp;'Compliance Database'!$L524&amp;" "&amp;'Compliance Database'!$M524&amp;" "&amp;'Compliance Database'!$N524)))),1,0)</f>
        <v/>
      </c>
      <c r="B524">
        <f>IF($A524=1,SUM($A$2:$A524),"")</f>
        <v/>
      </c>
      <c r="C524">
        <f>IF($A524=1,SUM($A$2:$A524),0)</f>
        <v/>
      </c>
    </row>
    <row r="525">
      <c r="A525">
        <f>IF(AND(OR('Compliance Database'!$A525='Data Transfer'!$B$4,'Compliance Database'!$A525='Data Transfer'!$B$5),OR('Data Transfer'!$B$6="",ISNUMBER(SEARCH('Data Transfer'!$B$6,'Compliance Database'!$D525&amp;" "&amp;'Compliance Database'!$K525&amp;" "&amp;'Compliance Database'!$L525&amp;" "&amp;'Compliance Database'!$M525&amp;" "&amp;'Compliance Database'!$N525)))),1,0)</f>
        <v/>
      </c>
      <c r="B525">
        <f>IF($A525=1,SUM($A$2:$A525),"")</f>
        <v/>
      </c>
      <c r="C525">
        <f>IF($A525=1,SUM($A$2:$A525),0)</f>
        <v/>
      </c>
    </row>
    <row r="526">
      <c r="A526">
        <f>IF(AND(OR('Compliance Database'!$A526='Data Transfer'!$B$4,'Compliance Database'!$A526='Data Transfer'!$B$5),OR('Data Transfer'!$B$6="",ISNUMBER(SEARCH('Data Transfer'!$B$6,'Compliance Database'!$D526&amp;" "&amp;'Compliance Database'!$K526&amp;" "&amp;'Compliance Database'!$L526&amp;" "&amp;'Compliance Database'!$M526&amp;" "&amp;'Compliance Database'!$N526)))),1,0)</f>
        <v/>
      </c>
      <c r="B526">
        <f>IF($A526=1,SUM($A$2:$A526),"")</f>
        <v/>
      </c>
      <c r="C526">
        <f>IF($A526=1,SUM($A$2:$A526),0)</f>
        <v/>
      </c>
    </row>
    <row r="527">
      <c r="A527">
        <f>IF(AND(OR('Compliance Database'!$A527='Data Transfer'!$B$4,'Compliance Database'!$A527='Data Transfer'!$B$5),OR('Data Transfer'!$B$6="",ISNUMBER(SEARCH('Data Transfer'!$B$6,'Compliance Database'!$D527&amp;" "&amp;'Compliance Database'!$K527&amp;" "&amp;'Compliance Database'!$L527&amp;" "&amp;'Compliance Database'!$M527&amp;" "&amp;'Compliance Database'!$N527)))),1,0)</f>
        <v/>
      </c>
      <c r="B527">
        <f>IF($A527=1,SUM($A$2:$A527),"")</f>
        <v/>
      </c>
      <c r="C527">
        <f>IF($A527=1,SUM($A$2:$A527),0)</f>
        <v/>
      </c>
    </row>
    <row r="528">
      <c r="A528">
        <f>IF(AND(OR('Compliance Database'!$A528='Data Transfer'!$B$4,'Compliance Database'!$A528='Data Transfer'!$B$5),OR('Data Transfer'!$B$6="",ISNUMBER(SEARCH('Data Transfer'!$B$6,'Compliance Database'!$D528&amp;" "&amp;'Compliance Database'!$K528&amp;" "&amp;'Compliance Database'!$L528&amp;" "&amp;'Compliance Database'!$M528&amp;" "&amp;'Compliance Database'!$N528)))),1,0)</f>
        <v/>
      </c>
      <c r="B528">
        <f>IF($A528=1,SUM($A$2:$A528),"")</f>
        <v/>
      </c>
      <c r="C528">
        <f>IF($A528=1,SUM($A$2:$A528),0)</f>
        <v/>
      </c>
    </row>
    <row r="529">
      <c r="A529">
        <f>IF(AND(OR('Compliance Database'!$A529='Data Transfer'!$B$4,'Compliance Database'!$A529='Data Transfer'!$B$5),OR('Data Transfer'!$B$6="",ISNUMBER(SEARCH('Data Transfer'!$B$6,'Compliance Database'!$D529&amp;" "&amp;'Compliance Database'!$K529&amp;" "&amp;'Compliance Database'!$L529&amp;" "&amp;'Compliance Database'!$M529&amp;" "&amp;'Compliance Database'!$N529)))),1,0)</f>
        <v/>
      </c>
      <c r="B529">
        <f>IF($A529=1,SUM($A$2:$A529),"")</f>
        <v/>
      </c>
      <c r="C529">
        <f>IF($A529=1,SUM($A$2:$A529),0)</f>
        <v/>
      </c>
    </row>
    <row r="530">
      <c r="A530">
        <f>IF(AND(OR('Compliance Database'!$A530='Data Transfer'!$B$4,'Compliance Database'!$A530='Data Transfer'!$B$5),OR('Data Transfer'!$B$6="",ISNUMBER(SEARCH('Data Transfer'!$B$6,'Compliance Database'!$D530&amp;" "&amp;'Compliance Database'!$K530&amp;" "&amp;'Compliance Database'!$L530&amp;" "&amp;'Compliance Database'!$M530&amp;" "&amp;'Compliance Database'!$N530)))),1,0)</f>
        <v/>
      </c>
      <c r="B530">
        <f>IF($A530=1,SUM($A$2:$A530),"")</f>
        <v/>
      </c>
      <c r="C530">
        <f>IF($A530=1,SUM($A$2:$A530),0)</f>
        <v/>
      </c>
    </row>
    <row r="531">
      <c r="A531">
        <f>IF(AND(OR('Compliance Database'!$A531='Data Transfer'!$B$4,'Compliance Database'!$A531='Data Transfer'!$B$5),OR('Data Transfer'!$B$6="",ISNUMBER(SEARCH('Data Transfer'!$B$6,'Compliance Database'!$D531&amp;" "&amp;'Compliance Database'!$K531&amp;" "&amp;'Compliance Database'!$L531&amp;" "&amp;'Compliance Database'!$M531&amp;" "&amp;'Compliance Database'!$N531)))),1,0)</f>
        <v/>
      </c>
      <c r="B531">
        <f>IF($A531=1,SUM($A$2:$A531),"")</f>
        <v/>
      </c>
      <c r="C531">
        <f>IF($A531=1,SUM($A$2:$A531),0)</f>
        <v/>
      </c>
    </row>
    <row r="532">
      <c r="A532">
        <f>IF(AND(OR('Compliance Database'!$A532='Data Transfer'!$B$4,'Compliance Database'!$A532='Data Transfer'!$B$5),OR('Data Transfer'!$B$6="",ISNUMBER(SEARCH('Data Transfer'!$B$6,'Compliance Database'!$D532&amp;" "&amp;'Compliance Database'!$K532&amp;" "&amp;'Compliance Database'!$L532&amp;" "&amp;'Compliance Database'!$M532&amp;" "&amp;'Compliance Database'!$N532)))),1,0)</f>
        <v/>
      </c>
      <c r="B532">
        <f>IF($A532=1,SUM($A$2:$A532),"")</f>
        <v/>
      </c>
      <c r="C532">
        <f>IF($A532=1,SUM($A$2:$A532),0)</f>
        <v/>
      </c>
    </row>
    <row r="533">
      <c r="A533">
        <f>IF(AND(OR('Compliance Database'!$A533='Data Transfer'!$B$4,'Compliance Database'!$A533='Data Transfer'!$B$5),OR('Data Transfer'!$B$6="",ISNUMBER(SEARCH('Data Transfer'!$B$6,'Compliance Database'!$D533&amp;" "&amp;'Compliance Database'!$K533&amp;" "&amp;'Compliance Database'!$L533&amp;" "&amp;'Compliance Database'!$M533&amp;" "&amp;'Compliance Database'!$N533)))),1,0)</f>
        <v/>
      </c>
      <c r="B533">
        <f>IF($A533=1,SUM($A$2:$A533),"")</f>
        <v/>
      </c>
      <c r="C533">
        <f>IF($A533=1,SUM($A$2:$A533),0)</f>
        <v/>
      </c>
    </row>
    <row r="534">
      <c r="A534">
        <f>IF(AND(OR('Compliance Database'!$A534='Data Transfer'!$B$4,'Compliance Database'!$A534='Data Transfer'!$B$5),OR('Data Transfer'!$B$6="",ISNUMBER(SEARCH('Data Transfer'!$B$6,'Compliance Database'!$D534&amp;" "&amp;'Compliance Database'!$K534&amp;" "&amp;'Compliance Database'!$L534&amp;" "&amp;'Compliance Database'!$M534&amp;" "&amp;'Compliance Database'!$N534)))),1,0)</f>
        <v/>
      </c>
      <c r="B534">
        <f>IF($A534=1,SUM($A$2:$A534),"")</f>
        <v/>
      </c>
      <c r="C534">
        <f>IF($A534=1,SUM($A$2:$A534),0)</f>
        <v/>
      </c>
    </row>
    <row r="535">
      <c r="A535">
        <f>IF(AND(OR('Compliance Database'!$A535='Data Transfer'!$B$4,'Compliance Database'!$A535='Data Transfer'!$B$5),OR('Data Transfer'!$B$6="",ISNUMBER(SEARCH('Data Transfer'!$B$6,'Compliance Database'!$D535&amp;" "&amp;'Compliance Database'!$K535&amp;" "&amp;'Compliance Database'!$L535&amp;" "&amp;'Compliance Database'!$M535&amp;" "&amp;'Compliance Database'!$N535)))),1,0)</f>
        <v/>
      </c>
      <c r="B535">
        <f>IF($A535=1,SUM($A$2:$A535),"")</f>
        <v/>
      </c>
      <c r="C535">
        <f>IF($A535=1,SUM($A$2:$A535),0)</f>
        <v/>
      </c>
    </row>
    <row r="536">
      <c r="A536">
        <f>IF(AND(OR('Compliance Database'!$A536='Data Transfer'!$B$4,'Compliance Database'!$A536='Data Transfer'!$B$5),OR('Data Transfer'!$B$6="",ISNUMBER(SEARCH('Data Transfer'!$B$6,'Compliance Database'!$D536&amp;" "&amp;'Compliance Database'!$K536&amp;" "&amp;'Compliance Database'!$L536&amp;" "&amp;'Compliance Database'!$M536&amp;" "&amp;'Compliance Database'!$N536)))),1,0)</f>
        <v/>
      </c>
      <c r="B536">
        <f>IF($A536=1,SUM($A$2:$A536),"")</f>
        <v/>
      </c>
      <c r="C536">
        <f>IF($A536=1,SUM($A$2:$A536),0)</f>
        <v/>
      </c>
    </row>
    <row r="537">
      <c r="A537">
        <f>IF(AND(OR('Compliance Database'!$A537='Data Transfer'!$B$4,'Compliance Database'!$A537='Data Transfer'!$B$5),OR('Data Transfer'!$B$6="",ISNUMBER(SEARCH('Data Transfer'!$B$6,'Compliance Database'!$D537&amp;" "&amp;'Compliance Database'!$K537&amp;" "&amp;'Compliance Database'!$L537&amp;" "&amp;'Compliance Database'!$M537&amp;" "&amp;'Compliance Database'!$N537)))),1,0)</f>
        <v/>
      </c>
      <c r="B537">
        <f>IF($A537=1,SUM($A$2:$A537),"")</f>
        <v/>
      </c>
      <c r="C537">
        <f>IF($A537=1,SUM($A$2:$A537),0)</f>
        <v/>
      </c>
    </row>
    <row r="538">
      <c r="A538">
        <f>IF(AND(OR('Compliance Database'!$A538='Data Transfer'!$B$4,'Compliance Database'!$A538='Data Transfer'!$B$5),OR('Data Transfer'!$B$6="",ISNUMBER(SEARCH('Data Transfer'!$B$6,'Compliance Database'!$D538&amp;" "&amp;'Compliance Database'!$K538&amp;" "&amp;'Compliance Database'!$L538&amp;" "&amp;'Compliance Database'!$M538&amp;" "&amp;'Compliance Database'!$N538)))),1,0)</f>
        <v/>
      </c>
      <c r="B538">
        <f>IF($A538=1,SUM($A$2:$A538),"")</f>
        <v/>
      </c>
      <c r="C538">
        <f>IF($A538=1,SUM($A$2:$A538),0)</f>
        <v/>
      </c>
    </row>
    <row r="539">
      <c r="A539">
        <f>IF(AND(OR('Compliance Database'!$A539='Data Transfer'!$B$4,'Compliance Database'!$A539='Data Transfer'!$B$5),OR('Data Transfer'!$B$6="",ISNUMBER(SEARCH('Data Transfer'!$B$6,'Compliance Database'!$D539&amp;" "&amp;'Compliance Database'!$K539&amp;" "&amp;'Compliance Database'!$L539&amp;" "&amp;'Compliance Database'!$M539&amp;" "&amp;'Compliance Database'!$N539)))),1,0)</f>
        <v/>
      </c>
      <c r="B539">
        <f>IF($A539=1,SUM($A$2:$A539),"")</f>
        <v/>
      </c>
      <c r="C539">
        <f>IF($A539=1,SUM($A$2:$A539),0)</f>
        <v/>
      </c>
    </row>
    <row r="540">
      <c r="A540">
        <f>IF(AND(OR('Compliance Database'!$A540='Data Transfer'!$B$4,'Compliance Database'!$A540='Data Transfer'!$B$5),OR('Data Transfer'!$B$6="",ISNUMBER(SEARCH('Data Transfer'!$B$6,'Compliance Database'!$D540&amp;" "&amp;'Compliance Database'!$K540&amp;" "&amp;'Compliance Database'!$L540&amp;" "&amp;'Compliance Database'!$M540&amp;" "&amp;'Compliance Database'!$N540)))),1,0)</f>
        <v/>
      </c>
      <c r="B540">
        <f>IF($A540=1,SUM($A$2:$A540),"")</f>
        <v/>
      </c>
      <c r="C540">
        <f>IF($A540=1,SUM($A$2:$A540),0)</f>
        <v/>
      </c>
    </row>
    <row r="541">
      <c r="A541">
        <f>IF(AND(OR('Compliance Database'!$A541='Data Transfer'!$B$4,'Compliance Database'!$A541='Data Transfer'!$B$5),OR('Data Transfer'!$B$6="",ISNUMBER(SEARCH('Data Transfer'!$B$6,'Compliance Database'!$D541&amp;" "&amp;'Compliance Database'!$K541&amp;" "&amp;'Compliance Database'!$L541&amp;" "&amp;'Compliance Database'!$M541&amp;" "&amp;'Compliance Database'!$N541)))),1,0)</f>
        <v/>
      </c>
      <c r="B541">
        <f>IF($A541=1,SUM($A$2:$A541),"")</f>
        <v/>
      </c>
      <c r="C541">
        <f>IF($A541=1,SUM($A$2:$A541),0)</f>
        <v/>
      </c>
    </row>
    <row r="542">
      <c r="A542">
        <f>IF(AND(OR('Compliance Database'!$A542='Data Transfer'!$B$4,'Compliance Database'!$A542='Data Transfer'!$B$5),OR('Data Transfer'!$B$6="",ISNUMBER(SEARCH('Data Transfer'!$B$6,'Compliance Database'!$D542&amp;" "&amp;'Compliance Database'!$K542&amp;" "&amp;'Compliance Database'!$L542&amp;" "&amp;'Compliance Database'!$M542&amp;" "&amp;'Compliance Database'!$N542)))),1,0)</f>
        <v/>
      </c>
      <c r="B542">
        <f>IF($A542=1,SUM($A$2:$A542),"")</f>
        <v/>
      </c>
      <c r="C542">
        <f>IF($A542=1,SUM($A$2:$A542),0)</f>
        <v/>
      </c>
    </row>
    <row r="543">
      <c r="A543">
        <f>IF(AND(OR('Compliance Database'!$A543='Data Transfer'!$B$4,'Compliance Database'!$A543='Data Transfer'!$B$5),OR('Data Transfer'!$B$6="",ISNUMBER(SEARCH('Data Transfer'!$B$6,'Compliance Database'!$D543&amp;" "&amp;'Compliance Database'!$K543&amp;" "&amp;'Compliance Database'!$L543&amp;" "&amp;'Compliance Database'!$M543&amp;" "&amp;'Compliance Database'!$N543)))),1,0)</f>
        <v/>
      </c>
      <c r="B543">
        <f>IF($A543=1,SUM($A$2:$A543),"")</f>
        <v/>
      </c>
      <c r="C543">
        <f>IF($A543=1,SUM($A$2:$A543),0)</f>
        <v/>
      </c>
    </row>
    <row r="544">
      <c r="A544">
        <f>IF(AND(OR('Compliance Database'!$A544='Data Transfer'!$B$4,'Compliance Database'!$A544='Data Transfer'!$B$5),OR('Data Transfer'!$B$6="",ISNUMBER(SEARCH('Data Transfer'!$B$6,'Compliance Database'!$D544&amp;" "&amp;'Compliance Database'!$K544&amp;" "&amp;'Compliance Database'!$L544&amp;" "&amp;'Compliance Database'!$M544&amp;" "&amp;'Compliance Database'!$N544)))),1,0)</f>
        <v/>
      </c>
      <c r="B544">
        <f>IF($A544=1,SUM($A$2:$A544),"")</f>
        <v/>
      </c>
      <c r="C544">
        <f>IF($A544=1,SUM($A$2:$A544),0)</f>
        <v/>
      </c>
    </row>
    <row r="545">
      <c r="A545">
        <f>IF(AND(OR('Compliance Database'!$A545='Data Transfer'!$B$4,'Compliance Database'!$A545='Data Transfer'!$B$5),OR('Data Transfer'!$B$6="",ISNUMBER(SEARCH('Data Transfer'!$B$6,'Compliance Database'!$D545&amp;" "&amp;'Compliance Database'!$K545&amp;" "&amp;'Compliance Database'!$L545&amp;" "&amp;'Compliance Database'!$M545&amp;" "&amp;'Compliance Database'!$N545)))),1,0)</f>
        <v/>
      </c>
      <c r="B545">
        <f>IF($A545=1,SUM($A$2:$A545),"")</f>
        <v/>
      </c>
      <c r="C545">
        <f>IF($A545=1,SUM($A$2:$A545),0)</f>
        <v/>
      </c>
    </row>
    <row r="546">
      <c r="A546">
        <f>IF(AND(OR('Compliance Database'!$A546='Data Transfer'!$B$4,'Compliance Database'!$A546='Data Transfer'!$B$5),OR('Data Transfer'!$B$6="",ISNUMBER(SEARCH('Data Transfer'!$B$6,'Compliance Database'!$D546&amp;" "&amp;'Compliance Database'!$K546&amp;" "&amp;'Compliance Database'!$L546&amp;" "&amp;'Compliance Database'!$M546&amp;" "&amp;'Compliance Database'!$N546)))),1,0)</f>
        <v/>
      </c>
      <c r="B546">
        <f>IF($A546=1,SUM($A$2:$A546),"")</f>
        <v/>
      </c>
      <c r="C546">
        <f>IF($A546=1,SUM($A$2:$A546),0)</f>
        <v/>
      </c>
    </row>
    <row r="547">
      <c r="A547">
        <f>IF(AND(OR('Compliance Database'!$A547='Data Transfer'!$B$4,'Compliance Database'!$A547='Data Transfer'!$B$5),OR('Data Transfer'!$B$6="",ISNUMBER(SEARCH('Data Transfer'!$B$6,'Compliance Database'!$D547&amp;" "&amp;'Compliance Database'!$K547&amp;" "&amp;'Compliance Database'!$L547&amp;" "&amp;'Compliance Database'!$M547&amp;" "&amp;'Compliance Database'!$N547)))),1,0)</f>
        <v/>
      </c>
      <c r="B547">
        <f>IF($A547=1,SUM($A$2:$A547),"")</f>
        <v/>
      </c>
      <c r="C547">
        <f>IF($A547=1,SUM($A$2:$A547),0)</f>
        <v/>
      </c>
    </row>
    <row r="548">
      <c r="A548">
        <f>IF(AND(OR('Compliance Database'!$A548='Data Transfer'!$B$4,'Compliance Database'!$A548='Data Transfer'!$B$5),OR('Data Transfer'!$B$6="",ISNUMBER(SEARCH('Data Transfer'!$B$6,'Compliance Database'!$D548&amp;" "&amp;'Compliance Database'!$K548&amp;" "&amp;'Compliance Database'!$L548&amp;" "&amp;'Compliance Database'!$M548&amp;" "&amp;'Compliance Database'!$N548)))),1,0)</f>
        <v/>
      </c>
      <c r="B548">
        <f>IF($A548=1,SUM($A$2:$A548),"")</f>
        <v/>
      </c>
      <c r="C548">
        <f>IF($A548=1,SUM($A$2:$A548),0)</f>
        <v/>
      </c>
    </row>
    <row r="549">
      <c r="A549">
        <f>IF(AND(OR('Compliance Database'!$A549='Data Transfer'!$B$4,'Compliance Database'!$A549='Data Transfer'!$B$5),OR('Data Transfer'!$B$6="",ISNUMBER(SEARCH('Data Transfer'!$B$6,'Compliance Database'!$D549&amp;" "&amp;'Compliance Database'!$K549&amp;" "&amp;'Compliance Database'!$L549&amp;" "&amp;'Compliance Database'!$M549&amp;" "&amp;'Compliance Database'!$N549)))),1,0)</f>
        <v/>
      </c>
      <c r="B549">
        <f>IF($A549=1,SUM($A$2:$A549),"")</f>
        <v/>
      </c>
      <c r="C549">
        <f>IF($A549=1,SUM($A$2:$A549),0)</f>
        <v/>
      </c>
    </row>
    <row r="550">
      <c r="A550">
        <f>IF(AND(OR('Compliance Database'!$A550='Data Transfer'!$B$4,'Compliance Database'!$A550='Data Transfer'!$B$5),OR('Data Transfer'!$B$6="",ISNUMBER(SEARCH('Data Transfer'!$B$6,'Compliance Database'!$D550&amp;" "&amp;'Compliance Database'!$K550&amp;" "&amp;'Compliance Database'!$L550&amp;" "&amp;'Compliance Database'!$M550&amp;" "&amp;'Compliance Database'!$N550)))),1,0)</f>
        <v/>
      </c>
      <c r="B550">
        <f>IF($A550=1,SUM($A$2:$A550),"")</f>
        <v/>
      </c>
      <c r="C550">
        <f>IF($A550=1,SUM($A$2:$A550),0)</f>
        <v/>
      </c>
    </row>
    <row r="551">
      <c r="A551">
        <f>IF(AND(OR('Compliance Database'!$A551='Data Transfer'!$B$4,'Compliance Database'!$A551='Data Transfer'!$B$5),OR('Data Transfer'!$B$6="",ISNUMBER(SEARCH('Data Transfer'!$B$6,'Compliance Database'!$D551&amp;" "&amp;'Compliance Database'!$K551&amp;" "&amp;'Compliance Database'!$L551&amp;" "&amp;'Compliance Database'!$M551&amp;" "&amp;'Compliance Database'!$N551)))),1,0)</f>
        <v/>
      </c>
      <c r="B551">
        <f>IF($A551=1,SUM($A$2:$A551),"")</f>
        <v/>
      </c>
      <c r="C551">
        <f>IF($A551=1,SUM($A$2:$A551),0)</f>
        <v/>
      </c>
    </row>
    <row r="552">
      <c r="A552">
        <f>IF(AND(OR('Compliance Database'!$A552='Data Transfer'!$B$4,'Compliance Database'!$A552='Data Transfer'!$B$5),OR('Data Transfer'!$B$6="",ISNUMBER(SEARCH('Data Transfer'!$B$6,'Compliance Database'!$D552&amp;" "&amp;'Compliance Database'!$K552&amp;" "&amp;'Compliance Database'!$L552&amp;" "&amp;'Compliance Database'!$M552&amp;" "&amp;'Compliance Database'!$N552)))),1,0)</f>
        <v/>
      </c>
      <c r="B552">
        <f>IF($A552=1,SUM($A$2:$A552),"")</f>
        <v/>
      </c>
      <c r="C552">
        <f>IF($A552=1,SUM($A$2:$A552),0)</f>
        <v/>
      </c>
    </row>
    <row r="553">
      <c r="A553">
        <f>IF(AND(OR('Compliance Database'!$A553='Data Transfer'!$B$4,'Compliance Database'!$A553='Data Transfer'!$B$5),OR('Data Transfer'!$B$6="",ISNUMBER(SEARCH('Data Transfer'!$B$6,'Compliance Database'!$D553&amp;" "&amp;'Compliance Database'!$K553&amp;" "&amp;'Compliance Database'!$L553&amp;" "&amp;'Compliance Database'!$M553&amp;" "&amp;'Compliance Database'!$N553)))),1,0)</f>
        <v/>
      </c>
      <c r="B553">
        <f>IF($A553=1,SUM($A$2:$A553),"")</f>
        <v/>
      </c>
      <c r="C553">
        <f>IF($A553=1,SUM($A$2:$A553),0)</f>
        <v/>
      </c>
    </row>
    <row r="554">
      <c r="A554">
        <f>IF(AND(OR('Compliance Database'!$A554='Data Transfer'!$B$4,'Compliance Database'!$A554='Data Transfer'!$B$5),OR('Data Transfer'!$B$6="",ISNUMBER(SEARCH('Data Transfer'!$B$6,'Compliance Database'!$D554&amp;" "&amp;'Compliance Database'!$K554&amp;" "&amp;'Compliance Database'!$L554&amp;" "&amp;'Compliance Database'!$M554&amp;" "&amp;'Compliance Database'!$N554)))),1,0)</f>
        <v/>
      </c>
      <c r="B554">
        <f>IF($A554=1,SUM($A$2:$A554),"")</f>
        <v/>
      </c>
      <c r="C554">
        <f>IF($A554=1,SUM($A$2:$A554),0)</f>
        <v/>
      </c>
    </row>
    <row r="555">
      <c r="A555">
        <f>IF(AND(OR('Compliance Database'!$A555='Data Transfer'!$B$4,'Compliance Database'!$A555='Data Transfer'!$B$5),OR('Data Transfer'!$B$6="",ISNUMBER(SEARCH('Data Transfer'!$B$6,'Compliance Database'!$D555&amp;" "&amp;'Compliance Database'!$K555&amp;" "&amp;'Compliance Database'!$L555&amp;" "&amp;'Compliance Database'!$M555&amp;" "&amp;'Compliance Database'!$N555)))),1,0)</f>
        <v/>
      </c>
      <c r="B555">
        <f>IF($A555=1,SUM($A$2:$A555),"")</f>
        <v/>
      </c>
      <c r="C555">
        <f>IF($A555=1,SUM($A$2:$A555),0)</f>
        <v/>
      </c>
    </row>
    <row r="556">
      <c r="A556">
        <f>IF(AND(OR('Compliance Database'!$A556='Data Transfer'!$B$4,'Compliance Database'!$A556='Data Transfer'!$B$5),OR('Data Transfer'!$B$6="",ISNUMBER(SEARCH('Data Transfer'!$B$6,'Compliance Database'!$D556&amp;" "&amp;'Compliance Database'!$K556&amp;" "&amp;'Compliance Database'!$L556&amp;" "&amp;'Compliance Database'!$M556&amp;" "&amp;'Compliance Database'!$N556)))),1,0)</f>
        <v/>
      </c>
      <c r="B556">
        <f>IF($A556=1,SUM($A$2:$A556),"")</f>
        <v/>
      </c>
      <c r="C556">
        <f>IF($A556=1,SUM($A$2:$A556),0)</f>
        <v/>
      </c>
    </row>
    <row r="557">
      <c r="A557">
        <f>IF(AND(OR('Compliance Database'!$A557='Data Transfer'!$B$4,'Compliance Database'!$A557='Data Transfer'!$B$5),OR('Data Transfer'!$B$6="",ISNUMBER(SEARCH('Data Transfer'!$B$6,'Compliance Database'!$D557&amp;" "&amp;'Compliance Database'!$K557&amp;" "&amp;'Compliance Database'!$L557&amp;" "&amp;'Compliance Database'!$M557&amp;" "&amp;'Compliance Database'!$N557)))),1,0)</f>
        <v/>
      </c>
      <c r="B557">
        <f>IF($A557=1,SUM($A$2:$A557),"")</f>
        <v/>
      </c>
      <c r="C557">
        <f>IF($A557=1,SUM($A$2:$A557),0)</f>
        <v/>
      </c>
    </row>
    <row r="558">
      <c r="A558">
        <f>IF(AND(OR('Compliance Database'!$A558='Data Transfer'!$B$4,'Compliance Database'!$A558='Data Transfer'!$B$5),OR('Data Transfer'!$B$6="",ISNUMBER(SEARCH('Data Transfer'!$B$6,'Compliance Database'!$D558&amp;" "&amp;'Compliance Database'!$K558&amp;" "&amp;'Compliance Database'!$L558&amp;" "&amp;'Compliance Database'!$M558&amp;" "&amp;'Compliance Database'!$N558)))),1,0)</f>
        <v/>
      </c>
      <c r="B558">
        <f>IF($A558=1,SUM($A$2:$A558),"")</f>
        <v/>
      </c>
      <c r="C558">
        <f>IF($A558=1,SUM($A$2:$A558),0)</f>
        <v/>
      </c>
    </row>
    <row r="559">
      <c r="A559">
        <f>IF(AND(OR('Compliance Database'!$A559='Data Transfer'!$B$4,'Compliance Database'!$A559='Data Transfer'!$B$5),OR('Data Transfer'!$B$6="",ISNUMBER(SEARCH('Data Transfer'!$B$6,'Compliance Database'!$D559&amp;" "&amp;'Compliance Database'!$K559&amp;" "&amp;'Compliance Database'!$L559&amp;" "&amp;'Compliance Database'!$M559&amp;" "&amp;'Compliance Database'!$N559)))),1,0)</f>
        <v/>
      </c>
      <c r="B559">
        <f>IF($A559=1,SUM($A$2:$A559),"")</f>
        <v/>
      </c>
      <c r="C559">
        <f>IF($A559=1,SUM($A$2:$A559),0)</f>
        <v/>
      </c>
    </row>
    <row r="560">
      <c r="A560">
        <f>IF(AND(OR('Compliance Database'!$A560='Data Transfer'!$B$4,'Compliance Database'!$A560='Data Transfer'!$B$5),OR('Data Transfer'!$B$6="",ISNUMBER(SEARCH('Data Transfer'!$B$6,'Compliance Database'!$D560&amp;" "&amp;'Compliance Database'!$K560&amp;" "&amp;'Compliance Database'!$L560&amp;" "&amp;'Compliance Database'!$M560&amp;" "&amp;'Compliance Database'!$N560)))),1,0)</f>
        <v/>
      </c>
      <c r="B560">
        <f>IF($A560=1,SUM($A$2:$A560),"")</f>
        <v/>
      </c>
      <c r="C560">
        <f>IF($A560=1,SUM($A$2:$A560),0)</f>
        <v/>
      </c>
    </row>
    <row r="561">
      <c r="A561">
        <f>IF(AND(OR('Compliance Database'!$A561='Data Transfer'!$B$4,'Compliance Database'!$A561='Data Transfer'!$B$5),OR('Data Transfer'!$B$6="",ISNUMBER(SEARCH('Data Transfer'!$B$6,'Compliance Database'!$D561&amp;" "&amp;'Compliance Database'!$K561&amp;" "&amp;'Compliance Database'!$L561&amp;" "&amp;'Compliance Database'!$M561&amp;" "&amp;'Compliance Database'!$N561)))),1,0)</f>
        <v/>
      </c>
      <c r="B561">
        <f>IF($A561=1,SUM($A$2:$A561),"")</f>
        <v/>
      </c>
      <c r="C561">
        <f>IF($A561=1,SUM($A$2:$A561),0)</f>
        <v/>
      </c>
    </row>
    <row r="562">
      <c r="A562">
        <f>IF(AND(OR('Compliance Database'!$A562='Data Transfer'!$B$4,'Compliance Database'!$A562='Data Transfer'!$B$5),OR('Data Transfer'!$B$6="",ISNUMBER(SEARCH('Data Transfer'!$B$6,'Compliance Database'!$D562&amp;" "&amp;'Compliance Database'!$K562&amp;" "&amp;'Compliance Database'!$L562&amp;" "&amp;'Compliance Database'!$M562&amp;" "&amp;'Compliance Database'!$N562)))),1,0)</f>
        <v/>
      </c>
      <c r="B562">
        <f>IF($A562=1,SUM($A$2:$A562),"")</f>
        <v/>
      </c>
      <c r="C562">
        <f>IF($A562=1,SUM($A$2:$A562),0)</f>
        <v/>
      </c>
    </row>
    <row r="563">
      <c r="A563">
        <f>IF(AND(OR('Compliance Database'!$A563='Data Transfer'!$B$4,'Compliance Database'!$A563='Data Transfer'!$B$5),OR('Data Transfer'!$B$6="",ISNUMBER(SEARCH('Data Transfer'!$B$6,'Compliance Database'!$D563&amp;" "&amp;'Compliance Database'!$K563&amp;" "&amp;'Compliance Database'!$L563&amp;" "&amp;'Compliance Database'!$M563&amp;" "&amp;'Compliance Database'!$N563)))),1,0)</f>
        <v/>
      </c>
      <c r="B563">
        <f>IF($A563=1,SUM($A$2:$A563),"")</f>
        <v/>
      </c>
      <c r="C563">
        <f>IF($A563=1,SUM($A$2:$A563),0)</f>
        <v/>
      </c>
    </row>
    <row r="564">
      <c r="A564">
        <f>IF(AND(OR('Compliance Database'!$A564='Data Transfer'!$B$4,'Compliance Database'!$A564='Data Transfer'!$B$5),OR('Data Transfer'!$B$6="",ISNUMBER(SEARCH('Data Transfer'!$B$6,'Compliance Database'!$D564&amp;" "&amp;'Compliance Database'!$K564&amp;" "&amp;'Compliance Database'!$L564&amp;" "&amp;'Compliance Database'!$M564&amp;" "&amp;'Compliance Database'!$N564)))),1,0)</f>
        <v/>
      </c>
      <c r="B564">
        <f>IF($A564=1,SUM($A$2:$A564),"")</f>
        <v/>
      </c>
      <c r="C564">
        <f>IF($A564=1,SUM($A$2:$A564),0)</f>
        <v/>
      </c>
    </row>
    <row r="565">
      <c r="A565">
        <f>IF(AND(OR('Compliance Database'!$A565='Data Transfer'!$B$4,'Compliance Database'!$A565='Data Transfer'!$B$5),OR('Data Transfer'!$B$6="",ISNUMBER(SEARCH('Data Transfer'!$B$6,'Compliance Database'!$D565&amp;" "&amp;'Compliance Database'!$K565&amp;" "&amp;'Compliance Database'!$L565&amp;" "&amp;'Compliance Database'!$M565&amp;" "&amp;'Compliance Database'!$N565)))),1,0)</f>
        <v/>
      </c>
      <c r="B565">
        <f>IF($A565=1,SUM($A$2:$A565),"")</f>
        <v/>
      </c>
      <c r="C565">
        <f>IF($A565=1,SUM($A$2:$A565),0)</f>
        <v/>
      </c>
    </row>
    <row r="566">
      <c r="A566">
        <f>IF(AND(OR('Compliance Database'!$A566='Data Transfer'!$B$4,'Compliance Database'!$A566='Data Transfer'!$B$5),OR('Data Transfer'!$B$6="",ISNUMBER(SEARCH('Data Transfer'!$B$6,'Compliance Database'!$D566&amp;" "&amp;'Compliance Database'!$K566&amp;" "&amp;'Compliance Database'!$L566&amp;" "&amp;'Compliance Database'!$M566&amp;" "&amp;'Compliance Database'!$N566)))),1,0)</f>
        <v/>
      </c>
      <c r="B566">
        <f>IF($A566=1,SUM($A$2:$A566),"")</f>
        <v/>
      </c>
      <c r="C566">
        <f>IF($A566=1,SUM($A$2:$A566),0)</f>
        <v/>
      </c>
    </row>
    <row r="567">
      <c r="A567">
        <f>IF(AND(OR('Compliance Database'!$A567='Data Transfer'!$B$4,'Compliance Database'!$A567='Data Transfer'!$B$5),OR('Data Transfer'!$B$6="",ISNUMBER(SEARCH('Data Transfer'!$B$6,'Compliance Database'!$D567&amp;" "&amp;'Compliance Database'!$K567&amp;" "&amp;'Compliance Database'!$L567&amp;" "&amp;'Compliance Database'!$M567&amp;" "&amp;'Compliance Database'!$N567)))),1,0)</f>
        <v/>
      </c>
      <c r="B567">
        <f>IF($A567=1,SUM($A$2:$A567),"")</f>
        <v/>
      </c>
      <c r="C567">
        <f>IF($A567=1,SUM($A$2:$A567),0)</f>
        <v/>
      </c>
    </row>
    <row r="568">
      <c r="A568">
        <f>IF(AND(OR('Compliance Database'!$A568='Data Transfer'!$B$4,'Compliance Database'!$A568='Data Transfer'!$B$5),OR('Data Transfer'!$B$6="",ISNUMBER(SEARCH('Data Transfer'!$B$6,'Compliance Database'!$D568&amp;" "&amp;'Compliance Database'!$K568&amp;" "&amp;'Compliance Database'!$L568&amp;" "&amp;'Compliance Database'!$M568&amp;" "&amp;'Compliance Database'!$N568)))),1,0)</f>
        <v/>
      </c>
      <c r="B568">
        <f>IF($A568=1,SUM($A$2:$A568),"")</f>
        <v/>
      </c>
      <c r="C568">
        <f>IF($A568=1,SUM($A$2:$A568),0)</f>
        <v/>
      </c>
    </row>
    <row r="569">
      <c r="A569">
        <f>IF(AND(OR('Compliance Database'!$A569='Data Transfer'!$B$4,'Compliance Database'!$A569='Data Transfer'!$B$5),OR('Data Transfer'!$B$6="",ISNUMBER(SEARCH('Data Transfer'!$B$6,'Compliance Database'!$D569&amp;" "&amp;'Compliance Database'!$K569&amp;" "&amp;'Compliance Database'!$L569&amp;" "&amp;'Compliance Database'!$M569&amp;" "&amp;'Compliance Database'!$N569)))),1,0)</f>
        <v/>
      </c>
      <c r="B569">
        <f>IF($A569=1,SUM($A$2:$A569),"")</f>
        <v/>
      </c>
      <c r="C569">
        <f>IF($A569=1,SUM($A$2:$A569),0)</f>
        <v/>
      </c>
    </row>
    <row r="570">
      <c r="A570">
        <f>IF(AND(OR('Compliance Database'!$A570='Data Transfer'!$B$4,'Compliance Database'!$A570='Data Transfer'!$B$5),OR('Data Transfer'!$B$6="",ISNUMBER(SEARCH('Data Transfer'!$B$6,'Compliance Database'!$D570&amp;" "&amp;'Compliance Database'!$K570&amp;" "&amp;'Compliance Database'!$L570&amp;" "&amp;'Compliance Database'!$M570&amp;" "&amp;'Compliance Database'!$N570)))),1,0)</f>
        <v/>
      </c>
      <c r="B570">
        <f>IF($A570=1,SUM($A$2:$A570),"")</f>
        <v/>
      </c>
      <c r="C570">
        <f>IF($A570=1,SUM($A$2:$A570),0)</f>
        <v/>
      </c>
    </row>
    <row r="571">
      <c r="A571">
        <f>IF(AND(OR('Compliance Database'!$A571='Data Transfer'!$B$4,'Compliance Database'!$A571='Data Transfer'!$B$5),OR('Data Transfer'!$B$6="",ISNUMBER(SEARCH('Data Transfer'!$B$6,'Compliance Database'!$D571&amp;" "&amp;'Compliance Database'!$K571&amp;" "&amp;'Compliance Database'!$L571&amp;" "&amp;'Compliance Database'!$M571&amp;" "&amp;'Compliance Database'!$N571)))),1,0)</f>
        <v/>
      </c>
      <c r="B571">
        <f>IF($A571=1,SUM($A$2:$A571),"")</f>
        <v/>
      </c>
      <c r="C571">
        <f>IF($A571=1,SUM($A$2:$A571),0)</f>
        <v/>
      </c>
    </row>
    <row r="572">
      <c r="A572">
        <f>IF(AND(OR('Compliance Database'!$A572='Data Transfer'!$B$4,'Compliance Database'!$A572='Data Transfer'!$B$5),OR('Data Transfer'!$B$6="",ISNUMBER(SEARCH('Data Transfer'!$B$6,'Compliance Database'!$D572&amp;" "&amp;'Compliance Database'!$K572&amp;" "&amp;'Compliance Database'!$L572&amp;" "&amp;'Compliance Database'!$M572&amp;" "&amp;'Compliance Database'!$N572)))),1,0)</f>
        <v/>
      </c>
      <c r="B572">
        <f>IF($A572=1,SUM($A$2:$A572),"")</f>
        <v/>
      </c>
      <c r="C572">
        <f>IF($A572=1,SUM($A$2:$A572),0)</f>
        <v/>
      </c>
    </row>
    <row r="573">
      <c r="A573">
        <f>IF(AND(OR('Compliance Database'!$A573='Data Transfer'!$B$4,'Compliance Database'!$A573='Data Transfer'!$B$5),OR('Data Transfer'!$B$6="",ISNUMBER(SEARCH('Data Transfer'!$B$6,'Compliance Database'!$D573&amp;" "&amp;'Compliance Database'!$K573&amp;" "&amp;'Compliance Database'!$L573&amp;" "&amp;'Compliance Database'!$M573&amp;" "&amp;'Compliance Database'!$N573)))),1,0)</f>
        <v/>
      </c>
      <c r="B573">
        <f>IF($A573=1,SUM($A$2:$A573),"")</f>
        <v/>
      </c>
      <c r="C573">
        <f>IF($A573=1,SUM($A$2:$A573),0)</f>
        <v/>
      </c>
    </row>
    <row r="574">
      <c r="A574">
        <f>IF(AND(OR('Compliance Database'!$A574='Data Transfer'!$B$4,'Compliance Database'!$A574='Data Transfer'!$B$5),OR('Data Transfer'!$B$6="",ISNUMBER(SEARCH('Data Transfer'!$B$6,'Compliance Database'!$D574&amp;" "&amp;'Compliance Database'!$K574&amp;" "&amp;'Compliance Database'!$L574&amp;" "&amp;'Compliance Database'!$M574&amp;" "&amp;'Compliance Database'!$N574)))),1,0)</f>
        <v/>
      </c>
      <c r="B574">
        <f>IF($A574=1,SUM($A$2:$A574),"")</f>
        <v/>
      </c>
      <c r="C574">
        <f>IF($A574=1,SUM($A$2:$A574),0)</f>
        <v/>
      </c>
    </row>
    <row r="575">
      <c r="A575">
        <f>IF(AND(OR('Compliance Database'!$A575='Data Transfer'!$B$4,'Compliance Database'!$A575='Data Transfer'!$B$5),OR('Data Transfer'!$B$6="",ISNUMBER(SEARCH('Data Transfer'!$B$6,'Compliance Database'!$D575&amp;" "&amp;'Compliance Database'!$K575&amp;" "&amp;'Compliance Database'!$L575&amp;" "&amp;'Compliance Database'!$M575&amp;" "&amp;'Compliance Database'!$N575)))),1,0)</f>
        <v/>
      </c>
      <c r="B575">
        <f>IF($A575=1,SUM($A$2:$A575),"")</f>
        <v/>
      </c>
      <c r="C575">
        <f>IF($A575=1,SUM($A$2:$A575),0)</f>
        <v/>
      </c>
    </row>
    <row r="576">
      <c r="A576">
        <f>IF(AND(OR('Compliance Database'!$A576='Data Transfer'!$B$4,'Compliance Database'!$A576='Data Transfer'!$B$5),OR('Data Transfer'!$B$6="",ISNUMBER(SEARCH('Data Transfer'!$B$6,'Compliance Database'!$D576&amp;" "&amp;'Compliance Database'!$K576&amp;" "&amp;'Compliance Database'!$L576&amp;" "&amp;'Compliance Database'!$M576&amp;" "&amp;'Compliance Database'!$N576)))),1,0)</f>
        <v/>
      </c>
      <c r="B576">
        <f>IF($A576=1,SUM($A$2:$A576),"")</f>
        <v/>
      </c>
      <c r="C576">
        <f>IF($A576=1,SUM($A$2:$A576),0)</f>
        <v/>
      </c>
    </row>
    <row r="577">
      <c r="A577">
        <f>IF(AND(OR('Compliance Database'!$A577='Data Transfer'!$B$4,'Compliance Database'!$A577='Data Transfer'!$B$5),OR('Data Transfer'!$B$6="",ISNUMBER(SEARCH('Data Transfer'!$B$6,'Compliance Database'!$D577&amp;" "&amp;'Compliance Database'!$K577&amp;" "&amp;'Compliance Database'!$L577&amp;" "&amp;'Compliance Database'!$M577&amp;" "&amp;'Compliance Database'!$N577)))),1,0)</f>
        <v/>
      </c>
      <c r="B577">
        <f>IF($A577=1,SUM($A$2:$A577),"")</f>
        <v/>
      </c>
      <c r="C577">
        <f>IF($A577=1,SUM($A$2:$A577),0)</f>
        <v/>
      </c>
    </row>
    <row r="578">
      <c r="A578">
        <f>IF(AND(OR('Compliance Database'!$A578='Data Transfer'!$B$4,'Compliance Database'!$A578='Data Transfer'!$B$5),OR('Data Transfer'!$B$6="",ISNUMBER(SEARCH('Data Transfer'!$B$6,'Compliance Database'!$D578&amp;" "&amp;'Compliance Database'!$K578&amp;" "&amp;'Compliance Database'!$L578&amp;" "&amp;'Compliance Database'!$M578&amp;" "&amp;'Compliance Database'!$N578)))),1,0)</f>
        <v/>
      </c>
      <c r="B578">
        <f>IF($A578=1,SUM($A$2:$A578),"")</f>
        <v/>
      </c>
      <c r="C578">
        <f>IF($A578=1,SUM($A$2:$A578),0)</f>
        <v/>
      </c>
    </row>
    <row r="579">
      <c r="A579">
        <f>IF(AND(OR('Compliance Database'!$A579='Data Transfer'!$B$4,'Compliance Database'!$A579='Data Transfer'!$B$5),OR('Data Transfer'!$B$6="",ISNUMBER(SEARCH('Data Transfer'!$B$6,'Compliance Database'!$D579&amp;" "&amp;'Compliance Database'!$K579&amp;" "&amp;'Compliance Database'!$L579&amp;" "&amp;'Compliance Database'!$M579&amp;" "&amp;'Compliance Database'!$N579)))),1,0)</f>
        <v/>
      </c>
      <c r="B579">
        <f>IF($A579=1,SUM($A$2:$A579),"")</f>
        <v/>
      </c>
      <c r="C579">
        <f>IF($A579=1,SUM($A$2:$A579),0)</f>
        <v/>
      </c>
    </row>
    <row r="580">
      <c r="A580">
        <f>IF(AND(OR('Compliance Database'!$A580='Data Transfer'!$B$4,'Compliance Database'!$A580='Data Transfer'!$B$5),OR('Data Transfer'!$B$6="",ISNUMBER(SEARCH('Data Transfer'!$B$6,'Compliance Database'!$D580&amp;" "&amp;'Compliance Database'!$K580&amp;" "&amp;'Compliance Database'!$L580&amp;" "&amp;'Compliance Database'!$M580&amp;" "&amp;'Compliance Database'!$N580)))),1,0)</f>
        <v/>
      </c>
      <c r="B580">
        <f>IF($A580=1,SUM($A$2:$A580),"")</f>
        <v/>
      </c>
      <c r="C580">
        <f>IF($A580=1,SUM($A$2:$A580),0)</f>
        <v/>
      </c>
    </row>
    <row r="581">
      <c r="A581">
        <f>IF(AND(OR('Compliance Database'!$A581='Data Transfer'!$B$4,'Compliance Database'!$A581='Data Transfer'!$B$5),OR('Data Transfer'!$B$6="",ISNUMBER(SEARCH('Data Transfer'!$B$6,'Compliance Database'!$D581&amp;" "&amp;'Compliance Database'!$K581&amp;" "&amp;'Compliance Database'!$L581&amp;" "&amp;'Compliance Database'!$M581&amp;" "&amp;'Compliance Database'!$N581)))),1,0)</f>
        <v/>
      </c>
      <c r="B581">
        <f>IF($A581=1,SUM($A$2:$A581),"")</f>
        <v/>
      </c>
      <c r="C581">
        <f>IF($A581=1,SUM($A$2:$A581),0)</f>
        <v/>
      </c>
    </row>
    <row r="582">
      <c r="A582">
        <f>IF(AND(OR('Compliance Database'!$A582='Data Transfer'!$B$4,'Compliance Database'!$A582='Data Transfer'!$B$5),OR('Data Transfer'!$B$6="",ISNUMBER(SEARCH('Data Transfer'!$B$6,'Compliance Database'!$D582&amp;" "&amp;'Compliance Database'!$K582&amp;" "&amp;'Compliance Database'!$L582&amp;" "&amp;'Compliance Database'!$M582&amp;" "&amp;'Compliance Database'!$N582)))),1,0)</f>
        <v/>
      </c>
      <c r="B582">
        <f>IF($A582=1,SUM($A$2:$A582),"")</f>
        <v/>
      </c>
      <c r="C582">
        <f>IF($A582=1,SUM($A$2:$A582),0)</f>
        <v/>
      </c>
    </row>
    <row r="583">
      <c r="A583">
        <f>IF(AND(OR('Compliance Database'!$A583='Data Transfer'!$B$4,'Compliance Database'!$A583='Data Transfer'!$B$5),OR('Data Transfer'!$B$6="",ISNUMBER(SEARCH('Data Transfer'!$B$6,'Compliance Database'!$D583&amp;" "&amp;'Compliance Database'!$K583&amp;" "&amp;'Compliance Database'!$L583&amp;" "&amp;'Compliance Database'!$M583&amp;" "&amp;'Compliance Database'!$N583)))),1,0)</f>
        <v/>
      </c>
      <c r="B583">
        <f>IF($A583=1,SUM($A$2:$A583),"")</f>
        <v/>
      </c>
      <c r="C583">
        <f>IF($A583=1,SUM($A$2:$A583),0)</f>
        <v/>
      </c>
    </row>
    <row r="584">
      <c r="A584">
        <f>IF(AND(OR('Compliance Database'!$A584='Data Transfer'!$B$4,'Compliance Database'!$A584='Data Transfer'!$B$5),OR('Data Transfer'!$B$6="",ISNUMBER(SEARCH('Data Transfer'!$B$6,'Compliance Database'!$D584&amp;" "&amp;'Compliance Database'!$K584&amp;" "&amp;'Compliance Database'!$L584&amp;" "&amp;'Compliance Database'!$M584&amp;" "&amp;'Compliance Database'!$N584)))),1,0)</f>
        <v/>
      </c>
      <c r="B584">
        <f>IF($A584=1,SUM($A$2:$A584),"")</f>
        <v/>
      </c>
      <c r="C584">
        <f>IF($A584=1,SUM($A$2:$A584),0)</f>
        <v/>
      </c>
    </row>
    <row r="585">
      <c r="A585">
        <f>IF(AND(OR('Compliance Database'!$A585='Data Transfer'!$B$4,'Compliance Database'!$A585='Data Transfer'!$B$5),OR('Data Transfer'!$B$6="",ISNUMBER(SEARCH('Data Transfer'!$B$6,'Compliance Database'!$D585&amp;" "&amp;'Compliance Database'!$K585&amp;" "&amp;'Compliance Database'!$L585&amp;" "&amp;'Compliance Database'!$M585&amp;" "&amp;'Compliance Database'!$N585)))),1,0)</f>
        <v/>
      </c>
      <c r="B585">
        <f>IF($A585=1,SUM($A$2:$A585),"")</f>
        <v/>
      </c>
      <c r="C585">
        <f>IF($A585=1,SUM($A$2:$A585),0)</f>
        <v/>
      </c>
    </row>
    <row r="586">
      <c r="A586">
        <f>IF(AND(OR('Compliance Database'!$A586='Data Transfer'!$B$4,'Compliance Database'!$A586='Data Transfer'!$B$5),OR('Data Transfer'!$B$6="",ISNUMBER(SEARCH('Data Transfer'!$B$6,'Compliance Database'!$D586&amp;" "&amp;'Compliance Database'!$K586&amp;" "&amp;'Compliance Database'!$L586&amp;" "&amp;'Compliance Database'!$M586&amp;" "&amp;'Compliance Database'!$N586)))),1,0)</f>
        <v/>
      </c>
      <c r="B586">
        <f>IF($A586=1,SUM($A$2:$A586),"")</f>
        <v/>
      </c>
      <c r="C586">
        <f>IF($A586=1,SUM($A$2:$A586),0)</f>
        <v/>
      </c>
    </row>
    <row r="587">
      <c r="A587">
        <f>IF(AND(OR('Compliance Database'!$A587='Data Transfer'!$B$4,'Compliance Database'!$A587='Data Transfer'!$B$5),OR('Data Transfer'!$B$6="",ISNUMBER(SEARCH('Data Transfer'!$B$6,'Compliance Database'!$D587&amp;" "&amp;'Compliance Database'!$K587&amp;" "&amp;'Compliance Database'!$L587&amp;" "&amp;'Compliance Database'!$M587&amp;" "&amp;'Compliance Database'!$N587)))),1,0)</f>
        <v/>
      </c>
      <c r="B587">
        <f>IF($A587=1,SUM($A$2:$A587),"")</f>
        <v/>
      </c>
      <c r="C587">
        <f>IF($A587=1,SUM($A$2:$A587),0)</f>
        <v/>
      </c>
    </row>
    <row r="588">
      <c r="A588">
        <f>IF(AND(OR('Compliance Database'!$A588='Data Transfer'!$B$4,'Compliance Database'!$A588='Data Transfer'!$B$5),OR('Data Transfer'!$B$6="",ISNUMBER(SEARCH('Data Transfer'!$B$6,'Compliance Database'!$D588&amp;" "&amp;'Compliance Database'!$K588&amp;" "&amp;'Compliance Database'!$L588&amp;" "&amp;'Compliance Database'!$M588&amp;" "&amp;'Compliance Database'!$N588)))),1,0)</f>
        <v/>
      </c>
      <c r="B588">
        <f>IF($A588=1,SUM($A$2:$A588),"")</f>
        <v/>
      </c>
      <c r="C588">
        <f>IF($A588=1,SUM($A$2:$A588),0)</f>
        <v/>
      </c>
    </row>
    <row r="589">
      <c r="A589">
        <f>IF(AND(OR('Compliance Database'!$A589='Data Transfer'!$B$4,'Compliance Database'!$A589='Data Transfer'!$B$5),OR('Data Transfer'!$B$6="",ISNUMBER(SEARCH('Data Transfer'!$B$6,'Compliance Database'!$D589&amp;" "&amp;'Compliance Database'!$K589&amp;" "&amp;'Compliance Database'!$L589&amp;" "&amp;'Compliance Database'!$M589&amp;" "&amp;'Compliance Database'!$N589)))),1,0)</f>
        <v/>
      </c>
      <c r="B589">
        <f>IF($A589=1,SUM($A$2:$A589),"")</f>
        <v/>
      </c>
      <c r="C589">
        <f>IF($A589=1,SUM($A$2:$A589),0)</f>
        <v/>
      </c>
    </row>
    <row r="590">
      <c r="A590">
        <f>IF(AND(OR('Compliance Database'!$A590='Data Transfer'!$B$4,'Compliance Database'!$A590='Data Transfer'!$B$5),OR('Data Transfer'!$B$6="",ISNUMBER(SEARCH('Data Transfer'!$B$6,'Compliance Database'!$D590&amp;" "&amp;'Compliance Database'!$K590&amp;" "&amp;'Compliance Database'!$L590&amp;" "&amp;'Compliance Database'!$M590&amp;" "&amp;'Compliance Database'!$N590)))),1,0)</f>
        <v/>
      </c>
      <c r="B590">
        <f>IF($A590=1,SUM($A$2:$A590),"")</f>
        <v/>
      </c>
      <c r="C590">
        <f>IF($A590=1,SUM($A$2:$A590),0)</f>
        <v/>
      </c>
    </row>
    <row r="591">
      <c r="A591">
        <f>IF(AND(OR('Compliance Database'!$A591='Data Transfer'!$B$4,'Compliance Database'!$A591='Data Transfer'!$B$5),OR('Data Transfer'!$B$6="",ISNUMBER(SEARCH('Data Transfer'!$B$6,'Compliance Database'!$D591&amp;" "&amp;'Compliance Database'!$K591&amp;" "&amp;'Compliance Database'!$L591&amp;" "&amp;'Compliance Database'!$M591&amp;" "&amp;'Compliance Database'!$N591)))),1,0)</f>
        <v/>
      </c>
      <c r="B591">
        <f>IF($A591=1,SUM($A$2:$A591),"")</f>
        <v/>
      </c>
      <c r="C591">
        <f>IF($A591=1,SUM($A$2:$A591),0)</f>
        <v/>
      </c>
    </row>
    <row r="592">
      <c r="A592">
        <f>IF(AND(OR('Compliance Database'!$A592='Data Transfer'!$B$4,'Compliance Database'!$A592='Data Transfer'!$B$5),OR('Data Transfer'!$B$6="",ISNUMBER(SEARCH('Data Transfer'!$B$6,'Compliance Database'!$D592&amp;" "&amp;'Compliance Database'!$K592&amp;" "&amp;'Compliance Database'!$L592&amp;" "&amp;'Compliance Database'!$M592&amp;" "&amp;'Compliance Database'!$N592)))),1,0)</f>
        <v/>
      </c>
      <c r="B592">
        <f>IF($A592=1,SUM($A$2:$A592),"")</f>
        <v/>
      </c>
      <c r="C592">
        <f>IF($A592=1,SUM($A$2:$A592),0)</f>
        <v/>
      </c>
    </row>
    <row r="593">
      <c r="A593">
        <f>IF(AND(OR('Compliance Database'!$A593='Data Transfer'!$B$4,'Compliance Database'!$A593='Data Transfer'!$B$5),OR('Data Transfer'!$B$6="",ISNUMBER(SEARCH('Data Transfer'!$B$6,'Compliance Database'!$D593&amp;" "&amp;'Compliance Database'!$K593&amp;" "&amp;'Compliance Database'!$L593&amp;" "&amp;'Compliance Database'!$M593&amp;" "&amp;'Compliance Database'!$N593)))),1,0)</f>
        <v/>
      </c>
      <c r="B593">
        <f>IF($A593=1,SUM($A$2:$A593),"")</f>
        <v/>
      </c>
      <c r="C593">
        <f>IF($A593=1,SUM($A$2:$A593),0)</f>
        <v/>
      </c>
    </row>
    <row r="594">
      <c r="A594">
        <f>IF(AND(OR('Compliance Database'!$A594='Data Transfer'!$B$4,'Compliance Database'!$A594='Data Transfer'!$B$5),OR('Data Transfer'!$B$6="",ISNUMBER(SEARCH('Data Transfer'!$B$6,'Compliance Database'!$D594&amp;" "&amp;'Compliance Database'!$K594&amp;" "&amp;'Compliance Database'!$L594&amp;" "&amp;'Compliance Database'!$M594&amp;" "&amp;'Compliance Database'!$N594)))),1,0)</f>
        <v/>
      </c>
      <c r="B594">
        <f>IF($A594=1,SUM($A$2:$A594),"")</f>
        <v/>
      </c>
      <c r="C594">
        <f>IF($A594=1,SUM($A$2:$A594),0)</f>
        <v/>
      </c>
    </row>
    <row r="595">
      <c r="A595">
        <f>IF(AND(OR('Compliance Database'!$A595='Data Transfer'!$B$4,'Compliance Database'!$A595='Data Transfer'!$B$5),OR('Data Transfer'!$B$6="",ISNUMBER(SEARCH('Data Transfer'!$B$6,'Compliance Database'!$D595&amp;" "&amp;'Compliance Database'!$K595&amp;" "&amp;'Compliance Database'!$L595&amp;" "&amp;'Compliance Database'!$M595&amp;" "&amp;'Compliance Database'!$N595)))),1,0)</f>
        <v/>
      </c>
      <c r="B595">
        <f>IF($A595=1,SUM($A$2:$A595),"")</f>
        <v/>
      </c>
      <c r="C595">
        <f>IF($A595=1,SUM($A$2:$A595),0)</f>
        <v/>
      </c>
    </row>
    <row r="596">
      <c r="A596">
        <f>IF(AND(OR('Compliance Database'!$A596='Data Transfer'!$B$4,'Compliance Database'!$A596='Data Transfer'!$B$5),OR('Data Transfer'!$B$6="",ISNUMBER(SEARCH('Data Transfer'!$B$6,'Compliance Database'!$D596&amp;" "&amp;'Compliance Database'!$K596&amp;" "&amp;'Compliance Database'!$L596&amp;" "&amp;'Compliance Database'!$M596&amp;" "&amp;'Compliance Database'!$N596)))),1,0)</f>
        <v/>
      </c>
      <c r="B596">
        <f>IF($A596=1,SUM($A$2:$A596),"")</f>
        <v/>
      </c>
      <c r="C596">
        <f>IF($A596=1,SUM($A$2:$A596),0)</f>
        <v/>
      </c>
    </row>
    <row r="597">
      <c r="A597">
        <f>IF(AND(OR('Compliance Database'!$A597='Data Transfer'!$B$4,'Compliance Database'!$A597='Data Transfer'!$B$5),OR('Data Transfer'!$B$6="",ISNUMBER(SEARCH('Data Transfer'!$B$6,'Compliance Database'!$D597&amp;" "&amp;'Compliance Database'!$K597&amp;" "&amp;'Compliance Database'!$L597&amp;" "&amp;'Compliance Database'!$M597&amp;" "&amp;'Compliance Database'!$N597)))),1,0)</f>
        <v/>
      </c>
      <c r="B597">
        <f>IF($A597=1,SUM($A$2:$A597),"")</f>
        <v/>
      </c>
      <c r="C597">
        <f>IF($A597=1,SUM($A$2:$A597),0)</f>
        <v/>
      </c>
    </row>
    <row r="598">
      <c r="A598">
        <f>IF(AND(OR('Compliance Database'!$A598='Data Transfer'!$B$4,'Compliance Database'!$A598='Data Transfer'!$B$5),OR('Data Transfer'!$B$6="",ISNUMBER(SEARCH('Data Transfer'!$B$6,'Compliance Database'!$D598&amp;" "&amp;'Compliance Database'!$K598&amp;" "&amp;'Compliance Database'!$L598&amp;" "&amp;'Compliance Database'!$M598&amp;" "&amp;'Compliance Database'!$N598)))),1,0)</f>
        <v/>
      </c>
      <c r="B598">
        <f>IF($A598=1,SUM($A$2:$A598),"")</f>
        <v/>
      </c>
      <c r="C598">
        <f>IF($A598=1,SUM($A$2:$A598),0)</f>
        <v/>
      </c>
    </row>
    <row r="599">
      <c r="A599">
        <f>IF(AND(OR('Compliance Database'!$A599='Data Transfer'!$B$4,'Compliance Database'!$A599='Data Transfer'!$B$5),OR('Data Transfer'!$B$6="",ISNUMBER(SEARCH('Data Transfer'!$B$6,'Compliance Database'!$D599&amp;" "&amp;'Compliance Database'!$K599&amp;" "&amp;'Compliance Database'!$L599&amp;" "&amp;'Compliance Database'!$M599&amp;" "&amp;'Compliance Database'!$N599)))),1,0)</f>
        <v/>
      </c>
      <c r="B599">
        <f>IF($A599=1,SUM($A$2:$A599),"")</f>
        <v/>
      </c>
      <c r="C599">
        <f>IF($A599=1,SUM($A$2:$A599),0)</f>
        <v/>
      </c>
    </row>
    <row r="600">
      <c r="A600">
        <f>IF(AND(OR('Compliance Database'!$A600='Data Transfer'!$B$4,'Compliance Database'!$A600='Data Transfer'!$B$5),OR('Data Transfer'!$B$6="",ISNUMBER(SEARCH('Data Transfer'!$B$6,'Compliance Database'!$D600&amp;" "&amp;'Compliance Database'!$K600&amp;" "&amp;'Compliance Database'!$L600&amp;" "&amp;'Compliance Database'!$M600&amp;" "&amp;'Compliance Database'!$N600)))),1,0)</f>
        <v/>
      </c>
      <c r="B600">
        <f>IF($A600=1,SUM($A$2:$A600),"")</f>
        <v/>
      </c>
      <c r="C600">
        <f>IF($A600=1,SUM($A$2:$A600),0)</f>
        <v/>
      </c>
    </row>
    <row r="601">
      <c r="A601">
        <f>IF(AND(OR('Compliance Database'!$A601='Data Transfer'!$B$4,'Compliance Database'!$A601='Data Transfer'!$B$5),OR('Data Transfer'!$B$6="",ISNUMBER(SEARCH('Data Transfer'!$B$6,'Compliance Database'!$D601&amp;" "&amp;'Compliance Database'!$K601&amp;" "&amp;'Compliance Database'!$L601&amp;" "&amp;'Compliance Database'!$M601&amp;" "&amp;'Compliance Database'!$N601)))),1,0)</f>
        <v/>
      </c>
      <c r="B601">
        <f>IF($A601=1,SUM($A$2:$A601),"")</f>
        <v/>
      </c>
      <c r="C601">
        <f>IF($A601=1,SUM($A$2:$A601),0)</f>
        <v/>
      </c>
    </row>
    <row r="602">
      <c r="A602">
        <f>IF(AND(OR('Compliance Database'!$A602='Data Transfer'!$B$4,'Compliance Database'!$A602='Data Transfer'!$B$5),OR('Data Transfer'!$B$6="",ISNUMBER(SEARCH('Data Transfer'!$B$6,'Compliance Database'!$D602&amp;" "&amp;'Compliance Database'!$K602&amp;" "&amp;'Compliance Database'!$L602&amp;" "&amp;'Compliance Database'!$M602&amp;" "&amp;'Compliance Database'!$N602)))),1,0)</f>
        <v/>
      </c>
      <c r="B602">
        <f>IF($A602=1,SUM($A$2:$A602),"")</f>
        <v/>
      </c>
      <c r="C602">
        <f>IF($A602=1,SUM($A$2:$A602),0)</f>
        <v/>
      </c>
    </row>
    <row r="603">
      <c r="A603">
        <f>IF(AND(OR('Compliance Database'!$A603='Data Transfer'!$B$4,'Compliance Database'!$A603='Data Transfer'!$B$5),OR('Data Transfer'!$B$6="",ISNUMBER(SEARCH('Data Transfer'!$B$6,'Compliance Database'!$D603&amp;" "&amp;'Compliance Database'!$K603&amp;" "&amp;'Compliance Database'!$L603&amp;" "&amp;'Compliance Database'!$M603&amp;" "&amp;'Compliance Database'!$N603)))),1,0)</f>
        <v/>
      </c>
      <c r="B603">
        <f>IF($A603=1,SUM($A$2:$A603),"")</f>
        <v/>
      </c>
      <c r="C603">
        <f>IF($A603=1,SUM($A$2:$A603),0)</f>
        <v/>
      </c>
    </row>
    <row r="604">
      <c r="A604">
        <f>IF(AND(OR('Compliance Database'!$A604='Data Transfer'!$B$4,'Compliance Database'!$A604='Data Transfer'!$B$5),OR('Data Transfer'!$B$6="",ISNUMBER(SEARCH('Data Transfer'!$B$6,'Compliance Database'!$D604&amp;" "&amp;'Compliance Database'!$K604&amp;" "&amp;'Compliance Database'!$L604&amp;" "&amp;'Compliance Database'!$M604&amp;" "&amp;'Compliance Database'!$N604)))),1,0)</f>
        <v/>
      </c>
      <c r="B604">
        <f>IF($A604=1,SUM($A$2:$A604),"")</f>
        <v/>
      </c>
      <c r="C604">
        <f>IF($A604=1,SUM($A$2:$A604),0)</f>
        <v/>
      </c>
    </row>
    <row r="605">
      <c r="A605">
        <f>IF(AND(OR('Compliance Database'!$A605='Data Transfer'!$B$4,'Compliance Database'!$A605='Data Transfer'!$B$5),OR('Data Transfer'!$B$6="",ISNUMBER(SEARCH('Data Transfer'!$B$6,'Compliance Database'!$D605&amp;" "&amp;'Compliance Database'!$K605&amp;" "&amp;'Compliance Database'!$L605&amp;" "&amp;'Compliance Database'!$M605&amp;" "&amp;'Compliance Database'!$N605)))),1,0)</f>
        <v/>
      </c>
      <c r="B605">
        <f>IF($A605=1,SUM($A$2:$A605),"")</f>
        <v/>
      </c>
      <c r="C605">
        <f>IF($A605=1,SUM($A$2:$A605),0)</f>
        <v/>
      </c>
    </row>
    <row r="606">
      <c r="A606">
        <f>IF(AND(OR('Compliance Database'!$A606='Data Transfer'!$B$4,'Compliance Database'!$A606='Data Transfer'!$B$5),OR('Data Transfer'!$B$6="",ISNUMBER(SEARCH('Data Transfer'!$B$6,'Compliance Database'!$D606&amp;" "&amp;'Compliance Database'!$K606&amp;" "&amp;'Compliance Database'!$L606&amp;" "&amp;'Compliance Database'!$M606&amp;" "&amp;'Compliance Database'!$N606)))),1,0)</f>
        <v/>
      </c>
      <c r="B606">
        <f>IF($A606=1,SUM($A$2:$A606),"")</f>
        <v/>
      </c>
      <c r="C606">
        <f>IF($A606=1,SUM($A$2:$A606),0)</f>
        <v/>
      </c>
    </row>
    <row r="607">
      <c r="A607">
        <f>IF(AND(OR('Compliance Database'!$A607='Data Transfer'!$B$4,'Compliance Database'!$A607='Data Transfer'!$B$5),OR('Data Transfer'!$B$6="",ISNUMBER(SEARCH('Data Transfer'!$B$6,'Compliance Database'!$D607&amp;" "&amp;'Compliance Database'!$K607&amp;" "&amp;'Compliance Database'!$L607&amp;" "&amp;'Compliance Database'!$M607&amp;" "&amp;'Compliance Database'!$N607)))),1,0)</f>
        <v/>
      </c>
      <c r="B607">
        <f>IF($A607=1,SUM($A$2:$A607),"")</f>
        <v/>
      </c>
      <c r="C607">
        <f>IF($A607=1,SUM($A$2:$A607),0)</f>
        <v/>
      </c>
    </row>
    <row r="608">
      <c r="A608">
        <f>IF(AND(OR('Compliance Database'!$A608='Data Transfer'!$B$4,'Compliance Database'!$A608='Data Transfer'!$B$5),OR('Data Transfer'!$B$6="",ISNUMBER(SEARCH('Data Transfer'!$B$6,'Compliance Database'!$D608&amp;" "&amp;'Compliance Database'!$K608&amp;" "&amp;'Compliance Database'!$L608&amp;" "&amp;'Compliance Database'!$M608&amp;" "&amp;'Compliance Database'!$N608)))),1,0)</f>
        <v/>
      </c>
      <c r="B608">
        <f>IF($A608=1,SUM($A$2:$A608),"")</f>
        <v/>
      </c>
      <c r="C608">
        <f>IF($A608=1,SUM($A$2:$A608),0)</f>
        <v/>
      </c>
    </row>
    <row r="609">
      <c r="A609">
        <f>IF(AND(OR('Compliance Database'!$A609='Data Transfer'!$B$4,'Compliance Database'!$A609='Data Transfer'!$B$5),OR('Data Transfer'!$B$6="",ISNUMBER(SEARCH('Data Transfer'!$B$6,'Compliance Database'!$D609&amp;" "&amp;'Compliance Database'!$K609&amp;" "&amp;'Compliance Database'!$L609&amp;" "&amp;'Compliance Database'!$M609&amp;" "&amp;'Compliance Database'!$N609)))),1,0)</f>
        <v/>
      </c>
      <c r="B609">
        <f>IF($A609=1,SUM($A$2:$A609),"")</f>
        <v/>
      </c>
      <c r="C609">
        <f>IF($A609=1,SUM($A$2:$A609),0)</f>
        <v/>
      </c>
    </row>
    <row r="610">
      <c r="A610">
        <f>IF(AND(OR('Compliance Database'!$A610='Data Transfer'!$B$4,'Compliance Database'!$A610='Data Transfer'!$B$5),OR('Data Transfer'!$B$6="",ISNUMBER(SEARCH('Data Transfer'!$B$6,'Compliance Database'!$D610&amp;" "&amp;'Compliance Database'!$K610&amp;" "&amp;'Compliance Database'!$L610&amp;" "&amp;'Compliance Database'!$M610&amp;" "&amp;'Compliance Database'!$N610)))),1,0)</f>
        <v/>
      </c>
      <c r="B610">
        <f>IF($A610=1,SUM($A$2:$A610),"")</f>
        <v/>
      </c>
      <c r="C610">
        <f>IF($A610=1,SUM($A$2:$A610),0)</f>
        <v/>
      </c>
    </row>
    <row r="611">
      <c r="A611">
        <f>IF(AND(OR('Compliance Database'!$A611='Data Transfer'!$B$4,'Compliance Database'!$A611='Data Transfer'!$B$5),OR('Data Transfer'!$B$6="",ISNUMBER(SEARCH('Data Transfer'!$B$6,'Compliance Database'!$D611&amp;" "&amp;'Compliance Database'!$K611&amp;" "&amp;'Compliance Database'!$L611&amp;" "&amp;'Compliance Database'!$M611&amp;" "&amp;'Compliance Database'!$N611)))),1,0)</f>
        <v/>
      </c>
      <c r="B611">
        <f>IF($A611=1,SUM($A$2:$A611),"")</f>
        <v/>
      </c>
      <c r="C611">
        <f>IF($A611=1,SUM($A$2:$A611),0)</f>
        <v/>
      </c>
    </row>
    <row r="612">
      <c r="A612">
        <f>IF(AND(OR('Compliance Database'!$A612='Data Transfer'!$B$4,'Compliance Database'!$A612='Data Transfer'!$B$5),OR('Data Transfer'!$B$6="",ISNUMBER(SEARCH('Data Transfer'!$B$6,'Compliance Database'!$D612&amp;" "&amp;'Compliance Database'!$K612&amp;" "&amp;'Compliance Database'!$L612&amp;" "&amp;'Compliance Database'!$M612&amp;" "&amp;'Compliance Database'!$N612)))),1,0)</f>
        <v/>
      </c>
      <c r="B612">
        <f>IF($A612=1,SUM($A$2:$A612),"")</f>
        <v/>
      </c>
      <c r="C612">
        <f>IF($A612=1,SUM($A$2:$A612),0)</f>
        <v/>
      </c>
    </row>
    <row r="613">
      <c r="A613">
        <f>IF(AND(OR('Compliance Database'!$A613='Data Transfer'!$B$4,'Compliance Database'!$A613='Data Transfer'!$B$5),OR('Data Transfer'!$B$6="",ISNUMBER(SEARCH('Data Transfer'!$B$6,'Compliance Database'!$D613&amp;" "&amp;'Compliance Database'!$K613&amp;" "&amp;'Compliance Database'!$L613&amp;" "&amp;'Compliance Database'!$M613&amp;" "&amp;'Compliance Database'!$N613)))),1,0)</f>
        <v/>
      </c>
      <c r="B613">
        <f>IF($A613=1,SUM($A$2:$A613),"")</f>
        <v/>
      </c>
      <c r="C613">
        <f>IF($A613=1,SUM($A$2:$A613),0)</f>
        <v/>
      </c>
    </row>
    <row r="614">
      <c r="A614">
        <f>IF(AND(OR('Compliance Database'!$A614='Data Transfer'!$B$4,'Compliance Database'!$A614='Data Transfer'!$B$5),OR('Data Transfer'!$B$6="",ISNUMBER(SEARCH('Data Transfer'!$B$6,'Compliance Database'!$D614&amp;" "&amp;'Compliance Database'!$K614&amp;" "&amp;'Compliance Database'!$L614&amp;" "&amp;'Compliance Database'!$M614&amp;" "&amp;'Compliance Database'!$N614)))),1,0)</f>
        <v/>
      </c>
      <c r="B614">
        <f>IF($A614=1,SUM($A$2:$A614),"")</f>
        <v/>
      </c>
      <c r="C614">
        <f>IF($A614=1,SUM($A$2:$A614),0)</f>
        <v/>
      </c>
    </row>
    <row r="615">
      <c r="A615">
        <f>IF(AND(OR('Compliance Database'!$A615='Data Transfer'!$B$4,'Compliance Database'!$A615='Data Transfer'!$B$5),OR('Data Transfer'!$B$6="",ISNUMBER(SEARCH('Data Transfer'!$B$6,'Compliance Database'!$D615&amp;" "&amp;'Compliance Database'!$K615&amp;" "&amp;'Compliance Database'!$L615&amp;" "&amp;'Compliance Database'!$M615&amp;" "&amp;'Compliance Database'!$N615)))),1,0)</f>
        <v/>
      </c>
      <c r="B615">
        <f>IF($A615=1,SUM($A$2:$A615),"")</f>
        <v/>
      </c>
      <c r="C615">
        <f>IF($A615=1,SUM($A$2:$A615),0)</f>
        <v/>
      </c>
    </row>
    <row r="616">
      <c r="A616">
        <f>IF(AND(OR('Compliance Database'!$A616='Data Transfer'!$B$4,'Compliance Database'!$A616='Data Transfer'!$B$5),OR('Data Transfer'!$B$6="",ISNUMBER(SEARCH('Data Transfer'!$B$6,'Compliance Database'!$D616&amp;" "&amp;'Compliance Database'!$K616&amp;" "&amp;'Compliance Database'!$L616&amp;" "&amp;'Compliance Database'!$M616&amp;" "&amp;'Compliance Database'!$N616)))),1,0)</f>
        <v/>
      </c>
      <c r="B616">
        <f>IF($A616=1,SUM($A$2:$A616),"")</f>
        <v/>
      </c>
      <c r="C616">
        <f>IF($A616=1,SUM($A$2:$A616),0)</f>
        <v/>
      </c>
    </row>
    <row r="617">
      <c r="A617">
        <f>IF(AND(OR('Compliance Database'!$A617='Data Transfer'!$B$4,'Compliance Database'!$A617='Data Transfer'!$B$5),OR('Data Transfer'!$B$6="",ISNUMBER(SEARCH('Data Transfer'!$B$6,'Compliance Database'!$D617&amp;" "&amp;'Compliance Database'!$K617&amp;" "&amp;'Compliance Database'!$L617&amp;" "&amp;'Compliance Database'!$M617&amp;" "&amp;'Compliance Database'!$N617)))),1,0)</f>
        <v/>
      </c>
      <c r="B617">
        <f>IF($A617=1,SUM($A$2:$A617),"")</f>
        <v/>
      </c>
      <c r="C617">
        <f>IF($A617=1,SUM($A$2:$A617),0)</f>
        <v/>
      </c>
    </row>
    <row r="618">
      <c r="A618">
        <f>IF(AND(OR('Compliance Database'!$A618='Data Transfer'!$B$4,'Compliance Database'!$A618='Data Transfer'!$B$5),OR('Data Transfer'!$B$6="",ISNUMBER(SEARCH('Data Transfer'!$B$6,'Compliance Database'!$D618&amp;" "&amp;'Compliance Database'!$K618&amp;" "&amp;'Compliance Database'!$L618&amp;" "&amp;'Compliance Database'!$M618&amp;" "&amp;'Compliance Database'!$N618)))),1,0)</f>
        <v/>
      </c>
      <c r="B618">
        <f>IF($A618=1,SUM($A$2:$A618),"")</f>
        <v/>
      </c>
      <c r="C618">
        <f>IF($A618=1,SUM($A$2:$A618),0)</f>
        <v/>
      </c>
    </row>
    <row r="619">
      <c r="A619">
        <f>IF(AND(OR('Compliance Database'!$A619='Data Transfer'!$B$4,'Compliance Database'!$A619='Data Transfer'!$B$5),OR('Data Transfer'!$B$6="",ISNUMBER(SEARCH('Data Transfer'!$B$6,'Compliance Database'!$D619&amp;" "&amp;'Compliance Database'!$K619&amp;" "&amp;'Compliance Database'!$L619&amp;" "&amp;'Compliance Database'!$M619&amp;" "&amp;'Compliance Database'!$N619)))),1,0)</f>
        <v/>
      </c>
      <c r="B619">
        <f>IF($A619=1,SUM($A$2:$A619),"")</f>
        <v/>
      </c>
      <c r="C619">
        <f>IF($A619=1,SUM($A$2:$A619),0)</f>
        <v/>
      </c>
    </row>
    <row r="620">
      <c r="A620">
        <f>IF(AND(OR('Compliance Database'!$A620='Data Transfer'!$B$4,'Compliance Database'!$A620='Data Transfer'!$B$5),OR('Data Transfer'!$B$6="",ISNUMBER(SEARCH('Data Transfer'!$B$6,'Compliance Database'!$D620&amp;" "&amp;'Compliance Database'!$K620&amp;" "&amp;'Compliance Database'!$L620&amp;" "&amp;'Compliance Database'!$M620&amp;" "&amp;'Compliance Database'!$N620)))),1,0)</f>
        <v/>
      </c>
      <c r="B620">
        <f>IF($A620=1,SUM($A$2:$A620),"")</f>
        <v/>
      </c>
      <c r="C620">
        <f>IF($A620=1,SUM($A$2:$A620),0)</f>
        <v/>
      </c>
    </row>
    <row r="621">
      <c r="A621">
        <f>IF(AND(OR('Compliance Database'!$A621='Data Transfer'!$B$4,'Compliance Database'!$A621='Data Transfer'!$B$5),OR('Data Transfer'!$B$6="",ISNUMBER(SEARCH('Data Transfer'!$B$6,'Compliance Database'!$D621&amp;" "&amp;'Compliance Database'!$K621&amp;" "&amp;'Compliance Database'!$L621&amp;" "&amp;'Compliance Database'!$M621&amp;" "&amp;'Compliance Database'!$N621)))),1,0)</f>
        <v/>
      </c>
      <c r="B621">
        <f>IF($A621=1,SUM($A$2:$A621),"")</f>
        <v/>
      </c>
      <c r="C621">
        <f>IF($A621=1,SUM($A$2:$A621),0)</f>
        <v/>
      </c>
    </row>
    <row r="622">
      <c r="A622">
        <f>IF(AND(OR('Compliance Database'!$A622='Data Transfer'!$B$4,'Compliance Database'!$A622='Data Transfer'!$B$5),OR('Data Transfer'!$B$6="",ISNUMBER(SEARCH('Data Transfer'!$B$6,'Compliance Database'!$D622&amp;" "&amp;'Compliance Database'!$K622&amp;" "&amp;'Compliance Database'!$L622&amp;" "&amp;'Compliance Database'!$M622&amp;" "&amp;'Compliance Database'!$N622)))),1,0)</f>
        <v/>
      </c>
      <c r="B622">
        <f>IF($A622=1,SUM($A$2:$A622),"")</f>
        <v/>
      </c>
      <c r="C622">
        <f>IF($A622=1,SUM($A$2:$A622),0)</f>
        <v/>
      </c>
    </row>
    <row r="623">
      <c r="A623">
        <f>IF(AND(OR('Compliance Database'!$A623='Data Transfer'!$B$4,'Compliance Database'!$A623='Data Transfer'!$B$5),OR('Data Transfer'!$B$6="",ISNUMBER(SEARCH('Data Transfer'!$B$6,'Compliance Database'!$D623&amp;" "&amp;'Compliance Database'!$K623&amp;" "&amp;'Compliance Database'!$L623&amp;" "&amp;'Compliance Database'!$M623&amp;" "&amp;'Compliance Database'!$N623)))),1,0)</f>
        <v/>
      </c>
      <c r="B623">
        <f>IF($A623=1,SUM($A$2:$A623),"")</f>
        <v/>
      </c>
      <c r="C623">
        <f>IF($A623=1,SUM($A$2:$A623),0)</f>
        <v/>
      </c>
    </row>
    <row r="624">
      <c r="A624">
        <f>IF(AND(OR('Compliance Database'!$A624='Data Transfer'!$B$4,'Compliance Database'!$A624='Data Transfer'!$B$5),OR('Data Transfer'!$B$6="",ISNUMBER(SEARCH('Data Transfer'!$B$6,'Compliance Database'!$D624&amp;" "&amp;'Compliance Database'!$K624&amp;" "&amp;'Compliance Database'!$L624&amp;" "&amp;'Compliance Database'!$M624&amp;" "&amp;'Compliance Database'!$N624)))),1,0)</f>
        <v/>
      </c>
      <c r="B624">
        <f>IF($A624=1,SUM($A$2:$A624),"")</f>
        <v/>
      </c>
      <c r="C624">
        <f>IF($A624=1,SUM($A$2:$A624),0)</f>
        <v/>
      </c>
    </row>
    <row r="625">
      <c r="A625">
        <f>IF(AND(OR('Compliance Database'!$A625='Data Transfer'!$B$4,'Compliance Database'!$A625='Data Transfer'!$B$5),OR('Data Transfer'!$B$6="",ISNUMBER(SEARCH('Data Transfer'!$B$6,'Compliance Database'!$D625&amp;" "&amp;'Compliance Database'!$K625&amp;" "&amp;'Compliance Database'!$L625&amp;" "&amp;'Compliance Database'!$M625&amp;" "&amp;'Compliance Database'!$N625)))),1,0)</f>
        <v/>
      </c>
      <c r="B625">
        <f>IF($A625=1,SUM($A$2:$A625),"")</f>
        <v/>
      </c>
      <c r="C625">
        <f>IF($A625=1,SUM($A$2:$A625),0)</f>
        <v/>
      </c>
    </row>
    <row r="626">
      <c r="A626">
        <f>IF(AND(OR('Compliance Database'!$A626='Data Transfer'!$B$4,'Compliance Database'!$A626='Data Transfer'!$B$5),OR('Data Transfer'!$B$6="",ISNUMBER(SEARCH('Data Transfer'!$B$6,'Compliance Database'!$D626&amp;" "&amp;'Compliance Database'!$K626&amp;" "&amp;'Compliance Database'!$L626&amp;" "&amp;'Compliance Database'!$M626&amp;" "&amp;'Compliance Database'!$N626)))),1,0)</f>
        <v/>
      </c>
      <c r="B626">
        <f>IF($A626=1,SUM($A$2:$A626),"")</f>
        <v/>
      </c>
      <c r="C626">
        <f>IF($A626=1,SUM($A$2:$A626),0)</f>
        <v/>
      </c>
    </row>
    <row r="627">
      <c r="A627">
        <f>IF(AND(OR('Compliance Database'!$A627='Data Transfer'!$B$4,'Compliance Database'!$A627='Data Transfer'!$B$5),OR('Data Transfer'!$B$6="",ISNUMBER(SEARCH('Data Transfer'!$B$6,'Compliance Database'!$D627&amp;" "&amp;'Compliance Database'!$K627&amp;" "&amp;'Compliance Database'!$L627&amp;" "&amp;'Compliance Database'!$M627&amp;" "&amp;'Compliance Database'!$N627)))),1,0)</f>
        <v/>
      </c>
      <c r="B627">
        <f>IF($A627=1,SUM($A$2:$A627),"")</f>
        <v/>
      </c>
      <c r="C627">
        <f>IF($A627=1,SUM($A$2:$A627),0)</f>
        <v/>
      </c>
    </row>
    <row r="628">
      <c r="A628">
        <f>IF(AND(OR('Compliance Database'!$A628='Data Transfer'!$B$4,'Compliance Database'!$A628='Data Transfer'!$B$5),OR('Data Transfer'!$B$6="",ISNUMBER(SEARCH('Data Transfer'!$B$6,'Compliance Database'!$D628&amp;" "&amp;'Compliance Database'!$K628&amp;" "&amp;'Compliance Database'!$L628&amp;" "&amp;'Compliance Database'!$M628&amp;" "&amp;'Compliance Database'!$N628)))),1,0)</f>
        <v/>
      </c>
      <c r="B628">
        <f>IF($A628=1,SUM($A$2:$A628),"")</f>
        <v/>
      </c>
      <c r="C628">
        <f>IF($A628=1,SUM($A$2:$A628),0)</f>
        <v/>
      </c>
    </row>
    <row r="629">
      <c r="A629">
        <f>IF(AND(OR('Compliance Database'!$A629='Data Transfer'!$B$4,'Compliance Database'!$A629='Data Transfer'!$B$5),OR('Data Transfer'!$B$6="",ISNUMBER(SEARCH('Data Transfer'!$B$6,'Compliance Database'!$D629&amp;" "&amp;'Compliance Database'!$K629&amp;" "&amp;'Compliance Database'!$L629&amp;" "&amp;'Compliance Database'!$M629&amp;" "&amp;'Compliance Database'!$N629)))),1,0)</f>
        <v/>
      </c>
      <c r="B629">
        <f>IF($A629=1,SUM($A$2:$A629),"")</f>
        <v/>
      </c>
      <c r="C629">
        <f>IF($A629=1,SUM($A$2:$A629),0)</f>
        <v/>
      </c>
    </row>
    <row r="630">
      <c r="A630">
        <f>IF(AND(OR('Compliance Database'!$A630='Data Transfer'!$B$4,'Compliance Database'!$A630='Data Transfer'!$B$5),OR('Data Transfer'!$B$6="",ISNUMBER(SEARCH('Data Transfer'!$B$6,'Compliance Database'!$D630&amp;" "&amp;'Compliance Database'!$K630&amp;" "&amp;'Compliance Database'!$L630&amp;" "&amp;'Compliance Database'!$M630&amp;" "&amp;'Compliance Database'!$N630)))),1,0)</f>
        <v/>
      </c>
      <c r="B630">
        <f>IF($A630=1,SUM($A$2:$A630),"")</f>
        <v/>
      </c>
      <c r="C630">
        <f>IF($A630=1,SUM($A$2:$A630),0)</f>
        <v/>
      </c>
    </row>
    <row r="631">
      <c r="A631">
        <f>IF(AND(OR('Compliance Database'!$A631='Data Transfer'!$B$4,'Compliance Database'!$A631='Data Transfer'!$B$5),OR('Data Transfer'!$B$6="",ISNUMBER(SEARCH('Data Transfer'!$B$6,'Compliance Database'!$D631&amp;" "&amp;'Compliance Database'!$K631&amp;" "&amp;'Compliance Database'!$L631&amp;" "&amp;'Compliance Database'!$M631&amp;" "&amp;'Compliance Database'!$N631)))),1,0)</f>
        <v/>
      </c>
      <c r="B631">
        <f>IF($A631=1,SUM($A$2:$A631),"")</f>
        <v/>
      </c>
      <c r="C631">
        <f>IF($A631=1,SUM($A$2:$A631),0)</f>
        <v/>
      </c>
    </row>
    <row r="632">
      <c r="A632">
        <f>IF(AND(OR('Compliance Database'!$A632='Data Transfer'!$B$4,'Compliance Database'!$A632='Data Transfer'!$B$5),OR('Data Transfer'!$B$6="",ISNUMBER(SEARCH('Data Transfer'!$B$6,'Compliance Database'!$D632&amp;" "&amp;'Compliance Database'!$K632&amp;" "&amp;'Compliance Database'!$L632&amp;" "&amp;'Compliance Database'!$M632&amp;" "&amp;'Compliance Database'!$N632)))),1,0)</f>
        <v/>
      </c>
      <c r="B632">
        <f>IF($A632=1,SUM($A$2:$A632),"")</f>
        <v/>
      </c>
      <c r="C632">
        <f>IF($A632=1,SUM($A$2:$A632),0)</f>
        <v/>
      </c>
    </row>
    <row r="633">
      <c r="A633">
        <f>IF(AND(OR('Compliance Database'!$A633='Data Transfer'!$B$4,'Compliance Database'!$A633='Data Transfer'!$B$5),OR('Data Transfer'!$B$6="",ISNUMBER(SEARCH('Data Transfer'!$B$6,'Compliance Database'!$D633&amp;" "&amp;'Compliance Database'!$K633&amp;" "&amp;'Compliance Database'!$L633&amp;" "&amp;'Compliance Database'!$M633&amp;" "&amp;'Compliance Database'!$N633)))),1,0)</f>
        <v/>
      </c>
      <c r="B633">
        <f>IF($A633=1,SUM($A$2:$A633),"")</f>
        <v/>
      </c>
      <c r="C633">
        <f>IF($A633=1,SUM($A$2:$A633),0)</f>
        <v/>
      </c>
    </row>
    <row r="634">
      <c r="A634">
        <f>IF(AND(OR('Compliance Database'!$A634='Data Transfer'!$B$4,'Compliance Database'!$A634='Data Transfer'!$B$5),OR('Data Transfer'!$B$6="",ISNUMBER(SEARCH('Data Transfer'!$B$6,'Compliance Database'!$D634&amp;" "&amp;'Compliance Database'!$K634&amp;" "&amp;'Compliance Database'!$L634&amp;" "&amp;'Compliance Database'!$M634&amp;" "&amp;'Compliance Database'!$N634)))),1,0)</f>
        <v/>
      </c>
      <c r="B634">
        <f>IF($A634=1,SUM($A$2:$A634),"")</f>
        <v/>
      </c>
      <c r="C634">
        <f>IF($A634=1,SUM($A$2:$A634),0)</f>
        <v/>
      </c>
    </row>
    <row r="635">
      <c r="A635">
        <f>IF(AND(OR('Compliance Database'!$A635='Data Transfer'!$B$4,'Compliance Database'!$A635='Data Transfer'!$B$5),OR('Data Transfer'!$B$6="",ISNUMBER(SEARCH('Data Transfer'!$B$6,'Compliance Database'!$D635&amp;" "&amp;'Compliance Database'!$K635&amp;" "&amp;'Compliance Database'!$L635&amp;" "&amp;'Compliance Database'!$M635&amp;" "&amp;'Compliance Database'!$N635)))),1,0)</f>
        <v/>
      </c>
      <c r="B635">
        <f>IF($A635=1,SUM($A$2:$A635),"")</f>
        <v/>
      </c>
      <c r="C635">
        <f>IF($A635=1,SUM($A$2:$A635),0)</f>
        <v/>
      </c>
    </row>
    <row r="636">
      <c r="A636">
        <f>IF(AND(OR('Compliance Database'!$A636='Data Transfer'!$B$4,'Compliance Database'!$A636='Data Transfer'!$B$5),OR('Data Transfer'!$B$6="",ISNUMBER(SEARCH('Data Transfer'!$B$6,'Compliance Database'!$D636&amp;" "&amp;'Compliance Database'!$K636&amp;" "&amp;'Compliance Database'!$L636&amp;" "&amp;'Compliance Database'!$M636&amp;" "&amp;'Compliance Database'!$N636)))),1,0)</f>
        <v/>
      </c>
      <c r="B636">
        <f>IF($A636=1,SUM($A$2:$A636),"")</f>
        <v/>
      </c>
      <c r="C636">
        <f>IF($A636=1,SUM($A$2:$A636),0)</f>
        <v/>
      </c>
    </row>
    <row r="637">
      <c r="A637">
        <f>IF(AND(OR('Compliance Database'!$A637='Data Transfer'!$B$4,'Compliance Database'!$A637='Data Transfer'!$B$5),OR('Data Transfer'!$B$6="",ISNUMBER(SEARCH('Data Transfer'!$B$6,'Compliance Database'!$D637&amp;" "&amp;'Compliance Database'!$K637&amp;" "&amp;'Compliance Database'!$L637&amp;" "&amp;'Compliance Database'!$M637&amp;" "&amp;'Compliance Database'!$N637)))),1,0)</f>
        <v/>
      </c>
      <c r="B637">
        <f>IF($A637=1,SUM($A$2:$A637),"")</f>
        <v/>
      </c>
      <c r="C637">
        <f>IF($A637=1,SUM($A$2:$A637),0)</f>
        <v/>
      </c>
    </row>
    <row r="638">
      <c r="A638">
        <f>IF(AND(OR('Compliance Database'!$A638='Data Transfer'!$B$4,'Compliance Database'!$A638='Data Transfer'!$B$5),OR('Data Transfer'!$B$6="",ISNUMBER(SEARCH('Data Transfer'!$B$6,'Compliance Database'!$D638&amp;" "&amp;'Compliance Database'!$K638&amp;" "&amp;'Compliance Database'!$L638&amp;" "&amp;'Compliance Database'!$M638&amp;" "&amp;'Compliance Database'!$N638)))),1,0)</f>
        <v/>
      </c>
      <c r="B638">
        <f>IF($A638=1,SUM($A$2:$A638),"")</f>
        <v/>
      </c>
      <c r="C638">
        <f>IF($A638=1,SUM($A$2:$A638),0)</f>
        <v/>
      </c>
    </row>
    <row r="639">
      <c r="A639">
        <f>IF(AND(OR('Compliance Database'!$A639='Data Transfer'!$B$4,'Compliance Database'!$A639='Data Transfer'!$B$5),OR('Data Transfer'!$B$6="",ISNUMBER(SEARCH('Data Transfer'!$B$6,'Compliance Database'!$D639&amp;" "&amp;'Compliance Database'!$K639&amp;" "&amp;'Compliance Database'!$L639&amp;" "&amp;'Compliance Database'!$M639&amp;" "&amp;'Compliance Database'!$N639)))),1,0)</f>
        <v/>
      </c>
      <c r="B639">
        <f>IF($A639=1,SUM($A$2:$A639),"")</f>
        <v/>
      </c>
      <c r="C639">
        <f>IF($A639=1,SUM($A$2:$A639),0)</f>
        <v/>
      </c>
    </row>
    <row r="640">
      <c r="A640">
        <f>IF(AND(OR('Compliance Database'!$A640='Data Transfer'!$B$4,'Compliance Database'!$A640='Data Transfer'!$B$5),OR('Data Transfer'!$B$6="",ISNUMBER(SEARCH('Data Transfer'!$B$6,'Compliance Database'!$D640&amp;" "&amp;'Compliance Database'!$K640&amp;" "&amp;'Compliance Database'!$L640&amp;" "&amp;'Compliance Database'!$M640&amp;" "&amp;'Compliance Database'!$N640)))),1,0)</f>
        <v/>
      </c>
      <c r="B640">
        <f>IF($A640=1,SUM($A$2:$A640),"")</f>
        <v/>
      </c>
      <c r="C640">
        <f>IF($A640=1,SUM($A$2:$A640),0)</f>
        <v/>
      </c>
    </row>
    <row r="641">
      <c r="A641">
        <f>IF(AND(OR('Compliance Database'!$A641='Data Transfer'!$B$4,'Compliance Database'!$A641='Data Transfer'!$B$5),OR('Data Transfer'!$B$6="",ISNUMBER(SEARCH('Data Transfer'!$B$6,'Compliance Database'!$D641&amp;" "&amp;'Compliance Database'!$K641&amp;" "&amp;'Compliance Database'!$L641&amp;" "&amp;'Compliance Database'!$M641&amp;" "&amp;'Compliance Database'!$N641)))),1,0)</f>
        <v/>
      </c>
      <c r="B641">
        <f>IF($A641=1,SUM($A$2:$A641),"")</f>
        <v/>
      </c>
      <c r="C641">
        <f>IF($A641=1,SUM($A$2:$A641),0)</f>
        <v/>
      </c>
    </row>
    <row r="642">
      <c r="A642">
        <f>IF(AND(OR('Compliance Database'!$A642='Data Transfer'!$B$4,'Compliance Database'!$A642='Data Transfer'!$B$5),OR('Data Transfer'!$B$6="",ISNUMBER(SEARCH('Data Transfer'!$B$6,'Compliance Database'!$D642&amp;" "&amp;'Compliance Database'!$K642&amp;" "&amp;'Compliance Database'!$L642&amp;" "&amp;'Compliance Database'!$M642&amp;" "&amp;'Compliance Database'!$N642)))),1,0)</f>
        <v/>
      </c>
      <c r="B642">
        <f>IF($A642=1,SUM($A$2:$A642),"")</f>
        <v/>
      </c>
      <c r="C642">
        <f>IF($A642=1,SUM($A$2:$A642),0)</f>
        <v/>
      </c>
    </row>
    <row r="643">
      <c r="A643">
        <f>IF(AND(OR('Compliance Database'!$A643='Data Transfer'!$B$4,'Compliance Database'!$A643='Data Transfer'!$B$5),OR('Data Transfer'!$B$6="",ISNUMBER(SEARCH('Data Transfer'!$B$6,'Compliance Database'!$D643&amp;" "&amp;'Compliance Database'!$K643&amp;" "&amp;'Compliance Database'!$L643&amp;" "&amp;'Compliance Database'!$M643&amp;" "&amp;'Compliance Database'!$N643)))),1,0)</f>
        <v/>
      </c>
      <c r="B643">
        <f>IF($A643=1,SUM($A$2:$A643),"")</f>
        <v/>
      </c>
      <c r="C643">
        <f>IF($A643=1,SUM($A$2:$A643),0)</f>
        <v/>
      </c>
    </row>
    <row r="644">
      <c r="A644">
        <f>IF(AND(OR('Compliance Database'!$A644='Data Transfer'!$B$4,'Compliance Database'!$A644='Data Transfer'!$B$5),OR('Data Transfer'!$B$6="",ISNUMBER(SEARCH('Data Transfer'!$B$6,'Compliance Database'!$D644&amp;" "&amp;'Compliance Database'!$K644&amp;" "&amp;'Compliance Database'!$L644&amp;" "&amp;'Compliance Database'!$M644&amp;" "&amp;'Compliance Database'!$N644)))),1,0)</f>
        <v/>
      </c>
      <c r="B644">
        <f>IF($A644=1,SUM($A$2:$A644),"")</f>
        <v/>
      </c>
      <c r="C644">
        <f>IF($A644=1,SUM($A$2:$A644),0)</f>
        <v/>
      </c>
    </row>
    <row r="645">
      <c r="A645">
        <f>IF(AND(OR('Compliance Database'!$A645='Data Transfer'!$B$4,'Compliance Database'!$A645='Data Transfer'!$B$5),OR('Data Transfer'!$B$6="",ISNUMBER(SEARCH('Data Transfer'!$B$6,'Compliance Database'!$D645&amp;" "&amp;'Compliance Database'!$K645&amp;" "&amp;'Compliance Database'!$L645&amp;" "&amp;'Compliance Database'!$M645&amp;" "&amp;'Compliance Database'!$N645)))),1,0)</f>
        <v/>
      </c>
      <c r="B645">
        <f>IF($A645=1,SUM($A$2:$A645),"")</f>
        <v/>
      </c>
      <c r="C645">
        <f>IF($A645=1,SUM($A$2:$A645),0)</f>
        <v/>
      </c>
    </row>
    <row r="646">
      <c r="A646">
        <f>IF(AND(OR('Compliance Database'!$A646='Data Transfer'!$B$4,'Compliance Database'!$A646='Data Transfer'!$B$5),OR('Data Transfer'!$B$6="",ISNUMBER(SEARCH('Data Transfer'!$B$6,'Compliance Database'!$D646&amp;" "&amp;'Compliance Database'!$K646&amp;" "&amp;'Compliance Database'!$L646&amp;" "&amp;'Compliance Database'!$M646&amp;" "&amp;'Compliance Database'!$N646)))),1,0)</f>
        <v/>
      </c>
      <c r="B646">
        <f>IF($A646=1,SUM($A$2:$A646),"")</f>
        <v/>
      </c>
      <c r="C646">
        <f>IF($A646=1,SUM($A$2:$A646),0)</f>
        <v/>
      </c>
    </row>
    <row r="647">
      <c r="A647">
        <f>IF(AND(OR('Compliance Database'!$A647='Data Transfer'!$B$4,'Compliance Database'!$A647='Data Transfer'!$B$5),OR('Data Transfer'!$B$6="",ISNUMBER(SEARCH('Data Transfer'!$B$6,'Compliance Database'!$D647&amp;" "&amp;'Compliance Database'!$K647&amp;" "&amp;'Compliance Database'!$L647&amp;" "&amp;'Compliance Database'!$M647&amp;" "&amp;'Compliance Database'!$N647)))),1,0)</f>
        <v/>
      </c>
      <c r="B647">
        <f>IF($A647=1,SUM($A$2:$A647),"")</f>
        <v/>
      </c>
      <c r="C647">
        <f>IF($A647=1,SUM($A$2:$A647),0)</f>
        <v/>
      </c>
    </row>
    <row r="648">
      <c r="A648">
        <f>IF(AND(OR('Compliance Database'!$A648='Data Transfer'!$B$4,'Compliance Database'!$A648='Data Transfer'!$B$5),OR('Data Transfer'!$B$6="",ISNUMBER(SEARCH('Data Transfer'!$B$6,'Compliance Database'!$D648&amp;" "&amp;'Compliance Database'!$K648&amp;" "&amp;'Compliance Database'!$L648&amp;" "&amp;'Compliance Database'!$M648&amp;" "&amp;'Compliance Database'!$N648)))),1,0)</f>
        <v/>
      </c>
      <c r="B648">
        <f>IF($A648=1,SUM($A$2:$A648),"")</f>
        <v/>
      </c>
      <c r="C648">
        <f>IF($A648=1,SUM($A$2:$A648),0)</f>
        <v/>
      </c>
    </row>
    <row r="649">
      <c r="A649">
        <f>IF(AND(OR('Compliance Database'!$A649='Data Transfer'!$B$4,'Compliance Database'!$A649='Data Transfer'!$B$5),OR('Data Transfer'!$B$6="",ISNUMBER(SEARCH('Data Transfer'!$B$6,'Compliance Database'!$D649&amp;" "&amp;'Compliance Database'!$K649&amp;" "&amp;'Compliance Database'!$L649&amp;" "&amp;'Compliance Database'!$M649&amp;" "&amp;'Compliance Database'!$N649)))),1,0)</f>
        <v/>
      </c>
      <c r="B649">
        <f>IF($A649=1,SUM($A$2:$A649),"")</f>
        <v/>
      </c>
      <c r="C649">
        <f>IF($A649=1,SUM($A$2:$A649),0)</f>
        <v/>
      </c>
    </row>
    <row r="650">
      <c r="A650">
        <f>IF(AND(OR('Compliance Database'!$A650='Data Transfer'!$B$4,'Compliance Database'!$A650='Data Transfer'!$B$5),OR('Data Transfer'!$B$6="",ISNUMBER(SEARCH('Data Transfer'!$B$6,'Compliance Database'!$D650&amp;" "&amp;'Compliance Database'!$K650&amp;" "&amp;'Compliance Database'!$L650&amp;" "&amp;'Compliance Database'!$M650&amp;" "&amp;'Compliance Database'!$N650)))),1,0)</f>
        <v/>
      </c>
      <c r="B650">
        <f>IF($A650=1,SUM($A$2:$A650),"")</f>
        <v/>
      </c>
      <c r="C650">
        <f>IF($A650=1,SUM($A$2:$A650),0)</f>
        <v/>
      </c>
    </row>
    <row r="651">
      <c r="A651">
        <f>IF(AND(OR('Compliance Database'!$A651='Data Transfer'!$B$4,'Compliance Database'!$A651='Data Transfer'!$B$5),OR('Data Transfer'!$B$6="",ISNUMBER(SEARCH('Data Transfer'!$B$6,'Compliance Database'!$D651&amp;" "&amp;'Compliance Database'!$K651&amp;" "&amp;'Compliance Database'!$L651&amp;" "&amp;'Compliance Database'!$M651&amp;" "&amp;'Compliance Database'!$N651)))),1,0)</f>
        <v/>
      </c>
      <c r="B651">
        <f>IF($A651=1,SUM($A$2:$A651),"")</f>
        <v/>
      </c>
      <c r="C651">
        <f>IF($A651=1,SUM($A$2:$A651),0)</f>
        <v/>
      </c>
    </row>
    <row r="652">
      <c r="A652">
        <f>IF(AND(OR('Compliance Database'!$A652='Data Transfer'!$B$4,'Compliance Database'!$A652='Data Transfer'!$B$5),OR('Data Transfer'!$B$6="",ISNUMBER(SEARCH('Data Transfer'!$B$6,'Compliance Database'!$D652&amp;" "&amp;'Compliance Database'!$K652&amp;" "&amp;'Compliance Database'!$L652&amp;" "&amp;'Compliance Database'!$M652&amp;" "&amp;'Compliance Database'!$N652)))),1,0)</f>
        <v/>
      </c>
      <c r="B652">
        <f>IF($A652=1,SUM($A$2:$A652),"")</f>
        <v/>
      </c>
      <c r="C652">
        <f>IF($A652=1,SUM($A$2:$A652),0)</f>
        <v/>
      </c>
    </row>
    <row r="653">
      <c r="A653">
        <f>IF(AND(OR('Compliance Database'!$A653='Data Transfer'!$B$4,'Compliance Database'!$A653='Data Transfer'!$B$5),OR('Data Transfer'!$B$6="",ISNUMBER(SEARCH('Data Transfer'!$B$6,'Compliance Database'!$D653&amp;" "&amp;'Compliance Database'!$K653&amp;" "&amp;'Compliance Database'!$L653&amp;" "&amp;'Compliance Database'!$M653&amp;" "&amp;'Compliance Database'!$N653)))),1,0)</f>
        <v/>
      </c>
      <c r="B653">
        <f>IF($A653=1,SUM($A$2:$A653),"")</f>
        <v/>
      </c>
      <c r="C653">
        <f>IF($A653=1,SUM($A$2:$A653),0)</f>
        <v/>
      </c>
    </row>
    <row r="654">
      <c r="A654">
        <f>IF(AND(OR('Compliance Database'!$A654='Data Transfer'!$B$4,'Compliance Database'!$A654='Data Transfer'!$B$5),OR('Data Transfer'!$B$6="",ISNUMBER(SEARCH('Data Transfer'!$B$6,'Compliance Database'!$D654&amp;" "&amp;'Compliance Database'!$K654&amp;" "&amp;'Compliance Database'!$L654&amp;" "&amp;'Compliance Database'!$M654&amp;" "&amp;'Compliance Database'!$N654)))),1,0)</f>
        <v/>
      </c>
      <c r="B654">
        <f>IF($A654=1,SUM($A$2:$A654),"")</f>
        <v/>
      </c>
      <c r="C654">
        <f>IF($A654=1,SUM($A$2:$A654),0)</f>
        <v/>
      </c>
    </row>
    <row r="655">
      <c r="A655">
        <f>IF(AND(OR('Compliance Database'!$A655='Data Transfer'!$B$4,'Compliance Database'!$A655='Data Transfer'!$B$5),OR('Data Transfer'!$B$6="",ISNUMBER(SEARCH('Data Transfer'!$B$6,'Compliance Database'!$D655&amp;" "&amp;'Compliance Database'!$K655&amp;" "&amp;'Compliance Database'!$L655&amp;" "&amp;'Compliance Database'!$M655&amp;" "&amp;'Compliance Database'!$N655)))),1,0)</f>
        <v/>
      </c>
      <c r="B655">
        <f>IF($A655=1,SUM($A$2:$A655),"")</f>
        <v/>
      </c>
      <c r="C655">
        <f>IF($A655=1,SUM($A$2:$A655),0)</f>
        <v/>
      </c>
    </row>
    <row r="656">
      <c r="A656">
        <f>IF(AND(OR('Compliance Database'!$A656='Data Transfer'!$B$4,'Compliance Database'!$A656='Data Transfer'!$B$5),OR('Data Transfer'!$B$6="",ISNUMBER(SEARCH('Data Transfer'!$B$6,'Compliance Database'!$D656&amp;" "&amp;'Compliance Database'!$K656&amp;" "&amp;'Compliance Database'!$L656&amp;" "&amp;'Compliance Database'!$M656&amp;" "&amp;'Compliance Database'!$N656)))),1,0)</f>
        <v/>
      </c>
      <c r="B656">
        <f>IF($A656=1,SUM($A$2:$A656),"")</f>
        <v/>
      </c>
      <c r="C656">
        <f>IF($A656=1,SUM($A$2:$A656),0)</f>
        <v/>
      </c>
    </row>
    <row r="657">
      <c r="A657">
        <f>IF(AND(OR('Compliance Database'!$A657='Data Transfer'!$B$4,'Compliance Database'!$A657='Data Transfer'!$B$5),OR('Data Transfer'!$B$6="",ISNUMBER(SEARCH('Data Transfer'!$B$6,'Compliance Database'!$D657&amp;" "&amp;'Compliance Database'!$K657&amp;" "&amp;'Compliance Database'!$L657&amp;" "&amp;'Compliance Database'!$M657&amp;" "&amp;'Compliance Database'!$N657)))),1,0)</f>
        <v/>
      </c>
      <c r="B657">
        <f>IF($A657=1,SUM($A$2:$A657),"")</f>
        <v/>
      </c>
      <c r="C657">
        <f>IF($A657=1,SUM($A$2:$A657),0)</f>
        <v/>
      </c>
    </row>
    <row r="658">
      <c r="A658">
        <f>IF(AND(OR('Compliance Database'!$A658='Data Transfer'!$B$4,'Compliance Database'!$A658='Data Transfer'!$B$5),OR('Data Transfer'!$B$6="",ISNUMBER(SEARCH('Data Transfer'!$B$6,'Compliance Database'!$D658&amp;" "&amp;'Compliance Database'!$K658&amp;" "&amp;'Compliance Database'!$L658&amp;" "&amp;'Compliance Database'!$M658&amp;" "&amp;'Compliance Database'!$N658)))),1,0)</f>
        <v/>
      </c>
      <c r="B658">
        <f>IF($A658=1,SUM($A$2:$A658),"")</f>
        <v/>
      </c>
      <c r="C658">
        <f>IF($A658=1,SUM($A$2:$A658),0)</f>
        <v/>
      </c>
    </row>
    <row r="659">
      <c r="A659">
        <f>IF(AND(OR('Compliance Database'!$A659='Data Transfer'!$B$4,'Compliance Database'!$A659='Data Transfer'!$B$5),OR('Data Transfer'!$B$6="",ISNUMBER(SEARCH('Data Transfer'!$B$6,'Compliance Database'!$D659&amp;" "&amp;'Compliance Database'!$K659&amp;" "&amp;'Compliance Database'!$L659&amp;" "&amp;'Compliance Database'!$M659&amp;" "&amp;'Compliance Database'!$N659)))),1,0)</f>
        <v/>
      </c>
      <c r="B659">
        <f>IF($A659=1,SUM($A$2:$A659),"")</f>
        <v/>
      </c>
      <c r="C659">
        <f>IF($A659=1,SUM($A$2:$A659),0)</f>
        <v/>
      </c>
    </row>
    <row r="660">
      <c r="A660">
        <f>IF(AND(OR('Compliance Database'!$A660='Data Transfer'!$B$4,'Compliance Database'!$A660='Data Transfer'!$B$5),OR('Data Transfer'!$B$6="",ISNUMBER(SEARCH('Data Transfer'!$B$6,'Compliance Database'!$D660&amp;" "&amp;'Compliance Database'!$K660&amp;" "&amp;'Compliance Database'!$L660&amp;" "&amp;'Compliance Database'!$M660&amp;" "&amp;'Compliance Database'!$N660)))),1,0)</f>
        <v/>
      </c>
      <c r="B660">
        <f>IF($A660=1,SUM($A$2:$A660),"")</f>
        <v/>
      </c>
      <c r="C660">
        <f>IF($A660=1,SUM($A$2:$A660),0)</f>
        <v/>
      </c>
    </row>
    <row r="661">
      <c r="A661">
        <f>IF(AND(OR('Compliance Database'!$A661='Data Transfer'!$B$4,'Compliance Database'!$A661='Data Transfer'!$B$5),OR('Data Transfer'!$B$6="",ISNUMBER(SEARCH('Data Transfer'!$B$6,'Compliance Database'!$D661&amp;" "&amp;'Compliance Database'!$K661&amp;" "&amp;'Compliance Database'!$L661&amp;" "&amp;'Compliance Database'!$M661&amp;" "&amp;'Compliance Database'!$N661)))),1,0)</f>
        <v/>
      </c>
      <c r="B661">
        <f>IF($A661=1,SUM($A$2:$A661),"")</f>
        <v/>
      </c>
      <c r="C661">
        <f>IF($A661=1,SUM($A$2:$A661),0)</f>
        <v/>
      </c>
    </row>
    <row r="662">
      <c r="A662">
        <f>IF(AND(OR('Compliance Database'!$A662='Data Transfer'!$B$4,'Compliance Database'!$A662='Data Transfer'!$B$5),OR('Data Transfer'!$B$6="",ISNUMBER(SEARCH('Data Transfer'!$B$6,'Compliance Database'!$D662&amp;" "&amp;'Compliance Database'!$K662&amp;" "&amp;'Compliance Database'!$L662&amp;" "&amp;'Compliance Database'!$M662&amp;" "&amp;'Compliance Database'!$N662)))),1,0)</f>
        <v/>
      </c>
      <c r="B662">
        <f>IF($A662=1,SUM($A$2:$A662),"")</f>
        <v/>
      </c>
      <c r="C662">
        <f>IF($A662=1,SUM($A$2:$A662),0)</f>
        <v/>
      </c>
    </row>
    <row r="663">
      <c r="A663">
        <f>IF(AND(OR('Compliance Database'!$A663='Data Transfer'!$B$4,'Compliance Database'!$A663='Data Transfer'!$B$5),OR('Data Transfer'!$B$6="",ISNUMBER(SEARCH('Data Transfer'!$B$6,'Compliance Database'!$D663&amp;" "&amp;'Compliance Database'!$K663&amp;" "&amp;'Compliance Database'!$L663&amp;" "&amp;'Compliance Database'!$M663&amp;" "&amp;'Compliance Database'!$N663)))),1,0)</f>
        <v/>
      </c>
      <c r="B663">
        <f>IF($A663=1,SUM($A$2:$A663),"")</f>
        <v/>
      </c>
      <c r="C663">
        <f>IF($A663=1,SUM($A$2:$A663),0)</f>
        <v/>
      </c>
    </row>
    <row r="664">
      <c r="A664">
        <f>IF(AND(OR('Compliance Database'!$A664='Data Transfer'!$B$4,'Compliance Database'!$A664='Data Transfer'!$B$5),OR('Data Transfer'!$B$6="",ISNUMBER(SEARCH('Data Transfer'!$B$6,'Compliance Database'!$D664&amp;" "&amp;'Compliance Database'!$K664&amp;" "&amp;'Compliance Database'!$L664&amp;" "&amp;'Compliance Database'!$M664&amp;" "&amp;'Compliance Database'!$N664)))),1,0)</f>
        <v/>
      </c>
      <c r="B664">
        <f>IF($A664=1,SUM($A$2:$A664),"")</f>
        <v/>
      </c>
      <c r="C664">
        <f>IF($A664=1,SUM($A$2:$A664),0)</f>
        <v/>
      </c>
    </row>
    <row r="665">
      <c r="A665">
        <f>IF(AND(OR('Compliance Database'!$A665='Data Transfer'!$B$4,'Compliance Database'!$A665='Data Transfer'!$B$5),OR('Data Transfer'!$B$6="",ISNUMBER(SEARCH('Data Transfer'!$B$6,'Compliance Database'!$D665&amp;" "&amp;'Compliance Database'!$K665&amp;" "&amp;'Compliance Database'!$L665&amp;" "&amp;'Compliance Database'!$M665&amp;" "&amp;'Compliance Database'!$N665)))),1,0)</f>
        <v/>
      </c>
      <c r="B665">
        <f>IF($A665=1,SUM($A$2:$A665),"")</f>
        <v/>
      </c>
      <c r="C665">
        <f>IF($A665=1,SUM($A$2:$A665),0)</f>
        <v/>
      </c>
    </row>
    <row r="666">
      <c r="A666">
        <f>IF(AND(OR('Compliance Database'!$A666='Data Transfer'!$B$4,'Compliance Database'!$A666='Data Transfer'!$B$5),OR('Data Transfer'!$B$6="",ISNUMBER(SEARCH('Data Transfer'!$B$6,'Compliance Database'!$D666&amp;" "&amp;'Compliance Database'!$K666&amp;" "&amp;'Compliance Database'!$L666&amp;" "&amp;'Compliance Database'!$M666&amp;" "&amp;'Compliance Database'!$N666)))),1,0)</f>
        <v/>
      </c>
      <c r="B666">
        <f>IF($A666=1,SUM($A$2:$A666),"")</f>
        <v/>
      </c>
      <c r="C666">
        <f>IF($A666=1,SUM($A$2:$A666),0)</f>
        <v/>
      </c>
    </row>
    <row r="667">
      <c r="A667">
        <f>IF(AND(OR('Compliance Database'!$A667='Data Transfer'!$B$4,'Compliance Database'!$A667='Data Transfer'!$B$5),OR('Data Transfer'!$B$6="",ISNUMBER(SEARCH('Data Transfer'!$B$6,'Compliance Database'!$D667&amp;" "&amp;'Compliance Database'!$K667&amp;" "&amp;'Compliance Database'!$L667&amp;" "&amp;'Compliance Database'!$M667&amp;" "&amp;'Compliance Database'!$N667)))),1,0)</f>
        <v/>
      </c>
      <c r="B667">
        <f>IF($A667=1,SUM($A$2:$A667),"")</f>
        <v/>
      </c>
      <c r="C667">
        <f>IF($A667=1,SUM($A$2:$A667),0)</f>
        <v/>
      </c>
    </row>
    <row r="668">
      <c r="A668">
        <f>IF(AND(OR('Compliance Database'!$A668='Data Transfer'!$B$4,'Compliance Database'!$A668='Data Transfer'!$B$5),OR('Data Transfer'!$B$6="",ISNUMBER(SEARCH('Data Transfer'!$B$6,'Compliance Database'!$D668&amp;" "&amp;'Compliance Database'!$K668&amp;" "&amp;'Compliance Database'!$L668&amp;" "&amp;'Compliance Database'!$M668&amp;" "&amp;'Compliance Database'!$N668)))),1,0)</f>
        <v/>
      </c>
      <c r="B668">
        <f>IF($A668=1,SUM($A$2:$A668),"")</f>
        <v/>
      </c>
      <c r="C668">
        <f>IF($A668=1,SUM($A$2:$A668),0)</f>
        <v/>
      </c>
    </row>
    <row r="669">
      <c r="A669">
        <f>IF(AND(OR('Compliance Database'!$A669='Data Transfer'!$B$4,'Compliance Database'!$A669='Data Transfer'!$B$5),OR('Data Transfer'!$B$6="",ISNUMBER(SEARCH('Data Transfer'!$B$6,'Compliance Database'!$D669&amp;" "&amp;'Compliance Database'!$K669&amp;" "&amp;'Compliance Database'!$L669&amp;" "&amp;'Compliance Database'!$M669&amp;" "&amp;'Compliance Database'!$N669)))),1,0)</f>
        <v/>
      </c>
      <c r="B669">
        <f>IF($A669=1,SUM($A$2:$A669),"")</f>
        <v/>
      </c>
      <c r="C669">
        <f>IF($A669=1,SUM($A$2:$A669),0)</f>
        <v/>
      </c>
    </row>
    <row r="670">
      <c r="A670">
        <f>IF(AND(OR('Compliance Database'!$A670='Data Transfer'!$B$4,'Compliance Database'!$A670='Data Transfer'!$B$5),OR('Data Transfer'!$B$6="",ISNUMBER(SEARCH('Data Transfer'!$B$6,'Compliance Database'!$D670&amp;" "&amp;'Compliance Database'!$K670&amp;" "&amp;'Compliance Database'!$L670&amp;" "&amp;'Compliance Database'!$M670&amp;" "&amp;'Compliance Database'!$N670)))),1,0)</f>
        <v/>
      </c>
      <c r="B670">
        <f>IF($A670=1,SUM($A$2:$A670),"")</f>
        <v/>
      </c>
      <c r="C670">
        <f>IF($A670=1,SUM($A$2:$A670),0)</f>
        <v/>
      </c>
    </row>
    <row r="671">
      <c r="A671">
        <f>IF(AND(OR('Compliance Database'!$A671='Data Transfer'!$B$4,'Compliance Database'!$A671='Data Transfer'!$B$5),OR('Data Transfer'!$B$6="",ISNUMBER(SEARCH('Data Transfer'!$B$6,'Compliance Database'!$D671&amp;" "&amp;'Compliance Database'!$K671&amp;" "&amp;'Compliance Database'!$L671&amp;" "&amp;'Compliance Database'!$M671&amp;" "&amp;'Compliance Database'!$N671)))),1,0)</f>
        <v/>
      </c>
      <c r="B671">
        <f>IF($A671=1,SUM($A$2:$A671),"")</f>
        <v/>
      </c>
      <c r="C671">
        <f>IF($A671=1,SUM($A$2:$A671),0)</f>
        <v/>
      </c>
    </row>
    <row r="672">
      <c r="A672">
        <f>IF(AND(OR('Compliance Database'!$A672='Data Transfer'!$B$4,'Compliance Database'!$A672='Data Transfer'!$B$5),OR('Data Transfer'!$B$6="",ISNUMBER(SEARCH('Data Transfer'!$B$6,'Compliance Database'!$D672&amp;" "&amp;'Compliance Database'!$K672&amp;" "&amp;'Compliance Database'!$L672&amp;" "&amp;'Compliance Database'!$M672&amp;" "&amp;'Compliance Database'!$N672)))),1,0)</f>
        <v/>
      </c>
      <c r="B672">
        <f>IF($A672=1,SUM($A$2:$A672),"")</f>
        <v/>
      </c>
      <c r="C672">
        <f>IF($A672=1,SUM($A$2:$A672),0)</f>
        <v/>
      </c>
    </row>
    <row r="673">
      <c r="A673">
        <f>IF(AND(OR('Compliance Database'!$A673='Data Transfer'!$B$4,'Compliance Database'!$A673='Data Transfer'!$B$5),OR('Data Transfer'!$B$6="",ISNUMBER(SEARCH('Data Transfer'!$B$6,'Compliance Database'!$D673&amp;" "&amp;'Compliance Database'!$K673&amp;" "&amp;'Compliance Database'!$L673&amp;" "&amp;'Compliance Database'!$M673&amp;" "&amp;'Compliance Database'!$N673)))),1,0)</f>
        <v/>
      </c>
      <c r="B673">
        <f>IF($A673=1,SUM($A$2:$A673),"")</f>
        <v/>
      </c>
      <c r="C673">
        <f>IF($A673=1,SUM($A$2:$A673),0)</f>
        <v/>
      </c>
    </row>
    <row r="674">
      <c r="A674">
        <f>IF(AND(OR('Compliance Database'!$A674='Data Transfer'!$B$4,'Compliance Database'!$A674='Data Transfer'!$B$5),OR('Data Transfer'!$B$6="",ISNUMBER(SEARCH('Data Transfer'!$B$6,'Compliance Database'!$D674&amp;" "&amp;'Compliance Database'!$K674&amp;" "&amp;'Compliance Database'!$L674&amp;" "&amp;'Compliance Database'!$M674&amp;" "&amp;'Compliance Database'!$N674)))),1,0)</f>
        <v/>
      </c>
      <c r="B674">
        <f>IF($A674=1,SUM($A$2:$A674),"")</f>
        <v/>
      </c>
      <c r="C674">
        <f>IF($A674=1,SUM($A$2:$A674),0)</f>
        <v/>
      </c>
    </row>
    <row r="675">
      <c r="A675">
        <f>IF(AND(OR('Compliance Database'!$A675='Data Transfer'!$B$4,'Compliance Database'!$A675='Data Transfer'!$B$5),OR('Data Transfer'!$B$6="",ISNUMBER(SEARCH('Data Transfer'!$B$6,'Compliance Database'!$D675&amp;" "&amp;'Compliance Database'!$K675&amp;" "&amp;'Compliance Database'!$L675&amp;" "&amp;'Compliance Database'!$M675&amp;" "&amp;'Compliance Database'!$N675)))),1,0)</f>
        <v/>
      </c>
      <c r="B675">
        <f>IF($A675=1,SUM($A$2:$A675),"")</f>
        <v/>
      </c>
      <c r="C675">
        <f>IF($A675=1,SUM($A$2:$A675),0)</f>
        <v/>
      </c>
    </row>
    <row r="676">
      <c r="A676">
        <f>IF(AND(OR('Compliance Database'!$A676='Data Transfer'!$B$4,'Compliance Database'!$A676='Data Transfer'!$B$5),OR('Data Transfer'!$B$6="",ISNUMBER(SEARCH('Data Transfer'!$B$6,'Compliance Database'!$D676&amp;" "&amp;'Compliance Database'!$K676&amp;" "&amp;'Compliance Database'!$L676&amp;" "&amp;'Compliance Database'!$M676&amp;" "&amp;'Compliance Database'!$N676)))),1,0)</f>
        <v/>
      </c>
      <c r="B676">
        <f>IF($A676=1,SUM($A$2:$A676),"")</f>
        <v/>
      </c>
      <c r="C676">
        <f>IF($A676=1,SUM($A$2:$A676),0)</f>
        <v/>
      </c>
    </row>
    <row r="677">
      <c r="A677">
        <f>IF(AND(OR('Compliance Database'!$A677='Data Transfer'!$B$4,'Compliance Database'!$A677='Data Transfer'!$B$5),OR('Data Transfer'!$B$6="",ISNUMBER(SEARCH('Data Transfer'!$B$6,'Compliance Database'!$D677&amp;" "&amp;'Compliance Database'!$K677&amp;" "&amp;'Compliance Database'!$L677&amp;" "&amp;'Compliance Database'!$M677&amp;" "&amp;'Compliance Database'!$N677)))),1,0)</f>
        <v/>
      </c>
      <c r="B677">
        <f>IF($A677=1,SUM($A$2:$A677),"")</f>
        <v/>
      </c>
      <c r="C677">
        <f>IF($A677=1,SUM($A$2:$A677),0)</f>
        <v/>
      </c>
    </row>
    <row r="678">
      <c r="A678">
        <f>IF(AND(OR('Compliance Database'!$A678='Data Transfer'!$B$4,'Compliance Database'!$A678='Data Transfer'!$B$5),OR('Data Transfer'!$B$6="",ISNUMBER(SEARCH('Data Transfer'!$B$6,'Compliance Database'!$D678&amp;" "&amp;'Compliance Database'!$K678&amp;" "&amp;'Compliance Database'!$L678&amp;" "&amp;'Compliance Database'!$M678&amp;" "&amp;'Compliance Database'!$N678)))),1,0)</f>
        <v/>
      </c>
      <c r="B678">
        <f>IF($A678=1,SUM($A$2:$A678),"")</f>
        <v/>
      </c>
      <c r="C678">
        <f>IF($A678=1,SUM($A$2:$A678),0)</f>
        <v/>
      </c>
    </row>
    <row r="679">
      <c r="A679">
        <f>IF(AND(OR('Compliance Database'!$A679='Data Transfer'!$B$4,'Compliance Database'!$A679='Data Transfer'!$B$5),OR('Data Transfer'!$B$6="",ISNUMBER(SEARCH('Data Transfer'!$B$6,'Compliance Database'!$D679&amp;" "&amp;'Compliance Database'!$K679&amp;" "&amp;'Compliance Database'!$L679&amp;" "&amp;'Compliance Database'!$M679&amp;" "&amp;'Compliance Database'!$N679)))),1,0)</f>
        <v/>
      </c>
      <c r="B679">
        <f>IF($A679=1,SUM($A$2:$A679),"")</f>
        <v/>
      </c>
      <c r="C679">
        <f>IF($A679=1,SUM($A$2:$A679),0)</f>
        <v/>
      </c>
    </row>
    <row r="680">
      <c r="A680">
        <f>IF(AND(OR('Compliance Database'!$A680='Data Transfer'!$B$4,'Compliance Database'!$A680='Data Transfer'!$B$5),OR('Data Transfer'!$B$6="",ISNUMBER(SEARCH('Data Transfer'!$B$6,'Compliance Database'!$D680&amp;" "&amp;'Compliance Database'!$K680&amp;" "&amp;'Compliance Database'!$L680&amp;" "&amp;'Compliance Database'!$M680&amp;" "&amp;'Compliance Database'!$N680)))),1,0)</f>
        <v/>
      </c>
      <c r="B680">
        <f>IF($A680=1,SUM($A$2:$A680),"")</f>
        <v/>
      </c>
      <c r="C680">
        <f>IF($A680=1,SUM($A$2:$A680),0)</f>
        <v/>
      </c>
    </row>
    <row r="681">
      <c r="A681">
        <f>IF(AND(OR('Compliance Database'!$A681='Data Transfer'!$B$4,'Compliance Database'!$A681='Data Transfer'!$B$5),OR('Data Transfer'!$B$6="",ISNUMBER(SEARCH('Data Transfer'!$B$6,'Compliance Database'!$D681&amp;" "&amp;'Compliance Database'!$K681&amp;" "&amp;'Compliance Database'!$L681&amp;" "&amp;'Compliance Database'!$M681&amp;" "&amp;'Compliance Database'!$N681)))),1,0)</f>
        <v/>
      </c>
      <c r="B681">
        <f>IF($A681=1,SUM($A$2:$A681),"")</f>
        <v/>
      </c>
      <c r="C681">
        <f>IF($A681=1,SUM($A$2:$A681),0)</f>
        <v/>
      </c>
    </row>
    <row r="682">
      <c r="A682">
        <f>IF(AND(OR('Compliance Database'!$A682='Data Transfer'!$B$4,'Compliance Database'!$A682='Data Transfer'!$B$5),OR('Data Transfer'!$B$6="",ISNUMBER(SEARCH('Data Transfer'!$B$6,'Compliance Database'!$D682&amp;" "&amp;'Compliance Database'!$K682&amp;" "&amp;'Compliance Database'!$L682&amp;" "&amp;'Compliance Database'!$M682&amp;" "&amp;'Compliance Database'!$N682)))),1,0)</f>
        <v/>
      </c>
      <c r="B682">
        <f>IF($A682=1,SUM($A$2:$A682),"")</f>
        <v/>
      </c>
      <c r="C682">
        <f>IF($A682=1,SUM($A$2:$A682),0)</f>
        <v/>
      </c>
    </row>
    <row r="683">
      <c r="A683">
        <f>IF(AND(OR('Compliance Database'!$A683='Data Transfer'!$B$4,'Compliance Database'!$A683='Data Transfer'!$B$5),OR('Data Transfer'!$B$6="",ISNUMBER(SEARCH('Data Transfer'!$B$6,'Compliance Database'!$D683&amp;" "&amp;'Compliance Database'!$K683&amp;" "&amp;'Compliance Database'!$L683&amp;" "&amp;'Compliance Database'!$M683&amp;" "&amp;'Compliance Database'!$N683)))),1,0)</f>
        <v/>
      </c>
      <c r="B683">
        <f>IF($A683=1,SUM($A$2:$A683),"")</f>
        <v/>
      </c>
      <c r="C683">
        <f>IF($A683=1,SUM($A$2:$A683),0)</f>
        <v/>
      </c>
    </row>
    <row r="684">
      <c r="A684">
        <f>IF(AND(OR('Compliance Database'!$A684='Data Transfer'!$B$4,'Compliance Database'!$A684='Data Transfer'!$B$5),OR('Data Transfer'!$B$6="",ISNUMBER(SEARCH('Data Transfer'!$B$6,'Compliance Database'!$D684&amp;" "&amp;'Compliance Database'!$K684&amp;" "&amp;'Compliance Database'!$L684&amp;" "&amp;'Compliance Database'!$M684&amp;" "&amp;'Compliance Database'!$N684)))),1,0)</f>
        <v/>
      </c>
      <c r="B684">
        <f>IF($A684=1,SUM($A$2:$A684),"")</f>
        <v/>
      </c>
      <c r="C684">
        <f>IF($A684=1,SUM($A$2:$A684),0)</f>
        <v/>
      </c>
    </row>
    <row r="685">
      <c r="A685">
        <f>IF(AND(OR('Compliance Database'!$A685='Data Transfer'!$B$4,'Compliance Database'!$A685='Data Transfer'!$B$5),OR('Data Transfer'!$B$6="",ISNUMBER(SEARCH('Data Transfer'!$B$6,'Compliance Database'!$D685&amp;" "&amp;'Compliance Database'!$K685&amp;" "&amp;'Compliance Database'!$L685&amp;" "&amp;'Compliance Database'!$M685&amp;" "&amp;'Compliance Database'!$N685)))),1,0)</f>
        <v/>
      </c>
      <c r="B685">
        <f>IF($A685=1,SUM($A$2:$A685),"")</f>
        <v/>
      </c>
      <c r="C685">
        <f>IF($A685=1,SUM($A$2:$A685),0)</f>
        <v/>
      </c>
    </row>
    <row r="686">
      <c r="A686">
        <f>IF(AND(OR('Compliance Database'!$A686='Data Transfer'!$B$4,'Compliance Database'!$A686='Data Transfer'!$B$5),OR('Data Transfer'!$B$6="",ISNUMBER(SEARCH('Data Transfer'!$B$6,'Compliance Database'!$D686&amp;" "&amp;'Compliance Database'!$K686&amp;" "&amp;'Compliance Database'!$L686&amp;" "&amp;'Compliance Database'!$M686&amp;" "&amp;'Compliance Database'!$N686)))),1,0)</f>
        <v/>
      </c>
      <c r="B686">
        <f>IF($A686=1,SUM($A$2:$A686),"")</f>
        <v/>
      </c>
      <c r="C686">
        <f>IF($A686=1,SUM($A$2:$A686),0)</f>
        <v/>
      </c>
    </row>
    <row r="687">
      <c r="A687">
        <f>IF(AND(OR('Compliance Database'!$A687='Data Transfer'!$B$4,'Compliance Database'!$A687='Data Transfer'!$B$5),OR('Data Transfer'!$B$6="",ISNUMBER(SEARCH('Data Transfer'!$B$6,'Compliance Database'!$D687&amp;" "&amp;'Compliance Database'!$K687&amp;" "&amp;'Compliance Database'!$L687&amp;" "&amp;'Compliance Database'!$M687&amp;" "&amp;'Compliance Database'!$N687)))),1,0)</f>
        <v/>
      </c>
      <c r="B687">
        <f>IF($A687=1,SUM($A$2:$A687),"")</f>
        <v/>
      </c>
      <c r="C687">
        <f>IF($A687=1,SUM($A$2:$A687),0)</f>
        <v/>
      </c>
    </row>
    <row r="688">
      <c r="A688">
        <f>IF(AND(OR('Compliance Database'!$A688='Data Transfer'!$B$4,'Compliance Database'!$A688='Data Transfer'!$B$5),OR('Data Transfer'!$B$6="",ISNUMBER(SEARCH('Data Transfer'!$B$6,'Compliance Database'!$D688&amp;" "&amp;'Compliance Database'!$K688&amp;" "&amp;'Compliance Database'!$L688&amp;" "&amp;'Compliance Database'!$M688&amp;" "&amp;'Compliance Database'!$N688)))),1,0)</f>
        <v/>
      </c>
      <c r="B688">
        <f>IF($A688=1,SUM($A$2:$A688),"")</f>
        <v/>
      </c>
      <c r="C688">
        <f>IF($A688=1,SUM($A$2:$A688),0)</f>
        <v/>
      </c>
    </row>
    <row r="689">
      <c r="A689">
        <f>IF(AND(OR('Compliance Database'!$A689='Data Transfer'!$B$4,'Compliance Database'!$A689='Data Transfer'!$B$5),OR('Data Transfer'!$B$6="",ISNUMBER(SEARCH('Data Transfer'!$B$6,'Compliance Database'!$D689&amp;" "&amp;'Compliance Database'!$K689&amp;" "&amp;'Compliance Database'!$L689&amp;" "&amp;'Compliance Database'!$M689&amp;" "&amp;'Compliance Database'!$N689)))),1,0)</f>
        <v/>
      </c>
      <c r="B689">
        <f>IF($A689=1,SUM($A$2:$A689),"")</f>
        <v/>
      </c>
      <c r="C689">
        <f>IF($A689=1,SUM($A$2:$A689),0)</f>
        <v/>
      </c>
    </row>
    <row r="690">
      <c r="A690">
        <f>IF(AND(OR('Compliance Database'!$A690='Data Transfer'!$B$4,'Compliance Database'!$A690='Data Transfer'!$B$5),OR('Data Transfer'!$B$6="",ISNUMBER(SEARCH('Data Transfer'!$B$6,'Compliance Database'!$D690&amp;" "&amp;'Compliance Database'!$K690&amp;" "&amp;'Compliance Database'!$L690&amp;" "&amp;'Compliance Database'!$M690&amp;" "&amp;'Compliance Database'!$N690)))),1,0)</f>
        <v/>
      </c>
      <c r="B690">
        <f>IF($A690=1,SUM($A$2:$A690),"")</f>
        <v/>
      </c>
      <c r="C690">
        <f>IF($A690=1,SUM($A$2:$A690),0)</f>
        <v/>
      </c>
    </row>
    <row r="691">
      <c r="A691">
        <f>IF(AND(OR('Compliance Database'!$A691='Data Transfer'!$B$4,'Compliance Database'!$A691='Data Transfer'!$B$5),OR('Data Transfer'!$B$6="",ISNUMBER(SEARCH('Data Transfer'!$B$6,'Compliance Database'!$D691&amp;" "&amp;'Compliance Database'!$K691&amp;" "&amp;'Compliance Database'!$L691&amp;" "&amp;'Compliance Database'!$M691&amp;" "&amp;'Compliance Database'!$N691)))),1,0)</f>
        <v/>
      </c>
      <c r="B691">
        <f>IF($A691=1,SUM($A$2:$A691),"")</f>
        <v/>
      </c>
      <c r="C691">
        <f>IF($A691=1,SUM($A$2:$A691),0)</f>
        <v/>
      </c>
    </row>
    <row r="692">
      <c r="A692">
        <f>IF(AND(OR('Compliance Database'!$A692='Data Transfer'!$B$4,'Compliance Database'!$A692='Data Transfer'!$B$5),OR('Data Transfer'!$B$6="",ISNUMBER(SEARCH('Data Transfer'!$B$6,'Compliance Database'!$D692&amp;" "&amp;'Compliance Database'!$K692&amp;" "&amp;'Compliance Database'!$L692&amp;" "&amp;'Compliance Database'!$M692&amp;" "&amp;'Compliance Database'!$N692)))),1,0)</f>
        <v/>
      </c>
      <c r="B692">
        <f>IF($A692=1,SUM($A$2:$A692),"")</f>
        <v/>
      </c>
      <c r="C692">
        <f>IF($A692=1,SUM($A$2:$A692),0)</f>
        <v/>
      </c>
    </row>
    <row r="693">
      <c r="A693">
        <f>IF(AND(OR('Compliance Database'!$A693='Data Transfer'!$B$4,'Compliance Database'!$A693='Data Transfer'!$B$5),OR('Data Transfer'!$B$6="",ISNUMBER(SEARCH('Data Transfer'!$B$6,'Compliance Database'!$D693&amp;" "&amp;'Compliance Database'!$K693&amp;" "&amp;'Compliance Database'!$L693&amp;" "&amp;'Compliance Database'!$M693&amp;" "&amp;'Compliance Database'!$N693)))),1,0)</f>
        <v/>
      </c>
      <c r="B693">
        <f>IF($A693=1,SUM($A$2:$A693),"")</f>
        <v/>
      </c>
      <c r="C693">
        <f>IF($A693=1,SUM($A$2:$A693),0)</f>
        <v/>
      </c>
    </row>
    <row r="694">
      <c r="A694">
        <f>IF(AND(OR('Compliance Database'!$A694='Data Transfer'!$B$4,'Compliance Database'!$A694='Data Transfer'!$B$5),OR('Data Transfer'!$B$6="",ISNUMBER(SEARCH('Data Transfer'!$B$6,'Compliance Database'!$D694&amp;" "&amp;'Compliance Database'!$K694&amp;" "&amp;'Compliance Database'!$L694&amp;" "&amp;'Compliance Database'!$M694&amp;" "&amp;'Compliance Database'!$N694)))),1,0)</f>
        <v/>
      </c>
      <c r="B694">
        <f>IF($A694=1,SUM($A$2:$A694),"")</f>
        <v/>
      </c>
      <c r="C694">
        <f>IF($A694=1,SUM($A$2:$A694),0)</f>
        <v/>
      </c>
    </row>
    <row r="695">
      <c r="A695">
        <f>IF(AND(OR('Compliance Database'!$A695='Data Transfer'!$B$4,'Compliance Database'!$A695='Data Transfer'!$B$5),OR('Data Transfer'!$B$6="",ISNUMBER(SEARCH('Data Transfer'!$B$6,'Compliance Database'!$D695&amp;" "&amp;'Compliance Database'!$K695&amp;" "&amp;'Compliance Database'!$L695&amp;" "&amp;'Compliance Database'!$M695&amp;" "&amp;'Compliance Database'!$N695)))),1,0)</f>
        <v/>
      </c>
      <c r="B695">
        <f>IF($A695=1,SUM($A$2:$A695),"")</f>
        <v/>
      </c>
      <c r="C695">
        <f>IF($A695=1,SUM($A$2:$A695),0)</f>
        <v/>
      </c>
    </row>
    <row r="696">
      <c r="A696">
        <f>IF(AND(OR('Compliance Database'!$A696='Data Transfer'!$B$4,'Compliance Database'!$A696='Data Transfer'!$B$5),OR('Data Transfer'!$B$6="",ISNUMBER(SEARCH('Data Transfer'!$B$6,'Compliance Database'!$D696&amp;" "&amp;'Compliance Database'!$K696&amp;" "&amp;'Compliance Database'!$L696&amp;" "&amp;'Compliance Database'!$M696&amp;" "&amp;'Compliance Database'!$N696)))),1,0)</f>
        <v/>
      </c>
      <c r="B696">
        <f>IF($A696=1,SUM($A$2:$A696),"")</f>
        <v/>
      </c>
      <c r="C696">
        <f>IF($A696=1,SUM($A$2:$A696),0)</f>
        <v/>
      </c>
    </row>
    <row r="697">
      <c r="A697">
        <f>IF(AND(OR('Compliance Database'!$A697='Data Transfer'!$B$4,'Compliance Database'!$A697='Data Transfer'!$B$5),OR('Data Transfer'!$B$6="",ISNUMBER(SEARCH('Data Transfer'!$B$6,'Compliance Database'!$D697&amp;" "&amp;'Compliance Database'!$K697&amp;" "&amp;'Compliance Database'!$L697&amp;" "&amp;'Compliance Database'!$M697&amp;" "&amp;'Compliance Database'!$N697)))),1,0)</f>
        <v/>
      </c>
      <c r="B697">
        <f>IF($A697=1,SUM($A$2:$A697),"")</f>
        <v/>
      </c>
      <c r="C697">
        <f>IF($A697=1,SUM($A$2:$A697),0)</f>
        <v/>
      </c>
    </row>
    <row r="698">
      <c r="A698">
        <f>IF(AND(OR('Compliance Database'!$A698='Data Transfer'!$B$4,'Compliance Database'!$A698='Data Transfer'!$B$5),OR('Data Transfer'!$B$6="",ISNUMBER(SEARCH('Data Transfer'!$B$6,'Compliance Database'!$D698&amp;" "&amp;'Compliance Database'!$K698&amp;" "&amp;'Compliance Database'!$L698&amp;" "&amp;'Compliance Database'!$M698&amp;" "&amp;'Compliance Database'!$N698)))),1,0)</f>
        <v/>
      </c>
      <c r="B698">
        <f>IF($A698=1,SUM($A$2:$A698),"")</f>
        <v/>
      </c>
      <c r="C698">
        <f>IF($A698=1,SUM($A$2:$A698),0)</f>
        <v/>
      </c>
    </row>
    <row r="699">
      <c r="A699">
        <f>IF(AND(OR('Compliance Database'!$A699='Data Transfer'!$B$4,'Compliance Database'!$A699='Data Transfer'!$B$5),OR('Data Transfer'!$B$6="",ISNUMBER(SEARCH('Data Transfer'!$B$6,'Compliance Database'!$D699&amp;" "&amp;'Compliance Database'!$K699&amp;" "&amp;'Compliance Database'!$L699&amp;" "&amp;'Compliance Database'!$M699&amp;" "&amp;'Compliance Database'!$N699)))),1,0)</f>
        <v/>
      </c>
      <c r="B699">
        <f>IF($A699=1,SUM($A$2:$A699),"")</f>
        <v/>
      </c>
      <c r="C699">
        <f>IF($A699=1,SUM($A$2:$A699),0)</f>
        <v/>
      </c>
    </row>
    <row r="700">
      <c r="A700">
        <f>IF(AND(OR('Compliance Database'!$A700='Data Transfer'!$B$4,'Compliance Database'!$A700='Data Transfer'!$B$5),OR('Data Transfer'!$B$6="",ISNUMBER(SEARCH('Data Transfer'!$B$6,'Compliance Database'!$D700&amp;" "&amp;'Compliance Database'!$K700&amp;" "&amp;'Compliance Database'!$L700&amp;" "&amp;'Compliance Database'!$M700&amp;" "&amp;'Compliance Database'!$N700)))),1,0)</f>
        <v/>
      </c>
      <c r="B700">
        <f>IF($A700=1,SUM($A$2:$A700),"")</f>
        <v/>
      </c>
      <c r="C700">
        <f>IF($A700=1,SUM($A$2:$A700),0)</f>
        <v/>
      </c>
    </row>
    <row r="701">
      <c r="A701">
        <f>IF(AND(OR('Compliance Database'!$A701='Data Transfer'!$B$4,'Compliance Database'!$A701='Data Transfer'!$B$5),OR('Data Transfer'!$B$6="",ISNUMBER(SEARCH('Data Transfer'!$B$6,'Compliance Database'!$D701&amp;" "&amp;'Compliance Database'!$K701&amp;" "&amp;'Compliance Database'!$L701&amp;" "&amp;'Compliance Database'!$M701&amp;" "&amp;'Compliance Database'!$N701)))),1,0)</f>
        <v/>
      </c>
      <c r="B701">
        <f>IF($A701=1,SUM($A$2:$A701),"")</f>
        <v/>
      </c>
      <c r="C701">
        <f>IF($A701=1,SUM($A$2:$A701),0)</f>
        <v/>
      </c>
    </row>
    <row r="702">
      <c r="A702">
        <f>IF(AND(OR('Compliance Database'!$A702='Data Transfer'!$B$4,'Compliance Database'!$A702='Data Transfer'!$B$5),OR('Data Transfer'!$B$6="",ISNUMBER(SEARCH('Data Transfer'!$B$6,'Compliance Database'!$D702&amp;" "&amp;'Compliance Database'!$K702&amp;" "&amp;'Compliance Database'!$L702&amp;" "&amp;'Compliance Database'!$M702&amp;" "&amp;'Compliance Database'!$N702)))),1,0)</f>
        <v/>
      </c>
      <c r="B702">
        <f>IF($A702=1,SUM($A$2:$A702),"")</f>
        <v/>
      </c>
      <c r="C702">
        <f>IF($A702=1,SUM($A$2:$A702),0)</f>
        <v/>
      </c>
    </row>
    <row r="703">
      <c r="A703">
        <f>IF(AND(OR('Compliance Database'!$A703='Data Transfer'!$B$4,'Compliance Database'!$A703='Data Transfer'!$B$5),OR('Data Transfer'!$B$6="",ISNUMBER(SEARCH('Data Transfer'!$B$6,'Compliance Database'!$D703&amp;" "&amp;'Compliance Database'!$K703&amp;" "&amp;'Compliance Database'!$L703&amp;" "&amp;'Compliance Database'!$M703&amp;" "&amp;'Compliance Database'!$N703)))),1,0)</f>
        <v/>
      </c>
      <c r="B703">
        <f>IF($A703=1,SUM($A$2:$A703),"")</f>
        <v/>
      </c>
      <c r="C703">
        <f>IF($A703=1,SUM($A$2:$A703),0)</f>
        <v/>
      </c>
    </row>
    <row r="704">
      <c r="A704">
        <f>IF(AND(OR('Compliance Database'!$A704='Data Transfer'!$B$4,'Compliance Database'!$A704='Data Transfer'!$B$5),OR('Data Transfer'!$B$6="",ISNUMBER(SEARCH('Data Transfer'!$B$6,'Compliance Database'!$D704&amp;" "&amp;'Compliance Database'!$K704&amp;" "&amp;'Compliance Database'!$L704&amp;" "&amp;'Compliance Database'!$M704&amp;" "&amp;'Compliance Database'!$N704)))),1,0)</f>
        <v/>
      </c>
      <c r="B704">
        <f>IF($A704=1,SUM($A$2:$A704),"")</f>
        <v/>
      </c>
      <c r="C704">
        <f>IF($A704=1,SUM($A$2:$A704),0)</f>
        <v/>
      </c>
    </row>
    <row r="705">
      <c r="A705">
        <f>IF(AND(OR('Compliance Database'!$A705='Data Transfer'!$B$4,'Compliance Database'!$A705='Data Transfer'!$B$5),OR('Data Transfer'!$B$6="",ISNUMBER(SEARCH('Data Transfer'!$B$6,'Compliance Database'!$D705&amp;" "&amp;'Compliance Database'!$K705&amp;" "&amp;'Compliance Database'!$L705&amp;" "&amp;'Compliance Database'!$M705&amp;" "&amp;'Compliance Database'!$N705)))),1,0)</f>
        <v/>
      </c>
      <c r="B705">
        <f>IF($A705=1,SUM($A$2:$A705),"")</f>
        <v/>
      </c>
      <c r="C705">
        <f>IF($A705=1,SUM($A$2:$A705),0)</f>
        <v/>
      </c>
    </row>
    <row r="706">
      <c r="A706">
        <f>IF(AND(OR('Compliance Database'!$A706='Data Transfer'!$B$4,'Compliance Database'!$A706='Data Transfer'!$B$5),OR('Data Transfer'!$B$6="",ISNUMBER(SEARCH('Data Transfer'!$B$6,'Compliance Database'!$D706&amp;" "&amp;'Compliance Database'!$K706&amp;" "&amp;'Compliance Database'!$L706&amp;" "&amp;'Compliance Database'!$M706&amp;" "&amp;'Compliance Database'!$N706)))),1,0)</f>
        <v/>
      </c>
      <c r="B706">
        <f>IF($A706=1,SUM($A$2:$A706),"")</f>
        <v/>
      </c>
      <c r="C706">
        <f>IF($A706=1,SUM($A$2:$A706),0)</f>
        <v/>
      </c>
    </row>
    <row r="707">
      <c r="A707">
        <f>IF(AND(OR('Compliance Database'!$A707='Data Transfer'!$B$4,'Compliance Database'!$A707='Data Transfer'!$B$5),OR('Data Transfer'!$B$6="",ISNUMBER(SEARCH('Data Transfer'!$B$6,'Compliance Database'!$D707&amp;" "&amp;'Compliance Database'!$K707&amp;" "&amp;'Compliance Database'!$L707&amp;" "&amp;'Compliance Database'!$M707&amp;" "&amp;'Compliance Database'!$N707)))),1,0)</f>
        <v/>
      </c>
      <c r="B707">
        <f>IF($A707=1,SUM($A$2:$A707),"")</f>
        <v/>
      </c>
      <c r="C707">
        <f>IF($A707=1,SUM($A$2:$A707),0)</f>
        <v/>
      </c>
    </row>
    <row r="708">
      <c r="A708">
        <f>IF(AND(OR('Compliance Database'!$A708='Data Transfer'!$B$4,'Compliance Database'!$A708='Data Transfer'!$B$5),OR('Data Transfer'!$B$6="",ISNUMBER(SEARCH('Data Transfer'!$B$6,'Compliance Database'!$D708&amp;" "&amp;'Compliance Database'!$K708&amp;" "&amp;'Compliance Database'!$L708&amp;" "&amp;'Compliance Database'!$M708&amp;" "&amp;'Compliance Database'!$N708)))),1,0)</f>
        <v/>
      </c>
      <c r="B708">
        <f>IF($A708=1,SUM($A$2:$A708),"")</f>
        <v/>
      </c>
      <c r="C708">
        <f>IF($A708=1,SUM($A$2:$A708),0)</f>
        <v/>
      </c>
    </row>
    <row r="709">
      <c r="A709">
        <f>IF(AND(OR('Compliance Database'!$A709='Data Transfer'!$B$4,'Compliance Database'!$A709='Data Transfer'!$B$5),OR('Data Transfer'!$B$6="",ISNUMBER(SEARCH('Data Transfer'!$B$6,'Compliance Database'!$D709&amp;" "&amp;'Compliance Database'!$K709&amp;" "&amp;'Compliance Database'!$L709&amp;" "&amp;'Compliance Database'!$M709&amp;" "&amp;'Compliance Database'!$N709)))),1,0)</f>
        <v/>
      </c>
      <c r="B709">
        <f>IF($A709=1,SUM($A$2:$A709),"")</f>
        <v/>
      </c>
      <c r="C709">
        <f>IF($A709=1,SUM($A$2:$A709),0)</f>
        <v/>
      </c>
    </row>
    <row r="710">
      <c r="A710">
        <f>IF(AND(OR('Compliance Database'!$A710='Data Transfer'!$B$4,'Compliance Database'!$A710='Data Transfer'!$B$5),OR('Data Transfer'!$B$6="",ISNUMBER(SEARCH('Data Transfer'!$B$6,'Compliance Database'!$D710&amp;" "&amp;'Compliance Database'!$K710&amp;" "&amp;'Compliance Database'!$L710&amp;" "&amp;'Compliance Database'!$M710&amp;" "&amp;'Compliance Database'!$N710)))),1,0)</f>
        <v/>
      </c>
      <c r="B710">
        <f>IF($A710=1,SUM($A$2:$A710),"")</f>
        <v/>
      </c>
      <c r="C710">
        <f>IF($A710=1,SUM($A$2:$A710),0)</f>
        <v/>
      </c>
    </row>
    <row r="711">
      <c r="A711">
        <f>IF(AND(OR('Compliance Database'!$A711='Data Transfer'!$B$4,'Compliance Database'!$A711='Data Transfer'!$B$5),OR('Data Transfer'!$B$6="",ISNUMBER(SEARCH('Data Transfer'!$B$6,'Compliance Database'!$D711&amp;" "&amp;'Compliance Database'!$K711&amp;" "&amp;'Compliance Database'!$L711&amp;" "&amp;'Compliance Database'!$M711&amp;" "&amp;'Compliance Database'!$N711)))),1,0)</f>
        <v/>
      </c>
      <c r="B711">
        <f>IF($A711=1,SUM($A$2:$A711),"")</f>
        <v/>
      </c>
      <c r="C711">
        <f>IF($A711=1,SUM($A$2:$A711),0)</f>
        <v/>
      </c>
    </row>
    <row r="712">
      <c r="A712">
        <f>IF(AND(OR('Compliance Database'!$A712='Data Transfer'!$B$4,'Compliance Database'!$A712='Data Transfer'!$B$5),OR('Data Transfer'!$B$6="",ISNUMBER(SEARCH('Data Transfer'!$B$6,'Compliance Database'!$D712&amp;" "&amp;'Compliance Database'!$K712&amp;" "&amp;'Compliance Database'!$L712&amp;" "&amp;'Compliance Database'!$M712&amp;" "&amp;'Compliance Database'!$N712)))),1,0)</f>
        <v/>
      </c>
      <c r="B712">
        <f>IF($A712=1,SUM($A$2:$A712),"")</f>
        <v/>
      </c>
      <c r="C712">
        <f>IF($A712=1,SUM($A$2:$A712),0)</f>
        <v/>
      </c>
    </row>
    <row r="713">
      <c r="A713">
        <f>IF(AND(OR('Compliance Database'!$A713='Data Transfer'!$B$4,'Compliance Database'!$A713='Data Transfer'!$B$5),OR('Data Transfer'!$B$6="",ISNUMBER(SEARCH('Data Transfer'!$B$6,'Compliance Database'!$D713&amp;" "&amp;'Compliance Database'!$K713&amp;" "&amp;'Compliance Database'!$L713&amp;" "&amp;'Compliance Database'!$M713&amp;" "&amp;'Compliance Database'!$N713)))),1,0)</f>
        <v/>
      </c>
      <c r="B713">
        <f>IF($A713=1,SUM($A$2:$A713),"")</f>
        <v/>
      </c>
      <c r="C713">
        <f>IF($A713=1,SUM($A$2:$A713),0)</f>
        <v/>
      </c>
    </row>
    <row r="714">
      <c r="A714">
        <f>IF(AND(OR('Compliance Database'!$A714='Data Transfer'!$B$4,'Compliance Database'!$A714='Data Transfer'!$B$5),OR('Data Transfer'!$B$6="",ISNUMBER(SEARCH('Data Transfer'!$B$6,'Compliance Database'!$D714&amp;" "&amp;'Compliance Database'!$K714&amp;" "&amp;'Compliance Database'!$L714&amp;" "&amp;'Compliance Database'!$M714&amp;" "&amp;'Compliance Database'!$N714)))),1,0)</f>
        <v/>
      </c>
      <c r="B714">
        <f>IF($A714=1,SUM($A$2:$A714),"")</f>
        <v/>
      </c>
      <c r="C714">
        <f>IF($A714=1,SUM($A$2:$A714),0)</f>
        <v/>
      </c>
    </row>
    <row r="715">
      <c r="A715">
        <f>IF(AND(OR('Compliance Database'!$A715='Data Transfer'!$B$4,'Compliance Database'!$A715='Data Transfer'!$B$5),OR('Data Transfer'!$B$6="",ISNUMBER(SEARCH('Data Transfer'!$B$6,'Compliance Database'!$D715&amp;" "&amp;'Compliance Database'!$K715&amp;" "&amp;'Compliance Database'!$L715&amp;" "&amp;'Compliance Database'!$M715&amp;" "&amp;'Compliance Database'!$N715)))),1,0)</f>
        <v/>
      </c>
      <c r="B715">
        <f>IF($A715=1,SUM($A$2:$A715),"")</f>
        <v/>
      </c>
      <c r="C715">
        <f>IF($A715=1,SUM($A$2:$A715),0)</f>
        <v/>
      </c>
    </row>
    <row r="716">
      <c r="A716">
        <f>IF(AND(OR('Compliance Database'!$A716='Data Transfer'!$B$4,'Compliance Database'!$A716='Data Transfer'!$B$5),OR('Data Transfer'!$B$6="",ISNUMBER(SEARCH('Data Transfer'!$B$6,'Compliance Database'!$D716&amp;" "&amp;'Compliance Database'!$K716&amp;" "&amp;'Compliance Database'!$L716&amp;" "&amp;'Compliance Database'!$M716&amp;" "&amp;'Compliance Database'!$N716)))),1,0)</f>
        <v/>
      </c>
      <c r="B716">
        <f>IF($A716=1,SUM($A$2:$A716),"")</f>
        <v/>
      </c>
      <c r="C716">
        <f>IF($A716=1,SUM($A$2:$A716),0)</f>
        <v/>
      </c>
    </row>
    <row r="717">
      <c r="A717">
        <f>IF(AND(OR('Compliance Database'!$A717='Data Transfer'!$B$4,'Compliance Database'!$A717='Data Transfer'!$B$5),OR('Data Transfer'!$B$6="",ISNUMBER(SEARCH('Data Transfer'!$B$6,'Compliance Database'!$D717&amp;" "&amp;'Compliance Database'!$K717&amp;" "&amp;'Compliance Database'!$L717&amp;" "&amp;'Compliance Database'!$M717&amp;" "&amp;'Compliance Database'!$N717)))),1,0)</f>
        <v/>
      </c>
      <c r="B717">
        <f>IF($A717=1,SUM($A$2:$A717),"")</f>
        <v/>
      </c>
      <c r="C717">
        <f>IF($A717=1,SUM($A$2:$A717),0)</f>
        <v/>
      </c>
    </row>
    <row r="718">
      <c r="A718">
        <f>IF(AND(OR('Compliance Database'!$A718='Data Transfer'!$B$4,'Compliance Database'!$A718='Data Transfer'!$B$5),OR('Data Transfer'!$B$6="",ISNUMBER(SEARCH('Data Transfer'!$B$6,'Compliance Database'!$D718&amp;" "&amp;'Compliance Database'!$K718&amp;" "&amp;'Compliance Database'!$L718&amp;" "&amp;'Compliance Database'!$M718&amp;" "&amp;'Compliance Database'!$N718)))),1,0)</f>
        <v/>
      </c>
      <c r="B718">
        <f>IF($A718=1,SUM($A$2:$A718),"")</f>
        <v/>
      </c>
      <c r="C718">
        <f>IF($A718=1,SUM($A$2:$A718),0)</f>
        <v/>
      </c>
    </row>
    <row r="719">
      <c r="A719">
        <f>IF(AND(OR('Compliance Database'!$A719='Data Transfer'!$B$4,'Compliance Database'!$A719='Data Transfer'!$B$5),OR('Data Transfer'!$B$6="",ISNUMBER(SEARCH('Data Transfer'!$B$6,'Compliance Database'!$D719&amp;" "&amp;'Compliance Database'!$K719&amp;" "&amp;'Compliance Database'!$L719&amp;" "&amp;'Compliance Database'!$M719&amp;" "&amp;'Compliance Database'!$N719)))),1,0)</f>
        <v/>
      </c>
      <c r="B719">
        <f>IF($A719=1,SUM($A$2:$A719),"")</f>
        <v/>
      </c>
      <c r="C719">
        <f>IF($A719=1,SUM($A$2:$A719),0)</f>
        <v/>
      </c>
    </row>
    <row r="720">
      <c r="A720">
        <f>IF(AND(OR('Compliance Database'!$A720='Data Transfer'!$B$4,'Compliance Database'!$A720='Data Transfer'!$B$5),OR('Data Transfer'!$B$6="",ISNUMBER(SEARCH('Data Transfer'!$B$6,'Compliance Database'!$D720&amp;" "&amp;'Compliance Database'!$K720&amp;" "&amp;'Compliance Database'!$L720&amp;" "&amp;'Compliance Database'!$M720&amp;" "&amp;'Compliance Database'!$N720)))),1,0)</f>
        <v/>
      </c>
      <c r="B720">
        <f>IF($A720=1,SUM($A$2:$A720),"")</f>
        <v/>
      </c>
      <c r="C720">
        <f>IF($A720=1,SUM($A$2:$A720),0)</f>
        <v/>
      </c>
    </row>
    <row r="721">
      <c r="A721">
        <f>IF(AND(OR('Compliance Database'!$A721='Data Transfer'!$B$4,'Compliance Database'!$A721='Data Transfer'!$B$5),OR('Data Transfer'!$B$6="",ISNUMBER(SEARCH('Data Transfer'!$B$6,'Compliance Database'!$D721&amp;" "&amp;'Compliance Database'!$K721&amp;" "&amp;'Compliance Database'!$L721&amp;" "&amp;'Compliance Database'!$M721&amp;" "&amp;'Compliance Database'!$N721)))),1,0)</f>
        <v/>
      </c>
      <c r="B721">
        <f>IF($A721=1,SUM($A$2:$A721),"")</f>
        <v/>
      </c>
      <c r="C721">
        <f>IF($A721=1,SUM($A$2:$A721),0)</f>
        <v/>
      </c>
    </row>
    <row r="722">
      <c r="A722">
        <f>IF(AND(OR('Compliance Database'!$A722='Data Transfer'!$B$4,'Compliance Database'!$A722='Data Transfer'!$B$5),OR('Data Transfer'!$B$6="",ISNUMBER(SEARCH('Data Transfer'!$B$6,'Compliance Database'!$D722&amp;" "&amp;'Compliance Database'!$K722&amp;" "&amp;'Compliance Database'!$L722&amp;" "&amp;'Compliance Database'!$M722&amp;" "&amp;'Compliance Database'!$N722)))),1,0)</f>
        <v/>
      </c>
      <c r="B722">
        <f>IF($A722=1,SUM($A$2:$A722),"")</f>
        <v/>
      </c>
      <c r="C722">
        <f>IF($A722=1,SUM($A$2:$A722),0)</f>
        <v/>
      </c>
    </row>
    <row r="723">
      <c r="A723">
        <f>IF(AND(OR('Compliance Database'!$A723='Data Transfer'!$B$4,'Compliance Database'!$A723='Data Transfer'!$B$5),OR('Data Transfer'!$B$6="",ISNUMBER(SEARCH('Data Transfer'!$B$6,'Compliance Database'!$D723&amp;" "&amp;'Compliance Database'!$K723&amp;" "&amp;'Compliance Database'!$L723&amp;" "&amp;'Compliance Database'!$M723&amp;" "&amp;'Compliance Database'!$N723)))),1,0)</f>
        <v/>
      </c>
      <c r="B723">
        <f>IF($A723=1,SUM($A$2:$A723),"")</f>
        <v/>
      </c>
      <c r="C723">
        <f>IF($A723=1,SUM($A$2:$A723),0)</f>
        <v/>
      </c>
    </row>
    <row r="724">
      <c r="A724">
        <f>IF(AND(OR('Compliance Database'!$A724='Data Transfer'!$B$4,'Compliance Database'!$A724='Data Transfer'!$B$5),OR('Data Transfer'!$B$6="",ISNUMBER(SEARCH('Data Transfer'!$B$6,'Compliance Database'!$D724&amp;" "&amp;'Compliance Database'!$K724&amp;" "&amp;'Compliance Database'!$L724&amp;" "&amp;'Compliance Database'!$M724&amp;" "&amp;'Compliance Database'!$N724)))),1,0)</f>
        <v/>
      </c>
      <c r="B724">
        <f>IF($A724=1,SUM($A$2:$A724),"")</f>
        <v/>
      </c>
      <c r="C724">
        <f>IF($A724=1,SUM($A$2:$A724),0)</f>
        <v/>
      </c>
    </row>
    <row r="725">
      <c r="A725">
        <f>IF(AND(OR('Compliance Database'!$A725='Data Transfer'!$B$4,'Compliance Database'!$A725='Data Transfer'!$B$5),OR('Data Transfer'!$B$6="",ISNUMBER(SEARCH('Data Transfer'!$B$6,'Compliance Database'!$D725&amp;" "&amp;'Compliance Database'!$K725&amp;" "&amp;'Compliance Database'!$L725&amp;" "&amp;'Compliance Database'!$M725&amp;" "&amp;'Compliance Database'!$N725)))),1,0)</f>
        <v/>
      </c>
      <c r="B725">
        <f>IF($A725=1,SUM($A$2:$A725),"")</f>
        <v/>
      </c>
      <c r="C725">
        <f>IF($A725=1,SUM($A$2:$A725),0)</f>
        <v/>
      </c>
    </row>
    <row r="726">
      <c r="A726">
        <f>IF(AND(OR('Compliance Database'!$A726='Data Transfer'!$B$4,'Compliance Database'!$A726='Data Transfer'!$B$5),OR('Data Transfer'!$B$6="",ISNUMBER(SEARCH('Data Transfer'!$B$6,'Compliance Database'!$D726&amp;" "&amp;'Compliance Database'!$K726&amp;" "&amp;'Compliance Database'!$L726&amp;" "&amp;'Compliance Database'!$M726&amp;" "&amp;'Compliance Database'!$N726)))),1,0)</f>
        <v/>
      </c>
      <c r="B726">
        <f>IF($A726=1,SUM($A$2:$A726),"")</f>
        <v/>
      </c>
      <c r="C726">
        <f>IF($A726=1,SUM($A$2:$A726),0)</f>
        <v/>
      </c>
    </row>
    <row r="727">
      <c r="A727">
        <f>IF(AND(OR('Compliance Database'!$A727='Data Transfer'!$B$4,'Compliance Database'!$A727='Data Transfer'!$B$5),OR('Data Transfer'!$B$6="",ISNUMBER(SEARCH('Data Transfer'!$B$6,'Compliance Database'!$D727&amp;" "&amp;'Compliance Database'!$K727&amp;" "&amp;'Compliance Database'!$L727&amp;" "&amp;'Compliance Database'!$M727&amp;" "&amp;'Compliance Database'!$N727)))),1,0)</f>
        <v/>
      </c>
      <c r="B727">
        <f>IF($A727=1,SUM($A$2:$A727),"")</f>
        <v/>
      </c>
      <c r="C727">
        <f>IF($A727=1,SUM($A$2:$A727),0)</f>
        <v/>
      </c>
    </row>
    <row r="728">
      <c r="A728">
        <f>IF(AND(OR('Compliance Database'!$A728='Data Transfer'!$B$4,'Compliance Database'!$A728='Data Transfer'!$B$5),OR('Data Transfer'!$B$6="",ISNUMBER(SEARCH('Data Transfer'!$B$6,'Compliance Database'!$D728&amp;" "&amp;'Compliance Database'!$K728&amp;" "&amp;'Compliance Database'!$L728&amp;" "&amp;'Compliance Database'!$M728&amp;" "&amp;'Compliance Database'!$N728)))),1,0)</f>
        <v/>
      </c>
      <c r="B728">
        <f>IF($A728=1,SUM($A$2:$A728),"")</f>
        <v/>
      </c>
      <c r="C728">
        <f>IF($A728=1,SUM($A$2:$A728),0)</f>
        <v/>
      </c>
    </row>
    <row r="729">
      <c r="A729">
        <f>IF(AND(OR('Compliance Database'!$A729='Data Transfer'!$B$4,'Compliance Database'!$A729='Data Transfer'!$B$5),OR('Data Transfer'!$B$6="",ISNUMBER(SEARCH('Data Transfer'!$B$6,'Compliance Database'!$D729&amp;" "&amp;'Compliance Database'!$K729&amp;" "&amp;'Compliance Database'!$L729&amp;" "&amp;'Compliance Database'!$M729&amp;" "&amp;'Compliance Database'!$N729)))),1,0)</f>
        <v/>
      </c>
      <c r="B729">
        <f>IF($A729=1,SUM($A$2:$A729),"")</f>
        <v/>
      </c>
      <c r="C729">
        <f>IF($A729=1,SUM($A$2:$A729),0)</f>
        <v/>
      </c>
    </row>
    <row r="730">
      <c r="A730">
        <f>IF(AND(OR('Compliance Database'!$A730='Data Transfer'!$B$4,'Compliance Database'!$A730='Data Transfer'!$B$5),OR('Data Transfer'!$B$6="",ISNUMBER(SEARCH('Data Transfer'!$B$6,'Compliance Database'!$D730&amp;" "&amp;'Compliance Database'!$K730&amp;" "&amp;'Compliance Database'!$L730&amp;" "&amp;'Compliance Database'!$M730&amp;" "&amp;'Compliance Database'!$N730)))),1,0)</f>
        <v/>
      </c>
      <c r="B730">
        <f>IF($A730=1,SUM($A$2:$A730),"")</f>
        <v/>
      </c>
      <c r="C730">
        <f>IF($A730=1,SUM($A$2:$A730),0)</f>
        <v/>
      </c>
    </row>
    <row r="731">
      <c r="A731">
        <f>IF(AND(OR('Compliance Database'!$A731='Data Transfer'!$B$4,'Compliance Database'!$A731='Data Transfer'!$B$5),OR('Data Transfer'!$B$6="",ISNUMBER(SEARCH('Data Transfer'!$B$6,'Compliance Database'!$D731&amp;" "&amp;'Compliance Database'!$K731&amp;" "&amp;'Compliance Database'!$L731&amp;" "&amp;'Compliance Database'!$M731&amp;" "&amp;'Compliance Database'!$N731)))),1,0)</f>
        <v/>
      </c>
      <c r="B731">
        <f>IF($A731=1,SUM($A$2:$A731),"")</f>
        <v/>
      </c>
      <c r="C731">
        <f>IF($A731=1,SUM($A$2:$A731),0)</f>
        <v/>
      </c>
    </row>
    <row r="732">
      <c r="A732">
        <f>IF(AND(OR('Compliance Database'!$A732='Data Transfer'!$B$4,'Compliance Database'!$A732='Data Transfer'!$B$5),OR('Data Transfer'!$B$6="",ISNUMBER(SEARCH('Data Transfer'!$B$6,'Compliance Database'!$D732&amp;" "&amp;'Compliance Database'!$K732&amp;" "&amp;'Compliance Database'!$L732&amp;" "&amp;'Compliance Database'!$M732&amp;" "&amp;'Compliance Database'!$N732)))),1,0)</f>
        <v/>
      </c>
      <c r="B732">
        <f>IF($A732=1,SUM($A$2:$A732),"")</f>
        <v/>
      </c>
      <c r="C732">
        <f>IF($A732=1,SUM($A$2:$A732),0)</f>
        <v/>
      </c>
    </row>
    <row r="733">
      <c r="A733">
        <f>IF(AND(OR('Compliance Database'!$A733='Data Transfer'!$B$4,'Compliance Database'!$A733='Data Transfer'!$B$5),OR('Data Transfer'!$B$6="",ISNUMBER(SEARCH('Data Transfer'!$B$6,'Compliance Database'!$D733&amp;" "&amp;'Compliance Database'!$K733&amp;" "&amp;'Compliance Database'!$L733&amp;" "&amp;'Compliance Database'!$M733&amp;" "&amp;'Compliance Database'!$N733)))),1,0)</f>
        <v/>
      </c>
      <c r="B733">
        <f>IF($A733=1,SUM($A$2:$A733),"")</f>
        <v/>
      </c>
      <c r="C733">
        <f>IF($A733=1,SUM($A$2:$A733),0)</f>
        <v/>
      </c>
    </row>
    <row r="734">
      <c r="A734">
        <f>IF(AND(OR('Compliance Database'!$A734='Data Transfer'!$B$4,'Compliance Database'!$A734='Data Transfer'!$B$5),OR('Data Transfer'!$B$6="",ISNUMBER(SEARCH('Data Transfer'!$B$6,'Compliance Database'!$D734&amp;" "&amp;'Compliance Database'!$K734&amp;" "&amp;'Compliance Database'!$L734&amp;" "&amp;'Compliance Database'!$M734&amp;" "&amp;'Compliance Database'!$N734)))),1,0)</f>
        <v/>
      </c>
      <c r="B734">
        <f>IF($A734=1,SUM($A$2:$A734),"")</f>
        <v/>
      </c>
      <c r="C734">
        <f>IF($A734=1,SUM($A$2:$A734),0)</f>
        <v/>
      </c>
    </row>
    <row r="735">
      <c r="A735">
        <f>IF(AND(OR('Compliance Database'!$A735='Data Transfer'!$B$4,'Compliance Database'!$A735='Data Transfer'!$B$5),OR('Data Transfer'!$B$6="",ISNUMBER(SEARCH('Data Transfer'!$B$6,'Compliance Database'!$D735&amp;" "&amp;'Compliance Database'!$K735&amp;" "&amp;'Compliance Database'!$L735&amp;" "&amp;'Compliance Database'!$M735&amp;" "&amp;'Compliance Database'!$N735)))),1,0)</f>
        <v/>
      </c>
      <c r="B735">
        <f>IF($A735=1,SUM($A$2:$A735),"")</f>
        <v/>
      </c>
      <c r="C735">
        <f>IF($A735=1,SUM($A$2:$A735),0)</f>
        <v/>
      </c>
    </row>
    <row r="736">
      <c r="A736">
        <f>IF(AND(OR('Compliance Database'!$A736='Data Transfer'!$B$4,'Compliance Database'!$A736='Data Transfer'!$B$5),OR('Data Transfer'!$B$6="",ISNUMBER(SEARCH('Data Transfer'!$B$6,'Compliance Database'!$D736&amp;" "&amp;'Compliance Database'!$K736&amp;" "&amp;'Compliance Database'!$L736&amp;" "&amp;'Compliance Database'!$M736&amp;" "&amp;'Compliance Database'!$N736)))),1,0)</f>
        <v/>
      </c>
      <c r="B736">
        <f>IF($A736=1,SUM($A$2:$A736),"")</f>
        <v/>
      </c>
      <c r="C736">
        <f>IF($A736=1,SUM($A$2:$A736),0)</f>
        <v/>
      </c>
    </row>
    <row r="737">
      <c r="A737">
        <f>IF(AND(OR('Compliance Database'!$A737='Data Transfer'!$B$4,'Compliance Database'!$A737='Data Transfer'!$B$5),OR('Data Transfer'!$B$6="",ISNUMBER(SEARCH('Data Transfer'!$B$6,'Compliance Database'!$D737&amp;" "&amp;'Compliance Database'!$K737&amp;" "&amp;'Compliance Database'!$L737&amp;" "&amp;'Compliance Database'!$M737&amp;" "&amp;'Compliance Database'!$N737)))),1,0)</f>
        <v/>
      </c>
      <c r="B737">
        <f>IF($A737=1,SUM($A$2:$A737),"")</f>
        <v/>
      </c>
      <c r="C737">
        <f>IF($A737=1,SUM($A$2:$A737),0)</f>
        <v/>
      </c>
    </row>
    <row r="738">
      <c r="A738">
        <f>IF(AND(OR('Compliance Database'!$A738='Data Transfer'!$B$4,'Compliance Database'!$A738='Data Transfer'!$B$5),OR('Data Transfer'!$B$6="",ISNUMBER(SEARCH('Data Transfer'!$B$6,'Compliance Database'!$D738&amp;" "&amp;'Compliance Database'!$K738&amp;" "&amp;'Compliance Database'!$L738&amp;" "&amp;'Compliance Database'!$M738&amp;" "&amp;'Compliance Database'!$N738)))),1,0)</f>
        <v/>
      </c>
      <c r="B738">
        <f>IF($A738=1,SUM($A$2:$A738),"")</f>
        <v/>
      </c>
      <c r="C738">
        <f>IF($A738=1,SUM($A$2:$A738),0)</f>
        <v/>
      </c>
    </row>
    <row r="739">
      <c r="A739">
        <f>IF(AND(OR('Compliance Database'!$A739='Data Transfer'!$B$4,'Compliance Database'!$A739='Data Transfer'!$B$5),OR('Data Transfer'!$B$6="",ISNUMBER(SEARCH('Data Transfer'!$B$6,'Compliance Database'!$D739&amp;" "&amp;'Compliance Database'!$K739&amp;" "&amp;'Compliance Database'!$L739&amp;" "&amp;'Compliance Database'!$M739&amp;" "&amp;'Compliance Database'!$N739)))),1,0)</f>
        <v/>
      </c>
      <c r="B739">
        <f>IF($A739=1,SUM($A$2:$A739),"")</f>
        <v/>
      </c>
      <c r="C739">
        <f>IF($A739=1,SUM($A$2:$A739),0)</f>
        <v/>
      </c>
    </row>
    <row r="740">
      <c r="A740">
        <f>IF(AND(OR('Compliance Database'!$A740='Data Transfer'!$B$4,'Compliance Database'!$A740='Data Transfer'!$B$5),OR('Data Transfer'!$B$6="",ISNUMBER(SEARCH('Data Transfer'!$B$6,'Compliance Database'!$D740&amp;" "&amp;'Compliance Database'!$K740&amp;" "&amp;'Compliance Database'!$L740&amp;" "&amp;'Compliance Database'!$M740&amp;" "&amp;'Compliance Database'!$N740)))),1,0)</f>
        <v/>
      </c>
      <c r="B740">
        <f>IF($A740=1,SUM($A$2:$A740),"")</f>
        <v/>
      </c>
      <c r="C740">
        <f>IF($A740=1,SUM($A$2:$A740),0)</f>
        <v/>
      </c>
    </row>
    <row r="741">
      <c r="A741">
        <f>IF(AND(OR('Compliance Database'!$A741='Data Transfer'!$B$4,'Compliance Database'!$A741='Data Transfer'!$B$5),OR('Data Transfer'!$B$6="",ISNUMBER(SEARCH('Data Transfer'!$B$6,'Compliance Database'!$D741&amp;" "&amp;'Compliance Database'!$K741&amp;" "&amp;'Compliance Database'!$L741&amp;" "&amp;'Compliance Database'!$M741&amp;" "&amp;'Compliance Database'!$N741)))),1,0)</f>
        <v/>
      </c>
      <c r="B741">
        <f>IF($A741=1,SUM($A$2:$A741),"")</f>
        <v/>
      </c>
      <c r="C741">
        <f>IF($A741=1,SUM($A$2:$A741),0)</f>
        <v/>
      </c>
    </row>
    <row r="742">
      <c r="A742">
        <f>IF(AND(OR('Compliance Database'!$A742='Data Transfer'!$B$4,'Compliance Database'!$A742='Data Transfer'!$B$5),OR('Data Transfer'!$B$6="",ISNUMBER(SEARCH('Data Transfer'!$B$6,'Compliance Database'!$D742&amp;" "&amp;'Compliance Database'!$K742&amp;" "&amp;'Compliance Database'!$L742&amp;" "&amp;'Compliance Database'!$M742&amp;" "&amp;'Compliance Database'!$N742)))),1,0)</f>
        <v/>
      </c>
      <c r="B742">
        <f>IF($A742=1,SUM($A$2:$A742),"")</f>
        <v/>
      </c>
      <c r="C742">
        <f>IF($A742=1,SUM($A$2:$A742),0)</f>
        <v/>
      </c>
    </row>
    <row r="743">
      <c r="A743">
        <f>IF(AND(OR('Compliance Database'!$A743='Data Transfer'!$B$4,'Compliance Database'!$A743='Data Transfer'!$B$5),OR('Data Transfer'!$B$6="",ISNUMBER(SEARCH('Data Transfer'!$B$6,'Compliance Database'!$D743&amp;" "&amp;'Compliance Database'!$K743&amp;" "&amp;'Compliance Database'!$L743&amp;" "&amp;'Compliance Database'!$M743&amp;" "&amp;'Compliance Database'!$N743)))),1,0)</f>
        <v/>
      </c>
      <c r="B743">
        <f>IF($A743=1,SUM($A$2:$A743),"")</f>
        <v/>
      </c>
      <c r="C743">
        <f>IF($A743=1,SUM($A$2:$A743),0)</f>
        <v/>
      </c>
    </row>
    <row r="744">
      <c r="A744">
        <f>IF(AND(OR('Compliance Database'!$A744='Data Transfer'!$B$4,'Compliance Database'!$A744='Data Transfer'!$B$5),OR('Data Transfer'!$B$6="",ISNUMBER(SEARCH('Data Transfer'!$B$6,'Compliance Database'!$D744&amp;" "&amp;'Compliance Database'!$K744&amp;" "&amp;'Compliance Database'!$L744&amp;" "&amp;'Compliance Database'!$M744&amp;" "&amp;'Compliance Database'!$N744)))),1,0)</f>
        <v/>
      </c>
      <c r="B744">
        <f>IF($A744=1,SUM($A$2:$A744),"")</f>
        <v/>
      </c>
      <c r="C744">
        <f>IF($A744=1,SUM($A$2:$A744),0)</f>
        <v/>
      </c>
    </row>
    <row r="745">
      <c r="A745">
        <f>IF(AND(OR('Compliance Database'!$A745='Data Transfer'!$B$4,'Compliance Database'!$A745='Data Transfer'!$B$5),OR('Data Transfer'!$B$6="",ISNUMBER(SEARCH('Data Transfer'!$B$6,'Compliance Database'!$D745&amp;" "&amp;'Compliance Database'!$K745&amp;" "&amp;'Compliance Database'!$L745&amp;" "&amp;'Compliance Database'!$M745&amp;" "&amp;'Compliance Database'!$N745)))),1,0)</f>
        <v/>
      </c>
      <c r="B745">
        <f>IF($A745=1,SUM($A$2:$A745),"")</f>
        <v/>
      </c>
      <c r="C745">
        <f>IF($A745=1,SUM($A$2:$A745),0)</f>
        <v/>
      </c>
    </row>
    <row r="746">
      <c r="A746">
        <f>IF(AND(OR('Compliance Database'!$A746='Data Transfer'!$B$4,'Compliance Database'!$A746='Data Transfer'!$B$5),OR('Data Transfer'!$B$6="",ISNUMBER(SEARCH('Data Transfer'!$B$6,'Compliance Database'!$D746&amp;" "&amp;'Compliance Database'!$K746&amp;" "&amp;'Compliance Database'!$L746&amp;" "&amp;'Compliance Database'!$M746&amp;" "&amp;'Compliance Database'!$N746)))),1,0)</f>
        <v/>
      </c>
      <c r="B746">
        <f>IF($A746=1,SUM($A$2:$A746),"")</f>
        <v/>
      </c>
      <c r="C746">
        <f>IF($A746=1,SUM($A$2:$A746),0)</f>
        <v/>
      </c>
    </row>
    <row r="747">
      <c r="A747">
        <f>IF(AND(OR('Compliance Database'!$A747='Data Transfer'!$B$4,'Compliance Database'!$A747='Data Transfer'!$B$5),OR('Data Transfer'!$B$6="",ISNUMBER(SEARCH('Data Transfer'!$B$6,'Compliance Database'!$D747&amp;" "&amp;'Compliance Database'!$K747&amp;" "&amp;'Compliance Database'!$L747&amp;" "&amp;'Compliance Database'!$M747&amp;" "&amp;'Compliance Database'!$N747)))),1,0)</f>
        <v/>
      </c>
      <c r="B747">
        <f>IF($A747=1,SUM($A$2:$A747),"")</f>
        <v/>
      </c>
      <c r="C747">
        <f>IF($A747=1,SUM($A$2:$A747),0)</f>
        <v/>
      </c>
    </row>
    <row r="748">
      <c r="A748">
        <f>IF(AND(OR('Compliance Database'!$A748='Data Transfer'!$B$4,'Compliance Database'!$A748='Data Transfer'!$B$5),OR('Data Transfer'!$B$6="",ISNUMBER(SEARCH('Data Transfer'!$B$6,'Compliance Database'!$D748&amp;" "&amp;'Compliance Database'!$K748&amp;" "&amp;'Compliance Database'!$L748&amp;" "&amp;'Compliance Database'!$M748&amp;" "&amp;'Compliance Database'!$N748)))),1,0)</f>
        <v/>
      </c>
      <c r="B748">
        <f>IF($A748=1,SUM($A$2:$A748),"")</f>
        <v/>
      </c>
      <c r="C748">
        <f>IF($A748=1,SUM($A$2:$A748),0)</f>
        <v/>
      </c>
    </row>
    <row r="749">
      <c r="A749">
        <f>IF(AND(OR('Compliance Database'!$A749='Data Transfer'!$B$4,'Compliance Database'!$A749='Data Transfer'!$B$5),OR('Data Transfer'!$B$6="",ISNUMBER(SEARCH('Data Transfer'!$B$6,'Compliance Database'!$D749&amp;" "&amp;'Compliance Database'!$K749&amp;" "&amp;'Compliance Database'!$L749&amp;" "&amp;'Compliance Database'!$M749&amp;" "&amp;'Compliance Database'!$N749)))),1,0)</f>
        <v/>
      </c>
      <c r="B749">
        <f>IF($A749=1,SUM($A$2:$A749),"")</f>
        <v/>
      </c>
      <c r="C749">
        <f>IF($A749=1,SUM($A$2:$A749),0)</f>
        <v/>
      </c>
    </row>
    <row r="750">
      <c r="A750">
        <f>IF(AND(OR('Compliance Database'!$A750='Data Transfer'!$B$4,'Compliance Database'!$A750='Data Transfer'!$B$5),OR('Data Transfer'!$B$6="",ISNUMBER(SEARCH('Data Transfer'!$B$6,'Compliance Database'!$D750&amp;" "&amp;'Compliance Database'!$K750&amp;" "&amp;'Compliance Database'!$L750&amp;" "&amp;'Compliance Database'!$M750&amp;" "&amp;'Compliance Database'!$N750)))),1,0)</f>
        <v/>
      </c>
      <c r="B750">
        <f>IF($A750=1,SUM($A$2:$A750),"")</f>
        <v/>
      </c>
      <c r="C750">
        <f>IF($A750=1,SUM($A$2:$A750),0)</f>
        <v/>
      </c>
    </row>
    <row r="751">
      <c r="A751">
        <f>IF(AND(OR('Compliance Database'!$A751='Data Transfer'!$B$4,'Compliance Database'!$A751='Data Transfer'!$B$5),OR('Data Transfer'!$B$6="",ISNUMBER(SEARCH('Data Transfer'!$B$6,'Compliance Database'!$D751&amp;" "&amp;'Compliance Database'!$K751&amp;" "&amp;'Compliance Database'!$L751&amp;" "&amp;'Compliance Database'!$M751&amp;" "&amp;'Compliance Database'!$N751)))),1,0)</f>
        <v/>
      </c>
      <c r="B751">
        <f>IF($A751=1,SUM($A$2:$A751),"")</f>
        <v/>
      </c>
      <c r="C751">
        <f>IF($A751=1,SUM($A$2:$A751),0)</f>
        <v/>
      </c>
    </row>
    <row r="752">
      <c r="A752">
        <f>IF(AND(OR('Compliance Database'!$A752='Data Transfer'!$B$4,'Compliance Database'!$A752='Data Transfer'!$B$5),OR('Data Transfer'!$B$6="",ISNUMBER(SEARCH('Data Transfer'!$B$6,'Compliance Database'!$D752&amp;" "&amp;'Compliance Database'!$K752&amp;" "&amp;'Compliance Database'!$L752&amp;" "&amp;'Compliance Database'!$M752&amp;" "&amp;'Compliance Database'!$N752)))),1,0)</f>
        <v/>
      </c>
      <c r="B752">
        <f>IF($A752=1,SUM($A$2:$A752),"")</f>
        <v/>
      </c>
      <c r="C752">
        <f>IF($A752=1,SUM($A$2:$A752),0)</f>
        <v/>
      </c>
    </row>
    <row r="753">
      <c r="A753">
        <f>IF(AND(OR('Compliance Database'!$A753='Data Transfer'!$B$4,'Compliance Database'!$A753='Data Transfer'!$B$5),OR('Data Transfer'!$B$6="",ISNUMBER(SEARCH('Data Transfer'!$B$6,'Compliance Database'!$D753&amp;" "&amp;'Compliance Database'!$K753&amp;" "&amp;'Compliance Database'!$L753&amp;" "&amp;'Compliance Database'!$M753&amp;" "&amp;'Compliance Database'!$N753)))),1,0)</f>
        <v/>
      </c>
      <c r="B753">
        <f>IF($A753=1,SUM($A$2:$A753),"")</f>
        <v/>
      </c>
      <c r="C753">
        <f>IF($A753=1,SUM($A$2:$A753),0)</f>
        <v/>
      </c>
    </row>
    <row r="754">
      <c r="A754">
        <f>IF(AND(OR('Compliance Database'!$A754='Data Transfer'!$B$4,'Compliance Database'!$A754='Data Transfer'!$B$5),OR('Data Transfer'!$B$6="",ISNUMBER(SEARCH('Data Transfer'!$B$6,'Compliance Database'!$D754&amp;" "&amp;'Compliance Database'!$K754&amp;" "&amp;'Compliance Database'!$L754&amp;" "&amp;'Compliance Database'!$M754&amp;" "&amp;'Compliance Database'!$N754)))),1,0)</f>
        <v/>
      </c>
      <c r="B754">
        <f>IF($A754=1,SUM($A$2:$A754),"")</f>
        <v/>
      </c>
      <c r="C754">
        <f>IF($A754=1,SUM($A$2:$A754),0)</f>
        <v/>
      </c>
    </row>
    <row r="755">
      <c r="A755">
        <f>IF(AND(OR('Compliance Database'!$A755='Data Transfer'!$B$4,'Compliance Database'!$A755='Data Transfer'!$B$5),OR('Data Transfer'!$B$6="",ISNUMBER(SEARCH('Data Transfer'!$B$6,'Compliance Database'!$D755&amp;" "&amp;'Compliance Database'!$K755&amp;" "&amp;'Compliance Database'!$L755&amp;" "&amp;'Compliance Database'!$M755&amp;" "&amp;'Compliance Database'!$N755)))),1,0)</f>
        <v/>
      </c>
      <c r="B755">
        <f>IF($A755=1,SUM($A$2:$A755),"")</f>
        <v/>
      </c>
      <c r="C755">
        <f>IF($A755=1,SUM($A$2:$A755),0)</f>
        <v/>
      </c>
    </row>
    <row r="756">
      <c r="A756">
        <f>IF(AND(OR('Compliance Database'!$A756='Data Transfer'!$B$4,'Compliance Database'!$A756='Data Transfer'!$B$5),OR('Data Transfer'!$B$6="",ISNUMBER(SEARCH('Data Transfer'!$B$6,'Compliance Database'!$D756&amp;" "&amp;'Compliance Database'!$K756&amp;" "&amp;'Compliance Database'!$L756&amp;" "&amp;'Compliance Database'!$M756&amp;" "&amp;'Compliance Database'!$N756)))),1,0)</f>
        <v/>
      </c>
      <c r="B756">
        <f>IF($A756=1,SUM($A$2:$A756),"")</f>
        <v/>
      </c>
      <c r="C756">
        <f>IF($A756=1,SUM($A$2:$A756),0)</f>
        <v/>
      </c>
    </row>
    <row r="757">
      <c r="A757">
        <f>IF(AND(OR('Compliance Database'!$A757='Data Transfer'!$B$4,'Compliance Database'!$A757='Data Transfer'!$B$5),OR('Data Transfer'!$B$6="",ISNUMBER(SEARCH('Data Transfer'!$B$6,'Compliance Database'!$D757&amp;" "&amp;'Compliance Database'!$K757&amp;" "&amp;'Compliance Database'!$L757&amp;" "&amp;'Compliance Database'!$M757&amp;" "&amp;'Compliance Database'!$N757)))),1,0)</f>
        <v/>
      </c>
      <c r="B757">
        <f>IF($A757=1,SUM($A$2:$A757),"")</f>
        <v/>
      </c>
      <c r="C757">
        <f>IF($A757=1,SUM($A$2:$A757),0)</f>
        <v/>
      </c>
    </row>
    <row r="758">
      <c r="A758">
        <f>IF(AND(OR('Compliance Database'!$A758='Data Transfer'!$B$4,'Compliance Database'!$A758='Data Transfer'!$B$5),OR('Data Transfer'!$B$6="",ISNUMBER(SEARCH('Data Transfer'!$B$6,'Compliance Database'!$D758&amp;" "&amp;'Compliance Database'!$K758&amp;" "&amp;'Compliance Database'!$L758&amp;" "&amp;'Compliance Database'!$M758&amp;" "&amp;'Compliance Database'!$N758)))),1,0)</f>
        <v/>
      </c>
      <c r="B758">
        <f>IF($A758=1,SUM($A$2:$A758),"")</f>
        <v/>
      </c>
      <c r="C758">
        <f>IF($A758=1,SUM($A$2:$A758),0)</f>
        <v/>
      </c>
    </row>
    <row r="759">
      <c r="A759">
        <f>IF(AND(OR('Compliance Database'!$A759='Data Transfer'!$B$4,'Compliance Database'!$A759='Data Transfer'!$B$5),OR('Data Transfer'!$B$6="",ISNUMBER(SEARCH('Data Transfer'!$B$6,'Compliance Database'!$D759&amp;" "&amp;'Compliance Database'!$K759&amp;" "&amp;'Compliance Database'!$L759&amp;" "&amp;'Compliance Database'!$M759&amp;" "&amp;'Compliance Database'!$N759)))),1,0)</f>
        <v/>
      </c>
      <c r="B759">
        <f>IF($A759=1,SUM($A$2:$A759),"")</f>
        <v/>
      </c>
      <c r="C759">
        <f>IF($A759=1,SUM($A$2:$A759),0)</f>
        <v/>
      </c>
    </row>
    <row r="760">
      <c r="A760">
        <f>IF(AND(OR('Compliance Database'!$A760='Data Transfer'!$B$4,'Compliance Database'!$A760='Data Transfer'!$B$5),OR('Data Transfer'!$B$6="",ISNUMBER(SEARCH('Data Transfer'!$B$6,'Compliance Database'!$D760&amp;" "&amp;'Compliance Database'!$K760&amp;" "&amp;'Compliance Database'!$L760&amp;" "&amp;'Compliance Database'!$M760&amp;" "&amp;'Compliance Database'!$N760)))),1,0)</f>
        <v/>
      </c>
      <c r="B760">
        <f>IF($A760=1,SUM($A$2:$A760),"")</f>
        <v/>
      </c>
      <c r="C760">
        <f>IF($A760=1,SUM($A$2:$A760),0)</f>
        <v/>
      </c>
    </row>
    <row r="761">
      <c r="A761">
        <f>IF(AND(OR('Compliance Database'!$A761='Data Transfer'!$B$4,'Compliance Database'!$A761='Data Transfer'!$B$5),OR('Data Transfer'!$B$6="",ISNUMBER(SEARCH('Data Transfer'!$B$6,'Compliance Database'!$D761&amp;" "&amp;'Compliance Database'!$K761&amp;" "&amp;'Compliance Database'!$L761&amp;" "&amp;'Compliance Database'!$M761&amp;" "&amp;'Compliance Database'!$N761)))),1,0)</f>
        <v/>
      </c>
      <c r="B761">
        <f>IF($A761=1,SUM($A$2:$A761),"")</f>
        <v/>
      </c>
      <c r="C761">
        <f>IF($A761=1,SUM($A$2:$A761),0)</f>
        <v/>
      </c>
    </row>
    <row r="762">
      <c r="A762">
        <f>IF(AND(OR('Compliance Database'!$A762='Data Transfer'!$B$4,'Compliance Database'!$A762='Data Transfer'!$B$5),OR('Data Transfer'!$B$6="",ISNUMBER(SEARCH('Data Transfer'!$B$6,'Compliance Database'!$D762&amp;" "&amp;'Compliance Database'!$K762&amp;" "&amp;'Compliance Database'!$L762&amp;" "&amp;'Compliance Database'!$M762&amp;" "&amp;'Compliance Database'!$N762)))),1,0)</f>
        <v/>
      </c>
      <c r="B762">
        <f>IF($A762=1,SUM($A$2:$A762),"")</f>
        <v/>
      </c>
      <c r="C762">
        <f>IF($A762=1,SUM($A$2:$A762),0)</f>
        <v/>
      </c>
    </row>
    <row r="763">
      <c r="A763">
        <f>IF(AND(OR('Compliance Database'!$A763='Data Transfer'!$B$4,'Compliance Database'!$A763='Data Transfer'!$B$5),OR('Data Transfer'!$B$6="",ISNUMBER(SEARCH('Data Transfer'!$B$6,'Compliance Database'!$D763&amp;" "&amp;'Compliance Database'!$K763&amp;" "&amp;'Compliance Database'!$L763&amp;" "&amp;'Compliance Database'!$M763&amp;" "&amp;'Compliance Database'!$N763)))),1,0)</f>
        <v/>
      </c>
      <c r="B763">
        <f>IF($A763=1,SUM($A$2:$A763),"")</f>
        <v/>
      </c>
      <c r="C763">
        <f>IF($A763=1,SUM($A$2:$A763),0)</f>
        <v/>
      </c>
    </row>
    <row r="764">
      <c r="A764">
        <f>IF(AND(OR('Compliance Database'!$A764='Data Transfer'!$B$4,'Compliance Database'!$A764='Data Transfer'!$B$5),OR('Data Transfer'!$B$6="",ISNUMBER(SEARCH('Data Transfer'!$B$6,'Compliance Database'!$D764&amp;" "&amp;'Compliance Database'!$K764&amp;" "&amp;'Compliance Database'!$L764&amp;" "&amp;'Compliance Database'!$M764&amp;" "&amp;'Compliance Database'!$N764)))),1,0)</f>
        <v/>
      </c>
      <c r="B764">
        <f>IF($A764=1,SUM($A$2:$A764),"")</f>
        <v/>
      </c>
      <c r="C764">
        <f>IF($A764=1,SUM($A$2:$A764),0)</f>
        <v/>
      </c>
    </row>
    <row r="765">
      <c r="A765">
        <f>IF(AND(OR('Compliance Database'!$A765='Data Transfer'!$B$4,'Compliance Database'!$A765='Data Transfer'!$B$5),OR('Data Transfer'!$B$6="",ISNUMBER(SEARCH('Data Transfer'!$B$6,'Compliance Database'!$D765&amp;" "&amp;'Compliance Database'!$K765&amp;" "&amp;'Compliance Database'!$L765&amp;" "&amp;'Compliance Database'!$M765&amp;" "&amp;'Compliance Database'!$N765)))),1,0)</f>
        <v/>
      </c>
      <c r="B765">
        <f>IF($A765=1,SUM($A$2:$A765),"")</f>
        <v/>
      </c>
      <c r="C765">
        <f>IF($A765=1,SUM($A$2:$A765),0)</f>
        <v/>
      </c>
    </row>
    <row r="766">
      <c r="A766">
        <f>IF(AND(OR('Compliance Database'!$A766='Data Transfer'!$B$4,'Compliance Database'!$A766='Data Transfer'!$B$5),OR('Data Transfer'!$B$6="",ISNUMBER(SEARCH('Data Transfer'!$B$6,'Compliance Database'!$D766&amp;" "&amp;'Compliance Database'!$K766&amp;" "&amp;'Compliance Database'!$L766&amp;" "&amp;'Compliance Database'!$M766&amp;" "&amp;'Compliance Database'!$N766)))),1,0)</f>
        <v/>
      </c>
      <c r="B766">
        <f>IF($A766=1,SUM($A$2:$A766),"")</f>
        <v/>
      </c>
      <c r="C766">
        <f>IF($A766=1,SUM($A$2:$A766),0)</f>
        <v/>
      </c>
    </row>
    <row r="767">
      <c r="A767">
        <f>IF(AND(OR('Compliance Database'!$A767='Data Transfer'!$B$4,'Compliance Database'!$A767='Data Transfer'!$B$5),OR('Data Transfer'!$B$6="",ISNUMBER(SEARCH('Data Transfer'!$B$6,'Compliance Database'!$D767&amp;" "&amp;'Compliance Database'!$K767&amp;" "&amp;'Compliance Database'!$L767&amp;" "&amp;'Compliance Database'!$M767&amp;" "&amp;'Compliance Database'!$N767)))),1,0)</f>
        <v/>
      </c>
      <c r="B767">
        <f>IF($A767=1,SUM($A$2:$A767),"")</f>
        <v/>
      </c>
      <c r="C767">
        <f>IF($A767=1,SUM($A$2:$A767),0)</f>
        <v/>
      </c>
    </row>
    <row r="768">
      <c r="A768">
        <f>IF(AND(OR('Compliance Database'!$A768='Data Transfer'!$B$4,'Compliance Database'!$A768='Data Transfer'!$B$5),OR('Data Transfer'!$B$6="",ISNUMBER(SEARCH('Data Transfer'!$B$6,'Compliance Database'!$D768&amp;" "&amp;'Compliance Database'!$K768&amp;" "&amp;'Compliance Database'!$L768&amp;" "&amp;'Compliance Database'!$M768&amp;" "&amp;'Compliance Database'!$N768)))),1,0)</f>
        <v/>
      </c>
      <c r="B768">
        <f>IF($A768=1,SUM($A$2:$A768),"")</f>
        <v/>
      </c>
      <c r="C768">
        <f>IF($A768=1,SUM($A$2:$A768),0)</f>
        <v/>
      </c>
    </row>
    <row r="769">
      <c r="A769">
        <f>IF(AND(OR('Compliance Database'!$A769='Data Transfer'!$B$4,'Compliance Database'!$A769='Data Transfer'!$B$5),OR('Data Transfer'!$B$6="",ISNUMBER(SEARCH('Data Transfer'!$B$6,'Compliance Database'!$D769&amp;" "&amp;'Compliance Database'!$K769&amp;" "&amp;'Compliance Database'!$L769&amp;" "&amp;'Compliance Database'!$M769&amp;" "&amp;'Compliance Database'!$N769)))),1,0)</f>
        <v/>
      </c>
      <c r="B769">
        <f>IF($A769=1,SUM($A$2:$A769),"")</f>
        <v/>
      </c>
      <c r="C769">
        <f>IF($A769=1,SUM($A$2:$A769),0)</f>
        <v/>
      </c>
    </row>
    <row r="770">
      <c r="A770">
        <f>IF(AND(OR('Compliance Database'!$A770='Data Transfer'!$B$4,'Compliance Database'!$A770='Data Transfer'!$B$5),OR('Data Transfer'!$B$6="",ISNUMBER(SEARCH('Data Transfer'!$B$6,'Compliance Database'!$D770&amp;" "&amp;'Compliance Database'!$K770&amp;" "&amp;'Compliance Database'!$L770&amp;" "&amp;'Compliance Database'!$M770&amp;" "&amp;'Compliance Database'!$N770)))),1,0)</f>
        <v/>
      </c>
      <c r="B770">
        <f>IF($A770=1,SUM($A$2:$A770),"")</f>
        <v/>
      </c>
      <c r="C770">
        <f>IF($A770=1,SUM($A$2:$A770),0)</f>
        <v/>
      </c>
    </row>
    <row r="771">
      <c r="A771">
        <f>IF(AND(OR('Compliance Database'!$A771='Data Transfer'!$B$4,'Compliance Database'!$A771='Data Transfer'!$B$5),OR('Data Transfer'!$B$6="",ISNUMBER(SEARCH('Data Transfer'!$B$6,'Compliance Database'!$D771&amp;" "&amp;'Compliance Database'!$K771&amp;" "&amp;'Compliance Database'!$L771&amp;" "&amp;'Compliance Database'!$M771&amp;" "&amp;'Compliance Database'!$N771)))),1,0)</f>
        <v/>
      </c>
      <c r="B771">
        <f>IF($A771=1,SUM($A$2:$A771),"")</f>
        <v/>
      </c>
      <c r="C771">
        <f>IF($A771=1,SUM($A$2:$A771),0)</f>
        <v/>
      </c>
    </row>
    <row r="772">
      <c r="A772">
        <f>IF(AND(OR('Compliance Database'!$A772='Data Transfer'!$B$4,'Compliance Database'!$A772='Data Transfer'!$B$5),OR('Data Transfer'!$B$6="",ISNUMBER(SEARCH('Data Transfer'!$B$6,'Compliance Database'!$D772&amp;" "&amp;'Compliance Database'!$K772&amp;" "&amp;'Compliance Database'!$L772&amp;" "&amp;'Compliance Database'!$M772&amp;" "&amp;'Compliance Database'!$N772)))),1,0)</f>
        <v/>
      </c>
      <c r="B772">
        <f>IF($A772=1,SUM($A$2:$A772),"")</f>
        <v/>
      </c>
      <c r="C772">
        <f>IF($A772=1,SUM($A$2:$A772),0)</f>
        <v/>
      </c>
    </row>
    <row r="773">
      <c r="A773">
        <f>IF(AND(OR('Compliance Database'!$A773='Data Transfer'!$B$4,'Compliance Database'!$A773='Data Transfer'!$B$5),OR('Data Transfer'!$B$6="",ISNUMBER(SEARCH('Data Transfer'!$B$6,'Compliance Database'!$D773&amp;" "&amp;'Compliance Database'!$K773&amp;" "&amp;'Compliance Database'!$L773&amp;" "&amp;'Compliance Database'!$M773&amp;" "&amp;'Compliance Database'!$N773)))),1,0)</f>
        <v/>
      </c>
      <c r="B773">
        <f>IF($A773=1,SUM($A$2:$A773),"")</f>
        <v/>
      </c>
      <c r="C773">
        <f>IF($A773=1,SUM($A$2:$A773),0)</f>
        <v/>
      </c>
    </row>
    <row r="774">
      <c r="A774">
        <f>IF(AND(OR('Compliance Database'!$A774='Data Transfer'!$B$4,'Compliance Database'!$A774='Data Transfer'!$B$5),OR('Data Transfer'!$B$6="",ISNUMBER(SEARCH('Data Transfer'!$B$6,'Compliance Database'!$D774&amp;" "&amp;'Compliance Database'!$K774&amp;" "&amp;'Compliance Database'!$L774&amp;" "&amp;'Compliance Database'!$M774&amp;" "&amp;'Compliance Database'!$N774)))),1,0)</f>
        <v/>
      </c>
      <c r="B774">
        <f>IF($A774=1,SUM($A$2:$A774),"")</f>
        <v/>
      </c>
      <c r="C774">
        <f>IF($A774=1,SUM($A$2:$A774),0)</f>
        <v/>
      </c>
    </row>
    <row r="775">
      <c r="A775">
        <f>IF(AND(OR('Compliance Database'!$A775='Data Transfer'!$B$4,'Compliance Database'!$A775='Data Transfer'!$B$5),OR('Data Transfer'!$B$6="",ISNUMBER(SEARCH('Data Transfer'!$B$6,'Compliance Database'!$D775&amp;" "&amp;'Compliance Database'!$K775&amp;" "&amp;'Compliance Database'!$L775&amp;" "&amp;'Compliance Database'!$M775&amp;" "&amp;'Compliance Database'!$N775)))),1,0)</f>
        <v/>
      </c>
      <c r="B775">
        <f>IF($A775=1,SUM($A$2:$A775),"")</f>
        <v/>
      </c>
      <c r="C775">
        <f>IF($A775=1,SUM($A$2:$A775),0)</f>
        <v/>
      </c>
    </row>
    <row r="776">
      <c r="A776">
        <f>IF(AND(OR('Compliance Database'!$A776='Data Transfer'!$B$4,'Compliance Database'!$A776='Data Transfer'!$B$5),OR('Data Transfer'!$B$6="",ISNUMBER(SEARCH('Data Transfer'!$B$6,'Compliance Database'!$D776&amp;" "&amp;'Compliance Database'!$K776&amp;" "&amp;'Compliance Database'!$L776&amp;" "&amp;'Compliance Database'!$M776&amp;" "&amp;'Compliance Database'!$N776)))),1,0)</f>
        <v/>
      </c>
      <c r="B776">
        <f>IF($A776=1,SUM($A$2:$A776),"")</f>
        <v/>
      </c>
      <c r="C776">
        <f>IF($A776=1,SUM($A$2:$A776),0)</f>
        <v/>
      </c>
    </row>
    <row r="777">
      <c r="A777">
        <f>IF(AND(OR('Compliance Database'!$A777='Data Transfer'!$B$4,'Compliance Database'!$A777='Data Transfer'!$B$5),OR('Data Transfer'!$B$6="",ISNUMBER(SEARCH('Data Transfer'!$B$6,'Compliance Database'!$D777&amp;" "&amp;'Compliance Database'!$K777&amp;" "&amp;'Compliance Database'!$L777&amp;" "&amp;'Compliance Database'!$M777&amp;" "&amp;'Compliance Database'!$N777)))),1,0)</f>
        <v/>
      </c>
      <c r="B777">
        <f>IF($A777=1,SUM($A$2:$A777),"")</f>
        <v/>
      </c>
      <c r="C777">
        <f>IF($A777=1,SUM($A$2:$A777),0)</f>
        <v/>
      </c>
    </row>
    <row r="778">
      <c r="A778">
        <f>IF(AND(OR('Compliance Database'!$A778='Data Transfer'!$B$4,'Compliance Database'!$A778='Data Transfer'!$B$5),OR('Data Transfer'!$B$6="",ISNUMBER(SEARCH('Data Transfer'!$B$6,'Compliance Database'!$D778&amp;" "&amp;'Compliance Database'!$K778&amp;" "&amp;'Compliance Database'!$L778&amp;" "&amp;'Compliance Database'!$M778&amp;" "&amp;'Compliance Database'!$N778)))),1,0)</f>
        <v/>
      </c>
      <c r="B778">
        <f>IF($A778=1,SUM($A$2:$A778),"")</f>
        <v/>
      </c>
      <c r="C778">
        <f>IF($A778=1,SUM($A$2:$A778),0)</f>
        <v/>
      </c>
    </row>
    <row r="779">
      <c r="A779">
        <f>IF(AND(OR('Compliance Database'!$A779='Data Transfer'!$B$4,'Compliance Database'!$A779='Data Transfer'!$B$5),OR('Data Transfer'!$B$6="",ISNUMBER(SEARCH('Data Transfer'!$B$6,'Compliance Database'!$D779&amp;" "&amp;'Compliance Database'!$K779&amp;" "&amp;'Compliance Database'!$L779&amp;" "&amp;'Compliance Database'!$M779&amp;" "&amp;'Compliance Database'!$N779)))),1,0)</f>
        <v/>
      </c>
      <c r="B779">
        <f>IF($A779=1,SUM($A$2:$A779),"")</f>
        <v/>
      </c>
      <c r="C779">
        <f>IF($A779=1,SUM($A$2:$A779),0)</f>
        <v/>
      </c>
    </row>
    <row r="780">
      <c r="A780">
        <f>IF(AND(OR('Compliance Database'!$A780='Data Transfer'!$B$4,'Compliance Database'!$A780='Data Transfer'!$B$5),OR('Data Transfer'!$B$6="",ISNUMBER(SEARCH('Data Transfer'!$B$6,'Compliance Database'!$D780&amp;" "&amp;'Compliance Database'!$K780&amp;" "&amp;'Compliance Database'!$L780&amp;" "&amp;'Compliance Database'!$M780&amp;" "&amp;'Compliance Database'!$N780)))),1,0)</f>
        <v/>
      </c>
      <c r="B780">
        <f>IF($A780=1,SUM($A$2:$A780),"")</f>
        <v/>
      </c>
      <c r="C780">
        <f>IF($A780=1,SUM($A$2:$A780),0)</f>
        <v/>
      </c>
    </row>
    <row r="781">
      <c r="A781">
        <f>IF(AND(OR('Compliance Database'!$A781='Data Transfer'!$B$4,'Compliance Database'!$A781='Data Transfer'!$B$5),OR('Data Transfer'!$B$6="",ISNUMBER(SEARCH('Data Transfer'!$B$6,'Compliance Database'!$D781&amp;" "&amp;'Compliance Database'!$K781&amp;" "&amp;'Compliance Database'!$L781&amp;" "&amp;'Compliance Database'!$M781&amp;" "&amp;'Compliance Database'!$N781)))),1,0)</f>
        <v/>
      </c>
      <c r="B781">
        <f>IF($A781=1,SUM($A$2:$A781),"")</f>
        <v/>
      </c>
      <c r="C781">
        <f>IF($A781=1,SUM($A$2:$A781),0)</f>
        <v/>
      </c>
    </row>
    <row r="782">
      <c r="A782">
        <f>IF(AND(OR('Compliance Database'!$A782='Data Transfer'!$B$4,'Compliance Database'!$A782='Data Transfer'!$B$5),OR('Data Transfer'!$B$6="",ISNUMBER(SEARCH('Data Transfer'!$B$6,'Compliance Database'!$D782&amp;" "&amp;'Compliance Database'!$K782&amp;" "&amp;'Compliance Database'!$L782&amp;" "&amp;'Compliance Database'!$M782&amp;" "&amp;'Compliance Database'!$N782)))),1,0)</f>
        <v/>
      </c>
      <c r="B782">
        <f>IF($A782=1,SUM($A$2:$A782),"")</f>
        <v/>
      </c>
      <c r="C782">
        <f>IF($A782=1,SUM($A$2:$A782),0)</f>
        <v/>
      </c>
    </row>
    <row r="783">
      <c r="A783">
        <f>IF(AND(OR('Compliance Database'!$A783='Data Transfer'!$B$4,'Compliance Database'!$A783='Data Transfer'!$B$5),OR('Data Transfer'!$B$6="",ISNUMBER(SEARCH('Data Transfer'!$B$6,'Compliance Database'!$D783&amp;" "&amp;'Compliance Database'!$K783&amp;" "&amp;'Compliance Database'!$L783&amp;" "&amp;'Compliance Database'!$M783&amp;" "&amp;'Compliance Database'!$N783)))),1,0)</f>
        <v/>
      </c>
      <c r="B783">
        <f>IF($A783=1,SUM($A$2:$A783),"")</f>
        <v/>
      </c>
      <c r="C783">
        <f>IF($A783=1,SUM($A$2:$A783),0)</f>
        <v/>
      </c>
    </row>
    <row r="784">
      <c r="A784">
        <f>IF(AND(OR('Compliance Database'!$A784='Data Transfer'!$B$4,'Compliance Database'!$A784='Data Transfer'!$B$5),OR('Data Transfer'!$B$6="",ISNUMBER(SEARCH('Data Transfer'!$B$6,'Compliance Database'!$D784&amp;" "&amp;'Compliance Database'!$K784&amp;" "&amp;'Compliance Database'!$L784&amp;" "&amp;'Compliance Database'!$M784&amp;" "&amp;'Compliance Database'!$N784)))),1,0)</f>
        <v/>
      </c>
      <c r="B784">
        <f>IF($A784=1,SUM($A$2:$A784),"")</f>
        <v/>
      </c>
      <c r="C784">
        <f>IF($A784=1,SUM($A$2:$A784),0)</f>
        <v/>
      </c>
    </row>
    <row r="785">
      <c r="A785">
        <f>IF(AND(OR('Compliance Database'!$A785='Data Transfer'!$B$4,'Compliance Database'!$A785='Data Transfer'!$B$5),OR('Data Transfer'!$B$6="",ISNUMBER(SEARCH('Data Transfer'!$B$6,'Compliance Database'!$D785&amp;" "&amp;'Compliance Database'!$K785&amp;" "&amp;'Compliance Database'!$L785&amp;" "&amp;'Compliance Database'!$M785&amp;" "&amp;'Compliance Database'!$N785)))),1,0)</f>
        <v/>
      </c>
      <c r="B785">
        <f>IF($A785=1,SUM($A$2:$A785),"")</f>
        <v/>
      </c>
      <c r="C785">
        <f>IF($A785=1,SUM($A$2:$A785),0)</f>
        <v/>
      </c>
    </row>
    <row r="786">
      <c r="A786">
        <f>IF(AND(OR('Compliance Database'!$A786='Data Transfer'!$B$4,'Compliance Database'!$A786='Data Transfer'!$B$5),OR('Data Transfer'!$B$6="",ISNUMBER(SEARCH('Data Transfer'!$B$6,'Compliance Database'!$D786&amp;" "&amp;'Compliance Database'!$K786&amp;" "&amp;'Compliance Database'!$L786&amp;" "&amp;'Compliance Database'!$M786&amp;" "&amp;'Compliance Database'!$N786)))),1,0)</f>
        <v/>
      </c>
      <c r="B786">
        <f>IF($A786=1,SUM($A$2:$A786),"")</f>
        <v/>
      </c>
      <c r="C786">
        <f>IF($A786=1,SUM($A$2:$A786),0)</f>
        <v/>
      </c>
    </row>
    <row r="787">
      <c r="A787">
        <f>IF(AND(OR('Compliance Database'!$A787='Data Transfer'!$B$4,'Compliance Database'!$A787='Data Transfer'!$B$5),OR('Data Transfer'!$B$6="",ISNUMBER(SEARCH('Data Transfer'!$B$6,'Compliance Database'!$D787&amp;" "&amp;'Compliance Database'!$K787&amp;" "&amp;'Compliance Database'!$L787&amp;" "&amp;'Compliance Database'!$M787&amp;" "&amp;'Compliance Database'!$N787)))),1,0)</f>
        <v/>
      </c>
      <c r="B787">
        <f>IF($A787=1,SUM($A$2:$A787),"")</f>
        <v/>
      </c>
      <c r="C787">
        <f>IF($A787=1,SUM($A$2:$A787),0)</f>
        <v/>
      </c>
    </row>
    <row r="788">
      <c r="A788">
        <f>IF(AND(OR('Compliance Database'!$A788='Data Transfer'!$B$4,'Compliance Database'!$A788='Data Transfer'!$B$5),OR('Data Transfer'!$B$6="",ISNUMBER(SEARCH('Data Transfer'!$B$6,'Compliance Database'!$D788&amp;" "&amp;'Compliance Database'!$K788&amp;" "&amp;'Compliance Database'!$L788&amp;" "&amp;'Compliance Database'!$M788&amp;" "&amp;'Compliance Database'!$N788)))),1,0)</f>
        <v/>
      </c>
      <c r="B788">
        <f>IF($A788=1,SUM($A$2:$A788),"")</f>
        <v/>
      </c>
      <c r="C788">
        <f>IF($A788=1,SUM($A$2:$A788),0)</f>
        <v/>
      </c>
    </row>
    <row r="789">
      <c r="A789">
        <f>IF(AND(OR('Compliance Database'!$A789='Data Transfer'!$B$4,'Compliance Database'!$A789='Data Transfer'!$B$5),OR('Data Transfer'!$B$6="",ISNUMBER(SEARCH('Data Transfer'!$B$6,'Compliance Database'!$D789&amp;" "&amp;'Compliance Database'!$K789&amp;" "&amp;'Compliance Database'!$L789&amp;" "&amp;'Compliance Database'!$M789&amp;" "&amp;'Compliance Database'!$N789)))),1,0)</f>
        <v/>
      </c>
      <c r="B789">
        <f>IF($A789=1,SUM($A$2:$A789),"")</f>
        <v/>
      </c>
      <c r="C789">
        <f>IF($A789=1,SUM($A$2:$A789),0)</f>
        <v/>
      </c>
    </row>
    <row r="790">
      <c r="A790">
        <f>IF(AND(OR('Compliance Database'!$A790='Data Transfer'!$B$4,'Compliance Database'!$A790='Data Transfer'!$B$5),OR('Data Transfer'!$B$6="",ISNUMBER(SEARCH('Data Transfer'!$B$6,'Compliance Database'!$D790&amp;" "&amp;'Compliance Database'!$K790&amp;" "&amp;'Compliance Database'!$L790&amp;" "&amp;'Compliance Database'!$M790&amp;" "&amp;'Compliance Database'!$N790)))),1,0)</f>
        <v/>
      </c>
      <c r="B790">
        <f>IF($A790=1,SUM($A$2:$A790),"")</f>
        <v/>
      </c>
      <c r="C790">
        <f>IF($A790=1,SUM($A$2:$A790),0)</f>
        <v/>
      </c>
    </row>
    <row r="791">
      <c r="A791">
        <f>IF(AND(OR('Compliance Database'!$A791='Data Transfer'!$B$4,'Compliance Database'!$A791='Data Transfer'!$B$5),OR('Data Transfer'!$B$6="",ISNUMBER(SEARCH('Data Transfer'!$B$6,'Compliance Database'!$D791&amp;" "&amp;'Compliance Database'!$K791&amp;" "&amp;'Compliance Database'!$L791&amp;" "&amp;'Compliance Database'!$M791&amp;" "&amp;'Compliance Database'!$N791)))),1,0)</f>
        <v/>
      </c>
      <c r="B791">
        <f>IF($A791=1,SUM($A$2:$A791),"")</f>
        <v/>
      </c>
      <c r="C791">
        <f>IF($A791=1,SUM($A$2:$A791),0)</f>
        <v/>
      </c>
    </row>
    <row r="792">
      <c r="A792">
        <f>IF(AND(OR('Compliance Database'!$A792='Data Transfer'!$B$4,'Compliance Database'!$A792='Data Transfer'!$B$5),OR('Data Transfer'!$B$6="",ISNUMBER(SEARCH('Data Transfer'!$B$6,'Compliance Database'!$D792&amp;" "&amp;'Compliance Database'!$K792&amp;" "&amp;'Compliance Database'!$L792&amp;" "&amp;'Compliance Database'!$M792&amp;" "&amp;'Compliance Database'!$N792)))),1,0)</f>
        <v/>
      </c>
      <c r="B792">
        <f>IF($A792=1,SUM($A$2:$A792),"")</f>
        <v/>
      </c>
      <c r="C792">
        <f>IF($A792=1,SUM($A$2:$A792),0)</f>
        <v/>
      </c>
    </row>
    <row r="793">
      <c r="A793">
        <f>IF(AND(OR('Compliance Database'!$A793='Data Transfer'!$B$4,'Compliance Database'!$A793='Data Transfer'!$B$5),OR('Data Transfer'!$B$6="",ISNUMBER(SEARCH('Data Transfer'!$B$6,'Compliance Database'!$D793&amp;" "&amp;'Compliance Database'!$K793&amp;" "&amp;'Compliance Database'!$L793&amp;" "&amp;'Compliance Database'!$M793&amp;" "&amp;'Compliance Database'!$N793)))),1,0)</f>
        <v/>
      </c>
      <c r="B793">
        <f>IF($A793=1,SUM($A$2:$A793),"")</f>
        <v/>
      </c>
      <c r="C793">
        <f>IF($A793=1,SUM($A$2:$A793),0)</f>
        <v/>
      </c>
    </row>
    <row r="794">
      <c r="A794">
        <f>IF(AND(OR('Compliance Database'!$A794='Data Transfer'!$B$4,'Compliance Database'!$A794='Data Transfer'!$B$5),OR('Data Transfer'!$B$6="",ISNUMBER(SEARCH('Data Transfer'!$B$6,'Compliance Database'!$D794&amp;" "&amp;'Compliance Database'!$K794&amp;" "&amp;'Compliance Database'!$L794&amp;" "&amp;'Compliance Database'!$M794&amp;" "&amp;'Compliance Database'!$N794)))),1,0)</f>
        <v/>
      </c>
      <c r="B794">
        <f>IF($A794=1,SUM($A$2:$A794),"")</f>
        <v/>
      </c>
      <c r="C794">
        <f>IF($A794=1,SUM($A$2:$A794),0)</f>
        <v/>
      </c>
    </row>
    <row r="795">
      <c r="A795">
        <f>IF(AND(OR('Compliance Database'!$A795='Data Transfer'!$B$4,'Compliance Database'!$A795='Data Transfer'!$B$5),OR('Data Transfer'!$B$6="",ISNUMBER(SEARCH('Data Transfer'!$B$6,'Compliance Database'!$D795&amp;" "&amp;'Compliance Database'!$K795&amp;" "&amp;'Compliance Database'!$L795&amp;" "&amp;'Compliance Database'!$M795&amp;" "&amp;'Compliance Database'!$N795)))),1,0)</f>
        <v/>
      </c>
      <c r="B795">
        <f>IF($A795=1,SUM($A$2:$A795),"")</f>
        <v/>
      </c>
      <c r="C795">
        <f>IF($A795=1,SUM($A$2:$A795),0)</f>
        <v/>
      </c>
    </row>
    <row r="796">
      <c r="A796">
        <f>IF(AND(OR('Compliance Database'!$A796='Data Transfer'!$B$4,'Compliance Database'!$A796='Data Transfer'!$B$5),OR('Data Transfer'!$B$6="",ISNUMBER(SEARCH('Data Transfer'!$B$6,'Compliance Database'!$D796&amp;" "&amp;'Compliance Database'!$K796&amp;" "&amp;'Compliance Database'!$L796&amp;" "&amp;'Compliance Database'!$M796&amp;" "&amp;'Compliance Database'!$N796)))),1,0)</f>
        <v/>
      </c>
      <c r="B796">
        <f>IF($A796=1,SUM($A$2:$A796),"")</f>
        <v/>
      </c>
      <c r="C796">
        <f>IF($A796=1,SUM($A$2:$A796),0)</f>
        <v/>
      </c>
    </row>
    <row r="797">
      <c r="A797">
        <f>IF(AND(OR('Compliance Database'!$A797='Data Transfer'!$B$4,'Compliance Database'!$A797='Data Transfer'!$B$5),OR('Data Transfer'!$B$6="",ISNUMBER(SEARCH('Data Transfer'!$B$6,'Compliance Database'!$D797&amp;" "&amp;'Compliance Database'!$K797&amp;" "&amp;'Compliance Database'!$L797&amp;" "&amp;'Compliance Database'!$M797&amp;" "&amp;'Compliance Database'!$N797)))),1,0)</f>
        <v/>
      </c>
      <c r="B797">
        <f>IF($A797=1,SUM($A$2:$A797),"")</f>
        <v/>
      </c>
      <c r="C797">
        <f>IF($A797=1,SUM($A$2:$A797),0)</f>
        <v/>
      </c>
    </row>
    <row r="798">
      <c r="A798">
        <f>IF(AND(OR('Compliance Database'!$A798='Data Transfer'!$B$4,'Compliance Database'!$A798='Data Transfer'!$B$5),OR('Data Transfer'!$B$6="",ISNUMBER(SEARCH('Data Transfer'!$B$6,'Compliance Database'!$D798&amp;" "&amp;'Compliance Database'!$K798&amp;" "&amp;'Compliance Database'!$L798&amp;" "&amp;'Compliance Database'!$M798&amp;" "&amp;'Compliance Database'!$N798)))),1,0)</f>
        <v/>
      </c>
      <c r="B798">
        <f>IF($A798=1,SUM($A$2:$A798),"")</f>
        <v/>
      </c>
      <c r="C798">
        <f>IF($A798=1,SUM($A$2:$A798),0)</f>
        <v/>
      </c>
    </row>
    <row r="799">
      <c r="A799">
        <f>IF(AND(OR('Compliance Database'!$A799='Data Transfer'!$B$4,'Compliance Database'!$A799='Data Transfer'!$B$5),OR('Data Transfer'!$B$6="",ISNUMBER(SEARCH('Data Transfer'!$B$6,'Compliance Database'!$D799&amp;" "&amp;'Compliance Database'!$K799&amp;" "&amp;'Compliance Database'!$L799&amp;" "&amp;'Compliance Database'!$M799&amp;" "&amp;'Compliance Database'!$N799)))),1,0)</f>
        <v/>
      </c>
      <c r="B799">
        <f>IF($A799=1,SUM($A$2:$A799),"")</f>
        <v/>
      </c>
      <c r="C799">
        <f>IF($A799=1,SUM($A$2:$A799),0)</f>
        <v/>
      </c>
    </row>
    <row r="800">
      <c r="A800">
        <f>IF(AND(OR('Compliance Database'!$A800='Data Transfer'!$B$4,'Compliance Database'!$A800='Data Transfer'!$B$5),OR('Data Transfer'!$B$6="",ISNUMBER(SEARCH('Data Transfer'!$B$6,'Compliance Database'!$D800&amp;" "&amp;'Compliance Database'!$K800&amp;" "&amp;'Compliance Database'!$L800&amp;" "&amp;'Compliance Database'!$M800&amp;" "&amp;'Compliance Database'!$N800)))),1,0)</f>
        <v/>
      </c>
      <c r="B800">
        <f>IF($A800=1,SUM($A$2:$A800),"")</f>
        <v/>
      </c>
      <c r="C800">
        <f>IF($A800=1,SUM($A$2:$A800),0)</f>
        <v/>
      </c>
    </row>
    <row r="801">
      <c r="A801">
        <f>IF(AND(OR('Compliance Database'!$A801='Data Transfer'!$B$4,'Compliance Database'!$A801='Data Transfer'!$B$5),OR('Data Transfer'!$B$6="",ISNUMBER(SEARCH('Data Transfer'!$B$6,'Compliance Database'!$D801&amp;" "&amp;'Compliance Database'!$K801&amp;" "&amp;'Compliance Database'!$L801&amp;" "&amp;'Compliance Database'!$M801&amp;" "&amp;'Compliance Database'!$N801)))),1,0)</f>
        <v/>
      </c>
      <c r="B801">
        <f>IF($A801=1,SUM($A$2:$A801),"")</f>
        <v/>
      </c>
      <c r="C801">
        <f>IF($A801=1,SUM($A$2:$A801),0)</f>
        <v/>
      </c>
    </row>
    <row r="802">
      <c r="A802">
        <f>IF(AND(OR('Compliance Database'!$A802='Data Transfer'!$B$4,'Compliance Database'!$A802='Data Transfer'!$B$5),OR('Data Transfer'!$B$6="",ISNUMBER(SEARCH('Data Transfer'!$B$6,'Compliance Database'!$D802&amp;" "&amp;'Compliance Database'!$K802&amp;" "&amp;'Compliance Database'!$L802&amp;" "&amp;'Compliance Database'!$M802&amp;" "&amp;'Compliance Database'!$N802)))),1,0)</f>
        <v/>
      </c>
      <c r="B802">
        <f>IF($A802=1,SUM($A$2:$A802),"")</f>
        <v/>
      </c>
      <c r="C802">
        <f>IF($A802=1,SUM($A$2:$A802),0)</f>
        <v/>
      </c>
    </row>
    <row r="803">
      <c r="A803">
        <f>IF(AND(OR('Compliance Database'!$A803='Data Transfer'!$B$4,'Compliance Database'!$A803='Data Transfer'!$B$5),OR('Data Transfer'!$B$6="",ISNUMBER(SEARCH('Data Transfer'!$B$6,'Compliance Database'!$D803&amp;" "&amp;'Compliance Database'!$K803&amp;" "&amp;'Compliance Database'!$L803&amp;" "&amp;'Compliance Database'!$M803&amp;" "&amp;'Compliance Database'!$N803)))),1,0)</f>
        <v/>
      </c>
      <c r="B803">
        <f>IF($A803=1,SUM($A$2:$A803),"")</f>
        <v/>
      </c>
      <c r="C803">
        <f>IF($A803=1,SUM($A$2:$A803),0)</f>
        <v/>
      </c>
    </row>
    <row r="804">
      <c r="A804">
        <f>IF(AND(OR('Compliance Database'!$A804='Data Transfer'!$B$4,'Compliance Database'!$A804='Data Transfer'!$B$5),OR('Data Transfer'!$B$6="",ISNUMBER(SEARCH('Data Transfer'!$B$6,'Compliance Database'!$D804&amp;" "&amp;'Compliance Database'!$K804&amp;" "&amp;'Compliance Database'!$L804&amp;" "&amp;'Compliance Database'!$M804&amp;" "&amp;'Compliance Database'!$N804)))),1,0)</f>
        <v/>
      </c>
      <c r="B804">
        <f>IF($A804=1,SUM($A$2:$A804),"")</f>
        <v/>
      </c>
      <c r="C804">
        <f>IF($A804=1,SUM($A$2:$A804),0)</f>
        <v/>
      </c>
    </row>
    <row r="805">
      <c r="A805">
        <f>IF(AND(OR('Compliance Database'!$A805='Data Transfer'!$B$4,'Compliance Database'!$A805='Data Transfer'!$B$5),OR('Data Transfer'!$B$6="",ISNUMBER(SEARCH('Data Transfer'!$B$6,'Compliance Database'!$D805&amp;" "&amp;'Compliance Database'!$K805&amp;" "&amp;'Compliance Database'!$L805&amp;" "&amp;'Compliance Database'!$M805&amp;" "&amp;'Compliance Database'!$N805)))),1,0)</f>
        <v/>
      </c>
      <c r="B805">
        <f>IF($A805=1,SUM($A$2:$A805),"")</f>
        <v/>
      </c>
      <c r="C805">
        <f>IF($A805=1,SUM($A$2:$A805),0)</f>
        <v/>
      </c>
    </row>
    <row r="806">
      <c r="A806">
        <f>IF(AND(OR('Compliance Database'!$A806='Data Transfer'!$B$4,'Compliance Database'!$A806='Data Transfer'!$B$5),OR('Data Transfer'!$B$6="",ISNUMBER(SEARCH('Data Transfer'!$B$6,'Compliance Database'!$D806&amp;" "&amp;'Compliance Database'!$K806&amp;" "&amp;'Compliance Database'!$L806&amp;" "&amp;'Compliance Database'!$M806&amp;" "&amp;'Compliance Database'!$N806)))),1,0)</f>
        <v/>
      </c>
      <c r="B806">
        <f>IF($A806=1,SUM($A$2:$A806),"")</f>
        <v/>
      </c>
      <c r="C806">
        <f>IF($A806=1,SUM($A$2:$A806),0)</f>
        <v/>
      </c>
    </row>
    <row r="807">
      <c r="A807">
        <f>IF(AND(OR('Compliance Database'!$A807='Data Transfer'!$B$4,'Compliance Database'!$A807='Data Transfer'!$B$5),OR('Data Transfer'!$B$6="",ISNUMBER(SEARCH('Data Transfer'!$B$6,'Compliance Database'!$D807&amp;" "&amp;'Compliance Database'!$K807&amp;" "&amp;'Compliance Database'!$L807&amp;" "&amp;'Compliance Database'!$M807&amp;" "&amp;'Compliance Database'!$N807)))),1,0)</f>
        <v/>
      </c>
      <c r="B807">
        <f>IF($A807=1,SUM($A$2:$A807),"")</f>
        <v/>
      </c>
      <c r="C807">
        <f>IF($A807=1,SUM($A$2:$A807),0)</f>
        <v/>
      </c>
    </row>
    <row r="808">
      <c r="A808">
        <f>IF(AND(OR('Compliance Database'!$A808='Data Transfer'!$B$4,'Compliance Database'!$A808='Data Transfer'!$B$5),OR('Data Transfer'!$B$6="",ISNUMBER(SEARCH('Data Transfer'!$B$6,'Compliance Database'!$D808&amp;" "&amp;'Compliance Database'!$K808&amp;" "&amp;'Compliance Database'!$L808&amp;" "&amp;'Compliance Database'!$M808&amp;" "&amp;'Compliance Database'!$N808)))),1,0)</f>
        <v/>
      </c>
      <c r="B808">
        <f>IF($A808=1,SUM($A$2:$A808),"")</f>
        <v/>
      </c>
      <c r="C808">
        <f>IF($A808=1,SUM($A$2:$A808),0)</f>
        <v/>
      </c>
    </row>
    <row r="809">
      <c r="A809">
        <f>IF(AND(OR('Compliance Database'!$A809='Data Transfer'!$B$4,'Compliance Database'!$A809='Data Transfer'!$B$5),OR('Data Transfer'!$B$6="",ISNUMBER(SEARCH('Data Transfer'!$B$6,'Compliance Database'!$D809&amp;" "&amp;'Compliance Database'!$K809&amp;" "&amp;'Compliance Database'!$L809&amp;" "&amp;'Compliance Database'!$M809&amp;" "&amp;'Compliance Database'!$N809)))),1,0)</f>
        <v/>
      </c>
      <c r="B809">
        <f>IF($A809=1,SUM($A$2:$A809),"")</f>
        <v/>
      </c>
      <c r="C809">
        <f>IF($A809=1,SUM($A$2:$A809),0)</f>
        <v/>
      </c>
    </row>
    <row r="810">
      <c r="A810">
        <f>IF(AND(OR('Compliance Database'!$A810='Data Transfer'!$B$4,'Compliance Database'!$A810='Data Transfer'!$B$5),OR('Data Transfer'!$B$6="",ISNUMBER(SEARCH('Data Transfer'!$B$6,'Compliance Database'!$D810&amp;" "&amp;'Compliance Database'!$K810&amp;" "&amp;'Compliance Database'!$L810&amp;" "&amp;'Compliance Database'!$M810&amp;" "&amp;'Compliance Database'!$N810)))),1,0)</f>
        <v/>
      </c>
      <c r="B810">
        <f>IF($A810=1,SUM($A$2:$A810),"")</f>
        <v/>
      </c>
      <c r="C810">
        <f>IF($A810=1,SUM($A$2:$A810),0)</f>
        <v/>
      </c>
    </row>
    <row r="811">
      <c r="A811">
        <f>IF(AND(OR('Compliance Database'!$A811='Data Transfer'!$B$4,'Compliance Database'!$A811='Data Transfer'!$B$5),OR('Data Transfer'!$B$6="",ISNUMBER(SEARCH('Data Transfer'!$B$6,'Compliance Database'!$D811&amp;" "&amp;'Compliance Database'!$K811&amp;" "&amp;'Compliance Database'!$L811&amp;" "&amp;'Compliance Database'!$M811&amp;" "&amp;'Compliance Database'!$N811)))),1,0)</f>
        <v/>
      </c>
      <c r="B811">
        <f>IF($A811=1,SUM($A$2:$A811),"")</f>
        <v/>
      </c>
      <c r="C811">
        <f>IF($A811=1,SUM($A$2:$A811),0)</f>
        <v/>
      </c>
    </row>
    <row r="812">
      <c r="A812">
        <f>IF(AND(OR('Compliance Database'!$A812='Data Transfer'!$B$4,'Compliance Database'!$A812='Data Transfer'!$B$5),OR('Data Transfer'!$B$6="",ISNUMBER(SEARCH('Data Transfer'!$B$6,'Compliance Database'!$D812&amp;" "&amp;'Compliance Database'!$K812&amp;" "&amp;'Compliance Database'!$L812&amp;" "&amp;'Compliance Database'!$M812&amp;" "&amp;'Compliance Database'!$N812)))),1,0)</f>
        <v/>
      </c>
      <c r="B812">
        <f>IF($A812=1,SUM($A$2:$A812),"")</f>
        <v/>
      </c>
      <c r="C812">
        <f>IF($A812=1,SUM($A$2:$A812),0)</f>
        <v/>
      </c>
    </row>
    <row r="813">
      <c r="A813">
        <f>IF(AND(OR('Compliance Database'!$A813='Data Transfer'!$B$4,'Compliance Database'!$A813='Data Transfer'!$B$5),OR('Data Transfer'!$B$6="",ISNUMBER(SEARCH('Data Transfer'!$B$6,'Compliance Database'!$D813&amp;" "&amp;'Compliance Database'!$K813&amp;" "&amp;'Compliance Database'!$L813&amp;" "&amp;'Compliance Database'!$M813&amp;" "&amp;'Compliance Database'!$N813)))),1,0)</f>
        <v/>
      </c>
      <c r="B813">
        <f>IF($A813=1,SUM($A$2:$A813),"")</f>
        <v/>
      </c>
      <c r="C813">
        <f>IF($A813=1,SUM($A$2:$A813),0)</f>
        <v/>
      </c>
    </row>
    <row r="814">
      <c r="A814">
        <f>IF(AND(OR('Compliance Database'!$A814='Data Transfer'!$B$4,'Compliance Database'!$A814='Data Transfer'!$B$5),OR('Data Transfer'!$B$6="",ISNUMBER(SEARCH('Data Transfer'!$B$6,'Compliance Database'!$D814&amp;" "&amp;'Compliance Database'!$K814&amp;" "&amp;'Compliance Database'!$L814&amp;" "&amp;'Compliance Database'!$M814&amp;" "&amp;'Compliance Database'!$N814)))),1,0)</f>
        <v/>
      </c>
      <c r="B814">
        <f>IF($A814=1,SUM($A$2:$A814),"")</f>
        <v/>
      </c>
      <c r="C814">
        <f>IF($A814=1,SUM($A$2:$A814),0)</f>
        <v/>
      </c>
    </row>
    <row r="815">
      <c r="A815">
        <f>IF(AND(OR('Compliance Database'!$A815='Data Transfer'!$B$4,'Compliance Database'!$A815='Data Transfer'!$B$5),OR('Data Transfer'!$B$6="",ISNUMBER(SEARCH('Data Transfer'!$B$6,'Compliance Database'!$D815&amp;" "&amp;'Compliance Database'!$K815&amp;" "&amp;'Compliance Database'!$L815&amp;" "&amp;'Compliance Database'!$M815&amp;" "&amp;'Compliance Database'!$N815)))),1,0)</f>
        <v/>
      </c>
      <c r="B815">
        <f>IF($A815=1,SUM($A$2:$A815),"")</f>
        <v/>
      </c>
      <c r="C815">
        <f>IF($A815=1,SUM($A$2:$A815),0)</f>
        <v/>
      </c>
    </row>
    <row r="816">
      <c r="A816">
        <f>IF(AND(OR('Compliance Database'!$A816='Data Transfer'!$B$4,'Compliance Database'!$A816='Data Transfer'!$B$5),OR('Data Transfer'!$B$6="",ISNUMBER(SEARCH('Data Transfer'!$B$6,'Compliance Database'!$D816&amp;" "&amp;'Compliance Database'!$K816&amp;" "&amp;'Compliance Database'!$L816&amp;" "&amp;'Compliance Database'!$M816&amp;" "&amp;'Compliance Database'!$N816)))),1,0)</f>
        <v/>
      </c>
      <c r="B816">
        <f>IF($A816=1,SUM($A$2:$A816),"")</f>
        <v/>
      </c>
      <c r="C816">
        <f>IF($A816=1,SUM($A$2:$A816),0)</f>
        <v/>
      </c>
    </row>
    <row r="817">
      <c r="A817">
        <f>IF(AND(OR('Compliance Database'!$A817='Data Transfer'!$B$4,'Compliance Database'!$A817='Data Transfer'!$B$5),OR('Data Transfer'!$B$6="",ISNUMBER(SEARCH('Data Transfer'!$B$6,'Compliance Database'!$D817&amp;" "&amp;'Compliance Database'!$K817&amp;" "&amp;'Compliance Database'!$L817&amp;" "&amp;'Compliance Database'!$M817&amp;" "&amp;'Compliance Database'!$N817)))),1,0)</f>
        <v/>
      </c>
      <c r="B817">
        <f>IF($A817=1,SUM($A$2:$A817),"")</f>
        <v/>
      </c>
      <c r="C817">
        <f>IF($A817=1,SUM($A$2:$A817),0)</f>
        <v/>
      </c>
    </row>
    <row r="818">
      <c r="A818">
        <f>IF(AND(OR('Compliance Database'!$A818='Data Transfer'!$B$4,'Compliance Database'!$A818='Data Transfer'!$B$5),OR('Data Transfer'!$B$6="",ISNUMBER(SEARCH('Data Transfer'!$B$6,'Compliance Database'!$D818&amp;" "&amp;'Compliance Database'!$K818&amp;" "&amp;'Compliance Database'!$L818&amp;" "&amp;'Compliance Database'!$M818&amp;" "&amp;'Compliance Database'!$N818)))),1,0)</f>
        <v/>
      </c>
      <c r="B818">
        <f>IF($A818=1,SUM($A$2:$A818),"")</f>
        <v/>
      </c>
      <c r="C818">
        <f>IF($A818=1,SUM($A$2:$A818),0)</f>
        <v/>
      </c>
    </row>
    <row r="819">
      <c r="A819">
        <f>IF(AND(OR('Compliance Database'!$A819='Data Transfer'!$B$4,'Compliance Database'!$A819='Data Transfer'!$B$5),OR('Data Transfer'!$B$6="",ISNUMBER(SEARCH('Data Transfer'!$B$6,'Compliance Database'!$D819&amp;" "&amp;'Compliance Database'!$K819&amp;" "&amp;'Compliance Database'!$L819&amp;" "&amp;'Compliance Database'!$M819&amp;" "&amp;'Compliance Database'!$N819)))),1,0)</f>
        <v/>
      </c>
      <c r="B819">
        <f>IF($A819=1,SUM($A$2:$A819),"")</f>
        <v/>
      </c>
      <c r="C819">
        <f>IF($A819=1,SUM($A$2:$A819),0)</f>
        <v/>
      </c>
    </row>
    <row r="820">
      <c r="A820">
        <f>IF(AND(OR('Compliance Database'!$A820='Data Transfer'!$B$4,'Compliance Database'!$A820='Data Transfer'!$B$5),OR('Data Transfer'!$B$6="",ISNUMBER(SEARCH('Data Transfer'!$B$6,'Compliance Database'!$D820&amp;" "&amp;'Compliance Database'!$K820&amp;" "&amp;'Compliance Database'!$L820&amp;" "&amp;'Compliance Database'!$M820&amp;" "&amp;'Compliance Database'!$N820)))),1,0)</f>
        <v/>
      </c>
      <c r="B820">
        <f>IF($A820=1,SUM($A$2:$A820),"")</f>
        <v/>
      </c>
      <c r="C820">
        <f>IF($A820=1,SUM($A$2:$A820),0)</f>
        <v/>
      </c>
    </row>
    <row r="821">
      <c r="A821">
        <f>IF(AND(OR('Compliance Database'!$A821='Data Transfer'!$B$4,'Compliance Database'!$A821='Data Transfer'!$B$5),OR('Data Transfer'!$B$6="",ISNUMBER(SEARCH('Data Transfer'!$B$6,'Compliance Database'!$D821&amp;" "&amp;'Compliance Database'!$K821&amp;" "&amp;'Compliance Database'!$L821&amp;" "&amp;'Compliance Database'!$M821&amp;" "&amp;'Compliance Database'!$N821)))),1,0)</f>
        <v/>
      </c>
      <c r="B821">
        <f>IF($A821=1,SUM($A$2:$A821),"")</f>
        <v/>
      </c>
      <c r="C821">
        <f>IF($A821=1,SUM($A$2:$A821),0)</f>
        <v/>
      </c>
    </row>
    <row r="822">
      <c r="A822">
        <f>IF(AND(OR('Compliance Database'!$A822='Data Transfer'!$B$4,'Compliance Database'!$A822='Data Transfer'!$B$5),OR('Data Transfer'!$B$6="",ISNUMBER(SEARCH('Data Transfer'!$B$6,'Compliance Database'!$D822&amp;" "&amp;'Compliance Database'!$K822&amp;" "&amp;'Compliance Database'!$L822&amp;" "&amp;'Compliance Database'!$M822&amp;" "&amp;'Compliance Database'!$N822)))),1,0)</f>
        <v/>
      </c>
      <c r="B822">
        <f>IF($A822=1,SUM($A$2:$A822),"")</f>
        <v/>
      </c>
      <c r="C822">
        <f>IF($A822=1,SUM($A$2:$A822),0)</f>
        <v/>
      </c>
    </row>
    <row r="823">
      <c r="A823">
        <f>IF(AND(OR('Compliance Database'!$A823='Data Transfer'!$B$4,'Compliance Database'!$A823='Data Transfer'!$B$5),OR('Data Transfer'!$B$6="",ISNUMBER(SEARCH('Data Transfer'!$B$6,'Compliance Database'!$D823&amp;" "&amp;'Compliance Database'!$K823&amp;" "&amp;'Compliance Database'!$L823&amp;" "&amp;'Compliance Database'!$M823&amp;" "&amp;'Compliance Database'!$N823)))),1,0)</f>
        <v/>
      </c>
      <c r="B823">
        <f>IF($A823=1,SUM($A$2:$A823),"")</f>
        <v/>
      </c>
      <c r="C823">
        <f>IF($A823=1,SUM($A$2:$A823),0)</f>
        <v/>
      </c>
    </row>
    <row r="824">
      <c r="A824">
        <f>IF(AND(OR('Compliance Database'!$A824='Data Transfer'!$B$4,'Compliance Database'!$A824='Data Transfer'!$B$5),OR('Data Transfer'!$B$6="",ISNUMBER(SEARCH('Data Transfer'!$B$6,'Compliance Database'!$D824&amp;" "&amp;'Compliance Database'!$K824&amp;" "&amp;'Compliance Database'!$L824&amp;" "&amp;'Compliance Database'!$M824&amp;" "&amp;'Compliance Database'!$N824)))),1,0)</f>
        <v/>
      </c>
      <c r="B824">
        <f>IF($A824=1,SUM($A$2:$A824),"")</f>
        <v/>
      </c>
      <c r="C824">
        <f>IF($A824=1,SUM($A$2:$A824),0)</f>
        <v/>
      </c>
    </row>
    <row r="825">
      <c r="A825">
        <f>IF(AND(OR('Compliance Database'!$A825='Data Transfer'!$B$4,'Compliance Database'!$A825='Data Transfer'!$B$5),OR('Data Transfer'!$B$6="",ISNUMBER(SEARCH('Data Transfer'!$B$6,'Compliance Database'!$D825&amp;" "&amp;'Compliance Database'!$K825&amp;" "&amp;'Compliance Database'!$L825&amp;" "&amp;'Compliance Database'!$M825&amp;" "&amp;'Compliance Database'!$N825)))),1,0)</f>
        <v/>
      </c>
      <c r="B825">
        <f>IF($A825=1,SUM($A$2:$A825),"")</f>
        <v/>
      </c>
      <c r="C825">
        <f>IF($A825=1,SUM($A$2:$A825),0)</f>
        <v/>
      </c>
    </row>
    <row r="826">
      <c r="A826">
        <f>IF(AND(OR('Compliance Database'!$A826='Data Transfer'!$B$4,'Compliance Database'!$A826='Data Transfer'!$B$5),OR('Data Transfer'!$B$6="",ISNUMBER(SEARCH('Data Transfer'!$B$6,'Compliance Database'!$D826&amp;" "&amp;'Compliance Database'!$K826&amp;" "&amp;'Compliance Database'!$L826&amp;" "&amp;'Compliance Database'!$M826&amp;" "&amp;'Compliance Database'!$N826)))),1,0)</f>
        <v/>
      </c>
      <c r="B826">
        <f>IF($A826=1,SUM($A$2:$A826),"")</f>
        <v/>
      </c>
      <c r="C826">
        <f>IF($A826=1,SUM($A$2:$A826),0)</f>
        <v/>
      </c>
    </row>
    <row r="827">
      <c r="A827">
        <f>IF(AND(OR('Compliance Database'!$A827='Data Transfer'!$B$4,'Compliance Database'!$A827='Data Transfer'!$B$5),OR('Data Transfer'!$B$6="",ISNUMBER(SEARCH('Data Transfer'!$B$6,'Compliance Database'!$D827&amp;" "&amp;'Compliance Database'!$K827&amp;" "&amp;'Compliance Database'!$L827&amp;" "&amp;'Compliance Database'!$M827&amp;" "&amp;'Compliance Database'!$N827)))),1,0)</f>
        <v/>
      </c>
      <c r="B827">
        <f>IF($A827=1,SUM($A$2:$A827),"")</f>
        <v/>
      </c>
      <c r="C827">
        <f>IF($A827=1,SUM($A$2:$A827),0)</f>
        <v/>
      </c>
    </row>
    <row r="828">
      <c r="A828">
        <f>IF(AND(OR('Compliance Database'!$A828='Data Transfer'!$B$4,'Compliance Database'!$A828='Data Transfer'!$B$5),OR('Data Transfer'!$B$6="",ISNUMBER(SEARCH('Data Transfer'!$B$6,'Compliance Database'!$D828&amp;" "&amp;'Compliance Database'!$K828&amp;" "&amp;'Compliance Database'!$L828&amp;" "&amp;'Compliance Database'!$M828&amp;" "&amp;'Compliance Database'!$N828)))),1,0)</f>
        <v/>
      </c>
      <c r="B828">
        <f>IF($A828=1,SUM($A$2:$A828),"")</f>
        <v/>
      </c>
      <c r="C828">
        <f>IF($A828=1,SUM($A$2:$A828),0)</f>
        <v/>
      </c>
    </row>
    <row r="829">
      <c r="A829">
        <f>IF(AND(OR('Compliance Database'!$A829='Data Transfer'!$B$4,'Compliance Database'!$A829='Data Transfer'!$B$5),OR('Data Transfer'!$B$6="",ISNUMBER(SEARCH('Data Transfer'!$B$6,'Compliance Database'!$D829&amp;" "&amp;'Compliance Database'!$K829&amp;" "&amp;'Compliance Database'!$L829&amp;" "&amp;'Compliance Database'!$M829&amp;" "&amp;'Compliance Database'!$N829)))),1,0)</f>
        <v/>
      </c>
      <c r="B829">
        <f>IF($A829=1,SUM($A$2:$A829),"")</f>
        <v/>
      </c>
      <c r="C829">
        <f>IF($A829=1,SUM($A$2:$A829),0)</f>
        <v/>
      </c>
    </row>
    <row r="830">
      <c r="A830">
        <f>IF(AND(OR('Compliance Database'!$A830='Data Transfer'!$B$4,'Compliance Database'!$A830='Data Transfer'!$B$5),OR('Data Transfer'!$B$6="",ISNUMBER(SEARCH('Data Transfer'!$B$6,'Compliance Database'!$D830&amp;" "&amp;'Compliance Database'!$K830&amp;" "&amp;'Compliance Database'!$L830&amp;" "&amp;'Compliance Database'!$M830&amp;" "&amp;'Compliance Database'!$N830)))),1,0)</f>
        <v/>
      </c>
      <c r="B830">
        <f>IF($A830=1,SUM($A$2:$A830),"")</f>
        <v/>
      </c>
      <c r="C830">
        <f>IF($A830=1,SUM($A$2:$A830),0)</f>
        <v/>
      </c>
    </row>
    <row r="831">
      <c r="A831">
        <f>IF(AND(OR('Compliance Database'!$A831='Data Transfer'!$B$4,'Compliance Database'!$A831='Data Transfer'!$B$5),OR('Data Transfer'!$B$6="",ISNUMBER(SEARCH('Data Transfer'!$B$6,'Compliance Database'!$D831&amp;" "&amp;'Compliance Database'!$K831&amp;" "&amp;'Compliance Database'!$L831&amp;" "&amp;'Compliance Database'!$M831&amp;" "&amp;'Compliance Database'!$N831)))),1,0)</f>
        <v/>
      </c>
      <c r="B831">
        <f>IF($A831=1,SUM($A$2:$A831),"")</f>
        <v/>
      </c>
      <c r="C831">
        <f>IF($A831=1,SUM($A$2:$A831),0)</f>
        <v/>
      </c>
    </row>
    <row r="832">
      <c r="A832">
        <f>IF(AND(OR('Compliance Database'!$A832='Data Transfer'!$B$4,'Compliance Database'!$A832='Data Transfer'!$B$5),OR('Data Transfer'!$B$6="",ISNUMBER(SEARCH('Data Transfer'!$B$6,'Compliance Database'!$D832&amp;" "&amp;'Compliance Database'!$K832&amp;" "&amp;'Compliance Database'!$L832&amp;" "&amp;'Compliance Database'!$M832&amp;" "&amp;'Compliance Database'!$N832)))),1,0)</f>
        <v/>
      </c>
      <c r="B832">
        <f>IF($A832=1,SUM($A$2:$A832),"")</f>
        <v/>
      </c>
      <c r="C832">
        <f>IF($A832=1,SUM($A$2:$A832),0)</f>
        <v/>
      </c>
    </row>
    <row r="833">
      <c r="A833">
        <f>IF(AND(OR('Compliance Database'!$A833='Data Transfer'!$B$4,'Compliance Database'!$A833='Data Transfer'!$B$5),OR('Data Transfer'!$B$6="",ISNUMBER(SEARCH('Data Transfer'!$B$6,'Compliance Database'!$D833&amp;" "&amp;'Compliance Database'!$K833&amp;" "&amp;'Compliance Database'!$L833&amp;" "&amp;'Compliance Database'!$M833&amp;" "&amp;'Compliance Database'!$N833)))),1,0)</f>
        <v/>
      </c>
      <c r="B833">
        <f>IF($A833=1,SUM($A$2:$A833),"")</f>
        <v/>
      </c>
      <c r="C833">
        <f>IF($A833=1,SUM($A$2:$A833),0)</f>
        <v/>
      </c>
    </row>
    <row r="834">
      <c r="A834">
        <f>IF(AND(OR('Compliance Database'!$A834='Data Transfer'!$B$4,'Compliance Database'!$A834='Data Transfer'!$B$5),OR('Data Transfer'!$B$6="",ISNUMBER(SEARCH('Data Transfer'!$B$6,'Compliance Database'!$D834&amp;" "&amp;'Compliance Database'!$K834&amp;" "&amp;'Compliance Database'!$L834&amp;" "&amp;'Compliance Database'!$M834&amp;" "&amp;'Compliance Database'!$N834)))),1,0)</f>
        <v/>
      </c>
      <c r="B834">
        <f>IF($A834=1,SUM($A$2:$A834),"")</f>
        <v/>
      </c>
      <c r="C834">
        <f>IF($A834=1,SUM($A$2:$A834),0)</f>
        <v/>
      </c>
    </row>
    <row r="835">
      <c r="A835">
        <f>IF(AND(OR('Compliance Database'!$A835='Data Transfer'!$B$4,'Compliance Database'!$A835='Data Transfer'!$B$5),OR('Data Transfer'!$B$6="",ISNUMBER(SEARCH('Data Transfer'!$B$6,'Compliance Database'!$D835&amp;" "&amp;'Compliance Database'!$K835&amp;" "&amp;'Compliance Database'!$L835&amp;" "&amp;'Compliance Database'!$M835&amp;" "&amp;'Compliance Database'!$N835)))),1,0)</f>
        <v/>
      </c>
      <c r="B835">
        <f>IF($A835=1,SUM($A$2:$A835),"")</f>
        <v/>
      </c>
      <c r="C835">
        <f>IF($A835=1,SUM($A$2:$A835),0)</f>
        <v/>
      </c>
    </row>
    <row r="836">
      <c r="A836">
        <f>IF(AND(OR('Compliance Database'!$A836='Data Transfer'!$B$4,'Compliance Database'!$A836='Data Transfer'!$B$5),OR('Data Transfer'!$B$6="",ISNUMBER(SEARCH('Data Transfer'!$B$6,'Compliance Database'!$D836&amp;" "&amp;'Compliance Database'!$K836&amp;" "&amp;'Compliance Database'!$L836&amp;" "&amp;'Compliance Database'!$M836&amp;" "&amp;'Compliance Database'!$N836)))),1,0)</f>
        <v/>
      </c>
      <c r="B836">
        <f>IF($A836=1,SUM($A$2:$A836),"")</f>
        <v/>
      </c>
      <c r="C836">
        <f>IF($A836=1,SUM($A$2:$A836),0)</f>
        <v/>
      </c>
    </row>
    <row r="837">
      <c r="A837">
        <f>IF(AND(OR('Compliance Database'!$A837='Data Transfer'!$B$4,'Compliance Database'!$A837='Data Transfer'!$B$5),OR('Data Transfer'!$B$6="",ISNUMBER(SEARCH('Data Transfer'!$B$6,'Compliance Database'!$D837&amp;" "&amp;'Compliance Database'!$K837&amp;" "&amp;'Compliance Database'!$L837&amp;" "&amp;'Compliance Database'!$M837&amp;" "&amp;'Compliance Database'!$N837)))),1,0)</f>
        <v/>
      </c>
      <c r="B837">
        <f>IF($A837=1,SUM($A$2:$A837),"")</f>
        <v/>
      </c>
      <c r="C837">
        <f>IF($A837=1,SUM($A$2:$A837),0)</f>
        <v/>
      </c>
    </row>
    <row r="838">
      <c r="A838">
        <f>IF(AND(OR('Compliance Database'!$A838='Data Transfer'!$B$4,'Compliance Database'!$A838='Data Transfer'!$B$5),OR('Data Transfer'!$B$6="",ISNUMBER(SEARCH('Data Transfer'!$B$6,'Compliance Database'!$D838&amp;" "&amp;'Compliance Database'!$K838&amp;" "&amp;'Compliance Database'!$L838&amp;" "&amp;'Compliance Database'!$M838&amp;" "&amp;'Compliance Database'!$N838)))),1,0)</f>
        <v/>
      </c>
      <c r="B838">
        <f>IF($A838=1,SUM($A$2:$A838),"")</f>
        <v/>
      </c>
      <c r="C838">
        <f>IF($A838=1,SUM($A$2:$A838),0)</f>
        <v/>
      </c>
    </row>
    <row r="839">
      <c r="A839">
        <f>IF(AND(OR('Compliance Database'!$A839='Data Transfer'!$B$4,'Compliance Database'!$A839='Data Transfer'!$B$5),OR('Data Transfer'!$B$6="",ISNUMBER(SEARCH('Data Transfer'!$B$6,'Compliance Database'!$D839&amp;" "&amp;'Compliance Database'!$K839&amp;" "&amp;'Compliance Database'!$L839&amp;" "&amp;'Compliance Database'!$M839&amp;" "&amp;'Compliance Database'!$N839)))),1,0)</f>
        <v/>
      </c>
      <c r="B839">
        <f>IF($A839=1,SUM($A$2:$A839),"")</f>
        <v/>
      </c>
      <c r="C839">
        <f>IF($A839=1,SUM($A$2:$A839),0)</f>
        <v/>
      </c>
    </row>
    <row r="840">
      <c r="A840">
        <f>IF(AND(OR('Compliance Database'!$A840='Data Transfer'!$B$4,'Compliance Database'!$A840='Data Transfer'!$B$5),OR('Data Transfer'!$B$6="",ISNUMBER(SEARCH('Data Transfer'!$B$6,'Compliance Database'!$D840&amp;" "&amp;'Compliance Database'!$K840&amp;" "&amp;'Compliance Database'!$L840&amp;" "&amp;'Compliance Database'!$M840&amp;" "&amp;'Compliance Database'!$N840)))),1,0)</f>
        <v/>
      </c>
      <c r="B840">
        <f>IF($A840=1,SUM($A$2:$A840),"")</f>
        <v/>
      </c>
      <c r="C840">
        <f>IF($A840=1,SUM($A$2:$A840),0)</f>
        <v/>
      </c>
    </row>
    <row r="841">
      <c r="A841">
        <f>IF(AND(OR('Compliance Database'!$A841='Data Transfer'!$B$4,'Compliance Database'!$A841='Data Transfer'!$B$5),OR('Data Transfer'!$B$6="",ISNUMBER(SEARCH('Data Transfer'!$B$6,'Compliance Database'!$D841&amp;" "&amp;'Compliance Database'!$K841&amp;" "&amp;'Compliance Database'!$L841&amp;" "&amp;'Compliance Database'!$M841&amp;" "&amp;'Compliance Database'!$N841)))),1,0)</f>
        <v/>
      </c>
      <c r="B841">
        <f>IF($A841=1,SUM($A$2:$A841),"")</f>
        <v/>
      </c>
      <c r="C841">
        <f>IF($A841=1,SUM($A$2:$A841),0)</f>
        <v/>
      </c>
    </row>
    <row r="842">
      <c r="A842">
        <f>IF(AND(OR('Compliance Database'!$A842='Data Transfer'!$B$4,'Compliance Database'!$A842='Data Transfer'!$B$5),OR('Data Transfer'!$B$6="",ISNUMBER(SEARCH('Data Transfer'!$B$6,'Compliance Database'!$D842&amp;" "&amp;'Compliance Database'!$K842&amp;" "&amp;'Compliance Database'!$L842&amp;" "&amp;'Compliance Database'!$M842&amp;" "&amp;'Compliance Database'!$N842)))),1,0)</f>
        <v/>
      </c>
      <c r="B842">
        <f>IF($A842=1,SUM($A$2:$A842),"")</f>
        <v/>
      </c>
      <c r="C842">
        <f>IF($A842=1,SUM($A$2:$A842),0)</f>
        <v/>
      </c>
    </row>
    <row r="843">
      <c r="A843">
        <f>IF(AND(OR('Compliance Database'!$A843='Data Transfer'!$B$4,'Compliance Database'!$A843='Data Transfer'!$B$5),OR('Data Transfer'!$B$6="",ISNUMBER(SEARCH('Data Transfer'!$B$6,'Compliance Database'!$D843&amp;" "&amp;'Compliance Database'!$K843&amp;" "&amp;'Compliance Database'!$L843&amp;" "&amp;'Compliance Database'!$M843&amp;" "&amp;'Compliance Database'!$N843)))),1,0)</f>
        <v/>
      </c>
      <c r="B843">
        <f>IF($A843=1,SUM($A$2:$A843),"")</f>
        <v/>
      </c>
      <c r="C843">
        <f>IF($A843=1,SUM($A$2:$A843),0)</f>
        <v/>
      </c>
    </row>
    <row r="844">
      <c r="A844">
        <f>IF(AND(OR('Compliance Database'!$A844='Data Transfer'!$B$4,'Compliance Database'!$A844='Data Transfer'!$B$5),OR('Data Transfer'!$B$6="",ISNUMBER(SEARCH('Data Transfer'!$B$6,'Compliance Database'!$D844&amp;" "&amp;'Compliance Database'!$K844&amp;" "&amp;'Compliance Database'!$L844&amp;" "&amp;'Compliance Database'!$M844&amp;" "&amp;'Compliance Database'!$N844)))),1,0)</f>
        <v/>
      </c>
      <c r="B844">
        <f>IF($A844=1,SUM($A$2:$A844),"")</f>
        <v/>
      </c>
      <c r="C844">
        <f>IF($A844=1,SUM($A$2:$A844),0)</f>
        <v/>
      </c>
    </row>
    <row r="845">
      <c r="A845">
        <f>IF(AND(OR('Compliance Database'!$A845='Data Transfer'!$B$4,'Compliance Database'!$A845='Data Transfer'!$B$5),OR('Data Transfer'!$B$6="",ISNUMBER(SEARCH('Data Transfer'!$B$6,'Compliance Database'!$D845&amp;" "&amp;'Compliance Database'!$K845&amp;" "&amp;'Compliance Database'!$L845&amp;" "&amp;'Compliance Database'!$M845&amp;" "&amp;'Compliance Database'!$N845)))),1,0)</f>
        <v/>
      </c>
      <c r="B845">
        <f>IF($A845=1,SUM($A$2:$A845),"")</f>
        <v/>
      </c>
      <c r="C845">
        <f>IF($A845=1,SUM($A$2:$A845),0)</f>
        <v/>
      </c>
    </row>
    <row r="846">
      <c r="A846">
        <f>IF(AND(OR('Compliance Database'!$A846='Data Transfer'!$B$4,'Compliance Database'!$A846='Data Transfer'!$B$5),OR('Data Transfer'!$B$6="",ISNUMBER(SEARCH('Data Transfer'!$B$6,'Compliance Database'!$D846&amp;" "&amp;'Compliance Database'!$K846&amp;" "&amp;'Compliance Database'!$L846&amp;" "&amp;'Compliance Database'!$M846&amp;" "&amp;'Compliance Database'!$N846)))),1,0)</f>
        <v/>
      </c>
      <c r="B846">
        <f>IF($A846=1,SUM($A$2:$A846),"")</f>
        <v/>
      </c>
      <c r="C846">
        <f>IF($A846=1,SUM($A$2:$A846),0)</f>
        <v/>
      </c>
    </row>
    <row r="847">
      <c r="A847">
        <f>IF(AND(OR('Compliance Database'!$A847='Data Transfer'!$B$4,'Compliance Database'!$A847='Data Transfer'!$B$5),OR('Data Transfer'!$B$6="",ISNUMBER(SEARCH('Data Transfer'!$B$6,'Compliance Database'!$D847&amp;" "&amp;'Compliance Database'!$K847&amp;" "&amp;'Compliance Database'!$L847&amp;" "&amp;'Compliance Database'!$M847&amp;" "&amp;'Compliance Database'!$N847)))),1,0)</f>
        <v/>
      </c>
      <c r="B847">
        <f>IF($A847=1,SUM($A$2:$A847),"")</f>
        <v/>
      </c>
      <c r="C847">
        <f>IF($A847=1,SUM($A$2:$A847),0)</f>
        <v/>
      </c>
    </row>
    <row r="848">
      <c r="A848">
        <f>IF(AND(OR('Compliance Database'!$A848='Data Transfer'!$B$4,'Compliance Database'!$A848='Data Transfer'!$B$5),OR('Data Transfer'!$B$6="",ISNUMBER(SEARCH('Data Transfer'!$B$6,'Compliance Database'!$D848&amp;" "&amp;'Compliance Database'!$K848&amp;" "&amp;'Compliance Database'!$L848&amp;" "&amp;'Compliance Database'!$M848&amp;" "&amp;'Compliance Database'!$N848)))),1,0)</f>
        <v/>
      </c>
      <c r="B848">
        <f>IF($A848=1,SUM($A$2:$A848),"")</f>
        <v/>
      </c>
      <c r="C848">
        <f>IF($A848=1,SUM($A$2:$A848),0)</f>
        <v/>
      </c>
    </row>
    <row r="849">
      <c r="A849">
        <f>IF(AND(OR('Compliance Database'!$A849='Data Transfer'!$B$4,'Compliance Database'!$A849='Data Transfer'!$B$5),OR('Data Transfer'!$B$6="",ISNUMBER(SEARCH('Data Transfer'!$B$6,'Compliance Database'!$D849&amp;" "&amp;'Compliance Database'!$K849&amp;" "&amp;'Compliance Database'!$L849&amp;" "&amp;'Compliance Database'!$M849&amp;" "&amp;'Compliance Database'!$N849)))),1,0)</f>
        <v/>
      </c>
      <c r="B849">
        <f>IF($A849=1,SUM($A$2:$A849),"")</f>
        <v/>
      </c>
      <c r="C849">
        <f>IF($A849=1,SUM($A$2:$A849),0)</f>
        <v/>
      </c>
    </row>
    <row r="850">
      <c r="A850">
        <f>IF(AND(OR('Compliance Database'!$A850='Data Transfer'!$B$4,'Compliance Database'!$A850='Data Transfer'!$B$5),OR('Data Transfer'!$B$6="",ISNUMBER(SEARCH('Data Transfer'!$B$6,'Compliance Database'!$D850&amp;" "&amp;'Compliance Database'!$K850&amp;" "&amp;'Compliance Database'!$L850&amp;" "&amp;'Compliance Database'!$M850&amp;" "&amp;'Compliance Database'!$N850)))),1,0)</f>
        <v/>
      </c>
      <c r="B850">
        <f>IF($A850=1,SUM($A$2:$A850),"")</f>
        <v/>
      </c>
      <c r="C850">
        <f>IF($A850=1,SUM($A$2:$A850),0)</f>
        <v/>
      </c>
    </row>
    <row r="851">
      <c r="A851">
        <f>IF(AND(OR('Compliance Database'!$A851='Data Transfer'!$B$4,'Compliance Database'!$A851='Data Transfer'!$B$5),OR('Data Transfer'!$B$6="",ISNUMBER(SEARCH('Data Transfer'!$B$6,'Compliance Database'!$D851&amp;" "&amp;'Compliance Database'!$K851&amp;" "&amp;'Compliance Database'!$L851&amp;" "&amp;'Compliance Database'!$M851&amp;" "&amp;'Compliance Database'!$N851)))),1,0)</f>
        <v/>
      </c>
      <c r="B851">
        <f>IF($A851=1,SUM($A$2:$A851),"")</f>
        <v/>
      </c>
      <c r="C851">
        <f>IF($A851=1,SUM($A$2:$A851),0)</f>
        <v/>
      </c>
    </row>
    <row r="852">
      <c r="A852">
        <f>IF(AND(OR('Compliance Database'!$A852='Data Transfer'!$B$4,'Compliance Database'!$A852='Data Transfer'!$B$5),OR('Data Transfer'!$B$6="",ISNUMBER(SEARCH('Data Transfer'!$B$6,'Compliance Database'!$D852&amp;" "&amp;'Compliance Database'!$K852&amp;" "&amp;'Compliance Database'!$L852&amp;" "&amp;'Compliance Database'!$M852&amp;" "&amp;'Compliance Database'!$N852)))),1,0)</f>
        <v/>
      </c>
      <c r="B852">
        <f>IF($A852=1,SUM($A$2:$A852),"")</f>
        <v/>
      </c>
      <c r="C852">
        <f>IF($A852=1,SUM($A$2:$A852),0)</f>
        <v/>
      </c>
    </row>
    <row r="853">
      <c r="A853">
        <f>IF(AND(OR('Compliance Database'!$A853='Data Transfer'!$B$4,'Compliance Database'!$A853='Data Transfer'!$B$5),OR('Data Transfer'!$B$6="",ISNUMBER(SEARCH('Data Transfer'!$B$6,'Compliance Database'!$D853&amp;" "&amp;'Compliance Database'!$K853&amp;" "&amp;'Compliance Database'!$L853&amp;" "&amp;'Compliance Database'!$M853&amp;" "&amp;'Compliance Database'!$N853)))),1,0)</f>
        <v/>
      </c>
      <c r="B853">
        <f>IF($A853=1,SUM($A$2:$A853),"")</f>
        <v/>
      </c>
      <c r="C853">
        <f>IF($A853=1,SUM($A$2:$A853),0)</f>
        <v/>
      </c>
    </row>
    <row r="854">
      <c r="A854">
        <f>IF(AND(OR('Compliance Database'!$A854='Data Transfer'!$B$4,'Compliance Database'!$A854='Data Transfer'!$B$5),OR('Data Transfer'!$B$6="",ISNUMBER(SEARCH('Data Transfer'!$B$6,'Compliance Database'!$D854&amp;" "&amp;'Compliance Database'!$K854&amp;" "&amp;'Compliance Database'!$L854&amp;" "&amp;'Compliance Database'!$M854&amp;" "&amp;'Compliance Database'!$N854)))),1,0)</f>
        <v/>
      </c>
      <c r="B854">
        <f>IF($A854=1,SUM($A$2:$A854),"")</f>
        <v/>
      </c>
      <c r="C854">
        <f>IF($A854=1,SUM($A$2:$A854),0)</f>
        <v/>
      </c>
    </row>
    <row r="855">
      <c r="A855">
        <f>IF(AND(OR('Compliance Database'!$A855='Data Transfer'!$B$4,'Compliance Database'!$A855='Data Transfer'!$B$5),OR('Data Transfer'!$B$6="",ISNUMBER(SEARCH('Data Transfer'!$B$6,'Compliance Database'!$D855&amp;" "&amp;'Compliance Database'!$K855&amp;" "&amp;'Compliance Database'!$L855&amp;" "&amp;'Compliance Database'!$M855&amp;" "&amp;'Compliance Database'!$N855)))),1,0)</f>
        <v/>
      </c>
      <c r="B855">
        <f>IF($A855=1,SUM($A$2:$A855),"")</f>
        <v/>
      </c>
      <c r="C855">
        <f>IF($A855=1,SUM($A$2:$A855),0)</f>
        <v/>
      </c>
    </row>
    <row r="856">
      <c r="A856">
        <f>IF(AND(OR('Compliance Database'!$A856='Data Transfer'!$B$4,'Compliance Database'!$A856='Data Transfer'!$B$5),OR('Data Transfer'!$B$6="",ISNUMBER(SEARCH('Data Transfer'!$B$6,'Compliance Database'!$D856&amp;" "&amp;'Compliance Database'!$K856&amp;" "&amp;'Compliance Database'!$L856&amp;" "&amp;'Compliance Database'!$M856&amp;" "&amp;'Compliance Database'!$N856)))),1,0)</f>
        <v/>
      </c>
      <c r="B856">
        <f>IF($A856=1,SUM($A$2:$A856),"")</f>
        <v/>
      </c>
      <c r="C856">
        <f>IF($A856=1,SUM($A$2:$A856),0)</f>
        <v/>
      </c>
    </row>
    <row r="857">
      <c r="A857">
        <f>IF(AND(OR('Compliance Database'!$A857='Data Transfer'!$B$4,'Compliance Database'!$A857='Data Transfer'!$B$5),OR('Data Transfer'!$B$6="",ISNUMBER(SEARCH('Data Transfer'!$B$6,'Compliance Database'!$D857&amp;" "&amp;'Compliance Database'!$K857&amp;" "&amp;'Compliance Database'!$L857&amp;" "&amp;'Compliance Database'!$M857&amp;" "&amp;'Compliance Database'!$N857)))),1,0)</f>
        <v/>
      </c>
      <c r="B857">
        <f>IF($A857=1,SUM($A$2:$A857),"")</f>
        <v/>
      </c>
      <c r="C857">
        <f>IF($A857=1,SUM($A$2:$A857),0)</f>
        <v/>
      </c>
    </row>
    <row r="858">
      <c r="A858">
        <f>IF(AND(OR('Compliance Database'!$A858='Data Transfer'!$B$4,'Compliance Database'!$A858='Data Transfer'!$B$5),OR('Data Transfer'!$B$6="",ISNUMBER(SEARCH('Data Transfer'!$B$6,'Compliance Database'!$D858&amp;" "&amp;'Compliance Database'!$K858&amp;" "&amp;'Compliance Database'!$L858&amp;" "&amp;'Compliance Database'!$M858&amp;" "&amp;'Compliance Database'!$N858)))),1,0)</f>
        <v/>
      </c>
      <c r="B858">
        <f>IF($A858=1,SUM($A$2:$A858),"")</f>
        <v/>
      </c>
      <c r="C858">
        <f>IF($A858=1,SUM($A$2:$A858),0)</f>
        <v/>
      </c>
    </row>
    <row r="859">
      <c r="A859">
        <f>IF(AND(OR('Compliance Database'!$A859='Data Transfer'!$B$4,'Compliance Database'!$A859='Data Transfer'!$B$5),OR('Data Transfer'!$B$6="",ISNUMBER(SEARCH('Data Transfer'!$B$6,'Compliance Database'!$D859&amp;" "&amp;'Compliance Database'!$K859&amp;" "&amp;'Compliance Database'!$L859&amp;" "&amp;'Compliance Database'!$M859&amp;" "&amp;'Compliance Database'!$N859)))),1,0)</f>
        <v/>
      </c>
      <c r="B859">
        <f>IF($A859=1,SUM($A$2:$A859),"")</f>
        <v/>
      </c>
      <c r="C859">
        <f>IF($A859=1,SUM($A$2:$A859),0)</f>
        <v/>
      </c>
    </row>
    <row r="860">
      <c r="A860">
        <f>IF(AND(OR('Compliance Database'!$A860='Data Transfer'!$B$4,'Compliance Database'!$A860='Data Transfer'!$B$5),OR('Data Transfer'!$B$6="",ISNUMBER(SEARCH('Data Transfer'!$B$6,'Compliance Database'!$D860&amp;" "&amp;'Compliance Database'!$K860&amp;" "&amp;'Compliance Database'!$L860&amp;" "&amp;'Compliance Database'!$M860&amp;" "&amp;'Compliance Database'!$N860)))),1,0)</f>
        <v/>
      </c>
      <c r="B860">
        <f>IF($A860=1,SUM($A$2:$A860),"")</f>
        <v/>
      </c>
      <c r="C860">
        <f>IF($A860=1,SUM($A$2:$A860),0)</f>
        <v/>
      </c>
    </row>
    <row r="861">
      <c r="A861">
        <f>IF(AND(OR('Compliance Database'!$A861='Data Transfer'!$B$4,'Compliance Database'!$A861='Data Transfer'!$B$5),OR('Data Transfer'!$B$6="",ISNUMBER(SEARCH('Data Transfer'!$B$6,'Compliance Database'!$D861&amp;" "&amp;'Compliance Database'!$K861&amp;" "&amp;'Compliance Database'!$L861&amp;" "&amp;'Compliance Database'!$M861&amp;" "&amp;'Compliance Database'!$N861)))),1,0)</f>
        <v/>
      </c>
      <c r="B861">
        <f>IF($A861=1,SUM($A$2:$A861),"")</f>
        <v/>
      </c>
      <c r="C861">
        <f>IF($A861=1,SUM($A$2:$A861),0)</f>
        <v/>
      </c>
    </row>
    <row r="862">
      <c r="A862">
        <f>IF(AND(OR('Compliance Database'!$A862='Data Transfer'!$B$4,'Compliance Database'!$A862='Data Transfer'!$B$5),OR('Data Transfer'!$B$6="",ISNUMBER(SEARCH('Data Transfer'!$B$6,'Compliance Database'!$D862&amp;" "&amp;'Compliance Database'!$K862&amp;" "&amp;'Compliance Database'!$L862&amp;" "&amp;'Compliance Database'!$M862&amp;" "&amp;'Compliance Database'!$N862)))),1,0)</f>
        <v/>
      </c>
      <c r="B862">
        <f>IF($A862=1,SUM($A$2:$A862),"")</f>
        <v/>
      </c>
      <c r="C862">
        <f>IF($A862=1,SUM($A$2:$A862),0)</f>
        <v/>
      </c>
    </row>
    <row r="863">
      <c r="A863">
        <f>IF(AND(OR('Compliance Database'!$A863='Data Transfer'!$B$4,'Compliance Database'!$A863='Data Transfer'!$B$5),OR('Data Transfer'!$B$6="",ISNUMBER(SEARCH('Data Transfer'!$B$6,'Compliance Database'!$D863&amp;" "&amp;'Compliance Database'!$K863&amp;" "&amp;'Compliance Database'!$L863&amp;" "&amp;'Compliance Database'!$M863&amp;" "&amp;'Compliance Database'!$N863)))),1,0)</f>
        <v/>
      </c>
      <c r="B863">
        <f>IF($A863=1,SUM($A$2:$A863),"")</f>
        <v/>
      </c>
      <c r="C863">
        <f>IF($A863=1,SUM($A$2:$A863),0)</f>
        <v/>
      </c>
    </row>
    <row r="864">
      <c r="A864">
        <f>IF(AND(OR('Compliance Database'!$A864='Data Transfer'!$B$4,'Compliance Database'!$A864='Data Transfer'!$B$5),OR('Data Transfer'!$B$6="",ISNUMBER(SEARCH('Data Transfer'!$B$6,'Compliance Database'!$D864&amp;" "&amp;'Compliance Database'!$K864&amp;" "&amp;'Compliance Database'!$L864&amp;" "&amp;'Compliance Database'!$M864&amp;" "&amp;'Compliance Database'!$N864)))),1,0)</f>
        <v/>
      </c>
      <c r="B864">
        <f>IF($A864=1,SUM($A$2:$A864),"")</f>
        <v/>
      </c>
      <c r="C864">
        <f>IF($A864=1,SUM($A$2:$A864),0)</f>
        <v/>
      </c>
    </row>
    <row r="865">
      <c r="A865">
        <f>IF(AND(OR('Compliance Database'!$A865='Data Transfer'!$B$4,'Compliance Database'!$A865='Data Transfer'!$B$5),OR('Data Transfer'!$B$6="",ISNUMBER(SEARCH('Data Transfer'!$B$6,'Compliance Database'!$D865&amp;" "&amp;'Compliance Database'!$K865&amp;" "&amp;'Compliance Database'!$L865&amp;" "&amp;'Compliance Database'!$M865&amp;" "&amp;'Compliance Database'!$N865)))),1,0)</f>
        <v/>
      </c>
      <c r="B865">
        <f>IF($A865=1,SUM($A$2:$A865),"")</f>
        <v/>
      </c>
      <c r="C865">
        <f>IF($A865=1,SUM($A$2:$A865),0)</f>
        <v/>
      </c>
    </row>
    <row r="866">
      <c r="A866">
        <f>IF(AND(OR('Compliance Database'!$A866='Data Transfer'!$B$4,'Compliance Database'!$A866='Data Transfer'!$B$5),OR('Data Transfer'!$B$6="",ISNUMBER(SEARCH('Data Transfer'!$B$6,'Compliance Database'!$D866&amp;" "&amp;'Compliance Database'!$K866&amp;" "&amp;'Compliance Database'!$L866&amp;" "&amp;'Compliance Database'!$M866&amp;" "&amp;'Compliance Database'!$N866)))),1,0)</f>
        <v/>
      </c>
      <c r="B866">
        <f>IF($A866=1,SUM($A$2:$A866),"")</f>
        <v/>
      </c>
      <c r="C866">
        <f>IF($A866=1,SUM($A$2:$A866),0)</f>
        <v/>
      </c>
    </row>
    <row r="867">
      <c r="A867">
        <f>IF(AND(OR('Compliance Database'!$A867='Data Transfer'!$B$4,'Compliance Database'!$A867='Data Transfer'!$B$5),OR('Data Transfer'!$B$6="",ISNUMBER(SEARCH('Data Transfer'!$B$6,'Compliance Database'!$D867&amp;" "&amp;'Compliance Database'!$K867&amp;" "&amp;'Compliance Database'!$L867&amp;" "&amp;'Compliance Database'!$M867&amp;" "&amp;'Compliance Database'!$N867)))),1,0)</f>
        <v/>
      </c>
      <c r="B867">
        <f>IF($A867=1,SUM($A$2:$A867),"")</f>
        <v/>
      </c>
      <c r="C867">
        <f>IF($A867=1,SUM($A$2:$A867),0)</f>
        <v/>
      </c>
    </row>
    <row r="868">
      <c r="A868">
        <f>IF(AND(OR('Compliance Database'!$A868='Data Transfer'!$B$4,'Compliance Database'!$A868='Data Transfer'!$B$5),OR('Data Transfer'!$B$6="",ISNUMBER(SEARCH('Data Transfer'!$B$6,'Compliance Database'!$D868&amp;" "&amp;'Compliance Database'!$K868&amp;" "&amp;'Compliance Database'!$L868&amp;" "&amp;'Compliance Database'!$M868&amp;" "&amp;'Compliance Database'!$N868)))),1,0)</f>
        <v/>
      </c>
      <c r="B868">
        <f>IF($A868=1,SUM($A$2:$A868),"")</f>
        <v/>
      </c>
      <c r="C868">
        <f>IF($A868=1,SUM($A$2:$A868),0)</f>
        <v/>
      </c>
    </row>
    <row r="869">
      <c r="A869">
        <f>IF(AND(OR('Compliance Database'!$A869='Data Transfer'!$B$4,'Compliance Database'!$A869='Data Transfer'!$B$5),OR('Data Transfer'!$B$6="",ISNUMBER(SEARCH('Data Transfer'!$B$6,'Compliance Database'!$D869&amp;" "&amp;'Compliance Database'!$K869&amp;" "&amp;'Compliance Database'!$L869&amp;" "&amp;'Compliance Database'!$M869&amp;" "&amp;'Compliance Database'!$N869)))),1,0)</f>
        <v/>
      </c>
      <c r="B869">
        <f>IF($A869=1,SUM($A$2:$A869),"")</f>
        <v/>
      </c>
      <c r="C869">
        <f>IF($A869=1,SUM($A$2:$A869),0)</f>
        <v/>
      </c>
    </row>
    <row r="870">
      <c r="A870">
        <f>IF(AND(OR('Compliance Database'!$A870='Data Transfer'!$B$4,'Compliance Database'!$A870='Data Transfer'!$B$5),OR('Data Transfer'!$B$6="",ISNUMBER(SEARCH('Data Transfer'!$B$6,'Compliance Database'!$D870&amp;" "&amp;'Compliance Database'!$K870&amp;" "&amp;'Compliance Database'!$L870&amp;" "&amp;'Compliance Database'!$M870&amp;" "&amp;'Compliance Database'!$N870)))),1,0)</f>
        <v/>
      </c>
      <c r="B870">
        <f>IF($A870=1,SUM($A$2:$A870),"")</f>
        <v/>
      </c>
      <c r="C870">
        <f>IF($A870=1,SUM($A$2:$A870),0)</f>
        <v/>
      </c>
    </row>
    <row r="871">
      <c r="A871">
        <f>IF(AND(OR('Compliance Database'!$A871='Data Transfer'!$B$4,'Compliance Database'!$A871='Data Transfer'!$B$5),OR('Data Transfer'!$B$6="",ISNUMBER(SEARCH('Data Transfer'!$B$6,'Compliance Database'!$D871&amp;" "&amp;'Compliance Database'!$K871&amp;" "&amp;'Compliance Database'!$L871&amp;" "&amp;'Compliance Database'!$M871&amp;" "&amp;'Compliance Database'!$N871)))),1,0)</f>
        <v/>
      </c>
      <c r="B871">
        <f>IF($A871=1,SUM($A$2:$A871),"")</f>
        <v/>
      </c>
      <c r="C871">
        <f>IF($A871=1,SUM($A$2:$A871),0)</f>
        <v/>
      </c>
    </row>
    <row r="872">
      <c r="A872">
        <f>IF(AND(OR('Compliance Database'!$A872='Data Transfer'!$B$4,'Compliance Database'!$A872='Data Transfer'!$B$5),OR('Data Transfer'!$B$6="",ISNUMBER(SEARCH('Data Transfer'!$B$6,'Compliance Database'!$D872&amp;" "&amp;'Compliance Database'!$K872&amp;" "&amp;'Compliance Database'!$L872&amp;" "&amp;'Compliance Database'!$M872&amp;" "&amp;'Compliance Database'!$N872)))),1,0)</f>
        <v/>
      </c>
      <c r="B872">
        <f>IF($A872=1,SUM($A$2:$A872),"")</f>
        <v/>
      </c>
      <c r="C872">
        <f>IF($A872=1,SUM($A$2:$A872),0)</f>
        <v/>
      </c>
    </row>
    <row r="873">
      <c r="A873">
        <f>IF(AND(OR('Compliance Database'!$A873='Data Transfer'!$B$4,'Compliance Database'!$A873='Data Transfer'!$B$5),OR('Data Transfer'!$B$6="",ISNUMBER(SEARCH('Data Transfer'!$B$6,'Compliance Database'!$D873&amp;" "&amp;'Compliance Database'!$K873&amp;" "&amp;'Compliance Database'!$L873&amp;" "&amp;'Compliance Database'!$M873&amp;" "&amp;'Compliance Database'!$N873)))),1,0)</f>
        <v/>
      </c>
      <c r="B873">
        <f>IF($A873=1,SUM($A$2:$A873),"")</f>
        <v/>
      </c>
      <c r="C873">
        <f>IF($A873=1,SUM($A$2:$A873),0)</f>
        <v/>
      </c>
    </row>
    <row r="874">
      <c r="A874">
        <f>IF(AND(OR('Compliance Database'!$A874='Data Transfer'!$B$4,'Compliance Database'!$A874='Data Transfer'!$B$5),OR('Data Transfer'!$B$6="",ISNUMBER(SEARCH('Data Transfer'!$B$6,'Compliance Database'!$D874&amp;" "&amp;'Compliance Database'!$K874&amp;" "&amp;'Compliance Database'!$L874&amp;" "&amp;'Compliance Database'!$M874&amp;" "&amp;'Compliance Database'!$N874)))),1,0)</f>
        <v/>
      </c>
      <c r="B874">
        <f>IF($A874=1,SUM($A$2:$A874),"")</f>
        <v/>
      </c>
      <c r="C874">
        <f>IF($A874=1,SUM($A$2:$A874),0)</f>
        <v/>
      </c>
    </row>
    <row r="875">
      <c r="A875">
        <f>IF(AND(OR('Compliance Database'!$A875='Data Transfer'!$B$4,'Compliance Database'!$A875='Data Transfer'!$B$5),OR('Data Transfer'!$B$6="",ISNUMBER(SEARCH('Data Transfer'!$B$6,'Compliance Database'!$D875&amp;" "&amp;'Compliance Database'!$K875&amp;" "&amp;'Compliance Database'!$L875&amp;" "&amp;'Compliance Database'!$M875&amp;" "&amp;'Compliance Database'!$N875)))),1,0)</f>
        <v/>
      </c>
      <c r="B875">
        <f>IF($A875=1,SUM($A$2:$A875),"")</f>
        <v/>
      </c>
      <c r="C875">
        <f>IF($A875=1,SUM($A$2:$A875),0)</f>
        <v/>
      </c>
    </row>
    <row r="876">
      <c r="A876">
        <f>IF(AND(OR('Compliance Database'!$A876='Data Transfer'!$B$4,'Compliance Database'!$A876='Data Transfer'!$B$5),OR('Data Transfer'!$B$6="",ISNUMBER(SEARCH('Data Transfer'!$B$6,'Compliance Database'!$D876&amp;" "&amp;'Compliance Database'!$K876&amp;" "&amp;'Compliance Database'!$L876&amp;" "&amp;'Compliance Database'!$M876&amp;" "&amp;'Compliance Database'!$N876)))),1,0)</f>
        <v/>
      </c>
      <c r="B876">
        <f>IF($A876=1,SUM($A$2:$A876),"")</f>
        <v/>
      </c>
      <c r="C876">
        <f>IF($A876=1,SUM($A$2:$A876),0)</f>
        <v/>
      </c>
    </row>
    <row r="877">
      <c r="A877">
        <f>IF(AND(OR('Compliance Database'!$A877='Data Transfer'!$B$4,'Compliance Database'!$A877='Data Transfer'!$B$5),OR('Data Transfer'!$B$6="",ISNUMBER(SEARCH('Data Transfer'!$B$6,'Compliance Database'!$D877&amp;" "&amp;'Compliance Database'!$K877&amp;" "&amp;'Compliance Database'!$L877&amp;" "&amp;'Compliance Database'!$M877&amp;" "&amp;'Compliance Database'!$N877)))),1,0)</f>
        <v/>
      </c>
      <c r="B877">
        <f>IF($A877=1,SUM($A$2:$A877),"")</f>
        <v/>
      </c>
      <c r="C877">
        <f>IF($A877=1,SUM($A$2:$A877),0)</f>
        <v/>
      </c>
    </row>
    <row r="878">
      <c r="A878">
        <f>IF(AND(OR('Compliance Database'!$A878='Data Transfer'!$B$4,'Compliance Database'!$A878='Data Transfer'!$B$5),OR('Data Transfer'!$B$6="",ISNUMBER(SEARCH('Data Transfer'!$B$6,'Compliance Database'!$D878&amp;" "&amp;'Compliance Database'!$K878&amp;" "&amp;'Compliance Database'!$L878&amp;" "&amp;'Compliance Database'!$M878&amp;" "&amp;'Compliance Database'!$N878)))),1,0)</f>
        <v/>
      </c>
      <c r="B878">
        <f>IF($A878=1,SUM($A$2:$A878),"")</f>
        <v/>
      </c>
      <c r="C878">
        <f>IF($A878=1,SUM($A$2:$A878),0)</f>
        <v/>
      </c>
    </row>
    <row r="879">
      <c r="A879">
        <f>IF(AND(OR('Compliance Database'!$A879='Data Transfer'!$B$4,'Compliance Database'!$A879='Data Transfer'!$B$5),OR('Data Transfer'!$B$6="",ISNUMBER(SEARCH('Data Transfer'!$B$6,'Compliance Database'!$D879&amp;" "&amp;'Compliance Database'!$K879&amp;" "&amp;'Compliance Database'!$L879&amp;" "&amp;'Compliance Database'!$M879&amp;" "&amp;'Compliance Database'!$N879)))),1,0)</f>
        <v/>
      </c>
      <c r="B879">
        <f>IF($A879=1,SUM($A$2:$A879),"")</f>
        <v/>
      </c>
      <c r="C879">
        <f>IF($A879=1,SUM($A$2:$A879),0)</f>
        <v/>
      </c>
    </row>
    <row r="880">
      <c r="A880">
        <f>IF(AND(OR('Compliance Database'!$A880='Data Transfer'!$B$4,'Compliance Database'!$A880='Data Transfer'!$B$5),OR('Data Transfer'!$B$6="",ISNUMBER(SEARCH('Data Transfer'!$B$6,'Compliance Database'!$D880&amp;" "&amp;'Compliance Database'!$K880&amp;" "&amp;'Compliance Database'!$L880&amp;" "&amp;'Compliance Database'!$M880&amp;" "&amp;'Compliance Database'!$N880)))),1,0)</f>
        <v/>
      </c>
      <c r="B880">
        <f>IF($A880=1,SUM($A$2:$A880),"")</f>
        <v/>
      </c>
      <c r="C880">
        <f>IF($A880=1,SUM($A$2:$A880),0)</f>
        <v/>
      </c>
    </row>
    <row r="881">
      <c r="A881">
        <f>IF(AND(OR('Compliance Database'!$A881='Data Transfer'!$B$4,'Compliance Database'!$A881='Data Transfer'!$B$5),OR('Data Transfer'!$B$6="",ISNUMBER(SEARCH('Data Transfer'!$B$6,'Compliance Database'!$D881&amp;" "&amp;'Compliance Database'!$K881&amp;" "&amp;'Compliance Database'!$L881&amp;" "&amp;'Compliance Database'!$M881&amp;" "&amp;'Compliance Database'!$N881)))),1,0)</f>
        <v/>
      </c>
      <c r="B881">
        <f>IF($A881=1,SUM($A$2:$A881),"")</f>
        <v/>
      </c>
      <c r="C881">
        <f>IF($A881=1,SUM($A$2:$A881),0)</f>
        <v/>
      </c>
    </row>
    <row r="882">
      <c r="A882">
        <f>IF(AND(OR('Compliance Database'!$A882='Data Transfer'!$B$4,'Compliance Database'!$A882='Data Transfer'!$B$5),OR('Data Transfer'!$B$6="",ISNUMBER(SEARCH('Data Transfer'!$B$6,'Compliance Database'!$D882&amp;" "&amp;'Compliance Database'!$K882&amp;" "&amp;'Compliance Database'!$L882&amp;" "&amp;'Compliance Database'!$M882&amp;" "&amp;'Compliance Database'!$N882)))),1,0)</f>
        <v/>
      </c>
      <c r="B882">
        <f>IF($A882=1,SUM($A$2:$A882),"")</f>
        <v/>
      </c>
      <c r="C882">
        <f>IF($A882=1,SUM($A$2:$A882),0)</f>
        <v/>
      </c>
    </row>
    <row r="883">
      <c r="A883">
        <f>IF(AND(OR('Compliance Database'!$A883='Data Transfer'!$B$4,'Compliance Database'!$A883='Data Transfer'!$B$5),OR('Data Transfer'!$B$6="",ISNUMBER(SEARCH('Data Transfer'!$B$6,'Compliance Database'!$D883&amp;" "&amp;'Compliance Database'!$K883&amp;" "&amp;'Compliance Database'!$L883&amp;" "&amp;'Compliance Database'!$M883&amp;" "&amp;'Compliance Database'!$N883)))),1,0)</f>
        <v/>
      </c>
      <c r="B883">
        <f>IF($A883=1,SUM($A$2:$A883),"")</f>
        <v/>
      </c>
      <c r="C883">
        <f>IF($A883=1,SUM($A$2:$A883),0)</f>
        <v/>
      </c>
    </row>
    <row r="884">
      <c r="A884">
        <f>IF(AND(OR('Compliance Database'!$A884='Data Transfer'!$B$4,'Compliance Database'!$A884='Data Transfer'!$B$5),OR('Data Transfer'!$B$6="",ISNUMBER(SEARCH('Data Transfer'!$B$6,'Compliance Database'!$D884&amp;" "&amp;'Compliance Database'!$K884&amp;" "&amp;'Compliance Database'!$L884&amp;" "&amp;'Compliance Database'!$M884&amp;" "&amp;'Compliance Database'!$N884)))),1,0)</f>
        <v/>
      </c>
      <c r="B884">
        <f>IF($A884=1,SUM($A$2:$A884),"")</f>
        <v/>
      </c>
      <c r="C884">
        <f>IF($A884=1,SUM($A$2:$A884),0)</f>
        <v/>
      </c>
    </row>
    <row r="885">
      <c r="A885">
        <f>IF(AND(OR('Compliance Database'!$A885='Data Transfer'!$B$4,'Compliance Database'!$A885='Data Transfer'!$B$5),OR('Data Transfer'!$B$6="",ISNUMBER(SEARCH('Data Transfer'!$B$6,'Compliance Database'!$D885&amp;" "&amp;'Compliance Database'!$K885&amp;" "&amp;'Compliance Database'!$L885&amp;" "&amp;'Compliance Database'!$M885&amp;" "&amp;'Compliance Database'!$N885)))),1,0)</f>
        <v/>
      </c>
      <c r="B885">
        <f>IF($A885=1,SUM($A$2:$A885),"")</f>
        <v/>
      </c>
      <c r="C885">
        <f>IF($A885=1,SUM($A$2:$A885),0)</f>
        <v/>
      </c>
    </row>
    <row r="886">
      <c r="A886">
        <f>IF(AND(OR('Compliance Database'!$A886='Data Transfer'!$B$4,'Compliance Database'!$A886='Data Transfer'!$B$5),OR('Data Transfer'!$B$6="",ISNUMBER(SEARCH('Data Transfer'!$B$6,'Compliance Database'!$D886&amp;" "&amp;'Compliance Database'!$K886&amp;" "&amp;'Compliance Database'!$L886&amp;" "&amp;'Compliance Database'!$M886&amp;" "&amp;'Compliance Database'!$N886)))),1,0)</f>
        <v/>
      </c>
      <c r="B886">
        <f>IF($A886=1,SUM($A$2:$A886),"")</f>
        <v/>
      </c>
      <c r="C886">
        <f>IF($A886=1,SUM($A$2:$A886),0)</f>
        <v/>
      </c>
    </row>
    <row r="887">
      <c r="A887">
        <f>IF(AND(OR('Compliance Database'!$A887='Data Transfer'!$B$4,'Compliance Database'!$A887='Data Transfer'!$B$5),OR('Data Transfer'!$B$6="",ISNUMBER(SEARCH('Data Transfer'!$B$6,'Compliance Database'!$D887&amp;" "&amp;'Compliance Database'!$K887&amp;" "&amp;'Compliance Database'!$L887&amp;" "&amp;'Compliance Database'!$M887&amp;" "&amp;'Compliance Database'!$N887)))),1,0)</f>
        <v/>
      </c>
      <c r="B887">
        <f>IF($A887=1,SUM($A$2:$A887),"")</f>
        <v/>
      </c>
      <c r="C887">
        <f>IF($A887=1,SUM($A$2:$A887),0)</f>
        <v/>
      </c>
    </row>
    <row r="888">
      <c r="A888">
        <f>IF(AND(OR('Compliance Database'!$A888='Data Transfer'!$B$4,'Compliance Database'!$A888='Data Transfer'!$B$5),OR('Data Transfer'!$B$6="",ISNUMBER(SEARCH('Data Transfer'!$B$6,'Compliance Database'!$D888&amp;" "&amp;'Compliance Database'!$K888&amp;" "&amp;'Compliance Database'!$L888&amp;" "&amp;'Compliance Database'!$M888&amp;" "&amp;'Compliance Database'!$N888)))),1,0)</f>
        <v/>
      </c>
      <c r="B888">
        <f>IF($A888=1,SUM($A$2:$A888),"")</f>
        <v/>
      </c>
      <c r="C888">
        <f>IF($A888=1,SUM($A$2:$A888),0)</f>
        <v/>
      </c>
    </row>
    <row r="889">
      <c r="A889">
        <f>IF(AND(OR('Compliance Database'!$A889='Data Transfer'!$B$4,'Compliance Database'!$A889='Data Transfer'!$B$5),OR('Data Transfer'!$B$6="",ISNUMBER(SEARCH('Data Transfer'!$B$6,'Compliance Database'!$D889&amp;" "&amp;'Compliance Database'!$K889&amp;" "&amp;'Compliance Database'!$L889&amp;" "&amp;'Compliance Database'!$M889&amp;" "&amp;'Compliance Database'!$N889)))),1,0)</f>
        <v/>
      </c>
      <c r="B889">
        <f>IF($A889=1,SUM($A$2:$A889),"")</f>
        <v/>
      </c>
      <c r="C889">
        <f>IF($A889=1,SUM($A$2:$A889),0)</f>
        <v/>
      </c>
    </row>
    <row r="890">
      <c r="A890">
        <f>IF(AND(OR('Compliance Database'!$A890='Data Transfer'!$B$4,'Compliance Database'!$A890='Data Transfer'!$B$5),OR('Data Transfer'!$B$6="",ISNUMBER(SEARCH('Data Transfer'!$B$6,'Compliance Database'!$D890&amp;" "&amp;'Compliance Database'!$K890&amp;" "&amp;'Compliance Database'!$L890&amp;" "&amp;'Compliance Database'!$M890&amp;" "&amp;'Compliance Database'!$N890)))),1,0)</f>
        <v/>
      </c>
      <c r="B890">
        <f>IF($A890=1,SUM($A$2:$A890),"")</f>
        <v/>
      </c>
      <c r="C890">
        <f>IF($A890=1,SUM($A$2:$A890),0)</f>
        <v/>
      </c>
    </row>
    <row r="891">
      <c r="A891">
        <f>IF(AND(OR('Compliance Database'!$A891='Data Transfer'!$B$4,'Compliance Database'!$A891='Data Transfer'!$B$5),OR('Data Transfer'!$B$6="",ISNUMBER(SEARCH('Data Transfer'!$B$6,'Compliance Database'!$D891&amp;" "&amp;'Compliance Database'!$K891&amp;" "&amp;'Compliance Database'!$L891&amp;" "&amp;'Compliance Database'!$M891&amp;" "&amp;'Compliance Database'!$N891)))),1,0)</f>
        <v/>
      </c>
      <c r="B891">
        <f>IF($A891=1,SUM($A$2:$A891),"")</f>
        <v/>
      </c>
      <c r="C891">
        <f>IF($A891=1,SUM($A$2:$A891),0)</f>
        <v/>
      </c>
    </row>
    <row r="892">
      <c r="A892">
        <f>IF(AND(OR('Compliance Database'!$A892='Data Transfer'!$B$4,'Compliance Database'!$A892='Data Transfer'!$B$5),OR('Data Transfer'!$B$6="",ISNUMBER(SEARCH('Data Transfer'!$B$6,'Compliance Database'!$D892&amp;" "&amp;'Compliance Database'!$K892&amp;" "&amp;'Compliance Database'!$L892&amp;" "&amp;'Compliance Database'!$M892&amp;" "&amp;'Compliance Database'!$N892)))),1,0)</f>
        <v/>
      </c>
      <c r="B892">
        <f>IF($A892=1,SUM($A$2:$A892),"")</f>
        <v/>
      </c>
      <c r="C892">
        <f>IF($A892=1,SUM($A$2:$A892),0)</f>
        <v/>
      </c>
    </row>
    <row r="893">
      <c r="A893">
        <f>IF(AND(OR('Compliance Database'!$A893='Data Transfer'!$B$4,'Compliance Database'!$A893='Data Transfer'!$B$5),OR('Data Transfer'!$B$6="",ISNUMBER(SEARCH('Data Transfer'!$B$6,'Compliance Database'!$D893&amp;" "&amp;'Compliance Database'!$K893&amp;" "&amp;'Compliance Database'!$L893&amp;" "&amp;'Compliance Database'!$M893&amp;" "&amp;'Compliance Database'!$N893)))),1,0)</f>
        <v/>
      </c>
      <c r="B893">
        <f>IF($A893=1,SUM($A$2:$A893),"")</f>
        <v/>
      </c>
      <c r="C893">
        <f>IF($A893=1,SUM($A$2:$A893),0)</f>
        <v/>
      </c>
    </row>
    <row r="894">
      <c r="A894">
        <f>IF(AND(OR('Compliance Database'!$A894='Data Transfer'!$B$4,'Compliance Database'!$A894='Data Transfer'!$B$5),OR('Data Transfer'!$B$6="",ISNUMBER(SEARCH('Data Transfer'!$B$6,'Compliance Database'!$D894&amp;" "&amp;'Compliance Database'!$K894&amp;" "&amp;'Compliance Database'!$L894&amp;" "&amp;'Compliance Database'!$M894&amp;" "&amp;'Compliance Database'!$N894)))),1,0)</f>
        <v/>
      </c>
      <c r="B894">
        <f>IF($A894=1,SUM($A$2:$A894),"")</f>
        <v/>
      </c>
      <c r="C894">
        <f>IF($A894=1,SUM($A$2:$A894),0)</f>
        <v/>
      </c>
    </row>
    <row r="895">
      <c r="A895">
        <f>IF(AND(OR('Compliance Database'!$A895='Data Transfer'!$B$4,'Compliance Database'!$A895='Data Transfer'!$B$5),OR('Data Transfer'!$B$6="",ISNUMBER(SEARCH('Data Transfer'!$B$6,'Compliance Database'!$D895&amp;" "&amp;'Compliance Database'!$K895&amp;" "&amp;'Compliance Database'!$L895&amp;" "&amp;'Compliance Database'!$M895&amp;" "&amp;'Compliance Database'!$N895)))),1,0)</f>
        <v/>
      </c>
      <c r="B895">
        <f>IF($A895=1,SUM($A$2:$A895),"")</f>
        <v/>
      </c>
      <c r="C895">
        <f>IF($A895=1,SUM($A$2:$A895),0)</f>
        <v/>
      </c>
    </row>
    <row r="896">
      <c r="A896">
        <f>IF(AND(OR('Compliance Database'!$A896='Data Transfer'!$B$4,'Compliance Database'!$A896='Data Transfer'!$B$5),OR('Data Transfer'!$B$6="",ISNUMBER(SEARCH('Data Transfer'!$B$6,'Compliance Database'!$D896&amp;" "&amp;'Compliance Database'!$K896&amp;" "&amp;'Compliance Database'!$L896&amp;" "&amp;'Compliance Database'!$M896&amp;" "&amp;'Compliance Database'!$N896)))),1,0)</f>
        <v/>
      </c>
      <c r="B896">
        <f>IF($A896=1,SUM($A$2:$A896),"")</f>
        <v/>
      </c>
      <c r="C896">
        <f>IF($A896=1,SUM($A$2:$A896),0)</f>
        <v/>
      </c>
    </row>
    <row r="897">
      <c r="A897">
        <f>IF(AND(OR('Compliance Database'!$A897='Data Transfer'!$B$4,'Compliance Database'!$A897='Data Transfer'!$B$5),OR('Data Transfer'!$B$6="",ISNUMBER(SEARCH('Data Transfer'!$B$6,'Compliance Database'!$D897&amp;" "&amp;'Compliance Database'!$K897&amp;" "&amp;'Compliance Database'!$L897&amp;" "&amp;'Compliance Database'!$M897&amp;" "&amp;'Compliance Database'!$N897)))),1,0)</f>
        <v/>
      </c>
      <c r="B897">
        <f>IF($A897=1,SUM($A$2:$A897),"")</f>
        <v/>
      </c>
      <c r="C897">
        <f>IF($A897=1,SUM($A$2:$A897),0)</f>
        <v/>
      </c>
    </row>
    <row r="898">
      <c r="A898">
        <f>IF(AND(OR('Compliance Database'!$A898='Data Transfer'!$B$4,'Compliance Database'!$A898='Data Transfer'!$B$5),OR('Data Transfer'!$B$6="",ISNUMBER(SEARCH('Data Transfer'!$B$6,'Compliance Database'!$D898&amp;" "&amp;'Compliance Database'!$K898&amp;" "&amp;'Compliance Database'!$L898&amp;" "&amp;'Compliance Database'!$M898&amp;" "&amp;'Compliance Database'!$N898)))),1,0)</f>
        <v/>
      </c>
      <c r="B898">
        <f>IF($A898=1,SUM($A$2:$A898),"")</f>
        <v/>
      </c>
      <c r="C898">
        <f>IF($A898=1,SUM($A$2:$A898),0)</f>
        <v/>
      </c>
    </row>
    <row r="899">
      <c r="A899">
        <f>IF(AND(OR('Compliance Database'!$A899='Data Transfer'!$B$4,'Compliance Database'!$A899='Data Transfer'!$B$5),OR('Data Transfer'!$B$6="",ISNUMBER(SEARCH('Data Transfer'!$B$6,'Compliance Database'!$D899&amp;" "&amp;'Compliance Database'!$K899&amp;" "&amp;'Compliance Database'!$L899&amp;" "&amp;'Compliance Database'!$M899&amp;" "&amp;'Compliance Database'!$N899)))),1,0)</f>
        <v/>
      </c>
      <c r="B899">
        <f>IF($A899=1,SUM($A$2:$A899),"")</f>
        <v/>
      </c>
      <c r="C899">
        <f>IF($A899=1,SUM($A$2:$A899),0)</f>
        <v/>
      </c>
    </row>
    <row r="900">
      <c r="A900">
        <f>IF(AND(OR('Compliance Database'!$A900='Data Transfer'!$B$4,'Compliance Database'!$A900='Data Transfer'!$B$5),OR('Data Transfer'!$B$6="",ISNUMBER(SEARCH('Data Transfer'!$B$6,'Compliance Database'!$D900&amp;" "&amp;'Compliance Database'!$K900&amp;" "&amp;'Compliance Database'!$L900&amp;" "&amp;'Compliance Database'!$M900&amp;" "&amp;'Compliance Database'!$N900)))),1,0)</f>
        <v/>
      </c>
      <c r="B900">
        <f>IF($A900=1,SUM($A$2:$A900),"")</f>
        <v/>
      </c>
      <c r="C900">
        <f>IF($A900=1,SUM($A$2:$A900),0)</f>
        <v/>
      </c>
    </row>
    <row r="901">
      <c r="A901">
        <f>IF(AND(OR('Compliance Database'!$A901='Data Transfer'!$B$4,'Compliance Database'!$A901='Data Transfer'!$B$5),OR('Data Transfer'!$B$6="",ISNUMBER(SEARCH('Data Transfer'!$B$6,'Compliance Database'!$D901&amp;" "&amp;'Compliance Database'!$K901&amp;" "&amp;'Compliance Database'!$L901&amp;" "&amp;'Compliance Database'!$M901&amp;" "&amp;'Compliance Database'!$N901)))),1,0)</f>
        <v/>
      </c>
      <c r="B901">
        <f>IF($A901=1,SUM($A$2:$A901),"")</f>
        <v/>
      </c>
      <c r="C901">
        <f>IF($A901=1,SUM($A$2:$A901),0)</f>
        <v/>
      </c>
    </row>
    <row r="902">
      <c r="A902">
        <f>IF(AND(OR('Compliance Database'!$A902='Data Transfer'!$B$4,'Compliance Database'!$A902='Data Transfer'!$B$5),OR('Data Transfer'!$B$6="",ISNUMBER(SEARCH('Data Transfer'!$B$6,'Compliance Database'!$D902&amp;" "&amp;'Compliance Database'!$K902&amp;" "&amp;'Compliance Database'!$L902&amp;" "&amp;'Compliance Database'!$M902&amp;" "&amp;'Compliance Database'!$N902)))),1,0)</f>
        <v/>
      </c>
      <c r="B902">
        <f>IF($A902=1,SUM($A$2:$A902),"")</f>
        <v/>
      </c>
      <c r="C902">
        <f>IF($A902=1,SUM($A$2:$A902),0)</f>
        <v/>
      </c>
    </row>
    <row r="903">
      <c r="A903">
        <f>IF(AND(OR('Compliance Database'!$A903='Data Transfer'!$B$4,'Compliance Database'!$A903='Data Transfer'!$B$5),OR('Data Transfer'!$B$6="",ISNUMBER(SEARCH('Data Transfer'!$B$6,'Compliance Database'!$D903&amp;" "&amp;'Compliance Database'!$K903&amp;" "&amp;'Compliance Database'!$L903&amp;" "&amp;'Compliance Database'!$M903&amp;" "&amp;'Compliance Database'!$N903)))),1,0)</f>
        <v/>
      </c>
      <c r="B903">
        <f>IF($A903=1,SUM($A$2:$A903),"")</f>
        <v/>
      </c>
      <c r="C903">
        <f>IF($A903=1,SUM($A$2:$A903),0)</f>
        <v/>
      </c>
    </row>
    <row r="904">
      <c r="A904">
        <f>IF(AND(OR('Compliance Database'!$A904='Data Transfer'!$B$4,'Compliance Database'!$A904='Data Transfer'!$B$5),OR('Data Transfer'!$B$6="",ISNUMBER(SEARCH('Data Transfer'!$B$6,'Compliance Database'!$D904&amp;" "&amp;'Compliance Database'!$K904&amp;" "&amp;'Compliance Database'!$L904&amp;" "&amp;'Compliance Database'!$M904&amp;" "&amp;'Compliance Database'!$N904)))),1,0)</f>
        <v/>
      </c>
      <c r="B904">
        <f>IF($A904=1,SUM($A$2:$A904),"")</f>
        <v/>
      </c>
      <c r="C904">
        <f>IF($A904=1,SUM($A$2:$A904),0)</f>
        <v/>
      </c>
    </row>
    <row r="905">
      <c r="A905">
        <f>IF(AND(OR('Compliance Database'!$A905='Data Transfer'!$B$4,'Compliance Database'!$A905='Data Transfer'!$B$5),OR('Data Transfer'!$B$6="",ISNUMBER(SEARCH('Data Transfer'!$B$6,'Compliance Database'!$D905&amp;" "&amp;'Compliance Database'!$K905&amp;" "&amp;'Compliance Database'!$L905&amp;" "&amp;'Compliance Database'!$M905&amp;" "&amp;'Compliance Database'!$N905)))),1,0)</f>
        <v/>
      </c>
      <c r="B905">
        <f>IF($A905=1,SUM($A$2:$A905),"")</f>
        <v/>
      </c>
      <c r="C905">
        <f>IF($A905=1,SUM($A$2:$A905),0)</f>
        <v/>
      </c>
    </row>
    <row r="906">
      <c r="A906">
        <f>IF(AND(OR('Compliance Database'!$A906='Data Transfer'!$B$4,'Compliance Database'!$A906='Data Transfer'!$B$5),OR('Data Transfer'!$B$6="",ISNUMBER(SEARCH('Data Transfer'!$B$6,'Compliance Database'!$D906&amp;" "&amp;'Compliance Database'!$K906&amp;" "&amp;'Compliance Database'!$L906&amp;" "&amp;'Compliance Database'!$M906&amp;" "&amp;'Compliance Database'!$N906)))),1,0)</f>
        <v/>
      </c>
      <c r="B906">
        <f>IF($A906=1,SUM($A$2:$A906),"")</f>
        <v/>
      </c>
      <c r="C906">
        <f>IF($A906=1,SUM($A$2:$A906),0)</f>
        <v/>
      </c>
    </row>
    <row r="907">
      <c r="A907">
        <f>IF(AND(OR('Compliance Database'!$A907='Data Transfer'!$B$4,'Compliance Database'!$A907='Data Transfer'!$B$5),OR('Data Transfer'!$B$6="",ISNUMBER(SEARCH('Data Transfer'!$B$6,'Compliance Database'!$D907&amp;" "&amp;'Compliance Database'!$K907&amp;" "&amp;'Compliance Database'!$L907&amp;" "&amp;'Compliance Database'!$M907&amp;" "&amp;'Compliance Database'!$N907)))),1,0)</f>
        <v/>
      </c>
      <c r="B907">
        <f>IF($A907=1,SUM($A$2:$A907),"")</f>
        <v/>
      </c>
      <c r="C907">
        <f>IF($A907=1,SUM($A$2:$A907),0)</f>
        <v/>
      </c>
    </row>
    <row r="908">
      <c r="A908">
        <f>IF(AND(OR('Compliance Database'!$A908='Data Transfer'!$B$4,'Compliance Database'!$A908='Data Transfer'!$B$5),OR('Data Transfer'!$B$6="",ISNUMBER(SEARCH('Data Transfer'!$B$6,'Compliance Database'!$D908&amp;" "&amp;'Compliance Database'!$K908&amp;" "&amp;'Compliance Database'!$L908&amp;" "&amp;'Compliance Database'!$M908&amp;" "&amp;'Compliance Database'!$N908)))),1,0)</f>
        <v/>
      </c>
      <c r="B908">
        <f>IF($A908=1,SUM($A$2:$A908),"")</f>
        <v/>
      </c>
      <c r="C908">
        <f>IF($A908=1,SUM($A$2:$A908),0)</f>
        <v/>
      </c>
    </row>
    <row r="909">
      <c r="A909">
        <f>IF(AND(OR('Compliance Database'!$A909='Data Transfer'!$B$4,'Compliance Database'!$A909='Data Transfer'!$B$5),OR('Data Transfer'!$B$6="",ISNUMBER(SEARCH('Data Transfer'!$B$6,'Compliance Database'!$D909&amp;" "&amp;'Compliance Database'!$K909&amp;" "&amp;'Compliance Database'!$L909&amp;" "&amp;'Compliance Database'!$M909&amp;" "&amp;'Compliance Database'!$N909)))),1,0)</f>
        <v/>
      </c>
      <c r="B909">
        <f>IF($A909=1,SUM($A$2:$A909),"")</f>
        <v/>
      </c>
      <c r="C909">
        <f>IF($A909=1,SUM($A$2:$A909),0)</f>
        <v/>
      </c>
    </row>
    <row r="910">
      <c r="A910">
        <f>IF(AND(OR('Compliance Database'!$A910='Data Transfer'!$B$4,'Compliance Database'!$A910='Data Transfer'!$B$5),OR('Data Transfer'!$B$6="",ISNUMBER(SEARCH('Data Transfer'!$B$6,'Compliance Database'!$D910&amp;" "&amp;'Compliance Database'!$K910&amp;" "&amp;'Compliance Database'!$L910&amp;" "&amp;'Compliance Database'!$M910&amp;" "&amp;'Compliance Database'!$N910)))),1,0)</f>
        <v/>
      </c>
      <c r="B910">
        <f>IF($A910=1,SUM($A$2:$A910),"")</f>
        <v/>
      </c>
      <c r="C910">
        <f>IF($A910=1,SUM($A$2:$A910),0)</f>
        <v/>
      </c>
    </row>
    <row r="911">
      <c r="A911">
        <f>IF(AND(OR('Compliance Database'!$A911='Data Transfer'!$B$4,'Compliance Database'!$A911='Data Transfer'!$B$5),OR('Data Transfer'!$B$6="",ISNUMBER(SEARCH('Data Transfer'!$B$6,'Compliance Database'!$D911&amp;" "&amp;'Compliance Database'!$K911&amp;" "&amp;'Compliance Database'!$L911&amp;" "&amp;'Compliance Database'!$M911&amp;" "&amp;'Compliance Database'!$N911)))),1,0)</f>
        <v/>
      </c>
      <c r="B911">
        <f>IF($A911=1,SUM($A$2:$A911),"")</f>
        <v/>
      </c>
      <c r="C911">
        <f>IF($A911=1,SUM($A$2:$A911),0)</f>
        <v/>
      </c>
    </row>
    <row r="912">
      <c r="A912">
        <f>IF(AND(OR('Compliance Database'!$A912='Data Transfer'!$B$4,'Compliance Database'!$A912='Data Transfer'!$B$5),OR('Data Transfer'!$B$6="",ISNUMBER(SEARCH('Data Transfer'!$B$6,'Compliance Database'!$D912&amp;" "&amp;'Compliance Database'!$K912&amp;" "&amp;'Compliance Database'!$L912&amp;" "&amp;'Compliance Database'!$M912&amp;" "&amp;'Compliance Database'!$N912)))),1,0)</f>
        <v/>
      </c>
      <c r="B912">
        <f>IF($A912=1,SUM($A$2:$A912),"")</f>
        <v/>
      </c>
      <c r="C912">
        <f>IF($A912=1,SUM($A$2:$A912),0)</f>
        <v/>
      </c>
    </row>
    <row r="913">
      <c r="A913">
        <f>IF(AND(OR('Compliance Database'!$A913='Data Transfer'!$B$4,'Compliance Database'!$A913='Data Transfer'!$B$5),OR('Data Transfer'!$B$6="",ISNUMBER(SEARCH('Data Transfer'!$B$6,'Compliance Database'!$D913&amp;" "&amp;'Compliance Database'!$K913&amp;" "&amp;'Compliance Database'!$L913&amp;" "&amp;'Compliance Database'!$M913&amp;" "&amp;'Compliance Database'!$N913)))),1,0)</f>
        <v/>
      </c>
      <c r="B913">
        <f>IF($A913=1,SUM($A$2:$A913),"")</f>
        <v/>
      </c>
      <c r="C913">
        <f>IF($A913=1,SUM($A$2:$A913),0)</f>
        <v/>
      </c>
    </row>
    <row r="914">
      <c r="A914">
        <f>IF(AND(OR('Compliance Database'!$A914='Data Transfer'!$B$4,'Compliance Database'!$A914='Data Transfer'!$B$5),OR('Data Transfer'!$B$6="",ISNUMBER(SEARCH('Data Transfer'!$B$6,'Compliance Database'!$D914&amp;" "&amp;'Compliance Database'!$K914&amp;" "&amp;'Compliance Database'!$L914&amp;" "&amp;'Compliance Database'!$M914&amp;" "&amp;'Compliance Database'!$N914)))),1,0)</f>
        <v/>
      </c>
      <c r="B914">
        <f>IF($A914=1,SUM($A$2:$A914),"")</f>
        <v/>
      </c>
      <c r="C914">
        <f>IF($A914=1,SUM($A$2:$A914),0)</f>
        <v/>
      </c>
    </row>
    <row r="915">
      <c r="A915">
        <f>IF(AND(OR('Compliance Database'!$A915='Data Transfer'!$B$4,'Compliance Database'!$A915='Data Transfer'!$B$5),OR('Data Transfer'!$B$6="",ISNUMBER(SEARCH('Data Transfer'!$B$6,'Compliance Database'!$D915&amp;" "&amp;'Compliance Database'!$K915&amp;" "&amp;'Compliance Database'!$L915&amp;" "&amp;'Compliance Database'!$M915&amp;" "&amp;'Compliance Database'!$N915)))),1,0)</f>
        <v/>
      </c>
      <c r="B915">
        <f>IF($A915=1,SUM($A$2:$A915),"")</f>
        <v/>
      </c>
      <c r="C915">
        <f>IF($A915=1,SUM($A$2:$A915),0)</f>
        <v/>
      </c>
    </row>
    <row r="916">
      <c r="A916">
        <f>IF(AND(OR('Compliance Database'!$A916='Data Transfer'!$B$4,'Compliance Database'!$A916='Data Transfer'!$B$5),OR('Data Transfer'!$B$6="",ISNUMBER(SEARCH('Data Transfer'!$B$6,'Compliance Database'!$D916&amp;" "&amp;'Compliance Database'!$K916&amp;" "&amp;'Compliance Database'!$L916&amp;" "&amp;'Compliance Database'!$M916&amp;" "&amp;'Compliance Database'!$N916)))),1,0)</f>
        <v/>
      </c>
      <c r="B916">
        <f>IF($A916=1,SUM($A$2:$A916),"")</f>
        <v/>
      </c>
      <c r="C916">
        <f>IF($A916=1,SUM($A$2:$A916),0)</f>
        <v/>
      </c>
    </row>
    <row r="917">
      <c r="A917">
        <f>IF(AND(OR('Compliance Database'!$A917='Data Transfer'!$B$4,'Compliance Database'!$A917='Data Transfer'!$B$5),OR('Data Transfer'!$B$6="",ISNUMBER(SEARCH('Data Transfer'!$B$6,'Compliance Database'!$D917&amp;" "&amp;'Compliance Database'!$K917&amp;" "&amp;'Compliance Database'!$L917&amp;" "&amp;'Compliance Database'!$M917&amp;" "&amp;'Compliance Database'!$N917)))),1,0)</f>
        <v/>
      </c>
      <c r="B917">
        <f>IF($A917=1,SUM($A$2:$A917),"")</f>
        <v/>
      </c>
      <c r="C917">
        <f>IF($A917=1,SUM($A$2:$A917),0)</f>
        <v/>
      </c>
    </row>
    <row r="918">
      <c r="A918">
        <f>IF(AND(OR('Compliance Database'!$A918='Data Transfer'!$B$4,'Compliance Database'!$A918='Data Transfer'!$B$5),OR('Data Transfer'!$B$6="",ISNUMBER(SEARCH('Data Transfer'!$B$6,'Compliance Database'!$D918&amp;" "&amp;'Compliance Database'!$K918&amp;" "&amp;'Compliance Database'!$L918&amp;" "&amp;'Compliance Database'!$M918&amp;" "&amp;'Compliance Database'!$N918)))),1,0)</f>
        <v/>
      </c>
      <c r="B918">
        <f>IF($A918=1,SUM($A$2:$A918),"")</f>
        <v/>
      </c>
      <c r="C918">
        <f>IF($A918=1,SUM($A$2:$A918),0)</f>
        <v/>
      </c>
    </row>
    <row r="919">
      <c r="A919">
        <f>IF(AND(OR('Compliance Database'!$A919='Data Transfer'!$B$4,'Compliance Database'!$A919='Data Transfer'!$B$5),OR('Data Transfer'!$B$6="",ISNUMBER(SEARCH('Data Transfer'!$B$6,'Compliance Database'!$D919&amp;" "&amp;'Compliance Database'!$K919&amp;" "&amp;'Compliance Database'!$L919&amp;" "&amp;'Compliance Database'!$M919&amp;" "&amp;'Compliance Database'!$N919)))),1,0)</f>
        <v/>
      </c>
      <c r="B919">
        <f>IF($A919=1,SUM($A$2:$A919),"")</f>
        <v/>
      </c>
      <c r="C919">
        <f>IF($A919=1,SUM($A$2:$A919),0)</f>
        <v/>
      </c>
    </row>
    <row r="920">
      <c r="A920">
        <f>IF(AND(OR('Compliance Database'!$A920='Data Transfer'!$B$4,'Compliance Database'!$A920='Data Transfer'!$B$5),OR('Data Transfer'!$B$6="",ISNUMBER(SEARCH('Data Transfer'!$B$6,'Compliance Database'!$D920&amp;" "&amp;'Compliance Database'!$K920&amp;" "&amp;'Compliance Database'!$L920&amp;" "&amp;'Compliance Database'!$M920&amp;" "&amp;'Compliance Database'!$N920)))),1,0)</f>
        <v/>
      </c>
      <c r="B920">
        <f>IF($A920=1,SUM($A$2:$A920),"")</f>
        <v/>
      </c>
      <c r="C920">
        <f>IF($A920=1,SUM($A$2:$A920),0)</f>
        <v/>
      </c>
    </row>
    <row r="921">
      <c r="A921">
        <f>IF(AND(OR('Compliance Database'!$A921='Data Transfer'!$B$4,'Compliance Database'!$A921='Data Transfer'!$B$5),OR('Data Transfer'!$B$6="",ISNUMBER(SEARCH('Data Transfer'!$B$6,'Compliance Database'!$D921&amp;" "&amp;'Compliance Database'!$K921&amp;" "&amp;'Compliance Database'!$L921&amp;" "&amp;'Compliance Database'!$M921&amp;" "&amp;'Compliance Database'!$N921)))),1,0)</f>
        <v/>
      </c>
      <c r="B921">
        <f>IF($A921=1,SUM($A$2:$A921),"")</f>
        <v/>
      </c>
      <c r="C921">
        <f>IF($A921=1,SUM($A$2:$A921),0)</f>
        <v/>
      </c>
    </row>
    <row r="922">
      <c r="A922">
        <f>IF(AND(OR('Compliance Database'!$A922='Data Transfer'!$B$4,'Compliance Database'!$A922='Data Transfer'!$B$5),OR('Data Transfer'!$B$6="",ISNUMBER(SEARCH('Data Transfer'!$B$6,'Compliance Database'!$D922&amp;" "&amp;'Compliance Database'!$K922&amp;" "&amp;'Compliance Database'!$L922&amp;" "&amp;'Compliance Database'!$M922&amp;" "&amp;'Compliance Database'!$N922)))),1,0)</f>
        <v/>
      </c>
      <c r="B922">
        <f>IF($A922=1,SUM($A$2:$A922),"")</f>
        <v/>
      </c>
      <c r="C922">
        <f>IF($A922=1,SUM($A$2:$A922),0)</f>
        <v/>
      </c>
    </row>
    <row r="923">
      <c r="A923">
        <f>IF(AND(OR('Compliance Database'!$A923='Data Transfer'!$B$4,'Compliance Database'!$A923='Data Transfer'!$B$5),OR('Data Transfer'!$B$6="",ISNUMBER(SEARCH('Data Transfer'!$B$6,'Compliance Database'!$D923&amp;" "&amp;'Compliance Database'!$K923&amp;" "&amp;'Compliance Database'!$L923&amp;" "&amp;'Compliance Database'!$M923&amp;" "&amp;'Compliance Database'!$N923)))),1,0)</f>
        <v/>
      </c>
      <c r="B923">
        <f>IF($A923=1,SUM($A$2:$A923),"")</f>
        <v/>
      </c>
      <c r="C923">
        <f>IF($A923=1,SUM($A$2:$A923),0)</f>
        <v/>
      </c>
    </row>
    <row r="924">
      <c r="A924">
        <f>IF(AND(OR('Compliance Database'!$A924='Data Transfer'!$B$4,'Compliance Database'!$A924='Data Transfer'!$B$5),OR('Data Transfer'!$B$6="",ISNUMBER(SEARCH('Data Transfer'!$B$6,'Compliance Database'!$D924&amp;" "&amp;'Compliance Database'!$K924&amp;" "&amp;'Compliance Database'!$L924&amp;" "&amp;'Compliance Database'!$M924&amp;" "&amp;'Compliance Database'!$N924)))),1,0)</f>
        <v/>
      </c>
      <c r="B924">
        <f>IF($A924=1,SUM($A$2:$A924),"")</f>
        <v/>
      </c>
      <c r="C924">
        <f>IF($A924=1,SUM($A$2:$A924),0)</f>
        <v/>
      </c>
    </row>
    <row r="925">
      <c r="A925">
        <f>IF(AND(OR('Compliance Database'!$A925='Data Transfer'!$B$4,'Compliance Database'!$A925='Data Transfer'!$B$5),OR('Data Transfer'!$B$6="",ISNUMBER(SEARCH('Data Transfer'!$B$6,'Compliance Database'!$D925&amp;" "&amp;'Compliance Database'!$K925&amp;" "&amp;'Compliance Database'!$L925&amp;" "&amp;'Compliance Database'!$M925&amp;" "&amp;'Compliance Database'!$N925)))),1,0)</f>
        <v/>
      </c>
      <c r="B925">
        <f>IF($A925=1,SUM($A$2:$A925),"")</f>
        <v/>
      </c>
      <c r="C925">
        <f>IF($A925=1,SUM($A$2:$A925),0)</f>
        <v/>
      </c>
    </row>
    <row r="926">
      <c r="A926">
        <f>IF(AND(OR('Compliance Database'!$A926='Data Transfer'!$B$4,'Compliance Database'!$A926='Data Transfer'!$B$5),OR('Data Transfer'!$B$6="",ISNUMBER(SEARCH('Data Transfer'!$B$6,'Compliance Database'!$D926&amp;" "&amp;'Compliance Database'!$K926&amp;" "&amp;'Compliance Database'!$L926&amp;" "&amp;'Compliance Database'!$M926&amp;" "&amp;'Compliance Database'!$N926)))),1,0)</f>
        <v/>
      </c>
      <c r="B926">
        <f>IF($A926=1,SUM($A$2:$A926),"")</f>
        <v/>
      </c>
      <c r="C926">
        <f>IF($A926=1,SUM($A$2:$A926),0)</f>
        <v/>
      </c>
    </row>
    <row r="927">
      <c r="A927">
        <f>IF(AND(OR('Compliance Database'!$A927='Data Transfer'!$B$4,'Compliance Database'!$A927='Data Transfer'!$B$5),OR('Data Transfer'!$B$6="",ISNUMBER(SEARCH('Data Transfer'!$B$6,'Compliance Database'!$D927&amp;" "&amp;'Compliance Database'!$K927&amp;" "&amp;'Compliance Database'!$L927&amp;" "&amp;'Compliance Database'!$M927&amp;" "&amp;'Compliance Database'!$N927)))),1,0)</f>
        <v/>
      </c>
      <c r="B927">
        <f>IF($A927=1,SUM($A$2:$A927),"")</f>
        <v/>
      </c>
      <c r="C927">
        <f>IF($A927=1,SUM($A$2:$A927),0)</f>
        <v/>
      </c>
    </row>
    <row r="928">
      <c r="A928">
        <f>IF(AND(OR('Compliance Database'!$A928='Data Transfer'!$B$4,'Compliance Database'!$A928='Data Transfer'!$B$5),OR('Data Transfer'!$B$6="",ISNUMBER(SEARCH('Data Transfer'!$B$6,'Compliance Database'!$D928&amp;" "&amp;'Compliance Database'!$K928&amp;" "&amp;'Compliance Database'!$L928&amp;" "&amp;'Compliance Database'!$M928&amp;" "&amp;'Compliance Database'!$N928)))),1,0)</f>
        <v/>
      </c>
      <c r="B928">
        <f>IF($A928=1,SUM($A$2:$A928),"")</f>
        <v/>
      </c>
      <c r="C928">
        <f>IF($A928=1,SUM($A$2:$A928),0)</f>
        <v/>
      </c>
    </row>
    <row r="929">
      <c r="A929">
        <f>IF(AND(OR('Compliance Database'!$A929='Data Transfer'!$B$4,'Compliance Database'!$A929='Data Transfer'!$B$5),OR('Data Transfer'!$B$6="",ISNUMBER(SEARCH('Data Transfer'!$B$6,'Compliance Database'!$D929&amp;" "&amp;'Compliance Database'!$K929&amp;" "&amp;'Compliance Database'!$L929&amp;" "&amp;'Compliance Database'!$M929&amp;" "&amp;'Compliance Database'!$N929)))),1,0)</f>
        <v/>
      </c>
      <c r="B929">
        <f>IF($A929=1,SUM($A$2:$A929),"")</f>
        <v/>
      </c>
      <c r="C929">
        <f>IF($A929=1,SUM($A$2:$A929),0)</f>
        <v/>
      </c>
    </row>
    <row r="930">
      <c r="A930">
        <f>IF(AND(OR('Compliance Database'!$A930='Data Transfer'!$B$4,'Compliance Database'!$A930='Data Transfer'!$B$5),OR('Data Transfer'!$B$6="",ISNUMBER(SEARCH('Data Transfer'!$B$6,'Compliance Database'!$D930&amp;" "&amp;'Compliance Database'!$K930&amp;" "&amp;'Compliance Database'!$L930&amp;" "&amp;'Compliance Database'!$M930&amp;" "&amp;'Compliance Database'!$N930)))),1,0)</f>
        <v/>
      </c>
      <c r="B930">
        <f>IF($A930=1,SUM($A$2:$A930),"")</f>
        <v/>
      </c>
      <c r="C930">
        <f>IF($A930=1,SUM($A$2:$A930),0)</f>
        <v/>
      </c>
    </row>
    <row r="931">
      <c r="A931">
        <f>IF(AND(OR('Compliance Database'!$A931='Data Transfer'!$B$4,'Compliance Database'!$A931='Data Transfer'!$B$5),OR('Data Transfer'!$B$6="",ISNUMBER(SEARCH('Data Transfer'!$B$6,'Compliance Database'!$D931&amp;" "&amp;'Compliance Database'!$K931&amp;" "&amp;'Compliance Database'!$L931&amp;" "&amp;'Compliance Database'!$M931&amp;" "&amp;'Compliance Database'!$N931)))),1,0)</f>
        <v/>
      </c>
      <c r="B931">
        <f>IF($A931=1,SUM($A$2:$A931),"")</f>
        <v/>
      </c>
      <c r="C931">
        <f>IF($A931=1,SUM($A$2:$A931),0)</f>
        <v/>
      </c>
    </row>
    <row r="932">
      <c r="A932">
        <f>IF(AND(OR('Compliance Database'!$A932='Data Transfer'!$B$4,'Compliance Database'!$A932='Data Transfer'!$B$5),OR('Data Transfer'!$B$6="",ISNUMBER(SEARCH('Data Transfer'!$B$6,'Compliance Database'!$D932&amp;" "&amp;'Compliance Database'!$K932&amp;" "&amp;'Compliance Database'!$L932&amp;" "&amp;'Compliance Database'!$M932&amp;" "&amp;'Compliance Database'!$N932)))),1,0)</f>
        <v/>
      </c>
      <c r="B932">
        <f>IF($A932=1,SUM($A$2:$A932),"")</f>
        <v/>
      </c>
      <c r="C932">
        <f>IF($A932=1,SUM($A$2:$A932),0)</f>
        <v/>
      </c>
    </row>
    <row r="933">
      <c r="A933">
        <f>IF(AND(OR('Compliance Database'!$A933='Data Transfer'!$B$4,'Compliance Database'!$A933='Data Transfer'!$B$5),OR('Data Transfer'!$B$6="",ISNUMBER(SEARCH('Data Transfer'!$B$6,'Compliance Database'!$D933&amp;" "&amp;'Compliance Database'!$K933&amp;" "&amp;'Compliance Database'!$L933&amp;" "&amp;'Compliance Database'!$M933&amp;" "&amp;'Compliance Database'!$N933)))),1,0)</f>
        <v/>
      </c>
      <c r="B933">
        <f>IF($A933=1,SUM($A$2:$A933),"")</f>
        <v/>
      </c>
      <c r="C933">
        <f>IF($A933=1,SUM($A$2:$A933),0)</f>
        <v/>
      </c>
    </row>
    <row r="934">
      <c r="A934">
        <f>IF(AND(OR('Compliance Database'!$A934='Data Transfer'!$B$4,'Compliance Database'!$A934='Data Transfer'!$B$5),OR('Data Transfer'!$B$6="",ISNUMBER(SEARCH('Data Transfer'!$B$6,'Compliance Database'!$D934&amp;" "&amp;'Compliance Database'!$K934&amp;" "&amp;'Compliance Database'!$L934&amp;" "&amp;'Compliance Database'!$M934&amp;" "&amp;'Compliance Database'!$N934)))),1,0)</f>
        <v/>
      </c>
      <c r="B934">
        <f>IF($A934=1,SUM($A$2:$A934),"")</f>
        <v/>
      </c>
      <c r="C934">
        <f>IF($A934=1,SUM($A$2:$A934),0)</f>
        <v/>
      </c>
    </row>
    <row r="935">
      <c r="A935">
        <f>IF(AND(OR('Compliance Database'!$A935='Data Transfer'!$B$4,'Compliance Database'!$A935='Data Transfer'!$B$5),OR('Data Transfer'!$B$6="",ISNUMBER(SEARCH('Data Transfer'!$B$6,'Compliance Database'!$D935&amp;" "&amp;'Compliance Database'!$K935&amp;" "&amp;'Compliance Database'!$L935&amp;" "&amp;'Compliance Database'!$M935&amp;" "&amp;'Compliance Database'!$N935)))),1,0)</f>
        <v/>
      </c>
      <c r="B935">
        <f>IF($A935=1,SUM($A$2:$A935),"")</f>
        <v/>
      </c>
      <c r="C935">
        <f>IF($A935=1,SUM($A$2:$A935),0)</f>
        <v/>
      </c>
    </row>
    <row r="936">
      <c r="A936">
        <f>IF(AND(OR('Compliance Database'!$A936='Data Transfer'!$B$4,'Compliance Database'!$A936='Data Transfer'!$B$5),OR('Data Transfer'!$B$6="",ISNUMBER(SEARCH('Data Transfer'!$B$6,'Compliance Database'!$D936&amp;" "&amp;'Compliance Database'!$K936&amp;" "&amp;'Compliance Database'!$L936&amp;" "&amp;'Compliance Database'!$M936&amp;" "&amp;'Compliance Database'!$N936)))),1,0)</f>
        <v/>
      </c>
      <c r="B936">
        <f>IF($A936=1,SUM($A$2:$A936),"")</f>
        <v/>
      </c>
      <c r="C936">
        <f>IF($A936=1,SUM($A$2:$A936),0)</f>
        <v/>
      </c>
    </row>
    <row r="937">
      <c r="A937">
        <f>IF(AND(OR('Compliance Database'!$A937='Data Transfer'!$B$4,'Compliance Database'!$A937='Data Transfer'!$B$5),OR('Data Transfer'!$B$6="",ISNUMBER(SEARCH('Data Transfer'!$B$6,'Compliance Database'!$D937&amp;" "&amp;'Compliance Database'!$K937&amp;" "&amp;'Compliance Database'!$L937&amp;" "&amp;'Compliance Database'!$M937&amp;" "&amp;'Compliance Database'!$N937)))),1,0)</f>
        <v/>
      </c>
      <c r="B937">
        <f>IF($A937=1,SUM($A$2:$A937),"")</f>
        <v/>
      </c>
      <c r="C937">
        <f>IF($A937=1,SUM($A$2:$A937),0)</f>
        <v/>
      </c>
    </row>
    <row r="938">
      <c r="A938">
        <f>IF(AND(OR('Compliance Database'!$A938='Data Transfer'!$B$4,'Compliance Database'!$A938='Data Transfer'!$B$5),OR('Data Transfer'!$B$6="",ISNUMBER(SEARCH('Data Transfer'!$B$6,'Compliance Database'!$D938&amp;" "&amp;'Compliance Database'!$K938&amp;" "&amp;'Compliance Database'!$L938&amp;" "&amp;'Compliance Database'!$M938&amp;" "&amp;'Compliance Database'!$N938)))),1,0)</f>
        <v/>
      </c>
      <c r="B938">
        <f>IF($A938=1,SUM($A$2:$A938),"")</f>
        <v/>
      </c>
      <c r="C938">
        <f>IF($A938=1,SUM($A$2:$A938),0)</f>
        <v/>
      </c>
    </row>
    <row r="939">
      <c r="A939">
        <f>IF(AND(OR('Compliance Database'!$A939='Data Transfer'!$B$4,'Compliance Database'!$A939='Data Transfer'!$B$5),OR('Data Transfer'!$B$6="",ISNUMBER(SEARCH('Data Transfer'!$B$6,'Compliance Database'!$D939&amp;" "&amp;'Compliance Database'!$K939&amp;" "&amp;'Compliance Database'!$L939&amp;" "&amp;'Compliance Database'!$M939&amp;" "&amp;'Compliance Database'!$N939)))),1,0)</f>
        <v/>
      </c>
      <c r="B939">
        <f>IF($A939=1,SUM($A$2:$A939),"")</f>
        <v/>
      </c>
      <c r="C939">
        <f>IF($A939=1,SUM($A$2:$A939),0)</f>
        <v/>
      </c>
    </row>
    <row r="940">
      <c r="A940">
        <f>IF(AND(OR('Compliance Database'!$A940='Data Transfer'!$B$4,'Compliance Database'!$A940='Data Transfer'!$B$5),OR('Data Transfer'!$B$6="",ISNUMBER(SEARCH('Data Transfer'!$B$6,'Compliance Database'!$D940&amp;" "&amp;'Compliance Database'!$K940&amp;" "&amp;'Compliance Database'!$L940&amp;" "&amp;'Compliance Database'!$M940&amp;" "&amp;'Compliance Database'!$N940)))),1,0)</f>
        <v/>
      </c>
      <c r="B940">
        <f>IF($A940=1,SUM($A$2:$A940),"")</f>
        <v/>
      </c>
      <c r="C940">
        <f>IF($A940=1,SUM($A$2:$A940),0)</f>
        <v/>
      </c>
    </row>
    <row r="941">
      <c r="A941">
        <f>IF(AND(OR('Compliance Database'!$A941='Data Transfer'!$B$4,'Compliance Database'!$A941='Data Transfer'!$B$5),OR('Data Transfer'!$B$6="",ISNUMBER(SEARCH('Data Transfer'!$B$6,'Compliance Database'!$D941&amp;" "&amp;'Compliance Database'!$K941&amp;" "&amp;'Compliance Database'!$L941&amp;" "&amp;'Compliance Database'!$M941&amp;" "&amp;'Compliance Database'!$N941)))),1,0)</f>
        <v/>
      </c>
      <c r="B941">
        <f>IF($A941=1,SUM($A$2:$A941),"")</f>
        <v/>
      </c>
      <c r="C941">
        <f>IF($A941=1,SUM($A$2:$A941),0)</f>
        <v/>
      </c>
    </row>
    <row r="942">
      <c r="A942">
        <f>IF(AND(OR('Compliance Database'!$A942='Data Transfer'!$B$4,'Compliance Database'!$A942='Data Transfer'!$B$5),OR('Data Transfer'!$B$6="",ISNUMBER(SEARCH('Data Transfer'!$B$6,'Compliance Database'!$D942&amp;" "&amp;'Compliance Database'!$K942&amp;" "&amp;'Compliance Database'!$L942&amp;" "&amp;'Compliance Database'!$M942&amp;" "&amp;'Compliance Database'!$N942)))),1,0)</f>
        <v/>
      </c>
      <c r="B942">
        <f>IF($A942=1,SUM($A$2:$A942),"")</f>
        <v/>
      </c>
      <c r="C942">
        <f>IF($A942=1,SUM($A$2:$A942),0)</f>
        <v/>
      </c>
    </row>
    <row r="943">
      <c r="A943">
        <f>IF(AND(OR('Compliance Database'!$A943='Data Transfer'!$B$4,'Compliance Database'!$A943='Data Transfer'!$B$5),OR('Data Transfer'!$B$6="",ISNUMBER(SEARCH('Data Transfer'!$B$6,'Compliance Database'!$D943&amp;" "&amp;'Compliance Database'!$K943&amp;" "&amp;'Compliance Database'!$L943&amp;" "&amp;'Compliance Database'!$M943&amp;" "&amp;'Compliance Database'!$N943)))),1,0)</f>
        <v/>
      </c>
      <c r="B943">
        <f>IF($A943=1,SUM($A$2:$A943),"")</f>
        <v/>
      </c>
      <c r="C943">
        <f>IF($A943=1,SUM($A$2:$A943),0)</f>
        <v/>
      </c>
    </row>
    <row r="944">
      <c r="A944">
        <f>IF(AND(OR('Compliance Database'!$A944='Data Transfer'!$B$4,'Compliance Database'!$A944='Data Transfer'!$B$5),OR('Data Transfer'!$B$6="",ISNUMBER(SEARCH('Data Transfer'!$B$6,'Compliance Database'!$D944&amp;" "&amp;'Compliance Database'!$K944&amp;" "&amp;'Compliance Database'!$L944&amp;" "&amp;'Compliance Database'!$M944&amp;" "&amp;'Compliance Database'!$N944)))),1,0)</f>
        <v/>
      </c>
      <c r="B944">
        <f>IF($A944=1,SUM($A$2:$A944),"")</f>
        <v/>
      </c>
      <c r="C944">
        <f>IF($A944=1,SUM($A$2:$A944),0)</f>
        <v/>
      </c>
    </row>
    <row r="945">
      <c r="A945">
        <f>IF(AND(OR('Compliance Database'!$A945='Data Transfer'!$B$4,'Compliance Database'!$A945='Data Transfer'!$B$5),OR('Data Transfer'!$B$6="",ISNUMBER(SEARCH('Data Transfer'!$B$6,'Compliance Database'!$D945&amp;" "&amp;'Compliance Database'!$K945&amp;" "&amp;'Compliance Database'!$L945&amp;" "&amp;'Compliance Database'!$M945&amp;" "&amp;'Compliance Database'!$N945)))),1,0)</f>
        <v/>
      </c>
      <c r="B945">
        <f>IF($A945=1,SUM($A$2:$A945),"")</f>
        <v/>
      </c>
      <c r="C945">
        <f>IF($A945=1,SUM($A$2:$A945),0)</f>
        <v/>
      </c>
    </row>
    <row r="946">
      <c r="A946">
        <f>IF(AND(OR('Compliance Database'!$A946='Data Transfer'!$B$4,'Compliance Database'!$A946='Data Transfer'!$B$5),OR('Data Transfer'!$B$6="",ISNUMBER(SEARCH('Data Transfer'!$B$6,'Compliance Database'!$D946&amp;" "&amp;'Compliance Database'!$K946&amp;" "&amp;'Compliance Database'!$L946&amp;" "&amp;'Compliance Database'!$M946&amp;" "&amp;'Compliance Database'!$N946)))),1,0)</f>
        <v/>
      </c>
      <c r="B946">
        <f>IF($A946=1,SUM($A$2:$A946),"")</f>
        <v/>
      </c>
      <c r="C946">
        <f>IF($A946=1,SUM($A$2:$A946),0)</f>
        <v/>
      </c>
    </row>
    <row r="947">
      <c r="A947">
        <f>IF(AND(OR('Compliance Database'!$A947='Data Transfer'!$B$4,'Compliance Database'!$A947='Data Transfer'!$B$5),OR('Data Transfer'!$B$6="",ISNUMBER(SEARCH('Data Transfer'!$B$6,'Compliance Database'!$D947&amp;" "&amp;'Compliance Database'!$K947&amp;" "&amp;'Compliance Database'!$L947&amp;" "&amp;'Compliance Database'!$M947&amp;" "&amp;'Compliance Database'!$N947)))),1,0)</f>
        <v/>
      </c>
      <c r="B947">
        <f>IF($A947=1,SUM($A$2:$A947),"")</f>
        <v/>
      </c>
      <c r="C947">
        <f>IF($A947=1,SUM($A$2:$A947),0)</f>
        <v/>
      </c>
    </row>
    <row r="948">
      <c r="A948">
        <f>IF(AND(OR('Compliance Database'!$A948='Data Transfer'!$B$4,'Compliance Database'!$A948='Data Transfer'!$B$5),OR('Data Transfer'!$B$6="",ISNUMBER(SEARCH('Data Transfer'!$B$6,'Compliance Database'!$D948&amp;" "&amp;'Compliance Database'!$K948&amp;" "&amp;'Compliance Database'!$L948&amp;" "&amp;'Compliance Database'!$M948&amp;" "&amp;'Compliance Database'!$N948)))),1,0)</f>
        <v/>
      </c>
      <c r="B948">
        <f>IF($A948=1,SUM($A$2:$A948),"")</f>
        <v/>
      </c>
      <c r="C948">
        <f>IF($A948=1,SUM($A$2:$A948),0)</f>
        <v/>
      </c>
    </row>
    <row r="949">
      <c r="A949">
        <f>IF(AND(OR('Compliance Database'!$A949='Data Transfer'!$B$4,'Compliance Database'!$A949='Data Transfer'!$B$5),OR('Data Transfer'!$B$6="",ISNUMBER(SEARCH('Data Transfer'!$B$6,'Compliance Database'!$D949&amp;" "&amp;'Compliance Database'!$K949&amp;" "&amp;'Compliance Database'!$L949&amp;" "&amp;'Compliance Database'!$M949&amp;" "&amp;'Compliance Database'!$N949)))),1,0)</f>
        <v/>
      </c>
      <c r="B949">
        <f>IF($A949=1,SUM($A$2:$A949),"")</f>
        <v/>
      </c>
      <c r="C949">
        <f>IF($A949=1,SUM($A$2:$A949),0)</f>
        <v/>
      </c>
    </row>
    <row r="950">
      <c r="A950">
        <f>IF(AND(OR('Compliance Database'!$A950='Data Transfer'!$B$4,'Compliance Database'!$A950='Data Transfer'!$B$5),OR('Data Transfer'!$B$6="",ISNUMBER(SEARCH('Data Transfer'!$B$6,'Compliance Database'!$D950&amp;" "&amp;'Compliance Database'!$K950&amp;" "&amp;'Compliance Database'!$L950&amp;" "&amp;'Compliance Database'!$M950&amp;" "&amp;'Compliance Database'!$N950)))),1,0)</f>
        <v/>
      </c>
      <c r="B950">
        <f>IF($A950=1,SUM($A$2:$A950),"")</f>
        <v/>
      </c>
      <c r="C950">
        <f>IF($A950=1,SUM($A$2:$A950),0)</f>
        <v/>
      </c>
    </row>
    <row r="951">
      <c r="A951">
        <f>IF(AND(OR('Compliance Database'!$A951='Data Transfer'!$B$4,'Compliance Database'!$A951='Data Transfer'!$B$5),OR('Data Transfer'!$B$6="",ISNUMBER(SEARCH('Data Transfer'!$B$6,'Compliance Database'!$D951&amp;" "&amp;'Compliance Database'!$K951&amp;" "&amp;'Compliance Database'!$L951&amp;" "&amp;'Compliance Database'!$M951&amp;" "&amp;'Compliance Database'!$N951)))),1,0)</f>
        <v/>
      </c>
      <c r="B951">
        <f>IF($A951=1,SUM($A$2:$A951),"")</f>
        <v/>
      </c>
      <c r="C951">
        <f>IF($A951=1,SUM($A$2:$A951),0)</f>
        <v/>
      </c>
    </row>
    <row r="952">
      <c r="A952">
        <f>IF(AND(OR('Compliance Database'!$A952='Data Transfer'!$B$4,'Compliance Database'!$A952='Data Transfer'!$B$5),OR('Data Transfer'!$B$6="",ISNUMBER(SEARCH('Data Transfer'!$B$6,'Compliance Database'!$D952&amp;" "&amp;'Compliance Database'!$K952&amp;" "&amp;'Compliance Database'!$L952&amp;" "&amp;'Compliance Database'!$M952&amp;" "&amp;'Compliance Database'!$N952)))),1,0)</f>
        <v/>
      </c>
      <c r="B952">
        <f>IF($A952=1,SUM($A$2:$A952),"")</f>
        <v/>
      </c>
      <c r="C952">
        <f>IF($A952=1,SUM($A$2:$A952),0)</f>
        <v/>
      </c>
    </row>
    <row r="953">
      <c r="A953">
        <f>IF(AND(OR('Compliance Database'!$A953='Data Transfer'!$B$4,'Compliance Database'!$A953='Data Transfer'!$B$5),OR('Data Transfer'!$B$6="",ISNUMBER(SEARCH('Data Transfer'!$B$6,'Compliance Database'!$D953&amp;" "&amp;'Compliance Database'!$K953&amp;" "&amp;'Compliance Database'!$L953&amp;" "&amp;'Compliance Database'!$M953&amp;" "&amp;'Compliance Database'!$N953)))),1,0)</f>
        <v/>
      </c>
      <c r="B953">
        <f>IF($A953=1,SUM($A$2:$A953),"")</f>
        <v/>
      </c>
      <c r="C953">
        <f>IF($A953=1,SUM($A$2:$A953),0)</f>
        <v/>
      </c>
    </row>
    <row r="954">
      <c r="A954">
        <f>IF(AND(OR('Compliance Database'!$A954='Data Transfer'!$B$4,'Compliance Database'!$A954='Data Transfer'!$B$5),OR('Data Transfer'!$B$6="",ISNUMBER(SEARCH('Data Transfer'!$B$6,'Compliance Database'!$D954&amp;" "&amp;'Compliance Database'!$K954&amp;" "&amp;'Compliance Database'!$L954&amp;" "&amp;'Compliance Database'!$M954&amp;" "&amp;'Compliance Database'!$N954)))),1,0)</f>
        <v/>
      </c>
      <c r="B954">
        <f>IF($A954=1,SUM($A$2:$A954),"")</f>
        <v/>
      </c>
      <c r="C954">
        <f>IF($A954=1,SUM($A$2:$A954),0)</f>
        <v/>
      </c>
    </row>
    <row r="955">
      <c r="A955">
        <f>IF(AND(OR('Compliance Database'!$A955='Data Transfer'!$B$4,'Compliance Database'!$A955='Data Transfer'!$B$5),OR('Data Transfer'!$B$6="",ISNUMBER(SEARCH('Data Transfer'!$B$6,'Compliance Database'!$D955&amp;" "&amp;'Compliance Database'!$K955&amp;" "&amp;'Compliance Database'!$L955&amp;" "&amp;'Compliance Database'!$M955&amp;" "&amp;'Compliance Database'!$N955)))),1,0)</f>
        <v/>
      </c>
      <c r="B955">
        <f>IF($A955=1,SUM($A$2:$A955),"")</f>
        <v/>
      </c>
      <c r="C955">
        <f>IF($A955=1,SUM($A$2:$A955),0)</f>
        <v/>
      </c>
    </row>
    <row r="956">
      <c r="A956">
        <f>IF(AND(OR('Compliance Database'!$A956='Data Transfer'!$B$4,'Compliance Database'!$A956='Data Transfer'!$B$5),OR('Data Transfer'!$B$6="",ISNUMBER(SEARCH('Data Transfer'!$B$6,'Compliance Database'!$D956&amp;" "&amp;'Compliance Database'!$K956&amp;" "&amp;'Compliance Database'!$L956&amp;" "&amp;'Compliance Database'!$M956&amp;" "&amp;'Compliance Database'!$N956)))),1,0)</f>
        <v/>
      </c>
      <c r="B956">
        <f>IF($A956=1,SUM($A$2:$A956),"")</f>
        <v/>
      </c>
      <c r="C956">
        <f>IF($A956=1,SUM($A$2:$A956),0)</f>
        <v/>
      </c>
    </row>
    <row r="957">
      <c r="A957">
        <f>IF(AND(OR('Compliance Database'!$A957='Data Transfer'!$B$4,'Compliance Database'!$A957='Data Transfer'!$B$5),OR('Data Transfer'!$B$6="",ISNUMBER(SEARCH('Data Transfer'!$B$6,'Compliance Database'!$D957&amp;" "&amp;'Compliance Database'!$K957&amp;" "&amp;'Compliance Database'!$L957&amp;" "&amp;'Compliance Database'!$M957&amp;" "&amp;'Compliance Database'!$N957)))),1,0)</f>
        <v/>
      </c>
      <c r="B957">
        <f>IF($A957=1,SUM($A$2:$A957),"")</f>
        <v/>
      </c>
      <c r="C957">
        <f>IF($A957=1,SUM($A$2:$A957),0)</f>
        <v/>
      </c>
    </row>
    <row r="958">
      <c r="A958">
        <f>IF(AND(OR('Compliance Database'!$A958='Data Transfer'!$B$4,'Compliance Database'!$A958='Data Transfer'!$B$5),OR('Data Transfer'!$B$6="",ISNUMBER(SEARCH('Data Transfer'!$B$6,'Compliance Database'!$D958&amp;" "&amp;'Compliance Database'!$K958&amp;" "&amp;'Compliance Database'!$L958&amp;" "&amp;'Compliance Database'!$M958&amp;" "&amp;'Compliance Database'!$N958)))),1,0)</f>
        <v/>
      </c>
      <c r="B958">
        <f>IF($A958=1,SUM($A$2:$A958),"")</f>
        <v/>
      </c>
      <c r="C958">
        <f>IF($A958=1,SUM($A$2:$A958),0)</f>
        <v/>
      </c>
    </row>
    <row r="959">
      <c r="A959">
        <f>IF(AND(OR('Compliance Database'!$A959='Data Transfer'!$B$4,'Compliance Database'!$A959='Data Transfer'!$B$5),OR('Data Transfer'!$B$6="",ISNUMBER(SEARCH('Data Transfer'!$B$6,'Compliance Database'!$D959&amp;" "&amp;'Compliance Database'!$K959&amp;" "&amp;'Compliance Database'!$L959&amp;" "&amp;'Compliance Database'!$M959&amp;" "&amp;'Compliance Database'!$N959)))),1,0)</f>
        <v/>
      </c>
      <c r="B959">
        <f>IF($A959=1,SUM($A$2:$A959),"")</f>
        <v/>
      </c>
      <c r="C959">
        <f>IF($A959=1,SUM($A$2:$A959),0)</f>
        <v/>
      </c>
    </row>
    <row r="960">
      <c r="A960">
        <f>IF(AND(OR('Compliance Database'!$A960='Data Transfer'!$B$4,'Compliance Database'!$A960='Data Transfer'!$B$5),OR('Data Transfer'!$B$6="",ISNUMBER(SEARCH('Data Transfer'!$B$6,'Compliance Database'!$D960&amp;" "&amp;'Compliance Database'!$K960&amp;" "&amp;'Compliance Database'!$L960&amp;" "&amp;'Compliance Database'!$M960&amp;" "&amp;'Compliance Database'!$N960)))),1,0)</f>
        <v/>
      </c>
      <c r="B960">
        <f>IF($A960=1,SUM($A$2:$A960),"")</f>
        <v/>
      </c>
      <c r="C960">
        <f>IF($A960=1,SUM($A$2:$A960),0)</f>
        <v/>
      </c>
    </row>
    <row r="961">
      <c r="A961">
        <f>IF(AND(OR('Compliance Database'!$A961='Data Transfer'!$B$4,'Compliance Database'!$A961='Data Transfer'!$B$5),OR('Data Transfer'!$B$6="",ISNUMBER(SEARCH('Data Transfer'!$B$6,'Compliance Database'!$D961&amp;" "&amp;'Compliance Database'!$K961&amp;" "&amp;'Compliance Database'!$L961&amp;" "&amp;'Compliance Database'!$M961&amp;" "&amp;'Compliance Database'!$N961)))),1,0)</f>
        <v/>
      </c>
      <c r="B961">
        <f>IF($A961=1,SUM($A$2:$A961),"")</f>
        <v/>
      </c>
      <c r="C961">
        <f>IF($A961=1,SUM($A$2:$A961),0)</f>
        <v/>
      </c>
    </row>
    <row r="962">
      <c r="A962">
        <f>IF(AND(OR('Compliance Database'!$A962='Data Transfer'!$B$4,'Compliance Database'!$A962='Data Transfer'!$B$5),OR('Data Transfer'!$B$6="",ISNUMBER(SEARCH('Data Transfer'!$B$6,'Compliance Database'!$D962&amp;" "&amp;'Compliance Database'!$K962&amp;" "&amp;'Compliance Database'!$L962&amp;" "&amp;'Compliance Database'!$M962&amp;" "&amp;'Compliance Database'!$N962)))),1,0)</f>
        <v/>
      </c>
      <c r="B962">
        <f>IF($A962=1,SUM($A$2:$A962),"")</f>
        <v/>
      </c>
      <c r="C962">
        <f>IF($A962=1,SUM($A$2:$A962),0)</f>
        <v/>
      </c>
    </row>
    <row r="963">
      <c r="A963">
        <f>IF(AND(OR('Compliance Database'!$A963='Data Transfer'!$B$4,'Compliance Database'!$A963='Data Transfer'!$B$5),OR('Data Transfer'!$B$6="",ISNUMBER(SEARCH('Data Transfer'!$B$6,'Compliance Database'!$D963&amp;" "&amp;'Compliance Database'!$K963&amp;" "&amp;'Compliance Database'!$L963&amp;" "&amp;'Compliance Database'!$M963&amp;" "&amp;'Compliance Database'!$N963)))),1,0)</f>
        <v/>
      </c>
      <c r="B963">
        <f>IF($A963=1,SUM($A$2:$A963),"")</f>
        <v/>
      </c>
      <c r="C963">
        <f>IF($A963=1,SUM($A$2:$A963),0)</f>
        <v/>
      </c>
    </row>
    <row r="964">
      <c r="A964">
        <f>IF(AND(OR('Compliance Database'!$A964='Data Transfer'!$B$4,'Compliance Database'!$A964='Data Transfer'!$B$5),OR('Data Transfer'!$B$6="",ISNUMBER(SEARCH('Data Transfer'!$B$6,'Compliance Database'!$D964&amp;" "&amp;'Compliance Database'!$K964&amp;" "&amp;'Compliance Database'!$L964&amp;" "&amp;'Compliance Database'!$M964&amp;" "&amp;'Compliance Database'!$N964)))),1,0)</f>
        <v/>
      </c>
      <c r="B964">
        <f>IF($A964=1,SUM($A$2:$A964),"")</f>
        <v/>
      </c>
      <c r="C964">
        <f>IF($A964=1,SUM($A$2:$A964),0)</f>
        <v/>
      </c>
    </row>
    <row r="965">
      <c r="A965">
        <f>IF(AND(OR('Compliance Database'!$A965='Data Transfer'!$B$4,'Compliance Database'!$A965='Data Transfer'!$B$5),OR('Data Transfer'!$B$6="",ISNUMBER(SEARCH('Data Transfer'!$B$6,'Compliance Database'!$D965&amp;" "&amp;'Compliance Database'!$K965&amp;" "&amp;'Compliance Database'!$L965&amp;" "&amp;'Compliance Database'!$M965&amp;" "&amp;'Compliance Database'!$N965)))),1,0)</f>
        <v/>
      </c>
      <c r="B965">
        <f>IF($A965=1,SUM($A$2:$A965),"")</f>
        <v/>
      </c>
      <c r="C965">
        <f>IF($A965=1,SUM($A$2:$A965),0)</f>
        <v/>
      </c>
    </row>
    <row r="966">
      <c r="A966">
        <f>IF(AND(OR('Compliance Database'!$A966='Data Transfer'!$B$4,'Compliance Database'!$A966='Data Transfer'!$B$5),OR('Data Transfer'!$B$6="",ISNUMBER(SEARCH('Data Transfer'!$B$6,'Compliance Database'!$D966&amp;" "&amp;'Compliance Database'!$K966&amp;" "&amp;'Compliance Database'!$L966&amp;" "&amp;'Compliance Database'!$M966&amp;" "&amp;'Compliance Database'!$N966)))),1,0)</f>
        <v/>
      </c>
      <c r="B966">
        <f>IF($A966=1,SUM($A$2:$A966),"")</f>
        <v/>
      </c>
      <c r="C966">
        <f>IF($A966=1,SUM($A$2:$A966),0)</f>
        <v/>
      </c>
    </row>
    <row r="967">
      <c r="A967">
        <f>IF(AND(OR('Compliance Database'!$A967='Data Transfer'!$B$4,'Compliance Database'!$A967='Data Transfer'!$B$5),OR('Data Transfer'!$B$6="",ISNUMBER(SEARCH('Data Transfer'!$B$6,'Compliance Database'!$D967&amp;" "&amp;'Compliance Database'!$K967&amp;" "&amp;'Compliance Database'!$L967&amp;" "&amp;'Compliance Database'!$M967&amp;" "&amp;'Compliance Database'!$N967)))),1,0)</f>
        <v/>
      </c>
      <c r="B967">
        <f>IF($A967=1,SUM($A$2:$A967),"")</f>
        <v/>
      </c>
      <c r="C967">
        <f>IF($A967=1,SUM($A$2:$A967),0)</f>
        <v/>
      </c>
    </row>
    <row r="968">
      <c r="A968">
        <f>IF(AND(OR('Compliance Database'!$A968='Data Transfer'!$B$4,'Compliance Database'!$A968='Data Transfer'!$B$5),OR('Data Transfer'!$B$6="",ISNUMBER(SEARCH('Data Transfer'!$B$6,'Compliance Database'!$D968&amp;" "&amp;'Compliance Database'!$K968&amp;" "&amp;'Compliance Database'!$L968&amp;" "&amp;'Compliance Database'!$M968&amp;" "&amp;'Compliance Database'!$N968)))),1,0)</f>
        <v/>
      </c>
      <c r="B968">
        <f>IF($A968=1,SUM($A$2:$A968),"")</f>
        <v/>
      </c>
      <c r="C968">
        <f>IF($A968=1,SUM($A$2:$A968),0)</f>
        <v/>
      </c>
    </row>
    <row r="969">
      <c r="A969">
        <f>IF(AND(OR('Compliance Database'!$A969='Data Transfer'!$B$4,'Compliance Database'!$A969='Data Transfer'!$B$5),OR('Data Transfer'!$B$6="",ISNUMBER(SEARCH('Data Transfer'!$B$6,'Compliance Database'!$D969&amp;" "&amp;'Compliance Database'!$K969&amp;" "&amp;'Compliance Database'!$L969&amp;" "&amp;'Compliance Database'!$M969&amp;" "&amp;'Compliance Database'!$N969)))),1,0)</f>
        <v/>
      </c>
      <c r="B969">
        <f>IF($A969=1,SUM($A$2:$A969),"")</f>
        <v/>
      </c>
      <c r="C969">
        <f>IF($A969=1,SUM($A$2:$A969),0)</f>
        <v/>
      </c>
    </row>
    <row r="970">
      <c r="A970">
        <f>IF(AND(OR('Compliance Database'!$A970='Data Transfer'!$B$4,'Compliance Database'!$A970='Data Transfer'!$B$5),OR('Data Transfer'!$B$6="",ISNUMBER(SEARCH('Data Transfer'!$B$6,'Compliance Database'!$D970&amp;" "&amp;'Compliance Database'!$K970&amp;" "&amp;'Compliance Database'!$L970&amp;" "&amp;'Compliance Database'!$M970&amp;" "&amp;'Compliance Database'!$N970)))),1,0)</f>
        <v/>
      </c>
      <c r="B970">
        <f>IF($A970=1,SUM($A$2:$A970),"")</f>
        <v/>
      </c>
      <c r="C970">
        <f>IF($A970=1,SUM($A$2:$A970),0)</f>
        <v/>
      </c>
    </row>
    <row r="971">
      <c r="A971">
        <f>IF(AND(OR('Compliance Database'!$A971='Data Transfer'!$B$4,'Compliance Database'!$A971='Data Transfer'!$B$5),OR('Data Transfer'!$B$6="",ISNUMBER(SEARCH('Data Transfer'!$B$6,'Compliance Database'!$D971&amp;" "&amp;'Compliance Database'!$K971&amp;" "&amp;'Compliance Database'!$L971&amp;" "&amp;'Compliance Database'!$M971&amp;" "&amp;'Compliance Database'!$N971)))),1,0)</f>
        <v/>
      </c>
      <c r="B971">
        <f>IF($A971=1,SUM($A$2:$A971),"")</f>
        <v/>
      </c>
      <c r="C971">
        <f>IF($A971=1,SUM($A$2:$A971),0)</f>
        <v/>
      </c>
    </row>
    <row r="972">
      <c r="A972">
        <f>IF(AND(OR('Compliance Database'!$A972='Data Transfer'!$B$4,'Compliance Database'!$A972='Data Transfer'!$B$5),OR('Data Transfer'!$B$6="",ISNUMBER(SEARCH('Data Transfer'!$B$6,'Compliance Database'!$D972&amp;" "&amp;'Compliance Database'!$K972&amp;" "&amp;'Compliance Database'!$L972&amp;" "&amp;'Compliance Database'!$M972&amp;" "&amp;'Compliance Database'!$N972)))),1,0)</f>
        <v/>
      </c>
      <c r="B972">
        <f>IF($A972=1,SUM($A$2:$A972),"")</f>
        <v/>
      </c>
      <c r="C972">
        <f>IF($A972=1,SUM($A$2:$A972),0)</f>
        <v/>
      </c>
    </row>
    <row r="973">
      <c r="A973">
        <f>IF(AND(OR('Compliance Database'!$A973='Data Transfer'!$B$4,'Compliance Database'!$A973='Data Transfer'!$B$5),OR('Data Transfer'!$B$6="",ISNUMBER(SEARCH('Data Transfer'!$B$6,'Compliance Database'!$D973&amp;" "&amp;'Compliance Database'!$K973&amp;" "&amp;'Compliance Database'!$L973&amp;" "&amp;'Compliance Database'!$M973&amp;" "&amp;'Compliance Database'!$N973)))),1,0)</f>
        <v/>
      </c>
      <c r="B973">
        <f>IF($A973=1,SUM($A$2:$A973),"")</f>
        <v/>
      </c>
      <c r="C973">
        <f>IF($A973=1,SUM($A$2:$A973),0)</f>
        <v/>
      </c>
    </row>
    <row r="974">
      <c r="A974">
        <f>IF(AND(OR('Compliance Database'!$A974='Data Transfer'!$B$4,'Compliance Database'!$A974='Data Transfer'!$B$5),OR('Data Transfer'!$B$6="",ISNUMBER(SEARCH('Data Transfer'!$B$6,'Compliance Database'!$D974&amp;" "&amp;'Compliance Database'!$K974&amp;" "&amp;'Compliance Database'!$L974&amp;" "&amp;'Compliance Database'!$M974&amp;" "&amp;'Compliance Database'!$N974)))),1,0)</f>
        <v/>
      </c>
      <c r="B974">
        <f>IF($A974=1,SUM($A$2:$A974),"")</f>
        <v/>
      </c>
      <c r="C974">
        <f>IF($A974=1,SUM($A$2:$A974),0)</f>
        <v/>
      </c>
    </row>
    <row r="975">
      <c r="A975">
        <f>IF(AND(OR('Compliance Database'!$A975='Data Transfer'!$B$4,'Compliance Database'!$A975='Data Transfer'!$B$5),OR('Data Transfer'!$B$6="",ISNUMBER(SEARCH('Data Transfer'!$B$6,'Compliance Database'!$D975&amp;" "&amp;'Compliance Database'!$K975&amp;" "&amp;'Compliance Database'!$L975&amp;" "&amp;'Compliance Database'!$M975&amp;" "&amp;'Compliance Database'!$N975)))),1,0)</f>
        <v/>
      </c>
      <c r="B975">
        <f>IF($A975=1,SUM($A$2:$A975),"")</f>
        <v/>
      </c>
      <c r="C975">
        <f>IF($A975=1,SUM($A$2:$A975),0)</f>
        <v/>
      </c>
    </row>
    <row r="976">
      <c r="A976">
        <f>IF(AND(OR('Compliance Database'!$A976='Data Transfer'!$B$4,'Compliance Database'!$A976='Data Transfer'!$B$5),OR('Data Transfer'!$B$6="",ISNUMBER(SEARCH('Data Transfer'!$B$6,'Compliance Database'!$D976&amp;" "&amp;'Compliance Database'!$K976&amp;" "&amp;'Compliance Database'!$L976&amp;" "&amp;'Compliance Database'!$M976&amp;" "&amp;'Compliance Database'!$N976)))),1,0)</f>
        <v/>
      </c>
      <c r="B976">
        <f>IF($A976=1,SUM($A$2:$A976),"")</f>
        <v/>
      </c>
      <c r="C976">
        <f>IF($A976=1,SUM($A$2:$A976),0)</f>
        <v/>
      </c>
    </row>
    <row r="977">
      <c r="A977">
        <f>IF(AND(OR('Compliance Database'!$A977='Data Transfer'!$B$4,'Compliance Database'!$A977='Data Transfer'!$B$5),OR('Data Transfer'!$B$6="",ISNUMBER(SEARCH('Data Transfer'!$B$6,'Compliance Database'!$D977&amp;" "&amp;'Compliance Database'!$K977&amp;" "&amp;'Compliance Database'!$L977&amp;" "&amp;'Compliance Database'!$M977&amp;" "&amp;'Compliance Database'!$N977)))),1,0)</f>
        <v/>
      </c>
      <c r="B977">
        <f>IF($A977=1,SUM($A$2:$A977),"")</f>
        <v/>
      </c>
      <c r="C977">
        <f>IF($A977=1,SUM($A$2:$A977),0)</f>
        <v/>
      </c>
    </row>
    <row r="978">
      <c r="A978">
        <f>IF(AND(OR('Compliance Database'!$A978='Data Transfer'!$B$4,'Compliance Database'!$A978='Data Transfer'!$B$5),OR('Data Transfer'!$B$6="",ISNUMBER(SEARCH('Data Transfer'!$B$6,'Compliance Database'!$D978&amp;" "&amp;'Compliance Database'!$K978&amp;" "&amp;'Compliance Database'!$L978&amp;" "&amp;'Compliance Database'!$M978&amp;" "&amp;'Compliance Database'!$N978)))),1,0)</f>
        <v/>
      </c>
      <c r="B978">
        <f>IF($A978=1,SUM($A$2:$A978),"")</f>
        <v/>
      </c>
      <c r="C978">
        <f>IF($A978=1,SUM($A$2:$A978),0)</f>
        <v/>
      </c>
    </row>
    <row r="979">
      <c r="A979">
        <f>IF(AND(OR('Compliance Database'!$A979='Data Transfer'!$B$4,'Compliance Database'!$A979='Data Transfer'!$B$5),OR('Data Transfer'!$B$6="",ISNUMBER(SEARCH('Data Transfer'!$B$6,'Compliance Database'!$D979&amp;" "&amp;'Compliance Database'!$K979&amp;" "&amp;'Compliance Database'!$L979&amp;" "&amp;'Compliance Database'!$M979&amp;" "&amp;'Compliance Database'!$N979)))),1,0)</f>
        <v/>
      </c>
      <c r="B979">
        <f>IF($A979=1,SUM($A$2:$A979),"")</f>
        <v/>
      </c>
      <c r="C979">
        <f>IF($A979=1,SUM($A$2:$A979),0)</f>
        <v/>
      </c>
    </row>
    <row r="980">
      <c r="A980">
        <f>IF(AND(OR('Compliance Database'!$A980='Data Transfer'!$B$4,'Compliance Database'!$A980='Data Transfer'!$B$5),OR('Data Transfer'!$B$6="",ISNUMBER(SEARCH('Data Transfer'!$B$6,'Compliance Database'!$D980&amp;" "&amp;'Compliance Database'!$K980&amp;" "&amp;'Compliance Database'!$L980&amp;" "&amp;'Compliance Database'!$M980&amp;" "&amp;'Compliance Database'!$N980)))),1,0)</f>
        <v/>
      </c>
      <c r="B980">
        <f>IF($A980=1,SUM($A$2:$A980),"")</f>
        <v/>
      </c>
      <c r="C980">
        <f>IF($A980=1,SUM($A$2:$A980),0)</f>
        <v/>
      </c>
    </row>
    <row r="981">
      <c r="A981">
        <f>IF(AND(OR('Compliance Database'!$A981='Data Transfer'!$B$4,'Compliance Database'!$A981='Data Transfer'!$B$5),OR('Data Transfer'!$B$6="",ISNUMBER(SEARCH('Data Transfer'!$B$6,'Compliance Database'!$D981&amp;" "&amp;'Compliance Database'!$K981&amp;" "&amp;'Compliance Database'!$L981&amp;" "&amp;'Compliance Database'!$M981&amp;" "&amp;'Compliance Database'!$N981)))),1,0)</f>
        <v/>
      </c>
      <c r="B981">
        <f>IF($A981=1,SUM($A$2:$A981),"")</f>
        <v/>
      </c>
      <c r="C981">
        <f>IF($A981=1,SUM($A$2:$A981),0)</f>
        <v/>
      </c>
    </row>
    <row r="982">
      <c r="A982">
        <f>IF(AND(OR('Compliance Database'!$A982='Data Transfer'!$B$4,'Compliance Database'!$A982='Data Transfer'!$B$5),OR('Data Transfer'!$B$6="",ISNUMBER(SEARCH('Data Transfer'!$B$6,'Compliance Database'!$D982&amp;" "&amp;'Compliance Database'!$K982&amp;" "&amp;'Compliance Database'!$L982&amp;" "&amp;'Compliance Database'!$M982&amp;" "&amp;'Compliance Database'!$N982)))),1,0)</f>
        <v/>
      </c>
      <c r="B982">
        <f>IF($A982=1,SUM($A$2:$A982),"")</f>
        <v/>
      </c>
      <c r="C982">
        <f>IF($A982=1,SUM($A$2:$A982),0)</f>
        <v/>
      </c>
    </row>
    <row r="983">
      <c r="A983">
        <f>IF(AND(OR('Compliance Database'!$A983='Data Transfer'!$B$4,'Compliance Database'!$A983='Data Transfer'!$B$5),OR('Data Transfer'!$B$6="",ISNUMBER(SEARCH('Data Transfer'!$B$6,'Compliance Database'!$D983&amp;" "&amp;'Compliance Database'!$K983&amp;" "&amp;'Compliance Database'!$L983&amp;" "&amp;'Compliance Database'!$M983&amp;" "&amp;'Compliance Database'!$N983)))),1,0)</f>
        <v/>
      </c>
      <c r="B983">
        <f>IF($A983=1,SUM($A$2:$A983),"")</f>
        <v/>
      </c>
      <c r="C983">
        <f>IF($A983=1,SUM($A$2:$A983),0)</f>
        <v/>
      </c>
    </row>
    <row r="984">
      <c r="A984">
        <f>IF(AND(OR('Compliance Database'!$A984='Data Transfer'!$B$4,'Compliance Database'!$A984='Data Transfer'!$B$5),OR('Data Transfer'!$B$6="",ISNUMBER(SEARCH('Data Transfer'!$B$6,'Compliance Database'!$D984&amp;" "&amp;'Compliance Database'!$K984&amp;" "&amp;'Compliance Database'!$L984&amp;" "&amp;'Compliance Database'!$M984&amp;" "&amp;'Compliance Database'!$N984)))),1,0)</f>
        <v/>
      </c>
      <c r="B984">
        <f>IF($A984=1,SUM($A$2:$A984),"")</f>
        <v/>
      </c>
      <c r="C984">
        <f>IF($A984=1,SUM($A$2:$A984),0)</f>
        <v/>
      </c>
    </row>
    <row r="985">
      <c r="A985">
        <f>IF(AND(OR('Compliance Database'!$A985='Data Transfer'!$B$4,'Compliance Database'!$A985='Data Transfer'!$B$5),OR('Data Transfer'!$B$6="",ISNUMBER(SEARCH('Data Transfer'!$B$6,'Compliance Database'!$D985&amp;" "&amp;'Compliance Database'!$K985&amp;" "&amp;'Compliance Database'!$L985&amp;" "&amp;'Compliance Database'!$M985&amp;" "&amp;'Compliance Database'!$N985)))),1,0)</f>
        <v/>
      </c>
      <c r="B985">
        <f>IF($A985=1,SUM($A$2:$A985),"")</f>
        <v/>
      </c>
      <c r="C985">
        <f>IF($A985=1,SUM($A$2:$A985),0)</f>
        <v/>
      </c>
    </row>
    <row r="986">
      <c r="A986">
        <f>IF(AND(OR('Compliance Database'!$A986='Data Transfer'!$B$4,'Compliance Database'!$A986='Data Transfer'!$B$5),OR('Data Transfer'!$B$6="",ISNUMBER(SEARCH('Data Transfer'!$B$6,'Compliance Database'!$D986&amp;" "&amp;'Compliance Database'!$K986&amp;" "&amp;'Compliance Database'!$L986&amp;" "&amp;'Compliance Database'!$M986&amp;" "&amp;'Compliance Database'!$N986)))),1,0)</f>
        <v/>
      </c>
      <c r="B986">
        <f>IF($A986=1,SUM($A$2:$A986),"")</f>
        <v/>
      </c>
      <c r="C986">
        <f>IF($A986=1,SUM($A$2:$A986),0)</f>
        <v/>
      </c>
    </row>
    <row r="987">
      <c r="A987">
        <f>IF(AND(OR('Compliance Database'!$A987='Data Transfer'!$B$4,'Compliance Database'!$A987='Data Transfer'!$B$5),OR('Data Transfer'!$B$6="",ISNUMBER(SEARCH('Data Transfer'!$B$6,'Compliance Database'!$D987&amp;" "&amp;'Compliance Database'!$K987&amp;" "&amp;'Compliance Database'!$L987&amp;" "&amp;'Compliance Database'!$M987&amp;" "&amp;'Compliance Database'!$N987)))),1,0)</f>
        <v/>
      </c>
      <c r="B987">
        <f>IF($A987=1,SUM($A$2:$A987),"")</f>
        <v/>
      </c>
      <c r="C987">
        <f>IF($A987=1,SUM($A$2:$A987),0)</f>
        <v/>
      </c>
    </row>
    <row r="988">
      <c r="A988">
        <f>IF(AND(OR('Compliance Database'!$A988='Data Transfer'!$B$4,'Compliance Database'!$A988='Data Transfer'!$B$5),OR('Data Transfer'!$B$6="",ISNUMBER(SEARCH('Data Transfer'!$B$6,'Compliance Database'!$D988&amp;" "&amp;'Compliance Database'!$K988&amp;" "&amp;'Compliance Database'!$L988&amp;" "&amp;'Compliance Database'!$M988&amp;" "&amp;'Compliance Database'!$N988)))),1,0)</f>
        <v/>
      </c>
      <c r="B988">
        <f>IF($A988=1,SUM($A$2:$A988),"")</f>
        <v/>
      </c>
      <c r="C988">
        <f>IF($A988=1,SUM($A$2:$A988),0)</f>
        <v/>
      </c>
    </row>
    <row r="989">
      <c r="A989">
        <f>IF(AND(OR('Compliance Database'!$A989='Data Transfer'!$B$4,'Compliance Database'!$A989='Data Transfer'!$B$5),OR('Data Transfer'!$B$6="",ISNUMBER(SEARCH('Data Transfer'!$B$6,'Compliance Database'!$D989&amp;" "&amp;'Compliance Database'!$K989&amp;" "&amp;'Compliance Database'!$L989&amp;" "&amp;'Compliance Database'!$M989&amp;" "&amp;'Compliance Database'!$N989)))),1,0)</f>
        <v/>
      </c>
      <c r="B989">
        <f>IF($A989=1,SUM($A$2:$A989),"")</f>
        <v/>
      </c>
      <c r="C989">
        <f>IF($A989=1,SUM($A$2:$A989),0)</f>
        <v/>
      </c>
    </row>
    <row r="990">
      <c r="A990">
        <f>IF(AND(OR('Compliance Database'!$A990='Data Transfer'!$B$4,'Compliance Database'!$A990='Data Transfer'!$B$5),OR('Data Transfer'!$B$6="",ISNUMBER(SEARCH('Data Transfer'!$B$6,'Compliance Database'!$D990&amp;" "&amp;'Compliance Database'!$K990&amp;" "&amp;'Compliance Database'!$L990&amp;" "&amp;'Compliance Database'!$M990&amp;" "&amp;'Compliance Database'!$N990)))),1,0)</f>
        <v/>
      </c>
      <c r="B990">
        <f>IF($A990=1,SUM($A$2:$A990),"")</f>
        <v/>
      </c>
      <c r="C990">
        <f>IF($A990=1,SUM($A$2:$A990),0)</f>
        <v/>
      </c>
    </row>
    <row r="991">
      <c r="A991">
        <f>IF(AND(OR('Compliance Database'!$A991='Data Transfer'!$B$4,'Compliance Database'!$A991='Data Transfer'!$B$5),OR('Data Transfer'!$B$6="",ISNUMBER(SEARCH('Data Transfer'!$B$6,'Compliance Database'!$D991&amp;" "&amp;'Compliance Database'!$K991&amp;" "&amp;'Compliance Database'!$L991&amp;" "&amp;'Compliance Database'!$M991&amp;" "&amp;'Compliance Database'!$N991)))),1,0)</f>
        <v/>
      </c>
      <c r="B991">
        <f>IF($A991=1,SUM($A$2:$A991),"")</f>
        <v/>
      </c>
      <c r="C991">
        <f>IF($A991=1,SUM($A$2:$A991),0)</f>
        <v/>
      </c>
    </row>
    <row r="992">
      <c r="A992">
        <f>IF(AND(OR('Compliance Database'!$A992='Data Transfer'!$B$4,'Compliance Database'!$A992='Data Transfer'!$B$5),OR('Data Transfer'!$B$6="",ISNUMBER(SEARCH('Data Transfer'!$B$6,'Compliance Database'!$D992&amp;" "&amp;'Compliance Database'!$K992&amp;" "&amp;'Compliance Database'!$L992&amp;" "&amp;'Compliance Database'!$M992&amp;" "&amp;'Compliance Database'!$N992)))),1,0)</f>
        <v/>
      </c>
      <c r="B992">
        <f>IF($A992=1,SUM($A$2:$A992),"")</f>
        <v/>
      </c>
      <c r="C992">
        <f>IF($A992=1,SUM($A$2:$A992),0)</f>
        <v/>
      </c>
    </row>
    <row r="993">
      <c r="A993">
        <f>IF(AND(OR('Compliance Database'!$A993='Data Transfer'!$B$4,'Compliance Database'!$A993='Data Transfer'!$B$5),OR('Data Transfer'!$B$6="",ISNUMBER(SEARCH('Data Transfer'!$B$6,'Compliance Database'!$D993&amp;" "&amp;'Compliance Database'!$K993&amp;" "&amp;'Compliance Database'!$L993&amp;" "&amp;'Compliance Database'!$M993&amp;" "&amp;'Compliance Database'!$N993)))),1,0)</f>
        <v/>
      </c>
      <c r="B993">
        <f>IF($A993=1,SUM($A$2:$A993),"")</f>
        <v/>
      </c>
      <c r="C993">
        <f>IF($A993=1,SUM($A$2:$A993),0)</f>
        <v/>
      </c>
    </row>
    <row r="994">
      <c r="A994">
        <f>IF(AND(OR('Compliance Database'!$A994='Data Transfer'!$B$4,'Compliance Database'!$A994='Data Transfer'!$B$5),OR('Data Transfer'!$B$6="",ISNUMBER(SEARCH('Data Transfer'!$B$6,'Compliance Database'!$D994&amp;" "&amp;'Compliance Database'!$K994&amp;" "&amp;'Compliance Database'!$L994&amp;" "&amp;'Compliance Database'!$M994&amp;" "&amp;'Compliance Database'!$N994)))),1,0)</f>
        <v/>
      </c>
      <c r="B994">
        <f>IF($A994=1,SUM($A$2:$A994),"")</f>
        <v/>
      </c>
      <c r="C994">
        <f>IF($A994=1,SUM($A$2:$A994),0)</f>
        <v/>
      </c>
    </row>
    <row r="995">
      <c r="A995">
        <f>IF(AND(OR('Compliance Database'!$A995='Data Transfer'!$B$4,'Compliance Database'!$A995='Data Transfer'!$B$5),OR('Data Transfer'!$B$6="",ISNUMBER(SEARCH('Data Transfer'!$B$6,'Compliance Database'!$D995&amp;" "&amp;'Compliance Database'!$K995&amp;" "&amp;'Compliance Database'!$L995&amp;" "&amp;'Compliance Database'!$M995&amp;" "&amp;'Compliance Database'!$N995)))),1,0)</f>
        <v/>
      </c>
      <c r="B995">
        <f>IF($A995=1,SUM($A$2:$A995),"")</f>
        <v/>
      </c>
      <c r="C995">
        <f>IF($A995=1,SUM($A$2:$A995),0)</f>
        <v/>
      </c>
    </row>
    <row r="996">
      <c r="A996">
        <f>IF(AND(OR('Compliance Database'!$A996='Data Transfer'!$B$4,'Compliance Database'!$A996='Data Transfer'!$B$5),OR('Data Transfer'!$B$6="",ISNUMBER(SEARCH('Data Transfer'!$B$6,'Compliance Database'!$D996&amp;" "&amp;'Compliance Database'!$K996&amp;" "&amp;'Compliance Database'!$L996&amp;" "&amp;'Compliance Database'!$M996&amp;" "&amp;'Compliance Database'!$N996)))),1,0)</f>
        <v/>
      </c>
      <c r="B996">
        <f>IF($A996=1,SUM($A$2:$A996),"")</f>
        <v/>
      </c>
      <c r="C996">
        <f>IF($A996=1,SUM($A$2:$A996),0)</f>
        <v/>
      </c>
    </row>
    <row r="997">
      <c r="A997">
        <f>IF(AND(OR('Compliance Database'!$A997='Data Transfer'!$B$4,'Compliance Database'!$A997='Data Transfer'!$B$5),OR('Data Transfer'!$B$6="",ISNUMBER(SEARCH('Data Transfer'!$B$6,'Compliance Database'!$D997&amp;" "&amp;'Compliance Database'!$K997&amp;" "&amp;'Compliance Database'!$L997&amp;" "&amp;'Compliance Database'!$M997&amp;" "&amp;'Compliance Database'!$N997)))),1,0)</f>
        <v/>
      </c>
      <c r="B997">
        <f>IF($A997=1,SUM($A$2:$A997),"")</f>
        <v/>
      </c>
      <c r="C997">
        <f>IF($A997=1,SUM($A$2:$A997),0)</f>
        <v/>
      </c>
    </row>
    <row r="998">
      <c r="A998">
        <f>IF(AND(OR('Compliance Database'!$A998='Data Transfer'!$B$4,'Compliance Database'!$A998='Data Transfer'!$B$5),OR('Data Transfer'!$B$6="",ISNUMBER(SEARCH('Data Transfer'!$B$6,'Compliance Database'!$D998&amp;" "&amp;'Compliance Database'!$K998&amp;" "&amp;'Compliance Database'!$L998&amp;" "&amp;'Compliance Database'!$M998&amp;" "&amp;'Compliance Database'!$N998)))),1,0)</f>
        <v/>
      </c>
      <c r="B998">
        <f>IF($A998=1,SUM($A$2:$A998),"")</f>
        <v/>
      </c>
      <c r="C998">
        <f>IF($A998=1,SUM($A$2:$A998),0)</f>
        <v/>
      </c>
    </row>
    <row r="999">
      <c r="A999">
        <f>IF(AND(OR('Compliance Database'!$A999='Data Transfer'!$B$4,'Compliance Database'!$A999='Data Transfer'!$B$5),OR('Data Transfer'!$B$6="",ISNUMBER(SEARCH('Data Transfer'!$B$6,'Compliance Database'!$D999&amp;" "&amp;'Compliance Database'!$K999&amp;" "&amp;'Compliance Database'!$L999&amp;" "&amp;'Compliance Database'!$M999&amp;" "&amp;'Compliance Database'!$N999)))),1,0)</f>
        <v/>
      </c>
      <c r="B999">
        <f>IF($A999=1,SUM($A$2:$A999),"")</f>
        <v/>
      </c>
      <c r="C999">
        <f>IF($A999=1,SUM($A$2:$A999),0)</f>
        <v/>
      </c>
    </row>
    <row r="1000">
      <c r="A1000">
        <f>IF(AND(OR('Compliance Database'!$A1000='Data Transfer'!$B$4,'Compliance Database'!$A1000='Data Transfer'!$B$5),OR('Data Transfer'!$B$6="",ISNUMBER(SEARCH('Data Transfer'!$B$6,'Compliance Database'!$D1000&amp;" "&amp;'Compliance Database'!$K1000&amp;" "&amp;'Compliance Database'!$L1000&amp;" "&amp;'Compliance Database'!$M1000&amp;" "&amp;'Compliance Database'!$N1000)))),1,0)</f>
        <v/>
      </c>
      <c r="B1000">
        <f>IF($A1000=1,SUM($A$2:$A1000),"")</f>
        <v/>
      </c>
      <c r="C1000">
        <f>IF($A1000=1,SUM($A$2:$A1000),0)</f>
        <v/>
      </c>
    </row>
    <row r="1001">
      <c r="A1001">
        <f>IF(AND(OR('Compliance Database'!$A1001='Data Transfer'!$B$4,'Compliance Database'!$A1001='Data Transfer'!$B$5),OR('Data Transfer'!$B$6="",ISNUMBER(SEARCH('Data Transfer'!$B$6,'Compliance Database'!$D1001&amp;" "&amp;'Compliance Database'!$K1001&amp;" "&amp;'Compliance Database'!$L1001&amp;" "&amp;'Compliance Database'!$M1001&amp;" "&amp;'Compliance Database'!$N1001)))),1,0)</f>
        <v/>
      </c>
      <c r="B1001">
        <f>IF($A1001=1,SUM($A$2:$A1001),"")</f>
        <v/>
      </c>
      <c r="C1001">
        <f>IF($A1001=1,SUM($A$2:$A1001),0)</f>
        <v/>
      </c>
    </row>
    <row r="1002">
      <c r="A1002">
        <f>IF(AND(OR('Compliance Database'!$A1002='Data Transfer'!$B$4,'Compliance Database'!$A1002='Data Transfer'!$B$5),OR('Data Transfer'!$B$6="",ISNUMBER(SEARCH('Data Transfer'!$B$6,'Compliance Database'!$D1002&amp;" "&amp;'Compliance Database'!$K1002&amp;" "&amp;'Compliance Database'!$L1002&amp;" "&amp;'Compliance Database'!$M1002&amp;" "&amp;'Compliance Database'!$N1002)))),1,0)</f>
        <v/>
      </c>
      <c r="B1002">
        <f>IF($A1002=1,SUM($A$2:$A1002),"")</f>
        <v/>
      </c>
      <c r="C1002">
        <f>IF($A1002=1,SUM($A$2:$A1002),0)</f>
        <v/>
      </c>
    </row>
    <row r="1003">
      <c r="A1003">
        <f>IF(AND(OR('Compliance Database'!$A1003='Data Transfer'!$B$4,'Compliance Database'!$A1003='Data Transfer'!$B$5),OR('Data Transfer'!$B$6="",ISNUMBER(SEARCH('Data Transfer'!$B$6,'Compliance Database'!$D1003&amp;" "&amp;'Compliance Database'!$K1003&amp;" "&amp;'Compliance Database'!$L1003&amp;" "&amp;'Compliance Database'!$M1003&amp;" "&amp;'Compliance Database'!$N1003)))),1,0)</f>
        <v/>
      </c>
      <c r="B1003">
        <f>IF($A1003=1,SUM($A$2:$A1003),"")</f>
        <v/>
      </c>
      <c r="C1003">
        <f>IF($A1003=1,SUM($A$2:$A1003),0)</f>
        <v/>
      </c>
    </row>
    <row r="1004">
      <c r="A1004">
        <f>IF(AND(OR('Compliance Database'!$A1004='Data Transfer'!$B$4,'Compliance Database'!$A1004='Data Transfer'!$B$5),OR('Data Transfer'!$B$6="",ISNUMBER(SEARCH('Data Transfer'!$B$6,'Compliance Database'!$D1004&amp;" "&amp;'Compliance Database'!$K1004&amp;" "&amp;'Compliance Database'!$L1004&amp;" "&amp;'Compliance Database'!$M1004&amp;" "&amp;'Compliance Database'!$N1004)))),1,0)</f>
        <v/>
      </c>
      <c r="B1004">
        <f>IF($A1004=1,SUM($A$2:$A1004),"")</f>
        <v/>
      </c>
      <c r="C1004">
        <f>IF($A1004=1,SUM($A$2:$A1004),0)</f>
        <v/>
      </c>
    </row>
    <row r="1005">
      <c r="A1005">
        <f>IF(AND(OR('Compliance Database'!$A1005='Data Transfer'!$B$4,'Compliance Database'!$A1005='Data Transfer'!$B$5),OR('Data Transfer'!$B$6="",ISNUMBER(SEARCH('Data Transfer'!$B$6,'Compliance Database'!$D1005&amp;" "&amp;'Compliance Database'!$K1005&amp;" "&amp;'Compliance Database'!$L1005&amp;" "&amp;'Compliance Database'!$M1005&amp;" "&amp;'Compliance Database'!$N1005)))),1,0)</f>
        <v/>
      </c>
      <c r="B1005">
        <f>IF($A1005=1,SUM($A$2:$A1005),"")</f>
        <v/>
      </c>
      <c r="C1005">
        <f>IF($A1005=1,SUM($A$2:$A1005),0)</f>
        <v/>
      </c>
    </row>
    <row r="1006">
      <c r="A1006">
        <f>IF(AND(OR('Compliance Database'!$A1006='Data Transfer'!$B$4,'Compliance Database'!$A1006='Data Transfer'!$B$5),OR('Data Transfer'!$B$6="",ISNUMBER(SEARCH('Data Transfer'!$B$6,'Compliance Database'!$D1006&amp;" "&amp;'Compliance Database'!$K1006&amp;" "&amp;'Compliance Database'!$L1006&amp;" "&amp;'Compliance Database'!$M1006&amp;" "&amp;'Compliance Database'!$N1006)))),1,0)</f>
        <v/>
      </c>
      <c r="B1006">
        <f>IF($A1006=1,SUM($A$2:$A1006),"")</f>
        <v/>
      </c>
      <c r="C1006">
        <f>IF($A1006=1,SUM($A$2:$A1006),0)</f>
        <v/>
      </c>
    </row>
    <row r="1007">
      <c r="A1007">
        <f>IF(AND(OR('Compliance Database'!$A1007='Data Transfer'!$B$4,'Compliance Database'!$A1007='Data Transfer'!$B$5),OR('Data Transfer'!$B$6="",ISNUMBER(SEARCH('Data Transfer'!$B$6,'Compliance Database'!$D1007&amp;" "&amp;'Compliance Database'!$K1007&amp;" "&amp;'Compliance Database'!$L1007&amp;" "&amp;'Compliance Database'!$M1007&amp;" "&amp;'Compliance Database'!$N1007)))),1,0)</f>
        <v/>
      </c>
      <c r="B1007">
        <f>IF($A1007=1,SUM($A$2:$A1007),"")</f>
        <v/>
      </c>
      <c r="C1007">
        <f>IF($A1007=1,SUM($A$2:$A1007),0)</f>
        <v/>
      </c>
    </row>
    <row r="1008">
      <c r="A1008">
        <f>IF(AND(OR('Compliance Database'!$A1008='Data Transfer'!$B$4,'Compliance Database'!$A1008='Data Transfer'!$B$5),OR('Data Transfer'!$B$6="",ISNUMBER(SEARCH('Data Transfer'!$B$6,'Compliance Database'!$D1008&amp;" "&amp;'Compliance Database'!$K1008&amp;" "&amp;'Compliance Database'!$L1008&amp;" "&amp;'Compliance Database'!$M1008&amp;" "&amp;'Compliance Database'!$N1008)))),1,0)</f>
        <v/>
      </c>
      <c r="B1008">
        <f>IF($A1008=1,SUM($A$2:$A1008),"")</f>
        <v/>
      </c>
      <c r="C1008">
        <f>IF($A1008=1,SUM($A$2:$A1008),0)</f>
        <v/>
      </c>
    </row>
    <row r="1009">
      <c r="A1009">
        <f>IF(AND(OR('Compliance Database'!$A1009='Data Transfer'!$B$4,'Compliance Database'!$A1009='Data Transfer'!$B$5),OR('Data Transfer'!$B$6="",ISNUMBER(SEARCH('Data Transfer'!$B$6,'Compliance Database'!$D1009&amp;" "&amp;'Compliance Database'!$K1009&amp;" "&amp;'Compliance Database'!$L1009&amp;" "&amp;'Compliance Database'!$M1009&amp;" "&amp;'Compliance Database'!$N1009)))),1,0)</f>
        <v/>
      </c>
      <c r="B1009">
        <f>IF($A1009=1,SUM($A$2:$A1009),"")</f>
        <v/>
      </c>
      <c r="C1009">
        <f>IF($A1009=1,SUM($A$2:$A1009),0)</f>
        <v/>
      </c>
    </row>
    <row r="1010">
      <c r="A1010">
        <f>IF(AND(OR('Compliance Database'!$A1010='Data Transfer'!$B$4,'Compliance Database'!$A1010='Data Transfer'!$B$5),OR('Data Transfer'!$B$6="",ISNUMBER(SEARCH('Data Transfer'!$B$6,'Compliance Database'!$D1010&amp;" "&amp;'Compliance Database'!$K1010&amp;" "&amp;'Compliance Database'!$L1010&amp;" "&amp;'Compliance Database'!$M1010&amp;" "&amp;'Compliance Database'!$N1010)))),1,0)</f>
        <v/>
      </c>
      <c r="B1010">
        <f>IF($A1010=1,SUM($A$2:$A1010),"")</f>
        <v/>
      </c>
      <c r="C1010">
        <f>IF($A1010=1,SUM($A$2:$A1010),0)</f>
        <v/>
      </c>
    </row>
    <row r="1011">
      <c r="A1011">
        <f>IF(AND(OR('Compliance Database'!$A1011='Data Transfer'!$B$4,'Compliance Database'!$A1011='Data Transfer'!$B$5),OR('Data Transfer'!$B$6="",ISNUMBER(SEARCH('Data Transfer'!$B$6,'Compliance Database'!$D1011&amp;" "&amp;'Compliance Database'!$K1011&amp;" "&amp;'Compliance Database'!$L1011&amp;" "&amp;'Compliance Database'!$M1011&amp;" "&amp;'Compliance Database'!$N1011)))),1,0)</f>
        <v/>
      </c>
      <c r="B1011">
        <f>IF($A1011=1,SUM($A$2:$A1011),"")</f>
        <v/>
      </c>
      <c r="C1011">
        <f>IF($A1011=1,SUM($A$2:$A1011),0)</f>
        <v/>
      </c>
    </row>
    <row r="1012">
      <c r="A1012">
        <f>IF(AND(OR('Compliance Database'!$A1012='Data Transfer'!$B$4,'Compliance Database'!$A1012='Data Transfer'!$B$5),OR('Data Transfer'!$B$6="",ISNUMBER(SEARCH('Data Transfer'!$B$6,'Compliance Database'!$D1012&amp;" "&amp;'Compliance Database'!$K1012&amp;" "&amp;'Compliance Database'!$L1012&amp;" "&amp;'Compliance Database'!$M1012&amp;" "&amp;'Compliance Database'!$N1012)))),1,0)</f>
        <v/>
      </c>
      <c r="B1012">
        <f>IF($A1012=1,SUM($A$2:$A1012),"")</f>
        <v/>
      </c>
      <c r="C1012">
        <f>IF($A1012=1,SUM($A$2:$A1012),0)</f>
        <v/>
      </c>
    </row>
    <row r="1013">
      <c r="A1013">
        <f>IF(AND(OR('Compliance Database'!$A1013='Data Transfer'!$B$4,'Compliance Database'!$A1013='Data Transfer'!$B$5),OR('Data Transfer'!$B$6="",ISNUMBER(SEARCH('Data Transfer'!$B$6,'Compliance Database'!$D1013&amp;" "&amp;'Compliance Database'!$K1013&amp;" "&amp;'Compliance Database'!$L1013&amp;" "&amp;'Compliance Database'!$M1013&amp;" "&amp;'Compliance Database'!$N1013)))),1,0)</f>
        <v/>
      </c>
      <c r="B1013">
        <f>IF($A1013=1,SUM($A$2:$A1013),"")</f>
        <v/>
      </c>
      <c r="C1013">
        <f>IF($A1013=1,SUM($A$2:$A1013),0)</f>
        <v/>
      </c>
    </row>
    <row r="1014">
      <c r="A1014">
        <f>IF(AND(OR('Compliance Database'!$A1014='Data Transfer'!$B$4,'Compliance Database'!$A1014='Data Transfer'!$B$5),OR('Data Transfer'!$B$6="",ISNUMBER(SEARCH('Data Transfer'!$B$6,'Compliance Database'!$D1014&amp;" "&amp;'Compliance Database'!$K1014&amp;" "&amp;'Compliance Database'!$L1014&amp;" "&amp;'Compliance Database'!$M1014&amp;" "&amp;'Compliance Database'!$N1014)))),1,0)</f>
        <v/>
      </c>
      <c r="B1014">
        <f>IF($A1014=1,SUM($A$2:$A1014),"")</f>
        <v/>
      </c>
      <c r="C1014">
        <f>IF($A1014=1,SUM($A$2:$A1014),0)</f>
        <v/>
      </c>
    </row>
    <row r="1015">
      <c r="A1015">
        <f>IF(AND(OR('Compliance Database'!$A1015='Data Transfer'!$B$4,'Compliance Database'!$A1015='Data Transfer'!$B$5),OR('Data Transfer'!$B$6="",ISNUMBER(SEARCH('Data Transfer'!$B$6,'Compliance Database'!$D1015&amp;" "&amp;'Compliance Database'!$K1015&amp;" "&amp;'Compliance Database'!$L1015&amp;" "&amp;'Compliance Database'!$M1015&amp;" "&amp;'Compliance Database'!$N1015)))),1,0)</f>
        <v/>
      </c>
      <c r="B1015">
        <f>IF($A1015=1,SUM($A$2:$A1015),"")</f>
        <v/>
      </c>
      <c r="C1015">
        <f>IF($A1015=1,SUM($A$2:$A1015),0)</f>
        <v/>
      </c>
    </row>
    <row r="1016">
      <c r="A1016">
        <f>IF(AND(OR('Compliance Database'!$A1016='Data Transfer'!$B$4,'Compliance Database'!$A1016='Data Transfer'!$B$5),OR('Data Transfer'!$B$6="",ISNUMBER(SEARCH('Data Transfer'!$B$6,'Compliance Database'!$D1016&amp;" "&amp;'Compliance Database'!$K1016&amp;" "&amp;'Compliance Database'!$L1016&amp;" "&amp;'Compliance Database'!$M1016&amp;" "&amp;'Compliance Database'!$N1016)))),1,0)</f>
        <v/>
      </c>
      <c r="B1016">
        <f>IF($A1016=1,SUM($A$2:$A1016),"")</f>
        <v/>
      </c>
      <c r="C1016">
        <f>IF($A1016=1,SUM($A$2:$A1016),0)</f>
        <v/>
      </c>
    </row>
    <row r="1017">
      <c r="A1017">
        <f>IF(AND(OR('Compliance Database'!$A1017='Data Transfer'!$B$4,'Compliance Database'!$A1017='Data Transfer'!$B$5),OR('Data Transfer'!$B$6="",ISNUMBER(SEARCH('Data Transfer'!$B$6,'Compliance Database'!$D1017&amp;" "&amp;'Compliance Database'!$K1017&amp;" "&amp;'Compliance Database'!$L1017&amp;" "&amp;'Compliance Database'!$M1017&amp;" "&amp;'Compliance Database'!$N1017)))),1,0)</f>
        <v/>
      </c>
      <c r="B1017">
        <f>IF($A1017=1,SUM($A$2:$A1017),"")</f>
        <v/>
      </c>
      <c r="C1017">
        <f>IF($A1017=1,SUM($A$2:$A1017),0)</f>
        <v/>
      </c>
    </row>
    <row r="1018">
      <c r="A1018">
        <f>IF(AND(OR('Compliance Database'!$A1018='Data Transfer'!$B$4,'Compliance Database'!$A1018='Data Transfer'!$B$5),OR('Data Transfer'!$B$6="",ISNUMBER(SEARCH('Data Transfer'!$B$6,'Compliance Database'!$D1018&amp;" "&amp;'Compliance Database'!$K1018&amp;" "&amp;'Compliance Database'!$L1018&amp;" "&amp;'Compliance Database'!$M1018&amp;" "&amp;'Compliance Database'!$N1018)))),1,0)</f>
        <v/>
      </c>
      <c r="B1018">
        <f>IF($A1018=1,SUM($A$2:$A1018),"")</f>
        <v/>
      </c>
      <c r="C1018">
        <f>IF($A1018=1,SUM($A$2:$A1018),0)</f>
        <v/>
      </c>
    </row>
    <row r="1019">
      <c r="A1019">
        <f>IF(AND(OR('Compliance Database'!$A1019='Data Transfer'!$B$4,'Compliance Database'!$A1019='Data Transfer'!$B$5),OR('Data Transfer'!$B$6="",ISNUMBER(SEARCH('Data Transfer'!$B$6,'Compliance Database'!$D1019&amp;" "&amp;'Compliance Database'!$K1019&amp;" "&amp;'Compliance Database'!$L1019&amp;" "&amp;'Compliance Database'!$M1019&amp;" "&amp;'Compliance Database'!$N1019)))),1,0)</f>
        <v/>
      </c>
      <c r="B1019">
        <f>IF($A1019=1,SUM($A$2:$A1019),"")</f>
        <v/>
      </c>
      <c r="C1019">
        <f>IF($A1019=1,SUM($A$2:$A1019),0)</f>
        <v/>
      </c>
    </row>
    <row r="1020">
      <c r="A1020">
        <f>IF(AND(OR('Compliance Database'!$A1020='Data Transfer'!$B$4,'Compliance Database'!$A1020='Data Transfer'!$B$5),OR('Data Transfer'!$B$6="",ISNUMBER(SEARCH('Data Transfer'!$B$6,'Compliance Database'!$D1020&amp;" "&amp;'Compliance Database'!$K1020&amp;" "&amp;'Compliance Database'!$L1020&amp;" "&amp;'Compliance Database'!$M1020&amp;" "&amp;'Compliance Database'!$N1020)))),1,0)</f>
        <v/>
      </c>
      <c r="B1020">
        <f>IF($A1020=1,SUM($A$2:$A1020),"")</f>
        <v/>
      </c>
      <c r="C1020">
        <f>IF($A1020=1,SUM($A$2:$A1020),0)</f>
        <v/>
      </c>
    </row>
    <row r="1021">
      <c r="A1021">
        <f>IF(AND(OR('Compliance Database'!$A1021='Data Transfer'!$B$4,'Compliance Database'!$A1021='Data Transfer'!$B$5),OR('Data Transfer'!$B$6="",ISNUMBER(SEARCH('Data Transfer'!$B$6,'Compliance Database'!$D1021&amp;" "&amp;'Compliance Database'!$K1021&amp;" "&amp;'Compliance Database'!$L1021&amp;" "&amp;'Compliance Database'!$M1021&amp;" "&amp;'Compliance Database'!$N1021)))),1,0)</f>
        <v/>
      </c>
      <c r="B1021">
        <f>IF($A1021=1,SUM($A$2:$A1021),"")</f>
        <v/>
      </c>
      <c r="C1021">
        <f>IF($A1021=1,SUM($A$2:$A1021),0)</f>
        <v/>
      </c>
    </row>
    <row r="1022">
      <c r="A1022">
        <f>IF(AND(OR('Compliance Database'!$A1022='Data Transfer'!$B$4,'Compliance Database'!$A1022='Data Transfer'!$B$5),OR('Data Transfer'!$B$6="",ISNUMBER(SEARCH('Data Transfer'!$B$6,'Compliance Database'!$D1022&amp;" "&amp;'Compliance Database'!$K1022&amp;" "&amp;'Compliance Database'!$L1022&amp;" "&amp;'Compliance Database'!$M1022&amp;" "&amp;'Compliance Database'!$N1022)))),1,0)</f>
        <v/>
      </c>
      <c r="B1022">
        <f>IF($A1022=1,SUM($A$2:$A1022),"")</f>
        <v/>
      </c>
      <c r="C1022">
        <f>IF($A1022=1,SUM($A$2:$A1022),0)</f>
        <v/>
      </c>
    </row>
    <row r="1023">
      <c r="A1023">
        <f>IF(AND(OR('Compliance Database'!$A1023='Data Transfer'!$B$4,'Compliance Database'!$A1023='Data Transfer'!$B$5),OR('Data Transfer'!$B$6="",ISNUMBER(SEARCH('Data Transfer'!$B$6,'Compliance Database'!$D1023&amp;" "&amp;'Compliance Database'!$K1023&amp;" "&amp;'Compliance Database'!$L1023&amp;" "&amp;'Compliance Database'!$M1023&amp;" "&amp;'Compliance Database'!$N1023)))),1,0)</f>
        <v/>
      </c>
      <c r="B1023">
        <f>IF($A1023=1,SUM($A$2:$A1023),"")</f>
        <v/>
      </c>
      <c r="C1023">
        <f>IF($A1023=1,SUM($A$2:$A1023),0)</f>
        <v/>
      </c>
    </row>
    <row r="1024">
      <c r="A1024">
        <f>IF(AND(OR('Compliance Database'!$A1024='Data Transfer'!$B$4,'Compliance Database'!$A1024='Data Transfer'!$B$5),OR('Data Transfer'!$B$6="",ISNUMBER(SEARCH('Data Transfer'!$B$6,'Compliance Database'!$D1024&amp;" "&amp;'Compliance Database'!$K1024&amp;" "&amp;'Compliance Database'!$L1024&amp;" "&amp;'Compliance Database'!$M1024&amp;" "&amp;'Compliance Database'!$N1024)))),1,0)</f>
        <v/>
      </c>
      <c r="B1024">
        <f>IF($A1024=1,SUM($A$2:$A1024),"")</f>
        <v/>
      </c>
      <c r="C1024">
        <f>IF($A1024=1,SUM($A$2:$A1024),0)</f>
        <v/>
      </c>
    </row>
    <row r="1025">
      <c r="A1025">
        <f>IF(AND(OR('Compliance Database'!$A1025='Data Transfer'!$B$4,'Compliance Database'!$A1025='Data Transfer'!$B$5),OR('Data Transfer'!$B$6="",ISNUMBER(SEARCH('Data Transfer'!$B$6,'Compliance Database'!$D1025&amp;" "&amp;'Compliance Database'!$K1025&amp;" "&amp;'Compliance Database'!$L1025&amp;" "&amp;'Compliance Database'!$M1025&amp;" "&amp;'Compliance Database'!$N1025)))),1,0)</f>
        <v/>
      </c>
      <c r="B1025">
        <f>IF($A1025=1,SUM($A$2:$A1025),"")</f>
        <v/>
      </c>
      <c r="C1025">
        <f>IF($A1025=1,SUM($A$2:$A1025),0)</f>
        <v/>
      </c>
    </row>
    <row r="1026">
      <c r="A1026">
        <f>IF(AND(OR('Compliance Database'!$A1026='Data Transfer'!$B$4,'Compliance Database'!$A1026='Data Transfer'!$B$5),OR('Data Transfer'!$B$6="",ISNUMBER(SEARCH('Data Transfer'!$B$6,'Compliance Database'!$D1026&amp;" "&amp;'Compliance Database'!$K1026&amp;" "&amp;'Compliance Database'!$L1026&amp;" "&amp;'Compliance Database'!$M1026&amp;" "&amp;'Compliance Database'!$N1026)))),1,0)</f>
        <v/>
      </c>
      <c r="B1026">
        <f>IF($A1026=1,SUM($A$2:$A1026),"")</f>
        <v/>
      </c>
      <c r="C1026">
        <f>IF($A1026=1,SUM($A$2:$A1026),0)</f>
        <v/>
      </c>
    </row>
    <row r="1027">
      <c r="A1027">
        <f>IF(AND(OR('Compliance Database'!$A1027='Data Transfer'!$B$4,'Compliance Database'!$A1027='Data Transfer'!$B$5),OR('Data Transfer'!$B$6="",ISNUMBER(SEARCH('Data Transfer'!$B$6,'Compliance Database'!$D1027&amp;" "&amp;'Compliance Database'!$K1027&amp;" "&amp;'Compliance Database'!$L1027&amp;" "&amp;'Compliance Database'!$M1027&amp;" "&amp;'Compliance Database'!$N1027)))),1,0)</f>
        <v/>
      </c>
      <c r="B1027">
        <f>IF($A1027=1,SUM($A$2:$A1027),"")</f>
        <v/>
      </c>
      <c r="C1027">
        <f>IF($A1027=1,SUM($A$2:$A1027),0)</f>
        <v/>
      </c>
    </row>
    <row r="1028">
      <c r="A1028">
        <f>IF(AND(OR('Compliance Database'!$A1028='Data Transfer'!$B$4,'Compliance Database'!$A1028='Data Transfer'!$B$5),OR('Data Transfer'!$B$6="",ISNUMBER(SEARCH('Data Transfer'!$B$6,'Compliance Database'!$D1028&amp;" "&amp;'Compliance Database'!$K1028&amp;" "&amp;'Compliance Database'!$L1028&amp;" "&amp;'Compliance Database'!$M1028&amp;" "&amp;'Compliance Database'!$N1028)))),1,0)</f>
        <v/>
      </c>
      <c r="B1028">
        <f>IF($A1028=1,SUM($A$2:$A1028),"")</f>
        <v/>
      </c>
      <c r="C1028">
        <f>IF($A1028=1,SUM($A$2:$A1028),0)</f>
        <v/>
      </c>
    </row>
    <row r="1029">
      <c r="A1029">
        <f>IF(AND(OR('Compliance Database'!$A1029='Data Transfer'!$B$4,'Compliance Database'!$A1029='Data Transfer'!$B$5),OR('Data Transfer'!$B$6="",ISNUMBER(SEARCH('Data Transfer'!$B$6,'Compliance Database'!$D1029&amp;" "&amp;'Compliance Database'!$K1029&amp;" "&amp;'Compliance Database'!$L1029&amp;" "&amp;'Compliance Database'!$M1029&amp;" "&amp;'Compliance Database'!$N1029)))),1,0)</f>
        <v/>
      </c>
      <c r="B1029">
        <f>IF($A1029=1,SUM($A$2:$A1029),"")</f>
        <v/>
      </c>
      <c r="C1029">
        <f>IF($A1029=1,SUM($A$2:$A1029),0)</f>
        <v/>
      </c>
    </row>
    <row r="1030">
      <c r="A1030">
        <f>IF(AND(OR('Compliance Database'!$A1030='Data Transfer'!$B$4,'Compliance Database'!$A1030='Data Transfer'!$B$5),OR('Data Transfer'!$B$6="",ISNUMBER(SEARCH('Data Transfer'!$B$6,'Compliance Database'!$D1030&amp;" "&amp;'Compliance Database'!$K1030&amp;" "&amp;'Compliance Database'!$L1030&amp;" "&amp;'Compliance Database'!$M1030&amp;" "&amp;'Compliance Database'!$N1030)))),1,0)</f>
        <v/>
      </c>
      <c r="B1030">
        <f>IF($A1030=1,SUM($A$2:$A1030),"")</f>
        <v/>
      </c>
      <c r="C1030">
        <f>IF($A1030=1,SUM($A$2:$A1030),0)</f>
        <v/>
      </c>
    </row>
    <row r="1031">
      <c r="A1031">
        <f>IF(AND(OR('Compliance Database'!$A1031='Data Transfer'!$B$4,'Compliance Database'!$A1031='Data Transfer'!$B$5),OR('Data Transfer'!$B$6="",ISNUMBER(SEARCH('Data Transfer'!$B$6,'Compliance Database'!$D1031&amp;" "&amp;'Compliance Database'!$K1031&amp;" "&amp;'Compliance Database'!$L1031&amp;" "&amp;'Compliance Database'!$M1031&amp;" "&amp;'Compliance Database'!$N1031)))),1,0)</f>
        <v/>
      </c>
      <c r="B1031">
        <f>IF($A1031=1,SUM($A$2:$A1031),"")</f>
        <v/>
      </c>
      <c r="C1031">
        <f>IF($A1031=1,SUM($A$2:$A1031),0)</f>
        <v/>
      </c>
    </row>
    <row r="1032">
      <c r="A1032">
        <f>IF(AND(OR('Compliance Database'!$A1032='Data Transfer'!$B$4,'Compliance Database'!$A1032='Data Transfer'!$B$5),OR('Data Transfer'!$B$6="",ISNUMBER(SEARCH('Data Transfer'!$B$6,'Compliance Database'!$D1032&amp;" "&amp;'Compliance Database'!$K1032&amp;" "&amp;'Compliance Database'!$L1032&amp;" "&amp;'Compliance Database'!$M1032&amp;" "&amp;'Compliance Database'!$N1032)))),1,0)</f>
        <v/>
      </c>
      <c r="B1032">
        <f>IF($A1032=1,SUM($A$2:$A1032),"")</f>
        <v/>
      </c>
      <c r="C1032">
        <f>IF($A1032=1,SUM($A$2:$A1032),0)</f>
        <v/>
      </c>
    </row>
    <row r="1033">
      <c r="A1033">
        <f>IF(AND(OR('Compliance Database'!$A1033='Data Transfer'!$B$4,'Compliance Database'!$A1033='Data Transfer'!$B$5),OR('Data Transfer'!$B$6="",ISNUMBER(SEARCH('Data Transfer'!$B$6,'Compliance Database'!$D1033&amp;" "&amp;'Compliance Database'!$K1033&amp;" "&amp;'Compliance Database'!$L1033&amp;" "&amp;'Compliance Database'!$M1033&amp;" "&amp;'Compliance Database'!$N1033)))),1,0)</f>
        <v/>
      </c>
      <c r="B1033">
        <f>IF($A1033=1,SUM($A$2:$A1033),"")</f>
        <v/>
      </c>
      <c r="C1033">
        <f>IF($A1033=1,SUM($A$2:$A1033),0)</f>
        <v/>
      </c>
    </row>
    <row r="1034">
      <c r="A1034">
        <f>IF(AND(OR('Compliance Database'!$A1034='Data Transfer'!$B$4,'Compliance Database'!$A1034='Data Transfer'!$B$5),OR('Data Transfer'!$B$6="",ISNUMBER(SEARCH('Data Transfer'!$B$6,'Compliance Database'!$D1034&amp;" "&amp;'Compliance Database'!$K1034&amp;" "&amp;'Compliance Database'!$L1034&amp;" "&amp;'Compliance Database'!$M1034&amp;" "&amp;'Compliance Database'!$N1034)))),1,0)</f>
        <v/>
      </c>
      <c r="B1034">
        <f>IF($A1034=1,SUM($A$2:$A1034),"")</f>
        <v/>
      </c>
      <c r="C1034">
        <f>IF($A1034=1,SUM($A$2:$A1034),0)</f>
        <v/>
      </c>
    </row>
    <row r="1035">
      <c r="A1035">
        <f>IF(AND(OR('Compliance Database'!$A1035='Data Transfer'!$B$4,'Compliance Database'!$A1035='Data Transfer'!$B$5),OR('Data Transfer'!$B$6="",ISNUMBER(SEARCH('Data Transfer'!$B$6,'Compliance Database'!$D1035&amp;" "&amp;'Compliance Database'!$K1035&amp;" "&amp;'Compliance Database'!$L1035&amp;" "&amp;'Compliance Database'!$M1035&amp;" "&amp;'Compliance Database'!$N1035)))),1,0)</f>
        <v/>
      </c>
      <c r="B1035">
        <f>IF($A1035=1,SUM($A$2:$A1035),"")</f>
        <v/>
      </c>
      <c r="C1035">
        <f>IF($A1035=1,SUM($A$2:$A1035),0)</f>
        <v/>
      </c>
    </row>
    <row r="1036">
      <c r="A1036">
        <f>IF(AND(OR('Compliance Database'!$A1036='Data Transfer'!$B$4,'Compliance Database'!$A1036='Data Transfer'!$B$5),OR('Data Transfer'!$B$6="",ISNUMBER(SEARCH('Data Transfer'!$B$6,'Compliance Database'!$D1036&amp;" "&amp;'Compliance Database'!$K1036&amp;" "&amp;'Compliance Database'!$L1036&amp;" "&amp;'Compliance Database'!$M1036&amp;" "&amp;'Compliance Database'!$N1036)))),1,0)</f>
        <v/>
      </c>
      <c r="B1036">
        <f>IF($A1036=1,SUM($A$2:$A1036),"")</f>
        <v/>
      </c>
      <c r="C1036">
        <f>IF($A1036=1,SUM($A$2:$A1036),0)</f>
        <v/>
      </c>
    </row>
    <row r="1037">
      <c r="A1037">
        <f>IF(AND(OR('Compliance Database'!$A1037='Data Transfer'!$B$4,'Compliance Database'!$A1037='Data Transfer'!$B$5),OR('Data Transfer'!$B$6="",ISNUMBER(SEARCH('Data Transfer'!$B$6,'Compliance Database'!$D1037&amp;" "&amp;'Compliance Database'!$K1037&amp;" "&amp;'Compliance Database'!$L1037&amp;" "&amp;'Compliance Database'!$M1037&amp;" "&amp;'Compliance Database'!$N1037)))),1,0)</f>
        <v/>
      </c>
      <c r="B1037">
        <f>IF($A1037=1,SUM($A$2:$A1037),"")</f>
        <v/>
      </c>
      <c r="C1037">
        <f>IF($A1037=1,SUM($A$2:$A1037),0)</f>
        <v/>
      </c>
    </row>
    <row r="1038">
      <c r="A1038">
        <f>IF(AND(OR('Compliance Database'!$A1038='Data Transfer'!$B$4,'Compliance Database'!$A1038='Data Transfer'!$B$5),OR('Data Transfer'!$B$6="",ISNUMBER(SEARCH('Data Transfer'!$B$6,'Compliance Database'!$D1038&amp;" "&amp;'Compliance Database'!$K1038&amp;" "&amp;'Compliance Database'!$L1038&amp;" "&amp;'Compliance Database'!$M1038&amp;" "&amp;'Compliance Database'!$N1038)))),1,0)</f>
        <v/>
      </c>
      <c r="B1038">
        <f>IF($A1038=1,SUM($A$2:$A1038),"")</f>
        <v/>
      </c>
      <c r="C1038">
        <f>IF($A1038=1,SUM($A$2:$A1038),0)</f>
        <v/>
      </c>
    </row>
    <row r="1039">
      <c r="A1039">
        <f>IF(AND(OR('Compliance Database'!$A1039='Data Transfer'!$B$4,'Compliance Database'!$A1039='Data Transfer'!$B$5),OR('Data Transfer'!$B$6="",ISNUMBER(SEARCH('Data Transfer'!$B$6,'Compliance Database'!$D1039&amp;" "&amp;'Compliance Database'!$K1039&amp;" "&amp;'Compliance Database'!$L1039&amp;" "&amp;'Compliance Database'!$M1039&amp;" "&amp;'Compliance Database'!$N1039)))),1,0)</f>
        <v/>
      </c>
      <c r="B1039">
        <f>IF($A1039=1,SUM($A$2:$A1039),"")</f>
        <v/>
      </c>
      <c r="C1039">
        <f>IF($A1039=1,SUM($A$2:$A1039),0)</f>
        <v/>
      </c>
    </row>
    <row r="1040">
      <c r="A1040">
        <f>IF(AND(OR('Compliance Database'!$A1040='Data Transfer'!$B$4,'Compliance Database'!$A1040='Data Transfer'!$B$5),OR('Data Transfer'!$B$6="",ISNUMBER(SEARCH('Data Transfer'!$B$6,'Compliance Database'!$D1040&amp;" "&amp;'Compliance Database'!$K1040&amp;" "&amp;'Compliance Database'!$L1040&amp;" "&amp;'Compliance Database'!$M1040&amp;" "&amp;'Compliance Database'!$N1040)))),1,0)</f>
        <v/>
      </c>
      <c r="B1040">
        <f>IF($A1040=1,SUM($A$2:$A1040),"")</f>
        <v/>
      </c>
      <c r="C1040">
        <f>IF($A1040=1,SUM($A$2:$A1040),0)</f>
        <v/>
      </c>
    </row>
    <row r="1041">
      <c r="A1041">
        <f>IF(AND(OR('Compliance Database'!$A1041='Data Transfer'!$B$4,'Compliance Database'!$A1041='Data Transfer'!$B$5),OR('Data Transfer'!$B$6="",ISNUMBER(SEARCH('Data Transfer'!$B$6,'Compliance Database'!$D1041&amp;" "&amp;'Compliance Database'!$K1041&amp;" "&amp;'Compliance Database'!$L1041&amp;" "&amp;'Compliance Database'!$M1041&amp;" "&amp;'Compliance Database'!$N1041)))),1,0)</f>
        <v/>
      </c>
      <c r="B1041">
        <f>IF($A1041=1,SUM($A$2:$A1041),"")</f>
        <v/>
      </c>
      <c r="C1041">
        <f>IF($A1041=1,SUM($A$2:$A1041),0)</f>
        <v/>
      </c>
    </row>
    <row r="1042">
      <c r="A1042">
        <f>IF(AND(OR('Compliance Database'!$A1042='Data Transfer'!$B$4,'Compliance Database'!$A1042='Data Transfer'!$B$5),OR('Data Transfer'!$B$6="",ISNUMBER(SEARCH('Data Transfer'!$B$6,'Compliance Database'!$D1042&amp;" "&amp;'Compliance Database'!$K1042&amp;" "&amp;'Compliance Database'!$L1042&amp;" "&amp;'Compliance Database'!$M1042&amp;" "&amp;'Compliance Database'!$N1042)))),1,0)</f>
        <v/>
      </c>
      <c r="B1042">
        <f>IF($A1042=1,SUM($A$2:$A1042),"")</f>
        <v/>
      </c>
      <c r="C1042">
        <f>IF($A1042=1,SUM($A$2:$A1042),0)</f>
        <v/>
      </c>
    </row>
    <row r="1043">
      <c r="A1043">
        <f>IF(AND(OR('Compliance Database'!$A1043='Data Transfer'!$B$4,'Compliance Database'!$A1043='Data Transfer'!$B$5),OR('Data Transfer'!$B$6="",ISNUMBER(SEARCH('Data Transfer'!$B$6,'Compliance Database'!$D1043&amp;" "&amp;'Compliance Database'!$K1043&amp;" "&amp;'Compliance Database'!$L1043&amp;" "&amp;'Compliance Database'!$M1043&amp;" "&amp;'Compliance Database'!$N1043)))),1,0)</f>
        <v/>
      </c>
      <c r="B1043">
        <f>IF($A1043=1,SUM($A$2:$A1043),"")</f>
        <v/>
      </c>
      <c r="C1043">
        <f>IF($A1043=1,SUM($A$2:$A1043),0)</f>
        <v/>
      </c>
    </row>
    <row r="1044">
      <c r="A1044">
        <f>IF(AND(OR('Compliance Database'!$A1044='Data Transfer'!$B$4,'Compliance Database'!$A1044='Data Transfer'!$B$5),OR('Data Transfer'!$B$6="",ISNUMBER(SEARCH('Data Transfer'!$B$6,'Compliance Database'!$D1044&amp;" "&amp;'Compliance Database'!$K1044&amp;" "&amp;'Compliance Database'!$L1044&amp;" "&amp;'Compliance Database'!$M1044&amp;" "&amp;'Compliance Database'!$N1044)))),1,0)</f>
        <v/>
      </c>
      <c r="B1044">
        <f>IF($A1044=1,SUM($A$2:$A1044),"")</f>
        <v/>
      </c>
      <c r="C1044">
        <f>IF($A1044=1,SUM($A$2:$A1044),0)</f>
        <v/>
      </c>
    </row>
    <row r="1045">
      <c r="A1045">
        <f>IF(AND(OR('Compliance Database'!$A1045='Data Transfer'!$B$4,'Compliance Database'!$A1045='Data Transfer'!$B$5),OR('Data Transfer'!$B$6="",ISNUMBER(SEARCH('Data Transfer'!$B$6,'Compliance Database'!$D1045&amp;" "&amp;'Compliance Database'!$K1045&amp;" "&amp;'Compliance Database'!$L1045&amp;" "&amp;'Compliance Database'!$M1045&amp;" "&amp;'Compliance Database'!$N1045)))),1,0)</f>
        <v/>
      </c>
      <c r="B1045">
        <f>IF($A1045=1,SUM($A$2:$A1045),"")</f>
        <v/>
      </c>
      <c r="C1045">
        <f>IF($A1045=1,SUM($A$2:$A1045),0)</f>
        <v/>
      </c>
    </row>
    <row r="1046">
      <c r="A1046">
        <f>IF(AND(OR('Compliance Database'!$A1046='Data Transfer'!$B$4,'Compliance Database'!$A1046='Data Transfer'!$B$5),OR('Data Transfer'!$B$6="",ISNUMBER(SEARCH('Data Transfer'!$B$6,'Compliance Database'!$D1046&amp;" "&amp;'Compliance Database'!$K1046&amp;" "&amp;'Compliance Database'!$L1046&amp;" "&amp;'Compliance Database'!$M1046&amp;" "&amp;'Compliance Database'!$N1046)))),1,0)</f>
        <v/>
      </c>
      <c r="B1046">
        <f>IF($A1046=1,SUM($A$2:$A1046),"")</f>
        <v/>
      </c>
      <c r="C1046">
        <f>IF($A1046=1,SUM($A$2:$A1046),0)</f>
        <v/>
      </c>
    </row>
    <row r="1047">
      <c r="A1047">
        <f>IF(AND(OR('Compliance Database'!$A1047='Data Transfer'!$B$4,'Compliance Database'!$A1047='Data Transfer'!$B$5),OR('Data Transfer'!$B$6="",ISNUMBER(SEARCH('Data Transfer'!$B$6,'Compliance Database'!$D1047&amp;" "&amp;'Compliance Database'!$K1047&amp;" "&amp;'Compliance Database'!$L1047&amp;" "&amp;'Compliance Database'!$M1047&amp;" "&amp;'Compliance Database'!$N1047)))),1,0)</f>
        <v/>
      </c>
      <c r="B1047">
        <f>IF($A1047=1,SUM($A$2:$A1047),"")</f>
        <v/>
      </c>
      <c r="C1047">
        <f>IF($A1047=1,SUM($A$2:$A1047),0)</f>
        <v/>
      </c>
    </row>
    <row r="1048">
      <c r="A1048">
        <f>IF(AND(OR('Compliance Database'!$A1048='Data Transfer'!$B$4,'Compliance Database'!$A1048='Data Transfer'!$B$5),OR('Data Transfer'!$B$6="",ISNUMBER(SEARCH('Data Transfer'!$B$6,'Compliance Database'!$D1048&amp;" "&amp;'Compliance Database'!$K1048&amp;" "&amp;'Compliance Database'!$L1048&amp;" "&amp;'Compliance Database'!$M1048&amp;" "&amp;'Compliance Database'!$N1048)))),1,0)</f>
        <v/>
      </c>
      <c r="B1048">
        <f>IF($A1048=1,SUM($A$2:$A1048),"")</f>
        <v/>
      </c>
      <c r="C1048">
        <f>IF($A1048=1,SUM($A$2:$A1048),0)</f>
        <v/>
      </c>
    </row>
    <row r="1049">
      <c r="A1049">
        <f>IF(AND(OR('Compliance Database'!$A1049='Data Transfer'!$B$4,'Compliance Database'!$A1049='Data Transfer'!$B$5),OR('Data Transfer'!$B$6="",ISNUMBER(SEARCH('Data Transfer'!$B$6,'Compliance Database'!$D1049&amp;" "&amp;'Compliance Database'!$K1049&amp;" "&amp;'Compliance Database'!$L1049&amp;" "&amp;'Compliance Database'!$M1049&amp;" "&amp;'Compliance Database'!$N1049)))),1,0)</f>
        <v/>
      </c>
      <c r="B1049">
        <f>IF($A1049=1,SUM($A$2:$A1049),"")</f>
        <v/>
      </c>
      <c r="C1049">
        <f>IF($A1049=1,SUM($A$2:$A1049),0)</f>
        <v/>
      </c>
    </row>
    <row r="1050">
      <c r="A1050">
        <f>IF(AND(OR('Compliance Database'!$A1050='Data Transfer'!$B$4,'Compliance Database'!$A1050='Data Transfer'!$B$5),OR('Data Transfer'!$B$6="",ISNUMBER(SEARCH('Data Transfer'!$B$6,'Compliance Database'!$D1050&amp;" "&amp;'Compliance Database'!$K1050&amp;" "&amp;'Compliance Database'!$L1050&amp;" "&amp;'Compliance Database'!$M1050&amp;" "&amp;'Compliance Database'!$N1050)))),1,0)</f>
        <v/>
      </c>
      <c r="B1050">
        <f>IF($A1050=1,SUM($A$2:$A1050),"")</f>
        <v/>
      </c>
      <c r="C1050">
        <f>IF($A1050=1,SUM($A$2:$A1050),0)</f>
        <v/>
      </c>
    </row>
    <row r="1051">
      <c r="A1051">
        <f>IF(AND(OR('Compliance Database'!$A1051='Data Transfer'!$B$4,'Compliance Database'!$A1051='Data Transfer'!$B$5),OR('Data Transfer'!$B$6="",ISNUMBER(SEARCH('Data Transfer'!$B$6,'Compliance Database'!$D1051&amp;" "&amp;'Compliance Database'!$K1051&amp;" "&amp;'Compliance Database'!$L1051&amp;" "&amp;'Compliance Database'!$M1051&amp;" "&amp;'Compliance Database'!$N1051)))),1,0)</f>
        <v/>
      </c>
      <c r="B1051">
        <f>IF($A1051=1,SUM($A$2:$A1051),"")</f>
        <v/>
      </c>
      <c r="C1051">
        <f>IF($A1051=1,SUM($A$2:$A1051),0)</f>
        <v/>
      </c>
    </row>
    <row r="1052">
      <c r="A1052">
        <f>IF(AND(OR('Compliance Database'!$A1052='Data Transfer'!$B$4,'Compliance Database'!$A1052='Data Transfer'!$B$5),OR('Data Transfer'!$B$6="",ISNUMBER(SEARCH('Data Transfer'!$B$6,'Compliance Database'!$D1052&amp;" "&amp;'Compliance Database'!$K1052&amp;" "&amp;'Compliance Database'!$L1052&amp;" "&amp;'Compliance Database'!$M1052&amp;" "&amp;'Compliance Database'!$N1052)))),1,0)</f>
        <v/>
      </c>
      <c r="B1052">
        <f>IF($A1052=1,SUM($A$2:$A1052),"")</f>
        <v/>
      </c>
      <c r="C1052">
        <f>IF($A1052=1,SUM($A$2:$A1052),0)</f>
        <v/>
      </c>
    </row>
    <row r="1053">
      <c r="A1053">
        <f>IF(AND(OR('Compliance Database'!$A1053='Data Transfer'!$B$4,'Compliance Database'!$A1053='Data Transfer'!$B$5),OR('Data Transfer'!$B$6="",ISNUMBER(SEARCH('Data Transfer'!$B$6,'Compliance Database'!$D1053&amp;" "&amp;'Compliance Database'!$K1053&amp;" "&amp;'Compliance Database'!$L1053&amp;" "&amp;'Compliance Database'!$M1053&amp;" "&amp;'Compliance Database'!$N1053)))),1,0)</f>
        <v/>
      </c>
      <c r="B1053">
        <f>IF($A1053=1,SUM($A$2:$A1053),"")</f>
        <v/>
      </c>
      <c r="C1053">
        <f>IF($A1053=1,SUM($A$2:$A1053),0)</f>
        <v/>
      </c>
    </row>
    <row r="1054">
      <c r="A1054">
        <f>IF(AND(OR('Compliance Database'!$A1054='Data Transfer'!$B$4,'Compliance Database'!$A1054='Data Transfer'!$B$5),OR('Data Transfer'!$B$6="",ISNUMBER(SEARCH('Data Transfer'!$B$6,'Compliance Database'!$D1054&amp;" "&amp;'Compliance Database'!$K1054&amp;" "&amp;'Compliance Database'!$L1054&amp;" "&amp;'Compliance Database'!$M1054&amp;" "&amp;'Compliance Database'!$N1054)))),1,0)</f>
        <v/>
      </c>
      <c r="B1054">
        <f>IF($A1054=1,SUM($A$2:$A1054),"")</f>
        <v/>
      </c>
      <c r="C1054">
        <f>IF($A1054=1,SUM($A$2:$A1054),0)</f>
        <v/>
      </c>
    </row>
    <row r="1055">
      <c r="A1055">
        <f>IF(AND(OR('Compliance Database'!$A1055='Data Transfer'!$B$4,'Compliance Database'!$A1055='Data Transfer'!$B$5),OR('Data Transfer'!$B$6="",ISNUMBER(SEARCH('Data Transfer'!$B$6,'Compliance Database'!$D1055&amp;" "&amp;'Compliance Database'!$K1055&amp;" "&amp;'Compliance Database'!$L1055&amp;" "&amp;'Compliance Database'!$M1055&amp;" "&amp;'Compliance Database'!$N1055)))),1,0)</f>
        <v/>
      </c>
      <c r="B1055">
        <f>IF($A1055=1,SUM($A$2:$A1055),"")</f>
        <v/>
      </c>
      <c r="C1055">
        <f>IF($A1055=1,SUM($A$2:$A1055),0)</f>
        <v/>
      </c>
    </row>
    <row r="1056">
      <c r="A1056">
        <f>IF(AND(OR('Compliance Database'!$A1056='Data Transfer'!$B$4,'Compliance Database'!$A1056='Data Transfer'!$B$5),OR('Data Transfer'!$B$6="",ISNUMBER(SEARCH('Data Transfer'!$B$6,'Compliance Database'!$D1056&amp;" "&amp;'Compliance Database'!$K1056&amp;" "&amp;'Compliance Database'!$L1056&amp;" "&amp;'Compliance Database'!$M1056&amp;" "&amp;'Compliance Database'!$N1056)))),1,0)</f>
        <v/>
      </c>
      <c r="B1056">
        <f>IF($A1056=1,SUM($A$2:$A1056),"")</f>
        <v/>
      </c>
      <c r="C1056">
        <f>IF($A1056=1,SUM($A$2:$A1056),0)</f>
        <v/>
      </c>
    </row>
    <row r="1057">
      <c r="A1057">
        <f>IF(AND(OR('Compliance Database'!$A1057='Data Transfer'!$B$4,'Compliance Database'!$A1057='Data Transfer'!$B$5),OR('Data Transfer'!$B$6="",ISNUMBER(SEARCH('Data Transfer'!$B$6,'Compliance Database'!$D1057&amp;" "&amp;'Compliance Database'!$K1057&amp;" "&amp;'Compliance Database'!$L1057&amp;" "&amp;'Compliance Database'!$M1057&amp;" "&amp;'Compliance Database'!$N1057)))),1,0)</f>
        <v/>
      </c>
      <c r="B1057">
        <f>IF($A1057=1,SUM($A$2:$A1057),"")</f>
        <v/>
      </c>
      <c r="C1057">
        <f>IF($A1057=1,SUM($A$2:$A1057),0)</f>
        <v/>
      </c>
    </row>
    <row r="1058">
      <c r="A1058">
        <f>IF(AND(OR('Compliance Database'!$A1058='Data Transfer'!$B$4,'Compliance Database'!$A1058='Data Transfer'!$B$5),OR('Data Transfer'!$B$6="",ISNUMBER(SEARCH('Data Transfer'!$B$6,'Compliance Database'!$D1058&amp;" "&amp;'Compliance Database'!$K1058&amp;" "&amp;'Compliance Database'!$L1058&amp;" "&amp;'Compliance Database'!$M1058&amp;" "&amp;'Compliance Database'!$N1058)))),1,0)</f>
        <v/>
      </c>
      <c r="B1058">
        <f>IF($A1058=1,SUM($A$2:$A1058),"")</f>
        <v/>
      </c>
      <c r="C1058">
        <f>IF($A1058=1,SUM($A$2:$A1058),0)</f>
        <v/>
      </c>
    </row>
    <row r="1059">
      <c r="A1059">
        <f>IF(AND(OR('Compliance Database'!$A1059='Data Transfer'!$B$4,'Compliance Database'!$A1059='Data Transfer'!$B$5),OR('Data Transfer'!$B$6="",ISNUMBER(SEARCH('Data Transfer'!$B$6,'Compliance Database'!$D1059&amp;" "&amp;'Compliance Database'!$K1059&amp;" "&amp;'Compliance Database'!$L1059&amp;" "&amp;'Compliance Database'!$M1059&amp;" "&amp;'Compliance Database'!$N1059)))),1,0)</f>
        <v/>
      </c>
      <c r="B1059">
        <f>IF($A1059=1,SUM($A$2:$A1059),"")</f>
        <v/>
      </c>
      <c r="C1059">
        <f>IF($A1059=1,SUM($A$2:$A1059),0)</f>
        <v/>
      </c>
    </row>
    <row r="1060">
      <c r="A1060">
        <f>IF(AND(OR('Compliance Database'!$A1060='Data Transfer'!$B$4,'Compliance Database'!$A1060='Data Transfer'!$B$5),OR('Data Transfer'!$B$6="",ISNUMBER(SEARCH('Data Transfer'!$B$6,'Compliance Database'!$D1060&amp;" "&amp;'Compliance Database'!$K1060&amp;" "&amp;'Compliance Database'!$L1060&amp;" "&amp;'Compliance Database'!$M1060&amp;" "&amp;'Compliance Database'!$N1060)))),1,0)</f>
        <v/>
      </c>
      <c r="B1060">
        <f>IF($A1060=1,SUM($A$2:$A1060),"")</f>
        <v/>
      </c>
      <c r="C1060">
        <f>IF($A1060=1,SUM($A$2:$A1060),0)</f>
        <v/>
      </c>
    </row>
    <row r="1061">
      <c r="A1061">
        <f>IF(AND(OR('Compliance Database'!$A1061='Data Transfer'!$B$4,'Compliance Database'!$A1061='Data Transfer'!$B$5),OR('Data Transfer'!$B$6="",ISNUMBER(SEARCH('Data Transfer'!$B$6,'Compliance Database'!$D1061&amp;" "&amp;'Compliance Database'!$K1061&amp;" "&amp;'Compliance Database'!$L1061&amp;" "&amp;'Compliance Database'!$M1061&amp;" "&amp;'Compliance Database'!$N1061)))),1,0)</f>
        <v/>
      </c>
      <c r="B1061">
        <f>IF($A1061=1,SUM($A$2:$A1061),"")</f>
        <v/>
      </c>
      <c r="C1061">
        <f>IF($A1061=1,SUM($A$2:$A1061),0)</f>
        <v/>
      </c>
    </row>
    <row r="1062">
      <c r="A1062">
        <f>IF(AND(OR('Compliance Database'!$A1062='Data Transfer'!$B$4,'Compliance Database'!$A1062='Data Transfer'!$B$5),OR('Data Transfer'!$B$6="",ISNUMBER(SEARCH('Data Transfer'!$B$6,'Compliance Database'!$D1062&amp;" "&amp;'Compliance Database'!$K1062&amp;" "&amp;'Compliance Database'!$L1062&amp;" "&amp;'Compliance Database'!$M1062&amp;" "&amp;'Compliance Database'!$N1062)))),1,0)</f>
        <v/>
      </c>
      <c r="B1062">
        <f>IF($A1062=1,SUM($A$2:$A1062),"")</f>
        <v/>
      </c>
      <c r="C1062">
        <f>IF($A1062=1,SUM($A$2:$A1062),0)</f>
        <v/>
      </c>
    </row>
    <row r="1063">
      <c r="A1063">
        <f>IF(AND(OR('Compliance Database'!$A1063='Data Transfer'!$B$4,'Compliance Database'!$A1063='Data Transfer'!$B$5),OR('Data Transfer'!$B$6="",ISNUMBER(SEARCH('Data Transfer'!$B$6,'Compliance Database'!$D1063&amp;" "&amp;'Compliance Database'!$K1063&amp;" "&amp;'Compliance Database'!$L1063&amp;" "&amp;'Compliance Database'!$M1063&amp;" "&amp;'Compliance Database'!$N1063)))),1,0)</f>
        <v/>
      </c>
      <c r="B1063">
        <f>IF($A1063=1,SUM($A$2:$A1063),"")</f>
        <v/>
      </c>
      <c r="C1063">
        <f>IF($A1063=1,SUM($A$2:$A1063),0)</f>
        <v/>
      </c>
    </row>
    <row r="1064">
      <c r="A1064">
        <f>IF(AND(OR('Compliance Database'!$A1064='Data Transfer'!$B$4,'Compliance Database'!$A1064='Data Transfer'!$B$5),OR('Data Transfer'!$B$6="",ISNUMBER(SEARCH('Data Transfer'!$B$6,'Compliance Database'!$D1064&amp;" "&amp;'Compliance Database'!$K1064&amp;" "&amp;'Compliance Database'!$L1064&amp;" "&amp;'Compliance Database'!$M1064&amp;" "&amp;'Compliance Database'!$N1064)))),1,0)</f>
        <v/>
      </c>
      <c r="B1064">
        <f>IF($A1064=1,SUM($A$2:$A1064),"")</f>
        <v/>
      </c>
      <c r="C1064">
        <f>IF($A1064=1,SUM($A$2:$A1064),0)</f>
        <v/>
      </c>
    </row>
    <row r="1065">
      <c r="A1065">
        <f>IF(AND(OR('Compliance Database'!$A1065='Data Transfer'!$B$4,'Compliance Database'!$A1065='Data Transfer'!$B$5),OR('Data Transfer'!$B$6="",ISNUMBER(SEARCH('Data Transfer'!$B$6,'Compliance Database'!$D1065&amp;" "&amp;'Compliance Database'!$K1065&amp;" "&amp;'Compliance Database'!$L1065&amp;" "&amp;'Compliance Database'!$M1065&amp;" "&amp;'Compliance Database'!$N1065)))),1,0)</f>
        <v/>
      </c>
      <c r="B1065">
        <f>IF($A1065=1,SUM($A$2:$A1065),"")</f>
        <v/>
      </c>
      <c r="C1065">
        <f>IF($A1065=1,SUM($A$2:$A1065),0)</f>
        <v/>
      </c>
    </row>
    <row r="1066">
      <c r="A1066">
        <f>IF(AND(OR('Compliance Database'!$A1066='Data Transfer'!$B$4,'Compliance Database'!$A1066='Data Transfer'!$B$5),OR('Data Transfer'!$B$6="",ISNUMBER(SEARCH('Data Transfer'!$B$6,'Compliance Database'!$D1066&amp;" "&amp;'Compliance Database'!$K1066&amp;" "&amp;'Compliance Database'!$L1066&amp;" "&amp;'Compliance Database'!$M1066&amp;" "&amp;'Compliance Database'!$N1066)))),1,0)</f>
        <v/>
      </c>
      <c r="B1066">
        <f>IF($A1066=1,SUM($A$2:$A1066),"")</f>
        <v/>
      </c>
      <c r="C1066">
        <f>IF($A1066=1,SUM($A$2:$A1066),0)</f>
        <v/>
      </c>
    </row>
    <row r="1067">
      <c r="A1067">
        <f>IF(AND(OR('Compliance Database'!$A1067='Data Transfer'!$B$4,'Compliance Database'!$A1067='Data Transfer'!$B$5),OR('Data Transfer'!$B$6="",ISNUMBER(SEARCH('Data Transfer'!$B$6,'Compliance Database'!$D1067&amp;" "&amp;'Compliance Database'!$K1067&amp;" "&amp;'Compliance Database'!$L1067&amp;" "&amp;'Compliance Database'!$M1067&amp;" "&amp;'Compliance Database'!$N1067)))),1,0)</f>
        <v/>
      </c>
      <c r="B1067">
        <f>IF($A1067=1,SUM($A$2:$A1067),"")</f>
        <v/>
      </c>
      <c r="C1067">
        <f>IF($A1067=1,SUM($A$2:$A1067),0)</f>
        <v/>
      </c>
    </row>
    <row r="1068">
      <c r="A1068">
        <f>IF(AND(OR('Compliance Database'!$A1068='Data Transfer'!$B$4,'Compliance Database'!$A1068='Data Transfer'!$B$5),OR('Data Transfer'!$B$6="",ISNUMBER(SEARCH('Data Transfer'!$B$6,'Compliance Database'!$D1068&amp;" "&amp;'Compliance Database'!$K1068&amp;" "&amp;'Compliance Database'!$L1068&amp;" "&amp;'Compliance Database'!$M1068&amp;" "&amp;'Compliance Database'!$N1068)))),1,0)</f>
        <v/>
      </c>
      <c r="B1068">
        <f>IF($A1068=1,SUM($A$2:$A1068),"")</f>
        <v/>
      </c>
      <c r="C1068">
        <f>IF($A1068=1,SUM($A$2:$A1068),0)</f>
        <v/>
      </c>
    </row>
    <row r="1069">
      <c r="A1069">
        <f>IF(AND(OR('Compliance Database'!$A1069='Data Transfer'!$B$4,'Compliance Database'!$A1069='Data Transfer'!$B$5),OR('Data Transfer'!$B$6="",ISNUMBER(SEARCH('Data Transfer'!$B$6,'Compliance Database'!$D1069&amp;" "&amp;'Compliance Database'!$K1069&amp;" "&amp;'Compliance Database'!$L1069&amp;" "&amp;'Compliance Database'!$M1069&amp;" "&amp;'Compliance Database'!$N1069)))),1,0)</f>
        <v/>
      </c>
      <c r="B1069">
        <f>IF($A1069=1,SUM($A$2:$A1069),"")</f>
        <v/>
      </c>
      <c r="C1069">
        <f>IF($A1069=1,SUM($A$2:$A1069),0)</f>
        <v/>
      </c>
    </row>
    <row r="1070">
      <c r="A1070">
        <f>IF(AND(OR('Compliance Database'!$A1070='Data Transfer'!$B$4,'Compliance Database'!$A1070='Data Transfer'!$B$5),OR('Data Transfer'!$B$6="",ISNUMBER(SEARCH('Data Transfer'!$B$6,'Compliance Database'!$D1070&amp;" "&amp;'Compliance Database'!$K1070&amp;" "&amp;'Compliance Database'!$L1070&amp;" "&amp;'Compliance Database'!$M1070&amp;" "&amp;'Compliance Database'!$N1070)))),1,0)</f>
        <v/>
      </c>
      <c r="B1070">
        <f>IF($A1070=1,SUM($A$2:$A1070),"")</f>
        <v/>
      </c>
      <c r="C1070">
        <f>IF($A1070=1,SUM($A$2:$A1070),0)</f>
        <v/>
      </c>
    </row>
    <row r="1071">
      <c r="A1071">
        <f>IF(AND(OR('Compliance Database'!$A1071='Data Transfer'!$B$4,'Compliance Database'!$A1071='Data Transfer'!$B$5),OR('Data Transfer'!$B$6="",ISNUMBER(SEARCH('Data Transfer'!$B$6,'Compliance Database'!$D1071&amp;" "&amp;'Compliance Database'!$K1071&amp;" "&amp;'Compliance Database'!$L1071&amp;" "&amp;'Compliance Database'!$M1071&amp;" "&amp;'Compliance Database'!$N1071)))),1,0)</f>
        <v/>
      </c>
      <c r="B1071">
        <f>IF($A1071=1,SUM($A$2:$A1071),"")</f>
        <v/>
      </c>
      <c r="C1071">
        <f>IF($A1071=1,SUM($A$2:$A1071),0)</f>
        <v/>
      </c>
    </row>
    <row r="1072">
      <c r="A1072">
        <f>IF(AND(OR('Compliance Database'!$A1072='Data Transfer'!$B$4,'Compliance Database'!$A1072='Data Transfer'!$B$5),OR('Data Transfer'!$B$6="",ISNUMBER(SEARCH('Data Transfer'!$B$6,'Compliance Database'!$D1072&amp;" "&amp;'Compliance Database'!$K1072&amp;" "&amp;'Compliance Database'!$L1072&amp;" "&amp;'Compliance Database'!$M1072&amp;" "&amp;'Compliance Database'!$N1072)))),1,0)</f>
        <v/>
      </c>
      <c r="B1072">
        <f>IF($A1072=1,SUM($A$2:$A1072),"")</f>
        <v/>
      </c>
      <c r="C1072">
        <f>IF($A1072=1,SUM($A$2:$A1072),0)</f>
        <v/>
      </c>
    </row>
    <row r="1073">
      <c r="A1073">
        <f>IF(AND(OR('Compliance Database'!$A1073='Data Transfer'!$B$4,'Compliance Database'!$A1073='Data Transfer'!$B$5),OR('Data Transfer'!$B$6="",ISNUMBER(SEARCH('Data Transfer'!$B$6,'Compliance Database'!$D1073&amp;" "&amp;'Compliance Database'!$K1073&amp;" "&amp;'Compliance Database'!$L1073&amp;" "&amp;'Compliance Database'!$M1073&amp;" "&amp;'Compliance Database'!$N1073)))),1,0)</f>
        <v/>
      </c>
      <c r="B1073">
        <f>IF($A1073=1,SUM($A$2:$A1073),"")</f>
        <v/>
      </c>
      <c r="C1073">
        <f>IF($A1073=1,SUM($A$2:$A1073),0)</f>
        <v/>
      </c>
    </row>
    <row r="1074">
      <c r="A1074">
        <f>IF(AND(OR('Compliance Database'!$A1074='Data Transfer'!$B$4,'Compliance Database'!$A1074='Data Transfer'!$B$5),OR('Data Transfer'!$B$6="",ISNUMBER(SEARCH('Data Transfer'!$B$6,'Compliance Database'!$D1074&amp;" "&amp;'Compliance Database'!$K1074&amp;" "&amp;'Compliance Database'!$L1074&amp;" "&amp;'Compliance Database'!$M1074&amp;" "&amp;'Compliance Database'!$N1074)))),1,0)</f>
        <v/>
      </c>
      <c r="B1074">
        <f>IF($A1074=1,SUM($A$2:$A1074),"")</f>
        <v/>
      </c>
      <c r="C1074">
        <f>IF($A1074=1,SUM($A$2:$A1074),0)</f>
        <v/>
      </c>
    </row>
    <row r="1075">
      <c r="A1075">
        <f>IF(AND(OR('Compliance Database'!$A1075='Data Transfer'!$B$4,'Compliance Database'!$A1075='Data Transfer'!$B$5),OR('Data Transfer'!$B$6="",ISNUMBER(SEARCH('Data Transfer'!$B$6,'Compliance Database'!$D1075&amp;" "&amp;'Compliance Database'!$K1075&amp;" "&amp;'Compliance Database'!$L1075&amp;" "&amp;'Compliance Database'!$M1075&amp;" "&amp;'Compliance Database'!$N1075)))),1,0)</f>
        <v/>
      </c>
      <c r="B1075">
        <f>IF($A1075=1,SUM($A$2:$A1075),"")</f>
        <v/>
      </c>
      <c r="C1075">
        <f>IF($A1075=1,SUM($A$2:$A1075),0)</f>
        <v/>
      </c>
    </row>
    <row r="1076">
      <c r="A1076">
        <f>IF(AND(OR('Compliance Database'!$A1076='Data Transfer'!$B$4,'Compliance Database'!$A1076='Data Transfer'!$B$5),OR('Data Transfer'!$B$6="",ISNUMBER(SEARCH('Data Transfer'!$B$6,'Compliance Database'!$D1076&amp;" "&amp;'Compliance Database'!$K1076&amp;" "&amp;'Compliance Database'!$L1076&amp;" "&amp;'Compliance Database'!$M1076&amp;" "&amp;'Compliance Database'!$N1076)))),1,0)</f>
        <v/>
      </c>
      <c r="B1076">
        <f>IF($A1076=1,SUM($A$2:$A1076),"")</f>
        <v/>
      </c>
      <c r="C1076">
        <f>IF($A1076=1,SUM($A$2:$A1076),0)</f>
        <v/>
      </c>
    </row>
    <row r="1077">
      <c r="A1077">
        <f>IF(AND(OR('Compliance Database'!$A1077='Data Transfer'!$B$4,'Compliance Database'!$A1077='Data Transfer'!$B$5),OR('Data Transfer'!$B$6="",ISNUMBER(SEARCH('Data Transfer'!$B$6,'Compliance Database'!$D1077&amp;" "&amp;'Compliance Database'!$K1077&amp;" "&amp;'Compliance Database'!$L1077&amp;" "&amp;'Compliance Database'!$M1077&amp;" "&amp;'Compliance Database'!$N1077)))),1,0)</f>
        <v/>
      </c>
      <c r="B1077">
        <f>IF($A1077=1,SUM($A$2:$A1077),"")</f>
        <v/>
      </c>
      <c r="C1077">
        <f>IF($A1077=1,SUM($A$2:$A1077),0)</f>
        <v/>
      </c>
    </row>
    <row r="1078">
      <c r="A1078">
        <f>IF(AND(OR('Compliance Database'!$A1078='Data Transfer'!$B$4,'Compliance Database'!$A1078='Data Transfer'!$B$5),OR('Data Transfer'!$B$6="",ISNUMBER(SEARCH('Data Transfer'!$B$6,'Compliance Database'!$D1078&amp;" "&amp;'Compliance Database'!$K1078&amp;" "&amp;'Compliance Database'!$L1078&amp;" "&amp;'Compliance Database'!$M1078&amp;" "&amp;'Compliance Database'!$N1078)))),1,0)</f>
        <v/>
      </c>
      <c r="B1078">
        <f>IF($A1078=1,SUM($A$2:$A1078),"")</f>
        <v/>
      </c>
      <c r="C1078">
        <f>IF($A1078=1,SUM($A$2:$A1078),0)</f>
        <v/>
      </c>
    </row>
    <row r="1079">
      <c r="A1079">
        <f>IF(AND(OR('Compliance Database'!$A1079='Data Transfer'!$B$4,'Compliance Database'!$A1079='Data Transfer'!$B$5),OR('Data Transfer'!$B$6="",ISNUMBER(SEARCH('Data Transfer'!$B$6,'Compliance Database'!$D1079&amp;" "&amp;'Compliance Database'!$K1079&amp;" "&amp;'Compliance Database'!$L1079&amp;" "&amp;'Compliance Database'!$M1079&amp;" "&amp;'Compliance Database'!$N1079)))),1,0)</f>
        <v/>
      </c>
      <c r="B1079">
        <f>IF($A1079=1,SUM($A$2:$A1079),"")</f>
        <v/>
      </c>
      <c r="C1079">
        <f>IF($A1079=1,SUM($A$2:$A1079),0)</f>
        <v/>
      </c>
    </row>
    <row r="1080">
      <c r="A1080">
        <f>IF(AND(OR('Compliance Database'!$A1080='Data Transfer'!$B$4,'Compliance Database'!$A1080='Data Transfer'!$B$5),OR('Data Transfer'!$B$6="",ISNUMBER(SEARCH('Data Transfer'!$B$6,'Compliance Database'!$D1080&amp;" "&amp;'Compliance Database'!$K1080&amp;" "&amp;'Compliance Database'!$L1080&amp;" "&amp;'Compliance Database'!$M1080&amp;" "&amp;'Compliance Database'!$N1080)))),1,0)</f>
        <v/>
      </c>
      <c r="B1080">
        <f>IF($A1080=1,SUM($A$2:$A1080),"")</f>
        <v/>
      </c>
      <c r="C1080">
        <f>IF($A1080=1,SUM($A$2:$A1080),0)</f>
        <v/>
      </c>
    </row>
    <row r="1081">
      <c r="A1081">
        <f>IF(AND(OR('Compliance Database'!$A1081='Data Transfer'!$B$4,'Compliance Database'!$A1081='Data Transfer'!$B$5),OR('Data Transfer'!$B$6="",ISNUMBER(SEARCH('Data Transfer'!$B$6,'Compliance Database'!$D1081&amp;" "&amp;'Compliance Database'!$K1081&amp;" "&amp;'Compliance Database'!$L1081&amp;" "&amp;'Compliance Database'!$M1081&amp;" "&amp;'Compliance Database'!$N1081)))),1,0)</f>
        <v/>
      </c>
      <c r="B1081">
        <f>IF($A1081=1,SUM($A$2:$A1081),"")</f>
        <v/>
      </c>
      <c r="C1081">
        <f>IF($A1081=1,SUM($A$2:$A1081),0)</f>
        <v/>
      </c>
    </row>
    <row r="1082">
      <c r="A1082">
        <f>IF(AND(OR('Compliance Database'!$A1082='Data Transfer'!$B$4,'Compliance Database'!$A1082='Data Transfer'!$B$5),OR('Data Transfer'!$B$6="",ISNUMBER(SEARCH('Data Transfer'!$B$6,'Compliance Database'!$D1082&amp;" "&amp;'Compliance Database'!$K1082&amp;" "&amp;'Compliance Database'!$L1082&amp;" "&amp;'Compliance Database'!$M1082&amp;" "&amp;'Compliance Database'!$N1082)))),1,0)</f>
        <v/>
      </c>
      <c r="B1082">
        <f>IF($A1082=1,SUM($A$2:$A1082),"")</f>
        <v/>
      </c>
      <c r="C1082">
        <f>IF($A1082=1,SUM($A$2:$A1082),0)</f>
        <v/>
      </c>
    </row>
    <row r="1083">
      <c r="A1083">
        <f>IF(AND(OR('Compliance Database'!$A1083='Data Transfer'!$B$4,'Compliance Database'!$A1083='Data Transfer'!$B$5),OR('Data Transfer'!$B$6="",ISNUMBER(SEARCH('Data Transfer'!$B$6,'Compliance Database'!$D1083&amp;" "&amp;'Compliance Database'!$K1083&amp;" "&amp;'Compliance Database'!$L1083&amp;" "&amp;'Compliance Database'!$M1083&amp;" "&amp;'Compliance Database'!$N1083)))),1,0)</f>
        <v/>
      </c>
      <c r="B1083">
        <f>IF($A1083=1,SUM($A$2:$A1083),"")</f>
        <v/>
      </c>
      <c r="C1083">
        <f>IF($A1083=1,SUM($A$2:$A1083),0)</f>
        <v/>
      </c>
    </row>
    <row r="1084">
      <c r="A1084">
        <f>IF(AND(OR('Compliance Database'!$A1084='Data Transfer'!$B$4,'Compliance Database'!$A1084='Data Transfer'!$B$5),OR('Data Transfer'!$B$6="",ISNUMBER(SEARCH('Data Transfer'!$B$6,'Compliance Database'!$D1084&amp;" "&amp;'Compliance Database'!$K1084&amp;" "&amp;'Compliance Database'!$L1084&amp;" "&amp;'Compliance Database'!$M1084&amp;" "&amp;'Compliance Database'!$N1084)))),1,0)</f>
        <v/>
      </c>
      <c r="B1084">
        <f>IF($A1084=1,SUM($A$2:$A1084),"")</f>
        <v/>
      </c>
      <c r="C1084">
        <f>IF($A1084=1,SUM($A$2:$A1084),0)</f>
        <v/>
      </c>
    </row>
    <row r="1085">
      <c r="A1085">
        <f>IF(AND(OR('Compliance Database'!$A1085='Data Transfer'!$B$4,'Compliance Database'!$A1085='Data Transfer'!$B$5),OR('Data Transfer'!$B$6="",ISNUMBER(SEARCH('Data Transfer'!$B$6,'Compliance Database'!$D1085&amp;" "&amp;'Compliance Database'!$K1085&amp;" "&amp;'Compliance Database'!$L1085&amp;" "&amp;'Compliance Database'!$M1085&amp;" "&amp;'Compliance Database'!$N1085)))),1,0)</f>
        <v/>
      </c>
      <c r="B1085">
        <f>IF($A1085=1,SUM($A$2:$A1085),"")</f>
        <v/>
      </c>
      <c r="C1085">
        <f>IF($A1085=1,SUM($A$2:$A1085),0)</f>
        <v/>
      </c>
    </row>
    <row r="1086">
      <c r="A1086">
        <f>IF(AND(OR('Compliance Database'!$A1086='Data Transfer'!$B$4,'Compliance Database'!$A1086='Data Transfer'!$B$5),OR('Data Transfer'!$B$6="",ISNUMBER(SEARCH('Data Transfer'!$B$6,'Compliance Database'!$D1086&amp;" "&amp;'Compliance Database'!$K1086&amp;" "&amp;'Compliance Database'!$L1086&amp;" "&amp;'Compliance Database'!$M1086&amp;" "&amp;'Compliance Database'!$N1086)))),1,0)</f>
        <v/>
      </c>
      <c r="B1086">
        <f>IF($A1086=1,SUM($A$2:$A1086),"")</f>
        <v/>
      </c>
      <c r="C1086">
        <f>IF($A1086=1,SUM($A$2:$A1086),0)</f>
        <v/>
      </c>
    </row>
    <row r="1087">
      <c r="A1087">
        <f>IF(AND(OR('Compliance Database'!$A1087='Data Transfer'!$B$4,'Compliance Database'!$A1087='Data Transfer'!$B$5),OR('Data Transfer'!$B$6="",ISNUMBER(SEARCH('Data Transfer'!$B$6,'Compliance Database'!$D1087&amp;" "&amp;'Compliance Database'!$K1087&amp;" "&amp;'Compliance Database'!$L1087&amp;" "&amp;'Compliance Database'!$M1087&amp;" "&amp;'Compliance Database'!$N1087)))),1,0)</f>
        <v/>
      </c>
      <c r="B1087">
        <f>IF($A1087=1,SUM($A$2:$A1087),"")</f>
        <v/>
      </c>
      <c r="C1087">
        <f>IF($A1087=1,SUM($A$2:$A1087),0)</f>
        <v/>
      </c>
    </row>
    <row r="1088">
      <c r="A1088">
        <f>IF(AND(OR('Compliance Database'!$A1088='Data Transfer'!$B$4,'Compliance Database'!$A1088='Data Transfer'!$B$5),OR('Data Transfer'!$B$6="",ISNUMBER(SEARCH('Data Transfer'!$B$6,'Compliance Database'!$D1088&amp;" "&amp;'Compliance Database'!$K1088&amp;" "&amp;'Compliance Database'!$L1088&amp;" "&amp;'Compliance Database'!$M1088&amp;" "&amp;'Compliance Database'!$N1088)))),1,0)</f>
        <v/>
      </c>
      <c r="B1088">
        <f>IF($A1088=1,SUM($A$2:$A1088),"")</f>
        <v/>
      </c>
      <c r="C1088">
        <f>IF($A1088=1,SUM($A$2:$A1088),0)</f>
        <v/>
      </c>
    </row>
    <row r="1089">
      <c r="A1089">
        <f>IF(AND(OR('Compliance Database'!$A1089='Data Transfer'!$B$4,'Compliance Database'!$A1089='Data Transfer'!$B$5),OR('Data Transfer'!$B$6="",ISNUMBER(SEARCH('Data Transfer'!$B$6,'Compliance Database'!$D1089&amp;" "&amp;'Compliance Database'!$K1089&amp;" "&amp;'Compliance Database'!$L1089&amp;" "&amp;'Compliance Database'!$M1089&amp;" "&amp;'Compliance Database'!$N1089)))),1,0)</f>
        <v/>
      </c>
      <c r="B1089">
        <f>IF($A1089=1,SUM($A$2:$A1089),"")</f>
        <v/>
      </c>
      <c r="C1089">
        <f>IF($A1089=1,SUM($A$2:$A1089),0)</f>
        <v/>
      </c>
    </row>
    <row r="1090">
      <c r="A1090">
        <f>IF(AND(OR('Compliance Database'!$A1090='Data Transfer'!$B$4,'Compliance Database'!$A1090='Data Transfer'!$B$5),OR('Data Transfer'!$B$6="",ISNUMBER(SEARCH('Data Transfer'!$B$6,'Compliance Database'!$D1090&amp;" "&amp;'Compliance Database'!$K1090&amp;" "&amp;'Compliance Database'!$L1090&amp;" "&amp;'Compliance Database'!$M1090&amp;" "&amp;'Compliance Database'!$N1090)))),1,0)</f>
        <v/>
      </c>
      <c r="B1090">
        <f>IF($A1090=1,SUM($A$2:$A1090),"")</f>
        <v/>
      </c>
      <c r="C1090">
        <f>IF($A1090=1,SUM($A$2:$A1090),0)</f>
        <v/>
      </c>
    </row>
    <row r="1091">
      <c r="A1091">
        <f>IF(AND(OR('Compliance Database'!$A1091='Data Transfer'!$B$4,'Compliance Database'!$A1091='Data Transfer'!$B$5),OR('Data Transfer'!$B$6="",ISNUMBER(SEARCH('Data Transfer'!$B$6,'Compliance Database'!$D1091&amp;" "&amp;'Compliance Database'!$K1091&amp;" "&amp;'Compliance Database'!$L1091&amp;" "&amp;'Compliance Database'!$M1091&amp;" "&amp;'Compliance Database'!$N1091)))),1,0)</f>
        <v/>
      </c>
      <c r="B1091">
        <f>IF($A1091=1,SUM($A$2:$A1091),"")</f>
        <v/>
      </c>
      <c r="C1091">
        <f>IF($A1091=1,SUM($A$2:$A1091),0)</f>
        <v/>
      </c>
    </row>
    <row r="1092">
      <c r="A1092">
        <f>IF(AND(OR('Compliance Database'!$A1092='Data Transfer'!$B$4,'Compliance Database'!$A1092='Data Transfer'!$B$5),OR('Data Transfer'!$B$6="",ISNUMBER(SEARCH('Data Transfer'!$B$6,'Compliance Database'!$D1092&amp;" "&amp;'Compliance Database'!$K1092&amp;" "&amp;'Compliance Database'!$L1092&amp;" "&amp;'Compliance Database'!$M1092&amp;" "&amp;'Compliance Database'!$N1092)))),1,0)</f>
        <v/>
      </c>
      <c r="B1092">
        <f>IF($A1092=1,SUM($A$2:$A1092),"")</f>
        <v/>
      </c>
      <c r="C1092">
        <f>IF($A1092=1,SUM($A$2:$A1092),0)</f>
        <v/>
      </c>
    </row>
    <row r="1093">
      <c r="A1093">
        <f>IF(AND(OR('Compliance Database'!$A1093='Data Transfer'!$B$4,'Compliance Database'!$A1093='Data Transfer'!$B$5),OR('Data Transfer'!$B$6="",ISNUMBER(SEARCH('Data Transfer'!$B$6,'Compliance Database'!$D1093&amp;" "&amp;'Compliance Database'!$K1093&amp;" "&amp;'Compliance Database'!$L1093&amp;" "&amp;'Compliance Database'!$M1093&amp;" "&amp;'Compliance Database'!$N1093)))),1,0)</f>
        <v/>
      </c>
      <c r="B1093">
        <f>IF($A1093=1,SUM($A$2:$A1093),"")</f>
        <v/>
      </c>
      <c r="C1093">
        <f>IF($A1093=1,SUM($A$2:$A1093),0)</f>
        <v/>
      </c>
    </row>
    <row r="1094">
      <c r="A1094">
        <f>IF(AND(OR('Compliance Database'!$A1094='Data Transfer'!$B$4,'Compliance Database'!$A1094='Data Transfer'!$B$5),OR('Data Transfer'!$B$6="",ISNUMBER(SEARCH('Data Transfer'!$B$6,'Compliance Database'!$D1094&amp;" "&amp;'Compliance Database'!$K1094&amp;" "&amp;'Compliance Database'!$L1094&amp;" "&amp;'Compliance Database'!$M1094&amp;" "&amp;'Compliance Database'!$N1094)))),1,0)</f>
        <v/>
      </c>
      <c r="B1094">
        <f>IF($A1094=1,SUM($A$2:$A1094),"")</f>
        <v/>
      </c>
      <c r="C1094">
        <f>IF($A1094=1,SUM($A$2:$A1094),0)</f>
        <v/>
      </c>
    </row>
    <row r="1095">
      <c r="A1095">
        <f>IF(AND(OR('Compliance Database'!$A1095='Data Transfer'!$B$4,'Compliance Database'!$A1095='Data Transfer'!$B$5),OR('Data Transfer'!$B$6="",ISNUMBER(SEARCH('Data Transfer'!$B$6,'Compliance Database'!$D1095&amp;" "&amp;'Compliance Database'!$K1095&amp;" "&amp;'Compliance Database'!$L1095&amp;" "&amp;'Compliance Database'!$M1095&amp;" "&amp;'Compliance Database'!$N1095)))),1,0)</f>
        <v/>
      </c>
      <c r="B1095">
        <f>IF($A1095=1,SUM($A$2:$A1095),"")</f>
        <v/>
      </c>
      <c r="C1095">
        <f>IF($A1095=1,SUM($A$2:$A1095),0)</f>
        <v/>
      </c>
    </row>
    <row r="1096">
      <c r="A1096">
        <f>IF(AND(OR('Compliance Database'!$A1096='Data Transfer'!$B$4,'Compliance Database'!$A1096='Data Transfer'!$B$5),OR('Data Transfer'!$B$6="",ISNUMBER(SEARCH('Data Transfer'!$B$6,'Compliance Database'!$D1096&amp;" "&amp;'Compliance Database'!$K1096&amp;" "&amp;'Compliance Database'!$L1096&amp;" "&amp;'Compliance Database'!$M1096&amp;" "&amp;'Compliance Database'!$N1096)))),1,0)</f>
        <v/>
      </c>
      <c r="B1096">
        <f>IF($A1096=1,SUM($A$2:$A1096),"")</f>
        <v/>
      </c>
      <c r="C1096">
        <f>IF($A1096=1,SUM($A$2:$A1096),0)</f>
        <v/>
      </c>
    </row>
    <row r="1097">
      <c r="A1097">
        <f>IF(AND(OR('Compliance Database'!$A1097='Data Transfer'!$B$4,'Compliance Database'!$A1097='Data Transfer'!$B$5),OR('Data Transfer'!$B$6="",ISNUMBER(SEARCH('Data Transfer'!$B$6,'Compliance Database'!$D1097&amp;" "&amp;'Compliance Database'!$K1097&amp;" "&amp;'Compliance Database'!$L1097&amp;" "&amp;'Compliance Database'!$M1097&amp;" "&amp;'Compliance Database'!$N1097)))),1,0)</f>
        <v/>
      </c>
      <c r="B1097">
        <f>IF($A1097=1,SUM($A$2:$A1097),"")</f>
        <v/>
      </c>
      <c r="C1097">
        <f>IF($A1097=1,SUM($A$2:$A1097),0)</f>
        <v/>
      </c>
    </row>
    <row r="1098">
      <c r="A1098">
        <f>IF(AND(OR('Compliance Database'!$A1098='Data Transfer'!$B$4,'Compliance Database'!$A1098='Data Transfer'!$B$5),OR('Data Transfer'!$B$6="",ISNUMBER(SEARCH('Data Transfer'!$B$6,'Compliance Database'!$D1098&amp;" "&amp;'Compliance Database'!$K1098&amp;" "&amp;'Compliance Database'!$L1098&amp;" "&amp;'Compliance Database'!$M1098&amp;" "&amp;'Compliance Database'!$N1098)))),1,0)</f>
        <v/>
      </c>
      <c r="B1098">
        <f>IF($A1098=1,SUM($A$2:$A1098),"")</f>
        <v/>
      </c>
      <c r="C1098">
        <f>IF($A1098=1,SUM($A$2:$A1098),0)</f>
        <v/>
      </c>
    </row>
    <row r="1099">
      <c r="A1099">
        <f>IF(AND(OR('Compliance Database'!$A1099='Data Transfer'!$B$4,'Compliance Database'!$A1099='Data Transfer'!$B$5),OR('Data Transfer'!$B$6="",ISNUMBER(SEARCH('Data Transfer'!$B$6,'Compliance Database'!$D1099&amp;" "&amp;'Compliance Database'!$K1099&amp;" "&amp;'Compliance Database'!$L1099&amp;" "&amp;'Compliance Database'!$M1099&amp;" "&amp;'Compliance Database'!$N1099)))),1,0)</f>
        <v/>
      </c>
      <c r="B1099">
        <f>IF($A1099=1,SUM($A$2:$A1099),"")</f>
        <v/>
      </c>
      <c r="C1099">
        <f>IF($A1099=1,SUM($A$2:$A1099),0)</f>
        <v/>
      </c>
    </row>
    <row r="1100">
      <c r="A1100">
        <f>IF(AND(OR('Compliance Database'!$A1100='Data Transfer'!$B$4,'Compliance Database'!$A1100='Data Transfer'!$B$5),OR('Data Transfer'!$B$6="",ISNUMBER(SEARCH('Data Transfer'!$B$6,'Compliance Database'!$D1100&amp;" "&amp;'Compliance Database'!$K1100&amp;" "&amp;'Compliance Database'!$L1100&amp;" "&amp;'Compliance Database'!$M1100&amp;" "&amp;'Compliance Database'!$N1100)))),1,0)</f>
        <v/>
      </c>
      <c r="B1100">
        <f>IF($A1100=1,SUM($A$2:$A1100),"")</f>
        <v/>
      </c>
      <c r="C1100">
        <f>IF($A1100=1,SUM($A$2:$A1100),0)</f>
        <v/>
      </c>
    </row>
    <row r="1101">
      <c r="A1101">
        <f>IF(AND(OR('Compliance Database'!$A1101='Data Transfer'!$B$4,'Compliance Database'!$A1101='Data Transfer'!$B$5),OR('Data Transfer'!$B$6="",ISNUMBER(SEARCH('Data Transfer'!$B$6,'Compliance Database'!$D1101&amp;" "&amp;'Compliance Database'!$K1101&amp;" "&amp;'Compliance Database'!$L1101&amp;" "&amp;'Compliance Database'!$M1101&amp;" "&amp;'Compliance Database'!$N1101)))),1,0)</f>
        <v/>
      </c>
      <c r="B1101">
        <f>IF($A1101=1,SUM($A$2:$A1101),"")</f>
        <v/>
      </c>
      <c r="C1101">
        <f>IF($A1101=1,SUM($A$2:$A1101),0)</f>
        <v/>
      </c>
    </row>
    <row r="1102">
      <c r="A1102">
        <f>IF(AND(OR('Compliance Database'!$A1102='Data Transfer'!$B$4,'Compliance Database'!$A1102='Data Transfer'!$B$5),OR('Data Transfer'!$B$6="",ISNUMBER(SEARCH('Data Transfer'!$B$6,'Compliance Database'!$D1102&amp;" "&amp;'Compliance Database'!$K1102&amp;" "&amp;'Compliance Database'!$L1102&amp;" "&amp;'Compliance Database'!$M1102&amp;" "&amp;'Compliance Database'!$N1102)))),1,0)</f>
        <v/>
      </c>
      <c r="B1102">
        <f>IF($A1102=1,SUM($A$2:$A1102),"")</f>
        <v/>
      </c>
      <c r="C1102">
        <f>IF($A1102=1,SUM($A$2:$A1102),0)</f>
        <v/>
      </c>
    </row>
    <row r="1103">
      <c r="A1103">
        <f>IF(AND(OR('Compliance Database'!$A1103='Data Transfer'!$B$4,'Compliance Database'!$A1103='Data Transfer'!$B$5),OR('Data Transfer'!$B$6="",ISNUMBER(SEARCH('Data Transfer'!$B$6,'Compliance Database'!$D1103&amp;" "&amp;'Compliance Database'!$K1103&amp;" "&amp;'Compliance Database'!$L1103&amp;" "&amp;'Compliance Database'!$M1103&amp;" "&amp;'Compliance Database'!$N1103)))),1,0)</f>
        <v/>
      </c>
      <c r="B1103">
        <f>IF($A1103=1,SUM($A$2:$A1103),"")</f>
        <v/>
      </c>
      <c r="C1103">
        <f>IF($A1103=1,SUM($A$2:$A1103),0)</f>
        <v/>
      </c>
    </row>
    <row r="1104">
      <c r="A1104">
        <f>IF(AND(OR('Compliance Database'!$A1104='Data Transfer'!$B$4,'Compliance Database'!$A1104='Data Transfer'!$B$5),OR('Data Transfer'!$B$6="",ISNUMBER(SEARCH('Data Transfer'!$B$6,'Compliance Database'!$D1104&amp;" "&amp;'Compliance Database'!$K1104&amp;" "&amp;'Compliance Database'!$L1104&amp;" "&amp;'Compliance Database'!$M1104&amp;" "&amp;'Compliance Database'!$N1104)))),1,0)</f>
        <v/>
      </c>
      <c r="B1104">
        <f>IF($A1104=1,SUM($A$2:$A1104),"")</f>
        <v/>
      </c>
      <c r="C1104">
        <f>IF($A1104=1,SUM($A$2:$A1104),0)</f>
        <v/>
      </c>
    </row>
    <row r="1105">
      <c r="A1105">
        <f>IF(AND(OR('Compliance Database'!$A1105='Data Transfer'!$B$4,'Compliance Database'!$A1105='Data Transfer'!$B$5),OR('Data Transfer'!$B$6="",ISNUMBER(SEARCH('Data Transfer'!$B$6,'Compliance Database'!$D1105&amp;" "&amp;'Compliance Database'!$K1105&amp;" "&amp;'Compliance Database'!$L1105&amp;" "&amp;'Compliance Database'!$M1105&amp;" "&amp;'Compliance Database'!$N1105)))),1,0)</f>
        <v/>
      </c>
      <c r="B1105">
        <f>IF($A1105=1,SUM($A$2:$A1105),"")</f>
        <v/>
      </c>
      <c r="C1105">
        <f>IF($A1105=1,SUM($A$2:$A1105),0)</f>
        <v/>
      </c>
    </row>
    <row r="1106">
      <c r="A1106">
        <f>IF(AND(OR('Compliance Database'!$A1106='Data Transfer'!$B$4,'Compliance Database'!$A1106='Data Transfer'!$B$5),OR('Data Transfer'!$B$6="",ISNUMBER(SEARCH('Data Transfer'!$B$6,'Compliance Database'!$D1106&amp;" "&amp;'Compliance Database'!$K1106&amp;" "&amp;'Compliance Database'!$L1106&amp;" "&amp;'Compliance Database'!$M1106&amp;" "&amp;'Compliance Database'!$N1106)))),1,0)</f>
        <v/>
      </c>
      <c r="B1106">
        <f>IF($A1106=1,SUM($A$2:$A1106),"")</f>
        <v/>
      </c>
      <c r="C1106">
        <f>IF($A1106=1,SUM($A$2:$A1106),0)</f>
        <v/>
      </c>
    </row>
    <row r="1107">
      <c r="A1107">
        <f>IF(AND(OR('Compliance Database'!$A1107='Data Transfer'!$B$4,'Compliance Database'!$A1107='Data Transfer'!$B$5),OR('Data Transfer'!$B$6="",ISNUMBER(SEARCH('Data Transfer'!$B$6,'Compliance Database'!$D1107&amp;" "&amp;'Compliance Database'!$K1107&amp;" "&amp;'Compliance Database'!$L1107&amp;" "&amp;'Compliance Database'!$M1107&amp;" "&amp;'Compliance Database'!$N1107)))),1,0)</f>
        <v/>
      </c>
      <c r="B1107">
        <f>IF($A1107=1,SUM($A$2:$A1107),"")</f>
        <v/>
      </c>
      <c r="C1107">
        <f>IF($A1107=1,SUM($A$2:$A1107),0)</f>
        <v/>
      </c>
    </row>
    <row r="1108">
      <c r="A1108">
        <f>IF(AND(OR('Compliance Database'!$A1108='Data Transfer'!$B$4,'Compliance Database'!$A1108='Data Transfer'!$B$5),OR('Data Transfer'!$B$6="",ISNUMBER(SEARCH('Data Transfer'!$B$6,'Compliance Database'!$D1108&amp;" "&amp;'Compliance Database'!$K1108&amp;" "&amp;'Compliance Database'!$L1108&amp;" "&amp;'Compliance Database'!$M1108&amp;" "&amp;'Compliance Database'!$N1108)))),1,0)</f>
        <v/>
      </c>
      <c r="B1108">
        <f>IF($A1108=1,SUM($A$2:$A1108),"")</f>
        <v/>
      </c>
      <c r="C1108">
        <f>IF($A1108=1,SUM($A$2:$A1108),0)</f>
        <v/>
      </c>
    </row>
    <row r="1109">
      <c r="A1109">
        <f>IF(AND(OR('Compliance Database'!$A1109='Data Transfer'!$B$4,'Compliance Database'!$A1109='Data Transfer'!$B$5),OR('Data Transfer'!$B$6="",ISNUMBER(SEARCH('Data Transfer'!$B$6,'Compliance Database'!$D1109&amp;" "&amp;'Compliance Database'!$K1109&amp;" "&amp;'Compliance Database'!$L1109&amp;" "&amp;'Compliance Database'!$M1109&amp;" "&amp;'Compliance Database'!$N1109)))),1,0)</f>
        <v/>
      </c>
      <c r="B1109">
        <f>IF($A1109=1,SUM($A$2:$A1109),"")</f>
        <v/>
      </c>
      <c r="C1109">
        <f>IF($A1109=1,SUM($A$2:$A1109),0)</f>
        <v/>
      </c>
    </row>
    <row r="1110">
      <c r="A1110">
        <f>IF(AND(OR('Compliance Database'!$A1110='Data Transfer'!$B$4,'Compliance Database'!$A1110='Data Transfer'!$B$5),OR('Data Transfer'!$B$6="",ISNUMBER(SEARCH('Data Transfer'!$B$6,'Compliance Database'!$D1110&amp;" "&amp;'Compliance Database'!$K1110&amp;" "&amp;'Compliance Database'!$L1110&amp;" "&amp;'Compliance Database'!$M1110&amp;" "&amp;'Compliance Database'!$N1110)))),1,0)</f>
        <v/>
      </c>
      <c r="B1110">
        <f>IF($A1110=1,SUM($A$2:$A1110),"")</f>
        <v/>
      </c>
      <c r="C1110">
        <f>IF($A1110=1,SUM($A$2:$A1110),0)</f>
        <v/>
      </c>
    </row>
    <row r="1111">
      <c r="A1111">
        <f>IF(AND(OR('Compliance Database'!$A1111='Data Transfer'!$B$4,'Compliance Database'!$A1111='Data Transfer'!$B$5),OR('Data Transfer'!$B$6="",ISNUMBER(SEARCH('Data Transfer'!$B$6,'Compliance Database'!$D1111&amp;" "&amp;'Compliance Database'!$K1111&amp;" "&amp;'Compliance Database'!$L1111&amp;" "&amp;'Compliance Database'!$M1111&amp;" "&amp;'Compliance Database'!$N1111)))),1,0)</f>
        <v/>
      </c>
      <c r="B1111">
        <f>IF($A1111=1,SUM($A$2:$A1111),"")</f>
        <v/>
      </c>
      <c r="C1111">
        <f>IF($A1111=1,SUM($A$2:$A1111),0)</f>
        <v/>
      </c>
    </row>
    <row r="1112">
      <c r="A1112">
        <f>IF(AND(OR('Compliance Database'!$A1112='Data Transfer'!$B$4,'Compliance Database'!$A1112='Data Transfer'!$B$5),OR('Data Transfer'!$B$6="",ISNUMBER(SEARCH('Data Transfer'!$B$6,'Compliance Database'!$D1112&amp;" "&amp;'Compliance Database'!$K1112&amp;" "&amp;'Compliance Database'!$L1112&amp;" "&amp;'Compliance Database'!$M1112&amp;" "&amp;'Compliance Database'!$N1112)))),1,0)</f>
        <v/>
      </c>
      <c r="B1112">
        <f>IF($A1112=1,SUM($A$2:$A1112),"")</f>
        <v/>
      </c>
      <c r="C1112">
        <f>IF($A1112=1,SUM($A$2:$A1112),0)</f>
        <v/>
      </c>
    </row>
    <row r="1113">
      <c r="A1113">
        <f>IF(AND(OR('Compliance Database'!$A1113='Data Transfer'!$B$4,'Compliance Database'!$A1113='Data Transfer'!$B$5),OR('Data Transfer'!$B$6="",ISNUMBER(SEARCH('Data Transfer'!$B$6,'Compliance Database'!$D1113&amp;" "&amp;'Compliance Database'!$K1113&amp;" "&amp;'Compliance Database'!$L1113&amp;" "&amp;'Compliance Database'!$M1113&amp;" "&amp;'Compliance Database'!$N1113)))),1,0)</f>
        <v/>
      </c>
      <c r="B1113">
        <f>IF($A1113=1,SUM($A$2:$A1113),"")</f>
        <v/>
      </c>
      <c r="C1113">
        <f>IF($A1113=1,SUM($A$2:$A1113),0)</f>
        <v/>
      </c>
    </row>
    <row r="1114">
      <c r="A1114">
        <f>IF(AND(OR('Compliance Database'!$A1114='Data Transfer'!$B$4,'Compliance Database'!$A1114='Data Transfer'!$B$5),OR('Data Transfer'!$B$6="",ISNUMBER(SEARCH('Data Transfer'!$B$6,'Compliance Database'!$D1114&amp;" "&amp;'Compliance Database'!$K1114&amp;" "&amp;'Compliance Database'!$L1114&amp;" "&amp;'Compliance Database'!$M1114&amp;" "&amp;'Compliance Database'!$N1114)))),1,0)</f>
        <v/>
      </c>
      <c r="B1114">
        <f>IF($A1114=1,SUM($A$2:$A1114),"")</f>
        <v/>
      </c>
      <c r="C1114">
        <f>IF($A1114=1,SUM($A$2:$A1114),0)</f>
        <v/>
      </c>
    </row>
    <row r="1115">
      <c r="A1115">
        <f>IF(AND(OR('Compliance Database'!$A1115='Data Transfer'!$B$4,'Compliance Database'!$A1115='Data Transfer'!$B$5),OR('Data Transfer'!$B$6="",ISNUMBER(SEARCH('Data Transfer'!$B$6,'Compliance Database'!$D1115&amp;" "&amp;'Compliance Database'!$K1115&amp;" "&amp;'Compliance Database'!$L1115&amp;" "&amp;'Compliance Database'!$M1115&amp;" "&amp;'Compliance Database'!$N1115)))),1,0)</f>
        <v/>
      </c>
      <c r="B1115">
        <f>IF($A1115=1,SUM($A$2:$A1115),"")</f>
        <v/>
      </c>
      <c r="C1115">
        <f>IF($A1115=1,SUM($A$2:$A1115),0)</f>
        <v/>
      </c>
    </row>
    <row r="1116">
      <c r="A1116">
        <f>IF(AND(OR('Compliance Database'!$A1116='Data Transfer'!$B$4,'Compliance Database'!$A1116='Data Transfer'!$B$5),OR('Data Transfer'!$B$6="",ISNUMBER(SEARCH('Data Transfer'!$B$6,'Compliance Database'!$D1116&amp;" "&amp;'Compliance Database'!$K1116&amp;" "&amp;'Compliance Database'!$L1116&amp;" "&amp;'Compliance Database'!$M1116&amp;" "&amp;'Compliance Database'!$N1116)))),1,0)</f>
        <v/>
      </c>
      <c r="B1116">
        <f>IF($A1116=1,SUM($A$2:$A1116),"")</f>
        <v/>
      </c>
      <c r="C1116">
        <f>IF($A1116=1,SUM($A$2:$A1116),0)</f>
        <v/>
      </c>
    </row>
    <row r="1117">
      <c r="A1117">
        <f>IF(AND(OR('Compliance Database'!$A1117='Data Transfer'!$B$4,'Compliance Database'!$A1117='Data Transfer'!$B$5),OR('Data Transfer'!$B$6="",ISNUMBER(SEARCH('Data Transfer'!$B$6,'Compliance Database'!$D1117&amp;" "&amp;'Compliance Database'!$K1117&amp;" "&amp;'Compliance Database'!$L1117&amp;" "&amp;'Compliance Database'!$M1117&amp;" "&amp;'Compliance Database'!$N1117)))),1,0)</f>
        <v/>
      </c>
      <c r="B1117">
        <f>IF($A1117=1,SUM($A$2:$A1117),"")</f>
        <v/>
      </c>
      <c r="C1117">
        <f>IF($A1117=1,SUM($A$2:$A1117),0)</f>
        <v/>
      </c>
    </row>
    <row r="1118">
      <c r="A1118">
        <f>IF(AND(OR('Compliance Database'!$A1118='Data Transfer'!$B$4,'Compliance Database'!$A1118='Data Transfer'!$B$5),OR('Data Transfer'!$B$6="",ISNUMBER(SEARCH('Data Transfer'!$B$6,'Compliance Database'!$D1118&amp;" "&amp;'Compliance Database'!$K1118&amp;" "&amp;'Compliance Database'!$L1118&amp;" "&amp;'Compliance Database'!$M1118&amp;" "&amp;'Compliance Database'!$N1118)))),1,0)</f>
        <v/>
      </c>
      <c r="B1118">
        <f>IF($A1118=1,SUM($A$2:$A1118),"")</f>
        <v/>
      </c>
      <c r="C1118">
        <f>IF($A1118=1,SUM($A$2:$A1118),0)</f>
        <v/>
      </c>
    </row>
    <row r="1119">
      <c r="A1119">
        <f>IF(AND(OR('Compliance Database'!$A1119='Data Transfer'!$B$4,'Compliance Database'!$A1119='Data Transfer'!$B$5),OR('Data Transfer'!$B$6="",ISNUMBER(SEARCH('Data Transfer'!$B$6,'Compliance Database'!$D1119&amp;" "&amp;'Compliance Database'!$K1119&amp;" "&amp;'Compliance Database'!$L1119&amp;" "&amp;'Compliance Database'!$M1119&amp;" "&amp;'Compliance Database'!$N1119)))),1,0)</f>
        <v/>
      </c>
      <c r="B1119">
        <f>IF($A1119=1,SUM($A$2:$A1119),"")</f>
        <v/>
      </c>
      <c r="C1119">
        <f>IF($A1119=1,SUM($A$2:$A1119),0)</f>
        <v/>
      </c>
    </row>
    <row r="1120">
      <c r="A1120">
        <f>IF(AND(OR('Compliance Database'!$A1120='Data Transfer'!$B$4,'Compliance Database'!$A1120='Data Transfer'!$B$5),OR('Data Transfer'!$B$6="",ISNUMBER(SEARCH('Data Transfer'!$B$6,'Compliance Database'!$D1120&amp;" "&amp;'Compliance Database'!$K1120&amp;" "&amp;'Compliance Database'!$L1120&amp;" "&amp;'Compliance Database'!$M1120&amp;" "&amp;'Compliance Database'!$N1120)))),1,0)</f>
        <v/>
      </c>
      <c r="B1120">
        <f>IF($A1120=1,SUM($A$2:$A1120),"")</f>
        <v/>
      </c>
      <c r="C1120">
        <f>IF($A1120=1,SUM($A$2:$A1120),0)</f>
        <v/>
      </c>
    </row>
    <row r="1121">
      <c r="A1121">
        <f>IF(AND(OR('Compliance Database'!$A1121='Data Transfer'!$B$4,'Compliance Database'!$A1121='Data Transfer'!$B$5),OR('Data Transfer'!$B$6="",ISNUMBER(SEARCH('Data Transfer'!$B$6,'Compliance Database'!$D1121&amp;" "&amp;'Compliance Database'!$K1121&amp;" "&amp;'Compliance Database'!$L1121&amp;" "&amp;'Compliance Database'!$M1121&amp;" "&amp;'Compliance Database'!$N1121)))),1,0)</f>
        <v/>
      </c>
      <c r="B1121">
        <f>IF($A1121=1,SUM($A$2:$A1121),"")</f>
        <v/>
      </c>
      <c r="C1121">
        <f>IF($A1121=1,SUM($A$2:$A1121),0)</f>
        <v/>
      </c>
    </row>
    <row r="1122">
      <c r="A1122">
        <f>IF(AND(OR('Compliance Database'!$A1122='Data Transfer'!$B$4,'Compliance Database'!$A1122='Data Transfer'!$B$5),OR('Data Transfer'!$B$6="",ISNUMBER(SEARCH('Data Transfer'!$B$6,'Compliance Database'!$D1122&amp;" "&amp;'Compliance Database'!$K1122&amp;" "&amp;'Compliance Database'!$L1122&amp;" "&amp;'Compliance Database'!$M1122&amp;" "&amp;'Compliance Database'!$N1122)))),1,0)</f>
        <v/>
      </c>
      <c r="B1122">
        <f>IF($A1122=1,SUM($A$2:$A1122),"")</f>
        <v/>
      </c>
      <c r="C1122">
        <f>IF($A1122=1,SUM($A$2:$A1122),0)</f>
        <v/>
      </c>
    </row>
    <row r="1123">
      <c r="A1123">
        <f>IF(AND(OR('Compliance Database'!$A1123='Data Transfer'!$B$4,'Compliance Database'!$A1123='Data Transfer'!$B$5),OR('Data Transfer'!$B$6="",ISNUMBER(SEARCH('Data Transfer'!$B$6,'Compliance Database'!$D1123&amp;" "&amp;'Compliance Database'!$K1123&amp;" "&amp;'Compliance Database'!$L1123&amp;" "&amp;'Compliance Database'!$M1123&amp;" "&amp;'Compliance Database'!$N1123)))),1,0)</f>
        <v/>
      </c>
      <c r="B1123">
        <f>IF($A1123=1,SUM($A$2:$A1123),"")</f>
        <v/>
      </c>
      <c r="C1123">
        <f>IF($A1123=1,SUM($A$2:$A1123),0)</f>
        <v/>
      </c>
    </row>
    <row r="1124">
      <c r="A1124">
        <f>IF(AND(OR('Compliance Database'!$A1124='Data Transfer'!$B$4,'Compliance Database'!$A1124='Data Transfer'!$B$5),OR('Data Transfer'!$B$6="",ISNUMBER(SEARCH('Data Transfer'!$B$6,'Compliance Database'!$D1124&amp;" "&amp;'Compliance Database'!$K1124&amp;" "&amp;'Compliance Database'!$L1124&amp;" "&amp;'Compliance Database'!$M1124&amp;" "&amp;'Compliance Database'!$N1124)))),1,0)</f>
        <v/>
      </c>
      <c r="B1124">
        <f>IF($A1124=1,SUM($A$2:$A1124),"")</f>
        <v/>
      </c>
      <c r="C1124">
        <f>IF($A1124=1,SUM($A$2:$A1124),0)</f>
        <v/>
      </c>
    </row>
    <row r="1125">
      <c r="A1125">
        <f>IF(AND(OR('Compliance Database'!$A1125='Data Transfer'!$B$4,'Compliance Database'!$A1125='Data Transfer'!$B$5),OR('Data Transfer'!$B$6="",ISNUMBER(SEARCH('Data Transfer'!$B$6,'Compliance Database'!$D1125&amp;" "&amp;'Compliance Database'!$K1125&amp;" "&amp;'Compliance Database'!$L1125&amp;" "&amp;'Compliance Database'!$M1125&amp;" "&amp;'Compliance Database'!$N1125)))),1,0)</f>
        <v/>
      </c>
      <c r="B1125">
        <f>IF($A1125=1,SUM($A$2:$A1125),"")</f>
        <v/>
      </c>
      <c r="C1125">
        <f>IF($A1125=1,SUM($A$2:$A1125),0)</f>
        <v/>
      </c>
    </row>
    <row r="1126">
      <c r="A1126">
        <f>IF(AND(OR('Compliance Database'!$A1126='Data Transfer'!$B$4,'Compliance Database'!$A1126='Data Transfer'!$B$5),OR('Data Transfer'!$B$6="",ISNUMBER(SEARCH('Data Transfer'!$B$6,'Compliance Database'!$D1126&amp;" "&amp;'Compliance Database'!$K1126&amp;" "&amp;'Compliance Database'!$L1126&amp;" "&amp;'Compliance Database'!$M1126&amp;" "&amp;'Compliance Database'!$N1126)))),1,0)</f>
        <v/>
      </c>
      <c r="B1126">
        <f>IF($A1126=1,SUM($A$2:$A1126),"")</f>
        <v/>
      </c>
      <c r="C1126">
        <f>IF($A1126=1,SUM($A$2:$A1126),0)</f>
        <v/>
      </c>
    </row>
    <row r="1127">
      <c r="A1127">
        <f>IF(AND(OR('Compliance Database'!$A1127='Data Transfer'!$B$4,'Compliance Database'!$A1127='Data Transfer'!$B$5),OR('Data Transfer'!$B$6="",ISNUMBER(SEARCH('Data Transfer'!$B$6,'Compliance Database'!$D1127&amp;" "&amp;'Compliance Database'!$K1127&amp;" "&amp;'Compliance Database'!$L1127&amp;" "&amp;'Compliance Database'!$M1127&amp;" "&amp;'Compliance Database'!$N1127)))),1,0)</f>
        <v/>
      </c>
      <c r="B1127">
        <f>IF($A1127=1,SUM($A$2:$A1127),"")</f>
        <v/>
      </c>
      <c r="C1127">
        <f>IF($A1127=1,SUM($A$2:$A1127),0)</f>
        <v/>
      </c>
    </row>
    <row r="1128">
      <c r="A1128">
        <f>IF(AND(OR('Compliance Database'!$A1128='Data Transfer'!$B$4,'Compliance Database'!$A1128='Data Transfer'!$B$5),OR('Data Transfer'!$B$6="",ISNUMBER(SEARCH('Data Transfer'!$B$6,'Compliance Database'!$D1128&amp;" "&amp;'Compliance Database'!$K1128&amp;" "&amp;'Compliance Database'!$L1128&amp;" "&amp;'Compliance Database'!$M1128&amp;" "&amp;'Compliance Database'!$N1128)))),1,0)</f>
        <v/>
      </c>
      <c r="B1128">
        <f>IF($A1128=1,SUM($A$2:$A1128),"")</f>
        <v/>
      </c>
      <c r="C1128">
        <f>IF($A1128=1,SUM($A$2:$A1128),0)</f>
        <v/>
      </c>
    </row>
    <row r="1129">
      <c r="A1129">
        <f>IF(AND(OR('Compliance Database'!$A1129='Data Transfer'!$B$4,'Compliance Database'!$A1129='Data Transfer'!$B$5),OR('Data Transfer'!$B$6="",ISNUMBER(SEARCH('Data Transfer'!$B$6,'Compliance Database'!$D1129&amp;" "&amp;'Compliance Database'!$K1129&amp;" "&amp;'Compliance Database'!$L1129&amp;" "&amp;'Compliance Database'!$M1129&amp;" "&amp;'Compliance Database'!$N1129)))),1,0)</f>
        <v/>
      </c>
      <c r="B1129">
        <f>IF($A1129=1,SUM($A$2:$A1129),"")</f>
        <v/>
      </c>
      <c r="C1129">
        <f>IF($A1129=1,SUM($A$2:$A1129),0)</f>
        <v/>
      </c>
    </row>
    <row r="1130">
      <c r="A1130">
        <f>IF(AND(OR('Compliance Database'!$A1130='Data Transfer'!$B$4,'Compliance Database'!$A1130='Data Transfer'!$B$5),OR('Data Transfer'!$B$6="",ISNUMBER(SEARCH('Data Transfer'!$B$6,'Compliance Database'!$D1130&amp;" "&amp;'Compliance Database'!$K1130&amp;" "&amp;'Compliance Database'!$L1130&amp;" "&amp;'Compliance Database'!$M1130&amp;" "&amp;'Compliance Database'!$N1130)))),1,0)</f>
        <v/>
      </c>
      <c r="B1130">
        <f>IF($A1130=1,SUM($A$2:$A1130),"")</f>
        <v/>
      </c>
      <c r="C1130">
        <f>IF($A1130=1,SUM($A$2:$A1130),0)</f>
        <v/>
      </c>
    </row>
    <row r="1131">
      <c r="A1131">
        <f>IF(AND(OR('Compliance Database'!$A1131='Data Transfer'!$B$4,'Compliance Database'!$A1131='Data Transfer'!$B$5),OR('Data Transfer'!$B$6="",ISNUMBER(SEARCH('Data Transfer'!$B$6,'Compliance Database'!$D1131&amp;" "&amp;'Compliance Database'!$K1131&amp;" "&amp;'Compliance Database'!$L1131&amp;" "&amp;'Compliance Database'!$M1131&amp;" "&amp;'Compliance Database'!$N1131)))),1,0)</f>
        <v/>
      </c>
      <c r="B1131">
        <f>IF($A1131=1,SUM($A$2:$A1131),"")</f>
        <v/>
      </c>
      <c r="C1131">
        <f>IF($A1131=1,SUM($A$2:$A1131),0)</f>
        <v/>
      </c>
    </row>
    <row r="1132">
      <c r="A1132">
        <f>IF(AND(OR('Compliance Database'!$A1132='Data Transfer'!$B$4,'Compliance Database'!$A1132='Data Transfer'!$B$5),OR('Data Transfer'!$B$6="",ISNUMBER(SEARCH('Data Transfer'!$B$6,'Compliance Database'!$D1132&amp;" "&amp;'Compliance Database'!$K1132&amp;" "&amp;'Compliance Database'!$L1132&amp;" "&amp;'Compliance Database'!$M1132&amp;" "&amp;'Compliance Database'!$N1132)))),1,0)</f>
        <v/>
      </c>
      <c r="B1132">
        <f>IF($A1132=1,SUM($A$2:$A1132),"")</f>
        <v/>
      </c>
      <c r="C1132">
        <f>IF($A1132=1,SUM($A$2:$A1132),0)</f>
        <v/>
      </c>
    </row>
    <row r="1133">
      <c r="A1133">
        <f>IF(AND(OR('Compliance Database'!$A1133='Data Transfer'!$B$4,'Compliance Database'!$A1133='Data Transfer'!$B$5),OR('Data Transfer'!$B$6="",ISNUMBER(SEARCH('Data Transfer'!$B$6,'Compliance Database'!$D1133&amp;" "&amp;'Compliance Database'!$K1133&amp;" "&amp;'Compliance Database'!$L1133&amp;" "&amp;'Compliance Database'!$M1133&amp;" "&amp;'Compliance Database'!$N1133)))),1,0)</f>
        <v/>
      </c>
      <c r="B1133">
        <f>IF($A1133=1,SUM($A$2:$A1133),"")</f>
        <v/>
      </c>
      <c r="C1133">
        <f>IF($A1133=1,SUM($A$2:$A1133),0)</f>
        <v/>
      </c>
    </row>
    <row r="1134">
      <c r="A1134">
        <f>IF(AND(OR('Compliance Database'!$A1134='Data Transfer'!$B$4,'Compliance Database'!$A1134='Data Transfer'!$B$5),OR('Data Transfer'!$B$6="",ISNUMBER(SEARCH('Data Transfer'!$B$6,'Compliance Database'!$D1134&amp;" "&amp;'Compliance Database'!$K1134&amp;" "&amp;'Compliance Database'!$L1134&amp;" "&amp;'Compliance Database'!$M1134&amp;" "&amp;'Compliance Database'!$N1134)))),1,0)</f>
        <v/>
      </c>
      <c r="B1134">
        <f>IF($A1134=1,SUM($A$2:$A1134),"")</f>
        <v/>
      </c>
      <c r="C1134">
        <f>IF($A1134=1,SUM($A$2:$A1134),0)</f>
        <v/>
      </c>
    </row>
    <row r="1135">
      <c r="A1135">
        <f>IF(AND(OR('Compliance Database'!$A1135='Data Transfer'!$B$4,'Compliance Database'!$A1135='Data Transfer'!$B$5),OR('Data Transfer'!$B$6="",ISNUMBER(SEARCH('Data Transfer'!$B$6,'Compliance Database'!$D1135&amp;" "&amp;'Compliance Database'!$K1135&amp;" "&amp;'Compliance Database'!$L1135&amp;" "&amp;'Compliance Database'!$M1135&amp;" "&amp;'Compliance Database'!$N1135)))),1,0)</f>
        <v/>
      </c>
      <c r="B1135">
        <f>IF($A1135=1,SUM($A$2:$A1135),"")</f>
        <v/>
      </c>
      <c r="C1135">
        <f>IF($A1135=1,SUM($A$2:$A1135),0)</f>
        <v/>
      </c>
    </row>
    <row r="1136">
      <c r="A1136">
        <f>IF(AND(OR('Compliance Database'!$A1136='Data Transfer'!$B$4,'Compliance Database'!$A1136='Data Transfer'!$B$5),OR('Data Transfer'!$B$6="",ISNUMBER(SEARCH('Data Transfer'!$B$6,'Compliance Database'!$D1136&amp;" "&amp;'Compliance Database'!$K1136&amp;" "&amp;'Compliance Database'!$L1136&amp;" "&amp;'Compliance Database'!$M1136&amp;" "&amp;'Compliance Database'!$N1136)))),1,0)</f>
        <v/>
      </c>
      <c r="B1136">
        <f>IF($A1136=1,SUM($A$2:$A1136),"")</f>
        <v/>
      </c>
      <c r="C1136">
        <f>IF($A1136=1,SUM($A$2:$A1136),0)</f>
        <v/>
      </c>
    </row>
    <row r="1137">
      <c r="A1137">
        <f>IF(AND(OR('Compliance Database'!$A1137='Data Transfer'!$B$4,'Compliance Database'!$A1137='Data Transfer'!$B$5),OR('Data Transfer'!$B$6="",ISNUMBER(SEARCH('Data Transfer'!$B$6,'Compliance Database'!$D1137&amp;" "&amp;'Compliance Database'!$K1137&amp;" "&amp;'Compliance Database'!$L1137&amp;" "&amp;'Compliance Database'!$M1137&amp;" "&amp;'Compliance Database'!$N1137)))),1,0)</f>
        <v/>
      </c>
      <c r="B1137">
        <f>IF($A1137=1,SUM($A$2:$A1137),"")</f>
        <v/>
      </c>
      <c r="C1137">
        <f>IF($A1137=1,SUM($A$2:$A1137),0)</f>
        <v/>
      </c>
    </row>
    <row r="1138">
      <c r="A1138">
        <f>IF(AND(OR('Compliance Database'!$A1138='Data Transfer'!$B$4,'Compliance Database'!$A1138='Data Transfer'!$B$5),OR('Data Transfer'!$B$6="",ISNUMBER(SEARCH('Data Transfer'!$B$6,'Compliance Database'!$D1138&amp;" "&amp;'Compliance Database'!$K1138&amp;" "&amp;'Compliance Database'!$L1138&amp;" "&amp;'Compliance Database'!$M1138&amp;" "&amp;'Compliance Database'!$N1138)))),1,0)</f>
        <v/>
      </c>
      <c r="B1138">
        <f>IF($A1138=1,SUM($A$2:$A1138),"")</f>
        <v/>
      </c>
      <c r="C1138">
        <f>IF($A1138=1,SUM($A$2:$A1138),0)</f>
        <v/>
      </c>
    </row>
    <row r="1139">
      <c r="A1139">
        <f>IF(AND(OR('Compliance Database'!$A1139='Data Transfer'!$B$4,'Compliance Database'!$A1139='Data Transfer'!$B$5),OR('Data Transfer'!$B$6="",ISNUMBER(SEARCH('Data Transfer'!$B$6,'Compliance Database'!$D1139&amp;" "&amp;'Compliance Database'!$K1139&amp;" "&amp;'Compliance Database'!$L1139&amp;" "&amp;'Compliance Database'!$M1139&amp;" "&amp;'Compliance Database'!$N1139)))),1,0)</f>
        <v/>
      </c>
      <c r="B1139">
        <f>IF($A1139=1,SUM($A$2:$A1139),"")</f>
        <v/>
      </c>
      <c r="C1139">
        <f>IF($A1139=1,SUM($A$2:$A1139),0)</f>
        <v/>
      </c>
    </row>
    <row r="1140">
      <c r="A1140">
        <f>IF(AND(OR('Compliance Database'!$A1140='Data Transfer'!$B$4,'Compliance Database'!$A1140='Data Transfer'!$B$5),OR('Data Transfer'!$B$6="",ISNUMBER(SEARCH('Data Transfer'!$B$6,'Compliance Database'!$D1140&amp;" "&amp;'Compliance Database'!$K1140&amp;" "&amp;'Compliance Database'!$L1140&amp;" "&amp;'Compliance Database'!$M1140&amp;" "&amp;'Compliance Database'!$N1140)))),1,0)</f>
        <v/>
      </c>
      <c r="B1140">
        <f>IF($A1140=1,SUM($A$2:$A1140),"")</f>
        <v/>
      </c>
      <c r="C1140">
        <f>IF($A1140=1,SUM($A$2:$A1140),0)</f>
        <v/>
      </c>
    </row>
    <row r="1141">
      <c r="A1141">
        <f>IF(AND(OR('Compliance Database'!$A1141='Data Transfer'!$B$4,'Compliance Database'!$A1141='Data Transfer'!$B$5),OR('Data Transfer'!$B$6="",ISNUMBER(SEARCH('Data Transfer'!$B$6,'Compliance Database'!$D1141&amp;" "&amp;'Compliance Database'!$K1141&amp;" "&amp;'Compliance Database'!$L1141&amp;" "&amp;'Compliance Database'!$M1141&amp;" "&amp;'Compliance Database'!$N1141)))),1,0)</f>
        <v/>
      </c>
      <c r="B1141">
        <f>IF($A1141=1,SUM($A$2:$A1141),"")</f>
        <v/>
      </c>
      <c r="C1141">
        <f>IF($A1141=1,SUM($A$2:$A1141),0)</f>
        <v/>
      </c>
    </row>
    <row r="1142">
      <c r="A1142">
        <f>IF(AND(OR('Compliance Database'!$A1142='Data Transfer'!$B$4,'Compliance Database'!$A1142='Data Transfer'!$B$5),OR('Data Transfer'!$B$6="",ISNUMBER(SEARCH('Data Transfer'!$B$6,'Compliance Database'!$D1142&amp;" "&amp;'Compliance Database'!$K1142&amp;" "&amp;'Compliance Database'!$L1142&amp;" "&amp;'Compliance Database'!$M1142&amp;" "&amp;'Compliance Database'!$N1142)))),1,0)</f>
        <v/>
      </c>
      <c r="B1142">
        <f>IF($A1142=1,SUM($A$2:$A1142),"")</f>
        <v/>
      </c>
      <c r="C1142">
        <f>IF($A1142=1,SUM($A$2:$A1142),0)</f>
        <v/>
      </c>
    </row>
    <row r="1143">
      <c r="A1143">
        <f>IF(AND(OR('Compliance Database'!$A1143='Data Transfer'!$B$4,'Compliance Database'!$A1143='Data Transfer'!$B$5),OR('Data Transfer'!$B$6="",ISNUMBER(SEARCH('Data Transfer'!$B$6,'Compliance Database'!$D1143&amp;" "&amp;'Compliance Database'!$K1143&amp;" "&amp;'Compliance Database'!$L1143&amp;" "&amp;'Compliance Database'!$M1143&amp;" "&amp;'Compliance Database'!$N1143)))),1,0)</f>
        <v/>
      </c>
      <c r="B1143">
        <f>IF($A1143=1,SUM($A$2:$A1143),"")</f>
        <v/>
      </c>
      <c r="C1143">
        <f>IF($A1143=1,SUM($A$2:$A1143),0)</f>
        <v/>
      </c>
    </row>
    <row r="1144">
      <c r="A1144">
        <f>IF(AND(OR('Compliance Database'!$A1144='Data Transfer'!$B$4,'Compliance Database'!$A1144='Data Transfer'!$B$5),OR('Data Transfer'!$B$6="",ISNUMBER(SEARCH('Data Transfer'!$B$6,'Compliance Database'!$D1144&amp;" "&amp;'Compliance Database'!$K1144&amp;" "&amp;'Compliance Database'!$L1144&amp;" "&amp;'Compliance Database'!$M1144&amp;" "&amp;'Compliance Database'!$N1144)))),1,0)</f>
        <v/>
      </c>
      <c r="B1144">
        <f>IF($A1144=1,SUM($A$2:$A1144),"")</f>
        <v/>
      </c>
      <c r="C1144">
        <f>IF($A1144=1,SUM($A$2:$A1144),0)</f>
        <v/>
      </c>
    </row>
    <row r="1145">
      <c r="A1145">
        <f>IF(AND(OR('Compliance Database'!$A1145='Data Transfer'!$B$4,'Compliance Database'!$A1145='Data Transfer'!$B$5),OR('Data Transfer'!$B$6="",ISNUMBER(SEARCH('Data Transfer'!$B$6,'Compliance Database'!$D1145&amp;" "&amp;'Compliance Database'!$K1145&amp;" "&amp;'Compliance Database'!$L1145&amp;" "&amp;'Compliance Database'!$M1145&amp;" "&amp;'Compliance Database'!$N1145)))),1,0)</f>
        <v/>
      </c>
      <c r="B1145">
        <f>IF($A1145=1,SUM($A$2:$A1145),"")</f>
        <v/>
      </c>
      <c r="C1145">
        <f>IF($A1145=1,SUM($A$2:$A1145),0)</f>
        <v/>
      </c>
    </row>
    <row r="1146">
      <c r="A1146">
        <f>IF(AND(OR('Compliance Database'!$A1146='Data Transfer'!$B$4,'Compliance Database'!$A1146='Data Transfer'!$B$5),OR('Data Transfer'!$B$6="",ISNUMBER(SEARCH('Data Transfer'!$B$6,'Compliance Database'!$D1146&amp;" "&amp;'Compliance Database'!$K1146&amp;" "&amp;'Compliance Database'!$L1146&amp;" "&amp;'Compliance Database'!$M1146&amp;" "&amp;'Compliance Database'!$N1146)))),1,0)</f>
        <v/>
      </c>
      <c r="B1146">
        <f>IF($A1146=1,SUM($A$2:$A1146),"")</f>
        <v/>
      </c>
      <c r="C1146">
        <f>IF($A1146=1,SUM($A$2:$A1146),0)</f>
        <v/>
      </c>
    </row>
    <row r="1147">
      <c r="A1147">
        <f>IF(AND(OR('Compliance Database'!$A1147='Data Transfer'!$B$4,'Compliance Database'!$A1147='Data Transfer'!$B$5),OR('Data Transfer'!$B$6="",ISNUMBER(SEARCH('Data Transfer'!$B$6,'Compliance Database'!$D1147&amp;" "&amp;'Compliance Database'!$K1147&amp;" "&amp;'Compliance Database'!$L1147&amp;" "&amp;'Compliance Database'!$M1147&amp;" "&amp;'Compliance Database'!$N1147)))),1,0)</f>
        <v/>
      </c>
      <c r="B1147">
        <f>IF($A1147=1,SUM($A$2:$A1147),"")</f>
        <v/>
      </c>
      <c r="C1147">
        <f>IF($A1147=1,SUM($A$2:$A1147),0)</f>
        <v/>
      </c>
    </row>
    <row r="1148">
      <c r="A1148">
        <f>IF(AND(OR('Compliance Database'!$A1148='Data Transfer'!$B$4,'Compliance Database'!$A1148='Data Transfer'!$B$5),OR('Data Transfer'!$B$6="",ISNUMBER(SEARCH('Data Transfer'!$B$6,'Compliance Database'!$D1148&amp;" "&amp;'Compliance Database'!$K1148&amp;" "&amp;'Compliance Database'!$L1148&amp;" "&amp;'Compliance Database'!$M1148&amp;" "&amp;'Compliance Database'!$N1148)))),1,0)</f>
        <v/>
      </c>
      <c r="B1148">
        <f>IF($A1148=1,SUM($A$2:$A1148),"")</f>
        <v/>
      </c>
      <c r="C1148">
        <f>IF($A1148=1,SUM($A$2:$A1148),0)</f>
        <v/>
      </c>
    </row>
    <row r="1149">
      <c r="A1149">
        <f>IF(AND(OR('Compliance Database'!$A1149='Data Transfer'!$B$4,'Compliance Database'!$A1149='Data Transfer'!$B$5),OR('Data Transfer'!$B$6="",ISNUMBER(SEARCH('Data Transfer'!$B$6,'Compliance Database'!$D1149&amp;" "&amp;'Compliance Database'!$K1149&amp;" "&amp;'Compliance Database'!$L1149&amp;" "&amp;'Compliance Database'!$M1149&amp;" "&amp;'Compliance Database'!$N1149)))),1,0)</f>
        <v/>
      </c>
      <c r="B1149">
        <f>IF($A1149=1,SUM($A$2:$A1149),"")</f>
        <v/>
      </c>
      <c r="C1149">
        <f>IF($A1149=1,SUM($A$2:$A1149),0)</f>
        <v/>
      </c>
    </row>
    <row r="1150">
      <c r="A1150">
        <f>IF(AND(OR('Compliance Database'!$A1150='Data Transfer'!$B$4,'Compliance Database'!$A1150='Data Transfer'!$B$5),OR('Data Transfer'!$B$6="",ISNUMBER(SEARCH('Data Transfer'!$B$6,'Compliance Database'!$D1150&amp;" "&amp;'Compliance Database'!$K1150&amp;" "&amp;'Compliance Database'!$L1150&amp;" "&amp;'Compliance Database'!$M1150&amp;" "&amp;'Compliance Database'!$N1150)))),1,0)</f>
        <v/>
      </c>
      <c r="B1150">
        <f>IF($A1150=1,SUM($A$2:$A1150),"")</f>
        <v/>
      </c>
      <c r="C1150">
        <f>IF($A1150=1,SUM($A$2:$A1150),0)</f>
        <v/>
      </c>
    </row>
    <row r="1151">
      <c r="A1151">
        <f>IF(AND(OR('Compliance Database'!$A1151='Data Transfer'!$B$4,'Compliance Database'!$A1151='Data Transfer'!$B$5),OR('Data Transfer'!$B$6="",ISNUMBER(SEARCH('Data Transfer'!$B$6,'Compliance Database'!$D1151&amp;" "&amp;'Compliance Database'!$K1151&amp;" "&amp;'Compliance Database'!$L1151&amp;" "&amp;'Compliance Database'!$M1151&amp;" "&amp;'Compliance Database'!$N1151)))),1,0)</f>
        <v/>
      </c>
      <c r="B1151">
        <f>IF($A1151=1,SUM($A$2:$A1151),"")</f>
        <v/>
      </c>
      <c r="C1151">
        <f>IF($A1151=1,SUM($A$2:$A1151),0)</f>
        <v/>
      </c>
    </row>
    <row r="1152">
      <c r="A1152">
        <f>IF(AND(OR('Compliance Database'!$A1152='Data Transfer'!$B$4,'Compliance Database'!$A1152='Data Transfer'!$B$5),OR('Data Transfer'!$B$6="",ISNUMBER(SEARCH('Data Transfer'!$B$6,'Compliance Database'!$D1152&amp;" "&amp;'Compliance Database'!$K1152&amp;" "&amp;'Compliance Database'!$L1152&amp;" "&amp;'Compliance Database'!$M1152&amp;" "&amp;'Compliance Database'!$N1152)))),1,0)</f>
        <v/>
      </c>
      <c r="B1152">
        <f>IF($A1152=1,SUM($A$2:$A1152),"")</f>
        <v/>
      </c>
      <c r="C1152">
        <f>IF($A1152=1,SUM($A$2:$A1152),0)</f>
        <v/>
      </c>
    </row>
    <row r="1153">
      <c r="A1153">
        <f>IF(AND(OR('Compliance Database'!$A1153='Data Transfer'!$B$4,'Compliance Database'!$A1153='Data Transfer'!$B$5),OR('Data Transfer'!$B$6="",ISNUMBER(SEARCH('Data Transfer'!$B$6,'Compliance Database'!$D1153&amp;" "&amp;'Compliance Database'!$K1153&amp;" "&amp;'Compliance Database'!$L1153&amp;" "&amp;'Compliance Database'!$M1153&amp;" "&amp;'Compliance Database'!$N1153)))),1,0)</f>
        <v/>
      </c>
      <c r="B1153">
        <f>IF($A1153=1,SUM($A$2:$A1153),"")</f>
        <v/>
      </c>
      <c r="C1153">
        <f>IF($A1153=1,SUM($A$2:$A1153),0)</f>
        <v/>
      </c>
    </row>
    <row r="1154">
      <c r="A1154">
        <f>IF(AND(OR('Compliance Database'!$A1154='Data Transfer'!$B$4,'Compliance Database'!$A1154='Data Transfer'!$B$5),OR('Data Transfer'!$B$6="",ISNUMBER(SEARCH('Data Transfer'!$B$6,'Compliance Database'!$D1154&amp;" "&amp;'Compliance Database'!$K1154&amp;" "&amp;'Compliance Database'!$L1154&amp;" "&amp;'Compliance Database'!$M1154&amp;" "&amp;'Compliance Database'!$N1154)))),1,0)</f>
        <v/>
      </c>
      <c r="B1154">
        <f>IF($A1154=1,SUM($A$2:$A1154),"")</f>
        <v/>
      </c>
      <c r="C1154">
        <f>IF($A1154=1,SUM($A$2:$A1154),0)</f>
        <v/>
      </c>
    </row>
    <row r="1155">
      <c r="A1155">
        <f>IF(AND(OR('Compliance Database'!$A1155='Data Transfer'!$B$4,'Compliance Database'!$A1155='Data Transfer'!$B$5),OR('Data Transfer'!$B$6="",ISNUMBER(SEARCH('Data Transfer'!$B$6,'Compliance Database'!$D1155&amp;" "&amp;'Compliance Database'!$K1155&amp;" "&amp;'Compliance Database'!$L1155&amp;" "&amp;'Compliance Database'!$M1155&amp;" "&amp;'Compliance Database'!$N1155)))),1,0)</f>
        <v/>
      </c>
      <c r="B1155">
        <f>IF($A1155=1,SUM($A$2:$A1155),"")</f>
        <v/>
      </c>
      <c r="C1155">
        <f>IF($A1155=1,SUM($A$2:$A1155),0)</f>
        <v/>
      </c>
    </row>
    <row r="1156">
      <c r="A1156">
        <f>IF(AND(OR('Compliance Database'!$A1156='Data Transfer'!$B$4,'Compliance Database'!$A1156='Data Transfer'!$B$5),OR('Data Transfer'!$B$6="",ISNUMBER(SEARCH('Data Transfer'!$B$6,'Compliance Database'!$D1156&amp;" "&amp;'Compliance Database'!$K1156&amp;" "&amp;'Compliance Database'!$L1156&amp;" "&amp;'Compliance Database'!$M1156&amp;" "&amp;'Compliance Database'!$N1156)))),1,0)</f>
        <v/>
      </c>
      <c r="B1156">
        <f>IF($A1156=1,SUM($A$2:$A1156),"")</f>
        <v/>
      </c>
      <c r="C1156">
        <f>IF($A1156=1,SUM($A$2:$A1156),0)</f>
        <v/>
      </c>
    </row>
    <row r="1157">
      <c r="A1157">
        <f>IF(AND(OR('Compliance Database'!$A1157='Data Transfer'!$B$4,'Compliance Database'!$A1157='Data Transfer'!$B$5),OR('Data Transfer'!$B$6="",ISNUMBER(SEARCH('Data Transfer'!$B$6,'Compliance Database'!$D1157&amp;" "&amp;'Compliance Database'!$K1157&amp;" "&amp;'Compliance Database'!$L1157&amp;" "&amp;'Compliance Database'!$M1157&amp;" "&amp;'Compliance Database'!$N1157)))),1,0)</f>
        <v/>
      </c>
      <c r="B1157">
        <f>IF($A1157=1,SUM($A$2:$A1157),"")</f>
        <v/>
      </c>
      <c r="C1157">
        <f>IF($A1157=1,SUM($A$2:$A1157),0)</f>
        <v/>
      </c>
    </row>
    <row r="1158">
      <c r="A1158">
        <f>IF(AND(OR('Compliance Database'!$A1158='Data Transfer'!$B$4,'Compliance Database'!$A1158='Data Transfer'!$B$5),OR('Data Transfer'!$B$6="",ISNUMBER(SEARCH('Data Transfer'!$B$6,'Compliance Database'!$D1158&amp;" "&amp;'Compliance Database'!$K1158&amp;" "&amp;'Compliance Database'!$L1158&amp;" "&amp;'Compliance Database'!$M1158&amp;" "&amp;'Compliance Database'!$N1158)))),1,0)</f>
        <v/>
      </c>
      <c r="B1158">
        <f>IF($A1158=1,SUM($A$2:$A1158),"")</f>
        <v/>
      </c>
      <c r="C1158">
        <f>IF($A1158=1,SUM($A$2:$A1158),0)</f>
        <v/>
      </c>
    </row>
    <row r="1159">
      <c r="A1159">
        <f>IF(AND(OR('Compliance Database'!$A1159='Data Transfer'!$B$4,'Compliance Database'!$A1159='Data Transfer'!$B$5),OR('Data Transfer'!$B$6="",ISNUMBER(SEARCH('Data Transfer'!$B$6,'Compliance Database'!$D1159&amp;" "&amp;'Compliance Database'!$K1159&amp;" "&amp;'Compliance Database'!$L1159&amp;" "&amp;'Compliance Database'!$M1159&amp;" "&amp;'Compliance Database'!$N1159)))),1,0)</f>
        <v/>
      </c>
      <c r="B1159">
        <f>IF($A1159=1,SUM($A$2:$A1159),"")</f>
        <v/>
      </c>
      <c r="C1159">
        <f>IF($A1159=1,SUM($A$2:$A1159),0)</f>
        <v/>
      </c>
    </row>
    <row r="1160">
      <c r="A1160">
        <f>IF(AND(OR('Compliance Database'!$A1160='Data Transfer'!$B$4,'Compliance Database'!$A1160='Data Transfer'!$B$5),OR('Data Transfer'!$B$6="",ISNUMBER(SEARCH('Data Transfer'!$B$6,'Compliance Database'!$D1160&amp;" "&amp;'Compliance Database'!$K1160&amp;" "&amp;'Compliance Database'!$L1160&amp;" "&amp;'Compliance Database'!$M1160&amp;" "&amp;'Compliance Database'!$N1160)))),1,0)</f>
        <v/>
      </c>
      <c r="B1160">
        <f>IF($A1160=1,SUM($A$2:$A1160),"")</f>
        <v/>
      </c>
      <c r="C1160">
        <f>IF($A1160=1,SUM($A$2:$A1160),0)</f>
        <v/>
      </c>
    </row>
    <row r="1161">
      <c r="A1161">
        <f>IF(AND(OR('Compliance Database'!$A1161='Data Transfer'!$B$4,'Compliance Database'!$A1161='Data Transfer'!$B$5),OR('Data Transfer'!$B$6="",ISNUMBER(SEARCH('Data Transfer'!$B$6,'Compliance Database'!$D1161&amp;" "&amp;'Compliance Database'!$K1161&amp;" "&amp;'Compliance Database'!$L1161&amp;" "&amp;'Compliance Database'!$M1161&amp;" "&amp;'Compliance Database'!$N1161)))),1,0)</f>
        <v/>
      </c>
      <c r="B1161">
        <f>IF($A1161=1,SUM($A$2:$A1161),"")</f>
        <v/>
      </c>
      <c r="C1161">
        <f>IF($A1161=1,SUM($A$2:$A1161),0)</f>
        <v/>
      </c>
    </row>
    <row r="1162">
      <c r="A1162">
        <f>IF(AND(OR('Compliance Database'!$A1162='Data Transfer'!$B$4,'Compliance Database'!$A1162='Data Transfer'!$B$5),OR('Data Transfer'!$B$6="",ISNUMBER(SEARCH('Data Transfer'!$B$6,'Compliance Database'!$D1162&amp;" "&amp;'Compliance Database'!$K1162&amp;" "&amp;'Compliance Database'!$L1162&amp;" "&amp;'Compliance Database'!$M1162&amp;" "&amp;'Compliance Database'!$N1162)))),1,0)</f>
        <v/>
      </c>
      <c r="B1162">
        <f>IF($A1162=1,SUM($A$2:$A1162),"")</f>
        <v/>
      </c>
      <c r="C1162">
        <f>IF($A1162=1,SUM($A$2:$A1162),0)</f>
        <v/>
      </c>
    </row>
    <row r="1163">
      <c r="A1163">
        <f>IF(AND(OR('Compliance Database'!$A1163='Data Transfer'!$B$4,'Compliance Database'!$A1163='Data Transfer'!$B$5),OR('Data Transfer'!$B$6="",ISNUMBER(SEARCH('Data Transfer'!$B$6,'Compliance Database'!$D1163&amp;" "&amp;'Compliance Database'!$K1163&amp;" "&amp;'Compliance Database'!$L1163&amp;" "&amp;'Compliance Database'!$M1163&amp;" "&amp;'Compliance Database'!$N1163)))),1,0)</f>
        <v/>
      </c>
      <c r="B1163">
        <f>IF($A1163=1,SUM($A$2:$A1163),"")</f>
        <v/>
      </c>
      <c r="C1163">
        <f>IF($A1163=1,SUM($A$2:$A1163),0)</f>
        <v/>
      </c>
    </row>
    <row r="1164">
      <c r="A1164">
        <f>IF(AND(OR('Compliance Database'!$A1164='Data Transfer'!$B$4,'Compliance Database'!$A1164='Data Transfer'!$B$5),OR('Data Transfer'!$B$6="",ISNUMBER(SEARCH('Data Transfer'!$B$6,'Compliance Database'!$D1164&amp;" "&amp;'Compliance Database'!$K1164&amp;" "&amp;'Compliance Database'!$L1164&amp;" "&amp;'Compliance Database'!$M1164&amp;" "&amp;'Compliance Database'!$N1164)))),1,0)</f>
        <v/>
      </c>
      <c r="B1164">
        <f>IF($A1164=1,SUM($A$2:$A1164),"")</f>
        <v/>
      </c>
      <c r="C1164">
        <f>IF($A1164=1,SUM($A$2:$A1164),0)</f>
        <v/>
      </c>
    </row>
    <row r="1165">
      <c r="A1165">
        <f>IF(AND(OR('Compliance Database'!$A1165='Data Transfer'!$B$4,'Compliance Database'!$A1165='Data Transfer'!$B$5),OR('Data Transfer'!$B$6="",ISNUMBER(SEARCH('Data Transfer'!$B$6,'Compliance Database'!$D1165&amp;" "&amp;'Compliance Database'!$K1165&amp;" "&amp;'Compliance Database'!$L1165&amp;" "&amp;'Compliance Database'!$M1165&amp;" "&amp;'Compliance Database'!$N1165)))),1,0)</f>
        <v/>
      </c>
      <c r="B1165">
        <f>IF($A1165=1,SUM($A$2:$A1165),"")</f>
        <v/>
      </c>
      <c r="C1165">
        <f>IF($A1165=1,SUM($A$2:$A1165),0)</f>
        <v/>
      </c>
    </row>
    <row r="1166">
      <c r="A1166">
        <f>IF(AND(OR('Compliance Database'!$A1166='Data Transfer'!$B$4,'Compliance Database'!$A1166='Data Transfer'!$B$5),OR('Data Transfer'!$B$6="",ISNUMBER(SEARCH('Data Transfer'!$B$6,'Compliance Database'!$D1166&amp;" "&amp;'Compliance Database'!$K1166&amp;" "&amp;'Compliance Database'!$L1166&amp;" "&amp;'Compliance Database'!$M1166&amp;" "&amp;'Compliance Database'!$N1166)))),1,0)</f>
        <v/>
      </c>
      <c r="B1166">
        <f>IF($A1166=1,SUM($A$2:$A1166),"")</f>
        <v/>
      </c>
      <c r="C1166">
        <f>IF($A1166=1,SUM($A$2:$A1166),0)</f>
        <v/>
      </c>
    </row>
    <row r="1167">
      <c r="A1167">
        <f>IF(AND(OR('Compliance Database'!$A1167='Data Transfer'!$B$4,'Compliance Database'!$A1167='Data Transfer'!$B$5),OR('Data Transfer'!$B$6="",ISNUMBER(SEARCH('Data Transfer'!$B$6,'Compliance Database'!$D1167&amp;" "&amp;'Compliance Database'!$K1167&amp;" "&amp;'Compliance Database'!$L1167&amp;" "&amp;'Compliance Database'!$M1167&amp;" "&amp;'Compliance Database'!$N1167)))),1,0)</f>
        <v/>
      </c>
      <c r="B1167">
        <f>IF($A1167=1,SUM($A$2:$A1167),"")</f>
        <v/>
      </c>
      <c r="C1167">
        <f>IF($A1167=1,SUM($A$2:$A1167),0)</f>
        <v/>
      </c>
    </row>
    <row r="1168">
      <c r="A1168">
        <f>IF(AND(OR('Compliance Database'!$A1168='Data Transfer'!$B$4,'Compliance Database'!$A1168='Data Transfer'!$B$5),OR('Data Transfer'!$B$6="",ISNUMBER(SEARCH('Data Transfer'!$B$6,'Compliance Database'!$D1168&amp;" "&amp;'Compliance Database'!$K1168&amp;" "&amp;'Compliance Database'!$L1168&amp;" "&amp;'Compliance Database'!$M1168&amp;" "&amp;'Compliance Database'!$N1168)))),1,0)</f>
        <v/>
      </c>
      <c r="B1168">
        <f>IF($A1168=1,SUM($A$2:$A1168),"")</f>
        <v/>
      </c>
      <c r="C1168">
        <f>IF($A1168=1,SUM($A$2:$A1168),0)</f>
        <v/>
      </c>
    </row>
    <row r="1169">
      <c r="A1169">
        <f>IF(AND(OR('Compliance Database'!$A1169='Data Transfer'!$B$4,'Compliance Database'!$A1169='Data Transfer'!$B$5),OR('Data Transfer'!$B$6="",ISNUMBER(SEARCH('Data Transfer'!$B$6,'Compliance Database'!$D1169&amp;" "&amp;'Compliance Database'!$K1169&amp;" "&amp;'Compliance Database'!$L1169&amp;" "&amp;'Compliance Database'!$M1169&amp;" "&amp;'Compliance Database'!$N1169)))),1,0)</f>
        <v/>
      </c>
      <c r="B1169">
        <f>IF($A1169=1,SUM($A$2:$A1169),"")</f>
        <v/>
      </c>
      <c r="C1169">
        <f>IF($A1169=1,SUM($A$2:$A1169),0)</f>
        <v/>
      </c>
    </row>
    <row r="1170">
      <c r="A1170">
        <f>IF(AND(OR('Compliance Database'!$A1170='Data Transfer'!$B$4,'Compliance Database'!$A1170='Data Transfer'!$B$5),OR('Data Transfer'!$B$6="",ISNUMBER(SEARCH('Data Transfer'!$B$6,'Compliance Database'!$D1170&amp;" "&amp;'Compliance Database'!$K1170&amp;" "&amp;'Compliance Database'!$L1170&amp;" "&amp;'Compliance Database'!$M1170&amp;" "&amp;'Compliance Database'!$N1170)))),1,0)</f>
        <v/>
      </c>
      <c r="B1170">
        <f>IF($A1170=1,SUM($A$2:$A1170),"")</f>
        <v/>
      </c>
      <c r="C1170">
        <f>IF($A1170=1,SUM($A$2:$A1170),0)</f>
        <v/>
      </c>
    </row>
    <row r="1171">
      <c r="A1171">
        <f>IF(AND(OR('Compliance Database'!$A1171='Data Transfer'!$B$4,'Compliance Database'!$A1171='Data Transfer'!$B$5),OR('Data Transfer'!$B$6="",ISNUMBER(SEARCH('Data Transfer'!$B$6,'Compliance Database'!$D1171&amp;" "&amp;'Compliance Database'!$K1171&amp;" "&amp;'Compliance Database'!$L1171&amp;" "&amp;'Compliance Database'!$M1171&amp;" "&amp;'Compliance Database'!$N1171)))),1,0)</f>
        <v/>
      </c>
      <c r="B1171">
        <f>IF($A1171=1,SUM($A$2:$A1171),"")</f>
        <v/>
      </c>
      <c r="C1171">
        <f>IF($A1171=1,SUM($A$2:$A1171),0)</f>
        <v/>
      </c>
    </row>
    <row r="1172">
      <c r="A1172">
        <f>IF(AND(OR('Compliance Database'!$A1172='Data Transfer'!$B$4,'Compliance Database'!$A1172='Data Transfer'!$B$5),OR('Data Transfer'!$B$6="",ISNUMBER(SEARCH('Data Transfer'!$B$6,'Compliance Database'!$D1172&amp;" "&amp;'Compliance Database'!$K1172&amp;" "&amp;'Compliance Database'!$L1172&amp;" "&amp;'Compliance Database'!$M1172&amp;" "&amp;'Compliance Database'!$N1172)))),1,0)</f>
        <v/>
      </c>
      <c r="B1172">
        <f>IF($A1172=1,SUM($A$2:$A1172),"")</f>
        <v/>
      </c>
      <c r="C1172">
        <f>IF($A1172=1,SUM($A$2:$A1172),0)</f>
        <v/>
      </c>
    </row>
    <row r="1173">
      <c r="A1173">
        <f>IF(AND(OR('Compliance Database'!$A1173='Data Transfer'!$B$4,'Compliance Database'!$A1173='Data Transfer'!$B$5),OR('Data Transfer'!$B$6="",ISNUMBER(SEARCH('Data Transfer'!$B$6,'Compliance Database'!$D1173&amp;" "&amp;'Compliance Database'!$K1173&amp;" "&amp;'Compliance Database'!$L1173&amp;" "&amp;'Compliance Database'!$M1173&amp;" "&amp;'Compliance Database'!$N1173)))),1,0)</f>
        <v/>
      </c>
      <c r="B1173">
        <f>IF($A1173=1,SUM($A$2:$A1173),"")</f>
        <v/>
      </c>
      <c r="C1173">
        <f>IF($A1173=1,SUM($A$2:$A1173),0)</f>
        <v/>
      </c>
    </row>
    <row r="1174">
      <c r="A1174">
        <f>IF(AND(OR('Compliance Database'!$A1174='Data Transfer'!$B$4,'Compliance Database'!$A1174='Data Transfer'!$B$5),OR('Data Transfer'!$B$6="",ISNUMBER(SEARCH('Data Transfer'!$B$6,'Compliance Database'!$D1174&amp;" "&amp;'Compliance Database'!$K1174&amp;" "&amp;'Compliance Database'!$L1174&amp;" "&amp;'Compliance Database'!$M1174&amp;" "&amp;'Compliance Database'!$N1174)))),1,0)</f>
        <v/>
      </c>
      <c r="B1174">
        <f>IF($A1174=1,SUM($A$2:$A1174),"")</f>
        <v/>
      </c>
      <c r="C1174">
        <f>IF($A1174=1,SUM($A$2:$A1174),0)</f>
        <v/>
      </c>
    </row>
    <row r="1175">
      <c r="A1175">
        <f>IF(AND(OR('Compliance Database'!$A1175='Data Transfer'!$B$4,'Compliance Database'!$A1175='Data Transfer'!$B$5),OR('Data Transfer'!$B$6="",ISNUMBER(SEARCH('Data Transfer'!$B$6,'Compliance Database'!$D1175&amp;" "&amp;'Compliance Database'!$K1175&amp;" "&amp;'Compliance Database'!$L1175&amp;" "&amp;'Compliance Database'!$M1175&amp;" "&amp;'Compliance Database'!$N1175)))),1,0)</f>
        <v/>
      </c>
      <c r="B1175">
        <f>IF($A1175=1,SUM($A$2:$A1175),"")</f>
        <v/>
      </c>
      <c r="C1175">
        <f>IF($A1175=1,SUM($A$2:$A1175),0)</f>
        <v/>
      </c>
    </row>
    <row r="1176">
      <c r="A1176">
        <f>IF(AND(OR('Compliance Database'!$A1176='Data Transfer'!$B$4,'Compliance Database'!$A1176='Data Transfer'!$B$5),OR('Data Transfer'!$B$6="",ISNUMBER(SEARCH('Data Transfer'!$B$6,'Compliance Database'!$D1176&amp;" "&amp;'Compliance Database'!$K1176&amp;" "&amp;'Compliance Database'!$L1176&amp;" "&amp;'Compliance Database'!$M1176&amp;" "&amp;'Compliance Database'!$N1176)))),1,0)</f>
        <v/>
      </c>
      <c r="B1176">
        <f>IF($A1176=1,SUM($A$2:$A1176),"")</f>
        <v/>
      </c>
      <c r="C1176">
        <f>IF($A1176=1,SUM($A$2:$A1176),0)</f>
        <v/>
      </c>
    </row>
    <row r="1177">
      <c r="A1177">
        <f>IF(AND(OR('Compliance Database'!$A1177='Data Transfer'!$B$4,'Compliance Database'!$A1177='Data Transfer'!$B$5),OR('Data Transfer'!$B$6="",ISNUMBER(SEARCH('Data Transfer'!$B$6,'Compliance Database'!$D1177&amp;" "&amp;'Compliance Database'!$K1177&amp;" "&amp;'Compliance Database'!$L1177&amp;" "&amp;'Compliance Database'!$M1177&amp;" "&amp;'Compliance Database'!$N1177)))),1,0)</f>
        <v/>
      </c>
      <c r="B1177">
        <f>IF($A1177=1,SUM($A$2:$A1177),"")</f>
        <v/>
      </c>
      <c r="C1177">
        <f>IF($A1177=1,SUM($A$2:$A1177),0)</f>
        <v/>
      </c>
    </row>
    <row r="1178">
      <c r="A1178">
        <f>IF(AND(OR('Compliance Database'!$A1178='Data Transfer'!$B$4,'Compliance Database'!$A1178='Data Transfer'!$B$5),OR('Data Transfer'!$B$6="",ISNUMBER(SEARCH('Data Transfer'!$B$6,'Compliance Database'!$D1178&amp;" "&amp;'Compliance Database'!$K1178&amp;" "&amp;'Compliance Database'!$L1178&amp;" "&amp;'Compliance Database'!$M1178&amp;" "&amp;'Compliance Database'!$N1178)))),1,0)</f>
        <v/>
      </c>
      <c r="B1178">
        <f>IF($A1178=1,SUM($A$2:$A1178),"")</f>
        <v/>
      </c>
      <c r="C1178">
        <f>IF($A1178=1,SUM($A$2:$A1178),0)</f>
        <v/>
      </c>
    </row>
    <row r="1179">
      <c r="A1179">
        <f>IF(AND(OR('Compliance Database'!$A1179='Data Transfer'!$B$4,'Compliance Database'!$A1179='Data Transfer'!$B$5),OR('Data Transfer'!$B$6="",ISNUMBER(SEARCH('Data Transfer'!$B$6,'Compliance Database'!$D1179&amp;" "&amp;'Compliance Database'!$K1179&amp;" "&amp;'Compliance Database'!$L1179&amp;" "&amp;'Compliance Database'!$M1179&amp;" "&amp;'Compliance Database'!$N1179)))),1,0)</f>
        <v/>
      </c>
      <c r="B1179">
        <f>IF($A1179=1,SUM($A$2:$A1179),"")</f>
        <v/>
      </c>
      <c r="C1179">
        <f>IF($A1179=1,SUM($A$2:$A1179),0)</f>
        <v/>
      </c>
    </row>
    <row r="1180">
      <c r="A1180">
        <f>IF(AND(OR('Compliance Database'!$A1180='Data Transfer'!$B$4,'Compliance Database'!$A1180='Data Transfer'!$B$5),OR('Data Transfer'!$B$6="",ISNUMBER(SEARCH('Data Transfer'!$B$6,'Compliance Database'!$D1180&amp;" "&amp;'Compliance Database'!$K1180&amp;" "&amp;'Compliance Database'!$L1180&amp;" "&amp;'Compliance Database'!$M1180&amp;" "&amp;'Compliance Database'!$N1180)))),1,0)</f>
        <v/>
      </c>
      <c r="B1180">
        <f>IF($A1180=1,SUM($A$2:$A1180),"")</f>
        <v/>
      </c>
      <c r="C1180">
        <f>IF($A1180=1,SUM($A$2:$A1180),0)</f>
        <v/>
      </c>
    </row>
    <row r="1181">
      <c r="A1181">
        <f>IF(AND(OR('Compliance Database'!$A1181='Data Transfer'!$B$4,'Compliance Database'!$A1181='Data Transfer'!$B$5),OR('Data Transfer'!$B$6="",ISNUMBER(SEARCH('Data Transfer'!$B$6,'Compliance Database'!$D1181&amp;" "&amp;'Compliance Database'!$K1181&amp;" "&amp;'Compliance Database'!$L1181&amp;" "&amp;'Compliance Database'!$M1181&amp;" "&amp;'Compliance Database'!$N1181)))),1,0)</f>
        <v/>
      </c>
      <c r="B1181">
        <f>IF($A1181=1,SUM($A$2:$A1181),"")</f>
        <v/>
      </c>
      <c r="C1181">
        <f>IF($A1181=1,SUM($A$2:$A1181),0)</f>
        <v/>
      </c>
    </row>
    <row r="1182">
      <c r="A1182">
        <f>IF(AND(OR('Compliance Database'!$A1182='Data Transfer'!$B$4,'Compliance Database'!$A1182='Data Transfer'!$B$5),OR('Data Transfer'!$B$6="",ISNUMBER(SEARCH('Data Transfer'!$B$6,'Compliance Database'!$D1182&amp;" "&amp;'Compliance Database'!$K1182&amp;" "&amp;'Compliance Database'!$L1182&amp;" "&amp;'Compliance Database'!$M1182&amp;" "&amp;'Compliance Database'!$N1182)))),1,0)</f>
        <v/>
      </c>
      <c r="B1182">
        <f>IF($A1182=1,SUM($A$2:$A1182),"")</f>
        <v/>
      </c>
      <c r="C1182">
        <f>IF($A1182=1,SUM($A$2:$A1182),0)</f>
        <v/>
      </c>
    </row>
    <row r="1183">
      <c r="A1183">
        <f>IF(AND(OR('Compliance Database'!$A1183='Data Transfer'!$B$4,'Compliance Database'!$A1183='Data Transfer'!$B$5),OR('Data Transfer'!$B$6="",ISNUMBER(SEARCH('Data Transfer'!$B$6,'Compliance Database'!$D1183&amp;" "&amp;'Compliance Database'!$K1183&amp;" "&amp;'Compliance Database'!$L1183&amp;" "&amp;'Compliance Database'!$M1183&amp;" "&amp;'Compliance Database'!$N1183)))),1,0)</f>
        <v/>
      </c>
      <c r="B1183">
        <f>IF($A1183=1,SUM($A$2:$A1183),"")</f>
        <v/>
      </c>
      <c r="C1183">
        <f>IF($A1183=1,SUM($A$2:$A1183),0)</f>
        <v/>
      </c>
    </row>
    <row r="1184">
      <c r="A1184">
        <f>IF(AND(OR('Compliance Database'!$A1184='Data Transfer'!$B$4,'Compliance Database'!$A1184='Data Transfer'!$B$5),OR('Data Transfer'!$B$6="",ISNUMBER(SEARCH('Data Transfer'!$B$6,'Compliance Database'!$D1184&amp;" "&amp;'Compliance Database'!$K1184&amp;" "&amp;'Compliance Database'!$L1184&amp;" "&amp;'Compliance Database'!$M1184&amp;" "&amp;'Compliance Database'!$N1184)))),1,0)</f>
        <v/>
      </c>
      <c r="B1184">
        <f>IF($A1184=1,SUM($A$2:$A1184),"")</f>
        <v/>
      </c>
      <c r="C1184">
        <f>IF($A1184=1,SUM($A$2:$A1184),0)</f>
        <v/>
      </c>
    </row>
    <row r="1185">
      <c r="A1185">
        <f>IF(AND(OR('Compliance Database'!$A1185='Data Transfer'!$B$4,'Compliance Database'!$A1185='Data Transfer'!$B$5),OR('Data Transfer'!$B$6="",ISNUMBER(SEARCH('Data Transfer'!$B$6,'Compliance Database'!$D1185&amp;" "&amp;'Compliance Database'!$K1185&amp;" "&amp;'Compliance Database'!$L1185&amp;" "&amp;'Compliance Database'!$M1185&amp;" "&amp;'Compliance Database'!$N1185)))),1,0)</f>
        <v/>
      </c>
      <c r="B1185">
        <f>IF($A1185=1,SUM($A$2:$A1185),"")</f>
        <v/>
      </c>
      <c r="C1185">
        <f>IF($A1185=1,SUM($A$2:$A1185),0)</f>
        <v/>
      </c>
    </row>
    <row r="1186">
      <c r="A1186">
        <f>IF(AND(OR('Compliance Database'!$A1186='Data Transfer'!$B$4,'Compliance Database'!$A1186='Data Transfer'!$B$5),OR('Data Transfer'!$B$6="",ISNUMBER(SEARCH('Data Transfer'!$B$6,'Compliance Database'!$D1186&amp;" "&amp;'Compliance Database'!$K1186&amp;" "&amp;'Compliance Database'!$L1186&amp;" "&amp;'Compliance Database'!$M1186&amp;" "&amp;'Compliance Database'!$N1186)))),1,0)</f>
        <v/>
      </c>
      <c r="B1186">
        <f>IF($A1186=1,SUM($A$2:$A1186),"")</f>
        <v/>
      </c>
      <c r="C1186">
        <f>IF($A1186=1,SUM($A$2:$A1186),0)</f>
        <v/>
      </c>
    </row>
    <row r="1187">
      <c r="A1187">
        <f>IF(AND(OR('Compliance Database'!$A1187='Data Transfer'!$B$4,'Compliance Database'!$A1187='Data Transfer'!$B$5),OR('Data Transfer'!$B$6="",ISNUMBER(SEARCH('Data Transfer'!$B$6,'Compliance Database'!$D1187&amp;" "&amp;'Compliance Database'!$K1187&amp;" "&amp;'Compliance Database'!$L1187&amp;" "&amp;'Compliance Database'!$M1187&amp;" "&amp;'Compliance Database'!$N1187)))),1,0)</f>
        <v/>
      </c>
      <c r="B1187">
        <f>IF($A1187=1,SUM($A$2:$A1187),"")</f>
        <v/>
      </c>
      <c r="C1187">
        <f>IF($A1187=1,SUM($A$2:$A1187),0)</f>
        <v/>
      </c>
    </row>
    <row r="1188">
      <c r="A1188">
        <f>IF(AND(OR('Compliance Database'!$A1188='Data Transfer'!$B$4,'Compliance Database'!$A1188='Data Transfer'!$B$5),OR('Data Transfer'!$B$6="",ISNUMBER(SEARCH('Data Transfer'!$B$6,'Compliance Database'!$D1188&amp;" "&amp;'Compliance Database'!$K1188&amp;" "&amp;'Compliance Database'!$L1188&amp;" "&amp;'Compliance Database'!$M1188&amp;" "&amp;'Compliance Database'!$N1188)))),1,0)</f>
        <v/>
      </c>
      <c r="B1188">
        <f>IF($A1188=1,SUM($A$2:$A1188),"")</f>
        <v/>
      </c>
      <c r="C1188">
        <f>IF($A1188=1,SUM($A$2:$A1188),0)</f>
        <v/>
      </c>
    </row>
    <row r="1189">
      <c r="A1189">
        <f>IF(AND(OR('Compliance Database'!$A1189='Data Transfer'!$B$4,'Compliance Database'!$A1189='Data Transfer'!$B$5),OR('Data Transfer'!$B$6="",ISNUMBER(SEARCH('Data Transfer'!$B$6,'Compliance Database'!$D1189&amp;" "&amp;'Compliance Database'!$K1189&amp;" "&amp;'Compliance Database'!$L1189&amp;" "&amp;'Compliance Database'!$M1189&amp;" "&amp;'Compliance Database'!$N1189)))),1,0)</f>
        <v/>
      </c>
      <c r="B1189">
        <f>IF($A1189=1,SUM($A$2:$A1189),"")</f>
        <v/>
      </c>
      <c r="C1189">
        <f>IF($A1189=1,SUM($A$2:$A1189),0)</f>
        <v/>
      </c>
    </row>
    <row r="1190">
      <c r="A1190">
        <f>IF(AND(OR('Compliance Database'!$A1190='Data Transfer'!$B$4,'Compliance Database'!$A1190='Data Transfer'!$B$5),OR('Data Transfer'!$B$6="",ISNUMBER(SEARCH('Data Transfer'!$B$6,'Compliance Database'!$D1190&amp;" "&amp;'Compliance Database'!$K1190&amp;" "&amp;'Compliance Database'!$L1190&amp;" "&amp;'Compliance Database'!$M1190&amp;" "&amp;'Compliance Database'!$N1190)))),1,0)</f>
        <v/>
      </c>
      <c r="B1190">
        <f>IF($A1190=1,SUM($A$2:$A1190),"")</f>
        <v/>
      </c>
      <c r="C1190">
        <f>IF($A1190=1,SUM($A$2:$A1190),0)</f>
        <v/>
      </c>
    </row>
    <row r="1191">
      <c r="A1191">
        <f>IF(AND(OR('Compliance Database'!$A1191='Data Transfer'!$B$4,'Compliance Database'!$A1191='Data Transfer'!$B$5),OR('Data Transfer'!$B$6="",ISNUMBER(SEARCH('Data Transfer'!$B$6,'Compliance Database'!$D1191&amp;" "&amp;'Compliance Database'!$K1191&amp;" "&amp;'Compliance Database'!$L1191&amp;" "&amp;'Compliance Database'!$M1191&amp;" "&amp;'Compliance Database'!$N1191)))),1,0)</f>
        <v/>
      </c>
      <c r="B1191">
        <f>IF($A1191=1,SUM($A$2:$A1191),"")</f>
        <v/>
      </c>
      <c r="C1191">
        <f>IF($A1191=1,SUM($A$2:$A1191),0)</f>
        <v/>
      </c>
    </row>
    <row r="1192">
      <c r="A1192">
        <f>IF(AND(OR('Compliance Database'!$A1192='Data Transfer'!$B$4,'Compliance Database'!$A1192='Data Transfer'!$B$5),OR('Data Transfer'!$B$6="",ISNUMBER(SEARCH('Data Transfer'!$B$6,'Compliance Database'!$D1192&amp;" "&amp;'Compliance Database'!$K1192&amp;" "&amp;'Compliance Database'!$L1192&amp;" "&amp;'Compliance Database'!$M1192&amp;" "&amp;'Compliance Database'!$N1192)))),1,0)</f>
        <v/>
      </c>
      <c r="B1192">
        <f>IF($A1192=1,SUM($A$2:$A1192),"")</f>
        <v/>
      </c>
      <c r="C1192">
        <f>IF($A1192=1,SUM($A$2:$A1192),0)</f>
        <v/>
      </c>
    </row>
    <row r="1193">
      <c r="A1193">
        <f>IF(AND(OR('Compliance Database'!$A1193='Data Transfer'!$B$4,'Compliance Database'!$A1193='Data Transfer'!$B$5),OR('Data Transfer'!$B$6="",ISNUMBER(SEARCH('Data Transfer'!$B$6,'Compliance Database'!$D1193&amp;" "&amp;'Compliance Database'!$K1193&amp;" "&amp;'Compliance Database'!$L1193&amp;" "&amp;'Compliance Database'!$M1193&amp;" "&amp;'Compliance Database'!$N1193)))),1,0)</f>
        <v/>
      </c>
      <c r="B1193">
        <f>IF($A1193=1,SUM($A$2:$A1193),"")</f>
        <v/>
      </c>
      <c r="C1193">
        <f>IF($A1193=1,SUM($A$2:$A1193),0)</f>
        <v/>
      </c>
    </row>
    <row r="1194">
      <c r="A1194">
        <f>IF(AND(OR('Compliance Database'!$A1194='Data Transfer'!$B$4,'Compliance Database'!$A1194='Data Transfer'!$B$5),OR('Data Transfer'!$B$6="",ISNUMBER(SEARCH('Data Transfer'!$B$6,'Compliance Database'!$D1194&amp;" "&amp;'Compliance Database'!$K1194&amp;" "&amp;'Compliance Database'!$L1194&amp;" "&amp;'Compliance Database'!$M1194&amp;" "&amp;'Compliance Database'!$N1194)))),1,0)</f>
        <v/>
      </c>
      <c r="B1194">
        <f>IF($A1194=1,SUM($A$2:$A1194),"")</f>
        <v/>
      </c>
      <c r="C1194">
        <f>IF($A1194=1,SUM($A$2:$A1194),0)</f>
        <v/>
      </c>
    </row>
    <row r="1195">
      <c r="A1195">
        <f>IF(AND(OR('Compliance Database'!$A1195='Data Transfer'!$B$4,'Compliance Database'!$A1195='Data Transfer'!$B$5),OR('Data Transfer'!$B$6="",ISNUMBER(SEARCH('Data Transfer'!$B$6,'Compliance Database'!$D1195&amp;" "&amp;'Compliance Database'!$K1195&amp;" "&amp;'Compliance Database'!$L1195&amp;" "&amp;'Compliance Database'!$M1195&amp;" "&amp;'Compliance Database'!$N1195)))),1,0)</f>
        <v/>
      </c>
      <c r="B1195">
        <f>IF($A1195=1,SUM($A$2:$A1195),"")</f>
        <v/>
      </c>
      <c r="C1195">
        <f>IF($A1195=1,SUM($A$2:$A1195),0)</f>
        <v/>
      </c>
    </row>
    <row r="1196">
      <c r="A1196">
        <f>IF(AND(OR('Compliance Database'!$A1196='Data Transfer'!$B$4,'Compliance Database'!$A1196='Data Transfer'!$B$5),OR('Data Transfer'!$B$6="",ISNUMBER(SEARCH('Data Transfer'!$B$6,'Compliance Database'!$D1196&amp;" "&amp;'Compliance Database'!$K1196&amp;" "&amp;'Compliance Database'!$L1196&amp;" "&amp;'Compliance Database'!$M1196&amp;" "&amp;'Compliance Database'!$N1196)))),1,0)</f>
        <v/>
      </c>
      <c r="B1196">
        <f>IF($A1196=1,SUM($A$2:$A1196),"")</f>
        <v/>
      </c>
      <c r="C1196">
        <f>IF($A1196=1,SUM($A$2:$A1196),0)</f>
        <v/>
      </c>
    </row>
    <row r="1197">
      <c r="A1197">
        <f>IF(AND(OR('Compliance Database'!$A1197='Data Transfer'!$B$4,'Compliance Database'!$A1197='Data Transfer'!$B$5),OR('Data Transfer'!$B$6="",ISNUMBER(SEARCH('Data Transfer'!$B$6,'Compliance Database'!$D1197&amp;" "&amp;'Compliance Database'!$K1197&amp;" "&amp;'Compliance Database'!$L1197&amp;" "&amp;'Compliance Database'!$M1197&amp;" "&amp;'Compliance Database'!$N1197)))),1,0)</f>
        <v/>
      </c>
      <c r="B1197">
        <f>IF($A1197=1,SUM($A$2:$A1197),"")</f>
        <v/>
      </c>
      <c r="C1197">
        <f>IF($A1197=1,SUM($A$2:$A1197),0)</f>
        <v/>
      </c>
    </row>
    <row r="1198">
      <c r="A1198">
        <f>IF(AND(OR('Compliance Database'!$A1198='Data Transfer'!$B$4,'Compliance Database'!$A1198='Data Transfer'!$B$5),OR('Data Transfer'!$B$6="",ISNUMBER(SEARCH('Data Transfer'!$B$6,'Compliance Database'!$D1198&amp;" "&amp;'Compliance Database'!$K1198&amp;" "&amp;'Compliance Database'!$L1198&amp;" "&amp;'Compliance Database'!$M1198&amp;" "&amp;'Compliance Database'!$N1198)))),1,0)</f>
        <v/>
      </c>
      <c r="B1198">
        <f>IF($A1198=1,SUM($A$2:$A1198),"")</f>
        <v/>
      </c>
      <c r="C1198">
        <f>IF($A1198=1,SUM($A$2:$A1198),0)</f>
        <v/>
      </c>
    </row>
    <row r="1199">
      <c r="A1199">
        <f>IF(AND(OR('Compliance Database'!$A1199='Data Transfer'!$B$4,'Compliance Database'!$A1199='Data Transfer'!$B$5),OR('Data Transfer'!$B$6="",ISNUMBER(SEARCH('Data Transfer'!$B$6,'Compliance Database'!$D1199&amp;" "&amp;'Compliance Database'!$K1199&amp;" "&amp;'Compliance Database'!$L1199&amp;" "&amp;'Compliance Database'!$M1199&amp;" "&amp;'Compliance Database'!$N1199)))),1,0)</f>
        <v/>
      </c>
      <c r="B1199">
        <f>IF($A1199=1,SUM($A$2:$A1199),"")</f>
        <v/>
      </c>
      <c r="C1199">
        <f>IF($A1199=1,SUM($A$2:$A1199),0)</f>
        <v/>
      </c>
    </row>
    <row r="1200">
      <c r="A1200">
        <f>IF(AND(OR('Compliance Database'!$A1200='Data Transfer'!$B$4,'Compliance Database'!$A1200='Data Transfer'!$B$5),OR('Data Transfer'!$B$6="",ISNUMBER(SEARCH('Data Transfer'!$B$6,'Compliance Database'!$D1200&amp;" "&amp;'Compliance Database'!$K1200&amp;" "&amp;'Compliance Database'!$L1200&amp;" "&amp;'Compliance Database'!$M1200&amp;" "&amp;'Compliance Database'!$N1200)))),1,0)</f>
        <v/>
      </c>
      <c r="B1200">
        <f>IF($A1200=1,SUM($A$2:$A1200),"")</f>
        <v/>
      </c>
      <c r="C1200">
        <f>IF($A1200=1,SUM($A$2:$A1200),0)</f>
        <v/>
      </c>
    </row>
    <row r="1201">
      <c r="A1201">
        <f>IF(AND(OR('Compliance Database'!$A1201='Data Transfer'!$B$4,'Compliance Database'!$A1201='Data Transfer'!$B$5),OR('Data Transfer'!$B$6="",ISNUMBER(SEARCH('Data Transfer'!$B$6,'Compliance Database'!$D1201&amp;" "&amp;'Compliance Database'!$K1201&amp;" "&amp;'Compliance Database'!$L1201&amp;" "&amp;'Compliance Database'!$M1201&amp;" "&amp;'Compliance Database'!$N1201)))),1,0)</f>
        <v/>
      </c>
      <c r="B1201">
        <f>IF($A1201=1,SUM($A$2:$A1201),"")</f>
        <v/>
      </c>
      <c r="C1201">
        <f>IF($A1201=1,SUM($A$2:$A1201),0)</f>
        <v/>
      </c>
    </row>
    <row r="1202">
      <c r="A1202">
        <f>IF(AND(OR('Compliance Database'!$A1202='Data Transfer'!$B$4,'Compliance Database'!$A1202='Data Transfer'!$B$5),OR('Data Transfer'!$B$6="",ISNUMBER(SEARCH('Data Transfer'!$B$6,'Compliance Database'!$D1202&amp;" "&amp;'Compliance Database'!$K1202&amp;" "&amp;'Compliance Database'!$L1202&amp;" "&amp;'Compliance Database'!$M1202&amp;" "&amp;'Compliance Database'!$N1202)))),1,0)</f>
        <v/>
      </c>
      <c r="B1202">
        <f>IF($A1202=1,SUM($A$2:$A1202),"")</f>
        <v/>
      </c>
      <c r="C1202">
        <f>IF($A1202=1,SUM($A$2:$A1202),0)</f>
        <v/>
      </c>
    </row>
    <row r="1203">
      <c r="A1203">
        <f>IF(AND(OR('Compliance Database'!$A1203='Data Transfer'!$B$4,'Compliance Database'!$A1203='Data Transfer'!$B$5),OR('Data Transfer'!$B$6="",ISNUMBER(SEARCH('Data Transfer'!$B$6,'Compliance Database'!$D1203&amp;" "&amp;'Compliance Database'!$K1203&amp;" "&amp;'Compliance Database'!$L1203&amp;" "&amp;'Compliance Database'!$M1203&amp;" "&amp;'Compliance Database'!$N1203)))),1,0)</f>
        <v/>
      </c>
      <c r="B1203">
        <f>IF($A1203=1,SUM($A$2:$A1203),"")</f>
        <v/>
      </c>
      <c r="C1203">
        <f>IF($A1203=1,SUM($A$2:$A1203),0)</f>
        <v/>
      </c>
    </row>
    <row r="1204">
      <c r="A1204">
        <f>IF(AND(OR('Compliance Database'!$A1204='Data Transfer'!$B$4,'Compliance Database'!$A1204='Data Transfer'!$B$5),OR('Data Transfer'!$B$6="",ISNUMBER(SEARCH('Data Transfer'!$B$6,'Compliance Database'!$D1204&amp;" "&amp;'Compliance Database'!$K1204&amp;" "&amp;'Compliance Database'!$L1204&amp;" "&amp;'Compliance Database'!$M1204&amp;" "&amp;'Compliance Database'!$N1204)))),1,0)</f>
        <v/>
      </c>
      <c r="B1204">
        <f>IF($A1204=1,SUM($A$2:$A1204),"")</f>
        <v/>
      </c>
      <c r="C1204">
        <f>IF($A1204=1,SUM($A$2:$A1204),0)</f>
        <v/>
      </c>
    </row>
    <row r="1205">
      <c r="A1205">
        <f>IF(AND(OR('Compliance Database'!$A1205='Data Transfer'!$B$4,'Compliance Database'!$A1205='Data Transfer'!$B$5),OR('Data Transfer'!$B$6="",ISNUMBER(SEARCH('Data Transfer'!$B$6,'Compliance Database'!$D1205&amp;" "&amp;'Compliance Database'!$K1205&amp;" "&amp;'Compliance Database'!$L1205&amp;" "&amp;'Compliance Database'!$M1205&amp;" "&amp;'Compliance Database'!$N1205)))),1,0)</f>
        <v/>
      </c>
      <c r="B1205">
        <f>IF($A1205=1,SUM($A$2:$A1205),"")</f>
        <v/>
      </c>
      <c r="C1205">
        <f>IF($A1205=1,SUM($A$2:$A1205),0)</f>
        <v/>
      </c>
    </row>
    <row r="1206">
      <c r="A1206">
        <f>IF(AND(OR('Compliance Database'!$A1206='Data Transfer'!$B$4,'Compliance Database'!$A1206='Data Transfer'!$B$5),OR('Data Transfer'!$B$6="",ISNUMBER(SEARCH('Data Transfer'!$B$6,'Compliance Database'!$D1206&amp;" "&amp;'Compliance Database'!$K1206&amp;" "&amp;'Compliance Database'!$L1206&amp;" "&amp;'Compliance Database'!$M1206&amp;" "&amp;'Compliance Database'!$N1206)))),1,0)</f>
        <v/>
      </c>
      <c r="B1206">
        <f>IF($A1206=1,SUM($A$2:$A1206),"")</f>
        <v/>
      </c>
      <c r="C1206">
        <f>IF($A1206=1,SUM($A$2:$A1206),0)</f>
        <v/>
      </c>
    </row>
    <row r="1207">
      <c r="A1207">
        <f>IF(AND(OR('Compliance Database'!$A1207='Data Transfer'!$B$4,'Compliance Database'!$A1207='Data Transfer'!$B$5),OR('Data Transfer'!$B$6="",ISNUMBER(SEARCH('Data Transfer'!$B$6,'Compliance Database'!$D1207&amp;" "&amp;'Compliance Database'!$K1207&amp;" "&amp;'Compliance Database'!$L1207&amp;" "&amp;'Compliance Database'!$M1207&amp;" "&amp;'Compliance Database'!$N1207)))),1,0)</f>
        <v/>
      </c>
      <c r="B1207">
        <f>IF($A1207=1,SUM($A$2:$A1207),"")</f>
        <v/>
      </c>
      <c r="C1207">
        <f>IF($A1207=1,SUM($A$2:$A1207),0)</f>
        <v/>
      </c>
    </row>
    <row r="1208">
      <c r="A1208">
        <f>IF(AND(OR('Compliance Database'!$A1208='Data Transfer'!$B$4,'Compliance Database'!$A1208='Data Transfer'!$B$5),OR('Data Transfer'!$B$6="",ISNUMBER(SEARCH('Data Transfer'!$B$6,'Compliance Database'!$D1208&amp;" "&amp;'Compliance Database'!$K1208&amp;" "&amp;'Compliance Database'!$L1208&amp;" "&amp;'Compliance Database'!$M1208&amp;" "&amp;'Compliance Database'!$N1208)))),1,0)</f>
        <v/>
      </c>
      <c r="B1208">
        <f>IF($A1208=1,SUM($A$2:$A1208),"")</f>
        <v/>
      </c>
      <c r="C1208">
        <f>IF($A1208=1,SUM($A$2:$A1208),0)</f>
        <v/>
      </c>
    </row>
    <row r="1209">
      <c r="A1209">
        <f>IF(AND(OR('Compliance Database'!$A1209='Data Transfer'!$B$4,'Compliance Database'!$A1209='Data Transfer'!$B$5),OR('Data Transfer'!$B$6="",ISNUMBER(SEARCH('Data Transfer'!$B$6,'Compliance Database'!$D1209&amp;" "&amp;'Compliance Database'!$K1209&amp;" "&amp;'Compliance Database'!$L1209&amp;" "&amp;'Compliance Database'!$M1209&amp;" "&amp;'Compliance Database'!$N1209)))),1,0)</f>
        <v/>
      </c>
      <c r="B1209">
        <f>IF($A1209=1,SUM($A$2:$A1209),"")</f>
        <v/>
      </c>
      <c r="C1209">
        <f>IF($A1209=1,SUM($A$2:$A1209),0)</f>
        <v/>
      </c>
    </row>
    <row r="1210">
      <c r="A1210">
        <f>IF(AND(OR('Compliance Database'!$A1210='Data Transfer'!$B$4,'Compliance Database'!$A1210='Data Transfer'!$B$5),OR('Data Transfer'!$B$6="",ISNUMBER(SEARCH('Data Transfer'!$B$6,'Compliance Database'!$D1210&amp;" "&amp;'Compliance Database'!$K1210&amp;" "&amp;'Compliance Database'!$L1210&amp;" "&amp;'Compliance Database'!$M1210&amp;" "&amp;'Compliance Database'!$N1210)))),1,0)</f>
        <v/>
      </c>
      <c r="B1210">
        <f>IF($A1210=1,SUM($A$2:$A1210),"")</f>
        <v/>
      </c>
      <c r="C1210">
        <f>IF($A1210=1,SUM($A$2:$A1210),0)</f>
        <v/>
      </c>
    </row>
    <row r="1211">
      <c r="A1211">
        <f>IF(AND(OR('Compliance Database'!$A1211='Data Transfer'!$B$4,'Compliance Database'!$A1211='Data Transfer'!$B$5),OR('Data Transfer'!$B$6="",ISNUMBER(SEARCH('Data Transfer'!$B$6,'Compliance Database'!$D1211&amp;" "&amp;'Compliance Database'!$K1211&amp;" "&amp;'Compliance Database'!$L1211&amp;" "&amp;'Compliance Database'!$M1211&amp;" "&amp;'Compliance Database'!$N1211)))),1,0)</f>
        <v/>
      </c>
      <c r="B1211">
        <f>IF($A1211=1,SUM($A$2:$A1211),"")</f>
        <v/>
      </c>
      <c r="C1211">
        <f>IF($A1211=1,SUM($A$2:$A1211),0)</f>
        <v/>
      </c>
    </row>
    <row r="1212">
      <c r="A1212">
        <f>IF(AND(OR('Compliance Database'!$A1212='Data Transfer'!$B$4,'Compliance Database'!$A1212='Data Transfer'!$B$5),OR('Data Transfer'!$B$6="",ISNUMBER(SEARCH('Data Transfer'!$B$6,'Compliance Database'!$D1212&amp;" "&amp;'Compliance Database'!$K1212&amp;" "&amp;'Compliance Database'!$L1212&amp;" "&amp;'Compliance Database'!$M1212&amp;" "&amp;'Compliance Database'!$N1212)))),1,0)</f>
        <v/>
      </c>
      <c r="B1212">
        <f>IF($A1212=1,SUM($A$2:$A1212),"")</f>
        <v/>
      </c>
      <c r="C1212">
        <f>IF($A1212=1,SUM($A$2:$A1212),0)</f>
        <v/>
      </c>
    </row>
    <row r="1213">
      <c r="A1213">
        <f>IF(AND(OR('Compliance Database'!$A1213='Data Transfer'!$B$4,'Compliance Database'!$A1213='Data Transfer'!$B$5),OR('Data Transfer'!$B$6="",ISNUMBER(SEARCH('Data Transfer'!$B$6,'Compliance Database'!$D1213&amp;" "&amp;'Compliance Database'!$K1213&amp;" "&amp;'Compliance Database'!$L1213&amp;" "&amp;'Compliance Database'!$M1213&amp;" "&amp;'Compliance Database'!$N1213)))),1,0)</f>
        <v/>
      </c>
      <c r="B1213">
        <f>IF($A1213=1,SUM($A$2:$A1213),"")</f>
        <v/>
      </c>
      <c r="C1213">
        <f>IF($A1213=1,SUM($A$2:$A1213),0)</f>
        <v/>
      </c>
    </row>
    <row r="1214">
      <c r="A1214">
        <f>IF(AND(OR('Compliance Database'!$A1214='Data Transfer'!$B$4,'Compliance Database'!$A1214='Data Transfer'!$B$5),OR('Data Transfer'!$B$6="",ISNUMBER(SEARCH('Data Transfer'!$B$6,'Compliance Database'!$D1214&amp;" "&amp;'Compliance Database'!$K1214&amp;" "&amp;'Compliance Database'!$L1214&amp;" "&amp;'Compliance Database'!$M1214&amp;" "&amp;'Compliance Database'!$N1214)))),1,0)</f>
        <v/>
      </c>
      <c r="B1214">
        <f>IF($A1214=1,SUM($A$2:$A1214),"")</f>
        <v/>
      </c>
      <c r="C1214">
        <f>IF($A1214=1,SUM($A$2:$A1214),0)</f>
        <v/>
      </c>
    </row>
    <row r="1215">
      <c r="A1215">
        <f>IF(AND(OR('Compliance Database'!$A1215='Data Transfer'!$B$4,'Compliance Database'!$A1215='Data Transfer'!$B$5),OR('Data Transfer'!$B$6="",ISNUMBER(SEARCH('Data Transfer'!$B$6,'Compliance Database'!$D1215&amp;" "&amp;'Compliance Database'!$K1215&amp;" "&amp;'Compliance Database'!$L1215&amp;" "&amp;'Compliance Database'!$M1215&amp;" "&amp;'Compliance Database'!$N1215)))),1,0)</f>
        <v/>
      </c>
      <c r="B1215">
        <f>IF($A1215=1,SUM($A$2:$A1215),"")</f>
        <v/>
      </c>
      <c r="C1215">
        <f>IF($A1215=1,SUM($A$2:$A1215),0)</f>
        <v/>
      </c>
    </row>
    <row r="1216">
      <c r="A1216">
        <f>IF(AND(OR('Compliance Database'!$A1216='Data Transfer'!$B$4,'Compliance Database'!$A1216='Data Transfer'!$B$5),OR('Data Transfer'!$B$6="",ISNUMBER(SEARCH('Data Transfer'!$B$6,'Compliance Database'!$D1216&amp;" "&amp;'Compliance Database'!$K1216&amp;" "&amp;'Compliance Database'!$L1216&amp;" "&amp;'Compliance Database'!$M1216&amp;" "&amp;'Compliance Database'!$N1216)))),1,0)</f>
        <v/>
      </c>
      <c r="B1216">
        <f>IF($A1216=1,SUM($A$2:$A1216),"")</f>
        <v/>
      </c>
      <c r="C1216">
        <f>IF($A1216=1,SUM($A$2:$A1216),0)</f>
        <v/>
      </c>
    </row>
    <row r="1217">
      <c r="A1217">
        <f>IF(AND(OR('Compliance Database'!$A1217='Data Transfer'!$B$4,'Compliance Database'!$A1217='Data Transfer'!$B$5),OR('Data Transfer'!$B$6="",ISNUMBER(SEARCH('Data Transfer'!$B$6,'Compliance Database'!$D1217&amp;" "&amp;'Compliance Database'!$K1217&amp;" "&amp;'Compliance Database'!$L1217&amp;" "&amp;'Compliance Database'!$M1217&amp;" "&amp;'Compliance Database'!$N1217)))),1,0)</f>
        <v/>
      </c>
      <c r="B1217">
        <f>IF($A1217=1,SUM($A$2:$A1217),"")</f>
        <v/>
      </c>
      <c r="C1217">
        <f>IF($A1217=1,SUM($A$2:$A1217),0)</f>
        <v/>
      </c>
    </row>
    <row r="1218">
      <c r="A1218">
        <f>IF(AND(OR('Compliance Database'!$A1218='Data Transfer'!$B$4,'Compliance Database'!$A1218='Data Transfer'!$B$5),OR('Data Transfer'!$B$6="",ISNUMBER(SEARCH('Data Transfer'!$B$6,'Compliance Database'!$D1218&amp;" "&amp;'Compliance Database'!$K1218&amp;" "&amp;'Compliance Database'!$L1218&amp;" "&amp;'Compliance Database'!$M1218&amp;" "&amp;'Compliance Database'!$N1218)))),1,0)</f>
        <v/>
      </c>
      <c r="B1218">
        <f>IF($A1218=1,SUM($A$2:$A1218),"")</f>
        <v/>
      </c>
      <c r="C1218">
        <f>IF($A1218=1,SUM($A$2:$A1218),0)</f>
        <v/>
      </c>
    </row>
    <row r="1219">
      <c r="A1219">
        <f>IF(AND(OR('Compliance Database'!$A1219='Data Transfer'!$B$4,'Compliance Database'!$A1219='Data Transfer'!$B$5),OR('Data Transfer'!$B$6="",ISNUMBER(SEARCH('Data Transfer'!$B$6,'Compliance Database'!$D1219&amp;" "&amp;'Compliance Database'!$K1219&amp;" "&amp;'Compliance Database'!$L1219&amp;" "&amp;'Compliance Database'!$M1219&amp;" "&amp;'Compliance Database'!$N1219)))),1,0)</f>
        <v/>
      </c>
      <c r="B1219">
        <f>IF($A1219=1,SUM($A$2:$A1219),"")</f>
        <v/>
      </c>
      <c r="C1219">
        <f>IF($A1219=1,SUM($A$2:$A1219),0)</f>
        <v/>
      </c>
    </row>
    <row r="1220">
      <c r="A1220">
        <f>IF(AND(OR('Compliance Database'!$A1220='Data Transfer'!$B$4,'Compliance Database'!$A1220='Data Transfer'!$B$5),OR('Data Transfer'!$B$6="",ISNUMBER(SEARCH('Data Transfer'!$B$6,'Compliance Database'!$D1220&amp;" "&amp;'Compliance Database'!$K1220&amp;" "&amp;'Compliance Database'!$L1220&amp;" "&amp;'Compliance Database'!$M1220&amp;" "&amp;'Compliance Database'!$N1220)))),1,0)</f>
        <v/>
      </c>
      <c r="B1220">
        <f>IF($A1220=1,SUM($A$2:$A1220),"")</f>
        <v/>
      </c>
      <c r="C1220">
        <f>IF($A1220=1,SUM($A$2:$A1220),0)</f>
        <v/>
      </c>
    </row>
    <row r="1221">
      <c r="A1221">
        <f>IF(AND(OR('Compliance Database'!$A1221='Data Transfer'!$B$4,'Compliance Database'!$A1221='Data Transfer'!$B$5),OR('Data Transfer'!$B$6="",ISNUMBER(SEARCH('Data Transfer'!$B$6,'Compliance Database'!$D1221&amp;" "&amp;'Compliance Database'!$K1221&amp;" "&amp;'Compliance Database'!$L1221&amp;" "&amp;'Compliance Database'!$M1221&amp;" "&amp;'Compliance Database'!$N1221)))),1,0)</f>
        <v/>
      </c>
      <c r="B1221">
        <f>IF($A1221=1,SUM($A$2:$A1221),"")</f>
        <v/>
      </c>
      <c r="C1221">
        <f>IF($A1221=1,SUM($A$2:$A1221),0)</f>
        <v/>
      </c>
    </row>
    <row r="1222">
      <c r="A1222">
        <f>IF(AND(OR('Compliance Database'!$A1222='Data Transfer'!$B$4,'Compliance Database'!$A1222='Data Transfer'!$B$5),OR('Data Transfer'!$B$6="",ISNUMBER(SEARCH('Data Transfer'!$B$6,'Compliance Database'!$D1222&amp;" "&amp;'Compliance Database'!$K1222&amp;" "&amp;'Compliance Database'!$L1222&amp;" "&amp;'Compliance Database'!$M1222&amp;" "&amp;'Compliance Database'!$N1222)))),1,0)</f>
        <v/>
      </c>
      <c r="B1222">
        <f>IF($A1222=1,SUM($A$2:$A1222),"")</f>
        <v/>
      </c>
      <c r="C1222">
        <f>IF($A1222=1,SUM($A$2:$A1222),0)</f>
        <v/>
      </c>
    </row>
    <row r="1223">
      <c r="A1223">
        <f>IF(AND(OR('Compliance Database'!$A1223='Data Transfer'!$B$4,'Compliance Database'!$A1223='Data Transfer'!$B$5),OR('Data Transfer'!$B$6="",ISNUMBER(SEARCH('Data Transfer'!$B$6,'Compliance Database'!$D1223&amp;" "&amp;'Compliance Database'!$K1223&amp;" "&amp;'Compliance Database'!$L1223&amp;" "&amp;'Compliance Database'!$M1223&amp;" "&amp;'Compliance Database'!$N1223)))),1,0)</f>
        <v/>
      </c>
      <c r="B1223">
        <f>IF($A1223=1,SUM($A$2:$A1223),"")</f>
        <v/>
      </c>
      <c r="C1223">
        <f>IF($A1223=1,SUM($A$2:$A1223),0)</f>
        <v/>
      </c>
    </row>
    <row r="1224">
      <c r="A1224">
        <f>IF(AND(OR('Compliance Database'!$A1224='Data Transfer'!$B$4,'Compliance Database'!$A1224='Data Transfer'!$B$5),OR('Data Transfer'!$B$6="",ISNUMBER(SEARCH('Data Transfer'!$B$6,'Compliance Database'!$D1224&amp;" "&amp;'Compliance Database'!$K1224&amp;" "&amp;'Compliance Database'!$L1224&amp;" "&amp;'Compliance Database'!$M1224&amp;" "&amp;'Compliance Database'!$N1224)))),1,0)</f>
        <v/>
      </c>
      <c r="B1224">
        <f>IF($A1224=1,SUM($A$2:$A1224),"")</f>
        <v/>
      </c>
      <c r="C1224">
        <f>IF($A1224=1,SUM($A$2:$A1224),0)</f>
        <v/>
      </c>
    </row>
    <row r="1225">
      <c r="A1225">
        <f>IF(AND(OR('Compliance Database'!$A1225='Data Transfer'!$B$4,'Compliance Database'!$A1225='Data Transfer'!$B$5),OR('Data Transfer'!$B$6="",ISNUMBER(SEARCH('Data Transfer'!$B$6,'Compliance Database'!$D1225&amp;" "&amp;'Compliance Database'!$K1225&amp;" "&amp;'Compliance Database'!$L1225&amp;" "&amp;'Compliance Database'!$M1225&amp;" "&amp;'Compliance Database'!$N1225)))),1,0)</f>
        <v/>
      </c>
      <c r="B1225">
        <f>IF($A1225=1,SUM($A$2:$A1225),"")</f>
        <v/>
      </c>
      <c r="C1225">
        <f>IF($A1225=1,SUM($A$2:$A1225),0)</f>
        <v/>
      </c>
    </row>
    <row r="1226">
      <c r="A1226">
        <f>IF(AND(OR('Compliance Database'!$A1226='Data Transfer'!$B$4,'Compliance Database'!$A1226='Data Transfer'!$B$5),OR('Data Transfer'!$B$6="",ISNUMBER(SEARCH('Data Transfer'!$B$6,'Compliance Database'!$D1226&amp;" "&amp;'Compliance Database'!$K1226&amp;" "&amp;'Compliance Database'!$L1226&amp;" "&amp;'Compliance Database'!$M1226&amp;" "&amp;'Compliance Database'!$N1226)))),1,0)</f>
        <v/>
      </c>
      <c r="B1226">
        <f>IF($A1226=1,SUM($A$2:$A1226),"")</f>
        <v/>
      </c>
      <c r="C1226">
        <f>IF($A1226=1,SUM($A$2:$A1226),0)</f>
        <v/>
      </c>
    </row>
    <row r="1227">
      <c r="A1227">
        <f>IF(AND(OR('Compliance Database'!$A1227='Data Transfer'!$B$4,'Compliance Database'!$A1227='Data Transfer'!$B$5),OR('Data Transfer'!$B$6="",ISNUMBER(SEARCH('Data Transfer'!$B$6,'Compliance Database'!$D1227&amp;" "&amp;'Compliance Database'!$K1227&amp;" "&amp;'Compliance Database'!$L1227&amp;" "&amp;'Compliance Database'!$M1227&amp;" "&amp;'Compliance Database'!$N1227)))),1,0)</f>
        <v/>
      </c>
      <c r="B1227">
        <f>IF($A1227=1,SUM($A$2:$A1227),"")</f>
        <v/>
      </c>
      <c r="C1227">
        <f>IF($A1227=1,SUM($A$2:$A1227),0)</f>
        <v/>
      </c>
    </row>
    <row r="1228">
      <c r="A1228">
        <f>IF(AND(OR('Compliance Database'!$A1228='Data Transfer'!$B$4,'Compliance Database'!$A1228='Data Transfer'!$B$5),OR('Data Transfer'!$B$6="",ISNUMBER(SEARCH('Data Transfer'!$B$6,'Compliance Database'!$D1228&amp;" "&amp;'Compliance Database'!$K1228&amp;" "&amp;'Compliance Database'!$L1228&amp;" "&amp;'Compliance Database'!$M1228&amp;" "&amp;'Compliance Database'!$N1228)))),1,0)</f>
        <v/>
      </c>
      <c r="B1228">
        <f>IF($A1228=1,SUM($A$2:$A1228),"")</f>
        <v/>
      </c>
      <c r="C1228">
        <f>IF($A1228=1,SUM($A$2:$A1228),0)</f>
        <v/>
      </c>
    </row>
    <row r="1229">
      <c r="A1229">
        <f>IF(AND(OR('Compliance Database'!$A1229='Data Transfer'!$B$4,'Compliance Database'!$A1229='Data Transfer'!$B$5),OR('Data Transfer'!$B$6="",ISNUMBER(SEARCH('Data Transfer'!$B$6,'Compliance Database'!$D1229&amp;" "&amp;'Compliance Database'!$K1229&amp;" "&amp;'Compliance Database'!$L1229&amp;" "&amp;'Compliance Database'!$M1229&amp;" "&amp;'Compliance Database'!$N1229)))),1,0)</f>
        <v/>
      </c>
      <c r="B1229">
        <f>IF($A1229=1,SUM($A$2:$A1229),"")</f>
        <v/>
      </c>
      <c r="C1229">
        <f>IF($A1229=1,SUM($A$2:$A1229),0)</f>
        <v/>
      </c>
    </row>
    <row r="1230">
      <c r="A1230">
        <f>IF(AND(OR('Compliance Database'!$A1230='Data Transfer'!$B$4,'Compliance Database'!$A1230='Data Transfer'!$B$5),OR('Data Transfer'!$B$6="",ISNUMBER(SEARCH('Data Transfer'!$B$6,'Compliance Database'!$D1230&amp;" "&amp;'Compliance Database'!$K1230&amp;" "&amp;'Compliance Database'!$L1230&amp;" "&amp;'Compliance Database'!$M1230&amp;" "&amp;'Compliance Database'!$N1230)))),1,0)</f>
        <v/>
      </c>
      <c r="B1230">
        <f>IF($A1230=1,SUM($A$2:$A1230),"")</f>
        <v/>
      </c>
      <c r="C1230">
        <f>IF($A1230=1,SUM($A$2:$A1230),0)</f>
        <v/>
      </c>
    </row>
    <row r="1231">
      <c r="A1231">
        <f>IF(AND(OR('Compliance Database'!$A1231='Data Transfer'!$B$4,'Compliance Database'!$A1231='Data Transfer'!$B$5),OR('Data Transfer'!$B$6="",ISNUMBER(SEARCH('Data Transfer'!$B$6,'Compliance Database'!$D1231&amp;" "&amp;'Compliance Database'!$K1231&amp;" "&amp;'Compliance Database'!$L1231&amp;" "&amp;'Compliance Database'!$M1231&amp;" "&amp;'Compliance Database'!$N1231)))),1,0)</f>
        <v/>
      </c>
      <c r="B1231">
        <f>IF($A1231=1,SUM($A$2:$A1231),"")</f>
        <v/>
      </c>
      <c r="C1231">
        <f>IF($A1231=1,SUM($A$2:$A1231),0)</f>
        <v/>
      </c>
    </row>
    <row r="1232">
      <c r="A1232">
        <f>IF(AND(OR('Compliance Database'!$A1232='Data Transfer'!$B$4,'Compliance Database'!$A1232='Data Transfer'!$B$5),OR('Data Transfer'!$B$6="",ISNUMBER(SEARCH('Data Transfer'!$B$6,'Compliance Database'!$D1232&amp;" "&amp;'Compliance Database'!$K1232&amp;" "&amp;'Compliance Database'!$L1232&amp;" "&amp;'Compliance Database'!$M1232&amp;" "&amp;'Compliance Database'!$N1232)))),1,0)</f>
        <v/>
      </c>
      <c r="B1232">
        <f>IF($A1232=1,SUM($A$2:$A1232),"")</f>
        <v/>
      </c>
      <c r="C1232">
        <f>IF($A1232=1,SUM($A$2:$A1232),0)</f>
        <v/>
      </c>
    </row>
    <row r="1233">
      <c r="A1233">
        <f>IF(AND(OR('Compliance Database'!$A1233='Data Transfer'!$B$4,'Compliance Database'!$A1233='Data Transfer'!$B$5),OR('Data Transfer'!$B$6="",ISNUMBER(SEARCH('Data Transfer'!$B$6,'Compliance Database'!$D1233&amp;" "&amp;'Compliance Database'!$K1233&amp;" "&amp;'Compliance Database'!$L1233&amp;" "&amp;'Compliance Database'!$M1233&amp;" "&amp;'Compliance Database'!$N1233)))),1,0)</f>
        <v/>
      </c>
      <c r="B1233">
        <f>IF($A1233=1,SUM($A$2:$A1233),"")</f>
        <v/>
      </c>
      <c r="C1233">
        <f>IF($A1233=1,SUM($A$2:$A1233),0)</f>
        <v/>
      </c>
    </row>
    <row r="1234">
      <c r="A1234">
        <f>IF(AND(OR('Compliance Database'!$A1234='Data Transfer'!$B$4,'Compliance Database'!$A1234='Data Transfer'!$B$5),OR('Data Transfer'!$B$6="",ISNUMBER(SEARCH('Data Transfer'!$B$6,'Compliance Database'!$D1234&amp;" "&amp;'Compliance Database'!$K1234&amp;" "&amp;'Compliance Database'!$L1234&amp;" "&amp;'Compliance Database'!$M1234&amp;" "&amp;'Compliance Database'!$N1234)))),1,0)</f>
        <v/>
      </c>
      <c r="B1234">
        <f>IF($A1234=1,SUM($A$2:$A1234),"")</f>
        <v/>
      </c>
      <c r="C1234">
        <f>IF($A1234=1,SUM($A$2:$A1234),0)</f>
        <v/>
      </c>
    </row>
    <row r="1235">
      <c r="A1235">
        <f>IF(AND(OR('Compliance Database'!$A1235='Data Transfer'!$B$4,'Compliance Database'!$A1235='Data Transfer'!$B$5),OR('Data Transfer'!$B$6="",ISNUMBER(SEARCH('Data Transfer'!$B$6,'Compliance Database'!$D1235&amp;" "&amp;'Compliance Database'!$K1235&amp;" "&amp;'Compliance Database'!$L1235&amp;" "&amp;'Compliance Database'!$M1235&amp;" "&amp;'Compliance Database'!$N1235)))),1,0)</f>
        <v/>
      </c>
      <c r="B1235">
        <f>IF($A1235=1,SUM($A$2:$A1235),"")</f>
        <v/>
      </c>
      <c r="C1235">
        <f>IF($A1235=1,SUM($A$2:$A1235),0)</f>
        <v/>
      </c>
    </row>
    <row r="1236">
      <c r="A1236">
        <f>IF(AND(OR('Compliance Database'!$A1236='Data Transfer'!$B$4,'Compliance Database'!$A1236='Data Transfer'!$B$5),OR('Data Transfer'!$B$6="",ISNUMBER(SEARCH('Data Transfer'!$B$6,'Compliance Database'!$D1236&amp;" "&amp;'Compliance Database'!$K1236&amp;" "&amp;'Compliance Database'!$L1236&amp;" "&amp;'Compliance Database'!$M1236&amp;" "&amp;'Compliance Database'!$N1236)))),1,0)</f>
        <v/>
      </c>
      <c r="B1236">
        <f>IF($A1236=1,SUM($A$2:$A1236),"")</f>
        <v/>
      </c>
      <c r="C1236">
        <f>IF($A1236=1,SUM($A$2:$A1236),0)</f>
        <v/>
      </c>
    </row>
    <row r="1237">
      <c r="A1237">
        <f>IF(AND(OR('Compliance Database'!$A1237='Data Transfer'!$B$4,'Compliance Database'!$A1237='Data Transfer'!$B$5),OR('Data Transfer'!$B$6="",ISNUMBER(SEARCH('Data Transfer'!$B$6,'Compliance Database'!$D1237&amp;" "&amp;'Compliance Database'!$K1237&amp;" "&amp;'Compliance Database'!$L1237&amp;" "&amp;'Compliance Database'!$M1237&amp;" "&amp;'Compliance Database'!$N1237)))),1,0)</f>
        <v/>
      </c>
      <c r="B1237">
        <f>IF($A1237=1,SUM($A$2:$A1237),"")</f>
        <v/>
      </c>
      <c r="C1237">
        <f>IF($A1237=1,SUM($A$2:$A1237),0)</f>
        <v/>
      </c>
    </row>
    <row r="1238">
      <c r="A1238">
        <f>IF(AND(OR('Compliance Database'!$A1238='Data Transfer'!$B$4,'Compliance Database'!$A1238='Data Transfer'!$B$5),OR('Data Transfer'!$B$6="",ISNUMBER(SEARCH('Data Transfer'!$B$6,'Compliance Database'!$D1238&amp;" "&amp;'Compliance Database'!$K1238&amp;" "&amp;'Compliance Database'!$L1238&amp;" "&amp;'Compliance Database'!$M1238&amp;" "&amp;'Compliance Database'!$N1238)))),1,0)</f>
        <v/>
      </c>
      <c r="B1238">
        <f>IF($A1238=1,SUM($A$2:$A1238),"")</f>
        <v/>
      </c>
      <c r="C1238">
        <f>IF($A1238=1,SUM($A$2:$A1238),0)</f>
        <v/>
      </c>
    </row>
    <row r="1239">
      <c r="A1239">
        <f>IF(AND(OR('Compliance Database'!$A1239='Data Transfer'!$B$4,'Compliance Database'!$A1239='Data Transfer'!$B$5),OR('Data Transfer'!$B$6="",ISNUMBER(SEARCH('Data Transfer'!$B$6,'Compliance Database'!$D1239&amp;" "&amp;'Compliance Database'!$K1239&amp;" "&amp;'Compliance Database'!$L1239&amp;" "&amp;'Compliance Database'!$M1239&amp;" "&amp;'Compliance Database'!$N1239)))),1,0)</f>
        <v/>
      </c>
      <c r="B1239">
        <f>IF($A1239=1,SUM($A$2:$A1239),"")</f>
        <v/>
      </c>
      <c r="C1239">
        <f>IF($A1239=1,SUM($A$2:$A1239),0)</f>
        <v/>
      </c>
    </row>
    <row r="1240">
      <c r="A1240">
        <f>IF(AND(OR('Compliance Database'!$A1240='Data Transfer'!$B$4,'Compliance Database'!$A1240='Data Transfer'!$B$5),OR('Data Transfer'!$B$6="",ISNUMBER(SEARCH('Data Transfer'!$B$6,'Compliance Database'!$D1240&amp;" "&amp;'Compliance Database'!$K1240&amp;" "&amp;'Compliance Database'!$L1240&amp;" "&amp;'Compliance Database'!$M1240&amp;" "&amp;'Compliance Database'!$N1240)))),1,0)</f>
        <v/>
      </c>
      <c r="B1240">
        <f>IF($A1240=1,SUM($A$2:$A1240),"")</f>
        <v/>
      </c>
      <c r="C1240">
        <f>IF($A1240=1,SUM($A$2:$A1240),0)</f>
        <v/>
      </c>
    </row>
    <row r="1241">
      <c r="A1241">
        <f>IF(AND(OR('Compliance Database'!$A1241='Data Transfer'!$B$4,'Compliance Database'!$A1241='Data Transfer'!$B$5),OR('Data Transfer'!$B$6="",ISNUMBER(SEARCH('Data Transfer'!$B$6,'Compliance Database'!$D1241&amp;" "&amp;'Compliance Database'!$K1241&amp;" "&amp;'Compliance Database'!$L1241&amp;" "&amp;'Compliance Database'!$M1241&amp;" "&amp;'Compliance Database'!$N1241)))),1,0)</f>
        <v/>
      </c>
      <c r="B1241">
        <f>IF($A1241=1,SUM($A$2:$A1241),"")</f>
        <v/>
      </c>
      <c r="C1241">
        <f>IF($A1241=1,SUM($A$2:$A1241),0)</f>
        <v/>
      </c>
    </row>
    <row r="1242">
      <c r="A1242">
        <f>IF(AND(OR('Compliance Database'!$A1242='Data Transfer'!$B$4,'Compliance Database'!$A1242='Data Transfer'!$B$5),OR('Data Transfer'!$B$6="",ISNUMBER(SEARCH('Data Transfer'!$B$6,'Compliance Database'!$D1242&amp;" "&amp;'Compliance Database'!$K1242&amp;" "&amp;'Compliance Database'!$L1242&amp;" "&amp;'Compliance Database'!$M1242&amp;" "&amp;'Compliance Database'!$N1242)))),1,0)</f>
        <v/>
      </c>
      <c r="B1242">
        <f>IF($A1242=1,SUM($A$2:$A1242),"")</f>
        <v/>
      </c>
      <c r="C1242">
        <f>IF($A1242=1,SUM($A$2:$A1242),0)</f>
        <v/>
      </c>
    </row>
    <row r="1243">
      <c r="A1243">
        <f>IF(AND(OR('Compliance Database'!$A1243='Data Transfer'!$B$4,'Compliance Database'!$A1243='Data Transfer'!$B$5),OR('Data Transfer'!$B$6="",ISNUMBER(SEARCH('Data Transfer'!$B$6,'Compliance Database'!$D1243&amp;" "&amp;'Compliance Database'!$K1243&amp;" "&amp;'Compliance Database'!$L1243&amp;" "&amp;'Compliance Database'!$M1243&amp;" "&amp;'Compliance Database'!$N1243)))),1,0)</f>
        <v/>
      </c>
      <c r="B1243">
        <f>IF($A1243=1,SUM($A$2:$A1243),"")</f>
        <v/>
      </c>
      <c r="C1243">
        <f>IF($A1243=1,SUM($A$2:$A1243),0)</f>
        <v/>
      </c>
    </row>
    <row r="1244">
      <c r="A1244">
        <f>IF(AND(OR('Compliance Database'!$A1244='Data Transfer'!$B$4,'Compliance Database'!$A1244='Data Transfer'!$B$5),OR('Data Transfer'!$B$6="",ISNUMBER(SEARCH('Data Transfer'!$B$6,'Compliance Database'!$D1244&amp;" "&amp;'Compliance Database'!$K1244&amp;" "&amp;'Compliance Database'!$L1244&amp;" "&amp;'Compliance Database'!$M1244&amp;" "&amp;'Compliance Database'!$N1244)))),1,0)</f>
        <v/>
      </c>
      <c r="B1244">
        <f>IF($A1244=1,SUM($A$2:$A1244),"")</f>
        <v/>
      </c>
      <c r="C1244">
        <f>IF($A1244=1,SUM($A$2:$A1244),0)</f>
        <v/>
      </c>
    </row>
    <row r="1245">
      <c r="A1245">
        <f>IF(AND(OR('Compliance Database'!$A1245='Data Transfer'!$B$4,'Compliance Database'!$A1245='Data Transfer'!$B$5),OR('Data Transfer'!$B$6="",ISNUMBER(SEARCH('Data Transfer'!$B$6,'Compliance Database'!$D1245&amp;" "&amp;'Compliance Database'!$K1245&amp;" "&amp;'Compliance Database'!$L1245&amp;" "&amp;'Compliance Database'!$M1245&amp;" "&amp;'Compliance Database'!$N1245)))),1,0)</f>
        <v/>
      </c>
      <c r="B1245">
        <f>IF($A1245=1,SUM($A$2:$A1245),"")</f>
        <v/>
      </c>
      <c r="C1245">
        <f>IF($A1245=1,SUM($A$2:$A1245),0)</f>
        <v/>
      </c>
    </row>
    <row r="1246">
      <c r="A1246">
        <f>IF(AND(OR('Compliance Database'!$A1246='Data Transfer'!$B$4,'Compliance Database'!$A1246='Data Transfer'!$B$5),OR('Data Transfer'!$B$6="",ISNUMBER(SEARCH('Data Transfer'!$B$6,'Compliance Database'!$D1246&amp;" "&amp;'Compliance Database'!$K1246&amp;" "&amp;'Compliance Database'!$L1246&amp;" "&amp;'Compliance Database'!$M1246&amp;" "&amp;'Compliance Database'!$N1246)))),1,0)</f>
        <v/>
      </c>
      <c r="B1246">
        <f>IF($A1246=1,SUM($A$2:$A1246),"")</f>
        <v/>
      </c>
      <c r="C1246">
        <f>IF($A1246=1,SUM($A$2:$A1246),0)</f>
        <v/>
      </c>
    </row>
    <row r="1247">
      <c r="A1247">
        <f>IF(AND(OR('Compliance Database'!$A1247='Data Transfer'!$B$4,'Compliance Database'!$A1247='Data Transfer'!$B$5),OR('Data Transfer'!$B$6="",ISNUMBER(SEARCH('Data Transfer'!$B$6,'Compliance Database'!$D1247&amp;" "&amp;'Compliance Database'!$K1247&amp;" "&amp;'Compliance Database'!$L1247&amp;" "&amp;'Compliance Database'!$M1247&amp;" "&amp;'Compliance Database'!$N1247)))),1,0)</f>
        <v/>
      </c>
      <c r="B1247">
        <f>IF($A1247=1,SUM($A$2:$A1247),"")</f>
        <v/>
      </c>
      <c r="C1247">
        <f>IF($A1247=1,SUM($A$2:$A1247),0)</f>
        <v/>
      </c>
    </row>
    <row r="1248">
      <c r="A1248">
        <f>IF(AND(OR('Compliance Database'!$A1248='Data Transfer'!$B$4,'Compliance Database'!$A1248='Data Transfer'!$B$5),OR('Data Transfer'!$B$6="",ISNUMBER(SEARCH('Data Transfer'!$B$6,'Compliance Database'!$D1248&amp;" "&amp;'Compliance Database'!$K1248&amp;" "&amp;'Compliance Database'!$L1248&amp;" "&amp;'Compliance Database'!$M1248&amp;" "&amp;'Compliance Database'!$N1248)))),1,0)</f>
        <v/>
      </c>
      <c r="B1248">
        <f>IF($A1248=1,SUM($A$2:$A1248),"")</f>
        <v/>
      </c>
      <c r="C1248">
        <f>IF($A1248=1,SUM($A$2:$A1248),0)</f>
        <v/>
      </c>
    </row>
    <row r="1249">
      <c r="A1249">
        <f>IF(AND(OR('Compliance Database'!$A1249='Data Transfer'!$B$4,'Compliance Database'!$A1249='Data Transfer'!$B$5),OR('Data Transfer'!$B$6="",ISNUMBER(SEARCH('Data Transfer'!$B$6,'Compliance Database'!$D1249&amp;" "&amp;'Compliance Database'!$K1249&amp;" "&amp;'Compliance Database'!$L1249&amp;" "&amp;'Compliance Database'!$M1249&amp;" "&amp;'Compliance Database'!$N1249)))),1,0)</f>
        <v/>
      </c>
      <c r="B1249">
        <f>IF($A1249=1,SUM($A$2:$A1249),"")</f>
        <v/>
      </c>
      <c r="C1249">
        <f>IF($A1249=1,SUM($A$2:$A1249),0)</f>
        <v/>
      </c>
    </row>
    <row r="1250">
      <c r="A1250">
        <f>IF(AND(OR('Compliance Database'!$A1250='Data Transfer'!$B$4,'Compliance Database'!$A1250='Data Transfer'!$B$5),OR('Data Transfer'!$B$6="",ISNUMBER(SEARCH('Data Transfer'!$B$6,'Compliance Database'!$D1250&amp;" "&amp;'Compliance Database'!$K1250&amp;" "&amp;'Compliance Database'!$L1250&amp;" "&amp;'Compliance Database'!$M1250&amp;" "&amp;'Compliance Database'!$N1250)))),1,0)</f>
        <v/>
      </c>
      <c r="B1250">
        <f>IF($A1250=1,SUM($A$2:$A1250),"")</f>
        <v/>
      </c>
      <c r="C1250">
        <f>IF($A1250=1,SUM($A$2:$A1250),0)</f>
        <v/>
      </c>
    </row>
    <row r="1251">
      <c r="A1251">
        <f>IF(AND(OR('Compliance Database'!$A1251='Data Transfer'!$B$4,'Compliance Database'!$A1251='Data Transfer'!$B$5),OR('Data Transfer'!$B$6="",ISNUMBER(SEARCH('Data Transfer'!$B$6,'Compliance Database'!$D1251&amp;" "&amp;'Compliance Database'!$K1251&amp;" "&amp;'Compliance Database'!$L1251&amp;" "&amp;'Compliance Database'!$M1251&amp;" "&amp;'Compliance Database'!$N1251)))),1,0)</f>
        <v/>
      </c>
      <c r="B1251">
        <f>IF($A1251=1,SUM($A$2:$A1251),"")</f>
        <v/>
      </c>
      <c r="C1251">
        <f>IF($A1251=1,SUM($A$2:$A1251),0)</f>
        <v/>
      </c>
    </row>
    <row r="1252">
      <c r="A1252">
        <f>IF(AND(OR('Compliance Database'!$A1252='Data Transfer'!$B$4,'Compliance Database'!$A1252='Data Transfer'!$B$5),OR('Data Transfer'!$B$6="",ISNUMBER(SEARCH('Data Transfer'!$B$6,'Compliance Database'!$D1252&amp;" "&amp;'Compliance Database'!$K1252&amp;" "&amp;'Compliance Database'!$L1252&amp;" "&amp;'Compliance Database'!$M1252&amp;" "&amp;'Compliance Database'!$N1252)))),1,0)</f>
        <v/>
      </c>
      <c r="B1252">
        <f>IF($A1252=1,SUM($A$2:$A1252),"")</f>
        <v/>
      </c>
      <c r="C1252">
        <f>IF($A1252=1,SUM($A$2:$A1252),0)</f>
        <v/>
      </c>
    </row>
    <row r="1253">
      <c r="A1253">
        <f>IF(AND(OR('Compliance Database'!$A1253='Data Transfer'!$B$4,'Compliance Database'!$A1253='Data Transfer'!$B$5),OR('Data Transfer'!$B$6="",ISNUMBER(SEARCH('Data Transfer'!$B$6,'Compliance Database'!$D1253&amp;" "&amp;'Compliance Database'!$K1253&amp;" "&amp;'Compliance Database'!$L1253&amp;" "&amp;'Compliance Database'!$M1253&amp;" "&amp;'Compliance Database'!$N1253)))),1,0)</f>
        <v/>
      </c>
      <c r="B1253">
        <f>IF($A1253=1,SUM($A$2:$A1253),"")</f>
        <v/>
      </c>
      <c r="C1253">
        <f>IF($A1253=1,SUM($A$2:$A1253),0)</f>
        <v/>
      </c>
    </row>
    <row r="1254">
      <c r="A1254">
        <f>IF(AND(OR('Compliance Database'!$A1254='Data Transfer'!$B$4,'Compliance Database'!$A1254='Data Transfer'!$B$5),OR('Data Transfer'!$B$6="",ISNUMBER(SEARCH('Data Transfer'!$B$6,'Compliance Database'!$D1254&amp;" "&amp;'Compliance Database'!$K1254&amp;" "&amp;'Compliance Database'!$L1254&amp;" "&amp;'Compliance Database'!$M1254&amp;" "&amp;'Compliance Database'!$N1254)))),1,0)</f>
        <v/>
      </c>
      <c r="B1254">
        <f>IF($A1254=1,SUM($A$2:$A1254),"")</f>
        <v/>
      </c>
      <c r="C1254">
        <f>IF($A1254=1,SUM($A$2:$A1254),0)</f>
        <v/>
      </c>
    </row>
    <row r="1255">
      <c r="A1255">
        <f>IF(AND(OR('Compliance Database'!$A1255='Data Transfer'!$B$4,'Compliance Database'!$A1255='Data Transfer'!$B$5),OR('Data Transfer'!$B$6="",ISNUMBER(SEARCH('Data Transfer'!$B$6,'Compliance Database'!$D1255&amp;" "&amp;'Compliance Database'!$K1255&amp;" "&amp;'Compliance Database'!$L1255&amp;" "&amp;'Compliance Database'!$M1255&amp;" "&amp;'Compliance Database'!$N1255)))),1,0)</f>
        <v/>
      </c>
      <c r="B1255">
        <f>IF($A1255=1,SUM($A$2:$A1255),"")</f>
        <v/>
      </c>
      <c r="C1255">
        <f>IF($A1255=1,SUM($A$2:$A1255),0)</f>
        <v/>
      </c>
    </row>
    <row r="1256">
      <c r="A1256">
        <f>IF(AND(OR('Compliance Database'!$A1256='Data Transfer'!$B$4,'Compliance Database'!$A1256='Data Transfer'!$B$5),OR('Data Transfer'!$B$6="",ISNUMBER(SEARCH('Data Transfer'!$B$6,'Compliance Database'!$D1256&amp;" "&amp;'Compliance Database'!$K1256&amp;" "&amp;'Compliance Database'!$L1256&amp;" "&amp;'Compliance Database'!$M1256&amp;" "&amp;'Compliance Database'!$N1256)))),1,0)</f>
        <v/>
      </c>
      <c r="B1256">
        <f>IF($A1256=1,SUM($A$2:$A1256),"")</f>
        <v/>
      </c>
      <c r="C1256">
        <f>IF($A1256=1,SUM($A$2:$A1256),0)</f>
        <v/>
      </c>
    </row>
    <row r="1257">
      <c r="A1257">
        <f>IF(AND(OR('Compliance Database'!$A1257='Data Transfer'!$B$4,'Compliance Database'!$A1257='Data Transfer'!$B$5),OR('Data Transfer'!$B$6="",ISNUMBER(SEARCH('Data Transfer'!$B$6,'Compliance Database'!$D1257&amp;" "&amp;'Compliance Database'!$K1257&amp;" "&amp;'Compliance Database'!$L1257&amp;" "&amp;'Compliance Database'!$M1257&amp;" "&amp;'Compliance Database'!$N1257)))),1,0)</f>
        <v/>
      </c>
      <c r="B1257">
        <f>IF($A1257=1,SUM($A$2:$A1257),"")</f>
        <v/>
      </c>
      <c r="C1257">
        <f>IF($A1257=1,SUM($A$2:$A1257),0)</f>
        <v/>
      </c>
    </row>
    <row r="1258">
      <c r="A1258">
        <f>IF(AND(OR('Compliance Database'!$A1258='Data Transfer'!$B$4,'Compliance Database'!$A1258='Data Transfer'!$B$5),OR('Data Transfer'!$B$6="",ISNUMBER(SEARCH('Data Transfer'!$B$6,'Compliance Database'!$D1258&amp;" "&amp;'Compliance Database'!$K1258&amp;" "&amp;'Compliance Database'!$L1258&amp;" "&amp;'Compliance Database'!$M1258&amp;" "&amp;'Compliance Database'!$N1258)))),1,0)</f>
        <v/>
      </c>
      <c r="B1258">
        <f>IF($A1258=1,SUM($A$2:$A1258),"")</f>
        <v/>
      </c>
      <c r="C1258">
        <f>IF($A1258=1,SUM($A$2:$A1258),0)</f>
        <v/>
      </c>
    </row>
    <row r="1259">
      <c r="A1259">
        <f>IF(AND(OR('Compliance Database'!$A1259='Data Transfer'!$B$4,'Compliance Database'!$A1259='Data Transfer'!$B$5),OR('Data Transfer'!$B$6="",ISNUMBER(SEARCH('Data Transfer'!$B$6,'Compliance Database'!$D1259&amp;" "&amp;'Compliance Database'!$K1259&amp;" "&amp;'Compliance Database'!$L1259&amp;" "&amp;'Compliance Database'!$M1259&amp;" "&amp;'Compliance Database'!$N1259)))),1,0)</f>
        <v/>
      </c>
      <c r="B1259">
        <f>IF($A1259=1,SUM($A$2:$A1259),"")</f>
        <v/>
      </c>
      <c r="C1259">
        <f>IF($A1259=1,SUM($A$2:$A1259),0)</f>
        <v/>
      </c>
    </row>
    <row r="1260">
      <c r="A1260">
        <f>IF(AND(OR('Compliance Database'!$A1260='Data Transfer'!$B$4,'Compliance Database'!$A1260='Data Transfer'!$B$5),OR('Data Transfer'!$B$6="",ISNUMBER(SEARCH('Data Transfer'!$B$6,'Compliance Database'!$D1260&amp;" "&amp;'Compliance Database'!$K1260&amp;" "&amp;'Compliance Database'!$L1260&amp;" "&amp;'Compliance Database'!$M1260&amp;" "&amp;'Compliance Database'!$N1260)))),1,0)</f>
        <v/>
      </c>
      <c r="B1260">
        <f>IF($A1260=1,SUM($A$2:$A1260),"")</f>
        <v/>
      </c>
      <c r="C1260">
        <f>IF($A1260=1,SUM($A$2:$A1260),0)</f>
        <v/>
      </c>
    </row>
    <row r="1261">
      <c r="A1261">
        <f>IF(AND(OR('Compliance Database'!$A1261='Data Transfer'!$B$4,'Compliance Database'!$A1261='Data Transfer'!$B$5),OR('Data Transfer'!$B$6="",ISNUMBER(SEARCH('Data Transfer'!$B$6,'Compliance Database'!$D1261&amp;" "&amp;'Compliance Database'!$K1261&amp;" "&amp;'Compliance Database'!$L1261&amp;" "&amp;'Compliance Database'!$M1261&amp;" "&amp;'Compliance Database'!$N1261)))),1,0)</f>
        <v/>
      </c>
      <c r="B1261">
        <f>IF($A1261=1,SUM($A$2:$A1261),"")</f>
        <v/>
      </c>
      <c r="C1261">
        <f>IF($A1261=1,SUM($A$2:$A1261),0)</f>
        <v/>
      </c>
    </row>
    <row r="1262">
      <c r="A1262">
        <f>IF(AND(OR('Compliance Database'!$A1262='Data Transfer'!$B$4,'Compliance Database'!$A1262='Data Transfer'!$B$5),OR('Data Transfer'!$B$6="",ISNUMBER(SEARCH('Data Transfer'!$B$6,'Compliance Database'!$D1262&amp;" "&amp;'Compliance Database'!$K1262&amp;" "&amp;'Compliance Database'!$L1262&amp;" "&amp;'Compliance Database'!$M1262&amp;" "&amp;'Compliance Database'!$N1262)))),1,0)</f>
        <v/>
      </c>
      <c r="B1262">
        <f>IF($A1262=1,SUM($A$2:$A1262),"")</f>
        <v/>
      </c>
      <c r="C1262">
        <f>IF($A1262=1,SUM($A$2:$A1262),0)</f>
        <v/>
      </c>
    </row>
    <row r="1263">
      <c r="A1263">
        <f>IF(AND(OR('Compliance Database'!$A1263='Data Transfer'!$B$4,'Compliance Database'!$A1263='Data Transfer'!$B$5),OR('Data Transfer'!$B$6="",ISNUMBER(SEARCH('Data Transfer'!$B$6,'Compliance Database'!$D1263&amp;" "&amp;'Compliance Database'!$K1263&amp;" "&amp;'Compliance Database'!$L1263&amp;" "&amp;'Compliance Database'!$M1263&amp;" "&amp;'Compliance Database'!$N1263)))),1,0)</f>
        <v/>
      </c>
      <c r="B1263">
        <f>IF($A1263=1,SUM($A$2:$A1263),"")</f>
        <v/>
      </c>
      <c r="C1263">
        <f>IF($A1263=1,SUM($A$2:$A1263),0)</f>
        <v/>
      </c>
    </row>
    <row r="1264">
      <c r="A1264">
        <f>IF(AND(OR('Compliance Database'!$A1264='Data Transfer'!$B$4,'Compliance Database'!$A1264='Data Transfer'!$B$5),OR('Data Transfer'!$B$6="",ISNUMBER(SEARCH('Data Transfer'!$B$6,'Compliance Database'!$D1264&amp;" "&amp;'Compliance Database'!$K1264&amp;" "&amp;'Compliance Database'!$L1264&amp;" "&amp;'Compliance Database'!$M1264&amp;" "&amp;'Compliance Database'!$N1264)))),1,0)</f>
        <v/>
      </c>
      <c r="B1264">
        <f>IF($A1264=1,SUM($A$2:$A1264),"")</f>
        <v/>
      </c>
      <c r="C1264">
        <f>IF($A1264=1,SUM($A$2:$A1264),0)</f>
        <v/>
      </c>
    </row>
    <row r="1265">
      <c r="A1265">
        <f>IF(AND(OR('Compliance Database'!$A1265='Data Transfer'!$B$4,'Compliance Database'!$A1265='Data Transfer'!$B$5),OR('Data Transfer'!$B$6="",ISNUMBER(SEARCH('Data Transfer'!$B$6,'Compliance Database'!$D1265&amp;" "&amp;'Compliance Database'!$K1265&amp;" "&amp;'Compliance Database'!$L1265&amp;" "&amp;'Compliance Database'!$M1265&amp;" "&amp;'Compliance Database'!$N1265)))),1,0)</f>
        <v/>
      </c>
      <c r="B1265">
        <f>IF($A1265=1,SUM($A$2:$A1265),"")</f>
        <v/>
      </c>
      <c r="C1265">
        <f>IF($A1265=1,SUM($A$2:$A1265),0)</f>
        <v/>
      </c>
    </row>
    <row r="1266">
      <c r="A1266">
        <f>IF(AND(OR('Compliance Database'!$A1266='Data Transfer'!$B$4,'Compliance Database'!$A1266='Data Transfer'!$B$5),OR('Data Transfer'!$B$6="",ISNUMBER(SEARCH('Data Transfer'!$B$6,'Compliance Database'!$D1266&amp;" "&amp;'Compliance Database'!$K1266&amp;" "&amp;'Compliance Database'!$L1266&amp;" "&amp;'Compliance Database'!$M1266&amp;" "&amp;'Compliance Database'!$N1266)))),1,0)</f>
        <v/>
      </c>
      <c r="B1266">
        <f>IF($A1266=1,SUM($A$2:$A1266),"")</f>
        <v/>
      </c>
      <c r="C1266">
        <f>IF($A1266=1,SUM($A$2:$A1266),0)</f>
        <v/>
      </c>
    </row>
    <row r="1267">
      <c r="A1267">
        <f>IF(AND(OR('Compliance Database'!$A1267='Data Transfer'!$B$4,'Compliance Database'!$A1267='Data Transfer'!$B$5),OR('Data Transfer'!$B$6="",ISNUMBER(SEARCH('Data Transfer'!$B$6,'Compliance Database'!$D1267&amp;" "&amp;'Compliance Database'!$K1267&amp;" "&amp;'Compliance Database'!$L1267&amp;" "&amp;'Compliance Database'!$M1267&amp;" "&amp;'Compliance Database'!$N1267)))),1,0)</f>
        <v/>
      </c>
      <c r="B1267">
        <f>IF($A1267=1,SUM($A$2:$A1267),"")</f>
        <v/>
      </c>
      <c r="C1267">
        <f>IF($A1267=1,SUM($A$2:$A1267),0)</f>
        <v/>
      </c>
    </row>
    <row r="1268">
      <c r="A1268">
        <f>IF(AND(OR('Compliance Database'!$A1268='Data Transfer'!$B$4,'Compliance Database'!$A1268='Data Transfer'!$B$5),OR('Data Transfer'!$B$6="",ISNUMBER(SEARCH('Data Transfer'!$B$6,'Compliance Database'!$D1268&amp;" "&amp;'Compliance Database'!$K1268&amp;" "&amp;'Compliance Database'!$L1268&amp;" "&amp;'Compliance Database'!$M1268&amp;" "&amp;'Compliance Database'!$N1268)))),1,0)</f>
        <v/>
      </c>
      <c r="B1268">
        <f>IF($A1268=1,SUM($A$2:$A1268),"")</f>
        <v/>
      </c>
      <c r="C1268">
        <f>IF($A1268=1,SUM($A$2:$A1268),0)</f>
        <v/>
      </c>
    </row>
    <row r="1269">
      <c r="A1269">
        <f>IF(AND(OR('Compliance Database'!$A1269='Data Transfer'!$B$4,'Compliance Database'!$A1269='Data Transfer'!$B$5),OR('Data Transfer'!$B$6="",ISNUMBER(SEARCH('Data Transfer'!$B$6,'Compliance Database'!$D1269&amp;" "&amp;'Compliance Database'!$K1269&amp;" "&amp;'Compliance Database'!$L1269&amp;" "&amp;'Compliance Database'!$M1269&amp;" "&amp;'Compliance Database'!$N1269)))),1,0)</f>
        <v/>
      </c>
      <c r="B1269">
        <f>IF($A1269=1,SUM($A$2:$A1269),"")</f>
        <v/>
      </c>
      <c r="C1269">
        <f>IF($A1269=1,SUM($A$2:$A1269),0)</f>
        <v/>
      </c>
    </row>
    <row r="1270">
      <c r="A1270">
        <f>IF(AND(OR('Compliance Database'!$A1270='Data Transfer'!$B$4,'Compliance Database'!$A1270='Data Transfer'!$B$5),OR('Data Transfer'!$B$6="",ISNUMBER(SEARCH('Data Transfer'!$B$6,'Compliance Database'!$D1270&amp;" "&amp;'Compliance Database'!$K1270&amp;" "&amp;'Compliance Database'!$L1270&amp;" "&amp;'Compliance Database'!$M1270&amp;" "&amp;'Compliance Database'!$N1270)))),1,0)</f>
        <v/>
      </c>
      <c r="B1270">
        <f>IF($A1270=1,SUM($A$2:$A1270),"")</f>
        <v/>
      </c>
      <c r="C1270">
        <f>IF($A1270=1,SUM($A$2:$A1270),0)</f>
        <v/>
      </c>
    </row>
    <row r="1271">
      <c r="A1271">
        <f>IF(AND(OR('Compliance Database'!$A1271='Data Transfer'!$B$4,'Compliance Database'!$A1271='Data Transfer'!$B$5),OR('Data Transfer'!$B$6="",ISNUMBER(SEARCH('Data Transfer'!$B$6,'Compliance Database'!$D1271&amp;" "&amp;'Compliance Database'!$K1271&amp;" "&amp;'Compliance Database'!$L1271&amp;" "&amp;'Compliance Database'!$M1271&amp;" "&amp;'Compliance Database'!$N1271)))),1,0)</f>
        <v/>
      </c>
      <c r="B1271">
        <f>IF($A1271=1,SUM($A$2:$A1271),"")</f>
        <v/>
      </c>
      <c r="C1271">
        <f>IF($A1271=1,SUM($A$2:$A1271),0)</f>
        <v/>
      </c>
    </row>
    <row r="1272">
      <c r="A1272">
        <f>IF(AND(OR('Compliance Database'!$A1272='Data Transfer'!$B$4,'Compliance Database'!$A1272='Data Transfer'!$B$5),OR('Data Transfer'!$B$6="",ISNUMBER(SEARCH('Data Transfer'!$B$6,'Compliance Database'!$D1272&amp;" "&amp;'Compliance Database'!$K1272&amp;" "&amp;'Compliance Database'!$L1272&amp;" "&amp;'Compliance Database'!$M1272&amp;" "&amp;'Compliance Database'!$N1272)))),1,0)</f>
        <v/>
      </c>
      <c r="B1272">
        <f>IF($A1272=1,SUM($A$2:$A1272),"")</f>
        <v/>
      </c>
      <c r="C1272">
        <f>IF($A1272=1,SUM($A$2:$A1272),0)</f>
        <v/>
      </c>
    </row>
    <row r="1273">
      <c r="A1273">
        <f>IF(AND(OR('Compliance Database'!$A1273='Data Transfer'!$B$4,'Compliance Database'!$A1273='Data Transfer'!$B$5),OR('Data Transfer'!$B$6="",ISNUMBER(SEARCH('Data Transfer'!$B$6,'Compliance Database'!$D1273&amp;" "&amp;'Compliance Database'!$K1273&amp;" "&amp;'Compliance Database'!$L1273&amp;" "&amp;'Compliance Database'!$M1273&amp;" "&amp;'Compliance Database'!$N1273)))),1,0)</f>
        <v/>
      </c>
      <c r="B1273">
        <f>IF($A1273=1,SUM($A$2:$A1273),"")</f>
        <v/>
      </c>
      <c r="C1273">
        <f>IF($A1273=1,SUM($A$2:$A1273),0)</f>
        <v/>
      </c>
    </row>
    <row r="1274">
      <c r="A1274">
        <f>IF(AND(OR('Compliance Database'!$A1274='Data Transfer'!$B$4,'Compliance Database'!$A1274='Data Transfer'!$B$5),OR('Data Transfer'!$B$6="",ISNUMBER(SEARCH('Data Transfer'!$B$6,'Compliance Database'!$D1274&amp;" "&amp;'Compliance Database'!$K1274&amp;" "&amp;'Compliance Database'!$L1274&amp;" "&amp;'Compliance Database'!$M1274&amp;" "&amp;'Compliance Database'!$N1274)))),1,0)</f>
        <v/>
      </c>
      <c r="B1274">
        <f>IF($A1274=1,SUM($A$2:$A1274),"")</f>
        <v/>
      </c>
      <c r="C1274">
        <f>IF($A1274=1,SUM($A$2:$A1274),0)</f>
        <v/>
      </c>
    </row>
    <row r="1275">
      <c r="A1275">
        <f>IF(AND(OR('Compliance Database'!$A1275='Data Transfer'!$B$4,'Compliance Database'!$A1275='Data Transfer'!$B$5),OR('Data Transfer'!$B$6="",ISNUMBER(SEARCH('Data Transfer'!$B$6,'Compliance Database'!$D1275&amp;" "&amp;'Compliance Database'!$K1275&amp;" "&amp;'Compliance Database'!$L1275&amp;" "&amp;'Compliance Database'!$M1275&amp;" "&amp;'Compliance Database'!$N1275)))),1,0)</f>
        <v/>
      </c>
      <c r="B1275">
        <f>IF($A1275=1,SUM($A$2:$A1275),"")</f>
        <v/>
      </c>
      <c r="C1275">
        <f>IF($A1275=1,SUM($A$2:$A1275),0)</f>
        <v/>
      </c>
    </row>
    <row r="1276">
      <c r="A1276">
        <f>IF(AND(OR('Compliance Database'!$A1276='Data Transfer'!$B$4,'Compliance Database'!$A1276='Data Transfer'!$B$5),OR('Data Transfer'!$B$6="",ISNUMBER(SEARCH('Data Transfer'!$B$6,'Compliance Database'!$D1276&amp;" "&amp;'Compliance Database'!$K1276&amp;" "&amp;'Compliance Database'!$L1276&amp;" "&amp;'Compliance Database'!$M1276&amp;" "&amp;'Compliance Database'!$N1276)))),1,0)</f>
        <v/>
      </c>
      <c r="B1276">
        <f>IF($A1276=1,SUM($A$2:$A1276),"")</f>
        <v/>
      </c>
      <c r="C1276">
        <f>IF($A1276=1,SUM($A$2:$A1276),0)</f>
        <v/>
      </c>
    </row>
    <row r="1277">
      <c r="A1277">
        <f>IF(AND(OR('Compliance Database'!$A1277='Data Transfer'!$B$4,'Compliance Database'!$A1277='Data Transfer'!$B$5),OR('Data Transfer'!$B$6="",ISNUMBER(SEARCH('Data Transfer'!$B$6,'Compliance Database'!$D1277&amp;" "&amp;'Compliance Database'!$K1277&amp;" "&amp;'Compliance Database'!$L1277&amp;" "&amp;'Compliance Database'!$M1277&amp;" "&amp;'Compliance Database'!$N1277)))),1,0)</f>
        <v/>
      </c>
      <c r="B1277">
        <f>IF($A1277=1,SUM($A$2:$A1277),"")</f>
        <v/>
      </c>
      <c r="C1277">
        <f>IF($A1277=1,SUM($A$2:$A1277),0)</f>
        <v/>
      </c>
    </row>
    <row r="1278">
      <c r="A1278">
        <f>IF(AND(OR('Compliance Database'!$A1278='Data Transfer'!$B$4,'Compliance Database'!$A1278='Data Transfer'!$B$5),OR('Data Transfer'!$B$6="",ISNUMBER(SEARCH('Data Transfer'!$B$6,'Compliance Database'!$D1278&amp;" "&amp;'Compliance Database'!$K1278&amp;" "&amp;'Compliance Database'!$L1278&amp;" "&amp;'Compliance Database'!$M1278&amp;" "&amp;'Compliance Database'!$N1278)))),1,0)</f>
        <v/>
      </c>
      <c r="B1278">
        <f>IF($A1278=1,SUM($A$2:$A1278),"")</f>
        <v/>
      </c>
      <c r="C1278">
        <f>IF($A1278=1,SUM($A$2:$A1278),0)</f>
        <v/>
      </c>
    </row>
    <row r="1279">
      <c r="A1279">
        <f>IF(AND(OR('Compliance Database'!$A1279='Data Transfer'!$B$4,'Compliance Database'!$A1279='Data Transfer'!$B$5),OR('Data Transfer'!$B$6="",ISNUMBER(SEARCH('Data Transfer'!$B$6,'Compliance Database'!$D1279&amp;" "&amp;'Compliance Database'!$K1279&amp;" "&amp;'Compliance Database'!$L1279&amp;" "&amp;'Compliance Database'!$M1279&amp;" "&amp;'Compliance Database'!$N1279)))),1,0)</f>
        <v/>
      </c>
      <c r="B1279">
        <f>IF($A1279=1,SUM($A$2:$A1279),"")</f>
        <v/>
      </c>
      <c r="C1279">
        <f>IF($A1279=1,SUM($A$2:$A1279),0)</f>
        <v/>
      </c>
    </row>
    <row r="1280">
      <c r="A1280">
        <f>IF(AND(OR('Compliance Database'!$A1280='Data Transfer'!$B$4,'Compliance Database'!$A1280='Data Transfer'!$B$5),OR('Data Transfer'!$B$6="",ISNUMBER(SEARCH('Data Transfer'!$B$6,'Compliance Database'!$D1280&amp;" "&amp;'Compliance Database'!$K1280&amp;" "&amp;'Compliance Database'!$L1280&amp;" "&amp;'Compliance Database'!$M1280&amp;" "&amp;'Compliance Database'!$N1280)))),1,0)</f>
        <v/>
      </c>
      <c r="B1280">
        <f>IF($A1280=1,SUM($A$2:$A1280),"")</f>
        <v/>
      </c>
      <c r="C1280">
        <f>IF($A1280=1,SUM($A$2:$A1280),0)</f>
        <v/>
      </c>
    </row>
    <row r="1281">
      <c r="A1281">
        <f>IF(AND(OR('Compliance Database'!$A1281='Data Transfer'!$B$4,'Compliance Database'!$A1281='Data Transfer'!$B$5),OR('Data Transfer'!$B$6="",ISNUMBER(SEARCH('Data Transfer'!$B$6,'Compliance Database'!$D1281&amp;" "&amp;'Compliance Database'!$K1281&amp;" "&amp;'Compliance Database'!$L1281&amp;" "&amp;'Compliance Database'!$M1281&amp;" "&amp;'Compliance Database'!$N1281)))),1,0)</f>
        <v/>
      </c>
      <c r="B1281">
        <f>IF($A1281=1,SUM($A$2:$A1281),"")</f>
        <v/>
      </c>
      <c r="C1281">
        <f>IF($A1281=1,SUM($A$2:$A1281),0)</f>
        <v/>
      </c>
    </row>
    <row r="1282">
      <c r="A1282">
        <f>IF(AND(OR('Compliance Database'!$A1282='Data Transfer'!$B$4,'Compliance Database'!$A1282='Data Transfer'!$B$5),OR('Data Transfer'!$B$6="",ISNUMBER(SEARCH('Data Transfer'!$B$6,'Compliance Database'!$D1282&amp;" "&amp;'Compliance Database'!$K1282&amp;" "&amp;'Compliance Database'!$L1282&amp;" "&amp;'Compliance Database'!$M1282&amp;" "&amp;'Compliance Database'!$N1282)))),1,0)</f>
        <v/>
      </c>
      <c r="B1282">
        <f>IF($A1282=1,SUM($A$2:$A1282),"")</f>
        <v/>
      </c>
      <c r="C1282">
        <f>IF($A1282=1,SUM($A$2:$A1282),0)</f>
        <v/>
      </c>
    </row>
    <row r="1283">
      <c r="A1283">
        <f>IF(AND(OR('Compliance Database'!$A1283='Data Transfer'!$B$4,'Compliance Database'!$A1283='Data Transfer'!$B$5),OR('Data Transfer'!$B$6="",ISNUMBER(SEARCH('Data Transfer'!$B$6,'Compliance Database'!$D1283&amp;" "&amp;'Compliance Database'!$K1283&amp;" "&amp;'Compliance Database'!$L1283&amp;" "&amp;'Compliance Database'!$M1283&amp;" "&amp;'Compliance Database'!$N1283)))),1,0)</f>
        <v/>
      </c>
      <c r="B1283">
        <f>IF($A1283=1,SUM($A$2:$A1283),"")</f>
        <v/>
      </c>
      <c r="C1283">
        <f>IF($A1283=1,SUM($A$2:$A1283),0)</f>
        <v/>
      </c>
    </row>
    <row r="1284">
      <c r="A1284">
        <f>IF(AND(OR('Compliance Database'!$A1284='Data Transfer'!$B$4,'Compliance Database'!$A1284='Data Transfer'!$B$5),OR('Data Transfer'!$B$6="",ISNUMBER(SEARCH('Data Transfer'!$B$6,'Compliance Database'!$D1284&amp;" "&amp;'Compliance Database'!$K1284&amp;" "&amp;'Compliance Database'!$L1284&amp;" "&amp;'Compliance Database'!$M1284&amp;" "&amp;'Compliance Database'!$N1284)))),1,0)</f>
        <v/>
      </c>
      <c r="B1284">
        <f>IF($A1284=1,SUM($A$2:$A1284),"")</f>
        <v/>
      </c>
      <c r="C1284">
        <f>IF($A1284=1,SUM($A$2:$A1284),0)</f>
        <v/>
      </c>
    </row>
    <row r="1285">
      <c r="A1285">
        <f>IF(AND(OR('Compliance Database'!$A1285='Data Transfer'!$B$4,'Compliance Database'!$A1285='Data Transfer'!$B$5),OR('Data Transfer'!$B$6="",ISNUMBER(SEARCH('Data Transfer'!$B$6,'Compliance Database'!$D1285&amp;" "&amp;'Compliance Database'!$K1285&amp;" "&amp;'Compliance Database'!$L1285&amp;" "&amp;'Compliance Database'!$M1285&amp;" "&amp;'Compliance Database'!$N1285)))),1,0)</f>
        <v/>
      </c>
      <c r="B1285">
        <f>IF($A1285=1,SUM($A$2:$A1285),"")</f>
        <v/>
      </c>
      <c r="C1285">
        <f>IF($A1285=1,SUM($A$2:$A1285),0)</f>
        <v/>
      </c>
    </row>
    <row r="1286">
      <c r="A1286">
        <f>IF(AND(OR('Compliance Database'!$A1286='Data Transfer'!$B$4,'Compliance Database'!$A1286='Data Transfer'!$B$5),OR('Data Transfer'!$B$6="",ISNUMBER(SEARCH('Data Transfer'!$B$6,'Compliance Database'!$D1286&amp;" "&amp;'Compliance Database'!$K1286&amp;" "&amp;'Compliance Database'!$L1286&amp;" "&amp;'Compliance Database'!$M1286&amp;" "&amp;'Compliance Database'!$N1286)))),1,0)</f>
        <v/>
      </c>
      <c r="B1286">
        <f>IF($A1286=1,SUM($A$2:$A1286),"")</f>
        <v/>
      </c>
      <c r="C1286">
        <f>IF($A1286=1,SUM($A$2:$A1286),0)</f>
        <v/>
      </c>
    </row>
    <row r="1287">
      <c r="A1287">
        <f>IF(AND(OR('Compliance Database'!$A1287='Data Transfer'!$B$4,'Compliance Database'!$A1287='Data Transfer'!$B$5),OR('Data Transfer'!$B$6="",ISNUMBER(SEARCH('Data Transfer'!$B$6,'Compliance Database'!$D1287&amp;" "&amp;'Compliance Database'!$K1287&amp;" "&amp;'Compliance Database'!$L1287&amp;" "&amp;'Compliance Database'!$M1287&amp;" "&amp;'Compliance Database'!$N1287)))),1,0)</f>
        <v/>
      </c>
      <c r="B1287">
        <f>IF($A1287=1,SUM($A$2:$A1287),"")</f>
        <v/>
      </c>
      <c r="C1287">
        <f>IF($A1287=1,SUM($A$2:$A1287),0)</f>
        <v/>
      </c>
    </row>
    <row r="1288">
      <c r="A1288">
        <f>IF(AND(OR('Compliance Database'!$A1288='Data Transfer'!$B$4,'Compliance Database'!$A1288='Data Transfer'!$B$5),OR('Data Transfer'!$B$6="",ISNUMBER(SEARCH('Data Transfer'!$B$6,'Compliance Database'!$D1288&amp;" "&amp;'Compliance Database'!$K1288&amp;" "&amp;'Compliance Database'!$L1288&amp;" "&amp;'Compliance Database'!$M1288&amp;" "&amp;'Compliance Database'!$N1288)))),1,0)</f>
        <v/>
      </c>
      <c r="B1288">
        <f>IF($A1288=1,SUM($A$2:$A1288),"")</f>
        <v/>
      </c>
      <c r="C1288">
        <f>IF($A1288=1,SUM($A$2:$A1288),0)</f>
        <v/>
      </c>
    </row>
    <row r="1289">
      <c r="A1289">
        <f>IF(AND(OR('Compliance Database'!$A1289='Data Transfer'!$B$4,'Compliance Database'!$A1289='Data Transfer'!$B$5),OR('Data Transfer'!$B$6="",ISNUMBER(SEARCH('Data Transfer'!$B$6,'Compliance Database'!$D1289&amp;" "&amp;'Compliance Database'!$K1289&amp;" "&amp;'Compliance Database'!$L1289&amp;" "&amp;'Compliance Database'!$M1289&amp;" "&amp;'Compliance Database'!$N1289)))),1,0)</f>
        <v/>
      </c>
      <c r="B1289">
        <f>IF($A1289=1,SUM($A$2:$A1289),"")</f>
        <v/>
      </c>
      <c r="C1289">
        <f>IF($A1289=1,SUM($A$2:$A1289),0)</f>
        <v/>
      </c>
    </row>
    <row r="1290">
      <c r="A1290">
        <f>IF(AND(OR('Compliance Database'!$A1290='Data Transfer'!$B$4,'Compliance Database'!$A1290='Data Transfer'!$B$5),OR('Data Transfer'!$B$6="",ISNUMBER(SEARCH('Data Transfer'!$B$6,'Compliance Database'!$D1290&amp;" "&amp;'Compliance Database'!$K1290&amp;" "&amp;'Compliance Database'!$L1290&amp;" "&amp;'Compliance Database'!$M1290&amp;" "&amp;'Compliance Database'!$N1290)))),1,0)</f>
        <v/>
      </c>
      <c r="B1290">
        <f>IF($A1290=1,SUM($A$2:$A1290),"")</f>
        <v/>
      </c>
      <c r="C1290">
        <f>IF($A1290=1,SUM($A$2:$A1290),0)</f>
        <v/>
      </c>
    </row>
    <row r="1291">
      <c r="A1291">
        <f>IF(AND(OR('Compliance Database'!$A1291='Data Transfer'!$B$4,'Compliance Database'!$A1291='Data Transfer'!$B$5),OR('Data Transfer'!$B$6="",ISNUMBER(SEARCH('Data Transfer'!$B$6,'Compliance Database'!$D1291&amp;" "&amp;'Compliance Database'!$K1291&amp;" "&amp;'Compliance Database'!$L1291&amp;" "&amp;'Compliance Database'!$M1291&amp;" "&amp;'Compliance Database'!$N1291)))),1,0)</f>
        <v/>
      </c>
      <c r="B1291">
        <f>IF($A1291=1,SUM($A$2:$A1291),"")</f>
        <v/>
      </c>
      <c r="C1291">
        <f>IF($A1291=1,SUM($A$2:$A1291),0)</f>
        <v/>
      </c>
    </row>
    <row r="1292">
      <c r="A1292">
        <f>IF(AND(OR('Compliance Database'!$A1292='Data Transfer'!$B$4,'Compliance Database'!$A1292='Data Transfer'!$B$5),OR('Data Transfer'!$B$6="",ISNUMBER(SEARCH('Data Transfer'!$B$6,'Compliance Database'!$D1292&amp;" "&amp;'Compliance Database'!$K1292&amp;" "&amp;'Compliance Database'!$L1292&amp;" "&amp;'Compliance Database'!$M1292&amp;" "&amp;'Compliance Database'!$N1292)))),1,0)</f>
        <v/>
      </c>
      <c r="B1292">
        <f>IF($A1292=1,SUM($A$2:$A1292),"")</f>
        <v/>
      </c>
      <c r="C1292">
        <f>IF($A1292=1,SUM($A$2:$A1292),0)</f>
        <v/>
      </c>
    </row>
    <row r="1293">
      <c r="A1293">
        <f>IF(AND(OR('Compliance Database'!$A1293='Data Transfer'!$B$4,'Compliance Database'!$A1293='Data Transfer'!$B$5),OR('Data Transfer'!$B$6="",ISNUMBER(SEARCH('Data Transfer'!$B$6,'Compliance Database'!$D1293&amp;" "&amp;'Compliance Database'!$K1293&amp;" "&amp;'Compliance Database'!$L1293&amp;" "&amp;'Compliance Database'!$M1293&amp;" "&amp;'Compliance Database'!$N1293)))),1,0)</f>
        <v/>
      </c>
      <c r="B1293">
        <f>IF($A1293=1,SUM($A$2:$A1293),"")</f>
        <v/>
      </c>
      <c r="C1293">
        <f>IF($A1293=1,SUM($A$2:$A1293),0)</f>
        <v/>
      </c>
    </row>
    <row r="1294">
      <c r="A1294">
        <f>IF(AND(OR('Compliance Database'!$A1294='Data Transfer'!$B$4,'Compliance Database'!$A1294='Data Transfer'!$B$5),OR('Data Transfer'!$B$6="",ISNUMBER(SEARCH('Data Transfer'!$B$6,'Compliance Database'!$D1294&amp;" "&amp;'Compliance Database'!$K1294&amp;" "&amp;'Compliance Database'!$L1294&amp;" "&amp;'Compliance Database'!$M1294&amp;" "&amp;'Compliance Database'!$N1294)))),1,0)</f>
        <v/>
      </c>
      <c r="B1294">
        <f>IF($A1294=1,SUM($A$2:$A1294),"")</f>
        <v/>
      </c>
      <c r="C1294">
        <f>IF($A1294=1,SUM($A$2:$A1294),0)</f>
        <v/>
      </c>
    </row>
    <row r="1295">
      <c r="A1295">
        <f>IF(AND(OR('Compliance Database'!$A1295='Data Transfer'!$B$4,'Compliance Database'!$A1295='Data Transfer'!$B$5),OR('Data Transfer'!$B$6="",ISNUMBER(SEARCH('Data Transfer'!$B$6,'Compliance Database'!$D1295&amp;" "&amp;'Compliance Database'!$K1295&amp;" "&amp;'Compliance Database'!$L1295&amp;" "&amp;'Compliance Database'!$M1295&amp;" "&amp;'Compliance Database'!$N1295)))),1,0)</f>
        <v/>
      </c>
      <c r="B1295">
        <f>IF($A1295=1,SUM($A$2:$A1295),"")</f>
        <v/>
      </c>
      <c r="C1295">
        <f>IF($A1295=1,SUM($A$2:$A1295),0)</f>
        <v/>
      </c>
    </row>
    <row r="1296">
      <c r="A1296">
        <f>IF(AND(OR('Compliance Database'!$A1296='Data Transfer'!$B$4,'Compliance Database'!$A1296='Data Transfer'!$B$5),OR('Data Transfer'!$B$6="",ISNUMBER(SEARCH('Data Transfer'!$B$6,'Compliance Database'!$D1296&amp;" "&amp;'Compliance Database'!$K1296&amp;" "&amp;'Compliance Database'!$L1296&amp;" "&amp;'Compliance Database'!$M1296&amp;" "&amp;'Compliance Database'!$N1296)))),1,0)</f>
        <v/>
      </c>
      <c r="B1296">
        <f>IF($A1296=1,SUM($A$2:$A1296),"")</f>
        <v/>
      </c>
      <c r="C1296">
        <f>IF($A1296=1,SUM($A$2:$A1296),0)</f>
        <v/>
      </c>
    </row>
    <row r="1297">
      <c r="A1297">
        <f>IF(AND(OR('Compliance Database'!$A1297='Data Transfer'!$B$4,'Compliance Database'!$A1297='Data Transfer'!$B$5),OR('Data Transfer'!$B$6="",ISNUMBER(SEARCH('Data Transfer'!$B$6,'Compliance Database'!$D1297&amp;" "&amp;'Compliance Database'!$K1297&amp;" "&amp;'Compliance Database'!$L1297&amp;" "&amp;'Compliance Database'!$M1297&amp;" "&amp;'Compliance Database'!$N1297)))),1,0)</f>
        <v/>
      </c>
      <c r="B1297">
        <f>IF($A1297=1,SUM($A$2:$A1297),"")</f>
        <v/>
      </c>
      <c r="C1297">
        <f>IF($A1297=1,SUM($A$2:$A1297),0)</f>
        <v/>
      </c>
    </row>
    <row r="1298">
      <c r="A1298">
        <f>IF(AND(OR('Compliance Database'!$A1298='Data Transfer'!$B$4,'Compliance Database'!$A1298='Data Transfer'!$B$5),OR('Data Transfer'!$B$6="",ISNUMBER(SEARCH('Data Transfer'!$B$6,'Compliance Database'!$D1298&amp;" "&amp;'Compliance Database'!$K1298&amp;" "&amp;'Compliance Database'!$L1298&amp;" "&amp;'Compliance Database'!$M1298&amp;" "&amp;'Compliance Database'!$N1298)))),1,0)</f>
        <v/>
      </c>
      <c r="B1298">
        <f>IF($A1298=1,SUM($A$2:$A1298),"")</f>
        <v/>
      </c>
      <c r="C1298">
        <f>IF($A1298=1,SUM($A$2:$A1298),0)</f>
        <v/>
      </c>
    </row>
    <row r="1299">
      <c r="A1299">
        <f>IF(AND(OR('Compliance Database'!$A1299='Data Transfer'!$B$4,'Compliance Database'!$A1299='Data Transfer'!$B$5),OR('Data Transfer'!$B$6="",ISNUMBER(SEARCH('Data Transfer'!$B$6,'Compliance Database'!$D1299&amp;" "&amp;'Compliance Database'!$K1299&amp;" "&amp;'Compliance Database'!$L1299&amp;" "&amp;'Compliance Database'!$M1299&amp;" "&amp;'Compliance Database'!$N1299)))),1,0)</f>
        <v/>
      </c>
      <c r="B1299">
        <f>IF($A1299=1,SUM($A$2:$A1299),"")</f>
        <v/>
      </c>
      <c r="C1299">
        <f>IF($A1299=1,SUM($A$2:$A1299),0)</f>
        <v/>
      </c>
    </row>
    <row r="1300">
      <c r="A1300">
        <f>IF(AND(OR('Compliance Database'!$A1300='Data Transfer'!$B$4,'Compliance Database'!$A1300='Data Transfer'!$B$5),OR('Data Transfer'!$B$6="",ISNUMBER(SEARCH('Data Transfer'!$B$6,'Compliance Database'!$D1300&amp;" "&amp;'Compliance Database'!$K1300&amp;" "&amp;'Compliance Database'!$L1300&amp;" "&amp;'Compliance Database'!$M1300&amp;" "&amp;'Compliance Database'!$N1300)))),1,0)</f>
        <v/>
      </c>
      <c r="B1300">
        <f>IF($A1300=1,SUM($A$2:$A1300),"")</f>
        <v/>
      </c>
      <c r="C1300">
        <f>IF($A1300=1,SUM($A$2:$A1300),0)</f>
        <v/>
      </c>
    </row>
    <row r="1301">
      <c r="A1301">
        <f>IF(AND(OR('Compliance Database'!$A1301='Data Transfer'!$B$4,'Compliance Database'!$A1301='Data Transfer'!$B$5),OR('Data Transfer'!$B$6="",ISNUMBER(SEARCH('Data Transfer'!$B$6,'Compliance Database'!$D1301&amp;" "&amp;'Compliance Database'!$K1301&amp;" "&amp;'Compliance Database'!$L1301&amp;" "&amp;'Compliance Database'!$M1301&amp;" "&amp;'Compliance Database'!$N1301)))),1,0)</f>
        <v/>
      </c>
      <c r="B1301">
        <f>IF($A1301=1,SUM($A$2:$A1301),"")</f>
        <v/>
      </c>
      <c r="C1301">
        <f>IF($A1301=1,SUM($A$2:$A1301),0)</f>
        <v/>
      </c>
    </row>
    <row r="1302">
      <c r="A1302">
        <f>IF(AND(OR('Compliance Database'!$A1302='Data Transfer'!$B$4,'Compliance Database'!$A1302='Data Transfer'!$B$5),OR('Data Transfer'!$B$6="",ISNUMBER(SEARCH('Data Transfer'!$B$6,'Compliance Database'!$D1302&amp;" "&amp;'Compliance Database'!$K1302&amp;" "&amp;'Compliance Database'!$L1302&amp;" "&amp;'Compliance Database'!$M1302&amp;" "&amp;'Compliance Database'!$N1302)))),1,0)</f>
        <v/>
      </c>
      <c r="B1302">
        <f>IF($A1302=1,SUM($A$2:$A1302),"")</f>
        <v/>
      </c>
      <c r="C1302">
        <f>IF($A1302=1,SUM($A$2:$A1302),0)</f>
        <v/>
      </c>
    </row>
    <row r="1303">
      <c r="A1303">
        <f>IF(AND(OR('Compliance Database'!$A1303='Data Transfer'!$B$4,'Compliance Database'!$A1303='Data Transfer'!$B$5),OR('Data Transfer'!$B$6="",ISNUMBER(SEARCH('Data Transfer'!$B$6,'Compliance Database'!$D1303&amp;" "&amp;'Compliance Database'!$K1303&amp;" "&amp;'Compliance Database'!$L1303&amp;" "&amp;'Compliance Database'!$M1303&amp;" "&amp;'Compliance Database'!$N1303)))),1,0)</f>
        <v/>
      </c>
      <c r="B1303">
        <f>IF($A1303=1,SUM($A$2:$A1303),"")</f>
        <v/>
      </c>
      <c r="C1303">
        <f>IF($A1303=1,SUM($A$2:$A1303),0)</f>
        <v/>
      </c>
    </row>
    <row r="1304">
      <c r="A1304">
        <f>IF(AND(OR('Compliance Database'!$A1304='Data Transfer'!$B$4,'Compliance Database'!$A1304='Data Transfer'!$B$5),OR('Data Transfer'!$B$6="",ISNUMBER(SEARCH('Data Transfer'!$B$6,'Compliance Database'!$D1304&amp;" "&amp;'Compliance Database'!$K1304&amp;" "&amp;'Compliance Database'!$L1304&amp;" "&amp;'Compliance Database'!$M1304&amp;" "&amp;'Compliance Database'!$N1304)))),1,0)</f>
        <v/>
      </c>
      <c r="B1304">
        <f>IF($A1304=1,SUM($A$2:$A1304),"")</f>
        <v/>
      </c>
      <c r="C1304">
        <f>IF($A1304=1,SUM($A$2:$A1304),0)</f>
        <v/>
      </c>
    </row>
    <row r="1305">
      <c r="A1305">
        <f>IF(AND(OR('Compliance Database'!$A1305='Data Transfer'!$B$4,'Compliance Database'!$A1305='Data Transfer'!$B$5),OR('Data Transfer'!$B$6="",ISNUMBER(SEARCH('Data Transfer'!$B$6,'Compliance Database'!$D1305&amp;" "&amp;'Compliance Database'!$K1305&amp;" "&amp;'Compliance Database'!$L1305&amp;" "&amp;'Compliance Database'!$M1305&amp;" "&amp;'Compliance Database'!$N1305)))),1,0)</f>
        <v/>
      </c>
      <c r="B1305">
        <f>IF($A1305=1,SUM($A$2:$A1305),"")</f>
        <v/>
      </c>
      <c r="C1305">
        <f>IF($A1305=1,SUM($A$2:$A1305),0)</f>
        <v/>
      </c>
    </row>
    <row r="1306">
      <c r="A1306">
        <f>IF(AND(OR('Compliance Database'!$A1306='Data Transfer'!$B$4,'Compliance Database'!$A1306='Data Transfer'!$B$5),OR('Data Transfer'!$B$6="",ISNUMBER(SEARCH('Data Transfer'!$B$6,'Compliance Database'!$D1306&amp;" "&amp;'Compliance Database'!$K1306&amp;" "&amp;'Compliance Database'!$L1306&amp;" "&amp;'Compliance Database'!$M1306&amp;" "&amp;'Compliance Database'!$N1306)))),1,0)</f>
        <v/>
      </c>
      <c r="B1306">
        <f>IF($A1306=1,SUM($A$2:$A1306),"")</f>
        <v/>
      </c>
      <c r="C1306">
        <f>IF($A1306=1,SUM($A$2:$A1306),0)</f>
        <v/>
      </c>
    </row>
    <row r="1307">
      <c r="A1307">
        <f>IF(AND(OR('Compliance Database'!$A1307='Data Transfer'!$B$4,'Compliance Database'!$A1307='Data Transfer'!$B$5),OR('Data Transfer'!$B$6="",ISNUMBER(SEARCH('Data Transfer'!$B$6,'Compliance Database'!$D1307&amp;" "&amp;'Compliance Database'!$K1307&amp;" "&amp;'Compliance Database'!$L1307&amp;" "&amp;'Compliance Database'!$M1307&amp;" "&amp;'Compliance Database'!$N1307)))),1,0)</f>
        <v/>
      </c>
      <c r="B1307">
        <f>IF($A1307=1,SUM($A$2:$A1307),"")</f>
        <v/>
      </c>
      <c r="C1307">
        <f>IF($A1307=1,SUM($A$2:$A1307),0)</f>
        <v/>
      </c>
    </row>
    <row r="1308">
      <c r="A1308">
        <f>IF(AND(OR('Compliance Database'!$A1308='Data Transfer'!$B$4,'Compliance Database'!$A1308='Data Transfer'!$B$5),OR('Data Transfer'!$B$6="",ISNUMBER(SEARCH('Data Transfer'!$B$6,'Compliance Database'!$D1308&amp;" "&amp;'Compliance Database'!$K1308&amp;" "&amp;'Compliance Database'!$L1308&amp;" "&amp;'Compliance Database'!$M1308&amp;" "&amp;'Compliance Database'!$N1308)))),1,0)</f>
        <v/>
      </c>
      <c r="B1308">
        <f>IF($A1308=1,SUM($A$2:$A1308),"")</f>
        <v/>
      </c>
      <c r="C1308">
        <f>IF($A1308=1,SUM($A$2:$A1308),0)</f>
        <v/>
      </c>
    </row>
    <row r="1309">
      <c r="A1309">
        <f>IF(AND(OR('Compliance Database'!$A1309='Data Transfer'!$B$4,'Compliance Database'!$A1309='Data Transfer'!$B$5),OR('Data Transfer'!$B$6="",ISNUMBER(SEARCH('Data Transfer'!$B$6,'Compliance Database'!$D1309&amp;" "&amp;'Compliance Database'!$K1309&amp;" "&amp;'Compliance Database'!$L1309&amp;" "&amp;'Compliance Database'!$M1309&amp;" "&amp;'Compliance Database'!$N1309)))),1,0)</f>
        <v/>
      </c>
      <c r="B1309">
        <f>IF($A1309=1,SUM($A$2:$A1309),"")</f>
        <v/>
      </c>
      <c r="C1309">
        <f>IF($A1309=1,SUM($A$2:$A1309),0)</f>
        <v/>
      </c>
    </row>
    <row r="1310">
      <c r="A1310">
        <f>IF(AND(OR('Compliance Database'!$A1310='Data Transfer'!$B$4,'Compliance Database'!$A1310='Data Transfer'!$B$5),OR('Data Transfer'!$B$6="",ISNUMBER(SEARCH('Data Transfer'!$B$6,'Compliance Database'!$D1310&amp;" "&amp;'Compliance Database'!$K1310&amp;" "&amp;'Compliance Database'!$L1310&amp;" "&amp;'Compliance Database'!$M1310&amp;" "&amp;'Compliance Database'!$N1310)))),1,0)</f>
        <v/>
      </c>
      <c r="B1310">
        <f>IF($A1310=1,SUM($A$2:$A1310),"")</f>
        <v/>
      </c>
      <c r="C1310">
        <f>IF($A1310=1,SUM($A$2:$A1310),0)</f>
        <v/>
      </c>
    </row>
    <row r="1311">
      <c r="A1311">
        <f>IF(AND(OR('Compliance Database'!$A1311='Data Transfer'!$B$4,'Compliance Database'!$A1311='Data Transfer'!$B$5),OR('Data Transfer'!$B$6="",ISNUMBER(SEARCH('Data Transfer'!$B$6,'Compliance Database'!$D1311&amp;" "&amp;'Compliance Database'!$K1311&amp;" "&amp;'Compliance Database'!$L1311&amp;" "&amp;'Compliance Database'!$M1311&amp;" "&amp;'Compliance Database'!$N1311)))),1,0)</f>
        <v/>
      </c>
      <c r="B1311">
        <f>IF($A1311=1,SUM($A$2:$A1311),"")</f>
        <v/>
      </c>
      <c r="C1311">
        <f>IF($A1311=1,SUM($A$2:$A1311),0)</f>
        <v/>
      </c>
    </row>
    <row r="1312">
      <c r="A1312">
        <f>IF(AND(OR('Compliance Database'!$A1312='Data Transfer'!$B$4,'Compliance Database'!$A1312='Data Transfer'!$B$5),OR('Data Transfer'!$B$6="",ISNUMBER(SEARCH('Data Transfer'!$B$6,'Compliance Database'!$D1312&amp;" "&amp;'Compliance Database'!$K1312&amp;" "&amp;'Compliance Database'!$L1312&amp;" "&amp;'Compliance Database'!$M1312&amp;" "&amp;'Compliance Database'!$N1312)))),1,0)</f>
        <v/>
      </c>
      <c r="B1312">
        <f>IF($A1312=1,SUM($A$2:$A1312),"")</f>
        <v/>
      </c>
      <c r="C1312">
        <f>IF($A1312=1,SUM($A$2:$A1312),0)</f>
        <v/>
      </c>
    </row>
    <row r="1313">
      <c r="A1313">
        <f>IF(AND(OR('Compliance Database'!$A1313='Data Transfer'!$B$4,'Compliance Database'!$A1313='Data Transfer'!$B$5),OR('Data Transfer'!$B$6="",ISNUMBER(SEARCH('Data Transfer'!$B$6,'Compliance Database'!$D1313&amp;" "&amp;'Compliance Database'!$K1313&amp;" "&amp;'Compliance Database'!$L1313&amp;" "&amp;'Compliance Database'!$M1313&amp;" "&amp;'Compliance Database'!$N1313)))),1,0)</f>
        <v/>
      </c>
      <c r="B1313">
        <f>IF($A1313=1,SUM($A$2:$A1313),"")</f>
        <v/>
      </c>
      <c r="C1313">
        <f>IF($A1313=1,SUM($A$2:$A1313),0)</f>
        <v/>
      </c>
    </row>
    <row r="1314">
      <c r="A1314">
        <f>IF(AND(OR('Compliance Database'!$A1314='Data Transfer'!$B$4,'Compliance Database'!$A1314='Data Transfer'!$B$5),OR('Data Transfer'!$B$6="",ISNUMBER(SEARCH('Data Transfer'!$B$6,'Compliance Database'!$D1314&amp;" "&amp;'Compliance Database'!$K1314&amp;" "&amp;'Compliance Database'!$L1314&amp;" "&amp;'Compliance Database'!$M1314&amp;" "&amp;'Compliance Database'!$N1314)))),1,0)</f>
        <v/>
      </c>
      <c r="B1314">
        <f>IF($A1314=1,SUM($A$2:$A1314),"")</f>
        <v/>
      </c>
      <c r="C1314">
        <f>IF($A1314=1,SUM($A$2:$A1314),0)</f>
        <v/>
      </c>
    </row>
    <row r="1315">
      <c r="A1315">
        <f>IF(AND(OR('Compliance Database'!$A1315='Data Transfer'!$B$4,'Compliance Database'!$A1315='Data Transfer'!$B$5),OR('Data Transfer'!$B$6="",ISNUMBER(SEARCH('Data Transfer'!$B$6,'Compliance Database'!$D1315&amp;" "&amp;'Compliance Database'!$K1315&amp;" "&amp;'Compliance Database'!$L1315&amp;" "&amp;'Compliance Database'!$M1315&amp;" "&amp;'Compliance Database'!$N1315)))),1,0)</f>
        <v/>
      </c>
      <c r="B1315">
        <f>IF($A1315=1,SUM($A$2:$A1315),"")</f>
        <v/>
      </c>
      <c r="C1315">
        <f>IF($A1315=1,SUM($A$2:$A1315),0)</f>
        <v/>
      </c>
    </row>
    <row r="1316">
      <c r="A1316">
        <f>IF(AND(OR('Compliance Database'!$A1316='Data Transfer'!$B$4,'Compliance Database'!$A1316='Data Transfer'!$B$5),OR('Data Transfer'!$B$6="",ISNUMBER(SEARCH('Data Transfer'!$B$6,'Compliance Database'!$D1316&amp;" "&amp;'Compliance Database'!$K1316&amp;" "&amp;'Compliance Database'!$L1316&amp;" "&amp;'Compliance Database'!$M1316&amp;" "&amp;'Compliance Database'!$N1316)))),1,0)</f>
        <v/>
      </c>
      <c r="B1316">
        <f>IF($A1316=1,SUM($A$2:$A1316),"")</f>
        <v/>
      </c>
      <c r="C1316">
        <f>IF($A1316=1,SUM($A$2:$A1316),0)</f>
        <v/>
      </c>
    </row>
    <row r="1317">
      <c r="A1317">
        <f>IF(AND(OR('Compliance Database'!$A1317='Data Transfer'!$B$4,'Compliance Database'!$A1317='Data Transfer'!$B$5),OR('Data Transfer'!$B$6="",ISNUMBER(SEARCH('Data Transfer'!$B$6,'Compliance Database'!$D1317&amp;" "&amp;'Compliance Database'!$K1317&amp;" "&amp;'Compliance Database'!$L1317&amp;" "&amp;'Compliance Database'!$M1317&amp;" "&amp;'Compliance Database'!$N1317)))),1,0)</f>
        <v/>
      </c>
      <c r="B1317">
        <f>IF($A1317=1,SUM($A$2:$A1317),"")</f>
        <v/>
      </c>
      <c r="C1317">
        <f>IF($A1317=1,SUM($A$2:$A1317),0)</f>
        <v/>
      </c>
    </row>
    <row r="1318">
      <c r="A1318">
        <f>IF(AND(OR('Compliance Database'!$A1318='Data Transfer'!$B$4,'Compliance Database'!$A1318='Data Transfer'!$B$5),OR('Data Transfer'!$B$6="",ISNUMBER(SEARCH('Data Transfer'!$B$6,'Compliance Database'!$D1318&amp;" "&amp;'Compliance Database'!$K1318&amp;" "&amp;'Compliance Database'!$L1318&amp;" "&amp;'Compliance Database'!$M1318&amp;" "&amp;'Compliance Database'!$N1318)))),1,0)</f>
        <v/>
      </c>
      <c r="B1318">
        <f>IF($A1318=1,SUM($A$2:$A1318),"")</f>
        <v/>
      </c>
      <c r="C1318">
        <f>IF($A1318=1,SUM($A$2:$A1318),0)</f>
        <v/>
      </c>
    </row>
    <row r="1319">
      <c r="A1319">
        <f>IF(AND(OR('Compliance Database'!$A1319='Data Transfer'!$B$4,'Compliance Database'!$A1319='Data Transfer'!$B$5),OR('Data Transfer'!$B$6="",ISNUMBER(SEARCH('Data Transfer'!$B$6,'Compliance Database'!$D1319&amp;" "&amp;'Compliance Database'!$K1319&amp;" "&amp;'Compliance Database'!$L1319&amp;" "&amp;'Compliance Database'!$M1319&amp;" "&amp;'Compliance Database'!$N1319)))),1,0)</f>
        <v/>
      </c>
      <c r="B1319">
        <f>IF($A1319=1,SUM($A$2:$A1319),"")</f>
        <v/>
      </c>
      <c r="C1319">
        <f>IF($A1319=1,SUM($A$2:$A1319),0)</f>
        <v/>
      </c>
    </row>
    <row r="1320">
      <c r="A1320">
        <f>IF(AND(OR('Compliance Database'!$A1320='Data Transfer'!$B$4,'Compliance Database'!$A1320='Data Transfer'!$B$5),OR('Data Transfer'!$B$6="",ISNUMBER(SEARCH('Data Transfer'!$B$6,'Compliance Database'!$D1320&amp;" "&amp;'Compliance Database'!$K1320&amp;" "&amp;'Compliance Database'!$L1320&amp;" "&amp;'Compliance Database'!$M1320&amp;" "&amp;'Compliance Database'!$N1320)))),1,0)</f>
        <v/>
      </c>
      <c r="B1320">
        <f>IF($A1320=1,SUM($A$2:$A1320),"")</f>
        <v/>
      </c>
      <c r="C1320">
        <f>IF($A1320=1,SUM($A$2:$A1320),0)</f>
        <v/>
      </c>
    </row>
    <row r="1321">
      <c r="A1321">
        <f>IF(AND(OR('Compliance Database'!$A1321='Data Transfer'!$B$4,'Compliance Database'!$A1321='Data Transfer'!$B$5),OR('Data Transfer'!$B$6="",ISNUMBER(SEARCH('Data Transfer'!$B$6,'Compliance Database'!$D1321&amp;" "&amp;'Compliance Database'!$K1321&amp;" "&amp;'Compliance Database'!$L1321&amp;" "&amp;'Compliance Database'!$M1321&amp;" "&amp;'Compliance Database'!$N1321)))),1,0)</f>
        <v/>
      </c>
      <c r="B1321">
        <f>IF($A1321=1,SUM($A$2:$A1321),"")</f>
        <v/>
      </c>
      <c r="C1321">
        <f>IF($A1321=1,SUM($A$2:$A1321),0)</f>
        <v/>
      </c>
    </row>
    <row r="1322">
      <c r="A1322">
        <f>IF(AND(OR('Compliance Database'!$A1322='Data Transfer'!$B$4,'Compliance Database'!$A1322='Data Transfer'!$B$5),OR('Data Transfer'!$B$6="",ISNUMBER(SEARCH('Data Transfer'!$B$6,'Compliance Database'!$D1322&amp;" "&amp;'Compliance Database'!$K1322&amp;" "&amp;'Compliance Database'!$L1322&amp;" "&amp;'Compliance Database'!$M1322&amp;" "&amp;'Compliance Database'!$N1322)))),1,0)</f>
        <v/>
      </c>
      <c r="B1322">
        <f>IF($A1322=1,SUM($A$2:$A1322),"")</f>
        <v/>
      </c>
      <c r="C1322">
        <f>IF($A1322=1,SUM($A$2:$A1322),0)</f>
        <v/>
      </c>
    </row>
    <row r="1323">
      <c r="A1323">
        <f>IF(AND(OR('Compliance Database'!$A1323='Data Transfer'!$B$4,'Compliance Database'!$A1323='Data Transfer'!$B$5),OR('Data Transfer'!$B$6="",ISNUMBER(SEARCH('Data Transfer'!$B$6,'Compliance Database'!$D1323&amp;" "&amp;'Compliance Database'!$K1323&amp;" "&amp;'Compliance Database'!$L1323&amp;" "&amp;'Compliance Database'!$M1323&amp;" "&amp;'Compliance Database'!$N1323)))),1,0)</f>
        <v/>
      </c>
      <c r="B1323">
        <f>IF($A1323=1,SUM($A$2:$A1323),"")</f>
        <v/>
      </c>
      <c r="C1323">
        <f>IF($A1323=1,SUM($A$2:$A1323),0)</f>
        <v/>
      </c>
    </row>
    <row r="1324">
      <c r="A1324">
        <f>IF(AND(OR('Compliance Database'!$A1324='Data Transfer'!$B$4,'Compliance Database'!$A1324='Data Transfer'!$B$5),OR('Data Transfer'!$B$6="",ISNUMBER(SEARCH('Data Transfer'!$B$6,'Compliance Database'!$D1324&amp;" "&amp;'Compliance Database'!$K1324&amp;" "&amp;'Compliance Database'!$L1324&amp;" "&amp;'Compliance Database'!$M1324&amp;" "&amp;'Compliance Database'!$N1324)))),1,0)</f>
        <v/>
      </c>
      <c r="B1324">
        <f>IF($A1324=1,SUM($A$2:$A1324),"")</f>
        <v/>
      </c>
      <c r="C1324">
        <f>IF($A1324=1,SUM($A$2:$A1324),0)</f>
        <v/>
      </c>
    </row>
    <row r="1325">
      <c r="A1325">
        <f>IF(AND(OR('Compliance Database'!$A1325='Data Transfer'!$B$4,'Compliance Database'!$A1325='Data Transfer'!$B$5),OR('Data Transfer'!$B$6="",ISNUMBER(SEARCH('Data Transfer'!$B$6,'Compliance Database'!$D1325&amp;" "&amp;'Compliance Database'!$K1325&amp;" "&amp;'Compliance Database'!$L1325&amp;" "&amp;'Compliance Database'!$M1325&amp;" "&amp;'Compliance Database'!$N1325)))),1,0)</f>
        <v/>
      </c>
      <c r="B1325">
        <f>IF($A1325=1,SUM($A$2:$A1325),"")</f>
        <v/>
      </c>
      <c r="C1325">
        <f>IF($A1325=1,SUM($A$2:$A1325),0)</f>
        <v/>
      </c>
    </row>
    <row r="1326">
      <c r="A1326">
        <f>IF(AND(OR('Compliance Database'!$A1326='Data Transfer'!$B$4,'Compliance Database'!$A1326='Data Transfer'!$B$5),OR('Data Transfer'!$B$6="",ISNUMBER(SEARCH('Data Transfer'!$B$6,'Compliance Database'!$D1326&amp;" "&amp;'Compliance Database'!$K1326&amp;" "&amp;'Compliance Database'!$L1326&amp;" "&amp;'Compliance Database'!$M1326&amp;" "&amp;'Compliance Database'!$N1326)))),1,0)</f>
        <v/>
      </c>
      <c r="B1326">
        <f>IF($A1326=1,SUM($A$2:$A1326),"")</f>
        <v/>
      </c>
      <c r="C1326">
        <f>IF($A1326=1,SUM($A$2:$A1326),0)</f>
        <v/>
      </c>
    </row>
    <row r="1327">
      <c r="A1327">
        <f>IF(AND(OR('Compliance Database'!$A1327='Data Transfer'!$B$4,'Compliance Database'!$A1327='Data Transfer'!$B$5),OR('Data Transfer'!$B$6="",ISNUMBER(SEARCH('Data Transfer'!$B$6,'Compliance Database'!$D1327&amp;" "&amp;'Compliance Database'!$K1327&amp;" "&amp;'Compliance Database'!$L1327&amp;" "&amp;'Compliance Database'!$M1327&amp;" "&amp;'Compliance Database'!$N1327)))),1,0)</f>
        <v/>
      </c>
      <c r="B1327">
        <f>IF($A1327=1,SUM($A$2:$A1327),"")</f>
        <v/>
      </c>
      <c r="C1327">
        <f>IF($A1327=1,SUM($A$2:$A1327),0)</f>
        <v/>
      </c>
    </row>
    <row r="1328">
      <c r="A1328">
        <f>IF(AND(OR('Compliance Database'!$A1328='Data Transfer'!$B$4,'Compliance Database'!$A1328='Data Transfer'!$B$5),OR('Data Transfer'!$B$6="",ISNUMBER(SEARCH('Data Transfer'!$B$6,'Compliance Database'!$D1328&amp;" "&amp;'Compliance Database'!$K1328&amp;" "&amp;'Compliance Database'!$L1328&amp;" "&amp;'Compliance Database'!$M1328&amp;" "&amp;'Compliance Database'!$N1328)))),1,0)</f>
        <v/>
      </c>
      <c r="B1328">
        <f>IF($A1328=1,SUM($A$2:$A1328),"")</f>
        <v/>
      </c>
      <c r="C1328">
        <f>IF($A1328=1,SUM($A$2:$A1328),0)</f>
        <v/>
      </c>
    </row>
    <row r="1329">
      <c r="A1329">
        <f>IF(AND(OR('Compliance Database'!$A1329='Data Transfer'!$B$4,'Compliance Database'!$A1329='Data Transfer'!$B$5),OR('Data Transfer'!$B$6="",ISNUMBER(SEARCH('Data Transfer'!$B$6,'Compliance Database'!$D1329&amp;" "&amp;'Compliance Database'!$K1329&amp;" "&amp;'Compliance Database'!$L1329&amp;" "&amp;'Compliance Database'!$M1329&amp;" "&amp;'Compliance Database'!$N1329)))),1,0)</f>
        <v/>
      </c>
      <c r="B1329">
        <f>IF($A1329=1,SUM($A$2:$A1329),"")</f>
        <v/>
      </c>
      <c r="C1329">
        <f>IF($A1329=1,SUM($A$2:$A1329),0)</f>
        <v/>
      </c>
    </row>
    <row r="1330">
      <c r="A1330">
        <f>IF(AND(OR('Compliance Database'!$A1330='Data Transfer'!$B$4,'Compliance Database'!$A1330='Data Transfer'!$B$5),OR('Data Transfer'!$B$6="",ISNUMBER(SEARCH('Data Transfer'!$B$6,'Compliance Database'!$D1330&amp;" "&amp;'Compliance Database'!$K1330&amp;" "&amp;'Compliance Database'!$L1330&amp;" "&amp;'Compliance Database'!$M1330&amp;" "&amp;'Compliance Database'!$N1330)))),1,0)</f>
        <v/>
      </c>
      <c r="B1330">
        <f>IF($A1330=1,SUM($A$2:$A1330),"")</f>
        <v/>
      </c>
      <c r="C1330">
        <f>IF($A1330=1,SUM($A$2:$A1330),0)</f>
        <v/>
      </c>
    </row>
    <row r="1331">
      <c r="A1331">
        <f>IF(AND(OR('Compliance Database'!$A1331='Data Transfer'!$B$4,'Compliance Database'!$A1331='Data Transfer'!$B$5),OR('Data Transfer'!$B$6="",ISNUMBER(SEARCH('Data Transfer'!$B$6,'Compliance Database'!$D1331&amp;" "&amp;'Compliance Database'!$K1331&amp;" "&amp;'Compliance Database'!$L1331&amp;" "&amp;'Compliance Database'!$M1331&amp;" "&amp;'Compliance Database'!$N1331)))),1,0)</f>
        <v/>
      </c>
      <c r="B1331">
        <f>IF($A1331=1,SUM($A$2:$A1331),"")</f>
        <v/>
      </c>
      <c r="C1331">
        <f>IF($A1331=1,SUM($A$2:$A1331),0)</f>
        <v/>
      </c>
    </row>
    <row r="1332">
      <c r="A1332">
        <f>IF(AND(OR('Compliance Database'!$A1332='Data Transfer'!$B$4,'Compliance Database'!$A1332='Data Transfer'!$B$5),OR('Data Transfer'!$B$6="",ISNUMBER(SEARCH('Data Transfer'!$B$6,'Compliance Database'!$D1332&amp;" "&amp;'Compliance Database'!$K1332&amp;" "&amp;'Compliance Database'!$L1332&amp;" "&amp;'Compliance Database'!$M1332&amp;" "&amp;'Compliance Database'!$N1332)))),1,0)</f>
        <v/>
      </c>
      <c r="B1332">
        <f>IF($A1332=1,SUM($A$2:$A1332),"")</f>
        <v/>
      </c>
      <c r="C1332">
        <f>IF($A1332=1,SUM($A$2:$A1332),0)</f>
        <v/>
      </c>
    </row>
    <row r="1333">
      <c r="A1333">
        <f>IF(AND(OR('Compliance Database'!$A1333='Data Transfer'!$B$4,'Compliance Database'!$A1333='Data Transfer'!$B$5),OR('Data Transfer'!$B$6="",ISNUMBER(SEARCH('Data Transfer'!$B$6,'Compliance Database'!$D1333&amp;" "&amp;'Compliance Database'!$K1333&amp;" "&amp;'Compliance Database'!$L1333&amp;" "&amp;'Compliance Database'!$M1333&amp;" "&amp;'Compliance Database'!$N1333)))),1,0)</f>
        <v/>
      </c>
      <c r="B1333">
        <f>IF($A1333=1,SUM($A$2:$A1333),"")</f>
        <v/>
      </c>
      <c r="C1333">
        <f>IF($A1333=1,SUM($A$2:$A1333),0)</f>
        <v/>
      </c>
    </row>
    <row r="1334">
      <c r="A1334">
        <f>IF(AND(OR('Compliance Database'!$A1334='Data Transfer'!$B$4,'Compliance Database'!$A1334='Data Transfer'!$B$5),OR('Data Transfer'!$B$6="",ISNUMBER(SEARCH('Data Transfer'!$B$6,'Compliance Database'!$D1334&amp;" "&amp;'Compliance Database'!$K1334&amp;" "&amp;'Compliance Database'!$L1334&amp;" "&amp;'Compliance Database'!$M1334&amp;" "&amp;'Compliance Database'!$N1334)))),1,0)</f>
        <v/>
      </c>
      <c r="B1334">
        <f>IF($A1334=1,SUM($A$2:$A1334),"")</f>
        <v/>
      </c>
      <c r="C1334">
        <f>IF($A1334=1,SUM($A$2:$A1334),0)</f>
        <v/>
      </c>
    </row>
    <row r="1335">
      <c r="A1335">
        <f>IF(AND(OR('Compliance Database'!$A1335='Data Transfer'!$B$4,'Compliance Database'!$A1335='Data Transfer'!$B$5),OR('Data Transfer'!$B$6="",ISNUMBER(SEARCH('Data Transfer'!$B$6,'Compliance Database'!$D1335&amp;" "&amp;'Compliance Database'!$K1335&amp;" "&amp;'Compliance Database'!$L1335&amp;" "&amp;'Compliance Database'!$M1335&amp;" "&amp;'Compliance Database'!$N1335)))),1,0)</f>
        <v/>
      </c>
      <c r="B1335">
        <f>IF($A1335=1,SUM($A$2:$A1335),"")</f>
        <v/>
      </c>
      <c r="C1335">
        <f>IF($A1335=1,SUM($A$2:$A1335),0)</f>
        <v/>
      </c>
    </row>
    <row r="1336">
      <c r="A1336">
        <f>IF(AND(OR('Compliance Database'!$A1336='Data Transfer'!$B$4,'Compliance Database'!$A1336='Data Transfer'!$B$5),OR('Data Transfer'!$B$6="",ISNUMBER(SEARCH('Data Transfer'!$B$6,'Compliance Database'!$D1336&amp;" "&amp;'Compliance Database'!$K1336&amp;" "&amp;'Compliance Database'!$L1336&amp;" "&amp;'Compliance Database'!$M1336&amp;" "&amp;'Compliance Database'!$N1336)))),1,0)</f>
        <v/>
      </c>
      <c r="B1336">
        <f>IF($A1336=1,SUM($A$2:$A1336),"")</f>
        <v/>
      </c>
      <c r="C1336">
        <f>IF($A1336=1,SUM($A$2:$A1336),0)</f>
        <v/>
      </c>
    </row>
    <row r="1337">
      <c r="A1337">
        <f>IF(AND(OR('Compliance Database'!$A1337='Data Transfer'!$B$4,'Compliance Database'!$A1337='Data Transfer'!$B$5),OR('Data Transfer'!$B$6="",ISNUMBER(SEARCH('Data Transfer'!$B$6,'Compliance Database'!$D1337&amp;" "&amp;'Compliance Database'!$K1337&amp;" "&amp;'Compliance Database'!$L1337&amp;" "&amp;'Compliance Database'!$M1337&amp;" "&amp;'Compliance Database'!$N1337)))),1,0)</f>
        <v/>
      </c>
      <c r="B1337">
        <f>IF($A1337=1,SUM($A$2:$A1337),"")</f>
        <v/>
      </c>
      <c r="C1337">
        <f>IF($A1337=1,SUM($A$2:$A1337),0)</f>
        <v/>
      </c>
    </row>
    <row r="1338">
      <c r="A1338">
        <f>IF(AND(OR('Compliance Database'!$A1338='Data Transfer'!$B$4,'Compliance Database'!$A1338='Data Transfer'!$B$5),OR('Data Transfer'!$B$6="",ISNUMBER(SEARCH('Data Transfer'!$B$6,'Compliance Database'!$D1338&amp;" "&amp;'Compliance Database'!$K1338&amp;" "&amp;'Compliance Database'!$L1338&amp;" "&amp;'Compliance Database'!$M1338&amp;" "&amp;'Compliance Database'!$N1338)))),1,0)</f>
        <v/>
      </c>
      <c r="B1338">
        <f>IF($A1338=1,SUM($A$2:$A1338),"")</f>
        <v/>
      </c>
      <c r="C1338">
        <f>IF($A1338=1,SUM($A$2:$A1338),0)</f>
        <v/>
      </c>
    </row>
    <row r="1339">
      <c r="A1339">
        <f>IF(AND(OR('Compliance Database'!$A1339='Data Transfer'!$B$4,'Compliance Database'!$A1339='Data Transfer'!$B$5),OR('Data Transfer'!$B$6="",ISNUMBER(SEARCH('Data Transfer'!$B$6,'Compliance Database'!$D1339&amp;" "&amp;'Compliance Database'!$K1339&amp;" "&amp;'Compliance Database'!$L1339&amp;" "&amp;'Compliance Database'!$M1339&amp;" "&amp;'Compliance Database'!$N1339)))),1,0)</f>
        <v/>
      </c>
      <c r="B1339">
        <f>IF($A1339=1,SUM($A$2:$A1339),"")</f>
        <v/>
      </c>
      <c r="C1339">
        <f>IF($A1339=1,SUM($A$2:$A1339),0)</f>
        <v/>
      </c>
    </row>
    <row r="1340">
      <c r="A1340">
        <f>IF(AND(OR('Compliance Database'!$A1340='Data Transfer'!$B$4,'Compliance Database'!$A1340='Data Transfer'!$B$5),OR('Data Transfer'!$B$6="",ISNUMBER(SEARCH('Data Transfer'!$B$6,'Compliance Database'!$D1340&amp;" "&amp;'Compliance Database'!$K1340&amp;" "&amp;'Compliance Database'!$L1340&amp;" "&amp;'Compliance Database'!$M1340&amp;" "&amp;'Compliance Database'!$N1340)))),1,0)</f>
        <v/>
      </c>
      <c r="B1340">
        <f>IF($A1340=1,SUM($A$2:$A1340),"")</f>
        <v/>
      </c>
      <c r="C1340">
        <f>IF($A1340=1,SUM($A$2:$A1340),0)</f>
        <v/>
      </c>
    </row>
    <row r="1341">
      <c r="A1341">
        <f>IF(AND(OR('Compliance Database'!$A1341='Data Transfer'!$B$4,'Compliance Database'!$A1341='Data Transfer'!$B$5),OR('Data Transfer'!$B$6="",ISNUMBER(SEARCH('Data Transfer'!$B$6,'Compliance Database'!$D1341&amp;" "&amp;'Compliance Database'!$K1341&amp;" "&amp;'Compliance Database'!$L1341&amp;" "&amp;'Compliance Database'!$M1341&amp;" "&amp;'Compliance Database'!$N1341)))),1,0)</f>
        <v/>
      </c>
      <c r="B1341">
        <f>IF($A1341=1,SUM($A$2:$A1341),"")</f>
        <v/>
      </c>
      <c r="C1341">
        <f>IF($A1341=1,SUM($A$2:$A1341),0)</f>
        <v/>
      </c>
    </row>
    <row r="1342">
      <c r="A1342">
        <f>IF(AND(OR('Compliance Database'!$A1342='Data Transfer'!$B$4,'Compliance Database'!$A1342='Data Transfer'!$B$5),OR('Data Transfer'!$B$6="",ISNUMBER(SEARCH('Data Transfer'!$B$6,'Compliance Database'!$D1342&amp;" "&amp;'Compliance Database'!$K1342&amp;" "&amp;'Compliance Database'!$L1342&amp;" "&amp;'Compliance Database'!$M1342&amp;" "&amp;'Compliance Database'!$N1342)))),1,0)</f>
        <v/>
      </c>
      <c r="B1342">
        <f>IF($A1342=1,SUM($A$2:$A1342),"")</f>
        <v/>
      </c>
      <c r="C1342">
        <f>IF($A1342=1,SUM($A$2:$A1342),0)</f>
        <v/>
      </c>
    </row>
    <row r="1343">
      <c r="A1343">
        <f>IF(AND(OR('Compliance Database'!$A1343='Data Transfer'!$B$4,'Compliance Database'!$A1343='Data Transfer'!$B$5),OR('Data Transfer'!$B$6="",ISNUMBER(SEARCH('Data Transfer'!$B$6,'Compliance Database'!$D1343&amp;" "&amp;'Compliance Database'!$K1343&amp;" "&amp;'Compliance Database'!$L1343&amp;" "&amp;'Compliance Database'!$M1343&amp;" "&amp;'Compliance Database'!$N1343)))),1,0)</f>
        <v/>
      </c>
      <c r="B1343">
        <f>IF($A1343=1,SUM($A$2:$A1343),"")</f>
        <v/>
      </c>
      <c r="C1343">
        <f>IF($A1343=1,SUM($A$2:$A1343),0)</f>
        <v/>
      </c>
    </row>
    <row r="1344">
      <c r="A1344">
        <f>IF(AND(OR('Compliance Database'!$A1344='Data Transfer'!$B$4,'Compliance Database'!$A1344='Data Transfer'!$B$5),OR('Data Transfer'!$B$6="",ISNUMBER(SEARCH('Data Transfer'!$B$6,'Compliance Database'!$D1344&amp;" "&amp;'Compliance Database'!$K1344&amp;" "&amp;'Compliance Database'!$L1344&amp;" "&amp;'Compliance Database'!$M1344&amp;" "&amp;'Compliance Database'!$N1344)))),1,0)</f>
        <v/>
      </c>
      <c r="B1344">
        <f>IF($A1344=1,SUM($A$2:$A1344),"")</f>
        <v/>
      </c>
      <c r="C1344">
        <f>IF($A1344=1,SUM($A$2:$A1344),0)</f>
        <v/>
      </c>
    </row>
    <row r="1345">
      <c r="A1345">
        <f>IF(AND(OR('Compliance Database'!$A1345='Data Transfer'!$B$4,'Compliance Database'!$A1345='Data Transfer'!$B$5),OR('Data Transfer'!$B$6="",ISNUMBER(SEARCH('Data Transfer'!$B$6,'Compliance Database'!$D1345&amp;" "&amp;'Compliance Database'!$K1345&amp;" "&amp;'Compliance Database'!$L1345&amp;" "&amp;'Compliance Database'!$M1345&amp;" "&amp;'Compliance Database'!$N1345)))),1,0)</f>
        <v/>
      </c>
      <c r="B1345">
        <f>IF($A1345=1,SUM($A$2:$A1345),"")</f>
        <v/>
      </c>
      <c r="C1345">
        <f>IF($A1345=1,SUM($A$2:$A1345),0)</f>
        <v/>
      </c>
    </row>
    <row r="1346">
      <c r="A1346">
        <f>IF(AND(OR('Compliance Database'!$A1346='Data Transfer'!$B$4,'Compliance Database'!$A1346='Data Transfer'!$B$5),OR('Data Transfer'!$B$6="",ISNUMBER(SEARCH('Data Transfer'!$B$6,'Compliance Database'!$D1346&amp;" "&amp;'Compliance Database'!$K1346&amp;" "&amp;'Compliance Database'!$L1346&amp;" "&amp;'Compliance Database'!$M1346&amp;" "&amp;'Compliance Database'!$N1346)))),1,0)</f>
        <v/>
      </c>
      <c r="B1346">
        <f>IF($A1346=1,SUM($A$2:$A1346),"")</f>
        <v/>
      </c>
      <c r="C1346">
        <f>IF($A1346=1,SUM($A$2:$A1346),0)</f>
        <v/>
      </c>
    </row>
    <row r="1347">
      <c r="A1347">
        <f>IF(AND(OR('Compliance Database'!$A1347='Data Transfer'!$B$4,'Compliance Database'!$A1347='Data Transfer'!$B$5),OR('Data Transfer'!$B$6="",ISNUMBER(SEARCH('Data Transfer'!$B$6,'Compliance Database'!$D1347&amp;" "&amp;'Compliance Database'!$K1347&amp;" "&amp;'Compliance Database'!$L1347&amp;" "&amp;'Compliance Database'!$M1347&amp;" "&amp;'Compliance Database'!$N1347)))),1,0)</f>
        <v/>
      </c>
      <c r="B1347">
        <f>IF($A1347=1,SUM($A$2:$A1347),"")</f>
        <v/>
      </c>
      <c r="C1347">
        <f>IF($A1347=1,SUM($A$2:$A1347),0)</f>
        <v/>
      </c>
    </row>
    <row r="1348">
      <c r="A1348">
        <f>IF(AND(OR('Compliance Database'!$A1348='Data Transfer'!$B$4,'Compliance Database'!$A1348='Data Transfer'!$B$5),OR('Data Transfer'!$B$6="",ISNUMBER(SEARCH('Data Transfer'!$B$6,'Compliance Database'!$D1348&amp;" "&amp;'Compliance Database'!$K1348&amp;" "&amp;'Compliance Database'!$L1348&amp;" "&amp;'Compliance Database'!$M1348&amp;" "&amp;'Compliance Database'!$N1348)))),1,0)</f>
        <v/>
      </c>
      <c r="B1348">
        <f>IF($A1348=1,SUM($A$2:$A1348),"")</f>
        <v/>
      </c>
      <c r="C1348">
        <f>IF($A1348=1,SUM($A$2:$A1348),0)</f>
        <v/>
      </c>
    </row>
    <row r="1349">
      <c r="A1349">
        <f>IF(AND(OR('Compliance Database'!$A1349='Data Transfer'!$B$4,'Compliance Database'!$A1349='Data Transfer'!$B$5),OR('Data Transfer'!$B$6="",ISNUMBER(SEARCH('Data Transfer'!$B$6,'Compliance Database'!$D1349&amp;" "&amp;'Compliance Database'!$K1349&amp;" "&amp;'Compliance Database'!$L1349&amp;" "&amp;'Compliance Database'!$M1349&amp;" "&amp;'Compliance Database'!$N1349)))),1,0)</f>
        <v/>
      </c>
      <c r="B1349">
        <f>IF($A1349=1,SUM($A$2:$A1349),"")</f>
        <v/>
      </c>
      <c r="C1349">
        <f>IF($A1349=1,SUM($A$2:$A1349),0)</f>
        <v/>
      </c>
    </row>
    <row r="1350">
      <c r="A1350">
        <f>IF(AND(OR('Compliance Database'!$A1350='Data Transfer'!$B$4,'Compliance Database'!$A1350='Data Transfer'!$B$5),OR('Data Transfer'!$B$6="",ISNUMBER(SEARCH('Data Transfer'!$B$6,'Compliance Database'!$D1350&amp;" "&amp;'Compliance Database'!$K1350&amp;" "&amp;'Compliance Database'!$L1350&amp;" "&amp;'Compliance Database'!$M1350&amp;" "&amp;'Compliance Database'!$N1350)))),1,0)</f>
        <v/>
      </c>
      <c r="B1350">
        <f>IF($A1350=1,SUM($A$2:$A1350),"")</f>
        <v/>
      </c>
      <c r="C1350">
        <f>IF($A1350=1,SUM($A$2:$A1350),0)</f>
        <v/>
      </c>
    </row>
    <row r="1351">
      <c r="A1351">
        <f>IF(AND(OR('Compliance Database'!$A1351='Data Transfer'!$B$4,'Compliance Database'!$A1351='Data Transfer'!$B$5),OR('Data Transfer'!$B$6="",ISNUMBER(SEARCH('Data Transfer'!$B$6,'Compliance Database'!$D1351&amp;" "&amp;'Compliance Database'!$K1351&amp;" "&amp;'Compliance Database'!$L1351&amp;" "&amp;'Compliance Database'!$M1351&amp;" "&amp;'Compliance Database'!$N1351)))),1,0)</f>
        <v/>
      </c>
      <c r="B1351">
        <f>IF($A1351=1,SUM($A$2:$A1351),"")</f>
        <v/>
      </c>
      <c r="C1351">
        <f>IF($A1351=1,SUM($A$2:$A1351),0)</f>
        <v/>
      </c>
    </row>
    <row r="1352">
      <c r="A1352">
        <f>IF(AND(OR('Compliance Database'!$A1352='Data Transfer'!$B$4,'Compliance Database'!$A1352='Data Transfer'!$B$5),OR('Data Transfer'!$B$6="",ISNUMBER(SEARCH('Data Transfer'!$B$6,'Compliance Database'!$D1352&amp;" "&amp;'Compliance Database'!$K1352&amp;" "&amp;'Compliance Database'!$L1352&amp;" "&amp;'Compliance Database'!$M1352&amp;" "&amp;'Compliance Database'!$N1352)))),1,0)</f>
        <v/>
      </c>
      <c r="B1352">
        <f>IF($A1352=1,SUM($A$2:$A1352),"")</f>
        <v/>
      </c>
      <c r="C1352">
        <f>IF($A1352=1,SUM($A$2:$A1352),0)</f>
        <v/>
      </c>
    </row>
    <row r="1353">
      <c r="A1353">
        <f>IF(AND(OR('Compliance Database'!$A1353='Data Transfer'!$B$4,'Compliance Database'!$A1353='Data Transfer'!$B$5),OR('Data Transfer'!$B$6="",ISNUMBER(SEARCH('Data Transfer'!$B$6,'Compliance Database'!$D1353&amp;" "&amp;'Compliance Database'!$K1353&amp;" "&amp;'Compliance Database'!$L1353&amp;" "&amp;'Compliance Database'!$M1353&amp;" "&amp;'Compliance Database'!$N1353)))),1,0)</f>
        <v/>
      </c>
      <c r="B1353">
        <f>IF($A1353=1,SUM($A$2:$A1353),"")</f>
        <v/>
      </c>
      <c r="C1353">
        <f>IF($A1353=1,SUM($A$2:$A1353),0)</f>
        <v/>
      </c>
    </row>
    <row r="1354">
      <c r="A1354">
        <f>IF(AND(OR('Compliance Database'!$A1354='Data Transfer'!$B$4,'Compliance Database'!$A1354='Data Transfer'!$B$5),OR('Data Transfer'!$B$6="",ISNUMBER(SEARCH('Data Transfer'!$B$6,'Compliance Database'!$D1354&amp;" "&amp;'Compliance Database'!$K1354&amp;" "&amp;'Compliance Database'!$L1354&amp;" "&amp;'Compliance Database'!$M1354&amp;" "&amp;'Compliance Database'!$N1354)))),1,0)</f>
        <v/>
      </c>
      <c r="B1354">
        <f>IF($A1354=1,SUM($A$2:$A1354),"")</f>
        <v/>
      </c>
      <c r="C1354">
        <f>IF($A1354=1,SUM($A$2:$A1354),0)</f>
        <v/>
      </c>
    </row>
    <row r="1355">
      <c r="A1355">
        <f>IF(AND(OR('Compliance Database'!$A1355='Data Transfer'!$B$4,'Compliance Database'!$A1355='Data Transfer'!$B$5),OR('Data Transfer'!$B$6="",ISNUMBER(SEARCH('Data Transfer'!$B$6,'Compliance Database'!$D1355&amp;" "&amp;'Compliance Database'!$K1355&amp;" "&amp;'Compliance Database'!$L1355&amp;" "&amp;'Compliance Database'!$M1355&amp;" "&amp;'Compliance Database'!$N1355)))),1,0)</f>
        <v/>
      </c>
      <c r="B1355">
        <f>IF($A1355=1,SUM($A$2:$A1355),"")</f>
        <v/>
      </c>
      <c r="C1355">
        <f>IF($A1355=1,SUM($A$2:$A1355),0)</f>
        <v/>
      </c>
    </row>
    <row r="1356">
      <c r="A1356">
        <f>IF(AND(OR('Compliance Database'!$A1356='Data Transfer'!$B$4,'Compliance Database'!$A1356='Data Transfer'!$B$5),OR('Data Transfer'!$B$6="",ISNUMBER(SEARCH('Data Transfer'!$B$6,'Compliance Database'!$D1356&amp;" "&amp;'Compliance Database'!$K1356&amp;" "&amp;'Compliance Database'!$L1356&amp;" "&amp;'Compliance Database'!$M1356&amp;" "&amp;'Compliance Database'!$N1356)))),1,0)</f>
        <v/>
      </c>
      <c r="B1356">
        <f>IF($A1356=1,SUM($A$2:$A1356),"")</f>
        <v/>
      </c>
      <c r="C1356">
        <f>IF($A1356=1,SUM($A$2:$A1356),0)</f>
        <v/>
      </c>
    </row>
    <row r="1357">
      <c r="A1357">
        <f>IF(AND(OR('Compliance Database'!$A1357='Data Transfer'!$B$4,'Compliance Database'!$A1357='Data Transfer'!$B$5),OR('Data Transfer'!$B$6="",ISNUMBER(SEARCH('Data Transfer'!$B$6,'Compliance Database'!$D1357&amp;" "&amp;'Compliance Database'!$K1357&amp;" "&amp;'Compliance Database'!$L1357&amp;" "&amp;'Compliance Database'!$M1357&amp;" "&amp;'Compliance Database'!$N1357)))),1,0)</f>
        <v/>
      </c>
      <c r="B1357">
        <f>IF($A1357=1,SUM($A$2:$A1357),"")</f>
        <v/>
      </c>
      <c r="C1357">
        <f>IF($A1357=1,SUM($A$2:$A1357),0)</f>
        <v/>
      </c>
    </row>
    <row r="1358">
      <c r="A1358">
        <f>IF(AND(OR('Compliance Database'!$A1358='Data Transfer'!$B$4,'Compliance Database'!$A1358='Data Transfer'!$B$5),OR('Data Transfer'!$B$6="",ISNUMBER(SEARCH('Data Transfer'!$B$6,'Compliance Database'!$D1358&amp;" "&amp;'Compliance Database'!$K1358&amp;" "&amp;'Compliance Database'!$L1358&amp;" "&amp;'Compliance Database'!$M1358&amp;" "&amp;'Compliance Database'!$N1358)))),1,0)</f>
        <v/>
      </c>
      <c r="B1358">
        <f>IF($A1358=1,SUM($A$2:$A1358),"")</f>
        <v/>
      </c>
      <c r="C1358">
        <f>IF($A1358=1,SUM($A$2:$A1358),0)</f>
        <v/>
      </c>
    </row>
    <row r="1359">
      <c r="A1359">
        <f>IF(AND(OR('Compliance Database'!$A1359='Data Transfer'!$B$4,'Compliance Database'!$A1359='Data Transfer'!$B$5),OR('Data Transfer'!$B$6="",ISNUMBER(SEARCH('Data Transfer'!$B$6,'Compliance Database'!$D1359&amp;" "&amp;'Compliance Database'!$K1359&amp;" "&amp;'Compliance Database'!$L1359&amp;" "&amp;'Compliance Database'!$M1359&amp;" "&amp;'Compliance Database'!$N1359)))),1,0)</f>
        <v/>
      </c>
      <c r="B1359">
        <f>IF($A1359=1,SUM($A$2:$A1359),"")</f>
        <v/>
      </c>
      <c r="C1359">
        <f>IF($A1359=1,SUM($A$2:$A1359),0)</f>
        <v/>
      </c>
    </row>
    <row r="1360">
      <c r="A1360">
        <f>IF(AND(OR('Compliance Database'!$A1360='Data Transfer'!$B$4,'Compliance Database'!$A1360='Data Transfer'!$B$5),OR('Data Transfer'!$B$6="",ISNUMBER(SEARCH('Data Transfer'!$B$6,'Compliance Database'!$D1360&amp;" "&amp;'Compliance Database'!$K1360&amp;" "&amp;'Compliance Database'!$L1360&amp;" "&amp;'Compliance Database'!$M1360&amp;" "&amp;'Compliance Database'!$N1360)))),1,0)</f>
        <v/>
      </c>
      <c r="B1360">
        <f>IF($A1360=1,SUM($A$2:$A1360),"")</f>
        <v/>
      </c>
      <c r="C1360">
        <f>IF($A1360=1,SUM($A$2:$A1360),0)</f>
        <v/>
      </c>
    </row>
    <row r="1361">
      <c r="A1361">
        <f>IF(AND(OR('Compliance Database'!$A1361='Data Transfer'!$B$4,'Compliance Database'!$A1361='Data Transfer'!$B$5),OR('Data Transfer'!$B$6="",ISNUMBER(SEARCH('Data Transfer'!$B$6,'Compliance Database'!$D1361&amp;" "&amp;'Compliance Database'!$K1361&amp;" "&amp;'Compliance Database'!$L1361&amp;" "&amp;'Compliance Database'!$M1361&amp;" "&amp;'Compliance Database'!$N1361)))),1,0)</f>
        <v/>
      </c>
      <c r="B1361">
        <f>IF($A1361=1,SUM($A$2:$A1361),"")</f>
        <v/>
      </c>
      <c r="C1361">
        <f>IF($A1361=1,SUM($A$2:$A1361),0)</f>
        <v/>
      </c>
    </row>
    <row r="1362">
      <c r="A1362">
        <f>IF(AND(OR('Compliance Database'!$A1362='Data Transfer'!$B$4,'Compliance Database'!$A1362='Data Transfer'!$B$5),OR('Data Transfer'!$B$6="",ISNUMBER(SEARCH('Data Transfer'!$B$6,'Compliance Database'!$D1362&amp;" "&amp;'Compliance Database'!$K1362&amp;" "&amp;'Compliance Database'!$L1362&amp;" "&amp;'Compliance Database'!$M1362&amp;" "&amp;'Compliance Database'!$N1362)))),1,0)</f>
        <v/>
      </c>
      <c r="B1362">
        <f>IF($A1362=1,SUM($A$2:$A1362),"")</f>
        <v/>
      </c>
      <c r="C1362">
        <f>IF($A1362=1,SUM($A$2:$A1362),0)</f>
        <v/>
      </c>
    </row>
    <row r="1363">
      <c r="A1363">
        <f>IF(AND(OR('Compliance Database'!$A1363='Data Transfer'!$B$4,'Compliance Database'!$A1363='Data Transfer'!$B$5),OR('Data Transfer'!$B$6="",ISNUMBER(SEARCH('Data Transfer'!$B$6,'Compliance Database'!$D1363&amp;" "&amp;'Compliance Database'!$K1363&amp;" "&amp;'Compliance Database'!$L1363&amp;" "&amp;'Compliance Database'!$M1363&amp;" "&amp;'Compliance Database'!$N1363)))),1,0)</f>
        <v/>
      </c>
      <c r="B1363">
        <f>IF($A1363=1,SUM($A$2:$A1363),"")</f>
        <v/>
      </c>
      <c r="C1363">
        <f>IF($A1363=1,SUM($A$2:$A1363),0)</f>
        <v/>
      </c>
    </row>
    <row r="1364">
      <c r="A1364">
        <f>IF(AND(OR('Compliance Database'!$A1364='Data Transfer'!$B$4,'Compliance Database'!$A1364='Data Transfer'!$B$5),OR('Data Transfer'!$B$6="",ISNUMBER(SEARCH('Data Transfer'!$B$6,'Compliance Database'!$D1364&amp;" "&amp;'Compliance Database'!$K1364&amp;" "&amp;'Compliance Database'!$L1364&amp;" "&amp;'Compliance Database'!$M1364&amp;" "&amp;'Compliance Database'!$N1364)))),1,0)</f>
        <v/>
      </c>
      <c r="B1364">
        <f>IF($A1364=1,SUM($A$2:$A1364),"")</f>
        <v/>
      </c>
      <c r="C1364">
        <f>IF($A1364=1,SUM($A$2:$A1364),0)</f>
        <v/>
      </c>
    </row>
    <row r="1365">
      <c r="A1365">
        <f>IF(AND(OR('Compliance Database'!$A1365='Data Transfer'!$B$4,'Compliance Database'!$A1365='Data Transfer'!$B$5),OR('Data Transfer'!$B$6="",ISNUMBER(SEARCH('Data Transfer'!$B$6,'Compliance Database'!$D1365&amp;" "&amp;'Compliance Database'!$K1365&amp;" "&amp;'Compliance Database'!$L1365&amp;" "&amp;'Compliance Database'!$M1365&amp;" "&amp;'Compliance Database'!$N1365)))),1,0)</f>
        <v/>
      </c>
      <c r="B1365">
        <f>IF($A1365=1,SUM($A$2:$A1365),"")</f>
        <v/>
      </c>
      <c r="C1365">
        <f>IF($A1365=1,SUM($A$2:$A1365),0)</f>
        <v/>
      </c>
    </row>
    <row r="1366">
      <c r="A1366">
        <f>IF(AND(OR('Compliance Database'!$A1366='Data Transfer'!$B$4,'Compliance Database'!$A1366='Data Transfer'!$B$5),OR('Data Transfer'!$B$6="",ISNUMBER(SEARCH('Data Transfer'!$B$6,'Compliance Database'!$D1366&amp;" "&amp;'Compliance Database'!$K1366&amp;" "&amp;'Compliance Database'!$L1366&amp;" "&amp;'Compliance Database'!$M1366&amp;" "&amp;'Compliance Database'!$N1366)))),1,0)</f>
        <v/>
      </c>
      <c r="B1366">
        <f>IF($A1366=1,SUM($A$2:$A1366),"")</f>
        <v/>
      </c>
      <c r="C1366">
        <f>IF($A1366=1,SUM($A$2:$A1366),0)</f>
        <v/>
      </c>
    </row>
    <row r="1367">
      <c r="A1367">
        <f>IF(AND(OR('Compliance Database'!$A1367='Data Transfer'!$B$4,'Compliance Database'!$A1367='Data Transfer'!$B$5),OR('Data Transfer'!$B$6="",ISNUMBER(SEARCH('Data Transfer'!$B$6,'Compliance Database'!$D1367&amp;" "&amp;'Compliance Database'!$K1367&amp;" "&amp;'Compliance Database'!$L1367&amp;" "&amp;'Compliance Database'!$M1367&amp;" "&amp;'Compliance Database'!$N1367)))),1,0)</f>
        <v/>
      </c>
      <c r="B1367">
        <f>IF($A1367=1,SUM($A$2:$A1367),"")</f>
        <v/>
      </c>
      <c r="C1367">
        <f>IF($A1367=1,SUM($A$2:$A1367),0)</f>
        <v/>
      </c>
    </row>
    <row r="1368">
      <c r="A1368">
        <f>IF(AND(OR('Compliance Database'!$A1368='Data Transfer'!$B$4,'Compliance Database'!$A1368='Data Transfer'!$B$5),OR('Data Transfer'!$B$6="",ISNUMBER(SEARCH('Data Transfer'!$B$6,'Compliance Database'!$D1368&amp;" "&amp;'Compliance Database'!$K1368&amp;" "&amp;'Compliance Database'!$L1368&amp;" "&amp;'Compliance Database'!$M1368&amp;" "&amp;'Compliance Database'!$N1368)))),1,0)</f>
        <v/>
      </c>
      <c r="B1368">
        <f>IF($A1368=1,SUM($A$2:$A1368),"")</f>
        <v/>
      </c>
      <c r="C1368">
        <f>IF($A1368=1,SUM($A$2:$A1368),0)</f>
        <v/>
      </c>
    </row>
    <row r="1369">
      <c r="A1369">
        <f>IF(AND(OR('Compliance Database'!$A1369='Data Transfer'!$B$4,'Compliance Database'!$A1369='Data Transfer'!$B$5),OR('Data Transfer'!$B$6="",ISNUMBER(SEARCH('Data Transfer'!$B$6,'Compliance Database'!$D1369&amp;" "&amp;'Compliance Database'!$K1369&amp;" "&amp;'Compliance Database'!$L1369&amp;" "&amp;'Compliance Database'!$M1369&amp;" "&amp;'Compliance Database'!$N1369)))),1,0)</f>
        <v/>
      </c>
      <c r="B1369">
        <f>IF($A1369=1,SUM($A$2:$A1369),"")</f>
        <v/>
      </c>
      <c r="C1369">
        <f>IF($A1369=1,SUM($A$2:$A1369),0)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2026-07-16T14:23:34Z</dcterms:created>
  <dcterms:modified xmlns:dcterms="http://purl.org/dc/terms/" xmlns:xsi="http://www.w3.org/2001/XMLSchema-instance" xsi:type="dcterms:W3CDTF">2026-07-16T14:23:34Z</dcterms:modified>
</cp:coreProperties>
</file>